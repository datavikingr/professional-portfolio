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ahaskins\Documents\Local OOT Backups\"/>
    </mc:Choice>
  </mc:AlternateContent>
  <xr:revisionPtr revIDLastSave="0" documentId="13_ncr:1_{53865A37-AA40-431C-9F87-70223ECF3AA2}" xr6:coauthVersionLast="47" xr6:coauthVersionMax="47" xr10:uidLastSave="{00000000-0000-0000-0000-000000000000}"/>
  <bookViews>
    <workbookView xWindow="-120" yWindow="-120" windowWidth="29040" windowHeight="15840" activeTab="1" xr2:uid="{00000000-000D-0000-FFFF-FFFF00000000}"/>
  </bookViews>
  <sheets>
    <sheet name="Worksheet" sheetId="13" r:id="rId1"/>
    <sheet name="Calculations" sheetId="1" r:id="rId2"/>
    <sheet name="Input" sheetId="3" r:id="rId3"/>
    <sheet name="Instructions" sheetId="12" r:id="rId4"/>
    <sheet name="Torque Tables" sheetId="14" r:id="rId5"/>
    <sheet name="Rev History &amp; Validation" sheetId="4"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02" i="13" l="1"/>
  <c r="F402" i="13"/>
  <c r="E402" i="13"/>
  <c r="G401" i="13"/>
  <c r="F401" i="13"/>
  <c r="E401" i="13"/>
  <c r="G400" i="13"/>
  <c r="F400" i="13"/>
  <c r="E400" i="13"/>
  <c r="G399" i="13"/>
  <c r="F399" i="13"/>
  <c r="E399" i="13"/>
  <c r="G398" i="13"/>
  <c r="F398" i="13"/>
  <c r="E398" i="13"/>
  <c r="G397" i="13"/>
  <c r="F397" i="13"/>
  <c r="E397" i="13"/>
  <c r="G396" i="13"/>
  <c r="F396" i="13"/>
  <c r="E396" i="13"/>
  <c r="G395" i="13"/>
  <c r="F395" i="13"/>
  <c r="E395" i="13"/>
  <c r="G394" i="13"/>
  <c r="F394" i="13"/>
  <c r="E394" i="13"/>
  <c r="G393" i="13"/>
  <c r="F393" i="13"/>
  <c r="E393" i="13"/>
  <c r="G392" i="13"/>
  <c r="F392" i="13"/>
  <c r="E392" i="13"/>
  <c r="G391" i="13"/>
  <c r="F391" i="13"/>
  <c r="E391" i="13"/>
  <c r="G390" i="13"/>
  <c r="F390" i="13"/>
  <c r="E390" i="13"/>
  <c r="G389" i="13"/>
  <c r="F389" i="13"/>
  <c r="E389" i="13"/>
  <c r="G388" i="13"/>
  <c r="F388" i="13"/>
  <c r="E388" i="13"/>
  <c r="G387" i="13"/>
  <c r="F387" i="13"/>
  <c r="E387" i="13"/>
  <c r="G386" i="13"/>
  <c r="F386" i="13"/>
  <c r="E386" i="13"/>
  <c r="G385" i="13"/>
  <c r="F385" i="13"/>
  <c r="E385" i="13"/>
  <c r="G384" i="13"/>
  <c r="F384" i="13"/>
  <c r="E384" i="13"/>
  <c r="G383" i="13"/>
  <c r="F383" i="13"/>
  <c r="E383" i="13"/>
  <c r="G382" i="13"/>
  <c r="F382" i="13"/>
  <c r="E382" i="13"/>
  <c r="G381" i="13"/>
  <c r="F381" i="13"/>
  <c r="E381" i="13"/>
  <c r="G380" i="13"/>
  <c r="F380" i="13"/>
  <c r="E380" i="13"/>
  <c r="G379" i="13"/>
  <c r="F379" i="13"/>
  <c r="E379" i="13"/>
  <c r="G378" i="13"/>
  <c r="F378" i="13"/>
  <c r="E378" i="13"/>
  <c r="G377" i="13"/>
  <c r="F377" i="13"/>
  <c r="E377" i="13"/>
  <c r="G376" i="13"/>
  <c r="F376" i="13"/>
  <c r="E376" i="13"/>
  <c r="G375" i="13"/>
  <c r="F375" i="13"/>
  <c r="E375" i="13"/>
  <c r="G374" i="13"/>
  <c r="F374" i="13"/>
  <c r="E374" i="13"/>
  <c r="G373" i="13"/>
  <c r="F373" i="13"/>
  <c r="E373" i="13"/>
  <c r="G372" i="13"/>
  <c r="F372" i="13"/>
  <c r="E372" i="13"/>
  <c r="G371" i="13"/>
  <c r="F371" i="13"/>
  <c r="E371" i="13"/>
  <c r="G370" i="13"/>
  <c r="F370" i="13"/>
  <c r="E370" i="13"/>
  <c r="G369" i="13"/>
  <c r="F369" i="13"/>
  <c r="E369" i="13"/>
  <c r="G368" i="13"/>
  <c r="F368" i="13"/>
  <c r="E368" i="13"/>
  <c r="G367" i="13"/>
  <c r="F367" i="13"/>
  <c r="E367" i="13"/>
  <c r="G366" i="13"/>
  <c r="F366" i="13"/>
  <c r="E366" i="13"/>
  <c r="G365" i="13"/>
  <c r="F365" i="13"/>
  <c r="E365" i="13"/>
  <c r="G364" i="13"/>
  <c r="F364" i="13"/>
  <c r="E364" i="13"/>
  <c r="G363" i="13"/>
  <c r="F363" i="13"/>
  <c r="E363" i="13"/>
  <c r="G362" i="13"/>
  <c r="F362" i="13"/>
  <c r="E362" i="13"/>
  <c r="G361" i="13"/>
  <c r="F361" i="13"/>
  <c r="E361" i="13"/>
  <c r="G360" i="13"/>
  <c r="F360" i="13"/>
  <c r="E360" i="13"/>
  <c r="G359" i="13"/>
  <c r="F359" i="13"/>
  <c r="E359" i="13"/>
  <c r="G358" i="13"/>
  <c r="F358" i="13"/>
  <c r="E358" i="13"/>
  <c r="G357" i="13"/>
  <c r="F357" i="13"/>
  <c r="E357" i="13"/>
  <c r="G356" i="13"/>
  <c r="F356" i="13"/>
  <c r="E356" i="13"/>
  <c r="G355" i="13"/>
  <c r="F355" i="13"/>
  <c r="E355" i="13"/>
  <c r="G354" i="13"/>
  <c r="F354" i="13"/>
  <c r="E354" i="13"/>
  <c r="G353" i="13"/>
  <c r="F353" i="13"/>
  <c r="E353" i="13"/>
  <c r="G352" i="13"/>
  <c r="F352" i="13"/>
  <c r="E352" i="13"/>
  <c r="G351" i="13"/>
  <c r="F351" i="13"/>
  <c r="E351" i="13"/>
  <c r="G350" i="13"/>
  <c r="F350" i="13"/>
  <c r="E350" i="13"/>
  <c r="G349" i="13"/>
  <c r="F349" i="13"/>
  <c r="E349" i="13"/>
  <c r="G348" i="13"/>
  <c r="F348" i="13"/>
  <c r="E348" i="13"/>
  <c r="G347" i="13"/>
  <c r="F347" i="13"/>
  <c r="E347" i="13"/>
  <c r="G346" i="13"/>
  <c r="F346" i="13"/>
  <c r="E346" i="13"/>
  <c r="G345" i="13"/>
  <c r="F345" i="13"/>
  <c r="E345" i="13"/>
  <c r="G344" i="13"/>
  <c r="F344" i="13"/>
  <c r="E344" i="13"/>
  <c r="G343" i="13"/>
  <c r="F343" i="13"/>
  <c r="E343" i="13"/>
  <c r="G342" i="13"/>
  <c r="F342" i="13"/>
  <c r="E342" i="13"/>
  <c r="G341" i="13"/>
  <c r="F341" i="13"/>
  <c r="E341" i="13"/>
  <c r="G340" i="13"/>
  <c r="F340" i="13"/>
  <c r="E340" i="13"/>
  <c r="G339" i="13"/>
  <c r="F339" i="13"/>
  <c r="E339" i="13"/>
  <c r="G338" i="13"/>
  <c r="F338" i="13"/>
  <c r="E338" i="13"/>
  <c r="G337" i="13"/>
  <c r="F337" i="13"/>
  <c r="E337" i="13"/>
  <c r="G336" i="13"/>
  <c r="F336" i="13"/>
  <c r="E336" i="13"/>
  <c r="G335" i="13"/>
  <c r="F335" i="13"/>
  <c r="E335" i="13"/>
  <c r="G334" i="13"/>
  <c r="F334" i="13"/>
  <c r="E334" i="13"/>
  <c r="G333" i="13"/>
  <c r="F333" i="13"/>
  <c r="E333" i="13"/>
  <c r="G332" i="13"/>
  <c r="F332" i="13"/>
  <c r="E332" i="13"/>
  <c r="G331" i="13"/>
  <c r="F331" i="13"/>
  <c r="E331" i="13"/>
  <c r="G330" i="13"/>
  <c r="F330" i="13"/>
  <c r="E330" i="13"/>
  <c r="G329" i="13"/>
  <c r="F329" i="13"/>
  <c r="E329" i="13"/>
  <c r="G328" i="13"/>
  <c r="F328" i="13"/>
  <c r="E328" i="13"/>
  <c r="G327" i="13"/>
  <c r="F327" i="13"/>
  <c r="E327" i="13"/>
  <c r="G326" i="13"/>
  <c r="F326" i="13"/>
  <c r="E326" i="13"/>
  <c r="G325" i="13"/>
  <c r="F325" i="13"/>
  <c r="E325" i="13"/>
  <c r="G324" i="13"/>
  <c r="F324" i="13"/>
  <c r="E324" i="13"/>
  <c r="G323" i="13"/>
  <c r="F323" i="13"/>
  <c r="E323" i="13"/>
  <c r="G322" i="13"/>
  <c r="F322" i="13"/>
  <c r="E322" i="13"/>
  <c r="G321" i="13"/>
  <c r="F321" i="13"/>
  <c r="E321" i="13"/>
  <c r="G320" i="13"/>
  <c r="F320" i="13"/>
  <c r="E320" i="13"/>
  <c r="G319" i="13"/>
  <c r="F319" i="13"/>
  <c r="E319" i="13"/>
  <c r="G318" i="13"/>
  <c r="F318" i="13"/>
  <c r="E318" i="13"/>
  <c r="G317" i="13"/>
  <c r="F317" i="13"/>
  <c r="E317" i="13"/>
  <c r="G316" i="13"/>
  <c r="F316" i="13"/>
  <c r="E316" i="13"/>
  <c r="G315" i="13"/>
  <c r="F315" i="13"/>
  <c r="E315" i="13"/>
  <c r="G314" i="13"/>
  <c r="F314" i="13"/>
  <c r="E314" i="13"/>
  <c r="G313" i="13"/>
  <c r="F313" i="13"/>
  <c r="E313" i="13"/>
  <c r="G312" i="13"/>
  <c r="F312" i="13"/>
  <c r="E312" i="13"/>
  <c r="G311" i="13"/>
  <c r="F311" i="13"/>
  <c r="E311" i="13"/>
  <c r="G310" i="13"/>
  <c r="F310" i="13"/>
  <c r="E310" i="13"/>
  <c r="G309" i="13"/>
  <c r="F309" i="13"/>
  <c r="E309" i="13"/>
  <c r="G308" i="13"/>
  <c r="F308" i="13"/>
  <c r="E308" i="13"/>
  <c r="G307" i="13"/>
  <c r="F307" i="13"/>
  <c r="E307" i="13"/>
  <c r="G306" i="13"/>
  <c r="F306" i="13"/>
  <c r="E306" i="13"/>
  <c r="G305" i="13"/>
  <c r="F305" i="13"/>
  <c r="E305" i="13"/>
  <c r="G304" i="13"/>
  <c r="F304" i="13"/>
  <c r="E304" i="13"/>
  <c r="G303" i="13"/>
  <c r="F303" i="13"/>
  <c r="E303" i="13"/>
  <c r="G302" i="13"/>
  <c r="F302" i="13"/>
  <c r="E302" i="13"/>
  <c r="G301" i="13"/>
  <c r="F301" i="13"/>
  <c r="E301" i="13"/>
  <c r="G300" i="13"/>
  <c r="F300" i="13"/>
  <c r="E300" i="13"/>
  <c r="G299" i="13"/>
  <c r="F299" i="13"/>
  <c r="E299" i="13"/>
  <c r="G298" i="13"/>
  <c r="F298" i="13"/>
  <c r="E298" i="13"/>
  <c r="G297" i="13"/>
  <c r="F297" i="13"/>
  <c r="E297" i="13"/>
  <c r="G296" i="13"/>
  <c r="F296" i="13"/>
  <c r="E296" i="13"/>
  <c r="G295" i="13"/>
  <c r="F295" i="13"/>
  <c r="E295" i="13"/>
  <c r="G294" i="13"/>
  <c r="F294" i="13"/>
  <c r="E294" i="13"/>
  <c r="G293" i="13"/>
  <c r="F293" i="13"/>
  <c r="E293" i="13"/>
  <c r="G292" i="13"/>
  <c r="F292" i="13"/>
  <c r="E292" i="13"/>
  <c r="G291" i="13"/>
  <c r="F291" i="13"/>
  <c r="E291" i="13"/>
  <c r="G290" i="13"/>
  <c r="F290" i="13"/>
  <c r="E290" i="13"/>
  <c r="G289" i="13"/>
  <c r="F289" i="13"/>
  <c r="E289" i="13"/>
  <c r="G288" i="13"/>
  <c r="F288" i="13"/>
  <c r="E288" i="13"/>
  <c r="G287" i="13"/>
  <c r="F287" i="13"/>
  <c r="E287" i="13"/>
  <c r="G286" i="13"/>
  <c r="F286" i="13"/>
  <c r="E286" i="13"/>
  <c r="G285" i="13"/>
  <c r="F285" i="13"/>
  <c r="E285" i="13"/>
  <c r="G284" i="13"/>
  <c r="F284" i="13"/>
  <c r="E284" i="13"/>
  <c r="G283" i="13"/>
  <c r="F283" i="13"/>
  <c r="E283" i="13"/>
  <c r="G282" i="13"/>
  <c r="F282" i="13"/>
  <c r="E282" i="13"/>
  <c r="G281" i="13"/>
  <c r="F281" i="13"/>
  <c r="E281" i="13"/>
  <c r="G280" i="13"/>
  <c r="F280" i="13"/>
  <c r="E280" i="13"/>
  <c r="G279" i="13"/>
  <c r="F279" i="13"/>
  <c r="E279" i="13"/>
  <c r="G278" i="13"/>
  <c r="F278" i="13"/>
  <c r="E278" i="13"/>
  <c r="G277" i="13"/>
  <c r="F277" i="13"/>
  <c r="E277" i="13"/>
  <c r="G276" i="13"/>
  <c r="F276" i="13"/>
  <c r="E276" i="13"/>
  <c r="G275" i="13"/>
  <c r="F275" i="13"/>
  <c r="E275" i="13"/>
  <c r="G274" i="13"/>
  <c r="F274" i="13"/>
  <c r="E274" i="13"/>
  <c r="G273" i="13"/>
  <c r="F273" i="13"/>
  <c r="E273" i="13"/>
  <c r="G272" i="13"/>
  <c r="F272" i="13"/>
  <c r="E272" i="13"/>
  <c r="G271" i="13"/>
  <c r="F271" i="13"/>
  <c r="E271" i="13"/>
  <c r="G270" i="13"/>
  <c r="F270" i="13"/>
  <c r="E270" i="13"/>
  <c r="G269" i="13"/>
  <c r="F269" i="13"/>
  <c r="E269" i="13"/>
  <c r="G268" i="13"/>
  <c r="F268" i="13"/>
  <c r="E268" i="13"/>
  <c r="G267" i="13"/>
  <c r="F267" i="13"/>
  <c r="E267" i="13"/>
  <c r="G266" i="13"/>
  <c r="F266" i="13"/>
  <c r="E266" i="13"/>
  <c r="G265" i="13"/>
  <c r="F265" i="13"/>
  <c r="E265" i="13"/>
  <c r="G264" i="13"/>
  <c r="F264" i="13"/>
  <c r="E264" i="13"/>
  <c r="G263" i="13"/>
  <c r="F263" i="13"/>
  <c r="E263" i="13"/>
  <c r="G262" i="13"/>
  <c r="F262" i="13"/>
  <c r="E262" i="13"/>
  <c r="G261" i="13"/>
  <c r="F261" i="13"/>
  <c r="E261" i="13"/>
  <c r="G260" i="13"/>
  <c r="F260" i="13"/>
  <c r="E260" i="13"/>
  <c r="G259" i="13"/>
  <c r="F259" i="13"/>
  <c r="E259" i="13"/>
  <c r="G258" i="13"/>
  <c r="F258" i="13"/>
  <c r="E258" i="13"/>
  <c r="G257" i="13"/>
  <c r="F257" i="13"/>
  <c r="E257" i="13"/>
  <c r="G256" i="13"/>
  <c r="F256" i="13"/>
  <c r="E256" i="13"/>
  <c r="G255" i="13"/>
  <c r="F255" i="13"/>
  <c r="E255" i="13"/>
  <c r="G254" i="13"/>
  <c r="F254" i="13"/>
  <c r="E254" i="13"/>
  <c r="G253" i="13"/>
  <c r="F253" i="13"/>
  <c r="E253" i="13"/>
  <c r="G252" i="13"/>
  <c r="F252" i="13"/>
  <c r="E252" i="13"/>
  <c r="G251" i="13"/>
  <c r="F251" i="13"/>
  <c r="E251" i="13"/>
  <c r="G250" i="13"/>
  <c r="F250" i="13"/>
  <c r="E250" i="13"/>
  <c r="G249" i="13"/>
  <c r="F249" i="13"/>
  <c r="E249" i="13"/>
  <c r="G248" i="13"/>
  <c r="F248" i="13"/>
  <c r="E248" i="13"/>
  <c r="G247" i="13"/>
  <c r="F247" i="13"/>
  <c r="E247" i="13"/>
  <c r="G246" i="13"/>
  <c r="F246" i="13"/>
  <c r="E246" i="13"/>
  <c r="G245" i="13"/>
  <c r="F245" i="13"/>
  <c r="E245" i="13"/>
  <c r="G244" i="13"/>
  <c r="F244" i="13"/>
  <c r="E244" i="13"/>
  <c r="G243" i="13"/>
  <c r="F243" i="13"/>
  <c r="E243" i="13"/>
  <c r="G242" i="13"/>
  <c r="F242" i="13"/>
  <c r="E242" i="13"/>
  <c r="G241" i="13"/>
  <c r="F241" i="13"/>
  <c r="E241" i="13"/>
  <c r="G240" i="13"/>
  <c r="F240" i="13"/>
  <c r="E240" i="13"/>
  <c r="G239" i="13"/>
  <c r="F239" i="13"/>
  <c r="E239" i="13"/>
  <c r="G238" i="13"/>
  <c r="F238" i="13"/>
  <c r="E238" i="13"/>
  <c r="G237" i="13"/>
  <c r="F237" i="13"/>
  <c r="E237" i="13"/>
  <c r="G236" i="13"/>
  <c r="F236" i="13"/>
  <c r="E236" i="13"/>
  <c r="G235" i="13"/>
  <c r="F235" i="13"/>
  <c r="E235" i="13"/>
  <c r="G234" i="13"/>
  <c r="F234" i="13"/>
  <c r="E234" i="13"/>
  <c r="G233" i="13"/>
  <c r="F233" i="13"/>
  <c r="E233" i="13"/>
  <c r="G232" i="13"/>
  <c r="F232" i="13"/>
  <c r="E232" i="13"/>
  <c r="G231" i="13"/>
  <c r="F231" i="13"/>
  <c r="E231" i="13"/>
  <c r="G230" i="13"/>
  <c r="F230" i="13"/>
  <c r="E230" i="13"/>
  <c r="G229" i="13"/>
  <c r="F229" i="13"/>
  <c r="E229" i="13"/>
  <c r="G228" i="13"/>
  <c r="F228" i="13"/>
  <c r="E228" i="13"/>
  <c r="G227" i="13"/>
  <c r="F227" i="13"/>
  <c r="E227" i="13"/>
  <c r="G226" i="13"/>
  <c r="F226" i="13"/>
  <c r="E226" i="13"/>
  <c r="G225" i="13"/>
  <c r="F225" i="13"/>
  <c r="E225" i="13"/>
  <c r="G224" i="13"/>
  <c r="F224" i="13"/>
  <c r="E224" i="13"/>
  <c r="G223" i="13"/>
  <c r="F223" i="13"/>
  <c r="E223" i="13"/>
  <c r="G222" i="13"/>
  <c r="F222" i="13"/>
  <c r="E222" i="13"/>
  <c r="G221" i="13"/>
  <c r="F221" i="13"/>
  <c r="E221" i="13"/>
  <c r="G220" i="13"/>
  <c r="F220" i="13"/>
  <c r="E220" i="13"/>
  <c r="G219" i="13"/>
  <c r="F219" i="13"/>
  <c r="E219" i="13"/>
  <c r="G218" i="13"/>
  <c r="F218" i="13"/>
  <c r="E218" i="13"/>
  <c r="G217" i="13"/>
  <c r="F217" i="13"/>
  <c r="E217" i="13"/>
  <c r="G216" i="13"/>
  <c r="F216" i="13"/>
  <c r="E216" i="13"/>
  <c r="G215" i="13"/>
  <c r="F215" i="13"/>
  <c r="E215" i="13"/>
  <c r="G214" i="13"/>
  <c r="F214" i="13"/>
  <c r="E214" i="13"/>
  <c r="G213" i="13"/>
  <c r="F213" i="13"/>
  <c r="E213" i="13"/>
  <c r="G212" i="13"/>
  <c r="F212" i="13"/>
  <c r="E212" i="13"/>
  <c r="G211" i="13"/>
  <c r="F211" i="13"/>
  <c r="E211" i="13"/>
  <c r="G210" i="13"/>
  <c r="F210" i="13"/>
  <c r="E210" i="13"/>
  <c r="G209" i="13"/>
  <c r="F209" i="13"/>
  <c r="E209" i="13"/>
  <c r="G208" i="13"/>
  <c r="F208" i="13"/>
  <c r="E208" i="13"/>
  <c r="G207" i="13"/>
  <c r="F207" i="13"/>
  <c r="E207" i="13"/>
  <c r="G206" i="13"/>
  <c r="F206" i="13"/>
  <c r="E206" i="13"/>
  <c r="G205" i="13"/>
  <c r="F205" i="13"/>
  <c r="E205" i="13"/>
  <c r="G204" i="13"/>
  <c r="F204" i="13"/>
  <c r="E204" i="13"/>
  <c r="G203" i="13"/>
  <c r="F203" i="13"/>
  <c r="E203" i="13"/>
  <c r="G202" i="13"/>
  <c r="F202" i="13"/>
  <c r="E202" i="13"/>
  <c r="G201" i="13"/>
  <c r="F201" i="13"/>
  <c r="E201" i="13"/>
  <c r="G200" i="13"/>
  <c r="F200" i="13"/>
  <c r="E200" i="13"/>
  <c r="G199" i="13"/>
  <c r="F199" i="13"/>
  <c r="E199" i="13"/>
  <c r="G198" i="13"/>
  <c r="F198" i="13"/>
  <c r="E198" i="13"/>
  <c r="G197" i="13"/>
  <c r="F197" i="13"/>
  <c r="E197" i="13"/>
  <c r="G196" i="13"/>
  <c r="F196" i="13"/>
  <c r="E196" i="13"/>
  <c r="G195" i="13"/>
  <c r="F195" i="13"/>
  <c r="E195" i="13"/>
  <c r="G194" i="13"/>
  <c r="F194" i="13"/>
  <c r="E194" i="13"/>
  <c r="G193" i="13"/>
  <c r="F193" i="13"/>
  <c r="E193" i="13"/>
  <c r="G192" i="13"/>
  <c r="F192" i="13"/>
  <c r="E192" i="13"/>
  <c r="G191" i="13"/>
  <c r="F191" i="13"/>
  <c r="E191" i="13"/>
  <c r="G190" i="13"/>
  <c r="F190" i="13"/>
  <c r="E190" i="13"/>
  <c r="G189" i="13"/>
  <c r="F189" i="13"/>
  <c r="E189" i="13"/>
  <c r="G188" i="13"/>
  <c r="F188" i="13"/>
  <c r="E188" i="13"/>
  <c r="G187" i="13"/>
  <c r="F187" i="13"/>
  <c r="E187" i="13"/>
  <c r="G186" i="13"/>
  <c r="F186" i="13"/>
  <c r="E186" i="13"/>
  <c r="G185" i="13"/>
  <c r="F185" i="13"/>
  <c r="E185" i="13"/>
  <c r="G184" i="13"/>
  <c r="F184" i="13"/>
  <c r="E184" i="13"/>
  <c r="G183" i="13"/>
  <c r="F183" i="13"/>
  <c r="E183" i="13"/>
  <c r="G182" i="13"/>
  <c r="F182" i="13"/>
  <c r="E182" i="13"/>
  <c r="G181" i="13"/>
  <c r="F181" i="13"/>
  <c r="E181" i="13"/>
  <c r="G180" i="13"/>
  <c r="F180" i="13"/>
  <c r="E180" i="13"/>
  <c r="G179" i="13"/>
  <c r="F179" i="13"/>
  <c r="E179" i="13"/>
  <c r="G178" i="13"/>
  <c r="F178" i="13"/>
  <c r="E178" i="13"/>
  <c r="G177" i="13"/>
  <c r="F177" i="13"/>
  <c r="E177" i="13"/>
  <c r="G176" i="13"/>
  <c r="F176" i="13"/>
  <c r="E176" i="13"/>
  <c r="G175" i="13"/>
  <c r="F175" i="13"/>
  <c r="E175" i="13"/>
  <c r="G174" i="13"/>
  <c r="F174" i="13"/>
  <c r="E174" i="13"/>
  <c r="G173" i="13"/>
  <c r="F173" i="13"/>
  <c r="E173" i="13"/>
  <c r="G172" i="13"/>
  <c r="F172" i="13"/>
  <c r="E172" i="13"/>
  <c r="G171" i="13"/>
  <c r="F171" i="13"/>
  <c r="E171" i="13"/>
  <c r="G170" i="13"/>
  <c r="F170" i="13"/>
  <c r="E170" i="13"/>
  <c r="G169" i="13"/>
  <c r="F169" i="13"/>
  <c r="E169" i="13"/>
  <c r="G168" i="13"/>
  <c r="F168" i="13"/>
  <c r="E168" i="13"/>
  <c r="G167" i="13"/>
  <c r="F167" i="13"/>
  <c r="E167" i="13"/>
  <c r="G166" i="13"/>
  <c r="F166" i="13"/>
  <c r="E166" i="13"/>
  <c r="G165" i="13"/>
  <c r="F165" i="13"/>
  <c r="E165" i="13"/>
  <c r="G164" i="13"/>
  <c r="F164" i="13"/>
  <c r="E164" i="13"/>
  <c r="G163" i="13"/>
  <c r="F163" i="13"/>
  <c r="E163" i="13"/>
  <c r="G162" i="13"/>
  <c r="F162" i="13"/>
  <c r="E162" i="13"/>
  <c r="G161" i="13"/>
  <c r="F161" i="13"/>
  <c r="E161" i="13"/>
  <c r="G160" i="13"/>
  <c r="F160" i="13"/>
  <c r="E160" i="13"/>
  <c r="G159" i="13"/>
  <c r="F159" i="13"/>
  <c r="E159" i="13"/>
  <c r="G158" i="13"/>
  <c r="F158" i="13"/>
  <c r="E158" i="13"/>
  <c r="G157" i="13"/>
  <c r="F157" i="13"/>
  <c r="E157" i="13"/>
  <c r="G156" i="13"/>
  <c r="F156" i="13"/>
  <c r="E156" i="13"/>
  <c r="G155" i="13"/>
  <c r="F155" i="13"/>
  <c r="E155" i="13"/>
  <c r="G154" i="13"/>
  <c r="F154" i="13"/>
  <c r="E154" i="13"/>
  <c r="G153" i="13"/>
  <c r="F153" i="13"/>
  <c r="E153" i="13"/>
  <c r="G152" i="13"/>
  <c r="F152" i="13"/>
  <c r="E152" i="13"/>
  <c r="G151" i="13"/>
  <c r="F151" i="13"/>
  <c r="E151" i="13"/>
  <c r="G150" i="13"/>
  <c r="F150" i="13"/>
  <c r="E150" i="13"/>
  <c r="G149" i="13"/>
  <c r="F149" i="13"/>
  <c r="E149" i="13"/>
  <c r="G148" i="13"/>
  <c r="F148" i="13"/>
  <c r="E148" i="13"/>
  <c r="G147" i="13"/>
  <c r="F147" i="13"/>
  <c r="E147" i="13"/>
  <c r="G146" i="13"/>
  <c r="F146" i="13"/>
  <c r="E146" i="13"/>
  <c r="G145" i="13"/>
  <c r="F145" i="13"/>
  <c r="E145" i="13"/>
  <c r="G144" i="13"/>
  <c r="F144" i="13"/>
  <c r="E144" i="13"/>
  <c r="G143" i="13"/>
  <c r="F143" i="13"/>
  <c r="E143" i="13"/>
  <c r="G142" i="13"/>
  <c r="F142" i="13"/>
  <c r="E142" i="13"/>
  <c r="G141" i="13"/>
  <c r="F141" i="13"/>
  <c r="E141" i="13"/>
  <c r="G140" i="13"/>
  <c r="F140" i="13"/>
  <c r="E140" i="13"/>
  <c r="G139" i="13"/>
  <c r="F139" i="13"/>
  <c r="E139" i="13"/>
  <c r="G138" i="13"/>
  <c r="F138" i="13"/>
  <c r="E138" i="13"/>
  <c r="G137" i="13"/>
  <c r="F137" i="13"/>
  <c r="E137" i="13"/>
  <c r="G136" i="13"/>
  <c r="F136" i="13"/>
  <c r="E136" i="13"/>
  <c r="G135" i="13"/>
  <c r="F135" i="13"/>
  <c r="E135" i="13"/>
  <c r="G134" i="13"/>
  <c r="F134" i="13"/>
  <c r="E134" i="13"/>
  <c r="G133" i="13"/>
  <c r="F133" i="13"/>
  <c r="E133" i="13"/>
  <c r="G132" i="13"/>
  <c r="F132" i="13"/>
  <c r="E132" i="13"/>
  <c r="G131" i="13"/>
  <c r="F131" i="13"/>
  <c r="E131" i="13"/>
  <c r="G130" i="13"/>
  <c r="F130" i="13"/>
  <c r="E130" i="13"/>
  <c r="G129" i="13"/>
  <c r="F129" i="13"/>
  <c r="E129" i="13"/>
  <c r="G128" i="13"/>
  <c r="F128" i="13"/>
  <c r="E128" i="13"/>
  <c r="G127" i="13"/>
  <c r="F127" i="13"/>
  <c r="E127" i="13"/>
  <c r="G126" i="13"/>
  <c r="F126" i="13"/>
  <c r="E126" i="13"/>
  <c r="G125" i="13"/>
  <c r="F125" i="13"/>
  <c r="E125" i="13"/>
  <c r="G124" i="13"/>
  <c r="F124" i="13"/>
  <c r="E124" i="13"/>
  <c r="G123" i="13"/>
  <c r="F123" i="13"/>
  <c r="E123" i="13"/>
  <c r="G122" i="13"/>
  <c r="F122" i="13"/>
  <c r="E122" i="13"/>
  <c r="G121" i="13"/>
  <c r="F121" i="13"/>
  <c r="E121" i="13"/>
  <c r="G120" i="13"/>
  <c r="F120" i="13"/>
  <c r="E120" i="13"/>
  <c r="G119" i="13"/>
  <c r="F119" i="13"/>
  <c r="E119" i="13"/>
  <c r="G118" i="13"/>
  <c r="F118" i="13"/>
  <c r="E118" i="13"/>
  <c r="G117" i="13"/>
  <c r="F117" i="13"/>
  <c r="E117" i="13"/>
  <c r="G116" i="13"/>
  <c r="F116" i="13"/>
  <c r="E116" i="13"/>
  <c r="G115" i="13"/>
  <c r="F115" i="13"/>
  <c r="E115" i="13"/>
  <c r="G114" i="13"/>
  <c r="F114" i="13"/>
  <c r="E114" i="13"/>
  <c r="G113" i="13"/>
  <c r="F113" i="13"/>
  <c r="E113" i="13"/>
  <c r="G112" i="13"/>
  <c r="F112" i="13"/>
  <c r="E112" i="13"/>
  <c r="G111" i="13"/>
  <c r="F111" i="13"/>
  <c r="E111" i="13"/>
  <c r="G110" i="13"/>
  <c r="F110" i="13"/>
  <c r="E110" i="13"/>
  <c r="G109" i="13"/>
  <c r="F109" i="13"/>
  <c r="E109" i="13"/>
  <c r="G108" i="13"/>
  <c r="F108" i="13"/>
  <c r="E108" i="13"/>
  <c r="G107" i="13"/>
  <c r="F107" i="13"/>
  <c r="E107" i="13"/>
  <c r="G106" i="13"/>
  <c r="F106" i="13"/>
  <c r="E106" i="13"/>
  <c r="G105" i="13"/>
  <c r="F105" i="13"/>
  <c r="E105" i="13"/>
  <c r="G104" i="13"/>
  <c r="F104" i="13"/>
  <c r="E104" i="13"/>
  <c r="G103" i="13"/>
  <c r="F103" i="13"/>
  <c r="E103" i="13"/>
  <c r="G102" i="13"/>
  <c r="F102" i="13"/>
  <c r="E102" i="13"/>
  <c r="G101" i="13"/>
  <c r="F101" i="13"/>
  <c r="E101" i="13"/>
  <c r="G100" i="13"/>
  <c r="F100" i="13"/>
  <c r="E100" i="13"/>
  <c r="G99" i="13"/>
  <c r="F99" i="13"/>
  <c r="E99" i="13"/>
  <c r="G98" i="13"/>
  <c r="F98" i="13"/>
  <c r="E98" i="13"/>
  <c r="G97" i="13"/>
  <c r="F97" i="13"/>
  <c r="E97" i="13"/>
  <c r="G96" i="13"/>
  <c r="F96" i="13"/>
  <c r="E96" i="13"/>
  <c r="G95" i="13"/>
  <c r="F95" i="13"/>
  <c r="E95" i="13"/>
  <c r="G94" i="13"/>
  <c r="F94" i="13"/>
  <c r="E94" i="13"/>
  <c r="G93" i="13"/>
  <c r="F93" i="13"/>
  <c r="E93" i="13"/>
  <c r="G92" i="13"/>
  <c r="F92" i="13"/>
  <c r="E92" i="13"/>
  <c r="G91" i="13"/>
  <c r="F91" i="13"/>
  <c r="E91" i="13"/>
  <c r="G90" i="13"/>
  <c r="F90" i="13"/>
  <c r="E90" i="13"/>
  <c r="G89" i="13"/>
  <c r="F89" i="13"/>
  <c r="E89" i="13"/>
  <c r="G88" i="13"/>
  <c r="F88" i="13"/>
  <c r="E88" i="13"/>
  <c r="G87" i="13"/>
  <c r="F87" i="13"/>
  <c r="E87" i="13"/>
  <c r="G86" i="13"/>
  <c r="F86" i="13"/>
  <c r="E86" i="13"/>
  <c r="G85" i="13"/>
  <c r="F85" i="13"/>
  <c r="E85" i="13"/>
  <c r="G84" i="13"/>
  <c r="F84" i="13"/>
  <c r="E84" i="13"/>
  <c r="G83" i="13"/>
  <c r="F83" i="13"/>
  <c r="E83" i="13"/>
  <c r="G82" i="13"/>
  <c r="F82" i="13"/>
  <c r="E82" i="13"/>
  <c r="G81" i="13"/>
  <c r="F81" i="13"/>
  <c r="E81" i="13"/>
  <c r="G80" i="13"/>
  <c r="F80" i="13"/>
  <c r="E80" i="13"/>
  <c r="G79" i="13"/>
  <c r="F79" i="13"/>
  <c r="E79" i="13"/>
  <c r="G78" i="13"/>
  <c r="F78" i="13"/>
  <c r="E78" i="13"/>
  <c r="G77" i="13"/>
  <c r="F77" i="13"/>
  <c r="E77" i="13"/>
  <c r="G76" i="13"/>
  <c r="F76" i="13"/>
  <c r="E76" i="13"/>
  <c r="G75" i="13"/>
  <c r="F75" i="13"/>
  <c r="E75" i="13"/>
  <c r="G74" i="13"/>
  <c r="F74" i="13"/>
  <c r="E74" i="13"/>
  <c r="G73" i="13"/>
  <c r="F73" i="13"/>
  <c r="E73" i="13"/>
  <c r="G72" i="13"/>
  <c r="F72" i="13"/>
  <c r="E72" i="13"/>
  <c r="G71" i="13"/>
  <c r="F71" i="13"/>
  <c r="E71" i="13"/>
  <c r="G70" i="13"/>
  <c r="F70" i="13"/>
  <c r="E70" i="13"/>
  <c r="G69" i="13"/>
  <c r="F69" i="13"/>
  <c r="E69" i="13"/>
  <c r="G68" i="13"/>
  <c r="F68" i="13"/>
  <c r="E68" i="13"/>
  <c r="G67" i="13"/>
  <c r="F67" i="13"/>
  <c r="E67" i="13"/>
  <c r="G66" i="13"/>
  <c r="F66" i="13"/>
  <c r="E66" i="13"/>
  <c r="G65" i="13"/>
  <c r="F65" i="13"/>
  <c r="E65" i="13"/>
  <c r="G64" i="13"/>
  <c r="F64" i="13"/>
  <c r="E64" i="13"/>
  <c r="G63" i="13"/>
  <c r="F63" i="13"/>
  <c r="E63" i="13"/>
  <c r="G62" i="13"/>
  <c r="F62" i="13"/>
  <c r="E62" i="13"/>
  <c r="G61" i="13"/>
  <c r="F61" i="13"/>
  <c r="E61" i="13"/>
  <c r="G60" i="13"/>
  <c r="F60" i="13"/>
  <c r="E60" i="13"/>
  <c r="G59" i="13"/>
  <c r="F59" i="13"/>
  <c r="E59" i="13"/>
  <c r="G58" i="13"/>
  <c r="F58" i="13"/>
  <c r="E58" i="13"/>
  <c r="G57" i="13"/>
  <c r="F57" i="13"/>
  <c r="E57" i="13"/>
  <c r="G56" i="13"/>
  <c r="F56" i="13"/>
  <c r="E56" i="13"/>
  <c r="G55" i="13"/>
  <c r="F55" i="13"/>
  <c r="E55" i="13"/>
  <c r="G54" i="13"/>
  <c r="F54" i="13"/>
  <c r="E54" i="13"/>
  <c r="G53" i="13"/>
  <c r="F53" i="13"/>
  <c r="E53" i="13"/>
  <c r="G52" i="13"/>
  <c r="F52" i="13"/>
  <c r="E52"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G14" i="13"/>
  <c r="F14" i="13"/>
  <c r="E14" i="13"/>
  <c r="G13" i="13"/>
  <c r="F13" i="13"/>
  <c r="E13" i="13"/>
  <c r="G12" i="13"/>
  <c r="F12" i="13"/>
  <c r="E12" i="13"/>
  <c r="G11" i="13"/>
  <c r="F11" i="13"/>
  <c r="E11" i="13"/>
  <c r="G10" i="13"/>
  <c r="F10" i="13"/>
  <c r="E10" i="13"/>
  <c r="G9" i="13"/>
  <c r="F9" i="13"/>
  <c r="E9" i="13"/>
  <c r="G8" i="13"/>
  <c r="F8" i="13"/>
  <c r="E8" i="13"/>
  <c r="G7" i="13"/>
  <c r="F7" i="13"/>
  <c r="E7" i="13"/>
  <c r="G6" i="13"/>
  <c r="F6" i="13"/>
  <c r="E6" i="13"/>
  <c r="G5" i="13"/>
  <c r="F5" i="13"/>
  <c r="E5" i="13"/>
  <c r="J4" i="13"/>
  <c r="K6" i="13" s="1" a="1"/>
  <c r="K6" i="13" s="1"/>
  <c r="G4" i="13"/>
  <c r="F4" i="13"/>
  <c r="E4" i="13"/>
  <c r="J6" i="13" l="1" a="1"/>
  <c r="J6" i="13" s="1"/>
  <c r="I6" i="13" a="1"/>
  <c r="I6" i="13" s="1"/>
  <c r="P10" i="1" l="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C2" i="14"/>
  <c r="C3" i="14"/>
  <c r="C4" i="14"/>
  <c r="C5" i="14"/>
  <c r="C6" i="14"/>
  <c r="C7"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41" i="14"/>
  <c r="C142" i="14"/>
  <c r="C143" i="14"/>
  <c r="C144" i="14"/>
  <c r="C145" i="14"/>
  <c r="C146" i="14"/>
  <c r="C147" i="14"/>
  <c r="C148" i="14"/>
  <c r="C149" i="14"/>
  <c r="C150" i="14"/>
  <c r="C151" i="14"/>
  <c r="C152" i="14"/>
  <c r="C153" i="14"/>
  <c r="C154" i="14"/>
  <c r="C155" i="14"/>
  <c r="C156" i="14"/>
  <c r="C157" i="14"/>
  <c r="C158" i="14"/>
  <c r="C159" i="14"/>
  <c r="C160" i="14"/>
  <c r="C161" i="14"/>
  <c r="C162" i="14"/>
  <c r="C163" i="14"/>
  <c r="C164" i="14"/>
  <c r="C165" i="14"/>
  <c r="C166" i="14"/>
  <c r="C167" i="14"/>
  <c r="C168" i="14"/>
  <c r="C169" i="14"/>
  <c r="C170" i="14"/>
  <c r="C171" i="14"/>
  <c r="C172" i="14"/>
  <c r="C173" i="14"/>
  <c r="C174" i="14"/>
  <c r="C175" i="14"/>
  <c r="C176" i="14"/>
  <c r="C177" i="14"/>
  <c r="C178" i="14"/>
  <c r="C179" i="14"/>
  <c r="C180" i="14"/>
  <c r="C181" i="14"/>
  <c r="C182" i="14"/>
  <c r="C183" i="14"/>
  <c r="C184" i="14"/>
  <c r="C185" i="14"/>
  <c r="C186" i="14"/>
  <c r="C187" i="14"/>
  <c r="C188" i="14"/>
  <c r="C189" i="14"/>
  <c r="C190" i="14"/>
  <c r="C191" i="14"/>
  <c r="C192" i="14"/>
  <c r="C193" i="14"/>
  <c r="C194" i="14"/>
  <c r="C195" i="14"/>
  <c r="C196" i="14"/>
  <c r="C197" i="14"/>
  <c r="C198" i="14"/>
  <c r="C199" i="14"/>
  <c r="C200" i="14"/>
  <c r="C201" i="14"/>
  <c r="C202" i="14"/>
  <c r="C203" i="14"/>
  <c r="C204" i="14"/>
  <c r="C205" i="14"/>
  <c r="C206" i="14"/>
  <c r="C207" i="14"/>
  <c r="C208" i="14"/>
  <c r="C209" i="14"/>
  <c r="C210" i="14"/>
  <c r="C211" i="14"/>
  <c r="C212" i="14"/>
  <c r="C213" i="14"/>
  <c r="C214" i="14"/>
  <c r="C215" i="14"/>
  <c r="C216" i="14"/>
  <c r="C217" i="14"/>
  <c r="C218" i="14"/>
  <c r="C219" i="14"/>
  <c r="C220" i="14"/>
  <c r="C221" i="14"/>
  <c r="C222" i="14"/>
  <c r="C223" i="14"/>
  <c r="C224" i="14"/>
  <c r="C225" i="14"/>
  <c r="C226" i="14"/>
  <c r="C227" i="14"/>
  <c r="C228" i="14"/>
  <c r="C229" i="14"/>
  <c r="C230" i="14"/>
  <c r="C231" i="14"/>
  <c r="C232" i="14"/>
  <c r="C233" i="14"/>
  <c r="C234" i="14"/>
  <c r="C235" i="14"/>
  <c r="C236" i="14"/>
  <c r="C237" i="14"/>
  <c r="C238" i="14"/>
  <c r="C239" i="14"/>
  <c r="C240" i="14"/>
  <c r="C241" i="14"/>
  <c r="C242" i="14"/>
  <c r="C243" i="14"/>
  <c r="C244" i="14"/>
  <c r="C245" i="14"/>
  <c r="C246" i="14"/>
  <c r="C247" i="14"/>
  <c r="C248" i="14"/>
  <c r="C249" i="14"/>
  <c r="C250" i="14"/>
  <c r="C251" i="14"/>
  <c r="C252" i="14"/>
  <c r="C253" i="14"/>
  <c r="C254" i="14"/>
  <c r="C255" i="14"/>
  <c r="C256" i="14"/>
  <c r="C257" i="14"/>
  <c r="C258" i="14"/>
  <c r="C259" i="14"/>
  <c r="C260" i="14"/>
  <c r="C261" i="14"/>
  <c r="C262" i="14"/>
  <c r="C263" i="14"/>
  <c r="C264" i="14"/>
  <c r="C265" i="14"/>
  <c r="C266" i="14"/>
  <c r="C267" i="14"/>
  <c r="C268" i="14"/>
  <c r="C269" i="14"/>
  <c r="C270" i="14"/>
  <c r="C271" i="14"/>
  <c r="C272" i="14"/>
  <c r="C273" i="14"/>
  <c r="C274" i="14"/>
  <c r="C275" i="14"/>
  <c r="C276" i="14"/>
  <c r="C277" i="14"/>
  <c r="C278" i="14"/>
  <c r="C279" i="14"/>
  <c r="C280" i="14"/>
  <c r="C281" i="14"/>
  <c r="C282" i="14"/>
  <c r="C283" i="14"/>
  <c r="C284" i="14"/>
  <c r="C285" i="14"/>
  <c r="C286" i="14"/>
  <c r="C287" i="14"/>
  <c r="C288" i="14"/>
  <c r="C289" i="14"/>
  <c r="C290" i="14"/>
  <c r="C291" i="14"/>
  <c r="C292" i="14"/>
  <c r="C293" i="14"/>
  <c r="C294" i="14"/>
  <c r="C295" i="14"/>
  <c r="C296" i="14"/>
  <c r="C297" i="14"/>
  <c r="C298" i="14"/>
  <c r="C299" i="14"/>
  <c r="C300" i="14"/>
  <c r="C301" i="14"/>
  <c r="C302" i="14"/>
  <c r="C303" i="14"/>
  <c r="C304" i="14"/>
  <c r="C305" i="14"/>
  <c r="C306" i="14"/>
  <c r="C307" i="14"/>
  <c r="C308" i="14"/>
  <c r="C309" i="14"/>
  <c r="C310" i="14"/>
  <c r="C311" i="14"/>
  <c r="C312" i="14"/>
  <c r="C313" i="14"/>
  <c r="C314" i="14"/>
  <c r="C315" i="14"/>
  <c r="C316" i="14"/>
  <c r="C317" i="14"/>
  <c r="C318" i="14"/>
  <c r="C319" i="14"/>
  <c r="C320" i="14"/>
  <c r="C321" i="14"/>
  <c r="C322" i="14"/>
  <c r="C323" i="14"/>
  <c r="C324" i="14"/>
  <c r="C325" i="14"/>
  <c r="C326" i="14"/>
  <c r="C327" i="14"/>
  <c r="C328" i="14"/>
  <c r="C329" i="14"/>
  <c r="C330" i="14"/>
  <c r="C331" i="14"/>
  <c r="C332" i="14"/>
  <c r="C333" i="14"/>
  <c r="C334" i="14"/>
  <c r="C335" i="14"/>
  <c r="C336" i="14"/>
  <c r="C337" i="14"/>
  <c r="C338" i="14"/>
  <c r="C339" i="14"/>
  <c r="C340" i="14"/>
  <c r="C341" i="14"/>
  <c r="C342" i="14"/>
  <c r="C343" i="14"/>
  <c r="C344" i="14"/>
  <c r="C345" i="14"/>
  <c r="C346" i="14"/>
  <c r="C347" i="14"/>
  <c r="C348" i="14"/>
  <c r="C349" i="14"/>
  <c r="C350" i="14"/>
  <c r="C351" i="14"/>
  <c r="C352" i="14"/>
  <c r="C353" i="14"/>
  <c r="C354" i="14"/>
  <c r="C355" i="14"/>
  <c r="C356" i="14"/>
  <c r="C357" i="14"/>
  <c r="C358" i="14"/>
  <c r="C359" i="14"/>
  <c r="C360" i="14"/>
  <c r="C361" i="14"/>
  <c r="C362" i="14"/>
  <c r="C363" i="14"/>
  <c r="C364" i="14"/>
  <c r="C365" i="14"/>
  <c r="C366" i="14"/>
  <c r="C367" i="14"/>
  <c r="C368" i="14"/>
  <c r="C369" i="14"/>
  <c r="C370" i="14"/>
  <c r="C371" i="14"/>
  <c r="C372" i="14"/>
  <c r="C373" i="14"/>
  <c r="C374" i="14"/>
  <c r="C375" i="14"/>
  <c r="C376" i="14"/>
  <c r="C377" i="14"/>
  <c r="C378" i="14"/>
  <c r="C379" i="14"/>
  <c r="C380" i="14"/>
  <c r="C381" i="14"/>
  <c r="C382" i="14"/>
  <c r="C383" i="14"/>
  <c r="C384" i="14"/>
  <c r="C385" i="14"/>
  <c r="C386" i="14"/>
  <c r="C387" i="14"/>
  <c r="C388" i="14"/>
  <c r="C389" i="14"/>
  <c r="C390" i="14"/>
  <c r="C391" i="14"/>
  <c r="C392" i="14"/>
  <c r="C393" i="14"/>
  <c r="C394" i="14"/>
  <c r="C395" i="14"/>
  <c r="C396" i="14"/>
  <c r="C397" i="14"/>
  <c r="C398" i="14"/>
  <c r="C399" i="14"/>
  <c r="C400" i="14"/>
  <c r="C401" i="14"/>
  <c r="C402" i="14"/>
  <c r="C403" i="14"/>
  <c r="C404" i="14"/>
  <c r="C405" i="14"/>
  <c r="C406" i="14"/>
  <c r="C407" i="14"/>
  <c r="C408" i="14"/>
  <c r="C409" i="14"/>
  <c r="C410" i="14"/>
  <c r="C411" i="14"/>
  <c r="C412" i="14"/>
  <c r="C413" i="14"/>
  <c r="C414" i="14"/>
  <c r="C415" i="14"/>
  <c r="C416" i="14"/>
  <c r="C417" i="14"/>
  <c r="C418" i="14"/>
  <c r="C419" i="14"/>
  <c r="C420" i="14"/>
  <c r="C421" i="14"/>
  <c r="C422" i="14"/>
  <c r="C423" i="14"/>
  <c r="C424" i="14"/>
  <c r="C425" i="14"/>
  <c r="C426" i="14"/>
  <c r="C427" i="14"/>
  <c r="C428" i="14"/>
  <c r="C429" i="14"/>
  <c r="C430" i="14"/>
  <c r="C431" i="14"/>
  <c r="C432" i="14"/>
  <c r="C433" i="14"/>
  <c r="C434" i="14"/>
  <c r="C435" i="14"/>
  <c r="C436" i="14"/>
  <c r="C437" i="14"/>
  <c r="C438" i="14"/>
  <c r="C439" i="14"/>
  <c r="C440" i="14"/>
  <c r="C441" i="14"/>
  <c r="C442" i="14"/>
  <c r="C443" i="14"/>
  <c r="C444" i="14"/>
  <c r="C445" i="14"/>
  <c r="C446" i="14"/>
  <c r="C447" i="14"/>
  <c r="C448" i="14"/>
  <c r="C449" i="14"/>
  <c r="C450" i="14"/>
  <c r="C451" i="14"/>
  <c r="C452" i="14"/>
  <c r="C453" i="14"/>
  <c r="C454" i="14"/>
  <c r="C455" i="14"/>
  <c r="C456" i="14"/>
  <c r="C457" i="14"/>
  <c r="C458" i="14"/>
  <c r="C459" i="14"/>
  <c r="C460" i="14"/>
  <c r="C461" i="14"/>
  <c r="C462" i="14"/>
  <c r="C463" i="14"/>
  <c r="C464" i="14"/>
  <c r="C465" i="14"/>
  <c r="C466" i="14"/>
  <c r="C467" i="14"/>
  <c r="C468" i="14"/>
  <c r="C469" i="14"/>
  <c r="C470" i="14"/>
  <c r="C471" i="14"/>
  <c r="C472" i="14"/>
  <c r="C473" i="14"/>
  <c r="C474" i="14"/>
  <c r="C475" i="14"/>
  <c r="C476" i="14"/>
  <c r="C477" i="14"/>
  <c r="C478" i="14"/>
  <c r="C479" i="14"/>
  <c r="C480" i="14"/>
  <c r="C481" i="14"/>
  <c r="C482" i="14"/>
  <c r="C483" i="14"/>
  <c r="C484" i="14"/>
  <c r="C485" i="14"/>
  <c r="C486" i="14"/>
  <c r="C487" i="14"/>
  <c r="C488" i="14"/>
  <c r="C489" i="14"/>
  <c r="C490" i="14"/>
  <c r="C491" i="14"/>
  <c r="C492" i="14"/>
  <c r="C493" i="14"/>
  <c r="C494" i="14"/>
  <c r="C495" i="14"/>
  <c r="C496" i="14"/>
  <c r="C497" i="14"/>
  <c r="C498" i="14"/>
  <c r="C499" i="14"/>
  <c r="C500" i="14"/>
  <c r="C501" i="14"/>
  <c r="C502" i="14"/>
  <c r="C503" i="14"/>
  <c r="C504" i="14"/>
  <c r="C505" i="14"/>
  <c r="C506" i="14"/>
  <c r="C507" i="14"/>
  <c r="C508" i="14"/>
  <c r="C509" i="14"/>
  <c r="C510" i="14"/>
  <c r="C511" i="14"/>
  <c r="C512" i="14"/>
  <c r="C513" i="14"/>
  <c r="C514" i="14"/>
  <c r="C515" i="14"/>
  <c r="C516" i="14"/>
  <c r="C517" i="14"/>
  <c r="C518" i="14"/>
  <c r="C519" i="14"/>
  <c r="C520" i="14"/>
  <c r="C521" i="14"/>
  <c r="C522" i="14"/>
  <c r="C523" i="14"/>
  <c r="C524" i="14"/>
  <c r="C525" i="14"/>
  <c r="C526" i="14"/>
  <c r="C527" i="14"/>
  <c r="C528" i="14"/>
  <c r="C529" i="14"/>
  <c r="C530" i="14"/>
  <c r="C531" i="14"/>
  <c r="C532" i="14"/>
  <c r="C533" i="14"/>
  <c r="C534" i="14"/>
  <c r="C535" i="14"/>
  <c r="C536" i="14"/>
  <c r="C537" i="14"/>
  <c r="C538" i="14"/>
  <c r="C539" i="14"/>
  <c r="C540" i="14"/>
  <c r="C541" i="14"/>
  <c r="C542" i="14"/>
  <c r="C543" i="14"/>
  <c r="C544" i="14"/>
  <c r="C545" i="14"/>
  <c r="C546" i="14"/>
  <c r="C547" i="14"/>
  <c r="C548" i="14"/>
  <c r="C549" i="14"/>
  <c r="C550" i="14"/>
  <c r="C551" i="14"/>
  <c r="C552" i="14"/>
  <c r="C553" i="14"/>
  <c r="C554" i="14"/>
  <c r="C555" i="14"/>
  <c r="C556" i="14"/>
  <c r="C557" i="14"/>
  <c r="C558" i="14"/>
  <c r="C559" i="14"/>
  <c r="C560" i="14"/>
  <c r="C561" i="14"/>
  <c r="C562" i="14"/>
  <c r="C563" i="14"/>
  <c r="C564" i="14"/>
  <c r="C565" i="14"/>
  <c r="C566" i="14"/>
  <c r="C567" i="14"/>
  <c r="C568" i="14"/>
  <c r="C569" i="14"/>
  <c r="C570" i="14"/>
  <c r="C571" i="14"/>
  <c r="C572" i="14"/>
  <c r="C573" i="14"/>
  <c r="C574" i="14"/>
  <c r="C575" i="14"/>
  <c r="C576" i="14"/>
  <c r="C577" i="14"/>
  <c r="C578" i="14"/>
  <c r="C579" i="14"/>
  <c r="C580" i="14"/>
  <c r="C581" i="14"/>
  <c r="C582" i="14"/>
  <c r="C583" i="14"/>
  <c r="C584" i="14"/>
  <c r="C585" i="14"/>
  <c r="C586" i="14"/>
  <c r="C587" i="14"/>
  <c r="C588" i="14"/>
  <c r="C589" i="14"/>
  <c r="C590" i="14"/>
  <c r="C591" i="14"/>
  <c r="C592" i="14"/>
  <c r="C593" i="14"/>
  <c r="C594" i="14"/>
  <c r="C595" i="14"/>
  <c r="C596" i="14"/>
  <c r="C597" i="14"/>
  <c r="C598" i="14"/>
  <c r="C599" i="14"/>
  <c r="C600" i="14"/>
  <c r="C601" i="14"/>
  <c r="C602" i="14"/>
  <c r="C603" i="14"/>
  <c r="C604" i="14"/>
  <c r="C605" i="14"/>
  <c r="C606" i="14"/>
  <c r="C607" i="14"/>
  <c r="C608" i="14"/>
  <c r="C609" i="14"/>
  <c r="C610" i="14"/>
  <c r="C611" i="14"/>
  <c r="C612" i="14"/>
  <c r="C613" i="14"/>
  <c r="C614" i="14"/>
  <c r="C615" i="14"/>
  <c r="C616" i="14"/>
  <c r="C617" i="14"/>
  <c r="C618" i="14"/>
  <c r="C619" i="14"/>
  <c r="C620" i="14"/>
  <c r="C621" i="14"/>
  <c r="C622" i="14"/>
  <c r="C623" i="14"/>
  <c r="C624" i="14"/>
  <c r="C625" i="14"/>
  <c r="C626" i="14"/>
  <c r="C627" i="14"/>
  <c r="C628" i="14"/>
  <c r="C629" i="14"/>
  <c r="C630" i="14"/>
  <c r="C631" i="14"/>
  <c r="C632" i="14"/>
  <c r="C633" i="14"/>
  <c r="C634" i="14"/>
  <c r="C635" i="14"/>
  <c r="C636" i="14"/>
  <c r="C637" i="14"/>
  <c r="C638" i="14"/>
  <c r="C639" i="14"/>
  <c r="C640" i="14"/>
  <c r="C641" i="14"/>
  <c r="C642" i="14"/>
  <c r="C643" i="14"/>
  <c r="C644" i="14"/>
  <c r="C645" i="14"/>
  <c r="C646" i="14"/>
  <c r="C647" i="14"/>
  <c r="C648" i="14"/>
  <c r="C649" i="14"/>
  <c r="C650" i="14"/>
  <c r="C651" i="14"/>
  <c r="C652" i="14"/>
  <c r="C653" i="14"/>
  <c r="C654" i="14"/>
  <c r="C655" i="14"/>
  <c r="C656" i="14"/>
  <c r="C657" i="14"/>
  <c r="C658" i="14"/>
  <c r="C659" i="14"/>
  <c r="C660" i="14"/>
  <c r="C661" i="14"/>
  <c r="C662" i="14"/>
  <c r="C663" i="14"/>
  <c r="C664" i="14"/>
  <c r="C665" i="14"/>
  <c r="C666" i="14"/>
  <c r="C667" i="14"/>
  <c r="C668" i="14"/>
  <c r="C669" i="14"/>
  <c r="C670" i="14"/>
  <c r="C671" i="14"/>
  <c r="C672" i="14"/>
  <c r="C673" i="14"/>
  <c r="C674" i="14"/>
  <c r="C675" i="14"/>
  <c r="C676" i="14"/>
  <c r="C677" i="14"/>
  <c r="C678" i="14"/>
  <c r="C679" i="14"/>
  <c r="C680" i="14"/>
  <c r="C681" i="14"/>
  <c r="C682" i="14"/>
  <c r="C683" i="14"/>
  <c r="C684" i="14"/>
  <c r="C685" i="14"/>
  <c r="C686" i="14"/>
  <c r="C687" i="14"/>
  <c r="C688" i="14"/>
  <c r="C689" i="14"/>
  <c r="C690" i="14"/>
  <c r="C691" i="14"/>
  <c r="C692" i="14"/>
  <c r="C693" i="14"/>
  <c r="C694" i="14"/>
  <c r="C695" i="14"/>
  <c r="C696" i="14"/>
  <c r="C697" i="14"/>
  <c r="C698" i="14"/>
  <c r="C699" i="14"/>
  <c r="C700" i="14"/>
  <c r="C701" i="14"/>
  <c r="C702" i="14"/>
  <c r="C703" i="14"/>
  <c r="C704" i="14"/>
  <c r="C705" i="14"/>
  <c r="C706" i="14"/>
  <c r="C707" i="14"/>
  <c r="C708" i="14"/>
  <c r="C709" i="14"/>
  <c r="C710" i="14"/>
  <c r="C711" i="14"/>
  <c r="C712" i="14"/>
  <c r="C713" i="14"/>
  <c r="C714" i="14"/>
  <c r="C715" i="14"/>
  <c r="C716" i="14"/>
  <c r="C717" i="14"/>
  <c r="C718" i="14"/>
  <c r="C719" i="14"/>
  <c r="C720" i="14"/>
  <c r="C721" i="14"/>
  <c r="C722" i="14"/>
  <c r="C723" i="14"/>
  <c r="C724" i="14"/>
  <c r="C725" i="14"/>
  <c r="C726" i="14"/>
  <c r="C727" i="14"/>
  <c r="C728" i="14"/>
  <c r="C729" i="14"/>
  <c r="C730" i="14"/>
  <c r="C731" i="14"/>
  <c r="C732" i="14"/>
  <c r="C733" i="14"/>
  <c r="C734" i="14"/>
  <c r="C735" i="14"/>
  <c r="C736" i="14"/>
  <c r="C737" i="14"/>
  <c r="C738" i="14"/>
  <c r="C739" i="14"/>
  <c r="C740" i="14"/>
  <c r="C741" i="14"/>
  <c r="C742" i="14"/>
  <c r="C743" i="14"/>
  <c r="C744" i="14"/>
  <c r="C745" i="14"/>
  <c r="C746" i="14"/>
  <c r="C747" i="14"/>
  <c r="C748" i="14"/>
  <c r="C749" i="14"/>
  <c r="C750" i="14"/>
  <c r="C751" i="14"/>
  <c r="C752" i="14"/>
  <c r="C753" i="14"/>
  <c r="C754" i="14"/>
  <c r="C755" i="14"/>
  <c r="C756" i="14"/>
  <c r="C757" i="14"/>
  <c r="C758" i="14"/>
  <c r="C759" i="14"/>
  <c r="C760" i="14"/>
  <c r="C761" i="14"/>
  <c r="C762" i="14"/>
  <c r="C763" i="14"/>
  <c r="C764" i="14"/>
  <c r="C765" i="14"/>
  <c r="C766" i="14"/>
  <c r="C767" i="14"/>
  <c r="C768" i="14"/>
  <c r="C769" i="14"/>
  <c r="C770" i="14"/>
  <c r="C771" i="14"/>
  <c r="C772" i="14"/>
  <c r="C773" i="14"/>
  <c r="C774" i="14"/>
  <c r="C775" i="14"/>
  <c r="C776" i="14"/>
  <c r="C777" i="14"/>
  <c r="C778" i="14"/>
  <c r="C779" i="14"/>
  <c r="C780" i="14"/>
  <c r="C781" i="14"/>
  <c r="C782" i="14"/>
  <c r="C783" i="14"/>
  <c r="C784" i="14"/>
  <c r="C785" i="14"/>
  <c r="C786" i="14"/>
  <c r="C787" i="14"/>
  <c r="C788" i="14"/>
  <c r="C789" i="14"/>
  <c r="C790" i="14"/>
  <c r="C791" i="14"/>
  <c r="C792" i="14"/>
  <c r="C793" i="14"/>
  <c r="C794" i="14"/>
  <c r="C795" i="14"/>
  <c r="C796" i="14"/>
  <c r="C797" i="14"/>
  <c r="C798" i="14"/>
  <c r="C799" i="14"/>
  <c r="C800" i="14"/>
  <c r="C801" i="14"/>
  <c r="C802" i="14"/>
  <c r="C803" i="14"/>
  <c r="C804" i="14"/>
  <c r="C805" i="14"/>
  <c r="C806" i="14"/>
  <c r="C807" i="14"/>
  <c r="C808" i="14"/>
  <c r="C809" i="14"/>
  <c r="C810" i="14"/>
  <c r="C811" i="14"/>
  <c r="C812" i="14"/>
  <c r="C813" i="14"/>
  <c r="C814" i="14"/>
  <c r="C815" i="14"/>
  <c r="C816" i="14"/>
  <c r="C817" i="14"/>
  <c r="C818" i="14"/>
  <c r="C819" i="14"/>
  <c r="C820" i="14"/>
  <c r="C821" i="14"/>
  <c r="C822" i="14"/>
  <c r="C823" i="14"/>
  <c r="C824" i="14"/>
  <c r="C825" i="14"/>
  <c r="C826" i="14"/>
  <c r="C827" i="14"/>
  <c r="C828" i="14"/>
  <c r="C829" i="14"/>
  <c r="C830" i="14"/>
  <c r="C831" i="14"/>
  <c r="C832" i="14"/>
  <c r="C833" i="14"/>
  <c r="C834" i="14"/>
  <c r="C835" i="14"/>
  <c r="C836" i="14"/>
  <c r="C837" i="14"/>
  <c r="C838" i="14"/>
  <c r="C839" i="14"/>
  <c r="C840" i="14"/>
  <c r="C841" i="14"/>
  <c r="C842" i="14"/>
  <c r="C843" i="14"/>
  <c r="C844" i="14"/>
  <c r="C845" i="14"/>
  <c r="C846" i="14"/>
  <c r="C847" i="14"/>
  <c r="C848" i="14"/>
  <c r="C849" i="14"/>
  <c r="C850" i="14"/>
  <c r="C851" i="14"/>
  <c r="C852" i="14"/>
  <c r="C853" i="14"/>
  <c r="C854" i="14"/>
  <c r="C855" i="14"/>
  <c r="C856" i="14"/>
  <c r="C857" i="14"/>
  <c r="C858" i="14"/>
  <c r="C859" i="14"/>
  <c r="C860" i="14"/>
  <c r="C861" i="14"/>
  <c r="C862" i="14"/>
  <c r="C863" i="14"/>
  <c r="C864" i="14"/>
  <c r="C865" i="14"/>
  <c r="C866" i="14"/>
  <c r="C867" i="14"/>
  <c r="C868" i="14"/>
  <c r="C869" i="14"/>
  <c r="C870" i="14"/>
  <c r="C871" i="14"/>
  <c r="C872" i="14"/>
  <c r="C873" i="14"/>
  <c r="C874" i="14"/>
  <c r="C875" i="14"/>
  <c r="C876" i="14"/>
  <c r="C877" i="14"/>
  <c r="C878" i="14"/>
  <c r="C879" i="14"/>
  <c r="C880" i="14"/>
  <c r="C881" i="14"/>
  <c r="C882" i="14"/>
  <c r="C883" i="14"/>
  <c r="C884" i="14"/>
  <c r="C885" i="14"/>
  <c r="C886" i="14"/>
  <c r="C887" i="14"/>
  <c r="C888" i="14"/>
  <c r="C889" i="14"/>
  <c r="C890" i="14"/>
  <c r="C891" i="14"/>
  <c r="C892" i="14"/>
  <c r="C893" i="14"/>
  <c r="C894" i="14"/>
  <c r="C895" i="14"/>
  <c r="C896" i="14"/>
  <c r="C897" i="14"/>
  <c r="C898" i="14"/>
  <c r="C899" i="14"/>
  <c r="C900" i="14"/>
  <c r="C901" i="14"/>
  <c r="C902" i="14"/>
  <c r="C903" i="14"/>
  <c r="C904" i="14"/>
  <c r="C905" i="14"/>
  <c r="C906" i="14"/>
  <c r="C907" i="14"/>
  <c r="C908" i="14"/>
  <c r="C909" i="14"/>
  <c r="C910" i="14"/>
  <c r="C911" i="14"/>
  <c r="C912" i="14"/>
  <c r="C913" i="14"/>
  <c r="C914" i="14"/>
  <c r="C915" i="14"/>
  <c r="C916" i="14"/>
  <c r="C917" i="14"/>
  <c r="C918" i="14"/>
  <c r="C919" i="14"/>
  <c r="C920" i="14"/>
  <c r="C921" i="14"/>
  <c r="C922" i="14"/>
  <c r="C923" i="14"/>
  <c r="C924" i="14"/>
  <c r="C925" i="14"/>
  <c r="C926" i="14"/>
  <c r="C927" i="14"/>
  <c r="C928" i="14"/>
  <c r="C929" i="14"/>
  <c r="C930" i="14"/>
  <c r="C931" i="14"/>
  <c r="C932" i="14"/>
  <c r="C933" i="14"/>
  <c r="C934" i="14"/>
  <c r="C935" i="14"/>
  <c r="C936" i="14"/>
  <c r="C937" i="14"/>
  <c r="C938" i="14"/>
  <c r="C939" i="14"/>
  <c r="C940" i="14"/>
  <c r="C941" i="14"/>
  <c r="C942" i="14"/>
  <c r="C943" i="14"/>
  <c r="C944" i="14"/>
  <c r="C945" i="14"/>
  <c r="C946" i="14"/>
  <c r="C947" i="14"/>
  <c r="C948" i="14"/>
  <c r="C949" i="14"/>
  <c r="C950" i="14"/>
  <c r="C951" i="14"/>
  <c r="C952" i="14"/>
  <c r="C953" i="14"/>
  <c r="C954" i="14"/>
  <c r="C955" i="14"/>
  <c r="C956" i="14"/>
  <c r="C957" i="14"/>
  <c r="C958" i="14"/>
  <c r="C959" i="14"/>
  <c r="C960" i="14"/>
  <c r="C961" i="14"/>
  <c r="C962" i="14"/>
  <c r="C963" i="14"/>
  <c r="C964" i="14"/>
  <c r="C965" i="14"/>
  <c r="C966" i="14"/>
  <c r="C967" i="14"/>
  <c r="C968" i="14"/>
  <c r="C969" i="14"/>
  <c r="C970" i="14"/>
  <c r="C971" i="14"/>
  <c r="C972" i="14"/>
  <c r="C973" i="14"/>
  <c r="C974" i="14"/>
  <c r="C975" i="14"/>
  <c r="C976" i="14"/>
  <c r="C977" i="14"/>
  <c r="C978" i="14"/>
  <c r="C979" i="14"/>
  <c r="C980" i="14"/>
  <c r="C981" i="14"/>
  <c r="C982" i="14"/>
  <c r="C983" i="14"/>
  <c r="C984" i="14"/>
  <c r="C985" i="14"/>
  <c r="C986" i="14"/>
  <c r="C987" i="14"/>
  <c r="C988" i="14"/>
  <c r="C989" i="14"/>
  <c r="C990" i="14"/>
  <c r="C991" i="14"/>
  <c r="C992" i="14"/>
  <c r="C993" i="14"/>
  <c r="C994" i="14"/>
  <c r="C995" i="14"/>
  <c r="C996" i="14"/>
  <c r="C997" i="14"/>
  <c r="C998" i="14"/>
  <c r="C999" i="14"/>
  <c r="C1000" i="14"/>
  <c r="C1001" i="14"/>
  <c r="C1002" i="14"/>
  <c r="C1003" i="14"/>
  <c r="C1004" i="14"/>
  <c r="C1005" i="14"/>
  <c r="C1006" i="14"/>
  <c r="C1007" i="14"/>
  <c r="C1008" i="14"/>
  <c r="C1009" i="14"/>
  <c r="C1010" i="14"/>
  <c r="C1011" i="14"/>
  <c r="C1012" i="14"/>
  <c r="C1013" i="14"/>
  <c r="C1014" i="14"/>
  <c r="C1015" i="14"/>
  <c r="C1016" i="14"/>
  <c r="C1017" i="14"/>
  <c r="C1018" i="14"/>
  <c r="C1019" i="14"/>
  <c r="C1020" i="14"/>
  <c r="C1021" i="14"/>
  <c r="C1022" i="14"/>
  <c r="C1023" i="14"/>
  <c r="C1024" i="14"/>
  <c r="C1025" i="14"/>
  <c r="C1026" i="14"/>
  <c r="C1027" i="14"/>
  <c r="C1028" i="14"/>
  <c r="C1029" i="14"/>
  <c r="C1030" i="14"/>
  <c r="C1031" i="14"/>
  <c r="C1032" i="14"/>
  <c r="C1033" i="14"/>
  <c r="C1034" i="14"/>
  <c r="C1035" i="14"/>
  <c r="C1036" i="14"/>
  <c r="C1037" i="14"/>
  <c r="C1038" i="14"/>
  <c r="C1039" i="14"/>
  <c r="C1040" i="14"/>
  <c r="C1041" i="14"/>
  <c r="C1042" i="14"/>
  <c r="C1043" i="14"/>
  <c r="C1044" i="14"/>
  <c r="C1045" i="14"/>
  <c r="C1046" i="14"/>
  <c r="C1047" i="14"/>
  <c r="C1048" i="14"/>
  <c r="C1049" i="14"/>
  <c r="C1050" i="14"/>
  <c r="C1051" i="14"/>
  <c r="C1052" i="14"/>
  <c r="C1053" i="14"/>
  <c r="C1054" i="14"/>
  <c r="C1055" i="14"/>
  <c r="C1056" i="14"/>
  <c r="C1057" i="14"/>
  <c r="C1058" i="14"/>
  <c r="C1059" i="14"/>
  <c r="C1060" i="14"/>
  <c r="C1061" i="14"/>
  <c r="C1062" i="14"/>
  <c r="C1063" i="14"/>
  <c r="C1064" i="14"/>
  <c r="C1065" i="14"/>
  <c r="C1066" i="14"/>
  <c r="C1067" i="14"/>
  <c r="C1068" i="14"/>
  <c r="C1069" i="14"/>
  <c r="C1070" i="14"/>
  <c r="C1071" i="14"/>
  <c r="C1072" i="14"/>
  <c r="C1073" i="14"/>
  <c r="C1074" i="14"/>
  <c r="C1075" i="14"/>
  <c r="C1076" i="14"/>
  <c r="C1077" i="14"/>
  <c r="C1078" i="14"/>
  <c r="C1079" i="14"/>
  <c r="C1080" i="14"/>
  <c r="C1081" i="14"/>
  <c r="C1082" i="14"/>
  <c r="C1083" i="14"/>
  <c r="C1084" i="14"/>
  <c r="C1085" i="14"/>
  <c r="C1086" i="14"/>
  <c r="C1087" i="14"/>
  <c r="C1088" i="14"/>
  <c r="C1089" i="14"/>
  <c r="C1090" i="14"/>
  <c r="C1091" i="14"/>
  <c r="C1092" i="14"/>
  <c r="C1093" i="14"/>
  <c r="C1094" i="14"/>
  <c r="C1095" i="14"/>
  <c r="C1096" i="14"/>
  <c r="C1097" i="14"/>
  <c r="C1098" i="14"/>
  <c r="C1099" i="14"/>
  <c r="C1100" i="14"/>
  <c r="C1101" i="14"/>
  <c r="C1102" i="14"/>
  <c r="C1103" i="14"/>
  <c r="C1104" i="14"/>
  <c r="C1105" i="14"/>
  <c r="C1106" i="14"/>
  <c r="C1107" i="14"/>
  <c r="C1108" i="14"/>
  <c r="C1109" i="14"/>
  <c r="C1110" i="14"/>
  <c r="C1111" i="14"/>
  <c r="C1112" i="14"/>
  <c r="C1113" i="14"/>
  <c r="C1114" i="14"/>
  <c r="C1115" i="14"/>
  <c r="C1116" i="14"/>
  <c r="C1117" i="14"/>
  <c r="C1118" i="14"/>
  <c r="C1119" i="14"/>
  <c r="C1120" i="14"/>
  <c r="C1121" i="14"/>
  <c r="C1122" i="14"/>
  <c r="C1123" i="14"/>
  <c r="C1124" i="14"/>
  <c r="C1125" i="14"/>
  <c r="C1126" i="14"/>
  <c r="C1127" i="14"/>
  <c r="C1128" i="14"/>
  <c r="C1129" i="14"/>
  <c r="C1130" i="14"/>
  <c r="C1131" i="14"/>
  <c r="C1132" i="14"/>
  <c r="C1133" i="14"/>
  <c r="C1134" i="14"/>
  <c r="C1135" i="14"/>
  <c r="C1136" i="14"/>
  <c r="C1137" i="14"/>
  <c r="C1138" i="14"/>
  <c r="C1139" i="14"/>
  <c r="C1140" i="14"/>
  <c r="C1141" i="14"/>
  <c r="C1142" i="14"/>
  <c r="C1143" i="14"/>
  <c r="C1144" i="14"/>
  <c r="C1145" i="14"/>
  <c r="C1146" i="14"/>
  <c r="C1147" i="14"/>
  <c r="C1148" i="14"/>
  <c r="C1149" i="14"/>
  <c r="C1150" i="14"/>
  <c r="C1151" i="14"/>
  <c r="C1152" i="14"/>
  <c r="C1153" i="14"/>
  <c r="C1154" i="14"/>
  <c r="C1155" i="14"/>
  <c r="C1156" i="14"/>
  <c r="C1157" i="14"/>
  <c r="C1158" i="14"/>
  <c r="C1159" i="14"/>
  <c r="C1160" i="14"/>
  <c r="C1161" i="14"/>
  <c r="C1162" i="14"/>
  <c r="C1163" i="14"/>
  <c r="C1164" i="14"/>
  <c r="C1165" i="14"/>
  <c r="C1166" i="14"/>
  <c r="C1167" i="14"/>
  <c r="C1168" i="14"/>
  <c r="C1169" i="14"/>
  <c r="C1170" i="14"/>
  <c r="C1171" i="14"/>
  <c r="C1172" i="14"/>
  <c r="C1173" i="14"/>
  <c r="C1174" i="14"/>
  <c r="C1175" i="14"/>
  <c r="C1176" i="14"/>
  <c r="C1177" i="14"/>
  <c r="C1178" i="14"/>
  <c r="C1179" i="14"/>
  <c r="C1180" i="14"/>
  <c r="C1181" i="14"/>
  <c r="C1182" i="14"/>
  <c r="C1183" i="14"/>
  <c r="C1184" i="14"/>
  <c r="C1185" i="14"/>
  <c r="C1186" i="14"/>
  <c r="C1187" i="14"/>
  <c r="C1188" i="14"/>
  <c r="C1189" i="14"/>
  <c r="C1190" i="14"/>
  <c r="C1191" i="14"/>
  <c r="C1192" i="14"/>
  <c r="C1193" i="14"/>
  <c r="C1194" i="14"/>
  <c r="C1195" i="14"/>
  <c r="C1196" i="14"/>
  <c r="C1197" i="14"/>
  <c r="C1198" i="14"/>
  <c r="C1199" i="14"/>
  <c r="C1200" i="14"/>
  <c r="C1201" i="14"/>
  <c r="C1202" i="14"/>
  <c r="C1203" i="14"/>
  <c r="C1204" i="14"/>
  <c r="C1205" i="14"/>
  <c r="C1206" i="14"/>
  <c r="C1207" i="14"/>
  <c r="C1208" i="14"/>
  <c r="C1209" i="14"/>
  <c r="C1210" i="14"/>
  <c r="C1211" i="14"/>
  <c r="C1212" i="14"/>
  <c r="C1213" i="14"/>
  <c r="C1214" i="14"/>
  <c r="C1215" i="14"/>
  <c r="C1216" i="14"/>
  <c r="C1217" i="14"/>
  <c r="C1218" i="14"/>
  <c r="C1219" i="14"/>
  <c r="C1220" i="14"/>
  <c r="C1221" i="14"/>
  <c r="C1222" i="14"/>
  <c r="C1223" i="14"/>
  <c r="C1224" i="14"/>
  <c r="C1225" i="14"/>
  <c r="C1226" i="14"/>
  <c r="C1227" i="14"/>
  <c r="C1228" i="14"/>
  <c r="C1229" i="14"/>
  <c r="C1230" i="14"/>
  <c r="C1231" i="14"/>
  <c r="C1232" i="14"/>
  <c r="C1233" i="14"/>
  <c r="C1234" i="14"/>
  <c r="C1235" i="14"/>
  <c r="C1236" i="14"/>
  <c r="C1237" i="14"/>
  <c r="C1238" i="14"/>
  <c r="C1239" i="14"/>
  <c r="C1240" i="14"/>
  <c r="C1241" i="14"/>
  <c r="C1242" i="14"/>
  <c r="C1243" i="14"/>
  <c r="C1244" i="14"/>
  <c r="C1245" i="14"/>
  <c r="C1246" i="14"/>
  <c r="C1247" i="14"/>
  <c r="C1248" i="14"/>
  <c r="C1249" i="14"/>
  <c r="C1250" i="14"/>
  <c r="C1251" i="14"/>
  <c r="C1252" i="14"/>
  <c r="C1253" i="14"/>
  <c r="C1254" i="14"/>
  <c r="C1255" i="14"/>
  <c r="C1256" i="14"/>
  <c r="C1257" i="14"/>
  <c r="C1258" i="14"/>
  <c r="C1259" i="14"/>
  <c r="C1260" i="14"/>
  <c r="C1261" i="14"/>
  <c r="C1262" i="14"/>
  <c r="C1263" i="14"/>
  <c r="C1264" i="14"/>
  <c r="C1265" i="14"/>
  <c r="C1266" i="14"/>
  <c r="C1267" i="14"/>
  <c r="C1268" i="14"/>
  <c r="C1269" i="14"/>
  <c r="C1270" i="14"/>
  <c r="C1271" i="14"/>
  <c r="C1272" i="14"/>
  <c r="C1273" i="14"/>
  <c r="C1274" i="14"/>
  <c r="C1275" i="14"/>
  <c r="C1276" i="14"/>
  <c r="C1277" i="14"/>
  <c r="C1278" i="14"/>
  <c r="C1279" i="14"/>
  <c r="C1280" i="14"/>
  <c r="C1281" i="14"/>
  <c r="C1282" i="14"/>
  <c r="C1283" i="14"/>
  <c r="C1284" i="14"/>
  <c r="C1285" i="14"/>
  <c r="C1286" i="14"/>
  <c r="C1287" i="14"/>
  <c r="C1288" i="14"/>
  <c r="C1289" i="14"/>
  <c r="C1290" i="14"/>
  <c r="C1291" i="14"/>
  <c r="C1292" i="14"/>
  <c r="C1293" i="14"/>
  <c r="C1294" i="14"/>
  <c r="C1295" i="14"/>
  <c r="C1296" i="14"/>
  <c r="C1297" i="14"/>
  <c r="C1298" i="14"/>
  <c r="C1299" i="14"/>
  <c r="C1300" i="14"/>
  <c r="C1301" i="14"/>
  <c r="C1302" i="14"/>
  <c r="C1303" i="14"/>
  <c r="C1304" i="14"/>
  <c r="C1305" i="14"/>
  <c r="C1306" i="14"/>
  <c r="C1307" i="14"/>
  <c r="C1308" i="14"/>
  <c r="C1309" i="14"/>
  <c r="C1310" i="14"/>
  <c r="C1311" i="14"/>
  <c r="C1312" i="14"/>
  <c r="C1313" i="14"/>
  <c r="C1314" i="14"/>
  <c r="C1315" i="14"/>
  <c r="C1316" i="14"/>
  <c r="C1317" i="14"/>
  <c r="C1318" i="14"/>
  <c r="C1319" i="14"/>
  <c r="C1320" i="14"/>
  <c r="C1321" i="14"/>
  <c r="C1322" i="14"/>
  <c r="C1323" i="14"/>
  <c r="C1324" i="14"/>
  <c r="C1325" i="14"/>
  <c r="C1326" i="14"/>
  <c r="C1327" i="14"/>
  <c r="C1328" i="14"/>
  <c r="C1329" i="14"/>
  <c r="C1330" i="14"/>
  <c r="C1331" i="14"/>
  <c r="C1332" i="14"/>
  <c r="C1333" i="14"/>
  <c r="C1334" i="14"/>
  <c r="C1335" i="14"/>
  <c r="C1336" i="14"/>
  <c r="C1337" i="14"/>
  <c r="C1338" i="14"/>
  <c r="C1339" i="14"/>
  <c r="C1340" i="14"/>
  <c r="C1341" i="14"/>
  <c r="C1342" i="14"/>
  <c r="C1343" i="14"/>
  <c r="C1344" i="14"/>
  <c r="C1345" i="14"/>
  <c r="C1346" i="14"/>
  <c r="C1347" i="14"/>
  <c r="C1348" i="14"/>
  <c r="C1349" i="14"/>
  <c r="C1350" i="14"/>
  <c r="C1351" i="14"/>
  <c r="C1352" i="14"/>
  <c r="C1353" i="14"/>
  <c r="C1354" i="14"/>
  <c r="C1355" i="14"/>
  <c r="C1356" i="14"/>
  <c r="C1357" i="14"/>
  <c r="C1358" i="14"/>
  <c r="C1359" i="14"/>
  <c r="C1360" i="14"/>
  <c r="C1361" i="14"/>
  <c r="C1362" i="14"/>
  <c r="C1363" i="14"/>
  <c r="C1364" i="14"/>
  <c r="C1365" i="14"/>
  <c r="C1366" i="14"/>
  <c r="C1367" i="14"/>
  <c r="C1368" i="14"/>
  <c r="C1369" i="14"/>
  <c r="C1370" i="14"/>
  <c r="C1371" i="14"/>
  <c r="C1372" i="14"/>
  <c r="C1373" i="14"/>
  <c r="C1374" i="14"/>
  <c r="C1375" i="14"/>
  <c r="C1376" i="14"/>
  <c r="C1377" i="14"/>
  <c r="C1378" i="14"/>
  <c r="C1379" i="14"/>
  <c r="C1380" i="14"/>
  <c r="C1381" i="14"/>
  <c r="C1382" i="14"/>
  <c r="C1383" i="14"/>
  <c r="C1384" i="14"/>
  <c r="C1385" i="14"/>
  <c r="C1386" i="14"/>
  <c r="C1387" i="14"/>
  <c r="C1388" i="14"/>
  <c r="C1389" i="14"/>
  <c r="C1390" i="14"/>
  <c r="C1391" i="14"/>
  <c r="C1392" i="14"/>
  <c r="C1393" i="14"/>
  <c r="C1394" i="14"/>
  <c r="C1395" i="14"/>
  <c r="C1396" i="14"/>
  <c r="C1397" i="14"/>
  <c r="C1398" i="14"/>
  <c r="C1399" i="14"/>
  <c r="C1400" i="14"/>
  <c r="C1401" i="14"/>
  <c r="C1402" i="14"/>
  <c r="C1403" i="14"/>
  <c r="C1404" i="14"/>
  <c r="C1405" i="14"/>
  <c r="C1406" i="14"/>
  <c r="C1407" i="14"/>
  <c r="C1408" i="14"/>
  <c r="C1409" i="14"/>
  <c r="C1410" i="14"/>
  <c r="C1411" i="14"/>
  <c r="C1412" i="14"/>
  <c r="C1413" i="14"/>
  <c r="C1414" i="14"/>
  <c r="C1415" i="14"/>
  <c r="C1416" i="14"/>
  <c r="C1417" i="14"/>
  <c r="C1418" i="14"/>
  <c r="C1419" i="14"/>
  <c r="C1420" i="14"/>
  <c r="C1421" i="14"/>
  <c r="C1422" i="14"/>
  <c r="C1423" i="14"/>
  <c r="C1424" i="14"/>
  <c r="C1425" i="14"/>
  <c r="C1426" i="14"/>
  <c r="C1427" i="14"/>
  <c r="C1428" i="14"/>
  <c r="C1429" i="14"/>
  <c r="C1430" i="14"/>
  <c r="C1431" i="14"/>
  <c r="C1432" i="14"/>
  <c r="C1433" i="14"/>
  <c r="C1434" i="14"/>
  <c r="C1435" i="14"/>
  <c r="C1436" i="14"/>
  <c r="C1437" i="14"/>
  <c r="C1438" i="14"/>
  <c r="C1439" i="14"/>
  <c r="C1440" i="14"/>
  <c r="C1441" i="14"/>
  <c r="C1442" i="14"/>
  <c r="C1443" i="14"/>
  <c r="C1444" i="14"/>
  <c r="C1445" i="14"/>
  <c r="C1446" i="14"/>
  <c r="C1447" i="14"/>
  <c r="C1448" i="14"/>
  <c r="C1449" i="14"/>
  <c r="C1450" i="14"/>
  <c r="C1451" i="14"/>
  <c r="C1452" i="14"/>
  <c r="C1453" i="14"/>
  <c r="C1454" i="14"/>
  <c r="C1455" i="14"/>
  <c r="C1456" i="14"/>
  <c r="C1457" i="14"/>
  <c r="C1458" i="14"/>
  <c r="C1459" i="14"/>
  <c r="C1460" i="14"/>
  <c r="C1461" i="14"/>
  <c r="C1462" i="14"/>
  <c r="C1463" i="14"/>
  <c r="C1464" i="14"/>
  <c r="C1465" i="14"/>
  <c r="C1466" i="14"/>
  <c r="C1467" i="14"/>
  <c r="C1468" i="14"/>
  <c r="C1469" i="14"/>
  <c r="C1470" i="14"/>
  <c r="C1471" i="14"/>
  <c r="C1472" i="14"/>
  <c r="C1473" i="14"/>
  <c r="C1474" i="14"/>
  <c r="C1475" i="14"/>
  <c r="C1476" i="14"/>
  <c r="C1477" i="14"/>
  <c r="C1478" i="14"/>
  <c r="C1479" i="14"/>
  <c r="C1480" i="14"/>
  <c r="C1481" i="14"/>
  <c r="C1482" i="14"/>
  <c r="C1483" i="14"/>
  <c r="C1484" i="14"/>
  <c r="C1485" i="14"/>
  <c r="C1486" i="14"/>
  <c r="C1487" i="14"/>
  <c r="C1488" i="14"/>
  <c r="C1489" i="14"/>
  <c r="C1490" i="14"/>
  <c r="C1491" i="14"/>
  <c r="C1492" i="14"/>
  <c r="C1493" i="14"/>
  <c r="C1494" i="14"/>
  <c r="C1495" i="14"/>
  <c r="C1496" i="14"/>
  <c r="C1497" i="14"/>
  <c r="C1498" i="14"/>
  <c r="C1499" i="14"/>
  <c r="C1500" i="14"/>
  <c r="C1501" i="14"/>
  <c r="C1502" i="14"/>
  <c r="C1503" i="14"/>
  <c r="C1504" i="14"/>
  <c r="C1505" i="14"/>
  <c r="C1506" i="14"/>
  <c r="C1507" i="14"/>
  <c r="C1508" i="14"/>
  <c r="C1509" i="14"/>
  <c r="C1510" i="14"/>
  <c r="C1511" i="14"/>
  <c r="C1512" i="14"/>
  <c r="C1513" i="14"/>
  <c r="C1514" i="14"/>
  <c r="C1515" i="14"/>
  <c r="C1516" i="14"/>
  <c r="C1517" i="14"/>
  <c r="C1518" i="14"/>
  <c r="C1519" i="14"/>
  <c r="C1520" i="14"/>
  <c r="C1521" i="14"/>
  <c r="C1522" i="14"/>
  <c r="C1523" i="14"/>
  <c r="C1524" i="14"/>
  <c r="C1525" i="14"/>
  <c r="C1526" i="14"/>
  <c r="C1527" i="14"/>
  <c r="C1528" i="14"/>
  <c r="C1529" i="14"/>
  <c r="C1530" i="14"/>
  <c r="C1531" i="14"/>
  <c r="C1532" i="14"/>
  <c r="C1533" i="14"/>
  <c r="C1534" i="14"/>
  <c r="C1535" i="14"/>
  <c r="C1536" i="14"/>
  <c r="C1537" i="14"/>
  <c r="C1538" i="14"/>
  <c r="C1539" i="14"/>
  <c r="C1540" i="14"/>
  <c r="C1541" i="14"/>
  <c r="C1542" i="14"/>
  <c r="C1543" i="14"/>
  <c r="C1544" i="14"/>
  <c r="C1545" i="14"/>
  <c r="C1546" i="14"/>
  <c r="C1547" i="14"/>
  <c r="C1548" i="14"/>
  <c r="C1549" i="14"/>
  <c r="C1550" i="14"/>
  <c r="C1551" i="14"/>
  <c r="C1552" i="14"/>
  <c r="C1553" i="14"/>
  <c r="C1554" i="14"/>
  <c r="C1555" i="14"/>
  <c r="C1556" i="14"/>
  <c r="C1557" i="14"/>
  <c r="C1558" i="14"/>
  <c r="C1559" i="14"/>
  <c r="C1560" i="14"/>
  <c r="C1561" i="14"/>
  <c r="C1562" i="14"/>
  <c r="C1563" i="14"/>
  <c r="C1564" i="14"/>
  <c r="C1565" i="14"/>
  <c r="C1566" i="14"/>
  <c r="C1567" i="14"/>
  <c r="C1568" i="14"/>
  <c r="C1569" i="14"/>
  <c r="C1570" i="14"/>
  <c r="C1571" i="14"/>
  <c r="C1572" i="14"/>
  <c r="C1573" i="14"/>
  <c r="C1574" i="14"/>
  <c r="C1575" i="14"/>
  <c r="C1576" i="14"/>
  <c r="C1577" i="14"/>
  <c r="C1578" i="14"/>
  <c r="C1579" i="14"/>
  <c r="C1580" i="14"/>
  <c r="C1581" i="14"/>
  <c r="C1582" i="14"/>
  <c r="C1583" i="14"/>
  <c r="C1584" i="14"/>
  <c r="C1585" i="14"/>
  <c r="C1586" i="14"/>
  <c r="C1587" i="14"/>
  <c r="C1588" i="14"/>
  <c r="C1589" i="14"/>
  <c r="C1590" i="14"/>
  <c r="C1591" i="14"/>
  <c r="C1592" i="14"/>
  <c r="C1593" i="14"/>
  <c r="C1594" i="14"/>
  <c r="C1595" i="14"/>
  <c r="C1596" i="14"/>
  <c r="C1597" i="14"/>
  <c r="C1598" i="14"/>
  <c r="C1599" i="14"/>
  <c r="C1600" i="14"/>
  <c r="C1601" i="14"/>
  <c r="C1602" i="14"/>
  <c r="C1603" i="14"/>
  <c r="C1604" i="14"/>
  <c r="C1605" i="14"/>
  <c r="C1606" i="14"/>
  <c r="C1607" i="14"/>
  <c r="C1608" i="14"/>
  <c r="C1609" i="14"/>
  <c r="C1610" i="14"/>
  <c r="C1611" i="14"/>
  <c r="C1612" i="14"/>
  <c r="C1613" i="14"/>
  <c r="C1614" i="14"/>
  <c r="C1615" i="14"/>
  <c r="C1616" i="14"/>
  <c r="C1617" i="14"/>
  <c r="C1618" i="14"/>
  <c r="C1619" i="14"/>
  <c r="C1620" i="14"/>
  <c r="C1621" i="14"/>
  <c r="C1622" i="14"/>
  <c r="C1623" i="14"/>
  <c r="C1624" i="14"/>
  <c r="C1625" i="14"/>
  <c r="C1626" i="14"/>
  <c r="C1627" i="14"/>
  <c r="C1628" i="14"/>
  <c r="C1629" i="14"/>
  <c r="C1630" i="14"/>
  <c r="C1631" i="14"/>
  <c r="C1632" i="14"/>
  <c r="C1633" i="14"/>
  <c r="C1634" i="14"/>
  <c r="C1635" i="14"/>
  <c r="C1636" i="14"/>
  <c r="C1637" i="14"/>
  <c r="C1638" i="14"/>
  <c r="C1639" i="14"/>
  <c r="C1640" i="14"/>
  <c r="C1641" i="14"/>
  <c r="C1642" i="14"/>
  <c r="C1643" i="14"/>
  <c r="C1644" i="14"/>
  <c r="C1645" i="14"/>
  <c r="C1646" i="14"/>
  <c r="C1647" i="14"/>
  <c r="C1648" i="14"/>
  <c r="C1649" i="14"/>
  <c r="C1650" i="14"/>
  <c r="C1651" i="14"/>
  <c r="C1652" i="14"/>
  <c r="C1653" i="14"/>
  <c r="C1654" i="14"/>
  <c r="C1655" i="14"/>
  <c r="C1656" i="14"/>
  <c r="C1657" i="14"/>
  <c r="C1658" i="14"/>
  <c r="C1659" i="14"/>
  <c r="C1660" i="14"/>
  <c r="C1661" i="14"/>
  <c r="C1662" i="14"/>
  <c r="C1663" i="14"/>
  <c r="C1664" i="14"/>
  <c r="C1665" i="14"/>
  <c r="C1666" i="14"/>
  <c r="C1667" i="14"/>
  <c r="C1668" i="14"/>
  <c r="C1669" i="14"/>
  <c r="C1670" i="14"/>
  <c r="C1671" i="14"/>
  <c r="C1672" i="14"/>
  <c r="C1673" i="14"/>
  <c r="C1674" i="14"/>
  <c r="C1675" i="14"/>
  <c r="C1676" i="14"/>
  <c r="C1677" i="14"/>
  <c r="C1678" i="14"/>
  <c r="C1679" i="14"/>
  <c r="C1680" i="14"/>
  <c r="C1681" i="14"/>
  <c r="C1682" i="14"/>
  <c r="C1683" i="14"/>
  <c r="C1684" i="14"/>
  <c r="C1685" i="14"/>
  <c r="C1686" i="14"/>
  <c r="C1687" i="14"/>
  <c r="C1688" i="14"/>
  <c r="C1689" i="14"/>
  <c r="C1690" i="14"/>
  <c r="C1691" i="14"/>
  <c r="C1692" i="14"/>
  <c r="C1693" i="14"/>
  <c r="C1694" i="14"/>
  <c r="C1695" i="14"/>
  <c r="C1696" i="14"/>
  <c r="C1697" i="14"/>
  <c r="C1698" i="14"/>
  <c r="C1699" i="14"/>
  <c r="C1700" i="14"/>
  <c r="C1701" i="14"/>
  <c r="C1702" i="14"/>
  <c r="C1703" i="14"/>
  <c r="C1704" i="14"/>
  <c r="C1705" i="14"/>
  <c r="C1706" i="14"/>
  <c r="C1707" i="14"/>
  <c r="C1708" i="14"/>
  <c r="C1709" i="14"/>
  <c r="C1710" i="14"/>
  <c r="C1711" i="14"/>
  <c r="C1712" i="14"/>
  <c r="C1713" i="14"/>
  <c r="C1714" i="14"/>
  <c r="C1715" i="14"/>
  <c r="C1716" i="14"/>
  <c r="C1717" i="14"/>
  <c r="C1718" i="14"/>
  <c r="C1719" i="14"/>
  <c r="C1720" i="14"/>
  <c r="C1721" i="14"/>
  <c r="C1722" i="14"/>
  <c r="C1723" i="14"/>
  <c r="C1724" i="14"/>
  <c r="C1725" i="14"/>
  <c r="C1726" i="14"/>
  <c r="C1727" i="14"/>
  <c r="C1728" i="14"/>
  <c r="C1729" i="14"/>
  <c r="C1730" i="14"/>
  <c r="C1731" i="14"/>
  <c r="C1732" i="14"/>
  <c r="C1733" i="14"/>
  <c r="C1734" i="14"/>
  <c r="C1735" i="14"/>
  <c r="C1736" i="14"/>
  <c r="C1737" i="14"/>
  <c r="C1738" i="14"/>
  <c r="C1739" i="14"/>
  <c r="C1740" i="14"/>
  <c r="C1741" i="14"/>
  <c r="C1742" i="14"/>
  <c r="C1743" i="14"/>
  <c r="C1744" i="14"/>
  <c r="C1745" i="14"/>
  <c r="C1746" i="14"/>
  <c r="C1747" i="14"/>
  <c r="C1748" i="14"/>
  <c r="C1749" i="14"/>
  <c r="C1750" i="14"/>
  <c r="C1751" i="14"/>
  <c r="C1752" i="14"/>
  <c r="C1753" i="14"/>
  <c r="C1754" i="14"/>
  <c r="C1755" i="14"/>
  <c r="C1756" i="14"/>
  <c r="C1757" i="14"/>
  <c r="C1758" i="14"/>
  <c r="C1759" i="14"/>
  <c r="C1760" i="14"/>
  <c r="C1761" i="14"/>
  <c r="C1762" i="14"/>
  <c r="C1763" i="14"/>
  <c r="C1764" i="14"/>
  <c r="C1765" i="14"/>
  <c r="C1766" i="14"/>
  <c r="C1767" i="14"/>
  <c r="C1768" i="14"/>
  <c r="C1769" i="14"/>
  <c r="C1770" i="14"/>
  <c r="C1771" i="14"/>
  <c r="C1772" i="14"/>
  <c r="C1773" i="14"/>
  <c r="C1774" i="14"/>
  <c r="C1775" i="14"/>
  <c r="C1776" i="14"/>
  <c r="C1777" i="14"/>
  <c r="C1778" i="14"/>
  <c r="C1779" i="14"/>
  <c r="C1780" i="14"/>
  <c r="C1781" i="14"/>
  <c r="C1782" i="14"/>
  <c r="C1783" i="14"/>
  <c r="C1784" i="14"/>
  <c r="C1785" i="14"/>
  <c r="C1786" i="14"/>
  <c r="C1787" i="14"/>
  <c r="C1788" i="14"/>
  <c r="C1789" i="14"/>
  <c r="C1790" i="14"/>
  <c r="C1791" i="14"/>
  <c r="C1792" i="14"/>
  <c r="C1793" i="14"/>
  <c r="C1794" i="14"/>
  <c r="C1795" i="14"/>
  <c r="C1796" i="14"/>
  <c r="C1797" i="14"/>
  <c r="C1798" i="14"/>
  <c r="C1799" i="14"/>
  <c r="C1800" i="14"/>
  <c r="C1801" i="14"/>
  <c r="C1802" i="14"/>
  <c r="C1803" i="14"/>
  <c r="C1804" i="14"/>
  <c r="C1805" i="14"/>
  <c r="C1806" i="14"/>
  <c r="C1807" i="14"/>
  <c r="C1808" i="14"/>
  <c r="C1809" i="14"/>
  <c r="C1810" i="14"/>
  <c r="C1811" i="14"/>
  <c r="C1812" i="14"/>
  <c r="C1813" i="14"/>
  <c r="C1814" i="14"/>
  <c r="C1815" i="14"/>
  <c r="C1816" i="14"/>
  <c r="C1817" i="14"/>
  <c r="C1818" i="14"/>
  <c r="C1819" i="14"/>
  <c r="C1820" i="14"/>
  <c r="C1821" i="14"/>
  <c r="C1822" i="14"/>
  <c r="C1823" i="14"/>
  <c r="C1824" i="14"/>
  <c r="C1825" i="14"/>
  <c r="C1826" i="14"/>
  <c r="C1827" i="14"/>
  <c r="C1828" i="14"/>
  <c r="C1829" i="14"/>
  <c r="C1830" i="14"/>
  <c r="C1831" i="14"/>
  <c r="C1832" i="14"/>
  <c r="C1833" i="14"/>
  <c r="C1834" i="14"/>
  <c r="C1835" i="14"/>
  <c r="C1836" i="14"/>
  <c r="C1837" i="14"/>
  <c r="C1838" i="14"/>
  <c r="C1839" i="14"/>
  <c r="C1840" i="14"/>
  <c r="C1841" i="14"/>
  <c r="C1842" i="14"/>
  <c r="C1843" i="14"/>
  <c r="C1844" i="14"/>
  <c r="C1845" i="14"/>
  <c r="C1846" i="14"/>
  <c r="C1847" i="14"/>
  <c r="C1848" i="14"/>
  <c r="C1849" i="14"/>
  <c r="C1850" i="14"/>
  <c r="C1851" i="14"/>
  <c r="C1852" i="14"/>
  <c r="C1853" i="14"/>
  <c r="C1854" i="14"/>
  <c r="C1855" i="14"/>
  <c r="C1856" i="14"/>
  <c r="C1857" i="14"/>
  <c r="C1858" i="14"/>
  <c r="C1859" i="14"/>
  <c r="C1860" i="14"/>
  <c r="C1861" i="14"/>
  <c r="C1862" i="14"/>
  <c r="C1863" i="14"/>
  <c r="C1864" i="14"/>
  <c r="C1865" i="14"/>
  <c r="C1866" i="14"/>
  <c r="C1867" i="14"/>
  <c r="C1868" i="14"/>
  <c r="C1869" i="14"/>
  <c r="C1870" i="14"/>
  <c r="C1871" i="14"/>
  <c r="C1872" i="14"/>
  <c r="C1873" i="14"/>
  <c r="C1874" i="14"/>
  <c r="C1875" i="14"/>
  <c r="C1876" i="14"/>
  <c r="C1877" i="14"/>
  <c r="C1878" i="14"/>
  <c r="C1879" i="14"/>
  <c r="C1880" i="14"/>
  <c r="C1881" i="14"/>
  <c r="C1882" i="14"/>
  <c r="C1883" i="14"/>
  <c r="C1884" i="14"/>
  <c r="C1885" i="14"/>
  <c r="C1886" i="14"/>
  <c r="C1887" i="14"/>
  <c r="C1888" i="14"/>
  <c r="C1889" i="14"/>
  <c r="C1890" i="14"/>
  <c r="C1891" i="14"/>
  <c r="C1892" i="14"/>
  <c r="C1893" i="14"/>
  <c r="C1894" i="14"/>
  <c r="C1895" i="14"/>
  <c r="C1896" i="14"/>
  <c r="C1897" i="14"/>
  <c r="C1898" i="14"/>
  <c r="C1899" i="14"/>
  <c r="C1900" i="14"/>
  <c r="C1901" i="14"/>
  <c r="C1902" i="14"/>
  <c r="C1903" i="14"/>
  <c r="C1904" i="14"/>
  <c r="C1905" i="14"/>
  <c r="C1906" i="14"/>
  <c r="C1907" i="14"/>
  <c r="C1908" i="14"/>
  <c r="C1909" i="14"/>
  <c r="C1910" i="14"/>
  <c r="C1911" i="14"/>
  <c r="C1912" i="14"/>
  <c r="C1913" i="14"/>
  <c r="C1914" i="14"/>
  <c r="C1915" i="14"/>
  <c r="C1916" i="14"/>
  <c r="C1917" i="14"/>
  <c r="C1918" i="14"/>
  <c r="C1919" i="14"/>
  <c r="C1920" i="14"/>
  <c r="C1921" i="14"/>
  <c r="C1922" i="14"/>
  <c r="C1923" i="14"/>
  <c r="C1924" i="14"/>
  <c r="C1925" i="14"/>
  <c r="C1926" i="14"/>
  <c r="C1927" i="14"/>
  <c r="C1928" i="14"/>
  <c r="C1929" i="14"/>
  <c r="C1930" i="14"/>
  <c r="C1931" i="14"/>
  <c r="C1932" i="14"/>
  <c r="C1933" i="14"/>
  <c r="C1934" i="14"/>
  <c r="C1935" i="14"/>
  <c r="C1936" i="14"/>
  <c r="C1937" i="14"/>
  <c r="C1938" i="14"/>
  <c r="C1939" i="14"/>
  <c r="C1940" i="14"/>
  <c r="C1941" i="14"/>
  <c r="C1942" i="14"/>
  <c r="C1943" i="14"/>
  <c r="C1944" i="14"/>
  <c r="C1945" i="14"/>
  <c r="C1946" i="14"/>
  <c r="C1947" i="14"/>
  <c r="C1948" i="14"/>
  <c r="C1949" i="14"/>
  <c r="C1950" i="14"/>
  <c r="C1951" i="14"/>
  <c r="C1952" i="14"/>
  <c r="C1953" i="14"/>
  <c r="C1954" i="14"/>
  <c r="C1955" i="14"/>
  <c r="C1956" i="14"/>
  <c r="C1957" i="14"/>
  <c r="C1958" i="14"/>
  <c r="C1959" i="14"/>
  <c r="C1960" i="14"/>
  <c r="C1961" i="14"/>
  <c r="C1962" i="14"/>
  <c r="C1963" i="14"/>
  <c r="C1964" i="14"/>
  <c r="C1965" i="14"/>
  <c r="C1966" i="14"/>
  <c r="C1967" i="14"/>
  <c r="C1968" i="14"/>
  <c r="C1969" i="14"/>
  <c r="C1970" i="14"/>
  <c r="C1971" i="14"/>
  <c r="C1972" i="14"/>
  <c r="C1973" i="14"/>
  <c r="C1974" i="14"/>
  <c r="C1975" i="14"/>
  <c r="C1976" i="14"/>
  <c r="C1977" i="14"/>
  <c r="C1978" i="14"/>
  <c r="C1979" i="14"/>
  <c r="C1980" i="14"/>
  <c r="C1981" i="14"/>
  <c r="C1982" i="14"/>
  <c r="C1983" i="14"/>
  <c r="C1984" i="14"/>
  <c r="C1985" i="14"/>
  <c r="C1986" i="14"/>
  <c r="C1987" i="14"/>
  <c r="C1988" i="14"/>
  <c r="C1989" i="14"/>
  <c r="C1990" i="14"/>
  <c r="C1991" i="14"/>
  <c r="C1992" i="14"/>
  <c r="C1993" i="14"/>
  <c r="C1994" i="14"/>
  <c r="C1995" i="14"/>
  <c r="C1996" i="14"/>
  <c r="C1997" i="14"/>
  <c r="C1998" i="14"/>
  <c r="C1999" i="14"/>
  <c r="C2000" i="14"/>
  <c r="C2001" i="14"/>
  <c r="C2002" i="14"/>
  <c r="C2003" i="14"/>
  <c r="C2004" i="14"/>
  <c r="C2005" i="14"/>
  <c r="C2006" i="14"/>
  <c r="C2007" i="14"/>
  <c r="C2008" i="14"/>
  <c r="C2009" i="14"/>
  <c r="C2010" i="14"/>
  <c r="C2011" i="14"/>
  <c r="C2012" i="14"/>
  <c r="C2013" i="14"/>
  <c r="C2014" i="14"/>
  <c r="C2015" i="14"/>
  <c r="C2016" i="14"/>
  <c r="C2017" i="14"/>
  <c r="C2018" i="14"/>
  <c r="C2019" i="14"/>
  <c r="C2020" i="14"/>
  <c r="C2021" i="14"/>
  <c r="C2022" i="14"/>
  <c r="C2023" i="14"/>
  <c r="C2024" i="14"/>
  <c r="C2025" i="14"/>
  <c r="C2026" i="14"/>
  <c r="C2027" i="14"/>
  <c r="C2028" i="14"/>
  <c r="C2029" i="14"/>
  <c r="C2030" i="14"/>
  <c r="C2031" i="14"/>
  <c r="C2032" i="14"/>
  <c r="C2033" i="14"/>
  <c r="C2034" i="14"/>
  <c r="C2035" i="14"/>
  <c r="C2036" i="14"/>
  <c r="C2037" i="14"/>
  <c r="C2038" i="14"/>
  <c r="C2039" i="14"/>
  <c r="C2040" i="14"/>
  <c r="C2041" i="14"/>
  <c r="C2042" i="14"/>
  <c r="C2043" i="14"/>
  <c r="C2044" i="14"/>
  <c r="C2045" i="14"/>
  <c r="C2046" i="14"/>
  <c r="C2047" i="14"/>
  <c r="C2048" i="14"/>
  <c r="C2049" i="14"/>
  <c r="C2050" i="14"/>
  <c r="C2051" i="14"/>
  <c r="C2052" i="14"/>
  <c r="C2053" i="14"/>
  <c r="C2054" i="14"/>
  <c r="C2055" i="14"/>
  <c r="C2056" i="14"/>
  <c r="C2057" i="14"/>
  <c r="C2058" i="14"/>
  <c r="C2059" i="14"/>
  <c r="C2060" i="14"/>
  <c r="C2061" i="14"/>
  <c r="C2062" i="14"/>
  <c r="C2063" i="14"/>
  <c r="C2064" i="14"/>
  <c r="C2065" i="14"/>
  <c r="C2066" i="14"/>
  <c r="C2067" i="14"/>
  <c r="C2068" i="14"/>
  <c r="C2069" i="14"/>
  <c r="C2070" i="14"/>
  <c r="C2071" i="14"/>
  <c r="C2072" i="14"/>
  <c r="C2073" i="14"/>
  <c r="C2074" i="14"/>
  <c r="C2075" i="14"/>
  <c r="C2076" i="14"/>
  <c r="C2077" i="14"/>
  <c r="C2078" i="14"/>
  <c r="C2079" i="14"/>
  <c r="C2080" i="14"/>
  <c r="C2081" i="14"/>
  <c r="C2082" i="14"/>
  <c r="C2083" i="14"/>
  <c r="C2084" i="14"/>
  <c r="C2085" i="14"/>
  <c r="C2086" i="14"/>
  <c r="C2087" i="14"/>
  <c r="C2088" i="14"/>
  <c r="C2089" i="14"/>
  <c r="C2090" i="14"/>
  <c r="C2091" i="14"/>
  <c r="C2092" i="14"/>
  <c r="C2093" i="14"/>
  <c r="C2094" i="14"/>
  <c r="C2095" i="14"/>
  <c r="C2096" i="14"/>
  <c r="C2097" i="14"/>
  <c r="C2098" i="14"/>
  <c r="C2099" i="14"/>
  <c r="C2100" i="14"/>
  <c r="C2101" i="14"/>
  <c r="C2102" i="14"/>
  <c r="C2103" i="14"/>
  <c r="C2104" i="14"/>
  <c r="C2105" i="14"/>
  <c r="C2106" i="14"/>
  <c r="C2107" i="14"/>
  <c r="C2108" i="14"/>
  <c r="C2109" i="14"/>
  <c r="C2110" i="14"/>
  <c r="C2111" i="14"/>
  <c r="C2112" i="14"/>
  <c r="C2113" i="14"/>
  <c r="C2114" i="14"/>
  <c r="C2115" i="14"/>
  <c r="C2116" i="14"/>
  <c r="C2117" i="14"/>
  <c r="C2118" i="14"/>
  <c r="C2119" i="14"/>
  <c r="C2120" i="14"/>
  <c r="C2121" i="14"/>
  <c r="C2122" i="14"/>
  <c r="C2123" i="14"/>
  <c r="C2124" i="14"/>
  <c r="C2125" i="14"/>
  <c r="C2126" i="14"/>
  <c r="C2127" i="14"/>
  <c r="C2128" i="14"/>
  <c r="C2129" i="14"/>
  <c r="C2130" i="14"/>
  <c r="C2131" i="14"/>
  <c r="C2132" i="14"/>
  <c r="C2133" i="14"/>
  <c r="C2134" i="14"/>
  <c r="C2135" i="14"/>
  <c r="C2136" i="14"/>
  <c r="C2137" i="14"/>
  <c r="C2138" i="14"/>
  <c r="C2139" i="14"/>
  <c r="C2140" i="14"/>
  <c r="C2141" i="14"/>
  <c r="C2142" i="14"/>
  <c r="C2143" i="14"/>
  <c r="C2144" i="14"/>
  <c r="C2145" i="14"/>
  <c r="C2146" i="14"/>
  <c r="C2147" i="14"/>
  <c r="C2148" i="14"/>
  <c r="C2149" i="14"/>
  <c r="C2150" i="14"/>
  <c r="C2151" i="14"/>
  <c r="C2152" i="14"/>
  <c r="C2153" i="14"/>
  <c r="C2154" i="14"/>
  <c r="C2155" i="14"/>
  <c r="C2156" i="14"/>
  <c r="C2157" i="14"/>
  <c r="C2158" i="14"/>
  <c r="C2159" i="14"/>
  <c r="C2160" i="14"/>
  <c r="C2161" i="14"/>
  <c r="C2162" i="14"/>
  <c r="C2163" i="14"/>
  <c r="C2164" i="14"/>
  <c r="C2165" i="14"/>
  <c r="C2166" i="14"/>
  <c r="C2167" i="14"/>
  <c r="C2168" i="14"/>
  <c r="C2169" i="14"/>
  <c r="C2170" i="14"/>
  <c r="C2171" i="14"/>
  <c r="C2172" i="14"/>
  <c r="C2173" i="14"/>
  <c r="C2174" i="14"/>
  <c r="C2175" i="14"/>
  <c r="C2176" i="14"/>
  <c r="C2177" i="14"/>
  <c r="C2178" i="14"/>
  <c r="C2179" i="14"/>
  <c r="C2180" i="14"/>
  <c r="C2181" i="14"/>
  <c r="C2182" i="14"/>
  <c r="C2183" i="14"/>
  <c r="C2184" i="14"/>
  <c r="C2185" i="14"/>
  <c r="C2186" i="14"/>
  <c r="C2187" i="14"/>
  <c r="C2188" i="14"/>
  <c r="C2189" i="14"/>
  <c r="C2190" i="14"/>
  <c r="C2191" i="14"/>
  <c r="C2192" i="14"/>
  <c r="C2193" i="14"/>
  <c r="C2194" i="14"/>
  <c r="C2195" i="14"/>
  <c r="C2196" i="14"/>
  <c r="C2197" i="14"/>
  <c r="C2198" i="14"/>
  <c r="C2199" i="14"/>
  <c r="C2200" i="14"/>
  <c r="C2201" i="14"/>
  <c r="C2202" i="14"/>
  <c r="C2203" i="14"/>
  <c r="C2204" i="14"/>
  <c r="C2205" i="14"/>
  <c r="C2206" i="14"/>
  <c r="C2207" i="14"/>
  <c r="C2208" i="14"/>
  <c r="C2209" i="14"/>
  <c r="C2210" i="14"/>
  <c r="C2211" i="14"/>
  <c r="C2212" i="14"/>
  <c r="C2213" i="14"/>
  <c r="C2214" i="14"/>
  <c r="C2215" i="14"/>
  <c r="C2216" i="14"/>
  <c r="C2217" i="14"/>
  <c r="C2218" i="14"/>
  <c r="C2219" i="14"/>
  <c r="C2220" i="14"/>
  <c r="C2221" i="14"/>
  <c r="C2222" i="14"/>
  <c r="C2223" i="14"/>
  <c r="C2224" i="14"/>
  <c r="C2225" i="14"/>
  <c r="C2226" i="14"/>
  <c r="C2227" i="14"/>
  <c r="C2228" i="14"/>
  <c r="C2229" i="14"/>
  <c r="C2230" i="14"/>
  <c r="C2231" i="14"/>
  <c r="C2232" i="14"/>
  <c r="C2233" i="14"/>
  <c r="C2234" i="14"/>
  <c r="C2235" i="14"/>
  <c r="C2236" i="14"/>
  <c r="C2237" i="14"/>
  <c r="C2238" i="14"/>
  <c r="C2239" i="14"/>
  <c r="C2240" i="14"/>
  <c r="C2241" i="14"/>
  <c r="C2242" i="14"/>
  <c r="C2243" i="14"/>
  <c r="C2244" i="14"/>
  <c r="C2245" i="14"/>
  <c r="C2246" i="14"/>
  <c r="C2247" i="14"/>
  <c r="C2248" i="14"/>
  <c r="C2249" i="14"/>
  <c r="C2250" i="14"/>
  <c r="C2251" i="14"/>
  <c r="C2252" i="14"/>
  <c r="C2253" i="14"/>
  <c r="C2254" i="14"/>
  <c r="C2255" i="14"/>
  <c r="C2256" i="14"/>
  <c r="C2257" i="14"/>
  <c r="C2258" i="14"/>
  <c r="C2259" i="14"/>
  <c r="C2260" i="14"/>
  <c r="C2261" i="14"/>
  <c r="C2262" i="14"/>
  <c r="C2263" i="14"/>
  <c r="C2264" i="14"/>
  <c r="C2265" i="14"/>
  <c r="C2266" i="14"/>
  <c r="C2267" i="14"/>
  <c r="C2268" i="14"/>
  <c r="C2269" i="14"/>
  <c r="C2270" i="14"/>
  <c r="C2271" i="14"/>
  <c r="C2272" i="14"/>
  <c r="C2273" i="14"/>
  <c r="C2274" i="14"/>
  <c r="C2275" i="14"/>
  <c r="C2276" i="14"/>
  <c r="C2277" i="14"/>
  <c r="C2278" i="14"/>
  <c r="C2279" i="14"/>
  <c r="C2280" i="14"/>
  <c r="C2281" i="14"/>
  <c r="C2282" i="14"/>
  <c r="C2283" i="14"/>
  <c r="C2284" i="14"/>
  <c r="C2285" i="14"/>
  <c r="C2286" i="14"/>
  <c r="C2287" i="14"/>
  <c r="C2288" i="14"/>
  <c r="C2289" i="14"/>
  <c r="C2290" i="14"/>
  <c r="C2291" i="14"/>
  <c r="C2292" i="14"/>
  <c r="C2293" i="14"/>
  <c r="C2294" i="14"/>
  <c r="C2295" i="14"/>
  <c r="C2296" i="14"/>
  <c r="C2297" i="14"/>
  <c r="C2298" i="14"/>
  <c r="C2299" i="14"/>
  <c r="C2300" i="14"/>
  <c r="C2301" i="14"/>
  <c r="C2302" i="14"/>
  <c r="C2303" i="14"/>
  <c r="C2304" i="14"/>
  <c r="C2305" i="14"/>
  <c r="C2306" i="14"/>
  <c r="C2307" i="14"/>
  <c r="C2308" i="14"/>
  <c r="C2309" i="14"/>
  <c r="C2310" i="14"/>
  <c r="C2311" i="14"/>
  <c r="C2312" i="14"/>
  <c r="C2313" i="14"/>
  <c r="C2314" i="14"/>
  <c r="C2315" i="14"/>
  <c r="C2316" i="14"/>
  <c r="C2317" i="14"/>
  <c r="C2318" i="14"/>
  <c r="C2319" i="14"/>
  <c r="C2320" i="14"/>
  <c r="C2321" i="14"/>
  <c r="C2322" i="14"/>
  <c r="C2323" i="14"/>
  <c r="C2324" i="14"/>
  <c r="C2325" i="14"/>
  <c r="C2326" i="14"/>
  <c r="C2327" i="14"/>
  <c r="C2328" i="14"/>
  <c r="C2329" i="14"/>
  <c r="C2330" i="14"/>
  <c r="C2331" i="14"/>
  <c r="C2332" i="14"/>
  <c r="C2333" i="14"/>
  <c r="C2334" i="14"/>
  <c r="C2335" i="14"/>
  <c r="C2336" i="14"/>
  <c r="C2337" i="14"/>
  <c r="C2338" i="14"/>
  <c r="C2339" i="14"/>
  <c r="C2340" i="14"/>
  <c r="C2341" i="14"/>
  <c r="C2342" i="14"/>
  <c r="C2343" i="14"/>
  <c r="C2344" i="14"/>
  <c r="C2345" i="14"/>
  <c r="C2346" i="14"/>
  <c r="C2347" i="14"/>
  <c r="C2348" i="14"/>
  <c r="C2349" i="14"/>
  <c r="C2350" i="14"/>
  <c r="C2351" i="14"/>
  <c r="C2352" i="14"/>
  <c r="C2353" i="14"/>
  <c r="C2354" i="14"/>
  <c r="C2355" i="14"/>
  <c r="C2356" i="14"/>
  <c r="C2357" i="14"/>
  <c r="C2358" i="14"/>
  <c r="C2359" i="14"/>
  <c r="C2360" i="14"/>
  <c r="C2361" i="14"/>
  <c r="C2362" i="14"/>
  <c r="C2363" i="14"/>
  <c r="C2364" i="14"/>
  <c r="C2365" i="14"/>
  <c r="C2366" i="14"/>
  <c r="C2367" i="14"/>
  <c r="C2368" i="14"/>
  <c r="C2369" i="14"/>
  <c r="C2370" i="14"/>
  <c r="C2371" i="14"/>
  <c r="C2372" i="14"/>
  <c r="C2373" i="14"/>
  <c r="C2374" i="14"/>
  <c r="C2375" i="14"/>
  <c r="C2376" i="14"/>
  <c r="C2377" i="14"/>
  <c r="C2378" i="14"/>
  <c r="C2379" i="14"/>
  <c r="C2380" i="14"/>
  <c r="C2381" i="14"/>
  <c r="C2382" i="14"/>
  <c r="C2383" i="14"/>
  <c r="C2384" i="14"/>
  <c r="C2385" i="14"/>
  <c r="C2386" i="14"/>
  <c r="C2387" i="14"/>
  <c r="C2388" i="14"/>
  <c r="C2389" i="14"/>
  <c r="C2390" i="14"/>
  <c r="C2391" i="14"/>
  <c r="C2392" i="14"/>
  <c r="C2393" i="14"/>
  <c r="C2394" i="14"/>
  <c r="C2395" i="14"/>
  <c r="C2396" i="14"/>
  <c r="C2397" i="14"/>
  <c r="C2398" i="14"/>
  <c r="C2399" i="14"/>
  <c r="C2400" i="14"/>
  <c r="C2401" i="14"/>
  <c r="C2402" i="14"/>
  <c r="C2403" i="14"/>
  <c r="C2404" i="14"/>
  <c r="C2405" i="14"/>
  <c r="C2406" i="14"/>
  <c r="C2407" i="14"/>
  <c r="C2408" i="14"/>
  <c r="C2409" i="14"/>
  <c r="C2410" i="14"/>
  <c r="C2411" i="14"/>
  <c r="C2412" i="14"/>
  <c r="C2413" i="14"/>
  <c r="C2414" i="14"/>
  <c r="C2415" i="14"/>
  <c r="C2416" i="14"/>
  <c r="C2417" i="14"/>
  <c r="C2418" i="14"/>
  <c r="C2419" i="14"/>
  <c r="C2420" i="14"/>
  <c r="C2421" i="14"/>
  <c r="C2422" i="14"/>
  <c r="C2423" i="14"/>
  <c r="C2424" i="14"/>
  <c r="C2425" i="14"/>
  <c r="C2426" i="14"/>
  <c r="C2427" i="14"/>
  <c r="C2428" i="14"/>
  <c r="C2429" i="14"/>
  <c r="C2430" i="14"/>
  <c r="C2431" i="14"/>
  <c r="C2432" i="14"/>
  <c r="C2433" i="14"/>
  <c r="C2434" i="14"/>
  <c r="C2435" i="14"/>
  <c r="C2436" i="14"/>
  <c r="C2437" i="14"/>
  <c r="C2438" i="14"/>
  <c r="C2439" i="14"/>
  <c r="C2440" i="14"/>
  <c r="C2441" i="14"/>
  <c r="C2442" i="14"/>
  <c r="C2443" i="14"/>
  <c r="C2444" i="14"/>
  <c r="C2445" i="14"/>
  <c r="C2446" i="14"/>
  <c r="C2447" i="14"/>
  <c r="C2448" i="14"/>
  <c r="C2449" i="14"/>
  <c r="C2450" i="14"/>
  <c r="C2451" i="14"/>
  <c r="C2452" i="14"/>
  <c r="C2453" i="14"/>
  <c r="C2454" i="14"/>
  <c r="C2455" i="14"/>
  <c r="C2456" i="14"/>
  <c r="C2457" i="14"/>
  <c r="C2458" i="14"/>
  <c r="C2459" i="14"/>
  <c r="C2460" i="14"/>
  <c r="C2461" i="14"/>
  <c r="C2462" i="14"/>
  <c r="C2463" i="14"/>
  <c r="C2464" i="14"/>
  <c r="C2465" i="14"/>
  <c r="C2466" i="14"/>
  <c r="C2467" i="14"/>
  <c r="C2468" i="14"/>
  <c r="C2469" i="14"/>
  <c r="C2470" i="14"/>
  <c r="C2471" i="14"/>
  <c r="C2472" i="14"/>
  <c r="C2473" i="14"/>
  <c r="C2474" i="14"/>
  <c r="C2475" i="14"/>
  <c r="C2476" i="14"/>
  <c r="C2477" i="14"/>
  <c r="C2478" i="14"/>
  <c r="C2479" i="14"/>
  <c r="C2480" i="14"/>
  <c r="C2481" i="14"/>
  <c r="C2482" i="14"/>
  <c r="C2483" i="14"/>
  <c r="C2484" i="14"/>
  <c r="C2485" i="14"/>
  <c r="C2486" i="14"/>
  <c r="C2487" i="14"/>
  <c r="C2488" i="14"/>
  <c r="C2489" i="14"/>
  <c r="C2490" i="14"/>
  <c r="C2491" i="14"/>
  <c r="C2492" i="14"/>
  <c r="C2493" i="14"/>
  <c r="C2494" i="14"/>
  <c r="C2495" i="14"/>
  <c r="C2496" i="14"/>
  <c r="C2497" i="14"/>
  <c r="C2498" i="14"/>
  <c r="C2499" i="14"/>
  <c r="C2500" i="14"/>
  <c r="C2501" i="14"/>
  <c r="C2502" i="14"/>
  <c r="C2503" i="14"/>
  <c r="C2504" i="14"/>
  <c r="C2505" i="14"/>
  <c r="C2506" i="14"/>
  <c r="C2507" i="14"/>
  <c r="C2508" i="14"/>
  <c r="C2509" i="14"/>
  <c r="C2510" i="14"/>
  <c r="C2511" i="14"/>
  <c r="C2512" i="14"/>
  <c r="C2513" i="14"/>
  <c r="C2514" i="14"/>
  <c r="C2515" i="14"/>
  <c r="C2516" i="14"/>
  <c r="C2517" i="14"/>
  <c r="C2518" i="14"/>
  <c r="C2519" i="14"/>
  <c r="C2520" i="14"/>
  <c r="C2521" i="14"/>
  <c r="C2522" i="14"/>
  <c r="C2523" i="14"/>
  <c r="C2524" i="14"/>
  <c r="C2525" i="14"/>
  <c r="C2526" i="14"/>
  <c r="C2527" i="14"/>
  <c r="C2528" i="14"/>
  <c r="C2529" i="14"/>
  <c r="C2530" i="14"/>
  <c r="C2531" i="14"/>
  <c r="C2532" i="14"/>
  <c r="C2533" i="14"/>
  <c r="C2534" i="14"/>
  <c r="C2535" i="14"/>
  <c r="C2536" i="14"/>
  <c r="C2537" i="14"/>
  <c r="C2538" i="14"/>
  <c r="C2539" i="14"/>
  <c r="C2540" i="14"/>
  <c r="C2541" i="14"/>
  <c r="C2542" i="14"/>
  <c r="C2543" i="14"/>
  <c r="C2544" i="14"/>
  <c r="C2545" i="14"/>
  <c r="C2546" i="14"/>
  <c r="C2547" i="14"/>
  <c r="C2548" i="14"/>
  <c r="C2549" i="14"/>
  <c r="C2550" i="14"/>
  <c r="C2551" i="14"/>
  <c r="C2552" i="14"/>
  <c r="C2553" i="14"/>
  <c r="C2554" i="14"/>
  <c r="C2555" i="14"/>
  <c r="C2556" i="14"/>
  <c r="C2557" i="14"/>
  <c r="C2558" i="14"/>
  <c r="C2559" i="14"/>
  <c r="C2560" i="14"/>
  <c r="C2561" i="14"/>
  <c r="C2562" i="14"/>
  <c r="C2563" i="14"/>
  <c r="C2564" i="14"/>
  <c r="C2565" i="14"/>
  <c r="C2566" i="14"/>
  <c r="C2567" i="14"/>
  <c r="C2568" i="14"/>
  <c r="C2569" i="14"/>
  <c r="C2570" i="14"/>
  <c r="C2571" i="14"/>
  <c r="C2572" i="14"/>
  <c r="C2573" i="14"/>
  <c r="C2574" i="14"/>
  <c r="C2575" i="14"/>
  <c r="C2576" i="14"/>
  <c r="C2577" i="14"/>
  <c r="C2578" i="14"/>
  <c r="C2579" i="14"/>
  <c r="C2580" i="14"/>
  <c r="C2581" i="14"/>
  <c r="C2582" i="14"/>
  <c r="C2583" i="14"/>
  <c r="C2584" i="14"/>
  <c r="C2585" i="14"/>
  <c r="C2586" i="14"/>
  <c r="C2587" i="14"/>
  <c r="C2588" i="14"/>
  <c r="C2589" i="14"/>
  <c r="C2590" i="14"/>
  <c r="C2591" i="14"/>
  <c r="C2592" i="14"/>
  <c r="C2593" i="14"/>
  <c r="C2594" i="14"/>
  <c r="C2595" i="14"/>
  <c r="C2596" i="14"/>
  <c r="C2597" i="14"/>
  <c r="C2598" i="14"/>
  <c r="C2599" i="14"/>
  <c r="C2600" i="14"/>
  <c r="C2601" i="14"/>
  <c r="C2602" i="14"/>
  <c r="C2603" i="14"/>
  <c r="C2604" i="14"/>
  <c r="C2605" i="14"/>
  <c r="C2606" i="14"/>
  <c r="C2607" i="14"/>
  <c r="C2608" i="14"/>
  <c r="C2609" i="14"/>
  <c r="C2610" i="14"/>
  <c r="C2611" i="14"/>
  <c r="C2612" i="14"/>
  <c r="C2613" i="14"/>
  <c r="C2614" i="14"/>
  <c r="C2615" i="14"/>
  <c r="C2616" i="14"/>
  <c r="C2617" i="14"/>
  <c r="C2618" i="14"/>
  <c r="C2619" i="14"/>
  <c r="C2620" i="14"/>
  <c r="C2621" i="14"/>
  <c r="C2622" i="14"/>
  <c r="C2623" i="14"/>
  <c r="C2624" i="14"/>
  <c r="C2625" i="14"/>
  <c r="C2626" i="14"/>
  <c r="C2627" i="14"/>
  <c r="C2628" i="14"/>
  <c r="C2629" i="14"/>
  <c r="C2630" i="14"/>
  <c r="C2631" i="14"/>
  <c r="C2632" i="14"/>
  <c r="C2633" i="14"/>
  <c r="C2634" i="14"/>
  <c r="C2635" i="14"/>
  <c r="C2636" i="14"/>
  <c r="C2637" i="14"/>
  <c r="C2638" i="14"/>
  <c r="C2639" i="14"/>
  <c r="C2640" i="14"/>
  <c r="C2641" i="14"/>
  <c r="C2642" i="14"/>
  <c r="C2643" i="14"/>
  <c r="C2644" i="14"/>
  <c r="C2645" i="14"/>
  <c r="C2646" i="14"/>
  <c r="C2647" i="14"/>
  <c r="C2648" i="14"/>
  <c r="C2649" i="14"/>
  <c r="C2650" i="14"/>
  <c r="C2651" i="14"/>
  <c r="C2652" i="14"/>
  <c r="C2653" i="14"/>
  <c r="C2654" i="14"/>
  <c r="C2655" i="14"/>
  <c r="C2656" i="14"/>
  <c r="C2657" i="14"/>
  <c r="C2658" i="14"/>
  <c r="C2659" i="14"/>
  <c r="C2660" i="14"/>
  <c r="C2661" i="14"/>
  <c r="C2662" i="14"/>
  <c r="C2663" i="14"/>
  <c r="C2664" i="14"/>
  <c r="C2665" i="14"/>
  <c r="C2666" i="14"/>
  <c r="C2667" i="14"/>
  <c r="C2668" i="14"/>
  <c r="C2669" i="14"/>
  <c r="C2670" i="14"/>
  <c r="C2671" i="14"/>
  <c r="C2672" i="14"/>
  <c r="C2673" i="14"/>
  <c r="C2674" i="14"/>
  <c r="C2675" i="14"/>
  <c r="C2676" i="14"/>
  <c r="C2677" i="14"/>
  <c r="C2678" i="14"/>
  <c r="C2679" i="14"/>
  <c r="C2680" i="14"/>
  <c r="C2681" i="14"/>
  <c r="C2682" i="14"/>
  <c r="C2683" i="14"/>
  <c r="C2684" i="14"/>
  <c r="C2685" i="14"/>
  <c r="C2686" i="14"/>
  <c r="C2687" i="14"/>
  <c r="C2688" i="14"/>
  <c r="C2689" i="14"/>
  <c r="C2690" i="14"/>
  <c r="C2691" i="14"/>
  <c r="C2692" i="14"/>
  <c r="C2693" i="14"/>
  <c r="C2694" i="14"/>
  <c r="C2695" i="14"/>
  <c r="C2696" i="14"/>
  <c r="C2697" i="14"/>
  <c r="C2698" i="14"/>
  <c r="C2699" i="14"/>
  <c r="C2700" i="14"/>
  <c r="C2701" i="14"/>
  <c r="C2702" i="14"/>
  <c r="C2703" i="14"/>
  <c r="C2704" i="14"/>
  <c r="C2705" i="14"/>
  <c r="C2706" i="14"/>
  <c r="C2707" i="14"/>
  <c r="C2708" i="14"/>
  <c r="C2709" i="14"/>
  <c r="C2710" i="14"/>
  <c r="C2711" i="14"/>
  <c r="C2712" i="14"/>
  <c r="C2713" i="14"/>
  <c r="C2714" i="14"/>
  <c r="C2715" i="14"/>
  <c r="C2716" i="14"/>
  <c r="C2717" i="14"/>
  <c r="C2718" i="14"/>
  <c r="C2719" i="14"/>
  <c r="C2720" i="14"/>
  <c r="C2721" i="14"/>
  <c r="C2722" i="14"/>
  <c r="C2723" i="14"/>
  <c r="C2724" i="14"/>
  <c r="C2725" i="14"/>
  <c r="C2726" i="14"/>
  <c r="C2727" i="14"/>
  <c r="C2728" i="14"/>
  <c r="C2729" i="14"/>
  <c r="C2730" i="14"/>
  <c r="C2731" i="14"/>
  <c r="C2732" i="14"/>
  <c r="C2733" i="14"/>
  <c r="C2734" i="14"/>
  <c r="C2735" i="14"/>
  <c r="C2736" i="14"/>
  <c r="C2737" i="14"/>
  <c r="C2738" i="14"/>
  <c r="C2739" i="14"/>
  <c r="C2740" i="14"/>
  <c r="C2741" i="14"/>
  <c r="C2742" i="14"/>
  <c r="C2743" i="14"/>
  <c r="C2744" i="14"/>
  <c r="C2745" i="14"/>
  <c r="C2746" i="14"/>
  <c r="C2747" i="14"/>
  <c r="C2748" i="14"/>
  <c r="C2749" i="14"/>
  <c r="C2750" i="14"/>
  <c r="C2751" i="14"/>
  <c r="C2752" i="14"/>
  <c r="C2753" i="14"/>
  <c r="C2754" i="14"/>
  <c r="C2755" i="14"/>
  <c r="C2756" i="14"/>
  <c r="C2757" i="14"/>
  <c r="C2758" i="14"/>
  <c r="C2759" i="14"/>
  <c r="C2760" i="14"/>
  <c r="C2761" i="14"/>
  <c r="C2762" i="14"/>
  <c r="C2763" i="14"/>
  <c r="C2764" i="14"/>
  <c r="C2765" i="14"/>
  <c r="C2766" i="14"/>
  <c r="C2767" i="14"/>
  <c r="C2768" i="14"/>
  <c r="C2769" i="14"/>
  <c r="C2770" i="14"/>
  <c r="C2771" i="14"/>
  <c r="C2772" i="14"/>
  <c r="C2773" i="14"/>
  <c r="C2774" i="14"/>
  <c r="C2775" i="14"/>
  <c r="C2776" i="14"/>
  <c r="C2777" i="14"/>
  <c r="C2778" i="14"/>
  <c r="C2779" i="14"/>
  <c r="C2780" i="14"/>
  <c r="C2781" i="14"/>
  <c r="C2782" i="14"/>
  <c r="C2783" i="14"/>
  <c r="C2784" i="14"/>
  <c r="C2785" i="14"/>
  <c r="C2786" i="14"/>
  <c r="C2787" i="14"/>
  <c r="C2788" i="14"/>
  <c r="C2789" i="14"/>
  <c r="C2790" i="14"/>
  <c r="C2791" i="14"/>
  <c r="C2792" i="14"/>
  <c r="C2793" i="14"/>
  <c r="C2794" i="14"/>
  <c r="C2795" i="14"/>
  <c r="C2796" i="14"/>
  <c r="C2797" i="14"/>
  <c r="C2798" i="14"/>
  <c r="C2799" i="14"/>
  <c r="C2800" i="14"/>
  <c r="C2801" i="14"/>
  <c r="C2802" i="14"/>
  <c r="C2803" i="14"/>
  <c r="C2804" i="14"/>
  <c r="C2805" i="14"/>
  <c r="C2806" i="14"/>
  <c r="C2807" i="14"/>
  <c r="C2808" i="14"/>
  <c r="C2809" i="14"/>
  <c r="C2810" i="14"/>
  <c r="C2811" i="14"/>
  <c r="C2812" i="14"/>
  <c r="C2813" i="14"/>
  <c r="C2814" i="14"/>
  <c r="C2815" i="14"/>
  <c r="C2816" i="14"/>
  <c r="C2817" i="14"/>
  <c r="C2818" i="14"/>
  <c r="C2819" i="14"/>
  <c r="C2820" i="14"/>
  <c r="C2821" i="14"/>
  <c r="C2822" i="14"/>
  <c r="C2823" i="14"/>
  <c r="C2824" i="14"/>
  <c r="C2825" i="14"/>
  <c r="C2826" i="14"/>
  <c r="C2827" i="14"/>
  <c r="C2828" i="14"/>
  <c r="C2829" i="14"/>
  <c r="C2830" i="14"/>
  <c r="C2831" i="14"/>
  <c r="C2832" i="14"/>
  <c r="C2833" i="14"/>
  <c r="C2834" i="14"/>
  <c r="C2835" i="14"/>
  <c r="C2836" i="14"/>
  <c r="C2837" i="14"/>
  <c r="C2838" i="14"/>
  <c r="C2839" i="14"/>
  <c r="C2840" i="14"/>
  <c r="C2841" i="14"/>
  <c r="C2842" i="14"/>
  <c r="C2843" i="14"/>
  <c r="C2844" i="14"/>
  <c r="C2845" i="14"/>
  <c r="C2846" i="14"/>
  <c r="C2847" i="14"/>
  <c r="C2848" i="14"/>
  <c r="C2849" i="14"/>
  <c r="C2850" i="14"/>
  <c r="C2851" i="14"/>
  <c r="C2852" i="14"/>
  <c r="C2853" i="14"/>
  <c r="C2854" i="14"/>
  <c r="C2855" i="14"/>
  <c r="C2856" i="14"/>
  <c r="C2857" i="14"/>
  <c r="C2858" i="14"/>
  <c r="C2859" i="14"/>
  <c r="C2860" i="14"/>
  <c r="C2861" i="14"/>
  <c r="C2862" i="14"/>
  <c r="C2863" i="14"/>
  <c r="C2864" i="14"/>
  <c r="C2865" i="14"/>
  <c r="C2866" i="14"/>
  <c r="C2867" i="14"/>
  <c r="C2868" i="14"/>
  <c r="C2869" i="14"/>
  <c r="C2870" i="14"/>
  <c r="C2871" i="14"/>
  <c r="C2872" i="14"/>
  <c r="C2873" i="14"/>
  <c r="C2874" i="14"/>
  <c r="C2875" i="14"/>
  <c r="C2876" i="14"/>
  <c r="C2877" i="14"/>
  <c r="C2878" i="14"/>
  <c r="C2879" i="14"/>
  <c r="C2880" i="14"/>
  <c r="C2881" i="14"/>
  <c r="C2882" i="14"/>
  <c r="C2883" i="14"/>
  <c r="C2884" i="14"/>
  <c r="C2885" i="14"/>
  <c r="C2886" i="14"/>
  <c r="C2887" i="14"/>
  <c r="C2888" i="14"/>
  <c r="C2889" i="14"/>
  <c r="C2890" i="14"/>
  <c r="C2891" i="14"/>
  <c r="C2892" i="14"/>
  <c r="C2893" i="14"/>
  <c r="C2894" i="14"/>
  <c r="C2895" i="14"/>
  <c r="C2896" i="14"/>
  <c r="C2897" i="14"/>
  <c r="C2898" i="14"/>
  <c r="C2899" i="14"/>
  <c r="C2900" i="14"/>
  <c r="C2901" i="14"/>
  <c r="C2902" i="14"/>
  <c r="C2903" i="14"/>
  <c r="C2904" i="14"/>
  <c r="C2905" i="14"/>
  <c r="C2906" i="14"/>
  <c r="C2907" i="14"/>
  <c r="C2908" i="14"/>
  <c r="C2909" i="14"/>
  <c r="C2910" i="14"/>
  <c r="C2911" i="14"/>
  <c r="C2912" i="14"/>
  <c r="C2913" i="14"/>
  <c r="C2914" i="14"/>
  <c r="C2915" i="14"/>
  <c r="C2916" i="14"/>
  <c r="C2917" i="14"/>
  <c r="C2918" i="14"/>
  <c r="C2919" i="14"/>
  <c r="C2920" i="14"/>
  <c r="C2921" i="14"/>
  <c r="C2922" i="14"/>
  <c r="C2923" i="14"/>
  <c r="C2924" i="14"/>
  <c r="C2925" i="14"/>
  <c r="C2926" i="14"/>
  <c r="C2927" i="14"/>
  <c r="C2928" i="14"/>
  <c r="C2929" i="14"/>
  <c r="C2930" i="14"/>
  <c r="C2931" i="14"/>
  <c r="C2932" i="14"/>
  <c r="C2933" i="14"/>
  <c r="C2934" i="14"/>
  <c r="C2935" i="14"/>
  <c r="C2936" i="14"/>
  <c r="C2937" i="14"/>
  <c r="C2938" i="14"/>
  <c r="C2939" i="14"/>
  <c r="C2940" i="14"/>
  <c r="C2941" i="14"/>
  <c r="C2942" i="14"/>
  <c r="C2943" i="14"/>
  <c r="C2944" i="14"/>
  <c r="C2945" i="14"/>
  <c r="C2946" i="14"/>
  <c r="C2947" i="14"/>
  <c r="C2948" i="14"/>
  <c r="C2949" i="14"/>
  <c r="C2950" i="14"/>
  <c r="C2951" i="14"/>
  <c r="C2952" i="14"/>
  <c r="C2953" i="14"/>
  <c r="C2954" i="14"/>
  <c r="C2955" i="14"/>
  <c r="C2956" i="14"/>
  <c r="C2957" i="14"/>
  <c r="C2958" i="14"/>
  <c r="C2959" i="14"/>
  <c r="C2960" i="14"/>
  <c r="C2961" i="14"/>
  <c r="C2962" i="14"/>
  <c r="C2963" i="14"/>
  <c r="C2964" i="14"/>
  <c r="C2965" i="14"/>
  <c r="C2966" i="14"/>
  <c r="C2967" i="14"/>
  <c r="C2968" i="14"/>
  <c r="C2969" i="14"/>
  <c r="C2970" i="14"/>
  <c r="C2971" i="14"/>
  <c r="C2972" i="14"/>
  <c r="C2973" i="14"/>
  <c r="C2974" i="14"/>
  <c r="C2975" i="14"/>
  <c r="C2976" i="14"/>
  <c r="C2977" i="14"/>
  <c r="C2978" i="14"/>
  <c r="C2979" i="14"/>
  <c r="C2980" i="14"/>
  <c r="C2981" i="14"/>
  <c r="C2982" i="14"/>
  <c r="C2983" i="14"/>
  <c r="C2984" i="14"/>
  <c r="C2985" i="14"/>
  <c r="C2986" i="14"/>
  <c r="C2987" i="14"/>
  <c r="C2988" i="14"/>
  <c r="C2989" i="14"/>
  <c r="C2990" i="14"/>
  <c r="C2991" i="14"/>
  <c r="C2992" i="14"/>
  <c r="C2993" i="14"/>
  <c r="C2994" i="14"/>
  <c r="C2995" i="14"/>
  <c r="C2996" i="14"/>
  <c r="C2997" i="14"/>
  <c r="C2998" i="14"/>
  <c r="C2999" i="14"/>
  <c r="C3000" i="14"/>
  <c r="C3001" i="14"/>
  <c r="C3002" i="14"/>
  <c r="C3003" i="14"/>
  <c r="C3004" i="14"/>
  <c r="C3005" i="14"/>
  <c r="C3006" i="14"/>
  <c r="C3007" i="14"/>
  <c r="C3008" i="14"/>
  <c r="C3009" i="14"/>
  <c r="C3010" i="14"/>
  <c r="C3011" i="14"/>
  <c r="C3012" i="14"/>
  <c r="C3013" i="14"/>
  <c r="C3014" i="14"/>
  <c r="C3015" i="14"/>
  <c r="C3016" i="14"/>
  <c r="C3017" i="14"/>
  <c r="C3018" i="14"/>
  <c r="C3019" i="14"/>
  <c r="C3020" i="14"/>
  <c r="C3021" i="14"/>
  <c r="C3022" i="14"/>
  <c r="C3023" i="14"/>
  <c r="C3024" i="14"/>
  <c r="C3025" i="14"/>
  <c r="C3026" i="14"/>
  <c r="C3027" i="14"/>
  <c r="C3028" i="14"/>
  <c r="C3029" i="14"/>
  <c r="C3030" i="14"/>
  <c r="C3031" i="14"/>
  <c r="C3032" i="14"/>
  <c r="C3033" i="14"/>
  <c r="C3034" i="14"/>
  <c r="C3035" i="14"/>
  <c r="C3036" i="14"/>
  <c r="C3037" i="14"/>
  <c r="C3038" i="14"/>
  <c r="C3039" i="14"/>
  <c r="C3040" i="14"/>
  <c r="C3041" i="14"/>
  <c r="C3042" i="14"/>
  <c r="C3043" i="14"/>
  <c r="C3044" i="14"/>
  <c r="C3045" i="14"/>
  <c r="C3046" i="14"/>
  <c r="C3047" i="14"/>
  <c r="C3048" i="14"/>
  <c r="C3049" i="14"/>
  <c r="C3050" i="14"/>
  <c r="C3051" i="14"/>
  <c r="C3052" i="14"/>
  <c r="C3053" i="14"/>
  <c r="C3054" i="14"/>
  <c r="C3055" i="14"/>
  <c r="C3056" i="14"/>
  <c r="C3057" i="14"/>
  <c r="C3058" i="14"/>
  <c r="C3059" i="14"/>
  <c r="C3060" i="14"/>
  <c r="C3061" i="14"/>
  <c r="C3062" i="14"/>
  <c r="C3063" i="14"/>
  <c r="C3064" i="14"/>
  <c r="C3065" i="14"/>
  <c r="C3066" i="14"/>
  <c r="C3067" i="14"/>
  <c r="C3068" i="14"/>
  <c r="C3069" i="14"/>
  <c r="C3070" i="14"/>
  <c r="C3071" i="14"/>
  <c r="C3072" i="14"/>
  <c r="C3073" i="14"/>
  <c r="C3074" i="14"/>
  <c r="C3075" i="14"/>
  <c r="C3076" i="14"/>
  <c r="C3077" i="14"/>
  <c r="C3078" i="14"/>
  <c r="C3079" i="14"/>
  <c r="C3080" i="14"/>
  <c r="C3081" i="14"/>
  <c r="C3082" i="14"/>
  <c r="C3083" i="14"/>
  <c r="C3084" i="14"/>
  <c r="C3085" i="14"/>
  <c r="C3086" i="14"/>
  <c r="C3087" i="14"/>
  <c r="C3088" i="14"/>
  <c r="C3089" i="14"/>
  <c r="C3090" i="14"/>
  <c r="C3091" i="14"/>
  <c r="C3092" i="14"/>
  <c r="C3093" i="14"/>
  <c r="C3094" i="14"/>
  <c r="C3095" i="14"/>
  <c r="C3096" i="14"/>
  <c r="C3097" i="14"/>
  <c r="C3098" i="14"/>
  <c r="C3099" i="14"/>
  <c r="C3100" i="14"/>
  <c r="C3101" i="14"/>
  <c r="C3102" i="14"/>
  <c r="C3103" i="14"/>
  <c r="C3104" i="14"/>
  <c r="C3105" i="14"/>
  <c r="C3106" i="14"/>
  <c r="C3107" i="14"/>
  <c r="C3108" i="14"/>
  <c r="C3109" i="14"/>
  <c r="C3110" i="14"/>
  <c r="C3111" i="14"/>
  <c r="C3112" i="14"/>
  <c r="C3113" i="14"/>
  <c r="C3114" i="14"/>
  <c r="C3115" i="14"/>
  <c r="C3116" i="14"/>
  <c r="C3117" i="14"/>
  <c r="C3118" i="14"/>
  <c r="C3119" i="14"/>
  <c r="C3120" i="14"/>
  <c r="C3121" i="14"/>
  <c r="C3122" i="14"/>
  <c r="C3123" i="14"/>
  <c r="C3124" i="14"/>
  <c r="C3125" i="14"/>
  <c r="C3126" i="14"/>
  <c r="C3127" i="14"/>
  <c r="C3128" i="14"/>
  <c r="C3129" i="14"/>
  <c r="C3130" i="14"/>
  <c r="C3131" i="14"/>
  <c r="C3132" i="14"/>
  <c r="C3133" i="14"/>
  <c r="C3134" i="14"/>
  <c r="C3135" i="14"/>
  <c r="C3136" i="14"/>
  <c r="C3137" i="14"/>
  <c r="C3138" i="14"/>
  <c r="C3139" i="14"/>
  <c r="C3140" i="14"/>
  <c r="C3141" i="14"/>
  <c r="C3142" i="14"/>
  <c r="C3143" i="14"/>
  <c r="C3144" i="14"/>
  <c r="C3145" i="14"/>
  <c r="C3146" i="14"/>
  <c r="C3147" i="14"/>
  <c r="C3148" i="14"/>
  <c r="C3149" i="14"/>
  <c r="C3150" i="14"/>
  <c r="C3151" i="14"/>
  <c r="C3152" i="14"/>
  <c r="C3153" i="14"/>
  <c r="C3154" i="14"/>
  <c r="C3155" i="14"/>
  <c r="C3156" i="14"/>
  <c r="C3157" i="14"/>
  <c r="C3158" i="14"/>
  <c r="C3159" i="14"/>
  <c r="C3160" i="14"/>
  <c r="C3161" i="14"/>
  <c r="C3162" i="14"/>
  <c r="C3163" i="14"/>
  <c r="C3164" i="14"/>
  <c r="C3165" i="14"/>
  <c r="C3166" i="14"/>
  <c r="C3167" i="14"/>
  <c r="C3168" i="14"/>
  <c r="C3169" i="14"/>
  <c r="C3170" i="14"/>
  <c r="C3171" i="14"/>
  <c r="C3172" i="14"/>
  <c r="C3173" i="14"/>
  <c r="C3174" i="14"/>
  <c r="C3175" i="14"/>
  <c r="C3176" i="14"/>
  <c r="C3177" i="14"/>
  <c r="C3178" i="14"/>
  <c r="C3179" i="14"/>
  <c r="C3180" i="14"/>
  <c r="C3181" i="14"/>
  <c r="C3182" i="14"/>
  <c r="C3183" i="14"/>
  <c r="C3184" i="14"/>
  <c r="C3185" i="14"/>
  <c r="C3186" i="14"/>
  <c r="C3187" i="14"/>
  <c r="C3188" i="14"/>
  <c r="C3189" i="14"/>
  <c r="C3190" i="14"/>
  <c r="C3191" i="14"/>
  <c r="C3192" i="14"/>
  <c r="C3193" i="14"/>
  <c r="C3194" i="14"/>
  <c r="C3195" i="14"/>
  <c r="C3196" i="14"/>
  <c r="C3197" i="14"/>
  <c r="C3198" i="14"/>
  <c r="C3199" i="14"/>
  <c r="C3200" i="14"/>
  <c r="C3201" i="14"/>
  <c r="C3202" i="14"/>
  <c r="C3203" i="14"/>
  <c r="C3204" i="14"/>
  <c r="C3205" i="14"/>
  <c r="C3206" i="14"/>
  <c r="C3207" i="14"/>
  <c r="C3208" i="14"/>
  <c r="C3209" i="14"/>
  <c r="C3210" i="14"/>
  <c r="C3211" i="14"/>
  <c r="C3212" i="14"/>
  <c r="C3213" i="14"/>
  <c r="C3214" i="14"/>
  <c r="C3215" i="14"/>
  <c r="C3216" i="14"/>
  <c r="C3217" i="14"/>
  <c r="C3218" i="14"/>
  <c r="C3219" i="14"/>
  <c r="C3220" i="14"/>
  <c r="C3221" i="14"/>
  <c r="C3222" i="14"/>
  <c r="C3223" i="14"/>
  <c r="C3224" i="14"/>
  <c r="C3225" i="14"/>
  <c r="C3226" i="14"/>
  <c r="C3227" i="14"/>
  <c r="C3228" i="14"/>
  <c r="C3229" i="14"/>
  <c r="C3230" i="14"/>
  <c r="C3231" i="14"/>
  <c r="C3232" i="14"/>
  <c r="C3233" i="14"/>
  <c r="C3234" i="14"/>
  <c r="C3235" i="14"/>
  <c r="C3236" i="14"/>
  <c r="C3237" i="14"/>
  <c r="C3238" i="14"/>
  <c r="C3239" i="14"/>
  <c r="C3240" i="14"/>
  <c r="C3241" i="14"/>
  <c r="C3242" i="14"/>
  <c r="C3243" i="14"/>
  <c r="C3244" i="14"/>
  <c r="C3245" i="14"/>
  <c r="C3246" i="14"/>
  <c r="C3247" i="14"/>
  <c r="C3248" i="14"/>
  <c r="C3249" i="14"/>
  <c r="C3250" i="14"/>
  <c r="C3251" i="14"/>
  <c r="C3252" i="14"/>
  <c r="C3253" i="14"/>
  <c r="C3254" i="14"/>
  <c r="C3255" i="14"/>
  <c r="C3256" i="14"/>
  <c r="C3257" i="14"/>
  <c r="C3258" i="14"/>
  <c r="C3259" i="14"/>
  <c r="C3260" i="14"/>
  <c r="C3261" i="14"/>
  <c r="C3262" i="14"/>
  <c r="C3263" i="14"/>
  <c r="C3264" i="14"/>
  <c r="C3265" i="14"/>
  <c r="C3266" i="14"/>
  <c r="C3267" i="14"/>
  <c r="C3268" i="14"/>
  <c r="C3269" i="14"/>
  <c r="C3270" i="14"/>
  <c r="C3271" i="14"/>
  <c r="C3272" i="14"/>
  <c r="C3273" i="14"/>
  <c r="C3274" i="14"/>
  <c r="C3275" i="14"/>
  <c r="C3276" i="14"/>
  <c r="C3277" i="14"/>
  <c r="C3278" i="14"/>
  <c r="C3279" i="14"/>
  <c r="C3280" i="14"/>
  <c r="C3281" i="14"/>
  <c r="C3282" i="14"/>
  <c r="C3283" i="14"/>
  <c r="C3284" i="14"/>
  <c r="C3285" i="14"/>
  <c r="C3286" i="14"/>
  <c r="C3287" i="14"/>
  <c r="C3288" i="14"/>
  <c r="C3289" i="14"/>
  <c r="C3290" i="14"/>
  <c r="C3291" i="14"/>
  <c r="C3292" i="14"/>
  <c r="C3293" i="14"/>
  <c r="C3294" i="14"/>
  <c r="C3295" i="14"/>
  <c r="C3296" i="14"/>
  <c r="C3297" i="14"/>
  <c r="C3298" i="14"/>
  <c r="C3299" i="14"/>
  <c r="C3300" i="14"/>
  <c r="C3301" i="14"/>
  <c r="C3302" i="14"/>
  <c r="C3303" i="14"/>
  <c r="C3304" i="14"/>
  <c r="C3305" i="14"/>
  <c r="C3306" i="14"/>
  <c r="C3307" i="14"/>
  <c r="C3308" i="14"/>
  <c r="C3309" i="14"/>
  <c r="C3310" i="14"/>
  <c r="C3311" i="14"/>
  <c r="C3312" i="14"/>
  <c r="C3313" i="14"/>
  <c r="C3314" i="14"/>
  <c r="C3315" i="14"/>
  <c r="C3316" i="14"/>
  <c r="C3317" i="14"/>
  <c r="C3318" i="14"/>
  <c r="C3319" i="14"/>
  <c r="C3320" i="14"/>
  <c r="C3321" i="14"/>
  <c r="C3322" i="14"/>
  <c r="C3323" i="14"/>
  <c r="C3324" i="14"/>
  <c r="C3325" i="14"/>
  <c r="C3326" i="14"/>
  <c r="C3327" i="14"/>
  <c r="C3328" i="14"/>
  <c r="C3329" i="14"/>
  <c r="C3330" i="14"/>
  <c r="C3331" i="14"/>
  <c r="C3332" i="14"/>
  <c r="C3333" i="14"/>
  <c r="C3334" i="14"/>
  <c r="C3335" i="14"/>
  <c r="C3336" i="14"/>
  <c r="C3337" i="14"/>
  <c r="C3338" i="14"/>
  <c r="C3339" i="14"/>
  <c r="C3340" i="14"/>
  <c r="C3341" i="14"/>
  <c r="C3342" i="14"/>
  <c r="C3343" i="14"/>
  <c r="C3344" i="14"/>
  <c r="C3345" i="14"/>
  <c r="C3346" i="14"/>
  <c r="C3347" i="14"/>
  <c r="C3348" i="14"/>
  <c r="C3349" i="14"/>
  <c r="C3350" i="14"/>
  <c r="C3351" i="14"/>
  <c r="C3352" i="14"/>
  <c r="C3353" i="14"/>
  <c r="C3354" i="14"/>
  <c r="C3355" i="14"/>
  <c r="C3356" i="14"/>
  <c r="C3357" i="14"/>
  <c r="C3358" i="14"/>
  <c r="C3359" i="14"/>
  <c r="C3360" i="14"/>
  <c r="C3361" i="14"/>
  <c r="C3362" i="14"/>
  <c r="C3363" i="14"/>
  <c r="C3364" i="14"/>
  <c r="C3365" i="14"/>
  <c r="C3366" i="14"/>
  <c r="C3367" i="14"/>
  <c r="C3368" i="14"/>
  <c r="C3369" i="14"/>
  <c r="C3370" i="14"/>
  <c r="C3371" i="14"/>
  <c r="C3372" i="14"/>
  <c r="C3373" i="14"/>
  <c r="C3374" i="14"/>
  <c r="C3375" i="14"/>
  <c r="C3376" i="14"/>
  <c r="C3377" i="14"/>
  <c r="C3378" i="14"/>
  <c r="C3379" i="14"/>
  <c r="C3380" i="14"/>
  <c r="C3381" i="14"/>
  <c r="C3382" i="14"/>
  <c r="C3383" i="14"/>
  <c r="C3384" i="14"/>
  <c r="C3385" i="14"/>
  <c r="C3386" i="14"/>
  <c r="C3387" i="14"/>
  <c r="C3388" i="14"/>
  <c r="C3389" i="14"/>
  <c r="C3390" i="14"/>
  <c r="C3391" i="14"/>
  <c r="C3392" i="14"/>
  <c r="C3393" i="14"/>
  <c r="C3394" i="14"/>
  <c r="C3395" i="14"/>
  <c r="C3396" i="14"/>
  <c r="C3397" i="14"/>
  <c r="C3398" i="14"/>
  <c r="C3399" i="14"/>
  <c r="C3400" i="14"/>
  <c r="C3401" i="14"/>
  <c r="C3402" i="14"/>
  <c r="C3403" i="14"/>
  <c r="C3404" i="14"/>
  <c r="C3405" i="14"/>
  <c r="C3406" i="14"/>
  <c r="C3407" i="14"/>
  <c r="C3408" i="14"/>
  <c r="C3409" i="14"/>
  <c r="C3410" i="14"/>
  <c r="C3411" i="14"/>
  <c r="C3412" i="14"/>
  <c r="C3413" i="14"/>
  <c r="C3414" i="14"/>
  <c r="C3415" i="14"/>
  <c r="C3416" i="14"/>
  <c r="C3417" i="14"/>
  <c r="C3418" i="14"/>
  <c r="C3419" i="14"/>
  <c r="C3420" i="14"/>
  <c r="C3421" i="14"/>
  <c r="C3422" i="14"/>
  <c r="C3423" i="14"/>
  <c r="C3424" i="14"/>
  <c r="C3425" i="14"/>
  <c r="C3426" i="14"/>
  <c r="C3427" i="14"/>
  <c r="C3428" i="14"/>
  <c r="C3429" i="14"/>
  <c r="C3430" i="14"/>
  <c r="C3431" i="14"/>
  <c r="C3432" i="14"/>
  <c r="C3433" i="14"/>
  <c r="C3434" i="14"/>
  <c r="C3435" i="14"/>
  <c r="C3436" i="14"/>
  <c r="C3437" i="14"/>
  <c r="C3438" i="14"/>
  <c r="C3439" i="14"/>
  <c r="C3440" i="14"/>
  <c r="C3441" i="14"/>
  <c r="C3442" i="14"/>
  <c r="C3443" i="14"/>
  <c r="C3444" i="14"/>
  <c r="C3445" i="14"/>
  <c r="C3446" i="14"/>
  <c r="C3447" i="14"/>
  <c r="C3448" i="14"/>
  <c r="C3449" i="14"/>
  <c r="C3450" i="14"/>
  <c r="C3451" i="14"/>
  <c r="C3452" i="14"/>
  <c r="C3453" i="14"/>
  <c r="C3454" i="14"/>
  <c r="C3455" i="14"/>
  <c r="C3456" i="14"/>
  <c r="C3457" i="14"/>
  <c r="C3458" i="14"/>
  <c r="C3459" i="14"/>
  <c r="C3460" i="14"/>
  <c r="C3461" i="14"/>
  <c r="C3462" i="14"/>
  <c r="C3463" i="14"/>
  <c r="C3464" i="14"/>
  <c r="C3465" i="14"/>
  <c r="C3466" i="14"/>
  <c r="C3467" i="14"/>
  <c r="C3468" i="14"/>
  <c r="C3469" i="14"/>
  <c r="C3470" i="14"/>
  <c r="C3471" i="14"/>
  <c r="C3472" i="14"/>
  <c r="C3473" i="14"/>
  <c r="C3474" i="14"/>
  <c r="C3475" i="14"/>
  <c r="C3476" i="14"/>
  <c r="C3477" i="14"/>
  <c r="C3478" i="14"/>
  <c r="C3479" i="14"/>
  <c r="C3480" i="14"/>
  <c r="C3481" i="14"/>
  <c r="C3482" i="14"/>
  <c r="C3483" i="14"/>
  <c r="C3484" i="14"/>
  <c r="C3485" i="14"/>
  <c r="C3486" i="14"/>
  <c r="C3487" i="14"/>
  <c r="C3488" i="14"/>
  <c r="C3489" i="14"/>
  <c r="C3490" i="14"/>
  <c r="C3491" i="14"/>
  <c r="C3492" i="14"/>
  <c r="C3493" i="14"/>
  <c r="C3494" i="14"/>
  <c r="C3495" i="14"/>
  <c r="C3496" i="14"/>
  <c r="C3497" i="14"/>
  <c r="C3498" i="14"/>
  <c r="C3499" i="14"/>
  <c r="C3500" i="14"/>
  <c r="C3501" i="14"/>
  <c r="C3502" i="14"/>
  <c r="C3503" i="14"/>
  <c r="C3504" i="14"/>
  <c r="C3505" i="14"/>
  <c r="C3506" i="14"/>
  <c r="C3507" i="14"/>
  <c r="C3508" i="14"/>
  <c r="C3509" i="14"/>
  <c r="C3510" i="14"/>
  <c r="C3511" i="14"/>
  <c r="C3512" i="14"/>
  <c r="C3513" i="14"/>
  <c r="C3514" i="14"/>
  <c r="C3515" i="14"/>
  <c r="C3516" i="14"/>
  <c r="C3517" i="14"/>
  <c r="C3518" i="14"/>
  <c r="C3519" i="14"/>
  <c r="C3520" i="14"/>
  <c r="C3521" i="14"/>
  <c r="C3522" i="14"/>
  <c r="C3523" i="14"/>
  <c r="C3524" i="14"/>
  <c r="C3525" i="14"/>
  <c r="C3526" i="14"/>
  <c r="C3527" i="14"/>
  <c r="C3528" i="14"/>
  <c r="C3529" i="14"/>
  <c r="C3530" i="14"/>
  <c r="C3531" i="14"/>
  <c r="C3532" i="14"/>
  <c r="C3533" i="14"/>
  <c r="C3534" i="14"/>
  <c r="C3535" i="14"/>
  <c r="C3536" i="14"/>
  <c r="C3537" i="14"/>
  <c r="C3538" i="14"/>
  <c r="C3539" i="14"/>
  <c r="C3540" i="14"/>
  <c r="C3541" i="14"/>
  <c r="C3542" i="14"/>
  <c r="C3543" i="14"/>
  <c r="C3544" i="14"/>
  <c r="C3545" i="14"/>
  <c r="C3546" i="14"/>
  <c r="C3547" i="14"/>
  <c r="C3548" i="14"/>
  <c r="C3549" i="14"/>
  <c r="C3550" i="14"/>
  <c r="C3551" i="14"/>
  <c r="C3552" i="14"/>
  <c r="C3553" i="14"/>
  <c r="C3554" i="14"/>
  <c r="C3555" i="14"/>
  <c r="C3556" i="14"/>
  <c r="C3557" i="14"/>
  <c r="C3558" i="14"/>
  <c r="C3559" i="14"/>
  <c r="C3560" i="14"/>
  <c r="C3561" i="14"/>
  <c r="C3562" i="14"/>
  <c r="C3563" i="14"/>
  <c r="C3564" i="14"/>
  <c r="C3565" i="14"/>
  <c r="C3566" i="14"/>
  <c r="C3567" i="14"/>
  <c r="C3568" i="14"/>
  <c r="C3569" i="14"/>
  <c r="C3570" i="14"/>
  <c r="C3571" i="14"/>
  <c r="C3572" i="14"/>
  <c r="C3573" i="14"/>
  <c r="C3574" i="14"/>
  <c r="C3575" i="14"/>
  <c r="C3576" i="14"/>
  <c r="C3577" i="14"/>
  <c r="C3578" i="14"/>
  <c r="C3579" i="14"/>
  <c r="C3580" i="14"/>
  <c r="C3581" i="14"/>
  <c r="C3582" i="14"/>
  <c r="C3583" i="14"/>
  <c r="C3584" i="14"/>
  <c r="C3585" i="14"/>
  <c r="C3586" i="14"/>
  <c r="C3587" i="14"/>
  <c r="C3588" i="14"/>
  <c r="C3589" i="14"/>
  <c r="C3590" i="14"/>
  <c r="C3591" i="14"/>
  <c r="C3592" i="14"/>
  <c r="C3593" i="14"/>
  <c r="C3594" i="14"/>
  <c r="C3595" i="14"/>
  <c r="C3596" i="14"/>
  <c r="C3597" i="14"/>
  <c r="C3598" i="14"/>
  <c r="C3599" i="14"/>
  <c r="C3600" i="14"/>
  <c r="C3601" i="14"/>
  <c r="C3602" i="14"/>
  <c r="C3603" i="14"/>
  <c r="C3604" i="14"/>
  <c r="C3605" i="14"/>
  <c r="C3606" i="14"/>
  <c r="C3607" i="14"/>
  <c r="C3608" i="14"/>
  <c r="C3609" i="14"/>
  <c r="C3610" i="14"/>
  <c r="C3611" i="14"/>
  <c r="C3612" i="14"/>
  <c r="C3613" i="14"/>
  <c r="C3614" i="14"/>
  <c r="C3615" i="14"/>
  <c r="C3616" i="14"/>
  <c r="C3617" i="14"/>
  <c r="C3618" i="14"/>
  <c r="C3619" i="14"/>
  <c r="C3620" i="14"/>
  <c r="C3621" i="14"/>
  <c r="C3622" i="14"/>
  <c r="C3623" i="14"/>
  <c r="C3624" i="14"/>
  <c r="C3625" i="14"/>
  <c r="C3626" i="14"/>
  <c r="C3627" i="14"/>
  <c r="C3628" i="14"/>
  <c r="C3629" i="14"/>
  <c r="C3630" i="14"/>
  <c r="C3631" i="14"/>
  <c r="C3632" i="14"/>
  <c r="C3633" i="14"/>
  <c r="C3634" i="14"/>
  <c r="C3635" i="14"/>
  <c r="C3636" i="14"/>
  <c r="C3637" i="14"/>
  <c r="C3638" i="14"/>
  <c r="C3639" i="14"/>
  <c r="C3640" i="14"/>
  <c r="C3641" i="14"/>
  <c r="C3642" i="14"/>
  <c r="C3643" i="14"/>
  <c r="C3644" i="14"/>
  <c r="C3645" i="14"/>
  <c r="C3646" i="14"/>
  <c r="C3647" i="14"/>
  <c r="C3648" i="14"/>
  <c r="C3649" i="14"/>
  <c r="C3650" i="14"/>
  <c r="C3651" i="14"/>
  <c r="C3652" i="14"/>
  <c r="C3653" i="14"/>
  <c r="C3654" i="14"/>
  <c r="C3655" i="14"/>
  <c r="C3656" i="14"/>
  <c r="C3657" i="14"/>
  <c r="C3658" i="14"/>
  <c r="C3659" i="14"/>
  <c r="C3660" i="14"/>
  <c r="C3661" i="14"/>
  <c r="C3662" i="14"/>
  <c r="C3663" i="14"/>
  <c r="C3664" i="14"/>
  <c r="C3665" i="14"/>
  <c r="C3666" i="14"/>
  <c r="C3667" i="14"/>
  <c r="C3668" i="14"/>
  <c r="C3669" i="14"/>
  <c r="C3670" i="14"/>
  <c r="C3671" i="14"/>
  <c r="C3672" i="14"/>
  <c r="C3673" i="14"/>
  <c r="C3674" i="14"/>
  <c r="C3675" i="14"/>
  <c r="C3676" i="14"/>
  <c r="C3677" i="14"/>
  <c r="C3678" i="14"/>
  <c r="C3679" i="14"/>
  <c r="C3680" i="14"/>
  <c r="C3681" i="14"/>
  <c r="C3682" i="14"/>
  <c r="C3683" i="14"/>
  <c r="C3684" i="14"/>
  <c r="C3685" i="14"/>
  <c r="C3686" i="14"/>
  <c r="C3687" i="14"/>
  <c r="C3688" i="14"/>
  <c r="C3689" i="14"/>
  <c r="C3690" i="14"/>
  <c r="C3691" i="14"/>
  <c r="C3692" i="14"/>
  <c r="C3693" i="14"/>
  <c r="C3694" i="14"/>
  <c r="C3695" i="14"/>
  <c r="C3696" i="14"/>
  <c r="C3697" i="14"/>
  <c r="C3698" i="14"/>
  <c r="C3699" i="14"/>
  <c r="C3700" i="14"/>
  <c r="C3701" i="14"/>
  <c r="C3702" i="14"/>
  <c r="C3703" i="14"/>
  <c r="C3704" i="14"/>
  <c r="C3705" i="14"/>
  <c r="C3706" i="14"/>
  <c r="C3707" i="14"/>
  <c r="C3708" i="14"/>
  <c r="C3709" i="14"/>
  <c r="C3710" i="14"/>
  <c r="C3711" i="14"/>
  <c r="C3712" i="14"/>
  <c r="C3713" i="14"/>
  <c r="C3714" i="14"/>
  <c r="C3715" i="14"/>
  <c r="C3716" i="14"/>
  <c r="C3717" i="14"/>
  <c r="C3718" i="14"/>
  <c r="C3719" i="14"/>
  <c r="C3720" i="14"/>
  <c r="C3721" i="14"/>
  <c r="C3722" i="14"/>
  <c r="C3723" i="14"/>
  <c r="C3724" i="14"/>
  <c r="C3725" i="14"/>
  <c r="C3726" i="14"/>
  <c r="C3727" i="14"/>
  <c r="C3728" i="14"/>
  <c r="C3729" i="14"/>
  <c r="C3730" i="14"/>
  <c r="C3731" i="14"/>
  <c r="C3732" i="14"/>
  <c r="C3733" i="14"/>
  <c r="C3734" i="14"/>
  <c r="C3735" i="14"/>
  <c r="C3736" i="14"/>
  <c r="C3737" i="14"/>
  <c r="C3738" i="14"/>
  <c r="C3739" i="14"/>
  <c r="C3740" i="14"/>
  <c r="C3741" i="14"/>
  <c r="C3742" i="14"/>
  <c r="C3743" i="14"/>
  <c r="C3744" i="14"/>
  <c r="C3745" i="14"/>
  <c r="C3746" i="14"/>
  <c r="C3747" i="14"/>
  <c r="C3748" i="14"/>
  <c r="C3749" i="14"/>
  <c r="C3750" i="14"/>
  <c r="C3751" i="14"/>
  <c r="C3752" i="14"/>
  <c r="C3753" i="14"/>
  <c r="C3754" i="14"/>
  <c r="C3755" i="14"/>
  <c r="C3756" i="14"/>
  <c r="C3757" i="14"/>
  <c r="C3758" i="14"/>
  <c r="C3759" i="14"/>
  <c r="C3760" i="14"/>
  <c r="C3761" i="14"/>
  <c r="C3762" i="14"/>
  <c r="C3763" i="14"/>
  <c r="C3764" i="14"/>
  <c r="C3765" i="14"/>
  <c r="C3766" i="14"/>
  <c r="C3767" i="14"/>
  <c r="C3768" i="14"/>
  <c r="C3769" i="14"/>
  <c r="C3770" i="14"/>
  <c r="C3771" i="14"/>
  <c r="C3772" i="14"/>
  <c r="C3773" i="14"/>
  <c r="C3774" i="14"/>
  <c r="C3775" i="14"/>
  <c r="C3776" i="14"/>
  <c r="C3777" i="14"/>
  <c r="C3778" i="14"/>
  <c r="C3779" i="14"/>
  <c r="C3780" i="14"/>
  <c r="C3781" i="14"/>
  <c r="C3782" i="14"/>
  <c r="C3783" i="14"/>
  <c r="C3784" i="14"/>
  <c r="C3785" i="14"/>
  <c r="C3786" i="14"/>
  <c r="C3787" i="14"/>
  <c r="C3788" i="14"/>
  <c r="C3789" i="14"/>
  <c r="C3790" i="14"/>
  <c r="C3791" i="14"/>
  <c r="C3792" i="14"/>
  <c r="C3793" i="14"/>
  <c r="C3794" i="14"/>
  <c r="C3795" i="14"/>
  <c r="C3796" i="14"/>
  <c r="C3797" i="14"/>
  <c r="C3798" i="14"/>
  <c r="C3799" i="14"/>
  <c r="C3800" i="14"/>
  <c r="C3801" i="14"/>
  <c r="C3802" i="14"/>
  <c r="C3803" i="14"/>
  <c r="C3804" i="14"/>
  <c r="C3805" i="14"/>
  <c r="C3806" i="14"/>
  <c r="C3807" i="14"/>
  <c r="C3808" i="14"/>
  <c r="C3809" i="14"/>
  <c r="C3810" i="14"/>
  <c r="C3811" i="14"/>
  <c r="C3812" i="14"/>
  <c r="C3813" i="14"/>
  <c r="C3814" i="14"/>
  <c r="C3815" i="14"/>
  <c r="C3816" i="14"/>
  <c r="C3817" i="14"/>
  <c r="C3818" i="14"/>
  <c r="C3819" i="14"/>
  <c r="C3820" i="14"/>
  <c r="C3821" i="14"/>
  <c r="C3822" i="14"/>
  <c r="C3823" i="14"/>
  <c r="C3824" i="14"/>
  <c r="C3825" i="14"/>
  <c r="C3826" i="14"/>
  <c r="C3827" i="14"/>
  <c r="C3828" i="14"/>
  <c r="C3829" i="14"/>
  <c r="C3830" i="14"/>
  <c r="C3831" i="14"/>
  <c r="C3832" i="14"/>
  <c r="C3833" i="14"/>
  <c r="C3834" i="14"/>
  <c r="C3835" i="14"/>
  <c r="C3836" i="14"/>
  <c r="C3837" i="14"/>
  <c r="C3838" i="14"/>
  <c r="C3839" i="14"/>
  <c r="C3840" i="14"/>
  <c r="C3841" i="14"/>
  <c r="C3842" i="14"/>
  <c r="C3843" i="14"/>
  <c r="C3844" i="14"/>
  <c r="C3845" i="14"/>
  <c r="C3846" i="14"/>
  <c r="C3847" i="14"/>
  <c r="C3848" i="14"/>
  <c r="C3849" i="14"/>
  <c r="C3850" i="14"/>
  <c r="C3851" i="14"/>
  <c r="C3852" i="14"/>
  <c r="C3853" i="14"/>
  <c r="C3854" i="14"/>
  <c r="C3855" i="14"/>
  <c r="C3856" i="14"/>
  <c r="C3857" i="14"/>
  <c r="C3858" i="14"/>
  <c r="C3859" i="14"/>
  <c r="C3860" i="14"/>
  <c r="C3861" i="14"/>
  <c r="C3862" i="14"/>
  <c r="C3863" i="14"/>
  <c r="C3864" i="14"/>
  <c r="C3865" i="14"/>
  <c r="C3866" i="14"/>
  <c r="C3867" i="14"/>
  <c r="C3868" i="14"/>
  <c r="C3869" i="14"/>
  <c r="C3870" i="14"/>
  <c r="C3871" i="14"/>
  <c r="C3872" i="14"/>
  <c r="C3873" i="14"/>
  <c r="C3874" i="14"/>
  <c r="C3875" i="14"/>
  <c r="C3876" i="14"/>
  <c r="C3877" i="14"/>
  <c r="C3878" i="14"/>
  <c r="C3879" i="14"/>
  <c r="C3880" i="14"/>
  <c r="C3881" i="14"/>
  <c r="C3882" i="14"/>
  <c r="C3883" i="14"/>
  <c r="C3884" i="14"/>
  <c r="C3885" i="14"/>
  <c r="C3886" i="14"/>
  <c r="C3887" i="14"/>
  <c r="C3888" i="14"/>
  <c r="C3889" i="14"/>
  <c r="C3890" i="14"/>
  <c r="C3891" i="14"/>
  <c r="C3892" i="14"/>
  <c r="C3893" i="14"/>
  <c r="T11" i="1" l="1"/>
  <c r="AH11" i="1" s="1"/>
  <c r="T12" i="1"/>
  <c r="AH12" i="1" s="1"/>
  <c r="T13" i="1"/>
  <c r="AH13" i="1" s="1"/>
  <c r="T14" i="1"/>
  <c r="AH14" i="1" s="1"/>
  <c r="T15" i="1"/>
  <c r="AH15" i="1" s="1"/>
  <c r="T16" i="1"/>
  <c r="AH16" i="1" s="1"/>
  <c r="T17" i="1"/>
  <c r="AH17" i="1" s="1"/>
  <c r="T18" i="1"/>
  <c r="AH18" i="1" s="1"/>
  <c r="T19" i="1"/>
  <c r="AH19" i="1" s="1"/>
  <c r="T20" i="1"/>
  <c r="AH20" i="1" s="1"/>
  <c r="T21" i="1"/>
  <c r="AH21" i="1" s="1"/>
  <c r="T22" i="1"/>
  <c r="AH22" i="1" s="1"/>
  <c r="T23" i="1"/>
  <c r="AH23" i="1" s="1"/>
  <c r="T24" i="1"/>
  <c r="AH24" i="1" s="1"/>
  <c r="T25" i="1"/>
  <c r="AH25" i="1" s="1"/>
  <c r="T26" i="1"/>
  <c r="AH26" i="1" s="1"/>
  <c r="T27" i="1"/>
  <c r="AH27" i="1" s="1"/>
  <c r="T28" i="1"/>
  <c r="AH28" i="1" s="1"/>
  <c r="T29" i="1"/>
  <c r="AH29" i="1" s="1"/>
  <c r="T30" i="1"/>
  <c r="AH30" i="1" s="1"/>
  <c r="T31" i="1"/>
  <c r="AH31" i="1" s="1"/>
  <c r="T32" i="1"/>
  <c r="AH32" i="1" s="1"/>
  <c r="T33" i="1"/>
  <c r="AH33" i="1" s="1"/>
  <c r="T34" i="1"/>
  <c r="AH34" i="1" s="1"/>
  <c r="T35" i="1"/>
  <c r="AH35" i="1" s="1"/>
  <c r="T36" i="1"/>
  <c r="AH36" i="1" s="1"/>
  <c r="T37" i="1"/>
  <c r="AH37" i="1" s="1"/>
  <c r="T38" i="1"/>
  <c r="AH38" i="1" s="1"/>
  <c r="T39" i="1"/>
  <c r="AH39" i="1" s="1"/>
  <c r="T40" i="1"/>
  <c r="AH40" i="1" s="1"/>
  <c r="T41" i="1"/>
  <c r="AH41" i="1" s="1"/>
  <c r="T42" i="1"/>
  <c r="AH42" i="1" s="1"/>
  <c r="T43" i="1"/>
  <c r="AH43" i="1" s="1"/>
  <c r="T44" i="1"/>
  <c r="AH44" i="1" s="1"/>
  <c r="T45" i="1"/>
  <c r="AH45" i="1" s="1"/>
  <c r="T46" i="1"/>
  <c r="AH46" i="1" s="1"/>
  <c r="T47" i="1"/>
  <c r="AH47" i="1" s="1"/>
  <c r="T48" i="1"/>
  <c r="AH48" i="1" s="1"/>
  <c r="T49" i="1"/>
  <c r="AH49" i="1" s="1"/>
  <c r="T50" i="1"/>
  <c r="AH50" i="1" s="1"/>
  <c r="T51" i="1"/>
  <c r="AH51" i="1" s="1"/>
  <c r="T52" i="1"/>
  <c r="AH52" i="1" s="1"/>
  <c r="T53" i="1"/>
  <c r="AH53" i="1" s="1"/>
  <c r="T54" i="1"/>
  <c r="AH54" i="1" s="1"/>
  <c r="T55" i="1"/>
  <c r="AH55" i="1" s="1"/>
  <c r="T56" i="1"/>
  <c r="AH56" i="1" s="1"/>
  <c r="T57" i="1"/>
  <c r="AH57" i="1" s="1"/>
  <c r="T58" i="1"/>
  <c r="AH58" i="1" s="1"/>
  <c r="T59" i="1"/>
  <c r="AH59" i="1" s="1"/>
  <c r="T60" i="1"/>
  <c r="AH60" i="1" s="1"/>
  <c r="T61" i="1"/>
  <c r="AH61" i="1" s="1"/>
  <c r="T62" i="1"/>
  <c r="AH62" i="1" s="1"/>
  <c r="T63" i="1"/>
  <c r="AH63" i="1" s="1"/>
  <c r="T64" i="1"/>
  <c r="AH64" i="1" s="1"/>
  <c r="T65" i="1"/>
  <c r="AH65" i="1" s="1"/>
  <c r="T66" i="1"/>
  <c r="AH66" i="1" s="1"/>
  <c r="T67" i="1"/>
  <c r="AH67" i="1" s="1"/>
  <c r="T68" i="1"/>
  <c r="AH68" i="1" s="1"/>
  <c r="T69" i="1"/>
  <c r="AH69" i="1" s="1"/>
  <c r="T70" i="1"/>
  <c r="AH70" i="1" s="1"/>
  <c r="T71" i="1"/>
  <c r="AH71" i="1" s="1"/>
  <c r="T72" i="1"/>
  <c r="AH72" i="1" s="1"/>
  <c r="T73" i="1"/>
  <c r="AH73" i="1" s="1"/>
  <c r="T74" i="1"/>
  <c r="AH74" i="1" s="1"/>
  <c r="T75" i="1"/>
  <c r="AH75" i="1" s="1"/>
  <c r="T76" i="1"/>
  <c r="AH76" i="1" s="1"/>
  <c r="T77" i="1"/>
  <c r="AH77" i="1" s="1"/>
  <c r="T78" i="1"/>
  <c r="AH78" i="1" s="1"/>
  <c r="T79" i="1"/>
  <c r="AH79" i="1" s="1"/>
  <c r="T80" i="1"/>
  <c r="AH80" i="1" s="1"/>
  <c r="T81" i="1"/>
  <c r="AH81" i="1" s="1"/>
  <c r="T82" i="1"/>
  <c r="AH82" i="1" s="1"/>
  <c r="T83" i="1"/>
  <c r="AH83" i="1" s="1"/>
  <c r="T84" i="1"/>
  <c r="AH84" i="1" s="1"/>
  <c r="T85" i="1"/>
  <c r="AH85" i="1" s="1"/>
  <c r="T86" i="1"/>
  <c r="AH86" i="1" s="1"/>
  <c r="T87" i="1"/>
  <c r="AH87" i="1" s="1"/>
  <c r="T88" i="1"/>
  <c r="AH88" i="1" s="1"/>
  <c r="T89" i="1"/>
  <c r="AH89" i="1" s="1"/>
  <c r="T90" i="1"/>
  <c r="AH90" i="1" s="1"/>
  <c r="T91" i="1"/>
  <c r="AH91" i="1" s="1"/>
  <c r="T92" i="1"/>
  <c r="AH92" i="1" s="1"/>
  <c r="T93" i="1"/>
  <c r="AH93" i="1" s="1"/>
  <c r="T94" i="1"/>
  <c r="AH94" i="1" s="1"/>
  <c r="T95" i="1"/>
  <c r="AH95" i="1" s="1"/>
  <c r="T96" i="1"/>
  <c r="AH96" i="1" s="1"/>
  <c r="T97" i="1"/>
  <c r="AH97" i="1" s="1"/>
  <c r="T98" i="1"/>
  <c r="AH98" i="1" s="1"/>
  <c r="T99" i="1"/>
  <c r="AH99" i="1" s="1"/>
  <c r="T100" i="1"/>
  <c r="AH100" i="1" s="1"/>
  <c r="T101" i="1"/>
  <c r="AH101" i="1" s="1"/>
  <c r="T102" i="1"/>
  <c r="AH102" i="1" s="1"/>
  <c r="T103" i="1"/>
  <c r="AH103" i="1" s="1"/>
  <c r="T104" i="1"/>
  <c r="AH104" i="1" s="1"/>
  <c r="T105" i="1"/>
  <c r="AH105" i="1" s="1"/>
  <c r="T106" i="1"/>
  <c r="AH106" i="1" s="1"/>
  <c r="T107" i="1"/>
  <c r="AH107" i="1" s="1"/>
  <c r="T108" i="1"/>
  <c r="AH108" i="1" s="1"/>
  <c r="T109" i="1"/>
  <c r="AH109" i="1" s="1"/>
  <c r="T110" i="1"/>
  <c r="AH110" i="1" s="1"/>
  <c r="T111" i="1"/>
  <c r="AH111" i="1" s="1"/>
  <c r="T112" i="1"/>
  <c r="AH112" i="1" s="1"/>
  <c r="T113" i="1"/>
  <c r="AH113" i="1" s="1"/>
  <c r="T114" i="1"/>
  <c r="AH114" i="1" s="1"/>
  <c r="T115" i="1"/>
  <c r="AH115" i="1" s="1"/>
  <c r="T116" i="1"/>
  <c r="AH116" i="1" s="1"/>
  <c r="T117" i="1"/>
  <c r="AH117" i="1" s="1"/>
  <c r="T118" i="1"/>
  <c r="AH118" i="1" s="1"/>
  <c r="T119" i="1"/>
  <c r="AH119" i="1" s="1"/>
  <c r="T120" i="1"/>
  <c r="AH120" i="1" s="1"/>
  <c r="T121" i="1"/>
  <c r="AH121" i="1" s="1"/>
  <c r="T122" i="1"/>
  <c r="AH122" i="1" s="1"/>
  <c r="T123" i="1"/>
  <c r="AH123" i="1" s="1"/>
  <c r="T124" i="1"/>
  <c r="AH124" i="1" s="1"/>
  <c r="T125" i="1"/>
  <c r="AH125" i="1" s="1"/>
  <c r="T126" i="1"/>
  <c r="AH126" i="1" s="1"/>
  <c r="T127" i="1"/>
  <c r="AH127" i="1" s="1"/>
  <c r="T128" i="1"/>
  <c r="AH128" i="1" s="1"/>
  <c r="T129" i="1"/>
  <c r="AH129" i="1" s="1"/>
  <c r="T130" i="1"/>
  <c r="AH130" i="1" s="1"/>
  <c r="T131" i="1"/>
  <c r="AH131" i="1" s="1"/>
  <c r="T132" i="1"/>
  <c r="AH132" i="1" s="1"/>
  <c r="T133" i="1"/>
  <c r="AH133" i="1" s="1"/>
  <c r="T134" i="1"/>
  <c r="AH134" i="1" s="1"/>
  <c r="T135" i="1"/>
  <c r="AH135" i="1" s="1"/>
  <c r="T136" i="1"/>
  <c r="AH136" i="1" s="1"/>
  <c r="T137" i="1"/>
  <c r="AH137" i="1" s="1"/>
  <c r="T138" i="1"/>
  <c r="AH138" i="1" s="1"/>
  <c r="T139" i="1"/>
  <c r="AH139" i="1" s="1"/>
  <c r="T140" i="1"/>
  <c r="AH140" i="1" s="1"/>
  <c r="T141" i="1"/>
  <c r="AH141" i="1" s="1"/>
  <c r="T142" i="1"/>
  <c r="AH142" i="1" s="1"/>
  <c r="T143" i="1"/>
  <c r="AH143" i="1" s="1"/>
  <c r="T144" i="1"/>
  <c r="AH144" i="1" s="1"/>
  <c r="T145" i="1"/>
  <c r="AH145" i="1" s="1"/>
  <c r="T146" i="1"/>
  <c r="AH146" i="1" s="1"/>
  <c r="T147" i="1"/>
  <c r="AH147" i="1" s="1"/>
  <c r="T148" i="1"/>
  <c r="AH148" i="1" s="1"/>
  <c r="T149" i="1"/>
  <c r="AH149" i="1" s="1"/>
  <c r="T150" i="1"/>
  <c r="AH150" i="1" s="1"/>
  <c r="T151" i="1"/>
  <c r="AH151" i="1" s="1"/>
  <c r="T152" i="1"/>
  <c r="AH152" i="1" s="1"/>
  <c r="T153" i="1"/>
  <c r="AH153" i="1" s="1"/>
  <c r="T154" i="1"/>
  <c r="AH154" i="1" s="1"/>
  <c r="T155" i="1"/>
  <c r="AH155" i="1" s="1"/>
  <c r="T156" i="1"/>
  <c r="AH156" i="1" s="1"/>
  <c r="T157" i="1"/>
  <c r="AH157" i="1" s="1"/>
  <c r="T158" i="1"/>
  <c r="AH158" i="1" s="1"/>
  <c r="T159" i="1"/>
  <c r="AH159" i="1" s="1"/>
  <c r="T160" i="1"/>
  <c r="AH160" i="1" s="1"/>
  <c r="T161" i="1"/>
  <c r="AH161" i="1" s="1"/>
  <c r="T162" i="1"/>
  <c r="AH162" i="1" s="1"/>
  <c r="T163" i="1"/>
  <c r="AH163" i="1" s="1"/>
  <c r="T164" i="1"/>
  <c r="AH164" i="1" s="1"/>
  <c r="T165" i="1"/>
  <c r="AH165" i="1" s="1"/>
  <c r="T166" i="1"/>
  <c r="AH166" i="1" s="1"/>
  <c r="T167" i="1"/>
  <c r="AH167" i="1" s="1"/>
  <c r="T168" i="1"/>
  <c r="AH168" i="1" s="1"/>
  <c r="T169" i="1"/>
  <c r="AH169" i="1" s="1"/>
  <c r="T170" i="1"/>
  <c r="AH170" i="1" s="1"/>
  <c r="T171" i="1"/>
  <c r="AH171" i="1" s="1"/>
  <c r="T172" i="1"/>
  <c r="AH172" i="1" s="1"/>
  <c r="T173" i="1"/>
  <c r="AH173" i="1" s="1"/>
  <c r="T174" i="1"/>
  <c r="AH174" i="1" s="1"/>
  <c r="T175" i="1"/>
  <c r="AH175" i="1" s="1"/>
  <c r="T176" i="1"/>
  <c r="AH176" i="1" s="1"/>
  <c r="T177" i="1"/>
  <c r="AH177" i="1" s="1"/>
  <c r="T178" i="1"/>
  <c r="AH178" i="1" s="1"/>
  <c r="T179" i="1"/>
  <c r="AH179" i="1" s="1"/>
  <c r="T180" i="1"/>
  <c r="AH180" i="1" s="1"/>
  <c r="T181" i="1"/>
  <c r="AH181" i="1" s="1"/>
  <c r="T182" i="1"/>
  <c r="AH182" i="1" s="1"/>
  <c r="T183" i="1"/>
  <c r="AH183" i="1" s="1"/>
  <c r="T184" i="1"/>
  <c r="AH184" i="1" s="1"/>
  <c r="T185" i="1"/>
  <c r="AH185" i="1" s="1"/>
  <c r="T186" i="1"/>
  <c r="AH186" i="1" s="1"/>
  <c r="T187" i="1"/>
  <c r="AH187" i="1" s="1"/>
  <c r="T188" i="1"/>
  <c r="AH188" i="1" s="1"/>
  <c r="T189" i="1"/>
  <c r="AH189" i="1" s="1"/>
  <c r="T190" i="1"/>
  <c r="AH190" i="1" s="1"/>
  <c r="T191" i="1"/>
  <c r="AH191" i="1" s="1"/>
  <c r="T192" i="1"/>
  <c r="AH192" i="1" s="1"/>
  <c r="T193" i="1"/>
  <c r="AH193" i="1" s="1"/>
  <c r="T194" i="1"/>
  <c r="AH194" i="1" s="1"/>
  <c r="T195" i="1"/>
  <c r="AH195" i="1" s="1"/>
  <c r="T196" i="1"/>
  <c r="AH196" i="1" s="1"/>
  <c r="T197" i="1"/>
  <c r="AH197" i="1" s="1"/>
  <c r="T198" i="1"/>
  <c r="AH198" i="1" s="1"/>
  <c r="T199" i="1"/>
  <c r="AH199" i="1" s="1"/>
  <c r="T200" i="1"/>
  <c r="AH200" i="1" s="1"/>
  <c r="T201" i="1"/>
  <c r="AH201" i="1" s="1"/>
  <c r="T202" i="1"/>
  <c r="AH202" i="1" s="1"/>
  <c r="T203" i="1"/>
  <c r="AH203" i="1" s="1"/>
  <c r="T204" i="1"/>
  <c r="AH204" i="1" s="1"/>
  <c r="T205" i="1"/>
  <c r="AH205" i="1" s="1"/>
  <c r="T206" i="1"/>
  <c r="AH206" i="1" s="1"/>
  <c r="T207" i="1"/>
  <c r="AH207" i="1" s="1"/>
  <c r="T208" i="1"/>
  <c r="AH208" i="1" s="1"/>
  <c r="T209" i="1"/>
  <c r="AH209" i="1" s="1"/>
  <c r="T210" i="1"/>
  <c r="AH210" i="1" s="1"/>
  <c r="T211" i="1"/>
  <c r="AH211" i="1" s="1"/>
  <c r="T212" i="1"/>
  <c r="AH212" i="1" s="1"/>
  <c r="T213" i="1"/>
  <c r="AH213" i="1" s="1"/>
  <c r="T214" i="1"/>
  <c r="AH214" i="1" s="1"/>
  <c r="T215" i="1"/>
  <c r="AH215" i="1" s="1"/>
  <c r="T216" i="1"/>
  <c r="AH216" i="1" s="1"/>
  <c r="T217" i="1"/>
  <c r="AH217" i="1" s="1"/>
  <c r="T218" i="1"/>
  <c r="AH218" i="1" s="1"/>
  <c r="T219" i="1"/>
  <c r="AH219" i="1" s="1"/>
  <c r="T220" i="1"/>
  <c r="AH220" i="1" s="1"/>
  <c r="T221" i="1"/>
  <c r="AH221" i="1" s="1"/>
  <c r="T222" i="1"/>
  <c r="AH222" i="1" s="1"/>
  <c r="T223" i="1"/>
  <c r="AH223" i="1" s="1"/>
  <c r="T224" i="1"/>
  <c r="AH224" i="1" s="1"/>
  <c r="T225" i="1"/>
  <c r="AH225" i="1" s="1"/>
  <c r="T226" i="1"/>
  <c r="AH226" i="1" s="1"/>
  <c r="T227" i="1"/>
  <c r="AH227" i="1" s="1"/>
  <c r="T228" i="1"/>
  <c r="AH228" i="1" s="1"/>
  <c r="T229" i="1"/>
  <c r="AH229" i="1" s="1"/>
  <c r="T230" i="1"/>
  <c r="AH230" i="1" s="1"/>
  <c r="T231" i="1"/>
  <c r="AH231" i="1" s="1"/>
  <c r="T232" i="1"/>
  <c r="AH232" i="1" s="1"/>
  <c r="T233" i="1"/>
  <c r="AH233" i="1" s="1"/>
  <c r="T234" i="1"/>
  <c r="AH234" i="1" s="1"/>
  <c r="T235" i="1"/>
  <c r="AH235" i="1" s="1"/>
  <c r="T236" i="1"/>
  <c r="AH236" i="1" s="1"/>
  <c r="T237" i="1"/>
  <c r="AH237" i="1" s="1"/>
  <c r="T238" i="1"/>
  <c r="AH238" i="1" s="1"/>
  <c r="T239" i="1"/>
  <c r="AH239" i="1" s="1"/>
  <c r="T240" i="1"/>
  <c r="AH240" i="1" s="1"/>
  <c r="T241" i="1"/>
  <c r="AH241" i="1" s="1"/>
  <c r="T242" i="1"/>
  <c r="AH242" i="1" s="1"/>
  <c r="T243" i="1"/>
  <c r="AH243" i="1" s="1"/>
  <c r="T244" i="1"/>
  <c r="AH244" i="1" s="1"/>
  <c r="T245" i="1"/>
  <c r="AH245" i="1" s="1"/>
  <c r="T246" i="1"/>
  <c r="AH246" i="1" s="1"/>
  <c r="T247" i="1"/>
  <c r="AH247" i="1" s="1"/>
  <c r="T248" i="1"/>
  <c r="AH248" i="1" s="1"/>
  <c r="T249" i="1"/>
  <c r="AH249" i="1" s="1"/>
  <c r="T250" i="1"/>
  <c r="AH250" i="1" s="1"/>
  <c r="T251" i="1"/>
  <c r="AH251" i="1" s="1"/>
  <c r="T252" i="1"/>
  <c r="AH252" i="1" s="1"/>
  <c r="T253" i="1"/>
  <c r="AH253" i="1" s="1"/>
  <c r="T254" i="1"/>
  <c r="AH254" i="1" s="1"/>
  <c r="T255" i="1"/>
  <c r="AH255" i="1" s="1"/>
  <c r="T256" i="1"/>
  <c r="AH256" i="1" s="1"/>
  <c r="T257" i="1"/>
  <c r="AH257" i="1" s="1"/>
  <c r="T258" i="1"/>
  <c r="AH258" i="1" s="1"/>
  <c r="T259" i="1"/>
  <c r="AH259" i="1" s="1"/>
  <c r="T260" i="1"/>
  <c r="AH260" i="1" s="1"/>
  <c r="T261" i="1"/>
  <c r="AH261" i="1" s="1"/>
  <c r="T262" i="1"/>
  <c r="AH262" i="1" s="1"/>
  <c r="T263" i="1"/>
  <c r="AH263" i="1" s="1"/>
  <c r="T264" i="1"/>
  <c r="AH264" i="1" s="1"/>
  <c r="T265" i="1"/>
  <c r="AH265" i="1" s="1"/>
  <c r="T266" i="1"/>
  <c r="AH266" i="1" s="1"/>
  <c r="T267" i="1"/>
  <c r="AH267" i="1" s="1"/>
  <c r="T268" i="1"/>
  <c r="AH268" i="1" s="1"/>
  <c r="T269" i="1"/>
  <c r="AH269" i="1" s="1"/>
  <c r="T270" i="1"/>
  <c r="AH270" i="1" s="1"/>
  <c r="T271" i="1"/>
  <c r="AH271" i="1" s="1"/>
  <c r="T272" i="1"/>
  <c r="AH272" i="1" s="1"/>
  <c r="T273" i="1"/>
  <c r="AH273" i="1" s="1"/>
  <c r="T274" i="1"/>
  <c r="AH274" i="1" s="1"/>
  <c r="T275" i="1"/>
  <c r="AH275" i="1" s="1"/>
  <c r="T276" i="1"/>
  <c r="AH276" i="1" s="1"/>
  <c r="T277" i="1"/>
  <c r="AH277" i="1" s="1"/>
  <c r="T278" i="1"/>
  <c r="AH278" i="1" s="1"/>
  <c r="T279" i="1"/>
  <c r="AH279" i="1" s="1"/>
  <c r="T280" i="1"/>
  <c r="AH280" i="1" s="1"/>
  <c r="T281" i="1"/>
  <c r="AH281" i="1" s="1"/>
  <c r="T282" i="1"/>
  <c r="AH282" i="1" s="1"/>
  <c r="T283" i="1"/>
  <c r="AH283" i="1" s="1"/>
  <c r="T284" i="1"/>
  <c r="AH284" i="1" s="1"/>
  <c r="T285" i="1"/>
  <c r="AH285" i="1" s="1"/>
  <c r="T286" i="1"/>
  <c r="AH286" i="1" s="1"/>
  <c r="T287" i="1"/>
  <c r="AH287" i="1" s="1"/>
  <c r="T288" i="1"/>
  <c r="AH288" i="1" s="1"/>
  <c r="T289" i="1"/>
  <c r="AH289" i="1" s="1"/>
  <c r="T290" i="1"/>
  <c r="AH290" i="1" s="1"/>
  <c r="T291" i="1"/>
  <c r="AH291" i="1" s="1"/>
  <c r="T292" i="1"/>
  <c r="AH292" i="1" s="1"/>
  <c r="T293" i="1"/>
  <c r="AH293" i="1" s="1"/>
  <c r="T294" i="1"/>
  <c r="AH294" i="1" s="1"/>
  <c r="T295" i="1"/>
  <c r="AH295" i="1" s="1"/>
  <c r="T296" i="1"/>
  <c r="AH296" i="1" s="1"/>
  <c r="T297" i="1"/>
  <c r="AH297" i="1" s="1"/>
  <c r="T298" i="1"/>
  <c r="AH298" i="1" s="1"/>
  <c r="T299" i="1"/>
  <c r="AH299" i="1" s="1"/>
  <c r="T300" i="1"/>
  <c r="AH300" i="1" s="1"/>
  <c r="T301" i="1"/>
  <c r="AH301" i="1" s="1"/>
  <c r="T302" i="1"/>
  <c r="AH302" i="1" s="1"/>
  <c r="T303" i="1"/>
  <c r="AH303" i="1" s="1"/>
  <c r="T304" i="1"/>
  <c r="AH304" i="1" s="1"/>
  <c r="T305" i="1"/>
  <c r="AH305" i="1" s="1"/>
  <c r="T306" i="1"/>
  <c r="AH306" i="1" s="1"/>
  <c r="T307" i="1"/>
  <c r="AH307" i="1" s="1"/>
  <c r="T308" i="1"/>
  <c r="AH308" i="1" s="1"/>
  <c r="T309" i="1"/>
  <c r="AH309" i="1" s="1"/>
  <c r="T310" i="1"/>
  <c r="AH310" i="1" s="1"/>
  <c r="T311" i="1"/>
  <c r="AH311" i="1" s="1"/>
  <c r="T312" i="1"/>
  <c r="AH312" i="1" s="1"/>
  <c r="T313" i="1"/>
  <c r="AH313" i="1" s="1"/>
  <c r="T314" i="1"/>
  <c r="AH314" i="1" s="1"/>
  <c r="T315" i="1"/>
  <c r="AH315" i="1" s="1"/>
  <c r="T316" i="1"/>
  <c r="AH316" i="1" s="1"/>
  <c r="T317" i="1"/>
  <c r="AH317" i="1" s="1"/>
  <c r="T318" i="1"/>
  <c r="AH318" i="1" s="1"/>
  <c r="T319" i="1"/>
  <c r="AH319" i="1" s="1"/>
  <c r="T320" i="1"/>
  <c r="AH320" i="1" s="1"/>
  <c r="T321" i="1"/>
  <c r="AH321" i="1" s="1"/>
  <c r="T322" i="1"/>
  <c r="AH322" i="1" s="1"/>
  <c r="T323" i="1"/>
  <c r="AH323" i="1" s="1"/>
  <c r="T324" i="1"/>
  <c r="AH324" i="1" s="1"/>
  <c r="T325" i="1"/>
  <c r="AH325" i="1" s="1"/>
  <c r="T326" i="1"/>
  <c r="AH326" i="1" s="1"/>
  <c r="T327" i="1"/>
  <c r="AH327" i="1" s="1"/>
  <c r="T328" i="1"/>
  <c r="AH328" i="1" s="1"/>
  <c r="T329" i="1"/>
  <c r="AH329" i="1" s="1"/>
  <c r="T330" i="1"/>
  <c r="AH330" i="1" s="1"/>
  <c r="T331" i="1"/>
  <c r="AH331" i="1" s="1"/>
  <c r="T332" i="1"/>
  <c r="AH332" i="1" s="1"/>
  <c r="T333" i="1"/>
  <c r="AH333" i="1" s="1"/>
  <c r="T334" i="1"/>
  <c r="AH334" i="1" s="1"/>
  <c r="T335" i="1"/>
  <c r="AH335" i="1" s="1"/>
  <c r="T336" i="1"/>
  <c r="AH336" i="1" s="1"/>
  <c r="T337" i="1"/>
  <c r="AH337" i="1" s="1"/>
  <c r="T338" i="1"/>
  <c r="AH338" i="1" s="1"/>
  <c r="T339" i="1"/>
  <c r="AH339" i="1" s="1"/>
  <c r="T340" i="1"/>
  <c r="AH340" i="1" s="1"/>
  <c r="T341" i="1"/>
  <c r="AH341" i="1" s="1"/>
  <c r="T342" i="1"/>
  <c r="AH342" i="1" s="1"/>
  <c r="T343" i="1"/>
  <c r="AH343" i="1" s="1"/>
  <c r="T344" i="1"/>
  <c r="AH344" i="1" s="1"/>
  <c r="T345" i="1"/>
  <c r="AH345" i="1" s="1"/>
  <c r="T346" i="1"/>
  <c r="AH346" i="1" s="1"/>
  <c r="T347" i="1"/>
  <c r="AH347" i="1" s="1"/>
  <c r="T348" i="1"/>
  <c r="AH348" i="1" s="1"/>
  <c r="T349" i="1"/>
  <c r="AH349" i="1" s="1"/>
  <c r="T350" i="1"/>
  <c r="AH350" i="1" s="1"/>
  <c r="T351" i="1"/>
  <c r="AH351" i="1" s="1"/>
  <c r="T352" i="1"/>
  <c r="AH352" i="1" s="1"/>
  <c r="T353" i="1"/>
  <c r="AH353" i="1" s="1"/>
  <c r="T354" i="1"/>
  <c r="AH354" i="1" s="1"/>
  <c r="T355" i="1"/>
  <c r="AH355" i="1" s="1"/>
  <c r="T356" i="1"/>
  <c r="AH356" i="1" s="1"/>
  <c r="T357" i="1"/>
  <c r="AH357" i="1" s="1"/>
  <c r="T358" i="1"/>
  <c r="AH358" i="1" s="1"/>
  <c r="T359" i="1"/>
  <c r="AH359" i="1" s="1"/>
  <c r="T360" i="1"/>
  <c r="AH360" i="1" s="1"/>
  <c r="T361" i="1"/>
  <c r="AH361" i="1" s="1"/>
  <c r="T362" i="1"/>
  <c r="AH362" i="1" s="1"/>
  <c r="T363" i="1"/>
  <c r="AH363" i="1" s="1"/>
  <c r="T364" i="1"/>
  <c r="AH364" i="1" s="1"/>
  <c r="T365" i="1"/>
  <c r="AH365" i="1" s="1"/>
  <c r="T366" i="1"/>
  <c r="AH366" i="1" s="1"/>
  <c r="T367" i="1"/>
  <c r="AH367" i="1" s="1"/>
  <c r="T368" i="1"/>
  <c r="AH368" i="1" s="1"/>
  <c r="T369" i="1"/>
  <c r="AH369" i="1" s="1"/>
  <c r="T370" i="1"/>
  <c r="AH370" i="1" s="1"/>
  <c r="T371" i="1"/>
  <c r="AH371" i="1" s="1"/>
  <c r="T372" i="1"/>
  <c r="AH372" i="1" s="1"/>
  <c r="T373" i="1"/>
  <c r="AH373" i="1" s="1"/>
  <c r="T374" i="1"/>
  <c r="AH374" i="1" s="1"/>
  <c r="T375" i="1"/>
  <c r="AH375" i="1" s="1"/>
  <c r="T376" i="1"/>
  <c r="AH376" i="1" s="1"/>
  <c r="T377" i="1"/>
  <c r="AH377" i="1" s="1"/>
  <c r="T378" i="1"/>
  <c r="AH378" i="1" s="1"/>
  <c r="T379" i="1"/>
  <c r="AH379" i="1" s="1"/>
  <c r="T380" i="1"/>
  <c r="AH380" i="1" s="1"/>
  <c r="T381" i="1"/>
  <c r="AH381" i="1" s="1"/>
  <c r="T382" i="1"/>
  <c r="AH382" i="1" s="1"/>
  <c r="T383" i="1"/>
  <c r="AH383" i="1" s="1"/>
  <c r="T384" i="1"/>
  <c r="AH384" i="1" s="1"/>
  <c r="T385" i="1"/>
  <c r="AH385" i="1" s="1"/>
  <c r="T386" i="1"/>
  <c r="AH386" i="1" s="1"/>
  <c r="T387" i="1"/>
  <c r="AH387" i="1" s="1"/>
  <c r="T388" i="1"/>
  <c r="AH388" i="1" s="1"/>
  <c r="T389" i="1"/>
  <c r="AH389" i="1" s="1"/>
  <c r="T390" i="1"/>
  <c r="AH390" i="1" s="1"/>
  <c r="T391" i="1"/>
  <c r="AH391" i="1" s="1"/>
  <c r="T392" i="1"/>
  <c r="AH392" i="1" s="1"/>
  <c r="T393" i="1"/>
  <c r="AH393" i="1" s="1"/>
  <c r="T394" i="1"/>
  <c r="AH394" i="1" s="1"/>
  <c r="T395" i="1"/>
  <c r="AH395" i="1" s="1"/>
  <c r="T396" i="1"/>
  <c r="AH396" i="1" s="1"/>
  <c r="T397" i="1"/>
  <c r="AH397" i="1" s="1"/>
  <c r="T398" i="1"/>
  <c r="AH398" i="1" s="1"/>
  <c r="T399" i="1"/>
  <c r="AH399" i="1" s="1"/>
  <c r="T400" i="1"/>
  <c r="AH400" i="1" s="1"/>
  <c r="T401" i="1"/>
  <c r="AH401" i="1" s="1"/>
  <c r="T402" i="1"/>
  <c r="AH402" i="1" s="1"/>
  <c r="T403" i="1"/>
  <c r="AH403" i="1" s="1"/>
  <c r="T404" i="1"/>
  <c r="AH404" i="1" s="1"/>
  <c r="T405" i="1"/>
  <c r="AH405" i="1" s="1"/>
  <c r="T406" i="1"/>
  <c r="AH406" i="1" s="1"/>
  <c r="T407" i="1"/>
  <c r="AH407" i="1" s="1"/>
  <c r="T408" i="1"/>
  <c r="AH408" i="1" s="1"/>
  <c r="T409" i="1"/>
  <c r="AH409" i="1" s="1"/>
  <c r="T410" i="1"/>
  <c r="AH410" i="1" s="1"/>
  <c r="T411" i="1"/>
  <c r="AH411" i="1" s="1"/>
  <c r="T412" i="1"/>
  <c r="AH412" i="1" s="1"/>
  <c r="T413" i="1"/>
  <c r="AH413" i="1" s="1"/>
  <c r="T414" i="1"/>
  <c r="AH414" i="1" s="1"/>
  <c r="T415" i="1"/>
  <c r="AH415" i="1" s="1"/>
  <c r="T416" i="1"/>
  <c r="AH416" i="1" s="1"/>
  <c r="T417" i="1"/>
  <c r="AH417" i="1" s="1"/>
  <c r="T418" i="1"/>
  <c r="AH418" i="1" s="1"/>
  <c r="T419" i="1"/>
  <c r="AH419" i="1" s="1"/>
  <c r="T420" i="1"/>
  <c r="AH420" i="1" s="1"/>
  <c r="T421" i="1"/>
  <c r="AH421" i="1" s="1"/>
  <c r="T422" i="1"/>
  <c r="AH422" i="1" s="1"/>
  <c r="T423" i="1"/>
  <c r="AH423" i="1" s="1"/>
  <c r="T424" i="1"/>
  <c r="AH424" i="1" s="1"/>
  <c r="T425" i="1"/>
  <c r="AH425" i="1" s="1"/>
  <c r="T426" i="1"/>
  <c r="AH426" i="1" s="1"/>
  <c r="T427" i="1"/>
  <c r="AH427" i="1" s="1"/>
  <c r="T428" i="1"/>
  <c r="AH428" i="1" s="1"/>
  <c r="T429" i="1"/>
  <c r="AH429" i="1" s="1"/>
  <c r="T430" i="1"/>
  <c r="AH430" i="1" s="1"/>
  <c r="T431" i="1"/>
  <c r="AH431" i="1" s="1"/>
  <c r="T432" i="1"/>
  <c r="AH432" i="1" s="1"/>
  <c r="T433" i="1"/>
  <c r="AH433" i="1" s="1"/>
  <c r="T434" i="1"/>
  <c r="AH434" i="1" s="1"/>
  <c r="T435" i="1"/>
  <c r="AH435" i="1" s="1"/>
  <c r="T436" i="1"/>
  <c r="AH436" i="1" s="1"/>
  <c r="T437" i="1"/>
  <c r="AH437" i="1" s="1"/>
  <c r="T438" i="1"/>
  <c r="AH438" i="1" s="1"/>
  <c r="T439" i="1"/>
  <c r="AH439" i="1" s="1"/>
  <c r="T440" i="1"/>
  <c r="AH440" i="1" s="1"/>
  <c r="T441" i="1"/>
  <c r="AH441" i="1" s="1"/>
  <c r="T442" i="1"/>
  <c r="AH442" i="1" s="1"/>
  <c r="T443" i="1"/>
  <c r="AH443" i="1" s="1"/>
  <c r="T444" i="1"/>
  <c r="AH444" i="1" s="1"/>
  <c r="T445" i="1"/>
  <c r="AH445" i="1" s="1"/>
  <c r="T446" i="1"/>
  <c r="AH446" i="1" s="1"/>
  <c r="T447" i="1"/>
  <c r="AH447" i="1" s="1"/>
  <c r="T448" i="1"/>
  <c r="AH448" i="1" s="1"/>
  <c r="T449" i="1"/>
  <c r="AH449" i="1" s="1"/>
  <c r="T450" i="1"/>
  <c r="AH450" i="1" s="1"/>
  <c r="T451" i="1"/>
  <c r="AH451" i="1" s="1"/>
  <c r="T452" i="1"/>
  <c r="AH452" i="1" s="1"/>
  <c r="T453" i="1"/>
  <c r="AH453" i="1" s="1"/>
  <c r="T454" i="1"/>
  <c r="AH454" i="1" s="1"/>
  <c r="T455" i="1"/>
  <c r="AH455" i="1" s="1"/>
  <c r="T456" i="1"/>
  <c r="AH456" i="1" s="1"/>
  <c r="T457" i="1"/>
  <c r="AH457" i="1" s="1"/>
  <c r="T458" i="1"/>
  <c r="AH458" i="1" s="1"/>
  <c r="T459" i="1"/>
  <c r="AH459" i="1" s="1"/>
  <c r="T460" i="1"/>
  <c r="AH460" i="1" s="1"/>
  <c r="T461" i="1"/>
  <c r="AH461" i="1" s="1"/>
  <c r="T462" i="1"/>
  <c r="AH462" i="1" s="1"/>
  <c r="T463" i="1"/>
  <c r="AH463" i="1" s="1"/>
  <c r="T464" i="1"/>
  <c r="AH464" i="1" s="1"/>
  <c r="T465" i="1"/>
  <c r="AH465" i="1" s="1"/>
  <c r="T466" i="1"/>
  <c r="AH466" i="1" s="1"/>
  <c r="T467" i="1"/>
  <c r="AH467" i="1" s="1"/>
  <c r="T468" i="1"/>
  <c r="AH468" i="1" s="1"/>
  <c r="T469" i="1"/>
  <c r="AH469" i="1" s="1"/>
  <c r="T470" i="1"/>
  <c r="AH470" i="1" s="1"/>
  <c r="T471" i="1"/>
  <c r="AH471" i="1" s="1"/>
  <c r="T472" i="1"/>
  <c r="AH472" i="1" s="1"/>
  <c r="T473" i="1"/>
  <c r="AH473" i="1" s="1"/>
  <c r="T474" i="1"/>
  <c r="AH474" i="1" s="1"/>
  <c r="T475" i="1"/>
  <c r="AH475" i="1" s="1"/>
  <c r="T476" i="1"/>
  <c r="AH476" i="1" s="1"/>
  <c r="T477" i="1"/>
  <c r="AH477" i="1" s="1"/>
  <c r="T478" i="1"/>
  <c r="AH478" i="1" s="1"/>
  <c r="T479" i="1"/>
  <c r="AH479" i="1" s="1"/>
  <c r="T480" i="1"/>
  <c r="AH480" i="1" s="1"/>
  <c r="T481" i="1"/>
  <c r="AH481" i="1" s="1"/>
  <c r="T482" i="1"/>
  <c r="AH482" i="1" s="1"/>
  <c r="T483" i="1"/>
  <c r="AH483" i="1" s="1"/>
  <c r="T484" i="1"/>
  <c r="AH484" i="1" s="1"/>
  <c r="T485" i="1"/>
  <c r="AH485" i="1" s="1"/>
  <c r="T486" i="1"/>
  <c r="AH486" i="1" s="1"/>
  <c r="T487" i="1"/>
  <c r="AH487" i="1" s="1"/>
  <c r="T488" i="1"/>
  <c r="AH488" i="1" s="1"/>
  <c r="T489" i="1"/>
  <c r="AH489" i="1" s="1"/>
  <c r="T490" i="1"/>
  <c r="AH490" i="1" s="1"/>
  <c r="T491" i="1"/>
  <c r="AH491" i="1" s="1"/>
  <c r="T492" i="1"/>
  <c r="AH492" i="1" s="1"/>
  <c r="T493" i="1"/>
  <c r="AH493" i="1" s="1"/>
  <c r="T494" i="1"/>
  <c r="AH494" i="1" s="1"/>
  <c r="T495" i="1"/>
  <c r="AH495" i="1" s="1"/>
  <c r="T496" i="1"/>
  <c r="AH496" i="1" s="1"/>
  <c r="T497" i="1"/>
  <c r="AH497" i="1" s="1"/>
  <c r="T498" i="1"/>
  <c r="AH498" i="1" s="1"/>
  <c r="T499" i="1"/>
  <c r="AH499" i="1" s="1"/>
  <c r="T500" i="1"/>
  <c r="AH500" i="1" s="1"/>
  <c r="T501" i="1"/>
  <c r="AH501" i="1" s="1"/>
  <c r="T502" i="1"/>
  <c r="AH502" i="1" s="1"/>
  <c r="T503" i="1"/>
  <c r="AH503" i="1" s="1"/>
  <c r="T504" i="1"/>
  <c r="AH504" i="1" s="1"/>
  <c r="T505" i="1"/>
  <c r="AH505" i="1" s="1"/>
  <c r="T506" i="1"/>
  <c r="AH506" i="1" s="1"/>
  <c r="T507" i="1"/>
  <c r="AH507" i="1" s="1"/>
  <c r="T508" i="1"/>
  <c r="AH508" i="1" s="1"/>
  <c r="T509" i="1"/>
  <c r="AH509" i="1" s="1"/>
  <c r="T510" i="1"/>
  <c r="AH510" i="1" s="1"/>
  <c r="T511" i="1"/>
  <c r="AH511" i="1" s="1"/>
  <c r="T512" i="1"/>
  <c r="AH512" i="1" s="1"/>
  <c r="T513" i="1"/>
  <c r="AH513" i="1" s="1"/>
  <c r="T514" i="1"/>
  <c r="AH514" i="1" s="1"/>
  <c r="T515" i="1"/>
  <c r="AH515" i="1" s="1"/>
  <c r="T516" i="1"/>
  <c r="AH516" i="1" s="1"/>
  <c r="T517" i="1"/>
  <c r="AH517" i="1" s="1"/>
  <c r="T518" i="1"/>
  <c r="AH518" i="1" s="1"/>
  <c r="T519" i="1"/>
  <c r="AH519" i="1" s="1"/>
  <c r="T520" i="1"/>
  <c r="AH520" i="1" s="1"/>
  <c r="T521" i="1"/>
  <c r="AH521" i="1" s="1"/>
  <c r="T522" i="1"/>
  <c r="AH522" i="1" s="1"/>
  <c r="T523" i="1"/>
  <c r="AH523" i="1" s="1"/>
  <c r="T524" i="1"/>
  <c r="AH524" i="1" s="1"/>
  <c r="T525" i="1"/>
  <c r="AH525" i="1" s="1"/>
  <c r="T526" i="1"/>
  <c r="AH526" i="1" s="1"/>
  <c r="T527" i="1"/>
  <c r="AH527" i="1" s="1"/>
  <c r="T528" i="1"/>
  <c r="AH528" i="1" s="1"/>
  <c r="T529" i="1"/>
  <c r="AH529" i="1" s="1"/>
  <c r="T530" i="1"/>
  <c r="AH530" i="1" s="1"/>
  <c r="T531" i="1"/>
  <c r="AH531" i="1" s="1"/>
  <c r="T532" i="1"/>
  <c r="AH532" i="1" s="1"/>
  <c r="T533" i="1"/>
  <c r="AH533" i="1" s="1"/>
  <c r="T534" i="1"/>
  <c r="AH534" i="1" s="1"/>
  <c r="T535" i="1"/>
  <c r="AH535" i="1" s="1"/>
  <c r="T536" i="1"/>
  <c r="AH536" i="1" s="1"/>
  <c r="T537" i="1"/>
  <c r="AH537" i="1" s="1"/>
  <c r="T538" i="1"/>
  <c r="AH538" i="1" s="1"/>
  <c r="T539" i="1"/>
  <c r="AH539" i="1" s="1"/>
  <c r="T540" i="1"/>
  <c r="AH540" i="1" s="1"/>
  <c r="T541" i="1"/>
  <c r="AH541" i="1" s="1"/>
  <c r="T542" i="1"/>
  <c r="AH542" i="1" s="1"/>
  <c r="T543" i="1"/>
  <c r="AH543" i="1" s="1"/>
  <c r="T544" i="1"/>
  <c r="AH544" i="1" s="1"/>
  <c r="T545" i="1"/>
  <c r="AH545" i="1" s="1"/>
  <c r="T546" i="1"/>
  <c r="AH546" i="1" s="1"/>
  <c r="T547" i="1"/>
  <c r="AH547" i="1" s="1"/>
  <c r="T548" i="1"/>
  <c r="AH548" i="1" s="1"/>
  <c r="T549" i="1"/>
  <c r="AH549" i="1" s="1"/>
  <c r="T550" i="1"/>
  <c r="AH550" i="1" s="1"/>
  <c r="T551" i="1"/>
  <c r="AH551" i="1" s="1"/>
  <c r="T552" i="1"/>
  <c r="AH552" i="1" s="1"/>
  <c r="T553" i="1"/>
  <c r="AH553" i="1" s="1"/>
  <c r="T554" i="1"/>
  <c r="AH554" i="1" s="1"/>
  <c r="T555" i="1"/>
  <c r="AH555" i="1" s="1"/>
  <c r="T556" i="1"/>
  <c r="AH556" i="1" s="1"/>
  <c r="T557" i="1"/>
  <c r="AH557" i="1" s="1"/>
  <c r="T558" i="1"/>
  <c r="AH558" i="1" s="1"/>
  <c r="T559" i="1"/>
  <c r="AH559" i="1" s="1"/>
  <c r="T560" i="1"/>
  <c r="AH560" i="1" s="1"/>
  <c r="T561" i="1"/>
  <c r="AH561" i="1" s="1"/>
  <c r="T562" i="1"/>
  <c r="AH562" i="1" s="1"/>
  <c r="T563" i="1"/>
  <c r="AH563" i="1" s="1"/>
  <c r="T564" i="1"/>
  <c r="AH564" i="1" s="1"/>
  <c r="T565" i="1"/>
  <c r="AH565" i="1" s="1"/>
  <c r="T566" i="1"/>
  <c r="AH566" i="1" s="1"/>
  <c r="T567" i="1"/>
  <c r="AH567" i="1" s="1"/>
  <c r="T568" i="1"/>
  <c r="AH568" i="1" s="1"/>
  <c r="T569" i="1"/>
  <c r="AH569" i="1" s="1"/>
  <c r="T570" i="1"/>
  <c r="AH570" i="1" s="1"/>
  <c r="T571" i="1"/>
  <c r="AH571" i="1" s="1"/>
  <c r="T572" i="1"/>
  <c r="AH572" i="1" s="1"/>
  <c r="T573" i="1"/>
  <c r="AH573" i="1" s="1"/>
  <c r="T574" i="1"/>
  <c r="AH574" i="1" s="1"/>
  <c r="T575" i="1"/>
  <c r="AH575" i="1" s="1"/>
  <c r="T576" i="1"/>
  <c r="AH576" i="1" s="1"/>
  <c r="T577" i="1"/>
  <c r="AH577" i="1" s="1"/>
  <c r="T578" i="1"/>
  <c r="AH578" i="1" s="1"/>
  <c r="T579" i="1"/>
  <c r="AH579" i="1" s="1"/>
  <c r="T580" i="1"/>
  <c r="AH580" i="1" s="1"/>
  <c r="T581" i="1"/>
  <c r="AH581" i="1" s="1"/>
  <c r="T582" i="1"/>
  <c r="AH582" i="1" s="1"/>
  <c r="T583" i="1"/>
  <c r="AH583" i="1" s="1"/>
  <c r="T584" i="1"/>
  <c r="AH584" i="1" s="1"/>
  <c r="T585" i="1"/>
  <c r="AH585" i="1" s="1"/>
  <c r="T586" i="1"/>
  <c r="AH586" i="1" s="1"/>
  <c r="T587" i="1"/>
  <c r="AH587" i="1" s="1"/>
  <c r="T588" i="1"/>
  <c r="AH588" i="1" s="1"/>
  <c r="T589" i="1"/>
  <c r="AH589" i="1" s="1"/>
  <c r="T590" i="1"/>
  <c r="AH590" i="1" s="1"/>
  <c r="T591" i="1"/>
  <c r="AH591" i="1" s="1"/>
  <c r="T592" i="1"/>
  <c r="AH592" i="1" s="1"/>
  <c r="T593" i="1"/>
  <c r="AH593" i="1" s="1"/>
  <c r="T594" i="1"/>
  <c r="AH594" i="1" s="1"/>
  <c r="T595" i="1"/>
  <c r="AH595" i="1" s="1"/>
  <c r="T596" i="1"/>
  <c r="AH596" i="1" s="1"/>
  <c r="T597" i="1"/>
  <c r="AH597" i="1" s="1"/>
  <c r="T598" i="1"/>
  <c r="AH598" i="1" s="1"/>
  <c r="T599" i="1"/>
  <c r="AH599" i="1" s="1"/>
  <c r="T600" i="1"/>
  <c r="AH600" i="1" s="1"/>
  <c r="T601" i="1"/>
  <c r="AH601" i="1" s="1"/>
  <c r="T602" i="1"/>
  <c r="AH602" i="1" s="1"/>
  <c r="T603" i="1"/>
  <c r="AH603" i="1" s="1"/>
  <c r="T604" i="1"/>
  <c r="AH604" i="1" s="1"/>
  <c r="T605" i="1"/>
  <c r="AH605" i="1" s="1"/>
  <c r="T606" i="1"/>
  <c r="AH606" i="1" s="1"/>
  <c r="T607" i="1"/>
  <c r="AH607" i="1" s="1"/>
  <c r="T608" i="1"/>
  <c r="AH608" i="1" s="1"/>
  <c r="T609" i="1"/>
  <c r="AH609" i="1" s="1"/>
  <c r="T610" i="1"/>
  <c r="AH610" i="1" s="1"/>
  <c r="T611" i="1"/>
  <c r="AH611" i="1" s="1"/>
  <c r="T612" i="1"/>
  <c r="AH612" i="1" s="1"/>
  <c r="T613" i="1"/>
  <c r="AH613" i="1" s="1"/>
  <c r="T614" i="1"/>
  <c r="AH614" i="1" s="1"/>
  <c r="T615" i="1"/>
  <c r="AH615" i="1" s="1"/>
  <c r="T616" i="1"/>
  <c r="AH616" i="1" s="1"/>
  <c r="T617" i="1"/>
  <c r="AH617" i="1" s="1"/>
  <c r="T618" i="1"/>
  <c r="AH618" i="1" s="1"/>
  <c r="T619" i="1"/>
  <c r="AH619" i="1" s="1"/>
  <c r="T620" i="1"/>
  <c r="AH620" i="1" s="1"/>
  <c r="T621" i="1"/>
  <c r="AH621" i="1" s="1"/>
  <c r="T622" i="1"/>
  <c r="AH622" i="1" s="1"/>
  <c r="T623" i="1"/>
  <c r="AH623" i="1" s="1"/>
  <c r="T624" i="1"/>
  <c r="AH624" i="1" s="1"/>
  <c r="T625" i="1"/>
  <c r="AH625" i="1" s="1"/>
  <c r="T626" i="1"/>
  <c r="AH626" i="1" s="1"/>
  <c r="T627" i="1"/>
  <c r="AH627" i="1" s="1"/>
  <c r="T628" i="1"/>
  <c r="AH628" i="1" s="1"/>
  <c r="T629" i="1"/>
  <c r="AH629" i="1" s="1"/>
  <c r="T630" i="1"/>
  <c r="AH630" i="1" s="1"/>
  <c r="T631" i="1"/>
  <c r="AH631" i="1" s="1"/>
  <c r="T632" i="1"/>
  <c r="AH632" i="1" s="1"/>
  <c r="T633" i="1"/>
  <c r="AH633" i="1" s="1"/>
  <c r="T634" i="1"/>
  <c r="AH634" i="1" s="1"/>
  <c r="T635" i="1"/>
  <c r="AH635" i="1" s="1"/>
  <c r="T636" i="1"/>
  <c r="AH636" i="1" s="1"/>
  <c r="T637" i="1"/>
  <c r="AH637" i="1" s="1"/>
  <c r="T638" i="1"/>
  <c r="AH638" i="1" s="1"/>
  <c r="T639" i="1"/>
  <c r="AH639" i="1" s="1"/>
  <c r="T640" i="1"/>
  <c r="AH640" i="1" s="1"/>
  <c r="T641" i="1"/>
  <c r="AH641" i="1" s="1"/>
  <c r="T642" i="1"/>
  <c r="AH642" i="1" s="1"/>
  <c r="T643" i="1"/>
  <c r="AH643" i="1" s="1"/>
  <c r="T644" i="1"/>
  <c r="AH644" i="1" s="1"/>
  <c r="T645" i="1"/>
  <c r="AH645" i="1" s="1"/>
  <c r="T646" i="1"/>
  <c r="AH646" i="1" s="1"/>
  <c r="T647" i="1"/>
  <c r="AH647" i="1" s="1"/>
  <c r="T648" i="1"/>
  <c r="AH648" i="1" s="1"/>
  <c r="T649" i="1"/>
  <c r="AH649" i="1" s="1"/>
  <c r="T650" i="1"/>
  <c r="AH650" i="1" s="1"/>
  <c r="T651" i="1"/>
  <c r="AH651" i="1" s="1"/>
  <c r="T652" i="1"/>
  <c r="AH652" i="1" s="1"/>
  <c r="T653" i="1"/>
  <c r="AH653" i="1" s="1"/>
  <c r="T654" i="1"/>
  <c r="AH654" i="1" s="1"/>
  <c r="T655" i="1"/>
  <c r="AH655" i="1" s="1"/>
  <c r="T656" i="1"/>
  <c r="AH656" i="1" s="1"/>
  <c r="T657" i="1"/>
  <c r="AH657" i="1" s="1"/>
  <c r="T658" i="1"/>
  <c r="AH658" i="1" s="1"/>
  <c r="T659" i="1"/>
  <c r="AH659" i="1" s="1"/>
  <c r="T660" i="1"/>
  <c r="AH660" i="1" s="1"/>
  <c r="T661" i="1"/>
  <c r="AH661" i="1" s="1"/>
  <c r="T662" i="1"/>
  <c r="AH662" i="1" s="1"/>
  <c r="T663" i="1"/>
  <c r="AH663" i="1" s="1"/>
  <c r="T664" i="1"/>
  <c r="AH664" i="1" s="1"/>
  <c r="T665" i="1"/>
  <c r="AH665" i="1" s="1"/>
  <c r="T666" i="1"/>
  <c r="AH666" i="1" s="1"/>
  <c r="T667" i="1"/>
  <c r="AH667" i="1" s="1"/>
  <c r="T668" i="1"/>
  <c r="AH668" i="1" s="1"/>
  <c r="T669" i="1"/>
  <c r="AH669" i="1" s="1"/>
  <c r="T670" i="1"/>
  <c r="AH670" i="1" s="1"/>
  <c r="T671" i="1"/>
  <c r="AH671" i="1" s="1"/>
  <c r="T672" i="1"/>
  <c r="AH672" i="1" s="1"/>
  <c r="T673" i="1"/>
  <c r="AH673" i="1" s="1"/>
  <c r="T674" i="1"/>
  <c r="AH674" i="1" s="1"/>
  <c r="T675" i="1"/>
  <c r="AH675" i="1" s="1"/>
  <c r="T676" i="1"/>
  <c r="AH676" i="1" s="1"/>
  <c r="T677" i="1"/>
  <c r="AH677" i="1" s="1"/>
  <c r="T678" i="1"/>
  <c r="AH678" i="1" s="1"/>
  <c r="T679" i="1"/>
  <c r="AH679" i="1" s="1"/>
  <c r="T680" i="1"/>
  <c r="AH680" i="1" s="1"/>
  <c r="T681" i="1"/>
  <c r="AH681" i="1" s="1"/>
  <c r="T682" i="1"/>
  <c r="AH682" i="1" s="1"/>
  <c r="T683" i="1"/>
  <c r="AH683" i="1" s="1"/>
  <c r="T684" i="1"/>
  <c r="AH684" i="1" s="1"/>
  <c r="T685" i="1"/>
  <c r="AH685" i="1" s="1"/>
  <c r="T686" i="1"/>
  <c r="AH686" i="1" s="1"/>
  <c r="T687" i="1"/>
  <c r="AH687" i="1" s="1"/>
  <c r="T688" i="1"/>
  <c r="AH688" i="1" s="1"/>
  <c r="T689" i="1"/>
  <c r="AH689" i="1" s="1"/>
  <c r="T690" i="1"/>
  <c r="AH690" i="1" s="1"/>
  <c r="T691" i="1"/>
  <c r="AH691" i="1" s="1"/>
  <c r="T692" i="1"/>
  <c r="AH692" i="1" s="1"/>
  <c r="T693" i="1"/>
  <c r="AH693" i="1" s="1"/>
  <c r="T694" i="1"/>
  <c r="AH694" i="1" s="1"/>
  <c r="T695" i="1"/>
  <c r="AH695" i="1" s="1"/>
  <c r="T696" i="1"/>
  <c r="AH696" i="1" s="1"/>
  <c r="T697" i="1"/>
  <c r="AH697" i="1" s="1"/>
  <c r="T698" i="1"/>
  <c r="AH698" i="1" s="1"/>
  <c r="T699" i="1"/>
  <c r="AH699" i="1" s="1"/>
  <c r="T700" i="1"/>
  <c r="AH700" i="1" s="1"/>
  <c r="T701" i="1"/>
  <c r="AH701" i="1" s="1"/>
  <c r="T702" i="1"/>
  <c r="AH702" i="1" s="1"/>
  <c r="T703" i="1"/>
  <c r="AH703" i="1" s="1"/>
  <c r="T704" i="1"/>
  <c r="AH704" i="1" s="1"/>
  <c r="T705" i="1"/>
  <c r="AH705" i="1" s="1"/>
  <c r="T706" i="1"/>
  <c r="AH706" i="1" s="1"/>
  <c r="T707" i="1"/>
  <c r="AH707" i="1" s="1"/>
  <c r="T708" i="1"/>
  <c r="AH708" i="1" s="1"/>
  <c r="T709" i="1"/>
  <c r="AH709" i="1" s="1"/>
  <c r="T710" i="1"/>
  <c r="AH710" i="1" s="1"/>
  <c r="T711" i="1"/>
  <c r="AH711" i="1" s="1"/>
  <c r="T712" i="1"/>
  <c r="AH712" i="1" s="1"/>
  <c r="T713" i="1"/>
  <c r="AH713" i="1" s="1"/>
  <c r="T714" i="1"/>
  <c r="AH714" i="1" s="1"/>
  <c r="T715" i="1"/>
  <c r="AH715" i="1" s="1"/>
  <c r="T716" i="1"/>
  <c r="AH716" i="1" s="1"/>
  <c r="T717" i="1"/>
  <c r="AH717" i="1" s="1"/>
  <c r="T718" i="1"/>
  <c r="AH718" i="1" s="1"/>
  <c r="T719" i="1"/>
  <c r="AH719" i="1" s="1"/>
  <c r="T720" i="1"/>
  <c r="AH720" i="1" s="1"/>
  <c r="T721" i="1"/>
  <c r="AH721" i="1" s="1"/>
  <c r="T722" i="1"/>
  <c r="AH722" i="1" s="1"/>
  <c r="T723" i="1"/>
  <c r="AH723" i="1" s="1"/>
  <c r="T724" i="1"/>
  <c r="AH724" i="1" s="1"/>
  <c r="T725" i="1"/>
  <c r="AH725" i="1" s="1"/>
  <c r="T726" i="1"/>
  <c r="AH726" i="1" s="1"/>
  <c r="T727" i="1"/>
  <c r="AH727" i="1" s="1"/>
  <c r="T728" i="1"/>
  <c r="AH728" i="1" s="1"/>
  <c r="T729" i="1"/>
  <c r="AH729" i="1" s="1"/>
  <c r="T730" i="1"/>
  <c r="AH730" i="1" s="1"/>
  <c r="T731" i="1"/>
  <c r="AH731" i="1" s="1"/>
  <c r="T732" i="1"/>
  <c r="AH732" i="1" s="1"/>
  <c r="T733" i="1"/>
  <c r="AH733" i="1" s="1"/>
  <c r="T734" i="1"/>
  <c r="AH734" i="1" s="1"/>
  <c r="T735" i="1"/>
  <c r="AH735" i="1" s="1"/>
  <c r="T736" i="1"/>
  <c r="AH736" i="1" s="1"/>
  <c r="T737" i="1"/>
  <c r="AH737" i="1" s="1"/>
  <c r="T738" i="1"/>
  <c r="AH738" i="1" s="1"/>
  <c r="T739" i="1"/>
  <c r="AH739" i="1" s="1"/>
  <c r="T740" i="1"/>
  <c r="AH740" i="1" s="1"/>
  <c r="T741" i="1"/>
  <c r="AH741" i="1" s="1"/>
  <c r="T742" i="1"/>
  <c r="AH742" i="1" s="1"/>
  <c r="T743" i="1"/>
  <c r="AH743" i="1" s="1"/>
  <c r="T744" i="1"/>
  <c r="AH744" i="1" s="1"/>
  <c r="T745" i="1"/>
  <c r="AH745" i="1" s="1"/>
  <c r="T746" i="1"/>
  <c r="AH746" i="1" s="1"/>
  <c r="T747" i="1"/>
  <c r="AH747" i="1" s="1"/>
  <c r="T748" i="1"/>
  <c r="AH748" i="1" s="1"/>
  <c r="T749" i="1"/>
  <c r="AH749" i="1" s="1"/>
  <c r="T750" i="1"/>
  <c r="AH750" i="1" s="1"/>
  <c r="T751" i="1"/>
  <c r="AH751" i="1" s="1"/>
  <c r="T752" i="1"/>
  <c r="AH752" i="1" s="1"/>
  <c r="T753" i="1"/>
  <c r="AH753" i="1" s="1"/>
  <c r="T754" i="1"/>
  <c r="AH754" i="1" s="1"/>
  <c r="T755" i="1"/>
  <c r="AH755" i="1" s="1"/>
  <c r="T756" i="1"/>
  <c r="AH756" i="1" s="1"/>
  <c r="T757" i="1"/>
  <c r="AH757" i="1" s="1"/>
  <c r="T758" i="1"/>
  <c r="AH758" i="1" s="1"/>
  <c r="T759" i="1"/>
  <c r="AH759" i="1" s="1"/>
  <c r="T760" i="1"/>
  <c r="AH760" i="1" s="1"/>
  <c r="T761" i="1"/>
  <c r="AH761" i="1" s="1"/>
  <c r="T762" i="1"/>
  <c r="AH762" i="1" s="1"/>
  <c r="T763" i="1"/>
  <c r="AH763" i="1" s="1"/>
  <c r="T764" i="1"/>
  <c r="AH764" i="1" s="1"/>
  <c r="T765" i="1"/>
  <c r="AH765" i="1" s="1"/>
  <c r="T766" i="1"/>
  <c r="AH766" i="1" s="1"/>
  <c r="T767" i="1"/>
  <c r="AH767" i="1" s="1"/>
  <c r="T768" i="1"/>
  <c r="AH768" i="1" s="1"/>
  <c r="T769" i="1"/>
  <c r="AH769" i="1" s="1"/>
  <c r="T770" i="1"/>
  <c r="AH770" i="1" s="1"/>
  <c r="T771" i="1"/>
  <c r="AH771" i="1" s="1"/>
  <c r="T772" i="1"/>
  <c r="AH772" i="1" s="1"/>
  <c r="T773" i="1"/>
  <c r="AH773" i="1" s="1"/>
  <c r="T774" i="1"/>
  <c r="AH774" i="1" s="1"/>
  <c r="T775" i="1"/>
  <c r="AH775" i="1" s="1"/>
  <c r="T776" i="1"/>
  <c r="AH776" i="1" s="1"/>
  <c r="T777" i="1"/>
  <c r="AH777" i="1" s="1"/>
  <c r="T778" i="1"/>
  <c r="AH778" i="1" s="1"/>
  <c r="T779" i="1"/>
  <c r="AH779" i="1" s="1"/>
  <c r="T780" i="1"/>
  <c r="AH780" i="1" s="1"/>
  <c r="T781" i="1"/>
  <c r="AH781" i="1" s="1"/>
  <c r="T782" i="1"/>
  <c r="AH782" i="1" s="1"/>
  <c r="T783" i="1"/>
  <c r="AH783" i="1" s="1"/>
  <c r="T784" i="1"/>
  <c r="AH784" i="1" s="1"/>
  <c r="T785" i="1"/>
  <c r="AH785" i="1" s="1"/>
  <c r="T786" i="1"/>
  <c r="AH786" i="1" s="1"/>
  <c r="T787" i="1"/>
  <c r="AH787" i="1" s="1"/>
  <c r="T788" i="1"/>
  <c r="AH788" i="1" s="1"/>
  <c r="T789" i="1"/>
  <c r="AH789" i="1" s="1"/>
  <c r="T790" i="1"/>
  <c r="AH790" i="1" s="1"/>
  <c r="T791" i="1"/>
  <c r="AH791" i="1" s="1"/>
  <c r="T792" i="1"/>
  <c r="AH792" i="1" s="1"/>
  <c r="T793" i="1"/>
  <c r="AH793" i="1" s="1"/>
  <c r="T794" i="1"/>
  <c r="AH794" i="1" s="1"/>
  <c r="T795" i="1"/>
  <c r="AH795" i="1" s="1"/>
  <c r="T796" i="1"/>
  <c r="AH796" i="1" s="1"/>
  <c r="T797" i="1"/>
  <c r="AH797" i="1" s="1"/>
  <c r="T798" i="1"/>
  <c r="AH798" i="1" s="1"/>
  <c r="T799" i="1"/>
  <c r="AH799" i="1" s="1"/>
  <c r="T800" i="1"/>
  <c r="AH800" i="1" s="1"/>
  <c r="T801" i="1"/>
  <c r="AH801" i="1" s="1"/>
  <c r="T802" i="1"/>
  <c r="AH802" i="1" s="1"/>
  <c r="T803" i="1"/>
  <c r="AH803" i="1" s="1"/>
  <c r="T804" i="1"/>
  <c r="AH804" i="1" s="1"/>
  <c r="T805" i="1"/>
  <c r="AH805" i="1" s="1"/>
  <c r="T806" i="1"/>
  <c r="AH806" i="1" s="1"/>
  <c r="T807" i="1"/>
  <c r="AH807" i="1" s="1"/>
  <c r="T808" i="1"/>
  <c r="AH808" i="1" s="1"/>
  <c r="T809" i="1"/>
  <c r="AH809" i="1" s="1"/>
  <c r="T810" i="1"/>
  <c r="AH810" i="1" s="1"/>
  <c r="T811" i="1"/>
  <c r="AH811" i="1" s="1"/>
  <c r="T812" i="1"/>
  <c r="AH812" i="1" s="1"/>
  <c r="T813" i="1"/>
  <c r="AH813" i="1" s="1"/>
  <c r="T814" i="1"/>
  <c r="AH814" i="1" s="1"/>
  <c r="T815" i="1"/>
  <c r="AH815" i="1" s="1"/>
  <c r="T816" i="1"/>
  <c r="AH816" i="1" s="1"/>
  <c r="T817" i="1"/>
  <c r="AH817" i="1" s="1"/>
  <c r="T818" i="1"/>
  <c r="AH818" i="1" s="1"/>
  <c r="T819" i="1"/>
  <c r="AH819" i="1" s="1"/>
  <c r="T820" i="1"/>
  <c r="AH820" i="1" s="1"/>
  <c r="T821" i="1"/>
  <c r="AH821" i="1" s="1"/>
  <c r="T822" i="1"/>
  <c r="AH822" i="1" s="1"/>
  <c r="T823" i="1"/>
  <c r="AH823" i="1" s="1"/>
  <c r="T824" i="1"/>
  <c r="AH824" i="1" s="1"/>
  <c r="T825" i="1"/>
  <c r="AH825" i="1" s="1"/>
  <c r="T826" i="1"/>
  <c r="AH826" i="1" s="1"/>
  <c r="T827" i="1"/>
  <c r="AH827" i="1" s="1"/>
  <c r="T828" i="1"/>
  <c r="AH828" i="1" s="1"/>
  <c r="T829" i="1"/>
  <c r="AH829" i="1" s="1"/>
  <c r="T830" i="1"/>
  <c r="AH830" i="1" s="1"/>
  <c r="T831" i="1"/>
  <c r="AH831" i="1" s="1"/>
  <c r="T832" i="1"/>
  <c r="AH832" i="1" s="1"/>
  <c r="T833" i="1"/>
  <c r="AH833" i="1" s="1"/>
  <c r="T834" i="1"/>
  <c r="AH834" i="1" s="1"/>
  <c r="T835" i="1"/>
  <c r="AH835" i="1" s="1"/>
  <c r="T836" i="1"/>
  <c r="AH836" i="1" s="1"/>
  <c r="T837" i="1"/>
  <c r="AH837" i="1" s="1"/>
  <c r="T838" i="1"/>
  <c r="AH838" i="1" s="1"/>
  <c r="T839" i="1"/>
  <c r="AH839" i="1" s="1"/>
  <c r="T840" i="1"/>
  <c r="AH840" i="1" s="1"/>
  <c r="T841" i="1"/>
  <c r="AH841" i="1" s="1"/>
  <c r="T842" i="1"/>
  <c r="AH842" i="1" s="1"/>
  <c r="T843" i="1"/>
  <c r="AH843" i="1" s="1"/>
  <c r="T844" i="1"/>
  <c r="AH844" i="1" s="1"/>
  <c r="T845" i="1"/>
  <c r="AH845" i="1" s="1"/>
  <c r="T846" i="1"/>
  <c r="AH846" i="1" s="1"/>
  <c r="T847" i="1"/>
  <c r="AH847" i="1" s="1"/>
  <c r="T848" i="1"/>
  <c r="AH848" i="1" s="1"/>
  <c r="T849" i="1"/>
  <c r="AH849" i="1" s="1"/>
  <c r="T850" i="1"/>
  <c r="AH850" i="1" s="1"/>
  <c r="T851" i="1"/>
  <c r="AH851" i="1" s="1"/>
  <c r="T852" i="1"/>
  <c r="AH852" i="1" s="1"/>
  <c r="T853" i="1"/>
  <c r="AH853" i="1" s="1"/>
  <c r="T854" i="1"/>
  <c r="AH854" i="1" s="1"/>
  <c r="T855" i="1"/>
  <c r="AH855" i="1" s="1"/>
  <c r="T856" i="1"/>
  <c r="AH856" i="1" s="1"/>
  <c r="T857" i="1"/>
  <c r="AH857" i="1" s="1"/>
  <c r="T858" i="1"/>
  <c r="AH858" i="1" s="1"/>
  <c r="T859" i="1"/>
  <c r="AH859" i="1" s="1"/>
  <c r="T860" i="1"/>
  <c r="AH860" i="1" s="1"/>
  <c r="T861" i="1"/>
  <c r="AH861" i="1" s="1"/>
  <c r="T862" i="1"/>
  <c r="AH862" i="1" s="1"/>
  <c r="T863" i="1"/>
  <c r="AH863" i="1" s="1"/>
  <c r="T864" i="1"/>
  <c r="AH864" i="1" s="1"/>
  <c r="T865" i="1"/>
  <c r="AH865" i="1" s="1"/>
  <c r="T866" i="1"/>
  <c r="AH866" i="1" s="1"/>
  <c r="T867" i="1"/>
  <c r="AH867" i="1" s="1"/>
  <c r="T868" i="1"/>
  <c r="AH868" i="1" s="1"/>
  <c r="T869" i="1"/>
  <c r="AH869" i="1" s="1"/>
  <c r="T870" i="1"/>
  <c r="AH870" i="1" s="1"/>
  <c r="T871" i="1"/>
  <c r="AH871" i="1" s="1"/>
  <c r="T872" i="1"/>
  <c r="AH872" i="1" s="1"/>
  <c r="T873" i="1"/>
  <c r="AH873" i="1" s="1"/>
  <c r="T874" i="1"/>
  <c r="AH874" i="1" s="1"/>
  <c r="T875" i="1"/>
  <c r="AH875" i="1" s="1"/>
  <c r="T876" i="1"/>
  <c r="AH876" i="1" s="1"/>
  <c r="T877" i="1"/>
  <c r="AH877" i="1" s="1"/>
  <c r="T878" i="1"/>
  <c r="AH878" i="1" s="1"/>
  <c r="T879" i="1"/>
  <c r="AH879" i="1" s="1"/>
  <c r="T880" i="1"/>
  <c r="AH880" i="1" s="1"/>
  <c r="T881" i="1"/>
  <c r="AH881" i="1" s="1"/>
  <c r="T882" i="1"/>
  <c r="AH882" i="1" s="1"/>
  <c r="T883" i="1"/>
  <c r="AH883" i="1" s="1"/>
  <c r="T884" i="1"/>
  <c r="AH884" i="1" s="1"/>
  <c r="T885" i="1"/>
  <c r="AH885" i="1" s="1"/>
  <c r="T886" i="1"/>
  <c r="AH886" i="1" s="1"/>
  <c r="T887" i="1"/>
  <c r="AH887" i="1" s="1"/>
  <c r="T888" i="1"/>
  <c r="AH888" i="1" s="1"/>
  <c r="T889" i="1"/>
  <c r="AH889" i="1" s="1"/>
  <c r="T890" i="1"/>
  <c r="AH890" i="1" s="1"/>
  <c r="T891" i="1"/>
  <c r="AH891" i="1" s="1"/>
  <c r="T892" i="1"/>
  <c r="AH892" i="1" s="1"/>
  <c r="T893" i="1"/>
  <c r="AH893" i="1" s="1"/>
  <c r="T894" i="1"/>
  <c r="AH894" i="1" s="1"/>
  <c r="T895" i="1"/>
  <c r="AH895" i="1" s="1"/>
  <c r="T896" i="1"/>
  <c r="AH896" i="1" s="1"/>
  <c r="T897" i="1"/>
  <c r="AH897" i="1" s="1"/>
  <c r="T898" i="1"/>
  <c r="AH898" i="1" s="1"/>
  <c r="T899" i="1"/>
  <c r="AH899" i="1" s="1"/>
  <c r="T900" i="1"/>
  <c r="AH900" i="1" s="1"/>
  <c r="T901" i="1"/>
  <c r="AH901" i="1" s="1"/>
  <c r="T902" i="1"/>
  <c r="AH902" i="1" s="1"/>
  <c r="T903" i="1"/>
  <c r="AH903" i="1" s="1"/>
  <c r="T904" i="1"/>
  <c r="AH904" i="1" s="1"/>
  <c r="T905" i="1"/>
  <c r="AH905" i="1" s="1"/>
  <c r="T906" i="1"/>
  <c r="AH906" i="1" s="1"/>
  <c r="T907" i="1"/>
  <c r="AH907" i="1" s="1"/>
  <c r="T908" i="1"/>
  <c r="AH908" i="1" s="1"/>
  <c r="T909" i="1"/>
  <c r="AH909" i="1" s="1"/>
  <c r="T910" i="1"/>
  <c r="AH910" i="1" s="1"/>
  <c r="T911" i="1"/>
  <c r="AH911" i="1" s="1"/>
  <c r="T912" i="1"/>
  <c r="AH912" i="1" s="1"/>
  <c r="T913" i="1"/>
  <c r="AH913" i="1" s="1"/>
  <c r="T914" i="1"/>
  <c r="AH914" i="1" s="1"/>
  <c r="T915" i="1"/>
  <c r="AH915" i="1" s="1"/>
  <c r="T916" i="1"/>
  <c r="AH916" i="1" s="1"/>
  <c r="T917" i="1"/>
  <c r="AH917" i="1" s="1"/>
  <c r="T918" i="1"/>
  <c r="AH918" i="1" s="1"/>
  <c r="T919" i="1"/>
  <c r="AH919" i="1" s="1"/>
  <c r="T920" i="1"/>
  <c r="AH920" i="1" s="1"/>
  <c r="T921" i="1"/>
  <c r="AH921" i="1" s="1"/>
  <c r="T922" i="1"/>
  <c r="AH922" i="1" s="1"/>
  <c r="T923" i="1"/>
  <c r="AH923" i="1" s="1"/>
  <c r="T924" i="1"/>
  <c r="AH924" i="1" s="1"/>
  <c r="T925" i="1"/>
  <c r="AH925" i="1" s="1"/>
  <c r="T926" i="1"/>
  <c r="AH926" i="1" s="1"/>
  <c r="T927" i="1"/>
  <c r="AH927" i="1" s="1"/>
  <c r="T928" i="1"/>
  <c r="AH928" i="1" s="1"/>
  <c r="T929" i="1"/>
  <c r="AH929" i="1" s="1"/>
  <c r="T930" i="1"/>
  <c r="AH930" i="1" s="1"/>
  <c r="T931" i="1"/>
  <c r="AH931" i="1" s="1"/>
  <c r="T932" i="1"/>
  <c r="AH932" i="1" s="1"/>
  <c r="T933" i="1"/>
  <c r="AH933" i="1" s="1"/>
  <c r="T934" i="1"/>
  <c r="AH934" i="1" s="1"/>
  <c r="T935" i="1"/>
  <c r="AH935" i="1" s="1"/>
  <c r="T936" i="1"/>
  <c r="AH936" i="1" s="1"/>
  <c r="T937" i="1"/>
  <c r="AH937" i="1" s="1"/>
  <c r="T938" i="1"/>
  <c r="AH938" i="1" s="1"/>
  <c r="T939" i="1"/>
  <c r="AH939" i="1" s="1"/>
  <c r="T940" i="1"/>
  <c r="AH940" i="1" s="1"/>
  <c r="T941" i="1"/>
  <c r="AH941" i="1" s="1"/>
  <c r="T942" i="1"/>
  <c r="AH942" i="1" s="1"/>
  <c r="T943" i="1"/>
  <c r="AH943" i="1" s="1"/>
  <c r="T944" i="1"/>
  <c r="AH944" i="1" s="1"/>
  <c r="T945" i="1"/>
  <c r="AH945" i="1" s="1"/>
  <c r="T946" i="1"/>
  <c r="AH946" i="1" s="1"/>
  <c r="T947" i="1"/>
  <c r="AH947" i="1" s="1"/>
  <c r="T948" i="1"/>
  <c r="AH948" i="1" s="1"/>
  <c r="T949" i="1"/>
  <c r="AH949" i="1" s="1"/>
  <c r="T950" i="1"/>
  <c r="AH950" i="1" s="1"/>
  <c r="T951" i="1"/>
  <c r="AH951" i="1" s="1"/>
  <c r="T952" i="1"/>
  <c r="AH952" i="1" s="1"/>
  <c r="T953" i="1"/>
  <c r="AH953" i="1" s="1"/>
  <c r="T954" i="1"/>
  <c r="AH954" i="1" s="1"/>
  <c r="T955" i="1"/>
  <c r="AH955" i="1" s="1"/>
  <c r="T956" i="1"/>
  <c r="AH956" i="1" s="1"/>
  <c r="T957" i="1"/>
  <c r="AH957" i="1" s="1"/>
  <c r="T958" i="1"/>
  <c r="AH958" i="1" s="1"/>
  <c r="T959" i="1"/>
  <c r="AH959" i="1" s="1"/>
  <c r="T960" i="1"/>
  <c r="AH960" i="1" s="1"/>
  <c r="T961" i="1"/>
  <c r="AH961" i="1" s="1"/>
  <c r="T962" i="1"/>
  <c r="AH962" i="1" s="1"/>
  <c r="T963" i="1"/>
  <c r="AH963" i="1" s="1"/>
  <c r="T964" i="1"/>
  <c r="AH964" i="1" s="1"/>
  <c r="T965" i="1"/>
  <c r="AH965" i="1" s="1"/>
  <c r="T966" i="1"/>
  <c r="AH966" i="1" s="1"/>
  <c r="T967" i="1"/>
  <c r="AH967" i="1" s="1"/>
  <c r="T968" i="1"/>
  <c r="AH968" i="1" s="1"/>
  <c r="T969" i="1"/>
  <c r="AH969" i="1" s="1"/>
  <c r="T970" i="1"/>
  <c r="AH970" i="1" s="1"/>
  <c r="T971" i="1"/>
  <c r="AH971" i="1" s="1"/>
  <c r="T972" i="1"/>
  <c r="AH972" i="1" s="1"/>
  <c r="T973" i="1"/>
  <c r="AH973" i="1" s="1"/>
  <c r="T974" i="1"/>
  <c r="AH974" i="1" s="1"/>
  <c r="T975" i="1"/>
  <c r="AH975" i="1" s="1"/>
  <c r="T976" i="1"/>
  <c r="AH976" i="1" s="1"/>
  <c r="T977" i="1"/>
  <c r="AH977" i="1" s="1"/>
  <c r="T978" i="1"/>
  <c r="AH978" i="1" s="1"/>
  <c r="T979" i="1"/>
  <c r="AH979" i="1" s="1"/>
  <c r="T980" i="1"/>
  <c r="AH980" i="1" s="1"/>
  <c r="T981" i="1"/>
  <c r="AH981" i="1" s="1"/>
  <c r="T982" i="1"/>
  <c r="AH982" i="1" s="1"/>
  <c r="T983" i="1"/>
  <c r="AH983" i="1" s="1"/>
  <c r="T984" i="1"/>
  <c r="AH984" i="1" s="1"/>
  <c r="T985" i="1"/>
  <c r="AH985" i="1" s="1"/>
  <c r="T986" i="1"/>
  <c r="AH986" i="1" s="1"/>
  <c r="T987" i="1"/>
  <c r="AH987" i="1" s="1"/>
  <c r="T988" i="1"/>
  <c r="AH988" i="1" s="1"/>
  <c r="T989" i="1"/>
  <c r="AH989" i="1" s="1"/>
  <c r="T990" i="1"/>
  <c r="AH990" i="1" s="1"/>
  <c r="T991" i="1"/>
  <c r="AH991" i="1" s="1"/>
  <c r="T992" i="1"/>
  <c r="AH992" i="1" s="1"/>
  <c r="T993" i="1"/>
  <c r="AH993" i="1" s="1"/>
  <c r="T994" i="1"/>
  <c r="AH994" i="1" s="1"/>
  <c r="T995" i="1"/>
  <c r="AH995" i="1" s="1"/>
  <c r="T996" i="1"/>
  <c r="AH996" i="1" s="1"/>
  <c r="T997" i="1"/>
  <c r="AH997" i="1" s="1"/>
  <c r="T998" i="1"/>
  <c r="AH998" i="1" s="1"/>
  <c r="T999" i="1"/>
  <c r="AH999" i="1" s="1"/>
  <c r="T1000" i="1"/>
  <c r="AH1000" i="1" s="1"/>
  <c r="T1001" i="1"/>
  <c r="AH1001" i="1" s="1"/>
  <c r="T1002" i="1"/>
  <c r="AH1002" i="1" s="1"/>
  <c r="T1003" i="1"/>
  <c r="AH1003" i="1" s="1"/>
  <c r="T1004" i="1"/>
  <c r="AH1004" i="1" s="1"/>
  <c r="T1005" i="1"/>
  <c r="AH1005" i="1" s="1"/>
  <c r="T1006" i="1"/>
  <c r="AH1006" i="1" s="1"/>
  <c r="T1007" i="1"/>
  <c r="AH1007" i="1" s="1"/>
  <c r="T1008" i="1"/>
  <c r="AH1008" i="1" s="1"/>
  <c r="T1009" i="1"/>
  <c r="AH1009" i="1" s="1"/>
  <c r="T1010" i="1"/>
  <c r="AH1010" i="1" s="1"/>
  <c r="T1011" i="1"/>
  <c r="AH1011" i="1" s="1"/>
  <c r="T1012" i="1"/>
  <c r="AH1012" i="1" s="1"/>
  <c r="T1013" i="1"/>
  <c r="AH1013" i="1" s="1"/>
  <c r="T1014" i="1"/>
  <c r="AH1014" i="1" s="1"/>
  <c r="T1015" i="1"/>
  <c r="AH1015" i="1" s="1"/>
  <c r="T1016" i="1"/>
  <c r="AH1016" i="1" s="1"/>
  <c r="T1017" i="1"/>
  <c r="AH1017" i="1" s="1"/>
  <c r="T1018" i="1"/>
  <c r="AH1018" i="1" s="1"/>
  <c r="T1019" i="1"/>
  <c r="AH1019" i="1" s="1"/>
  <c r="T1020" i="1"/>
  <c r="AH1020" i="1" s="1"/>
  <c r="T1021" i="1"/>
  <c r="AH1021" i="1" s="1"/>
  <c r="T1022" i="1"/>
  <c r="AH1022" i="1" s="1"/>
  <c r="T1023" i="1"/>
  <c r="AH1023" i="1" s="1"/>
  <c r="T1024" i="1"/>
  <c r="AH1024" i="1" s="1"/>
  <c r="T1025" i="1"/>
  <c r="AH1025" i="1" s="1"/>
  <c r="T1026" i="1"/>
  <c r="AH1026" i="1" s="1"/>
  <c r="T1027" i="1"/>
  <c r="AH1027" i="1" s="1"/>
  <c r="T1028" i="1"/>
  <c r="AH1028" i="1" s="1"/>
  <c r="T1029" i="1"/>
  <c r="AH1029" i="1" s="1"/>
  <c r="T1030" i="1"/>
  <c r="AH1030" i="1" s="1"/>
  <c r="T1031" i="1"/>
  <c r="AH1031" i="1" s="1"/>
  <c r="T1032" i="1"/>
  <c r="AH1032" i="1" s="1"/>
  <c r="T1033" i="1"/>
  <c r="AH1033" i="1" s="1"/>
  <c r="T1034" i="1"/>
  <c r="AH1034" i="1" s="1"/>
  <c r="T1035" i="1"/>
  <c r="AH1035" i="1" s="1"/>
  <c r="T1036" i="1"/>
  <c r="AH1036" i="1" s="1"/>
  <c r="T1037" i="1"/>
  <c r="AH1037" i="1" s="1"/>
  <c r="T1038" i="1"/>
  <c r="AH1038" i="1" s="1"/>
  <c r="T1039" i="1"/>
  <c r="AH1039" i="1" s="1"/>
  <c r="T1040" i="1"/>
  <c r="AH1040" i="1" s="1"/>
  <c r="T1041" i="1"/>
  <c r="AH1041" i="1" s="1"/>
  <c r="T1042" i="1"/>
  <c r="AH1042" i="1" s="1"/>
  <c r="T1043" i="1"/>
  <c r="AH1043" i="1" s="1"/>
  <c r="T1044" i="1"/>
  <c r="AH1044" i="1" s="1"/>
  <c r="T1045" i="1"/>
  <c r="AH1045" i="1" s="1"/>
  <c r="T1046" i="1"/>
  <c r="AH1046" i="1" s="1"/>
  <c r="T1047" i="1"/>
  <c r="AH1047" i="1" s="1"/>
  <c r="T1048" i="1"/>
  <c r="AH1048" i="1" s="1"/>
  <c r="T1049" i="1"/>
  <c r="AH1049" i="1" s="1"/>
  <c r="T1050" i="1"/>
  <c r="AH1050" i="1" s="1"/>
  <c r="T1051" i="1"/>
  <c r="AH1051" i="1" s="1"/>
  <c r="T1052" i="1"/>
  <c r="AH1052" i="1" s="1"/>
  <c r="T1053" i="1"/>
  <c r="AH1053" i="1" s="1"/>
  <c r="T1054" i="1"/>
  <c r="AH1054" i="1" s="1"/>
  <c r="T1055" i="1"/>
  <c r="AH1055" i="1" s="1"/>
  <c r="T1056" i="1"/>
  <c r="AH1056" i="1" s="1"/>
  <c r="T1057" i="1"/>
  <c r="AH1057" i="1" s="1"/>
  <c r="T1058" i="1"/>
  <c r="AH1058" i="1" s="1"/>
  <c r="T1059" i="1"/>
  <c r="AH1059" i="1" s="1"/>
  <c r="T1060" i="1"/>
  <c r="AH1060" i="1" s="1"/>
  <c r="T1061" i="1"/>
  <c r="AH1061" i="1" s="1"/>
  <c r="T1062" i="1"/>
  <c r="AH1062" i="1" s="1"/>
  <c r="T1063" i="1"/>
  <c r="AH1063" i="1" s="1"/>
  <c r="T1064" i="1"/>
  <c r="AH1064" i="1" s="1"/>
  <c r="T1065" i="1"/>
  <c r="AH1065" i="1" s="1"/>
  <c r="T1066" i="1"/>
  <c r="AH1066" i="1" s="1"/>
  <c r="T1067" i="1"/>
  <c r="AH1067" i="1" s="1"/>
  <c r="T1068" i="1"/>
  <c r="AH1068" i="1" s="1"/>
  <c r="T1069" i="1"/>
  <c r="AH1069" i="1" s="1"/>
  <c r="T1070" i="1"/>
  <c r="AH1070" i="1" s="1"/>
  <c r="T1071" i="1"/>
  <c r="AH1071" i="1" s="1"/>
  <c r="T1072" i="1"/>
  <c r="AH1072" i="1" s="1"/>
  <c r="T1073" i="1"/>
  <c r="AH1073" i="1" s="1"/>
  <c r="T1074" i="1"/>
  <c r="AH1074" i="1" s="1"/>
  <c r="T1075" i="1"/>
  <c r="AH1075" i="1" s="1"/>
  <c r="T1076" i="1"/>
  <c r="AH1076" i="1" s="1"/>
  <c r="T1077" i="1"/>
  <c r="AH1077" i="1" s="1"/>
  <c r="T1078" i="1"/>
  <c r="AH1078" i="1" s="1"/>
  <c r="T1079" i="1"/>
  <c r="AH1079" i="1" s="1"/>
  <c r="T1080" i="1"/>
  <c r="AH1080" i="1" s="1"/>
  <c r="T1081" i="1"/>
  <c r="AH1081" i="1" s="1"/>
  <c r="T1082" i="1"/>
  <c r="AH1082" i="1" s="1"/>
  <c r="T1083" i="1"/>
  <c r="AH1083" i="1" s="1"/>
  <c r="T1084" i="1"/>
  <c r="AH1084" i="1" s="1"/>
  <c r="T1085" i="1"/>
  <c r="AH1085" i="1" s="1"/>
  <c r="T1086" i="1"/>
  <c r="AH1086" i="1" s="1"/>
  <c r="T1087" i="1"/>
  <c r="AH1087" i="1" s="1"/>
  <c r="T1088" i="1"/>
  <c r="AH1088" i="1" s="1"/>
  <c r="T1089" i="1"/>
  <c r="AH1089" i="1" s="1"/>
  <c r="T1090" i="1"/>
  <c r="AH1090" i="1" s="1"/>
  <c r="T1091" i="1"/>
  <c r="AH1091" i="1" s="1"/>
  <c r="T1092" i="1"/>
  <c r="AH1092" i="1" s="1"/>
  <c r="T1093" i="1"/>
  <c r="AH1093" i="1" s="1"/>
  <c r="T1094" i="1"/>
  <c r="AH1094" i="1" s="1"/>
  <c r="T1095" i="1"/>
  <c r="AH1095" i="1" s="1"/>
  <c r="T1096" i="1"/>
  <c r="AH1096" i="1" s="1"/>
  <c r="T1097" i="1"/>
  <c r="AH1097" i="1" s="1"/>
  <c r="T1098" i="1"/>
  <c r="AH1098" i="1" s="1"/>
  <c r="T1099" i="1"/>
  <c r="AH1099" i="1" s="1"/>
  <c r="T1100" i="1"/>
  <c r="AH1100" i="1" s="1"/>
  <c r="T1101" i="1"/>
  <c r="AH1101" i="1" s="1"/>
  <c r="T1102" i="1"/>
  <c r="AH1102" i="1" s="1"/>
  <c r="T1103" i="1"/>
  <c r="AH1103" i="1" s="1"/>
  <c r="T1104" i="1"/>
  <c r="AH1104" i="1" s="1"/>
  <c r="T1105" i="1"/>
  <c r="AH1105" i="1" s="1"/>
  <c r="T1106" i="1"/>
  <c r="AH1106" i="1" s="1"/>
  <c r="T1107" i="1"/>
  <c r="AH1107" i="1" s="1"/>
  <c r="T1108" i="1"/>
  <c r="AH1108" i="1" s="1"/>
  <c r="T1109" i="1"/>
  <c r="AH1109" i="1" s="1"/>
  <c r="T1110" i="1"/>
  <c r="AH1110" i="1" s="1"/>
  <c r="T1111" i="1"/>
  <c r="AH1111" i="1" s="1"/>
  <c r="T1112" i="1"/>
  <c r="AH1112" i="1" s="1"/>
  <c r="T1113" i="1"/>
  <c r="AH1113" i="1" s="1"/>
  <c r="T1114" i="1"/>
  <c r="AH1114" i="1" s="1"/>
  <c r="T1115" i="1"/>
  <c r="AH1115" i="1" s="1"/>
  <c r="T1116" i="1"/>
  <c r="AH1116" i="1" s="1"/>
  <c r="T1117" i="1"/>
  <c r="AH1117" i="1" s="1"/>
  <c r="T1118" i="1"/>
  <c r="AH1118" i="1" s="1"/>
  <c r="T1119" i="1"/>
  <c r="AH1119" i="1" s="1"/>
  <c r="T1120" i="1"/>
  <c r="AH1120" i="1" s="1"/>
  <c r="T1121" i="1"/>
  <c r="AH1121" i="1" s="1"/>
  <c r="T1122" i="1"/>
  <c r="AH1122" i="1" s="1"/>
  <c r="T1123" i="1"/>
  <c r="AH1123" i="1" s="1"/>
  <c r="T1124" i="1"/>
  <c r="AH1124" i="1" s="1"/>
  <c r="T1125" i="1"/>
  <c r="AH1125" i="1" s="1"/>
  <c r="T1126" i="1"/>
  <c r="AH1126" i="1" s="1"/>
  <c r="T1127" i="1"/>
  <c r="AH1127" i="1" s="1"/>
  <c r="T1128" i="1"/>
  <c r="AH1128" i="1" s="1"/>
  <c r="T1129" i="1"/>
  <c r="AH1129" i="1" s="1"/>
  <c r="T1130" i="1"/>
  <c r="AH1130" i="1" s="1"/>
  <c r="T1131" i="1"/>
  <c r="AH1131" i="1" s="1"/>
  <c r="T1132" i="1"/>
  <c r="AH1132" i="1" s="1"/>
  <c r="T1133" i="1"/>
  <c r="AH1133" i="1" s="1"/>
  <c r="T1134" i="1"/>
  <c r="AH1134" i="1" s="1"/>
  <c r="T1135" i="1"/>
  <c r="AH1135" i="1" s="1"/>
  <c r="T1136" i="1"/>
  <c r="AH1136" i="1" s="1"/>
  <c r="T1137" i="1"/>
  <c r="AH1137" i="1" s="1"/>
  <c r="T1138" i="1"/>
  <c r="AH1138" i="1" s="1"/>
  <c r="T1139" i="1"/>
  <c r="AH1139" i="1" s="1"/>
  <c r="T1140" i="1"/>
  <c r="AH1140" i="1" s="1"/>
  <c r="T1141" i="1"/>
  <c r="AH1141" i="1" s="1"/>
  <c r="T1142" i="1"/>
  <c r="AH1142" i="1" s="1"/>
  <c r="T1143" i="1"/>
  <c r="AH1143" i="1" s="1"/>
  <c r="T1144" i="1"/>
  <c r="AH1144" i="1" s="1"/>
  <c r="T1145" i="1"/>
  <c r="AH1145" i="1" s="1"/>
  <c r="T1146" i="1"/>
  <c r="AH1146" i="1" s="1"/>
  <c r="T1147" i="1"/>
  <c r="AH1147" i="1" s="1"/>
  <c r="T1148" i="1"/>
  <c r="AH1148" i="1" s="1"/>
  <c r="T1149" i="1"/>
  <c r="AH1149" i="1" s="1"/>
  <c r="T1150" i="1"/>
  <c r="AH1150" i="1" s="1"/>
  <c r="T1151" i="1"/>
  <c r="AH1151" i="1" s="1"/>
  <c r="T1152" i="1"/>
  <c r="AH1152" i="1" s="1"/>
  <c r="T1153" i="1"/>
  <c r="AH1153" i="1" s="1"/>
  <c r="T1154" i="1"/>
  <c r="AH1154" i="1" s="1"/>
  <c r="T1155" i="1"/>
  <c r="AH1155" i="1" s="1"/>
  <c r="T1156" i="1"/>
  <c r="AH1156" i="1" s="1"/>
  <c r="T1157" i="1"/>
  <c r="AH1157" i="1" s="1"/>
  <c r="T1158" i="1"/>
  <c r="AH1158" i="1" s="1"/>
  <c r="T1159" i="1"/>
  <c r="AH1159" i="1" s="1"/>
  <c r="T1160" i="1"/>
  <c r="AH1160" i="1" s="1"/>
  <c r="T1161" i="1"/>
  <c r="AH1161" i="1" s="1"/>
  <c r="T1162" i="1"/>
  <c r="AH1162" i="1" s="1"/>
  <c r="T1163" i="1"/>
  <c r="AH1163" i="1" s="1"/>
  <c r="T1164" i="1"/>
  <c r="AH1164" i="1" s="1"/>
  <c r="T1165" i="1"/>
  <c r="AH1165" i="1" s="1"/>
  <c r="T1166" i="1"/>
  <c r="AH1166" i="1" s="1"/>
  <c r="T1167" i="1"/>
  <c r="AH1167" i="1" s="1"/>
  <c r="T1168" i="1"/>
  <c r="AH1168" i="1" s="1"/>
  <c r="T1169" i="1"/>
  <c r="AH1169" i="1" s="1"/>
  <c r="T1170" i="1"/>
  <c r="AH1170" i="1" s="1"/>
  <c r="T1171" i="1"/>
  <c r="AH1171" i="1" s="1"/>
  <c r="T1172" i="1"/>
  <c r="AH1172" i="1" s="1"/>
  <c r="T1173" i="1"/>
  <c r="AH1173" i="1" s="1"/>
  <c r="T1174" i="1"/>
  <c r="AH1174" i="1" s="1"/>
  <c r="T1175" i="1"/>
  <c r="AH1175" i="1" s="1"/>
  <c r="T1176" i="1"/>
  <c r="AH1176" i="1" s="1"/>
  <c r="T1177" i="1"/>
  <c r="AH1177" i="1" s="1"/>
  <c r="T1178" i="1"/>
  <c r="AH1178" i="1" s="1"/>
  <c r="T1179" i="1"/>
  <c r="AH1179" i="1" s="1"/>
  <c r="T1180" i="1"/>
  <c r="AH1180" i="1" s="1"/>
  <c r="T1181" i="1"/>
  <c r="AH1181" i="1" s="1"/>
  <c r="T1182" i="1"/>
  <c r="AH1182" i="1" s="1"/>
  <c r="T1183" i="1"/>
  <c r="AH1183" i="1" s="1"/>
  <c r="T1184" i="1"/>
  <c r="AH1184" i="1" s="1"/>
  <c r="T1185" i="1"/>
  <c r="AH1185" i="1" s="1"/>
  <c r="T1186" i="1"/>
  <c r="AH1186" i="1" s="1"/>
  <c r="T1187" i="1"/>
  <c r="AH1187" i="1" s="1"/>
  <c r="T1188" i="1"/>
  <c r="AH1188" i="1" s="1"/>
  <c r="T1189" i="1"/>
  <c r="AH1189" i="1" s="1"/>
  <c r="T1190" i="1"/>
  <c r="AH1190" i="1" s="1"/>
  <c r="T1191" i="1"/>
  <c r="AH1191" i="1" s="1"/>
  <c r="T1192" i="1"/>
  <c r="AH1192" i="1" s="1"/>
  <c r="T1193" i="1"/>
  <c r="AH1193" i="1" s="1"/>
  <c r="T1194" i="1"/>
  <c r="AH1194" i="1" s="1"/>
  <c r="T1195" i="1"/>
  <c r="AH1195" i="1" s="1"/>
  <c r="T1196" i="1"/>
  <c r="AH1196" i="1" s="1"/>
  <c r="T1197" i="1"/>
  <c r="AH1197" i="1" s="1"/>
  <c r="T1198" i="1"/>
  <c r="AH1198" i="1" s="1"/>
  <c r="T1199" i="1"/>
  <c r="AH1199" i="1" s="1"/>
  <c r="T1200" i="1"/>
  <c r="AH1200" i="1" s="1"/>
  <c r="T1201" i="1"/>
  <c r="AH1201" i="1" s="1"/>
  <c r="T1202" i="1"/>
  <c r="AH1202" i="1" s="1"/>
  <c r="T1203" i="1"/>
  <c r="AH1203" i="1" s="1"/>
  <c r="T1204" i="1"/>
  <c r="AH1204" i="1" s="1"/>
  <c r="T1205" i="1"/>
  <c r="AH1205" i="1" s="1"/>
  <c r="T1206" i="1"/>
  <c r="AH1206" i="1" s="1"/>
  <c r="T1207" i="1"/>
  <c r="AH1207" i="1" s="1"/>
  <c r="T1208" i="1"/>
  <c r="AH1208" i="1" s="1"/>
  <c r="T1209" i="1"/>
  <c r="AH1209" i="1" s="1"/>
  <c r="T1210" i="1"/>
  <c r="AH1210" i="1" s="1"/>
  <c r="T1211" i="1"/>
  <c r="AH1211" i="1" s="1"/>
  <c r="T1212" i="1"/>
  <c r="AH1212" i="1" s="1"/>
  <c r="T1213" i="1"/>
  <c r="AH1213" i="1" s="1"/>
  <c r="T1214" i="1"/>
  <c r="AH1214" i="1" s="1"/>
  <c r="T1215" i="1"/>
  <c r="AH1215" i="1" s="1"/>
  <c r="T1216" i="1"/>
  <c r="AH1216" i="1" s="1"/>
  <c r="T1217" i="1"/>
  <c r="AH1217" i="1" s="1"/>
  <c r="T1218" i="1"/>
  <c r="AH1218" i="1" s="1"/>
  <c r="T1219" i="1"/>
  <c r="AH1219" i="1" s="1"/>
  <c r="T1220" i="1"/>
  <c r="AH1220" i="1" s="1"/>
  <c r="T1221" i="1"/>
  <c r="AH1221" i="1" s="1"/>
  <c r="T1222" i="1"/>
  <c r="AH1222" i="1" s="1"/>
  <c r="T1223" i="1"/>
  <c r="AH1223" i="1" s="1"/>
  <c r="T1224" i="1"/>
  <c r="AH1224" i="1" s="1"/>
  <c r="T1225" i="1"/>
  <c r="AH1225" i="1" s="1"/>
  <c r="T1226" i="1"/>
  <c r="AH1226" i="1" s="1"/>
  <c r="T1227" i="1"/>
  <c r="AH1227" i="1" s="1"/>
  <c r="T1228" i="1"/>
  <c r="AH1228" i="1" s="1"/>
  <c r="T1229" i="1"/>
  <c r="AH1229" i="1" s="1"/>
  <c r="T1230" i="1"/>
  <c r="AH1230" i="1" s="1"/>
  <c r="T1231" i="1"/>
  <c r="AH1231" i="1" s="1"/>
  <c r="T1232" i="1"/>
  <c r="AH1232" i="1" s="1"/>
  <c r="T1233" i="1"/>
  <c r="AH1233" i="1" s="1"/>
  <c r="T1234" i="1"/>
  <c r="AH1234" i="1" s="1"/>
  <c r="T1235" i="1"/>
  <c r="AH1235" i="1" s="1"/>
  <c r="T1236" i="1"/>
  <c r="AH1236" i="1" s="1"/>
  <c r="T1237" i="1"/>
  <c r="AH1237" i="1" s="1"/>
  <c r="T1238" i="1"/>
  <c r="AH1238" i="1" s="1"/>
  <c r="T1239" i="1"/>
  <c r="AH1239" i="1" s="1"/>
  <c r="T1240" i="1"/>
  <c r="AH1240" i="1" s="1"/>
  <c r="T1241" i="1"/>
  <c r="AH1241" i="1" s="1"/>
  <c r="T1242" i="1"/>
  <c r="AH1242" i="1" s="1"/>
  <c r="T1243" i="1"/>
  <c r="AH1243" i="1" s="1"/>
  <c r="T1244" i="1"/>
  <c r="AH1244" i="1" s="1"/>
  <c r="T1245" i="1"/>
  <c r="AH1245" i="1" s="1"/>
  <c r="T1246" i="1"/>
  <c r="AH1246" i="1" s="1"/>
  <c r="T1247" i="1"/>
  <c r="AH1247" i="1" s="1"/>
  <c r="T1248" i="1"/>
  <c r="AH1248" i="1" s="1"/>
  <c r="T1249" i="1"/>
  <c r="AH1249" i="1" s="1"/>
  <c r="T1250" i="1"/>
  <c r="AH1250" i="1" s="1"/>
  <c r="T1251" i="1"/>
  <c r="AH1251" i="1" s="1"/>
  <c r="T1252" i="1"/>
  <c r="AH1252" i="1" s="1"/>
  <c r="T1253" i="1"/>
  <c r="AH1253" i="1" s="1"/>
  <c r="T1254" i="1"/>
  <c r="AH1254" i="1" s="1"/>
  <c r="T1255" i="1"/>
  <c r="AH1255" i="1" s="1"/>
  <c r="T1256" i="1"/>
  <c r="AH1256" i="1" s="1"/>
  <c r="T1257" i="1"/>
  <c r="AH1257" i="1" s="1"/>
  <c r="T1258" i="1"/>
  <c r="AH1258" i="1" s="1"/>
  <c r="T1259" i="1"/>
  <c r="AH1259" i="1" s="1"/>
  <c r="T1260" i="1"/>
  <c r="AH1260" i="1" s="1"/>
  <c r="T1261" i="1"/>
  <c r="AH1261" i="1" s="1"/>
  <c r="T1262" i="1"/>
  <c r="AH1262" i="1" s="1"/>
  <c r="T1263" i="1"/>
  <c r="AH1263" i="1" s="1"/>
  <c r="T1264" i="1"/>
  <c r="AH1264" i="1" s="1"/>
  <c r="T1265" i="1"/>
  <c r="AH1265" i="1" s="1"/>
  <c r="T1266" i="1"/>
  <c r="AH1266" i="1" s="1"/>
  <c r="T1267" i="1"/>
  <c r="AH1267" i="1" s="1"/>
  <c r="T1268" i="1"/>
  <c r="AH1268" i="1" s="1"/>
  <c r="T1269" i="1"/>
  <c r="AH1269" i="1" s="1"/>
  <c r="T1270" i="1"/>
  <c r="AH1270" i="1" s="1"/>
  <c r="T1271" i="1"/>
  <c r="AH1271" i="1" s="1"/>
  <c r="T1272" i="1"/>
  <c r="AH1272" i="1" s="1"/>
  <c r="T1273" i="1"/>
  <c r="AH1273" i="1" s="1"/>
  <c r="T1274" i="1"/>
  <c r="AH1274" i="1" s="1"/>
  <c r="T1275" i="1"/>
  <c r="AH1275" i="1" s="1"/>
  <c r="T1276" i="1"/>
  <c r="AH1276" i="1" s="1"/>
  <c r="T1277" i="1"/>
  <c r="AH1277" i="1" s="1"/>
  <c r="T1278" i="1"/>
  <c r="AH1278" i="1" s="1"/>
  <c r="T1279" i="1"/>
  <c r="AH1279" i="1" s="1"/>
  <c r="T1280" i="1"/>
  <c r="AH1280" i="1" s="1"/>
  <c r="T1281" i="1"/>
  <c r="AH1281" i="1" s="1"/>
  <c r="T1282" i="1"/>
  <c r="AH1282" i="1" s="1"/>
  <c r="T1283" i="1"/>
  <c r="AH1283" i="1" s="1"/>
  <c r="T1284" i="1"/>
  <c r="AH1284" i="1" s="1"/>
  <c r="T1285" i="1"/>
  <c r="AH1285" i="1" s="1"/>
  <c r="T1286" i="1"/>
  <c r="AH1286" i="1" s="1"/>
  <c r="T1287" i="1"/>
  <c r="AH1287" i="1" s="1"/>
  <c r="T1288" i="1"/>
  <c r="AH1288" i="1" s="1"/>
  <c r="T1289" i="1"/>
  <c r="AH1289" i="1" s="1"/>
  <c r="T1290" i="1"/>
  <c r="AH1290" i="1" s="1"/>
  <c r="T1291" i="1"/>
  <c r="AH1291" i="1" s="1"/>
  <c r="T1292" i="1"/>
  <c r="AH1292" i="1" s="1"/>
  <c r="T1293" i="1"/>
  <c r="AH1293" i="1" s="1"/>
  <c r="T1294" i="1"/>
  <c r="AH1294" i="1" s="1"/>
  <c r="T1295" i="1"/>
  <c r="AH1295" i="1" s="1"/>
  <c r="T1296" i="1"/>
  <c r="AH1296" i="1" s="1"/>
  <c r="T1297" i="1"/>
  <c r="AH1297" i="1" s="1"/>
  <c r="T1298" i="1"/>
  <c r="AH1298" i="1" s="1"/>
  <c r="T1299" i="1"/>
  <c r="AH1299" i="1" s="1"/>
  <c r="T1300" i="1"/>
  <c r="AH1300" i="1" s="1"/>
  <c r="T1301" i="1"/>
  <c r="AH1301" i="1" s="1"/>
  <c r="T1302" i="1"/>
  <c r="AH1302" i="1" s="1"/>
  <c r="T1303" i="1"/>
  <c r="AH1303" i="1" s="1"/>
  <c r="T1304" i="1"/>
  <c r="AH1304" i="1" s="1"/>
  <c r="T1305" i="1"/>
  <c r="AH1305" i="1" s="1"/>
  <c r="T1306" i="1"/>
  <c r="AH1306" i="1" s="1"/>
  <c r="T1307" i="1"/>
  <c r="AH1307" i="1" s="1"/>
  <c r="T1308" i="1"/>
  <c r="AH1308" i="1" s="1"/>
  <c r="T1309" i="1"/>
  <c r="AH1309" i="1" s="1"/>
  <c r="T1310" i="1"/>
  <c r="AH1310" i="1" s="1"/>
  <c r="T1311" i="1"/>
  <c r="AH1311" i="1" s="1"/>
  <c r="T1312" i="1"/>
  <c r="AH1312" i="1" s="1"/>
  <c r="T1313" i="1"/>
  <c r="AH1313" i="1" s="1"/>
  <c r="T1314" i="1"/>
  <c r="AH1314" i="1" s="1"/>
  <c r="T1315" i="1"/>
  <c r="AH1315" i="1" s="1"/>
  <c r="T1316" i="1"/>
  <c r="AH1316" i="1" s="1"/>
  <c r="T1317" i="1"/>
  <c r="AH1317" i="1" s="1"/>
  <c r="T1318" i="1"/>
  <c r="AH1318" i="1" s="1"/>
  <c r="T1319" i="1"/>
  <c r="AH1319" i="1" s="1"/>
  <c r="T1320" i="1"/>
  <c r="AH1320" i="1" s="1"/>
  <c r="T1321" i="1"/>
  <c r="AH1321" i="1" s="1"/>
  <c r="T1322" i="1"/>
  <c r="AH1322" i="1" s="1"/>
  <c r="T1323" i="1"/>
  <c r="AH1323" i="1" s="1"/>
  <c r="T1324" i="1"/>
  <c r="AH1324" i="1" s="1"/>
  <c r="T1325" i="1"/>
  <c r="AH1325" i="1" s="1"/>
  <c r="T1326" i="1"/>
  <c r="AH1326" i="1" s="1"/>
  <c r="T1327" i="1"/>
  <c r="AH1327" i="1" s="1"/>
  <c r="T1328" i="1"/>
  <c r="AH1328" i="1" s="1"/>
  <c r="T1329" i="1"/>
  <c r="AH1329" i="1" s="1"/>
  <c r="T1330" i="1"/>
  <c r="AH1330" i="1" s="1"/>
  <c r="T1331" i="1"/>
  <c r="AH1331" i="1" s="1"/>
  <c r="T1332" i="1"/>
  <c r="AH1332" i="1" s="1"/>
  <c r="T1333" i="1"/>
  <c r="AH1333" i="1" s="1"/>
  <c r="T1334" i="1"/>
  <c r="AH1334" i="1" s="1"/>
  <c r="T1335" i="1"/>
  <c r="AH1335" i="1" s="1"/>
  <c r="T1336" i="1"/>
  <c r="AH1336" i="1" s="1"/>
  <c r="T1337" i="1"/>
  <c r="AH1337" i="1" s="1"/>
  <c r="T1338" i="1"/>
  <c r="AH1338" i="1" s="1"/>
  <c r="T1339" i="1"/>
  <c r="AH1339" i="1" s="1"/>
  <c r="T1340" i="1"/>
  <c r="AH1340" i="1" s="1"/>
  <c r="T1341" i="1"/>
  <c r="AH1341" i="1" s="1"/>
  <c r="T1342" i="1"/>
  <c r="AH1342" i="1" s="1"/>
  <c r="T1343" i="1"/>
  <c r="AH1343" i="1" s="1"/>
  <c r="T1344" i="1"/>
  <c r="AH1344" i="1" s="1"/>
  <c r="T1345" i="1"/>
  <c r="AH1345" i="1" s="1"/>
  <c r="T1346" i="1"/>
  <c r="AH1346" i="1" s="1"/>
  <c r="T1347" i="1"/>
  <c r="AH1347" i="1" s="1"/>
  <c r="T1348" i="1"/>
  <c r="AH1348" i="1" s="1"/>
  <c r="T1349" i="1"/>
  <c r="AH1349" i="1" s="1"/>
  <c r="T1350" i="1"/>
  <c r="AH1350" i="1" s="1"/>
  <c r="T1351" i="1"/>
  <c r="AH1351" i="1" s="1"/>
  <c r="T1352" i="1"/>
  <c r="AH1352" i="1" s="1"/>
  <c r="T1353" i="1"/>
  <c r="AH1353" i="1" s="1"/>
  <c r="T1354" i="1"/>
  <c r="AH1354" i="1" s="1"/>
  <c r="T1355" i="1"/>
  <c r="AH1355" i="1" s="1"/>
  <c r="T1356" i="1"/>
  <c r="AH1356" i="1" s="1"/>
  <c r="T1357" i="1"/>
  <c r="AH1357" i="1" s="1"/>
  <c r="T1358" i="1"/>
  <c r="AH1358" i="1" s="1"/>
  <c r="T1359" i="1"/>
  <c r="AH1359" i="1" s="1"/>
  <c r="T1360" i="1"/>
  <c r="AH1360" i="1" s="1"/>
  <c r="T1361" i="1"/>
  <c r="AH1361" i="1" s="1"/>
  <c r="T1362" i="1"/>
  <c r="AH1362" i="1" s="1"/>
  <c r="T1363" i="1"/>
  <c r="AH1363" i="1" s="1"/>
  <c r="T1364" i="1"/>
  <c r="AH1364" i="1" s="1"/>
  <c r="T1365" i="1"/>
  <c r="AH1365" i="1" s="1"/>
  <c r="T1366" i="1"/>
  <c r="AH1366" i="1" s="1"/>
  <c r="T1367" i="1"/>
  <c r="AH1367" i="1" s="1"/>
  <c r="T1368" i="1"/>
  <c r="AH1368" i="1" s="1"/>
  <c r="T1369" i="1"/>
  <c r="AH1369" i="1" s="1"/>
  <c r="T1370" i="1"/>
  <c r="AH1370" i="1" s="1"/>
  <c r="T1371" i="1"/>
  <c r="AH1371" i="1" s="1"/>
  <c r="T1372" i="1"/>
  <c r="AH1372" i="1" s="1"/>
  <c r="T1373" i="1"/>
  <c r="AH1373" i="1" s="1"/>
  <c r="T1374" i="1"/>
  <c r="AH1374" i="1" s="1"/>
  <c r="T1375" i="1"/>
  <c r="AH1375" i="1" s="1"/>
  <c r="T1376" i="1"/>
  <c r="AH1376" i="1" s="1"/>
  <c r="T1377" i="1"/>
  <c r="AH1377" i="1" s="1"/>
  <c r="T1378" i="1"/>
  <c r="AH1378" i="1" s="1"/>
  <c r="T1379" i="1"/>
  <c r="AH1379" i="1" s="1"/>
  <c r="T1380" i="1"/>
  <c r="AH1380" i="1" s="1"/>
  <c r="T1381" i="1"/>
  <c r="AH1381" i="1" s="1"/>
  <c r="T1382" i="1"/>
  <c r="AH1382" i="1" s="1"/>
  <c r="T1383" i="1"/>
  <c r="AH1383" i="1" s="1"/>
  <c r="T1384" i="1"/>
  <c r="AH1384" i="1" s="1"/>
  <c r="T1385" i="1"/>
  <c r="AH1385" i="1" s="1"/>
  <c r="T1386" i="1"/>
  <c r="AH1386" i="1" s="1"/>
  <c r="T1387" i="1"/>
  <c r="AH1387" i="1" s="1"/>
  <c r="T1388" i="1"/>
  <c r="AH1388" i="1" s="1"/>
  <c r="T1389" i="1"/>
  <c r="AH1389" i="1" s="1"/>
  <c r="T1390" i="1"/>
  <c r="AH1390" i="1" s="1"/>
  <c r="T1391" i="1"/>
  <c r="AH1391" i="1" s="1"/>
  <c r="T1392" i="1"/>
  <c r="AH1392" i="1" s="1"/>
  <c r="T1393" i="1"/>
  <c r="AH1393" i="1" s="1"/>
  <c r="T1394" i="1"/>
  <c r="AH1394" i="1" s="1"/>
  <c r="T1395" i="1"/>
  <c r="AH1395" i="1" s="1"/>
  <c r="T1396" i="1"/>
  <c r="AH1396" i="1" s="1"/>
  <c r="T1397" i="1"/>
  <c r="AH1397" i="1" s="1"/>
  <c r="T1398" i="1"/>
  <c r="AH1398" i="1" s="1"/>
  <c r="T1399" i="1"/>
  <c r="AH1399" i="1" s="1"/>
  <c r="T1400" i="1"/>
  <c r="AH1400" i="1" s="1"/>
  <c r="T1401" i="1"/>
  <c r="AH1401" i="1" s="1"/>
  <c r="T1402" i="1"/>
  <c r="AH1402" i="1" s="1"/>
  <c r="T1403" i="1"/>
  <c r="AH1403" i="1" s="1"/>
  <c r="T1404" i="1"/>
  <c r="AH1404" i="1" s="1"/>
  <c r="T1405" i="1"/>
  <c r="AH1405" i="1" s="1"/>
  <c r="T1406" i="1"/>
  <c r="AH1406" i="1" s="1"/>
  <c r="T1407" i="1"/>
  <c r="AH1407" i="1" s="1"/>
  <c r="T1408" i="1"/>
  <c r="AH1408" i="1" s="1"/>
  <c r="T1409" i="1"/>
  <c r="AH1409" i="1" s="1"/>
  <c r="T1410" i="1"/>
  <c r="AH1410" i="1" s="1"/>
  <c r="T1411" i="1"/>
  <c r="AH1411" i="1" s="1"/>
  <c r="T1412" i="1"/>
  <c r="AH1412" i="1" s="1"/>
  <c r="T1413" i="1"/>
  <c r="AH1413" i="1" s="1"/>
  <c r="T1414" i="1"/>
  <c r="AH1414" i="1" s="1"/>
  <c r="T1415" i="1"/>
  <c r="AH1415" i="1" s="1"/>
  <c r="T1416" i="1"/>
  <c r="AH1416" i="1" s="1"/>
  <c r="T1417" i="1"/>
  <c r="AH1417" i="1" s="1"/>
  <c r="T1418" i="1"/>
  <c r="AH1418" i="1" s="1"/>
  <c r="T1419" i="1"/>
  <c r="AH1419" i="1" s="1"/>
  <c r="T1420" i="1"/>
  <c r="AH1420" i="1" s="1"/>
  <c r="T1421" i="1"/>
  <c r="AH1421" i="1" s="1"/>
  <c r="T1422" i="1"/>
  <c r="AH1422" i="1" s="1"/>
  <c r="T1423" i="1"/>
  <c r="AH1423" i="1" s="1"/>
  <c r="T1424" i="1"/>
  <c r="AH1424" i="1" s="1"/>
  <c r="T1425" i="1"/>
  <c r="AH1425" i="1" s="1"/>
  <c r="T1426" i="1"/>
  <c r="AH1426" i="1" s="1"/>
  <c r="T1427" i="1"/>
  <c r="AH1427" i="1" s="1"/>
  <c r="T1428" i="1"/>
  <c r="AH1428" i="1" s="1"/>
  <c r="T1429" i="1"/>
  <c r="AH1429" i="1" s="1"/>
  <c r="T1430" i="1"/>
  <c r="AH1430" i="1" s="1"/>
  <c r="T1431" i="1"/>
  <c r="AH1431" i="1" s="1"/>
  <c r="T1432" i="1"/>
  <c r="AH1432" i="1" s="1"/>
  <c r="T1433" i="1"/>
  <c r="AH1433" i="1" s="1"/>
  <c r="T1434" i="1"/>
  <c r="AH1434" i="1" s="1"/>
  <c r="T1435" i="1"/>
  <c r="AH1435" i="1" s="1"/>
  <c r="T1436" i="1"/>
  <c r="AH1436" i="1" s="1"/>
  <c r="T1437" i="1"/>
  <c r="AH1437" i="1" s="1"/>
  <c r="T1438" i="1"/>
  <c r="AH1438" i="1" s="1"/>
  <c r="T1439" i="1"/>
  <c r="AH1439" i="1" s="1"/>
  <c r="T1440" i="1"/>
  <c r="AH1440" i="1" s="1"/>
  <c r="T1441" i="1"/>
  <c r="AH1441" i="1" s="1"/>
  <c r="T1442" i="1"/>
  <c r="AH1442" i="1" s="1"/>
  <c r="T1443" i="1"/>
  <c r="AH1443" i="1" s="1"/>
  <c r="T1444" i="1"/>
  <c r="AH1444" i="1" s="1"/>
  <c r="T1445" i="1"/>
  <c r="AH1445" i="1" s="1"/>
  <c r="T1446" i="1"/>
  <c r="AH1446" i="1" s="1"/>
  <c r="T1447" i="1"/>
  <c r="AH1447" i="1" s="1"/>
  <c r="T1448" i="1"/>
  <c r="AH1448" i="1" s="1"/>
  <c r="T1449" i="1"/>
  <c r="AH1449" i="1" s="1"/>
  <c r="T1450" i="1"/>
  <c r="AH1450" i="1" s="1"/>
  <c r="T1451" i="1"/>
  <c r="AH1451" i="1" s="1"/>
  <c r="T1452" i="1"/>
  <c r="AH1452" i="1" s="1"/>
  <c r="T1453" i="1"/>
  <c r="AH1453" i="1" s="1"/>
  <c r="T1454" i="1"/>
  <c r="AH1454" i="1" s="1"/>
  <c r="T1455" i="1"/>
  <c r="AH1455" i="1" s="1"/>
  <c r="T1456" i="1"/>
  <c r="AH1456" i="1" s="1"/>
  <c r="T1457" i="1"/>
  <c r="AH1457" i="1" s="1"/>
  <c r="T1458" i="1"/>
  <c r="AH1458" i="1" s="1"/>
  <c r="T1459" i="1"/>
  <c r="AH1459" i="1" s="1"/>
  <c r="T1460" i="1"/>
  <c r="AH1460" i="1" s="1"/>
  <c r="T1461" i="1"/>
  <c r="AH1461" i="1" s="1"/>
  <c r="T1462" i="1"/>
  <c r="AH1462" i="1" s="1"/>
  <c r="T1463" i="1"/>
  <c r="AH1463" i="1" s="1"/>
  <c r="T1464" i="1"/>
  <c r="AH1464" i="1" s="1"/>
  <c r="T1465" i="1"/>
  <c r="AH1465" i="1" s="1"/>
  <c r="T1466" i="1"/>
  <c r="AH1466" i="1" s="1"/>
  <c r="T1467" i="1"/>
  <c r="AH1467" i="1" s="1"/>
  <c r="T1468" i="1"/>
  <c r="AH1468" i="1" s="1"/>
  <c r="T1469" i="1"/>
  <c r="AH1469" i="1" s="1"/>
  <c r="T1470" i="1"/>
  <c r="AH1470" i="1" s="1"/>
  <c r="T1471" i="1"/>
  <c r="AH1471" i="1" s="1"/>
  <c r="T1472" i="1"/>
  <c r="AH1472" i="1" s="1"/>
  <c r="T1473" i="1"/>
  <c r="AH1473" i="1" s="1"/>
  <c r="T1474" i="1"/>
  <c r="AH1474" i="1" s="1"/>
  <c r="T1475" i="1"/>
  <c r="AH1475" i="1" s="1"/>
  <c r="T1476" i="1"/>
  <c r="AH1476" i="1" s="1"/>
  <c r="T1477" i="1"/>
  <c r="AH1477" i="1" s="1"/>
  <c r="T1478" i="1"/>
  <c r="AH1478" i="1" s="1"/>
  <c r="T1479" i="1"/>
  <c r="AH1479" i="1" s="1"/>
  <c r="T1480" i="1"/>
  <c r="AH1480" i="1" s="1"/>
  <c r="T1481" i="1"/>
  <c r="AH1481" i="1" s="1"/>
  <c r="T1482" i="1"/>
  <c r="AH1482" i="1" s="1"/>
  <c r="T1483" i="1"/>
  <c r="AH1483" i="1" s="1"/>
  <c r="T1484" i="1"/>
  <c r="AH1484" i="1" s="1"/>
  <c r="T1485" i="1"/>
  <c r="AH1485" i="1" s="1"/>
  <c r="T1486" i="1"/>
  <c r="AH1486" i="1" s="1"/>
  <c r="T1487" i="1"/>
  <c r="AH1487" i="1" s="1"/>
  <c r="T1488" i="1"/>
  <c r="AH1488" i="1" s="1"/>
  <c r="T1489" i="1"/>
  <c r="AH1489" i="1" s="1"/>
  <c r="T1490" i="1"/>
  <c r="AH1490" i="1" s="1"/>
  <c r="T1491" i="1"/>
  <c r="AH1491" i="1" s="1"/>
  <c r="T1492" i="1"/>
  <c r="AH1492" i="1" s="1"/>
  <c r="T1493" i="1"/>
  <c r="AH1493" i="1" s="1"/>
  <c r="T1494" i="1"/>
  <c r="AH1494" i="1" s="1"/>
  <c r="T1495" i="1"/>
  <c r="AH1495" i="1" s="1"/>
  <c r="T1496" i="1"/>
  <c r="AH1496" i="1" s="1"/>
  <c r="T1497" i="1"/>
  <c r="AH1497" i="1" s="1"/>
  <c r="T1498" i="1"/>
  <c r="AH1498" i="1" s="1"/>
  <c r="T1499" i="1"/>
  <c r="AH1499" i="1" s="1"/>
  <c r="T1500" i="1"/>
  <c r="AH1500" i="1" s="1"/>
  <c r="T1501" i="1"/>
  <c r="AH1501" i="1" s="1"/>
  <c r="T1502" i="1"/>
  <c r="AH1502" i="1" s="1"/>
  <c r="T1503" i="1"/>
  <c r="AH1503" i="1" s="1"/>
  <c r="T1504" i="1"/>
  <c r="AH1504" i="1" s="1"/>
  <c r="T1505" i="1"/>
  <c r="AH1505" i="1" s="1"/>
  <c r="T1506" i="1"/>
  <c r="AH1506" i="1" s="1"/>
  <c r="T1507" i="1"/>
  <c r="AH1507" i="1" s="1"/>
  <c r="T1508" i="1"/>
  <c r="AH1508" i="1" s="1"/>
  <c r="T1509" i="1"/>
  <c r="AH1509" i="1" s="1"/>
  <c r="T1510" i="1"/>
  <c r="AH1510" i="1" s="1"/>
  <c r="T1511" i="1"/>
  <c r="AH1511" i="1" s="1"/>
  <c r="T1512" i="1"/>
  <c r="AH1512" i="1" s="1"/>
  <c r="T1513" i="1"/>
  <c r="AH1513" i="1" s="1"/>
  <c r="T1514" i="1"/>
  <c r="AH1514" i="1" s="1"/>
  <c r="T1515" i="1"/>
  <c r="AH1515" i="1" s="1"/>
  <c r="T1516" i="1"/>
  <c r="AH1516" i="1" s="1"/>
  <c r="T1517" i="1"/>
  <c r="AH1517" i="1" s="1"/>
  <c r="T1518" i="1"/>
  <c r="AH1518" i="1" s="1"/>
  <c r="T1519" i="1"/>
  <c r="AH1519" i="1" s="1"/>
  <c r="T1520" i="1"/>
  <c r="AH1520" i="1" s="1"/>
  <c r="T1521" i="1"/>
  <c r="AH1521" i="1" s="1"/>
  <c r="T1522" i="1"/>
  <c r="AH1522" i="1" s="1"/>
  <c r="T1523" i="1"/>
  <c r="AH1523" i="1" s="1"/>
  <c r="T1524" i="1"/>
  <c r="AH1524" i="1" s="1"/>
  <c r="T1525" i="1"/>
  <c r="AH1525" i="1" s="1"/>
  <c r="T1526" i="1"/>
  <c r="AH1526" i="1" s="1"/>
  <c r="T1527" i="1"/>
  <c r="AH1527" i="1" s="1"/>
  <c r="T1528" i="1"/>
  <c r="AH1528" i="1" s="1"/>
  <c r="T1529" i="1"/>
  <c r="AH1529" i="1" s="1"/>
  <c r="T1530" i="1"/>
  <c r="AH1530" i="1" s="1"/>
  <c r="T1531" i="1"/>
  <c r="AH1531" i="1" s="1"/>
  <c r="T1532" i="1"/>
  <c r="AH1532" i="1" s="1"/>
  <c r="T1533" i="1"/>
  <c r="AH1533" i="1" s="1"/>
  <c r="T1534" i="1"/>
  <c r="AH1534" i="1" s="1"/>
  <c r="T1535" i="1"/>
  <c r="AH1535" i="1" s="1"/>
  <c r="T1536" i="1"/>
  <c r="AH1536" i="1" s="1"/>
  <c r="T1537" i="1"/>
  <c r="AH1537" i="1" s="1"/>
  <c r="T1538" i="1"/>
  <c r="AH1538" i="1" s="1"/>
  <c r="T1539" i="1"/>
  <c r="AH1539" i="1" s="1"/>
  <c r="T1540" i="1"/>
  <c r="AH1540" i="1" s="1"/>
  <c r="T1541" i="1"/>
  <c r="AH1541" i="1" s="1"/>
  <c r="T1542" i="1"/>
  <c r="AH1542" i="1" s="1"/>
  <c r="T1543" i="1"/>
  <c r="AH1543" i="1" s="1"/>
  <c r="T1544" i="1"/>
  <c r="AH1544" i="1" s="1"/>
  <c r="T1545" i="1"/>
  <c r="AH1545" i="1" s="1"/>
  <c r="T1546" i="1"/>
  <c r="AH1546" i="1" s="1"/>
  <c r="T1547" i="1"/>
  <c r="AH1547" i="1" s="1"/>
  <c r="T1548" i="1"/>
  <c r="AH1548" i="1" s="1"/>
  <c r="T1549" i="1"/>
  <c r="AH1549" i="1" s="1"/>
  <c r="T1550" i="1"/>
  <c r="AH1550" i="1" s="1"/>
  <c r="T1551" i="1"/>
  <c r="AH1551" i="1" s="1"/>
  <c r="T1552" i="1"/>
  <c r="AH1552" i="1" s="1"/>
  <c r="T1553" i="1"/>
  <c r="AH1553" i="1" s="1"/>
  <c r="T1554" i="1"/>
  <c r="AH1554" i="1" s="1"/>
  <c r="T1555" i="1"/>
  <c r="AH1555" i="1" s="1"/>
  <c r="T1556" i="1"/>
  <c r="AH1556" i="1" s="1"/>
  <c r="T1557" i="1"/>
  <c r="AH1557" i="1" s="1"/>
  <c r="T1558" i="1"/>
  <c r="AH1558" i="1" s="1"/>
  <c r="T1559" i="1"/>
  <c r="AH1559" i="1" s="1"/>
  <c r="T1560" i="1"/>
  <c r="AH1560" i="1" s="1"/>
  <c r="T1561" i="1"/>
  <c r="AH1561" i="1" s="1"/>
  <c r="T1562" i="1"/>
  <c r="AH1562" i="1" s="1"/>
  <c r="T1563" i="1"/>
  <c r="AH1563" i="1" s="1"/>
  <c r="T1564" i="1"/>
  <c r="AH1564" i="1" s="1"/>
  <c r="T1565" i="1"/>
  <c r="AH1565" i="1" s="1"/>
  <c r="T1566" i="1"/>
  <c r="AH1566" i="1" s="1"/>
  <c r="T1567" i="1"/>
  <c r="AH1567" i="1" s="1"/>
  <c r="T1568" i="1"/>
  <c r="AH1568" i="1" s="1"/>
  <c r="T1569" i="1"/>
  <c r="AH1569" i="1" s="1"/>
  <c r="T1570" i="1"/>
  <c r="AH1570" i="1" s="1"/>
  <c r="T1571" i="1"/>
  <c r="AH1571" i="1" s="1"/>
  <c r="T1572" i="1"/>
  <c r="AH1572" i="1" s="1"/>
  <c r="T1573" i="1"/>
  <c r="AH1573" i="1" s="1"/>
  <c r="T1574" i="1"/>
  <c r="AH1574" i="1" s="1"/>
  <c r="T1575" i="1"/>
  <c r="AH1575" i="1" s="1"/>
  <c r="T1576" i="1"/>
  <c r="AH1576" i="1" s="1"/>
  <c r="T1577" i="1"/>
  <c r="AH1577" i="1" s="1"/>
  <c r="T1578" i="1"/>
  <c r="AH1578" i="1" s="1"/>
  <c r="T1579" i="1"/>
  <c r="AH1579" i="1" s="1"/>
  <c r="T1580" i="1"/>
  <c r="AH1580" i="1" s="1"/>
  <c r="T1581" i="1"/>
  <c r="AH1581" i="1" s="1"/>
  <c r="T1582" i="1"/>
  <c r="AH1582" i="1" s="1"/>
  <c r="T1583" i="1"/>
  <c r="AH1583" i="1" s="1"/>
  <c r="T1584" i="1"/>
  <c r="AH1584" i="1" s="1"/>
  <c r="T1585" i="1"/>
  <c r="AH1585" i="1" s="1"/>
  <c r="T1586" i="1"/>
  <c r="AH1586" i="1" s="1"/>
  <c r="T1587" i="1"/>
  <c r="AH1587" i="1" s="1"/>
  <c r="T1588" i="1"/>
  <c r="AH1588" i="1" s="1"/>
  <c r="T1589" i="1"/>
  <c r="AH1589" i="1" s="1"/>
  <c r="T1590" i="1"/>
  <c r="AH1590" i="1" s="1"/>
  <c r="T1591" i="1"/>
  <c r="AH1591" i="1" s="1"/>
  <c r="T1592" i="1"/>
  <c r="AH1592" i="1" s="1"/>
  <c r="T1593" i="1"/>
  <c r="AH1593" i="1" s="1"/>
  <c r="T1594" i="1"/>
  <c r="AH1594" i="1" s="1"/>
  <c r="T1595" i="1"/>
  <c r="AH1595" i="1" s="1"/>
  <c r="T1596" i="1"/>
  <c r="AH1596" i="1" s="1"/>
  <c r="T1597" i="1"/>
  <c r="AH1597" i="1" s="1"/>
  <c r="T1598" i="1"/>
  <c r="AH1598" i="1" s="1"/>
  <c r="T1599" i="1"/>
  <c r="AH1599" i="1" s="1"/>
  <c r="T1600" i="1"/>
  <c r="AH1600" i="1" s="1"/>
  <c r="T1601" i="1"/>
  <c r="AH1601" i="1" s="1"/>
  <c r="T1602" i="1"/>
  <c r="AH1602" i="1" s="1"/>
  <c r="T1603" i="1"/>
  <c r="AH1603" i="1" s="1"/>
  <c r="T1604" i="1"/>
  <c r="AH1604" i="1" s="1"/>
  <c r="T1605" i="1"/>
  <c r="AH1605" i="1" s="1"/>
  <c r="T1606" i="1"/>
  <c r="AH1606" i="1" s="1"/>
  <c r="T1607" i="1"/>
  <c r="AH1607" i="1" s="1"/>
  <c r="T1608" i="1"/>
  <c r="AH1608" i="1" s="1"/>
  <c r="T1609" i="1"/>
  <c r="AH1609" i="1" s="1"/>
  <c r="T1610" i="1"/>
  <c r="AH1610" i="1" s="1"/>
  <c r="T1611" i="1"/>
  <c r="AH1611" i="1" s="1"/>
  <c r="T1612" i="1"/>
  <c r="AH1612" i="1" s="1"/>
  <c r="T1613" i="1"/>
  <c r="AH1613" i="1" s="1"/>
  <c r="T1614" i="1"/>
  <c r="AH1614" i="1" s="1"/>
  <c r="T1615" i="1"/>
  <c r="AH1615" i="1" s="1"/>
  <c r="T1616" i="1"/>
  <c r="AH1616" i="1" s="1"/>
  <c r="T1617" i="1"/>
  <c r="AH1617" i="1" s="1"/>
  <c r="T1618" i="1"/>
  <c r="AH1618" i="1" s="1"/>
  <c r="T1619" i="1"/>
  <c r="AH1619" i="1" s="1"/>
  <c r="T1620" i="1"/>
  <c r="AH1620" i="1" s="1"/>
  <c r="T1621" i="1"/>
  <c r="AH1621" i="1" s="1"/>
  <c r="T1622" i="1"/>
  <c r="AH1622" i="1" s="1"/>
  <c r="T1623" i="1"/>
  <c r="AH1623" i="1" s="1"/>
  <c r="T1624" i="1"/>
  <c r="AH1624" i="1" s="1"/>
  <c r="T1625" i="1"/>
  <c r="AH1625" i="1" s="1"/>
  <c r="T1626" i="1"/>
  <c r="AH1626" i="1" s="1"/>
  <c r="T1627" i="1"/>
  <c r="AH1627" i="1" s="1"/>
  <c r="T1628" i="1"/>
  <c r="AH1628" i="1" s="1"/>
  <c r="T1629" i="1"/>
  <c r="AH1629" i="1" s="1"/>
  <c r="T1630" i="1"/>
  <c r="AH1630" i="1" s="1"/>
  <c r="T1631" i="1"/>
  <c r="AH1631" i="1" s="1"/>
  <c r="T1632" i="1"/>
  <c r="AH1632" i="1" s="1"/>
  <c r="T1633" i="1"/>
  <c r="AH1633" i="1" s="1"/>
  <c r="T1634" i="1"/>
  <c r="AH1634" i="1" s="1"/>
  <c r="T1635" i="1"/>
  <c r="AH1635" i="1" s="1"/>
  <c r="T1636" i="1"/>
  <c r="AH1636" i="1" s="1"/>
  <c r="T1637" i="1"/>
  <c r="AH1637" i="1" s="1"/>
  <c r="T1638" i="1"/>
  <c r="AH1638" i="1" s="1"/>
  <c r="T1639" i="1"/>
  <c r="AH1639" i="1" s="1"/>
  <c r="T1640" i="1"/>
  <c r="AH1640" i="1" s="1"/>
  <c r="T1641" i="1"/>
  <c r="AH1641" i="1" s="1"/>
  <c r="T1642" i="1"/>
  <c r="AH1642" i="1" s="1"/>
  <c r="T1643" i="1"/>
  <c r="AH1643" i="1" s="1"/>
  <c r="T1644" i="1"/>
  <c r="AH1644" i="1" s="1"/>
  <c r="T1645" i="1"/>
  <c r="AH1645" i="1" s="1"/>
  <c r="T1646" i="1"/>
  <c r="AH1646" i="1" s="1"/>
  <c r="T1647" i="1"/>
  <c r="AH1647" i="1" s="1"/>
  <c r="T1648" i="1"/>
  <c r="AH1648" i="1" s="1"/>
  <c r="T1649" i="1"/>
  <c r="AH1649" i="1" s="1"/>
  <c r="T1650" i="1"/>
  <c r="AH1650" i="1" s="1"/>
  <c r="T1651" i="1"/>
  <c r="AH1651" i="1" s="1"/>
  <c r="T1652" i="1"/>
  <c r="AH1652" i="1" s="1"/>
  <c r="T1653" i="1"/>
  <c r="AH1653" i="1" s="1"/>
  <c r="T1654" i="1"/>
  <c r="AH1654" i="1" s="1"/>
  <c r="T1655" i="1"/>
  <c r="AH1655" i="1" s="1"/>
  <c r="T1656" i="1"/>
  <c r="AH1656" i="1" s="1"/>
  <c r="T1657" i="1"/>
  <c r="AH1657" i="1" s="1"/>
  <c r="T1658" i="1"/>
  <c r="AH1658" i="1" s="1"/>
  <c r="T1659" i="1"/>
  <c r="AH1659" i="1" s="1"/>
  <c r="T1660" i="1"/>
  <c r="AH1660" i="1" s="1"/>
  <c r="T1661" i="1"/>
  <c r="AH1661" i="1" s="1"/>
  <c r="T1662" i="1"/>
  <c r="AH1662" i="1" s="1"/>
  <c r="T1663" i="1"/>
  <c r="AH1663" i="1" s="1"/>
  <c r="T1664" i="1"/>
  <c r="AH1664" i="1" s="1"/>
  <c r="T1665" i="1"/>
  <c r="AH1665" i="1" s="1"/>
  <c r="T1666" i="1"/>
  <c r="AH1666" i="1" s="1"/>
  <c r="T1667" i="1"/>
  <c r="AH1667" i="1" s="1"/>
  <c r="T1668" i="1"/>
  <c r="AH1668" i="1" s="1"/>
  <c r="T1669" i="1"/>
  <c r="AH1669" i="1" s="1"/>
  <c r="T1670" i="1"/>
  <c r="AH1670" i="1" s="1"/>
  <c r="T1671" i="1"/>
  <c r="AH1671" i="1" s="1"/>
  <c r="T1672" i="1"/>
  <c r="AH1672" i="1" s="1"/>
  <c r="T1673" i="1"/>
  <c r="AH1673" i="1" s="1"/>
  <c r="T1674" i="1"/>
  <c r="AH1674" i="1" s="1"/>
  <c r="T1675" i="1"/>
  <c r="AH1675" i="1" s="1"/>
  <c r="T1676" i="1"/>
  <c r="AH1676" i="1" s="1"/>
  <c r="T1677" i="1"/>
  <c r="AH1677" i="1" s="1"/>
  <c r="T1678" i="1"/>
  <c r="AH1678" i="1" s="1"/>
  <c r="T1679" i="1"/>
  <c r="AH1679" i="1" s="1"/>
  <c r="T1680" i="1"/>
  <c r="AH1680" i="1" s="1"/>
  <c r="T1681" i="1"/>
  <c r="AH1681" i="1" s="1"/>
  <c r="T1682" i="1"/>
  <c r="AH1682" i="1" s="1"/>
  <c r="T1683" i="1"/>
  <c r="AH1683" i="1" s="1"/>
  <c r="T1684" i="1"/>
  <c r="AH1684" i="1" s="1"/>
  <c r="T1685" i="1"/>
  <c r="AH1685" i="1" s="1"/>
  <c r="T1686" i="1"/>
  <c r="AH1686" i="1" s="1"/>
  <c r="T1687" i="1"/>
  <c r="AH1687" i="1" s="1"/>
  <c r="T1688" i="1"/>
  <c r="AH1688" i="1" s="1"/>
  <c r="T1689" i="1"/>
  <c r="AH1689" i="1" s="1"/>
  <c r="T1690" i="1"/>
  <c r="AH1690" i="1" s="1"/>
  <c r="T1691" i="1"/>
  <c r="AH1691" i="1" s="1"/>
  <c r="T1692" i="1"/>
  <c r="AH1692" i="1" s="1"/>
  <c r="T1693" i="1"/>
  <c r="AH1693" i="1" s="1"/>
  <c r="T1694" i="1"/>
  <c r="AH1694" i="1" s="1"/>
  <c r="T1695" i="1"/>
  <c r="AH1695" i="1" s="1"/>
  <c r="T1696" i="1"/>
  <c r="AH1696" i="1" s="1"/>
  <c r="T1697" i="1"/>
  <c r="AH1697" i="1" s="1"/>
  <c r="T1698" i="1"/>
  <c r="AH1698" i="1" s="1"/>
  <c r="T1699" i="1"/>
  <c r="AH1699" i="1" s="1"/>
  <c r="T1700" i="1"/>
  <c r="AH1700" i="1" s="1"/>
  <c r="T1701" i="1"/>
  <c r="AH1701" i="1" s="1"/>
  <c r="T1702" i="1"/>
  <c r="AH1702" i="1" s="1"/>
  <c r="T1703" i="1"/>
  <c r="AH1703" i="1" s="1"/>
  <c r="T1704" i="1"/>
  <c r="AH1704" i="1" s="1"/>
  <c r="T1705" i="1"/>
  <c r="AH1705" i="1" s="1"/>
  <c r="T1706" i="1"/>
  <c r="AH1706" i="1" s="1"/>
  <c r="T1707" i="1"/>
  <c r="AH1707" i="1" s="1"/>
  <c r="T1708" i="1"/>
  <c r="AH1708" i="1" s="1"/>
  <c r="T1709" i="1"/>
  <c r="AH1709" i="1" s="1"/>
  <c r="T1710" i="1"/>
  <c r="AH1710" i="1" s="1"/>
  <c r="T1711" i="1"/>
  <c r="AH1711" i="1" s="1"/>
  <c r="T1712" i="1"/>
  <c r="AH1712" i="1" s="1"/>
  <c r="T1713" i="1"/>
  <c r="AH1713" i="1" s="1"/>
  <c r="T1714" i="1"/>
  <c r="AH1714" i="1" s="1"/>
  <c r="T1715" i="1"/>
  <c r="AH1715" i="1" s="1"/>
  <c r="T1716" i="1"/>
  <c r="AH1716" i="1" s="1"/>
  <c r="T1717" i="1"/>
  <c r="AH1717" i="1" s="1"/>
  <c r="T1718" i="1"/>
  <c r="AH1718" i="1" s="1"/>
  <c r="T1719" i="1"/>
  <c r="AH1719" i="1" s="1"/>
  <c r="T1720" i="1"/>
  <c r="AH1720" i="1" s="1"/>
  <c r="T1721" i="1"/>
  <c r="AH1721" i="1" s="1"/>
  <c r="T1722" i="1"/>
  <c r="AH1722" i="1" s="1"/>
  <c r="T1723" i="1"/>
  <c r="AH1723" i="1" s="1"/>
  <c r="T1724" i="1"/>
  <c r="AH1724" i="1" s="1"/>
  <c r="T1725" i="1"/>
  <c r="AH1725" i="1" s="1"/>
  <c r="T1726" i="1"/>
  <c r="AH1726" i="1" s="1"/>
  <c r="T1727" i="1"/>
  <c r="AH1727" i="1" s="1"/>
  <c r="T1728" i="1"/>
  <c r="AH1728" i="1" s="1"/>
  <c r="T1729" i="1"/>
  <c r="AH1729" i="1" s="1"/>
  <c r="T1730" i="1"/>
  <c r="AH1730" i="1" s="1"/>
  <c r="T1731" i="1"/>
  <c r="AH1731" i="1" s="1"/>
  <c r="T1732" i="1"/>
  <c r="AH1732" i="1" s="1"/>
  <c r="T1733" i="1"/>
  <c r="AH1733" i="1" s="1"/>
  <c r="T1734" i="1"/>
  <c r="AH1734" i="1" s="1"/>
  <c r="T1735" i="1"/>
  <c r="AH1735" i="1" s="1"/>
  <c r="T1736" i="1"/>
  <c r="AH1736" i="1" s="1"/>
  <c r="T1737" i="1"/>
  <c r="AH1737" i="1" s="1"/>
  <c r="T1738" i="1"/>
  <c r="AH1738" i="1" s="1"/>
  <c r="T1739" i="1"/>
  <c r="AH1739" i="1" s="1"/>
  <c r="T1740" i="1"/>
  <c r="AH1740" i="1" s="1"/>
  <c r="T1741" i="1"/>
  <c r="AH1741" i="1" s="1"/>
  <c r="T1742" i="1"/>
  <c r="AH1742" i="1" s="1"/>
  <c r="T1743" i="1"/>
  <c r="AH1743" i="1" s="1"/>
  <c r="T1744" i="1"/>
  <c r="AH1744" i="1" s="1"/>
  <c r="T1745" i="1"/>
  <c r="AH1745" i="1" s="1"/>
  <c r="T1746" i="1"/>
  <c r="AH1746" i="1" s="1"/>
  <c r="T1747" i="1"/>
  <c r="AH1747" i="1" s="1"/>
  <c r="T1748" i="1"/>
  <c r="AH1748" i="1" s="1"/>
  <c r="T1749" i="1"/>
  <c r="AH1749" i="1" s="1"/>
  <c r="T1750" i="1"/>
  <c r="AH1750" i="1" s="1"/>
  <c r="T1751" i="1"/>
  <c r="AH1751" i="1" s="1"/>
  <c r="T1752" i="1"/>
  <c r="AH1752" i="1" s="1"/>
  <c r="T1753" i="1"/>
  <c r="AH1753" i="1" s="1"/>
  <c r="T1754" i="1"/>
  <c r="AH1754" i="1" s="1"/>
  <c r="T1755" i="1"/>
  <c r="AH1755" i="1" s="1"/>
  <c r="T1756" i="1"/>
  <c r="AH1756" i="1" s="1"/>
  <c r="T1757" i="1"/>
  <c r="AH1757" i="1" s="1"/>
  <c r="T1758" i="1"/>
  <c r="AH1758" i="1" s="1"/>
  <c r="T1759" i="1"/>
  <c r="AH1759" i="1" s="1"/>
  <c r="T1760" i="1"/>
  <c r="AH1760" i="1" s="1"/>
  <c r="T1761" i="1"/>
  <c r="AH1761" i="1" s="1"/>
  <c r="T1762" i="1"/>
  <c r="AH1762" i="1" s="1"/>
  <c r="T1763" i="1"/>
  <c r="AH1763" i="1" s="1"/>
  <c r="T1764" i="1"/>
  <c r="AH1764" i="1" s="1"/>
  <c r="T1765" i="1"/>
  <c r="AH1765" i="1" s="1"/>
  <c r="T1766" i="1"/>
  <c r="AH1766" i="1" s="1"/>
  <c r="T1767" i="1"/>
  <c r="AH1767" i="1" s="1"/>
  <c r="T1768" i="1"/>
  <c r="AH1768" i="1" s="1"/>
  <c r="T1769" i="1"/>
  <c r="AH1769" i="1" s="1"/>
  <c r="T1770" i="1"/>
  <c r="AH1770" i="1" s="1"/>
  <c r="T1771" i="1"/>
  <c r="AH1771" i="1" s="1"/>
  <c r="T1772" i="1"/>
  <c r="AH1772" i="1" s="1"/>
  <c r="T1773" i="1"/>
  <c r="AH1773" i="1" s="1"/>
  <c r="T1774" i="1"/>
  <c r="AH1774" i="1" s="1"/>
  <c r="T1775" i="1"/>
  <c r="AH1775" i="1" s="1"/>
  <c r="T1776" i="1"/>
  <c r="AH1776" i="1" s="1"/>
  <c r="T1777" i="1"/>
  <c r="AH1777" i="1" s="1"/>
  <c r="T1778" i="1"/>
  <c r="AH1778" i="1" s="1"/>
  <c r="T1779" i="1"/>
  <c r="AH1779" i="1" s="1"/>
  <c r="T1780" i="1"/>
  <c r="AH1780" i="1" s="1"/>
  <c r="T1781" i="1"/>
  <c r="AH1781" i="1" s="1"/>
  <c r="T1782" i="1"/>
  <c r="AH1782" i="1" s="1"/>
  <c r="T1783" i="1"/>
  <c r="AH1783" i="1" s="1"/>
  <c r="T1784" i="1"/>
  <c r="AH1784" i="1" s="1"/>
  <c r="T1785" i="1"/>
  <c r="AH1785" i="1" s="1"/>
  <c r="T1786" i="1"/>
  <c r="AH1786" i="1" s="1"/>
  <c r="T1787" i="1"/>
  <c r="AH1787" i="1" s="1"/>
  <c r="T1788" i="1"/>
  <c r="AH1788" i="1" s="1"/>
  <c r="T1789" i="1"/>
  <c r="AH1789" i="1" s="1"/>
  <c r="T1790" i="1"/>
  <c r="AH1790" i="1" s="1"/>
  <c r="T1791" i="1"/>
  <c r="AH1791" i="1" s="1"/>
  <c r="T1792" i="1"/>
  <c r="AH1792" i="1" s="1"/>
  <c r="T1793" i="1"/>
  <c r="AH1793" i="1" s="1"/>
  <c r="T1794" i="1"/>
  <c r="AH1794" i="1" s="1"/>
  <c r="T1795" i="1"/>
  <c r="AH1795" i="1" s="1"/>
  <c r="T1796" i="1"/>
  <c r="AH1796" i="1" s="1"/>
  <c r="T1797" i="1"/>
  <c r="AH1797" i="1" s="1"/>
  <c r="T1798" i="1"/>
  <c r="AH1798" i="1" s="1"/>
  <c r="T1799" i="1"/>
  <c r="AH1799" i="1" s="1"/>
  <c r="T1800" i="1"/>
  <c r="AH1800" i="1" s="1"/>
  <c r="T1801" i="1"/>
  <c r="AH1801" i="1" s="1"/>
  <c r="T1802" i="1"/>
  <c r="AH1802" i="1" s="1"/>
  <c r="T1803" i="1"/>
  <c r="AH1803" i="1" s="1"/>
  <c r="T1804" i="1"/>
  <c r="AH1804" i="1" s="1"/>
  <c r="T1805" i="1"/>
  <c r="AH1805" i="1" s="1"/>
  <c r="T1806" i="1"/>
  <c r="AH1806" i="1" s="1"/>
  <c r="T1807" i="1"/>
  <c r="AH1807" i="1" s="1"/>
  <c r="T1808" i="1"/>
  <c r="AH1808" i="1" s="1"/>
  <c r="T1809" i="1"/>
  <c r="AH1809" i="1" s="1"/>
  <c r="T1810" i="1"/>
  <c r="AH1810" i="1" s="1"/>
  <c r="T1811" i="1"/>
  <c r="AH1811" i="1" s="1"/>
  <c r="T1812" i="1"/>
  <c r="AH1812" i="1" s="1"/>
  <c r="T1813" i="1"/>
  <c r="AH1813" i="1" s="1"/>
  <c r="T1814" i="1"/>
  <c r="AH1814" i="1" s="1"/>
  <c r="T1815" i="1"/>
  <c r="AH1815" i="1" s="1"/>
  <c r="T1816" i="1"/>
  <c r="AH1816" i="1" s="1"/>
  <c r="T1817" i="1"/>
  <c r="AH1817" i="1" s="1"/>
  <c r="T1818" i="1"/>
  <c r="AH1818" i="1" s="1"/>
  <c r="T1819" i="1"/>
  <c r="AH1819" i="1" s="1"/>
  <c r="T1820" i="1"/>
  <c r="AH1820" i="1" s="1"/>
  <c r="T1821" i="1"/>
  <c r="AH1821" i="1" s="1"/>
  <c r="T1822" i="1"/>
  <c r="AH1822" i="1" s="1"/>
  <c r="T1823" i="1"/>
  <c r="AH1823" i="1" s="1"/>
  <c r="T1824" i="1"/>
  <c r="AH1824" i="1" s="1"/>
  <c r="T1825" i="1"/>
  <c r="AH1825" i="1" s="1"/>
  <c r="T1826" i="1"/>
  <c r="AH1826" i="1" s="1"/>
  <c r="T1827" i="1"/>
  <c r="AH1827" i="1" s="1"/>
  <c r="T1828" i="1"/>
  <c r="AH1828" i="1" s="1"/>
  <c r="T1829" i="1"/>
  <c r="AH1829" i="1" s="1"/>
  <c r="T1830" i="1"/>
  <c r="AH1830" i="1" s="1"/>
  <c r="T1831" i="1"/>
  <c r="AH1831" i="1" s="1"/>
  <c r="T1832" i="1"/>
  <c r="AH1832" i="1" s="1"/>
  <c r="T1833" i="1"/>
  <c r="AH1833" i="1" s="1"/>
  <c r="T1834" i="1"/>
  <c r="AH1834" i="1" s="1"/>
  <c r="T1835" i="1"/>
  <c r="AH1835" i="1" s="1"/>
  <c r="T1836" i="1"/>
  <c r="AH1836" i="1" s="1"/>
  <c r="T1837" i="1"/>
  <c r="AH1837" i="1" s="1"/>
  <c r="T1838" i="1"/>
  <c r="AH1838" i="1" s="1"/>
  <c r="T1839" i="1"/>
  <c r="AH1839" i="1" s="1"/>
  <c r="T1840" i="1"/>
  <c r="AH1840" i="1" s="1"/>
  <c r="T1841" i="1"/>
  <c r="AH1841" i="1" s="1"/>
  <c r="T1842" i="1"/>
  <c r="AH1842" i="1" s="1"/>
  <c r="T1843" i="1"/>
  <c r="AH1843" i="1" s="1"/>
  <c r="T1844" i="1"/>
  <c r="AH1844" i="1" s="1"/>
  <c r="T1845" i="1"/>
  <c r="AH1845" i="1" s="1"/>
  <c r="T1846" i="1"/>
  <c r="AH1846" i="1" s="1"/>
  <c r="T1847" i="1"/>
  <c r="AH1847" i="1" s="1"/>
  <c r="T1848" i="1"/>
  <c r="AH1848" i="1" s="1"/>
  <c r="T1849" i="1"/>
  <c r="AH1849" i="1" s="1"/>
  <c r="T1850" i="1"/>
  <c r="AH1850" i="1" s="1"/>
  <c r="T1851" i="1"/>
  <c r="AH1851" i="1" s="1"/>
  <c r="T1852" i="1"/>
  <c r="AH1852" i="1" s="1"/>
  <c r="T1853" i="1"/>
  <c r="AH1853" i="1" s="1"/>
  <c r="T1854" i="1"/>
  <c r="AH1854" i="1" s="1"/>
  <c r="T1855" i="1"/>
  <c r="AH1855" i="1" s="1"/>
  <c r="T1856" i="1"/>
  <c r="AH1856" i="1" s="1"/>
  <c r="T1857" i="1"/>
  <c r="AH1857" i="1" s="1"/>
  <c r="T1858" i="1"/>
  <c r="AH1858" i="1" s="1"/>
  <c r="T1859" i="1"/>
  <c r="AH1859" i="1" s="1"/>
  <c r="T1860" i="1"/>
  <c r="AH1860" i="1" s="1"/>
  <c r="T1861" i="1"/>
  <c r="AH1861" i="1" s="1"/>
  <c r="T1862" i="1"/>
  <c r="AH1862" i="1" s="1"/>
  <c r="T1863" i="1"/>
  <c r="AH1863" i="1" s="1"/>
  <c r="T1864" i="1"/>
  <c r="AH1864" i="1" s="1"/>
  <c r="T1865" i="1"/>
  <c r="AH1865" i="1" s="1"/>
  <c r="T1866" i="1"/>
  <c r="AH1866" i="1" s="1"/>
  <c r="T1867" i="1"/>
  <c r="AH1867" i="1" s="1"/>
  <c r="T1868" i="1"/>
  <c r="AH1868" i="1" s="1"/>
  <c r="T1869" i="1"/>
  <c r="AH1869" i="1" s="1"/>
  <c r="T1870" i="1"/>
  <c r="AH1870" i="1" s="1"/>
  <c r="T1871" i="1"/>
  <c r="AH1871" i="1" s="1"/>
  <c r="T1872" i="1"/>
  <c r="AH1872" i="1" s="1"/>
  <c r="T1873" i="1"/>
  <c r="AH1873" i="1" s="1"/>
  <c r="T1874" i="1"/>
  <c r="AH1874" i="1" s="1"/>
  <c r="T1875" i="1"/>
  <c r="AH1875" i="1" s="1"/>
  <c r="T1876" i="1"/>
  <c r="AH1876" i="1" s="1"/>
  <c r="T1877" i="1"/>
  <c r="AH1877" i="1" s="1"/>
  <c r="T1878" i="1"/>
  <c r="AH1878" i="1" s="1"/>
  <c r="T1879" i="1"/>
  <c r="AH1879" i="1" s="1"/>
  <c r="T1880" i="1"/>
  <c r="AH1880" i="1" s="1"/>
  <c r="T1881" i="1"/>
  <c r="AH1881" i="1" s="1"/>
  <c r="T1882" i="1"/>
  <c r="AH1882" i="1" s="1"/>
  <c r="T1883" i="1"/>
  <c r="AH1883" i="1" s="1"/>
  <c r="T1884" i="1"/>
  <c r="AH1884" i="1" s="1"/>
  <c r="T1885" i="1"/>
  <c r="AH1885" i="1" s="1"/>
  <c r="T1886" i="1"/>
  <c r="AH1886" i="1" s="1"/>
  <c r="T1887" i="1"/>
  <c r="AH1887" i="1" s="1"/>
  <c r="T1888" i="1"/>
  <c r="AH1888" i="1" s="1"/>
  <c r="T1889" i="1"/>
  <c r="AH1889" i="1" s="1"/>
  <c r="T1890" i="1"/>
  <c r="AH1890" i="1" s="1"/>
  <c r="T1891" i="1"/>
  <c r="AH1891" i="1" s="1"/>
  <c r="T1892" i="1"/>
  <c r="AH1892" i="1" s="1"/>
  <c r="T1893" i="1"/>
  <c r="AH1893" i="1" s="1"/>
  <c r="T1894" i="1"/>
  <c r="AH1894" i="1" s="1"/>
  <c r="T1895" i="1"/>
  <c r="AH1895" i="1" s="1"/>
  <c r="T1896" i="1"/>
  <c r="AH1896" i="1" s="1"/>
  <c r="T1897" i="1"/>
  <c r="AH1897" i="1" s="1"/>
  <c r="T1898" i="1"/>
  <c r="AH1898" i="1" s="1"/>
  <c r="T1899" i="1"/>
  <c r="AH1899" i="1" s="1"/>
  <c r="T1900" i="1"/>
  <c r="AH1900" i="1" s="1"/>
  <c r="T1901" i="1"/>
  <c r="AH1901" i="1" s="1"/>
  <c r="T1902" i="1"/>
  <c r="AH1902" i="1" s="1"/>
  <c r="T1903" i="1"/>
  <c r="AH1903" i="1" s="1"/>
  <c r="T1904" i="1"/>
  <c r="AH1904" i="1" s="1"/>
  <c r="T1905" i="1"/>
  <c r="AH1905" i="1" s="1"/>
  <c r="T1906" i="1"/>
  <c r="AH1906" i="1" s="1"/>
  <c r="T1907" i="1"/>
  <c r="AH1907" i="1" s="1"/>
  <c r="T1908" i="1"/>
  <c r="AH1908" i="1" s="1"/>
  <c r="T1909" i="1"/>
  <c r="AH1909" i="1" s="1"/>
  <c r="T1910" i="1"/>
  <c r="AH1910" i="1" s="1"/>
  <c r="T1911" i="1"/>
  <c r="AH1911" i="1" s="1"/>
  <c r="T1912" i="1"/>
  <c r="AH1912" i="1" s="1"/>
  <c r="T1913" i="1"/>
  <c r="AH1913" i="1" s="1"/>
  <c r="T1914" i="1"/>
  <c r="AH1914" i="1" s="1"/>
  <c r="T1915" i="1"/>
  <c r="AH1915" i="1" s="1"/>
  <c r="T1916" i="1"/>
  <c r="AH1916" i="1" s="1"/>
  <c r="T1917" i="1"/>
  <c r="AH1917" i="1" s="1"/>
  <c r="T1918" i="1"/>
  <c r="AH1918" i="1" s="1"/>
  <c r="T1919" i="1"/>
  <c r="AH1919" i="1" s="1"/>
  <c r="T1920" i="1"/>
  <c r="AH1920" i="1" s="1"/>
  <c r="T1921" i="1"/>
  <c r="AH1921" i="1" s="1"/>
  <c r="T1922" i="1"/>
  <c r="AH1922" i="1" s="1"/>
  <c r="T1923" i="1"/>
  <c r="AH1923" i="1" s="1"/>
  <c r="T1924" i="1"/>
  <c r="AH1924" i="1" s="1"/>
  <c r="T1925" i="1"/>
  <c r="AH1925" i="1" s="1"/>
  <c r="T1926" i="1"/>
  <c r="AH1926" i="1" s="1"/>
  <c r="T1927" i="1"/>
  <c r="AH1927" i="1" s="1"/>
  <c r="T1928" i="1"/>
  <c r="AH1928" i="1" s="1"/>
  <c r="T1929" i="1"/>
  <c r="AH1929" i="1" s="1"/>
  <c r="T1930" i="1"/>
  <c r="AH1930" i="1" s="1"/>
  <c r="T1931" i="1"/>
  <c r="AH1931" i="1" s="1"/>
  <c r="T1932" i="1"/>
  <c r="AH1932" i="1" s="1"/>
  <c r="T1933" i="1"/>
  <c r="AH1933" i="1" s="1"/>
  <c r="T1934" i="1"/>
  <c r="AH1934" i="1" s="1"/>
  <c r="T1935" i="1"/>
  <c r="AH1935" i="1" s="1"/>
  <c r="T1936" i="1"/>
  <c r="AH1936" i="1" s="1"/>
  <c r="T1937" i="1"/>
  <c r="AH1937" i="1" s="1"/>
  <c r="T1938" i="1"/>
  <c r="AH1938" i="1" s="1"/>
  <c r="T1939" i="1"/>
  <c r="AH1939" i="1" s="1"/>
  <c r="T1940" i="1"/>
  <c r="AH1940" i="1" s="1"/>
  <c r="T1941" i="1"/>
  <c r="AH1941" i="1" s="1"/>
  <c r="T1942" i="1"/>
  <c r="AH1942" i="1" s="1"/>
  <c r="T1943" i="1"/>
  <c r="AH1943" i="1" s="1"/>
  <c r="T1944" i="1"/>
  <c r="AH1944" i="1" s="1"/>
  <c r="T1945" i="1"/>
  <c r="AH1945" i="1" s="1"/>
  <c r="T1946" i="1"/>
  <c r="AH1946" i="1" s="1"/>
  <c r="T1947" i="1"/>
  <c r="AH1947" i="1" s="1"/>
  <c r="T1948" i="1"/>
  <c r="AH1948" i="1" s="1"/>
  <c r="T1949" i="1"/>
  <c r="AH1949" i="1" s="1"/>
  <c r="T1950" i="1"/>
  <c r="AH1950" i="1" s="1"/>
  <c r="T1951" i="1"/>
  <c r="AH1951" i="1" s="1"/>
  <c r="T1952" i="1"/>
  <c r="AH1952" i="1" s="1"/>
  <c r="T1953" i="1"/>
  <c r="AH1953" i="1" s="1"/>
  <c r="T1954" i="1"/>
  <c r="AH1954" i="1" s="1"/>
  <c r="T1955" i="1"/>
  <c r="AH1955" i="1" s="1"/>
  <c r="T1956" i="1"/>
  <c r="AH1956" i="1" s="1"/>
  <c r="T1957" i="1"/>
  <c r="AH1957" i="1" s="1"/>
  <c r="T1958" i="1"/>
  <c r="AH1958" i="1" s="1"/>
  <c r="T1959" i="1"/>
  <c r="AH1959" i="1" s="1"/>
  <c r="T1960" i="1"/>
  <c r="AH1960" i="1" s="1"/>
  <c r="T1961" i="1"/>
  <c r="AH1961" i="1" s="1"/>
  <c r="T1962" i="1"/>
  <c r="AH1962" i="1" s="1"/>
  <c r="T1963" i="1"/>
  <c r="AH1963" i="1" s="1"/>
  <c r="T1964" i="1"/>
  <c r="AH1964" i="1" s="1"/>
  <c r="T1965" i="1"/>
  <c r="AH1965" i="1" s="1"/>
  <c r="T1966" i="1"/>
  <c r="AH1966" i="1" s="1"/>
  <c r="T1967" i="1"/>
  <c r="AH1967" i="1" s="1"/>
  <c r="T1968" i="1"/>
  <c r="AH1968" i="1" s="1"/>
  <c r="T1969" i="1"/>
  <c r="AH1969" i="1" s="1"/>
  <c r="T1970" i="1"/>
  <c r="AH1970" i="1" s="1"/>
  <c r="T1971" i="1"/>
  <c r="AH1971" i="1" s="1"/>
  <c r="T1972" i="1"/>
  <c r="AH1972" i="1" s="1"/>
  <c r="T1973" i="1"/>
  <c r="AH1973" i="1" s="1"/>
  <c r="T1974" i="1"/>
  <c r="AH1974" i="1" s="1"/>
  <c r="T1975" i="1"/>
  <c r="AH1975" i="1" s="1"/>
  <c r="T1976" i="1"/>
  <c r="AH1976" i="1" s="1"/>
  <c r="T1977" i="1"/>
  <c r="AH1977" i="1" s="1"/>
  <c r="T1978" i="1"/>
  <c r="AH1978" i="1" s="1"/>
  <c r="T1979" i="1"/>
  <c r="AH1979" i="1" s="1"/>
  <c r="T1980" i="1"/>
  <c r="AH1980" i="1" s="1"/>
  <c r="T1981" i="1"/>
  <c r="AH1981" i="1" s="1"/>
  <c r="T1982" i="1"/>
  <c r="AH1982" i="1" s="1"/>
  <c r="T1983" i="1"/>
  <c r="AH1983" i="1" s="1"/>
  <c r="T1984" i="1"/>
  <c r="AH1984" i="1" s="1"/>
  <c r="T1985" i="1"/>
  <c r="AH1985" i="1" s="1"/>
  <c r="T1986" i="1"/>
  <c r="AH1986" i="1" s="1"/>
  <c r="T1987" i="1"/>
  <c r="AH1987" i="1" s="1"/>
  <c r="T1988" i="1"/>
  <c r="AH1988" i="1" s="1"/>
  <c r="T1989" i="1"/>
  <c r="AH1989" i="1" s="1"/>
  <c r="T1990" i="1"/>
  <c r="AH1990" i="1" s="1"/>
  <c r="T1991" i="1"/>
  <c r="AH1991" i="1" s="1"/>
  <c r="T1992" i="1"/>
  <c r="AH1992" i="1" s="1"/>
  <c r="T1993" i="1"/>
  <c r="AH1993" i="1" s="1"/>
  <c r="T1994" i="1"/>
  <c r="AH1994" i="1" s="1"/>
  <c r="T1995" i="1"/>
  <c r="AH1995" i="1" s="1"/>
  <c r="T1996" i="1"/>
  <c r="AH1996" i="1" s="1"/>
  <c r="T1997" i="1"/>
  <c r="AH1997" i="1" s="1"/>
  <c r="T1998" i="1"/>
  <c r="AH1998" i="1" s="1"/>
  <c r="T1999" i="1"/>
  <c r="AH1999" i="1" s="1"/>
  <c r="T2000" i="1"/>
  <c r="AH2000" i="1" s="1"/>
  <c r="T2001" i="1"/>
  <c r="AH2001" i="1" s="1"/>
  <c r="T2002" i="1"/>
  <c r="AH2002" i="1" s="1"/>
  <c r="T2003" i="1"/>
  <c r="AH2003" i="1" s="1"/>
  <c r="T2004" i="1"/>
  <c r="AH2004" i="1" s="1"/>
  <c r="T2005" i="1"/>
  <c r="AH2005" i="1" s="1"/>
  <c r="T2006" i="1"/>
  <c r="AH2006" i="1" s="1"/>
  <c r="T2007" i="1"/>
  <c r="AH2007" i="1" s="1"/>
  <c r="T2008" i="1"/>
  <c r="AH2008" i="1" s="1"/>
  <c r="T2009" i="1"/>
  <c r="AH2009" i="1" s="1"/>
  <c r="T2010" i="1"/>
  <c r="AH2010" i="1" s="1"/>
  <c r="T2011" i="1"/>
  <c r="AH2011" i="1" s="1"/>
  <c r="T2012" i="1"/>
  <c r="AH2012" i="1" s="1"/>
  <c r="T2013" i="1"/>
  <c r="AH2013" i="1" s="1"/>
  <c r="T2014" i="1"/>
  <c r="AH2014" i="1" s="1"/>
  <c r="T2015" i="1"/>
  <c r="AH2015" i="1" s="1"/>
  <c r="T2016" i="1"/>
  <c r="AH2016" i="1" s="1"/>
  <c r="T2017" i="1"/>
  <c r="AH2017" i="1" s="1"/>
  <c r="T2018" i="1"/>
  <c r="AH2018" i="1" s="1"/>
  <c r="T2019" i="1"/>
  <c r="AH2019" i="1" s="1"/>
  <c r="T2020" i="1"/>
  <c r="AH2020" i="1" s="1"/>
  <c r="T2021" i="1"/>
  <c r="AH2021" i="1" s="1"/>
  <c r="T2022" i="1"/>
  <c r="AH2022" i="1" s="1"/>
  <c r="T2023" i="1"/>
  <c r="AH2023" i="1" s="1"/>
  <c r="T2024" i="1"/>
  <c r="AH2024" i="1" s="1"/>
  <c r="T2025" i="1"/>
  <c r="AH2025" i="1" s="1"/>
  <c r="T2026" i="1"/>
  <c r="AH2026" i="1" s="1"/>
  <c r="T2027" i="1"/>
  <c r="AH2027" i="1" s="1"/>
  <c r="T2028" i="1"/>
  <c r="AH2028" i="1" s="1"/>
  <c r="T2029" i="1"/>
  <c r="AH2029" i="1" s="1"/>
  <c r="T2030" i="1"/>
  <c r="AH2030" i="1" s="1"/>
  <c r="T2031" i="1"/>
  <c r="AH2031" i="1" s="1"/>
  <c r="T2032" i="1"/>
  <c r="AH2032" i="1" s="1"/>
  <c r="T2033" i="1"/>
  <c r="AH2033" i="1" s="1"/>
  <c r="T2034" i="1"/>
  <c r="AH2034" i="1" s="1"/>
  <c r="T2035" i="1"/>
  <c r="AH2035" i="1" s="1"/>
  <c r="T2036" i="1"/>
  <c r="AH2036" i="1" s="1"/>
  <c r="T2037" i="1"/>
  <c r="AH2037" i="1" s="1"/>
  <c r="T2038" i="1"/>
  <c r="AH2038" i="1" s="1"/>
  <c r="T2039" i="1"/>
  <c r="AH2039" i="1" s="1"/>
  <c r="T2040" i="1"/>
  <c r="AH2040" i="1" s="1"/>
  <c r="T2041" i="1"/>
  <c r="AH2041" i="1" s="1"/>
  <c r="T2042" i="1"/>
  <c r="AH2042" i="1" s="1"/>
  <c r="T2043" i="1"/>
  <c r="AH2043" i="1" s="1"/>
  <c r="T2044" i="1"/>
  <c r="AH2044" i="1" s="1"/>
  <c r="T2045" i="1"/>
  <c r="AH2045" i="1" s="1"/>
  <c r="T2046" i="1"/>
  <c r="AH2046" i="1" s="1"/>
  <c r="T2047" i="1"/>
  <c r="AH2047" i="1" s="1"/>
  <c r="T2048" i="1"/>
  <c r="AH2048" i="1" s="1"/>
  <c r="T2049" i="1"/>
  <c r="AH2049" i="1" s="1"/>
  <c r="T2050" i="1"/>
  <c r="AH2050" i="1" s="1"/>
  <c r="T2051" i="1"/>
  <c r="AH2051" i="1" s="1"/>
  <c r="T2052" i="1"/>
  <c r="AH2052" i="1" s="1"/>
  <c r="T2053" i="1"/>
  <c r="AH2053" i="1" s="1"/>
  <c r="T2054" i="1"/>
  <c r="AH2054" i="1" s="1"/>
  <c r="T2055" i="1"/>
  <c r="AH2055" i="1" s="1"/>
  <c r="T2056" i="1"/>
  <c r="AH2056" i="1" s="1"/>
  <c r="T2057" i="1"/>
  <c r="AH2057" i="1" s="1"/>
  <c r="T2058" i="1"/>
  <c r="AH2058" i="1" s="1"/>
  <c r="T2059" i="1"/>
  <c r="AH2059" i="1" s="1"/>
  <c r="T2060" i="1"/>
  <c r="AH2060" i="1" s="1"/>
  <c r="T2061" i="1"/>
  <c r="AH2061" i="1" s="1"/>
  <c r="T2062" i="1"/>
  <c r="AH2062" i="1" s="1"/>
  <c r="T2063" i="1"/>
  <c r="AH2063" i="1" s="1"/>
  <c r="T2064" i="1"/>
  <c r="AH2064" i="1" s="1"/>
  <c r="T2065" i="1"/>
  <c r="AH2065" i="1" s="1"/>
  <c r="T2066" i="1"/>
  <c r="AH2066" i="1" s="1"/>
  <c r="T2067" i="1"/>
  <c r="AH2067" i="1" s="1"/>
  <c r="T2068" i="1"/>
  <c r="AH2068" i="1" s="1"/>
  <c r="T2069" i="1"/>
  <c r="AH2069" i="1" s="1"/>
  <c r="T2070" i="1"/>
  <c r="AH2070" i="1" s="1"/>
  <c r="T2071" i="1"/>
  <c r="AH2071" i="1" s="1"/>
  <c r="T2072" i="1"/>
  <c r="AH2072" i="1" s="1"/>
  <c r="T2073" i="1"/>
  <c r="AH2073" i="1" s="1"/>
  <c r="T2074" i="1"/>
  <c r="AH2074" i="1" s="1"/>
  <c r="T2075" i="1"/>
  <c r="AH2075" i="1" s="1"/>
  <c r="T2076" i="1"/>
  <c r="AH2076" i="1" s="1"/>
  <c r="T2077" i="1"/>
  <c r="AH2077" i="1" s="1"/>
  <c r="T2078" i="1"/>
  <c r="AH2078" i="1" s="1"/>
  <c r="T2079" i="1"/>
  <c r="AH2079" i="1" s="1"/>
  <c r="T2080" i="1"/>
  <c r="AH2080" i="1" s="1"/>
  <c r="T2081" i="1"/>
  <c r="AH2081" i="1" s="1"/>
  <c r="T2082" i="1"/>
  <c r="AH2082" i="1" s="1"/>
  <c r="T2083" i="1"/>
  <c r="AH2083" i="1" s="1"/>
  <c r="T2084" i="1"/>
  <c r="AH2084" i="1" s="1"/>
  <c r="T2085" i="1"/>
  <c r="AH2085" i="1" s="1"/>
  <c r="T2086" i="1"/>
  <c r="AH2086" i="1" s="1"/>
  <c r="T2087" i="1"/>
  <c r="AH2087" i="1" s="1"/>
  <c r="T2088" i="1"/>
  <c r="AH2088" i="1" s="1"/>
  <c r="T2089" i="1"/>
  <c r="AH2089" i="1" s="1"/>
  <c r="T2090" i="1"/>
  <c r="AH2090" i="1" s="1"/>
  <c r="T2091" i="1"/>
  <c r="AH2091" i="1" s="1"/>
  <c r="T2092" i="1"/>
  <c r="AH2092" i="1" s="1"/>
  <c r="T2093" i="1"/>
  <c r="AH2093" i="1" s="1"/>
  <c r="T2094" i="1"/>
  <c r="AH2094" i="1" s="1"/>
  <c r="T2095" i="1"/>
  <c r="AH2095" i="1" s="1"/>
  <c r="T2096" i="1"/>
  <c r="AH2096" i="1" s="1"/>
  <c r="T2097" i="1"/>
  <c r="AH2097" i="1" s="1"/>
  <c r="T2098" i="1"/>
  <c r="AH2098" i="1" s="1"/>
  <c r="T2099" i="1"/>
  <c r="AH2099" i="1" s="1"/>
  <c r="T2100" i="1"/>
  <c r="AH2100" i="1" s="1"/>
  <c r="T2101" i="1"/>
  <c r="AH2101" i="1" s="1"/>
  <c r="T2102" i="1"/>
  <c r="AH2102" i="1" s="1"/>
  <c r="T2103" i="1"/>
  <c r="AH2103" i="1" s="1"/>
  <c r="T2104" i="1"/>
  <c r="AH2104" i="1" s="1"/>
  <c r="T2105" i="1"/>
  <c r="AH2105" i="1" s="1"/>
  <c r="T2106" i="1"/>
  <c r="AH2106" i="1" s="1"/>
  <c r="T2107" i="1"/>
  <c r="AH2107" i="1" s="1"/>
  <c r="T2108" i="1"/>
  <c r="AH2108" i="1" s="1"/>
  <c r="T2109" i="1"/>
  <c r="AH2109" i="1" s="1"/>
  <c r="T2110" i="1"/>
  <c r="AH2110" i="1" s="1"/>
  <c r="T2111" i="1"/>
  <c r="AH2111" i="1" s="1"/>
  <c r="T2112" i="1"/>
  <c r="AH2112" i="1" s="1"/>
  <c r="T2113" i="1"/>
  <c r="AH2113" i="1" s="1"/>
  <c r="T2114" i="1"/>
  <c r="AH2114" i="1" s="1"/>
  <c r="T2115" i="1"/>
  <c r="AH2115" i="1" s="1"/>
  <c r="T2116" i="1"/>
  <c r="AH2116" i="1" s="1"/>
  <c r="T2117" i="1"/>
  <c r="AH2117" i="1" s="1"/>
  <c r="T2118" i="1"/>
  <c r="AH2118" i="1" s="1"/>
  <c r="T2119" i="1"/>
  <c r="AH2119" i="1" s="1"/>
  <c r="T2120" i="1"/>
  <c r="AH2120" i="1" s="1"/>
  <c r="T2121" i="1"/>
  <c r="AH2121" i="1" s="1"/>
  <c r="T2122" i="1"/>
  <c r="AH2122" i="1" s="1"/>
  <c r="T2123" i="1"/>
  <c r="AH2123" i="1" s="1"/>
  <c r="T2124" i="1"/>
  <c r="AH2124" i="1" s="1"/>
  <c r="T2125" i="1"/>
  <c r="AH2125" i="1" s="1"/>
  <c r="T2126" i="1"/>
  <c r="AH2126" i="1" s="1"/>
  <c r="T2127" i="1"/>
  <c r="AH2127" i="1" s="1"/>
  <c r="T2128" i="1"/>
  <c r="AH2128" i="1" s="1"/>
  <c r="T2129" i="1"/>
  <c r="AH2129" i="1" s="1"/>
  <c r="T2130" i="1"/>
  <c r="AH2130" i="1" s="1"/>
  <c r="T2131" i="1"/>
  <c r="AH2131" i="1" s="1"/>
  <c r="T2132" i="1"/>
  <c r="AH2132" i="1" s="1"/>
  <c r="T2133" i="1"/>
  <c r="AH2133" i="1" s="1"/>
  <c r="T2134" i="1"/>
  <c r="AH2134" i="1" s="1"/>
  <c r="T2135" i="1"/>
  <c r="AH2135" i="1" s="1"/>
  <c r="T2136" i="1"/>
  <c r="AH2136" i="1" s="1"/>
  <c r="T2137" i="1"/>
  <c r="AH2137" i="1" s="1"/>
  <c r="T2138" i="1"/>
  <c r="AH2138" i="1" s="1"/>
  <c r="T2139" i="1"/>
  <c r="AH2139" i="1" s="1"/>
  <c r="T2140" i="1"/>
  <c r="AH2140" i="1" s="1"/>
  <c r="T2141" i="1"/>
  <c r="AH2141" i="1" s="1"/>
  <c r="T2142" i="1"/>
  <c r="AH2142" i="1" s="1"/>
  <c r="T2143" i="1"/>
  <c r="AH2143" i="1" s="1"/>
  <c r="T2144" i="1"/>
  <c r="AH2144" i="1" s="1"/>
  <c r="T2145" i="1"/>
  <c r="AH2145" i="1" s="1"/>
  <c r="T2146" i="1"/>
  <c r="AH2146" i="1" s="1"/>
  <c r="T2147" i="1"/>
  <c r="AH2147" i="1" s="1"/>
  <c r="T2148" i="1"/>
  <c r="AH2148" i="1" s="1"/>
  <c r="T2149" i="1"/>
  <c r="AH2149" i="1" s="1"/>
  <c r="T2150" i="1"/>
  <c r="AH2150" i="1" s="1"/>
  <c r="T2151" i="1"/>
  <c r="AH2151" i="1" s="1"/>
  <c r="T2152" i="1"/>
  <c r="AH2152" i="1" s="1"/>
  <c r="T2153" i="1"/>
  <c r="AH2153" i="1" s="1"/>
  <c r="T2154" i="1"/>
  <c r="AH2154" i="1" s="1"/>
  <c r="T2155" i="1"/>
  <c r="AH2155" i="1" s="1"/>
  <c r="T2156" i="1"/>
  <c r="AH2156" i="1" s="1"/>
  <c r="T2157" i="1"/>
  <c r="AH2157" i="1" s="1"/>
  <c r="T2158" i="1"/>
  <c r="AH2158" i="1" s="1"/>
  <c r="T2159" i="1"/>
  <c r="AH2159" i="1" s="1"/>
  <c r="T2160" i="1"/>
  <c r="AH2160" i="1" s="1"/>
  <c r="T2161" i="1"/>
  <c r="AH2161" i="1" s="1"/>
  <c r="T2162" i="1"/>
  <c r="AH2162" i="1" s="1"/>
  <c r="T2163" i="1"/>
  <c r="AH2163" i="1" s="1"/>
  <c r="T2164" i="1"/>
  <c r="AH2164" i="1" s="1"/>
  <c r="T2165" i="1"/>
  <c r="AH2165" i="1" s="1"/>
  <c r="T2166" i="1"/>
  <c r="AH2166" i="1" s="1"/>
  <c r="T2167" i="1"/>
  <c r="AH2167" i="1" s="1"/>
  <c r="T2168" i="1"/>
  <c r="AH2168" i="1" s="1"/>
  <c r="T2169" i="1"/>
  <c r="AH2169" i="1" s="1"/>
  <c r="T2170" i="1"/>
  <c r="AH2170" i="1" s="1"/>
  <c r="T2171" i="1"/>
  <c r="AH2171" i="1" s="1"/>
  <c r="T2172" i="1"/>
  <c r="AH2172" i="1" s="1"/>
  <c r="T2173" i="1"/>
  <c r="AH2173" i="1" s="1"/>
  <c r="T2174" i="1"/>
  <c r="AH2174" i="1" s="1"/>
  <c r="T2175" i="1"/>
  <c r="AH2175" i="1" s="1"/>
  <c r="T2176" i="1"/>
  <c r="AH2176" i="1" s="1"/>
  <c r="T2177" i="1"/>
  <c r="AH2177" i="1" s="1"/>
  <c r="T2178" i="1"/>
  <c r="AH2178" i="1" s="1"/>
  <c r="T2179" i="1"/>
  <c r="AH2179" i="1" s="1"/>
  <c r="T2180" i="1"/>
  <c r="AH2180" i="1" s="1"/>
  <c r="T2181" i="1"/>
  <c r="AH2181" i="1" s="1"/>
  <c r="T2182" i="1"/>
  <c r="AH2182" i="1" s="1"/>
  <c r="T2183" i="1"/>
  <c r="AH2183" i="1" s="1"/>
  <c r="T2184" i="1"/>
  <c r="AH2184" i="1" s="1"/>
  <c r="T2185" i="1"/>
  <c r="AH2185" i="1" s="1"/>
  <c r="T2186" i="1"/>
  <c r="AH2186" i="1" s="1"/>
  <c r="T2187" i="1"/>
  <c r="AH2187" i="1" s="1"/>
  <c r="T2188" i="1"/>
  <c r="AH2188" i="1" s="1"/>
  <c r="T2189" i="1"/>
  <c r="AH2189" i="1" s="1"/>
  <c r="T2190" i="1"/>
  <c r="AH2190" i="1" s="1"/>
  <c r="T2191" i="1"/>
  <c r="AH2191" i="1" s="1"/>
  <c r="T2192" i="1"/>
  <c r="AH2192" i="1" s="1"/>
  <c r="T2193" i="1"/>
  <c r="AH2193" i="1" s="1"/>
  <c r="T2194" i="1"/>
  <c r="AH2194" i="1" s="1"/>
  <c r="T2195" i="1"/>
  <c r="AH2195" i="1" s="1"/>
  <c r="T2196" i="1"/>
  <c r="AH2196" i="1" s="1"/>
  <c r="T2197" i="1"/>
  <c r="AH2197" i="1" s="1"/>
  <c r="T2198" i="1"/>
  <c r="AH2198" i="1" s="1"/>
  <c r="T2199" i="1"/>
  <c r="AH2199" i="1" s="1"/>
  <c r="T2200" i="1"/>
  <c r="AH2200" i="1" s="1"/>
  <c r="T2201" i="1"/>
  <c r="AH2201" i="1" s="1"/>
  <c r="T2202" i="1"/>
  <c r="AH2202" i="1" s="1"/>
  <c r="T2203" i="1"/>
  <c r="AH2203" i="1" s="1"/>
  <c r="T2204" i="1"/>
  <c r="AH2204" i="1" s="1"/>
  <c r="T2205" i="1"/>
  <c r="AH2205" i="1" s="1"/>
  <c r="T2206" i="1"/>
  <c r="AH2206" i="1" s="1"/>
  <c r="T2207" i="1"/>
  <c r="AH2207" i="1" s="1"/>
  <c r="T2208" i="1"/>
  <c r="AH2208" i="1" s="1"/>
  <c r="T2209" i="1"/>
  <c r="AH2209" i="1" s="1"/>
  <c r="T2210" i="1"/>
  <c r="AH2210" i="1" s="1"/>
  <c r="T2211" i="1"/>
  <c r="AH2211" i="1" s="1"/>
  <c r="T2212" i="1"/>
  <c r="AH2212" i="1" s="1"/>
  <c r="T2213" i="1"/>
  <c r="AH2213" i="1" s="1"/>
  <c r="T2214" i="1"/>
  <c r="AH2214" i="1" s="1"/>
  <c r="T2215" i="1"/>
  <c r="AH2215" i="1" s="1"/>
  <c r="T2216" i="1"/>
  <c r="AH2216" i="1" s="1"/>
  <c r="T2217" i="1"/>
  <c r="AH2217" i="1" s="1"/>
  <c r="T2218" i="1"/>
  <c r="AH2218" i="1" s="1"/>
  <c r="T2219" i="1"/>
  <c r="AH2219" i="1" s="1"/>
  <c r="T2220" i="1"/>
  <c r="AH2220" i="1" s="1"/>
  <c r="T2221" i="1"/>
  <c r="AH2221" i="1" s="1"/>
  <c r="T2222" i="1"/>
  <c r="AH2222" i="1" s="1"/>
  <c r="T2223" i="1"/>
  <c r="AH2223" i="1" s="1"/>
  <c r="T2224" i="1"/>
  <c r="AH2224" i="1" s="1"/>
  <c r="T2225" i="1"/>
  <c r="AH2225" i="1" s="1"/>
  <c r="T2226" i="1"/>
  <c r="AH2226" i="1" s="1"/>
  <c r="T2227" i="1"/>
  <c r="AH2227" i="1" s="1"/>
  <c r="T2228" i="1"/>
  <c r="AH2228" i="1" s="1"/>
  <c r="T2229" i="1"/>
  <c r="AH2229" i="1" s="1"/>
  <c r="T2230" i="1"/>
  <c r="AH2230" i="1" s="1"/>
  <c r="T2231" i="1"/>
  <c r="AH2231" i="1" s="1"/>
  <c r="T2232" i="1"/>
  <c r="AH2232" i="1" s="1"/>
  <c r="T2233" i="1"/>
  <c r="AH2233" i="1" s="1"/>
  <c r="T2234" i="1"/>
  <c r="AH2234" i="1" s="1"/>
  <c r="T2235" i="1"/>
  <c r="AH2235" i="1" s="1"/>
  <c r="T2236" i="1"/>
  <c r="AH2236" i="1" s="1"/>
  <c r="T2237" i="1"/>
  <c r="AH2237" i="1" s="1"/>
  <c r="T2238" i="1"/>
  <c r="AH2238" i="1" s="1"/>
  <c r="T2239" i="1"/>
  <c r="AH2239" i="1" s="1"/>
  <c r="T2240" i="1"/>
  <c r="AH2240" i="1" s="1"/>
  <c r="T2241" i="1"/>
  <c r="AH2241" i="1" s="1"/>
  <c r="T2242" i="1"/>
  <c r="AH2242" i="1" s="1"/>
  <c r="T2243" i="1"/>
  <c r="AH2243" i="1" s="1"/>
  <c r="T2244" i="1"/>
  <c r="AH2244" i="1" s="1"/>
  <c r="T2245" i="1"/>
  <c r="AH2245" i="1" s="1"/>
  <c r="T2246" i="1"/>
  <c r="AH2246" i="1" s="1"/>
  <c r="T2247" i="1"/>
  <c r="AH2247" i="1" s="1"/>
  <c r="T2248" i="1"/>
  <c r="AH2248" i="1" s="1"/>
  <c r="T2249" i="1"/>
  <c r="AH2249" i="1" s="1"/>
  <c r="T2250" i="1"/>
  <c r="AH2250" i="1" s="1"/>
  <c r="T2251" i="1"/>
  <c r="AH2251" i="1" s="1"/>
  <c r="T2252" i="1"/>
  <c r="AH2252" i="1" s="1"/>
  <c r="T2253" i="1"/>
  <c r="AH2253" i="1" s="1"/>
  <c r="T2254" i="1"/>
  <c r="AH2254" i="1" s="1"/>
  <c r="T2255" i="1"/>
  <c r="AH2255" i="1" s="1"/>
  <c r="T2256" i="1"/>
  <c r="AH2256" i="1" s="1"/>
  <c r="T2257" i="1"/>
  <c r="AH2257" i="1" s="1"/>
  <c r="T2258" i="1"/>
  <c r="AH2258" i="1" s="1"/>
  <c r="T2259" i="1"/>
  <c r="AH2259" i="1" s="1"/>
  <c r="T2260" i="1"/>
  <c r="AH2260" i="1" s="1"/>
  <c r="T2261" i="1"/>
  <c r="AH2261" i="1" s="1"/>
  <c r="T2262" i="1"/>
  <c r="AH2262" i="1" s="1"/>
  <c r="T2263" i="1"/>
  <c r="AH2263" i="1" s="1"/>
  <c r="T2264" i="1"/>
  <c r="AH2264" i="1" s="1"/>
  <c r="T2265" i="1"/>
  <c r="AH2265" i="1" s="1"/>
  <c r="T2266" i="1"/>
  <c r="AH2266" i="1" s="1"/>
  <c r="T2267" i="1"/>
  <c r="AH2267" i="1" s="1"/>
  <c r="T2268" i="1"/>
  <c r="AH2268" i="1" s="1"/>
  <c r="T2269" i="1"/>
  <c r="AH2269" i="1" s="1"/>
  <c r="T2270" i="1"/>
  <c r="AH2270" i="1" s="1"/>
  <c r="T2271" i="1"/>
  <c r="AH2271" i="1" s="1"/>
  <c r="T2272" i="1"/>
  <c r="AH2272" i="1" s="1"/>
  <c r="T2273" i="1"/>
  <c r="AH2273" i="1" s="1"/>
  <c r="T2274" i="1"/>
  <c r="AH2274" i="1" s="1"/>
  <c r="T2275" i="1"/>
  <c r="AH2275" i="1" s="1"/>
  <c r="T2276" i="1"/>
  <c r="AH2276" i="1" s="1"/>
  <c r="T2277" i="1"/>
  <c r="AH2277" i="1" s="1"/>
  <c r="T2278" i="1"/>
  <c r="AH2278" i="1" s="1"/>
  <c r="T2279" i="1"/>
  <c r="AH2279" i="1" s="1"/>
  <c r="T2280" i="1"/>
  <c r="AH2280" i="1" s="1"/>
  <c r="T2281" i="1"/>
  <c r="AH2281" i="1" s="1"/>
  <c r="T2282" i="1"/>
  <c r="AH2282" i="1" s="1"/>
  <c r="T2283" i="1"/>
  <c r="AH2283" i="1" s="1"/>
  <c r="T2284" i="1"/>
  <c r="AH2284" i="1" s="1"/>
  <c r="T2285" i="1"/>
  <c r="AH2285" i="1" s="1"/>
  <c r="T2286" i="1"/>
  <c r="AH2286" i="1" s="1"/>
  <c r="T2287" i="1"/>
  <c r="AH2287" i="1" s="1"/>
  <c r="T2288" i="1"/>
  <c r="AH2288" i="1" s="1"/>
  <c r="T2289" i="1"/>
  <c r="AH2289" i="1" s="1"/>
  <c r="T2290" i="1"/>
  <c r="AH2290" i="1" s="1"/>
  <c r="T2291" i="1"/>
  <c r="AH2291" i="1" s="1"/>
  <c r="T2292" i="1"/>
  <c r="AH2292" i="1" s="1"/>
  <c r="T2293" i="1"/>
  <c r="AH2293" i="1" s="1"/>
  <c r="T2294" i="1"/>
  <c r="AH2294" i="1" s="1"/>
  <c r="T2295" i="1"/>
  <c r="AH2295" i="1" s="1"/>
  <c r="T2296" i="1"/>
  <c r="AH2296" i="1" s="1"/>
  <c r="T2297" i="1"/>
  <c r="AH2297" i="1" s="1"/>
  <c r="T2298" i="1"/>
  <c r="AH2298" i="1" s="1"/>
  <c r="T2299" i="1"/>
  <c r="AH2299" i="1" s="1"/>
  <c r="T2300" i="1"/>
  <c r="AH2300" i="1" s="1"/>
  <c r="T2301" i="1"/>
  <c r="AH2301" i="1" s="1"/>
  <c r="T2302" i="1"/>
  <c r="AH2302" i="1" s="1"/>
  <c r="T2303" i="1"/>
  <c r="AH2303" i="1" s="1"/>
  <c r="T2304" i="1"/>
  <c r="AH2304" i="1" s="1"/>
  <c r="T2305" i="1"/>
  <c r="AH2305" i="1" s="1"/>
  <c r="T2306" i="1"/>
  <c r="AH2306" i="1" s="1"/>
  <c r="T2307" i="1"/>
  <c r="AH2307" i="1" s="1"/>
  <c r="T2308" i="1"/>
  <c r="AH2308" i="1" s="1"/>
  <c r="T2309" i="1"/>
  <c r="AH2309" i="1" s="1"/>
  <c r="T2310" i="1"/>
  <c r="AH2310" i="1" s="1"/>
  <c r="T2311" i="1"/>
  <c r="AH2311" i="1" s="1"/>
  <c r="T2312" i="1"/>
  <c r="AH2312" i="1" s="1"/>
  <c r="T2313" i="1"/>
  <c r="AH2313" i="1" s="1"/>
  <c r="T2314" i="1"/>
  <c r="AH2314" i="1" s="1"/>
  <c r="T2315" i="1"/>
  <c r="AH2315" i="1" s="1"/>
  <c r="T2316" i="1"/>
  <c r="AH2316" i="1" s="1"/>
  <c r="T2317" i="1"/>
  <c r="AH2317" i="1" s="1"/>
  <c r="T2318" i="1"/>
  <c r="AH2318" i="1" s="1"/>
  <c r="T2319" i="1"/>
  <c r="AH2319" i="1" s="1"/>
  <c r="T2320" i="1"/>
  <c r="AH2320" i="1" s="1"/>
  <c r="T2321" i="1"/>
  <c r="AH2321" i="1" s="1"/>
  <c r="T2322" i="1"/>
  <c r="AH2322" i="1" s="1"/>
  <c r="T2323" i="1"/>
  <c r="AH2323" i="1" s="1"/>
  <c r="T2324" i="1"/>
  <c r="AH2324" i="1" s="1"/>
  <c r="T2325" i="1"/>
  <c r="AH2325" i="1" s="1"/>
  <c r="T2326" i="1"/>
  <c r="AH2326" i="1" s="1"/>
  <c r="T2327" i="1"/>
  <c r="AH2327" i="1" s="1"/>
  <c r="T2328" i="1"/>
  <c r="AH2328" i="1" s="1"/>
  <c r="T2329" i="1"/>
  <c r="AH2329" i="1" s="1"/>
  <c r="T2330" i="1"/>
  <c r="AH2330" i="1" s="1"/>
  <c r="T2331" i="1"/>
  <c r="AH2331" i="1" s="1"/>
  <c r="T2332" i="1"/>
  <c r="AH2332" i="1" s="1"/>
  <c r="T2333" i="1"/>
  <c r="AH2333" i="1" s="1"/>
  <c r="T2334" i="1"/>
  <c r="AH2334" i="1" s="1"/>
  <c r="T2335" i="1"/>
  <c r="AH2335" i="1" s="1"/>
  <c r="T2336" i="1"/>
  <c r="AH2336" i="1" s="1"/>
  <c r="T2337" i="1"/>
  <c r="AH2337" i="1" s="1"/>
  <c r="T2338" i="1"/>
  <c r="AH2338" i="1" s="1"/>
  <c r="T2339" i="1"/>
  <c r="AH2339" i="1" s="1"/>
  <c r="T2340" i="1"/>
  <c r="AH2340" i="1" s="1"/>
  <c r="T2341" i="1"/>
  <c r="AH2341" i="1" s="1"/>
  <c r="T2342" i="1"/>
  <c r="AH2342" i="1" s="1"/>
  <c r="T2343" i="1"/>
  <c r="AH2343" i="1" s="1"/>
  <c r="T2344" i="1"/>
  <c r="AH2344" i="1" s="1"/>
  <c r="T2345" i="1"/>
  <c r="AH2345" i="1" s="1"/>
  <c r="T2346" i="1"/>
  <c r="AH2346" i="1" s="1"/>
  <c r="T2347" i="1"/>
  <c r="AH2347" i="1" s="1"/>
  <c r="T2348" i="1"/>
  <c r="AH2348" i="1" s="1"/>
  <c r="T2349" i="1"/>
  <c r="AH2349" i="1" s="1"/>
  <c r="T2350" i="1"/>
  <c r="AH2350" i="1" s="1"/>
  <c r="T2351" i="1"/>
  <c r="AH2351" i="1" s="1"/>
  <c r="T2352" i="1"/>
  <c r="AH2352" i="1" s="1"/>
  <c r="T2353" i="1"/>
  <c r="AH2353" i="1" s="1"/>
  <c r="T2354" i="1"/>
  <c r="AH2354" i="1" s="1"/>
  <c r="T2355" i="1"/>
  <c r="AH2355" i="1" s="1"/>
  <c r="T2356" i="1"/>
  <c r="AH2356" i="1" s="1"/>
  <c r="T2357" i="1"/>
  <c r="AH2357" i="1" s="1"/>
  <c r="T2358" i="1"/>
  <c r="AH2358" i="1" s="1"/>
  <c r="T2359" i="1"/>
  <c r="AH2359" i="1" s="1"/>
  <c r="T2360" i="1"/>
  <c r="AH2360" i="1" s="1"/>
  <c r="T2361" i="1"/>
  <c r="AH2361" i="1" s="1"/>
  <c r="T2362" i="1"/>
  <c r="AH2362" i="1" s="1"/>
  <c r="T2363" i="1"/>
  <c r="AH2363" i="1" s="1"/>
  <c r="T2364" i="1"/>
  <c r="AH2364" i="1" s="1"/>
  <c r="T2365" i="1"/>
  <c r="AH2365" i="1" s="1"/>
  <c r="T2366" i="1"/>
  <c r="AH2366" i="1" s="1"/>
  <c r="T2367" i="1"/>
  <c r="AH2367" i="1" s="1"/>
  <c r="T2368" i="1"/>
  <c r="AH2368" i="1" s="1"/>
  <c r="T2369" i="1"/>
  <c r="AH2369" i="1" s="1"/>
  <c r="T2370" i="1"/>
  <c r="AH2370" i="1" s="1"/>
  <c r="T2371" i="1"/>
  <c r="AH2371" i="1" s="1"/>
  <c r="T2372" i="1"/>
  <c r="AH2372" i="1" s="1"/>
  <c r="T2373" i="1"/>
  <c r="AH2373" i="1" s="1"/>
  <c r="T2374" i="1"/>
  <c r="AH2374" i="1" s="1"/>
  <c r="T2375" i="1"/>
  <c r="AH2375" i="1" s="1"/>
  <c r="T2376" i="1"/>
  <c r="AH2376" i="1" s="1"/>
  <c r="T2377" i="1"/>
  <c r="AH2377" i="1" s="1"/>
  <c r="T2378" i="1"/>
  <c r="AH2378" i="1" s="1"/>
  <c r="T2379" i="1"/>
  <c r="AH2379" i="1" s="1"/>
  <c r="T2380" i="1"/>
  <c r="AH2380" i="1" s="1"/>
  <c r="T2381" i="1"/>
  <c r="AH2381" i="1" s="1"/>
  <c r="T2382" i="1"/>
  <c r="AH2382" i="1" s="1"/>
  <c r="T2383" i="1"/>
  <c r="AH2383" i="1" s="1"/>
  <c r="T2384" i="1"/>
  <c r="AH2384" i="1" s="1"/>
  <c r="T2385" i="1"/>
  <c r="AH2385" i="1" s="1"/>
  <c r="T2386" i="1"/>
  <c r="AH2386" i="1" s="1"/>
  <c r="T2387" i="1"/>
  <c r="AH2387" i="1" s="1"/>
  <c r="T2388" i="1"/>
  <c r="AH2388" i="1" s="1"/>
  <c r="T2389" i="1"/>
  <c r="AH2389" i="1" s="1"/>
  <c r="T2390" i="1"/>
  <c r="AH2390" i="1" s="1"/>
  <c r="T2391" i="1"/>
  <c r="AH2391" i="1" s="1"/>
  <c r="T2392" i="1"/>
  <c r="AH2392" i="1" s="1"/>
  <c r="T2393" i="1"/>
  <c r="AH2393" i="1" s="1"/>
  <c r="T2394" i="1"/>
  <c r="AH2394" i="1" s="1"/>
  <c r="T2395" i="1"/>
  <c r="AH2395" i="1" s="1"/>
  <c r="T2396" i="1"/>
  <c r="AH2396" i="1" s="1"/>
  <c r="T2397" i="1"/>
  <c r="AH2397" i="1" s="1"/>
  <c r="T2398" i="1"/>
  <c r="AH2398" i="1" s="1"/>
  <c r="T2399" i="1"/>
  <c r="AH2399" i="1" s="1"/>
  <c r="T2400" i="1"/>
  <c r="AH2400" i="1" s="1"/>
  <c r="T2401" i="1"/>
  <c r="AH2401" i="1" s="1"/>
  <c r="T2402" i="1"/>
  <c r="AH2402" i="1" s="1"/>
  <c r="T2403" i="1"/>
  <c r="AH2403" i="1" s="1"/>
  <c r="T2404" i="1"/>
  <c r="AH2404" i="1" s="1"/>
  <c r="T2405" i="1"/>
  <c r="AH2405" i="1" s="1"/>
  <c r="T2406" i="1"/>
  <c r="AH2406" i="1" s="1"/>
  <c r="T2407" i="1"/>
  <c r="AH2407" i="1" s="1"/>
  <c r="T2408" i="1"/>
  <c r="AH2408" i="1" s="1"/>
  <c r="T2409" i="1"/>
  <c r="AH2409" i="1" s="1"/>
  <c r="T2410" i="1"/>
  <c r="AH2410" i="1" s="1"/>
  <c r="T2411" i="1"/>
  <c r="AH2411" i="1" s="1"/>
  <c r="T2412" i="1"/>
  <c r="AH2412" i="1" s="1"/>
  <c r="T2413" i="1"/>
  <c r="AH2413" i="1" s="1"/>
  <c r="T2414" i="1"/>
  <c r="AH2414" i="1" s="1"/>
  <c r="T2415" i="1"/>
  <c r="AH2415" i="1" s="1"/>
  <c r="T2416" i="1"/>
  <c r="AH2416" i="1" s="1"/>
  <c r="T2417" i="1"/>
  <c r="AH2417" i="1" s="1"/>
  <c r="T2418" i="1"/>
  <c r="AH2418" i="1" s="1"/>
  <c r="T2419" i="1"/>
  <c r="AH2419" i="1" s="1"/>
  <c r="T2420" i="1"/>
  <c r="AH2420" i="1" s="1"/>
  <c r="T2421" i="1"/>
  <c r="AH2421" i="1" s="1"/>
  <c r="T2422" i="1"/>
  <c r="AH2422" i="1" s="1"/>
  <c r="T2423" i="1"/>
  <c r="AH2423" i="1" s="1"/>
  <c r="T2424" i="1"/>
  <c r="AH2424" i="1" s="1"/>
  <c r="T2425" i="1"/>
  <c r="AH2425" i="1" s="1"/>
  <c r="T2426" i="1"/>
  <c r="AH2426" i="1" s="1"/>
  <c r="T2427" i="1"/>
  <c r="AH2427" i="1" s="1"/>
  <c r="T2428" i="1"/>
  <c r="AH2428" i="1" s="1"/>
  <c r="T2429" i="1"/>
  <c r="AH2429" i="1" s="1"/>
  <c r="T2430" i="1"/>
  <c r="AH2430" i="1" s="1"/>
  <c r="T2431" i="1"/>
  <c r="AH2431" i="1" s="1"/>
  <c r="T2432" i="1"/>
  <c r="AH2432" i="1" s="1"/>
  <c r="T2433" i="1"/>
  <c r="AH2433" i="1" s="1"/>
  <c r="T2434" i="1"/>
  <c r="AH2434" i="1" s="1"/>
  <c r="T2435" i="1"/>
  <c r="AH2435" i="1" s="1"/>
  <c r="T2436" i="1"/>
  <c r="AH2436" i="1" s="1"/>
  <c r="T2437" i="1"/>
  <c r="AH2437" i="1" s="1"/>
  <c r="T2438" i="1"/>
  <c r="AH2438" i="1" s="1"/>
  <c r="T2439" i="1"/>
  <c r="AH2439" i="1" s="1"/>
  <c r="T2440" i="1"/>
  <c r="AH2440" i="1" s="1"/>
  <c r="T2441" i="1"/>
  <c r="AH2441" i="1" s="1"/>
  <c r="T2442" i="1"/>
  <c r="AH2442" i="1" s="1"/>
  <c r="T2443" i="1"/>
  <c r="AH2443" i="1" s="1"/>
  <c r="T2444" i="1"/>
  <c r="AH2444" i="1" s="1"/>
  <c r="T2445" i="1"/>
  <c r="AH2445" i="1" s="1"/>
  <c r="T2446" i="1"/>
  <c r="AH2446" i="1" s="1"/>
  <c r="T2447" i="1"/>
  <c r="AH2447" i="1" s="1"/>
  <c r="T2448" i="1"/>
  <c r="AH2448" i="1" s="1"/>
  <c r="T2449" i="1"/>
  <c r="AH2449" i="1" s="1"/>
  <c r="T2450" i="1"/>
  <c r="AH2450" i="1" s="1"/>
  <c r="T2451" i="1"/>
  <c r="AH2451" i="1" s="1"/>
  <c r="T2452" i="1"/>
  <c r="AH2452" i="1" s="1"/>
  <c r="T2453" i="1"/>
  <c r="AH2453" i="1" s="1"/>
  <c r="T2454" i="1"/>
  <c r="AH2454" i="1" s="1"/>
  <c r="T2455" i="1"/>
  <c r="AH2455" i="1" s="1"/>
  <c r="T2456" i="1"/>
  <c r="AH2456" i="1" s="1"/>
  <c r="T2457" i="1"/>
  <c r="AH2457" i="1" s="1"/>
  <c r="T2458" i="1"/>
  <c r="AH2458" i="1" s="1"/>
  <c r="T2459" i="1"/>
  <c r="AH2459" i="1" s="1"/>
  <c r="T2460" i="1"/>
  <c r="AH2460" i="1" s="1"/>
  <c r="T2461" i="1"/>
  <c r="AH2461" i="1" s="1"/>
  <c r="T2462" i="1"/>
  <c r="AH2462" i="1" s="1"/>
  <c r="T2463" i="1"/>
  <c r="AH2463" i="1" s="1"/>
  <c r="T2464" i="1"/>
  <c r="AH2464" i="1" s="1"/>
  <c r="T2465" i="1"/>
  <c r="AH2465" i="1" s="1"/>
  <c r="T2466" i="1"/>
  <c r="AH2466" i="1" s="1"/>
  <c r="T2467" i="1"/>
  <c r="AH2467" i="1" s="1"/>
  <c r="T2468" i="1"/>
  <c r="AH2468" i="1" s="1"/>
  <c r="T2469" i="1"/>
  <c r="AH2469" i="1" s="1"/>
  <c r="T2470" i="1"/>
  <c r="AH2470" i="1" s="1"/>
  <c r="T2471" i="1"/>
  <c r="AH2471" i="1" s="1"/>
  <c r="T2472" i="1"/>
  <c r="AH2472" i="1" s="1"/>
  <c r="T2473" i="1"/>
  <c r="AH2473" i="1" s="1"/>
  <c r="T2474" i="1"/>
  <c r="AH2474" i="1" s="1"/>
  <c r="T2475" i="1"/>
  <c r="AH2475" i="1" s="1"/>
  <c r="T2476" i="1"/>
  <c r="AH2476" i="1" s="1"/>
  <c r="T2477" i="1"/>
  <c r="AH2477" i="1" s="1"/>
  <c r="T2478" i="1"/>
  <c r="AH2478" i="1" s="1"/>
  <c r="T2479" i="1"/>
  <c r="AH2479" i="1" s="1"/>
  <c r="T2480" i="1"/>
  <c r="AH2480" i="1" s="1"/>
  <c r="T2481" i="1"/>
  <c r="AH2481" i="1" s="1"/>
  <c r="T2482" i="1"/>
  <c r="AH2482" i="1" s="1"/>
  <c r="T2483" i="1"/>
  <c r="AH2483" i="1" s="1"/>
  <c r="T2484" i="1"/>
  <c r="AH2484" i="1" s="1"/>
  <c r="T2485" i="1"/>
  <c r="AH2485" i="1" s="1"/>
  <c r="T2486" i="1"/>
  <c r="AH2486" i="1" s="1"/>
  <c r="T2487" i="1"/>
  <c r="AH2487" i="1" s="1"/>
  <c r="T2488" i="1"/>
  <c r="AH2488" i="1" s="1"/>
  <c r="T2489" i="1"/>
  <c r="AH2489" i="1" s="1"/>
  <c r="T2490" i="1"/>
  <c r="AH2490" i="1" s="1"/>
  <c r="T2491" i="1"/>
  <c r="AH2491" i="1" s="1"/>
  <c r="T2492" i="1"/>
  <c r="AH2492" i="1" s="1"/>
  <c r="T2493" i="1"/>
  <c r="AH2493" i="1" s="1"/>
  <c r="T2494" i="1"/>
  <c r="AH2494" i="1" s="1"/>
  <c r="T2495" i="1"/>
  <c r="AH2495" i="1" s="1"/>
  <c r="T2496" i="1"/>
  <c r="AH2496" i="1" s="1"/>
  <c r="T2497" i="1"/>
  <c r="AH2497" i="1" s="1"/>
  <c r="T2498" i="1"/>
  <c r="AH2498" i="1" s="1"/>
  <c r="T2499" i="1"/>
  <c r="AH2499" i="1" s="1"/>
  <c r="T2500" i="1"/>
  <c r="AH2500" i="1" s="1"/>
  <c r="T2501" i="1"/>
  <c r="AH2501" i="1" s="1"/>
  <c r="T2502" i="1"/>
  <c r="AH2502" i="1" s="1"/>
  <c r="T2503" i="1"/>
  <c r="AH2503" i="1" s="1"/>
  <c r="T2504" i="1"/>
  <c r="AH2504" i="1" s="1"/>
  <c r="T2505" i="1"/>
  <c r="AH2505" i="1" s="1"/>
  <c r="T2506" i="1"/>
  <c r="AH2506" i="1" s="1"/>
  <c r="T2507" i="1"/>
  <c r="AH2507" i="1" s="1"/>
  <c r="T2508" i="1"/>
  <c r="AH2508" i="1" s="1"/>
  <c r="T2509" i="1"/>
  <c r="AH2509" i="1" s="1"/>
  <c r="T2510" i="1"/>
  <c r="AH2510" i="1" s="1"/>
  <c r="T2511" i="1"/>
  <c r="AH2511" i="1" s="1"/>
  <c r="T2512" i="1"/>
  <c r="AH2512" i="1" s="1"/>
  <c r="T2513" i="1"/>
  <c r="AH2513" i="1" s="1"/>
  <c r="T2514" i="1"/>
  <c r="AH2514" i="1" s="1"/>
  <c r="T2515" i="1"/>
  <c r="AH2515" i="1" s="1"/>
  <c r="T2516" i="1"/>
  <c r="AH2516" i="1" s="1"/>
  <c r="T2517" i="1"/>
  <c r="AH2517" i="1" s="1"/>
  <c r="T2518" i="1"/>
  <c r="AH2518" i="1" s="1"/>
  <c r="T2519" i="1"/>
  <c r="AH2519" i="1" s="1"/>
  <c r="T2520" i="1"/>
  <c r="AH2520" i="1" s="1"/>
  <c r="T2521" i="1"/>
  <c r="AH2521" i="1" s="1"/>
  <c r="T2522" i="1"/>
  <c r="AH2522" i="1" s="1"/>
  <c r="T2523" i="1"/>
  <c r="AH2523" i="1" s="1"/>
  <c r="T2524" i="1"/>
  <c r="AH2524" i="1" s="1"/>
  <c r="T2525" i="1"/>
  <c r="AH2525" i="1" s="1"/>
  <c r="T2526" i="1"/>
  <c r="AH2526" i="1" s="1"/>
  <c r="T2527" i="1"/>
  <c r="AH2527" i="1" s="1"/>
  <c r="T2528" i="1"/>
  <c r="AH2528" i="1" s="1"/>
  <c r="T2529" i="1"/>
  <c r="AH2529" i="1" s="1"/>
  <c r="T2530" i="1"/>
  <c r="AH2530" i="1" s="1"/>
  <c r="T2531" i="1"/>
  <c r="AH2531" i="1" s="1"/>
  <c r="T2532" i="1"/>
  <c r="AH2532" i="1" s="1"/>
  <c r="T2533" i="1"/>
  <c r="AH2533" i="1" s="1"/>
  <c r="T2534" i="1"/>
  <c r="AH2534" i="1" s="1"/>
  <c r="T2535" i="1"/>
  <c r="AH2535" i="1" s="1"/>
  <c r="T2536" i="1"/>
  <c r="AH2536" i="1" s="1"/>
  <c r="T2537" i="1"/>
  <c r="AH2537" i="1" s="1"/>
  <c r="T2538" i="1"/>
  <c r="AH2538" i="1" s="1"/>
  <c r="T2539" i="1"/>
  <c r="AH2539" i="1" s="1"/>
  <c r="T2540" i="1"/>
  <c r="AH2540" i="1" s="1"/>
  <c r="T2541" i="1"/>
  <c r="AH2541" i="1" s="1"/>
  <c r="T2542" i="1"/>
  <c r="AH2542" i="1" s="1"/>
  <c r="T2543" i="1"/>
  <c r="AH2543" i="1" s="1"/>
  <c r="T2544" i="1"/>
  <c r="AH2544" i="1" s="1"/>
  <c r="T2545" i="1"/>
  <c r="AH2545" i="1" s="1"/>
  <c r="T2546" i="1"/>
  <c r="AH2546" i="1" s="1"/>
  <c r="T2547" i="1"/>
  <c r="AH2547" i="1" s="1"/>
  <c r="T2548" i="1"/>
  <c r="AH2548" i="1" s="1"/>
  <c r="T2549" i="1"/>
  <c r="AH2549" i="1" s="1"/>
  <c r="T2550" i="1"/>
  <c r="AH2550" i="1" s="1"/>
  <c r="T2551" i="1"/>
  <c r="AH2551" i="1" s="1"/>
  <c r="T2552" i="1"/>
  <c r="AH2552" i="1" s="1"/>
  <c r="T2553" i="1"/>
  <c r="AH2553" i="1" s="1"/>
  <c r="T2554" i="1"/>
  <c r="AH2554" i="1" s="1"/>
  <c r="T2555" i="1"/>
  <c r="AH2555" i="1" s="1"/>
  <c r="T2556" i="1"/>
  <c r="AH2556" i="1" s="1"/>
  <c r="T2557" i="1"/>
  <c r="AH2557" i="1" s="1"/>
  <c r="T2558" i="1"/>
  <c r="AH2558" i="1" s="1"/>
  <c r="T2559" i="1"/>
  <c r="AH2559" i="1" s="1"/>
  <c r="T2560" i="1"/>
  <c r="AH2560" i="1" s="1"/>
  <c r="T2561" i="1"/>
  <c r="AH2561" i="1" s="1"/>
  <c r="T2562" i="1"/>
  <c r="AH2562" i="1" s="1"/>
  <c r="T2563" i="1"/>
  <c r="AH2563" i="1" s="1"/>
  <c r="T2564" i="1"/>
  <c r="AH2564" i="1" s="1"/>
  <c r="T2565" i="1"/>
  <c r="AH2565" i="1" s="1"/>
  <c r="T2566" i="1"/>
  <c r="AH2566" i="1" s="1"/>
  <c r="T2567" i="1"/>
  <c r="AH2567" i="1" s="1"/>
  <c r="T2568" i="1"/>
  <c r="AH2568" i="1" s="1"/>
  <c r="T2569" i="1"/>
  <c r="AH2569" i="1" s="1"/>
  <c r="T2570" i="1"/>
  <c r="AH2570" i="1" s="1"/>
  <c r="T2571" i="1"/>
  <c r="AH2571" i="1" s="1"/>
  <c r="T2572" i="1"/>
  <c r="AH2572" i="1" s="1"/>
  <c r="T2573" i="1"/>
  <c r="AH2573" i="1" s="1"/>
  <c r="T2574" i="1"/>
  <c r="AH2574" i="1" s="1"/>
  <c r="T2575" i="1"/>
  <c r="AH2575" i="1" s="1"/>
  <c r="T2576" i="1"/>
  <c r="AH2576" i="1" s="1"/>
  <c r="T2577" i="1"/>
  <c r="AH2577" i="1" s="1"/>
  <c r="T2578" i="1"/>
  <c r="AH2578" i="1" s="1"/>
  <c r="T2579" i="1"/>
  <c r="AH2579" i="1" s="1"/>
  <c r="T2580" i="1"/>
  <c r="AH2580" i="1" s="1"/>
  <c r="T2581" i="1"/>
  <c r="AH2581" i="1" s="1"/>
  <c r="T2582" i="1"/>
  <c r="AH2582" i="1" s="1"/>
  <c r="T2583" i="1"/>
  <c r="AH2583" i="1" s="1"/>
  <c r="T2584" i="1"/>
  <c r="AH2584" i="1" s="1"/>
  <c r="T2585" i="1"/>
  <c r="AH2585" i="1" s="1"/>
  <c r="T2586" i="1"/>
  <c r="AH2586" i="1" s="1"/>
  <c r="T2587" i="1"/>
  <c r="AH2587" i="1" s="1"/>
  <c r="T2588" i="1"/>
  <c r="AH2588" i="1" s="1"/>
  <c r="T2589" i="1"/>
  <c r="AH2589" i="1" s="1"/>
  <c r="T2590" i="1"/>
  <c r="AH2590" i="1" s="1"/>
  <c r="T2591" i="1"/>
  <c r="AH2591" i="1" s="1"/>
  <c r="T2592" i="1"/>
  <c r="AH2592" i="1" s="1"/>
  <c r="T2593" i="1"/>
  <c r="AH2593" i="1" s="1"/>
  <c r="T2594" i="1"/>
  <c r="AH2594" i="1" s="1"/>
  <c r="T2595" i="1"/>
  <c r="AH2595" i="1" s="1"/>
  <c r="T2596" i="1"/>
  <c r="AH2596" i="1" s="1"/>
  <c r="T2597" i="1"/>
  <c r="AH2597" i="1" s="1"/>
  <c r="T2598" i="1"/>
  <c r="AH2598" i="1" s="1"/>
  <c r="T2599" i="1"/>
  <c r="AH2599" i="1" s="1"/>
  <c r="T2600" i="1"/>
  <c r="AH2600" i="1" s="1"/>
  <c r="T2601" i="1"/>
  <c r="AH2601" i="1" s="1"/>
  <c r="T2602" i="1"/>
  <c r="AH2602" i="1" s="1"/>
  <c r="T2603" i="1"/>
  <c r="AH2603" i="1" s="1"/>
  <c r="T2604" i="1"/>
  <c r="AH2604" i="1" s="1"/>
  <c r="T2605" i="1"/>
  <c r="AH2605" i="1" s="1"/>
  <c r="T2606" i="1"/>
  <c r="AH2606" i="1" s="1"/>
  <c r="T2607" i="1"/>
  <c r="AH2607" i="1" s="1"/>
  <c r="T2608" i="1"/>
  <c r="AH2608" i="1" s="1"/>
  <c r="T2609" i="1"/>
  <c r="AH2609" i="1" s="1"/>
  <c r="T2610" i="1"/>
  <c r="AH2610" i="1" s="1"/>
  <c r="T2611" i="1"/>
  <c r="AH2611" i="1" s="1"/>
  <c r="T2612" i="1"/>
  <c r="AH2612" i="1" s="1"/>
  <c r="T2613" i="1"/>
  <c r="AH2613" i="1" s="1"/>
  <c r="T2614" i="1"/>
  <c r="AH2614" i="1" s="1"/>
  <c r="T2615" i="1"/>
  <c r="AH2615" i="1" s="1"/>
  <c r="T2616" i="1"/>
  <c r="AH2616" i="1" s="1"/>
  <c r="T2617" i="1"/>
  <c r="AH2617" i="1" s="1"/>
  <c r="T2618" i="1"/>
  <c r="AH2618" i="1" s="1"/>
  <c r="T2619" i="1"/>
  <c r="AH2619" i="1" s="1"/>
  <c r="T2620" i="1"/>
  <c r="AH2620" i="1" s="1"/>
  <c r="T2621" i="1"/>
  <c r="AH2621" i="1" s="1"/>
  <c r="T2622" i="1"/>
  <c r="AH2622" i="1" s="1"/>
  <c r="T2623" i="1"/>
  <c r="AH2623" i="1" s="1"/>
  <c r="T2624" i="1"/>
  <c r="AH2624" i="1" s="1"/>
  <c r="T2625" i="1"/>
  <c r="AH2625" i="1" s="1"/>
  <c r="T2626" i="1"/>
  <c r="AH2626" i="1" s="1"/>
  <c r="T2627" i="1"/>
  <c r="AH2627" i="1" s="1"/>
  <c r="T2628" i="1"/>
  <c r="AH2628" i="1" s="1"/>
  <c r="T2629" i="1"/>
  <c r="AH2629" i="1" s="1"/>
  <c r="T2630" i="1"/>
  <c r="AH2630" i="1" s="1"/>
  <c r="T2631" i="1"/>
  <c r="AH2631" i="1" s="1"/>
  <c r="T2632" i="1"/>
  <c r="AH2632" i="1" s="1"/>
  <c r="T2633" i="1"/>
  <c r="AH2633" i="1" s="1"/>
  <c r="T2634" i="1"/>
  <c r="AH2634" i="1" s="1"/>
  <c r="T2635" i="1"/>
  <c r="AH2635" i="1" s="1"/>
  <c r="T2636" i="1"/>
  <c r="AH2636" i="1" s="1"/>
  <c r="T2637" i="1"/>
  <c r="AH2637" i="1" s="1"/>
  <c r="T2638" i="1"/>
  <c r="AH2638" i="1" s="1"/>
  <c r="T2639" i="1"/>
  <c r="AH2639" i="1" s="1"/>
  <c r="T2640" i="1"/>
  <c r="AH2640" i="1" s="1"/>
  <c r="T2641" i="1"/>
  <c r="AH2641" i="1" s="1"/>
  <c r="T2642" i="1"/>
  <c r="AH2642" i="1" s="1"/>
  <c r="T2643" i="1"/>
  <c r="AH2643" i="1" s="1"/>
  <c r="T2644" i="1"/>
  <c r="AH2644" i="1" s="1"/>
  <c r="T2645" i="1"/>
  <c r="AH2645" i="1" s="1"/>
  <c r="T2646" i="1"/>
  <c r="AH2646" i="1" s="1"/>
  <c r="T2647" i="1"/>
  <c r="AH2647" i="1" s="1"/>
  <c r="T2648" i="1"/>
  <c r="AH2648" i="1" s="1"/>
  <c r="T2649" i="1"/>
  <c r="AH2649" i="1" s="1"/>
  <c r="T2650" i="1"/>
  <c r="AH2650" i="1" s="1"/>
  <c r="T2651" i="1"/>
  <c r="AH2651" i="1" s="1"/>
  <c r="T2652" i="1"/>
  <c r="AH2652" i="1" s="1"/>
  <c r="T2653" i="1"/>
  <c r="AH2653" i="1" s="1"/>
  <c r="T2654" i="1"/>
  <c r="AH2654" i="1" s="1"/>
  <c r="T2655" i="1"/>
  <c r="AH2655" i="1" s="1"/>
  <c r="T2656" i="1"/>
  <c r="AH2656" i="1" s="1"/>
  <c r="T2657" i="1"/>
  <c r="AH2657" i="1" s="1"/>
  <c r="T2658" i="1"/>
  <c r="AH2658" i="1" s="1"/>
  <c r="T2659" i="1"/>
  <c r="AH2659" i="1" s="1"/>
  <c r="T2660" i="1"/>
  <c r="AH2660" i="1" s="1"/>
  <c r="T2661" i="1"/>
  <c r="AH2661" i="1" s="1"/>
  <c r="T2662" i="1"/>
  <c r="AH2662" i="1" s="1"/>
  <c r="T2663" i="1"/>
  <c r="AH2663" i="1" s="1"/>
  <c r="T2664" i="1"/>
  <c r="AH2664" i="1" s="1"/>
  <c r="T2665" i="1"/>
  <c r="AH2665" i="1" s="1"/>
  <c r="T2666" i="1"/>
  <c r="AH2666" i="1" s="1"/>
  <c r="T2667" i="1"/>
  <c r="AH2667" i="1" s="1"/>
  <c r="T2668" i="1"/>
  <c r="AH2668" i="1" s="1"/>
  <c r="T2669" i="1"/>
  <c r="AH2669" i="1" s="1"/>
  <c r="T2670" i="1"/>
  <c r="AH2670" i="1" s="1"/>
  <c r="T2671" i="1"/>
  <c r="AH2671" i="1" s="1"/>
  <c r="T2672" i="1"/>
  <c r="AH2672" i="1" s="1"/>
  <c r="T2673" i="1"/>
  <c r="AH2673" i="1" s="1"/>
  <c r="T2674" i="1"/>
  <c r="AH2674" i="1" s="1"/>
  <c r="T2675" i="1"/>
  <c r="AH2675" i="1" s="1"/>
  <c r="T2676" i="1"/>
  <c r="AH2676" i="1" s="1"/>
  <c r="T2677" i="1"/>
  <c r="AH2677" i="1" s="1"/>
  <c r="T2678" i="1"/>
  <c r="AH2678" i="1" s="1"/>
  <c r="T2679" i="1"/>
  <c r="AH2679" i="1" s="1"/>
  <c r="T2680" i="1"/>
  <c r="AH2680" i="1" s="1"/>
  <c r="T2681" i="1"/>
  <c r="AH2681" i="1" s="1"/>
  <c r="T2682" i="1"/>
  <c r="AH2682" i="1" s="1"/>
  <c r="T2683" i="1"/>
  <c r="AH2683" i="1" s="1"/>
  <c r="T2684" i="1"/>
  <c r="AH2684" i="1" s="1"/>
  <c r="T2685" i="1"/>
  <c r="AH2685" i="1" s="1"/>
  <c r="T2686" i="1"/>
  <c r="AH2686" i="1" s="1"/>
  <c r="T2687" i="1"/>
  <c r="AH2687" i="1" s="1"/>
  <c r="T2688" i="1"/>
  <c r="AH2688" i="1" s="1"/>
  <c r="T2689" i="1"/>
  <c r="AH2689" i="1" s="1"/>
  <c r="T2690" i="1"/>
  <c r="AH2690" i="1" s="1"/>
  <c r="T2691" i="1"/>
  <c r="AH2691" i="1" s="1"/>
  <c r="T2692" i="1"/>
  <c r="AH2692" i="1" s="1"/>
  <c r="T2693" i="1"/>
  <c r="AH2693" i="1" s="1"/>
  <c r="T2694" i="1"/>
  <c r="AH2694" i="1" s="1"/>
  <c r="T2695" i="1"/>
  <c r="AH2695" i="1" s="1"/>
  <c r="T2696" i="1"/>
  <c r="AH2696" i="1" s="1"/>
  <c r="T2697" i="1"/>
  <c r="AH2697" i="1" s="1"/>
  <c r="T2698" i="1"/>
  <c r="AH2698" i="1" s="1"/>
  <c r="T2699" i="1"/>
  <c r="AH2699" i="1" s="1"/>
  <c r="T2700" i="1"/>
  <c r="AH2700" i="1" s="1"/>
  <c r="T2701" i="1"/>
  <c r="AH2701" i="1" s="1"/>
  <c r="T2702" i="1"/>
  <c r="AH2702" i="1" s="1"/>
  <c r="T2703" i="1"/>
  <c r="AH2703" i="1" s="1"/>
  <c r="T2704" i="1"/>
  <c r="AH2704" i="1" s="1"/>
  <c r="T2705" i="1"/>
  <c r="AH2705" i="1" s="1"/>
  <c r="T2706" i="1"/>
  <c r="AH2706" i="1" s="1"/>
  <c r="T2707" i="1"/>
  <c r="AH2707" i="1" s="1"/>
  <c r="T2708" i="1"/>
  <c r="AH2708" i="1" s="1"/>
  <c r="T2709" i="1"/>
  <c r="AH2709" i="1" s="1"/>
  <c r="T2710" i="1"/>
  <c r="AH2710" i="1" s="1"/>
  <c r="T2711" i="1"/>
  <c r="AH2711" i="1" s="1"/>
  <c r="T2712" i="1"/>
  <c r="AH2712" i="1" s="1"/>
  <c r="T2713" i="1"/>
  <c r="AH2713" i="1" s="1"/>
  <c r="T2714" i="1"/>
  <c r="AH2714" i="1" s="1"/>
  <c r="T2715" i="1"/>
  <c r="AH2715" i="1" s="1"/>
  <c r="T2716" i="1"/>
  <c r="AH2716" i="1" s="1"/>
  <c r="T2717" i="1"/>
  <c r="AH2717" i="1" s="1"/>
  <c r="T2718" i="1"/>
  <c r="AH2718" i="1" s="1"/>
  <c r="T2719" i="1"/>
  <c r="AH2719" i="1" s="1"/>
  <c r="T2720" i="1"/>
  <c r="AH2720" i="1" s="1"/>
  <c r="T2721" i="1"/>
  <c r="AH2721" i="1" s="1"/>
  <c r="T2722" i="1"/>
  <c r="AH2722" i="1" s="1"/>
  <c r="T2723" i="1"/>
  <c r="AH2723" i="1" s="1"/>
  <c r="T2724" i="1"/>
  <c r="AH2724" i="1" s="1"/>
  <c r="T2725" i="1"/>
  <c r="AH2725" i="1" s="1"/>
  <c r="T2726" i="1"/>
  <c r="AH2726" i="1" s="1"/>
  <c r="T2727" i="1"/>
  <c r="AH2727" i="1" s="1"/>
  <c r="T2728" i="1"/>
  <c r="AH2728" i="1" s="1"/>
  <c r="T2729" i="1"/>
  <c r="AH2729" i="1" s="1"/>
  <c r="T2730" i="1"/>
  <c r="AH2730" i="1" s="1"/>
  <c r="T2731" i="1"/>
  <c r="AH2731" i="1" s="1"/>
  <c r="T2732" i="1"/>
  <c r="AH2732" i="1" s="1"/>
  <c r="T2733" i="1"/>
  <c r="AH2733" i="1" s="1"/>
  <c r="T2734" i="1"/>
  <c r="AH2734" i="1" s="1"/>
  <c r="T2735" i="1"/>
  <c r="AH2735" i="1" s="1"/>
  <c r="T2736" i="1"/>
  <c r="AH2736" i="1" s="1"/>
  <c r="T2737" i="1"/>
  <c r="AH2737" i="1" s="1"/>
  <c r="T2738" i="1"/>
  <c r="AH2738" i="1" s="1"/>
  <c r="T2739" i="1"/>
  <c r="AH2739" i="1" s="1"/>
  <c r="T2740" i="1"/>
  <c r="AH2740" i="1" s="1"/>
  <c r="T2741" i="1"/>
  <c r="AH2741" i="1" s="1"/>
  <c r="T2742" i="1"/>
  <c r="AH2742" i="1" s="1"/>
  <c r="T2743" i="1"/>
  <c r="AH2743" i="1" s="1"/>
  <c r="T2744" i="1"/>
  <c r="AH2744" i="1" s="1"/>
  <c r="T2745" i="1"/>
  <c r="AH2745" i="1" s="1"/>
  <c r="T2746" i="1"/>
  <c r="AH2746" i="1" s="1"/>
  <c r="T2747" i="1"/>
  <c r="AH2747" i="1" s="1"/>
  <c r="T2748" i="1"/>
  <c r="AH2748" i="1" s="1"/>
  <c r="T2749" i="1"/>
  <c r="AH2749" i="1" s="1"/>
  <c r="T2750" i="1"/>
  <c r="AH2750" i="1" s="1"/>
  <c r="T2751" i="1"/>
  <c r="AH2751" i="1" s="1"/>
  <c r="T2752" i="1"/>
  <c r="AH2752" i="1" s="1"/>
  <c r="T2753" i="1"/>
  <c r="AH2753" i="1" s="1"/>
  <c r="T2754" i="1"/>
  <c r="AH2754" i="1" s="1"/>
  <c r="T2755" i="1"/>
  <c r="AH2755" i="1" s="1"/>
  <c r="T2756" i="1"/>
  <c r="AH2756" i="1" s="1"/>
  <c r="T2757" i="1"/>
  <c r="AH2757" i="1" s="1"/>
  <c r="T2758" i="1"/>
  <c r="AH2758" i="1" s="1"/>
  <c r="T2759" i="1"/>
  <c r="AH2759" i="1" s="1"/>
  <c r="T2760" i="1"/>
  <c r="AH2760" i="1" s="1"/>
  <c r="T2761" i="1"/>
  <c r="AH2761" i="1" s="1"/>
  <c r="T2762" i="1"/>
  <c r="AH2762" i="1" s="1"/>
  <c r="T2763" i="1"/>
  <c r="AH2763" i="1" s="1"/>
  <c r="T2764" i="1"/>
  <c r="AH2764" i="1" s="1"/>
  <c r="T2765" i="1"/>
  <c r="AH2765" i="1" s="1"/>
  <c r="T2766" i="1"/>
  <c r="AH2766" i="1" s="1"/>
  <c r="T2767" i="1"/>
  <c r="AH2767" i="1" s="1"/>
  <c r="T2768" i="1"/>
  <c r="AH2768" i="1" s="1"/>
  <c r="T2769" i="1"/>
  <c r="AH2769" i="1" s="1"/>
  <c r="T2770" i="1"/>
  <c r="AH2770" i="1" s="1"/>
  <c r="T2771" i="1"/>
  <c r="AH2771" i="1" s="1"/>
  <c r="T2772" i="1"/>
  <c r="AH2772" i="1" s="1"/>
  <c r="T2773" i="1"/>
  <c r="AH2773" i="1" s="1"/>
  <c r="T2774" i="1"/>
  <c r="AH2774" i="1" s="1"/>
  <c r="T2775" i="1"/>
  <c r="AH2775" i="1" s="1"/>
  <c r="T2776" i="1"/>
  <c r="AH2776" i="1" s="1"/>
  <c r="T2777" i="1"/>
  <c r="AH2777" i="1" s="1"/>
  <c r="T2778" i="1"/>
  <c r="AH2778" i="1" s="1"/>
  <c r="T2779" i="1"/>
  <c r="AH2779" i="1" s="1"/>
  <c r="T2780" i="1"/>
  <c r="AH2780" i="1" s="1"/>
  <c r="T2781" i="1"/>
  <c r="AH2781" i="1" s="1"/>
  <c r="T2782" i="1"/>
  <c r="AH2782" i="1" s="1"/>
  <c r="T2783" i="1"/>
  <c r="AH2783" i="1" s="1"/>
  <c r="T2784" i="1"/>
  <c r="AH2784" i="1" s="1"/>
  <c r="T2785" i="1"/>
  <c r="AH2785" i="1" s="1"/>
  <c r="T2786" i="1"/>
  <c r="AH2786" i="1" s="1"/>
  <c r="T2787" i="1"/>
  <c r="AH2787" i="1" s="1"/>
  <c r="T2788" i="1"/>
  <c r="AH2788" i="1" s="1"/>
  <c r="T2789" i="1"/>
  <c r="AH2789" i="1" s="1"/>
  <c r="T2790" i="1"/>
  <c r="AH2790" i="1" s="1"/>
  <c r="T2791" i="1"/>
  <c r="AH2791" i="1" s="1"/>
  <c r="T2792" i="1"/>
  <c r="AH2792" i="1" s="1"/>
  <c r="T2793" i="1"/>
  <c r="AH2793" i="1" s="1"/>
  <c r="T2794" i="1"/>
  <c r="AH2794" i="1" s="1"/>
  <c r="T2795" i="1"/>
  <c r="AH2795" i="1" s="1"/>
  <c r="T2796" i="1"/>
  <c r="AH2796" i="1" s="1"/>
  <c r="T2797" i="1"/>
  <c r="AH2797" i="1" s="1"/>
  <c r="T2798" i="1"/>
  <c r="AH2798" i="1" s="1"/>
  <c r="T2799" i="1"/>
  <c r="AH2799" i="1" s="1"/>
  <c r="T2800" i="1"/>
  <c r="AH2800" i="1" s="1"/>
  <c r="T2801" i="1"/>
  <c r="AH2801" i="1" s="1"/>
  <c r="T2802" i="1"/>
  <c r="AH2802" i="1" s="1"/>
  <c r="T2803" i="1"/>
  <c r="AH2803" i="1" s="1"/>
  <c r="T2804" i="1"/>
  <c r="AH2804" i="1" s="1"/>
  <c r="T2805" i="1"/>
  <c r="AH2805" i="1" s="1"/>
  <c r="T2806" i="1"/>
  <c r="AH2806" i="1" s="1"/>
  <c r="T2807" i="1"/>
  <c r="AH2807" i="1" s="1"/>
  <c r="T2808" i="1"/>
  <c r="AH2808" i="1" s="1"/>
  <c r="T2809" i="1"/>
  <c r="AH2809" i="1" s="1"/>
  <c r="T2810" i="1"/>
  <c r="AH2810" i="1" s="1"/>
  <c r="T2811" i="1"/>
  <c r="AH2811" i="1" s="1"/>
  <c r="T2812" i="1"/>
  <c r="AH2812" i="1" s="1"/>
  <c r="T2813" i="1"/>
  <c r="AH2813" i="1" s="1"/>
  <c r="T2814" i="1"/>
  <c r="AH2814" i="1" s="1"/>
  <c r="T2815" i="1"/>
  <c r="AH2815" i="1" s="1"/>
  <c r="T2816" i="1"/>
  <c r="AH2816" i="1" s="1"/>
  <c r="T2817" i="1"/>
  <c r="AH2817" i="1" s="1"/>
  <c r="T2818" i="1"/>
  <c r="AH2818" i="1" s="1"/>
  <c r="T2819" i="1"/>
  <c r="AH2819" i="1" s="1"/>
  <c r="T2820" i="1"/>
  <c r="AH2820" i="1" s="1"/>
  <c r="T2821" i="1"/>
  <c r="AH2821" i="1" s="1"/>
  <c r="T2822" i="1"/>
  <c r="AH2822" i="1" s="1"/>
  <c r="T2823" i="1"/>
  <c r="AH2823" i="1" s="1"/>
  <c r="T2824" i="1"/>
  <c r="AH2824" i="1" s="1"/>
  <c r="T2825" i="1"/>
  <c r="AH2825" i="1" s="1"/>
  <c r="T2826" i="1"/>
  <c r="AH2826" i="1" s="1"/>
  <c r="T2827" i="1"/>
  <c r="AH2827" i="1" s="1"/>
  <c r="T2828" i="1"/>
  <c r="AH2828" i="1" s="1"/>
  <c r="T2829" i="1"/>
  <c r="AH2829" i="1" s="1"/>
  <c r="T2830" i="1"/>
  <c r="AH2830" i="1" s="1"/>
  <c r="T2831" i="1"/>
  <c r="AH2831" i="1" s="1"/>
  <c r="T2832" i="1"/>
  <c r="AH2832" i="1" s="1"/>
  <c r="T2833" i="1"/>
  <c r="AH2833" i="1" s="1"/>
  <c r="T2834" i="1"/>
  <c r="AH2834" i="1" s="1"/>
  <c r="T2835" i="1"/>
  <c r="AH2835" i="1" s="1"/>
  <c r="T2836" i="1"/>
  <c r="AH2836" i="1" s="1"/>
  <c r="T2837" i="1"/>
  <c r="AH2837" i="1" s="1"/>
  <c r="T2838" i="1"/>
  <c r="AH2838" i="1" s="1"/>
  <c r="T2839" i="1"/>
  <c r="AH2839" i="1" s="1"/>
  <c r="T2840" i="1"/>
  <c r="AH2840" i="1" s="1"/>
  <c r="T2841" i="1"/>
  <c r="AH2841" i="1" s="1"/>
  <c r="T2842" i="1"/>
  <c r="AH2842" i="1" s="1"/>
  <c r="T2843" i="1"/>
  <c r="AH2843" i="1" s="1"/>
  <c r="T2844" i="1"/>
  <c r="AH2844" i="1" s="1"/>
  <c r="T2845" i="1"/>
  <c r="AH2845" i="1" s="1"/>
  <c r="T2846" i="1"/>
  <c r="AH2846" i="1" s="1"/>
  <c r="T2847" i="1"/>
  <c r="AH2847" i="1" s="1"/>
  <c r="T2848" i="1"/>
  <c r="AH2848" i="1" s="1"/>
  <c r="T2849" i="1"/>
  <c r="AH2849" i="1" s="1"/>
  <c r="T2850" i="1"/>
  <c r="AH2850" i="1" s="1"/>
  <c r="T2851" i="1"/>
  <c r="AH2851" i="1" s="1"/>
  <c r="T2852" i="1"/>
  <c r="AH2852" i="1" s="1"/>
  <c r="T2853" i="1"/>
  <c r="AH2853" i="1" s="1"/>
  <c r="T2854" i="1"/>
  <c r="AH2854" i="1" s="1"/>
  <c r="T2855" i="1"/>
  <c r="AH2855" i="1" s="1"/>
  <c r="T2856" i="1"/>
  <c r="AH2856" i="1" s="1"/>
  <c r="T2857" i="1"/>
  <c r="AH2857" i="1" s="1"/>
  <c r="T2858" i="1"/>
  <c r="AH2858" i="1" s="1"/>
  <c r="T2859" i="1"/>
  <c r="AH2859" i="1" s="1"/>
  <c r="T2860" i="1"/>
  <c r="AH2860" i="1" s="1"/>
  <c r="T2861" i="1"/>
  <c r="AH2861" i="1" s="1"/>
  <c r="T2862" i="1"/>
  <c r="AH2862" i="1" s="1"/>
  <c r="T2863" i="1"/>
  <c r="AH2863" i="1" s="1"/>
  <c r="T2864" i="1"/>
  <c r="AH2864" i="1" s="1"/>
  <c r="T2865" i="1"/>
  <c r="AH2865" i="1" s="1"/>
  <c r="T2866" i="1"/>
  <c r="AH2866" i="1" s="1"/>
  <c r="T2867" i="1"/>
  <c r="AH2867" i="1" s="1"/>
  <c r="T2868" i="1"/>
  <c r="AH2868" i="1" s="1"/>
  <c r="T2869" i="1"/>
  <c r="AH2869" i="1" s="1"/>
  <c r="T2870" i="1"/>
  <c r="AH2870" i="1" s="1"/>
  <c r="T2871" i="1"/>
  <c r="AH2871" i="1" s="1"/>
  <c r="T2872" i="1"/>
  <c r="AH2872" i="1" s="1"/>
  <c r="T2873" i="1"/>
  <c r="AH2873" i="1" s="1"/>
  <c r="T2874" i="1"/>
  <c r="AH2874" i="1" s="1"/>
  <c r="T2875" i="1"/>
  <c r="AH2875" i="1" s="1"/>
  <c r="T2876" i="1"/>
  <c r="AH2876" i="1" s="1"/>
  <c r="T2877" i="1"/>
  <c r="AH2877" i="1" s="1"/>
  <c r="T2878" i="1"/>
  <c r="AH2878" i="1" s="1"/>
  <c r="T2879" i="1"/>
  <c r="AH2879" i="1" s="1"/>
  <c r="T2880" i="1"/>
  <c r="AH2880" i="1" s="1"/>
  <c r="T2881" i="1"/>
  <c r="AH2881" i="1" s="1"/>
  <c r="T2882" i="1"/>
  <c r="AH2882" i="1" s="1"/>
  <c r="T2883" i="1"/>
  <c r="AH2883" i="1" s="1"/>
  <c r="T2884" i="1"/>
  <c r="AH2884" i="1" s="1"/>
  <c r="T2885" i="1"/>
  <c r="AH2885" i="1" s="1"/>
  <c r="T2886" i="1"/>
  <c r="AH2886" i="1" s="1"/>
  <c r="T2887" i="1"/>
  <c r="AH2887" i="1" s="1"/>
  <c r="T2888" i="1"/>
  <c r="AH2888" i="1" s="1"/>
  <c r="T2889" i="1"/>
  <c r="AH2889" i="1" s="1"/>
  <c r="T2890" i="1"/>
  <c r="AH2890" i="1" s="1"/>
  <c r="T2891" i="1"/>
  <c r="AH2891" i="1" s="1"/>
  <c r="T2892" i="1"/>
  <c r="AH2892" i="1" s="1"/>
  <c r="T2893" i="1"/>
  <c r="AH2893" i="1" s="1"/>
  <c r="T2894" i="1"/>
  <c r="AH2894" i="1" s="1"/>
  <c r="T2895" i="1"/>
  <c r="AH2895" i="1" s="1"/>
  <c r="T2896" i="1"/>
  <c r="AH2896" i="1" s="1"/>
  <c r="T2897" i="1"/>
  <c r="AH2897" i="1" s="1"/>
  <c r="T2898" i="1"/>
  <c r="AH2898" i="1" s="1"/>
  <c r="T2899" i="1"/>
  <c r="AH2899" i="1" s="1"/>
  <c r="T2900" i="1"/>
  <c r="AH2900" i="1" s="1"/>
  <c r="T2901" i="1"/>
  <c r="AH2901" i="1" s="1"/>
  <c r="T2902" i="1"/>
  <c r="AH2902" i="1" s="1"/>
  <c r="T2903" i="1"/>
  <c r="AH2903" i="1" s="1"/>
  <c r="T2904" i="1"/>
  <c r="AH2904" i="1" s="1"/>
  <c r="T2905" i="1"/>
  <c r="AH2905" i="1" s="1"/>
  <c r="T2906" i="1"/>
  <c r="AH2906" i="1" s="1"/>
  <c r="T2907" i="1"/>
  <c r="AH2907" i="1" s="1"/>
  <c r="T2908" i="1"/>
  <c r="AH2908" i="1" s="1"/>
  <c r="T2909" i="1"/>
  <c r="AH2909" i="1" s="1"/>
  <c r="T2910" i="1"/>
  <c r="AH2910" i="1" s="1"/>
  <c r="T2911" i="1"/>
  <c r="AH2911" i="1" s="1"/>
  <c r="T2912" i="1"/>
  <c r="AH2912" i="1" s="1"/>
  <c r="T2913" i="1"/>
  <c r="AH2913" i="1" s="1"/>
  <c r="T2914" i="1"/>
  <c r="AH2914" i="1" s="1"/>
  <c r="T2915" i="1"/>
  <c r="AH2915" i="1" s="1"/>
  <c r="T2916" i="1"/>
  <c r="AH2916" i="1" s="1"/>
  <c r="T2917" i="1"/>
  <c r="AH2917" i="1" s="1"/>
  <c r="T2918" i="1"/>
  <c r="AH2918" i="1" s="1"/>
  <c r="T2919" i="1"/>
  <c r="AH2919" i="1" s="1"/>
  <c r="T2920" i="1"/>
  <c r="AH2920" i="1" s="1"/>
  <c r="T2921" i="1"/>
  <c r="AH2921" i="1" s="1"/>
  <c r="T2922" i="1"/>
  <c r="AH2922" i="1" s="1"/>
  <c r="T2923" i="1"/>
  <c r="AH2923" i="1" s="1"/>
  <c r="T2924" i="1"/>
  <c r="AH2924" i="1" s="1"/>
  <c r="T2925" i="1"/>
  <c r="AH2925" i="1" s="1"/>
  <c r="T2926" i="1"/>
  <c r="AH2926" i="1" s="1"/>
  <c r="T2927" i="1"/>
  <c r="AH2927" i="1" s="1"/>
  <c r="T2928" i="1"/>
  <c r="AH2928" i="1" s="1"/>
  <c r="T2929" i="1"/>
  <c r="AH2929" i="1" s="1"/>
  <c r="T2930" i="1"/>
  <c r="AH2930" i="1" s="1"/>
  <c r="T2931" i="1"/>
  <c r="AH2931" i="1" s="1"/>
  <c r="T2932" i="1"/>
  <c r="AH2932" i="1" s="1"/>
  <c r="T2933" i="1"/>
  <c r="AH2933" i="1" s="1"/>
  <c r="T2934" i="1"/>
  <c r="AH2934" i="1" s="1"/>
  <c r="T2935" i="1"/>
  <c r="AH2935" i="1" s="1"/>
  <c r="T2936" i="1"/>
  <c r="AH2936" i="1" s="1"/>
  <c r="T2937" i="1"/>
  <c r="AH2937" i="1" s="1"/>
  <c r="T2938" i="1"/>
  <c r="AH2938" i="1" s="1"/>
  <c r="T2939" i="1"/>
  <c r="AH2939" i="1" s="1"/>
  <c r="T2940" i="1"/>
  <c r="AH2940" i="1" s="1"/>
  <c r="T2941" i="1"/>
  <c r="AH2941" i="1" s="1"/>
  <c r="T2942" i="1"/>
  <c r="AH2942" i="1" s="1"/>
  <c r="T2943" i="1"/>
  <c r="AH2943" i="1" s="1"/>
  <c r="T2944" i="1"/>
  <c r="AH2944" i="1" s="1"/>
  <c r="T2945" i="1"/>
  <c r="AH2945" i="1" s="1"/>
  <c r="T2946" i="1"/>
  <c r="AH2946" i="1" s="1"/>
  <c r="T2947" i="1"/>
  <c r="AH2947" i="1" s="1"/>
  <c r="T2948" i="1"/>
  <c r="AH2948" i="1" s="1"/>
  <c r="T2949" i="1"/>
  <c r="AH2949" i="1" s="1"/>
  <c r="T2950" i="1"/>
  <c r="AH2950" i="1" s="1"/>
  <c r="T2951" i="1"/>
  <c r="AH2951" i="1" s="1"/>
  <c r="T2952" i="1"/>
  <c r="AH2952" i="1" s="1"/>
  <c r="T2953" i="1"/>
  <c r="AH2953" i="1" s="1"/>
  <c r="T2954" i="1"/>
  <c r="AH2954" i="1" s="1"/>
  <c r="T2955" i="1"/>
  <c r="AH2955" i="1" s="1"/>
  <c r="T2956" i="1"/>
  <c r="AH2956" i="1" s="1"/>
  <c r="T2957" i="1"/>
  <c r="AH2957" i="1" s="1"/>
  <c r="T2958" i="1"/>
  <c r="AH2958" i="1" s="1"/>
  <c r="T2959" i="1"/>
  <c r="AH2959" i="1" s="1"/>
  <c r="T2960" i="1"/>
  <c r="AH2960" i="1" s="1"/>
  <c r="T2961" i="1"/>
  <c r="AH2961" i="1" s="1"/>
  <c r="T2962" i="1"/>
  <c r="AH2962" i="1" s="1"/>
  <c r="T2963" i="1"/>
  <c r="AH2963" i="1" s="1"/>
  <c r="T2964" i="1"/>
  <c r="AH2964" i="1" s="1"/>
  <c r="T2965" i="1"/>
  <c r="AH2965" i="1" s="1"/>
  <c r="T2966" i="1"/>
  <c r="AH2966" i="1" s="1"/>
  <c r="T2967" i="1"/>
  <c r="AH2967" i="1" s="1"/>
  <c r="T2968" i="1"/>
  <c r="AH2968" i="1" s="1"/>
  <c r="T2969" i="1"/>
  <c r="AH2969" i="1" s="1"/>
  <c r="T2970" i="1"/>
  <c r="AH2970" i="1" s="1"/>
  <c r="T2971" i="1"/>
  <c r="AH2971" i="1" s="1"/>
  <c r="T2972" i="1"/>
  <c r="AH2972" i="1" s="1"/>
  <c r="T2973" i="1"/>
  <c r="AH2973" i="1" s="1"/>
  <c r="T2974" i="1"/>
  <c r="AH2974" i="1" s="1"/>
  <c r="T2975" i="1"/>
  <c r="AH2975" i="1" s="1"/>
  <c r="T2976" i="1"/>
  <c r="AH2976" i="1" s="1"/>
  <c r="T2977" i="1"/>
  <c r="AH2977" i="1" s="1"/>
  <c r="T2978" i="1"/>
  <c r="AH2978" i="1" s="1"/>
  <c r="T2979" i="1"/>
  <c r="AH2979" i="1" s="1"/>
  <c r="T2980" i="1"/>
  <c r="AH2980" i="1" s="1"/>
  <c r="T2981" i="1"/>
  <c r="AH2981" i="1" s="1"/>
  <c r="T2982" i="1"/>
  <c r="AH2982" i="1" s="1"/>
  <c r="T2983" i="1"/>
  <c r="AH2983" i="1" s="1"/>
  <c r="T2984" i="1"/>
  <c r="AH2984" i="1" s="1"/>
  <c r="T2985" i="1"/>
  <c r="AH2985" i="1" s="1"/>
  <c r="T2986" i="1"/>
  <c r="AH2986" i="1" s="1"/>
  <c r="T2987" i="1"/>
  <c r="AH2987" i="1" s="1"/>
  <c r="T2988" i="1"/>
  <c r="AH2988" i="1" s="1"/>
  <c r="T2989" i="1"/>
  <c r="AH2989" i="1" s="1"/>
  <c r="T2990" i="1"/>
  <c r="AH2990" i="1" s="1"/>
  <c r="T2991" i="1"/>
  <c r="AH2991" i="1" s="1"/>
  <c r="T2992" i="1"/>
  <c r="AH2992" i="1" s="1"/>
  <c r="T2993" i="1"/>
  <c r="AH2993" i="1" s="1"/>
  <c r="T2994" i="1"/>
  <c r="AH2994" i="1" s="1"/>
  <c r="T2995" i="1"/>
  <c r="AH2995" i="1" s="1"/>
  <c r="T2996" i="1"/>
  <c r="AH2996" i="1" s="1"/>
  <c r="T2997" i="1"/>
  <c r="AH2997" i="1" s="1"/>
  <c r="T2998" i="1"/>
  <c r="AH2998" i="1" s="1"/>
  <c r="T2999" i="1"/>
  <c r="AH2999" i="1" s="1"/>
  <c r="T3000" i="1"/>
  <c r="AH3000" i="1" s="1"/>
  <c r="T3001" i="1"/>
  <c r="AH3001" i="1" s="1"/>
  <c r="T3002" i="1"/>
  <c r="AH3002" i="1" s="1"/>
  <c r="T3003" i="1"/>
  <c r="AH3003" i="1" s="1"/>
  <c r="T3004" i="1"/>
  <c r="AH3004" i="1" s="1"/>
  <c r="T3005" i="1"/>
  <c r="AH3005" i="1" s="1"/>
  <c r="T3006" i="1"/>
  <c r="AH3006" i="1" s="1"/>
  <c r="T3007" i="1"/>
  <c r="AH3007" i="1" s="1"/>
  <c r="I11" i="1" l="1"/>
  <c r="X3006" i="1" l="1"/>
  <c r="Z3006" i="1" s="1"/>
  <c r="W3006" i="1"/>
  <c r="S3006" i="1"/>
  <c r="Q3006" i="1"/>
  <c r="N3006" i="1"/>
  <c r="L3006" i="1"/>
  <c r="K3006" i="1"/>
  <c r="AB3006" i="1"/>
  <c r="I3006" i="1"/>
  <c r="X3005" i="1"/>
  <c r="Z3005" i="1" s="1"/>
  <c r="W3005" i="1"/>
  <c r="S3005" i="1"/>
  <c r="Q3005" i="1"/>
  <c r="N3005" i="1"/>
  <c r="L3005" i="1"/>
  <c r="K3005" i="1"/>
  <c r="AB3005" i="1"/>
  <c r="I3005" i="1"/>
  <c r="X3004" i="1"/>
  <c r="Z3004" i="1" s="1"/>
  <c r="W3004" i="1"/>
  <c r="S3004" i="1"/>
  <c r="Q3004" i="1"/>
  <c r="N3004" i="1"/>
  <c r="L3004" i="1"/>
  <c r="K3004" i="1"/>
  <c r="AB3004" i="1"/>
  <c r="I3004" i="1"/>
  <c r="X3003" i="1"/>
  <c r="Z3003" i="1" s="1"/>
  <c r="W3003" i="1"/>
  <c r="S3003" i="1"/>
  <c r="Q3003" i="1"/>
  <c r="N3003" i="1"/>
  <c r="L3003" i="1"/>
  <c r="K3003" i="1"/>
  <c r="AB3003" i="1"/>
  <c r="I3003" i="1"/>
  <c r="X3002" i="1"/>
  <c r="Z3002" i="1" s="1"/>
  <c r="W3002" i="1"/>
  <c r="S3002" i="1"/>
  <c r="Q3002" i="1"/>
  <c r="N3002" i="1"/>
  <c r="L3002" i="1"/>
  <c r="K3002" i="1"/>
  <c r="AB3002" i="1"/>
  <c r="I3002" i="1"/>
  <c r="X3001" i="1"/>
  <c r="Z3001" i="1" s="1"/>
  <c r="W3001" i="1"/>
  <c r="S3001" i="1"/>
  <c r="Q3001" i="1"/>
  <c r="N3001" i="1"/>
  <c r="L3001" i="1"/>
  <c r="K3001" i="1"/>
  <c r="AB3001" i="1"/>
  <c r="I3001" i="1"/>
  <c r="X3000" i="1"/>
  <c r="Z3000" i="1" s="1"/>
  <c r="W3000" i="1"/>
  <c r="S3000" i="1"/>
  <c r="Q3000" i="1"/>
  <c r="N3000" i="1"/>
  <c r="L3000" i="1"/>
  <c r="K3000" i="1"/>
  <c r="AB3000" i="1"/>
  <c r="I3000" i="1"/>
  <c r="X2999" i="1"/>
  <c r="Z2999" i="1" s="1"/>
  <c r="W2999" i="1"/>
  <c r="S2999" i="1"/>
  <c r="Q2999" i="1"/>
  <c r="N2999" i="1"/>
  <c r="L2999" i="1"/>
  <c r="K2999" i="1"/>
  <c r="AB2999" i="1"/>
  <c r="I2999" i="1"/>
  <c r="X2998" i="1"/>
  <c r="Z2998" i="1" s="1"/>
  <c r="W2998" i="1"/>
  <c r="S2998" i="1"/>
  <c r="Q2998" i="1"/>
  <c r="N2998" i="1"/>
  <c r="L2998" i="1"/>
  <c r="K2998" i="1"/>
  <c r="AB2998" i="1"/>
  <c r="I2998" i="1"/>
  <c r="X2997" i="1"/>
  <c r="Z2997" i="1" s="1"/>
  <c r="W2997" i="1"/>
  <c r="S2997" i="1"/>
  <c r="Q2997" i="1"/>
  <c r="N2997" i="1"/>
  <c r="L2997" i="1"/>
  <c r="K2997" i="1"/>
  <c r="AB2997" i="1"/>
  <c r="I2997" i="1"/>
  <c r="X2996" i="1"/>
  <c r="Z2996" i="1" s="1"/>
  <c r="W2996" i="1"/>
  <c r="S2996" i="1"/>
  <c r="Q2996" i="1"/>
  <c r="N2996" i="1"/>
  <c r="L2996" i="1"/>
  <c r="K2996" i="1"/>
  <c r="AB2996" i="1"/>
  <c r="I2996" i="1"/>
  <c r="X2995" i="1"/>
  <c r="Z2995" i="1" s="1"/>
  <c r="W2995" i="1"/>
  <c r="S2995" i="1"/>
  <c r="Q2995" i="1"/>
  <c r="N2995" i="1"/>
  <c r="L2995" i="1"/>
  <c r="K2995" i="1"/>
  <c r="AB2995" i="1"/>
  <c r="I2995" i="1"/>
  <c r="X2994" i="1"/>
  <c r="Z2994" i="1" s="1"/>
  <c r="W2994" i="1"/>
  <c r="S2994" i="1"/>
  <c r="Q2994" i="1"/>
  <c r="N2994" i="1"/>
  <c r="L2994" i="1"/>
  <c r="K2994" i="1"/>
  <c r="AB2994" i="1"/>
  <c r="I2994" i="1"/>
  <c r="X2993" i="1"/>
  <c r="Z2993" i="1" s="1"/>
  <c r="W2993" i="1"/>
  <c r="S2993" i="1"/>
  <c r="Q2993" i="1"/>
  <c r="N2993" i="1"/>
  <c r="L2993" i="1"/>
  <c r="K2993" i="1"/>
  <c r="M2993" i="1" s="1"/>
  <c r="R2993" i="1" s="1"/>
  <c r="AB2993" i="1"/>
  <c r="I2993" i="1"/>
  <c r="X2992" i="1"/>
  <c r="Z2992" i="1" s="1"/>
  <c r="W2992" i="1"/>
  <c r="S2992" i="1"/>
  <c r="Q2992" i="1"/>
  <c r="N2992" i="1"/>
  <c r="L2992" i="1"/>
  <c r="K2992" i="1"/>
  <c r="AB2992" i="1"/>
  <c r="I2992" i="1"/>
  <c r="X2991" i="1"/>
  <c r="Z2991" i="1" s="1"/>
  <c r="W2991" i="1"/>
  <c r="S2991" i="1"/>
  <c r="Q2991" i="1"/>
  <c r="N2991" i="1"/>
  <c r="L2991" i="1"/>
  <c r="K2991" i="1"/>
  <c r="AB2991" i="1"/>
  <c r="I2991" i="1"/>
  <c r="X2990" i="1"/>
  <c r="Z2990" i="1" s="1"/>
  <c r="W2990" i="1"/>
  <c r="S2990" i="1"/>
  <c r="Q2990" i="1"/>
  <c r="N2990" i="1"/>
  <c r="L2990" i="1"/>
  <c r="K2990" i="1"/>
  <c r="AB2990" i="1"/>
  <c r="I2990" i="1"/>
  <c r="X2989" i="1"/>
  <c r="Z2989" i="1" s="1"/>
  <c r="W2989" i="1"/>
  <c r="S2989" i="1"/>
  <c r="Q2989" i="1"/>
  <c r="N2989" i="1"/>
  <c r="L2989" i="1"/>
  <c r="Y2989" i="1" s="1"/>
  <c r="K2989" i="1"/>
  <c r="AB2989" i="1"/>
  <c r="I2989" i="1"/>
  <c r="X2988" i="1"/>
  <c r="Z2988" i="1" s="1"/>
  <c r="W2988" i="1"/>
  <c r="S2988" i="1"/>
  <c r="Q2988" i="1"/>
  <c r="N2988" i="1"/>
  <c r="L2988" i="1"/>
  <c r="K2988" i="1"/>
  <c r="AB2988" i="1"/>
  <c r="I2988" i="1"/>
  <c r="X2987" i="1"/>
  <c r="Z2987" i="1" s="1"/>
  <c r="W2987" i="1"/>
  <c r="S2987" i="1"/>
  <c r="Q2987" i="1"/>
  <c r="N2987" i="1"/>
  <c r="L2987" i="1"/>
  <c r="K2987" i="1"/>
  <c r="AB2987" i="1"/>
  <c r="I2987" i="1"/>
  <c r="X2986" i="1"/>
  <c r="Z2986" i="1" s="1"/>
  <c r="W2986" i="1"/>
  <c r="S2986" i="1"/>
  <c r="Q2986" i="1"/>
  <c r="N2986" i="1"/>
  <c r="L2986" i="1"/>
  <c r="K2986" i="1"/>
  <c r="AB2986" i="1"/>
  <c r="I2986" i="1"/>
  <c r="X2985" i="1"/>
  <c r="Z2985" i="1" s="1"/>
  <c r="W2985" i="1"/>
  <c r="S2985" i="1"/>
  <c r="Q2985" i="1"/>
  <c r="N2985" i="1"/>
  <c r="L2985" i="1"/>
  <c r="K2985" i="1"/>
  <c r="AB2985" i="1"/>
  <c r="I2985" i="1"/>
  <c r="X2984" i="1"/>
  <c r="Z2984" i="1" s="1"/>
  <c r="W2984" i="1"/>
  <c r="S2984" i="1"/>
  <c r="Q2984" i="1"/>
  <c r="N2984" i="1"/>
  <c r="L2984" i="1"/>
  <c r="K2984" i="1"/>
  <c r="AB2984" i="1"/>
  <c r="I2984" i="1"/>
  <c r="X2983" i="1"/>
  <c r="Z2983" i="1" s="1"/>
  <c r="W2983" i="1"/>
  <c r="S2983" i="1"/>
  <c r="Q2983" i="1"/>
  <c r="N2983" i="1"/>
  <c r="L2983" i="1"/>
  <c r="K2983" i="1"/>
  <c r="AB2983" i="1"/>
  <c r="I2983" i="1"/>
  <c r="X2982" i="1"/>
  <c r="Z2982" i="1" s="1"/>
  <c r="W2982" i="1"/>
  <c r="S2982" i="1"/>
  <c r="Q2982" i="1"/>
  <c r="N2982" i="1"/>
  <c r="L2982" i="1"/>
  <c r="K2982" i="1"/>
  <c r="AB2982" i="1"/>
  <c r="I2982" i="1"/>
  <c r="X2981" i="1"/>
  <c r="Z2981" i="1" s="1"/>
  <c r="W2981" i="1"/>
  <c r="S2981" i="1"/>
  <c r="Q2981" i="1"/>
  <c r="N2981" i="1"/>
  <c r="L2981" i="1"/>
  <c r="K2981" i="1"/>
  <c r="AB2981" i="1"/>
  <c r="I2981" i="1"/>
  <c r="X2980" i="1"/>
  <c r="Z2980" i="1" s="1"/>
  <c r="W2980" i="1"/>
  <c r="S2980" i="1"/>
  <c r="Q2980" i="1"/>
  <c r="N2980" i="1"/>
  <c r="L2980" i="1"/>
  <c r="K2980" i="1"/>
  <c r="AB2980" i="1"/>
  <c r="I2980" i="1"/>
  <c r="X2979" i="1"/>
  <c r="Z2979" i="1" s="1"/>
  <c r="W2979" i="1"/>
  <c r="S2979" i="1"/>
  <c r="Q2979" i="1"/>
  <c r="N2979" i="1"/>
  <c r="L2979" i="1"/>
  <c r="K2979" i="1"/>
  <c r="AB2979" i="1"/>
  <c r="I2979" i="1"/>
  <c r="X2978" i="1"/>
  <c r="Z2978" i="1" s="1"/>
  <c r="W2978" i="1"/>
  <c r="S2978" i="1"/>
  <c r="Q2978" i="1"/>
  <c r="N2978" i="1"/>
  <c r="L2978" i="1"/>
  <c r="K2978" i="1"/>
  <c r="AB2978" i="1"/>
  <c r="I2978" i="1"/>
  <c r="X2977" i="1"/>
  <c r="Z2977" i="1" s="1"/>
  <c r="W2977" i="1"/>
  <c r="S2977" i="1"/>
  <c r="Q2977" i="1"/>
  <c r="N2977" i="1"/>
  <c r="L2977" i="1"/>
  <c r="K2977" i="1"/>
  <c r="AB2977" i="1"/>
  <c r="I2977" i="1"/>
  <c r="X2976" i="1"/>
  <c r="Z2976" i="1" s="1"/>
  <c r="W2976" i="1"/>
  <c r="S2976" i="1"/>
  <c r="Q2976" i="1"/>
  <c r="N2976" i="1"/>
  <c r="L2976" i="1"/>
  <c r="K2976" i="1"/>
  <c r="AB2976" i="1"/>
  <c r="I2976" i="1"/>
  <c r="X2975" i="1"/>
  <c r="Z2975" i="1" s="1"/>
  <c r="W2975" i="1"/>
  <c r="S2975" i="1"/>
  <c r="Q2975" i="1"/>
  <c r="N2975" i="1"/>
  <c r="L2975" i="1"/>
  <c r="K2975" i="1"/>
  <c r="AB2975" i="1"/>
  <c r="I2975" i="1"/>
  <c r="X2974" i="1"/>
  <c r="Z2974" i="1" s="1"/>
  <c r="W2974" i="1"/>
  <c r="S2974" i="1"/>
  <c r="Q2974" i="1"/>
  <c r="N2974" i="1"/>
  <c r="L2974" i="1"/>
  <c r="K2974" i="1"/>
  <c r="AB2974" i="1"/>
  <c r="I2974" i="1"/>
  <c r="X2973" i="1"/>
  <c r="Z2973" i="1" s="1"/>
  <c r="W2973" i="1"/>
  <c r="S2973" i="1"/>
  <c r="Q2973" i="1"/>
  <c r="N2973" i="1"/>
  <c r="L2973" i="1"/>
  <c r="Y2973" i="1" s="1"/>
  <c r="K2973" i="1"/>
  <c r="AB2973" i="1"/>
  <c r="I2973" i="1"/>
  <c r="X2972" i="1"/>
  <c r="Z2972" i="1" s="1"/>
  <c r="W2972" i="1"/>
  <c r="S2972" i="1"/>
  <c r="Q2972" i="1"/>
  <c r="N2972" i="1"/>
  <c r="L2972" i="1"/>
  <c r="K2972" i="1"/>
  <c r="AB2972" i="1"/>
  <c r="I2972" i="1"/>
  <c r="X2971" i="1"/>
  <c r="Z2971" i="1" s="1"/>
  <c r="W2971" i="1"/>
  <c r="S2971" i="1"/>
  <c r="Q2971" i="1"/>
  <c r="N2971" i="1"/>
  <c r="L2971" i="1"/>
  <c r="K2971" i="1"/>
  <c r="AB2971" i="1"/>
  <c r="I2971" i="1"/>
  <c r="X2970" i="1"/>
  <c r="Z2970" i="1" s="1"/>
  <c r="W2970" i="1"/>
  <c r="S2970" i="1"/>
  <c r="Q2970" i="1"/>
  <c r="N2970" i="1"/>
  <c r="L2970" i="1"/>
  <c r="K2970" i="1"/>
  <c r="AB2970" i="1"/>
  <c r="I2970" i="1"/>
  <c r="X2969" i="1"/>
  <c r="Z2969" i="1" s="1"/>
  <c r="W2969" i="1"/>
  <c r="S2969" i="1"/>
  <c r="Q2969" i="1"/>
  <c r="N2969" i="1"/>
  <c r="L2969" i="1"/>
  <c r="K2969" i="1"/>
  <c r="AB2969" i="1"/>
  <c r="I2969" i="1"/>
  <c r="X2968" i="1"/>
  <c r="Z2968" i="1" s="1"/>
  <c r="W2968" i="1"/>
  <c r="S2968" i="1"/>
  <c r="Q2968" i="1"/>
  <c r="N2968" i="1"/>
  <c r="L2968" i="1"/>
  <c r="K2968" i="1"/>
  <c r="AB2968" i="1"/>
  <c r="I2968" i="1"/>
  <c r="X2967" i="1"/>
  <c r="Z2967" i="1" s="1"/>
  <c r="W2967" i="1"/>
  <c r="S2967" i="1"/>
  <c r="Q2967" i="1"/>
  <c r="N2967" i="1"/>
  <c r="L2967" i="1"/>
  <c r="K2967" i="1"/>
  <c r="AB2967" i="1"/>
  <c r="I2967" i="1"/>
  <c r="X2966" i="1"/>
  <c r="Z2966" i="1" s="1"/>
  <c r="W2966" i="1"/>
  <c r="S2966" i="1"/>
  <c r="Q2966" i="1"/>
  <c r="N2966" i="1"/>
  <c r="L2966" i="1"/>
  <c r="K2966" i="1"/>
  <c r="AB2966" i="1"/>
  <c r="I2966" i="1"/>
  <c r="X2965" i="1"/>
  <c r="Z2965" i="1" s="1"/>
  <c r="W2965" i="1"/>
  <c r="S2965" i="1"/>
  <c r="Q2965" i="1"/>
  <c r="N2965" i="1"/>
  <c r="L2965" i="1"/>
  <c r="Y2965" i="1" s="1"/>
  <c r="K2965" i="1"/>
  <c r="AB2965" i="1"/>
  <c r="I2965" i="1"/>
  <c r="X2964" i="1"/>
  <c r="Z2964" i="1" s="1"/>
  <c r="W2964" i="1"/>
  <c r="S2964" i="1"/>
  <c r="Q2964" i="1"/>
  <c r="N2964" i="1"/>
  <c r="L2964" i="1"/>
  <c r="K2964" i="1"/>
  <c r="AB2964" i="1"/>
  <c r="I2964" i="1"/>
  <c r="X2963" i="1"/>
  <c r="Z2963" i="1" s="1"/>
  <c r="W2963" i="1"/>
  <c r="S2963" i="1"/>
  <c r="Q2963" i="1"/>
  <c r="N2963" i="1"/>
  <c r="L2963" i="1"/>
  <c r="K2963" i="1"/>
  <c r="AB2963" i="1"/>
  <c r="I2963" i="1"/>
  <c r="X2962" i="1"/>
  <c r="Z2962" i="1" s="1"/>
  <c r="W2962" i="1"/>
  <c r="S2962" i="1"/>
  <c r="Q2962" i="1"/>
  <c r="N2962" i="1"/>
  <c r="L2962" i="1"/>
  <c r="K2962" i="1"/>
  <c r="AB2962" i="1"/>
  <c r="I2962" i="1"/>
  <c r="X2961" i="1"/>
  <c r="Z2961" i="1" s="1"/>
  <c r="W2961" i="1"/>
  <c r="S2961" i="1"/>
  <c r="Q2961" i="1"/>
  <c r="N2961" i="1"/>
  <c r="L2961" i="1"/>
  <c r="K2961" i="1"/>
  <c r="AB2961" i="1"/>
  <c r="I2961" i="1"/>
  <c r="X2960" i="1"/>
  <c r="Z2960" i="1" s="1"/>
  <c r="W2960" i="1"/>
  <c r="S2960" i="1"/>
  <c r="Q2960" i="1"/>
  <c r="N2960" i="1"/>
  <c r="L2960" i="1"/>
  <c r="K2960" i="1"/>
  <c r="AB2960" i="1"/>
  <c r="I2960" i="1"/>
  <c r="X2959" i="1"/>
  <c r="Z2959" i="1" s="1"/>
  <c r="W2959" i="1"/>
  <c r="S2959" i="1"/>
  <c r="Q2959" i="1"/>
  <c r="N2959" i="1"/>
  <c r="L2959" i="1"/>
  <c r="K2959" i="1"/>
  <c r="AB2959" i="1"/>
  <c r="I2959" i="1"/>
  <c r="X2958" i="1"/>
  <c r="Z2958" i="1" s="1"/>
  <c r="W2958" i="1"/>
  <c r="S2958" i="1"/>
  <c r="Q2958" i="1"/>
  <c r="N2958" i="1"/>
  <c r="L2958" i="1"/>
  <c r="K2958" i="1"/>
  <c r="AB2958" i="1"/>
  <c r="I2958" i="1"/>
  <c r="X2957" i="1"/>
  <c r="Z2957" i="1" s="1"/>
  <c r="W2957" i="1"/>
  <c r="S2957" i="1"/>
  <c r="Q2957" i="1"/>
  <c r="N2957" i="1"/>
  <c r="L2957" i="1"/>
  <c r="Y2957" i="1" s="1"/>
  <c r="K2957" i="1"/>
  <c r="AB2957" i="1"/>
  <c r="I2957" i="1"/>
  <c r="X2956" i="1"/>
  <c r="Z2956" i="1" s="1"/>
  <c r="W2956" i="1"/>
  <c r="S2956" i="1"/>
  <c r="Q2956" i="1"/>
  <c r="N2956" i="1"/>
  <c r="L2956" i="1"/>
  <c r="K2956" i="1"/>
  <c r="AB2956" i="1"/>
  <c r="I2956" i="1"/>
  <c r="X2955" i="1"/>
  <c r="Z2955" i="1" s="1"/>
  <c r="W2955" i="1"/>
  <c r="S2955" i="1"/>
  <c r="Q2955" i="1"/>
  <c r="N2955" i="1"/>
  <c r="L2955" i="1"/>
  <c r="K2955" i="1"/>
  <c r="AB2955" i="1"/>
  <c r="I2955" i="1"/>
  <c r="X2954" i="1"/>
  <c r="Z2954" i="1" s="1"/>
  <c r="W2954" i="1"/>
  <c r="S2954" i="1"/>
  <c r="Q2954" i="1"/>
  <c r="N2954" i="1"/>
  <c r="L2954" i="1"/>
  <c r="K2954" i="1"/>
  <c r="AB2954" i="1"/>
  <c r="I2954" i="1"/>
  <c r="X2953" i="1"/>
  <c r="Z2953" i="1" s="1"/>
  <c r="W2953" i="1"/>
  <c r="S2953" i="1"/>
  <c r="Q2953" i="1"/>
  <c r="N2953" i="1"/>
  <c r="L2953" i="1"/>
  <c r="Y2953" i="1" s="1"/>
  <c r="K2953" i="1"/>
  <c r="AB2953" i="1"/>
  <c r="AC2953" i="1" s="1"/>
  <c r="I2953" i="1"/>
  <c r="X2952" i="1"/>
  <c r="Z2952" i="1" s="1"/>
  <c r="W2952" i="1"/>
  <c r="S2952" i="1"/>
  <c r="Q2952" i="1"/>
  <c r="N2952" i="1"/>
  <c r="L2952" i="1"/>
  <c r="K2952" i="1"/>
  <c r="AB2952" i="1"/>
  <c r="I2952" i="1"/>
  <c r="X2951" i="1"/>
  <c r="Z2951" i="1" s="1"/>
  <c r="W2951" i="1"/>
  <c r="S2951" i="1"/>
  <c r="Q2951" i="1"/>
  <c r="N2951" i="1"/>
  <c r="L2951" i="1"/>
  <c r="K2951" i="1"/>
  <c r="AB2951" i="1"/>
  <c r="I2951" i="1"/>
  <c r="X2950" i="1"/>
  <c r="Z2950" i="1" s="1"/>
  <c r="W2950" i="1"/>
  <c r="S2950" i="1"/>
  <c r="Q2950" i="1"/>
  <c r="N2950" i="1"/>
  <c r="L2950" i="1"/>
  <c r="K2950" i="1"/>
  <c r="AB2950" i="1"/>
  <c r="I2950" i="1"/>
  <c r="X2949" i="1"/>
  <c r="Z2949" i="1" s="1"/>
  <c r="W2949" i="1"/>
  <c r="S2949" i="1"/>
  <c r="Q2949" i="1"/>
  <c r="N2949" i="1"/>
  <c r="L2949" i="1"/>
  <c r="K2949" i="1"/>
  <c r="AB2949" i="1"/>
  <c r="AC2949" i="1" s="1"/>
  <c r="I2949" i="1"/>
  <c r="X2948" i="1"/>
  <c r="Z2948" i="1" s="1"/>
  <c r="W2948" i="1"/>
  <c r="S2948" i="1"/>
  <c r="Q2948" i="1"/>
  <c r="N2948" i="1"/>
  <c r="L2948" i="1"/>
  <c r="K2948" i="1"/>
  <c r="AB2948" i="1"/>
  <c r="I2948" i="1"/>
  <c r="X2947" i="1"/>
  <c r="Z2947" i="1" s="1"/>
  <c r="W2947" i="1"/>
  <c r="S2947" i="1"/>
  <c r="Q2947" i="1"/>
  <c r="N2947" i="1"/>
  <c r="L2947" i="1"/>
  <c r="K2947" i="1"/>
  <c r="AB2947" i="1"/>
  <c r="I2947" i="1"/>
  <c r="X2946" i="1"/>
  <c r="Z2946" i="1" s="1"/>
  <c r="W2946" i="1"/>
  <c r="S2946" i="1"/>
  <c r="Q2946" i="1"/>
  <c r="N2946" i="1"/>
  <c r="L2946" i="1"/>
  <c r="K2946" i="1"/>
  <c r="AB2946" i="1"/>
  <c r="I2946" i="1"/>
  <c r="X2945" i="1"/>
  <c r="Z2945" i="1" s="1"/>
  <c r="W2945" i="1"/>
  <c r="S2945" i="1"/>
  <c r="Q2945" i="1"/>
  <c r="N2945" i="1"/>
  <c r="L2945" i="1"/>
  <c r="K2945" i="1"/>
  <c r="AB2945" i="1"/>
  <c r="AC2945" i="1" s="1"/>
  <c r="I2945" i="1"/>
  <c r="X2944" i="1"/>
  <c r="Z2944" i="1" s="1"/>
  <c r="W2944" i="1"/>
  <c r="S2944" i="1"/>
  <c r="Q2944" i="1"/>
  <c r="N2944" i="1"/>
  <c r="L2944" i="1"/>
  <c r="K2944" i="1"/>
  <c r="AB2944" i="1"/>
  <c r="I2944" i="1"/>
  <c r="X2943" i="1"/>
  <c r="Z2943" i="1" s="1"/>
  <c r="W2943" i="1"/>
  <c r="S2943" i="1"/>
  <c r="Q2943" i="1"/>
  <c r="N2943" i="1"/>
  <c r="L2943" i="1"/>
  <c r="K2943" i="1"/>
  <c r="AB2943" i="1"/>
  <c r="I2943" i="1"/>
  <c r="X2942" i="1"/>
  <c r="Z2942" i="1" s="1"/>
  <c r="W2942" i="1"/>
  <c r="S2942" i="1"/>
  <c r="Q2942" i="1"/>
  <c r="N2942" i="1"/>
  <c r="L2942" i="1"/>
  <c r="K2942" i="1"/>
  <c r="AB2942" i="1"/>
  <c r="I2942" i="1"/>
  <c r="X2941" i="1"/>
  <c r="Z2941" i="1" s="1"/>
  <c r="W2941" i="1"/>
  <c r="S2941" i="1"/>
  <c r="Q2941" i="1"/>
  <c r="N2941" i="1"/>
  <c r="L2941" i="1"/>
  <c r="Y2941" i="1" s="1"/>
  <c r="K2941" i="1"/>
  <c r="AB2941" i="1"/>
  <c r="I2941" i="1"/>
  <c r="X2940" i="1"/>
  <c r="Z2940" i="1" s="1"/>
  <c r="W2940" i="1"/>
  <c r="S2940" i="1"/>
  <c r="Q2940" i="1"/>
  <c r="N2940" i="1"/>
  <c r="L2940" i="1"/>
  <c r="K2940" i="1"/>
  <c r="AB2940" i="1"/>
  <c r="I2940" i="1"/>
  <c r="X2939" i="1"/>
  <c r="Z2939" i="1" s="1"/>
  <c r="W2939" i="1"/>
  <c r="S2939" i="1"/>
  <c r="Q2939" i="1"/>
  <c r="N2939" i="1"/>
  <c r="L2939" i="1"/>
  <c r="K2939" i="1"/>
  <c r="AB2939" i="1"/>
  <c r="I2939" i="1"/>
  <c r="X2938" i="1"/>
  <c r="Z2938" i="1" s="1"/>
  <c r="W2938" i="1"/>
  <c r="S2938" i="1"/>
  <c r="Q2938" i="1"/>
  <c r="N2938" i="1"/>
  <c r="L2938" i="1"/>
  <c r="K2938" i="1"/>
  <c r="AB2938" i="1"/>
  <c r="I2938" i="1"/>
  <c r="X2937" i="1"/>
  <c r="Z2937" i="1" s="1"/>
  <c r="W2937" i="1"/>
  <c r="S2937" i="1"/>
  <c r="Q2937" i="1"/>
  <c r="N2937" i="1"/>
  <c r="L2937" i="1"/>
  <c r="K2937" i="1"/>
  <c r="AB2937" i="1"/>
  <c r="AC2937" i="1" s="1"/>
  <c r="I2937" i="1"/>
  <c r="X2936" i="1"/>
  <c r="Z2936" i="1" s="1"/>
  <c r="W2936" i="1"/>
  <c r="S2936" i="1"/>
  <c r="Q2936" i="1"/>
  <c r="N2936" i="1"/>
  <c r="L2936" i="1"/>
  <c r="K2936" i="1"/>
  <c r="AB2936" i="1"/>
  <c r="I2936" i="1"/>
  <c r="X2935" i="1"/>
  <c r="Z2935" i="1" s="1"/>
  <c r="W2935" i="1"/>
  <c r="S2935" i="1"/>
  <c r="Q2935" i="1"/>
  <c r="N2935" i="1"/>
  <c r="L2935" i="1"/>
  <c r="K2935" i="1"/>
  <c r="AB2935" i="1"/>
  <c r="I2935" i="1"/>
  <c r="X2934" i="1"/>
  <c r="Z2934" i="1" s="1"/>
  <c r="W2934" i="1"/>
  <c r="S2934" i="1"/>
  <c r="Q2934" i="1"/>
  <c r="N2934" i="1"/>
  <c r="L2934" i="1"/>
  <c r="K2934" i="1"/>
  <c r="AB2934" i="1"/>
  <c r="I2934" i="1"/>
  <c r="X2933" i="1"/>
  <c r="Z2933" i="1" s="1"/>
  <c r="W2933" i="1"/>
  <c r="S2933" i="1"/>
  <c r="Q2933" i="1"/>
  <c r="N2933" i="1"/>
  <c r="L2933" i="1"/>
  <c r="K2933" i="1"/>
  <c r="AB2933" i="1"/>
  <c r="AC2933" i="1" s="1"/>
  <c r="I2933" i="1"/>
  <c r="X2932" i="1"/>
  <c r="Z2932" i="1" s="1"/>
  <c r="W2932" i="1"/>
  <c r="S2932" i="1"/>
  <c r="Q2932" i="1"/>
  <c r="N2932" i="1"/>
  <c r="L2932" i="1"/>
  <c r="K2932" i="1"/>
  <c r="AB2932" i="1"/>
  <c r="I2932" i="1"/>
  <c r="X2931" i="1"/>
  <c r="Z2931" i="1" s="1"/>
  <c r="W2931" i="1"/>
  <c r="S2931" i="1"/>
  <c r="Q2931" i="1"/>
  <c r="N2931" i="1"/>
  <c r="L2931" i="1"/>
  <c r="K2931" i="1"/>
  <c r="AB2931" i="1"/>
  <c r="I2931" i="1"/>
  <c r="X2930" i="1"/>
  <c r="Z2930" i="1" s="1"/>
  <c r="W2930" i="1"/>
  <c r="S2930" i="1"/>
  <c r="Q2930" i="1"/>
  <c r="N2930" i="1"/>
  <c r="L2930" i="1"/>
  <c r="K2930" i="1"/>
  <c r="AB2930" i="1"/>
  <c r="I2930" i="1"/>
  <c r="X2929" i="1"/>
  <c r="Z2929" i="1" s="1"/>
  <c r="W2929" i="1"/>
  <c r="S2929" i="1"/>
  <c r="Q2929" i="1"/>
  <c r="N2929" i="1"/>
  <c r="L2929" i="1"/>
  <c r="Y2929" i="1" s="1"/>
  <c r="K2929" i="1"/>
  <c r="AB2929" i="1"/>
  <c r="AC2929" i="1" s="1"/>
  <c r="I2929" i="1"/>
  <c r="X2928" i="1"/>
  <c r="Z2928" i="1" s="1"/>
  <c r="W2928" i="1"/>
  <c r="S2928" i="1"/>
  <c r="Q2928" i="1"/>
  <c r="N2928" i="1"/>
  <c r="L2928" i="1"/>
  <c r="K2928" i="1"/>
  <c r="AB2928" i="1"/>
  <c r="I2928" i="1"/>
  <c r="X2927" i="1"/>
  <c r="Z2927" i="1" s="1"/>
  <c r="W2927" i="1"/>
  <c r="S2927" i="1"/>
  <c r="Q2927" i="1"/>
  <c r="N2927" i="1"/>
  <c r="L2927" i="1"/>
  <c r="K2927" i="1"/>
  <c r="AB2927" i="1"/>
  <c r="I2927" i="1"/>
  <c r="X2926" i="1"/>
  <c r="Z2926" i="1" s="1"/>
  <c r="W2926" i="1"/>
  <c r="S2926" i="1"/>
  <c r="Q2926" i="1"/>
  <c r="N2926" i="1"/>
  <c r="L2926" i="1"/>
  <c r="K2926" i="1"/>
  <c r="AB2926" i="1"/>
  <c r="I2926" i="1"/>
  <c r="X2925" i="1"/>
  <c r="Z2925" i="1" s="1"/>
  <c r="W2925" i="1"/>
  <c r="S2925" i="1"/>
  <c r="Q2925" i="1"/>
  <c r="N2925" i="1"/>
  <c r="L2925" i="1"/>
  <c r="K2925" i="1"/>
  <c r="AB2925" i="1"/>
  <c r="I2925" i="1"/>
  <c r="X2924" i="1"/>
  <c r="Z2924" i="1" s="1"/>
  <c r="W2924" i="1"/>
  <c r="S2924" i="1"/>
  <c r="Q2924" i="1"/>
  <c r="N2924" i="1"/>
  <c r="L2924" i="1"/>
  <c r="K2924" i="1"/>
  <c r="AB2924" i="1"/>
  <c r="I2924" i="1"/>
  <c r="X2923" i="1"/>
  <c r="Z2923" i="1" s="1"/>
  <c r="W2923" i="1"/>
  <c r="S2923" i="1"/>
  <c r="Q2923" i="1"/>
  <c r="N2923" i="1"/>
  <c r="L2923" i="1"/>
  <c r="K2923" i="1"/>
  <c r="AB2923" i="1"/>
  <c r="I2923" i="1"/>
  <c r="X2922" i="1"/>
  <c r="Z2922" i="1" s="1"/>
  <c r="W2922" i="1"/>
  <c r="S2922" i="1"/>
  <c r="Q2922" i="1"/>
  <c r="N2922" i="1"/>
  <c r="L2922" i="1"/>
  <c r="K2922" i="1"/>
  <c r="AB2922" i="1"/>
  <c r="I2922" i="1"/>
  <c r="X2921" i="1"/>
  <c r="Z2921" i="1" s="1"/>
  <c r="W2921" i="1"/>
  <c r="S2921" i="1"/>
  <c r="Q2921" i="1"/>
  <c r="N2921" i="1"/>
  <c r="L2921" i="1"/>
  <c r="K2921" i="1"/>
  <c r="AB2921" i="1"/>
  <c r="AC2921" i="1" s="1"/>
  <c r="I2921" i="1"/>
  <c r="X2920" i="1"/>
  <c r="Z2920" i="1" s="1"/>
  <c r="W2920" i="1"/>
  <c r="S2920" i="1"/>
  <c r="Q2920" i="1"/>
  <c r="N2920" i="1"/>
  <c r="L2920" i="1"/>
  <c r="K2920" i="1"/>
  <c r="AB2920" i="1"/>
  <c r="I2920" i="1"/>
  <c r="X2919" i="1"/>
  <c r="Z2919" i="1" s="1"/>
  <c r="W2919" i="1"/>
  <c r="S2919" i="1"/>
  <c r="Q2919" i="1"/>
  <c r="N2919" i="1"/>
  <c r="L2919" i="1"/>
  <c r="K2919" i="1"/>
  <c r="AB2919" i="1"/>
  <c r="I2919" i="1"/>
  <c r="X2918" i="1"/>
  <c r="Z2918" i="1" s="1"/>
  <c r="W2918" i="1"/>
  <c r="S2918" i="1"/>
  <c r="Q2918" i="1"/>
  <c r="N2918" i="1"/>
  <c r="L2918" i="1"/>
  <c r="K2918" i="1"/>
  <c r="AB2918" i="1"/>
  <c r="I2918" i="1"/>
  <c r="X2917" i="1"/>
  <c r="Z2917" i="1" s="1"/>
  <c r="W2917" i="1"/>
  <c r="S2917" i="1"/>
  <c r="Q2917" i="1"/>
  <c r="N2917" i="1"/>
  <c r="L2917" i="1"/>
  <c r="K2917" i="1"/>
  <c r="AB2917" i="1"/>
  <c r="I2917" i="1"/>
  <c r="X2916" i="1"/>
  <c r="Z2916" i="1" s="1"/>
  <c r="W2916" i="1"/>
  <c r="S2916" i="1"/>
  <c r="Q2916" i="1"/>
  <c r="N2916" i="1"/>
  <c r="L2916" i="1"/>
  <c r="K2916" i="1"/>
  <c r="AB2916" i="1"/>
  <c r="I2916" i="1"/>
  <c r="X2915" i="1"/>
  <c r="Z2915" i="1" s="1"/>
  <c r="W2915" i="1"/>
  <c r="S2915" i="1"/>
  <c r="Q2915" i="1"/>
  <c r="N2915" i="1"/>
  <c r="L2915" i="1"/>
  <c r="K2915" i="1"/>
  <c r="AB2915" i="1"/>
  <c r="I2915" i="1"/>
  <c r="X2914" i="1"/>
  <c r="Z2914" i="1" s="1"/>
  <c r="W2914" i="1"/>
  <c r="S2914" i="1"/>
  <c r="Q2914" i="1"/>
  <c r="N2914" i="1"/>
  <c r="L2914" i="1"/>
  <c r="K2914" i="1"/>
  <c r="AB2914" i="1"/>
  <c r="I2914" i="1"/>
  <c r="X2913" i="1"/>
  <c r="Z2913" i="1" s="1"/>
  <c r="W2913" i="1"/>
  <c r="S2913" i="1"/>
  <c r="Q2913" i="1"/>
  <c r="N2913" i="1"/>
  <c r="L2913" i="1"/>
  <c r="Y2913" i="1" s="1"/>
  <c r="K2913" i="1"/>
  <c r="AB2913" i="1"/>
  <c r="AC2913" i="1" s="1"/>
  <c r="I2913" i="1"/>
  <c r="X2912" i="1"/>
  <c r="Z2912" i="1" s="1"/>
  <c r="W2912" i="1"/>
  <c r="S2912" i="1"/>
  <c r="Q2912" i="1"/>
  <c r="N2912" i="1"/>
  <c r="L2912" i="1"/>
  <c r="K2912" i="1"/>
  <c r="AB2912" i="1"/>
  <c r="I2912" i="1"/>
  <c r="X2911" i="1"/>
  <c r="Z2911" i="1" s="1"/>
  <c r="W2911" i="1"/>
  <c r="S2911" i="1"/>
  <c r="Q2911" i="1"/>
  <c r="N2911" i="1"/>
  <c r="L2911" i="1"/>
  <c r="K2911" i="1"/>
  <c r="AB2911" i="1"/>
  <c r="I2911" i="1"/>
  <c r="X2910" i="1"/>
  <c r="Z2910" i="1" s="1"/>
  <c r="W2910" i="1"/>
  <c r="S2910" i="1"/>
  <c r="Q2910" i="1"/>
  <c r="N2910" i="1"/>
  <c r="L2910" i="1"/>
  <c r="K2910" i="1"/>
  <c r="AB2910" i="1"/>
  <c r="I2910" i="1"/>
  <c r="X2909" i="1"/>
  <c r="Z2909" i="1" s="1"/>
  <c r="W2909" i="1"/>
  <c r="S2909" i="1"/>
  <c r="Q2909" i="1"/>
  <c r="N2909" i="1"/>
  <c r="L2909" i="1"/>
  <c r="Y2909" i="1" s="1"/>
  <c r="K2909" i="1"/>
  <c r="AB2909" i="1"/>
  <c r="I2909" i="1"/>
  <c r="X2908" i="1"/>
  <c r="Z2908" i="1" s="1"/>
  <c r="W2908" i="1"/>
  <c r="S2908" i="1"/>
  <c r="Q2908" i="1"/>
  <c r="N2908" i="1"/>
  <c r="L2908" i="1"/>
  <c r="K2908" i="1"/>
  <c r="AB2908" i="1"/>
  <c r="I2908" i="1"/>
  <c r="X2907" i="1"/>
  <c r="Z2907" i="1" s="1"/>
  <c r="W2907" i="1"/>
  <c r="S2907" i="1"/>
  <c r="Q2907" i="1"/>
  <c r="N2907" i="1"/>
  <c r="L2907" i="1"/>
  <c r="K2907" i="1"/>
  <c r="AB2907" i="1"/>
  <c r="I2907" i="1"/>
  <c r="X2906" i="1"/>
  <c r="Z2906" i="1" s="1"/>
  <c r="W2906" i="1"/>
  <c r="S2906" i="1"/>
  <c r="Q2906" i="1"/>
  <c r="N2906" i="1"/>
  <c r="L2906" i="1"/>
  <c r="K2906" i="1"/>
  <c r="AB2906" i="1"/>
  <c r="I2906" i="1"/>
  <c r="X2905" i="1"/>
  <c r="Z2905" i="1" s="1"/>
  <c r="W2905" i="1"/>
  <c r="S2905" i="1"/>
  <c r="Q2905" i="1"/>
  <c r="N2905" i="1"/>
  <c r="L2905" i="1"/>
  <c r="K2905" i="1"/>
  <c r="AB2905" i="1"/>
  <c r="AC2905" i="1" s="1"/>
  <c r="I2905" i="1"/>
  <c r="X2904" i="1"/>
  <c r="Z2904" i="1" s="1"/>
  <c r="W2904" i="1"/>
  <c r="S2904" i="1"/>
  <c r="Q2904" i="1"/>
  <c r="N2904" i="1"/>
  <c r="L2904" i="1"/>
  <c r="K2904" i="1"/>
  <c r="AB2904" i="1"/>
  <c r="I2904" i="1"/>
  <c r="X2903" i="1"/>
  <c r="Z2903" i="1" s="1"/>
  <c r="W2903" i="1"/>
  <c r="S2903" i="1"/>
  <c r="Q2903" i="1"/>
  <c r="N2903" i="1"/>
  <c r="L2903" i="1"/>
  <c r="K2903" i="1"/>
  <c r="AB2903" i="1"/>
  <c r="I2903" i="1"/>
  <c r="X2902" i="1"/>
  <c r="Z2902" i="1" s="1"/>
  <c r="W2902" i="1"/>
  <c r="S2902" i="1"/>
  <c r="Q2902" i="1"/>
  <c r="N2902" i="1"/>
  <c r="L2902" i="1"/>
  <c r="K2902" i="1"/>
  <c r="AB2902" i="1"/>
  <c r="I2902" i="1"/>
  <c r="X2901" i="1"/>
  <c r="Z2901" i="1" s="1"/>
  <c r="W2901" i="1"/>
  <c r="S2901" i="1"/>
  <c r="Q2901" i="1"/>
  <c r="N2901" i="1"/>
  <c r="L2901" i="1"/>
  <c r="Y2901" i="1" s="1"/>
  <c r="K2901" i="1"/>
  <c r="AB2901" i="1"/>
  <c r="I2901" i="1"/>
  <c r="X2900" i="1"/>
  <c r="Z2900" i="1" s="1"/>
  <c r="W2900" i="1"/>
  <c r="S2900" i="1"/>
  <c r="Q2900" i="1"/>
  <c r="N2900" i="1"/>
  <c r="L2900" i="1"/>
  <c r="K2900" i="1"/>
  <c r="AB2900" i="1"/>
  <c r="I2900" i="1"/>
  <c r="X2899" i="1"/>
  <c r="Z2899" i="1" s="1"/>
  <c r="W2899" i="1"/>
  <c r="S2899" i="1"/>
  <c r="Q2899" i="1"/>
  <c r="N2899" i="1"/>
  <c r="L2899" i="1"/>
  <c r="K2899" i="1"/>
  <c r="AB2899" i="1"/>
  <c r="I2899" i="1"/>
  <c r="X2898" i="1"/>
  <c r="Z2898" i="1" s="1"/>
  <c r="W2898" i="1"/>
  <c r="S2898" i="1"/>
  <c r="Q2898" i="1"/>
  <c r="N2898" i="1"/>
  <c r="L2898" i="1"/>
  <c r="K2898" i="1"/>
  <c r="AB2898" i="1"/>
  <c r="I2898" i="1"/>
  <c r="X2897" i="1"/>
  <c r="Z2897" i="1" s="1"/>
  <c r="W2897" i="1"/>
  <c r="S2897" i="1"/>
  <c r="Q2897" i="1"/>
  <c r="N2897" i="1"/>
  <c r="L2897" i="1"/>
  <c r="K2897" i="1"/>
  <c r="AB2897" i="1"/>
  <c r="AC2897" i="1" s="1"/>
  <c r="I2897" i="1"/>
  <c r="X2896" i="1"/>
  <c r="Z2896" i="1" s="1"/>
  <c r="W2896" i="1"/>
  <c r="S2896" i="1"/>
  <c r="Q2896" i="1"/>
  <c r="N2896" i="1"/>
  <c r="L2896" i="1"/>
  <c r="K2896" i="1"/>
  <c r="AB2896" i="1"/>
  <c r="I2896" i="1"/>
  <c r="X2895" i="1"/>
  <c r="Z2895" i="1" s="1"/>
  <c r="W2895" i="1"/>
  <c r="S2895" i="1"/>
  <c r="Q2895" i="1"/>
  <c r="N2895" i="1"/>
  <c r="L2895" i="1"/>
  <c r="K2895" i="1"/>
  <c r="AB2895" i="1"/>
  <c r="I2895" i="1"/>
  <c r="X2894" i="1"/>
  <c r="Z2894" i="1" s="1"/>
  <c r="W2894" i="1"/>
  <c r="S2894" i="1"/>
  <c r="Q2894" i="1"/>
  <c r="N2894" i="1"/>
  <c r="L2894" i="1"/>
  <c r="K2894" i="1"/>
  <c r="AB2894" i="1"/>
  <c r="I2894" i="1"/>
  <c r="X2893" i="1"/>
  <c r="Z2893" i="1" s="1"/>
  <c r="W2893" i="1"/>
  <c r="S2893" i="1"/>
  <c r="Q2893" i="1"/>
  <c r="N2893" i="1"/>
  <c r="L2893" i="1"/>
  <c r="K2893" i="1"/>
  <c r="M2893" i="1" s="1"/>
  <c r="R2893" i="1" s="1"/>
  <c r="AB2893" i="1"/>
  <c r="I2893" i="1"/>
  <c r="X2892" i="1"/>
  <c r="Z2892" i="1" s="1"/>
  <c r="W2892" i="1"/>
  <c r="S2892" i="1"/>
  <c r="Q2892" i="1"/>
  <c r="N2892" i="1"/>
  <c r="L2892" i="1"/>
  <c r="K2892" i="1"/>
  <c r="AB2892" i="1"/>
  <c r="I2892" i="1"/>
  <c r="X2891" i="1"/>
  <c r="Z2891" i="1" s="1"/>
  <c r="W2891" i="1"/>
  <c r="S2891" i="1"/>
  <c r="Q2891" i="1"/>
  <c r="N2891" i="1"/>
  <c r="L2891" i="1"/>
  <c r="K2891" i="1"/>
  <c r="AB2891" i="1"/>
  <c r="I2891" i="1"/>
  <c r="X2890" i="1"/>
  <c r="Z2890" i="1" s="1"/>
  <c r="W2890" i="1"/>
  <c r="S2890" i="1"/>
  <c r="Q2890" i="1"/>
  <c r="N2890" i="1"/>
  <c r="L2890" i="1"/>
  <c r="K2890" i="1"/>
  <c r="AB2890" i="1"/>
  <c r="I2890" i="1"/>
  <c r="X2889" i="1"/>
  <c r="Z2889" i="1" s="1"/>
  <c r="W2889" i="1"/>
  <c r="S2889" i="1"/>
  <c r="Q2889" i="1"/>
  <c r="N2889" i="1"/>
  <c r="L2889" i="1"/>
  <c r="Y2889" i="1" s="1"/>
  <c r="K2889" i="1"/>
  <c r="AB2889" i="1"/>
  <c r="AC2889" i="1" s="1"/>
  <c r="I2889" i="1"/>
  <c r="X2888" i="1"/>
  <c r="Z2888" i="1" s="1"/>
  <c r="W2888" i="1"/>
  <c r="S2888" i="1"/>
  <c r="Q2888" i="1"/>
  <c r="N2888" i="1"/>
  <c r="L2888" i="1"/>
  <c r="K2888" i="1"/>
  <c r="AB2888" i="1"/>
  <c r="I2888" i="1"/>
  <c r="X2887" i="1"/>
  <c r="Z2887" i="1" s="1"/>
  <c r="W2887" i="1"/>
  <c r="S2887" i="1"/>
  <c r="Q2887" i="1"/>
  <c r="N2887" i="1"/>
  <c r="L2887" i="1"/>
  <c r="K2887" i="1"/>
  <c r="AB2887" i="1"/>
  <c r="I2887" i="1"/>
  <c r="X2886" i="1"/>
  <c r="Z2886" i="1" s="1"/>
  <c r="W2886" i="1"/>
  <c r="S2886" i="1"/>
  <c r="Q2886" i="1"/>
  <c r="N2886" i="1"/>
  <c r="L2886" i="1"/>
  <c r="K2886" i="1"/>
  <c r="AB2886" i="1"/>
  <c r="I2886" i="1"/>
  <c r="X2885" i="1"/>
  <c r="Z2885" i="1" s="1"/>
  <c r="W2885" i="1"/>
  <c r="S2885" i="1"/>
  <c r="Q2885" i="1"/>
  <c r="N2885" i="1"/>
  <c r="L2885" i="1"/>
  <c r="Y2885" i="1" s="1"/>
  <c r="K2885" i="1"/>
  <c r="AB2885" i="1"/>
  <c r="I2885" i="1"/>
  <c r="X2884" i="1"/>
  <c r="Z2884" i="1" s="1"/>
  <c r="W2884" i="1"/>
  <c r="S2884" i="1"/>
  <c r="Q2884" i="1"/>
  <c r="N2884" i="1"/>
  <c r="L2884" i="1"/>
  <c r="K2884" i="1"/>
  <c r="AB2884" i="1"/>
  <c r="I2884" i="1"/>
  <c r="X2883" i="1"/>
  <c r="Z2883" i="1" s="1"/>
  <c r="W2883" i="1"/>
  <c r="S2883" i="1"/>
  <c r="Q2883" i="1"/>
  <c r="N2883" i="1"/>
  <c r="L2883" i="1"/>
  <c r="K2883" i="1"/>
  <c r="AB2883" i="1"/>
  <c r="I2883" i="1"/>
  <c r="X2882" i="1"/>
  <c r="Z2882" i="1" s="1"/>
  <c r="W2882" i="1"/>
  <c r="S2882" i="1"/>
  <c r="Q2882" i="1"/>
  <c r="N2882" i="1"/>
  <c r="L2882" i="1"/>
  <c r="K2882" i="1"/>
  <c r="AB2882" i="1"/>
  <c r="I2882" i="1"/>
  <c r="X2881" i="1"/>
  <c r="Z2881" i="1" s="1"/>
  <c r="W2881" i="1"/>
  <c r="S2881" i="1"/>
  <c r="Q2881" i="1"/>
  <c r="N2881" i="1"/>
  <c r="L2881" i="1"/>
  <c r="K2881" i="1"/>
  <c r="AB2881" i="1"/>
  <c r="AC2881" i="1" s="1"/>
  <c r="I2881" i="1"/>
  <c r="X2880" i="1"/>
  <c r="Z2880" i="1" s="1"/>
  <c r="W2880" i="1"/>
  <c r="S2880" i="1"/>
  <c r="Q2880" i="1"/>
  <c r="N2880" i="1"/>
  <c r="L2880" i="1"/>
  <c r="K2880" i="1"/>
  <c r="AB2880" i="1"/>
  <c r="I2880" i="1"/>
  <c r="X2879" i="1"/>
  <c r="Z2879" i="1" s="1"/>
  <c r="W2879" i="1"/>
  <c r="S2879" i="1"/>
  <c r="Q2879" i="1"/>
  <c r="N2879" i="1"/>
  <c r="L2879" i="1"/>
  <c r="K2879" i="1"/>
  <c r="AB2879" i="1"/>
  <c r="I2879" i="1"/>
  <c r="X2878" i="1"/>
  <c r="Z2878" i="1" s="1"/>
  <c r="W2878" i="1"/>
  <c r="S2878" i="1"/>
  <c r="Q2878" i="1"/>
  <c r="N2878" i="1"/>
  <c r="L2878" i="1"/>
  <c r="K2878" i="1"/>
  <c r="AB2878" i="1"/>
  <c r="I2878" i="1"/>
  <c r="X2877" i="1"/>
  <c r="Z2877" i="1" s="1"/>
  <c r="W2877" i="1"/>
  <c r="S2877" i="1"/>
  <c r="Q2877" i="1"/>
  <c r="N2877" i="1"/>
  <c r="L2877" i="1"/>
  <c r="K2877" i="1"/>
  <c r="AB2877" i="1"/>
  <c r="I2877" i="1"/>
  <c r="X2876" i="1"/>
  <c r="Z2876" i="1" s="1"/>
  <c r="W2876" i="1"/>
  <c r="S2876" i="1"/>
  <c r="Q2876" i="1"/>
  <c r="N2876" i="1"/>
  <c r="L2876" i="1"/>
  <c r="K2876" i="1"/>
  <c r="AB2876" i="1"/>
  <c r="I2876" i="1"/>
  <c r="X2875" i="1"/>
  <c r="Z2875" i="1" s="1"/>
  <c r="W2875" i="1"/>
  <c r="S2875" i="1"/>
  <c r="Q2875" i="1"/>
  <c r="N2875" i="1"/>
  <c r="L2875" i="1"/>
  <c r="K2875" i="1"/>
  <c r="AB2875" i="1"/>
  <c r="I2875" i="1"/>
  <c r="X2874" i="1"/>
  <c r="Z2874" i="1" s="1"/>
  <c r="W2874" i="1"/>
  <c r="S2874" i="1"/>
  <c r="Q2874" i="1"/>
  <c r="N2874" i="1"/>
  <c r="L2874" i="1"/>
  <c r="K2874" i="1"/>
  <c r="AB2874" i="1"/>
  <c r="I2874" i="1"/>
  <c r="X2873" i="1"/>
  <c r="Z2873" i="1" s="1"/>
  <c r="W2873" i="1"/>
  <c r="S2873" i="1"/>
  <c r="Q2873" i="1"/>
  <c r="N2873" i="1"/>
  <c r="L2873" i="1"/>
  <c r="Y2873" i="1" s="1"/>
  <c r="K2873" i="1"/>
  <c r="AB2873" i="1"/>
  <c r="I2873" i="1"/>
  <c r="X2872" i="1"/>
  <c r="Z2872" i="1" s="1"/>
  <c r="W2872" i="1"/>
  <c r="S2872" i="1"/>
  <c r="Q2872" i="1"/>
  <c r="N2872" i="1"/>
  <c r="L2872" i="1"/>
  <c r="K2872" i="1"/>
  <c r="AB2872" i="1"/>
  <c r="I2872" i="1"/>
  <c r="X2871" i="1"/>
  <c r="Z2871" i="1" s="1"/>
  <c r="W2871" i="1"/>
  <c r="S2871" i="1"/>
  <c r="Q2871" i="1"/>
  <c r="N2871" i="1"/>
  <c r="L2871" i="1"/>
  <c r="K2871" i="1"/>
  <c r="AB2871" i="1"/>
  <c r="I2871" i="1"/>
  <c r="X2870" i="1"/>
  <c r="Z2870" i="1" s="1"/>
  <c r="W2870" i="1"/>
  <c r="S2870" i="1"/>
  <c r="Q2870" i="1"/>
  <c r="N2870" i="1"/>
  <c r="L2870" i="1"/>
  <c r="K2870" i="1"/>
  <c r="AB2870" i="1"/>
  <c r="I2870" i="1"/>
  <c r="X2869" i="1"/>
  <c r="Z2869" i="1" s="1"/>
  <c r="W2869" i="1"/>
  <c r="S2869" i="1"/>
  <c r="Q2869" i="1"/>
  <c r="N2869" i="1"/>
  <c r="L2869" i="1"/>
  <c r="Y2869" i="1" s="1"/>
  <c r="K2869" i="1"/>
  <c r="AB2869" i="1"/>
  <c r="I2869" i="1"/>
  <c r="X2868" i="1"/>
  <c r="Z2868" i="1" s="1"/>
  <c r="W2868" i="1"/>
  <c r="S2868" i="1"/>
  <c r="Q2868" i="1"/>
  <c r="N2868" i="1"/>
  <c r="L2868" i="1"/>
  <c r="K2868" i="1"/>
  <c r="AB2868" i="1"/>
  <c r="I2868" i="1"/>
  <c r="X2867" i="1"/>
  <c r="Z2867" i="1" s="1"/>
  <c r="W2867" i="1"/>
  <c r="S2867" i="1"/>
  <c r="Q2867" i="1"/>
  <c r="N2867" i="1"/>
  <c r="L2867" i="1"/>
  <c r="K2867" i="1"/>
  <c r="AB2867" i="1"/>
  <c r="I2867" i="1"/>
  <c r="X2866" i="1"/>
  <c r="Z2866" i="1" s="1"/>
  <c r="W2866" i="1"/>
  <c r="S2866" i="1"/>
  <c r="Q2866" i="1"/>
  <c r="N2866" i="1"/>
  <c r="L2866" i="1"/>
  <c r="K2866" i="1"/>
  <c r="AB2866" i="1"/>
  <c r="I2866" i="1"/>
  <c r="X2865" i="1"/>
  <c r="Z2865" i="1" s="1"/>
  <c r="W2865" i="1"/>
  <c r="S2865" i="1"/>
  <c r="Q2865" i="1"/>
  <c r="N2865" i="1"/>
  <c r="L2865" i="1"/>
  <c r="Y2865" i="1" s="1"/>
  <c r="K2865" i="1"/>
  <c r="AB2865" i="1"/>
  <c r="I2865" i="1"/>
  <c r="X2864" i="1"/>
  <c r="Z2864" i="1" s="1"/>
  <c r="W2864" i="1"/>
  <c r="S2864" i="1"/>
  <c r="Q2864" i="1"/>
  <c r="N2864" i="1"/>
  <c r="L2864" i="1"/>
  <c r="K2864" i="1"/>
  <c r="AB2864" i="1"/>
  <c r="I2864" i="1"/>
  <c r="X2863" i="1"/>
  <c r="Z2863" i="1" s="1"/>
  <c r="W2863" i="1"/>
  <c r="S2863" i="1"/>
  <c r="Q2863" i="1"/>
  <c r="N2863" i="1"/>
  <c r="L2863" i="1"/>
  <c r="K2863" i="1"/>
  <c r="AB2863" i="1"/>
  <c r="I2863" i="1"/>
  <c r="X2862" i="1"/>
  <c r="Z2862" i="1" s="1"/>
  <c r="W2862" i="1"/>
  <c r="S2862" i="1"/>
  <c r="Q2862" i="1"/>
  <c r="N2862" i="1"/>
  <c r="L2862" i="1"/>
  <c r="K2862" i="1"/>
  <c r="AB2862" i="1"/>
  <c r="I2862" i="1"/>
  <c r="X2861" i="1"/>
  <c r="Z2861" i="1" s="1"/>
  <c r="W2861" i="1"/>
  <c r="S2861" i="1"/>
  <c r="Q2861" i="1"/>
  <c r="N2861" i="1"/>
  <c r="L2861" i="1"/>
  <c r="Y2861" i="1" s="1"/>
  <c r="K2861" i="1"/>
  <c r="AB2861" i="1"/>
  <c r="I2861" i="1"/>
  <c r="X2860" i="1"/>
  <c r="Z2860" i="1" s="1"/>
  <c r="W2860" i="1"/>
  <c r="S2860" i="1"/>
  <c r="Q2860" i="1"/>
  <c r="N2860" i="1"/>
  <c r="L2860" i="1"/>
  <c r="K2860" i="1"/>
  <c r="AB2860" i="1"/>
  <c r="I2860" i="1"/>
  <c r="X2859" i="1"/>
  <c r="Z2859" i="1" s="1"/>
  <c r="W2859" i="1"/>
  <c r="S2859" i="1"/>
  <c r="Q2859" i="1"/>
  <c r="N2859" i="1"/>
  <c r="L2859" i="1"/>
  <c r="K2859" i="1"/>
  <c r="AB2859" i="1"/>
  <c r="I2859" i="1"/>
  <c r="X2858" i="1"/>
  <c r="Z2858" i="1" s="1"/>
  <c r="W2858" i="1"/>
  <c r="S2858" i="1"/>
  <c r="Q2858" i="1"/>
  <c r="N2858" i="1"/>
  <c r="L2858" i="1"/>
  <c r="K2858" i="1"/>
  <c r="AB2858" i="1"/>
  <c r="I2858" i="1"/>
  <c r="X2857" i="1"/>
  <c r="Z2857" i="1" s="1"/>
  <c r="W2857" i="1"/>
  <c r="S2857" i="1"/>
  <c r="Q2857" i="1"/>
  <c r="N2857" i="1"/>
  <c r="L2857" i="1"/>
  <c r="Y2857" i="1" s="1"/>
  <c r="K2857" i="1"/>
  <c r="AB2857" i="1"/>
  <c r="I2857" i="1"/>
  <c r="X2856" i="1"/>
  <c r="Z2856" i="1" s="1"/>
  <c r="W2856" i="1"/>
  <c r="S2856" i="1"/>
  <c r="Q2856" i="1"/>
  <c r="N2856" i="1"/>
  <c r="L2856" i="1"/>
  <c r="K2856" i="1"/>
  <c r="AB2856" i="1"/>
  <c r="I2856" i="1"/>
  <c r="X2855" i="1"/>
  <c r="Z2855" i="1" s="1"/>
  <c r="W2855" i="1"/>
  <c r="S2855" i="1"/>
  <c r="Q2855" i="1"/>
  <c r="N2855" i="1"/>
  <c r="L2855" i="1"/>
  <c r="K2855" i="1"/>
  <c r="AB2855" i="1"/>
  <c r="I2855" i="1"/>
  <c r="X2854" i="1"/>
  <c r="Z2854" i="1" s="1"/>
  <c r="W2854" i="1"/>
  <c r="S2854" i="1"/>
  <c r="Q2854" i="1"/>
  <c r="N2854" i="1"/>
  <c r="L2854" i="1"/>
  <c r="K2854" i="1"/>
  <c r="AB2854" i="1"/>
  <c r="I2854" i="1"/>
  <c r="X2853" i="1"/>
  <c r="Z2853" i="1" s="1"/>
  <c r="W2853" i="1"/>
  <c r="S2853" i="1"/>
  <c r="Q2853" i="1"/>
  <c r="N2853" i="1"/>
  <c r="L2853" i="1"/>
  <c r="Y2853" i="1" s="1"/>
  <c r="K2853" i="1"/>
  <c r="AB2853" i="1"/>
  <c r="I2853" i="1"/>
  <c r="X2852" i="1"/>
  <c r="Z2852" i="1" s="1"/>
  <c r="W2852" i="1"/>
  <c r="S2852" i="1"/>
  <c r="Q2852" i="1"/>
  <c r="N2852" i="1"/>
  <c r="L2852" i="1"/>
  <c r="K2852" i="1"/>
  <c r="AB2852" i="1"/>
  <c r="I2852" i="1"/>
  <c r="X2851" i="1"/>
  <c r="Z2851" i="1" s="1"/>
  <c r="W2851" i="1"/>
  <c r="S2851" i="1"/>
  <c r="Q2851" i="1"/>
  <c r="N2851" i="1"/>
  <c r="L2851" i="1"/>
  <c r="K2851" i="1"/>
  <c r="AB2851" i="1"/>
  <c r="I2851" i="1"/>
  <c r="X2850" i="1"/>
  <c r="Z2850" i="1" s="1"/>
  <c r="W2850" i="1"/>
  <c r="S2850" i="1"/>
  <c r="Q2850" i="1"/>
  <c r="N2850" i="1"/>
  <c r="L2850" i="1"/>
  <c r="K2850" i="1"/>
  <c r="AB2850" i="1"/>
  <c r="I2850" i="1"/>
  <c r="X2849" i="1"/>
  <c r="Z2849" i="1" s="1"/>
  <c r="W2849" i="1"/>
  <c r="S2849" i="1"/>
  <c r="Q2849" i="1"/>
  <c r="N2849" i="1"/>
  <c r="L2849" i="1"/>
  <c r="Y2849" i="1" s="1"/>
  <c r="K2849" i="1"/>
  <c r="AB2849" i="1"/>
  <c r="I2849" i="1"/>
  <c r="X2848" i="1"/>
  <c r="Z2848" i="1" s="1"/>
  <c r="W2848" i="1"/>
  <c r="S2848" i="1"/>
  <c r="Q2848" i="1"/>
  <c r="N2848" i="1"/>
  <c r="L2848" i="1"/>
  <c r="K2848" i="1"/>
  <c r="AB2848" i="1"/>
  <c r="I2848" i="1"/>
  <c r="X2847" i="1"/>
  <c r="Z2847" i="1" s="1"/>
  <c r="W2847" i="1"/>
  <c r="S2847" i="1"/>
  <c r="Q2847" i="1"/>
  <c r="N2847" i="1"/>
  <c r="L2847" i="1"/>
  <c r="K2847" i="1"/>
  <c r="AB2847" i="1"/>
  <c r="I2847" i="1"/>
  <c r="X2846" i="1"/>
  <c r="Z2846" i="1" s="1"/>
  <c r="W2846" i="1"/>
  <c r="S2846" i="1"/>
  <c r="Q2846" i="1"/>
  <c r="N2846" i="1"/>
  <c r="L2846" i="1"/>
  <c r="K2846" i="1"/>
  <c r="AB2846" i="1"/>
  <c r="I2846" i="1"/>
  <c r="X2845" i="1"/>
  <c r="Z2845" i="1" s="1"/>
  <c r="W2845" i="1"/>
  <c r="S2845" i="1"/>
  <c r="Q2845" i="1"/>
  <c r="N2845" i="1"/>
  <c r="L2845" i="1"/>
  <c r="Y2845" i="1" s="1"/>
  <c r="K2845" i="1"/>
  <c r="AB2845" i="1"/>
  <c r="I2845" i="1"/>
  <c r="X2844" i="1"/>
  <c r="Z2844" i="1" s="1"/>
  <c r="W2844" i="1"/>
  <c r="S2844" i="1"/>
  <c r="Q2844" i="1"/>
  <c r="N2844" i="1"/>
  <c r="L2844" i="1"/>
  <c r="K2844" i="1"/>
  <c r="AB2844" i="1"/>
  <c r="I2844" i="1"/>
  <c r="X2843" i="1"/>
  <c r="Z2843" i="1" s="1"/>
  <c r="W2843" i="1"/>
  <c r="S2843" i="1"/>
  <c r="Q2843" i="1"/>
  <c r="N2843" i="1"/>
  <c r="L2843" i="1"/>
  <c r="K2843" i="1"/>
  <c r="AB2843" i="1"/>
  <c r="I2843" i="1"/>
  <c r="X2842" i="1"/>
  <c r="Z2842" i="1" s="1"/>
  <c r="W2842" i="1"/>
  <c r="S2842" i="1"/>
  <c r="Q2842" i="1"/>
  <c r="N2842" i="1"/>
  <c r="L2842" i="1"/>
  <c r="K2842" i="1"/>
  <c r="AB2842" i="1"/>
  <c r="I2842" i="1"/>
  <c r="X2841" i="1"/>
  <c r="Z2841" i="1" s="1"/>
  <c r="W2841" i="1"/>
  <c r="S2841" i="1"/>
  <c r="Q2841" i="1"/>
  <c r="N2841" i="1"/>
  <c r="L2841" i="1"/>
  <c r="Y2841" i="1" s="1"/>
  <c r="K2841" i="1"/>
  <c r="AB2841" i="1"/>
  <c r="I2841" i="1"/>
  <c r="X2840" i="1"/>
  <c r="Z2840" i="1" s="1"/>
  <c r="W2840" i="1"/>
  <c r="S2840" i="1"/>
  <c r="Q2840" i="1"/>
  <c r="N2840" i="1"/>
  <c r="L2840" i="1"/>
  <c r="K2840" i="1"/>
  <c r="AB2840" i="1"/>
  <c r="I2840" i="1"/>
  <c r="X2839" i="1"/>
  <c r="Z2839" i="1" s="1"/>
  <c r="W2839" i="1"/>
  <c r="S2839" i="1"/>
  <c r="Q2839" i="1"/>
  <c r="N2839" i="1"/>
  <c r="L2839" i="1"/>
  <c r="K2839" i="1"/>
  <c r="AB2839" i="1"/>
  <c r="I2839" i="1"/>
  <c r="X2838" i="1"/>
  <c r="Z2838" i="1" s="1"/>
  <c r="W2838" i="1"/>
  <c r="S2838" i="1"/>
  <c r="Q2838" i="1"/>
  <c r="N2838" i="1"/>
  <c r="L2838" i="1"/>
  <c r="K2838" i="1"/>
  <c r="AB2838" i="1"/>
  <c r="I2838" i="1"/>
  <c r="X2837" i="1"/>
  <c r="Z2837" i="1" s="1"/>
  <c r="W2837" i="1"/>
  <c r="S2837" i="1"/>
  <c r="Q2837" i="1"/>
  <c r="N2837" i="1"/>
  <c r="L2837" i="1"/>
  <c r="Y2837" i="1" s="1"/>
  <c r="K2837" i="1"/>
  <c r="AB2837" i="1"/>
  <c r="I2837" i="1"/>
  <c r="X2836" i="1"/>
  <c r="Z2836" i="1" s="1"/>
  <c r="W2836" i="1"/>
  <c r="S2836" i="1"/>
  <c r="Q2836" i="1"/>
  <c r="N2836" i="1"/>
  <c r="L2836" i="1"/>
  <c r="K2836" i="1"/>
  <c r="AB2836" i="1"/>
  <c r="I2836" i="1"/>
  <c r="X2835" i="1"/>
  <c r="Z2835" i="1" s="1"/>
  <c r="W2835" i="1"/>
  <c r="S2835" i="1"/>
  <c r="Q2835" i="1"/>
  <c r="N2835" i="1"/>
  <c r="L2835" i="1"/>
  <c r="K2835" i="1"/>
  <c r="AB2835" i="1"/>
  <c r="I2835" i="1"/>
  <c r="X2834" i="1"/>
  <c r="Z2834" i="1" s="1"/>
  <c r="W2834" i="1"/>
  <c r="S2834" i="1"/>
  <c r="Q2834" i="1"/>
  <c r="N2834" i="1"/>
  <c r="L2834" i="1"/>
  <c r="K2834" i="1"/>
  <c r="AB2834" i="1"/>
  <c r="I2834" i="1"/>
  <c r="X2833" i="1"/>
  <c r="Z2833" i="1" s="1"/>
  <c r="W2833" i="1"/>
  <c r="S2833" i="1"/>
  <c r="Q2833" i="1"/>
  <c r="N2833" i="1"/>
  <c r="L2833" i="1"/>
  <c r="K2833" i="1"/>
  <c r="AB2833" i="1"/>
  <c r="AC2833" i="1" s="1"/>
  <c r="I2833" i="1"/>
  <c r="X2832" i="1"/>
  <c r="Z2832" i="1" s="1"/>
  <c r="W2832" i="1"/>
  <c r="S2832" i="1"/>
  <c r="Q2832" i="1"/>
  <c r="N2832" i="1"/>
  <c r="L2832" i="1"/>
  <c r="K2832" i="1"/>
  <c r="AB2832" i="1"/>
  <c r="I2832" i="1"/>
  <c r="X2831" i="1"/>
  <c r="Z2831" i="1" s="1"/>
  <c r="W2831" i="1"/>
  <c r="S2831" i="1"/>
  <c r="Q2831" i="1"/>
  <c r="N2831" i="1"/>
  <c r="L2831" i="1"/>
  <c r="K2831" i="1"/>
  <c r="AB2831" i="1"/>
  <c r="I2831" i="1"/>
  <c r="X2830" i="1"/>
  <c r="Z2830" i="1" s="1"/>
  <c r="W2830" i="1"/>
  <c r="S2830" i="1"/>
  <c r="Q2830" i="1"/>
  <c r="N2830" i="1"/>
  <c r="Y2830" i="1" s="1"/>
  <c r="L2830" i="1"/>
  <c r="K2830" i="1"/>
  <c r="AB2830" i="1"/>
  <c r="I2830" i="1"/>
  <c r="X2829" i="1"/>
  <c r="Z2829" i="1" s="1"/>
  <c r="W2829" i="1"/>
  <c r="S2829" i="1"/>
  <c r="Q2829" i="1"/>
  <c r="N2829" i="1"/>
  <c r="L2829" i="1"/>
  <c r="Y2829" i="1" s="1"/>
  <c r="K2829" i="1"/>
  <c r="AB2829" i="1"/>
  <c r="I2829" i="1"/>
  <c r="X2828" i="1"/>
  <c r="Z2828" i="1" s="1"/>
  <c r="W2828" i="1"/>
  <c r="S2828" i="1"/>
  <c r="Q2828" i="1"/>
  <c r="N2828" i="1"/>
  <c r="L2828" i="1"/>
  <c r="K2828" i="1"/>
  <c r="AB2828" i="1"/>
  <c r="I2828" i="1"/>
  <c r="X2827" i="1"/>
  <c r="Z2827" i="1" s="1"/>
  <c r="W2827" i="1"/>
  <c r="S2827" i="1"/>
  <c r="Q2827" i="1"/>
  <c r="N2827" i="1"/>
  <c r="L2827" i="1"/>
  <c r="K2827" i="1"/>
  <c r="AB2827" i="1"/>
  <c r="I2827" i="1"/>
  <c r="X2826" i="1"/>
  <c r="Z2826" i="1" s="1"/>
  <c r="W2826" i="1"/>
  <c r="S2826" i="1"/>
  <c r="Q2826" i="1"/>
  <c r="N2826" i="1"/>
  <c r="L2826" i="1"/>
  <c r="K2826" i="1"/>
  <c r="AB2826" i="1"/>
  <c r="I2826" i="1"/>
  <c r="X2825" i="1"/>
  <c r="Z2825" i="1" s="1"/>
  <c r="W2825" i="1"/>
  <c r="S2825" i="1"/>
  <c r="Q2825" i="1"/>
  <c r="N2825" i="1"/>
  <c r="L2825" i="1"/>
  <c r="K2825" i="1"/>
  <c r="AB2825" i="1"/>
  <c r="AC2825" i="1" s="1"/>
  <c r="I2825" i="1"/>
  <c r="X2824" i="1"/>
  <c r="Z2824" i="1" s="1"/>
  <c r="W2824" i="1"/>
  <c r="S2824" i="1"/>
  <c r="Q2824" i="1"/>
  <c r="N2824" i="1"/>
  <c r="L2824" i="1"/>
  <c r="K2824" i="1"/>
  <c r="AB2824" i="1"/>
  <c r="I2824" i="1"/>
  <c r="X2823" i="1"/>
  <c r="Z2823" i="1" s="1"/>
  <c r="W2823" i="1"/>
  <c r="S2823" i="1"/>
  <c r="Q2823" i="1"/>
  <c r="N2823" i="1"/>
  <c r="L2823" i="1"/>
  <c r="K2823" i="1"/>
  <c r="AB2823" i="1"/>
  <c r="I2823" i="1"/>
  <c r="X2822" i="1"/>
  <c r="Z2822" i="1" s="1"/>
  <c r="W2822" i="1"/>
  <c r="S2822" i="1"/>
  <c r="Q2822" i="1"/>
  <c r="N2822" i="1"/>
  <c r="L2822" i="1"/>
  <c r="K2822" i="1"/>
  <c r="AB2822" i="1"/>
  <c r="I2822" i="1"/>
  <c r="X2821" i="1"/>
  <c r="Z2821" i="1" s="1"/>
  <c r="W2821" i="1"/>
  <c r="S2821" i="1"/>
  <c r="Q2821" i="1"/>
  <c r="N2821" i="1"/>
  <c r="L2821" i="1"/>
  <c r="K2821" i="1"/>
  <c r="AB2821" i="1"/>
  <c r="I2821" i="1"/>
  <c r="X2820" i="1"/>
  <c r="Z2820" i="1" s="1"/>
  <c r="W2820" i="1"/>
  <c r="S2820" i="1"/>
  <c r="Q2820" i="1"/>
  <c r="N2820" i="1"/>
  <c r="L2820" i="1"/>
  <c r="K2820" i="1"/>
  <c r="AB2820" i="1"/>
  <c r="I2820" i="1"/>
  <c r="X2819" i="1"/>
  <c r="Z2819" i="1" s="1"/>
  <c r="W2819" i="1"/>
  <c r="S2819" i="1"/>
  <c r="Q2819" i="1"/>
  <c r="N2819" i="1"/>
  <c r="L2819" i="1"/>
  <c r="K2819" i="1"/>
  <c r="AB2819" i="1"/>
  <c r="I2819" i="1"/>
  <c r="X2818" i="1"/>
  <c r="Z2818" i="1" s="1"/>
  <c r="W2818" i="1"/>
  <c r="S2818" i="1"/>
  <c r="Q2818" i="1"/>
  <c r="N2818" i="1"/>
  <c r="L2818" i="1"/>
  <c r="K2818" i="1"/>
  <c r="AB2818" i="1"/>
  <c r="I2818" i="1"/>
  <c r="X2817" i="1"/>
  <c r="Z2817" i="1" s="1"/>
  <c r="W2817" i="1"/>
  <c r="S2817" i="1"/>
  <c r="Q2817" i="1"/>
  <c r="N2817" i="1"/>
  <c r="L2817" i="1"/>
  <c r="K2817" i="1"/>
  <c r="AB2817" i="1"/>
  <c r="AC2817" i="1" s="1"/>
  <c r="I2817" i="1"/>
  <c r="X2816" i="1"/>
  <c r="Z2816" i="1" s="1"/>
  <c r="W2816" i="1"/>
  <c r="S2816" i="1"/>
  <c r="Q2816" i="1"/>
  <c r="N2816" i="1"/>
  <c r="L2816" i="1"/>
  <c r="K2816" i="1"/>
  <c r="AB2816" i="1"/>
  <c r="I2816" i="1"/>
  <c r="X2815" i="1"/>
  <c r="Z2815" i="1" s="1"/>
  <c r="W2815" i="1"/>
  <c r="S2815" i="1"/>
  <c r="Q2815" i="1"/>
  <c r="N2815" i="1"/>
  <c r="L2815" i="1"/>
  <c r="K2815" i="1"/>
  <c r="AB2815" i="1"/>
  <c r="I2815" i="1"/>
  <c r="X2814" i="1"/>
  <c r="Z2814" i="1" s="1"/>
  <c r="W2814" i="1"/>
  <c r="S2814" i="1"/>
  <c r="Q2814" i="1"/>
  <c r="N2814" i="1"/>
  <c r="L2814" i="1"/>
  <c r="K2814" i="1"/>
  <c r="AB2814" i="1"/>
  <c r="I2814" i="1"/>
  <c r="X2813" i="1"/>
  <c r="Z2813" i="1" s="1"/>
  <c r="W2813" i="1"/>
  <c r="S2813" i="1"/>
  <c r="Q2813" i="1"/>
  <c r="N2813" i="1"/>
  <c r="L2813" i="1"/>
  <c r="K2813" i="1"/>
  <c r="AB2813" i="1"/>
  <c r="AC2813" i="1" s="1"/>
  <c r="I2813" i="1"/>
  <c r="X2812" i="1"/>
  <c r="Z2812" i="1" s="1"/>
  <c r="W2812" i="1"/>
  <c r="S2812" i="1"/>
  <c r="Q2812" i="1"/>
  <c r="N2812" i="1"/>
  <c r="L2812" i="1"/>
  <c r="K2812" i="1"/>
  <c r="AB2812" i="1"/>
  <c r="I2812" i="1"/>
  <c r="X2811" i="1"/>
  <c r="Z2811" i="1" s="1"/>
  <c r="W2811" i="1"/>
  <c r="S2811" i="1"/>
  <c r="Q2811" i="1"/>
  <c r="N2811" i="1"/>
  <c r="L2811" i="1"/>
  <c r="K2811" i="1"/>
  <c r="AB2811" i="1"/>
  <c r="I2811" i="1"/>
  <c r="X2810" i="1"/>
  <c r="Z2810" i="1" s="1"/>
  <c r="W2810" i="1"/>
  <c r="S2810" i="1"/>
  <c r="Q2810" i="1"/>
  <c r="N2810" i="1"/>
  <c r="L2810" i="1"/>
  <c r="K2810" i="1"/>
  <c r="AB2810" i="1"/>
  <c r="I2810" i="1"/>
  <c r="X2809" i="1"/>
  <c r="Z2809" i="1" s="1"/>
  <c r="W2809" i="1"/>
  <c r="S2809" i="1"/>
  <c r="Q2809" i="1"/>
  <c r="N2809" i="1"/>
  <c r="L2809" i="1"/>
  <c r="K2809" i="1"/>
  <c r="AB2809" i="1"/>
  <c r="AC2809" i="1" s="1"/>
  <c r="I2809" i="1"/>
  <c r="X2808" i="1"/>
  <c r="Z2808" i="1" s="1"/>
  <c r="W2808" i="1"/>
  <c r="S2808" i="1"/>
  <c r="Q2808" i="1"/>
  <c r="N2808" i="1"/>
  <c r="L2808" i="1"/>
  <c r="K2808" i="1"/>
  <c r="AB2808" i="1"/>
  <c r="I2808" i="1"/>
  <c r="X2807" i="1"/>
  <c r="Z2807" i="1" s="1"/>
  <c r="W2807" i="1"/>
  <c r="S2807" i="1"/>
  <c r="Q2807" i="1"/>
  <c r="N2807" i="1"/>
  <c r="L2807" i="1"/>
  <c r="K2807" i="1"/>
  <c r="AB2807" i="1"/>
  <c r="I2807" i="1"/>
  <c r="X2806" i="1"/>
  <c r="Z2806" i="1" s="1"/>
  <c r="W2806" i="1"/>
  <c r="S2806" i="1"/>
  <c r="Q2806" i="1"/>
  <c r="N2806" i="1"/>
  <c r="L2806" i="1"/>
  <c r="K2806" i="1"/>
  <c r="AB2806" i="1"/>
  <c r="I2806" i="1"/>
  <c r="X2805" i="1"/>
  <c r="Z2805" i="1" s="1"/>
  <c r="W2805" i="1"/>
  <c r="S2805" i="1"/>
  <c r="Q2805" i="1"/>
  <c r="N2805" i="1"/>
  <c r="L2805" i="1"/>
  <c r="K2805" i="1"/>
  <c r="AB2805" i="1"/>
  <c r="AC2805" i="1" s="1"/>
  <c r="I2805" i="1"/>
  <c r="X2804" i="1"/>
  <c r="Z2804" i="1" s="1"/>
  <c r="W2804" i="1"/>
  <c r="S2804" i="1"/>
  <c r="Q2804" i="1"/>
  <c r="N2804" i="1"/>
  <c r="L2804" i="1"/>
  <c r="K2804" i="1"/>
  <c r="AB2804" i="1"/>
  <c r="I2804" i="1"/>
  <c r="X2803" i="1"/>
  <c r="Z2803" i="1" s="1"/>
  <c r="W2803" i="1"/>
  <c r="S2803" i="1"/>
  <c r="Q2803" i="1"/>
  <c r="N2803" i="1"/>
  <c r="L2803" i="1"/>
  <c r="K2803" i="1"/>
  <c r="AB2803" i="1"/>
  <c r="I2803" i="1"/>
  <c r="X2802" i="1"/>
  <c r="Z2802" i="1" s="1"/>
  <c r="W2802" i="1"/>
  <c r="S2802" i="1"/>
  <c r="Q2802" i="1"/>
  <c r="N2802" i="1"/>
  <c r="L2802" i="1"/>
  <c r="K2802" i="1"/>
  <c r="AB2802" i="1"/>
  <c r="I2802" i="1"/>
  <c r="X2801" i="1"/>
  <c r="Z2801" i="1" s="1"/>
  <c r="W2801" i="1"/>
  <c r="S2801" i="1"/>
  <c r="Q2801" i="1"/>
  <c r="N2801" i="1"/>
  <c r="L2801" i="1"/>
  <c r="K2801" i="1"/>
  <c r="AB2801" i="1"/>
  <c r="AC2801" i="1" s="1"/>
  <c r="I2801" i="1"/>
  <c r="X2800" i="1"/>
  <c r="Z2800" i="1" s="1"/>
  <c r="W2800" i="1"/>
  <c r="S2800" i="1"/>
  <c r="Q2800" i="1"/>
  <c r="N2800" i="1"/>
  <c r="L2800" i="1"/>
  <c r="K2800" i="1"/>
  <c r="AB2800" i="1"/>
  <c r="I2800" i="1"/>
  <c r="X2799" i="1"/>
  <c r="Z2799" i="1" s="1"/>
  <c r="W2799" i="1"/>
  <c r="S2799" i="1"/>
  <c r="Q2799" i="1"/>
  <c r="N2799" i="1"/>
  <c r="L2799" i="1"/>
  <c r="K2799" i="1"/>
  <c r="AB2799" i="1"/>
  <c r="I2799" i="1"/>
  <c r="X2798" i="1"/>
  <c r="Z2798" i="1" s="1"/>
  <c r="W2798" i="1"/>
  <c r="S2798" i="1"/>
  <c r="Q2798" i="1"/>
  <c r="N2798" i="1"/>
  <c r="L2798" i="1"/>
  <c r="K2798" i="1"/>
  <c r="AB2798" i="1"/>
  <c r="I2798" i="1"/>
  <c r="X2797" i="1"/>
  <c r="Z2797" i="1" s="1"/>
  <c r="W2797" i="1"/>
  <c r="S2797" i="1"/>
  <c r="Q2797" i="1"/>
  <c r="N2797" i="1"/>
  <c r="L2797" i="1"/>
  <c r="Y2797" i="1" s="1"/>
  <c r="K2797" i="1"/>
  <c r="AB2797" i="1"/>
  <c r="I2797" i="1"/>
  <c r="X2796" i="1"/>
  <c r="Z2796" i="1" s="1"/>
  <c r="W2796" i="1"/>
  <c r="S2796" i="1"/>
  <c r="Q2796" i="1"/>
  <c r="N2796" i="1"/>
  <c r="L2796" i="1"/>
  <c r="K2796" i="1"/>
  <c r="AB2796" i="1"/>
  <c r="I2796" i="1"/>
  <c r="X2795" i="1"/>
  <c r="Z2795" i="1" s="1"/>
  <c r="W2795" i="1"/>
  <c r="S2795" i="1"/>
  <c r="Q2795" i="1"/>
  <c r="N2795" i="1"/>
  <c r="L2795" i="1"/>
  <c r="K2795" i="1"/>
  <c r="AB2795" i="1"/>
  <c r="I2795" i="1"/>
  <c r="X2794" i="1"/>
  <c r="Z2794" i="1" s="1"/>
  <c r="W2794" i="1"/>
  <c r="S2794" i="1"/>
  <c r="Q2794" i="1"/>
  <c r="N2794" i="1"/>
  <c r="L2794" i="1"/>
  <c r="K2794" i="1"/>
  <c r="AB2794" i="1"/>
  <c r="I2794" i="1"/>
  <c r="X2793" i="1"/>
  <c r="Z2793" i="1" s="1"/>
  <c r="W2793" i="1"/>
  <c r="S2793" i="1"/>
  <c r="Q2793" i="1"/>
  <c r="N2793" i="1"/>
  <c r="L2793" i="1"/>
  <c r="K2793" i="1"/>
  <c r="AB2793" i="1"/>
  <c r="AC2793" i="1" s="1"/>
  <c r="I2793" i="1"/>
  <c r="X2792" i="1"/>
  <c r="Z2792" i="1" s="1"/>
  <c r="W2792" i="1"/>
  <c r="S2792" i="1"/>
  <c r="Q2792" i="1"/>
  <c r="N2792" i="1"/>
  <c r="L2792" i="1"/>
  <c r="K2792" i="1"/>
  <c r="AB2792" i="1"/>
  <c r="I2792" i="1"/>
  <c r="X2791" i="1"/>
  <c r="Z2791" i="1" s="1"/>
  <c r="W2791" i="1"/>
  <c r="S2791" i="1"/>
  <c r="Q2791" i="1"/>
  <c r="N2791" i="1"/>
  <c r="L2791" i="1"/>
  <c r="K2791" i="1"/>
  <c r="AB2791" i="1"/>
  <c r="I2791" i="1"/>
  <c r="X2790" i="1"/>
  <c r="Z2790" i="1" s="1"/>
  <c r="W2790" i="1"/>
  <c r="S2790" i="1"/>
  <c r="Q2790" i="1"/>
  <c r="N2790" i="1"/>
  <c r="L2790" i="1"/>
  <c r="K2790" i="1"/>
  <c r="AB2790" i="1"/>
  <c r="I2790" i="1"/>
  <c r="X2789" i="1"/>
  <c r="Z2789" i="1" s="1"/>
  <c r="W2789" i="1"/>
  <c r="S2789" i="1"/>
  <c r="Q2789" i="1"/>
  <c r="N2789" i="1"/>
  <c r="L2789" i="1"/>
  <c r="K2789" i="1"/>
  <c r="AB2789" i="1"/>
  <c r="I2789" i="1"/>
  <c r="X2788" i="1"/>
  <c r="Z2788" i="1" s="1"/>
  <c r="W2788" i="1"/>
  <c r="S2788" i="1"/>
  <c r="Q2788" i="1"/>
  <c r="N2788" i="1"/>
  <c r="L2788" i="1"/>
  <c r="K2788" i="1"/>
  <c r="AB2788" i="1"/>
  <c r="I2788" i="1"/>
  <c r="X2787" i="1"/>
  <c r="Z2787" i="1" s="1"/>
  <c r="W2787" i="1"/>
  <c r="S2787" i="1"/>
  <c r="Q2787" i="1"/>
  <c r="N2787" i="1"/>
  <c r="L2787" i="1"/>
  <c r="K2787" i="1"/>
  <c r="AB2787" i="1"/>
  <c r="I2787" i="1"/>
  <c r="X2786" i="1"/>
  <c r="Z2786" i="1" s="1"/>
  <c r="W2786" i="1"/>
  <c r="S2786" i="1"/>
  <c r="Q2786" i="1"/>
  <c r="N2786" i="1"/>
  <c r="L2786" i="1"/>
  <c r="K2786" i="1"/>
  <c r="AB2786" i="1"/>
  <c r="I2786" i="1"/>
  <c r="X2785" i="1"/>
  <c r="Z2785" i="1" s="1"/>
  <c r="W2785" i="1"/>
  <c r="S2785" i="1"/>
  <c r="Q2785" i="1"/>
  <c r="N2785" i="1"/>
  <c r="L2785" i="1"/>
  <c r="Y2785" i="1" s="1"/>
  <c r="K2785" i="1"/>
  <c r="AB2785" i="1"/>
  <c r="AC2785" i="1" s="1"/>
  <c r="I2785" i="1"/>
  <c r="X2784" i="1"/>
  <c r="Z2784" i="1" s="1"/>
  <c r="W2784" i="1"/>
  <c r="S2784" i="1"/>
  <c r="Q2784" i="1"/>
  <c r="N2784" i="1"/>
  <c r="L2784" i="1"/>
  <c r="K2784" i="1"/>
  <c r="AB2784" i="1"/>
  <c r="I2784" i="1"/>
  <c r="X2783" i="1"/>
  <c r="Z2783" i="1" s="1"/>
  <c r="W2783" i="1"/>
  <c r="S2783" i="1"/>
  <c r="Q2783" i="1"/>
  <c r="N2783" i="1"/>
  <c r="L2783" i="1"/>
  <c r="K2783" i="1"/>
  <c r="AB2783" i="1"/>
  <c r="I2783" i="1"/>
  <c r="X2782" i="1"/>
  <c r="Z2782" i="1" s="1"/>
  <c r="W2782" i="1"/>
  <c r="S2782" i="1"/>
  <c r="Q2782" i="1"/>
  <c r="N2782" i="1"/>
  <c r="L2782" i="1"/>
  <c r="K2782" i="1"/>
  <c r="AB2782" i="1"/>
  <c r="I2782" i="1"/>
  <c r="X2781" i="1"/>
  <c r="Z2781" i="1" s="1"/>
  <c r="W2781" i="1"/>
  <c r="S2781" i="1"/>
  <c r="Q2781" i="1"/>
  <c r="N2781" i="1"/>
  <c r="L2781" i="1"/>
  <c r="K2781" i="1"/>
  <c r="AB2781" i="1"/>
  <c r="I2781" i="1"/>
  <c r="X2780" i="1"/>
  <c r="Z2780" i="1" s="1"/>
  <c r="W2780" i="1"/>
  <c r="S2780" i="1"/>
  <c r="Q2780" i="1"/>
  <c r="N2780" i="1"/>
  <c r="L2780" i="1"/>
  <c r="K2780" i="1"/>
  <c r="AB2780" i="1"/>
  <c r="I2780" i="1"/>
  <c r="X2779" i="1"/>
  <c r="Z2779" i="1" s="1"/>
  <c r="W2779" i="1"/>
  <c r="S2779" i="1"/>
  <c r="Q2779" i="1"/>
  <c r="N2779" i="1"/>
  <c r="L2779" i="1"/>
  <c r="K2779" i="1"/>
  <c r="AB2779" i="1"/>
  <c r="I2779" i="1"/>
  <c r="X2778" i="1"/>
  <c r="Z2778" i="1" s="1"/>
  <c r="W2778" i="1"/>
  <c r="S2778" i="1"/>
  <c r="Q2778" i="1"/>
  <c r="N2778" i="1"/>
  <c r="L2778" i="1"/>
  <c r="K2778" i="1"/>
  <c r="AB2778" i="1"/>
  <c r="I2778" i="1"/>
  <c r="X2777" i="1"/>
  <c r="Z2777" i="1" s="1"/>
  <c r="W2777" i="1"/>
  <c r="S2777" i="1"/>
  <c r="Q2777" i="1"/>
  <c r="N2777" i="1"/>
  <c r="L2777" i="1"/>
  <c r="K2777" i="1"/>
  <c r="AB2777" i="1"/>
  <c r="I2777" i="1"/>
  <c r="X2776" i="1"/>
  <c r="Z2776" i="1" s="1"/>
  <c r="W2776" i="1"/>
  <c r="S2776" i="1"/>
  <c r="Q2776" i="1"/>
  <c r="N2776" i="1"/>
  <c r="L2776" i="1"/>
  <c r="K2776" i="1"/>
  <c r="AB2776" i="1"/>
  <c r="I2776" i="1"/>
  <c r="X2775" i="1"/>
  <c r="Z2775" i="1" s="1"/>
  <c r="W2775" i="1"/>
  <c r="S2775" i="1"/>
  <c r="Q2775" i="1"/>
  <c r="N2775" i="1"/>
  <c r="L2775" i="1"/>
  <c r="K2775" i="1"/>
  <c r="AB2775" i="1"/>
  <c r="I2775" i="1"/>
  <c r="X2774" i="1"/>
  <c r="Z2774" i="1" s="1"/>
  <c r="W2774" i="1"/>
  <c r="S2774" i="1"/>
  <c r="Q2774" i="1"/>
  <c r="N2774" i="1"/>
  <c r="L2774" i="1"/>
  <c r="K2774" i="1"/>
  <c r="AB2774" i="1"/>
  <c r="I2774" i="1"/>
  <c r="X2773" i="1"/>
  <c r="Z2773" i="1" s="1"/>
  <c r="W2773" i="1"/>
  <c r="S2773" i="1"/>
  <c r="Q2773" i="1"/>
  <c r="N2773" i="1"/>
  <c r="L2773" i="1"/>
  <c r="K2773" i="1"/>
  <c r="AB2773" i="1"/>
  <c r="I2773" i="1"/>
  <c r="X2772" i="1"/>
  <c r="Z2772" i="1" s="1"/>
  <c r="W2772" i="1"/>
  <c r="S2772" i="1"/>
  <c r="Q2772" i="1"/>
  <c r="N2772" i="1"/>
  <c r="L2772" i="1"/>
  <c r="K2772" i="1"/>
  <c r="AB2772" i="1"/>
  <c r="I2772" i="1"/>
  <c r="X2771" i="1"/>
  <c r="Z2771" i="1" s="1"/>
  <c r="W2771" i="1"/>
  <c r="S2771" i="1"/>
  <c r="Q2771" i="1"/>
  <c r="N2771" i="1"/>
  <c r="L2771" i="1"/>
  <c r="K2771" i="1"/>
  <c r="AB2771" i="1"/>
  <c r="I2771" i="1"/>
  <c r="X2770" i="1"/>
  <c r="Z2770" i="1" s="1"/>
  <c r="W2770" i="1"/>
  <c r="S2770" i="1"/>
  <c r="Q2770" i="1"/>
  <c r="N2770" i="1"/>
  <c r="L2770" i="1"/>
  <c r="K2770" i="1"/>
  <c r="AB2770" i="1"/>
  <c r="I2770" i="1"/>
  <c r="X2769" i="1"/>
  <c r="Z2769" i="1" s="1"/>
  <c r="W2769" i="1"/>
  <c r="S2769" i="1"/>
  <c r="Q2769" i="1"/>
  <c r="N2769" i="1"/>
  <c r="L2769" i="1"/>
  <c r="K2769" i="1"/>
  <c r="AB2769" i="1"/>
  <c r="I2769" i="1"/>
  <c r="X2768" i="1"/>
  <c r="Z2768" i="1" s="1"/>
  <c r="W2768" i="1"/>
  <c r="S2768" i="1"/>
  <c r="Q2768" i="1"/>
  <c r="N2768" i="1"/>
  <c r="L2768" i="1"/>
  <c r="K2768" i="1"/>
  <c r="AB2768" i="1"/>
  <c r="I2768" i="1"/>
  <c r="X2767" i="1"/>
  <c r="Z2767" i="1" s="1"/>
  <c r="W2767" i="1"/>
  <c r="S2767" i="1"/>
  <c r="Q2767" i="1"/>
  <c r="N2767" i="1"/>
  <c r="L2767" i="1"/>
  <c r="K2767" i="1"/>
  <c r="AB2767" i="1"/>
  <c r="I2767" i="1"/>
  <c r="X2766" i="1"/>
  <c r="Z2766" i="1" s="1"/>
  <c r="W2766" i="1"/>
  <c r="S2766" i="1"/>
  <c r="Q2766" i="1"/>
  <c r="N2766" i="1"/>
  <c r="L2766" i="1"/>
  <c r="K2766" i="1"/>
  <c r="AB2766" i="1"/>
  <c r="I2766" i="1"/>
  <c r="X2765" i="1"/>
  <c r="Z2765" i="1" s="1"/>
  <c r="W2765" i="1"/>
  <c r="S2765" i="1"/>
  <c r="Q2765" i="1"/>
  <c r="N2765" i="1"/>
  <c r="L2765" i="1"/>
  <c r="K2765" i="1"/>
  <c r="AB2765" i="1"/>
  <c r="I2765" i="1"/>
  <c r="X2764" i="1"/>
  <c r="Z2764" i="1" s="1"/>
  <c r="W2764" i="1"/>
  <c r="S2764" i="1"/>
  <c r="Q2764" i="1"/>
  <c r="N2764" i="1"/>
  <c r="L2764" i="1"/>
  <c r="K2764" i="1"/>
  <c r="AB2764" i="1"/>
  <c r="I2764" i="1"/>
  <c r="X2763" i="1"/>
  <c r="Z2763" i="1" s="1"/>
  <c r="W2763" i="1"/>
  <c r="S2763" i="1"/>
  <c r="Q2763" i="1"/>
  <c r="N2763" i="1"/>
  <c r="L2763" i="1"/>
  <c r="K2763" i="1"/>
  <c r="AB2763" i="1"/>
  <c r="I2763" i="1"/>
  <c r="X2762" i="1"/>
  <c r="Z2762" i="1" s="1"/>
  <c r="W2762" i="1"/>
  <c r="S2762" i="1"/>
  <c r="Q2762" i="1"/>
  <c r="N2762" i="1"/>
  <c r="L2762" i="1"/>
  <c r="K2762" i="1"/>
  <c r="AB2762" i="1"/>
  <c r="I2762" i="1"/>
  <c r="X2761" i="1"/>
  <c r="Z2761" i="1" s="1"/>
  <c r="W2761" i="1"/>
  <c r="S2761" i="1"/>
  <c r="Q2761" i="1"/>
  <c r="N2761" i="1"/>
  <c r="L2761" i="1"/>
  <c r="K2761" i="1"/>
  <c r="AB2761" i="1"/>
  <c r="I2761" i="1"/>
  <c r="X2760" i="1"/>
  <c r="Z2760" i="1" s="1"/>
  <c r="W2760" i="1"/>
  <c r="S2760" i="1"/>
  <c r="Q2760" i="1"/>
  <c r="N2760" i="1"/>
  <c r="L2760" i="1"/>
  <c r="K2760" i="1"/>
  <c r="AB2760" i="1"/>
  <c r="I2760" i="1"/>
  <c r="X2759" i="1"/>
  <c r="Z2759" i="1" s="1"/>
  <c r="W2759" i="1"/>
  <c r="S2759" i="1"/>
  <c r="Q2759" i="1"/>
  <c r="N2759" i="1"/>
  <c r="L2759" i="1"/>
  <c r="K2759" i="1"/>
  <c r="AB2759" i="1"/>
  <c r="I2759" i="1"/>
  <c r="X2758" i="1"/>
  <c r="Z2758" i="1" s="1"/>
  <c r="W2758" i="1"/>
  <c r="S2758" i="1"/>
  <c r="Q2758" i="1"/>
  <c r="N2758" i="1"/>
  <c r="L2758" i="1"/>
  <c r="K2758" i="1"/>
  <c r="AB2758" i="1"/>
  <c r="I2758" i="1"/>
  <c r="X2757" i="1"/>
  <c r="Z2757" i="1" s="1"/>
  <c r="W2757" i="1"/>
  <c r="S2757" i="1"/>
  <c r="Q2757" i="1"/>
  <c r="N2757" i="1"/>
  <c r="L2757" i="1"/>
  <c r="K2757" i="1"/>
  <c r="AB2757" i="1"/>
  <c r="I2757" i="1"/>
  <c r="X2756" i="1"/>
  <c r="Z2756" i="1" s="1"/>
  <c r="W2756" i="1"/>
  <c r="S2756" i="1"/>
  <c r="Q2756" i="1"/>
  <c r="N2756" i="1"/>
  <c r="L2756" i="1"/>
  <c r="K2756" i="1"/>
  <c r="AB2756" i="1"/>
  <c r="I2756" i="1"/>
  <c r="X2755" i="1"/>
  <c r="Z2755" i="1" s="1"/>
  <c r="W2755" i="1"/>
  <c r="S2755" i="1"/>
  <c r="Q2755" i="1"/>
  <c r="N2755" i="1"/>
  <c r="L2755" i="1"/>
  <c r="K2755" i="1"/>
  <c r="AB2755" i="1"/>
  <c r="I2755" i="1"/>
  <c r="X2754" i="1"/>
  <c r="Z2754" i="1" s="1"/>
  <c r="W2754" i="1"/>
  <c r="S2754" i="1"/>
  <c r="Q2754" i="1"/>
  <c r="N2754" i="1"/>
  <c r="L2754" i="1"/>
  <c r="K2754" i="1"/>
  <c r="AB2754" i="1"/>
  <c r="I2754" i="1"/>
  <c r="X2753" i="1"/>
  <c r="Z2753" i="1" s="1"/>
  <c r="W2753" i="1"/>
  <c r="S2753" i="1"/>
  <c r="Q2753" i="1"/>
  <c r="N2753" i="1"/>
  <c r="L2753" i="1"/>
  <c r="K2753" i="1"/>
  <c r="AB2753" i="1"/>
  <c r="I2753" i="1"/>
  <c r="X2752" i="1"/>
  <c r="Z2752" i="1" s="1"/>
  <c r="W2752" i="1"/>
  <c r="S2752" i="1"/>
  <c r="Q2752" i="1"/>
  <c r="N2752" i="1"/>
  <c r="L2752" i="1"/>
  <c r="K2752" i="1"/>
  <c r="AB2752" i="1"/>
  <c r="I2752" i="1"/>
  <c r="X2751" i="1"/>
  <c r="Z2751" i="1" s="1"/>
  <c r="W2751" i="1"/>
  <c r="S2751" i="1"/>
  <c r="Q2751" i="1"/>
  <c r="N2751" i="1"/>
  <c r="L2751" i="1"/>
  <c r="K2751" i="1"/>
  <c r="AB2751" i="1"/>
  <c r="I2751" i="1"/>
  <c r="X2750" i="1"/>
  <c r="Z2750" i="1" s="1"/>
  <c r="W2750" i="1"/>
  <c r="S2750" i="1"/>
  <c r="Q2750" i="1"/>
  <c r="N2750" i="1"/>
  <c r="L2750" i="1"/>
  <c r="K2750" i="1"/>
  <c r="AB2750" i="1"/>
  <c r="I2750" i="1"/>
  <c r="X2749" i="1"/>
  <c r="Z2749" i="1" s="1"/>
  <c r="W2749" i="1"/>
  <c r="S2749" i="1"/>
  <c r="Q2749" i="1"/>
  <c r="N2749" i="1"/>
  <c r="L2749" i="1"/>
  <c r="Y2749" i="1" s="1"/>
  <c r="K2749" i="1"/>
  <c r="AB2749" i="1"/>
  <c r="I2749" i="1"/>
  <c r="X2748" i="1"/>
  <c r="Z2748" i="1" s="1"/>
  <c r="W2748" i="1"/>
  <c r="S2748" i="1"/>
  <c r="Q2748" i="1"/>
  <c r="N2748" i="1"/>
  <c r="L2748" i="1"/>
  <c r="K2748" i="1"/>
  <c r="AB2748" i="1"/>
  <c r="I2748" i="1"/>
  <c r="X2747" i="1"/>
  <c r="Z2747" i="1" s="1"/>
  <c r="W2747" i="1"/>
  <c r="S2747" i="1"/>
  <c r="Q2747" i="1"/>
  <c r="N2747" i="1"/>
  <c r="L2747" i="1"/>
  <c r="K2747" i="1"/>
  <c r="AB2747" i="1"/>
  <c r="I2747" i="1"/>
  <c r="X2746" i="1"/>
  <c r="Z2746" i="1" s="1"/>
  <c r="W2746" i="1"/>
  <c r="S2746" i="1"/>
  <c r="Q2746" i="1"/>
  <c r="N2746" i="1"/>
  <c r="L2746" i="1"/>
  <c r="K2746" i="1"/>
  <c r="AB2746" i="1"/>
  <c r="I2746" i="1"/>
  <c r="X2745" i="1"/>
  <c r="Z2745" i="1" s="1"/>
  <c r="W2745" i="1"/>
  <c r="S2745" i="1"/>
  <c r="Q2745" i="1"/>
  <c r="N2745" i="1"/>
  <c r="L2745" i="1"/>
  <c r="Y2745" i="1" s="1"/>
  <c r="K2745" i="1"/>
  <c r="AB2745" i="1"/>
  <c r="I2745" i="1"/>
  <c r="X2744" i="1"/>
  <c r="Z2744" i="1" s="1"/>
  <c r="W2744" i="1"/>
  <c r="S2744" i="1"/>
  <c r="Q2744" i="1"/>
  <c r="N2744" i="1"/>
  <c r="L2744" i="1"/>
  <c r="K2744" i="1"/>
  <c r="AB2744" i="1"/>
  <c r="I2744" i="1"/>
  <c r="X2743" i="1"/>
  <c r="Z2743" i="1" s="1"/>
  <c r="W2743" i="1"/>
  <c r="S2743" i="1"/>
  <c r="Q2743" i="1"/>
  <c r="N2743" i="1"/>
  <c r="L2743" i="1"/>
  <c r="K2743" i="1"/>
  <c r="AB2743" i="1"/>
  <c r="I2743" i="1"/>
  <c r="X2742" i="1"/>
  <c r="Z2742" i="1" s="1"/>
  <c r="W2742" i="1"/>
  <c r="S2742" i="1"/>
  <c r="Q2742" i="1"/>
  <c r="N2742" i="1"/>
  <c r="L2742" i="1"/>
  <c r="K2742" i="1"/>
  <c r="AB2742" i="1"/>
  <c r="I2742" i="1"/>
  <c r="X2741" i="1"/>
  <c r="Z2741" i="1" s="1"/>
  <c r="W2741" i="1"/>
  <c r="S2741" i="1"/>
  <c r="Q2741" i="1"/>
  <c r="N2741" i="1"/>
  <c r="L2741" i="1"/>
  <c r="Y2741" i="1" s="1"/>
  <c r="K2741" i="1"/>
  <c r="AB2741" i="1"/>
  <c r="I2741" i="1"/>
  <c r="X2740" i="1"/>
  <c r="Z2740" i="1" s="1"/>
  <c r="W2740" i="1"/>
  <c r="S2740" i="1"/>
  <c r="Q2740" i="1"/>
  <c r="N2740" i="1"/>
  <c r="L2740" i="1"/>
  <c r="K2740" i="1"/>
  <c r="AB2740" i="1"/>
  <c r="I2740" i="1"/>
  <c r="X2739" i="1"/>
  <c r="Z2739" i="1" s="1"/>
  <c r="W2739" i="1"/>
  <c r="S2739" i="1"/>
  <c r="Q2739" i="1"/>
  <c r="N2739" i="1"/>
  <c r="L2739" i="1"/>
  <c r="K2739" i="1"/>
  <c r="AB2739" i="1"/>
  <c r="I2739" i="1"/>
  <c r="X2738" i="1"/>
  <c r="Z2738" i="1" s="1"/>
  <c r="W2738" i="1"/>
  <c r="S2738" i="1"/>
  <c r="Q2738" i="1"/>
  <c r="N2738" i="1"/>
  <c r="L2738" i="1"/>
  <c r="K2738" i="1"/>
  <c r="AB2738" i="1"/>
  <c r="I2738" i="1"/>
  <c r="X2737" i="1"/>
  <c r="Z2737" i="1" s="1"/>
  <c r="W2737" i="1"/>
  <c r="S2737" i="1"/>
  <c r="Q2737" i="1"/>
  <c r="N2737" i="1"/>
  <c r="L2737" i="1"/>
  <c r="K2737" i="1"/>
  <c r="AB2737" i="1"/>
  <c r="I2737" i="1"/>
  <c r="X2736" i="1"/>
  <c r="Z2736" i="1" s="1"/>
  <c r="W2736" i="1"/>
  <c r="S2736" i="1"/>
  <c r="Q2736" i="1"/>
  <c r="N2736" i="1"/>
  <c r="L2736" i="1"/>
  <c r="K2736" i="1"/>
  <c r="AB2736" i="1"/>
  <c r="I2736" i="1"/>
  <c r="X2735" i="1"/>
  <c r="Z2735" i="1" s="1"/>
  <c r="W2735" i="1"/>
  <c r="S2735" i="1"/>
  <c r="Q2735" i="1"/>
  <c r="N2735" i="1"/>
  <c r="L2735" i="1"/>
  <c r="K2735" i="1"/>
  <c r="AB2735" i="1"/>
  <c r="I2735" i="1"/>
  <c r="X2734" i="1"/>
  <c r="Z2734" i="1" s="1"/>
  <c r="W2734" i="1"/>
  <c r="S2734" i="1"/>
  <c r="Q2734" i="1"/>
  <c r="N2734" i="1"/>
  <c r="L2734" i="1"/>
  <c r="K2734" i="1"/>
  <c r="AB2734" i="1"/>
  <c r="I2734" i="1"/>
  <c r="X2733" i="1"/>
  <c r="Z2733" i="1" s="1"/>
  <c r="W2733" i="1"/>
  <c r="S2733" i="1"/>
  <c r="Q2733" i="1"/>
  <c r="N2733" i="1"/>
  <c r="L2733" i="1"/>
  <c r="K2733" i="1"/>
  <c r="AB2733" i="1"/>
  <c r="I2733" i="1"/>
  <c r="X2732" i="1"/>
  <c r="Z2732" i="1" s="1"/>
  <c r="W2732" i="1"/>
  <c r="S2732" i="1"/>
  <c r="Q2732" i="1"/>
  <c r="N2732" i="1"/>
  <c r="L2732" i="1"/>
  <c r="K2732" i="1"/>
  <c r="AB2732" i="1"/>
  <c r="I2732" i="1"/>
  <c r="X2731" i="1"/>
  <c r="Z2731" i="1" s="1"/>
  <c r="W2731" i="1"/>
  <c r="S2731" i="1"/>
  <c r="Q2731" i="1"/>
  <c r="N2731" i="1"/>
  <c r="L2731" i="1"/>
  <c r="K2731" i="1"/>
  <c r="AB2731" i="1"/>
  <c r="I2731" i="1"/>
  <c r="X2730" i="1"/>
  <c r="Z2730" i="1" s="1"/>
  <c r="W2730" i="1"/>
  <c r="S2730" i="1"/>
  <c r="Q2730" i="1"/>
  <c r="N2730" i="1"/>
  <c r="L2730" i="1"/>
  <c r="K2730" i="1"/>
  <c r="AB2730" i="1"/>
  <c r="I2730" i="1"/>
  <c r="X2729" i="1"/>
  <c r="Z2729" i="1" s="1"/>
  <c r="W2729" i="1"/>
  <c r="S2729" i="1"/>
  <c r="Q2729" i="1"/>
  <c r="N2729" i="1"/>
  <c r="L2729" i="1"/>
  <c r="K2729" i="1"/>
  <c r="AB2729" i="1"/>
  <c r="I2729" i="1"/>
  <c r="X2728" i="1"/>
  <c r="Z2728" i="1" s="1"/>
  <c r="W2728" i="1"/>
  <c r="S2728" i="1"/>
  <c r="Q2728" i="1"/>
  <c r="N2728" i="1"/>
  <c r="L2728" i="1"/>
  <c r="K2728" i="1"/>
  <c r="AB2728" i="1"/>
  <c r="I2728" i="1"/>
  <c r="X2727" i="1"/>
  <c r="Z2727" i="1" s="1"/>
  <c r="W2727" i="1"/>
  <c r="S2727" i="1"/>
  <c r="Q2727" i="1"/>
  <c r="N2727" i="1"/>
  <c r="L2727" i="1"/>
  <c r="K2727" i="1"/>
  <c r="AB2727" i="1"/>
  <c r="I2727" i="1"/>
  <c r="X2726" i="1"/>
  <c r="Z2726" i="1" s="1"/>
  <c r="W2726" i="1"/>
  <c r="S2726" i="1"/>
  <c r="Q2726" i="1"/>
  <c r="N2726" i="1"/>
  <c r="L2726" i="1"/>
  <c r="K2726" i="1"/>
  <c r="AB2726" i="1"/>
  <c r="I2726" i="1"/>
  <c r="X2725" i="1"/>
  <c r="Z2725" i="1" s="1"/>
  <c r="W2725" i="1"/>
  <c r="S2725" i="1"/>
  <c r="Q2725" i="1"/>
  <c r="N2725" i="1"/>
  <c r="L2725" i="1"/>
  <c r="K2725" i="1"/>
  <c r="AB2725" i="1"/>
  <c r="I2725" i="1"/>
  <c r="X2724" i="1"/>
  <c r="Z2724" i="1" s="1"/>
  <c r="W2724" i="1"/>
  <c r="S2724" i="1"/>
  <c r="Q2724" i="1"/>
  <c r="N2724" i="1"/>
  <c r="L2724" i="1"/>
  <c r="K2724" i="1"/>
  <c r="AB2724" i="1"/>
  <c r="I2724" i="1"/>
  <c r="X2723" i="1"/>
  <c r="Z2723" i="1" s="1"/>
  <c r="W2723" i="1"/>
  <c r="S2723" i="1"/>
  <c r="Q2723" i="1"/>
  <c r="N2723" i="1"/>
  <c r="L2723" i="1"/>
  <c r="K2723" i="1"/>
  <c r="AB2723" i="1"/>
  <c r="I2723" i="1"/>
  <c r="X2722" i="1"/>
  <c r="Z2722" i="1" s="1"/>
  <c r="W2722" i="1"/>
  <c r="S2722" i="1"/>
  <c r="Q2722" i="1"/>
  <c r="N2722" i="1"/>
  <c r="L2722" i="1"/>
  <c r="K2722" i="1"/>
  <c r="AB2722" i="1"/>
  <c r="I2722" i="1"/>
  <c r="X2721" i="1"/>
  <c r="Z2721" i="1" s="1"/>
  <c r="W2721" i="1"/>
  <c r="S2721" i="1"/>
  <c r="Q2721" i="1"/>
  <c r="N2721" i="1"/>
  <c r="L2721" i="1"/>
  <c r="Y2721" i="1" s="1"/>
  <c r="K2721" i="1"/>
  <c r="AB2721" i="1"/>
  <c r="I2721" i="1"/>
  <c r="X2720" i="1"/>
  <c r="Z2720" i="1" s="1"/>
  <c r="W2720" i="1"/>
  <c r="S2720" i="1"/>
  <c r="Q2720" i="1"/>
  <c r="N2720" i="1"/>
  <c r="L2720" i="1"/>
  <c r="K2720" i="1"/>
  <c r="AB2720" i="1"/>
  <c r="I2720" i="1"/>
  <c r="X2719" i="1"/>
  <c r="Z2719" i="1" s="1"/>
  <c r="W2719" i="1"/>
  <c r="S2719" i="1"/>
  <c r="Q2719" i="1"/>
  <c r="N2719" i="1"/>
  <c r="L2719" i="1"/>
  <c r="K2719" i="1"/>
  <c r="AB2719" i="1"/>
  <c r="I2719" i="1"/>
  <c r="X2718" i="1"/>
  <c r="Z2718" i="1" s="1"/>
  <c r="W2718" i="1"/>
  <c r="S2718" i="1"/>
  <c r="Q2718" i="1"/>
  <c r="N2718" i="1"/>
  <c r="L2718" i="1"/>
  <c r="K2718" i="1"/>
  <c r="AB2718" i="1"/>
  <c r="I2718" i="1"/>
  <c r="X2717" i="1"/>
  <c r="Z2717" i="1" s="1"/>
  <c r="W2717" i="1"/>
  <c r="S2717" i="1"/>
  <c r="Q2717" i="1"/>
  <c r="N2717" i="1"/>
  <c r="L2717" i="1"/>
  <c r="K2717" i="1"/>
  <c r="AB2717" i="1"/>
  <c r="I2717" i="1"/>
  <c r="X2716" i="1"/>
  <c r="Z2716" i="1" s="1"/>
  <c r="W2716" i="1"/>
  <c r="S2716" i="1"/>
  <c r="Q2716" i="1"/>
  <c r="N2716" i="1"/>
  <c r="L2716" i="1"/>
  <c r="K2716" i="1"/>
  <c r="AB2716" i="1"/>
  <c r="I2716" i="1"/>
  <c r="X2715" i="1"/>
  <c r="Z2715" i="1" s="1"/>
  <c r="W2715" i="1"/>
  <c r="S2715" i="1"/>
  <c r="Q2715" i="1"/>
  <c r="N2715" i="1"/>
  <c r="L2715" i="1"/>
  <c r="K2715" i="1"/>
  <c r="AB2715" i="1"/>
  <c r="I2715" i="1"/>
  <c r="X2714" i="1"/>
  <c r="Z2714" i="1" s="1"/>
  <c r="W2714" i="1"/>
  <c r="S2714" i="1"/>
  <c r="Q2714" i="1"/>
  <c r="N2714" i="1"/>
  <c r="L2714" i="1"/>
  <c r="K2714" i="1"/>
  <c r="AB2714" i="1"/>
  <c r="I2714" i="1"/>
  <c r="X2713" i="1"/>
  <c r="Z2713" i="1" s="1"/>
  <c r="W2713" i="1"/>
  <c r="S2713" i="1"/>
  <c r="Q2713" i="1"/>
  <c r="N2713" i="1"/>
  <c r="L2713" i="1"/>
  <c r="Y2713" i="1" s="1"/>
  <c r="K2713" i="1"/>
  <c r="AB2713" i="1"/>
  <c r="I2713" i="1"/>
  <c r="X2712" i="1"/>
  <c r="Z2712" i="1" s="1"/>
  <c r="W2712" i="1"/>
  <c r="S2712" i="1"/>
  <c r="Q2712" i="1"/>
  <c r="N2712" i="1"/>
  <c r="L2712" i="1"/>
  <c r="K2712" i="1"/>
  <c r="AB2712" i="1"/>
  <c r="I2712" i="1"/>
  <c r="X2711" i="1"/>
  <c r="Z2711" i="1" s="1"/>
  <c r="W2711" i="1"/>
  <c r="S2711" i="1"/>
  <c r="Q2711" i="1"/>
  <c r="N2711" i="1"/>
  <c r="L2711" i="1"/>
  <c r="K2711" i="1"/>
  <c r="AB2711" i="1"/>
  <c r="I2711" i="1"/>
  <c r="X2710" i="1"/>
  <c r="Z2710" i="1" s="1"/>
  <c r="W2710" i="1"/>
  <c r="S2710" i="1"/>
  <c r="Q2710" i="1"/>
  <c r="N2710" i="1"/>
  <c r="L2710" i="1"/>
  <c r="K2710" i="1"/>
  <c r="AB2710" i="1"/>
  <c r="I2710" i="1"/>
  <c r="X2709" i="1"/>
  <c r="Z2709" i="1" s="1"/>
  <c r="W2709" i="1"/>
  <c r="S2709" i="1"/>
  <c r="Q2709" i="1"/>
  <c r="N2709" i="1"/>
  <c r="L2709" i="1"/>
  <c r="K2709" i="1"/>
  <c r="AB2709" i="1"/>
  <c r="I2709" i="1"/>
  <c r="X2708" i="1"/>
  <c r="Z2708" i="1" s="1"/>
  <c r="W2708" i="1"/>
  <c r="S2708" i="1"/>
  <c r="Q2708" i="1"/>
  <c r="N2708" i="1"/>
  <c r="L2708" i="1"/>
  <c r="K2708" i="1"/>
  <c r="AB2708" i="1"/>
  <c r="I2708" i="1"/>
  <c r="X2707" i="1"/>
  <c r="Z2707" i="1" s="1"/>
  <c r="W2707" i="1"/>
  <c r="S2707" i="1"/>
  <c r="Q2707" i="1"/>
  <c r="N2707" i="1"/>
  <c r="L2707" i="1"/>
  <c r="K2707" i="1"/>
  <c r="AB2707" i="1"/>
  <c r="I2707" i="1"/>
  <c r="X2706" i="1"/>
  <c r="Z2706" i="1" s="1"/>
  <c r="W2706" i="1"/>
  <c r="S2706" i="1"/>
  <c r="Q2706" i="1"/>
  <c r="N2706" i="1"/>
  <c r="L2706" i="1"/>
  <c r="K2706" i="1"/>
  <c r="AB2706" i="1"/>
  <c r="I2706" i="1"/>
  <c r="X2705" i="1"/>
  <c r="Z2705" i="1" s="1"/>
  <c r="W2705" i="1"/>
  <c r="S2705" i="1"/>
  <c r="Q2705" i="1"/>
  <c r="N2705" i="1"/>
  <c r="L2705" i="1"/>
  <c r="Y2705" i="1" s="1"/>
  <c r="K2705" i="1"/>
  <c r="AB2705" i="1"/>
  <c r="I2705" i="1"/>
  <c r="X2704" i="1"/>
  <c r="Z2704" i="1" s="1"/>
  <c r="W2704" i="1"/>
  <c r="S2704" i="1"/>
  <c r="Q2704" i="1"/>
  <c r="N2704" i="1"/>
  <c r="L2704" i="1"/>
  <c r="K2704" i="1"/>
  <c r="AB2704" i="1"/>
  <c r="I2704" i="1"/>
  <c r="X2703" i="1"/>
  <c r="Z2703" i="1" s="1"/>
  <c r="W2703" i="1"/>
  <c r="S2703" i="1"/>
  <c r="Q2703" i="1"/>
  <c r="N2703" i="1"/>
  <c r="L2703" i="1"/>
  <c r="K2703" i="1"/>
  <c r="AB2703" i="1"/>
  <c r="I2703" i="1"/>
  <c r="X2702" i="1"/>
  <c r="Z2702" i="1" s="1"/>
  <c r="W2702" i="1"/>
  <c r="S2702" i="1"/>
  <c r="Q2702" i="1"/>
  <c r="N2702" i="1"/>
  <c r="L2702" i="1"/>
  <c r="K2702" i="1"/>
  <c r="AB2702" i="1"/>
  <c r="I2702" i="1"/>
  <c r="X2701" i="1"/>
  <c r="Z2701" i="1" s="1"/>
  <c r="W2701" i="1"/>
  <c r="S2701" i="1"/>
  <c r="Q2701" i="1"/>
  <c r="N2701" i="1"/>
  <c r="L2701" i="1"/>
  <c r="Y2701" i="1" s="1"/>
  <c r="K2701" i="1"/>
  <c r="AB2701" i="1"/>
  <c r="I2701" i="1"/>
  <c r="X2700" i="1"/>
  <c r="Z2700" i="1" s="1"/>
  <c r="W2700" i="1"/>
  <c r="S2700" i="1"/>
  <c r="Q2700" i="1"/>
  <c r="N2700" i="1"/>
  <c r="L2700" i="1"/>
  <c r="K2700" i="1"/>
  <c r="AB2700" i="1"/>
  <c r="I2700" i="1"/>
  <c r="X2699" i="1"/>
  <c r="Z2699" i="1" s="1"/>
  <c r="W2699" i="1"/>
  <c r="S2699" i="1"/>
  <c r="Q2699" i="1"/>
  <c r="N2699" i="1"/>
  <c r="L2699" i="1"/>
  <c r="K2699" i="1"/>
  <c r="AB2699" i="1"/>
  <c r="I2699" i="1"/>
  <c r="X2698" i="1"/>
  <c r="Z2698" i="1" s="1"/>
  <c r="W2698" i="1"/>
  <c r="S2698" i="1"/>
  <c r="Q2698" i="1"/>
  <c r="N2698" i="1"/>
  <c r="L2698" i="1"/>
  <c r="K2698" i="1"/>
  <c r="AB2698" i="1"/>
  <c r="I2698" i="1"/>
  <c r="X2697" i="1"/>
  <c r="Z2697" i="1" s="1"/>
  <c r="W2697" i="1"/>
  <c r="S2697" i="1"/>
  <c r="Q2697" i="1"/>
  <c r="N2697" i="1"/>
  <c r="L2697" i="1"/>
  <c r="K2697" i="1"/>
  <c r="AB2697" i="1"/>
  <c r="I2697" i="1"/>
  <c r="X2696" i="1"/>
  <c r="Z2696" i="1" s="1"/>
  <c r="W2696" i="1"/>
  <c r="S2696" i="1"/>
  <c r="Q2696" i="1"/>
  <c r="N2696" i="1"/>
  <c r="L2696" i="1"/>
  <c r="K2696" i="1"/>
  <c r="AB2696" i="1"/>
  <c r="I2696" i="1"/>
  <c r="X2695" i="1"/>
  <c r="Z2695" i="1" s="1"/>
  <c r="W2695" i="1"/>
  <c r="S2695" i="1"/>
  <c r="Q2695" i="1"/>
  <c r="N2695" i="1"/>
  <c r="L2695" i="1"/>
  <c r="K2695" i="1"/>
  <c r="AB2695" i="1"/>
  <c r="I2695" i="1"/>
  <c r="X2694" i="1"/>
  <c r="Z2694" i="1" s="1"/>
  <c r="W2694" i="1"/>
  <c r="S2694" i="1"/>
  <c r="Q2694" i="1"/>
  <c r="N2694" i="1"/>
  <c r="L2694" i="1"/>
  <c r="K2694" i="1"/>
  <c r="AB2694" i="1"/>
  <c r="I2694" i="1"/>
  <c r="X2693" i="1"/>
  <c r="Z2693" i="1" s="1"/>
  <c r="W2693" i="1"/>
  <c r="S2693" i="1"/>
  <c r="Q2693" i="1"/>
  <c r="N2693" i="1"/>
  <c r="L2693" i="1"/>
  <c r="Y2693" i="1" s="1"/>
  <c r="K2693" i="1"/>
  <c r="AB2693" i="1"/>
  <c r="I2693" i="1"/>
  <c r="X2692" i="1"/>
  <c r="Z2692" i="1" s="1"/>
  <c r="W2692" i="1"/>
  <c r="S2692" i="1"/>
  <c r="Q2692" i="1"/>
  <c r="N2692" i="1"/>
  <c r="L2692" i="1"/>
  <c r="K2692" i="1"/>
  <c r="AB2692" i="1"/>
  <c r="I2692" i="1"/>
  <c r="X2691" i="1"/>
  <c r="Z2691" i="1" s="1"/>
  <c r="W2691" i="1"/>
  <c r="S2691" i="1"/>
  <c r="Q2691" i="1"/>
  <c r="N2691" i="1"/>
  <c r="L2691" i="1"/>
  <c r="K2691" i="1"/>
  <c r="AB2691" i="1"/>
  <c r="I2691" i="1"/>
  <c r="X2690" i="1"/>
  <c r="Z2690" i="1" s="1"/>
  <c r="W2690" i="1"/>
  <c r="S2690" i="1"/>
  <c r="Q2690" i="1"/>
  <c r="N2690" i="1"/>
  <c r="L2690" i="1"/>
  <c r="K2690" i="1"/>
  <c r="M2690" i="1" s="1"/>
  <c r="R2690" i="1" s="1"/>
  <c r="AB2690" i="1"/>
  <c r="AC2690" i="1" s="1"/>
  <c r="I2690" i="1"/>
  <c r="X2689" i="1"/>
  <c r="Z2689" i="1" s="1"/>
  <c r="W2689" i="1"/>
  <c r="S2689" i="1"/>
  <c r="Q2689" i="1"/>
  <c r="N2689" i="1"/>
  <c r="L2689" i="1"/>
  <c r="Y2689" i="1" s="1"/>
  <c r="K2689" i="1"/>
  <c r="AB2689" i="1"/>
  <c r="I2689" i="1"/>
  <c r="X2688" i="1"/>
  <c r="Z2688" i="1" s="1"/>
  <c r="W2688" i="1"/>
  <c r="S2688" i="1"/>
  <c r="Q2688" i="1"/>
  <c r="N2688" i="1"/>
  <c r="L2688" i="1"/>
  <c r="K2688" i="1"/>
  <c r="AB2688" i="1"/>
  <c r="I2688" i="1"/>
  <c r="X2687" i="1"/>
  <c r="Z2687" i="1" s="1"/>
  <c r="W2687" i="1"/>
  <c r="S2687" i="1"/>
  <c r="Q2687" i="1"/>
  <c r="N2687" i="1"/>
  <c r="L2687" i="1"/>
  <c r="K2687" i="1"/>
  <c r="AB2687" i="1"/>
  <c r="I2687" i="1"/>
  <c r="X2686" i="1"/>
  <c r="Z2686" i="1" s="1"/>
  <c r="W2686" i="1"/>
  <c r="S2686" i="1"/>
  <c r="Q2686" i="1"/>
  <c r="N2686" i="1"/>
  <c r="L2686" i="1"/>
  <c r="K2686" i="1"/>
  <c r="AB2686" i="1"/>
  <c r="I2686" i="1"/>
  <c r="X2685" i="1"/>
  <c r="Z2685" i="1" s="1"/>
  <c r="W2685" i="1"/>
  <c r="S2685" i="1"/>
  <c r="Q2685" i="1"/>
  <c r="N2685" i="1"/>
  <c r="L2685" i="1"/>
  <c r="Y2685" i="1" s="1"/>
  <c r="K2685" i="1"/>
  <c r="AB2685" i="1"/>
  <c r="I2685" i="1"/>
  <c r="X2684" i="1"/>
  <c r="Z2684" i="1" s="1"/>
  <c r="W2684" i="1"/>
  <c r="S2684" i="1"/>
  <c r="Q2684" i="1"/>
  <c r="N2684" i="1"/>
  <c r="L2684" i="1"/>
  <c r="K2684" i="1"/>
  <c r="AB2684" i="1"/>
  <c r="I2684" i="1"/>
  <c r="X2683" i="1"/>
  <c r="Z2683" i="1" s="1"/>
  <c r="W2683" i="1"/>
  <c r="S2683" i="1"/>
  <c r="Q2683" i="1"/>
  <c r="N2683" i="1"/>
  <c r="L2683" i="1"/>
  <c r="K2683" i="1"/>
  <c r="AB2683" i="1"/>
  <c r="I2683" i="1"/>
  <c r="X2682" i="1"/>
  <c r="Z2682" i="1" s="1"/>
  <c r="W2682" i="1"/>
  <c r="S2682" i="1"/>
  <c r="Q2682" i="1"/>
  <c r="N2682" i="1"/>
  <c r="L2682" i="1"/>
  <c r="K2682" i="1"/>
  <c r="AB2682" i="1"/>
  <c r="I2682" i="1"/>
  <c r="X2681" i="1"/>
  <c r="Z2681" i="1" s="1"/>
  <c r="W2681" i="1"/>
  <c r="S2681" i="1"/>
  <c r="Q2681" i="1"/>
  <c r="N2681" i="1"/>
  <c r="L2681" i="1"/>
  <c r="K2681" i="1"/>
  <c r="AB2681" i="1"/>
  <c r="I2681" i="1"/>
  <c r="X2680" i="1"/>
  <c r="Z2680" i="1" s="1"/>
  <c r="W2680" i="1"/>
  <c r="S2680" i="1"/>
  <c r="Q2680" i="1"/>
  <c r="N2680" i="1"/>
  <c r="L2680" i="1"/>
  <c r="K2680" i="1"/>
  <c r="AB2680" i="1"/>
  <c r="I2680" i="1"/>
  <c r="X2679" i="1"/>
  <c r="Z2679" i="1" s="1"/>
  <c r="W2679" i="1"/>
  <c r="S2679" i="1"/>
  <c r="Q2679" i="1"/>
  <c r="N2679" i="1"/>
  <c r="L2679" i="1"/>
  <c r="K2679" i="1"/>
  <c r="AB2679" i="1"/>
  <c r="I2679" i="1"/>
  <c r="X2678" i="1"/>
  <c r="Z2678" i="1" s="1"/>
  <c r="W2678" i="1"/>
  <c r="S2678" i="1"/>
  <c r="Q2678" i="1"/>
  <c r="N2678" i="1"/>
  <c r="L2678" i="1"/>
  <c r="K2678" i="1"/>
  <c r="AB2678" i="1"/>
  <c r="I2678" i="1"/>
  <c r="X2677" i="1"/>
  <c r="Z2677" i="1" s="1"/>
  <c r="W2677" i="1"/>
  <c r="S2677" i="1"/>
  <c r="Q2677" i="1"/>
  <c r="N2677" i="1"/>
  <c r="L2677" i="1"/>
  <c r="K2677" i="1"/>
  <c r="AB2677" i="1"/>
  <c r="I2677" i="1"/>
  <c r="X2676" i="1"/>
  <c r="Z2676" i="1" s="1"/>
  <c r="W2676" i="1"/>
  <c r="S2676" i="1"/>
  <c r="Q2676" i="1"/>
  <c r="N2676" i="1"/>
  <c r="L2676" i="1"/>
  <c r="K2676" i="1"/>
  <c r="AB2676" i="1"/>
  <c r="I2676" i="1"/>
  <c r="X2675" i="1"/>
  <c r="Z2675" i="1" s="1"/>
  <c r="W2675" i="1"/>
  <c r="S2675" i="1"/>
  <c r="Q2675" i="1"/>
  <c r="N2675" i="1"/>
  <c r="L2675" i="1"/>
  <c r="K2675" i="1"/>
  <c r="AB2675" i="1"/>
  <c r="I2675" i="1"/>
  <c r="X2674" i="1"/>
  <c r="Z2674" i="1" s="1"/>
  <c r="W2674" i="1"/>
  <c r="S2674" i="1"/>
  <c r="Q2674" i="1"/>
  <c r="N2674" i="1"/>
  <c r="L2674" i="1"/>
  <c r="K2674" i="1"/>
  <c r="AB2674" i="1"/>
  <c r="I2674" i="1"/>
  <c r="X2673" i="1"/>
  <c r="Z2673" i="1" s="1"/>
  <c r="W2673" i="1"/>
  <c r="S2673" i="1"/>
  <c r="Q2673" i="1"/>
  <c r="N2673" i="1"/>
  <c r="L2673" i="1"/>
  <c r="Y2673" i="1" s="1"/>
  <c r="K2673" i="1"/>
  <c r="AB2673" i="1"/>
  <c r="I2673" i="1"/>
  <c r="X2672" i="1"/>
  <c r="Z2672" i="1" s="1"/>
  <c r="W2672" i="1"/>
  <c r="S2672" i="1"/>
  <c r="Q2672" i="1"/>
  <c r="N2672" i="1"/>
  <c r="L2672" i="1"/>
  <c r="K2672" i="1"/>
  <c r="AB2672" i="1"/>
  <c r="I2672" i="1"/>
  <c r="X2671" i="1"/>
  <c r="Z2671" i="1" s="1"/>
  <c r="W2671" i="1"/>
  <c r="S2671" i="1"/>
  <c r="Q2671" i="1"/>
  <c r="N2671" i="1"/>
  <c r="L2671" i="1"/>
  <c r="K2671" i="1"/>
  <c r="AB2671" i="1"/>
  <c r="I2671" i="1"/>
  <c r="X2670" i="1"/>
  <c r="Z2670" i="1" s="1"/>
  <c r="W2670" i="1"/>
  <c r="S2670" i="1"/>
  <c r="Q2670" i="1"/>
  <c r="N2670" i="1"/>
  <c r="L2670" i="1"/>
  <c r="K2670" i="1"/>
  <c r="AB2670" i="1"/>
  <c r="I2670" i="1"/>
  <c r="X2669" i="1"/>
  <c r="Z2669" i="1" s="1"/>
  <c r="W2669" i="1"/>
  <c r="S2669" i="1"/>
  <c r="Q2669" i="1"/>
  <c r="N2669" i="1"/>
  <c r="L2669" i="1"/>
  <c r="Y2669" i="1" s="1"/>
  <c r="K2669" i="1"/>
  <c r="AB2669" i="1"/>
  <c r="I2669" i="1"/>
  <c r="X2668" i="1"/>
  <c r="Z2668" i="1" s="1"/>
  <c r="W2668" i="1"/>
  <c r="S2668" i="1"/>
  <c r="Q2668" i="1"/>
  <c r="N2668" i="1"/>
  <c r="L2668" i="1"/>
  <c r="K2668" i="1"/>
  <c r="AB2668" i="1"/>
  <c r="I2668" i="1"/>
  <c r="X2667" i="1"/>
  <c r="Z2667" i="1" s="1"/>
  <c r="W2667" i="1"/>
  <c r="S2667" i="1"/>
  <c r="Q2667" i="1"/>
  <c r="N2667" i="1"/>
  <c r="L2667" i="1"/>
  <c r="K2667" i="1"/>
  <c r="AB2667" i="1"/>
  <c r="I2667" i="1"/>
  <c r="X2666" i="1"/>
  <c r="Z2666" i="1" s="1"/>
  <c r="W2666" i="1"/>
  <c r="S2666" i="1"/>
  <c r="Q2666" i="1"/>
  <c r="N2666" i="1"/>
  <c r="L2666" i="1"/>
  <c r="K2666" i="1"/>
  <c r="AB2666" i="1"/>
  <c r="I2666" i="1"/>
  <c r="X2665" i="1"/>
  <c r="Z2665" i="1" s="1"/>
  <c r="W2665" i="1"/>
  <c r="S2665" i="1"/>
  <c r="Q2665" i="1"/>
  <c r="N2665" i="1"/>
  <c r="L2665" i="1"/>
  <c r="K2665" i="1"/>
  <c r="AB2665" i="1"/>
  <c r="I2665" i="1"/>
  <c r="X2664" i="1"/>
  <c r="Z2664" i="1" s="1"/>
  <c r="W2664" i="1"/>
  <c r="S2664" i="1"/>
  <c r="Q2664" i="1"/>
  <c r="N2664" i="1"/>
  <c r="L2664" i="1"/>
  <c r="K2664" i="1"/>
  <c r="AB2664" i="1"/>
  <c r="I2664" i="1"/>
  <c r="X2663" i="1"/>
  <c r="Z2663" i="1" s="1"/>
  <c r="W2663" i="1"/>
  <c r="S2663" i="1"/>
  <c r="Q2663" i="1"/>
  <c r="N2663" i="1"/>
  <c r="L2663" i="1"/>
  <c r="K2663" i="1"/>
  <c r="AB2663" i="1"/>
  <c r="I2663" i="1"/>
  <c r="X2662" i="1"/>
  <c r="Z2662" i="1" s="1"/>
  <c r="W2662" i="1"/>
  <c r="S2662" i="1"/>
  <c r="Q2662" i="1"/>
  <c r="N2662" i="1"/>
  <c r="L2662" i="1"/>
  <c r="K2662" i="1"/>
  <c r="AB2662" i="1"/>
  <c r="I2662" i="1"/>
  <c r="X2661" i="1"/>
  <c r="Z2661" i="1" s="1"/>
  <c r="W2661" i="1"/>
  <c r="S2661" i="1"/>
  <c r="Q2661" i="1"/>
  <c r="N2661" i="1"/>
  <c r="L2661" i="1"/>
  <c r="Y2661" i="1" s="1"/>
  <c r="K2661" i="1"/>
  <c r="AB2661" i="1"/>
  <c r="I2661" i="1"/>
  <c r="X2660" i="1"/>
  <c r="Z2660" i="1" s="1"/>
  <c r="W2660" i="1"/>
  <c r="S2660" i="1"/>
  <c r="Q2660" i="1"/>
  <c r="N2660" i="1"/>
  <c r="L2660" i="1"/>
  <c r="K2660" i="1"/>
  <c r="AB2660" i="1"/>
  <c r="I2660" i="1"/>
  <c r="X2659" i="1"/>
  <c r="Z2659" i="1" s="1"/>
  <c r="W2659" i="1"/>
  <c r="S2659" i="1"/>
  <c r="Q2659" i="1"/>
  <c r="N2659" i="1"/>
  <c r="L2659" i="1"/>
  <c r="K2659" i="1"/>
  <c r="AB2659" i="1"/>
  <c r="I2659" i="1"/>
  <c r="X2658" i="1"/>
  <c r="Z2658" i="1" s="1"/>
  <c r="W2658" i="1"/>
  <c r="S2658" i="1"/>
  <c r="Q2658" i="1"/>
  <c r="N2658" i="1"/>
  <c r="L2658" i="1"/>
  <c r="K2658" i="1"/>
  <c r="AB2658" i="1"/>
  <c r="I2658" i="1"/>
  <c r="X2657" i="1"/>
  <c r="Z2657" i="1" s="1"/>
  <c r="W2657" i="1"/>
  <c r="S2657" i="1"/>
  <c r="Q2657" i="1"/>
  <c r="N2657" i="1"/>
  <c r="L2657" i="1"/>
  <c r="Y2657" i="1" s="1"/>
  <c r="K2657" i="1"/>
  <c r="AB2657" i="1"/>
  <c r="I2657" i="1"/>
  <c r="X2656" i="1"/>
  <c r="Z2656" i="1" s="1"/>
  <c r="W2656" i="1"/>
  <c r="S2656" i="1"/>
  <c r="Q2656" i="1"/>
  <c r="N2656" i="1"/>
  <c r="L2656" i="1"/>
  <c r="K2656" i="1"/>
  <c r="AB2656" i="1"/>
  <c r="I2656" i="1"/>
  <c r="X2655" i="1"/>
  <c r="Z2655" i="1" s="1"/>
  <c r="W2655" i="1"/>
  <c r="S2655" i="1"/>
  <c r="Q2655" i="1"/>
  <c r="N2655" i="1"/>
  <c r="L2655" i="1"/>
  <c r="K2655" i="1"/>
  <c r="AB2655" i="1"/>
  <c r="I2655" i="1"/>
  <c r="X2654" i="1"/>
  <c r="Z2654" i="1" s="1"/>
  <c r="W2654" i="1"/>
  <c r="S2654" i="1"/>
  <c r="Q2654" i="1"/>
  <c r="N2654" i="1"/>
  <c r="L2654" i="1"/>
  <c r="K2654" i="1"/>
  <c r="AB2654" i="1"/>
  <c r="I2654" i="1"/>
  <c r="X2653" i="1"/>
  <c r="Z2653" i="1" s="1"/>
  <c r="W2653" i="1"/>
  <c r="S2653" i="1"/>
  <c r="Q2653" i="1"/>
  <c r="N2653" i="1"/>
  <c r="L2653" i="1"/>
  <c r="Y2653" i="1" s="1"/>
  <c r="K2653" i="1"/>
  <c r="AB2653" i="1"/>
  <c r="I2653" i="1"/>
  <c r="X2652" i="1"/>
  <c r="Z2652" i="1" s="1"/>
  <c r="W2652" i="1"/>
  <c r="S2652" i="1"/>
  <c r="Q2652" i="1"/>
  <c r="N2652" i="1"/>
  <c r="L2652" i="1"/>
  <c r="K2652" i="1"/>
  <c r="AB2652" i="1"/>
  <c r="I2652" i="1"/>
  <c r="X2651" i="1"/>
  <c r="Z2651" i="1" s="1"/>
  <c r="W2651" i="1"/>
  <c r="S2651" i="1"/>
  <c r="Q2651" i="1"/>
  <c r="N2651" i="1"/>
  <c r="L2651" i="1"/>
  <c r="K2651" i="1"/>
  <c r="AB2651" i="1"/>
  <c r="I2651" i="1"/>
  <c r="X2650" i="1"/>
  <c r="Z2650" i="1" s="1"/>
  <c r="W2650" i="1"/>
  <c r="S2650" i="1"/>
  <c r="Q2650" i="1"/>
  <c r="N2650" i="1"/>
  <c r="L2650" i="1"/>
  <c r="K2650" i="1"/>
  <c r="AB2650" i="1"/>
  <c r="I2650" i="1"/>
  <c r="X2649" i="1"/>
  <c r="Z2649" i="1" s="1"/>
  <c r="W2649" i="1"/>
  <c r="S2649" i="1"/>
  <c r="Q2649" i="1"/>
  <c r="N2649" i="1"/>
  <c r="L2649" i="1"/>
  <c r="K2649" i="1"/>
  <c r="AB2649" i="1"/>
  <c r="I2649" i="1"/>
  <c r="X2648" i="1"/>
  <c r="Z2648" i="1" s="1"/>
  <c r="W2648" i="1"/>
  <c r="S2648" i="1"/>
  <c r="Q2648" i="1"/>
  <c r="N2648" i="1"/>
  <c r="L2648" i="1"/>
  <c r="K2648" i="1"/>
  <c r="AB2648" i="1"/>
  <c r="I2648" i="1"/>
  <c r="X2647" i="1"/>
  <c r="Z2647" i="1" s="1"/>
  <c r="W2647" i="1"/>
  <c r="S2647" i="1"/>
  <c r="Q2647" i="1"/>
  <c r="N2647" i="1"/>
  <c r="L2647" i="1"/>
  <c r="K2647" i="1"/>
  <c r="AB2647" i="1"/>
  <c r="I2647" i="1"/>
  <c r="X2646" i="1"/>
  <c r="Z2646" i="1" s="1"/>
  <c r="W2646" i="1"/>
  <c r="S2646" i="1"/>
  <c r="Q2646" i="1"/>
  <c r="N2646" i="1"/>
  <c r="L2646" i="1"/>
  <c r="K2646" i="1"/>
  <c r="AB2646" i="1"/>
  <c r="I2646" i="1"/>
  <c r="X2645" i="1"/>
  <c r="Z2645" i="1" s="1"/>
  <c r="W2645" i="1"/>
  <c r="S2645" i="1"/>
  <c r="Q2645" i="1"/>
  <c r="N2645" i="1"/>
  <c r="L2645" i="1"/>
  <c r="K2645" i="1"/>
  <c r="AB2645" i="1"/>
  <c r="I2645" i="1"/>
  <c r="X2644" i="1"/>
  <c r="Z2644" i="1" s="1"/>
  <c r="W2644" i="1"/>
  <c r="S2644" i="1"/>
  <c r="Q2644" i="1"/>
  <c r="N2644" i="1"/>
  <c r="L2644" i="1"/>
  <c r="K2644" i="1"/>
  <c r="AB2644" i="1"/>
  <c r="I2644" i="1"/>
  <c r="X2643" i="1"/>
  <c r="Z2643" i="1" s="1"/>
  <c r="W2643" i="1"/>
  <c r="S2643" i="1"/>
  <c r="Q2643" i="1"/>
  <c r="N2643" i="1"/>
  <c r="L2643" i="1"/>
  <c r="K2643" i="1"/>
  <c r="AB2643" i="1"/>
  <c r="I2643" i="1"/>
  <c r="X2642" i="1"/>
  <c r="Z2642" i="1" s="1"/>
  <c r="W2642" i="1"/>
  <c r="S2642" i="1"/>
  <c r="Q2642" i="1"/>
  <c r="N2642" i="1"/>
  <c r="L2642" i="1"/>
  <c r="K2642" i="1"/>
  <c r="AB2642" i="1"/>
  <c r="AC2642" i="1" s="1"/>
  <c r="I2642" i="1"/>
  <c r="X2641" i="1"/>
  <c r="Z2641" i="1" s="1"/>
  <c r="W2641" i="1"/>
  <c r="S2641" i="1"/>
  <c r="Q2641" i="1"/>
  <c r="N2641" i="1"/>
  <c r="L2641" i="1"/>
  <c r="Y2641" i="1" s="1"/>
  <c r="K2641" i="1"/>
  <c r="AB2641" i="1"/>
  <c r="I2641" i="1"/>
  <c r="X2640" i="1"/>
  <c r="Z2640" i="1" s="1"/>
  <c r="W2640" i="1"/>
  <c r="S2640" i="1"/>
  <c r="Q2640" i="1"/>
  <c r="N2640" i="1"/>
  <c r="L2640" i="1"/>
  <c r="K2640" i="1"/>
  <c r="AB2640" i="1"/>
  <c r="I2640" i="1"/>
  <c r="X2639" i="1"/>
  <c r="Z2639" i="1" s="1"/>
  <c r="W2639" i="1"/>
  <c r="S2639" i="1"/>
  <c r="Q2639" i="1"/>
  <c r="N2639" i="1"/>
  <c r="L2639" i="1"/>
  <c r="K2639" i="1"/>
  <c r="AB2639" i="1"/>
  <c r="I2639" i="1"/>
  <c r="X2638" i="1"/>
  <c r="Z2638" i="1" s="1"/>
  <c r="W2638" i="1"/>
  <c r="S2638" i="1"/>
  <c r="Q2638" i="1"/>
  <c r="N2638" i="1"/>
  <c r="L2638" i="1"/>
  <c r="K2638" i="1"/>
  <c r="AB2638" i="1"/>
  <c r="I2638" i="1"/>
  <c r="X2637" i="1"/>
  <c r="Z2637" i="1" s="1"/>
  <c r="W2637" i="1"/>
  <c r="S2637" i="1"/>
  <c r="Q2637" i="1"/>
  <c r="N2637" i="1"/>
  <c r="L2637" i="1"/>
  <c r="K2637" i="1"/>
  <c r="AB2637" i="1"/>
  <c r="I2637" i="1"/>
  <c r="X2636" i="1"/>
  <c r="Z2636" i="1" s="1"/>
  <c r="W2636" i="1"/>
  <c r="S2636" i="1"/>
  <c r="Q2636" i="1"/>
  <c r="N2636" i="1"/>
  <c r="L2636" i="1"/>
  <c r="K2636" i="1"/>
  <c r="AB2636" i="1"/>
  <c r="I2636" i="1"/>
  <c r="X2635" i="1"/>
  <c r="Z2635" i="1" s="1"/>
  <c r="W2635" i="1"/>
  <c r="S2635" i="1"/>
  <c r="Q2635" i="1"/>
  <c r="N2635" i="1"/>
  <c r="L2635" i="1"/>
  <c r="K2635" i="1"/>
  <c r="AB2635" i="1"/>
  <c r="I2635" i="1"/>
  <c r="X2634" i="1"/>
  <c r="Z2634" i="1" s="1"/>
  <c r="W2634" i="1"/>
  <c r="S2634" i="1"/>
  <c r="Q2634" i="1"/>
  <c r="N2634" i="1"/>
  <c r="L2634" i="1"/>
  <c r="K2634" i="1"/>
  <c r="AB2634" i="1"/>
  <c r="I2634" i="1"/>
  <c r="X2633" i="1"/>
  <c r="Z2633" i="1" s="1"/>
  <c r="W2633" i="1"/>
  <c r="S2633" i="1"/>
  <c r="Q2633" i="1"/>
  <c r="N2633" i="1"/>
  <c r="L2633" i="1"/>
  <c r="K2633" i="1"/>
  <c r="AB2633" i="1"/>
  <c r="I2633" i="1"/>
  <c r="X2632" i="1"/>
  <c r="Z2632" i="1" s="1"/>
  <c r="W2632" i="1"/>
  <c r="S2632" i="1"/>
  <c r="Q2632" i="1"/>
  <c r="N2632" i="1"/>
  <c r="L2632" i="1"/>
  <c r="K2632" i="1"/>
  <c r="AB2632" i="1"/>
  <c r="I2632" i="1"/>
  <c r="X2631" i="1"/>
  <c r="Z2631" i="1" s="1"/>
  <c r="W2631" i="1"/>
  <c r="S2631" i="1"/>
  <c r="Q2631" i="1"/>
  <c r="N2631" i="1"/>
  <c r="L2631" i="1"/>
  <c r="K2631" i="1"/>
  <c r="AB2631" i="1"/>
  <c r="I2631" i="1"/>
  <c r="X2630" i="1"/>
  <c r="Z2630" i="1" s="1"/>
  <c r="W2630" i="1"/>
  <c r="S2630" i="1"/>
  <c r="Q2630" i="1"/>
  <c r="N2630" i="1"/>
  <c r="L2630" i="1"/>
  <c r="K2630" i="1"/>
  <c r="AB2630" i="1"/>
  <c r="I2630" i="1"/>
  <c r="X2629" i="1"/>
  <c r="Z2629" i="1" s="1"/>
  <c r="W2629" i="1"/>
  <c r="S2629" i="1"/>
  <c r="Q2629" i="1"/>
  <c r="N2629" i="1"/>
  <c r="L2629" i="1"/>
  <c r="K2629" i="1"/>
  <c r="AB2629" i="1"/>
  <c r="I2629" i="1"/>
  <c r="X2628" i="1"/>
  <c r="Z2628" i="1" s="1"/>
  <c r="W2628" i="1"/>
  <c r="S2628" i="1"/>
  <c r="Q2628" i="1"/>
  <c r="N2628" i="1"/>
  <c r="L2628" i="1"/>
  <c r="K2628" i="1"/>
  <c r="AB2628" i="1"/>
  <c r="I2628" i="1"/>
  <c r="X2627" i="1"/>
  <c r="Z2627" i="1" s="1"/>
  <c r="W2627" i="1"/>
  <c r="S2627" i="1"/>
  <c r="Q2627" i="1"/>
  <c r="N2627" i="1"/>
  <c r="L2627" i="1"/>
  <c r="K2627" i="1"/>
  <c r="AB2627" i="1"/>
  <c r="I2627" i="1"/>
  <c r="X2626" i="1"/>
  <c r="Z2626" i="1" s="1"/>
  <c r="W2626" i="1"/>
  <c r="S2626" i="1"/>
  <c r="Q2626" i="1"/>
  <c r="N2626" i="1"/>
  <c r="L2626" i="1"/>
  <c r="K2626" i="1"/>
  <c r="AB2626" i="1"/>
  <c r="I2626" i="1"/>
  <c r="X2625" i="1"/>
  <c r="Z2625" i="1" s="1"/>
  <c r="W2625" i="1"/>
  <c r="S2625" i="1"/>
  <c r="Q2625" i="1"/>
  <c r="N2625" i="1"/>
  <c r="L2625" i="1"/>
  <c r="Y2625" i="1" s="1"/>
  <c r="K2625" i="1"/>
  <c r="AB2625" i="1"/>
  <c r="I2625" i="1"/>
  <c r="X2624" i="1"/>
  <c r="Z2624" i="1" s="1"/>
  <c r="W2624" i="1"/>
  <c r="S2624" i="1"/>
  <c r="Q2624" i="1"/>
  <c r="N2624" i="1"/>
  <c r="L2624" i="1"/>
  <c r="K2624" i="1"/>
  <c r="AB2624" i="1"/>
  <c r="I2624" i="1"/>
  <c r="X2623" i="1"/>
  <c r="Z2623" i="1" s="1"/>
  <c r="W2623" i="1"/>
  <c r="S2623" i="1"/>
  <c r="Q2623" i="1"/>
  <c r="N2623" i="1"/>
  <c r="L2623" i="1"/>
  <c r="K2623" i="1"/>
  <c r="AB2623" i="1"/>
  <c r="I2623" i="1"/>
  <c r="X2622" i="1"/>
  <c r="Z2622" i="1" s="1"/>
  <c r="W2622" i="1"/>
  <c r="S2622" i="1"/>
  <c r="Q2622" i="1"/>
  <c r="N2622" i="1"/>
  <c r="L2622" i="1"/>
  <c r="K2622" i="1"/>
  <c r="AB2622" i="1"/>
  <c r="I2622" i="1"/>
  <c r="X2621" i="1"/>
  <c r="Z2621" i="1" s="1"/>
  <c r="W2621" i="1"/>
  <c r="S2621" i="1"/>
  <c r="Q2621" i="1"/>
  <c r="N2621" i="1"/>
  <c r="L2621" i="1"/>
  <c r="K2621" i="1"/>
  <c r="AB2621" i="1"/>
  <c r="I2621" i="1"/>
  <c r="X2620" i="1"/>
  <c r="Z2620" i="1" s="1"/>
  <c r="W2620" i="1"/>
  <c r="S2620" i="1"/>
  <c r="Q2620" i="1"/>
  <c r="N2620" i="1"/>
  <c r="L2620" i="1"/>
  <c r="K2620" i="1"/>
  <c r="AB2620" i="1"/>
  <c r="I2620" i="1"/>
  <c r="X2619" i="1"/>
  <c r="Z2619" i="1" s="1"/>
  <c r="W2619" i="1"/>
  <c r="S2619" i="1"/>
  <c r="Q2619" i="1"/>
  <c r="N2619" i="1"/>
  <c r="L2619" i="1"/>
  <c r="K2619" i="1"/>
  <c r="AB2619" i="1"/>
  <c r="I2619" i="1"/>
  <c r="X2618" i="1"/>
  <c r="Z2618" i="1" s="1"/>
  <c r="W2618" i="1"/>
  <c r="S2618" i="1"/>
  <c r="Q2618" i="1"/>
  <c r="N2618" i="1"/>
  <c r="L2618" i="1"/>
  <c r="K2618" i="1"/>
  <c r="AB2618" i="1"/>
  <c r="I2618" i="1"/>
  <c r="X2617" i="1"/>
  <c r="Z2617" i="1" s="1"/>
  <c r="W2617" i="1"/>
  <c r="S2617" i="1"/>
  <c r="Q2617" i="1"/>
  <c r="N2617" i="1"/>
  <c r="L2617" i="1"/>
  <c r="K2617" i="1"/>
  <c r="AB2617" i="1"/>
  <c r="I2617" i="1"/>
  <c r="X2616" i="1"/>
  <c r="Z2616" i="1" s="1"/>
  <c r="W2616" i="1"/>
  <c r="S2616" i="1"/>
  <c r="Q2616" i="1"/>
  <c r="N2616" i="1"/>
  <c r="L2616" i="1"/>
  <c r="K2616" i="1"/>
  <c r="AB2616" i="1"/>
  <c r="I2616" i="1"/>
  <c r="X2615" i="1"/>
  <c r="Z2615" i="1" s="1"/>
  <c r="W2615" i="1"/>
  <c r="S2615" i="1"/>
  <c r="Q2615" i="1"/>
  <c r="N2615" i="1"/>
  <c r="L2615" i="1"/>
  <c r="K2615" i="1"/>
  <c r="AB2615" i="1"/>
  <c r="I2615" i="1"/>
  <c r="X2614" i="1"/>
  <c r="Z2614" i="1" s="1"/>
  <c r="W2614" i="1"/>
  <c r="S2614" i="1"/>
  <c r="Q2614" i="1"/>
  <c r="N2614" i="1"/>
  <c r="L2614" i="1"/>
  <c r="K2614" i="1"/>
  <c r="AB2614" i="1"/>
  <c r="I2614" i="1"/>
  <c r="X2613" i="1"/>
  <c r="Z2613" i="1" s="1"/>
  <c r="W2613" i="1"/>
  <c r="S2613" i="1"/>
  <c r="Q2613" i="1"/>
  <c r="N2613" i="1"/>
  <c r="L2613" i="1"/>
  <c r="K2613" i="1"/>
  <c r="AB2613" i="1"/>
  <c r="I2613" i="1"/>
  <c r="X2612" i="1"/>
  <c r="Z2612" i="1" s="1"/>
  <c r="W2612" i="1"/>
  <c r="S2612" i="1"/>
  <c r="Q2612" i="1"/>
  <c r="N2612" i="1"/>
  <c r="L2612" i="1"/>
  <c r="K2612" i="1"/>
  <c r="AB2612" i="1"/>
  <c r="I2612" i="1"/>
  <c r="X2611" i="1"/>
  <c r="Z2611" i="1" s="1"/>
  <c r="W2611" i="1"/>
  <c r="S2611" i="1"/>
  <c r="Q2611" i="1"/>
  <c r="N2611" i="1"/>
  <c r="L2611" i="1"/>
  <c r="K2611" i="1"/>
  <c r="AB2611" i="1"/>
  <c r="I2611" i="1"/>
  <c r="X2610" i="1"/>
  <c r="Z2610" i="1" s="1"/>
  <c r="W2610" i="1"/>
  <c r="S2610" i="1"/>
  <c r="Q2610" i="1"/>
  <c r="N2610" i="1"/>
  <c r="L2610" i="1"/>
  <c r="K2610" i="1"/>
  <c r="AB2610" i="1"/>
  <c r="I2610" i="1"/>
  <c r="X2609" i="1"/>
  <c r="Z2609" i="1" s="1"/>
  <c r="W2609" i="1"/>
  <c r="S2609" i="1"/>
  <c r="Q2609" i="1"/>
  <c r="N2609" i="1"/>
  <c r="L2609" i="1"/>
  <c r="K2609" i="1"/>
  <c r="AB2609" i="1"/>
  <c r="I2609" i="1"/>
  <c r="X2608" i="1"/>
  <c r="Z2608" i="1" s="1"/>
  <c r="W2608" i="1"/>
  <c r="S2608" i="1"/>
  <c r="Q2608" i="1"/>
  <c r="N2608" i="1"/>
  <c r="L2608" i="1"/>
  <c r="K2608" i="1"/>
  <c r="AB2608" i="1"/>
  <c r="I2608" i="1"/>
  <c r="X2607" i="1"/>
  <c r="Z2607" i="1" s="1"/>
  <c r="W2607" i="1"/>
  <c r="S2607" i="1"/>
  <c r="Q2607" i="1"/>
  <c r="N2607" i="1"/>
  <c r="L2607" i="1"/>
  <c r="K2607" i="1"/>
  <c r="AB2607" i="1"/>
  <c r="I2607" i="1"/>
  <c r="X2606" i="1"/>
  <c r="Z2606" i="1" s="1"/>
  <c r="W2606" i="1"/>
  <c r="S2606" i="1"/>
  <c r="Q2606" i="1"/>
  <c r="N2606" i="1"/>
  <c r="L2606" i="1"/>
  <c r="K2606" i="1"/>
  <c r="AB2606" i="1"/>
  <c r="I2606" i="1"/>
  <c r="X2605" i="1"/>
  <c r="Z2605" i="1" s="1"/>
  <c r="W2605" i="1"/>
  <c r="S2605" i="1"/>
  <c r="Q2605" i="1"/>
  <c r="N2605" i="1"/>
  <c r="L2605" i="1"/>
  <c r="K2605" i="1"/>
  <c r="AB2605" i="1"/>
  <c r="I2605" i="1"/>
  <c r="X2604" i="1"/>
  <c r="Z2604" i="1" s="1"/>
  <c r="W2604" i="1"/>
  <c r="S2604" i="1"/>
  <c r="Q2604" i="1"/>
  <c r="N2604" i="1"/>
  <c r="L2604" i="1"/>
  <c r="K2604" i="1"/>
  <c r="AB2604" i="1"/>
  <c r="I2604" i="1"/>
  <c r="X2603" i="1"/>
  <c r="Z2603" i="1" s="1"/>
  <c r="W2603" i="1"/>
  <c r="S2603" i="1"/>
  <c r="Q2603" i="1"/>
  <c r="N2603" i="1"/>
  <c r="L2603" i="1"/>
  <c r="K2603" i="1"/>
  <c r="AB2603" i="1"/>
  <c r="I2603" i="1"/>
  <c r="X2602" i="1"/>
  <c r="Z2602" i="1" s="1"/>
  <c r="W2602" i="1"/>
  <c r="S2602" i="1"/>
  <c r="Q2602" i="1"/>
  <c r="N2602" i="1"/>
  <c r="L2602" i="1"/>
  <c r="K2602" i="1"/>
  <c r="AB2602" i="1"/>
  <c r="I2602" i="1"/>
  <c r="X2601" i="1"/>
  <c r="Z2601" i="1" s="1"/>
  <c r="W2601" i="1"/>
  <c r="S2601" i="1"/>
  <c r="Q2601" i="1"/>
  <c r="N2601" i="1"/>
  <c r="L2601" i="1"/>
  <c r="K2601" i="1"/>
  <c r="AB2601" i="1"/>
  <c r="I2601" i="1"/>
  <c r="X2600" i="1"/>
  <c r="Z2600" i="1" s="1"/>
  <c r="W2600" i="1"/>
  <c r="S2600" i="1"/>
  <c r="Q2600" i="1"/>
  <c r="N2600" i="1"/>
  <c r="L2600" i="1"/>
  <c r="K2600" i="1"/>
  <c r="AB2600" i="1"/>
  <c r="I2600" i="1"/>
  <c r="X2599" i="1"/>
  <c r="Z2599" i="1" s="1"/>
  <c r="W2599" i="1"/>
  <c r="S2599" i="1"/>
  <c r="Q2599" i="1"/>
  <c r="N2599" i="1"/>
  <c r="L2599" i="1"/>
  <c r="K2599" i="1"/>
  <c r="AB2599" i="1"/>
  <c r="I2599" i="1"/>
  <c r="X2598" i="1"/>
  <c r="Z2598" i="1" s="1"/>
  <c r="W2598" i="1"/>
  <c r="S2598" i="1"/>
  <c r="Q2598" i="1"/>
  <c r="N2598" i="1"/>
  <c r="L2598" i="1"/>
  <c r="K2598" i="1"/>
  <c r="AB2598" i="1"/>
  <c r="I2598" i="1"/>
  <c r="X2597" i="1"/>
  <c r="Z2597" i="1" s="1"/>
  <c r="W2597" i="1"/>
  <c r="S2597" i="1"/>
  <c r="Q2597" i="1"/>
  <c r="N2597" i="1"/>
  <c r="L2597" i="1"/>
  <c r="K2597" i="1"/>
  <c r="AB2597" i="1"/>
  <c r="I2597" i="1"/>
  <c r="X2596" i="1"/>
  <c r="Z2596" i="1" s="1"/>
  <c r="W2596" i="1"/>
  <c r="S2596" i="1"/>
  <c r="Q2596" i="1"/>
  <c r="N2596" i="1"/>
  <c r="L2596" i="1"/>
  <c r="K2596" i="1"/>
  <c r="AB2596" i="1"/>
  <c r="I2596" i="1"/>
  <c r="X2595" i="1"/>
  <c r="Z2595" i="1" s="1"/>
  <c r="W2595" i="1"/>
  <c r="S2595" i="1"/>
  <c r="Q2595" i="1"/>
  <c r="N2595" i="1"/>
  <c r="L2595" i="1"/>
  <c r="K2595" i="1"/>
  <c r="AB2595" i="1"/>
  <c r="I2595" i="1"/>
  <c r="X2594" i="1"/>
  <c r="Z2594" i="1" s="1"/>
  <c r="W2594" i="1"/>
  <c r="S2594" i="1"/>
  <c r="Q2594" i="1"/>
  <c r="N2594" i="1"/>
  <c r="L2594" i="1"/>
  <c r="K2594" i="1"/>
  <c r="AB2594" i="1"/>
  <c r="I2594" i="1"/>
  <c r="X2593" i="1"/>
  <c r="Z2593" i="1" s="1"/>
  <c r="W2593" i="1"/>
  <c r="S2593" i="1"/>
  <c r="Q2593" i="1"/>
  <c r="N2593" i="1"/>
  <c r="L2593" i="1"/>
  <c r="K2593" i="1"/>
  <c r="AB2593" i="1"/>
  <c r="I2593" i="1"/>
  <c r="X2592" i="1"/>
  <c r="Z2592" i="1" s="1"/>
  <c r="W2592" i="1"/>
  <c r="S2592" i="1"/>
  <c r="Q2592" i="1"/>
  <c r="N2592" i="1"/>
  <c r="L2592" i="1"/>
  <c r="K2592" i="1"/>
  <c r="AB2592" i="1"/>
  <c r="I2592" i="1"/>
  <c r="X2591" i="1"/>
  <c r="Z2591" i="1" s="1"/>
  <c r="W2591" i="1"/>
  <c r="S2591" i="1"/>
  <c r="Q2591" i="1"/>
  <c r="N2591" i="1"/>
  <c r="L2591" i="1"/>
  <c r="K2591" i="1"/>
  <c r="AB2591" i="1"/>
  <c r="I2591" i="1"/>
  <c r="X2590" i="1"/>
  <c r="Z2590" i="1" s="1"/>
  <c r="W2590" i="1"/>
  <c r="S2590" i="1"/>
  <c r="Q2590" i="1"/>
  <c r="N2590" i="1"/>
  <c r="L2590" i="1"/>
  <c r="K2590" i="1"/>
  <c r="AB2590" i="1"/>
  <c r="I2590" i="1"/>
  <c r="X2589" i="1"/>
  <c r="Z2589" i="1" s="1"/>
  <c r="W2589" i="1"/>
  <c r="S2589" i="1"/>
  <c r="Q2589" i="1"/>
  <c r="N2589" i="1"/>
  <c r="L2589" i="1"/>
  <c r="K2589" i="1"/>
  <c r="AB2589" i="1"/>
  <c r="I2589" i="1"/>
  <c r="X2588" i="1"/>
  <c r="Z2588" i="1" s="1"/>
  <c r="W2588" i="1"/>
  <c r="S2588" i="1"/>
  <c r="Q2588" i="1"/>
  <c r="N2588" i="1"/>
  <c r="L2588" i="1"/>
  <c r="K2588" i="1"/>
  <c r="AB2588" i="1"/>
  <c r="I2588" i="1"/>
  <c r="X2587" i="1"/>
  <c r="Z2587" i="1" s="1"/>
  <c r="W2587" i="1"/>
  <c r="S2587" i="1"/>
  <c r="Q2587" i="1"/>
  <c r="N2587" i="1"/>
  <c r="L2587" i="1"/>
  <c r="K2587" i="1"/>
  <c r="AB2587" i="1"/>
  <c r="I2587" i="1"/>
  <c r="X2586" i="1"/>
  <c r="Z2586" i="1" s="1"/>
  <c r="W2586" i="1"/>
  <c r="S2586" i="1"/>
  <c r="Q2586" i="1"/>
  <c r="N2586" i="1"/>
  <c r="L2586" i="1"/>
  <c r="K2586" i="1"/>
  <c r="AB2586" i="1"/>
  <c r="I2586" i="1"/>
  <c r="X2585" i="1"/>
  <c r="Z2585" i="1" s="1"/>
  <c r="W2585" i="1"/>
  <c r="S2585" i="1"/>
  <c r="Q2585" i="1"/>
  <c r="N2585" i="1"/>
  <c r="L2585" i="1"/>
  <c r="K2585" i="1"/>
  <c r="AB2585" i="1"/>
  <c r="I2585" i="1"/>
  <c r="X2584" i="1"/>
  <c r="Z2584" i="1" s="1"/>
  <c r="W2584" i="1"/>
  <c r="S2584" i="1"/>
  <c r="Q2584" i="1"/>
  <c r="N2584" i="1"/>
  <c r="L2584" i="1"/>
  <c r="K2584" i="1"/>
  <c r="AB2584" i="1"/>
  <c r="I2584" i="1"/>
  <c r="X2583" i="1"/>
  <c r="Z2583" i="1" s="1"/>
  <c r="W2583" i="1"/>
  <c r="S2583" i="1"/>
  <c r="Q2583" i="1"/>
  <c r="N2583" i="1"/>
  <c r="L2583" i="1"/>
  <c r="K2583" i="1"/>
  <c r="AB2583" i="1"/>
  <c r="I2583" i="1"/>
  <c r="X2582" i="1"/>
  <c r="Z2582" i="1" s="1"/>
  <c r="W2582" i="1"/>
  <c r="S2582" i="1"/>
  <c r="Q2582" i="1"/>
  <c r="N2582" i="1"/>
  <c r="L2582" i="1"/>
  <c r="K2582" i="1"/>
  <c r="AB2582" i="1"/>
  <c r="I2582" i="1"/>
  <c r="X2581" i="1"/>
  <c r="Z2581" i="1" s="1"/>
  <c r="W2581" i="1"/>
  <c r="S2581" i="1"/>
  <c r="Q2581" i="1"/>
  <c r="N2581" i="1"/>
  <c r="L2581" i="1"/>
  <c r="K2581" i="1"/>
  <c r="AB2581" i="1"/>
  <c r="I2581" i="1"/>
  <c r="X2580" i="1"/>
  <c r="Z2580" i="1" s="1"/>
  <c r="W2580" i="1"/>
  <c r="S2580" i="1"/>
  <c r="Q2580" i="1"/>
  <c r="N2580" i="1"/>
  <c r="L2580" i="1"/>
  <c r="K2580" i="1"/>
  <c r="AB2580" i="1"/>
  <c r="I2580" i="1"/>
  <c r="X2579" i="1"/>
  <c r="Z2579" i="1" s="1"/>
  <c r="W2579" i="1"/>
  <c r="S2579" i="1"/>
  <c r="Q2579" i="1"/>
  <c r="N2579" i="1"/>
  <c r="L2579" i="1"/>
  <c r="K2579" i="1"/>
  <c r="AB2579" i="1"/>
  <c r="I2579" i="1"/>
  <c r="X2578" i="1"/>
  <c r="Z2578" i="1" s="1"/>
  <c r="W2578" i="1"/>
  <c r="S2578" i="1"/>
  <c r="Q2578" i="1"/>
  <c r="N2578" i="1"/>
  <c r="L2578" i="1"/>
  <c r="K2578" i="1"/>
  <c r="AB2578" i="1"/>
  <c r="I2578" i="1"/>
  <c r="X2577" i="1"/>
  <c r="Z2577" i="1" s="1"/>
  <c r="W2577" i="1"/>
  <c r="S2577" i="1"/>
  <c r="Q2577" i="1"/>
  <c r="N2577" i="1"/>
  <c r="L2577" i="1"/>
  <c r="K2577" i="1"/>
  <c r="AB2577" i="1"/>
  <c r="I2577" i="1"/>
  <c r="X2576" i="1"/>
  <c r="Z2576" i="1" s="1"/>
  <c r="W2576" i="1"/>
  <c r="S2576" i="1"/>
  <c r="Q2576" i="1"/>
  <c r="N2576" i="1"/>
  <c r="L2576" i="1"/>
  <c r="K2576" i="1"/>
  <c r="AB2576" i="1"/>
  <c r="I2576" i="1"/>
  <c r="X2575" i="1"/>
  <c r="Z2575" i="1" s="1"/>
  <c r="W2575" i="1"/>
  <c r="S2575" i="1"/>
  <c r="Q2575" i="1"/>
  <c r="N2575" i="1"/>
  <c r="L2575" i="1"/>
  <c r="K2575" i="1"/>
  <c r="AB2575" i="1"/>
  <c r="I2575" i="1"/>
  <c r="X2574" i="1"/>
  <c r="Z2574" i="1" s="1"/>
  <c r="W2574" i="1"/>
  <c r="S2574" i="1"/>
  <c r="Q2574" i="1"/>
  <c r="N2574" i="1"/>
  <c r="L2574" i="1"/>
  <c r="K2574" i="1"/>
  <c r="AB2574" i="1"/>
  <c r="I2574" i="1"/>
  <c r="X2573" i="1"/>
  <c r="Z2573" i="1" s="1"/>
  <c r="W2573" i="1"/>
  <c r="S2573" i="1"/>
  <c r="Q2573" i="1"/>
  <c r="N2573" i="1"/>
  <c r="L2573" i="1"/>
  <c r="K2573" i="1"/>
  <c r="AB2573" i="1"/>
  <c r="I2573" i="1"/>
  <c r="X2572" i="1"/>
  <c r="Z2572" i="1" s="1"/>
  <c r="W2572" i="1"/>
  <c r="S2572" i="1"/>
  <c r="Q2572" i="1"/>
  <c r="N2572" i="1"/>
  <c r="L2572" i="1"/>
  <c r="K2572" i="1"/>
  <c r="AB2572" i="1"/>
  <c r="I2572" i="1"/>
  <c r="X2571" i="1"/>
  <c r="Z2571" i="1" s="1"/>
  <c r="W2571" i="1"/>
  <c r="S2571" i="1"/>
  <c r="Q2571" i="1"/>
  <c r="N2571" i="1"/>
  <c r="L2571" i="1"/>
  <c r="K2571" i="1"/>
  <c r="AB2571" i="1"/>
  <c r="I2571" i="1"/>
  <c r="X2570" i="1"/>
  <c r="Z2570" i="1" s="1"/>
  <c r="W2570" i="1"/>
  <c r="S2570" i="1"/>
  <c r="Q2570" i="1"/>
  <c r="N2570" i="1"/>
  <c r="L2570" i="1"/>
  <c r="K2570" i="1"/>
  <c r="AB2570" i="1"/>
  <c r="I2570" i="1"/>
  <c r="X2569" i="1"/>
  <c r="Z2569" i="1" s="1"/>
  <c r="W2569" i="1"/>
  <c r="S2569" i="1"/>
  <c r="Q2569" i="1"/>
  <c r="N2569" i="1"/>
  <c r="L2569" i="1"/>
  <c r="K2569" i="1"/>
  <c r="AB2569" i="1"/>
  <c r="I2569" i="1"/>
  <c r="X2568" i="1"/>
  <c r="Z2568" i="1" s="1"/>
  <c r="W2568" i="1"/>
  <c r="S2568" i="1"/>
  <c r="Q2568" i="1"/>
  <c r="N2568" i="1"/>
  <c r="L2568" i="1"/>
  <c r="K2568" i="1"/>
  <c r="AB2568" i="1"/>
  <c r="I2568" i="1"/>
  <c r="X2567" i="1"/>
  <c r="Z2567" i="1" s="1"/>
  <c r="W2567" i="1"/>
  <c r="S2567" i="1"/>
  <c r="Q2567" i="1"/>
  <c r="N2567" i="1"/>
  <c r="L2567" i="1"/>
  <c r="K2567" i="1"/>
  <c r="AB2567" i="1"/>
  <c r="I2567" i="1"/>
  <c r="X2566" i="1"/>
  <c r="Z2566" i="1" s="1"/>
  <c r="W2566" i="1"/>
  <c r="S2566" i="1"/>
  <c r="Q2566" i="1"/>
  <c r="N2566" i="1"/>
  <c r="L2566" i="1"/>
  <c r="K2566" i="1"/>
  <c r="AB2566" i="1"/>
  <c r="I2566" i="1"/>
  <c r="X2565" i="1"/>
  <c r="Z2565" i="1" s="1"/>
  <c r="W2565" i="1"/>
  <c r="S2565" i="1"/>
  <c r="Q2565" i="1"/>
  <c r="N2565" i="1"/>
  <c r="L2565" i="1"/>
  <c r="K2565" i="1"/>
  <c r="AB2565" i="1"/>
  <c r="I2565" i="1"/>
  <c r="X2564" i="1"/>
  <c r="Z2564" i="1" s="1"/>
  <c r="W2564" i="1"/>
  <c r="S2564" i="1"/>
  <c r="Q2564" i="1"/>
  <c r="N2564" i="1"/>
  <c r="L2564" i="1"/>
  <c r="K2564" i="1"/>
  <c r="AB2564" i="1"/>
  <c r="I2564" i="1"/>
  <c r="X2563" i="1"/>
  <c r="Z2563" i="1" s="1"/>
  <c r="W2563" i="1"/>
  <c r="S2563" i="1"/>
  <c r="Q2563" i="1"/>
  <c r="N2563" i="1"/>
  <c r="L2563" i="1"/>
  <c r="K2563" i="1"/>
  <c r="AB2563" i="1"/>
  <c r="I2563" i="1"/>
  <c r="X2562" i="1"/>
  <c r="Z2562" i="1" s="1"/>
  <c r="W2562" i="1"/>
  <c r="S2562" i="1"/>
  <c r="Q2562" i="1"/>
  <c r="N2562" i="1"/>
  <c r="L2562" i="1"/>
  <c r="K2562" i="1"/>
  <c r="AB2562" i="1"/>
  <c r="I2562" i="1"/>
  <c r="X2561" i="1"/>
  <c r="Z2561" i="1" s="1"/>
  <c r="W2561" i="1"/>
  <c r="S2561" i="1"/>
  <c r="Q2561" i="1"/>
  <c r="N2561" i="1"/>
  <c r="L2561" i="1"/>
  <c r="Y2561" i="1" s="1"/>
  <c r="K2561" i="1"/>
  <c r="AB2561" i="1"/>
  <c r="I2561" i="1"/>
  <c r="X2560" i="1"/>
  <c r="Z2560" i="1" s="1"/>
  <c r="W2560" i="1"/>
  <c r="S2560" i="1"/>
  <c r="Q2560" i="1"/>
  <c r="N2560" i="1"/>
  <c r="L2560" i="1"/>
  <c r="K2560" i="1"/>
  <c r="AB2560" i="1"/>
  <c r="I2560" i="1"/>
  <c r="X2559" i="1"/>
  <c r="Z2559" i="1" s="1"/>
  <c r="W2559" i="1"/>
  <c r="S2559" i="1"/>
  <c r="Q2559" i="1"/>
  <c r="N2559" i="1"/>
  <c r="L2559" i="1"/>
  <c r="K2559" i="1"/>
  <c r="AB2559" i="1"/>
  <c r="I2559" i="1"/>
  <c r="X2558" i="1"/>
  <c r="Z2558" i="1" s="1"/>
  <c r="W2558" i="1"/>
  <c r="S2558" i="1"/>
  <c r="Q2558" i="1"/>
  <c r="N2558" i="1"/>
  <c r="L2558" i="1"/>
  <c r="K2558" i="1"/>
  <c r="AB2558" i="1"/>
  <c r="I2558" i="1"/>
  <c r="X2557" i="1"/>
  <c r="Z2557" i="1" s="1"/>
  <c r="W2557" i="1"/>
  <c r="S2557" i="1"/>
  <c r="Q2557" i="1"/>
  <c r="N2557" i="1"/>
  <c r="L2557" i="1"/>
  <c r="K2557" i="1"/>
  <c r="AB2557" i="1"/>
  <c r="I2557" i="1"/>
  <c r="X2556" i="1"/>
  <c r="Z2556" i="1" s="1"/>
  <c r="W2556" i="1"/>
  <c r="S2556" i="1"/>
  <c r="Q2556" i="1"/>
  <c r="N2556" i="1"/>
  <c r="L2556" i="1"/>
  <c r="K2556" i="1"/>
  <c r="AB2556" i="1"/>
  <c r="I2556" i="1"/>
  <c r="X2555" i="1"/>
  <c r="Z2555" i="1" s="1"/>
  <c r="W2555" i="1"/>
  <c r="S2555" i="1"/>
  <c r="Q2555" i="1"/>
  <c r="N2555" i="1"/>
  <c r="L2555" i="1"/>
  <c r="K2555" i="1"/>
  <c r="AB2555" i="1"/>
  <c r="I2555" i="1"/>
  <c r="X2554" i="1"/>
  <c r="Z2554" i="1" s="1"/>
  <c r="W2554" i="1"/>
  <c r="S2554" i="1"/>
  <c r="Q2554" i="1"/>
  <c r="N2554" i="1"/>
  <c r="L2554" i="1"/>
  <c r="K2554" i="1"/>
  <c r="AB2554" i="1"/>
  <c r="I2554" i="1"/>
  <c r="X2553" i="1"/>
  <c r="Z2553" i="1" s="1"/>
  <c r="W2553" i="1"/>
  <c r="S2553" i="1"/>
  <c r="Q2553" i="1"/>
  <c r="N2553" i="1"/>
  <c r="L2553" i="1"/>
  <c r="K2553" i="1"/>
  <c r="AB2553" i="1"/>
  <c r="I2553" i="1"/>
  <c r="X2552" i="1"/>
  <c r="Z2552" i="1" s="1"/>
  <c r="W2552" i="1"/>
  <c r="S2552" i="1"/>
  <c r="Q2552" i="1"/>
  <c r="N2552" i="1"/>
  <c r="L2552" i="1"/>
  <c r="K2552" i="1"/>
  <c r="AB2552" i="1"/>
  <c r="I2552" i="1"/>
  <c r="X2551" i="1"/>
  <c r="Z2551" i="1" s="1"/>
  <c r="W2551" i="1"/>
  <c r="S2551" i="1"/>
  <c r="Q2551" i="1"/>
  <c r="N2551" i="1"/>
  <c r="L2551" i="1"/>
  <c r="K2551" i="1"/>
  <c r="AB2551" i="1"/>
  <c r="I2551" i="1"/>
  <c r="X2550" i="1"/>
  <c r="Z2550" i="1" s="1"/>
  <c r="W2550" i="1"/>
  <c r="S2550" i="1"/>
  <c r="Q2550" i="1"/>
  <c r="N2550" i="1"/>
  <c r="L2550" i="1"/>
  <c r="K2550" i="1"/>
  <c r="AB2550" i="1"/>
  <c r="I2550" i="1"/>
  <c r="X2549" i="1"/>
  <c r="Z2549" i="1" s="1"/>
  <c r="W2549" i="1"/>
  <c r="S2549" i="1"/>
  <c r="Q2549" i="1"/>
  <c r="N2549" i="1"/>
  <c r="L2549" i="1"/>
  <c r="Y2549" i="1" s="1"/>
  <c r="K2549" i="1"/>
  <c r="AB2549" i="1"/>
  <c r="I2549" i="1"/>
  <c r="X2548" i="1"/>
  <c r="Z2548" i="1" s="1"/>
  <c r="W2548" i="1"/>
  <c r="S2548" i="1"/>
  <c r="Q2548" i="1"/>
  <c r="N2548" i="1"/>
  <c r="L2548" i="1"/>
  <c r="K2548" i="1"/>
  <c r="AB2548" i="1"/>
  <c r="I2548" i="1"/>
  <c r="X2547" i="1"/>
  <c r="Z2547" i="1" s="1"/>
  <c r="W2547" i="1"/>
  <c r="S2547" i="1"/>
  <c r="Q2547" i="1"/>
  <c r="N2547" i="1"/>
  <c r="L2547" i="1"/>
  <c r="K2547" i="1"/>
  <c r="AB2547" i="1"/>
  <c r="I2547" i="1"/>
  <c r="X2546" i="1"/>
  <c r="Z2546" i="1" s="1"/>
  <c r="W2546" i="1"/>
  <c r="S2546" i="1"/>
  <c r="Q2546" i="1"/>
  <c r="N2546" i="1"/>
  <c r="L2546" i="1"/>
  <c r="K2546" i="1"/>
  <c r="AB2546" i="1"/>
  <c r="AC2546" i="1" s="1"/>
  <c r="I2546" i="1"/>
  <c r="X2545" i="1"/>
  <c r="Z2545" i="1" s="1"/>
  <c r="W2545" i="1"/>
  <c r="S2545" i="1"/>
  <c r="Q2545" i="1"/>
  <c r="N2545" i="1"/>
  <c r="L2545" i="1"/>
  <c r="K2545" i="1"/>
  <c r="AB2545" i="1"/>
  <c r="I2545" i="1"/>
  <c r="X2544" i="1"/>
  <c r="Z2544" i="1" s="1"/>
  <c r="W2544" i="1"/>
  <c r="S2544" i="1"/>
  <c r="Q2544" i="1"/>
  <c r="N2544" i="1"/>
  <c r="L2544" i="1"/>
  <c r="K2544" i="1"/>
  <c r="AB2544" i="1"/>
  <c r="I2544" i="1"/>
  <c r="X2543" i="1"/>
  <c r="Z2543" i="1" s="1"/>
  <c r="W2543" i="1"/>
  <c r="S2543" i="1"/>
  <c r="Q2543" i="1"/>
  <c r="N2543" i="1"/>
  <c r="L2543" i="1"/>
  <c r="K2543" i="1"/>
  <c r="AB2543" i="1"/>
  <c r="I2543" i="1"/>
  <c r="X2542" i="1"/>
  <c r="Z2542" i="1" s="1"/>
  <c r="W2542" i="1"/>
  <c r="S2542" i="1"/>
  <c r="Q2542" i="1"/>
  <c r="N2542" i="1"/>
  <c r="L2542" i="1"/>
  <c r="K2542" i="1"/>
  <c r="AB2542" i="1"/>
  <c r="AC2542" i="1" s="1"/>
  <c r="I2542" i="1"/>
  <c r="X2541" i="1"/>
  <c r="Z2541" i="1" s="1"/>
  <c r="W2541" i="1"/>
  <c r="S2541" i="1"/>
  <c r="Q2541" i="1"/>
  <c r="N2541" i="1"/>
  <c r="L2541" i="1"/>
  <c r="Y2541" i="1" s="1"/>
  <c r="K2541" i="1"/>
  <c r="AB2541" i="1"/>
  <c r="I2541" i="1"/>
  <c r="X2540" i="1"/>
  <c r="Z2540" i="1" s="1"/>
  <c r="W2540" i="1"/>
  <c r="S2540" i="1"/>
  <c r="Q2540" i="1"/>
  <c r="N2540" i="1"/>
  <c r="L2540" i="1"/>
  <c r="K2540" i="1"/>
  <c r="AB2540" i="1"/>
  <c r="I2540" i="1"/>
  <c r="X2539" i="1"/>
  <c r="Z2539" i="1" s="1"/>
  <c r="W2539" i="1"/>
  <c r="S2539" i="1"/>
  <c r="Q2539" i="1"/>
  <c r="N2539" i="1"/>
  <c r="L2539" i="1"/>
  <c r="K2539" i="1"/>
  <c r="AB2539" i="1"/>
  <c r="I2539" i="1"/>
  <c r="X2538" i="1"/>
  <c r="Z2538" i="1" s="1"/>
  <c r="W2538" i="1"/>
  <c r="S2538" i="1"/>
  <c r="Q2538" i="1"/>
  <c r="N2538" i="1"/>
  <c r="L2538" i="1"/>
  <c r="K2538" i="1"/>
  <c r="AB2538" i="1"/>
  <c r="AC2538" i="1" s="1"/>
  <c r="I2538" i="1"/>
  <c r="X2537" i="1"/>
  <c r="Z2537" i="1" s="1"/>
  <c r="W2537" i="1"/>
  <c r="S2537" i="1"/>
  <c r="Q2537" i="1"/>
  <c r="N2537" i="1"/>
  <c r="L2537" i="1"/>
  <c r="K2537" i="1"/>
  <c r="AB2537" i="1"/>
  <c r="I2537" i="1"/>
  <c r="X2536" i="1"/>
  <c r="Z2536" i="1" s="1"/>
  <c r="W2536" i="1"/>
  <c r="S2536" i="1"/>
  <c r="Q2536" i="1"/>
  <c r="N2536" i="1"/>
  <c r="L2536" i="1"/>
  <c r="K2536" i="1"/>
  <c r="AB2536" i="1"/>
  <c r="I2536" i="1"/>
  <c r="X2535" i="1"/>
  <c r="Z2535" i="1" s="1"/>
  <c r="W2535" i="1"/>
  <c r="S2535" i="1"/>
  <c r="Q2535" i="1"/>
  <c r="N2535" i="1"/>
  <c r="L2535" i="1"/>
  <c r="K2535" i="1"/>
  <c r="AB2535" i="1"/>
  <c r="I2535" i="1"/>
  <c r="X2534" i="1"/>
  <c r="Z2534" i="1" s="1"/>
  <c r="W2534" i="1"/>
  <c r="S2534" i="1"/>
  <c r="Q2534" i="1"/>
  <c r="N2534" i="1"/>
  <c r="L2534" i="1"/>
  <c r="K2534" i="1"/>
  <c r="AB2534" i="1"/>
  <c r="I2534" i="1"/>
  <c r="X2533" i="1"/>
  <c r="Z2533" i="1" s="1"/>
  <c r="W2533" i="1"/>
  <c r="S2533" i="1"/>
  <c r="Q2533" i="1"/>
  <c r="N2533" i="1"/>
  <c r="L2533" i="1"/>
  <c r="Y2533" i="1" s="1"/>
  <c r="K2533" i="1"/>
  <c r="AB2533" i="1"/>
  <c r="I2533" i="1"/>
  <c r="X2532" i="1"/>
  <c r="Z2532" i="1" s="1"/>
  <c r="W2532" i="1"/>
  <c r="S2532" i="1"/>
  <c r="Q2532" i="1"/>
  <c r="N2532" i="1"/>
  <c r="L2532" i="1"/>
  <c r="K2532" i="1"/>
  <c r="AB2532" i="1"/>
  <c r="I2532" i="1"/>
  <c r="X2531" i="1"/>
  <c r="Z2531" i="1" s="1"/>
  <c r="W2531" i="1"/>
  <c r="S2531" i="1"/>
  <c r="Q2531" i="1"/>
  <c r="N2531" i="1"/>
  <c r="L2531" i="1"/>
  <c r="K2531" i="1"/>
  <c r="AB2531" i="1"/>
  <c r="I2531" i="1"/>
  <c r="X2530" i="1"/>
  <c r="Z2530" i="1" s="1"/>
  <c r="W2530" i="1"/>
  <c r="S2530" i="1"/>
  <c r="Q2530" i="1"/>
  <c r="N2530" i="1"/>
  <c r="L2530" i="1"/>
  <c r="K2530" i="1"/>
  <c r="AB2530" i="1"/>
  <c r="AC2530" i="1" s="1"/>
  <c r="I2530" i="1"/>
  <c r="X2529" i="1"/>
  <c r="Z2529" i="1" s="1"/>
  <c r="W2529" i="1"/>
  <c r="S2529" i="1"/>
  <c r="Q2529" i="1"/>
  <c r="N2529" i="1"/>
  <c r="L2529" i="1"/>
  <c r="K2529" i="1"/>
  <c r="AB2529" i="1"/>
  <c r="I2529" i="1"/>
  <c r="X2528" i="1"/>
  <c r="Z2528" i="1" s="1"/>
  <c r="W2528" i="1"/>
  <c r="S2528" i="1"/>
  <c r="Q2528" i="1"/>
  <c r="N2528" i="1"/>
  <c r="L2528" i="1"/>
  <c r="K2528" i="1"/>
  <c r="AB2528" i="1"/>
  <c r="I2528" i="1"/>
  <c r="X2527" i="1"/>
  <c r="Z2527" i="1" s="1"/>
  <c r="W2527" i="1"/>
  <c r="S2527" i="1"/>
  <c r="Q2527" i="1"/>
  <c r="N2527" i="1"/>
  <c r="L2527" i="1"/>
  <c r="K2527" i="1"/>
  <c r="AB2527" i="1"/>
  <c r="I2527" i="1"/>
  <c r="X2526" i="1"/>
  <c r="Z2526" i="1" s="1"/>
  <c r="W2526" i="1"/>
  <c r="S2526" i="1"/>
  <c r="Q2526" i="1"/>
  <c r="N2526" i="1"/>
  <c r="L2526" i="1"/>
  <c r="K2526" i="1"/>
  <c r="AB2526" i="1"/>
  <c r="AC2526" i="1" s="1"/>
  <c r="I2526" i="1"/>
  <c r="X2525" i="1"/>
  <c r="Z2525" i="1" s="1"/>
  <c r="W2525" i="1"/>
  <c r="S2525" i="1"/>
  <c r="Q2525" i="1"/>
  <c r="N2525" i="1"/>
  <c r="L2525" i="1"/>
  <c r="K2525" i="1"/>
  <c r="AB2525" i="1"/>
  <c r="I2525" i="1"/>
  <c r="X2524" i="1"/>
  <c r="Z2524" i="1" s="1"/>
  <c r="W2524" i="1"/>
  <c r="S2524" i="1"/>
  <c r="Q2524" i="1"/>
  <c r="N2524" i="1"/>
  <c r="L2524" i="1"/>
  <c r="K2524" i="1"/>
  <c r="AB2524" i="1"/>
  <c r="I2524" i="1"/>
  <c r="X2523" i="1"/>
  <c r="Z2523" i="1" s="1"/>
  <c r="W2523" i="1"/>
  <c r="S2523" i="1"/>
  <c r="Q2523" i="1"/>
  <c r="N2523" i="1"/>
  <c r="L2523" i="1"/>
  <c r="K2523" i="1"/>
  <c r="AB2523" i="1"/>
  <c r="I2523" i="1"/>
  <c r="X2522" i="1"/>
  <c r="Z2522" i="1" s="1"/>
  <c r="W2522" i="1"/>
  <c r="S2522" i="1"/>
  <c r="Q2522" i="1"/>
  <c r="N2522" i="1"/>
  <c r="L2522" i="1"/>
  <c r="K2522" i="1"/>
  <c r="AB2522" i="1"/>
  <c r="AC2522" i="1" s="1"/>
  <c r="I2522" i="1"/>
  <c r="X2521" i="1"/>
  <c r="Z2521" i="1" s="1"/>
  <c r="W2521" i="1"/>
  <c r="S2521" i="1"/>
  <c r="Q2521" i="1"/>
  <c r="N2521" i="1"/>
  <c r="L2521" i="1"/>
  <c r="K2521" i="1"/>
  <c r="AB2521" i="1"/>
  <c r="I2521" i="1"/>
  <c r="X2520" i="1"/>
  <c r="Z2520" i="1" s="1"/>
  <c r="W2520" i="1"/>
  <c r="S2520" i="1"/>
  <c r="Q2520" i="1"/>
  <c r="N2520" i="1"/>
  <c r="L2520" i="1"/>
  <c r="K2520" i="1"/>
  <c r="AB2520" i="1"/>
  <c r="I2520" i="1"/>
  <c r="X2519" i="1"/>
  <c r="Z2519" i="1" s="1"/>
  <c r="W2519" i="1"/>
  <c r="S2519" i="1"/>
  <c r="Q2519" i="1"/>
  <c r="N2519" i="1"/>
  <c r="L2519" i="1"/>
  <c r="K2519" i="1"/>
  <c r="AB2519" i="1"/>
  <c r="I2519" i="1"/>
  <c r="X2518" i="1"/>
  <c r="Z2518" i="1" s="1"/>
  <c r="W2518" i="1"/>
  <c r="S2518" i="1"/>
  <c r="Q2518" i="1"/>
  <c r="N2518" i="1"/>
  <c r="L2518" i="1"/>
  <c r="K2518" i="1"/>
  <c r="AB2518" i="1"/>
  <c r="AC2518" i="1" s="1"/>
  <c r="I2518" i="1"/>
  <c r="X2517" i="1"/>
  <c r="Z2517" i="1" s="1"/>
  <c r="W2517" i="1"/>
  <c r="S2517" i="1"/>
  <c r="Q2517" i="1"/>
  <c r="N2517" i="1"/>
  <c r="L2517" i="1"/>
  <c r="Y2517" i="1" s="1"/>
  <c r="K2517" i="1"/>
  <c r="AB2517" i="1"/>
  <c r="I2517" i="1"/>
  <c r="X2516" i="1"/>
  <c r="Z2516" i="1" s="1"/>
  <c r="W2516" i="1"/>
  <c r="S2516" i="1"/>
  <c r="Q2516" i="1"/>
  <c r="N2516" i="1"/>
  <c r="L2516" i="1"/>
  <c r="K2516" i="1"/>
  <c r="AB2516" i="1"/>
  <c r="I2516" i="1"/>
  <c r="X2515" i="1"/>
  <c r="Z2515" i="1" s="1"/>
  <c r="W2515" i="1"/>
  <c r="S2515" i="1"/>
  <c r="Q2515" i="1"/>
  <c r="N2515" i="1"/>
  <c r="L2515" i="1"/>
  <c r="K2515" i="1"/>
  <c r="AB2515" i="1"/>
  <c r="I2515" i="1"/>
  <c r="X2514" i="1"/>
  <c r="Z2514" i="1" s="1"/>
  <c r="W2514" i="1"/>
  <c r="S2514" i="1"/>
  <c r="Q2514" i="1"/>
  <c r="N2514" i="1"/>
  <c r="L2514" i="1"/>
  <c r="K2514" i="1"/>
  <c r="AB2514" i="1"/>
  <c r="AC2514" i="1" s="1"/>
  <c r="I2514" i="1"/>
  <c r="X2513" i="1"/>
  <c r="Z2513" i="1" s="1"/>
  <c r="W2513" i="1"/>
  <c r="S2513" i="1"/>
  <c r="Q2513" i="1"/>
  <c r="N2513" i="1"/>
  <c r="L2513" i="1"/>
  <c r="K2513" i="1"/>
  <c r="AB2513" i="1"/>
  <c r="I2513" i="1"/>
  <c r="X2512" i="1"/>
  <c r="Z2512" i="1" s="1"/>
  <c r="W2512" i="1"/>
  <c r="S2512" i="1"/>
  <c r="Q2512" i="1"/>
  <c r="N2512" i="1"/>
  <c r="L2512" i="1"/>
  <c r="K2512" i="1"/>
  <c r="AB2512" i="1"/>
  <c r="I2512" i="1"/>
  <c r="X2511" i="1"/>
  <c r="Z2511" i="1" s="1"/>
  <c r="W2511" i="1"/>
  <c r="S2511" i="1"/>
  <c r="Q2511" i="1"/>
  <c r="N2511" i="1"/>
  <c r="L2511" i="1"/>
  <c r="K2511" i="1"/>
  <c r="AB2511" i="1"/>
  <c r="I2511" i="1"/>
  <c r="X2510" i="1"/>
  <c r="Z2510" i="1" s="1"/>
  <c r="W2510" i="1"/>
  <c r="S2510" i="1"/>
  <c r="Q2510" i="1"/>
  <c r="N2510" i="1"/>
  <c r="L2510" i="1"/>
  <c r="K2510" i="1"/>
  <c r="AB2510" i="1"/>
  <c r="AC2510" i="1" s="1"/>
  <c r="I2510" i="1"/>
  <c r="X2509" i="1"/>
  <c r="Z2509" i="1" s="1"/>
  <c r="W2509" i="1"/>
  <c r="S2509" i="1"/>
  <c r="Q2509" i="1"/>
  <c r="N2509" i="1"/>
  <c r="L2509" i="1"/>
  <c r="K2509" i="1"/>
  <c r="AB2509" i="1"/>
  <c r="I2509" i="1"/>
  <c r="X2508" i="1"/>
  <c r="Z2508" i="1" s="1"/>
  <c r="W2508" i="1"/>
  <c r="S2508" i="1"/>
  <c r="Q2508" i="1"/>
  <c r="N2508" i="1"/>
  <c r="L2508" i="1"/>
  <c r="K2508" i="1"/>
  <c r="AB2508" i="1"/>
  <c r="I2508" i="1"/>
  <c r="X2507" i="1"/>
  <c r="Z2507" i="1" s="1"/>
  <c r="W2507" i="1"/>
  <c r="S2507" i="1"/>
  <c r="Q2507" i="1"/>
  <c r="N2507" i="1"/>
  <c r="L2507" i="1"/>
  <c r="K2507" i="1"/>
  <c r="AB2507" i="1"/>
  <c r="I2507" i="1"/>
  <c r="X2506" i="1"/>
  <c r="Z2506" i="1" s="1"/>
  <c r="W2506" i="1"/>
  <c r="S2506" i="1"/>
  <c r="Q2506" i="1"/>
  <c r="N2506" i="1"/>
  <c r="L2506" i="1"/>
  <c r="K2506" i="1"/>
  <c r="AB2506" i="1"/>
  <c r="AC2506" i="1" s="1"/>
  <c r="I2506" i="1"/>
  <c r="X2505" i="1"/>
  <c r="Z2505" i="1" s="1"/>
  <c r="W2505" i="1"/>
  <c r="S2505" i="1"/>
  <c r="Q2505" i="1"/>
  <c r="N2505" i="1"/>
  <c r="L2505" i="1"/>
  <c r="Y2505" i="1" s="1"/>
  <c r="K2505" i="1"/>
  <c r="AB2505" i="1"/>
  <c r="I2505" i="1"/>
  <c r="X2504" i="1"/>
  <c r="Z2504" i="1" s="1"/>
  <c r="W2504" i="1"/>
  <c r="S2504" i="1"/>
  <c r="Q2504" i="1"/>
  <c r="N2504" i="1"/>
  <c r="L2504" i="1"/>
  <c r="K2504" i="1"/>
  <c r="AB2504" i="1"/>
  <c r="I2504" i="1"/>
  <c r="X2503" i="1"/>
  <c r="Z2503" i="1" s="1"/>
  <c r="W2503" i="1"/>
  <c r="S2503" i="1"/>
  <c r="Q2503" i="1"/>
  <c r="N2503" i="1"/>
  <c r="L2503" i="1"/>
  <c r="K2503" i="1"/>
  <c r="AB2503" i="1"/>
  <c r="I2503" i="1"/>
  <c r="X2502" i="1"/>
  <c r="Z2502" i="1" s="1"/>
  <c r="W2502" i="1"/>
  <c r="S2502" i="1"/>
  <c r="Q2502" i="1"/>
  <c r="N2502" i="1"/>
  <c r="L2502" i="1"/>
  <c r="K2502" i="1"/>
  <c r="AB2502" i="1"/>
  <c r="AC2502" i="1" s="1"/>
  <c r="I2502" i="1"/>
  <c r="X2501" i="1"/>
  <c r="Z2501" i="1" s="1"/>
  <c r="W2501" i="1"/>
  <c r="S2501" i="1"/>
  <c r="Q2501" i="1"/>
  <c r="N2501" i="1"/>
  <c r="L2501" i="1"/>
  <c r="K2501" i="1"/>
  <c r="AB2501" i="1"/>
  <c r="I2501" i="1"/>
  <c r="X2500" i="1"/>
  <c r="Z2500" i="1" s="1"/>
  <c r="W2500" i="1"/>
  <c r="S2500" i="1"/>
  <c r="Q2500" i="1"/>
  <c r="N2500" i="1"/>
  <c r="L2500" i="1"/>
  <c r="K2500" i="1"/>
  <c r="AB2500" i="1"/>
  <c r="I2500" i="1"/>
  <c r="X2499" i="1"/>
  <c r="Z2499" i="1" s="1"/>
  <c r="W2499" i="1"/>
  <c r="S2499" i="1"/>
  <c r="Q2499" i="1"/>
  <c r="N2499" i="1"/>
  <c r="L2499" i="1"/>
  <c r="K2499" i="1"/>
  <c r="AB2499" i="1"/>
  <c r="I2499" i="1"/>
  <c r="X2498" i="1"/>
  <c r="Z2498" i="1" s="1"/>
  <c r="W2498" i="1"/>
  <c r="S2498" i="1"/>
  <c r="Q2498" i="1"/>
  <c r="N2498" i="1"/>
  <c r="L2498" i="1"/>
  <c r="K2498" i="1"/>
  <c r="AB2498" i="1"/>
  <c r="I2498" i="1"/>
  <c r="X2497" i="1"/>
  <c r="Z2497" i="1" s="1"/>
  <c r="W2497" i="1"/>
  <c r="S2497" i="1"/>
  <c r="Q2497" i="1"/>
  <c r="N2497" i="1"/>
  <c r="L2497" i="1"/>
  <c r="K2497" i="1"/>
  <c r="AB2497" i="1"/>
  <c r="I2497" i="1"/>
  <c r="X2496" i="1"/>
  <c r="Z2496" i="1" s="1"/>
  <c r="W2496" i="1"/>
  <c r="S2496" i="1"/>
  <c r="Q2496" i="1"/>
  <c r="N2496" i="1"/>
  <c r="L2496" i="1"/>
  <c r="K2496" i="1"/>
  <c r="AB2496" i="1"/>
  <c r="I2496" i="1"/>
  <c r="X2495" i="1"/>
  <c r="Z2495" i="1" s="1"/>
  <c r="W2495" i="1"/>
  <c r="S2495" i="1"/>
  <c r="Q2495" i="1"/>
  <c r="N2495" i="1"/>
  <c r="L2495" i="1"/>
  <c r="K2495" i="1"/>
  <c r="AB2495" i="1"/>
  <c r="I2495" i="1"/>
  <c r="X2494" i="1"/>
  <c r="Z2494" i="1" s="1"/>
  <c r="W2494" i="1"/>
  <c r="S2494" i="1"/>
  <c r="Q2494" i="1"/>
  <c r="N2494" i="1"/>
  <c r="L2494" i="1"/>
  <c r="K2494" i="1"/>
  <c r="AB2494" i="1"/>
  <c r="I2494" i="1"/>
  <c r="X2493" i="1"/>
  <c r="Z2493" i="1" s="1"/>
  <c r="W2493" i="1"/>
  <c r="S2493" i="1"/>
  <c r="Q2493" i="1"/>
  <c r="N2493" i="1"/>
  <c r="L2493" i="1"/>
  <c r="K2493" i="1"/>
  <c r="AB2493" i="1"/>
  <c r="I2493" i="1"/>
  <c r="X2492" i="1"/>
  <c r="Z2492" i="1" s="1"/>
  <c r="W2492" i="1"/>
  <c r="S2492" i="1"/>
  <c r="Q2492" i="1"/>
  <c r="N2492" i="1"/>
  <c r="L2492" i="1"/>
  <c r="K2492" i="1"/>
  <c r="AB2492" i="1"/>
  <c r="I2492" i="1"/>
  <c r="X2491" i="1"/>
  <c r="Z2491" i="1" s="1"/>
  <c r="W2491" i="1"/>
  <c r="S2491" i="1"/>
  <c r="Q2491" i="1"/>
  <c r="N2491" i="1"/>
  <c r="L2491" i="1"/>
  <c r="K2491" i="1"/>
  <c r="AB2491" i="1"/>
  <c r="I2491" i="1"/>
  <c r="X2490" i="1"/>
  <c r="Z2490" i="1" s="1"/>
  <c r="W2490" i="1"/>
  <c r="S2490" i="1"/>
  <c r="Q2490" i="1"/>
  <c r="N2490" i="1"/>
  <c r="L2490" i="1"/>
  <c r="K2490" i="1"/>
  <c r="AB2490" i="1"/>
  <c r="I2490" i="1"/>
  <c r="X2489" i="1"/>
  <c r="Z2489" i="1" s="1"/>
  <c r="W2489" i="1"/>
  <c r="S2489" i="1"/>
  <c r="Q2489" i="1"/>
  <c r="N2489" i="1"/>
  <c r="L2489" i="1"/>
  <c r="K2489" i="1"/>
  <c r="AB2489" i="1"/>
  <c r="I2489" i="1"/>
  <c r="X2488" i="1"/>
  <c r="Z2488" i="1" s="1"/>
  <c r="W2488" i="1"/>
  <c r="S2488" i="1"/>
  <c r="Q2488" i="1"/>
  <c r="N2488" i="1"/>
  <c r="L2488" i="1"/>
  <c r="K2488" i="1"/>
  <c r="AB2488" i="1"/>
  <c r="I2488" i="1"/>
  <c r="X2487" i="1"/>
  <c r="Z2487" i="1" s="1"/>
  <c r="W2487" i="1"/>
  <c r="S2487" i="1"/>
  <c r="Q2487" i="1"/>
  <c r="N2487" i="1"/>
  <c r="L2487" i="1"/>
  <c r="K2487" i="1"/>
  <c r="AB2487" i="1"/>
  <c r="I2487" i="1"/>
  <c r="X2486" i="1"/>
  <c r="Z2486" i="1" s="1"/>
  <c r="W2486" i="1"/>
  <c r="S2486" i="1"/>
  <c r="Q2486" i="1"/>
  <c r="N2486" i="1"/>
  <c r="L2486" i="1"/>
  <c r="K2486" i="1"/>
  <c r="AB2486" i="1"/>
  <c r="I2486" i="1"/>
  <c r="X2485" i="1"/>
  <c r="Z2485" i="1" s="1"/>
  <c r="W2485" i="1"/>
  <c r="S2485" i="1"/>
  <c r="Q2485" i="1"/>
  <c r="N2485" i="1"/>
  <c r="L2485" i="1"/>
  <c r="K2485" i="1"/>
  <c r="AB2485" i="1"/>
  <c r="I2485" i="1"/>
  <c r="X2484" i="1"/>
  <c r="Z2484" i="1" s="1"/>
  <c r="W2484" i="1"/>
  <c r="S2484" i="1"/>
  <c r="Q2484" i="1"/>
  <c r="N2484" i="1"/>
  <c r="L2484" i="1"/>
  <c r="K2484" i="1"/>
  <c r="AB2484" i="1"/>
  <c r="I2484" i="1"/>
  <c r="X2483" i="1"/>
  <c r="Z2483" i="1" s="1"/>
  <c r="W2483" i="1"/>
  <c r="S2483" i="1"/>
  <c r="Q2483" i="1"/>
  <c r="N2483" i="1"/>
  <c r="L2483" i="1"/>
  <c r="K2483" i="1"/>
  <c r="AB2483" i="1"/>
  <c r="I2483" i="1"/>
  <c r="X2482" i="1"/>
  <c r="Z2482" i="1" s="1"/>
  <c r="W2482" i="1"/>
  <c r="S2482" i="1"/>
  <c r="Q2482" i="1"/>
  <c r="N2482" i="1"/>
  <c r="L2482" i="1"/>
  <c r="Y2482" i="1" s="1"/>
  <c r="K2482" i="1"/>
  <c r="AB2482" i="1"/>
  <c r="I2482" i="1"/>
  <c r="X2481" i="1"/>
  <c r="Z2481" i="1" s="1"/>
  <c r="W2481" i="1"/>
  <c r="S2481" i="1"/>
  <c r="Q2481" i="1"/>
  <c r="N2481" i="1"/>
  <c r="L2481" i="1"/>
  <c r="K2481" i="1"/>
  <c r="AB2481" i="1"/>
  <c r="I2481" i="1"/>
  <c r="X2480" i="1"/>
  <c r="Z2480" i="1" s="1"/>
  <c r="W2480" i="1"/>
  <c r="S2480" i="1"/>
  <c r="Q2480" i="1"/>
  <c r="N2480" i="1"/>
  <c r="L2480" i="1"/>
  <c r="K2480" i="1"/>
  <c r="AB2480" i="1"/>
  <c r="I2480" i="1"/>
  <c r="X2479" i="1"/>
  <c r="Z2479" i="1" s="1"/>
  <c r="W2479" i="1"/>
  <c r="S2479" i="1"/>
  <c r="Q2479" i="1"/>
  <c r="N2479" i="1"/>
  <c r="L2479" i="1"/>
  <c r="K2479" i="1"/>
  <c r="AB2479" i="1"/>
  <c r="I2479" i="1"/>
  <c r="X2478" i="1"/>
  <c r="Z2478" i="1" s="1"/>
  <c r="W2478" i="1"/>
  <c r="S2478" i="1"/>
  <c r="Q2478" i="1"/>
  <c r="N2478" i="1"/>
  <c r="L2478" i="1"/>
  <c r="Y2478" i="1" s="1"/>
  <c r="K2478" i="1"/>
  <c r="AB2478" i="1"/>
  <c r="I2478" i="1"/>
  <c r="X2477" i="1"/>
  <c r="Z2477" i="1" s="1"/>
  <c r="W2477" i="1"/>
  <c r="S2477" i="1"/>
  <c r="Q2477" i="1"/>
  <c r="N2477" i="1"/>
  <c r="L2477" i="1"/>
  <c r="K2477" i="1"/>
  <c r="AB2477" i="1"/>
  <c r="I2477" i="1"/>
  <c r="X2476" i="1"/>
  <c r="Z2476" i="1" s="1"/>
  <c r="W2476" i="1"/>
  <c r="S2476" i="1"/>
  <c r="Q2476" i="1"/>
  <c r="N2476" i="1"/>
  <c r="L2476" i="1"/>
  <c r="K2476" i="1"/>
  <c r="AB2476" i="1"/>
  <c r="I2476" i="1"/>
  <c r="X2475" i="1"/>
  <c r="Z2475" i="1" s="1"/>
  <c r="W2475" i="1"/>
  <c r="S2475" i="1"/>
  <c r="Q2475" i="1"/>
  <c r="N2475" i="1"/>
  <c r="L2475" i="1"/>
  <c r="K2475" i="1"/>
  <c r="AB2475" i="1"/>
  <c r="I2475" i="1"/>
  <c r="X2474" i="1"/>
  <c r="Z2474" i="1" s="1"/>
  <c r="W2474" i="1"/>
  <c r="S2474" i="1"/>
  <c r="Q2474" i="1"/>
  <c r="N2474" i="1"/>
  <c r="L2474" i="1"/>
  <c r="Y2474" i="1" s="1"/>
  <c r="K2474" i="1"/>
  <c r="AB2474" i="1"/>
  <c r="I2474" i="1"/>
  <c r="X2473" i="1"/>
  <c r="Z2473" i="1" s="1"/>
  <c r="W2473" i="1"/>
  <c r="S2473" i="1"/>
  <c r="Q2473" i="1"/>
  <c r="N2473" i="1"/>
  <c r="L2473" i="1"/>
  <c r="K2473" i="1"/>
  <c r="AB2473" i="1"/>
  <c r="I2473" i="1"/>
  <c r="X2472" i="1"/>
  <c r="Z2472" i="1" s="1"/>
  <c r="W2472" i="1"/>
  <c r="S2472" i="1"/>
  <c r="Q2472" i="1"/>
  <c r="N2472" i="1"/>
  <c r="L2472" i="1"/>
  <c r="K2472" i="1"/>
  <c r="AB2472" i="1"/>
  <c r="I2472" i="1"/>
  <c r="X2471" i="1"/>
  <c r="Z2471" i="1" s="1"/>
  <c r="W2471" i="1"/>
  <c r="S2471" i="1"/>
  <c r="Q2471" i="1"/>
  <c r="N2471" i="1"/>
  <c r="L2471" i="1"/>
  <c r="K2471" i="1"/>
  <c r="AB2471" i="1"/>
  <c r="I2471" i="1"/>
  <c r="X2470" i="1"/>
  <c r="Z2470" i="1" s="1"/>
  <c r="W2470" i="1"/>
  <c r="S2470" i="1"/>
  <c r="Q2470" i="1"/>
  <c r="N2470" i="1"/>
  <c r="L2470" i="1"/>
  <c r="Y2470" i="1" s="1"/>
  <c r="K2470" i="1"/>
  <c r="AB2470" i="1"/>
  <c r="AC2470" i="1" s="1"/>
  <c r="I2470" i="1"/>
  <c r="X2469" i="1"/>
  <c r="Z2469" i="1" s="1"/>
  <c r="W2469" i="1"/>
  <c r="S2469" i="1"/>
  <c r="Q2469" i="1"/>
  <c r="N2469" i="1"/>
  <c r="L2469" i="1"/>
  <c r="K2469" i="1"/>
  <c r="AB2469" i="1"/>
  <c r="I2469" i="1"/>
  <c r="X2468" i="1"/>
  <c r="Z2468" i="1" s="1"/>
  <c r="W2468" i="1"/>
  <c r="S2468" i="1"/>
  <c r="Q2468" i="1"/>
  <c r="N2468" i="1"/>
  <c r="L2468" i="1"/>
  <c r="K2468" i="1"/>
  <c r="AB2468" i="1"/>
  <c r="I2468" i="1"/>
  <c r="X2467" i="1"/>
  <c r="Z2467" i="1" s="1"/>
  <c r="W2467" i="1"/>
  <c r="S2467" i="1"/>
  <c r="Q2467" i="1"/>
  <c r="N2467" i="1"/>
  <c r="L2467" i="1"/>
  <c r="K2467" i="1"/>
  <c r="AB2467" i="1"/>
  <c r="I2467" i="1"/>
  <c r="X2466" i="1"/>
  <c r="Z2466" i="1" s="1"/>
  <c r="W2466" i="1"/>
  <c r="S2466" i="1"/>
  <c r="Q2466" i="1"/>
  <c r="N2466" i="1"/>
  <c r="L2466" i="1"/>
  <c r="Y2466" i="1" s="1"/>
  <c r="K2466" i="1"/>
  <c r="AB2466" i="1"/>
  <c r="I2466" i="1"/>
  <c r="X2465" i="1"/>
  <c r="Z2465" i="1" s="1"/>
  <c r="W2465" i="1"/>
  <c r="S2465" i="1"/>
  <c r="Q2465" i="1"/>
  <c r="N2465" i="1"/>
  <c r="L2465" i="1"/>
  <c r="K2465" i="1"/>
  <c r="AB2465" i="1"/>
  <c r="I2465" i="1"/>
  <c r="X2464" i="1"/>
  <c r="Z2464" i="1" s="1"/>
  <c r="W2464" i="1"/>
  <c r="S2464" i="1"/>
  <c r="Q2464" i="1"/>
  <c r="N2464" i="1"/>
  <c r="L2464" i="1"/>
  <c r="K2464" i="1"/>
  <c r="AB2464" i="1"/>
  <c r="I2464" i="1"/>
  <c r="X2463" i="1"/>
  <c r="Z2463" i="1" s="1"/>
  <c r="W2463" i="1"/>
  <c r="S2463" i="1"/>
  <c r="Q2463" i="1"/>
  <c r="N2463" i="1"/>
  <c r="L2463" i="1"/>
  <c r="K2463" i="1"/>
  <c r="AB2463" i="1"/>
  <c r="I2463" i="1"/>
  <c r="X2462" i="1"/>
  <c r="Z2462" i="1" s="1"/>
  <c r="W2462" i="1"/>
  <c r="S2462" i="1"/>
  <c r="Q2462" i="1"/>
  <c r="N2462" i="1"/>
  <c r="L2462" i="1"/>
  <c r="Y2462" i="1" s="1"/>
  <c r="K2462" i="1"/>
  <c r="AB2462" i="1"/>
  <c r="AC2462" i="1" s="1"/>
  <c r="I2462" i="1"/>
  <c r="X2461" i="1"/>
  <c r="Z2461" i="1" s="1"/>
  <c r="W2461" i="1"/>
  <c r="S2461" i="1"/>
  <c r="Q2461" i="1"/>
  <c r="N2461" i="1"/>
  <c r="L2461" i="1"/>
  <c r="K2461" i="1"/>
  <c r="AB2461" i="1"/>
  <c r="I2461" i="1"/>
  <c r="X2460" i="1"/>
  <c r="Z2460" i="1" s="1"/>
  <c r="W2460" i="1"/>
  <c r="S2460" i="1"/>
  <c r="Q2460" i="1"/>
  <c r="N2460" i="1"/>
  <c r="L2460" i="1"/>
  <c r="K2460" i="1"/>
  <c r="AB2460" i="1"/>
  <c r="I2460" i="1"/>
  <c r="X2459" i="1"/>
  <c r="Z2459" i="1" s="1"/>
  <c r="W2459" i="1"/>
  <c r="S2459" i="1"/>
  <c r="Q2459" i="1"/>
  <c r="N2459" i="1"/>
  <c r="L2459" i="1"/>
  <c r="K2459" i="1"/>
  <c r="AB2459" i="1"/>
  <c r="I2459" i="1"/>
  <c r="X2458" i="1"/>
  <c r="Z2458" i="1" s="1"/>
  <c r="W2458" i="1"/>
  <c r="S2458" i="1"/>
  <c r="Q2458" i="1"/>
  <c r="N2458" i="1"/>
  <c r="L2458" i="1"/>
  <c r="K2458" i="1"/>
  <c r="AB2458" i="1"/>
  <c r="I2458" i="1"/>
  <c r="X2457" i="1"/>
  <c r="Z2457" i="1" s="1"/>
  <c r="W2457" i="1"/>
  <c r="S2457" i="1"/>
  <c r="Q2457" i="1"/>
  <c r="N2457" i="1"/>
  <c r="L2457" i="1"/>
  <c r="K2457" i="1"/>
  <c r="AB2457" i="1"/>
  <c r="I2457" i="1"/>
  <c r="X2456" i="1"/>
  <c r="Z2456" i="1" s="1"/>
  <c r="W2456" i="1"/>
  <c r="S2456" i="1"/>
  <c r="Q2456" i="1"/>
  <c r="N2456" i="1"/>
  <c r="L2456" i="1"/>
  <c r="K2456" i="1"/>
  <c r="AB2456" i="1"/>
  <c r="I2456" i="1"/>
  <c r="X2455" i="1"/>
  <c r="Z2455" i="1" s="1"/>
  <c r="W2455" i="1"/>
  <c r="S2455" i="1"/>
  <c r="Q2455" i="1"/>
  <c r="N2455" i="1"/>
  <c r="L2455" i="1"/>
  <c r="K2455" i="1"/>
  <c r="AB2455" i="1"/>
  <c r="I2455" i="1"/>
  <c r="X2454" i="1"/>
  <c r="Z2454" i="1" s="1"/>
  <c r="W2454" i="1"/>
  <c r="S2454" i="1"/>
  <c r="Q2454" i="1"/>
  <c r="N2454" i="1"/>
  <c r="L2454" i="1"/>
  <c r="Y2454" i="1" s="1"/>
  <c r="K2454" i="1"/>
  <c r="AB2454" i="1"/>
  <c r="AC2454" i="1" s="1"/>
  <c r="I2454" i="1"/>
  <c r="X2453" i="1"/>
  <c r="Z2453" i="1" s="1"/>
  <c r="W2453" i="1"/>
  <c r="S2453" i="1"/>
  <c r="Q2453" i="1"/>
  <c r="N2453" i="1"/>
  <c r="L2453" i="1"/>
  <c r="K2453" i="1"/>
  <c r="AB2453" i="1"/>
  <c r="I2453" i="1"/>
  <c r="X2452" i="1"/>
  <c r="Z2452" i="1" s="1"/>
  <c r="W2452" i="1"/>
  <c r="S2452" i="1"/>
  <c r="Q2452" i="1"/>
  <c r="N2452" i="1"/>
  <c r="L2452" i="1"/>
  <c r="K2452" i="1"/>
  <c r="AB2452" i="1"/>
  <c r="I2452" i="1"/>
  <c r="X2451" i="1"/>
  <c r="Z2451" i="1" s="1"/>
  <c r="W2451" i="1"/>
  <c r="S2451" i="1"/>
  <c r="Q2451" i="1"/>
  <c r="N2451" i="1"/>
  <c r="L2451" i="1"/>
  <c r="K2451" i="1"/>
  <c r="AB2451" i="1"/>
  <c r="I2451" i="1"/>
  <c r="X2450" i="1"/>
  <c r="Z2450" i="1" s="1"/>
  <c r="W2450" i="1"/>
  <c r="S2450" i="1"/>
  <c r="Q2450" i="1"/>
  <c r="N2450" i="1"/>
  <c r="L2450" i="1"/>
  <c r="Y2450" i="1" s="1"/>
  <c r="K2450" i="1"/>
  <c r="AB2450" i="1"/>
  <c r="AC2450" i="1" s="1"/>
  <c r="I2450" i="1"/>
  <c r="X2449" i="1"/>
  <c r="Z2449" i="1" s="1"/>
  <c r="W2449" i="1"/>
  <c r="S2449" i="1"/>
  <c r="Q2449" i="1"/>
  <c r="N2449" i="1"/>
  <c r="L2449" i="1"/>
  <c r="K2449" i="1"/>
  <c r="AB2449" i="1"/>
  <c r="I2449" i="1"/>
  <c r="X2448" i="1"/>
  <c r="Z2448" i="1" s="1"/>
  <c r="W2448" i="1"/>
  <c r="S2448" i="1"/>
  <c r="Q2448" i="1"/>
  <c r="N2448" i="1"/>
  <c r="L2448" i="1"/>
  <c r="K2448" i="1"/>
  <c r="AB2448" i="1"/>
  <c r="I2448" i="1"/>
  <c r="X2447" i="1"/>
  <c r="Z2447" i="1" s="1"/>
  <c r="W2447" i="1"/>
  <c r="S2447" i="1"/>
  <c r="Q2447" i="1"/>
  <c r="N2447" i="1"/>
  <c r="L2447" i="1"/>
  <c r="K2447" i="1"/>
  <c r="AB2447" i="1"/>
  <c r="I2447" i="1"/>
  <c r="X2446" i="1"/>
  <c r="Z2446" i="1" s="1"/>
  <c r="W2446" i="1"/>
  <c r="S2446" i="1"/>
  <c r="Q2446" i="1"/>
  <c r="N2446" i="1"/>
  <c r="L2446" i="1"/>
  <c r="Y2446" i="1" s="1"/>
  <c r="K2446" i="1"/>
  <c r="AB2446" i="1"/>
  <c r="AC2446" i="1" s="1"/>
  <c r="I2446" i="1"/>
  <c r="X2445" i="1"/>
  <c r="Z2445" i="1" s="1"/>
  <c r="W2445" i="1"/>
  <c r="S2445" i="1"/>
  <c r="Q2445" i="1"/>
  <c r="N2445" i="1"/>
  <c r="L2445" i="1"/>
  <c r="K2445" i="1"/>
  <c r="AB2445" i="1"/>
  <c r="I2445" i="1"/>
  <c r="X2444" i="1"/>
  <c r="Z2444" i="1" s="1"/>
  <c r="W2444" i="1"/>
  <c r="S2444" i="1"/>
  <c r="Q2444" i="1"/>
  <c r="N2444" i="1"/>
  <c r="L2444" i="1"/>
  <c r="K2444" i="1"/>
  <c r="AB2444" i="1"/>
  <c r="I2444" i="1"/>
  <c r="X2443" i="1"/>
  <c r="Z2443" i="1" s="1"/>
  <c r="W2443" i="1"/>
  <c r="S2443" i="1"/>
  <c r="Q2443" i="1"/>
  <c r="N2443" i="1"/>
  <c r="L2443" i="1"/>
  <c r="K2443" i="1"/>
  <c r="AB2443" i="1"/>
  <c r="I2443" i="1"/>
  <c r="X2442" i="1"/>
  <c r="Z2442" i="1" s="1"/>
  <c r="W2442" i="1"/>
  <c r="S2442" i="1"/>
  <c r="Q2442" i="1"/>
  <c r="N2442" i="1"/>
  <c r="L2442" i="1"/>
  <c r="K2442" i="1"/>
  <c r="AB2442" i="1"/>
  <c r="AC2442" i="1" s="1"/>
  <c r="I2442" i="1"/>
  <c r="X2441" i="1"/>
  <c r="Z2441" i="1" s="1"/>
  <c r="W2441" i="1"/>
  <c r="S2441" i="1"/>
  <c r="Q2441" i="1"/>
  <c r="N2441" i="1"/>
  <c r="L2441" i="1"/>
  <c r="K2441" i="1"/>
  <c r="AB2441" i="1"/>
  <c r="I2441" i="1"/>
  <c r="X2440" i="1"/>
  <c r="Z2440" i="1" s="1"/>
  <c r="W2440" i="1"/>
  <c r="S2440" i="1"/>
  <c r="Q2440" i="1"/>
  <c r="N2440" i="1"/>
  <c r="L2440" i="1"/>
  <c r="K2440" i="1"/>
  <c r="AB2440" i="1"/>
  <c r="I2440" i="1"/>
  <c r="X2439" i="1"/>
  <c r="Z2439" i="1" s="1"/>
  <c r="W2439" i="1"/>
  <c r="S2439" i="1"/>
  <c r="Q2439" i="1"/>
  <c r="N2439" i="1"/>
  <c r="L2439" i="1"/>
  <c r="K2439" i="1"/>
  <c r="AB2439" i="1"/>
  <c r="I2439" i="1"/>
  <c r="X2438" i="1"/>
  <c r="Z2438" i="1" s="1"/>
  <c r="W2438" i="1"/>
  <c r="S2438" i="1"/>
  <c r="Q2438" i="1"/>
  <c r="N2438" i="1"/>
  <c r="L2438" i="1"/>
  <c r="Y2438" i="1" s="1"/>
  <c r="K2438" i="1"/>
  <c r="AB2438" i="1"/>
  <c r="AC2438" i="1" s="1"/>
  <c r="I2438" i="1"/>
  <c r="X2437" i="1"/>
  <c r="Z2437" i="1" s="1"/>
  <c r="W2437" i="1"/>
  <c r="S2437" i="1"/>
  <c r="Q2437" i="1"/>
  <c r="N2437" i="1"/>
  <c r="L2437" i="1"/>
  <c r="K2437" i="1"/>
  <c r="AB2437" i="1"/>
  <c r="I2437" i="1"/>
  <c r="X2436" i="1"/>
  <c r="Z2436" i="1" s="1"/>
  <c r="W2436" i="1"/>
  <c r="S2436" i="1"/>
  <c r="Q2436" i="1"/>
  <c r="N2436" i="1"/>
  <c r="L2436" i="1"/>
  <c r="K2436" i="1"/>
  <c r="AB2436" i="1"/>
  <c r="I2436" i="1"/>
  <c r="X2435" i="1"/>
  <c r="Z2435" i="1" s="1"/>
  <c r="W2435" i="1"/>
  <c r="S2435" i="1"/>
  <c r="Q2435" i="1"/>
  <c r="N2435" i="1"/>
  <c r="L2435" i="1"/>
  <c r="K2435" i="1"/>
  <c r="AB2435" i="1"/>
  <c r="I2435" i="1"/>
  <c r="X2434" i="1"/>
  <c r="Z2434" i="1" s="1"/>
  <c r="W2434" i="1"/>
  <c r="S2434" i="1"/>
  <c r="Q2434" i="1"/>
  <c r="N2434" i="1"/>
  <c r="L2434" i="1"/>
  <c r="K2434" i="1"/>
  <c r="AB2434" i="1"/>
  <c r="AC2434" i="1" s="1"/>
  <c r="I2434" i="1"/>
  <c r="X2433" i="1"/>
  <c r="Z2433" i="1" s="1"/>
  <c r="W2433" i="1"/>
  <c r="S2433" i="1"/>
  <c r="Q2433" i="1"/>
  <c r="N2433" i="1"/>
  <c r="L2433" i="1"/>
  <c r="K2433" i="1"/>
  <c r="AB2433" i="1"/>
  <c r="I2433" i="1"/>
  <c r="X2432" i="1"/>
  <c r="Z2432" i="1" s="1"/>
  <c r="W2432" i="1"/>
  <c r="S2432" i="1"/>
  <c r="Q2432" i="1"/>
  <c r="N2432" i="1"/>
  <c r="L2432" i="1"/>
  <c r="K2432" i="1"/>
  <c r="AB2432" i="1"/>
  <c r="I2432" i="1"/>
  <c r="X2431" i="1"/>
  <c r="Z2431" i="1" s="1"/>
  <c r="W2431" i="1"/>
  <c r="S2431" i="1"/>
  <c r="Q2431" i="1"/>
  <c r="N2431" i="1"/>
  <c r="L2431" i="1"/>
  <c r="K2431" i="1"/>
  <c r="AB2431" i="1"/>
  <c r="I2431" i="1"/>
  <c r="X2430" i="1"/>
  <c r="Z2430" i="1" s="1"/>
  <c r="W2430" i="1"/>
  <c r="S2430" i="1"/>
  <c r="Q2430" i="1"/>
  <c r="N2430" i="1"/>
  <c r="L2430" i="1"/>
  <c r="Y2430" i="1" s="1"/>
  <c r="K2430" i="1"/>
  <c r="AB2430" i="1"/>
  <c r="AC2430" i="1" s="1"/>
  <c r="I2430" i="1"/>
  <c r="X2429" i="1"/>
  <c r="Z2429" i="1" s="1"/>
  <c r="W2429" i="1"/>
  <c r="S2429" i="1"/>
  <c r="Q2429" i="1"/>
  <c r="N2429" i="1"/>
  <c r="L2429" i="1"/>
  <c r="K2429" i="1"/>
  <c r="AB2429" i="1"/>
  <c r="I2429" i="1"/>
  <c r="X2428" i="1"/>
  <c r="Z2428" i="1" s="1"/>
  <c r="W2428" i="1"/>
  <c r="S2428" i="1"/>
  <c r="Q2428" i="1"/>
  <c r="N2428" i="1"/>
  <c r="L2428" i="1"/>
  <c r="K2428" i="1"/>
  <c r="AB2428" i="1"/>
  <c r="I2428" i="1"/>
  <c r="X2427" i="1"/>
  <c r="Z2427" i="1" s="1"/>
  <c r="W2427" i="1"/>
  <c r="S2427" i="1"/>
  <c r="Q2427" i="1"/>
  <c r="N2427" i="1"/>
  <c r="L2427" i="1"/>
  <c r="K2427" i="1"/>
  <c r="AB2427" i="1"/>
  <c r="I2427" i="1"/>
  <c r="X2426" i="1"/>
  <c r="Z2426" i="1" s="1"/>
  <c r="W2426" i="1"/>
  <c r="S2426" i="1"/>
  <c r="Q2426" i="1"/>
  <c r="N2426" i="1"/>
  <c r="L2426" i="1"/>
  <c r="Y2426" i="1" s="1"/>
  <c r="K2426" i="1"/>
  <c r="AB2426" i="1"/>
  <c r="I2426" i="1"/>
  <c r="X2425" i="1"/>
  <c r="Z2425" i="1" s="1"/>
  <c r="W2425" i="1"/>
  <c r="S2425" i="1"/>
  <c r="Q2425" i="1"/>
  <c r="N2425" i="1"/>
  <c r="L2425" i="1"/>
  <c r="K2425" i="1"/>
  <c r="AB2425" i="1"/>
  <c r="I2425" i="1"/>
  <c r="X2424" i="1"/>
  <c r="Z2424" i="1" s="1"/>
  <c r="W2424" i="1"/>
  <c r="S2424" i="1"/>
  <c r="Q2424" i="1"/>
  <c r="N2424" i="1"/>
  <c r="L2424" i="1"/>
  <c r="K2424" i="1"/>
  <c r="AB2424" i="1"/>
  <c r="I2424" i="1"/>
  <c r="X2423" i="1"/>
  <c r="Z2423" i="1" s="1"/>
  <c r="W2423" i="1"/>
  <c r="S2423" i="1"/>
  <c r="Q2423" i="1"/>
  <c r="N2423" i="1"/>
  <c r="L2423" i="1"/>
  <c r="K2423" i="1"/>
  <c r="AB2423" i="1"/>
  <c r="I2423" i="1"/>
  <c r="X2422" i="1"/>
  <c r="Z2422" i="1" s="1"/>
  <c r="W2422" i="1"/>
  <c r="S2422" i="1"/>
  <c r="Q2422" i="1"/>
  <c r="N2422" i="1"/>
  <c r="L2422" i="1"/>
  <c r="Y2422" i="1" s="1"/>
  <c r="K2422" i="1"/>
  <c r="AB2422" i="1"/>
  <c r="AC2422" i="1" s="1"/>
  <c r="I2422" i="1"/>
  <c r="X2421" i="1"/>
  <c r="Z2421" i="1" s="1"/>
  <c r="W2421" i="1"/>
  <c r="S2421" i="1"/>
  <c r="Q2421" i="1"/>
  <c r="N2421" i="1"/>
  <c r="L2421" i="1"/>
  <c r="K2421" i="1"/>
  <c r="AB2421" i="1"/>
  <c r="I2421" i="1"/>
  <c r="X2420" i="1"/>
  <c r="Z2420" i="1" s="1"/>
  <c r="W2420" i="1"/>
  <c r="S2420" i="1"/>
  <c r="Q2420" i="1"/>
  <c r="N2420" i="1"/>
  <c r="L2420" i="1"/>
  <c r="K2420" i="1"/>
  <c r="AB2420" i="1"/>
  <c r="I2420" i="1"/>
  <c r="X2419" i="1"/>
  <c r="Z2419" i="1" s="1"/>
  <c r="W2419" i="1"/>
  <c r="S2419" i="1"/>
  <c r="Q2419" i="1"/>
  <c r="N2419" i="1"/>
  <c r="L2419" i="1"/>
  <c r="K2419" i="1"/>
  <c r="AB2419" i="1"/>
  <c r="I2419" i="1"/>
  <c r="X2418" i="1"/>
  <c r="Z2418" i="1" s="1"/>
  <c r="W2418" i="1"/>
  <c r="S2418" i="1"/>
  <c r="Q2418" i="1"/>
  <c r="N2418" i="1"/>
  <c r="L2418" i="1"/>
  <c r="K2418" i="1"/>
  <c r="AB2418" i="1"/>
  <c r="AC2418" i="1" s="1"/>
  <c r="I2418" i="1"/>
  <c r="X2417" i="1"/>
  <c r="Z2417" i="1" s="1"/>
  <c r="W2417" i="1"/>
  <c r="S2417" i="1"/>
  <c r="Q2417" i="1"/>
  <c r="N2417" i="1"/>
  <c r="L2417" i="1"/>
  <c r="K2417" i="1"/>
  <c r="AB2417" i="1"/>
  <c r="I2417" i="1"/>
  <c r="X2416" i="1"/>
  <c r="Z2416" i="1" s="1"/>
  <c r="W2416" i="1"/>
  <c r="S2416" i="1"/>
  <c r="Q2416" i="1"/>
  <c r="N2416" i="1"/>
  <c r="L2416" i="1"/>
  <c r="K2416" i="1"/>
  <c r="AB2416" i="1"/>
  <c r="I2416" i="1"/>
  <c r="X2415" i="1"/>
  <c r="Z2415" i="1" s="1"/>
  <c r="W2415" i="1"/>
  <c r="S2415" i="1"/>
  <c r="Q2415" i="1"/>
  <c r="N2415" i="1"/>
  <c r="L2415" i="1"/>
  <c r="K2415" i="1"/>
  <c r="AB2415" i="1"/>
  <c r="I2415" i="1"/>
  <c r="X2414" i="1"/>
  <c r="Z2414" i="1" s="1"/>
  <c r="W2414" i="1"/>
  <c r="S2414" i="1"/>
  <c r="Q2414" i="1"/>
  <c r="N2414" i="1"/>
  <c r="L2414" i="1"/>
  <c r="K2414" i="1"/>
  <c r="AB2414" i="1"/>
  <c r="AC2414" i="1" s="1"/>
  <c r="I2414" i="1"/>
  <c r="X2413" i="1"/>
  <c r="Z2413" i="1" s="1"/>
  <c r="W2413" i="1"/>
  <c r="S2413" i="1"/>
  <c r="Q2413" i="1"/>
  <c r="N2413" i="1"/>
  <c r="L2413" i="1"/>
  <c r="K2413" i="1"/>
  <c r="AB2413" i="1"/>
  <c r="I2413" i="1"/>
  <c r="X2412" i="1"/>
  <c r="Z2412" i="1" s="1"/>
  <c r="W2412" i="1"/>
  <c r="S2412" i="1"/>
  <c r="Q2412" i="1"/>
  <c r="N2412" i="1"/>
  <c r="L2412" i="1"/>
  <c r="K2412" i="1"/>
  <c r="AB2412" i="1"/>
  <c r="I2412" i="1"/>
  <c r="X2411" i="1"/>
  <c r="Z2411" i="1" s="1"/>
  <c r="W2411" i="1"/>
  <c r="S2411" i="1"/>
  <c r="Q2411" i="1"/>
  <c r="N2411" i="1"/>
  <c r="L2411" i="1"/>
  <c r="K2411" i="1"/>
  <c r="AB2411" i="1"/>
  <c r="I2411" i="1"/>
  <c r="X2410" i="1"/>
  <c r="Z2410" i="1" s="1"/>
  <c r="W2410" i="1"/>
  <c r="S2410" i="1"/>
  <c r="Q2410" i="1"/>
  <c r="N2410" i="1"/>
  <c r="L2410" i="1"/>
  <c r="Y2410" i="1" s="1"/>
  <c r="K2410" i="1"/>
  <c r="AB2410" i="1"/>
  <c r="I2410" i="1"/>
  <c r="X2409" i="1"/>
  <c r="Z2409" i="1" s="1"/>
  <c r="W2409" i="1"/>
  <c r="S2409" i="1"/>
  <c r="Q2409" i="1"/>
  <c r="N2409" i="1"/>
  <c r="L2409" i="1"/>
  <c r="K2409" i="1"/>
  <c r="AB2409" i="1"/>
  <c r="I2409" i="1"/>
  <c r="X2408" i="1"/>
  <c r="Z2408" i="1" s="1"/>
  <c r="W2408" i="1"/>
  <c r="S2408" i="1"/>
  <c r="Q2408" i="1"/>
  <c r="N2408" i="1"/>
  <c r="L2408" i="1"/>
  <c r="K2408" i="1"/>
  <c r="AB2408" i="1"/>
  <c r="I2408" i="1"/>
  <c r="X2407" i="1"/>
  <c r="Z2407" i="1" s="1"/>
  <c r="W2407" i="1"/>
  <c r="S2407" i="1"/>
  <c r="Q2407" i="1"/>
  <c r="N2407" i="1"/>
  <c r="L2407" i="1"/>
  <c r="K2407" i="1"/>
  <c r="AB2407" i="1"/>
  <c r="I2407" i="1"/>
  <c r="X2406" i="1"/>
  <c r="Z2406" i="1" s="1"/>
  <c r="W2406" i="1"/>
  <c r="S2406" i="1"/>
  <c r="Q2406" i="1"/>
  <c r="N2406" i="1"/>
  <c r="L2406" i="1"/>
  <c r="Y2406" i="1" s="1"/>
  <c r="K2406" i="1"/>
  <c r="AB2406" i="1"/>
  <c r="AC2406" i="1" s="1"/>
  <c r="I2406" i="1"/>
  <c r="X2405" i="1"/>
  <c r="Z2405" i="1" s="1"/>
  <c r="W2405" i="1"/>
  <c r="S2405" i="1"/>
  <c r="Q2405" i="1"/>
  <c r="N2405" i="1"/>
  <c r="L2405" i="1"/>
  <c r="K2405" i="1"/>
  <c r="AB2405" i="1"/>
  <c r="I2405" i="1"/>
  <c r="X2404" i="1"/>
  <c r="Z2404" i="1" s="1"/>
  <c r="W2404" i="1"/>
  <c r="S2404" i="1"/>
  <c r="Q2404" i="1"/>
  <c r="N2404" i="1"/>
  <c r="L2404" i="1"/>
  <c r="K2404" i="1"/>
  <c r="AB2404" i="1"/>
  <c r="I2404" i="1"/>
  <c r="X2403" i="1"/>
  <c r="Z2403" i="1" s="1"/>
  <c r="W2403" i="1"/>
  <c r="S2403" i="1"/>
  <c r="Q2403" i="1"/>
  <c r="N2403" i="1"/>
  <c r="L2403" i="1"/>
  <c r="K2403" i="1"/>
  <c r="AB2403" i="1"/>
  <c r="I2403" i="1"/>
  <c r="X2402" i="1"/>
  <c r="Z2402" i="1" s="1"/>
  <c r="W2402" i="1"/>
  <c r="S2402" i="1"/>
  <c r="Q2402" i="1"/>
  <c r="N2402" i="1"/>
  <c r="L2402" i="1"/>
  <c r="Y2402" i="1" s="1"/>
  <c r="K2402" i="1"/>
  <c r="AB2402" i="1"/>
  <c r="I2402" i="1"/>
  <c r="X2401" i="1"/>
  <c r="Z2401" i="1" s="1"/>
  <c r="W2401" i="1"/>
  <c r="S2401" i="1"/>
  <c r="Q2401" i="1"/>
  <c r="N2401" i="1"/>
  <c r="L2401" i="1"/>
  <c r="K2401" i="1"/>
  <c r="AB2401" i="1"/>
  <c r="I2401" i="1"/>
  <c r="X2400" i="1"/>
  <c r="Z2400" i="1" s="1"/>
  <c r="W2400" i="1"/>
  <c r="S2400" i="1"/>
  <c r="Q2400" i="1"/>
  <c r="N2400" i="1"/>
  <c r="L2400" i="1"/>
  <c r="K2400" i="1"/>
  <c r="AB2400" i="1"/>
  <c r="I2400" i="1"/>
  <c r="X2399" i="1"/>
  <c r="Z2399" i="1" s="1"/>
  <c r="W2399" i="1"/>
  <c r="S2399" i="1"/>
  <c r="Q2399" i="1"/>
  <c r="N2399" i="1"/>
  <c r="L2399" i="1"/>
  <c r="K2399" i="1"/>
  <c r="AB2399" i="1"/>
  <c r="I2399" i="1"/>
  <c r="X2398" i="1"/>
  <c r="Z2398" i="1" s="1"/>
  <c r="W2398" i="1"/>
  <c r="S2398" i="1"/>
  <c r="Q2398" i="1"/>
  <c r="N2398" i="1"/>
  <c r="L2398" i="1"/>
  <c r="Y2398" i="1" s="1"/>
  <c r="K2398" i="1"/>
  <c r="AB2398" i="1"/>
  <c r="AC2398" i="1" s="1"/>
  <c r="I2398" i="1"/>
  <c r="X2397" i="1"/>
  <c r="Z2397" i="1" s="1"/>
  <c r="W2397" i="1"/>
  <c r="S2397" i="1"/>
  <c r="Q2397" i="1"/>
  <c r="N2397" i="1"/>
  <c r="L2397" i="1"/>
  <c r="K2397" i="1"/>
  <c r="AB2397" i="1"/>
  <c r="I2397" i="1"/>
  <c r="X2396" i="1"/>
  <c r="Z2396" i="1" s="1"/>
  <c r="W2396" i="1"/>
  <c r="S2396" i="1"/>
  <c r="Q2396" i="1"/>
  <c r="N2396" i="1"/>
  <c r="L2396" i="1"/>
  <c r="K2396" i="1"/>
  <c r="AB2396" i="1"/>
  <c r="I2396" i="1"/>
  <c r="X2395" i="1"/>
  <c r="Z2395" i="1" s="1"/>
  <c r="W2395" i="1"/>
  <c r="S2395" i="1"/>
  <c r="Q2395" i="1"/>
  <c r="N2395" i="1"/>
  <c r="L2395" i="1"/>
  <c r="K2395" i="1"/>
  <c r="AB2395" i="1"/>
  <c r="I2395" i="1"/>
  <c r="X2394" i="1"/>
  <c r="Z2394" i="1" s="1"/>
  <c r="W2394" i="1"/>
  <c r="S2394" i="1"/>
  <c r="Q2394" i="1"/>
  <c r="N2394" i="1"/>
  <c r="L2394" i="1"/>
  <c r="Y2394" i="1" s="1"/>
  <c r="K2394" i="1"/>
  <c r="AB2394" i="1"/>
  <c r="I2394" i="1"/>
  <c r="X2393" i="1"/>
  <c r="Z2393" i="1" s="1"/>
  <c r="W2393" i="1"/>
  <c r="S2393" i="1"/>
  <c r="Q2393" i="1"/>
  <c r="N2393" i="1"/>
  <c r="L2393" i="1"/>
  <c r="K2393" i="1"/>
  <c r="AB2393" i="1"/>
  <c r="I2393" i="1"/>
  <c r="X2392" i="1"/>
  <c r="Z2392" i="1" s="1"/>
  <c r="W2392" i="1"/>
  <c r="S2392" i="1"/>
  <c r="Q2392" i="1"/>
  <c r="N2392" i="1"/>
  <c r="L2392" i="1"/>
  <c r="K2392" i="1"/>
  <c r="AB2392" i="1"/>
  <c r="I2392" i="1"/>
  <c r="X2391" i="1"/>
  <c r="Z2391" i="1" s="1"/>
  <c r="W2391" i="1"/>
  <c r="S2391" i="1"/>
  <c r="Q2391" i="1"/>
  <c r="N2391" i="1"/>
  <c r="L2391" i="1"/>
  <c r="K2391" i="1"/>
  <c r="AB2391" i="1"/>
  <c r="I2391" i="1"/>
  <c r="X2390" i="1"/>
  <c r="Z2390" i="1" s="1"/>
  <c r="W2390" i="1"/>
  <c r="S2390" i="1"/>
  <c r="Q2390" i="1"/>
  <c r="N2390" i="1"/>
  <c r="L2390" i="1"/>
  <c r="Y2390" i="1" s="1"/>
  <c r="K2390" i="1"/>
  <c r="AB2390" i="1"/>
  <c r="I2390" i="1"/>
  <c r="X2389" i="1"/>
  <c r="Z2389" i="1" s="1"/>
  <c r="W2389" i="1"/>
  <c r="S2389" i="1"/>
  <c r="Q2389" i="1"/>
  <c r="N2389" i="1"/>
  <c r="L2389" i="1"/>
  <c r="K2389" i="1"/>
  <c r="AB2389" i="1"/>
  <c r="I2389" i="1"/>
  <c r="X2388" i="1"/>
  <c r="Z2388" i="1" s="1"/>
  <c r="W2388" i="1"/>
  <c r="S2388" i="1"/>
  <c r="Q2388" i="1"/>
  <c r="N2388" i="1"/>
  <c r="L2388" i="1"/>
  <c r="K2388" i="1"/>
  <c r="AB2388" i="1"/>
  <c r="I2388" i="1"/>
  <c r="X2387" i="1"/>
  <c r="Z2387" i="1" s="1"/>
  <c r="W2387" i="1"/>
  <c r="S2387" i="1"/>
  <c r="Q2387" i="1"/>
  <c r="N2387" i="1"/>
  <c r="L2387" i="1"/>
  <c r="K2387" i="1"/>
  <c r="AB2387" i="1"/>
  <c r="I2387" i="1"/>
  <c r="X2386" i="1"/>
  <c r="Z2386" i="1" s="1"/>
  <c r="W2386" i="1"/>
  <c r="S2386" i="1"/>
  <c r="Q2386" i="1"/>
  <c r="N2386" i="1"/>
  <c r="L2386" i="1"/>
  <c r="Y2386" i="1" s="1"/>
  <c r="K2386" i="1"/>
  <c r="AB2386" i="1"/>
  <c r="I2386" i="1"/>
  <c r="X2385" i="1"/>
  <c r="Z2385" i="1" s="1"/>
  <c r="W2385" i="1"/>
  <c r="S2385" i="1"/>
  <c r="Q2385" i="1"/>
  <c r="N2385" i="1"/>
  <c r="L2385" i="1"/>
  <c r="K2385" i="1"/>
  <c r="AB2385" i="1"/>
  <c r="I2385" i="1"/>
  <c r="X2384" i="1"/>
  <c r="Z2384" i="1" s="1"/>
  <c r="W2384" i="1"/>
  <c r="S2384" i="1"/>
  <c r="Q2384" i="1"/>
  <c r="N2384" i="1"/>
  <c r="L2384" i="1"/>
  <c r="K2384" i="1"/>
  <c r="AB2384" i="1"/>
  <c r="I2384" i="1"/>
  <c r="X2383" i="1"/>
  <c r="Z2383" i="1" s="1"/>
  <c r="W2383" i="1"/>
  <c r="S2383" i="1"/>
  <c r="Q2383" i="1"/>
  <c r="N2383" i="1"/>
  <c r="L2383" i="1"/>
  <c r="K2383" i="1"/>
  <c r="AB2383" i="1"/>
  <c r="I2383" i="1"/>
  <c r="X2382" i="1"/>
  <c r="Z2382" i="1" s="1"/>
  <c r="W2382" i="1"/>
  <c r="S2382" i="1"/>
  <c r="Q2382" i="1"/>
  <c r="N2382" i="1"/>
  <c r="L2382" i="1"/>
  <c r="Y2382" i="1" s="1"/>
  <c r="K2382" i="1"/>
  <c r="AB2382" i="1"/>
  <c r="AC2382" i="1" s="1"/>
  <c r="I2382" i="1"/>
  <c r="X2381" i="1"/>
  <c r="Z2381" i="1" s="1"/>
  <c r="W2381" i="1"/>
  <c r="S2381" i="1"/>
  <c r="Q2381" i="1"/>
  <c r="N2381" i="1"/>
  <c r="L2381" i="1"/>
  <c r="K2381" i="1"/>
  <c r="AB2381" i="1"/>
  <c r="I2381" i="1"/>
  <c r="X2380" i="1"/>
  <c r="Z2380" i="1" s="1"/>
  <c r="W2380" i="1"/>
  <c r="S2380" i="1"/>
  <c r="Q2380" i="1"/>
  <c r="N2380" i="1"/>
  <c r="L2380" i="1"/>
  <c r="K2380" i="1"/>
  <c r="AB2380" i="1"/>
  <c r="I2380" i="1"/>
  <c r="X2379" i="1"/>
  <c r="Z2379" i="1" s="1"/>
  <c r="W2379" i="1"/>
  <c r="S2379" i="1"/>
  <c r="Q2379" i="1"/>
  <c r="N2379" i="1"/>
  <c r="L2379" i="1"/>
  <c r="K2379" i="1"/>
  <c r="AB2379" i="1"/>
  <c r="I2379" i="1"/>
  <c r="X2378" i="1"/>
  <c r="Z2378" i="1" s="1"/>
  <c r="W2378" i="1"/>
  <c r="S2378" i="1"/>
  <c r="Q2378" i="1"/>
  <c r="N2378" i="1"/>
  <c r="L2378" i="1"/>
  <c r="K2378" i="1"/>
  <c r="AB2378" i="1"/>
  <c r="I2378" i="1"/>
  <c r="X2377" i="1"/>
  <c r="Z2377" i="1" s="1"/>
  <c r="W2377" i="1"/>
  <c r="S2377" i="1"/>
  <c r="Q2377" i="1"/>
  <c r="N2377" i="1"/>
  <c r="L2377" i="1"/>
  <c r="K2377" i="1"/>
  <c r="AB2377" i="1"/>
  <c r="I2377" i="1"/>
  <c r="X2376" i="1"/>
  <c r="Z2376" i="1" s="1"/>
  <c r="W2376" i="1"/>
  <c r="S2376" i="1"/>
  <c r="Q2376" i="1"/>
  <c r="N2376" i="1"/>
  <c r="L2376" i="1"/>
  <c r="K2376" i="1"/>
  <c r="AB2376" i="1"/>
  <c r="I2376" i="1"/>
  <c r="X2375" i="1"/>
  <c r="Z2375" i="1" s="1"/>
  <c r="W2375" i="1"/>
  <c r="S2375" i="1"/>
  <c r="Q2375" i="1"/>
  <c r="N2375" i="1"/>
  <c r="L2375" i="1"/>
  <c r="K2375" i="1"/>
  <c r="AB2375" i="1"/>
  <c r="I2375" i="1"/>
  <c r="X2374" i="1"/>
  <c r="Z2374" i="1" s="1"/>
  <c r="W2374" i="1"/>
  <c r="S2374" i="1"/>
  <c r="Q2374" i="1"/>
  <c r="N2374" i="1"/>
  <c r="L2374" i="1"/>
  <c r="K2374" i="1"/>
  <c r="AB2374" i="1"/>
  <c r="I2374" i="1"/>
  <c r="X2373" i="1"/>
  <c r="Z2373" i="1" s="1"/>
  <c r="W2373" i="1"/>
  <c r="S2373" i="1"/>
  <c r="Q2373" i="1"/>
  <c r="N2373" i="1"/>
  <c r="L2373" i="1"/>
  <c r="K2373" i="1"/>
  <c r="AB2373" i="1"/>
  <c r="I2373" i="1"/>
  <c r="X2372" i="1"/>
  <c r="Z2372" i="1" s="1"/>
  <c r="W2372" i="1"/>
  <c r="S2372" i="1"/>
  <c r="Q2372" i="1"/>
  <c r="N2372" i="1"/>
  <c r="L2372" i="1"/>
  <c r="K2372" i="1"/>
  <c r="AB2372" i="1"/>
  <c r="I2372" i="1"/>
  <c r="X2371" i="1"/>
  <c r="Z2371" i="1" s="1"/>
  <c r="W2371" i="1"/>
  <c r="S2371" i="1"/>
  <c r="Q2371" i="1"/>
  <c r="N2371" i="1"/>
  <c r="L2371" i="1"/>
  <c r="K2371" i="1"/>
  <c r="AB2371" i="1"/>
  <c r="I2371" i="1"/>
  <c r="X2370" i="1"/>
  <c r="Z2370" i="1" s="1"/>
  <c r="W2370" i="1"/>
  <c r="S2370" i="1"/>
  <c r="Q2370" i="1"/>
  <c r="N2370" i="1"/>
  <c r="L2370" i="1"/>
  <c r="K2370" i="1"/>
  <c r="AB2370" i="1"/>
  <c r="I2370" i="1"/>
  <c r="X2369" i="1"/>
  <c r="Z2369" i="1" s="1"/>
  <c r="W2369" i="1"/>
  <c r="S2369" i="1"/>
  <c r="Q2369" i="1"/>
  <c r="N2369" i="1"/>
  <c r="L2369" i="1"/>
  <c r="K2369" i="1"/>
  <c r="AB2369" i="1"/>
  <c r="I2369" i="1"/>
  <c r="X2368" i="1"/>
  <c r="Z2368" i="1" s="1"/>
  <c r="W2368" i="1"/>
  <c r="S2368" i="1"/>
  <c r="Q2368" i="1"/>
  <c r="N2368" i="1"/>
  <c r="L2368" i="1"/>
  <c r="K2368" i="1"/>
  <c r="AB2368" i="1"/>
  <c r="I2368" i="1"/>
  <c r="X2367" i="1"/>
  <c r="Z2367" i="1" s="1"/>
  <c r="W2367" i="1"/>
  <c r="S2367" i="1"/>
  <c r="Q2367" i="1"/>
  <c r="N2367" i="1"/>
  <c r="L2367" i="1"/>
  <c r="K2367" i="1"/>
  <c r="AB2367" i="1"/>
  <c r="I2367" i="1"/>
  <c r="X2366" i="1"/>
  <c r="Z2366" i="1" s="1"/>
  <c r="W2366" i="1"/>
  <c r="S2366" i="1"/>
  <c r="Q2366" i="1"/>
  <c r="N2366" i="1"/>
  <c r="L2366" i="1"/>
  <c r="K2366" i="1"/>
  <c r="AB2366" i="1"/>
  <c r="I2366" i="1"/>
  <c r="X2365" i="1"/>
  <c r="Z2365" i="1" s="1"/>
  <c r="W2365" i="1"/>
  <c r="S2365" i="1"/>
  <c r="Q2365" i="1"/>
  <c r="N2365" i="1"/>
  <c r="L2365" i="1"/>
  <c r="K2365" i="1"/>
  <c r="AB2365" i="1"/>
  <c r="I2365" i="1"/>
  <c r="X2364" i="1"/>
  <c r="Z2364" i="1" s="1"/>
  <c r="W2364" i="1"/>
  <c r="S2364" i="1"/>
  <c r="Q2364" i="1"/>
  <c r="N2364" i="1"/>
  <c r="L2364" i="1"/>
  <c r="K2364" i="1"/>
  <c r="AB2364" i="1"/>
  <c r="I2364" i="1"/>
  <c r="X2363" i="1"/>
  <c r="Z2363" i="1" s="1"/>
  <c r="W2363" i="1"/>
  <c r="S2363" i="1"/>
  <c r="Q2363" i="1"/>
  <c r="N2363" i="1"/>
  <c r="L2363" i="1"/>
  <c r="K2363" i="1"/>
  <c r="AB2363" i="1"/>
  <c r="I2363" i="1"/>
  <c r="X2362" i="1"/>
  <c r="Z2362" i="1" s="1"/>
  <c r="W2362" i="1"/>
  <c r="S2362" i="1"/>
  <c r="Q2362" i="1"/>
  <c r="N2362" i="1"/>
  <c r="L2362" i="1"/>
  <c r="K2362" i="1"/>
  <c r="AB2362" i="1"/>
  <c r="AC2362" i="1" s="1"/>
  <c r="I2362" i="1"/>
  <c r="X2361" i="1"/>
  <c r="Z2361" i="1" s="1"/>
  <c r="W2361" i="1"/>
  <c r="S2361" i="1"/>
  <c r="Q2361" i="1"/>
  <c r="N2361" i="1"/>
  <c r="L2361" i="1"/>
  <c r="K2361" i="1"/>
  <c r="AB2361" i="1"/>
  <c r="I2361" i="1"/>
  <c r="X2360" i="1"/>
  <c r="Z2360" i="1" s="1"/>
  <c r="W2360" i="1"/>
  <c r="S2360" i="1"/>
  <c r="Q2360" i="1"/>
  <c r="N2360" i="1"/>
  <c r="L2360" i="1"/>
  <c r="K2360" i="1"/>
  <c r="AB2360" i="1"/>
  <c r="I2360" i="1"/>
  <c r="X2359" i="1"/>
  <c r="Z2359" i="1" s="1"/>
  <c r="W2359" i="1"/>
  <c r="S2359" i="1"/>
  <c r="Q2359" i="1"/>
  <c r="N2359" i="1"/>
  <c r="L2359" i="1"/>
  <c r="K2359" i="1"/>
  <c r="AB2359" i="1"/>
  <c r="I2359" i="1"/>
  <c r="X2358" i="1"/>
  <c r="Z2358" i="1" s="1"/>
  <c r="W2358" i="1"/>
  <c r="S2358" i="1"/>
  <c r="Q2358" i="1"/>
  <c r="N2358" i="1"/>
  <c r="L2358" i="1"/>
  <c r="K2358" i="1"/>
  <c r="AB2358" i="1"/>
  <c r="I2358" i="1"/>
  <c r="X2357" i="1"/>
  <c r="Z2357" i="1" s="1"/>
  <c r="W2357" i="1"/>
  <c r="S2357" i="1"/>
  <c r="Q2357" i="1"/>
  <c r="N2357" i="1"/>
  <c r="L2357" i="1"/>
  <c r="K2357" i="1"/>
  <c r="AB2357" i="1"/>
  <c r="I2357" i="1"/>
  <c r="X2356" i="1"/>
  <c r="Z2356" i="1" s="1"/>
  <c r="W2356" i="1"/>
  <c r="S2356" i="1"/>
  <c r="Q2356" i="1"/>
  <c r="N2356" i="1"/>
  <c r="L2356" i="1"/>
  <c r="K2356" i="1"/>
  <c r="AB2356" i="1"/>
  <c r="I2356" i="1"/>
  <c r="X2355" i="1"/>
  <c r="Z2355" i="1" s="1"/>
  <c r="W2355" i="1"/>
  <c r="S2355" i="1"/>
  <c r="Q2355" i="1"/>
  <c r="N2355" i="1"/>
  <c r="L2355" i="1"/>
  <c r="K2355" i="1"/>
  <c r="AB2355" i="1"/>
  <c r="I2355" i="1"/>
  <c r="X2354" i="1"/>
  <c r="Z2354" i="1" s="1"/>
  <c r="W2354" i="1"/>
  <c r="S2354" i="1"/>
  <c r="Q2354" i="1"/>
  <c r="N2354" i="1"/>
  <c r="L2354" i="1"/>
  <c r="K2354" i="1"/>
  <c r="AB2354" i="1"/>
  <c r="I2354" i="1"/>
  <c r="X2353" i="1"/>
  <c r="Z2353" i="1" s="1"/>
  <c r="W2353" i="1"/>
  <c r="S2353" i="1"/>
  <c r="Q2353" i="1"/>
  <c r="N2353" i="1"/>
  <c r="L2353" i="1"/>
  <c r="K2353" i="1"/>
  <c r="AB2353" i="1"/>
  <c r="I2353" i="1"/>
  <c r="X2352" i="1"/>
  <c r="Z2352" i="1" s="1"/>
  <c r="W2352" i="1"/>
  <c r="S2352" i="1"/>
  <c r="Q2352" i="1"/>
  <c r="N2352" i="1"/>
  <c r="L2352" i="1"/>
  <c r="K2352" i="1"/>
  <c r="AB2352" i="1"/>
  <c r="I2352" i="1"/>
  <c r="X2351" i="1"/>
  <c r="Z2351" i="1" s="1"/>
  <c r="W2351" i="1"/>
  <c r="S2351" i="1"/>
  <c r="Q2351" i="1"/>
  <c r="N2351" i="1"/>
  <c r="L2351" i="1"/>
  <c r="K2351" i="1"/>
  <c r="AB2351" i="1"/>
  <c r="I2351" i="1"/>
  <c r="X2350" i="1"/>
  <c r="Z2350" i="1" s="1"/>
  <c r="W2350" i="1"/>
  <c r="S2350" i="1"/>
  <c r="Q2350" i="1"/>
  <c r="N2350" i="1"/>
  <c r="L2350" i="1"/>
  <c r="K2350" i="1"/>
  <c r="AB2350" i="1"/>
  <c r="I2350" i="1"/>
  <c r="X2349" i="1"/>
  <c r="Z2349" i="1" s="1"/>
  <c r="W2349" i="1"/>
  <c r="S2349" i="1"/>
  <c r="Q2349" i="1"/>
  <c r="N2349" i="1"/>
  <c r="L2349" i="1"/>
  <c r="K2349" i="1"/>
  <c r="AB2349" i="1"/>
  <c r="I2349" i="1"/>
  <c r="X2348" i="1"/>
  <c r="Z2348" i="1" s="1"/>
  <c r="W2348" i="1"/>
  <c r="S2348" i="1"/>
  <c r="Q2348" i="1"/>
  <c r="N2348" i="1"/>
  <c r="L2348" i="1"/>
  <c r="K2348" i="1"/>
  <c r="AB2348" i="1"/>
  <c r="I2348" i="1"/>
  <c r="X2347" i="1"/>
  <c r="Z2347" i="1" s="1"/>
  <c r="W2347" i="1"/>
  <c r="S2347" i="1"/>
  <c r="Q2347" i="1"/>
  <c r="N2347" i="1"/>
  <c r="L2347" i="1"/>
  <c r="K2347" i="1"/>
  <c r="AB2347" i="1"/>
  <c r="I2347" i="1"/>
  <c r="X2346" i="1"/>
  <c r="Z2346" i="1" s="1"/>
  <c r="W2346" i="1"/>
  <c r="S2346" i="1"/>
  <c r="Q2346" i="1"/>
  <c r="N2346" i="1"/>
  <c r="L2346" i="1"/>
  <c r="K2346" i="1"/>
  <c r="AB2346" i="1"/>
  <c r="I2346" i="1"/>
  <c r="X2345" i="1"/>
  <c r="Z2345" i="1" s="1"/>
  <c r="W2345" i="1"/>
  <c r="S2345" i="1"/>
  <c r="Q2345" i="1"/>
  <c r="N2345" i="1"/>
  <c r="L2345" i="1"/>
  <c r="K2345" i="1"/>
  <c r="AB2345" i="1"/>
  <c r="I2345" i="1"/>
  <c r="X2344" i="1"/>
  <c r="Z2344" i="1" s="1"/>
  <c r="W2344" i="1"/>
  <c r="S2344" i="1"/>
  <c r="Q2344" i="1"/>
  <c r="N2344" i="1"/>
  <c r="L2344" i="1"/>
  <c r="K2344" i="1"/>
  <c r="AB2344" i="1"/>
  <c r="I2344" i="1"/>
  <c r="X2343" i="1"/>
  <c r="Z2343" i="1" s="1"/>
  <c r="W2343" i="1"/>
  <c r="S2343" i="1"/>
  <c r="Q2343" i="1"/>
  <c r="N2343" i="1"/>
  <c r="L2343" i="1"/>
  <c r="K2343" i="1"/>
  <c r="AB2343" i="1"/>
  <c r="I2343" i="1"/>
  <c r="X2342" i="1"/>
  <c r="Z2342" i="1" s="1"/>
  <c r="W2342" i="1"/>
  <c r="S2342" i="1"/>
  <c r="Q2342" i="1"/>
  <c r="N2342" i="1"/>
  <c r="L2342" i="1"/>
  <c r="K2342" i="1"/>
  <c r="AB2342" i="1"/>
  <c r="I2342" i="1"/>
  <c r="X2341" i="1"/>
  <c r="Z2341" i="1" s="1"/>
  <c r="W2341" i="1"/>
  <c r="S2341" i="1"/>
  <c r="Q2341" i="1"/>
  <c r="N2341" i="1"/>
  <c r="L2341" i="1"/>
  <c r="K2341" i="1"/>
  <c r="AB2341" i="1"/>
  <c r="I2341" i="1"/>
  <c r="X2340" i="1"/>
  <c r="Z2340" i="1" s="1"/>
  <c r="W2340" i="1"/>
  <c r="S2340" i="1"/>
  <c r="Q2340" i="1"/>
  <c r="N2340" i="1"/>
  <c r="L2340" i="1"/>
  <c r="K2340" i="1"/>
  <c r="AB2340" i="1"/>
  <c r="I2340" i="1"/>
  <c r="X2339" i="1"/>
  <c r="Z2339" i="1" s="1"/>
  <c r="W2339" i="1"/>
  <c r="S2339" i="1"/>
  <c r="Q2339" i="1"/>
  <c r="N2339" i="1"/>
  <c r="L2339" i="1"/>
  <c r="K2339" i="1"/>
  <c r="AB2339" i="1"/>
  <c r="I2339" i="1"/>
  <c r="X2338" i="1"/>
  <c r="Z2338" i="1" s="1"/>
  <c r="W2338" i="1"/>
  <c r="S2338" i="1"/>
  <c r="Q2338" i="1"/>
  <c r="N2338" i="1"/>
  <c r="L2338" i="1"/>
  <c r="K2338" i="1"/>
  <c r="AB2338" i="1"/>
  <c r="I2338" i="1"/>
  <c r="X2337" i="1"/>
  <c r="Z2337" i="1" s="1"/>
  <c r="W2337" i="1"/>
  <c r="S2337" i="1"/>
  <c r="Q2337" i="1"/>
  <c r="N2337" i="1"/>
  <c r="L2337" i="1"/>
  <c r="K2337" i="1"/>
  <c r="AB2337" i="1"/>
  <c r="I2337" i="1"/>
  <c r="X2336" i="1"/>
  <c r="Z2336" i="1" s="1"/>
  <c r="W2336" i="1"/>
  <c r="S2336" i="1"/>
  <c r="Q2336" i="1"/>
  <c r="N2336" i="1"/>
  <c r="L2336" i="1"/>
  <c r="K2336" i="1"/>
  <c r="AB2336" i="1"/>
  <c r="I2336" i="1"/>
  <c r="X2335" i="1"/>
  <c r="Z2335" i="1" s="1"/>
  <c r="W2335" i="1"/>
  <c r="S2335" i="1"/>
  <c r="Q2335" i="1"/>
  <c r="N2335" i="1"/>
  <c r="L2335" i="1"/>
  <c r="K2335" i="1"/>
  <c r="AB2335" i="1"/>
  <c r="I2335" i="1"/>
  <c r="X2334" i="1"/>
  <c r="Z2334" i="1" s="1"/>
  <c r="W2334" i="1"/>
  <c r="S2334" i="1"/>
  <c r="Q2334" i="1"/>
  <c r="N2334" i="1"/>
  <c r="L2334" i="1"/>
  <c r="K2334" i="1"/>
  <c r="AB2334" i="1"/>
  <c r="I2334" i="1"/>
  <c r="X2333" i="1"/>
  <c r="Z2333" i="1" s="1"/>
  <c r="W2333" i="1"/>
  <c r="S2333" i="1"/>
  <c r="Q2333" i="1"/>
  <c r="N2333" i="1"/>
  <c r="L2333" i="1"/>
  <c r="K2333" i="1"/>
  <c r="AB2333" i="1"/>
  <c r="I2333" i="1"/>
  <c r="X2332" i="1"/>
  <c r="Z2332" i="1" s="1"/>
  <c r="W2332" i="1"/>
  <c r="S2332" i="1"/>
  <c r="Q2332" i="1"/>
  <c r="N2332" i="1"/>
  <c r="L2332" i="1"/>
  <c r="K2332" i="1"/>
  <c r="AB2332" i="1"/>
  <c r="I2332" i="1"/>
  <c r="X2331" i="1"/>
  <c r="Z2331" i="1" s="1"/>
  <c r="W2331" i="1"/>
  <c r="S2331" i="1"/>
  <c r="Q2331" i="1"/>
  <c r="N2331" i="1"/>
  <c r="L2331" i="1"/>
  <c r="K2331" i="1"/>
  <c r="AB2331" i="1"/>
  <c r="I2331" i="1"/>
  <c r="X2330" i="1"/>
  <c r="Z2330" i="1" s="1"/>
  <c r="W2330" i="1"/>
  <c r="S2330" i="1"/>
  <c r="Q2330" i="1"/>
  <c r="N2330" i="1"/>
  <c r="L2330" i="1"/>
  <c r="K2330" i="1"/>
  <c r="AB2330" i="1"/>
  <c r="I2330" i="1"/>
  <c r="X2329" i="1"/>
  <c r="Z2329" i="1" s="1"/>
  <c r="W2329" i="1"/>
  <c r="S2329" i="1"/>
  <c r="Q2329" i="1"/>
  <c r="N2329" i="1"/>
  <c r="L2329" i="1"/>
  <c r="K2329" i="1"/>
  <c r="AB2329" i="1"/>
  <c r="I2329" i="1"/>
  <c r="X2328" i="1"/>
  <c r="Z2328" i="1" s="1"/>
  <c r="W2328" i="1"/>
  <c r="S2328" i="1"/>
  <c r="Q2328" i="1"/>
  <c r="N2328" i="1"/>
  <c r="L2328" i="1"/>
  <c r="K2328" i="1"/>
  <c r="AB2328" i="1"/>
  <c r="I2328" i="1"/>
  <c r="X2327" i="1"/>
  <c r="Z2327" i="1" s="1"/>
  <c r="W2327" i="1"/>
  <c r="S2327" i="1"/>
  <c r="Q2327" i="1"/>
  <c r="N2327" i="1"/>
  <c r="L2327" i="1"/>
  <c r="K2327" i="1"/>
  <c r="AB2327" i="1"/>
  <c r="I2327" i="1"/>
  <c r="X2326" i="1"/>
  <c r="Z2326" i="1" s="1"/>
  <c r="W2326" i="1"/>
  <c r="S2326" i="1"/>
  <c r="Q2326" i="1"/>
  <c r="N2326" i="1"/>
  <c r="L2326" i="1"/>
  <c r="K2326" i="1"/>
  <c r="AB2326" i="1"/>
  <c r="I2326" i="1"/>
  <c r="X2325" i="1"/>
  <c r="Z2325" i="1" s="1"/>
  <c r="W2325" i="1"/>
  <c r="S2325" i="1"/>
  <c r="Q2325" i="1"/>
  <c r="N2325" i="1"/>
  <c r="L2325" i="1"/>
  <c r="K2325" i="1"/>
  <c r="AB2325" i="1"/>
  <c r="I2325" i="1"/>
  <c r="X2324" i="1"/>
  <c r="Z2324" i="1" s="1"/>
  <c r="W2324" i="1"/>
  <c r="S2324" i="1"/>
  <c r="Q2324" i="1"/>
  <c r="N2324" i="1"/>
  <c r="L2324" i="1"/>
  <c r="K2324" i="1"/>
  <c r="AB2324" i="1"/>
  <c r="I2324" i="1"/>
  <c r="X2323" i="1"/>
  <c r="Z2323" i="1" s="1"/>
  <c r="W2323" i="1"/>
  <c r="S2323" i="1"/>
  <c r="Q2323" i="1"/>
  <c r="N2323" i="1"/>
  <c r="L2323" i="1"/>
  <c r="K2323" i="1"/>
  <c r="AB2323" i="1"/>
  <c r="I2323" i="1"/>
  <c r="X2322" i="1"/>
  <c r="Z2322" i="1" s="1"/>
  <c r="W2322" i="1"/>
  <c r="S2322" i="1"/>
  <c r="Q2322" i="1"/>
  <c r="N2322" i="1"/>
  <c r="L2322" i="1"/>
  <c r="K2322" i="1"/>
  <c r="AB2322" i="1"/>
  <c r="I2322" i="1"/>
  <c r="X2321" i="1"/>
  <c r="Z2321" i="1" s="1"/>
  <c r="W2321" i="1"/>
  <c r="S2321" i="1"/>
  <c r="Q2321" i="1"/>
  <c r="N2321" i="1"/>
  <c r="L2321" i="1"/>
  <c r="K2321" i="1"/>
  <c r="AB2321" i="1"/>
  <c r="I2321" i="1"/>
  <c r="X2320" i="1"/>
  <c r="Z2320" i="1" s="1"/>
  <c r="W2320" i="1"/>
  <c r="S2320" i="1"/>
  <c r="Q2320" i="1"/>
  <c r="N2320" i="1"/>
  <c r="L2320" i="1"/>
  <c r="K2320" i="1"/>
  <c r="AB2320" i="1"/>
  <c r="I2320" i="1"/>
  <c r="X2319" i="1"/>
  <c r="Z2319" i="1" s="1"/>
  <c r="W2319" i="1"/>
  <c r="S2319" i="1"/>
  <c r="Q2319" i="1"/>
  <c r="N2319" i="1"/>
  <c r="L2319" i="1"/>
  <c r="K2319" i="1"/>
  <c r="AB2319" i="1"/>
  <c r="I2319" i="1"/>
  <c r="X2318" i="1"/>
  <c r="Z2318" i="1" s="1"/>
  <c r="W2318" i="1"/>
  <c r="S2318" i="1"/>
  <c r="Q2318" i="1"/>
  <c r="N2318" i="1"/>
  <c r="L2318" i="1"/>
  <c r="K2318" i="1"/>
  <c r="AB2318" i="1"/>
  <c r="I2318" i="1"/>
  <c r="X2317" i="1"/>
  <c r="Z2317" i="1" s="1"/>
  <c r="W2317" i="1"/>
  <c r="S2317" i="1"/>
  <c r="Q2317" i="1"/>
  <c r="N2317" i="1"/>
  <c r="L2317" i="1"/>
  <c r="K2317" i="1"/>
  <c r="AB2317" i="1"/>
  <c r="I2317" i="1"/>
  <c r="X2316" i="1"/>
  <c r="Z2316" i="1" s="1"/>
  <c r="W2316" i="1"/>
  <c r="S2316" i="1"/>
  <c r="Q2316" i="1"/>
  <c r="N2316" i="1"/>
  <c r="L2316" i="1"/>
  <c r="K2316" i="1"/>
  <c r="AB2316" i="1"/>
  <c r="I2316" i="1"/>
  <c r="X2315" i="1"/>
  <c r="Z2315" i="1" s="1"/>
  <c r="W2315" i="1"/>
  <c r="S2315" i="1"/>
  <c r="Q2315" i="1"/>
  <c r="N2315" i="1"/>
  <c r="L2315" i="1"/>
  <c r="K2315" i="1"/>
  <c r="AB2315" i="1"/>
  <c r="I2315" i="1"/>
  <c r="X2314" i="1"/>
  <c r="Z2314" i="1" s="1"/>
  <c r="W2314" i="1"/>
  <c r="S2314" i="1"/>
  <c r="Q2314" i="1"/>
  <c r="N2314" i="1"/>
  <c r="L2314" i="1"/>
  <c r="K2314" i="1"/>
  <c r="AB2314" i="1"/>
  <c r="I2314" i="1"/>
  <c r="X2313" i="1"/>
  <c r="Z2313" i="1" s="1"/>
  <c r="W2313" i="1"/>
  <c r="S2313" i="1"/>
  <c r="Q2313" i="1"/>
  <c r="N2313" i="1"/>
  <c r="L2313" i="1"/>
  <c r="K2313" i="1"/>
  <c r="AB2313" i="1"/>
  <c r="I2313" i="1"/>
  <c r="X2312" i="1"/>
  <c r="Z2312" i="1" s="1"/>
  <c r="W2312" i="1"/>
  <c r="S2312" i="1"/>
  <c r="Q2312" i="1"/>
  <c r="N2312" i="1"/>
  <c r="L2312" i="1"/>
  <c r="K2312" i="1"/>
  <c r="AB2312" i="1"/>
  <c r="I2312" i="1"/>
  <c r="X2311" i="1"/>
  <c r="Z2311" i="1" s="1"/>
  <c r="W2311" i="1"/>
  <c r="S2311" i="1"/>
  <c r="Q2311" i="1"/>
  <c r="N2311" i="1"/>
  <c r="L2311" i="1"/>
  <c r="K2311" i="1"/>
  <c r="AB2311" i="1"/>
  <c r="I2311" i="1"/>
  <c r="X2310" i="1"/>
  <c r="Z2310" i="1" s="1"/>
  <c r="W2310" i="1"/>
  <c r="S2310" i="1"/>
  <c r="Q2310" i="1"/>
  <c r="N2310" i="1"/>
  <c r="L2310" i="1"/>
  <c r="K2310" i="1"/>
  <c r="AB2310" i="1"/>
  <c r="I2310" i="1"/>
  <c r="X2309" i="1"/>
  <c r="Z2309" i="1" s="1"/>
  <c r="W2309" i="1"/>
  <c r="S2309" i="1"/>
  <c r="Q2309" i="1"/>
  <c r="N2309" i="1"/>
  <c r="L2309" i="1"/>
  <c r="K2309" i="1"/>
  <c r="AB2309" i="1"/>
  <c r="I2309" i="1"/>
  <c r="X2308" i="1"/>
  <c r="Z2308" i="1" s="1"/>
  <c r="W2308" i="1"/>
  <c r="S2308" i="1"/>
  <c r="Q2308" i="1"/>
  <c r="N2308" i="1"/>
  <c r="L2308" i="1"/>
  <c r="K2308" i="1"/>
  <c r="AB2308" i="1"/>
  <c r="I2308" i="1"/>
  <c r="X2307" i="1"/>
  <c r="Z2307" i="1" s="1"/>
  <c r="W2307" i="1"/>
  <c r="S2307" i="1"/>
  <c r="Q2307" i="1"/>
  <c r="N2307" i="1"/>
  <c r="L2307" i="1"/>
  <c r="K2307" i="1"/>
  <c r="AB2307" i="1"/>
  <c r="I2307" i="1"/>
  <c r="X2306" i="1"/>
  <c r="Z2306" i="1" s="1"/>
  <c r="W2306" i="1"/>
  <c r="S2306" i="1"/>
  <c r="Q2306" i="1"/>
  <c r="N2306" i="1"/>
  <c r="L2306" i="1"/>
  <c r="K2306" i="1"/>
  <c r="AB2306" i="1"/>
  <c r="I2306" i="1"/>
  <c r="X2305" i="1"/>
  <c r="Z2305" i="1" s="1"/>
  <c r="W2305" i="1"/>
  <c r="S2305" i="1"/>
  <c r="Q2305" i="1"/>
  <c r="N2305" i="1"/>
  <c r="L2305" i="1"/>
  <c r="K2305" i="1"/>
  <c r="AB2305" i="1"/>
  <c r="I2305" i="1"/>
  <c r="X2304" i="1"/>
  <c r="Z2304" i="1" s="1"/>
  <c r="W2304" i="1"/>
  <c r="S2304" i="1"/>
  <c r="Q2304" i="1"/>
  <c r="N2304" i="1"/>
  <c r="L2304" i="1"/>
  <c r="K2304" i="1"/>
  <c r="AB2304" i="1"/>
  <c r="I2304" i="1"/>
  <c r="X2303" i="1"/>
  <c r="Z2303" i="1" s="1"/>
  <c r="W2303" i="1"/>
  <c r="S2303" i="1"/>
  <c r="Q2303" i="1"/>
  <c r="N2303" i="1"/>
  <c r="L2303" i="1"/>
  <c r="K2303" i="1"/>
  <c r="AB2303" i="1"/>
  <c r="I2303" i="1"/>
  <c r="X2302" i="1"/>
  <c r="Z2302" i="1" s="1"/>
  <c r="W2302" i="1"/>
  <c r="S2302" i="1"/>
  <c r="Q2302" i="1"/>
  <c r="N2302" i="1"/>
  <c r="L2302" i="1"/>
  <c r="K2302" i="1"/>
  <c r="AB2302" i="1"/>
  <c r="I2302" i="1"/>
  <c r="X2301" i="1"/>
  <c r="Z2301" i="1" s="1"/>
  <c r="W2301" i="1"/>
  <c r="S2301" i="1"/>
  <c r="Q2301" i="1"/>
  <c r="N2301" i="1"/>
  <c r="L2301" i="1"/>
  <c r="K2301" i="1"/>
  <c r="AB2301" i="1"/>
  <c r="I2301" i="1"/>
  <c r="X2300" i="1"/>
  <c r="Z2300" i="1" s="1"/>
  <c r="W2300" i="1"/>
  <c r="S2300" i="1"/>
  <c r="Q2300" i="1"/>
  <c r="N2300" i="1"/>
  <c r="L2300" i="1"/>
  <c r="K2300" i="1"/>
  <c r="AB2300" i="1"/>
  <c r="I2300" i="1"/>
  <c r="X2299" i="1"/>
  <c r="Z2299" i="1" s="1"/>
  <c r="W2299" i="1"/>
  <c r="S2299" i="1"/>
  <c r="Q2299" i="1"/>
  <c r="N2299" i="1"/>
  <c r="L2299" i="1"/>
  <c r="K2299" i="1"/>
  <c r="AB2299" i="1"/>
  <c r="I2299" i="1"/>
  <c r="X2298" i="1"/>
  <c r="Z2298" i="1" s="1"/>
  <c r="W2298" i="1"/>
  <c r="S2298" i="1"/>
  <c r="Q2298" i="1"/>
  <c r="N2298" i="1"/>
  <c r="L2298" i="1"/>
  <c r="K2298" i="1"/>
  <c r="AB2298" i="1"/>
  <c r="I2298" i="1"/>
  <c r="X2297" i="1"/>
  <c r="Z2297" i="1" s="1"/>
  <c r="W2297" i="1"/>
  <c r="S2297" i="1"/>
  <c r="Q2297" i="1"/>
  <c r="N2297" i="1"/>
  <c r="L2297" i="1"/>
  <c r="K2297" i="1"/>
  <c r="AB2297" i="1"/>
  <c r="I2297" i="1"/>
  <c r="X2296" i="1"/>
  <c r="Z2296" i="1" s="1"/>
  <c r="W2296" i="1"/>
  <c r="S2296" i="1"/>
  <c r="Q2296" i="1"/>
  <c r="N2296" i="1"/>
  <c r="L2296" i="1"/>
  <c r="K2296" i="1"/>
  <c r="AB2296" i="1"/>
  <c r="I2296" i="1"/>
  <c r="X2295" i="1"/>
  <c r="Z2295" i="1" s="1"/>
  <c r="W2295" i="1"/>
  <c r="S2295" i="1"/>
  <c r="Q2295" i="1"/>
  <c r="N2295" i="1"/>
  <c r="L2295" i="1"/>
  <c r="K2295" i="1"/>
  <c r="AB2295" i="1"/>
  <c r="I2295" i="1"/>
  <c r="X2294" i="1"/>
  <c r="Z2294" i="1" s="1"/>
  <c r="W2294" i="1"/>
  <c r="S2294" i="1"/>
  <c r="Q2294" i="1"/>
  <c r="N2294" i="1"/>
  <c r="L2294" i="1"/>
  <c r="K2294" i="1"/>
  <c r="AB2294" i="1"/>
  <c r="I2294" i="1"/>
  <c r="X2293" i="1"/>
  <c r="Z2293" i="1" s="1"/>
  <c r="W2293" i="1"/>
  <c r="S2293" i="1"/>
  <c r="Q2293" i="1"/>
  <c r="N2293" i="1"/>
  <c r="L2293" i="1"/>
  <c r="K2293" i="1"/>
  <c r="AB2293" i="1"/>
  <c r="I2293" i="1"/>
  <c r="X2292" i="1"/>
  <c r="Z2292" i="1" s="1"/>
  <c r="W2292" i="1"/>
  <c r="S2292" i="1"/>
  <c r="Q2292" i="1"/>
  <c r="N2292" i="1"/>
  <c r="L2292" i="1"/>
  <c r="K2292" i="1"/>
  <c r="AB2292" i="1"/>
  <c r="I2292" i="1"/>
  <c r="X2291" i="1"/>
  <c r="Z2291" i="1" s="1"/>
  <c r="W2291" i="1"/>
  <c r="S2291" i="1"/>
  <c r="Q2291" i="1"/>
  <c r="N2291" i="1"/>
  <c r="L2291" i="1"/>
  <c r="K2291" i="1"/>
  <c r="AB2291" i="1"/>
  <c r="I2291" i="1"/>
  <c r="X2290" i="1"/>
  <c r="Z2290" i="1" s="1"/>
  <c r="W2290" i="1"/>
  <c r="S2290" i="1"/>
  <c r="Q2290" i="1"/>
  <c r="N2290" i="1"/>
  <c r="L2290" i="1"/>
  <c r="K2290" i="1"/>
  <c r="AB2290" i="1"/>
  <c r="I2290" i="1"/>
  <c r="X2289" i="1"/>
  <c r="Z2289" i="1" s="1"/>
  <c r="W2289" i="1"/>
  <c r="S2289" i="1"/>
  <c r="Q2289" i="1"/>
  <c r="N2289" i="1"/>
  <c r="L2289" i="1"/>
  <c r="K2289" i="1"/>
  <c r="AB2289" i="1"/>
  <c r="I2289" i="1"/>
  <c r="X2288" i="1"/>
  <c r="Z2288" i="1" s="1"/>
  <c r="W2288" i="1"/>
  <c r="S2288" i="1"/>
  <c r="Q2288" i="1"/>
  <c r="N2288" i="1"/>
  <c r="L2288" i="1"/>
  <c r="K2288" i="1"/>
  <c r="AB2288" i="1"/>
  <c r="I2288" i="1"/>
  <c r="X2287" i="1"/>
  <c r="Z2287" i="1" s="1"/>
  <c r="W2287" i="1"/>
  <c r="S2287" i="1"/>
  <c r="Q2287" i="1"/>
  <c r="N2287" i="1"/>
  <c r="L2287" i="1"/>
  <c r="K2287" i="1"/>
  <c r="AB2287" i="1"/>
  <c r="I2287" i="1"/>
  <c r="X2286" i="1"/>
  <c r="Z2286" i="1" s="1"/>
  <c r="W2286" i="1"/>
  <c r="S2286" i="1"/>
  <c r="Q2286" i="1"/>
  <c r="N2286" i="1"/>
  <c r="L2286" i="1"/>
  <c r="K2286" i="1"/>
  <c r="AB2286" i="1"/>
  <c r="I2286" i="1"/>
  <c r="X2285" i="1"/>
  <c r="Z2285" i="1" s="1"/>
  <c r="W2285" i="1"/>
  <c r="S2285" i="1"/>
  <c r="Q2285" i="1"/>
  <c r="N2285" i="1"/>
  <c r="L2285" i="1"/>
  <c r="K2285" i="1"/>
  <c r="AB2285" i="1"/>
  <c r="I2285" i="1"/>
  <c r="X2284" i="1"/>
  <c r="Z2284" i="1" s="1"/>
  <c r="W2284" i="1"/>
  <c r="S2284" i="1"/>
  <c r="Q2284" i="1"/>
  <c r="N2284" i="1"/>
  <c r="L2284" i="1"/>
  <c r="K2284" i="1"/>
  <c r="AB2284" i="1"/>
  <c r="I2284" i="1"/>
  <c r="X2283" i="1"/>
  <c r="Z2283" i="1" s="1"/>
  <c r="W2283" i="1"/>
  <c r="S2283" i="1"/>
  <c r="Q2283" i="1"/>
  <c r="N2283" i="1"/>
  <c r="L2283" i="1"/>
  <c r="K2283" i="1"/>
  <c r="AB2283" i="1"/>
  <c r="I2283" i="1"/>
  <c r="X2282" i="1"/>
  <c r="Z2282" i="1" s="1"/>
  <c r="W2282" i="1"/>
  <c r="S2282" i="1"/>
  <c r="Q2282" i="1"/>
  <c r="N2282" i="1"/>
  <c r="L2282" i="1"/>
  <c r="K2282" i="1"/>
  <c r="AB2282" i="1"/>
  <c r="I2282" i="1"/>
  <c r="X2281" i="1"/>
  <c r="Z2281" i="1" s="1"/>
  <c r="W2281" i="1"/>
  <c r="S2281" i="1"/>
  <c r="Q2281" i="1"/>
  <c r="N2281" i="1"/>
  <c r="L2281" i="1"/>
  <c r="K2281" i="1"/>
  <c r="AB2281" i="1"/>
  <c r="I2281" i="1"/>
  <c r="X2280" i="1"/>
  <c r="Z2280" i="1" s="1"/>
  <c r="W2280" i="1"/>
  <c r="S2280" i="1"/>
  <c r="Q2280" i="1"/>
  <c r="N2280" i="1"/>
  <c r="L2280" i="1"/>
  <c r="K2280" i="1"/>
  <c r="AB2280" i="1"/>
  <c r="I2280" i="1"/>
  <c r="X2279" i="1"/>
  <c r="Z2279" i="1" s="1"/>
  <c r="W2279" i="1"/>
  <c r="S2279" i="1"/>
  <c r="Q2279" i="1"/>
  <c r="N2279" i="1"/>
  <c r="L2279" i="1"/>
  <c r="K2279" i="1"/>
  <c r="AB2279" i="1"/>
  <c r="I2279" i="1"/>
  <c r="X2278" i="1"/>
  <c r="Z2278" i="1" s="1"/>
  <c r="W2278" i="1"/>
  <c r="S2278" i="1"/>
  <c r="Q2278" i="1"/>
  <c r="N2278" i="1"/>
  <c r="L2278" i="1"/>
  <c r="K2278" i="1"/>
  <c r="AB2278" i="1"/>
  <c r="I2278" i="1"/>
  <c r="X2277" i="1"/>
  <c r="Z2277" i="1" s="1"/>
  <c r="W2277" i="1"/>
  <c r="S2277" i="1"/>
  <c r="Q2277" i="1"/>
  <c r="N2277" i="1"/>
  <c r="L2277" i="1"/>
  <c r="K2277" i="1"/>
  <c r="AB2277" i="1"/>
  <c r="I2277" i="1"/>
  <c r="X2276" i="1"/>
  <c r="Z2276" i="1" s="1"/>
  <c r="W2276" i="1"/>
  <c r="S2276" i="1"/>
  <c r="Q2276" i="1"/>
  <c r="N2276" i="1"/>
  <c r="L2276" i="1"/>
  <c r="K2276" i="1"/>
  <c r="AB2276" i="1"/>
  <c r="I2276" i="1"/>
  <c r="X2275" i="1"/>
  <c r="Z2275" i="1" s="1"/>
  <c r="W2275" i="1"/>
  <c r="S2275" i="1"/>
  <c r="Q2275" i="1"/>
  <c r="N2275" i="1"/>
  <c r="L2275" i="1"/>
  <c r="K2275" i="1"/>
  <c r="AB2275" i="1"/>
  <c r="I2275" i="1"/>
  <c r="X2274" i="1"/>
  <c r="Z2274" i="1" s="1"/>
  <c r="W2274" i="1"/>
  <c r="S2274" i="1"/>
  <c r="Q2274" i="1"/>
  <c r="N2274" i="1"/>
  <c r="L2274" i="1"/>
  <c r="K2274" i="1"/>
  <c r="AB2274" i="1"/>
  <c r="I2274" i="1"/>
  <c r="X2273" i="1"/>
  <c r="Z2273" i="1" s="1"/>
  <c r="W2273" i="1"/>
  <c r="S2273" i="1"/>
  <c r="Q2273" i="1"/>
  <c r="N2273" i="1"/>
  <c r="L2273" i="1"/>
  <c r="K2273" i="1"/>
  <c r="AB2273" i="1"/>
  <c r="I2273" i="1"/>
  <c r="X2272" i="1"/>
  <c r="Z2272" i="1" s="1"/>
  <c r="W2272" i="1"/>
  <c r="S2272" i="1"/>
  <c r="Q2272" i="1"/>
  <c r="N2272" i="1"/>
  <c r="L2272" i="1"/>
  <c r="K2272" i="1"/>
  <c r="AB2272" i="1"/>
  <c r="I2272" i="1"/>
  <c r="X2271" i="1"/>
  <c r="Z2271" i="1" s="1"/>
  <c r="W2271" i="1"/>
  <c r="S2271" i="1"/>
  <c r="Q2271" i="1"/>
  <c r="N2271" i="1"/>
  <c r="L2271" i="1"/>
  <c r="K2271" i="1"/>
  <c r="AB2271" i="1"/>
  <c r="I2271" i="1"/>
  <c r="X2270" i="1"/>
  <c r="Z2270" i="1" s="1"/>
  <c r="W2270" i="1"/>
  <c r="S2270" i="1"/>
  <c r="Q2270" i="1"/>
  <c r="N2270" i="1"/>
  <c r="L2270" i="1"/>
  <c r="K2270" i="1"/>
  <c r="AB2270" i="1"/>
  <c r="I2270" i="1"/>
  <c r="X2269" i="1"/>
  <c r="Z2269" i="1" s="1"/>
  <c r="W2269" i="1"/>
  <c r="S2269" i="1"/>
  <c r="Q2269" i="1"/>
  <c r="N2269" i="1"/>
  <c r="L2269" i="1"/>
  <c r="K2269" i="1"/>
  <c r="AB2269" i="1"/>
  <c r="I2269" i="1"/>
  <c r="X2268" i="1"/>
  <c r="Z2268" i="1" s="1"/>
  <c r="W2268" i="1"/>
  <c r="S2268" i="1"/>
  <c r="Q2268" i="1"/>
  <c r="N2268" i="1"/>
  <c r="L2268" i="1"/>
  <c r="K2268" i="1"/>
  <c r="AB2268" i="1"/>
  <c r="I2268" i="1"/>
  <c r="X2267" i="1"/>
  <c r="Z2267" i="1" s="1"/>
  <c r="W2267" i="1"/>
  <c r="S2267" i="1"/>
  <c r="Q2267" i="1"/>
  <c r="N2267" i="1"/>
  <c r="L2267" i="1"/>
  <c r="K2267" i="1"/>
  <c r="AB2267" i="1"/>
  <c r="I2267" i="1"/>
  <c r="X2266" i="1"/>
  <c r="Z2266" i="1" s="1"/>
  <c r="W2266" i="1"/>
  <c r="S2266" i="1"/>
  <c r="Q2266" i="1"/>
  <c r="N2266" i="1"/>
  <c r="L2266" i="1"/>
  <c r="K2266" i="1"/>
  <c r="AB2266" i="1"/>
  <c r="I2266" i="1"/>
  <c r="X2265" i="1"/>
  <c r="Z2265" i="1" s="1"/>
  <c r="W2265" i="1"/>
  <c r="S2265" i="1"/>
  <c r="Q2265" i="1"/>
  <c r="N2265" i="1"/>
  <c r="L2265" i="1"/>
  <c r="K2265" i="1"/>
  <c r="AB2265" i="1"/>
  <c r="I2265" i="1"/>
  <c r="X2264" i="1"/>
  <c r="Z2264" i="1" s="1"/>
  <c r="W2264" i="1"/>
  <c r="S2264" i="1"/>
  <c r="Q2264" i="1"/>
  <c r="N2264" i="1"/>
  <c r="L2264" i="1"/>
  <c r="K2264" i="1"/>
  <c r="AB2264" i="1"/>
  <c r="I2264" i="1"/>
  <c r="X2263" i="1"/>
  <c r="Z2263" i="1" s="1"/>
  <c r="W2263" i="1"/>
  <c r="S2263" i="1"/>
  <c r="Q2263" i="1"/>
  <c r="N2263" i="1"/>
  <c r="L2263" i="1"/>
  <c r="K2263" i="1"/>
  <c r="AB2263" i="1"/>
  <c r="I2263" i="1"/>
  <c r="X2262" i="1"/>
  <c r="Z2262" i="1" s="1"/>
  <c r="W2262" i="1"/>
  <c r="S2262" i="1"/>
  <c r="Q2262" i="1"/>
  <c r="N2262" i="1"/>
  <c r="L2262" i="1"/>
  <c r="K2262" i="1"/>
  <c r="AB2262" i="1"/>
  <c r="I2262" i="1"/>
  <c r="X2261" i="1"/>
  <c r="Z2261" i="1" s="1"/>
  <c r="W2261" i="1"/>
  <c r="S2261" i="1"/>
  <c r="Q2261" i="1"/>
  <c r="N2261" i="1"/>
  <c r="L2261" i="1"/>
  <c r="K2261" i="1"/>
  <c r="AB2261" i="1"/>
  <c r="I2261" i="1"/>
  <c r="X2260" i="1"/>
  <c r="Z2260" i="1" s="1"/>
  <c r="W2260" i="1"/>
  <c r="S2260" i="1"/>
  <c r="Q2260" i="1"/>
  <c r="N2260" i="1"/>
  <c r="L2260" i="1"/>
  <c r="K2260" i="1"/>
  <c r="AB2260" i="1"/>
  <c r="I2260" i="1"/>
  <c r="X2259" i="1"/>
  <c r="Z2259" i="1" s="1"/>
  <c r="W2259" i="1"/>
  <c r="S2259" i="1"/>
  <c r="Q2259" i="1"/>
  <c r="N2259" i="1"/>
  <c r="L2259" i="1"/>
  <c r="K2259" i="1"/>
  <c r="AB2259" i="1"/>
  <c r="I2259" i="1"/>
  <c r="X2258" i="1"/>
  <c r="Z2258" i="1" s="1"/>
  <c r="W2258" i="1"/>
  <c r="S2258" i="1"/>
  <c r="Q2258" i="1"/>
  <c r="N2258" i="1"/>
  <c r="L2258" i="1"/>
  <c r="K2258" i="1"/>
  <c r="AB2258" i="1"/>
  <c r="I2258" i="1"/>
  <c r="X2257" i="1"/>
  <c r="Z2257" i="1" s="1"/>
  <c r="W2257" i="1"/>
  <c r="S2257" i="1"/>
  <c r="Q2257" i="1"/>
  <c r="N2257" i="1"/>
  <c r="L2257" i="1"/>
  <c r="K2257" i="1"/>
  <c r="AB2257" i="1"/>
  <c r="I2257" i="1"/>
  <c r="X2256" i="1"/>
  <c r="Z2256" i="1" s="1"/>
  <c r="W2256" i="1"/>
  <c r="S2256" i="1"/>
  <c r="Q2256" i="1"/>
  <c r="N2256" i="1"/>
  <c r="L2256" i="1"/>
  <c r="K2256" i="1"/>
  <c r="AB2256" i="1"/>
  <c r="I2256" i="1"/>
  <c r="X2255" i="1"/>
  <c r="Z2255" i="1" s="1"/>
  <c r="W2255" i="1"/>
  <c r="S2255" i="1"/>
  <c r="Q2255" i="1"/>
  <c r="N2255" i="1"/>
  <c r="L2255" i="1"/>
  <c r="K2255" i="1"/>
  <c r="AB2255" i="1"/>
  <c r="I2255" i="1"/>
  <c r="X2254" i="1"/>
  <c r="Z2254" i="1" s="1"/>
  <c r="W2254" i="1"/>
  <c r="S2254" i="1"/>
  <c r="Q2254" i="1"/>
  <c r="N2254" i="1"/>
  <c r="L2254" i="1"/>
  <c r="K2254" i="1"/>
  <c r="AB2254" i="1"/>
  <c r="I2254" i="1"/>
  <c r="X2253" i="1"/>
  <c r="Z2253" i="1" s="1"/>
  <c r="W2253" i="1"/>
  <c r="S2253" i="1"/>
  <c r="Q2253" i="1"/>
  <c r="N2253" i="1"/>
  <c r="L2253" i="1"/>
  <c r="K2253" i="1"/>
  <c r="AB2253" i="1"/>
  <c r="I2253" i="1"/>
  <c r="X2252" i="1"/>
  <c r="Z2252" i="1" s="1"/>
  <c r="W2252" i="1"/>
  <c r="S2252" i="1"/>
  <c r="Q2252" i="1"/>
  <c r="N2252" i="1"/>
  <c r="L2252" i="1"/>
  <c r="K2252" i="1"/>
  <c r="AB2252" i="1"/>
  <c r="I2252" i="1"/>
  <c r="X2251" i="1"/>
  <c r="Z2251" i="1" s="1"/>
  <c r="W2251" i="1"/>
  <c r="S2251" i="1"/>
  <c r="Q2251" i="1"/>
  <c r="N2251" i="1"/>
  <c r="L2251" i="1"/>
  <c r="K2251" i="1"/>
  <c r="AB2251" i="1"/>
  <c r="I2251" i="1"/>
  <c r="X2250" i="1"/>
  <c r="Z2250" i="1" s="1"/>
  <c r="W2250" i="1"/>
  <c r="S2250" i="1"/>
  <c r="Q2250" i="1"/>
  <c r="N2250" i="1"/>
  <c r="L2250" i="1"/>
  <c r="K2250" i="1"/>
  <c r="AB2250" i="1"/>
  <c r="I2250" i="1"/>
  <c r="X2249" i="1"/>
  <c r="Z2249" i="1" s="1"/>
  <c r="W2249" i="1"/>
  <c r="S2249" i="1"/>
  <c r="Q2249" i="1"/>
  <c r="N2249" i="1"/>
  <c r="L2249" i="1"/>
  <c r="K2249" i="1"/>
  <c r="AB2249" i="1"/>
  <c r="I2249" i="1"/>
  <c r="X2248" i="1"/>
  <c r="Z2248" i="1" s="1"/>
  <c r="W2248" i="1"/>
  <c r="S2248" i="1"/>
  <c r="Q2248" i="1"/>
  <c r="N2248" i="1"/>
  <c r="L2248" i="1"/>
  <c r="K2248" i="1"/>
  <c r="AB2248" i="1"/>
  <c r="I2248" i="1"/>
  <c r="X2247" i="1"/>
  <c r="Z2247" i="1" s="1"/>
  <c r="W2247" i="1"/>
  <c r="S2247" i="1"/>
  <c r="Q2247" i="1"/>
  <c r="N2247" i="1"/>
  <c r="L2247" i="1"/>
  <c r="K2247" i="1"/>
  <c r="AB2247" i="1"/>
  <c r="I2247" i="1"/>
  <c r="X2246" i="1"/>
  <c r="Z2246" i="1" s="1"/>
  <c r="W2246" i="1"/>
  <c r="S2246" i="1"/>
  <c r="Q2246" i="1"/>
  <c r="N2246" i="1"/>
  <c r="L2246" i="1"/>
  <c r="K2246" i="1"/>
  <c r="AB2246" i="1"/>
  <c r="I2246" i="1"/>
  <c r="X2245" i="1"/>
  <c r="Z2245" i="1" s="1"/>
  <c r="W2245" i="1"/>
  <c r="S2245" i="1"/>
  <c r="Q2245" i="1"/>
  <c r="N2245" i="1"/>
  <c r="L2245" i="1"/>
  <c r="K2245" i="1"/>
  <c r="AB2245" i="1"/>
  <c r="I2245" i="1"/>
  <c r="X2244" i="1"/>
  <c r="Z2244" i="1" s="1"/>
  <c r="W2244" i="1"/>
  <c r="S2244" i="1"/>
  <c r="Q2244" i="1"/>
  <c r="N2244" i="1"/>
  <c r="L2244" i="1"/>
  <c r="K2244" i="1"/>
  <c r="AB2244" i="1"/>
  <c r="I2244" i="1"/>
  <c r="X2243" i="1"/>
  <c r="Z2243" i="1" s="1"/>
  <c r="W2243" i="1"/>
  <c r="S2243" i="1"/>
  <c r="Q2243" i="1"/>
  <c r="N2243" i="1"/>
  <c r="L2243" i="1"/>
  <c r="K2243" i="1"/>
  <c r="AB2243" i="1"/>
  <c r="I2243" i="1"/>
  <c r="X2242" i="1"/>
  <c r="Z2242" i="1" s="1"/>
  <c r="W2242" i="1"/>
  <c r="S2242" i="1"/>
  <c r="Q2242" i="1"/>
  <c r="N2242" i="1"/>
  <c r="L2242" i="1"/>
  <c r="K2242" i="1"/>
  <c r="AB2242" i="1"/>
  <c r="I2242" i="1"/>
  <c r="X2241" i="1"/>
  <c r="Z2241" i="1" s="1"/>
  <c r="W2241" i="1"/>
  <c r="S2241" i="1"/>
  <c r="Q2241" i="1"/>
  <c r="N2241" i="1"/>
  <c r="L2241" i="1"/>
  <c r="K2241" i="1"/>
  <c r="AB2241" i="1"/>
  <c r="I2241" i="1"/>
  <c r="X2240" i="1"/>
  <c r="Z2240" i="1" s="1"/>
  <c r="W2240" i="1"/>
  <c r="S2240" i="1"/>
  <c r="Q2240" i="1"/>
  <c r="N2240" i="1"/>
  <c r="L2240" i="1"/>
  <c r="K2240" i="1"/>
  <c r="AB2240" i="1"/>
  <c r="I2240" i="1"/>
  <c r="X2239" i="1"/>
  <c r="Z2239" i="1" s="1"/>
  <c r="W2239" i="1"/>
  <c r="S2239" i="1"/>
  <c r="Q2239" i="1"/>
  <c r="N2239" i="1"/>
  <c r="L2239" i="1"/>
  <c r="K2239" i="1"/>
  <c r="AB2239" i="1"/>
  <c r="I2239" i="1"/>
  <c r="X2238" i="1"/>
  <c r="Z2238" i="1" s="1"/>
  <c r="W2238" i="1"/>
  <c r="S2238" i="1"/>
  <c r="Q2238" i="1"/>
  <c r="N2238" i="1"/>
  <c r="L2238" i="1"/>
  <c r="K2238" i="1"/>
  <c r="AB2238" i="1"/>
  <c r="I2238" i="1"/>
  <c r="X2237" i="1"/>
  <c r="Z2237" i="1" s="1"/>
  <c r="W2237" i="1"/>
  <c r="S2237" i="1"/>
  <c r="Q2237" i="1"/>
  <c r="N2237" i="1"/>
  <c r="L2237" i="1"/>
  <c r="K2237" i="1"/>
  <c r="AB2237" i="1"/>
  <c r="I2237" i="1"/>
  <c r="X2236" i="1"/>
  <c r="Z2236" i="1" s="1"/>
  <c r="W2236" i="1"/>
  <c r="S2236" i="1"/>
  <c r="Q2236" i="1"/>
  <c r="N2236" i="1"/>
  <c r="L2236" i="1"/>
  <c r="K2236" i="1"/>
  <c r="AB2236" i="1"/>
  <c r="I2236" i="1"/>
  <c r="X2235" i="1"/>
  <c r="Z2235" i="1" s="1"/>
  <c r="W2235" i="1"/>
  <c r="S2235" i="1"/>
  <c r="Q2235" i="1"/>
  <c r="N2235" i="1"/>
  <c r="L2235" i="1"/>
  <c r="K2235" i="1"/>
  <c r="AB2235" i="1"/>
  <c r="I2235" i="1"/>
  <c r="X2234" i="1"/>
  <c r="Z2234" i="1" s="1"/>
  <c r="W2234" i="1"/>
  <c r="S2234" i="1"/>
  <c r="Q2234" i="1"/>
  <c r="N2234" i="1"/>
  <c r="L2234" i="1"/>
  <c r="K2234" i="1"/>
  <c r="AB2234" i="1"/>
  <c r="I2234" i="1"/>
  <c r="X2233" i="1"/>
  <c r="Z2233" i="1" s="1"/>
  <c r="W2233" i="1"/>
  <c r="S2233" i="1"/>
  <c r="Q2233" i="1"/>
  <c r="N2233" i="1"/>
  <c r="L2233" i="1"/>
  <c r="K2233" i="1"/>
  <c r="AB2233" i="1"/>
  <c r="I2233" i="1"/>
  <c r="X2232" i="1"/>
  <c r="Z2232" i="1" s="1"/>
  <c r="W2232" i="1"/>
  <c r="S2232" i="1"/>
  <c r="Q2232" i="1"/>
  <c r="N2232" i="1"/>
  <c r="L2232" i="1"/>
  <c r="K2232" i="1"/>
  <c r="AB2232" i="1"/>
  <c r="I2232" i="1"/>
  <c r="X2231" i="1"/>
  <c r="Z2231" i="1" s="1"/>
  <c r="W2231" i="1"/>
  <c r="S2231" i="1"/>
  <c r="Q2231" i="1"/>
  <c r="N2231" i="1"/>
  <c r="L2231" i="1"/>
  <c r="K2231" i="1"/>
  <c r="AB2231" i="1"/>
  <c r="I2231" i="1"/>
  <c r="X2230" i="1"/>
  <c r="Z2230" i="1" s="1"/>
  <c r="W2230" i="1"/>
  <c r="S2230" i="1"/>
  <c r="Q2230" i="1"/>
  <c r="N2230" i="1"/>
  <c r="L2230" i="1"/>
  <c r="K2230" i="1"/>
  <c r="AB2230" i="1"/>
  <c r="I2230" i="1"/>
  <c r="X2229" i="1"/>
  <c r="Z2229" i="1" s="1"/>
  <c r="W2229" i="1"/>
  <c r="S2229" i="1"/>
  <c r="Q2229" i="1"/>
  <c r="N2229" i="1"/>
  <c r="L2229" i="1"/>
  <c r="K2229" i="1"/>
  <c r="AB2229" i="1"/>
  <c r="I2229" i="1"/>
  <c r="X2228" i="1"/>
  <c r="Z2228" i="1" s="1"/>
  <c r="W2228" i="1"/>
  <c r="S2228" i="1"/>
  <c r="Q2228" i="1"/>
  <c r="N2228" i="1"/>
  <c r="L2228" i="1"/>
  <c r="K2228" i="1"/>
  <c r="AB2228" i="1"/>
  <c r="I2228" i="1"/>
  <c r="X2227" i="1"/>
  <c r="Z2227" i="1" s="1"/>
  <c r="W2227" i="1"/>
  <c r="S2227" i="1"/>
  <c r="Q2227" i="1"/>
  <c r="N2227" i="1"/>
  <c r="L2227" i="1"/>
  <c r="K2227" i="1"/>
  <c r="AB2227" i="1"/>
  <c r="I2227" i="1"/>
  <c r="X2226" i="1"/>
  <c r="Z2226" i="1" s="1"/>
  <c r="W2226" i="1"/>
  <c r="S2226" i="1"/>
  <c r="Q2226" i="1"/>
  <c r="N2226" i="1"/>
  <c r="L2226" i="1"/>
  <c r="K2226" i="1"/>
  <c r="AB2226" i="1"/>
  <c r="I2226" i="1"/>
  <c r="X2225" i="1"/>
  <c r="Z2225" i="1" s="1"/>
  <c r="W2225" i="1"/>
  <c r="S2225" i="1"/>
  <c r="Q2225" i="1"/>
  <c r="N2225" i="1"/>
  <c r="L2225" i="1"/>
  <c r="K2225" i="1"/>
  <c r="AB2225" i="1"/>
  <c r="I2225" i="1"/>
  <c r="X2224" i="1"/>
  <c r="Z2224" i="1" s="1"/>
  <c r="W2224" i="1"/>
  <c r="S2224" i="1"/>
  <c r="Q2224" i="1"/>
  <c r="N2224" i="1"/>
  <c r="L2224" i="1"/>
  <c r="K2224" i="1"/>
  <c r="AB2224" i="1"/>
  <c r="I2224" i="1"/>
  <c r="X2223" i="1"/>
  <c r="Z2223" i="1" s="1"/>
  <c r="W2223" i="1"/>
  <c r="S2223" i="1"/>
  <c r="Q2223" i="1"/>
  <c r="N2223" i="1"/>
  <c r="L2223" i="1"/>
  <c r="K2223" i="1"/>
  <c r="AB2223" i="1"/>
  <c r="I2223" i="1"/>
  <c r="X2222" i="1"/>
  <c r="Z2222" i="1" s="1"/>
  <c r="W2222" i="1"/>
  <c r="S2222" i="1"/>
  <c r="Q2222" i="1"/>
  <c r="N2222" i="1"/>
  <c r="L2222" i="1"/>
  <c r="K2222" i="1"/>
  <c r="AB2222" i="1"/>
  <c r="I2222" i="1"/>
  <c r="X2221" i="1"/>
  <c r="Z2221" i="1" s="1"/>
  <c r="W2221" i="1"/>
  <c r="S2221" i="1"/>
  <c r="Q2221" i="1"/>
  <c r="N2221" i="1"/>
  <c r="L2221" i="1"/>
  <c r="K2221" i="1"/>
  <c r="AB2221" i="1"/>
  <c r="I2221" i="1"/>
  <c r="X2220" i="1"/>
  <c r="Z2220" i="1" s="1"/>
  <c r="W2220" i="1"/>
  <c r="S2220" i="1"/>
  <c r="Q2220" i="1"/>
  <c r="N2220" i="1"/>
  <c r="L2220" i="1"/>
  <c r="K2220" i="1"/>
  <c r="AB2220" i="1"/>
  <c r="I2220" i="1"/>
  <c r="X2219" i="1"/>
  <c r="Z2219" i="1" s="1"/>
  <c r="W2219" i="1"/>
  <c r="S2219" i="1"/>
  <c r="Q2219" i="1"/>
  <c r="N2219" i="1"/>
  <c r="L2219" i="1"/>
  <c r="K2219" i="1"/>
  <c r="AB2219" i="1"/>
  <c r="I2219" i="1"/>
  <c r="X2218" i="1"/>
  <c r="Z2218" i="1" s="1"/>
  <c r="W2218" i="1"/>
  <c r="S2218" i="1"/>
  <c r="Q2218" i="1"/>
  <c r="N2218" i="1"/>
  <c r="L2218" i="1"/>
  <c r="K2218" i="1"/>
  <c r="AB2218" i="1"/>
  <c r="I2218" i="1"/>
  <c r="X2217" i="1"/>
  <c r="Z2217" i="1" s="1"/>
  <c r="W2217" i="1"/>
  <c r="S2217" i="1"/>
  <c r="Q2217" i="1"/>
  <c r="N2217" i="1"/>
  <c r="L2217" i="1"/>
  <c r="K2217" i="1"/>
  <c r="AB2217" i="1"/>
  <c r="I2217" i="1"/>
  <c r="X2216" i="1"/>
  <c r="Z2216" i="1" s="1"/>
  <c r="W2216" i="1"/>
  <c r="S2216" i="1"/>
  <c r="Q2216" i="1"/>
  <c r="N2216" i="1"/>
  <c r="L2216" i="1"/>
  <c r="K2216" i="1"/>
  <c r="AB2216" i="1"/>
  <c r="I2216" i="1"/>
  <c r="X2215" i="1"/>
  <c r="Z2215" i="1" s="1"/>
  <c r="W2215" i="1"/>
  <c r="S2215" i="1"/>
  <c r="Q2215" i="1"/>
  <c r="N2215" i="1"/>
  <c r="L2215" i="1"/>
  <c r="K2215" i="1"/>
  <c r="AB2215" i="1"/>
  <c r="I2215" i="1"/>
  <c r="X2214" i="1"/>
  <c r="Z2214" i="1" s="1"/>
  <c r="W2214" i="1"/>
  <c r="S2214" i="1"/>
  <c r="Q2214" i="1"/>
  <c r="N2214" i="1"/>
  <c r="L2214" i="1"/>
  <c r="K2214" i="1"/>
  <c r="AB2214" i="1"/>
  <c r="I2214" i="1"/>
  <c r="X2213" i="1"/>
  <c r="Z2213" i="1" s="1"/>
  <c r="W2213" i="1"/>
  <c r="S2213" i="1"/>
  <c r="Q2213" i="1"/>
  <c r="N2213" i="1"/>
  <c r="L2213" i="1"/>
  <c r="K2213" i="1"/>
  <c r="AB2213" i="1"/>
  <c r="I2213" i="1"/>
  <c r="X2212" i="1"/>
  <c r="Z2212" i="1" s="1"/>
  <c r="W2212" i="1"/>
  <c r="S2212" i="1"/>
  <c r="Q2212" i="1"/>
  <c r="N2212" i="1"/>
  <c r="L2212" i="1"/>
  <c r="K2212" i="1"/>
  <c r="AB2212" i="1"/>
  <c r="I2212" i="1"/>
  <c r="X2211" i="1"/>
  <c r="Z2211" i="1" s="1"/>
  <c r="W2211" i="1"/>
  <c r="S2211" i="1"/>
  <c r="Q2211" i="1"/>
  <c r="N2211" i="1"/>
  <c r="L2211" i="1"/>
  <c r="K2211" i="1"/>
  <c r="AB2211" i="1"/>
  <c r="I2211" i="1"/>
  <c r="X2210" i="1"/>
  <c r="Z2210" i="1" s="1"/>
  <c r="W2210" i="1"/>
  <c r="S2210" i="1"/>
  <c r="Q2210" i="1"/>
  <c r="N2210" i="1"/>
  <c r="L2210" i="1"/>
  <c r="K2210" i="1"/>
  <c r="AB2210" i="1"/>
  <c r="I2210" i="1"/>
  <c r="X2209" i="1"/>
  <c r="Z2209" i="1" s="1"/>
  <c r="W2209" i="1"/>
  <c r="S2209" i="1"/>
  <c r="Q2209" i="1"/>
  <c r="N2209" i="1"/>
  <c r="L2209" i="1"/>
  <c r="K2209" i="1"/>
  <c r="AB2209" i="1"/>
  <c r="I2209" i="1"/>
  <c r="X2208" i="1"/>
  <c r="Z2208" i="1" s="1"/>
  <c r="W2208" i="1"/>
  <c r="S2208" i="1"/>
  <c r="Q2208" i="1"/>
  <c r="N2208" i="1"/>
  <c r="L2208" i="1"/>
  <c r="K2208" i="1"/>
  <c r="AB2208" i="1"/>
  <c r="I2208" i="1"/>
  <c r="X2207" i="1"/>
  <c r="Z2207" i="1" s="1"/>
  <c r="W2207" i="1"/>
  <c r="S2207" i="1"/>
  <c r="Q2207" i="1"/>
  <c r="N2207" i="1"/>
  <c r="L2207" i="1"/>
  <c r="K2207" i="1"/>
  <c r="AB2207" i="1"/>
  <c r="I2207" i="1"/>
  <c r="X2206" i="1"/>
  <c r="Z2206" i="1" s="1"/>
  <c r="W2206" i="1"/>
  <c r="S2206" i="1"/>
  <c r="Q2206" i="1"/>
  <c r="N2206" i="1"/>
  <c r="L2206" i="1"/>
  <c r="K2206" i="1"/>
  <c r="AB2206" i="1"/>
  <c r="I2206" i="1"/>
  <c r="X2205" i="1"/>
  <c r="Z2205" i="1" s="1"/>
  <c r="W2205" i="1"/>
  <c r="S2205" i="1"/>
  <c r="Q2205" i="1"/>
  <c r="N2205" i="1"/>
  <c r="L2205" i="1"/>
  <c r="K2205" i="1"/>
  <c r="AB2205" i="1"/>
  <c r="I2205" i="1"/>
  <c r="X2204" i="1"/>
  <c r="Z2204" i="1" s="1"/>
  <c r="W2204" i="1"/>
  <c r="S2204" i="1"/>
  <c r="Q2204" i="1"/>
  <c r="N2204" i="1"/>
  <c r="L2204" i="1"/>
  <c r="K2204" i="1"/>
  <c r="AB2204" i="1"/>
  <c r="I2204" i="1"/>
  <c r="X2203" i="1"/>
  <c r="Z2203" i="1" s="1"/>
  <c r="W2203" i="1"/>
  <c r="S2203" i="1"/>
  <c r="Q2203" i="1"/>
  <c r="N2203" i="1"/>
  <c r="L2203" i="1"/>
  <c r="K2203" i="1"/>
  <c r="AB2203" i="1"/>
  <c r="I2203" i="1"/>
  <c r="X2202" i="1"/>
  <c r="Z2202" i="1" s="1"/>
  <c r="W2202" i="1"/>
  <c r="S2202" i="1"/>
  <c r="Q2202" i="1"/>
  <c r="N2202" i="1"/>
  <c r="L2202" i="1"/>
  <c r="K2202" i="1"/>
  <c r="AB2202" i="1"/>
  <c r="I2202" i="1"/>
  <c r="X2201" i="1"/>
  <c r="Z2201" i="1" s="1"/>
  <c r="W2201" i="1"/>
  <c r="S2201" i="1"/>
  <c r="Q2201" i="1"/>
  <c r="N2201" i="1"/>
  <c r="L2201" i="1"/>
  <c r="K2201" i="1"/>
  <c r="AB2201" i="1"/>
  <c r="I2201" i="1"/>
  <c r="X2200" i="1"/>
  <c r="Z2200" i="1" s="1"/>
  <c r="W2200" i="1"/>
  <c r="S2200" i="1"/>
  <c r="Q2200" i="1"/>
  <c r="N2200" i="1"/>
  <c r="L2200" i="1"/>
  <c r="K2200" i="1"/>
  <c r="AB2200" i="1"/>
  <c r="I2200" i="1"/>
  <c r="X2199" i="1"/>
  <c r="Z2199" i="1" s="1"/>
  <c r="W2199" i="1"/>
  <c r="S2199" i="1"/>
  <c r="Q2199" i="1"/>
  <c r="N2199" i="1"/>
  <c r="L2199" i="1"/>
  <c r="K2199" i="1"/>
  <c r="AB2199" i="1"/>
  <c r="I2199" i="1"/>
  <c r="X2198" i="1"/>
  <c r="Z2198" i="1" s="1"/>
  <c r="W2198" i="1"/>
  <c r="S2198" i="1"/>
  <c r="Q2198" i="1"/>
  <c r="N2198" i="1"/>
  <c r="L2198" i="1"/>
  <c r="K2198" i="1"/>
  <c r="AB2198" i="1"/>
  <c r="I2198" i="1"/>
  <c r="X2197" i="1"/>
  <c r="Z2197" i="1" s="1"/>
  <c r="W2197" i="1"/>
  <c r="S2197" i="1"/>
  <c r="Q2197" i="1"/>
  <c r="N2197" i="1"/>
  <c r="L2197" i="1"/>
  <c r="K2197" i="1"/>
  <c r="AB2197" i="1"/>
  <c r="I2197" i="1"/>
  <c r="X2196" i="1"/>
  <c r="Z2196" i="1" s="1"/>
  <c r="W2196" i="1"/>
  <c r="S2196" i="1"/>
  <c r="Q2196" i="1"/>
  <c r="N2196" i="1"/>
  <c r="L2196" i="1"/>
  <c r="K2196" i="1"/>
  <c r="AB2196" i="1"/>
  <c r="I2196" i="1"/>
  <c r="X2195" i="1"/>
  <c r="Z2195" i="1" s="1"/>
  <c r="W2195" i="1"/>
  <c r="S2195" i="1"/>
  <c r="Q2195" i="1"/>
  <c r="N2195" i="1"/>
  <c r="L2195" i="1"/>
  <c r="K2195" i="1"/>
  <c r="AB2195" i="1"/>
  <c r="I2195" i="1"/>
  <c r="X2194" i="1"/>
  <c r="Z2194" i="1" s="1"/>
  <c r="W2194" i="1"/>
  <c r="S2194" i="1"/>
  <c r="Q2194" i="1"/>
  <c r="N2194" i="1"/>
  <c r="L2194" i="1"/>
  <c r="K2194" i="1"/>
  <c r="AB2194" i="1"/>
  <c r="I2194" i="1"/>
  <c r="X2193" i="1"/>
  <c r="Z2193" i="1" s="1"/>
  <c r="W2193" i="1"/>
  <c r="S2193" i="1"/>
  <c r="Q2193" i="1"/>
  <c r="N2193" i="1"/>
  <c r="L2193" i="1"/>
  <c r="K2193" i="1"/>
  <c r="AB2193" i="1"/>
  <c r="I2193" i="1"/>
  <c r="X2192" i="1"/>
  <c r="Z2192" i="1" s="1"/>
  <c r="W2192" i="1"/>
  <c r="S2192" i="1"/>
  <c r="Q2192" i="1"/>
  <c r="N2192" i="1"/>
  <c r="L2192" i="1"/>
  <c r="K2192" i="1"/>
  <c r="AB2192" i="1"/>
  <c r="I2192" i="1"/>
  <c r="X2191" i="1"/>
  <c r="Z2191" i="1" s="1"/>
  <c r="W2191" i="1"/>
  <c r="S2191" i="1"/>
  <c r="Q2191" i="1"/>
  <c r="N2191" i="1"/>
  <c r="L2191" i="1"/>
  <c r="K2191" i="1"/>
  <c r="AB2191" i="1"/>
  <c r="I2191" i="1"/>
  <c r="X2190" i="1"/>
  <c r="Z2190" i="1" s="1"/>
  <c r="W2190" i="1"/>
  <c r="S2190" i="1"/>
  <c r="Q2190" i="1"/>
  <c r="N2190" i="1"/>
  <c r="L2190" i="1"/>
  <c r="K2190" i="1"/>
  <c r="AB2190" i="1"/>
  <c r="I2190" i="1"/>
  <c r="X2189" i="1"/>
  <c r="Z2189" i="1" s="1"/>
  <c r="W2189" i="1"/>
  <c r="S2189" i="1"/>
  <c r="Q2189" i="1"/>
  <c r="N2189" i="1"/>
  <c r="L2189" i="1"/>
  <c r="K2189" i="1"/>
  <c r="AB2189" i="1"/>
  <c r="I2189" i="1"/>
  <c r="X2188" i="1"/>
  <c r="Z2188" i="1" s="1"/>
  <c r="W2188" i="1"/>
  <c r="S2188" i="1"/>
  <c r="Q2188" i="1"/>
  <c r="N2188" i="1"/>
  <c r="L2188" i="1"/>
  <c r="K2188" i="1"/>
  <c r="AB2188" i="1"/>
  <c r="I2188" i="1"/>
  <c r="X2187" i="1"/>
  <c r="Z2187" i="1" s="1"/>
  <c r="W2187" i="1"/>
  <c r="S2187" i="1"/>
  <c r="Q2187" i="1"/>
  <c r="N2187" i="1"/>
  <c r="L2187" i="1"/>
  <c r="K2187" i="1"/>
  <c r="AB2187" i="1"/>
  <c r="I2187" i="1"/>
  <c r="X2186" i="1"/>
  <c r="Z2186" i="1" s="1"/>
  <c r="W2186" i="1"/>
  <c r="S2186" i="1"/>
  <c r="Q2186" i="1"/>
  <c r="N2186" i="1"/>
  <c r="L2186" i="1"/>
  <c r="K2186" i="1"/>
  <c r="AB2186" i="1"/>
  <c r="I2186" i="1"/>
  <c r="X2185" i="1"/>
  <c r="Z2185" i="1" s="1"/>
  <c r="W2185" i="1"/>
  <c r="S2185" i="1"/>
  <c r="Q2185" i="1"/>
  <c r="N2185" i="1"/>
  <c r="L2185" i="1"/>
  <c r="K2185" i="1"/>
  <c r="AB2185" i="1"/>
  <c r="I2185" i="1"/>
  <c r="X2184" i="1"/>
  <c r="Z2184" i="1" s="1"/>
  <c r="W2184" i="1"/>
  <c r="S2184" i="1"/>
  <c r="Q2184" i="1"/>
  <c r="N2184" i="1"/>
  <c r="L2184" i="1"/>
  <c r="K2184" i="1"/>
  <c r="AB2184" i="1"/>
  <c r="I2184" i="1"/>
  <c r="X2183" i="1"/>
  <c r="Z2183" i="1" s="1"/>
  <c r="W2183" i="1"/>
  <c r="S2183" i="1"/>
  <c r="Q2183" i="1"/>
  <c r="N2183" i="1"/>
  <c r="L2183" i="1"/>
  <c r="K2183" i="1"/>
  <c r="AB2183" i="1"/>
  <c r="I2183" i="1"/>
  <c r="X2182" i="1"/>
  <c r="Z2182" i="1" s="1"/>
  <c r="W2182" i="1"/>
  <c r="S2182" i="1"/>
  <c r="Q2182" i="1"/>
  <c r="N2182" i="1"/>
  <c r="L2182" i="1"/>
  <c r="K2182" i="1"/>
  <c r="AB2182" i="1"/>
  <c r="I2182" i="1"/>
  <c r="X2181" i="1"/>
  <c r="Z2181" i="1" s="1"/>
  <c r="W2181" i="1"/>
  <c r="S2181" i="1"/>
  <c r="Q2181" i="1"/>
  <c r="N2181" i="1"/>
  <c r="L2181" i="1"/>
  <c r="K2181" i="1"/>
  <c r="AB2181" i="1"/>
  <c r="I2181" i="1"/>
  <c r="X2180" i="1"/>
  <c r="Z2180" i="1" s="1"/>
  <c r="W2180" i="1"/>
  <c r="S2180" i="1"/>
  <c r="Q2180" i="1"/>
  <c r="N2180" i="1"/>
  <c r="L2180" i="1"/>
  <c r="K2180" i="1"/>
  <c r="AB2180" i="1"/>
  <c r="I2180" i="1"/>
  <c r="X2179" i="1"/>
  <c r="Z2179" i="1" s="1"/>
  <c r="W2179" i="1"/>
  <c r="S2179" i="1"/>
  <c r="Q2179" i="1"/>
  <c r="N2179" i="1"/>
  <c r="L2179" i="1"/>
  <c r="K2179" i="1"/>
  <c r="AB2179" i="1"/>
  <c r="I2179" i="1"/>
  <c r="X2178" i="1"/>
  <c r="Z2178" i="1" s="1"/>
  <c r="W2178" i="1"/>
  <c r="S2178" i="1"/>
  <c r="Q2178" i="1"/>
  <c r="N2178" i="1"/>
  <c r="L2178" i="1"/>
  <c r="K2178" i="1"/>
  <c r="AB2178" i="1"/>
  <c r="I2178" i="1"/>
  <c r="X2177" i="1"/>
  <c r="Z2177" i="1" s="1"/>
  <c r="W2177" i="1"/>
  <c r="S2177" i="1"/>
  <c r="Q2177" i="1"/>
  <c r="N2177" i="1"/>
  <c r="L2177" i="1"/>
  <c r="K2177" i="1"/>
  <c r="AB2177" i="1"/>
  <c r="I2177" i="1"/>
  <c r="X2176" i="1"/>
  <c r="Z2176" i="1" s="1"/>
  <c r="W2176" i="1"/>
  <c r="S2176" i="1"/>
  <c r="Q2176" i="1"/>
  <c r="N2176" i="1"/>
  <c r="L2176" i="1"/>
  <c r="K2176" i="1"/>
  <c r="AB2176" i="1"/>
  <c r="I2176" i="1"/>
  <c r="X2175" i="1"/>
  <c r="Z2175" i="1" s="1"/>
  <c r="W2175" i="1"/>
  <c r="S2175" i="1"/>
  <c r="Q2175" i="1"/>
  <c r="N2175" i="1"/>
  <c r="L2175" i="1"/>
  <c r="K2175" i="1"/>
  <c r="AB2175" i="1"/>
  <c r="I2175" i="1"/>
  <c r="X2174" i="1"/>
  <c r="Z2174" i="1" s="1"/>
  <c r="W2174" i="1"/>
  <c r="S2174" i="1"/>
  <c r="Q2174" i="1"/>
  <c r="N2174" i="1"/>
  <c r="L2174" i="1"/>
  <c r="K2174" i="1"/>
  <c r="AB2174" i="1"/>
  <c r="I2174" i="1"/>
  <c r="X2173" i="1"/>
  <c r="Z2173" i="1" s="1"/>
  <c r="W2173" i="1"/>
  <c r="S2173" i="1"/>
  <c r="Q2173" i="1"/>
  <c r="N2173" i="1"/>
  <c r="L2173" i="1"/>
  <c r="K2173" i="1"/>
  <c r="AB2173" i="1"/>
  <c r="I2173" i="1"/>
  <c r="X2172" i="1"/>
  <c r="Z2172" i="1" s="1"/>
  <c r="W2172" i="1"/>
  <c r="S2172" i="1"/>
  <c r="Q2172" i="1"/>
  <c r="N2172" i="1"/>
  <c r="L2172" i="1"/>
  <c r="K2172" i="1"/>
  <c r="AB2172" i="1"/>
  <c r="I2172" i="1"/>
  <c r="X2171" i="1"/>
  <c r="Z2171" i="1" s="1"/>
  <c r="W2171" i="1"/>
  <c r="S2171" i="1"/>
  <c r="Q2171" i="1"/>
  <c r="N2171" i="1"/>
  <c r="L2171" i="1"/>
  <c r="K2171" i="1"/>
  <c r="AB2171" i="1"/>
  <c r="I2171" i="1"/>
  <c r="X2170" i="1"/>
  <c r="Z2170" i="1" s="1"/>
  <c r="W2170" i="1"/>
  <c r="S2170" i="1"/>
  <c r="Q2170" i="1"/>
  <c r="N2170" i="1"/>
  <c r="L2170" i="1"/>
  <c r="K2170" i="1"/>
  <c r="AB2170" i="1"/>
  <c r="I2170" i="1"/>
  <c r="X2169" i="1"/>
  <c r="Z2169" i="1" s="1"/>
  <c r="W2169" i="1"/>
  <c r="S2169" i="1"/>
  <c r="Q2169" i="1"/>
  <c r="N2169" i="1"/>
  <c r="L2169" i="1"/>
  <c r="K2169" i="1"/>
  <c r="AB2169" i="1"/>
  <c r="I2169" i="1"/>
  <c r="X2168" i="1"/>
  <c r="Z2168" i="1" s="1"/>
  <c r="W2168" i="1"/>
  <c r="S2168" i="1"/>
  <c r="Q2168" i="1"/>
  <c r="N2168" i="1"/>
  <c r="L2168" i="1"/>
  <c r="K2168" i="1"/>
  <c r="AB2168" i="1"/>
  <c r="I2168" i="1"/>
  <c r="X2167" i="1"/>
  <c r="Z2167" i="1" s="1"/>
  <c r="W2167" i="1"/>
  <c r="S2167" i="1"/>
  <c r="Q2167" i="1"/>
  <c r="N2167" i="1"/>
  <c r="L2167" i="1"/>
  <c r="K2167" i="1"/>
  <c r="AB2167" i="1"/>
  <c r="I2167" i="1"/>
  <c r="X2166" i="1"/>
  <c r="Z2166" i="1" s="1"/>
  <c r="W2166" i="1"/>
  <c r="S2166" i="1"/>
  <c r="Q2166" i="1"/>
  <c r="N2166" i="1"/>
  <c r="L2166" i="1"/>
  <c r="K2166" i="1"/>
  <c r="AB2166" i="1"/>
  <c r="I2166" i="1"/>
  <c r="X2165" i="1"/>
  <c r="Z2165" i="1" s="1"/>
  <c r="W2165" i="1"/>
  <c r="S2165" i="1"/>
  <c r="Q2165" i="1"/>
  <c r="N2165" i="1"/>
  <c r="L2165" i="1"/>
  <c r="K2165" i="1"/>
  <c r="AB2165" i="1"/>
  <c r="I2165" i="1"/>
  <c r="X2164" i="1"/>
  <c r="Z2164" i="1" s="1"/>
  <c r="W2164" i="1"/>
  <c r="S2164" i="1"/>
  <c r="Q2164" i="1"/>
  <c r="N2164" i="1"/>
  <c r="L2164" i="1"/>
  <c r="K2164" i="1"/>
  <c r="AB2164" i="1"/>
  <c r="I2164" i="1"/>
  <c r="X2163" i="1"/>
  <c r="Z2163" i="1" s="1"/>
  <c r="W2163" i="1"/>
  <c r="S2163" i="1"/>
  <c r="Q2163" i="1"/>
  <c r="N2163" i="1"/>
  <c r="L2163" i="1"/>
  <c r="K2163" i="1"/>
  <c r="AB2163" i="1"/>
  <c r="I2163" i="1"/>
  <c r="X2162" i="1"/>
  <c r="Z2162" i="1" s="1"/>
  <c r="W2162" i="1"/>
  <c r="S2162" i="1"/>
  <c r="Q2162" i="1"/>
  <c r="N2162" i="1"/>
  <c r="L2162" i="1"/>
  <c r="K2162" i="1"/>
  <c r="AB2162" i="1"/>
  <c r="I2162" i="1"/>
  <c r="X2161" i="1"/>
  <c r="Z2161" i="1" s="1"/>
  <c r="W2161" i="1"/>
  <c r="S2161" i="1"/>
  <c r="Q2161" i="1"/>
  <c r="N2161" i="1"/>
  <c r="L2161" i="1"/>
  <c r="K2161" i="1"/>
  <c r="AB2161" i="1"/>
  <c r="I2161" i="1"/>
  <c r="X2160" i="1"/>
  <c r="Z2160" i="1" s="1"/>
  <c r="W2160" i="1"/>
  <c r="S2160" i="1"/>
  <c r="Q2160" i="1"/>
  <c r="N2160" i="1"/>
  <c r="L2160" i="1"/>
  <c r="K2160" i="1"/>
  <c r="AB2160" i="1"/>
  <c r="I2160" i="1"/>
  <c r="X2159" i="1"/>
  <c r="Z2159" i="1" s="1"/>
  <c r="W2159" i="1"/>
  <c r="S2159" i="1"/>
  <c r="Q2159" i="1"/>
  <c r="N2159" i="1"/>
  <c r="L2159" i="1"/>
  <c r="K2159" i="1"/>
  <c r="AB2159" i="1"/>
  <c r="I2159" i="1"/>
  <c r="X2158" i="1"/>
  <c r="Z2158" i="1" s="1"/>
  <c r="W2158" i="1"/>
  <c r="S2158" i="1"/>
  <c r="Q2158" i="1"/>
  <c r="N2158" i="1"/>
  <c r="L2158" i="1"/>
  <c r="K2158" i="1"/>
  <c r="AB2158" i="1"/>
  <c r="I2158" i="1"/>
  <c r="X2157" i="1"/>
  <c r="Z2157" i="1" s="1"/>
  <c r="W2157" i="1"/>
  <c r="S2157" i="1"/>
  <c r="Q2157" i="1"/>
  <c r="N2157" i="1"/>
  <c r="L2157" i="1"/>
  <c r="K2157" i="1"/>
  <c r="AB2157" i="1"/>
  <c r="I2157" i="1"/>
  <c r="X2156" i="1"/>
  <c r="Z2156" i="1" s="1"/>
  <c r="W2156" i="1"/>
  <c r="S2156" i="1"/>
  <c r="Q2156" i="1"/>
  <c r="N2156" i="1"/>
  <c r="L2156" i="1"/>
  <c r="K2156" i="1"/>
  <c r="AB2156" i="1"/>
  <c r="I2156" i="1"/>
  <c r="X2155" i="1"/>
  <c r="Z2155" i="1" s="1"/>
  <c r="W2155" i="1"/>
  <c r="S2155" i="1"/>
  <c r="Q2155" i="1"/>
  <c r="N2155" i="1"/>
  <c r="L2155" i="1"/>
  <c r="K2155" i="1"/>
  <c r="AB2155" i="1"/>
  <c r="I2155" i="1"/>
  <c r="X2154" i="1"/>
  <c r="Z2154" i="1" s="1"/>
  <c r="W2154" i="1"/>
  <c r="S2154" i="1"/>
  <c r="Q2154" i="1"/>
  <c r="N2154" i="1"/>
  <c r="L2154" i="1"/>
  <c r="K2154" i="1"/>
  <c r="AB2154" i="1"/>
  <c r="I2154" i="1"/>
  <c r="X2153" i="1"/>
  <c r="Z2153" i="1" s="1"/>
  <c r="W2153" i="1"/>
  <c r="S2153" i="1"/>
  <c r="Q2153" i="1"/>
  <c r="N2153" i="1"/>
  <c r="L2153" i="1"/>
  <c r="K2153" i="1"/>
  <c r="M2153" i="1" s="1"/>
  <c r="R2153" i="1" s="1"/>
  <c r="AB2153" i="1"/>
  <c r="I2153" i="1"/>
  <c r="X2152" i="1"/>
  <c r="Z2152" i="1" s="1"/>
  <c r="W2152" i="1"/>
  <c r="S2152" i="1"/>
  <c r="Q2152" i="1"/>
  <c r="N2152" i="1"/>
  <c r="L2152" i="1"/>
  <c r="K2152" i="1"/>
  <c r="AB2152" i="1"/>
  <c r="I2152" i="1"/>
  <c r="X2151" i="1"/>
  <c r="Z2151" i="1" s="1"/>
  <c r="W2151" i="1"/>
  <c r="S2151" i="1"/>
  <c r="Q2151" i="1"/>
  <c r="N2151" i="1"/>
  <c r="L2151" i="1"/>
  <c r="K2151" i="1"/>
  <c r="AB2151" i="1"/>
  <c r="I2151" i="1"/>
  <c r="X2150" i="1"/>
  <c r="Z2150" i="1" s="1"/>
  <c r="W2150" i="1"/>
  <c r="S2150" i="1"/>
  <c r="Q2150" i="1"/>
  <c r="N2150" i="1"/>
  <c r="L2150" i="1"/>
  <c r="K2150" i="1"/>
  <c r="AB2150" i="1"/>
  <c r="I2150" i="1"/>
  <c r="X2149" i="1"/>
  <c r="Z2149" i="1" s="1"/>
  <c r="W2149" i="1"/>
  <c r="S2149" i="1"/>
  <c r="Q2149" i="1"/>
  <c r="N2149" i="1"/>
  <c r="L2149" i="1"/>
  <c r="K2149" i="1"/>
  <c r="M2149" i="1" s="1"/>
  <c r="R2149" i="1" s="1"/>
  <c r="AB2149" i="1"/>
  <c r="I2149" i="1"/>
  <c r="X2148" i="1"/>
  <c r="Z2148" i="1" s="1"/>
  <c r="W2148" i="1"/>
  <c r="S2148" i="1"/>
  <c r="Q2148" i="1"/>
  <c r="N2148" i="1"/>
  <c r="L2148" i="1"/>
  <c r="K2148" i="1"/>
  <c r="AB2148" i="1"/>
  <c r="I2148" i="1"/>
  <c r="X2147" i="1"/>
  <c r="Z2147" i="1" s="1"/>
  <c r="W2147" i="1"/>
  <c r="S2147" i="1"/>
  <c r="Q2147" i="1"/>
  <c r="N2147" i="1"/>
  <c r="L2147" i="1"/>
  <c r="K2147" i="1"/>
  <c r="AB2147" i="1"/>
  <c r="I2147" i="1"/>
  <c r="X2146" i="1"/>
  <c r="Z2146" i="1" s="1"/>
  <c r="W2146" i="1"/>
  <c r="S2146" i="1"/>
  <c r="Q2146" i="1"/>
  <c r="N2146" i="1"/>
  <c r="L2146" i="1"/>
  <c r="K2146" i="1"/>
  <c r="AB2146" i="1"/>
  <c r="I2146" i="1"/>
  <c r="X2145" i="1"/>
  <c r="Z2145" i="1" s="1"/>
  <c r="W2145" i="1"/>
  <c r="S2145" i="1"/>
  <c r="Q2145" i="1"/>
  <c r="N2145" i="1"/>
  <c r="L2145" i="1"/>
  <c r="K2145" i="1"/>
  <c r="AB2145" i="1"/>
  <c r="I2145" i="1"/>
  <c r="X2144" i="1"/>
  <c r="Z2144" i="1" s="1"/>
  <c r="W2144" i="1"/>
  <c r="S2144" i="1"/>
  <c r="Q2144" i="1"/>
  <c r="N2144" i="1"/>
  <c r="L2144" i="1"/>
  <c r="K2144" i="1"/>
  <c r="AB2144" i="1"/>
  <c r="I2144" i="1"/>
  <c r="X2143" i="1"/>
  <c r="Z2143" i="1" s="1"/>
  <c r="W2143" i="1"/>
  <c r="S2143" i="1"/>
  <c r="Q2143" i="1"/>
  <c r="N2143" i="1"/>
  <c r="L2143" i="1"/>
  <c r="K2143" i="1"/>
  <c r="AB2143" i="1"/>
  <c r="I2143" i="1"/>
  <c r="X2142" i="1"/>
  <c r="Z2142" i="1" s="1"/>
  <c r="W2142" i="1"/>
  <c r="S2142" i="1"/>
  <c r="Q2142" i="1"/>
  <c r="N2142" i="1"/>
  <c r="L2142" i="1"/>
  <c r="K2142" i="1"/>
  <c r="AB2142" i="1"/>
  <c r="I2142" i="1"/>
  <c r="X2141" i="1"/>
  <c r="Z2141" i="1" s="1"/>
  <c r="W2141" i="1"/>
  <c r="S2141" i="1"/>
  <c r="Q2141" i="1"/>
  <c r="N2141" i="1"/>
  <c r="L2141" i="1"/>
  <c r="K2141" i="1"/>
  <c r="AB2141" i="1"/>
  <c r="I2141" i="1"/>
  <c r="X2140" i="1"/>
  <c r="Z2140" i="1" s="1"/>
  <c r="W2140" i="1"/>
  <c r="S2140" i="1"/>
  <c r="Q2140" i="1"/>
  <c r="N2140" i="1"/>
  <c r="L2140" i="1"/>
  <c r="K2140" i="1"/>
  <c r="AB2140" i="1"/>
  <c r="I2140" i="1"/>
  <c r="X2139" i="1"/>
  <c r="Z2139" i="1" s="1"/>
  <c r="W2139" i="1"/>
  <c r="S2139" i="1"/>
  <c r="Q2139" i="1"/>
  <c r="N2139" i="1"/>
  <c r="L2139" i="1"/>
  <c r="K2139" i="1"/>
  <c r="AB2139" i="1"/>
  <c r="I2139" i="1"/>
  <c r="X2138" i="1"/>
  <c r="Z2138" i="1" s="1"/>
  <c r="W2138" i="1"/>
  <c r="S2138" i="1"/>
  <c r="Q2138" i="1"/>
  <c r="N2138" i="1"/>
  <c r="L2138" i="1"/>
  <c r="K2138" i="1"/>
  <c r="AB2138" i="1"/>
  <c r="I2138" i="1"/>
  <c r="X2137" i="1"/>
  <c r="Z2137" i="1" s="1"/>
  <c r="W2137" i="1"/>
  <c r="S2137" i="1"/>
  <c r="Q2137" i="1"/>
  <c r="N2137" i="1"/>
  <c r="L2137" i="1"/>
  <c r="K2137" i="1"/>
  <c r="M2137" i="1" s="1"/>
  <c r="R2137" i="1" s="1"/>
  <c r="AB2137" i="1"/>
  <c r="I2137" i="1"/>
  <c r="X2136" i="1"/>
  <c r="Z2136" i="1" s="1"/>
  <c r="W2136" i="1"/>
  <c r="S2136" i="1"/>
  <c r="Q2136" i="1"/>
  <c r="N2136" i="1"/>
  <c r="L2136" i="1"/>
  <c r="K2136" i="1"/>
  <c r="AB2136" i="1"/>
  <c r="I2136" i="1"/>
  <c r="X2135" i="1"/>
  <c r="Z2135" i="1" s="1"/>
  <c r="W2135" i="1"/>
  <c r="S2135" i="1"/>
  <c r="Q2135" i="1"/>
  <c r="N2135" i="1"/>
  <c r="L2135" i="1"/>
  <c r="K2135" i="1"/>
  <c r="AB2135" i="1"/>
  <c r="I2135" i="1"/>
  <c r="X2134" i="1"/>
  <c r="Z2134" i="1" s="1"/>
  <c r="W2134" i="1"/>
  <c r="S2134" i="1"/>
  <c r="Q2134" i="1"/>
  <c r="N2134" i="1"/>
  <c r="L2134" i="1"/>
  <c r="K2134" i="1"/>
  <c r="AB2134" i="1"/>
  <c r="I2134" i="1"/>
  <c r="X2133" i="1"/>
  <c r="Z2133" i="1" s="1"/>
  <c r="W2133" i="1"/>
  <c r="S2133" i="1"/>
  <c r="Q2133" i="1"/>
  <c r="N2133" i="1"/>
  <c r="L2133" i="1"/>
  <c r="K2133" i="1"/>
  <c r="M2133" i="1" s="1"/>
  <c r="R2133" i="1" s="1"/>
  <c r="AB2133" i="1"/>
  <c r="I2133" i="1"/>
  <c r="X2132" i="1"/>
  <c r="Z2132" i="1" s="1"/>
  <c r="W2132" i="1"/>
  <c r="S2132" i="1"/>
  <c r="Q2132" i="1"/>
  <c r="N2132" i="1"/>
  <c r="L2132" i="1"/>
  <c r="K2132" i="1"/>
  <c r="AB2132" i="1"/>
  <c r="I2132" i="1"/>
  <c r="X2131" i="1"/>
  <c r="Z2131" i="1" s="1"/>
  <c r="W2131" i="1"/>
  <c r="S2131" i="1"/>
  <c r="Q2131" i="1"/>
  <c r="N2131" i="1"/>
  <c r="L2131" i="1"/>
  <c r="K2131" i="1"/>
  <c r="AB2131" i="1"/>
  <c r="I2131" i="1"/>
  <c r="X2130" i="1"/>
  <c r="Z2130" i="1" s="1"/>
  <c r="W2130" i="1"/>
  <c r="S2130" i="1"/>
  <c r="Q2130" i="1"/>
  <c r="N2130" i="1"/>
  <c r="L2130" i="1"/>
  <c r="K2130" i="1"/>
  <c r="AB2130" i="1"/>
  <c r="I2130" i="1"/>
  <c r="X2129" i="1"/>
  <c r="Z2129" i="1" s="1"/>
  <c r="W2129" i="1"/>
  <c r="S2129" i="1"/>
  <c r="Q2129" i="1"/>
  <c r="N2129" i="1"/>
  <c r="L2129" i="1"/>
  <c r="K2129" i="1"/>
  <c r="AB2129" i="1"/>
  <c r="I2129" i="1"/>
  <c r="X2128" i="1"/>
  <c r="Z2128" i="1" s="1"/>
  <c r="W2128" i="1"/>
  <c r="S2128" i="1"/>
  <c r="Q2128" i="1"/>
  <c r="N2128" i="1"/>
  <c r="L2128" i="1"/>
  <c r="K2128" i="1"/>
  <c r="AB2128" i="1"/>
  <c r="I2128" i="1"/>
  <c r="X2127" i="1"/>
  <c r="Z2127" i="1" s="1"/>
  <c r="W2127" i="1"/>
  <c r="S2127" i="1"/>
  <c r="Q2127" i="1"/>
  <c r="N2127" i="1"/>
  <c r="L2127" i="1"/>
  <c r="K2127" i="1"/>
  <c r="AB2127" i="1"/>
  <c r="I2127" i="1"/>
  <c r="X2126" i="1"/>
  <c r="Z2126" i="1" s="1"/>
  <c r="W2126" i="1"/>
  <c r="S2126" i="1"/>
  <c r="Q2126" i="1"/>
  <c r="N2126" i="1"/>
  <c r="L2126" i="1"/>
  <c r="K2126" i="1"/>
  <c r="AB2126" i="1"/>
  <c r="I2126" i="1"/>
  <c r="X2125" i="1"/>
  <c r="Z2125" i="1" s="1"/>
  <c r="W2125" i="1"/>
  <c r="S2125" i="1"/>
  <c r="Q2125" i="1"/>
  <c r="N2125" i="1"/>
  <c r="L2125" i="1"/>
  <c r="K2125" i="1"/>
  <c r="AB2125" i="1"/>
  <c r="I2125" i="1"/>
  <c r="X2124" i="1"/>
  <c r="Z2124" i="1" s="1"/>
  <c r="W2124" i="1"/>
  <c r="S2124" i="1"/>
  <c r="Q2124" i="1"/>
  <c r="N2124" i="1"/>
  <c r="L2124" i="1"/>
  <c r="K2124" i="1"/>
  <c r="AB2124" i="1"/>
  <c r="I2124" i="1"/>
  <c r="X2123" i="1"/>
  <c r="Z2123" i="1" s="1"/>
  <c r="W2123" i="1"/>
  <c r="S2123" i="1"/>
  <c r="Q2123" i="1"/>
  <c r="N2123" i="1"/>
  <c r="L2123" i="1"/>
  <c r="K2123" i="1"/>
  <c r="AB2123" i="1"/>
  <c r="I2123" i="1"/>
  <c r="X2122" i="1"/>
  <c r="Z2122" i="1" s="1"/>
  <c r="W2122" i="1"/>
  <c r="S2122" i="1"/>
  <c r="Q2122" i="1"/>
  <c r="N2122" i="1"/>
  <c r="L2122" i="1"/>
  <c r="K2122" i="1"/>
  <c r="AB2122" i="1"/>
  <c r="I2122" i="1"/>
  <c r="X2121" i="1"/>
  <c r="Z2121" i="1" s="1"/>
  <c r="W2121" i="1"/>
  <c r="S2121" i="1"/>
  <c r="Q2121" i="1"/>
  <c r="N2121" i="1"/>
  <c r="L2121" i="1"/>
  <c r="K2121" i="1"/>
  <c r="AB2121" i="1"/>
  <c r="I2121" i="1"/>
  <c r="X2120" i="1"/>
  <c r="Z2120" i="1" s="1"/>
  <c r="W2120" i="1"/>
  <c r="S2120" i="1"/>
  <c r="Q2120" i="1"/>
  <c r="N2120" i="1"/>
  <c r="L2120" i="1"/>
  <c r="K2120" i="1"/>
  <c r="AB2120" i="1"/>
  <c r="I2120" i="1"/>
  <c r="X2119" i="1"/>
  <c r="Z2119" i="1" s="1"/>
  <c r="W2119" i="1"/>
  <c r="S2119" i="1"/>
  <c r="Q2119" i="1"/>
  <c r="N2119" i="1"/>
  <c r="L2119" i="1"/>
  <c r="K2119" i="1"/>
  <c r="AB2119" i="1"/>
  <c r="I2119" i="1"/>
  <c r="X2118" i="1"/>
  <c r="Z2118" i="1" s="1"/>
  <c r="W2118" i="1"/>
  <c r="S2118" i="1"/>
  <c r="Q2118" i="1"/>
  <c r="N2118" i="1"/>
  <c r="L2118" i="1"/>
  <c r="K2118" i="1"/>
  <c r="AB2118" i="1"/>
  <c r="I2118" i="1"/>
  <c r="X2117" i="1"/>
  <c r="Z2117" i="1" s="1"/>
  <c r="W2117" i="1"/>
  <c r="S2117" i="1"/>
  <c r="Q2117" i="1"/>
  <c r="N2117" i="1"/>
  <c r="L2117" i="1"/>
  <c r="K2117" i="1"/>
  <c r="AB2117" i="1"/>
  <c r="I2117" i="1"/>
  <c r="X2116" i="1"/>
  <c r="Z2116" i="1" s="1"/>
  <c r="W2116" i="1"/>
  <c r="S2116" i="1"/>
  <c r="Q2116" i="1"/>
  <c r="N2116" i="1"/>
  <c r="L2116" i="1"/>
  <c r="K2116" i="1"/>
  <c r="AB2116" i="1"/>
  <c r="I2116" i="1"/>
  <c r="X2115" i="1"/>
  <c r="Z2115" i="1" s="1"/>
  <c r="W2115" i="1"/>
  <c r="S2115" i="1"/>
  <c r="Q2115" i="1"/>
  <c r="N2115" i="1"/>
  <c r="L2115" i="1"/>
  <c r="K2115" i="1"/>
  <c r="AB2115" i="1"/>
  <c r="I2115" i="1"/>
  <c r="X2114" i="1"/>
  <c r="Z2114" i="1" s="1"/>
  <c r="W2114" i="1"/>
  <c r="S2114" i="1"/>
  <c r="Q2114" i="1"/>
  <c r="N2114" i="1"/>
  <c r="L2114" i="1"/>
  <c r="K2114" i="1"/>
  <c r="AB2114" i="1"/>
  <c r="I2114" i="1"/>
  <c r="X2113" i="1"/>
  <c r="Z2113" i="1" s="1"/>
  <c r="W2113" i="1"/>
  <c r="S2113" i="1"/>
  <c r="Q2113" i="1"/>
  <c r="N2113" i="1"/>
  <c r="L2113" i="1"/>
  <c r="K2113" i="1"/>
  <c r="AB2113" i="1"/>
  <c r="I2113" i="1"/>
  <c r="X2112" i="1"/>
  <c r="Z2112" i="1" s="1"/>
  <c r="W2112" i="1"/>
  <c r="S2112" i="1"/>
  <c r="Q2112" i="1"/>
  <c r="N2112" i="1"/>
  <c r="L2112" i="1"/>
  <c r="K2112" i="1"/>
  <c r="AB2112" i="1"/>
  <c r="I2112" i="1"/>
  <c r="X2111" i="1"/>
  <c r="Z2111" i="1" s="1"/>
  <c r="W2111" i="1"/>
  <c r="S2111" i="1"/>
  <c r="Q2111" i="1"/>
  <c r="N2111" i="1"/>
  <c r="L2111" i="1"/>
  <c r="K2111" i="1"/>
  <c r="AB2111" i="1"/>
  <c r="I2111" i="1"/>
  <c r="X2110" i="1"/>
  <c r="Z2110" i="1" s="1"/>
  <c r="W2110" i="1"/>
  <c r="S2110" i="1"/>
  <c r="Q2110" i="1"/>
  <c r="N2110" i="1"/>
  <c r="L2110" i="1"/>
  <c r="K2110" i="1"/>
  <c r="AB2110" i="1"/>
  <c r="I2110" i="1"/>
  <c r="X2109" i="1"/>
  <c r="Z2109" i="1" s="1"/>
  <c r="W2109" i="1"/>
  <c r="S2109" i="1"/>
  <c r="Q2109" i="1"/>
  <c r="N2109" i="1"/>
  <c r="L2109" i="1"/>
  <c r="K2109" i="1"/>
  <c r="AB2109" i="1"/>
  <c r="I2109" i="1"/>
  <c r="X2108" i="1"/>
  <c r="Z2108" i="1" s="1"/>
  <c r="W2108" i="1"/>
  <c r="S2108" i="1"/>
  <c r="Q2108" i="1"/>
  <c r="N2108" i="1"/>
  <c r="L2108" i="1"/>
  <c r="K2108" i="1"/>
  <c r="AB2108" i="1"/>
  <c r="I2108" i="1"/>
  <c r="X2107" i="1"/>
  <c r="Z2107" i="1" s="1"/>
  <c r="W2107" i="1"/>
  <c r="S2107" i="1"/>
  <c r="Q2107" i="1"/>
  <c r="N2107" i="1"/>
  <c r="L2107" i="1"/>
  <c r="K2107" i="1"/>
  <c r="AB2107" i="1"/>
  <c r="I2107" i="1"/>
  <c r="X2106" i="1"/>
  <c r="Z2106" i="1" s="1"/>
  <c r="W2106" i="1"/>
  <c r="S2106" i="1"/>
  <c r="Q2106" i="1"/>
  <c r="N2106" i="1"/>
  <c r="L2106" i="1"/>
  <c r="K2106" i="1"/>
  <c r="AB2106" i="1"/>
  <c r="I2106" i="1"/>
  <c r="X2105" i="1"/>
  <c r="Z2105" i="1" s="1"/>
  <c r="W2105" i="1"/>
  <c r="S2105" i="1"/>
  <c r="Q2105" i="1"/>
  <c r="N2105" i="1"/>
  <c r="L2105" i="1"/>
  <c r="K2105" i="1"/>
  <c r="AB2105" i="1"/>
  <c r="I2105" i="1"/>
  <c r="X2104" i="1"/>
  <c r="Z2104" i="1" s="1"/>
  <c r="W2104" i="1"/>
  <c r="S2104" i="1"/>
  <c r="Q2104" i="1"/>
  <c r="N2104" i="1"/>
  <c r="L2104" i="1"/>
  <c r="K2104" i="1"/>
  <c r="AB2104" i="1"/>
  <c r="I2104" i="1"/>
  <c r="X2103" i="1"/>
  <c r="Z2103" i="1" s="1"/>
  <c r="W2103" i="1"/>
  <c r="S2103" i="1"/>
  <c r="Q2103" i="1"/>
  <c r="N2103" i="1"/>
  <c r="L2103" i="1"/>
  <c r="K2103" i="1"/>
  <c r="AB2103" i="1"/>
  <c r="I2103" i="1"/>
  <c r="X2102" i="1"/>
  <c r="Z2102" i="1" s="1"/>
  <c r="W2102" i="1"/>
  <c r="S2102" i="1"/>
  <c r="Q2102" i="1"/>
  <c r="N2102" i="1"/>
  <c r="L2102" i="1"/>
  <c r="K2102" i="1"/>
  <c r="AB2102" i="1"/>
  <c r="I2102" i="1"/>
  <c r="X2101" i="1"/>
  <c r="Z2101" i="1" s="1"/>
  <c r="W2101" i="1"/>
  <c r="S2101" i="1"/>
  <c r="Q2101" i="1"/>
  <c r="N2101" i="1"/>
  <c r="L2101" i="1"/>
  <c r="K2101" i="1"/>
  <c r="AB2101" i="1"/>
  <c r="I2101" i="1"/>
  <c r="X2100" i="1"/>
  <c r="Z2100" i="1" s="1"/>
  <c r="W2100" i="1"/>
  <c r="S2100" i="1"/>
  <c r="Q2100" i="1"/>
  <c r="N2100" i="1"/>
  <c r="L2100" i="1"/>
  <c r="K2100" i="1"/>
  <c r="AB2100" i="1"/>
  <c r="I2100" i="1"/>
  <c r="X2099" i="1"/>
  <c r="Z2099" i="1" s="1"/>
  <c r="W2099" i="1"/>
  <c r="S2099" i="1"/>
  <c r="Q2099" i="1"/>
  <c r="N2099" i="1"/>
  <c r="L2099" i="1"/>
  <c r="K2099" i="1"/>
  <c r="AB2099" i="1"/>
  <c r="I2099" i="1"/>
  <c r="X2098" i="1"/>
  <c r="Z2098" i="1" s="1"/>
  <c r="W2098" i="1"/>
  <c r="S2098" i="1"/>
  <c r="Q2098" i="1"/>
  <c r="N2098" i="1"/>
  <c r="L2098" i="1"/>
  <c r="K2098" i="1"/>
  <c r="AB2098" i="1"/>
  <c r="I2098" i="1"/>
  <c r="X2097" i="1"/>
  <c r="Z2097" i="1" s="1"/>
  <c r="W2097" i="1"/>
  <c r="S2097" i="1"/>
  <c r="Q2097" i="1"/>
  <c r="N2097" i="1"/>
  <c r="L2097" i="1"/>
  <c r="K2097" i="1"/>
  <c r="AB2097" i="1"/>
  <c r="I2097" i="1"/>
  <c r="X2096" i="1"/>
  <c r="Z2096" i="1" s="1"/>
  <c r="W2096" i="1"/>
  <c r="S2096" i="1"/>
  <c r="Q2096" i="1"/>
  <c r="N2096" i="1"/>
  <c r="L2096" i="1"/>
  <c r="K2096" i="1"/>
  <c r="AB2096" i="1"/>
  <c r="I2096" i="1"/>
  <c r="X2095" i="1"/>
  <c r="Z2095" i="1" s="1"/>
  <c r="W2095" i="1"/>
  <c r="S2095" i="1"/>
  <c r="Q2095" i="1"/>
  <c r="N2095" i="1"/>
  <c r="L2095" i="1"/>
  <c r="K2095" i="1"/>
  <c r="AB2095" i="1"/>
  <c r="I2095" i="1"/>
  <c r="X2094" i="1"/>
  <c r="Z2094" i="1" s="1"/>
  <c r="W2094" i="1"/>
  <c r="S2094" i="1"/>
  <c r="Q2094" i="1"/>
  <c r="N2094" i="1"/>
  <c r="L2094" i="1"/>
  <c r="K2094" i="1"/>
  <c r="AB2094" i="1"/>
  <c r="I2094" i="1"/>
  <c r="X2093" i="1"/>
  <c r="Z2093" i="1" s="1"/>
  <c r="W2093" i="1"/>
  <c r="S2093" i="1"/>
  <c r="Q2093" i="1"/>
  <c r="N2093" i="1"/>
  <c r="L2093" i="1"/>
  <c r="K2093" i="1"/>
  <c r="M2093" i="1" s="1"/>
  <c r="R2093" i="1" s="1"/>
  <c r="AB2093" i="1"/>
  <c r="I2093" i="1"/>
  <c r="X2092" i="1"/>
  <c r="Z2092" i="1" s="1"/>
  <c r="W2092" i="1"/>
  <c r="S2092" i="1"/>
  <c r="Q2092" i="1"/>
  <c r="N2092" i="1"/>
  <c r="L2092" i="1"/>
  <c r="K2092" i="1"/>
  <c r="AB2092" i="1"/>
  <c r="I2092" i="1"/>
  <c r="X2091" i="1"/>
  <c r="Z2091" i="1" s="1"/>
  <c r="W2091" i="1"/>
  <c r="S2091" i="1"/>
  <c r="Q2091" i="1"/>
  <c r="N2091" i="1"/>
  <c r="L2091" i="1"/>
  <c r="K2091" i="1"/>
  <c r="AB2091" i="1"/>
  <c r="I2091" i="1"/>
  <c r="X2090" i="1"/>
  <c r="Z2090" i="1" s="1"/>
  <c r="W2090" i="1"/>
  <c r="S2090" i="1"/>
  <c r="Q2090" i="1"/>
  <c r="N2090" i="1"/>
  <c r="L2090" i="1"/>
  <c r="K2090" i="1"/>
  <c r="AB2090" i="1"/>
  <c r="I2090" i="1"/>
  <c r="X2089" i="1"/>
  <c r="Z2089" i="1" s="1"/>
  <c r="W2089" i="1"/>
  <c r="S2089" i="1"/>
  <c r="Q2089" i="1"/>
  <c r="N2089" i="1"/>
  <c r="L2089" i="1"/>
  <c r="K2089" i="1"/>
  <c r="AB2089" i="1"/>
  <c r="I2089" i="1"/>
  <c r="X2088" i="1"/>
  <c r="Z2088" i="1" s="1"/>
  <c r="W2088" i="1"/>
  <c r="S2088" i="1"/>
  <c r="Q2088" i="1"/>
  <c r="N2088" i="1"/>
  <c r="L2088" i="1"/>
  <c r="K2088" i="1"/>
  <c r="AB2088" i="1"/>
  <c r="I2088" i="1"/>
  <c r="X2087" i="1"/>
  <c r="Z2087" i="1" s="1"/>
  <c r="W2087" i="1"/>
  <c r="S2087" i="1"/>
  <c r="Q2087" i="1"/>
  <c r="N2087" i="1"/>
  <c r="L2087" i="1"/>
  <c r="K2087" i="1"/>
  <c r="AB2087" i="1"/>
  <c r="I2087" i="1"/>
  <c r="X2086" i="1"/>
  <c r="Z2086" i="1" s="1"/>
  <c r="W2086" i="1"/>
  <c r="S2086" i="1"/>
  <c r="Q2086" i="1"/>
  <c r="N2086" i="1"/>
  <c r="L2086" i="1"/>
  <c r="K2086" i="1"/>
  <c r="AB2086" i="1"/>
  <c r="I2086" i="1"/>
  <c r="X2085" i="1"/>
  <c r="Z2085" i="1" s="1"/>
  <c r="W2085" i="1"/>
  <c r="S2085" i="1"/>
  <c r="Q2085" i="1"/>
  <c r="N2085" i="1"/>
  <c r="L2085" i="1"/>
  <c r="K2085" i="1"/>
  <c r="AB2085" i="1"/>
  <c r="I2085" i="1"/>
  <c r="X2084" i="1"/>
  <c r="Z2084" i="1" s="1"/>
  <c r="W2084" i="1"/>
  <c r="S2084" i="1"/>
  <c r="Q2084" i="1"/>
  <c r="N2084" i="1"/>
  <c r="L2084" i="1"/>
  <c r="K2084" i="1"/>
  <c r="AB2084" i="1"/>
  <c r="I2084" i="1"/>
  <c r="X2083" i="1"/>
  <c r="Z2083" i="1" s="1"/>
  <c r="W2083" i="1"/>
  <c r="S2083" i="1"/>
  <c r="Q2083" i="1"/>
  <c r="N2083" i="1"/>
  <c r="L2083" i="1"/>
  <c r="K2083" i="1"/>
  <c r="AB2083" i="1"/>
  <c r="I2083" i="1"/>
  <c r="X2082" i="1"/>
  <c r="Z2082" i="1" s="1"/>
  <c r="W2082" i="1"/>
  <c r="S2082" i="1"/>
  <c r="Q2082" i="1"/>
  <c r="N2082" i="1"/>
  <c r="L2082" i="1"/>
  <c r="K2082" i="1"/>
  <c r="AB2082" i="1"/>
  <c r="I2082" i="1"/>
  <c r="X2081" i="1"/>
  <c r="Z2081" i="1" s="1"/>
  <c r="W2081" i="1"/>
  <c r="S2081" i="1"/>
  <c r="Q2081" i="1"/>
  <c r="N2081" i="1"/>
  <c r="L2081" i="1"/>
  <c r="K2081" i="1"/>
  <c r="AB2081" i="1"/>
  <c r="I2081" i="1"/>
  <c r="X2080" i="1"/>
  <c r="Z2080" i="1" s="1"/>
  <c r="W2080" i="1"/>
  <c r="S2080" i="1"/>
  <c r="Q2080" i="1"/>
  <c r="N2080" i="1"/>
  <c r="L2080" i="1"/>
  <c r="K2080" i="1"/>
  <c r="AB2080" i="1"/>
  <c r="I2080" i="1"/>
  <c r="X2079" i="1"/>
  <c r="Z2079" i="1" s="1"/>
  <c r="W2079" i="1"/>
  <c r="S2079" i="1"/>
  <c r="Q2079" i="1"/>
  <c r="N2079" i="1"/>
  <c r="L2079" i="1"/>
  <c r="K2079" i="1"/>
  <c r="AB2079" i="1"/>
  <c r="I2079" i="1"/>
  <c r="X2078" i="1"/>
  <c r="Z2078" i="1" s="1"/>
  <c r="W2078" i="1"/>
  <c r="S2078" i="1"/>
  <c r="Q2078" i="1"/>
  <c r="N2078" i="1"/>
  <c r="L2078" i="1"/>
  <c r="K2078" i="1"/>
  <c r="AB2078" i="1"/>
  <c r="I2078" i="1"/>
  <c r="X2077" i="1"/>
  <c r="Z2077" i="1" s="1"/>
  <c r="W2077" i="1"/>
  <c r="S2077" i="1"/>
  <c r="Q2077" i="1"/>
  <c r="N2077" i="1"/>
  <c r="L2077" i="1"/>
  <c r="K2077" i="1"/>
  <c r="AB2077" i="1"/>
  <c r="I2077" i="1"/>
  <c r="X2076" i="1"/>
  <c r="Z2076" i="1" s="1"/>
  <c r="W2076" i="1"/>
  <c r="S2076" i="1"/>
  <c r="Q2076" i="1"/>
  <c r="N2076" i="1"/>
  <c r="L2076" i="1"/>
  <c r="K2076" i="1"/>
  <c r="AB2076" i="1"/>
  <c r="I2076" i="1"/>
  <c r="X2075" i="1"/>
  <c r="Z2075" i="1" s="1"/>
  <c r="W2075" i="1"/>
  <c r="S2075" i="1"/>
  <c r="Q2075" i="1"/>
  <c r="N2075" i="1"/>
  <c r="L2075" i="1"/>
  <c r="K2075" i="1"/>
  <c r="AB2075" i="1"/>
  <c r="I2075" i="1"/>
  <c r="X2074" i="1"/>
  <c r="Z2074" i="1" s="1"/>
  <c r="W2074" i="1"/>
  <c r="S2074" i="1"/>
  <c r="Q2074" i="1"/>
  <c r="N2074" i="1"/>
  <c r="L2074" i="1"/>
  <c r="K2074" i="1"/>
  <c r="AB2074" i="1"/>
  <c r="I2074" i="1"/>
  <c r="X2073" i="1"/>
  <c r="Z2073" i="1" s="1"/>
  <c r="W2073" i="1"/>
  <c r="S2073" i="1"/>
  <c r="Q2073" i="1"/>
  <c r="N2073" i="1"/>
  <c r="L2073" i="1"/>
  <c r="K2073" i="1"/>
  <c r="AB2073" i="1"/>
  <c r="I2073" i="1"/>
  <c r="X2072" i="1"/>
  <c r="Z2072" i="1" s="1"/>
  <c r="W2072" i="1"/>
  <c r="S2072" i="1"/>
  <c r="Q2072" i="1"/>
  <c r="N2072" i="1"/>
  <c r="L2072" i="1"/>
  <c r="K2072" i="1"/>
  <c r="AB2072" i="1"/>
  <c r="I2072" i="1"/>
  <c r="X2071" i="1"/>
  <c r="Z2071" i="1" s="1"/>
  <c r="W2071" i="1"/>
  <c r="S2071" i="1"/>
  <c r="Q2071" i="1"/>
  <c r="N2071" i="1"/>
  <c r="L2071" i="1"/>
  <c r="K2071" i="1"/>
  <c r="AB2071" i="1"/>
  <c r="I2071" i="1"/>
  <c r="X2070" i="1"/>
  <c r="Z2070" i="1" s="1"/>
  <c r="W2070" i="1"/>
  <c r="S2070" i="1"/>
  <c r="Q2070" i="1"/>
  <c r="N2070" i="1"/>
  <c r="L2070" i="1"/>
  <c r="K2070" i="1"/>
  <c r="AB2070" i="1"/>
  <c r="I2070" i="1"/>
  <c r="X2069" i="1"/>
  <c r="Z2069" i="1" s="1"/>
  <c r="W2069" i="1"/>
  <c r="S2069" i="1"/>
  <c r="Q2069" i="1"/>
  <c r="N2069" i="1"/>
  <c r="L2069" i="1"/>
  <c r="K2069" i="1"/>
  <c r="AB2069" i="1"/>
  <c r="I2069" i="1"/>
  <c r="X2068" i="1"/>
  <c r="Z2068" i="1" s="1"/>
  <c r="W2068" i="1"/>
  <c r="S2068" i="1"/>
  <c r="Q2068" i="1"/>
  <c r="N2068" i="1"/>
  <c r="L2068" i="1"/>
  <c r="K2068" i="1"/>
  <c r="AB2068" i="1"/>
  <c r="I2068" i="1"/>
  <c r="X2067" i="1"/>
  <c r="Z2067" i="1" s="1"/>
  <c r="W2067" i="1"/>
  <c r="S2067" i="1"/>
  <c r="Q2067" i="1"/>
  <c r="N2067" i="1"/>
  <c r="L2067" i="1"/>
  <c r="K2067" i="1"/>
  <c r="AB2067" i="1"/>
  <c r="I2067" i="1"/>
  <c r="X2066" i="1"/>
  <c r="Z2066" i="1" s="1"/>
  <c r="W2066" i="1"/>
  <c r="S2066" i="1"/>
  <c r="Q2066" i="1"/>
  <c r="N2066" i="1"/>
  <c r="L2066" i="1"/>
  <c r="K2066" i="1"/>
  <c r="AB2066" i="1"/>
  <c r="I2066" i="1"/>
  <c r="X2065" i="1"/>
  <c r="Z2065" i="1" s="1"/>
  <c r="W2065" i="1"/>
  <c r="S2065" i="1"/>
  <c r="Q2065" i="1"/>
  <c r="N2065" i="1"/>
  <c r="L2065" i="1"/>
  <c r="K2065" i="1"/>
  <c r="AB2065" i="1"/>
  <c r="I2065" i="1"/>
  <c r="X2064" i="1"/>
  <c r="Z2064" i="1" s="1"/>
  <c r="W2064" i="1"/>
  <c r="S2064" i="1"/>
  <c r="Q2064" i="1"/>
  <c r="N2064" i="1"/>
  <c r="L2064" i="1"/>
  <c r="K2064" i="1"/>
  <c r="AB2064" i="1"/>
  <c r="I2064" i="1"/>
  <c r="X2063" i="1"/>
  <c r="Z2063" i="1" s="1"/>
  <c r="W2063" i="1"/>
  <c r="S2063" i="1"/>
  <c r="Q2063" i="1"/>
  <c r="N2063" i="1"/>
  <c r="L2063" i="1"/>
  <c r="K2063" i="1"/>
  <c r="AB2063" i="1"/>
  <c r="I2063" i="1"/>
  <c r="X2062" i="1"/>
  <c r="Z2062" i="1" s="1"/>
  <c r="W2062" i="1"/>
  <c r="S2062" i="1"/>
  <c r="Q2062" i="1"/>
  <c r="N2062" i="1"/>
  <c r="L2062" i="1"/>
  <c r="K2062" i="1"/>
  <c r="AB2062" i="1"/>
  <c r="I2062" i="1"/>
  <c r="X2061" i="1"/>
  <c r="Z2061" i="1" s="1"/>
  <c r="W2061" i="1"/>
  <c r="S2061" i="1"/>
  <c r="Q2061" i="1"/>
  <c r="N2061" i="1"/>
  <c r="L2061" i="1"/>
  <c r="K2061" i="1"/>
  <c r="AB2061" i="1"/>
  <c r="I2061" i="1"/>
  <c r="X2060" i="1"/>
  <c r="Z2060" i="1" s="1"/>
  <c r="W2060" i="1"/>
  <c r="S2060" i="1"/>
  <c r="Q2060" i="1"/>
  <c r="N2060" i="1"/>
  <c r="L2060" i="1"/>
  <c r="K2060" i="1"/>
  <c r="AB2060" i="1"/>
  <c r="I2060" i="1"/>
  <c r="X2059" i="1"/>
  <c r="Z2059" i="1" s="1"/>
  <c r="W2059" i="1"/>
  <c r="S2059" i="1"/>
  <c r="Q2059" i="1"/>
  <c r="N2059" i="1"/>
  <c r="L2059" i="1"/>
  <c r="K2059" i="1"/>
  <c r="AB2059" i="1"/>
  <c r="I2059" i="1"/>
  <c r="X2058" i="1"/>
  <c r="Z2058" i="1" s="1"/>
  <c r="W2058" i="1"/>
  <c r="S2058" i="1"/>
  <c r="Q2058" i="1"/>
  <c r="N2058" i="1"/>
  <c r="L2058" i="1"/>
  <c r="K2058" i="1"/>
  <c r="AB2058" i="1"/>
  <c r="I2058" i="1"/>
  <c r="X2057" i="1"/>
  <c r="Z2057" i="1" s="1"/>
  <c r="W2057" i="1"/>
  <c r="S2057" i="1"/>
  <c r="Q2057" i="1"/>
  <c r="N2057" i="1"/>
  <c r="L2057" i="1"/>
  <c r="K2057" i="1"/>
  <c r="AB2057" i="1"/>
  <c r="I2057" i="1"/>
  <c r="X2056" i="1"/>
  <c r="Z2056" i="1" s="1"/>
  <c r="W2056" i="1"/>
  <c r="S2056" i="1"/>
  <c r="Q2056" i="1"/>
  <c r="N2056" i="1"/>
  <c r="L2056" i="1"/>
  <c r="K2056" i="1"/>
  <c r="AB2056" i="1"/>
  <c r="I2056" i="1"/>
  <c r="X2055" i="1"/>
  <c r="Z2055" i="1" s="1"/>
  <c r="W2055" i="1"/>
  <c r="S2055" i="1"/>
  <c r="Q2055" i="1"/>
  <c r="N2055" i="1"/>
  <c r="L2055" i="1"/>
  <c r="K2055" i="1"/>
  <c r="AB2055" i="1"/>
  <c r="I2055" i="1"/>
  <c r="X2054" i="1"/>
  <c r="Z2054" i="1" s="1"/>
  <c r="W2054" i="1"/>
  <c r="S2054" i="1"/>
  <c r="Q2054" i="1"/>
  <c r="N2054" i="1"/>
  <c r="L2054" i="1"/>
  <c r="K2054" i="1"/>
  <c r="AB2054" i="1"/>
  <c r="I2054" i="1"/>
  <c r="X2053" i="1"/>
  <c r="Z2053" i="1" s="1"/>
  <c r="W2053" i="1"/>
  <c r="S2053" i="1"/>
  <c r="Q2053" i="1"/>
  <c r="N2053" i="1"/>
  <c r="L2053" i="1"/>
  <c r="K2053" i="1"/>
  <c r="AB2053" i="1"/>
  <c r="I2053" i="1"/>
  <c r="X2052" i="1"/>
  <c r="Z2052" i="1" s="1"/>
  <c r="W2052" i="1"/>
  <c r="S2052" i="1"/>
  <c r="Q2052" i="1"/>
  <c r="N2052" i="1"/>
  <c r="L2052" i="1"/>
  <c r="K2052" i="1"/>
  <c r="AB2052" i="1"/>
  <c r="I2052" i="1"/>
  <c r="X2051" i="1"/>
  <c r="Z2051" i="1" s="1"/>
  <c r="W2051" i="1"/>
  <c r="S2051" i="1"/>
  <c r="Q2051" i="1"/>
  <c r="N2051" i="1"/>
  <c r="L2051" i="1"/>
  <c r="K2051" i="1"/>
  <c r="AB2051" i="1"/>
  <c r="I2051" i="1"/>
  <c r="X2050" i="1"/>
  <c r="Z2050" i="1" s="1"/>
  <c r="W2050" i="1"/>
  <c r="S2050" i="1"/>
  <c r="Q2050" i="1"/>
  <c r="N2050" i="1"/>
  <c r="L2050" i="1"/>
  <c r="K2050" i="1"/>
  <c r="AB2050" i="1"/>
  <c r="I2050" i="1"/>
  <c r="X2049" i="1"/>
  <c r="Z2049" i="1" s="1"/>
  <c r="W2049" i="1"/>
  <c r="S2049" i="1"/>
  <c r="Q2049" i="1"/>
  <c r="N2049" i="1"/>
  <c r="L2049" i="1"/>
  <c r="K2049" i="1"/>
  <c r="AB2049" i="1"/>
  <c r="I2049" i="1"/>
  <c r="X2048" i="1"/>
  <c r="Z2048" i="1" s="1"/>
  <c r="W2048" i="1"/>
  <c r="S2048" i="1"/>
  <c r="Q2048" i="1"/>
  <c r="N2048" i="1"/>
  <c r="L2048" i="1"/>
  <c r="K2048" i="1"/>
  <c r="AB2048" i="1"/>
  <c r="I2048" i="1"/>
  <c r="X2047" i="1"/>
  <c r="Z2047" i="1" s="1"/>
  <c r="W2047" i="1"/>
  <c r="S2047" i="1"/>
  <c r="Q2047" i="1"/>
  <c r="N2047" i="1"/>
  <c r="L2047" i="1"/>
  <c r="K2047" i="1"/>
  <c r="AB2047" i="1"/>
  <c r="I2047" i="1"/>
  <c r="X2046" i="1"/>
  <c r="Z2046" i="1" s="1"/>
  <c r="W2046" i="1"/>
  <c r="S2046" i="1"/>
  <c r="Q2046" i="1"/>
  <c r="N2046" i="1"/>
  <c r="L2046" i="1"/>
  <c r="K2046" i="1"/>
  <c r="AB2046" i="1"/>
  <c r="I2046" i="1"/>
  <c r="X2045" i="1"/>
  <c r="Z2045" i="1" s="1"/>
  <c r="W2045" i="1"/>
  <c r="S2045" i="1"/>
  <c r="Q2045" i="1"/>
  <c r="N2045" i="1"/>
  <c r="L2045" i="1"/>
  <c r="K2045" i="1"/>
  <c r="AB2045" i="1"/>
  <c r="I2045" i="1"/>
  <c r="X2044" i="1"/>
  <c r="Z2044" i="1" s="1"/>
  <c r="W2044" i="1"/>
  <c r="S2044" i="1"/>
  <c r="Q2044" i="1"/>
  <c r="N2044" i="1"/>
  <c r="L2044" i="1"/>
  <c r="K2044" i="1"/>
  <c r="AB2044" i="1"/>
  <c r="I2044" i="1"/>
  <c r="X2043" i="1"/>
  <c r="Z2043" i="1" s="1"/>
  <c r="W2043" i="1"/>
  <c r="S2043" i="1"/>
  <c r="Q2043" i="1"/>
  <c r="N2043" i="1"/>
  <c r="L2043" i="1"/>
  <c r="K2043" i="1"/>
  <c r="AB2043" i="1"/>
  <c r="I2043" i="1"/>
  <c r="X2042" i="1"/>
  <c r="Z2042" i="1" s="1"/>
  <c r="W2042" i="1"/>
  <c r="S2042" i="1"/>
  <c r="Q2042" i="1"/>
  <c r="N2042" i="1"/>
  <c r="L2042" i="1"/>
  <c r="K2042" i="1"/>
  <c r="AB2042" i="1"/>
  <c r="I2042" i="1"/>
  <c r="X2041" i="1"/>
  <c r="Z2041" i="1" s="1"/>
  <c r="W2041" i="1"/>
  <c r="S2041" i="1"/>
  <c r="Q2041" i="1"/>
  <c r="N2041" i="1"/>
  <c r="L2041" i="1"/>
  <c r="K2041" i="1"/>
  <c r="AB2041" i="1"/>
  <c r="I2041" i="1"/>
  <c r="X2040" i="1"/>
  <c r="Z2040" i="1" s="1"/>
  <c r="W2040" i="1"/>
  <c r="S2040" i="1"/>
  <c r="Q2040" i="1"/>
  <c r="N2040" i="1"/>
  <c r="L2040" i="1"/>
  <c r="K2040" i="1"/>
  <c r="AB2040" i="1"/>
  <c r="I2040" i="1"/>
  <c r="X2039" i="1"/>
  <c r="Z2039" i="1" s="1"/>
  <c r="W2039" i="1"/>
  <c r="S2039" i="1"/>
  <c r="Q2039" i="1"/>
  <c r="N2039" i="1"/>
  <c r="L2039" i="1"/>
  <c r="K2039" i="1"/>
  <c r="AB2039" i="1"/>
  <c r="I2039" i="1"/>
  <c r="X2038" i="1"/>
  <c r="Z2038" i="1" s="1"/>
  <c r="W2038" i="1"/>
  <c r="S2038" i="1"/>
  <c r="Q2038" i="1"/>
  <c r="N2038" i="1"/>
  <c r="L2038" i="1"/>
  <c r="K2038" i="1"/>
  <c r="AB2038" i="1"/>
  <c r="I2038" i="1"/>
  <c r="X2037" i="1"/>
  <c r="Z2037" i="1" s="1"/>
  <c r="W2037" i="1"/>
  <c r="S2037" i="1"/>
  <c r="Q2037" i="1"/>
  <c r="N2037" i="1"/>
  <c r="L2037" i="1"/>
  <c r="K2037" i="1"/>
  <c r="AB2037" i="1"/>
  <c r="I2037" i="1"/>
  <c r="X2036" i="1"/>
  <c r="Z2036" i="1" s="1"/>
  <c r="W2036" i="1"/>
  <c r="S2036" i="1"/>
  <c r="Q2036" i="1"/>
  <c r="N2036" i="1"/>
  <c r="L2036" i="1"/>
  <c r="K2036" i="1"/>
  <c r="AB2036" i="1"/>
  <c r="I2036" i="1"/>
  <c r="X2035" i="1"/>
  <c r="Z2035" i="1" s="1"/>
  <c r="W2035" i="1"/>
  <c r="S2035" i="1"/>
  <c r="Q2035" i="1"/>
  <c r="N2035" i="1"/>
  <c r="L2035" i="1"/>
  <c r="K2035" i="1"/>
  <c r="AB2035" i="1"/>
  <c r="I2035" i="1"/>
  <c r="X2034" i="1"/>
  <c r="Z2034" i="1" s="1"/>
  <c r="W2034" i="1"/>
  <c r="S2034" i="1"/>
  <c r="Q2034" i="1"/>
  <c r="N2034" i="1"/>
  <c r="L2034" i="1"/>
  <c r="K2034" i="1"/>
  <c r="AB2034" i="1"/>
  <c r="I2034" i="1"/>
  <c r="X2033" i="1"/>
  <c r="Z2033" i="1" s="1"/>
  <c r="W2033" i="1"/>
  <c r="S2033" i="1"/>
  <c r="Q2033" i="1"/>
  <c r="N2033" i="1"/>
  <c r="L2033" i="1"/>
  <c r="K2033" i="1"/>
  <c r="AB2033" i="1"/>
  <c r="I2033" i="1"/>
  <c r="X2032" i="1"/>
  <c r="Z2032" i="1" s="1"/>
  <c r="W2032" i="1"/>
  <c r="S2032" i="1"/>
  <c r="Q2032" i="1"/>
  <c r="N2032" i="1"/>
  <c r="L2032" i="1"/>
  <c r="K2032" i="1"/>
  <c r="AB2032" i="1"/>
  <c r="I2032" i="1"/>
  <c r="X2031" i="1"/>
  <c r="Z2031" i="1" s="1"/>
  <c r="W2031" i="1"/>
  <c r="S2031" i="1"/>
  <c r="Q2031" i="1"/>
  <c r="N2031" i="1"/>
  <c r="L2031" i="1"/>
  <c r="K2031" i="1"/>
  <c r="AB2031" i="1"/>
  <c r="I2031" i="1"/>
  <c r="X2030" i="1"/>
  <c r="Z2030" i="1" s="1"/>
  <c r="W2030" i="1"/>
  <c r="S2030" i="1"/>
  <c r="Q2030" i="1"/>
  <c r="N2030" i="1"/>
  <c r="L2030" i="1"/>
  <c r="K2030" i="1"/>
  <c r="AB2030" i="1"/>
  <c r="I2030" i="1"/>
  <c r="X2029" i="1"/>
  <c r="Z2029" i="1" s="1"/>
  <c r="W2029" i="1"/>
  <c r="S2029" i="1"/>
  <c r="Q2029" i="1"/>
  <c r="N2029" i="1"/>
  <c r="L2029" i="1"/>
  <c r="K2029" i="1"/>
  <c r="AB2029" i="1"/>
  <c r="I2029" i="1"/>
  <c r="X2028" i="1"/>
  <c r="Z2028" i="1" s="1"/>
  <c r="W2028" i="1"/>
  <c r="S2028" i="1"/>
  <c r="Q2028" i="1"/>
  <c r="N2028" i="1"/>
  <c r="L2028" i="1"/>
  <c r="K2028" i="1"/>
  <c r="AB2028" i="1"/>
  <c r="I2028" i="1"/>
  <c r="X2027" i="1"/>
  <c r="Z2027" i="1" s="1"/>
  <c r="W2027" i="1"/>
  <c r="S2027" i="1"/>
  <c r="Q2027" i="1"/>
  <c r="N2027" i="1"/>
  <c r="L2027" i="1"/>
  <c r="K2027" i="1"/>
  <c r="AB2027" i="1"/>
  <c r="I2027" i="1"/>
  <c r="X2026" i="1"/>
  <c r="Z2026" i="1" s="1"/>
  <c r="W2026" i="1"/>
  <c r="S2026" i="1"/>
  <c r="Q2026" i="1"/>
  <c r="N2026" i="1"/>
  <c r="L2026" i="1"/>
  <c r="K2026" i="1"/>
  <c r="AB2026" i="1"/>
  <c r="I2026" i="1"/>
  <c r="X2025" i="1"/>
  <c r="Z2025" i="1" s="1"/>
  <c r="W2025" i="1"/>
  <c r="S2025" i="1"/>
  <c r="Q2025" i="1"/>
  <c r="N2025" i="1"/>
  <c r="L2025" i="1"/>
  <c r="K2025" i="1"/>
  <c r="AB2025" i="1"/>
  <c r="I2025" i="1"/>
  <c r="X2024" i="1"/>
  <c r="Z2024" i="1" s="1"/>
  <c r="W2024" i="1"/>
  <c r="S2024" i="1"/>
  <c r="Q2024" i="1"/>
  <c r="N2024" i="1"/>
  <c r="L2024" i="1"/>
  <c r="K2024" i="1"/>
  <c r="AB2024" i="1"/>
  <c r="I2024" i="1"/>
  <c r="X2023" i="1"/>
  <c r="Z2023" i="1" s="1"/>
  <c r="W2023" i="1"/>
  <c r="S2023" i="1"/>
  <c r="Q2023" i="1"/>
  <c r="N2023" i="1"/>
  <c r="L2023" i="1"/>
  <c r="K2023" i="1"/>
  <c r="AB2023" i="1"/>
  <c r="I2023" i="1"/>
  <c r="X2022" i="1"/>
  <c r="Z2022" i="1" s="1"/>
  <c r="W2022" i="1"/>
  <c r="S2022" i="1"/>
  <c r="Q2022" i="1"/>
  <c r="N2022" i="1"/>
  <c r="L2022" i="1"/>
  <c r="K2022" i="1"/>
  <c r="AB2022" i="1"/>
  <c r="I2022" i="1"/>
  <c r="X2021" i="1"/>
  <c r="Z2021" i="1" s="1"/>
  <c r="W2021" i="1"/>
  <c r="S2021" i="1"/>
  <c r="Q2021" i="1"/>
  <c r="N2021" i="1"/>
  <c r="L2021" i="1"/>
  <c r="K2021" i="1"/>
  <c r="AB2021" i="1"/>
  <c r="I2021" i="1"/>
  <c r="X2020" i="1"/>
  <c r="Z2020" i="1" s="1"/>
  <c r="W2020" i="1"/>
  <c r="S2020" i="1"/>
  <c r="Q2020" i="1"/>
  <c r="N2020" i="1"/>
  <c r="L2020" i="1"/>
  <c r="K2020" i="1"/>
  <c r="AB2020" i="1"/>
  <c r="I2020" i="1"/>
  <c r="X2019" i="1"/>
  <c r="Z2019" i="1" s="1"/>
  <c r="W2019" i="1"/>
  <c r="S2019" i="1"/>
  <c r="Q2019" i="1"/>
  <c r="N2019" i="1"/>
  <c r="L2019" i="1"/>
  <c r="K2019" i="1"/>
  <c r="AB2019" i="1"/>
  <c r="I2019" i="1"/>
  <c r="X2018" i="1"/>
  <c r="Z2018" i="1" s="1"/>
  <c r="W2018" i="1"/>
  <c r="S2018" i="1"/>
  <c r="Q2018" i="1"/>
  <c r="N2018" i="1"/>
  <c r="L2018" i="1"/>
  <c r="K2018" i="1"/>
  <c r="AB2018" i="1"/>
  <c r="I2018" i="1"/>
  <c r="X2017" i="1"/>
  <c r="Z2017" i="1" s="1"/>
  <c r="W2017" i="1"/>
  <c r="S2017" i="1"/>
  <c r="Q2017" i="1"/>
  <c r="N2017" i="1"/>
  <c r="L2017" i="1"/>
  <c r="K2017" i="1"/>
  <c r="AB2017" i="1"/>
  <c r="I2017" i="1"/>
  <c r="X2016" i="1"/>
  <c r="Z2016" i="1" s="1"/>
  <c r="W2016" i="1"/>
  <c r="S2016" i="1"/>
  <c r="Q2016" i="1"/>
  <c r="N2016" i="1"/>
  <c r="L2016" i="1"/>
  <c r="K2016" i="1"/>
  <c r="AB2016" i="1"/>
  <c r="I2016" i="1"/>
  <c r="X2015" i="1"/>
  <c r="Z2015" i="1" s="1"/>
  <c r="W2015" i="1"/>
  <c r="S2015" i="1"/>
  <c r="Q2015" i="1"/>
  <c r="N2015" i="1"/>
  <c r="L2015" i="1"/>
  <c r="K2015" i="1"/>
  <c r="AB2015" i="1"/>
  <c r="I2015" i="1"/>
  <c r="X2014" i="1"/>
  <c r="Z2014" i="1" s="1"/>
  <c r="W2014" i="1"/>
  <c r="S2014" i="1"/>
  <c r="Q2014" i="1"/>
  <c r="N2014" i="1"/>
  <c r="L2014" i="1"/>
  <c r="K2014" i="1"/>
  <c r="AB2014" i="1"/>
  <c r="I2014" i="1"/>
  <c r="X2013" i="1"/>
  <c r="Z2013" i="1" s="1"/>
  <c r="W2013" i="1"/>
  <c r="S2013" i="1"/>
  <c r="Q2013" i="1"/>
  <c r="N2013" i="1"/>
  <c r="L2013" i="1"/>
  <c r="K2013" i="1"/>
  <c r="AB2013" i="1"/>
  <c r="I2013" i="1"/>
  <c r="X2012" i="1"/>
  <c r="Z2012" i="1" s="1"/>
  <c r="W2012" i="1"/>
  <c r="S2012" i="1"/>
  <c r="Q2012" i="1"/>
  <c r="N2012" i="1"/>
  <c r="L2012" i="1"/>
  <c r="K2012" i="1"/>
  <c r="AB2012" i="1"/>
  <c r="I2012" i="1"/>
  <c r="X2011" i="1"/>
  <c r="Z2011" i="1" s="1"/>
  <c r="W2011" i="1"/>
  <c r="S2011" i="1"/>
  <c r="Q2011" i="1"/>
  <c r="N2011" i="1"/>
  <c r="L2011" i="1"/>
  <c r="K2011" i="1"/>
  <c r="AB2011" i="1"/>
  <c r="I2011" i="1"/>
  <c r="X2010" i="1"/>
  <c r="Z2010" i="1" s="1"/>
  <c r="W2010" i="1"/>
  <c r="S2010" i="1"/>
  <c r="Q2010" i="1"/>
  <c r="N2010" i="1"/>
  <c r="L2010" i="1"/>
  <c r="K2010" i="1"/>
  <c r="AB2010" i="1"/>
  <c r="I2010" i="1"/>
  <c r="X2009" i="1"/>
  <c r="Z2009" i="1" s="1"/>
  <c r="W2009" i="1"/>
  <c r="S2009" i="1"/>
  <c r="Q2009" i="1"/>
  <c r="N2009" i="1"/>
  <c r="L2009" i="1"/>
  <c r="K2009" i="1"/>
  <c r="AB2009" i="1"/>
  <c r="I2009" i="1"/>
  <c r="X2008" i="1"/>
  <c r="Z2008" i="1" s="1"/>
  <c r="W2008" i="1"/>
  <c r="S2008" i="1"/>
  <c r="Q2008" i="1"/>
  <c r="N2008" i="1"/>
  <c r="L2008" i="1"/>
  <c r="K2008" i="1"/>
  <c r="AB2008" i="1"/>
  <c r="I2008" i="1"/>
  <c r="X2007" i="1"/>
  <c r="Z2007" i="1" s="1"/>
  <c r="W2007" i="1"/>
  <c r="S2007" i="1"/>
  <c r="Q2007" i="1"/>
  <c r="N2007" i="1"/>
  <c r="L2007" i="1"/>
  <c r="K2007" i="1"/>
  <c r="AB2007" i="1"/>
  <c r="I2007" i="1"/>
  <c r="X2006" i="1"/>
  <c r="Z2006" i="1" s="1"/>
  <c r="W2006" i="1"/>
  <c r="S2006" i="1"/>
  <c r="Q2006" i="1"/>
  <c r="N2006" i="1"/>
  <c r="L2006" i="1"/>
  <c r="K2006" i="1"/>
  <c r="AB2006" i="1"/>
  <c r="I2006" i="1"/>
  <c r="X2005" i="1"/>
  <c r="Z2005" i="1" s="1"/>
  <c r="W2005" i="1"/>
  <c r="S2005" i="1"/>
  <c r="Q2005" i="1"/>
  <c r="N2005" i="1"/>
  <c r="L2005" i="1"/>
  <c r="K2005" i="1"/>
  <c r="AB2005" i="1"/>
  <c r="I2005" i="1"/>
  <c r="X2004" i="1"/>
  <c r="Z2004" i="1" s="1"/>
  <c r="W2004" i="1"/>
  <c r="S2004" i="1"/>
  <c r="Q2004" i="1"/>
  <c r="N2004" i="1"/>
  <c r="L2004" i="1"/>
  <c r="K2004" i="1"/>
  <c r="AB2004" i="1"/>
  <c r="I2004" i="1"/>
  <c r="X2003" i="1"/>
  <c r="Z2003" i="1" s="1"/>
  <c r="W2003" i="1"/>
  <c r="S2003" i="1"/>
  <c r="Q2003" i="1"/>
  <c r="N2003" i="1"/>
  <c r="L2003" i="1"/>
  <c r="K2003" i="1"/>
  <c r="AB2003" i="1"/>
  <c r="I2003" i="1"/>
  <c r="X2002" i="1"/>
  <c r="Z2002" i="1" s="1"/>
  <c r="W2002" i="1"/>
  <c r="S2002" i="1"/>
  <c r="Q2002" i="1"/>
  <c r="N2002" i="1"/>
  <c r="L2002" i="1"/>
  <c r="K2002" i="1"/>
  <c r="AB2002" i="1"/>
  <c r="I2002" i="1"/>
  <c r="X2001" i="1"/>
  <c r="Z2001" i="1" s="1"/>
  <c r="W2001" i="1"/>
  <c r="S2001" i="1"/>
  <c r="Q2001" i="1"/>
  <c r="N2001" i="1"/>
  <c r="L2001" i="1"/>
  <c r="K2001" i="1"/>
  <c r="AB2001" i="1"/>
  <c r="I2001" i="1"/>
  <c r="X2000" i="1"/>
  <c r="Z2000" i="1" s="1"/>
  <c r="W2000" i="1"/>
  <c r="S2000" i="1"/>
  <c r="Q2000" i="1"/>
  <c r="N2000" i="1"/>
  <c r="L2000" i="1"/>
  <c r="K2000" i="1"/>
  <c r="AB2000" i="1"/>
  <c r="I2000" i="1"/>
  <c r="X1999" i="1"/>
  <c r="Z1999" i="1" s="1"/>
  <c r="W1999" i="1"/>
  <c r="S1999" i="1"/>
  <c r="Q1999" i="1"/>
  <c r="N1999" i="1"/>
  <c r="L1999" i="1"/>
  <c r="K1999" i="1"/>
  <c r="AB1999" i="1"/>
  <c r="I1999" i="1"/>
  <c r="X1998" i="1"/>
  <c r="Z1998" i="1" s="1"/>
  <c r="W1998" i="1"/>
  <c r="S1998" i="1"/>
  <c r="Q1998" i="1"/>
  <c r="N1998" i="1"/>
  <c r="L1998" i="1"/>
  <c r="K1998" i="1"/>
  <c r="AB1998" i="1"/>
  <c r="I1998" i="1"/>
  <c r="X1997" i="1"/>
  <c r="Z1997" i="1" s="1"/>
  <c r="W1997" i="1"/>
  <c r="S1997" i="1"/>
  <c r="Q1997" i="1"/>
  <c r="N1997" i="1"/>
  <c r="L1997" i="1"/>
  <c r="K1997" i="1"/>
  <c r="AB1997" i="1"/>
  <c r="I1997" i="1"/>
  <c r="X1996" i="1"/>
  <c r="Z1996" i="1" s="1"/>
  <c r="W1996" i="1"/>
  <c r="S1996" i="1"/>
  <c r="Q1996" i="1"/>
  <c r="N1996" i="1"/>
  <c r="L1996" i="1"/>
  <c r="K1996" i="1"/>
  <c r="AB1996" i="1"/>
  <c r="I1996" i="1"/>
  <c r="X1995" i="1"/>
  <c r="Z1995" i="1" s="1"/>
  <c r="W1995" i="1"/>
  <c r="S1995" i="1"/>
  <c r="Q1995" i="1"/>
  <c r="N1995" i="1"/>
  <c r="L1995" i="1"/>
  <c r="K1995" i="1"/>
  <c r="AB1995" i="1"/>
  <c r="I1995" i="1"/>
  <c r="X1994" i="1"/>
  <c r="Z1994" i="1" s="1"/>
  <c r="W1994" i="1"/>
  <c r="S1994" i="1"/>
  <c r="Q1994" i="1"/>
  <c r="N1994" i="1"/>
  <c r="L1994" i="1"/>
  <c r="K1994" i="1"/>
  <c r="AB1994" i="1"/>
  <c r="I1994" i="1"/>
  <c r="X1993" i="1"/>
  <c r="Z1993" i="1" s="1"/>
  <c r="W1993" i="1"/>
  <c r="S1993" i="1"/>
  <c r="Q1993" i="1"/>
  <c r="N1993" i="1"/>
  <c r="L1993" i="1"/>
  <c r="K1993" i="1"/>
  <c r="AB1993" i="1"/>
  <c r="I1993" i="1"/>
  <c r="X1992" i="1"/>
  <c r="Z1992" i="1" s="1"/>
  <c r="W1992" i="1"/>
  <c r="S1992" i="1"/>
  <c r="Q1992" i="1"/>
  <c r="N1992" i="1"/>
  <c r="L1992" i="1"/>
  <c r="K1992" i="1"/>
  <c r="AB1992" i="1"/>
  <c r="I1992" i="1"/>
  <c r="X1991" i="1"/>
  <c r="Z1991" i="1" s="1"/>
  <c r="W1991" i="1"/>
  <c r="S1991" i="1"/>
  <c r="Q1991" i="1"/>
  <c r="N1991" i="1"/>
  <c r="L1991" i="1"/>
  <c r="K1991" i="1"/>
  <c r="AB1991" i="1"/>
  <c r="I1991" i="1"/>
  <c r="X1990" i="1"/>
  <c r="Z1990" i="1" s="1"/>
  <c r="W1990" i="1"/>
  <c r="S1990" i="1"/>
  <c r="Q1990" i="1"/>
  <c r="N1990" i="1"/>
  <c r="L1990" i="1"/>
  <c r="K1990" i="1"/>
  <c r="AB1990" i="1"/>
  <c r="I1990" i="1"/>
  <c r="X1989" i="1"/>
  <c r="Z1989" i="1" s="1"/>
  <c r="W1989" i="1"/>
  <c r="S1989" i="1"/>
  <c r="Q1989" i="1"/>
  <c r="N1989" i="1"/>
  <c r="L1989" i="1"/>
  <c r="K1989" i="1"/>
  <c r="AB1989" i="1"/>
  <c r="I1989" i="1"/>
  <c r="X1988" i="1"/>
  <c r="Z1988" i="1" s="1"/>
  <c r="W1988" i="1"/>
  <c r="S1988" i="1"/>
  <c r="Q1988" i="1"/>
  <c r="N1988" i="1"/>
  <c r="L1988" i="1"/>
  <c r="K1988" i="1"/>
  <c r="AB1988" i="1"/>
  <c r="I1988" i="1"/>
  <c r="X1987" i="1"/>
  <c r="Z1987" i="1" s="1"/>
  <c r="W1987" i="1"/>
  <c r="S1987" i="1"/>
  <c r="Q1987" i="1"/>
  <c r="N1987" i="1"/>
  <c r="L1987" i="1"/>
  <c r="K1987" i="1"/>
  <c r="AB1987" i="1"/>
  <c r="I1987" i="1"/>
  <c r="X1986" i="1"/>
  <c r="Z1986" i="1" s="1"/>
  <c r="W1986" i="1"/>
  <c r="S1986" i="1"/>
  <c r="Q1986" i="1"/>
  <c r="N1986" i="1"/>
  <c r="L1986" i="1"/>
  <c r="K1986" i="1"/>
  <c r="AB1986" i="1"/>
  <c r="I1986" i="1"/>
  <c r="X1985" i="1"/>
  <c r="Z1985" i="1" s="1"/>
  <c r="W1985" i="1"/>
  <c r="S1985" i="1"/>
  <c r="Q1985" i="1"/>
  <c r="N1985" i="1"/>
  <c r="L1985" i="1"/>
  <c r="K1985" i="1"/>
  <c r="AB1985" i="1"/>
  <c r="I1985" i="1"/>
  <c r="X1984" i="1"/>
  <c r="Z1984" i="1" s="1"/>
  <c r="W1984" i="1"/>
  <c r="S1984" i="1"/>
  <c r="Q1984" i="1"/>
  <c r="N1984" i="1"/>
  <c r="L1984" i="1"/>
  <c r="K1984" i="1"/>
  <c r="AB1984" i="1"/>
  <c r="I1984" i="1"/>
  <c r="X1983" i="1"/>
  <c r="Z1983" i="1" s="1"/>
  <c r="W1983" i="1"/>
  <c r="S1983" i="1"/>
  <c r="Q1983" i="1"/>
  <c r="N1983" i="1"/>
  <c r="L1983" i="1"/>
  <c r="K1983" i="1"/>
  <c r="AB1983" i="1"/>
  <c r="I1983" i="1"/>
  <c r="X1982" i="1"/>
  <c r="Z1982" i="1" s="1"/>
  <c r="W1982" i="1"/>
  <c r="S1982" i="1"/>
  <c r="Q1982" i="1"/>
  <c r="N1982" i="1"/>
  <c r="L1982" i="1"/>
  <c r="K1982" i="1"/>
  <c r="AB1982" i="1"/>
  <c r="I1982" i="1"/>
  <c r="X1981" i="1"/>
  <c r="Z1981" i="1" s="1"/>
  <c r="W1981" i="1"/>
  <c r="S1981" i="1"/>
  <c r="Q1981" i="1"/>
  <c r="N1981" i="1"/>
  <c r="L1981" i="1"/>
  <c r="K1981" i="1"/>
  <c r="AB1981" i="1"/>
  <c r="I1981" i="1"/>
  <c r="X1980" i="1"/>
  <c r="Z1980" i="1" s="1"/>
  <c r="W1980" i="1"/>
  <c r="S1980" i="1"/>
  <c r="Q1980" i="1"/>
  <c r="N1980" i="1"/>
  <c r="L1980" i="1"/>
  <c r="K1980" i="1"/>
  <c r="AB1980" i="1"/>
  <c r="I1980" i="1"/>
  <c r="X1979" i="1"/>
  <c r="Z1979" i="1" s="1"/>
  <c r="W1979" i="1"/>
  <c r="S1979" i="1"/>
  <c r="Q1979" i="1"/>
  <c r="N1979" i="1"/>
  <c r="L1979" i="1"/>
  <c r="K1979" i="1"/>
  <c r="AB1979" i="1"/>
  <c r="I1979" i="1"/>
  <c r="X1978" i="1"/>
  <c r="Z1978" i="1" s="1"/>
  <c r="W1978" i="1"/>
  <c r="S1978" i="1"/>
  <c r="Q1978" i="1"/>
  <c r="N1978" i="1"/>
  <c r="L1978" i="1"/>
  <c r="K1978" i="1"/>
  <c r="AB1978" i="1"/>
  <c r="I1978" i="1"/>
  <c r="X1977" i="1"/>
  <c r="Z1977" i="1" s="1"/>
  <c r="W1977" i="1"/>
  <c r="S1977" i="1"/>
  <c r="Q1977" i="1"/>
  <c r="N1977" i="1"/>
  <c r="L1977" i="1"/>
  <c r="K1977" i="1"/>
  <c r="AB1977" i="1"/>
  <c r="I1977" i="1"/>
  <c r="X1976" i="1"/>
  <c r="Z1976" i="1" s="1"/>
  <c r="W1976" i="1"/>
  <c r="S1976" i="1"/>
  <c r="Q1976" i="1"/>
  <c r="N1976" i="1"/>
  <c r="L1976" i="1"/>
  <c r="K1976" i="1"/>
  <c r="AB1976" i="1"/>
  <c r="I1976" i="1"/>
  <c r="X1975" i="1"/>
  <c r="Z1975" i="1" s="1"/>
  <c r="W1975" i="1"/>
  <c r="S1975" i="1"/>
  <c r="Q1975" i="1"/>
  <c r="N1975" i="1"/>
  <c r="L1975" i="1"/>
  <c r="K1975" i="1"/>
  <c r="AB1975" i="1"/>
  <c r="I1975" i="1"/>
  <c r="X1974" i="1"/>
  <c r="Z1974" i="1" s="1"/>
  <c r="W1974" i="1"/>
  <c r="S1974" i="1"/>
  <c r="Q1974" i="1"/>
  <c r="N1974" i="1"/>
  <c r="L1974" i="1"/>
  <c r="K1974" i="1"/>
  <c r="AB1974" i="1"/>
  <c r="I1974" i="1"/>
  <c r="X1973" i="1"/>
  <c r="Z1973" i="1" s="1"/>
  <c r="W1973" i="1"/>
  <c r="S1973" i="1"/>
  <c r="Q1973" i="1"/>
  <c r="N1973" i="1"/>
  <c r="L1973" i="1"/>
  <c r="K1973" i="1"/>
  <c r="AB1973" i="1"/>
  <c r="I1973" i="1"/>
  <c r="X1972" i="1"/>
  <c r="Z1972" i="1" s="1"/>
  <c r="W1972" i="1"/>
  <c r="S1972" i="1"/>
  <c r="Q1972" i="1"/>
  <c r="N1972" i="1"/>
  <c r="L1972" i="1"/>
  <c r="K1972" i="1"/>
  <c r="AB1972" i="1"/>
  <c r="I1972" i="1"/>
  <c r="X1971" i="1"/>
  <c r="Z1971" i="1" s="1"/>
  <c r="W1971" i="1"/>
  <c r="S1971" i="1"/>
  <c r="Q1971" i="1"/>
  <c r="N1971" i="1"/>
  <c r="L1971" i="1"/>
  <c r="K1971" i="1"/>
  <c r="AB1971" i="1"/>
  <c r="I1971" i="1"/>
  <c r="X1970" i="1"/>
  <c r="Z1970" i="1" s="1"/>
  <c r="W1970" i="1"/>
  <c r="S1970" i="1"/>
  <c r="Q1970" i="1"/>
  <c r="N1970" i="1"/>
  <c r="L1970" i="1"/>
  <c r="K1970" i="1"/>
  <c r="AB1970" i="1"/>
  <c r="I1970" i="1"/>
  <c r="X1969" i="1"/>
  <c r="Z1969" i="1" s="1"/>
  <c r="W1969" i="1"/>
  <c r="S1969" i="1"/>
  <c r="Q1969" i="1"/>
  <c r="N1969" i="1"/>
  <c r="L1969" i="1"/>
  <c r="K1969" i="1"/>
  <c r="AB1969" i="1"/>
  <c r="I1969" i="1"/>
  <c r="X1968" i="1"/>
  <c r="Z1968" i="1" s="1"/>
  <c r="W1968" i="1"/>
  <c r="S1968" i="1"/>
  <c r="Q1968" i="1"/>
  <c r="N1968" i="1"/>
  <c r="L1968" i="1"/>
  <c r="K1968" i="1"/>
  <c r="AB1968" i="1"/>
  <c r="I1968" i="1"/>
  <c r="X1967" i="1"/>
  <c r="Z1967" i="1" s="1"/>
  <c r="W1967" i="1"/>
  <c r="S1967" i="1"/>
  <c r="Q1967" i="1"/>
  <c r="N1967" i="1"/>
  <c r="L1967" i="1"/>
  <c r="K1967" i="1"/>
  <c r="AB1967" i="1"/>
  <c r="I1967" i="1"/>
  <c r="X1966" i="1"/>
  <c r="Z1966" i="1" s="1"/>
  <c r="W1966" i="1"/>
  <c r="S1966" i="1"/>
  <c r="Q1966" i="1"/>
  <c r="N1966" i="1"/>
  <c r="L1966" i="1"/>
  <c r="K1966" i="1"/>
  <c r="AB1966" i="1"/>
  <c r="I1966" i="1"/>
  <c r="X1965" i="1"/>
  <c r="Z1965" i="1" s="1"/>
  <c r="W1965" i="1"/>
  <c r="S1965" i="1"/>
  <c r="Q1965" i="1"/>
  <c r="N1965" i="1"/>
  <c r="L1965" i="1"/>
  <c r="K1965" i="1"/>
  <c r="AB1965" i="1"/>
  <c r="I1965" i="1"/>
  <c r="X1964" i="1"/>
  <c r="Z1964" i="1" s="1"/>
  <c r="W1964" i="1"/>
  <c r="S1964" i="1"/>
  <c r="Q1964" i="1"/>
  <c r="N1964" i="1"/>
  <c r="L1964" i="1"/>
  <c r="K1964" i="1"/>
  <c r="AB1964" i="1"/>
  <c r="I1964" i="1"/>
  <c r="X1963" i="1"/>
  <c r="Z1963" i="1" s="1"/>
  <c r="W1963" i="1"/>
  <c r="S1963" i="1"/>
  <c r="Q1963" i="1"/>
  <c r="N1963" i="1"/>
  <c r="L1963" i="1"/>
  <c r="K1963" i="1"/>
  <c r="AB1963" i="1"/>
  <c r="I1963" i="1"/>
  <c r="X1962" i="1"/>
  <c r="Z1962" i="1" s="1"/>
  <c r="W1962" i="1"/>
  <c r="S1962" i="1"/>
  <c r="Q1962" i="1"/>
  <c r="N1962" i="1"/>
  <c r="L1962" i="1"/>
  <c r="K1962" i="1"/>
  <c r="AB1962" i="1"/>
  <c r="I1962" i="1"/>
  <c r="X1961" i="1"/>
  <c r="Z1961" i="1" s="1"/>
  <c r="W1961" i="1"/>
  <c r="S1961" i="1"/>
  <c r="Q1961" i="1"/>
  <c r="N1961" i="1"/>
  <c r="L1961" i="1"/>
  <c r="K1961" i="1"/>
  <c r="AB1961" i="1"/>
  <c r="I1961" i="1"/>
  <c r="X1960" i="1"/>
  <c r="Z1960" i="1" s="1"/>
  <c r="W1960" i="1"/>
  <c r="S1960" i="1"/>
  <c r="Q1960" i="1"/>
  <c r="N1960" i="1"/>
  <c r="L1960" i="1"/>
  <c r="K1960" i="1"/>
  <c r="AB1960" i="1"/>
  <c r="I1960" i="1"/>
  <c r="X1959" i="1"/>
  <c r="Z1959" i="1" s="1"/>
  <c r="W1959" i="1"/>
  <c r="S1959" i="1"/>
  <c r="Q1959" i="1"/>
  <c r="N1959" i="1"/>
  <c r="L1959" i="1"/>
  <c r="K1959" i="1"/>
  <c r="AB1959" i="1"/>
  <c r="I1959" i="1"/>
  <c r="X1958" i="1"/>
  <c r="Z1958" i="1" s="1"/>
  <c r="W1958" i="1"/>
  <c r="S1958" i="1"/>
  <c r="Q1958" i="1"/>
  <c r="N1958" i="1"/>
  <c r="L1958" i="1"/>
  <c r="K1958" i="1"/>
  <c r="AB1958" i="1"/>
  <c r="I1958" i="1"/>
  <c r="X1957" i="1"/>
  <c r="Z1957" i="1" s="1"/>
  <c r="W1957" i="1"/>
  <c r="S1957" i="1"/>
  <c r="Q1957" i="1"/>
  <c r="N1957" i="1"/>
  <c r="L1957" i="1"/>
  <c r="K1957" i="1"/>
  <c r="AB1957" i="1"/>
  <c r="I1957" i="1"/>
  <c r="X1956" i="1"/>
  <c r="Z1956" i="1" s="1"/>
  <c r="W1956" i="1"/>
  <c r="S1956" i="1"/>
  <c r="Q1956" i="1"/>
  <c r="N1956" i="1"/>
  <c r="L1956" i="1"/>
  <c r="K1956" i="1"/>
  <c r="AB1956" i="1"/>
  <c r="I1956" i="1"/>
  <c r="X1955" i="1"/>
  <c r="Z1955" i="1" s="1"/>
  <c r="W1955" i="1"/>
  <c r="S1955" i="1"/>
  <c r="Q1955" i="1"/>
  <c r="N1955" i="1"/>
  <c r="L1955" i="1"/>
  <c r="K1955" i="1"/>
  <c r="AB1955" i="1"/>
  <c r="I1955" i="1"/>
  <c r="X1954" i="1"/>
  <c r="Z1954" i="1" s="1"/>
  <c r="W1954" i="1"/>
  <c r="S1954" i="1"/>
  <c r="Q1954" i="1"/>
  <c r="N1954" i="1"/>
  <c r="L1954" i="1"/>
  <c r="K1954" i="1"/>
  <c r="AB1954" i="1"/>
  <c r="I1954" i="1"/>
  <c r="X1953" i="1"/>
  <c r="Z1953" i="1" s="1"/>
  <c r="W1953" i="1"/>
  <c r="S1953" i="1"/>
  <c r="Q1953" i="1"/>
  <c r="N1953" i="1"/>
  <c r="L1953" i="1"/>
  <c r="K1953" i="1"/>
  <c r="AB1953" i="1"/>
  <c r="I1953" i="1"/>
  <c r="X1952" i="1"/>
  <c r="Z1952" i="1" s="1"/>
  <c r="W1952" i="1"/>
  <c r="S1952" i="1"/>
  <c r="Q1952" i="1"/>
  <c r="N1952" i="1"/>
  <c r="L1952" i="1"/>
  <c r="K1952" i="1"/>
  <c r="AB1952" i="1"/>
  <c r="I1952" i="1"/>
  <c r="X1951" i="1"/>
  <c r="Z1951" i="1" s="1"/>
  <c r="W1951" i="1"/>
  <c r="S1951" i="1"/>
  <c r="Q1951" i="1"/>
  <c r="N1951" i="1"/>
  <c r="L1951" i="1"/>
  <c r="K1951" i="1"/>
  <c r="AB1951" i="1"/>
  <c r="I1951" i="1"/>
  <c r="X1950" i="1"/>
  <c r="Z1950" i="1" s="1"/>
  <c r="W1950" i="1"/>
  <c r="S1950" i="1"/>
  <c r="Q1950" i="1"/>
  <c r="N1950" i="1"/>
  <c r="L1950" i="1"/>
  <c r="K1950" i="1"/>
  <c r="AB1950" i="1"/>
  <c r="I1950" i="1"/>
  <c r="X1949" i="1"/>
  <c r="Z1949" i="1" s="1"/>
  <c r="W1949" i="1"/>
  <c r="S1949" i="1"/>
  <c r="Q1949" i="1"/>
  <c r="N1949" i="1"/>
  <c r="L1949" i="1"/>
  <c r="K1949" i="1"/>
  <c r="AB1949" i="1"/>
  <c r="I1949" i="1"/>
  <c r="X1948" i="1"/>
  <c r="Z1948" i="1" s="1"/>
  <c r="W1948" i="1"/>
  <c r="S1948" i="1"/>
  <c r="Q1948" i="1"/>
  <c r="N1948" i="1"/>
  <c r="L1948" i="1"/>
  <c r="K1948" i="1"/>
  <c r="AB1948" i="1"/>
  <c r="I1948" i="1"/>
  <c r="X1947" i="1"/>
  <c r="Z1947" i="1" s="1"/>
  <c r="W1947" i="1"/>
  <c r="S1947" i="1"/>
  <c r="Q1947" i="1"/>
  <c r="N1947" i="1"/>
  <c r="L1947" i="1"/>
  <c r="K1947" i="1"/>
  <c r="AB1947" i="1"/>
  <c r="I1947" i="1"/>
  <c r="X1946" i="1"/>
  <c r="Z1946" i="1" s="1"/>
  <c r="W1946" i="1"/>
  <c r="S1946" i="1"/>
  <c r="Q1946" i="1"/>
  <c r="N1946" i="1"/>
  <c r="L1946" i="1"/>
  <c r="K1946" i="1"/>
  <c r="AB1946" i="1"/>
  <c r="I1946" i="1"/>
  <c r="X1945" i="1"/>
  <c r="Z1945" i="1" s="1"/>
  <c r="W1945" i="1"/>
  <c r="S1945" i="1"/>
  <c r="Q1945" i="1"/>
  <c r="N1945" i="1"/>
  <c r="L1945" i="1"/>
  <c r="K1945" i="1"/>
  <c r="AB1945" i="1"/>
  <c r="I1945" i="1"/>
  <c r="X1944" i="1"/>
  <c r="Z1944" i="1" s="1"/>
  <c r="W1944" i="1"/>
  <c r="S1944" i="1"/>
  <c r="Q1944" i="1"/>
  <c r="N1944" i="1"/>
  <c r="L1944" i="1"/>
  <c r="K1944" i="1"/>
  <c r="AB1944" i="1"/>
  <c r="I1944" i="1"/>
  <c r="X1943" i="1"/>
  <c r="Z1943" i="1" s="1"/>
  <c r="W1943" i="1"/>
  <c r="S1943" i="1"/>
  <c r="Q1943" i="1"/>
  <c r="N1943" i="1"/>
  <c r="L1943" i="1"/>
  <c r="K1943" i="1"/>
  <c r="AB1943" i="1"/>
  <c r="I1943" i="1"/>
  <c r="X1942" i="1"/>
  <c r="Z1942" i="1" s="1"/>
  <c r="W1942" i="1"/>
  <c r="S1942" i="1"/>
  <c r="Q1942" i="1"/>
  <c r="N1942" i="1"/>
  <c r="L1942" i="1"/>
  <c r="K1942" i="1"/>
  <c r="AB1942" i="1"/>
  <c r="I1942" i="1"/>
  <c r="X1941" i="1"/>
  <c r="Z1941" i="1" s="1"/>
  <c r="W1941" i="1"/>
  <c r="S1941" i="1"/>
  <c r="Q1941" i="1"/>
  <c r="N1941" i="1"/>
  <c r="L1941" i="1"/>
  <c r="K1941" i="1"/>
  <c r="AB1941" i="1"/>
  <c r="I1941" i="1"/>
  <c r="X1940" i="1"/>
  <c r="Z1940" i="1" s="1"/>
  <c r="W1940" i="1"/>
  <c r="S1940" i="1"/>
  <c r="Q1940" i="1"/>
  <c r="N1940" i="1"/>
  <c r="L1940" i="1"/>
  <c r="K1940" i="1"/>
  <c r="AB1940" i="1"/>
  <c r="I1940" i="1"/>
  <c r="X1939" i="1"/>
  <c r="Z1939" i="1" s="1"/>
  <c r="W1939" i="1"/>
  <c r="S1939" i="1"/>
  <c r="Q1939" i="1"/>
  <c r="N1939" i="1"/>
  <c r="L1939" i="1"/>
  <c r="K1939" i="1"/>
  <c r="AB1939" i="1"/>
  <c r="I1939" i="1"/>
  <c r="X1938" i="1"/>
  <c r="Z1938" i="1" s="1"/>
  <c r="W1938" i="1"/>
  <c r="S1938" i="1"/>
  <c r="Q1938" i="1"/>
  <c r="N1938" i="1"/>
  <c r="L1938" i="1"/>
  <c r="K1938" i="1"/>
  <c r="AB1938" i="1"/>
  <c r="I1938" i="1"/>
  <c r="X1937" i="1"/>
  <c r="Z1937" i="1" s="1"/>
  <c r="W1937" i="1"/>
  <c r="S1937" i="1"/>
  <c r="Q1937" i="1"/>
  <c r="N1937" i="1"/>
  <c r="L1937" i="1"/>
  <c r="K1937" i="1"/>
  <c r="AB1937" i="1"/>
  <c r="I1937" i="1"/>
  <c r="X1936" i="1"/>
  <c r="Z1936" i="1" s="1"/>
  <c r="W1936" i="1"/>
  <c r="S1936" i="1"/>
  <c r="Q1936" i="1"/>
  <c r="N1936" i="1"/>
  <c r="L1936" i="1"/>
  <c r="K1936" i="1"/>
  <c r="AB1936" i="1"/>
  <c r="I1936" i="1"/>
  <c r="X1935" i="1"/>
  <c r="Z1935" i="1" s="1"/>
  <c r="W1935" i="1"/>
  <c r="S1935" i="1"/>
  <c r="Q1935" i="1"/>
  <c r="N1935" i="1"/>
  <c r="L1935" i="1"/>
  <c r="K1935" i="1"/>
  <c r="AB1935" i="1"/>
  <c r="I1935" i="1"/>
  <c r="X1934" i="1"/>
  <c r="Z1934" i="1" s="1"/>
  <c r="W1934" i="1"/>
  <c r="S1934" i="1"/>
  <c r="Q1934" i="1"/>
  <c r="N1934" i="1"/>
  <c r="L1934" i="1"/>
  <c r="K1934" i="1"/>
  <c r="AB1934" i="1"/>
  <c r="I1934" i="1"/>
  <c r="X1933" i="1"/>
  <c r="Z1933" i="1" s="1"/>
  <c r="W1933" i="1"/>
  <c r="S1933" i="1"/>
  <c r="Q1933" i="1"/>
  <c r="N1933" i="1"/>
  <c r="L1933" i="1"/>
  <c r="K1933" i="1"/>
  <c r="AB1933" i="1"/>
  <c r="I1933" i="1"/>
  <c r="X1932" i="1"/>
  <c r="Z1932" i="1" s="1"/>
  <c r="W1932" i="1"/>
  <c r="S1932" i="1"/>
  <c r="Q1932" i="1"/>
  <c r="N1932" i="1"/>
  <c r="L1932" i="1"/>
  <c r="K1932" i="1"/>
  <c r="AB1932" i="1"/>
  <c r="I1932" i="1"/>
  <c r="X1931" i="1"/>
  <c r="Z1931" i="1" s="1"/>
  <c r="W1931" i="1"/>
  <c r="S1931" i="1"/>
  <c r="Q1931" i="1"/>
  <c r="N1931" i="1"/>
  <c r="L1931" i="1"/>
  <c r="K1931" i="1"/>
  <c r="AB1931" i="1"/>
  <c r="I1931" i="1"/>
  <c r="X1930" i="1"/>
  <c r="Z1930" i="1" s="1"/>
  <c r="W1930" i="1"/>
  <c r="S1930" i="1"/>
  <c r="Q1930" i="1"/>
  <c r="N1930" i="1"/>
  <c r="L1930" i="1"/>
  <c r="K1930" i="1"/>
  <c r="AB1930" i="1"/>
  <c r="I1930" i="1"/>
  <c r="X1929" i="1"/>
  <c r="Z1929" i="1" s="1"/>
  <c r="W1929" i="1"/>
  <c r="S1929" i="1"/>
  <c r="Q1929" i="1"/>
  <c r="N1929" i="1"/>
  <c r="L1929" i="1"/>
  <c r="K1929" i="1"/>
  <c r="AB1929" i="1"/>
  <c r="I1929" i="1"/>
  <c r="X1928" i="1"/>
  <c r="Z1928" i="1" s="1"/>
  <c r="W1928" i="1"/>
  <c r="S1928" i="1"/>
  <c r="Q1928" i="1"/>
  <c r="N1928" i="1"/>
  <c r="L1928" i="1"/>
  <c r="K1928" i="1"/>
  <c r="AB1928" i="1"/>
  <c r="I1928" i="1"/>
  <c r="X1927" i="1"/>
  <c r="Z1927" i="1" s="1"/>
  <c r="W1927" i="1"/>
  <c r="S1927" i="1"/>
  <c r="Q1927" i="1"/>
  <c r="N1927" i="1"/>
  <c r="L1927" i="1"/>
  <c r="K1927" i="1"/>
  <c r="AB1927" i="1"/>
  <c r="I1927" i="1"/>
  <c r="X1926" i="1"/>
  <c r="Z1926" i="1" s="1"/>
  <c r="W1926" i="1"/>
  <c r="S1926" i="1"/>
  <c r="Q1926" i="1"/>
  <c r="N1926" i="1"/>
  <c r="L1926" i="1"/>
  <c r="K1926" i="1"/>
  <c r="AB1926" i="1"/>
  <c r="I1926" i="1"/>
  <c r="X1925" i="1"/>
  <c r="Z1925" i="1" s="1"/>
  <c r="W1925" i="1"/>
  <c r="S1925" i="1"/>
  <c r="Q1925" i="1"/>
  <c r="N1925" i="1"/>
  <c r="L1925" i="1"/>
  <c r="K1925" i="1"/>
  <c r="AB1925" i="1"/>
  <c r="I1925" i="1"/>
  <c r="X1924" i="1"/>
  <c r="Z1924" i="1" s="1"/>
  <c r="W1924" i="1"/>
  <c r="S1924" i="1"/>
  <c r="Q1924" i="1"/>
  <c r="N1924" i="1"/>
  <c r="L1924" i="1"/>
  <c r="K1924" i="1"/>
  <c r="AB1924" i="1"/>
  <c r="I1924" i="1"/>
  <c r="X1923" i="1"/>
  <c r="Z1923" i="1" s="1"/>
  <c r="W1923" i="1"/>
  <c r="S1923" i="1"/>
  <c r="Q1923" i="1"/>
  <c r="N1923" i="1"/>
  <c r="L1923" i="1"/>
  <c r="K1923" i="1"/>
  <c r="AB1923" i="1"/>
  <c r="I1923" i="1"/>
  <c r="X1922" i="1"/>
  <c r="Z1922" i="1" s="1"/>
  <c r="W1922" i="1"/>
  <c r="S1922" i="1"/>
  <c r="Q1922" i="1"/>
  <c r="N1922" i="1"/>
  <c r="L1922" i="1"/>
  <c r="K1922" i="1"/>
  <c r="AB1922" i="1"/>
  <c r="I1922" i="1"/>
  <c r="X1921" i="1"/>
  <c r="Z1921" i="1" s="1"/>
  <c r="W1921" i="1"/>
  <c r="S1921" i="1"/>
  <c r="Q1921" i="1"/>
  <c r="N1921" i="1"/>
  <c r="L1921" i="1"/>
  <c r="K1921" i="1"/>
  <c r="AB1921" i="1"/>
  <c r="I1921" i="1"/>
  <c r="X1920" i="1"/>
  <c r="Z1920" i="1" s="1"/>
  <c r="W1920" i="1"/>
  <c r="S1920" i="1"/>
  <c r="Q1920" i="1"/>
  <c r="N1920" i="1"/>
  <c r="L1920" i="1"/>
  <c r="K1920" i="1"/>
  <c r="AB1920" i="1"/>
  <c r="I1920" i="1"/>
  <c r="X1919" i="1"/>
  <c r="Z1919" i="1" s="1"/>
  <c r="W1919" i="1"/>
  <c r="S1919" i="1"/>
  <c r="Q1919" i="1"/>
  <c r="N1919" i="1"/>
  <c r="L1919" i="1"/>
  <c r="K1919" i="1"/>
  <c r="AB1919" i="1"/>
  <c r="I1919" i="1"/>
  <c r="X1918" i="1"/>
  <c r="Z1918" i="1" s="1"/>
  <c r="W1918" i="1"/>
  <c r="S1918" i="1"/>
  <c r="Q1918" i="1"/>
  <c r="N1918" i="1"/>
  <c r="L1918" i="1"/>
  <c r="K1918" i="1"/>
  <c r="AB1918" i="1"/>
  <c r="I1918" i="1"/>
  <c r="X1917" i="1"/>
  <c r="Z1917" i="1" s="1"/>
  <c r="W1917" i="1"/>
  <c r="S1917" i="1"/>
  <c r="Q1917" i="1"/>
  <c r="N1917" i="1"/>
  <c r="L1917" i="1"/>
  <c r="K1917" i="1"/>
  <c r="AB1917" i="1"/>
  <c r="I1917" i="1"/>
  <c r="X1916" i="1"/>
  <c r="Z1916" i="1" s="1"/>
  <c r="W1916" i="1"/>
  <c r="S1916" i="1"/>
  <c r="Q1916" i="1"/>
  <c r="N1916" i="1"/>
  <c r="L1916" i="1"/>
  <c r="K1916" i="1"/>
  <c r="AB1916" i="1"/>
  <c r="I1916" i="1"/>
  <c r="X1915" i="1"/>
  <c r="Z1915" i="1" s="1"/>
  <c r="W1915" i="1"/>
  <c r="S1915" i="1"/>
  <c r="Q1915" i="1"/>
  <c r="N1915" i="1"/>
  <c r="L1915" i="1"/>
  <c r="K1915" i="1"/>
  <c r="AB1915" i="1"/>
  <c r="I1915" i="1"/>
  <c r="X1914" i="1"/>
  <c r="Z1914" i="1" s="1"/>
  <c r="W1914" i="1"/>
  <c r="S1914" i="1"/>
  <c r="Q1914" i="1"/>
  <c r="N1914" i="1"/>
  <c r="L1914" i="1"/>
  <c r="K1914" i="1"/>
  <c r="AB1914" i="1"/>
  <c r="I1914" i="1"/>
  <c r="X1913" i="1"/>
  <c r="Z1913" i="1" s="1"/>
  <c r="W1913" i="1"/>
  <c r="S1913" i="1"/>
  <c r="Q1913" i="1"/>
  <c r="N1913" i="1"/>
  <c r="L1913" i="1"/>
  <c r="K1913" i="1"/>
  <c r="AB1913" i="1"/>
  <c r="I1913" i="1"/>
  <c r="X1912" i="1"/>
  <c r="Z1912" i="1" s="1"/>
  <c r="W1912" i="1"/>
  <c r="S1912" i="1"/>
  <c r="Q1912" i="1"/>
  <c r="N1912" i="1"/>
  <c r="L1912" i="1"/>
  <c r="K1912" i="1"/>
  <c r="AB1912" i="1"/>
  <c r="I1912" i="1"/>
  <c r="X1911" i="1"/>
  <c r="Z1911" i="1" s="1"/>
  <c r="W1911" i="1"/>
  <c r="S1911" i="1"/>
  <c r="Q1911" i="1"/>
  <c r="N1911" i="1"/>
  <c r="L1911" i="1"/>
  <c r="K1911" i="1"/>
  <c r="AB1911" i="1"/>
  <c r="I1911" i="1"/>
  <c r="X1910" i="1"/>
  <c r="Z1910" i="1" s="1"/>
  <c r="W1910" i="1"/>
  <c r="S1910" i="1"/>
  <c r="Q1910" i="1"/>
  <c r="N1910" i="1"/>
  <c r="L1910" i="1"/>
  <c r="K1910" i="1"/>
  <c r="AB1910" i="1"/>
  <c r="I1910" i="1"/>
  <c r="X1909" i="1"/>
  <c r="Z1909" i="1" s="1"/>
  <c r="W1909" i="1"/>
  <c r="S1909" i="1"/>
  <c r="Q1909" i="1"/>
  <c r="N1909" i="1"/>
  <c r="L1909" i="1"/>
  <c r="K1909" i="1"/>
  <c r="AB1909" i="1"/>
  <c r="I1909" i="1"/>
  <c r="X1908" i="1"/>
  <c r="Z1908" i="1" s="1"/>
  <c r="W1908" i="1"/>
  <c r="S1908" i="1"/>
  <c r="Q1908" i="1"/>
  <c r="N1908" i="1"/>
  <c r="L1908" i="1"/>
  <c r="K1908" i="1"/>
  <c r="AB1908" i="1"/>
  <c r="I1908" i="1"/>
  <c r="X1907" i="1"/>
  <c r="Z1907" i="1" s="1"/>
  <c r="W1907" i="1"/>
  <c r="S1907" i="1"/>
  <c r="Q1907" i="1"/>
  <c r="N1907" i="1"/>
  <c r="L1907" i="1"/>
  <c r="K1907" i="1"/>
  <c r="AB1907" i="1"/>
  <c r="I1907" i="1"/>
  <c r="X1906" i="1"/>
  <c r="Z1906" i="1" s="1"/>
  <c r="W1906" i="1"/>
  <c r="S1906" i="1"/>
  <c r="Q1906" i="1"/>
  <c r="N1906" i="1"/>
  <c r="L1906" i="1"/>
  <c r="K1906" i="1"/>
  <c r="AB1906" i="1"/>
  <c r="I1906" i="1"/>
  <c r="X1905" i="1"/>
  <c r="Z1905" i="1" s="1"/>
  <c r="W1905" i="1"/>
  <c r="S1905" i="1"/>
  <c r="Q1905" i="1"/>
  <c r="N1905" i="1"/>
  <c r="L1905" i="1"/>
  <c r="K1905" i="1"/>
  <c r="AB1905" i="1"/>
  <c r="I1905" i="1"/>
  <c r="X1904" i="1"/>
  <c r="Z1904" i="1" s="1"/>
  <c r="W1904" i="1"/>
  <c r="S1904" i="1"/>
  <c r="Q1904" i="1"/>
  <c r="N1904" i="1"/>
  <c r="L1904" i="1"/>
  <c r="K1904" i="1"/>
  <c r="AB1904" i="1"/>
  <c r="I1904" i="1"/>
  <c r="X1903" i="1"/>
  <c r="Z1903" i="1" s="1"/>
  <c r="W1903" i="1"/>
  <c r="S1903" i="1"/>
  <c r="Q1903" i="1"/>
  <c r="N1903" i="1"/>
  <c r="L1903" i="1"/>
  <c r="K1903" i="1"/>
  <c r="AB1903" i="1"/>
  <c r="I1903" i="1"/>
  <c r="X1902" i="1"/>
  <c r="Z1902" i="1" s="1"/>
  <c r="W1902" i="1"/>
  <c r="S1902" i="1"/>
  <c r="Q1902" i="1"/>
  <c r="N1902" i="1"/>
  <c r="L1902" i="1"/>
  <c r="K1902" i="1"/>
  <c r="AB1902" i="1"/>
  <c r="I1902" i="1"/>
  <c r="X1901" i="1"/>
  <c r="Z1901" i="1" s="1"/>
  <c r="W1901" i="1"/>
  <c r="S1901" i="1"/>
  <c r="Q1901" i="1"/>
  <c r="N1901" i="1"/>
  <c r="L1901" i="1"/>
  <c r="K1901" i="1"/>
  <c r="AB1901" i="1"/>
  <c r="I1901" i="1"/>
  <c r="X1900" i="1"/>
  <c r="Z1900" i="1" s="1"/>
  <c r="W1900" i="1"/>
  <c r="S1900" i="1"/>
  <c r="Q1900" i="1"/>
  <c r="N1900" i="1"/>
  <c r="L1900" i="1"/>
  <c r="K1900" i="1"/>
  <c r="AB1900" i="1"/>
  <c r="I1900" i="1"/>
  <c r="X1899" i="1"/>
  <c r="Z1899" i="1" s="1"/>
  <c r="W1899" i="1"/>
  <c r="S1899" i="1"/>
  <c r="Q1899" i="1"/>
  <c r="N1899" i="1"/>
  <c r="L1899" i="1"/>
  <c r="K1899" i="1"/>
  <c r="AB1899" i="1"/>
  <c r="I1899" i="1"/>
  <c r="X1898" i="1"/>
  <c r="Z1898" i="1" s="1"/>
  <c r="W1898" i="1"/>
  <c r="S1898" i="1"/>
  <c r="Q1898" i="1"/>
  <c r="N1898" i="1"/>
  <c r="L1898" i="1"/>
  <c r="K1898" i="1"/>
  <c r="AB1898" i="1"/>
  <c r="I1898" i="1"/>
  <c r="X1897" i="1"/>
  <c r="Z1897" i="1" s="1"/>
  <c r="W1897" i="1"/>
  <c r="S1897" i="1"/>
  <c r="Q1897" i="1"/>
  <c r="N1897" i="1"/>
  <c r="L1897" i="1"/>
  <c r="K1897" i="1"/>
  <c r="AB1897" i="1"/>
  <c r="I1897" i="1"/>
  <c r="X1896" i="1"/>
  <c r="Z1896" i="1" s="1"/>
  <c r="W1896" i="1"/>
  <c r="S1896" i="1"/>
  <c r="Q1896" i="1"/>
  <c r="N1896" i="1"/>
  <c r="L1896" i="1"/>
  <c r="K1896" i="1"/>
  <c r="AB1896" i="1"/>
  <c r="I1896" i="1"/>
  <c r="X1895" i="1"/>
  <c r="Z1895" i="1" s="1"/>
  <c r="W1895" i="1"/>
  <c r="S1895" i="1"/>
  <c r="Q1895" i="1"/>
  <c r="N1895" i="1"/>
  <c r="L1895" i="1"/>
  <c r="K1895" i="1"/>
  <c r="AB1895" i="1"/>
  <c r="I1895" i="1"/>
  <c r="X1894" i="1"/>
  <c r="Z1894" i="1" s="1"/>
  <c r="W1894" i="1"/>
  <c r="S1894" i="1"/>
  <c r="Q1894" i="1"/>
  <c r="N1894" i="1"/>
  <c r="L1894" i="1"/>
  <c r="K1894" i="1"/>
  <c r="AB1894" i="1"/>
  <c r="I1894" i="1"/>
  <c r="X1893" i="1"/>
  <c r="Z1893" i="1" s="1"/>
  <c r="W1893" i="1"/>
  <c r="S1893" i="1"/>
  <c r="Q1893" i="1"/>
  <c r="N1893" i="1"/>
  <c r="L1893" i="1"/>
  <c r="K1893" i="1"/>
  <c r="AB1893" i="1"/>
  <c r="I1893" i="1"/>
  <c r="X1892" i="1"/>
  <c r="Z1892" i="1" s="1"/>
  <c r="W1892" i="1"/>
  <c r="S1892" i="1"/>
  <c r="Q1892" i="1"/>
  <c r="N1892" i="1"/>
  <c r="L1892" i="1"/>
  <c r="K1892" i="1"/>
  <c r="AB1892" i="1"/>
  <c r="I1892" i="1"/>
  <c r="X1891" i="1"/>
  <c r="Z1891" i="1" s="1"/>
  <c r="W1891" i="1"/>
  <c r="S1891" i="1"/>
  <c r="Q1891" i="1"/>
  <c r="N1891" i="1"/>
  <c r="L1891" i="1"/>
  <c r="K1891" i="1"/>
  <c r="AB1891" i="1"/>
  <c r="I1891" i="1"/>
  <c r="X1890" i="1"/>
  <c r="Z1890" i="1" s="1"/>
  <c r="W1890" i="1"/>
  <c r="S1890" i="1"/>
  <c r="Q1890" i="1"/>
  <c r="N1890" i="1"/>
  <c r="L1890" i="1"/>
  <c r="K1890" i="1"/>
  <c r="AB1890" i="1"/>
  <c r="I1890" i="1"/>
  <c r="X1889" i="1"/>
  <c r="Z1889" i="1" s="1"/>
  <c r="W1889" i="1"/>
  <c r="S1889" i="1"/>
  <c r="Q1889" i="1"/>
  <c r="N1889" i="1"/>
  <c r="L1889" i="1"/>
  <c r="K1889" i="1"/>
  <c r="AB1889" i="1"/>
  <c r="I1889" i="1"/>
  <c r="X1888" i="1"/>
  <c r="Z1888" i="1" s="1"/>
  <c r="W1888" i="1"/>
  <c r="S1888" i="1"/>
  <c r="Q1888" i="1"/>
  <c r="N1888" i="1"/>
  <c r="L1888" i="1"/>
  <c r="K1888" i="1"/>
  <c r="AB1888" i="1"/>
  <c r="I1888" i="1"/>
  <c r="X1887" i="1"/>
  <c r="Z1887" i="1" s="1"/>
  <c r="W1887" i="1"/>
  <c r="S1887" i="1"/>
  <c r="Q1887" i="1"/>
  <c r="N1887" i="1"/>
  <c r="L1887" i="1"/>
  <c r="K1887" i="1"/>
  <c r="AB1887" i="1"/>
  <c r="I1887" i="1"/>
  <c r="X1886" i="1"/>
  <c r="Z1886" i="1" s="1"/>
  <c r="W1886" i="1"/>
  <c r="S1886" i="1"/>
  <c r="Q1886" i="1"/>
  <c r="N1886" i="1"/>
  <c r="L1886" i="1"/>
  <c r="K1886" i="1"/>
  <c r="AB1886" i="1"/>
  <c r="I1886" i="1"/>
  <c r="X1885" i="1"/>
  <c r="Z1885" i="1" s="1"/>
  <c r="W1885" i="1"/>
  <c r="S1885" i="1"/>
  <c r="Q1885" i="1"/>
  <c r="N1885" i="1"/>
  <c r="L1885" i="1"/>
  <c r="K1885" i="1"/>
  <c r="AB1885" i="1"/>
  <c r="I1885" i="1"/>
  <c r="X1884" i="1"/>
  <c r="Z1884" i="1" s="1"/>
  <c r="W1884" i="1"/>
  <c r="S1884" i="1"/>
  <c r="Q1884" i="1"/>
  <c r="N1884" i="1"/>
  <c r="L1884" i="1"/>
  <c r="K1884" i="1"/>
  <c r="AB1884" i="1"/>
  <c r="I1884" i="1"/>
  <c r="X1883" i="1"/>
  <c r="Z1883" i="1" s="1"/>
  <c r="W1883" i="1"/>
  <c r="S1883" i="1"/>
  <c r="Q1883" i="1"/>
  <c r="N1883" i="1"/>
  <c r="L1883" i="1"/>
  <c r="K1883" i="1"/>
  <c r="AB1883" i="1"/>
  <c r="I1883" i="1"/>
  <c r="X1882" i="1"/>
  <c r="Z1882" i="1" s="1"/>
  <c r="W1882" i="1"/>
  <c r="S1882" i="1"/>
  <c r="Q1882" i="1"/>
  <c r="N1882" i="1"/>
  <c r="L1882" i="1"/>
  <c r="K1882" i="1"/>
  <c r="AB1882" i="1"/>
  <c r="I1882" i="1"/>
  <c r="X1881" i="1"/>
  <c r="Z1881" i="1" s="1"/>
  <c r="W1881" i="1"/>
  <c r="S1881" i="1"/>
  <c r="Q1881" i="1"/>
  <c r="N1881" i="1"/>
  <c r="L1881" i="1"/>
  <c r="K1881" i="1"/>
  <c r="AB1881" i="1"/>
  <c r="I1881" i="1"/>
  <c r="X1880" i="1"/>
  <c r="Z1880" i="1" s="1"/>
  <c r="W1880" i="1"/>
  <c r="S1880" i="1"/>
  <c r="Q1880" i="1"/>
  <c r="N1880" i="1"/>
  <c r="L1880" i="1"/>
  <c r="K1880" i="1"/>
  <c r="AB1880" i="1"/>
  <c r="I1880" i="1"/>
  <c r="X1879" i="1"/>
  <c r="Z1879" i="1" s="1"/>
  <c r="W1879" i="1"/>
  <c r="S1879" i="1"/>
  <c r="Q1879" i="1"/>
  <c r="N1879" i="1"/>
  <c r="L1879" i="1"/>
  <c r="K1879" i="1"/>
  <c r="AB1879" i="1"/>
  <c r="I1879" i="1"/>
  <c r="X1878" i="1"/>
  <c r="Z1878" i="1" s="1"/>
  <c r="W1878" i="1"/>
  <c r="S1878" i="1"/>
  <c r="Q1878" i="1"/>
  <c r="N1878" i="1"/>
  <c r="L1878" i="1"/>
  <c r="K1878" i="1"/>
  <c r="AB1878" i="1"/>
  <c r="I1878" i="1"/>
  <c r="X1877" i="1"/>
  <c r="Z1877" i="1" s="1"/>
  <c r="W1877" i="1"/>
  <c r="S1877" i="1"/>
  <c r="Q1877" i="1"/>
  <c r="N1877" i="1"/>
  <c r="L1877" i="1"/>
  <c r="K1877" i="1"/>
  <c r="AB1877" i="1"/>
  <c r="I1877" i="1"/>
  <c r="X1876" i="1"/>
  <c r="Z1876" i="1" s="1"/>
  <c r="W1876" i="1"/>
  <c r="S1876" i="1"/>
  <c r="Q1876" i="1"/>
  <c r="N1876" i="1"/>
  <c r="L1876" i="1"/>
  <c r="K1876" i="1"/>
  <c r="AB1876" i="1"/>
  <c r="I1876" i="1"/>
  <c r="X1875" i="1"/>
  <c r="Z1875" i="1" s="1"/>
  <c r="W1875" i="1"/>
  <c r="S1875" i="1"/>
  <c r="Q1875" i="1"/>
  <c r="N1875" i="1"/>
  <c r="L1875" i="1"/>
  <c r="K1875" i="1"/>
  <c r="AB1875" i="1"/>
  <c r="I1875" i="1"/>
  <c r="X1874" i="1"/>
  <c r="Z1874" i="1" s="1"/>
  <c r="W1874" i="1"/>
  <c r="S1874" i="1"/>
  <c r="Q1874" i="1"/>
  <c r="N1874" i="1"/>
  <c r="L1874" i="1"/>
  <c r="K1874" i="1"/>
  <c r="AB1874" i="1"/>
  <c r="I1874" i="1"/>
  <c r="X1873" i="1"/>
  <c r="Z1873" i="1" s="1"/>
  <c r="W1873" i="1"/>
  <c r="S1873" i="1"/>
  <c r="Q1873" i="1"/>
  <c r="N1873" i="1"/>
  <c r="L1873" i="1"/>
  <c r="K1873" i="1"/>
  <c r="AB1873" i="1"/>
  <c r="I1873" i="1"/>
  <c r="X1872" i="1"/>
  <c r="Z1872" i="1" s="1"/>
  <c r="W1872" i="1"/>
  <c r="S1872" i="1"/>
  <c r="Q1872" i="1"/>
  <c r="N1872" i="1"/>
  <c r="L1872" i="1"/>
  <c r="K1872" i="1"/>
  <c r="AB1872" i="1"/>
  <c r="I1872" i="1"/>
  <c r="X1871" i="1"/>
  <c r="Z1871" i="1" s="1"/>
  <c r="W1871" i="1"/>
  <c r="S1871" i="1"/>
  <c r="Q1871" i="1"/>
  <c r="N1871" i="1"/>
  <c r="L1871" i="1"/>
  <c r="K1871" i="1"/>
  <c r="AB1871" i="1"/>
  <c r="I1871" i="1"/>
  <c r="X1870" i="1"/>
  <c r="Z1870" i="1" s="1"/>
  <c r="W1870" i="1"/>
  <c r="S1870" i="1"/>
  <c r="Q1870" i="1"/>
  <c r="N1870" i="1"/>
  <c r="L1870" i="1"/>
  <c r="K1870" i="1"/>
  <c r="AB1870" i="1"/>
  <c r="I1870" i="1"/>
  <c r="X1869" i="1"/>
  <c r="Z1869" i="1" s="1"/>
  <c r="W1869" i="1"/>
  <c r="S1869" i="1"/>
  <c r="Q1869" i="1"/>
  <c r="N1869" i="1"/>
  <c r="L1869" i="1"/>
  <c r="K1869" i="1"/>
  <c r="AB1869" i="1"/>
  <c r="I1869" i="1"/>
  <c r="X1868" i="1"/>
  <c r="Z1868" i="1" s="1"/>
  <c r="W1868" i="1"/>
  <c r="S1868" i="1"/>
  <c r="Q1868" i="1"/>
  <c r="N1868" i="1"/>
  <c r="L1868" i="1"/>
  <c r="K1868" i="1"/>
  <c r="AB1868" i="1"/>
  <c r="I1868" i="1"/>
  <c r="X1867" i="1"/>
  <c r="Z1867" i="1" s="1"/>
  <c r="W1867" i="1"/>
  <c r="S1867" i="1"/>
  <c r="Q1867" i="1"/>
  <c r="N1867" i="1"/>
  <c r="L1867" i="1"/>
  <c r="K1867" i="1"/>
  <c r="AB1867" i="1"/>
  <c r="I1867" i="1"/>
  <c r="X1866" i="1"/>
  <c r="Z1866" i="1" s="1"/>
  <c r="W1866" i="1"/>
  <c r="S1866" i="1"/>
  <c r="Q1866" i="1"/>
  <c r="N1866" i="1"/>
  <c r="L1866" i="1"/>
  <c r="K1866" i="1"/>
  <c r="AB1866" i="1"/>
  <c r="I1866" i="1"/>
  <c r="X1865" i="1"/>
  <c r="Z1865" i="1" s="1"/>
  <c r="W1865" i="1"/>
  <c r="S1865" i="1"/>
  <c r="Q1865" i="1"/>
  <c r="N1865" i="1"/>
  <c r="L1865" i="1"/>
  <c r="K1865" i="1"/>
  <c r="AB1865" i="1"/>
  <c r="I1865" i="1"/>
  <c r="X1864" i="1"/>
  <c r="Z1864" i="1" s="1"/>
  <c r="W1864" i="1"/>
  <c r="S1864" i="1"/>
  <c r="Q1864" i="1"/>
  <c r="N1864" i="1"/>
  <c r="L1864" i="1"/>
  <c r="K1864" i="1"/>
  <c r="AB1864" i="1"/>
  <c r="I1864" i="1"/>
  <c r="X1863" i="1"/>
  <c r="Z1863" i="1" s="1"/>
  <c r="W1863" i="1"/>
  <c r="S1863" i="1"/>
  <c r="Q1863" i="1"/>
  <c r="N1863" i="1"/>
  <c r="L1863" i="1"/>
  <c r="K1863" i="1"/>
  <c r="AB1863" i="1"/>
  <c r="I1863" i="1"/>
  <c r="X1862" i="1"/>
  <c r="Z1862" i="1" s="1"/>
  <c r="W1862" i="1"/>
  <c r="S1862" i="1"/>
  <c r="Q1862" i="1"/>
  <c r="N1862" i="1"/>
  <c r="L1862" i="1"/>
  <c r="K1862" i="1"/>
  <c r="AB1862" i="1"/>
  <c r="I1862" i="1"/>
  <c r="X1861" i="1"/>
  <c r="Z1861" i="1" s="1"/>
  <c r="W1861" i="1"/>
  <c r="S1861" i="1"/>
  <c r="Q1861" i="1"/>
  <c r="N1861" i="1"/>
  <c r="L1861" i="1"/>
  <c r="K1861" i="1"/>
  <c r="AB1861" i="1"/>
  <c r="I1861" i="1"/>
  <c r="X1860" i="1"/>
  <c r="Z1860" i="1" s="1"/>
  <c r="W1860" i="1"/>
  <c r="S1860" i="1"/>
  <c r="Q1860" i="1"/>
  <c r="N1860" i="1"/>
  <c r="L1860" i="1"/>
  <c r="K1860" i="1"/>
  <c r="AB1860" i="1"/>
  <c r="I1860" i="1"/>
  <c r="X1859" i="1"/>
  <c r="Z1859" i="1" s="1"/>
  <c r="W1859" i="1"/>
  <c r="S1859" i="1"/>
  <c r="Q1859" i="1"/>
  <c r="N1859" i="1"/>
  <c r="L1859" i="1"/>
  <c r="K1859" i="1"/>
  <c r="AB1859" i="1"/>
  <c r="I1859" i="1"/>
  <c r="X1858" i="1"/>
  <c r="Z1858" i="1" s="1"/>
  <c r="W1858" i="1"/>
  <c r="S1858" i="1"/>
  <c r="Q1858" i="1"/>
  <c r="N1858" i="1"/>
  <c r="L1858" i="1"/>
  <c r="K1858" i="1"/>
  <c r="AB1858" i="1"/>
  <c r="I1858" i="1"/>
  <c r="X1857" i="1"/>
  <c r="Z1857" i="1" s="1"/>
  <c r="W1857" i="1"/>
  <c r="S1857" i="1"/>
  <c r="Q1857" i="1"/>
  <c r="N1857" i="1"/>
  <c r="L1857" i="1"/>
  <c r="K1857" i="1"/>
  <c r="AB1857" i="1"/>
  <c r="I1857" i="1"/>
  <c r="X1856" i="1"/>
  <c r="Z1856" i="1" s="1"/>
  <c r="W1856" i="1"/>
  <c r="S1856" i="1"/>
  <c r="Q1856" i="1"/>
  <c r="N1856" i="1"/>
  <c r="L1856" i="1"/>
  <c r="K1856" i="1"/>
  <c r="AB1856" i="1"/>
  <c r="I1856" i="1"/>
  <c r="X1855" i="1"/>
  <c r="Z1855" i="1" s="1"/>
  <c r="W1855" i="1"/>
  <c r="S1855" i="1"/>
  <c r="Q1855" i="1"/>
  <c r="N1855" i="1"/>
  <c r="L1855" i="1"/>
  <c r="K1855" i="1"/>
  <c r="AB1855" i="1"/>
  <c r="I1855" i="1"/>
  <c r="X1854" i="1"/>
  <c r="Z1854" i="1" s="1"/>
  <c r="W1854" i="1"/>
  <c r="S1854" i="1"/>
  <c r="Q1854" i="1"/>
  <c r="N1854" i="1"/>
  <c r="L1854" i="1"/>
  <c r="K1854" i="1"/>
  <c r="AB1854" i="1"/>
  <c r="I1854" i="1"/>
  <c r="X1853" i="1"/>
  <c r="Z1853" i="1" s="1"/>
  <c r="W1853" i="1"/>
  <c r="S1853" i="1"/>
  <c r="Q1853" i="1"/>
  <c r="N1853" i="1"/>
  <c r="L1853" i="1"/>
  <c r="K1853" i="1"/>
  <c r="AB1853" i="1"/>
  <c r="I1853" i="1"/>
  <c r="X1852" i="1"/>
  <c r="Z1852" i="1" s="1"/>
  <c r="W1852" i="1"/>
  <c r="S1852" i="1"/>
  <c r="Q1852" i="1"/>
  <c r="N1852" i="1"/>
  <c r="L1852" i="1"/>
  <c r="K1852" i="1"/>
  <c r="AB1852" i="1"/>
  <c r="I1852" i="1"/>
  <c r="X1851" i="1"/>
  <c r="Z1851" i="1" s="1"/>
  <c r="W1851" i="1"/>
  <c r="S1851" i="1"/>
  <c r="Q1851" i="1"/>
  <c r="N1851" i="1"/>
  <c r="L1851" i="1"/>
  <c r="K1851" i="1"/>
  <c r="AB1851" i="1"/>
  <c r="I1851" i="1"/>
  <c r="X1850" i="1"/>
  <c r="Z1850" i="1" s="1"/>
  <c r="W1850" i="1"/>
  <c r="S1850" i="1"/>
  <c r="Q1850" i="1"/>
  <c r="N1850" i="1"/>
  <c r="L1850" i="1"/>
  <c r="K1850" i="1"/>
  <c r="AB1850" i="1"/>
  <c r="I1850" i="1"/>
  <c r="X1849" i="1"/>
  <c r="Z1849" i="1" s="1"/>
  <c r="W1849" i="1"/>
  <c r="S1849" i="1"/>
  <c r="Q1849" i="1"/>
  <c r="N1849" i="1"/>
  <c r="L1849" i="1"/>
  <c r="K1849" i="1"/>
  <c r="AB1849" i="1"/>
  <c r="I1849" i="1"/>
  <c r="X1848" i="1"/>
  <c r="Z1848" i="1" s="1"/>
  <c r="W1848" i="1"/>
  <c r="S1848" i="1"/>
  <c r="Q1848" i="1"/>
  <c r="N1848" i="1"/>
  <c r="L1848" i="1"/>
  <c r="K1848" i="1"/>
  <c r="AB1848" i="1"/>
  <c r="I1848" i="1"/>
  <c r="X1847" i="1"/>
  <c r="Z1847" i="1" s="1"/>
  <c r="W1847" i="1"/>
  <c r="S1847" i="1"/>
  <c r="Q1847" i="1"/>
  <c r="N1847" i="1"/>
  <c r="L1847" i="1"/>
  <c r="K1847" i="1"/>
  <c r="AB1847" i="1"/>
  <c r="I1847" i="1"/>
  <c r="X1846" i="1"/>
  <c r="Z1846" i="1" s="1"/>
  <c r="W1846" i="1"/>
  <c r="S1846" i="1"/>
  <c r="Q1846" i="1"/>
  <c r="N1846" i="1"/>
  <c r="L1846" i="1"/>
  <c r="K1846" i="1"/>
  <c r="AB1846" i="1"/>
  <c r="I1846" i="1"/>
  <c r="X1845" i="1"/>
  <c r="Z1845" i="1" s="1"/>
  <c r="W1845" i="1"/>
  <c r="S1845" i="1"/>
  <c r="Q1845" i="1"/>
  <c r="N1845" i="1"/>
  <c r="L1845" i="1"/>
  <c r="K1845" i="1"/>
  <c r="AB1845" i="1"/>
  <c r="I1845" i="1"/>
  <c r="X1844" i="1"/>
  <c r="Z1844" i="1" s="1"/>
  <c r="W1844" i="1"/>
  <c r="S1844" i="1"/>
  <c r="Q1844" i="1"/>
  <c r="N1844" i="1"/>
  <c r="L1844" i="1"/>
  <c r="K1844" i="1"/>
  <c r="AB1844" i="1"/>
  <c r="I1844" i="1"/>
  <c r="X1843" i="1"/>
  <c r="Z1843" i="1" s="1"/>
  <c r="W1843" i="1"/>
  <c r="S1843" i="1"/>
  <c r="Q1843" i="1"/>
  <c r="N1843" i="1"/>
  <c r="L1843" i="1"/>
  <c r="K1843" i="1"/>
  <c r="AB1843" i="1"/>
  <c r="I1843" i="1"/>
  <c r="X1842" i="1"/>
  <c r="Z1842" i="1" s="1"/>
  <c r="W1842" i="1"/>
  <c r="S1842" i="1"/>
  <c r="Q1842" i="1"/>
  <c r="N1842" i="1"/>
  <c r="L1842" i="1"/>
  <c r="K1842" i="1"/>
  <c r="AB1842" i="1"/>
  <c r="I1842" i="1"/>
  <c r="X1841" i="1"/>
  <c r="Z1841" i="1" s="1"/>
  <c r="W1841" i="1"/>
  <c r="S1841" i="1"/>
  <c r="Q1841" i="1"/>
  <c r="N1841" i="1"/>
  <c r="L1841" i="1"/>
  <c r="K1841" i="1"/>
  <c r="AB1841" i="1"/>
  <c r="I1841" i="1"/>
  <c r="X1840" i="1"/>
  <c r="Z1840" i="1" s="1"/>
  <c r="W1840" i="1"/>
  <c r="S1840" i="1"/>
  <c r="Q1840" i="1"/>
  <c r="N1840" i="1"/>
  <c r="L1840" i="1"/>
  <c r="K1840" i="1"/>
  <c r="AB1840" i="1"/>
  <c r="I1840" i="1"/>
  <c r="X1839" i="1"/>
  <c r="Z1839" i="1" s="1"/>
  <c r="W1839" i="1"/>
  <c r="S1839" i="1"/>
  <c r="Q1839" i="1"/>
  <c r="N1839" i="1"/>
  <c r="L1839" i="1"/>
  <c r="K1839" i="1"/>
  <c r="AB1839" i="1"/>
  <c r="I1839" i="1"/>
  <c r="X1838" i="1"/>
  <c r="Z1838" i="1" s="1"/>
  <c r="W1838" i="1"/>
  <c r="S1838" i="1"/>
  <c r="Q1838" i="1"/>
  <c r="N1838" i="1"/>
  <c r="L1838" i="1"/>
  <c r="K1838" i="1"/>
  <c r="AB1838" i="1"/>
  <c r="I1838" i="1"/>
  <c r="X1837" i="1"/>
  <c r="Z1837" i="1" s="1"/>
  <c r="W1837" i="1"/>
  <c r="S1837" i="1"/>
  <c r="Q1837" i="1"/>
  <c r="N1837" i="1"/>
  <c r="L1837" i="1"/>
  <c r="K1837" i="1"/>
  <c r="AB1837" i="1"/>
  <c r="I1837" i="1"/>
  <c r="X1836" i="1"/>
  <c r="Z1836" i="1" s="1"/>
  <c r="W1836" i="1"/>
  <c r="S1836" i="1"/>
  <c r="Q1836" i="1"/>
  <c r="N1836" i="1"/>
  <c r="L1836" i="1"/>
  <c r="K1836" i="1"/>
  <c r="AB1836" i="1"/>
  <c r="I1836" i="1"/>
  <c r="X1835" i="1"/>
  <c r="Z1835" i="1" s="1"/>
  <c r="W1835" i="1"/>
  <c r="S1835" i="1"/>
  <c r="Q1835" i="1"/>
  <c r="N1835" i="1"/>
  <c r="L1835" i="1"/>
  <c r="K1835" i="1"/>
  <c r="AB1835" i="1"/>
  <c r="I1835" i="1"/>
  <c r="X1834" i="1"/>
  <c r="Z1834" i="1" s="1"/>
  <c r="W1834" i="1"/>
  <c r="S1834" i="1"/>
  <c r="Q1834" i="1"/>
  <c r="N1834" i="1"/>
  <c r="L1834" i="1"/>
  <c r="K1834" i="1"/>
  <c r="AB1834" i="1"/>
  <c r="I1834" i="1"/>
  <c r="X1833" i="1"/>
  <c r="Z1833" i="1" s="1"/>
  <c r="W1833" i="1"/>
  <c r="S1833" i="1"/>
  <c r="Q1833" i="1"/>
  <c r="N1833" i="1"/>
  <c r="L1833" i="1"/>
  <c r="K1833" i="1"/>
  <c r="AB1833" i="1"/>
  <c r="I1833" i="1"/>
  <c r="X1832" i="1"/>
  <c r="Z1832" i="1" s="1"/>
  <c r="W1832" i="1"/>
  <c r="S1832" i="1"/>
  <c r="Q1832" i="1"/>
  <c r="N1832" i="1"/>
  <c r="L1832" i="1"/>
  <c r="K1832" i="1"/>
  <c r="AB1832" i="1"/>
  <c r="I1832" i="1"/>
  <c r="X1831" i="1"/>
  <c r="Z1831" i="1" s="1"/>
  <c r="W1831" i="1"/>
  <c r="S1831" i="1"/>
  <c r="Q1831" i="1"/>
  <c r="N1831" i="1"/>
  <c r="L1831" i="1"/>
  <c r="K1831" i="1"/>
  <c r="AB1831" i="1"/>
  <c r="I1831" i="1"/>
  <c r="X1830" i="1"/>
  <c r="Z1830" i="1" s="1"/>
  <c r="W1830" i="1"/>
  <c r="S1830" i="1"/>
  <c r="Q1830" i="1"/>
  <c r="N1830" i="1"/>
  <c r="L1830" i="1"/>
  <c r="K1830" i="1"/>
  <c r="AB1830" i="1"/>
  <c r="I1830" i="1"/>
  <c r="X1829" i="1"/>
  <c r="Z1829" i="1" s="1"/>
  <c r="W1829" i="1"/>
  <c r="S1829" i="1"/>
  <c r="Q1829" i="1"/>
  <c r="N1829" i="1"/>
  <c r="L1829" i="1"/>
  <c r="K1829" i="1"/>
  <c r="AB1829" i="1"/>
  <c r="I1829" i="1"/>
  <c r="X1828" i="1"/>
  <c r="Z1828" i="1" s="1"/>
  <c r="W1828" i="1"/>
  <c r="S1828" i="1"/>
  <c r="Q1828" i="1"/>
  <c r="N1828" i="1"/>
  <c r="L1828" i="1"/>
  <c r="K1828" i="1"/>
  <c r="AB1828" i="1"/>
  <c r="I1828" i="1"/>
  <c r="X1827" i="1"/>
  <c r="Z1827" i="1" s="1"/>
  <c r="W1827" i="1"/>
  <c r="S1827" i="1"/>
  <c r="Q1827" i="1"/>
  <c r="N1827" i="1"/>
  <c r="L1827" i="1"/>
  <c r="K1827" i="1"/>
  <c r="AB1827" i="1"/>
  <c r="I1827" i="1"/>
  <c r="X1826" i="1"/>
  <c r="Z1826" i="1" s="1"/>
  <c r="W1826" i="1"/>
  <c r="S1826" i="1"/>
  <c r="Q1826" i="1"/>
  <c r="N1826" i="1"/>
  <c r="L1826" i="1"/>
  <c r="K1826" i="1"/>
  <c r="AB1826" i="1"/>
  <c r="I1826" i="1"/>
  <c r="X1825" i="1"/>
  <c r="Z1825" i="1" s="1"/>
  <c r="W1825" i="1"/>
  <c r="S1825" i="1"/>
  <c r="Q1825" i="1"/>
  <c r="N1825" i="1"/>
  <c r="L1825" i="1"/>
  <c r="K1825" i="1"/>
  <c r="AB1825" i="1"/>
  <c r="I1825" i="1"/>
  <c r="X1824" i="1"/>
  <c r="Z1824" i="1" s="1"/>
  <c r="W1824" i="1"/>
  <c r="S1824" i="1"/>
  <c r="Q1824" i="1"/>
  <c r="N1824" i="1"/>
  <c r="L1824" i="1"/>
  <c r="K1824" i="1"/>
  <c r="AB1824" i="1"/>
  <c r="I1824" i="1"/>
  <c r="X1823" i="1"/>
  <c r="Z1823" i="1" s="1"/>
  <c r="W1823" i="1"/>
  <c r="S1823" i="1"/>
  <c r="Q1823" i="1"/>
  <c r="N1823" i="1"/>
  <c r="L1823" i="1"/>
  <c r="K1823" i="1"/>
  <c r="AB1823" i="1"/>
  <c r="I1823" i="1"/>
  <c r="X1822" i="1"/>
  <c r="Z1822" i="1" s="1"/>
  <c r="W1822" i="1"/>
  <c r="S1822" i="1"/>
  <c r="Q1822" i="1"/>
  <c r="N1822" i="1"/>
  <c r="L1822" i="1"/>
  <c r="K1822" i="1"/>
  <c r="AB1822" i="1"/>
  <c r="I1822" i="1"/>
  <c r="X1821" i="1"/>
  <c r="Z1821" i="1" s="1"/>
  <c r="W1821" i="1"/>
  <c r="S1821" i="1"/>
  <c r="Q1821" i="1"/>
  <c r="N1821" i="1"/>
  <c r="L1821" i="1"/>
  <c r="K1821" i="1"/>
  <c r="AB1821" i="1"/>
  <c r="I1821" i="1"/>
  <c r="X1820" i="1"/>
  <c r="Z1820" i="1" s="1"/>
  <c r="W1820" i="1"/>
  <c r="S1820" i="1"/>
  <c r="Q1820" i="1"/>
  <c r="N1820" i="1"/>
  <c r="L1820" i="1"/>
  <c r="K1820" i="1"/>
  <c r="AB1820" i="1"/>
  <c r="I1820" i="1"/>
  <c r="X1819" i="1"/>
  <c r="Z1819" i="1" s="1"/>
  <c r="W1819" i="1"/>
  <c r="S1819" i="1"/>
  <c r="Q1819" i="1"/>
  <c r="N1819" i="1"/>
  <c r="L1819" i="1"/>
  <c r="K1819" i="1"/>
  <c r="AB1819" i="1"/>
  <c r="I1819" i="1"/>
  <c r="X1818" i="1"/>
  <c r="Z1818" i="1" s="1"/>
  <c r="W1818" i="1"/>
  <c r="S1818" i="1"/>
  <c r="Q1818" i="1"/>
  <c r="N1818" i="1"/>
  <c r="L1818" i="1"/>
  <c r="K1818" i="1"/>
  <c r="AB1818" i="1"/>
  <c r="I1818" i="1"/>
  <c r="X1817" i="1"/>
  <c r="Z1817" i="1" s="1"/>
  <c r="W1817" i="1"/>
  <c r="S1817" i="1"/>
  <c r="Q1817" i="1"/>
  <c r="N1817" i="1"/>
  <c r="L1817" i="1"/>
  <c r="K1817" i="1"/>
  <c r="AB1817" i="1"/>
  <c r="I1817" i="1"/>
  <c r="X1816" i="1"/>
  <c r="Z1816" i="1" s="1"/>
  <c r="W1816" i="1"/>
  <c r="S1816" i="1"/>
  <c r="Q1816" i="1"/>
  <c r="N1816" i="1"/>
  <c r="L1816" i="1"/>
  <c r="K1816" i="1"/>
  <c r="AB1816" i="1"/>
  <c r="I1816" i="1"/>
  <c r="X1815" i="1"/>
  <c r="Z1815" i="1" s="1"/>
  <c r="W1815" i="1"/>
  <c r="S1815" i="1"/>
  <c r="Q1815" i="1"/>
  <c r="N1815" i="1"/>
  <c r="L1815" i="1"/>
  <c r="K1815" i="1"/>
  <c r="AB1815" i="1"/>
  <c r="I1815" i="1"/>
  <c r="X1814" i="1"/>
  <c r="Z1814" i="1" s="1"/>
  <c r="W1814" i="1"/>
  <c r="S1814" i="1"/>
  <c r="Q1814" i="1"/>
  <c r="N1814" i="1"/>
  <c r="L1814" i="1"/>
  <c r="K1814" i="1"/>
  <c r="AB1814" i="1"/>
  <c r="I1814" i="1"/>
  <c r="X1813" i="1"/>
  <c r="Z1813" i="1" s="1"/>
  <c r="W1813" i="1"/>
  <c r="S1813" i="1"/>
  <c r="Q1813" i="1"/>
  <c r="N1813" i="1"/>
  <c r="L1813" i="1"/>
  <c r="K1813" i="1"/>
  <c r="AB1813" i="1"/>
  <c r="I1813" i="1"/>
  <c r="X1812" i="1"/>
  <c r="Z1812" i="1" s="1"/>
  <c r="W1812" i="1"/>
  <c r="S1812" i="1"/>
  <c r="Q1812" i="1"/>
  <c r="N1812" i="1"/>
  <c r="L1812" i="1"/>
  <c r="K1812" i="1"/>
  <c r="AB1812" i="1"/>
  <c r="I1812" i="1"/>
  <c r="X1811" i="1"/>
  <c r="Z1811" i="1" s="1"/>
  <c r="W1811" i="1"/>
  <c r="S1811" i="1"/>
  <c r="Q1811" i="1"/>
  <c r="N1811" i="1"/>
  <c r="L1811" i="1"/>
  <c r="K1811" i="1"/>
  <c r="AB1811" i="1"/>
  <c r="I1811" i="1"/>
  <c r="X1810" i="1"/>
  <c r="Z1810" i="1" s="1"/>
  <c r="W1810" i="1"/>
  <c r="S1810" i="1"/>
  <c r="Q1810" i="1"/>
  <c r="N1810" i="1"/>
  <c r="L1810" i="1"/>
  <c r="K1810" i="1"/>
  <c r="AB1810" i="1"/>
  <c r="I1810" i="1"/>
  <c r="X1809" i="1"/>
  <c r="Z1809" i="1" s="1"/>
  <c r="W1809" i="1"/>
  <c r="S1809" i="1"/>
  <c r="Q1809" i="1"/>
  <c r="N1809" i="1"/>
  <c r="L1809" i="1"/>
  <c r="K1809" i="1"/>
  <c r="AB1809" i="1"/>
  <c r="I1809" i="1"/>
  <c r="X1808" i="1"/>
  <c r="Z1808" i="1" s="1"/>
  <c r="W1808" i="1"/>
  <c r="S1808" i="1"/>
  <c r="Q1808" i="1"/>
  <c r="N1808" i="1"/>
  <c r="L1808" i="1"/>
  <c r="K1808" i="1"/>
  <c r="AB1808" i="1"/>
  <c r="I1808" i="1"/>
  <c r="X1807" i="1"/>
  <c r="Z1807" i="1" s="1"/>
  <c r="W1807" i="1"/>
  <c r="S1807" i="1"/>
  <c r="Q1807" i="1"/>
  <c r="N1807" i="1"/>
  <c r="L1807" i="1"/>
  <c r="K1807" i="1"/>
  <c r="AB1807" i="1"/>
  <c r="I1807" i="1"/>
  <c r="X1806" i="1"/>
  <c r="Z1806" i="1" s="1"/>
  <c r="W1806" i="1"/>
  <c r="S1806" i="1"/>
  <c r="Q1806" i="1"/>
  <c r="N1806" i="1"/>
  <c r="L1806" i="1"/>
  <c r="K1806" i="1"/>
  <c r="AB1806" i="1"/>
  <c r="I1806" i="1"/>
  <c r="X1805" i="1"/>
  <c r="Z1805" i="1" s="1"/>
  <c r="W1805" i="1"/>
  <c r="S1805" i="1"/>
  <c r="Q1805" i="1"/>
  <c r="N1805" i="1"/>
  <c r="L1805" i="1"/>
  <c r="K1805" i="1"/>
  <c r="AB1805" i="1"/>
  <c r="I1805" i="1"/>
  <c r="X1804" i="1"/>
  <c r="Z1804" i="1" s="1"/>
  <c r="W1804" i="1"/>
  <c r="S1804" i="1"/>
  <c r="Q1804" i="1"/>
  <c r="N1804" i="1"/>
  <c r="L1804" i="1"/>
  <c r="K1804" i="1"/>
  <c r="AB1804" i="1"/>
  <c r="I1804" i="1"/>
  <c r="X1803" i="1"/>
  <c r="Z1803" i="1" s="1"/>
  <c r="W1803" i="1"/>
  <c r="S1803" i="1"/>
  <c r="Q1803" i="1"/>
  <c r="N1803" i="1"/>
  <c r="L1803" i="1"/>
  <c r="K1803" i="1"/>
  <c r="AB1803" i="1"/>
  <c r="I1803" i="1"/>
  <c r="X1802" i="1"/>
  <c r="Z1802" i="1" s="1"/>
  <c r="W1802" i="1"/>
  <c r="S1802" i="1"/>
  <c r="Q1802" i="1"/>
  <c r="N1802" i="1"/>
  <c r="L1802" i="1"/>
  <c r="K1802" i="1"/>
  <c r="AB1802" i="1"/>
  <c r="I1802" i="1"/>
  <c r="X1801" i="1"/>
  <c r="Z1801" i="1" s="1"/>
  <c r="W1801" i="1"/>
  <c r="S1801" i="1"/>
  <c r="Q1801" i="1"/>
  <c r="N1801" i="1"/>
  <c r="L1801" i="1"/>
  <c r="K1801" i="1"/>
  <c r="AB1801" i="1"/>
  <c r="I1801" i="1"/>
  <c r="X1800" i="1"/>
  <c r="Z1800" i="1" s="1"/>
  <c r="W1800" i="1"/>
  <c r="S1800" i="1"/>
  <c r="Q1800" i="1"/>
  <c r="N1800" i="1"/>
  <c r="L1800" i="1"/>
  <c r="K1800" i="1"/>
  <c r="AB1800" i="1"/>
  <c r="I1800" i="1"/>
  <c r="X1799" i="1"/>
  <c r="Z1799" i="1" s="1"/>
  <c r="W1799" i="1"/>
  <c r="S1799" i="1"/>
  <c r="Q1799" i="1"/>
  <c r="N1799" i="1"/>
  <c r="L1799" i="1"/>
  <c r="K1799" i="1"/>
  <c r="AB1799" i="1"/>
  <c r="I1799" i="1"/>
  <c r="X1798" i="1"/>
  <c r="Z1798" i="1" s="1"/>
  <c r="W1798" i="1"/>
  <c r="S1798" i="1"/>
  <c r="Q1798" i="1"/>
  <c r="N1798" i="1"/>
  <c r="L1798" i="1"/>
  <c r="K1798" i="1"/>
  <c r="AB1798" i="1"/>
  <c r="I1798" i="1"/>
  <c r="X1797" i="1"/>
  <c r="Z1797" i="1" s="1"/>
  <c r="W1797" i="1"/>
  <c r="S1797" i="1"/>
  <c r="Q1797" i="1"/>
  <c r="N1797" i="1"/>
  <c r="L1797" i="1"/>
  <c r="K1797" i="1"/>
  <c r="AB1797" i="1"/>
  <c r="I1797" i="1"/>
  <c r="X1796" i="1"/>
  <c r="Z1796" i="1" s="1"/>
  <c r="W1796" i="1"/>
  <c r="S1796" i="1"/>
  <c r="Q1796" i="1"/>
  <c r="N1796" i="1"/>
  <c r="L1796" i="1"/>
  <c r="K1796" i="1"/>
  <c r="AB1796" i="1"/>
  <c r="I1796" i="1"/>
  <c r="X1795" i="1"/>
  <c r="Z1795" i="1" s="1"/>
  <c r="W1795" i="1"/>
  <c r="S1795" i="1"/>
  <c r="Q1795" i="1"/>
  <c r="N1795" i="1"/>
  <c r="L1795" i="1"/>
  <c r="K1795" i="1"/>
  <c r="AB1795" i="1"/>
  <c r="I1795" i="1"/>
  <c r="X1794" i="1"/>
  <c r="Z1794" i="1" s="1"/>
  <c r="W1794" i="1"/>
  <c r="S1794" i="1"/>
  <c r="Q1794" i="1"/>
  <c r="N1794" i="1"/>
  <c r="L1794" i="1"/>
  <c r="K1794" i="1"/>
  <c r="AB1794" i="1"/>
  <c r="I1794" i="1"/>
  <c r="X1793" i="1"/>
  <c r="Z1793" i="1" s="1"/>
  <c r="W1793" i="1"/>
  <c r="S1793" i="1"/>
  <c r="Q1793" i="1"/>
  <c r="N1793" i="1"/>
  <c r="L1793" i="1"/>
  <c r="K1793" i="1"/>
  <c r="AB1793" i="1"/>
  <c r="I1793" i="1"/>
  <c r="X1792" i="1"/>
  <c r="Z1792" i="1" s="1"/>
  <c r="W1792" i="1"/>
  <c r="S1792" i="1"/>
  <c r="Q1792" i="1"/>
  <c r="N1792" i="1"/>
  <c r="L1792" i="1"/>
  <c r="K1792" i="1"/>
  <c r="AB1792" i="1"/>
  <c r="I1792" i="1"/>
  <c r="X1791" i="1"/>
  <c r="Z1791" i="1" s="1"/>
  <c r="W1791" i="1"/>
  <c r="S1791" i="1"/>
  <c r="Q1791" i="1"/>
  <c r="N1791" i="1"/>
  <c r="L1791" i="1"/>
  <c r="K1791" i="1"/>
  <c r="AB1791" i="1"/>
  <c r="I1791" i="1"/>
  <c r="X1790" i="1"/>
  <c r="Z1790" i="1" s="1"/>
  <c r="W1790" i="1"/>
  <c r="S1790" i="1"/>
  <c r="Q1790" i="1"/>
  <c r="N1790" i="1"/>
  <c r="L1790" i="1"/>
  <c r="K1790" i="1"/>
  <c r="AB1790" i="1"/>
  <c r="I1790" i="1"/>
  <c r="X1789" i="1"/>
  <c r="Z1789" i="1" s="1"/>
  <c r="W1789" i="1"/>
  <c r="S1789" i="1"/>
  <c r="Q1789" i="1"/>
  <c r="N1789" i="1"/>
  <c r="L1789" i="1"/>
  <c r="K1789" i="1"/>
  <c r="AB1789" i="1"/>
  <c r="I1789" i="1"/>
  <c r="X1788" i="1"/>
  <c r="Z1788" i="1" s="1"/>
  <c r="W1788" i="1"/>
  <c r="S1788" i="1"/>
  <c r="Q1788" i="1"/>
  <c r="N1788" i="1"/>
  <c r="L1788" i="1"/>
  <c r="K1788" i="1"/>
  <c r="AB1788" i="1"/>
  <c r="I1788" i="1"/>
  <c r="X1787" i="1"/>
  <c r="Z1787" i="1" s="1"/>
  <c r="W1787" i="1"/>
  <c r="S1787" i="1"/>
  <c r="Q1787" i="1"/>
  <c r="N1787" i="1"/>
  <c r="L1787" i="1"/>
  <c r="K1787" i="1"/>
  <c r="AB1787" i="1"/>
  <c r="I1787" i="1"/>
  <c r="X1786" i="1"/>
  <c r="Z1786" i="1" s="1"/>
  <c r="W1786" i="1"/>
  <c r="S1786" i="1"/>
  <c r="Q1786" i="1"/>
  <c r="N1786" i="1"/>
  <c r="L1786" i="1"/>
  <c r="K1786" i="1"/>
  <c r="AB1786" i="1"/>
  <c r="I1786" i="1"/>
  <c r="X1785" i="1"/>
  <c r="Z1785" i="1" s="1"/>
  <c r="W1785" i="1"/>
  <c r="S1785" i="1"/>
  <c r="Q1785" i="1"/>
  <c r="N1785" i="1"/>
  <c r="L1785" i="1"/>
  <c r="K1785" i="1"/>
  <c r="AB1785" i="1"/>
  <c r="I1785" i="1"/>
  <c r="X1784" i="1"/>
  <c r="Z1784" i="1" s="1"/>
  <c r="W1784" i="1"/>
  <c r="S1784" i="1"/>
  <c r="Q1784" i="1"/>
  <c r="N1784" i="1"/>
  <c r="L1784" i="1"/>
  <c r="K1784" i="1"/>
  <c r="AB1784" i="1"/>
  <c r="I1784" i="1"/>
  <c r="X1783" i="1"/>
  <c r="Z1783" i="1" s="1"/>
  <c r="W1783" i="1"/>
  <c r="S1783" i="1"/>
  <c r="Q1783" i="1"/>
  <c r="N1783" i="1"/>
  <c r="L1783" i="1"/>
  <c r="K1783" i="1"/>
  <c r="AB1783" i="1"/>
  <c r="I1783" i="1"/>
  <c r="X1782" i="1"/>
  <c r="Z1782" i="1" s="1"/>
  <c r="W1782" i="1"/>
  <c r="S1782" i="1"/>
  <c r="Q1782" i="1"/>
  <c r="N1782" i="1"/>
  <c r="L1782" i="1"/>
  <c r="K1782" i="1"/>
  <c r="AB1782" i="1"/>
  <c r="I1782" i="1"/>
  <c r="X1781" i="1"/>
  <c r="Z1781" i="1" s="1"/>
  <c r="W1781" i="1"/>
  <c r="S1781" i="1"/>
  <c r="Q1781" i="1"/>
  <c r="N1781" i="1"/>
  <c r="L1781" i="1"/>
  <c r="K1781" i="1"/>
  <c r="AB1781" i="1"/>
  <c r="I1781" i="1"/>
  <c r="X1780" i="1"/>
  <c r="Z1780" i="1" s="1"/>
  <c r="W1780" i="1"/>
  <c r="S1780" i="1"/>
  <c r="Q1780" i="1"/>
  <c r="N1780" i="1"/>
  <c r="L1780" i="1"/>
  <c r="K1780" i="1"/>
  <c r="AB1780" i="1"/>
  <c r="I1780" i="1"/>
  <c r="X1779" i="1"/>
  <c r="Z1779" i="1" s="1"/>
  <c r="W1779" i="1"/>
  <c r="S1779" i="1"/>
  <c r="Q1779" i="1"/>
  <c r="N1779" i="1"/>
  <c r="L1779" i="1"/>
  <c r="K1779" i="1"/>
  <c r="AB1779" i="1"/>
  <c r="I1779" i="1"/>
  <c r="X1778" i="1"/>
  <c r="Z1778" i="1" s="1"/>
  <c r="W1778" i="1"/>
  <c r="S1778" i="1"/>
  <c r="Q1778" i="1"/>
  <c r="N1778" i="1"/>
  <c r="L1778" i="1"/>
  <c r="K1778" i="1"/>
  <c r="AB1778" i="1"/>
  <c r="I1778" i="1"/>
  <c r="X1777" i="1"/>
  <c r="Z1777" i="1" s="1"/>
  <c r="W1777" i="1"/>
  <c r="S1777" i="1"/>
  <c r="Q1777" i="1"/>
  <c r="N1777" i="1"/>
  <c r="L1777" i="1"/>
  <c r="K1777" i="1"/>
  <c r="AB1777" i="1"/>
  <c r="I1777" i="1"/>
  <c r="X1776" i="1"/>
  <c r="Z1776" i="1" s="1"/>
  <c r="W1776" i="1"/>
  <c r="S1776" i="1"/>
  <c r="Q1776" i="1"/>
  <c r="N1776" i="1"/>
  <c r="L1776" i="1"/>
  <c r="K1776" i="1"/>
  <c r="AB1776" i="1"/>
  <c r="I1776" i="1"/>
  <c r="X1775" i="1"/>
  <c r="Z1775" i="1" s="1"/>
  <c r="W1775" i="1"/>
  <c r="S1775" i="1"/>
  <c r="Q1775" i="1"/>
  <c r="N1775" i="1"/>
  <c r="L1775" i="1"/>
  <c r="K1775" i="1"/>
  <c r="AB1775" i="1"/>
  <c r="I1775" i="1"/>
  <c r="X1774" i="1"/>
  <c r="Z1774" i="1" s="1"/>
  <c r="W1774" i="1"/>
  <c r="S1774" i="1"/>
  <c r="Q1774" i="1"/>
  <c r="N1774" i="1"/>
  <c r="L1774" i="1"/>
  <c r="K1774" i="1"/>
  <c r="AB1774" i="1"/>
  <c r="I1774" i="1"/>
  <c r="X1773" i="1"/>
  <c r="Z1773" i="1" s="1"/>
  <c r="W1773" i="1"/>
  <c r="S1773" i="1"/>
  <c r="Q1773" i="1"/>
  <c r="N1773" i="1"/>
  <c r="L1773" i="1"/>
  <c r="K1773" i="1"/>
  <c r="AB1773" i="1"/>
  <c r="I1773" i="1"/>
  <c r="X1772" i="1"/>
  <c r="Z1772" i="1" s="1"/>
  <c r="W1772" i="1"/>
  <c r="S1772" i="1"/>
  <c r="Q1772" i="1"/>
  <c r="N1772" i="1"/>
  <c r="L1772" i="1"/>
  <c r="K1772" i="1"/>
  <c r="AB1772" i="1"/>
  <c r="I1772" i="1"/>
  <c r="X1771" i="1"/>
  <c r="Z1771" i="1" s="1"/>
  <c r="W1771" i="1"/>
  <c r="S1771" i="1"/>
  <c r="Q1771" i="1"/>
  <c r="N1771" i="1"/>
  <c r="L1771" i="1"/>
  <c r="K1771" i="1"/>
  <c r="AB1771" i="1"/>
  <c r="I1771" i="1"/>
  <c r="X1770" i="1"/>
  <c r="Z1770" i="1" s="1"/>
  <c r="W1770" i="1"/>
  <c r="S1770" i="1"/>
  <c r="Q1770" i="1"/>
  <c r="N1770" i="1"/>
  <c r="L1770" i="1"/>
  <c r="K1770" i="1"/>
  <c r="AB1770" i="1"/>
  <c r="I1770" i="1"/>
  <c r="X1769" i="1"/>
  <c r="Z1769" i="1" s="1"/>
  <c r="W1769" i="1"/>
  <c r="S1769" i="1"/>
  <c r="Q1769" i="1"/>
  <c r="N1769" i="1"/>
  <c r="L1769" i="1"/>
  <c r="K1769" i="1"/>
  <c r="AB1769" i="1"/>
  <c r="I1769" i="1"/>
  <c r="X1768" i="1"/>
  <c r="Z1768" i="1" s="1"/>
  <c r="W1768" i="1"/>
  <c r="S1768" i="1"/>
  <c r="Q1768" i="1"/>
  <c r="N1768" i="1"/>
  <c r="L1768" i="1"/>
  <c r="K1768" i="1"/>
  <c r="AB1768" i="1"/>
  <c r="I1768" i="1"/>
  <c r="X1767" i="1"/>
  <c r="Z1767" i="1" s="1"/>
  <c r="W1767" i="1"/>
  <c r="S1767" i="1"/>
  <c r="Q1767" i="1"/>
  <c r="N1767" i="1"/>
  <c r="L1767" i="1"/>
  <c r="K1767" i="1"/>
  <c r="AB1767" i="1"/>
  <c r="I1767" i="1"/>
  <c r="X1766" i="1"/>
  <c r="Z1766" i="1" s="1"/>
  <c r="W1766" i="1"/>
  <c r="S1766" i="1"/>
  <c r="Q1766" i="1"/>
  <c r="N1766" i="1"/>
  <c r="L1766" i="1"/>
  <c r="K1766" i="1"/>
  <c r="AB1766" i="1"/>
  <c r="I1766" i="1"/>
  <c r="X1765" i="1"/>
  <c r="Z1765" i="1" s="1"/>
  <c r="W1765" i="1"/>
  <c r="S1765" i="1"/>
  <c r="Q1765" i="1"/>
  <c r="N1765" i="1"/>
  <c r="L1765" i="1"/>
  <c r="K1765" i="1"/>
  <c r="AB1765" i="1"/>
  <c r="I1765" i="1"/>
  <c r="X1764" i="1"/>
  <c r="Z1764" i="1" s="1"/>
  <c r="W1764" i="1"/>
  <c r="S1764" i="1"/>
  <c r="Q1764" i="1"/>
  <c r="N1764" i="1"/>
  <c r="L1764" i="1"/>
  <c r="K1764" i="1"/>
  <c r="AB1764" i="1"/>
  <c r="I1764" i="1"/>
  <c r="X1763" i="1"/>
  <c r="Z1763" i="1" s="1"/>
  <c r="W1763" i="1"/>
  <c r="S1763" i="1"/>
  <c r="Q1763" i="1"/>
  <c r="N1763" i="1"/>
  <c r="L1763" i="1"/>
  <c r="K1763" i="1"/>
  <c r="AB1763" i="1"/>
  <c r="I1763" i="1"/>
  <c r="X1762" i="1"/>
  <c r="Z1762" i="1" s="1"/>
  <c r="W1762" i="1"/>
  <c r="S1762" i="1"/>
  <c r="Q1762" i="1"/>
  <c r="N1762" i="1"/>
  <c r="L1762" i="1"/>
  <c r="K1762" i="1"/>
  <c r="AB1762" i="1"/>
  <c r="I1762" i="1"/>
  <c r="X1761" i="1"/>
  <c r="Z1761" i="1" s="1"/>
  <c r="W1761" i="1"/>
  <c r="S1761" i="1"/>
  <c r="Q1761" i="1"/>
  <c r="N1761" i="1"/>
  <c r="L1761" i="1"/>
  <c r="K1761" i="1"/>
  <c r="AB1761" i="1"/>
  <c r="I1761" i="1"/>
  <c r="X1760" i="1"/>
  <c r="Z1760" i="1" s="1"/>
  <c r="W1760" i="1"/>
  <c r="S1760" i="1"/>
  <c r="Q1760" i="1"/>
  <c r="N1760" i="1"/>
  <c r="L1760" i="1"/>
  <c r="K1760" i="1"/>
  <c r="AB1760" i="1"/>
  <c r="I1760" i="1"/>
  <c r="X1759" i="1"/>
  <c r="Z1759" i="1" s="1"/>
  <c r="W1759" i="1"/>
  <c r="S1759" i="1"/>
  <c r="Q1759" i="1"/>
  <c r="N1759" i="1"/>
  <c r="L1759" i="1"/>
  <c r="K1759" i="1"/>
  <c r="AB1759" i="1"/>
  <c r="I1759" i="1"/>
  <c r="X1758" i="1"/>
  <c r="Z1758" i="1" s="1"/>
  <c r="W1758" i="1"/>
  <c r="S1758" i="1"/>
  <c r="Q1758" i="1"/>
  <c r="N1758" i="1"/>
  <c r="L1758" i="1"/>
  <c r="K1758" i="1"/>
  <c r="AB1758" i="1"/>
  <c r="I1758" i="1"/>
  <c r="X1757" i="1"/>
  <c r="Z1757" i="1" s="1"/>
  <c r="W1757" i="1"/>
  <c r="S1757" i="1"/>
  <c r="Q1757" i="1"/>
  <c r="N1757" i="1"/>
  <c r="L1757" i="1"/>
  <c r="K1757" i="1"/>
  <c r="AB1757" i="1"/>
  <c r="I1757" i="1"/>
  <c r="X1756" i="1"/>
  <c r="Z1756" i="1" s="1"/>
  <c r="W1756" i="1"/>
  <c r="S1756" i="1"/>
  <c r="Q1756" i="1"/>
  <c r="N1756" i="1"/>
  <c r="L1756" i="1"/>
  <c r="K1756" i="1"/>
  <c r="AB1756" i="1"/>
  <c r="I1756" i="1"/>
  <c r="X1755" i="1"/>
  <c r="Z1755" i="1" s="1"/>
  <c r="W1755" i="1"/>
  <c r="S1755" i="1"/>
  <c r="Q1755" i="1"/>
  <c r="N1755" i="1"/>
  <c r="L1755" i="1"/>
  <c r="K1755" i="1"/>
  <c r="AB1755" i="1"/>
  <c r="I1755" i="1"/>
  <c r="X1754" i="1"/>
  <c r="Z1754" i="1" s="1"/>
  <c r="W1754" i="1"/>
  <c r="S1754" i="1"/>
  <c r="Q1754" i="1"/>
  <c r="N1754" i="1"/>
  <c r="L1754" i="1"/>
  <c r="K1754" i="1"/>
  <c r="AB1754" i="1"/>
  <c r="I1754" i="1"/>
  <c r="X1753" i="1"/>
  <c r="Z1753" i="1" s="1"/>
  <c r="W1753" i="1"/>
  <c r="S1753" i="1"/>
  <c r="Q1753" i="1"/>
  <c r="N1753" i="1"/>
  <c r="L1753" i="1"/>
  <c r="K1753" i="1"/>
  <c r="AB1753" i="1"/>
  <c r="I1753" i="1"/>
  <c r="X1752" i="1"/>
  <c r="Z1752" i="1" s="1"/>
  <c r="W1752" i="1"/>
  <c r="S1752" i="1"/>
  <c r="Q1752" i="1"/>
  <c r="N1752" i="1"/>
  <c r="L1752" i="1"/>
  <c r="K1752" i="1"/>
  <c r="AB1752" i="1"/>
  <c r="I1752" i="1"/>
  <c r="X1751" i="1"/>
  <c r="Z1751" i="1" s="1"/>
  <c r="W1751" i="1"/>
  <c r="S1751" i="1"/>
  <c r="Q1751" i="1"/>
  <c r="N1751" i="1"/>
  <c r="L1751" i="1"/>
  <c r="K1751" i="1"/>
  <c r="AB1751" i="1"/>
  <c r="I1751" i="1"/>
  <c r="X1750" i="1"/>
  <c r="Z1750" i="1" s="1"/>
  <c r="W1750" i="1"/>
  <c r="S1750" i="1"/>
  <c r="Q1750" i="1"/>
  <c r="N1750" i="1"/>
  <c r="L1750" i="1"/>
  <c r="K1750" i="1"/>
  <c r="AB1750" i="1"/>
  <c r="I1750" i="1"/>
  <c r="X1749" i="1"/>
  <c r="Z1749" i="1" s="1"/>
  <c r="W1749" i="1"/>
  <c r="S1749" i="1"/>
  <c r="Q1749" i="1"/>
  <c r="N1749" i="1"/>
  <c r="L1749" i="1"/>
  <c r="K1749" i="1"/>
  <c r="AB1749" i="1"/>
  <c r="I1749" i="1"/>
  <c r="X1748" i="1"/>
  <c r="Z1748" i="1" s="1"/>
  <c r="W1748" i="1"/>
  <c r="S1748" i="1"/>
  <c r="Q1748" i="1"/>
  <c r="N1748" i="1"/>
  <c r="L1748" i="1"/>
  <c r="K1748" i="1"/>
  <c r="AB1748" i="1"/>
  <c r="I1748" i="1"/>
  <c r="X1747" i="1"/>
  <c r="Z1747" i="1" s="1"/>
  <c r="W1747" i="1"/>
  <c r="S1747" i="1"/>
  <c r="Q1747" i="1"/>
  <c r="N1747" i="1"/>
  <c r="L1747" i="1"/>
  <c r="K1747" i="1"/>
  <c r="AB1747" i="1"/>
  <c r="I1747" i="1"/>
  <c r="X1746" i="1"/>
  <c r="Z1746" i="1" s="1"/>
  <c r="W1746" i="1"/>
  <c r="S1746" i="1"/>
  <c r="Q1746" i="1"/>
  <c r="N1746" i="1"/>
  <c r="L1746" i="1"/>
  <c r="K1746" i="1"/>
  <c r="AB1746" i="1"/>
  <c r="I1746" i="1"/>
  <c r="X1745" i="1"/>
  <c r="Z1745" i="1" s="1"/>
  <c r="W1745" i="1"/>
  <c r="S1745" i="1"/>
  <c r="Q1745" i="1"/>
  <c r="N1745" i="1"/>
  <c r="L1745" i="1"/>
  <c r="K1745" i="1"/>
  <c r="AB1745" i="1"/>
  <c r="I1745" i="1"/>
  <c r="X1744" i="1"/>
  <c r="Z1744" i="1" s="1"/>
  <c r="W1744" i="1"/>
  <c r="S1744" i="1"/>
  <c r="Q1744" i="1"/>
  <c r="N1744" i="1"/>
  <c r="L1744" i="1"/>
  <c r="K1744" i="1"/>
  <c r="AB1744" i="1"/>
  <c r="I1744" i="1"/>
  <c r="X1743" i="1"/>
  <c r="Z1743" i="1" s="1"/>
  <c r="W1743" i="1"/>
  <c r="S1743" i="1"/>
  <c r="Q1743" i="1"/>
  <c r="N1743" i="1"/>
  <c r="L1743" i="1"/>
  <c r="K1743" i="1"/>
  <c r="AB1743" i="1"/>
  <c r="I1743" i="1"/>
  <c r="X1742" i="1"/>
  <c r="Z1742" i="1" s="1"/>
  <c r="W1742" i="1"/>
  <c r="S1742" i="1"/>
  <c r="Q1742" i="1"/>
  <c r="N1742" i="1"/>
  <c r="L1742" i="1"/>
  <c r="K1742" i="1"/>
  <c r="AB1742" i="1"/>
  <c r="I1742" i="1"/>
  <c r="X1741" i="1"/>
  <c r="Z1741" i="1" s="1"/>
  <c r="W1741" i="1"/>
  <c r="S1741" i="1"/>
  <c r="Q1741" i="1"/>
  <c r="N1741" i="1"/>
  <c r="L1741" i="1"/>
  <c r="K1741" i="1"/>
  <c r="AB1741" i="1"/>
  <c r="I1741" i="1"/>
  <c r="X1740" i="1"/>
  <c r="Z1740" i="1" s="1"/>
  <c r="W1740" i="1"/>
  <c r="S1740" i="1"/>
  <c r="Q1740" i="1"/>
  <c r="N1740" i="1"/>
  <c r="L1740" i="1"/>
  <c r="K1740" i="1"/>
  <c r="AB1740" i="1"/>
  <c r="I1740" i="1"/>
  <c r="X1739" i="1"/>
  <c r="Z1739" i="1" s="1"/>
  <c r="W1739" i="1"/>
  <c r="S1739" i="1"/>
  <c r="Q1739" i="1"/>
  <c r="N1739" i="1"/>
  <c r="L1739" i="1"/>
  <c r="K1739" i="1"/>
  <c r="AB1739" i="1"/>
  <c r="I1739" i="1"/>
  <c r="X1738" i="1"/>
  <c r="Z1738" i="1" s="1"/>
  <c r="W1738" i="1"/>
  <c r="S1738" i="1"/>
  <c r="Q1738" i="1"/>
  <c r="N1738" i="1"/>
  <c r="L1738" i="1"/>
  <c r="K1738" i="1"/>
  <c r="AB1738" i="1"/>
  <c r="I1738" i="1"/>
  <c r="X1737" i="1"/>
  <c r="Z1737" i="1" s="1"/>
  <c r="W1737" i="1"/>
  <c r="S1737" i="1"/>
  <c r="Q1737" i="1"/>
  <c r="N1737" i="1"/>
  <c r="L1737" i="1"/>
  <c r="K1737" i="1"/>
  <c r="AB1737" i="1"/>
  <c r="I1737" i="1"/>
  <c r="X1736" i="1"/>
  <c r="Z1736" i="1" s="1"/>
  <c r="W1736" i="1"/>
  <c r="S1736" i="1"/>
  <c r="Q1736" i="1"/>
  <c r="N1736" i="1"/>
  <c r="L1736" i="1"/>
  <c r="K1736" i="1"/>
  <c r="AB1736" i="1"/>
  <c r="I1736" i="1"/>
  <c r="X1735" i="1"/>
  <c r="Z1735" i="1" s="1"/>
  <c r="W1735" i="1"/>
  <c r="S1735" i="1"/>
  <c r="Q1735" i="1"/>
  <c r="N1735" i="1"/>
  <c r="L1735" i="1"/>
  <c r="K1735" i="1"/>
  <c r="AB1735" i="1"/>
  <c r="I1735" i="1"/>
  <c r="X1734" i="1"/>
  <c r="Z1734" i="1" s="1"/>
  <c r="W1734" i="1"/>
  <c r="S1734" i="1"/>
  <c r="Q1734" i="1"/>
  <c r="N1734" i="1"/>
  <c r="L1734" i="1"/>
  <c r="K1734" i="1"/>
  <c r="AB1734" i="1"/>
  <c r="I1734" i="1"/>
  <c r="X1733" i="1"/>
  <c r="Z1733" i="1" s="1"/>
  <c r="W1733" i="1"/>
  <c r="S1733" i="1"/>
  <c r="Q1733" i="1"/>
  <c r="N1733" i="1"/>
  <c r="L1733" i="1"/>
  <c r="K1733" i="1"/>
  <c r="AB1733" i="1"/>
  <c r="I1733" i="1"/>
  <c r="X1732" i="1"/>
  <c r="Z1732" i="1" s="1"/>
  <c r="W1732" i="1"/>
  <c r="S1732" i="1"/>
  <c r="Q1732" i="1"/>
  <c r="N1732" i="1"/>
  <c r="L1732" i="1"/>
  <c r="K1732" i="1"/>
  <c r="AB1732" i="1"/>
  <c r="I1732" i="1"/>
  <c r="X1731" i="1"/>
  <c r="Z1731" i="1" s="1"/>
  <c r="W1731" i="1"/>
  <c r="S1731" i="1"/>
  <c r="Q1731" i="1"/>
  <c r="N1731" i="1"/>
  <c r="L1731" i="1"/>
  <c r="K1731" i="1"/>
  <c r="AB1731" i="1"/>
  <c r="I1731" i="1"/>
  <c r="X1730" i="1"/>
  <c r="Z1730" i="1" s="1"/>
  <c r="W1730" i="1"/>
  <c r="S1730" i="1"/>
  <c r="Q1730" i="1"/>
  <c r="N1730" i="1"/>
  <c r="L1730" i="1"/>
  <c r="K1730" i="1"/>
  <c r="AB1730" i="1"/>
  <c r="I1730" i="1"/>
  <c r="X1729" i="1"/>
  <c r="Z1729" i="1" s="1"/>
  <c r="W1729" i="1"/>
  <c r="S1729" i="1"/>
  <c r="Q1729" i="1"/>
  <c r="N1729" i="1"/>
  <c r="L1729" i="1"/>
  <c r="K1729" i="1"/>
  <c r="AB1729" i="1"/>
  <c r="I1729" i="1"/>
  <c r="X1728" i="1"/>
  <c r="Z1728" i="1" s="1"/>
  <c r="W1728" i="1"/>
  <c r="S1728" i="1"/>
  <c r="Q1728" i="1"/>
  <c r="N1728" i="1"/>
  <c r="L1728" i="1"/>
  <c r="K1728" i="1"/>
  <c r="AB1728" i="1"/>
  <c r="I1728" i="1"/>
  <c r="X1727" i="1"/>
  <c r="Z1727" i="1" s="1"/>
  <c r="W1727" i="1"/>
  <c r="S1727" i="1"/>
  <c r="Q1727" i="1"/>
  <c r="N1727" i="1"/>
  <c r="L1727" i="1"/>
  <c r="K1727" i="1"/>
  <c r="AB1727" i="1"/>
  <c r="I1727" i="1"/>
  <c r="X1726" i="1"/>
  <c r="Z1726" i="1" s="1"/>
  <c r="W1726" i="1"/>
  <c r="S1726" i="1"/>
  <c r="Q1726" i="1"/>
  <c r="N1726" i="1"/>
  <c r="L1726" i="1"/>
  <c r="K1726" i="1"/>
  <c r="AB1726" i="1"/>
  <c r="I1726" i="1"/>
  <c r="X1725" i="1"/>
  <c r="Z1725" i="1" s="1"/>
  <c r="W1725" i="1"/>
  <c r="S1725" i="1"/>
  <c r="Q1725" i="1"/>
  <c r="N1725" i="1"/>
  <c r="L1725" i="1"/>
  <c r="K1725" i="1"/>
  <c r="AB1725" i="1"/>
  <c r="I1725" i="1"/>
  <c r="X1724" i="1"/>
  <c r="Z1724" i="1" s="1"/>
  <c r="W1724" i="1"/>
  <c r="S1724" i="1"/>
  <c r="Q1724" i="1"/>
  <c r="N1724" i="1"/>
  <c r="L1724" i="1"/>
  <c r="K1724" i="1"/>
  <c r="AB1724" i="1"/>
  <c r="I1724" i="1"/>
  <c r="X1723" i="1"/>
  <c r="Z1723" i="1" s="1"/>
  <c r="W1723" i="1"/>
  <c r="S1723" i="1"/>
  <c r="Q1723" i="1"/>
  <c r="N1723" i="1"/>
  <c r="L1723" i="1"/>
  <c r="K1723" i="1"/>
  <c r="AB1723" i="1"/>
  <c r="I1723" i="1"/>
  <c r="X1722" i="1"/>
  <c r="Z1722" i="1" s="1"/>
  <c r="W1722" i="1"/>
  <c r="S1722" i="1"/>
  <c r="Q1722" i="1"/>
  <c r="N1722" i="1"/>
  <c r="L1722" i="1"/>
  <c r="K1722" i="1"/>
  <c r="AB1722" i="1"/>
  <c r="I1722" i="1"/>
  <c r="X1721" i="1"/>
  <c r="Z1721" i="1" s="1"/>
  <c r="W1721" i="1"/>
  <c r="S1721" i="1"/>
  <c r="Q1721" i="1"/>
  <c r="N1721" i="1"/>
  <c r="L1721" i="1"/>
  <c r="K1721" i="1"/>
  <c r="AB1721" i="1"/>
  <c r="I1721" i="1"/>
  <c r="X1720" i="1"/>
  <c r="Z1720" i="1" s="1"/>
  <c r="W1720" i="1"/>
  <c r="S1720" i="1"/>
  <c r="Q1720" i="1"/>
  <c r="N1720" i="1"/>
  <c r="L1720" i="1"/>
  <c r="K1720" i="1"/>
  <c r="AB1720" i="1"/>
  <c r="I1720" i="1"/>
  <c r="X1719" i="1"/>
  <c r="Z1719" i="1" s="1"/>
  <c r="W1719" i="1"/>
  <c r="S1719" i="1"/>
  <c r="Q1719" i="1"/>
  <c r="N1719" i="1"/>
  <c r="L1719" i="1"/>
  <c r="K1719" i="1"/>
  <c r="AB1719" i="1"/>
  <c r="I1719" i="1"/>
  <c r="X1718" i="1"/>
  <c r="Z1718" i="1" s="1"/>
  <c r="W1718" i="1"/>
  <c r="S1718" i="1"/>
  <c r="Q1718" i="1"/>
  <c r="N1718" i="1"/>
  <c r="L1718" i="1"/>
  <c r="K1718" i="1"/>
  <c r="AB1718" i="1"/>
  <c r="I1718" i="1"/>
  <c r="X1717" i="1"/>
  <c r="Z1717" i="1" s="1"/>
  <c r="W1717" i="1"/>
  <c r="S1717" i="1"/>
  <c r="Q1717" i="1"/>
  <c r="N1717" i="1"/>
  <c r="L1717" i="1"/>
  <c r="K1717" i="1"/>
  <c r="AB1717" i="1"/>
  <c r="I1717" i="1"/>
  <c r="X1716" i="1"/>
  <c r="Z1716" i="1" s="1"/>
  <c r="W1716" i="1"/>
  <c r="S1716" i="1"/>
  <c r="Q1716" i="1"/>
  <c r="N1716" i="1"/>
  <c r="L1716" i="1"/>
  <c r="K1716" i="1"/>
  <c r="AB1716" i="1"/>
  <c r="I1716" i="1"/>
  <c r="X1715" i="1"/>
  <c r="Z1715" i="1" s="1"/>
  <c r="W1715" i="1"/>
  <c r="S1715" i="1"/>
  <c r="Q1715" i="1"/>
  <c r="N1715" i="1"/>
  <c r="L1715" i="1"/>
  <c r="K1715" i="1"/>
  <c r="AB1715" i="1"/>
  <c r="I1715" i="1"/>
  <c r="X1714" i="1"/>
  <c r="Z1714" i="1" s="1"/>
  <c r="W1714" i="1"/>
  <c r="S1714" i="1"/>
  <c r="Q1714" i="1"/>
  <c r="N1714" i="1"/>
  <c r="L1714" i="1"/>
  <c r="K1714" i="1"/>
  <c r="AB1714" i="1"/>
  <c r="I1714" i="1"/>
  <c r="X1713" i="1"/>
  <c r="Z1713" i="1" s="1"/>
  <c r="W1713" i="1"/>
  <c r="S1713" i="1"/>
  <c r="Q1713" i="1"/>
  <c r="N1713" i="1"/>
  <c r="L1713" i="1"/>
  <c r="K1713" i="1"/>
  <c r="AB1713" i="1"/>
  <c r="I1713" i="1"/>
  <c r="X1712" i="1"/>
  <c r="Z1712" i="1" s="1"/>
  <c r="W1712" i="1"/>
  <c r="S1712" i="1"/>
  <c r="Q1712" i="1"/>
  <c r="N1712" i="1"/>
  <c r="L1712" i="1"/>
  <c r="K1712" i="1"/>
  <c r="AB1712" i="1"/>
  <c r="I1712" i="1"/>
  <c r="X1711" i="1"/>
  <c r="Z1711" i="1" s="1"/>
  <c r="W1711" i="1"/>
  <c r="S1711" i="1"/>
  <c r="Q1711" i="1"/>
  <c r="N1711" i="1"/>
  <c r="L1711" i="1"/>
  <c r="K1711" i="1"/>
  <c r="AB1711" i="1"/>
  <c r="I1711" i="1"/>
  <c r="X1710" i="1"/>
  <c r="Z1710" i="1" s="1"/>
  <c r="W1710" i="1"/>
  <c r="S1710" i="1"/>
  <c r="Q1710" i="1"/>
  <c r="N1710" i="1"/>
  <c r="L1710" i="1"/>
  <c r="K1710" i="1"/>
  <c r="AB1710" i="1"/>
  <c r="I1710" i="1"/>
  <c r="X1709" i="1"/>
  <c r="Z1709" i="1" s="1"/>
  <c r="W1709" i="1"/>
  <c r="S1709" i="1"/>
  <c r="Q1709" i="1"/>
  <c r="N1709" i="1"/>
  <c r="L1709" i="1"/>
  <c r="K1709" i="1"/>
  <c r="AB1709" i="1"/>
  <c r="I1709" i="1"/>
  <c r="X1708" i="1"/>
  <c r="Z1708" i="1" s="1"/>
  <c r="W1708" i="1"/>
  <c r="S1708" i="1"/>
  <c r="Q1708" i="1"/>
  <c r="N1708" i="1"/>
  <c r="L1708" i="1"/>
  <c r="K1708" i="1"/>
  <c r="AB1708" i="1"/>
  <c r="I1708" i="1"/>
  <c r="X1707" i="1"/>
  <c r="Z1707" i="1" s="1"/>
  <c r="W1707" i="1"/>
  <c r="S1707" i="1"/>
  <c r="Q1707" i="1"/>
  <c r="N1707" i="1"/>
  <c r="L1707" i="1"/>
  <c r="K1707" i="1"/>
  <c r="AB1707" i="1"/>
  <c r="I1707" i="1"/>
  <c r="X1706" i="1"/>
  <c r="Z1706" i="1" s="1"/>
  <c r="W1706" i="1"/>
  <c r="S1706" i="1"/>
  <c r="Q1706" i="1"/>
  <c r="N1706" i="1"/>
  <c r="L1706" i="1"/>
  <c r="K1706" i="1"/>
  <c r="AB1706" i="1"/>
  <c r="I1706" i="1"/>
  <c r="X1705" i="1"/>
  <c r="Z1705" i="1" s="1"/>
  <c r="W1705" i="1"/>
  <c r="S1705" i="1"/>
  <c r="Q1705" i="1"/>
  <c r="N1705" i="1"/>
  <c r="L1705" i="1"/>
  <c r="K1705" i="1"/>
  <c r="AB1705" i="1"/>
  <c r="I1705" i="1"/>
  <c r="X1704" i="1"/>
  <c r="Z1704" i="1" s="1"/>
  <c r="W1704" i="1"/>
  <c r="S1704" i="1"/>
  <c r="Q1704" i="1"/>
  <c r="N1704" i="1"/>
  <c r="L1704" i="1"/>
  <c r="K1704" i="1"/>
  <c r="AB1704" i="1"/>
  <c r="I1704" i="1"/>
  <c r="X1703" i="1"/>
  <c r="Z1703" i="1" s="1"/>
  <c r="W1703" i="1"/>
  <c r="S1703" i="1"/>
  <c r="Q1703" i="1"/>
  <c r="N1703" i="1"/>
  <c r="L1703" i="1"/>
  <c r="K1703" i="1"/>
  <c r="AB1703" i="1"/>
  <c r="I1703" i="1"/>
  <c r="X1702" i="1"/>
  <c r="Z1702" i="1" s="1"/>
  <c r="W1702" i="1"/>
  <c r="S1702" i="1"/>
  <c r="Q1702" i="1"/>
  <c r="N1702" i="1"/>
  <c r="L1702" i="1"/>
  <c r="K1702" i="1"/>
  <c r="AB1702" i="1"/>
  <c r="I1702" i="1"/>
  <c r="X1701" i="1"/>
  <c r="Z1701" i="1" s="1"/>
  <c r="W1701" i="1"/>
  <c r="S1701" i="1"/>
  <c r="Q1701" i="1"/>
  <c r="N1701" i="1"/>
  <c r="L1701" i="1"/>
  <c r="K1701" i="1"/>
  <c r="AB1701" i="1"/>
  <c r="I1701" i="1"/>
  <c r="X1700" i="1"/>
  <c r="Z1700" i="1" s="1"/>
  <c r="W1700" i="1"/>
  <c r="S1700" i="1"/>
  <c r="Q1700" i="1"/>
  <c r="N1700" i="1"/>
  <c r="L1700" i="1"/>
  <c r="K1700" i="1"/>
  <c r="AB1700" i="1"/>
  <c r="I1700" i="1"/>
  <c r="X1699" i="1"/>
  <c r="Z1699" i="1" s="1"/>
  <c r="W1699" i="1"/>
  <c r="S1699" i="1"/>
  <c r="Q1699" i="1"/>
  <c r="N1699" i="1"/>
  <c r="L1699" i="1"/>
  <c r="K1699" i="1"/>
  <c r="AB1699" i="1"/>
  <c r="I1699" i="1"/>
  <c r="X1698" i="1"/>
  <c r="Z1698" i="1" s="1"/>
  <c r="W1698" i="1"/>
  <c r="S1698" i="1"/>
  <c r="Q1698" i="1"/>
  <c r="N1698" i="1"/>
  <c r="L1698" i="1"/>
  <c r="K1698" i="1"/>
  <c r="AB1698" i="1"/>
  <c r="I1698" i="1"/>
  <c r="X1697" i="1"/>
  <c r="Z1697" i="1" s="1"/>
  <c r="W1697" i="1"/>
  <c r="S1697" i="1"/>
  <c r="Q1697" i="1"/>
  <c r="N1697" i="1"/>
  <c r="L1697" i="1"/>
  <c r="K1697" i="1"/>
  <c r="AB1697" i="1"/>
  <c r="I1697" i="1"/>
  <c r="X1696" i="1"/>
  <c r="Z1696" i="1" s="1"/>
  <c r="W1696" i="1"/>
  <c r="S1696" i="1"/>
  <c r="Q1696" i="1"/>
  <c r="N1696" i="1"/>
  <c r="L1696" i="1"/>
  <c r="K1696" i="1"/>
  <c r="AB1696" i="1"/>
  <c r="I1696" i="1"/>
  <c r="X1695" i="1"/>
  <c r="Z1695" i="1" s="1"/>
  <c r="W1695" i="1"/>
  <c r="S1695" i="1"/>
  <c r="Q1695" i="1"/>
  <c r="N1695" i="1"/>
  <c r="L1695" i="1"/>
  <c r="K1695" i="1"/>
  <c r="AB1695" i="1"/>
  <c r="I1695" i="1"/>
  <c r="X1694" i="1"/>
  <c r="Z1694" i="1" s="1"/>
  <c r="W1694" i="1"/>
  <c r="S1694" i="1"/>
  <c r="Q1694" i="1"/>
  <c r="N1694" i="1"/>
  <c r="L1694" i="1"/>
  <c r="K1694" i="1"/>
  <c r="AB1694" i="1"/>
  <c r="I1694" i="1"/>
  <c r="X1693" i="1"/>
  <c r="Z1693" i="1" s="1"/>
  <c r="W1693" i="1"/>
  <c r="S1693" i="1"/>
  <c r="Q1693" i="1"/>
  <c r="N1693" i="1"/>
  <c r="L1693" i="1"/>
  <c r="K1693" i="1"/>
  <c r="AB1693" i="1"/>
  <c r="I1693" i="1"/>
  <c r="X1692" i="1"/>
  <c r="Z1692" i="1" s="1"/>
  <c r="W1692" i="1"/>
  <c r="S1692" i="1"/>
  <c r="Q1692" i="1"/>
  <c r="N1692" i="1"/>
  <c r="L1692" i="1"/>
  <c r="K1692" i="1"/>
  <c r="AB1692" i="1"/>
  <c r="I1692" i="1"/>
  <c r="X1691" i="1"/>
  <c r="Z1691" i="1" s="1"/>
  <c r="W1691" i="1"/>
  <c r="S1691" i="1"/>
  <c r="Q1691" i="1"/>
  <c r="N1691" i="1"/>
  <c r="L1691" i="1"/>
  <c r="K1691" i="1"/>
  <c r="AB1691" i="1"/>
  <c r="I1691" i="1"/>
  <c r="X1690" i="1"/>
  <c r="Z1690" i="1" s="1"/>
  <c r="W1690" i="1"/>
  <c r="S1690" i="1"/>
  <c r="Q1690" i="1"/>
  <c r="N1690" i="1"/>
  <c r="L1690" i="1"/>
  <c r="K1690" i="1"/>
  <c r="AB1690" i="1"/>
  <c r="I1690" i="1"/>
  <c r="X1689" i="1"/>
  <c r="Z1689" i="1" s="1"/>
  <c r="W1689" i="1"/>
  <c r="S1689" i="1"/>
  <c r="Q1689" i="1"/>
  <c r="N1689" i="1"/>
  <c r="L1689" i="1"/>
  <c r="K1689" i="1"/>
  <c r="AB1689" i="1"/>
  <c r="I1689" i="1"/>
  <c r="X1688" i="1"/>
  <c r="Z1688" i="1" s="1"/>
  <c r="W1688" i="1"/>
  <c r="S1688" i="1"/>
  <c r="Q1688" i="1"/>
  <c r="N1688" i="1"/>
  <c r="L1688" i="1"/>
  <c r="K1688" i="1"/>
  <c r="AB1688" i="1"/>
  <c r="I1688" i="1"/>
  <c r="X1687" i="1"/>
  <c r="Z1687" i="1" s="1"/>
  <c r="W1687" i="1"/>
  <c r="S1687" i="1"/>
  <c r="Q1687" i="1"/>
  <c r="N1687" i="1"/>
  <c r="L1687" i="1"/>
  <c r="K1687" i="1"/>
  <c r="AB1687" i="1"/>
  <c r="I1687" i="1"/>
  <c r="X1686" i="1"/>
  <c r="Z1686" i="1" s="1"/>
  <c r="W1686" i="1"/>
  <c r="S1686" i="1"/>
  <c r="Q1686" i="1"/>
  <c r="N1686" i="1"/>
  <c r="L1686" i="1"/>
  <c r="K1686" i="1"/>
  <c r="AB1686" i="1"/>
  <c r="I1686" i="1"/>
  <c r="X1685" i="1"/>
  <c r="Z1685" i="1" s="1"/>
  <c r="W1685" i="1"/>
  <c r="S1685" i="1"/>
  <c r="Q1685" i="1"/>
  <c r="N1685" i="1"/>
  <c r="L1685" i="1"/>
  <c r="K1685" i="1"/>
  <c r="AB1685" i="1"/>
  <c r="I1685" i="1"/>
  <c r="X1684" i="1"/>
  <c r="Z1684" i="1" s="1"/>
  <c r="W1684" i="1"/>
  <c r="S1684" i="1"/>
  <c r="Q1684" i="1"/>
  <c r="N1684" i="1"/>
  <c r="L1684" i="1"/>
  <c r="K1684" i="1"/>
  <c r="AB1684" i="1"/>
  <c r="I1684" i="1"/>
  <c r="X1683" i="1"/>
  <c r="Z1683" i="1" s="1"/>
  <c r="W1683" i="1"/>
  <c r="S1683" i="1"/>
  <c r="Q1683" i="1"/>
  <c r="N1683" i="1"/>
  <c r="L1683" i="1"/>
  <c r="K1683" i="1"/>
  <c r="AB1683" i="1"/>
  <c r="I1683" i="1"/>
  <c r="X1682" i="1"/>
  <c r="Z1682" i="1" s="1"/>
  <c r="W1682" i="1"/>
  <c r="S1682" i="1"/>
  <c r="Q1682" i="1"/>
  <c r="N1682" i="1"/>
  <c r="L1682" i="1"/>
  <c r="K1682" i="1"/>
  <c r="AB1682" i="1"/>
  <c r="I1682" i="1"/>
  <c r="X1681" i="1"/>
  <c r="Z1681" i="1" s="1"/>
  <c r="W1681" i="1"/>
  <c r="S1681" i="1"/>
  <c r="Q1681" i="1"/>
  <c r="N1681" i="1"/>
  <c r="L1681" i="1"/>
  <c r="K1681" i="1"/>
  <c r="AB1681" i="1"/>
  <c r="I1681" i="1"/>
  <c r="X1680" i="1"/>
  <c r="Z1680" i="1" s="1"/>
  <c r="W1680" i="1"/>
  <c r="S1680" i="1"/>
  <c r="Q1680" i="1"/>
  <c r="N1680" i="1"/>
  <c r="L1680" i="1"/>
  <c r="K1680" i="1"/>
  <c r="AB1680" i="1"/>
  <c r="I1680" i="1"/>
  <c r="X1679" i="1"/>
  <c r="Z1679" i="1" s="1"/>
  <c r="W1679" i="1"/>
  <c r="S1679" i="1"/>
  <c r="Q1679" i="1"/>
  <c r="N1679" i="1"/>
  <c r="L1679" i="1"/>
  <c r="K1679" i="1"/>
  <c r="AB1679" i="1"/>
  <c r="I1679" i="1"/>
  <c r="X1678" i="1"/>
  <c r="Z1678" i="1" s="1"/>
  <c r="W1678" i="1"/>
  <c r="S1678" i="1"/>
  <c r="Q1678" i="1"/>
  <c r="N1678" i="1"/>
  <c r="L1678" i="1"/>
  <c r="K1678" i="1"/>
  <c r="AB1678" i="1"/>
  <c r="I1678" i="1"/>
  <c r="X1677" i="1"/>
  <c r="Z1677" i="1" s="1"/>
  <c r="W1677" i="1"/>
  <c r="S1677" i="1"/>
  <c r="Q1677" i="1"/>
  <c r="N1677" i="1"/>
  <c r="L1677" i="1"/>
  <c r="K1677" i="1"/>
  <c r="AB1677" i="1"/>
  <c r="I1677" i="1"/>
  <c r="X1676" i="1"/>
  <c r="Z1676" i="1" s="1"/>
  <c r="W1676" i="1"/>
  <c r="S1676" i="1"/>
  <c r="Q1676" i="1"/>
  <c r="N1676" i="1"/>
  <c r="L1676" i="1"/>
  <c r="K1676" i="1"/>
  <c r="AB1676" i="1"/>
  <c r="I1676" i="1"/>
  <c r="X1675" i="1"/>
  <c r="Z1675" i="1" s="1"/>
  <c r="W1675" i="1"/>
  <c r="S1675" i="1"/>
  <c r="Q1675" i="1"/>
  <c r="N1675" i="1"/>
  <c r="L1675" i="1"/>
  <c r="K1675" i="1"/>
  <c r="AB1675" i="1"/>
  <c r="I1675" i="1"/>
  <c r="X1674" i="1"/>
  <c r="Z1674" i="1" s="1"/>
  <c r="W1674" i="1"/>
  <c r="S1674" i="1"/>
  <c r="Q1674" i="1"/>
  <c r="N1674" i="1"/>
  <c r="L1674" i="1"/>
  <c r="K1674" i="1"/>
  <c r="AB1674" i="1"/>
  <c r="I1674" i="1"/>
  <c r="X1673" i="1"/>
  <c r="Z1673" i="1" s="1"/>
  <c r="W1673" i="1"/>
  <c r="S1673" i="1"/>
  <c r="Q1673" i="1"/>
  <c r="N1673" i="1"/>
  <c r="L1673" i="1"/>
  <c r="K1673" i="1"/>
  <c r="AB1673" i="1"/>
  <c r="I1673" i="1"/>
  <c r="X1672" i="1"/>
  <c r="Z1672" i="1" s="1"/>
  <c r="W1672" i="1"/>
  <c r="S1672" i="1"/>
  <c r="Q1672" i="1"/>
  <c r="N1672" i="1"/>
  <c r="L1672" i="1"/>
  <c r="K1672" i="1"/>
  <c r="AB1672" i="1"/>
  <c r="I1672" i="1"/>
  <c r="X1671" i="1"/>
  <c r="Z1671" i="1" s="1"/>
  <c r="W1671" i="1"/>
  <c r="S1671" i="1"/>
  <c r="Q1671" i="1"/>
  <c r="N1671" i="1"/>
  <c r="L1671" i="1"/>
  <c r="K1671" i="1"/>
  <c r="AB1671" i="1"/>
  <c r="I1671" i="1"/>
  <c r="X1670" i="1"/>
  <c r="Z1670" i="1" s="1"/>
  <c r="W1670" i="1"/>
  <c r="S1670" i="1"/>
  <c r="Q1670" i="1"/>
  <c r="N1670" i="1"/>
  <c r="L1670" i="1"/>
  <c r="K1670" i="1"/>
  <c r="AB1670" i="1"/>
  <c r="I1670" i="1"/>
  <c r="X1669" i="1"/>
  <c r="Z1669" i="1" s="1"/>
  <c r="W1669" i="1"/>
  <c r="S1669" i="1"/>
  <c r="Q1669" i="1"/>
  <c r="N1669" i="1"/>
  <c r="L1669" i="1"/>
  <c r="K1669" i="1"/>
  <c r="AB1669" i="1"/>
  <c r="I1669" i="1"/>
  <c r="X1668" i="1"/>
  <c r="Z1668" i="1" s="1"/>
  <c r="W1668" i="1"/>
  <c r="S1668" i="1"/>
  <c r="Q1668" i="1"/>
  <c r="N1668" i="1"/>
  <c r="L1668" i="1"/>
  <c r="K1668" i="1"/>
  <c r="AB1668" i="1"/>
  <c r="I1668" i="1"/>
  <c r="X1667" i="1"/>
  <c r="Z1667" i="1" s="1"/>
  <c r="W1667" i="1"/>
  <c r="S1667" i="1"/>
  <c r="Q1667" i="1"/>
  <c r="N1667" i="1"/>
  <c r="L1667" i="1"/>
  <c r="K1667" i="1"/>
  <c r="AB1667" i="1"/>
  <c r="I1667" i="1"/>
  <c r="X1666" i="1"/>
  <c r="Z1666" i="1" s="1"/>
  <c r="W1666" i="1"/>
  <c r="S1666" i="1"/>
  <c r="Q1666" i="1"/>
  <c r="N1666" i="1"/>
  <c r="L1666" i="1"/>
  <c r="K1666" i="1"/>
  <c r="AB1666" i="1"/>
  <c r="I1666" i="1"/>
  <c r="X1665" i="1"/>
  <c r="Z1665" i="1" s="1"/>
  <c r="W1665" i="1"/>
  <c r="S1665" i="1"/>
  <c r="Q1665" i="1"/>
  <c r="N1665" i="1"/>
  <c r="L1665" i="1"/>
  <c r="K1665" i="1"/>
  <c r="AB1665" i="1"/>
  <c r="I1665" i="1"/>
  <c r="X1664" i="1"/>
  <c r="Z1664" i="1" s="1"/>
  <c r="W1664" i="1"/>
  <c r="S1664" i="1"/>
  <c r="Q1664" i="1"/>
  <c r="N1664" i="1"/>
  <c r="L1664" i="1"/>
  <c r="K1664" i="1"/>
  <c r="AB1664" i="1"/>
  <c r="I1664" i="1"/>
  <c r="X1663" i="1"/>
  <c r="Z1663" i="1" s="1"/>
  <c r="W1663" i="1"/>
  <c r="S1663" i="1"/>
  <c r="Q1663" i="1"/>
  <c r="N1663" i="1"/>
  <c r="L1663" i="1"/>
  <c r="K1663" i="1"/>
  <c r="AB1663" i="1"/>
  <c r="I1663" i="1"/>
  <c r="X1662" i="1"/>
  <c r="Z1662" i="1" s="1"/>
  <c r="W1662" i="1"/>
  <c r="S1662" i="1"/>
  <c r="Q1662" i="1"/>
  <c r="N1662" i="1"/>
  <c r="L1662" i="1"/>
  <c r="K1662" i="1"/>
  <c r="AB1662" i="1"/>
  <c r="I1662" i="1"/>
  <c r="X1661" i="1"/>
  <c r="Z1661" i="1" s="1"/>
  <c r="W1661" i="1"/>
  <c r="S1661" i="1"/>
  <c r="Q1661" i="1"/>
  <c r="N1661" i="1"/>
  <c r="L1661" i="1"/>
  <c r="K1661" i="1"/>
  <c r="AB1661" i="1"/>
  <c r="I1661" i="1"/>
  <c r="X1660" i="1"/>
  <c r="Z1660" i="1" s="1"/>
  <c r="W1660" i="1"/>
  <c r="S1660" i="1"/>
  <c r="Q1660" i="1"/>
  <c r="N1660" i="1"/>
  <c r="L1660" i="1"/>
  <c r="K1660" i="1"/>
  <c r="AB1660" i="1"/>
  <c r="I1660" i="1"/>
  <c r="X1659" i="1"/>
  <c r="Z1659" i="1" s="1"/>
  <c r="W1659" i="1"/>
  <c r="S1659" i="1"/>
  <c r="Q1659" i="1"/>
  <c r="N1659" i="1"/>
  <c r="L1659" i="1"/>
  <c r="K1659" i="1"/>
  <c r="AB1659" i="1"/>
  <c r="I1659" i="1"/>
  <c r="X1658" i="1"/>
  <c r="Z1658" i="1" s="1"/>
  <c r="W1658" i="1"/>
  <c r="S1658" i="1"/>
  <c r="Q1658" i="1"/>
  <c r="N1658" i="1"/>
  <c r="L1658" i="1"/>
  <c r="K1658" i="1"/>
  <c r="AB1658" i="1"/>
  <c r="I1658" i="1"/>
  <c r="X1657" i="1"/>
  <c r="Z1657" i="1" s="1"/>
  <c r="W1657" i="1"/>
  <c r="S1657" i="1"/>
  <c r="Q1657" i="1"/>
  <c r="N1657" i="1"/>
  <c r="L1657" i="1"/>
  <c r="K1657" i="1"/>
  <c r="AB1657" i="1"/>
  <c r="I1657" i="1"/>
  <c r="X1656" i="1"/>
  <c r="Z1656" i="1" s="1"/>
  <c r="W1656" i="1"/>
  <c r="S1656" i="1"/>
  <c r="Q1656" i="1"/>
  <c r="N1656" i="1"/>
  <c r="L1656" i="1"/>
  <c r="K1656" i="1"/>
  <c r="AB1656" i="1"/>
  <c r="I1656" i="1"/>
  <c r="X1655" i="1"/>
  <c r="Z1655" i="1" s="1"/>
  <c r="W1655" i="1"/>
  <c r="S1655" i="1"/>
  <c r="Q1655" i="1"/>
  <c r="N1655" i="1"/>
  <c r="L1655" i="1"/>
  <c r="K1655" i="1"/>
  <c r="AB1655" i="1"/>
  <c r="I1655" i="1"/>
  <c r="X1654" i="1"/>
  <c r="Z1654" i="1" s="1"/>
  <c r="W1654" i="1"/>
  <c r="S1654" i="1"/>
  <c r="Q1654" i="1"/>
  <c r="N1654" i="1"/>
  <c r="L1654" i="1"/>
  <c r="K1654" i="1"/>
  <c r="AB1654" i="1"/>
  <c r="I1654" i="1"/>
  <c r="X1653" i="1"/>
  <c r="Z1653" i="1" s="1"/>
  <c r="W1653" i="1"/>
  <c r="S1653" i="1"/>
  <c r="Q1653" i="1"/>
  <c r="N1653" i="1"/>
  <c r="L1653" i="1"/>
  <c r="K1653" i="1"/>
  <c r="AB1653" i="1"/>
  <c r="I1653" i="1"/>
  <c r="X1652" i="1"/>
  <c r="Z1652" i="1" s="1"/>
  <c r="W1652" i="1"/>
  <c r="S1652" i="1"/>
  <c r="Q1652" i="1"/>
  <c r="N1652" i="1"/>
  <c r="L1652" i="1"/>
  <c r="K1652" i="1"/>
  <c r="AB1652" i="1"/>
  <c r="I1652" i="1"/>
  <c r="X1651" i="1"/>
  <c r="Z1651" i="1" s="1"/>
  <c r="W1651" i="1"/>
  <c r="S1651" i="1"/>
  <c r="Q1651" i="1"/>
  <c r="N1651" i="1"/>
  <c r="L1651" i="1"/>
  <c r="K1651" i="1"/>
  <c r="AB1651" i="1"/>
  <c r="I1651" i="1"/>
  <c r="X1650" i="1"/>
  <c r="Z1650" i="1" s="1"/>
  <c r="W1650" i="1"/>
  <c r="S1650" i="1"/>
  <c r="Q1650" i="1"/>
  <c r="N1650" i="1"/>
  <c r="L1650" i="1"/>
  <c r="K1650" i="1"/>
  <c r="AB1650" i="1"/>
  <c r="I1650" i="1"/>
  <c r="X1649" i="1"/>
  <c r="Z1649" i="1" s="1"/>
  <c r="W1649" i="1"/>
  <c r="S1649" i="1"/>
  <c r="Q1649" i="1"/>
  <c r="N1649" i="1"/>
  <c r="L1649" i="1"/>
  <c r="K1649" i="1"/>
  <c r="AB1649" i="1"/>
  <c r="I1649" i="1"/>
  <c r="X1648" i="1"/>
  <c r="Z1648" i="1" s="1"/>
  <c r="W1648" i="1"/>
  <c r="S1648" i="1"/>
  <c r="Q1648" i="1"/>
  <c r="N1648" i="1"/>
  <c r="L1648" i="1"/>
  <c r="K1648" i="1"/>
  <c r="AB1648" i="1"/>
  <c r="I1648" i="1"/>
  <c r="X1647" i="1"/>
  <c r="Z1647" i="1" s="1"/>
  <c r="W1647" i="1"/>
  <c r="S1647" i="1"/>
  <c r="Q1647" i="1"/>
  <c r="N1647" i="1"/>
  <c r="L1647" i="1"/>
  <c r="K1647" i="1"/>
  <c r="AB1647" i="1"/>
  <c r="I1647" i="1"/>
  <c r="X1646" i="1"/>
  <c r="Z1646" i="1" s="1"/>
  <c r="W1646" i="1"/>
  <c r="S1646" i="1"/>
  <c r="Q1646" i="1"/>
  <c r="N1646" i="1"/>
  <c r="L1646" i="1"/>
  <c r="K1646" i="1"/>
  <c r="AB1646" i="1"/>
  <c r="I1646" i="1"/>
  <c r="X1645" i="1"/>
  <c r="Z1645" i="1" s="1"/>
  <c r="W1645" i="1"/>
  <c r="S1645" i="1"/>
  <c r="Q1645" i="1"/>
  <c r="N1645" i="1"/>
  <c r="L1645" i="1"/>
  <c r="K1645" i="1"/>
  <c r="AB1645" i="1"/>
  <c r="I1645" i="1"/>
  <c r="X1644" i="1"/>
  <c r="Z1644" i="1" s="1"/>
  <c r="W1644" i="1"/>
  <c r="S1644" i="1"/>
  <c r="Q1644" i="1"/>
  <c r="N1644" i="1"/>
  <c r="L1644" i="1"/>
  <c r="K1644" i="1"/>
  <c r="AB1644" i="1"/>
  <c r="I1644" i="1"/>
  <c r="X1643" i="1"/>
  <c r="Z1643" i="1" s="1"/>
  <c r="W1643" i="1"/>
  <c r="S1643" i="1"/>
  <c r="Q1643" i="1"/>
  <c r="N1643" i="1"/>
  <c r="L1643" i="1"/>
  <c r="K1643" i="1"/>
  <c r="AB1643" i="1"/>
  <c r="I1643" i="1"/>
  <c r="X1642" i="1"/>
  <c r="Z1642" i="1" s="1"/>
  <c r="W1642" i="1"/>
  <c r="S1642" i="1"/>
  <c r="Q1642" i="1"/>
  <c r="N1642" i="1"/>
  <c r="L1642" i="1"/>
  <c r="K1642" i="1"/>
  <c r="AB1642" i="1"/>
  <c r="I1642" i="1"/>
  <c r="X1641" i="1"/>
  <c r="Z1641" i="1" s="1"/>
  <c r="W1641" i="1"/>
  <c r="S1641" i="1"/>
  <c r="Q1641" i="1"/>
  <c r="N1641" i="1"/>
  <c r="L1641" i="1"/>
  <c r="K1641" i="1"/>
  <c r="AB1641" i="1"/>
  <c r="I1641" i="1"/>
  <c r="X1640" i="1"/>
  <c r="Z1640" i="1" s="1"/>
  <c r="W1640" i="1"/>
  <c r="S1640" i="1"/>
  <c r="Q1640" i="1"/>
  <c r="N1640" i="1"/>
  <c r="L1640" i="1"/>
  <c r="K1640" i="1"/>
  <c r="AB1640" i="1"/>
  <c r="I1640" i="1"/>
  <c r="X1639" i="1"/>
  <c r="Z1639" i="1" s="1"/>
  <c r="W1639" i="1"/>
  <c r="S1639" i="1"/>
  <c r="Q1639" i="1"/>
  <c r="N1639" i="1"/>
  <c r="L1639" i="1"/>
  <c r="K1639" i="1"/>
  <c r="AB1639" i="1"/>
  <c r="I1639" i="1"/>
  <c r="X1638" i="1"/>
  <c r="Z1638" i="1" s="1"/>
  <c r="W1638" i="1"/>
  <c r="S1638" i="1"/>
  <c r="Q1638" i="1"/>
  <c r="N1638" i="1"/>
  <c r="L1638" i="1"/>
  <c r="K1638" i="1"/>
  <c r="AB1638" i="1"/>
  <c r="I1638" i="1"/>
  <c r="X1637" i="1"/>
  <c r="Z1637" i="1" s="1"/>
  <c r="W1637" i="1"/>
  <c r="S1637" i="1"/>
  <c r="Q1637" i="1"/>
  <c r="N1637" i="1"/>
  <c r="L1637" i="1"/>
  <c r="K1637" i="1"/>
  <c r="AB1637" i="1"/>
  <c r="I1637" i="1"/>
  <c r="X1636" i="1"/>
  <c r="Z1636" i="1" s="1"/>
  <c r="W1636" i="1"/>
  <c r="S1636" i="1"/>
  <c r="Q1636" i="1"/>
  <c r="N1636" i="1"/>
  <c r="L1636" i="1"/>
  <c r="K1636" i="1"/>
  <c r="AB1636" i="1"/>
  <c r="I1636" i="1"/>
  <c r="X1635" i="1"/>
  <c r="Z1635" i="1" s="1"/>
  <c r="W1635" i="1"/>
  <c r="S1635" i="1"/>
  <c r="Q1635" i="1"/>
  <c r="N1635" i="1"/>
  <c r="L1635" i="1"/>
  <c r="K1635" i="1"/>
  <c r="AB1635" i="1"/>
  <c r="I1635" i="1"/>
  <c r="X1634" i="1"/>
  <c r="Z1634" i="1" s="1"/>
  <c r="W1634" i="1"/>
  <c r="S1634" i="1"/>
  <c r="Q1634" i="1"/>
  <c r="N1634" i="1"/>
  <c r="L1634" i="1"/>
  <c r="K1634" i="1"/>
  <c r="AB1634" i="1"/>
  <c r="I1634" i="1"/>
  <c r="X1633" i="1"/>
  <c r="Z1633" i="1" s="1"/>
  <c r="W1633" i="1"/>
  <c r="S1633" i="1"/>
  <c r="Q1633" i="1"/>
  <c r="N1633" i="1"/>
  <c r="L1633" i="1"/>
  <c r="K1633" i="1"/>
  <c r="AB1633" i="1"/>
  <c r="I1633" i="1"/>
  <c r="X1632" i="1"/>
  <c r="Z1632" i="1" s="1"/>
  <c r="W1632" i="1"/>
  <c r="S1632" i="1"/>
  <c r="Q1632" i="1"/>
  <c r="N1632" i="1"/>
  <c r="L1632" i="1"/>
  <c r="K1632" i="1"/>
  <c r="AB1632" i="1"/>
  <c r="I1632" i="1"/>
  <c r="X1631" i="1"/>
  <c r="Z1631" i="1" s="1"/>
  <c r="W1631" i="1"/>
  <c r="S1631" i="1"/>
  <c r="Q1631" i="1"/>
  <c r="N1631" i="1"/>
  <c r="L1631" i="1"/>
  <c r="K1631" i="1"/>
  <c r="AB1631" i="1"/>
  <c r="I1631" i="1"/>
  <c r="X1630" i="1"/>
  <c r="Z1630" i="1" s="1"/>
  <c r="W1630" i="1"/>
  <c r="S1630" i="1"/>
  <c r="Q1630" i="1"/>
  <c r="N1630" i="1"/>
  <c r="L1630" i="1"/>
  <c r="K1630" i="1"/>
  <c r="AB1630" i="1"/>
  <c r="I1630" i="1"/>
  <c r="X1629" i="1"/>
  <c r="Z1629" i="1" s="1"/>
  <c r="W1629" i="1"/>
  <c r="S1629" i="1"/>
  <c r="Q1629" i="1"/>
  <c r="N1629" i="1"/>
  <c r="L1629" i="1"/>
  <c r="K1629" i="1"/>
  <c r="AB1629" i="1"/>
  <c r="I1629" i="1"/>
  <c r="X1628" i="1"/>
  <c r="Z1628" i="1" s="1"/>
  <c r="W1628" i="1"/>
  <c r="S1628" i="1"/>
  <c r="Q1628" i="1"/>
  <c r="N1628" i="1"/>
  <c r="L1628" i="1"/>
  <c r="K1628" i="1"/>
  <c r="AB1628" i="1"/>
  <c r="I1628" i="1"/>
  <c r="X1627" i="1"/>
  <c r="Z1627" i="1" s="1"/>
  <c r="W1627" i="1"/>
  <c r="S1627" i="1"/>
  <c r="Q1627" i="1"/>
  <c r="N1627" i="1"/>
  <c r="L1627" i="1"/>
  <c r="K1627" i="1"/>
  <c r="AB1627" i="1"/>
  <c r="I1627" i="1"/>
  <c r="X1626" i="1"/>
  <c r="Z1626" i="1" s="1"/>
  <c r="W1626" i="1"/>
  <c r="S1626" i="1"/>
  <c r="Q1626" i="1"/>
  <c r="N1626" i="1"/>
  <c r="L1626" i="1"/>
  <c r="K1626" i="1"/>
  <c r="AB1626" i="1"/>
  <c r="I1626" i="1"/>
  <c r="X1625" i="1"/>
  <c r="Z1625" i="1" s="1"/>
  <c r="W1625" i="1"/>
  <c r="S1625" i="1"/>
  <c r="Q1625" i="1"/>
  <c r="N1625" i="1"/>
  <c r="L1625" i="1"/>
  <c r="K1625" i="1"/>
  <c r="AB1625" i="1"/>
  <c r="I1625" i="1"/>
  <c r="X1624" i="1"/>
  <c r="Z1624" i="1" s="1"/>
  <c r="W1624" i="1"/>
  <c r="S1624" i="1"/>
  <c r="Q1624" i="1"/>
  <c r="N1624" i="1"/>
  <c r="L1624" i="1"/>
  <c r="K1624" i="1"/>
  <c r="AB1624" i="1"/>
  <c r="I1624" i="1"/>
  <c r="X1623" i="1"/>
  <c r="Z1623" i="1" s="1"/>
  <c r="W1623" i="1"/>
  <c r="S1623" i="1"/>
  <c r="Q1623" i="1"/>
  <c r="N1623" i="1"/>
  <c r="L1623" i="1"/>
  <c r="K1623" i="1"/>
  <c r="AB1623" i="1"/>
  <c r="I1623" i="1"/>
  <c r="X1622" i="1"/>
  <c r="Z1622" i="1" s="1"/>
  <c r="W1622" i="1"/>
  <c r="S1622" i="1"/>
  <c r="Q1622" i="1"/>
  <c r="N1622" i="1"/>
  <c r="L1622" i="1"/>
  <c r="K1622" i="1"/>
  <c r="AB1622" i="1"/>
  <c r="I1622" i="1"/>
  <c r="X1621" i="1"/>
  <c r="Z1621" i="1" s="1"/>
  <c r="W1621" i="1"/>
  <c r="S1621" i="1"/>
  <c r="Q1621" i="1"/>
  <c r="N1621" i="1"/>
  <c r="L1621" i="1"/>
  <c r="K1621" i="1"/>
  <c r="AB1621" i="1"/>
  <c r="I1621" i="1"/>
  <c r="X1620" i="1"/>
  <c r="Z1620" i="1" s="1"/>
  <c r="W1620" i="1"/>
  <c r="S1620" i="1"/>
  <c r="Q1620" i="1"/>
  <c r="N1620" i="1"/>
  <c r="L1620" i="1"/>
  <c r="K1620" i="1"/>
  <c r="AB1620" i="1"/>
  <c r="I1620" i="1"/>
  <c r="X1619" i="1"/>
  <c r="Z1619" i="1" s="1"/>
  <c r="W1619" i="1"/>
  <c r="S1619" i="1"/>
  <c r="Q1619" i="1"/>
  <c r="N1619" i="1"/>
  <c r="L1619" i="1"/>
  <c r="K1619" i="1"/>
  <c r="AB1619" i="1"/>
  <c r="I1619" i="1"/>
  <c r="X1618" i="1"/>
  <c r="Z1618" i="1" s="1"/>
  <c r="W1618" i="1"/>
  <c r="S1618" i="1"/>
  <c r="Q1618" i="1"/>
  <c r="N1618" i="1"/>
  <c r="L1618" i="1"/>
  <c r="K1618" i="1"/>
  <c r="AB1618" i="1"/>
  <c r="I1618" i="1"/>
  <c r="X1617" i="1"/>
  <c r="Z1617" i="1" s="1"/>
  <c r="W1617" i="1"/>
  <c r="S1617" i="1"/>
  <c r="Q1617" i="1"/>
  <c r="N1617" i="1"/>
  <c r="L1617" i="1"/>
  <c r="K1617" i="1"/>
  <c r="AB1617" i="1"/>
  <c r="I1617" i="1"/>
  <c r="X1616" i="1"/>
  <c r="Z1616" i="1" s="1"/>
  <c r="W1616" i="1"/>
  <c r="S1616" i="1"/>
  <c r="Q1616" i="1"/>
  <c r="N1616" i="1"/>
  <c r="L1616" i="1"/>
  <c r="K1616" i="1"/>
  <c r="AB1616" i="1"/>
  <c r="I1616" i="1"/>
  <c r="X1615" i="1"/>
  <c r="Z1615" i="1" s="1"/>
  <c r="W1615" i="1"/>
  <c r="S1615" i="1"/>
  <c r="Q1615" i="1"/>
  <c r="N1615" i="1"/>
  <c r="L1615" i="1"/>
  <c r="K1615" i="1"/>
  <c r="AB1615" i="1"/>
  <c r="I1615" i="1"/>
  <c r="X1614" i="1"/>
  <c r="Z1614" i="1" s="1"/>
  <c r="W1614" i="1"/>
  <c r="S1614" i="1"/>
  <c r="Q1614" i="1"/>
  <c r="N1614" i="1"/>
  <c r="L1614" i="1"/>
  <c r="K1614" i="1"/>
  <c r="AB1614" i="1"/>
  <c r="I1614" i="1"/>
  <c r="X1613" i="1"/>
  <c r="Z1613" i="1" s="1"/>
  <c r="W1613" i="1"/>
  <c r="S1613" i="1"/>
  <c r="Q1613" i="1"/>
  <c r="N1613" i="1"/>
  <c r="L1613" i="1"/>
  <c r="K1613" i="1"/>
  <c r="AB1613" i="1"/>
  <c r="I1613" i="1"/>
  <c r="X1612" i="1"/>
  <c r="Z1612" i="1" s="1"/>
  <c r="W1612" i="1"/>
  <c r="S1612" i="1"/>
  <c r="Q1612" i="1"/>
  <c r="N1612" i="1"/>
  <c r="L1612" i="1"/>
  <c r="K1612" i="1"/>
  <c r="AB1612" i="1"/>
  <c r="I1612" i="1"/>
  <c r="X1611" i="1"/>
  <c r="Z1611" i="1" s="1"/>
  <c r="W1611" i="1"/>
  <c r="S1611" i="1"/>
  <c r="Q1611" i="1"/>
  <c r="N1611" i="1"/>
  <c r="L1611" i="1"/>
  <c r="K1611" i="1"/>
  <c r="AB1611" i="1"/>
  <c r="I1611" i="1"/>
  <c r="X1610" i="1"/>
  <c r="Z1610" i="1" s="1"/>
  <c r="W1610" i="1"/>
  <c r="S1610" i="1"/>
  <c r="Q1610" i="1"/>
  <c r="N1610" i="1"/>
  <c r="L1610" i="1"/>
  <c r="K1610" i="1"/>
  <c r="AB1610" i="1"/>
  <c r="I1610" i="1"/>
  <c r="X1609" i="1"/>
  <c r="Z1609" i="1" s="1"/>
  <c r="W1609" i="1"/>
  <c r="S1609" i="1"/>
  <c r="Q1609" i="1"/>
  <c r="N1609" i="1"/>
  <c r="L1609" i="1"/>
  <c r="K1609" i="1"/>
  <c r="AB1609" i="1"/>
  <c r="I1609" i="1"/>
  <c r="X1608" i="1"/>
  <c r="Z1608" i="1" s="1"/>
  <c r="W1608" i="1"/>
  <c r="S1608" i="1"/>
  <c r="Q1608" i="1"/>
  <c r="N1608" i="1"/>
  <c r="L1608" i="1"/>
  <c r="K1608" i="1"/>
  <c r="AB1608" i="1"/>
  <c r="I1608" i="1"/>
  <c r="X1607" i="1"/>
  <c r="Z1607" i="1" s="1"/>
  <c r="W1607" i="1"/>
  <c r="S1607" i="1"/>
  <c r="Q1607" i="1"/>
  <c r="N1607" i="1"/>
  <c r="L1607" i="1"/>
  <c r="K1607" i="1"/>
  <c r="AB1607" i="1"/>
  <c r="I1607" i="1"/>
  <c r="X1606" i="1"/>
  <c r="Z1606" i="1" s="1"/>
  <c r="W1606" i="1"/>
  <c r="S1606" i="1"/>
  <c r="Q1606" i="1"/>
  <c r="N1606" i="1"/>
  <c r="L1606" i="1"/>
  <c r="K1606" i="1"/>
  <c r="AB1606" i="1"/>
  <c r="I1606" i="1"/>
  <c r="X1605" i="1"/>
  <c r="Z1605" i="1" s="1"/>
  <c r="W1605" i="1"/>
  <c r="S1605" i="1"/>
  <c r="Q1605" i="1"/>
  <c r="N1605" i="1"/>
  <c r="L1605" i="1"/>
  <c r="K1605" i="1"/>
  <c r="AB1605" i="1"/>
  <c r="I1605" i="1"/>
  <c r="X1604" i="1"/>
  <c r="Z1604" i="1" s="1"/>
  <c r="W1604" i="1"/>
  <c r="S1604" i="1"/>
  <c r="Q1604" i="1"/>
  <c r="N1604" i="1"/>
  <c r="L1604" i="1"/>
  <c r="K1604" i="1"/>
  <c r="AB1604" i="1"/>
  <c r="I1604" i="1"/>
  <c r="X1603" i="1"/>
  <c r="Z1603" i="1" s="1"/>
  <c r="W1603" i="1"/>
  <c r="S1603" i="1"/>
  <c r="Q1603" i="1"/>
  <c r="N1603" i="1"/>
  <c r="L1603" i="1"/>
  <c r="K1603" i="1"/>
  <c r="AB1603" i="1"/>
  <c r="I1603" i="1"/>
  <c r="X1602" i="1"/>
  <c r="Z1602" i="1" s="1"/>
  <c r="W1602" i="1"/>
  <c r="S1602" i="1"/>
  <c r="Q1602" i="1"/>
  <c r="N1602" i="1"/>
  <c r="L1602" i="1"/>
  <c r="K1602" i="1"/>
  <c r="AB1602" i="1"/>
  <c r="I1602" i="1"/>
  <c r="X1601" i="1"/>
  <c r="Z1601" i="1" s="1"/>
  <c r="W1601" i="1"/>
  <c r="S1601" i="1"/>
  <c r="Q1601" i="1"/>
  <c r="N1601" i="1"/>
  <c r="L1601" i="1"/>
  <c r="K1601" i="1"/>
  <c r="AB1601" i="1"/>
  <c r="I1601" i="1"/>
  <c r="X1600" i="1"/>
  <c r="Z1600" i="1" s="1"/>
  <c r="W1600" i="1"/>
  <c r="S1600" i="1"/>
  <c r="Q1600" i="1"/>
  <c r="N1600" i="1"/>
  <c r="L1600" i="1"/>
  <c r="K1600" i="1"/>
  <c r="AB1600" i="1"/>
  <c r="I1600" i="1"/>
  <c r="X1599" i="1"/>
  <c r="Z1599" i="1" s="1"/>
  <c r="W1599" i="1"/>
  <c r="S1599" i="1"/>
  <c r="Q1599" i="1"/>
  <c r="N1599" i="1"/>
  <c r="L1599" i="1"/>
  <c r="K1599" i="1"/>
  <c r="AB1599" i="1"/>
  <c r="I1599" i="1"/>
  <c r="X1598" i="1"/>
  <c r="Z1598" i="1" s="1"/>
  <c r="W1598" i="1"/>
  <c r="S1598" i="1"/>
  <c r="Q1598" i="1"/>
  <c r="N1598" i="1"/>
  <c r="L1598" i="1"/>
  <c r="K1598" i="1"/>
  <c r="AB1598" i="1"/>
  <c r="I1598" i="1"/>
  <c r="X1597" i="1"/>
  <c r="Z1597" i="1" s="1"/>
  <c r="W1597" i="1"/>
  <c r="S1597" i="1"/>
  <c r="Q1597" i="1"/>
  <c r="N1597" i="1"/>
  <c r="L1597" i="1"/>
  <c r="K1597" i="1"/>
  <c r="AB1597" i="1"/>
  <c r="I1597" i="1"/>
  <c r="X1596" i="1"/>
  <c r="Z1596" i="1" s="1"/>
  <c r="W1596" i="1"/>
  <c r="S1596" i="1"/>
  <c r="Q1596" i="1"/>
  <c r="N1596" i="1"/>
  <c r="L1596" i="1"/>
  <c r="K1596" i="1"/>
  <c r="AB1596" i="1"/>
  <c r="I1596" i="1"/>
  <c r="X1595" i="1"/>
  <c r="Z1595" i="1" s="1"/>
  <c r="W1595" i="1"/>
  <c r="S1595" i="1"/>
  <c r="Q1595" i="1"/>
  <c r="N1595" i="1"/>
  <c r="L1595" i="1"/>
  <c r="K1595" i="1"/>
  <c r="AB1595" i="1"/>
  <c r="I1595" i="1"/>
  <c r="X1594" i="1"/>
  <c r="Z1594" i="1" s="1"/>
  <c r="W1594" i="1"/>
  <c r="S1594" i="1"/>
  <c r="Q1594" i="1"/>
  <c r="N1594" i="1"/>
  <c r="L1594" i="1"/>
  <c r="K1594" i="1"/>
  <c r="AB1594" i="1"/>
  <c r="I1594" i="1"/>
  <c r="X1593" i="1"/>
  <c r="Z1593" i="1" s="1"/>
  <c r="W1593" i="1"/>
  <c r="S1593" i="1"/>
  <c r="Q1593" i="1"/>
  <c r="N1593" i="1"/>
  <c r="L1593" i="1"/>
  <c r="K1593" i="1"/>
  <c r="AB1593" i="1"/>
  <c r="I1593" i="1"/>
  <c r="X1592" i="1"/>
  <c r="Z1592" i="1" s="1"/>
  <c r="W1592" i="1"/>
  <c r="S1592" i="1"/>
  <c r="Q1592" i="1"/>
  <c r="N1592" i="1"/>
  <c r="L1592" i="1"/>
  <c r="K1592" i="1"/>
  <c r="AB1592" i="1"/>
  <c r="I1592" i="1"/>
  <c r="X1591" i="1"/>
  <c r="Z1591" i="1" s="1"/>
  <c r="W1591" i="1"/>
  <c r="S1591" i="1"/>
  <c r="Q1591" i="1"/>
  <c r="N1591" i="1"/>
  <c r="L1591" i="1"/>
  <c r="K1591" i="1"/>
  <c r="AB1591" i="1"/>
  <c r="I1591" i="1"/>
  <c r="X1590" i="1"/>
  <c r="Z1590" i="1" s="1"/>
  <c r="W1590" i="1"/>
  <c r="S1590" i="1"/>
  <c r="Q1590" i="1"/>
  <c r="N1590" i="1"/>
  <c r="L1590" i="1"/>
  <c r="K1590" i="1"/>
  <c r="AB1590" i="1"/>
  <c r="I1590" i="1"/>
  <c r="X1589" i="1"/>
  <c r="Z1589" i="1" s="1"/>
  <c r="W1589" i="1"/>
  <c r="S1589" i="1"/>
  <c r="Q1589" i="1"/>
  <c r="N1589" i="1"/>
  <c r="L1589" i="1"/>
  <c r="K1589" i="1"/>
  <c r="AB1589" i="1"/>
  <c r="I1589" i="1"/>
  <c r="X1588" i="1"/>
  <c r="Z1588" i="1" s="1"/>
  <c r="W1588" i="1"/>
  <c r="S1588" i="1"/>
  <c r="Q1588" i="1"/>
  <c r="N1588" i="1"/>
  <c r="L1588" i="1"/>
  <c r="K1588" i="1"/>
  <c r="AB1588" i="1"/>
  <c r="I1588" i="1"/>
  <c r="X1587" i="1"/>
  <c r="Z1587" i="1" s="1"/>
  <c r="W1587" i="1"/>
  <c r="S1587" i="1"/>
  <c r="Q1587" i="1"/>
  <c r="N1587" i="1"/>
  <c r="L1587" i="1"/>
  <c r="K1587" i="1"/>
  <c r="AB1587" i="1"/>
  <c r="I1587" i="1"/>
  <c r="X1586" i="1"/>
  <c r="Z1586" i="1" s="1"/>
  <c r="W1586" i="1"/>
  <c r="S1586" i="1"/>
  <c r="Q1586" i="1"/>
  <c r="N1586" i="1"/>
  <c r="L1586" i="1"/>
  <c r="K1586" i="1"/>
  <c r="AB1586" i="1"/>
  <c r="I1586" i="1"/>
  <c r="X1585" i="1"/>
  <c r="Z1585" i="1" s="1"/>
  <c r="W1585" i="1"/>
  <c r="S1585" i="1"/>
  <c r="Q1585" i="1"/>
  <c r="N1585" i="1"/>
  <c r="L1585" i="1"/>
  <c r="K1585" i="1"/>
  <c r="AB1585" i="1"/>
  <c r="I1585" i="1"/>
  <c r="X1584" i="1"/>
  <c r="Z1584" i="1" s="1"/>
  <c r="W1584" i="1"/>
  <c r="S1584" i="1"/>
  <c r="Q1584" i="1"/>
  <c r="N1584" i="1"/>
  <c r="L1584" i="1"/>
  <c r="K1584" i="1"/>
  <c r="AB1584" i="1"/>
  <c r="I1584" i="1"/>
  <c r="X1583" i="1"/>
  <c r="Z1583" i="1" s="1"/>
  <c r="W1583" i="1"/>
  <c r="S1583" i="1"/>
  <c r="Q1583" i="1"/>
  <c r="N1583" i="1"/>
  <c r="L1583" i="1"/>
  <c r="K1583" i="1"/>
  <c r="AB1583" i="1"/>
  <c r="I1583" i="1"/>
  <c r="X1582" i="1"/>
  <c r="Z1582" i="1" s="1"/>
  <c r="W1582" i="1"/>
  <c r="S1582" i="1"/>
  <c r="Q1582" i="1"/>
  <c r="N1582" i="1"/>
  <c r="L1582" i="1"/>
  <c r="K1582" i="1"/>
  <c r="AB1582" i="1"/>
  <c r="I1582" i="1"/>
  <c r="X1581" i="1"/>
  <c r="Z1581" i="1" s="1"/>
  <c r="W1581" i="1"/>
  <c r="S1581" i="1"/>
  <c r="Q1581" i="1"/>
  <c r="N1581" i="1"/>
  <c r="L1581" i="1"/>
  <c r="K1581" i="1"/>
  <c r="AB1581" i="1"/>
  <c r="I1581" i="1"/>
  <c r="X1580" i="1"/>
  <c r="Z1580" i="1" s="1"/>
  <c r="W1580" i="1"/>
  <c r="S1580" i="1"/>
  <c r="Q1580" i="1"/>
  <c r="N1580" i="1"/>
  <c r="L1580" i="1"/>
  <c r="K1580" i="1"/>
  <c r="AB1580" i="1"/>
  <c r="I1580" i="1"/>
  <c r="X1579" i="1"/>
  <c r="Z1579" i="1" s="1"/>
  <c r="W1579" i="1"/>
  <c r="S1579" i="1"/>
  <c r="Q1579" i="1"/>
  <c r="N1579" i="1"/>
  <c r="L1579" i="1"/>
  <c r="K1579" i="1"/>
  <c r="AB1579" i="1"/>
  <c r="I1579" i="1"/>
  <c r="X1578" i="1"/>
  <c r="Z1578" i="1" s="1"/>
  <c r="W1578" i="1"/>
  <c r="S1578" i="1"/>
  <c r="Q1578" i="1"/>
  <c r="N1578" i="1"/>
  <c r="L1578" i="1"/>
  <c r="K1578" i="1"/>
  <c r="AB1578" i="1"/>
  <c r="I1578" i="1"/>
  <c r="X1577" i="1"/>
  <c r="Z1577" i="1" s="1"/>
  <c r="W1577" i="1"/>
  <c r="S1577" i="1"/>
  <c r="Q1577" i="1"/>
  <c r="N1577" i="1"/>
  <c r="L1577" i="1"/>
  <c r="K1577" i="1"/>
  <c r="AB1577" i="1"/>
  <c r="I1577" i="1"/>
  <c r="X1576" i="1"/>
  <c r="Z1576" i="1" s="1"/>
  <c r="W1576" i="1"/>
  <c r="S1576" i="1"/>
  <c r="Q1576" i="1"/>
  <c r="N1576" i="1"/>
  <c r="L1576" i="1"/>
  <c r="K1576" i="1"/>
  <c r="AB1576" i="1"/>
  <c r="I1576" i="1"/>
  <c r="X1575" i="1"/>
  <c r="Z1575" i="1" s="1"/>
  <c r="W1575" i="1"/>
  <c r="S1575" i="1"/>
  <c r="Q1575" i="1"/>
  <c r="N1575" i="1"/>
  <c r="L1575" i="1"/>
  <c r="K1575" i="1"/>
  <c r="AB1575" i="1"/>
  <c r="I1575" i="1"/>
  <c r="X1574" i="1"/>
  <c r="Z1574" i="1" s="1"/>
  <c r="W1574" i="1"/>
  <c r="S1574" i="1"/>
  <c r="Q1574" i="1"/>
  <c r="N1574" i="1"/>
  <c r="L1574" i="1"/>
  <c r="K1574" i="1"/>
  <c r="AB1574" i="1"/>
  <c r="I1574" i="1"/>
  <c r="X1573" i="1"/>
  <c r="Z1573" i="1" s="1"/>
  <c r="W1573" i="1"/>
  <c r="S1573" i="1"/>
  <c r="Q1573" i="1"/>
  <c r="N1573" i="1"/>
  <c r="L1573" i="1"/>
  <c r="K1573" i="1"/>
  <c r="AB1573" i="1"/>
  <c r="I1573" i="1"/>
  <c r="X1572" i="1"/>
  <c r="Z1572" i="1" s="1"/>
  <c r="W1572" i="1"/>
  <c r="S1572" i="1"/>
  <c r="Q1572" i="1"/>
  <c r="N1572" i="1"/>
  <c r="L1572" i="1"/>
  <c r="K1572" i="1"/>
  <c r="AB1572" i="1"/>
  <c r="I1572" i="1"/>
  <c r="X1571" i="1"/>
  <c r="Z1571" i="1" s="1"/>
  <c r="W1571" i="1"/>
  <c r="S1571" i="1"/>
  <c r="Q1571" i="1"/>
  <c r="N1571" i="1"/>
  <c r="L1571" i="1"/>
  <c r="K1571" i="1"/>
  <c r="AB1571" i="1"/>
  <c r="I1571" i="1"/>
  <c r="X1570" i="1"/>
  <c r="Z1570" i="1" s="1"/>
  <c r="W1570" i="1"/>
  <c r="S1570" i="1"/>
  <c r="Q1570" i="1"/>
  <c r="N1570" i="1"/>
  <c r="L1570" i="1"/>
  <c r="K1570" i="1"/>
  <c r="AB1570" i="1"/>
  <c r="I1570" i="1"/>
  <c r="X1569" i="1"/>
  <c r="Z1569" i="1" s="1"/>
  <c r="W1569" i="1"/>
  <c r="S1569" i="1"/>
  <c r="Q1569" i="1"/>
  <c r="N1569" i="1"/>
  <c r="L1569" i="1"/>
  <c r="K1569" i="1"/>
  <c r="AB1569" i="1"/>
  <c r="I1569" i="1"/>
  <c r="X1568" i="1"/>
  <c r="Z1568" i="1" s="1"/>
  <c r="W1568" i="1"/>
  <c r="S1568" i="1"/>
  <c r="Q1568" i="1"/>
  <c r="N1568" i="1"/>
  <c r="L1568" i="1"/>
  <c r="K1568" i="1"/>
  <c r="AB1568" i="1"/>
  <c r="I1568" i="1"/>
  <c r="X1567" i="1"/>
  <c r="Z1567" i="1" s="1"/>
  <c r="W1567" i="1"/>
  <c r="S1567" i="1"/>
  <c r="Q1567" i="1"/>
  <c r="N1567" i="1"/>
  <c r="L1567" i="1"/>
  <c r="K1567" i="1"/>
  <c r="AB1567" i="1"/>
  <c r="I1567" i="1"/>
  <c r="X1566" i="1"/>
  <c r="Z1566" i="1" s="1"/>
  <c r="W1566" i="1"/>
  <c r="S1566" i="1"/>
  <c r="Q1566" i="1"/>
  <c r="N1566" i="1"/>
  <c r="L1566" i="1"/>
  <c r="K1566" i="1"/>
  <c r="AB1566" i="1"/>
  <c r="I1566" i="1"/>
  <c r="X1565" i="1"/>
  <c r="Z1565" i="1" s="1"/>
  <c r="W1565" i="1"/>
  <c r="S1565" i="1"/>
  <c r="Q1565" i="1"/>
  <c r="N1565" i="1"/>
  <c r="L1565" i="1"/>
  <c r="K1565" i="1"/>
  <c r="AB1565" i="1"/>
  <c r="I1565" i="1"/>
  <c r="X1564" i="1"/>
  <c r="Z1564" i="1" s="1"/>
  <c r="W1564" i="1"/>
  <c r="S1564" i="1"/>
  <c r="Q1564" i="1"/>
  <c r="N1564" i="1"/>
  <c r="L1564" i="1"/>
  <c r="K1564" i="1"/>
  <c r="AB1564" i="1"/>
  <c r="I1564" i="1"/>
  <c r="X1563" i="1"/>
  <c r="Z1563" i="1" s="1"/>
  <c r="W1563" i="1"/>
  <c r="S1563" i="1"/>
  <c r="Q1563" i="1"/>
  <c r="N1563" i="1"/>
  <c r="L1563" i="1"/>
  <c r="K1563" i="1"/>
  <c r="AB1563" i="1"/>
  <c r="I1563" i="1"/>
  <c r="X1562" i="1"/>
  <c r="Z1562" i="1" s="1"/>
  <c r="W1562" i="1"/>
  <c r="S1562" i="1"/>
  <c r="Q1562" i="1"/>
  <c r="N1562" i="1"/>
  <c r="L1562" i="1"/>
  <c r="K1562" i="1"/>
  <c r="AB1562" i="1"/>
  <c r="I1562" i="1"/>
  <c r="X1561" i="1"/>
  <c r="Z1561" i="1" s="1"/>
  <c r="W1561" i="1"/>
  <c r="S1561" i="1"/>
  <c r="Q1561" i="1"/>
  <c r="N1561" i="1"/>
  <c r="L1561" i="1"/>
  <c r="K1561" i="1"/>
  <c r="AB1561" i="1"/>
  <c r="I1561" i="1"/>
  <c r="X1560" i="1"/>
  <c r="Z1560" i="1" s="1"/>
  <c r="W1560" i="1"/>
  <c r="S1560" i="1"/>
  <c r="Q1560" i="1"/>
  <c r="N1560" i="1"/>
  <c r="L1560" i="1"/>
  <c r="K1560" i="1"/>
  <c r="AB1560" i="1"/>
  <c r="I1560" i="1"/>
  <c r="X1559" i="1"/>
  <c r="Z1559" i="1" s="1"/>
  <c r="W1559" i="1"/>
  <c r="S1559" i="1"/>
  <c r="Q1559" i="1"/>
  <c r="N1559" i="1"/>
  <c r="L1559" i="1"/>
  <c r="K1559" i="1"/>
  <c r="AB1559" i="1"/>
  <c r="I1559" i="1"/>
  <c r="X1558" i="1"/>
  <c r="Z1558" i="1" s="1"/>
  <c r="W1558" i="1"/>
  <c r="S1558" i="1"/>
  <c r="Q1558" i="1"/>
  <c r="N1558" i="1"/>
  <c r="L1558" i="1"/>
  <c r="K1558" i="1"/>
  <c r="AB1558" i="1"/>
  <c r="I1558" i="1"/>
  <c r="X1557" i="1"/>
  <c r="Z1557" i="1" s="1"/>
  <c r="W1557" i="1"/>
  <c r="S1557" i="1"/>
  <c r="Q1557" i="1"/>
  <c r="N1557" i="1"/>
  <c r="L1557" i="1"/>
  <c r="K1557" i="1"/>
  <c r="AB1557" i="1"/>
  <c r="I1557" i="1"/>
  <c r="X1556" i="1"/>
  <c r="Z1556" i="1" s="1"/>
  <c r="W1556" i="1"/>
  <c r="S1556" i="1"/>
  <c r="Q1556" i="1"/>
  <c r="N1556" i="1"/>
  <c r="L1556" i="1"/>
  <c r="K1556" i="1"/>
  <c r="AB1556" i="1"/>
  <c r="I1556" i="1"/>
  <c r="X1555" i="1"/>
  <c r="Z1555" i="1" s="1"/>
  <c r="W1555" i="1"/>
  <c r="S1555" i="1"/>
  <c r="Q1555" i="1"/>
  <c r="N1555" i="1"/>
  <c r="L1555" i="1"/>
  <c r="K1555" i="1"/>
  <c r="AB1555" i="1"/>
  <c r="I1555" i="1"/>
  <c r="X1554" i="1"/>
  <c r="Z1554" i="1" s="1"/>
  <c r="W1554" i="1"/>
  <c r="S1554" i="1"/>
  <c r="Q1554" i="1"/>
  <c r="N1554" i="1"/>
  <c r="L1554" i="1"/>
  <c r="K1554" i="1"/>
  <c r="AB1554" i="1"/>
  <c r="I1554" i="1"/>
  <c r="X1553" i="1"/>
  <c r="Z1553" i="1" s="1"/>
  <c r="W1553" i="1"/>
  <c r="S1553" i="1"/>
  <c r="Q1553" i="1"/>
  <c r="N1553" i="1"/>
  <c r="L1553" i="1"/>
  <c r="K1553" i="1"/>
  <c r="AB1553" i="1"/>
  <c r="I1553" i="1"/>
  <c r="X1552" i="1"/>
  <c r="Z1552" i="1" s="1"/>
  <c r="W1552" i="1"/>
  <c r="S1552" i="1"/>
  <c r="Q1552" i="1"/>
  <c r="N1552" i="1"/>
  <c r="L1552" i="1"/>
  <c r="K1552" i="1"/>
  <c r="AB1552" i="1"/>
  <c r="I1552" i="1"/>
  <c r="X1551" i="1"/>
  <c r="Z1551" i="1" s="1"/>
  <c r="W1551" i="1"/>
  <c r="S1551" i="1"/>
  <c r="Q1551" i="1"/>
  <c r="N1551" i="1"/>
  <c r="L1551" i="1"/>
  <c r="K1551" i="1"/>
  <c r="AB1551" i="1"/>
  <c r="I1551" i="1"/>
  <c r="X1550" i="1"/>
  <c r="Z1550" i="1" s="1"/>
  <c r="W1550" i="1"/>
  <c r="S1550" i="1"/>
  <c r="Q1550" i="1"/>
  <c r="N1550" i="1"/>
  <c r="L1550" i="1"/>
  <c r="K1550" i="1"/>
  <c r="AB1550" i="1"/>
  <c r="I1550" i="1"/>
  <c r="X1549" i="1"/>
  <c r="Z1549" i="1" s="1"/>
  <c r="W1549" i="1"/>
  <c r="S1549" i="1"/>
  <c r="Q1549" i="1"/>
  <c r="N1549" i="1"/>
  <c r="L1549" i="1"/>
  <c r="K1549" i="1"/>
  <c r="AB1549" i="1"/>
  <c r="I1549" i="1"/>
  <c r="X1548" i="1"/>
  <c r="Z1548" i="1" s="1"/>
  <c r="W1548" i="1"/>
  <c r="S1548" i="1"/>
  <c r="Q1548" i="1"/>
  <c r="N1548" i="1"/>
  <c r="L1548" i="1"/>
  <c r="K1548" i="1"/>
  <c r="AB1548" i="1"/>
  <c r="I1548" i="1"/>
  <c r="X1547" i="1"/>
  <c r="Z1547" i="1" s="1"/>
  <c r="W1547" i="1"/>
  <c r="S1547" i="1"/>
  <c r="Q1547" i="1"/>
  <c r="N1547" i="1"/>
  <c r="L1547" i="1"/>
  <c r="K1547" i="1"/>
  <c r="AB1547" i="1"/>
  <c r="I1547" i="1"/>
  <c r="X1546" i="1"/>
  <c r="Z1546" i="1" s="1"/>
  <c r="W1546" i="1"/>
  <c r="S1546" i="1"/>
  <c r="Q1546" i="1"/>
  <c r="N1546" i="1"/>
  <c r="L1546" i="1"/>
  <c r="K1546" i="1"/>
  <c r="AB1546" i="1"/>
  <c r="I1546" i="1"/>
  <c r="X1545" i="1"/>
  <c r="Z1545" i="1" s="1"/>
  <c r="W1545" i="1"/>
  <c r="S1545" i="1"/>
  <c r="Q1545" i="1"/>
  <c r="N1545" i="1"/>
  <c r="L1545" i="1"/>
  <c r="K1545" i="1"/>
  <c r="AB1545" i="1"/>
  <c r="I1545" i="1"/>
  <c r="X1544" i="1"/>
  <c r="Z1544" i="1" s="1"/>
  <c r="W1544" i="1"/>
  <c r="S1544" i="1"/>
  <c r="Q1544" i="1"/>
  <c r="N1544" i="1"/>
  <c r="L1544" i="1"/>
  <c r="K1544" i="1"/>
  <c r="AB1544" i="1"/>
  <c r="I1544" i="1"/>
  <c r="X1543" i="1"/>
  <c r="Z1543" i="1" s="1"/>
  <c r="W1543" i="1"/>
  <c r="S1543" i="1"/>
  <c r="Q1543" i="1"/>
  <c r="N1543" i="1"/>
  <c r="L1543" i="1"/>
  <c r="K1543" i="1"/>
  <c r="AB1543" i="1"/>
  <c r="I1543" i="1"/>
  <c r="X1542" i="1"/>
  <c r="Z1542" i="1" s="1"/>
  <c r="W1542" i="1"/>
  <c r="S1542" i="1"/>
  <c r="Q1542" i="1"/>
  <c r="N1542" i="1"/>
  <c r="L1542" i="1"/>
  <c r="K1542" i="1"/>
  <c r="AB1542" i="1"/>
  <c r="I1542" i="1"/>
  <c r="X1541" i="1"/>
  <c r="Z1541" i="1" s="1"/>
  <c r="W1541" i="1"/>
  <c r="S1541" i="1"/>
  <c r="Q1541" i="1"/>
  <c r="N1541" i="1"/>
  <c r="L1541" i="1"/>
  <c r="K1541" i="1"/>
  <c r="AB1541" i="1"/>
  <c r="I1541" i="1"/>
  <c r="X1540" i="1"/>
  <c r="Z1540" i="1" s="1"/>
  <c r="W1540" i="1"/>
  <c r="S1540" i="1"/>
  <c r="Q1540" i="1"/>
  <c r="N1540" i="1"/>
  <c r="L1540" i="1"/>
  <c r="K1540" i="1"/>
  <c r="AB1540" i="1"/>
  <c r="I1540" i="1"/>
  <c r="X1539" i="1"/>
  <c r="Z1539" i="1" s="1"/>
  <c r="W1539" i="1"/>
  <c r="S1539" i="1"/>
  <c r="Q1539" i="1"/>
  <c r="N1539" i="1"/>
  <c r="L1539" i="1"/>
  <c r="K1539" i="1"/>
  <c r="AB1539" i="1"/>
  <c r="I1539" i="1"/>
  <c r="X1538" i="1"/>
  <c r="Z1538" i="1" s="1"/>
  <c r="W1538" i="1"/>
  <c r="S1538" i="1"/>
  <c r="Q1538" i="1"/>
  <c r="N1538" i="1"/>
  <c r="L1538" i="1"/>
  <c r="K1538" i="1"/>
  <c r="AB1538" i="1"/>
  <c r="I1538" i="1"/>
  <c r="X1537" i="1"/>
  <c r="Z1537" i="1" s="1"/>
  <c r="W1537" i="1"/>
  <c r="S1537" i="1"/>
  <c r="Q1537" i="1"/>
  <c r="N1537" i="1"/>
  <c r="L1537" i="1"/>
  <c r="K1537" i="1"/>
  <c r="AB1537" i="1"/>
  <c r="I1537" i="1"/>
  <c r="X1536" i="1"/>
  <c r="Z1536" i="1" s="1"/>
  <c r="W1536" i="1"/>
  <c r="S1536" i="1"/>
  <c r="Q1536" i="1"/>
  <c r="N1536" i="1"/>
  <c r="L1536" i="1"/>
  <c r="K1536" i="1"/>
  <c r="AB1536" i="1"/>
  <c r="I1536" i="1"/>
  <c r="X1535" i="1"/>
  <c r="Z1535" i="1" s="1"/>
  <c r="W1535" i="1"/>
  <c r="S1535" i="1"/>
  <c r="Q1535" i="1"/>
  <c r="N1535" i="1"/>
  <c r="L1535" i="1"/>
  <c r="K1535" i="1"/>
  <c r="AB1535" i="1"/>
  <c r="I1535" i="1"/>
  <c r="X1534" i="1"/>
  <c r="Z1534" i="1" s="1"/>
  <c r="W1534" i="1"/>
  <c r="S1534" i="1"/>
  <c r="Q1534" i="1"/>
  <c r="N1534" i="1"/>
  <c r="L1534" i="1"/>
  <c r="K1534" i="1"/>
  <c r="AB1534" i="1"/>
  <c r="I1534" i="1"/>
  <c r="X1533" i="1"/>
  <c r="Z1533" i="1" s="1"/>
  <c r="W1533" i="1"/>
  <c r="S1533" i="1"/>
  <c r="Q1533" i="1"/>
  <c r="N1533" i="1"/>
  <c r="L1533" i="1"/>
  <c r="K1533" i="1"/>
  <c r="AB1533" i="1"/>
  <c r="I1533" i="1"/>
  <c r="X1532" i="1"/>
  <c r="Z1532" i="1" s="1"/>
  <c r="W1532" i="1"/>
  <c r="S1532" i="1"/>
  <c r="Q1532" i="1"/>
  <c r="N1532" i="1"/>
  <c r="L1532" i="1"/>
  <c r="K1532" i="1"/>
  <c r="AB1532" i="1"/>
  <c r="I1532" i="1"/>
  <c r="X1531" i="1"/>
  <c r="Z1531" i="1" s="1"/>
  <c r="W1531" i="1"/>
  <c r="S1531" i="1"/>
  <c r="Q1531" i="1"/>
  <c r="N1531" i="1"/>
  <c r="L1531" i="1"/>
  <c r="K1531" i="1"/>
  <c r="AB1531" i="1"/>
  <c r="I1531" i="1"/>
  <c r="X1530" i="1"/>
  <c r="Z1530" i="1" s="1"/>
  <c r="W1530" i="1"/>
  <c r="S1530" i="1"/>
  <c r="Q1530" i="1"/>
  <c r="N1530" i="1"/>
  <c r="L1530" i="1"/>
  <c r="K1530" i="1"/>
  <c r="AB1530" i="1"/>
  <c r="I1530" i="1"/>
  <c r="X1529" i="1"/>
  <c r="Z1529" i="1" s="1"/>
  <c r="W1529" i="1"/>
  <c r="S1529" i="1"/>
  <c r="Q1529" i="1"/>
  <c r="N1529" i="1"/>
  <c r="L1529" i="1"/>
  <c r="K1529" i="1"/>
  <c r="AB1529" i="1"/>
  <c r="I1529" i="1"/>
  <c r="X1528" i="1"/>
  <c r="Z1528" i="1" s="1"/>
  <c r="W1528" i="1"/>
  <c r="S1528" i="1"/>
  <c r="Q1528" i="1"/>
  <c r="N1528" i="1"/>
  <c r="L1528" i="1"/>
  <c r="K1528" i="1"/>
  <c r="AB1528" i="1"/>
  <c r="I1528" i="1"/>
  <c r="X1527" i="1"/>
  <c r="Z1527" i="1" s="1"/>
  <c r="W1527" i="1"/>
  <c r="S1527" i="1"/>
  <c r="Q1527" i="1"/>
  <c r="N1527" i="1"/>
  <c r="L1527" i="1"/>
  <c r="K1527" i="1"/>
  <c r="AB1527" i="1"/>
  <c r="I1527" i="1"/>
  <c r="X1526" i="1"/>
  <c r="Z1526" i="1" s="1"/>
  <c r="W1526" i="1"/>
  <c r="S1526" i="1"/>
  <c r="Q1526" i="1"/>
  <c r="N1526" i="1"/>
  <c r="L1526" i="1"/>
  <c r="K1526" i="1"/>
  <c r="AB1526" i="1"/>
  <c r="I1526" i="1"/>
  <c r="X1525" i="1"/>
  <c r="Z1525" i="1" s="1"/>
  <c r="W1525" i="1"/>
  <c r="S1525" i="1"/>
  <c r="Q1525" i="1"/>
  <c r="N1525" i="1"/>
  <c r="L1525" i="1"/>
  <c r="K1525" i="1"/>
  <c r="AB1525" i="1"/>
  <c r="I1525" i="1"/>
  <c r="X1524" i="1"/>
  <c r="Z1524" i="1" s="1"/>
  <c r="W1524" i="1"/>
  <c r="S1524" i="1"/>
  <c r="Q1524" i="1"/>
  <c r="N1524" i="1"/>
  <c r="L1524" i="1"/>
  <c r="K1524" i="1"/>
  <c r="AB1524" i="1"/>
  <c r="I1524" i="1"/>
  <c r="X1523" i="1"/>
  <c r="Z1523" i="1" s="1"/>
  <c r="W1523" i="1"/>
  <c r="S1523" i="1"/>
  <c r="Q1523" i="1"/>
  <c r="N1523" i="1"/>
  <c r="L1523" i="1"/>
  <c r="K1523" i="1"/>
  <c r="AB1523" i="1"/>
  <c r="I1523" i="1"/>
  <c r="X1522" i="1"/>
  <c r="Z1522" i="1" s="1"/>
  <c r="W1522" i="1"/>
  <c r="S1522" i="1"/>
  <c r="Q1522" i="1"/>
  <c r="N1522" i="1"/>
  <c r="L1522" i="1"/>
  <c r="K1522" i="1"/>
  <c r="AB1522" i="1"/>
  <c r="I1522" i="1"/>
  <c r="X1521" i="1"/>
  <c r="Z1521" i="1" s="1"/>
  <c r="W1521" i="1"/>
  <c r="S1521" i="1"/>
  <c r="Q1521" i="1"/>
  <c r="N1521" i="1"/>
  <c r="L1521" i="1"/>
  <c r="K1521" i="1"/>
  <c r="AB1521" i="1"/>
  <c r="I1521" i="1"/>
  <c r="X1520" i="1"/>
  <c r="Z1520" i="1" s="1"/>
  <c r="W1520" i="1"/>
  <c r="S1520" i="1"/>
  <c r="Q1520" i="1"/>
  <c r="N1520" i="1"/>
  <c r="L1520" i="1"/>
  <c r="K1520" i="1"/>
  <c r="AB1520" i="1"/>
  <c r="I1520" i="1"/>
  <c r="X1519" i="1"/>
  <c r="Z1519" i="1" s="1"/>
  <c r="W1519" i="1"/>
  <c r="S1519" i="1"/>
  <c r="Q1519" i="1"/>
  <c r="N1519" i="1"/>
  <c r="L1519" i="1"/>
  <c r="K1519" i="1"/>
  <c r="AB1519" i="1"/>
  <c r="I1519" i="1"/>
  <c r="X1518" i="1"/>
  <c r="Z1518" i="1" s="1"/>
  <c r="W1518" i="1"/>
  <c r="S1518" i="1"/>
  <c r="Q1518" i="1"/>
  <c r="N1518" i="1"/>
  <c r="L1518" i="1"/>
  <c r="K1518" i="1"/>
  <c r="AB1518" i="1"/>
  <c r="I1518" i="1"/>
  <c r="X1517" i="1"/>
  <c r="Z1517" i="1" s="1"/>
  <c r="W1517" i="1"/>
  <c r="S1517" i="1"/>
  <c r="Q1517" i="1"/>
  <c r="N1517" i="1"/>
  <c r="L1517" i="1"/>
  <c r="K1517" i="1"/>
  <c r="AB1517" i="1"/>
  <c r="I1517" i="1"/>
  <c r="X1516" i="1"/>
  <c r="Z1516" i="1" s="1"/>
  <c r="W1516" i="1"/>
  <c r="S1516" i="1"/>
  <c r="Q1516" i="1"/>
  <c r="N1516" i="1"/>
  <c r="L1516" i="1"/>
  <c r="K1516" i="1"/>
  <c r="AB1516" i="1"/>
  <c r="I1516" i="1"/>
  <c r="X1515" i="1"/>
  <c r="Z1515" i="1" s="1"/>
  <c r="W1515" i="1"/>
  <c r="S1515" i="1"/>
  <c r="Q1515" i="1"/>
  <c r="N1515" i="1"/>
  <c r="L1515" i="1"/>
  <c r="K1515" i="1"/>
  <c r="AB1515" i="1"/>
  <c r="I1515" i="1"/>
  <c r="X1514" i="1"/>
  <c r="Z1514" i="1" s="1"/>
  <c r="W1514" i="1"/>
  <c r="S1514" i="1"/>
  <c r="Q1514" i="1"/>
  <c r="N1514" i="1"/>
  <c r="L1514" i="1"/>
  <c r="K1514" i="1"/>
  <c r="AB1514" i="1"/>
  <c r="I1514" i="1"/>
  <c r="X1513" i="1"/>
  <c r="Z1513" i="1" s="1"/>
  <c r="W1513" i="1"/>
  <c r="S1513" i="1"/>
  <c r="Q1513" i="1"/>
  <c r="N1513" i="1"/>
  <c r="L1513" i="1"/>
  <c r="K1513" i="1"/>
  <c r="AB1513" i="1"/>
  <c r="I1513" i="1"/>
  <c r="X1512" i="1"/>
  <c r="Z1512" i="1" s="1"/>
  <c r="W1512" i="1"/>
  <c r="S1512" i="1"/>
  <c r="Q1512" i="1"/>
  <c r="N1512" i="1"/>
  <c r="L1512" i="1"/>
  <c r="K1512" i="1"/>
  <c r="AB1512" i="1"/>
  <c r="I1512" i="1"/>
  <c r="X1511" i="1"/>
  <c r="Z1511" i="1" s="1"/>
  <c r="W1511" i="1"/>
  <c r="S1511" i="1"/>
  <c r="Q1511" i="1"/>
  <c r="N1511" i="1"/>
  <c r="L1511" i="1"/>
  <c r="K1511" i="1"/>
  <c r="AB1511" i="1"/>
  <c r="I1511" i="1"/>
  <c r="X1510" i="1"/>
  <c r="Z1510" i="1" s="1"/>
  <c r="W1510" i="1"/>
  <c r="S1510" i="1"/>
  <c r="Q1510" i="1"/>
  <c r="N1510" i="1"/>
  <c r="L1510" i="1"/>
  <c r="K1510" i="1"/>
  <c r="AB1510" i="1"/>
  <c r="I1510" i="1"/>
  <c r="X1509" i="1"/>
  <c r="Z1509" i="1" s="1"/>
  <c r="W1509" i="1"/>
  <c r="S1509" i="1"/>
  <c r="Q1509" i="1"/>
  <c r="N1509" i="1"/>
  <c r="L1509" i="1"/>
  <c r="K1509" i="1"/>
  <c r="AB1509" i="1"/>
  <c r="I1509" i="1"/>
  <c r="X1508" i="1"/>
  <c r="Z1508" i="1" s="1"/>
  <c r="W1508" i="1"/>
  <c r="S1508" i="1"/>
  <c r="Q1508" i="1"/>
  <c r="N1508" i="1"/>
  <c r="L1508" i="1"/>
  <c r="K1508" i="1"/>
  <c r="AB1508" i="1"/>
  <c r="I1508" i="1"/>
  <c r="X1507" i="1"/>
  <c r="Z1507" i="1" s="1"/>
  <c r="W1507" i="1"/>
  <c r="S1507" i="1"/>
  <c r="Q1507" i="1"/>
  <c r="N1507" i="1"/>
  <c r="L1507" i="1"/>
  <c r="K1507" i="1"/>
  <c r="AB1507" i="1"/>
  <c r="I1507" i="1"/>
  <c r="X1506" i="1"/>
  <c r="Z1506" i="1" s="1"/>
  <c r="W1506" i="1"/>
  <c r="S1506" i="1"/>
  <c r="Q1506" i="1"/>
  <c r="N1506" i="1"/>
  <c r="L1506" i="1"/>
  <c r="K1506" i="1"/>
  <c r="AB1506" i="1"/>
  <c r="I1506" i="1"/>
  <c r="X1505" i="1"/>
  <c r="Z1505" i="1" s="1"/>
  <c r="W1505" i="1"/>
  <c r="S1505" i="1"/>
  <c r="Q1505" i="1"/>
  <c r="N1505" i="1"/>
  <c r="L1505" i="1"/>
  <c r="K1505" i="1"/>
  <c r="AB1505" i="1"/>
  <c r="I1505" i="1"/>
  <c r="X1504" i="1"/>
  <c r="Z1504" i="1" s="1"/>
  <c r="W1504" i="1"/>
  <c r="S1504" i="1"/>
  <c r="Q1504" i="1"/>
  <c r="N1504" i="1"/>
  <c r="L1504" i="1"/>
  <c r="K1504" i="1"/>
  <c r="AB1504" i="1"/>
  <c r="I1504" i="1"/>
  <c r="X1503" i="1"/>
  <c r="Z1503" i="1" s="1"/>
  <c r="W1503" i="1"/>
  <c r="S1503" i="1"/>
  <c r="Q1503" i="1"/>
  <c r="N1503" i="1"/>
  <c r="L1503" i="1"/>
  <c r="K1503" i="1"/>
  <c r="AB1503" i="1"/>
  <c r="I1503" i="1"/>
  <c r="X1502" i="1"/>
  <c r="Z1502" i="1" s="1"/>
  <c r="W1502" i="1"/>
  <c r="S1502" i="1"/>
  <c r="Q1502" i="1"/>
  <c r="N1502" i="1"/>
  <c r="L1502" i="1"/>
  <c r="K1502" i="1"/>
  <c r="AB1502" i="1"/>
  <c r="I1502" i="1"/>
  <c r="X1501" i="1"/>
  <c r="Z1501" i="1" s="1"/>
  <c r="W1501" i="1"/>
  <c r="S1501" i="1"/>
  <c r="Q1501" i="1"/>
  <c r="N1501" i="1"/>
  <c r="L1501" i="1"/>
  <c r="K1501" i="1"/>
  <c r="AB1501" i="1"/>
  <c r="I1501" i="1"/>
  <c r="X1500" i="1"/>
  <c r="Z1500" i="1" s="1"/>
  <c r="W1500" i="1"/>
  <c r="S1500" i="1"/>
  <c r="Q1500" i="1"/>
  <c r="N1500" i="1"/>
  <c r="L1500" i="1"/>
  <c r="K1500" i="1"/>
  <c r="AB1500" i="1"/>
  <c r="I1500" i="1"/>
  <c r="X1499" i="1"/>
  <c r="Z1499" i="1" s="1"/>
  <c r="W1499" i="1"/>
  <c r="S1499" i="1"/>
  <c r="Q1499" i="1"/>
  <c r="N1499" i="1"/>
  <c r="L1499" i="1"/>
  <c r="K1499" i="1"/>
  <c r="AB1499" i="1"/>
  <c r="I1499" i="1"/>
  <c r="X1498" i="1"/>
  <c r="Z1498" i="1" s="1"/>
  <c r="W1498" i="1"/>
  <c r="S1498" i="1"/>
  <c r="Q1498" i="1"/>
  <c r="N1498" i="1"/>
  <c r="L1498" i="1"/>
  <c r="K1498" i="1"/>
  <c r="AB1498" i="1"/>
  <c r="I1498" i="1"/>
  <c r="X1497" i="1"/>
  <c r="Z1497" i="1" s="1"/>
  <c r="W1497" i="1"/>
  <c r="S1497" i="1"/>
  <c r="Q1497" i="1"/>
  <c r="N1497" i="1"/>
  <c r="L1497" i="1"/>
  <c r="K1497" i="1"/>
  <c r="AB1497" i="1"/>
  <c r="I1497" i="1"/>
  <c r="X1496" i="1"/>
  <c r="Z1496" i="1" s="1"/>
  <c r="W1496" i="1"/>
  <c r="S1496" i="1"/>
  <c r="Q1496" i="1"/>
  <c r="N1496" i="1"/>
  <c r="L1496" i="1"/>
  <c r="K1496" i="1"/>
  <c r="AB1496" i="1"/>
  <c r="I1496" i="1"/>
  <c r="X1495" i="1"/>
  <c r="Z1495" i="1" s="1"/>
  <c r="W1495" i="1"/>
  <c r="S1495" i="1"/>
  <c r="Q1495" i="1"/>
  <c r="N1495" i="1"/>
  <c r="L1495" i="1"/>
  <c r="K1495" i="1"/>
  <c r="AB1495" i="1"/>
  <c r="I1495" i="1"/>
  <c r="X1494" i="1"/>
  <c r="Z1494" i="1" s="1"/>
  <c r="W1494" i="1"/>
  <c r="S1494" i="1"/>
  <c r="Q1494" i="1"/>
  <c r="N1494" i="1"/>
  <c r="L1494" i="1"/>
  <c r="K1494" i="1"/>
  <c r="AB1494" i="1"/>
  <c r="I1494" i="1"/>
  <c r="X1493" i="1"/>
  <c r="Z1493" i="1" s="1"/>
  <c r="W1493" i="1"/>
  <c r="S1493" i="1"/>
  <c r="Q1493" i="1"/>
  <c r="N1493" i="1"/>
  <c r="L1493" i="1"/>
  <c r="K1493" i="1"/>
  <c r="AB1493" i="1"/>
  <c r="I1493" i="1"/>
  <c r="X1492" i="1"/>
  <c r="Z1492" i="1" s="1"/>
  <c r="W1492" i="1"/>
  <c r="S1492" i="1"/>
  <c r="Q1492" i="1"/>
  <c r="N1492" i="1"/>
  <c r="L1492" i="1"/>
  <c r="K1492" i="1"/>
  <c r="AB1492" i="1"/>
  <c r="I1492" i="1"/>
  <c r="X1491" i="1"/>
  <c r="Z1491" i="1" s="1"/>
  <c r="W1491" i="1"/>
  <c r="S1491" i="1"/>
  <c r="Q1491" i="1"/>
  <c r="N1491" i="1"/>
  <c r="L1491" i="1"/>
  <c r="K1491" i="1"/>
  <c r="AB1491" i="1"/>
  <c r="I1491" i="1"/>
  <c r="X1490" i="1"/>
  <c r="Z1490" i="1" s="1"/>
  <c r="W1490" i="1"/>
  <c r="S1490" i="1"/>
  <c r="Q1490" i="1"/>
  <c r="N1490" i="1"/>
  <c r="L1490" i="1"/>
  <c r="K1490" i="1"/>
  <c r="AB1490" i="1"/>
  <c r="I1490" i="1"/>
  <c r="X1489" i="1"/>
  <c r="Z1489" i="1" s="1"/>
  <c r="W1489" i="1"/>
  <c r="S1489" i="1"/>
  <c r="Q1489" i="1"/>
  <c r="N1489" i="1"/>
  <c r="L1489" i="1"/>
  <c r="K1489" i="1"/>
  <c r="AB1489" i="1"/>
  <c r="I1489" i="1"/>
  <c r="X1488" i="1"/>
  <c r="Z1488" i="1" s="1"/>
  <c r="W1488" i="1"/>
  <c r="S1488" i="1"/>
  <c r="Q1488" i="1"/>
  <c r="N1488" i="1"/>
  <c r="L1488" i="1"/>
  <c r="K1488" i="1"/>
  <c r="AB1488" i="1"/>
  <c r="I1488" i="1"/>
  <c r="X1487" i="1"/>
  <c r="Z1487" i="1" s="1"/>
  <c r="W1487" i="1"/>
  <c r="S1487" i="1"/>
  <c r="Q1487" i="1"/>
  <c r="N1487" i="1"/>
  <c r="L1487" i="1"/>
  <c r="K1487" i="1"/>
  <c r="M1487" i="1" s="1"/>
  <c r="R1487" i="1" s="1"/>
  <c r="AB1487" i="1"/>
  <c r="I1487" i="1"/>
  <c r="X1486" i="1"/>
  <c r="Z1486" i="1" s="1"/>
  <c r="W1486" i="1"/>
  <c r="S1486" i="1"/>
  <c r="Q1486" i="1"/>
  <c r="N1486" i="1"/>
  <c r="L1486" i="1"/>
  <c r="K1486" i="1"/>
  <c r="AB1486" i="1"/>
  <c r="I1486" i="1"/>
  <c r="X1485" i="1"/>
  <c r="Z1485" i="1" s="1"/>
  <c r="W1485" i="1"/>
  <c r="S1485" i="1"/>
  <c r="Q1485" i="1"/>
  <c r="N1485" i="1"/>
  <c r="L1485" i="1"/>
  <c r="K1485" i="1"/>
  <c r="AB1485" i="1"/>
  <c r="I1485" i="1"/>
  <c r="X1484" i="1"/>
  <c r="Z1484" i="1" s="1"/>
  <c r="W1484" i="1"/>
  <c r="S1484" i="1"/>
  <c r="Q1484" i="1"/>
  <c r="N1484" i="1"/>
  <c r="L1484" i="1"/>
  <c r="K1484" i="1"/>
  <c r="AB1484" i="1"/>
  <c r="I1484" i="1"/>
  <c r="X1483" i="1"/>
  <c r="Z1483" i="1" s="1"/>
  <c r="W1483" i="1"/>
  <c r="S1483" i="1"/>
  <c r="Q1483" i="1"/>
  <c r="N1483" i="1"/>
  <c r="L1483" i="1"/>
  <c r="K1483" i="1"/>
  <c r="AB1483" i="1"/>
  <c r="I1483" i="1"/>
  <c r="X1482" i="1"/>
  <c r="Z1482" i="1" s="1"/>
  <c r="W1482" i="1"/>
  <c r="S1482" i="1"/>
  <c r="Q1482" i="1"/>
  <c r="N1482" i="1"/>
  <c r="L1482" i="1"/>
  <c r="K1482" i="1"/>
  <c r="AB1482" i="1"/>
  <c r="I1482" i="1"/>
  <c r="X1481" i="1"/>
  <c r="Z1481" i="1" s="1"/>
  <c r="W1481" i="1"/>
  <c r="S1481" i="1"/>
  <c r="Q1481" i="1"/>
  <c r="N1481" i="1"/>
  <c r="L1481" i="1"/>
  <c r="K1481" i="1"/>
  <c r="AB1481" i="1"/>
  <c r="I1481" i="1"/>
  <c r="X1480" i="1"/>
  <c r="Z1480" i="1" s="1"/>
  <c r="W1480" i="1"/>
  <c r="S1480" i="1"/>
  <c r="Q1480" i="1"/>
  <c r="N1480" i="1"/>
  <c r="L1480" i="1"/>
  <c r="K1480" i="1"/>
  <c r="AB1480" i="1"/>
  <c r="I1480" i="1"/>
  <c r="X1479" i="1"/>
  <c r="Z1479" i="1" s="1"/>
  <c r="W1479" i="1"/>
  <c r="S1479" i="1"/>
  <c r="Q1479" i="1"/>
  <c r="N1479" i="1"/>
  <c r="L1479" i="1"/>
  <c r="K1479" i="1"/>
  <c r="AB1479" i="1"/>
  <c r="I1479" i="1"/>
  <c r="X1478" i="1"/>
  <c r="Z1478" i="1" s="1"/>
  <c r="W1478" i="1"/>
  <c r="S1478" i="1"/>
  <c r="Q1478" i="1"/>
  <c r="N1478" i="1"/>
  <c r="L1478" i="1"/>
  <c r="K1478" i="1"/>
  <c r="AB1478" i="1"/>
  <c r="I1478" i="1"/>
  <c r="X1477" i="1"/>
  <c r="Z1477" i="1" s="1"/>
  <c r="W1477" i="1"/>
  <c r="S1477" i="1"/>
  <c r="Q1477" i="1"/>
  <c r="N1477" i="1"/>
  <c r="L1477" i="1"/>
  <c r="K1477" i="1"/>
  <c r="AB1477" i="1"/>
  <c r="I1477" i="1"/>
  <c r="X1476" i="1"/>
  <c r="Z1476" i="1" s="1"/>
  <c r="W1476" i="1"/>
  <c r="S1476" i="1"/>
  <c r="Q1476" i="1"/>
  <c r="N1476" i="1"/>
  <c r="L1476" i="1"/>
  <c r="K1476" i="1"/>
  <c r="AB1476" i="1"/>
  <c r="I1476" i="1"/>
  <c r="X1475" i="1"/>
  <c r="Z1475" i="1" s="1"/>
  <c r="W1475" i="1"/>
  <c r="S1475" i="1"/>
  <c r="Q1475" i="1"/>
  <c r="N1475" i="1"/>
  <c r="L1475" i="1"/>
  <c r="K1475" i="1"/>
  <c r="AB1475" i="1"/>
  <c r="I1475" i="1"/>
  <c r="X1474" i="1"/>
  <c r="Z1474" i="1" s="1"/>
  <c r="W1474" i="1"/>
  <c r="S1474" i="1"/>
  <c r="Q1474" i="1"/>
  <c r="N1474" i="1"/>
  <c r="L1474" i="1"/>
  <c r="K1474" i="1"/>
  <c r="AB1474" i="1"/>
  <c r="I1474" i="1"/>
  <c r="X1473" i="1"/>
  <c r="Z1473" i="1" s="1"/>
  <c r="W1473" i="1"/>
  <c r="S1473" i="1"/>
  <c r="Q1473" i="1"/>
  <c r="N1473" i="1"/>
  <c r="L1473" i="1"/>
  <c r="K1473" i="1"/>
  <c r="AB1473" i="1"/>
  <c r="I1473" i="1"/>
  <c r="X1472" i="1"/>
  <c r="Z1472" i="1" s="1"/>
  <c r="W1472" i="1"/>
  <c r="S1472" i="1"/>
  <c r="Q1472" i="1"/>
  <c r="N1472" i="1"/>
  <c r="L1472" i="1"/>
  <c r="K1472" i="1"/>
  <c r="AB1472" i="1"/>
  <c r="I1472" i="1"/>
  <c r="X1471" i="1"/>
  <c r="Z1471" i="1" s="1"/>
  <c r="W1471" i="1"/>
  <c r="S1471" i="1"/>
  <c r="Q1471" i="1"/>
  <c r="N1471" i="1"/>
  <c r="L1471" i="1"/>
  <c r="K1471" i="1"/>
  <c r="M1471" i="1" s="1"/>
  <c r="R1471" i="1" s="1"/>
  <c r="AB1471" i="1"/>
  <c r="I1471" i="1"/>
  <c r="X1470" i="1"/>
  <c r="Z1470" i="1" s="1"/>
  <c r="W1470" i="1"/>
  <c r="S1470" i="1"/>
  <c r="Q1470" i="1"/>
  <c r="N1470" i="1"/>
  <c r="L1470" i="1"/>
  <c r="K1470" i="1"/>
  <c r="AB1470" i="1"/>
  <c r="I1470" i="1"/>
  <c r="X1469" i="1"/>
  <c r="Z1469" i="1" s="1"/>
  <c r="W1469" i="1"/>
  <c r="S1469" i="1"/>
  <c r="Q1469" i="1"/>
  <c r="N1469" i="1"/>
  <c r="L1469" i="1"/>
  <c r="K1469" i="1"/>
  <c r="AB1469" i="1"/>
  <c r="I1469" i="1"/>
  <c r="X1468" i="1"/>
  <c r="Z1468" i="1" s="1"/>
  <c r="W1468" i="1"/>
  <c r="S1468" i="1"/>
  <c r="Q1468" i="1"/>
  <c r="N1468" i="1"/>
  <c r="L1468" i="1"/>
  <c r="K1468" i="1"/>
  <c r="AB1468" i="1"/>
  <c r="I1468" i="1"/>
  <c r="X1467" i="1"/>
  <c r="Z1467" i="1" s="1"/>
  <c r="W1467" i="1"/>
  <c r="S1467" i="1"/>
  <c r="Q1467" i="1"/>
  <c r="N1467" i="1"/>
  <c r="L1467" i="1"/>
  <c r="K1467" i="1"/>
  <c r="AB1467" i="1"/>
  <c r="I1467" i="1"/>
  <c r="X1466" i="1"/>
  <c r="Z1466" i="1" s="1"/>
  <c r="W1466" i="1"/>
  <c r="S1466" i="1"/>
  <c r="Q1466" i="1"/>
  <c r="N1466" i="1"/>
  <c r="L1466" i="1"/>
  <c r="K1466" i="1"/>
  <c r="AB1466" i="1"/>
  <c r="I1466" i="1"/>
  <c r="X1465" i="1"/>
  <c r="Z1465" i="1" s="1"/>
  <c r="W1465" i="1"/>
  <c r="S1465" i="1"/>
  <c r="Q1465" i="1"/>
  <c r="N1465" i="1"/>
  <c r="L1465" i="1"/>
  <c r="K1465" i="1"/>
  <c r="AB1465" i="1"/>
  <c r="I1465" i="1"/>
  <c r="X1464" i="1"/>
  <c r="Z1464" i="1" s="1"/>
  <c r="W1464" i="1"/>
  <c r="S1464" i="1"/>
  <c r="Q1464" i="1"/>
  <c r="N1464" i="1"/>
  <c r="L1464" i="1"/>
  <c r="K1464" i="1"/>
  <c r="AB1464" i="1"/>
  <c r="I1464" i="1"/>
  <c r="X1463" i="1"/>
  <c r="Z1463" i="1" s="1"/>
  <c r="W1463" i="1"/>
  <c r="S1463" i="1"/>
  <c r="Q1463" i="1"/>
  <c r="N1463" i="1"/>
  <c r="L1463" i="1"/>
  <c r="K1463" i="1"/>
  <c r="AB1463" i="1"/>
  <c r="I1463" i="1"/>
  <c r="X1462" i="1"/>
  <c r="Z1462" i="1" s="1"/>
  <c r="W1462" i="1"/>
  <c r="S1462" i="1"/>
  <c r="Q1462" i="1"/>
  <c r="N1462" i="1"/>
  <c r="L1462" i="1"/>
  <c r="K1462" i="1"/>
  <c r="AB1462" i="1"/>
  <c r="I1462" i="1"/>
  <c r="X1461" i="1"/>
  <c r="Z1461" i="1" s="1"/>
  <c r="W1461" i="1"/>
  <c r="S1461" i="1"/>
  <c r="Q1461" i="1"/>
  <c r="N1461" i="1"/>
  <c r="L1461" i="1"/>
  <c r="K1461" i="1"/>
  <c r="AB1461" i="1"/>
  <c r="I1461" i="1"/>
  <c r="X1460" i="1"/>
  <c r="Z1460" i="1" s="1"/>
  <c r="W1460" i="1"/>
  <c r="S1460" i="1"/>
  <c r="Q1460" i="1"/>
  <c r="N1460" i="1"/>
  <c r="L1460" i="1"/>
  <c r="K1460" i="1"/>
  <c r="AB1460" i="1"/>
  <c r="I1460" i="1"/>
  <c r="X1459" i="1"/>
  <c r="Z1459" i="1" s="1"/>
  <c r="W1459" i="1"/>
  <c r="S1459" i="1"/>
  <c r="Q1459" i="1"/>
  <c r="N1459" i="1"/>
  <c r="L1459" i="1"/>
  <c r="K1459" i="1"/>
  <c r="AB1459" i="1"/>
  <c r="I1459" i="1"/>
  <c r="X1458" i="1"/>
  <c r="Z1458" i="1" s="1"/>
  <c r="W1458" i="1"/>
  <c r="S1458" i="1"/>
  <c r="Q1458" i="1"/>
  <c r="N1458" i="1"/>
  <c r="L1458" i="1"/>
  <c r="K1458" i="1"/>
  <c r="AB1458" i="1"/>
  <c r="I1458" i="1"/>
  <c r="X1457" i="1"/>
  <c r="Z1457" i="1" s="1"/>
  <c r="W1457" i="1"/>
  <c r="S1457" i="1"/>
  <c r="Q1457" i="1"/>
  <c r="N1457" i="1"/>
  <c r="L1457" i="1"/>
  <c r="K1457" i="1"/>
  <c r="AB1457" i="1"/>
  <c r="I1457" i="1"/>
  <c r="X1456" i="1"/>
  <c r="Z1456" i="1" s="1"/>
  <c r="W1456" i="1"/>
  <c r="S1456" i="1"/>
  <c r="Q1456" i="1"/>
  <c r="N1456" i="1"/>
  <c r="L1456" i="1"/>
  <c r="K1456" i="1"/>
  <c r="AB1456" i="1"/>
  <c r="I1456" i="1"/>
  <c r="X1455" i="1"/>
  <c r="Z1455" i="1" s="1"/>
  <c r="W1455" i="1"/>
  <c r="S1455" i="1"/>
  <c r="Q1455" i="1"/>
  <c r="N1455" i="1"/>
  <c r="L1455" i="1"/>
  <c r="K1455" i="1"/>
  <c r="AB1455" i="1"/>
  <c r="I1455" i="1"/>
  <c r="X1454" i="1"/>
  <c r="Z1454" i="1" s="1"/>
  <c r="W1454" i="1"/>
  <c r="S1454" i="1"/>
  <c r="Q1454" i="1"/>
  <c r="N1454" i="1"/>
  <c r="L1454" i="1"/>
  <c r="K1454" i="1"/>
  <c r="AB1454" i="1"/>
  <c r="I1454" i="1"/>
  <c r="X1453" i="1"/>
  <c r="Z1453" i="1" s="1"/>
  <c r="W1453" i="1"/>
  <c r="S1453" i="1"/>
  <c r="Q1453" i="1"/>
  <c r="N1453" i="1"/>
  <c r="L1453" i="1"/>
  <c r="K1453" i="1"/>
  <c r="AB1453" i="1"/>
  <c r="I1453" i="1"/>
  <c r="X1452" i="1"/>
  <c r="Z1452" i="1" s="1"/>
  <c r="W1452" i="1"/>
  <c r="S1452" i="1"/>
  <c r="Q1452" i="1"/>
  <c r="N1452" i="1"/>
  <c r="L1452" i="1"/>
  <c r="K1452" i="1"/>
  <c r="AB1452" i="1"/>
  <c r="I1452" i="1"/>
  <c r="X1451" i="1"/>
  <c r="Z1451" i="1" s="1"/>
  <c r="W1451" i="1"/>
  <c r="S1451" i="1"/>
  <c r="Q1451" i="1"/>
  <c r="N1451" i="1"/>
  <c r="L1451" i="1"/>
  <c r="K1451" i="1"/>
  <c r="AB1451" i="1"/>
  <c r="I1451" i="1"/>
  <c r="X1450" i="1"/>
  <c r="Z1450" i="1" s="1"/>
  <c r="W1450" i="1"/>
  <c r="S1450" i="1"/>
  <c r="Q1450" i="1"/>
  <c r="N1450" i="1"/>
  <c r="L1450" i="1"/>
  <c r="K1450" i="1"/>
  <c r="AB1450" i="1"/>
  <c r="I1450" i="1"/>
  <c r="X1449" i="1"/>
  <c r="Z1449" i="1" s="1"/>
  <c r="W1449" i="1"/>
  <c r="S1449" i="1"/>
  <c r="Q1449" i="1"/>
  <c r="N1449" i="1"/>
  <c r="L1449" i="1"/>
  <c r="K1449" i="1"/>
  <c r="AB1449" i="1"/>
  <c r="I1449" i="1"/>
  <c r="X1448" i="1"/>
  <c r="Z1448" i="1" s="1"/>
  <c r="W1448" i="1"/>
  <c r="S1448" i="1"/>
  <c r="Q1448" i="1"/>
  <c r="N1448" i="1"/>
  <c r="L1448" i="1"/>
  <c r="K1448" i="1"/>
  <c r="AB1448" i="1"/>
  <c r="I1448" i="1"/>
  <c r="X1447" i="1"/>
  <c r="Z1447" i="1" s="1"/>
  <c r="W1447" i="1"/>
  <c r="S1447" i="1"/>
  <c r="Q1447" i="1"/>
  <c r="N1447" i="1"/>
  <c r="L1447" i="1"/>
  <c r="K1447" i="1"/>
  <c r="AB1447" i="1"/>
  <c r="I1447" i="1"/>
  <c r="X1446" i="1"/>
  <c r="Z1446" i="1" s="1"/>
  <c r="W1446" i="1"/>
  <c r="S1446" i="1"/>
  <c r="Q1446" i="1"/>
  <c r="N1446" i="1"/>
  <c r="L1446" i="1"/>
  <c r="K1446" i="1"/>
  <c r="AB1446" i="1"/>
  <c r="I1446" i="1"/>
  <c r="X1445" i="1"/>
  <c r="Z1445" i="1" s="1"/>
  <c r="W1445" i="1"/>
  <c r="S1445" i="1"/>
  <c r="Q1445" i="1"/>
  <c r="N1445" i="1"/>
  <c r="L1445" i="1"/>
  <c r="K1445" i="1"/>
  <c r="AB1445" i="1"/>
  <c r="I1445" i="1"/>
  <c r="X1444" i="1"/>
  <c r="Z1444" i="1" s="1"/>
  <c r="W1444" i="1"/>
  <c r="S1444" i="1"/>
  <c r="Q1444" i="1"/>
  <c r="N1444" i="1"/>
  <c r="L1444" i="1"/>
  <c r="K1444" i="1"/>
  <c r="AB1444" i="1"/>
  <c r="I1444" i="1"/>
  <c r="X1443" i="1"/>
  <c r="Z1443" i="1" s="1"/>
  <c r="W1443" i="1"/>
  <c r="S1443" i="1"/>
  <c r="Q1443" i="1"/>
  <c r="N1443" i="1"/>
  <c r="L1443" i="1"/>
  <c r="K1443" i="1"/>
  <c r="AB1443" i="1"/>
  <c r="I1443" i="1"/>
  <c r="X1442" i="1"/>
  <c r="Z1442" i="1" s="1"/>
  <c r="W1442" i="1"/>
  <c r="S1442" i="1"/>
  <c r="Q1442" i="1"/>
  <c r="N1442" i="1"/>
  <c r="L1442" i="1"/>
  <c r="K1442" i="1"/>
  <c r="AB1442" i="1"/>
  <c r="I1442" i="1"/>
  <c r="X1441" i="1"/>
  <c r="Z1441" i="1" s="1"/>
  <c r="W1441" i="1"/>
  <c r="S1441" i="1"/>
  <c r="Q1441" i="1"/>
  <c r="N1441" i="1"/>
  <c r="L1441" i="1"/>
  <c r="K1441" i="1"/>
  <c r="AB1441" i="1"/>
  <c r="I1441" i="1"/>
  <c r="X1440" i="1"/>
  <c r="Z1440" i="1" s="1"/>
  <c r="W1440" i="1"/>
  <c r="S1440" i="1"/>
  <c r="Q1440" i="1"/>
  <c r="N1440" i="1"/>
  <c r="L1440" i="1"/>
  <c r="K1440" i="1"/>
  <c r="AB1440" i="1"/>
  <c r="I1440" i="1"/>
  <c r="X1439" i="1"/>
  <c r="Z1439" i="1" s="1"/>
  <c r="W1439" i="1"/>
  <c r="S1439" i="1"/>
  <c r="Q1439" i="1"/>
  <c r="N1439" i="1"/>
  <c r="L1439" i="1"/>
  <c r="K1439" i="1"/>
  <c r="AB1439" i="1"/>
  <c r="I1439" i="1"/>
  <c r="X1438" i="1"/>
  <c r="Z1438" i="1" s="1"/>
  <c r="W1438" i="1"/>
  <c r="S1438" i="1"/>
  <c r="Q1438" i="1"/>
  <c r="N1438" i="1"/>
  <c r="L1438" i="1"/>
  <c r="K1438" i="1"/>
  <c r="AB1438" i="1"/>
  <c r="I1438" i="1"/>
  <c r="X1437" i="1"/>
  <c r="Z1437" i="1" s="1"/>
  <c r="W1437" i="1"/>
  <c r="S1437" i="1"/>
  <c r="Q1437" i="1"/>
  <c r="N1437" i="1"/>
  <c r="L1437" i="1"/>
  <c r="K1437" i="1"/>
  <c r="AB1437" i="1"/>
  <c r="I1437" i="1"/>
  <c r="X1436" i="1"/>
  <c r="Z1436" i="1" s="1"/>
  <c r="W1436" i="1"/>
  <c r="S1436" i="1"/>
  <c r="Q1436" i="1"/>
  <c r="N1436" i="1"/>
  <c r="L1436" i="1"/>
  <c r="K1436" i="1"/>
  <c r="AB1436" i="1"/>
  <c r="I1436" i="1"/>
  <c r="X1435" i="1"/>
  <c r="Z1435" i="1" s="1"/>
  <c r="W1435" i="1"/>
  <c r="S1435" i="1"/>
  <c r="Q1435" i="1"/>
  <c r="N1435" i="1"/>
  <c r="L1435" i="1"/>
  <c r="K1435" i="1"/>
  <c r="AB1435" i="1"/>
  <c r="I1435" i="1"/>
  <c r="X1434" i="1"/>
  <c r="Z1434" i="1" s="1"/>
  <c r="W1434" i="1"/>
  <c r="S1434" i="1"/>
  <c r="Q1434" i="1"/>
  <c r="N1434" i="1"/>
  <c r="L1434" i="1"/>
  <c r="K1434" i="1"/>
  <c r="AB1434" i="1"/>
  <c r="I1434" i="1"/>
  <c r="X1433" i="1"/>
  <c r="Z1433" i="1" s="1"/>
  <c r="W1433" i="1"/>
  <c r="S1433" i="1"/>
  <c r="Q1433" i="1"/>
  <c r="N1433" i="1"/>
  <c r="L1433" i="1"/>
  <c r="K1433" i="1"/>
  <c r="AB1433" i="1"/>
  <c r="I1433" i="1"/>
  <c r="X1432" i="1"/>
  <c r="Z1432" i="1" s="1"/>
  <c r="W1432" i="1"/>
  <c r="S1432" i="1"/>
  <c r="Q1432" i="1"/>
  <c r="N1432" i="1"/>
  <c r="L1432" i="1"/>
  <c r="K1432" i="1"/>
  <c r="AB1432" i="1"/>
  <c r="I1432" i="1"/>
  <c r="X1431" i="1"/>
  <c r="Z1431" i="1" s="1"/>
  <c r="W1431" i="1"/>
  <c r="S1431" i="1"/>
  <c r="Q1431" i="1"/>
  <c r="N1431" i="1"/>
  <c r="L1431" i="1"/>
  <c r="K1431" i="1"/>
  <c r="AB1431" i="1"/>
  <c r="I1431" i="1"/>
  <c r="X1430" i="1"/>
  <c r="Z1430" i="1" s="1"/>
  <c r="W1430" i="1"/>
  <c r="S1430" i="1"/>
  <c r="Q1430" i="1"/>
  <c r="N1430" i="1"/>
  <c r="L1430" i="1"/>
  <c r="K1430" i="1"/>
  <c r="AB1430" i="1"/>
  <c r="I1430" i="1"/>
  <c r="X1429" i="1"/>
  <c r="Z1429" i="1" s="1"/>
  <c r="W1429" i="1"/>
  <c r="S1429" i="1"/>
  <c r="Q1429" i="1"/>
  <c r="N1429" i="1"/>
  <c r="L1429" i="1"/>
  <c r="K1429" i="1"/>
  <c r="AB1429" i="1"/>
  <c r="I1429" i="1"/>
  <c r="X1428" i="1"/>
  <c r="Z1428" i="1" s="1"/>
  <c r="W1428" i="1"/>
  <c r="S1428" i="1"/>
  <c r="Q1428" i="1"/>
  <c r="N1428" i="1"/>
  <c r="L1428" i="1"/>
  <c r="K1428" i="1"/>
  <c r="AB1428" i="1"/>
  <c r="I1428" i="1"/>
  <c r="X1427" i="1"/>
  <c r="Z1427" i="1" s="1"/>
  <c r="W1427" i="1"/>
  <c r="S1427" i="1"/>
  <c r="Q1427" i="1"/>
  <c r="N1427" i="1"/>
  <c r="L1427" i="1"/>
  <c r="K1427" i="1"/>
  <c r="AB1427" i="1"/>
  <c r="I1427" i="1"/>
  <c r="X1426" i="1"/>
  <c r="Z1426" i="1" s="1"/>
  <c r="W1426" i="1"/>
  <c r="S1426" i="1"/>
  <c r="Q1426" i="1"/>
  <c r="N1426" i="1"/>
  <c r="L1426" i="1"/>
  <c r="K1426" i="1"/>
  <c r="AB1426" i="1"/>
  <c r="I1426" i="1"/>
  <c r="X1425" i="1"/>
  <c r="Z1425" i="1" s="1"/>
  <c r="W1425" i="1"/>
  <c r="S1425" i="1"/>
  <c r="Q1425" i="1"/>
  <c r="N1425" i="1"/>
  <c r="L1425" i="1"/>
  <c r="K1425" i="1"/>
  <c r="AB1425" i="1"/>
  <c r="I1425" i="1"/>
  <c r="X1424" i="1"/>
  <c r="Z1424" i="1" s="1"/>
  <c r="W1424" i="1"/>
  <c r="S1424" i="1"/>
  <c r="Q1424" i="1"/>
  <c r="N1424" i="1"/>
  <c r="L1424" i="1"/>
  <c r="K1424" i="1"/>
  <c r="AB1424" i="1"/>
  <c r="I1424" i="1"/>
  <c r="X1423" i="1"/>
  <c r="Z1423" i="1" s="1"/>
  <c r="W1423" i="1"/>
  <c r="S1423" i="1"/>
  <c r="Q1423" i="1"/>
  <c r="N1423" i="1"/>
  <c r="L1423" i="1"/>
  <c r="K1423" i="1"/>
  <c r="AB1423" i="1"/>
  <c r="I1423" i="1"/>
  <c r="X1422" i="1"/>
  <c r="Z1422" i="1" s="1"/>
  <c r="W1422" i="1"/>
  <c r="S1422" i="1"/>
  <c r="Q1422" i="1"/>
  <c r="N1422" i="1"/>
  <c r="L1422" i="1"/>
  <c r="K1422" i="1"/>
  <c r="AB1422" i="1"/>
  <c r="I1422" i="1"/>
  <c r="X1421" i="1"/>
  <c r="Z1421" i="1" s="1"/>
  <c r="W1421" i="1"/>
  <c r="S1421" i="1"/>
  <c r="Q1421" i="1"/>
  <c r="N1421" i="1"/>
  <c r="L1421" i="1"/>
  <c r="K1421" i="1"/>
  <c r="AB1421" i="1"/>
  <c r="I1421" i="1"/>
  <c r="X1420" i="1"/>
  <c r="Z1420" i="1" s="1"/>
  <c r="W1420" i="1"/>
  <c r="S1420" i="1"/>
  <c r="Q1420" i="1"/>
  <c r="N1420" i="1"/>
  <c r="L1420" i="1"/>
  <c r="K1420" i="1"/>
  <c r="AB1420" i="1"/>
  <c r="I1420" i="1"/>
  <c r="X1419" i="1"/>
  <c r="Z1419" i="1" s="1"/>
  <c r="W1419" i="1"/>
  <c r="S1419" i="1"/>
  <c r="Q1419" i="1"/>
  <c r="N1419" i="1"/>
  <c r="L1419" i="1"/>
  <c r="K1419" i="1"/>
  <c r="AB1419" i="1"/>
  <c r="I1419" i="1"/>
  <c r="X1418" i="1"/>
  <c r="Z1418" i="1" s="1"/>
  <c r="W1418" i="1"/>
  <c r="S1418" i="1"/>
  <c r="Q1418" i="1"/>
  <c r="N1418" i="1"/>
  <c r="L1418" i="1"/>
  <c r="K1418" i="1"/>
  <c r="AB1418" i="1"/>
  <c r="I1418" i="1"/>
  <c r="X1417" i="1"/>
  <c r="Z1417" i="1" s="1"/>
  <c r="W1417" i="1"/>
  <c r="S1417" i="1"/>
  <c r="Q1417" i="1"/>
  <c r="N1417" i="1"/>
  <c r="L1417" i="1"/>
  <c r="K1417" i="1"/>
  <c r="AB1417" i="1"/>
  <c r="I1417" i="1"/>
  <c r="X1416" i="1"/>
  <c r="Z1416" i="1" s="1"/>
  <c r="W1416" i="1"/>
  <c r="S1416" i="1"/>
  <c r="Q1416" i="1"/>
  <c r="N1416" i="1"/>
  <c r="L1416" i="1"/>
  <c r="K1416" i="1"/>
  <c r="AB1416" i="1"/>
  <c r="I1416" i="1"/>
  <c r="X1415" i="1"/>
  <c r="Z1415" i="1" s="1"/>
  <c r="W1415" i="1"/>
  <c r="S1415" i="1"/>
  <c r="Q1415" i="1"/>
  <c r="N1415" i="1"/>
  <c r="L1415" i="1"/>
  <c r="K1415" i="1"/>
  <c r="AB1415" i="1"/>
  <c r="I1415" i="1"/>
  <c r="X1414" i="1"/>
  <c r="Z1414" i="1" s="1"/>
  <c r="W1414" i="1"/>
  <c r="S1414" i="1"/>
  <c r="Q1414" i="1"/>
  <c r="N1414" i="1"/>
  <c r="L1414" i="1"/>
  <c r="K1414" i="1"/>
  <c r="AB1414" i="1"/>
  <c r="I1414" i="1"/>
  <c r="X1413" i="1"/>
  <c r="Z1413" i="1" s="1"/>
  <c r="W1413" i="1"/>
  <c r="S1413" i="1"/>
  <c r="Q1413" i="1"/>
  <c r="N1413" i="1"/>
  <c r="L1413" i="1"/>
  <c r="K1413" i="1"/>
  <c r="AB1413" i="1"/>
  <c r="I1413" i="1"/>
  <c r="X1412" i="1"/>
  <c r="Z1412" i="1" s="1"/>
  <c r="W1412" i="1"/>
  <c r="S1412" i="1"/>
  <c r="Q1412" i="1"/>
  <c r="N1412" i="1"/>
  <c r="L1412" i="1"/>
  <c r="K1412" i="1"/>
  <c r="AB1412" i="1"/>
  <c r="I1412" i="1"/>
  <c r="X1411" i="1"/>
  <c r="Z1411" i="1" s="1"/>
  <c r="W1411" i="1"/>
  <c r="S1411" i="1"/>
  <c r="Q1411" i="1"/>
  <c r="N1411" i="1"/>
  <c r="L1411" i="1"/>
  <c r="K1411" i="1"/>
  <c r="AB1411" i="1"/>
  <c r="I1411" i="1"/>
  <c r="X1410" i="1"/>
  <c r="Z1410" i="1" s="1"/>
  <c r="W1410" i="1"/>
  <c r="S1410" i="1"/>
  <c r="Q1410" i="1"/>
  <c r="N1410" i="1"/>
  <c r="L1410" i="1"/>
  <c r="K1410" i="1"/>
  <c r="AB1410" i="1"/>
  <c r="I1410" i="1"/>
  <c r="X1409" i="1"/>
  <c r="Z1409" i="1" s="1"/>
  <c r="W1409" i="1"/>
  <c r="S1409" i="1"/>
  <c r="Q1409" i="1"/>
  <c r="N1409" i="1"/>
  <c r="L1409" i="1"/>
  <c r="K1409" i="1"/>
  <c r="AB1409" i="1"/>
  <c r="I1409" i="1"/>
  <c r="X1408" i="1"/>
  <c r="Z1408" i="1" s="1"/>
  <c r="W1408" i="1"/>
  <c r="S1408" i="1"/>
  <c r="Q1408" i="1"/>
  <c r="N1408" i="1"/>
  <c r="L1408" i="1"/>
  <c r="K1408" i="1"/>
  <c r="AB1408" i="1"/>
  <c r="I1408" i="1"/>
  <c r="X1407" i="1"/>
  <c r="Z1407" i="1" s="1"/>
  <c r="W1407" i="1"/>
  <c r="S1407" i="1"/>
  <c r="Q1407" i="1"/>
  <c r="N1407" i="1"/>
  <c r="L1407" i="1"/>
  <c r="K1407" i="1"/>
  <c r="AB1407" i="1"/>
  <c r="I1407" i="1"/>
  <c r="X1406" i="1"/>
  <c r="Z1406" i="1" s="1"/>
  <c r="W1406" i="1"/>
  <c r="S1406" i="1"/>
  <c r="Q1406" i="1"/>
  <c r="N1406" i="1"/>
  <c r="L1406" i="1"/>
  <c r="K1406" i="1"/>
  <c r="AB1406" i="1"/>
  <c r="I1406" i="1"/>
  <c r="X1405" i="1"/>
  <c r="Z1405" i="1" s="1"/>
  <c r="W1405" i="1"/>
  <c r="S1405" i="1"/>
  <c r="Q1405" i="1"/>
  <c r="N1405" i="1"/>
  <c r="L1405" i="1"/>
  <c r="K1405" i="1"/>
  <c r="AB1405" i="1"/>
  <c r="I1405" i="1"/>
  <c r="X1404" i="1"/>
  <c r="Z1404" i="1" s="1"/>
  <c r="W1404" i="1"/>
  <c r="S1404" i="1"/>
  <c r="Q1404" i="1"/>
  <c r="N1404" i="1"/>
  <c r="L1404" i="1"/>
  <c r="K1404" i="1"/>
  <c r="AB1404" i="1"/>
  <c r="I1404" i="1"/>
  <c r="X1403" i="1"/>
  <c r="Z1403" i="1" s="1"/>
  <c r="W1403" i="1"/>
  <c r="S1403" i="1"/>
  <c r="Q1403" i="1"/>
  <c r="N1403" i="1"/>
  <c r="L1403" i="1"/>
  <c r="K1403" i="1"/>
  <c r="AB1403" i="1"/>
  <c r="I1403" i="1"/>
  <c r="X1402" i="1"/>
  <c r="Z1402" i="1" s="1"/>
  <c r="W1402" i="1"/>
  <c r="S1402" i="1"/>
  <c r="Q1402" i="1"/>
  <c r="N1402" i="1"/>
  <c r="L1402" i="1"/>
  <c r="K1402" i="1"/>
  <c r="AB1402" i="1"/>
  <c r="I1402" i="1"/>
  <c r="X1401" i="1"/>
  <c r="Z1401" i="1" s="1"/>
  <c r="W1401" i="1"/>
  <c r="S1401" i="1"/>
  <c r="Q1401" i="1"/>
  <c r="N1401" i="1"/>
  <c r="L1401" i="1"/>
  <c r="K1401" i="1"/>
  <c r="AB1401" i="1"/>
  <c r="I1401" i="1"/>
  <c r="X1400" i="1"/>
  <c r="Z1400" i="1" s="1"/>
  <c r="W1400" i="1"/>
  <c r="S1400" i="1"/>
  <c r="Q1400" i="1"/>
  <c r="N1400" i="1"/>
  <c r="L1400" i="1"/>
  <c r="K1400" i="1"/>
  <c r="AB1400" i="1"/>
  <c r="I1400" i="1"/>
  <c r="X1399" i="1"/>
  <c r="Z1399" i="1" s="1"/>
  <c r="W1399" i="1"/>
  <c r="S1399" i="1"/>
  <c r="Q1399" i="1"/>
  <c r="N1399" i="1"/>
  <c r="L1399" i="1"/>
  <c r="K1399" i="1"/>
  <c r="AB1399" i="1"/>
  <c r="I1399" i="1"/>
  <c r="X1398" i="1"/>
  <c r="Z1398" i="1" s="1"/>
  <c r="W1398" i="1"/>
  <c r="S1398" i="1"/>
  <c r="Q1398" i="1"/>
  <c r="N1398" i="1"/>
  <c r="L1398" i="1"/>
  <c r="K1398" i="1"/>
  <c r="AB1398" i="1"/>
  <c r="I1398" i="1"/>
  <c r="X1397" i="1"/>
  <c r="Z1397" i="1" s="1"/>
  <c r="W1397" i="1"/>
  <c r="S1397" i="1"/>
  <c r="Q1397" i="1"/>
  <c r="N1397" i="1"/>
  <c r="L1397" i="1"/>
  <c r="K1397" i="1"/>
  <c r="AB1397" i="1"/>
  <c r="I1397" i="1"/>
  <c r="X1396" i="1"/>
  <c r="Z1396" i="1" s="1"/>
  <c r="W1396" i="1"/>
  <c r="S1396" i="1"/>
  <c r="Q1396" i="1"/>
  <c r="N1396" i="1"/>
  <c r="L1396" i="1"/>
  <c r="K1396" i="1"/>
  <c r="AB1396" i="1"/>
  <c r="I1396" i="1"/>
  <c r="X1395" i="1"/>
  <c r="Z1395" i="1" s="1"/>
  <c r="W1395" i="1"/>
  <c r="S1395" i="1"/>
  <c r="Q1395" i="1"/>
  <c r="N1395" i="1"/>
  <c r="L1395" i="1"/>
  <c r="K1395" i="1"/>
  <c r="AB1395" i="1"/>
  <c r="I1395" i="1"/>
  <c r="X1394" i="1"/>
  <c r="Z1394" i="1" s="1"/>
  <c r="W1394" i="1"/>
  <c r="S1394" i="1"/>
  <c r="Q1394" i="1"/>
  <c r="N1394" i="1"/>
  <c r="L1394" i="1"/>
  <c r="K1394" i="1"/>
  <c r="AB1394" i="1"/>
  <c r="I1394" i="1"/>
  <c r="X1393" i="1"/>
  <c r="Z1393" i="1" s="1"/>
  <c r="W1393" i="1"/>
  <c r="S1393" i="1"/>
  <c r="Q1393" i="1"/>
  <c r="N1393" i="1"/>
  <c r="L1393" i="1"/>
  <c r="K1393" i="1"/>
  <c r="AB1393" i="1"/>
  <c r="I1393" i="1"/>
  <c r="X1392" i="1"/>
  <c r="Z1392" i="1" s="1"/>
  <c r="W1392" i="1"/>
  <c r="S1392" i="1"/>
  <c r="Q1392" i="1"/>
  <c r="N1392" i="1"/>
  <c r="L1392" i="1"/>
  <c r="K1392" i="1"/>
  <c r="AB1392" i="1"/>
  <c r="I1392" i="1"/>
  <c r="X1391" i="1"/>
  <c r="Z1391" i="1" s="1"/>
  <c r="W1391" i="1"/>
  <c r="S1391" i="1"/>
  <c r="Q1391" i="1"/>
  <c r="N1391" i="1"/>
  <c r="L1391" i="1"/>
  <c r="K1391" i="1"/>
  <c r="AB1391" i="1"/>
  <c r="I1391" i="1"/>
  <c r="X1390" i="1"/>
  <c r="Z1390" i="1" s="1"/>
  <c r="W1390" i="1"/>
  <c r="S1390" i="1"/>
  <c r="Q1390" i="1"/>
  <c r="N1390" i="1"/>
  <c r="L1390" i="1"/>
  <c r="K1390" i="1"/>
  <c r="AB1390" i="1"/>
  <c r="I1390" i="1"/>
  <c r="X1389" i="1"/>
  <c r="Z1389" i="1" s="1"/>
  <c r="W1389" i="1"/>
  <c r="S1389" i="1"/>
  <c r="Q1389" i="1"/>
  <c r="N1389" i="1"/>
  <c r="L1389" i="1"/>
  <c r="K1389" i="1"/>
  <c r="AB1389" i="1"/>
  <c r="I1389" i="1"/>
  <c r="X1388" i="1"/>
  <c r="Z1388" i="1" s="1"/>
  <c r="W1388" i="1"/>
  <c r="S1388" i="1"/>
  <c r="Q1388" i="1"/>
  <c r="N1388" i="1"/>
  <c r="L1388" i="1"/>
  <c r="K1388" i="1"/>
  <c r="AB1388" i="1"/>
  <c r="I1388" i="1"/>
  <c r="X1387" i="1"/>
  <c r="Z1387" i="1" s="1"/>
  <c r="W1387" i="1"/>
  <c r="S1387" i="1"/>
  <c r="Q1387" i="1"/>
  <c r="N1387" i="1"/>
  <c r="L1387" i="1"/>
  <c r="K1387" i="1"/>
  <c r="AB1387" i="1"/>
  <c r="I1387" i="1"/>
  <c r="X1386" i="1"/>
  <c r="Z1386" i="1" s="1"/>
  <c r="W1386" i="1"/>
  <c r="S1386" i="1"/>
  <c r="Q1386" i="1"/>
  <c r="N1386" i="1"/>
  <c r="L1386" i="1"/>
  <c r="K1386" i="1"/>
  <c r="AB1386" i="1"/>
  <c r="I1386" i="1"/>
  <c r="X1385" i="1"/>
  <c r="Z1385" i="1" s="1"/>
  <c r="W1385" i="1"/>
  <c r="S1385" i="1"/>
  <c r="Q1385" i="1"/>
  <c r="N1385" i="1"/>
  <c r="L1385" i="1"/>
  <c r="K1385" i="1"/>
  <c r="AB1385" i="1"/>
  <c r="I1385" i="1"/>
  <c r="X1384" i="1"/>
  <c r="Z1384" i="1" s="1"/>
  <c r="W1384" i="1"/>
  <c r="S1384" i="1"/>
  <c r="Q1384" i="1"/>
  <c r="N1384" i="1"/>
  <c r="L1384" i="1"/>
  <c r="K1384" i="1"/>
  <c r="AB1384" i="1"/>
  <c r="I1384" i="1"/>
  <c r="X1383" i="1"/>
  <c r="Z1383" i="1" s="1"/>
  <c r="W1383" i="1"/>
  <c r="S1383" i="1"/>
  <c r="Q1383" i="1"/>
  <c r="N1383" i="1"/>
  <c r="L1383" i="1"/>
  <c r="K1383" i="1"/>
  <c r="AB1383" i="1"/>
  <c r="I1383" i="1"/>
  <c r="X1382" i="1"/>
  <c r="Z1382" i="1" s="1"/>
  <c r="W1382" i="1"/>
  <c r="S1382" i="1"/>
  <c r="Q1382" i="1"/>
  <c r="N1382" i="1"/>
  <c r="L1382" i="1"/>
  <c r="K1382" i="1"/>
  <c r="AB1382" i="1"/>
  <c r="I1382" i="1"/>
  <c r="X1381" i="1"/>
  <c r="Z1381" i="1" s="1"/>
  <c r="W1381" i="1"/>
  <c r="S1381" i="1"/>
  <c r="Q1381" i="1"/>
  <c r="N1381" i="1"/>
  <c r="L1381" i="1"/>
  <c r="K1381" i="1"/>
  <c r="AB1381" i="1"/>
  <c r="I1381" i="1"/>
  <c r="X1380" i="1"/>
  <c r="Z1380" i="1" s="1"/>
  <c r="W1380" i="1"/>
  <c r="S1380" i="1"/>
  <c r="Q1380" i="1"/>
  <c r="N1380" i="1"/>
  <c r="L1380" i="1"/>
  <c r="K1380" i="1"/>
  <c r="AB1380" i="1"/>
  <c r="I1380" i="1"/>
  <c r="X1379" i="1"/>
  <c r="Z1379" i="1" s="1"/>
  <c r="W1379" i="1"/>
  <c r="S1379" i="1"/>
  <c r="Q1379" i="1"/>
  <c r="N1379" i="1"/>
  <c r="L1379" i="1"/>
  <c r="K1379" i="1"/>
  <c r="AB1379" i="1"/>
  <c r="I1379" i="1"/>
  <c r="X1378" i="1"/>
  <c r="Z1378" i="1" s="1"/>
  <c r="W1378" i="1"/>
  <c r="S1378" i="1"/>
  <c r="Q1378" i="1"/>
  <c r="N1378" i="1"/>
  <c r="L1378" i="1"/>
  <c r="K1378" i="1"/>
  <c r="AB1378" i="1"/>
  <c r="I1378" i="1"/>
  <c r="X1377" i="1"/>
  <c r="Z1377" i="1" s="1"/>
  <c r="W1377" i="1"/>
  <c r="S1377" i="1"/>
  <c r="Q1377" i="1"/>
  <c r="N1377" i="1"/>
  <c r="L1377" i="1"/>
  <c r="K1377" i="1"/>
  <c r="AB1377" i="1"/>
  <c r="I1377" i="1"/>
  <c r="X1376" i="1"/>
  <c r="Z1376" i="1" s="1"/>
  <c r="W1376" i="1"/>
  <c r="S1376" i="1"/>
  <c r="Q1376" i="1"/>
  <c r="N1376" i="1"/>
  <c r="L1376" i="1"/>
  <c r="K1376" i="1"/>
  <c r="AB1376" i="1"/>
  <c r="I1376" i="1"/>
  <c r="X1375" i="1"/>
  <c r="Z1375" i="1" s="1"/>
  <c r="W1375" i="1"/>
  <c r="S1375" i="1"/>
  <c r="Q1375" i="1"/>
  <c r="N1375" i="1"/>
  <c r="L1375" i="1"/>
  <c r="K1375" i="1"/>
  <c r="AB1375" i="1"/>
  <c r="I1375" i="1"/>
  <c r="X1374" i="1"/>
  <c r="Z1374" i="1" s="1"/>
  <c r="W1374" i="1"/>
  <c r="S1374" i="1"/>
  <c r="Q1374" i="1"/>
  <c r="N1374" i="1"/>
  <c r="L1374" i="1"/>
  <c r="K1374" i="1"/>
  <c r="AB1374" i="1"/>
  <c r="I1374" i="1"/>
  <c r="X1373" i="1"/>
  <c r="Z1373" i="1" s="1"/>
  <c r="W1373" i="1"/>
  <c r="S1373" i="1"/>
  <c r="Q1373" i="1"/>
  <c r="N1373" i="1"/>
  <c r="L1373" i="1"/>
  <c r="K1373" i="1"/>
  <c r="AB1373" i="1"/>
  <c r="I1373" i="1"/>
  <c r="X1372" i="1"/>
  <c r="Z1372" i="1" s="1"/>
  <c r="W1372" i="1"/>
  <c r="S1372" i="1"/>
  <c r="Q1372" i="1"/>
  <c r="N1372" i="1"/>
  <c r="L1372" i="1"/>
  <c r="K1372" i="1"/>
  <c r="AB1372" i="1"/>
  <c r="I1372" i="1"/>
  <c r="X1371" i="1"/>
  <c r="Z1371" i="1" s="1"/>
  <c r="W1371" i="1"/>
  <c r="S1371" i="1"/>
  <c r="Q1371" i="1"/>
  <c r="N1371" i="1"/>
  <c r="L1371" i="1"/>
  <c r="K1371" i="1"/>
  <c r="AB1371" i="1"/>
  <c r="I1371" i="1"/>
  <c r="X1370" i="1"/>
  <c r="Z1370" i="1" s="1"/>
  <c r="W1370" i="1"/>
  <c r="S1370" i="1"/>
  <c r="Q1370" i="1"/>
  <c r="N1370" i="1"/>
  <c r="L1370" i="1"/>
  <c r="K1370" i="1"/>
  <c r="AB1370" i="1"/>
  <c r="I1370" i="1"/>
  <c r="X1369" i="1"/>
  <c r="Z1369" i="1" s="1"/>
  <c r="W1369" i="1"/>
  <c r="S1369" i="1"/>
  <c r="Q1369" i="1"/>
  <c r="N1369" i="1"/>
  <c r="L1369" i="1"/>
  <c r="K1369" i="1"/>
  <c r="AB1369" i="1"/>
  <c r="I1369" i="1"/>
  <c r="X1368" i="1"/>
  <c r="Z1368" i="1" s="1"/>
  <c r="W1368" i="1"/>
  <c r="S1368" i="1"/>
  <c r="Q1368" i="1"/>
  <c r="N1368" i="1"/>
  <c r="L1368" i="1"/>
  <c r="K1368" i="1"/>
  <c r="AB1368" i="1"/>
  <c r="I1368" i="1"/>
  <c r="X1367" i="1"/>
  <c r="Z1367" i="1" s="1"/>
  <c r="W1367" i="1"/>
  <c r="S1367" i="1"/>
  <c r="Q1367" i="1"/>
  <c r="N1367" i="1"/>
  <c r="L1367" i="1"/>
  <c r="K1367" i="1"/>
  <c r="AB1367" i="1"/>
  <c r="I1367" i="1"/>
  <c r="X1366" i="1"/>
  <c r="Z1366" i="1" s="1"/>
  <c r="W1366" i="1"/>
  <c r="S1366" i="1"/>
  <c r="Q1366" i="1"/>
  <c r="N1366" i="1"/>
  <c r="L1366" i="1"/>
  <c r="K1366" i="1"/>
  <c r="AB1366" i="1"/>
  <c r="I1366" i="1"/>
  <c r="X1365" i="1"/>
  <c r="Z1365" i="1" s="1"/>
  <c r="W1365" i="1"/>
  <c r="S1365" i="1"/>
  <c r="Q1365" i="1"/>
  <c r="N1365" i="1"/>
  <c r="L1365" i="1"/>
  <c r="K1365" i="1"/>
  <c r="AB1365" i="1"/>
  <c r="I1365" i="1"/>
  <c r="X1364" i="1"/>
  <c r="Z1364" i="1" s="1"/>
  <c r="W1364" i="1"/>
  <c r="S1364" i="1"/>
  <c r="Q1364" i="1"/>
  <c r="N1364" i="1"/>
  <c r="L1364" i="1"/>
  <c r="K1364" i="1"/>
  <c r="AB1364" i="1"/>
  <c r="I1364" i="1"/>
  <c r="X1363" i="1"/>
  <c r="Z1363" i="1" s="1"/>
  <c r="W1363" i="1"/>
  <c r="S1363" i="1"/>
  <c r="Q1363" i="1"/>
  <c r="N1363" i="1"/>
  <c r="L1363" i="1"/>
  <c r="K1363" i="1"/>
  <c r="AB1363" i="1"/>
  <c r="I1363" i="1"/>
  <c r="X1362" i="1"/>
  <c r="Z1362" i="1" s="1"/>
  <c r="W1362" i="1"/>
  <c r="S1362" i="1"/>
  <c r="Q1362" i="1"/>
  <c r="N1362" i="1"/>
  <c r="L1362" i="1"/>
  <c r="K1362" i="1"/>
  <c r="AB1362" i="1"/>
  <c r="I1362" i="1"/>
  <c r="X1361" i="1"/>
  <c r="Z1361" i="1" s="1"/>
  <c r="W1361" i="1"/>
  <c r="S1361" i="1"/>
  <c r="Q1361" i="1"/>
  <c r="N1361" i="1"/>
  <c r="L1361" i="1"/>
  <c r="K1361" i="1"/>
  <c r="AB1361" i="1"/>
  <c r="I1361" i="1"/>
  <c r="X1360" i="1"/>
  <c r="Z1360" i="1" s="1"/>
  <c r="W1360" i="1"/>
  <c r="S1360" i="1"/>
  <c r="Q1360" i="1"/>
  <c r="N1360" i="1"/>
  <c r="L1360" i="1"/>
  <c r="K1360" i="1"/>
  <c r="AB1360" i="1"/>
  <c r="I1360" i="1"/>
  <c r="X1359" i="1"/>
  <c r="Z1359" i="1" s="1"/>
  <c r="W1359" i="1"/>
  <c r="S1359" i="1"/>
  <c r="Q1359" i="1"/>
  <c r="N1359" i="1"/>
  <c r="L1359" i="1"/>
  <c r="K1359" i="1"/>
  <c r="AB1359" i="1"/>
  <c r="I1359" i="1"/>
  <c r="X1358" i="1"/>
  <c r="Z1358" i="1" s="1"/>
  <c r="W1358" i="1"/>
  <c r="S1358" i="1"/>
  <c r="Q1358" i="1"/>
  <c r="N1358" i="1"/>
  <c r="L1358" i="1"/>
  <c r="K1358" i="1"/>
  <c r="AB1358" i="1"/>
  <c r="I1358" i="1"/>
  <c r="X1357" i="1"/>
  <c r="Z1357" i="1" s="1"/>
  <c r="W1357" i="1"/>
  <c r="S1357" i="1"/>
  <c r="Q1357" i="1"/>
  <c r="N1357" i="1"/>
  <c r="L1357" i="1"/>
  <c r="K1357" i="1"/>
  <c r="AB1357" i="1"/>
  <c r="I1357" i="1"/>
  <c r="X1356" i="1"/>
  <c r="Z1356" i="1" s="1"/>
  <c r="W1356" i="1"/>
  <c r="S1356" i="1"/>
  <c r="Q1356" i="1"/>
  <c r="N1356" i="1"/>
  <c r="L1356" i="1"/>
  <c r="K1356" i="1"/>
  <c r="AB1356" i="1"/>
  <c r="I1356" i="1"/>
  <c r="X1355" i="1"/>
  <c r="Z1355" i="1" s="1"/>
  <c r="W1355" i="1"/>
  <c r="S1355" i="1"/>
  <c r="Q1355" i="1"/>
  <c r="N1355" i="1"/>
  <c r="L1355" i="1"/>
  <c r="K1355" i="1"/>
  <c r="AB1355" i="1"/>
  <c r="I1355" i="1"/>
  <c r="X1354" i="1"/>
  <c r="Z1354" i="1" s="1"/>
  <c r="W1354" i="1"/>
  <c r="S1354" i="1"/>
  <c r="Q1354" i="1"/>
  <c r="N1354" i="1"/>
  <c r="L1354" i="1"/>
  <c r="K1354" i="1"/>
  <c r="AB1354" i="1"/>
  <c r="I1354" i="1"/>
  <c r="X1353" i="1"/>
  <c r="Z1353" i="1" s="1"/>
  <c r="W1353" i="1"/>
  <c r="S1353" i="1"/>
  <c r="Q1353" i="1"/>
  <c r="N1353" i="1"/>
  <c r="L1353" i="1"/>
  <c r="K1353" i="1"/>
  <c r="AB1353" i="1"/>
  <c r="I1353" i="1"/>
  <c r="X1352" i="1"/>
  <c r="Z1352" i="1" s="1"/>
  <c r="W1352" i="1"/>
  <c r="S1352" i="1"/>
  <c r="Q1352" i="1"/>
  <c r="N1352" i="1"/>
  <c r="L1352" i="1"/>
  <c r="K1352" i="1"/>
  <c r="AB1352" i="1"/>
  <c r="I1352" i="1"/>
  <c r="X1351" i="1"/>
  <c r="Z1351" i="1" s="1"/>
  <c r="W1351" i="1"/>
  <c r="S1351" i="1"/>
  <c r="Q1351" i="1"/>
  <c r="N1351" i="1"/>
  <c r="L1351" i="1"/>
  <c r="K1351" i="1"/>
  <c r="AB1351" i="1"/>
  <c r="I1351" i="1"/>
  <c r="X1350" i="1"/>
  <c r="Z1350" i="1" s="1"/>
  <c r="W1350" i="1"/>
  <c r="S1350" i="1"/>
  <c r="Q1350" i="1"/>
  <c r="N1350" i="1"/>
  <c r="L1350" i="1"/>
  <c r="K1350" i="1"/>
  <c r="AB1350" i="1"/>
  <c r="I1350" i="1"/>
  <c r="X1349" i="1"/>
  <c r="Z1349" i="1" s="1"/>
  <c r="W1349" i="1"/>
  <c r="S1349" i="1"/>
  <c r="Q1349" i="1"/>
  <c r="N1349" i="1"/>
  <c r="L1349" i="1"/>
  <c r="K1349" i="1"/>
  <c r="AB1349" i="1"/>
  <c r="I1349" i="1"/>
  <c r="X1348" i="1"/>
  <c r="Z1348" i="1" s="1"/>
  <c r="W1348" i="1"/>
  <c r="S1348" i="1"/>
  <c r="Q1348" i="1"/>
  <c r="N1348" i="1"/>
  <c r="L1348" i="1"/>
  <c r="K1348" i="1"/>
  <c r="AB1348" i="1"/>
  <c r="I1348" i="1"/>
  <c r="X1347" i="1"/>
  <c r="Z1347" i="1" s="1"/>
  <c r="W1347" i="1"/>
  <c r="S1347" i="1"/>
  <c r="Q1347" i="1"/>
  <c r="N1347" i="1"/>
  <c r="L1347" i="1"/>
  <c r="K1347" i="1"/>
  <c r="AB1347" i="1"/>
  <c r="I1347" i="1"/>
  <c r="X1346" i="1"/>
  <c r="Z1346" i="1" s="1"/>
  <c r="W1346" i="1"/>
  <c r="S1346" i="1"/>
  <c r="Q1346" i="1"/>
  <c r="N1346" i="1"/>
  <c r="L1346" i="1"/>
  <c r="K1346" i="1"/>
  <c r="AB1346" i="1"/>
  <c r="I1346" i="1"/>
  <c r="X1345" i="1"/>
  <c r="Z1345" i="1" s="1"/>
  <c r="W1345" i="1"/>
  <c r="S1345" i="1"/>
  <c r="Q1345" i="1"/>
  <c r="N1345" i="1"/>
  <c r="L1345" i="1"/>
  <c r="K1345" i="1"/>
  <c r="AB1345" i="1"/>
  <c r="I1345" i="1"/>
  <c r="X1344" i="1"/>
  <c r="Z1344" i="1" s="1"/>
  <c r="W1344" i="1"/>
  <c r="S1344" i="1"/>
  <c r="Q1344" i="1"/>
  <c r="N1344" i="1"/>
  <c r="L1344" i="1"/>
  <c r="K1344" i="1"/>
  <c r="AB1344" i="1"/>
  <c r="I1344" i="1"/>
  <c r="X1343" i="1"/>
  <c r="Z1343" i="1" s="1"/>
  <c r="W1343" i="1"/>
  <c r="S1343" i="1"/>
  <c r="Q1343" i="1"/>
  <c r="N1343" i="1"/>
  <c r="L1343" i="1"/>
  <c r="K1343" i="1"/>
  <c r="AB1343" i="1"/>
  <c r="I1343" i="1"/>
  <c r="X1342" i="1"/>
  <c r="Z1342" i="1" s="1"/>
  <c r="W1342" i="1"/>
  <c r="S1342" i="1"/>
  <c r="Q1342" i="1"/>
  <c r="N1342" i="1"/>
  <c r="L1342" i="1"/>
  <c r="K1342" i="1"/>
  <c r="AB1342" i="1"/>
  <c r="I1342" i="1"/>
  <c r="X1341" i="1"/>
  <c r="Z1341" i="1" s="1"/>
  <c r="W1341" i="1"/>
  <c r="S1341" i="1"/>
  <c r="Q1341" i="1"/>
  <c r="N1341" i="1"/>
  <c r="L1341" i="1"/>
  <c r="K1341" i="1"/>
  <c r="AB1341" i="1"/>
  <c r="I1341" i="1"/>
  <c r="X1340" i="1"/>
  <c r="Z1340" i="1" s="1"/>
  <c r="W1340" i="1"/>
  <c r="S1340" i="1"/>
  <c r="Q1340" i="1"/>
  <c r="N1340" i="1"/>
  <c r="L1340" i="1"/>
  <c r="K1340" i="1"/>
  <c r="AB1340" i="1"/>
  <c r="I1340" i="1"/>
  <c r="X1339" i="1"/>
  <c r="Z1339" i="1" s="1"/>
  <c r="W1339" i="1"/>
  <c r="S1339" i="1"/>
  <c r="Q1339" i="1"/>
  <c r="N1339" i="1"/>
  <c r="L1339" i="1"/>
  <c r="K1339" i="1"/>
  <c r="AB1339" i="1"/>
  <c r="I1339" i="1"/>
  <c r="X1338" i="1"/>
  <c r="Z1338" i="1" s="1"/>
  <c r="W1338" i="1"/>
  <c r="S1338" i="1"/>
  <c r="Q1338" i="1"/>
  <c r="N1338" i="1"/>
  <c r="L1338" i="1"/>
  <c r="K1338" i="1"/>
  <c r="AB1338" i="1"/>
  <c r="I1338" i="1"/>
  <c r="X1337" i="1"/>
  <c r="Z1337" i="1" s="1"/>
  <c r="W1337" i="1"/>
  <c r="S1337" i="1"/>
  <c r="Q1337" i="1"/>
  <c r="N1337" i="1"/>
  <c r="L1337" i="1"/>
  <c r="K1337" i="1"/>
  <c r="AB1337" i="1"/>
  <c r="I1337" i="1"/>
  <c r="X1336" i="1"/>
  <c r="Z1336" i="1" s="1"/>
  <c r="W1336" i="1"/>
  <c r="S1336" i="1"/>
  <c r="Q1336" i="1"/>
  <c r="N1336" i="1"/>
  <c r="L1336" i="1"/>
  <c r="K1336" i="1"/>
  <c r="AB1336" i="1"/>
  <c r="I1336" i="1"/>
  <c r="X1335" i="1"/>
  <c r="Z1335" i="1" s="1"/>
  <c r="W1335" i="1"/>
  <c r="S1335" i="1"/>
  <c r="Q1335" i="1"/>
  <c r="N1335" i="1"/>
  <c r="L1335" i="1"/>
  <c r="K1335" i="1"/>
  <c r="AB1335" i="1"/>
  <c r="I1335" i="1"/>
  <c r="X1334" i="1"/>
  <c r="Z1334" i="1" s="1"/>
  <c r="W1334" i="1"/>
  <c r="S1334" i="1"/>
  <c r="Q1334" i="1"/>
  <c r="N1334" i="1"/>
  <c r="L1334" i="1"/>
  <c r="K1334" i="1"/>
  <c r="AB1334" i="1"/>
  <c r="I1334" i="1"/>
  <c r="X1333" i="1"/>
  <c r="Z1333" i="1" s="1"/>
  <c r="W1333" i="1"/>
  <c r="S1333" i="1"/>
  <c r="Q1333" i="1"/>
  <c r="N1333" i="1"/>
  <c r="L1333" i="1"/>
  <c r="K1333" i="1"/>
  <c r="AB1333" i="1"/>
  <c r="I1333" i="1"/>
  <c r="X1332" i="1"/>
  <c r="Z1332" i="1" s="1"/>
  <c r="W1332" i="1"/>
  <c r="S1332" i="1"/>
  <c r="Q1332" i="1"/>
  <c r="N1332" i="1"/>
  <c r="L1332" i="1"/>
  <c r="K1332" i="1"/>
  <c r="AB1332" i="1"/>
  <c r="I1332" i="1"/>
  <c r="X1331" i="1"/>
  <c r="Z1331" i="1" s="1"/>
  <c r="W1331" i="1"/>
  <c r="S1331" i="1"/>
  <c r="Q1331" i="1"/>
  <c r="N1331" i="1"/>
  <c r="L1331" i="1"/>
  <c r="K1331" i="1"/>
  <c r="AB1331" i="1"/>
  <c r="I1331" i="1"/>
  <c r="X1330" i="1"/>
  <c r="Z1330" i="1" s="1"/>
  <c r="W1330" i="1"/>
  <c r="S1330" i="1"/>
  <c r="Q1330" i="1"/>
  <c r="N1330" i="1"/>
  <c r="L1330" i="1"/>
  <c r="K1330" i="1"/>
  <c r="AB1330" i="1"/>
  <c r="I1330" i="1"/>
  <c r="X1329" i="1"/>
  <c r="Z1329" i="1" s="1"/>
  <c r="W1329" i="1"/>
  <c r="S1329" i="1"/>
  <c r="Q1329" i="1"/>
  <c r="N1329" i="1"/>
  <c r="L1329" i="1"/>
  <c r="K1329" i="1"/>
  <c r="AB1329" i="1"/>
  <c r="I1329" i="1"/>
  <c r="X1328" i="1"/>
  <c r="Z1328" i="1" s="1"/>
  <c r="W1328" i="1"/>
  <c r="S1328" i="1"/>
  <c r="Q1328" i="1"/>
  <c r="N1328" i="1"/>
  <c r="L1328" i="1"/>
  <c r="K1328" i="1"/>
  <c r="AB1328" i="1"/>
  <c r="I1328" i="1"/>
  <c r="X1327" i="1"/>
  <c r="Z1327" i="1" s="1"/>
  <c r="W1327" i="1"/>
  <c r="S1327" i="1"/>
  <c r="Q1327" i="1"/>
  <c r="N1327" i="1"/>
  <c r="L1327" i="1"/>
  <c r="K1327" i="1"/>
  <c r="AB1327" i="1"/>
  <c r="I1327" i="1"/>
  <c r="X1326" i="1"/>
  <c r="Z1326" i="1" s="1"/>
  <c r="W1326" i="1"/>
  <c r="S1326" i="1"/>
  <c r="Q1326" i="1"/>
  <c r="N1326" i="1"/>
  <c r="L1326" i="1"/>
  <c r="K1326" i="1"/>
  <c r="AB1326" i="1"/>
  <c r="I1326" i="1"/>
  <c r="X1325" i="1"/>
  <c r="Z1325" i="1" s="1"/>
  <c r="W1325" i="1"/>
  <c r="S1325" i="1"/>
  <c r="Q1325" i="1"/>
  <c r="N1325" i="1"/>
  <c r="L1325" i="1"/>
  <c r="K1325" i="1"/>
  <c r="AB1325" i="1"/>
  <c r="I1325" i="1"/>
  <c r="X1324" i="1"/>
  <c r="Z1324" i="1" s="1"/>
  <c r="W1324" i="1"/>
  <c r="S1324" i="1"/>
  <c r="Q1324" i="1"/>
  <c r="N1324" i="1"/>
  <c r="L1324" i="1"/>
  <c r="K1324" i="1"/>
  <c r="AB1324" i="1"/>
  <c r="I1324" i="1"/>
  <c r="X1323" i="1"/>
  <c r="Z1323" i="1" s="1"/>
  <c r="W1323" i="1"/>
  <c r="S1323" i="1"/>
  <c r="Q1323" i="1"/>
  <c r="N1323" i="1"/>
  <c r="L1323" i="1"/>
  <c r="K1323" i="1"/>
  <c r="AB1323" i="1"/>
  <c r="I1323" i="1"/>
  <c r="X1322" i="1"/>
  <c r="Z1322" i="1" s="1"/>
  <c r="W1322" i="1"/>
  <c r="S1322" i="1"/>
  <c r="Q1322" i="1"/>
  <c r="N1322" i="1"/>
  <c r="L1322" i="1"/>
  <c r="K1322" i="1"/>
  <c r="AB1322" i="1"/>
  <c r="I1322" i="1"/>
  <c r="X1321" i="1"/>
  <c r="Z1321" i="1" s="1"/>
  <c r="W1321" i="1"/>
  <c r="S1321" i="1"/>
  <c r="Q1321" i="1"/>
  <c r="N1321" i="1"/>
  <c r="L1321" i="1"/>
  <c r="K1321" i="1"/>
  <c r="AB1321" i="1"/>
  <c r="I1321" i="1"/>
  <c r="X1320" i="1"/>
  <c r="Z1320" i="1" s="1"/>
  <c r="W1320" i="1"/>
  <c r="S1320" i="1"/>
  <c r="Q1320" i="1"/>
  <c r="N1320" i="1"/>
  <c r="L1320" i="1"/>
  <c r="K1320" i="1"/>
  <c r="AB1320" i="1"/>
  <c r="I1320" i="1"/>
  <c r="X1319" i="1"/>
  <c r="Z1319" i="1" s="1"/>
  <c r="W1319" i="1"/>
  <c r="S1319" i="1"/>
  <c r="Q1319" i="1"/>
  <c r="N1319" i="1"/>
  <c r="L1319" i="1"/>
  <c r="K1319" i="1"/>
  <c r="AB1319" i="1"/>
  <c r="I1319" i="1"/>
  <c r="X1318" i="1"/>
  <c r="Z1318" i="1" s="1"/>
  <c r="W1318" i="1"/>
  <c r="S1318" i="1"/>
  <c r="Q1318" i="1"/>
  <c r="N1318" i="1"/>
  <c r="L1318" i="1"/>
  <c r="K1318" i="1"/>
  <c r="AB1318" i="1"/>
  <c r="I1318" i="1"/>
  <c r="X1317" i="1"/>
  <c r="Z1317" i="1" s="1"/>
  <c r="W1317" i="1"/>
  <c r="S1317" i="1"/>
  <c r="Q1317" i="1"/>
  <c r="N1317" i="1"/>
  <c r="L1317" i="1"/>
  <c r="K1317" i="1"/>
  <c r="AB1317" i="1"/>
  <c r="I1317" i="1"/>
  <c r="X1316" i="1"/>
  <c r="Z1316" i="1" s="1"/>
  <c r="W1316" i="1"/>
  <c r="S1316" i="1"/>
  <c r="Q1316" i="1"/>
  <c r="N1316" i="1"/>
  <c r="L1316" i="1"/>
  <c r="K1316" i="1"/>
  <c r="AB1316" i="1"/>
  <c r="I1316" i="1"/>
  <c r="X1315" i="1"/>
  <c r="Z1315" i="1" s="1"/>
  <c r="W1315" i="1"/>
  <c r="S1315" i="1"/>
  <c r="Q1315" i="1"/>
  <c r="N1315" i="1"/>
  <c r="L1315" i="1"/>
  <c r="K1315" i="1"/>
  <c r="AB1315" i="1"/>
  <c r="I1315" i="1"/>
  <c r="X1314" i="1"/>
  <c r="Z1314" i="1" s="1"/>
  <c r="W1314" i="1"/>
  <c r="S1314" i="1"/>
  <c r="Q1314" i="1"/>
  <c r="N1314" i="1"/>
  <c r="L1314" i="1"/>
  <c r="K1314" i="1"/>
  <c r="AB1314" i="1"/>
  <c r="I1314" i="1"/>
  <c r="X1313" i="1"/>
  <c r="Z1313" i="1" s="1"/>
  <c r="W1313" i="1"/>
  <c r="S1313" i="1"/>
  <c r="Q1313" i="1"/>
  <c r="N1313" i="1"/>
  <c r="L1313" i="1"/>
  <c r="K1313" i="1"/>
  <c r="AB1313" i="1"/>
  <c r="I1313" i="1"/>
  <c r="X1312" i="1"/>
  <c r="Z1312" i="1" s="1"/>
  <c r="W1312" i="1"/>
  <c r="S1312" i="1"/>
  <c r="Q1312" i="1"/>
  <c r="N1312" i="1"/>
  <c r="L1312" i="1"/>
  <c r="K1312" i="1"/>
  <c r="AB1312" i="1"/>
  <c r="I1312" i="1"/>
  <c r="X1311" i="1"/>
  <c r="Z1311" i="1" s="1"/>
  <c r="W1311" i="1"/>
  <c r="S1311" i="1"/>
  <c r="Q1311" i="1"/>
  <c r="N1311" i="1"/>
  <c r="L1311" i="1"/>
  <c r="K1311" i="1"/>
  <c r="AB1311" i="1"/>
  <c r="I1311" i="1"/>
  <c r="X1310" i="1"/>
  <c r="Z1310" i="1" s="1"/>
  <c r="W1310" i="1"/>
  <c r="S1310" i="1"/>
  <c r="Q1310" i="1"/>
  <c r="N1310" i="1"/>
  <c r="L1310" i="1"/>
  <c r="K1310" i="1"/>
  <c r="AB1310" i="1"/>
  <c r="I1310" i="1"/>
  <c r="X1309" i="1"/>
  <c r="Z1309" i="1" s="1"/>
  <c r="W1309" i="1"/>
  <c r="S1309" i="1"/>
  <c r="Q1309" i="1"/>
  <c r="N1309" i="1"/>
  <c r="L1309" i="1"/>
  <c r="K1309" i="1"/>
  <c r="AB1309" i="1"/>
  <c r="I1309" i="1"/>
  <c r="X1308" i="1"/>
  <c r="Z1308" i="1" s="1"/>
  <c r="W1308" i="1"/>
  <c r="S1308" i="1"/>
  <c r="Q1308" i="1"/>
  <c r="N1308" i="1"/>
  <c r="L1308" i="1"/>
  <c r="K1308" i="1"/>
  <c r="AB1308" i="1"/>
  <c r="I1308" i="1"/>
  <c r="X1307" i="1"/>
  <c r="Z1307" i="1" s="1"/>
  <c r="W1307" i="1"/>
  <c r="S1307" i="1"/>
  <c r="Q1307" i="1"/>
  <c r="N1307" i="1"/>
  <c r="L1307" i="1"/>
  <c r="K1307" i="1"/>
  <c r="AB1307" i="1"/>
  <c r="I1307" i="1"/>
  <c r="X1306" i="1"/>
  <c r="Z1306" i="1" s="1"/>
  <c r="W1306" i="1"/>
  <c r="S1306" i="1"/>
  <c r="Q1306" i="1"/>
  <c r="N1306" i="1"/>
  <c r="L1306" i="1"/>
  <c r="K1306" i="1"/>
  <c r="AB1306" i="1"/>
  <c r="I1306" i="1"/>
  <c r="X1305" i="1"/>
  <c r="Z1305" i="1" s="1"/>
  <c r="W1305" i="1"/>
  <c r="S1305" i="1"/>
  <c r="Q1305" i="1"/>
  <c r="N1305" i="1"/>
  <c r="L1305" i="1"/>
  <c r="K1305" i="1"/>
  <c r="AB1305" i="1"/>
  <c r="I1305" i="1"/>
  <c r="X1304" i="1"/>
  <c r="Z1304" i="1" s="1"/>
  <c r="W1304" i="1"/>
  <c r="S1304" i="1"/>
  <c r="Q1304" i="1"/>
  <c r="N1304" i="1"/>
  <c r="L1304" i="1"/>
  <c r="K1304" i="1"/>
  <c r="AB1304" i="1"/>
  <c r="I1304" i="1"/>
  <c r="X1303" i="1"/>
  <c r="Z1303" i="1" s="1"/>
  <c r="W1303" i="1"/>
  <c r="S1303" i="1"/>
  <c r="Q1303" i="1"/>
  <c r="N1303" i="1"/>
  <c r="L1303" i="1"/>
  <c r="K1303" i="1"/>
  <c r="AB1303" i="1"/>
  <c r="I1303" i="1"/>
  <c r="X1302" i="1"/>
  <c r="Z1302" i="1" s="1"/>
  <c r="W1302" i="1"/>
  <c r="S1302" i="1"/>
  <c r="Q1302" i="1"/>
  <c r="N1302" i="1"/>
  <c r="L1302" i="1"/>
  <c r="K1302" i="1"/>
  <c r="AB1302" i="1"/>
  <c r="I1302" i="1"/>
  <c r="X1301" i="1"/>
  <c r="Z1301" i="1" s="1"/>
  <c r="W1301" i="1"/>
  <c r="S1301" i="1"/>
  <c r="Q1301" i="1"/>
  <c r="N1301" i="1"/>
  <c r="L1301" i="1"/>
  <c r="K1301" i="1"/>
  <c r="AB1301" i="1"/>
  <c r="I1301" i="1"/>
  <c r="X1300" i="1"/>
  <c r="Z1300" i="1" s="1"/>
  <c r="W1300" i="1"/>
  <c r="S1300" i="1"/>
  <c r="Q1300" i="1"/>
  <c r="N1300" i="1"/>
  <c r="L1300" i="1"/>
  <c r="K1300" i="1"/>
  <c r="AB1300" i="1"/>
  <c r="I1300" i="1"/>
  <c r="X1299" i="1"/>
  <c r="Z1299" i="1" s="1"/>
  <c r="W1299" i="1"/>
  <c r="S1299" i="1"/>
  <c r="Q1299" i="1"/>
  <c r="N1299" i="1"/>
  <c r="L1299" i="1"/>
  <c r="K1299" i="1"/>
  <c r="AB1299" i="1"/>
  <c r="I1299" i="1"/>
  <c r="X1298" i="1"/>
  <c r="Z1298" i="1" s="1"/>
  <c r="W1298" i="1"/>
  <c r="S1298" i="1"/>
  <c r="Q1298" i="1"/>
  <c r="N1298" i="1"/>
  <c r="L1298" i="1"/>
  <c r="K1298" i="1"/>
  <c r="AB1298" i="1"/>
  <c r="I1298" i="1"/>
  <c r="X1297" i="1"/>
  <c r="Z1297" i="1" s="1"/>
  <c r="W1297" i="1"/>
  <c r="S1297" i="1"/>
  <c r="Q1297" i="1"/>
  <c r="N1297" i="1"/>
  <c r="L1297" i="1"/>
  <c r="K1297" i="1"/>
  <c r="AB1297" i="1"/>
  <c r="I1297" i="1"/>
  <c r="X1296" i="1"/>
  <c r="Z1296" i="1" s="1"/>
  <c r="W1296" i="1"/>
  <c r="S1296" i="1"/>
  <c r="Q1296" i="1"/>
  <c r="N1296" i="1"/>
  <c r="L1296" i="1"/>
  <c r="K1296" i="1"/>
  <c r="AB1296" i="1"/>
  <c r="I1296" i="1"/>
  <c r="X1295" i="1"/>
  <c r="Z1295" i="1" s="1"/>
  <c r="W1295" i="1"/>
  <c r="S1295" i="1"/>
  <c r="Q1295" i="1"/>
  <c r="N1295" i="1"/>
  <c r="L1295" i="1"/>
  <c r="K1295" i="1"/>
  <c r="AB1295" i="1"/>
  <c r="I1295" i="1"/>
  <c r="X1294" i="1"/>
  <c r="Z1294" i="1" s="1"/>
  <c r="W1294" i="1"/>
  <c r="S1294" i="1"/>
  <c r="Q1294" i="1"/>
  <c r="N1294" i="1"/>
  <c r="L1294" i="1"/>
  <c r="K1294" i="1"/>
  <c r="AB1294" i="1"/>
  <c r="I1294" i="1"/>
  <c r="X1293" i="1"/>
  <c r="Z1293" i="1" s="1"/>
  <c r="W1293" i="1"/>
  <c r="S1293" i="1"/>
  <c r="Q1293" i="1"/>
  <c r="N1293" i="1"/>
  <c r="L1293" i="1"/>
  <c r="K1293" i="1"/>
  <c r="AB1293" i="1"/>
  <c r="I1293" i="1"/>
  <c r="X1292" i="1"/>
  <c r="Z1292" i="1" s="1"/>
  <c r="W1292" i="1"/>
  <c r="S1292" i="1"/>
  <c r="Q1292" i="1"/>
  <c r="N1292" i="1"/>
  <c r="L1292" i="1"/>
  <c r="K1292" i="1"/>
  <c r="AB1292" i="1"/>
  <c r="I1292" i="1"/>
  <c r="X1291" i="1"/>
  <c r="Z1291" i="1" s="1"/>
  <c r="W1291" i="1"/>
  <c r="S1291" i="1"/>
  <c r="Q1291" i="1"/>
  <c r="N1291" i="1"/>
  <c r="L1291" i="1"/>
  <c r="K1291" i="1"/>
  <c r="AB1291" i="1"/>
  <c r="I1291" i="1"/>
  <c r="X1290" i="1"/>
  <c r="Z1290" i="1" s="1"/>
  <c r="W1290" i="1"/>
  <c r="S1290" i="1"/>
  <c r="Q1290" i="1"/>
  <c r="N1290" i="1"/>
  <c r="L1290" i="1"/>
  <c r="K1290" i="1"/>
  <c r="AB1290" i="1"/>
  <c r="I1290" i="1"/>
  <c r="X1289" i="1"/>
  <c r="Z1289" i="1" s="1"/>
  <c r="W1289" i="1"/>
  <c r="S1289" i="1"/>
  <c r="Q1289" i="1"/>
  <c r="N1289" i="1"/>
  <c r="L1289" i="1"/>
  <c r="K1289" i="1"/>
  <c r="AB1289" i="1"/>
  <c r="I1289" i="1"/>
  <c r="X1288" i="1"/>
  <c r="Z1288" i="1" s="1"/>
  <c r="W1288" i="1"/>
  <c r="S1288" i="1"/>
  <c r="Q1288" i="1"/>
  <c r="N1288" i="1"/>
  <c r="L1288" i="1"/>
  <c r="K1288" i="1"/>
  <c r="AB1288" i="1"/>
  <c r="I1288" i="1"/>
  <c r="X1287" i="1"/>
  <c r="Z1287" i="1" s="1"/>
  <c r="W1287" i="1"/>
  <c r="S1287" i="1"/>
  <c r="Q1287" i="1"/>
  <c r="N1287" i="1"/>
  <c r="L1287" i="1"/>
  <c r="K1287" i="1"/>
  <c r="AB1287" i="1"/>
  <c r="I1287" i="1"/>
  <c r="X1286" i="1"/>
  <c r="Z1286" i="1" s="1"/>
  <c r="W1286" i="1"/>
  <c r="S1286" i="1"/>
  <c r="Q1286" i="1"/>
  <c r="N1286" i="1"/>
  <c r="L1286" i="1"/>
  <c r="K1286" i="1"/>
  <c r="AB1286" i="1"/>
  <c r="I1286" i="1"/>
  <c r="X1285" i="1"/>
  <c r="Z1285" i="1" s="1"/>
  <c r="W1285" i="1"/>
  <c r="S1285" i="1"/>
  <c r="Q1285" i="1"/>
  <c r="N1285" i="1"/>
  <c r="L1285" i="1"/>
  <c r="K1285" i="1"/>
  <c r="AB1285" i="1"/>
  <c r="I1285" i="1"/>
  <c r="X1284" i="1"/>
  <c r="Z1284" i="1" s="1"/>
  <c r="W1284" i="1"/>
  <c r="S1284" i="1"/>
  <c r="Q1284" i="1"/>
  <c r="N1284" i="1"/>
  <c r="L1284" i="1"/>
  <c r="K1284" i="1"/>
  <c r="AB1284" i="1"/>
  <c r="I1284" i="1"/>
  <c r="X1283" i="1"/>
  <c r="Z1283" i="1" s="1"/>
  <c r="W1283" i="1"/>
  <c r="S1283" i="1"/>
  <c r="Q1283" i="1"/>
  <c r="N1283" i="1"/>
  <c r="L1283" i="1"/>
  <c r="K1283" i="1"/>
  <c r="AB1283" i="1"/>
  <c r="I1283" i="1"/>
  <c r="X1282" i="1"/>
  <c r="Z1282" i="1" s="1"/>
  <c r="W1282" i="1"/>
  <c r="S1282" i="1"/>
  <c r="Q1282" i="1"/>
  <c r="N1282" i="1"/>
  <c r="L1282" i="1"/>
  <c r="K1282" i="1"/>
  <c r="AB1282" i="1"/>
  <c r="I1282" i="1"/>
  <c r="X1281" i="1"/>
  <c r="Z1281" i="1" s="1"/>
  <c r="W1281" i="1"/>
  <c r="S1281" i="1"/>
  <c r="Q1281" i="1"/>
  <c r="N1281" i="1"/>
  <c r="L1281" i="1"/>
  <c r="K1281" i="1"/>
  <c r="AB1281" i="1"/>
  <c r="I1281" i="1"/>
  <c r="X1280" i="1"/>
  <c r="Z1280" i="1" s="1"/>
  <c r="W1280" i="1"/>
  <c r="S1280" i="1"/>
  <c r="Q1280" i="1"/>
  <c r="N1280" i="1"/>
  <c r="L1280" i="1"/>
  <c r="K1280" i="1"/>
  <c r="AB1280" i="1"/>
  <c r="I1280" i="1"/>
  <c r="X1279" i="1"/>
  <c r="Z1279" i="1" s="1"/>
  <c r="W1279" i="1"/>
  <c r="S1279" i="1"/>
  <c r="Q1279" i="1"/>
  <c r="N1279" i="1"/>
  <c r="L1279" i="1"/>
  <c r="K1279" i="1"/>
  <c r="AB1279" i="1"/>
  <c r="I1279" i="1"/>
  <c r="X1278" i="1"/>
  <c r="Z1278" i="1" s="1"/>
  <c r="W1278" i="1"/>
  <c r="S1278" i="1"/>
  <c r="Q1278" i="1"/>
  <c r="N1278" i="1"/>
  <c r="L1278" i="1"/>
  <c r="K1278" i="1"/>
  <c r="AB1278" i="1"/>
  <c r="I1278" i="1"/>
  <c r="X1277" i="1"/>
  <c r="Z1277" i="1" s="1"/>
  <c r="W1277" i="1"/>
  <c r="S1277" i="1"/>
  <c r="Q1277" i="1"/>
  <c r="N1277" i="1"/>
  <c r="L1277" i="1"/>
  <c r="K1277" i="1"/>
  <c r="AB1277" i="1"/>
  <c r="I1277" i="1"/>
  <c r="X1276" i="1"/>
  <c r="Z1276" i="1" s="1"/>
  <c r="W1276" i="1"/>
  <c r="S1276" i="1"/>
  <c r="Q1276" i="1"/>
  <c r="N1276" i="1"/>
  <c r="L1276" i="1"/>
  <c r="K1276" i="1"/>
  <c r="AB1276" i="1"/>
  <c r="I1276" i="1"/>
  <c r="X1275" i="1"/>
  <c r="Z1275" i="1" s="1"/>
  <c r="W1275" i="1"/>
  <c r="S1275" i="1"/>
  <c r="Q1275" i="1"/>
  <c r="N1275" i="1"/>
  <c r="L1275" i="1"/>
  <c r="K1275" i="1"/>
  <c r="AB1275" i="1"/>
  <c r="I1275" i="1"/>
  <c r="X1274" i="1"/>
  <c r="Z1274" i="1" s="1"/>
  <c r="W1274" i="1"/>
  <c r="S1274" i="1"/>
  <c r="Q1274" i="1"/>
  <c r="N1274" i="1"/>
  <c r="L1274" i="1"/>
  <c r="K1274" i="1"/>
  <c r="AB1274" i="1"/>
  <c r="I1274" i="1"/>
  <c r="X1273" i="1"/>
  <c r="Z1273" i="1" s="1"/>
  <c r="W1273" i="1"/>
  <c r="S1273" i="1"/>
  <c r="Q1273" i="1"/>
  <c r="N1273" i="1"/>
  <c r="L1273" i="1"/>
  <c r="K1273" i="1"/>
  <c r="AB1273" i="1"/>
  <c r="I1273" i="1"/>
  <c r="X1272" i="1"/>
  <c r="Z1272" i="1" s="1"/>
  <c r="W1272" i="1"/>
  <c r="S1272" i="1"/>
  <c r="Q1272" i="1"/>
  <c r="N1272" i="1"/>
  <c r="L1272" i="1"/>
  <c r="K1272" i="1"/>
  <c r="AB1272" i="1"/>
  <c r="I1272" i="1"/>
  <c r="X1271" i="1"/>
  <c r="Z1271" i="1" s="1"/>
  <c r="W1271" i="1"/>
  <c r="S1271" i="1"/>
  <c r="Q1271" i="1"/>
  <c r="N1271" i="1"/>
  <c r="L1271" i="1"/>
  <c r="K1271" i="1"/>
  <c r="AB1271" i="1"/>
  <c r="I1271" i="1"/>
  <c r="X1270" i="1"/>
  <c r="Z1270" i="1" s="1"/>
  <c r="W1270" i="1"/>
  <c r="S1270" i="1"/>
  <c r="Q1270" i="1"/>
  <c r="N1270" i="1"/>
  <c r="L1270" i="1"/>
  <c r="K1270" i="1"/>
  <c r="AB1270" i="1"/>
  <c r="I1270" i="1"/>
  <c r="X1269" i="1"/>
  <c r="Z1269" i="1" s="1"/>
  <c r="W1269" i="1"/>
  <c r="S1269" i="1"/>
  <c r="Q1269" i="1"/>
  <c r="N1269" i="1"/>
  <c r="L1269" i="1"/>
  <c r="K1269" i="1"/>
  <c r="AB1269" i="1"/>
  <c r="I1269" i="1"/>
  <c r="X1268" i="1"/>
  <c r="Z1268" i="1" s="1"/>
  <c r="W1268" i="1"/>
  <c r="S1268" i="1"/>
  <c r="Q1268" i="1"/>
  <c r="N1268" i="1"/>
  <c r="L1268" i="1"/>
  <c r="K1268" i="1"/>
  <c r="AB1268" i="1"/>
  <c r="I1268" i="1"/>
  <c r="X1267" i="1"/>
  <c r="Z1267" i="1" s="1"/>
  <c r="W1267" i="1"/>
  <c r="S1267" i="1"/>
  <c r="Q1267" i="1"/>
  <c r="N1267" i="1"/>
  <c r="L1267" i="1"/>
  <c r="K1267" i="1"/>
  <c r="AB1267" i="1"/>
  <c r="I1267" i="1"/>
  <c r="X1266" i="1"/>
  <c r="Z1266" i="1" s="1"/>
  <c r="W1266" i="1"/>
  <c r="S1266" i="1"/>
  <c r="Q1266" i="1"/>
  <c r="N1266" i="1"/>
  <c r="L1266" i="1"/>
  <c r="K1266" i="1"/>
  <c r="AB1266" i="1"/>
  <c r="I1266" i="1"/>
  <c r="X1265" i="1"/>
  <c r="Z1265" i="1" s="1"/>
  <c r="W1265" i="1"/>
  <c r="S1265" i="1"/>
  <c r="Q1265" i="1"/>
  <c r="N1265" i="1"/>
  <c r="L1265" i="1"/>
  <c r="K1265" i="1"/>
  <c r="AB1265" i="1"/>
  <c r="I1265" i="1"/>
  <c r="X1264" i="1"/>
  <c r="Z1264" i="1" s="1"/>
  <c r="W1264" i="1"/>
  <c r="S1264" i="1"/>
  <c r="Q1264" i="1"/>
  <c r="N1264" i="1"/>
  <c r="L1264" i="1"/>
  <c r="K1264" i="1"/>
  <c r="AB1264" i="1"/>
  <c r="I1264" i="1"/>
  <c r="X1263" i="1"/>
  <c r="Z1263" i="1" s="1"/>
  <c r="W1263" i="1"/>
  <c r="S1263" i="1"/>
  <c r="Q1263" i="1"/>
  <c r="N1263" i="1"/>
  <c r="L1263" i="1"/>
  <c r="K1263" i="1"/>
  <c r="AB1263" i="1"/>
  <c r="I1263" i="1"/>
  <c r="X1262" i="1"/>
  <c r="Z1262" i="1" s="1"/>
  <c r="W1262" i="1"/>
  <c r="S1262" i="1"/>
  <c r="Q1262" i="1"/>
  <c r="N1262" i="1"/>
  <c r="L1262" i="1"/>
  <c r="K1262" i="1"/>
  <c r="AB1262" i="1"/>
  <c r="I1262" i="1"/>
  <c r="X1261" i="1"/>
  <c r="Z1261" i="1" s="1"/>
  <c r="W1261" i="1"/>
  <c r="S1261" i="1"/>
  <c r="Q1261" i="1"/>
  <c r="N1261" i="1"/>
  <c r="L1261" i="1"/>
  <c r="K1261" i="1"/>
  <c r="AB1261" i="1"/>
  <c r="I1261" i="1"/>
  <c r="X1260" i="1"/>
  <c r="Z1260" i="1" s="1"/>
  <c r="W1260" i="1"/>
  <c r="S1260" i="1"/>
  <c r="Q1260" i="1"/>
  <c r="N1260" i="1"/>
  <c r="L1260" i="1"/>
  <c r="K1260" i="1"/>
  <c r="AB1260" i="1"/>
  <c r="I1260" i="1"/>
  <c r="X1259" i="1"/>
  <c r="Z1259" i="1" s="1"/>
  <c r="W1259" i="1"/>
  <c r="S1259" i="1"/>
  <c r="Q1259" i="1"/>
  <c r="N1259" i="1"/>
  <c r="L1259" i="1"/>
  <c r="K1259" i="1"/>
  <c r="AB1259" i="1"/>
  <c r="I1259" i="1"/>
  <c r="X1258" i="1"/>
  <c r="Z1258" i="1" s="1"/>
  <c r="W1258" i="1"/>
  <c r="S1258" i="1"/>
  <c r="Q1258" i="1"/>
  <c r="N1258" i="1"/>
  <c r="L1258" i="1"/>
  <c r="K1258" i="1"/>
  <c r="AB1258" i="1"/>
  <c r="I1258" i="1"/>
  <c r="X1257" i="1"/>
  <c r="Z1257" i="1" s="1"/>
  <c r="W1257" i="1"/>
  <c r="S1257" i="1"/>
  <c r="Q1257" i="1"/>
  <c r="N1257" i="1"/>
  <c r="L1257" i="1"/>
  <c r="K1257" i="1"/>
  <c r="AB1257" i="1"/>
  <c r="I1257" i="1"/>
  <c r="X1256" i="1"/>
  <c r="Z1256" i="1" s="1"/>
  <c r="W1256" i="1"/>
  <c r="S1256" i="1"/>
  <c r="Q1256" i="1"/>
  <c r="N1256" i="1"/>
  <c r="L1256" i="1"/>
  <c r="K1256" i="1"/>
  <c r="AB1256" i="1"/>
  <c r="I1256" i="1"/>
  <c r="X1255" i="1"/>
  <c r="Z1255" i="1" s="1"/>
  <c r="W1255" i="1"/>
  <c r="S1255" i="1"/>
  <c r="Q1255" i="1"/>
  <c r="N1255" i="1"/>
  <c r="L1255" i="1"/>
  <c r="K1255" i="1"/>
  <c r="AB1255" i="1"/>
  <c r="I1255" i="1"/>
  <c r="X1254" i="1"/>
  <c r="Z1254" i="1" s="1"/>
  <c r="W1254" i="1"/>
  <c r="S1254" i="1"/>
  <c r="Q1254" i="1"/>
  <c r="N1254" i="1"/>
  <c r="L1254" i="1"/>
  <c r="K1254" i="1"/>
  <c r="AB1254" i="1"/>
  <c r="I1254" i="1"/>
  <c r="X1253" i="1"/>
  <c r="Z1253" i="1" s="1"/>
  <c r="W1253" i="1"/>
  <c r="S1253" i="1"/>
  <c r="Q1253" i="1"/>
  <c r="N1253" i="1"/>
  <c r="L1253" i="1"/>
  <c r="K1253" i="1"/>
  <c r="AB1253" i="1"/>
  <c r="I1253" i="1"/>
  <c r="X1252" i="1"/>
  <c r="Z1252" i="1" s="1"/>
  <c r="W1252" i="1"/>
  <c r="S1252" i="1"/>
  <c r="Q1252" i="1"/>
  <c r="N1252" i="1"/>
  <c r="L1252" i="1"/>
  <c r="K1252" i="1"/>
  <c r="AB1252" i="1"/>
  <c r="I1252" i="1"/>
  <c r="X1251" i="1"/>
  <c r="Z1251" i="1" s="1"/>
  <c r="W1251" i="1"/>
  <c r="S1251" i="1"/>
  <c r="Q1251" i="1"/>
  <c r="N1251" i="1"/>
  <c r="L1251" i="1"/>
  <c r="K1251" i="1"/>
  <c r="AB1251" i="1"/>
  <c r="I1251" i="1"/>
  <c r="X1250" i="1"/>
  <c r="Z1250" i="1" s="1"/>
  <c r="W1250" i="1"/>
  <c r="S1250" i="1"/>
  <c r="Q1250" i="1"/>
  <c r="N1250" i="1"/>
  <c r="L1250" i="1"/>
  <c r="K1250" i="1"/>
  <c r="AB1250" i="1"/>
  <c r="I1250" i="1"/>
  <c r="X1249" i="1"/>
  <c r="Z1249" i="1" s="1"/>
  <c r="W1249" i="1"/>
  <c r="S1249" i="1"/>
  <c r="Q1249" i="1"/>
  <c r="N1249" i="1"/>
  <c r="L1249" i="1"/>
  <c r="K1249" i="1"/>
  <c r="AB1249" i="1"/>
  <c r="I1249" i="1"/>
  <c r="X1248" i="1"/>
  <c r="Z1248" i="1" s="1"/>
  <c r="W1248" i="1"/>
  <c r="S1248" i="1"/>
  <c r="Q1248" i="1"/>
  <c r="N1248" i="1"/>
  <c r="L1248" i="1"/>
  <c r="K1248" i="1"/>
  <c r="AB1248" i="1"/>
  <c r="I1248" i="1"/>
  <c r="X1247" i="1"/>
  <c r="Z1247" i="1" s="1"/>
  <c r="W1247" i="1"/>
  <c r="S1247" i="1"/>
  <c r="Q1247" i="1"/>
  <c r="N1247" i="1"/>
  <c r="L1247" i="1"/>
  <c r="K1247" i="1"/>
  <c r="AB1247" i="1"/>
  <c r="I1247" i="1"/>
  <c r="X1246" i="1"/>
  <c r="Z1246" i="1" s="1"/>
  <c r="W1246" i="1"/>
  <c r="S1246" i="1"/>
  <c r="Q1246" i="1"/>
  <c r="N1246" i="1"/>
  <c r="L1246" i="1"/>
  <c r="K1246" i="1"/>
  <c r="AB1246" i="1"/>
  <c r="I1246" i="1"/>
  <c r="X1245" i="1"/>
  <c r="Z1245" i="1" s="1"/>
  <c r="W1245" i="1"/>
  <c r="S1245" i="1"/>
  <c r="Q1245" i="1"/>
  <c r="N1245" i="1"/>
  <c r="L1245" i="1"/>
  <c r="K1245" i="1"/>
  <c r="AB1245" i="1"/>
  <c r="I1245" i="1"/>
  <c r="X1244" i="1"/>
  <c r="Z1244" i="1" s="1"/>
  <c r="W1244" i="1"/>
  <c r="S1244" i="1"/>
  <c r="Q1244" i="1"/>
  <c r="N1244" i="1"/>
  <c r="L1244" i="1"/>
  <c r="K1244" i="1"/>
  <c r="AB1244" i="1"/>
  <c r="I1244" i="1"/>
  <c r="X1243" i="1"/>
  <c r="Z1243" i="1" s="1"/>
  <c r="W1243" i="1"/>
  <c r="S1243" i="1"/>
  <c r="Q1243" i="1"/>
  <c r="N1243" i="1"/>
  <c r="L1243" i="1"/>
  <c r="K1243" i="1"/>
  <c r="AB1243" i="1"/>
  <c r="I1243" i="1"/>
  <c r="X1242" i="1"/>
  <c r="Z1242" i="1" s="1"/>
  <c r="W1242" i="1"/>
  <c r="S1242" i="1"/>
  <c r="Q1242" i="1"/>
  <c r="N1242" i="1"/>
  <c r="L1242" i="1"/>
  <c r="K1242" i="1"/>
  <c r="AB1242" i="1"/>
  <c r="I1242" i="1"/>
  <c r="X1241" i="1"/>
  <c r="Z1241" i="1" s="1"/>
  <c r="W1241" i="1"/>
  <c r="S1241" i="1"/>
  <c r="Q1241" i="1"/>
  <c r="N1241" i="1"/>
  <c r="L1241" i="1"/>
  <c r="K1241" i="1"/>
  <c r="AB1241" i="1"/>
  <c r="I1241" i="1"/>
  <c r="X1240" i="1"/>
  <c r="Z1240" i="1" s="1"/>
  <c r="W1240" i="1"/>
  <c r="S1240" i="1"/>
  <c r="Q1240" i="1"/>
  <c r="N1240" i="1"/>
  <c r="L1240" i="1"/>
  <c r="K1240" i="1"/>
  <c r="AB1240" i="1"/>
  <c r="I1240" i="1"/>
  <c r="X1239" i="1"/>
  <c r="Z1239" i="1" s="1"/>
  <c r="W1239" i="1"/>
  <c r="S1239" i="1"/>
  <c r="Q1239" i="1"/>
  <c r="N1239" i="1"/>
  <c r="L1239" i="1"/>
  <c r="K1239" i="1"/>
  <c r="AB1239" i="1"/>
  <c r="I1239" i="1"/>
  <c r="X1238" i="1"/>
  <c r="Z1238" i="1" s="1"/>
  <c r="W1238" i="1"/>
  <c r="S1238" i="1"/>
  <c r="Q1238" i="1"/>
  <c r="N1238" i="1"/>
  <c r="L1238" i="1"/>
  <c r="K1238" i="1"/>
  <c r="AB1238" i="1"/>
  <c r="I1238" i="1"/>
  <c r="X1237" i="1"/>
  <c r="Z1237" i="1" s="1"/>
  <c r="W1237" i="1"/>
  <c r="S1237" i="1"/>
  <c r="Q1237" i="1"/>
  <c r="N1237" i="1"/>
  <c r="L1237" i="1"/>
  <c r="K1237" i="1"/>
  <c r="AB1237" i="1"/>
  <c r="I1237" i="1"/>
  <c r="X1236" i="1"/>
  <c r="Z1236" i="1" s="1"/>
  <c r="W1236" i="1"/>
  <c r="S1236" i="1"/>
  <c r="Q1236" i="1"/>
  <c r="N1236" i="1"/>
  <c r="L1236" i="1"/>
  <c r="K1236" i="1"/>
  <c r="AB1236" i="1"/>
  <c r="I1236" i="1"/>
  <c r="X1235" i="1"/>
  <c r="Z1235" i="1" s="1"/>
  <c r="W1235" i="1"/>
  <c r="S1235" i="1"/>
  <c r="Q1235" i="1"/>
  <c r="N1235" i="1"/>
  <c r="L1235" i="1"/>
  <c r="K1235" i="1"/>
  <c r="AB1235" i="1"/>
  <c r="I1235" i="1"/>
  <c r="X1234" i="1"/>
  <c r="Z1234" i="1" s="1"/>
  <c r="W1234" i="1"/>
  <c r="S1234" i="1"/>
  <c r="Q1234" i="1"/>
  <c r="N1234" i="1"/>
  <c r="L1234" i="1"/>
  <c r="K1234" i="1"/>
  <c r="AB1234" i="1"/>
  <c r="I1234" i="1"/>
  <c r="X1233" i="1"/>
  <c r="Z1233" i="1" s="1"/>
  <c r="W1233" i="1"/>
  <c r="S1233" i="1"/>
  <c r="Q1233" i="1"/>
  <c r="N1233" i="1"/>
  <c r="L1233" i="1"/>
  <c r="K1233" i="1"/>
  <c r="AB1233" i="1"/>
  <c r="I1233" i="1"/>
  <c r="X1232" i="1"/>
  <c r="Z1232" i="1" s="1"/>
  <c r="W1232" i="1"/>
  <c r="S1232" i="1"/>
  <c r="Q1232" i="1"/>
  <c r="N1232" i="1"/>
  <c r="L1232" i="1"/>
  <c r="K1232" i="1"/>
  <c r="AB1232" i="1"/>
  <c r="I1232" i="1"/>
  <c r="X1231" i="1"/>
  <c r="Z1231" i="1" s="1"/>
  <c r="W1231" i="1"/>
  <c r="S1231" i="1"/>
  <c r="Q1231" i="1"/>
  <c r="N1231" i="1"/>
  <c r="L1231" i="1"/>
  <c r="K1231" i="1"/>
  <c r="AB1231" i="1"/>
  <c r="I1231" i="1"/>
  <c r="X1230" i="1"/>
  <c r="Z1230" i="1" s="1"/>
  <c r="W1230" i="1"/>
  <c r="S1230" i="1"/>
  <c r="Q1230" i="1"/>
  <c r="N1230" i="1"/>
  <c r="L1230" i="1"/>
  <c r="K1230" i="1"/>
  <c r="AB1230" i="1"/>
  <c r="I1230" i="1"/>
  <c r="X1229" i="1"/>
  <c r="Z1229" i="1" s="1"/>
  <c r="W1229" i="1"/>
  <c r="S1229" i="1"/>
  <c r="Q1229" i="1"/>
  <c r="N1229" i="1"/>
  <c r="L1229" i="1"/>
  <c r="K1229" i="1"/>
  <c r="AB1229" i="1"/>
  <c r="I1229" i="1"/>
  <c r="X1228" i="1"/>
  <c r="Z1228" i="1" s="1"/>
  <c r="W1228" i="1"/>
  <c r="S1228" i="1"/>
  <c r="Q1228" i="1"/>
  <c r="N1228" i="1"/>
  <c r="L1228" i="1"/>
  <c r="K1228" i="1"/>
  <c r="AB1228" i="1"/>
  <c r="I1228" i="1"/>
  <c r="X1227" i="1"/>
  <c r="Z1227" i="1" s="1"/>
  <c r="W1227" i="1"/>
  <c r="S1227" i="1"/>
  <c r="Q1227" i="1"/>
  <c r="N1227" i="1"/>
  <c r="L1227" i="1"/>
  <c r="K1227" i="1"/>
  <c r="AB1227" i="1"/>
  <c r="I1227" i="1"/>
  <c r="X1226" i="1"/>
  <c r="Z1226" i="1" s="1"/>
  <c r="W1226" i="1"/>
  <c r="S1226" i="1"/>
  <c r="Q1226" i="1"/>
  <c r="N1226" i="1"/>
  <c r="L1226" i="1"/>
  <c r="K1226" i="1"/>
  <c r="AB1226" i="1"/>
  <c r="I1226" i="1"/>
  <c r="X1225" i="1"/>
  <c r="Z1225" i="1" s="1"/>
  <c r="W1225" i="1"/>
  <c r="S1225" i="1"/>
  <c r="Q1225" i="1"/>
  <c r="N1225" i="1"/>
  <c r="L1225" i="1"/>
  <c r="K1225" i="1"/>
  <c r="AB1225" i="1"/>
  <c r="I1225" i="1"/>
  <c r="X1224" i="1"/>
  <c r="Z1224" i="1" s="1"/>
  <c r="W1224" i="1"/>
  <c r="S1224" i="1"/>
  <c r="Q1224" i="1"/>
  <c r="N1224" i="1"/>
  <c r="L1224" i="1"/>
  <c r="K1224" i="1"/>
  <c r="AB1224" i="1"/>
  <c r="I1224" i="1"/>
  <c r="X1223" i="1"/>
  <c r="Z1223" i="1" s="1"/>
  <c r="W1223" i="1"/>
  <c r="S1223" i="1"/>
  <c r="Q1223" i="1"/>
  <c r="N1223" i="1"/>
  <c r="L1223" i="1"/>
  <c r="K1223" i="1"/>
  <c r="AB1223" i="1"/>
  <c r="I1223" i="1"/>
  <c r="X1222" i="1"/>
  <c r="Z1222" i="1" s="1"/>
  <c r="W1222" i="1"/>
  <c r="S1222" i="1"/>
  <c r="Q1222" i="1"/>
  <c r="N1222" i="1"/>
  <c r="L1222" i="1"/>
  <c r="K1222" i="1"/>
  <c r="AB1222" i="1"/>
  <c r="I1222" i="1"/>
  <c r="X1221" i="1"/>
  <c r="Z1221" i="1" s="1"/>
  <c r="W1221" i="1"/>
  <c r="S1221" i="1"/>
  <c r="Q1221" i="1"/>
  <c r="N1221" i="1"/>
  <c r="L1221" i="1"/>
  <c r="K1221" i="1"/>
  <c r="AB1221" i="1"/>
  <c r="I1221" i="1"/>
  <c r="X1220" i="1"/>
  <c r="Z1220" i="1" s="1"/>
  <c r="W1220" i="1"/>
  <c r="S1220" i="1"/>
  <c r="Q1220" i="1"/>
  <c r="N1220" i="1"/>
  <c r="L1220" i="1"/>
  <c r="K1220" i="1"/>
  <c r="AB1220" i="1"/>
  <c r="I1220" i="1"/>
  <c r="X1219" i="1"/>
  <c r="Z1219" i="1" s="1"/>
  <c r="W1219" i="1"/>
  <c r="S1219" i="1"/>
  <c r="Q1219" i="1"/>
  <c r="N1219" i="1"/>
  <c r="L1219" i="1"/>
  <c r="K1219" i="1"/>
  <c r="AB1219" i="1"/>
  <c r="I1219" i="1"/>
  <c r="X1218" i="1"/>
  <c r="Z1218" i="1" s="1"/>
  <c r="W1218" i="1"/>
  <c r="S1218" i="1"/>
  <c r="Q1218" i="1"/>
  <c r="N1218" i="1"/>
  <c r="L1218" i="1"/>
  <c r="K1218" i="1"/>
  <c r="AB1218" i="1"/>
  <c r="I1218" i="1"/>
  <c r="X1217" i="1"/>
  <c r="Z1217" i="1" s="1"/>
  <c r="W1217" i="1"/>
  <c r="S1217" i="1"/>
  <c r="Q1217" i="1"/>
  <c r="N1217" i="1"/>
  <c r="L1217" i="1"/>
  <c r="K1217" i="1"/>
  <c r="AB1217" i="1"/>
  <c r="I1217" i="1"/>
  <c r="X1216" i="1"/>
  <c r="Z1216" i="1" s="1"/>
  <c r="W1216" i="1"/>
  <c r="S1216" i="1"/>
  <c r="Q1216" i="1"/>
  <c r="N1216" i="1"/>
  <c r="L1216" i="1"/>
  <c r="K1216" i="1"/>
  <c r="AB1216" i="1"/>
  <c r="I1216" i="1"/>
  <c r="X1215" i="1"/>
  <c r="Z1215" i="1" s="1"/>
  <c r="W1215" i="1"/>
  <c r="S1215" i="1"/>
  <c r="Q1215" i="1"/>
  <c r="N1215" i="1"/>
  <c r="L1215" i="1"/>
  <c r="K1215" i="1"/>
  <c r="AB1215" i="1"/>
  <c r="I1215" i="1"/>
  <c r="X1214" i="1"/>
  <c r="Z1214" i="1" s="1"/>
  <c r="W1214" i="1"/>
  <c r="S1214" i="1"/>
  <c r="Q1214" i="1"/>
  <c r="N1214" i="1"/>
  <c r="L1214" i="1"/>
  <c r="K1214" i="1"/>
  <c r="AB1214" i="1"/>
  <c r="I1214" i="1"/>
  <c r="X1213" i="1"/>
  <c r="Z1213" i="1" s="1"/>
  <c r="W1213" i="1"/>
  <c r="S1213" i="1"/>
  <c r="Q1213" i="1"/>
  <c r="N1213" i="1"/>
  <c r="L1213" i="1"/>
  <c r="K1213" i="1"/>
  <c r="AB1213" i="1"/>
  <c r="I1213" i="1"/>
  <c r="X1212" i="1"/>
  <c r="Z1212" i="1" s="1"/>
  <c r="W1212" i="1"/>
  <c r="S1212" i="1"/>
  <c r="Q1212" i="1"/>
  <c r="N1212" i="1"/>
  <c r="L1212" i="1"/>
  <c r="K1212" i="1"/>
  <c r="AB1212" i="1"/>
  <c r="I1212" i="1"/>
  <c r="X1211" i="1"/>
  <c r="Z1211" i="1" s="1"/>
  <c r="W1211" i="1"/>
  <c r="S1211" i="1"/>
  <c r="Q1211" i="1"/>
  <c r="N1211" i="1"/>
  <c r="L1211" i="1"/>
  <c r="K1211" i="1"/>
  <c r="AB1211" i="1"/>
  <c r="I1211" i="1"/>
  <c r="X1210" i="1"/>
  <c r="Z1210" i="1" s="1"/>
  <c r="W1210" i="1"/>
  <c r="S1210" i="1"/>
  <c r="Q1210" i="1"/>
  <c r="N1210" i="1"/>
  <c r="L1210" i="1"/>
  <c r="K1210" i="1"/>
  <c r="AB1210" i="1"/>
  <c r="I1210" i="1"/>
  <c r="X1209" i="1"/>
  <c r="Z1209" i="1" s="1"/>
  <c r="W1209" i="1"/>
  <c r="S1209" i="1"/>
  <c r="Q1209" i="1"/>
  <c r="N1209" i="1"/>
  <c r="L1209" i="1"/>
  <c r="K1209" i="1"/>
  <c r="AB1209" i="1"/>
  <c r="I1209" i="1"/>
  <c r="X1208" i="1"/>
  <c r="Z1208" i="1" s="1"/>
  <c r="W1208" i="1"/>
  <c r="S1208" i="1"/>
  <c r="Q1208" i="1"/>
  <c r="N1208" i="1"/>
  <c r="L1208" i="1"/>
  <c r="K1208" i="1"/>
  <c r="AB1208" i="1"/>
  <c r="I1208" i="1"/>
  <c r="X1207" i="1"/>
  <c r="Z1207" i="1" s="1"/>
  <c r="W1207" i="1"/>
  <c r="S1207" i="1"/>
  <c r="Q1207" i="1"/>
  <c r="N1207" i="1"/>
  <c r="L1207" i="1"/>
  <c r="K1207" i="1"/>
  <c r="AB1207" i="1"/>
  <c r="I1207" i="1"/>
  <c r="X1206" i="1"/>
  <c r="Z1206" i="1" s="1"/>
  <c r="W1206" i="1"/>
  <c r="S1206" i="1"/>
  <c r="Q1206" i="1"/>
  <c r="N1206" i="1"/>
  <c r="L1206" i="1"/>
  <c r="K1206" i="1"/>
  <c r="AB1206" i="1"/>
  <c r="I1206" i="1"/>
  <c r="X1205" i="1"/>
  <c r="Z1205" i="1" s="1"/>
  <c r="W1205" i="1"/>
  <c r="S1205" i="1"/>
  <c r="Q1205" i="1"/>
  <c r="N1205" i="1"/>
  <c r="L1205" i="1"/>
  <c r="K1205" i="1"/>
  <c r="AB1205" i="1"/>
  <c r="I1205" i="1"/>
  <c r="X1204" i="1"/>
  <c r="Z1204" i="1" s="1"/>
  <c r="W1204" i="1"/>
  <c r="S1204" i="1"/>
  <c r="Q1204" i="1"/>
  <c r="N1204" i="1"/>
  <c r="L1204" i="1"/>
  <c r="K1204" i="1"/>
  <c r="AB1204" i="1"/>
  <c r="I1204" i="1"/>
  <c r="X1203" i="1"/>
  <c r="Z1203" i="1" s="1"/>
  <c r="W1203" i="1"/>
  <c r="S1203" i="1"/>
  <c r="Q1203" i="1"/>
  <c r="N1203" i="1"/>
  <c r="L1203" i="1"/>
  <c r="K1203" i="1"/>
  <c r="AB1203" i="1"/>
  <c r="I1203" i="1"/>
  <c r="X1202" i="1"/>
  <c r="Z1202" i="1" s="1"/>
  <c r="W1202" i="1"/>
  <c r="S1202" i="1"/>
  <c r="Q1202" i="1"/>
  <c r="N1202" i="1"/>
  <c r="L1202" i="1"/>
  <c r="K1202" i="1"/>
  <c r="AB1202" i="1"/>
  <c r="I1202" i="1"/>
  <c r="X1201" i="1"/>
  <c r="Z1201" i="1" s="1"/>
  <c r="W1201" i="1"/>
  <c r="S1201" i="1"/>
  <c r="Q1201" i="1"/>
  <c r="N1201" i="1"/>
  <c r="L1201" i="1"/>
  <c r="K1201" i="1"/>
  <c r="AB1201" i="1"/>
  <c r="I1201" i="1"/>
  <c r="X1200" i="1"/>
  <c r="Z1200" i="1" s="1"/>
  <c r="W1200" i="1"/>
  <c r="S1200" i="1"/>
  <c r="Q1200" i="1"/>
  <c r="N1200" i="1"/>
  <c r="L1200" i="1"/>
  <c r="K1200" i="1"/>
  <c r="AB1200" i="1"/>
  <c r="I1200" i="1"/>
  <c r="X1199" i="1"/>
  <c r="Z1199" i="1" s="1"/>
  <c r="W1199" i="1"/>
  <c r="S1199" i="1"/>
  <c r="Q1199" i="1"/>
  <c r="N1199" i="1"/>
  <c r="L1199" i="1"/>
  <c r="K1199" i="1"/>
  <c r="AB1199" i="1"/>
  <c r="I1199" i="1"/>
  <c r="X1198" i="1"/>
  <c r="Z1198" i="1" s="1"/>
  <c r="W1198" i="1"/>
  <c r="S1198" i="1"/>
  <c r="Q1198" i="1"/>
  <c r="N1198" i="1"/>
  <c r="L1198" i="1"/>
  <c r="K1198" i="1"/>
  <c r="AB1198" i="1"/>
  <c r="I1198" i="1"/>
  <c r="X1197" i="1"/>
  <c r="Z1197" i="1" s="1"/>
  <c r="W1197" i="1"/>
  <c r="S1197" i="1"/>
  <c r="Q1197" i="1"/>
  <c r="N1197" i="1"/>
  <c r="L1197" i="1"/>
  <c r="K1197" i="1"/>
  <c r="AB1197" i="1"/>
  <c r="I1197" i="1"/>
  <c r="X1196" i="1"/>
  <c r="Z1196" i="1" s="1"/>
  <c r="W1196" i="1"/>
  <c r="S1196" i="1"/>
  <c r="Q1196" i="1"/>
  <c r="N1196" i="1"/>
  <c r="L1196" i="1"/>
  <c r="K1196" i="1"/>
  <c r="AB1196" i="1"/>
  <c r="I1196" i="1"/>
  <c r="X1195" i="1"/>
  <c r="Z1195" i="1" s="1"/>
  <c r="W1195" i="1"/>
  <c r="S1195" i="1"/>
  <c r="Q1195" i="1"/>
  <c r="N1195" i="1"/>
  <c r="L1195" i="1"/>
  <c r="K1195" i="1"/>
  <c r="AB1195" i="1"/>
  <c r="I1195" i="1"/>
  <c r="X1194" i="1"/>
  <c r="Z1194" i="1" s="1"/>
  <c r="W1194" i="1"/>
  <c r="S1194" i="1"/>
  <c r="Q1194" i="1"/>
  <c r="N1194" i="1"/>
  <c r="L1194" i="1"/>
  <c r="K1194" i="1"/>
  <c r="AB1194" i="1"/>
  <c r="I1194" i="1"/>
  <c r="X1193" i="1"/>
  <c r="Z1193" i="1" s="1"/>
  <c r="W1193" i="1"/>
  <c r="S1193" i="1"/>
  <c r="Q1193" i="1"/>
  <c r="N1193" i="1"/>
  <c r="L1193" i="1"/>
  <c r="K1193" i="1"/>
  <c r="AB1193" i="1"/>
  <c r="I1193" i="1"/>
  <c r="X1192" i="1"/>
  <c r="Z1192" i="1" s="1"/>
  <c r="W1192" i="1"/>
  <c r="S1192" i="1"/>
  <c r="Q1192" i="1"/>
  <c r="N1192" i="1"/>
  <c r="L1192" i="1"/>
  <c r="K1192" i="1"/>
  <c r="AB1192" i="1"/>
  <c r="I1192" i="1"/>
  <c r="X1191" i="1"/>
  <c r="Z1191" i="1" s="1"/>
  <c r="W1191" i="1"/>
  <c r="S1191" i="1"/>
  <c r="Q1191" i="1"/>
  <c r="N1191" i="1"/>
  <c r="L1191" i="1"/>
  <c r="K1191" i="1"/>
  <c r="AB1191" i="1"/>
  <c r="I1191" i="1"/>
  <c r="X1190" i="1"/>
  <c r="Z1190" i="1" s="1"/>
  <c r="W1190" i="1"/>
  <c r="S1190" i="1"/>
  <c r="Q1190" i="1"/>
  <c r="N1190" i="1"/>
  <c r="L1190" i="1"/>
  <c r="K1190" i="1"/>
  <c r="AB1190" i="1"/>
  <c r="I1190" i="1"/>
  <c r="X1189" i="1"/>
  <c r="Z1189" i="1" s="1"/>
  <c r="W1189" i="1"/>
  <c r="S1189" i="1"/>
  <c r="Q1189" i="1"/>
  <c r="N1189" i="1"/>
  <c r="L1189" i="1"/>
  <c r="K1189" i="1"/>
  <c r="AB1189" i="1"/>
  <c r="I1189" i="1"/>
  <c r="X1188" i="1"/>
  <c r="Z1188" i="1" s="1"/>
  <c r="W1188" i="1"/>
  <c r="S1188" i="1"/>
  <c r="Q1188" i="1"/>
  <c r="N1188" i="1"/>
  <c r="L1188" i="1"/>
  <c r="K1188" i="1"/>
  <c r="AB1188" i="1"/>
  <c r="I1188" i="1"/>
  <c r="X1187" i="1"/>
  <c r="Z1187" i="1" s="1"/>
  <c r="W1187" i="1"/>
  <c r="S1187" i="1"/>
  <c r="Q1187" i="1"/>
  <c r="N1187" i="1"/>
  <c r="L1187" i="1"/>
  <c r="K1187" i="1"/>
  <c r="AB1187" i="1"/>
  <c r="I1187" i="1"/>
  <c r="X1186" i="1"/>
  <c r="Z1186" i="1" s="1"/>
  <c r="W1186" i="1"/>
  <c r="S1186" i="1"/>
  <c r="Q1186" i="1"/>
  <c r="N1186" i="1"/>
  <c r="L1186" i="1"/>
  <c r="K1186" i="1"/>
  <c r="AB1186" i="1"/>
  <c r="I1186" i="1"/>
  <c r="X1185" i="1"/>
  <c r="Z1185" i="1" s="1"/>
  <c r="W1185" i="1"/>
  <c r="S1185" i="1"/>
  <c r="Q1185" i="1"/>
  <c r="N1185" i="1"/>
  <c r="L1185" i="1"/>
  <c r="K1185" i="1"/>
  <c r="AB1185" i="1"/>
  <c r="I1185" i="1"/>
  <c r="X1184" i="1"/>
  <c r="Z1184" i="1" s="1"/>
  <c r="W1184" i="1"/>
  <c r="S1184" i="1"/>
  <c r="Q1184" i="1"/>
  <c r="N1184" i="1"/>
  <c r="L1184" i="1"/>
  <c r="K1184" i="1"/>
  <c r="AB1184" i="1"/>
  <c r="I1184" i="1"/>
  <c r="X1183" i="1"/>
  <c r="Z1183" i="1" s="1"/>
  <c r="W1183" i="1"/>
  <c r="S1183" i="1"/>
  <c r="Q1183" i="1"/>
  <c r="N1183" i="1"/>
  <c r="L1183" i="1"/>
  <c r="K1183" i="1"/>
  <c r="AB1183" i="1"/>
  <c r="I1183" i="1"/>
  <c r="X1182" i="1"/>
  <c r="Z1182" i="1" s="1"/>
  <c r="W1182" i="1"/>
  <c r="S1182" i="1"/>
  <c r="Q1182" i="1"/>
  <c r="N1182" i="1"/>
  <c r="L1182" i="1"/>
  <c r="K1182" i="1"/>
  <c r="AB1182" i="1"/>
  <c r="I1182" i="1"/>
  <c r="X1181" i="1"/>
  <c r="Z1181" i="1" s="1"/>
  <c r="W1181" i="1"/>
  <c r="S1181" i="1"/>
  <c r="Q1181" i="1"/>
  <c r="N1181" i="1"/>
  <c r="L1181" i="1"/>
  <c r="K1181" i="1"/>
  <c r="AB1181" i="1"/>
  <c r="I1181" i="1"/>
  <c r="X1180" i="1"/>
  <c r="Z1180" i="1" s="1"/>
  <c r="W1180" i="1"/>
  <c r="S1180" i="1"/>
  <c r="Q1180" i="1"/>
  <c r="N1180" i="1"/>
  <c r="L1180" i="1"/>
  <c r="K1180" i="1"/>
  <c r="AB1180" i="1"/>
  <c r="I1180" i="1"/>
  <c r="X1179" i="1"/>
  <c r="Z1179" i="1" s="1"/>
  <c r="W1179" i="1"/>
  <c r="S1179" i="1"/>
  <c r="Q1179" i="1"/>
  <c r="N1179" i="1"/>
  <c r="L1179" i="1"/>
  <c r="K1179" i="1"/>
  <c r="AB1179" i="1"/>
  <c r="I1179" i="1"/>
  <c r="X1178" i="1"/>
  <c r="Z1178" i="1" s="1"/>
  <c r="W1178" i="1"/>
  <c r="S1178" i="1"/>
  <c r="Q1178" i="1"/>
  <c r="N1178" i="1"/>
  <c r="L1178" i="1"/>
  <c r="K1178" i="1"/>
  <c r="AB1178" i="1"/>
  <c r="I1178" i="1"/>
  <c r="X1177" i="1"/>
  <c r="Z1177" i="1" s="1"/>
  <c r="W1177" i="1"/>
  <c r="S1177" i="1"/>
  <c r="Q1177" i="1"/>
  <c r="N1177" i="1"/>
  <c r="L1177" i="1"/>
  <c r="K1177" i="1"/>
  <c r="AB1177" i="1"/>
  <c r="I1177" i="1"/>
  <c r="X1176" i="1"/>
  <c r="Z1176" i="1" s="1"/>
  <c r="W1176" i="1"/>
  <c r="S1176" i="1"/>
  <c r="Q1176" i="1"/>
  <c r="N1176" i="1"/>
  <c r="L1176" i="1"/>
  <c r="K1176" i="1"/>
  <c r="AB1176" i="1"/>
  <c r="I1176" i="1"/>
  <c r="X1175" i="1"/>
  <c r="Z1175" i="1" s="1"/>
  <c r="W1175" i="1"/>
  <c r="S1175" i="1"/>
  <c r="Q1175" i="1"/>
  <c r="N1175" i="1"/>
  <c r="L1175" i="1"/>
  <c r="K1175" i="1"/>
  <c r="AB1175" i="1"/>
  <c r="I1175" i="1"/>
  <c r="X1174" i="1"/>
  <c r="Z1174" i="1" s="1"/>
  <c r="W1174" i="1"/>
  <c r="S1174" i="1"/>
  <c r="Q1174" i="1"/>
  <c r="N1174" i="1"/>
  <c r="L1174" i="1"/>
  <c r="K1174" i="1"/>
  <c r="AB1174" i="1"/>
  <c r="I1174" i="1"/>
  <c r="X1173" i="1"/>
  <c r="Z1173" i="1" s="1"/>
  <c r="W1173" i="1"/>
  <c r="S1173" i="1"/>
  <c r="Q1173" i="1"/>
  <c r="N1173" i="1"/>
  <c r="L1173" i="1"/>
  <c r="K1173" i="1"/>
  <c r="AB1173" i="1"/>
  <c r="I1173" i="1"/>
  <c r="X1172" i="1"/>
  <c r="Z1172" i="1" s="1"/>
  <c r="W1172" i="1"/>
  <c r="S1172" i="1"/>
  <c r="Q1172" i="1"/>
  <c r="N1172" i="1"/>
  <c r="L1172" i="1"/>
  <c r="K1172" i="1"/>
  <c r="AB1172" i="1"/>
  <c r="I1172" i="1"/>
  <c r="X1171" i="1"/>
  <c r="Z1171" i="1" s="1"/>
  <c r="W1171" i="1"/>
  <c r="S1171" i="1"/>
  <c r="Q1171" i="1"/>
  <c r="N1171" i="1"/>
  <c r="L1171" i="1"/>
  <c r="K1171" i="1"/>
  <c r="AB1171" i="1"/>
  <c r="I1171" i="1"/>
  <c r="X1170" i="1"/>
  <c r="Z1170" i="1" s="1"/>
  <c r="W1170" i="1"/>
  <c r="S1170" i="1"/>
  <c r="Q1170" i="1"/>
  <c r="N1170" i="1"/>
  <c r="L1170" i="1"/>
  <c r="K1170" i="1"/>
  <c r="AB1170" i="1"/>
  <c r="I1170" i="1"/>
  <c r="X1169" i="1"/>
  <c r="Z1169" i="1" s="1"/>
  <c r="W1169" i="1"/>
  <c r="S1169" i="1"/>
  <c r="Q1169" i="1"/>
  <c r="N1169" i="1"/>
  <c r="L1169" i="1"/>
  <c r="K1169" i="1"/>
  <c r="AB1169" i="1"/>
  <c r="I1169" i="1"/>
  <c r="X1168" i="1"/>
  <c r="Z1168" i="1" s="1"/>
  <c r="W1168" i="1"/>
  <c r="S1168" i="1"/>
  <c r="Q1168" i="1"/>
  <c r="N1168" i="1"/>
  <c r="L1168" i="1"/>
  <c r="K1168" i="1"/>
  <c r="AB1168" i="1"/>
  <c r="I1168" i="1"/>
  <c r="X1167" i="1"/>
  <c r="Z1167" i="1" s="1"/>
  <c r="W1167" i="1"/>
  <c r="S1167" i="1"/>
  <c r="Q1167" i="1"/>
  <c r="N1167" i="1"/>
  <c r="L1167" i="1"/>
  <c r="K1167" i="1"/>
  <c r="AB1167" i="1"/>
  <c r="I1167" i="1"/>
  <c r="X1166" i="1"/>
  <c r="Z1166" i="1" s="1"/>
  <c r="W1166" i="1"/>
  <c r="S1166" i="1"/>
  <c r="Q1166" i="1"/>
  <c r="N1166" i="1"/>
  <c r="L1166" i="1"/>
  <c r="K1166" i="1"/>
  <c r="AB1166" i="1"/>
  <c r="I1166" i="1"/>
  <c r="X1165" i="1"/>
  <c r="Z1165" i="1" s="1"/>
  <c r="W1165" i="1"/>
  <c r="S1165" i="1"/>
  <c r="Q1165" i="1"/>
  <c r="N1165" i="1"/>
  <c r="L1165" i="1"/>
  <c r="K1165" i="1"/>
  <c r="AB1165" i="1"/>
  <c r="I1165" i="1"/>
  <c r="X1164" i="1"/>
  <c r="Z1164" i="1" s="1"/>
  <c r="W1164" i="1"/>
  <c r="S1164" i="1"/>
  <c r="Q1164" i="1"/>
  <c r="N1164" i="1"/>
  <c r="L1164" i="1"/>
  <c r="K1164" i="1"/>
  <c r="AB1164" i="1"/>
  <c r="I1164" i="1"/>
  <c r="X1163" i="1"/>
  <c r="Z1163" i="1" s="1"/>
  <c r="W1163" i="1"/>
  <c r="S1163" i="1"/>
  <c r="Q1163" i="1"/>
  <c r="N1163" i="1"/>
  <c r="L1163" i="1"/>
  <c r="K1163" i="1"/>
  <c r="AB1163" i="1"/>
  <c r="I1163" i="1"/>
  <c r="X1162" i="1"/>
  <c r="Z1162" i="1" s="1"/>
  <c r="W1162" i="1"/>
  <c r="S1162" i="1"/>
  <c r="Q1162" i="1"/>
  <c r="N1162" i="1"/>
  <c r="L1162" i="1"/>
  <c r="K1162" i="1"/>
  <c r="AB1162" i="1"/>
  <c r="I1162" i="1"/>
  <c r="X1161" i="1"/>
  <c r="Z1161" i="1" s="1"/>
  <c r="W1161" i="1"/>
  <c r="S1161" i="1"/>
  <c r="Q1161" i="1"/>
  <c r="N1161" i="1"/>
  <c r="L1161" i="1"/>
  <c r="K1161" i="1"/>
  <c r="AB1161" i="1"/>
  <c r="I1161" i="1"/>
  <c r="X1160" i="1"/>
  <c r="Z1160" i="1" s="1"/>
  <c r="W1160" i="1"/>
  <c r="S1160" i="1"/>
  <c r="Q1160" i="1"/>
  <c r="N1160" i="1"/>
  <c r="L1160" i="1"/>
  <c r="K1160" i="1"/>
  <c r="AB1160" i="1"/>
  <c r="I1160" i="1"/>
  <c r="X1159" i="1"/>
  <c r="Z1159" i="1" s="1"/>
  <c r="W1159" i="1"/>
  <c r="S1159" i="1"/>
  <c r="Q1159" i="1"/>
  <c r="N1159" i="1"/>
  <c r="L1159" i="1"/>
  <c r="K1159" i="1"/>
  <c r="AB1159" i="1"/>
  <c r="I1159" i="1"/>
  <c r="X1158" i="1"/>
  <c r="Z1158" i="1" s="1"/>
  <c r="W1158" i="1"/>
  <c r="S1158" i="1"/>
  <c r="Q1158" i="1"/>
  <c r="N1158" i="1"/>
  <c r="L1158" i="1"/>
  <c r="K1158" i="1"/>
  <c r="AB1158" i="1"/>
  <c r="I1158" i="1"/>
  <c r="X1157" i="1"/>
  <c r="Z1157" i="1" s="1"/>
  <c r="W1157" i="1"/>
  <c r="S1157" i="1"/>
  <c r="Q1157" i="1"/>
  <c r="N1157" i="1"/>
  <c r="L1157" i="1"/>
  <c r="K1157" i="1"/>
  <c r="AB1157" i="1"/>
  <c r="I1157" i="1"/>
  <c r="X1156" i="1"/>
  <c r="Z1156" i="1" s="1"/>
  <c r="W1156" i="1"/>
  <c r="S1156" i="1"/>
  <c r="Q1156" i="1"/>
  <c r="N1156" i="1"/>
  <c r="L1156" i="1"/>
  <c r="K1156" i="1"/>
  <c r="AB1156" i="1"/>
  <c r="I1156" i="1"/>
  <c r="X1155" i="1"/>
  <c r="Z1155" i="1" s="1"/>
  <c r="W1155" i="1"/>
  <c r="S1155" i="1"/>
  <c r="Q1155" i="1"/>
  <c r="N1155" i="1"/>
  <c r="L1155" i="1"/>
  <c r="K1155" i="1"/>
  <c r="AB1155" i="1"/>
  <c r="I1155" i="1"/>
  <c r="X1154" i="1"/>
  <c r="Z1154" i="1" s="1"/>
  <c r="W1154" i="1"/>
  <c r="S1154" i="1"/>
  <c r="Q1154" i="1"/>
  <c r="N1154" i="1"/>
  <c r="L1154" i="1"/>
  <c r="K1154" i="1"/>
  <c r="AB1154" i="1"/>
  <c r="I1154" i="1"/>
  <c r="X1153" i="1"/>
  <c r="Z1153" i="1" s="1"/>
  <c r="W1153" i="1"/>
  <c r="S1153" i="1"/>
  <c r="Q1153" i="1"/>
  <c r="N1153" i="1"/>
  <c r="L1153" i="1"/>
  <c r="K1153" i="1"/>
  <c r="AB1153" i="1"/>
  <c r="I1153" i="1"/>
  <c r="X1152" i="1"/>
  <c r="Z1152" i="1" s="1"/>
  <c r="W1152" i="1"/>
  <c r="S1152" i="1"/>
  <c r="Q1152" i="1"/>
  <c r="N1152" i="1"/>
  <c r="L1152" i="1"/>
  <c r="K1152" i="1"/>
  <c r="AB1152" i="1"/>
  <c r="I1152" i="1"/>
  <c r="X1151" i="1"/>
  <c r="Z1151" i="1" s="1"/>
  <c r="W1151" i="1"/>
  <c r="S1151" i="1"/>
  <c r="Q1151" i="1"/>
  <c r="N1151" i="1"/>
  <c r="L1151" i="1"/>
  <c r="K1151" i="1"/>
  <c r="AB1151" i="1"/>
  <c r="I1151" i="1"/>
  <c r="X1150" i="1"/>
  <c r="Z1150" i="1" s="1"/>
  <c r="W1150" i="1"/>
  <c r="S1150" i="1"/>
  <c r="Q1150" i="1"/>
  <c r="N1150" i="1"/>
  <c r="L1150" i="1"/>
  <c r="K1150" i="1"/>
  <c r="AB1150" i="1"/>
  <c r="I1150" i="1"/>
  <c r="X1149" i="1"/>
  <c r="Z1149" i="1" s="1"/>
  <c r="W1149" i="1"/>
  <c r="S1149" i="1"/>
  <c r="Q1149" i="1"/>
  <c r="N1149" i="1"/>
  <c r="L1149" i="1"/>
  <c r="K1149" i="1"/>
  <c r="AB1149" i="1"/>
  <c r="I1149" i="1"/>
  <c r="X1148" i="1"/>
  <c r="Z1148" i="1" s="1"/>
  <c r="W1148" i="1"/>
  <c r="S1148" i="1"/>
  <c r="Q1148" i="1"/>
  <c r="N1148" i="1"/>
  <c r="L1148" i="1"/>
  <c r="K1148" i="1"/>
  <c r="AB1148" i="1"/>
  <c r="I1148" i="1"/>
  <c r="X1147" i="1"/>
  <c r="Z1147" i="1" s="1"/>
  <c r="W1147" i="1"/>
  <c r="S1147" i="1"/>
  <c r="Q1147" i="1"/>
  <c r="N1147" i="1"/>
  <c r="L1147" i="1"/>
  <c r="K1147" i="1"/>
  <c r="AB1147" i="1"/>
  <c r="I1147" i="1"/>
  <c r="X1146" i="1"/>
  <c r="Z1146" i="1" s="1"/>
  <c r="W1146" i="1"/>
  <c r="S1146" i="1"/>
  <c r="Q1146" i="1"/>
  <c r="N1146" i="1"/>
  <c r="L1146" i="1"/>
  <c r="K1146" i="1"/>
  <c r="AB1146" i="1"/>
  <c r="I1146" i="1"/>
  <c r="X1145" i="1"/>
  <c r="Z1145" i="1" s="1"/>
  <c r="W1145" i="1"/>
  <c r="S1145" i="1"/>
  <c r="Q1145" i="1"/>
  <c r="N1145" i="1"/>
  <c r="L1145" i="1"/>
  <c r="K1145" i="1"/>
  <c r="AB1145" i="1"/>
  <c r="I1145" i="1"/>
  <c r="X1144" i="1"/>
  <c r="Z1144" i="1" s="1"/>
  <c r="W1144" i="1"/>
  <c r="S1144" i="1"/>
  <c r="Q1144" i="1"/>
  <c r="N1144" i="1"/>
  <c r="L1144" i="1"/>
  <c r="K1144" i="1"/>
  <c r="AB1144" i="1"/>
  <c r="I1144" i="1"/>
  <c r="X1143" i="1"/>
  <c r="Z1143" i="1" s="1"/>
  <c r="W1143" i="1"/>
  <c r="S1143" i="1"/>
  <c r="Q1143" i="1"/>
  <c r="N1143" i="1"/>
  <c r="L1143" i="1"/>
  <c r="K1143" i="1"/>
  <c r="AB1143" i="1"/>
  <c r="I1143" i="1"/>
  <c r="X1142" i="1"/>
  <c r="Z1142" i="1" s="1"/>
  <c r="W1142" i="1"/>
  <c r="S1142" i="1"/>
  <c r="Q1142" i="1"/>
  <c r="N1142" i="1"/>
  <c r="L1142" i="1"/>
  <c r="K1142" i="1"/>
  <c r="AB1142" i="1"/>
  <c r="I1142" i="1"/>
  <c r="X1141" i="1"/>
  <c r="Z1141" i="1" s="1"/>
  <c r="W1141" i="1"/>
  <c r="S1141" i="1"/>
  <c r="Q1141" i="1"/>
  <c r="N1141" i="1"/>
  <c r="L1141" i="1"/>
  <c r="K1141" i="1"/>
  <c r="AB1141" i="1"/>
  <c r="I1141" i="1"/>
  <c r="X1140" i="1"/>
  <c r="Z1140" i="1" s="1"/>
  <c r="W1140" i="1"/>
  <c r="S1140" i="1"/>
  <c r="Q1140" i="1"/>
  <c r="N1140" i="1"/>
  <c r="L1140" i="1"/>
  <c r="K1140" i="1"/>
  <c r="AB1140" i="1"/>
  <c r="I1140" i="1"/>
  <c r="X1139" i="1"/>
  <c r="Z1139" i="1" s="1"/>
  <c r="W1139" i="1"/>
  <c r="S1139" i="1"/>
  <c r="Q1139" i="1"/>
  <c r="N1139" i="1"/>
  <c r="L1139" i="1"/>
  <c r="K1139" i="1"/>
  <c r="AB1139" i="1"/>
  <c r="I1139" i="1"/>
  <c r="X1138" i="1"/>
  <c r="Z1138" i="1" s="1"/>
  <c r="W1138" i="1"/>
  <c r="S1138" i="1"/>
  <c r="Q1138" i="1"/>
  <c r="N1138" i="1"/>
  <c r="L1138" i="1"/>
  <c r="K1138" i="1"/>
  <c r="AB1138" i="1"/>
  <c r="I1138" i="1"/>
  <c r="X1137" i="1"/>
  <c r="Z1137" i="1" s="1"/>
  <c r="W1137" i="1"/>
  <c r="S1137" i="1"/>
  <c r="Q1137" i="1"/>
  <c r="N1137" i="1"/>
  <c r="L1137" i="1"/>
  <c r="K1137" i="1"/>
  <c r="AB1137" i="1"/>
  <c r="I1137" i="1"/>
  <c r="X1136" i="1"/>
  <c r="Z1136" i="1" s="1"/>
  <c r="W1136" i="1"/>
  <c r="S1136" i="1"/>
  <c r="Q1136" i="1"/>
  <c r="N1136" i="1"/>
  <c r="L1136" i="1"/>
  <c r="K1136" i="1"/>
  <c r="AB1136" i="1"/>
  <c r="I1136" i="1"/>
  <c r="X1135" i="1"/>
  <c r="Z1135" i="1" s="1"/>
  <c r="W1135" i="1"/>
  <c r="S1135" i="1"/>
  <c r="Q1135" i="1"/>
  <c r="N1135" i="1"/>
  <c r="L1135" i="1"/>
  <c r="K1135" i="1"/>
  <c r="AB1135" i="1"/>
  <c r="I1135" i="1"/>
  <c r="X1134" i="1"/>
  <c r="Z1134" i="1" s="1"/>
  <c r="W1134" i="1"/>
  <c r="S1134" i="1"/>
  <c r="Q1134" i="1"/>
  <c r="N1134" i="1"/>
  <c r="L1134" i="1"/>
  <c r="K1134" i="1"/>
  <c r="AB1134" i="1"/>
  <c r="I1134" i="1"/>
  <c r="X1133" i="1"/>
  <c r="Z1133" i="1" s="1"/>
  <c r="W1133" i="1"/>
  <c r="S1133" i="1"/>
  <c r="Q1133" i="1"/>
  <c r="N1133" i="1"/>
  <c r="L1133" i="1"/>
  <c r="K1133" i="1"/>
  <c r="AB1133" i="1"/>
  <c r="I1133" i="1"/>
  <c r="X1132" i="1"/>
  <c r="Z1132" i="1" s="1"/>
  <c r="W1132" i="1"/>
  <c r="S1132" i="1"/>
  <c r="Q1132" i="1"/>
  <c r="N1132" i="1"/>
  <c r="L1132" i="1"/>
  <c r="K1132" i="1"/>
  <c r="AB1132" i="1"/>
  <c r="I1132" i="1"/>
  <c r="X1131" i="1"/>
  <c r="Z1131" i="1" s="1"/>
  <c r="W1131" i="1"/>
  <c r="S1131" i="1"/>
  <c r="Q1131" i="1"/>
  <c r="N1131" i="1"/>
  <c r="L1131" i="1"/>
  <c r="K1131" i="1"/>
  <c r="AB1131" i="1"/>
  <c r="I1131" i="1"/>
  <c r="X1130" i="1"/>
  <c r="Z1130" i="1" s="1"/>
  <c r="W1130" i="1"/>
  <c r="S1130" i="1"/>
  <c r="Q1130" i="1"/>
  <c r="N1130" i="1"/>
  <c r="L1130" i="1"/>
  <c r="K1130" i="1"/>
  <c r="AB1130" i="1"/>
  <c r="I1130" i="1"/>
  <c r="X1129" i="1"/>
  <c r="Z1129" i="1" s="1"/>
  <c r="W1129" i="1"/>
  <c r="S1129" i="1"/>
  <c r="Q1129" i="1"/>
  <c r="N1129" i="1"/>
  <c r="L1129" i="1"/>
  <c r="K1129" i="1"/>
  <c r="AB1129" i="1"/>
  <c r="I1129" i="1"/>
  <c r="X1128" i="1"/>
  <c r="Z1128" i="1" s="1"/>
  <c r="W1128" i="1"/>
  <c r="S1128" i="1"/>
  <c r="Q1128" i="1"/>
  <c r="N1128" i="1"/>
  <c r="L1128" i="1"/>
  <c r="K1128" i="1"/>
  <c r="AB1128" i="1"/>
  <c r="I1128" i="1"/>
  <c r="X1127" i="1"/>
  <c r="Z1127" i="1" s="1"/>
  <c r="W1127" i="1"/>
  <c r="S1127" i="1"/>
  <c r="Q1127" i="1"/>
  <c r="N1127" i="1"/>
  <c r="L1127" i="1"/>
  <c r="K1127" i="1"/>
  <c r="M1127" i="1" s="1"/>
  <c r="R1127" i="1" s="1"/>
  <c r="AB1127" i="1"/>
  <c r="I1127" i="1"/>
  <c r="X1126" i="1"/>
  <c r="Z1126" i="1" s="1"/>
  <c r="W1126" i="1"/>
  <c r="S1126" i="1"/>
  <c r="Q1126" i="1"/>
  <c r="N1126" i="1"/>
  <c r="L1126" i="1"/>
  <c r="K1126" i="1"/>
  <c r="AB1126" i="1"/>
  <c r="I1126" i="1"/>
  <c r="X1125" i="1"/>
  <c r="Z1125" i="1" s="1"/>
  <c r="W1125" i="1"/>
  <c r="S1125" i="1"/>
  <c r="Q1125" i="1"/>
  <c r="N1125" i="1"/>
  <c r="L1125" i="1"/>
  <c r="K1125" i="1"/>
  <c r="AB1125" i="1"/>
  <c r="I1125" i="1"/>
  <c r="X1124" i="1"/>
  <c r="Z1124" i="1" s="1"/>
  <c r="W1124" i="1"/>
  <c r="S1124" i="1"/>
  <c r="Q1124" i="1"/>
  <c r="N1124" i="1"/>
  <c r="L1124" i="1"/>
  <c r="K1124" i="1"/>
  <c r="AB1124" i="1"/>
  <c r="I1124" i="1"/>
  <c r="X1123" i="1"/>
  <c r="Z1123" i="1" s="1"/>
  <c r="W1123" i="1"/>
  <c r="S1123" i="1"/>
  <c r="Q1123" i="1"/>
  <c r="N1123" i="1"/>
  <c r="L1123" i="1"/>
  <c r="K1123" i="1"/>
  <c r="AB1123" i="1"/>
  <c r="I1123" i="1"/>
  <c r="X1122" i="1"/>
  <c r="Z1122" i="1" s="1"/>
  <c r="W1122" i="1"/>
  <c r="S1122" i="1"/>
  <c r="Q1122" i="1"/>
  <c r="N1122" i="1"/>
  <c r="L1122" i="1"/>
  <c r="Y1122" i="1" s="1"/>
  <c r="K1122" i="1"/>
  <c r="AB1122" i="1"/>
  <c r="I1122" i="1"/>
  <c r="X1121" i="1"/>
  <c r="Z1121" i="1" s="1"/>
  <c r="W1121" i="1"/>
  <c r="S1121" i="1"/>
  <c r="Q1121" i="1"/>
  <c r="N1121" i="1"/>
  <c r="L1121" i="1"/>
  <c r="K1121" i="1"/>
  <c r="AB1121" i="1"/>
  <c r="I1121" i="1"/>
  <c r="X1120" i="1"/>
  <c r="Z1120" i="1" s="1"/>
  <c r="W1120" i="1"/>
  <c r="S1120" i="1"/>
  <c r="Q1120" i="1"/>
  <c r="N1120" i="1"/>
  <c r="L1120" i="1"/>
  <c r="K1120" i="1"/>
  <c r="AB1120" i="1"/>
  <c r="I1120" i="1"/>
  <c r="X1119" i="1"/>
  <c r="Z1119" i="1" s="1"/>
  <c r="W1119" i="1"/>
  <c r="S1119" i="1"/>
  <c r="Q1119" i="1"/>
  <c r="N1119" i="1"/>
  <c r="L1119" i="1"/>
  <c r="K1119" i="1"/>
  <c r="AB1119" i="1"/>
  <c r="I1119" i="1"/>
  <c r="X1118" i="1"/>
  <c r="Z1118" i="1" s="1"/>
  <c r="W1118" i="1"/>
  <c r="S1118" i="1"/>
  <c r="Q1118" i="1"/>
  <c r="N1118" i="1"/>
  <c r="L1118" i="1"/>
  <c r="Y1118" i="1" s="1"/>
  <c r="K1118" i="1"/>
  <c r="AB1118" i="1"/>
  <c r="I1118" i="1"/>
  <c r="X1117" i="1"/>
  <c r="Z1117" i="1" s="1"/>
  <c r="W1117" i="1"/>
  <c r="S1117" i="1"/>
  <c r="Q1117" i="1"/>
  <c r="N1117" i="1"/>
  <c r="L1117" i="1"/>
  <c r="K1117" i="1"/>
  <c r="AB1117" i="1"/>
  <c r="I1117" i="1"/>
  <c r="X1116" i="1"/>
  <c r="Z1116" i="1" s="1"/>
  <c r="W1116" i="1"/>
  <c r="S1116" i="1"/>
  <c r="Q1116" i="1"/>
  <c r="N1116" i="1"/>
  <c r="L1116" i="1"/>
  <c r="K1116" i="1"/>
  <c r="AB1116" i="1"/>
  <c r="I1116" i="1"/>
  <c r="X1115" i="1"/>
  <c r="Z1115" i="1" s="1"/>
  <c r="W1115" i="1"/>
  <c r="S1115" i="1"/>
  <c r="Q1115" i="1"/>
  <c r="N1115" i="1"/>
  <c r="L1115" i="1"/>
  <c r="K1115" i="1"/>
  <c r="AB1115" i="1"/>
  <c r="I1115" i="1"/>
  <c r="X1114" i="1"/>
  <c r="Z1114" i="1" s="1"/>
  <c r="W1114" i="1"/>
  <c r="S1114" i="1"/>
  <c r="Q1114" i="1"/>
  <c r="N1114" i="1"/>
  <c r="L1114" i="1"/>
  <c r="Y1114" i="1" s="1"/>
  <c r="K1114" i="1"/>
  <c r="AB1114" i="1"/>
  <c r="I1114" i="1"/>
  <c r="X1113" i="1"/>
  <c r="Z1113" i="1" s="1"/>
  <c r="W1113" i="1"/>
  <c r="S1113" i="1"/>
  <c r="Q1113" i="1"/>
  <c r="N1113" i="1"/>
  <c r="L1113" i="1"/>
  <c r="K1113" i="1"/>
  <c r="AB1113" i="1"/>
  <c r="I1113" i="1"/>
  <c r="X1112" i="1"/>
  <c r="Z1112" i="1" s="1"/>
  <c r="W1112" i="1"/>
  <c r="S1112" i="1"/>
  <c r="Q1112" i="1"/>
  <c r="N1112" i="1"/>
  <c r="L1112" i="1"/>
  <c r="K1112" i="1"/>
  <c r="AB1112" i="1"/>
  <c r="I1112" i="1"/>
  <c r="X1111" i="1"/>
  <c r="Z1111" i="1" s="1"/>
  <c r="W1111" i="1"/>
  <c r="S1111" i="1"/>
  <c r="Q1111" i="1"/>
  <c r="N1111" i="1"/>
  <c r="L1111" i="1"/>
  <c r="K1111" i="1"/>
  <c r="AB1111" i="1"/>
  <c r="I1111" i="1"/>
  <c r="X1110" i="1"/>
  <c r="Z1110" i="1" s="1"/>
  <c r="W1110" i="1"/>
  <c r="S1110" i="1"/>
  <c r="Q1110" i="1"/>
  <c r="N1110" i="1"/>
  <c r="L1110" i="1"/>
  <c r="Y1110" i="1" s="1"/>
  <c r="K1110" i="1"/>
  <c r="AB1110" i="1"/>
  <c r="I1110" i="1"/>
  <c r="X1109" i="1"/>
  <c r="Z1109" i="1" s="1"/>
  <c r="W1109" i="1"/>
  <c r="S1109" i="1"/>
  <c r="Q1109" i="1"/>
  <c r="N1109" i="1"/>
  <c r="L1109" i="1"/>
  <c r="K1109" i="1"/>
  <c r="AB1109" i="1"/>
  <c r="I1109" i="1"/>
  <c r="X1108" i="1"/>
  <c r="Z1108" i="1" s="1"/>
  <c r="W1108" i="1"/>
  <c r="S1108" i="1"/>
  <c r="Q1108" i="1"/>
  <c r="N1108" i="1"/>
  <c r="L1108" i="1"/>
  <c r="K1108" i="1"/>
  <c r="AB1108" i="1"/>
  <c r="I1108" i="1"/>
  <c r="X1107" i="1"/>
  <c r="Z1107" i="1" s="1"/>
  <c r="W1107" i="1"/>
  <c r="S1107" i="1"/>
  <c r="Q1107" i="1"/>
  <c r="N1107" i="1"/>
  <c r="L1107" i="1"/>
  <c r="K1107" i="1"/>
  <c r="AB1107" i="1"/>
  <c r="I1107" i="1"/>
  <c r="X1106" i="1"/>
  <c r="Z1106" i="1" s="1"/>
  <c r="W1106" i="1"/>
  <c r="S1106" i="1"/>
  <c r="Q1106" i="1"/>
  <c r="N1106" i="1"/>
  <c r="L1106" i="1"/>
  <c r="Y1106" i="1" s="1"/>
  <c r="K1106" i="1"/>
  <c r="AB1106" i="1"/>
  <c r="I1106" i="1"/>
  <c r="X1105" i="1"/>
  <c r="Z1105" i="1" s="1"/>
  <c r="W1105" i="1"/>
  <c r="S1105" i="1"/>
  <c r="Q1105" i="1"/>
  <c r="N1105" i="1"/>
  <c r="L1105" i="1"/>
  <c r="K1105" i="1"/>
  <c r="AB1105" i="1"/>
  <c r="I1105" i="1"/>
  <c r="X1104" i="1"/>
  <c r="Z1104" i="1" s="1"/>
  <c r="W1104" i="1"/>
  <c r="S1104" i="1"/>
  <c r="Q1104" i="1"/>
  <c r="N1104" i="1"/>
  <c r="L1104" i="1"/>
  <c r="K1104" i="1"/>
  <c r="AB1104" i="1"/>
  <c r="I1104" i="1"/>
  <c r="X1103" i="1"/>
  <c r="Z1103" i="1" s="1"/>
  <c r="W1103" i="1"/>
  <c r="S1103" i="1"/>
  <c r="Q1103" i="1"/>
  <c r="N1103" i="1"/>
  <c r="L1103" i="1"/>
  <c r="K1103" i="1"/>
  <c r="AB1103" i="1"/>
  <c r="I1103" i="1"/>
  <c r="X1102" i="1"/>
  <c r="Z1102" i="1" s="1"/>
  <c r="W1102" i="1"/>
  <c r="S1102" i="1"/>
  <c r="Q1102" i="1"/>
  <c r="N1102" i="1"/>
  <c r="L1102" i="1"/>
  <c r="K1102" i="1"/>
  <c r="AB1102" i="1"/>
  <c r="I1102" i="1"/>
  <c r="X1101" i="1"/>
  <c r="Z1101" i="1" s="1"/>
  <c r="W1101" i="1"/>
  <c r="S1101" i="1"/>
  <c r="Q1101" i="1"/>
  <c r="N1101" i="1"/>
  <c r="L1101" i="1"/>
  <c r="K1101" i="1"/>
  <c r="AB1101" i="1"/>
  <c r="I1101" i="1"/>
  <c r="X1100" i="1"/>
  <c r="Z1100" i="1" s="1"/>
  <c r="W1100" i="1"/>
  <c r="S1100" i="1"/>
  <c r="Q1100" i="1"/>
  <c r="N1100" i="1"/>
  <c r="L1100" i="1"/>
  <c r="K1100" i="1"/>
  <c r="AB1100" i="1"/>
  <c r="I1100" i="1"/>
  <c r="X1099" i="1"/>
  <c r="Z1099" i="1" s="1"/>
  <c r="W1099" i="1"/>
  <c r="S1099" i="1"/>
  <c r="Q1099" i="1"/>
  <c r="N1099" i="1"/>
  <c r="L1099" i="1"/>
  <c r="K1099" i="1"/>
  <c r="AB1099" i="1"/>
  <c r="I1099" i="1"/>
  <c r="X1098" i="1"/>
  <c r="Z1098" i="1" s="1"/>
  <c r="W1098" i="1"/>
  <c r="S1098" i="1"/>
  <c r="Q1098" i="1"/>
  <c r="N1098" i="1"/>
  <c r="L1098" i="1"/>
  <c r="Y1098" i="1" s="1"/>
  <c r="K1098" i="1"/>
  <c r="AB1098" i="1"/>
  <c r="I1098" i="1"/>
  <c r="X1097" i="1"/>
  <c r="Z1097" i="1" s="1"/>
  <c r="W1097" i="1"/>
  <c r="S1097" i="1"/>
  <c r="Q1097" i="1"/>
  <c r="N1097" i="1"/>
  <c r="L1097" i="1"/>
  <c r="K1097" i="1"/>
  <c r="AB1097" i="1"/>
  <c r="I1097" i="1"/>
  <c r="X1096" i="1"/>
  <c r="Z1096" i="1" s="1"/>
  <c r="W1096" i="1"/>
  <c r="S1096" i="1"/>
  <c r="Q1096" i="1"/>
  <c r="N1096" i="1"/>
  <c r="L1096" i="1"/>
  <c r="K1096" i="1"/>
  <c r="AB1096" i="1"/>
  <c r="I1096" i="1"/>
  <c r="X1095" i="1"/>
  <c r="Z1095" i="1" s="1"/>
  <c r="W1095" i="1"/>
  <c r="S1095" i="1"/>
  <c r="Q1095" i="1"/>
  <c r="N1095" i="1"/>
  <c r="L1095" i="1"/>
  <c r="K1095" i="1"/>
  <c r="AB1095" i="1"/>
  <c r="I1095" i="1"/>
  <c r="X1094" i="1"/>
  <c r="Z1094" i="1" s="1"/>
  <c r="W1094" i="1"/>
  <c r="S1094" i="1"/>
  <c r="Q1094" i="1"/>
  <c r="N1094" i="1"/>
  <c r="L1094" i="1"/>
  <c r="Y1094" i="1" s="1"/>
  <c r="K1094" i="1"/>
  <c r="AB1094" i="1"/>
  <c r="I1094" i="1"/>
  <c r="X1093" i="1"/>
  <c r="Z1093" i="1" s="1"/>
  <c r="W1093" i="1"/>
  <c r="S1093" i="1"/>
  <c r="Q1093" i="1"/>
  <c r="N1093" i="1"/>
  <c r="L1093" i="1"/>
  <c r="K1093" i="1"/>
  <c r="AB1093" i="1"/>
  <c r="I1093" i="1"/>
  <c r="X1092" i="1"/>
  <c r="Z1092" i="1" s="1"/>
  <c r="W1092" i="1"/>
  <c r="S1092" i="1"/>
  <c r="Q1092" i="1"/>
  <c r="N1092" i="1"/>
  <c r="L1092" i="1"/>
  <c r="K1092" i="1"/>
  <c r="AB1092" i="1"/>
  <c r="I1092" i="1"/>
  <c r="X1091" i="1"/>
  <c r="Z1091" i="1" s="1"/>
  <c r="W1091" i="1"/>
  <c r="S1091" i="1"/>
  <c r="Q1091" i="1"/>
  <c r="N1091" i="1"/>
  <c r="L1091" i="1"/>
  <c r="K1091" i="1"/>
  <c r="AB1091" i="1"/>
  <c r="I1091" i="1"/>
  <c r="X1090" i="1"/>
  <c r="Z1090" i="1" s="1"/>
  <c r="W1090" i="1"/>
  <c r="S1090" i="1"/>
  <c r="Q1090" i="1"/>
  <c r="N1090" i="1"/>
  <c r="L1090" i="1"/>
  <c r="Y1090" i="1" s="1"/>
  <c r="K1090" i="1"/>
  <c r="AB1090" i="1"/>
  <c r="I1090" i="1"/>
  <c r="X1089" i="1"/>
  <c r="Z1089" i="1" s="1"/>
  <c r="W1089" i="1"/>
  <c r="S1089" i="1"/>
  <c r="Q1089" i="1"/>
  <c r="N1089" i="1"/>
  <c r="L1089" i="1"/>
  <c r="K1089" i="1"/>
  <c r="AB1089" i="1"/>
  <c r="I1089" i="1"/>
  <c r="X1088" i="1"/>
  <c r="Z1088" i="1" s="1"/>
  <c r="W1088" i="1"/>
  <c r="S1088" i="1"/>
  <c r="Q1088" i="1"/>
  <c r="N1088" i="1"/>
  <c r="L1088" i="1"/>
  <c r="K1088" i="1"/>
  <c r="AB1088" i="1"/>
  <c r="I1088" i="1"/>
  <c r="X1087" i="1"/>
  <c r="Z1087" i="1" s="1"/>
  <c r="W1087" i="1"/>
  <c r="S1087" i="1"/>
  <c r="Q1087" i="1"/>
  <c r="N1087" i="1"/>
  <c r="L1087" i="1"/>
  <c r="K1087" i="1"/>
  <c r="AB1087" i="1"/>
  <c r="I1087" i="1"/>
  <c r="X1086" i="1"/>
  <c r="Z1086" i="1" s="1"/>
  <c r="W1086" i="1"/>
  <c r="S1086" i="1"/>
  <c r="Q1086" i="1"/>
  <c r="N1086" i="1"/>
  <c r="L1086" i="1"/>
  <c r="Y1086" i="1" s="1"/>
  <c r="K1086" i="1"/>
  <c r="AB1086" i="1"/>
  <c r="I1086" i="1"/>
  <c r="X1085" i="1"/>
  <c r="Z1085" i="1" s="1"/>
  <c r="W1085" i="1"/>
  <c r="S1085" i="1"/>
  <c r="Q1085" i="1"/>
  <c r="N1085" i="1"/>
  <c r="L1085" i="1"/>
  <c r="K1085" i="1"/>
  <c r="AB1085" i="1"/>
  <c r="I1085" i="1"/>
  <c r="X1084" i="1"/>
  <c r="Z1084" i="1" s="1"/>
  <c r="W1084" i="1"/>
  <c r="S1084" i="1"/>
  <c r="Q1084" i="1"/>
  <c r="N1084" i="1"/>
  <c r="L1084" i="1"/>
  <c r="K1084" i="1"/>
  <c r="AB1084" i="1"/>
  <c r="I1084" i="1"/>
  <c r="X1083" i="1"/>
  <c r="Z1083" i="1" s="1"/>
  <c r="W1083" i="1"/>
  <c r="S1083" i="1"/>
  <c r="Q1083" i="1"/>
  <c r="N1083" i="1"/>
  <c r="L1083" i="1"/>
  <c r="K1083" i="1"/>
  <c r="AB1083" i="1"/>
  <c r="I1083" i="1"/>
  <c r="X1082" i="1"/>
  <c r="Z1082" i="1" s="1"/>
  <c r="W1082" i="1"/>
  <c r="S1082" i="1"/>
  <c r="Q1082" i="1"/>
  <c r="N1082" i="1"/>
  <c r="L1082" i="1"/>
  <c r="K1082" i="1"/>
  <c r="AB1082" i="1"/>
  <c r="I1082" i="1"/>
  <c r="X1081" i="1"/>
  <c r="Z1081" i="1" s="1"/>
  <c r="W1081" i="1"/>
  <c r="S1081" i="1"/>
  <c r="Q1081" i="1"/>
  <c r="N1081" i="1"/>
  <c r="L1081" i="1"/>
  <c r="K1081" i="1"/>
  <c r="AB1081" i="1"/>
  <c r="I1081" i="1"/>
  <c r="X1080" i="1"/>
  <c r="Z1080" i="1" s="1"/>
  <c r="W1080" i="1"/>
  <c r="S1080" i="1"/>
  <c r="Q1080" i="1"/>
  <c r="N1080" i="1"/>
  <c r="L1080" i="1"/>
  <c r="K1080" i="1"/>
  <c r="AB1080" i="1"/>
  <c r="I1080" i="1"/>
  <c r="X1079" i="1"/>
  <c r="Z1079" i="1" s="1"/>
  <c r="W1079" i="1"/>
  <c r="S1079" i="1"/>
  <c r="Q1079" i="1"/>
  <c r="N1079" i="1"/>
  <c r="L1079" i="1"/>
  <c r="K1079" i="1"/>
  <c r="AB1079" i="1"/>
  <c r="I1079" i="1"/>
  <c r="X1078" i="1"/>
  <c r="Z1078" i="1" s="1"/>
  <c r="W1078" i="1"/>
  <c r="S1078" i="1"/>
  <c r="Q1078" i="1"/>
  <c r="N1078" i="1"/>
  <c r="L1078" i="1"/>
  <c r="Y1078" i="1" s="1"/>
  <c r="K1078" i="1"/>
  <c r="AB1078" i="1"/>
  <c r="I1078" i="1"/>
  <c r="X1077" i="1"/>
  <c r="Z1077" i="1" s="1"/>
  <c r="W1077" i="1"/>
  <c r="S1077" i="1"/>
  <c r="Q1077" i="1"/>
  <c r="N1077" i="1"/>
  <c r="L1077" i="1"/>
  <c r="K1077" i="1"/>
  <c r="AB1077" i="1"/>
  <c r="I1077" i="1"/>
  <c r="X1076" i="1"/>
  <c r="Z1076" i="1" s="1"/>
  <c r="W1076" i="1"/>
  <c r="S1076" i="1"/>
  <c r="Q1076" i="1"/>
  <c r="N1076" i="1"/>
  <c r="L1076" i="1"/>
  <c r="K1076" i="1"/>
  <c r="AB1076" i="1"/>
  <c r="I1076" i="1"/>
  <c r="X1075" i="1"/>
  <c r="Z1075" i="1" s="1"/>
  <c r="W1075" i="1"/>
  <c r="S1075" i="1"/>
  <c r="Q1075" i="1"/>
  <c r="N1075" i="1"/>
  <c r="L1075" i="1"/>
  <c r="K1075" i="1"/>
  <c r="AB1075" i="1"/>
  <c r="I1075" i="1"/>
  <c r="X1074" i="1"/>
  <c r="Z1074" i="1" s="1"/>
  <c r="W1074" i="1"/>
  <c r="S1074" i="1"/>
  <c r="Q1074" i="1"/>
  <c r="N1074" i="1"/>
  <c r="L1074" i="1"/>
  <c r="K1074" i="1"/>
  <c r="AB1074" i="1"/>
  <c r="I1074" i="1"/>
  <c r="X1073" i="1"/>
  <c r="Z1073" i="1" s="1"/>
  <c r="W1073" i="1"/>
  <c r="S1073" i="1"/>
  <c r="Q1073" i="1"/>
  <c r="N1073" i="1"/>
  <c r="L1073" i="1"/>
  <c r="K1073" i="1"/>
  <c r="AB1073" i="1"/>
  <c r="I1073" i="1"/>
  <c r="X1072" i="1"/>
  <c r="Z1072" i="1" s="1"/>
  <c r="W1072" i="1"/>
  <c r="S1072" i="1"/>
  <c r="Q1072" i="1"/>
  <c r="N1072" i="1"/>
  <c r="L1072" i="1"/>
  <c r="K1072" i="1"/>
  <c r="AB1072" i="1"/>
  <c r="I1072" i="1"/>
  <c r="X1071" i="1"/>
  <c r="Z1071" i="1" s="1"/>
  <c r="W1071" i="1"/>
  <c r="S1071" i="1"/>
  <c r="Q1071" i="1"/>
  <c r="N1071" i="1"/>
  <c r="L1071" i="1"/>
  <c r="K1071" i="1"/>
  <c r="AB1071" i="1"/>
  <c r="I1071" i="1"/>
  <c r="X1070" i="1"/>
  <c r="Z1070" i="1" s="1"/>
  <c r="W1070" i="1"/>
  <c r="S1070" i="1"/>
  <c r="Q1070" i="1"/>
  <c r="N1070" i="1"/>
  <c r="L1070" i="1"/>
  <c r="Y1070" i="1" s="1"/>
  <c r="K1070" i="1"/>
  <c r="AB1070" i="1"/>
  <c r="I1070" i="1"/>
  <c r="X1069" i="1"/>
  <c r="Z1069" i="1" s="1"/>
  <c r="W1069" i="1"/>
  <c r="S1069" i="1"/>
  <c r="Q1069" i="1"/>
  <c r="N1069" i="1"/>
  <c r="L1069" i="1"/>
  <c r="K1069" i="1"/>
  <c r="AB1069" i="1"/>
  <c r="I1069" i="1"/>
  <c r="X1068" i="1"/>
  <c r="Z1068" i="1" s="1"/>
  <c r="W1068" i="1"/>
  <c r="S1068" i="1"/>
  <c r="Q1068" i="1"/>
  <c r="N1068" i="1"/>
  <c r="L1068" i="1"/>
  <c r="K1068" i="1"/>
  <c r="AB1068" i="1"/>
  <c r="I1068" i="1"/>
  <c r="X1067" i="1"/>
  <c r="Z1067" i="1" s="1"/>
  <c r="W1067" i="1"/>
  <c r="S1067" i="1"/>
  <c r="Q1067" i="1"/>
  <c r="N1067" i="1"/>
  <c r="L1067" i="1"/>
  <c r="K1067" i="1"/>
  <c r="AB1067" i="1"/>
  <c r="I1067" i="1"/>
  <c r="X1066" i="1"/>
  <c r="Z1066" i="1" s="1"/>
  <c r="W1066" i="1"/>
  <c r="S1066" i="1"/>
  <c r="Q1066" i="1"/>
  <c r="N1066" i="1"/>
  <c r="L1066" i="1"/>
  <c r="Y1066" i="1" s="1"/>
  <c r="K1066" i="1"/>
  <c r="AB1066" i="1"/>
  <c r="I1066" i="1"/>
  <c r="X1065" i="1"/>
  <c r="Z1065" i="1" s="1"/>
  <c r="W1065" i="1"/>
  <c r="S1065" i="1"/>
  <c r="Q1065" i="1"/>
  <c r="N1065" i="1"/>
  <c r="L1065" i="1"/>
  <c r="K1065" i="1"/>
  <c r="AB1065" i="1"/>
  <c r="I1065" i="1"/>
  <c r="X1064" i="1"/>
  <c r="Z1064" i="1" s="1"/>
  <c r="W1064" i="1"/>
  <c r="S1064" i="1"/>
  <c r="Q1064" i="1"/>
  <c r="N1064" i="1"/>
  <c r="L1064" i="1"/>
  <c r="K1064" i="1"/>
  <c r="AB1064" i="1"/>
  <c r="I1064" i="1"/>
  <c r="X1063" i="1"/>
  <c r="Z1063" i="1" s="1"/>
  <c r="W1063" i="1"/>
  <c r="S1063" i="1"/>
  <c r="Q1063" i="1"/>
  <c r="N1063" i="1"/>
  <c r="L1063" i="1"/>
  <c r="K1063" i="1"/>
  <c r="AB1063" i="1"/>
  <c r="I1063" i="1"/>
  <c r="X1062" i="1"/>
  <c r="Z1062" i="1" s="1"/>
  <c r="W1062" i="1"/>
  <c r="S1062" i="1"/>
  <c r="Q1062" i="1"/>
  <c r="N1062" i="1"/>
  <c r="L1062" i="1"/>
  <c r="K1062" i="1"/>
  <c r="AB1062" i="1"/>
  <c r="I1062" i="1"/>
  <c r="X1061" i="1"/>
  <c r="Z1061" i="1" s="1"/>
  <c r="W1061" i="1"/>
  <c r="S1061" i="1"/>
  <c r="Q1061" i="1"/>
  <c r="N1061" i="1"/>
  <c r="L1061" i="1"/>
  <c r="K1061" i="1"/>
  <c r="AB1061" i="1"/>
  <c r="I1061" i="1"/>
  <c r="X1060" i="1"/>
  <c r="Z1060" i="1" s="1"/>
  <c r="W1060" i="1"/>
  <c r="S1060" i="1"/>
  <c r="Q1060" i="1"/>
  <c r="N1060" i="1"/>
  <c r="L1060" i="1"/>
  <c r="K1060" i="1"/>
  <c r="AB1060" i="1"/>
  <c r="I1060" i="1"/>
  <c r="X1059" i="1"/>
  <c r="Z1059" i="1" s="1"/>
  <c r="W1059" i="1"/>
  <c r="S1059" i="1"/>
  <c r="Q1059" i="1"/>
  <c r="N1059" i="1"/>
  <c r="L1059" i="1"/>
  <c r="K1059" i="1"/>
  <c r="AB1059" i="1"/>
  <c r="I1059" i="1"/>
  <c r="X1058" i="1"/>
  <c r="Z1058" i="1" s="1"/>
  <c r="W1058" i="1"/>
  <c r="S1058" i="1"/>
  <c r="Q1058" i="1"/>
  <c r="N1058" i="1"/>
  <c r="L1058" i="1"/>
  <c r="Y1058" i="1" s="1"/>
  <c r="K1058" i="1"/>
  <c r="AB1058" i="1"/>
  <c r="I1058" i="1"/>
  <c r="X1057" i="1"/>
  <c r="Z1057" i="1" s="1"/>
  <c r="W1057" i="1"/>
  <c r="S1057" i="1"/>
  <c r="Q1057" i="1"/>
  <c r="N1057" i="1"/>
  <c r="L1057" i="1"/>
  <c r="K1057" i="1"/>
  <c r="AB1057" i="1"/>
  <c r="I1057" i="1"/>
  <c r="X1056" i="1"/>
  <c r="Z1056" i="1" s="1"/>
  <c r="W1056" i="1"/>
  <c r="S1056" i="1"/>
  <c r="Q1056" i="1"/>
  <c r="N1056" i="1"/>
  <c r="L1056" i="1"/>
  <c r="K1056" i="1"/>
  <c r="AB1056" i="1"/>
  <c r="I1056" i="1"/>
  <c r="X1055" i="1"/>
  <c r="Z1055" i="1" s="1"/>
  <c r="W1055" i="1"/>
  <c r="S1055" i="1"/>
  <c r="Q1055" i="1"/>
  <c r="N1055" i="1"/>
  <c r="L1055" i="1"/>
  <c r="K1055" i="1"/>
  <c r="M1055" i="1" s="1"/>
  <c r="R1055" i="1" s="1"/>
  <c r="AB1055" i="1"/>
  <c r="I1055" i="1"/>
  <c r="X1054" i="1"/>
  <c r="Z1054" i="1" s="1"/>
  <c r="W1054" i="1"/>
  <c r="S1054" i="1"/>
  <c r="Q1054" i="1"/>
  <c r="N1054" i="1"/>
  <c r="L1054" i="1"/>
  <c r="K1054" i="1"/>
  <c r="AB1054" i="1"/>
  <c r="I1054" i="1"/>
  <c r="X1053" i="1"/>
  <c r="Z1053" i="1" s="1"/>
  <c r="W1053" i="1"/>
  <c r="S1053" i="1"/>
  <c r="Q1053" i="1"/>
  <c r="N1053" i="1"/>
  <c r="L1053" i="1"/>
  <c r="K1053" i="1"/>
  <c r="AB1053" i="1"/>
  <c r="I1053" i="1"/>
  <c r="X1052" i="1"/>
  <c r="Z1052" i="1" s="1"/>
  <c r="W1052" i="1"/>
  <c r="S1052" i="1"/>
  <c r="Q1052" i="1"/>
  <c r="N1052" i="1"/>
  <c r="L1052" i="1"/>
  <c r="K1052" i="1"/>
  <c r="AB1052" i="1"/>
  <c r="I1052" i="1"/>
  <c r="X1051" i="1"/>
  <c r="Z1051" i="1" s="1"/>
  <c r="W1051" i="1"/>
  <c r="S1051" i="1"/>
  <c r="Q1051" i="1"/>
  <c r="N1051" i="1"/>
  <c r="L1051" i="1"/>
  <c r="K1051" i="1"/>
  <c r="AB1051" i="1"/>
  <c r="I1051" i="1"/>
  <c r="X1050" i="1"/>
  <c r="Z1050" i="1" s="1"/>
  <c r="W1050" i="1"/>
  <c r="S1050" i="1"/>
  <c r="Q1050" i="1"/>
  <c r="N1050" i="1"/>
  <c r="L1050" i="1"/>
  <c r="K1050" i="1"/>
  <c r="AB1050" i="1"/>
  <c r="I1050" i="1"/>
  <c r="X1049" i="1"/>
  <c r="Z1049" i="1" s="1"/>
  <c r="W1049" i="1"/>
  <c r="S1049" i="1"/>
  <c r="Q1049" i="1"/>
  <c r="N1049" i="1"/>
  <c r="L1049" i="1"/>
  <c r="K1049" i="1"/>
  <c r="AB1049" i="1"/>
  <c r="I1049" i="1"/>
  <c r="X1048" i="1"/>
  <c r="Z1048" i="1" s="1"/>
  <c r="W1048" i="1"/>
  <c r="S1048" i="1"/>
  <c r="Q1048" i="1"/>
  <c r="N1048" i="1"/>
  <c r="L1048" i="1"/>
  <c r="K1048" i="1"/>
  <c r="AB1048" i="1"/>
  <c r="I1048" i="1"/>
  <c r="X1047" i="1"/>
  <c r="Z1047" i="1" s="1"/>
  <c r="W1047" i="1"/>
  <c r="S1047" i="1"/>
  <c r="Q1047" i="1"/>
  <c r="N1047" i="1"/>
  <c r="L1047" i="1"/>
  <c r="K1047" i="1"/>
  <c r="AB1047" i="1"/>
  <c r="I1047" i="1"/>
  <c r="X1046" i="1"/>
  <c r="Z1046" i="1" s="1"/>
  <c r="W1046" i="1"/>
  <c r="S1046" i="1"/>
  <c r="Q1046" i="1"/>
  <c r="N1046" i="1"/>
  <c r="L1046" i="1"/>
  <c r="K1046" i="1"/>
  <c r="AB1046" i="1"/>
  <c r="I1046" i="1"/>
  <c r="X1045" i="1"/>
  <c r="Z1045" i="1" s="1"/>
  <c r="W1045" i="1"/>
  <c r="S1045" i="1"/>
  <c r="Q1045" i="1"/>
  <c r="N1045" i="1"/>
  <c r="L1045" i="1"/>
  <c r="K1045" i="1"/>
  <c r="AB1045" i="1"/>
  <c r="I1045" i="1"/>
  <c r="X1044" i="1"/>
  <c r="Z1044" i="1" s="1"/>
  <c r="W1044" i="1"/>
  <c r="S1044" i="1"/>
  <c r="Q1044" i="1"/>
  <c r="N1044" i="1"/>
  <c r="L1044" i="1"/>
  <c r="K1044" i="1"/>
  <c r="AB1044" i="1"/>
  <c r="I1044" i="1"/>
  <c r="X1043" i="1"/>
  <c r="Z1043" i="1" s="1"/>
  <c r="W1043" i="1"/>
  <c r="S1043" i="1"/>
  <c r="Q1043" i="1"/>
  <c r="N1043" i="1"/>
  <c r="L1043" i="1"/>
  <c r="K1043" i="1"/>
  <c r="AB1043" i="1"/>
  <c r="I1043" i="1"/>
  <c r="X1042" i="1"/>
  <c r="Z1042" i="1" s="1"/>
  <c r="W1042" i="1"/>
  <c r="S1042" i="1"/>
  <c r="Q1042" i="1"/>
  <c r="N1042" i="1"/>
  <c r="L1042" i="1"/>
  <c r="Y1042" i="1" s="1"/>
  <c r="K1042" i="1"/>
  <c r="AB1042" i="1"/>
  <c r="I1042" i="1"/>
  <c r="X1041" i="1"/>
  <c r="Z1041" i="1" s="1"/>
  <c r="W1041" i="1"/>
  <c r="S1041" i="1"/>
  <c r="Q1041" i="1"/>
  <c r="N1041" i="1"/>
  <c r="L1041" i="1"/>
  <c r="K1041" i="1"/>
  <c r="AB1041" i="1"/>
  <c r="I1041" i="1"/>
  <c r="X1040" i="1"/>
  <c r="Z1040" i="1" s="1"/>
  <c r="W1040" i="1"/>
  <c r="S1040" i="1"/>
  <c r="Q1040" i="1"/>
  <c r="N1040" i="1"/>
  <c r="L1040" i="1"/>
  <c r="K1040" i="1"/>
  <c r="AB1040" i="1"/>
  <c r="I1040" i="1"/>
  <c r="X1039" i="1"/>
  <c r="Z1039" i="1" s="1"/>
  <c r="W1039" i="1"/>
  <c r="S1039" i="1"/>
  <c r="Q1039" i="1"/>
  <c r="N1039" i="1"/>
  <c r="L1039" i="1"/>
  <c r="K1039" i="1"/>
  <c r="AB1039" i="1"/>
  <c r="I1039" i="1"/>
  <c r="X1038" i="1"/>
  <c r="Z1038" i="1" s="1"/>
  <c r="W1038" i="1"/>
  <c r="S1038" i="1"/>
  <c r="Q1038" i="1"/>
  <c r="N1038" i="1"/>
  <c r="L1038" i="1"/>
  <c r="K1038" i="1"/>
  <c r="AB1038" i="1"/>
  <c r="I1038" i="1"/>
  <c r="X1037" i="1"/>
  <c r="Z1037" i="1" s="1"/>
  <c r="W1037" i="1"/>
  <c r="S1037" i="1"/>
  <c r="Q1037" i="1"/>
  <c r="N1037" i="1"/>
  <c r="L1037" i="1"/>
  <c r="K1037" i="1"/>
  <c r="AB1037" i="1"/>
  <c r="I1037" i="1"/>
  <c r="X1036" i="1"/>
  <c r="Z1036" i="1" s="1"/>
  <c r="W1036" i="1"/>
  <c r="S1036" i="1"/>
  <c r="Q1036" i="1"/>
  <c r="N1036" i="1"/>
  <c r="L1036" i="1"/>
  <c r="K1036" i="1"/>
  <c r="AB1036" i="1"/>
  <c r="I1036" i="1"/>
  <c r="X1035" i="1"/>
  <c r="Z1035" i="1" s="1"/>
  <c r="W1035" i="1"/>
  <c r="S1035" i="1"/>
  <c r="Q1035" i="1"/>
  <c r="N1035" i="1"/>
  <c r="L1035" i="1"/>
  <c r="K1035" i="1"/>
  <c r="M1035" i="1" s="1"/>
  <c r="R1035" i="1" s="1"/>
  <c r="AB1035" i="1"/>
  <c r="I1035" i="1"/>
  <c r="X1034" i="1"/>
  <c r="Z1034" i="1" s="1"/>
  <c r="W1034" i="1"/>
  <c r="S1034" i="1"/>
  <c r="Q1034" i="1"/>
  <c r="N1034" i="1"/>
  <c r="L1034" i="1"/>
  <c r="K1034" i="1"/>
  <c r="AB1034" i="1"/>
  <c r="I1034" i="1"/>
  <c r="X1033" i="1"/>
  <c r="Z1033" i="1" s="1"/>
  <c r="W1033" i="1"/>
  <c r="S1033" i="1"/>
  <c r="Q1033" i="1"/>
  <c r="N1033" i="1"/>
  <c r="L1033" i="1"/>
  <c r="K1033" i="1"/>
  <c r="AB1033" i="1"/>
  <c r="I1033" i="1"/>
  <c r="X1032" i="1"/>
  <c r="Z1032" i="1" s="1"/>
  <c r="W1032" i="1"/>
  <c r="S1032" i="1"/>
  <c r="Q1032" i="1"/>
  <c r="N1032" i="1"/>
  <c r="L1032" i="1"/>
  <c r="K1032" i="1"/>
  <c r="AB1032" i="1"/>
  <c r="I1032" i="1"/>
  <c r="X1031" i="1"/>
  <c r="Z1031" i="1" s="1"/>
  <c r="W1031" i="1"/>
  <c r="S1031" i="1"/>
  <c r="Q1031" i="1"/>
  <c r="N1031" i="1"/>
  <c r="L1031" i="1"/>
  <c r="K1031" i="1"/>
  <c r="AB1031" i="1"/>
  <c r="I1031" i="1"/>
  <c r="X1030" i="1"/>
  <c r="Z1030" i="1" s="1"/>
  <c r="W1030" i="1"/>
  <c r="S1030" i="1"/>
  <c r="Q1030" i="1"/>
  <c r="N1030" i="1"/>
  <c r="L1030" i="1"/>
  <c r="K1030" i="1"/>
  <c r="AB1030" i="1"/>
  <c r="I1030" i="1"/>
  <c r="X1029" i="1"/>
  <c r="Z1029" i="1" s="1"/>
  <c r="W1029" i="1"/>
  <c r="S1029" i="1"/>
  <c r="Q1029" i="1"/>
  <c r="N1029" i="1"/>
  <c r="L1029" i="1"/>
  <c r="K1029" i="1"/>
  <c r="AB1029" i="1"/>
  <c r="I1029" i="1"/>
  <c r="X1028" i="1"/>
  <c r="Z1028" i="1" s="1"/>
  <c r="W1028" i="1"/>
  <c r="S1028" i="1"/>
  <c r="Q1028" i="1"/>
  <c r="N1028" i="1"/>
  <c r="L1028" i="1"/>
  <c r="K1028" i="1"/>
  <c r="AB1028" i="1"/>
  <c r="I1028" i="1"/>
  <c r="X1027" i="1"/>
  <c r="Z1027" i="1" s="1"/>
  <c r="W1027" i="1"/>
  <c r="S1027" i="1"/>
  <c r="Q1027" i="1"/>
  <c r="N1027" i="1"/>
  <c r="L1027" i="1"/>
  <c r="K1027" i="1"/>
  <c r="AB1027" i="1"/>
  <c r="I1027" i="1"/>
  <c r="X1026" i="1"/>
  <c r="Z1026" i="1" s="1"/>
  <c r="W1026" i="1"/>
  <c r="S1026" i="1"/>
  <c r="Q1026" i="1"/>
  <c r="N1026" i="1"/>
  <c r="L1026" i="1"/>
  <c r="K1026" i="1"/>
  <c r="AB1026" i="1"/>
  <c r="I1026" i="1"/>
  <c r="X1025" i="1"/>
  <c r="Z1025" i="1" s="1"/>
  <c r="W1025" i="1"/>
  <c r="S1025" i="1"/>
  <c r="Q1025" i="1"/>
  <c r="N1025" i="1"/>
  <c r="L1025" i="1"/>
  <c r="K1025" i="1"/>
  <c r="AB1025" i="1"/>
  <c r="I1025" i="1"/>
  <c r="X1024" i="1"/>
  <c r="Z1024" i="1" s="1"/>
  <c r="W1024" i="1"/>
  <c r="S1024" i="1"/>
  <c r="Q1024" i="1"/>
  <c r="N1024" i="1"/>
  <c r="L1024" i="1"/>
  <c r="K1024" i="1"/>
  <c r="AB1024" i="1"/>
  <c r="I1024" i="1"/>
  <c r="X1023" i="1"/>
  <c r="Z1023" i="1" s="1"/>
  <c r="W1023" i="1"/>
  <c r="S1023" i="1"/>
  <c r="Q1023" i="1"/>
  <c r="N1023" i="1"/>
  <c r="L1023" i="1"/>
  <c r="K1023" i="1"/>
  <c r="AB1023" i="1"/>
  <c r="I1023" i="1"/>
  <c r="X1022" i="1"/>
  <c r="Z1022" i="1" s="1"/>
  <c r="W1022" i="1"/>
  <c r="S1022" i="1"/>
  <c r="Q1022" i="1"/>
  <c r="N1022" i="1"/>
  <c r="L1022" i="1"/>
  <c r="K1022" i="1"/>
  <c r="AB1022" i="1"/>
  <c r="I1022" i="1"/>
  <c r="X1021" i="1"/>
  <c r="Z1021" i="1" s="1"/>
  <c r="W1021" i="1"/>
  <c r="S1021" i="1"/>
  <c r="Q1021" i="1"/>
  <c r="N1021" i="1"/>
  <c r="L1021" i="1"/>
  <c r="K1021" i="1"/>
  <c r="AB1021" i="1"/>
  <c r="I1021" i="1"/>
  <c r="X1020" i="1"/>
  <c r="Z1020" i="1" s="1"/>
  <c r="W1020" i="1"/>
  <c r="S1020" i="1"/>
  <c r="Q1020" i="1"/>
  <c r="N1020" i="1"/>
  <c r="L1020" i="1"/>
  <c r="K1020" i="1"/>
  <c r="AB1020" i="1"/>
  <c r="I1020" i="1"/>
  <c r="X1019" i="1"/>
  <c r="Z1019" i="1" s="1"/>
  <c r="W1019" i="1"/>
  <c r="S1019" i="1"/>
  <c r="Q1019" i="1"/>
  <c r="N1019" i="1"/>
  <c r="L1019" i="1"/>
  <c r="K1019" i="1"/>
  <c r="AB1019" i="1"/>
  <c r="I1019" i="1"/>
  <c r="X1018" i="1"/>
  <c r="Z1018" i="1" s="1"/>
  <c r="W1018" i="1"/>
  <c r="S1018" i="1"/>
  <c r="Q1018" i="1"/>
  <c r="N1018" i="1"/>
  <c r="L1018" i="1"/>
  <c r="K1018" i="1"/>
  <c r="AB1018" i="1"/>
  <c r="I1018" i="1"/>
  <c r="X1017" i="1"/>
  <c r="Z1017" i="1" s="1"/>
  <c r="W1017" i="1"/>
  <c r="S1017" i="1"/>
  <c r="Q1017" i="1"/>
  <c r="N1017" i="1"/>
  <c r="L1017" i="1"/>
  <c r="K1017" i="1"/>
  <c r="AB1017" i="1"/>
  <c r="I1017" i="1"/>
  <c r="X1016" i="1"/>
  <c r="Z1016" i="1" s="1"/>
  <c r="W1016" i="1"/>
  <c r="S1016" i="1"/>
  <c r="Q1016" i="1"/>
  <c r="N1016" i="1"/>
  <c r="L1016" i="1"/>
  <c r="K1016" i="1"/>
  <c r="AB1016" i="1"/>
  <c r="I1016" i="1"/>
  <c r="X1015" i="1"/>
  <c r="Z1015" i="1" s="1"/>
  <c r="W1015" i="1"/>
  <c r="S1015" i="1"/>
  <c r="Q1015" i="1"/>
  <c r="N1015" i="1"/>
  <c r="L1015" i="1"/>
  <c r="K1015" i="1"/>
  <c r="AB1015" i="1"/>
  <c r="I1015" i="1"/>
  <c r="X1014" i="1"/>
  <c r="Z1014" i="1" s="1"/>
  <c r="W1014" i="1"/>
  <c r="S1014" i="1"/>
  <c r="Q1014" i="1"/>
  <c r="N1014" i="1"/>
  <c r="L1014" i="1"/>
  <c r="Y1014" i="1" s="1"/>
  <c r="K1014" i="1"/>
  <c r="AB1014" i="1"/>
  <c r="I1014" i="1"/>
  <c r="X1013" i="1"/>
  <c r="Z1013" i="1" s="1"/>
  <c r="W1013" i="1"/>
  <c r="S1013" i="1"/>
  <c r="Q1013" i="1"/>
  <c r="N1013" i="1"/>
  <c r="L1013" i="1"/>
  <c r="K1013" i="1"/>
  <c r="AB1013" i="1"/>
  <c r="I1013" i="1"/>
  <c r="X1012" i="1"/>
  <c r="Z1012" i="1" s="1"/>
  <c r="W1012" i="1"/>
  <c r="S1012" i="1"/>
  <c r="Q1012" i="1"/>
  <c r="N1012" i="1"/>
  <c r="L1012" i="1"/>
  <c r="K1012" i="1"/>
  <c r="AB1012" i="1"/>
  <c r="I1012" i="1"/>
  <c r="X1011" i="1"/>
  <c r="Z1011" i="1" s="1"/>
  <c r="W1011" i="1"/>
  <c r="S1011" i="1"/>
  <c r="Q1011" i="1"/>
  <c r="N1011" i="1"/>
  <c r="L1011" i="1"/>
  <c r="K1011" i="1"/>
  <c r="AB1011" i="1"/>
  <c r="I1011" i="1"/>
  <c r="X1010" i="1"/>
  <c r="Z1010" i="1" s="1"/>
  <c r="W1010" i="1"/>
  <c r="S1010" i="1"/>
  <c r="Q1010" i="1"/>
  <c r="N1010" i="1"/>
  <c r="L1010" i="1"/>
  <c r="K1010" i="1"/>
  <c r="AB1010" i="1"/>
  <c r="I1010" i="1"/>
  <c r="X1009" i="1"/>
  <c r="Z1009" i="1" s="1"/>
  <c r="W1009" i="1"/>
  <c r="S1009" i="1"/>
  <c r="Q1009" i="1"/>
  <c r="N1009" i="1"/>
  <c r="L1009" i="1"/>
  <c r="K1009" i="1"/>
  <c r="AB1009" i="1"/>
  <c r="I1009" i="1"/>
  <c r="X1008" i="1"/>
  <c r="Z1008" i="1" s="1"/>
  <c r="W1008" i="1"/>
  <c r="S1008" i="1"/>
  <c r="Q1008" i="1"/>
  <c r="N1008" i="1"/>
  <c r="L1008" i="1"/>
  <c r="K1008" i="1"/>
  <c r="AB1008" i="1"/>
  <c r="I1008" i="1"/>
  <c r="X1007" i="1"/>
  <c r="Z1007" i="1" s="1"/>
  <c r="W1007" i="1"/>
  <c r="S1007" i="1"/>
  <c r="Q1007" i="1"/>
  <c r="N1007" i="1"/>
  <c r="L1007" i="1"/>
  <c r="K1007" i="1"/>
  <c r="AB1007" i="1"/>
  <c r="I1007" i="1"/>
  <c r="X1006" i="1"/>
  <c r="Z1006" i="1" s="1"/>
  <c r="W1006" i="1"/>
  <c r="S1006" i="1"/>
  <c r="Q1006" i="1"/>
  <c r="N1006" i="1"/>
  <c r="L1006" i="1"/>
  <c r="Y1006" i="1" s="1"/>
  <c r="K1006" i="1"/>
  <c r="AB1006" i="1"/>
  <c r="I1006" i="1"/>
  <c r="X1005" i="1"/>
  <c r="Z1005" i="1" s="1"/>
  <c r="W1005" i="1"/>
  <c r="S1005" i="1"/>
  <c r="Q1005" i="1"/>
  <c r="N1005" i="1"/>
  <c r="L1005" i="1"/>
  <c r="K1005" i="1"/>
  <c r="AB1005" i="1"/>
  <c r="I1005" i="1"/>
  <c r="X1004" i="1"/>
  <c r="Z1004" i="1" s="1"/>
  <c r="W1004" i="1"/>
  <c r="S1004" i="1"/>
  <c r="Q1004" i="1"/>
  <c r="N1004" i="1"/>
  <c r="L1004" i="1"/>
  <c r="K1004" i="1"/>
  <c r="AB1004" i="1"/>
  <c r="I1004" i="1"/>
  <c r="X1003" i="1"/>
  <c r="Z1003" i="1" s="1"/>
  <c r="W1003" i="1"/>
  <c r="S1003" i="1"/>
  <c r="Q1003" i="1"/>
  <c r="N1003" i="1"/>
  <c r="L1003" i="1"/>
  <c r="K1003" i="1"/>
  <c r="AB1003" i="1"/>
  <c r="I1003" i="1"/>
  <c r="X1002" i="1"/>
  <c r="Z1002" i="1" s="1"/>
  <c r="W1002" i="1"/>
  <c r="S1002" i="1"/>
  <c r="Q1002" i="1"/>
  <c r="N1002" i="1"/>
  <c r="L1002" i="1"/>
  <c r="K1002" i="1"/>
  <c r="AB1002" i="1"/>
  <c r="I1002" i="1"/>
  <c r="X1001" i="1"/>
  <c r="Z1001" i="1" s="1"/>
  <c r="W1001" i="1"/>
  <c r="S1001" i="1"/>
  <c r="Q1001" i="1"/>
  <c r="N1001" i="1"/>
  <c r="L1001" i="1"/>
  <c r="K1001" i="1"/>
  <c r="AB1001" i="1"/>
  <c r="I1001" i="1"/>
  <c r="X1000" i="1"/>
  <c r="Z1000" i="1" s="1"/>
  <c r="W1000" i="1"/>
  <c r="S1000" i="1"/>
  <c r="Q1000" i="1"/>
  <c r="N1000" i="1"/>
  <c r="L1000" i="1"/>
  <c r="K1000" i="1"/>
  <c r="AB1000" i="1"/>
  <c r="I1000" i="1"/>
  <c r="X999" i="1"/>
  <c r="Z999" i="1" s="1"/>
  <c r="W999" i="1"/>
  <c r="S999" i="1"/>
  <c r="Q999" i="1"/>
  <c r="N999" i="1"/>
  <c r="L999" i="1"/>
  <c r="K999" i="1"/>
  <c r="AB999" i="1"/>
  <c r="I999" i="1"/>
  <c r="X998" i="1"/>
  <c r="Z998" i="1" s="1"/>
  <c r="W998" i="1"/>
  <c r="S998" i="1"/>
  <c r="Q998" i="1"/>
  <c r="N998" i="1"/>
  <c r="L998" i="1"/>
  <c r="K998" i="1"/>
  <c r="AB998" i="1"/>
  <c r="I998" i="1"/>
  <c r="X997" i="1"/>
  <c r="Z997" i="1" s="1"/>
  <c r="W997" i="1"/>
  <c r="S997" i="1"/>
  <c r="Q997" i="1"/>
  <c r="N997" i="1"/>
  <c r="L997" i="1"/>
  <c r="K997" i="1"/>
  <c r="AB997" i="1"/>
  <c r="I997" i="1"/>
  <c r="X996" i="1"/>
  <c r="Z996" i="1" s="1"/>
  <c r="W996" i="1"/>
  <c r="S996" i="1"/>
  <c r="Q996" i="1"/>
  <c r="N996" i="1"/>
  <c r="L996" i="1"/>
  <c r="K996" i="1"/>
  <c r="AB996" i="1"/>
  <c r="I996" i="1"/>
  <c r="X995" i="1"/>
  <c r="Z995" i="1" s="1"/>
  <c r="W995" i="1"/>
  <c r="S995" i="1"/>
  <c r="Q995" i="1"/>
  <c r="N995" i="1"/>
  <c r="L995" i="1"/>
  <c r="K995" i="1"/>
  <c r="AB995" i="1"/>
  <c r="I995" i="1"/>
  <c r="X994" i="1"/>
  <c r="Z994" i="1" s="1"/>
  <c r="W994" i="1"/>
  <c r="S994" i="1"/>
  <c r="Q994" i="1"/>
  <c r="N994" i="1"/>
  <c r="L994" i="1"/>
  <c r="K994" i="1"/>
  <c r="AB994" i="1"/>
  <c r="I994" i="1"/>
  <c r="X993" i="1"/>
  <c r="Z993" i="1" s="1"/>
  <c r="W993" i="1"/>
  <c r="S993" i="1"/>
  <c r="Q993" i="1"/>
  <c r="N993" i="1"/>
  <c r="L993" i="1"/>
  <c r="K993" i="1"/>
  <c r="AB993" i="1"/>
  <c r="I993" i="1"/>
  <c r="X992" i="1"/>
  <c r="Z992" i="1" s="1"/>
  <c r="W992" i="1"/>
  <c r="S992" i="1"/>
  <c r="Q992" i="1"/>
  <c r="N992" i="1"/>
  <c r="L992" i="1"/>
  <c r="K992" i="1"/>
  <c r="AB992" i="1"/>
  <c r="I992" i="1"/>
  <c r="X991" i="1"/>
  <c r="Z991" i="1" s="1"/>
  <c r="W991" i="1"/>
  <c r="S991" i="1"/>
  <c r="Q991" i="1"/>
  <c r="N991" i="1"/>
  <c r="L991" i="1"/>
  <c r="K991" i="1"/>
  <c r="AB991" i="1"/>
  <c r="I991" i="1"/>
  <c r="X990" i="1"/>
  <c r="Z990" i="1" s="1"/>
  <c r="W990" i="1"/>
  <c r="S990" i="1"/>
  <c r="Q990" i="1"/>
  <c r="N990" i="1"/>
  <c r="L990" i="1"/>
  <c r="Y990" i="1" s="1"/>
  <c r="K990" i="1"/>
  <c r="AB990" i="1"/>
  <c r="I990" i="1"/>
  <c r="X989" i="1"/>
  <c r="Z989" i="1" s="1"/>
  <c r="W989" i="1"/>
  <c r="S989" i="1"/>
  <c r="Q989" i="1"/>
  <c r="N989" i="1"/>
  <c r="L989" i="1"/>
  <c r="K989" i="1"/>
  <c r="AB989" i="1"/>
  <c r="I989" i="1"/>
  <c r="X988" i="1"/>
  <c r="Z988" i="1" s="1"/>
  <c r="W988" i="1"/>
  <c r="S988" i="1"/>
  <c r="Q988" i="1"/>
  <c r="N988" i="1"/>
  <c r="L988" i="1"/>
  <c r="K988" i="1"/>
  <c r="AB988" i="1"/>
  <c r="I988" i="1"/>
  <c r="X987" i="1"/>
  <c r="Z987" i="1" s="1"/>
  <c r="W987" i="1"/>
  <c r="S987" i="1"/>
  <c r="Q987" i="1"/>
  <c r="N987" i="1"/>
  <c r="L987" i="1"/>
  <c r="K987" i="1"/>
  <c r="AB987" i="1"/>
  <c r="I987" i="1"/>
  <c r="X986" i="1"/>
  <c r="Z986" i="1" s="1"/>
  <c r="W986" i="1"/>
  <c r="S986" i="1"/>
  <c r="Q986" i="1"/>
  <c r="N986" i="1"/>
  <c r="L986" i="1"/>
  <c r="Y986" i="1" s="1"/>
  <c r="K986" i="1"/>
  <c r="AB986" i="1"/>
  <c r="I986" i="1"/>
  <c r="X985" i="1"/>
  <c r="Z985" i="1" s="1"/>
  <c r="W985" i="1"/>
  <c r="S985" i="1"/>
  <c r="Q985" i="1"/>
  <c r="N985" i="1"/>
  <c r="L985" i="1"/>
  <c r="K985" i="1"/>
  <c r="AB985" i="1"/>
  <c r="I985" i="1"/>
  <c r="X984" i="1"/>
  <c r="Z984" i="1" s="1"/>
  <c r="W984" i="1"/>
  <c r="S984" i="1"/>
  <c r="Q984" i="1"/>
  <c r="N984" i="1"/>
  <c r="L984" i="1"/>
  <c r="K984" i="1"/>
  <c r="AB984" i="1"/>
  <c r="I984" i="1"/>
  <c r="X983" i="1"/>
  <c r="Z983" i="1" s="1"/>
  <c r="W983" i="1"/>
  <c r="S983" i="1"/>
  <c r="Q983" i="1"/>
  <c r="N983" i="1"/>
  <c r="L983" i="1"/>
  <c r="K983" i="1"/>
  <c r="AB983" i="1"/>
  <c r="I983" i="1"/>
  <c r="X982" i="1"/>
  <c r="Z982" i="1" s="1"/>
  <c r="W982" i="1"/>
  <c r="S982" i="1"/>
  <c r="Q982" i="1"/>
  <c r="N982" i="1"/>
  <c r="L982" i="1"/>
  <c r="Y982" i="1" s="1"/>
  <c r="K982" i="1"/>
  <c r="AB982" i="1"/>
  <c r="I982" i="1"/>
  <c r="X981" i="1"/>
  <c r="Z981" i="1" s="1"/>
  <c r="W981" i="1"/>
  <c r="S981" i="1"/>
  <c r="Q981" i="1"/>
  <c r="N981" i="1"/>
  <c r="L981" i="1"/>
  <c r="K981" i="1"/>
  <c r="AB981" i="1"/>
  <c r="I981" i="1"/>
  <c r="X980" i="1"/>
  <c r="Z980" i="1" s="1"/>
  <c r="W980" i="1"/>
  <c r="S980" i="1"/>
  <c r="Q980" i="1"/>
  <c r="N980" i="1"/>
  <c r="L980" i="1"/>
  <c r="K980" i="1"/>
  <c r="AB980" i="1"/>
  <c r="I980" i="1"/>
  <c r="X979" i="1"/>
  <c r="Z979" i="1" s="1"/>
  <c r="W979" i="1"/>
  <c r="S979" i="1"/>
  <c r="Q979" i="1"/>
  <c r="N979" i="1"/>
  <c r="L979" i="1"/>
  <c r="K979" i="1"/>
  <c r="AB979" i="1"/>
  <c r="I979" i="1"/>
  <c r="X978" i="1"/>
  <c r="Z978" i="1" s="1"/>
  <c r="W978" i="1"/>
  <c r="S978" i="1"/>
  <c r="Q978" i="1"/>
  <c r="N978" i="1"/>
  <c r="L978" i="1"/>
  <c r="K978" i="1"/>
  <c r="AB978" i="1"/>
  <c r="I978" i="1"/>
  <c r="X977" i="1"/>
  <c r="Z977" i="1" s="1"/>
  <c r="W977" i="1"/>
  <c r="S977" i="1"/>
  <c r="Q977" i="1"/>
  <c r="N977" i="1"/>
  <c r="L977" i="1"/>
  <c r="K977" i="1"/>
  <c r="AB977" i="1"/>
  <c r="I977" i="1"/>
  <c r="X976" i="1"/>
  <c r="Z976" i="1" s="1"/>
  <c r="W976" i="1"/>
  <c r="S976" i="1"/>
  <c r="Q976" i="1"/>
  <c r="N976" i="1"/>
  <c r="L976" i="1"/>
  <c r="K976" i="1"/>
  <c r="AB976" i="1"/>
  <c r="I976" i="1"/>
  <c r="X975" i="1"/>
  <c r="Z975" i="1" s="1"/>
  <c r="W975" i="1"/>
  <c r="S975" i="1"/>
  <c r="Q975" i="1"/>
  <c r="N975" i="1"/>
  <c r="L975" i="1"/>
  <c r="K975" i="1"/>
  <c r="AB975" i="1"/>
  <c r="I975" i="1"/>
  <c r="X974" i="1"/>
  <c r="Z974" i="1" s="1"/>
  <c r="W974" i="1"/>
  <c r="S974" i="1"/>
  <c r="Q974" i="1"/>
  <c r="N974" i="1"/>
  <c r="L974" i="1"/>
  <c r="Y974" i="1" s="1"/>
  <c r="K974" i="1"/>
  <c r="AB974" i="1"/>
  <c r="I974" i="1"/>
  <c r="X973" i="1"/>
  <c r="Z973" i="1" s="1"/>
  <c r="W973" i="1"/>
  <c r="S973" i="1"/>
  <c r="Q973" i="1"/>
  <c r="N973" i="1"/>
  <c r="L973" i="1"/>
  <c r="K973" i="1"/>
  <c r="AB973" i="1"/>
  <c r="I973" i="1"/>
  <c r="X972" i="1"/>
  <c r="Z972" i="1" s="1"/>
  <c r="W972" i="1"/>
  <c r="S972" i="1"/>
  <c r="Q972" i="1"/>
  <c r="N972" i="1"/>
  <c r="L972" i="1"/>
  <c r="K972" i="1"/>
  <c r="AB972" i="1"/>
  <c r="I972" i="1"/>
  <c r="X971" i="1"/>
  <c r="Z971" i="1" s="1"/>
  <c r="W971" i="1"/>
  <c r="S971" i="1"/>
  <c r="Q971" i="1"/>
  <c r="N971" i="1"/>
  <c r="L971" i="1"/>
  <c r="K971" i="1"/>
  <c r="AB971" i="1"/>
  <c r="I971" i="1"/>
  <c r="X970" i="1"/>
  <c r="Z970" i="1" s="1"/>
  <c r="W970" i="1"/>
  <c r="S970" i="1"/>
  <c r="Q970" i="1"/>
  <c r="N970" i="1"/>
  <c r="L970" i="1"/>
  <c r="K970" i="1"/>
  <c r="AB970" i="1"/>
  <c r="I970" i="1"/>
  <c r="X969" i="1"/>
  <c r="Z969" i="1" s="1"/>
  <c r="W969" i="1"/>
  <c r="S969" i="1"/>
  <c r="Q969" i="1"/>
  <c r="N969" i="1"/>
  <c r="L969" i="1"/>
  <c r="K969" i="1"/>
  <c r="AB969" i="1"/>
  <c r="I969" i="1"/>
  <c r="X968" i="1"/>
  <c r="Z968" i="1" s="1"/>
  <c r="W968" i="1"/>
  <c r="S968" i="1"/>
  <c r="Q968" i="1"/>
  <c r="N968" i="1"/>
  <c r="L968" i="1"/>
  <c r="K968" i="1"/>
  <c r="AB968" i="1"/>
  <c r="I968" i="1"/>
  <c r="X967" i="1"/>
  <c r="Z967" i="1" s="1"/>
  <c r="W967" i="1"/>
  <c r="S967" i="1"/>
  <c r="Q967" i="1"/>
  <c r="N967" i="1"/>
  <c r="L967" i="1"/>
  <c r="K967" i="1"/>
  <c r="AB967" i="1"/>
  <c r="I967" i="1"/>
  <c r="X966" i="1"/>
  <c r="Z966" i="1" s="1"/>
  <c r="W966" i="1"/>
  <c r="S966" i="1"/>
  <c r="Q966" i="1"/>
  <c r="N966" i="1"/>
  <c r="L966" i="1"/>
  <c r="K966" i="1"/>
  <c r="AB966" i="1"/>
  <c r="I966" i="1"/>
  <c r="X965" i="1"/>
  <c r="Z965" i="1" s="1"/>
  <c r="W965" i="1"/>
  <c r="S965" i="1"/>
  <c r="Q965" i="1"/>
  <c r="N965" i="1"/>
  <c r="L965" i="1"/>
  <c r="K965" i="1"/>
  <c r="AB965" i="1"/>
  <c r="I965" i="1"/>
  <c r="X964" i="1"/>
  <c r="Z964" i="1" s="1"/>
  <c r="W964" i="1"/>
  <c r="S964" i="1"/>
  <c r="Q964" i="1"/>
  <c r="N964" i="1"/>
  <c r="L964" i="1"/>
  <c r="K964" i="1"/>
  <c r="AB964" i="1"/>
  <c r="I964" i="1"/>
  <c r="X963" i="1"/>
  <c r="Z963" i="1" s="1"/>
  <c r="W963" i="1"/>
  <c r="S963" i="1"/>
  <c r="Q963" i="1"/>
  <c r="N963" i="1"/>
  <c r="L963" i="1"/>
  <c r="K963" i="1"/>
  <c r="AB963" i="1"/>
  <c r="I963" i="1"/>
  <c r="X962" i="1"/>
  <c r="Z962" i="1" s="1"/>
  <c r="W962" i="1"/>
  <c r="S962" i="1"/>
  <c r="Q962" i="1"/>
  <c r="N962" i="1"/>
  <c r="L962" i="1"/>
  <c r="K962" i="1"/>
  <c r="AB962" i="1"/>
  <c r="I962" i="1"/>
  <c r="X961" i="1"/>
  <c r="Z961" i="1" s="1"/>
  <c r="W961" i="1"/>
  <c r="S961" i="1"/>
  <c r="Q961" i="1"/>
  <c r="N961" i="1"/>
  <c r="L961" i="1"/>
  <c r="K961" i="1"/>
  <c r="AB961" i="1"/>
  <c r="I961" i="1"/>
  <c r="X960" i="1"/>
  <c r="Z960" i="1" s="1"/>
  <c r="W960" i="1"/>
  <c r="S960" i="1"/>
  <c r="Q960" i="1"/>
  <c r="N960" i="1"/>
  <c r="L960" i="1"/>
  <c r="K960" i="1"/>
  <c r="AB960" i="1"/>
  <c r="I960" i="1"/>
  <c r="X959" i="1"/>
  <c r="Z959" i="1" s="1"/>
  <c r="W959" i="1"/>
  <c r="S959" i="1"/>
  <c r="Q959" i="1"/>
  <c r="N959" i="1"/>
  <c r="L959" i="1"/>
  <c r="K959" i="1"/>
  <c r="AB959" i="1"/>
  <c r="I959" i="1"/>
  <c r="X958" i="1"/>
  <c r="Z958" i="1" s="1"/>
  <c r="W958" i="1"/>
  <c r="S958" i="1"/>
  <c r="Q958" i="1"/>
  <c r="N958" i="1"/>
  <c r="L958" i="1"/>
  <c r="K958" i="1"/>
  <c r="AB958" i="1"/>
  <c r="I958" i="1"/>
  <c r="X957" i="1"/>
  <c r="Z957" i="1" s="1"/>
  <c r="W957" i="1"/>
  <c r="S957" i="1"/>
  <c r="Q957" i="1"/>
  <c r="N957" i="1"/>
  <c r="L957" i="1"/>
  <c r="K957" i="1"/>
  <c r="AB957" i="1"/>
  <c r="I957" i="1"/>
  <c r="X956" i="1"/>
  <c r="Z956" i="1" s="1"/>
  <c r="W956" i="1"/>
  <c r="S956" i="1"/>
  <c r="Q956" i="1"/>
  <c r="N956" i="1"/>
  <c r="L956" i="1"/>
  <c r="K956" i="1"/>
  <c r="AB956" i="1"/>
  <c r="I956" i="1"/>
  <c r="X955" i="1"/>
  <c r="Z955" i="1" s="1"/>
  <c r="W955" i="1"/>
  <c r="S955" i="1"/>
  <c r="Q955" i="1"/>
  <c r="N955" i="1"/>
  <c r="L955" i="1"/>
  <c r="K955" i="1"/>
  <c r="M955" i="1" s="1"/>
  <c r="R955" i="1" s="1"/>
  <c r="AB955" i="1"/>
  <c r="I955" i="1"/>
  <c r="X954" i="1"/>
  <c r="Z954" i="1" s="1"/>
  <c r="W954" i="1"/>
  <c r="S954" i="1"/>
  <c r="Q954" i="1"/>
  <c r="N954" i="1"/>
  <c r="L954" i="1"/>
  <c r="K954" i="1"/>
  <c r="AB954" i="1"/>
  <c r="I954" i="1"/>
  <c r="X953" i="1"/>
  <c r="Z953" i="1" s="1"/>
  <c r="W953" i="1"/>
  <c r="S953" i="1"/>
  <c r="Q953" i="1"/>
  <c r="N953" i="1"/>
  <c r="L953" i="1"/>
  <c r="K953" i="1"/>
  <c r="AB953" i="1"/>
  <c r="I953" i="1"/>
  <c r="X952" i="1"/>
  <c r="Z952" i="1" s="1"/>
  <c r="W952" i="1"/>
  <c r="S952" i="1"/>
  <c r="Q952" i="1"/>
  <c r="N952" i="1"/>
  <c r="L952" i="1"/>
  <c r="K952" i="1"/>
  <c r="AB952" i="1"/>
  <c r="I952" i="1"/>
  <c r="X951" i="1"/>
  <c r="Z951" i="1" s="1"/>
  <c r="W951" i="1"/>
  <c r="S951" i="1"/>
  <c r="Q951" i="1"/>
  <c r="N951" i="1"/>
  <c r="L951" i="1"/>
  <c r="K951" i="1"/>
  <c r="AB951" i="1"/>
  <c r="I951" i="1"/>
  <c r="X950" i="1"/>
  <c r="Z950" i="1" s="1"/>
  <c r="W950" i="1"/>
  <c r="S950" i="1"/>
  <c r="Q950" i="1"/>
  <c r="N950" i="1"/>
  <c r="L950" i="1"/>
  <c r="K950" i="1"/>
  <c r="AB950" i="1"/>
  <c r="I950" i="1"/>
  <c r="X949" i="1"/>
  <c r="Z949" i="1" s="1"/>
  <c r="W949" i="1"/>
  <c r="S949" i="1"/>
  <c r="Q949" i="1"/>
  <c r="N949" i="1"/>
  <c r="L949" i="1"/>
  <c r="K949" i="1"/>
  <c r="AB949" i="1"/>
  <c r="I949" i="1"/>
  <c r="X948" i="1"/>
  <c r="Z948" i="1" s="1"/>
  <c r="W948" i="1"/>
  <c r="S948" i="1"/>
  <c r="Q948" i="1"/>
  <c r="N948" i="1"/>
  <c r="L948" i="1"/>
  <c r="K948" i="1"/>
  <c r="AB948" i="1"/>
  <c r="I948" i="1"/>
  <c r="X947" i="1"/>
  <c r="Z947" i="1" s="1"/>
  <c r="W947" i="1"/>
  <c r="S947" i="1"/>
  <c r="Q947" i="1"/>
  <c r="N947" i="1"/>
  <c r="L947" i="1"/>
  <c r="K947" i="1"/>
  <c r="AB947" i="1"/>
  <c r="I947" i="1"/>
  <c r="X946" i="1"/>
  <c r="Z946" i="1" s="1"/>
  <c r="W946" i="1"/>
  <c r="S946" i="1"/>
  <c r="Q946" i="1"/>
  <c r="N946" i="1"/>
  <c r="L946" i="1"/>
  <c r="K946" i="1"/>
  <c r="AB946" i="1"/>
  <c r="I946" i="1"/>
  <c r="X945" i="1"/>
  <c r="Z945" i="1" s="1"/>
  <c r="W945" i="1"/>
  <c r="S945" i="1"/>
  <c r="Q945" i="1"/>
  <c r="N945" i="1"/>
  <c r="L945" i="1"/>
  <c r="K945" i="1"/>
  <c r="AB945" i="1"/>
  <c r="I945" i="1"/>
  <c r="X944" i="1"/>
  <c r="Z944" i="1" s="1"/>
  <c r="W944" i="1"/>
  <c r="S944" i="1"/>
  <c r="Q944" i="1"/>
  <c r="N944" i="1"/>
  <c r="L944" i="1"/>
  <c r="K944" i="1"/>
  <c r="AB944" i="1"/>
  <c r="I944" i="1"/>
  <c r="X943" i="1"/>
  <c r="Z943" i="1" s="1"/>
  <c r="W943" i="1"/>
  <c r="S943" i="1"/>
  <c r="Q943" i="1"/>
  <c r="N943" i="1"/>
  <c r="L943" i="1"/>
  <c r="K943" i="1"/>
  <c r="AB943" i="1"/>
  <c r="I943" i="1"/>
  <c r="X942" i="1"/>
  <c r="Z942" i="1" s="1"/>
  <c r="W942" i="1"/>
  <c r="S942" i="1"/>
  <c r="Q942" i="1"/>
  <c r="N942" i="1"/>
  <c r="L942" i="1"/>
  <c r="K942" i="1"/>
  <c r="AB942" i="1"/>
  <c r="I942" i="1"/>
  <c r="X941" i="1"/>
  <c r="Z941" i="1" s="1"/>
  <c r="W941" i="1"/>
  <c r="S941" i="1"/>
  <c r="Q941" i="1"/>
  <c r="N941" i="1"/>
  <c r="L941" i="1"/>
  <c r="K941" i="1"/>
  <c r="AB941" i="1"/>
  <c r="I941" i="1"/>
  <c r="X940" i="1"/>
  <c r="Z940" i="1" s="1"/>
  <c r="W940" i="1"/>
  <c r="S940" i="1"/>
  <c r="Q940" i="1"/>
  <c r="N940" i="1"/>
  <c r="L940" i="1"/>
  <c r="K940" i="1"/>
  <c r="AB940" i="1"/>
  <c r="I940" i="1"/>
  <c r="X939" i="1"/>
  <c r="Z939" i="1" s="1"/>
  <c r="W939" i="1"/>
  <c r="S939" i="1"/>
  <c r="Q939" i="1"/>
  <c r="N939" i="1"/>
  <c r="L939" i="1"/>
  <c r="K939" i="1"/>
  <c r="AB939" i="1"/>
  <c r="I939" i="1"/>
  <c r="X938" i="1"/>
  <c r="Z938" i="1" s="1"/>
  <c r="W938" i="1"/>
  <c r="S938" i="1"/>
  <c r="Q938" i="1"/>
  <c r="N938" i="1"/>
  <c r="L938" i="1"/>
  <c r="K938" i="1"/>
  <c r="AB938" i="1"/>
  <c r="I938" i="1"/>
  <c r="X937" i="1"/>
  <c r="Z937" i="1" s="1"/>
  <c r="W937" i="1"/>
  <c r="S937" i="1"/>
  <c r="Q937" i="1"/>
  <c r="N937" i="1"/>
  <c r="L937" i="1"/>
  <c r="K937" i="1"/>
  <c r="AB937" i="1"/>
  <c r="I937" i="1"/>
  <c r="X936" i="1"/>
  <c r="Z936" i="1" s="1"/>
  <c r="W936" i="1"/>
  <c r="S936" i="1"/>
  <c r="Q936" i="1"/>
  <c r="N936" i="1"/>
  <c r="L936" i="1"/>
  <c r="K936" i="1"/>
  <c r="AB936" i="1"/>
  <c r="I936" i="1"/>
  <c r="X935" i="1"/>
  <c r="Z935" i="1" s="1"/>
  <c r="W935" i="1"/>
  <c r="S935" i="1"/>
  <c r="Q935" i="1"/>
  <c r="N935" i="1"/>
  <c r="L935" i="1"/>
  <c r="K935" i="1"/>
  <c r="AB935" i="1"/>
  <c r="I935" i="1"/>
  <c r="X934" i="1"/>
  <c r="Z934" i="1" s="1"/>
  <c r="W934" i="1"/>
  <c r="S934" i="1"/>
  <c r="Q934" i="1"/>
  <c r="N934" i="1"/>
  <c r="L934" i="1"/>
  <c r="K934" i="1"/>
  <c r="AB934" i="1"/>
  <c r="I934" i="1"/>
  <c r="X933" i="1"/>
  <c r="Z933" i="1" s="1"/>
  <c r="W933" i="1"/>
  <c r="S933" i="1"/>
  <c r="Q933" i="1"/>
  <c r="N933" i="1"/>
  <c r="L933" i="1"/>
  <c r="K933" i="1"/>
  <c r="AB933" i="1"/>
  <c r="I933" i="1"/>
  <c r="X932" i="1"/>
  <c r="Z932" i="1" s="1"/>
  <c r="W932" i="1"/>
  <c r="S932" i="1"/>
  <c r="Q932" i="1"/>
  <c r="N932" i="1"/>
  <c r="L932" i="1"/>
  <c r="K932" i="1"/>
  <c r="AB932" i="1"/>
  <c r="I932" i="1"/>
  <c r="X931" i="1"/>
  <c r="Z931" i="1" s="1"/>
  <c r="W931" i="1"/>
  <c r="S931" i="1"/>
  <c r="Q931" i="1"/>
  <c r="N931" i="1"/>
  <c r="L931" i="1"/>
  <c r="K931" i="1"/>
  <c r="AB931" i="1"/>
  <c r="I931" i="1"/>
  <c r="X930" i="1"/>
  <c r="Z930" i="1" s="1"/>
  <c r="W930" i="1"/>
  <c r="S930" i="1"/>
  <c r="Q930" i="1"/>
  <c r="N930" i="1"/>
  <c r="L930" i="1"/>
  <c r="K930" i="1"/>
  <c r="AB930" i="1"/>
  <c r="I930" i="1"/>
  <c r="X929" i="1"/>
  <c r="Z929" i="1" s="1"/>
  <c r="W929" i="1"/>
  <c r="S929" i="1"/>
  <c r="Q929" i="1"/>
  <c r="N929" i="1"/>
  <c r="L929" i="1"/>
  <c r="K929" i="1"/>
  <c r="AB929" i="1"/>
  <c r="I929" i="1"/>
  <c r="X928" i="1"/>
  <c r="Z928" i="1" s="1"/>
  <c r="W928" i="1"/>
  <c r="S928" i="1"/>
  <c r="Q928" i="1"/>
  <c r="N928" i="1"/>
  <c r="L928" i="1"/>
  <c r="K928" i="1"/>
  <c r="AB928" i="1"/>
  <c r="I928" i="1"/>
  <c r="X927" i="1"/>
  <c r="Z927" i="1" s="1"/>
  <c r="W927" i="1"/>
  <c r="S927" i="1"/>
  <c r="Q927" i="1"/>
  <c r="N927" i="1"/>
  <c r="L927" i="1"/>
  <c r="K927" i="1"/>
  <c r="AB927" i="1"/>
  <c r="I927" i="1"/>
  <c r="X926" i="1"/>
  <c r="Z926" i="1" s="1"/>
  <c r="W926" i="1"/>
  <c r="S926" i="1"/>
  <c r="Q926" i="1"/>
  <c r="N926" i="1"/>
  <c r="L926" i="1"/>
  <c r="K926" i="1"/>
  <c r="AB926" i="1"/>
  <c r="I926" i="1"/>
  <c r="X925" i="1"/>
  <c r="Z925" i="1" s="1"/>
  <c r="W925" i="1"/>
  <c r="S925" i="1"/>
  <c r="Q925" i="1"/>
  <c r="N925" i="1"/>
  <c r="L925" i="1"/>
  <c r="K925" i="1"/>
  <c r="AB925" i="1"/>
  <c r="I925" i="1"/>
  <c r="X924" i="1"/>
  <c r="Z924" i="1" s="1"/>
  <c r="W924" i="1"/>
  <c r="S924" i="1"/>
  <c r="Q924" i="1"/>
  <c r="N924" i="1"/>
  <c r="L924" i="1"/>
  <c r="K924" i="1"/>
  <c r="AB924" i="1"/>
  <c r="I924" i="1"/>
  <c r="X923" i="1"/>
  <c r="Z923" i="1" s="1"/>
  <c r="W923" i="1"/>
  <c r="S923" i="1"/>
  <c r="Q923" i="1"/>
  <c r="N923" i="1"/>
  <c r="L923" i="1"/>
  <c r="K923" i="1"/>
  <c r="AB923" i="1"/>
  <c r="I923" i="1"/>
  <c r="X922" i="1"/>
  <c r="Z922" i="1" s="1"/>
  <c r="W922" i="1"/>
  <c r="S922" i="1"/>
  <c r="Q922" i="1"/>
  <c r="N922" i="1"/>
  <c r="L922" i="1"/>
  <c r="K922" i="1"/>
  <c r="AB922" i="1"/>
  <c r="I922" i="1"/>
  <c r="X921" i="1"/>
  <c r="Z921" i="1" s="1"/>
  <c r="W921" i="1"/>
  <c r="S921" i="1"/>
  <c r="Q921" i="1"/>
  <c r="N921" i="1"/>
  <c r="L921" i="1"/>
  <c r="K921" i="1"/>
  <c r="AB921" i="1"/>
  <c r="I921" i="1"/>
  <c r="X920" i="1"/>
  <c r="Z920" i="1" s="1"/>
  <c r="W920" i="1"/>
  <c r="S920" i="1"/>
  <c r="Q920" i="1"/>
  <c r="N920" i="1"/>
  <c r="L920" i="1"/>
  <c r="K920" i="1"/>
  <c r="AB920" i="1"/>
  <c r="I920" i="1"/>
  <c r="X919" i="1"/>
  <c r="Z919" i="1" s="1"/>
  <c r="W919" i="1"/>
  <c r="S919" i="1"/>
  <c r="Q919" i="1"/>
  <c r="N919" i="1"/>
  <c r="L919" i="1"/>
  <c r="K919" i="1"/>
  <c r="AB919" i="1"/>
  <c r="I919" i="1"/>
  <c r="X918" i="1"/>
  <c r="Z918" i="1" s="1"/>
  <c r="W918" i="1"/>
  <c r="S918" i="1"/>
  <c r="Q918" i="1"/>
  <c r="N918" i="1"/>
  <c r="L918" i="1"/>
  <c r="K918" i="1"/>
  <c r="AB918" i="1"/>
  <c r="I918" i="1"/>
  <c r="X917" i="1"/>
  <c r="Z917" i="1" s="1"/>
  <c r="W917" i="1"/>
  <c r="S917" i="1"/>
  <c r="Q917" i="1"/>
  <c r="N917" i="1"/>
  <c r="L917" i="1"/>
  <c r="K917" i="1"/>
  <c r="AB917" i="1"/>
  <c r="I917" i="1"/>
  <c r="X916" i="1"/>
  <c r="Z916" i="1" s="1"/>
  <c r="W916" i="1"/>
  <c r="S916" i="1"/>
  <c r="Q916" i="1"/>
  <c r="N916" i="1"/>
  <c r="L916" i="1"/>
  <c r="K916" i="1"/>
  <c r="AB916" i="1"/>
  <c r="I916" i="1"/>
  <c r="X915" i="1"/>
  <c r="Z915" i="1" s="1"/>
  <c r="W915" i="1"/>
  <c r="S915" i="1"/>
  <c r="Q915" i="1"/>
  <c r="N915" i="1"/>
  <c r="L915" i="1"/>
  <c r="K915" i="1"/>
  <c r="AB915" i="1"/>
  <c r="I915" i="1"/>
  <c r="X914" i="1"/>
  <c r="Z914" i="1" s="1"/>
  <c r="W914" i="1"/>
  <c r="S914" i="1"/>
  <c r="Q914" i="1"/>
  <c r="N914" i="1"/>
  <c r="L914" i="1"/>
  <c r="K914" i="1"/>
  <c r="AB914" i="1"/>
  <c r="I914" i="1"/>
  <c r="X913" i="1"/>
  <c r="Z913" i="1" s="1"/>
  <c r="W913" i="1"/>
  <c r="S913" i="1"/>
  <c r="Q913" i="1"/>
  <c r="N913" i="1"/>
  <c r="L913" i="1"/>
  <c r="K913" i="1"/>
  <c r="AB913" i="1"/>
  <c r="I913" i="1"/>
  <c r="X912" i="1"/>
  <c r="Z912" i="1" s="1"/>
  <c r="W912" i="1"/>
  <c r="S912" i="1"/>
  <c r="Q912" i="1"/>
  <c r="N912" i="1"/>
  <c r="L912" i="1"/>
  <c r="K912" i="1"/>
  <c r="AB912" i="1"/>
  <c r="I912" i="1"/>
  <c r="X911" i="1"/>
  <c r="Z911" i="1" s="1"/>
  <c r="W911" i="1"/>
  <c r="S911" i="1"/>
  <c r="Q911" i="1"/>
  <c r="N911" i="1"/>
  <c r="L911" i="1"/>
  <c r="K911" i="1"/>
  <c r="AB911" i="1"/>
  <c r="I911" i="1"/>
  <c r="X910" i="1"/>
  <c r="Z910" i="1" s="1"/>
  <c r="W910" i="1"/>
  <c r="S910" i="1"/>
  <c r="Q910" i="1"/>
  <c r="N910" i="1"/>
  <c r="L910" i="1"/>
  <c r="K910" i="1"/>
  <c r="AB910" i="1"/>
  <c r="I910" i="1"/>
  <c r="X909" i="1"/>
  <c r="Z909" i="1" s="1"/>
  <c r="W909" i="1"/>
  <c r="S909" i="1"/>
  <c r="Q909" i="1"/>
  <c r="N909" i="1"/>
  <c r="L909" i="1"/>
  <c r="K909" i="1"/>
  <c r="AB909" i="1"/>
  <c r="I909" i="1"/>
  <c r="X908" i="1"/>
  <c r="Z908" i="1" s="1"/>
  <c r="W908" i="1"/>
  <c r="S908" i="1"/>
  <c r="Q908" i="1"/>
  <c r="N908" i="1"/>
  <c r="L908" i="1"/>
  <c r="K908" i="1"/>
  <c r="AB908" i="1"/>
  <c r="I908" i="1"/>
  <c r="X907" i="1"/>
  <c r="Z907" i="1" s="1"/>
  <c r="W907" i="1"/>
  <c r="S907" i="1"/>
  <c r="Q907" i="1"/>
  <c r="N907" i="1"/>
  <c r="L907" i="1"/>
  <c r="K907" i="1"/>
  <c r="AB907" i="1"/>
  <c r="I907" i="1"/>
  <c r="X906" i="1"/>
  <c r="Z906" i="1" s="1"/>
  <c r="W906" i="1"/>
  <c r="S906" i="1"/>
  <c r="Q906" i="1"/>
  <c r="N906" i="1"/>
  <c r="L906" i="1"/>
  <c r="K906" i="1"/>
  <c r="AB906" i="1"/>
  <c r="I906" i="1"/>
  <c r="X905" i="1"/>
  <c r="Z905" i="1" s="1"/>
  <c r="W905" i="1"/>
  <c r="S905" i="1"/>
  <c r="Q905" i="1"/>
  <c r="N905" i="1"/>
  <c r="L905" i="1"/>
  <c r="K905" i="1"/>
  <c r="AB905" i="1"/>
  <c r="I905" i="1"/>
  <c r="X904" i="1"/>
  <c r="Z904" i="1" s="1"/>
  <c r="W904" i="1"/>
  <c r="S904" i="1"/>
  <c r="Q904" i="1"/>
  <c r="N904" i="1"/>
  <c r="L904" i="1"/>
  <c r="K904" i="1"/>
  <c r="AB904" i="1"/>
  <c r="I904" i="1"/>
  <c r="X903" i="1"/>
  <c r="Z903" i="1" s="1"/>
  <c r="W903" i="1"/>
  <c r="S903" i="1"/>
  <c r="Q903" i="1"/>
  <c r="N903" i="1"/>
  <c r="L903" i="1"/>
  <c r="K903" i="1"/>
  <c r="AB903" i="1"/>
  <c r="I903" i="1"/>
  <c r="X902" i="1"/>
  <c r="Z902" i="1" s="1"/>
  <c r="W902" i="1"/>
  <c r="S902" i="1"/>
  <c r="Q902" i="1"/>
  <c r="N902" i="1"/>
  <c r="L902" i="1"/>
  <c r="K902" i="1"/>
  <c r="AB902" i="1"/>
  <c r="I902" i="1"/>
  <c r="X901" i="1"/>
  <c r="Z901" i="1" s="1"/>
  <c r="W901" i="1"/>
  <c r="S901" i="1"/>
  <c r="Q901" i="1"/>
  <c r="N901" i="1"/>
  <c r="L901" i="1"/>
  <c r="K901" i="1"/>
  <c r="AB901" i="1"/>
  <c r="I901" i="1"/>
  <c r="X900" i="1"/>
  <c r="Z900" i="1" s="1"/>
  <c r="W900" i="1"/>
  <c r="S900" i="1"/>
  <c r="Q900" i="1"/>
  <c r="N900" i="1"/>
  <c r="L900" i="1"/>
  <c r="K900" i="1"/>
  <c r="AB900" i="1"/>
  <c r="I900" i="1"/>
  <c r="X899" i="1"/>
  <c r="Z899" i="1" s="1"/>
  <c r="W899" i="1"/>
  <c r="S899" i="1"/>
  <c r="Q899" i="1"/>
  <c r="N899" i="1"/>
  <c r="L899" i="1"/>
  <c r="K899" i="1"/>
  <c r="AB899" i="1"/>
  <c r="I899" i="1"/>
  <c r="X898" i="1"/>
  <c r="Z898" i="1" s="1"/>
  <c r="W898" i="1"/>
  <c r="S898" i="1"/>
  <c r="Q898" i="1"/>
  <c r="N898" i="1"/>
  <c r="L898" i="1"/>
  <c r="K898" i="1"/>
  <c r="AB898" i="1"/>
  <c r="I898" i="1"/>
  <c r="X897" i="1"/>
  <c r="Z897" i="1" s="1"/>
  <c r="W897" i="1"/>
  <c r="S897" i="1"/>
  <c r="Q897" i="1"/>
  <c r="N897" i="1"/>
  <c r="L897" i="1"/>
  <c r="K897" i="1"/>
  <c r="AB897" i="1"/>
  <c r="I897" i="1"/>
  <c r="X896" i="1"/>
  <c r="Z896" i="1" s="1"/>
  <c r="W896" i="1"/>
  <c r="S896" i="1"/>
  <c r="Q896" i="1"/>
  <c r="N896" i="1"/>
  <c r="L896" i="1"/>
  <c r="K896" i="1"/>
  <c r="AB896" i="1"/>
  <c r="I896" i="1"/>
  <c r="X895" i="1"/>
  <c r="Z895" i="1" s="1"/>
  <c r="W895" i="1"/>
  <c r="S895" i="1"/>
  <c r="Q895" i="1"/>
  <c r="N895" i="1"/>
  <c r="L895" i="1"/>
  <c r="K895" i="1"/>
  <c r="AB895" i="1"/>
  <c r="I895" i="1"/>
  <c r="X894" i="1"/>
  <c r="Z894" i="1" s="1"/>
  <c r="W894" i="1"/>
  <c r="S894" i="1"/>
  <c r="Q894" i="1"/>
  <c r="N894" i="1"/>
  <c r="L894" i="1"/>
  <c r="K894" i="1"/>
  <c r="AB894" i="1"/>
  <c r="I894" i="1"/>
  <c r="X893" i="1"/>
  <c r="Z893" i="1" s="1"/>
  <c r="W893" i="1"/>
  <c r="S893" i="1"/>
  <c r="Q893" i="1"/>
  <c r="N893" i="1"/>
  <c r="L893" i="1"/>
  <c r="K893" i="1"/>
  <c r="AB893" i="1"/>
  <c r="I893" i="1"/>
  <c r="X892" i="1"/>
  <c r="Z892" i="1" s="1"/>
  <c r="W892" i="1"/>
  <c r="S892" i="1"/>
  <c r="Q892" i="1"/>
  <c r="N892" i="1"/>
  <c r="L892" i="1"/>
  <c r="K892" i="1"/>
  <c r="AB892" i="1"/>
  <c r="I892" i="1"/>
  <c r="X891" i="1"/>
  <c r="Z891" i="1" s="1"/>
  <c r="W891" i="1"/>
  <c r="S891" i="1"/>
  <c r="Q891" i="1"/>
  <c r="N891" i="1"/>
  <c r="L891" i="1"/>
  <c r="K891" i="1"/>
  <c r="AB891" i="1"/>
  <c r="I891" i="1"/>
  <c r="X890" i="1"/>
  <c r="Z890" i="1" s="1"/>
  <c r="W890" i="1"/>
  <c r="S890" i="1"/>
  <c r="Q890" i="1"/>
  <c r="N890" i="1"/>
  <c r="L890" i="1"/>
  <c r="K890" i="1"/>
  <c r="AB890" i="1"/>
  <c r="I890" i="1"/>
  <c r="X889" i="1"/>
  <c r="Z889" i="1" s="1"/>
  <c r="W889" i="1"/>
  <c r="S889" i="1"/>
  <c r="Q889" i="1"/>
  <c r="N889" i="1"/>
  <c r="L889" i="1"/>
  <c r="K889" i="1"/>
  <c r="AB889" i="1"/>
  <c r="I889" i="1"/>
  <c r="X888" i="1"/>
  <c r="Z888" i="1" s="1"/>
  <c r="W888" i="1"/>
  <c r="S888" i="1"/>
  <c r="Q888" i="1"/>
  <c r="N888" i="1"/>
  <c r="L888" i="1"/>
  <c r="K888" i="1"/>
  <c r="AB888" i="1"/>
  <c r="I888" i="1"/>
  <c r="X887" i="1"/>
  <c r="Z887" i="1" s="1"/>
  <c r="W887" i="1"/>
  <c r="S887" i="1"/>
  <c r="Q887" i="1"/>
  <c r="N887" i="1"/>
  <c r="L887" i="1"/>
  <c r="K887" i="1"/>
  <c r="AB887" i="1"/>
  <c r="I887" i="1"/>
  <c r="X886" i="1"/>
  <c r="Z886" i="1" s="1"/>
  <c r="W886" i="1"/>
  <c r="S886" i="1"/>
  <c r="Q886" i="1"/>
  <c r="N886" i="1"/>
  <c r="L886" i="1"/>
  <c r="K886" i="1"/>
  <c r="AB886" i="1"/>
  <c r="I886" i="1"/>
  <c r="X885" i="1"/>
  <c r="Z885" i="1" s="1"/>
  <c r="W885" i="1"/>
  <c r="S885" i="1"/>
  <c r="Q885" i="1"/>
  <c r="N885" i="1"/>
  <c r="L885" i="1"/>
  <c r="K885" i="1"/>
  <c r="AB885" i="1"/>
  <c r="I885" i="1"/>
  <c r="X884" i="1"/>
  <c r="Z884" i="1" s="1"/>
  <c r="W884" i="1"/>
  <c r="S884" i="1"/>
  <c r="Q884" i="1"/>
  <c r="N884" i="1"/>
  <c r="L884" i="1"/>
  <c r="K884" i="1"/>
  <c r="AB884" i="1"/>
  <c r="I884" i="1"/>
  <c r="X883" i="1"/>
  <c r="Z883" i="1" s="1"/>
  <c r="W883" i="1"/>
  <c r="S883" i="1"/>
  <c r="Q883" i="1"/>
  <c r="N883" i="1"/>
  <c r="L883" i="1"/>
  <c r="K883" i="1"/>
  <c r="AB883" i="1"/>
  <c r="I883" i="1"/>
  <c r="X882" i="1"/>
  <c r="Z882" i="1" s="1"/>
  <c r="W882" i="1"/>
  <c r="S882" i="1"/>
  <c r="Q882" i="1"/>
  <c r="N882" i="1"/>
  <c r="L882" i="1"/>
  <c r="K882" i="1"/>
  <c r="AB882" i="1"/>
  <c r="I882" i="1"/>
  <c r="X881" i="1"/>
  <c r="Z881" i="1" s="1"/>
  <c r="W881" i="1"/>
  <c r="S881" i="1"/>
  <c r="Q881" i="1"/>
  <c r="N881" i="1"/>
  <c r="L881" i="1"/>
  <c r="K881" i="1"/>
  <c r="AB881" i="1"/>
  <c r="I881" i="1"/>
  <c r="X880" i="1"/>
  <c r="Z880" i="1" s="1"/>
  <c r="W880" i="1"/>
  <c r="S880" i="1"/>
  <c r="Q880" i="1"/>
  <c r="N880" i="1"/>
  <c r="L880" i="1"/>
  <c r="K880" i="1"/>
  <c r="AB880" i="1"/>
  <c r="I880" i="1"/>
  <c r="X879" i="1"/>
  <c r="Z879" i="1" s="1"/>
  <c r="W879" i="1"/>
  <c r="S879" i="1"/>
  <c r="Q879" i="1"/>
  <c r="N879" i="1"/>
  <c r="L879" i="1"/>
  <c r="K879" i="1"/>
  <c r="AB879" i="1"/>
  <c r="I879" i="1"/>
  <c r="X878" i="1"/>
  <c r="Z878" i="1" s="1"/>
  <c r="W878" i="1"/>
  <c r="S878" i="1"/>
  <c r="Q878" i="1"/>
  <c r="N878" i="1"/>
  <c r="L878" i="1"/>
  <c r="K878" i="1"/>
  <c r="AB878" i="1"/>
  <c r="I878" i="1"/>
  <c r="X877" i="1"/>
  <c r="Z877" i="1" s="1"/>
  <c r="W877" i="1"/>
  <c r="S877" i="1"/>
  <c r="Q877" i="1"/>
  <c r="N877" i="1"/>
  <c r="L877" i="1"/>
  <c r="K877" i="1"/>
  <c r="AB877" i="1"/>
  <c r="I877" i="1"/>
  <c r="X876" i="1"/>
  <c r="Z876" i="1" s="1"/>
  <c r="W876" i="1"/>
  <c r="S876" i="1"/>
  <c r="Q876" i="1"/>
  <c r="N876" i="1"/>
  <c r="L876" i="1"/>
  <c r="K876" i="1"/>
  <c r="AB876" i="1"/>
  <c r="I876" i="1"/>
  <c r="X875" i="1"/>
  <c r="Z875" i="1" s="1"/>
  <c r="W875" i="1"/>
  <c r="S875" i="1"/>
  <c r="Q875" i="1"/>
  <c r="N875" i="1"/>
  <c r="L875" i="1"/>
  <c r="K875" i="1"/>
  <c r="AB875" i="1"/>
  <c r="I875" i="1"/>
  <c r="X874" i="1"/>
  <c r="Z874" i="1" s="1"/>
  <c r="W874" i="1"/>
  <c r="S874" i="1"/>
  <c r="Q874" i="1"/>
  <c r="N874" i="1"/>
  <c r="L874" i="1"/>
  <c r="K874" i="1"/>
  <c r="AB874" i="1"/>
  <c r="I874" i="1"/>
  <c r="X873" i="1"/>
  <c r="Z873" i="1" s="1"/>
  <c r="W873" i="1"/>
  <c r="S873" i="1"/>
  <c r="Q873" i="1"/>
  <c r="N873" i="1"/>
  <c r="L873" i="1"/>
  <c r="K873" i="1"/>
  <c r="AB873" i="1"/>
  <c r="I873" i="1"/>
  <c r="X872" i="1"/>
  <c r="Z872" i="1" s="1"/>
  <c r="W872" i="1"/>
  <c r="S872" i="1"/>
  <c r="Q872" i="1"/>
  <c r="N872" i="1"/>
  <c r="L872" i="1"/>
  <c r="K872" i="1"/>
  <c r="AB872" i="1"/>
  <c r="I872" i="1"/>
  <c r="X871" i="1"/>
  <c r="Z871" i="1" s="1"/>
  <c r="W871" i="1"/>
  <c r="S871" i="1"/>
  <c r="Q871" i="1"/>
  <c r="N871" i="1"/>
  <c r="L871" i="1"/>
  <c r="K871" i="1"/>
  <c r="AB871" i="1"/>
  <c r="I871" i="1"/>
  <c r="X870" i="1"/>
  <c r="Z870" i="1" s="1"/>
  <c r="W870" i="1"/>
  <c r="S870" i="1"/>
  <c r="Q870" i="1"/>
  <c r="N870" i="1"/>
  <c r="L870" i="1"/>
  <c r="K870" i="1"/>
  <c r="AB870" i="1"/>
  <c r="I870" i="1"/>
  <c r="X869" i="1"/>
  <c r="Z869" i="1" s="1"/>
  <c r="W869" i="1"/>
  <c r="S869" i="1"/>
  <c r="Q869" i="1"/>
  <c r="N869" i="1"/>
  <c r="L869" i="1"/>
  <c r="K869" i="1"/>
  <c r="AB869" i="1"/>
  <c r="I869" i="1"/>
  <c r="X868" i="1"/>
  <c r="Z868" i="1" s="1"/>
  <c r="W868" i="1"/>
  <c r="S868" i="1"/>
  <c r="Q868" i="1"/>
  <c r="N868" i="1"/>
  <c r="L868" i="1"/>
  <c r="K868" i="1"/>
  <c r="AB868" i="1"/>
  <c r="I868" i="1"/>
  <c r="X867" i="1"/>
  <c r="Z867" i="1" s="1"/>
  <c r="W867" i="1"/>
  <c r="S867" i="1"/>
  <c r="Q867" i="1"/>
  <c r="N867" i="1"/>
  <c r="L867" i="1"/>
  <c r="K867" i="1"/>
  <c r="AB867" i="1"/>
  <c r="I867" i="1"/>
  <c r="X866" i="1"/>
  <c r="Z866" i="1" s="1"/>
  <c r="W866" i="1"/>
  <c r="S866" i="1"/>
  <c r="Q866" i="1"/>
  <c r="N866" i="1"/>
  <c r="L866" i="1"/>
  <c r="K866" i="1"/>
  <c r="AB866" i="1"/>
  <c r="I866" i="1"/>
  <c r="X865" i="1"/>
  <c r="Z865" i="1" s="1"/>
  <c r="W865" i="1"/>
  <c r="S865" i="1"/>
  <c r="Q865" i="1"/>
  <c r="N865" i="1"/>
  <c r="L865" i="1"/>
  <c r="K865" i="1"/>
  <c r="AB865" i="1"/>
  <c r="I865" i="1"/>
  <c r="X864" i="1"/>
  <c r="Z864" i="1" s="1"/>
  <c r="W864" i="1"/>
  <c r="S864" i="1"/>
  <c r="Q864" i="1"/>
  <c r="N864" i="1"/>
  <c r="L864" i="1"/>
  <c r="K864" i="1"/>
  <c r="AB864" i="1"/>
  <c r="I864" i="1"/>
  <c r="X863" i="1"/>
  <c r="Z863" i="1" s="1"/>
  <c r="W863" i="1"/>
  <c r="S863" i="1"/>
  <c r="Q863" i="1"/>
  <c r="N863" i="1"/>
  <c r="L863" i="1"/>
  <c r="K863" i="1"/>
  <c r="AB863" i="1"/>
  <c r="I863" i="1"/>
  <c r="X862" i="1"/>
  <c r="Z862" i="1" s="1"/>
  <c r="W862" i="1"/>
  <c r="S862" i="1"/>
  <c r="Q862" i="1"/>
  <c r="N862" i="1"/>
  <c r="L862" i="1"/>
  <c r="K862" i="1"/>
  <c r="AB862" i="1"/>
  <c r="I862" i="1"/>
  <c r="X861" i="1"/>
  <c r="Z861" i="1" s="1"/>
  <c r="W861" i="1"/>
  <c r="S861" i="1"/>
  <c r="Q861" i="1"/>
  <c r="N861" i="1"/>
  <c r="L861" i="1"/>
  <c r="K861" i="1"/>
  <c r="AB861" i="1"/>
  <c r="I861" i="1"/>
  <c r="X860" i="1"/>
  <c r="Z860" i="1" s="1"/>
  <c r="W860" i="1"/>
  <c r="S860" i="1"/>
  <c r="Q860" i="1"/>
  <c r="N860" i="1"/>
  <c r="L860" i="1"/>
  <c r="K860" i="1"/>
  <c r="AB860" i="1"/>
  <c r="I860" i="1"/>
  <c r="X859" i="1"/>
  <c r="Z859" i="1" s="1"/>
  <c r="W859" i="1"/>
  <c r="S859" i="1"/>
  <c r="Q859" i="1"/>
  <c r="N859" i="1"/>
  <c r="L859" i="1"/>
  <c r="K859" i="1"/>
  <c r="AB859" i="1"/>
  <c r="I859" i="1"/>
  <c r="X858" i="1"/>
  <c r="Z858" i="1" s="1"/>
  <c r="W858" i="1"/>
  <c r="S858" i="1"/>
  <c r="Q858" i="1"/>
  <c r="N858" i="1"/>
  <c r="L858" i="1"/>
  <c r="K858" i="1"/>
  <c r="AB858" i="1"/>
  <c r="I858" i="1"/>
  <c r="X857" i="1"/>
  <c r="Z857" i="1" s="1"/>
  <c r="W857" i="1"/>
  <c r="S857" i="1"/>
  <c r="Q857" i="1"/>
  <c r="N857" i="1"/>
  <c r="L857" i="1"/>
  <c r="K857" i="1"/>
  <c r="AB857" i="1"/>
  <c r="I857" i="1"/>
  <c r="X856" i="1"/>
  <c r="Z856" i="1" s="1"/>
  <c r="W856" i="1"/>
  <c r="S856" i="1"/>
  <c r="Q856" i="1"/>
  <c r="N856" i="1"/>
  <c r="L856" i="1"/>
  <c r="K856" i="1"/>
  <c r="AB856" i="1"/>
  <c r="I856" i="1"/>
  <c r="X855" i="1"/>
  <c r="Z855" i="1" s="1"/>
  <c r="W855" i="1"/>
  <c r="S855" i="1"/>
  <c r="Q855" i="1"/>
  <c r="N855" i="1"/>
  <c r="L855" i="1"/>
  <c r="K855" i="1"/>
  <c r="AB855" i="1"/>
  <c r="I855" i="1"/>
  <c r="X854" i="1"/>
  <c r="Z854" i="1" s="1"/>
  <c r="W854" i="1"/>
  <c r="S854" i="1"/>
  <c r="Q854" i="1"/>
  <c r="N854" i="1"/>
  <c r="L854" i="1"/>
  <c r="K854" i="1"/>
  <c r="AB854" i="1"/>
  <c r="I854" i="1"/>
  <c r="X853" i="1"/>
  <c r="Z853" i="1" s="1"/>
  <c r="W853" i="1"/>
  <c r="S853" i="1"/>
  <c r="Q853" i="1"/>
  <c r="N853" i="1"/>
  <c r="L853" i="1"/>
  <c r="K853" i="1"/>
  <c r="AB853" i="1"/>
  <c r="I853" i="1"/>
  <c r="X852" i="1"/>
  <c r="Z852" i="1" s="1"/>
  <c r="W852" i="1"/>
  <c r="S852" i="1"/>
  <c r="Q852" i="1"/>
  <c r="N852" i="1"/>
  <c r="L852" i="1"/>
  <c r="K852" i="1"/>
  <c r="AB852" i="1"/>
  <c r="I852" i="1"/>
  <c r="X851" i="1"/>
  <c r="Z851" i="1" s="1"/>
  <c r="W851" i="1"/>
  <c r="S851" i="1"/>
  <c r="Q851" i="1"/>
  <c r="N851" i="1"/>
  <c r="L851" i="1"/>
  <c r="K851" i="1"/>
  <c r="AB851" i="1"/>
  <c r="I851" i="1"/>
  <c r="X850" i="1"/>
  <c r="Z850" i="1" s="1"/>
  <c r="W850" i="1"/>
  <c r="S850" i="1"/>
  <c r="Q850" i="1"/>
  <c r="N850" i="1"/>
  <c r="L850" i="1"/>
  <c r="K850" i="1"/>
  <c r="AB850" i="1"/>
  <c r="I850" i="1"/>
  <c r="X849" i="1"/>
  <c r="Z849" i="1" s="1"/>
  <c r="W849" i="1"/>
  <c r="S849" i="1"/>
  <c r="Q849" i="1"/>
  <c r="N849" i="1"/>
  <c r="L849" i="1"/>
  <c r="K849" i="1"/>
  <c r="AB849" i="1"/>
  <c r="I849" i="1"/>
  <c r="X848" i="1"/>
  <c r="Z848" i="1" s="1"/>
  <c r="W848" i="1"/>
  <c r="S848" i="1"/>
  <c r="Q848" i="1"/>
  <c r="N848" i="1"/>
  <c r="L848" i="1"/>
  <c r="K848" i="1"/>
  <c r="AB848" i="1"/>
  <c r="I848" i="1"/>
  <c r="X847" i="1"/>
  <c r="Z847" i="1" s="1"/>
  <c r="W847" i="1"/>
  <c r="S847" i="1"/>
  <c r="Q847" i="1"/>
  <c r="N847" i="1"/>
  <c r="L847" i="1"/>
  <c r="K847" i="1"/>
  <c r="AB847" i="1"/>
  <c r="I847" i="1"/>
  <c r="X846" i="1"/>
  <c r="Z846" i="1" s="1"/>
  <c r="W846" i="1"/>
  <c r="S846" i="1"/>
  <c r="Q846" i="1"/>
  <c r="N846" i="1"/>
  <c r="L846" i="1"/>
  <c r="K846" i="1"/>
  <c r="AB846" i="1"/>
  <c r="I846" i="1"/>
  <c r="X845" i="1"/>
  <c r="Z845" i="1" s="1"/>
  <c r="W845" i="1"/>
  <c r="S845" i="1"/>
  <c r="Q845" i="1"/>
  <c r="N845" i="1"/>
  <c r="L845" i="1"/>
  <c r="K845" i="1"/>
  <c r="AB845" i="1"/>
  <c r="I845" i="1"/>
  <c r="X844" i="1"/>
  <c r="Z844" i="1" s="1"/>
  <c r="W844" i="1"/>
  <c r="S844" i="1"/>
  <c r="Q844" i="1"/>
  <c r="N844" i="1"/>
  <c r="L844" i="1"/>
  <c r="K844" i="1"/>
  <c r="AB844" i="1"/>
  <c r="I844" i="1"/>
  <c r="X843" i="1"/>
  <c r="Z843" i="1" s="1"/>
  <c r="W843" i="1"/>
  <c r="S843" i="1"/>
  <c r="Q843" i="1"/>
  <c r="N843" i="1"/>
  <c r="L843" i="1"/>
  <c r="K843" i="1"/>
  <c r="AB843" i="1"/>
  <c r="I843" i="1"/>
  <c r="X842" i="1"/>
  <c r="Z842" i="1" s="1"/>
  <c r="W842" i="1"/>
  <c r="S842" i="1"/>
  <c r="Q842" i="1"/>
  <c r="N842" i="1"/>
  <c r="L842" i="1"/>
  <c r="K842" i="1"/>
  <c r="AB842" i="1"/>
  <c r="I842" i="1"/>
  <c r="X841" i="1"/>
  <c r="Z841" i="1" s="1"/>
  <c r="W841" i="1"/>
  <c r="S841" i="1"/>
  <c r="Q841" i="1"/>
  <c r="N841" i="1"/>
  <c r="L841" i="1"/>
  <c r="K841" i="1"/>
  <c r="AB841" i="1"/>
  <c r="I841" i="1"/>
  <c r="X840" i="1"/>
  <c r="Z840" i="1" s="1"/>
  <c r="W840" i="1"/>
  <c r="S840" i="1"/>
  <c r="Q840" i="1"/>
  <c r="N840" i="1"/>
  <c r="L840" i="1"/>
  <c r="K840" i="1"/>
  <c r="AB840" i="1"/>
  <c r="I840" i="1"/>
  <c r="X839" i="1"/>
  <c r="Z839" i="1" s="1"/>
  <c r="W839" i="1"/>
  <c r="S839" i="1"/>
  <c r="Q839" i="1"/>
  <c r="N839" i="1"/>
  <c r="L839" i="1"/>
  <c r="K839" i="1"/>
  <c r="AB839" i="1"/>
  <c r="I839" i="1"/>
  <c r="X838" i="1"/>
  <c r="Z838" i="1" s="1"/>
  <c r="W838" i="1"/>
  <c r="S838" i="1"/>
  <c r="Q838" i="1"/>
  <c r="N838" i="1"/>
  <c r="L838" i="1"/>
  <c r="K838" i="1"/>
  <c r="AB838" i="1"/>
  <c r="I838" i="1"/>
  <c r="X837" i="1"/>
  <c r="Z837" i="1" s="1"/>
  <c r="W837" i="1"/>
  <c r="S837" i="1"/>
  <c r="Q837" i="1"/>
  <c r="N837" i="1"/>
  <c r="L837" i="1"/>
  <c r="K837" i="1"/>
  <c r="AB837" i="1"/>
  <c r="I837" i="1"/>
  <c r="X836" i="1"/>
  <c r="Z836" i="1" s="1"/>
  <c r="W836" i="1"/>
  <c r="S836" i="1"/>
  <c r="Q836" i="1"/>
  <c r="N836" i="1"/>
  <c r="L836" i="1"/>
  <c r="K836" i="1"/>
  <c r="AB836" i="1"/>
  <c r="I836" i="1"/>
  <c r="X835" i="1"/>
  <c r="Z835" i="1" s="1"/>
  <c r="W835" i="1"/>
  <c r="S835" i="1"/>
  <c r="Q835" i="1"/>
  <c r="N835" i="1"/>
  <c r="L835" i="1"/>
  <c r="K835" i="1"/>
  <c r="AB835" i="1"/>
  <c r="I835" i="1"/>
  <c r="X834" i="1"/>
  <c r="Z834" i="1" s="1"/>
  <c r="W834" i="1"/>
  <c r="S834" i="1"/>
  <c r="Q834" i="1"/>
  <c r="N834" i="1"/>
  <c r="L834" i="1"/>
  <c r="K834" i="1"/>
  <c r="AB834" i="1"/>
  <c r="I834" i="1"/>
  <c r="X833" i="1"/>
  <c r="Z833" i="1" s="1"/>
  <c r="W833" i="1"/>
  <c r="S833" i="1"/>
  <c r="Q833" i="1"/>
  <c r="N833" i="1"/>
  <c r="L833" i="1"/>
  <c r="K833" i="1"/>
  <c r="AB833" i="1"/>
  <c r="I833" i="1"/>
  <c r="X832" i="1"/>
  <c r="Z832" i="1" s="1"/>
  <c r="W832" i="1"/>
  <c r="S832" i="1"/>
  <c r="Q832" i="1"/>
  <c r="N832" i="1"/>
  <c r="L832" i="1"/>
  <c r="K832" i="1"/>
  <c r="AB832" i="1"/>
  <c r="I832" i="1"/>
  <c r="X831" i="1"/>
  <c r="Z831" i="1" s="1"/>
  <c r="W831" i="1"/>
  <c r="S831" i="1"/>
  <c r="Q831" i="1"/>
  <c r="N831" i="1"/>
  <c r="L831" i="1"/>
  <c r="K831" i="1"/>
  <c r="AB831" i="1"/>
  <c r="I831" i="1"/>
  <c r="X830" i="1"/>
  <c r="Z830" i="1" s="1"/>
  <c r="W830" i="1"/>
  <c r="S830" i="1"/>
  <c r="Q830" i="1"/>
  <c r="N830" i="1"/>
  <c r="L830" i="1"/>
  <c r="K830" i="1"/>
  <c r="AB830" i="1"/>
  <c r="I830" i="1"/>
  <c r="X829" i="1"/>
  <c r="Z829" i="1" s="1"/>
  <c r="W829" i="1"/>
  <c r="S829" i="1"/>
  <c r="Q829" i="1"/>
  <c r="N829" i="1"/>
  <c r="L829" i="1"/>
  <c r="K829" i="1"/>
  <c r="AB829" i="1"/>
  <c r="I829" i="1"/>
  <c r="X828" i="1"/>
  <c r="Z828" i="1" s="1"/>
  <c r="W828" i="1"/>
  <c r="S828" i="1"/>
  <c r="Q828" i="1"/>
  <c r="N828" i="1"/>
  <c r="L828" i="1"/>
  <c r="K828" i="1"/>
  <c r="AB828" i="1"/>
  <c r="I828" i="1"/>
  <c r="X827" i="1"/>
  <c r="Z827" i="1" s="1"/>
  <c r="W827" i="1"/>
  <c r="S827" i="1"/>
  <c r="Q827" i="1"/>
  <c r="N827" i="1"/>
  <c r="L827" i="1"/>
  <c r="K827" i="1"/>
  <c r="AB827" i="1"/>
  <c r="I827" i="1"/>
  <c r="X826" i="1"/>
  <c r="Z826" i="1" s="1"/>
  <c r="W826" i="1"/>
  <c r="S826" i="1"/>
  <c r="Q826" i="1"/>
  <c r="N826" i="1"/>
  <c r="L826" i="1"/>
  <c r="K826" i="1"/>
  <c r="AB826" i="1"/>
  <c r="I826" i="1"/>
  <c r="X825" i="1"/>
  <c r="Z825" i="1" s="1"/>
  <c r="W825" i="1"/>
  <c r="S825" i="1"/>
  <c r="Q825" i="1"/>
  <c r="N825" i="1"/>
  <c r="L825" i="1"/>
  <c r="K825" i="1"/>
  <c r="AB825" i="1"/>
  <c r="I825" i="1"/>
  <c r="X824" i="1"/>
  <c r="Z824" i="1" s="1"/>
  <c r="W824" i="1"/>
  <c r="S824" i="1"/>
  <c r="Q824" i="1"/>
  <c r="N824" i="1"/>
  <c r="L824" i="1"/>
  <c r="K824" i="1"/>
  <c r="AB824" i="1"/>
  <c r="I824" i="1"/>
  <c r="X823" i="1"/>
  <c r="Z823" i="1" s="1"/>
  <c r="W823" i="1"/>
  <c r="S823" i="1"/>
  <c r="Q823" i="1"/>
  <c r="N823" i="1"/>
  <c r="L823" i="1"/>
  <c r="K823" i="1"/>
  <c r="AB823" i="1"/>
  <c r="I823" i="1"/>
  <c r="X822" i="1"/>
  <c r="Z822" i="1" s="1"/>
  <c r="W822" i="1"/>
  <c r="S822" i="1"/>
  <c r="Q822" i="1"/>
  <c r="N822" i="1"/>
  <c r="L822" i="1"/>
  <c r="K822" i="1"/>
  <c r="AB822" i="1"/>
  <c r="I822" i="1"/>
  <c r="X821" i="1"/>
  <c r="Z821" i="1" s="1"/>
  <c r="W821" i="1"/>
  <c r="S821" i="1"/>
  <c r="Q821" i="1"/>
  <c r="N821" i="1"/>
  <c r="L821" i="1"/>
  <c r="K821" i="1"/>
  <c r="AB821" i="1"/>
  <c r="I821" i="1"/>
  <c r="X820" i="1"/>
  <c r="Z820" i="1" s="1"/>
  <c r="W820" i="1"/>
  <c r="S820" i="1"/>
  <c r="Q820" i="1"/>
  <c r="N820" i="1"/>
  <c r="L820" i="1"/>
  <c r="K820" i="1"/>
  <c r="AB820" i="1"/>
  <c r="I820" i="1"/>
  <c r="X819" i="1"/>
  <c r="Z819" i="1" s="1"/>
  <c r="W819" i="1"/>
  <c r="S819" i="1"/>
  <c r="Q819" i="1"/>
  <c r="N819" i="1"/>
  <c r="L819" i="1"/>
  <c r="K819" i="1"/>
  <c r="AB819" i="1"/>
  <c r="I819" i="1"/>
  <c r="X818" i="1"/>
  <c r="Z818" i="1" s="1"/>
  <c r="W818" i="1"/>
  <c r="S818" i="1"/>
  <c r="Q818" i="1"/>
  <c r="N818" i="1"/>
  <c r="L818" i="1"/>
  <c r="K818" i="1"/>
  <c r="AB818" i="1"/>
  <c r="I818" i="1"/>
  <c r="X817" i="1"/>
  <c r="Z817" i="1" s="1"/>
  <c r="W817" i="1"/>
  <c r="S817" i="1"/>
  <c r="Q817" i="1"/>
  <c r="N817" i="1"/>
  <c r="L817" i="1"/>
  <c r="K817" i="1"/>
  <c r="AB817" i="1"/>
  <c r="I817" i="1"/>
  <c r="X816" i="1"/>
  <c r="Z816" i="1" s="1"/>
  <c r="W816" i="1"/>
  <c r="S816" i="1"/>
  <c r="Q816" i="1"/>
  <c r="N816" i="1"/>
  <c r="L816" i="1"/>
  <c r="K816" i="1"/>
  <c r="AB816" i="1"/>
  <c r="I816" i="1"/>
  <c r="X815" i="1"/>
  <c r="Z815" i="1" s="1"/>
  <c r="W815" i="1"/>
  <c r="S815" i="1"/>
  <c r="Q815" i="1"/>
  <c r="N815" i="1"/>
  <c r="L815" i="1"/>
  <c r="K815" i="1"/>
  <c r="AB815" i="1"/>
  <c r="I815" i="1"/>
  <c r="X814" i="1"/>
  <c r="Z814" i="1" s="1"/>
  <c r="W814" i="1"/>
  <c r="S814" i="1"/>
  <c r="Q814" i="1"/>
  <c r="N814" i="1"/>
  <c r="L814" i="1"/>
  <c r="K814" i="1"/>
  <c r="AB814" i="1"/>
  <c r="I814" i="1"/>
  <c r="X813" i="1"/>
  <c r="Z813" i="1" s="1"/>
  <c r="W813" i="1"/>
  <c r="S813" i="1"/>
  <c r="Q813" i="1"/>
  <c r="N813" i="1"/>
  <c r="L813" i="1"/>
  <c r="K813" i="1"/>
  <c r="AB813" i="1"/>
  <c r="I813" i="1"/>
  <c r="X812" i="1"/>
  <c r="Z812" i="1" s="1"/>
  <c r="W812" i="1"/>
  <c r="S812" i="1"/>
  <c r="Q812" i="1"/>
  <c r="N812" i="1"/>
  <c r="L812" i="1"/>
  <c r="K812" i="1"/>
  <c r="AB812" i="1"/>
  <c r="I812" i="1"/>
  <c r="X811" i="1"/>
  <c r="Z811" i="1" s="1"/>
  <c r="W811" i="1"/>
  <c r="S811" i="1"/>
  <c r="Q811" i="1"/>
  <c r="N811" i="1"/>
  <c r="L811" i="1"/>
  <c r="K811" i="1"/>
  <c r="AB811" i="1"/>
  <c r="I811" i="1"/>
  <c r="X810" i="1"/>
  <c r="Z810" i="1" s="1"/>
  <c r="W810" i="1"/>
  <c r="S810" i="1"/>
  <c r="Q810" i="1"/>
  <c r="N810" i="1"/>
  <c r="L810" i="1"/>
  <c r="K810" i="1"/>
  <c r="AB810" i="1"/>
  <c r="I810" i="1"/>
  <c r="X809" i="1"/>
  <c r="Z809" i="1" s="1"/>
  <c r="W809" i="1"/>
  <c r="S809" i="1"/>
  <c r="Q809" i="1"/>
  <c r="N809" i="1"/>
  <c r="L809" i="1"/>
  <c r="K809" i="1"/>
  <c r="AB809" i="1"/>
  <c r="I809" i="1"/>
  <c r="X808" i="1"/>
  <c r="Z808" i="1" s="1"/>
  <c r="W808" i="1"/>
  <c r="S808" i="1"/>
  <c r="Q808" i="1"/>
  <c r="N808" i="1"/>
  <c r="L808" i="1"/>
  <c r="K808" i="1"/>
  <c r="AB808" i="1"/>
  <c r="I808" i="1"/>
  <c r="X807" i="1"/>
  <c r="Z807" i="1" s="1"/>
  <c r="W807" i="1"/>
  <c r="S807" i="1"/>
  <c r="Q807" i="1"/>
  <c r="N807" i="1"/>
  <c r="L807" i="1"/>
  <c r="K807" i="1"/>
  <c r="AB807" i="1"/>
  <c r="I807" i="1"/>
  <c r="X806" i="1"/>
  <c r="Z806" i="1" s="1"/>
  <c r="W806" i="1"/>
  <c r="S806" i="1"/>
  <c r="Q806" i="1"/>
  <c r="N806" i="1"/>
  <c r="L806" i="1"/>
  <c r="K806" i="1"/>
  <c r="AB806" i="1"/>
  <c r="I806" i="1"/>
  <c r="X805" i="1"/>
  <c r="Z805" i="1" s="1"/>
  <c r="W805" i="1"/>
  <c r="S805" i="1"/>
  <c r="Q805" i="1"/>
  <c r="N805" i="1"/>
  <c r="L805" i="1"/>
  <c r="K805" i="1"/>
  <c r="AB805" i="1"/>
  <c r="I805" i="1"/>
  <c r="X804" i="1"/>
  <c r="Z804" i="1" s="1"/>
  <c r="W804" i="1"/>
  <c r="S804" i="1"/>
  <c r="Q804" i="1"/>
  <c r="N804" i="1"/>
  <c r="L804" i="1"/>
  <c r="K804" i="1"/>
  <c r="AB804" i="1"/>
  <c r="I804" i="1"/>
  <c r="X803" i="1"/>
  <c r="Z803" i="1" s="1"/>
  <c r="W803" i="1"/>
  <c r="S803" i="1"/>
  <c r="Q803" i="1"/>
  <c r="N803" i="1"/>
  <c r="L803" i="1"/>
  <c r="K803" i="1"/>
  <c r="AB803" i="1"/>
  <c r="I803" i="1"/>
  <c r="X802" i="1"/>
  <c r="Z802" i="1" s="1"/>
  <c r="W802" i="1"/>
  <c r="S802" i="1"/>
  <c r="Q802" i="1"/>
  <c r="N802" i="1"/>
  <c r="L802" i="1"/>
  <c r="K802" i="1"/>
  <c r="AB802" i="1"/>
  <c r="I802" i="1"/>
  <c r="X801" i="1"/>
  <c r="Z801" i="1" s="1"/>
  <c r="W801" i="1"/>
  <c r="S801" i="1"/>
  <c r="Q801" i="1"/>
  <c r="N801" i="1"/>
  <c r="L801" i="1"/>
  <c r="K801" i="1"/>
  <c r="AB801" i="1"/>
  <c r="I801" i="1"/>
  <c r="X800" i="1"/>
  <c r="Z800" i="1" s="1"/>
  <c r="W800" i="1"/>
  <c r="S800" i="1"/>
  <c r="Q800" i="1"/>
  <c r="N800" i="1"/>
  <c r="L800" i="1"/>
  <c r="K800" i="1"/>
  <c r="AB800" i="1"/>
  <c r="I800" i="1"/>
  <c r="X799" i="1"/>
  <c r="Z799" i="1" s="1"/>
  <c r="W799" i="1"/>
  <c r="S799" i="1"/>
  <c r="Q799" i="1"/>
  <c r="N799" i="1"/>
  <c r="L799" i="1"/>
  <c r="K799" i="1"/>
  <c r="AB799" i="1"/>
  <c r="I799" i="1"/>
  <c r="X798" i="1"/>
  <c r="Z798" i="1" s="1"/>
  <c r="W798" i="1"/>
  <c r="S798" i="1"/>
  <c r="Q798" i="1"/>
  <c r="N798" i="1"/>
  <c r="L798" i="1"/>
  <c r="K798" i="1"/>
  <c r="AB798" i="1"/>
  <c r="I798" i="1"/>
  <c r="X797" i="1"/>
  <c r="Z797" i="1" s="1"/>
  <c r="W797" i="1"/>
  <c r="S797" i="1"/>
  <c r="Q797" i="1"/>
  <c r="N797" i="1"/>
  <c r="L797" i="1"/>
  <c r="K797" i="1"/>
  <c r="AB797" i="1"/>
  <c r="I797" i="1"/>
  <c r="X796" i="1"/>
  <c r="Z796" i="1" s="1"/>
  <c r="W796" i="1"/>
  <c r="S796" i="1"/>
  <c r="Q796" i="1"/>
  <c r="N796" i="1"/>
  <c r="L796" i="1"/>
  <c r="K796" i="1"/>
  <c r="AB796" i="1"/>
  <c r="I796" i="1"/>
  <c r="X795" i="1"/>
  <c r="Z795" i="1" s="1"/>
  <c r="W795" i="1"/>
  <c r="S795" i="1"/>
  <c r="Q795" i="1"/>
  <c r="N795" i="1"/>
  <c r="L795" i="1"/>
  <c r="K795" i="1"/>
  <c r="AB795" i="1"/>
  <c r="I795" i="1"/>
  <c r="X794" i="1"/>
  <c r="Z794" i="1" s="1"/>
  <c r="W794" i="1"/>
  <c r="S794" i="1"/>
  <c r="Q794" i="1"/>
  <c r="N794" i="1"/>
  <c r="L794" i="1"/>
  <c r="K794" i="1"/>
  <c r="AB794" i="1"/>
  <c r="I794" i="1"/>
  <c r="X793" i="1"/>
  <c r="Z793" i="1" s="1"/>
  <c r="W793" i="1"/>
  <c r="S793" i="1"/>
  <c r="Q793" i="1"/>
  <c r="N793" i="1"/>
  <c r="L793" i="1"/>
  <c r="K793" i="1"/>
  <c r="AB793" i="1"/>
  <c r="I793" i="1"/>
  <c r="X792" i="1"/>
  <c r="Z792" i="1" s="1"/>
  <c r="W792" i="1"/>
  <c r="S792" i="1"/>
  <c r="Q792" i="1"/>
  <c r="N792" i="1"/>
  <c r="L792" i="1"/>
  <c r="K792" i="1"/>
  <c r="AB792" i="1"/>
  <c r="I792" i="1"/>
  <c r="X791" i="1"/>
  <c r="Z791" i="1" s="1"/>
  <c r="W791" i="1"/>
  <c r="S791" i="1"/>
  <c r="Q791" i="1"/>
  <c r="N791" i="1"/>
  <c r="L791" i="1"/>
  <c r="K791" i="1"/>
  <c r="AB791" i="1"/>
  <c r="I791" i="1"/>
  <c r="X790" i="1"/>
  <c r="Z790" i="1" s="1"/>
  <c r="W790" i="1"/>
  <c r="S790" i="1"/>
  <c r="Q790" i="1"/>
  <c r="N790" i="1"/>
  <c r="L790" i="1"/>
  <c r="K790" i="1"/>
  <c r="AB790" i="1"/>
  <c r="I790" i="1"/>
  <c r="X789" i="1"/>
  <c r="Z789" i="1" s="1"/>
  <c r="W789" i="1"/>
  <c r="S789" i="1"/>
  <c r="Q789" i="1"/>
  <c r="N789" i="1"/>
  <c r="L789" i="1"/>
  <c r="K789" i="1"/>
  <c r="AB789" i="1"/>
  <c r="I789" i="1"/>
  <c r="X788" i="1"/>
  <c r="Z788" i="1" s="1"/>
  <c r="W788" i="1"/>
  <c r="S788" i="1"/>
  <c r="Q788" i="1"/>
  <c r="N788" i="1"/>
  <c r="L788" i="1"/>
  <c r="K788" i="1"/>
  <c r="AB788" i="1"/>
  <c r="I788" i="1"/>
  <c r="X787" i="1"/>
  <c r="Z787" i="1" s="1"/>
  <c r="W787" i="1"/>
  <c r="S787" i="1"/>
  <c r="Q787" i="1"/>
  <c r="N787" i="1"/>
  <c r="L787" i="1"/>
  <c r="K787" i="1"/>
  <c r="AB787" i="1"/>
  <c r="I787" i="1"/>
  <c r="X786" i="1"/>
  <c r="Z786" i="1" s="1"/>
  <c r="W786" i="1"/>
  <c r="S786" i="1"/>
  <c r="Q786" i="1"/>
  <c r="N786" i="1"/>
  <c r="L786" i="1"/>
  <c r="K786" i="1"/>
  <c r="AB786" i="1"/>
  <c r="I786" i="1"/>
  <c r="X785" i="1"/>
  <c r="Z785" i="1" s="1"/>
  <c r="W785" i="1"/>
  <c r="S785" i="1"/>
  <c r="Q785" i="1"/>
  <c r="N785" i="1"/>
  <c r="L785" i="1"/>
  <c r="K785" i="1"/>
  <c r="AB785" i="1"/>
  <c r="I785" i="1"/>
  <c r="X784" i="1"/>
  <c r="Z784" i="1" s="1"/>
  <c r="W784" i="1"/>
  <c r="S784" i="1"/>
  <c r="Q784" i="1"/>
  <c r="N784" i="1"/>
  <c r="L784" i="1"/>
  <c r="K784" i="1"/>
  <c r="AB784" i="1"/>
  <c r="I784" i="1"/>
  <c r="X783" i="1"/>
  <c r="Z783" i="1" s="1"/>
  <c r="W783" i="1"/>
  <c r="S783" i="1"/>
  <c r="Q783" i="1"/>
  <c r="N783" i="1"/>
  <c r="L783" i="1"/>
  <c r="K783" i="1"/>
  <c r="AB783" i="1"/>
  <c r="I783" i="1"/>
  <c r="X782" i="1"/>
  <c r="Z782" i="1" s="1"/>
  <c r="W782" i="1"/>
  <c r="S782" i="1"/>
  <c r="Q782" i="1"/>
  <c r="N782" i="1"/>
  <c r="L782" i="1"/>
  <c r="K782" i="1"/>
  <c r="AB782" i="1"/>
  <c r="I782" i="1"/>
  <c r="X781" i="1"/>
  <c r="Z781" i="1" s="1"/>
  <c r="W781" i="1"/>
  <c r="S781" i="1"/>
  <c r="Q781" i="1"/>
  <c r="N781" i="1"/>
  <c r="L781" i="1"/>
  <c r="K781" i="1"/>
  <c r="AB781" i="1"/>
  <c r="I781" i="1"/>
  <c r="X780" i="1"/>
  <c r="Z780" i="1" s="1"/>
  <c r="W780" i="1"/>
  <c r="S780" i="1"/>
  <c r="Q780" i="1"/>
  <c r="N780" i="1"/>
  <c r="L780" i="1"/>
  <c r="K780" i="1"/>
  <c r="AB780" i="1"/>
  <c r="I780" i="1"/>
  <c r="X779" i="1"/>
  <c r="Z779" i="1" s="1"/>
  <c r="W779" i="1"/>
  <c r="S779" i="1"/>
  <c r="Q779" i="1"/>
  <c r="N779" i="1"/>
  <c r="L779" i="1"/>
  <c r="K779" i="1"/>
  <c r="AB779" i="1"/>
  <c r="I779" i="1"/>
  <c r="X778" i="1"/>
  <c r="Z778" i="1" s="1"/>
  <c r="W778" i="1"/>
  <c r="S778" i="1"/>
  <c r="Q778" i="1"/>
  <c r="N778" i="1"/>
  <c r="L778" i="1"/>
  <c r="K778" i="1"/>
  <c r="AB778" i="1"/>
  <c r="I778" i="1"/>
  <c r="X777" i="1"/>
  <c r="Z777" i="1" s="1"/>
  <c r="W777" i="1"/>
  <c r="S777" i="1"/>
  <c r="Q777" i="1"/>
  <c r="N777" i="1"/>
  <c r="L777" i="1"/>
  <c r="K777" i="1"/>
  <c r="AB777" i="1"/>
  <c r="I777" i="1"/>
  <c r="X776" i="1"/>
  <c r="Z776" i="1" s="1"/>
  <c r="W776" i="1"/>
  <c r="S776" i="1"/>
  <c r="Q776" i="1"/>
  <c r="N776" i="1"/>
  <c r="L776" i="1"/>
  <c r="K776" i="1"/>
  <c r="AB776" i="1"/>
  <c r="I776" i="1"/>
  <c r="X775" i="1"/>
  <c r="Z775" i="1" s="1"/>
  <c r="W775" i="1"/>
  <c r="S775" i="1"/>
  <c r="Q775" i="1"/>
  <c r="N775" i="1"/>
  <c r="L775" i="1"/>
  <c r="K775" i="1"/>
  <c r="AB775" i="1"/>
  <c r="I775" i="1"/>
  <c r="X774" i="1"/>
  <c r="Z774" i="1" s="1"/>
  <c r="W774" i="1"/>
  <c r="S774" i="1"/>
  <c r="Q774" i="1"/>
  <c r="N774" i="1"/>
  <c r="L774" i="1"/>
  <c r="K774" i="1"/>
  <c r="AB774" i="1"/>
  <c r="I774" i="1"/>
  <c r="X773" i="1"/>
  <c r="Z773" i="1" s="1"/>
  <c r="W773" i="1"/>
  <c r="S773" i="1"/>
  <c r="Q773" i="1"/>
  <c r="N773" i="1"/>
  <c r="L773" i="1"/>
  <c r="K773" i="1"/>
  <c r="AB773" i="1"/>
  <c r="I773" i="1"/>
  <c r="X772" i="1"/>
  <c r="Z772" i="1" s="1"/>
  <c r="W772" i="1"/>
  <c r="S772" i="1"/>
  <c r="Q772" i="1"/>
  <c r="N772" i="1"/>
  <c r="L772" i="1"/>
  <c r="K772" i="1"/>
  <c r="AB772" i="1"/>
  <c r="I772" i="1"/>
  <c r="X771" i="1"/>
  <c r="Z771" i="1" s="1"/>
  <c r="W771" i="1"/>
  <c r="S771" i="1"/>
  <c r="Q771" i="1"/>
  <c r="N771" i="1"/>
  <c r="L771" i="1"/>
  <c r="K771" i="1"/>
  <c r="AB771" i="1"/>
  <c r="I771" i="1"/>
  <c r="X770" i="1"/>
  <c r="Z770" i="1" s="1"/>
  <c r="W770" i="1"/>
  <c r="S770" i="1"/>
  <c r="Q770" i="1"/>
  <c r="N770" i="1"/>
  <c r="L770" i="1"/>
  <c r="K770" i="1"/>
  <c r="AB770" i="1"/>
  <c r="I770" i="1"/>
  <c r="X769" i="1"/>
  <c r="Z769" i="1" s="1"/>
  <c r="W769" i="1"/>
  <c r="S769" i="1"/>
  <c r="Q769" i="1"/>
  <c r="N769" i="1"/>
  <c r="L769" i="1"/>
  <c r="K769" i="1"/>
  <c r="AB769" i="1"/>
  <c r="I769" i="1"/>
  <c r="X768" i="1"/>
  <c r="Z768" i="1" s="1"/>
  <c r="W768" i="1"/>
  <c r="S768" i="1"/>
  <c r="Q768" i="1"/>
  <c r="N768" i="1"/>
  <c r="L768" i="1"/>
  <c r="K768" i="1"/>
  <c r="AB768" i="1"/>
  <c r="I768" i="1"/>
  <c r="X767" i="1"/>
  <c r="Z767" i="1" s="1"/>
  <c r="W767" i="1"/>
  <c r="S767" i="1"/>
  <c r="Q767" i="1"/>
  <c r="N767" i="1"/>
  <c r="L767" i="1"/>
  <c r="K767" i="1"/>
  <c r="AB767" i="1"/>
  <c r="I767" i="1"/>
  <c r="X766" i="1"/>
  <c r="Z766" i="1" s="1"/>
  <c r="W766" i="1"/>
  <c r="S766" i="1"/>
  <c r="Q766" i="1"/>
  <c r="N766" i="1"/>
  <c r="L766" i="1"/>
  <c r="K766" i="1"/>
  <c r="AB766" i="1"/>
  <c r="I766" i="1"/>
  <c r="X765" i="1"/>
  <c r="Z765" i="1" s="1"/>
  <c r="W765" i="1"/>
  <c r="S765" i="1"/>
  <c r="Q765" i="1"/>
  <c r="N765" i="1"/>
  <c r="L765" i="1"/>
  <c r="K765" i="1"/>
  <c r="AB765" i="1"/>
  <c r="I765" i="1"/>
  <c r="X764" i="1"/>
  <c r="Z764" i="1" s="1"/>
  <c r="W764" i="1"/>
  <c r="S764" i="1"/>
  <c r="Q764" i="1"/>
  <c r="N764" i="1"/>
  <c r="L764" i="1"/>
  <c r="K764" i="1"/>
  <c r="AB764" i="1"/>
  <c r="I764" i="1"/>
  <c r="X763" i="1"/>
  <c r="Z763" i="1" s="1"/>
  <c r="W763" i="1"/>
  <c r="S763" i="1"/>
  <c r="Q763" i="1"/>
  <c r="N763" i="1"/>
  <c r="L763" i="1"/>
  <c r="K763" i="1"/>
  <c r="AB763" i="1"/>
  <c r="I763" i="1"/>
  <c r="X762" i="1"/>
  <c r="Z762" i="1" s="1"/>
  <c r="W762" i="1"/>
  <c r="S762" i="1"/>
  <c r="Q762" i="1"/>
  <c r="N762" i="1"/>
  <c r="L762" i="1"/>
  <c r="K762" i="1"/>
  <c r="AB762" i="1"/>
  <c r="I762" i="1"/>
  <c r="X761" i="1"/>
  <c r="Z761" i="1" s="1"/>
  <c r="W761" i="1"/>
  <c r="S761" i="1"/>
  <c r="Q761" i="1"/>
  <c r="N761" i="1"/>
  <c r="L761" i="1"/>
  <c r="K761" i="1"/>
  <c r="AB761" i="1"/>
  <c r="I761" i="1"/>
  <c r="X760" i="1"/>
  <c r="Z760" i="1" s="1"/>
  <c r="W760" i="1"/>
  <c r="S760" i="1"/>
  <c r="Q760" i="1"/>
  <c r="N760" i="1"/>
  <c r="L760" i="1"/>
  <c r="K760" i="1"/>
  <c r="AB760" i="1"/>
  <c r="I760" i="1"/>
  <c r="X759" i="1"/>
  <c r="Z759" i="1" s="1"/>
  <c r="W759" i="1"/>
  <c r="S759" i="1"/>
  <c r="Q759" i="1"/>
  <c r="N759" i="1"/>
  <c r="L759" i="1"/>
  <c r="K759" i="1"/>
  <c r="AB759" i="1"/>
  <c r="I759" i="1"/>
  <c r="X758" i="1"/>
  <c r="Z758" i="1" s="1"/>
  <c r="W758" i="1"/>
  <c r="S758" i="1"/>
  <c r="Q758" i="1"/>
  <c r="N758" i="1"/>
  <c r="L758" i="1"/>
  <c r="K758" i="1"/>
  <c r="AB758" i="1"/>
  <c r="I758" i="1"/>
  <c r="X757" i="1"/>
  <c r="Z757" i="1" s="1"/>
  <c r="W757" i="1"/>
  <c r="S757" i="1"/>
  <c r="Q757" i="1"/>
  <c r="N757" i="1"/>
  <c r="L757" i="1"/>
  <c r="K757" i="1"/>
  <c r="AB757" i="1"/>
  <c r="I757" i="1"/>
  <c r="X756" i="1"/>
  <c r="Z756" i="1" s="1"/>
  <c r="W756" i="1"/>
  <c r="S756" i="1"/>
  <c r="Q756" i="1"/>
  <c r="N756" i="1"/>
  <c r="L756" i="1"/>
  <c r="K756" i="1"/>
  <c r="AB756" i="1"/>
  <c r="I756" i="1"/>
  <c r="X755" i="1"/>
  <c r="Z755" i="1" s="1"/>
  <c r="W755" i="1"/>
  <c r="S755" i="1"/>
  <c r="Q755" i="1"/>
  <c r="N755" i="1"/>
  <c r="L755" i="1"/>
  <c r="K755" i="1"/>
  <c r="AB755" i="1"/>
  <c r="I755" i="1"/>
  <c r="X754" i="1"/>
  <c r="Z754" i="1" s="1"/>
  <c r="W754" i="1"/>
  <c r="S754" i="1"/>
  <c r="Q754" i="1"/>
  <c r="N754" i="1"/>
  <c r="L754" i="1"/>
  <c r="K754" i="1"/>
  <c r="AB754" i="1"/>
  <c r="I754" i="1"/>
  <c r="X753" i="1"/>
  <c r="Z753" i="1" s="1"/>
  <c r="W753" i="1"/>
  <c r="S753" i="1"/>
  <c r="Q753" i="1"/>
  <c r="N753" i="1"/>
  <c r="L753" i="1"/>
  <c r="K753" i="1"/>
  <c r="AB753" i="1"/>
  <c r="I753" i="1"/>
  <c r="X752" i="1"/>
  <c r="Z752" i="1" s="1"/>
  <c r="W752" i="1"/>
  <c r="S752" i="1"/>
  <c r="Q752" i="1"/>
  <c r="N752" i="1"/>
  <c r="L752" i="1"/>
  <c r="K752" i="1"/>
  <c r="AB752" i="1"/>
  <c r="I752" i="1"/>
  <c r="X751" i="1"/>
  <c r="Z751" i="1" s="1"/>
  <c r="W751" i="1"/>
  <c r="S751" i="1"/>
  <c r="Q751" i="1"/>
  <c r="N751" i="1"/>
  <c r="L751" i="1"/>
  <c r="K751" i="1"/>
  <c r="AB751" i="1"/>
  <c r="I751" i="1"/>
  <c r="X750" i="1"/>
  <c r="Z750" i="1" s="1"/>
  <c r="W750" i="1"/>
  <c r="S750" i="1"/>
  <c r="Q750" i="1"/>
  <c r="N750" i="1"/>
  <c r="L750" i="1"/>
  <c r="K750" i="1"/>
  <c r="AB750" i="1"/>
  <c r="I750" i="1"/>
  <c r="X749" i="1"/>
  <c r="Z749" i="1" s="1"/>
  <c r="W749" i="1"/>
  <c r="S749" i="1"/>
  <c r="Q749" i="1"/>
  <c r="N749" i="1"/>
  <c r="L749" i="1"/>
  <c r="K749" i="1"/>
  <c r="AB749" i="1"/>
  <c r="I749" i="1"/>
  <c r="X748" i="1"/>
  <c r="Z748" i="1" s="1"/>
  <c r="W748" i="1"/>
  <c r="S748" i="1"/>
  <c r="Q748" i="1"/>
  <c r="N748" i="1"/>
  <c r="L748" i="1"/>
  <c r="K748" i="1"/>
  <c r="AB748" i="1"/>
  <c r="I748" i="1"/>
  <c r="X747" i="1"/>
  <c r="Z747" i="1" s="1"/>
  <c r="W747" i="1"/>
  <c r="S747" i="1"/>
  <c r="Q747" i="1"/>
  <c r="N747" i="1"/>
  <c r="L747" i="1"/>
  <c r="K747" i="1"/>
  <c r="AB747" i="1"/>
  <c r="I747" i="1"/>
  <c r="X746" i="1"/>
  <c r="Z746" i="1" s="1"/>
  <c r="W746" i="1"/>
  <c r="S746" i="1"/>
  <c r="Q746" i="1"/>
  <c r="N746" i="1"/>
  <c r="L746" i="1"/>
  <c r="K746" i="1"/>
  <c r="AB746" i="1"/>
  <c r="I746" i="1"/>
  <c r="X745" i="1"/>
  <c r="Z745" i="1" s="1"/>
  <c r="W745" i="1"/>
  <c r="S745" i="1"/>
  <c r="Q745" i="1"/>
  <c r="N745" i="1"/>
  <c r="L745" i="1"/>
  <c r="K745" i="1"/>
  <c r="AB745" i="1"/>
  <c r="I745" i="1"/>
  <c r="X744" i="1"/>
  <c r="Z744" i="1" s="1"/>
  <c r="W744" i="1"/>
  <c r="S744" i="1"/>
  <c r="Q744" i="1"/>
  <c r="N744" i="1"/>
  <c r="L744" i="1"/>
  <c r="K744" i="1"/>
  <c r="AB744" i="1"/>
  <c r="I744" i="1"/>
  <c r="X743" i="1"/>
  <c r="Z743" i="1" s="1"/>
  <c r="W743" i="1"/>
  <c r="S743" i="1"/>
  <c r="Q743" i="1"/>
  <c r="N743" i="1"/>
  <c r="L743" i="1"/>
  <c r="K743" i="1"/>
  <c r="AB743" i="1"/>
  <c r="I743" i="1"/>
  <c r="X742" i="1"/>
  <c r="Z742" i="1" s="1"/>
  <c r="W742" i="1"/>
  <c r="S742" i="1"/>
  <c r="Q742" i="1"/>
  <c r="N742" i="1"/>
  <c r="L742" i="1"/>
  <c r="K742" i="1"/>
  <c r="AB742" i="1"/>
  <c r="I742" i="1"/>
  <c r="X741" i="1"/>
  <c r="Z741" i="1" s="1"/>
  <c r="W741" i="1"/>
  <c r="S741" i="1"/>
  <c r="Q741" i="1"/>
  <c r="N741" i="1"/>
  <c r="L741" i="1"/>
  <c r="K741" i="1"/>
  <c r="AB741" i="1"/>
  <c r="I741" i="1"/>
  <c r="X740" i="1"/>
  <c r="Z740" i="1" s="1"/>
  <c r="W740" i="1"/>
  <c r="S740" i="1"/>
  <c r="Q740" i="1"/>
  <c r="N740" i="1"/>
  <c r="L740" i="1"/>
  <c r="K740" i="1"/>
  <c r="AB740" i="1"/>
  <c r="I740" i="1"/>
  <c r="X739" i="1"/>
  <c r="Z739" i="1" s="1"/>
  <c r="W739" i="1"/>
  <c r="S739" i="1"/>
  <c r="Q739" i="1"/>
  <c r="N739" i="1"/>
  <c r="L739" i="1"/>
  <c r="K739" i="1"/>
  <c r="AB739" i="1"/>
  <c r="I739" i="1"/>
  <c r="X738" i="1"/>
  <c r="Z738" i="1" s="1"/>
  <c r="W738" i="1"/>
  <c r="S738" i="1"/>
  <c r="Q738" i="1"/>
  <c r="N738" i="1"/>
  <c r="L738" i="1"/>
  <c r="K738" i="1"/>
  <c r="AB738" i="1"/>
  <c r="I738" i="1"/>
  <c r="X737" i="1"/>
  <c r="Z737" i="1" s="1"/>
  <c r="W737" i="1"/>
  <c r="S737" i="1"/>
  <c r="Q737" i="1"/>
  <c r="N737" i="1"/>
  <c r="L737" i="1"/>
  <c r="K737" i="1"/>
  <c r="AB737" i="1"/>
  <c r="I737" i="1"/>
  <c r="X736" i="1"/>
  <c r="Z736" i="1" s="1"/>
  <c r="W736" i="1"/>
  <c r="S736" i="1"/>
  <c r="Q736" i="1"/>
  <c r="N736" i="1"/>
  <c r="L736" i="1"/>
  <c r="K736" i="1"/>
  <c r="AB736" i="1"/>
  <c r="I736" i="1"/>
  <c r="X735" i="1"/>
  <c r="Z735" i="1" s="1"/>
  <c r="W735" i="1"/>
  <c r="S735" i="1"/>
  <c r="Q735" i="1"/>
  <c r="N735" i="1"/>
  <c r="L735" i="1"/>
  <c r="K735" i="1"/>
  <c r="AB735" i="1"/>
  <c r="I735" i="1"/>
  <c r="X734" i="1"/>
  <c r="Z734" i="1" s="1"/>
  <c r="W734" i="1"/>
  <c r="S734" i="1"/>
  <c r="Q734" i="1"/>
  <c r="N734" i="1"/>
  <c r="L734" i="1"/>
  <c r="K734" i="1"/>
  <c r="AB734" i="1"/>
  <c r="I734" i="1"/>
  <c r="X733" i="1"/>
  <c r="Z733" i="1" s="1"/>
  <c r="W733" i="1"/>
  <c r="S733" i="1"/>
  <c r="Q733" i="1"/>
  <c r="N733" i="1"/>
  <c r="L733" i="1"/>
  <c r="K733" i="1"/>
  <c r="AB733" i="1"/>
  <c r="I733" i="1"/>
  <c r="X732" i="1"/>
  <c r="Z732" i="1" s="1"/>
  <c r="W732" i="1"/>
  <c r="S732" i="1"/>
  <c r="Q732" i="1"/>
  <c r="N732" i="1"/>
  <c r="L732" i="1"/>
  <c r="K732" i="1"/>
  <c r="AB732" i="1"/>
  <c r="I732" i="1"/>
  <c r="X731" i="1"/>
  <c r="Z731" i="1" s="1"/>
  <c r="W731" i="1"/>
  <c r="S731" i="1"/>
  <c r="Q731" i="1"/>
  <c r="N731" i="1"/>
  <c r="L731" i="1"/>
  <c r="K731" i="1"/>
  <c r="AB731" i="1"/>
  <c r="I731" i="1"/>
  <c r="X730" i="1"/>
  <c r="Z730" i="1" s="1"/>
  <c r="W730" i="1"/>
  <c r="S730" i="1"/>
  <c r="Q730" i="1"/>
  <c r="N730" i="1"/>
  <c r="L730" i="1"/>
  <c r="K730" i="1"/>
  <c r="AB730" i="1"/>
  <c r="I730" i="1"/>
  <c r="X729" i="1"/>
  <c r="Z729" i="1" s="1"/>
  <c r="W729" i="1"/>
  <c r="S729" i="1"/>
  <c r="Q729" i="1"/>
  <c r="N729" i="1"/>
  <c r="L729" i="1"/>
  <c r="K729" i="1"/>
  <c r="AB729" i="1"/>
  <c r="I729" i="1"/>
  <c r="X728" i="1"/>
  <c r="Z728" i="1" s="1"/>
  <c r="W728" i="1"/>
  <c r="S728" i="1"/>
  <c r="Q728" i="1"/>
  <c r="N728" i="1"/>
  <c r="L728" i="1"/>
  <c r="K728" i="1"/>
  <c r="AB728" i="1"/>
  <c r="I728" i="1"/>
  <c r="X727" i="1"/>
  <c r="Z727" i="1" s="1"/>
  <c r="W727" i="1"/>
  <c r="S727" i="1"/>
  <c r="Q727" i="1"/>
  <c r="N727" i="1"/>
  <c r="L727" i="1"/>
  <c r="K727" i="1"/>
  <c r="AB727" i="1"/>
  <c r="I727" i="1"/>
  <c r="X726" i="1"/>
  <c r="Z726" i="1" s="1"/>
  <c r="W726" i="1"/>
  <c r="S726" i="1"/>
  <c r="Q726" i="1"/>
  <c r="N726" i="1"/>
  <c r="L726" i="1"/>
  <c r="K726" i="1"/>
  <c r="AB726" i="1"/>
  <c r="I726" i="1"/>
  <c r="X725" i="1"/>
  <c r="Z725" i="1" s="1"/>
  <c r="W725" i="1"/>
  <c r="S725" i="1"/>
  <c r="Q725" i="1"/>
  <c r="N725" i="1"/>
  <c r="L725" i="1"/>
  <c r="K725" i="1"/>
  <c r="AB725" i="1"/>
  <c r="I725" i="1"/>
  <c r="X724" i="1"/>
  <c r="Z724" i="1" s="1"/>
  <c r="W724" i="1"/>
  <c r="S724" i="1"/>
  <c r="Q724" i="1"/>
  <c r="N724" i="1"/>
  <c r="L724" i="1"/>
  <c r="K724" i="1"/>
  <c r="AB724" i="1"/>
  <c r="I724" i="1"/>
  <c r="X723" i="1"/>
  <c r="Z723" i="1" s="1"/>
  <c r="W723" i="1"/>
  <c r="S723" i="1"/>
  <c r="Q723" i="1"/>
  <c r="N723" i="1"/>
  <c r="L723" i="1"/>
  <c r="K723" i="1"/>
  <c r="AB723" i="1"/>
  <c r="I723" i="1"/>
  <c r="X722" i="1"/>
  <c r="Z722" i="1" s="1"/>
  <c r="W722" i="1"/>
  <c r="S722" i="1"/>
  <c r="Q722" i="1"/>
  <c r="N722" i="1"/>
  <c r="L722" i="1"/>
  <c r="K722" i="1"/>
  <c r="AB722" i="1"/>
  <c r="I722" i="1"/>
  <c r="X721" i="1"/>
  <c r="Z721" i="1" s="1"/>
  <c r="W721" i="1"/>
  <c r="S721" i="1"/>
  <c r="Q721" i="1"/>
  <c r="N721" i="1"/>
  <c r="L721" i="1"/>
  <c r="K721" i="1"/>
  <c r="AB721" i="1"/>
  <c r="I721" i="1"/>
  <c r="X720" i="1"/>
  <c r="Z720" i="1" s="1"/>
  <c r="W720" i="1"/>
  <c r="S720" i="1"/>
  <c r="Q720" i="1"/>
  <c r="N720" i="1"/>
  <c r="L720" i="1"/>
  <c r="K720" i="1"/>
  <c r="AB720" i="1"/>
  <c r="I720" i="1"/>
  <c r="X719" i="1"/>
  <c r="Z719" i="1" s="1"/>
  <c r="W719" i="1"/>
  <c r="S719" i="1"/>
  <c r="Q719" i="1"/>
  <c r="N719" i="1"/>
  <c r="L719" i="1"/>
  <c r="K719" i="1"/>
  <c r="AB719" i="1"/>
  <c r="I719" i="1"/>
  <c r="X718" i="1"/>
  <c r="Z718" i="1" s="1"/>
  <c r="W718" i="1"/>
  <c r="S718" i="1"/>
  <c r="Q718" i="1"/>
  <c r="N718" i="1"/>
  <c r="L718" i="1"/>
  <c r="K718" i="1"/>
  <c r="AB718" i="1"/>
  <c r="I718" i="1"/>
  <c r="X717" i="1"/>
  <c r="Z717" i="1" s="1"/>
  <c r="W717" i="1"/>
  <c r="S717" i="1"/>
  <c r="Q717" i="1"/>
  <c r="N717" i="1"/>
  <c r="L717" i="1"/>
  <c r="K717" i="1"/>
  <c r="AB717" i="1"/>
  <c r="I717" i="1"/>
  <c r="X716" i="1"/>
  <c r="Z716" i="1" s="1"/>
  <c r="W716" i="1"/>
  <c r="S716" i="1"/>
  <c r="Q716" i="1"/>
  <c r="N716" i="1"/>
  <c r="L716" i="1"/>
  <c r="K716" i="1"/>
  <c r="AB716" i="1"/>
  <c r="I716" i="1"/>
  <c r="X715" i="1"/>
  <c r="Z715" i="1" s="1"/>
  <c r="W715" i="1"/>
  <c r="S715" i="1"/>
  <c r="Q715" i="1"/>
  <c r="N715" i="1"/>
  <c r="L715" i="1"/>
  <c r="K715" i="1"/>
  <c r="AB715" i="1"/>
  <c r="I715" i="1"/>
  <c r="X714" i="1"/>
  <c r="Z714" i="1" s="1"/>
  <c r="W714" i="1"/>
  <c r="S714" i="1"/>
  <c r="Q714" i="1"/>
  <c r="N714" i="1"/>
  <c r="L714" i="1"/>
  <c r="K714" i="1"/>
  <c r="AB714" i="1"/>
  <c r="I714" i="1"/>
  <c r="X713" i="1"/>
  <c r="Z713" i="1" s="1"/>
  <c r="W713" i="1"/>
  <c r="S713" i="1"/>
  <c r="Q713" i="1"/>
  <c r="N713" i="1"/>
  <c r="L713" i="1"/>
  <c r="K713" i="1"/>
  <c r="AB713" i="1"/>
  <c r="I713" i="1"/>
  <c r="X712" i="1"/>
  <c r="Z712" i="1" s="1"/>
  <c r="W712" i="1"/>
  <c r="S712" i="1"/>
  <c r="Q712" i="1"/>
  <c r="N712" i="1"/>
  <c r="L712" i="1"/>
  <c r="K712" i="1"/>
  <c r="AB712" i="1"/>
  <c r="I712" i="1"/>
  <c r="X711" i="1"/>
  <c r="Z711" i="1" s="1"/>
  <c r="W711" i="1"/>
  <c r="S711" i="1"/>
  <c r="Q711" i="1"/>
  <c r="N711" i="1"/>
  <c r="L711" i="1"/>
  <c r="K711" i="1"/>
  <c r="AB711" i="1"/>
  <c r="I711" i="1"/>
  <c r="X710" i="1"/>
  <c r="Z710" i="1" s="1"/>
  <c r="W710" i="1"/>
  <c r="S710" i="1"/>
  <c r="Q710" i="1"/>
  <c r="N710" i="1"/>
  <c r="L710" i="1"/>
  <c r="K710" i="1"/>
  <c r="AB710" i="1"/>
  <c r="I710" i="1"/>
  <c r="X709" i="1"/>
  <c r="Z709" i="1" s="1"/>
  <c r="W709" i="1"/>
  <c r="S709" i="1"/>
  <c r="Q709" i="1"/>
  <c r="N709" i="1"/>
  <c r="L709" i="1"/>
  <c r="K709" i="1"/>
  <c r="AB709" i="1"/>
  <c r="I709" i="1"/>
  <c r="X708" i="1"/>
  <c r="Z708" i="1" s="1"/>
  <c r="W708" i="1"/>
  <c r="S708" i="1"/>
  <c r="Q708" i="1"/>
  <c r="N708" i="1"/>
  <c r="L708" i="1"/>
  <c r="K708" i="1"/>
  <c r="AB708" i="1"/>
  <c r="I708" i="1"/>
  <c r="X707" i="1"/>
  <c r="Z707" i="1" s="1"/>
  <c r="W707" i="1"/>
  <c r="S707" i="1"/>
  <c r="Q707" i="1"/>
  <c r="N707" i="1"/>
  <c r="L707" i="1"/>
  <c r="K707" i="1"/>
  <c r="AB707" i="1"/>
  <c r="I707" i="1"/>
  <c r="X706" i="1"/>
  <c r="Z706" i="1" s="1"/>
  <c r="W706" i="1"/>
  <c r="S706" i="1"/>
  <c r="Q706" i="1"/>
  <c r="N706" i="1"/>
  <c r="L706" i="1"/>
  <c r="K706" i="1"/>
  <c r="AB706" i="1"/>
  <c r="I706" i="1"/>
  <c r="X705" i="1"/>
  <c r="Z705" i="1" s="1"/>
  <c r="W705" i="1"/>
  <c r="S705" i="1"/>
  <c r="Q705" i="1"/>
  <c r="N705" i="1"/>
  <c r="L705" i="1"/>
  <c r="K705" i="1"/>
  <c r="AB705" i="1"/>
  <c r="I705" i="1"/>
  <c r="X704" i="1"/>
  <c r="Z704" i="1" s="1"/>
  <c r="W704" i="1"/>
  <c r="S704" i="1"/>
  <c r="Q704" i="1"/>
  <c r="N704" i="1"/>
  <c r="L704" i="1"/>
  <c r="K704" i="1"/>
  <c r="AB704" i="1"/>
  <c r="I704" i="1"/>
  <c r="X703" i="1"/>
  <c r="Z703" i="1" s="1"/>
  <c r="W703" i="1"/>
  <c r="S703" i="1"/>
  <c r="Q703" i="1"/>
  <c r="N703" i="1"/>
  <c r="L703" i="1"/>
  <c r="K703" i="1"/>
  <c r="AB703" i="1"/>
  <c r="I703" i="1"/>
  <c r="X702" i="1"/>
  <c r="Z702" i="1" s="1"/>
  <c r="W702" i="1"/>
  <c r="S702" i="1"/>
  <c r="Q702" i="1"/>
  <c r="N702" i="1"/>
  <c r="L702" i="1"/>
  <c r="K702" i="1"/>
  <c r="AB702" i="1"/>
  <c r="I702" i="1"/>
  <c r="X701" i="1"/>
  <c r="Z701" i="1" s="1"/>
  <c r="W701" i="1"/>
  <c r="S701" i="1"/>
  <c r="Q701" i="1"/>
  <c r="N701" i="1"/>
  <c r="L701" i="1"/>
  <c r="K701" i="1"/>
  <c r="AB701" i="1"/>
  <c r="I701" i="1"/>
  <c r="X700" i="1"/>
  <c r="Z700" i="1" s="1"/>
  <c r="W700" i="1"/>
  <c r="S700" i="1"/>
  <c r="Q700" i="1"/>
  <c r="N700" i="1"/>
  <c r="L700" i="1"/>
  <c r="K700" i="1"/>
  <c r="AB700" i="1"/>
  <c r="I700" i="1"/>
  <c r="X699" i="1"/>
  <c r="Z699" i="1" s="1"/>
  <c r="W699" i="1"/>
  <c r="S699" i="1"/>
  <c r="Q699" i="1"/>
  <c r="N699" i="1"/>
  <c r="L699" i="1"/>
  <c r="K699" i="1"/>
  <c r="AB699" i="1"/>
  <c r="I699" i="1"/>
  <c r="X698" i="1"/>
  <c r="Z698" i="1" s="1"/>
  <c r="W698" i="1"/>
  <c r="S698" i="1"/>
  <c r="Q698" i="1"/>
  <c r="N698" i="1"/>
  <c r="L698" i="1"/>
  <c r="K698" i="1"/>
  <c r="AB698" i="1"/>
  <c r="I698" i="1"/>
  <c r="X697" i="1"/>
  <c r="Z697" i="1" s="1"/>
  <c r="W697" i="1"/>
  <c r="S697" i="1"/>
  <c r="Q697" i="1"/>
  <c r="N697" i="1"/>
  <c r="L697" i="1"/>
  <c r="K697" i="1"/>
  <c r="AB697" i="1"/>
  <c r="I697" i="1"/>
  <c r="X696" i="1"/>
  <c r="Z696" i="1" s="1"/>
  <c r="W696" i="1"/>
  <c r="S696" i="1"/>
  <c r="Q696" i="1"/>
  <c r="N696" i="1"/>
  <c r="L696" i="1"/>
  <c r="K696" i="1"/>
  <c r="AB696" i="1"/>
  <c r="I696" i="1"/>
  <c r="X695" i="1"/>
  <c r="Z695" i="1" s="1"/>
  <c r="W695" i="1"/>
  <c r="S695" i="1"/>
  <c r="Q695" i="1"/>
  <c r="N695" i="1"/>
  <c r="L695" i="1"/>
  <c r="K695" i="1"/>
  <c r="AB695" i="1"/>
  <c r="I695" i="1"/>
  <c r="X694" i="1"/>
  <c r="Z694" i="1" s="1"/>
  <c r="W694" i="1"/>
  <c r="S694" i="1"/>
  <c r="Q694" i="1"/>
  <c r="N694" i="1"/>
  <c r="L694" i="1"/>
  <c r="K694" i="1"/>
  <c r="AB694" i="1"/>
  <c r="I694" i="1"/>
  <c r="X693" i="1"/>
  <c r="Z693" i="1" s="1"/>
  <c r="W693" i="1"/>
  <c r="S693" i="1"/>
  <c r="Q693" i="1"/>
  <c r="N693" i="1"/>
  <c r="L693" i="1"/>
  <c r="K693" i="1"/>
  <c r="AB693" i="1"/>
  <c r="I693" i="1"/>
  <c r="X692" i="1"/>
  <c r="Z692" i="1" s="1"/>
  <c r="W692" i="1"/>
  <c r="S692" i="1"/>
  <c r="Q692" i="1"/>
  <c r="N692" i="1"/>
  <c r="L692" i="1"/>
  <c r="K692" i="1"/>
  <c r="AB692" i="1"/>
  <c r="I692" i="1"/>
  <c r="X691" i="1"/>
  <c r="Z691" i="1" s="1"/>
  <c r="W691" i="1"/>
  <c r="S691" i="1"/>
  <c r="Q691" i="1"/>
  <c r="N691" i="1"/>
  <c r="L691" i="1"/>
  <c r="K691" i="1"/>
  <c r="AB691" i="1"/>
  <c r="I691" i="1"/>
  <c r="X690" i="1"/>
  <c r="Z690" i="1" s="1"/>
  <c r="W690" i="1"/>
  <c r="S690" i="1"/>
  <c r="Q690" i="1"/>
  <c r="N690" i="1"/>
  <c r="L690" i="1"/>
  <c r="K690" i="1"/>
  <c r="AB690" i="1"/>
  <c r="I690" i="1"/>
  <c r="X689" i="1"/>
  <c r="Z689" i="1" s="1"/>
  <c r="W689" i="1"/>
  <c r="S689" i="1"/>
  <c r="Q689" i="1"/>
  <c r="N689" i="1"/>
  <c r="L689" i="1"/>
  <c r="K689" i="1"/>
  <c r="AB689" i="1"/>
  <c r="I689" i="1"/>
  <c r="X688" i="1"/>
  <c r="Z688" i="1" s="1"/>
  <c r="W688" i="1"/>
  <c r="S688" i="1"/>
  <c r="Q688" i="1"/>
  <c r="N688" i="1"/>
  <c r="L688" i="1"/>
  <c r="K688" i="1"/>
  <c r="AB688" i="1"/>
  <c r="I688" i="1"/>
  <c r="X687" i="1"/>
  <c r="Z687" i="1" s="1"/>
  <c r="W687" i="1"/>
  <c r="S687" i="1"/>
  <c r="Q687" i="1"/>
  <c r="N687" i="1"/>
  <c r="L687" i="1"/>
  <c r="K687" i="1"/>
  <c r="AB687" i="1"/>
  <c r="I687" i="1"/>
  <c r="X686" i="1"/>
  <c r="Z686" i="1" s="1"/>
  <c r="W686" i="1"/>
  <c r="S686" i="1"/>
  <c r="Q686" i="1"/>
  <c r="N686" i="1"/>
  <c r="L686" i="1"/>
  <c r="K686" i="1"/>
  <c r="AB686" i="1"/>
  <c r="I686" i="1"/>
  <c r="X685" i="1"/>
  <c r="Z685" i="1" s="1"/>
  <c r="W685" i="1"/>
  <c r="S685" i="1"/>
  <c r="Q685" i="1"/>
  <c r="N685" i="1"/>
  <c r="L685" i="1"/>
  <c r="K685" i="1"/>
  <c r="AB685" i="1"/>
  <c r="I685" i="1"/>
  <c r="X684" i="1"/>
  <c r="Z684" i="1" s="1"/>
  <c r="W684" i="1"/>
  <c r="S684" i="1"/>
  <c r="Q684" i="1"/>
  <c r="N684" i="1"/>
  <c r="L684" i="1"/>
  <c r="K684" i="1"/>
  <c r="AB684" i="1"/>
  <c r="I684" i="1"/>
  <c r="X683" i="1"/>
  <c r="Z683" i="1" s="1"/>
  <c r="W683" i="1"/>
  <c r="S683" i="1"/>
  <c r="Q683" i="1"/>
  <c r="N683" i="1"/>
  <c r="L683" i="1"/>
  <c r="K683" i="1"/>
  <c r="AB683" i="1"/>
  <c r="I683" i="1"/>
  <c r="X682" i="1"/>
  <c r="Z682" i="1" s="1"/>
  <c r="W682" i="1"/>
  <c r="S682" i="1"/>
  <c r="Q682" i="1"/>
  <c r="N682" i="1"/>
  <c r="L682" i="1"/>
  <c r="K682" i="1"/>
  <c r="AB682" i="1"/>
  <c r="I682" i="1"/>
  <c r="X681" i="1"/>
  <c r="Z681" i="1" s="1"/>
  <c r="W681" i="1"/>
  <c r="S681" i="1"/>
  <c r="Q681" i="1"/>
  <c r="N681" i="1"/>
  <c r="L681" i="1"/>
  <c r="K681" i="1"/>
  <c r="AB681" i="1"/>
  <c r="I681" i="1"/>
  <c r="X680" i="1"/>
  <c r="Z680" i="1" s="1"/>
  <c r="W680" i="1"/>
  <c r="S680" i="1"/>
  <c r="Q680" i="1"/>
  <c r="N680" i="1"/>
  <c r="L680" i="1"/>
  <c r="K680" i="1"/>
  <c r="AB680" i="1"/>
  <c r="I680" i="1"/>
  <c r="X679" i="1"/>
  <c r="Z679" i="1" s="1"/>
  <c r="W679" i="1"/>
  <c r="S679" i="1"/>
  <c r="Q679" i="1"/>
  <c r="N679" i="1"/>
  <c r="L679" i="1"/>
  <c r="K679" i="1"/>
  <c r="AB679" i="1"/>
  <c r="I679" i="1"/>
  <c r="X678" i="1"/>
  <c r="Z678" i="1" s="1"/>
  <c r="W678" i="1"/>
  <c r="S678" i="1"/>
  <c r="Q678" i="1"/>
  <c r="N678" i="1"/>
  <c r="L678" i="1"/>
  <c r="K678" i="1"/>
  <c r="AB678" i="1"/>
  <c r="I678" i="1"/>
  <c r="X677" i="1"/>
  <c r="Z677" i="1" s="1"/>
  <c r="W677" i="1"/>
  <c r="S677" i="1"/>
  <c r="Q677" i="1"/>
  <c r="N677" i="1"/>
  <c r="L677" i="1"/>
  <c r="K677" i="1"/>
  <c r="AB677" i="1"/>
  <c r="I677" i="1"/>
  <c r="X676" i="1"/>
  <c r="Z676" i="1" s="1"/>
  <c r="W676" i="1"/>
  <c r="S676" i="1"/>
  <c r="Q676" i="1"/>
  <c r="N676" i="1"/>
  <c r="L676" i="1"/>
  <c r="K676" i="1"/>
  <c r="AB676" i="1"/>
  <c r="I676" i="1"/>
  <c r="X675" i="1"/>
  <c r="Z675" i="1" s="1"/>
  <c r="W675" i="1"/>
  <c r="S675" i="1"/>
  <c r="Q675" i="1"/>
  <c r="N675" i="1"/>
  <c r="L675" i="1"/>
  <c r="K675" i="1"/>
  <c r="AB675" i="1"/>
  <c r="I675" i="1"/>
  <c r="X674" i="1"/>
  <c r="Z674" i="1" s="1"/>
  <c r="W674" i="1"/>
  <c r="S674" i="1"/>
  <c r="Q674" i="1"/>
  <c r="N674" i="1"/>
  <c r="L674" i="1"/>
  <c r="K674" i="1"/>
  <c r="AB674" i="1"/>
  <c r="I674" i="1"/>
  <c r="X673" i="1"/>
  <c r="Z673" i="1" s="1"/>
  <c r="W673" i="1"/>
  <c r="S673" i="1"/>
  <c r="Q673" i="1"/>
  <c r="N673" i="1"/>
  <c r="L673" i="1"/>
  <c r="K673" i="1"/>
  <c r="AB673" i="1"/>
  <c r="I673" i="1"/>
  <c r="X672" i="1"/>
  <c r="Z672" i="1" s="1"/>
  <c r="W672" i="1"/>
  <c r="S672" i="1"/>
  <c r="Q672" i="1"/>
  <c r="N672" i="1"/>
  <c r="L672" i="1"/>
  <c r="K672" i="1"/>
  <c r="AB672" i="1"/>
  <c r="I672" i="1"/>
  <c r="X671" i="1"/>
  <c r="Z671" i="1" s="1"/>
  <c r="W671" i="1"/>
  <c r="S671" i="1"/>
  <c r="Q671" i="1"/>
  <c r="N671" i="1"/>
  <c r="L671" i="1"/>
  <c r="K671" i="1"/>
  <c r="AB671" i="1"/>
  <c r="I671" i="1"/>
  <c r="X670" i="1"/>
  <c r="Z670" i="1" s="1"/>
  <c r="W670" i="1"/>
  <c r="S670" i="1"/>
  <c r="Q670" i="1"/>
  <c r="N670" i="1"/>
  <c r="L670" i="1"/>
  <c r="K670" i="1"/>
  <c r="AB670" i="1"/>
  <c r="I670" i="1"/>
  <c r="X669" i="1"/>
  <c r="Z669" i="1" s="1"/>
  <c r="W669" i="1"/>
  <c r="S669" i="1"/>
  <c r="Q669" i="1"/>
  <c r="N669" i="1"/>
  <c r="L669" i="1"/>
  <c r="K669" i="1"/>
  <c r="AB669" i="1"/>
  <c r="I669" i="1"/>
  <c r="X668" i="1"/>
  <c r="Z668" i="1" s="1"/>
  <c r="W668" i="1"/>
  <c r="S668" i="1"/>
  <c r="Q668" i="1"/>
  <c r="N668" i="1"/>
  <c r="L668" i="1"/>
  <c r="K668" i="1"/>
  <c r="AB668" i="1"/>
  <c r="I668" i="1"/>
  <c r="X667" i="1"/>
  <c r="Z667" i="1" s="1"/>
  <c r="W667" i="1"/>
  <c r="S667" i="1"/>
  <c r="Q667" i="1"/>
  <c r="N667" i="1"/>
  <c r="L667" i="1"/>
  <c r="K667" i="1"/>
  <c r="AB667" i="1"/>
  <c r="I667" i="1"/>
  <c r="X666" i="1"/>
  <c r="Z666" i="1" s="1"/>
  <c r="W666" i="1"/>
  <c r="S666" i="1"/>
  <c r="Q666" i="1"/>
  <c r="N666" i="1"/>
  <c r="L666" i="1"/>
  <c r="K666" i="1"/>
  <c r="AB666" i="1"/>
  <c r="I666" i="1"/>
  <c r="X665" i="1"/>
  <c r="Z665" i="1" s="1"/>
  <c r="W665" i="1"/>
  <c r="S665" i="1"/>
  <c r="Q665" i="1"/>
  <c r="N665" i="1"/>
  <c r="L665" i="1"/>
  <c r="K665" i="1"/>
  <c r="AB665" i="1"/>
  <c r="I665" i="1"/>
  <c r="X664" i="1"/>
  <c r="Z664" i="1" s="1"/>
  <c r="W664" i="1"/>
  <c r="S664" i="1"/>
  <c r="Q664" i="1"/>
  <c r="N664" i="1"/>
  <c r="L664" i="1"/>
  <c r="K664" i="1"/>
  <c r="AB664" i="1"/>
  <c r="I664" i="1"/>
  <c r="X663" i="1"/>
  <c r="Z663" i="1" s="1"/>
  <c r="W663" i="1"/>
  <c r="S663" i="1"/>
  <c r="Q663" i="1"/>
  <c r="N663" i="1"/>
  <c r="L663" i="1"/>
  <c r="K663" i="1"/>
  <c r="AB663" i="1"/>
  <c r="I663" i="1"/>
  <c r="X662" i="1"/>
  <c r="Z662" i="1" s="1"/>
  <c r="W662" i="1"/>
  <c r="S662" i="1"/>
  <c r="Q662" i="1"/>
  <c r="N662" i="1"/>
  <c r="L662" i="1"/>
  <c r="K662" i="1"/>
  <c r="AB662" i="1"/>
  <c r="I662" i="1"/>
  <c r="X661" i="1"/>
  <c r="Z661" i="1" s="1"/>
  <c r="W661" i="1"/>
  <c r="S661" i="1"/>
  <c r="Q661" i="1"/>
  <c r="N661" i="1"/>
  <c r="L661" i="1"/>
  <c r="K661" i="1"/>
  <c r="AB661" i="1"/>
  <c r="I661" i="1"/>
  <c r="X660" i="1"/>
  <c r="Z660" i="1" s="1"/>
  <c r="W660" i="1"/>
  <c r="S660" i="1"/>
  <c r="Q660" i="1"/>
  <c r="N660" i="1"/>
  <c r="L660" i="1"/>
  <c r="K660" i="1"/>
  <c r="AB660" i="1"/>
  <c r="I660" i="1"/>
  <c r="X659" i="1"/>
  <c r="Z659" i="1" s="1"/>
  <c r="W659" i="1"/>
  <c r="S659" i="1"/>
  <c r="Q659" i="1"/>
  <c r="N659" i="1"/>
  <c r="L659" i="1"/>
  <c r="K659" i="1"/>
  <c r="AB659" i="1"/>
  <c r="I659" i="1"/>
  <c r="X658" i="1"/>
  <c r="Z658" i="1" s="1"/>
  <c r="W658" i="1"/>
  <c r="S658" i="1"/>
  <c r="Q658" i="1"/>
  <c r="N658" i="1"/>
  <c r="L658" i="1"/>
  <c r="K658" i="1"/>
  <c r="AB658" i="1"/>
  <c r="I658" i="1"/>
  <c r="X657" i="1"/>
  <c r="Z657" i="1" s="1"/>
  <c r="W657" i="1"/>
  <c r="S657" i="1"/>
  <c r="Q657" i="1"/>
  <c r="N657" i="1"/>
  <c r="L657" i="1"/>
  <c r="K657" i="1"/>
  <c r="AB657" i="1"/>
  <c r="I657" i="1"/>
  <c r="X656" i="1"/>
  <c r="Z656" i="1" s="1"/>
  <c r="W656" i="1"/>
  <c r="S656" i="1"/>
  <c r="Q656" i="1"/>
  <c r="N656" i="1"/>
  <c r="L656" i="1"/>
  <c r="K656" i="1"/>
  <c r="AB656" i="1"/>
  <c r="I656" i="1"/>
  <c r="X655" i="1"/>
  <c r="Z655" i="1" s="1"/>
  <c r="W655" i="1"/>
  <c r="S655" i="1"/>
  <c r="Q655" i="1"/>
  <c r="N655" i="1"/>
  <c r="L655" i="1"/>
  <c r="K655" i="1"/>
  <c r="AB655" i="1"/>
  <c r="I655" i="1"/>
  <c r="X654" i="1"/>
  <c r="Z654" i="1" s="1"/>
  <c r="W654" i="1"/>
  <c r="S654" i="1"/>
  <c r="Q654" i="1"/>
  <c r="N654" i="1"/>
  <c r="L654" i="1"/>
  <c r="K654" i="1"/>
  <c r="AB654" i="1"/>
  <c r="I654" i="1"/>
  <c r="X653" i="1"/>
  <c r="Z653" i="1" s="1"/>
  <c r="W653" i="1"/>
  <c r="S653" i="1"/>
  <c r="Q653" i="1"/>
  <c r="N653" i="1"/>
  <c r="L653" i="1"/>
  <c r="K653" i="1"/>
  <c r="AB653" i="1"/>
  <c r="I653" i="1"/>
  <c r="X652" i="1"/>
  <c r="Z652" i="1" s="1"/>
  <c r="W652" i="1"/>
  <c r="S652" i="1"/>
  <c r="Q652" i="1"/>
  <c r="N652" i="1"/>
  <c r="L652" i="1"/>
  <c r="K652" i="1"/>
  <c r="AB652" i="1"/>
  <c r="I652" i="1"/>
  <c r="X651" i="1"/>
  <c r="Z651" i="1" s="1"/>
  <c r="W651" i="1"/>
  <c r="S651" i="1"/>
  <c r="Q651" i="1"/>
  <c r="N651" i="1"/>
  <c r="L651" i="1"/>
  <c r="K651" i="1"/>
  <c r="AB651" i="1"/>
  <c r="I651" i="1"/>
  <c r="X650" i="1"/>
  <c r="Z650" i="1" s="1"/>
  <c r="W650" i="1"/>
  <c r="S650" i="1"/>
  <c r="Q650" i="1"/>
  <c r="N650" i="1"/>
  <c r="L650" i="1"/>
  <c r="K650" i="1"/>
  <c r="AB650" i="1"/>
  <c r="I650" i="1"/>
  <c r="X649" i="1"/>
  <c r="Z649" i="1" s="1"/>
  <c r="W649" i="1"/>
  <c r="S649" i="1"/>
  <c r="Q649" i="1"/>
  <c r="N649" i="1"/>
  <c r="L649" i="1"/>
  <c r="K649" i="1"/>
  <c r="AB649" i="1"/>
  <c r="I649" i="1"/>
  <c r="X648" i="1"/>
  <c r="Z648" i="1" s="1"/>
  <c r="W648" i="1"/>
  <c r="S648" i="1"/>
  <c r="Q648" i="1"/>
  <c r="N648" i="1"/>
  <c r="L648" i="1"/>
  <c r="K648" i="1"/>
  <c r="AB648" i="1"/>
  <c r="I648" i="1"/>
  <c r="X647" i="1"/>
  <c r="Z647" i="1" s="1"/>
  <c r="W647" i="1"/>
  <c r="S647" i="1"/>
  <c r="Q647" i="1"/>
  <c r="N647" i="1"/>
  <c r="L647" i="1"/>
  <c r="K647" i="1"/>
  <c r="AB647" i="1"/>
  <c r="I647" i="1"/>
  <c r="X646" i="1"/>
  <c r="Z646" i="1" s="1"/>
  <c r="W646" i="1"/>
  <c r="S646" i="1"/>
  <c r="Q646" i="1"/>
  <c r="N646" i="1"/>
  <c r="L646" i="1"/>
  <c r="K646" i="1"/>
  <c r="AB646" i="1"/>
  <c r="I646" i="1"/>
  <c r="X645" i="1"/>
  <c r="Z645" i="1" s="1"/>
  <c r="W645" i="1"/>
  <c r="S645" i="1"/>
  <c r="Q645" i="1"/>
  <c r="N645" i="1"/>
  <c r="L645" i="1"/>
  <c r="K645" i="1"/>
  <c r="AB645" i="1"/>
  <c r="I645" i="1"/>
  <c r="X644" i="1"/>
  <c r="Z644" i="1" s="1"/>
  <c r="W644" i="1"/>
  <c r="S644" i="1"/>
  <c r="Q644" i="1"/>
  <c r="N644" i="1"/>
  <c r="L644" i="1"/>
  <c r="K644" i="1"/>
  <c r="AB644" i="1"/>
  <c r="I644" i="1"/>
  <c r="X643" i="1"/>
  <c r="Z643" i="1" s="1"/>
  <c r="W643" i="1"/>
  <c r="S643" i="1"/>
  <c r="Q643" i="1"/>
  <c r="N643" i="1"/>
  <c r="L643" i="1"/>
  <c r="K643" i="1"/>
  <c r="AB643" i="1"/>
  <c r="I643" i="1"/>
  <c r="X642" i="1"/>
  <c r="Z642" i="1" s="1"/>
  <c r="W642" i="1"/>
  <c r="S642" i="1"/>
  <c r="Q642" i="1"/>
  <c r="N642" i="1"/>
  <c r="L642" i="1"/>
  <c r="K642" i="1"/>
  <c r="AB642" i="1"/>
  <c r="I642" i="1"/>
  <c r="X641" i="1"/>
  <c r="Z641" i="1" s="1"/>
  <c r="W641" i="1"/>
  <c r="S641" i="1"/>
  <c r="Q641" i="1"/>
  <c r="N641" i="1"/>
  <c r="L641" i="1"/>
  <c r="K641" i="1"/>
  <c r="AB641" i="1"/>
  <c r="I641" i="1"/>
  <c r="X640" i="1"/>
  <c r="Z640" i="1" s="1"/>
  <c r="W640" i="1"/>
  <c r="S640" i="1"/>
  <c r="Q640" i="1"/>
  <c r="N640" i="1"/>
  <c r="L640" i="1"/>
  <c r="K640" i="1"/>
  <c r="AB640" i="1"/>
  <c r="I640" i="1"/>
  <c r="X639" i="1"/>
  <c r="Z639" i="1" s="1"/>
  <c r="W639" i="1"/>
  <c r="S639" i="1"/>
  <c r="Q639" i="1"/>
  <c r="N639" i="1"/>
  <c r="L639" i="1"/>
  <c r="K639" i="1"/>
  <c r="AB639" i="1"/>
  <c r="I639" i="1"/>
  <c r="X638" i="1"/>
  <c r="Z638" i="1" s="1"/>
  <c r="W638" i="1"/>
  <c r="S638" i="1"/>
  <c r="Q638" i="1"/>
  <c r="N638" i="1"/>
  <c r="L638" i="1"/>
  <c r="K638" i="1"/>
  <c r="AB638" i="1"/>
  <c r="I638" i="1"/>
  <c r="X637" i="1"/>
  <c r="Z637" i="1" s="1"/>
  <c r="W637" i="1"/>
  <c r="S637" i="1"/>
  <c r="Q637" i="1"/>
  <c r="N637" i="1"/>
  <c r="L637" i="1"/>
  <c r="K637" i="1"/>
  <c r="AB637" i="1"/>
  <c r="I637" i="1"/>
  <c r="X636" i="1"/>
  <c r="Z636" i="1" s="1"/>
  <c r="W636" i="1"/>
  <c r="S636" i="1"/>
  <c r="Q636" i="1"/>
  <c r="N636" i="1"/>
  <c r="L636" i="1"/>
  <c r="K636" i="1"/>
  <c r="AB636" i="1"/>
  <c r="I636" i="1"/>
  <c r="X635" i="1"/>
  <c r="Z635" i="1" s="1"/>
  <c r="W635" i="1"/>
  <c r="S635" i="1"/>
  <c r="Q635" i="1"/>
  <c r="N635" i="1"/>
  <c r="L635" i="1"/>
  <c r="K635" i="1"/>
  <c r="AB635" i="1"/>
  <c r="I635" i="1"/>
  <c r="X634" i="1"/>
  <c r="Z634" i="1" s="1"/>
  <c r="W634" i="1"/>
  <c r="S634" i="1"/>
  <c r="Q634" i="1"/>
  <c r="N634" i="1"/>
  <c r="L634" i="1"/>
  <c r="K634" i="1"/>
  <c r="AB634" i="1"/>
  <c r="I634" i="1"/>
  <c r="X633" i="1"/>
  <c r="Z633" i="1" s="1"/>
  <c r="W633" i="1"/>
  <c r="S633" i="1"/>
  <c r="Q633" i="1"/>
  <c r="N633" i="1"/>
  <c r="L633" i="1"/>
  <c r="K633" i="1"/>
  <c r="AB633" i="1"/>
  <c r="I633" i="1"/>
  <c r="X632" i="1"/>
  <c r="Z632" i="1" s="1"/>
  <c r="W632" i="1"/>
  <c r="S632" i="1"/>
  <c r="Q632" i="1"/>
  <c r="N632" i="1"/>
  <c r="L632" i="1"/>
  <c r="K632" i="1"/>
  <c r="AB632" i="1"/>
  <c r="I632" i="1"/>
  <c r="X631" i="1"/>
  <c r="Z631" i="1" s="1"/>
  <c r="W631" i="1"/>
  <c r="S631" i="1"/>
  <c r="Q631" i="1"/>
  <c r="N631" i="1"/>
  <c r="L631" i="1"/>
  <c r="K631" i="1"/>
  <c r="AB631" i="1"/>
  <c r="I631" i="1"/>
  <c r="X630" i="1"/>
  <c r="Z630" i="1" s="1"/>
  <c r="W630" i="1"/>
  <c r="S630" i="1"/>
  <c r="Q630" i="1"/>
  <c r="N630" i="1"/>
  <c r="L630" i="1"/>
  <c r="K630" i="1"/>
  <c r="AB630" i="1"/>
  <c r="I630" i="1"/>
  <c r="X629" i="1"/>
  <c r="Z629" i="1" s="1"/>
  <c r="W629" i="1"/>
  <c r="S629" i="1"/>
  <c r="Q629" i="1"/>
  <c r="N629" i="1"/>
  <c r="L629" i="1"/>
  <c r="K629" i="1"/>
  <c r="AB629" i="1"/>
  <c r="I629" i="1"/>
  <c r="X628" i="1"/>
  <c r="Z628" i="1" s="1"/>
  <c r="W628" i="1"/>
  <c r="S628" i="1"/>
  <c r="Q628" i="1"/>
  <c r="N628" i="1"/>
  <c r="L628" i="1"/>
  <c r="K628" i="1"/>
  <c r="AB628" i="1"/>
  <c r="I628" i="1"/>
  <c r="X627" i="1"/>
  <c r="Z627" i="1" s="1"/>
  <c r="W627" i="1"/>
  <c r="S627" i="1"/>
  <c r="Q627" i="1"/>
  <c r="N627" i="1"/>
  <c r="L627" i="1"/>
  <c r="K627" i="1"/>
  <c r="AB627" i="1"/>
  <c r="I627" i="1"/>
  <c r="X626" i="1"/>
  <c r="Z626" i="1" s="1"/>
  <c r="W626" i="1"/>
  <c r="S626" i="1"/>
  <c r="Q626" i="1"/>
  <c r="N626" i="1"/>
  <c r="L626" i="1"/>
  <c r="K626" i="1"/>
  <c r="AB626" i="1"/>
  <c r="I626" i="1"/>
  <c r="X625" i="1"/>
  <c r="Z625" i="1" s="1"/>
  <c r="W625" i="1"/>
  <c r="S625" i="1"/>
  <c r="Q625" i="1"/>
  <c r="N625" i="1"/>
  <c r="L625" i="1"/>
  <c r="K625" i="1"/>
  <c r="AB625" i="1"/>
  <c r="I625" i="1"/>
  <c r="X624" i="1"/>
  <c r="Z624" i="1" s="1"/>
  <c r="W624" i="1"/>
  <c r="S624" i="1"/>
  <c r="Q624" i="1"/>
  <c r="N624" i="1"/>
  <c r="L624" i="1"/>
  <c r="K624" i="1"/>
  <c r="AB624" i="1"/>
  <c r="I624" i="1"/>
  <c r="X623" i="1"/>
  <c r="Z623" i="1" s="1"/>
  <c r="W623" i="1"/>
  <c r="S623" i="1"/>
  <c r="Q623" i="1"/>
  <c r="N623" i="1"/>
  <c r="L623" i="1"/>
  <c r="K623" i="1"/>
  <c r="AB623" i="1"/>
  <c r="I623" i="1"/>
  <c r="X622" i="1"/>
  <c r="Z622" i="1" s="1"/>
  <c r="W622" i="1"/>
  <c r="S622" i="1"/>
  <c r="Q622" i="1"/>
  <c r="N622" i="1"/>
  <c r="L622" i="1"/>
  <c r="K622" i="1"/>
  <c r="AB622" i="1"/>
  <c r="I622" i="1"/>
  <c r="X621" i="1"/>
  <c r="Z621" i="1" s="1"/>
  <c r="W621" i="1"/>
  <c r="S621" i="1"/>
  <c r="Q621" i="1"/>
  <c r="N621" i="1"/>
  <c r="L621" i="1"/>
  <c r="K621" i="1"/>
  <c r="AB621" i="1"/>
  <c r="I621" i="1"/>
  <c r="X620" i="1"/>
  <c r="Z620" i="1" s="1"/>
  <c r="W620" i="1"/>
  <c r="S620" i="1"/>
  <c r="Q620" i="1"/>
  <c r="N620" i="1"/>
  <c r="L620" i="1"/>
  <c r="K620" i="1"/>
  <c r="AB620" i="1"/>
  <c r="I620" i="1"/>
  <c r="X619" i="1"/>
  <c r="Z619" i="1" s="1"/>
  <c r="W619" i="1"/>
  <c r="S619" i="1"/>
  <c r="Q619" i="1"/>
  <c r="N619" i="1"/>
  <c r="L619" i="1"/>
  <c r="K619" i="1"/>
  <c r="AB619" i="1"/>
  <c r="I619" i="1"/>
  <c r="X618" i="1"/>
  <c r="Z618" i="1" s="1"/>
  <c r="W618" i="1"/>
  <c r="S618" i="1"/>
  <c r="Q618" i="1"/>
  <c r="N618" i="1"/>
  <c r="L618" i="1"/>
  <c r="K618" i="1"/>
  <c r="AB618" i="1"/>
  <c r="I618" i="1"/>
  <c r="X617" i="1"/>
  <c r="Z617" i="1" s="1"/>
  <c r="W617" i="1"/>
  <c r="S617" i="1"/>
  <c r="Q617" i="1"/>
  <c r="N617" i="1"/>
  <c r="L617" i="1"/>
  <c r="K617" i="1"/>
  <c r="AB617" i="1"/>
  <c r="I617" i="1"/>
  <c r="X616" i="1"/>
  <c r="Z616" i="1" s="1"/>
  <c r="W616" i="1"/>
  <c r="S616" i="1"/>
  <c r="Q616" i="1"/>
  <c r="N616" i="1"/>
  <c r="L616" i="1"/>
  <c r="K616" i="1"/>
  <c r="AB616" i="1"/>
  <c r="I616" i="1"/>
  <c r="X615" i="1"/>
  <c r="Z615" i="1" s="1"/>
  <c r="W615" i="1"/>
  <c r="S615" i="1"/>
  <c r="Q615" i="1"/>
  <c r="N615" i="1"/>
  <c r="L615" i="1"/>
  <c r="K615" i="1"/>
  <c r="AB615" i="1"/>
  <c r="I615" i="1"/>
  <c r="X614" i="1"/>
  <c r="Z614" i="1" s="1"/>
  <c r="W614" i="1"/>
  <c r="S614" i="1"/>
  <c r="Q614" i="1"/>
  <c r="N614" i="1"/>
  <c r="L614" i="1"/>
  <c r="K614" i="1"/>
  <c r="AB614" i="1"/>
  <c r="I614" i="1"/>
  <c r="X613" i="1"/>
  <c r="Z613" i="1" s="1"/>
  <c r="W613" i="1"/>
  <c r="S613" i="1"/>
  <c r="Q613" i="1"/>
  <c r="N613" i="1"/>
  <c r="L613" i="1"/>
  <c r="K613" i="1"/>
  <c r="AB613" i="1"/>
  <c r="I613" i="1"/>
  <c r="X612" i="1"/>
  <c r="Z612" i="1" s="1"/>
  <c r="W612" i="1"/>
  <c r="S612" i="1"/>
  <c r="Q612" i="1"/>
  <c r="N612" i="1"/>
  <c r="L612" i="1"/>
  <c r="K612" i="1"/>
  <c r="AB612" i="1"/>
  <c r="I612" i="1"/>
  <c r="X611" i="1"/>
  <c r="Z611" i="1" s="1"/>
  <c r="W611" i="1"/>
  <c r="S611" i="1"/>
  <c r="Q611" i="1"/>
  <c r="N611" i="1"/>
  <c r="L611" i="1"/>
  <c r="K611" i="1"/>
  <c r="AB611" i="1"/>
  <c r="I611" i="1"/>
  <c r="X610" i="1"/>
  <c r="Z610" i="1" s="1"/>
  <c r="W610" i="1"/>
  <c r="S610" i="1"/>
  <c r="Q610" i="1"/>
  <c r="N610" i="1"/>
  <c r="L610" i="1"/>
  <c r="K610" i="1"/>
  <c r="AB610" i="1"/>
  <c r="I610" i="1"/>
  <c r="X609" i="1"/>
  <c r="Z609" i="1" s="1"/>
  <c r="W609" i="1"/>
  <c r="S609" i="1"/>
  <c r="Q609" i="1"/>
  <c r="N609" i="1"/>
  <c r="L609" i="1"/>
  <c r="K609" i="1"/>
  <c r="AB609" i="1"/>
  <c r="I609" i="1"/>
  <c r="X608" i="1"/>
  <c r="Z608" i="1" s="1"/>
  <c r="W608" i="1"/>
  <c r="S608" i="1"/>
  <c r="Q608" i="1"/>
  <c r="N608" i="1"/>
  <c r="L608" i="1"/>
  <c r="K608" i="1"/>
  <c r="AB608" i="1"/>
  <c r="I608" i="1"/>
  <c r="X607" i="1"/>
  <c r="Z607" i="1" s="1"/>
  <c r="W607" i="1"/>
  <c r="S607" i="1"/>
  <c r="Q607" i="1"/>
  <c r="N607" i="1"/>
  <c r="L607" i="1"/>
  <c r="K607" i="1"/>
  <c r="AB607" i="1"/>
  <c r="I607" i="1"/>
  <c r="X606" i="1"/>
  <c r="Z606" i="1" s="1"/>
  <c r="W606" i="1"/>
  <c r="S606" i="1"/>
  <c r="Q606" i="1"/>
  <c r="N606" i="1"/>
  <c r="L606" i="1"/>
  <c r="K606" i="1"/>
  <c r="AB606" i="1"/>
  <c r="I606" i="1"/>
  <c r="X605" i="1"/>
  <c r="Z605" i="1" s="1"/>
  <c r="W605" i="1"/>
  <c r="S605" i="1"/>
  <c r="Q605" i="1"/>
  <c r="N605" i="1"/>
  <c r="L605" i="1"/>
  <c r="K605" i="1"/>
  <c r="AB605" i="1"/>
  <c r="I605" i="1"/>
  <c r="X604" i="1"/>
  <c r="Z604" i="1" s="1"/>
  <c r="W604" i="1"/>
  <c r="S604" i="1"/>
  <c r="Q604" i="1"/>
  <c r="N604" i="1"/>
  <c r="L604" i="1"/>
  <c r="K604" i="1"/>
  <c r="AB604" i="1"/>
  <c r="I604" i="1"/>
  <c r="X603" i="1"/>
  <c r="Z603" i="1" s="1"/>
  <c r="W603" i="1"/>
  <c r="S603" i="1"/>
  <c r="Q603" i="1"/>
  <c r="N603" i="1"/>
  <c r="L603" i="1"/>
  <c r="K603" i="1"/>
  <c r="AB603" i="1"/>
  <c r="I603" i="1"/>
  <c r="X602" i="1"/>
  <c r="Z602" i="1" s="1"/>
  <c r="W602" i="1"/>
  <c r="S602" i="1"/>
  <c r="Q602" i="1"/>
  <c r="N602" i="1"/>
  <c r="L602" i="1"/>
  <c r="K602" i="1"/>
  <c r="AB602" i="1"/>
  <c r="I602" i="1"/>
  <c r="X601" i="1"/>
  <c r="Z601" i="1" s="1"/>
  <c r="W601" i="1"/>
  <c r="S601" i="1"/>
  <c r="Q601" i="1"/>
  <c r="N601" i="1"/>
  <c r="L601" i="1"/>
  <c r="K601" i="1"/>
  <c r="AB601" i="1"/>
  <c r="I601" i="1"/>
  <c r="X600" i="1"/>
  <c r="Z600" i="1" s="1"/>
  <c r="W600" i="1"/>
  <c r="S600" i="1"/>
  <c r="Q600" i="1"/>
  <c r="N600" i="1"/>
  <c r="L600" i="1"/>
  <c r="K600" i="1"/>
  <c r="AB600" i="1"/>
  <c r="I600" i="1"/>
  <c r="X599" i="1"/>
  <c r="Z599" i="1" s="1"/>
  <c r="W599" i="1"/>
  <c r="S599" i="1"/>
  <c r="Q599" i="1"/>
  <c r="N599" i="1"/>
  <c r="L599" i="1"/>
  <c r="K599" i="1"/>
  <c r="AB599" i="1"/>
  <c r="I599" i="1"/>
  <c r="X598" i="1"/>
  <c r="Z598" i="1" s="1"/>
  <c r="W598" i="1"/>
  <c r="S598" i="1"/>
  <c r="Q598" i="1"/>
  <c r="N598" i="1"/>
  <c r="L598" i="1"/>
  <c r="K598" i="1"/>
  <c r="AB598" i="1"/>
  <c r="I598" i="1"/>
  <c r="X597" i="1"/>
  <c r="Z597" i="1" s="1"/>
  <c r="W597" i="1"/>
  <c r="S597" i="1"/>
  <c r="Q597" i="1"/>
  <c r="N597" i="1"/>
  <c r="L597" i="1"/>
  <c r="K597" i="1"/>
  <c r="AB597" i="1"/>
  <c r="I597" i="1"/>
  <c r="X596" i="1"/>
  <c r="Z596" i="1" s="1"/>
  <c r="W596" i="1"/>
  <c r="S596" i="1"/>
  <c r="Q596" i="1"/>
  <c r="N596" i="1"/>
  <c r="L596" i="1"/>
  <c r="K596" i="1"/>
  <c r="AB596" i="1"/>
  <c r="I596" i="1"/>
  <c r="X595" i="1"/>
  <c r="Z595" i="1" s="1"/>
  <c r="W595" i="1"/>
  <c r="S595" i="1"/>
  <c r="Q595" i="1"/>
  <c r="N595" i="1"/>
  <c r="L595" i="1"/>
  <c r="K595" i="1"/>
  <c r="AB595" i="1"/>
  <c r="I595" i="1"/>
  <c r="X594" i="1"/>
  <c r="Z594" i="1" s="1"/>
  <c r="W594" i="1"/>
  <c r="S594" i="1"/>
  <c r="Q594" i="1"/>
  <c r="N594" i="1"/>
  <c r="L594" i="1"/>
  <c r="K594" i="1"/>
  <c r="AB594" i="1"/>
  <c r="I594" i="1"/>
  <c r="X593" i="1"/>
  <c r="Z593" i="1" s="1"/>
  <c r="W593" i="1"/>
  <c r="S593" i="1"/>
  <c r="Q593" i="1"/>
  <c r="N593" i="1"/>
  <c r="L593" i="1"/>
  <c r="K593" i="1"/>
  <c r="AB593" i="1"/>
  <c r="I593" i="1"/>
  <c r="X592" i="1"/>
  <c r="Z592" i="1" s="1"/>
  <c r="W592" i="1"/>
  <c r="S592" i="1"/>
  <c r="Q592" i="1"/>
  <c r="N592" i="1"/>
  <c r="L592" i="1"/>
  <c r="K592" i="1"/>
  <c r="AB592" i="1"/>
  <c r="I592" i="1"/>
  <c r="X591" i="1"/>
  <c r="Z591" i="1" s="1"/>
  <c r="W591" i="1"/>
  <c r="S591" i="1"/>
  <c r="Q591" i="1"/>
  <c r="N591" i="1"/>
  <c r="L591" i="1"/>
  <c r="K591" i="1"/>
  <c r="AB591" i="1"/>
  <c r="I591" i="1"/>
  <c r="X590" i="1"/>
  <c r="Z590" i="1" s="1"/>
  <c r="W590" i="1"/>
  <c r="S590" i="1"/>
  <c r="Q590" i="1"/>
  <c r="N590" i="1"/>
  <c r="L590" i="1"/>
  <c r="K590" i="1"/>
  <c r="AB590" i="1"/>
  <c r="I590" i="1"/>
  <c r="X589" i="1"/>
  <c r="Z589" i="1" s="1"/>
  <c r="W589" i="1"/>
  <c r="S589" i="1"/>
  <c r="Q589" i="1"/>
  <c r="N589" i="1"/>
  <c r="L589" i="1"/>
  <c r="K589" i="1"/>
  <c r="AB589" i="1"/>
  <c r="I589" i="1"/>
  <c r="X588" i="1"/>
  <c r="Z588" i="1" s="1"/>
  <c r="W588" i="1"/>
  <c r="S588" i="1"/>
  <c r="Q588" i="1"/>
  <c r="N588" i="1"/>
  <c r="L588" i="1"/>
  <c r="K588" i="1"/>
  <c r="AB588" i="1"/>
  <c r="I588" i="1"/>
  <c r="X587" i="1"/>
  <c r="Z587" i="1" s="1"/>
  <c r="W587" i="1"/>
  <c r="S587" i="1"/>
  <c r="Q587" i="1"/>
  <c r="N587" i="1"/>
  <c r="L587" i="1"/>
  <c r="K587" i="1"/>
  <c r="AB587" i="1"/>
  <c r="I587" i="1"/>
  <c r="X586" i="1"/>
  <c r="Z586" i="1" s="1"/>
  <c r="W586" i="1"/>
  <c r="S586" i="1"/>
  <c r="Q586" i="1"/>
  <c r="N586" i="1"/>
  <c r="L586" i="1"/>
  <c r="K586" i="1"/>
  <c r="AB586" i="1"/>
  <c r="I586" i="1"/>
  <c r="X585" i="1"/>
  <c r="Z585" i="1" s="1"/>
  <c r="W585" i="1"/>
  <c r="S585" i="1"/>
  <c r="Q585" i="1"/>
  <c r="N585" i="1"/>
  <c r="L585" i="1"/>
  <c r="K585" i="1"/>
  <c r="AB585" i="1"/>
  <c r="I585" i="1"/>
  <c r="X584" i="1"/>
  <c r="Z584" i="1" s="1"/>
  <c r="W584" i="1"/>
  <c r="S584" i="1"/>
  <c r="Q584" i="1"/>
  <c r="N584" i="1"/>
  <c r="L584" i="1"/>
  <c r="K584" i="1"/>
  <c r="AB584" i="1"/>
  <c r="I584" i="1"/>
  <c r="X583" i="1"/>
  <c r="Z583" i="1" s="1"/>
  <c r="W583" i="1"/>
  <c r="S583" i="1"/>
  <c r="Q583" i="1"/>
  <c r="N583" i="1"/>
  <c r="L583" i="1"/>
  <c r="K583" i="1"/>
  <c r="AB583" i="1"/>
  <c r="I583" i="1"/>
  <c r="X582" i="1"/>
  <c r="Z582" i="1" s="1"/>
  <c r="W582" i="1"/>
  <c r="S582" i="1"/>
  <c r="Q582" i="1"/>
  <c r="N582" i="1"/>
  <c r="L582" i="1"/>
  <c r="K582" i="1"/>
  <c r="AB582" i="1"/>
  <c r="I582" i="1"/>
  <c r="X581" i="1"/>
  <c r="Z581" i="1" s="1"/>
  <c r="W581" i="1"/>
  <c r="S581" i="1"/>
  <c r="Q581" i="1"/>
  <c r="N581" i="1"/>
  <c r="L581" i="1"/>
  <c r="K581" i="1"/>
  <c r="AB581" i="1"/>
  <c r="I581" i="1"/>
  <c r="X580" i="1"/>
  <c r="Z580" i="1" s="1"/>
  <c r="W580" i="1"/>
  <c r="S580" i="1"/>
  <c r="Q580" i="1"/>
  <c r="N580" i="1"/>
  <c r="L580" i="1"/>
  <c r="K580" i="1"/>
  <c r="AB580" i="1"/>
  <c r="I580" i="1"/>
  <c r="X579" i="1"/>
  <c r="Z579" i="1" s="1"/>
  <c r="W579" i="1"/>
  <c r="S579" i="1"/>
  <c r="Q579" i="1"/>
  <c r="N579" i="1"/>
  <c r="L579" i="1"/>
  <c r="K579" i="1"/>
  <c r="AB579" i="1"/>
  <c r="I579" i="1"/>
  <c r="X578" i="1"/>
  <c r="Z578" i="1" s="1"/>
  <c r="W578" i="1"/>
  <c r="S578" i="1"/>
  <c r="Q578" i="1"/>
  <c r="N578" i="1"/>
  <c r="L578" i="1"/>
  <c r="K578" i="1"/>
  <c r="AB578" i="1"/>
  <c r="I578" i="1"/>
  <c r="X577" i="1"/>
  <c r="Z577" i="1" s="1"/>
  <c r="W577" i="1"/>
  <c r="S577" i="1"/>
  <c r="Q577" i="1"/>
  <c r="N577" i="1"/>
  <c r="L577" i="1"/>
  <c r="K577" i="1"/>
  <c r="AB577" i="1"/>
  <c r="I577" i="1"/>
  <c r="X576" i="1"/>
  <c r="Z576" i="1" s="1"/>
  <c r="W576" i="1"/>
  <c r="S576" i="1"/>
  <c r="Q576" i="1"/>
  <c r="N576" i="1"/>
  <c r="L576" i="1"/>
  <c r="K576" i="1"/>
  <c r="AB576" i="1"/>
  <c r="I576" i="1"/>
  <c r="X575" i="1"/>
  <c r="Z575" i="1" s="1"/>
  <c r="W575" i="1"/>
  <c r="S575" i="1"/>
  <c r="Q575" i="1"/>
  <c r="N575" i="1"/>
  <c r="L575" i="1"/>
  <c r="K575" i="1"/>
  <c r="AB575" i="1"/>
  <c r="I575" i="1"/>
  <c r="X574" i="1"/>
  <c r="Z574" i="1" s="1"/>
  <c r="W574" i="1"/>
  <c r="S574" i="1"/>
  <c r="Q574" i="1"/>
  <c r="N574" i="1"/>
  <c r="L574" i="1"/>
  <c r="K574" i="1"/>
  <c r="AB574" i="1"/>
  <c r="I574" i="1"/>
  <c r="X573" i="1"/>
  <c r="Z573" i="1" s="1"/>
  <c r="W573" i="1"/>
  <c r="S573" i="1"/>
  <c r="Q573" i="1"/>
  <c r="N573" i="1"/>
  <c r="L573" i="1"/>
  <c r="K573" i="1"/>
  <c r="AB573" i="1"/>
  <c r="I573" i="1"/>
  <c r="X572" i="1"/>
  <c r="Z572" i="1" s="1"/>
  <c r="W572" i="1"/>
  <c r="S572" i="1"/>
  <c r="Q572" i="1"/>
  <c r="N572" i="1"/>
  <c r="L572" i="1"/>
  <c r="K572" i="1"/>
  <c r="AB572" i="1"/>
  <c r="I572" i="1"/>
  <c r="X571" i="1"/>
  <c r="Z571" i="1" s="1"/>
  <c r="W571" i="1"/>
  <c r="S571" i="1"/>
  <c r="Q571" i="1"/>
  <c r="N571" i="1"/>
  <c r="L571" i="1"/>
  <c r="K571" i="1"/>
  <c r="AB571" i="1"/>
  <c r="I571" i="1"/>
  <c r="X570" i="1"/>
  <c r="Z570" i="1" s="1"/>
  <c r="W570" i="1"/>
  <c r="S570" i="1"/>
  <c r="Q570" i="1"/>
  <c r="N570" i="1"/>
  <c r="L570" i="1"/>
  <c r="K570" i="1"/>
  <c r="AB570" i="1"/>
  <c r="I570" i="1"/>
  <c r="X569" i="1"/>
  <c r="Z569" i="1" s="1"/>
  <c r="W569" i="1"/>
  <c r="S569" i="1"/>
  <c r="Q569" i="1"/>
  <c r="N569" i="1"/>
  <c r="L569" i="1"/>
  <c r="K569" i="1"/>
  <c r="AB569" i="1"/>
  <c r="I569" i="1"/>
  <c r="X568" i="1"/>
  <c r="Z568" i="1" s="1"/>
  <c r="W568" i="1"/>
  <c r="S568" i="1"/>
  <c r="Q568" i="1"/>
  <c r="N568" i="1"/>
  <c r="L568" i="1"/>
  <c r="K568" i="1"/>
  <c r="AB568" i="1"/>
  <c r="I568" i="1"/>
  <c r="X567" i="1"/>
  <c r="Z567" i="1" s="1"/>
  <c r="W567" i="1"/>
  <c r="S567" i="1"/>
  <c r="Q567" i="1"/>
  <c r="N567" i="1"/>
  <c r="L567" i="1"/>
  <c r="K567" i="1"/>
  <c r="AB567" i="1"/>
  <c r="I567" i="1"/>
  <c r="X566" i="1"/>
  <c r="Z566" i="1" s="1"/>
  <c r="W566" i="1"/>
  <c r="S566" i="1"/>
  <c r="Q566" i="1"/>
  <c r="N566" i="1"/>
  <c r="L566" i="1"/>
  <c r="K566" i="1"/>
  <c r="AB566" i="1"/>
  <c r="I566" i="1"/>
  <c r="X565" i="1"/>
  <c r="Z565" i="1" s="1"/>
  <c r="W565" i="1"/>
  <c r="S565" i="1"/>
  <c r="Q565" i="1"/>
  <c r="N565" i="1"/>
  <c r="L565" i="1"/>
  <c r="K565" i="1"/>
  <c r="AB565" i="1"/>
  <c r="I565" i="1"/>
  <c r="X564" i="1"/>
  <c r="Z564" i="1" s="1"/>
  <c r="W564" i="1"/>
  <c r="S564" i="1"/>
  <c r="Q564" i="1"/>
  <c r="N564" i="1"/>
  <c r="L564" i="1"/>
  <c r="K564" i="1"/>
  <c r="AB564" i="1"/>
  <c r="I564" i="1"/>
  <c r="X563" i="1"/>
  <c r="Z563" i="1" s="1"/>
  <c r="W563" i="1"/>
  <c r="S563" i="1"/>
  <c r="Q563" i="1"/>
  <c r="N563" i="1"/>
  <c r="L563" i="1"/>
  <c r="K563" i="1"/>
  <c r="AB563" i="1"/>
  <c r="I563" i="1"/>
  <c r="X562" i="1"/>
  <c r="Z562" i="1" s="1"/>
  <c r="W562" i="1"/>
  <c r="S562" i="1"/>
  <c r="Q562" i="1"/>
  <c r="N562" i="1"/>
  <c r="L562" i="1"/>
  <c r="K562" i="1"/>
  <c r="AB562" i="1"/>
  <c r="I562" i="1"/>
  <c r="X561" i="1"/>
  <c r="Z561" i="1" s="1"/>
  <c r="W561" i="1"/>
  <c r="S561" i="1"/>
  <c r="Q561" i="1"/>
  <c r="N561" i="1"/>
  <c r="L561" i="1"/>
  <c r="K561" i="1"/>
  <c r="AB561" i="1"/>
  <c r="I561" i="1"/>
  <c r="X560" i="1"/>
  <c r="Z560" i="1" s="1"/>
  <c r="W560" i="1"/>
  <c r="S560" i="1"/>
  <c r="Q560" i="1"/>
  <c r="N560" i="1"/>
  <c r="L560" i="1"/>
  <c r="K560" i="1"/>
  <c r="AB560" i="1"/>
  <c r="I560" i="1"/>
  <c r="X559" i="1"/>
  <c r="Z559" i="1" s="1"/>
  <c r="W559" i="1"/>
  <c r="S559" i="1"/>
  <c r="Q559" i="1"/>
  <c r="N559" i="1"/>
  <c r="L559" i="1"/>
  <c r="K559" i="1"/>
  <c r="AB559" i="1"/>
  <c r="I559" i="1"/>
  <c r="X558" i="1"/>
  <c r="Z558" i="1" s="1"/>
  <c r="W558" i="1"/>
  <c r="S558" i="1"/>
  <c r="Q558" i="1"/>
  <c r="N558" i="1"/>
  <c r="L558" i="1"/>
  <c r="K558" i="1"/>
  <c r="AB558" i="1"/>
  <c r="I558" i="1"/>
  <c r="X557" i="1"/>
  <c r="Z557" i="1" s="1"/>
  <c r="W557" i="1"/>
  <c r="S557" i="1"/>
  <c r="Q557" i="1"/>
  <c r="N557" i="1"/>
  <c r="L557" i="1"/>
  <c r="K557" i="1"/>
  <c r="AB557" i="1"/>
  <c r="I557" i="1"/>
  <c r="X556" i="1"/>
  <c r="Z556" i="1" s="1"/>
  <c r="W556" i="1"/>
  <c r="S556" i="1"/>
  <c r="Q556" i="1"/>
  <c r="N556" i="1"/>
  <c r="L556" i="1"/>
  <c r="K556" i="1"/>
  <c r="AB556" i="1"/>
  <c r="I556" i="1"/>
  <c r="X555" i="1"/>
  <c r="Z555" i="1" s="1"/>
  <c r="W555" i="1"/>
  <c r="S555" i="1"/>
  <c r="Q555" i="1"/>
  <c r="N555" i="1"/>
  <c r="L555" i="1"/>
  <c r="K555" i="1"/>
  <c r="AB555" i="1"/>
  <c r="I555" i="1"/>
  <c r="X554" i="1"/>
  <c r="Z554" i="1" s="1"/>
  <c r="W554" i="1"/>
  <c r="S554" i="1"/>
  <c r="Q554" i="1"/>
  <c r="N554" i="1"/>
  <c r="L554" i="1"/>
  <c r="K554" i="1"/>
  <c r="AB554" i="1"/>
  <c r="I554" i="1"/>
  <c r="X553" i="1"/>
  <c r="Z553" i="1" s="1"/>
  <c r="W553" i="1"/>
  <c r="S553" i="1"/>
  <c r="Q553" i="1"/>
  <c r="N553" i="1"/>
  <c r="L553" i="1"/>
  <c r="K553" i="1"/>
  <c r="AB553" i="1"/>
  <c r="I553" i="1"/>
  <c r="X552" i="1"/>
  <c r="Z552" i="1" s="1"/>
  <c r="W552" i="1"/>
  <c r="S552" i="1"/>
  <c r="Q552" i="1"/>
  <c r="N552" i="1"/>
  <c r="L552" i="1"/>
  <c r="K552" i="1"/>
  <c r="AB552" i="1"/>
  <c r="I552" i="1"/>
  <c r="X551" i="1"/>
  <c r="Z551" i="1" s="1"/>
  <c r="W551" i="1"/>
  <c r="S551" i="1"/>
  <c r="Q551" i="1"/>
  <c r="N551" i="1"/>
  <c r="L551" i="1"/>
  <c r="K551" i="1"/>
  <c r="AB551" i="1"/>
  <c r="I551" i="1"/>
  <c r="X550" i="1"/>
  <c r="Z550" i="1" s="1"/>
  <c r="W550" i="1"/>
  <c r="S550" i="1"/>
  <c r="Q550" i="1"/>
  <c r="N550" i="1"/>
  <c r="L550" i="1"/>
  <c r="K550" i="1"/>
  <c r="AB550" i="1"/>
  <c r="I550" i="1"/>
  <c r="X549" i="1"/>
  <c r="Z549" i="1" s="1"/>
  <c r="W549" i="1"/>
  <c r="S549" i="1"/>
  <c r="Q549" i="1"/>
  <c r="N549" i="1"/>
  <c r="L549" i="1"/>
  <c r="K549" i="1"/>
  <c r="AB549" i="1"/>
  <c r="I549" i="1"/>
  <c r="X548" i="1"/>
  <c r="Z548" i="1" s="1"/>
  <c r="W548" i="1"/>
  <c r="S548" i="1"/>
  <c r="Q548" i="1"/>
  <c r="N548" i="1"/>
  <c r="L548" i="1"/>
  <c r="K548" i="1"/>
  <c r="AB548" i="1"/>
  <c r="I548" i="1"/>
  <c r="X547" i="1"/>
  <c r="Z547" i="1" s="1"/>
  <c r="W547" i="1"/>
  <c r="S547" i="1"/>
  <c r="Q547" i="1"/>
  <c r="N547" i="1"/>
  <c r="L547" i="1"/>
  <c r="K547" i="1"/>
  <c r="AB547" i="1"/>
  <c r="I547" i="1"/>
  <c r="X546" i="1"/>
  <c r="Z546" i="1" s="1"/>
  <c r="W546" i="1"/>
  <c r="S546" i="1"/>
  <c r="Q546" i="1"/>
  <c r="N546" i="1"/>
  <c r="L546" i="1"/>
  <c r="K546" i="1"/>
  <c r="AB546" i="1"/>
  <c r="I546" i="1"/>
  <c r="X545" i="1"/>
  <c r="Z545" i="1" s="1"/>
  <c r="W545" i="1"/>
  <c r="S545" i="1"/>
  <c r="Q545" i="1"/>
  <c r="N545" i="1"/>
  <c r="L545" i="1"/>
  <c r="K545" i="1"/>
  <c r="AB545" i="1"/>
  <c r="I545" i="1"/>
  <c r="X544" i="1"/>
  <c r="Z544" i="1" s="1"/>
  <c r="W544" i="1"/>
  <c r="S544" i="1"/>
  <c r="Q544" i="1"/>
  <c r="N544" i="1"/>
  <c r="L544" i="1"/>
  <c r="K544" i="1"/>
  <c r="AB544" i="1"/>
  <c r="I544" i="1"/>
  <c r="X543" i="1"/>
  <c r="Z543" i="1" s="1"/>
  <c r="W543" i="1"/>
  <c r="S543" i="1"/>
  <c r="Q543" i="1"/>
  <c r="N543" i="1"/>
  <c r="L543" i="1"/>
  <c r="K543" i="1"/>
  <c r="AB543" i="1"/>
  <c r="I543" i="1"/>
  <c r="X542" i="1"/>
  <c r="Z542" i="1" s="1"/>
  <c r="W542" i="1"/>
  <c r="S542" i="1"/>
  <c r="Q542" i="1"/>
  <c r="N542" i="1"/>
  <c r="L542" i="1"/>
  <c r="K542" i="1"/>
  <c r="AB542" i="1"/>
  <c r="I542" i="1"/>
  <c r="X541" i="1"/>
  <c r="Z541" i="1" s="1"/>
  <c r="W541" i="1"/>
  <c r="S541" i="1"/>
  <c r="Q541" i="1"/>
  <c r="N541" i="1"/>
  <c r="L541" i="1"/>
  <c r="K541" i="1"/>
  <c r="AB541" i="1"/>
  <c r="I541" i="1"/>
  <c r="X540" i="1"/>
  <c r="Z540" i="1" s="1"/>
  <c r="W540" i="1"/>
  <c r="S540" i="1"/>
  <c r="Q540" i="1"/>
  <c r="N540" i="1"/>
  <c r="L540" i="1"/>
  <c r="K540" i="1"/>
  <c r="AB540" i="1"/>
  <c r="I540" i="1"/>
  <c r="X539" i="1"/>
  <c r="Z539" i="1" s="1"/>
  <c r="W539" i="1"/>
  <c r="S539" i="1"/>
  <c r="Q539" i="1"/>
  <c r="N539" i="1"/>
  <c r="L539" i="1"/>
  <c r="K539" i="1"/>
  <c r="AB539" i="1"/>
  <c r="I539" i="1"/>
  <c r="X538" i="1"/>
  <c r="Z538" i="1" s="1"/>
  <c r="W538" i="1"/>
  <c r="S538" i="1"/>
  <c r="Q538" i="1"/>
  <c r="N538" i="1"/>
  <c r="L538" i="1"/>
  <c r="K538" i="1"/>
  <c r="AB538" i="1"/>
  <c r="I538" i="1"/>
  <c r="X537" i="1"/>
  <c r="Z537" i="1" s="1"/>
  <c r="W537" i="1"/>
  <c r="S537" i="1"/>
  <c r="Q537" i="1"/>
  <c r="N537" i="1"/>
  <c r="L537" i="1"/>
  <c r="K537" i="1"/>
  <c r="AB537" i="1"/>
  <c r="I537" i="1"/>
  <c r="X536" i="1"/>
  <c r="Z536" i="1" s="1"/>
  <c r="W536" i="1"/>
  <c r="S536" i="1"/>
  <c r="Q536" i="1"/>
  <c r="N536" i="1"/>
  <c r="L536" i="1"/>
  <c r="K536" i="1"/>
  <c r="AB536" i="1"/>
  <c r="I536" i="1"/>
  <c r="X535" i="1"/>
  <c r="Z535" i="1" s="1"/>
  <c r="W535" i="1"/>
  <c r="S535" i="1"/>
  <c r="Q535" i="1"/>
  <c r="N535" i="1"/>
  <c r="L535" i="1"/>
  <c r="K535" i="1"/>
  <c r="AB535" i="1"/>
  <c r="I535" i="1"/>
  <c r="X534" i="1"/>
  <c r="Z534" i="1" s="1"/>
  <c r="W534" i="1"/>
  <c r="S534" i="1"/>
  <c r="Q534" i="1"/>
  <c r="N534" i="1"/>
  <c r="L534" i="1"/>
  <c r="K534" i="1"/>
  <c r="AB534" i="1"/>
  <c r="I534" i="1"/>
  <c r="X533" i="1"/>
  <c r="Z533" i="1" s="1"/>
  <c r="W533" i="1"/>
  <c r="S533" i="1"/>
  <c r="Q533" i="1"/>
  <c r="N533" i="1"/>
  <c r="L533" i="1"/>
  <c r="K533" i="1"/>
  <c r="AB533" i="1"/>
  <c r="I533" i="1"/>
  <c r="X532" i="1"/>
  <c r="Z532" i="1" s="1"/>
  <c r="W532" i="1"/>
  <c r="S532" i="1"/>
  <c r="Q532" i="1"/>
  <c r="N532" i="1"/>
  <c r="L532" i="1"/>
  <c r="K532" i="1"/>
  <c r="AB532" i="1"/>
  <c r="I532" i="1"/>
  <c r="X531" i="1"/>
  <c r="Z531" i="1" s="1"/>
  <c r="W531" i="1"/>
  <c r="S531" i="1"/>
  <c r="Q531" i="1"/>
  <c r="N531" i="1"/>
  <c r="L531" i="1"/>
  <c r="K531" i="1"/>
  <c r="AB531" i="1"/>
  <c r="I531" i="1"/>
  <c r="X530" i="1"/>
  <c r="Z530" i="1" s="1"/>
  <c r="W530" i="1"/>
  <c r="S530" i="1"/>
  <c r="Q530" i="1"/>
  <c r="N530" i="1"/>
  <c r="L530" i="1"/>
  <c r="K530" i="1"/>
  <c r="AB530" i="1"/>
  <c r="I530" i="1"/>
  <c r="X529" i="1"/>
  <c r="Z529" i="1" s="1"/>
  <c r="W529" i="1"/>
  <c r="S529" i="1"/>
  <c r="Q529" i="1"/>
  <c r="N529" i="1"/>
  <c r="L529" i="1"/>
  <c r="K529" i="1"/>
  <c r="AB529" i="1"/>
  <c r="I529" i="1"/>
  <c r="X528" i="1"/>
  <c r="Z528" i="1" s="1"/>
  <c r="W528" i="1"/>
  <c r="S528" i="1"/>
  <c r="Q528" i="1"/>
  <c r="N528" i="1"/>
  <c r="L528" i="1"/>
  <c r="K528" i="1"/>
  <c r="AB528" i="1"/>
  <c r="I528" i="1"/>
  <c r="X527" i="1"/>
  <c r="Z527" i="1" s="1"/>
  <c r="W527" i="1"/>
  <c r="S527" i="1"/>
  <c r="Q527" i="1"/>
  <c r="N527" i="1"/>
  <c r="L527" i="1"/>
  <c r="K527" i="1"/>
  <c r="AB527" i="1"/>
  <c r="I527" i="1"/>
  <c r="X526" i="1"/>
  <c r="Z526" i="1" s="1"/>
  <c r="W526" i="1"/>
  <c r="S526" i="1"/>
  <c r="Q526" i="1"/>
  <c r="N526" i="1"/>
  <c r="L526" i="1"/>
  <c r="K526" i="1"/>
  <c r="AB526" i="1"/>
  <c r="I526" i="1"/>
  <c r="X525" i="1"/>
  <c r="Z525" i="1" s="1"/>
  <c r="W525" i="1"/>
  <c r="S525" i="1"/>
  <c r="Q525" i="1"/>
  <c r="N525" i="1"/>
  <c r="L525" i="1"/>
  <c r="K525" i="1"/>
  <c r="AB525" i="1"/>
  <c r="I525" i="1"/>
  <c r="X524" i="1"/>
  <c r="Z524" i="1" s="1"/>
  <c r="W524" i="1"/>
  <c r="S524" i="1"/>
  <c r="Q524" i="1"/>
  <c r="N524" i="1"/>
  <c r="L524" i="1"/>
  <c r="K524" i="1"/>
  <c r="AB524" i="1"/>
  <c r="I524" i="1"/>
  <c r="X523" i="1"/>
  <c r="Z523" i="1" s="1"/>
  <c r="W523" i="1"/>
  <c r="S523" i="1"/>
  <c r="Q523" i="1"/>
  <c r="N523" i="1"/>
  <c r="L523" i="1"/>
  <c r="K523" i="1"/>
  <c r="AB523" i="1"/>
  <c r="I523" i="1"/>
  <c r="X522" i="1"/>
  <c r="Z522" i="1" s="1"/>
  <c r="W522" i="1"/>
  <c r="S522" i="1"/>
  <c r="Q522" i="1"/>
  <c r="N522" i="1"/>
  <c r="L522" i="1"/>
  <c r="K522" i="1"/>
  <c r="AB522" i="1"/>
  <c r="I522" i="1"/>
  <c r="X521" i="1"/>
  <c r="Z521" i="1" s="1"/>
  <c r="W521" i="1"/>
  <c r="S521" i="1"/>
  <c r="Q521" i="1"/>
  <c r="N521" i="1"/>
  <c r="L521" i="1"/>
  <c r="K521" i="1"/>
  <c r="AB521" i="1"/>
  <c r="I521" i="1"/>
  <c r="X520" i="1"/>
  <c r="Z520" i="1" s="1"/>
  <c r="W520" i="1"/>
  <c r="S520" i="1"/>
  <c r="Q520" i="1"/>
  <c r="N520" i="1"/>
  <c r="L520" i="1"/>
  <c r="K520" i="1"/>
  <c r="AB520" i="1"/>
  <c r="I520" i="1"/>
  <c r="X519" i="1"/>
  <c r="Z519" i="1" s="1"/>
  <c r="W519" i="1"/>
  <c r="S519" i="1"/>
  <c r="Q519" i="1"/>
  <c r="N519" i="1"/>
  <c r="L519" i="1"/>
  <c r="K519" i="1"/>
  <c r="AB519" i="1"/>
  <c r="I519" i="1"/>
  <c r="X518" i="1"/>
  <c r="Z518" i="1" s="1"/>
  <c r="W518" i="1"/>
  <c r="S518" i="1"/>
  <c r="Q518" i="1"/>
  <c r="N518" i="1"/>
  <c r="L518" i="1"/>
  <c r="K518" i="1"/>
  <c r="AB518" i="1"/>
  <c r="I518" i="1"/>
  <c r="X517" i="1"/>
  <c r="Z517" i="1" s="1"/>
  <c r="W517" i="1"/>
  <c r="S517" i="1"/>
  <c r="Q517" i="1"/>
  <c r="N517" i="1"/>
  <c r="L517" i="1"/>
  <c r="K517" i="1"/>
  <c r="AB517" i="1"/>
  <c r="I517" i="1"/>
  <c r="X516" i="1"/>
  <c r="Z516" i="1" s="1"/>
  <c r="W516" i="1"/>
  <c r="S516" i="1"/>
  <c r="Q516" i="1"/>
  <c r="N516" i="1"/>
  <c r="L516" i="1"/>
  <c r="K516" i="1"/>
  <c r="AB516" i="1"/>
  <c r="I516" i="1"/>
  <c r="X515" i="1"/>
  <c r="Z515" i="1" s="1"/>
  <c r="W515" i="1"/>
  <c r="S515" i="1"/>
  <c r="Q515" i="1"/>
  <c r="N515" i="1"/>
  <c r="L515" i="1"/>
  <c r="K515" i="1"/>
  <c r="AB515" i="1"/>
  <c r="I515" i="1"/>
  <c r="X514" i="1"/>
  <c r="Z514" i="1" s="1"/>
  <c r="W514" i="1"/>
  <c r="S514" i="1"/>
  <c r="Q514" i="1"/>
  <c r="N514" i="1"/>
  <c r="L514" i="1"/>
  <c r="K514" i="1"/>
  <c r="AB514" i="1"/>
  <c r="I514" i="1"/>
  <c r="X513" i="1"/>
  <c r="Z513" i="1" s="1"/>
  <c r="W513" i="1"/>
  <c r="S513" i="1"/>
  <c r="Q513" i="1"/>
  <c r="N513" i="1"/>
  <c r="L513" i="1"/>
  <c r="K513" i="1"/>
  <c r="AB513" i="1"/>
  <c r="I513" i="1"/>
  <c r="X512" i="1"/>
  <c r="Z512" i="1" s="1"/>
  <c r="W512" i="1"/>
  <c r="S512" i="1"/>
  <c r="Q512" i="1"/>
  <c r="N512" i="1"/>
  <c r="L512" i="1"/>
  <c r="K512" i="1"/>
  <c r="AB512" i="1"/>
  <c r="I512" i="1"/>
  <c r="X511" i="1"/>
  <c r="Z511" i="1" s="1"/>
  <c r="W511" i="1"/>
  <c r="S511" i="1"/>
  <c r="Q511" i="1"/>
  <c r="N511" i="1"/>
  <c r="L511" i="1"/>
  <c r="K511" i="1"/>
  <c r="AB511" i="1"/>
  <c r="I511" i="1"/>
  <c r="X510" i="1"/>
  <c r="Z510" i="1" s="1"/>
  <c r="W510" i="1"/>
  <c r="S510" i="1"/>
  <c r="Q510" i="1"/>
  <c r="N510" i="1"/>
  <c r="L510" i="1"/>
  <c r="K510" i="1"/>
  <c r="AB510" i="1"/>
  <c r="I510" i="1"/>
  <c r="X509" i="1"/>
  <c r="Z509" i="1" s="1"/>
  <c r="W509" i="1"/>
  <c r="S509" i="1"/>
  <c r="Q509" i="1"/>
  <c r="N509" i="1"/>
  <c r="L509" i="1"/>
  <c r="K509" i="1"/>
  <c r="AB509" i="1"/>
  <c r="I509" i="1"/>
  <c r="X508" i="1"/>
  <c r="Z508" i="1" s="1"/>
  <c r="W508" i="1"/>
  <c r="S508" i="1"/>
  <c r="Q508" i="1"/>
  <c r="N508" i="1"/>
  <c r="L508" i="1"/>
  <c r="K508" i="1"/>
  <c r="AB508" i="1"/>
  <c r="I508" i="1"/>
  <c r="X507" i="1"/>
  <c r="Z507" i="1" s="1"/>
  <c r="W507" i="1"/>
  <c r="S507" i="1"/>
  <c r="Q507" i="1"/>
  <c r="N507" i="1"/>
  <c r="L507" i="1"/>
  <c r="K507" i="1"/>
  <c r="AB507" i="1"/>
  <c r="I507" i="1"/>
  <c r="X506" i="1"/>
  <c r="Z506" i="1" s="1"/>
  <c r="W506" i="1"/>
  <c r="S506" i="1"/>
  <c r="Q506" i="1"/>
  <c r="N506" i="1"/>
  <c r="L506" i="1"/>
  <c r="K506" i="1"/>
  <c r="AB506" i="1"/>
  <c r="I506" i="1"/>
  <c r="X505" i="1"/>
  <c r="Z505" i="1" s="1"/>
  <c r="W505" i="1"/>
  <c r="S505" i="1"/>
  <c r="Q505" i="1"/>
  <c r="N505" i="1"/>
  <c r="L505" i="1"/>
  <c r="K505" i="1"/>
  <c r="AB505" i="1"/>
  <c r="I505" i="1"/>
  <c r="X504" i="1"/>
  <c r="Z504" i="1" s="1"/>
  <c r="W504" i="1"/>
  <c r="S504" i="1"/>
  <c r="Q504" i="1"/>
  <c r="N504" i="1"/>
  <c r="L504" i="1"/>
  <c r="K504" i="1"/>
  <c r="AB504" i="1"/>
  <c r="I504" i="1"/>
  <c r="X503" i="1"/>
  <c r="Z503" i="1" s="1"/>
  <c r="W503" i="1"/>
  <c r="S503" i="1"/>
  <c r="Q503" i="1"/>
  <c r="N503" i="1"/>
  <c r="L503" i="1"/>
  <c r="K503" i="1"/>
  <c r="AB503" i="1"/>
  <c r="I503" i="1"/>
  <c r="X502" i="1"/>
  <c r="Z502" i="1" s="1"/>
  <c r="W502" i="1"/>
  <c r="S502" i="1"/>
  <c r="Q502" i="1"/>
  <c r="N502" i="1"/>
  <c r="L502" i="1"/>
  <c r="K502" i="1"/>
  <c r="AB502" i="1"/>
  <c r="I502" i="1"/>
  <c r="X501" i="1"/>
  <c r="Z501" i="1" s="1"/>
  <c r="W501" i="1"/>
  <c r="S501" i="1"/>
  <c r="Q501" i="1"/>
  <c r="N501" i="1"/>
  <c r="L501" i="1"/>
  <c r="K501" i="1"/>
  <c r="AB501" i="1"/>
  <c r="I501" i="1"/>
  <c r="X500" i="1"/>
  <c r="Z500" i="1" s="1"/>
  <c r="W500" i="1"/>
  <c r="S500" i="1"/>
  <c r="Q500" i="1"/>
  <c r="N500" i="1"/>
  <c r="L500" i="1"/>
  <c r="K500" i="1"/>
  <c r="AB500" i="1"/>
  <c r="I500" i="1"/>
  <c r="X499" i="1"/>
  <c r="Z499" i="1" s="1"/>
  <c r="W499" i="1"/>
  <c r="S499" i="1"/>
  <c r="Q499" i="1"/>
  <c r="N499" i="1"/>
  <c r="L499" i="1"/>
  <c r="K499" i="1"/>
  <c r="AB499" i="1"/>
  <c r="I499" i="1"/>
  <c r="X498" i="1"/>
  <c r="Z498" i="1" s="1"/>
  <c r="W498" i="1"/>
  <c r="S498" i="1"/>
  <c r="Q498" i="1"/>
  <c r="N498" i="1"/>
  <c r="L498" i="1"/>
  <c r="K498" i="1"/>
  <c r="AB498" i="1"/>
  <c r="I498" i="1"/>
  <c r="X497" i="1"/>
  <c r="Z497" i="1" s="1"/>
  <c r="W497" i="1"/>
  <c r="S497" i="1"/>
  <c r="Q497" i="1"/>
  <c r="N497" i="1"/>
  <c r="L497" i="1"/>
  <c r="K497" i="1"/>
  <c r="AB497" i="1"/>
  <c r="I497" i="1"/>
  <c r="X496" i="1"/>
  <c r="Z496" i="1" s="1"/>
  <c r="W496" i="1"/>
  <c r="S496" i="1"/>
  <c r="Q496" i="1"/>
  <c r="N496" i="1"/>
  <c r="L496" i="1"/>
  <c r="K496" i="1"/>
  <c r="AB496" i="1"/>
  <c r="I496" i="1"/>
  <c r="X495" i="1"/>
  <c r="Z495" i="1" s="1"/>
  <c r="W495" i="1"/>
  <c r="S495" i="1"/>
  <c r="Q495" i="1"/>
  <c r="N495" i="1"/>
  <c r="L495" i="1"/>
  <c r="K495" i="1"/>
  <c r="AB495" i="1"/>
  <c r="I495" i="1"/>
  <c r="X494" i="1"/>
  <c r="Z494" i="1" s="1"/>
  <c r="W494" i="1"/>
  <c r="S494" i="1"/>
  <c r="Q494" i="1"/>
  <c r="N494" i="1"/>
  <c r="L494" i="1"/>
  <c r="K494" i="1"/>
  <c r="AB494" i="1"/>
  <c r="I494" i="1"/>
  <c r="X493" i="1"/>
  <c r="Z493" i="1" s="1"/>
  <c r="W493" i="1"/>
  <c r="S493" i="1"/>
  <c r="Q493" i="1"/>
  <c r="N493" i="1"/>
  <c r="L493" i="1"/>
  <c r="K493" i="1"/>
  <c r="AB493" i="1"/>
  <c r="I493" i="1"/>
  <c r="X492" i="1"/>
  <c r="Z492" i="1" s="1"/>
  <c r="W492" i="1"/>
  <c r="S492" i="1"/>
  <c r="Q492" i="1"/>
  <c r="N492" i="1"/>
  <c r="L492" i="1"/>
  <c r="K492" i="1"/>
  <c r="AB492" i="1"/>
  <c r="I492" i="1"/>
  <c r="X491" i="1"/>
  <c r="Z491" i="1" s="1"/>
  <c r="W491" i="1"/>
  <c r="S491" i="1"/>
  <c r="Q491" i="1"/>
  <c r="N491" i="1"/>
  <c r="L491" i="1"/>
  <c r="K491" i="1"/>
  <c r="AB491" i="1"/>
  <c r="I491" i="1"/>
  <c r="X490" i="1"/>
  <c r="Z490" i="1" s="1"/>
  <c r="W490" i="1"/>
  <c r="S490" i="1"/>
  <c r="Q490" i="1"/>
  <c r="N490" i="1"/>
  <c r="L490" i="1"/>
  <c r="K490" i="1"/>
  <c r="AB490" i="1"/>
  <c r="I490" i="1"/>
  <c r="X489" i="1"/>
  <c r="Z489" i="1" s="1"/>
  <c r="W489" i="1"/>
  <c r="S489" i="1"/>
  <c r="Q489" i="1"/>
  <c r="N489" i="1"/>
  <c r="L489" i="1"/>
  <c r="K489" i="1"/>
  <c r="AB489" i="1"/>
  <c r="I489" i="1"/>
  <c r="X488" i="1"/>
  <c r="Z488" i="1" s="1"/>
  <c r="W488" i="1"/>
  <c r="S488" i="1"/>
  <c r="Q488" i="1"/>
  <c r="N488" i="1"/>
  <c r="L488" i="1"/>
  <c r="K488" i="1"/>
  <c r="AB488" i="1"/>
  <c r="I488" i="1"/>
  <c r="X487" i="1"/>
  <c r="Z487" i="1" s="1"/>
  <c r="W487" i="1"/>
  <c r="S487" i="1"/>
  <c r="Q487" i="1"/>
  <c r="N487" i="1"/>
  <c r="L487" i="1"/>
  <c r="K487" i="1"/>
  <c r="AB487" i="1"/>
  <c r="I487" i="1"/>
  <c r="X486" i="1"/>
  <c r="Z486" i="1" s="1"/>
  <c r="W486" i="1"/>
  <c r="S486" i="1"/>
  <c r="Q486" i="1"/>
  <c r="N486" i="1"/>
  <c r="L486" i="1"/>
  <c r="K486" i="1"/>
  <c r="AB486" i="1"/>
  <c r="I486" i="1"/>
  <c r="X485" i="1"/>
  <c r="Z485" i="1" s="1"/>
  <c r="W485" i="1"/>
  <c r="S485" i="1"/>
  <c r="Q485" i="1"/>
  <c r="N485" i="1"/>
  <c r="L485" i="1"/>
  <c r="K485" i="1"/>
  <c r="AB485" i="1"/>
  <c r="I485" i="1"/>
  <c r="X484" i="1"/>
  <c r="Z484" i="1" s="1"/>
  <c r="W484" i="1"/>
  <c r="S484" i="1"/>
  <c r="Q484" i="1"/>
  <c r="N484" i="1"/>
  <c r="L484" i="1"/>
  <c r="K484" i="1"/>
  <c r="AB484" i="1"/>
  <c r="I484" i="1"/>
  <c r="X483" i="1"/>
  <c r="Z483" i="1" s="1"/>
  <c r="W483" i="1"/>
  <c r="S483" i="1"/>
  <c r="Q483" i="1"/>
  <c r="N483" i="1"/>
  <c r="L483" i="1"/>
  <c r="K483" i="1"/>
  <c r="AB483" i="1"/>
  <c r="I483" i="1"/>
  <c r="X482" i="1"/>
  <c r="Z482" i="1" s="1"/>
  <c r="W482" i="1"/>
  <c r="S482" i="1"/>
  <c r="Q482" i="1"/>
  <c r="N482" i="1"/>
  <c r="L482" i="1"/>
  <c r="K482" i="1"/>
  <c r="AB482" i="1"/>
  <c r="I482" i="1"/>
  <c r="X481" i="1"/>
  <c r="Z481" i="1" s="1"/>
  <c r="W481" i="1"/>
  <c r="S481" i="1"/>
  <c r="Q481" i="1"/>
  <c r="N481" i="1"/>
  <c r="L481" i="1"/>
  <c r="K481" i="1"/>
  <c r="AB481" i="1"/>
  <c r="I481" i="1"/>
  <c r="X480" i="1"/>
  <c r="Z480" i="1" s="1"/>
  <c r="W480" i="1"/>
  <c r="S480" i="1"/>
  <c r="Q480" i="1"/>
  <c r="N480" i="1"/>
  <c r="L480" i="1"/>
  <c r="K480" i="1"/>
  <c r="AB480" i="1"/>
  <c r="I480" i="1"/>
  <c r="X479" i="1"/>
  <c r="Z479" i="1" s="1"/>
  <c r="W479" i="1"/>
  <c r="S479" i="1"/>
  <c r="Q479" i="1"/>
  <c r="N479" i="1"/>
  <c r="L479" i="1"/>
  <c r="K479" i="1"/>
  <c r="AB479" i="1"/>
  <c r="I479" i="1"/>
  <c r="X478" i="1"/>
  <c r="Z478" i="1" s="1"/>
  <c r="W478" i="1"/>
  <c r="S478" i="1"/>
  <c r="Q478" i="1"/>
  <c r="N478" i="1"/>
  <c r="L478" i="1"/>
  <c r="K478" i="1"/>
  <c r="AB478" i="1"/>
  <c r="I478" i="1"/>
  <c r="X477" i="1"/>
  <c r="Z477" i="1" s="1"/>
  <c r="W477" i="1"/>
  <c r="S477" i="1"/>
  <c r="Q477" i="1"/>
  <c r="N477" i="1"/>
  <c r="L477" i="1"/>
  <c r="K477" i="1"/>
  <c r="AB477" i="1"/>
  <c r="I477" i="1"/>
  <c r="X476" i="1"/>
  <c r="Z476" i="1" s="1"/>
  <c r="W476" i="1"/>
  <c r="S476" i="1"/>
  <c r="Q476" i="1"/>
  <c r="N476" i="1"/>
  <c r="L476" i="1"/>
  <c r="K476" i="1"/>
  <c r="AB476" i="1"/>
  <c r="I476" i="1"/>
  <c r="X475" i="1"/>
  <c r="Z475" i="1" s="1"/>
  <c r="W475" i="1"/>
  <c r="S475" i="1"/>
  <c r="Q475" i="1"/>
  <c r="N475" i="1"/>
  <c r="L475" i="1"/>
  <c r="K475" i="1"/>
  <c r="AB475" i="1"/>
  <c r="I475" i="1"/>
  <c r="X474" i="1"/>
  <c r="Z474" i="1" s="1"/>
  <c r="W474" i="1"/>
  <c r="S474" i="1"/>
  <c r="Q474" i="1"/>
  <c r="N474" i="1"/>
  <c r="L474" i="1"/>
  <c r="K474" i="1"/>
  <c r="AB474" i="1"/>
  <c r="I474" i="1"/>
  <c r="X473" i="1"/>
  <c r="Z473" i="1" s="1"/>
  <c r="W473" i="1"/>
  <c r="S473" i="1"/>
  <c r="Q473" i="1"/>
  <c r="N473" i="1"/>
  <c r="L473" i="1"/>
  <c r="K473" i="1"/>
  <c r="AB473" i="1"/>
  <c r="I473" i="1"/>
  <c r="X472" i="1"/>
  <c r="Z472" i="1" s="1"/>
  <c r="W472" i="1"/>
  <c r="S472" i="1"/>
  <c r="Q472" i="1"/>
  <c r="N472" i="1"/>
  <c r="L472" i="1"/>
  <c r="K472" i="1"/>
  <c r="AB472" i="1"/>
  <c r="I472" i="1"/>
  <c r="X471" i="1"/>
  <c r="Z471" i="1" s="1"/>
  <c r="W471" i="1"/>
  <c r="S471" i="1"/>
  <c r="Q471" i="1"/>
  <c r="N471" i="1"/>
  <c r="L471" i="1"/>
  <c r="K471" i="1"/>
  <c r="AB471" i="1"/>
  <c r="I471" i="1"/>
  <c r="X470" i="1"/>
  <c r="Z470" i="1" s="1"/>
  <c r="W470" i="1"/>
  <c r="S470" i="1"/>
  <c r="Q470" i="1"/>
  <c r="N470" i="1"/>
  <c r="L470" i="1"/>
  <c r="K470" i="1"/>
  <c r="AB470" i="1"/>
  <c r="I470" i="1"/>
  <c r="X469" i="1"/>
  <c r="Z469" i="1" s="1"/>
  <c r="W469" i="1"/>
  <c r="S469" i="1"/>
  <c r="Q469" i="1"/>
  <c r="N469" i="1"/>
  <c r="L469" i="1"/>
  <c r="K469" i="1"/>
  <c r="AB469" i="1"/>
  <c r="I469" i="1"/>
  <c r="X468" i="1"/>
  <c r="Z468" i="1" s="1"/>
  <c r="W468" i="1"/>
  <c r="S468" i="1"/>
  <c r="Q468" i="1"/>
  <c r="N468" i="1"/>
  <c r="L468" i="1"/>
  <c r="K468" i="1"/>
  <c r="AB468" i="1"/>
  <c r="I468" i="1"/>
  <c r="X467" i="1"/>
  <c r="Z467" i="1" s="1"/>
  <c r="W467" i="1"/>
  <c r="S467" i="1"/>
  <c r="Q467" i="1"/>
  <c r="N467" i="1"/>
  <c r="L467" i="1"/>
  <c r="K467" i="1"/>
  <c r="AB467" i="1"/>
  <c r="I467" i="1"/>
  <c r="X466" i="1"/>
  <c r="Z466" i="1" s="1"/>
  <c r="W466" i="1"/>
  <c r="S466" i="1"/>
  <c r="Q466" i="1"/>
  <c r="N466" i="1"/>
  <c r="L466" i="1"/>
  <c r="K466" i="1"/>
  <c r="AB466" i="1"/>
  <c r="I466" i="1"/>
  <c r="X465" i="1"/>
  <c r="Z465" i="1" s="1"/>
  <c r="W465" i="1"/>
  <c r="S465" i="1"/>
  <c r="Q465" i="1"/>
  <c r="N465" i="1"/>
  <c r="L465" i="1"/>
  <c r="K465" i="1"/>
  <c r="AB465" i="1"/>
  <c r="I465" i="1"/>
  <c r="X464" i="1"/>
  <c r="Z464" i="1" s="1"/>
  <c r="W464" i="1"/>
  <c r="S464" i="1"/>
  <c r="Q464" i="1"/>
  <c r="N464" i="1"/>
  <c r="L464" i="1"/>
  <c r="K464" i="1"/>
  <c r="AB464" i="1"/>
  <c r="I464" i="1"/>
  <c r="X463" i="1"/>
  <c r="Z463" i="1" s="1"/>
  <c r="W463" i="1"/>
  <c r="S463" i="1"/>
  <c r="Q463" i="1"/>
  <c r="N463" i="1"/>
  <c r="L463" i="1"/>
  <c r="K463" i="1"/>
  <c r="AB463" i="1"/>
  <c r="I463" i="1"/>
  <c r="X462" i="1"/>
  <c r="Z462" i="1" s="1"/>
  <c r="W462" i="1"/>
  <c r="S462" i="1"/>
  <c r="Q462" i="1"/>
  <c r="N462" i="1"/>
  <c r="L462" i="1"/>
  <c r="K462" i="1"/>
  <c r="AB462" i="1"/>
  <c r="I462" i="1"/>
  <c r="X461" i="1"/>
  <c r="Z461" i="1" s="1"/>
  <c r="W461" i="1"/>
  <c r="S461" i="1"/>
  <c r="Q461" i="1"/>
  <c r="N461" i="1"/>
  <c r="L461" i="1"/>
  <c r="K461" i="1"/>
  <c r="AB461" i="1"/>
  <c r="I461" i="1"/>
  <c r="X460" i="1"/>
  <c r="Z460" i="1" s="1"/>
  <c r="W460" i="1"/>
  <c r="S460" i="1"/>
  <c r="Q460" i="1"/>
  <c r="N460" i="1"/>
  <c r="L460" i="1"/>
  <c r="K460" i="1"/>
  <c r="AB460" i="1"/>
  <c r="I460" i="1"/>
  <c r="X459" i="1"/>
  <c r="Z459" i="1" s="1"/>
  <c r="W459" i="1"/>
  <c r="S459" i="1"/>
  <c r="Q459" i="1"/>
  <c r="N459" i="1"/>
  <c r="L459" i="1"/>
  <c r="K459" i="1"/>
  <c r="AB459" i="1"/>
  <c r="I459" i="1"/>
  <c r="X458" i="1"/>
  <c r="Z458" i="1" s="1"/>
  <c r="W458" i="1"/>
  <c r="S458" i="1"/>
  <c r="Q458" i="1"/>
  <c r="N458" i="1"/>
  <c r="L458" i="1"/>
  <c r="K458" i="1"/>
  <c r="AB458" i="1"/>
  <c r="I458" i="1"/>
  <c r="X457" i="1"/>
  <c r="Z457" i="1" s="1"/>
  <c r="W457" i="1"/>
  <c r="S457" i="1"/>
  <c r="Q457" i="1"/>
  <c r="N457" i="1"/>
  <c r="L457" i="1"/>
  <c r="K457" i="1"/>
  <c r="AB457" i="1"/>
  <c r="I457" i="1"/>
  <c r="X456" i="1"/>
  <c r="Z456" i="1" s="1"/>
  <c r="W456" i="1"/>
  <c r="S456" i="1"/>
  <c r="Q456" i="1"/>
  <c r="N456" i="1"/>
  <c r="L456" i="1"/>
  <c r="K456" i="1"/>
  <c r="AB456" i="1"/>
  <c r="I456" i="1"/>
  <c r="X455" i="1"/>
  <c r="Z455" i="1" s="1"/>
  <c r="W455" i="1"/>
  <c r="S455" i="1"/>
  <c r="Q455" i="1"/>
  <c r="N455" i="1"/>
  <c r="L455" i="1"/>
  <c r="K455" i="1"/>
  <c r="AB455" i="1"/>
  <c r="I455" i="1"/>
  <c r="X454" i="1"/>
  <c r="Z454" i="1" s="1"/>
  <c r="W454" i="1"/>
  <c r="S454" i="1"/>
  <c r="Q454" i="1"/>
  <c r="N454" i="1"/>
  <c r="L454" i="1"/>
  <c r="K454" i="1"/>
  <c r="AB454" i="1"/>
  <c r="I454" i="1"/>
  <c r="X453" i="1"/>
  <c r="Z453" i="1" s="1"/>
  <c r="W453" i="1"/>
  <c r="S453" i="1"/>
  <c r="Q453" i="1"/>
  <c r="N453" i="1"/>
  <c r="L453" i="1"/>
  <c r="K453" i="1"/>
  <c r="AB453" i="1"/>
  <c r="I453" i="1"/>
  <c r="X452" i="1"/>
  <c r="Z452" i="1" s="1"/>
  <c r="W452" i="1"/>
  <c r="S452" i="1"/>
  <c r="Q452" i="1"/>
  <c r="N452" i="1"/>
  <c r="L452" i="1"/>
  <c r="K452" i="1"/>
  <c r="AB452" i="1"/>
  <c r="I452" i="1"/>
  <c r="X451" i="1"/>
  <c r="Z451" i="1" s="1"/>
  <c r="W451" i="1"/>
  <c r="S451" i="1"/>
  <c r="Q451" i="1"/>
  <c r="N451" i="1"/>
  <c r="L451" i="1"/>
  <c r="K451" i="1"/>
  <c r="AB451" i="1"/>
  <c r="I451" i="1"/>
  <c r="X450" i="1"/>
  <c r="Z450" i="1" s="1"/>
  <c r="W450" i="1"/>
  <c r="S450" i="1"/>
  <c r="Q450" i="1"/>
  <c r="N450" i="1"/>
  <c r="L450" i="1"/>
  <c r="K450" i="1"/>
  <c r="AB450" i="1"/>
  <c r="I450" i="1"/>
  <c r="X449" i="1"/>
  <c r="Z449" i="1" s="1"/>
  <c r="W449" i="1"/>
  <c r="S449" i="1"/>
  <c r="Q449" i="1"/>
  <c r="N449" i="1"/>
  <c r="L449" i="1"/>
  <c r="K449" i="1"/>
  <c r="AB449" i="1"/>
  <c r="I449" i="1"/>
  <c r="X448" i="1"/>
  <c r="Z448" i="1" s="1"/>
  <c r="W448" i="1"/>
  <c r="S448" i="1"/>
  <c r="Q448" i="1"/>
  <c r="N448" i="1"/>
  <c r="L448" i="1"/>
  <c r="K448" i="1"/>
  <c r="AB448" i="1"/>
  <c r="I448" i="1"/>
  <c r="X447" i="1"/>
  <c r="Z447" i="1" s="1"/>
  <c r="W447" i="1"/>
  <c r="S447" i="1"/>
  <c r="Q447" i="1"/>
  <c r="N447" i="1"/>
  <c r="L447" i="1"/>
  <c r="K447" i="1"/>
  <c r="AB447" i="1"/>
  <c r="I447" i="1"/>
  <c r="X446" i="1"/>
  <c r="Z446" i="1" s="1"/>
  <c r="W446" i="1"/>
  <c r="S446" i="1"/>
  <c r="Q446" i="1"/>
  <c r="N446" i="1"/>
  <c r="L446" i="1"/>
  <c r="K446" i="1"/>
  <c r="AB446" i="1"/>
  <c r="I446" i="1"/>
  <c r="X445" i="1"/>
  <c r="Z445" i="1" s="1"/>
  <c r="W445" i="1"/>
  <c r="S445" i="1"/>
  <c r="Q445" i="1"/>
  <c r="N445" i="1"/>
  <c r="L445" i="1"/>
  <c r="K445" i="1"/>
  <c r="AB445" i="1"/>
  <c r="I445" i="1"/>
  <c r="X444" i="1"/>
  <c r="Z444" i="1" s="1"/>
  <c r="W444" i="1"/>
  <c r="S444" i="1"/>
  <c r="Q444" i="1"/>
  <c r="N444" i="1"/>
  <c r="L444" i="1"/>
  <c r="K444" i="1"/>
  <c r="AB444" i="1"/>
  <c r="I444" i="1"/>
  <c r="X443" i="1"/>
  <c r="Z443" i="1" s="1"/>
  <c r="W443" i="1"/>
  <c r="S443" i="1"/>
  <c r="Q443" i="1"/>
  <c r="N443" i="1"/>
  <c r="L443" i="1"/>
  <c r="K443" i="1"/>
  <c r="AB443" i="1"/>
  <c r="I443" i="1"/>
  <c r="X442" i="1"/>
  <c r="Z442" i="1" s="1"/>
  <c r="W442" i="1"/>
  <c r="S442" i="1"/>
  <c r="Q442" i="1"/>
  <c r="N442" i="1"/>
  <c r="L442" i="1"/>
  <c r="K442" i="1"/>
  <c r="AB442" i="1"/>
  <c r="I442" i="1"/>
  <c r="X441" i="1"/>
  <c r="Z441" i="1" s="1"/>
  <c r="W441" i="1"/>
  <c r="S441" i="1"/>
  <c r="Q441" i="1"/>
  <c r="N441" i="1"/>
  <c r="L441" i="1"/>
  <c r="K441" i="1"/>
  <c r="AB441" i="1"/>
  <c r="I441" i="1"/>
  <c r="X440" i="1"/>
  <c r="Z440" i="1" s="1"/>
  <c r="W440" i="1"/>
  <c r="S440" i="1"/>
  <c r="Q440" i="1"/>
  <c r="N440" i="1"/>
  <c r="L440" i="1"/>
  <c r="K440" i="1"/>
  <c r="AB440" i="1"/>
  <c r="I440" i="1"/>
  <c r="X439" i="1"/>
  <c r="Z439" i="1" s="1"/>
  <c r="W439" i="1"/>
  <c r="S439" i="1"/>
  <c r="Q439" i="1"/>
  <c r="N439" i="1"/>
  <c r="L439" i="1"/>
  <c r="K439" i="1"/>
  <c r="AB439" i="1"/>
  <c r="I439" i="1"/>
  <c r="X438" i="1"/>
  <c r="Z438" i="1" s="1"/>
  <c r="W438" i="1"/>
  <c r="S438" i="1"/>
  <c r="Q438" i="1"/>
  <c r="N438" i="1"/>
  <c r="L438" i="1"/>
  <c r="K438" i="1"/>
  <c r="AB438" i="1"/>
  <c r="I438" i="1"/>
  <c r="X437" i="1"/>
  <c r="Z437" i="1" s="1"/>
  <c r="W437" i="1"/>
  <c r="S437" i="1"/>
  <c r="Q437" i="1"/>
  <c r="N437" i="1"/>
  <c r="L437" i="1"/>
  <c r="K437" i="1"/>
  <c r="AB437" i="1"/>
  <c r="I437" i="1"/>
  <c r="X436" i="1"/>
  <c r="Z436" i="1" s="1"/>
  <c r="W436" i="1"/>
  <c r="S436" i="1"/>
  <c r="Q436" i="1"/>
  <c r="N436" i="1"/>
  <c r="L436" i="1"/>
  <c r="K436" i="1"/>
  <c r="AB436" i="1"/>
  <c r="I436" i="1"/>
  <c r="X435" i="1"/>
  <c r="Z435" i="1" s="1"/>
  <c r="W435" i="1"/>
  <c r="S435" i="1"/>
  <c r="Q435" i="1"/>
  <c r="N435" i="1"/>
  <c r="L435" i="1"/>
  <c r="K435" i="1"/>
  <c r="AB435" i="1"/>
  <c r="I435" i="1"/>
  <c r="X434" i="1"/>
  <c r="Z434" i="1" s="1"/>
  <c r="W434" i="1"/>
  <c r="S434" i="1"/>
  <c r="Q434" i="1"/>
  <c r="N434" i="1"/>
  <c r="L434" i="1"/>
  <c r="K434" i="1"/>
  <c r="AB434" i="1"/>
  <c r="I434" i="1"/>
  <c r="X433" i="1"/>
  <c r="Z433" i="1" s="1"/>
  <c r="W433" i="1"/>
  <c r="S433" i="1"/>
  <c r="Q433" i="1"/>
  <c r="N433" i="1"/>
  <c r="L433" i="1"/>
  <c r="K433" i="1"/>
  <c r="AB433" i="1"/>
  <c r="I433" i="1"/>
  <c r="X432" i="1"/>
  <c r="Z432" i="1" s="1"/>
  <c r="W432" i="1"/>
  <c r="S432" i="1"/>
  <c r="Q432" i="1"/>
  <c r="N432" i="1"/>
  <c r="L432" i="1"/>
  <c r="K432" i="1"/>
  <c r="AB432" i="1"/>
  <c r="I432" i="1"/>
  <c r="X431" i="1"/>
  <c r="Z431" i="1" s="1"/>
  <c r="W431" i="1"/>
  <c r="S431" i="1"/>
  <c r="Q431" i="1"/>
  <c r="N431" i="1"/>
  <c r="L431" i="1"/>
  <c r="K431" i="1"/>
  <c r="AB431" i="1"/>
  <c r="I431" i="1"/>
  <c r="X430" i="1"/>
  <c r="Z430" i="1" s="1"/>
  <c r="W430" i="1"/>
  <c r="S430" i="1"/>
  <c r="Q430" i="1"/>
  <c r="N430" i="1"/>
  <c r="L430" i="1"/>
  <c r="K430" i="1"/>
  <c r="AB430" i="1"/>
  <c r="I430" i="1"/>
  <c r="X429" i="1"/>
  <c r="Z429" i="1" s="1"/>
  <c r="W429" i="1"/>
  <c r="S429" i="1"/>
  <c r="Q429" i="1"/>
  <c r="N429" i="1"/>
  <c r="L429" i="1"/>
  <c r="K429" i="1"/>
  <c r="AB429" i="1"/>
  <c r="I429" i="1"/>
  <c r="X428" i="1"/>
  <c r="Z428" i="1" s="1"/>
  <c r="W428" i="1"/>
  <c r="S428" i="1"/>
  <c r="Q428" i="1"/>
  <c r="N428" i="1"/>
  <c r="L428" i="1"/>
  <c r="Y428" i="1" s="1"/>
  <c r="K428" i="1"/>
  <c r="AB428" i="1"/>
  <c r="I428" i="1"/>
  <c r="X427" i="1"/>
  <c r="Z427" i="1" s="1"/>
  <c r="W427" i="1"/>
  <c r="S427" i="1"/>
  <c r="Q427" i="1"/>
  <c r="N427" i="1"/>
  <c r="L427" i="1"/>
  <c r="K427" i="1"/>
  <c r="AB427" i="1"/>
  <c r="I427" i="1"/>
  <c r="X426" i="1"/>
  <c r="Z426" i="1" s="1"/>
  <c r="W426" i="1"/>
  <c r="S426" i="1"/>
  <c r="Q426" i="1"/>
  <c r="N426" i="1"/>
  <c r="L426" i="1"/>
  <c r="K426" i="1"/>
  <c r="AB426" i="1"/>
  <c r="I426" i="1"/>
  <c r="X425" i="1"/>
  <c r="Z425" i="1" s="1"/>
  <c r="W425" i="1"/>
  <c r="S425" i="1"/>
  <c r="Q425" i="1"/>
  <c r="N425" i="1"/>
  <c r="L425" i="1"/>
  <c r="K425" i="1"/>
  <c r="AB425" i="1"/>
  <c r="I425" i="1"/>
  <c r="X424" i="1"/>
  <c r="Z424" i="1" s="1"/>
  <c r="W424" i="1"/>
  <c r="S424" i="1"/>
  <c r="Q424" i="1"/>
  <c r="N424" i="1"/>
  <c r="L424" i="1"/>
  <c r="K424" i="1"/>
  <c r="AB424" i="1"/>
  <c r="I424" i="1"/>
  <c r="X423" i="1"/>
  <c r="Z423" i="1" s="1"/>
  <c r="W423" i="1"/>
  <c r="S423" i="1"/>
  <c r="Q423" i="1"/>
  <c r="N423" i="1"/>
  <c r="L423" i="1"/>
  <c r="K423" i="1"/>
  <c r="AB423" i="1"/>
  <c r="I423" i="1"/>
  <c r="X422" i="1"/>
  <c r="Z422" i="1" s="1"/>
  <c r="W422" i="1"/>
  <c r="S422" i="1"/>
  <c r="Q422" i="1"/>
  <c r="N422" i="1"/>
  <c r="L422" i="1"/>
  <c r="K422" i="1"/>
  <c r="AB422" i="1"/>
  <c r="I422" i="1"/>
  <c r="X421" i="1"/>
  <c r="Z421" i="1" s="1"/>
  <c r="W421" i="1"/>
  <c r="S421" i="1"/>
  <c r="Q421" i="1"/>
  <c r="N421" i="1"/>
  <c r="L421" i="1"/>
  <c r="K421" i="1"/>
  <c r="AB421" i="1"/>
  <c r="I421" i="1"/>
  <c r="X420" i="1"/>
  <c r="Z420" i="1" s="1"/>
  <c r="W420" i="1"/>
  <c r="S420" i="1"/>
  <c r="Q420" i="1"/>
  <c r="N420" i="1"/>
  <c r="L420" i="1"/>
  <c r="K420" i="1"/>
  <c r="AB420" i="1"/>
  <c r="I420" i="1"/>
  <c r="X419" i="1"/>
  <c r="Z419" i="1" s="1"/>
  <c r="W419" i="1"/>
  <c r="S419" i="1"/>
  <c r="Q419" i="1"/>
  <c r="N419" i="1"/>
  <c r="L419" i="1"/>
  <c r="K419" i="1"/>
  <c r="AB419" i="1"/>
  <c r="I419" i="1"/>
  <c r="X418" i="1"/>
  <c r="Z418" i="1" s="1"/>
  <c r="W418" i="1"/>
  <c r="S418" i="1"/>
  <c r="Q418" i="1"/>
  <c r="N418" i="1"/>
  <c r="L418" i="1"/>
  <c r="K418" i="1"/>
  <c r="AB418" i="1"/>
  <c r="I418" i="1"/>
  <c r="X417" i="1"/>
  <c r="Z417" i="1" s="1"/>
  <c r="W417" i="1"/>
  <c r="S417" i="1"/>
  <c r="Q417" i="1"/>
  <c r="N417" i="1"/>
  <c r="L417" i="1"/>
  <c r="K417" i="1"/>
  <c r="AB417" i="1"/>
  <c r="I417" i="1"/>
  <c r="X416" i="1"/>
  <c r="Z416" i="1" s="1"/>
  <c r="W416" i="1"/>
  <c r="S416" i="1"/>
  <c r="Q416" i="1"/>
  <c r="N416" i="1"/>
  <c r="L416" i="1"/>
  <c r="Y416" i="1" s="1"/>
  <c r="K416" i="1"/>
  <c r="AB416" i="1"/>
  <c r="I416" i="1"/>
  <c r="X415" i="1"/>
  <c r="Z415" i="1" s="1"/>
  <c r="W415" i="1"/>
  <c r="S415" i="1"/>
  <c r="Q415" i="1"/>
  <c r="N415" i="1"/>
  <c r="L415" i="1"/>
  <c r="K415" i="1"/>
  <c r="AB415" i="1"/>
  <c r="I415" i="1"/>
  <c r="X414" i="1"/>
  <c r="Z414" i="1" s="1"/>
  <c r="W414" i="1"/>
  <c r="S414" i="1"/>
  <c r="Q414" i="1"/>
  <c r="N414" i="1"/>
  <c r="L414" i="1"/>
  <c r="K414" i="1"/>
  <c r="AB414" i="1"/>
  <c r="I414" i="1"/>
  <c r="X413" i="1"/>
  <c r="Z413" i="1" s="1"/>
  <c r="W413" i="1"/>
  <c r="S413" i="1"/>
  <c r="Q413" i="1"/>
  <c r="N413" i="1"/>
  <c r="L413" i="1"/>
  <c r="K413" i="1"/>
  <c r="AB413" i="1"/>
  <c r="I413" i="1"/>
  <c r="X412" i="1"/>
  <c r="Z412" i="1" s="1"/>
  <c r="W412" i="1"/>
  <c r="S412" i="1"/>
  <c r="Q412" i="1"/>
  <c r="N412" i="1"/>
  <c r="L412" i="1"/>
  <c r="K412" i="1"/>
  <c r="AB412" i="1"/>
  <c r="I412" i="1"/>
  <c r="X411" i="1"/>
  <c r="Z411" i="1" s="1"/>
  <c r="W411" i="1"/>
  <c r="S411" i="1"/>
  <c r="Q411" i="1"/>
  <c r="N411" i="1"/>
  <c r="L411" i="1"/>
  <c r="K411" i="1"/>
  <c r="AB411" i="1"/>
  <c r="I411" i="1"/>
  <c r="X410" i="1"/>
  <c r="Z410" i="1" s="1"/>
  <c r="W410" i="1"/>
  <c r="S410" i="1"/>
  <c r="Q410" i="1"/>
  <c r="N410" i="1"/>
  <c r="L410" i="1"/>
  <c r="K410" i="1"/>
  <c r="AB410" i="1"/>
  <c r="I410" i="1"/>
  <c r="X409" i="1"/>
  <c r="Z409" i="1" s="1"/>
  <c r="W409" i="1"/>
  <c r="S409" i="1"/>
  <c r="Q409" i="1"/>
  <c r="N409" i="1"/>
  <c r="L409" i="1"/>
  <c r="K409" i="1"/>
  <c r="AB409" i="1"/>
  <c r="I409" i="1"/>
  <c r="X408" i="1"/>
  <c r="Z408" i="1" s="1"/>
  <c r="W408" i="1"/>
  <c r="S408" i="1"/>
  <c r="Q408" i="1"/>
  <c r="N408" i="1"/>
  <c r="L408" i="1"/>
  <c r="K408" i="1"/>
  <c r="AB408" i="1"/>
  <c r="I408" i="1"/>
  <c r="X407" i="1"/>
  <c r="Z407" i="1" s="1"/>
  <c r="W407" i="1"/>
  <c r="S407" i="1"/>
  <c r="Q407" i="1"/>
  <c r="N407" i="1"/>
  <c r="L407" i="1"/>
  <c r="K407" i="1"/>
  <c r="AB407" i="1"/>
  <c r="I407" i="1"/>
  <c r="X406" i="1"/>
  <c r="Z406" i="1" s="1"/>
  <c r="W406" i="1"/>
  <c r="S406" i="1"/>
  <c r="Q406" i="1"/>
  <c r="N406" i="1"/>
  <c r="L406" i="1"/>
  <c r="K406" i="1"/>
  <c r="AB406" i="1"/>
  <c r="I406" i="1"/>
  <c r="X405" i="1"/>
  <c r="Z405" i="1" s="1"/>
  <c r="W405" i="1"/>
  <c r="S405" i="1"/>
  <c r="Q405" i="1"/>
  <c r="N405" i="1"/>
  <c r="L405" i="1"/>
  <c r="K405" i="1"/>
  <c r="AB405" i="1"/>
  <c r="I405" i="1"/>
  <c r="X404" i="1"/>
  <c r="Z404" i="1" s="1"/>
  <c r="W404" i="1"/>
  <c r="S404" i="1"/>
  <c r="Q404" i="1"/>
  <c r="N404" i="1"/>
  <c r="L404" i="1"/>
  <c r="K404" i="1"/>
  <c r="AB404" i="1"/>
  <c r="I404" i="1"/>
  <c r="X403" i="1"/>
  <c r="Z403" i="1" s="1"/>
  <c r="W403" i="1"/>
  <c r="S403" i="1"/>
  <c r="Q403" i="1"/>
  <c r="N403" i="1"/>
  <c r="L403" i="1"/>
  <c r="K403" i="1"/>
  <c r="AB403" i="1"/>
  <c r="I403" i="1"/>
  <c r="X402" i="1"/>
  <c r="Z402" i="1" s="1"/>
  <c r="W402" i="1"/>
  <c r="S402" i="1"/>
  <c r="Q402" i="1"/>
  <c r="N402" i="1"/>
  <c r="L402" i="1"/>
  <c r="K402" i="1"/>
  <c r="AB402" i="1"/>
  <c r="I402" i="1"/>
  <c r="X401" i="1"/>
  <c r="Z401" i="1" s="1"/>
  <c r="W401" i="1"/>
  <c r="S401" i="1"/>
  <c r="Q401" i="1"/>
  <c r="N401" i="1"/>
  <c r="L401" i="1"/>
  <c r="K401" i="1"/>
  <c r="AB401" i="1"/>
  <c r="I401" i="1"/>
  <c r="X400" i="1"/>
  <c r="Z400" i="1" s="1"/>
  <c r="W400" i="1"/>
  <c r="S400" i="1"/>
  <c r="Q400" i="1"/>
  <c r="N400" i="1"/>
  <c r="L400" i="1"/>
  <c r="K400" i="1"/>
  <c r="AB400" i="1"/>
  <c r="I400" i="1"/>
  <c r="X399" i="1"/>
  <c r="Z399" i="1" s="1"/>
  <c r="W399" i="1"/>
  <c r="S399" i="1"/>
  <c r="Q399" i="1"/>
  <c r="N399" i="1"/>
  <c r="L399" i="1"/>
  <c r="K399" i="1"/>
  <c r="AB399" i="1"/>
  <c r="I399" i="1"/>
  <c r="X398" i="1"/>
  <c r="Z398" i="1" s="1"/>
  <c r="W398" i="1"/>
  <c r="S398" i="1"/>
  <c r="Q398" i="1"/>
  <c r="N398" i="1"/>
  <c r="L398" i="1"/>
  <c r="K398" i="1"/>
  <c r="AB398" i="1"/>
  <c r="I398" i="1"/>
  <c r="X397" i="1"/>
  <c r="Z397" i="1" s="1"/>
  <c r="W397" i="1"/>
  <c r="S397" i="1"/>
  <c r="Q397" i="1"/>
  <c r="N397" i="1"/>
  <c r="L397" i="1"/>
  <c r="K397" i="1"/>
  <c r="AB397" i="1"/>
  <c r="I397" i="1"/>
  <c r="X396" i="1"/>
  <c r="Z396" i="1" s="1"/>
  <c r="W396" i="1"/>
  <c r="S396" i="1"/>
  <c r="Q396" i="1"/>
  <c r="N396" i="1"/>
  <c r="L396" i="1"/>
  <c r="K396" i="1"/>
  <c r="AB396" i="1"/>
  <c r="I396" i="1"/>
  <c r="X395" i="1"/>
  <c r="Z395" i="1" s="1"/>
  <c r="W395" i="1"/>
  <c r="S395" i="1"/>
  <c r="Q395" i="1"/>
  <c r="N395" i="1"/>
  <c r="L395" i="1"/>
  <c r="K395" i="1"/>
  <c r="AB395" i="1"/>
  <c r="I395" i="1"/>
  <c r="X394" i="1"/>
  <c r="Z394" i="1" s="1"/>
  <c r="W394" i="1"/>
  <c r="S394" i="1"/>
  <c r="Q394" i="1"/>
  <c r="N394" i="1"/>
  <c r="L394" i="1"/>
  <c r="K394" i="1"/>
  <c r="AB394" i="1"/>
  <c r="I394" i="1"/>
  <c r="X393" i="1"/>
  <c r="Z393" i="1" s="1"/>
  <c r="W393" i="1"/>
  <c r="S393" i="1"/>
  <c r="Q393" i="1"/>
  <c r="N393" i="1"/>
  <c r="L393" i="1"/>
  <c r="K393" i="1"/>
  <c r="AB393" i="1"/>
  <c r="I393" i="1"/>
  <c r="X392" i="1"/>
  <c r="Z392" i="1" s="1"/>
  <c r="W392" i="1"/>
  <c r="S392" i="1"/>
  <c r="Q392" i="1"/>
  <c r="N392" i="1"/>
  <c r="L392" i="1"/>
  <c r="K392" i="1"/>
  <c r="AB392" i="1"/>
  <c r="I392" i="1"/>
  <c r="X391" i="1"/>
  <c r="Z391" i="1" s="1"/>
  <c r="W391" i="1"/>
  <c r="S391" i="1"/>
  <c r="Q391" i="1"/>
  <c r="N391" i="1"/>
  <c r="L391" i="1"/>
  <c r="K391" i="1"/>
  <c r="AB391" i="1"/>
  <c r="I391" i="1"/>
  <c r="X390" i="1"/>
  <c r="Z390" i="1" s="1"/>
  <c r="W390" i="1"/>
  <c r="S390" i="1"/>
  <c r="Q390" i="1"/>
  <c r="N390" i="1"/>
  <c r="L390" i="1"/>
  <c r="K390" i="1"/>
  <c r="AB390" i="1"/>
  <c r="I390" i="1"/>
  <c r="X389" i="1"/>
  <c r="Z389" i="1" s="1"/>
  <c r="W389" i="1"/>
  <c r="S389" i="1"/>
  <c r="Q389" i="1"/>
  <c r="N389" i="1"/>
  <c r="L389" i="1"/>
  <c r="K389" i="1"/>
  <c r="AB389" i="1"/>
  <c r="I389" i="1"/>
  <c r="X388" i="1"/>
  <c r="Z388" i="1" s="1"/>
  <c r="W388" i="1"/>
  <c r="S388" i="1"/>
  <c r="Q388" i="1"/>
  <c r="N388" i="1"/>
  <c r="L388" i="1"/>
  <c r="K388" i="1"/>
  <c r="AB388" i="1"/>
  <c r="I388" i="1"/>
  <c r="X387" i="1"/>
  <c r="Z387" i="1" s="1"/>
  <c r="W387" i="1"/>
  <c r="S387" i="1"/>
  <c r="Q387" i="1"/>
  <c r="N387" i="1"/>
  <c r="L387" i="1"/>
  <c r="K387" i="1"/>
  <c r="AB387" i="1"/>
  <c r="I387" i="1"/>
  <c r="X386" i="1"/>
  <c r="Z386" i="1" s="1"/>
  <c r="W386" i="1"/>
  <c r="S386" i="1"/>
  <c r="Q386" i="1"/>
  <c r="N386" i="1"/>
  <c r="L386" i="1"/>
  <c r="K386" i="1"/>
  <c r="AB386" i="1"/>
  <c r="I386" i="1"/>
  <c r="X385" i="1"/>
  <c r="Z385" i="1" s="1"/>
  <c r="W385" i="1"/>
  <c r="S385" i="1"/>
  <c r="Q385" i="1"/>
  <c r="N385" i="1"/>
  <c r="L385" i="1"/>
  <c r="K385" i="1"/>
  <c r="AB385" i="1"/>
  <c r="I385" i="1"/>
  <c r="X384" i="1"/>
  <c r="Z384" i="1" s="1"/>
  <c r="W384" i="1"/>
  <c r="S384" i="1"/>
  <c r="Q384" i="1"/>
  <c r="N384" i="1"/>
  <c r="L384" i="1"/>
  <c r="K384" i="1"/>
  <c r="AB384" i="1"/>
  <c r="I384" i="1"/>
  <c r="X383" i="1"/>
  <c r="Z383" i="1" s="1"/>
  <c r="W383" i="1"/>
  <c r="S383" i="1"/>
  <c r="Q383" i="1"/>
  <c r="N383" i="1"/>
  <c r="L383" i="1"/>
  <c r="K383" i="1"/>
  <c r="AB383" i="1"/>
  <c r="I383" i="1"/>
  <c r="X382" i="1"/>
  <c r="Z382" i="1" s="1"/>
  <c r="W382" i="1"/>
  <c r="S382" i="1"/>
  <c r="Q382" i="1"/>
  <c r="N382" i="1"/>
  <c r="L382" i="1"/>
  <c r="K382" i="1"/>
  <c r="AB382" i="1"/>
  <c r="I382" i="1"/>
  <c r="X381" i="1"/>
  <c r="Z381" i="1" s="1"/>
  <c r="W381" i="1"/>
  <c r="S381" i="1"/>
  <c r="Q381" i="1"/>
  <c r="N381" i="1"/>
  <c r="L381" i="1"/>
  <c r="K381" i="1"/>
  <c r="AB381" i="1"/>
  <c r="I381" i="1"/>
  <c r="X380" i="1"/>
  <c r="Z380" i="1" s="1"/>
  <c r="W380" i="1"/>
  <c r="S380" i="1"/>
  <c r="Q380" i="1"/>
  <c r="N380" i="1"/>
  <c r="L380" i="1"/>
  <c r="K380" i="1"/>
  <c r="AB380" i="1"/>
  <c r="I380" i="1"/>
  <c r="X379" i="1"/>
  <c r="Z379" i="1" s="1"/>
  <c r="W379" i="1"/>
  <c r="S379" i="1"/>
  <c r="Q379" i="1"/>
  <c r="N379" i="1"/>
  <c r="L379" i="1"/>
  <c r="K379" i="1"/>
  <c r="AB379" i="1"/>
  <c r="I379" i="1"/>
  <c r="X378" i="1"/>
  <c r="Z378" i="1" s="1"/>
  <c r="W378" i="1"/>
  <c r="S378" i="1"/>
  <c r="Q378" i="1"/>
  <c r="N378" i="1"/>
  <c r="L378" i="1"/>
  <c r="K378" i="1"/>
  <c r="AB378" i="1"/>
  <c r="I378" i="1"/>
  <c r="X377" i="1"/>
  <c r="Z377" i="1" s="1"/>
  <c r="W377" i="1"/>
  <c r="S377" i="1"/>
  <c r="Q377" i="1"/>
  <c r="N377" i="1"/>
  <c r="L377" i="1"/>
  <c r="K377" i="1"/>
  <c r="AB377" i="1"/>
  <c r="I377" i="1"/>
  <c r="X376" i="1"/>
  <c r="Z376" i="1" s="1"/>
  <c r="W376" i="1"/>
  <c r="S376" i="1"/>
  <c r="Q376" i="1"/>
  <c r="N376" i="1"/>
  <c r="L376" i="1"/>
  <c r="K376" i="1"/>
  <c r="AB376" i="1"/>
  <c r="I376" i="1"/>
  <c r="X375" i="1"/>
  <c r="Z375" i="1" s="1"/>
  <c r="W375" i="1"/>
  <c r="S375" i="1"/>
  <c r="Q375" i="1"/>
  <c r="N375" i="1"/>
  <c r="L375" i="1"/>
  <c r="K375" i="1"/>
  <c r="AB375" i="1"/>
  <c r="I375" i="1"/>
  <c r="X374" i="1"/>
  <c r="Z374" i="1" s="1"/>
  <c r="W374" i="1"/>
  <c r="S374" i="1"/>
  <c r="Q374" i="1"/>
  <c r="N374" i="1"/>
  <c r="L374" i="1"/>
  <c r="K374" i="1"/>
  <c r="AB374" i="1"/>
  <c r="I374" i="1"/>
  <c r="X373" i="1"/>
  <c r="Z373" i="1" s="1"/>
  <c r="W373" i="1"/>
  <c r="S373" i="1"/>
  <c r="Q373" i="1"/>
  <c r="N373" i="1"/>
  <c r="L373" i="1"/>
  <c r="K373" i="1"/>
  <c r="AB373" i="1"/>
  <c r="I373" i="1"/>
  <c r="X372" i="1"/>
  <c r="Z372" i="1" s="1"/>
  <c r="W372" i="1"/>
  <c r="S372" i="1"/>
  <c r="Q372" i="1"/>
  <c r="N372" i="1"/>
  <c r="L372" i="1"/>
  <c r="K372" i="1"/>
  <c r="AB372" i="1"/>
  <c r="I372" i="1"/>
  <c r="X371" i="1"/>
  <c r="Z371" i="1" s="1"/>
  <c r="W371" i="1"/>
  <c r="S371" i="1"/>
  <c r="Q371" i="1"/>
  <c r="N371" i="1"/>
  <c r="L371" i="1"/>
  <c r="K371" i="1"/>
  <c r="AB371" i="1"/>
  <c r="I371" i="1"/>
  <c r="X370" i="1"/>
  <c r="Z370" i="1" s="1"/>
  <c r="W370" i="1"/>
  <c r="S370" i="1"/>
  <c r="Q370" i="1"/>
  <c r="N370" i="1"/>
  <c r="L370" i="1"/>
  <c r="K370" i="1"/>
  <c r="AB370" i="1"/>
  <c r="I370" i="1"/>
  <c r="X369" i="1"/>
  <c r="Z369" i="1" s="1"/>
  <c r="W369" i="1"/>
  <c r="S369" i="1"/>
  <c r="Q369" i="1"/>
  <c r="N369" i="1"/>
  <c r="L369" i="1"/>
  <c r="K369" i="1"/>
  <c r="AB369" i="1"/>
  <c r="I369" i="1"/>
  <c r="X368" i="1"/>
  <c r="Z368" i="1" s="1"/>
  <c r="W368" i="1"/>
  <c r="S368" i="1"/>
  <c r="Q368" i="1"/>
  <c r="N368" i="1"/>
  <c r="L368" i="1"/>
  <c r="Y368" i="1" s="1"/>
  <c r="K368" i="1"/>
  <c r="AB368" i="1"/>
  <c r="I368" i="1"/>
  <c r="X367" i="1"/>
  <c r="Z367" i="1" s="1"/>
  <c r="W367" i="1"/>
  <c r="S367" i="1"/>
  <c r="Q367" i="1"/>
  <c r="N367" i="1"/>
  <c r="L367" i="1"/>
  <c r="K367" i="1"/>
  <c r="AB367" i="1"/>
  <c r="I367" i="1"/>
  <c r="X366" i="1"/>
  <c r="Z366" i="1" s="1"/>
  <c r="W366" i="1"/>
  <c r="S366" i="1"/>
  <c r="Q366" i="1"/>
  <c r="N366" i="1"/>
  <c r="L366" i="1"/>
  <c r="K366" i="1"/>
  <c r="AB366" i="1"/>
  <c r="I366" i="1"/>
  <c r="X365" i="1"/>
  <c r="Z365" i="1" s="1"/>
  <c r="W365" i="1"/>
  <c r="S365" i="1"/>
  <c r="Q365" i="1"/>
  <c r="N365" i="1"/>
  <c r="L365" i="1"/>
  <c r="K365" i="1"/>
  <c r="AB365" i="1"/>
  <c r="I365" i="1"/>
  <c r="X364" i="1"/>
  <c r="Z364" i="1" s="1"/>
  <c r="W364" i="1"/>
  <c r="S364" i="1"/>
  <c r="Q364" i="1"/>
  <c r="N364" i="1"/>
  <c r="L364" i="1"/>
  <c r="K364" i="1"/>
  <c r="AB364" i="1"/>
  <c r="I364" i="1"/>
  <c r="X363" i="1"/>
  <c r="Z363" i="1" s="1"/>
  <c r="W363" i="1"/>
  <c r="S363" i="1"/>
  <c r="Q363" i="1"/>
  <c r="N363" i="1"/>
  <c r="L363" i="1"/>
  <c r="K363" i="1"/>
  <c r="AB363" i="1"/>
  <c r="I363" i="1"/>
  <c r="X362" i="1"/>
  <c r="Z362" i="1" s="1"/>
  <c r="W362" i="1"/>
  <c r="S362" i="1"/>
  <c r="Q362" i="1"/>
  <c r="N362" i="1"/>
  <c r="L362" i="1"/>
  <c r="K362" i="1"/>
  <c r="AB362" i="1"/>
  <c r="I362" i="1"/>
  <c r="X361" i="1"/>
  <c r="Z361" i="1" s="1"/>
  <c r="W361" i="1"/>
  <c r="S361" i="1"/>
  <c r="Q361" i="1"/>
  <c r="N361" i="1"/>
  <c r="L361" i="1"/>
  <c r="K361" i="1"/>
  <c r="AB361" i="1"/>
  <c r="I361" i="1"/>
  <c r="X360" i="1"/>
  <c r="Z360" i="1" s="1"/>
  <c r="W360" i="1"/>
  <c r="S360" i="1"/>
  <c r="Q360" i="1"/>
  <c r="N360" i="1"/>
  <c r="L360" i="1"/>
  <c r="K360" i="1"/>
  <c r="AB360" i="1"/>
  <c r="I360" i="1"/>
  <c r="X359" i="1"/>
  <c r="Z359" i="1" s="1"/>
  <c r="W359" i="1"/>
  <c r="S359" i="1"/>
  <c r="Q359" i="1"/>
  <c r="N359" i="1"/>
  <c r="L359" i="1"/>
  <c r="K359" i="1"/>
  <c r="AB359" i="1"/>
  <c r="I359" i="1"/>
  <c r="X358" i="1"/>
  <c r="Z358" i="1" s="1"/>
  <c r="W358" i="1"/>
  <c r="S358" i="1"/>
  <c r="Q358" i="1"/>
  <c r="N358" i="1"/>
  <c r="L358" i="1"/>
  <c r="K358" i="1"/>
  <c r="AB358" i="1"/>
  <c r="I358" i="1"/>
  <c r="X357" i="1"/>
  <c r="Z357" i="1" s="1"/>
  <c r="W357" i="1"/>
  <c r="S357" i="1"/>
  <c r="Q357" i="1"/>
  <c r="N357" i="1"/>
  <c r="L357" i="1"/>
  <c r="K357" i="1"/>
  <c r="AB357" i="1"/>
  <c r="I357" i="1"/>
  <c r="X356" i="1"/>
  <c r="Z356" i="1" s="1"/>
  <c r="W356" i="1"/>
  <c r="S356" i="1"/>
  <c r="Q356" i="1"/>
  <c r="N356" i="1"/>
  <c r="L356" i="1"/>
  <c r="K356" i="1"/>
  <c r="AB356" i="1"/>
  <c r="I356" i="1"/>
  <c r="X355" i="1"/>
  <c r="Z355" i="1" s="1"/>
  <c r="W355" i="1"/>
  <c r="S355" i="1"/>
  <c r="Q355" i="1"/>
  <c r="N355" i="1"/>
  <c r="L355" i="1"/>
  <c r="K355" i="1"/>
  <c r="AB355" i="1"/>
  <c r="I355" i="1"/>
  <c r="X354" i="1"/>
  <c r="Z354" i="1" s="1"/>
  <c r="W354" i="1"/>
  <c r="S354" i="1"/>
  <c r="Q354" i="1"/>
  <c r="N354" i="1"/>
  <c r="L354" i="1"/>
  <c r="K354" i="1"/>
  <c r="AB354" i="1"/>
  <c r="I354" i="1"/>
  <c r="X353" i="1"/>
  <c r="Z353" i="1" s="1"/>
  <c r="W353" i="1"/>
  <c r="S353" i="1"/>
  <c r="Q353" i="1"/>
  <c r="N353" i="1"/>
  <c r="L353" i="1"/>
  <c r="K353" i="1"/>
  <c r="AB353" i="1"/>
  <c r="I353" i="1"/>
  <c r="X352" i="1"/>
  <c r="Z352" i="1" s="1"/>
  <c r="W352" i="1"/>
  <c r="S352" i="1"/>
  <c r="Q352" i="1"/>
  <c r="N352" i="1"/>
  <c r="L352" i="1"/>
  <c r="K352" i="1"/>
  <c r="AB352" i="1"/>
  <c r="I352" i="1"/>
  <c r="X351" i="1"/>
  <c r="Z351" i="1" s="1"/>
  <c r="W351" i="1"/>
  <c r="S351" i="1"/>
  <c r="Q351" i="1"/>
  <c r="N351" i="1"/>
  <c r="L351" i="1"/>
  <c r="K351" i="1"/>
  <c r="AB351" i="1"/>
  <c r="I351" i="1"/>
  <c r="X350" i="1"/>
  <c r="Z350" i="1" s="1"/>
  <c r="W350" i="1"/>
  <c r="S350" i="1"/>
  <c r="Q350" i="1"/>
  <c r="N350" i="1"/>
  <c r="L350" i="1"/>
  <c r="K350" i="1"/>
  <c r="AB350" i="1"/>
  <c r="I350" i="1"/>
  <c r="X349" i="1"/>
  <c r="Z349" i="1" s="1"/>
  <c r="W349" i="1"/>
  <c r="S349" i="1"/>
  <c r="Q349" i="1"/>
  <c r="N349" i="1"/>
  <c r="L349" i="1"/>
  <c r="K349" i="1"/>
  <c r="AB349" i="1"/>
  <c r="I349" i="1"/>
  <c r="X348" i="1"/>
  <c r="Z348" i="1" s="1"/>
  <c r="W348" i="1"/>
  <c r="S348" i="1"/>
  <c r="Q348" i="1"/>
  <c r="N348" i="1"/>
  <c r="L348" i="1"/>
  <c r="K348" i="1"/>
  <c r="AB348" i="1"/>
  <c r="I348" i="1"/>
  <c r="X347" i="1"/>
  <c r="Z347" i="1" s="1"/>
  <c r="W347" i="1"/>
  <c r="S347" i="1"/>
  <c r="Q347" i="1"/>
  <c r="N347" i="1"/>
  <c r="L347" i="1"/>
  <c r="K347" i="1"/>
  <c r="AB347" i="1"/>
  <c r="I347" i="1"/>
  <c r="X346" i="1"/>
  <c r="Z346" i="1" s="1"/>
  <c r="W346" i="1"/>
  <c r="S346" i="1"/>
  <c r="Q346" i="1"/>
  <c r="N346" i="1"/>
  <c r="L346" i="1"/>
  <c r="K346" i="1"/>
  <c r="AB346" i="1"/>
  <c r="I346" i="1"/>
  <c r="X345" i="1"/>
  <c r="Z345" i="1" s="1"/>
  <c r="W345" i="1"/>
  <c r="S345" i="1"/>
  <c r="Q345" i="1"/>
  <c r="N345" i="1"/>
  <c r="L345" i="1"/>
  <c r="K345" i="1"/>
  <c r="AB345" i="1"/>
  <c r="I345" i="1"/>
  <c r="X344" i="1"/>
  <c r="Z344" i="1" s="1"/>
  <c r="W344" i="1"/>
  <c r="S344" i="1"/>
  <c r="Q344" i="1"/>
  <c r="N344" i="1"/>
  <c r="L344" i="1"/>
  <c r="K344" i="1"/>
  <c r="AB344" i="1"/>
  <c r="I344" i="1"/>
  <c r="X343" i="1"/>
  <c r="Z343" i="1" s="1"/>
  <c r="W343" i="1"/>
  <c r="S343" i="1"/>
  <c r="Q343" i="1"/>
  <c r="N343" i="1"/>
  <c r="L343" i="1"/>
  <c r="K343" i="1"/>
  <c r="AB343" i="1"/>
  <c r="I343" i="1"/>
  <c r="X342" i="1"/>
  <c r="Z342" i="1" s="1"/>
  <c r="W342" i="1"/>
  <c r="S342" i="1"/>
  <c r="Q342" i="1"/>
  <c r="N342" i="1"/>
  <c r="L342" i="1"/>
  <c r="K342" i="1"/>
  <c r="AB342" i="1"/>
  <c r="I342" i="1"/>
  <c r="X341" i="1"/>
  <c r="Z341" i="1" s="1"/>
  <c r="W341" i="1"/>
  <c r="S341" i="1"/>
  <c r="Q341" i="1"/>
  <c r="N341" i="1"/>
  <c r="L341" i="1"/>
  <c r="K341" i="1"/>
  <c r="M341" i="1" s="1"/>
  <c r="R341" i="1" s="1"/>
  <c r="AB341" i="1"/>
  <c r="I341" i="1"/>
  <c r="X340" i="1"/>
  <c r="Z340" i="1" s="1"/>
  <c r="W340" i="1"/>
  <c r="S340" i="1"/>
  <c r="Q340" i="1"/>
  <c r="N340" i="1"/>
  <c r="L340" i="1"/>
  <c r="K340" i="1"/>
  <c r="AB340" i="1"/>
  <c r="I340" i="1"/>
  <c r="X339" i="1"/>
  <c r="Z339" i="1" s="1"/>
  <c r="W339" i="1"/>
  <c r="S339" i="1"/>
  <c r="Q339" i="1"/>
  <c r="N339" i="1"/>
  <c r="L339" i="1"/>
  <c r="K339" i="1"/>
  <c r="AB339" i="1"/>
  <c r="I339" i="1"/>
  <c r="X338" i="1"/>
  <c r="Z338" i="1" s="1"/>
  <c r="W338" i="1"/>
  <c r="S338" i="1"/>
  <c r="Q338" i="1"/>
  <c r="N338" i="1"/>
  <c r="L338" i="1"/>
  <c r="K338" i="1"/>
  <c r="AB338" i="1"/>
  <c r="I338" i="1"/>
  <c r="X337" i="1"/>
  <c r="Z337" i="1" s="1"/>
  <c r="W337" i="1"/>
  <c r="S337" i="1"/>
  <c r="Q337" i="1"/>
  <c r="N337" i="1"/>
  <c r="Y337" i="1" s="1"/>
  <c r="L337" i="1"/>
  <c r="K337" i="1"/>
  <c r="AB337" i="1"/>
  <c r="I337" i="1"/>
  <c r="X336" i="1"/>
  <c r="Z336" i="1" s="1"/>
  <c r="W336" i="1"/>
  <c r="S336" i="1"/>
  <c r="Q336" i="1"/>
  <c r="N336" i="1"/>
  <c r="L336" i="1"/>
  <c r="K336" i="1"/>
  <c r="AB336" i="1"/>
  <c r="I336" i="1"/>
  <c r="X335" i="1"/>
  <c r="Z335" i="1" s="1"/>
  <c r="W335" i="1"/>
  <c r="S335" i="1"/>
  <c r="Q335" i="1"/>
  <c r="N335" i="1"/>
  <c r="L335" i="1"/>
  <c r="K335" i="1"/>
  <c r="AB335" i="1"/>
  <c r="I335" i="1"/>
  <c r="X334" i="1"/>
  <c r="Z334" i="1" s="1"/>
  <c r="W334" i="1"/>
  <c r="S334" i="1"/>
  <c r="Q334" i="1"/>
  <c r="N334" i="1"/>
  <c r="L334" i="1"/>
  <c r="K334" i="1"/>
  <c r="AB334" i="1"/>
  <c r="I334" i="1"/>
  <c r="X333" i="1"/>
  <c r="Z333" i="1" s="1"/>
  <c r="W333" i="1"/>
  <c r="S333" i="1"/>
  <c r="Q333" i="1"/>
  <c r="N333" i="1"/>
  <c r="L333" i="1"/>
  <c r="K333" i="1"/>
  <c r="AB333" i="1"/>
  <c r="I333" i="1"/>
  <c r="X332" i="1"/>
  <c r="Z332" i="1" s="1"/>
  <c r="W332" i="1"/>
  <c r="S332" i="1"/>
  <c r="Q332" i="1"/>
  <c r="N332" i="1"/>
  <c r="L332" i="1"/>
  <c r="K332" i="1"/>
  <c r="AB332" i="1"/>
  <c r="I332" i="1"/>
  <c r="X331" i="1"/>
  <c r="Z331" i="1" s="1"/>
  <c r="W331" i="1"/>
  <c r="S331" i="1"/>
  <c r="Q331" i="1"/>
  <c r="N331" i="1"/>
  <c r="L331" i="1"/>
  <c r="K331" i="1"/>
  <c r="AB331" i="1"/>
  <c r="I331" i="1"/>
  <c r="X330" i="1"/>
  <c r="Z330" i="1" s="1"/>
  <c r="W330" i="1"/>
  <c r="S330" i="1"/>
  <c r="Q330" i="1"/>
  <c r="N330" i="1"/>
  <c r="L330" i="1"/>
  <c r="K330" i="1"/>
  <c r="AB330" i="1"/>
  <c r="I330" i="1"/>
  <c r="X329" i="1"/>
  <c r="Z329" i="1" s="1"/>
  <c r="W329" i="1"/>
  <c r="S329" i="1"/>
  <c r="Q329" i="1"/>
  <c r="N329" i="1"/>
  <c r="L329" i="1"/>
  <c r="K329" i="1"/>
  <c r="AB329" i="1"/>
  <c r="I329" i="1"/>
  <c r="X328" i="1"/>
  <c r="Z328" i="1" s="1"/>
  <c r="W328" i="1"/>
  <c r="S328" i="1"/>
  <c r="Q328" i="1"/>
  <c r="N328" i="1"/>
  <c r="L328" i="1"/>
  <c r="K328" i="1"/>
  <c r="AB328" i="1"/>
  <c r="I328" i="1"/>
  <c r="X327" i="1"/>
  <c r="Z327" i="1" s="1"/>
  <c r="W327" i="1"/>
  <c r="S327" i="1"/>
  <c r="Q327" i="1"/>
  <c r="N327" i="1"/>
  <c r="L327" i="1"/>
  <c r="K327" i="1"/>
  <c r="AB327" i="1"/>
  <c r="I327" i="1"/>
  <c r="X326" i="1"/>
  <c r="Z326" i="1" s="1"/>
  <c r="W326" i="1"/>
  <c r="S326" i="1"/>
  <c r="Q326" i="1"/>
  <c r="N326" i="1"/>
  <c r="L326" i="1"/>
  <c r="K326" i="1"/>
  <c r="AB326" i="1"/>
  <c r="I326" i="1"/>
  <c r="X325" i="1"/>
  <c r="Z325" i="1" s="1"/>
  <c r="W325" i="1"/>
  <c r="S325" i="1"/>
  <c r="Q325" i="1"/>
  <c r="N325" i="1"/>
  <c r="L325" i="1"/>
  <c r="K325" i="1"/>
  <c r="AB325" i="1"/>
  <c r="I325" i="1"/>
  <c r="X324" i="1"/>
  <c r="Z324" i="1" s="1"/>
  <c r="W324" i="1"/>
  <c r="S324" i="1"/>
  <c r="Q324" i="1"/>
  <c r="N324" i="1"/>
  <c r="L324" i="1"/>
  <c r="K324" i="1"/>
  <c r="AB324" i="1"/>
  <c r="I324" i="1"/>
  <c r="X323" i="1"/>
  <c r="Z323" i="1" s="1"/>
  <c r="W323" i="1"/>
  <c r="S323" i="1"/>
  <c r="Q323" i="1"/>
  <c r="N323" i="1"/>
  <c r="L323" i="1"/>
  <c r="K323" i="1"/>
  <c r="AB323" i="1"/>
  <c r="I323" i="1"/>
  <c r="X322" i="1"/>
  <c r="Z322" i="1" s="1"/>
  <c r="W322" i="1"/>
  <c r="S322" i="1"/>
  <c r="Q322" i="1"/>
  <c r="N322" i="1"/>
  <c r="L322" i="1"/>
  <c r="K322" i="1"/>
  <c r="AB322" i="1"/>
  <c r="I322" i="1"/>
  <c r="X321" i="1"/>
  <c r="Z321" i="1" s="1"/>
  <c r="W321" i="1"/>
  <c r="S321" i="1"/>
  <c r="Q321" i="1"/>
  <c r="N321" i="1"/>
  <c r="L321" i="1"/>
  <c r="K321" i="1"/>
  <c r="AB321" i="1"/>
  <c r="I321" i="1"/>
  <c r="X320" i="1"/>
  <c r="Z320" i="1" s="1"/>
  <c r="W320" i="1"/>
  <c r="S320" i="1"/>
  <c r="Q320" i="1"/>
  <c r="N320" i="1"/>
  <c r="L320" i="1"/>
  <c r="K320" i="1"/>
  <c r="AB320" i="1"/>
  <c r="I320" i="1"/>
  <c r="X319" i="1"/>
  <c r="Z319" i="1" s="1"/>
  <c r="W319" i="1"/>
  <c r="S319" i="1"/>
  <c r="Q319" i="1"/>
  <c r="N319" i="1"/>
  <c r="L319" i="1"/>
  <c r="K319" i="1"/>
  <c r="AB319" i="1"/>
  <c r="I319" i="1"/>
  <c r="X318" i="1"/>
  <c r="Z318" i="1" s="1"/>
  <c r="W318" i="1"/>
  <c r="S318" i="1"/>
  <c r="Q318" i="1"/>
  <c r="N318" i="1"/>
  <c r="L318" i="1"/>
  <c r="K318" i="1"/>
  <c r="AB318" i="1"/>
  <c r="I318" i="1"/>
  <c r="X317" i="1"/>
  <c r="Z317" i="1" s="1"/>
  <c r="W317" i="1"/>
  <c r="S317" i="1"/>
  <c r="Q317" i="1"/>
  <c r="N317" i="1"/>
  <c r="L317" i="1"/>
  <c r="K317" i="1"/>
  <c r="M317" i="1" s="1"/>
  <c r="R317" i="1" s="1"/>
  <c r="AB317" i="1"/>
  <c r="I317" i="1"/>
  <c r="X316" i="1"/>
  <c r="Z316" i="1" s="1"/>
  <c r="W316" i="1"/>
  <c r="S316" i="1"/>
  <c r="Q316" i="1"/>
  <c r="N316" i="1"/>
  <c r="L316" i="1"/>
  <c r="K316" i="1"/>
  <c r="AB316" i="1"/>
  <c r="I316" i="1"/>
  <c r="X315" i="1"/>
  <c r="Z315" i="1" s="1"/>
  <c r="W315" i="1"/>
  <c r="S315" i="1"/>
  <c r="Q315" i="1"/>
  <c r="N315" i="1"/>
  <c r="L315" i="1"/>
  <c r="K315" i="1"/>
  <c r="AB315" i="1"/>
  <c r="I315" i="1"/>
  <c r="X314" i="1"/>
  <c r="Z314" i="1" s="1"/>
  <c r="W314" i="1"/>
  <c r="S314" i="1"/>
  <c r="Q314" i="1"/>
  <c r="N314" i="1"/>
  <c r="L314" i="1"/>
  <c r="K314" i="1"/>
  <c r="AB314" i="1"/>
  <c r="I314" i="1"/>
  <c r="X313" i="1"/>
  <c r="Z313" i="1" s="1"/>
  <c r="W313" i="1"/>
  <c r="S313" i="1"/>
  <c r="Q313" i="1"/>
  <c r="N313" i="1"/>
  <c r="L313" i="1"/>
  <c r="K313" i="1"/>
  <c r="AB313" i="1"/>
  <c r="I313" i="1"/>
  <c r="X312" i="1"/>
  <c r="Z312" i="1" s="1"/>
  <c r="W312" i="1"/>
  <c r="S312" i="1"/>
  <c r="Q312" i="1"/>
  <c r="N312" i="1"/>
  <c r="L312" i="1"/>
  <c r="K312" i="1"/>
  <c r="AB312" i="1"/>
  <c r="I312" i="1"/>
  <c r="X311" i="1"/>
  <c r="Z311" i="1" s="1"/>
  <c r="W311" i="1"/>
  <c r="S311" i="1"/>
  <c r="Q311" i="1"/>
  <c r="N311" i="1"/>
  <c r="L311" i="1"/>
  <c r="K311" i="1"/>
  <c r="AB311" i="1"/>
  <c r="I311" i="1"/>
  <c r="X310" i="1"/>
  <c r="Z310" i="1" s="1"/>
  <c r="W310" i="1"/>
  <c r="S310" i="1"/>
  <c r="Q310" i="1"/>
  <c r="N310" i="1"/>
  <c r="L310" i="1"/>
  <c r="K310" i="1"/>
  <c r="AB310" i="1"/>
  <c r="I310" i="1"/>
  <c r="X309" i="1"/>
  <c r="Z309" i="1" s="1"/>
  <c r="W309" i="1"/>
  <c r="S309" i="1"/>
  <c r="Q309" i="1"/>
  <c r="N309" i="1"/>
  <c r="L309" i="1"/>
  <c r="K309" i="1"/>
  <c r="AB309" i="1"/>
  <c r="I309" i="1"/>
  <c r="X308" i="1"/>
  <c r="Z308" i="1" s="1"/>
  <c r="W308" i="1"/>
  <c r="S308" i="1"/>
  <c r="Q308" i="1"/>
  <c r="N308" i="1"/>
  <c r="L308" i="1"/>
  <c r="K308" i="1"/>
  <c r="AB308" i="1"/>
  <c r="I308" i="1"/>
  <c r="X307" i="1"/>
  <c r="Z307" i="1" s="1"/>
  <c r="W307" i="1"/>
  <c r="S307" i="1"/>
  <c r="Q307" i="1"/>
  <c r="N307" i="1"/>
  <c r="L307" i="1"/>
  <c r="K307" i="1"/>
  <c r="AB307" i="1"/>
  <c r="I307" i="1"/>
  <c r="X306" i="1"/>
  <c r="Z306" i="1" s="1"/>
  <c r="W306" i="1"/>
  <c r="S306" i="1"/>
  <c r="Q306" i="1"/>
  <c r="N306" i="1"/>
  <c r="L306" i="1"/>
  <c r="K306" i="1"/>
  <c r="AB306" i="1"/>
  <c r="I306" i="1"/>
  <c r="X305" i="1"/>
  <c r="Z305" i="1" s="1"/>
  <c r="W305" i="1"/>
  <c r="S305" i="1"/>
  <c r="Q305" i="1"/>
  <c r="N305" i="1"/>
  <c r="L305" i="1"/>
  <c r="K305" i="1"/>
  <c r="AB305" i="1"/>
  <c r="I305" i="1"/>
  <c r="X304" i="1"/>
  <c r="Z304" i="1" s="1"/>
  <c r="W304" i="1"/>
  <c r="S304" i="1"/>
  <c r="Q304" i="1"/>
  <c r="N304" i="1"/>
  <c r="L304" i="1"/>
  <c r="K304" i="1"/>
  <c r="AB304" i="1"/>
  <c r="I304" i="1"/>
  <c r="X303" i="1"/>
  <c r="Z303" i="1" s="1"/>
  <c r="W303" i="1"/>
  <c r="S303" i="1"/>
  <c r="Q303" i="1"/>
  <c r="N303" i="1"/>
  <c r="L303" i="1"/>
  <c r="K303" i="1"/>
  <c r="AB303" i="1"/>
  <c r="I303" i="1"/>
  <c r="X302" i="1"/>
  <c r="Z302" i="1" s="1"/>
  <c r="W302" i="1"/>
  <c r="S302" i="1"/>
  <c r="Q302" i="1"/>
  <c r="N302" i="1"/>
  <c r="L302" i="1"/>
  <c r="K302" i="1"/>
  <c r="AB302" i="1"/>
  <c r="I302" i="1"/>
  <c r="X301" i="1"/>
  <c r="Z301" i="1" s="1"/>
  <c r="W301" i="1"/>
  <c r="S301" i="1"/>
  <c r="Q301" i="1"/>
  <c r="N301" i="1"/>
  <c r="L301" i="1"/>
  <c r="K301" i="1"/>
  <c r="AB301" i="1"/>
  <c r="I301" i="1"/>
  <c r="X300" i="1"/>
  <c r="Z300" i="1" s="1"/>
  <c r="W300" i="1"/>
  <c r="S300" i="1"/>
  <c r="Q300" i="1"/>
  <c r="N300" i="1"/>
  <c r="L300" i="1"/>
  <c r="K300" i="1"/>
  <c r="AB300" i="1"/>
  <c r="I300" i="1"/>
  <c r="X299" i="1"/>
  <c r="Z299" i="1" s="1"/>
  <c r="W299" i="1"/>
  <c r="S299" i="1"/>
  <c r="Q299" i="1"/>
  <c r="N299" i="1"/>
  <c r="L299" i="1"/>
  <c r="K299" i="1"/>
  <c r="AB299" i="1"/>
  <c r="I299" i="1"/>
  <c r="X298" i="1"/>
  <c r="Z298" i="1" s="1"/>
  <c r="W298" i="1"/>
  <c r="S298" i="1"/>
  <c r="Q298" i="1"/>
  <c r="N298" i="1"/>
  <c r="L298" i="1"/>
  <c r="K298" i="1"/>
  <c r="AB298" i="1"/>
  <c r="I298" i="1"/>
  <c r="X297" i="1"/>
  <c r="Z297" i="1" s="1"/>
  <c r="W297" i="1"/>
  <c r="S297" i="1"/>
  <c r="Q297" i="1"/>
  <c r="N297" i="1"/>
  <c r="L297" i="1"/>
  <c r="K297" i="1"/>
  <c r="AB297" i="1"/>
  <c r="I297" i="1"/>
  <c r="X296" i="1"/>
  <c r="Z296" i="1" s="1"/>
  <c r="W296" i="1"/>
  <c r="S296" i="1"/>
  <c r="Q296" i="1"/>
  <c r="N296" i="1"/>
  <c r="L296" i="1"/>
  <c r="K296" i="1"/>
  <c r="AB296" i="1"/>
  <c r="I296" i="1"/>
  <c r="X295" i="1"/>
  <c r="Z295" i="1" s="1"/>
  <c r="W295" i="1"/>
  <c r="S295" i="1"/>
  <c r="Q295" i="1"/>
  <c r="N295" i="1"/>
  <c r="L295" i="1"/>
  <c r="K295" i="1"/>
  <c r="AB295" i="1"/>
  <c r="I295" i="1"/>
  <c r="X294" i="1"/>
  <c r="Z294" i="1" s="1"/>
  <c r="W294" i="1"/>
  <c r="S294" i="1"/>
  <c r="Q294" i="1"/>
  <c r="N294" i="1"/>
  <c r="L294" i="1"/>
  <c r="K294" i="1"/>
  <c r="AB294" i="1"/>
  <c r="I294" i="1"/>
  <c r="X293" i="1"/>
  <c r="Z293" i="1" s="1"/>
  <c r="W293" i="1"/>
  <c r="S293" i="1"/>
  <c r="Q293" i="1"/>
  <c r="N293" i="1"/>
  <c r="L293" i="1"/>
  <c r="K293" i="1"/>
  <c r="AB293" i="1"/>
  <c r="I293" i="1"/>
  <c r="X292" i="1"/>
  <c r="Z292" i="1" s="1"/>
  <c r="W292" i="1"/>
  <c r="S292" i="1"/>
  <c r="Q292" i="1"/>
  <c r="N292" i="1"/>
  <c r="L292" i="1"/>
  <c r="K292" i="1"/>
  <c r="AB292" i="1"/>
  <c r="I292" i="1"/>
  <c r="X291" i="1"/>
  <c r="Z291" i="1" s="1"/>
  <c r="W291" i="1"/>
  <c r="S291" i="1"/>
  <c r="Q291" i="1"/>
  <c r="N291" i="1"/>
  <c r="L291" i="1"/>
  <c r="K291" i="1"/>
  <c r="AB291" i="1"/>
  <c r="I291" i="1"/>
  <c r="X290" i="1"/>
  <c r="Z290" i="1" s="1"/>
  <c r="W290" i="1"/>
  <c r="S290" i="1"/>
  <c r="Q290" i="1"/>
  <c r="N290" i="1"/>
  <c r="L290" i="1"/>
  <c r="K290" i="1"/>
  <c r="AB290" i="1"/>
  <c r="I290" i="1"/>
  <c r="X289" i="1"/>
  <c r="Z289" i="1" s="1"/>
  <c r="W289" i="1"/>
  <c r="S289" i="1"/>
  <c r="Q289" i="1"/>
  <c r="N289" i="1"/>
  <c r="L289" i="1"/>
  <c r="K289" i="1"/>
  <c r="AB289" i="1"/>
  <c r="I289" i="1"/>
  <c r="X288" i="1"/>
  <c r="Z288" i="1" s="1"/>
  <c r="W288" i="1"/>
  <c r="S288" i="1"/>
  <c r="Q288" i="1"/>
  <c r="N288" i="1"/>
  <c r="L288" i="1"/>
  <c r="K288" i="1"/>
  <c r="AB288" i="1"/>
  <c r="I288" i="1"/>
  <c r="X287" i="1"/>
  <c r="Z287" i="1" s="1"/>
  <c r="W287" i="1"/>
  <c r="S287" i="1"/>
  <c r="Q287" i="1"/>
  <c r="N287" i="1"/>
  <c r="L287" i="1"/>
  <c r="K287" i="1"/>
  <c r="AB287" i="1"/>
  <c r="I287" i="1"/>
  <c r="X286" i="1"/>
  <c r="Z286" i="1" s="1"/>
  <c r="W286" i="1"/>
  <c r="S286" i="1"/>
  <c r="Q286" i="1"/>
  <c r="N286" i="1"/>
  <c r="L286" i="1"/>
  <c r="K286" i="1"/>
  <c r="AB286" i="1"/>
  <c r="I286" i="1"/>
  <c r="X285" i="1"/>
  <c r="Z285" i="1" s="1"/>
  <c r="W285" i="1"/>
  <c r="S285" i="1"/>
  <c r="Q285" i="1"/>
  <c r="N285" i="1"/>
  <c r="L285" i="1"/>
  <c r="K285" i="1"/>
  <c r="AB285" i="1"/>
  <c r="I285" i="1"/>
  <c r="X284" i="1"/>
  <c r="Z284" i="1" s="1"/>
  <c r="W284" i="1"/>
  <c r="S284" i="1"/>
  <c r="Q284" i="1"/>
  <c r="N284" i="1"/>
  <c r="L284" i="1"/>
  <c r="K284" i="1"/>
  <c r="AB284" i="1"/>
  <c r="I284" i="1"/>
  <c r="X283" i="1"/>
  <c r="Z283" i="1" s="1"/>
  <c r="W283" i="1"/>
  <c r="S283" i="1"/>
  <c r="Q283" i="1"/>
  <c r="N283" i="1"/>
  <c r="L283" i="1"/>
  <c r="K283" i="1"/>
  <c r="AB283" i="1"/>
  <c r="I283" i="1"/>
  <c r="X282" i="1"/>
  <c r="Z282" i="1" s="1"/>
  <c r="W282" i="1"/>
  <c r="S282" i="1"/>
  <c r="Q282" i="1"/>
  <c r="N282" i="1"/>
  <c r="L282" i="1"/>
  <c r="K282" i="1"/>
  <c r="AB282" i="1"/>
  <c r="I282" i="1"/>
  <c r="X281" i="1"/>
  <c r="Z281" i="1" s="1"/>
  <c r="W281" i="1"/>
  <c r="S281" i="1"/>
  <c r="Q281" i="1"/>
  <c r="N281" i="1"/>
  <c r="L281" i="1"/>
  <c r="K281" i="1"/>
  <c r="AB281" i="1"/>
  <c r="I281" i="1"/>
  <c r="X280" i="1"/>
  <c r="Z280" i="1" s="1"/>
  <c r="W280" i="1"/>
  <c r="S280" i="1"/>
  <c r="Q280" i="1"/>
  <c r="N280" i="1"/>
  <c r="L280" i="1"/>
  <c r="K280" i="1"/>
  <c r="AB280" i="1"/>
  <c r="I280" i="1"/>
  <c r="X279" i="1"/>
  <c r="Z279" i="1" s="1"/>
  <c r="W279" i="1"/>
  <c r="S279" i="1"/>
  <c r="Q279" i="1"/>
  <c r="N279" i="1"/>
  <c r="L279" i="1"/>
  <c r="K279" i="1"/>
  <c r="AB279" i="1"/>
  <c r="I279" i="1"/>
  <c r="X278" i="1"/>
  <c r="Z278" i="1" s="1"/>
  <c r="W278" i="1"/>
  <c r="S278" i="1"/>
  <c r="Q278" i="1"/>
  <c r="N278" i="1"/>
  <c r="L278" i="1"/>
  <c r="K278" i="1"/>
  <c r="AB278" i="1"/>
  <c r="I278" i="1"/>
  <c r="X277" i="1"/>
  <c r="Z277" i="1" s="1"/>
  <c r="W277" i="1"/>
  <c r="S277" i="1"/>
  <c r="Q277" i="1"/>
  <c r="N277" i="1"/>
  <c r="L277" i="1"/>
  <c r="K277" i="1"/>
  <c r="AB277" i="1"/>
  <c r="I277" i="1"/>
  <c r="X276" i="1"/>
  <c r="Z276" i="1" s="1"/>
  <c r="W276" i="1"/>
  <c r="S276" i="1"/>
  <c r="Q276" i="1"/>
  <c r="N276" i="1"/>
  <c r="L276" i="1"/>
  <c r="K276" i="1"/>
  <c r="AB276" i="1"/>
  <c r="I276" i="1"/>
  <c r="X275" i="1"/>
  <c r="Z275" i="1" s="1"/>
  <c r="W275" i="1"/>
  <c r="S275" i="1"/>
  <c r="Q275" i="1"/>
  <c r="N275" i="1"/>
  <c r="L275" i="1"/>
  <c r="K275" i="1"/>
  <c r="AB275" i="1"/>
  <c r="I275" i="1"/>
  <c r="X274" i="1"/>
  <c r="Z274" i="1" s="1"/>
  <c r="W274" i="1"/>
  <c r="S274" i="1"/>
  <c r="Q274" i="1"/>
  <c r="N274" i="1"/>
  <c r="L274" i="1"/>
  <c r="K274" i="1"/>
  <c r="AB274" i="1"/>
  <c r="I274" i="1"/>
  <c r="X273" i="1"/>
  <c r="Z273" i="1" s="1"/>
  <c r="W273" i="1"/>
  <c r="S273" i="1"/>
  <c r="Q273" i="1"/>
  <c r="N273" i="1"/>
  <c r="L273" i="1"/>
  <c r="K273" i="1"/>
  <c r="AB273" i="1"/>
  <c r="I273" i="1"/>
  <c r="X272" i="1"/>
  <c r="Z272" i="1" s="1"/>
  <c r="W272" i="1"/>
  <c r="S272" i="1"/>
  <c r="Q272" i="1"/>
  <c r="N272" i="1"/>
  <c r="L272" i="1"/>
  <c r="K272" i="1"/>
  <c r="AB272" i="1"/>
  <c r="I272" i="1"/>
  <c r="X271" i="1"/>
  <c r="Z271" i="1" s="1"/>
  <c r="W271" i="1"/>
  <c r="S271" i="1"/>
  <c r="Q271" i="1"/>
  <c r="N271" i="1"/>
  <c r="L271" i="1"/>
  <c r="K271" i="1"/>
  <c r="AB271" i="1"/>
  <c r="I271" i="1"/>
  <c r="X270" i="1"/>
  <c r="Z270" i="1" s="1"/>
  <c r="W270" i="1"/>
  <c r="S270" i="1"/>
  <c r="Q270" i="1"/>
  <c r="N270" i="1"/>
  <c r="L270" i="1"/>
  <c r="K270" i="1"/>
  <c r="AB270" i="1"/>
  <c r="I270" i="1"/>
  <c r="X269" i="1"/>
  <c r="Z269" i="1" s="1"/>
  <c r="W269" i="1"/>
  <c r="S269" i="1"/>
  <c r="Q269" i="1"/>
  <c r="N269" i="1"/>
  <c r="L269" i="1"/>
  <c r="K269" i="1"/>
  <c r="AB269" i="1"/>
  <c r="I269" i="1"/>
  <c r="X268" i="1"/>
  <c r="Z268" i="1" s="1"/>
  <c r="W268" i="1"/>
  <c r="S268" i="1"/>
  <c r="Q268" i="1"/>
  <c r="N268" i="1"/>
  <c r="L268" i="1"/>
  <c r="K268" i="1"/>
  <c r="AB268" i="1"/>
  <c r="I268" i="1"/>
  <c r="X267" i="1"/>
  <c r="Z267" i="1" s="1"/>
  <c r="W267" i="1"/>
  <c r="S267" i="1"/>
  <c r="Q267" i="1"/>
  <c r="N267" i="1"/>
  <c r="L267" i="1"/>
  <c r="K267" i="1"/>
  <c r="M267" i="1" s="1"/>
  <c r="R267" i="1" s="1"/>
  <c r="AB267" i="1"/>
  <c r="I267" i="1"/>
  <c r="X266" i="1"/>
  <c r="Z266" i="1" s="1"/>
  <c r="W266" i="1"/>
  <c r="S266" i="1"/>
  <c r="Q266" i="1"/>
  <c r="N266" i="1"/>
  <c r="L266" i="1"/>
  <c r="K266" i="1"/>
  <c r="AB266" i="1"/>
  <c r="I266" i="1"/>
  <c r="X265" i="1"/>
  <c r="Z265" i="1" s="1"/>
  <c r="W265" i="1"/>
  <c r="S265" i="1"/>
  <c r="Q265" i="1"/>
  <c r="N265" i="1"/>
  <c r="L265" i="1"/>
  <c r="K265" i="1"/>
  <c r="AB265" i="1"/>
  <c r="I265" i="1"/>
  <c r="X264" i="1"/>
  <c r="Z264" i="1" s="1"/>
  <c r="W264" i="1"/>
  <c r="S264" i="1"/>
  <c r="Q264" i="1"/>
  <c r="N264" i="1"/>
  <c r="L264" i="1"/>
  <c r="K264" i="1"/>
  <c r="AB264" i="1"/>
  <c r="I264" i="1"/>
  <c r="X263" i="1"/>
  <c r="Z263" i="1" s="1"/>
  <c r="W263" i="1"/>
  <c r="S263" i="1"/>
  <c r="Q263" i="1"/>
  <c r="N263" i="1"/>
  <c r="L263" i="1"/>
  <c r="K263" i="1"/>
  <c r="AB263" i="1"/>
  <c r="I263" i="1"/>
  <c r="X262" i="1"/>
  <c r="Z262" i="1" s="1"/>
  <c r="W262" i="1"/>
  <c r="S262" i="1"/>
  <c r="Q262" i="1"/>
  <c r="N262" i="1"/>
  <c r="L262" i="1"/>
  <c r="K262" i="1"/>
  <c r="AB262" i="1"/>
  <c r="I262" i="1"/>
  <c r="X261" i="1"/>
  <c r="Z261" i="1" s="1"/>
  <c r="W261" i="1"/>
  <c r="S261" i="1"/>
  <c r="Q261" i="1"/>
  <c r="N261" i="1"/>
  <c r="L261" i="1"/>
  <c r="K261" i="1"/>
  <c r="AB261" i="1"/>
  <c r="I261" i="1"/>
  <c r="X260" i="1"/>
  <c r="Z260" i="1" s="1"/>
  <c r="W260" i="1"/>
  <c r="S260" i="1"/>
  <c r="Q260" i="1"/>
  <c r="N260" i="1"/>
  <c r="L260" i="1"/>
  <c r="K260" i="1"/>
  <c r="AB260" i="1"/>
  <c r="I260" i="1"/>
  <c r="X259" i="1"/>
  <c r="Z259" i="1" s="1"/>
  <c r="W259" i="1"/>
  <c r="S259" i="1"/>
  <c r="Q259" i="1"/>
  <c r="N259" i="1"/>
  <c r="L259" i="1"/>
  <c r="K259" i="1"/>
  <c r="AB259" i="1"/>
  <c r="I259" i="1"/>
  <c r="X258" i="1"/>
  <c r="Z258" i="1" s="1"/>
  <c r="W258" i="1"/>
  <c r="S258" i="1"/>
  <c r="Q258" i="1"/>
  <c r="N258" i="1"/>
  <c r="L258" i="1"/>
  <c r="K258" i="1"/>
  <c r="AB258" i="1"/>
  <c r="I258" i="1"/>
  <c r="X257" i="1"/>
  <c r="Z257" i="1" s="1"/>
  <c r="W257" i="1"/>
  <c r="S257" i="1"/>
  <c r="Q257" i="1"/>
  <c r="N257" i="1"/>
  <c r="L257" i="1"/>
  <c r="K257" i="1"/>
  <c r="AB257" i="1"/>
  <c r="I257" i="1"/>
  <c r="X256" i="1"/>
  <c r="Z256" i="1" s="1"/>
  <c r="W256" i="1"/>
  <c r="S256" i="1"/>
  <c r="Q256" i="1"/>
  <c r="N256" i="1"/>
  <c r="L256" i="1"/>
  <c r="K256" i="1"/>
  <c r="AB256" i="1"/>
  <c r="I256" i="1"/>
  <c r="X255" i="1"/>
  <c r="Z255" i="1" s="1"/>
  <c r="W255" i="1"/>
  <c r="S255" i="1"/>
  <c r="Q255" i="1"/>
  <c r="N255" i="1"/>
  <c r="L255" i="1"/>
  <c r="K255" i="1"/>
  <c r="AB255" i="1"/>
  <c r="I255" i="1"/>
  <c r="X254" i="1"/>
  <c r="Z254" i="1" s="1"/>
  <c r="W254" i="1"/>
  <c r="S254" i="1"/>
  <c r="Q254" i="1"/>
  <c r="N254" i="1"/>
  <c r="L254" i="1"/>
  <c r="K254" i="1"/>
  <c r="AB254" i="1"/>
  <c r="I254" i="1"/>
  <c r="X253" i="1"/>
  <c r="Z253" i="1" s="1"/>
  <c r="W253" i="1"/>
  <c r="S253" i="1"/>
  <c r="Q253" i="1"/>
  <c r="N253" i="1"/>
  <c r="L253" i="1"/>
  <c r="K253" i="1"/>
  <c r="AB253" i="1"/>
  <c r="I253" i="1"/>
  <c r="X252" i="1"/>
  <c r="Z252" i="1" s="1"/>
  <c r="W252" i="1"/>
  <c r="S252" i="1"/>
  <c r="Q252" i="1"/>
  <c r="N252" i="1"/>
  <c r="L252" i="1"/>
  <c r="K252" i="1"/>
  <c r="AB252" i="1"/>
  <c r="I252" i="1"/>
  <c r="X251" i="1"/>
  <c r="Z251" i="1" s="1"/>
  <c r="W251" i="1"/>
  <c r="S251" i="1"/>
  <c r="Q251" i="1"/>
  <c r="N251" i="1"/>
  <c r="L251" i="1"/>
  <c r="K251" i="1"/>
  <c r="AB251" i="1"/>
  <c r="I251" i="1"/>
  <c r="X250" i="1"/>
  <c r="Z250" i="1" s="1"/>
  <c r="W250" i="1"/>
  <c r="S250" i="1"/>
  <c r="Q250" i="1"/>
  <c r="N250" i="1"/>
  <c r="L250" i="1"/>
  <c r="K250" i="1"/>
  <c r="AB250" i="1"/>
  <c r="I250" i="1"/>
  <c r="X249" i="1"/>
  <c r="Z249" i="1" s="1"/>
  <c r="W249" i="1"/>
  <c r="S249" i="1"/>
  <c r="Q249" i="1"/>
  <c r="N249" i="1"/>
  <c r="L249" i="1"/>
  <c r="K249" i="1"/>
  <c r="AB249" i="1"/>
  <c r="I249" i="1"/>
  <c r="X248" i="1"/>
  <c r="Z248" i="1" s="1"/>
  <c r="W248" i="1"/>
  <c r="S248" i="1"/>
  <c r="Q248" i="1"/>
  <c r="N248" i="1"/>
  <c r="L248" i="1"/>
  <c r="K248" i="1"/>
  <c r="AB248" i="1"/>
  <c r="I248" i="1"/>
  <c r="X247" i="1"/>
  <c r="Z247" i="1" s="1"/>
  <c r="W247" i="1"/>
  <c r="S247" i="1"/>
  <c r="Q247" i="1"/>
  <c r="N247" i="1"/>
  <c r="L247" i="1"/>
  <c r="K247" i="1"/>
  <c r="AB247" i="1"/>
  <c r="I247" i="1"/>
  <c r="X246" i="1"/>
  <c r="Z246" i="1" s="1"/>
  <c r="W246" i="1"/>
  <c r="S246" i="1"/>
  <c r="Q246" i="1"/>
  <c r="N246" i="1"/>
  <c r="L246" i="1"/>
  <c r="K246" i="1"/>
  <c r="AB246" i="1"/>
  <c r="I246" i="1"/>
  <c r="X245" i="1"/>
  <c r="Z245" i="1" s="1"/>
  <c r="W245" i="1"/>
  <c r="S245" i="1"/>
  <c r="Q245" i="1"/>
  <c r="N245" i="1"/>
  <c r="L245" i="1"/>
  <c r="K245" i="1"/>
  <c r="AB245" i="1"/>
  <c r="I245" i="1"/>
  <c r="X244" i="1"/>
  <c r="Z244" i="1" s="1"/>
  <c r="W244" i="1"/>
  <c r="S244" i="1"/>
  <c r="Q244" i="1"/>
  <c r="N244" i="1"/>
  <c r="L244" i="1"/>
  <c r="K244" i="1"/>
  <c r="AB244" i="1"/>
  <c r="I244" i="1"/>
  <c r="X243" i="1"/>
  <c r="Z243" i="1" s="1"/>
  <c r="W243" i="1"/>
  <c r="S243" i="1"/>
  <c r="Q243" i="1"/>
  <c r="N243" i="1"/>
  <c r="L243" i="1"/>
  <c r="K243" i="1"/>
  <c r="AB243" i="1"/>
  <c r="I243" i="1"/>
  <c r="X242" i="1"/>
  <c r="Z242" i="1" s="1"/>
  <c r="W242" i="1"/>
  <c r="S242" i="1"/>
  <c r="Q242" i="1"/>
  <c r="N242" i="1"/>
  <c r="L242" i="1"/>
  <c r="K242" i="1"/>
  <c r="AB242" i="1"/>
  <c r="I242" i="1"/>
  <c r="X241" i="1"/>
  <c r="Z241" i="1" s="1"/>
  <c r="W241" i="1"/>
  <c r="S241" i="1"/>
  <c r="Q241" i="1"/>
  <c r="N241" i="1"/>
  <c r="L241" i="1"/>
  <c r="K241" i="1"/>
  <c r="AB241" i="1"/>
  <c r="I241" i="1"/>
  <c r="X240" i="1"/>
  <c r="Z240" i="1" s="1"/>
  <c r="W240" i="1"/>
  <c r="S240" i="1"/>
  <c r="Q240" i="1"/>
  <c r="N240" i="1"/>
  <c r="L240" i="1"/>
  <c r="K240" i="1"/>
  <c r="AB240" i="1"/>
  <c r="I240" i="1"/>
  <c r="X239" i="1"/>
  <c r="Z239" i="1" s="1"/>
  <c r="W239" i="1"/>
  <c r="S239" i="1"/>
  <c r="Q239" i="1"/>
  <c r="N239" i="1"/>
  <c r="L239" i="1"/>
  <c r="K239" i="1"/>
  <c r="AB239" i="1"/>
  <c r="I239" i="1"/>
  <c r="X238" i="1"/>
  <c r="Z238" i="1" s="1"/>
  <c r="W238" i="1"/>
  <c r="S238" i="1"/>
  <c r="Q238" i="1"/>
  <c r="N238" i="1"/>
  <c r="L238" i="1"/>
  <c r="K238" i="1"/>
  <c r="AB238" i="1"/>
  <c r="I238" i="1"/>
  <c r="X237" i="1"/>
  <c r="Z237" i="1" s="1"/>
  <c r="W237" i="1"/>
  <c r="S237" i="1"/>
  <c r="Q237" i="1"/>
  <c r="N237" i="1"/>
  <c r="L237" i="1"/>
  <c r="K237" i="1"/>
  <c r="AB237" i="1"/>
  <c r="I237" i="1"/>
  <c r="X236" i="1"/>
  <c r="Z236" i="1" s="1"/>
  <c r="W236" i="1"/>
  <c r="S236" i="1"/>
  <c r="Q236" i="1"/>
  <c r="N236" i="1"/>
  <c r="L236" i="1"/>
  <c r="K236" i="1"/>
  <c r="AB236" i="1"/>
  <c r="I236" i="1"/>
  <c r="X235" i="1"/>
  <c r="Z235" i="1" s="1"/>
  <c r="W235" i="1"/>
  <c r="S235" i="1"/>
  <c r="Q235" i="1"/>
  <c r="N235" i="1"/>
  <c r="L235" i="1"/>
  <c r="K235" i="1"/>
  <c r="AB235" i="1"/>
  <c r="I235" i="1"/>
  <c r="X234" i="1"/>
  <c r="Z234" i="1" s="1"/>
  <c r="W234" i="1"/>
  <c r="S234" i="1"/>
  <c r="Q234" i="1"/>
  <c r="N234" i="1"/>
  <c r="L234" i="1"/>
  <c r="K234" i="1"/>
  <c r="AB234" i="1"/>
  <c r="I234" i="1"/>
  <c r="X233" i="1"/>
  <c r="Z233" i="1" s="1"/>
  <c r="W233" i="1"/>
  <c r="S233" i="1"/>
  <c r="Q233" i="1"/>
  <c r="N233" i="1"/>
  <c r="L233" i="1"/>
  <c r="K233" i="1"/>
  <c r="AB233" i="1"/>
  <c r="I233" i="1"/>
  <c r="X232" i="1"/>
  <c r="Z232" i="1" s="1"/>
  <c r="W232" i="1"/>
  <c r="S232" i="1"/>
  <c r="Q232" i="1"/>
  <c r="N232" i="1"/>
  <c r="L232" i="1"/>
  <c r="K232" i="1"/>
  <c r="AB232" i="1"/>
  <c r="I232" i="1"/>
  <c r="X231" i="1"/>
  <c r="Z231" i="1" s="1"/>
  <c r="W231" i="1"/>
  <c r="S231" i="1"/>
  <c r="Q231" i="1"/>
  <c r="N231" i="1"/>
  <c r="L231" i="1"/>
  <c r="K231" i="1"/>
  <c r="AB231" i="1"/>
  <c r="I231" i="1"/>
  <c r="X230" i="1"/>
  <c r="Z230" i="1" s="1"/>
  <c r="W230" i="1"/>
  <c r="S230" i="1"/>
  <c r="Q230" i="1"/>
  <c r="N230" i="1"/>
  <c r="L230" i="1"/>
  <c r="K230" i="1"/>
  <c r="AB230" i="1"/>
  <c r="I230" i="1"/>
  <c r="X229" i="1"/>
  <c r="Z229" i="1" s="1"/>
  <c r="W229" i="1"/>
  <c r="S229" i="1"/>
  <c r="Q229" i="1"/>
  <c r="N229" i="1"/>
  <c r="L229" i="1"/>
  <c r="K229" i="1"/>
  <c r="AB229" i="1"/>
  <c r="I229" i="1"/>
  <c r="X228" i="1"/>
  <c r="Z228" i="1" s="1"/>
  <c r="W228" i="1"/>
  <c r="S228" i="1"/>
  <c r="Q228" i="1"/>
  <c r="N228" i="1"/>
  <c r="L228" i="1"/>
  <c r="K228" i="1"/>
  <c r="AB228" i="1"/>
  <c r="I228" i="1"/>
  <c r="X227" i="1"/>
  <c r="Z227" i="1" s="1"/>
  <c r="W227" i="1"/>
  <c r="S227" i="1"/>
  <c r="Q227" i="1"/>
  <c r="N227" i="1"/>
  <c r="L227" i="1"/>
  <c r="K227" i="1"/>
  <c r="AB227" i="1"/>
  <c r="I227" i="1"/>
  <c r="X226" i="1"/>
  <c r="Z226" i="1" s="1"/>
  <c r="W226" i="1"/>
  <c r="S226" i="1"/>
  <c r="Q226" i="1"/>
  <c r="N226" i="1"/>
  <c r="L226" i="1"/>
  <c r="K226" i="1"/>
  <c r="AB226" i="1"/>
  <c r="I226" i="1"/>
  <c r="X225" i="1"/>
  <c r="Z225" i="1" s="1"/>
  <c r="W225" i="1"/>
  <c r="S225" i="1"/>
  <c r="Q225" i="1"/>
  <c r="N225" i="1"/>
  <c r="L225" i="1"/>
  <c r="K225" i="1"/>
  <c r="AB225" i="1"/>
  <c r="I225" i="1"/>
  <c r="X224" i="1"/>
  <c r="Z224" i="1" s="1"/>
  <c r="W224" i="1"/>
  <c r="S224" i="1"/>
  <c r="Q224" i="1"/>
  <c r="N224" i="1"/>
  <c r="L224" i="1"/>
  <c r="K224" i="1"/>
  <c r="AB224" i="1"/>
  <c r="I224" i="1"/>
  <c r="X223" i="1"/>
  <c r="Z223" i="1" s="1"/>
  <c r="W223" i="1"/>
  <c r="S223" i="1"/>
  <c r="Q223" i="1"/>
  <c r="N223" i="1"/>
  <c r="L223" i="1"/>
  <c r="K223" i="1"/>
  <c r="AB223" i="1"/>
  <c r="I223" i="1"/>
  <c r="X222" i="1"/>
  <c r="Z222" i="1" s="1"/>
  <c r="W222" i="1"/>
  <c r="S222" i="1"/>
  <c r="Q222" i="1"/>
  <c r="N222" i="1"/>
  <c r="L222" i="1"/>
  <c r="K222" i="1"/>
  <c r="AB222" i="1"/>
  <c r="I222" i="1"/>
  <c r="X221" i="1"/>
  <c r="Z221" i="1" s="1"/>
  <c r="W221" i="1"/>
  <c r="S221" i="1"/>
  <c r="Q221" i="1"/>
  <c r="N221" i="1"/>
  <c r="L221" i="1"/>
  <c r="K221" i="1"/>
  <c r="AB221" i="1"/>
  <c r="I221" i="1"/>
  <c r="X220" i="1"/>
  <c r="Z220" i="1" s="1"/>
  <c r="W220" i="1"/>
  <c r="S220" i="1"/>
  <c r="Q220" i="1"/>
  <c r="N220" i="1"/>
  <c r="L220" i="1"/>
  <c r="K220" i="1"/>
  <c r="AB220" i="1"/>
  <c r="I220" i="1"/>
  <c r="X219" i="1"/>
  <c r="Z219" i="1" s="1"/>
  <c r="W219" i="1"/>
  <c r="S219" i="1"/>
  <c r="Q219" i="1"/>
  <c r="N219" i="1"/>
  <c r="L219" i="1"/>
  <c r="K219" i="1"/>
  <c r="M219" i="1" s="1"/>
  <c r="R219" i="1" s="1"/>
  <c r="AB219" i="1"/>
  <c r="I219" i="1"/>
  <c r="X218" i="1"/>
  <c r="Z218" i="1" s="1"/>
  <c r="W218" i="1"/>
  <c r="S218" i="1"/>
  <c r="Q218" i="1"/>
  <c r="N218" i="1"/>
  <c r="L218" i="1"/>
  <c r="K218" i="1"/>
  <c r="AB218" i="1"/>
  <c r="I218" i="1"/>
  <c r="X217" i="1"/>
  <c r="Z217" i="1" s="1"/>
  <c r="W217" i="1"/>
  <c r="S217" i="1"/>
  <c r="Q217" i="1"/>
  <c r="N217" i="1"/>
  <c r="L217" i="1"/>
  <c r="K217" i="1"/>
  <c r="AB217" i="1"/>
  <c r="I217" i="1"/>
  <c r="X216" i="1"/>
  <c r="Z216" i="1" s="1"/>
  <c r="W216" i="1"/>
  <c r="S216" i="1"/>
  <c r="Q216" i="1"/>
  <c r="N216" i="1"/>
  <c r="L216" i="1"/>
  <c r="K216" i="1"/>
  <c r="AB216" i="1"/>
  <c r="I216" i="1"/>
  <c r="X215" i="1"/>
  <c r="Z215" i="1" s="1"/>
  <c r="W215" i="1"/>
  <c r="S215" i="1"/>
  <c r="Q215" i="1"/>
  <c r="N215" i="1"/>
  <c r="L215" i="1"/>
  <c r="K215" i="1"/>
  <c r="AB215" i="1"/>
  <c r="I215" i="1"/>
  <c r="X214" i="1"/>
  <c r="Z214" i="1" s="1"/>
  <c r="W214" i="1"/>
  <c r="S214" i="1"/>
  <c r="Q214" i="1"/>
  <c r="N214" i="1"/>
  <c r="L214" i="1"/>
  <c r="K214" i="1"/>
  <c r="AB214" i="1"/>
  <c r="I214" i="1"/>
  <c r="X213" i="1"/>
  <c r="Z213" i="1" s="1"/>
  <c r="W213" i="1"/>
  <c r="S213" i="1"/>
  <c r="Q213" i="1"/>
  <c r="N213" i="1"/>
  <c r="L213" i="1"/>
  <c r="K213" i="1"/>
  <c r="AB213" i="1"/>
  <c r="I213" i="1"/>
  <c r="X212" i="1"/>
  <c r="Z212" i="1" s="1"/>
  <c r="W212" i="1"/>
  <c r="S212" i="1"/>
  <c r="Q212" i="1"/>
  <c r="N212" i="1"/>
  <c r="L212" i="1"/>
  <c r="K212" i="1"/>
  <c r="AB212" i="1"/>
  <c r="I212" i="1"/>
  <c r="X211" i="1"/>
  <c r="Z211" i="1" s="1"/>
  <c r="W211" i="1"/>
  <c r="S211" i="1"/>
  <c r="Q211" i="1"/>
  <c r="N211" i="1"/>
  <c r="L211" i="1"/>
  <c r="K211" i="1"/>
  <c r="AB211" i="1"/>
  <c r="I211" i="1"/>
  <c r="X210" i="1"/>
  <c r="Z210" i="1" s="1"/>
  <c r="W210" i="1"/>
  <c r="S210" i="1"/>
  <c r="Q210" i="1"/>
  <c r="N210" i="1"/>
  <c r="L210" i="1"/>
  <c r="K210" i="1"/>
  <c r="AB210" i="1"/>
  <c r="I210" i="1"/>
  <c r="X209" i="1"/>
  <c r="Z209" i="1" s="1"/>
  <c r="W209" i="1"/>
  <c r="S209" i="1"/>
  <c r="Q209" i="1"/>
  <c r="N209" i="1"/>
  <c r="L209" i="1"/>
  <c r="K209" i="1"/>
  <c r="AB209" i="1"/>
  <c r="I209" i="1"/>
  <c r="X208" i="1"/>
  <c r="Z208" i="1" s="1"/>
  <c r="W208" i="1"/>
  <c r="S208" i="1"/>
  <c r="Q208" i="1"/>
  <c r="N208" i="1"/>
  <c r="L208" i="1"/>
  <c r="K208" i="1"/>
  <c r="AB208" i="1"/>
  <c r="I208" i="1"/>
  <c r="X207" i="1"/>
  <c r="Z207" i="1" s="1"/>
  <c r="W207" i="1"/>
  <c r="S207" i="1"/>
  <c r="Q207" i="1"/>
  <c r="N207" i="1"/>
  <c r="L207" i="1"/>
  <c r="K207" i="1"/>
  <c r="AB207" i="1"/>
  <c r="I207" i="1"/>
  <c r="X206" i="1"/>
  <c r="Z206" i="1" s="1"/>
  <c r="W206" i="1"/>
  <c r="S206" i="1"/>
  <c r="Q206" i="1"/>
  <c r="N206" i="1"/>
  <c r="L206" i="1"/>
  <c r="K206" i="1"/>
  <c r="AB206" i="1"/>
  <c r="I206" i="1"/>
  <c r="X205" i="1"/>
  <c r="Z205" i="1" s="1"/>
  <c r="W205" i="1"/>
  <c r="S205" i="1"/>
  <c r="Q205" i="1"/>
  <c r="N205" i="1"/>
  <c r="L205" i="1"/>
  <c r="K205" i="1"/>
  <c r="AB205" i="1"/>
  <c r="I205" i="1"/>
  <c r="X204" i="1"/>
  <c r="Z204" i="1" s="1"/>
  <c r="W204" i="1"/>
  <c r="S204" i="1"/>
  <c r="Q204" i="1"/>
  <c r="N204" i="1"/>
  <c r="L204" i="1"/>
  <c r="K204" i="1"/>
  <c r="AB204" i="1"/>
  <c r="I204" i="1"/>
  <c r="X203" i="1"/>
  <c r="Z203" i="1" s="1"/>
  <c r="W203" i="1"/>
  <c r="S203" i="1"/>
  <c r="Q203" i="1"/>
  <c r="N203" i="1"/>
  <c r="L203" i="1"/>
  <c r="K203" i="1"/>
  <c r="AB203" i="1"/>
  <c r="I203" i="1"/>
  <c r="X202" i="1"/>
  <c r="Z202" i="1" s="1"/>
  <c r="W202" i="1"/>
  <c r="S202" i="1"/>
  <c r="Q202" i="1"/>
  <c r="N202" i="1"/>
  <c r="L202" i="1"/>
  <c r="K202" i="1"/>
  <c r="AB202" i="1"/>
  <c r="I202" i="1"/>
  <c r="X201" i="1"/>
  <c r="Z201" i="1" s="1"/>
  <c r="W201" i="1"/>
  <c r="S201" i="1"/>
  <c r="Q201" i="1"/>
  <c r="N201" i="1"/>
  <c r="L201" i="1"/>
  <c r="K201" i="1"/>
  <c r="AB201" i="1"/>
  <c r="I201" i="1"/>
  <c r="X200" i="1"/>
  <c r="Z200" i="1" s="1"/>
  <c r="W200" i="1"/>
  <c r="S200" i="1"/>
  <c r="Q200" i="1"/>
  <c r="N200" i="1"/>
  <c r="L200" i="1"/>
  <c r="K200" i="1"/>
  <c r="AB200" i="1"/>
  <c r="I200" i="1"/>
  <c r="X199" i="1"/>
  <c r="Z199" i="1" s="1"/>
  <c r="W199" i="1"/>
  <c r="S199" i="1"/>
  <c r="Q199" i="1"/>
  <c r="N199" i="1"/>
  <c r="L199" i="1"/>
  <c r="K199" i="1"/>
  <c r="AB199" i="1"/>
  <c r="I199" i="1"/>
  <c r="X198" i="1"/>
  <c r="Z198" i="1" s="1"/>
  <c r="W198" i="1"/>
  <c r="S198" i="1"/>
  <c r="Q198" i="1"/>
  <c r="N198" i="1"/>
  <c r="L198" i="1"/>
  <c r="K198" i="1"/>
  <c r="AB198" i="1"/>
  <c r="I198" i="1"/>
  <c r="X197" i="1"/>
  <c r="Z197" i="1" s="1"/>
  <c r="W197" i="1"/>
  <c r="S197" i="1"/>
  <c r="Q197" i="1"/>
  <c r="N197" i="1"/>
  <c r="L197" i="1"/>
  <c r="K197" i="1"/>
  <c r="AB197" i="1"/>
  <c r="I197" i="1"/>
  <c r="X196" i="1"/>
  <c r="Z196" i="1" s="1"/>
  <c r="W196" i="1"/>
  <c r="S196" i="1"/>
  <c r="Q196" i="1"/>
  <c r="N196" i="1"/>
  <c r="L196" i="1"/>
  <c r="K196" i="1"/>
  <c r="AB196" i="1"/>
  <c r="I196" i="1"/>
  <c r="X195" i="1"/>
  <c r="Z195" i="1" s="1"/>
  <c r="W195" i="1"/>
  <c r="S195" i="1"/>
  <c r="Q195" i="1"/>
  <c r="N195" i="1"/>
  <c r="L195" i="1"/>
  <c r="K195" i="1"/>
  <c r="AB195" i="1"/>
  <c r="I195" i="1"/>
  <c r="X194" i="1"/>
  <c r="Z194" i="1" s="1"/>
  <c r="W194" i="1"/>
  <c r="S194" i="1"/>
  <c r="Q194" i="1"/>
  <c r="N194" i="1"/>
  <c r="L194" i="1"/>
  <c r="K194" i="1"/>
  <c r="AB194" i="1"/>
  <c r="I194" i="1"/>
  <c r="X193" i="1"/>
  <c r="Z193" i="1" s="1"/>
  <c r="W193" i="1"/>
  <c r="S193" i="1"/>
  <c r="Q193" i="1"/>
  <c r="N193" i="1"/>
  <c r="L193" i="1"/>
  <c r="K193" i="1"/>
  <c r="AB193" i="1"/>
  <c r="I193" i="1"/>
  <c r="X192" i="1"/>
  <c r="Z192" i="1" s="1"/>
  <c r="W192" i="1"/>
  <c r="S192" i="1"/>
  <c r="Q192" i="1"/>
  <c r="N192" i="1"/>
  <c r="L192" i="1"/>
  <c r="K192" i="1"/>
  <c r="AB192" i="1"/>
  <c r="I192" i="1"/>
  <c r="X191" i="1"/>
  <c r="Z191" i="1" s="1"/>
  <c r="W191" i="1"/>
  <c r="S191" i="1"/>
  <c r="Q191" i="1"/>
  <c r="N191" i="1"/>
  <c r="L191" i="1"/>
  <c r="K191" i="1"/>
  <c r="M191" i="1" s="1"/>
  <c r="R191" i="1" s="1"/>
  <c r="AB191" i="1"/>
  <c r="I191" i="1"/>
  <c r="X190" i="1"/>
  <c r="Z190" i="1" s="1"/>
  <c r="W190" i="1"/>
  <c r="S190" i="1"/>
  <c r="Q190" i="1"/>
  <c r="N190" i="1"/>
  <c r="L190" i="1"/>
  <c r="K190" i="1"/>
  <c r="AB190" i="1"/>
  <c r="I190" i="1"/>
  <c r="X189" i="1"/>
  <c r="Z189" i="1" s="1"/>
  <c r="W189" i="1"/>
  <c r="S189" i="1"/>
  <c r="Q189" i="1"/>
  <c r="N189" i="1"/>
  <c r="L189" i="1"/>
  <c r="K189" i="1"/>
  <c r="AB189" i="1"/>
  <c r="I189" i="1"/>
  <c r="X188" i="1"/>
  <c r="Z188" i="1" s="1"/>
  <c r="W188" i="1"/>
  <c r="S188" i="1"/>
  <c r="Q188" i="1"/>
  <c r="N188" i="1"/>
  <c r="L188" i="1"/>
  <c r="K188" i="1"/>
  <c r="AB188" i="1"/>
  <c r="I188" i="1"/>
  <c r="X187" i="1"/>
  <c r="Z187" i="1" s="1"/>
  <c r="W187" i="1"/>
  <c r="S187" i="1"/>
  <c r="Q187" i="1"/>
  <c r="N187" i="1"/>
  <c r="L187" i="1"/>
  <c r="K187" i="1"/>
  <c r="AB187" i="1"/>
  <c r="I187" i="1"/>
  <c r="X186" i="1"/>
  <c r="Z186" i="1" s="1"/>
  <c r="W186" i="1"/>
  <c r="S186" i="1"/>
  <c r="Q186" i="1"/>
  <c r="N186" i="1"/>
  <c r="L186" i="1"/>
  <c r="K186" i="1"/>
  <c r="AB186" i="1"/>
  <c r="I186" i="1"/>
  <c r="X185" i="1"/>
  <c r="Z185" i="1" s="1"/>
  <c r="W185" i="1"/>
  <c r="S185" i="1"/>
  <c r="Q185" i="1"/>
  <c r="N185" i="1"/>
  <c r="L185" i="1"/>
  <c r="K185" i="1"/>
  <c r="AB185" i="1"/>
  <c r="I185" i="1"/>
  <c r="X184" i="1"/>
  <c r="Z184" i="1" s="1"/>
  <c r="W184" i="1"/>
  <c r="S184" i="1"/>
  <c r="Q184" i="1"/>
  <c r="N184" i="1"/>
  <c r="L184" i="1"/>
  <c r="K184" i="1"/>
  <c r="AB184" i="1"/>
  <c r="I184" i="1"/>
  <c r="X183" i="1"/>
  <c r="Z183" i="1" s="1"/>
  <c r="W183" i="1"/>
  <c r="S183" i="1"/>
  <c r="Q183" i="1"/>
  <c r="N183" i="1"/>
  <c r="L183" i="1"/>
  <c r="K183" i="1"/>
  <c r="AB183" i="1"/>
  <c r="I183" i="1"/>
  <c r="X182" i="1"/>
  <c r="Z182" i="1" s="1"/>
  <c r="W182" i="1"/>
  <c r="S182" i="1"/>
  <c r="Q182" i="1"/>
  <c r="N182" i="1"/>
  <c r="L182" i="1"/>
  <c r="K182" i="1"/>
  <c r="AB182" i="1"/>
  <c r="I182" i="1"/>
  <c r="X181" i="1"/>
  <c r="Z181" i="1" s="1"/>
  <c r="W181" i="1"/>
  <c r="S181" i="1"/>
  <c r="Q181" i="1"/>
  <c r="N181" i="1"/>
  <c r="L181" i="1"/>
  <c r="K181" i="1"/>
  <c r="AB181" i="1"/>
  <c r="I181" i="1"/>
  <c r="X180" i="1"/>
  <c r="Z180" i="1" s="1"/>
  <c r="W180" i="1"/>
  <c r="S180" i="1"/>
  <c r="Q180" i="1"/>
  <c r="N180" i="1"/>
  <c r="L180" i="1"/>
  <c r="K180" i="1"/>
  <c r="AB180" i="1"/>
  <c r="I180" i="1"/>
  <c r="X179" i="1"/>
  <c r="Z179" i="1" s="1"/>
  <c r="W179" i="1"/>
  <c r="S179" i="1"/>
  <c r="Q179" i="1"/>
  <c r="N179" i="1"/>
  <c r="L179" i="1"/>
  <c r="K179" i="1"/>
  <c r="AB179" i="1"/>
  <c r="I179" i="1"/>
  <c r="X178" i="1"/>
  <c r="Z178" i="1" s="1"/>
  <c r="W178" i="1"/>
  <c r="S178" i="1"/>
  <c r="Q178" i="1"/>
  <c r="N178" i="1"/>
  <c r="L178" i="1"/>
  <c r="K178" i="1"/>
  <c r="AB178" i="1"/>
  <c r="I178" i="1"/>
  <c r="X177" i="1"/>
  <c r="Z177" i="1" s="1"/>
  <c r="W177" i="1"/>
  <c r="S177" i="1"/>
  <c r="Q177" i="1"/>
  <c r="N177" i="1"/>
  <c r="L177" i="1"/>
  <c r="K177" i="1"/>
  <c r="AB177" i="1"/>
  <c r="I177" i="1"/>
  <c r="X176" i="1"/>
  <c r="Z176" i="1" s="1"/>
  <c r="W176" i="1"/>
  <c r="S176" i="1"/>
  <c r="Q176" i="1"/>
  <c r="N176" i="1"/>
  <c r="L176" i="1"/>
  <c r="K176" i="1"/>
  <c r="AB176" i="1"/>
  <c r="I176" i="1"/>
  <c r="X175" i="1"/>
  <c r="Z175" i="1" s="1"/>
  <c r="W175" i="1"/>
  <c r="S175" i="1"/>
  <c r="Q175" i="1"/>
  <c r="N175" i="1"/>
  <c r="L175" i="1"/>
  <c r="K175" i="1"/>
  <c r="AB175" i="1"/>
  <c r="I175" i="1"/>
  <c r="X174" i="1"/>
  <c r="Z174" i="1" s="1"/>
  <c r="W174" i="1"/>
  <c r="S174" i="1"/>
  <c r="Q174" i="1"/>
  <c r="N174" i="1"/>
  <c r="L174" i="1"/>
  <c r="K174" i="1"/>
  <c r="AB174" i="1"/>
  <c r="I174" i="1"/>
  <c r="X173" i="1"/>
  <c r="Z173" i="1" s="1"/>
  <c r="W173" i="1"/>
  <c r="S173" i="1"/>
  <c r="Q173" i="1"/>
  <c r="N173" i="1"/>
  <c r="L173" i="1"/>
  <c r="K173" i="1"/>
  <c r="AB173" i="1"/>
  <c r="I173" i="1"/>
  <c r="X172" i="1"/>
  <c r="Z172" i="1" s="1"/>
  <c r="W172" i="1"/>
  <c r="S172" i="1"/>
  <c r="Q172" i="1"/>
  <c r="N172" i="1"/>
  <c r="L172" i="1"/>
  <c r="K172" i="1"/>
  <c r="AB172" i="1"/>
  <c r="I172" i="1"/>
  <c r="X171" i="1"/>
  <c r="Z171" i="1" s="1"/>
  <c r="W171" i="1"/>
  <c r="S171" i="1"/>
  <c r="Q171" i="1"/>
  <c r="N171" i="1"/>
  <c r="L171" i="1"/>
  <c r="K171" i="1"/>
  <c r="AB171" i="1"/>
  <c r="I171" i="1"/>
  <c r="X170" i="1"/>
  <c r="Z170" i="1" s="1"/>
  <c r="W170" i="1"/>
  <c r="S170" i="1"/>
  <c r="Q170" i="1"/>
  <c r="N170" i="1"/>
  <c r="L170" i="1"/>
  <c r="K170" i="1"/>
  <c r="AB170" i="1"/>
  <c r="I170" i="1"/>
  <c r="X169" i="1"/>
  <c r="Z169" i="1" s="1"/>
  <c r="W169" i="1"/>
  <c r="S169" i="1"/>
  <c r="Q169" i="1"/>
  <c r="N169" i="1"/>
  <c r="L169" i="1"/>
  <c r="K169" i="1"/>
  <c r="AB169" i="1"/>
  <c r="I169" i="1"/>
  <c r="X168" i="1"/>
  <c r="Z168" i="1" s="1"/>
  <c r="W168" i="1"/>
  <c r="S168" i="1"/>
  <c r="Q168" i="1"/>
  <c r="N168" i="1"/>
  <c r="L168" i="1"/>
  <c r="K168" i="1"/>
  <c r="AB168" i="1"/>
  <c r="I168" i="1"/>
  <c r="X167" i="1"/>
  <c r="Z167" i="1" s="1"/>
  <c r="W167" i="1"/>
  <c r="S167" i="1"/>
  <c r="Q167" i="1"/>
  <c r="N167" i="1"/>
  <c r="L167" i="1"/>
  <c r="K167" i="1"/>
  <c r="AB167" i="1"/>
  <c r="I167" i="1"/>
  <c r="X166" i="1"/>
  <c r="Z166" i="1" s="1"/>
  <c r="W166" i="1"/>
  <c r="S166" i="1"/>
  <c r="Q166" i="1"/>
  <c r="N166" i="1"/>
  <c r="L166" i="1"/>
  <c r="K166" i="1"/>
  <c r="AB166" i="1"/>
  <c r="I166" i="1"/>
  <c r="X165" i="1"/>
  <c r="Z165" i="1" s="1"/>
  <c r="W165" i="1"/>
  <c r="S165" i="1"/>
  <c r="Q165" i="1"/>
  <c r="N165" i="1"/>
  <c r="L165" i="1"/>
  <c r="K165" i="1"/>
  <c r="AB165" i="1"/>
  <c r="I165" i="1"/>
  <c r="X164" i="1"/>
  <c r="Z164" i="1" s="1"/>
  <c r="W164" i="1"/>
  <c r="S164" i="1"/>
  <c r="Q164" i="1"/>
  <c r="N164" i="1"/>
  <c r="L164" i="1"/>
  <c r="K164" i="1"/>
  <c r="AB164" i="1"/>
  <c r="I164" i="1"/>
  <c r="X163" i="1"/>
  <c r="Z163" i="1" s="1"/>
  <c r="W163" i="1"/>
  <c r="S163" i="1"/>
  <c r="Q163" i="1"/>
  <c r="N163" i="1"/>
  <c r="L163" i="1"/>
  <c r="K163" i="1"/>
  <c r="AB163" i="1"/>
  <c r="I163" i="1"/>
  <c r="X162" i="1"/>
  <c r="Z162" i="1" s="1"/>
  <c r="W162" i="1"/>
  <c r="S162" i="1"/>
  <c r="Q162" i="1"/>
  <c r="N162" i="1"/>
  <c r="L162" i="1"/>
  <c r="K162" i="1"/>
  <c r="AB162" i="1"/>
  <c r="I162" i="1"/>
  <c r="X161" i="1"/>
  <c r="Z161" i="1" s="1"/>
  <c r="W161" i="1"/>
  <c r="S161" i="1"/>
  <c r="Q161" i="1"/>
  <c r="N161" i="1"/>
  <c r="L161" i="1"/>
  <c r="K161" i="1"/>
  <c r="AB161" i="1"/>
  <c r="I161" i="1"/>
  <c r="X160" i="1"/>
  <c r="Z160" i="1" s="1"/>
  <c r="W160" i="1"/>
  <c r="S160" i="1"/>
  <c r="Q160" i="1"/>
  <c r="N160" i="1"/>
  <c r="L160" i="1"/>
  <c r="K160" i="1"/>
  <c r="AB160" i="1"/>
  <c r="I160" i="1"/>
  <c r="X159" i="1"/>
  <c r="Z159" i="1" s="1"/>
  <c r="W159" i="1"/>
  <c r="S159" i="1"/>
  <c r="Q159" i="1"/>
  <c r="N159" i="1"/>
  <c r="L159" i="1"/>
  <c r="K159" i="1"/>
  <c r="AB159" i="1"/>
  <c r="I159" i="1"/>
  <c r="X158" i="1"/>
  <c r="Z158" i="1" s="1"/>
  <c r="W158" i="1"/>
  <c r="S158" i="1"/>
  <c r="Q158" i="1"/>
  <c r="N158" i="1"/>
  <c r="L158" i="1"/>
  <c r="K158" i="1"/>
  <c r="AB158" i="1"/>
  <c r="I158" i="1"/>
  <c r="X157" i="1"/>
  <c r="Z157" i="1" s="1"/>
  <c r="W157" i="1"/>
  <c r="S157" i="1"/>
  <c r="Q157" i="1"/>
  <c r="N157" i="1"/>
  <c r="L157" i="1"/>
  <c r="K157" i="1"/>
  <c r="AB157" i="1"/>
  <c r="I157" i="1"/>
  <c r="X156" i="1"/>
  <c r="Z156" i="1" s="1"/>
  <c r="W156" i="1"/>
  <c r="S156" i="1"/>
  <c r="Q156" i="1"/>
  <c r="N156" i="1"/>
  <c r="L156" i="1"/>
  <c r="K156" i="1"/>
  <c r="AB156" i="1"/>
  <c r="I156" i="1"/>
  <c r="X155" i="1"/>
  <c r="Z155" i="1" s="1"/>
  <c r="W155" i="1"/>
  <c r="S155" i="1"/>
  <c r="Q155" i="1"/>
  <c r="N155" i="1"/>
  <c r="L155" i="1"/>
  <c r="K155" i="1"/>
  <c r="AB155" i="1"/>
  <c r="I155" i="1"/>
  <c r="X154" i="1"/>
  <c r="Z154" i="1" s="1"/>
  <c r="W154" i="1"/>
  <c r="S154" i="1"/>
  <c r="Q154" i="1"/>
  <c r="N154" i="1"/>
  <c r="L154" i="1"/>
  <c r="K154" i="1"/>
  <c r="AB154" i="1"/>
  <c r="I154" i="1"/>
  <c r="X153" i="1"/>
  <c r="Z153" i="1" s="1"/>
  <c r="W153" i="1"/>
  <c r="S153" i="1"/>
  <c r="Q153" i="1"/>
  <c r="N153" i="1"/>
  <c r="L153" i="1"/>
  <c r="K153" i="1"/>
  <c r="AB153" i="1"/>
  <c r="I153" i="1"/>
  <c r="X152" i="1"/>
  <c r="Z152" i="1" s="1"/>
  <c r="W152" i="1"/>
  <c r="S152" i="1"/>
  <c r="Q152" i="1"/>
  <c r="N152" i="1"/>
  <c r="L152" i="1"/>
  <c r="K152" i="1"/>
  <c r="AB152" i="1"/>
  <c r="I152" i="1"/>
  <c r="X151" i="1"/>
  <c r="Z151" i="1" s="1"/>
  <c r="W151" i="1"/>
  <c r="S151" i="1"/>
  <c r="Q151" i="1"/>
  <c r="N151" i="1"/>
  <c r="L151" i="1"/>
  <c r="K151" i="1"/>
  <c r="AB151" i="1"/>
  <c r="I151" i="1"/>
  <c r="X150" i="1"/>
  <c r="Z150" i="1" s="1"/>
  <c r="W150" i="1"/>
  <c r="S150" i="1"/>
  <c r="Q150" i="1"/>
  <c r="N150" i="1"/>
  <c r="L150" i="1"/>
  <c r="K150" i="1"/>
  <c r="AB150" i="1"/>
  <c r="I150" i="1"/>
  <c r="X149" i="1"/>
  <c r="Z149" i="1" s="1"/>
  <c r="W149" i="1"/>
  <c r="S149" i="1"/>
  <c r="Q149" i="1"/>
  <c r="N149" i="1"/>
  <c r="L149" i="1"/>
  <c r="K149" i="1"/>
  <c r="AB149" i="1"/>
  <c r="I149" i="1"/>
  <c r="X148" i="1"/>
  <c r="Z148" i="1" s="1"/>
  <c r="W148" i="1"/>
  <c r="S148" i="1"/>
  <c r="Q148" i="1"/>
  <c r="N148" i="1"/>
  <c r="L148" i="1"/>
  <c r="K148" i="1"/>
  <c r="AB148" i="1"/>
  <c r="I148" i="1"/>
  <c r="X147" i="1"/>
  <c r="Z147" i="1" s="1"/>
  <c r="W147" i="1"/>
  <c r="S147" i="1"/>
  <c r="Q147" i="1"/>
  <c r="N147" i="1"/>
  <c r="L147" i="1"/>
  <c r="K147" i="1"/>
  <c r="AB147" i="1"/>
  <c r="I147" i="1"/>
  <c r="X146" i="1"/>
  <c r="Z146" i="1" s="1"/>
  <c r="W146" i="1"/>
  <c r="S146" i="1"/>
  <c r="Q146" i="1"/>
  <c r="N146" i="1"/>
  <c r="L146" i="1"/>
  <c r="K146" i="1"/>
  <c r="AB146" i="1"/>
  <c r="I146" i="1"/>
  <c r="X145" i="1"/>
  <c r="Z145" i="1" s="1"/>
  <c r="W145" i="1"/>
  <c r="S145" i="1"/>
  <c r="Q145" i="1"/>
  <c r="N145" i="1"/>
  <c r="L145" i="1"/>
  <c r="K145" i="1"/>
  <c r="AB145" i="1"/>
  <c r="I145" i="1"/>
  <c r="X144" i="1"/>
  <c r="Z144" i="1" s="1"/>
  <c r="W144" i="1"/>
  <c r="S144" i="1"/>
  <c r="Q144" i="1"/>
  <c r="N144" i="1"/>
  <c r="L144" i="1"/>
  <c r="K144" i="1"/>
  <c r="AB144" i="1"/>
  <c r="I144" i="1"/>
  <c r="X143" i="1"/>
  <c r="Z143" i="1" s="1"/>
  <c r="W143" i="1"/>
  <c r="S143" i="1"/>
  <c r="Q143" i="1"/>
  <c r="N143" i="1"/>
  <c r="L143" i="1"/>
  <c r="K143" i="1"/>
  <c r="AB143" i="1"/>
  <c r="I143" i="1"/>
  <c r="X142" i="1"/>
  <c r="Z142" i="1" s="1"/>
  <c r="W142" i="1"/>
  <c r="S142" i="1"/>
  <c r="Q142" i="1"/>
  <c r="N142" i="1"/>
  <c r="L142" i="1"/>
  <c r="K142" i="1"/>
  <c r="AB142" i="1"/>
  <c r="I142" i="1"/>
  <c r="X141" i="1"/>
  <c r="Z141" i="1" s="1"/>
  <c r="W141" i="1"/>
  <c r="S141" i="1"/>
  <c r="Q141" i="1"/>
  <c r="N141" i="1"/>
  <c r="L141" i="1"/>
  <c r="K141" i="1"/>
  <c r="AB141" i="1"/>
  <c r="I141" i="1"/>
  <c r="X140" i="1"/>
  <c r="Z140" i="1" s="1"/>
  <c r="W140" i="1"/>
  <c r="S140" i="1"/>
  <c r="Q140" i="1"/>
  <c r="N140" i="1"/>
  <c r="L140" i="1"/>
  <c r="K140" i="1"/>
  <c r="AB140" i="1"/>
  <c r="I140" i="1"/>
  <c r="X139" i="1"/>
  <c r="Z139" i="1" s="1"/>
  <c r="W139" i="1"/>
  <c r="S139" i="1"/>
  <c r="Q139" i="1"/>
  <c r="N139" i="1"/>
  <c r="L139" i="1"/>
  <c r="K139" i="1"/>
  <c r="AB139" i="1"/>
  <c r="I139" i="1"/>
  <c r="X138" i="1"/>
  <c r="Z138" i="1" s="1"/>
  <c r="W138" i="1"/>
  <c r="S138" i="1"/>
  <c r="Q138" i="1"/>
  <c r="N138" i="1"/>
  <c r="L138" i="1"/>
  <c r="K138" i="1"/>
  <c r="AB138" i="1"/>
  <c r="I138" i="1"/>
  <c r="X137" i="1"/>
  <c r="Z137" i="1" s="1"/>
  <c r="W137" i="1"/>
  <c r="S137" i="1"/>
  <c r="Q137" i="1"/>
  <c r="N137" i="1"/>
  <c r="L137" i="1"/>
  <c r="K137" i="1"/>
  <c r="AB137" i="1"/>
  <c r="I137" i="1"/>
  <c r="X136" i="1"/>
  <c r="Z136" i="1" s="1"/>
  <c r="W136" i="1"/>
  <c r="S136" i="1"/>
  <c r="Q136" i="1"/>
  <c r="N136" i="1"/>
  <c r="L136" i="1"/>
  <c r="K136" i="1"/>
  <c r="AB136" i="1"/>
  <c r="I136" i="1"/>
  <c r="X135" i="1"/>
  <c r="Z135" i="1" s="1"/>
  <c r="W135" i="1"/>
  <c r="S135" i="1"/>
  <c r="Q135" i="1"/>
  <c r="N135" i="1"/>
  <c r="L135" i="1"/>
  <c r="K135" i="1"/>
  <c r="AB135" i="1"/>
  <c r="I135" i="1"/>
  <c r="X134" i="1"/>
  <c r="Z134" i="1" s="1"/>
  <c r="W134" i="1"/>
  <c r="S134" i="1"/>
  <c r="Q134" i="1"/>
  <c r="N134" i="1"/>
  <c r="L134" i="1"/>
  <c r="K134" i="1"/>
  <c r="AB134" i="1"/>
  <c r="I134" i="1"/>
  <c r="X133" i="1"/>
  <c r="Z133" i="1" s="1"/>
  <c r="W133" i="1"/>
  <c r="S133" i="1"/>
  <c r="Q133" i="1"/>
  <c r="N133" i="1"/>
  <c r="L133" i="1"/>
  <c r="K133" i="1"/>
  <c r="AB133" i="1"/>
  <c r="I133" i="1"/>
  <c r="X132" i="1"/>
  <c r="Z132" i="1" s="1"/>
  <c r="W132" i="1"/>
  <c r="S132" i="1"/>
  <c r="Q132" i="1"/>
  <c r="N132" i="1"/>
  <c r="L132" i="1"/>
  <c r="K132" i="1"/>
  <c r="AB132" i="1"/>
  <c r="I132" i="1"/>
  <c r="X131" i="1"/>
  <c r="Z131" i="1" s="1"/>
  <c r="W131" i="1"/>
  <c r="S131" i="1"/>
  <c r="Q131" i="1"/>
  <c r="N131" i="1"/>
  <c r="L131" i="1"/>
  <c r="K131" i="1"/>
  <c r="AB131" i="1"/>
  <c r="I131" i="1"/>
  <c r="X130" i="1"/>
  <c r="Z130" i="1" s="1"/>
  <c r="W130" i="1"/>
  <c r="S130" i="1"/>
  <c r="Q130" i="1"/>
  <c r="N130" i="1"/>
  <c r="L130" i="1"/>
  <c r="K130" i="1"/>
  <c r="AB130" i="1"/>
  <c r="I130" i="1"/>
  <c r="X129" i="1"/>
  <c r="Z129" i="1" s="1"/>
  <c r="W129" i="1"/>
  <c r="S129" i="1"/>
  <c r="Q129" i="1"/>
  <c r="N129" i="1"/>
  <c r="L129" i="1"/>
  <c r="K129" i="1"/>
  <c r="AB129" i="1"/>
  <c r="I129" i="1"/>
  <c r="X128" i="1"/>
  <c r="Z128" i="1" s="1"/>
  <c r="W128" i="1"/>
  <c r="S128" i="1"/>
  <c r="Q128" i="1"/>
  <c r="N128" i="1"/>
  <c r="L128" i="1"/>
  <c r="K128" i="1"/>
  <c r="AB128" i="1"/>
  <c r="I128" i="1"/>
  <c r="X127" i="1"/>
  <c r="Z127" i="1" s="1"/>
  <c r="W127" i="1"/>
  <c r="S127" i="1"/>
  <c r="Q127" i="1"/>
  <c r="N127" i="1"/>
  <c r="L127" i="1"/>
  <c r="K127" i="1"/>
  <c r="AB127" i="1"/>
  <c r="I127" i="1"/>
  <c r="X126" i="1"/>
  <c r="Z126" i="1" s="1"/>
  <c r="W126" i="1"/>
  <c r="S126" i="1"/>
  <c r="Q126" i="1"/>
  <c r="N126" i="1"/>
  <c r="L126" i="1"/>
  <c r="K126" i="1"/>
  <c r="AB126" i="1"/>
  <c r="I126" i="1"/>
  <c r="X125" i="1"/>
  <c r="Z125" i="1" s="1"/>
  <c r="W125" i="1"/>
  <c r="S125" i="1"/>
  <c r="Q125" i="1"/>
  <c r="N125" i="1"/>
  <c r="L125" i="1"/>
  <c r="K125" i="1"/>
  <c r="AB125" i="1"/>
  <c r="I125" i="1"/>
  <c r="X124" i="1"/>
  <c r="Z124" i="1" s="1"/>
  <c r="W124" i="1"/>
  <c r="S124" i="1"/>
  <c r="Q124" i="1"/>
  <c r="N124" i="1"/>
  <c r="L124" i="1"/>
  <c r="K124" i="1"/>
  <c r="AB124" i="1"/>
  <c r="I124" i="1"/>
  <c r="X123" i="1"/>
  <c r="Z123" i="1" s="1"/>
  <c r="W123" i="1"/>
  <c r="S123" i="1"/>
  <c r="Q123" i="1"/>
  <c r="N123" i="1"/>
  <c r="L123" i="1"/>
  <c r="K123" i="1"/>
  <c r="AB123" i="1"/>
  <c r="I123" i="1"/>
  <c r="X122" i="1"/>
  <c r="Z122" i="1" s="1"/>
  <c r="W122" i="1"/>
  <c r="S122" i="1"/>
  <c r="Q122" i="1"/>
  <c r="N122" i="1"/>
  <c r="L122" i="1"/>
  <c r="K122" i="1"/>
  <c r="AB122" i="1"/>
  <c r="I122" i="1"/>
  <c r="X121" i="1"/>
  <c r="Z121" i="1" s="1"/>
  <c r="W121" i="1"/>
  <c r="S121" i="1"/>
  <c r="Q121" i="1"/>
  <c r="N121" i="1"/>
  <c r="L121" i="1"/>
  <c r="K121" i="1"/>
  <c r="AB121" i="1"/>
  <c r="I121" i="1"/>
  <c r="X120" i="1"/>
  <c r="Z120" i="1" s="1"/>
  <c r="W120" i="1"/>
  <c r="S120" i="1"/>
  <c r="Q120" i="1"/>
  <c r="N120" i="1"/>
  <c r="L120" i="1"/>
  <c r="K120" i="1"/>
  <c r="AB120" i="1"/>
  <c r="I120" i="1"/>
  <c r="X119" i="1"/>
  <c r="Z119" i="1" s="1"/>
  <c r="W119" i="1"/>
  <c r="S119" i="1"/>
  <c r="Q119" i="1"/>
  <c r="N119" i="1"/>
  <c r="L119" i="1"/>
  <c r="K119" i="1"/>
  <c r="AB119" i="1"/>
  <c r="I119" i="1"/>
  <c r="X118" i="1"/>
  <c r="Z118" i="1" s="1"/>
  <c r="W118" i="1"/>
  <c r="S118" i="1"/>
  <c r="Q118" i="1"/>
  <c r="N118" i="1"/>
  <c r="L118" i="1"/>
  <c r="K118" i="1"/>
  <c r="AB118" i="1"/>
  <c r="I118" i="1"/>
  <c r="X117" i="1"/>
  <c r="Z117" i="1" s="1"/>
  <c r="W117" i="1"/>
  <c r="S117" i="1"/>
  <c r="Q117" i="1"/>
  <c r="N117" i="1"/>
  <c r="L117" i="1"/>
  <c r="K117" i="1"/>
  <c r="AB117" i="1"/>
  <c r="I117" i="1"/>
  <c r="X116" i="1"/>
  <c r="Z116" i="1" s="1"/>
  <c r="W116" i="1"/>
  <c r="S116" i="1"/>
  <c r="Q116" i="1"/>
  <c r="N116" i="1"/>
  <c r="L116" i="1"/>
  <c r="K116" i="1"/>
  <c r="AB116" i="1"/>
  <c r="I116" i="1"/>
  <c r="X115" i="1"/>
  <c r="Z115" i="1" s="1"/>
  <c r="W115" i="1"/>
  <c r="S115" i="1"/>
  <c r="Q115" i="1"/>
  <c r="N115" i="1"/>
  <c r="L115" i="1"/>
  <c r="K115" i="1"/>
  <c r="AB115" i="1"/>
  <c r="I115" i="1"/>
  <c r="X114" i="1"/>
  <c r="Z114" i="1" s="1"/>
  <c r="W114" i="1"/>
  <c r="S114" i="1"/>
  <c r="Q114" i="1"/>
  <c r="N114" i="1"/>
  <c r="L114" i="1"/>
  <c r="K114" i="1"/>
  <c r="AB114" i="1"/>
  <c r="I114" i="1"/>
  <c r="X113" i="1"/>
  <c r="Z113" i="1" s="1"/>
  <c r="W113" i="1"/>
  <c r="S113" i="1"/>
  <c r="Q113" i="1"/>
  <c r="N113" i="1"/>
  <c r="L113" i="1"/>
  <c r="K113" i="1"/>
  <c r="AB113" i="1"/>
  <c r="I113" i="1"/>
  <c r="X112" i="1"/>
  <c r="Z112" i="1" s="1"/>
  <c r="W112" i="1"/>
  <c r="S112" i="1"/>
  <c r="Q112" i="1"/>
  <c r="N112" i="1"/>
  <c r="L112" i="1"/>
  <c r="K112" i="1"/>
  <c r="AB112" i="1"/>
  <c r="I112" i="1"/>
  <c r="X111" i="1"/>
  <c r="Z111" i="1" s="1"/>
  <c r="W111" i="1"/>
  <c r="S111" i="1"/>
  <c r="Q111" i="1"/>
  <c r="N111" i="1"/>
  <c r="L111" i="1"/>
  <c r="K111" i="1"/>
  <c r="AB111" i="1"/>
  <c r="I111" i="1"/>
  <c r="X110" i="1"/>
  <c r="Z110" i="1" s="1"/>
  <c r="W110" i="1"/>
  <c r="S110" i="1"/>
  <c r="Q110" i="1"/>
  <c r="N110" i="1"/>
  <c r="L110" i="1"/>
  <c r="K110" i="1"/>
  <c r="AB110" i="1"/>
  <c r="I110" i="1"/>
  <c r="X109" i="1"/>
  <c r="Z109" i="1" s="1"/>
  <c r="W109" i="1"/>
  <c r="S109" i="1"/>
  <c r="Q109" i="1"/>
  <c r="N109" i="1"/>
  <c r="L109" i="1"/>
  <c r="K109" i="1"/>
  <c r="AB109" i="1"/>
  <c r="I109" i="1"/>
  <c r="X108" i="1"/>
  <c r="Z108" i="1" s="1"/>
  <c r="W108" i="1"/>
  <c r="S108" i="1"/>
  <c r="Q108" i="1"/>
  <c r="N108" i="1"/>
  <c r="L108" i="1"/>
  <c r="K108" i="1"/>
  <c r="AB108" i="1"/>
  <c r="I108" i="1"/>
  <c r="X107" i="1"/>
  <c r="Z107" i="1" s="1"/>
  <c r="W107" i="1"/>
  <c r="S107" i="1"/>
  <c r="Q107" i="1"/>
  <c r="N107" i="1"/>
  <c r="L107" i="1"/>
  <c r="K107" i="1"/>
  <c r="AB107" i="1"/>
  <c r="I107" i="1"/>
  <c r="X106" i="1"/>
  <c r="Z106" i="1" s="1"/>
  <c r="W106" i="1"/>
  <c r="S106" i="1"/>
  <c r="Q106" i="1"/>
  <c r="N106" i="1"/>
  <c r="L106" i="1"/>
  <c r="K106" i="1"/>
  <c r="AB106" i="1"/>
  <c r="I106" i="1"/>
  <c r="X105" i="1"/>
  <c r="Z105" i="1" s="1"/>
  <c r="W105" i="1"/>
  <c r="S105" i="1"/>
  <c r="Q105" i="1"/>
  <c r="N105" i="1"/>
  <c r="L105" i="1"/>
  <c r="K105" i="1"/>
  <c r="AB105" i="1"/>
  <c r="I105" i="1"/>
  <c r="X104" i="1"/>
  <c r="Z104" i="1" s="1"/>
  <c r="W104" i="1"/>
  <c r="S104" i="1"/>
  <c r="Q104" i="1"/>
  <c r="N104" i="1"/>
  <c r="L104" i="1"/>
  <c r="K104" i="1"/>
  <c r="AB104" i="1"/>
  <c r="I104" i="1"/>
  <c r="X103" i="1"/>
  <c r="Z103" i="1" s="1"/>
  <c r="W103" i="1"/>
  <c r="S103" i="1"/>
  <c r="Q103" i="1"/>
  <c r="N103" i="1"/>
  <c r="L103" i="1"/>
  <c r="K103" i="1"/>
  <c r="AB103" i="1"/>
  <c r="I103" i="1"/>
  <c r="X102" i="1"/>
  <c r="Z102" i="1" s="1"/>
  <c r="W102" i="1"/>
  <c r="S102" i="1"/>
  <c r="Q102" i="1"/>
  <c r="N102" i="1"/>
  <c r="L102" i="1"/>
  <c r="K102" i="1"/>
  <c r="AB102" i="1"/>
  <c r="I102" i="1"/>
  <c r="X101" i="1"/>
  <c r="Z101" i="1" s="1"/>
  <c r="W101" i="1"/>
  <c r="S101" i="1"/>
  <c r="Q101" i="1"/>
  <c r="N101" i="1"/>
  <c r="L101" i="1"/>
  <c r="K101" i="1"/>
  <c r="AB101" i="1"/>
  <c r="I101" i="1"/>
  <c r="X100" i="1"/>
  <c r="Z100" i="1" s="1"/>
  <c r="W100" i="1"/>
  <c r="S100" i="1"/>
  <c r="Q100" i="1"/>
  <c r="N100" i="1"/>
  <c r="L100" i="1"/>
  <c r="K100" i="1"/>
  <c r="AB100" i="1"/>
  <c r="I100" i="1"/>
  <c r="X99" i="1"/>
  <c r="Z99" i="1" s="1"/>
  <c r="W99" i="1"/>
  <c r="S99" i="1"/>
  <c r="Q99" i="1"/>
  <c r="N99" i="1"/>
  <c r="L99" i="1"/>
  <c r="K99" i="1"/>
  <c r="AB99" i="1"/>
  <c r="I99" i="1"/>
  <c r="X98" i="1"/>
  <c r="Z98" i="1" s="1"/>
  <c r="W98" i="1"/>
  <c r="S98" i="1"/>
  <c r="Q98" i="1"/>
  <c r="N98" i="1"/>
  <c r="L98" i="1"/>
  <c r="K98" i="1"/>
  <c r="AB98" i="1"/>
  <c r="I98" i="1"/>
  <c r="X97" i="1"/>
  <c r="Z97" i="1" s="1"/>
  <c r="W97" i="1"/>
  <c r="S97" i="1"/>
  <c r="Q97" i="1"/>
  <c r="N97" i="1"/>
  <c r="L97" i="1"/>
  <c r="K97" i="1"/>
  <c r="AB97" i="1"/>
  <c r="I97" i="1"/>
  <c r="X96" i="1"/>
  <c r="Z96" i="1" s="1"/>
  <c r="W96" i="1"/>
  <c r="S96" i="1"/>
  <c r="Q96" i="1"/>
  <c r="N96" i="1"/>
  <c r="L96" i="1"/>
  <c r="K96" i="1"/>
  <c r="AB96" i="1"/>
  <c r="I96" i="1"/>
  <c r="X95" i="1"/>
  <c r="Z95" i="1" s="1"/>
  <c r="W95" i="1"/>
  <c r="S95" i="1"/>
  <c r="Q95" i="1"/>
  <c r="N95" i="1"/>
  <c r="L95" i="1"/>
  <c r="K95" i="1"/>
  <c r="AB95" i="1"/>
  <c r="I95" i="1"/>
  <c r="X94" i="1"/>
  <c r="Z94" i="1" s="1"/>
  <c r="W94" i="1"/>
  <c r="S94" i="1"/>
  <c r="Q94" i="1"/>
  <c r="N94" i="1"/>
  <c r="L94" i="1"/>
  <c r="K94" i="1"/>
  <c r="AB94" i="1"/>
  <c r="I94" i="1"/>
  <c r="X93" i="1"/>
  <c r="Z93" i="1" s="1"/>
  <c r="W93" i="1"/>
  <c r="S93" i="1"/>
  <c r="Q93" i="1"/>
  <c r="N93" i="1"/>
  <c r="L93" i="1"/>
  <c r="K93" i="1"/>
  <c r="AB93" i="1"/>
  <c r="I93" i="1"/>
  <c r="X92" i="1"/>
  <c r="Z92" i="1" s="1"/>
  <c r="W92" i="1"/>
  <c r="S92" i="1"/>
  <c r="Q92" i="1"/>
  <c r="N92" i="1"/>
  <c r="L92" i="1"/>
  <c r="K92" i="1"/>
  <c r="AB92" i="1"/>
  <c r="I92" i="1"/>
  <c r="X91" i="1"/>
  <c r="Z91" i="1" s="1"/>
  <c r="W91" i="1"/>
  <c r="S91" i="1"/>
  <c r="Q91" i="1"/>
  <c r="N91" i="1"/>
  <c r="L91" i="1"/>
  <c r="K91" i="1"/>
  <c r="AB91" i="1"/>
  <c r="I91" i="1"/>
  <c r="X90" i="1"/>
  <c r="Z90" i="1" s="1"/>
  <c r="W90" i="1"/>
  <c r="S90" i="1"/>
  <c r="Q90" i="1"/>
  <c r="N90" i="1"/>
  <c r="L90" i="1"/>
  <c r="K90" i="1"/>
  <c r="AB90" i="1"/>
  <c r="I90" i="1"/>
  <c r="X89" i="1"/>
  <c r="Z89" i="1" s="1"/>
  <c r="W89" i="1"/>
  <c r="S89" i="1"/>
  <c r="Q89" i="1"/>
  <c r="N89" i="1"/>
  <c r="L89" i="1"/>
  <c r="K89" i="1"/>
  <c r="AB89" i="1"/>
  <c r="I89" i="1"/>
  <c r="X88" i="1"/>
  <c r="Z88" i="1" s="1"/>
  <c r="W88" i="1"/>
  <c r="S88" i="1"/>
  <c r="Q88" i="1"/>
  <c r="N88" i="1"/>
  <c r="L88" i="1"/>
  <c r="K88" i="1"/>
  <c r="AB88" i="1"/>
  <c r="I88" i="1"/>
  <c r="X87" i="1"/>
  <c r="Z87" i="1" s="1"/>
  <c r="W87" i="1"/>
  <c r="S87" i="1"/>
  <c r="Q87" i="1"/>
  <c r="N87" i="1"/>
  <c r="L87" i="1"/>
  <c r="K87" i="1"/>
  <c r="AB87" i="1"/>
  <c r="I87" i="1"/>
  <c r="X86" i="1"/>
  <c r="Z86" i="1" s="1"/>
  <c r="W86" i="1"/>
  <c r="S86" i="1"/>
  <c r="Q86" i="1"/>
  <c r="N86" i="1"/>
  <c r="L86" i="1"/>
  <c r="K86" i="1"/>
  <c r="AB86" i="1"/>
  <c r="I86" i="1"/>
  <c r="X85" i="1"/>
  <c r="Z85" i="1" s="1"/>
  <c r="W85" i="1"/>
  <c r="S85" i="1"/>
  <c r="Q85" i="1"/>
  <c r="N85" i="1"/>
  <c r="L85" i="1"/>
  <c r="K85" i="1"/>
  <c r="AB85" i="1"/>
  <c r="I85" i="1"/>
  <c r="X84" i="1"/>
  <c r="Z84" i="1" s="1"/>
  <c r="W84" i="1"/>
  <c r="S84" i="1"/>
  <c r="Q84" i="1"/>
  <c r="N84" i="1"/>
  <c r="L84" i="1"/>
  <c r="K84" i="1"/>
  <c r="AB84" i="1"/>
  <c r="I84" i="1"/>
  <c r="X83" i="1"/>
  <c r="Z83" i="1" s="1"/>
  <c r="W83" i="1"/>
  <c r="S83" i="1"/>
  <c r="Q83" i="1"/>
  <c r="N83" i="1"/>
  <c r="L83" i="1"/>
  <c r="K83" i="1"/>
  <c r="AB83" i="1"/>
  <c r="I83" i="1"/>
  <c r="X82" i="1"/>
  <c r="Z82" i="1" s="1"/>
  <c r="W82" i="1"/>
  <c r="S82" i="1"/>
  <c r="Q82" i="1"/>
  <c r="N82" i="1"/>
  <c r="L82" i="1"/>
  <c r="K82" i="1"/>
  <c r="AB82" i="1"/>
  <c r="I82" i="1"/>
  <c r="X81" i="1"/>
  <c r="Z81" i="1" s="1"/>
  <c r="W81" i="1"/>
  <c r="S81" i="1"/>
  <c r="Q81" i="1"/>
  <c r="N81" i="1"/>
  <c r="L81" i="1"/>
  <c r="K81" i="1"/>
  <c r="AB81" i="1"/>
  <c r="I81" i="1"/>
  <c r="X80" i="1"/>
  <c r="Z80" i="1" s="1"/>
  <c r="W80" i="1"/>
  <c r="S80" i="1"/>
  <c r="Q80" i="1"/>
  <c r="N80" i="1"/>
  <c r="L80" i="1"/>
  <c r="K80" i="1"/>
  <c r="AB80" i="1"/>
  <c r="I80" i="1"/>
  <c r="X79" i="1"/>
  <c r="Z79" i="1" s="1"/>
  <c r="W79" i="1"/>
  <c r="S79" i="1"/>
  <c r="Q79" i="1"/>
  <c r="N79" i="1"/>
  <c r="L79" i="1"/>
  <c r="K79" i="1"/>
  <c r="AB79" i="1"/>
  <c r="I79" i="1"/>
  <c r="X78" i="1"/>
  <c r="Z78" i="1" s="1"/>
  <c r="W78" i="1"/>
  <c r="S78" i="1"/>
  <c r="Q78" i="1"/>
  <c r="N78" i="1"/>
  <c r="L78" i="1"/>
  <c r="K78" i="1"/>
  <c r="AB78" i="1"/>
  <c r="I78" i="1"/>
  <c r="X77" i="1"/>
  <c r="Z77" i="1" s="1"/>
  <c r="W77" i="1"/>
  <c r="S77" i="1"/>
  <c r="Q77" i="1"/>
  <c r="N77" i="1"/>
  <c r="Y77" i="1" s="1"/>
  <c r="L77" i="1"/>
  <c r="K77" i="1"/>
  <c r="AB77" i="1"/>
  <c r="I77" i="1"/>
  <c r="X76" i="1"/>
  <c r="Z76" i="1" s="1"/>
  <c r="W76" i="1"/>
  <c r="S76" i="1"/>
  <c r="Q76" i="1"/>
  <c r="N76" i="1"/>
  <c r="L76" i="1"/>
  <c r="K76" i="1"/>
  <c r="AB76" i="1"/>
  <c r="I76" i="1"/>
  <c r="X75" i="1"/>
  <c r="Z75" i="1" s="1"/>
  <c r="W75" i="1"/>
  <c r="S75" i="1"/>
  <c r="Q75" i="1"/>
  <c r="N75" i="1"/>
  <c r="L75" i="1"/>
  <c r="K75" i="1"/>
  <c r="AB75" i="1"/>
  <c r="I75" i="1"/>
  <c r="X74" i="1"/>
  <c r="Z74" i="1" s="1"/>
  <c r="W74" i="1"/>
  <c r="S74" i="1"/>
  <c r="Q74" i="1"/>
  <c r="N74" i="1"/>
  <c r="L74" i="1"/>
  <c r="K74" i="1"/>
  <c r="AB74" i="1"/>
  <c r="I74" i="1"/>
  <c r="X73" i="1"/>
  <c r="Z73" i="1" s="1"/>
  <c r="W73" i="1"/>
  <c r="S73" i="1"/>
  <c r="Q73" i="1"/>
  <c r="N73" i="1"/>
  <c r="L73" i="1"/>
  <c r="K73" i="1"/>
  <c r="AB73" i="1"/>
  <c r="I73" i="1"/>
  <c r="X72" i="1"/>
  <c r="Z72" i="1" s="1"/>
  <c r="W72" i="1"/>
  <c r="S72" i="1"/>
  <c r="Q72" i="1"/>
  <c r="N72" i="1"/>
  <c r="L72" i="1"/>
  <c r="K72" i="1"/>
  <c r="AB72" i="1"/>
  <c r="I72" i="1"/>
  <c r="X71" i="1"/>
  <c r="Z71" i="1" s="1"/>
  <c r="W71" i="1"/>
  <c r="S71" i="1"/>
  <c r="Q71" i="1"/>
  <c r="N71" i="1"/>
  <c r="L71" i="1"/>
  <c r="K71" i="1"/>
  <c r="AB71" i="1"/>
  <c r="I71" i="1"/>
  <c r="X70" i="1"/>
  <c r="Z70" i="1" s="1"/>
  <c r="W70" i="1"/>
  <c r="S70" i="1"/>
  <c r="Q70" i="1"/>
  <c r="N70" i="1"/>
  <c r="L70" i="1"/>
  <c r="K70" i="1"/>
  <c r="AB70" i="1"/>
  <c r="I70" i="1"/>
  <c r="X69" i="1"/>
  <c r="Z69" i="1" s="1"/>
  <c r="W69" i="1"/>
  <c r="S69" i="1"/>
  <c r="Q69" i="1"/>
  <c r="N69" i="1"/>
  <c r="L69" i="1"/>
  <c r="K69" i="1"/>
  <c r="AB69" i="1"/>
  <c r="I69" i="1"/>
  <c r="X68" i="1"/>
  <c r="Z68" i="1" s="1"/>
  <c r="W68" i="1"/>
  <c r="S68" i="1"/>
  <c r="Q68" i="1"/>
  <c r="N68" i="1"/>
  <c r="L68" i="1"/>
  <c r="K68" i="1"/>
  <c r="AB68" i="1"/>
  <c r="I68" i="1"/>
  <c r="X67" i="1"/>
  <c r="Z67" i="1" s="1"/>
  <c r="W67" i="1"/>
  <c r="S67" i="1"/>
  <c r="Q67" i="1"/>
  <c r="N67" i="1"/>
  <c r="L67" i="1"/>
  <c r="K67" i="1"/>
  <c r="AB67" i="1"/>
  <c r="I67" i="1"/>
  <c r="X66" i="1"/>
  <c r="Z66" i="1" s="1"/>
  <c r="W66" i="1"/>
  <c r="S66" i="1"/>
  <c r="Q66" i="1"/>
  <c r="N66" i="1"/>
  <c r="L66" i="1"/>
  <c r="K66" i="1"/>
  <c r="AB66" i="1"/>
  <c r="I66" i="1"/>
  <c r="X65" i="1"/>
  <c r="Z65" i="1" s="1"/>
  <c r="W65" i="1"/>
  <c r="S65" i="1"/>
  <c r="Q65" i="1"/>
  <c r="N65" i="1"/>
  <c r="L65" i="1"/>
  <c r="K65" i="1"/>
  <c r="AB65" i="1"/>
  <c r="I65" i="1"/>
  <c r="X64" i="1"/>
  <c r="Z64" i="1" s="1"/>
  <c r="W64" i="1"/>
  <c r="S64" i="1"/>
  <c r="Q64" i="1"/>
  <c r="N64" i="1"/>
  <c r="L64" i="1"/>
  <c r="K64" i="1"/>
  <c r="AB64" i="1"/>
  <c r="I64" i="1"/>
  <c r="X63" i="1"/>
  <c r="Z63" i="1" s="1"/>
  <c r="W63" i="1"/>
  <c r="S63" i="1"/>
  <c r="Q63" i="1"/>
  <c r="N63" i="1"/>
  <c r="L63" i="1"/>
  <c r="K63" i="1"/>
  <c r="AB63" i="1"/>
  <c r="I63" i="1"/>
  <c r="X62" i="1"/>
  <c r="Z62" i="1" s="1"/>
  <c r="W62" i="1"/>
  <c r="S62" i="1"/>
  <c r="Q62" i="1"/>
  <c r="N62" i="1"/>
  <c r="L62" i="1"/>
  <c r="K62" i="1"/>
  <c r="AB62" i="1"/>
  <c r="I62" i="1"/>
  <c r="X61" i="1"/>
  <c r="Z61" i="1" s="1"/>
  <c r="W61" i="1"/>
  <c r="S61" i="1"/>
  <c r="Q61" i="1"/>
  <c r="N61" i="1"/>
  <c r="L61" i="1"/>
  <c r="K61" i="1"/>
  <c r="AB61" i="1"/>
  <c r="I61" i="1"/>
  <c r="X60" i="1"/>
  <c r="Z60" i="1" s="1"/>
  <c r="W60" i="1"/>
  <c r="S60" i="1"/>
  <c r="Q60" i="1"/>
  <c r="N60" i="1"/>
  <c r="L60" i="1"/>
  <c r="K60" i="1"/>
  <c r="AB60" i="1"/>
  <c r="I60" i="1"/>
  <c r="X59" i="1"/>
  <c r="Z59" i="1" s="1"/>
  <c r="W59" i="1"/>
  <c r="S59" i="1"/>
  <c r="Q59" i="1"/>
  <c r="N59" i="1"/>
  <c r="L59" i="1"/>
  <c r="K59" i="1"/>
  <c r="AB59" i="1"/>
  <c r="I59" i="1"/>
  <c r="X58" i="1"/>
  <c r="Z58" i="1" s="1"/>
  <c r="W58" i="1"/>
  <c r="S58" i="1"/>
  <c r="Q58" i="1"/>
  <c r="N58" i="1"/>
  <c r="L58" i="1"/>
  <c r="K58" i="1"/>
  <c r="AB58" i="1"/>
  <c r="I58" i="1"/>
  <c r="X57" i="1"/>
  <c r="Z57" i="1" s="1"/>
  <c r="W57" i="1"/>
  <c r="S57" i="1"/>
  <c r="Q57" i="1"/>
  <c r="N57" i="1"/>
  <c r="L57" i="1"/>
  <c r="K57" i="1"/>
  <c r="AB57" i="1"/>
  <c r="I57" i="1"/>
  <c r="X56" i="1"/>
  <c r="Z56" i="1" s="1"/>
  <c r="W56" i="1"/>
  <c r="S56" i="1"/>
  <c r="Q56" i="1"/>
  <c r="N56" i="1"/>
  <c r="L56" i="1"/>
  <c r="K56" i="1"/>
  <c r="AB56" i="1"/>
  <c r="I56" i="1"/>
  <c r="X55" i="1"/>
  <c r="Z55" i="1" s="1"/>
  <c r="W55" i="1"/>
  <c r="S55" i="1"/>
  <c r="Q55" i="1"/>
  <c r="N55" i="1"/>
  <c r="L55" i="1"/>
  <c r="K55" i="1"/>
  <c r="AB55" i="1"/>
  <c r="I55" i="1"/>
  <c r="X54" i="1"/>
  <c r="Z54" i="1" s="1"/>
  <c r="W54" i="1"/>
  <c r="S54" i="1"/>
  <c r="Q54" i="1"/>
  <c r="N54" i="1"/>
  <c r="L54" i="1"/>
  <c r="K54" i="1"/>
  <c r="AB54" i="1"/>
  <c r="I54" i="1"/>
  <c r="X53" i="1"/>
  <c r="Z53" i="1" s="1"/>
  <c r="W53" i="1"/>
  <c r="S53" i="1"/>
  <c r="Q53" i="1"/>
  <c r="N53" i="1"/>
  <c r="L53" i="1"/>
  <c r="K53" i="1"/>
  <c r="AB53" i="1"/>
  <c r="I53" i="1"/>
  <c r="X52" i="1"/>
  <c r="Z52" i="1" s="1"/>
  <c r="W52" i="1"/>
  <c r="S52" i="1"/>
  <c r="Q52" i="1"/>
  <c r="N52" i="1"/>
  <c r="L52" i="1"/>
  <c r="K52" i="1"/>
  <c r="AB52" i="1"/>
  <c r="I52" i="1"/>
  <c r="X51" i="1"/>
  <c r="Z51" i="1" s="1"/>
  <c r="W51" i="1"/>
  <c r="S51" i="1"/>
  <c r="Q51" i="1"/>
  <c r="N51" i="1"/>
  <c r="L51" i="1"/>
  <c r="K51" i="1"/>
  <c r="AB51" i="1"/>
  <c r="I51" i="1"/>
  <c r="X50" i="1"/>
  <c r="Z50" i="1" s="1"/>
  <c r="W50" i="1"/>
  <c r="S50" i="1"/>
  <c r="Q50" i="1"/>
  <c r="N50" i="1"/>
  <c r="L50" i="1"/>
  <c r="K50" i="1"/>
  <c r="AB50" i="1"/>
  <c r="I50" i="1"/>
  <c r="X49" i="1"/>
  <c r="Z49" i="1" s="1"/>
  <c r="W49" i="1"/>
  <c r="S49" i="1"/>
  <c r="Q49" i="1"/>
  <c r="N49" i="1"/>
  <c r="L49" i="1"/>
  <c r="K49" i="1"/>
  <c r="AB49" i="1"/>
  <c r="I49" i="1"/>
  <c r="X48" i="1"/>
  <c r="Z48" i="1" s="1"/>
  <c r="W48" i="1"/>
  <c r="S48" i="1"/>
  <c r="Q48" i="1"/>
  <c r="N48" i="1"/>
  <c r="L48" i="1"/>
  <c r="K48" i="1"/>
  <c r="AB48" i="1"/>
  <c r="I48" i="1"/>
  <c r="X47" i="1"/>
  <c r="Z47" i="1" s="1"/>
  <c r="W47" i="1"/>
  <c r="S47" i="1"/>
  <c r="Q47" i="1"/>
  <c r="N47" i="1"/>
  <c r="L47" i="1"/>
  <c r="K47" i="1"/>
  <c r="AB47" i="1"/>
  <c r="I47" i="1"/>
  <c r="X46" i="1"/>
  <c r="Z46" i="1" s="1"/>
  <c r="W46" i="1"/>
  <c r="S46" i="1"/>
  <c r="Q46" i="1"/>
  <c r="N46" i="1"/>
  <c r="L46" i="1"/>
  <c r="K46" i="1"/>
  <c r="AB46" i="1"/>
  <c r="I46" i="1"/>
  <c r="X45" i="1"/>
  <c r="Z45" i="1" s="1"/>
  <c r="W45" i="1"/>
  <c r="S45" i="1"/>
  <c r="Q45" i="1"/>
  <c r="N45" i="1"/>
  <c r="L45" i="1"/>
  <c r="K45" i="1"/>
  <c r="AB45" i="1"/>
  <c r="I45" i="1"/>
  <c r="X44" i="1"/>
  <c r="Z44" i="1" s="1"/>
  <c r="W44" i="1"/>
  <c r="S44" i="1"/>
  <c r="Q44" i="1"/>
  <c r="N44" i="1"/>
  <c r="L44" i="1"/>
  <c r="K44" i="1"/>
  <c r="AB44" i="1"/>
  <c r="I44" i="1"/>
  <c r="X43" i="1"/>
  <c r="Z43" i="1" s="1"/>
  <c r="W43" i="1"/>
  <c r="S43" i="1"/>
  <c r="Q43" i="1"/>
  <c r="N43" i="1"/>
  <c r="L43" i="1"/>
  <c r="K43" i="1"/>
  <c r="AB43" i="1"/>
  <c r="I43" i="1"/>
  <c r="X42" i="1"/>
  <c r="Z42" i="1" s="1"/>
  <c r="W42" i="1"/>
  <c r="S42" i="1"/>
  <c r="Q42" i="1"/>
  <c r="N42" i="1"/>
  <c r="L42" i="1"/>
  <c r="K42" i="1"/>
  <c r="AB42" i="1"/>
  <c r="I42" i="1"/>
  <c r="X41" i="1"/>
  <c r="Z41" i="1" s="1"/>
  <c r="W41" i="1"/>
  <c r="S41" i="1"/>
  <c r="Q41" i="1"/>
  <c r="N41" i="1"/>
  <c r="L41" i="1"/>
  <c r="K41" i="1"/>
  <c r="AB41" i="1"/>
  <c r="I41" i="1"/>
  <c r="X40" i="1"/>
  <c r="Z40" i="1" s="1"/>
  <c r="W40" i="1"/>
  <c r="S40" i="1"/>
  <c r="Q40" i="1"/>
  <c r="N40" i="1"/>
  <c r="L40" i="1"/>
  <c r="K40" i="1"/>
  <c r="AB40" i="1"/>
  <c r="I40" i="1"/>
  <c r="X39" i="1"/>
  <c r="Z39" i="1" s="1"/>
  <c r="W39" i="1"/>
  <c r="S39" i="1"/>
  <c r="Q39" i="1"/>
  <c r="N39" i="1"/>
  <c r="L39" i="1"/>
  <c r="K39" i="1"/>
  <c r="AB39" i="1"/>
  <c r="I39" i="1"/>
  <c r="X38" i="1"/>
  <c r="Z38" i="1" s="1"/>
  <c r="W38" i="1"/>
  <c r="S38" i="1"/>
  <c r="Q38" i="1"/>
  <c r="N38" i="1"/>
  <c r="L38" i="1"/>
  <c r="K38" i="1"/>
  <c r="AB38" i="1"/>
  <c r="I38" i="1"/>
  <c r="X37" i="1"/>
  <c r="Z37" i="1" s="1"/>
  <c r="W37" i="1"/>
  <c r="S37" i="1"/>
  <c r="Q37" i="1"/>
  <c r="N37" i="1"/>
  <c r="L37" i="1"/>
  <c r="K37" i="1"/>
  <c r="AB37" i="1"/>
  <c r="I37" i="1"/>
  <c r="X36" i="1"/>
  <c r="Z36" i="1" s="1"/>
  <c r="W36" i="1"/>
  <c r="S36" i="1"/>
  <c r="Q36" i="1"/>
  <c r="N36" i="1"/>
  <c r="L36" i="1"/>
  <c r="K36" i="1"/>
  <c r="AB36" i="1"/>
  <c r="I36" i="1"/>
  <c r="X35" i="1"/>
  <c r="Z35" i="1" s="1"/>
  <c r="W35" i="1"/>
  <c r="S35" i="1"/>
  <c r="Q35" i="1"/>
  <c r="N35" i="1"/>
  <c r="L35" i="1"/>
  <c r="K35" i="1"/>
  <c r="AB35" i="1"/>
  <c r="I35" i="1"/>
  <c r="X34" i="1"/>
  <c r="Z34" i="1" s="1"/>
  <c r="W34" i="1"/>
  <c r="S34" i="1"/>
  <c r="Q34" i="1"/>
  <c r="N34" i="1"/>
  <c r="L34" i="1"/>
  <c r="K34" i="1"/>
  <c r="AB34" i="1"/>
  <c r="I34" i="1"/>
  <c r="X33" i="1"/>
  <c r="Z33" i="1" s="1"/>
  <c r="W33" i="1"/>
  <c r="S33" i="1"/>
  <c r="Q33" i="1"/>
  <c r="N33" i="1"/>
  <c r="L33" i="1"/>
  <c r="K33" i="1"/>
  <c r="AB33" i="1"/>
  <c r="I33" i="1"/>
  <c r="X32" i="1"/>
  <c r="Z32" i="1" s="1"/>
  <c r="W32" i="1"/>
  <c r="S32" i="1"/>
  <c r="Q32" i="1"/>
  <c r="N32" i="1"/>
  <c r="L32" i="1"/>
  <c r="K32" i="1"/>
  <c r="AB32" i="1"/>
  <c r="I32" i="1"/>
  <c r="X31" i="1"/>
  <c r="Z31" i="1" s="1"/>
  <c r="W31" i="1"/>
  <c r="S31" i="1"/>
  <c r="Q31" i="1"/>
  <c r="N31" i="1"/>
  <c r="L31" i="1"/>
  <c r="K31" i="1"/>
  <c r="AB31" i="1"/>
  <c r="I31" i="1"/>
  <c r="X30" i="1"/>
  <c r="Z30" i="1" s="1"/>
  <c r="W30" i="1"/>
  <c r="S30" i="1"/>
  <c r="Q30" i="1"/>
  <c r="N30" i="1"/>
  <c r="L30" i="1"/>
  <c r="K30" i="1"/>
  <c r="AB30" i="1"/>
  <c r="I30" i="1"/>
  <c r="X29" i="1"/>
  <c r="Z29" i="1" s="1"/>
  <c r="W29" i="1"/>
  <c r="S29" i="1"/>
  <c r="Q29" i="1"/>
  <c r="N29" i="1"/>
  <c r="L29" i="1"/>
  <c r="K29" i="1"/>
  <c r="AB29" i="1"/>
  <c r="I29" i="1"/>
  <c r="X28" i="1"/>
  <c r="Z28" i="1" s="1"/>
  <c r="W28" i="1"/>
  <c r="S28" i="1"/>
  <c r="Q28" i="1"/>
  <c r="N28" i="1"/>
  <c r="L28" i="1"/>
  <c r="K28" i="1"/>
  <c r="AB28" i="1"/>
  <c r="I28" i="1"/>
  <c r="X27" i="1"/>
  <c r="Z27" i="1" s="1"/>
  <c r="W27" i="1"/>
  <c r="S27" i="1"/>
  <c r="Q27" i="1"/>
  <c r="N27" i="1"/>
  <c r="L27" i="1"/>
  <c r="K27" i="1"/>
  <c r="AB27" i="1"/>
  <c r="I27" i="1"/>
  <c r="X26" i="1"/>
  <c r="Z26" i="1" s="1"/>
  <c r="W26" i="1"/>
  <c r="S26" i="1"/>
  <c r="Q26" i="1"/>
  <c r="N26" i="1"/>
  <c r="L26" i="1"/>
  <c r="K26" i="1"/>
  <c r="AB26" i="1"/>
  <c r="I26" i="1"/>
  <c r="X25" i="1"/>
  <c r="Z25" i="1" s="1"/>
  <c r="W25" i="1"/>
  <c r="S25" i="1"/>
  <c r="Q25" i="1"/>
  <c r="N25" i="1"/>
  <c r="L25" i="1"/>
  <c r="K25" i="1"/>
  <c r="AB25" i="1"/>
  <c r="I25" i="1"/>
  <c r="X24" i="1"/>
  <c r="Z24" i="1" s="1"/>
  <c r="W24" i="1"/>
  <c r="S24" i="1"/>
  <c r="Q24" i="1"/>
  <c r="N24" i="1"/>
  <c r="L24" i="1"/>
  <c r="K24" i="1"/>
  <c r="AB24" i="1"/>
  <c r="I24" i="1"/>
  <c r="X23" i="1"/>
  <c r="Z23" i="1" s="1"/>
  <c r="W23" i="1"/>
  <c r="S23" i="1"/>
  <c r="Q23" i="1"/>
  <c r="N23" i="1"/>
  <c r="L23" i="1"/>
  <c r="K23" i="1"/>
  <c r="AB23" i="1"/>
  <c r="I23" i="1"/>
  <c r="X22" i="1"/>
  <c r="Z22" i="1" s="1"/>
  <c r="W22" i="1"/>
  <c r="S22" i="1"/>
  <c r="Q22" i="1"/>
  <c r="N22" i="1"/>
  <c r="L22" i="1"/>
  <c r="K22" i="1"/>
  <c r="AB22" i="1"/>
  <c r="I22" i="1"/>
  <c r="X21" i="1"/>
  <c r="Z21" i="1" s="1"/>
  <c r="W21" i="1"/>
  <c r="S21" i="1"/>
  <c r="Q21" i="1"/>
  <c r="N21" i="1"/>
  <c r="L21" i="1"/>
  <c r="K21" i="1"/>
  <c r="AB21" i="1"/>
  <c r="I21" i="1"/>
  <c r="X20" i="1"/>
  <c r="Z20" i="1" s="1"/>
  <c r="W20" i="1"/>
  <c r="S20" i="1"/>
  <c r="Q20" i="1"/>
  <c r="N20" i="1"/>
  <c r="L20" i="1"/>
  <c r="K20" i="1"/>
  <c r="AB20" i="1"/>
  <c r="I20" i="1"/>
  <c r="X19" i="1"/>
  <c r="Z19" i="1" s="1"/>
  <c r="W19" i="1"/>
  <c r="S19" i="1"/>
  <c r="Q19" i="1"/>
  <c r="N19" i="1"/>
  <c r="L19" i="1"/>
  <c r="K19" i="1"/>
  <c r="AB19" i="1"/>
  <c r="I19" i="1"/>
  <c r="X18" i="1"/>
  <c r="Z18" i="1" s="1"/>
  <c r="W18" i="1"/>
  <c r="S18" i="1"/>
  <c r="Q18" i="1"/>
  <c r="N18" i="1"/>
  <c r="L18" i="1"/>
  <c r="K18" i="1"/>
  <c r="AB18" i="1"/>
  <c r="I18" i="1"/>
  <c r="X17" i="1"/>
  <c r="Z17" i="1" s="1"/>
  <c r="W17" i="1"/>
  <c r="S17" i="1"/>
  <c r="Q17" i="1"/>
  <c r="N17" i="1"/>
  <c r="L17" i="1"/>
  <c r="K17" i="1"/>
  <c r="AB17" i="1"/>
  <c r="I17" i="1"/>
  <c r="X16" i="1"/>
  <c r="Z16" i="1" s="1"/>
  <c r="W16" i="1"/>
  <c r="S16" i="1"/>
  <c r="Q16" i="1"/>
  <c r="N16" i="1"/>
  <c r="L16" i="1"/>
  <c r="K16" i="1"/>
  <c r="AB16" i="1"/>
  <c r="I16" i="1"/>
  <c r="X15" i="1"/>
  <c r="Z15" i="1" s="1"/>
  <c r="W15" i="1"/>
  <c r="S15" i="1"/>
  <c r="Q15" i="1"/>
  <c r="N15" i="1"/>
  <c r="L15" i="1"/>
  <c r="K15" i="1"/>
  <c r="AB15" i="1"/>
  <c r="I15" i="1"/>
  <c r="X14" i="1"/>
  <c r="Z14" i="1" s="1"/>
  <c r="W14" i="1"/>
  <c r="S14" i="1"/>
  <c r="Q14" i="1"/>
  <c r="N14" i="1"/>
  <c r="L14" i="1"/>
  <c r="K14" i="1"/>
  <c r="AB14" i="1"/>
  <c r="I14" i="1"/>
  <c r="X13" i="1"/>
  <c r="Z13" i="1" s="1"/>
  <c r="W13" i="1"/>
  <c r="S13" i="1"/>
  <c r="Q13" i="1"/>
  <c r="N13" i="1"/>
  <c r="L13" i="1"/>
  <c r="K13" i="1"/>
  <c r="AB13" i="1"/>
  <c r="I13" i="1"/>
  <c r="X12" i="1"/>
  <c r="Z12" i="1" s="1"/>
  <c r="W12" i="1"/>
  <c r="S12" i="1"/>
  <c r="Q12" i="1"/>
  <c r="N12" i="1"/>
  <c r="L12" i="1"/>
  <c r="K12" i="1"/>
  <c r="AB12" i="1"/>
  <c r="I12" i="1"/>
  <c r="X11" i="1"/>
  <c r="Z11" i="1" s="1"/>
  <c r="W11" i="1"/>
  <c r="S11" i="1"/>
  <c r="Q11" i="1"/>
  <c r="N11" i="1"/>
  <c r="L11" i="1"/>
  <c r="K11" i="1"/>
  <c r="AB11" i="1"/>
  <c r="M2158" i="1" l="1"/>
  <c r="R2158" i="1" s="1"/>
  <c r="M2178" i="1"/>
  <c r="R2178" i="1" s="1"/>
  <c r="M2206" i="1"/>
  <c r="R2206" i="1" s="1"/>
  <c r="M2214" i="1"/>
  <c r="R2214" i="1" s="1"/>
  <c r="M2538" i="1"/>
  <c r="R2538" i="1" s="1"/>
  <c r="M2582" i="1"/>
  <c r="R2582" i="1" s="1"/>
  <c r="M2590" i="1"/>
  <c r="R2590" i="1" s="1"/>
  <c r="M303" i="1"/>
  <c r="R303" i="1" s="1"/>
  <c r="AC2005" i="1"/>
  <c r="AC2013" i="1"/>
  <c r="AC2021" i="1"/>
  <c r="AC2029" i="1"/>
  <c r="AC2037" i="1"/>
  <c r="AC2185" i="1"/>
  <c r="AC2193" i="1"/>
  <c r="AC2201" i="1"/>
  <c r="AC2209" i="1"/>
  <c r="AC2217" i="1"/>
  <c r="Y380" i="1"/>
  <c r="Y1130" i="1"/>
  <c r="Y2486" i="1"/>
  <c r="Y360" i="1"/>
  <c r="Y384" i="1"/>
  <c r="Y392" i="1"/>
  <c r="Y404" i="1"/>
  <c r="Y412" i="1"/>
  <c r="Y420" i="1"/>
  <c r="Y432" i="1"/>
  <c r="Y934" i="1"/>
  <c r="Y942" i="1"/>
  <c r="Y946" i="1"/>
  <c r="Y950" i="1"/>
  <c r="Y1134" i="1"/>
  <c r="Y1142" i="1"/>
  <c r="Y1146" i="1"/>
  <c r="Y1150" i="1"/>
  <c r="Y1158" i="1"/>
  <c r="Y1286" i="1"/>
  <c r="Y1298" i="1"/>
  <c r="Y1302" i="1"/>
  <c r="Y1310" i="1"/>
  <c r="Y1326" i="1"/>
  <c r="Y1334" i="1"/>
  <c r="Y1386" i="1"/>
  <c r="Y1394" i="1"/>
  <c r="Y1398" i="1"/>
  <c r="Y1402" i="1"/>
  <c r="Y1406" i="1"/>
  <c r="Y1442" i="1"/>
  <c r="Y1446" i="1"/>
  <c r="Y1454" i="1"/>
  <c r="Y1486" i="1"/>
  <c r="Y1490" i="1"/>
  <c r="Y1502" i="1"/>
  <c r="Y1510" i="1"/>
  <c r="Y1514" i="1"/>
  <c r="Y1518" i="1"/>
  <c r="Y1526" i="1"/>
  <c r="Y1570" i="1"/>
  <c r="Y1606" i="1"/>
  <c r="Y1610" i="1"/>
  <c r="Y1614" i="1"/>
  <c r="Y1686" i="1"/>
  <c r="Y1690" i="1"/>
  <c r="Y1710" i="1"/>
  <c r="Y1726" i="1"/>
  <c r="Y1738" i="1"/>
  <c r="Y1786" i="1"/>
  <c r="Y1802" i="1"/>
  <c r="Y1810" i="1"/>
  <c r="Y1818" i="1"/>
  <c r="Y1826" i="1"/>
  <c r="Y436" i="1"/>
  <c r="Y2376" i="1"/>
  <c r="Y2380" i="1"/>
  <c r="Y2384" i="1"/>
  <c r="Y2388" i="1"/>
  <c r="Y2396" i="1"/>
  <c r="Y2412" i="1"/>
  <c r="Y2416" i="1"/>
  <c r="Y2428" i="1"/>
  <c r="Y2432" i="1"/>
  <c r="Y2436" i="1"/>
  <c r="Y2440" i="1"/>
  <c r="Y2448" i="1"/>
  <c r="Y2460" i="1"/>
  <c r="Y2464" i="1"/>
  <c r="Y2472" i="1"/>
  <c r="Y2476" i="1"/>
  <c r="Y1578" i="1"/>
  <c r="Y1582" i="1"/>
  <c r="Y1618" i="1"/>
  <c r="Y1630" i="1"/>
  <c r="Y1638" i="1"/>
  <c r="Y1702" i="1"/>
  <c r="Y1714" i="1"/>
  <c r="Y1746" i="1"/>
  <c r="Y1762" i="1"/>
  <c r="Y1834" i="1"/>
  <c r="Y1842" i="1"/>
  <c r="Y1850" i="1"/>
  <c r="Y1858" i="1"/>
  <c r="Y1870" i="1"/>
  <c r="Y2490" i="1"/>
  <c r="Y15" i="1"/>
  <c r="Y19" i="1"/>
  <c r="Y23" i="1"/>
  <c r="Y27" i="1"/>
  <c r="Y31" i="1"/>
  <c r="Y35" i="1"/>
  <c r="Y39" i="1"/>
  <c r="Y47" i="1"/>
  <c r="Y51" i="1"/>
  <c r="Y55" i="1"/>
  <c r="Y59" i="1"/>
  <c r="Y63" i="1"/>
  <c r="Y67" i="1"/>
  <c r="Y71" i="1"/>
  <c r="Y79" i="1"/>
  <c r="Y87" i="1"/>
  <c r="Y91" i="1"/>
  <c r="Y99" i="1"/>
  <c r="Y107" i="1"/>
  <c r="Y115" i="1"/>
  <c r="Y135" i="1"/>
  <c r="Y147" i="1"/>
  <c r="Y155" i="1"/>
  <c r="Y163" i="1"/>
  <c r="Y171" i="1"/>
  <c r="Y183" i="1"/>
  <c r="Y195" i="1"/>
  <c r="Y203" i="1"/>
  <c r="Y207" i="1"/>
  <c r="Y215" i="1"/>
  <c r="Y235" i="1"/>
  <c r="Y243" i="1"/>
  <c r="Y247" i="1"/>
  <c r="Y251" i="1"/>
  <c r="Y255" i="1"/>
  <c r="Y259" i="1"/>
  <c r="Y271" i="1"/>
  <c r="Y275" i="1"/>
  <c r="Y279" i="1"/>
  <c r="Y295" i="1"/>
  <c r="Y299" i="1"/>
  <c r="Y303" i="1"/>
  <c r="Y307" i="1"/>
  <c r="Y311" i="1"/>
  <c r="Y319" i="1"/>
  <c r="Y323" i="1"/>
  <c r="Y339" i="1"/>
  <c r="Y351" i="1"/>
  <c r="Y355" i="1"/>
  <c r="Y359" i="1"/>
  <c r="Y495" i="1"/>
  <c r="Y511" i="1"/>
  <c r="Y515" i="1"/>
  <c r="Y519" i="1"/>
  <c r="Y523" i="1"/>
  <c r="Y531" i="1"/>
  <c r="Y535" i="1"/>
  <c r="Y539" i="1"/>
  <c r="Y543" i="1"/>
  <c r="Y551" i="1"/>
  <c r="Y559" i="1"/>
  <c r="Y571" i="1"/>
  <c r="Y579" i="1"/>
  <c r="Y583" i="1"/>
  <c r="Y587" i="1"/>
  <c r="Y591" i="1"/>
  <c r="Y595" i="1"/>
  <c r="Y599" i="1"/>
  <c r="Y611" i="1"/>
  <c r="Y615" i="1"/>
  <c r="Y623" i="1"/>
  <c r="Y627" i="1"/>
  <c r="Y631" i="1"/>
  <c r="Y635" i="1"/>
  <c r="Y647" i="1"/>
  <c r="Y659" i="1"/>
  <c r="Y671" i="1"/>
  <c r="Y675" i="1"/>
  <c r="Y679" i="1"/>
  <c r="Y687" i="1"/>
  <c r="Y1179" i="1"/>
  <c r="M1882" i="1"/>
  <c r="R1882" i="1" s="1"/>
  <c r="M1926" i="1"/>
  <c r="R1926" i="1" s="1"/>
  <c r="M1934" i="1"/>
  <c r="R1934" i="1" s="1"/>
  <c r="M1942" i="1"/>
  <c r="R1942" i="1" s="1"/>
  <c r="M1966" i="1"/>
  <c r="R1966" i="1" s="1"/>
  <c r="M2022" i="1"/>
  <c r="R2022" i="1" s="1"/>
  <c r="M2054" i="1"/>
  <c r="R2054" i="1" s="1"/>
  <c r="M2086" i="1"/>
  <c r="R2086" i="1" s="1"/>
  <c r="M2118" i="1"/>
  <c r="R2118" i="1" s="1"/>
  <c r="Y2026" i="1"/>
  <c r="Y2054" i="1"/>
  <c r="Y700" i="1"/>
  <c r="M702" i="1"/>
  <c r="R702" i="1" s="1"/>
  <c r="AC747" i="1"/>
  <c r="AC751" i="1"/>
  <c r="AC755" i="1"/>
  <c r="AC759" i="1"/>
  <c r="AC763" i="1"/>
  <c r="AC771" i="1"/>
  <c r="AC775" i="1"/>
  <c r="AC779" i="1"/>
  <c r="AC787" i="1"/>
  <c r="AC795" i="1"/>
  <c r="AC803" i="1"/>
  <c r="AC811" i="1"/>
  <c r="AC819" i="1"/>
  <c r="AC827" i="1"/>
  <c r="AC831" i="1"/>
  <c r="AC835" i="1"/>
  <c r="AC843" i="1"/>
  <c r="AC847" i="1"/>
  <c r="AC851" i="1"/>
  <c r="AC859" i="1"/>
  <c r="AC867" i="1"/>
  <c r="AC875" i="1"/>
  <c r="AC883" i="1"/>
  <c r="AC887" i="1"/>
  <c r="AC891" i="1"/>
  <c r="AC895" i="1"/>
  <c r="M918" i="1"/>
  <c r="R918" i="1" s="1"/>
  <c r="M922" i="1"/>
  <c r="R922" i="1" s="1"/>
  <c r="M930" i="1"/>
  <c r="R930" i="1" s="1"/>
  <c r="M958" i="1"/>
  <c r="R958" i="1" s="1"/>
  <c r="AC983" i="1"/>
  <c r="M986" i="1"/>
  <c r="R986" i="1" s="1"/>
  <c r="AC987" i="1"/>
  <c r="AC991" i="1"/>
  <c r="AC995" i="1"/>
  <c r="AC1003" i="1"/>
  <c r="AC1007" i="1"/>
  <c r="M1010" i="1"/>
  <c r="R1010" i="1" s="1"/>
  <c r="AC1011" i="1"/>
  <c r="AC1015" i="1"/>
  <c r="AC1019" i="1"/>
  <c r="AC1027" i="1"/>
  <c r="AC1035" i="1"/>
  <c r="AC1043" i="1"/>
  <c r="AC1051" i="1"/>
  <c r="AC1059" i="1"/>
  <c r="AC1067" i="1"/>
  <c r="AC1075" i="1"/>
  <c r="AC1171" i="1"/>
  <c r="AC1175" i="1"/>
  <c r="AC1179" i="1"/>
  <c r="AC1183" i="1"/>
  <c r="AC1187" i="1"/>
  <c r="AC1191" i="1"/>
  <c r="AC1195" i="1"/>
  <c r="AC1199" i="1"/>
  <c r="AC1203" i="1"/>
  <c r="AC1207" i="1"/>
  <c r="AC1211" i="1"/>
  <c r="AC1215" i="1"/>
  <c r="AC1219" i="1"/>
  <c r="AC1223" i="1"/>
  <c r="AC1227" i="1"/>
  <c r="AC1231" i="1"/>
  <c r="AC1235" i="1"/>
  <c r="AC1239" i="1"/>
  <c r="AC1243" i="1"/>
  <c r="AC1247" i="1"/>
  <c r="AC1251" i="1"/>
  <c r="AC1255" i="1"/>
  <c r="AC1259" i="1"/>
  <c r="AC1263" i="1"/>
  <c r="AC1267" i="1"/>
  <c r="AC1271" i="1"/>
  <c r="AC1275" i="1"/>
  <c r="AC1279" i="1"/>
  <c r="Y1876" i="1"/>
  <c r="M2546" i="1"/>
  <c r="R2546" i="1" s="1"/>
  <c r="Y374" i="1"/>
  <c r="Y386" i="1"/>
  <c r="Y390" i="1"/>
  <c r="Y394" i="1"/>
  <c r="Y398" i="1"/>
  <c r="Y406" i="1"/>
  <c r="Y410" i="1"/>
  <c r="Y422" i="1"/>
  <c r="Y438" i="1"/>
  <c r="Y454" i="1"/>
  <c r="Y478" i="1"/>
  <c r="Y482" i="1"/>
  <c r="Y486" i="1"/>
  <c r="Y705" i="1"/>
  <c r="Y709" i="1"/>
  <c r="Y713" i="1"/>
  <c r="Y725" i="1"/>
  <c r="Y741" i="1"/>
  <c r="Y749" i="1"/>
  <c r="Y761" i="1"/>
  <c r="Y769" i="1"/>
  <c r="Y773" i="1"/>
  <c r="Y777" i="1"/>
  <c r="Y781" i="1"/>
  <c r="Y785" i="1"/>
  <c r="Y789" i="1"/>
  <c r="Y793" i="1"/>
  <c r="Y801" i="1"/>
  <c r="Y809" i="1"/>
  <c r="Y813" i="1"/>
  <c r="Y821" i="1"/>
  <c r="Y825" i="1"/>
  <c r="Y833" i="1"/>
  <c r="Y837" i="1"/>
  <c r="Y841" i="1"/>
  <c r="Y853" i="1"/>
  <c r="Y889" i="1"/>
  <c r="Y909" i="1"/>
  <c r="Y913" i="1"/>
  <c r="Y925" i="1"/>
  <c r="Y929" i="1"/>
  <c r="Y933" i="1"/>
  <c r="Y937" i="1"/>
  <c r="Y953" i="1"/>
  <c r="Y969" i="1"/>
  <c r="Y977" i="1"/>
  <c r="Y981" i="1"/>
  <c r="Y1025" i="1"/>
  <c r="Y1029" i="1"/>
  <c r="Y1033" i="1"/>
  <c r="Y1037" i="1"/>
  <c r="Y1053" i="1"/>
  <c r="Y1061" i="1"/>
  <c r="Y1165" i="1"/>
  <c r="Y1169" i="1"/>
  <c r="Y1173" i="1"/>
  <c r="Y1177" i="1"/>
  <c r="Y1181" i="1"/>
  <c r="Y1189" i="1"/>
  <c r="Y1193" i="1"/>
  <c r="Y1201" i="1"/>
  <c r="Y1205" i="1"/>
  <c r="Y1209" i="1"/>
  <c r="Y1213" i="1"/>
  <c r="Y1265" i="1"/>
  <c r="Y1269" i="1"/>
  <c r="Y1281" i="1"/>
  <c r="Y1345" i="1"/>
  <c r="Y2313" i="1"/>
  <c r="Y2593" i="1"/>
  <c r="Y2601" i="1"/>
  <c r="Y2609" i="1"/>
  <c r="Y3005" i="1"/>
  <c r="Y444" i="1"/>
  <c r="Y448" i="1"/>
  <c r="Y452" i="1"/>
  <c r="Y460" i="1"/>
  <c r="Y464" i="1"/>
  <c r="Y472" i="1"/>
  <c r="Y703" i="1"/>
  <c r="Y711" i="1"/>
  <c r="Y727" i="1"/>
  <c r="Y731" i="1"/>
  <c r="Y739" i="1"/>
  <c r="Y755" i="1"/>
  <c r="Y759" i="1"/>
  <c r="Y763" i="1"/>
  <c r="Y767" i="1"/>
  <c r="Y779" i="1"/>
  <c r="Y787" i="1"/>
  <c r="Y791" i="1"/>
  <c r="Y799" i="1"/>
  <c r="Y803" i="1"/>
  <c r="Y25" i="1"/>
  <c r="Y29" i="1"/>
  <c r="Y33" i="1"/>
  <c r="Y37" i="1"/>
  <c r="Y53" i="1"/>
  <c r="Y57" i="1"/>
  <c r="Y69" i="1"/>
  <c r="Y105" i="1"/>
  <c r="Y113" i="1"/>
  <c r="Y117" i="1"/>
  <c r="AD117" i="1" s="1"/>
  <c r="Y125" i="1"/>
  <c r="Y137" i="1"/>
  <c r="Y141" i="1"/>
  <c r="Y153" i="1"/>
  <c r="Y157" i="1"/>
  <c r="Y161" i="1"/>
  <c r="Y165" i="1"/>
  <c r="Y173" i="1"/>
  <c r="Y177" i="1"/>
  <c r="Y189" i="1"/>
  <c r="Y201" i="1"/>
  <c r="Y205" i="1"/>
  <c r="Y233" i="1"/>
  <c r="Y237" i="1"/>
  <c r="Y241" i="1"/>
  <c r="Y245" i="1"/>
  <c r="Y249" i="1"/>
  <c r="Y253" i="1"/>
  <c r="Y257" i="1"/>
  <c r="Y261" i="1"/>
  <c r="Y273" i="1"/>
  <c r="Y289" i="1"/>
  <c r="Y691" i="1"/>
  <c r="Y2484" i="1"/>
  <c r="Y2488" i="1"/>
  <c r="Y2492" i="1"/>
  <c r="Y2500" i="1"/>
  <c r="Y1357" i="1"/>
  <c r="Y1361" i="1"/>
  <c r="Y1389" i="1"/>
  <c r="Y1409" i="1"/>
  <c r="Y1417" i="1"/>
  <c r="Y1465" i="1"/>
  <c r="Y1473" i="1"/>
  <c r="Y1533" i="1"/>
  <c r="Y1545" i="1"/>
  <c r="Y1557" i="1"/>
  <c r="Y1573" i="1"/>
  <c r="Y1585" i="1"/>
  <c r="Y1597" i="1"/>
  <c r="Y1657" i="1"/>
  <c r="Y1665" i="1"/>
  <c r="Y1673" i="1"/>
  <c r="Y1693" i="1"/>
  <c r="Y1717" i="1"/>
  <c r="Y1753" i="1"/>
  <c r="Y1757" i="1"/>
  <c r="Y1877" i="1"/>
  <c r="Y1889" i="1"/>
  <c r="Y1893" i="1"/>
  <c r="Y1905" i="1"/>
  <c r="Y1929" i="1"/>
  <c r="Y1965" i="1"/>
  <c r="Y1973" i="1"/>
  <c r="Y1977" i="1"/>
  <c r="Y1981" i="1"/>
  <c r="Y1985" i="1"/>
  <c r="Y1989" i="1"/>
  <c r="Y1993" i="1"/>
  <c r="Y2001" i="1"/>
  <c r="Y2005" i="1"/>
  <c r="Y2013" i="1"/>
  <c r="Y2017" i="1"/>
  <c r="Y2021" i="1"/>
  <c r="Y2025" i="1"/>
  <c r="Y2033" i="1"/>
  <c r="Y2037" i="1"/>
  <c r="Y2041" i="1"/>
  <c r="Y2045" i="1"/>
  <c r="Y2049" i="1"/>
  <c r="Y2053" i="1"/>
  <c r="Y2057" i="1"/>
  <c r="Y2065" i="1"/>
  <c r="Y2069" i="1"/>
  <c r="Y2077" i="1"/>
  <c r="Y2085" i="1"/>
  <c r="Y2097" i="1"/>
  <c r="Y2101" i="1"/>
  <c r="Y2105" i="1"/>
  <c r="Y2109" i="1"/>
  <c r="Y2117" i="1"/>
  <c r="Y2121" i="1"/>
  <c r="Y2133" i="1"/>
  <c r="Y2137" i="1"/>
  <c r="Y2149" i="1"/>
  <c r="Y2153" i="1"/>
  <c r="Y2157" i="1"/>
  <c r="Y2165" i="1"/>
  <c r="Y2169" i="1"/>
  <c r="Y2173" i="1"/>
  <c r="Y2181" i="1"/>
  <c r="Y2185" i="1"/>
  <c r="Y2189" i="1"/>
  <c r="Y2201" i="1"/>
  <c r="Y2205" i="1"/>
  <c r="Y2209" i="1"/>
  <c r="Y2217" i="1"/>
  <c r="Y2221" i="1"/>
  <c r="Y2241" i="1"/>
  <c r="Y2245" i="1"/>
  <c r="Y2249" i="1"/>
  <c r="Y2253" i="1"/>
  <c r="Y2257" i="1"/>
  <c r="Y2261" i="1"/>
  <c r="Y2285" i="1"/>
  <c r="Y2289" i="1"/>
  <c r="Y2293" i="1"/>
  <c r="Y2297" i="1"/>
  <c r="Y2337" i="1"/>
  <c r="Y2345" i="1"/>
  <c r="Y2357" i="1"/>
  <c r="Y2369" i="1"/>
  <c r="Y807" i="1"/>
  <c r="Y811" i="1"/>
  <c r="Y815" i="1"/>
  <c r="Y819" i="1"/>
  <c r="Y823" i="1"/>
  <c r="Y827" i="1"/>
  <c r="Y831" i="1"/>
  <c r="Y835" i="1"/>
  <c r="AG835" i="1" s="1"/>
  <c r="Y843" i="1"/>
  <c r="Y847" i="1"/>
  <c r="Y851" i="1"/>
  <c r="Y855" i="1"/>
  <c r="AG855" i="1" s="1"/>
  <c r="Y867" i="1"/>
  <c r="Y871" i="1"/>
  <c r="Y875" i="1"/>
  <c r="Y879" i="1"/>
  <c r="AG879" i="1" s="1"/>
  <c r="Y883" i="1"/>
  <c r="Y887" i="1"/>
  <c r="Y891" i="1"/>
  <c r="Y907" i="1"/>
  <c r="Y911" i="1"/>
  <c r="Y919" i="1"/>
  <c r="Y923" i="1"/>
  <c r="Y955" i="1"/>
  <c r="AG955" i="1" s="1"/>
  <c r="Y959" i="1"/>
  <c r="Y963" i="1"/>
  <c r="Y967" i="1"/>
  <c r="Y975" i="1"/>
  <c r="Y979" i="1"/>
  <c r="Y987" i="1"/>
  <c r="Y991" i="1"/>
  <c r="Y995" i="1"/>
  <c r="Y999" i="1"/>
  <c r="Y1003" i="1"/>
  <c r="Y1183" i="1"/>
  <c r="Y1187" i="1"/>
  <c r="Y1195" i="1"/>
  <c r="Y1199" i="1"/>
  <c r="Y1203" i="1"/>
  <c r="Y1207" i="1"/>
  <c r="Y1211" i="1"/>
  <c r="Y1215" i="1"/>
  <c r="Y1219" i="1"/>
  <c r="Y1223" i="1"/>
  <c r="Y1243" i="1"/>
  <c r="Y1247" i="1"/>
  <c r="Y1255" i="1"/>
  <c r="Y1259" i="1"/>
  <c r="Y1263" i="1"/>
  <c r="Y1271" i="1"/>
  <c r="Y1275" i="1"/>
  <c r="Y1279" i="1"/>
  <c r="Y1283" i="1"/>
  <c r="Y1347" i="1"/>
  <c r="Y1355" i="1"/>
  <c r="Y1363" i="1"/>
  <c r="Y1367" i="1"/>
  <c r="Y1375" i="1"/>
  <c r="Y1379" i="1"/>
  <c r="Y1383" i="1"/>
  <c r="Y1459" i="1"/>
  <c r="Y1467" i="1"/>
  <c r="Y1491" i="1"/>
  <c r="Y1567" i="1"/>
  <c r="AG1567" i="1" s="1"/>
  <c r="Y1627" i="1"/>
  <c r="Y1635" i="1"/>
  <c r="Y1647" i="1"/>
  <c r="Y1671" i="1"/>
  <c r="AG1671" i="1" s="1"/>
  <c r="Y317" i="1"/>
  <c r="Y321" i="1"/>
  <c r="Y325" i="1"/>
  <c r="Y329" i="1"/>
  <c r="Y341" i="1"/>
  <c r="Y497" i="1"/>
  <c r="Y501" i="1"/>
  <c r="Y505" i="1"/>
  <c r="AG505" i="1" s="1"/>
  <c r="Y517" i="1"/>
  <c r="Y521" i="1"/>
  <c r="Y525" i="1"/>
  <c r="Y529" i="1"/>
  <c r="Y537" i="1"/>
  <c r="Y545" i="1"/>
  <c r="Y549" i="1"/>
  <c r="Y553" i="1"/>
  <c r="Y561" i="1"/>
  <c r="Y565" i="1"/>
  <c r="Y569" i="1"/>
  <c r="Y577" i="1"/>
  <c r="Y585" i="1"/>
  <c r="Y593" i="1"/>
  <c r="Y597" i="1"/>
  <c r="Y601" i="1"/>
  <c r="AD601" i="1" s="1"/>
  <c r="Y617" i="1"/>
  <c r="Y629" i="1"/>
  <c r="Y633" i="1"/>
  <c r="Y641" i="1"/>
  <c r="Y645" i="1"/>
  <c r="Y653" i="1"/>
  <c r="Y669" i="1"/>
  <c r="Y681" i="1"/>
  <c r="Y689" i="1"/>
  <c r="Y697" i="1"/>
  <c r="Y936" i="1"/>
  <c r="Y940" i="1"/>
  <c r="Y944" i="1"/>
  <c r="Y948" i="1"/>
  <c r="Y952" i="1"/>
  <c r="Y956" i="1"/>
  <c r="Y964" i="1"/>
  <c r="Y972" i="1"/>
  <c r="Y992" i="1"/>
  <c r="Y1016" i="1"/>
  <c r="Y1028" i="1"/>
  <c r="Y1032" i="1"/>
  <c r="Y1036" i="1"/>
  <c r="Y1040" i="1"/>
  <c r="AE1040" i="1" s="1"/>
  <c r="Y1048" i="1"/>
  <c r="Y1052" i="1"/>
  <c r="Y1056" i="1"/>
  <c r="Y1072" i="1"/>
  <c r="Y1076" i="1"/>
  <c r="Y1080" i="1"/>
  <c r="Y1084" i="1"/>
  <c r="Y1092" i="1"/>
  <c r="Y1100" i="1"/>
  <c r="Y1104" i="1"/>
  <c r="Y1108" i="1"/>
  <c r="Y1112" i="1"/>
  <c r="Y1116" i="1"/>
  <c r="Y1120" i="1"/>
  <c r="Y1124" i="1"/>
  <c r="Y1128" i="1"/>
  <c r="Y1132" i="1"/>
  <c r="Y1140" i="1"/>
  <c r="Y1144" i="1"/>
  <c r="Y1152" i="1"/>
  <c r="Y1156" i="1"/>
  <c r="Y1160" i="1"/>
  <c r="Y1164" i="1"/>
  <c r="Y1220" i="1"/>
  <c r="AF1220" i="1" s="1"/>
  <c r="Y1232" i="1"/>
  <c r="Y1240" i="1"/>
  <c r="Y1252" i="1"/>
  <c r="Y1256" i="1"/>
  <c r="Y1260" i="1"/>
  <c r="Y1268" i="1"/>
  <c r="Y1272" i="1"/>
  <c r="Y1292" i="1"/>
  <c r="Y1296" i="1"/>
  <c r="Y1316" i="1"/>
  <c r="Y1320" i="1"/>
  <c r="Y1356" i="1"/>
  <c r="AD1356" i="1" s="1"/>
  <c r="Y1364" i="1"/>
  <c r="Y1372" i="1"/>
  <c r="Y1392" i="1"/>
  <c r="Y1412" i="1"/>
  <c r="Y1420" i="1"/>
  <c r="Y1428" i="1"/>
  <c r="Y1436" i="1"/>
  <c r="Y1444" i="1"/>
  <c r="Y1448" i="1"/>
  <c r="Y1476" i="1"/>
  <c r="Y1480" i="1"/>
  <c r="Y1500" i="1"/>
  <c r="Y1504" i="1"/>
  <c r="Y1524" i="1"/>
  <c r="Y1536" i="1"/>
  <c r="Y1540" i="1"/>
  <c r="Y1548" i="1"/>
  <c r="Y1552" i="1"/>
  <c r="Y1560" i="1"/>
  <c r="Y1608" i="1"/>
  <c r="Y1620" i="1"/>
  <c r="Y1644" i="1"/>
  <c r="Y1656" i="1"/>
  <c r="Y1660" i="1"/>
  <c r="AF1660" i="1" s="1"/>
  <c r="Y1688" i="1"/>
  <c r="Y1692" i="1"/>
  <c r="Y1700" i="1"/>
  <c r="Y1704" i="1"/>
  <c r="AF1704" i="1" s="1"/>
  <c r="Y1708" i="1"/>
  <c r="Y1736" i="1"/>
  <c r="Y1740" i="1"/>
  <c r="Y1748" i="1"/>
  <c r="AF1748" i="1" s="1"/>
  <c r="Y1752" i="1"/>
  <c r="Y1764" i="1"/>
  <c r="Y1768" i="1"/>
  <c r="Y1776" i="1"/>
  <c r="AF1776" i="1" s="1"/>
  <c r="Y1788" i="1"/>
  <c r="Y1792" i="1"/>
  <c r="Y1804" i="1"/>
  <c r="Y1808" i="1"/>
  <c r="AF1808" i="1" s="1"/>
  <c r="Y1812" i="1"/>
  <c r="Y1816" i="1"/>
  <c r="Y1820" i="1"/>
  <c r="Y1824" i="1"/>
  <c r="Y1828" i="1"/>
  <c r="Y1832" i="1"/>
  <c r="Y1836" i="1"/>
  <c r="Y1840" i="1"/>
  <c r="AF1840" i="1" s="1"/>
  <c r="Y1844" i="1"/>
  <c r="Y1848" i="1"/>
  <c r="Y1852" i="1"/>
  <c r="Y1856" i="1"/>
  <c r="AF1856" i="1" s="1"/>
  <c r="Y1883" i="1"/>
  <c r="Y1887" i="1"/>
  <c r="Y1899" i="1"/>
  <c r="Y1911" i="1"/>
  <c r="AG1911" i="1" s="1"/>
  <c r="Y1919" i="1"/>
  <c r="Y1923" i="1"/>
  <c r="Y1927" i="1"/>
  <c r="Y1931" i="1"/>
  <c r="Y1935" i="1"/>
  <c r="Y1939" i="1"/>
  <c r="Y1943" i="1"/>
  <c r="Y1947" i="1"/>
  <c r="Y1951" i="1"/>
  <c r="Y1971" i="1"/>
  <c r="Y1975" i="1"/>
  <c r="Y1979" i="1"/>
  <c r="Y1983" i="1"/>
  <c r="Y1991" i="1"/>
  <c r="Y1999" i="1"/>
  <c r="Y2003" i="1"/>
  <c r="AG2003" i="1" s="1"/>
  <c r="Y2011" i="1"/>
  <c r="Y2019" i="1"/>
  <c r="Y2023" i="1"/>
  <c r="Y2027" i="1"/>
  <c r="AG2027" i="1" s="1"/>
  <c r="Y2031" i="1"/>
  <c r="Y2039" i="1"/>
  <c r="Y2047" i="1"/>
  <c r="Y2051" i="1"/>
  <c r="Y2055" i="1"/>
  <c r="Y2063" i="1"/>
  <c r="Y2067" i="1"/>
  <c r="Y2075" i="1"/>
  <c r="Y2083" i="1"/>
  <c r="Y2087" i="1"/>
  <c r="Y2442" i="1"/>
  <c r="Y2498" i="1"/>
  <c r="AG2498" i="1" s="1"/>
  <c r="Y2095" i="1"/>
  <c r="Y2099" i="1"/>
  <c r="Y2107" i="1"/>
  <c r="Y2115" i="1"/>
  <c r="Y2119" i="1"/>
  <c r="Y2183" i="1"/>
  <c r="Y2199" i="1"/>
  <c r="Y2203" i="1"/>
  <c r="Y2211" i="1"/>
  <c r="Y2219" i="1"/>
  <c r="Y2243" i="1"/>
  <c r="Y2251" i="1"/>
  <c r="Y2259" i="1"/>
  <c r="Y2267" i="1"/>
  <c r="Y2283" i="1"/>
  <c r="Y2287" i="1"/>
  <c r="AE2287" i="1" s="1"/>
  <c r="Y2291" i="1"/>
  <c r="Y2295" i="1"/>
  <c r="Y2299" i="1"/>
  <c r="Y2307" i="1"/>
  <c r="Y2319" i="1"/>
  <c r="Y2503" i="1"/>
  <c r="Y2507" i="1"/>
  <c r="Y2511" i="1"/>
  <c r="Y2515" i="1"/>
  <c r="Y2519" i="1"/>
  <c r="Y2527" i="1"/>
  <c r="Y2535" i="1"/>
  <c r="Y2539" i="1"/>
  <c r="Y2543" i="1"/>
  <c r="Y2551" i="1"/>
  <c r="Y2563" i="1"/>
  <c r="Y2579" i="1"/>
  <c r="Y2583" i="1"/>
  <c r="Y2587" i="1"/>
  <c r="Y2591" i="1"/>
  <c r="Y2595" i="1"/>
  <c r="Y2599" i="1"/>
  <c r="Y2603" i="1"/>
  <c r="Y2607" i="1"/>
  <c r="Y2611" i="1"/>
  <c r="Y2615" i="1"/>
  <c r="Y2619" i="1"/>
  <c r="Y2627" i="1"/>
  <c r="AG2627" i="1" s="1"/>
  <c r="Y2631" i="1"/>
  <c r="Y2635" i="1"/>
  <c r="Y2643" i="1"/>
  <c r="Y2647" i="1"/>
  <c r="AE2647" i="1" s="1"/>
  <c r="Y2651" i="1"/>
  <c r="Y2655" i="1"/>
  <c r="Y2659" i="1"/>
  <c r="Y2663" i="1"/>
  <c r="AE2663" i="1" s="1"/>
  <c r="Y2667" i="1"/>
  <c r="Y2675" i="1"/>
  <c r="Y2679" i="1"/>
  <c r="Y2683" i="1"/>
  <c r="Y2687" i="1"/>
  <c r="Y2695" i="1"/>
  <c r="Y2699" i="1"/>
  <c r="Y2703" i="1"/>
  <c r="AG2703" i="1" s="1"/>
  <c r="Y2707" i="1"/>
  <c r="Y2723" i="1"/>
  <c r="Y2735" i="1"/>
  <c r="Y2755" i="1"/>
  <c r="Y2763" i="1"/>
  <c r="Y2771" i="1"/>
  <c r="Y2791" i="1"/>
  <c r="Y2795" i="1"/>
  <c r="Y2807" i="1"/>
  <c r="Y2823" i="1"/>
  <c r="Y2827" i="1"/>
  <c r="Y2895" i="1"/>
  <c r="Y2927" i="1"/>
  <c r="Y2931" i="1"/>
  <c r="Y2935" i="1"/>
  <c r="Y2939" i="1"/>
  <c r="Y2943" i="1"/>
  <c r="Y2947" i="1"/>
  <c r="Y2951" i="1"/>
  <c r="Y2955" i="1"/>
  <c r="Y2963" i="1"/>
  <c r="Y2987" i="1"/>
  <c r="Y2991" i="1"/>
  <c r="Y2995" i="1"/>
  <c r="AD2995" i="1" s="1"/>
  <c r="Y3003" i="1"/>
  <c r="M12" i="1"/>
  <c r="R12" i="1" s="1"/>
  <c r="M20" i="1"/>
  <c r="R20" i="1" s="1"/>
  <c r="M108" i="1"/>
  <c r="R108" i="1" s="1"/>
  <c r="M132" i="1"/>
  <c r="R132" i="1" s="1"/>
  <c r="M224" i="1"/>
  <c r="R224" i="1" s="1"/>
  <c r="M256" i="1"/>
  <c r="R256" i="1" s="1"/>
  <c r="M300" i="1"/>
  <c r="R300" i="1" s="1"/>
  <c r="M308" i="1"/>
  <c r="R308" i="1" s="1"/>
  <c r="M320" i="1"/>
  <c r="R320" i="1" s="1"/>
  <c r="M376" i="1"/>
  <c r="R376" i="1" s="1"/>
  <c r="M604" i="1"/>
  <c r="R604" i="1" s="1"/>
  <c r="M608" i="1"/>
  <c r="R608" i="1" s="1"/>
  <c r="M652" i="1"/>
  <c r="R652" i="1" s="1"/>
  <c r="M664" i="1"/>
  <c r="R664" i="1" s="1"/>
  <c r="M668" i="1"/>
  <c r="R668" i="1" s="1"/>
  <c r="M672" i="1"/>
  <c r="R672" i="1" s="1"/>
  <c r="M676" i="1"/>
  <c r="R676" i="1" s="1"/>
  <c r="M582" i="1"/>
  <c r="R582" i="1" s="1"/>
  <c r="Y628" i="1"/>
  <c r="AE628" i="1" s="1"/>
  <c r="M662" i="1"/>
  <c r="R662" i="1" s="1"/>
  <c r="Y664" i="1"/>
  <c r="M682" i="1"/>
  <c r="R682" i="1" s="1"/>
  <c r="AC1927" i="1"/>
  <c r="AC1935" i="1"/>
  <c r="AC1943" i="1"/>
  <c r="AC1951" i="1"/>
  <c r="AC1959" i="1"/>
  <c r="AC1967" i="1"/>
  <c r="AC1991" i="1"/>
  <c r="AC1995" i="1"/>
  <c r="AC1999" i="1"/>
  <c r="AC2003" i="1"/>
  <c r="AC2007" i="1"/>
  <c r="AC2011" i="1"/>
  <c r="AC2015" i="1"/>
  <c r="AC2023" i="1"/>
  <c r="AC2027" i="1"/>
  <c r="AC2031" i="1"/>
  <c r="AC2043" i="1"/>
  <c r="AC2051" i="1"/>
  <c r="AC2059" i="1"/>
  <c r="AC2067" i="1"/>
  <c r="AC2075" i="1"/>
  <c r="AC2083" i="1"/>
  <c r="AC2163" i="1"/>
  <c r="AC2171" i="1"/>
  <c r="AC2179" i="1"/>
  <c r="AC2183" i="1"/>
  <c r="AC2187" i="1"/>
  <c r="AC2195" i="1"/>
  <c r="AC2199" i="1"/>
  <c r="AC2635" i="1"/>
  <c r="AC2639" i="1"/>
  <c r="AC2651" i="1"/>
  <c r="AC2683" i="1"/>
  <c r="AC2699" i="1"/>
  <c r="AC2819" i="1"/>
  <c r="AC2827" i="1"/>
  <c r="AC2835" i="1"/>
  <c r="AC2847" i="1"/>
  <c r="AC2855" i="1"/>
  <c r="AC2863" i="1"/>
  <c r="AC2871" i="1"/>
  <c r="AC2875" i="1"/>
  <c r="AC2879" i="1"/>
  <c r="AC2955" i="1"/>
  <c r="AC2963" i="1"/>
  <c r="AC1497" i="1"/>
  <c r="AC1505" i="1"/>
  <c r="AC1513" i="1"/>
  <c r="AC1521" i="1"/>
  <c r="AC1529" i="1"/>
  <c r="AC1537" i="1"/>
  <c r="AC1545" i="1"/>
  <c r="AC1553" i="1"/>
  <c r="AC1561" i="1"/>
  <c r="AC1569" i="1"/>
  <c r="AC1577" i="1"/>
  <c r="AC1585" i="1"/>
  <c r="AC1593" i="1"/>
  <c r="AC1601" i="1"/>
  <c r="AC1609" i="1"/>
  <c r="AC1625" i="1"/>
  <c r="AC1633" i="1"/>
  <c r="AC2980" i="1"/>
  <c r="AC2984" i="1"/>
  <c r="AC2988" i="1"/>
  <c r="AC2992" i="1"/>
  <c r="AC2996" i="1"/>
  <c r="AC3000" i="1"/>
  <c r="AC3004" i="1"/>
  <c r="M1030" i="1"/>
  <c r="R1030" i="1" s="1"/>
  <c r="M1038" i="1"/>
  <c r="R1038" i="1" s="1"/>
  <c r="M1050" i="1"/>
  <c r="R1050" i="1" s="1"/>
  <c r="M1058" i="1"/>
  <c r="R1058" i="1" s="1"/>
  <c r="M1170" i="1"/>
  <c r="R1170" i="1" s="1"/>
  <c r="M1178" i="1"/>
  <c r="R1178" i="1" s="1"/>
  <c r="Y1312" i="1"/>
  <c r="M1502" i="1"/>
  <c r="R1502" i="1" s="1"/>
  <c r="M1650" i="1"/>
  <c r="R1650" i="1" s="1"/>
  <c r="M1666" i="1"/>
  <c r="R1666" i="1" s="1"/>
  <c r="M1674" i="1"/>
  <c r="R1674" i="1" s="1"/>
  <c r="M1678" i="1"/>
  <c r="R1678" i="1" s="1"/>
  <c r="M1702" i="1"/>
  <c r="R1702" i="1" s="1"/>
  <c r="M1738" i="1"/>
  <c r="R1738" i="1" s="1"/>
  <c r="M1762" i="1"/>
  <c r="R1762" i="1" s="1"/>
  <c r="M2449" i="1"/>
  <c r="R2449" i="1" s="1"/>
  <c r="M2473" i="1"/>
  <c r="R2473" i="1" s="1"/>
  <c r="M2540" i="1"/>
  <c r="R2540" i="1" s="1"/>
  <c r="Y2547" i="1"/>
  <c r="M2809" i="1"/>
  <c r="R2809" i="1" s="1"/>
  <c r="M73" i="1"/>
  <c r="R73" i="1" s="1"/>
  <c r="M77" i="1"/>
  <c r="R77" i="1" s="1"/>
  <c r="M125" i="1"/>
  <c r="R125" i="1" s="1"/>
  <c r="M141" i="1"/>
  <c r="R141" i="1" s="1"/>
  <c r="M177" i="1"/>
  <c r="R177" i="1" s="1"/>
  <c r="M189" i="1"/>
  <c r="R189" i="1" s="1"/>
  <c r="M213" i="1"/>
  <c r="R213" i="1" s="1"/>
  <c r="M2726" i="1"/>
  <c r="R2726" i="1" s="1"/>
  <c r="M2730" i="1"/>
  <c r="R2730" i="1" s="1"/>
  <c r="M2778" i="1"/>
  <c r="R2778" i="1" s="1"/>
  <c r="Y491" i="1"/>
  <c r="M1188" i="1"/>
  <c r="R1188" i="1" s="1"/>
  <c r="M1224" i="1"/>
  <c r="R1224" i="1" s="1"/>
  <c r="M1236" i="1"/>
  <c r="R1236" i="1" s="1"/>
  <c r="M1264" i="1"/>
  <c r="R1264" i="1" s="1"/>
  <c r="M1328" i="1"/>
  <c r="R1328" i="1" s="1"/>
  <c r="M1356" i="1"/>
  <c r="R1356" i="1" s="1"/>
  <c r="M1708" i="1"/>
  <c r="R1708" i="1" s="1"/>
  <c r="M1752" i="1"/>
  <c r="R1752" i="1" s="1"/>
  <c r="M1860" i="1"/>
  <c r="R1860" i="1" s="1"/>
  <c r="M1876" i="1"/>
  <c r="R1876" i="1" s="1"/>
  <c r="M188" i="1"/>
  <c r="R188" i="1" s="1"/>
  <c r="M336" i="1"/>
  <c r="R336" i="1" s="1"/>
  <c r="Y744" i="1"/>
  <c r="Y896" i="1"/>
  <c r="Y1044" i="1"/>
  <c r="M1062" i="1"/>
  <c r="R1062" i="1" s="1"/>
  <c r="M1066" i="1"/>
  <c r="R1066" i="1" s="1"/>
  <c r="M1074" i="1"/>
  <c r="R1074" i="1" s="1"/>
  <c r="M1086" i="1"/>
  <c r="R1086" i="1" s="1"/>
  <c r="Y1912" i="1"/>
  <c r="Y1920" i="1"/>
  <c r="AF1920" i="1" s="1"/>
  <c r="Y1952" i="1"/>
  <c r="Y1972" i="1"/>
  <c r="Y1988" i="1"/>
  <c r="Y2028" i="1"/>
  <c r="Y2036" i="1"/>
  <c r="Y2176" i="1"/>
  <c r="Y698" i="1"/>
  <c r="M799" i="1"/>
  <c r="R799" i="1" s="1"/>
  <c r="M855" i="1"/>
  <c r="R855" i="1" s="1"/>
  <c r="M891" i="1"/>
  <c r="R891" i="1" s="1"/>
  <c r="Y1494" i="1"/>
  <c r="M2251" i="1"/>
  <c r="R2251" i="1" s="1"/>
  <c r="M2399" i="1"/>
  <c r="R2399" i="1" s="1"/>
  <c r="M2451" i="1"/>
  <c r="R2451" i="1" s="1"/>
  <c r="M2455" i="1"/>
  <c r="R2455" i="1" s="1"/>
  <c r="Y2501" i="1"/>
  <c r="M2671" i="1"/>
  <c r="R2671" i="1" s="1"/>
  <c r="M2735" i="1"/>
  <c r="R2735" i="1" s="1"/>
  <c r="M2783" i="1"/>
  <c r="R2783" i="1" s="1"/>
  <c r="M2963" i="1"/>
  <c r="R2963" i="1" s="1"/>
  <c r="M724" i="1"/>
  <c r="R724" i="1" s="1"/>
  <c r="M784" i="1"/>
  <c r="R784" i="1" s="1"/>
  <c r="M816" i="1"/>
  <c r="R816" i="1" s="1"/>
  <c r="M832" i="1"/>
  <c r="R832" i="1" s="1"/>
  <c r="M864" i="1"/>
  <c r="R864" i="1" s="1"/>
  <c r="M896" i="1"/>
  <c r="R896" i="1" s="1"/>
  <c r="M1000" i="1"/>
  <c r="R1000" i="1" s="1"/>
  <c r="M1004" i="1"/>
  <c r="R1004" i="1" s="1"/>
  <c r="M1024" i="1"/>
  <c r="R1024" i="1" s="1"/>
  <c r="M1040" i="1"/>
  <c r="R1040" i="1" s="1"/>
  <c r="M1044" i="1"/>
  <c r="R1044" i="1" s="1"/>
  <c r="M1144" i="1"/>
  <c r="R1144" i="1" s="1"/>
  <c r="M1164" i="1"/>
  <c r="R1164" i="1" s="1"/>
  <c r="M1191" i="1"/>
  <c r="R1191" i="1" s="1"/>
  <c r="M1227" i="1"/>
  <c r="R1227" i="1" s="1"/>
  <c r="M1267" i="1"/>
  <c r="R1267" i="1" s="1"/>
  <c r="M1287" i="1"/>
  <c r="R1287" i="1" s="1"/>
  <c r="M1311" i="1"/>
  <c r="R1311" i="1" s="1"/>
  <c r="M1351" i="1"/>
  <c r="R1351" i="1" s="1"/>
  <c r="M1490" i="1"/>
  <c r="R1490" i="1" s="1"/>
  <c r="M1685" i="1"/>
  <c r="R1685" i="1" s="1"/>
  <c r="M1749" i="1"/>
  <c r="R1749" i="1" s="1"/>
  <c r="M1869" i="1"/>
  <c r="R1869" i="1" s="1"/>
  <c r="M1884" i="1"/>
  <c r="R1884" i="1" s="1"/>
  <c r="M1900" i="1"/>
  <c r="R1900" i="1" s="1"/>
  <c r="M1920" i="1"/>
  <c r="R1920" i="1" s="1"/>
  <c r="M1928" i="1"/>
  <c r="R1928" i="1" s="1"/>
  <c r="M1936" i="1"/>
  <c r="R1936" i="1" s="1"/>
  <c r="M1960" i="1"/>
  <c r="R1960" i="1" s="1"/>
  <c r="M1976" i="1"/>
  <c r="R1976" i="1" s="1"/>
  <c r="M2028" i="1"/>
  <c r="R2028" i="1" s="1"/>
  <c r="M2164" i="1"/>
  <c r="R2164" i="1" s="1"/>
  <c r="M2228" i="1"/>
  <c r="R2228" i="1" s="1"/>
  <c r="M2500" i="1"/>
  <c r="R2500" i="1" s="1"/>
  <c r="M2940" i="1"/>
  <c r="R2940" i="1" s="1"/>
  <c r="M2960" i="1"/>
  <c r="R2960" i="1" s="1"/>
  <c r="M2968" i="1"/>
  <c r="R2968" i="1" s="1"/>
  <c r="M2976" i="1"/>
  <c r="R2976" i="1" s="1"/>
  <c r="M1670" i="1"/>
  <c r="R1670" i="1" s="1"/>
  <c r="Y42" i="1"/>
  <c r="Y74" i="1"/>
  <c r="Y82" i="1"/>
  <c r="Y94" i="1"/>
  <c r="Y102" i="1"/>
  <c r="Y110" i="1"/>
  <c r="Y118" i="1"/>
  <c r="Y122" i="1"/>
  <c r="Y126" i="1"/>
  <c r="Y130" i="1"/>
  <c r="Y138" i="1"/>
  <c r="Y142" i="1"/>
  <c r="Y150" i="1"/>
  <c r="Y158" i="1"/>
  <c r="Y166" i="1"/>
  <c r="Y174" i="1"/>
  <c r="Y178" i="1"/>
  <c r="Y186" i="1"/>
  <c r="Y190" i="1"/>
  <c r="Y198" i="1"/>
  <c r="Y210" i="1"/>
  <c r="Y218" i="1"/>
  <c r="Y222" i="1"/>
  <c r="Y238" i="1"/>
  <c r="Y242" i="1"/>
  <c r="Y250" i="1"/>
  <c r="Y258" i="1"/>
  <c r="Y262" i="1"/>
  <c r="Y282" i="1"/>
  <c r="Y286" i="1"/>
  <c r="Y294" i="1"/>
  <c r="Y298" i="1"/>
  <c r="Y306" i="1"/>
  <c r="Y314" i="1"/>
  <c r="Y326" i="1"/>
  <c r="Y330" i="1"/>
  <c r="Y338" i="1"/>
  <c r="Y365" i="1"/>
  <c r="Y373" i="1"/>
  <c r="Y377" i="1"/>
  <c r="Y389" i="1"/>
  <c r="Y397" i="1"/>
  <c r="Y401" i="1"/>
  <c r="Y409" i="1"/>
  <c r="AG409" i="1" s="1"/>
  <c r="Y425" i="1"/>
  <c r="Y441" i="1"/>
  <c r="Y457" i="1"/>
  <c r="Y469" i="1"/>
  <c r="AG469" i="1" s="1"/>
  <c r="Y477" i="1"/>
  <c r="Y481" i="1"/>
  <c r="Y485" i="1"/>
  <c r="Y489" i="1"/>
  <c r="Y492" i="1"/>
  <c r="Y504" i="1"/>
  <c r="Y508" i="1"/>
  <c r="Y512" i="1"/>
  <c r="AE512" i="1" s="1"/>
  <c r="Y532" i="1"/>
  <c r="Y556" i="1"/>
  <c r="Y568" i="1"/>
  <c r="Y580" i="1"/>
  <c r="Y604" i="1"/>
  <c r="Y608" i="1"/>
  <c r="Y624" i="1"/>
  <c r="Y632" i="1"/>
  <c r="Y644" i="1"/>
  <c r="Y648" i="1"/>
  <c r="Y652" i="1"/>
  <c r="Y656" i="1"/>
  <c r="Y660" i="1"/>
  <c r="Y672" i="1"/>
  <c r="Y676" i="1"/>
  <c r="Y684" i="1"/>
  <c r="Y688" i="1"/>
  <c r="Y692" i="1"/>
  <c r="Y699" i="1"/>
  <c r="Y702" i="1"/>
  <c r="Y706" i="1"/>
  <c r="Y714" i="1"/>
  <c r="Y734" i="1"/>
  <c r="Y758" i="1"/>
  <c r="Y766" i="1"/>
  <c r="Y770" i="1"/>
  <c r="Y774" i="1"/>
  <c r="Y786" i="1"/>
  <c r="AD786" i="1" s="1"/>
  <c r="Y794" i="1"/>
  <c r="Y798" i="1"/>
  <c r="Y802" i="1"/>
  <c r="Y806" i="1"/>
  <c r="Y810" i="1"/>
  <c r="Y818" i="1"/>
  <c r="Y822" i="1"/>
  <c r="Y830" i="1"/>
  <c r="Y850" i="1"/>
  <c r="Y858" i="1"/>
  <c r="Y870" i="1"/>
  <c r="Y874" i="1"/>
  <c r="AD874" i="1" s="1"/>
  <c r="Y878" i="1"/>
  <c r="Y882" i="1"/>
  <c r="Y886" i="1"/>
  <c r="Y894" i="1"/>
  <c r="Y904" i="1"/>
  <c r="Y912" i="1"/>
  <c r="Y920" i="1"/>
  <c r="Y928" i="1"/>
  <c r="Y12" i="1"/>
  <c r="Y16" i="1"/>
  <c r="Y20" i="1"/>
  <c r="Y40" i="1"/>
  <c r="Y44" i="1"/>
  <c r="Y48" i="1"/>
  <c r="Y60" i="1"/>
  <c r="Y64" i="1"/>
  <c r="Y72" i="1"/>
  <c r="Y76" i="1"/>
  <c r="Y80" i="1"/>
  <c r="Y84" i="1"/>
  <c r="Y92" i="1"/>
  <c r="Y96" i="1"/>
  <c r="Y100" i="1"/>
  <c r="Y120" i="1"/>
  <c r="Y128" i="1"/>
  <c r="Y132" i="1"/>
  <c r="Y144" i="1"/>
  <c r="Y148" i="1"/>
  <c r="Y168" i="1"/>
  <c r="Y180" i="1"/>
  <c r="Y184" i="1"/>
  <c r="Y192" i="1"/>
  <c r="Y196" i="1"/>
  <c r="Y212" i="1"/>
  <c r="Y220" i="1"/>
  <c r="Y224" i="1"/>
  <c r="Y228" i="1"/>
  <c r="Y240" i="1"/>
  <c r="Y264" i="1"/>
  <c r="Y268" i="1"/>
  <c r="Y276" i="1"/>
  <c r="Y280" i="1"/>
  <c r="Y284" i="1"/>
  <c r="Y288" i="1"/>
  <c r="Y292" i="1"/>
  <c r="Y300" i="1"/>
  <c r="Y304" i="1"/>
  <c r="Y308" i="1"/>
  <c r="Y312" i="1"/>
  <c r="Y336" i="1"/>
  <c r="Y344" i="1"/>
  <c r="Y348" i="1"/>
  <c r="Y352" i="1"/>
  <c r="Y356" i="1"/>
  <c r="Y363" i="1"/>
  <c r="Y383" i="1"/>
  <c r="AF383" i="1" s="1"/>
  <c r="Y387" i="1"/>
  <c r="Y391" i="1"/>
  <c r="Y415" i="1"/>
  <c r="Y419" i="1"/>
  <c r="AF419" i="1" s="1"/>
  <c r="Y427" i="1"/>
  <c r="Y431" i="1"/>
  <c r="Y435" i="1"/>
  <c r="Y443" i="1"/>
  <c r="AF443" i="1" s="1"/>
  <c r="Y447" i="1"/>
  <c r="Y451" i="1"/>
  <c r="Y459" i="1"/>
  <c r="Y463" i="1"/>
  <c r="AF463" i="1" s="1"/>
  <c r="Y467" i="1"/>
  <c r="Y471" i="1"/>
  <c r="Y475" i="1"/>
  <c r="Y498" i="1"/>
  <c r="AG498" i="1" s="1"/>
  <c r="Y502" i="1"/>
  <c r="Y506" i="1"/>
  <c r="Y510" i="1"/>
  <c r="Y526" i="1"/>
  <c r="Y534" i="1"/>
  <c r="Y542" i="1"/>
  <c r="Y554" i="1"/>
  <c r="Y558" i="1"/>
  <c r="AF558" i="1" s="1"/>
  <c r="Y570" i="1"/>
  <c r="Y574" i="1"/>
  <c r="Y582" i="1"/>
  <c r="Y606" i="1"/>
  <c r="Y614" i="1"/>
  <c r="Y618" i="1"/>
  <c r="Y622" i="1"/>
  <c r="Y626" i="1"/>
  <c r="Y630" i="1"/>
  <c r="Y634" i="1"/>
  <c r="Y638" i="1"/>
  <c r="Y650" i="1"/>
  <c r="Y662" i="1"/>
  <c r="Y666" i="1"/>
  <c r="Y678" i="1"/>
  <c r="Y682" i="1"/>
  <c r="AD682" i="1" s="1"/>
  <c r="Y728" i="1"/>
  <c r="Y732" i="1"/>
  <c r="Y736" i="1"/>
  <c r="Y752" i="1"/>
  <c r="Y756" i="1"/>
  <c r="Y764" i="1"/>
  <c r="Y772" i="1"/>
  <c r="Y776" i="1"/>
  <c r="Y780" i="1"/>
  <c r="Y784" i="1"/>
  <c r="Y788" i="1"/>
  <c r="Y796" i="1"/>
  <c r="Y804" i="1"/>
  <c r="Y812" i="1"/>
  <c r="Y816" i="1"/>
  <c r="Y824" i="1"/>
  <c r="Y832" i="1"/>
  <c r="Y836" i="1"/>
  <c r="Y844" i="1"/>
  <c r="Y848" i="1"/>
  <c r="Y856" i="1"/>
  <c r="Y864" i="1"/>
  <c r="Y892" i="1"/>
  <c r="Y914" i="1"/>
  <c r="AD914" i="1" s="1"/>
  <c r="Y922" i="1"/>
  <c r="Y932" i="1"/>
  <c r="Y976" i="1"/>
  <c r="Y984" i="1"/>
  <c r="Y1000" i="1"/>
  <c r="Y1291" i="1"/>
  <c r="Y1295" i="1"/>
  <c r="Y1307" i="1"/>
  <c r="Y1358" i="1"/>
  <c r="Y1370" i="1"/>
  <c r="Y1378" i="1"/>
  <c r="Y1382" i="1"/>
  <c r="Y1462" i="1"/>
  <c r="Y1513" i="1"/>
  <c r="Y1601" i="1"/>
  <c r="Y1617" i="1"/>
  <c r="Y1677" i="1"/>
  <c r="Y1689" i="1"/>
  <c r="Y1701" i="1"/>
  <c r="Y1713" i="1"/>
  <c r="Y1729" i="1"/>
  <c r="Y1769" i="1"/>
  <c r="Y1773" i="1"/>
  <c r="Y1777" i="1"/>
  <c r="AE1777" i="1" s="1"/>
  <c r="Y1789" i="1"/>
  <c r="Y1793" i="1"/>
  <c r="Y1805" i="1"/>
  <c r="Y1813" i="1"/>
  <c r="Y1821" i="1"/>
  <c r="Y1829" i="1"/>
  <c r="Y1837" i="1"/>
  <c r="Y1865" i="1"/>
  <c r="AE1865" i="1" s="1"/>
  <c r="Y1869" i="1"/>
  <c r="Y1873" i="1"/>
  <c r="Y1880" i="1"/>
  <c r="Y1892" i="1"/>
  <c r="AF1892" i="1" s="1"/>
  <c r="Y1896" i="1"/>
  <c r="Y1904" i="1"/>
  <c r="Y1908" i="1"/>
  <c r="Y1968" i="1"/>
  <c r="AF1968" i="1" s="1"/>
  <c r="Y1976" i="1"/>
  <c r="Y1980" i="1"/>
  <c r="Y1984" i="1"/>
  <c r="Y1996" i="1"/>
  <c r="Y2004" i="1"/>
  <c r="Y2012" i="1"/>
  <c r="Y2020" i="1"/>
  <c r="Y2040" i="1"/>
  <c r="AF2040" i="1" s="1"/>
  <c r="Y2044" i="1"/>
  <c r="Y2048" i="1"/>
  <c r="Y2052" i="1"/>
  <c r="Y2060" i="1"/>
  <c r="AF2060" i="1" s="1"/>
  <c r="Y2068" i="1"/>
  <c r="Y2072" i="1"/>
  <c r="Y2080" i="1"/>
  <c r="Y2100" i="1"/>
  <c r="Y2104" i="1"/>
  <c r="Y2108" i="1"/>
  <c r="Y2112" i="1"/>
  <c r="Y2124" i="1"/>
  <c r="AF2124" i="1" s="1"/>
  <c r="Y2128" i="1"/>
  <c r="Y2140" i="1"/>
  <c r="Y2144" i="1"/>
  <c r="Y2156" i="1"/>
  <c r="AF2156" i="1" s="1"/>
  <c r="Y2164" i="1"/>
  <c r="AF2164" i="1" s="1"/>
  <c r="Y2168" i="1"/>
  <c r="Y2172" i="1"/>
  <c r="Y2180" i="1"/>
  <c r="Y2188" i="1"/>
  <c r="Y2192" i="1"/>
  <c r="Y2196" i="1"/>
  <c r="Y2208" i="1"/>
  <c r="AG2208" i="1" s="1"/>
  <c r="Y2224" i="1"/>
  <c r="Y2228" i="1"/>
  <c r="Y2236" i="1"/>
  <c r="Y2240" i="1"/>
  <c r="Y2256" i="1"/>
  <c r="Y2272" i="1"/>
  <c r="Y2276" i="1"/>
  <c r="Y2316" i="1"/>
  <c r="Y2328" i="1"/>
  <c r="Y2340" i="1"/>
  <c r="Y2348" i="1"/>
  <c r="Y2360" i="1"/>
  <c r="Y2368" i="1"/>
  <c r="Y2372" i="1"/>
  <c r="Y941" i="1"/>
  <c r="Y945" i="1"/>
  <c r="Y949" i="1"/>
  <c r="Y961" i="1"/>
  <c r="Y989" i="1"/>
  <c r="Y997" i="1"/>
  <c r="Y1001" i="1"/>
  <c r="Y1049" i="1"/>
  <c r="Y1057" i="1"/>
  <c r="Y1069" i="1"/>
  <c r="Y1073" i="1"/>
  <c r="Y1077" i="1"/>
  <c r="Y1081" i="1"/>
  <c r="Y1089" i="1"/>
  <c r="Y1097" i="1"/>
  <c r="Y1101" i="1"/>
  <c r="Y1105" i="1"/>
  <c r="Y1109" i="1"/>
  <c r="Y1113" i="1"/>
  <c r="Y1121" i="1"/>
  <c r="Y1125" i="1"/>
  <c r="Y1129" i="1"/>
  <c r="Y1133" i="1"/>
  <c r="Y1137" i="1"/>
  <c r="Y1149" i="1"/>
  <c r="Y1153" i="1"/>
  <c r="Y1157" i="1"/>
  <c r="Y1161" i="1"/>
  <c r="Y1168" i="1"/>
  <c r="Y1172" i="1"/>
  <c r="Y1180" i="1"/>
  <c r="Y1184" i="1"/>
  <c r="Y1192" i="1"/>
  <c r="Y1196" i="1"/>
  <c r="Y1200" i="1"/>
  <c r="Y1208" i="1"/>
  <c r="Y1212" i="1"/>
  <c r="Y1264" i="1"/>
  <c r="Y1276" i="1"/>
  <c r="AF1276" i="1" s="1"/>
  <c r="Y1304" i="1"/>
  <c r="Y1348" i="1"/>
  <c r="Y1391" i="1"/>
  <c r="Y1411" i="1"/>
  <c r="Y1431" i="1"/>
  <c r="Y958" i="1"/>
  <c r="Y962" i="1"/>
  <c r="AD962" i="1" s="1"/>
  <c r="Y966" i="1"/>
  <c r="Y978" i="1"/>
  <c r="Y994" i="1"/>
  <c r="Y998" i="1"/>
  <c r="Y1010" i="1"/>
  <c r="Y1018" i="1"/>
  <c r="Y1022" i="1"/>
  <c r="Y1046" i="1"/>
  <c r="Y1050" i="1"/>
  <c r="Y1229" i="1"/>
  <c r="Y1245" i="1"/>
  <c r="Y1249" i="1"/>
  <c r="Y1289" i="1"/>
  <c r="Y1301" i="1"/>
  <c r="Y1305" i="1"/>
  <c r="Y1309" i="1"/>
  <c r="AG1309" i="1" s="1"/>
  <c r="Y1333" i="1"/>
  <c r="Y1337" i="1"/>
  <c r="Y1353" i="1"/>
  <c r="Y1388" i="1"/>
  <c r="AD1388" i="1" s="1"/>
  <c r="Y1460" i="1"/>
  <c r="Y1523" i="1"/>
  <c r="Y1583" i="1"/>
  <c r="Y1607" i="1"/>
  <c r="Y1651" i="1"/>
  <c r="Y1663" i="1"/>
  <c r="Y1683" i="1"/>
  <c r="Y1695" i="1"/>
  <c r="AG1695" i="1" s="1"/>
  <c r="Y1699" i="1"/>
  <c r="Y1707" i="1"/>
  <c r="Y1723" i="1"/>
  <c r="Y1743" i="1"/>
  <c r="AG1743" i="1" s="1"/>
  <c r="Y1755" i="1"/>
  <c r="Y1759" i="1"/>
  <c r="Y1771" i="1"/>
  <c r="Y1779" i="1"/>
  <c r="Y1783" i="1"/>
  <c r="Y1795" i="1"/>
  <c r="Y1799" i="1"/>
  <c r="Y1859" i="1"/>
  <c r="Y1863" i="1"/>
  <c r="Y1867" i="1"/>
  <c r="Y1871" i="1"/>
  <c r="Y1882" i="1"/>
  <c r="Y1886" i="1"/>
  <c r="Y1898" i="1"/>
  <c r="Y1902" i="1"/>
  <c r="Y1914" i="1"/>
  <c r="AD1914" i="1" s="1"/>
  <c r="Y1918" i="1"/>
  <c r="Y1922" i="1"/>
  <c r="Y1926" i="1"/>
  <c r="Y1934" i="1"/>
  <c r="Y1942" i="1"/>
  <c r="Y1950" i="1"/>
  <c r="Y1958" i="1"/>
  <c r="Y1966" i="1"/>
  <c r="Y1970" i="1"/>
  <c r="Y1978" i="1"/>
  <c r="Y1986" i="1"/>
  <c r="Y1994" i="1"/>
  <c r="AF1994" i="1" s="1"/>
  <c r="Y1998" i="1"/>
  <c r="Y2006" i="1"/>
  <c r="Y2010" i="1"/>
  <c r="Y2014" i="1"/>
  <c r="Y2018" i="1"/>
  <c r="Y2022" i="1"/>
  <c r="Y2030" i="1"/>
  <c r="Y2034" i="1"/>
  <c r="AF2034" i="1" s="1"/>
  <c r="Y2042" i="1"/>
  <c r="Y2050" i="1"/>
  <c r="Y2058" i="1"/>
  <c r="Y2062" i="1"/>
  <c r="Y2070" i="1"/>
  <c r="Y2078" i="1"/>
  <c r="Y2086" i="1"/>
  <c r="Y2090" i="1"/>
  <c r="AG2090" i="1" s="1"/>
  <c r="Y2094" i="1"/>
  <c r="Y2114" i="1"/>
  <c r="Y2126" i="1"/>
  <c r="Y2142" i="1"/>
  <c r="AG2142" i="1" s="1"/>
  <c r="Y2178" i="1"/>
  <c r="Y2194" i="1"/>
  <c r="Y2202" i="1"/>
  <c r="Y2210" i="1"/>
  <c r="AF2210" i="1" s="1"/>
  <c r="Y2218" i="1"/>
  <c r="AF2218" i="1" s="1"/>
  <c r="Y2230" i="1"/>
  <c r="Y2238" i="1"/>
  <c r="Y2242" i="1"/>
  <c r="Y2250" i="1"/>
  <c r="AF2250" i="1" s="1"/>
  <c r="Y2258" i="1"/>
  <c r="Y2266" i="1"/>
  <c r="Y2278" i="1"/>
  <c r="AF2278" i="1" s="1"/>
  <c r="Y2282" i="1"/>
  <c r="Y2290" i="1"/>
  <c r="Y2298" i="1"/>
  <c r="Y2302" i="1"/>
  <c r="Y2310" i="1"/>
  <c r="Y2322" i="1"/>
  <c r="Y2330" i="1"/>
  <c r="Y2342" i="1"/>
  <c r="AF2342" i="1" s="1"/>
  <c r="Y2366" i="1"/>
  <c r="Y931" i="1"/>
  <c r="Y939" i="1"/>
  <c r="Y971" i="1"/>
  <c r="AG971" i="1" s="1"/>
  <c r="Y1011" i="1"/>
  <c r="Y1015" i="1"/>
  <c r="Y1019" i="1"/>
  <c r="Y1023" i="1"/>
  <c r="Y1027" i="1"/>
  <c r="Y1043" i="1"/>
  <c r="Y1047" i="1"/>
  <c r="Y1051" i="1"/>
  <c r="Y1055" i="1"/>
  <c r="Y1063" i="1"/>
  <c r="Y1067" i="1"/>
  <c r="Y1075" i="1"/>
  <c r="AG1075" i="1" s="1"/>
  <c r="Y1083" i="1"/>
  <c r="Y1087" i="1"/>
  <c r="Y1095" i="1"/>
  <c r="Y1099" i="1"/>
  <c r="AG1099" i="1" s="1"/>
  <c r="Y1103" i="1"/>
  <c r="AG1103" i="1" s="1"/>
  <c r="Y1119" i="1"/>
  <c r="Y1123" i="1"/>
  <c r="Y1127" i="1"/>
  <c r="AG1127" i="1" s="1"/>
  <c r="Y1139" i="1"/>
  <c r="Y1143" i="1"/>
  <c r="Y1147" i="1"/>
  <c r="Y1155" i="1"/>
  <c r="Y1163" i="1"/>
  <c r="Y1166" i="1"/>
  <c r="Y1170" i="1"/>
  <c r="Y1174" i="1"/>
  <c r="AF1174" i="1" s="1"/>
  <c r="Y1186" i="1"/>
  <c r="Y1190" i="1"/>
  <c r="Y1198" i="1"/>
  <c r="Y1206" i="1"/>
  <c r="AF1206" i="1" s="1"/>
  <c r="Y1210" i="1"/>
  <c r="Y1226" i="1"/>
  <c r="Y1230" i="1"/>
  <c r="Y1238" i="1"/>
  <c r="AF1238" i="1" s="1"/>
  <c r="Y1246" i="1"/>
  <c r="AF1246" i="1" s="1"/>
  <c r="Y1250" i="1"/>
  <c r="Y1266" i="1"/>
  <c r="Y1290" i="1"/>
  <c r="Y1338" i="1"/>
  <c r="Y1342" i="1"/>
  <c r="Y1350" i="1"/>
  <c r="Y1397" i="1"/>
  <c r="AG1397" i="1" s="1"/>
  <c r="Y1401" i="1"/>
  <c r="Y1580" i="1"/>
  <c r="Y1588" i="1"/>
  <c r="Y1592" i="1"/>
  <c r="Y1668" i="1"/>
  <c r="Y2373" i="1"/>
  <c r="Y2389" i="1"/>
  <c r="Y2393" i="1"/>
  <c r="Y2405" i="1"/>
  <c r="Y2409" i="1"/>
  <c r="Y2413" i="1"/>
  <c r="Y2425" i="1"/>
  <c r="Y2429" i="1"/>
  <c r="Y2433" i="1"/>
  <c r="Y2445" i="1"/>
  <c r="Y2449" i="1"/>
  <c r="Y2469" i="1"/>
  <c r="Y2481" i="1"/>
  <c r="Y2493" i="1"/>
  <c r="Y2497" i="1"/>
  <c r="Y2508" i="1"/>
  <c r="Y2524" i="1"/>
  <c r="Y2536" i="1"/>
  <c r="Y2544" i="1"/>
  <c r="Y2560" i="1"/>
  <c r="AE2560" i="1" s="1"/>
  <c r="Y2572" i="1"/>
  <c r="Y2576" i="1"/>
  <c r="Y2584" i="1"/>
  <c r="Y2588" i="1"/>
  <c r="Y2592" i="1"/>
  <c r="Y2600" i="1"/>
  <c r="Y2612" i="1"/>
  <c r="Y2624" i="1"/>
  <c r="Y2628" i="1"/>
  <c r="Y2632" i="1"/>
  <c r="Y2640" i="1"/>
  <c r="Y2644" i="1"/>
  <c r="Y2648" i="1"/>
  <c r="Y2676" i="1"/>
  <c r="Y2716" i="1"/>
  <c r="Y2720" i="1"/>
  <c r="AF2720" i="1" s="1"/>
  <c r="Y2728" i="1"/>
  <c r="Y2744" i="1"/>
  <c r="Y2748" i="1"/>
  <c r="AD2748" i="1" s="1"/>
  <c r="Y2752" i="1"/>
  <c r="Y2760" i="1"/>
  <c r="Y2768" i="1"/>
  <c r="Y2776" i="1"/>
  <c r="AF2776" i="1" s="1"/>
  <c r="Y2780" i="1"/>
  <c r="Y2784" i="1"/>
  <c r="Y2800" i="1"/>
  <c r="Y2804" i="1"/>
  <c r="AD2804" i="1" s="1"/>
  <c r="Y2812" i="1"/>
  <c r="AD2812" i="1" s="1"/>
  <c r="Y2816" i="1"/>
  <c r="Y2832" i="1"/>
  <c r="Y2840" i="1"/>
  <c r="Y2864" i="1"/>
  <c r="Y2868" i="1"/>
  <c r="Y2880" i="1"/>
  <c r="Y2884" i="1"/>
  <c r="AD2884" i="1" s="1"/>
  <c r="Y2888" i="1"/>
  <c r="Y2892" i="1"/>
  <c r="Y2900" i="1"/>
  <c r="Y2904" i="1"/>
  <c r="AD2904" i="1" s="1"/>
  <c r="Y2908" i="1"/>
  <c r="Y2912" i="1"/>
  <c r="Y2916" i="1"/>
  <c r="Y2920" i="1"/>
  <c r="Y2924" i="1"/>
  <c r="Y2960" i="1"/>
  <c r="Y2964" i="1"/>
  <c r="Y2968" i="1"/>
  <c r="Y2972" i="1"/>
  <c r="Y2976" i="1"/>
  <c r="Y2375" i="1"/>
  <c r="Y2379" i="1"/>
  <c r="Y2383" i="1"/>
  <c r="Y2391" i="1"/>
  <c r="Y2395" i="1"/>
  <c r="Y2399" i="1"/>
  <c r="Y2403" i="1"/>
  <c r="Y2415" i="1"/>
  <c r="Y2419" i="1"/>
  <c r="Y2423" i="1"/>
  <c r="Y2427" i="1"/>
  <c r="Y2431" i="1"/>
  <c r="Y2435" i="1"/>
  <c r="Y2439" i="1"/>
  <c r="Y2443" i="1"/>
  <c r="Y2451" i="1"/>
  <c r="Y2459" i="1"/>
  <c r="Y2463" i="1"/>
  <c r="Y2467" i="1"/>
  <c r="Y2471" i="1"/>
  <c r="Y2475" i="1"/>
  <c r="Y2479" i="1"/>
  <c r="Y2483" i="1"/>
  <c r="Y2487" i="1"/>
  <c r="Y2495" i="1"/>
  <c r="Y2499" i="1"/>
  <c r="Y2502" i="1"/>
  <c r="Y2506" i="1"/>
  <c r="Y2510" i="1"/>
  <c r="Y2514" i="1"/>
  <c r="Y2518" i="1"/>
  <c r="Y2522" i="1"/>
  <c r="Y2530" i="1"/>
  <c r="Y2546" i="1"/>
  <c r="Y2550" i="1"/>
  <c r="Y2554" i="1"/>
  <c r="Y2558" i="1"/>
  <c r="Y2566" i="1"/>
  <c r="Y2570" i="1"/>
  <c r="AG2570" i="1" s="1"/>
  <c r="Y2582" i="1"/>
  <c r="Y2586" i="1"/>
  <c r="Y2590" i="1"/>
  <c r="Y2598" i="1"/>
  <c r="Y2602" i="1"/>
  <c r="Y2610" i="1"/>
  <c r="Y2614" i="1"/>
  <c r="Y2618" i="1"/>
  <c r="Y2630" i="1"/>
  <c r="Y2634" i="1"/>
  <c r="Y2638" i="1"/>
  <c r="Y2642" i="1"/>
  <c r="Y2646" i="1"/>
  <c r="Y2650" i="1"/>
  <c r="Y2658" i="1"/>
  <c r="Y2662" i="1"/>
  <c r="Y2666" i="1"/>
  <c r="Y2678" i="1"/>
  <c r="Y2682" i="1"/>
  <c r="Y2698" i="1"/>
  <c r="Y2710" i="1"/>
  <c r="Y2730" i="1"/>
  <c r="Y2734" i="1"/>
  <c r="Y2738" i="1"/>
  <c r="Y2750" i="1"/>
  <c r="Y2754" i="1"/>
  <c r="Y2762" i="1"/>
  <c r="Y2790" i="1"/>
  <c r="Y2806" i="1"/>
  <c r="Y2822" i="1"/>
  <c r="Y2834" i="1"/>
  <c r="AD2834" i="1" s="1"/>
  <c r="Y2878" i="1"/>
  <c r="Y2882" i="1"/>
  <c r="Y2894" i="1"/>
  <c r="Y2898" i="1"/>
  <c r="Y2918" i="1"/>
  <c r="Y2926" i="1"/>
  <c r="Y2930" i="1"/>
  <c r="Y2938" i="1"/>
  <c r="Y2950" i="1"/>
  <c r="Y2962" i="1"/>
  <c r="Y2978" i="1"/>
  <c r="Y2982" i="1"/>
  <c r="Y2998" i="1"/>
  <c r="Y3006" i="1"/>
  <c r="M907" i="1"/>
  <c r="R907" i="1" s="1"/>
  <c r="M963" i="1"/>
  <c r="R963" i="1" s="1"/>
  <c r="M991" i="1"/>
  <c r="R991" i="1" s="1"/>
  <c r="M1015" i="1"/>
  <c r="R1015" i="1" s="1"/>
  <c r="M1075" i="1"/>
  <c r="R1075" i="1" s="1"/>
  <c r="M1103" i="1"/>
  <c r="R1103" i="1" s="1"/>
  <c r="M1106" i="1"/>
  <c r="R1106" i="1" s="1"/>
  <c r="M1122" i="1"/>
  <c r="R1122" i="1" s="1"/>
  <c r="M1130" i="1"/>
  <c r="R1130" i="1" s="1"/>
  <c r="M1150" i="1"/>
  <c r="R1150" i="1" s="1"/>
  <c r="Y123" i="1"/>
  <c r="AC205" i="1"/>
  <c r="AC209" i="1"/>
  <c r="AC213" i="1"/>
  <c r="AC221" i="1"/>
  <c r="AC229" i="1"/>
  <c r="AC245" i="1"/>
  <c r="AC253" i="1"/>
  <c r="AC261" i="1"/>
  <c r="AC269" i="1"/>
  <c r="AC277" i="1"/>
  <c r="AC285" i="1"/>
  <c r="AC293" i="1"/>
  <c r="AC297" i="1"/>
  <c r="AC305" i="1"/>
  <c r="AC313" i="1"/>
  <c r="AC317" i="1"/>
  <c r="AC321" i="1"/>
  <c r="AC325" i="1"/>
  <c r="AC329" i="1"/>
  <c r="AC337" i="1"/>
  <c r="AC345" i="1"/>
  <c r="AC349" i="1"/>
  <c r="AC353" i="1"/>
  <c r="AC357" i="1"/>
  <c r="M367" i="1"/>
  <c r="R367" i="1" s="1"/>
  <c r="M379" i="1"/>
  <c r="R379" i="1" s="1"/>
  <c r="M427" i="1"/>
  <c r="R427" i="1" s="1"/>
  <c r="M443" i="1"/>
  <c r="R443" i="1" s="1"/>
  <c r="M451" i="1"/>
  <c r="R451" i="1" s="1"/>
  <c r="AC494" i="1"/>
  <c r="AC502" i="1"/>
  <c r="AC510" i="1"/>
  <c r="AC518" i="1"/>
  <c r="AC526" i="1"/>
  <c r="AC574" i="1"/>
  <c r="AC598" i="1"/>
  <c r="AC606" i="1"/>
  <c r="AC622" i="1"/>
  <c r="AC638" i="1"/>
  <c r="M711" i="1"/>
  <c r="R711" i="1" s="1"/>
  <c r="M731" i="1"/>
  <c r="R731" i="1" s="1"/>
  <c r="M734" i="1"/>
  <c r="R734" i="1" s="1"/>
  <c r="AC735" i="1"/>
  <c r="AC739" i="1"/>
  <c r="M754" i="1"/>
  <c r="R754" i="1" s="1"/>
  <c r="M794" i="1"/>
  <c r="R794" i="1" s="1"/>
  <c r="M802" i="1"/>
  <c r="R802" i="1" s="1"/>
  <c r="M830" i="1"/>
  <c r="R830" i="1" s="1"/>
  <c r="M850" i="1"/>
  <c r="R850" i="1" s="1"/>
  <c r="M858" i="1"/>
  <c r="R858" i="1" s="1"/>
  <c r="M870" i="1"/>
  <c r="R870" i="1" s="1"/>
  <c r="M874" i="1"/>
  <c r="R874" i="1" s="1"/>
  <c r="M878" i="1"/>
  <c r="R878" i="1" s="1"/>
  <c r="M882" i="1"/>
  <c r="R882" i="1" s="1"/>
  <c r="M886" i="1"/>
  <c r="R886" i="1" s="1"/>
  <c r="M894" i="1"/>
  <c r="R894" i="1" s="1"/>
  <c r="M900" i="1"/>
  <c r="R900" i="1" s="1"/>
  <c r="M904" i="1"/>
  <c r="R904" i="1" s="1"/>
  <c r="M912" i="1"/>
  <c r="R912" i="1" s="1"/>
  <c r="M944" i="1"/>
  <c r="R944" i="1" s="1"/>
  <c r="M353" i="1"/>
  <c r="R353" i="1" s="1"/>
  <c r="M83" i="1"/>
  <c r="R83" i="1" s="1"/>
  <c r="M119" i="1"/>
  <c r="R119" i="1" s="1"/>
  <c r="M183" i="1"/>
  <c r="R183" i="1" s="1"/>
  <c r="M218" i="1"/>
  <c r="R218" i="1" s="1"/>
  <c r="M298" i="1"/>
  <c r="R298" i="1" s="1"/>
  <c r="M358" i="1"/>
  <c r="R358" i="1" s="1"/>
  <c r="M361" i="1"/>
  <c r="R361" i="1" s="1"/>
  <c r="AC362" i="1"/>
  <c r="AC366" i="1"/>
  <c r="AC370" i="1"/>
  <c r="AC374" i="1"/>
  <c r="AC378" i="1"/>
  <c r="Y379" i="1"/>
  <c r="AC382" i="1"/>
  <c r="AC390" i="1"/>
  <c r="AC394" i="1"/>
  <c r="AC398" i="1"/>
  <c r="M579" i="1"/>
  <c r="R579" i="1" s="1"/>
  <c r="M611" i="1"/>
  <c r="R611" i="1" s="1"/>
  <c r="M659" i="1"/>
  <c r="R659" i="1" s="1"/>
  <c r="M691" i="1"/>
  <c r="R691" i="1" s="1"/>
  <c r="AC699" i="1"/>
  <c r="M736" i="1"/>
  <c r="R736" i="1" s="1"/>
  <c r="AC899" i="1"/>
  <c r="AC907" i="1"/>
  <c r="AC915" i="1"/>
  <c r="AC923" i="1"/>
  <c r="AC931" i="1"/>
  <c r="AC939" i="1"/>
  <c r="AC947" i="1"/>
  <c r="AC951" i="1"/>
  <c r="AC955" i="1"/>
  <c r="AC959" i="1"/>
  <c r="AC963" i="1"/>
  <c r="AC967" i="1"/>
  <c r="Y968" i="1"/>
  <c r="AC971" i="1"/>
  <c r="AC975" i="1"/>
  <c r="AC979" i="1"/>
  <c r="AC1083" i="1"/>
  <c r="AC1091" i="1"/>
  <c r="AC1095" i="1"/>
  <c r="AC1099" i="1"/>
  <c r="AC1177" i="1"/>
  <c r="AC1185" i="1"/>
  <c r="AC1193" i="1"/>
  <c r="AC1201" i="1"/>
  <c r="AC1209" i="1"/>
  <c r="AC1217" i="1"/>
  <c r="AC1225" i="1"/>
  <c r="AC1233" i="1"/>
  <c r="AC1241" i="1"/>
  <c r="M2821" i="1"/>
  <c r="R2821" i="1" s="1"/>
  <c r="AC1249" i="1"/>
  <c r="AC1257" i="1"/>
  <c r="AC1265" i="1"/>
  <c r="AC1273" i="1"/>
  <c r="AC1281" i="1"/>
  <c r="AC1285" i="1"/>
  <c r="AC1293" i="1"/>
  <c r="AC1297" i="1"/>
  <c r="AC1301" i="1"/>
  <c r="AC1305" i="1"/>
  <c r="AC1309" i="1"/>
  <c r="AC1317" i="1"/>
  <c r="AC1321" i="1"/>
  <c r="AC1325" i="1"/>
  <c r="AC1329" i="1"/>
  <c r="AC1333" i="1"/>
  <c r="AC1341" i="1"/>
  <c r="AC1345" i="1"/>
  <c r="AC1349" i="1"/>
  <c r="AC1353" i="1"/>
  <c r="AC1559" i="1"/>
  <c r="AC1563" i="1"/>
  <c r="AC1567" i="1"/>
  <c r="AC1571" i="1"/>
  <c r="AC1575" i="1"/>
  <c r="AC1579" i="1"/>
  <c r="AC1583" i="1"/>
  <c r="AC1587" i="1"/>
  <c r="AC1591" i="1"/>
  <c r="AC1595" i="1"/>
  <c r="AC1599" i="1"/>
  <c r="AC1603" i="1"/>
  <c r="AC1607" i="1"/>
  <c r="AC1611" i="1"/>
  <c r="AC1619" i="1"/>
  <c r="AC1623" i="1"/>
  <c r="AC1627" i="1"/>
  <c r="AC1631" i="1"/>
  <c r="AC1635" i="1"/>
  <c r="AC1639" i="1"/>
  <c r="AC1663" i="1"/>
  <c r="AC1671" i="1"/>
  <c r="AC1679" i="1"/>
  <c r="AC2091" i="1"/>
  <c r="AC2099" i="1"/>
  <c r="AC2107" i="1"/>
  <c r="AC2115" i="1"/>
  <c r="Y2116" i="1"/>
  <c r="AC2123" i="1"/>
  <c r="AC2131" i="1"/>
  <c r="Y2132" i="1"/>
  <c r="M2134" i="1"/>
  <c r="R2134" i="1" s="1"/>
  <c r="AC2139" i="1"/>
  <c r="M2142" i="1"/>
  <c r="R2142" i="1" s="1"/>
  <c r="AC2147" i="1"/>
  <c r="AC2155" i="1"/>
  <c r="M2161" i="1"/>
  <c r="R2161" i="1" s="1"/>
  <c r="M2181" i="1"/>
  <c r="R2181" i="1" s="1"/>
  <c r="AC2225" i="1"/>
  <c r="AC2233" i="1"/>
  <c r="AC2241" i="1"/>
  <c r="Y2246" i="1"/>
  <c r="AC2249" i="1"/>
  <c r="AC2257" i="1"/>
  <c r="AC2265" i="1"/>
  <c r="AC2273" i="1"/>
  <c r="AC2281" i="1"/>
  <c r="AC2289" i="1"/>
  <c r="AC2297" i="1"/>
  <c r="AC2305" i="1"/>
  <c r="AC2313" i="1"/>
  <c r="M2320" i="1"/>
  <c r="R2320" i="1" s="1"/>
  <c r="AC2321" i="1"/>
  <c r="AC2329" i="1"/>
  <c r="AC2337" i="1"/>
  <c r="AC2345" i="1"/>
  <c r="AC2353" i="1"/>
  <c r="M2786" i="1"/>
  <c r="R2786" i="1" s="1"/>
  <c r="AC2787" i="1"/>
  <c r="AC2795" i="1"/>
  <c r="M2802" i="1"/>
  <c r="R2802" i="1" s="1"/>
  <c r="AC2811" i="1"/>
  <c r="AC2883" i="1"/>
  <c r="M2982" i="1"/>
  <c r="R2982" i="1" s="1"/>
  <c r="M1325" i="1"/>
  <c r="R1325" i="1" s="1"/>
  <c r="AC1357" i="1"/>
  <c r="AC1361" i="1"/>
  <c r="AC1365" i="1"/>
  <c r="M1368" i="1"/>
  <c r="R1368" i="1" s="1"/>
  <c r="AC1369" i="1"/>
  <c r="AC1373" i="1"/>
  <c r="AC1381" i="1"/>
  <c r="M1468" i="1"/>
  <c r="R1468" i="1" s="1"/>
  <c r="AC1695" i="1"/>
  <c r="AC1703" i="1"/>
  <c r="AC1711" i="1"/>
  <c r="AC1719" i="1"/>
  <c r="Y1760" i="1"/>
  <c r="AC1997" i="1"/>
  <c r="AC2474" i="1"/>
  <c r="AC2478" i="1"/>
  <c r="AC2482" i="1"/>
  <c r="AC2486" i="1"/>
  <c r="AC2490" i="1"/>
  <c r="AC2494" i="1"/>
  <c r="AC2498" i="1"/>
  <c r="AC2525" i="1"/>
  <c r="AC2533" i="1"/>
  <c r="AC2541" i="1"/>
  <c r="AC2561" i="1"/>
  <c r="AC2569" i="1"/>
  <c r="AC2577" i="1"/>
  <c r="M2592" i="1"/>
  <c r="R2592" i="1" s="1"/>
  <c r="AC2593" i="1"/>
  <c r="M2600" i="1"/>
  <c r="R2600" i="1" s="1"/>
  <c r="AC2601" i="1"/>
  <c r="AC2609" i="1"/>
  <c r="AC2617" i="1"/>
  <c r="AC2621" i="1"/>
  <c r="AC2625" i="1"/>
  <c r="M2632" i="1"/>
  <c r="R2632" i="1" s="1"/>
  <c r="AC2633" i="1"/>
  <c r="AC2637" i="1"/>
  <c r="AC2641" i="1"/>
  <c r="M2668" i="1"/>
  <c r="R2668" i="1" s="1"/>
  <c r="AC2669" i="1"/>
  <c r="M2680" i="1"/>
  <c r="R2680" i="1" s="1"/>
  <c r="M2684" i="1"/>
  <c r="R2684" i="1" s="1"/>
  <c r="AC2685" i="1"/>
  <c r="Y2758" i="1"/>
  <c r="M1282" i="1"/>
  <c r="R1282" i="1" s="1"/>
  <c r="M1290" i="1"/>
  <c r="R1290" i="1" s="1"/>
  <c r="M1330" i="1"/>
  <c r="R1330" i="1" s="1"/>
  <c r="M1365" i="1"/>
  <c r="R1365" i="1" s="1"/>
  <c r="M1496" i="1"/>
  <c r="R1496" i="1" s="1"/>
  <c r="M1504" i="1"/>
  <c r="R1504" i="1" s="1"/>
  <c r="Y1796" i="1"/>
  <c r="M1850" i="1"/>
  <c r="R1850" i="1" s="1"/>
  <c r="M1858" i="1"/>
  <c r="R1858" i="1" s="1"/>
  <c r="M1917" i="1"/>
  <c r="R1917" i="1" s="1"/>
  <c r="M1925" i="1"/>
  <c r="R1925" i="1" s="1"/>
  <c r="M1929" i="1"/>
  <c r="R1929" i="1" s="1"/>
  <c r="M1933" i="1"/>
  <c r="R1933" i="1" s="1"/>
  <c r="M1957" i="1"/>
  <c r="R1957" i="1" s="1"/>
  <c r="M2073" i="1"/>
  <c r="R2073" i="1" s="1"/>
  <c r="M2096" i="1"/>
  <c r="R2096" i="1" s="1"/>
  <c r="M2116" i="1"/>
  <c r="R2116" i="1" s="1"/>
  <c r="M2140" i="1"/>
  <c r="R2140" i="1" s="1"/>
  <c r="M2156" i="1"/>
  <c r="R2156" i="1" s="1"/>
  <c r="M2246" i="1"/>
  <c r="R2246" i="1" s="1"/>
  <c r="M2406" i="1"/>
  <c r="R2406" i="1" s="1"/>
  <c r="M2446" i="1"/>
  <c r="R2446" i="1" s="1"/>
  <c r="Y2468" i="1"/>
  <c r="M2478" i="1"/>
  <c r="R2478" i="1" s="1"/>
  <c r="M2529" i="1"/>
  <c r="R2529" i="1" s="1"/>
  <c r="M2541" i="1"/>
  <c r="R2541" i="1" s="1"/>
  <c r="M2557" i="1"/>
  <c r="R2557" i="1" s="1"/>
  <c r="M2625" i="1"/>
  <c r="R2625" i="1" s="1"/>
  <c r="M2645" i="1"/>
  <c r="R2645" i="1" s="1"/>
  <c r="M2677" i="1"/>
  <c r="R2677" i="1" s="1"/>
  <c r="M2717" i="1"/>
  <c r="R2717" i="1" s="1"/>
  <c r="Y2974" i="1"/>
  <c r="AC294" i="1"/>
  <c r="AC298" i="1"/>
  <c r="AC302" i="1"/>
  <c r="AC306" i="1"/>
  <c r="AC310" i="1"/>
  <c r="AC314" i="1"/>
  <c r="AC318" i="1"/>
  <c r="AC322" i="1"/>
  <c r="AC326" i="1"/>
  <c r="AC330" i="1"/>
  <c r="AC334" i="1"/>
  <c r="AC342" i="1"/>
  <c r="AC346" i="1"/>
  <c r="AC350" i="1"/>
  <c r="AC358" i="1"/>
  <c r="AC361" i="1"/>
  <c r="AC369" i="1"/>
  <c r="AC377" i="1"/>
  <c r="AC381" i="1"/>
  <c r="AC385" i="1"/>
  <c r="AC393" i="1"/>
  <c r="AC401" i="1"/>
  <c r="AC559" i="1"/>
  <c r="AC575" i="1"/>
  <c r="AC591" i="1"/>
  <c r="AC623" i="1"/>
  <c r="AC639" i="1"/>
  <c r="AC651" i="1"/>
  <c r="AC655" i="1"/>
  <c r="AC659" i="1"/>
  <c r="AC663" i="1"/>
  <c r="AC667" i="1"/>
  <c r="AC675" i="1"/>
  <c r="AC679" i="1"/>
  <c r="AC683" i="1"/>
  <c r="AC687" i="1"/>
  <c r="AC691" i="1"/>
  <c r="M738" i="1"/>
  <c r="R738" i="1" s="1"/>
  <c r="AC2711" i="1"/>
  <c r="AC2731" i="1"/>
  <c r="AC2739" i="1"/>
  <c r="AC2755" i="1"/>
  <c r="AC2763" i="1"/>
  <c r="AC2771" i="1"/>
  <c r="AC2779" i="1"/>
  <c r="AC204" i="1"/>
  <c r="AC208" i="1"/>
  <c r="AC216" i="1"/>
  <c r="AC224" i="1"/>
  <c r="AC232" i="1"/>
  <c r="AC240" i="1"/>
  <c r="AC248" i="1"/>
  <c r="AC256" i="1"/>
  <c r="AC264" i="1"/>
  <c r="AC272" i="1"/>
  <c r="AC280" i="1"/>
  <c r="AC288" i="1"/>
  <c r="AC537" i="1"/>
  <c r="AC553" i="1"/>
  <c r="AC569" i="1"/>
  <c r="AC585" i="1"/>
  <c r="AC601" i="1"/>
  <c r="AC609" i="1"/>
  <c r="AC617" i="1"/>
  <c r="AC625" i="1"/>
  <c r="AC633" i="1"/>
  <c r="AC641" i="1"/>
  <c r="AC649" i="1"/>
  <c r="AC703" i="1"/>
  <c r="AC707" i="1"/>
  <c r="AC711" i="1"/>
  <c r="AC715" i="1"/>
  <c r="AC719" i="1"/>
  <c r="AC723" i="1"/>
  <c r="AC731" i="1"/>
  <c r="AC1107" i="1"/>
  <c r="AC1115" i="1"/>
  <c r="AC1123" i="1"/>
  <c r="AC1131" i="1"/>
  <c r="AC1139" i="1"/>
  <c r="AC1147" i="1"/>
  <c r="AC1155" i="1"/>
  <c r="AC1159" i="1"/>
  <c r="AC1163" i="1"/>
  <c r="AC1385" i="1"/>
  <c r="AC1389" i="1"/>
  <c r="AC1393" i="1"/>
  <c r="AC1397" i="1"/>
  <c r="AC1405" i="1"/>
  <c r="AC1409" i="1"/>
  <c r="AC1413" i="1"/>
  <c r="AC1417" i="1"/>
  <c r="AC1425" i="1"/>
  <c r="AC1433" i="1"/>
  <c r="AC1441" i="1"/>
  <c r="AC1449" i="1"/>
  <c r="AC1457" i="1"/>
  <c r="AC1465" i="1"/>
  <c r="AC1473" i="1"/>
  <c r="AC1481" i="1"/>
  <c r="AC2701" i="1"/>
  <c r="AC2737" i="1"/>
  <c r="AC2745" i="1"/>
  <c r="AC2749" i="1"/>
  <c r="AC2753" i="1"/>
  <c r="AC2761" i="1"/>
  <c r="AC2769" i="1"/>
  <c r="AC2773" i="1"/>
  <c r="AC2777" i="1"/>
  <c r="AC2781" i="1"/>
  <c r="AC2840" i="1"/>
  <c r="AC2558" i="1"/>
  <c r="AC2566" i="1"/>
  <c r="AC2574" i="1"/>
  <c r="AC2582" i="1"/>
  <c r="AC2590" i="1"/>
  <c r="AC2610" i="1"/>
  <c r="AC2626" i="1"/>
  <c r="M2636" i="1"/>
  <c r="R2636" i="1" s="1"/>
  <c r="AC2646" i="1"/>
  <c r="AC2674" i="1"/>
  <c r="AC2961" i="1"/>
  <c r="AC2969" i="1"/>
  <c r="AC2977" i="1"/>
  <c r="AG2673" i="1"/>
  <c r="AG2807" i="1"/>
  <c r="M204" i="1"/>
  <c r="R204" i="1" s="1"/>
  <c r="Y296" i="1"/>
  <c r="AE296" i="1" s="1"/>
  <c r="M41" i="1"/>
  <c r="R41" i="1" s="1"/>
  <c r="Y43" i="1"/>
  <c r="M57" i="1"/>
  <c r="R57" i="1" s="1"/>
  <c r="M101" i="1"/>
  <c r="R101" i="1" s="1"/>
  <c r="M133" i="1"/>
  <c r="R133" i="1" s="1"/>
  <c r="M136" i="1"/>
  <c r="R136" i="1" s="1"/>
  <c r="M145" i="1"/>
  <c r="R145" i="1" s="1"/>
  <c r="M172" i="1"/>
  <c r="R172" i="1" s="1"/>
  <c r="M181" i="1"/>
  <c r="R181" i="1" s="1"/>
  <c r="AD201" i="1"/>
  <c r="M279" i="1"/>
  <c r="R279" i="1" s="1"/>
  <c r="M240" i="1"/>
  <c r="R240" i="1" s="1"/>
  <c r="M242" i="1"/>
  <c r="R242" i="1" s="1"/>
  <c r="M245" i="1"/>
  <c r="R245" i="1" s="1"/>
  <c r="M251" i="1"/>
  <c r="R251" i="1" s="1"/>
  <c r="M264" i="1"/>
  <c r="R264" i="1" s="1"/>
  <c r="M325" i="1"/>
  <c r="R325" i="1" s="1"/>
  <c r="M21" i="1"/>
  <c r="R21" i="1" s="1"/>
  <c r="Y151" i="1"/>
  <c r="M425" i="1"/>
  <c r="R425" i="1" s="1"/>
  <c r="M489" i="1"/>
  <c r="R489" i="1" s="1"/>
  <c r="M491" i="1"/>
  <c r="R491" i="1" s="1"/>
  <c r="Y566" i="1"/>
  <c r="M568" i="1"/>
  <c r="R568" i="1" s="1"/>
  <c r="M715" i="1"/>
  <c r="R715" i="1" s="1"/>
  <c r="Y722" i="1"/>
  <c r="AD722" i="1" s="1"/>
  <c r="M743" i="1"/>
  <c r="R743" i="1" s="1"/>
  <c r="Y748" i="1"/>
  <c r="M750" i="1"/>
  <c r="R750" i="1" s="1"/>
  <c r="M767" i="1"/>
  <c r="R767" i="1" s="1"/>
  <c r="M804" i="1"/>
  <c r="R804" i="1" s="1"/>
  <c r="Y820" i="1"/>
  <c r="M822" i="1"/>
  <c r="R822" i="1" s="1"/>
  <c r="M839" i="1"/>
  <c r="R839" i="1" s="1"/>
  <c r="M866" i="1"/>
  <c r="R866" i="1" s="1"/>
  <c r="Y393" i="1"/>
  <c r="M397" i="1"/>
  <c r="R397" i="1" s="1"/>
  <c r="M401" i="1"/>
  <c r="R401" i="1" s="1"/>
  <c r="M419" i="1"/>
  <c r="R419" i="1" s="1"/>
  <c r="M441" i="1"/>
  <c r="R441" i="1" s="1"/>
  <c r="M521" i="1"/>
  <c r="R521" i="1" s="1"/>
  <c r="M556" i="1"/>
  <c r="R556" i="1" s="1"/>
  <c r="M636" i="1"/>
  <c r="R636" i="1" s="1"/>
  <c r="M1020" i="1"/>
  <c r="R1020" i="1" s="1"/>
  <c r="M1079" i="1"/>
  <c r="R1079" i="1" s="1"/>
  <c r="M1082" i="1"/>
  <c r="R1082" i="1" s="1"/>
  <c r="M1088" i="1"/>
  <c r="R1088" i="1" s="1"/>
  <c r="M411" i="1"/>
  <c r="R411" i="1" s="1"/>
  <c r="M435" i="1"/>
  <c r="R435" i="1" s="1"/>
  <c r="M515" i="1"/>
  <c r="R515" i="1" s="1"/>
  <c r="M519" i="1"/>
  <c r="R519" i="1" s="1"/>
  <c r="M529" i="1"/>
  <c r="R529" i="1" s="1"/>
  <c r="M532" i="1"/>
  <c r="R532" i="1" s="1"/>
  <c r="M544" i="1"/>
  <c r="R544" i="1" s="1"/>
  <c r="M550" i="1"/>
  <c r="R550" i="1" s="1"/>
  <c r="M617" i="1"/>
  <c r="R617" i="1" s="1"/>
  <c r="M622" i="1"/>
  <c r="R622" i="1" s="1"/>
  <c r="M624" i="1"/>
  <c r="R624" i="1" s="1"/>
  <c r="M627" i="1"/>
  <c r="R627" i="1" s="1"/>
  <c r="M658" i="1"/>
  <c r="R658" i="1" s="1"/>
  <c r="M666" i="1"/>
  <c r="R666" i="1" s="1"/>
  <c r="M675" i="1"/>
  <c r="R675" i="1" s="1"/>
  <c r="M678" i="1"/>
  <c r="R678" i="1" s="1"/>
  <c r="M687" i="1"/>
  <c r="R687" i="1" s="1"/>
  <c r="M719" i="1"/>
  <c r="R719" i="1" s="1"/>
  <c r="M722" i="1"/>
  <c r="R722" i="1" s="1"/>
  <c r="M728" i="1"/>
  <c r="R728" i="1" s="1"/>
  <c r="M732" i="1"/>
  <c r="R732" i="1" s="1"/>
  <c r="M748" i="1"/>
  <c r="R748" i="1" s="1"/>
  <c r="M779" i="1"/>
  <c r="R779" i="1" s="1"/>
  <c r="M791" i="1"/>
  <c r="R791" i="1" s="1"/>
  <c r="M827" i="1"/>
  <c r="R827" i="1" s="1"/>
  <c r="M844" i="1"/>
  <c r="R844" i="1" s="1"/>
  <c r="M851" i="1"/>
  <c r="R851" i="1" s="1"/>
  <c r="M914" i="1"/>
  <c r="R914" i="1" s="1"/>
  <c r="M1078" i="1"/>
  <c r="R1078" i="1" s="1"/>
  <c r="M1258" i="1"/>
  <c r="R1258" i="1" s="1"/>
  <c r="M1446" i="1"/>
  <c r="R1446" i="1" s="1"/>
  <c r="M1460" i="1"/>
  <c r="R1460" i="1" s="1"/>
  <c r="M1484" i="1"/>
  <c r="R1484" i="1" s="1"/>
  <c r="M1688" i="1"/>
  <c r="R1688" i="1" s="1"/>
  <c r="M1694" i="1"/>
  <c r="R1694" i="1" s="1"/>
  <c r="M1094" i="1"/>
  <c r="R1094" i="1" s="1"/>
  <c r="M1112" i="1"/>
  <c r="R1112" i="1" s="1"/>
  <c r="M1118" i="1"/>
  <c r="R1118" i="1" s="1"/>
  <c r="M1132" i="1"/>
  <c r="R1132" i="1" s="1"/>
  <c r="M1136" i="1"/>
  <c r="R1136" i="1" s="1"/>
  <c r="M1166" i="1"/>
  <c r="R1166" i="1" s="1"/>
  <c r="M1184" i="1"/>
  <c r="R1184" i="1" s="1"/>
  <c r="M1187" i="1"/>
  <c r="R1187" i="1" s="1"/>
  <c r="M1196" i="1"/>
  <c r="R1196" i="1" s="1"/>
  <c r="M1199" i="1"/>
  <c r="R1199" i="1" s="1"/>
  <c r="M1218" i="1"/>
  <c r="R1218" i="1" s="1"/>
  <c r="M1228" i="1"/>
  <c r="R1228" i="1" s="1"/>
  <c r="M1324" i="1"/>
  <c r="R1324" i="1" s="1"/>
  <c r="M1364" i="1"/>
  <c r="R1364" i="1" s="1"/>
  <c r="M1375" i="1"/>
  <c r="R1375" i="1" s="1"/>
  <c r="M1412" i="1"/>
  <c r="R1412" i="1" s="1"/>
  <c r="M1417" i="1"/>
  <c r="R1417" i="1" s="1"/>
  <c r="M1420" i="1"/>
  <c r="R1420" i="1" s="1"/>
  <c r="M1444" i="1"/>
  <c r="R1444" i="1" s="1"/>
  <c r="M1452" i="1"/>
  <c r="R1452" i="1" s="1"/>
  <c r="M1455" i="1"/>
  <c r="R1455" i="1" s="1"/>
  <c r="M1415" i="1"/>
  <c r="R1415" i="1" s="1"/>
  <c r="Y1506" i="1"/>
  <c r="M1512" i="1"/>
  <c r="R1512" i="1" s="1"/>
  <c r="M1620" i="1"/>
  <c r="R1620" i="1" s="1"/>
  <c r="M1627" i="1"/>
  <c r="R1627" i="1" s="1"/>
  <c r="M1630" i="1"/>
  <c r="R1630" i="1" s="1"/>
  <c r="M1635" i="1"/>
  <c r="R1635" i="1" s="1"/>
  <c r="M1638" i="1"/>
  <c r="R1638" i="1" s="1"/>
  <c r="M1644" i="1"/>
  <c r="R1644" i="1" s="1"/>
  <c r="M1710" i="1"/>
  <c r="R1710" i="1" s="1"/>
  <c r="Y1900" i="1"/>
  <c r="M2122" i="1"/>
  <c r="R2122" i="1" s="1"/>
  <c r="Y2206" i="1"/>
  <c r="Y2350" i="1"/>
  <c r="M2364" i="1"/>
  <c r="R2364" i="1" s="1"/>
  <c r="M2367" i="1"/>
  <c r="R2367" i="1" s="1"/>
  <c r="M2371" i="1"/>
  <c r="R2371" i="1" s="1"/>
  <c r="M2382" i="1"/>
  <c r="R2382" i="1" s="1"/>
  <c r="Y1860" i="1"/>
  <c r="AF1860" i="1" s="1"/>
  <c r="Y1960" i="1"/>
  <c r="M2019" i="1"/>
  <c r="R2019" i="1" s="1"/>
  <c r="M2231" i="1"/>
  <c r="R2231" i="1" s="1"/>
  <c r="M2236" i="1"/>
  <c r="R2236" i="1" s="1"/>
  <c r="M2254" i="1"/>
  <c r="R2254" i="1" s="1"/>
  <c r="Y2270" i="1"/>
  <c r="AF2270" i="1" s="1"/>
  <c r="M2276" i="1"/>
  <c r="R2276" i="1" s="1"/>
  <c r="M2328" i="1"/>
  <c r="R2328" i="1" s="1"/>
  <c r="M2356" i="1"/>
  <c r="R2356" i="1" s="1"/>
  <c r="M2390" i="1"/>
  <c r="R2390" i="1" s="1"/>
  <c r="M2393" i="1"/>
  <c r="R2393" i="1" s="1"/>
  <c r="M1978" i="1"/>
  <c r="R1978" i="1" s="1"/>
  <c r="M1990" i="1"/>
  <c r="R1990" i="1" s="1"/>
  <c r="M2002" i="1"/>
  <c r="R2002" i="1" s="1"/>
  <c r="M2014" i="1"/>
  <c r="R2014" i="1" s="1"/>
  <c r="Y1780" i="1"/>
  <c r="AF1780" i="1" s="1"/>
  <c r="Y2254" i="1"/>
  <c r="AF2254" i="1" s="1"/>
  <c r="Y2362" i="1"/>
  <c r="M2696" i="1"/>
  <c r="R2696" i="1" s="1"/>
  <c r="M2738" i="1"/>
  <c r="R2738" i="1" s="1"/>
  <c r="Y2742" i="1"/>
  <c r="M2752" i="1"/>
  <c r="R2752" i="1" s="1"/>
  <c r="M2828" i="1"/>
  <c r="R2828" i="1" s="1"/>
  <c r="M2854" i="1"/>
  <c r="R2854" i="1" s="1"/>
  <c r="M2858" i="1"/>
  <c r="R2858" i="1" s="1"/>
  <c r="Y2866" i="1"/>
  <c r="M2880" i="1"/>
  <c r="R2880" i="1" s="1"/>
  <c r="M2905" i="1"/>
  <c r="R2905" i="1" s="1"/>
  <c r="Y2914" i="1"/>
  <c r="M2920" i="1"/>
  <c r="R2920" i="1" s="1"/>
  <c r="M2929" i="1"/>
  <c r="R2929" i="1" s="1"/>
  <c r="M2396" i="1"/>
  <c r="R2396" i="1" s="1"/>
  <c r="M2400" i="1"/>
  <c r="R2400" i="1" s="1"/>
  <c r="M2421" i="1"/>
  <c r="R2421" i="1" s="1"/>
  <c r="M2424" i="1"/>
  <c r="R2424" i="1" s="1"/>
  <c r="M2437" i="1"/>
  <c r="R2437" i="1" s="1"/>
  <c r="M2441" i="1"/>
  <c r="R2441" i="1" s="1"/>
  <c r="M2488" i="1"/>
  <c r="R2488" i="1" s="1"/>
  <c r="M2493" i="1"/>
  <c r="R2493" i="1" s="1"/>
  <c r="M2512" i="1"/>
  <c r="R2512" i="1" s="1"/>
  <c r="M2516" i="1"/>
  <c r="R2516" i="1" s="1"/>
  <c r="M2520" i="1"/>
  <c r="R2520" i="1" s="1"/>
  <c r="M2524" i="1"/>
  <c r="R2524" i="1" s="1"/>
  <c r="M2539" i="1"/>
  <c r="R2539" i="1" s="1"/>
  <c r="M2549" i="1"/>
  <c r="R2549" i="1" s="1"/>
  <c r="M2574" i="1"/>
  <c r="R2574" i="1" s="1"/>
  <c r="M2630" i="1"/>
  <c r="R2630" i="1" s="1"/>
  <c r="M2634" i="1"/>
  <c r="R2634" i="1" s="1"/>
  <c r="M2658" i="1"/>
  <c r="R2658" i="1" s="1"/>
  <c r="M2666" i="1"/>
  <c r="R2666" i="1" s="1"/>
  <c r="M2700" i="1"/>
  <c r="R2700" i="1" s="1"/>
  <c r="M2711" i="1"/>
  <c r="R2711" i="1" s="1"/>
  <c r="M2714" i="1"/>
  <c r="R2714" i="1" s="1"/>
  <c r="M2727" i="1"/>
  <c r="R2727" i="1" s="1"/>
  <c r="M2741" i="1"/>
  <c r="R2741" i="1" s="1"/>
  <c r="M2758" i="1"/>
  <c r="R2758" i="1" s="1"/>
  <c r="M2762" i="1"/>
  <c r="R2762" i="1" s="1"/>
  <c r="M2715" i="1"/>
  <c r="R2715" i="1" s="1"/>
  <c r="M2725" i="1"/>
  <c r="R2725" i="1" s="1"/>
  <c r="M2776" i="1"/>
  <c r="R2776" i="1" s="1"/>
  <c r="M2891" i="1"/>
  <c r="R2891" i="1" s="1"/>
  <c r="M2914" i="1"/>
  <c r="R2914" i="1" s="1"/>
  <c r="M2924" i="1"/>
  <c r="R2924" i="1" s="1"/>
  <c r="Y2620" i="1"/>
  <c r="Y169" i="1"/>
  <c r="AG169" i="1" s="1"/>
  <c r="Y199" i="1"/>
  <c r="AE199" i="1" s="1"/>
  <c r="M485" i="1"/>
  <c r="R485" i="1" s="1"/>
  <c r="Y527" i="1"/>
  <c r="Y612" i="1"/>
  <c r="AE612" i="1" s="1"/>
  <c r="Y746" i="1"/>
  <c r="AD746" i="1" s="1"/>
  <c r="Y792" i="1"/>
  <c r="Y828" i="1"/>
  <c r="Y916" i="1"/>
  <c r="Y1060" i="1"/>
  <c r="Y1064" i="1"/>
  <c r="Y1176" i="1"/>
  <c r="Y1216" i="1"/>
  <c r="Y1354" i="1"/>
  <c r="Y1422" i="1"/>
  <c r="Y11" i="1"/>
  <c r="Y103" i="1"/>
  <c r="Y131" i="1"/>
  <c r="AE131" i="1" s="1"/>
  <c r="Y335" i="1"/>
  <c r="M43" i="1"/>
  <c r="R43" i="1" s="1"/>
  <c r="M59" i="1"/>
  <c r="R59" i="1" s="1"/>
  <c r="Y83" i="1"/>
  <c r="M151" i="1"/>
  <c r="R151" i="1" s="1"/>
  <c r="Y191" i="1"/>
  <c r="M290" i="1"/>
  <c r="R290" i="1" s="1"/>
  <c r="M293" i="1"/>
  <c r="R293" i="1" s="1"/>
  <c r="M296" i="1"/>
  <c r="R296" i="1" s="1"/>
  <c r="M329" i="1"/>
  <c r="R329" i="1" s="1"/>
  <c r="M337" i="1"/>
  <c r="R337" i="1" s="1"/>
  <c r="M348" i="1"/>
  <c r="R348" i="1" s="1"/>
  <c r="M356" i="1"/>
  <c r="R356" i="1" s="1"/>
  <c r="M359" i="1"/>
  <c r="R359" i="1" s="1"/>
  <c r="M365" i="1"/>
  <c r="R365" i="1" s="1"/>
  <c r="M382" i="1"/>
  <c r="R382" i="1" s="1"/>
  <c r="M385" i="1"/>
  <c r="R385" i="1" s="1"/>
  <c r="M388" i="1"/>
  <c r="R388" i="1" s="1"/>
  <c r="M393" i="1"/>
  <c r="R393" i="1" s="1"/>
  <c r="M409" i="1"/>
  <c r="R409" i="1" s="1"/>
  <c r="M475" i="1"/>
  <c r="R475" i="1" s="1"/>
  <c r="M505" i="1"/>
  <c r="R505" i="1" s="1"/>
  <c r="Y507" i="1"/>
  <c r="M593" i="1"/>
  <c r="R593" i="1" s="1"/>
  <c r="M601" i="1"/>
  <c r="R601" i="1" s="1"/>
  <c r="Y720" i="1"/>
  <c r="Y790" i="1"/>
  <c r="M883" i="1"/>
  <c r="R883" i="1" s="1"/>
  <c r="Y900" i="1"/>
  <c r="M902" i="1"/>
  <c r="R902" i="1" s="1"/>
  <c r="M915" i="1"/>
  <c r="R915" i="1" s="1"/>
  <c r="M966" i="1"/>
  <c r="R966" i="1" s="1"/>
  <c r="M968" i="1"/>
  <c r="R968" i="1" s="1"/>
  <c r="Y996" i="1"/>
  <c r="M998" i="1"/>
  <c r="R998" i="1" s="1"/>
  <c r="Y1020" i="1"/>
  <c r="M1022" i="1"/>
  <c r="R1022" i="1" s="1"/>
  <c r="M1036" i="1"/>
  <c r="R1036" i="1" s="1"/>
  <c r="M1054" i="1"/>
  <c r="R1054" i="1" s="1"/>
  <c r="M1059" i="1"/>
  <c r="R1059" i="1" s="1"/>
  <c r="M1083" i="1"/>
  <c r="R1083" i="1" s="1"/>
  <c r="Y1088" i="1"/>
  <c r="M1090" i="1"/>
  <c r="R1090" i="1" s="1"/>
  <c r="M1098" i="1"/>
  <c r="R1098" i="1" s="1"/>
  <c r="M1104" i="1"/>
  <c r="R1104" i="1" s="1"/>
  <c r="M1110" i="1"/>
  <c r="R1110" i="1" s="1"/>
  <c r="M1114" i="1"/>
  <c r="R1114" i="1" s="1"/>
  <c r="M1123" i="1"/>
  <c r="R1123" i="1" s="1"/>
  <c r="Y1136" i="1"/>
  <c r="M1138" i="1"/>
  <c r="R1138" i="1" s="1"/>
  <c r="M1154" i="1"/>
  <c r="R1154" i="1" s="1"/>
  <c r="M1159" i="1"/>
  <c r="R1159" i="1" s="1"/>
  <c r="M1162" i="1"/>
  <c r="R1162" i="1" s="1"/>
  <c r="M1167" i="1"/>
  <c r="R1167" i="1" s="1"/>
  <c r="M1212" i="1"/>
  <c r="R1212" i="1" s="1"/>
  <c r="M1252" i="1"/>
  <c r="R1252" i="1" s="1"/>
  <c r="M1301" i="1"/>
  <c r="R1301" i="1" s="1"/>
  <c r="M1312" i="1"/>
  <c r="R1312" i="1" s="1"/>
  <c r="M1393" i="1"/>
  <c r="R1393" i="1" s="1"/>
  <c r="M1435" i="1"/>
  <c r="R1435" i="1" s="1"/>
  <c r="Y1866" i="1"/>
  <c r="M1866" i="1"/>
  <c r="R1866" i="1" s="1"/>
  <c r="M11" i="1"/>
  <c r="R11" i="1" s="1"/>
  <c r="M49" i="1"/>
  <c r="R49" i="1" s="1"/>
  <c r="M65" i="1"/>
  <c r="R65" i="1" s="1"/>
  <c r="M85" i="1"/>
  <c r="R85" i="1" s="1"/>
  <c r="M93" i="1"/>
  <c r="R93" i="1" s="1"/>
  <c r="M97" i="1"/>
  <c r="R97" i="1" s="1"/>
  <c r="M103" i="1"/>
  <c r="R103" i="1" s="1"/>
  <c r="M113" i="1"/>
  <c r="R113" i="1" s="1"/>
  <c r="M127" i="1"/>
  <c r="R127" i="1" s="1"/>
  <c r="M131" i="1"/>
  <c r="R131" i="1" s="1"/>
  <c r="M156" i="1"/>
  <c r="R156" i="1" s="1"/>
  <c r="M169" i="1"/>
  <c r="R169" i="1" s="1"/>
  <c r="M199" i="1"/>
  <c r="R199" i="1" s="1"/>
  <c r="M203" i="1"/>
  <c r="R203" i="1" s="1"/>
  <c r="M207" i="1"/>
  <c r="R207" i="1" s="1"/>
  <c r="M275" i="1"/>
  <c r="R275" i="1" s="1"/>
  <c r="M288" i="1"/>
  <c r="R288" i="1" s="1"/>
  <c r="M294" i="1"/>
  <c r="R294" i="1" s="1"/>
  <c r="M302" i="1"/>
  <c r="R302" i="1" s="1"/>
  <c r="M305" i="1"/>
  <c r="R305" i="1" s="1"/>
  <c r="M324" i="1"/>
  <c r="R324" i="1" s="1"/>
  <c r="M333" i="1"/>
  <c r="R333" i="1" s="1"/>
  <c r="M335" i="1"/>
  <c r="R335" i="1" s="1"/>
  <c r="M343" i="1"/>
  <c r="R343" i="1" s="1"/>
  <c r="M380" i="1"/>
  <c r="R380" i="1" s="1"/>
  <c r="M383" i="1"/>
  <c r="R383" i="1" s="1"/>
  <c r="M400" i="1"/>
  <c r="R400" i="1" s="1"/>
  <c r="M403" i="1"/>
  <c r="R403" i="1" s="1"/>
  <c r="M421" i="1"/>
  <c r="R421" i="1" s="1"/>
  <c r="M429" i="1"/>
  <c r="R429" i="1" s="1"/>
  <c r="M437" i="1"/>
  <c r="R437" i="1" s="1"/>
  <c r="M445" i="1"/>
  <c r="R445" i="1" s="1"/>
  <c r="M453" i="1"/>
  <c r="R453" i="1" s="1"/>
  <c r="M461" i="1"/>
  <c r="R461" i="1" s="1"/>
  <c r="Y483" i="1"/>
  <c r="M495" i="1"/>
  <c r="R495" i="1" s="1"/>
  <c r="M527" i="1"/>
  <c r="R527" i="1" s="1"/>
  <c r="M537" i="1"/>
  <c r="R537" i="1" s="1"/>
  <c r="M545" i="1"/>
  <c r="R545" i="1" s="1"/>
  <c r="M584" i="1"/>
  <c r="R584" i="1" s="1"/>
  <c r="M588" i="1"/>
  <c r="R588" i="1" s="1"/>
  <c r="M612" i="1"/>
  <c r="R612" i="1" s="1"/>
  <c r="M635" i="1"/>
  <c r="R635" i="1" s="1"/>
  <c r="M670" i="1"/>
  <c r="R670" i="1" s="1"/>
  <c r="Y716" i="1"/>
  <c r="Y724" i="1"/>
  <c r="M726" i="1"/>
  <c r="R726" i="1" s="1"/>
  <c r="M746" i="1"/>
  <c r="R746" i="1" s="1"/>
  <c r="Y768" i="1"/>
  <c r="M770" i="1"/>
  <c r="R770" i="1" s="1"/>
  <c r="M806" i="1"/>
  <c r="R806" i="1" s="1"/>
  <c r="M824" i="1"/>
  <c r="R824" i="1" s="1"/>
  <c r="M828" i="1"/>
  <c r="R828" i="1" s="1"/>
  <c r="Y840" i="1"/>
  <c r="M842" i="1"/>
  <c r="R842" i="1" s="1"/>
  <c r="M895" i="1"/>
  <c r="R895" i="1" s="1"/>
  <c r="M899" i="1"/>
  <c r="R899" i="1" s="1"/>
  <c r="M906" i="1"/>
  <c r="R906" i="1" s="1"/>
  <c r="M911" i="1"/>
  <c r="R911" i="1" s="1"/>
  <c r="M916" i="1"/>
  <c r="R916" i="1" s="1"/>
  <c r="M931" i="1"/>
  <c r="R931" i="1" s="1"/>
  <c r="M979" i="1"/>
  <c r="R979" i="1" s="1"/>
  <c r="M982" i="1"/>
  <c r="R982" i="1" s="1"/>
  <c r="M987" i="1"/>
  <c r="R987" i="1" s="1"/>
  <c r="M990" i="1"/>
  <c r="R990" i="1" s="1"/>
  <c r="M992" i="1"/>
  <c r="R992" i="1" s="1"/>
  <c r="Y1004" i="1"/>
  <c r="M1006" i="1"/>
  <c r="R1006" i="1" s="1"/>
  <c r="M1011" i="1"/>
  <c r="R1011" i="1" s="1"/>
  <c r="M1014" i="1"/>
  <c r="R1014" i="1" s="1"/>
  <c r="M1016" i="1"/>
  <c r="R1016" i="1" s="1"/>
  <c r="M1046" i="1"/>
  <c r="R1046" i="1" s="1"/>
  <c r="M1060" i="1"/>
  <c r="R1060" i="1" s="1"/>
  <c r="M1064" i="1"/>
  <c r="R1064" i="1" s="1"/>
  <c r="M1087" i="1"/>
  <c r="R1087" i="1" s="1"/>
  <c r="M1102" i="1"/>
  <c r="R1102" i="1" s="1"/>
  <c r="M1135" i="1"/>
  <c r="R1135" i="1" s="1"/>
  <c r="M1142" i="1"/>
  <c r="R1142" i="1" s="1"/>
  <c r="M1146" i="1"/>
  <c r="R1146" i="1" s="1"/>
  <c r="M1155" i="1"/>
  <c r="R1155" i="1" s="1"/>
  <c r="M1172" i="1"/>
  <c r="R1172" i="1" s="1"/>
  <c r="M1192" i="1"/>
  <c r="R1192" i="1" s="1"/>
  <c r="M1195" i="1"/>
  <c r="R1195" i="1" s="1"/>
  <c r="M1203" i="1"/>
  <c r="R1203" i="1" s="1"/>
  <c r="M1210" i="1"/>
  <c r="R1210" i="1" s="1"/>
  <c r="M1232" i="1"/>
  <c r="R1232" i="1" s="1"/>
  <c r="M1243" i="1"/>
  <c r="R1243" i="1" s="1"/>
  <c r="M1250" i="1"/>
  <c r="R1250" i="1" s="1"/>
  <c r="M1276" i="1"/>
  <c r="R1276" i="1" s="1"/>
  <c r="M1279" i="1"/>
  <c r="R1279" i="1" s="1"/>
  <c r="M1289" i="1"/>
  <c r="R1289" i="1" s="1"/>
  <c r="M1296" i="1"/>
  <c r="R1296" i="1" s="1"/>
  <c r="Y1330" i="1"/>
  <c r="M1340" i="1"/>
  <c r="R1340" i="1" s="1"/>
  <c r="M1344" i="1"/>
  <c r="R1344" i="1" s="1"/>
  <c r="M1352" i="1"/>
  <c r="R1352" i="1" s="1"/>
  <c r="M1354" i="1"/>
  <c r="R1354" i="1" s="1"/>
  <c r="M1388" i="1"/>
  <c r="R1388" i="1" s="1"/>
  <c r="M1422" i="1"/>
  <c r="R1422" i="1" s="1"/>
  <c r="M1428" i="1"/>
  <c r="R1428" i="1" s="1"/>
  <c r="M1431" i="1"/>
  <c r="R1431" i="1" s="1"/>
  <c r="M1436" i="1"/>
  <c r="R1436" i="1" s="1"/>
  <c r="M1462" i="1"/>
  <c r="R1462" i="1" s="1"/>
  <c r="M1506" i="1"/>
  <c r="R1506" i="1" s="1"/>
  <c r="M1526" i="1"/>
  <c r="R1526" i="1" s="1"/>
  <c r="M1533" i="1"/>
  <c r="R1533" i="1" s="1"/>
  <c r="M1540" i="1"/>
  <c r="R1540" i="1" s="1"/>
  <c r="M1567" i="1"/>
  <c r="R1567" i="1" s="1"/>
  <c r="M1578" i="1"/>
  <c r="R1578" i="1" s="1"/>
  <c r="M1588" i="1"/>
  <c r="R1588" i="1" s="1"/>
  <c r="M1592" i="1"/>
  <c r="R1592" i="1" s="1"/>
  <c r="Y1716" i="1"/>
  <c r="Y1744" i="1"/>
  <c r="M1746" i="1"/>
  <c r="R1746" i="1" s="1"/>
  <c r="M1773" i="1"/>
  <c r="R1773" i="1" s="1"/>
  <c r="M1776" i="1"/>
  <c r="R1776" i="1" s="1"/>
  <c r="Y1784" i="1"/>
  <c r="M1792" i="1"/>
  <c r="R1792" i="1" s="1"/>
  <c r="Y1800" i="1"/>
  <c r="M1812" i="1"/>
  <c r="R1812" i="1" s="1"/>
  <c r="M1828" i="1"/>
  <c r="R1828" i="1" s="1"/>
  <c r="Y1944" i="1"/>
  <c r="AF1944" i="1" s="1"/>
  <c r="M2026" i="1"/>
  <c r="R2026" i="1" s="1"/>
  <c r="M2041" i="1"/>
  <c r="R2041" i="1" s="1"/>
  <c r="Y2064" i="1"/>
  <c r="Y2148" i="1"/>
  <c r="Y2174" i="1"/>
  <c r="Y2222" i="1"/>
  <c r="Y2262" i="1"/>
  <c r="Y2288" i="1"/>
  <c r="AG2288" i="1" s="1"/>
  <c r="Y2332" i="1"/>
  <c r="M2362" i="1"/>
  <c r="R2362" i="1" s="1"/>
  <c r="Y2385" i="1"/>
  <c r="Y2453" i="1"/>
  <c r="AD2453" i="1" s="1"/>
  <c r="M2468" i="1"/>
  <c r="R2468" i="1" s="1"/>
  <c r="Y2496" i="1"/>
  <c r="M2501" i="1"/>
  <c r="R2501" i="1" s="1"/>
  <c r="Y2521" i="1"/>
  <c r="AD2521" i="1" s="1"/>
  <c r="M2523" i="1"/>
  <c r="R2523" i="1" s="1"/>
  <c r="M2533" i="1"/>
  <c r="R2533" i="1" s="1"/>
  <c r="Y2555" i="1"/>
  <c r="Y2580" i="1"/>
  <c r="M2603" i="1"/>
  <c r="R2603" i="1" s="1"/>
  <c r="M2609" i="1"/>
  <c r="R2609" i="1" s="1"/>
  <c r="Y2633" i="1"/>
  <c r="Y2672" i="1"/>
  <c r="Y2740" i="1"/>
  <c r="M2796" i="1"/>
  <c r="R2796" i="1" s="1"/>
  <c r="Y2798" i="1"/>
  <c r="AD2798" i="1" s="1"/>
  <c r="Y2838" i="1"/>
  <c r="M2865" i="1"/>
  <c r="R2865" i="1" s="1"/>
  <c r="M2887" i="1"/>
  <c r="R2887" i="1" s="1"/>
  <c r="M2890" i="1"/>
  <c r="R2890" i="1" s="1"/>
  <c r="M2936" i="1"/>
  <c r="R2936" i="1" s="1"/>
  <c r="M1485" i="1"/>
  <c r="R1485" i="1" s="1"/>
  <c r="M1488" i="1"/>
  <c r="R1488" i="1" s="1"/>
  <c r="M1494" i="1"/>
  <c r="R1494" i="1" s="1"/>
  <c r="M1524" i="1"/>
  <c r="R1524" i="1" s="1"/>
  <c r="M1586" i="1"/>
  <c r="R1586" i="1" s="1"/>
  <c r="M1598" i="1"/>
  <c r="R1598" i="1" s="1"/>
  <c r="M1608" i="1"/>
  <c r="R1608" i="1" s="1"/>
  <c r="M1618" i="1"/>
  <c r="R1618" i="1" s="1"/>
  <c r="Y1654" i="1"/>
  <c r="M1656" i="1"/>
  <c r="R1656" i="1" s="1"/>
  <c r="M1662" i="1"/>
  <c r="R1662" i="1" s="1"/>
  <c r="M1682" i="1"/>
  <c r="R1682" i="1" s="1"/>
  <c r="M1726" i="1"/>
  <c r="R1726" i="1" s="1"/>
  <c r="M1733" i="1"/>
  <c r="R1733" i="1" s="1"/>
  <c r="M1757" i="1"/>
  <c r="R1757" i="1" s="1"/>
  <c r="M1760" i="1"/>
  <c r="R1760" i="1" s="1"/>
  <c r="M1770" i="1"/>
  <c r="R1770" i="1" s="1"/>
  <c r="M1780" i="1"/>
  <c r="R1780" i="1" s="1"/>
  <c r="M1845" i="1"/>
  <c r="R1845" i="1" s="1"/>
  <c r="M1874" i="1"/>
  <c r="R1874" i="1" s="1"/>
  <c r="Y1884" i="1"/>
  <c r="M1892" i="1"/>
  <c r="R1892" i="1" s="1"/>
  <c r="M1909" i="1"/>
  <c r="R1909" i="1" s="1"/>
  <c r="M1912" i="1"/>
  <c r="R1912" i="1" s="1"/>
  <c r="M1918" i="1"/>
  <c r="R1918" i="1" s="1"/>
  <c r="Y1936" i="1"/>
  <c r="M1949" i="1"/>
  <c r="R1949" i="1" s="1"/>
  <c r="M1952" i="1"/>
  <c r="R1952" i="1" s="1"/>
  <c r="M1961" i="1"/>
  <c r="R1961" i="1" s="1"/>
  <c r="M1964" i="1"/>
  <c r="R1964" i="1" s="1"/>
  <c r="M1988" i="1"/>
  <c r="R1988" i="1" s="1"/>
  <c r="Y2002" i="1"/>
  <c r="AF2002" i="1" s="1"/>
  <c r="M2012" i="1"/>
  <c r="R2012" i="1" s="1"/>
  <c r="M2018" i="1"/>
  <c r="R2018" i="1" s="1"/>
  <c r="M2036" i="1"/>
  <c r="R2036" i="1" s="1"/>
  <c r="M2058" i="1"/>
  <c r="R2058" i="1" s="1"/>
  <c r="M2066" i="1"/>
  <c r="R2066" i="1" s="1"/>
  <c r="Y2096" i="1"/>
  <c r="M2105" i="1"/>
  <c r="R2105" i="1" s="1"/>
  <c r="M2125" i="1"/>
  <c r="R2125" i="1" s="1"/>
  <c r="M2129" i="1"/>
  <c r="R2129" i="1" s="1"/>
  <c r="M2132" i="1"/>
  <c r="R2132" i="1" s="1"/>
  <c r="M2150" i="1"/>
  <c r="R2150" i="1" s="1"/>
  <c r="M2173" i="1"/>
  <c r="R2173" i="1" s="1"/>
  <c r="M2176" i="1"/>
  <c r="R2176" i="1" s="1"/>
  <c r="M2192" i="1"/>
  <c r="R2192" i="1" s="1"/>
  <c r="M2196" i="1"/>
  <c r="R2196" i="1" s="1"/>
  <c r="M2199" i="1"/>
  <c r="R2199" i="1" s="1"/>
  <c r="Y2214" i="1"/>
  <c r="AF2214" i="1" s="1"/>
  <c r="M2344" i="1"/>
  <c r="R2344" i="1" s="1"/>
  <c r="M2350" i="1"/>
  <c r="R2350" i="1" s="1"/>
  <c r="M2387" i="1"/>
  <c r="R2387" i="1" s="1"/>
  <c r="M2444" i="1"/>
  <c r="R2444" i="1" s="1"/>
  <c r="M2551" i="1"/>
  <c r="R2551" i="1" s="1"/>
  <c r="Y2553" i="1"/>
  <c r="M2572" i="1"/>
  <c r="R2572" i="1" s="1"/>
  <c r="M2579" i="1"/>
  <c r="R2579" i="1" s="1"/>
  <c r="M2688" i="1"/>
  <c r="R2688" i="1" s="1"/>
  <c r="Y2696" i="1"/>
  <c r="Y2726" i="1"/>
  <c r="M2745" i="1"/>
  <c r="R2745" i="1" s="1"/>
  <c r="Y2774" i="1"/>
  <c r="M2830" i="1"/>
  <c r="R2830" i="1" s="1"/>
  <c r="M1514" i="1"/>
  <c r="R1514" i="1" s="1"/>
  <c r="M1556" i="1"/>
  <c r="R1556" i="1" s="1"/>
  <c r="M1568" i="1"/>
  <c r="R1568" i="1" s="1"/>
  <c r="M1572" i="1"/>
  <c r="R1572" i="1" s="1"/>
  <c r="M1653" i="1"/>
  <c r="R1653" i="1" s="1"/>
  <c r="M1690" i="1"/>
  <c r="R1690" i="1" s="1"/>
  <c r="M1698" i="1"/>
  <c r="R1698" i="1" s="1"/>
  <c r="M1716" i="1"/>
  <c r="R1716" i="1" s="1"/>
  <c r="M1730" i="1"/>
  <c r="R1730" i="1" s="1"/>
  <c r="M1741" i="1"/>
  <c r="R1741" i="1" s="1"/>
  <c r="M1744" i="1"/>
  <c r="R1744" i="1" s="1"/>
  <c r="M1754" i="1"/>
  <c r="R1754" i="1" s="1"/>
  <c r="M1765" i="1"/>
  <c r="R1765" i="1" s="1"/>
  <c r="M1768" i="1"/>
  <c r="R1768" i="1" s="1"/>
  <c r="M1784" i="1"/>
  <c r="R1784" i="1" s="1"/>
  <c r="M1788" i="1"/>
  <c r="R1788" i="1" s="1"/>
  <c r="M1800" i="1"/>
  <c r="R1800" i="1" s="1"/>
  <c r="M1820" i="1"/>
  <c r="R1820" i="1" s="1"/>
  <c r="M1836" i="1"/>
  <c r="R1836" i="1" s="1"/>
  <c r="M1842" i="1"/>
  <c r="R1842" i="1" s="1"/>
  <c r="M1853" i="1"/>
  <c r="R1853" i="1" s="1"/>
  <c r="M1904" i="1"/>
  <c r="R1904" i="1" s="1"/>
  <c r="M1941" i="1"/>
  <c r="R1941" i="1" s="1"/>
  <c r="M1944" i="1"/>
  <c r="R1944" i="1" s="1"/>
  <c r="M1953" i="1"/>
  <c r="R1953" i="1" s="1"/>
  <c r="M1980" i="1"/>
  <c r="R1980" i="1" s="1"/>
  <c r="M1999" i="1"/>
  <c r="R1999" i="1" s="1"/>
  <c r="M2007" i="1"/>
  <c r="R2007" i="1" s="1"/>
  <c r="M2053" i="1"/>
  <c r="R2053" i="1" s="1"/>
  <c r="M2061" i="1"/>
  <c r="R2061" i="1" s="1"/>
  <c r="M2064" i="1"/>
  <c r="R2064" i="1" s="1"/>
  <c r="M2085" i="1"/>
  <c r="R2085" i="1" s="1"/>
  <c r="M2090" i="1"/>
  <c r="R2090" i="1" s="1"/>
  <c r="M2098" i="1"/>
  <c r="R2098" i="1" s="1"/>
  <c r="M2117" i="1"/>
  <c r="R2117" i="1" s="1"/>
  <c r="M2121" i="1"/>
  <c r="R2121" i="1" s="1"/>
  <c r="M2124" i="1"/>
  <c r="R2124" i="1" s="1"/>
  <c r="M2126" i="1"/>
  <c r="R2126" i="1" s="1"/>
  <c r="M2141" i="1"/>
  <c r="R2141" i="1" s="1"/>
  <c r="M2145" i="1"/>
  <c r="R2145" i="1" s="1"/>
  <c r="M2148" i="1"/>
  <c r="R2148" i="1" s="1"/>
  <c r="M2166" i="1"/>
  <c r="R2166" i="1" s="1"/>
  <c r="M2174" i="1"/>
  <c r="R2174" i="1" s="1"/>
  <c r="M2235" i="1"/>
  <c r="R2235" i="1" s="1"/>
  <c r="M2239" i="1"/>
  <c r="R2239" i="1" s="1"/>
  <c r="M2262" i="1"/>
  <c r="R2262" i="1" s="1"/>
  <c r="M2279" i="1"/>
  <c r="R2279" i="1" s="1"/>
  <c r="M2284" i="1"/>
  <c r="R2284" i="1" s="1"/>
  <c r="M2332" i="1"/>
  <c r="R2332" i="1" s="1"/>
  <c r="M2348" i="1"/>
  <c r="R2348" i="1" s="1"/>
  <c r="M2374" i="1"/>
  <c r="R2374" i="1" s="1"/>
  <c r="M2377" i="1"/>
  <c r="R2377" i="1" s="1"/>
  <c r="M2385" i="1"/>
  <c r="R2385" i="1" s="1"/>
  <c r="M2409" i="1"/>
  <c r="R2409" i="1" s="1"/>
  <c r="M2412" i="1"/>
  <c r="R2412" i="1" s="1"/>
  <c r="M2419" i="1"/>
  <c r="R2419" i="1" s="1"/>
  <c r="M2438" i="1"/>
  <c r="R2438" i="1" s="1"/>
  <c r="M2477" i="1"/>
  <c r="R2477" i="1" s="1"/>
  <c r="M2485" i="1"/>
  <c r="R2485" i="1" s="1"/>
  <c r="Y2523" i="1"/>
  <c r="AF2523" i="1" s="1"/>
  <c r="M2560" i="1"/>
  <c r="R2560" i="1" s="1"/>
  <c r="M2584" i="1"/>
  <c r="R2584" i="1" s="1"/>
  <c r="M2588" i="1"/>
  <c r="R2588" i="1" s="1"/>
  <c r="M2591" i="1"/>
  <c r="R2591" i="1" s="1"/>
  <c r="M2612" i="1"/>
  <c r="R2612" i="1" s="1"/>
  <c r="M2633" i="1"/>
  <c r="R2633" i="1" s="1"/>
  <c r="Y2680" i="1"/>
  <c r="M2706" i="1"/>
  <c r="R2706" i="1" s="1"/>
  <c r="M2709" i="1"/>
  <c r="R2709" i="1" s="1"/>
  <c r="Y2714" i="1"/>
  <c r="M2756" i="1"/>
  <c r="R2756" i="1" s="1"/>
  <c r="M2789" i="1"/>
  <c r="R2789" i="1" s="1"/>
  <c r="M2798" i="1"/>
  <c r="R2798" i="1" s="1"/>
  <c r="M2835" i="1"/>
  <c r="R2835" i="1" s="1"/>
  <c r="M2838" i="1"/>
  <c r="R2838" i="1" s="1"/>
  <c r="M2864" i="1"/>
  <c r="R2864" i="1" s="1"/>
  <c r="Y2890" i="1"/>
  <c r="Y2936" i="1"/>
  <c r="M2962" i="1"/>
  <c r="R2962" i="1" s="1"/>
  <c r="M2972" i="1"/>
  <c r="R2972" i="1" s="1"/>
  <c r="Y2983" i="1"/>
  <c r="M2987" i="1"/>
  <c r="R2987" i="1" s="1"/>
  <c r="M2991" i="1"/>
  <c r="R2991" i="1" s="1"/>
  <c r="M3003" i="1"/>
  <c r="R3003" i="1" s="1"/>
  <c r="M938" i="1"/>
  <c r="R938" i="1" s="1"/>
  <c r="AF1980" i="1"/>
  <c r="Y636" i="1"/>
  <c r="Y639" i="1"/>
  <c r="Y642" i="1"/>
  <c r="Y646" i="1"/>
  <c r="Y654" i="1"/>
  <c r="Y657" i="1"/>
  <c r="Y663" i="1"/>
  <c r="Y667" i="1"/>
  <c r="Y670" i="1"/>
  <c r="Y673" i="1"/>
  <c r="Y680" i="1"/>
  <c r="Y685" i="1"/>
  <c r="Y695" i="1"/>
  <c r="AG695" i="1" s="1"/>
  <c r="Y704" i="1"/>
  <c r="Y707" i="1"/>
  <c r="Y710" i="1"/>
  <c r="Y712" i="1"/>
  <c r="Y719" i="1"/>
  <c r="Y721" i="1"/>
  <c r="Y723" i="1"/>
  <c r="Y726" i="1"/>
  <c r="Y729" i="1"/>
  <c r="Y735" i="1"/>
  <c r="Y737" i="1"/>
  <c r="Y740" i="1"/>
  <c r="Y745" i="1"/>
  <c r="Y747" i="1"/>
  <c r="Y750" i="1"/>
  <c r="Y753" i="1"/>
  <c r="Y846" i="1"/>
  <c r="Y849" i="1"/>
  <c r="Y852" i="1"/>
  <c r="Y857" i="1"/>
  <c r="Y860" i="1"/>
  <c r="Y863" i="1"/>
  <c r="Y866" i="1"/>
  <c r="Y869" i="1"/>
  <c r="Y873" i="1"/>
  <c r="Y877" i="1"/>
  <c r="Y881" i="1"/>
  <c r="Y885" i="1"/>
  <c r="Y888" i="1"/>
  <c r="Y893" i="1"/>
  <c r="Y897" i="1"/>
  <c r="Y18" i="1"/>
  <c r="Y21" i="1"/>
  <c r="Y24" i="1"/>
  <c r="Y28" i="1"/>
  <c r="Y32" i="1"/>
  <c r="Y36" i="1"/>
  <c r="Y50" i="1"/>
  <c r="Y54" i="1"/>
  <c r="Y58" i="1"/>
  <c r="Y61" i="1"/>
  <c r="AG61" i="1" s="1"/>
  <c r="Y66" i="1"/>
  <c r="Y70" i="1"/>
  <c r="Y73" i="1"/>
  <c r="Y85" i="1"/>
  <c r="AG85" i="1" s="1"/>
  <c r="Y90" i="1"/>
  <c r="Y93" i="1"/>
  <c r="Y97" i="1"/>
  <c r="Y106" i="1"/>
  <c r="Y112" i="1"/>
  <c r="Y116" i="1"/>
  <c r="Y119" i="1"/>
  <c r="AE119" i="1" s="1"/>
  <c r="Y129" i="1"/>
  <c r="AD129" i="1" s="1"/>
  <c r="Y134" i="1"/>
  <c r="Y140" i="1"/>
  <c r="Y143" i="1"/>
  <c r="AE143" i="1" s="1"/>
  <c r="Y146" i="1"/>
  <c r="Y149" i="1"/>
  <c r="AG149" i="1" s="1"/>
  <c r="Y152" i="1"/>
  <c r="Y156" i="1"/>
  <c r="Y159" i="1"/>
  <c r="AE159" i="1" s="1"/>
  <c r="Y162" i="1"/>
  <c r="Y172" i="1"/>
  <c r="Y175" i="1"/>
  <c r="Y181" i="1"/>
  <c r="AG181" i="1" s="1"/>
  <c r="Y187" i="1"/>
  <c r="Y194" i="1"/>
  <c r="Y197" i="1"/>
  <c r="AD197" i="1" s="1"/>
  <c r="Y200" i="1"/>
  <c r="Y211" i="1"/>
  <c r="Y214" i="1"/>
  <c r="Y217" i="1"/>
  <c r="Y221" i="1"/>
  <c r="Y223" i="1"/>
  <c r="Y226" i="1"/>
  <c r="Y229" i="1"/>
  <c r="Y236" i="1"/>
  <c r="Y239" i="1"/>
  <c r="Y244" i="1"/>
  <c r="Y248" i="1"/>
  <c r="Y254" i="1"/>
  <c r="Y260" i="1"/>
  <c r="AD260" i="1" s="1"/>
  <c r="Y263" i="1"/>
  <c r="Y266" i="1"/>
  <c r="Y269" i="1"/>
  <c r="Y272" i="1"/>
  <c r="Y278" i="1"/>
  <c r="Y281" i="1"/>
  <c r="Y285" i="1"/>
  <c r="Y291" i="1"/>
  <c r="Y297" i="1"/>
  <c r="Y302" i="1"/>
  <c r="Y305" i="1"/>
  <c r="Y310" i="1"/>
  <c r="Y316" i="1"/>
  <c r="Y318" i="1"/>
  <c r="AG318" i="1" s="1"/>
  <c r="Y322" i="1"/>
  <c r="Y324" i="1"/>
  <c r="Y327" i="1"/>
  <c r="Y333" i="1"/>
  <c r="Y342" i="1"/>
  <c r="Y345" i="1"/>
  <c r="Y347" i="1"/>
  <c r="Y350" i="1"/>
  <c r="AG350" i="1" s="1"/>
  <c r="Y353" i="1"/>
  <c r="Y358" i="1"/>
  <c r="Y361" i="1"/>
  <c r="Y364" i="1"/>
  <c r="Y367" i="1"/>
  <c r="AF367" i="1" s="1"/>
  <c r="Y370" i="1"/>
  <c r="Y376" i="1"/>
  <c r="Y381" i="1"/>
  <c r="Y400" i="1"/>
  <c r="AE400" i="1" s="1"/>
  <c r="Y403" i="1"/>
  <c r="Y407" i="1"/>
  <c r="Y413" i="1"/>
  <c r="Y418" i="1"/>
  <c r="AG418" i="1" s="1"/>
  <c r="Y421" i="1"/>
  <c r="Y424" i="1"/>
  <c r="Y426" i="1"/>
  <c r="Y429" i="1"/>
  <c r="Y434" i="1"/>
  <c r="Y437" i="1"/>
  <c r="Y440" i="1"/>
  <c r="AE440" i="1" s="1"/>
  <c r="Y442" i="1"/>
  <c r="Y445" i="1"/>
  <c r="Y450" i="1"/>
  <c r="Y453" i="1"/>
  <c r="AG453" i="1" s="1"/>
  <c r="Y456" i="1"/>
  <c r="Y458" i="1"/>
  <c r="Y461" i="1"/>
  <c r="Y466" i="1"/>
  <c r="AG466" i="1" s="1"/>
  <c r="Y470" i="1"/>
  <c r="Y473" i="1"/>
  <c r="Y476" i="1"/>
  <c r="Y479" i="1"/>
  <c r="Y484" i="1"/>
  <c r="Y487" i="1"/>
  <c r="Y494" i="1"/>
  <c r="Y500" i="1"/>
  <c r="Y503" i="1"/>
  <c r="AF503" i="1" s="1"/>
  <c r="Y513" i="1"/>
  <c r="Y516" i="1"/>
  <c r="Y522" i="1"/>
  <c r="Y528" i="1"/>
  <c r="AE528" i="1" s="1"/>
  <c r="Y546" i="1"/>
  <c r="Y548" i="1"/>
  <c r="Y552" i="1"/>
  <c r="AD552" i="1" s="1"/>
  <c r="Y555" i="1"/>
  <c r="AE555" i="1" s="1"/>
  <c r="Y562" i="1"/>
  <c r="Y564" i="1"/>
  <c r="Y567" i="1"/>
  <c r="AF567" i="1" s="1"/>
  <c r="Y575" i="1"/>
  <c r="Y578" i="1"/>
  <c r="AD578" i="1" s="1"/>
  <c r="Y581" i="1"/>
  <c r="Y584" i="1"/>
  <c r="AD584" i="1" s="1"/>
  <c r="Y588" i="1"/>
  <c r="Y594" i="1"/>
  <c r="Y598" i="1"/>
  <c r="Y600" i="1"/>
  <c r="AD600" i="1" s="1"/>
  <c r="Y602" i="1"/>
  <c r="AG602" i="1" s="1"/>
  <c r="Y609" i="1"/>
  <c r="Y620" i="1"/>
  <c r="Y625" i="1"/>
  <c r="Y640" i="1"/>
  <c r="Y643" i="1"/>
  <c r="Y651" i="1"/>
  <c r="Y655" i="1"/>
  <c r="Y658" i="1"/>
  <c r="AD658" i="1" s="1"/>
  <c r="Y661" i="1"/>
  <c r="Y665" i="1"/>
  <c r="Y668" i="1"/>
  <c r="Y674" i="1"/>
  <c r="AD674" i="1" s="1"/>
  <c r="Y677" i="1"/>
  <c r="Y683" i="1"/>
  <c r="Y686" i="1"/>
  <c r="Y693" i="1"/>
  <c r="Y696" i="1"/>
  <c r="Y701" i="1"/>
  <c r="Y708" i="1"/>
  <c r="Y715" i="1"/>
  <c r="AG715" i="1" s="1"/>
  <c r="Y717" i="1"/>
  <c r="Y730" i="1"/>
  <c r="Y733" i="1"/>
  <c r="Y743" i="1"/>
  <c r="AG743" i="1" s="1"/>
  <c r="Y751" i="1"/>
  <c r="Y754" i="1"/>
  <c r="Y14" i="1"/>
  <c r="Y22" i="1"/>
  <c r="Y26" i="1"/>
  <c r="Y30" i="1"/>
  <c r="Y34" i="1"/>
  <c r="Y38" i="1"/>
  <c r="Y41" i="1"/>
  <c r="AD41" i="1" s="1"/>
  <c r="Y46" i="1"/>
  <c r="Y49" i="1"/>
  <c r="AD49" i="1" s="1"/>
  <c r="Y52" i="1"/>
  <c r="Y56" i="1"/>
  <c r="Y62" i="1"/>
  <c r="Y65" i="1"/>
  <c r="AD65" i="1" s="1"/>
  <c r="Y68" i="1"/>
  <c r="Y75" i="1"/>
  <c r="Y78" i="1"/>
  <c r="Y81" i="1"/>
  <c r="AD81" i="1" s="1"/>
  <c r="Y86" i="1"/>
  <c r="Y88" i="1"/>
  <c r="Y95" i="1"/>
  <c r="Y98" i="1"/>
  <c r="Y101" i="1"/>
  <c r="AG101" i="1" s="1"/>
  <c r="Y104" i="1"/>
  <c r="Y108" i="1"/>
  <c r="Y111" i="1"/>
  <c r="Y114" i="1"/>
  <c r="Y121" i="1"/>
  <c r="Y124" i="1"/>
  <c r="Y127" i="1"/>
  <c r="Y133" i="1"/>
  <c r="Y136" i="1"/>
  <c r="Y139" i="1"/>
  <c r="Y145" i="1"/>
  <c r="Y154" i="1"/>
  <c r="Y160" i="1"/>
  <c r="Y164" i="1"/>
  <c r="Y167" i="1"/>
  <c r="Y170" i="1"/>
  <c r="Y176" i="1"/>
  <c r="Y179" i="1"/>
  <c r="Y182" i="1"/>
  <c r="Y185" i="1"/>
  <c r="AG185" i="1" s="1"/>
  <c r="Y188" i="1"/>
  <c r="Y193" i="1"/>
  <c r="Y202" i="1"/>
  <c r="Y204" i="1"/>
  <c r="Y206" i="1"/>
  <c r="Y209" i="1"/>
  <c r="Y213" i="1"/>
  <c r="Y219" i="1"/>
  <c r="Y225" i="1"/>
  <c r="Y227" i="1"/>
  <c r="Y230" i="1"/>
  <c r="Y234" i="1"/>
  <c r="AD234" i="1" s="1"/>
  <c r="Y246" i="1"/>
  <c r="Y252" i="1"/>
  <c r="Y256" i="1"/>
  <c r="Y265" i="1"/>
  <c r="AF265" i="1" s="1"/>
  <c r="Y267" i="1"/>
  <c r="Y270" i="1"/>
  <c r="Y274" i="1"/>
  <c r="AE274" i="1" s="1"/>
  <c r="Y277" i="1"/>
  <c r="Y283" i="1"/>
  <c r="Y287" i="1"/>
  <c r="Y290" i="1"/>
  <c r="Y293" i="1"/>
  <c r="Y301" i="1"/>
  <c r="AG301" i="1" s="1"/>
  <c r="Y309" i="1"/>
  <c r="Y313" i="1"/>
  <c r="Y315" i="1"/>
  <c r="Y320" i="1"/>
  <c r="Y328" i="1"/>
  <c r="Y331" i="1"/>
  <c r="Y334" i="1"/>
  <c r="Y340" i="1"/>
  <c r="Y343" i="1"/>
  <c r="Y346" i="1"/>
  <c r="Y349" i="1"/>
  <c r="Y354" i="1"/>
  <c r="AG354" i="1" s="1"/>
  <c r="Y357" i="1"/>
  <c r="Y362" i="1"/>
  <c r="Y366" i="1"/>
  <c r="Y369" i="1"/>
  <c r="Y371" i="1"/>
  <c r="Y375" i="1"/>
  <c r="AF375" i="1" s="1"/>
  <c r="Y378" i="1"/>
  <c r="Y382" i="1"/>
  <c r="Y385" i="1"/>
  <c r="Y388" i="1"/>
  <c r="Y395" i="1"/>
  <c r="Y399" i="1"/>
  <c r="Y402" i="1"/>
  <c r="Y405" i="1"/>
  <c r="AG405" i="1" s="1"/>
  <c r="Y408" i="1"/>
  <c r="AE408" i="1" s="1"/>
  <c r="Y411" i="1"/>
  <c r="AF411" i="1" s="1"/>
  <c r="Y414" i="1"/>
  <c r="Y417" i="1"/>
  <c r="Y423" i="1"/>
  <c r="AF423" i="1" s="1"/>
  <c r="Y430" i="1"/>
  <c r="Y433" i="1"/>
  <c r="Y439" i="1"/>
  <c r="AF439" i="1" s="1"/>
  <c r="Y446" i="1"/>
  <c r="Y449" i="1"/>
  <c r="Y455" i="1"/>
  <c r="Y462" i="1"/>
  <c r="Y465" i="1"/>
  <c r="AG465" i="1" s="1"/>
  <c r="Y468" i="1"/>
  <c r="Y474" i="1"/>
  <c r="Y480" i="1"/>
  <c r="Y488" i="1"/>
  <c r="AE488" i="1" s="1"/>
  <c r="Y490" i="1"/>
  <c r="Y493" i="1"/>
  <c r="Y496" i="1"/>
  <c r="Y499" i="1"/>
  <c r="AF499" i="1" s="1"/>
  <c r="Y509" i="1"/>
  <c r="AG509" i="1" s="1"/>
  <c r="Y514" i="1"/>
  <c r="Y518" i="1"/>
  <c r="Y520" i="1"/>
  <c r="AE520" i="1" s="1"/>
  <c r="Y524" i="1"/>
  <c r="Y530" i="1"/>
  <c r="Y533" i="1"/>
  <c r="Y536" i="1"/>
  <c r="AD536" i="1" s="1"/>
  <c r="Y538" i="1"/>
  <c r="Y544" i="1"/>
  <c r="Y547" i="1"/>
  <c r="Y550" i="1"/>
  <c r="AD550" i="1" s="1"/>
  <c r="Y560" i="1"/>
  <c r="Y563" i="1"/>
  <c r="Y576" i="1"/>
  <c r="Y586" i="1"/>
  <c r="Y592" i="1"/>
  <c r="Y596" i="1"/>
  <c r="AE596" i="1" s="1"/>
  <c r="Y603" i="1"/>
  <c r="AE603" i="1" s="1"/>
  <c r="Y607" i="1"/>
  <c r="Y610" i="1"/>
  <c r="AD610" i="1" s="1"/>
  <c r="Y613" i="1"/>
  <c r="Y616" i="1"/>
  <c r="Y619" i="1"/>
  <c r="AE619" i="1" s="1"/>
  <c r="Y903" i="1"/>
  <c r="AG903" i="1" s="1"/>
  <c r="Y906" i="1"/>
  <c r="Y861" i="1"/>
  <c r="Y901" i="1"/>
  <c r="AE901" i="1" s="1"/>
  <c r="AE909" i="1"/>
  <c r="Y917" i="1"/>
  <c r="Y926" i="1"/>
  <c r="Y757" i="1"/>
  <c r="Y760" i="1"/>
  <c r="Y765" i="1"/>
  <c r="Y771" i="1"/>
  <c r="Y775" i="1"/>
  <c r="AG775" i="1" s="1"/>
  <c r="Y778" i="1"/>
  <c r="AD778" i="1" s="1"/>
  <c r="Y783" i="1"/>
  <c r="Y795" i="1"/>
  <c r="Y797" i="1"/>
  <c r="Y800" i="1"/>
  <c r="Y805" i="1"/>
  <c r="Y808" i="1"/>
  <c r="Y814" i="1"/>
  <c r="Y817" i="1"/>
  <c r="Y826" i="1"/>
  <c r="Y829" i="1"/>
  <c r="Y839" i="1"/>
  <c r="Y842" i="1"/>
  <c r="Y845" i="1"/>
  <c r="Y854" i="1"/>
  <c r="Y859" i="1"/>
  <c r="Y862" i="1"/>
  <c r="Y865" i="1"/>
  <c r="Y868" i="1"/>
  <c r="Y872" i="1"/>
  <c r="Y876" i="1"/>
  <c r="Y880" i="1"/>
  <c r="Y884" i="1"/>
  <c r="Y895" i="1"/>
  <c r="Y899" i="1"/>
  <c r="Y902" i="1"/>
  <c r="Y905" i="1"/>
  <c r="Y908" i="1"/>
  <c r="Y915" i="1"/>
  <c r="Y918" i="1"/>
  <c r="Y921" i="1"/>
  <c r="Y924" i="1"/>
  <c r="Y927" i="1"/>
  <c r="Y930" i="1"/>
  <c r="Y935" i="1"/>
  <c r="Y943" i="1"/>
  <c r="Y947" i="1"/>
  <c r="Y951" i="1"/>
  <c r="Y954" i="1"/>
  <c r="Y957" i="1"/>
  <c r="Y960" i="1"/>
  <c r="Y965" i="1"/>
  <c r="Y970" i="1"/>
  <c r="Y973" i="1"/>
  <c r="AE973" i="1" s="1"/>
  <c r="Y980" i="1"/>
  <c r="Y983" i="1"/>
  <c r="Y985" i="1"/>
  <c r="Y988" i="1"/>
  <c r="Y993" i="1"/>
  <c r="Y1002" i="1"/>
  <c r="Y1005" i="1"/>
  <c r="Y1008" i="1"/>
  <c r="AE1008" i="1" s="1"/>
  <c r="Y1013" i="1"/>
  <c r="Y1021" i="1"/>
  <c r="Y1024" i="1"/>
  <c r="Y1030" i="1"/>
  <c r="AD1030" i="1" s="1"/>
  <c r="Y1035" i="1"/>
  <c r="Y1038" i="1"/>
  <c r="Y1041" i="1"/>
  <c r="Y1218" i="1"/>
  <c r="Y1222" i="1"/>
  <c r="Y1225" i="1"/>
  <c r="Y1228" i="1"/>
  <c r="Y1231" i="1"/>
  <c r="Y1234" i="1"/>
  <c r="Y1237" i="1"/>
  <c r="Y1242" i="1"/>
  <c r="Y1244" i="1"/>
  <c r="AF1244" i="1" s="1"/>
  <c r="AE1245" i="1"/>
  <c r="Y1315" i="1"/>
  <c r="Y1319" i="1"/>
  <c r="Y1322" i="1"/>
  <c r="Y1325" i="1"/>
  <c r="Y1328" i="1"/>
  <c r="Y1007" i="1"/>
  <c r="Y1009" i="1"/>
  <c r="Y1012" i="1"/>
  <c r="Y1017" i="1"/>
  <c r="Y1026" i="1"/>
  <c r="Y1031" i="1"/>
  <c r="AG1031" i="1" s="1"/>
  <c r="Y1034" i="1"/>
  <c r="Y1039" i="1"/>
  <c r="Y1045" i="1"/>
  <c r="Y1054" i="1"/>
  <c r="Y1059" i="1"/>
  <c r="Y1062" i="1"/>
  <c r="Y1065" i="1"/>
  <c r="Y1068" i="1"/>
  <c r="Y1071" i="1"/>
  <c r="Y1074" i="1"/>
  <c r="Y1079" i="1"/>
  <c r="Y1082" i="1"/>
  <c r="AD1082" i="1" s="1"/>
  <c r="Y1085" i="1"/>
  <c r="Y1091" i="1"/>
  <c r="Y1093" i="1"/>
  <c r="Y1096" i="1"/>
  <c r="Y1102" i="1"/>
  <c r="Y1107" i="1"/>
  <c r="Y1111" i="1"/>
  <c r="Y1115" i="1"/>
  <c r="Y1117" i="1"/>
  <c r="Y1126" i="1"/>
  <c r="Y1131" i="1"/>
  <c r="Y1135" i="1"/>
  <c r="AG1135" i="1" s="1"/>
  <c r="Y1138" i="1"/>
  <c r="AD1138" i="1" s="1"/>
  <c r="Y1141" i="1"/>
  <c r="Y1145" i="1"/>
  <c r="Y1148" i="1"/>
  <c r="Y1151" i="1"/>
  <c r="Y1154" i="1"/>
  <c r="Y1159" i="1"/>
  <c r="Y1162" i="1"/>
  <c r="AD1162" i="1" s="1"/>
  <c r="Y1167" i="1"/>
  <c r="Y1171" i="1"/>
  <c r="Y1175" i="1"/>
  <c r="Y1178" i="1"/>
  <c r="Y1182" i="1"/>
  <c r="AF1182" i="1" s="1"/>
  <c r="Y1185" i="1"/>
  <c r="Y1188" i="1"/>
  <c r="Y1191" i="1"/>
  <c r="Y1194" i="1"/>
  <c r="Y1197" i="1"/>
  <c r="Y1202" i="1"/>
  <c r="Y1204" i="1"/>
  <c r="AF1204" i="1" s="1"/>
  <c r="Y1214" i="1"/>
  <c r="AF1214" i="1" s="1"/>
  <c r="Y1217" i="1"/>
  <c r="Y1221" i="1"/>
  <c r="Y1224" i="1"/>
  <c r="Y1227" i="1"/>
  <c r="Y1233" i="1"/>
  <c r="Y1236" i="1"/>
  <c r="Y1241" i="1"/>
  <c r="Y1248" i="1"/>
  <c r="Y1253" i="1"/>
  <c r="Y1257" i="1"/>
  <c r="Y1261" i="1"/>
  <c r="AE1261" i="1" s="1"/>
  <c r="Y1270" i="1"/>
  <c r="Y1273" i="1"/>
  <c r="Y1277" i="1"/>
  <c r="Y1282" i="1"/>
  <c r="Y1287" i="1"/>
  <c r="Y1297" i="1"/>
  <c r="Y1299" i="1"/>
  <c r="Y1308" i="1"/>
  <c r="AD1308" i="1" s="1"/>
  <c r="Y1313" i="1"/>
  <c r="Y1317" i="1"/>
  <c r="Y1321" i="1"/>
  <c r="Y1323" i="1"/>
  <c r="Y1329" i="1"/>
  <c r="AG1329" i="1" s="1"/>
  <c r="Y1331" i="1"/>
  <c r="Y1335" i="1"/>
  <c r="Y1339" i="1"/>
  <c r="Y1343" i="1"/>
  <c r="Y1346" i="1"/>
  <c r="Y1351" i="1"/>
  <c r="Y1359" i="1"/>
  <c r="AE1359" i="1" s="1"/>
  <c r="Y1362" i="1"/>
  <c r="Y1365" i="1"/>
  <c r="Y1368" i="1"/>
  <c r="AD1368" i="1" s="1"/>
  <c r="Y1373" i="1"/>
  <c r="AG1373" i="1" s="1"/>
  <c r="Y1376" i="1"/>
  <c r="Y1380" i="1"/>
  <c r="Y1384" i="1"/>
  <c r="Y1390" i="1"/>
  <c r="Y1395" i="1"/>
  <c r="Y1399" i="1"/>
  <c r="Y1403" i="1"/>
  <c r="Y1407" i="1"/>
  <c r="Y1410" i="1"/>
  <c r="Y1415" i="1"/>
  <c r="Y1423" i="1"/>
  <c r="Y1426" i="1"/>
  <c r="Y1432" i="1"/>
  <c r="Y1434" i="1"/>
  <c r="Y1439" i="1"/>
  <c r="Y1443" i="1"/>
  <c r="Y1449" i="1"/>
  <c r="Y1451" i="1"/>
  <c r="Y1457" i="1"/>
  <c r="Y1468" i="1"/>
  <c r="Y1471" i="1"/>
  <c r="Y1477" i="1"/>
  <c r="Y1481" i="1"/>
  <c r="Y1483" i="1"/>
  <c r="Y1489" i="1"/>
  <c r="Y1492" i="1"/>
  <c r="Y1495" i="1"/>
  <c r="Y1498" i="1"/>
  <c r="Y1503" i="1"/>
  <c r="Y1505" i="1"/>
  <c r="Y1507" i="1"/>
  <c r="Y1511" i="1"/>
  <c r="Y1515" i="1"/>
  <c r="Y1521" i="1"/>
  <c r="Y1529" i="1"/>
  <c r="Y1531" i="1"/>
  <c r="Y1534" i="1"/>
  <c r="AF1534" i="1" s="1"/>
  <c r="Y1537" i="1"/>
  <c r="Y1543" i="1"/>
  <c r="Y1549" i="1"/>
  <c r="Y1553" i="1"/>
  <c r="Y1555" i="1"/>
  <c r="Y1558" i="1"/>
  <c r="AF1558" i="1" s="1"/>
  <c r="Y1563" i="1"/>
  <c r="Y1571" i="1"/>
  <c r="Y1574" i="1"/>
  <c r="Y1576" i="1"/>
  <c r="Y1581" i="1"/>
  <c r="Y1586" i="1"/>
  <c r="Y1589" i="1"/>
  <c r="Y1595" i="1"/>
  <c r="Y1598" i="1"/>
  <c r="AF1598" i="1" s="1"/>
  <c r="Y1625" i="1"/>
  <c r="Y1631" i="1"/>
  <c r="Y1633" i="1"/>
  <c r="Y1639" i="1"/>
  <c r="AG1639" i="1" s="1"/>
  <c r="Y1641" i="1"/>
  <c r="Y1648" i="1"/>
  <c r="Y1652" i="1"/>
  <c r="Y1655" i="1"/>
  <c r="AG1655" i="1" s="1"/>
  <c r="Y1658" i="1"/>
  <c r="AG1658" i="1" s="1"/>
  <c r="Y1661" i="1"/>
  <c r="Y1666" i="1"/>
  <c r="Y1669" i="1"/>
  <c r="AE1669" i="1" s="1"/>
  <c r="Y1674" i="1"/>
  <c r="AG1674" i="1" s="1"/>
  <c r="Y1678" i="1"/>
  <c r="Y1680" i="1"/>
  <c r="Y1684" i="1"/>
  <c r="AF1684" i="1" s="1"/>
  <c r="Y1687" i="1"/>
  <c r="Y1697" i="1"/>
  <c r="Y1720" i="1"/>
  <c r="Y1724" i="1"/>
  <c r="AF1724" i="1" s="1"/>
  <c r="Y1730" i="1"/>
  <c r="Y1254" i="1"/>
  <c r="Y1258" i="1"/>
  <c r="Y1262" i="1"/>
  <c r="AF1262" i="1" s="1"/>
  <c r="Y1267" i="1"/>
  <c r="Y1274" i="1"/>
  <c r="AE1277" i="1"/>
  <c r="Y1278" i="1"/>
  <c r="AF1278" i="1" s="1"/>
  <c r="Y1280" i="1"/>
  <c r="Y1285" i="1"/>
  <c r="Y1288" i="1"/>
  <c r="Y1294" i="1"/>
  <c r="Y1300" i="1"/>
  <c r="Y1303" i="1"/>
  <c r="Y1306" i="1"/>
  <c r="Y1311" i="1"/>
  <c r="AE1311" i="1" s="1"/>
  <c r="Y1314" i="1"/>
  <c r="Y1318" i="1"/>
  <c r="Y1324" i="1"/>
  <c r="Y1327" i="1"/>
  <c r="Y1332" i="1"/>
  <c r="Y1336" i="1"/>
  <c r="Y1340" i="1"/>
  <c r="Y1344" i="1"/>
  <c r="Y1349" i="1"/>
  <c r="Y1352" i="1"/>
  <c r="Y1360" i="1"/>
  <c r="Y1366" i="1"/>
  <c r="Y1369" i="1"/>
  <c r="Y1371" i="1"/>
  <c r="Y1374" i="1"/>
  <c r="Y1377" i="1"/>
  <c r="AG1377" i="1" s="1"/>
  <c r="Y1381" i="1"/>
  <c r="Y1385" i="1"/>
  <c r="Y1387" i="1"/>
  <c r="Y1393" i="1"/>
  <c r="AG1393" i="1" s="1"/>
  <c r="Y1396" i="1"/>
  <c r="Y1400" i="1"/>
  <c r="Y1404" i="1"/>
  <c r="Y1408" i="1"/>
  <c r="Y1413" i="1"/>
  <c r="Y1416" i="1"/>
  <c r="Y1418" i="1"/>
  <c r="Y1424" i="1"/>
  <c r="Y1430" i="1"/>
  <c r="AF1430" i="1" s="1"/>
  <c r="Y1440" i="1"/>
  <c r="Y1452" i="1"/>
  <c r="Y1455" i="1"/>
  <c r="Y1463" i="1"/>
  <c r="Y1466" i="1"/>
  <c r="Y1469" i="1"/>
  <c r="Y1472" i="1"/>
  <c r="Y1474" i="1"/>
  <c r="Y1478" i="1"/>
  <c r="Y1484" i="1"/>
  <c r="Y1487" i="1"/>
  <c r="Y1493" i="1"/>
  <c r="Y1496" i="1"/>
  <c r="Y1508" i="1"/>
  <c r="Y1512" i="1"/>
  <c r="Y1519" i="1"/>
  <c r="Y1527" i="1"/>
  <c r="Y1532" i="1"/>
  <c r="Y1538" i="1"/>
  <c r="Y1541" i="1"/>
  <c r="Y1544" i="1"/>
  <c r="Y1546" i="1"/>
  <c r="Y1550" i="1"/>
  <c r="AF1550" i="1" s="1"/>
  <c r="Y1556" i="1"/>
  <c r="Y1559" i="1"/>
  <c r="Y1566" i="1"/>
  <c r="AF1566" i="1" s="1"/>
  <c r="Y1568" i="1"/>
  <c r="Y1572" i="1"/>
  <c r="AD1572" i="1" s="1"/>
  <c r="Y1584" i="1"/>
  <c r="Y1590" i="1"/>
  <c r="AF1590" i="1" s="1"/>
  <c r="Y1596" i="1"/>
  <c r="Y1599" i="1"/>
  <c r="Y1603" i="1"/>
  <c r="Y1612" i="1"/>
  <c r="Y1615" i="1"/>
  <c r="Y1621" i="1"/>
  <c r="AE1621" i="1" s="1"/>
  <c r="Y1626" i="1"/>
  <c r="Y1628" i="1"/>
  <c r="Y1634" i="1"/>
  <c r="Y1636" i="1"/>
  <c r="Y1642" i="1"/>
  <c r="Y1645" i="1"/>
  <c r="Y1649" i="1"/>
  <c r="Y1653" i="1"/>
  <c r="Y1662" i="1"/>
  <c r="Y1664" i="1"/>
  <c r="Y1670" i="1"/>
  <c r="AG1670" i="1" s="1"/>
  <c r="Y1672" i="1"/>
  <c r="Y1675" i="1"/>
  <c r="Y1681" i="1"/>
  <c r="Y1685" i="1"/>
  <c r="AE1685" i="1" s="1"/>
  <c r="Y1694" i="1"/>
  <c r="Y1698" i="1"/>
  <c r="Y1703" i="1"/>
  <c r="AG1703" i="1" s="1"/>
  <c r="Y1705" i="1"/>
  <c r="AE1705" i="1" s="1"/>
  <c r="Y1718" i="1"/>
  <c r="Y1721" i="1"/>
  <c r="Y1725" i="1"/>
  <c r="Y1727" i="1"/>
  <c r="AG1727" i="1" s="1"/>
  <c r="Y1731" i="1"/>
  <c r="Y1414" i="1"/>
  <c r="Y1419" i="1"/>
  <c r="Y1425" i="1"/>
  <c r="Y1427" i="1"/>
  <c r="Y1435" i="1"/>
  <c r="Y1438" i="1"/>
  <c r="Y1447" i="1"/>
  <c r="Y1450" i="1"/>
  <c r="Y1453" i="1"/>
  <c r="Y1456" i="1"/>
  <c r="Y1458" i="1"/>
  <c r="Y1461" i="1"/>
  <c r="Y1464" i="1"/>
  <c r="Y1470" i="1"/>
  <c r="Y1475" i="1"/>
  <c r="Y1479" i="1"/>
  <c r="Y1482" i="1"/>
  <c r="Y1485" i="1"/>
  <c r="Y1488" i="1"/>
  <c r="Y1497" i="1"/>
  <c r="Y1499" i="1"/>
  <c r="Y1509" i="1"/>
  <c r="Y1517" i="1"/>
  <c r="Y1520" i="1"/>
  <c r="Y1522" i="1"/>
  <c r="Y1525" i="1"/>
  <c r="Y1528" i="1"/>
  <c r="Y1530" i="1"/>
  <c r="Y1535" i="1"/>
  <c r="Y1539" i="1"/>
  <c r="Y1542" i="1"/>
  <c r="AF1542" i="1" s="1"/>
  <c r="Y1547" i="1"/>
  <c r="Y1551" i="1"/>
  <c r="Y1554" i="1"/>
  <c r="Y1562" i="1"/>
  <c r="Y1564" i="1"/>
  <c r="Y1575" i="1"/>
  <c r="Y1577" i="1"/>
  <c r="Y1587" i="1"/>
  <c r="AG1587" i="1" s="1"/>
  <c r="Y1591" i="1"/>
  <c r="Y1600" i="1"/>
  <c r="Y1604" i="1"/>
  <c r="Y1609" i="1"/>
  <c r="Y1613" i="1"/>
  <c r="Y1616" i="1"/>
  <c r="Y1622" i="1"/>
  <c r="AF1622" i="1" s="1"/>
  <c r="Y1624" i="1"/>
  <c r="Y1629" i="1"/>
  <c r="Y1632" i="1"/>
  <c r="Y1637" i="1"/>
  <c r="Y1640" i="1"/>
  <c r="AF1640" i="1" s="1"/>
  <c r="Y1643" i="1"/>
  <c r="Y1650" i="1"/>
  <c r="AG1650" i="1" s="1"/>
  <c r="Y1659" i="1"/>
  <c r="Y1667" i="1"/>
  <c r="Y1676" i="1"/>
  <c r="Y1679" i="1"/>
  <c r="Y1682" i="1"/>
  <c r="Y1691" i="1"/>
  <c r="Y1696" i="1"/>
  <c r="Y1706" i="1"/>
  <c r="Y1709" i="1"/>
  <c r="Y1712" i="1"/>
  <c r="AF1712" i="1" s="1"/>
  <c r="Y1722" i="1"/>
  <c r="AG1722" i="1" s="1"/>
  <c r="Y1728" i="1"/>
  <c r="Y1732" i="1"/>
  <c r="Y1733" i="1"/>
  <c r="Y1735" i="1"/>
  <c r="Y1739" i="1"/>
  <c r="Y1745" i="1"/>
  <c r="Y1749" i="1"/>
  <c r="AE1749" i="1" s="1"/>
  <c r="Y1751" i="1"/>
  <c r="Y1754" i="1"/>
  <c r="Y1763" i="1"/>
  <c r="Y1772" i="1"/>
  <c r="AF1772" i="1" s="1"/>
  <c r="Y1775" i="1"/>
  <c r="Y1778" i="1"/>
  <c r="Y1781" i="1"/>
  <c r="Y1787" i="1"/>
  <c r="Y1801" i="1"/>
  <c r="AE1801" i="1" s="1"/>
  <c r="Y1807" i="1"/>
  <c r="Y1817" i="1"/>
  <c r="Y1823" i="1"/>
  <c r="AG1823" i="1" s="1"/>
  <c r="Y1827" i="1"/>
  <c r="Y1833" i="1"/>
  <c r="Y1839" i="1"/>
  <c r="AG1839" i="1" s="1"/>
  <c r="Y1843" i="1"/>
  <c r="Y1849" i="1"/>
  <c r="Y1853" i="1"/>
  <c r="Y1855" i="1"/>
  <c r="Y1861" i="1"/>
  <c r="AE1861" i="1" s="1"/>
  <c r="Y1864" i="1"/>
  <c r="AF1864" i="1" s="1"/>
  <c r="Y1872" i="1"/>
  <c r="Y1875" i="1"/>
  <c r="Y1881" i="1"/>
  <c r="AE1881" i="1" s="1"/>
  <c r="Y1890" i="1"/>
  <c r="Y1895" i="1"/>
  <c r="Y1901" i="1"/>
  <c r="Y1903" i="1"/>
  <c r="AG1903" i="1" s="1"/>
  <c r="Y1906" i="1"/>
  <c r="Y1909" i="1"/>
  <c r="Y1917" i="1"/>
  <c r="Y1925" i="1"/>
  <c r="AE1925" i="1" s="1"/>
  <c r="Y1928" i="1"/>
  <c r="Y1933" i="1"/>
  <c r="Y1941" i="1"/>
  <c r="Y1949" i="1"/>
  <c r="AE1949" i="1" s="1"/>
  <c r="Y1957" i="1"/>
  <c r="Y2073" i="1"/>
  <c r="Y2076" i="1"/>
  <c r="Y2081" i="1"/>
  <c r="AE2081" i="1" s="1"/>
  <c r="Y2084" i="1"/>
  <c r="AF2084" i="1" s="1"/>
  <c r="Y1737" i="1"/>
  <c r="Y1741" i="1"/>
  <c r="AE1741" i="1" s="1"/>
  <c r="Y1747" i="1"/>
  <c r="Y1756" i="1"/>
  <c r="AF1756" i="1" s="1"/>
  <c r="Y1761" i="1"/>
  <c r="Y1765" i="1"/>
  <c r="Y1767" i="1"/>
  <c r="AG1767" i="1" s="1"/>
  <c r="Y1770" i="1"/>
  <c r="AG1770" i="1" s="1"/>
  <c r="Y1785" i="1"/>
  <c r="Y1791" i="1"/>
  <c r="Y1794" i="1"/>
  <c r="AG1794" i="1" s="1"/>
  <c r="Y1797" i="1"/>
  <c r="Y1803" i="1"/>
  <c r="Y1809" i="1"/>
  <c r="AE1809" i="1" s="1"/>
  <c r="Y1815" i="1"/>
  <c r="AG1815" i="1" s="1"/>
  <c r="Y1819" i="1"/>
  <c r="Y1825" i="1"/>
  <c r="Y1831" i="1"/>
  <c r="Y1835" i="1"/>
  <c r="Y1841" i="1"/>
  <c r="Y1845" i="1"/>
  <c r="Y1847" i="1"/>
  <c r="Y1851" i="1"/>
  <c r="Y1857" i="1"/>
  <c r="Y1868" i="1"/>
  <c r="AF1868" i="1" s="1"/>
  <c r="Y1874" i="1"/>
  <c r="Y1879" i="1"/>
  <c r="AG1879" i="1" s="1"/>
  <c r="Y1885" i="1"/>
  <c r="Y1888" i="1"/>
  <c r="Y1891" i="1"/>
  <c r="Y1897" i="1"/>
  <c r="AE1897" i="1" s="1"/>
  <c r="Y1913" i="1"/>
  <c r="Y1916" i="1"/>
  <c r="Y1921" i="1"/>
  <c r="Y1924" i="1"/>
  <c r="AF1924" i="1" s="1"/>
  <c r="Y1932" i="1"/>
  <c r="AF1932" i="1" s="1"/>
  <c r="Y1937" i="1"/>
  <c r="Y1940" i="1"/>
  <c r="AF1940" i="1" s="1"/>
  <c r="Y1945" i="1"/>
  <c r="AE1945" i="1" s="1"/>
  <c r="Y1948" i="1"/>
  <c r="AF1948" i="1" s="1"/>
  <c r="Y1953" i="1"/>
  <c r="Y1956" i="1"/>
  <c r="AF1956" i="1" s="1"/>
  <c r="Y1961" i="1"/>
  <c r="AE1961" i="1" s="1"/>
  <c r="Y1964" i="1"/>
  <c r="Y1969" i="1"/>
  <c r="Y1974" i="1"/>
  <c r="AD1974" i="1" s="1"/>
  <c r="Y1982" i="1"/>
  <c r="Y1987" i="1"/>
  <c r="Y1990" i="1"/>
  <c r="Y1992" i="1"/>
  <c r="AF1992" i="1" s="1"/>
  <c r="Y1995" i="1"/>
  <c r="Y1997" i="1"/>
  <c r="Y2007" i="1"/>
  <c r="Y2009" i="1"/>
  <c r="AE2009" i="1" s="1"/>
  <c r="Y2016" i="1"/>
  <c r="AD2016" i="1" s="1"/>
  <c r="Y2024" i="1"/>
  <c r="Y2029" i="1"/>
  <c r="Y2032" i="1"/>
  <c r="AF2032" i="1" s="1"/>
  <c r="Y2035" i="1"/>
  <c r="AG2035" i="1" s="1"/>
  <c r="Y2038" i="1"/>
  <c r="Y2046" i="1"/>
  <c r="Y2056" i="1"/>
  <c r="AF2056" i="1" s="1"/>
  <c r="Y2059" i="1"/>
  <c r="AG2059" i="1" s="1"/>
  <c r="Y2061" i="1"/>
  <c r="Y2066" i="1"/>
  <c r="Y2071" i="1"/>
  <c r="Y2074" i="1"/>
  <c r="AG2074" i="1" s="1"/>
  <c r="Y2079" i="1"/>
  <c r="Y2082" i="1"/>
  <c r="Y2089" i="1"/>
  <c r="Y2092" i="1"/>
  <c r="AF2092" i="1" s="1"/>
  <c r="Y2102" i="1"/>
  <c r="Y2110" i="1"/>
  <c r="Y2113" i="1"/>
  <c r="AE2113" i="1" s="1"/>
  <c r="Y2118" i="1"/>
  <c r="AG2118" i="1" s="1"/>
  <c r="Y2136" i="1"/>
  <c r="AF2136" i="1" s="1"/>
  <c r="Y2141" i="1"/>
  <c r="Y2145" i="1"/>
  <c r="AE2145" i="1" s="1"/>
  <c r="Y2150" i="1"/>
  <c r="AG2150" i="1" s="1"/>
  <c r="Y2160" i="1"/>
  <c r="AF2160" i="1" s="1"/>
  <c r="Y2162" i="1"/>
  <c r="Y2170" i="1"/>
  <c r="AG2170" i="1" s="1"/>
  <c r="Y2177" i="1"/>
  <c r="Y2184" i="1"/>
  <c r="Y2190" i="1"/>
  <c r="AF2190" i="1" s="1"/>
  <c r="Y2193" i="1"/>
  <c r="Y2204" i="1"/>
  <c r="AG2204" i="1" s="1"/>
  <c r="Y2207" i="1"/>
  <c r="AE2207" i="1" s="1"/>
  <c r="Y2212" i="1"/>
  <c r="Y2215" i="1"/>
  <c r="AE2215" i="1" s="1"/>
  <c r="Y2220" i="1"/>
  <c r="AD2220" i="1" s="1"/>
  <c r="Y2223" i="1"/>
  <c r="AE2223" i="1" s="1"/>
  <c r="Y2225" i="1"/>
  <c r="Y2227" i="1"/>
  <c r="Y2231" i="1"/>
  <c r="AE2231" i="1" s="1"/>
  <c r="Y2233" i="1"/>
  <c r="Y2235" i="1"/>
  <c r="Y2239" i="1"/>
  <c r="AE2239" i="1" s="1"/>
  <c r="Y2244" i="1"/>
  <c r="Y2247" i="1"/>
  <c r="AE2247" i="1" s="1"/>
  <c r="Y2252" i="1"/>
  <c r="Y2255" i="1"/>
  <c r="AE2255" i="1" s="1"/>
  <c r="Y2260" i="1"/>
  <c r="AD2260" i="1" s="1"/>
  <c r="Y2263" i="1"/>
  <c r="AE2263" i="1" s="1"/>
  <c r="Y2268" i="1"/>
  <c r="Y2271" i="1"/>
  <c r="AE2271" i="1" s="1"/>
  <c r="Y2275" i="1"/>
  <c r="Y2279" i="1"/>
  <c r="AE2279" i="1" s="1"/>
  <c r="Y2284" i="1"/>
  <c r="Y2292" i="1"/>
  <c r="AD2292" i="1" s="1"/>
  <c r="Y2300" i="1"/>
  <c r="AG2300" i="1" s="1"/>
  <c r="Y2305" i="1"/>
  <c r="Y2320" i="1"/>
  <c r="Y2325" i="1"/>
  <c r="Y2335" i="1"/>
  <c r="Y2351" i="1"/>
  <c r="Y2354" i="1"/>
  <c r="Y2400" i="1"/>
  <c r="AE2400" i="1" s="1"/>
  <c r="Y2407" i="1"/>
  <c r="Y2411" i="1"/>
  <c r="Y2417" i="1"/>
  <c r="Y2420" i="1"/>
  <c r="Y2525" i="1"/>
  <c r="Y2528" i="1"/>
  <c r="Y2531" i="1"/>
  <c r="AF2531" i="1" s="1"/>
  <c r="Y2534" i="1"/>
  <c r="Y2537" i="1"/>
  <c r="AF2537" i="1" s="1"/>
  <c r="Y2540" i="1"/>
  <c r="Y2542" i="1"/>
  <c r="AF2542" i="1" s="1"/>
  <c r="Y2556" i="1"/>
  <c r="Y2564" i="1"/>
  <c r="Y2567" i="1"/>
  <c r="AF2567" i="1" s="1"/>
  <c r="Y2574" i="1"/>
  <c r="Y2577" i="1"/>
  <c r="Y2303" i="1"/>
  <c r="Y2311" i="1"/>
  <c r="Y2314" i="1"/>
  <c r="AF2314" i="1" s="1"/>
  <c r="Y2317" i="1"/>
  <c r="Y2321" i="1"/>
  <c r="Y2323" i="1"/>
  <c r="Y2326" i="1"/>
  <c r="AF2326" i="1" s="1"/>
  <c r="Y2329" i="1"/>
  <c r="Y2331" i="1"/>
  <c r="Y2333" i="1"/>
  <c r="Y2336" i="1"/>
  <c r="Y2338" i="1"/>
  <c r="AF2338" i="1" s="1"/>
  <c r="Y2343" i="1"/>
  <c r="AE2343" i="1" s="1"/>
  <c r="Y2346" i="1"/>
  <c r="Y2349" i="1"/>
  <c r="Y2352" i="1"/>
  <c r="AG2352" i="1" s="1"/>
  <c r="Y2355" i="1"/>
  <c r="Y2358" i="1"/>
  <c r="AF2358" i="1" s="1"/>
  <c r="Y2361" i="1"/>
  <c r="Y2363" i="1"/>
  <c r="Y2370" i="1"/>
  <c r="Y2374" i="1"/>
  <c r="Y2377" i="1"/>
  <c r="Y2387" i="1"/>
  <c r="Y2401" i="1"/>
  <c r="Y2404" i="1"/>
  <c r="Y2408" i="1"/>
  <c r="Y2414" i="1"/>
  <c r="Y2418" i="1"/>
  <c r="Y2421" i="1"/>
  <c r="Y2424" i="1"/>
  <c r="Y2434" i="1"/>
  <c r="AG2434" i="1" s="1"/>
  <c r="Y2437" i="1"/>
  <c r="AD2437" i="1" s="1"/>
  <c r="Y2441" i="1"/>
  <c r="Y2444" i="1"/>
  <c r="Y2447" i="1"/>
  <c r="Y2452" i="1"/>
  <c r="Y2455" i="1"/>
  <c r="Y2458" i="1"/>
  <c r="AF2458" i="1" s="1"/>
  <c r="Y2461" i="1"/>
  <c r="AD2461" i="1" s="1"/>
  <c r="Y2473" i="1"/>
  <c r="Y2477" i="1"/>
  <c r="AD2477" i="1" s="1"/>
  <c r="Y2485" i="1"/>
  <c r="AD2485" i="1" s="1"/>
  <c r="Y2489" i="1"/>
  <c r="AD2489" i="1" s="1"/>
  <c r="Y2491" i="1"/>
  <c r="Y2494" i="1"/>
  <c r="Y2509" i="1"/>
  <c r="Y2512" i="1"/>
  <c r="Y2516" i="1"/>
  <c r="Y2520" i="1"/>
  <c r="Y2526" i="1"/>
  <c r="Y2529" i="1"/>
  <c r="AF2529" i="1" s="1"/>
  <c r="Y2532" i="1"/>
  <c r="Y2538" i="1"/>
  <c r="Y2545" i="1"/>
  <c r="AD2545" i="1" s="1"/>
  <c r="Y2552" i="1"/>
  <c r="Y2557" i="1"/>
  <c r="AD2557" i="1" s="1"/>
  <c r="Y2559" i="1"/>
  <c r="Y2565" i="1"/>
  <c r="Y2568" i="1"/>
  <c r="Y2571" i="1"/>
  <c r="Y2575" i="1"/>
  <c r="Y2578" i="1"/>
  <c r="Y2585" i="1"/>
  <c r="Y2594" i="1"/>
  <c r="AG2594" i="1" s="1"/>
  <c r="Y2606" i="1"/>
  <c r="Y2608" i="1"/>
  <c r="Y2616" i="1"/>
  <c r="Y2623" i="1"/>
  <c r="Y2626" i="1"/>
  <c r="Y2629" i="1"/>
  <c r="Y2639" i="1"/>
  <c r="Y2645" i="1"/>
  <c r="Y2649" i="1"/>
  <c r="Y2652" i="1"/>
  <c r="Y2656" i="1"/>
  <c r="Y2660" i="1"/>
  <c r="AD2660" i="1" s="1"/>
  <c r="Y2664" i="1"/>
  <c r="Y2668" i="1"/>
  <c r="Y2671" i="1"/>
  <c r="Y2088" i="1"/>
  <c r="AF2088" i="1" s="1"/>
  <c r="Y2091" i="1"/>
  <c r="Y2093" i="1"/>
  <c r="Y2098" i="1"/>
  <c r="AG2098" i="1" s="1"/>
  <c r="Y2103" i="1"/>
  <c r="Y2106" i="1"/>
  <c r="Y2111" i="1"/>
  <c r="Y2120" i="1"/>
  <c r="AF2120" i="1" s="1"/>
  <c r="Y2125" i="1"/>
  <c r="Y2129" i="1"/>
  <c r="Y2134" i="1"/>
  <c r="AG2134" i="1" s="1"/>
  <c r="Y2152" i="1"/>
  <c r="AF2152" i="1" s="1"/>
  <c r="Y2158" i="1"/>
  <c r="AD2158" i="1" s="1"/>
  <c r="Y2161" i="1"/>
  <c r="Y2166" i="1"/>
  <c r="AG2166" i="1" s="1"/>
  <c r="Y2182" i="1"/>
  <c r="Y2186" i="1"/>
  <c r="Y2191" i="1"/>
  <c r="Y2195" i="1"/>
  <c r="Y2198" i="1"/>
  <c r="AF2198" i="1" s="1"/>
  <c r="Y2226" i="1"/>
  <c r="AF2226" i="1" s="1"/>
  <c r="Y2229" i="1"/>
  <c r="Y2234" i="1"/>
  <c r="AF2234" i="1" s="1"/>
  <c r="Y2237" i="1"/>
  <c r="Y2274" i="1"/>
  <c r="AF2274" i="1" s="1"/>
  <c r="Y2277" i="1"/>
  <c r="Y2286" i="1"/>
  <c r="AF2286" i="1" s="1"/>
  <c r="Y2294" i="1"/>
  <c r="AF2294" i="1" s="1"/>
  <c r="Y2301" i="1"/>
  <c r="Y2304" i="1"/>
  <c r="Y2306" i="1"/>
  <c r="Y2309" i="1"/>
  <c r="Y2312" i="1"/>
  <c r="AG2312" i="1" s="1"/>
  <c r="Y2315" i="1"/>
  <c r="Y2318" i="1"/>
  <c r="AF2318" i="1" s="1"/>
  <c r="Y2324" i="1"/>
  <c r="Y2327" i="1"/>
  <c r="AE2327" i="1" s="1"/>
  <c r="Y2334" i="1"/>
  <c r="Y2339" i="1"/>
  <c r="Y2341" i="1"/>
  <c r="Y2344" i="1"/>
  <c r="AG2344" i="1" s="1"/>
  <c r="Y2347" i="1"/>
  <c r="Y2353" i="1"/>
  <c r="Y2356" i="1"/>
  <c r="Y2359" i="1"/>
  <c r="AE2359" i="1" s="1"/>
  <c r="Y2364" i="1"/>
  <c r="Y2367" i="1"/>
  <c r="Y2371" i="1"/>
  <c r="Y2378" i="1"/>
  <c r="Y2562" i="1"/>
  <c r="AF2562" i="1" s="1"/>
  <c r="Y2674" i="1"/>
  <c r="Y2677" i="1"/>
  <c r="Y2690" i="1"/>
  <c r="Y2692" i="1"/>
  <c r="Y2706" i="1"/>
  <c r="Y2709" i="1"/>
  <c r="Y2712" i="1"/>
  <c r="Y2715" i="1"/>
  <c r="Y2722" i="1"/>
  <c r="Y2725" i="1"/>
  <c r="Y2727" i="1"/>
  <c r="Y2731" i="1"/>
  <c r="Y2733" i="1"/>
  <c r="Y2736" i="1"/>
  <c r="AF2736" i="1" s="1"/>
  <c r="Y2739" i="1"/>
  <c r="Y2743" i="1"/>
  <c r="Y2746" i="1"/>
  <c r="Y2751" i="1"/>
  <c r="AE2751" i="1" s="1"/>
  <c r="Y2756" i="1"/>
  <c r="Y2759" i="1"/>
  <c r="Y2767" i="1"/>
  <c r="Y2770" i="1"/>
  <c r="Y2775" i="1"/>
  <c r="Y2778" i="1"/>
  <c r="Y2783" i="1"/>
  <c r="Y2786" i="1"/>
  <c r="Y2788" i="1"/>
  <c r="Y2793" i="1"/>
  <c r="Y2796" i="1"/>
  <c r="Y2799" i="1"/>
  <c r="Y2802" i="1"/>
  <c r="Y2805" i="1"/>
  <c r="Y2808" i="1"/>
  <c r="Y2810" i="1"/>
  <c r="Y2813" i="1"/>
  <c r="AE2813" i="1" s="1"/>
  <c r="Y2818" i="1"/>
  <c r="Y2820" i="1"/>
  <c r="Y2825" i="1"/>
  <c r="Y2828" i="1"/>
  <c r="Y2831" i="1"/>
  <c r="Y2835" i="1"/>
  <c r="Y2844" i="1"/>
  <c r="AF2844" i="1" s="1"/>
  <c r="Y2848" i="1"/>
  <c r="Y2852" i="1"/>
  <c r="Y2856" i="1"/>
  <c r="Y2860" i="1"/>
  <c r="Y2872" i="1"/>
  <c r="Y2876" i="1"/>
  <c r="Y2881" i="1"/>
  <c r="Y2887" i="1"/>
  <c r="Y2897" i="1"/>
  <c r="AG2897" i="1" s="1"/>
  <c r="Y2903" i="1"/>
  <c r="Y2906" i="1"/>
  <c r="Y2911" i="1"/>
  <c r="Y2917" i="1"/>
  <c r="AG2917" i="1" s="1"/>
  <c r="Y2921" i="1"/>
  <c r="Y2923" i="1"/>
  <c r="Y2932" i="1"/>
  <c r="Y2934" i="1"/>
  <c r="AF2934" i="1" s="1"/>
  <c r="Y2937" i="1"/>
  <c r="AG2937" i="1" s="1"/>
  <c r="Y2940" i="1"/>
  <c r="Y2944" i="1"/>
  <c r="AD2944" i="1" s="1"/>
  <c r="Y2948" i="1"/>
  <c r="Y2954" i="1"/>
  <c r="Y2958" i="1"/>
  <c r="Y2961" i="1"/>
  <c r="Y2966" i="1"/>
  <c r="AF2966" i="1" s="1"/>
  <c r="Y2969" i="1"/>
  <c r="Y2971" i="1"/>
  <c r="Y2977" i="1"/>
  <c r="AG2977" i="1" s="1"/>
  <c r="Y2979" i="1"/>
  <c r="Y2985" i="1"/>
  <c r="Y2994" i="1"/>
  <c r="Y2997" i="1"/>
  <c r="Y3001" i="1"/>
  <c r="Y3004" i="1"/>
  <c r="Y2684" i="1"/>
  <c r="Y2688" i="1"/>
  <c r="Y2691" i="1"/>
  <c r="Y2694" i="1"/>
  <c r="Y2700" i="1"/>
  <c r="Y2708" i="1"/>
  <c r="Y2711" i="1"/>
  <c r="Y2717" i="1"/>
  <c r="Y2724" i="1"/>
  <c r="Y2729" i="1"/>
  <c r="Y2732" i="1"/>
  <c r="Y2737" i="1"/>
  <c r="AG2737" i="1" s="1"/>
  <c r="Y2747" i="1"/>
  <c r="Y2766" i="1"/>
  <c r="AD2766" i="1" s="1"/>
  <c r="Y2779" i="1"/>
  <c r="Y2782" i="1"/>
  <c r="Y2787" i="1"/>
  <c r="Y2789" i="1"/>
  <c r="Y2792" i="1"/>
  <c r="Y2794" i="1"/>
  <c r="Y2803" i="1"/>
  <c r="Y2809" i="1"/>
  <c r="Y2814" i="1"/>
  <c r="AD2814" i="1" s="1"/>
  <c r="Y2817" i="1"/>
  <c r="Y2821" i="1"/>
  <c r="Y2824" i="1"/>
  <c r="Y2826" i="1"/>
  <c r="Y2833" i="1"/>
  <c r="Y2854" i="1"/>
  <c r="Y2858" i="1"/>
  <c r="Y2862" i="1"/>
  <c r="AD2862" i="1" s="1"/>
  <c r="Y2870" i="1"/>
  <c r="Y2874" i="1"/>
  <c r="Y2877" i="1"/>
  <c r="Y2883" i="1"/>
  <c r="Y2886" i="1"/>
  <c r="Y2891" i="1"/>
  <c r="Y2893" i="1"/>
  <c r="AG2893" i="1" s="1"/>
  <c r="Y2896" i="1"/>
  <c r="AD2896" i="1" s="1"/>
  <c r="Y2899" i="1"/>
  <c r="Y2902" i="1"/>
  <c r="Y2905" i="1"/>
  <c r="Y2907" i="1"/>
  <c r="Y2910" i="1"/>
  <c r="Y2915" i="1"/>
  <c r="AE2915" i="1" s="1"/>
  <c r="Y2919" i="1"/>
  <c r="Y2922" i="1"/>
  <c r="Y2925" i="1"/>
  <c r="AG2925" i="1" s="1"/>
  <c r="Y2928" i="1"/>
  <c r="Y2933" i="1"/>
  <c r="AG2933" i="1" s="1"/>
  <c r="Y2942" i="1"/>
  <c r="Y2946" i="1"/>
  <c r="Y2952" i="1"/>
  <c r="Y2956" i="1"/>
  <c r="AD2956" i="1" s="1"/>
  <c r="Y2959" i="1"/>
  <c r="Y2967" i="1"/>
  <c r="Y2970" i="1"/>
  <c r="Y2975" i="1"/>
  <c r="Y2981" i="1"/>
  <c r="Y2986" i="1"/>
  <c r="Y2990" i="1"/>
  <c r="Y2993" i="1"/>
  <c r="Y2999" i="1"/>
  <c r="AD2999" i="1" s="1"/>
  <c r="Y3002" i="1"/>
  <c r="M39" i="1"/>
  <c r="R39" i="1" s="1"/>
  <c r="M44" i="1"/>
  <c r="R44" i="1" s="1"/>
  <c r="M53" i="1"/>
  <c r="R53" i="1" s="1"/>
  <c r="M64" i="1"/>
  <c r="R64" i="1" s="1"/>
  <c r="M71" i="1"/>
  <c r="R71" i="1" s="1"/>
  <c r="M79" i="1"/>
  <c r="R79" i="1" s="1"/>
  <c r="M84" i="1"/>
  <c r="R84" i="1" s="1"/>
  <c r="M87" i="1"/>
  <c r="R87" i="1" s="1"/>
  <c r="M92" i="1"/>
  <c r="R92" i="1" s="1"/>
  <c r="M457" i="1"/>
  <c r="R457" i="1" s="1"/>
  <c r="M459" i="1"/>
  <c r="R459" i="1" s="1"/>
  <c r="M467" i="1"/>
  <c r="R467" i="1" s="1"/>
  <c r="M473" i="1"/>
  <c r="R473" i="1" s="1"/>
  <c r="M503" i="1"/>
  <c r="R503" i="1" s="1"/>
  <c r="M513" i="1"/>
  <c r="R513" i="1" s="1"/>
  <c r="M117" i="1"/>
  <c r="R117" i="1" s="1"/>
  <c r="M123" i="1"/>
  <c r="R123" i="1" s="1"/>
  <c r="M137" i="1"/>
  <c r="R137" i="1" s="1"/>
  <c r="M148" i="1"/>
  <c r="R148" i="1" s="1"/>
  <c r="M155" i="1"/>
  <c r="R155" i="1" s="1"/>
  <c r="M164" i="1"/>
  <c r="R164" i="1" s="1"/>
  <c r="M167" i="1"/>
  <c r="R167" i="1" s="1"/>
  <c r="M173" i="1"/>
  <c r="R173" i="1" s="1"/>
  <c r="M197" i="1"/>
  <c r="R197" i="1" s="1"/>
  <c r="M211" i="1"/>
  <c r="R211" i="1" s="1"/>
  <c r="M235" i="1"/>
  <c r="R235" i="1" s="1"/>
  <c r="M241" i="1"/>
  <c r="R241" i="1" s="1"/>
  <c r="M247" i="1"/>
  <c r="R247" i="1" s="1"/>
  <c r="M299" i="1"/>
  <c r="R299" i="1" s="1"/>
  <c r="M301" i="1"/>
  <c r="R301" i="1" s="1"/>
  <c r="M342" i="1"/>
  <c r="R342" i="1" s="1"/>
  <c r="M344" i="1"/>
  <c r="R344" i="1" s="1"/>
  <c r="M349" i="1"/>
  <c r="R349" i="1" s="1"/>
  <c r="M366" i="1"/>
  <c r="R366" i="1" s="1"/>
  <c r="M368" i="1"/>
  <c r="R368" i="1" s="1"/>
  <c r="M373" i="1"/>
  <c r="R373" i="1" s="1"/>
  <c r="M377" i="1"/>
  <c r="R377" i="1" s="1"/>
  <c r="M381" i="1"/>
  <c r="R381" i="1" s="1"/>
  <c r="M389" i="1"/>
  <c r="R389" i="1" s="1"/>
  <c r="M404" i="1"/>
  <c r="R404" i="1" s="1"/>
  <c r="Y890" i="1"/>
  <c r="AD890" i="1" s="1"/>
  <c r="M890" i="1"/>
  <c r="R890" i="1" s="1"/>
  <c r="M16" i="1"/>
  <c r="R16" i="1" s="1"/>
  <c r="M25" i="1"/>
  <c r="R25" i="1" s="1"/>
  <c r="M29" i="1"/>
  <c r="R29" i="1" s="1"/>
  <c r="M33" i="1"/>
  <c r="R33" i="1" s="1"/>
  <c r="M37" i="1"/>
  <c r="R37" i="1" s="1"/>
  <c r="M48" i="1"/>
  <c r="R48" i="1" s="1"/>
  <c r="M55" i="1"/>
  <c r="R55" i="1" s="1"/>
  <c r="M60" i="1"/>
  <c r="R60" i="1" s="1"/>
  <c r="M69" i="1"/>
  <c r="R69" i="1" s="1"/>
  <c r="M75" i="1"/>
  <c r="R75" i="1" s="1"/>
  <c r="M100" i="1"/>
  <c r="R100" i="1" s="1"/>
  <c r="M107" i="1"/>
  <c r="R107" i="1" s="1"/>
  <c r="M116" i="1"/>
  <c r="R116" i="1" s="1"/>
  <c r="M121" i="1"/>
  <c r="R121" i="1" s="1"/>
  <c r="M140" i="1"/>
  <c r="R140" i="1" s="1"/>
  <c r="M149" i="1"/>
  <c r="R149" i="1" s="1"/>
  <c r="M161" i="1"/>
  <c r="R161" i="1" s="1"/>
  <c r="M165" i="1"/>
  <c r="R165" i="1" s="1"/>
  <c r="M176" i="1"/>
  <c r="R176" i="1" s="1"/>
  <c r="M185" i="1"/>
  <c r="R185" i="1" s="1"/>
  <c r="M192" i="1"/>
  <c r="R192" i="1" s="1"/>
  <c r="M229" i="1"/>
  <c r="R229" i="1" s="1"/>
  <c r="M248" i="1"/>
  <c r="R248" i="1" s="1"/>
  <c r="M263" i="1"/>
  <c r="R263" i="1" s="1"/>
  <c r="M269" i="1"/>
  <c r="R269" i="1" s="1"/>
  <c r="M271" i="1"/>
  <c r="R271" i="1" s="1"/>
  <c r="M277" i="1"/>
  <c r="R277" i="1" s="1"/>
  <c r="M283" i="1"/>
  <c r="R283" i="1" s="1"/>
  <c r="M287" i="1"/>
  <c r="R287" i="1" s="1"/>
  <c r="M289" i="1"/>
  <c r="R289" i="1" s="1"/>
  <c r="M295" i="1"/>
  <c r="R295" i="1" s="1"/>
  <c r="M297" i="1"/>
  <c r="R297" i="1" s="1"/>
  <c r="M304" i="1"/>
  <c r="R304" i="1" s="1"/>
  <c r="M321" i="1"/>
  <c r="R321" i="1" s="1"/>
  <c r="M323" i="1"/>
  <c r="R323" i="1" s="1"/>
  <c r="M328" i="1"/>
  <c r="R328" i="1" s="1"/>
  <c r="M334" i="1"/>
  <c r="R334" i="1" s="1"/>
  <c r="M345" i="1"/>
  <c r="R345" i="1" s="1"/>
  <c r="M347" i="1"/>
  <c r="R347" i="1" s="1"/>
  <c r="M352" i="1"/>
  <c r="R352" i="1" s="1"/>
  <c r="M360" i="1"/>
  <c r="R360" i="1" s="1"/>
  <c r="M369" i="1"/>
  <c r="R369" i="1" s="1"/>
  <c r="M384" i="1"/>
  <c r="R384" i="1" s="1"/>
  <c r="M387" i="1"/>
  <c r="R387" i="1" s="1"/>
  <c r="M405" i="1"/>
  <c r="R405" i="1" s="1"/>
  <c r="M413" i="1"/>
  <c r="R413" i="1" s="1"/>
  <c r="M483" i="1"/>
  <c r="R483" i="1" s="1"/>
  <c r="M469" i="1"/>
  <c r="R469" i="1" s="1"/>
  <c r="M935" i="1"/>
  <c r="R935" i="1" s="1"/>
  <c r="M943" i="1"/>
  <c r="R943" i="1" s="1"/>
  <c r="M946" i="1"/>
  <c r="R946" i="1" s="1"/>
  <c r="M477" i="1"/>
  <c r="R477" i="1" s="1"/>
  <c r="M497" i="1"/>
  <c r="R497" i="1" s="1"/>
  <c r="M507" i="1"/>
  <c r="R507" i="1" s="1"/>
  <c r="M509" i="1"/>
  <c r="R509" i="1" s="1"/>
  <c r="M525" i="1"/>
  <c r="R525" i="1" s="1"/>
  <c r="M560" i="1"/>
  <c r="R560" i="1" s="1"/>
  <c r="M566" i="1"/>
  <c r="R566" i="1" s="1"/>
  <c r="M585" i="1"/>
  <c r="R585" i="1" s="1"/>
  <c r="M606" i="1"/>
  <c r="R606" i="1" s="1"/>
  <c r="M628" i="1"/>
  <c r="R628" i="1" s="1"/>
  <c r="M640" i="1"/>
  <c r="R640" i="1" s="1"/>
  <c r="M643" i="1"/>
  <c r="R643" i="1" s="1"/>
  <c r="M688" i="1"/>
  <c r="R688" i="1" s="1"/>
  <c r="M695" i="1"/>
  <c r="R695" i="1" s="1"/>
  <c r="M698" i="1"/>
  <c r="R698" i="1" s="1"/>
  <c r="M700" i="1"/>
  <c r="R700" i="1" s="1"/>
  <c r="M706" i="1"/>
  <c r="R706" i="1" s="1"/>
  <c r="M716" i="1"/>
  <c r="R716" i="1" s="1"/>
  <c r="M720" i="1"/>
  <c r="R720" i="1" s="1"/>
  <c r="M735" i="1"/>
  <c r="R735" i="1" s="1"/>
  <c r="M739" i="1"/>
  <c r="R739" i="1" s="1"/>
  <c r="M744" i="1"/>
  <c r="R744" i="1" s="1"/>
  <c r="AE749" i="1"/>
  <c r="M755" i="1"/>
  <c r="R755" i="1" s="1"/>
  <c r="M758" i="1"/>
  <c r="R758" i="1" s="1"/>
  <c r="M763" i="1"/>
  <c r="R763" i="1" s="1"/>
  <c r="M768" i="1"/>
  <c r="R768" i="1" s="1"/>
  <c r="M774" i="1"/>
  <c r="R774" i="1" s="1"/>
  <c r="M790" i="1"/>
  <c r="R790" i="1" s="1"/>
  <c r="M792" i="1"/>
  <c r="R792" i="1" s="1"/>
  <c r="M795" i="1"/>
  <c r="R795" i="1" s="1"/>
  <c r="M807" i="1"/>
  <c r="R807" i="1" s="1"/>
  <c r="M810" i="1"/>
  <c r="R810" i="1" s="1"/>
  <c r="M820" i="1"/>
  <c r="R820" i="1" s="1"/>
  <c r="M831" i="1"/>
  <c r="R831" i="1" s="1"/>
  <c r="M835" i="1"/>
  <c r="R835" i="1" s="1"/>
  <c r="M840" i="1"/>
  <c r="R840" i="1" s="1"/>
  <c r="M854" i="1"/>
  <c r="R854" i="1" s="1"/>
  <c r="M859" i="1"/>
  <c r="R859" i="1" s="1"/>
  <c r="M875" i="1"/>
  <c r="R875" i="1" s="1"/>
  <c r="M920" i="1"/>
  <c r="R920" i="1" s="1"/>
  <c r="M923" i="1"/>
  <c r="R923" i="1" s="1"/>
  <c r="M950" i="1"/>
  <c r="R950" i="1" s="1"/>
  <c r="M962" i="1"/>
  <c r="R962" i="1" s="1"/>
  <c r="M967" i="1"/>
  <c r="R967" i="1" s="1"/>
  <c r="M974" i="1"/>
  <c r="R974" i="1" s="1"/>
  <c r="M996" i="1"/>
  <c r="R996" i="1" s="1"/>
  <c r="M1099" i="1"/>
  <c r="R1099" i="1" s="1"/>
  <c r="M1176" i="1"/>
  <c r="R1176" i="1" s="1"/>
  <c r="M1206" i="1"/>
  <c r="R1206" i="1" s="1"/>
  <c r="M1216" i="1"/>
  <c r="R1216" i="1" s="1"/>
  <c r="M1231" i="1"/>
  <c r="R1231" i="1" s="1"/>
  <c r="M517" i="1"/>
  <c r="R517" i="1" s="1"/>
  <c r="M523" i="1"/>
  <c r="R523" i="1" s="1"/>
  <c r="M534" i="1"/>
  <c r="R534" i="1" s="1"/>
  <c r="M536" i="1"/>
  <c r="R536" i="1" s="1"/>
  <c r="M552" i="1"/>
  <c r="R552" i="1" s="1"/>
  <c r="M558" i="1"/>
  <c r="R558" i="1" s="1"/>
  <c r="M561" i="1"/>
  <c r="R561" i="1" s="1"/>
  <c r="M569" i="1"/>
  <c r="R569" i="1" s="1"/>
  <c r="M571" i="1"/>
  <c r="R571" i="1" s="1"/>
  <c r="M574" i="1"/>
  <c r="R574" i="1" s="1"/>
  <c r="M577" i="1"/>
  <c r="R577" i="1" s="1"/>
  <c r="M592" i="1"/>
  <c r="R592" i="1" s="1"/>
  <c r="M603" i="1"/>
  <c r="R603" i="1" s="1"/>
  <c r="M610" i="1"/>
  <c r="R610" i="1" s="1"/>
  <c r="M619" i="1"/>
  <c r="R619" i="1" s="1"/>
  <c r="M641" i="1"/>
  <c r="R641" i="1" s="1"/>
  <c r="M644" i="1"/>
  <c r="R644" i="1" s="1"/>
  <c r="M654" i="1"/>
  <c r="R654" i="1" s="1"/>
  <c r="M663" i="1"/>
  <c r="R663" i="1" s="1"/>
  <c r="M667" i="1"/>
  <c r="R667" i="1" s="1"/>
  <c r="M671" i="1"/>
  <c r="R671" i="1" s="1"/>
  <c r="M674" i="1"/>
  <c r="R674" i="1" s="1"/>
  <c r="M683" i="1"/>
  <c r="R683" i="1" s="1"/>
  <c r="M686" i="1"/>
  <c r="R686" i="1" s="1"/>
  <c r="M696" i="1"/>
  <c r="R696" i="1" s="1"/>
  <c r="M707" i="1"/>
  <c r="R707" i="1" s="1"/>
  <c r="M710" i="1"/>
  <c r="R710" i="1" s="1"/>
  <c r="M712" i="1"/>
  <c r="R712" i="1" s="1"/>
  <c r="M714" i="1"/>
  <c r="R714" i="1" s="1"/>
  <c r="M727" i="1"/>
  <c r="R727" i="1" s="1"/>
  <c r="M730" i="1"/>
  <c r="R730" i="1" s="1"/>
  <c r="M740" i="1"/>
  <c r="R740" i="1" s="1"/>
  <c r="M764" i="1"/>
  <c r="R764" i="1" s="1"/>
  <c r="M772" i="1"/>
  <c r="R772" i="1" s="1"/>
  <c r="M778" i="1"/>
  <c r="R778" i="1" s="1"/>
  <c r="M783" i="1"/>
  <c r="R783" i="1" s="1"/>
  <c r="M786" i="1"/>
  <c r="R786" i="1" s="1"/>
  <c r="M788" i="1"/>
  <c r="R788" i="1" s="1"/>
  <c r="M798" i="1"/>
  <c r="R798" i="1" s="1"/>
  <c r="M803" i="1"/>
  <c r="R803" i="1" s="1"/>
  <c r="M808" i="1"/>
  <c r="R808" i="1" s="1"/>
  <c r="M811" i="1"/>
  <c r="R811" i="1" s="1"/>
  <c r="M815" i="1"/>
  <c r="R815" i="1" s="1"/>
  <c r="M818" i="1"/>
  <c r="R818" i="1" s="1"/>
  <c r="M823" i="1"/>
  <c r="R823" i="1" s="1"/>
  <c r="M826" i="1"/>
  <c r="R826" i="1" s="1"/>
  <c r="M836" i="1"/>
  <c r="R836" i="1" s="1"/>
  <c r="M846" i="1"/>
  <c r="R846" i="1" s="1"/>
  <c r="M860" i="1"/>
  <c r="R860" i="1" s="1"/>
  <c r="M862" i="1"/>
  <c r="R862" i="1" s="1"/>
  <c r="AG871" i="1"/>
  <c r="M926" i="1"/>
  <c r="R926" i="1" s="1"/>
  <c r="M932" i="1"/>
  <c r="R932" i="1" s="1"/>
  <c r="M934" i="1"/>
  <c r="R934" i="1" s="1"/>
  <c r="M939" i="1"/>
  <c r="R939" i="1" s="1"/>
  <c r="M948" i="1"/>
  <c r="R948" i="1" s="1"/>
  <c r="M954" i="1"/>
  <c r="R954" i="1" s="1"/>
  <c r="M970" i="1"/>
  <c r="R970" i="1" s="1"/>
  <c r="M972" i="1"/>
  <c r="R972" i="1" s="1"/>
  <c r="M978" i="1"/>
  <c r="R978" i="1" s="1"/>
  <c r="M994" i="1"/>
  <c r="R994" i="1" s="1"/>
  <c r="M999" i="1"/>
  <c r="R999" i="1" s="1"/>
  <c r="M1002" i="1"/>
  <c r="R1002" i="1" s="1"/>
  <c r="M1018" i="1"/>
  <c r="R1018" i="1" s="1"/>
  <c r="M1023" i="1"/>
  <c r="R1023" i="1" s="1"/>
  <c r="M1026" i="1"/>
  <c r="R1026" i="1" s="1"/>
  <c r="M1031" i="1"/>
  <c r="R1031" i="1" s="1"/>
  <c r="M1034" i="1"/>
  <c r="R1034" i="1" s="1"/>
  <c r="M1039" i="1"/>
  <c r="R1039" i="1" s="1"/>
  <c r="M1042" i="1"/>
  <c r="R1042" i="1" s="1"/>
  <c r="M1051" i="1"/>
  <c r="R1051" i="1" s="1"/>
  <c r="M1070" i="1"/>
  <c r="R1070" i="1" s="1"/>
  <c r="M1084" i="1"/>
  <c r="R1084" i="1" s="1"/>
  <c r="M1100" i="1"/>
  <c r="R1100" i="1" s="1"/>
  <c r="M1108" i="1"/>
  <c r="R1108" i="1" s="1"/>
  <c r="M1126" i="1"/>
  <c r="R1126" i="1" s="1"/>
  <c r="M1134" i="1"/>
  <c r="R1134" i="1" s="1"/>
  <c r="M1140" i="1"/>
  <c r="R1140" i="1" s="1"/>
  <c r="M1158" i="1"/>
  <c r="R1158" i="1" s="1"/>
  <c r="M1160" i="1"/>
  <c r="R1160" i="1" s="1"/>
  <c r="M1168" i="1"/>
  <c r="R1168" i="1" s="1"/>
  <c r="M1174" i="1"/>
  <c r="R1174" i="1" s="1"/>
  <c r="M1180" i="1"/>
  <c r="R1180" i="1" s="1"/>
  <c r="M1183" i="1"/>
  <c r="R1183" i="1" s="1"/>
  <c r="M1186" i="1"/>
  <c r="R1186" i="1" s="1"/>
  <c r="M1194" i="1"/>
  <c r="R1194" i="1" s="1"/>
  <c r="M1202" i="1"/>
  <c r="R1202" i="1" s="1"/>
  <c r="M1204" i="1"/>
  <c r="R1204" i="1" s="1"/>
  <c r="M1214" i="1"/>
  <c r="R1214" i="1" s="1"/>
  <c r="M1220" i="1"/>
  <c r="R1220" i="1" s="1"/>
  <c r="M1223" i="1"/>
  <c r="R1223" i="1" s="1"/>
  <c r="M1226" i="1"/>
  <c r="R1226" i="1" s="1"/>
  <c r="M1234" i="1"/>
  <c r="R1234" i="1" s="1"/>
  <c r="M1242" i="1"/>
  <c r="R1242" i="1" s="1"/>
  <c r="M1244" i="1"/>
  <c r="R1244" i="1" s="1"/>
  <c r="M1254" i="1"/>
  <c r="R1254" i="1" s="1"/>
  <c r="M1570" i="1"/>
  <c r="R1570" i="1" s="1"/>
  <c r="M1575" i="1"/>
  <c r="R1575" i="1" s="1"/>
  <c r="M1587" i="1"/>
  <c r="R1587" i="1" s="1"/>
  <c r="M1604" i="1"/>
  <c r="R1604" i="1" s="1"/>
  <c r="M1634" i="1"/>
  <c r="R1634" i="1" s="1"/>
  <c r="M1642" i="1"/>
  <c r="R1642" i="1" s="1"/>
  <c r="M1645" i="1"/>
  <c r="R1645" i="1" s="1"/>
  <c r="M1658" i="1"/>
  <c r="R1658" i="1" s="1"/>
  <c r="M1668" i="1"/>
  <c r="R1668" i="1" s="1"/>
  <c r="M1676" i="1"/>
  <c r="R1676" i="1" s="1"/>
  <c r="M1692" i="1"/>
  <c r="R1692" i="1" s="1"/>
  <c r="M1706" i="1"/>
  <c r="R1706" i="1" s="1"/>
  <c r="M1712" i="1"/>
  <c r="R1712" i="1" s="1"/>
  <c r="M1718" i="1"/>
  <c r="R1718" i="1" s="1"/>
  <c r="M1724" i="1"/>
  <c r="R1724" i="1" s="1"/>
  <c r="M1732" i="1"/>
  <c r="R1732" i="1" s="1"/>
  <c r="M1740" i="1"/>
  <c r="R1740" i="1" s="1"/>
  <c r="M1778" i="1"/>
  <c r="R1778" i="1" s="1"/>
  <c r="M1781" i="1"/>
  <c r="R1781" i="1" s="1"/>
  <c r="M1786" i="1"/>
  <c r="R1786" i="1" s="1"/>
  <c r="M1789" i="1"/>
  <c r="R1789" i="1" s="1"/>
  <c r="M1794" i="1"/>
  <c r="R1794" i="1" s="1"/>
  <c r="M1797" i="1"/>
  <c r="R1797" i="1" s="1"/>
  <c r="M1802" i="1"/>
  <c r="R1802" i="1" s="1"/>
  <c r="M1805" i="1"/>
  <c r="R1805" i="1" s="1"/>
  <c r="M1808" i="1"/>
  <c r="R1808" i="1" s="1"/>
  <c r="M1816" i="1"/>
  <c r="R1816" i="1" s="1"/>
  <c r="M1824" i="1"/>
  <c r="R1824" i="1" s="1"/>
  <c r="M1832" i="1"/>
  <c r="R1832" i="1" s="1"/>
  <c r="M1844" i="1"/>
  <c r="R1844" i="1" s="1"/>
  <c r="M1852" i="1"/>
  <c r="R1852" i="1" s="1"/>
  <c r="M1864" i="1"/>
  <c r="R1864" i="1" s="1"/>
  <c r="M1888" i="1"/>
  <c r="R1888" i="1" s="1"/>
  <c r="M1893" i="1"/>
  <c r="R1893" i="1" s="1"/>
  <c r="M1896" i="1"/>
  <c r="R1896" i="1" s="1"/>
  <c r="M1901" i="1"/>
  <c r="R1901" i="1" s="1"/>
  <c r="M1906" i="1"/>
  <c r="R1906" i="1" s="1"/>
  <c r="M1914" i="1"/>
  <c r="R1914" i="1" s="1"/>
  <c r="M1922" i="1"/>
  <c r="R1922" i="1" s="1"/>
  <c r="M1372" i="1"/>
  <c r="R1372" i="1" s="1"/>
  <c r="M1246" i="1"/>
  <c r="R1246" i="1" s="1"/>
  <c r="M1256" i="1"/>
  <c r="R1256" i="1" s="1"/>
  <c r="M1268" i="1"/>
  <c r="R1268" i="1" s="1"/>
  <c r="M1288" i="1"/>
  <c r="R1288" i="1" s="1"/>
  <c r="M1294" i="1"/>
  <c r="R1294" i="1" s="1"/>
  <c r="M1304" i="1"/>
  <c r="R1304" i="1" s="1"/>
  <c r="M1307" i="1"/>
  <c r="R1307" i="1" s="1"/>
  <c r="M1316" i="1"/>
  <c r="R1316" i="1" s="1"/>
  <c r="M1320" i="1"/>
  <c r="R1320" i="1" s="1"/>
  <c r="M1334" i="1"/>
  <c r="R1334" i="1" s="1"/>
  <c r="M1347" i="1"/>
  <c r="R1347" i="1" s="1"/>
  <c r="M1360" i="1"/>
  <c r="R1360" i="1" s="1"/>
  <c r="AE1375" i="1"/>
  <c r="M1376" i="1"/>
  <c r="R1376" i="1" s="1"/>
  <c r="M1389" i="1"/>
  <c r="R1389" i="1" s="1"/>
  <c r="M1392" i="1"/>
  <c r="R1392" i="1" s="1"/>
  <c r="M1394" i="1"/>
  <c r="R1394" i="1" s="1"/>
  <c r="M1404" i="1"/>
  <c r="R1404" i="1" s="1"/>
  <c r="M1408" i="1"/>
  <c r="R1408" i="1" s="1"/>
  <c r="M1416" i="1"/>
  <c r="R1416" i="1" s="1"/>
  <c r="M1418" i="1"/>
  <c r="R1418" i="1" s="1"/>
  <c r="M1432" i="1"/>
  <c r="R1432" i="1" s="1"/>
  <c r="M1442" i="1"/>
  <c r="R1442" i="1" s="1"/>
  <c r="M1453" i="1"/>
  <c r="R1453" i="1" s="1"/>
  <c r="M1456" i="1"/>
  <c r="R1456" i="1" s="1"/>
  <c r="M1458" i="1"/>
  <c r="R1458" i="1" s="1"/>
  <c r="M1469" i="1"/>
  <c r="R1469" i="1" s="1"/>
  <c r="M1472" i="1"/>
  <c r="R1472" i="1" s="1"/>
  <c r="M1474" i="1"/>
  <c r="R1474" i="1" s="1"/>
  <c r="M1480" i="1"/>
  <c r="R1480" i="1" s="1"/>
  <c r="M1500" i="1"/>
  <c r="R1500" i="1" s="1"/>
  <c r="M1510" i="1"/>
  <c r="R1510" i="1" s="1"/>
  <c r="M1517" i="1"/>
  <c r="R1517" i="1" s="1"/>
  <c r="M1520" i="1"/>
  <c r="R1520" i="1" s="1"/>
  <c r="M1522" i="1"/>
  <c r="R1522" i="1" s="1"/>
  <c r="M1532" i="1"/>
  <c r="R1532" i="1" s="1"/>
  <c r="M1546" i="1"/>
  <c r="R1546" i="1" s="1"/>
  <c r="M1552" i="1"/>
  <c r="R1552" i="1" s="1"/>
  <c r="M1562" i="1"/>
  <c r="R1562" i="1" s="1"/>
  <c r="M1564" i="1"/>
  <c r="R1564" i="1" s="1"/>
  <c r="M1722" i="1"/>
  <c r="R1722" i="1" s="1"/>
  <c r="M1796" i="1"/>
  <c r="R1796" i="1" s="1"/>
  <c r="M1804" i="1"/>
  <c r="R1804" i="1" s="1"/>
  <c r="M1260" i="1"/>
  <c r="R1260" i="1" s="1"/>
  <c r="M1263" i="1"/>
  <c r="R1263" i="1" s="1"/>
  <c r="M1266" i="1"/>
  <c r="R1266" i="1" s="1"/>
  <c r="M1272" i="1"/>
  <c r="R1272" i="1" s="1"/>
  <c r="M1283" i="1"/>
  <c r="R1283" i="1" s="1"/>
  <c r="M1300" i="1"/>
  <c r="R1300" i="1" s="1"/>
  <c r="M1308" i="1"/>
  <c r="R1308" i="1" s="1"/>
  <c r="M1329" i="1"/>
  <c r="R1329" i="1" s="1"/>
  <c r="M1348" i="1"/>
  <c r="R1348" i="1" s="1"/>
  <c r="M1353" i="1"/>
  <c r="R1353" i="1" s="1"/>
  <c r="M1358" i="1"/>
  <c r="R1358" i="1" s="1"/>
  <c r="M1380" i="1"/>
  <c r="R1380" i="1" s="1"/>
  <c r="M1384" i="1"/>
  <c r="R1384" i="1" s="1"/>
  <c r="M1398" i="1"/>
  <c r="R1398" i="1" s="1"/>
  <c r="M1411" i="1"/>
  <c r="R1411" i="1" s="1"/>
  <c r="M1424" i="1"/>
  <c r="R1424" i="1" s="1"/>
  <c r="M1440" i="1"/>
  <c r="R1440" i="1" s="1"/>
  <c r="M1448" i="1"/>
  <c r="R1448" i="1" s="1"/>
  <c r="M1464" i="1"/>
  <c r="R1464" i="1" s="1"/>
  <c r="M1478" i="1"/>
  <c r="R1478" i="1" s="1"/>
  <c r="M1503" i="1"/>
  <c r="R1503" i="1" s="1"/>
  <c r="M1528" i="1"/>
  <c r="R1528" i="1" s="1"/>
  <c r="M1550" i="1"/>
  <c r="R1550" i="1" s="1"/>
  <c r="M1558" i="1"/>
  <c r="R1558" i="1" s="1"/>
  <c r="M1582" i="1"/>
  <c r="R1582" i="1" s="1"/>
  <c r="M1584" i="1"/>
  <c r="R1584" i="1" s="1"/>
  <c r="M1596" i="1"/>
  <c r="R1596" i="1" s="1"/>
  <c r="M1606" i="1"/>
  <c r="R1606" i="1" s="1"/>
  <c r="M1612" i="1"/>
  <c r="R1612" i="1" s="1"/>
  <c r="M1626" i="1"/>
  <c r="R1626" i="1" s="1"/>
  <c r="M1648" i="1"/>
  <c r="R1648" i="1" s="1"/>
  <c r="M1652" i="1"/>
  <c r="R1652" i="1" s="1"/>
  <c r="M1660" i="1"/>
  <c r="R1660" i="1" s="1"/>
  <c r="M1684" i="1"/>
  <c r="R1684" i="1" s="1"/>
  <c r="M1700" i="1"/>
  <c r="R1700" i="1" s="1"/>
  <c r="M1714" i="1"/>
  <c r="R1714" i="1" s="1"/>
  <c r="M1720" i="1"/>
  <c r="R1720" i="1" s="1"/>
  <c r="M1728" i="1"/>
  <c r="R1728" i="1" s="1"/>
  <c r="M1736" i="1"/>
  <c r="R1736" i="1" s="1"/>
  <c r="M1748" i="1"/>
  <c r="R1748" i="1" s="1"/>
  <c r="M1756" i="1"/>
  <c r="R1756" i="1" s="1"/>
  <c r="M1764" i="1"/>
  <c r="R1764" i="1" s="1"/>
  <c r="M1772" i="1"/>
  <c r="R1772" i="1" s="1"/>
  <c r="M1810" i="1"/>
  <c r="R1810" i="1" s="1"/>
  <c r="M1813" i="1"/>
  <c r="R1813" i="1" s="1"/>
  <c r="M1818" i="1"/>
  <c r="R1818" i="1" s="1"/>
  <c r="M1821" i="1"/>
  <c r="R1821" i="1" s="1"/>
  <c r="M1826" i="1"/>
  <c r="R1826" i="1" s="1"/>
  <c r="M1829" i="1"/>
  <c r="R1829" i="1" s="1"/>
  <c r="M1834" i="1"/>
  <c r="R1834" i="1" s="1"/>
  <c r="M1837" i="1"/>
  <c r="R1837" i="1" s="1"/>
  <c r="M1840" i="1"/>
  <c r="R1840" i="1" s="1"/>
  <c r="M1848" i="1"/>
  <c r="R1848" i="1" s="1"/>
  <c r="M1856" i="1"/>
  <c r="R1856" i="1" s="1"/>
  <c r="M1861" i="1"/>
  <c r="R1861" i="1" s="1"/>
  <c r="M1868" i="1"/>
  <c r="R1868" i="1" s="1"/>
  <c r="M1872" i="1"/>
  <c r="R1872" i="1" s="1"/>
  <c r="M1877" i="1"/>
  <c r="R1877" i="1" s="1"/>
  <c r="M1880" i="1"/>
  <c r="R1880" i="1" s="1"/>
  <c r="M1885" i="1"/>
  <c r="R1885" i="1" s="1"/>
  <c r="M1890" i="1"/>
  <c r="R1890" i="1" s="1"/>
  <c r="M1898" i="1"/>
  <c r="R1898" i="1" s="1"/>
  <c r="M1908" i="1"/>
  <c r="R1908" i="1" s="1"/>
  <c r="M1969" i="1"/>
  <c r="R1969" i="1" s="1"/>
  <c r="M1972" i="1"/>
  <c r="R1972" i="1" s="1"/>
  <c r="M1974" i="1"/>
  <c r="R1974" i="1" s="1"/>
  <c r="M2020" i="1"/>
  <c r="R2020" i="1" s="1"/>
  <c r="M2184" i="1"/>
  <c r="R2184" i="1" s="1"/>
  <c r="M2203" i="1"/>
  <c r="R2203" i="1" s="1"/>
  <c r="M2222" i="1"/>
  <c r="R2222" i="1" s="1"/>
  <c r="M2243" i="1"/>
  <c r="R2243" i="1" s="1"/>
  <c r="M2270" i="1"/>
  <c r="R2270" i="1" s="1"/>
  <c r="M2292" i="1"/>
  <c r="R2292" i="1" s="1"/>
  <c r="M2413" i="1"/>
  <c r="R2413" i="1" s="1"/>
  <c r="M2416" i="1"/>
  <c r="R2416" i="1" s="1"/>
  <c r="M2425" i="1"/>
  <c r="R2425" i="1" s="1"/>
  <c r="M2428" i="1"/>
  <c r="R2428" i="1" s="1"/>
  <c r="Y2480" i="1"/>
  <c r="AE2480" i="1" s="1"/>
  <c r="M2480" i="1"/>
  <c r="R2480" i="1" s="1"/>
  <c r="M1937" i="1"/>
  <c r="R1937" i="1" s="1"/>
  <c r="M1945" i="1"/>
  <c r="R1945" i="1" s="1"/>
  <c r="M1950" i="1"/>
  <c r="R1950" i="1" s="1"/>
  <c r="M1958" i="1"/>
  <c r="R1958" i="1" s="1"/>
  <c r="M1965" i="1"/>
  <c r="R1965" i="1" s="1"/>
  <c r="M1970" i="1"/>
  <c r="R1970" i="1" s="1"/>
  <c r="M1984" i="1"/>
  <c r="R1984" i="1" s="1"/>
  <c r="M1986" i="1"/>
  <c r="R1986" i="1" s="1"/>
  <c r="M1998" i="1"/>
  <c r="R1998" i="1" s="1"/>
  <c r="M2010" i="1"/>
  <c r="R2010" i="1" s="1"/>
  <c r="M2016" i="1"/>
  <c r="R2016" i="1" s="1"/>
  <c r="M2024" i="1"/>
  <c r="R2024" i="1" s="1"/>
  <c r="M2031" i="1"/>
  <c r="R2031" i="1" s="1"/>
  <c r="M2042" i="1"/>
  <c r="R2042" i="1" s="1"/>
  <c r="M2049" i="1"/>
  <c r="R2049" i="1" s="1"/>
  <c r="M2069" i="1"/>
  <c r="R2069" i="1" s="1"/>
  <c r="M2074" i="1"/>
  <c r="R2074" i="1" s="1"/>
  <c r="M2081" i="1"/>
  <c r="R2081" i="1" s="1"/>
  <c r="M2101" i="1"/>
  <c r="R2101" i="1" s="1"/>
  <c r="M2106" i="1"/>
  <c r="R2106" i="1" s="1"/>
  <c r="M2114" i="1"/>
  <c r="R2114" i="1" s="1"/>
  <c r="M2169" i="1"/>
  <c r="R2169" i="1" s="1"/>
  <c r="M2180" i="1"/>
  <c r="R2180" i="1" s="1"/>
  <c r="M2182" i="1"/>
  <c r="R2182" i="1" s="1"/>
  <c r="M2194" i="1"/>
  <c r="R2194" i="1" s="1"/>
  <c r="M2204" i="1"/>
  <c r="R2204" i="1" s="1"/>
  <c r="AF2206" i="1"/>
  <c r="M2207" i="1"/>
  <c r="R2207" i="1" s="1"/>
  <c r="M2211" i="1"/>
  <c r="R2211" i="1" s="1"/>
  <c r="M2219" i="1"/>
  <c r="R2219" i="1" s="1"/>
  <c r="M2230" i="1"/>
  <c r="R2230" i="1" s="1"/>
  <c r="M2244" i="1"/>
  <c r="R2244" i="1" s="1"/>
  <c r="M2247" i="1"/>
  <c r="R2247" i="1" s="1"/>
  <c r="M2252" i="1"/>
  <c r="R2252" i="1" s="1"/>
  <c r="M2255" i="1"/>
  <c r="R2255" i="1" s="1"/>
  <c r="M2259" i="1"/>
  <c r="R2259" i="1" s="1"/>
  <c r="M2267" i="1"/>
  <c r="R2267" i="1" s="1"/>
  <c r="M2278" i="1"/>
  <c r="R2278" i="1" s="1"/>
  <c r="M2286" i="1"/>
  <c r="R2286" i="1" s="1"/>
  <c r="M2300" i="1"/>
  <c r="R2300" i="1" s="1"/>
  <c r="M2302" i="1"/>
  <c r="R2302" i="1" s="1"/>
  <c r="M2304" i="1"/>
  <c r="R2304" i="1" s="1"/>
  <c r="M2312" i="1"/>
  <c r="R2312" i="1" s="1"/>
  <c r="M2318" i="1"/>
  <c r="R2318" i="1" s="1"/>
  <c r="M2326" i="1"/>
  <c r="R2326" i="1" s="1"/>
  <c r="M2360" i="1"/>
  <c r="R2360" i="1" s="1"/>
  <c r="M2368" i="1"/>
  <c r="R2368" i="1" s="1"/>
  <c r="M2372" i="1"/>
  <c r="R2372" i="1" s="1"/>
  <c r="M2375" i="1"/>
  <c r="R2375" i="1" s="1"/>
  <c r="M2383" i="1"/>
  <c r="R2383" i="1" s="1"/>
  <c r="M2388" i="1"/>
  <c r="R2388" i="1" s="1"/>
  <c r="M2401" i="1"/>
  <c r="R2401" i="1" s="1"/>
  <c r="M2404" i="1"/>
  <c r="R2404" i="1" s="1"/>
  <c r="M2417" i="1"/>
  <c r="R2417" i="1" s="1"/>
  <c r="M2420" i="1"/>
  <c r="R2420" i="1" s="1"/>
  <c r="M2429" i="1"/>
  <c r="R2429" i="1" s="1"/>
  <c r="M2432" i="1"/>
  <c r="R2432" i="1" s="1"/>
  <c r="M2435" i="1"/>
  <c r="R2435" i="1" s="1"/>
  <c r="Y2504" i="1"/>
  <c r="M2504" i="1"/>
  <c r="R2504" i="1" s="1"/>
  <c r="M1994" i="1"/>
  <c r="R1994" i="1" s="1"/>
  <c r="M2006" i="1"/>
  <c r="R2006" i="1" s="1"/>
  <c r="M2027" i="1"/>
  <c r="R2027" i="1" s="1"/>
  <c r="M2030" i="1"/>
  <c r="R2030" i="1" s="1"/>
  <c r="M2032" i="1"/>
  <c r="R2032" i="1" s="1"/>
  <c r="M2035" i="1"/>
  <c r="R2035" i="1" s="1"/>
  <c r="M2038" i="1"/>
  <c r="R2038" i="1" s="1"/>
  <c r="M2045" i="1"/>
  <c r="R2045" i="1" s="1"/>
  <c r="M2048" i="1"/>
  <c r="R2048" i="1" s="1"/>
  <c r="M2050" i="1"/>
  <c r="R2050" i="1" s="1"/>
  <c r="M2057" i="1"/>
  <c r="R2057" i="1" s="1"/>
  <c r="M2070" i="1"/>
  <c r="R2070" i="1" s="1"/>
  <c r="M2077" i="1"/>
  <c r="R2077" i="1" s="1"/>
  <c r="M2080" i="1"/>
  <c r="R2080" i="1" s="1"/>
  <c r="M2082" i="1"/>
  <c r="R2082" i="1" s="1"/>
  <c r="M2089" i="1"/>
  <c r="R2089" i="1" s="1"/>
  <c r="M2102" i="1"/>
  <c r="R2102" i="1" s="1"/>
  <c r="M2109" i="1"/>
  <c r="R2109" i="1" s="1"/>
  <c r="M2112" i="1"/>
  <c r="R2112" i="1" s="1"/>
  <c r="M2120" i="1"/>
  <c r="R2120" i="1" s="1"/>
  <c r="M2128" i="1"/>
  <c r="R2128" i="1" s="1"/>
  <c r="M2136" i="1"/>
  <c r="R2136" i="1" s="1"/>
  <c r="M2144" i="1"/>
  <c r="R2144" i="1" s="1"/>
  <c r="M2152" i="1"/>
  <c r="R2152" i="1" s="1"/>
  <c r="M2168" i="1"/>
  <c r="R2168" i="1" s="1"/>
  <c r="M2170" i="1"/>
  <c r="R2170" i="1" s="1"/>
  <c r="M2186" i="1"/>
  <c r="R2186" i="1" s="1"/>
  <c r="M2191" i="1"/>
  <c r="R2191" i="1" s="1"/>
  <c r="M2198" i="1"/>
  <c r="R2198" i="1" s="1"/>
  <c r="M2212" i="1"/>
  <c r="R2212" i="1" s="1"/>
  <c r="M2215" i="1"/>
  <c r="R2215" i="1" s="1"/>
  <c r="M2220" i="1"/>
  <c r="R2220" i="1" s="1"/>
  <c r="M2223" i="1"/>
  <c r="R2223" i="1" s="1"/>
  <c r="M2227" i="1"/>
  <c r="R2227" i="1" s="1"/>
  <c r="M2238" i="1"/>
  <c r="R2238" i="1" s="1"/>
  <c r="M2260" i="1"/>
  <c r="R2260" i="1" s="1"/>
  <c r="M2263" i="1"/>
  <c r="R2263" i="1" s="1"/>
  <c r="M2268" i="1"/>
  <c r="R2268" i="1" s="1"/>
  <c r="M2271" i="1"/>
  <c r="R2271" i="1" s="1"/>
  <c r="M2275" i="1"/>
  <c r="R2275" i="1" s="1"/>
  <c r="M2283" i="1"/>
  <c r="R2283" i="1" s="1"/>
  <c r="M2294" i="1"/>
  <c r="R2294" i="1" s="1"/>
  <c r="M2316" i="1"/>
  <c r="R2316" i="1" s="1"/>
  <c r="M2324" i="1"/>
  <c r="R2324" i="1" s="1"/>
  <c r="M2336" i="1"/>
  <c r="R2336" i="1" s="1"/>
  <c r="M2352" i="1"/>
  <c r="R2352" i="1" s="1"/>
  <c r="M2358" i="1"/>
  <c r="R2358" i="1" s="1"/>
  <c r="M2366" i="1"/>
  <c r="R2366" i="1" s="1"/>
  <c r="M2369" i="1"/>
  <c r="R2369" i="1" s="1"/>
  <c r="M2376" i="1"/>
  <c r="R2376" i="1" s="1"/>
  <c r="M2380" i="1"/>
  <c r="R2380" i="1" s="1"/>
  <c r="M2391" i="1"/>
  <c r="R2391" i="1" s="1"/>
  <c r="M2398" i="1"/>
  <c r="R2398" i="1" s="1"/>
  <c r="M2405" i="1"/>
  <c r="R2405" i="1" s="1"/>
  <c r="M2408" i="1"/>
  <c r="R2408" i="1" s="1"/>
  <c r="M2414" i="1"/>
  <c r="R2414" i="1" s="1"/>
  <c r="M2430" i="1"/>
  <c r="R2430" i="1" s="1"/>
  <c r="M2433" i="1"/>
  <c r="R2433" i="1" s="1"/>
  <c r="M2436" i="1"/>
  <c r="R2436" i="1" s="1"/>
  <c r="M2440" i="1"/>
  <c r="R2440" i="1" s="1"/>
  <c r="M2445" i="1"/>
  <c r="R2445" i="1" s="1"/>
  <c r="M2448" i="1"/>
  <c r="R2448" i="1" s="1"/>
  <c r="M2453" i="1"/>
  <c r="R2453" i="1" s="1"/>
  <c r="M2462" i="1"/>
  <c r="R2462" i="1" s="1"/>
  <c r="AE2464" i="1"/>
  <c r="M2475" i="1"/>
  <c r="R2475" i="1" s="1"/>
  <c r="M2492" i="1"/>
  <c r="R2492" i="1" s="1"/>
  <c r="M2495" i="1"/>
  <c r="R2495" i="1" s="1"/>
  <c r="M2497" i="1"/>
  <c r="R2497" i="1" s="1"/>
  <c r="M2499" i="1"/>
  <c r="R2499" i="1" s="1"/>
  <c r="M2508" i="1"/>
  <c r="R2508" i="1" s="1"/>
  <c r="M2522" i="1"/>
  <c r="R2522" i="1" s="1"/>
  <c r="M2525" i="1"/>
  <c r="R2525" i="1" s="1"/>
  <c r="M2531" i="1"/>
  <c r="R2531" i="1" s="1"/>
  <c r="M2545" i="1"/>
  <c r="R2545" i="1" s="1"/>
  <c r="M2552" i="1"/>
  <c r="R2552" i="1" s="1"/>
  <c r="M2556" i="1"/>
  <c r="R2556" i="1" s="1"/>
  <c r="M2563" i="1"/>
  <c r="R2563" i="1" s="1"/>
  <c r="M2568" i="1"/>
  <c r="R2568" i="1" s="1"/>
  <c r="M2571" i="1"/>
  <c r="R2571" i="1" s="1"/>
  <c r="M2575" i="1"/>
  <c r="R2575" i="1" s="1"/>
  <c r="M2585" i="1"/>
  <c r="R2585" i="1" s="1"/>
  <c r="M2608" i="1"/>
  <c r="R2608" i="1" s="1"/>
  <c r="M2620" i="1"/>
  <c r="R2620" i="1" s="1"/>
  <c r="M2623" i="1"/>
  <c r="R2623" i="1" s="1"/>
  <c r="M2629" i="1"/>
  <c r="R2629" i="1" s="1"/>
  <c r="M2635" i="1"/>
  <c r="R2635" i="1" s="1"/>
  <c r="M2638" i="1"/>
  <c r="R2638" i="1" s="1"/>
  <c r="M2656" i="1"/>
  <c r="R2656" i="1" s="1"/>
  <c r="M2657" i="1"/>
  <c r="R2657" i="1" s="1"/>
  <c r="M2661" i="1"/>
  <c r="R2661" i="1" s="1"/>
  <c r="M2672" i="1"/>
  <c r="R2672" i="1" s="1"/>
  <c r="M2678" i="1"/>
  <c r="R2678" i="1" s="1"/>
  <c r="M2693" i="1"/>
  <c r="R2693" i="1" s="1"/>
  <c r="M2710" i="1"/>
  <c r="R2710" i="1" s="1"/>
  <c r="M2713" i="1"/>
  <c r="R2713" i="1" s="1"/>
  <c r="M2720" i="1"/>
  <c r="R2720" i="1" s="1"/>
  <c r="M2728" i="1"/>
  <c r="R2728" i="1" s="1"/>
  <c r="M2733" i="1"/>
  <c r="R2733" i="1" s="1"/>
  <c r="AF2742" i="1"/>
  <c r="M2743" i="1"/>
  <c r="R2743" i="1" s="1"/>
  <c r="M2746" i="1"/>
  <c r="R2746" i="1" s="1"/>
  <c r="M2748" i="1"/>
  <c r="R2748" i="1" s="1"/>
  <c r="M2750" i="1"/>
  <c r="R2750" i="1" s="1"/>
  <c r="M2760" i="1"/>
  <c r="R2760" i="1" s="1"/>
  <c r="M2767" i="1"/>
  <c r="R2767" i="1" s="1"/>
  <c r="M2770" i="1"/>
  <c r="R2770" i="1" s="1"/>
  <c r="M2775" i="1"/>
  <c r="R2775" i="1" s="1"/>
  <c r="M2780" i="1"/>
  <c r="R2780" i="1" s="1"/>
  <c r="M2804" i="1"/>
  <c r="R2804" i="1" s="1"/>
  <c r="M2807" i="1"/>
  <c r="R2807" i="1" s="1"/>
  <c r="M2812" i="1"/>
  <c r="R2812" i="1" s="1"/>
  <c r="M2814" i="1"/>
  <c r="R2814" i="1" s="1"/>
  <c r="M2816" i="1"/>
  <c r="R2816" i="1" s="1"/>
  <c r="M2818" i="1"/>
  <c r="R2818" i="1" s="1"/>
  <c r="M2834" i="1"/>
  <c r="R2834" i="1" s="1"/>
  <c r="M2862" i="1"/>
  <c r="R2862" i="1" s="1"/>
  <c r="M2870" i="1"/>
  <c r="R2870" i="1" s="1"/>
  <c r="M2874" i="1"/>
  <c r="R2874" i="1" s="1"/>
  <c r="M2882" i="1"/>
  <c r="R2882" i="1" s="1"/>
  <c r="M2885" i="1"/>
  <c r="R2885" i="1" s="1"/>
  <c r="M2888" i="1"/>
  <c r="R2888" i="1" s="1"/>
  <c r="M2895" i="1"/>
  <c r="R2895" i="1" s="1"/>
  <c r="M2898" i="1"/>
  <c r="R2898" i="1" s="1"/>
  <c r="M2901" i="1"/>
  <c r="R2901" i="1" s="1"/>
  <c r="M2904" i="1"/>
  <c r="R2904" i="1" s="1"/>
  <c r="M2909" i="1"/>
  <c r="R2909" i="1" s="1"/>
  <c r="M2912" i="1"/>
  <c r="R2912" i="1" s="1"/>
  <c r="M2918" i="1"/>
  <c r="R2918" i="1" s="1"/>
  <c r="M2932" i="1"/>
  <c r="R2932" i="1" s="1"/>
  <c r="M2934" i="1"/>
  <c r="R2934" i="1" s="1"/>
  <c r="M2952" i="1"/>
  <c r="R2952" i="1" s="1"/>
  <c r="M2990" i="1"/>
  <c r="R2990" i="1" s="1"/>
  <c r="M2995" i="1"/>
  <c r="R2995" i="1" s="1"/>
  <c r="M2998" i="1"/>
  <c r="R2998" i="1" s="1"/>
  <c r="M2460" i="1"/>
  <c r="R2460" i="1" s="1"/>
  <c r="M2464" i="1"/>
  <c r="R2464" i="1" s="1"/>
  <c r="M2467" i="1"/>
  <c r="R2467" i="1" s="1"/>
  <c r="M2472" i="1"/>
  <c r="R2472" i="1" s="1"/>
  <c r="M2481" i="1"/>
  <c r="R2481" i="1" s="1"/>
  <c r="M2483" i="1"/>
  <c r="R2483" i="1" s="1"/>
  <c r="M2489" i="1"/>
  <c r="R2489" i="1" s="1"/>
  <c r="M2494" i="1"/>
  <c r="R2494" i="1" s="1"/>
  <c r="M2496" i="1"/>
  <c r="R2496" i="1" s="1"/>
  <c r="M2498" i="1"/>
  <c r="R2498" i="1" s="1"/>
  <c r="M2505" i="1"/>
  <c r="R2505" i="1" s="1"/>
  <c r="M2530" i="1"/>
  <c r="R2530" i="1" s="1"/>
  <c r="M2532" i="1"/>
  <c r="R2532" i="1" s="1"/>
  <c r="M2536" i="1"/>
  <c r="R2536" i="1" s="1"/>
  <c r="M2537" i="1"/>
  <c r="R2537" i="1" s="1"/>
  <c r="M2547" i="1"/>
  <c r="R2547" i="1" s="1"/>
  <c r="M2553" i="1"/>
  <c r="R2553" i="1" s="1"/>
  <c r="M2555" i="1"/>
  <c r="R2555" i="1" s="1"/>
  <c r="M2564" i="1"/>
  <c r="R2564" i="1" s="1"/>
  <c r="M2580" i="1"/>
  <c r="R2580" i="1" s="1"/>
  <c r="M2583" i="1"/>
  <c r="R2583" i="1" s="1"/>
  <c r="M2587" i="1"/>
  <c r="R2587" i="1" s="1"/>
  <c r="M2593" i="1"/>
  <c r="R2593" i="1" s="1"/>
  <c r="M2595" i="1"/>
  <c r="R2595" i="1" s="1"/>
  <c r="M2601" i="1"/>
  <c r="R2601" i="1" s="1"/>
  <c r="M2618" i="1"/>
  <c r="R2618" i="1" s="1"/>
  <c r="M2647" i="1"/>
  <c r="R2647" i="1" s="1"/>
  <c r="M2652" i="1"/>
  <c r="R2652" i="1" s="1"/>
  <c r="M2679" i="1"/>
  <c r="R2679" i="1" s="1"/>
  <c r="M2682" i="1"/>
  <c r="R2682" i="1" s="1"/>
  <c r="M2698" i="1"/>
  <c r="R2698" i="1" s="1"/>
  <c r="M2721" i="1"/>
  <c r="R2721" i="1" s="1"/>
  <c r="M2732" i="1"/>
  <c r="R2732" i="1" s="1"/>
  <c r="M2737" i="1"/>
  <c r="R2737" i="1" s="1"/>
  <c r="M2742" i="1"/>
  <c r="R2742" i="1" s="1"/>
  <c r="M2749" i="1"/>
  <c r="R2749" i="1" s="1"/>
  <c r="M2751" i="1"/>
  <c r="R2751" i="1" s="1"/>
  <c r="M2774" i="1"/>
  <c r="R2774" i="1" s="1"/>
  <c r="M2784" i="1"/>
  <c r="R2784" i="1" s="1"/>
  <c r="M2791" i="1"/>
  <c r="R2791" i="1" s="1"/>
  <c r="M2813" i="1"/>
  <c r="R2813" i="1" s="1"/>
  <c r="M2823" i="1"/>
  <c r="R2823" i="1" s="1"/>
  <c r="M2866" i="1"/>
  <c r="R2866" i="1" s="1"/>
  <c r="M2884" i="1"/>
  <c r="R2884" i="1" s="1"/>
  <c r="M2889" i="1"/>
  <c r="R2889" i="1" s="1"/>
  <c r="M2892" i="1"/>
  <c r="R2892" i="1" s="1"/>
  <c r="M2894" i="1"/>
  <c r="R2894" i="1" s="1"/>
  <c r="M2900" i="1"/>
  <c r="R2900" i="1" s="1"/>
  <c r="M2908" i="1"/>
  <c r="R2908" i="1" s="1"/>
  <c r="M2913" i="1"/>
  <c r="R2913" i="1" s="1"/>
  <c r="M2916" i="1"/>
  <c r="R2916" i="1" s="1"/>
  <c r="M2928" i="1"/>
  <c r="R2928" i="1" s="1"/>
  <c r="M2933" i="1"/>
  <c r="R2933" i="1" s="1"/>
  <c r="M2938" i="1"/>
  <c r="R2938" i="1" s="1"/>
  <c r="M2944" i="1"/>
  <c r="R2944" i="1" s="1"/>
  <c r="M2948" i="1"/>
  <c r="R2948" i="1" s="1"/>
  <c r="M2954" i="1"/>
  <c r="R2954" i="1" s="1"/>
  <c r="AE2957" i="1"/>
  <c r="M2971" i="1"/>
  <c r="R2971" i="1" s="1"/>
  <c r="M2974" i="1"/>
  <c r="R2974" i="1" s="1"/>
  <c r="M2979" i="1"/>
  <c r="R2979" i="1" s="1"/>
  <c r="M2983" i="1"/>
  <c r="R2983" i="1" s="1"/>
  <c r="M2985" i="1"/>
  <c r="R2985" i="1" s="1"/>
  <c r="M2999" i="1"/>
  <c r="R2999" i="1" s="1"/>
  <c r="AF1454" i="1"/>
  <c r="AF1486" i="1"/>
  <c r="AE2524" i="1"/>
  <c r="AF2222" i="1"/>
  <c r="AF319" i="1"/>
  <c r="M2604" i="1"/>
  <c r="R2604" i="1" s="1"/>
  <c r="M2000" i="1"/>
  <c r="R2000" i="1" s="1"/>
  <c r="AD177" i="1"/>
  <c r="M910" i="1"/>
  <c r="R910" i="1" s="1"/>
  <c r="M1654" i="1"/>
  <c r="R1654" i="1" s="1"/>
  <c r="AF1844" i="1"/>
  <c r="M1846" i="1"/>
  <c r="R1846" i="1" s="1"/>
  <c r="AD2429" i="1"/>
  <c r="M2296" i="1"/>
  <c r="R2296" i="1" s="1"/>
  <c r="M2569" i="1"/>
  <c r="R2569" i="1" s="1"/>
  <c r="AD3003" i="1"/>
  <c r="AF311" i="1"/>
  <c r="M1894" i="1"/>
  <c r="R1894" i="1" s="1"/>
  <c r="AE2033" i="1"/>
  <c r="AE2391" i="1"/>
  <c r="AG2909" i="1"/>
  <c r="M17" i="1"/>
  <c r="R17" i="1" s="1"/>
  <c r="AF391" i="1"/>
  <c r="M898" i="1"/>
  <c r="R898" i="1" s="1"/>
  <c r="AD1524" i="1"/>
  <c r="M1806" i="1"/>
  <c r="R1806" i="1" s="1"/>
  <c r="AF1820" i="1"/>
  <c r="M1822" i="1"/>
  <c r="R1822" i="1" s="1"/>
  <c r="M2008" i="1"/>
  <c r="R2008" i="1" s="1"/>
  <c r="AF2144" i="1"/>
  <c r="M2154" i="1"/>
  <c r="R2154" i="1" s="1"/>
  <c r="AD141" i="1"/>
  <c r="AF351" i="1"/>
  <c r="M762" i="1"/>
  <c r="R762" i="1" s="1"/>
  <c r="AE941" i="1"/>
  <c r="M718" i="1"/>
  <c r="R718" i="1" s="1"/>
  <c r="AE765" i="1"/>
  <c r="M782" i="1"/>
  <c r="R782" i="1" s="1"/>
  <c r="M1686" i="1"/>
  <c r="R1686" i="1" s="1"/>
  <c r="M1742" i="1"/>
  <c r="R1742" i="1" s="1"/>
  <c r="AF1880" i="1"/>
  <c r="M2561" i="1"/>
  <c r="R2561" i="1" s="1"/>
  <c r="AF2595" i="1"/>
  <c r="M231" i="1"/>
  <c r="R231" i="1" s="1"/>
  <c r="AD754" i="1"/>
  <c r="AF1446" i="1"/>
  <c r="M1782" i="1"/>
  <c r="R1782" i="1" s="1"/>
  <c r="AF1796" i="1"/>
  <c r="M1798" i="1"/>
  <c r="R1798" i="1" s="1"/>
  <c r="AF1876" i="1"/>
  <c r="M1886" i="1"/>
  <c r="R1886" i="1" s="1"/>
  <c r="AF1908" i="1"/>
  <c r="M2130" i="1"/>
  <c r="R2130" i="1" s="1"/>
  <c r="M2138" i="1"/>
  <c r="R2138" i="1" s="1"/>
  <c r="AD2188" i="1"/>
  <c r="M2208" i="1"/>
  <c r="R2208" i="1" s="1"/>
  <c r="AF2238" i="1"/>
  <c r="M2248" i="1"/>
  <c r="R2248" i="1" s="1"/>
  <c r="AF2611" i="1"/>
  <c r="AE2644" i="1"/>
  <c r="AF583" i="1"/>
  <c r="M590" i="1"/>
  <c r="R590" i="1" s="1"/>
  <c r="AD632" i="1"/>
  <c r="AE1229" i="1"/>
  <c r="M1594" i="1"/>
  <c r="R1594" i="1" s="1"/>
  <c r="M1758" i="1"/>
  <c r="R1758" i="1" s="1"/>
  <c r="AF2128" i="1"/>
  <c r="M2264" i="1"/>
  <c r="R2264" i="1" s="1"/>
  <c r="AF2350" i="1"/>
  <c r="AD37" i="1"/>
  <c r="M109" i="1"/>
  <c r="R109" i="1" s="1"/>
  <c r="M208" i="1"/>
  <c r="R208" i="1" s="1"/>
  <c r="M1602" i="1"/>
  <c r="R1602" i="1" s="1"/>
  <c r="M1734" i="1"/>
  <c r="R1734" i="1" s="1"/>
  <c r="M2456" i="1"/>
  <c r="R2456" i="1" s="1"/>
  <c r="AF2603" i="1"/>
  <c r="AG306" i="1"/>
  <c r="AE532" i="1"/>
  <c r="AE1573" i="1"/>
  <c r="AF1836" i="1"/>
  <c r="AE1929" i="1"/>
  <c r="M1946" i="1"/>
  <c r="R1946" i="1" s="1"/>
  <c r="M1954" i="1"/>
  <c r="R1954" i="1" s="1"/>
  <c r="M1962" i="1"/>
  <c r="R1962" i="1" s="1"/>
  <c r="M2565" i="1"/>
  <c r="R2565" i="1" s="1"/>
  <c r="M13" i="1"/>
  <c r="R13" i="1" s="1"/>
  <c r="AD61" i="1"/>
  <c r="AD113" i="1"/>
  <c r="AD137" i="1"/>
  <c r="AD153" i="1"/>
  <c r="AD173" i="1"/>
  <c r="M216" i="1"/>
  <c r="R216" i="1" s="1"/>
  <c r="AF491" i="1"/>
  <c r="M540" i="1"/>
  <c r="R540" i="1" s="1"/>
  <c r="M572" i="1"/>
  <c r="R572" i="1" s="1"/>
  <c r="M690" i="1"/>
  <c r="R690" i="1" s="1"/>
  <c r="AD770" i="1"/>
  <c r="M814" i="1"/>
  <c r="R814" i="1" s="1"/>
  <c r="M838" i="1"/>
  <c r="R838" i="1" s="1"/>
  <c r="AE1181" i="1"/>
  <c r="AE1269" i="1"/>
  <c r="M45" i="1"/>
  <c r="R45" i="1" s="1"/>
  <c r="AD53" i="1"/>
  <c r="AD105" i="1"/>
  <c r="M396" i="1"/>
  <c r="R396" i="1" s="1"/>
  <c r="AF475" i="1"/>
  <c r="M834" i="1"/>
  <c r="R834" i="1" s="1"/>
  <c r="AG1055" i="1"/>
  <c r="AF1190" i="1"/>
  <c r="AF1198" i="1"/>
  <c r="AF1230" i="1"/>
  <c r="AG597" i="1"/>
  <c r="M694" i="1"/>
  <c r="R694" i="1" s="1"/>
  <c r="M742" i="1"/>
  <c r="R742" i="1" s="1"/>
  <c r="M1284" i="1"/>
  <c r="R1284" i="1" s="1"/>
  <c r="M89" i="1"/>
  <c r="R89" i="1" s="1"/>
  <c r="M232" i="1"/>
  <c r="R232" i="1" s="1"/>
  <c r="M332" i="1"/>
  <c r="R332" i="1" s="1"/>
  <c r="M372" i="1"/>
  <c r="R372" i="1" s="1"/>
  <c r="AG549" i="1"/>
  <c r="AF648" i="1"/>
  <c r="AF1502" i="1"/>
  <c r="M1516" i="1"/>
  <c r="R1516" i="1" s="1"/>
  <c r="AF1526" i="1"/>
  <c r="AE1535" i="1"/>
  <c r="AF1648" i="1"/>
  <c r="AG1714" i="1"/>
  <c r="AF1740" i="1"/>
  <c r="M1750" i="1"/>
  <c r="R1750" i="1" s="1"/>
  <c r="AF1788" i="1"/>
  <c r="M1790" i="1"/>
  <c r="R1790" i="1" s="1"/>
  <c r="AF1828" i="1"/>
  <c r="M1830" i="1"/>
  <c r="R1830" i="1" s="1"/>
  <c r="M1838" i="1"/>
  <c r="R1838" i="1" s="1"/>
  <c r="M1862" i="1"/>
  <c r="R1862" i="1" s="1"/>
  <c r="M1878" i="1"/>
  <c r="R1878" i="1" s="1"/>
  <c r="M1902" i="1"/>
  <c r="R1902" i="1" s="1"/>
  <c r="AE2121" i="1"/>
  <c r="AE2137" i="1"/>
  <c r="M2200" i="1"/>
  <c r="R2200" i="1" s="1"/>
  <c r="AF2230" i="1"/>
  <c r="M2232" i="1"/>
  <c r="R2232" i="1" s="1"/>
  <c r="M2240" i="1"/>
  <c r="R2240" i="1" s="1"/>
  <c r="M2280" i="1"/>
  <c r="R2280" i="1" s="1"/>
  <c r="M2288" i="1"/>
  <c r="R2288" i="1" s="1"/>
  <c r="M2308" i="1"/>
  <c r="R2308" i="1" s="1"/>
  <c r="M2340" i="1"/>
  <c r="R2340" i="1" s="1"/>
  <c r="AE2368" i="1"/>
  <c r="M2392" i="1"/>
  <c r="R2392" i="1" s="1"/>
  <c r="AD2445" i="1"/>
  <c r="M2521" i="1"/>
  <c r="R2521" i="1" s="1"/>
  <c r="M2596" i="1"/>
  <c r="R2596" i="1" s="1"/>
  <c r="M2640" i="1"/>
  <c r="R2640" i="1" s="1"/>
  <c r="M2650" i="1"/>
  <c r="R2650" i="1" s="1"/>
  <c r="AG2901" i="1"/>
  <c r="AE2153" i="1"/>
  <c r="M2256" i="1"/>
  <c r="R2256" i="1" s="1"/>
  <c r="M2457" i="1"/>
  <c r="R2457" i="1" s="1"/>
  <c r="M2544" i="1"/>
  <c r="R2544" i="1" s="1"/>
  <c r="AE2865" i="1"/>
  <c r="M1646" i="1"/>
  <c r="R1646" i="1" s="1"/>
  <c r="AF1764" i="1"/>
  <c r="M1766" i="1"/>
  <c r="R1766" i="1" s="1"/>
  <c r="M1774" i="1"/>
  <c r="R1774" i="1" s="1"/>
  <c r="AF1804" i="1"/>
  <c r="AF1812" i="1"/>
  <c r="M1814" i="1"/>
  <c r="R1814" i="1" s="1"/>
  <c r="AF1852" i="1"/>
  <c r="M1854" i="1"/>
  <c r="R1854" i="1" s="1"/>
  <c r="M1870" i="1"/>
  <c r="R1870" i="1" s="1"/>
  <c r="AF1872" i="1"/>
  <c r="AF1884" i="1"/>
  <c r="M1910" i="1"/>
  <c r="R1910" i="1" s="1"/>
  <c r="M1930" i="1"/>
  <c r="R1930" i="1" s="1"/>
  <c r="M1938" i="1"/>
  <c r="R1938" i="1" s="1"/>
  <c r="M1982" i="1"/>
  <c r="R1982" i="1" s="1"/>
  <c r="M2146" i="1"/>
  <c r="R2146" i="1" s="1"/>
  <c r="AD2196" i="1"/>
  <c r="M2216" i="1"/>
  <c r="R2216" i="1" s="1"/>
  <c r="M2224" i="1"/>
  <c r="R2224" i="1" s="1"/>
  <c r="AF2246" i="1"/>
  <c r="AE2448" i="1"/>
  <c r="AF2262" i="1"/>
  <c r="M2272" i="1"/>
  <c r="R2272" i="1" s="1"/>
  <c r="AE2295" i="1"/>
  <c r="M2384" i="1"/>
  <c r="R2384" i="1" s="1"/>
  <c r="M2513" i="1"/>
  <c r="R2513" i="1" s="1"/>
  <c r="M2548" i="1"/>
  <c r="R2548" i="1" s="1"/>
  <c r="AG2602" i="1"/>
  <c r="M2718" i="1"/>
  <c r="R2718" i="1" s="1"/>
  <c r="M2740" i="1"/>
  <c r="R2740" i="1" s="1"/>
  <c r="M2764" i="1"/>
  <c r="R2764" i="1" s="1"/>
  <c r="M2820" i="1"/>
  <c r="R2820" i="1" s="1"/>
  <c r="M2842" i="1"/>
  <c r="R2842" i="1" s="1"/>
  <c r="M2846" i="1"/>
  <c r="R2846" i="1" s="1"/>
  <c r="M2850" i="1"/>
  <c r="R2850" i="1" s="1"/>
  <c r="AF1656" i="1"/>
  <c r="AF1716" i="1"/>
  <c r="AG645" i="1"/>
  <c r="AE669" i="1"/>
  <c r="AE701" i="1"/>
  <c r="AE1213" i="1"/>
  <c r="AG1638" i="1"/>
  <c r="AG1642" i="1"/>
  <c r="AG1663" i="1"/>
  <c r="AF2587" i="1"/>
  <c r="AG2657" i="1"/>
  <c r="AG2687" i="1"/>
  <c r="AE2693" i="1"/>
  <c r="AD2742" i="1"/>
  <c r="AD2780" i="1"/>
  <c r="AE539" i="1"/>
  <c r="AF615" i="1"/>
  <c r="AD794" i="1"/>
  <c r="AD1018" i="1"/>
  <c r="AF2100" i="1"/>
  <c r="AF2322" i="1"/>
  <c r="AG2328" i="1"/>
  <c r="AF335" i="1"/>
  <c r="AD818" i="1"/>
  <c r="AD850" i="1"/>
  <c r="AG911" i="1"/>
  <c r="AG999" i="1"/>
  <c r="AG1087" i="1"/>
  <c r="AD1620" i="1"/>
  <c r="AF1692" i="1"/>
  <c r="AE2376" i="1"/>
  <c r="AF2832" i="1"/>
  <c r="AE71" i="1"/>
  <c r="AE91" i="1"/>
  <c r="AE99" i="1"/>
  <c r="AE107" i="1"/>
  <c r="AE163" i="1"/>
  <c r="AD317" i="1"/>
  <c r="AF327" i="1"/>
  <c r="AG402" i="1"/>
  <c r="AF427" i="1"/>
  <c r="AF495" i="1"/>
  <c r="AD561" i="1"/>
  <c r="AD568" i="1"/>
  <c r="AD642" i="1"/>
  <c r="AD810" i="1"/>
  <c r="AG823" i="1"/>
  <c r="AD826" i="1"/>
  <c r="AD1364" i="1"/>
  <c r="AF1644" i="1"/>
  <c r="AG1702" i="1"/>
  <c r="AG1706" i="1"/>
  <c r="AG1738" i="1"/>
  <c r="AG1746" i="1"/>
  <c r="AG1754" i="1"/>
  <c r="AG1762" i="1"/>
  <c r="AG1778" i="1"/>
  <c r="AG1786" i="1"/>
  <c r="AG1802" i="1"/>
  <c r="AG1810" i="1"/>
  <c r="AG1818" i="1"/>
  <c r="AG1826" i="1"/>
  <c r="AG1834" i="1"/>
  <c r="AG1842" i="1"/>
  <c r="AG1850" i="1"/>
  <c r="AG1887" i="1"/>
  <c r="AF1912" i="1"/>
  <c r="AF1988" i="1"/>
  <c r="AE2001" i="1"/>
  <c r="AE2025" i="1"/>
  <c r="AF2052" i="1"/>
  <c r="AF2108" i="1"/>
  <c r="AF2330" i="1"/>
  <c r="AF2768" i="1"/>
  <c r="AE55" i="1"/>
  <c r="AE95" i="1"/>
  <c r="AG210" i="1"/>
  <c r="AD218" i="1"/>
  <c r="AF237" i="1"/>
  <c r="AF459" i="1"/>
  <c r="AF487" i="1"/>
  <c r="AF511" i="1"/>
  <c r="AG719" i="1"/>
  <c r="AE781" i="1"/>
  <c r="AG799" i="1"/>
  <c r="AF1254" i="1"/>
  <c r="AG1473" i="1"/>
  <c r="AG1521" i="1"/>
  <c r="AF1614" i="1"/>
  <c r="AF1668" i="1"/>
  <c r="AF1708" i="1"/>
  <c r="AF1896" i="1"/>
  <c r="AF1900" i="1"/>
  <c r="AF2010" i="1"/>
  <c r="AF2044" i="1"/>
  <c r="AF2068" i="1"/>
  <c r="AF2282" i="1"/>
  <c r="AD2648" i="1"/>
  <c r="AF447" i="1"/>
  <c r="AG117" i="1"/>
  <c r="AE23" i="1"/>
  <c r="AE31" i="1"/>
  <c r="AE39" i="1"/>
  <c r="AE67" i="1"/>
  <c r="AG77" i="1"/>
  <c r="AE115" i="1"/>
  <c r="AG125" i="1"/>
  <c r="AE147" i="1"/>
  <c r="AE155" i="1"/>
  <c r="AG161" i="1"/>
  <c r="AG165" i="1"/>
  <c r="AG276" i="1"/>
  <c r="AD282" i="1"/>
  <c r="AF303" i="1"/>
  <c r="AF343" i="1"/>
  <c r="AF359" i="1"/>
  <c r="AF407" i="1"/>
  <c r="AF455" i="1"/>
  <c r="AG506" i="1"/>
  <c r="AF523" i="1"/>
  <c r="AG531" i="1"/>
  <c r="AE537" i="1"/>
  <c r="AD537" i="1"/>
  <c r="AD614" i="1"/>
  <c r="AD622" i="1"/>
  <c r="AG627" i="1"/>
  <c r="AD630" i="1"/>
  <c r="AD706" i="1"/>
  <c r="AG751" i="1"/>
  <c r="AG783" i="1"/>
  <c r="AE805" i="1"/>
  <c r="AE813" i="1"/>
  <c r="AG847" i="1"/>
  <c r="AD906" i="1"/>
  <c r="AE917" i="1"/>
  <c r="AD930" i="1"/>
  <c r="AD946" i="1"/>
  <c r="AG967" i="1"/>
  <c r="AD1050" i="1"/>
  <c r="AE1061" i="1"/>
  <c r="AD1106" i="1"/>
  <c r="AG1143" i="1"/>
  <c r="AG1167" i="1"/>
  <c r="AD1170" i="1"/>
  <c r="AE1173" i="1"/>
  <c r="AE1205" i="1"/>
  <c r="AE1253" i="1"/>
  <c r="AG1289" i="1"/>
  <c r="AG1417" i="1"/>
  <c r="AG1647" i="1"/>
  <c r="AG2482" i="1"/>
  <c r="AG2646" i="1"/>
  <c r="AF2774" i="1"/>
  <c r="AE51" i="1"/>
  <c r="AG57" i="1"/>
  <c r="AG69" i="1"/>
  <c r="AE135" i="1"/>
  <c r="AE151" i="1"/>
  <c r="AE171" i="1"/>
  <c r="AE179" i="1"/>
  <c r="AF242" i="1"/>
  <c r="AG338" i="1"/>
  <c r="AG397" i="1"/>
  <c r="AF471" i="1"/>
  <c r="AG530" i="1"/>
  <c r="AD545" i="1"/>
  <c r="AG595" i="1"/>
  <c r="AF599" i="1"/>
  <c r="AG629" i="1"/>
  <c r="AD646" i="1"/>
  <c r="AG703" i="1"/>
  <c r="AG807" i="1"/>
  <c r="AG863" i="1"/>
  <c r="AG919" i="1"/>
  <c r="AD922" i="1"/>
  <c r="AG991" i="1"/>
  <c r="AG1015" i="1"/>
  <c r="AG1039" i="1"/>
  <c r="AD1042" i="1"/>
  <c r="AG1063" i="1"/>
  <c r="AD1066" i="1"/>
  <c r="AD1074" i="1"/>
  <c r="AD1114" i="1"/>
  <c r="AD1122" i="1"/>
  <c r="AE1295" i="1"/>
  <c r="AG1353" i="1"/>
  <c r="AG1428" i="1"/>
  <c r="AF1494" i="1"/>
  <c r="AG1505" i="1"/>
  <c r="AG1545" i="1"/>
  <c r="AF1582" i="1"/>
  <c r="AG1679" i="1"/>
  <c r="AG2450" i="1"/>
  <c r="AF1904" i="1"/>
  <c r="AF2112" i="1"/>
  <c r="AF2172" i="1"/>
  <c r="AF2202" i="1"/>
  <c r="AF2266" i="1"/>
  <c r="AF2310" i="1"/>
  <c r="AE2384" i="1"/>
  <c r="AF2391" i="1"/>
  <c r="AF2659" i="1"/>
  <c r="AE2679" i="1"/>
  <c r="AG1730" i="1"/>
  <c r="AG1863" i="1"/>
  <c r="AG1895" i="1"/>
  <c r="AG1919" i="1"/>
  <c r="AF1964" i="1"/>
  <c r="AG2178" i="1"/>
  <c r="AF2306" i="1"/>
  <c r="AE2432" i="1"/>
  <c r="AF2579" i="1"/>
  <c r="AE2619" i="1"/>
  <c r="AE2631" i="1"/>
  <c r="AG2643" i="1"/>
  <c r="AG2655" i="1"/>
  <c r="AE2749" i="1"/>
  <c r="AF2800" i="1"/>
  <c r="AE2837" i="1"/>
  <c r="AE2947" i="1"/>
  <c r="AF1606" i="1"/>
  <c r="AF1688" i="1"/>
  <c r="AF1700" i="1"/>
  <c r="AF1768" i="1"/>
  <c r="AF1784" i="1"/>
  <c r="AF1792" i="1"/>
  <c r="AF1800" i="1"/>
  <c r="AF1816" i="1"/>
  <c r="AF1824" i="1"/>
  <c r="AF1832" i="1"/>
  <c r="AF1848" i="1"/>
  <c r="AG1871" i="1"/>
  <c r="AF1888" i="1"/>
  <c r="AF1916" i="1"/>
  <c r="AE1973" i="1"/>
  <c r="AG1991" i="1"/>
  <c r="AE2017" i="1"/>
  <c r="AF2104" i="1"/>
  <c r="AG2126" i="1"/>
  <c r="AD2362" i="1"/>
  <c r="AF2539" i="1"/>
  <c r="AF2750" i="1"/>
  <c r="AF2974" i="1"/>
  <c r="AG29" i="1"/>
  <c r="AD29" i="1"/>
  <c r="AG37" i="1"/>
  <c r="AD57" i="1"/>
  <c r="AD69" i="1"/>
  <c r="AF341" i="1"/>
  <c r="AC341" i="1"/>
  <c r="AD341" i="1"/>
  <c r="AF365" i="1"/>
  <c r="AC365" i="1"/>
  <c r="AD365" i="1"/>
  <c r="AG421" i="1"/>
  <c r="AD421" i="1"/>
  <c r="AD469" i="1"/>
  <c r="AD357" i="1"/>
  <c r="AG437" i="1"/>
  <c r="AD437" i="1"/>
  <c r="AG485" i="1"/>
  <c r="AD485" i="1"/>
  <c r="AG517" i="1"/>
  <c r="AD517" i="1"/>
  <c r="AG25" i="1"/>
  <c r="AD25" i="1"/>
  <c r="AG33" i="1"/>
  <c r="AD33" i="1"/>
  <c r="AE27" i="1"/>
  <c r="AE35" i="1"/>
  <c r="AG41" i="1"/>
  <c r="AG53" i="1"/>
  <c r="AG93" i="1"/>
  <c r="AD93" i="1"/>
  <c r="AG113" i="1"/>
  <c r="AD453" i="1"/>
  <c r="AE15" i="1"/>
  <c r="AG49" i="1"/>
  <c r="AE304" i="1"/>
  <c r="AG373" i="1"/>
  <c r="Y572" i="1"/>
  <c r="AE635" i="1"/>
  <c r="AD666" i="1"/>
  <c r="AG683" i="1"/>
  <c r="AG691" i="1"/>
  <c r="AD714" i="1"/>
  <c r="Y718" i="1"/>
  <c r="AD718" i="1" s="1"/>
  <c r="Y738" i="1"/>
  <c r="AG759" i="1"/>
  <c r="AG803" i="1"/>
  <c r="AG815" i="1"/>
  <c r="AC815" i="1"/>
  <c r="Y13" i="1"/>
  <c r="AD13" i="1" s="1"/>
  <c r="Y17" i="1"/>
  <c r="AD17" i="1" s="1"/>
  <c r="AE19" i="1"/>
  <c r="Y45" i="1"/>
  <c r="AD45" i="1" s="1"/>
  <c r="AE47" i="1"/>
  <c r="AE139" i="1"/>
  <c r="AE175" i="1"/>
  <c r="AE187" i="1"/>
  <c r="Y216" i="1"/>
  <c r="Y372" i="1"/>
  <c r="AE43" i="1"/>
  <c r="Y89" i="1"/>
  <c r="AD89" i="1" s="1"/>
  <c r="AD121" i="1"/>
  <c r="AG129" i="1"/>
  <c r="M157" i="1"/>
  <c r="R157" i="1" s="1"/>
  <c r="AG157" i="1"/>
  <c r="AE191" i="1"/>
  <c r="M193" i="1"/>
  <c r="R193" i="1" s="1"/>
  <c r="AG193" i="1"/>
  <c r="AG201" i="1"/>
  <c r="AE203" i="1"/>
  <c r="Y208" i="1"/>
  <c r="AE208" i="1" s="1"/>
  <c r="AE210" i="1"/>
  <c r="M215" i="1"/>
  <c r="R215" i="1" s="1"/>
  <c r="Y231" i="1"/>
  <c r="Y232" i="1"/>
  <c r="AC237" i="1"/>
  <c r="AD264" i="1"/>
  <c r="AD276" i="1"/>
  <c r="AF301" i="1"/>
  <c r="AG302" i="1"/>
  <c r="M309" i="1"/>
  <c r="R309" i="1" s="1"/>
  <c r="AF309" i="1"/>
  <c r="AC309" i="1"/>
  <c r="M316" i="1"/>
  <c r="R316" i="1" s="1"/>
  <c r="Y332" i="1"/>
  <c r="AG341" i="1"/>
  <c r="AG365" i="1"/>
  <c r="AG370" i="1"/>
  <c r="Y396" i="1"/>
  <c r="AC418" i="1"/>
  <c r="AG434" i="1"/>
  <c r="AC434" i="1"/>
  <c r="AG445" i="1"/>
  <c r="AG450" i="1"/>
  <c r="AC450" i="1"/>
  <c r="AG461" i="1"/>
  <c r="AC466" i="1"/>
  <c r="AG477" i="1"/>
  <c r="AG482" i="1"/>
  <c r="AC482" i="1"/>
  <c r="M493" i="1"/>
  <c r="R493" i="1" s="1"/>
  <c r="AG493" i="1"/>
  <c r="AD493" i="1"/>
  <c r="AG497" i="1"/>
  <c r="AD534" i="1"/>
  <c r="AC534" i="1"/>
  <c r="Y540" i="1"/>
  <c r="M542" i="1"/>
  <c r="R542" i="1" s="1"/>
  <c r="AF542" i="1"/>
  <c r="AC542" i="1"/>
  <c r="AC550" i="1"/>
  <c r="AD566" i="1"/>
  <c r="AC566" i="1"/>
  <c r="AE601" i="1"/>
  <c r="AC614" i="1"/>
  <c r="AC630" i="1"/>
  <c r="AG663" i="1"/>
  <c r="Y690" i="1"/>
  <c r="AG711" i="1"/>
  <c r="Y742" i="1"/>
  <c r="AD742" i="1" s="1"/>
  <c r="AC743" i="1"/>
  <c r="AG755" i="1"/>
  <c r="AG763" i="1"/>
  <c r="AG791" i="1"/>
  <c r="AC791" i="1"/>
  <c r="AD858" i="1"/>
  <c r="AE63" i="1"/>
  <c r="Y109" i="1"/>
  <c r="AD109" i="1" s="1"/>
  <c r="AG141" i="1"/>
  <c r="AD253" i="1"/>
  <c r="AG260" i="1"/>
  <c r="AG326" i="1"/>
  <c r="AF431" i="1"/>
  <c r="AC577" i="1"/>
  <c r="M61" i="1"/>
  <c r="R61" i="1" s="1"/>
  <c r="AE83" i="1"/>
  <c r="M23" i="1"/>
  <c r="R23" i="1" s="1"/>
  <c r="M27" i="1"/>
  <c r="R27" i="1" s="1"/>
  <c r="M31" i="1"/>
  <c r="R31" i="1" s="1"/>
  <c r="M35" i="1"/>
  <c r="R35" i="1" s="1"/>
  <c r="M40" i="1"/>
  <c r="R40" i="1" s="1"/>
  <c r="M51" i="1"/>
  <c r="R51" i="1" s="1"/>
  <c r="M56" i="1"/>
  <c r="R56" i="1" s="1"/>
  <c r="M67" i="1"/>
  <c r="R67" i="1" s="1"/>
  <c r="M72" i="1"/>
  <c r="R72" i="1" s="1"/>
  <c r="AE75" i="1"/>
  <c r="AD77" i="1"/>
  <c r="M81" i="1"/>
  <c r="R81" i="1" s="1"/>
  <c r="AE87" i="1"/>
  <c r="M88" i="1"/>
  <c r="R88" i="1" s="1"/>
  <c r="M96" i="1"/>
  <c r="R96" i="1" s="1"/>
  <c r="AG105" i="1"/>
  <c r="M111" i="1"/>
  <c r="R111" i="1" s="1"/>
  <c r="AE123" i="1"/>
  <c r="AD125" i="1"/>
  <c r="M129" i="1"/>
  <c r="R129" i="1" s="1"/>
  <c r="M135" i="1"/>
  <c r="R135" i="1" s="1"/>
  <c r="AG137" i="1"/>
  <c r="M144" i="1"/>
  <c r="R144" i="1" s="1"/>
  <c r="AG153" i="1"/>
  <c r="M159" i="1"/>
  <c r="R159" i="1" s="1"/>
  <c r="M171" i="1"/>
  <c r="R171" i="1" s="1"/>
  <c r="AG173" i="1"/>
  <c r="M180" i="1"/>
  <c r="R180" i="1" s="1"/>
  <c r="AE183" i="1"/>
  <c r="M201" i="1"/>
  <c r="R201" i="1" s="1"/>
  <c r="M205" i="1"/>
  <c r="R205" i="1" s="1"/>
  <c r="M209" i="1"/>
  <c r="R209" i="1" s="1"/>
  <c r="M210" i="1"/>
  <c r="R210" i="1" s="1"/>
  <c r="M223" i="1"/>
  <c r="R223" i="1" s="1"/>
  <c r="AE226" i="1"/>
  <c r="M227" i="1"/>
  <c r="R227" i="1" s="1"/>
  <c r="M234" i="1"/>
  <c r="R234" i="1" s="1"/>
  <c r="M266" i="1"/>
  <c r="R266" i="1" s="1"/>
  <c r="M272" i="1"/>
  <c r="R272" i="1" s="1"/>
  <c r="AD280" i="1"/>
  <c r="M285" i="1"/>
  <c r="R285" i="1" s="1"/>
  <c r="AG294" i="1"/>
  <c r="AC301" i="1"/>
  <c r="AD309" i="1"/>
  <c r="M310" i="1"/>
  <c r="R310" i="1" s="1"/>
  <c r="M311" i="1"/>
  <c r="R311" i="1" s="1"/>
  <c r="M313" i="1"/>
  <c r="R313" i="1" s="1"/>
  <c r="M318" i="1"/>
  <c r="R318" i="1" s="1"/>
  <c r="M319" i="1"/>
  <c r="R319" i="1" s="1"/>
  <c r="AC338" i="1"/>
  <c r="M339" i="1"/>
  <c r="R339" i="1" s="1"/>
  <c r="M340" i="1"/>
  <c r="R340" i="1" s="1"/>
  <c r="AC354" i="1"/>
  <c r="M355" i="1"/>
  <c r="R355" i="1" s="1"/>
  <c r="AF357" i="1"/>
  <c r="AG357" i="1"/>
  <c r="M363" i="1"/>
  <c r="R363" i="1" s="1"/>
  <c r="M364" i="1"/>
  <c r="R364" i="1" s="1"/>
  <c r="M392" i="1"/>
  <c r="R392" i="1" s="1"/>
  <c r="AC402" i="1"/>
  <c r="AD413" i="1"/>
  <c r="M417" i="1"/>
  <c r="R417" i="1" s="1"/>
  <c r="M433" i="1"/>
  <c r="R433" i="1" s="1"/>
  <c r="AD445" i="1"/>
  <c r="M449" i="1"/>
  <c r="R449" i="1" s="1"/>
  <c r="AD461" i="1"/>
  <c r="M465" i="1"/>
  <c r="R465" i="1" s="1"/>
  <c r="AD477" i="1"/>
  <c r="M481" i="1"/>
  <c r="R481" i="1" s="1"/>
  <c r="AD497" i="1"/>
  <c r="M501" i="1"/>
  <c r="R501" i="1" s="1"/>
  <c r="AD509" i="1"/>
  <c r="AF515" i="1"/>
  <c r="AF519" i="1"/>
  <c r="AG521" i="1"/>
  <c r="AC545" i="1"/>
  <c r="M546" i="1"/>
  <c r="R546" i="1" s="1"/>
  <c r="M547" i="1"/>
  <c r="R547" i="1" s="1"/>
  <c r="AC558" i="1"/>
  <c r="AC561" i="1"/>
  <c r="M563" i="1"/>
  <c r="R563" i="1" s="1"/>
  <c r="AG563" i="1"/>
  <c r="M576" i="1"/>
  <c r="R576" i="1" s="1"/>
  <c r="AF587" i="1"/>
  <c r="Y590" i="1"/>
  <c r="AD593" i="1"/>
  <c r="AC593" i="1"/>
  <c r="AD606" i="1"/>
  <c r="AE617" i="1"/>
  <c r="AD633" i="1"/>
  <c r="AC646" i="1"/>
  <c r="AG659" i="1"/>
  <c r="AG667" i="1"/>
  <c r="Y694" i="1"/>
  <c r="AC695" i="1"/>
  <c r="AG707" i="1"/>
  <c r="AG735" i="1"/>
  <c r="Y762" i="1"/>
  <c r="AD762" i="1" s="1"/>
  <c r="AG767" i="1"/>
  <c r="AC767" i="1"/>
  <c r="Y782" i="1"/>
  <c r="AC783" i="1"/>
  <c r="AD802" i="1"/>
  <c r="AC839" i="1"/>
  <c r="AD842" i="1"/>
  <c r="AD866" i="1"/>
  <c r="AG177" i="1"/>
  <c r="AF325" i="1"/>
  <c r="AD325" i="1"/>
  <c r="AG358" i="1"/>
  <c r="AG382" i="1"/>
  <c r="AF399" i="1"/>
  <c r="AF415" i="1"/>
  <c r="AE11" i="1"/>
  <c r="AF15" i="1"/>
  <c r="AE59" i="1"/>
  <c r="M15" i="1"/>
  <c r="R15" i="1" s="1"/>
  <c r="M19" i="1"/>
  <c r="R19" i="1" s="1"/>
  <c r="M24" i="1"/>
  <c r="R24" i="1" s="1"/>
  <c r="M28" i="1"/>
  <c r="R28" i="1" s="1"/>
  <c r="M32" i="1"/>
  <c r="R32" i="1" s="1"/>
  <c r="M36" i="1"/>
  <c r="R36" i="1" s="1"/>
  <c r="M47" i="1"/>
  <c r="R47" i="1" s="1"/>
  <c r="M52" i="1"/>
  <c r="R52" i="1" s="1"/>
  <c r="M63" i="1"/>
  <c r="R63" i="1" s="1"/>
  <c r="M68" i="1"/>
  <c r="R68" i="1" s="1"/>
  <c r="AE79" i="1"/>
  <c r="M105" i="1"/>
  <c r="R105" i="1" s="1"/>
  <c r="M112" i="1"/>
  <c r="R112" i="1" s="1"/>
  <c r="AG121" i="1"/>
  <c r="M139" i="1"/>
  <c r="R139" i="1" s="1"/>
  <c r="M153" i="1"/>
  <c r="R153" i="1" s="1"/>
  <c r="M160" i="1"/>
  <c r="R160" i="1" s="1"/>
  <c r="M175" i="1"/>
  <c r="R175" i="1" s="1"/>
  <c r="M187" i="1"/>
  <c r="R187" i="1" s="1"/>
  <c r="AG189" i="1"/>
  <c r="AE195" i="1"/>
  <c r="M196" i="1"/>
  <c r="R196" i="1" s="1"/>
  <c r="M225" i="1"/>
  <c r="R225" i="1" s="1"/>
  <c r="M226" i="1"/>
  <c r="R226" i="1" s="1"/>
  <c r="AF226" i="1"/>
  <c r="AD237" i="1"/>
  <c r="M239" i="1"/>
  <c r="R239" i="1" s="1"/>
  <c r="AE242" i="1"/>
  <c r="M243" i="1"/>
  <c r="R243" i="1" s="1"/>
  <c r="M250" i="1"/>
  <c r="R250" i="1" s="1"/>
  <c r="AD250" i="1"/>
  <c r="M257" i="1"/>
  <c r="R257" i="1" s="1"/>
  <c r="M258" i="1"/>
  <c r="R258" i="1" s="1"/>
  <c r="AF258" i="1"/>
  <c r="M261" i="1"/>
  <c r="R261" i="1" s="1"/>
  <c r="AD269" i="1"/>
  <c r="M280" i="1"/>
  <c r="R280" i="1" s="1"/>
  <c r="M291" i="1"/>
  <c r="R291" i="1" s="1"/>
  <c r="AD301" i="1"/>
  <c r="AG309" i="1"/>
  <c r="M312" i="1"/>
  <c r="R312" i="1" s="1"/>
  <c r="M315" i="1"/>
  <c r="R315" i="1" s="1"/>
  <c r="AF317" i="1"/>
  <c r="AG317" i="1"/>
  <c r="AC333" i="1"/>
  <c r="M357" i="1"/>
  <c r="R357" i="1" s="1"/>
  <c r="AD373" i="1"/>
  <c r="M374" i="1"/>
  <c r="R374" i="1" s="1"/>
  <c r="M375" i="1"/>
  <c r="R375" i="1" s="1"/>
  <c r="AG386" i="1"/>
  <c r="AC386" i="1"/>
  <c r="AF389" i="1"/>
  <c r="AD389" i="1"/>
  <c r="AC389" i="1"/>
  <c r="AD397" i="1"/>
  <c r="M398" i="1"/>
  <c r="R398" i="1" s="1"/>
  <c r="M399" i="1"/>
  <c r="R399" i="1" s="1"/>
  <c r="AG410" i="1"/>
  <c r="AC410" i="1"/>
  <c r="AG426" i="1"/>
  <c r="AC426" i="1"/>
  <c r="AF435" i="1"/>
  <c r="AC442" i="1"/>
  <c r="AF451" i="1"/>
  <c r="AG458" i="1"/>
  <c r="AC458" i="1"/>
  <c r="AF467" i="1"/>
  <c r="AG474" i="1"/>
  <c r="AC474" i="1"/>
  <c r="AF483" i="1"/>
  <c r="AD521" i="1"/>
  <c r="AG525" i="1"/>
  <c r="AD525" i="1"/>
  <c r="AF527" i="1"/>
  <c r="AF535" i="1"/>
  <c r="M553" i="1"/>
  <c r="R553" i="1" s="1"/>
  <c r="AD582" i="1"/>
  <c r="AC582" i="1"/>
  <c r="AE587" i="1"/>
  <c r="AC590" i="1"/>
  <c r="AD598" i="1"/>
  <c r="M609" i="1"/>
  <c r="R609" i="1" s="1"/>
  <c r="M620" i="1"/>
  <c r="R620" i="1" s="1"/>
  <c r="AF622" i="1"/>
  <c r="M625" i="1"/>
  <c r="R625" i="1" s="1"/>
  <c r="M632" i="1"/>
  <c r="R632" i="1" s="1"/>
  <c r="M633" i="1"/>
  <c r="R633" i="1" s="1"/>
  <c r="M638" i="1"/>
  <c r="R638" i="1" s="1"/>
  <c r="AG671" i="1"/>
  <c r="AC671" i="1"/>
  <c r="AG679" i="1"/>
  <c r="AG687" i="1"/>
  <c r="M692" i="1"/>
  <c r="R692" i="1" s="1"/>
  <c r="AD698" i="1"/>
  <c r="AG727" i="1"/>
  <c r="AC727" i="1"/>
  <c r="AG739" i="1"/>
  <c r="M759" i="1"/>
  <c r="R759" i="1" s="1"/>
  <c r="M760" i="1"/>
  <c r="R760" i="1" s="1"/>
  <c r="M766" i="1"/>
  <c r="R766" i="1" s="1"/>
  <c r="M771" i="1"/>
  <c r="R771" i="1" s="1"/>
  <c r="AG779" i="1"/>
  <c r="Y834" i="1"/>
  <c r="Y838" i="1"/>
  <c r="AD838" i="1" s="1"/>
  <c r="AD882" i="1"/>
  <c r="AG851" i="1"/>
  <c r="M852" i="1"/>
  <c r="R852" i="1" s="1"/>
  <c r="M856" i="1"/>
  <c r="R856" i="1" s="1"/>
  <c r="M867" i="1"/>
  <c r="R867" i="1" s="1"/>
  <c r="M871" i="1"/>
  <c r="R871" i="1" s="1"/>
  <c r="AG875" i="1"/>
  <c r="M879" i="1"/>
  <c r="R879" i="1" s="1"/>
  <c r="AG883" i="1"/>
  <c r="M887" i="1"/>
  <c r="R887" i="1" s="1"/>
  <c r="M888" i="1"/>
  <c r="R888" i="1" s="1"/>
  <c r="M892" i="1"/>
  <c r="R892" i="1" s="1"/>
  <c r="AG899" i="1"/>
  <c r="M927" i="1"/>
  <c r="R927" i="1" s="1"/>
  <c r="AG927" i="1"/>
  <c r="M940" i="1"/>
  <c r="R940" i="1" s="1"/>
  <c r="AD1002" i="1"/>
  <c r="AD1146" i="1"/>
  <c r="AD1154" i="1"/>
  <c r="AF1180" i="1"/>
  <c r="AD1180" i="1"/>
  <c r="AF1260" i="1"/>
  <c r="AD1260" i="1"/>
  <c r="AG831" i="1"/>
  <c r="AG887" i="1"/>
  <c r="AG891" i="1"/>
  <c r="Y898" i="1"/>
  <c r="AD898" i="1" s="1"/>
  <c r="AG931" i="1"/>
  <c r="AG939" i="1"/>
  <c r="AG963" i="1"/>
  <c r="AD978" i="1"/>
  <c r="AG983" i="1"/>
  <c r="AD986" i="1"/>
  <c r="AD1010" i="1"/>
  <c r="AD1098" i="1"/>
  <c r="AD1188" i="1"/>
  <c r="AF1222" i="1"/>
  <c r="AF1268" i="1"/>
  <c r="AD1268" i="1"/>
  <c r="AF373" i="1"/>
  <c r="AG390" i="1"/>
  <c r="AF397" i="1"/>
  <c r="AE416" i="1"/>
  <c r="AG417" i="1"/>
  <c r="AE424" i="1"/>
  <c r="AG425" i="1"/>
  <c r="AE432" i="1"/>
  <c r="AG433" i="1"/>
  <c r="AG441" i="1"/>
  <c r="AE448" i="1"/>
  <c r="AG449" i="1"/>
  <c r="AE456" i="1"/>
  <c r="AG457" i="1"/>
  <c r="AE464" i="1"/>
  <c r="AE472" i="1"/>
  <c r="AG473" i="1"/>
  <c r="AG481" i="1"/>
  <c r="AG490" i="1"/>
  <c r="AE496" i="1"/>
  <c r="AG501" i="1"/>
  <c r="AG513" i="1"/>
  <c r="AG514" i="1"/>
  <c r="AE548" i="1"/>
  <c r="AF551" i="1"/>
  <c r="AD558" i="1"/>
  <c r="AE564" i="1"/>
  <c r="AG565" i="1"/>
  <c r="AD569" i="1"/>
  <c r="AG581" i="1"/>
  <c r="AD594" i="1"/>
  <c r="AG613" i="1"/>
  <c r="AD617" i="1"/>
  <c r="AF631" i="1"/>
  <c r="AF647" i="1"/>
  <c r="AG699" i="1"/>
  <c r="AG723" i="1"/>
  <c r="AG747" i="1"/>
  <c r="AG787" i="1"/>
  <c r="AC807" i="1"/>
  <c r="AC823" i="1"/>
  <c r="AG843" i="1"/>
  <c r="Y910" i="1"/>
  <c r="Y938" i="1"/>
  <c r="AG943" i="1"/>
  <c r="AC943" i="1"/>
  <c r="AG959" i="1"/>
  <c r="AD1034" i="1"/>
  <c r="AD1058" i="1"/>
  <c r="AD1220" i="1"/>
  <c r="M76" i="1"/>
  <c r="R76" i="1" s="1"/>
  <c r="M80" i="1"/>
  <c r="R80" i="1" s="1"/>
  <c r="M91" i="1"/>
  <c r="R91" i="1" s="1"/>
  <c r="M95" i="1"/>
  <c r="R95" i="1" s="1"/>
  <c r="M99" i="1"/>
  <c r="R99" i="1" s="1"/>
  <c r="M104" i="1"/>
  <c r="R104" i="1" s="1"/>
  <c r="M115" i="1"/>
  <c r="R115" i="1" s="1"/>
  <c r="M120" i="1"/>
  <c r="R120" i="1" s="1"/>
  <c r="M124" i="1"/>
  <c r="R124" i="1" s="1"/>
  <c r="M128" i="1"/>
  <c r="R128" i="1" s="1"/>
  <c r="M143" i="1"/>
  <c r="R143" i="1" s="1"/>
  <c r="M147" i="1"/>
  <c r="R147" i="1" s="1"/>
  <c r="M152" i="1"/>
  <c r="R152" i="1" s="1"/>
  <c r="M163" i="1"/>
  <c r="R163" i="1" s="1"/>
  <c r="M168" i="1"/>
  <c r="R168" i="1" s="1"/>
  <c r="M179" i="1"/>
  <c r="R179" i="1" s="1"/>
  <c r="M184" i="1"/>
  <c r="R184" i="1" s="1"/>
  <c r="M195" i="1"/>
  <c r="R195" i="1" s="1"/>
  <c r="M200" i="1"/>
  <c r="R200" i="1" s="1"/>
  <c r="AD205" i="1"/>
  <c r="M221" i="1"/>
  <c r="R221" i="1" s="1"/>
  <c r="M237" i="1"/>
  <c r="R237" i="1" s="1"/>
  <c r="M253" i="1"/>
  <c r="R253" i="1" s="1"/>
  <c r="M255" i="1"/>
  <c r="R255" i="1" s="1"/>
  <c r="AE258" i="1"/>
  <c r="M259" i="1"/>
  <c r="R259" i="1" s="1"/>
  <c r="M273" i="1"/>
  <c r="R273" i="1" s="1"/>
  <c r="M274" i="1"/>
  <c r="R274" i="1" s="1"/>
  <c r="M282" i="1"/>
  <c r="R282" i="1" s="1"/>
  <c r="AD297" i="1"/>
  <c r="M307" i="1"/>
  <c r="R307" i="1" s="1"/>
  <c r="AG310" i="1"/>
  <c r="AG325" i="1"/>
  <c r="M326" i="1"/>
  <c r="R326" i="1" s="1"/>
  <c r="M327" i="1"/>
  <c r="R327" i="1" s="1"/>
  <c r="M331" i="1"/>
  <c r="R331" i="1" s="1"/>
  <c r="M350" i="1"/>
  <c r="R350" i="1" s="1"/>
  <c r="M351" i="1"/>
  <c r="R351" i="1" s="1"/>
  <c r="M371" i="1"/>
  <c r="R371" i="1" s="1"/>
  <c r="AC373" i="1"/>
  <c r="AG374" i="1"/>
  <c r="AG389" i="1"/>
  <c r="M390" i="1"/>
  <c r="R390" i="1" s="1"/>
  <c r="M391" i="1"/>
  <c r="R391" i="1" s="1"/>
  <c r="M395" i="1"/>
  <c r="R395" i="1" s="1"/>
  <c r="AC397" i="1"/>
  <c r="AG398" i="1"/>
  <c r="M407" i="1"/>
  <c r="R407" i="1" s="1"/>
  <c r="M415" i="1"/>
  <c r="R415" i="1" s="1"/>
  <c r="M423" i="1"/>
  <c r="R423" i="1" s="1"/>
  <c r="M431" i="1"/>
  <c r="R431" i="1" s="1"/>
  <c r="M439" i="1"/>
  <c r="R439" i="1" s="1"/>
  <c r="M447" i="1"/>
  <c r="R447" i="1" s="1"/>
  <c r="M455" i="1"/>
  <c r="R455" i="1" s="1"/>
  <c r="M463" i="1"/>
  <c r="R463" i="1" s="1"/>
  <c r="M471" i="1"/>
  <c r="R471" i="1" s="1"/>
  <c r="M479" i="1"/>
  <c r="R479" i="1" s="1"/>
  <c r="M487" i="1"/>
  <c r="R487" i="1" s="1"/>
  <c r="AC490" i="1"/>
  <c r="M499" i="1"/>
  <c r="R499" i="1" s="1"/>
  <c r="AD501" i="1"/>
  <c r="AE504" i="1"/>
  <c r="M511" i="1"/>
  <c r="R511" i="1" s="1"/>
  <c r="AD513" i="1"/>
  <c r="AG522" i="1"/>
  <c r="M531" i="1"/>
  <c r="R531" i="1" s="1"/>
  <c r="M539" i="1"/>
  <c r="R539" i="1" s="1"/>
  <c r="AD542" i="1"/>
  <c r="AD546" i="1"/>
  <c r="M548" i="1"/>
  <c r="R548" i="1" s="1"/>
  <c r="M555" i="1"/>
  <c r="R555" i="1" s="1"/>
  <c r="M564" i="1"/>
  <c r="R564" i="1" s="1"/>
  <c r="AE571" i="1"/>
  <c r="M578" i="1"/>
  <c r="R578" i="1" s="1"/>
  <c r="M580" i="1"/>
  <c r="R580" i="1" s="1"/>
  <c r="M587" i="1"/>
  <c r="R587" i="1" s="1"/>
  <c r="M594" i="1"/>
  <c r="R594" i="1" s="1"/>
  <c r="M595" i="1"/>
  <c r="R595" i="1" s="1"/>
  <c r="M596" i="1"/>
  <c r="R596" i="1" s="1"/>
  <c r="M598" i="1"/>
  <c r="R598" i="1" s="1"/>
  <c r="M600" i="1"/>
  <c r="R600" i="1" s="1"/>
  <c r="AD609" i="1"/>
  <c r="M614" i="1"/>
  <c r="R614" i="1" s="1"/>
  <c r="M616" i="1"/>
  <c r="R616" i="1" s="1"/>
  <c r="AD625" i="1"/>
  <c r="M630" i="1"/>
  <c r="R630" i="1" s="1"/>
  <c r="M646" i="1"/>
  <c r="R646" i="1" s="1"/>
  <c r="M648" i="1"/>
  <c r="R648" i="1" s="1"/>
  <c r="M650" i="1"/>
  <c r="R650" i="1" s="1"/>
  <c r="M655" i="1"/>
  <c r="R655" i="1" s="1"/>
  <c r="M656" i="1"/>
  <c r="R656" i="1" s="1"/>
  <c r="M660" i="1"/>
  <c r="R660" i="1" s="1"/>
  <c r="AG675" i="1"/>
  <c r="M679" i="1"/>
  <c r="R679" i="1" s="1"/>
  <c r="M680" i="1"/>
  <c r="R680" i="1" s="1"/>
  <c r="M684" i="1"/>
  <c r="R684" i="1" s="1"/>
  <c r="M699" i="1"/>
  <c r="R699" i="1" s="1"/>
  <c r="M703" i="1"/>
  <c r="R703" i="1" s="1"/>
  <c r="M704" i="1"/>
  <c r="R704" i="1" s="1"/>
  <c r="M708" i="1"/>
  <c r="R708" i="1" s="1"/>
  <c r="M723" i="1"/>
  <c r="R723" i="1" s="1"/>
  <c r="AG731" i="1"/>
  <c r="M747" i="1"/>
  <c r="R747" i="1" s="1"/>
  <c r="M751" i="1"/>
  <c r="R751" i="1" s="1"/>
  <c r="M752" i="1"/>
  <c r="R752" i="1" s="1"/>
  <c r="M756" i="1"/>
  <c r="R756" i="1" s="1"/>
  <c r="M775" i="1"/>
  <c r="R775" i="1" s="1"/>
  <c r="M776" i="1"/>
  <c r="R776" i="1" s="1"/>
  <c r="M780" i="1"/>
  <c r="R780" i="1" s="1"/>
  <c r="M787" i="1"/>
  <c r="R787" i="1" s="1"/>
  <c r="M796" i="1"/>
  <c r="R796" i="1" s="1"/>
  <c r="M800" i="1"/>
  <c r="R800" i="1" s="1"/>
  <c r="AG811" i="1"/>
  <c r="M812" i="1"/>
  <c r="R812" i="1" s="1"/>
  <c r="M819" i="1"/>
  <c r="R819" i="1" s="1"/>
  <c r="AG827" i="1"/>
  <c r="M843" i="1"/>
  <c r="R843" i="1" s="1"/>
  <c r="M847" i="1"/>
  <c r="R847" i="1" s="1"/>
  <c r="M848" i="1"/>
  <c r="R848" i="1" s="1"/>
  <c r="M863" i="1"/>
  <c r="R863" i="1" s="1"/>
  <c r="AG867" i="1"/>
  <c r="M868" i="1"/>
  <c r="R868" i="1" s="1"/>
  <c r="M872" i="1"/>
  <c r="R872" i="1" s="1"/>
  <c r="M876" i="1"/>
  <c r="R876" i="1" s="1"/>
  <c r="M880" i="1"/>
  <c r="R880" i="1" s="1"/>
  <c r="M884" i="1"/>
  <c r="R884" i="1" s="1"/>
  <c r="AG915" i="1"/>
  <c r="M936" i="1"/>
  <c r="R936" i="1" s="1"/>
  <c r="M942" i="1"/>
  <c r="R942" i="1" s="1"/>
  <c r="AD994" i="1"/>
  <c r="AD1090" i="1"/>
  <c r="AD1130" i="1"/>
  <c r="M947" i="1"/>
  <c r="R947" i="1" s="1"/>
  <c r="AG951" i="1"/>
  <c r="M959" i="1"/>
  <c r="R959" i="1" s="1"/>
  <c r="M960" i="1"/>
  <c r="R960" i="1" s="1"/>
  <c r="M964" i="1"/>
  <c r="R964" i="1" s="1"/>
  <c r="AG979" i="1"/>
  <c r="M983" i="1"/>
  <c r="R983" i="1" s="1"/>
  <c r="M984" i="1"/>
  <c r="R984" i="1" s="1"/>
  <c r="M988" i="1"/>
  <c r="R988" i="1" s="1"/>
  <c r="M1003" i="1"/>
  <c r="R1003" i="1" s="1"/>
  <c r="M1007" i="1"/>
  <c r="R1007" i="1" s="1"/>
  <c r="M1008" i="1"/>
  <c r="R1008" i="1" s="1"/>
  <c r="M1012" i="1"/>
  <c r="R1012" i="1" s="1"/>
  <c r="M1027" i="1"/>
  <c r="R1027" i="1" s="1"/>
  <c r="AE1029" i="1"/>
  <c r="M1032" i="1"/>
  <c r="R1032" i="1" s="1"/>
  <c r="M1047" i="1"/>
  <c r="R1047" i="1" s="1"/>
  <c r="AG1047" i="1"/>
  <c r="AG1051" i="1"/>
  <c r="M1052" i="1"/>
  <c r="R1052" i="1" s="1"/>
  <c r="M1056" i="1"/>
  <c r="R1056" i="1" s="1"/>
  <c r="M1067" i="1"/>
  <c r="R1067" i="1" s="1"/>
  <c r="M1071" i="1"/>
  <c r="R1071" i="1" s="1"/>
  <c r="AG1071" i="1"/>
  <c r="M1076" i="1"/>
  <c r="R1076" i="1" s="1"/>
  <c r="M1080" i="1"/>
  <c r="R1080" i="1" s="1"/>
  <c r="M1091" i="1"/>
  <c r="R1091" i="1" s="1"/>
  <c r="M1095" i="1"/>
  <c r="R1095" i="1" s="1"/>
  <c r="M1096" i="1"/>
  <c r="R1096" i="1" s="1"/>
  <c r="M1115" i="1"/>
  <c r="R1115" i="1" s="1"/>
  <c r="M1119" i="1"/>
  <c r="R1119" i="1" s="1"/>
  <c r="AG1119" i="1"/>
  <c r="AG1123" i="1"/>
  <c r="M1124" i="1"/>
  <c r="R1124" i="1" s="1"/>
  <c r="M1128" i="1"/>
  <c r="R1128" i="1" s="1"/>
  <c r="M1147" i="1"/>
  <c r="R1147" i="1" s="1"/>
  <c r="M1151" i="1"/>
  <c r="R1151" i="1" s="1"/>
  <c r="AG1151" i="1"/>
  <c r="M1156" i="1"/>
  <c r="R1156" i="1" s="1"/>
  <c r="M1171" i="1"/>
  <c r="R1171" i="1" s="1"/>
  <c r="M1182" i="1"/>
  <c r="R1182" i="1" s="1"/>
  <c r="AE1189" i="1"/>
  <c r="AE1197" i="1"/>
  <c r="AG1199" i="1"/>
  <c r="M1200" i="1"/>
  <c r="R1200" i="1" s="1"/>
  <c r="AG1203" i="1"/>
  <c r="M1207" i="1"/>
  <c r="R1207" i="1" s="1"/>
  <c r="M1211" i="1"/>
  <c r="R1211" i="1" s="1"/>
  <c r="M1222" i="1"/>
  <c r="R1222" i="1" s="1"/>
  <c r="AE1237" i="1"/>
  <c r="M1240" i="1"/>
  <c r="R1240" i="1" s="1"/>
  <c r="AG1243" i="1"/>
  <c r="M1247" i="1"/>
  <c r="R1247" i="1" s="1"/>
  <c r="M1262" i="1"/>
  <c r="R1262" i="1" s="1"/>
  <c r="AF1270" i="1"/>
  <c r="M1274" i="1"/>
  <c r="R1274" i="1" s="1"/>
  <c r="AG1279" i="1"/>
  <c r="M1280" i="1"/>
  <c r="R1280" i="1" s="1"/>
  <c r="M1286" i="1"/>
  <c r="R1286" i="1" s="1"/>
  <c r="M1292" i="1"/>
  <c r="R1292" i="1" s="1"/>
  <c r="AG1297" i="1"/>
  <c r="AG1313" i="1"/>
  <c r="AC1313" i="1"/>
  <c r="AG1349" i="1"/>
  <c r="AD1380" i="1"/>
  <c r="M1396" i="1"/>
  <c r="R1396" i="1" s="1"/>
  <c r="M1400" i="1"/>
  <c r="R1400" i="1" s="1"/>
  <c r="AF1478" i="1"/>
  <c r="AG1489" i="1"/>
  <c r="AC1489" i="1"/>
  <c r="AF1518" i="1"/>
  <c r="M1544" i="1"/>
  <c r="R1544" i="1" s="1"/>
  <c r="AG1548" i="1"/>
  <c r="AD1548" i="1"/>
  <c r="AF1580" i="1"/>
  <c r="AD1580" i="1"/>
  <c r="AF1588" i="1"/>
  <c r="AD1588" i="1"/>
  <c r="AC1615" i="1"/>
  <c r="AC1617" i="1"/>
  <c r="AC1655" i="1"/>
  <c r="AG1686" i="1"/>
  <c r="AD1686" i="1"/>
  <c r="AG1690" i="1"/>
  <c r="AE1713" i="1"/>
  <c r="AG987" i="1"/>
  <c r="AG1011" i="1"/>
  <c r="AG1035" i="1"/>
  <c r="AG1059" i="1"/>
  <c r="AG1083" i="1"/>
  <c r="AG1095" i="1"/>
  <c r="AG1183" i="1"/>
  <c r="AG1195" i="1"/>
  <c r="AF1212" i="1"/>
  <c r="AG1227" i="1"/>
  <c r="AF1252" i="1"/>
  <c r="AG1263" i="1"/>
  <c r="AG1267" i="1"/>
  <c r="AG1285" i="1"/>
  <c r="AD1300" i="1"/>
  <c r="AG1305" i="1"/>
  <c r="AE1327" i="1"/>
  <c r="AG1345" i="1"/>
  <c r="AC1377" i="1"/>
  <c r="AG1413" i="1"/>
  <c r="AG1420" i="1"/>
  <c r="AD1420" i="1"/>
  <c r="AG1460" i="1"/>
  <c r="AD1460" i="1"/>
  <c r="AE1641" i="1"/>
  <c r="AG1654" i="1"/>
  <c r="AD1654" i="1"/>
  <c r="AG1678" i="1"/>
  <c r="AD1678" i="1"/>
  <c r="AG1694" i="1"/>
  <c r="AD1694" i="1"/>
  <c r="AG1735" i="1"/>
  <c r="AC1735" i="1"/>
  <c r="AE1737" i="1"/>
  <c r="AC1743" i="1"/>
  <c r="AG1751" i="1"/>
  <c r="AC1751" i="1"/>
  <c r="AE1753" i="1"/>
  <c r="AG1759" i="1"/>
  <c r="AC1759" i="1"/>
  <c r="AE1761" i="1"/>
  <c r="AC1767" i="1"/>
  <c r="AE1769" i="1"/>
  <c r="AG1775" i="1"/>
  <c r="AC1775" i="1"/>
  <c r="AG1783" i="1"/>
  <c r="AC1783" i="1"/>
  <c r="AE1785" i="1"/>
  <c r="AC1791" i="1"/>
  <c r="AE1793" i="1"/>
  <c r="AG1799" i="1"/>
  <c r="AC1799" i="1"/>
  <c r="AG1807" i="1"/>
  <c r="AC1807" i="1"/>
  <c r="AC1815" i="1"/>
  <c r="AC1823" i="1"/>
  <c r="AE1825" i="1"/>
  <c r="AC1831" i="1"/>
  <c r="AE1833" i="1"/>
  <c r="AC1839" i="1"/>
  <c r="AE1841" i="1"/>
  <c r="AC1847" i="1"/>
  <c r="AE1849" i="1"/>
  <c r="AC1855" i="1"/>
  <c r="AE1857" i="1"/>
  <c r="AC999" i="1"/>
  <c r="AG1019" i="1"/>
  <c r="AC1023" i="1"/>
  <c r="AG1043" i="1"/>
  <c r="AC1087" i="1"/>
  <c r="AG1107" i="1"/>
  <c r="M1131" i="1"/>
  <c r="R1131" i="1" s="1"/>
  <c r="AG1139" i="1"/>
  <c r="AG1163" i="1"/>
  <c r="AC1167" i="1"/>
  <c r="AG1179" i="1"/>
  <c r="AD1212" i="1"/>
  <c r="AG1215" i="1"/>
  <c r="AG1219" i="1"/>
  <c r="AD1252" i="1"/>
  <c r="AG1255" i="1"/>
  <c r="AG1259" i="1"/>
  <c r="AD1276" i="1"/>
  <c r="Y1284" i="1"/>
  <c r="AD1332" i="1"/>
  <c r="AG1337" i="1"/>
  <c r="AC1337" i="1"/>
  <c r="AD1348" i="1"/>
  <c r="AG1369" i="1"/>
  <c r="AE1391" i="1"/>
  <c r="AG1409" i="1"/>
  <c r="AG1476" i="1"/>
  <c r="AD1476" i="1"/>
  <c r="AD1492" i="1"/>
  <c r="AD1638" i="1"/>
  <c r="AG1662" i="1"/>
  <c r="AD1662" i="1"/>
  <c r="AE1673" i="1"/>
  <c r="AD1702" i="1"/>
  <c r="AC1727" i="1"/>
  <c r="AE1729" i="1"/>
  <c r="M903" i="1"/>
  <c r="R903" i="1" s="1"/>
  <c r="M908" i="1"/>
  <c r="R908" i="1" s="1"/>
  <c r="M919" i="1"/>
  <c r="R919" i="1" s="1"/>
  <c r="AG923" i="1"/>
  <c r="M924" i="1"/>
  <c r="R924" i="1" s="1"/>
  <c r="M928" i="1"/>
  <c r="R928" i="1" s="1"/>
  <c r="AG947" i="1"/>
  <c r="M951" i="1"/>
  <c r="R951" i="1" s="1"/>
  <c r="M952" i="1"/>
  <c r="R952" i="1" s="1"/>
  <c r="M956" i="1"/>
  <c r="R956" i="1" s="1"/>
  <c r="M971" i="1"/>
  <c r="R971" i="1" s="1"/>
  <c r="M975" i="1"/>
  <c r="R975" i="1" s="1"/>
  <c r="M976" i="1"/>
  <c r="R976" i="1" s="1"/>
  <c r="M980" i="1"/>
  <c r="R980" i="1" s="1"/>
  <c r="M995" i="1"/>
  <c r="R995" i="1" s="1"/>
  <c r="AG1003" i="1"/>
  <c r="M1019" i="1"/>
  <c r="R1019" i="1" s="1"/>
  <c r="AG1027" i="1"/>
  <c r="M1028" i="1"/>
  <c r="R1028" i="1" s="1"/>
  <c r="M1043" i="1"/>
  <c r="R1043" i="1" s="1"/>
  <c r="M1048" i="1"/>
  <c r="R1048" i="1" s="1"/>
  <c r="M1063" i="1"/>
  <c r="R1063" i="1" s="1"/>
  <c r="AG1067" i="1"/>
  <c r="M1068" i="1"/>
  <c r="R1068" i="1" s="1"/>
  <c r="M1072" i="1"/>
  <c r="R1072" i="1" s="1"/>
  <c r="AG1091" i="1"/>
  <c r="M1092" i="1"/>
  <c r="R1092" i="1" s="1"/>
  <c r="M1107" i="1"/>
  <c r="R1107" i="1" s="1"/>
  <c r="M1111" i="1"/>
  <c r="R1111" i="1" s="1"/>
  <c r="M1116" i="1"/>
  <c r="R1116" i="1" s="1"/>
  <c r="M1120" i="1"/>
  <c r="R1120" i="1" s="1"/>
  <c r="M1139" i="1"/>
  <c r="R1139" i="1" s="1"/>
  <c r="M1143" i="1"/>
  <c r="R1143" i="1" s="1"/>
  <c r="AG1147" i="1"/>
  <c r="M1148" i="1"/>
  <c r="R1148" i="1" s="1"/>
  <c r="M1152" i="1"/>
  <c r="R1152" i="1" s="1"/>
  <c r="M1163" i="1"/>
  <c r="R1163" i="1" s="1"/>
  <c r="AG1171" i="1"/>
  <c r="M1175" i="1"/>
  <c r="R1175" i="1" s="1"/>
  <c r="M1179" i="1"/>
  <c r="R1179" i="1" s="1"/>
  <c r="M1190" i="1"/>
  <c r="R1190" i="1" s="1"/>
  <c r="M1198" i="1"/>
  <c r="R1198" i="1" s="1"/>
  <c r="M1208" i="1"/>
  <c r="R1208" i="1" s="1"/>
  <c r="AG1211" i="1"/>
  <c r="M1215" i="1"/>
  <c r="R1215" i="1" s="1"/>
  <c r="M1219" i="1"/>
  <c r="R1219" i="1" s="1"/>
  <c r="M1230" i="1"/>
  <c r="R1230" i="1" s="1"/>
  <c r="M1238" i="1"/>
  <c r="R1238" i="1" s="1"/>
  <c r="AG1247" i="1"/>
  <c r="M1248" i="1"/>
  <c r="R1248" i="1" s="1"/>
  <c r="M1255" i="1"/>
  <c r="R1255" i="1" s="1"/>
  <c r="M1259" i="1"/>
  <c r="R1259" i="1" s="1"/>
  <c r="M1270" i="1"/>
  <c r="R1270" i="1" s="1"/>
  <c r="AG1271" i="1"/>
  <c r="AG1275" i="1"/>
  <c r="AC1289" i="1"/>
  <c r="AD1292" i="1"/>
  <c r="AD1316" i="1"/>
  <c r="M1332" i="1"/>
  <c r="R1332" i="1" s="1"/>
  <c r="M1336" i="1"/>
  <c r="R1336" i="1" s="1"/>
  <c r="AD1372" i="1"/>
  <c r="AD1396" i="1"/>
  <c r="AG1401" i="1"/>
  <c r="AC1401" i="1"/>
  <c r="AD1412" i="1"/>
  <c r="AF1422" i="1"/>
  <c r="AD1428" i="1"/>
  <c r="AG1436" i="1"/>
  <c r="AD1436" i="1"/>
  <c r="AF1462" i="1"/>
  <c r="M1476" i="1"/>
  <c r="R1476" i="1" s="1"/>
  <c r="AF1510" i="1"/>
  <c r="Y1516" i="1"/>
  <c r="AF1564" i="1"/>
  <c r="AD1564" i="1"/>
  <c r="AF1574" i="1"/>
  <c r="AF1630" i="1"/>
  <c r="AF1636" i="1"/>
  <c r="AF1676" i="1"/>
  <c r="AG1687" i="1"/>
  <c r="AC1687" i="1"/>
  <c r="AF1696" i="1"/>
  <c r="AE1721" i="1"/>
  <c r="AG1866" i="1"/>
  <c r="AE1873" i="1"/>
  <c r="AG1882" i="1"/>
  <c r="AE1889" i="1"/>
  <c r="AG1898" i="1"/>
  <c r="AE1905" i="1"/>
  <c r="AG1914" i="1"/>
  <c r="AD1978" i="1"/>
  <c r="AF2024" i="1"/>
  <c r="AD2024" i="1"/>
  <c r="AD2090" i="1"/>
  <c r="AG2913" i="1"/>
  <c r="AD2928" i="1"/>
  <c r="M1271" i="1"/>
  <c r="R1271" i="1" s="1"/>
  <c r="M1275" i="1"/>
  <c r="R1275" i="1" s="1"/>
  <c r="M1285" i="1"/>
  <c r="R1285" i="1" s="1"/>
  <c r="M1291" i="1"/>
  <c r="R1291" i="1" s="1"/>
  <c r="M1295" i="1"/>
  <c r="R1295" i="1" s="1"/>
  <c r="M1309" i="1"/>
  <c r="R1309" i="1" s="1"/>
  <c r="M1313" i="1"/>
  <c r="R1313" i="1" s="1"/>
  <c r="M1314" i="1"/>
  <c r="R1314" i="1" s="1"/>
  <c r="M1318" i="1"/>
  <c r="R1318" i="1" s="1"/>
  <c r="M1331" i="1"/>
  <c r="R1331" i="1" s="1"/>
  <c r="AG1333" i="1"/>
  <c r="M1335" i="1"/>
  <c r="R1335" i="1" s="1"/>
  <c r="M1337" i="1"/>
  <c r="R1337" i="1" s="1"/>
  <c r="M1338" i="1"/>
  <c r="R1338" i="1" s="1"/>
  <c r="M1342" i="1"/>
  <c r="R1342" i="1" s="1"/>
  <c r="M1349" i="1"/>
  <c r="R1349" i="1" s="1"/>
  <c r="M1355" i="1"/>
  <c r="R1355" i="1" s="1"/>
  <c r="AG1357" i="1"/>
  <c r="M1359" i="1"/>
  <c r="R1359" i="1" s="1"/>
  <c r="M1373" i="1"/>
  <c r="R1373" i="1" s="1"/>
  <c r="M1377" i="1"/>
  <c r="R1377" i="1" s="1"/>
  <c r="M1378" i="1"/>
  <c r="R1378" i="1" s="1"/>
  <c r="M1382" i="1"/>
  <c r="R1382" i="1" s="1"/>
  <c r="M1395" i="1"/>
  <c r="R1395" i="1" s="1"/>
  <c r="M1399" i="1"/>
  <c r="R1399" i="1" s="1"/>
  <c r="M1401" i="1"/>
  <c r="R1401" i="1" s="1"/>
  <c r="M1402" i="1"/>
  <c r="R1402" i="1" s="1"/>
  <c r="M1406" i="1"/>
  <c r="R1406" i="1" s="1"/>
  <c r="M1413" i="1"/>
  <c r="R1413" i="1" s="1"/>
  <c r="M1419" i="1"/>
  <c r="R1419" i="1" s="1"/>
  <c r="M1439" i="1"/>
  <c r="R1439" i="1" s="1"/>
  <c r="M1443" i="1"/>
  <c r="R1443" i="1" s="1"/>
  <c r="M1459" i="1"/>
  <c r="R1459" i="1" s="1"/>
  <c r="M1475" i="1"/>
  <c r="R1475" i="1" s="1"/>
  <c r="M1486" i="1"/>
  <c r="R1486" i="1" s="1"/>
  <c r="AG1492" i="1"/>
  <c r="M1498" i="1"/>
  <c r="R1498" i="1" s="1"/>
  <c r="M1508" i="1"/>
  <c r="R1508" i="1" s="1"/>
  <c r="AG1513" i="1"/>
  <c r="M1525" i="1"/>
  <c r="R1525" i="1" s="1"/>
  <c r="M1541" i="1"/>
  <c r="R1541" i="1" s="1"/>
  <c r="M1548" i="1"/>
  <c r="R1548" i="1" s="1"/>
  <c r="AE1551" i="1"/>
  <c r="AE1557" i="1"/>
  <c r="M1559" i="1"/>
  <c r="R1559" i="1" s="1"/>
  <c r="M1580" i="1"/>
  <c r="R1580" i="1" s="1"/>
  <c r="M1583" i="1"/>
  <c r="R1583" i="1" s="1"/>
  <c r="AG1591" i="1"/>
  <c r="Y1594" i="1"/>
  <c r="Y1602" i="1"/>
  <c r="AG1603" i="1"/>
  <c r="M1615" i="1"/>
  <c r="R1615" i="1" s="1"/>
  <c r="M1616" i="1"/>
  <c r="R1616" i="1" s="1"/>
  <c r="AG1627" i="1"/>
  <c r="M1628" i="1"/>
  <c r="R1628" i="1" s="1"/>
  <c r="M1631" i="1"/>
  <c r="R1631" i="1" s="1"/>
  <c r="M1632" i="1"/>
  <c r="R1632" i="1" s="1"/>
  <c r="AG1635" i="1"/>
  <c r="M1636" i="1"/>
  <c r="R1636" i="1" s="1"/>
  <c r="Y1646" i="1"/>
  <c r="AE1665" i="1"/>
  <c r="M1677" i="1"/>
  <c r="R1677" i="1" s="1"/>
  <c r="M1680" i="1"/>
  <c r="R1680" i="1" s="1"/>
  <c r="AE1697" i="1"/>
  <c r="M1717" i="1"/>
  <c r="R1717" i="1" s="1"/>
  <c r="M1725" i="1"/>
  <c r="R1725" i="1" s="1"/>
  <c r="Y1734" i="1"/>
  <c r="Y1742" i="1"/>
  <c r="Y1750" i="1"/>
  <c r="Y1758" i="1"/>
  <c r="AG1758" i="1" s="1"/>
  <c r="Y1766" i="1"/>
  <c r="Y1774" i="1"/>
  <c r="Y1782" i="1"/>
  <c r="AD1782" i="1" s="1"/>
  <c r="Y1790" i="1"/>
  <c r="Y1798" i="1"/>
  <c r="Y1806" i="1"/>
  <c r="AD1806" i="1" s="1"/>
  <c r="Y1814" i="1"/>
  <c r="AD1814" i="1" s="1"/>
  <c r="Y1822" i="1"/>
  <c r="Y1830" i="1"/>
  <c r="Y1838" i="1"/>
  <c r="Y1846" i="1"/>
  <c r="AD1846" i="1" s="1"/>
  <c r="Y1854" i="1"/>
  <c r="AG1854" i="1" s="1"/>
  <c r="AE1933" i="1"/>
  <c r="AF1936" i="1"/>
  <c r="AF1952" i="1"/>
  <c r="AD1966" i="1"/>
  <c r="AG1983" i="1"/>
  <c r="AC1983" i="1"/>
  <c r="AG2042" i="1"/>
  <c r="AD2042" i="1"/>
  <c r="AE2097" i="1"/>
  <c r="AG2158" i="1"/>
  <c r="Y2216" i="1"/>
  <c r="AG2228" i="1"/>
  <c r="AD2228" i="1"/>
  <c r="Y2248" i="1"/>
  <c r="AF2258" i="1"/>
  <c r="AG2260" i="1"/>
  <c r="Y2280" i="1"/>
  <c r="AF2290" i="1"/>
  <c r="AG2292" i="1"/>
  <c r="M1278" i="1"/>
  <c r="R1278" i="1" s="1"/>
  <c r="M1297" i="1"/>
  <c r="R1297" i="1" s="1"/>
  <c r="M1298" i="1"/>
  <c r="R1298" i="1" s="1"/>
  <c r="M1302" i="1"/>
  <c r="R1302" i="1" s="1"/>
  <c r="M1315" i="1"/>
  <c r="R1315" i="1" s="1"/>
  <c r="AG1317" i="1"/>
  <c r="M1319" i="1"/>
  <c r="R1319" i="1" s="1"/>
  <c r="M1321" i="1"/>
  <c r="R1321" i="1" s="1"/>
  <c r="M1322" i="1"/>
  <c r="R1322" i="1" s="1"/>
  <c r="M1326" i="1"/>
  <c r="R1326" i="1" s="1"/>
  <c r="M1333" i="1"/>
  <c r="R1333" i="1" s="1"/>
  <c r="M1339" i="1"/>
  <c r="R1339" i="1" s="1"/>
  <c r="M1343" i="1"/>
  <c r="R1343" i="1" s="1"/>
  <c r="AE1343" i="1"/>
  <c r="M1357" i="1"/>
  <c r="R1357" i="1" s="1"/>
  <c r="M1361" i="1"/>
  <c r="R1361" i="1" s="1"/>
  <c r="M1362" i="1"/>
  <c r="R1362" i="1" s="1"/>
  <c r="M1366" i="1"/>
  <c r="R1366" i="1" s="1"/>
  <c r="M1379" i="1"/>
  <c r="R1379" i="1" s="1"/>
  <c r="AG1381" i="1"/>
  <c r="M1383" i="1"/>
  <c r="R1383" i="1" s="1"/>
  <c r="M1385" i="1"/>
  <c r="R1385" i="1" s="1"/>
  <c r="M1386" i="1"/>
  <c r="R1386" i="1" s="1"/>
  <c r="M1390" i="1"/>
  <c r="R1390" i="1" s="1"/>
  <c r="M1397" i="1"/>
  <c r="R1397" i="1" s="1"/>
  <c r="M1403" i="1"/>
  <c r="R1403" i="1" s="1"/>
  <c r="M1407" i="1"/>
  <c r="R1407" i="1" s="1"/>
  <c r="AE1407" i="1"/>
  <c r="M1423" i="1"/>
  <c r="R1423" i="1" s="1"/>
  <c r="M1425" i="1"/>
  <c r="R1425" i="1" s="1"/>
  <c r="M1426" i="1"/>
  <c r="R1426" i="1" s="1"/>
  <c r="M1430" i="1"/>
  <c r="R1430" i="1" s="1"/>
  <c r="M1447" i="1"/>
  <c r="R1447" i="1" s="1"/>
  <c r="M1450" i="1"/>
  <c r="R1450" i="1" s="1"/>
  <c r="M1454" i="1"/>
  <c r="R1454" i="1" s="1"/>
  <c r="M1461" i="1"/>
  <c r="R1461" i="1" s="1"/>
  <c r="M1463" i="1"/>
  <c r="R1463" i="1" s="1"/>
  <c r="M1466" i="1"/>
  <c r="R1466" i="1" s="1"/>
  <c r="M1470" i="1"/>
  <c r="R1470" i="1" s="1"/>
  <c r="M1477" i="1"/>
  <c r="R1477" i="1" s="1"/>
  <c r="M1479" i="1"/>
  <c r="R1479" i="1" s="1"/>
  <c r="M1482" i="1"/>
  <c r="R1482" i="1" s="1"/>
  <c r="M1492" i="1"/>
  <c r="R1492" i="1" s="1"/>
  <c r="M1495" i="1"/>
  <c r="R1495" i="1" s="1"/>
  <c r="AG1497" i="1"/>
  <c r="M1509" i="1"/>
  <c r="R1509" i="1" s="1"/>
  <c r="M1534" i="1"/>
  <c r="R1534" i="1" s="1"/>
  <c r="M1536" i="1"/>
  <c r="R1536" i="1" s="1"/>
  <c r="AG1537" i="1"/>
  <c r="M1549" i="1"/>
  <c r="R1549" i="1" s="1"/>
  <c r="M1554" i="1"/>
  <c r="R1554" i="1" s="1"/>
  <c r="AF1556" i="1"/>
  <c r="AD1556" i="1"/>
  <c r="M1566" i="1"/>
  <c r="R1566" i="1" s="1"/>
  <c r="AG1583" i="1"/>
  <c r="AE1589" i="1"/>
  <c r="M1591" i="1"/>
  <c r="R1591" i="1" s="1"/>
  <c r="M1595" i="1"/>
  <c r="R1595" i="1" s="1"/>
  <c r="AG1599" i="1"/>
  <c r="M1603" i="1"/>
  <c r="R1603" i="1" s="1"/>
  <c r="M1610" i="1"/>
  <c r="R1610" i="1" s="1"/>
  <c r="AG1631" i="1"/>
  <c r="M1637" i="1"/>
  <c r="R1637" i="1" s="1"/>
  <c r="M1640" i="1"/>
  <c r="R1640" i="1" s="1"/>
  <c r="AC1647" i="1"/>
  <c r="AE1657" i="1"/>
  <c r="M1669" i="1"/>
  <c r="R1669" i="1" s="1"/>
  <c r="M1672" i="1"/>
  <c r="R1672" i="1" s="1"/>
  <c r="AE1689" i="1"/>
  <c r="M1701" i="1"/>
  <c r="R1701" i="1" s="1"/>
  <c r="M1704" i="1"/>
  <c r="R1704" i="1" s="1"/>
  <c r="AG1710" i="1"/>
  <c r="AD1710" i="1"/>
  <c r="AG1718" i="1"/>
  <c r="AD1718" i="1"/>
  <c r="AG1726" i="1"/>
  <c r="AD1726" i="1"/>
  <c r="AF1728" i="1"/>
  <c r="AF1736" i="1"/>
  <c r="AF1744" i="1"/>
  <c r="AF1752" i="1"/>
  <c r="AF1760" i="1"/>
  <c r="AG1858" i="1"/>
  <c r="AG1890" i="1"/>
  <c r="AG1906" i="1"/>
  <c r="AE1913" i="1"/>
  <c r="AE1965" i="1"/>
  <c r="AE2049" i="1"/>
  <c r="AG2058" i="1"/>
  <c r="AD2058" i="1"/>
  <c r="AD2178" i="1"/>
  <c r="AG2236" i="1"/>
  <c r="AD2236" i="1"/>
  <c r="AG2348" i="1"/>
  <c r="AD2348" i="1"/>
  <c r="AC2366" i="1"/>
  <c r="AG2366" i="1"/>
  <c r="M1299" i="1"/>
  <c r="R1299" i="1" s="1"/>
  <c r="AG1301" i="1"/>
  <c r="M1303" i="1"/>
  <c r="R1303" i="1" s="1"/>
  <c r="M1305" i="1"/>
  <c r="R1305" i="1" s="1"/>
  <c r="M1306" i="1"/>
  <c r="R1306" i="1" s="1"/>
  <c r="M1310" i="1"/>
  <c r="R1310" i="1" s="1"/>
  <c r="M1317" i="1"/>
  <c r="R1317" i="1" s="1"/>
  <c r="AG1325" i="1"/>
  <c r="M1327" i="1"/>
  <c r="R1327" i="1" s="1"/>
  <c r="M1345" i="1"/>
  <c r="R1345" i="1" s="1"/>
  <c r="M1346" i="1"/>
  <c r="R1346" i="1" s="1"/>
  <c r="M1350" i="1"/>
  <c r="R1350" i="1" s="1"/>
  <c r="AG1361" i="1"/>
  <c r="M1363" i="1"/>
  <c r="R1363" i="1" s="1"/>
  <c r="AG1365" i="1"/>
  <c r="M1369" i="1"/>
  <c r="R1369" i="1" s="1"/>
  <c r="M1370" i="1"/>
  <c r="R1370" i="1" s="1"/>
  <c r="M1374" i="1"/>
  <c r="R1374" i="1" s="1"/>
  <c r="M1381" i="1"/>
  <c r="R1381" i="1" s="1"/>
  <c r="AG1385" i="1"/>
  <c r="M1387" i="1"/>
  <c r="R1387" i="1" s="1"/>
  <c r="AG1389" i="1"/>
  <c r="M1391" i="1"/>
  <c r="R1391" i="1" s="1"/>
  <c r="M1409" i="1"/>
  <c r="R1409" i="1" s="1"/>
  <c r="M1410" i="1"/>
  <c r="R1410" i="1" s="1"/>
  <c r="M1414" i="1"/>
  <c r="R1414" i="1" s="1"/>
  <c r="M1427" i="1"/>
  <c r="R1427" i="1" s="1"/>
  <c r="M1434" i="1"/>
  <c r="R1434" i="1" s="1"/>
  <c r="M1438" i="1"/>
  <c r="R1438" i="1" s="1"/>
  <c r="AG1449" i="1"/>
  <c r="AG1465" i="1"/>
  <c r="M1467" i="1"/>
  <c r="R1467" i="1" s="1"/>
  <c r="M1483" i="1"/>
  <c r="R1483" i="1" s="1"/>
  <c r="M1493" i="1"/>
  <c r="R1493" i="1" s="1"/>
  <c r="M1518" i="1"/>
  <c r="R1518" i="1" s="1"/>
  <c r="AG1524" i="1"/>
  <c r="M1530" i="1"/>
  <c r="R1530" i="1" s="1"/>
  <c r="AG1553" i="1"/>
  <c r="M1563" i="1"/>
  <c r="R1563" i="1" s="1"/>
  <c r="AG1571" i="1"/>
  <c r="AF1572" i="1"/>
  <c r="M1574" i="1"/>
  <c r="R1574" i="1" s="1"/>
  <c r="AG1575" i="1"/>
  <c r="M1576" i="1"/>
  <c r="R1576" i="1" s="1"/>
  <c r="AF1620" i="1"/>
  <c r="M1622" i="1"/>
  <c r="R1622" i="1" s="1"/>
  <c r="M1624" i="1"/>
  <c r="R1624" i="1" s="1"/>
  <c r="AE1649" i="1"/>
  <c r="M1661" i="1"/>
  <c r="R1661" i="1" s="1"/>
  <c r="M1664" i="1"/>
  <c r="R1664" i="1" s="1"/>
  <c r="AF1672" i="1"/>
  <c r="M1693" i="1"/>
  <c r="R1693" i="1" s="1"/>
  <c r="M1696" i="1"/>
  <c r="R1696" i="1" s="1"/>
  <c r="AG1698" i="1"/>
  <c r="Y1862" i="1"/>
  <c r="Y1878" i="1"/>
  <c r="Y1894" i="1"/>
  <c r="Y1910" i="1"/>
  <c r="AF1928" i="1"/>
  <c r="AE1957" i="1"/>
  <c r="AF1960" i="1"/>
  <c r="AG1975" i="1"/>
  <c r="AC1975" i="1"/>
  <c r="AF1976" i="1"/>
  <c r="AG1986" i="1"/>
  <c r="AC2035" i="1"/>
  <c r="AE2065" i="1"/>
  <c r="AF2072" i="1"/>
  <c r="AD2074" i="1"/>
  <c r="Y2200" i="1"/>
  <c r="Y2232" i="1"/>
  <c r="AF2242" i="1"/>
  <c r="AG2244" i="1"/>
  <c r="AD2244" i="1"/>
  <c r="Y2264" i="1"/>
  <c r="AG2276" i="1"/>
  <c r="AD2276" i="1"/>
  <c r="Y2296" i="1"/>
  <c r="AF2298" i="1"/>
  <c r="M2397" i="1"/>
  <c r="R2397" i="1" s="1"/>
  <c r="Y2397" i="1"/>
  <c r="AD2397" i="1" s="1"/>
  <c r="AG1870" i="1"/>
  <c r="AG1886" i="1"/>
  <c r="AG1902" i="1"/>
  <c r="AG1922" i="1"/>
  <c r="Y1930" i="1"/>
  <c r="Y1938" i="1"/>
  <c r="Y1946" i="1"/>
  <c r="Y1954" i="1"/>
  <c r="Y1962" i="1"/>
  <c r="AF1972" i="1"/>
  <c r="AG1982" i="1"/>
  <c r="AF1984" i="1"/>
  <c r="Y2000" i="1"/>
  <c r="Y2008" i="1"/>
  <c r="AF2008" i="1" s="1"/>
  <c r="AF2016" i="1"/>
  <c r="AF2018" i="1"/>
  <c r="AG2114" i="1"/>
  <c r="AF2116" i="1"/>
  <c r="Y2122" i="1"/>
  <c r="Y2130" i="1"/>
  <c r="AF2132" i="1"/>
  <c r="Y2138" i="1"/>
  <c r="AF2140" i="1"/>
  <c r="Y2146" i="1"/>
  <c r="AF2148" i="1"/>
  <c r="Y2154" i="1"/>
  <c r="AE2177" i="1"/>
  <c r="AG2224" i="1"/>
  <c r="AG2240" i="1"/>
  <c r="AG2256" i="1"/>
  <c r="AG2272" i="1"/>
  <c r="AF2302" i="1"/>
  <c r="AC2374" i="1"/>
  <c r="AD2377" i="1"/>
  <c r="AF2394" i="1"/>
  <c r="AC2394" i="1"/>
  <c r="AG2398" i="1"/>
  <c r="AF2734" i="1"/>
  <c r="AD2734" i="1"/>
  <c r="AF2798" i="1"/>
  <c r="AF2806" i="1"/>
  <c r="AC1863" i="1"/>
  <c r="AD1870" i="1"/>
  <c r="AC1871" i="1"/>
  <c r="AC1879" i="1"/>
  <c r="AD1886" i="1"/>
  <c r="AC1887" i="1"/>
  <c r="AC1895" i="1"/>
  <c r="AD1902" i="1"/>
  <c r="AC1903" i="1"/>
  <c r="AC1911" i="1"/>
  <c r="AG1918" i="1"/>
  <c r="AC1919" i="1"/>
  <c r="AD1922" i="1"/>
  <c r="AG1926" i="1"/>
  <c r="AD1926" i="1"/>
  <c r="AG1934" i="1"/>
  <c r="AD1934" i="1"/>
  <c r="AG1942" i="1"/>
  <c r="AD1942" i="1"/>
  <c r="AG1950" i="1"/>
  <c r="AD1950" i="1"/>
  <c r="AG1958" i="1"/>
  <c r="AD1958" i="1"/>
  <c r="AG1970" i="1"/>
  <c r="AD1970" i="1"/>
  <c r="AD1982" i="1"/>
  <c r="AE1985" i="1"/>
  <c r="AF2026" i="1"/>
  <c r="AD2032" i="1"/>
  <c r="AE2041" i="1"/>
  <c r="AF2048" i="1"/>
  <c r="AG2050" i="1"/>
  <c r="AE2057" i="1"/>
  <c r="AF2064" i="1"/>
  <c r="AE2073" i="1"/>
  <c r="AF2080" i="1"/>
  <c r="AE2089" i="1"/>
  <c r="AF2096" i="1"/>
  <c r="AE2105" i="1"/>
  <c r="AD2114" i="1"/>
  <c r="AD2118" i="1"/>
  <c r="AD2126" i="1"/>
  <c r="AD2134" i="1"/>
  <c r="AD2142" i="1"/>
  <c r="AD2150" i="1"/>
  <c r="AF2168" i="1"/>
  <c r="Y2308" i="1"/>
  <c r="AE2319" i="1"/>
  <c r="AG2336" i="1"/>
  <c r="AE2351" i="1"/>
  <c r="AG2382" i="1"/>
  <c r="AF2390" i="1"/>
  <c r="AC2390" i="1"/>
  <c r="AC2529" i="1"/>
  <c r="AD2529" i="1"/>
  <c r="M1491" i="1"/>
  <c r="R1491" i="1" s="1"/>
  <c r="M1507" i="1"/>
  <c r="R1507" i="1" s="1"/>
  <c r="M1538" i="1"/>
  <c r="R1538" i="1" s="1"/>
  <c r="M1542" i="1"/>
  <c r="R1542" i="1" s="1"/>
  <c r="AG1559" i="1"/>
  <c r="M1560" i="1"/>
  <c r="R1560" i="1" s="1"/>
  <c r="M1571" i="1"/>
  <c r="R1571" i="1" s="1"/>
  <c r="M1590" i="1"/>
  <c r="R1590" i="1" s="1"/>
  <c r="M1599" i="1"/>
  <c r="R1599" i="1" s="1"/>
  <c r="M1600" i="1"/>
  <c r="R1600" i="1" s="1"/>
  <c r="M1607" i="1"/>
  <c r="R1607" i="1" s="1"/>
  <c r="M1614" i="1"/>
  <c r="R1614" i="1" s="1"/>
  <c r="M1641" i="1"/>
  <c r="R1641" i="1" s="1"/>
  <c r="M1649" i="1"/>
  <c r="R1649" i="1" s="1"/>
  <c r="AE1653" i="1"/>
  <c r="M1657" i="1"/>
  <c r="R1657" i="1" s="1"/>
  <c r="AE1661" i="1"/>
  <c r="M1665" i="1"/>
  <c r="R1665" i="1" s="1"/>
  <c r="M1673" i="1"/>
  <c r="R1673" i="1" s="1"/>
  <c r="AE1677" i="1"/>
  <c r="M1681" i="1"/>
  <c r="R1681" i="1" s="1"/>
  <c r="M1689" i="1"/>
  <c r="R1689" i="1" s="1"/>
  <c r="AE1693" i="1"/>
  <c r="M1697" i="1"/>
  <c r="R1697" i="1" s="1"/>
  <c r="AE1701" i="1"/>
  <c r="M1705" i="1"/>
  <c r="R1705" i="1" s="1"/>
  <c r="M1713" i="1"/>
  <c r="R1713" i="1" s="1"/>
  <c r="AE1717" i="1"/>
  <c r="M1721" i="1"/>
  <c r="R1721" i="1" s="1"/>
  <c r="M1729" i="1"/>
  <c r="R1729" i="1" s="1"/>
  <c r="AE1733" i="1"/>
  <c r="M1737" i="1"/>
  <c r="R1737" i="1" s="1"/>
  <c r="M1745" i="1"/>
  <c r="R1745" i="1" s="1"/>
  <c r="M1753" i="1"/>
  <c r="R1753" i="1" s="1"/>
  <c r="AE1757" i="1"/>
  <c r="M1761" i="1"/>
  <c r="R1761" i="1" s="1"/>
  <c r="M1769" i="1"/>
  <c r="R1769" i="1" s="1"/>
  <c r="AE1773" i="1"/>
  <c r="M1777" i="1"/>
  <c r="R1777" i="1" s="1"/>
  <c r="M1785" i="1"/>
  <c r="R1785" i="1" s="1"/>
  <c r="AE1789" i="1"/>
  <c r="M1793" i="1"/>
  <c r="R1793" i="1" s="1"/>
  <c r="AE1797" i="1"/>
  <c r="M1801" i="1"/>
  <c r="R1801" i="1" s="1"/>
  <c r="AE1805" i="1"/>
  <c r="M1809" i="1"/>
  <c r="R1809" i="1" s="1"/>
  <c r="AE1813" i="1"/>
  <c r="AE1821" i="1"/>
  <c r="M1825" i="1"/>
  <c r="R1825" i="1" s="1"/>
  <c r="AE1829" i="1"/>
  <c r="M1833" i="1"/>
  <c r="R1833" i="1" s="1"/>
  <c r="AE1837" i="1"/>
  <c r="M1841" i="1"/>
  <c r="R1841" i="1" s="1"/>
  <c r="AE1845" i="1"/>
  <c r="M1849" i="1"/>
  <c r="R1849" i="1" s="1"/>
  <c r="AE1853" i="1"/>
  <c r="M1857" i="1"/>
  <c r="R1857" i="1" s="1"/>
  <c r="M1865" i="1"/>
  <c r="R1865" i="1" s="1"/>
  <c r="AE1869" i="1"/>
  <c r="M1873" i="1"/>
  <c r="R1873" i="1" s="1"/>
  <c r="AE1877" i="1"/>
  <c r="M1881" i="1"/>
  <c r="R1881" i="1" s="1"/>
  <c r="AE1885" i="1"/>
  <c r="M1889" i="1"/>
  <c r="R1889" i="1" s="1"/>
  <c r="AE1893" i="1"/>
  <c r="M1897" i="1"/>
  <c r="R1897" i="1" s="1"/>
  <c r="M1905" i="1"/>
  <c r="R1905" i="1" s="1"/>
  <c r="AE1909" i="1"/>
  <c r="M1913" i="1"/>
  <c r="R1913" i="1" s="1"/>
  <c r="M1916" i="1"/>
  <c r="R1916" i="1" s="1"/>
  <c r="AD1918" i="1"/>
  <c r="AG1966" i="1"/>
  <c r="AG1978" i="1"/>
  <c r="M1992" i="1"/>
  <c r="R1992" i="1" s="1"/>
  <c r="AE1993" i="1"/>
  <c r="M1995" i="1"/>
  <c r="R1995" i="1" s="1"/>
  <c r="AG2019" i="1"/>
  <c r="AC2019" i="1"/>
  <c r="AG2031" i="1"/>
  <c r="M2040" i="1"/>
  <c r="R2040" i="1" s="1"/>
  <c r="M2046" i="1"/>
  <c r="R2046" i="1" s="1"/>
  <c r="AD2050" i="1"/>
  <c r="M2056" i="1"/>
  <c r="R2056" i="1" s="1"/>
  <c r="M2062" i="1"/>
  <c r="R2062" i="1" s="1"/>
  <c r="M2072" i="1"/>
  <c r="R2072" i="1" s="1"/>
  <c r="M2078" i="1"/>
  <c r="R2078" i="1" s="1"/>
  <c r="M2088" i="1"/>
  <c r="R2088" i="1" s="1"/>
  <c r="M2094" i="1"/>
  <c r="R2094" i="1" s="1"/>
  <c r="AD2098" i="1"/>
  <c r="M2104" i="1"/>
  <c r="R2104" i="1" s="1"/>
  <c r="M2110" i="1"/>
  <c r="R2110" i="1" s="1"/>
  <c r="M2162" i="1"/>
  <c r="R2162" i="1" s="1"/>
  <c r="M2165" i="1"/>
  <c r="R2165" i="1" s="1"/>
  <c r="AD2170" i="1"/>
  <c r="AF2176" i="1"/>
  <c r="AF2180" i="1"/>
  <c r="AF2182" i="1"/>
  <c r="AC2191" i="1"/>
  <c r="M2202" i="1"/>
  <c r="R2202" i="1" s="1"/>
  <c r="M2210" i="1"/>
  <c r="R2210" i="1" s="1"/>
  <c r="M2218" i="1"/>
  <c r="R2218" i="1" s="1"/>
  <c r="M2226" i="1"/>
  <c r="R2226" i="1" s="1"/>
  <c r="M2234" i="1"/>
  <c r="R2234" i="1" s="1"/>
  <c r="M2242" i="1"/>
  <c r="R2242" i="1" s="1"/>
  <c r="M2250" i="1"/>
  <c r="R2250" i="1" s="1"/>
  <c r="M2258" i="1"/>
  <c r="R2258" i="1" s="1"/>
  <c r="M2266" i="1"/>
  <c r="R2266" i="1" s="1"/>
  <c r="M2274" i="1"/>
  <c r="R2274" i="1" s="1"/>
  <c r="M2282" i="1"/>
  <c r="R2282" i="1" s="1"/>
  <c r="M2290" i="1"/>
  <c r="R2290" i="1" s="1"/>
  <c r="M2298" i="1"/>
  <c r="R2298" i="1" s="1"/>
  <c r="AG2316" i="1"/>
  <c r="AD2316" i="1"/>
  <c r="M2334" i="1"/>
  <c r="R2334" i="1" s="1"/>
  <c r="AF2375" i="1"/>
  <c r="AE2375" i="1"/>
  <c r="AG2378" i="1"/>
  <c r="AF2378" i="1"/>
  <c r="M2465" i="1"/>
  <c r="R2465" i="1" s="1"/>
  <c r="Y2465" i="1"/>
  <c r="AD2493" i="1"/>
  <c r="AG2340" i="1"/>
  <c r="AD2340" i="1"/>
  <c r="AF2360" i="1"/>
  <c r="Y2392" i="1"/>
  <c r="AG2402" i="1"/>
  <c r="AC2402" i="1"/>
  <c r="AF2410" i="1"/>
  <c r="AC2410" i="1"/>
  <c r="AG2486" i="1"/>
  <c r="AF2554" i="1"/>
  <c r="AC2554" i="1"/>
  <c r="AC2562" i="1"/>
  <c r="AD2642" i="1"/>
  <c r="M2772" i="1"/>
  <c r="R2772" i="1" s="1"/>
  <c r="Y2772" i="1"/>
  <c r="AD2772" i="1" s="1"/>
  <c r="AG2011" i="1"/>
  <c r="AG2023" i="1"/>
  <c r="AE2045" i="1"/>
  <c r="AE2053" i="1"/>
  <c r="AG2054" i="1"/>
  <c r="AE2061" i="1"/>
  <c r="AG2062" i="1"/>
  <c r="AE2069" i="1"/>
  <c r="AG2070" i="1"/>
  <c r="AE2077" i="1"/>
  <c r="AG2078" i="1"/>
  <c r="AE2085" i="1"/>
  <c r="AG2086" i="1"/>
  <c r="AE2093" i="1"/>
  <c r="AG2094" i="1"/>
  <c r="AE2101" i="1"/>
  <c r="AG2102" i="1"/>
  <c r="AE2109" i="1"/>
  <c r="AG2174" i="1"/>
  <c r="AG2183" i="1"/>
  <c r="AG2195" i="1"/>
  <c r="AD2300" i="1"/>
  <c r="AE2303" i="1"/>
  <c r="AG2332" i="1"/>
  <c r="AD2332" i="1"/>
  <c r="AE2335" i="1"/>
  <c r="AF2379" i="1"/>
  <c r="AF2382" i="1"/>
  <c r="AG2406" i="1"/>
  <c r="AG2414" i="1"/>
  <c r="AG2418" i="1"/>
  <c r="AG2438" i="1"/>
  <c r="AG2454" i="1"/>
  <c r="AG2462" i="1"/>
  <c r="AG2466" i="1"/>
  <c r="AC2466" i="1"/>
  <c r="M2476" i="1"/>
  <c r="R2476" i="1" s="1"/>
  <c r="AD2505" i="1"/>
  <c r="AG2522" i="1"/>
  <c r="AC2537" i="1"/>
  <c r="AG2550" i="1"/>
  <c r="AC2550" i="1"/>
  <c r="AF2698" i="1"/>
  <c r="M2704" i="1"/>
  <c r="R2704" i="1" s="1"/>
  <c r="Y2704" i="1"/>
  <c r="M1921" i="1"/>
  <c r="R1921" i="1" s="1"/>
  <c r="M1924" i="1"/>
  <c r="R1924" i="1" s="1"/>
  <c r="M1932" i="1"/>
  <c r="R1932" i="1" s="1"/>
  <c r="M1940" i="1"/>
  <c r="R1940" i="1" s="1"/>
  <c r="M1948" i="1"/>
  <c r="R1948" i="1" s="1"/>
  <c r="M1956" i="1"/>
  <c r="R1956" i="1" s="1"/>
  <c r="M1968" i="1"/>
  <c r="R1968" i="1" s="1"/>
  <c r="M1973" i="1"/>
  <c r="R1973" i="1" s="1"/>
  <c r="AE1977" i="1"/>
  <c r="AE1981" i="1"/>
  <c r="AE1989" i="1"/>
  <c r="AG1995" i="1"/>
  <c r="M1996" i="1"/>
  <c r="R1996" i="1" s="1"/>
  <c r="AG1999" i="1"/>
  <c r="M2003" i="1"/>
  <c r="R2003" i="1" s="1"/>
  <c r="M2004" i="1"/>
  <c r="R2004" i="1" s="1"/>
  <c r="M2011" i="1"/>
  <c r="R2011" i="1" s="1"/>
  <c r="M2023" i="1"/>
  <c r="R2023" i="1" s="1"/>
  <c r="M2034" i="1"/>
  <c r="R2034" i="1" s="1"/>
  <c r="M2044" i="1"/>
  <c r="R2044" i="1" s="1"/>
  <c r="M2052" i="1"/>
  <c r="R2052" i="1" s="1"/>
  <c r="M2060" i="1"/>
  <c r="R2060" i="1" s="1"/>
  <c r="AG2067" i="1"/>
  <c r="M2068" i="1"/>
  <c r="R2068" i="1" s="1"/>
  <c r="AG2075" i="1"/>
  <c r="M2076" i="1"/>
  <c r="R2076" i="1" s="1"/>
  <c r="AG2083" i="1"/>
  <c r="M2084" i="1"/>
  <c r="R2084" i="1" s="1"/>
  <c r="M2092" i="1"/>
  <c r="R2092" i="1" s="1"/>
  <c r="AG2099" i="1"/>
  <c r="M2100" i="1"/>
  <c r="R2100" i="1" s="1"/>
  <c r="AG2107" i="1"/>
  <c r="M2108" i="1"/>
  <c r="R2108" i="1" s="1"/>
  <c r="M2157" i="1"/>
  <c r="R2157" i="1" s="1"/>
  <c r="M2160" i="1"/>
  <c r="R2160" i="1" s="1"/>
  <c r="AD2162" i="1"/>
  <c r="AE2169" i="1"/>
  <c r="M2172" i="1"/>
  <c r="R2172" i="1" s="1"/>
  <c r="AD2174" i="1"/>
  <c r="M2177" i="1"/>
  <c r="R2177" i="1" s="1"/>
  <c r="M2183" i="1"/>
  <c r="R2183" i="1" s="1"/>
  <c r="M2188" i="1"/>
  <c r="R2188" i="1" s="1"/>
  <c r="M2190" i="1"/>
  <c r="R2190" i="1" s="1"/>
  <c r="M2195" i="1"/>
  <c r="R2195" i="1" s="1"/>
  <c r="AG2199" i="1"/>
  <c r="M2310" i="1"/>
  <c r="R2310" i="1" s="1"/>
  <c r="AG2324" i="1"/>
  <c r="AD2324" i="1"/>
  <c r="M2342" i="1"/>
  <c r="R2342" i="1" s="1"/>
  <c r="AG2356" i="1"/>
  <c r="AD2356" i="1"/>
  <c r="AF2366" i="1"/>
  <c r="AG2390" i="1"/>
  <c r="AD2405" i="1"/>
  <c r="AD2413" i="1"/>
  <c r="AE2416" i="1"/>
  <c r="AC2534" i="1"/>
  <c r="AG2534" i="1"/>
  <c r="AE2540" i="1"/>
  <c r="AE2653" i="1"/>
  <c r="AC2653" i="1"/>
  <c r="AD2653" i="1"/>
  <c r="AF2658" i="1"/>
  <c r="AC2658" i="1"/>
  <c r="AD2658" i="1"/>
  <c r="AE2823" i="1"/>
  <c r="AG2422" i="1"/>
  <c r="AF2426" i="1"/>
  <c r="Y2456" i="1"/>
  <c r="Y2457" i="1"/>
  <c r="Y2513" i="1"/>
  <c r="AD2513" i="1" s="1"/>
  <c r="AG2514" i="1"/>
  <c r="AD2517" i="1"/>
  <c r="AG2518" i="1"/>
  <c r="AG2529" i="1"/>
  <c r="AG2546" i="1"/>
  <c r="AF2582" i="1"/>
  <c r="AG2586" i="1"/>
  <c r="AC2586" i="1"/>
  <c r="Y2596" i="1"/>
  <c r="AG2598" i="1"/>
  <c r="AF2640" i="1"/>
  <c r="Y2764" i="1"/>
  <c r="AD2888" i="1"/>
  <c r="M2306" i="1"/>
  <c r="R2306" i="1" s="1"/>
  <c r="M2314" i="1"/>
  <c r="R2314" i="1" s="1"/>
  <c r="M2322" i="1"/>
  <c r="R2322" i="1" s="1"/>
  <c r="M2330" i="1"/>
  <c r="R2330" i="1" s="1"/>
  <c r="M2338" i="1"/>
  <c r="R2338" i="1" s="1"/>
  <c r="M2346" i="1"/>
  <c r="R2346" i="1" s="1"/>
  <c r="M2354" i="1"/>
  <c r="R2354" i="1" s="1"/>
  <c r="AD2372" i="1"/>
  <c r="AG2377" i="1"/>
  <c r="M2379" i="1"/>
  <c r="R2379" i="1" s="1"/>
  <c r="M2395" i="1"/>
  <c r="R2395" i="1" s="1"/>
  <c r="M2407" i="1"/>
  <c r="R2407" i="1" s="1"/>
  <c r="M2415" i="1"/>
  <c r="R2415" i="1" s="1"/>
  <c r="M2422" i="1"/>
  <c r="R2422" i="1" s="1"/>
  <c r="AC2426" i="1"/>
  <c r="M2427" i="1"/>
  <c r="R2427" i="1" s="1"/>
  <c r="AG2430" i="1"/>
  <c r="M2443" i="1"/>
  <c r="R2443" i="1" s="1"/>
  <c r="AG2446" i="1"/>
  <c r="M2452" i="1"/>
  <c r="R2452" i="1" s="1"/>
  <c r="AC2458" i="1"/>
  <c r="M2459" i="1"/>
  <c r="R2459" i="1" s="1"/>
  <c r="M2461" i="1"/>
  <c r="R2461" i="1" s="1"/>
  <c r="AD2469" i="1"/>
  <c r="AG2470" i="1"/>
  <c r="AG2478" i="1"/>
  <c r="M2484" i="1"/>
  <c r="R2484" i="1" s="1"/>
  <c r="AG2506" i="1"/>
  <c r="AD2509" i="1"/>
  <c r="AG2510" i="1"/>
  <c r="M2514" i="1"/>
  <c r="R2514" i="1" s="1"/>
  <c r="M2515" i="1"/>
  <c r="R2515" i="1" s="1"/>
  <c r="M2517" i="1"/>
  <c r="R2517" i="1" s="1"/>
  <c r="M2527" i="1"/>
  <c r="R2527" i="1" s="1"/>
  <c r="M2528" i="1"/>
  <c r="R2528" i="1" s="1"/>
  <c r="AG2530" i="1"/>
  <c r="M2558" i="1"/>
  <c r="R2558" i="1" s="1"/>
  <c r="M2559" i="1"/>
  <c r="R2559" i="1" s="1"/>
  <c r="M2576" i="1"/>
  <c r="R2576" i="1" s="1"/>
  <c r="AG2578" i="1"/>
  <c r="AC2578" i="1"/>
  <c r="AC2594" i="1"/>
  <c r="AG2610" i="1"/>
  <c r="M2611" i="1"/>
  <c r="R2611" i="1" s="1"/>
  <c r="AG2618" i="1"/>
  <c r="AF2618" i="1"/>
  <c r="M2624" i="1"/>
  <c r="R2624" i="1" s="1"/>
  <c r="Y2718" i="1"/>
  <c r="AE2722" i="1"/>
  <c r="M2403" i="1"/>
  <c r="R2403" i="1" s="1"/>
  <c r="M2411" i="1"/>
  <c r="R2411" i="1" s="1"/>
  <c r="M2423" i="1"/>
  <c r="R2423" i="1" s="1"/>
  <c r="M2469" i="1"/>
  <c r="R2469" i="1" s="1"/>
  <c r="M2471" i="1"/>
  <c r="R2471" i="1" s="1"/>
  <c r="AF2474" i="1"/>
  <c r="M2491" i="1"/>
  <c r="R2491" i="1" s="1"/>
  <c r="AD2497" i="1"/>
  <c r="AD2501" i="1"/>
  <c r="AG2502" i="1"/>
  <c r="M2506" i="1"/>
  <c r="R2506" i="1" s="1"/>
  <c r="M2507" i="1"/>
  <c r="R2507" i="1" s="1"/>
  <c r="M2509" i="1"/>
  <c r="R2509" i="1" s="1"/>
  <c r="AF2547" i="1"/>
  <c r="AF2559" i="1"/>
  <c r="AG2745" i="1"/>
  <c r="AD2790" i="1"/>
  <c r="AD2806" i="1"/>
  <c r="AF2808" i="1"/>
  <c r="M2826" i="1"/>
  <c r="R2826" i="1" s="1"/>
  <c r="Y2548" i="1"/>
  <c r="AE2548" i="1" s="1"/>
  <c r="AF2565" i="1"/>
  <c r="AD2565" i="1"/>
  <c r="AG2566" i="1"/>
  <c r="Y2569" i="1"/>
  <c r="Y2604" i="1"/>
  <c r="Y2636" i="1"/>
  <c r="AF2636" i="1" s="1"/>
  <c r="AF2650" i="1"/>
  <c r="AF2679" i="1"/>
  <c r="AF2691" i="1"/>
  <c r="AD2740" i="1"/>
  <c r="AC2747" i="1"/>
  <c r="AD2758" i="1"/>
  <c r="AF2758" i="1"/>
  <c r="AG2783" i="1"/>
  <c r="AE2783" i="1"/>
  <c r="AG2785" i="1"/>
  <c r="M2431" i="1"/>
  <c r="R2431" i="1" s="1"/>
  <c r="M2439" i="1"/>
  <c r="R2439" i="1" s="1"/>
  <c r="M2447" i="1"/>
  <c r="R2447" i="1" s="1"/>
  <c r="M2454" i="1"/>
  <c r="R2454" i="1" s="1"/>
  <c r="AG2458" i="1"/>
  <c r="M2463" i="1"/>
  <c r="R2463" i="1" s="1"/>
  <c r="M2470" i="1"/>
  <c r="R2470" i="1" s="1"/>
  <c r="M2479" i="1"/>
  <c r="R2479" i="1" s="1"/>
  <c r="M2486" i="1"/>
  <c r="R2486" i="1" s="1"/>
  <c r="M2487" i="1"/>
  <c r="R2487" i="1" s="1"/>
  <c r="AG2490" i="1"/>
  <c r="M2502" i="1"/>
  <c r="R2502" i="1" s="1"/>
  <c r="M2503" i="1"/>
  <c r="R2503" i="1" s="1"/>
  <c r="M2510" i="1"/>
  <c r="R2510" i="1" s="1"/>
  <c r="M2511" i="1"/>
  <c r="R2511" i="1" s="1"/>
  <c r="M2518" i="1"/>
  <c r="R2518" i="1" s="1"/>
  <c r="M2519" i="1"/>
  <c r="R2519" i="1" s="1"/>
  <c r="M2535" i="1"/>
  <c r="R2535" i="1" s="1"/>
  <c r="AG2558" i="1"/>
  <c r="AC2565" i="1"/>
  <c r="AC2570" i="1"/>
  <c r="AD2576" i="1"/>
  <c r="M2577" i="1"/>
  <c r="R2577" i="1" s="1"/>
  <c r="AC2602" i="1"/>
  <c r="AE2624" i="1"/>
  <c r="AD2644" i="1"/>
  <c r="AD2676" i="1"/>
  <c r="AF2682" i="1"/>
  <c r="AE2688" i="1"/>
  <c r="AG2716" i="1"/>
  <c r="AF2716" i="1"/>
  <c r="AC2716" i="1"/>
  <c r="AC2720" i="1"/>
  <c r="M2768" i="1"/>
  <c r="R2768" i="1" s="1"/>
  <c r="AF2790" i="1"/>
  <c r="AG2537" i="1"/>
  <c r="M2543" i="1"/>
  <c r="R2543" i="1" s="1"/>
  <c r="AG2565" i="1"/>
  <c r="M2566" i="1"/>
  <c r="R2566" i="1" s="1"/>
  <c r="M2567" i="1"/>
  <c r="R2567" i="1" s="1"/>
  <c r="AD2584" i="1"/>
  <c r="AF2598" i="1"/>
  <c r="AG2614" i="1"/>
  <c r="M2616" i="1"/>
  <c r="R2616" i="1" s="1"/>
  <c r="M2619" i="1"/>
  <c r="R2619" i="1" s="1"/>
  <c r="M2628" i="1"/>
  <c r="R2628" i="1" s="1"/>
  <c r="M2644" i="1"/>
  <c r="R2644" i="1" s="1"/>
  <c r="M2651" i="1"/>
  <c r="R2651" i="1" s="1"/>
  <c r="M2655" i="1"/>
  <c r="R2655" i="1" s="1"/>
  <c r="M2660" i="1"/>
  <c r="R2660" i="1" s="1"/>
  <c r="M2662" i="1"/>
  <c r="R2662" i="1" s="1"/>
  <c r="M2663" i="1"/>
  <c r="R2663" i="1" s="1"/>
  <c r="M2664" i="1"/>
  <c r="R2664" i="1" s="1"/>
  <c r="M2674" i="1"/>
  <c r="R2674" i="1" s="1"/>
  <c r="M2676" i="1"/>
  <c r="R2676" i="1" s="1"/>
  <c r="AE2701" i="1"/>
  <c r="AD2715" i="1"/>
  <c r="M2722" i="1"/>
  <c r="R2722" i="1" s="1"/>
  <c r="AD2750" i="1"/>
  <c r="AF2766" i="1"/>
  <c r="AD2774" i="1"/>
  <c r="M2788" i="1"/>
  <c r="R2788" i="1" s="1"/>
  <c r="M2794" i="1"/>
  <c r="R2794" i="1" s="1"/>
  <c r="AG2809" i="1"/>
  <c r="M2810" i="1"/>
  <c r="R2810" i="1" s="1"/>
  <c r="AF2822" i="1"/>
  <c r="AE2838" i="1"/>
  <c r="M2598" i="1"/>
  <c r="R2598" i="1" s="1"/>
  <c r="M2599" i="1"/>
  <c r="R2599" i="1" s="1"/>
  <c r="M2606" i="1"/>
  <c r="R2606" i="1" s="1"/>
  <c r="M2607" i="1"/>
  <c r="R2607" i="1" s="1"/>
  <c r="M2614" i="1"/>
  <c r="R2614" i="1" s="1"/>
  <c r="AE2635" i="1"/>
  <c r="M2639" i="1"/>
  <c r="R2639" i="1" s="1"/>
  <c r="AG2639" i="1"/>
  <c r="M2642" i="1"/>
  <c r="R2642" i="1" s="1"/>
  <c r="M2646" i="1"/>
  <c r="R2646" i="1" s="1"/>
  <c r="M2648" i="1"/>
  <c r="R2648" i="1" s="1"/>
  <c r="M2667" i="1"/>
  <c r="R2667" i="1" s="1"/>
  <c r="AE2685" i="1"/>
  <c r="AF2695" i="1"/>
  <c r="AG2705" i="1"/>
  <c r="M2708" i="1"/>
  <c r="R2708" i="1" s="1"/>
  <c r="AD2714" i="1"/>
  <c r="AD2726" i="1"/>
  <c r="AC2729" i="1"/>
  <c r="AG2729" i="1"/>
  <c r="M2736" i="1"/>
  <c r="R2736" i="1" s="1"/>
  <c r="AE2741" i="1"/>
  <c r="AC2741" i="1"/>
  <c r="AF2744" i="1"/>
  <c r="M2754" i="1"/>
  <c r="R2754" i="1" s="1"/>
  <c r="M2759" i="1"/>
  <c r="R2759" i="1" s="1"/>
  <c r="AE2791" i="1"/>
  <c r="AC2803" i="1"/>
  <c r="AD2822" i="1"/>
  <c r="AF2830" i="1"/>
  <c r="AD2830" i="1"/>
  <c r="AE2869" i="1"/>
  <c r="AF2840" i="1"/>
  <c r="AG2844" i="1"/>
  <c r="AC2844" i="1"/>
  <c r="AE2873" i="1"/>
  <c r="M2683" i="1"/>
  <c r="R2683" i="1" s="1"/>
  <c r="M2687" i="1"/>
  <c r="R2687" i="1" s="1"/>
  <c r="M2692" i="1"/>
  <c r="R2692" i="1" s="1"/>
  <c r="M2694" i="1"/>
  <c r="R2694" i="1" s="1"/>
  <c r="M2695" i="1"/>
  <c r="R2695" i="1" s="1"/>
  <c r="M2699" i="1"/>
  <c r="R2699" i="1" s="1"/>
  <c r="M2703" i="1"/>
  <c r="R2703" i="1" s="1"/>
  <c r="AG2720" i="1"/>
  <c r="M2734" i="1"/>
  <c r="R2734" i="1" s="1"/>
  <c r="M2744" i="1"/>
  <c r="R2744" i="1" s="1"/>
  <c r="M2766" i="1"/>
  <c r="R2766" i="1" s="1"/>
  <c r="M2782" i="1"/>
  <c r="R2782" i="1" s="1"/>
  <c r="M2792" i="1"/>
  <c r="R2792" i="1" s="1"/>
  <c r="M2797" i="1"/>
  <c r="R2797" i="1" s="1"/>
  <c r="M2799" i="1"/>
  <c r="R2799" i="1" s="1"/>
  <c r="M2805" i="1"/>
  <c r="R2805" i="1" s="1"/>
  <c r="M2806" i="1"/>
  <c r="R2806" i="1" s="1"/>
  <c r="M2824" i="1"/>
  <c r="R2824" i="1" s="1"/>
  <c r="AG2825" i="1"/>
  <c r="M2829" i="1"/>
  <c r="R2829" i="1" s="1"/>
  <c r="M2831" i="1"/>
  <c r="R2831" i="1" s="1"/>
  <c r="M2840" i="1"/>
  <c r="R2840" i="1" s="1"/>
  <c r="AD2854" i="1"/>
  <c r="AF2878" i="1"/>
  <c r="AG2889" i="1"/>
  <c r="M2833" i="1"/>
  <c r="R2833" i="1" s="1"/>
  <c r="M2844" i="1"/>
  <c r="R2844" i="1" s="1"/>
  <c r="M2852" i="1"/>
  <c r="R2852" i="1" s="1"/>
  <c r="M2853" i="1"/>
  <c r="R2853" i="1" s="1"/>
  <c r="M2856" i="1"/>
  <c r="R2856" i="1" s="1"/>
  <c r="M2857" i="1"/>
  <c r="R2857" i="1" s="1"/>
  <c r="AE2887" i="1"/>
  <c r="AC2959" i="1"/>
  <c r="AG2959" i="1"/>
  <c r="AD2964" i="1"/>
  <c r="AD2976" i="1"/>
  <c r="Y2842" i="1"/>
  <c r="Y2846" i="1"/>
  <c r="Y2850" i="1"/>
  <c r="AE2853" i="1"/>
  <c r="AE2861" i="1"/>
  <c r="AF2877" i="1"/>
  <c r="M2878" i="1"/>
  <c r="R2878" i="1" s="1"/>
  <c r="M2883" i="1"/>
  <c r="R2883" i="1" s="1"/>
  <c r="M2886" i="1"/>
  <c r="R2886" i="1" s="1"/>
  <c r="AD2912" i="1"/>
  <c r="AD2920" i="1"/>
  <c r="AG2968" i="1"/>
  <c r="AD2968" i="1"/>
  <c r="AF2970" i="1"/>
  <c r="M2790" i="1"/>
  <c r="R2790" i="1" s="1"/>
  <c r="M2800" i="1"/>
  <c r="R2800" i="1" s="1"/>
  <c r="M2808" i="1"/>
  <c r="R2808" i="1" s="1"/>
  <c r="M2822" i="1"/>
  <c r="R2822" i="1" s="1"/>
  <c r="M2832" i="1"/>
  <c r="R2832" i="1" s="1"/>
  <c r="AD2835" i="1"/>
  <c r="AE2835" i="1"/>
  <c r="M2837" i="1"/>
  <c r="R2837" i="1" s="1"/>
  <c r="AD2840" i="1"/>
  <c r="M2845" i="1"/>
  <c r="R2845" i="1" s="1"/>
  <c r="M2848" i="1"/>
  <c r="R2848" i="1" s="1"/>
  <c r="M2849" i="1"/>
  <c r="R2849" i="1" s="1"/>
  <c r="M2860" i="1"/>
  <c r="R2860" i="1" s="1"/>
  <c r="M2861" i="1"/>
  <c r="R2861" i="1" s="1"/>
  <c r="M2868" i="1"/>
  <c r="R2868" i="1" s="1"/>
  <c r="M2869" i="1"/>
  <c r="R2869" i="1" s="1"/>
  <c r="M2872" i="1"/>
  <c r="R2872" i="1" s="1"/>
  <c r="M2873" i="1"/>
  <c r="R2873" i="1" s="1"/>
  <c r="M2876" i="1"/>
  <c r="R2876" i="1" s="1"/>
  <c r="M2877" i="1"/>
  <c r="R2877" i="1" s="1"/>
  <c r="M2896" i="1"/>
  <c r="R2896" i="1" s="1"/>
  <c r="AF2936" i="1"/>
  <c r="AC2941" i="1"/>
  <c r="AG2941" i="1"/>
  <c r="AF2958" i="1"/>
  <c r="AG2972" i="1"/>
  <c r="AD2972" i="1"/>
  <c r="AF2976" i="1"/>
  <c r="M2897" i="1"/>
  <c r="R2897" i="1" s="1"/>
  <c r="M2902" i="1"/>
  <c r="R2902" i="1" s="1"/>
  <c r="M2917" i="1"/>
  <c r="R2917" i="1" s="1"/>
  <c r="M2922" i="1"/>
  <c r="R2922" i="1" s="1"/>
  <c r="M2926" i="1"/>
  <c r="R2926" i="1" s="1"/>
  <c r="M2937" i="1"/>
  <c r="R2937" i="1" s="1"/>
  <c r="M2943" i="1"/>
  <c r="R2943" i="1" s="1"/>
  <c r="M2947" i="1"/>
  <c r="R2947" i="1" s="1"/>
  <c r="M2950" i="1"/>
  <c r="R2950" i="1" s="1"/>
  <c r="AG2955" i="1"/>
  <c r="M2956" i="1"/>
  <c r="R2956" i="1" s="1"/>
  <c r="M2970" i="1"/>
  <c r="R2970" i="1" s="1"/>
  <c r="M2981" i="1"/>
  <c r="R2981" i="1" s="1"/>
  <c r="M2989" i="1"/>
  <c r="R2989" i="1" s="1"/>
  <c r="M3002" i="1"/>
  <c r="R3002" i="1" s="1"/>
  <c r="M3006" i="1"/>
  <c r="R3006" i="1" s="1"/>
  <c r="AG2905" i="1"/>
  <c r="M2906" i="1"/>
  <c r="R2906" i="1" s="1"/>
  <c r="M2910" i="1"/>
  <c r="R2910" i="1" s="1"/>
  <c r="M2921" i="1"/>
  <c r="R2921" i="1" s="1"/>
  <c r="M2925" i="1"/>
  <c r="R2925" i="1" s="1"/>
  <c r="AG2929" i="1"/>
  <c r="M2930" i="1"/>
  <c r="R2930" i="1" s="1"/>
  <c r="M2951" i="1"/>
  <c r="R2951" i="1" s="1"/>
  <c r="M2955" i="1"/>
  <c r="R2955" i="1" s="1"/>
  <c r="M2958" i="1"/>
  <c r="R2958" i="1" s="1"/>
  <c r="AG2963" i="1"/>
  <c r="M2964" i="1"/>
  <c r="R2964" i="1" s="1"/>
  <c r="M2966" i="1"/>
  <c r="R2966" i="1" s="1"/>
  <c r="M2977" i="1"/>
  <c r="R2977" i="1" s="1"/>
  <c r="M2978" i="1"/>
  <c r="R2978" i="1" s="1"/>
  <c r="M2986" i="1"/>
  <c r="R2986" i="1" s="1"/>
  <c r="M2994" i="1"/>
  <c r="R2994" i="1" s="1"/>
  <c r="AE2998" i="1"/>
  <c r="M3001" i="1"/>
  <c r="R3001" i="1" s="1"/>
  <c r="M3004" i="1"/>
  <c r="R3004" i="1" s="1"/>
  <c r="M3005" i="1"/>
  <c r="R3005" i="1" s="1"/>
  <c r="M2939" i="1"/>
  <c r="R2939" i="1" s="1"/>
  <c r="M2941" i="1"/>
  <c r="R2941" i="1" s="1"/>
  <c r="M2942" i="1"/>
  <c r="R2942" i="1" s="1"/>
  <c r="M2946" i="1"/>
  <c r="R2946" i="1" s="1"/>
  <c r="M2959" i="1"/>
  <c r="R2959" i="1" s="1"/>
  <c r="AE2975" i="1"/>
  <c r="M2997" i="1"/>
  <c r="R2997" i="1" s="1"/>
  <c r="AD40" i="1"/>
  <c r="AG40" i="1"/>
  <c r="AC40" i="1"/>
  <c r="AF40" i="1"/>
  <c r="AE40" i="1"/>
  <c r="AF42" i="1"/>
  <c r="AE42" i="1"/>
  <c r="AG42" i="1"/>
  <c r="AD42" i="1"/>
  <c r="AC42" i="1"/>
  <c r="AF106" i="1"/>
  <c r="AE106" i="1"/>
  <c r="AG106" i="1"/>
  <c r="AD106" i="1"/>
  <c r="AC106" i="1"/>
  <c r="AD124" i="1"/>
  <c r="AC124" i="1"/>
  <c r="AG124" i="1"/>
  <c r="AE124" i="1"/>
  <c r="AF124" i="1"/>
  <c r="AF186" i="1"/>
  <c r="AG186" i="1"/>
  <c r="AE186" i="1"/>
  <c r="AC186" i="1"/>
  <c r="AD186" i="1"/>
  <c r="AF202" i="1"/>
  <c r="AE202" i="1"/>
  <c r="AG202" i="1"/>
  <c r="AD202" i="1"/>
  <c r="AC202" i="1"/>
  <c r="AG215" i="1"/>
  <c r="AC215" i="1"/>
  <c r="AE215" i="1"/>
  <c r="AD215" i="1"/>
  <c r="AF215" i="1"/>
  <c r="AG247" i="1"/>
  <c r="AC247" i="1"/>
  <c r="AE247" i="1"/>
  <c r="AD247" i="1"/>
  <c r="AF247" i="1"/>
  <c r="AG267" i="1"/>
  <c r="AC267" i="1"/>
  <c r="AD267" i="1"/>
  <c r="AF267" i="1"/>
  <c r="AE267" i="1"/>
  <c r="AD24" i="1"/>
  <c r="AG24" i="1"/>
  <c r="AC24" i="1"/>
  <c r="AE24" i="1"/>
  <c r="AF24" i="1"/>
  <c r="AD28" i="1"/>
  <c r="AG28" i="1"/>
  <c r="AE28" i="1"/>
  <c r="AC28" i="1"/>
  <c r="AF28" i="1"/>
  <c r="AD32" i="1"/>
  <c r="AG32" i="1"/>
  <c r="AC32" i="1"/>
  <c r="AE32" i="1"/>
  <c r="AF32" i="1"/>
  <c r="AD36" i="1"/>
  <c r="AC36" i="1"/>
  <c r="AG36" i="1"/>
  <c r="AE36" i="1"/>
  <c r="AF36" i="1"/>
  <c r="AF38" i="1"/>
  <c r="AE38" i="1"/>
  <c r="AC38" i="1"/>
  <c r="AD38" i="1"/>
  <c r="AG38" i="1"/>
  <c r="AD52" i="1"/>
  <c r="AG52" i="1"/>
  <c r="AC52" i="1"/>
  <c r="AF52" i="1"/>
  <c r="AE52" i="1"/>
  <c r="AF54" i="1"/>
  <c r="AG54" i="1"/>
  <c r="AE54" i="1"/>
  <c r="AD54" i="1"/>
  <c r="AC54" i="1"/>
  <c r="AD68" i="1"/>
  <c r="AG68" i="1"/>
  <c r="AE68" i="1"/>
  <c r="AC68" i="1"/>
  <c r="AF68" i="1"/>
  <c r="AF70" i="1"/>
  <c r="AE70" i="1"/>
  <c r="AG70" i="1"/>
  <c r="AC70" i="1"/>
  <c r="AD70" i="1"/>
  <c r="AF74" i="1"/>
  <c r="AC74" i="1"/>
  <c r="AE74" i="1"/>
  <c r="AD74" i="1"/>
  <c r="AG74" i="1"/>
  <c r="AF78" i="1"/>
  <c r="AG78" i="1"/>
  <c r="AE78" i="1"/>
  <c r="AC78" i="1"/>
  <c r="AD78" i="1"/>
  <c r="AD92" i="1"/>
  <c r="AC92" i="1"/>
  <c r="AG92" i="1"/>
  <c r="AF92" i="1"/>
  <c r="AE92" i="1"/>
  <c r="AD96" i="1"/>
  <c r="AG96" i="1"/>
  <c r="AE96" i="1"/>
  <c r="AC96" i="1"/>
  <c r="AF96" i="1"/>
  <c r="AD100" i="1"/>
  <c r="AG100" i="1"/>
  <c r="AC100" i="1"/>
  <c r="AF100" i="1"/>
  <c r="AE100" i="1"/>
  <c r="AF102" i="1"/>
  <c r="AE102" i="1"/>
  <c r="AC102" i="1"/>
  <c r="AD102" i="1"/>
  <c r="AG102" i="1"/>
  <c r="AD116" i="1"/>
  <c r="AG116" i="1"/>
  <c r="AC116" i="1"/>
  <c r="AF116" i="1"/>
  <c r="AE116" i="1"/>
  <c r="AF118" i="1"/>
  <c r="AE118" i="1"/>
  <c r="AG118" i="1"/>
  <c r="AD118" i="1"/>
  <c r="AC118" i="1"/>
  <c r="AF122" i="1"/>
  <c r="AE122" i="1"/>
  <c r="AG122" i="1"/>
  <c r="AD122" i="1"/>
  <c r="AC122" i="1"/>
  <c r="AF126" i="1"/>
  <c r="AE126" i="1"/>
  <c r="AG126" i="1"/>
  <c r="AD126" i="1"/>
  <c r="AC126" i="1"/>
  <c r="AD144" i="1"/>
  <c r="AG144" i="1"/>
  <c r="AC144" i="1"/>
  <c r="AE144" i="1"/>
  <c r="AF144" i="1"/>
  <c r="AD148" i="1"/>
  <c r="AG148" i="1"/>
  <c r="AC148" i="1"/>
  <c r="AE148" i="1"/>
  <c r="AF148" i="1"/>
  <c r="AF150" i="1"/>
  <c r="AG150" i="1"/>
  <c r="AE150" i="1"/>
  <c r="AC150" i="1"/>
  <c r="AD150" i="1"/>
  <c r="AD164" i="1"/>
  <c r="AG164" i="1"/>
  <c r="AC164" i="1"/>
  <c r="AE164" i="1"/>
  <c r="AF164" i="1"/>
  <c r="AF166" i="1"/>
  <c r="AE166" i="1"/>
  <c r="AG166" i="1"/>
  <c r="AD166" i="1"/>
  <c r="AC166" i="1"/>
  <c r="AD180" i="1"/>
  <c r="AG180" i="1"/>
  <c r="AC180" i="1"/>
  <c r="AE180" i="1"/>
  <c r="AF180" i="1"/>
  <c r="AF182" i="1"/>
  <c r="AC182" i="1"/>
  <c r="AE182" i="1"/>
  <c r="AD182" i="1"/>
  <c r="AG182" i="1"/>
  <c r="AD196" i="1"/>
  <c r="AG196" i="1"/>
  <c r="AC196" i="1"/>
  <c r="AE196" i="1"/>
  <c r="AF196" i="1"/>
  <c r="AF198" i="1"/>
  <c r="AE198" i="1"/>
  <c r="AC198" i="1"/>
  <c r="AD198" i="1"/>
  <c r="AG198" i="1"/>
  <c r="AG207" i="1"/>
  <c r="AC207" i="1"/>
  <c r="AF207" i="1"/>
  <c r="AD207" i="1"/>
  <c r="AE207" i="1"/>
  <c r="AG211" i="1"/>
  <c r="AC211" i="1"/>
  <c r="AF211" i="1"/>
  <c r="AE211" i="1"/>
  <c r="AD211" i="1"/>
  <c r="AE212" i="1"/>
  <c r="AD212" i="1"/>
  <c r="AG219" i="1"/>
  <c r="AC219" i="1"/>
  <c r="AD219" i="1"/>
  <c r="AF219" i="1"/>
  <c r="AE219" i="1"/>
  <c r="AG223" i="1"/>
  <c r="AC223" i="1"/>
  <c r="AF223" i="1"/>
  <c r="AE223" i="1"/>
  <c r="AD223" i="1"/>
  <c r="AG227" i="1"/>
  <c r="AC227" i="1"/>
  <c r="AF227" i="1"/>
  <c r="AE227" i="1"/>
  <c r="AD227" i="1"/>
  <c r="AE228" i="1"/>
  <c r="AD228" i="1"/>
  <c r="AG235" i="1"/>
  <c r="AC235" i="1"/>
  <c r="AD235" i="1"/>
  <c r="AF235" i="1"/>
  <c r="AE235" i="1"/>
  <c r="AG239" i="1"/>
  <c r="AC239" i="1"/>
  <c r="AF239" i="1"/>
  <c r="AE239" i="1"/>
  <c r="AD239" i="1"/>
  <c r="AG243" i="1"/>
  <c r="AC243" i="1"/>
  <c r="AF243" i="1"/>
  <c r="AE243" i="1"/>
  <c r="AD243" i="1"/>
  <c r="AE244" i="1"/>
  <c r="AD244" i="1"/>
  <c r="AG251" i="1"/>
  <c r="AC251" i="1"/>
  <c r="AD251" i="1"/>
  <c r="AF251" i="1"/>
  <c r="AE251" i="1"/>
  <c r="AD262" i="1"/>
  <c r="AG262" i="1"/>
  <c r="AF262" i="1"/>
  <c r="AE262" i="1"/>
  <c r="AC262" i="1"/>
  <c r="AD265" i="1"/>
  <c r="AD270" i="1"/>
  <c r="AE270" i="1"/>
  <c r="AC270" i="1"/>
  <c r="AG270" i="1"/>
  <c r="AF270" i="1"/>
  <c r="AF281" i="1"/>
  <c r="AD56" i="1"/>
  <c r="AG56" i="1"/>
  <c r="AC56" i="1"/>
  <c r="AE56" i="1"/>
  <c r="AF56" i="1"/>
  <c r="AF58" i="1"/>
  <c r="AC58" i="1"/>
  <c r="AE58" i="1"/>
  <c r="AG58" i="1"/>
  <c r="AD58" i="1"/>
  <c r="AD80" i="1"/>
  <c r="AC80" i="1"/>
  <c r="AG80" i="1"/>
  <c r="AE80" i="1"/>
  <c r="AF80" i="1"/>
  <c r="AD104" i="1"/>
  <c r="AG104" i="1"/>
  <c r="AC104" i="1"/>
  <c r="AE104" i="1"/>
  <c r="AF104" i="1"/>
  <c r="AD120" i="1"/>
  <c r="AG120" i="1"/>
  <c r="AE120" i="1"/>
  <c r="AC120" i="1"/>
  <c r="AF120" i="1"/>
  <c r="AD128" i="1"/>
  <c r="AG128" i="1"/>
  <c r="AC128" i="1"/>
  <c r="AF128" i="1"/>
  <c r="AE128" i="1"/>
  <c r="AF134" i="1"/>
  <c r="AC134" i="1"/>
  <c r="AE134" i="1"/>
  <c r="AG134" i="1"/>
  <c r="AD134" i="1"/>
  <c r="AF154" i="1"/>
  <c r="AG154" i="1"/>
  <c r="AE154" i="1"/>
  <c r="AC154" i="1"/>
  <c r="AD154" i="1"/>
  <c r="AD200" i="1"/>
  <c r="AG200" i="1"/>
  <c r="AC200" i="1"/>
  <c r="AF200" i="1"/>
  <c r="AE200" i="1"/>
  <c r="AD278" i="1"/>
  <c r="AG278" i="1"/>
  <c r="AF278" i="1"/>
  <c r="AE278" i="1"/>
  <c r="AC278" i="1"/>
  <c r="AD20" i="1"/>
  <c r="AG20" i="1"/>
  <c r="AC20" i="1"/>
  <c r="AF20" i="1"/>
  <c r="AE20" i="1"/>
  <c r="AD64" i="1"/>
  <c r="AG64" i="1"/>
  <c r="AE64" i="1"/>
  <c r="AC64" i="1"/>
  <c r="AF64" i="1"/>
  <c r="AF66" i="1"/>
  <c r="AG66" i="1"/>
  <c r="AE66" i="1"/>
  <c r="AC66" i="1"/>
  <c r="AD66" i="1"/>
  <c r="AD88" i="1"/>
  <c r="AC88" i="1"/>
  <c r="AG88" i="1"/>
  <c r="AF88" i="1"/>
  <c r="AE88" i="1"/>
  <c r="AF90" i="1"/>
  <c r="AC90" i="1"/>
  <c r="AE90" i="1"/>
  <c r="AG90" i="1"/>
  <c r="AD90" i="1"/>
  <c r="AF94" i="1"/>
  <c r="AE94" i="1"/>
  <c r="AC94" i="1"/>
  <c r="AG94" i="1"/>
  <c r="AD94" i="1"/>
  <c r="AF98" i="1"/>
  <c r="AE98" i="1"/>
  <c r="AG98" i="1"/>
  <c r="AD98" i="1"/>
  <c r="AC98" i="1"/>
  <c r="AD140" i="1"/>
  <c r="AG140" i="1"/>
  <c r="AC140" i="1"/>
  <c r="AE140" i="1"/>
  <c r="AF140" i="1"/>
  <c r="AD160" i="1"/>
  <c r="AG160" i="1"/>
  <c r="AE160" i="1"/>
  <c r="AC160" i="1"/>
  <c r="AF160" i="1"/>
  <c r="AF162" i="1"/>
  <c r="AE162" i="1"/>
  <c r="AC162" i="1"/>
  <c r="AG162" i="1"/>
  <c r="AD162" i="1"/>
  <c r="AD176" i="1"/>
  <c r="AG176" i="1"/>
  <c r="AC176" i="1"/>
  <c r="AF176" i="1"/>
  <c r="AE176" i="1"/>
  <c r="AD192" i="1"/>
  <c r="AC192" i="1"/>
  <c r="AG192" i="1"/>
  <c r="AE192" i="1"/>
  <c r="AF192" i="1"/>
  <c r="AF194" i="1"/>
  <c r="AG194" i="1"/>
  <c r="AE194" i="1"/>
  <c r="AC194" i="1"/>
  <c r="AD194" i="1"/>
  <c r="AD214" i="1"/>
  <c r="AG214" i="1"/>
  <c r="AF214" i="1"/>
  <c r="AE214" i="1"/>
  <c r="AC214" i="1"/>
  <c r="AD217" i="1"/>
  <c r="AD230" i="1"/>
  <c r="AG230" i="1"/>
  <c r="AF230" i="1"/>
  <c r="AE230" i="1"/>
  <c r="AC230" i="1"/>
  <c r="AD233" i="1"/>
  <c r="AD246" i="1"/>
  <c r="AG246" i="1"/>
  <c r="AF246" i="1"/>
  <c r="AE246" i="1"/>
  <c r="AC246" i="1"/>
  <c r="AD249" i="1"/>
  <c r="AD254" i="1"/>
  <c r="AE254" i="1"/>
  <c r="AC254" i="1"/>
  <c r="AG254" i="1"/>
  <c r="AF254" i="1"/>
  <c r="AG279" i="1"/>
  <c r="AC279" i="1"/>
  <c r="AE279" i="1"/>
  <c r="AD279" i="1"/>
  <c r="AF279" i="1"/>
  <c r="AG287" i="1"/>
  <c r="AC287" i="1"/>
  <c r="AF287" i="1"/>
  <c r="AE287" i="1"/>
  <c r="AD287" i="1"/>
  <c r="AG291" i="1"/>
  <c r="AC291" i="1"/>
  <c r="AF291" i="1"/>
  <c r="AE291" i="1"/>
  <c r="AD291" i="1"/>
  <c r="AE292" i="1"/>
  <c r="AD292" i="1"/>
  <c r="AG636" i="1"/>
  <c r="AC636" i="1"/>
  <c r="AF636" i="1"/>
  <c r="AE636" i="1"/>
  <c r="AD636" i="1"/>
  <c r="AD72" i="1"/>
  <c r="AG72" i="1"/>
  <c r="AE72" i="1"/>
  <c r="AC72" i="1"/>
  <c r="AF72" i="1"/>
  <c r="AD76" i="1"/>
  <c r="AG76" i="1"/>
  <c r="AE76" i="1"/>
  <c r="AC76" i="1"/>
  <c r="AF76" i="1"/>
  <c r="AF82" i="1"/>
  <c r="AC82" i="1"/>
  <c r="AE82" i="1"/>
  <c r="AG82" i="1"/>
  <c r="AD82" i="1"/>
  <c r="AF130" i="1"/>
  <c r="AE130" i="1"/>
  <c r="AG130" i="1"/>
  <c r="AC130" i="1"/>
  <c r="AD130" i="1"/>
  <c r="AD152" i="1"/>
  <c r="AG152" i="1"/>
  <c r="AE152" i="1"/>
  <c r="AC152" i="1"/>
  <c r="AF152" i="1"/>
  <c r="AD168" i="1"/>
  <c r="AG168" i="1"/>
  <c r="AC168" i="1"/>
  <c r="AF168" i="1"/>
  <c r="AE168" i="1"/>
  <c r="AF170" i="1"/>
  <c r="AE170" i="1"/>
  <c r="AC170" i="1"/>
  <c r="AD170" i="1"/>
  <c r="AG170" i="1"/>
  <c r="AD184" i="1"/>
  <c r="AG184" i="1"/>
  <c r="AC184" i="1"/>
  <c r="AE184" i="1"/>
  <c r="AF184" i="1"/>
  <c r="AG231" i="1"/>
  <c r="AC231" i="1"/>
  <c r="AE231" i="1"/>
  <c r="AD231" i="1"/>
  <c r="AF231" i="1"/>
  <c r="AG255" i="1"/>
  <c r="AC255" i="1"/>
  <c r="AF255" i="1"/>
  <c r="AE255" i="1"/>
  <c r="AD255" i="1"/>
  <c r="AG259" i="1"/>
  <c r="AC259" i="1"/>
  <c r="AF259" i="1"/>
  <c r="AE259" i="1"/>
  <c r="AD259" i="1"/>
  <c r="AD286" i="1"/>
  <c r="AE286" i="1"/>
  <c r="AC286" i="1"/>
  <c r="AG286" i="1"/>
  <c r="AF286" i="1"/>
  <c r="AG572" i="1"/>
  <c r="AC572" i="1"/>
  <c r="AF572" i="1"/>
  <c r="AE572" i="1"/>
  <c r="AD572" i="1"/>
  <c r="AF22" i="1"/>
  <c r="AG22" i="1"/>
  <c r="AE22" i="1"/>
  <c r="AD22" i="1"/>
  <c r="AC22" i="1"/>
  <c r="AF26" i="1"/>
  <c r="AE26" i="1"/>
  <c r="AG26" i="1"/>
  <c r="AD26" i="1"/>
  <c r="AC26" i="1"/>
  <c r="AF30" i="1"/>
  <c r="AC30" i="1"/>
  <c r="AE30" i="1"/>
  <c r="AD30" i="1"/>
  <c r="AG30" i="1"/>
  <c r="AF34" i="1"/>
  <c r="AE34" i="1"/>
  <c r="AG34" i="1"/>
  <c r="AD34" i="1"/>
  <c r="AC34" i="1"/>
  <c r="AD48" i="1"/>
  <c r="AC48" i="1"/>
  <c r="AG48" i="1"/>
  <c r="AE48" i="1"/>
  <c r="AF48" i="1"/>
  <c r="AF50" i="1"/>
  <c r="AC50" i="1"/>
  <c r="AE50" i="1"/>
  <c r="AD50" i="1"/>
  <c r="AG50" i="1"/>
  <c r="AD112" i="1"/>
  <c r="AC112" i="1"/>
  <c r="AG112" i="1"/>
  <c r="AF112" i="1"/>
  <c r="AE112" i="1"/>
  <c r="AF114" i="1"/>
  <c r="AE114" i="1"/>
  <c r="AC114" i="1"/>
  <c r="AD114" i="1"/>
  <c r="AG114" i="1"/>
  <c r="AF142" i="1"/>
  <c r="AE142" i="1"/>
  <c r="AC142" i="1"/>
  <c r="AD142" i="1"/>
  <c r="AG142" i="1"/>
  <c r="AF146" i="1"/>
  <c r="AC146" i="1"/>
  <c r="AE146" i="1"/>
  <c r="AG146" i="1"/>
  <c r="AD146" i="1"/>
  <c r="AF178" i="1"/>
  <c r="AE178" i="1"/>
  <c r="AC178" i="1"/>
  <c r="AD178" i="1"/>
  <c r="AG178" i="1"/>
  <c r="AD12" i="1"/>
  <c r="AG12" i="1"/>
  <c r="AC12" i="1"/>
  <c r="AE12" i="1"/>
  <c r="AF12" i="1"/>
  <c r="AF14" i="1"/>
  <c r="AE14" i="1"/>
  <c r="AC14" i="1"/>
  <c r="AG14" i="1"/>
  <c r="AD14" i="1"/>
  <c r="AD16" i="1"/>
  <c r="AG16" i="1"/>
  <c r="AC16" i="1"/>
  <c r="AE16" i="1"/>
  <c r="AF16" i="1"/>
  <c r="AF18" i="1"/>
  <c r="AC18" i="1"/>
  <c r="AE18" i="1"/>
  <c r="AD18" i="1"/>
  <c r="AG18" i="1"/>
  <c r="AD44" i="1"/>
  <c r="AG44" i="1"/>
  <c r="AC44" i="1"/>
  <c r="AF44" i="1"/>
  <c r="AE44" i="1"/>
  <c r="AF46" i="1"/>
  <c r="AE46" i="1"/>
  <c r="AG46" i="1"/>
  <c r="AD46" i="1"/>
  <c r="AC46" i="1"/>
  <c r="AD60" i="1"/>
  <c r="AG60" i="1"/>
  <c r="AC60" i="1"/>
  <c r="AF60" i="1"/>
  <c r="AE60" i="1"/>
  <c r="AF62" i="1"/>
  <c r="AG62" i="1"/>
  <c r="AE62" i="1"/>
  <c r="AC62" i="1"/>
  <c r="AD62" i="1"/>
  <c r="AD84" i="1"/>
  <c r="AG84" i="1"/>
  <c r="AE84" i="1"/>
  <c r="AC84" i="1"/>
  <c r="AF84" i="1"/>
  <c r="AF86" i="1"/>
  <c r="AE86" i="1"/>
  <c r="AG86" i="1"/>
  <c r="AC86" i="1"/>
  <c r="AD86" i="1"/>
  <c r="AD108" i="1"/>
  <c r="AG108" i="1"/>
  <c r="AC108" i="1"/>
  <c r="AE108" i="1"/>
  <c r="AF108" i="1"/>
  <c r="AF110" i="1"/>
  <c r="AE110" i="1"/>
  <c r="AC110" i="1"/>
  <c r="AD110" i="1"/>
  <c r="AG110" i="1"/>
  <c r="AD132" i="1"/>
  <c r="AG132" i="1"/>
  <c r="AC132" i="1"/>
  <c r="AE132" i="1"/>
  <c r="AF132" i="1"/>
  <c r="AD136" i="1"/>
  <c r="AG136" i="1"/>
  <c r="AC136" i="1"/>
  <c r="AF136" i="1"/>
  <c r="AE136" i="1"/>
  <c r="AF138" i="1"/>
  <c r="AE138" i="1"/>
  <c r="AC138" i="1"/>
  <c r="AG138" i="1"/>
  <c r="AD138" i="1"/>
  <c r="AD156" i="1"/>
  <c r="AG156" i="1"/>
  <c r="AE156" i="1"/>
  <c r="AC156" i="1"/>
  <c r="AF156" i="1"/>
  <c r="AF158" i="1"/>
  <c r="AE158" i="1"/>
  <c r="AG158" i="1"/>
  <c r="AD158" i="1"/>
  <c r="AC158" i="1"/>
  <c r="AD172" i="1"/>
  <c r="AG172" i="1"/>
  <c r="AC172" i="1"/>
  <c r="AE172" i="1"/>
  <c r="AF172" i="1"/>
  <c r="AF174" i="1"/>
  <c r="AC174" i="1"/>
  <c r="AE174" i="1"/>
  <c r="AD174" i="1"/>
  <c r="AG174" i="1"/>
  <c r="AD188" i="1"/>
  <c r="AG188" i="1"/>
  <c r="AC188" i="1"/>
  <c r="AE188" i="1"/>
  <c r="AF188" i="1"/>
  <c r="AF190" i="1"/>
  <c r="AE190" i="1"/>
  <c r="AG190" i="1"/>
  <c r="AD190" i="1"/>
  <c r="AC190" i="1"/>
  <c r="AD206" i="1"/>
  <c r="AE206" i="1"/>
  <c r="AC206" i="1"/>
  <c r="AF206" i="1"/>
  <c r="AG206" i="1"/>
  <c r="AF217" i="1"/>
  <c r="AD222" i="1"/>
  <c r="AE222" i="1"/>
  <c r="AC222" i="1"/>
  <c r="AG222" i="1"/>
  <c r="AF222" i="1"/>
  <c r="AF233" i="1"/>
  <c r="AD238" i="1"/>
  <c r="AE238" i="1"/>
  <c r="AC238" i="1"/>
  <c r="AG238" i="1"/>
  <c r="AF238" i="1"/>
  <c r="AF249" i="1"/>
  <c r="AG263" i="1"/>
  <c r="AC263" i="1"/>
  <c r="AE263" i="1"/>
  <c r="AD263" i="1"/>
  <c r="AF263" i="1"/>
  <c r="AG271" i="1"/>
  <c r="AC271" i="1"/>
  <c r="AF271" i="1"/>
  <c r="AE271" i="1"/>
  <c r="AD271" i="1"/>
  <c r="AG275" i="1"/>
  <c r="AC275" i="1"/>
  <c r="AF275" i="1"/>
  <c r="AE275" i="1"/>
  <c r="AD275" i="1"/>
  <c r="AG283" i="1"/>
  <c r="AC283" i="1"/>
  <c r="AD283" i="1"/>
  <c r="AF283" i="1"/>
  <c r="AE283" i="1"/>
  <c r="AD295" i="1"/>
  <c r="AG295" i="1"/>
  <c r="AC295" i="1"/>
  <c r="AF295" i="1"/>
  <c r="AE295" i="1"/>
  <c r="AD299" i="1"/>
  <c r="AG299" i="1"/>
  <c r="AC299" i="1"/>
  <c r="AF299" i="1"/>
  <c r="AE299" i="1"/>
  <c r="AF494" i="1"/>
  <c r="AE494" i="1"/>
  <c r="AD494" i="1"/>
  <c r="AC498" i="1"/>
  <c r="AF502" i="1"/>
  <c r="AE502" i="1"/>
  <c r="AD502" i="1"/>
  <c r="AC506" i="1"/>
  <c r="AF510" i="1"/>
  <c r="AE510" i="1"/>
  <c r="AD510" i="1"/>
  <c r="AC514" i="1"/>
  <c r="AF518" i="1"/>
  <c r="AE518" i="1"/>
  <c r="AD518" i="1"/>
  <c r="AC522" i="1"/>
  <c r="AF526" i="1"/>
  <c r="AE526" i="1"/>
  <c r="AD526" i="1"/>
  <c r="AC530" i="1"/>
  <c r="AG532" i="1"/>
  <c r="AC532" i="1"/>
  <c r="AD532" i="1"/>
  <c r="AF532" i="1"/>
  <c r="AG538" i="1"/>
  <c r="Y541" i="1"/>
  <c r="AE541" i="1" s="1"/>
  <c r="M541" i="1"/>
  <c r="R541" i="1" s="1"/>
  <c r="AD547" i="1"/>
  <c r="AF547" i="1"/>
  <c r="AE547" i="1"/>
  <c r="AC547" i="1"/>
  <c r="AF549" i="1"/>
  <c r="AE549" i="1"/>
  <c r="AD549" i="1"/>
  <c r="AC549" i="1"/>
  <c r="AF555" i="1"/>
  <c r="AG560" i="1"/>
  <c r="AC560" i="1"/>
  <c r="AE560" i="1"/>
  <c r="AD560" i="1"/>
  <c r="AF560" i="1"/>
  <c r="AD575" i="1"/>
  <c r="AG575" i="1"/>
  <c r="AF575" i="1"/>
  <c r="AE575" i="1"/>
  <c r="AD583" i="1"/>
  <c r="AE583" i="1"/>
  <c r="AC583" i="1"/>
  <c r="AG583" i="1"/>
  <c r="AG584" i="1"/>
  <c r="AC584" i="1"/>
  <c r="AF584" i="1"/>
  <c r="AE584" i="1"/>
  <c r="AE585" i="1"/>
  <c r="AE586" i="1"/>
  <c r="AF586" i="1"/>
  <c r="AD586" i="1"/>
  <c r="AC586" i="1"/>
  <c r="AG588" i="1"/>
  <c r="AC588" i="1"/>
  <c r="AF588" i="1"/>
  <c r="AE588" i="1"/>
  <c r="AD588" i="1"/>
  <c r="AF594" i="1"/>
  <c r="AG596" i="1"/>
  <c r="AC596" i="1"/>
  <c r="AD596" i="1"/>
  <c r="AF596" i="1"/>
  <c r="Y605" i="1"/>
  <c r="AF605" i="1" s="1"/>
  <c r="M605" i="1"/>
  <c r="R605" i="1" s="1"/>
  <c r="AD611" i="1"/>
  <c r="AF611" i="1"/>
  <c r="AE611" i="1"/>
  <c r="AC611" i="1"/>
  <c r="AF613" i="1"/>
  <c r="AE613" i="1"/>
  <c r="AD613" i="1"/>
  <c r="AC613" i="1"/>
  <c r="AF619" i="1"/>
  <c r="AG624" i="1"/>
  <c r="AC624" i="1"/>
  <c r="AE624" i="1"/>
  <c r="AD624" i="1"/>
  <c r="AF624" i="1"/>
  <c r="AD639" i="1"/>
  <c r="AG639" i="1"/>
  <c r="AF639" i="1"/>
  <c r="AE639" i="1"/>
  <c r="M642" i="1"/>
  <c r="R642" i="1" s="1"/>
  <c r="AD647" i="1"/>
  <c r="AE647" i="1"/>
  <c r="AC647" i="1"/>
  <c r="AG647" i="1"/>
  <c r="AE653" i="1"/>
  <c r="AD654" i="1"/>
  <c r="AD665" i="1"/>
  <c r="AG665" i="1"/>
  <c r="AC665" i="1"/>
  <c r="AF665" i="1"/>
  <c r="AE665" i="1"/>
  <c r="AE672" i="1"/>
  <c r="AD672" i="1"/>
  <c r="AG672" i="1"/>
  <c r="AC672" i="1"/>
  <c r="AF672" i="1"/>
  <c r="AE685" i="1"/>
  <c r="AD686" i="1"/>
  <c r="AD697" i="1"/>
  <c r="AG697" i="1"/>
  <c r="AC697" i="1"/>
  <c r="AF697" i="1"/>
  <c r="AE697" i="1"/>
  <c r="AE704" i="1"/>
  <c r="AD704" i="1"/>
  <c r="AG704" i="1"/>
  <c r="AC704" i="1"/>
  <c r="AF704" i="1"/>
  <c r="AE717" i="1"/>
  <c r="AD729" i="1"/>
  <c r="AG729" i="1"/>
  <c r="AC729" i="1"/>
  <c r="AF729" i="1"/>
  <c r="AE729" i="1"/>
  <c r="AE736" i="1"/>
  <c r="AD736" i="1"/>
  <c r="AG736" i="1"/>
  <c r="AC736" i="1"/>
  <c r="AF736" i="1"/>
  <c r="AD750" i="1"/>
  <c r="AD761" i="1"/>
  <c r="AG761" i="1"/>
  <c r="AC761" i="1"/>
  <c r="AF761" i="1"/>
  <c r="AE761" i="1"/>
  <c r="AE768" i="1"/>
  <c r="AD768" i="1"/>
  <c r="AG768" i="1"/>
  <c r="AC768" i="1"/>
  <c r="AF768" i="1"/>
  <c r="AD782" i="1"/>
  <c r="AD793" i="1"/>
  <c r="AG793" i="1"/>
  <c r="AC793" i="1"/>
  <c r="AF793" i="1"/>
  <c r="AE793" i="1"/>
  <c r="AE800" i="1"/>
  <c r="AD800" i="1"/>
  <c r="AG800" i="1"/>
  <c r="AC800" i="1"/>
  <c r="AF800" i="1"/>
  <c r="AC808" i="1"/>
  <c r="AE816" i="1"/>
  <c r="AD816" i="1"/>
  <c r="AG816" i="1"/>
  <c r="AC816" i="1"/>
  <c r="AF816" i="1"/>
  <c r="AD830" i="1"/>
  <c r="AD841" i="1"/>
  <c r="AG841" i="1"/>
  <c r="AC841" i="1"/>
  <c r="AF841" i="1"/>
  <c r="AE841" i="1"/>
  <c r="AD849" i="1"/>
  <c r="AG849" i="1"/>
  <c r="AC849" i="1"/>
  <c r="AF849" i="1"/>
  <c r="AE849" i="1"/>
  <c r="AE856" i="1"/>
  <c r="AD856" i="1"/>
  <c r="AG856" i="1"/>
  <c r="AC856" i="1"/>
  <c r="AF856" i="1"/>
  <c r="AE880" i="1"/>
  <c r="AD880" i="1"/>
  <c r="AG880" i="1"/>
  <c r="AC880" i="1"/>
  <c r="AF880" i="1"/>
  <c r="AE893" i="1"/>
  <c r="AD894" i="1"/>
  <c r="AD902" i="1"/>
  <c r="AC905" i="1"/>
  <c r="AF905" i="1"/>
  <c r="AE912" i="1"/>
  <c r="AD912" i="1"/>
  <c r="AG912" i="1"/>
  <c r="AC912" i="1"/>
  <c r="AF912" i="1"/>
  <c r="AE933" i="1"/>
  <c r="AD934" i="1"/>
  <c r="AD937" i="1"/>
  <c r="AG937" i="1"/>
  <c r="AC937" i="1"/>
  <c r="AF937" i="1"/>
  <c r="AE937" i="1"/>
  <c r="AE944" i="1"/>
  <c r="AD944" i="1"/>
  <c r="AG944" i="1"/>
  <c r="AC944" i="1"/>
  <c r="AF944" i="1"/>
  <c r="AE957" i="1"/>
  <c r="AD958" i="1"/>
  <c r="AD969" i="1"/>
  <c r="AG969" i="1"/>
  <c r="AC969" i="1"/>
  <c r="AF969" i="1"/>
  <c r="AE969" i="1"/>
  <c r="AE976" i="1"/>
  <c r="AD976" i="1"/>
  <c r="AG976" i="1"/>
  <c r="AC976" i="1"/>
  <c r="AF976" i="1"/>
  <c r="AE989" i="1"/>
  <c r="AD990" i="1"/>
  <c r="AD1001" i="1"/>
  <c r="AG1001" i="1"/>
  <c r="AC1001" i="1"/>
  <c r="AF1001" i="1"/>
  <c r="AE1001" i="1"/>
  <c r="AD1008" i="1"/>
  <c r="AG1008" i="1"/>
  <c r="AC1008" i="1"/>
  <c r="AE1021" i="1"/>
  <c r="AD1022" i="1"/>
  <c r="AD1033" i="1"/>
  <c r="AG1033" i="1"/>
  <c r="AC1033" i="1"/>
  <c r="AF1033" i="1"/>
  <c r="AE1033" i="1"/>
  <c r="AG1040" i="1"/>
  <c r="AC1040" i="1"/>
  <c r="AD1062" i="1"/>
  <c r="AD1065" i="1"/>
  <c r="AC1065" i="1"/>
  <c r="AE1065" i="1"/>
  <c r="AE1069" i="1"/>
  <c r="AF11" i="1"/>
  <c r="AF47" i="1"/>
  <c r="AF63" i="1"/>
  <c r="AF87" i="1"/>
  <c r="AD149" i="1"/>
  <c r="AD157" i="1"/>
  <c r="AD161" i="1"/>
  <c r="AD165" i="1"/>
  <c r="AF167" i="1"/>
  <c r="AF171" i="1"/>
  <c r="AD181" i="1"/>
  <c r="AD185" i="1"/>
  <c r="AF187" i="1"/>
  <c r="AD189" i="1"/>
  <c r="AD193" i="1"/>
  <c r="AF195" i="1"/>
  <c r="AF203" i="1"/>
  <c r="AF213" i="1"/>
  <c r="AG218" i="1"/>
  <c r="AF220" i="1"/>
  <c r="AG220" i="1"/>
  <c r="AE224" i="1"/>
  <c r="AE225" i="1"/>
  <c r="AG225" i="1"/>
  <c r="AF229" i="1"/>
  <c r="AG234" i="1"/>
  <c r="AF236" i="1"/>
  <c r="AG236" i="1"/>
  <c r="AE240" i="1"/>
  <c r="AE241" i="1"/>
  <c r="AG241" i="1"/>
  <c r="AF245" i="1"/>
  <c r="AG250" i="1"/>
  <c r="AF252" i="1"/>
  <c r="AG252" i="1"/>
  <c r="AE256" i="1"/>
  <c r="AE257" i="1"/>
  <c r="AG257" i="1"/>
  <c r="AF261" i="1"/>
  <c r="AG266" i="1"/>
  <c r="AF268" i="1"/>
  <c r="AG268" i="1"/>
  <c r="AE272" i="1"/>
  <c r="AE273" i="1"/>
  <c r="AG273" i="1"/>
  <c r="AF277" i="1"/>
  <c r="AG282" i="1"/>
  <c r="AF284" i="1"/>
  <c r="AG284" i="1"/>
  <c r="AE288" i="1"/>
  <c r="AE289" i="1"/>
  <c r="AG289" i="1"/>
  <c r="AG293" i="1"/>
  <c r="AG297" i="1"/>
  <c r="AE307" i="1"/>
  <c r="AD307" i="1"/>
  <c r="AG307" i="1"/>
  <c r="AC307" i="1"/>
  <c r="AD312" i="1"/>
  <c r="AG312" i="1"/>
  <c r="AC312" i="1"/>
  <c r="AF312" i="1"/>
  <c r="AE312" i="1"/>
  <c r="AF314" i="1"/>
  <c r="AE323" i="1"/>
  <c r="AD323" i="1"/>
  <c r="AG323" i="1"/>
  <c r="AC323" i="1"/>
  <c r="AD328" i="1"/>
  <c r="AG328" i="1"/>
  <c r="AC328" i="1"/>
  <c r="AF328" i="1"/>
  <c r="AE328" i="1"/>
  <c r="AF330" i="1"/>
  <c r="AE339" i="1"/>
  <c r="AD339" i="1"/>
  <c r="AG339" i="1"/>
  <c r="AC339" i="1"/>
  <c r="AD344" i="1"/>
  <c r="AG344" i="1"/>
  <c r="AC344" i="1"/>
  <c r="AF344" i="1"/>
  <c r="AE344" i="1"/>
  <c r="AF346" i="1"/>
  <c r="AE355" i="1"/>
  <c r="AD355" i="1"/>
  <c r="AG355" i="1"/>
  <c r="AC355" i="1"/>
  <c r="AD360" i="1"/>
  <c r="AG360" i="1"/>
  <c r="AC360" i="1"/>
  <c r="AF360" i="1"/>
  <c r="AE360" i="1"/>
  <c r="AF362" i="1"/>
  <c r="AE371" i="1"/>
  <c r="AD371" i="1"/>
  <c r="AG371" i="1"/>
  <c r="AC371" i="1"/>
  <c r="AD376" i="1"/>
  <c r="AG376" i="1"/>
  <c r="AC376" i="1"/>
  <c r="AF376" i="1"/>
  <c r="AE376" i="1"/>
  <c r="AF378" i="1"/>
  <c r="AE387" i="1"/>
  <c r="AD387" i="1"/>
  <c r="AG387" i="1"/>
  <c r="AC387" i="1"/>
  <c r="AD392" i="1"/>
  <c r="AG392" i="1"/>
  <c r="AC392" i="1"/>
  <c r="AF392" i="1"/>
  <c r="AE392" i="1"/>
  <c r="AF394" i="1"/>
  <c r="AE403" i="1"/>
  <c r="AD403" i="1"/>
  <c r="AG403" i="1"/>
  <c r="AC403" i="1"/>
  <c r="AF406" i="1"/>
  <c r="AE406" i="1"/>
  <c r="AD406" i="1"/>
  <c r="AF414" i="1"/>
  <c r="AE414" i="1"/>
  <c r="AD414" i="1"/>
  <c r="AF422" i="1"/>
  <c r="AE422" i="1"/>
  <c r="AD422" i="1"/>
  <c r="AF430" i="1"/>
  <c r="AE430" i="1"/>
  <c r="AD430" i="1"/>
  <c r="AF438" i="1"/>
  <c r="AE438" i="1"/>
  <c r="AD438" i="1"/>
  <c r="AF446" i="1"/>
  <c r="AE446" i="1"/>
  <c r="AD446" i="1"/>
  <c r="AF454" i="1"/>
  <c r="AE454" i="1"/>
  <c r="AD454" i="1"/>
  <c r="AF462" i="1"/>
  <c r="AE462" i="1"/>
  <c r="AD462" i="1"/>
  <c r="AF470" i="1"/>
  <c r="AE470" i="1"/>
  <c r="AD470" i="1"/>
  <c r="AF478" i="1"/>
  <c r="AE478" i="1"/>
  <c r="AD478" i="1"/>
  <c r="AF486" i="1"/>
  <c r="AE486" i="1"/>
  <c r="AD486" i="1"/>
  <c r="AC11" i="1"/>
  <c r="AG11" i="1"/>
  <c r="AE13" i="1"/>
  <c r="M14" i="1"/>
  <c r="R14" i="1" s="1"/>
  <c r="AC15" i="1"/>
  <c r="AG15" i="1"/>
  <c r="AE17" i="1"/>
  <c r="M18" i="1"/>
  <c r="R18" i="1" s="1"/>
  <c r="AC19" i="1"/>
  <c r="AG19" i="1"/>
  <c r="AE21" i="1"/>
  <c r="M22" i="1"/>
  <c r="R22" i="1" s="1"/>
  <c r="AC23" i="1"/>
  <c r="AG23" i="1"/>
  <c r="AE25" i="1"/>
  <c r="M26" i="1"/>
  <c r="R26" i="1" s="1"/>
  <c r="AC27" i="1"/>
  <c r="AG27" i="1"/>
  <c r="AE29" i="1"/>
  <c r="M30" i="1"/>
  <c r="R30" i="1" s="1"/>
  <c r="AC31" i="1"/>
  <c r="AG31" i="1"/>
  <c r="AE33" i="1"/>
  <c r="M34" i="1"/>
  <c r="R34" i="1" s="1"/>
  <c r="AC35" i="1"/>
  <c r="AG35" i="1"/>
  <c r="AE37" i="1"/>
  <c r="M38" i="1"/>
  <c r="R38" i="1" s="1"/>
  <c r="AC39" i="1"/>
  <c r="AG39" i="1"/>
  <c r="AE41" i="1"/>
  <c r="M42" i="1"/>
  <c r="R42" i="1" s="1"/>
  <c r="AC43" i="1"/>
  <c r="AG43" i="1"/>
  <c r="AE45" i="1"/>
  <c r="M46" i="1"/>
  <c r="R46" i="1" s="1"/>
  <c r="AC47" i="1"/>
  <c r="AG47" i="1"/>
  <c r="AE49" i="1"/>
  <c r="M50" i="1"/>
  <c r="R50" i="1" s="1"/>
  <c r="AC51" i="1"/>
  <c r="AG51" i="1"/>
  <c r="AE53" i="1"/>
  <c r="M54" i="1"/>
  <c r="R54" i="1" s="1"/>
  <c r="AC55" i="1"/>
  <c r="AG55" i="1"/>
  <c r="AE57" i="1"/>
  <c r="M58" i="1"/>
  <c r="R58" i="1" s="1"/>
  <c r="AC59" i="1"/>
  <c r="AG59" i="1"/>
  <c r="AE61" i="1"/>
  <c r="M62" i="1"/>
  <c r="R62" i="1" s="1"/>
  <c r="AC63" i="1"/>
  <c r="AG63" i="1"/>
  <c r="AE65" i="1"/>
  <c r="M66" i="1"/>
  <c r="R66" i="1" s="1"/>
  <c r="AC67" i="1"/>
  <c r="AG67" i="1"/>
  <c r="AE69" i="1"/>
  <c r="M70" i="1"/>
  <c r="R70" i="1" s="1"/>
  <c r="AC71" i="1"/>
  <c r="AG71" i="1"/>
  <c r="AE73" i="1"/>
  <c r="M74" i="1"/>
  <c r="R74" i="1" s="1"/>
  <c r="AC75" i="1"/>
  <c r="AG75" i="1"/>
  <c r="AE77" i="1"/>
  <c r="M78" i="1"/>
  <c r="R78" i="1" s="1"/>
  <c r="AC79" i="1"/>
  <c r="AG79" i="1"/>
  <c r="AE81" i="1"/>
  <c r="M82" i="1"/>
  <c r="R82" i="1" s="1"/>
  <c r="AC83" i="1"/>
  <c r="AG83" i="1"/>
  <c r="AE85" i="1"/>
  <c r="M86" i="1"/>
  <c r="R86" i="1" s="1"/>
  <c r="AC87" i="1"/>
  <c r="AG87" i="1"/>
  <c r="AE89" i="1"/>
  <c r="M90" i="1"/>
  <c r="R90" i="1" s="1"/>
  <c r="AC91" i="1"/>
  <c r="AG91" i="1"/>
  <c r="AE93" i="1"/>
  <c r="M94" i="1"/>
  <c r="R94" i="1" s="1"/>
  <c r="AC95" i="1"/>
  <c r="AG95" i="1"/>
  <c r="AE97" i="1"/>
  <c r="M98" i="1"/>
  <c r="R98" i="1" s="1"/>
  <c r="AC99" i="1"/>
  <c r="AG99" i="1"/>
  <c r="AE101" i="1"/>
  <c r="M102" i="1"/>
  <c r="R102" i="1" s="1"/>
  <c r="AC103" i="1"/>
  <c r="AG103" i="1"/>
  <c r="AE105" i="1"/>
  <c r="M106" i="1"/>
  <c r="R106" i="1" s="1"/>
  <c r="AC107" i="1"/>
  <c r="AG107" i="1"/>
  <c r="AE109" i="1"/>
  <c r="M110" i="1"/>
  <c r="R110" i="1" s="1"/>
  <c r="AC111" i="1"/>
  <c r="AG111" i="1"/>
  <c r="AE113" i="1"/>
  <c r="M114" i="1"/>
  <c r="R114" i="1" s="1"/>
  <c r="AC115" i="1"/>
  <c r="AG115" i="1"/>
  <c r="AE117" i="1"/>
  <c r="M118" i="1"/>
  <c r="R118" i="1" s="1"/>
  <c r="AC119" i="1"/>
  <c r="AG119" i="1"/>
  <c r="AE121" i="1"/>
  <c r="M122" i="1"/>
  <c r="R122" i="1" s="1"/>
  <c r="AC123" i="1"/>
  <c r="AG123" i="1"/>
  <c r="AE125" i="1"/>
  <c r="M126" i="1"/>
  <c r="R126" i="1" s="1"/>
  <c r="AC127" i="1"/>
  <c r="AG127" i="1"/>
  <c r="AE129" i="1"/>
  <c r="M130" i="1"/>
  <c r="R130" i="1" s="1"/>
  <c r="AC131" i="1"/>
  <c r="AG131" i="1"/>
  <c r="AE133" i="1"/>
  <c r="M134" i="1"/>
  <c r="R134" i="1" s="1"/>
  <c r="AC135" i="1"/>
  <c r="AG135" i="1"/>
  <c r="AE137" i="1"/>
  <c r="M138" i="1"/>
  <c r="R138" i="1" s="1"/>
  <c r="AC139" i="1"/>
  <c r="AG139" i="1"/>
  <c r="AE141" i="1"/>
  <c r="M142" i="1"/>
  <c r="R142" i="1" s="1"/>
  <c r="AC143" i="1"/>
  <c r="AG143" i="1"/>
  <c r="AE145" i="1"/>
  <c r="M146" i="1"/>
  <c r="R146" i="1" s="1"/>
  <c r="AC147" i="1"/>
  <c r="AG147" i="1"/>
  <c r="AE149" i="1"/>
  <c r="M150" i="1"/>
  <c r="R150" i="1" s="1"/>
  <c r="AC151" i="1"/>
  <c r="AG151" i="1"/>
  <c r="AE153" i="1"/>
  <c r="M154" i="1"/>
  <c r="R154" i="1" s="1"/>
  <c r="AC155" i="1"/>
  <c r="AG155" i="1"/>
  <c r="AE157" i="1"/>
  <c r="M158" i="1"/>
  <c r="R158" i="1" s="1"/>
  <c r="AC159" i="1"/>
  <c r="AG159" i="1"/>
  <c r="AE161" i="1"/>
  <c r="M162" i="1"/>
  <c r="R162" i="1" s="1"/>
  <c r="AC163" i="1"/>
  <c r="AG163" i="1"/>
  <c r="AE165" i="1"/>
  <c r="M166" i="1"/>
  <c r="R166" i="1" s="1"/>
  <c r="AC167" i="1"/>
  <c r="AG167" i="1"/>
  <c r="AE169" i="1"/>
  <c r="M170" i="1"/>
  <c r="R170" i="1" s="1"/>
  <c r="AC171" i="1"/>
  <c r="AG171" i="1"/>
  <c r="AE173" i="1"/>
  <c r="M174" i="1"/>
  <c r="R174" i="1" s="1"/>
  <c r="AC175" i="1"/>
  <c r="AG175" i="1"/>
  <c r="AE177" i="1"/>
  <c r="M178" i="1"/>
  <c r="R178" i="1" s="1"/>
  <c r="AC179" i="1"/>
  <c r="AG179" i="1"/>
  <c r="AE181" i="1"/>
  <c r="M182" i="1"/>
  <c r="R182" i="1" s="1"/>
  <c r="AC183" i="1"/>
  <c r="AG183" i="1"/>
  <c r="AE185" i="1"/>
  <c r="M186" i="1"/>
  <c r="R186" i="1" s="1"/>
  <c r="AC187" i="1"/>
  <c r="AG187" i="1"/>
  <c r="AE189" i="1"/>
  <c r="M190" i="1"/>
  <c r="R190" i="1" s="1"/>
  <c r="AC191" i="1"/>
  <c r="AG191" i="1"/>
  <c r="AE193" i="1"/>
  <c r="M194" i="1"/>
  <c r="R194" i="1" s="1"/>
  <c r="AC195" i="1"/>
  <c r="AG195" i="1"/>
  <c r="AE197" i="1"/>
  <c r="M198" i="1"/>
  <c r="R198" i="1" s="1"/>
  <c r="AC199" i="1"/>
  <c r="AG199" i="1"/>
  <c r="AE201" i="1"/>
  <c r="M202" i="1"/>
  <c r="R202" i="1" s="1"/>
  <c r="AC203" i="1"/>
  <c r="AG203" i="1"/>
  <c r="AF208" i="1"/>
  <c r="AG208" i="1"/>
  <c r="AF210" i="1"/>
  <c r="M212" i="1"/>
  <c r="R212" i="1" s="1"/>
  <c r="AE213" i="1"/>
  <c r="AG213" i="1"/>
  <c r="M214" i="1"/>
  <c r="R214" i="1" s="1"/>
  <c r="M217" i="1"/>
  <c r="R217" i="1" s="1"/>
  <c r="AC218" i="1"/>
  <c r="AC220" i="1"/>
  <c r="AF224" i="1"/>
  <c r="AG224" i="1"/>
  <c r="AC225" i="1"/>
  <c r="M228" i="1"/>
  <c r="R228" i="1" s="1"/>
  <c r="AE229" i="1"/>
  <c r="AG229" i="1"/>
  <c r="M230" i="1"/>
  <c r="R230" i="1" s="1"/>
  <c r="M233" i="1"/>
  <c r="R233" i="1" s="1"/>
  <c r="AC234" i="1"/>
  <c r="AC236" i="1"/>
  <c r="AF240" i="1"/>
  <c r="AG240" i="1"/>
  <c r="AC241" i="1"/>
  <c r="M244" i="1"/>
  <c r="R244" i="1" s="1"/>
  <c r="AE245" i="1"/>
  <c r="AG245" i="1"/>
  <c r="M246" i="1"/>
  <c r="R246" i="1" s="1"/>
  <c r="M249" i="1"/>
  <c r="R249" i="1" s="1"/>
  <c r="AC250" i="1"/>
  <c r="AC252" i="1"/>
  <c r="AF256" i="1"/>
  <c r="AG256" i="1"/>
  <c r="AC257" i="1"/>
  <c r="M260" i="1"/>
  <c r="R260" i="1" s="1"/>
  <c r="AE260" i="1"/>
  <c r="AE261" i="1"/>
  <c r="AG261" i="1"/>
  <c r="M262" i="1"/>
  <c r="R262" i="1" s="1"/>
  <c r="M265" i="1"/>
  <c r="R265" i="1" s="1"/>
  <c r="AC266" i="1"/>
  <c r="AC268" i="1"/>
  <c r="AF272" i="1"/>
  <c r="AG272" i="1"/>
  <c r="AC273" i="1"/>
  <c r="M276" i="1"/>
  <c r="R276" i="1" s="1"/>
  <c r="AE276" i="1"/>
  <c r="AE277" i="1"/>
  <c r="AG277" i="1"/>
  <c r="M278" i="1"/>
  <c r="R278" i="1" s="1"/>
  <c r="M281" i="1"/>
  <c r="R281" i="1" s="1"/>
  <c r="AC282" i="1"/>
  <c r="AC284" i="1"/>
  <c r="AF288" i="1"/>
  <c r="AG288" i="1"/>
  <c r="AC289" i="1"/>
  <c r="M292" i="1"/>
  <c r="R292" i="1" s="1"/>
  <c r="AF293" i="1"/>
  <c r="AE293" i="1"/>
  <c r="AE294" i="1"/>
  <c r="AD294" i="1"/>
  <c r="AG296" i="1"/>
  <c r="AC296" i="1"/>
  <c r="AF296" i="1"/>
  <c r="AD296" i="1"/>
  <c r="AF297" i="1"/>
  <c r="AE298" i="1"/>
  <c r="AD298" i="1"/>
  <c r="AD300" i="1"/>
  <c r="AG300" i="1"/>
  <c r="AC300" i="1"/>
  <c r="AF300" i="1"/>
  <c r="AE300" i="1"/>
  <c r="AF302" i="1"/>
  <c r="AG305" i="1"/>
  <c r="AD305" i="1"/>
  <c r="M306" i="1"/>
  <c r="R306" i="1" s="1"/>
  <c r="AF307" i="1"/>
  <c r="AE311" i="1"/>
  <c r="AD311" i="1"/>
  <c r="AG311" i="1"/>
  <c r="AC311" i="1"/>
  <c r="AF313" i="1"/>
  <c r="AD316" i="1"/>
  <c r="AG316" i="1"/>
  <c r="AC316" i="1"/>
  <c r="AF316" i="1"/>
  <c r="AE316" i="1"/>
  <c r="AF318" i="1"/>
  <c r="AG321" i="1"/>
  <c r="AD321" i="1"/>
  <c r="M322" i="1"/>
  <c r="R322" i="1" s="1"/>
  <c r="AF323" i="1"/>
  <c r="AE327" i="1"/>
  <c r="AD327" i="1"/>
  <c r="AG327" i="1"/>
  <c r="AC327" i="1"/>
  <c r="AF329" i="1"/>
  <c r="AD332" i="1"/>
  <c r="AG332" i="1"/>
  <c r="AC332" i="1"/>
  <c r="AF332" i="1"/>
  <c r="AE332" i="1"/>
  <c r="AF334" i="1"/>
  <c r="AG337" i="1"/>
  <c r="AD337" i="1"/>
  <c r="M338" i="1"/>
  <c r="R338" i="1" s="1"/>
  <c r="AF339" i="1"/>
  <c r="AE343" i="1"/>
  <c r="AD343" i="1"/>
  <c r="AG343" i="1"/>
  <c r="AC343" i="1"/>
  <c r="AF345" i="1"/>
  <c r="AD348" i="1"/>
  <c r="AG348" i="1"/>
  <c r="AC348" i="1"/>
  <c r="AF348" i="1"/>
  <c r="AE348" i="1"/>
  <c r="AF350" i="1"/>
  <c r="AG353" i="1"/>
  <c r="AD353" i="1"/>
  <c r="M354" i="1"/>
  <c r="R354" i="1" s="1"/>
  <c r="AF355" i="1"/>
  <c r="AE359" i="1"/>
  <c r="AD359" i="1"/>
  <c r="AG359" i="1"/>
  <c r="AC359" i="1"/>
  <c r="AF361" i="1"/>
  <c r="AD364" i="1"/>
  <c r="AG364" i="1"/>
  <c r="AC364" i="1"/>
  <c r="AF364" i="1"/>
  <c r="AE364" i="1"/>
  <c r="AF366" i="1"/>
  <c r="AG369" i="1"/>
  <c r="AD369" i="1"/>
  <c r="M370" i="1"/>
  <c r="R370" i="1" s="1"/>
  <c r="AF371" i="1"/>
  <c r="AE375" i="1"/>
  <c r="AD375" i="1"/>
  <c r="AG375" i="1"/>
  <c r="AC375" i="1"/>
  <c r="AF377" i="1"/>
  <c r="AD380" i="1"/>
  <c r="AG380" i="1"/>
  <c r="AC380" i="1"/>
  <c r="AF380" i="1"/>
  <c r="AE380" i="1"/>
  <c r="AF382" i="1"/>
  <c r="AG385" i="1"/>
  <c r="AD385" i="1"/>
  <c r="M386" i="1"/>
  <c r="R386" i="1" s="1"/>
  <c r="AF387" i="1"/>
  <c r="AE391" i="1"/>
  <c r="AD391" i="1"/>
  <c r="AG391" i="1"/>
  <c r="AC391" i="1"/>
  <c r="AF393" i="1"/>
  <c r="AD396" i="1"/>
  <c r="AG396" i="1"/>
  <c r="AC396" i="1"/>
  <c r="AF396" i="1"/>
  <c r="AE396" i="1"/>
  <c r="AF398" i="1"/>
  <c r="AG401" i="1"/>
  <c r="AD401" i="1"/>
  <c r="M402" i="1"/>
  <c r="R402" i="1" s="1"/>
  <c r="AF403" i="1"/>
  <c r="M406" i="1"/>
  <c r="R406" i="1" s="1"/>
  <c r="AE411" i="1"/>
  <c r="AD411" i="1"/>
  <c r="AG411" i="1"/>
  <c r="AC411" i="1"/>
  <c r="AD412" i="1"/>
  <c r="AG412" i="1"/>
  <c r="AC412" i="1"/>
  <c r="AF412" i="1"/>
  <c r="M414" i="1"/>
  <c r="R414" i="1" s="1"/>
  <c r="AE419" i="1"/>
  <c r="AD419" i="1"/>
  <c r="AG419" i="1"/>
  <c r="AC419" i="1"/>
  <c r="AD420" i="1"/>
  <c r="AG420" i="1"/>
  <c r="AC420" i="1"/>
  <c r="AF420" i="1"/>
  <c r="M422" i="1"/>
  <c r="R422" i="1" s="1"/>
  <c r="AE427" i="1"/>
  <c r="AD427" i="1"/>
  <c r="AG427" i="1"/>
  <c r="AC427" i="1"/>
  <c r="AD428" i="1"/>
  <c r="AG428" i="1"/>
  <c r="AC428" i="1"/>
  <c r="AF428" i="1"/>
  <c r="M430" i="1"/>
  <c r="R430" i="1" s="1"/>
  <c r="AE435" i="1"/>
  <c r="AD435" i="1"/>
  <c r="AG435" i="1"/>
  <c r="AC435" i="1"/>
  <c r="AD436" i="1"/>
  <c r="AG436" i="1"/>
  <c r="AC436" i="1"/>
  <c r="AF436" i="1"/>
  <c r="M438" i="1"/>
  <c r="R438" i="1" s="1"/>
  <c r="AE443" i="1"/>
  <c r="AD443" i="1"/>
  <c r="AG443" i="1"/>
  <c r="AC443" i="1"/>
  <c r="AD444" i="1"/>
  <c r="AG444" i="1"/>
  <c r="AC444" i="1"/>
  <c r="AF444" i="1"/>
  <c r="M446" i="1"/>
  <c r="R446" i="1" s="1"/>
  <c r="AE451" i="1"/>
  <c r="AD451" i="1"/>
  <c r="AG451" i="1"/>
  <c r="AC451" i="1"/>
  <c r="AD452" i="1"/>
  <c r="AG452" i="1"/>
  <c r="AC452" i="1"/>
  <c r="AF452" i="1"/>
  <c r="M454" i="1"/>
  <c r="R454" i="1" s="1"/>
  <c r="AE459" i="1"/>
  <c r="AD459" i="1"/>
  <c r="AG459" i="1"/>
  <c r="AC459" i="1"/>
  <c r="AD460" i="1"/>
  <c r="AG460" i="1"/>
  <c r="AC460" i="1"/>
  <c r="AF460" i="1"/>
  <c r="M462" i="1"/>
  <c r="R462" i="1" s="1"/>
  <c r="AE467" i="1"/>
  <c r="AD467" i="1"/>
  <c r="AG467" i="1"/>
  <c r="AC467" i="1"/>
  <c r="AD468" i="1"/>
  <c r="AG468" i="1"/>
  <c r="AC468" i="1"/>
  <c r="AF468" i="1"/>
  <c r="M470" i="1"/>
  <c r="R470" i="1" s="1"/>
  <c r="AE475" i="1"/>
  <c r="AD475" i="1"/>
  <c r="AG475" i="1"/>
  <c r="AC475" i="1"/>
  <c r="AD476" i="1"/>
  <c r="AG476" i="1"/>
  <c r="AC476" i="1"/>
  <c r="AF476" i="1"/>
  <c r="M478" i="1"/>
  <c r="R478" i="1" s="1"/>
  <c r="AE483" i="1"/>
  <c r="AD483" i="1"/>
  <c r="AG483" i="1"/>
  <c r="AC483" i="1"/>
  <c r="AD484" i="1"/>
  <c r="AG484" i="1"/>
  <c r="AC484" i="1"/>
  <c r="AF484" i="1"/>
  <c r="M486" i="1"/>
  <c r="R486" i="1" s="1"/>
  <c r="AE491" i="1"/>
  <c r="AD491" i="1"/>
  <c r="AG491" i="1"/>
  <c r="AC491" i="1"/>
  <c r="AD492" i="1"/>
  <c r="AG492" i="1"/>
  <c r="AC492" i="1"/>
  <c r="AF492" i="1"/>
  <c r="M494" i="1"/>
  <c r="R494" i="1" s="1"/>
  <c r="AE499" i="1"/>
  <c r="AD499" i="1"/>
  <c r="AG499" i="1"/>
  <c r="AC499" i="1"/>
  <c r="AD500" i="1"/>
  <c r="AG500" i="1"/>
  <c r="AC500" i="1"/>
  <c r="AF500" i="1"/>
  <c r="M502" i="1"/>
  <c r="R502" i="1" s="1"/>
  <c r="AE507" i="1"/>
  <c r="AD507" i="1"/>
  <c r="AG507" i="1"/>
  <c r="AC507" i="1"/>
  <c r="AD508" i="1"/>
  <c r="AG508" i="1"/>
  <c r="AC508" i="1"/>
  <c r="AF508" i="1"/>
  <c r="M510" i="1"/>
  <c r="R510" i="1" s="1"/>
  <c r="AE515" i="1"/>
  <c r="AD515" i="1"/>
  <c r="AG515" i="1"/>
  <c r="AC515" i="1"/>
  <c r="AD516" i="1"/>
  <c r="AG516" i="1"/>
  <c r="AC516" i="1"/>
  <c r="AF516" i="1"/>
  <c r="M518" i="1"/>
  <c r="R518" i="1" s="1"/>
  <c r="AE523" i="1"/>
  <c r="AD523" i="1"/>
  <c r="AG523" i="1"/>
  <c r="AC523" i="1"/>
  <c r="AD524" i="1"/>
  <c r="AG524" i="1"/>
  <c r="AC524" i="1"/>
  <c r="AF524" i="1"/>
  <c r="M526" i="1"/>
  <c r="R526" i="1" s="1"/>
  <c r="AD531" i="1"/>
  <c r="AF531" i="1"/>
  <c r="AE531" i="1"/>
  <c r="AC531" i="1"/>
  <c r="AF533" i="1"/>
  <c r="AE533" i="1"/>
  <c r="AD533" i="1"/>
  <c r="AC533" i="1"/>
  <c r="AF539" i="1"/>
  <c r="AG544" i="1"/>
  <c r="AC544" i="1"/>
  <c r="AE544" i="1"/>
  <c r="AD544" i="1"/>
  <c r="AF544" i="1"/>
  <c r="AG547" i="1"/>
  <c r="AD559" i="1"/>
  <c r="AG559" i="1"/>
  <c r="AF559" i="1"/>
  <c r="AE559" i="1"/>
  <c r="M562" i="1"/>
  <c r="R562" i="1" s="1"/>
  <c r="AD567" i="1"/>
  <c r="AE567" i="1"/>
  <c r="AC567" i="1"/>
  <c r="AG567" i="1"/>
  <c r="AG568" i="1"/>
  <c r="AC568" i="1"/>
  <c r="AF568" i="1"/>
  <c r="AE568" i="1"/>
  <c r="AE569" i="1"/>
  <c r="AE570" i="1"/>
  <c r="AF570" i="1"/>
  <c r="AD570" i="1"/>
  <c r="AC570" i="1"/>
  <c r="AD574" i="1"/>
  <c r="AF574" i="1"/>
  <c r="AF578" i="1"/>
  <c r="AG580" i="1"/>
  <c r="AC580" i="1"/>
  <c r="AD580" i="1"/>
  <c r="AF580" i="1"/>
  <c r="AD585" i="1"/>
  <c r="AG586" i="1"/>
  <c r="Y589" i="1"/>
  <c r="M589" i="1"/>
  <c r="R589" i="1" s="1"/>
  <c r="AD595" i="1"/>
  <c r="AF595" i="1"/>
  <c r="AE595" i="1"/>
  <c r="AC595" i="1"/>
  <c r="AF597" i="1"/>
  <c r="AE597" i="1"/>
  <c r="AD597" i="1"/>
  <c r="AC597" i="1"/>
  <c r="AF603" i="1"/>
  <c r="AG608" i="1"/>
  <c r="AC608" i="1"/>
  <c r="AE608" i="1"/>
  <c r="AD608" i="1"/>
  <c r="AF608" i="1"/>
  <c r="AG611" i="1"/>
  <c r="AD623" i="1"/>
  <c r="AG623" i="1"/>
  <c r="AF623" i="1"/>
  <c r="AE623" i="1"/>
  <c r="M626" i="1"/>
  <c r="R626" i="1" s="1"/>
  <c r="AD631" i="1"/>
  <c r="AE631" i="1"/>
  <c r="AC631" i="1"/>
  <c r="AG631" i="1"/>
  <c r="AG632" i="1"/>
  <c r="AC632" i="1"/>
  <c r="AF632" i="1"/>
  <c r="AE632" i="1"/>
  <c r="AE633" i="1"/>
  <c r="AE634" i="1"/>
  <c r="AF634" i="1"/>
  <c r="AD634" i="1"/>
  <c r="AC634" i="1"/>
  <c r="AD638" i="1"/>
  <c r="AF638" i="1"/>
  <c r="AF642" i="1"/>
  <c r="AG644" i="1"/>
  <c r="AC644" i="1"/>
  <c r="AD644" i="1"/>
  <c r="AF644" i="1"/>
  <c r="AD657" i="1"/>
  <c r="AG657" i="1"/>
  <c r="AC657" i="1"/>
  <c r="AF657" i="1"/>
  <c r="AE657" i="1"/>
  <c r="AE664" i="1"/>
  <c r="AD664" i="1"/>
  <c r="AG664" i="1"/>
  <c r="AC664" i="1"/>
  <c r="AF664" i="1"/>
  <c r="AE677" i="1"/>
  <c r="AD678" i="1"/>
  <c r="AD689" i="1"/>
  <c r="AG689" i="1"/>
  <c r="AC689" i="1"/>
  <c r="AF689" i="1"/>
  <c r="AE689" i="1"/>
  <c r="AE696" i="1"/>
  <c r="AD696" i="1"/>
  <c r="AG696" i="1"/>
  <c r="AC696" i="1"/>
  <c r="AF696" i="1"/>
  <c r="AE709" i="1"/>
  <c r="AD710" i="1"/>
  <c r="AD721" i="1"/>
  <c r="AG721" i="1"/>
  <c r="AC721" i="1"/>
  <c r="AF721" i="1"/>
  <c r="AE721" i="1"/>
  <c r="AE728" i="1"/>
  <c r="AD728" i="1"/>
  <c r="AG728" i="1"/>
  <c r="AC728" i="1"/>
  <c r="AF728" i="1"/>
  <c r="AE741" i="1"/>
  <c r="AD753" i="1"/>
  <c r="AG753" i="1"/>
  <c r="AC753" i="1"/>
  <c r="AF753" i="1"/>
  <c r="AE753" i="1"/>
  <c r="AE760" i="1"/>
  <c r="AD760" i="1"/>
  <c r="AG760" i="1"/>
  <c r="AC760" i="1"/>
  <c r="AF760" i="1"/>
  <c r="AE773" i="1"/>
  <c r="AD774" i="1"/>
  <c r="AD785" i="1"/>
  <c r="AG785" i="1"/>
  <c r="AC785" i="1"/>
  <c r="AF785" i="1"/>
  <c r="AE785" i="1"/>
  <c r="AE792" i="1"/>
  <c r="AD792" i="1"/>
  <c r="AG792" i="1"/>
  <c r="AC792" i="1"/>
  <c r="AF792" i="1"/>
  <c r="AE821" i="1"/>
  <c r="AD822" i="1"/>
  <c r="AD833" i="1"/>
  <c r="AG833" i="1"/>
  <c r="AC833" i="1"/>
  <c r="AF833" i="1"/>
  <c r="AE833" i="1"/>
  <c r="AE840" i="1"/>
  <c r="AD840" i="1"/>
  <c r="AG840" i="1"/>
  <c r="AC840" i="1"/>
  <c r="AF840" i="1"/>
  <c r="AE848" i="1"/>
  <c r="AD848" i="1"/>
  <c r="AG848" i="1"/>
  <c r="AC848" i="1"/>
  <c r="AF848" i="1"/>
  <c r="AE869" i="1"/>
  <c r="AD870" i="1"/>
  <c r="AD873" i="1"/>
  <c r="AG873" i="1"/>
  <c r="AC873" i="1"/>
  <c r="AF873" i="1"/>
  <c r="AE873" i="1"/>
  <c r="AE885" i="1"/>
  <c r="AD886" i="1"/>
  <c r="AD897" i="1"/>
  <c r="AG897" i="1"/>
  <c r="AC897" i="1"/>
  <c r="AF897" i="1"/>
  <c r="AE897" i="1"/>
  <c r="AE904" i="1"/>
  <c r="AD904" i="1"/>
  <c r="AG904" i="1"/>
  <c r="AC904" i="1"/>
  <c r="AF904" i="1"/>
  <c r="AE925" i="1"/>
  <c r="AD929" i="1"/>
  <c r="AG929" i="1"/>
  <c r="AC929" i="1"/>
  <c r="AF929" i="1"/>
  <c r="AE929" i="1"/>
  <c r="AE936" i="1"/>
  <c r="AD936" i="1"/>
  <c r="AG936" i="1"/>
  <c r="AC936" i="1"/>
  <c r="AF936" i="1"/>
  <c r="AE949" i="1"/>
  <c r="AD950" i="1"/>
  <c r="AD961" i="1"/>
  <c r="AG961" i="1"/>
  <c r="AC961" i="1"/>
  <c r="AF961" i="1"/>
  <c r="AE961" i="1"/>
  <c r="AE968" i="1"/>
  <c r="AD968" i="1"/>
  <c r="AG968" i="1"/>
  <c r="AC968" i="1"/>
  <c r="AF968" i="1"/>
  <c r="AE981" i="1"/>
  <c r="AD982" i="1"/>
  <c r="AD993" i="1"/>
  <c r="AG993" i="1"/>
  <c r="AC993" i="1"/>
  <c r="AF993" i="1"/>
  <c r="AE993" i="1"/>
  <c r="AE1000" i="1"/>
  <c r="AD1000" i="1"/>
  <c r="AG1000" i="1"/>
  <c r="AC1000" i="1"/>
  <c r="AF1000" i="1"/>
  <c r="AE1013" i="1"/>
  <c r="AD1014" i="1"/>
  <c r="AD1025" i="1"/>
  <c r="AG1025" i="1"/>
  <c r="AC1025" i="1"/>
  <c r="AF1025" i="1"/>
  <c r="AE1025" i="1"/>
  <c r="AE1032" i="1"/>
  <c r="AD1032" i="1"/>
  <c r="AG1032" i="1"/>
  <c r="AC1032" i="1"/>
  <c r="AF1032" i="1"/>
  <c r="AE1053" i="1"/>
  <c r="AD1054" i="1"/>
  <c r="AD1057" i="1"/>
  <c r="AG1057" i="1"/>
  <c r="AC1057" i="1"/>
  <c r="AF1057" i="1"/>
  <c r="AE1057" i="1"/>
  <c r="AE1064" i="1"/>
  <c r="AD1064" i="1"/>
  <c r="AG1064" i="1"/>
  <c r="AC1064" i="1"/>
  <c r="AF1064" i="1"/>
  <c r="AF27" i="1"/>
  <c r="AF51" i="1"/>
  <c r="AF55" i="1"/>
  <c r="AF59" i="1"/>
  <c r="AF67" i="1"/>
  <c r="AF71" i="1"/>
  <c r="AF83" i="1"/>
  <c r="AF91" i="1"/>
  <c r="AF95" i="1"/>
  <c r="AF135" i="1"/>
  <c r="AF139" i="1"/>
  <c r="AF143" i="1"/>
  <c r="AF155" i="1"/>
  <c r="AF175" i="1"/>
  <c r="AF199" i="1"/>
  <c r="AF204" i="1"/>
  <c r="AG204" i="1"/>
  <c r="AE209" i="1"/>
  <c r="AD11" i="1"/>
  <c r="AF13" i="1"/>
  <c r="AD23" i="1"/>
  <c r="AD27" i="1"/>
  <c r="AD31" i="1"/>
  <c r="AD39" i="1"/>
  <c r="AD47" i="1"/>
  <c r="AD59" i="1"/>
  <c r="AF65" i="1"/>
  <c r="AD71" i="1"/>
  <c r="AD75" i="1"/>
  <c r="AF85" i="1"/>
  <c r="AD87" i="1"/>
  <c r="AD91" i="1"/>
  <c r="AD103" i="1"/>
  <c r="AD107" i="1"/>
  <c r="AF113" i="1"/>
  <c r="AD115" i="1"/>
  <c r="AD119" i="1"/>
  <c r="AD123" i="1"/>
  <c r="AD127" i="1"/>
  <c r="AF129" i="1"/>
  <c r="AD131" i="1"/>
  <c r="AD135" i="1"/>
  <c r="AF137" i="1"/>
  <c r="AD139" i="1"/>
  <c r="AF145" i="1"/>
  <c r="AD159" i="1"/>
  <c r="AD163" i="1"/>
  <c r="AD171" i="1"/>
  <c r="AF181" i="1"/>
  <c r="AD187" i="1"/>
  <c r="AD199" i="1"/>
  <c r="AF201" i="1"/>
  <c r="AE216" i="1"/>
  <c r="AD220" i="1"/>
  <c r="AD226" i="1"/>
  <c r="AE233" i="1"/>
  <c r="AG233" i="1"/>
  <c r="AE234" i="1"/>
  <c r="AD241" i="1"/>
  <c r="AD242" i="1"/>
  <c r="AF244" i="1"/>
  <c r="AE249" i="1"/>
  <c r="AG249" i="1"/>
  <c r="AE250" i="1"/>
  <c r="AD252" i="1"/>
  <c r="AF253" i="1"/>
  <c r="AD257" i="1"/>
  <c r="AD258" i="1"/>
  <c r="AE265" i="1"/>
  <c r="AG265" i="1"/>
  <c r="AE266" i="1"/>
  <c r="AF269" i="1"/>
  <c r="AE281" i="1"/>
  <c r="AG281" i="1"/>
  <c r="AE282" i="1"/>
  <c r="AD284" i="1"/>
  <c r="AF292" i="1"/>
  <c r="AF322" i="1"/>
  <c r="AG330" i="1"/>
  <c r="AE331" i="1"/>
  <c r="AD331" i="1"/>
  <c r="AG331" i="1"/>
  <c r="AC331" i="1"/>
  <c r="AD336" i="1"/>
  <c r="AG336" i="1"/>
  <c r="AC336" i="1"/>
  <c r="AF336" i="1"/>
  <c r="AF338" i="1"/>
  <c r="AF354" i="1"/>
  <c r="AD368" i="1"/>
  <c r="AG368" i="1"/>
  <c r="AC368" i="1"/>
  <c r="AF368" i="1"/>
  <c r="AE368" i="1"/>
  <c r="AF370" i="1"/>
  <c r="AG378" i="1"/>
  <c r="AE379" i="1"/>
  <c r="AD379" i="1"/>
  <c r="AG379" i="1"/>
  <c r="AC379" i="1"/>
  <c r="AF386" i="1"/>
  <c r="AG394" i="1"/>
  <c r="AE395" i="1"/>
  <c r="AD395" i="1"/>
  <c r="AG395" i="1"/>
  <c r="AC395" i="1"/>
  <c r="AF410" i="1"/>
  <c r="AE410" i="1"/>
  <c r="AD410" i="1"/>
  <c r="AF418" i="1"/>
  <c r="AE418" i="1"/>
  <c r="AD418" i="1"/>
  <c r="AC422" i="1"/>
  <c r="AF426" i="1"/>
  <c r="AE426" i="1"/>
  <c r="AD426" i="1"/>
  <c r="AC438" i="1"/>
  <c r="AF442" i="1"/>
  <c r="AE442" i="1"/>
  <c r="AD442" i="1"/>
  <c r="AC446" i="1"/>
  <c r="AF450" i="1"/>
  <c r="AE450" i="1"/>
  <c r="AD450" i="1"/>
  <c r="AF458" i="1"/>
  <c r="AE458" i="1"/>
  <c r="AD458" i="1"/>
  <c r="AF474" i="1"/>
  <c r="AE474" i="1"/>
  <c r="AD474" i="1"/>
  <c r="AC478" i="1"/>
  <c r="AF482" i="1"/>
  <c r="AE482" i="1"/>
  <c r="AD482" i="1"/>
  <c r="AC486" i="1"/>
  <c r="AF490" i="1"/>
  <c r="AE490" i="1"/>
  <c r="AD490" i="1"/>
  <c r="AF506" i="1"/>
  <c r="AE506" i="1"/>
  <c r="AD506" i="1"/>
  <c r="AF522" i="1"/>
  <c r="AE522" i="1"/>
  <c r="AD522" i="1"/>
  <c r="AF530" i="1"/>
  <c r="AE530" i="1"/>
  <c r="AD530" i="1"/>
  <c r="AD543" i="1"/>
  <c r="AG543" i="1"/>
  <c r="AF543" i="1"/>
  <c r="AE543" i="1"/>
  <c r="AD551" i="1"/>
  <c r="AE551" i="1"/>
  <c r="AC551" i="1"/>
  <c r="AG551" i="1"/>
  <c r="AG556" i="1"/>
  <c r="AC556" i="1"/>
  <c r="AF556" i="1"/>
  <c r="AE556" i="1"/>
  <c r="AD556" i="1"/>
  <c r="AF562" i="1"/>
  <c r="AG570" i="1"/>
  <c r="Y573" i="1"/>
  <c r="M573" i="1"/>
  <c r="R573" i="1" s="1"/>
  <c r="AD579" i="1"/>
  <c r="AF579" i="1"/>
  <c r="AE579" i="1"/>
  <c r="AC579" i="1"/>
  <c r="AG592" i="1"/>
  <c r="AC592" i="1"/>
  <c r="AE592" i="1"/>
  <c r="AD592" i="1"/>
  <c r="AF592" i="1"/>
  <c r="AE605" i="1"/>
  <c r="AD607" i="1"/>
  <c r="AG607" i="1"/>
  <c r="AF607" i="1"/>
  <c r="AE607" i="1"/>
  <c r="AD615" i="1"/>
  <c r="AE615" i="1"/>
  <c r="AC615" i="1"/>
  <c r="AG615" i="1"/>
  <c r="AC616" i="1"/>
  <c r="AE618" i="1"/>
  <c r="AF618" i="1"/>
  <c r="AD618" i="1"/>
  <c r="AC618" i="1"/>
  <c r="AG620" i="1"/>
  <c r="AC620" i="1"/>
  <c r="AF620" i="1"/>
  <c r="AE620" i="1"/>
  <c r="AD620" i="1"/>
  <c r="AF626" i="1"/>
  <c r="AG628" i="1"/>
  <c r="AC628" i="1"/>
  <c r="AD628" i="1"/>
  <c r="AG634" i="1"/>
  <c r="Y637" i="1"/>
  <c r="AF637" i="1" s="1"/>
  <c r="M637" i="1"/>
  <c r="R637" i="1" s="1"/>
  <c r="AD643" i="1"/>
  <c r="AF643" i="1"/>
  <c r="AE643" i="1"/>
  <c r="AC643" i="1"/>
  <c r="AF645" i="1"/>
  <c r="AE645" i="1"/>
  <c r="AD645" i="1"/>
  <c r="AC645" i="1"/>
  <c r="AE656" i="1"/>
  <c r="AD656" i="1"/>
  <c r="AG656" i="1"/>
  <c r="AC656" i="1"/>
  <c r="AF656" i="1"/>
  <c r="AD670" i="1"/>
  <c r="AD681" i="1"/>
  <c r="AG681" i="1"/>
  <c r="AC681" i="1"/>
  <c r="AF681" i="1"/>
  <c r="AE681" i="1"/>
  <c r="AE688" i="1"/>
  <c r="AD688" i="1"/>
  <c r="AG688" i="1"/>
  <c r="AC688" i="1"/>
  <c r="AF688" i="1"/>
  <c r="AD702" i="1"/>
  <c r="AD713" i="1"/>
  <c r="AG713" i="1"/>
  <c r="AC713" i="1"/>
  <c r="AF713" i="1"/>
  <c r="AE713" i="1"/>
  <c r="AE720" i="1"/>
  <c r="AD720" i="1"/>
  <c r="AG720" i="1"/>
  <c r="AC720" i="1"/>
  <c r="AF720" i="1"/>
  <c r="AD734" i="1"/>
  <c r="AD745" i="1"/>
  <c r="AG745" i="1"/>
  <c r="AC745" i="1"/>
  <c r="AF745" i="1"/>
  <c r="AE745" i="1"/>
  <c r="AE752" i="1"/>
  <c r="AD752" i="1"/>
  <c r="AG752" i="1"/>
  <c r="AC752" i="1"/>
  <c r="AF752" i="1"/>
  <c r="AD766" i="1"/>
  <c r="AD777" i="1"/>
  <c r="AG777" i="1"/>
  <c r="AC777" i="1"/>
  <c r="AF777" i="1"/>
  <c r="AE777" i="1"/>
  <c r="AE784" i="1"/>
  <c r="AD784" i="1"/>
  <c r="AG784" i="1"/>
  <c r="AC784" i="1"/>
  <c r="AF784" i="1"/>
  <c r="AD806" i="1"/>
  <c r="AD814" i="1"/>
  <c r="AD825" i="1"/>
  <c r="AG825" i="1"/>
  <c r="AC825" i="1"/>
  <c r="AF825" i="1"/>
  <c r="AE825" i="1"/>
  <c r="AE832" i="1"/>
  <c r="AD832" i="1"/>
  <c r="AG832" i="1"/>
  <c r="AC832" i="1"/>
  <c r="AF832" i="1"/>
  <c r="AD862" i="1"/>
  <c r="AD865" i="1"/>
  <c r="AG865" i="1"/>
  <c r="AC865" i="1"/>
  <c r="AF865" i="1"/>
  <c r="AE865" i="1"/>
  <c r="AE872" i="1"/>
  <c r="AD872" i="1"/>
  <c r="AG872" i="1"/>
  <c r="AC872" i="1"/>
  <c r="AF872" i="1"/>
  <c r="AD889" i="1"/>
  <c r="AG889" i="1"/>
  <c r="AC889" i="1"/>
  <c r="AF889" i="1"/>
  <c r="AE889" i="1"/>
  <c r="AE896" i="1"/>
  <c r="AD896" i="1"/>
  <c r="AG896" i="1"/>
  <c r="AC896" i="1"/>
  <c r="AF896" i="1"/>
  <c r="AD918" i="1"/>
  <c r="AD921" i="1"/>
  <c r="AC921" i="1"/>
  <c r="AE921" i="1"/>
  <c r="AE928" i="1"/>
  <c r="AD928" i="1"/>
  <c r="AG928" i="1"/>
  <c r="AC928" i="1"/>
  <c r="AF928" i="1"/>
  <c r="AD942" i="1"/>
  <c r="AD953" i="1"/>
  <c r="AG953" i="1"/>
  <c r="AC953" i="1"/>
  <c r="AF953" i="1"/>
  <c r="AE953" i="1"/>
  <c r="AE960" i="1"/>
  <c r="AD960" i="1"/>
  <c r="AG960" i="1"/>
  <c r="AC960" i="1"/>
  <c r="AF960" i="1"/>
  <c r="AD974" i="1"/>
  <c r="AD985" i="1"/>
  <c r="AC985" i="1"/>
  <c r="AE985" i="1"/>
  <c r="AE992" i="1"/>
  <c r="AD992" i="1"/>
  <c r="AG992" i="1"/>
  <c r="AC992" i="1"/>
  <c r="AF992" i="1"/>
  <c r="AD1006" i="1"/>
  <c r="AD1017" i="1"/>
  <c r="AG1017" i="1"/>
  <c r="AC1017" i="1"/>
  <c r="AF1017" i="1"/>
  <c r="AE1017" i="1"/>
  <c r="AC1024" i="1"/>
  <c r="AD1046" i="1"/>
  <c r="AD1049" i="1"/>
  <c r="AG1049" i="1"/>
  <c r="AC1049" i="1"/>
  <c r="AF1049" i="1"/>
  <c r="AE1049" i="1"/>
  <c r="AE1056" i="1"/>
  <c r="AD1056" i="1"/>
  <c r="AG1056" i="1"/>
  <c r="AC1056" i="1"/>
  <c r="AF1056" i="1"/>
  <c r="AF19" i="1"/>
  <c r="AF23" i="1"/>
  <c r="AF31" i="1"/>
  <c r="AF35" i="1"/>
  <c r="AF39" i="1"/>
  <c r="AF43" i="1"/>
  <c r="AF75" i="1"/>
  <c r="AF79" i="1"/>
  <c r="AF99" i="1"/>
  <c r="AF103" i="1"/>
  <c r="AF107" i="1"/>
  <c r="AF111" i="1"/>
  <c r="AF115" i="1"/>
  <c r="AF119" i="1"/>
  <c r="AF123" i="1"/>
  <c r="AF127" i="1"/>
  <c r="AF131" i="1"/>
  <c r="AF147" i="1"/>
  <c r="AF151" i="1"/>
  <c r="AF159" i="1"/>
  <c r="AF163" i="1"/>
  <c r="AF179" i="1"/>
  <c r="AF183" i="1"/>
  <c r="AF191" i="1"/>
  <c r="AG209" i="1"/>
  <c r="AD15" i="1"/>
  <c r="AF17" i="1"/>
  <c r="AD19" i="1"/>
  <c r="AF21" i="1"/>
  <c r="AF25" i="1"/>
  <c r="AF29" i="1"/>
  <c r="AF33" i="1"/>
  <c r="AD35" i="1"/>
  <c r="AF37" i="1"/>
  <c r="AF41" i="1"/>
  <c r="AD43" i="1"/>
  <c r="AF45" i="1"/>
  <c r="AF49" i="1"/>
  <c r="AD51" i="1"/>
  <c r="AF53" i="1"/>
  <c r="AD55" i="1"/>
  <c r="AF57" i="1"/>
  <c r="AF61" i="1"/>
  <c r="AD63" i="1"/>
  <c r="AD67" i="1"/>
  <c r="AF69" i="1"/>
  <c r="AF73" i="1"/>
  <c r="AF77" i="1"/>
  <c r="AD79" i="1"/>
  <c r="AF81" i="1"/>
  <c r="AD83" i="1"/>
  <c r="AF89" i="1"/>
  <c r="AF93" i="1"/>
  <c r="AD95" i="1"/>
  <c r="AF97" i="1"/>
  <c r="AD99" i="1"/>
  <c r="AF101" i="1"/>
  <c r="AF105" i="1"/>
  <c r="AD111" i="1"/>
  <c r="AF117" i="1"/>
  <c r="AF121" i="1"/>
  <c r="AF125" i="1"/>
  <c r="AF133" i="1"/>
  <c r="AF141" i="1"/>
  <c r="AD143" i="1"/>
  <c r="AD147" i="1"/>
  <c r="AF149" i="1"/>
  <c r="AD151" i="1"/>
  <c r="AF153" i="1"/>
  <c r="AD155" i="1"/>
  <c r="AF157" i="1"/>
  <c r="AF161" i="1"/>
  <c r="AF165" i="1"/>
  <c r="AD167" i="1"/>
  <c r="AF169" i="1"/>
  <c r="AF173" i="1"/>
  <c r="AD175" i="1"/>
  <c r="AF177" i="1"/>
  <c r="AD179" i="1"/>
  <c r="AD183" i="1"/>
  <c r="AF185" i="1"/>
  <c r="AF189" i="1"/>
  <c r="AD191" i="1"/>
  <c r="AF193" i="1"/>
  <c r="AD195" i="1"/>
  <c r="AF197" i="1"/>
  <c r="AD203" i="1"/>
  <c r="AD204" i="1"/>
  <c r="AF205" i="1"/>
  <c r="AD209" i="1"/>
  <c r="AD210" i="1"/>
  <c r="AF212" i="1"/>
  <c r="AG212" i="1"/>
  <c r="AE217" i="1"/>
  <c r="AG217" i="1"/>
  <c r="AE218" i="1"/>
  <c r="AD225" i="1"/>
  <c r="AG226" i="1"/>
  <c r="AF228" i="1"/>
  <c r="AG228" i="1"/>
  <c r="AE232" i="1"/>
  <c r="AD236" i="1"/>
  <c r="AG242" i="1"/>
  <c r="AG244" i="1"/>
  <c r="AE248" i="1"/>
  <c r="AG258" i="1"/>
  <c r="AF260" i="1"/>
  <c r="AE264" i="1"/>
  <c r="AD268" i="1"/>
  <c r="AD273" i="1"/>
  <c r="AD274" i="1"/>
  <c r="AG274" i="1"/>
  <c r="AF276" i="1"/>
  <c r="AE280" i="1"/>
  <c r="AF285" i="1"/>
  <c r="AD289" i="1"/>
  <c r="AD290" i="1"/>
  <c r="AG290" i="1"/>
  <c r="AG292" i="1"/>
  <c r="AD304" i="1"/>
  <c r="AG304" i="1"/>
  <c r="AC304" i="1"/>
  <c r="AF304" i="1"/>
  <c r="AF306" i="1"/>
  <c r="AG314" i="1"/>
  <c r="AE315" i="1"/>
  <c r="AD315" i="1"/>
  <c r="AG315" i="1"/>
  <c r="AC315" i="1"/>
  <c r="AD320" i="1"/>
  <c r="AG320" i="1"/>
  <c r="AC320" i="1"/>
  <c r="AF320" i="1"/>
  <c r="AE320" i="1"/>
  <c r="AE336" i="1"/>
  <c r="AG346" i="1"/>
  <c r="AE347" i="1"/>
  <c r="AD347" i="1"/>
  <c r="AG347" i="1"/>
  <c r="AC347" i="1"/>
  <c r="AD352" i="1"/>
  <c r="AG352" i="1"/>
  <c r="AC352" i="1"/>
  <c r="AF352" i="1"/>
  <c r="AE352" i="1"/>
  <c r="AG362" i="1"/>
  <c r="AE363" i="1"/>
  <c r="AD363" i="1"/>
  <c r="AG363" i="1"/>
  <c r="AC363" i="1"/>
  <c r="AD384" i="1"/>
  <c r="AG384" i="1"/>
  <c r="AC384" i="1"/>
  <c r="AF384" i="1"/>
  <c r="AE384" i="1"/>
  <c r="AD400" i="1"/>
  <c r="AG400" i="1"/>
  <c r="AC400" i="1"/>
  <c r="AF400" i="1"/>
  <c r="AF402" i="1"/>
  <c r="AC406" i="1"/>
  <c r="AC414" i="1"/>
  <c r="AC430" i="1"/>
  <c r="AF434" i="1"/>
  <c r="AE434" i="1"/>
  <c r="AD434" i="1"/>
  <c r="AC454" i="1"/>
  <c r="AC462" i="1"/>
  <c r="AF466" i="1"/>
  <c r="AE466" i="1"/>
  <c r="AD466" i="1"/>
  <c r="AC470" i="1"/>
  <c r="AF498" i="1"/>
  <c r="AE498" i="1"/>
  <c r="AD498" i="1"/>
  <c r="AF514" i="1"/>
  <c r="AE514" i="1"/>
  <c r="AD514" i="1"/>
  <c r="AG552" i="1"/>
  <c r="AC552" i="1"/>
  <c r="AF552" i="1"/>
  <c r="AE552" i="1"/>
  <c r="AE554" i="1"/>
  <c r="AF554" i="1"/>
  <c r="AD554" i="1"/>
  <c r="AC554" i="1"/>
  <c r="AG564" i="1"/>
  <c r="AC564" i="1"/>
  <c r="AD564" i="1"/>
  <c r="AF564" i="1"/>
  <c r="AF581" i="1"/>
  <c r="AE581" i="1"/>
  <c r="AD581" i="1"/>
  <c r="AC581" i="1"/>
  <c r="AC13" i="1"/>
  <c r="AC17" i="1"/>
  <c r="AC21" i="1"/>
  <c r="AC25" i="1"/>
  <c r="AC29" i="1"/>
  <c r="AC33" i="1"/>
  <c r="AC37" i="1"/>
  <c r="AC41" i="1"/>
  <c r="AC45" i="1"/>
  <c r="AC49" i="1"/>
  <c r="AC53" i="1"/>
  <c r="AC57" i="1"/>
  <c r="AC61" i="1"/>
  <c r="AC65" i="1"/>
  <c r="AC69" i="1"/>
  <c r="AC73" i="1"/>
  <c r="AC77" i="1"/>
  <c r="AC81" i="1"/>
  <c r="AC85" i="1"/>
  <c r="AC89" i="1"/>
  <c r="AC93" i="1"/>
  <c r="AC97" i="1"/>
  <c r="AC101" i="1"/>
  <c r="AC105" i="1"/>
  <c r="AC109" i="1"/>
  <c r="AC113" i="1"/>
  <c r="AC117" i="1"/>
  <c r="AC121" i="1"/>
  <c r="AC125" i="1"/>
  <c r="AC129" i="1"/>
  <c r="AC133" i="1"/>
  <c r="AC137" i="1"/>
  <c r="AC141" i="1"/>
  <c r="AC145" i="1"/>
  <c r="AC149" i="1"/>
  <c r="AC153" i="1"/>
  <c r="AC157" i="1"/>
  <c r="AC161" i="1"/>
  <c r="AC165" i="1"/>
  <c r="AC169" i="1"/>
  <c r="AC173" i="1"/>
  <c r="AC177" i="1"/>
  <c r="AC181" i="1"/>
  <c r="AC185" i="1"/>
  <c r="AC189" i="1"/>
  <c r="AC193" i="1"/>
  <c r="AC197" i="1"/>
  <c r="AC201" i="1"/>
  <c r="AE204" i="1"/>
  <c r="AE205" i="1"/>
  <c r="AG205" i="1"/>
  <c r="M206" i="1"/>
  <c r="R206" i="1" s="1"/>
  <c r="AD208" i="1"/>
  <c r="AF209" i="1"/>
  <c r="AC210" i="1"/>
  <c r="AC212" i="1"/>
  <c r="AD213" i="1"/>
  <c r="AF216" i="1"/>
  <c r="AG216" i="1"/>
  <c r="AC217" i="1"/>
  <c r="AF218" i="1"/>
  <c r="M220" i="1"/>
  <c r="R220" i="1" s="1"/>
  <c r="AE220" i="1"/>
  <c r="AE221" i="1"/>
  <c r="AG221" i="1"/>
  <c r="M222" i="1"/>
  <c r="R222" i="1" s="1"/>
  <c r="AD224" i="1"/>
  <c r="AF225" i="1"/>
  <c r="AC226" i="1"/>
  <c r="AC228" i="1"/>
  <c r="AD229" i="1"/>
  <c r="AF232" i="1"/>
  <c r="AG232" i="1"/>
  <c r="AC233" i="1"/>
  <c r="AF234" i="1"/>
  <c r="M236" i="1"/>
  <c r="R236" i="1" s="1"/>
  <c r="AE236" i="1"/>
  <c r="AE237" i="1"/>
  <c r="AG237" i="1"/>
  <c r="M238" i="1"/>
  <c r="R238" i="1" s="1"/>
  <c r="AD240" i="1"/>
  <c r="AF241" i="1"/>
  <c r="AC242" i="1"/>
  <c r="AC244" i="1"/>
  <c r="AD245" i="1"/>
  <c r="AF248" i="1"/>
  <c r="AG248" i="1"/>
  <c r="AC249" i="1"/>
  <c r="AF250" i="1"/>
  <c r="M252" i="1"/>
  <c r="R252" i="1" s="1"/>
  <c r="AE252" i="1"/>
  <c r="AE253" i="1"/>
  <c r="AG253" i="1"/>
  <c r="M254" i="1"/>
  <c r="R254" i="1" s="1"/>
  <c r="AD256" i="1"/>
  <c r="AF257" i="1"/>
  <c r="AC258" i="1"/>
  <c r="AC260" i="1"/>
  <c r="AD261" i="1"/>
  <c r="AF264" i="1"/>
  <c r="AG264" i="1"/>
  <c r="AC265" i="1"/>
  <c r="AF266" i="1"/>
  <c r="M268" i="1"/>
  <c r="R268" i="1" s="1"/>
  <c r="AE268" i="1"/>
  <c r="AE269" i="1"/>
  <c r="AG269" i="1"/>
  <c r="M270" i="1"/>
  <c r="R270" i="1" s="1"/>
  <c r="AD272" i="1"/>
  <c r="AF273" i="1"/>
  <c r="AC274" i="1"/>
  <c r="AC276" i="1"/>
  <c r="AD277" i="1"/>
  <c r="AF280" i="1"/>
  <c r="AG280" i="1"/>
  <c r="AC281" i="1"/>
  <c r="AF282" i="1"/>
  <c r="M284" i="1"/>
  <c r="R284" i="1" s="1"/>
  <c r="AE284" i="1"/>
  <c r="AE285" i="1"/>
  <c r="AG285" i="1"/>
  <c r="M286" i="1"/>
  <c r="R286" i="1" s="1"/>
  <c r="AD288" i="1"/>
  <c r="AF289" i="1"/>
  <c r="AC290" i="1"/>
  <c r="AC292" i="1"/>
  <c r="AD293" i="1"/>
  <c r="AF294" i="1"/>
  <c r="AF298" i="1"/>
  <c r="AE303" i="1"/>
  <c r="AD303" i="1"/>
  <c r="AG303" i="1"/>
  <c r="AC303" i="1"/>
  <c r="AF305" i="1"/>
  <c r="AD308" i="1"/>
  <c r="AG308" i="1"/>
  <c r="AC308" i="1"/>
  <c r="AF308" i="1"/>
  <c r="AE308" i="1"/>
  <c r="AF310" i="1"/>
  <c r="AG313" i="1"/>
  <c r="AD313" i="1"/>
  <c r="M314" i="1"/>
  <c r="R314" i="1" s="1"/>
  <c r="AF315" i="1"/>
  <c r="AE319" i="1"/>
  <c r="AD319" i="1"/>
  <c r="AG319" i="1"/>
  <c r="AC319" i="1"/>
  <c r="AF321" i="1"/>
  <c r="AD324" i="1"/>
  <c r="AG324" i="1"/>
  <c r="AC324" i="1"/>
  <c r="AF324" i="1"/>
  <c r="AE324" i="1"/>
  <c r="AF326" i="1"/>
  <c r="AG329" i="1"/>
  <c r="AD329" i="1"/>
  <c r="M330" i="1"/>
  <c r="R330" i="1" s="1"/>
  <c r="AF331" i="1"/>
  <c r="AE335" i="1"/>
  <c r="AD335" i="1"/>
  <c r="AG335" i="1"/>
  <c r="AC335" i="1"/>
  <c r="AF337" i="1"/>
  <c r="AD340" i="1"/>
  <c r="AG340" i="1"/>
  <c r="AC340" i="1"/>
  <c r="AF340" i="1"/>
  <c r="AE340" i="1"/>
  <c r="AF342" i="1"/>
  <c r="AG345" i="1"/>
  <c r="AD345" i="1"/>
  <c r="M346" i="1"/>
  <c r="R346" i="1" s="1"/>
  <c r="AF347" i="1"/>
  <c r="AE351" i="1"/>
  <c r="AD351" i="1"/>
  <c r="AG351" i="1"/>
  <c r="AC351" i="1"/>
  <c r="AF353" i="1"/>
  <c r="AD356" i="1"/>
  <c r="AG356" i="1"/>
  <c r="AC356" i="1"/>
  <c r="AF356" i="1"/>
  <c r="AE356" i="1"/>
  <c r="AF358" i="1"/>
  <c r="AG361" i="1"/>
  <c r="AD361" i="1"/>
  <c r="M362" i="1"/>
  <c r="R362" i="1" s="1"/>
  <c r="AF363" i="1"/>
  <c r="AE367" i="1"/>
  <c r="AD367" i="1"/>
  <c r="AG367" i="1"/>
  <c r="AC367" i="1"/>
  <c r="AF369" i="1"/>
  <c r="AD372" i="1"/>
  <c r="AG372" i="1"/>
  <c r="AC372" i="1"/>
  <c r="AF372" i="1"/>
  <c r="AE372" i="1"/>
  <c r="AF374" i="1"/>
  <c r="AG377" i="1"/>
  <c r="AD377" i="1"/>
  <c r="M378" i="1"/>
  <c r="R378" i="1" s="1"/>
  <c r="AF379" i="1"/>
  <c r="AE383" i="1"/>
  <c r="AD383" i="1"/>
  <c r="AG383" i="1"/>
  <c r="AC383" i="1"/>
  <c r="AF385" i="1"/>
  <c r="AD388" i="1"/>
  <c r="AG388" i="1"/>
  <c r="AC388" i="1"/>
  <c r="AF388" i="1"/>
  <c r="AE388" i="1"/>
  <c r="AF390" i="1"/>
  <c r="AG393" i="1"/>
  <c r="AD393" i="1"/>
  <c r="M394" i="1"/>
  <c r="R394" i="1" s="1"/>
  <c r="AF395" i="1"/>
  <c r="AE399" i="1"/>
  <c r="AD399" i="1"/>
  <c r="AG399" i="1"/>
  <c r="AC399" i="1"/>
  <c r="AF401" i="1"/>
  <c r="AD404" i="1"/>
  <c r="AG404" i="1"/>
  <c r="AC404" i="1"/>
  <c r="AF404" i="1"/>
  <c r="AE404" i="1"/>
  <c r="AG406" i="1"/>
  <c r="AE407" i="1"/>
  <c r="AD407" i="1"/>
  <c r="AG407" i="1"/>
  <c r="AC407" i="1"/>
  <c r="AD408" i="1"/>
  <c r="AG408" i="1"/>
  <c r="AC408" i="1"/>
  <c r="AF408" i="1"/>
  <c r="AD409" i="1"/>
  <c r="M410" i="1"/>
  <c r="R410" i="1" s="1"/>
  <c r="AE412" i="1"/>
  <c r="AG414" i="1"/>
  <c r="AE415" i="1"/>
  <c r="AD415" i="1"/>
  <c r="AG415" i="1"/>
  <c r="AC415" i="1"/>
  <c r="AD416" i="1"/>
  <c r="AG416" i="1"/>
  <c r="AC416" i="1"/>
  <c r="AF416" i="1"/>
  <c r="AD417" i="1"/>
  <c r="M418" i="1"/>
  <c r="R418" i="1" s="1"/>
  <c r="AE420" i="1"/>
  <c r="AG422" i="1"/>
  <c r="AE423" i="1"/>
  <c r="AD423" i="1"/>
  <c r="AG423" i="1"/>
  <c r="AC423" i="1"/>
  <c r="AD424" i="1"/>
  <c r="AG424" i="1"/>
  <c r="AC424" i="1"/>
  <c r="AF424" i="1"/>
  <c r="AD425" i="1"/>
  <c r="M426" i="1"/>
  <c r="R426" i="1" s="1"/>
  <c r="AE428" i="1"/>
  <c r="AG430" i="1"/>
  <c r="AE431" i="1"/>
  <c r="AD431" i="1"/>
  <c r="AG431" i="1"/>
  <c r="AC431" i="1"/>
  <c r="AD432" i="1"/>
  <c r="AG432" i="1"/>
  <c r="AC432" i="1"/>
  <c r="AF432" i="1"/>
  <c r="AD433" i="1"/>
  <c r="M434" i="1"/>
  <c r="R434" i="1" s="1"/>
  <c r="AE436" i="1"/>
  <c r="AG438" i="1"/>
  <c r="AE439" i="1"/>
  <c r="AD439" i="1"/>
  <c r="AG439" i="1"/>
  <c r="AC439" i="1"/>
  <c r="AD440" i="1"/>
  <c r="AG440" i="1"/>
  <c r="AC440" i="1"/>
  <c r="AF440" i="1"/>
  <c r="AD441" i="1"/>
  <c r="M442" i="1"/>
  <c r="R442" i="1" s="1"/>
  <c r="AE444" i="1"/>
  <c r="AG446" i="1"/>
  <c r="AE447" i="1"/>
  <c r="AD447" i="1"/>
  <c r="AG447" i="1"/>
  <c r="AC447" i="1"/>
  <c r="AD448" i="1"/>
  <c r="AG448" i="1"/>
  <c r="AC448" i="1"/>
  <c r="AF448" i="1"/>
  <c r="AD449" i="1"/>
  <c r="M450" i="1"/>
  <c r="R450" i="1" s="1"/>
  <c r="AE452" i="1"/>
  <c r="AG454" i="1"/>
  <c r="AE455" i="1"/>
  <c r="AD455" i="1"/>
  <c r="AG455" i="1"/>
  <c r="AC455" i="1"/>
  <c r="AD456" i="1"/>
  <c r="AG456" i="1"/>
  <c r="AC456" i="1"/>
  <c r="AF456" i="1"/>
  <c r="AD457" i="1"/>
  <c r="M458" i="1"/>
  <c r="R458" i="1" s="1"/>
  <c r="AE460" i="1"/>
  <c r="AG462" i="1"/>
  <c r="AE463" i="1"/>
  <c r="AD463" i="1"/>
  <c r="AG463" i="1"/>
  <c r="AC463" i="1"/>
  <c r="AD464" i="1"/>
  <c r="AG464" i="1"/>
  <c r="AC464" i="1"/>
  <c r="AF464" i="1"/>
  <c r="AD465" i="1"/>
  <c r="M466" i="1"/>
  <c r="R466" i="1" s="1"/>
  <c r="AE468" i="1"/>
  <c r="AG470" i="1"/>
  <c r="AE471" i="1"/>
  <c r="AD471" i="1"/>
  <c r="AG471" i="1"/>
  <c r="AC471" i="1"/>
  <c r="AD472" i="1"/>
  <c r="AG472" i="1"/>
  <c r="AC472" i="1"/>
  <c r="AF472" i="1"/>
  <c r="AD473" i="1"/>
  <c r="M474" i="1"/>
  <c r="R474" i="1" s="1"/>
  <c r="AE476" i="1"/>
  <c r="AG478" i="1"/>
  <c r="AE479" i="1"/>
  <c r="AD479" i="1"/>
  <c r="AG479" i="1"/>
  <c r="AC479" i="1"/>
  <c r="AD480" i="1"/>
  <c r="AG480" i="1"/>
  <c r="AC480" i="1"/>
  <c r="AF480" i="1"/>
  <c r="AD481" i="1"/>
  <c r="M482" i="1"/>
  <c r="R482" i="1" s="1"/>
  <c r="AE484" i="1"/>
  <c r="AG486" i="1"/>
  <c r="AE487" i="1"/>
  <c r="AD487" i="1"/>
  <c r="AG487" i="1"/>
  <c r="AC487" i="1"/>
  <c r="AD488" i="1"/>
  <c r="AG488" i="1"/>
  <c r="AC488" i="1"/>
  <c r="AF488" i="1"/>
  <c r="M490" i="1"/>
  <c r="R490" i="1" s="1"/>
  <c r="AE492" i="1"/>
  <c r="AG494" i="1"/>
  <c r="AE495" i="1"/>
  <c r="AD495" i="1"/>
  <c r="AG495" i="1"/>
  <c r="AC495" i="1"/>
  <c r="AD496" i="1"/>
  <c r="AG496" i="1"/>
  <c r="AC496" i="1"/>
  <c r="AF496" i="1"/>
  <c r="M498" i="1"/>
  <c r="R498" i="1" s="1"/>
  <c r="AE500" i="1"/>
  <c r="AG502" i="1"/>
  <c r="AE503" i="1"/>
  <c r="AD503" i="1"/>
  <c r="AG503" i="1"/>
  <c r="AC503" i="1"/>
  <c r="AD504" i="1"/>
  <c r="AG504" i="1"/>
  <c r="AC504" i="1"/>
  <c r="AF504" i="1"/>
  <c r="M506" i="1"/>
  <c r="R506" i="1" s="1"/>
  <c r="AE508" i="1"/>
  <c r="AG510" i="1"/>
  <c r="AE511" i="1"/>
  <c r="AD511" i="1"/>
  <c r="AG511" i="1"/>
  <c r="AC511" i="1"/>
  <c r="AD512" i="1"/>
  <c r="AG512" i="1"/>
  <c r="AC512" i="1"/>
  <c r="AF512" i="1"/>
  <c r="M514" i="1"/>
  <c r="R514" i="1" s="1"/>
  <c r="AE516" i="1"/>
  <c r="AG518" i="1"/>
  <c r="AE519" i="1"/>
  <c r="AD519" i="1"/>
  <c r="AG519" i="1"/>
  <c r="AC519" i="1"/>
  <c r="AD520" i="1"/>
  <c r="AG520" i="1"/>
  <c r="AC520" i="1"/>
  <c r="AF520" i="1"/>
  <c r="M522" i="1"/>
  <c r="R522" i="1" s="1"/>
  <c r="AE524" i="1"/>
  <c r="AG526" i="1"/>
  <c r="AE527" i="1"/>
  <c r="AD527" i="1"/>
  <c r="AG527" i="1"/>
  <c r="AC527" i="1"/>
  <c r="AD528" i="1"/>
  <c r="AG528" i="1"/>
  <c r="AC528" i="1"/>
  <c r="AF528" i="1"/>
  <c r="M530" i="1"/>
  <c r="R530" i="1" s="1"/>
  <c r="AD535" i="1"/>
  <c r="AE535" i="1"/>
  <c r="AC535" i="1"/>
  <c r="AG535" i="1"/>
  <c r="AG536" i="1"/>
  <c r="AC536" i="1"/>
  <c r="AF536" i="1"/>
  <c r="AE536" i="1"/>
  <c r="AE538" i="1"/>
  <c r="AF538" i="1"/>
  <c r="AD538" i="1"/>
  <c r="AC538" i="1"/>
  <c r="AG540" i="1"/>
  <c r="AC540" i="1"/>
  <c r="AF540" i="1"/>
  <c r="AE540" i="1"/>
  <c r="AD540" i="1"/>
  <c r="AC543" i="1"/>
  <c r="AF546" i="1"/>
  <c r="AG548" i="1"/>
  <c r="AC548" i="1"/>
  <c r="AD548" i="1"/>
  <c r="AF548" i="1"/>
  <c r="AG554" i="1"/>
  <c r="Y557" i="1"/>
  <c r="M557" i="1"/>
  <c r="R557" i="1" s="1"/>
  <c r="AD562" i="1"/>
  <c r="AD563" i="1"/>
  <c r="AF563" i="1"/>
  <c r="AE563" i="1"/>
  <c r="AC563" i="1"/>
  <c r="AF565" i="1"/>
  <c r="AE565" i="1"/>
  <c r="AD565" i="1"/>
  <c r="AC565" i="1"/>
  <c r="AF571" i="1"/>
  <c r="AG576" i="1"/>
  <c r="AC576" i="1"/>
  <c r="AE576" i="1"/>
  <c r="AD576" i="1"/>
  <c r="AF576" i="1"/>
  <c r="AG579" i="1"/>
  <c r="AE580" i="1"/>
  <c r="AD591" i="1"/>
  <c r="AG591" i="1"/>
  <c r="AF591" i="1"/>
  <c r="AE591" i="1"/>
  <c r="AD599" i="1"/>
  <c r="AE599" i="1"/>
  <c r="AC599" i="1"/>
  <c r="AG599" i="1"/>
  <c r="AG600" i="1"/>
  <c r="AC600" i="1"/>
  <c r="AF600" i="1"/>
  <c r="AE600" i="1"/>
  <c r="AE602" i="1"/>
  <c r="AF602" i="1"/>
  <c r="AD602" i="1"/>
  <c r="AC602" i="1"/>
  <c r="AG604" i="1"/>
  <c r="AC604" i="1"/>
  <c r="AF604" i="1"/>
  <c r="AE604" i="1"/>
  <c r="AD604" i="1"/>
  <c r="AC607" i="1"/>
  <c r="AF610" i="1"/>
  <c r="AG612" i="1"/>
  <c r="AC612" i="1"/>
  <c r="AD612" i="1"/>
  <c r="AF612" i="1"/>
  <c r="AG618" i="1"/>
  <c r="Y621" i="1"/>
  <c r="M621" i="1"/>
  <c r="R621" i="1" s="1"/>
  <c r="AD626" i="1"/>
  <c r="AD627" i="1"/>
  <c r="AF627" i="1"/>
  <c r="AE627" i="1"/>
  <c r="AC627" i="1"/>
  <c r="AF629" i="1"/>
  <c r="AE629" i="1"/>
  <c r="AD629" i="1"/>
  <c r="AC629" i="1"/>
  <c r="AF635" i="1"/>
  <c r="AG640" i="1"/>
  <c r="AC640" i="1"/>
  <c r="AE640" i="1"/>
  <c r="AD640" i="1"/>
  <c r="AF640" i="1"/>
  <c r="AG643" i="1"/>
  <c r="AE644" i="1"/>
  <c r="AF650" i="1"/>
  <c r="AD650" i="1"/>
  <c r="AE661" i="1"/>
  <c r="AD662" i="1"/>
  <c r="AD673" i="1"/>
  <c r="AG673" i="1"/>
  <c r="AC673" i="1"/>
  <c r="AF673" i="1"/>
  <c r="AE673" i="1"/>
  <c r="AE680" i="1"/>
  <c r="AD680" i="1"/>
  <c r="AG680" i="1"/>
  <c r="AC680" i="1"/>
  <c r="AF680" i="1"/>
  <c r="AE693" i="1"/>
  <c r="AD694" i="1"/>
  <c r="AD705" i="1"/>
  <c r="AG705" i="1"/>
  <c r="AC705" i="1"/>
  <c r="AF705" i="1"/>
  <c r="AE705" i="1"/>
  <c r="AE712" i="1"/>
  <c r="AD712" i="1"/>
  <c r="AG712" i="1"/>
  <c r="AC712" i="1"/>
  <c r="AF712" i="1"/>
  <c r="AE725" i="1"/>
  <c r="AD726" i="1"/>
  <c r="AD737" i="1"/>
  <c r="AG737" i="1"/>
  <c r="AC737" i="1"/>
  <c r="AF737" i="1"/>
  <c r="AE737" i="1"/>
  <c r="AE744" i="1"/>
  <c r="AD744" i="1"/>
  <c r="AG744" i="1"/>
  <c r="AC744" i="1"/>
  <c r="AF744" i="1"/>
  <c r="AE757" i="1"/>
  <c r="AD758" i="1"/>
  <c r="AD769" i="1"/>
  <c r="AG769" i="1"/>
  <c r="AC769" i="1"/>
  <c r="AF769" i="1"/>
  <c r="AE769" i="1"/>
  <c r="AE776" i="1"/>
  <c r="AD776" i="1"/>
  <c r="AG776" i="1"/>
  <c r="AC776" i="1"/>
  <c r="AF776" i="1"/>
  <c r="AE789" i="1"/>
  <c r="AD790" i="1"/>
  <c r="AE797" i="1"/>
  <c r="AD798" i="1"/>
  <c r="AD801" i="1"/>
  <c r="AG801" i="1"/>
  <c r="AC801" i="1"/>
  <c r="AF801" i="1"/>
  <c r="AE801" i="1"/>
  <c r="AD809" i="1"/>
  <c r="AG809" i="1"/>
  <c r="AC809" i="1"/>
  <c r="AF809" i="1"/>
  <c r="AE809" i="1"/>
  <c r="AD817" i="1"/>
  <c r="AG817" i="1"/>
  <c r="AC817" i="1"/>
  <c r="AF817" i="1"/>
  <c r="AE817" i="1"/>
  <c r="AE824" i="1"/>
  <c r="AD824" i="1"/>
  <c r="AG824" i="1"/>
  <c r="AC824" i="1"/>
  <c r="AF824" i="1"/>
  <c r="AE837" i="1"/>
  <c r="AE845" i="1"/>
  <c r="AD846" i="1"/>
  <c r="AE853" i="1"/>
  <c r="AD857" i="1"/>
  <c r="AG857" i="1"/>
  <c r="AC857" i="1"/>
  <c r="AF857" i="1"/>
  <c r="AE857" i="1"/>
  <c r="AE864" i="1"/>
  <c r="AD864" i="1"/>
  <c r="AG864" i="1"/>
  <c r="AC864" i="1"/>
  <c r="AF864" i="1"/>
  <c r="AE877" i="1"/>
  <c r="AD878" i="1"/>
  <c r="AD881" i="1"/>
  <c r="AG881" i="1"/>
  <c r="AC881" i="1"/>
  <c r="AF881" i="1"/>
  <c r="AE881" i="1"/>
  <c r="AE888" i="1"/>
  <c r="AD888" i="1"/>
  <c r="AG888" i="1"/>
  <c r="AC888" i="1"/>
  <c r="AF888" i="1"/>
  <c r="AD910" i="1"/>
  <c r="AD913" i="1"/>
  <c r="AG913" i="1"/>
  <c r="AC913" i="1"/>
  <c r="AF913" i="1"/>
  <c r="AE913" i="1"/>
  <c r="AE920" i="1"/>
  <c r="AD920" i="1"/>
  <c r="AG920" i="1"/>
  <c r="AC920" i="1"/>
  <c r="AF920" i="1"/>
  <c r="AD945" i="1"/>
  <c r="AG945" i="1"/>
  <c r="AC945" i="1"/>
  <c r="AF945" i="1"/>
  <c r="AE945" i="1"/>
  <c r="AE952" i="1"/>
  <c r="AD952" i="1"/>
  <c r="AG952" i="1"/>
  <c r="AC952" i="1"/>
  <c r="AF952" i="1"/>
  <c r="AE965" i="1"/>
  <c r="AD966" i="1"/>
  <c r="AD977" i="1"/>
  <c r="AG977" i="1"/>
  <c r="AC977" i="1"/>
  <c r="AF977" i="1"/>
  <c r="AE977" i="1"/>
  <c r="AE984" i="1"/>
  <c r="AD984" i="1"/>
  <c r="AG984" i="1"/>
  <c r="AC984" i="1"/>
  <c r="AF984" i="1"/>
  <c r="AE997" i="1"/>
  <c r="AD998" i="1"/>
  <c r="AD1009" i="1"/>
  <c r="AG1009" i="1"/>
  <c r="AC1009" i="1"/>
  <c r="AF1009" i="1"/>
  <c r="AE1009" i="1"/>
  <c r="AE1016" i="1"/>
  <c r="AD1016" i="1"/>
  <c r="AG1016" i="1"/>
  <c r="AC1016" i="1"/>
  <c r="AF1016" i="1"/>
  <c r="AE1037" i="1"/>
  <c r="AD1038" i="1"/>
  <c r="AD1041" i="1"/>
  <c r="AC1041" i="1"/>
  <c r="AE1041" i="1"/>
  <c r="AE1048" i="1"/>
  <c r="AD1048" i="1"/>
  <c r="AG1048" i="1"/>
  <c r="AC1048" i="1"/>
  <c r="AF1048" i="1"/>
  <c r="AE1072" i="1"/>
  <c r="AD1072" i="1"/>
  <c r="AG1072" i="1"/>
  <c r="AC1072" i="1"/>
  <c r="AD1073" i="1"/>
  <c r="AG1073" i="1"/>
  <c r="AC1073" i="1"/>
  <c r="AF1073" i="1"/>
  <c r="AE1077" i="1"/>
  <c r="AE1080" i="1"/>
  <c r="AD1080" i="1"/>
  <c r="AG1080" i="1"/>
  <c r="AC1080" i="1"/>
  <c r="AD1081" i="1"/>
  <c r="AG1081" i="1"/>
  <c r="AC1081" i="1"/>
  <c r="AF1081" i="1"/>
  <c r="AE1085" i="1"/>
  <c r="AE1088" i="1"/>
  <c r="AD1088" i="1"/>
  <c r="AG1088" i="1"/>
  <c r="AC1088" i="1"/>
  <c r="AD1089" i="1"/>
  <c r="AG1089" i="1"/>
  <c r="AC1089" i="1"/>
  <c r="AF1089" i="1"/>
  <c r="AE1096" i="1"/>
  <c r="AD1096" i="1"/>
  <c r="AG1096" i="1"/>
  <c r="AC1096" i="1"/>
  <c r="AD1097" i="1"/>
  <c r="AG1097" i="1"/>
  <c r="AC1097" i="1"/>
  <c r="AF1097" i="1"/>
  <c r="AE1101" i="1"/>
  <c r="AE1104" i="1"/>
  <c r="AD1104" i="1"/>
  <c r="AG1104" i="1"/>
  <c r="AC1104" i="1"/>
  <c r="AD1105" i="1"/>
  <c r="AG1105" i="1"/>
  <c r="AC1105" i="1"/>
  <c r="AF1105" i="1"/>
  <c r="AE1109" i="1"/>
  <c r="AE1112" i="1"/>
  <c r="AD1112" i="1"/>
  <c r="AG1112" i="1"/>
  <c r="AC1112" i="1"/>
  <c r="AD1113" i="1"/>
  <c r="AG1113" i="1"/>
  <c r="AC1113" i="1"/>
  <c r="AF1113" i="1"/>
  <c r="AE1117" i="1"/>
  <c r="AE1120" i="1"/>
  <c r="AD1120" i="1"/>
  <c r="AG1120" i="1"/>
  <c r="AC1120" i="1"/>
  <c r="AD1121" i="1"/>
  <c r="AG1121" i="1"/>
  <c r="AC1121" i="1"/>
  <c r="AF1121" i="1"/>
  <c r="AE1125" i="1"/>
  <c r="AE1128" i="1"/>
  <c r="AD1128" i="1"/>
  <c r="AG1128" i="1"/>
  <c r="AC1128" i="1"/>
  <c r="AD1129" i="1"/>
  <c r="AG1129" i="1"/>
  <c r="AC1129" i="1"/>
  <c r="AF1129" i="1"/>
  <c r="AE1133" i="1"/>
  <c r="AE1136" i="1"/>
  <c r="AD1136" i="1"/>
  <c r="AG1136" i="1"/>
  <c r="AC1136" i="1"/>
  <c r="AD1137" i="1"/>
  <c r="AG1137" i="1"/>
  <c r="AC1137" i="1"/>
  <c r="AF1137" i="1"/>
  <c r="AE1141" i="1"/>
  <c r="AE1144" i="1"/>
  <c r="AD1144" i="1"/>
  <c r="AG1144" i="1"/>
  <c r="AC1144" i="1"/>
  <c r="AD1145" i="1"/>
  <c r="AC1145" i="1"/>
  <c r="AE1149" i="1"/>
  <c r="AE1152" i="1"/>
  <c r="AD1152" i="1"/>
  <c r="AG1152" i="1"/>
  <c r="AC1152" i="1"/>
  <c r="AD1153" i="1"/>
  <c r="AG1153" i="1"/>
  <c r="AC1153" i="1"/>
  <c r="AF1153" i="1"/>
  <c r="AE1157" i="1"/>
  <c r="AE1160" i="1"/>
  <c r="AD1160" i="1"/>
  <c r="AG1160" i="1"/>
  <c r="AC1160" i="1"/>
  <c r="AD1161" i="1"/>
  <c r="AG1161" i="1"/>
  <c r="AC1161" i="1"/>
  <c r="AF1161" i="1"/>
  <c r="AE1165" i="1"/>
  <c r="AE1168" i="1"/>
  <c r="AD1168" i="1"/>
  <c r="AG1168" i="1"/>
  <c r="AC1168" i="1"/>
  <c r="AD1169" i="1"/>
  <c r="AG1169" i="1"/>
  <c r="AC1169" i="1"/>
  <c r="AF1169" i="1"/>
  <c r="AG1172" i="1"/>
  <c r="AC1172" i="1"/>
  <c r="AE1172" i="1"/>
  <c r="AF1172" i="1"/>
  <c r="AF1176" i="1"/>
  <c r="AD1176" i="1"/>
  <c r="AE1186" i="1"/>
  <c r="AG1186" i="1"/>
  <c r="AC1186" i="1"/>
  <c r="AF1186" i="1"/>
  <c r="AD1186" i="1"/>
  <c r="AF1192" i="1"/>
  <c r="AD1192" i="1"/>
  <c r="AC1202" i="1"/>
  <c r="AF1208" i="1"/>
  <c r="AD1208" i="1"/>
  <c r="AE1218" i="1"/>
  <c r="AG1218" i="1"/>
  <c r="AC1218" i="1"/>
  <c r="AF1218" i="1"/>
  <c r="AD1218" i="1"/>
  <c r="AF1224" i="1"/>
  <c r="AD1224" i="1"/>
  <c r="AE1234" i="1"/>
  <c r="AG1234" i="1"/>
  <c r="AC1234" i="1"/>
  <c r="AF1234" i="1"/>
  <c r="AD1234" i="1"/>
  <c r="AF1240" i="1"/>
  <c r="AD1240" i="1"/>
  <c r="AE1250" i="1"/>
  <c r="AG1250" i="1"/>
  <c r="AC1250" i="1"/>
  <c r="AF1250" i="1"/>
  <c r="AD1250" i="1"/>
  <c r="AF1256" i="1"/>
  <c r="AD1256" i="1"/>
  <c r="AE1266" i="1"/>
  <c r="AG1266" i="1"/>
  <c r="AC1266" i="1"/>
  <c r="AF1266" i="1"/>
  <c r="AD1266" i="1"/>
  <c r="AF1272" i="1"/>
  <c r="AD1272" i="1"/>
  <c r="AE1282" i="1"/>
  <c r="AD1282" i="1"/>
  <c r="AG1282" i="1"/>
  <c r="AC1282" i="1"/>
  <c r="AF1282" i="1"/>
  <c r="AD1296" i="1"/>
  <c r="AD1307" i="1"/>
  <c r="AG1307" i="1"/>
  <c r="AC1307" i="1"/>
  <c r="AF1307" i="1"/>
  <c r="AE1307" i="1"/>
  <c r="AE1314" i="1"/>
  <c r="AD1314" i="1"/>
  <c r="AG1314" i="1"/>
  <c r="AC1314" i="1"/>
  <c r="AF1314" i="1"/>
  <c r="AD1328" i="1"/>
  <c r="AD1339" i="1"/>
  <c r="AG1339" i="1"/>
  <c r="AC1339" i="1"/>
  <c r="AF1339" i="1"/>
  <c r="AE1339" i="1"/>
  <c r="AE1346" i="1"/>
  <c r="AD1346" i="1"/>
  <c r="AG1346" i="1"/>
  <c r="AC1346" i="1"/>
  <c r="AF1346" i="1"/>
  <c r="AD1360" i="1"/>
  <c r="AD1371" i="1"/>
  <c r="AG1371" i="1"/>
  <c r="AC1371" i="1"/>
  <c r="AF1371" i="1"/>
  <c r="AE1371" i="1"/>
  <c r="AE1378" i="1"/>
  <c r="AD1378" i="1"/>
  <c r="AG1378" i="1"/>
  <c r="AC1378" i="1"/>
  <c r="AF1378" i="1"/>
  <c r="AD1392" i="1"/>
  <c r="AC1403" i="1"/>
  <c r="AF1403" i="1"/>
  <c r="AE1410" i="1"/>
  <c r="AD1410" i="1"/>
  <c r="AG1410" i="1"/>
  <c r="AC1410" i="1"/>
  <c r="AF1410" i="1"/>
  <c r="AF1923" i="1"/>
  <c r="AE1923" i="1"/>
  <c r="AD1923" i="1"/>
  <c r="AG1923" i="1"/>
  <c r="AC1923" i="1"/>
  <c r="AF1931" i="1"/>
  <c r="AE1931" i="1"/>
  <c r="AD1931" i="1"/>
  <c r="AG1931" i="1"/>
  <c r="AC1931" i="1"/>
  <c r="AF1939" i="1"/>
  <c r="AE1939" i="1"/>
  <c r="AD1939" i="1"/>
  <c r="AG1939" i="1"/>
  <c r="AC1939" i="1"/>
  <c r="AF1947" i="1"/>
  <c r="AE1947" i="1"/>
  <c r="AD1947" i="1"/>
  <c r="AG1947" i="1"/>
  <c r="AC1947" i="1"/>
  <c r="AC1955" i="1"/>
  <c r="Y1959" i="1"/>
  <c r="M1959" i="1"/>
  <c r="R1959" i="1" s="1"/>
  <c r="AG2006" i="1"/>
  <c r="AC2006" i="1"/>
  <c r="AE2006" i="1"/>
  <c r="AF2006" i="1"/>
  <c r="AD2006" i="1"/>
  <c r="AE2499" i="1"/>
  <c r="AD2499" i="1"/>
  <c r="AG2499" i="1"/>
  <c r="AC2499" i="1"/>
  <c r="AF2499" i="1"/>
  <c r="AG2526" i="1"/>
  <c r="AD2541" i="1"/>
  <c r="AF2629" i="1"/>
  <c r="AD2629" i="1"/>
  <c r="AC2629" i="1"/>
  <c r="AG2629" i="1"/>
  <c r="AE2629" i="1"/>
  <c r="AG2668" i="1"/>
  <c r="AC2668" i="1"/>
  <c r="AE2668" i="1"/>
  <c r="AD2668" i="1"/>
  <c r="AF2668" i="1"/>
  <c r="AE2704" i="1"/>
  <c r="AD2857" i="1"/>
  <c r="AG2857" i="1"/>
  <c r="AC2857" i="1"/>
  <c r="AF2857" i="1"/>
  <c r="AE2857" i="1"/>
  <c r="AE2923" i="1"/>
  <c r="AG2932" i="1"/>
  <c r="AC2932" i="1"/>
  <c r="AE2932" i="1"/>
  <c r="AF2932" i="1"/>
  <c r="AD2932" i="1"/>
  <c r="AE2950" i="1"/>
  <c r="AD2950" i="1"/>
  <c r="AG2950" i="1"/>
  <c r="AC2950" i="1"/>
  <c r="AF2950" i="1"/>
  <c r="AE297" i="1"/>
  <c r="AE301" i="1"/>
  <c r="AD302" i="1"/>
  <c r="AE305" i="1"/>
  <c r="AD306" i="1"/>
  <c r="AE309" i="1"/>
  <c r="AD310" i="1"/>
  <c r="AE313" i="1"/>
  <c r="AD314" i="1"/>
  <c r="AE317" i="1"/>
  <c r="AD318" i="1"/>
  <c r="AE321" i="1"/>
  <c r="AD322" i="1"/>
  <c r="AE325" i="1"/>
  <c r="AD326" i="1"/>
  <c r="AE329" i="1"/>
  <c r="AD330" i="1"/>
  <c r="AE333" i="1"/>
  <c r="AD334" i="1"/>
  <c r="AE337" i="1"/>
  <c r="AD338" i="1"/>
  <c r="AE341" i="1"/>
  <c r="AD342" i="1"/>
  <c r="AE345" i="1"/>
  <c r="AD346" i="1"/>
  <c r="AE349" i="1"/>
  <c r="AD350" i="1"/>
  <c r="AE353" i="1"/>
  <c r="AD354" i="1"/>
  <c r="AE357" i="1"/>
  <c r="AD358" i="1"/>
  <c r="AE361" i="1"/>
  <c r="AD362" i="1"/>
  <c r="AE365" i="1"/>
  <c r="AD366" i="1"/>
  <c r="AE369" i="1"/>
  <c r="AD370" i="1"/>
  <c r="AE373" i="1"/>
  <c r="AD374" i="1"/>
  <c r="AE377" i="1"/>
  <c r="AD378" i="1"/>
  <c r="AE381" i="1"/>
  <c r="AD382" i="1"/>
  <c r="AE385" i="1"/>
  <c r="AD386" i="1"/>
  <c r="AE389" i="1"/>
  <c r="AD390" i="1"/>
  <c r="AE393" i="1"/>
  <c r="AD394" i="1"/>
  <c r="AE397" i="1"/>
  <c r="AD398" i="1"/>
  <c r="AE401" i="1"/>
  <c r="AD402" i="1"/>
  <c r="AE405" i="1"/>
  <c r="AE409" i="1"/>
  <c r="AE413" i="1"/>
  <c r="AE417" i="1"/>
  <c r="AE421" i="1"/>
  <c r="AE425" i="1"/>
  <c r="AE429" i="1"/>
  <c r="AE433" i="1"/>
  <c r="AE437" i="1"/>
  <c r="AE441" i="1"/>
  <c r="AE445" i="1"/>
  <c r="AE449" i="1"/>
  <c r="AE453" i="1"/>
  <c r="AE457" i="1"/>
  <c r="AE461" i="1"/>
  <c r="AE465" i="1"/>
  <c r="AE469" i="1"/>
  <c r="AE473" i="1"/>
  <c r="AE477" i="1"/>
  <c r="AE481" i="1"/>
  <c r="AE485" i="1"/>
  <c r="AE489" i="1"/>
  <c r="AE493" i="1"/>
  <c r="AE497" i="1"/>
  <c r="AE501" i="1"/>
  <c r="AE505" i="1"/>
  <c r="AE509" i="1"/>
  <c r="AE513" i="1"/>
  <c r="AE517" i="1"/>
  <c r="AE521" i="1"/>
  <c r="AE525" i="1"/>
  <c r="AE529" i="1"/>
  <c r="AF537" i="1"/>
  <c r="AG537" i="1"/>
  <c r="AE542" i="1"/>
  <c r="AG542" i="1"/>
  <c r="M543" i="1"/>
  <c r="R543" i="1" s="1"/>
  <c r="AF553" i="1"/>
  <c r="AG553" i="1"/>
  <c r="AE558" i="1"/>
  <c r="AG558" i="1"/>
  <c r="M559" i="1"/>
  <c r="R559" i="1" s="1"/>
  <c r="AF569" i="1"/>
  <c r="AG569" i="1"/>
  <c r="AE574" i="1"/>
  <c r="AG574" i="1"/>
  <c r="M575" i="1"/>
  <c r="R575" i="1" s="1"/>
  <c r="AF585" i="1"/>
  <c r="AG585" i="1"/>
  <c r="AE590" i="1"/>
  <c r="AG590" i="1"/>
  <c r="M591" i="1"/>
  <c r="R591" i="1" s="1"/>
  <c r="AF601" i="1"/>
  <c r="AG601" i="1"/>
  <c r="AE606" i="1"/>
  <c r="AG606" i="1"/>
  <c r="M607" i="1"/>
  <c r="R607" i="1" s="1"/>
  <c r="AF617" i="1"/>
  <c r="AG617" i="1"/>
  <c r="AE622" i="1"/>
  <c r="AG622" i="1"/>
  <c r="M623" i="1"/>
  <c r="R623" i="1" s="1"/>
  <c r="AF633" i="1"/>
  <c r="AG633" i="1"/>
  <c r="AE638" i="1"/>
  <c r="AG638" i="1"/>
  <c r="M639" i="1"/>
  <c r="R639" i="1" s="1"/>
  <c r="Y649" i="1"/>
  <c r="M649" i="1"/>
  <c r="R649" i="1" s="1"/>
  <c r="AG650" i="1"/>
  <c r="AC650" i="1"/>
  <c r="AE650" i="1"/>
  <c r="AG654" i="1"/>
  <c r="AF655" i="1"/>
  <c r="AE655" i="1"/>
  <c r="AD655" i="1"/>
  <c r="AG662" i="1"/>
  <c r="AF663" i="1"/>
  <c r="AE663" i="1"/>
  <c r="AD663" i="1"/>
  <c r="AG670" i="1"/>
  <c r="AF671" i="1"/>
  <c r="AE671" i="1"/>
  <c r="AD671" i="1"/>
  <c r="AG678" i="1"/>
  <c r="AF679" i="1"/>
  <c r="AE679" i="1"/>
  <c r="AD679" i="1"/>
  <c r="AG686" i="1"/>
  <c r="AF687" i="1"/>
  <c r="AE687" i="1"/>
  <c r="AD687" i="1"/>
  <c r="AG694" i="1"/>
  <c r="AF695" i="1"/>
  <c r="AE695" i="1"/>
  <c r="AD695" i="1"/>
  <c r="AG702" i="1"/>
  <c r="AF703" i="1"/>
  <c r="AE703" i="1"/>
  <c r="AD703" i="1"/>
  <c r="AG710" i="1"/>
  <c r="AF711" i="1"/>
  <c r="AE711" i="1"/>
  <c r="AD711" i="1"/>
  <c r="AG718" i="1"/>
  <c r="AF719" i="1"/>
  <c r="AE719" i="1"/>
  <c r="AD719" i="1"/>
  <c r="AG726" i="1"/>
  <c r="AF727" i="1"/>
  <c r="AE727" i="1"/>
  <c r="AD727" i="1"/>
  <c r="AG734" i="1"/>
  <c r="AF735" i="1"/>
  <c r="AE735" i="1"/>
  <c r="AD735" i="1"/>
  <c r="AG742" i="1"/>
  <c r="AF743" i="1"/>
  <c r="AE743" i="1"/>
  <c r="AD743" i="1"/>
  <c r="AG750" i="1"/>
  <c r="AF751" i="1"/>
  <c r="AE751" i="1"/>
  <c r="AD751" i="1"/>
  <c r="AG758" i="1"/>
  <c r="AF759" i="1"/>
  <c r="AE759" i="1"/>
  <c r="AD759" i="1"/>
  <c r="AG766" i="1"/>
  <c r="AF767" i="1"/>
  <c r="AE767" i="1"/>
  <c r="AD767" i="1"/>
  <c r="AG774" i="1"/>
  <c r="AF775" i="1"/>
  <c r="AE775" i="1"/>
  <c r="AD775" i="1"/>
  <c r="AG782" i="1"/>
  <c r="AF783" i="1"/>
  <c r="AE783" i="1"/>
  <c r="AD783" i="1"/>
  <c r="AG790" i="1"/>
  <c r="AF791" i="1"/>
  <c r="AE791" i="1"/>
  <c r="AD791" i="1"/>
  <c r="AG798" i="1"/>
  <c r="AF799" i="1"/>
  <c r="AE799" i="1"/>
  <c r="AD799" i="1"/>
  <c r="AG806" i="1"/>
  <c r="AF807" i="1"/>
  <c r="AE807" i="1"/>
  <c r="AD807" i="1"/>
  <c r="AG814" i="1"/>
  <c r="AF815" i="1"/>
  <c r="AE815" i="1"/>
  <c r="AD815" i="1"/>
  <c r="AG822" i="1"/>
  <c r="AF823" i="1"/>
  <c r="AE823" i="1"/>
  <c r="AD823" i="1"/>
  <c r="AG830" i="1"/>
  <c r="AF831" i="1"/>
  <c r="AE831" i="1"/>
  <c r="AD831" i="1"/>
  <c r="AG838" i="1"/>
  <c r="AF839" i="1"/>
  <c r="AE839" i="1"/>
  <c r="AD839" i="1"/>
  <c r="AG846" i="1"/>
  <c r="AF847" i="1"/>
  <c r="AE847" i="1"/>
  <c r="AD847" i="1"/>
  <c r="AF855" i="1"/>
  <c r="AE855" i="1"/>
  <c r="AD855" i="1"/>
  <c r="AG862" i="1"/>
  <c r="AF863" i="1"/>
  <c r="AE863" i="1"/>
  <c r="AD863" i="1"/>
  <c r="AG870" i="1"/>
  <c r="AF871" i="1"/>
  <c r="AE871" i="1"/>
  <c r="AD871" i="1"/>
  <c r="AG878" i="1"/>
  <c r="AF879" i="1"/>
  <c r="AE879" i="1"/>
  <c r="AD879" i="1"/>
  <c r="AG886" i="1"/>
  <c r="AF887" i="1"/>
  <c r="AE887" i="1"/>
  <c r="AD887" i="1"/>
  <c r="AG894" i="1"/>
  <c r="AF895" i="1"/>
  <c r="AE895" i="1"/>
  <c r="AD895" i="1"/>
  <c r="AG902" i="1"/>
  <c r="AF903" i="1"/>
  <c r="AE903" i="1"/>
  <c r="AD903" i="1"/>
  <c r="AG910" i="1"/>
  <c r="AF911" i="1"/>
  <c r="AE911" i="1"/>
  <c r="AD911" i="1"/>
  <c r="AG918" i="1"/>
  <c r="AF919" i="1"/>
  <c r="AE919" i="1"/>
  <c r="AD919" i="1"/>
  <c r="AF927" i="1"/>
  <c r="AE927" i="1"/>
  <c r="AD927" i="1"/>
  <c r="AG934" i="1"/>
  <c r="AF935" i="1"/>
  <c r="AG942" i="1"/>
  <c r="AF943" i="1"/>
  <c r="AE943" i="1"/>
  <c r="AD943" i="1"/>
  <c r="AG950" i="1"/>
  <c r="AF951" i="1"/>
  <c r="AE951" i="1"/>
  <c r="AD951" i="1"/>
  <c r="AG958" i="1"/>
  <c r="AF959" i="1"/>
  <c r="AE959" i="1"/>
  <c r="AD959" i="1"/>
  <c r="AG966" i="1"/>
  <c r="AF967" i="1"/>
  <c r="AE967" i="1"/>
  <c r="AD967" i="1"/>
  <c r="AG974" i="1"/>
  <c r="AF975" i="1"/>
  <c r="AE975" i="1"/>
  <c r="AD975" i="1"/>
  <c r="AG982" i="1"/>
  <c r="AF983" i="1"/>
  <c r="AE983" i="1"/>
  <c r="AD983" i="1"/>
  <c r="AG990" i="1"/>
  <c r="AF991" i="1"/>
  <c r="AE991" i="1"/>
  <c r="AD991" i="1"/>
  <c r="AG998" i="1"/>
  <c r="AF999" i="1"/>
  <c r="AE999" i="1"/>
  <c r="AD999" i="1"/>
  <c r="AG1006" i="1"/>
  <c r="AG1014" i="1"/>
  <c r="AF1015" i="1"/>
  <c r="AE1015" i="1"/>
  <c r="AD1015" i="1"/>
  <c r="AG1022" i="1"/>
  <c r="AF1023" i="1"/>
  <c r="AE1023" i="1"/>
  <c r="AD1023" i="1"/>
  <c r="AG1030" i="1"/>
  <c r="AF1031" i="1"/>
  <c r="AE1031" i="1"/>
  <c r="AD1031" i="1"/>
  <c r="AG1038" i="1"/>
  <c r="AF1039" i="1"/>
  <c r="AE1039" i="1"/>
  <c r="AD1039" i="1"/>
  <c r="AG1046" i="1"/>
  <c r="AF1047" i="1"/>
  <c r="AE1047" i="1"/>
  <c r="AD1047" i="1"/>
  <c r="AG1054" i="1"/>
  <c r="AF1055" i="1"/>
  <c r="AE1055" i="1"/>
  <c r="AD1055" i="1"/>
  <c r="AG1062" i="1"/>
  <c r="AF1063" i="1"/>
  <c r="AE1063" i="1"/>
  <c r="AD1063" i="1"/>
  <c r="AG1070" i="1"/>
  <c r="AF1071" i="1"/>
  <c r="AE1071" i="1"/>
  <c r="AD1071" i="1"/>
  <c r="AF1072" i="1"/>
  <c r="AG1078" i="1"/>
  <c r="AE1079" i="1"/>
  <c r="AF1080" i="1"/>
  <c r="AG1086" i="1"/>
  <c r="AF1087" i="1"/>
  <c r="AE1087" i="1"/>
  <c r="AD1087" i="1"/>
  <c r="AF1088" i="1"/>
  <c r="AG1094" i="1"/>
  <c r="AF1095" i="1"/>
  <c r="AE1095" i="1"/>
  <c r="AD1095" i="1"/>
  <c r="AF1096" i="1"/>
  <c r="AG1102" i="1"/>
  <c r="AF1103" i="1"/>
  <c r="AE1103" i="1"/>
  <c r="AD1103" i="1"/>
  <c r="AF1104" i="1"/>
  <c r="AG1110" i="1"/>
  <c r="AE1111" i="1"/>
  <c r="AF1112" i="1"/>
  <c r="AG1118" i="1"/>
  <c r="AF1119" i="1"/>
  <c r="AE1119" i="1"/>
  <c r="AD1119" i="1"/>
  <c r="AF1120" i="1"/>
  <c r="AG1126" i="1"/>
  <c r="AF1127" i="1"/>
  <c r="AE1127" i="1"/>
  <c r="AD1127" i="1"/>
  <c r="AF1128" i="1"/>
  <c r="AG1134" i="1"/>
  <c r="AF1135" i="1"/>
  <c r="AE1135" i="1"/>
  <c r="AD1135" i="1"/>
  <c r="AF1136" i="1"/>
  <c r="AG1142" i="1"/>
  <c r="AF1143" i="1"/>
  <c r="AE1143" i="1"/>
  <c r="AD1143" i="1"/>
  <c r="AF1144" i="1"/>
  <c r="AG1150" i="1"/>
  <c r="AF1151" i="1"/>
  <c r="AE1151" i="1"/>
  <c r="AD1151" i="1"/>
  <c r="AF1152" i="1"/>
  <c r="AG1158" i="1"/>
  <c r="AE1159" i="1"/>
  <c r="AF1160" i="1"/>
  <c r="AG1166" i="1"/>
  <c r="AF1167" i="1"/>
  <c r="AE1167" i="1"/>
  <c r="AD1167" i="1"/>
  <c r="AF1168" i="1"/>
  <c r="AF1173" i="1"/>
  <c r="AD1173" i="1"/>
  <c r="AC1173" i="1"/>
  <c r="AG1173" i="1"/>
  <c r="AF1189" i="1"/>
  <c r="AD1189" i="1"/>
  <c r="AC1189" i="1"/>
  <c r="AG1189" i="1"/>
  <c r="AF1205" i="1"/>
  <c r="AD1205" i="1"/>
  <c r="AC1205" i="1"/>
  <c r="AG1205" i="1"/>
  <c r="AC1221" i="1"/>
  <c r="AG1221" i="1"/>
  <c r="AF1237" i="1"/>
  <c r="AD1237" i="1"/>
  <c r="AC1237" i="1"/>
  <c r="AG1237" i="1"/>
  <c r="AF1253" i="1"/>
  <c r="AD1253" i="1"/>
  <c r="AC1253" i="1"/>
  <c r="AG1253" i="1"/>
  <c r="AF1269" i="1"/>
  <c r="AD1269" i="1"/>
  <c r="AC1269" i="1"/>
  <c r="AG1269" i="1"/>
  <c r="AE1287" i="1"/>
  <c r="AD1288" i="1"/>
  <c r="AC1299" i="1"/>
  <c r="AF1299" i="1"/>
  <c r="AG1306" i="1"/>
  <c r="AC1306" i="1"/>
  <c r="AD1320" i="1"/>
  <c r="AD1331" i="1"/>
  <c r="AG1331" i="1"/>
  <c r="AC1331" i="1"/>
  <c r="AF1331" i="1"/>
  <c r="AE1331" i="1"/>
  <c r="AE1338" i="1"/>
  <c r="AD1338" i="1"/>
  <c r="AG1338" i="1"/>
  <c r="AC1338" i="1"/>
  <c r="AF1338" i="1"/>
  <c r="AE1351" i="1"/>
  <c r="AD1352" i="1"/>
  <c r="AD1363" i="1"/>
  <c r="AG1363" i="1"/>
  <c r="AC1363" i="1"/>
  <c r="AF1363" i="1"/>
  <c r="AE1363" i="1"/>
  <c r="AE1370" i="1"/>
  <c r="AD1370" i="1"/>
  <c r="AG1370" i="1"/>
  <c r="AC1370" i="1"/>
  <c r="AF1370" i="1"/>
  <c r="AE1383" i="1"/>
  <c r="AD1395" i="1"/>
  <c r="AG1395" i="1"/>
  <c r="AC1395" i="1"/>
  <c r="AF1395" i="1"/>
  <c r="AE1395" i="1"/>
  <c r="AE1402" i="1"/>
  <c r="AD1402" i="1"/>
  <c r="AG1402" i="1"/>
  <c r="AC1402" i="1"/>
  <c r="AF1402" i="1"/>
  <c r="AE1415" i="1"/>
  <c r="AD1416" i="1"/>
  <c r="AD1424" i="1"/>
  <c r="AE1431" i="1"/>
  <c r="AD1432" i="1"/>
  <c r="AE1439" i="1"/>
  <c r="AD1440" i="1"/>
  <c r="AE1447" i="1"/>
  <c r="AD1448" i="1"/>
  <c r="AE1455" i="1"/>
  <c r="AD1456" i="1"/>
  <c r="AE1463" i="1"/>
  <c r="AD1464" i="1"/>
  <c r="AE1471" i="1"/>
  <c r="AD1472" i="1"/>
  <c r="AE1479" i="1"/>
  <c r="AD1480" i="1"/>
  <c r="AE1487" i="1"/>
  <c r="AD1488" i="1"/>
  <c r="AD1496" i="1"/>
  <c r="AE1503" i="1"/>
  <c r="AD1504" i="1"/>
  <c r="AE1511" i="1"/>
  <c r="AD1512" i="1"/>
  <c r="AE1519" i="1"/>
  <c r="AD1520" i="1"/>
  <c r="AE1527" i="1"/>
  <c r="AD1528" i="1"/>
  <c r="AD1536" i="1"/>
  <c r="AD1544" i="1"/>
  <c r="AD1552" i="1"/>
  <c r="AE302" i="1"/>
  <c r="AE306" i="1"/>
  <c r="AE310" i="1"/>
  <c r="AE314" i="1"/>
  <c r="AE318" i="1"/>
  <c r="AE322" i="1"/>
  <c r="AE326" i="1"/>
  <c r="AE330" i="1"/>
  <c r="AE334" i="1"/>
  <c r="AE338" i="1"/>
  <c r="AE342" i="1"/>
  <c r="AE346" i="1"/>
  <c r="AE350" i="1"/>
  <c r="AE354" i="1"/>
  <c r="AE358" i="1"/>
  <c r="AE362" i="1"/>
  <c r="AE366" i="1"/>
  <c r="AE370" i="1"/>
  <c r="AE374" i="1"/>
  <c r="AE378" i="1"/>
  <c r="AE382" i="1"/>
  <c r="AE386" i="1"/>
  <c r="AE390" i="1"/>
  <c r="AE394" i="1"/>
  <c r="AE398" i="1"/>
  <c r="AE402" i="1"/>
  <c r="AF405" i="1"/>
  <c r="AF409" i="1"/>
  <c r="AF413" i="1"/>
  <c r="AF417" i="1"/>
  <c r="AF421" i="1"/>
  <c r="AF425" i="1"/>
  <c r="AF429" i="1"/>
  <c r="AF433" i="1"/>
  <c r="AF437" i="1"/>
  <c r="AF441" i="1"/>
  <c r="AF445" i="1"/>
  <c r="AF449" i="1"/>
  <c r="AF453" i="1"/>
  <c r="AF457" i="1"/>
  <c r="AF461" i="1"/>
  <c r="AF465" i="1"/>
  <c r="AF469" i="1"/>
  <c r="AF473" i="1"/>
  <c r="AF477" i="1"/>
  <c r="AF481" i="1"/>
  <c r="AF485" i="1"/>
  <c r="AF489" i="1"/>
  <c r="AF493" i="1"/>
  <c r="AF497" i="1"/>
  <c r="AF501" i="1"/>
  <c r="AF505" i="1"/>
  <c r="AF509" i="1"/>
  <c r="AF513" i="1"/>
  <c r="AF517" i="1"/>
  <c r="AF521" i="1"/>
  <c r="AF525" i="1"/>
  <c r="AF529" i="1"/>
  <c r="AF534" i="1"/>
  <c r="AD539" i="1"/>
  <c r="AG539" i="1"/>
  <c r="AE545" i="1"/>
  <c r="AE546" i="1"/>
  <c r="AG546" i="1"/>
  <c r="AF550" i="1"/>
  <c r="AD555" i="1"/>
  <c r="AG555" i="1"/>
  <c r="AE561" i="1"/>
  <c r="AE562" i="1"/>
  <c r="AG562" i="1"/>
  <c r="AF566" i="1"/>
  <c r="AD571" i="1"/>
  <c r="AG571" i="1"/>
  <c r="AF573" i="1"/>
  <c r="AG573" i="1"/>
  <c r="AE577" i="1"/>
  <c r="AE578" i="1"/>
  <c r="AG578" i="1"/>
  <c r="AF582" i="1"/>
  <c r="AD587" i="1"/>
  <c r="AG587" i="1"/>
  <c r="AE593" i="1"/>
  <c r="AE594" i="1"/>
  <c r="AG594" i="1"/>
  <c r="AF598" i="1"/>
  <c r="AD603" i="1"/>
  <c r="AG603" i="1"/>
  <c r="AE609" i="1"/>
  <c r="AE610" i="1"/>
  <c r="AG610" i="1"/>
  <c r="AF614" i="1"/>
  <c r="AD619" i="1"/>
  <c r="AG619" i="1"/>
  <c r="AE625" i="1"/>
  <c r="AE626" i="1"/>
  <c r="AG626" i="1"/>
  <c r="AF630" i="1"/>
  <c r="AD635" i="1"/>
  <c r="AG635" i="1"/>
  <c r="AE641" i="1"/>
  <c r="AE642" i="1"/>
  <c r="AG642" i="1"/>
  <c r="AF646" i="1"/>
  <c r="AE648" i="1"/>
  <c r="AG648" i="1"/>
  <c r="AC648" i="1"/>
  <c r="AF651" i="1"/>
  <c r="AE651" i="1"/>
  <c r="AD651" i="1"/>
  <c r="AG651" i="1"/>
  <c r="AE652" i="1"/>
  <c r="AD652" i="1"/>
  <c r="AG652" i="1"/>
  <c r="AC652" i="1"/>
  <c r="AD653" i="1"/>
  <c r="AG653" i="1"/>
  <c r="AC653" i="1"/>
  <c r="AF653" i="1"/>
  <c r="AE660" i="1"/>
  <c r="AD660" i="1"/>
  <c r="AG660" i="1"/>
  <c r="AC660" i="1"/>
  <c r="AD661" i="1"/>
  <c r="AG661" i="1"/>
  <c r="AC661" i="1"/>
  <c r="AF661" i="1"/>
  <c r="AE668" i="1"/>
  <c r="AD668" i="1"/>
  <c r="AG668" i="1"/>
  <c r="AC668" i="1"/>
  <c r="AD669" i="1"/>
  <c r="AG669" i="1"/>
  <c r="AC669" i="1"/>
  <c r="AF669" i="1"/>
  <c r="AE676" i="1"/>
  <c r="AD676" i="1"/>
  <c r="AG676" i="1"/>
  <c r="AC676" i="1"/>
  <c r="AD677" i="1"/>
  <c r="AG677" i="1"/>
  <c r="AC677" i="1"/>
  <c r="AF677" i="1"/>
  <c r="AE684" i="1"/>
  <c r="AD684" i="1"/>
  <c r="AG684" i="1"/>
  <c r="AC684" i="1"/>
  <c r="AD685" i="1"/>
  <c r="AG685" i="1"/>
  <c r="AC685" i="1"/>
  <c r="AF685" i="1"/>
  <c r="AE692" i="1"/>
  <c r="AD692" i="1"/>
  <c r="AG692" i="1"/>
  <c r="AC692" i="1"/>
  <c r="AD693" i="1"/>
  <c r="AG693" i="1"/>
  <c r="AC693" i="1"/>
  <c r="AF693" i="1"/>
  <c r="AE700" i="1"/>
  <c r="AD700" i="1"/>
  <c r="AG700" i="1"/>
  <c r="AC700" i="1"/>
  <c r="AD701" i="1"/>
  <c r="AG701" i="1"/>
  <c r="AC701" i="1"/>
  <c r="AF701" i="1"/>
  <c r="AE708" i="1"/>
  <c r="AD708" i="1"/>
  <c r="AG708" i="1"/>
  <c r="AC708" i="1"/>
  <c r="AD709" i="1"/>
  <c r="AG709" i="1"/>
  <c r="AC709" i="1"/>
  <c r="AF709" i="1"/>
  <c r="AE716" i="1"/>
  <c r="AD716" i="1"/>
  <c r="AG716" i="1"/>
  <c r="AC716" i="1"/>
  <c r="AD717" i="1"/>
  <c r="AG717" i="1"/>
  <c r="AC717" i="1"/>
  <c r="AF717" i="1"/>
  <c r="AE724" i="1"/>
  <c r="AD724" i="1"/>
  <c r="AG724" i="1"/>
  <c r="AC724" i="1"/>
  <c r="AD725" i="1"/>
  <c r="AG725" i="1"/>
  <c r="AC725" i="1"/>
  <c r="AF725" i="1"/>
  <c r="AE732" i="1"/>
  <c r="AD732" i="1"/>
  <c r="AG732" i="1"/>
  <c r="AC732" i="1"/>
  <c r="AD733" i="1"/>
  <c r="AG733" i="1"/>
  <c r="AC733" i="1"/>
  <c r="AF733" i="1"/>
  <c r="AE740" i="1"/>
  <c r="AD740" i="1"/>
  <c r="AG740" i="1"/>
  <c r="AC740" i="1"/>
  <c r="AD741" i="1"/>
  <c r="AG741" i="1"/>
  <c r="AC741" i="1"/>
  <c r="AF741" i="1"/>
  <c r="AE748" i="1"/>
  <c r="AD748" i="1"/>
  <c r="AG748" i="1"/>
  <c r="AC748" i="1"/>
  <c r="AD749" i="1"/>
  <c r="AG749" i="1"/>
  <c r="AC749" i="1"/>
  <c r="AF749" i="1"/>
  <c r="AE756" i="1"/>
  <c r="AD756" i="1"/>
  <c r="AG756" i="1"/>
  <c r="AC756" i="1"/>
  <c r="AD757" i="1"/>
  <c r="AG757" i="1"/>
  <c r="AC757" i="1"/>
  <c r="AF757" i="1"/>
  <c r="AE764" i="1"/>
  <c r="AD764" i="1"/>
  <c r="AG764" i="1"/>
  <c r="AC764" i="1"/>
  <c r="AD765" i="1"/>
  <c r="AG765" i="1"/>
  <c r="AC765" i="1"/>
  <c r="AF765" i="1"/>
  <c r="AE772" i="1"/>
  <c r="AD772" i="1"/>
  <c r="AG772" i="1"/>
  <c r="AC772" i="1"/>
  <c r="AD773" i="1"/>
  <c r="AG773" i="1"/>
  <c r="AC773" i="1"/>
  <c r="AF773" i="1"/>
  <c r="AE780" i="1"/>
  <c r="AD780" i="1"/>
  <c r="AG780" i="1"/>
  <c r="AC780" i="1"/>
  <c r="AD781" i="1"/>
  <c r="AG781" i="1"/>
  <c r="AC781" i="1"/>
  <c r="AF781" i="1"/>
  <c r="AE788" i="1"/>
  <c r="AD788" i="1"/>
  <c r="AG788" i="1"/>
  <c r="AC788" i="1"/>
  <c r="AD789" i="1"/>
  <c r="AG789" i="1"/>
  <c r="AC789" i="1"/>
  <c r="AF789" i="1"/>
  <c r="AE796" i="1"/>
  <c r="AD796" i="1"/>
  <c r="AG796" i="1"/>
  <c r="AC796" i="1"/>
  <c r="AD797" i="1"/>
  <c r="AG797" i="1"/>
  <c r="AC797" i="1"/>
  <c r="AF797" i="1"/>
  <c r="AE804" i="1"/>
  <c r="AD804" i="1"/>
  <c r="AG804" i="1"/>
  <c r="AC804" i="1"/>
  <c r="AD805" i="1"/>
  <c r="AG805" i="1"/>
  <c r="AC805" i="1"/>
  <c r="AF805" i="1"/>
  <c r="AE812" i="1"/>
  <c r="AD812" i="1"/>
  <c r="AG812" i="1"/>
  <c r="AC812" i="1"/>
  <c r="AD813" i="1"/>
  <c r="AG813" i="1"/>
  <c r="AC813" i="1"/>
  <c r="AF813" i="1"/>
  <c r="AE820" i="1"/>
  <c r="AD820" i="1"/>
  <c r="AG820" i="1"/>
  <c r="AC820" i="1"/>
  <c r="AD821" i="1"/>
  <c r="AG821" i="1"/>
  <c r="AC821" i="1"/>
  <c r="AF821" i="1"/>
  <c r="AE828" i="1"/>
  <c r="AD828" i="1"/>
  <c r="AG828" i="1"/>
  <c r="AC828" i="1"/>
  <c r="AC829" i="1"/>
  <c r="AF829" i="1"/>
  <c r="AE836" i="1"/>
  <c r="AD836" i="1"/>
  <c r="AG836" i="1"/>
  <c r="AC836" i="1"/>
  <c r="AD837" i="1"/>
  <c r="AG837" i="1"/>
  <c r="AC837" i="1"/>
  <c r="AF837" i="1"/>
  <c r="AE844" i="1"/>
  <c r="AD844" i="1"/>
  <c r="AG844" i="1"/>
  <c r="AC844" i="1"/>
  <c r="AD845" i="1"/>
  <c r="AG845" i="1"/>
  <c r="AC845" i="1"/>
  <c r="AF845" i="1"/>
  <c r="AE852" i="1"/>
  <c r="AD852" i="1"/>
  <c r="AG852" i="1"/>
  <c r="AC852" i="1"/>
  <c r="AD853" i="1"/>
  <c r="AG853" i="1"/>
  <c r="AC853" i="1"/>
  <c r="AF853" i="1"/>
  <c r="AE860" i="1"/>
  <c r="AD860" i="1"/>
  <c r="AG860" i="1"/>
  <c r="AC860" i="1"/>
  <c r="AC861" i="1"/>
  <c r="AF861" i="1"/>
  <c r="AC868" i="1"/>
  <c r="AD869" i="1"/>
  <c r="AG869" i="1"/>
  <c r="AC869" i="1"/>
  <c r="AF869" i="1"/>
  <c r="AE876" i="1"/>
  <c r="AD876" i="1"/>
  <c r="AG876" i="1"/>
  <c r="AC876" i="1"/>
  <c r="AD877" i="1"/>
  <c r="AG877" i="1"/>
  <c r="AC877" i="1"/>
  <c r="AF877" i="1"/>
  <c r="AC884" i="1"/>
  <c r="AD885" i="1"/>
  <c r="AG885" i="1"/>
  <c r="AC885" i="1"/>
  <c r="AF885" i="1"/>
  <c r="AE892" i="1"/>
  <c r="AD892" i="1"/>
  <c r="AG892" i="1"/>
  <c r="AC892" i="1"/>
  <c r="AD893" i="1"/>
  <c r="AG893" i="1"/>
  <c r="AC893" i="1"/>
  <c r="AF893" i="1"/>
  <c r="AE900" i="1"/>
  <c r="AD900" i="1"/>
  <c r="AG900" i="1"/>
  <c r="AC900" i="1"/>
  <c r="AD901" i="1"/>
  <c r="AG901" i="1"/>
  <c r="AC901" i="1"/>
  <c r="AF901" i="1"/>
  <c r="AE908" i="1"/>
  <c r="AD908" i="1"/>
  <c r="AG908" i="1"/>
  <c r="AC908" i="1"/>
  <c r="AD909" i="1"/>
  <c r="AG909" i="1"/>
  <c r="AC909" i="1"/>
  <c r="AF909" i="1"/>
  <c r="AE916" i="1"/>
  <c r="AD916" i="1"/>
  <c r="AG916" i="1"/>
  <c r="AC916" i="1"/>
  <c r="AD917" i="1"/>
  <c r="AG917" i="1"/>
  <c r="AC917" i="1"/>
  <c r="AF917" i="1"/>
  <c r="AE924" i="1"/>
  <c r="AD924" i="1"/>
  <c r="AG924" i="1"/>
  <c r="AC924" i="1"/>
  <c r="AD925" i="1"/>
  <c r="AG925" i="1"/>
  <c r="AC925" i="1"/>
  <c r="AF925" i="1"/>
  <c r="AE932" i="1"/>
  <c r="AD932" i="1"/>
  <c r="AG932" i="1"/>
  <c r="AC932" i="1"/>
  <c r="AD933" i="1"/>
  <c r="AG933" i="1"/>
  <c r="AC933" i="1"/>
  <c r="AF933" i="1"/>
  <c r="AE940" i="1"/>
  <c r="AD940" i="1"/>
  <c r="AG940" i="1"/>
  <c r="AC940" i="1"/>
  <c r="AD941" i="1"/>
  <c r="AG941" i="1"/>
  <c r="AC941" i="1"/>
  <c r="AF941" i="1"/>
  <c r="AE948" i="1"/>
  <c r="AD948" i="1"/>
  <c r="AG948" i="1"/>
  <c r="AC948" i="1"/>
  <c r="AD949" i="1"/>
  <c r="AG949" i="1"/>
  <c r="AC949" i="1"/>
  <c r="AF949" i="1"/>
  <c r="AE956" i="1"/>
  <c r="AD956" i="1"/>
  <c r="AG956" i="1"/>
  <c r="AC956" i="1"/>
  <c r="AD957" i="1"/>
  <c r="AG957" i="1"/>
  <c r="AC957" i="1"/>
  <c r="AF957" i="1"/>
  <c r="AE964" i="1"/>
  <c r="AD964" i="1"/>
  <c r="AG964" i="1"/>
  <c r="AC964" i="1"/>
  <c r="AD965" i="1"/>
  <c r="AG965" i="1"/>
  <c r="AC965" i="1"/>
  <c r="AF965" i="1"/>
  <c r="AE972" i="1"/>
  <c r="AD972" i="1"/>
  <c r="AG972" i="1"/>
  <c r="AC972" i="1"/>
  <c r="AD973" i="1"/>
  <c r="AG973" i="1"/>
  <c r="AC973" i="1"/>
  <c r="AF973" i="1"/>
  <c r="AE980" i="1"/>
  <c r="AD980" i="1"/>
  <c r="AG980" i="1"/>
  <c r="AC980" i="1"/>
  <c r="AD981" i="1"/>
  <c r="AG981" i="1"/>
  <c r="AC981" i="1"/>
  <c r="AF981" i="1"/>
  <c r="AE988" i="1"/>
  <c r="AD988" i="1"/>
  <c r="AG988" i="1"/>
  <c r="AC988" i="1"/>
  <c r="AD989" i="1"/>
  <c r="AG989" i="1"/>
  <c r="AC989" i="1"/>
  <c r="AF989" i="1"/>
  <c r="AE996" i="1"/>
  <c r="AD996" i="1"/>
  <c r="AG996" i="1"/>
  <c r="AC996" i="1"/>
  <c r="AD997" i="1"/>
  <c r="AG997" i="1"/>
  <c r="AC997" i="1"/>
  <c r="AF997" i="1"/>
  <c r="AE1004" i="1"/>
  <c r="AD1004" i="1"/>
  <c r="AG1004" i="1"/>
  <c r="AC1004" i="1"/>
  <c r="AC1005" i="1"/>
  <c r="AF1005" i="1"/>
  <c r="AE1012" i="1"/>
  <c r="AD1012" i="1"/>
  <c r="AG1012" i="1"/>
  <c r="AC1012" i="1"/>
  <c r="AD1013" i="1"/>
  <c r="AG1013" i="1"/>
  <c r="AC1013" i="1"/>
  <c r="AF1013" i="1"/>
  <c r="AE1020" i="1"/>
  <c r="AD1020" i="1"/>
  <c r="AG1020" i="1"/>
  <c r="AC1020" i="1"/>
  <c r="AD1021" i="1"/>
  <c r="AG1021" i="1"/>
  <c r="AC1021" i="1"/>
  <c r="AF1021" i="1"/>
  <c r="AE1028" i="1"/>
  <c r="AD1028" i="1"/>
  <c r="AG1028" i="1"/>
  <c r="AC1028" i="1"/>
  <c r="AD1029" i="1"/>
  <c r="AG1029" i="1"/>
  <c r="AC1029" i="1"/>
  <c r="AF1029" i="1"/>
  <c r="AE1036" i="1"/>
  <c r="AD1036" i="1"/>
  <c r="AG1036" i="1"/>
  <c r="AC1036" i="1"/>
  <c r="AD1037" i="1"/>
  <c r="AG1037" i="1"/>
  <c r="AC1037" i="1"/>
  <c r="AF1037" i="1"/>
  <c r="AE1044" i="1"/>
  <c r="AD1044" i="1"/>
  <c r="AG1044" i="1"/>
  <c r="AC1044" i="1"/>
  <c r="AC1045" i="1"/>
  <c r="AF1045" i="1"/>
  <c r="AE1052" i="1"/>
  <c r="AD1052" i="1"/>
  <c r="AG1052" i="1"/>
  <c r="AC1052" i="1"/>
  <c r="AD1053" i="1"/>
  <c r="AG1053" i="1"/>
  <c r="AC1053" i="1"/>
  <c r="AF1053" i="1"/>
  <c r="AE1060" i="1"/>
  <c r="AD1060" i="1"/>
  <c r="AG1060" i="1"/>
  <c r="AC1060" i="1"/>
  <c r="AD1061" i="1"/>
  <c r="AG1061" i="1"/>
  <c r="AC1061" i="1"/>
  <c r="AF1061" i="1"/>
  <c r="AE1068" i="1"/>
  <c r="AD1068" i="1"/>
  <c r="AG1068" i="1"/>
  <c r="AC1068" i="1"/>
  <c r="AD1069" i="1"/>
  <c r="AG1069" i="1"/>
  <c r="AC1069" i="1"/>
  <c r="AF1069" i="1"/>
  <c r="AD1070" i="1"/>
  <c r="AE1073" i="1"/>
  <c r="AE1076" i="1"/>
  <c r="AD1076" i="1"/>
  <c r="AG1076" i="1"/>
  <c r="AC1076" i="1"/>
  <c r="AD1077" i="1"/>
  <c r="AG1077" i="1"/>
  <c r="AC1077" i="1"/>
  <c r="AF1077" i="1"/>
  <c r="AD1078" i="1"/>
  <c r="AE1081" i="1"/>
  <c r="AE1084" i="1"/>
  <c r="AD1084" i="1"/>
  <c r="AG1084" i="1"/>
  <c r="AC1084" i="1"/>
  <c r="AD1085" i="1"/>
  <c r="AG1085" i="1"/>
  <c r="AC1085" i="1"/>
  <c r="AF1085" i="1"/>
  <c r="AD1086" i="1"/>
  <c r="AE1089" i="1"/>
  <c r="AE1092" i="1"/>
  <c r="AD1092" i="1"/>
  <c r="AG1092" i="1"/>
  <c r="AC1092" i="1"/>
  <c r="AG1093" i="1"/>
  <c r="AC1093" i="1"/>
  <c r="AD1094" i="1"/>
  <c r="AE1097" i="1"/>
  <c r="AE1100" i="1"/>
  <c r="AD1100" i="1"/>
  <c r="AG1100" i="1"/>
  <c r="AC1100" i="1"/>
  <c r="AD1101" i="1"/>
  <c r="AG1101" i="1"/>
  <c r="AC1101" i="1"/>
  <c r="AF1101" i="1"/>
  <c r="AD1102" i="1"/>
  <c r="AE1105" i="1"/>
  <c r="AE1108" i="1"/>
  <c r="AD1108" i="1"/>
  <c r="AG1108" i="1"/>
  <c r="AC1108" i="1"/>
  <c r="AD1109" i="1"/>
  <c r="AG1109" i="1"/>
  <c r="AC1109" i="1"/>
  <c r="AF1109" i="1"/>
  <c r="AD1110" i="1"/>
  <c r="AE1113" i="1"/>
  <c r="AE1116" i="1"/>
  <c r="AD1116" i="1"/>
  <c r="AG1116" i="1"/>
  <c r="AC1116" i="1"/>
  <c r="AD1117" i="1"/>
  <c r="AG1117" i="1"/>
  <c r="AC1117" i="1"/>
  <c r="AF1117" i="1"/>
  <c r="AD1118" i="1"/>
  <c r="AE1121" i="1"/>
  <c r="AE1124" i="1"/>
  <c r="AD1124" i="1"/>
  <c r="AG1124" i="1"/>
  <c r="AC1124" i="1"/>
  <c r="AD1125" i="1"/>
  <c r="AG1125" i="1"/>
  <c r="AC1125" i="1"/>
  <c r="AF1125" i="1"/>
  <c r="AD1126" i="1"/>
  <c r="AE1129" i="1"/>
  <c r="AE1132" i="1"/>
  <c r="AD1132" i="1"/>
  <c r="AG1132" i="1"/>
  <c r="AC1132" i="1"/>
  <c r="AD1133" i="1"/>
  <c r="AG1133" i="1"/>
  <c r="AC1133" i="1"/>
  <c r="AF1133" i="1"/>
  <c r="AD1134" i="1"/>
  <c r="AE1137" i="1"/>
  <c r="AE1140" i="1"/>
  <c r="AD1140" i="1"/>
  <c r="AG1140" i="1"/>
  <c r="AC1140" i="1"/>
  <c r="AD1141" i="1"/>
  <c r="AG1141" i="1"/>
  <c r="AC1141" i="1"/>
  <c r="AF1141" i="1"/>
  <c r="AD1142" i="1"/>
  <c r="AE1145" i="1"/>
  <c r="AE1148" i="1"/>
  <c r="AD1148" i="1"/>
  <c r="AG1148" i="1"/>
  <c r="AC1148" i="1"/>
  <c r="AD1149" i="1"/>
  <c r="AG1149" i="1"/>
  <c r="AC1149" i="1"/>
  <c r="AF1149" i="1"/>
  <c r="AD1150" i="1"/>
  <c r="AE1153" i="1"/>
  <c r="AE1156" i="1"/>
  <c r="AD1156" i="1"/>
  <c r="AG1156" i="1"/>
  <c r="AC1156" i="1"/>
  <c r="AD1157" i="1"/>
  <c r="AG1157" i="1"/>
  <c r="AC1157" i="1"/>
  <c r="AF1157" i="1"/>
  <c r="AD1158" i="1"/>
  <c r="AE1161" i="1"/>
  <c r="AE1164" i="1"/>
  <c r="AD1164" i="1"/>
  <c r="AG1164" i="1"/>
  <c r="AC1164" i="1"/>
  <c r="AD1165" i="1"/>
  <c r="AG1165" i="1"/>
  <c r="AC1165" i="1"/>
  <c r="AF1165" i="1"/>
  <c r="AD1166" i="1"/>
  <c r="AE1169" i="1"/>
  <c r="AD1172" i="1"/>
  <c r="AE1178" i="1"/>
  <c r="AG1178" i="1"/>
  <c r="AC1178" i="1"/>
  <c r="AF1178" i="1"/>
  <c r="AD1178" i="1"/>
  <c r="AF1184" i="1"/>
  <c r="AD1184" i="1"/>
  <c r="AE1194" i="1"/>
  <c r="AG1194" i="1"/>
  <c r="AC1194" i="1"/>
  <c r="AF1194" i="1"/>
  <c r="AD1194" i="1"/>
  <c r="AF1200" i="1"/>
  <c r="AD1200" i="1"/>
  <c r="AE1210" i="1"/>
  <c r="AG1210" i="1"/>
  <c r="AC1210" i="1"/>
  <c r="AF1210" i="1"/>
  <c r="AD1210" i="1"/>
  <c r="AF1216" i="1"/>
  <c r="AD1216" i="1"/>
  <c r="AE1226" i="1"/>
  <c r="AG1226" i="1"/>
  <c r="AC1226" i="1"/>
  <c r="AF1226" i="1"/>
  <c r="AD1226" i="1"/>
  <c r="AF1232" i="1"/>
  <c r="AD1232" i="1"/>
  <c r="AE1242" i="1"/>
  <c r="AC1242" i="1"/>
  <c r="AD1242" i="1"/>
  <c r="AF1248" i="1"/>
  <c r="AD1248" i="1"/>
  <c r="AE1258" i="1"/>
  <c r="AC1258" i="1"/>
  <c r="AD1258" i="1"/>
  <c r="AF1264" i="1"/>
  <c r="AD1264" i="1"/>
  <c r="AE1274" i="1"/>
  <c r="AG1274" i="1"/>
  <c r="AC1274" i="1"/>
  <c r="AF1274" i="1"/>
  <c r="AD1274" i="1"/>
  <c r="AF1280" i="1"/>
  <c r="AD1280" i="1"/>
  <c r="AD1291" i="1"/>
  <c r="AG1291" i="1"/>
  <c r="AC1291" i="1"/>
  <c r="AF1291" i="1"/>
  <c r="AE1291" i="1"/>
  <c r="AE1298" i="1"/>
  <c r="AD1298" i="1"/>
  <c r="AG1298" i="1"/>
  <c r="AC1298" i="1"/>
  <c r="AF1298" i="1"/>
  <c r="AD1312" i="1"/>
  <c r="AD1323" i="1"/>
  <c r="AG1323" i="1"/>
  <c r="AC1323" i="1"/>
  <c r="AF1323" i="1"/>
  <c r="AE1323" i="1"/>
  <c r="AE1330" i="1"/>
  <c r="AD1330" i="1"/>
  <c r="AG1330" i="1"/>
  <c r="AC1330" i="1"/>
  <c r="AF1330" i="1"/>
  <c r="AD1344" i="1"/>
  <c r="AD1355" i="1"/>
  <c r="AG1355" i="1"/>
  <c r="AC1355" i="1"/>
  <c r="AF1355" i="1"/>
  <c r="AE1355" i="1"/>
  <c r="AE1362" i="1"/>
  <c r="AD1362" i="1"/>
  <c r="AG1362" i="1"/>
  <c r="AC1362" i="1"/>
  <c r="AF1362" i="1"/>
  <c r="AD1376" i="1"/>
  <c r="AG1387" i="1"/>
  <c r="AC1387" i="1"/>
  <c r="AE1394" i="1"/>
  <c r="AD1394" i="1"/>
  <c r="AG1394" i="1"/>
  <c r="AC1394" i="1"/>
  <c r="AF1394" i="1"/>
  <c r="AD1408" i="1"/>
  <c r="AD1419" i="1"/>
  <c r="AC1419" i="1"/>
  <c r="AE1419" i="1"/>
  <c r="AD1427" i="1"/>
  <c r="AG1427" i="1"/>
  <c r="AC1427" i="1"/>
  <c r="AF1427" i="1"/>
  <c r="AE1427" i="1"/>
  <c r="AD1435" i="1"/>
  <c r="AG1435" i="1"/>
  <c r="AC1435" i="1"/>
  <c r="AF1435" i="1"/>
  <c r="AE1435" i="1"/>
  <c r="AD1443" i="1"/>
  <c r="AG1443" i="1"/>
  <c r="AC1443" i="1"/>
  <c r="AF1443" i="1"/>
  <c r="AE1443" i="1"/>
  <c r="AD1451" i="1"/>
  <c r="AG1451" i="1"/>
  <c r="AC1451" i="1"/>
  <c r="AF1451" i="1"/>
  <c r="AE1451" i="1"/>
  <c r="AD1459" i="1"/>
  <c r="AG1459" i="1"/>
  <c r="AC1459" i="1"/>
  <c r="AF1459" i="1"/>
  <c r="AE1459" i="1"/>
  <c r="AD1467" i="1"/>
  <c r="AG1467" i="1"/>
  <c r="AC1467" i="1"/>
  <c r="AF1467" i="1"/>
  <c r="AE1467" i="1"/>
  <c r="AD1475" i="1"/>
  <c r="AG1475" i="1"/>
  <c r="AC1475" i="1"/>
  <c r="AF1475" i="1"/>
  <c r="AE1475" i="1"/>
  <c r="AD1483" i="1"/>
  <c r="AG1483" i="1"/>
  <c r="AC1483" i="1"/>
  <c r="AF1483" i="1"/>
  <c r="AE1483" i="1"/>
  <c r="AD1491" i="1"/>
  <c r="AG1491" i="1"/>
  <c r="AC1491" i="1"/>
  <c r="AF1491" i="1"/>
  <c r="AE1491" i="1"/>
  <c r="AD1499" i="1"/>
  <c r="AG1499" i="1"/>
  <c r="AC1499" i="1"/>
  <c r="AF1499" i="1"/>
  <c r="AE1499" i="1"/>
  <c r="AG1507" i="1"/>
  <c r="AC1507" i="1"/>
  <c r="AD1515" i="1"/>
  <c r="AG1515" i="1"/>
  <c r="AC1515" i="1"/>
  <c r="AF1515" i="1"/>
  <c r="AE1515" i="1"/>
  <c r="AD1523" i="1"/>
  <c r="AG1523" i="1"/>
  <c r="AC1523" i="1"/>
  <c r="AF1523" i="1"/>
  <c r="AE1523" i="1"/>
  <c r="AD1531" i="1"/>
  <c r="AG1531" i="1"/>
  <c r="AC1531" i="1"/>
  <c r="AF1531" i="1"/>
  <c r="AE1531" i="1"/>
  <c r="AG1539" i="1"/>
  <c r="AC1539" i="1"/>
  <c r="AD1547" i="1"/>
  <c r="AG1547" i="1"/>
  <c r="AC1547" i="1"/>
  <c r="AF1547" i="1"/>
  <c r="AE1547" i="1"/>
  <c r="AF1555" i="1"/>
  <c r="AD1555" i="1"/>
  <c r="AG1555" i="1"/>
  <c r="AE1555" i="1"/>
  <c r="AC1555" i="1"/>
  <c r="AD1613" i="1"/>
  <c r="AF1613" i="1"/>
  <c r="AC1613" i="1"/>
  <c r="AG1613" i="1"/>
  <c r="AE1613" i="1"/>
  <c r="AD1629" i="1"/>
  <c r="AF1629" i="1"/>
  <c r="AC1629" i="1"/>
  <c r="AG1629" i="1"/>
  <c r="AE1629" i="1"/>
  <c r="AC405" i="1"/>
  <c r="M408" i="1"/>
  <c r="R408" i="1" s="1"/>
  <c r="AC409" i="1"/>
  <c r="M412" i="1"/>
  <c r="R412" i="1" s="1"/>
  <c r="AC413" i="1"/>
  <c r="M416" i="1"/>
  <c r="R416" i="1" s="1"/>
  <c r="AC417" i="1"/>
  <c r="M420" i="1"/>
  <c r="R420" i="1" s="1"/>
  <c r="AC421" i="1"/>
  <c r="M424" i="1"/>
  <c r="R424" i="1" s="1"/>
  <c r="AC425" i="1"/>
  <c r="M428" i="1"/>
  <c r="R428" i="1" s="1"/>
  <c r="AC429" i="1"/>
  <c r="M432" i="1"/>
  <c r="R432" i="1" s="1"/>
  <c r="AC433" i="1"/>
  <c r="M436" i="1"/>
  <c r="R436" i="1" s="1"/>
  <c r="AC437" i="1"/>
  <c r="M440" i="1"/>
  <c r="R440" i="1" s="1"/>
  <c r="AC441" i="1"/>
  <c r="M444" i="1"/>
  <c r="R444" i="1" s="1"/>
  <c r="AC445" i="1"/>
  <c r="M448" i="1"/>
  <c r="R448" i="1" s="1"/>
  <c r="AC449" i="1"/>
  <c r="M452" i="1"/>
  <c r="R452" i="1" s="1"/>
  <c r="AC453" i="1"/>
  <c r="M456" i="1"/>
  <c r="R456" i="1" s="1"/>
  <c r="AC457" i="1"/>
  <c r="M460" i="1"/>
  <c r="R460" i="1" s="1"/>
  <c r="AC461" i="1"/>
  <c r="M464" i="1"/>
  <c r="R464" i="1" s="1"/>
  <c r="AC465" i="1"/>
  <c r="M468" i="1"/>
  <c r="R468" i="1" s="1"/>
  <c r="AC469" i="1"/>
  <c r="M472" i="1"/>
  <c r="R472" i="1" s="1"/>
  <c r="AC473" i="1"/>
  <c r="M476" i="1"/>
  <c r="R476" i="1" s="1"/>
  <c r="AC477" i="1"/>
  <c r="M480" i="1"/>
  <c r="R480" i="1" s="1"/>
  <c r="AC481" i="1"/>
  <c r="M484" i="1"/>
  <c r="R484" i="1" s="1"/>
  <c r="AC485" i="1"/>
  <c r="M488" i="1"/>
  <c r="R488" i="1" s="1"/>
  <c r="AC489" i="1"/>
  <c r="M492" i="1"/>
  <c r="R492" i="1" s="1"/>
  <c r="AC493" i="1"/>
  <c r="M496" i="1"/>
  <c r="R496" i="1" s="1"/>
  <c r="AC497" i="1"/>
  <c r="M500" i="1"/>
  <c r="R500" i="1" s="1"/>
  <c r="AC501" i="1"/>
  <c r="M504" i="1"/>
  <c r="R504" i="1" s="1"/>
  <c r="AC505" i="1"/>
  <c r="M508" i="1"/>
  <c r="R508" i="1" s="1"/>
  <c r="AC509" i="1"/>
  <c r="M512" i="1"/>
  <c r="R512" i="1" s="1"/>
  <c r="AC513" i="1"/>
  <c r="M516" i="1"/>
  <c r="R516" i="1" s="1"/>
  <c r="AC517" i="1"/>
  <c r="M520" i="1"/>
  <c r="R520" i="1" s="1"/>
  <c r="AC521" i="1"/>
  <c r="M524" i="1"/>
  <c r="R524" i="1" s="1"/>
  <c r="AC525" i="1"/>
  <c r="M528" i="1"/>
  <c r="R528" i="1" s="1"/>
  <c r="AC529" i="1"/>
  <c r="M533" i="1"/>
  <c r="R533" i="1" s="1"/>
  <c r="AE534" i="1"/>
  <c r="AG534" i="1"/>
  <c r="M535" i="1"/>
  <c r="R535" i="1" s="1"/>
  <c r="M538" i="1"/>
  <c r="R538" i="1" s="1"/>
  <c r="AC539" i="1"/>
  <c r="AC541" i="1"/>
  <c r="AF545" i="1"/>
  <c r="AG545" i="1"/>
  <c r="AC546" i="1"/>
  <c r="M549" i="1"/>
  <c r="R549" i="1" s="1"/>
  <c r="AE550" i="1"/>
  <c r="AG550" i="1"/>
  <c r="M551" i="1"/>
  <c r="R551" i="1" s="1"/>
  <c r="M554" i="1"/>
  <c r="R554" i="1" s="1"/>
  <c r="AC555" i="1"/>
  <c r="AC557" i="1"/>
  <c r="AF561" i="1"/>
  <c r="AG561" i="1"/>
  <c r="AC562" i="1"/>
  <c r="M565" i="1"/>
  <c r="R565" i="1" s="1"/>
  <c r="AE566" i="1"/>
  <c r="AG566" i="1"/>
  <c r="M567" i="1"/>
  <c r="R567" i="1" s="1"/>
  <c r="M570" i="1"/>
  <c r="R570" i="1" s="1"/>
  <c r="AC571" i="1"/>
  <c r="AC573" i="1"/>
  <c r="AF577" i="1"/>
  <c r="AG577" i="1"/>
  <c r="AC578" i="1"/>
  <c r="M581" i="1"/>
  <c r="R581" i="1" s="1"/>
  <c r="AE582" i="1"/>
  <c r="AG582" i="1"/>
  <c r="M583" i="1"/>
  <c r="R583" i="1" s="1"/>
  <c r="M586" i="1"/>
  <c r="R586" i="1" s="1"/>
  <c r="AC587" i="1"/>
  <c r="AC589" i="1"/>
  <c r="AF593" i="1"/>
  <c r="AG593" i="1"/>
  <c r="AC594" i="1"/>
  <c r="M597" i="1"/>
  <c r="R597" i="1" s="1"/>
  <c r="AE598" i="1"/>
  <c r="AG598" i="1"/>
  <c r="M599" i="1"/>
  <c r="R599" i="1" s="1"/>
  <c r="M602" i="1"/>
  <c r="R602" i="1" s="1"/>
  <c r="AC603" i="1"/>
  <c r="AC605" i="1"/>
  <c r="AF609" i="1"/>
  <c r="AG609" i="1"/>
  <c r="AC610" i="1"/>
  <c r="M613" i="1"/>
  <c r="R613" i="1" s="1"/>
  <c r="AE614" i="1"/>
  <c r="AG614" i="1"/>
  <c r="M615" i="1"/>
  <c r="R615" i="1" s="1"/>
  <c r="M618" i="1"/>
  <c r="R618" i="1" s="1"/>
  <c r="AC619" i="1"/>
  <c r="AC621" i="1"/>
  <c r="AF625" i="1"/>
  <c r="AG625" i="1"/>
  <c r="AC626" i="1"/>
  <c r="M629" i="1"/>
  <c r="R629" i="1" s="1"/>
  <c r="AE630" i="1"/>
  <c r="AG630" i="1"/>
  <c r="M631" i="1"/>
  <c r="R631" i="1" s="1"/>
  <c r="M634" i="1"/>
  <c r="R634" i="1" s="1"/>
  <c r="AC635" i="1"/>
  <c r="AC637" i="1"/>
  <c r="AF641" i="1"/>
  <c r="AG641" i="1"/>
  <c r="AC642" i="1"/>
  <c r="M645" i="1"/>
  <c r="R645" i="1" s="1"/>
  <c r="AE646" i="1"/>
  <c r="AG646" i="1"/>
  <c r="M647" i="1"/>
  <c r="R647" i="1" s="1"/>
  <c r="AD648" i="1"/>
  <c r="M651" i="1"/>
  <c r="R651" i="1" s="1"/>
  <c r="AF652" i="1"/>
  <c r="AG658" i="1"/>
  <c r="AF659" i="1"/>
  <c r="AE659" i="1"/>
  <c r="AD659" i="1"/>
  <c r="AF660" i="1"/>
  <c r="AG666" i="1"/>
  <c r="AF667" i="1"/>
  <c r="AE667" i="1"/>
  <c r="AD667" i="1"/>
  <c r="AF668" i="1"/>
  <c r="AG674" i="1"/>
  <c r="AF675" i="1"/>
  <c r="AE675" i="1"/>
  <c r="AD675" i="1"/>
  <c r="AF676" i="1"/>
  <c r="AG682" i="1"/>
  <c r="AF683" i="1"/>
  <c r="AE683" i="1"/>
  <c r="AD683" i="1"/>
  <c r="AF684" i="1"/>
  <c r="AG690" i="1"/>
  <c r="AF691" i="1"/>
  <c r="AE691" i="1"/>
  <c r="AD691" i="1"/>
  <c r="AF692" i="1"/>
  <c r="AG698" i="1"/>
  <c r="AF699" i="1"/>
  <c r="AE699" i="1"/>
  <c r="AD699" i="1"/>
  <c r="AF700" i="1"/>
  <c r="AG706" i="1"/>
  <c r="AF707" i="1"/>
  <c r="AE707" i="1"/>
  <c r="AD707" i="1"/>
  <c r="AF708" i="1"/>
  <c r="AG714" i="1"/>
  <c r="AF715" i="1"/>
  <c r="AE715" i="1"/>
  <c r="AD715" i="1"/>
  <c r="AF716" i="1"/>
  <c r="AG722" i="1"/>
  <c r="AF723" i="1"/>
  <c r="AE723" i="1"/>
  <c r="AD723" i="1"/>
  <c r="AF724" i="1"/>
  <c r="AG730" i="1"/>
  <c r="AF731" i="1"/>
  <c r="AE731" i="1"/>
  <c r="AD731" i="1"/>
  <c r="AF732" i="1"/>
  <c r="AG738" i="1"/>
  <c r="AF739" i="1"/>
  <c r="AE739" i="1"/>
  <c r="AD739" i="1"/>
  <c r="AF740" i="1"/>
  <c r="AG746" i="1"/>
  <c r="AF747" i="1"/>
  <c r="AE747" i="1"/>
  <c r="AD747" i="1"/>
  <c r="AF748" i="1"/>
  <c r="AG754" i="1"/>
  <c r="AF755" i="1"/>
  <c r="AE755" i="1"/>
  <c r="AD755" i="1"/>
  <c r="AF756" i="1"/>
  <c r="AG762" i="1"/>
  <c r="AF763" i="1"/>
  <c r="AE763" i="1"/>
  <c r="AD763" i="1"/>
  <c r="AF764" i="1"/>
  <c r="AG770" i="1"/>
  <c r="AE771" i="1"/>
  <c r="AF772" i="1"/>
  <c r="AG778" i="1"/>
  <c r="AF779" i="1"/>
  <c r="AE779" i="1"/>
  <c r="AD779" i="1"/>
  <c r="AF780" i="1"/>
  <c r="AG786" i="1"/>
  <c r="AF787" i="1"/>
  <c r="AE787" i="1"/>
  <c r="AD787" i="1"/>
  <c r="AF788" i="1"/>
  <c r="AG794" i="1"/>
  <c r="AF796" i="1"/>
  <c r="AC799" i="1"/>
  <c r="AG802" i="1"/>
  <c r="AF803" i="1"/>
  <c r="AE803" i="1"/>
  <c r="AD803" i="1"/>
  <c r="AF804" i="1"/>
  <c r="AG810" i="1"/>
  <c r="AF811" i="1"/>
  <c r="AE811" i="1"/>
  <c r="AD811" i="1"/>
  <c r="AF812" i="1"/>
  <c r="AG818" i="1"/>
  <c r="AF819" i="1"/>
  <c r="AE819" i="1"/>
  <c r="AD819" i="1"/>
  <c r="AF820" i="1"/>
  <c r="AG826" i="1"/>
  <c r="AF827" i="1"/>
  <c r="AE827" i="1"/>
  <c r="AD827" i="1"/>
  <c r="AF828" i="1"/>
  <c r="AG834" i="1"/>
  <c r="AF835" i="1"/>
  <c r="AE835" i="1"/>
  <c r="AD835" i="1"/>
  <c r="AF836" i="1"/>
  <c r="AG842" i="1"/>
  <c r="AF843" i="1"/>
  <c r="AE843" i="1"/>
  <c r="AD843" i="1"/>
  <c r="AF844" i="1"/>
  <c r="AG850" i="1"/>
  <c r="AF851" i="1"/>
  <c r="AE851" i="1"/>
  <c r="AD851" i="1"/>
  <c r="AF852" i="1"/>
  <c r="AC855" i="1"/>
  <c r="AG858" i="1"/>
  <c r="AF859" i="1"/>
  <c r="AE859" i="1"/>
  <c r="AD859" i="1"/>
  <c r="AF860" i="1"/>
  <c r="AC863" i="1"/>
  <c r="AG866" i="1"/>
  <c r="AF867" i="1"/>
  <c r="AE867" i="1"/>
  <c r="AD867" i="1"/>
  <c r="AC871" i="1"/>
  <c r="AG874" i="1"/>
  <c r="AF875" i="1"/>
  <c r="AE875" i="1"/>
  <c r="AD875" i="1"/>
  <c r="AF876" i="1"/>
  <c r="AC879" i="1"/>
  <c r="AG882" i="1"/>
  <c r="AF883" i="1"/>
  <c r="AE883" i="1"/>
  <c r="AD883" i="1"/>
  <c r="AF884" i="1"/>
  <c r="AG890" i="1"/>
  <c r="AF891" i="1"/>
  <c r="AE891" i="1"/>
  <c r="AD891" i="1"/>
  <c r="AF892" i="1"/>
  <c r="AG898" i="1"/>
  <c r="AF899" i="1"/>
  <c r="AE899" i="1"/>
  <c r="AD899" i="1"/>
  <c r="AF900" i="1"/>
  <c r="AC903" i="1"/>
  <c r="AG906" i="1"/>
  <c r="AF907" i="1"/>
  <c r="AE907" i="1"/>
  <c r="AD907" i="1"/>
  <c r="AF908" i="1"/>
  <c r="AC911" i="1"/>
  <c r="AG914" i="1"/>
  <c r="AF915" i="1"/>
  <c r="AE915" i="1"/>
  <c r="AD915" i="1"/>
  <c r="AF916" i="1"/>
  <c r="AC919" i="1"/>
  <c r="AG922" i="1"/>
  <c r="AF923" i="1"/>
  <c r="AE923" i="1"/>
  <c r="AD923" i="1"/>
  <c r="AF924" i="1"/>
  <c r="AC927" i="1"/>
  <c r="AG930" i="1"/>
  <c r="AF931" i="1"/>
  <c r="AE931" i="1"/>
  <c r="AD931" i="1"/>
  <c r="AF932" i="1"/>
  <c r="AC935" i="1"/>
  <c r="AG938" i="1"/>
  <c r="AF939" i="1"/>
  <c r="AE939" i="1"/>
  <c r="AD939" i="1"/>
  <c r="AF940" i="1"/>
  <c r="AG946" i="1"/>
  <c r="AF947" i="1"/>
  <c r="AE947" i="1"/>
  <c r="AD947" i="1"/>
  <c r="AF948" i="1"/>
  <c r="AF955" i="1"/>
  <c r="AE955" i="1"/>
  <c r="AD955" i="1"/>
  <c r="AF956" i="1"/>
  <c r="AG962" i="1"/>
  <c r="AF963" i="1"/>
  <c r="AE963" i="1"/>
  <c r="AD963" i="1"/>
  <c r="AF964" i="1"/>
  <c r="AF971" i="1"/>
  <c r="AE971" i="1"/>
  <c r="AD971" i="1"/>
  <c r="AF972" i="1"/>
  <c r="AG978" i="1"/>
  <c r="AF979" i="1"/>
  <c r="AE979" i="1"/>
  <c r="AD979" i="1"/>
  <c r="AF980" i="1"/>
  <c r="AG986" i="1"/>
  <c r="AF987" i="1"/>
  <c r="AE987" i="1"/>
  <c r="AD987" i="1"/>
  <c r="AF988" i="1"/>
  <c r="AG994" i="1"/>
  <c r="AF995" i="1"/>
  <c r="AE995" i="1"/>
  <c r="AD995" i="1"/>
  <c r="AF996" i="1"/>
  <c r="AG1002" i="1"/>
  <c r="AF1003" i="1"/>
  <c r="AE1003" i="1"/>
  <c r="AD1003" i="1"/>
  <c r="AF1004" i="1"/>
  <c r="AG1010" i="1"/>
  <c r="AF1011" i="1"/>
  <c r="AE1011" i="1"/>
  <c r="AD1011" i="1"/>
  <c r="AF1012" i="1"/>
  <c r="AG1018" i="1"/>
  <c r="AF1019" i="1"/>
  <c r="AE1019" i="1"/>
  <c r="AD1019" i="1"/>
  <c r="AF1020" i="1"/>
  <c r="AF1027" i="1"/>
  <c r="AE1027" i="1"/>
  <c r="AD1027" i="1"/>
  <c r="AF1028" i="1"/>
  <c r="AC1031" i="1"/>
  <c r="AG1034" i="1"/>
  <c r="AF1035" i="1"/>
  <c r="AE1035" i="1"/>
  <c r="AD1035" i="1"/>
  <c r="AF1036" i="1"/>
  <c r="AC1039" i="1"/>
  <c r="AG1042" i="1"/>
  <c r="AF1043" i="1"/>
  <c r="AE1043" i="1"/>
  <c r="AD1043" i="1"/>
  <c r="AF1044" i="1"/>
  <c r="AC1047" i="1"/>
  <c r="AG1050" i="1"/>
  <c r="AF1051" i="1"/>
  <c r="AE1051" i="1"/>
  <c r="AD1051" i="1"/>
  <c r="AF1052" i="1"/>
  <c r="AC1055" i="1"/>
  <c r="AG1058" i="1"/>
  <c r="AF1059" i="1"/>
  <c r="AE1059" i="1"/>
  <c r="AD1059" i="1"/>
  <c r="AF1060" i="1"/>
  <c r="AC1063" i="1"/>
  <c r="AG1066" i="1"/>
  <c r="AF1067" i="1"/>
  <c r="AE1067" i="1"/>
  <c r="AD1067" i="1"/>
  <c r="AF1068" i="1"/>
  <c r="AC1071" i="1"/>
  <c r="AG1074" i="1"/>
  <c r="AF1075" i="1"/>
  <c r="AE1075" i="1"/>
  <c r="AD1075" i="1"/>
  <c r="AF1076" i="1"/>
  <c r="AC1079" i="1"/>
  <c r="AG1082" i="1"/>
  <c r="AF1083" i="1"/>
  <c r="AE1083" i="1"/>
  <c r="AD1083" i="1"/>
  <c r="AF1084" i="1"/>
  <c r="AG1090" i="1"/>
  <c r="AF1091" i="1"/>
  <c r="AE1091" i="1"/>
  <c r="AD1091" i="1"/>
  <c r="AF1092" i="1"/>
  <c r="AG1098" i="1"/>
  <c r="AF1099" i="1"/>
  <c r="AE1099" i="1"/>
  <c r="AD1099" i="1"/>
  <c r="AF1100" i="1"/>
  <c r="AC1103" i="1"/>
  <c r="AG1106" i="1"/>
  <c r="AF1107" i="1"/>
  <c r="AE1107" i="1"/>
  <c r="AD1107" i="1"/>
  <c r="AF1108" i="1"/>
  <c r="AC1111" i="1"/>
  <c r="AG1114" i="1"/>
  <c r="AF1115" i="1"/>
  <c r="AE1115" i="1"/>
  <c r="AD1115" i="1"/>
  <c r="AF1116" i="1"/>
  <c r="AC1119" i="1"/>
  <c r="AG1122" i="1"/>
  <c r="AF1123" i="1"/>
  <c r="AE1123" i="1"/>
  <c r="AD1123" i="1"/>
  <c r="AF1124" i="1"/>
  <c r="AC1127" i="1"/>
  <c r="AG1130" i="1"/>
  <c r="AE1131" i="1"/>
  <c r="AF1132" i="1"/>
  <c r="AC1135" i="1"/>
  <c r="AG1138" i="1"/>
  <c r="AF1139" i="1"/>
  <c r="AE1139" i="1"/>
  <c r="AD1139" i="1"/>
  <c r="AF1140" i="1"/>
  <c r="AC1143" i="1"/>
  <c r="AG1146" i="1"/>
  <c r="AF1147" i="1"/>
  <c r="AE1147" i="1"/>
  <c r="AD1147" i="1"/>
  <c r="AF1148" i="1"/>
  <c r="AC1151" i="1"/>
  <c r="AG1154" i="1"/>
  <c r="AF1155" i="1"/>
  <c r="AE1155" i="1"/>
  <c r="AD1155" i="1"/>
  <c r="AF1156" i="1"/>
  <c r="AG1162" i="1"/>
  <c r="AF1163" i="1"/>
  <c r="AE1163" i="1"/>
  <c r="AD1163" i="1"/>
  <c r="AF1164" i="1"/>
  <c r="AG1170" i="1"/>
  <c r="AF1171" i="1"/>
  <c r="AE1171" i="1"/>
  <c r="AD1171" i="1"/>
  <c r="AF1181" i="1"/>
  <c r="AD1181" i="1"/>
  <c r="AC1181" i="1"/>
  <c r="AG1181" i="1"/>
  <c r="AF1197" i="1"/>
  <c r="AD1197" i="1"/>
  <c r="AC1197" i="1"/>
  <c r="AG1197" i="1"/>
  <c r="AF1213" i="1"/>
  <c r="AD1213" i="1"/>
  <c r="AC1213" i="1"/>
  <c r="AG1213" i="1"/>
  <c r="AF1229" i="1"/>
  <c r="AD1229" i="1"/>
  <c r="AC1229" i="1"/>
  <c r="AG1229" i="1"/>
  <c r="AF1245" i="1"/>
  <c r="AD1245" i="1"/>
  <c r="AC1245" i="1"/>
  <c r="AG1245" i="1"/>
  <c r="AF1261" i="1"/>
  <c r="AD1261" i="1"/>
  <c r="AC1261" i="1"/>
  <c r="AG1261" i="1"/>
  <c r="AD1277" i="1"/>
  <c r="AC1277" i="1"/>
  <c r="AD1283" i="1"/>
  <c r="AG1283" i="1"/>
  <c r="AC1283" i="1"/>
  <c r="AF1283" i="1"/>
  <c r="AE1283" i="1"/>
  <c r="AE1290" i="1"/>
  <c r="AD1290" i="1"/>
  <c r="AG1290" i="1"/>
  <c r="AC1290" i="1"/>
  <c r="AF1290" i="1"/>
  <c r="AE1303" i="1"/>
  <c r="AD1304" i="1"/>
  <c r="AD1315" i="1"/>
  <c r="AG1315" i="1"/>
  <c r="AC1315" i="1"/>
  <c r="AF1315" i="1"/>
  <c r="AE1315" i="1"/>
  <c r="AE1322" i="1"/>
  <c r="AD1322" i="1"/>
  <c r="AG1322" i="1"/>
  <c r="AC1322" i="1"/>
  <c r="AF1322" i="1"/>
  <c r="AD1336" i="1"/>
  <c r="AD1347" i="1"/>
  <c r="AG1347" i="1"/>
  <c r="AC1347" i="1"/>
  <c r="AF1347" i="1"/>
  <c r="AE1347" i="1"/>
  <c r="AE1354" i="1"/>
  <c r="AD1354" i="1"/>
  <c r="AG1354" i="1"/>
  <c r="AC1354" i="1"/>
  <c r="AF1354" i="1"/>
  <c r="AE1367" i="1"/>
  <c r="AD1379" i="1"/>
  <c r="AG1379" i="1"/>
  <c r="AC1379" i="1"/>
  <c r="AF1379" i="1"/>
  <c r="AE1379" i="1"/>
  <c r="AE1386" i="1"/>
  <c r="AD1386" i="1"/>
  <c r="AG1386" i="1"/>
  <c r="AC1386" i="1"/>
  <c r="AF1386" i="1"/>
  <c r="AE1399" i="1"/>
  <c r="AD1400" i="1"/>
  <c r="AD1411" i="1"/>
  <c r="AG1411" i="1"/>
  <c r="AC1411" i="1"/>
  <c r="AF1411" i="1"/>
  <c r="AE1411" i="1"/>
  <c r="AE1418" i="1"/>
  <c r="AC1418" i="1"/>
  <c r="AF1418" i="1"/>
  <c r="AE1426" i="1"/>
  <c r="AD1426" i="1"/>
  <c r="AG1426" i="1"/>
  <c r="AC1426" i="1"/>
  <c r="AF1426" i="1"/>
  <c r="AE1434" i="1"/>
  <c r="AD1434" i="1"/>
  <c r="AG1434" i="1"/>
  <c r="AC1434" i="1"/>
  <c r="AF1434" i="1"/>
  <c r="AE1442" i="1"/>
  <c r="AD1442" i="1"/>
  <c r="AG1442" i="1"/>
  <c r="AC1442" i="1"/>
  <c r="AF1442" i="1"/>
  <c r="AE1450" i="1"/>
  <c r="AD1450" i="1"/>
  <c r="AG1450" i="1"/>
  <c r="AC1450" i="1"/>
  <c r="AF1450" i="1"/>
  <c r="AG1453" i="1"/>
  <c r="AE1458" i="1"/>
  <c r="AD1458" i="1"/>
  <c r="AG1458" i="1"/>
  <c r="AC1458" i="1"/>
  <c r="AF1458" i="1"/>
  <c r="AG1461" i="1"/>
  <c r="AE1466" i="1"/>
  <c r="AD1466" i="1"/>
  <c r="AG1466" i="1"/>
  <c r="AC1466" i="1"/>
  <c r="AF1466" i="1"/>
  <c r="AE1474" i="1"/>
  <c r="AD1474" i="1"/>
  <c r="AG1474" i="1"/>
  <c r="AC1474" i="1"/>
  <c r="AF1474" i="1"/>
  <c r="AG1477" i="1"/>
  <c r="AE1482" i="1"/>
  <c r="AD1482" i="1"/>
  <c r="AG1482" i="1"/>
  <c r="AC1482" i="1"/>
  <c r="AF1482" i="1"/>
  <c r="AE1490" i="1"/>
  <c r="AD1490" i="1"/>
  <c r="AG1490" i="1"/>
  <c r="AC1490" i="1"/>
  <c r="AF1490" i="1"/>
  <c r="AG1493" i="1"/>
  <c r="AE1498" i="1"/>
  <c r="AD1498" i="1"/>
  <c r="AG1498" i="1"/>
  <c r="AC1498" i="1"/>
  <c r="AF1498" i="1"/>
  <c r="AE1506" i="1"/>
  <c r="AD1506" i="1"/>
  <c r="AG1506" i="1"/>
  <c r="AC1506" i="1"/>
  <c r="AF1506" i="1"/>
  <c r="AE1514" i="1"/>
  <c r="AD1514" i="1"/>
  <c r="AG1514" i="1"/>
  <c r="AC1514" i="1"/>
  <c r="AF1514" i="1"/>
  <c r="AG1517" i="1"/>
  <c r="AE1522" i="1"/>
  <c r="AD1522" i="1"/>
  <c r="AG1522" i="1"/>
  <c r="AC1522" i="1"/>
  <c r="AF1522" i="1"/>
  <c r="AE1530" i="1"/>
  <c r="AD1530" i="1"/>
  <c r="AG1530" i="1"/>
  <c r="AC1530" i="1"/>
  <c r="AF1530" i="1"/>
  <c r="AG1533" i="1"/>
  <c r="AE1538" i="1"/>
  <c r="AD1538" i="1"/>
  <c r="AG1538" i="1"/>
  <c r="AC1538" i="1"/>
  <c r="AF1538" i="1"/>
  <c r="AG1541" i="1"/>
  <c r="AD1546" i="1"/>
  <c r="AC1546" i="1"/>
  <c r="AG1549" i="1"/>
  <c r="AC1554" i="1"/>
  <c r="AC1565" i="1"/>
  <c r="AD1581" i="1"/>
  <c r="AF1581" i="1"/>
  <c r="AC1581" i="1"/>
  <c r="AG1581" i="1"/>
  <c r="AE1581" i="1"/>
  <c r="AD1597" i="1"/>
  <c r="AF1597" i="1"/>
  <c r="AC1597" i="1"/>
  <c r="AG1597" i="1"/>
  <c r="AE1597" i="1"/>
  <c r="AE654" i="1"/>
  <c r="AE658" i="1"/>
  <c r="AE662" i="1"/>
  <c r="AE666" i="1"/>
  <c r="AE670" i="1"/>
  <c r="AE674" i="1"/>
  <c r="AE678" i="1"/>
  <c r="AE682" i="1"/>
  <c r="AE686" i="1"/>
  <c r="AE690" i="1"/>
  <c r="AE694" i="1"/>
  <c r="AE698" i="1"/>
  <c r="AE702" i="1"/>
  <c r="AE706" i="1"/>
  <c r="AE710" i="1"/>
  <c r="AE714" i="1"/>
  <c r="AE718" i="1"/>
  <c r="AE722" i="1"/>
  <c r="AE726" i="1"/>
  <c r="AE730" i="1"/>
  <c r="AE734" i="1"/>
  <c r="AE738" i="1"/>
  <c r="AE742" i="1"/>
  <c r="AE746" i="1"/>
  <c r="AE750" i="1"/>
  <c r="AE754" i="1"/>
  <c r="AE758" i="1"/>
  <c r="AE762" i="1"/>
  <c r="AE766" i="1"/>
  <c r="AE770" i="1"/>
  <c r="AE774" i="1"/>
  <c r="AE778" i="1"/>
  <c r="AE782" i="1"/>
  <c r="AE786" i="1"/>
  <c r="AE790" i="1"/>
  <c r="AE794" i="1"/>
  <c r="AE798" i="1"/>
  <c r="AE802" i="1"/>
  <c r="AE806" i="1"/>
  <c r="AE810" i="1"/>
  <c r="AE814" i="1"/>
  <c r="AE818" i="1"/>
  <c r="AE822" i="1"/>
  <c r="AE826" i="1"/>
  <c r="AE830" i="1"/>
  <c r="AE834" i="1"/>
  <c r="AE838" i="1"/>
  <c r="AE842" i="1"/>
  <c r="AE846" i="1"/>
  <c r="AE850" i="1"/>
  <c r="AE858" i="1"/>
  <c r="AE862" i="1"/>
  <c r="AE866" i="1"/>
  <c r="AE870" i="1"/>
  <c r="AE874" i="1"/>
  <c r="AE878" i="1"/>
  <c r="AE882" i="1"/>
  <c r="AE886" i="1"/>
  <c r="AE890" i="1"/>
  <c r="AE894" i="1"/>
  <c r="AE898" i="1"/>
  <c r="AE902" i="1"/>
  <c r="AE906" i="1"/>
  <c r="AE910" i="1"/>
  <c r="AE914" i="1"/>
  <c r="AE918" i="1"/>
  <c r="AE922" i="1"/>
  <c r="AE930" i="1"/>
  <c r="AE934" i="1"/>
  <c r="AE938" i="1"/>
  <c r="AE942" i="1"/>
  <c r="AE946" i="1"/>
  <c r="AE950" i="1"/>
  <c r="AE954" i="1"/>
  <c r="AE958" i="1"/>
  <c r="AE962" i="1"/>
  <c r="AE966" i="1"/>
  <c r="AE970" i="1"/>
  <c r="AE974" i="1"/>
  <c r="AE978" i="1"/>
  <c r="AE982" i="1"/>
  <c r="AE986" i="1"/>
  <c r="AE990" i="1"/>
  <c r="AE994" i="1"/>
  <c r="AE998" i="1"/>
  <c r="AE1002" i="1"/>
  <c r="AE1006" i="1"/>
  <c r="AE1010" i="1"/>
  <c r="AE1014" i="1"/>
  <c r="AE1018" i="1"/>
  <c r="AE1022" i="1"/>
  <c r="AE1030" i="1"/>
  <c r="AE1034" i="1"/>
  <c r="AE1038" i="1"/>
  <c r="AE1042" i="1"/>
  <c r="AE1046" i="1"/>
  <c r="AE1050" i="1"/>
  <c r="AE1054" i="1"/>
  <c r="AE1058" i="1"/>
  <c r="AE1062" i="1"/>
  <c r="AE1066" i="1"/>
  <c r="AE1070" i="1"/>
  <c r="AE1074" i="1"/>
  <c r="AE1078" i="1"/>
  <c r="AE1082" i="1"/>
  <c r="AE1086" i="1"/>
  <c r="AE1090" i="1"/>
  <c r="AE1094" i="1"/>
  <c r="AE1098" i="1"/>
  <c r="AE1102" i="1"/>
  <c r="AE1106" i="1"/>
  <c r="AE1110" i="1"/>
  <c r="AE1114" i="1"/>
  <c r="AE1118" i="1"/>
  <c r="AE1122" i="1"/>
  <c r="AE1126" i="1"/>
  <c r="AE1130" i="1"/>
  <c r="AE1134" i="1"/>
  <c r="AE1138" i="1"/>
  <c r="AE1142" i="1"/>
  <c r="AE1146" i="1"/>
  <c r="AE1150" i="1"/>
  <c r="AE1154" i="1"/>
  <c r="AE1158" i="1"/>
  <c r="AE1162" i="1"/>
  <c r="AE1166" i="1"/>
  <c r="AE1170" i="1"/>
  <c r="M1173" i="1"/>
  <c r="R1173" i="1" s="1"/>
  <c r="AG1176" i="1"/>
  <c r="AC1176" i="1"/>
  <c r="AE1176" i="1"/>
  <c r="AD1179" i="1"/>
  <c r="AF1179" i="1"/>
  <c r="AE1179" i="1"/>
  <c r="M1181" i="1"/>
  <c r="R1181" i="1" s="1"/>
  <c r="AG1184" i="1"/>
  <c r="AC1184" i="1"/>
  <c r="AE1184" i="1"/>
  <c r="AD1187" i="1"/>
  <c r="AF1187" i="1"/>
  <c r="AE1187" i="1"/>
  <c r="M1189" i="1"/>
  <c r="R1189" i="1" s="1"/>
  <c r="AG1192" i="1"/>
  <c r="AC1192" i="1"/>
  <c r="AE1192" i="1"/>
  <c r="AD1195" i="1"/>
  <c r="AF1195" i="1"/>
  <c r="AE1195" i="1"/>
  <c r="M1197" i="1"/>
  <c r="R1197" i="1" s="1"/>
  <c r="AG1200" i="1"/>
  <c r="AC1200" i="1"/>
  <c r="AE1200" i="1"/>
  <c r="AD1203" i="1"/>
  <c r="AF1203" i="1"/>
  <c r="AE1203" i="1"/>
  <c r="M1205" i="1"/>
  <c r="R1205" i="1" s="1"/>
  <c r="AG1208" i="1"/>
  <c r="AC1208" i="1"/>
  <c r="AE1208" i="1"/>
  <c r="AD1211" i="1"/>
  <c r="AF1211" i="1"/>
  <c r="AE1211" i="1"/>
  <c r="M1213" i="1"/>
  <c r="R1213" i="1" s="1"/>
  <c r="AG1216" i="1"/>
  <c r="AC1216" i="1"/>
  <c r="AE1216" i="1"/>
  <c r="AD1219" i="1"/>
  <c r="AF1219" i="1"/>
  <c r="AE1219" i="1"/>
  <c r="M1221" i="1"/>
  <c r="R1221" i="1" s="1"/>
  <c r="AG1224" i="1"/>
  <c r="AC1224" i="1"/>
  <c r="AE1224" i="1"/>
  <c r="AD1227" i="1"/>
  <c r="AF1227" i="1"/>
  <c r="AE1227" i="1"/>
  <c r="M1229" i="1"/>
  <c r="R1229" i="1" s="1"/>
  <c r="AG1232" i="1"/>
  <c r="AC1232" i="1"/>
  <c r="AE1232" i="1"/>
  <c r="M1237" i="1"/>
  <c r="R1237" i="1" s="1"/>
  <c r="Y1239" i="1"/>
  <c r="M1239" i="1"/>
  <c r="R1239" i="1" s="1"/>
  <c r="AG1240" i="1"/>
  <c r="AC1240" i="1"/>
  <c r="AE1240" i="1"/>
  <c r="AD1243" i="1"/>
  <c r="AF1243" i="1"/>
  <c r="AE1243" i="1"/>
  <c r="M1245" i="1"/>
  <c r="R1245" i="1" s="1"/>
  <c r="AG1248" i="1"/>
  <c r="AC1248" i="1"/>
  <c r="AE1248" i="1"/>
  <c r="M1253" i="1"/>
  <c r="R1253" i="1" s="1"/>
  <c r="AG1256" i="1"/>
  <c r="AC1256" i="1"/>
  <c r="AE1256" i="1"/>
  <c r="AD1259" i="1"/>
  <c r="AF1259" i="1"/>
  <c r="AE1259" i="1"/>
  <c r="M1261" i="1"/>
  <c r="R1261" i="1" s="1"/>
  <c r="AG1264" i="1"/>
  <c r="AC1264" i="1"/>
  <c r="AE1264" i="1"/>
  <c r="AD1267" i="1"/>
  <c r="AF1267" i="1"/>
  <c r="AE1267" i="1"/>
  <c r="M1269" i="1"/>
  <c r="R1269" i="1" s="1"/>
  <c r="AG1272" i="1"/>
  <c r="AC1272" i="1"/>
  <c r="AE1272" i="1"/>
  <c r="AD1275" i="1"/>
  <c r="AF1275" i="1"/>
  <c r="AE1275" i="1"/>
  <c r="M1277" i="1"/>
  <c r="R1277" i="1" s="1"/>
  <c r="AG1280" i="1"/>
  <c r="AC1280" i="1"/>
  <c r="AE1280" i="1"/>
  <c r="AF1289" i="1"/>
  <c r="AE1289" i="1"/>
  <c r="AD1289" i="1"/>
  <c r="Y1293" i="1"/>
  <c r="M1293" i="1"/>
  <c r="R1293" i="1" s="1"/>
  <c r="AG1296" i="1"/>
  <c r="AF1297" i="1"/>
  <c r="AE1297" i="1"/>
  <c r="AD1297" i="1"/>
  <c r="AG1304" i="1"/>
  <c r="AF1305" i="1"/>
  <c r="AE1305" i="1"/>
  <c r="AD1305" i="1"/>
  <c r="AG1312" i="1"/>
  <c r="AF1313" i="1"/>
  <c r="AE1313" i="1"/>
  <c r="AD1313" i="1"/>
  <c r="AG1320" i="1"/>
  <c r="AF1321" i="1"/>
  <c r="AG1328" i="1"/>
  <c r="AF1329" i="1"/>
  <c r="AE1329" i="1"/>
  <c r="AD1329" i="1"/>
  <c r="AG1336" i="1"/>
  <c r="AF1337" i="1"/>
  <c r="AE1337" i="1"/>
  <c r="AD1337" i="1"/>
  <c r="Y1341" i="1"/>
  <c r="M1341" i="1"/>
  <c r="R1341" i="1" s="1"/>
  <c r="AG1344" i="1"/>
  <c r="AF1345" i="1"/>
  <c r="AE1345" i="1"/>
  <c r="AD1345" i="1"/>
  <c r="AG1352" i="1"/>
  <c r="AF1353" i="1"/>
  <c r="AE1353" i="1"/>
  <c r="AD1353" i="1"/>
  <c r="AF1361" i="1"/>
  <c r="AE1361" i="1"/>
  <c r="AD1361" i="1"/>
  <c r="AG1368" i="1"/>
  <c r="AF1369" i="1"/>
  <c r="AE1369" i="1"/>
  <c r="AD1369" i="1"/>
  <c r="AG1376" i="1"/>
  <c r="AF1377" i="1"/>
  <c r="AE1377" i="1"/>
  <c r="AD1377" i="1"/>
  <c r="AG1384" i="1"/>
  <c r="AF1385" i="1"/>
  <c r="AE1385" i="1"/>
  <c r="AD1385" i="1"/>
  <c r="AG1392" i="1"/>
  <c r="AF1393" i="1"/>
  <c r="AE1393" i="1"/>
  <c r="AD1393" i="1"/>
  <c r="AG1400" i="1"/>
  <c r="AF1401" i="1"/>
  <c r="AE1401" i="1"/>
  <c r="AD1401" i="1"/>
  <c r="Y1405" i="1"/>
  <c r="M1405" i="1"/>
  <c r="R1405" i="1" s="1"/>
  <c r="AG1408" i="1"/>
  <c r="AF1409" i="1"/>
  <c r="AE1409" i="1"/>
  <c r="AD1409" i="1"/>
  <c r="AG1416" i="1"/>
  <c r="AF1417" i="1"/>
  <c r="AE1417" i="1"/>
  <c r="AD1417" i="1"/>
  <c r="Y1421" i="1"/>
  <c r="M1421" i="1"/>
  <c r="R1421" i="1" s="1"/>
  <c r="AC1421" i="1"/>
  <c r="AG1424" i="1"/>
  <c r="AF1425" i="1"/>
  <c r="AE1425" i="1"/>
  <c r="AD1425" i="1"/>
  <c r="Y1429" i="1"/>
  <c r="M1429" i="1"/>
  <c r="R1429" i="1" s="1"/>
  <c r="AC1429" i="1"/>
  <c r="AG1432" i="1"/>
  <c r="Y1437" i="1"/>
  <c r="M1437" i="1"/>
  <c r="R1437" i="1" s="1"/>
  <c r="AC1437" i="1"/>
  <c r="AG1440" i="1"/>
  <c r="Y1445" i="1"/>
  <c r="M1445" i="1"/>
  <c r="R1445" i="1" s="1"/>
  <c r="AC1445" i="1"/>
  <c r="AG1448" i="1"/>
  <c r="AF1449" i="1"/>
  <c r="AE1449" i="1"/>
  <c r="AD1449" i="1"/>
  <c r="AC1453" i="1"/>
  <c r="AE1457" i="1"/>
  <c r="AC1461" i="1"/>
  <c r="AG1464" i="1"/>
  <c r="AF1465" i="1"/>
  <c r="AE1465" i="1"/>
  <c r="AD1465" i="1"/>
  <c r="AC1469" i="1"/>
  <c r="AG1472" i="1"/>
  <c r="AF1473" i="1"/>
  <c r="AE1473" i="1"/>
  <c r="AD1473" i="1"/>
  <c r="AC1477" i="1"/>
  <c r="AG1480" i="1"/>
  <c r="AF1481" i="1"/>
  <c r="AC1485" i="1"/>
  <c r="AG1488" i="1"/>
  <c r="AF1489" i="1"/>
  <c r="AE1489" i="1"/>
  <c r="AD1489" i="1"/>
  <c r="AC1493" i="1"/>
  <c r="AG1496" i="1"/>
  <c r="AF1497" i="1"/>
  <c r="AE1497" i="1"/>
  <c r="AD1497" i="1"/>
  <c r="Y1501" i="1"/>
  <c r="M1501" i="1"/>
  <c r="R1501" i="1" s="1"/>
  <c r="AC1501" i="1"/>
  <c r="AG1504" i="1"/>
  <c r="AF1505" i="1"/>
  <c r="AE1505" i="1"/>
  <c r="AD1505" i="1"/>
  <c r="AC1509" i="1"/>
  <c r="AG1512" i="1"/>
  <c r="AF1513" i="1"/>
  <c r="AE1513" i="1"/>
  <c r="AD1513" i="1"/>
  <c r="AC1517" i="1"/>
  <c r="AG1520" i="1"/>
  <c r="AF1521" i="1"/>
  <c r="AE1521" i="1"/>
  <c r="AD1521" i="1"/>
  <c r="AC1525" i="1"/>
  <c r="AG1528" i="1"/>
  <c r="AE1529" i="1"/>
  <c r="AC1533" i="1"/>
  <c r="AG1536" i="1"/>
  <c r="AF1537" i="1"/>
  <c r="AE1537" i="1"/>
  <c r="AD1537" i="1"/>
  <c r="AC1541" i="1"/>
  <c r="AG1544" i="1"/>
  <c r="AF1545" i="1"/>
  <c r="AE1545" i="1"/>
  <c r="AD1545" i="1"/>
  <c r="AC1549" i="1"/>
  <c r="AG1552" i="1"/>
  <c r="AF1553" i="1"/>
  <c r="AE1553" i="1"/>
  <c r="AD1553" i="1"/>
  <c r="AF1560" i="1"/>
  <c r="AD1560" i="1"/>
  <c r="Y1569" i="1"/>
  <c r="M1569" i="1"/>
  <c r="R1569" i="1" s="1"/>
  <c r="AG1570" i="1"/>
  <c r="AC1570" i="1"/>
  <c r="AE1570" i="1"/>
  <c r="AF1570" i="1"/>
  <c r="AD1570" i="1"/>
  <c r="AG1586" i="1"/>
  <c r="AC1586" i="1"/>
  <c r="AE1586" i="1"/>
  <c r="AF1586" i="1"/>
  <c r="AD1586" i="1"/>
  <c r="AF1592" i="1"/>
  <c r="AD1592" i="1"/>
  <c r="AG1602" i="1"/>
  <c r="AC1602" i="1"/>
  <c r="AE1602" i="1"/>
  <c r="AF1602" i="1"/>
  <c r="AD1602" i="1"/>
  <c r="AF1608" i="1"/>
  <c r="AD1608" i="1"/>
  <c r="AG1618" i="1"/>
  <c r="AC1618" i="1"/>
  <c r="AE1618" i="1"/>
  <c r="AF1618" i="1"/>
  <c r="AD1618" i="1"/>
  <c r="AF1624" i="1"/>
  <c r="AD1624" i="1"/>
  <c r="AG1634" i="1"/>
  <c r="AC1634" i="1"/>
  <c r="AE1634" i="1"/>
  <c r="AF1634" i="1"/>
  <c r="AD1634" i="1"/>
  <c r="AC1963" i="1"/>
  <c r="Y1967" i="1"/>
  <c r="M1967" i="1"/>
  <c r="R1967" i="1" s="1"/>
  <c r="AF2028" i="1"/>
  <c r="AD2028" i="1"/>
  <c r="AF654" i="1"/>
  <c r="AF658" i="1"/>
  <c r="AF662" i="1"/>
  <c r="AF666" i="1"/>
  <c r="AF670" i="1"/>
  <c r="AF674" i="1"/>
  <c r="AF678" i="1"/>
  <c r="AF682" i="1"/>
  <c r="AF686" i="1"/>
  <c r="AF690" i="1"/>
  <c r="AF694" i="1"/>
  <c r="AF698" i="1"/>
  <c r="AF702" i="1"/>
  <c r="AF706" i="1"/>
  <c r="AF710" i="1"/>
  <c r="AF714" i="1"/>
  <c r="AF718" i="1"/>
  <c r="AF722" i="1"/>
  <c r="AF726" i="1"/>
  <c r="AF730" i="1"/>
  <c r="AF734" i="1"/>
  <c r="AF738" i="1"/>
  <c r="AF742" i="1"/>
  <c r="AF746" i="1"/>
  <c r="AF750" i="1"/>
  <c r="AF754" i="1"/>
  <c r="AF758" i="1"/>
  <c r="AF762" i="1"/>
  <c r="AF766" i="1"/>
  <c r="AF770" i="1"/>
  <c r="AF774" i="1"/>
  <c r="AF778" i="1"/>
  <c r="AF782" i="1"/>
  <c r="AF786" i="1"/>
  <c r="AF790" i="1"/>
  <c r="AF794" i="1"/>
  <c r="AF798" i="1"/>
  <c r="AF802" i="1"/>
  <c r="AF806" i="1"/>
  <c r="AF810" i="1"/>
  <c r="AF814" i="1"/>
  <c r="AF818" i="1"/>
  <c r="AF822" i="1"/>
  <c r="AF826" i="1"/>
  <c r="AF830" i="1"/>
  <c r="AF834" i="1"/>
  <c r="AF838" i="1"/>
  <c r="AF842" i="1"/>
  <c r="AF846" i="1"/>
  <c r="AF850" i="1"/>
  <c r="AF858" i="1"/>
  <c r="AF862" i="1"/>
  <c r="AF866" i="1"/>
  <c r="AF870" i="1"/>
  <c r="AF874" i="1"/>
  <c r="AF878" i="1"/>
  <c r="AF882" i="1"/>
  <c r="AF886" i="1"/>
  <c r="AF890" i="1"/>
  <c r="AF894" i="1"/>
  <c r="AF898" i="1"/>
  <c r="AF902" i="1"/>
  <c r="AF906" i="1"/>
  <c r="AF910" i="1"/>
  <c r="AF914" i="1"/>
  <c r="AF918" i="1"/>
  <c r="AF922" i="1"/>
  <c r="AF930" i="1"/>
  <c r="AF934" i="1"/>
  <c r="AF938" i="1"/>
  <c r="AF942" i="1"/>
  <c r="AF946" i="1"/>
  <c r="AF950" i="1"/>
  <c r="AF958" i="1"/>
  <c r="AF962" i="1"/>
  <c r="AF966" i="1"/>
  <c r="AF974" i="1"/>
  <c r="AF978" i="1"/>
  <c r="AF982" i="1"/>
  <c r="AF986" i="1"/>
  <c r="AF990" i="1"/>
  <c r="AF994" i="1"/>
  <c r="AF998" i="1"/>
  <c r="AF1002" i="1"/>
  <c r="AF1006" i="1"/>
  <c r="AF1010" i="1"/>
  <c r="AF1014" i="1"/>
  <c r="AF1018" i="1"/>
  <c r="AF1022" i="1"/>
  <c r="AF1026" i="1"/>
  <c r="AF1030" i="1"/>
  <c r="AF1034" i="1"/>
  <c r="AF1038" i="1"/>
  <c r="AF1042" i="1"/>
  <c r="AF1046" i="1"/>
  <c r="AF1050" i="1"/>
  <c r="AF1054" i="1"/>
  <c r="AF1058" i="1"/>
  <c r="AF1062" i="1"/>
  <c r="AF1066" i="1"/>
  <c r="AF1070" i="1"/>
  <c r="AF1074" i="1"/>
  <c r="AF1078" i="1"/>
  <c r="AF1082" i="1"/>
  <c r="AF1086" i="1"/>
  <c r="AF1090" i="1"/>
  <c r="AF1094" i="1"/>
  <c r="AF1098" i="1"/>
  <c r="AF1102" i="1"/>
  <c r="AF1106" i="1"/>
  <c r="AF1110" i="1"/>
  <c r="AF1114" i="1"/>
  <c r="AF1118" i="1"/>
  <c r="AF1122" i="1"/>
  <c r="AF1126" i="1"/>
  <c r="AF1130" i="1"/>
  <c r="AF1134" i="1"/>
  <c r="AF1138" i="1"/>
  <c r="AF1142" i="1"/>
  <c r="AF1146" i="1"/>
  <c r="AF1150" i="1"/>
  <c r="AF1154" i="1"/>
  <c r="AF1158" i="1"/>
  <c r="AF1162" i="1"/>
  <c r="AF1166" i="1"/>
  <c r="AF1170" i="1"/>
  <c r="AE1174" i="1"/>
  <c r="AG1174" i="1"/>
  <c r="AC1174" i="1"/>
  <c r="AF1177" i="1"/>
  <c r="AD1177" i="1"/>
  <c r="AE1177" i="1"/>
  <c r="AE1182" i="1"/>
  <c r="AG1182" i="1"/>
  <c r="AC1182" i="1"/>
  <c r="AF1185" i="1"/>
  <c r="AD1185" i="1"/>
  <c r="AE1185" i="1"/>
  <c r="AE1190" i="1"/>
  <c r="AG1190" i="1"/>
  <c r="AC1190" i="1"/>
  <c r="AF1193" i="1"/>
  <c r="AD1193" i="1"/>
  <c r="AE1193" i="1"/>
  <c r="AE1198" i="1"/>
  <c r="AG1198" i="1"/>
  <c r="AC1198" i="1"/>
  <c r="AF1201" i="1"/>
  <c r="AD1201" i="1"/>
  <c r="AE1201" i="1"/>
  <c r="AE1206" i="1"/>
  <c r="AG1206" i="1"/>
  <c r="AC1206" i="1"/>
  <c r="AF1209" i="1"/>
  <c r="AD1209" i="1"/>
  <c r="AE1209" i="1"/>
  <c r="AE1214" i="1"/>
  <c r="AG1214" i="1"/>
  <c r="AC1214" i="1"/>
  <c r="AF1217" i="1"/>
  <c r="AD1217" i="1"/>
  <c r="AE1217" i="1"/>
  <c r="AE1222" i="1"/>
  <c r="AG1222" i="1"/>
  <c r="AC1222" i="1"/>
  <c r="AF1225" i="1"/>
  <c r="AD1225" i="1"/>
  <c r="AE1225" i="1"/>
  <c r="AE1230" i="1"/>
  <c r="AG1230" i="1"/>
  <c r="AC1230" i="1"/>
  <c r="AF1233" i="1"/>
  <c r="AD1233" i="1"/>
  <c r="AE1233" i="1"/>
  <c r="AE1238" i="1"/>
  <c r="AG1238" i="1"/>
  <c r="AC1238" i="1"/>
  <c r="AF1241" i="1"/>
  <c r="AD1241" i="1"/>
  <c r="AE1241" i="1"/>
  <c r="AE1246" i="1"/>
  <c r="AG1246" i="1"/>
  <c r="AC1246" i="1"/>
  <c r="AF1249" i="1"/>
  <c r="AD1249" i="1"/>
  <c r="AE1249" i="1"/>
  <c r="AE1254" i="1"/>
  <c r="AG1254" i="1"/>
  <c r="AC1254" i="1"/>
  <c r="AE1262" i="1"/>
  <c r="AG1262" i="1"/>
  <c r="AC1262" i="1"/>
  <c r="AF1265" i="1"/>
  <c r="AD1265" i="1"/>
  <c r="AE1265" i="1"/>
  <c r="AE1270" i="1"/>
  <c r="AG1270" i="1"/>
  <c r="AC1270" i="1"/>
  <c r="AF1273" i="1"/>
  <c r="AD1273" i="1"/>
  <c r="AE1273" i="1"/>
  <c r="AE1278" i="1"/>
  <c r="AG1278" i="1"/>
  <c r="AC1278" i="1"/>
  <c r="AF1281" i="1"/>
  <c r="AD1281" i="1"/>
  <c r="AE1281" i="1"/>
  <c r="AE1286" i="1"/>
  <c r="AD1286" i="1"/>
  <c r="AG1286" i="1"/>
  <c r="AC1286" i="1"/>
  <c r="AD1287" i="1"/>
  <c r="AG1287" i="1"/>
  <c r="AC1287" i="1"/>
  <c r="AF1287" i="1"/>
  <c r="AE1294" i="1"/>
  <c r="AD1294" i="1"/>
  <c r="AG1294" i="1"/>
  <c r="AC1294" i="1"/>
  <c r="AD1295" i="1"/>
  <c r="AG1295" i="1"/>
  <c r="AC1295" i="1"/>
  <c r="AF1295" i="1"/>
  <c r="AE1302" i="1"/>
  <c r="AD1302" i="1"/>
  <c r="AG1302" i="1"/>
  <c r="AC1302" i="1"/>
  <c r="AD1303" i="1"/>
  <c r="AG1303" i="1"/>
  <c r="AC1303" i="1"/>
  <c r="AF1303" i="1"/>
  <c r="AE1310" i="1"/>
  <c r="AD1310" i="1"/>
  <c r="AG1310" i="1"/>
  <c r="AC1310" i="1"/>
  <c r="AD1311" i="1"/>
  <c r="AG1311" i="1"/>
  <c r="AC1311" i="1"/>
  <c r="AF1311" i="1"/>
  <c r="AE1318" i="1"/>
  <c r="AD1318" i="1"/>
  <c r="AG1318" i="1"/>
  <c r="AC1318" i="1"/>
  <c r="AG1319" i="1"/>
  <c r="AC1319" i="1"/>
  <c r="AE1326" i="1"/>
  <c r="AD1326" i="1"/>
  <c r="AG1326" i="1"/>
  <c r="AC1326" i="1"/>
  <c r="AD1327" i="1"/>
  <c r="AG1327" i="1"/>
  <c r="AC1327" i="1"/>
  <c r="AF1327" i="1"/>
  <c r="AE1334" i="1"/>
  <c r="AD1334" i="1"/>
  <c r="AG1334" i="1"/>
  <c r="AC1334" i="1"/>
  <c r="AG1335" i="1"/>
  <c r="AC1335" i="1"/>
  <c r="AE1342" i="1"/>
  <c r="AD1342" i="1"/>
  <c r="AG1342" i="1"/>
  <c r="AC1342" i="1"/>
  <c r="AD1343" i="1"/>
  <c r="AG1343" i="1"/>
  <c r="AC1343" i="1"/>
  <c r="AF1343" i="1"/>
  <c r="AE1350" i="1"/>
  <c r="AD1350" i="1"/>
  <c r="AG1350" i="1"/>
  <c r="AC1350" i="1"/>
  <c r="AG1351" i="1"/>
  <c r="AC1351" i="1"/>
  <c r="AF1351" i="1"/>
  <c r="AE1358" i="1"/>
  <c r="AD1358" i="1"/>
  <c r="AG1358" i="1"/>
  <c r="AC1358" i="1"/>
  <c r="AD1359" i="1"/>
  <c r="AG1359" i="1"/>
  <c r="AC1359" i="1"/>
  <c r="AF1359" i="1"/>
  <c r="AE1366" i="1"/>
  <c r="AD1366" i="1"/>
  <c r="AG1366" i="1"/>
  <c r="AC1366" i="1"/>
  <c r="AD1367" i="1"/>
  <c r="AG1367" i="1"/>
  <c r="AC1367" i="1"/>
  <c r="AF1367" i="1"/>
  <c r="AD1374" i="1"/>
  <c r="AG1374" i="1"/>
  <c r="AC1374" i="1"/>
  <c r="AD1375" i="1"/>
  <c r="AG1375" i="1"/>
  <c r="AC1375" i="1"/>
  <c r="AF1375" i="1"/>
  <c r="AE1382" i="1"/>
  <c r="AD1382" i="1"/>
  <c r="AG1382" i="1"/>
  <c r="AC1382" i="1"/>
  <c r="AD1383" i="1"/>
  <c r="AG1383" i="1"/>
  <c r="AC1383" i="1"/>
  <c r="AF1383" i="1"/>
  <c r="AE1390" i="1"/>
  <c r="AD1390" i="1"/>
  <c r="AG1390" i="1"/>
  <c r="AC1390" i="1"/>
  <c r="AD1391" i="1"/>
  <c r="AG1391" i="1"/>
  <c r="AC1391" i="1"/>
  <c r="AF1391" i="1"/>
  <c r="AE1398" i="1"/>
  <c r="AD1398" i="1"/>
  <c r="AG1398" i="1"/>
  <c r="AC1398" i="1"/>
  <c r="AD1399" i="1"/>
  <c r="AG1399" i="1"/>
  <c r="AC1399" i="1"/>
  <c r="AF1399" i="1"/>
  <c r="AE1406" i="1"/>
  <c r="AD1406" i="1"/>
  <c r="AG1406" i="1"/>
  <c r="AC1406" i="1"/>
  <c r="AD1407" i="1"/>
  <c r="AG1407" i="1"/>
  <c r="AC1407" i="1"/>
  <c r="AF1407" i="1"/>
  <c r="AE1414" i="1"/>
  <c r="AD1414" i="1"/>
  <c r="AG1414" i="1"/>
  <c r="AC1414" i="1"/>
  <c r="AD1415" i="1"/>
  <c r="AG1415" i="1"/>
  <c r="AC1415" i="1"/>
  <c r="AF1415" i="1"/>
  <c r="AE1422" i="1"/>
  <c r="AD1422" i="1"/>
  <c r="AG1422" i="1"/>
  <c r="AC1422" i="1"/>
  <c r="AD1423" i="1"/>
  <c r="AG1423" i="1"/>
  <c r="AC1423" i="1"/>
  <c r="AF1423" i="1"/>
  <c r="AE1430" i="1"/>
  <c r="AD1430" i="1"/>
  <c r="AG1430" i="1"/>
  <c r="AC1430" i="1"/>
  <c r="AD1431" i="1"/>
  <c r="AG1431" i="1"/>
  <c r="AC1431" i="1"/>
  <c r="AF1431" i="1"/>
  <c r="AE1438" i="1"/>
  <c r="AD1438" i="1"/>
  <c r="AG1438" i="1"/>
  <c r="AC1438" i="1"/>
  <c r="AD1439" i="1"/>
  <c r="AG1439" i="1"/>
  <c r="AC1439" i="1"/>
  <c r="AF1439" i="1"/>
  <c r="AE1446" i="1"/>
  <c r="AD1446" i="1"/>
  <c r="AG1446" i="1"/>
  <c r="AC1446" i="1"/>
  <c r="AD1447" i="1"/>
  <c r="AG1447" i="1"/>
  <c r="AC1447" i="1"/>
  <c r="AF1447" i="1"/>
  <c r="M1449" i="1"/>
  <c r="R1449" i="1" s="1"/>
  <c r="AE1454" i="1"/>
  <c r="AD1454" i="1"/>
  <c r="AG1454" i="1"/>
  <c r="AC1454" i="1"/>
  <c r="AD1455" i="1"/>
  <c r="AG1455" i="1"/>
  <c r="AC1455" i="1"/>
  <c r="AF1455" i="1"/>
  <c r="M1457" i="1"/>
  <c r="R1457" i="1" s="1"/>
  <c r="AE1462" i="1"/>
  <c r="AD1462" i="1"/>
  <c r="AG1462" i="1"/>
  <c r="AC1462" i="1"/>
  <c r="AD1463" i="1"/>
  <c r="AG1463" i="1"/>
  <c r="AC1463" i="1"/>
  <c r="AF1463" i="1"/>
  <c r="M1465" i="1"/>
  <c r="R1465" i="1" s="1"/>
  <c r="AE1470" i="1"/>
  <c r="AD1470" i="1"/>
  <c r="AG1470" i="1"/>
  <c r="AC1470" i="1"/>
  <c r="AD1471" i="1"/>
  <c r="AG1471" i="1"/>
  <c r="AC1471" i="1"/>
  <c r="AF1471" i="1"/>
  <c r="M1473" i="1"/>
  <c r="R1473" i="1" s="1"/>
  <c r="AE1478" i="1"/>
  <c r="AD1478" i="1"/>
  <c r="AG1478" i="1"/>
  <c r="AC1478" i="1"/>
  <c r="AD1479" i="1"/>
  <c r="AG1479" i="1"/>
  <c r="AC1479" i="1"/>
  <c r="AF1479" i="1"/>
  <c r="M1481" i="1"/>
  <c r="R1481" i="1" s="1"/>
  <c r="AE1486" i="1"/>
  <c r="AD1486" i="1"/>
  <c r="AG1486" i="1"/>
  <c r="AC1486" i="1"/>
  <c r="AD1487" i="1"/>
  <c r="AG1487" i="1"/>
  <c r="AC1487" i="1"/>
  <c r="AF1487" i="1"/>
  <c r="M1489" i="1"/>
  <c r="R1489" i="1" s="1"/>
  <c r="AE1494" i="1"/>
  <c r="AD1494" i="1"/>
  <c r="AG1494" i="1"/>
  <c r="AC1494" i="1"/>
  <c r="AD1495" i="1"/>
  <c r="AG1495" i="1"/>
  <c r="AC1495" i="1"/>
  <c r="AF1495" i="1"/>
  <c r="M1497" i="1"/>
  <c r="R1497" i="1" s="1"/>
  <c r="AE1502" i="1"/>
  <c r="AD1502" i="1"/>
  <c r="AG1502" i="1"/>
  <c r="AC1502" i="1"/>
  <c r="AD1503" i="1"/>
  <c r="AG1503" i="1"/>
  <c r="AC1503" i="1"/>
  <c r="AF1503" i="1"/>
  <c r="M1505" i="1"/>
  <c r="R1505" i="1" s="1"/>
  <c r="AE1510" i="1"/>
  <c r="AD1510" i="1"/>
  <c r="AG1510" i="1"/>
  <c r="AC1510" i="1"/>
  <c r="AD1511" i="1"/>
  <c r="AG1511" i="1"/>
  <c r="AC1511" i="1"/>
  <c r="AF1511" i="1"/>
  <c r="M1513" i="1"/>
  <c r="R1513" i="1" s="1"/>
  <c r="AE1518" i="1"/>
  <c r="AD1518" i="1"/>
  <c r="AG1518" i="1"/>
  <c r="AC1518" i="1"/>
  <c r="AD1519" i="1"/>
  <c r="AG1519" i="1"/>
  <c r="AC1519" i="1"/>
  <c r="AF1519" i="1"/>
  <c r="M1521" i="1"/>
  <c r="R1521" i="1" s="1"/>
  <c r="AE1526" i="1"/>
  <c r="AD1526" i="1"/>
  <c r="AG1526" i="1"/>
  <c r="AC1526" i="1"/>
  <c r="AD1527" i="1"/>
  <c r="AG1527" i="1"/>
  <c r="AC1527" i="1"/>
  <c r="AF1527" i="1"/>
  <c r="M1529" i="1"/>
  <c r="R1529" i="1" s="1"/>
  <c r="AE1534" i="1"/>
  <c r="AD1534" i="1"/>
  <c r="AG1534" i="1"/>
  <c r="AC1534" i="1"/>
  <c r="AD1535" i="1"/>
  <c r="AG1535" i="1"/>
  <c r="AC1535" i="1"/>
  <c r="AF1535" i="1"/>
  <c r="M1537" i="1"/>
  <c r="R1537" i="1" s="1"/>
  <c r="AE1542" i="1"/>
  <c r="AD1542" i="1"/>
  <c r="AG1542" i="1"/>
  <c r="AC1542" i="1"/>
  <c r="AD1543" i="1"/>
  <c r="AG1543" i="1"/>
  <c r="AC1543" i="1"/>
  <c r="AF1543" i="1"/>
  <c r="M1545" i="1"/>
  <c r="R1545" i="1" s="1"/>
  <c r="AE1550" i="1"/>
  <c r="AD1550" i="1"/>
  <c r="AG1550" i="1"/>
  <c r="AC1550" i="1"/>
  <c r="AD1551" i="1"/>
  <c r="AG1551" i="1"/>
  <c r="AC1551" i="1"/>
  <c r="AF1551" i="1"/>
  <c r="M1553" i="1"/>
  <c r="R1553" i="1" s="1"/>
  <c r="AD1557" i="1"/>
  <c r="AF1557" i="1"/>
  <c r="AC1557" i="1"/>
  <c r="AG1557" i="1"/>
  <c r="AD1573" i="1"/>
  <c r="AF1573" i="1"/>
  <c r="AC1573" i="1"/>
  <c r="AG1573" i="1"/>
  <c r="AD1589" i="1"/>
  <c r="AF1589" i="1"/>
  <c r="AC1589" i="1"/>
  <c r="AG1589" i="1"/>
  <c r="AC1605" i="1"/>
  <c r="AD1621" i="1"/>
  <c r="AF1621" i="1"/>
  <c r="AC1621" i="1"/>
  <c r="AG1621" i="1"/>
  <c r="AF1643" i="1"/>
  <c r="AE1643" i="1"/>
  <c r="AD1643" i="1"/>
  <c r="AG1643" i="1"/>
  <c r="AC1643" i="1"/>
  <c r="AF1651" i="1"/>
  <c r="AE1651" i="1"/>
  <c r="AD1651" i="1"/>
  <c r="AG1651" i="1"/>
  <c r="AC1651" i="1"/>
  <c r="AF1659" i="1"/>
  <c r="AE1659" i="1"/>
  <c r="AD1659" i="1"/>
  <c r="AG1659" i="1"/>
  <c r="AC1659" i="1"/>
  <c r="AF1667" i="1"/>
  <c r="AE1667" i="1"/>
  <c r="AD1667" i="1"/>
  <c r="AG1667" i="1"/>
  <c r="AC1667" i="1"/>
  <c r="AF1675" i="1"/>
  <c r="AE1675" i="1"/>
  <c r="AD1675" i="1"/>
  <c r="AG1675" i="1"/>
  <c r="AC1675" i="1"/>
  <c r="AF1683" i="1"/>
  <c r="AE1683" i="1"/>
  <c r="AD1683" i="1"/>
  <c r="AG1683" i="1"/>
  <c r="AC1683" i="1"/>
  <c r="AF1691" i="1"/>
  <c r="AE1691" i="1"/>
  <c r="AD1691" i="1"/>
  <c r="AG1691" i="1"/>
  <c r="AC1691" i="1"/>
  <c r="AF1699" i="1"/>
  <c r="AE1699" i="1"/>
  <c r="AD1699" i="1"/>
  <c r="AG1699" i="1"/>
  <c r="AC1699" i="1"/>
  <c r="AF1707" i="1"/>
  <c r="AE1707" i="1"/>
  <c r="AD1707" i="1"/>
  <c r="AG1707" i="1"/>
  <c r="AC1707" i="1"/>
  <c r="Y1711" i="1"/>
  <c r="M1711" i="1"/>
  <c r="R1711" i="1" s="1"/>
  <c r="AC1715" i="1"/>
  <c r="Y1719" i="1"/>
  <c r="M1719" i="1"/>
  <c r="R1719" i="1" s="1"/>
  <c r="AF1723" i="1"/>
  <c r="AE1723" i="1"/>
  <c r="AD1723" i="1"/>
  <c r="AG1723" i="1"/>
  <c r="AC1723" i="1"/>
  <c r="AF1731" i="1"/>
  <c r="AE1731" i="1"/>
  <c r="AD1731" i="1"/>
  <c r="AG1731" i="1"/>
  <c r="AC1731" i="1"/>
  <c r="AF1739" i="1"/>
  <c r="AE1739" i="1"/>
  <c r="AD1739" i="1"/>
  <c r="AG1739" i="1"/>
  <c r="AC1739" i="1"/>
  <c r="AF1747" i="1"/>
  <c r="AE1747" i="1"/>
  <c r="AD1747" i="1"/>
  <c r="AG1747" i="1"/>
  <c r="AC1747" i="1"/>
  <c r="AF1755" i="1"/>
  <c r="AE1755" i="1"/>
  <c r="AD1755" i="1"/>
  <c r="AG1755" i="1"/>
  <c r="AC1755" i="1"/>
  <c r="AF1763" i="1"/>
  <c r="AE1763" i="1"/>
  <c r="AD1763" i="1"/>
  <c r="AG1763" i="1"/>
  <c r="AC1763" i="1"/>
  <c r="AF1771" i="1"/>
  <c r="AE1771" i="1"/>
  <c r="AD1771" i="1"/>
  <c r="AG1771" i="1"/>
  <c r="AC1771" i="1"/>
  <c r="AF1779" i="1"/>
  <c r="AE1779" i="1"/>
  <c r="AD1779" i="1"/>
  <c r="AG1779" i="1"/>
  <c r="AC1779" i="1"/>
  <c r="AF1787" i="1"/>
  <c r="AE1787" i="1"/>
  <c r="AD1787" i="1"/>
  <c r="AG1787" i="1"/>
  <c r="AC1787" i="1"/>
  <c r="AF1795" i="1"/>
  <c r="AE1795" i="1"/>
  <c r="AD1795" i="1"/>
  <c r="AG1795" i="1"/>
  <c r="AC1795" i="1"/>
  <c r="AF1803" i="1"/>
  <c r="AE1803" i="1"/>
  <c r="AD1803" i="1"/>
  <c r="AG1803" i="1"/>
  <c r="AC1803" i="1"/>
  <c r="AC1811" i="1"/>
  <c r="AF1819" i="1"/>
  <c r="AE1819" i="1"/>
  <c r="AD1819" i="1"/>
  <c r="AG1819" i="1"/>
  <c r="AC1819" i="1"/>
  <c r="AF1827" i="1"/>
  <c r="AE1827" i="1"/>
  <c r="AD1827" i="1"/>
  <c r="AG1827" i="1"/>
  <c r="AC1827" i="1"/>
  <c r="AF1835" i="1"/>
  <c r="AE1835" i="1"/>
  <c r="AD1835" i="1"/>
  <c r="AG1835" i="1"/>
  <c r="AC1835" i="1"/>
  <c r="AF1843" i="1"/>
  <c r="AE1843" i="1"/>
  <c r="AD1843" i="1"/>
  <c r="AG1843" i="1"/>
  <c r="AC1843" i="1"/>
  <c r="AF1851" i="1"/>
  <c r="AE1851" i="1"/>
  <c r="AD1851" i="1"/>
  <c r="AG1851" i="1"/>
  <c r="AC1851" i="1"/>
  <c r="AF1859" i="1"/>
  <c r="AE1859" i="1"/>
  <c r="AD1859" i="1"/>
  <c r="AG1859" i="1"/>
  <c r="AC1859" i="1"/>
  <c r="AF1867" i="1"/>
  <c r="AE1867" i="1"/>
  <c r="AD1867" i="1"/>
  <c r="AG1867" i="1"/>
  <c r="AC1867" i="1"/>
  <c r="AF1875" i="1"/>
  <c r="AE1875" i="1"/>
  <c r="AD1875" i="1"/>
  <c r="AG1875" i="1"/>
  <c r="AC1875" i="1"/>
  <c r="AF1883" i="1"/>
  <c r="AE1883" i="1"/>
  <c r="AD1883" i="1"/>
  <c r="AG1883" i="1"/>
  <c r="AC1883" i="1"/>
  <c r="AF1891" i="1"/>
  <c r="AE1891" i="1"/>
  <c r="AD1891" i="1"/>
  <c r="AG1891" i="1"/>
  <c r="AC1891" i="1"/>
  <c r="AF1899" i="1"/>
  <c r="AE1899" i="1"/>
  <c r="AD1899" i="1"/>
  <c r="AG1899" i="1"/>
  <c r="AC1899" i="1"/>
  <c r="AC1907" i="1"/>
  <c r="AG1927" i="1"/>
  <c r="AG1935" i="1"/>
  <c r="AG1943" i="1"/>
  <c r="AG1951" i="1"/>
  <c r="AG1959" i="1"/>
  <c r="AF1971" i="1"/>
  <c r="AE1971" i="1"/>
  <c r="AD1971" i="1"/>
  <c r="AG1971" i="1"/>
  <c r="AC1971" i="1"/>
  <c r="AF2012" i="1"/>
  <c r="AD2012" i="1"/>
  <c r="AG2038" i="1"/>
  <c r="AC2038" i="1"/>
  <c r="AF2038" i="1"/>
  <c r="AE2038" i="1"/>
  <c r="AD2038" i="1"/>
  <c r="AF2111" i="1"/>
  <c r="AE2111" i="1"/>
  <c r="AD2111" i="1"/>
  <c r="AG2111" i="1"/>
  <c r="AC2111" i="1"/>
  <c r="Y2123" i="1"/>
  <c r="M2123" i="1"/>
  <c r="R2123" i="1" s="1"/>
  <c r="Y2131" i="1"/>
  <c r="M2131" i="1"/>
  <c r="R2131" i="1" s="1"/>
  <c r="Y2139" i="1"/>
  <c r="M2139" i="1"/>
  <c r="R2139" i="1" s="1"/>
  <c r="Y2147" i="1"/>
  <c r="M2147" i="1"/>
  <c r="R2147" i="1" s="1"/>
  <c r="AC2175" i="1"/>
  <c r="Y2179" i="1"/>
  <c r="M2179" i="1"/>
  <c r="R2179" i="1" s="1"/>
  <c r="M653" i="1"/>
  <c r="R653" i="1" s="1"/>
  <c r="AC654" i="1"/>
  <c r="M657" i="1"/>
  <c r="R657" i="1" s="1"/>
  <c r="AC658" i="1"/>
  <c r="M661" i="1"/>
  <c r="R661" i="1" s="1"/>
  <c r="AC662" i="1"/>
  <c r="M665" i="1"/>
  <c r="R665" i="1" s="1"/>
  <c r="AC666" i="1"/>
  <c r="M669" i="1"/>
  <c r="R669" i="1" s="1"/>
  <c r="AC670" i="1"/>
  <c r="M673" i="1"/>
  <c r="R673" i="1" s="1"/>
  <c r="AC674" i="1"/>
  <c r="M677" i="1"/>
  <c r="R677" i="1" s="1"/>
  <c r="AC678" i="1"/>
  <c r="M681" i="1"/>
  <c r="R681" i="1" s="1"/>
  <c r="AC682" i="1"/>
  <c r="M685" i="1"/>
  <c r="R685" i="1" s="1"/>
  <c r="AC686" i="1"/>
  <c r="M689" i="1"/>
  <c r="R689" i="1" s="1"/>
  <c r="AC690" i="1"/>
  <c r="M693" i="1"/>
  <c r="R693" i="1" s="1"/>
  <c r="AC694" i="1"/>
  <c r="M697" i="1"/>
  <c r="R697" i="1" s="1"/>
  <c r="AC698" i="1"/>
  <c r="M701" i="1"/>
  <c r="R701" i="1" s="1"/>
  <c r="AC702" i="1"/>
  <c r="M705" i="1"/>
  <c r="R705" i="1" s="1"/>
  <c r="AC706" i="1"/>
  <c r="M709" i="1"/>
  <c r="R709" i="1" s="1"/>
  <c r="AC710" i="1"/>
  <c r="M713" i="1"/>
  <c r="R713" i="1" s="1"/>
  <c r="AC714" i="1"/>
  <c r="M717" i="1"/>
  <c r="R717" i="1" s="1"/>
  <c r="AC718" i="1"/>
  <c r="M721" i="1"/>
  <c r="R721" i="1" s="1"/>
  <c r="AC722" i="1"/>
  <c r="M725" i="1"/>
  <c r="R725" i="1" s="1"/>
  <c r="AC726" i="1"/>
  <c r="M729" i="1"/>
  <c r="R729" i="1" s="1"/>
  <c r="AC730" i="1"/>
  <c r="M733" i="1"/>
  <c r="R733" i="1" s="1"/>
  <c r="AC734" i="1"/>
  <c r="M737" i="1"/>
  <c r="R737" i="1" s="1"/>
  <c r="AC738" i="1"/>
  <c r="M741" i="1"/>
  <c r="R741" i="1" s="1"/>
  <c r="AC742" i="1"/>
  <c r="M745" i="1"/>
  <c r="R745" i="1" s="1"/>
  <c r="AC746" i="1"/>
  <c r="M749" i="1"/>
  <c r="R749" i="1" s="1"/>
  <c r="AC750" i="1"/>
  <c r="M753" i="1"/>
  <c r="R753" i="1" s="1"/>
  <c r="AC754" i="1"/>
  <c r="M757" i="1"/>
  <c r="R757" i="1" s="1"/>
  <c r="AC758" i="1"/>
  <c r="M761" i="1"/>
  <c r="R761" i="1" s="1"/>
  <c r="AC762" i="1"/>
  <c r="M765" i="1"/>
  <c r="R765" i="1" s="1"/>
  <c r="AC766" i="1"/>
  <c r="M769" i="1"/>
  <c r="R769" i="1" s="1"/>
  <c r="AC770" i="1"/>
  <c r="M773" i="1"/>
  <c r="R773" i="1" s="1"/>
  <c r="AC774" i="1"/>
  <c r="M777" i="1"/>
  <c r="R777" i="1" s="1"/>
  <c r="AC778" i="1"/>
  <c r="M781" i="1"/>
  <c r="R781" i="1" s="1"/>
  <c r="AC782" i="1"/>
  <c r="M785" i="1"/>
  <c r="R785" i="1" s="1"/>
  <c r="AC786" i="1"/>
  <c r="M789" i="1"/>
  <c r="R789" i="1" s="1"/>
  <c r="AC790" i="1"/>
  <c r="M793" i="1"/>
  <c r="R793" i="1" s="1"/>
  <c r="AC794" i="1"/>
  <c r="M797" i="1"/>
  <c r="R797" i="1" s="1"/>
  <c r="AC798" i="1"/>
  <c r="M801" i="1"/>
  <c r="R801" i="1" s="1"/>
  <c r="AC802" i="1"/>
  <c r="M805" i="1"/>
  <c r="R805" i="1" s="1"/>
  <c r="AC806" i="1"/>
  <c r="M809" i="1"/>
  <c r="R809" i="1" s="1"/>
  <c r="AC810" i="1"/>
  <c r="M813" i="1"/>
  <c r="R813" i="1" s="1"/>
  <c r="AC814" i="1"/>
  <c r="M817" i="1"/>
  <c r="R817" i="1" s="1"/>
  <c r="AC818" i="1"/>
  <c r="M821" i="1"/>
  <c r="R821" i="1" s="1"/>
  <c r="AC822" i="1"/>
  <c r="M825" i="1"/>
  <c r="R825" i="1" s="1"/>
  <c r="AC826" i="1"/>
  <c r="M829" i="1"/>
  <c r="R829" i="1" s="1"/>
  <c r="AC830" i="1"/>
  <c r="M833" i="1"/>
  <c r="R833" i="1" s="1"/>
  <c r="AC834" i="1"/>
  <c r="M837" i="1"/>
  <c r="R837" i="1" s="1"/>
  <c r="AC838" i="1"/>
  <c r="M841" i="1"/>
  <c r="R841" i="1" s="1"/>
  <c r="AC842" i="1"/>
  <c r="M845" i="1"/>
  <c r="R845" i="1" s="1"/>
  <c r="AC846" i="1"/>
  <c r="M849" i="1"/>
  <c r="R849" i="1" s="1"/>
  <c r="AC850" i="1"/>
  <c r="M853" i="1"/>
  <c r="R853" i="1" s="1"/>
  <c r="AC854" i="1"/>
  <c r="M857" i="1"/>
  <c r="R857" i="1" s="1"/>
  <c r="AC858" i="1"/>
  <c r="M861" i="1"/>
  <c r="R861" i="1" s="1"/>
  <c r="AC862" i="1"/>
  <c r="M865" i="1"/>
  <c r="R865" i="1" s="1"/>
  <c r="AC866" i="1"/>
  <c r="M869" i="1"/>
  <c r="R869" i="1" s="1"/>
  <c r="AC870" i="1"/>
  <c r="M873" i="1"/>
  <c r="R873" i="1" s="1"/>
  <c r="AC874" i="1"/>
  <c r="M877" i="1"/>
  <c r="R877" i="1" s="1"/>
  <c r="AC878" i="1"/>
  <c r="M881" i="1"/>
  <c r="R881" i="1" s="1"/>
  <c r="AC882" i="1"/>
  <c r="M885" i="1"/>
  <c r="R885" i="1" s="1"/>
  <c r="AC886" i="1"/>
  <c r="M889" i="1"/>
  <c r="R889" i="1" s="1"/>
  <c r="AC890" i="1"/>
  <c r="M893" i="1"/>
  <c r="R893" i="1" s="1"/>
  <c r="AC894" i="1"/>
  <c r="M897" i="1"/>
  <c r="R897" i="1" s="1"/>
  <c r="AC898" i="1"/>
  <c r="M901" i="1"/>
  <c r="R901" i="1" s="1"/>
  <c r="AC902" i="1"/>
  <c r="M905" i="1"/>
  <c r="R905" i="1" s="1"/>
  <c r="AC906" i="1"/>
  <c r="M909" i="1"/>
  <c r="R909" i="1" s="1"/>
  <c r="AC910" i="1"/>
  <c r="M913" i="1"/>
  <c r="R913" i="1" s="1"/>
  <c r="AC914" i="1"/>
  <c r="M917" i="1"/>
  <c r="R917" i="1" s="1"/>
  <c r="AC918" i="1"/>
  <c r="M921" i="1"/>
  <c r="R921" i="1" s="1"/>
  <c r="AC922" i="1"/>
  <c r="M925" i="1"/>
  <c r="R925" i="1" s="1"/>
  <c r="AC926" i="1"/>
  <c r="M929" i="1"/>
  <c r="R929" i="1" s="1"/>
  <c r="AC930" i="1"/>
  <c r="M933" i="1"/>
  <c r="R933" i="1" s="1"/>
  <c r="AC934" i="1"/>
  <c r="M937" i="1"/>
  <c r="R937" i="1" s="1"/>
  <c r="AC938" i="1"/>
  <c r="M941" i="1"/>
  <c r="R941" i="1" s="1"/>
  <c r="AC942" i="1"/>
  <c r="M945" i="1"/>
  <c r="R945" i="1" s="1"/>
  <c r="AC946" i="1"/>
  <c r="M949" i="1"/>
  <c r="R949" i="1" s="1"/>
  <c r="AC950" i="1"/>
  <c r="M953" i="1"/>
  <c r="R953" i="1" s="1"/>
  <c r="AC954" i="1"/>
  <c r="M957" i="1"/>
  <c r="R957" i="1" s="1"/>
  <c r="AC958" i="1"/>
  <c r="M961" i="1"/>
  <c r="R961" i="1" s="1"/>
  <c r="AC962" i="1"/>
  <c r="M965" i="1"/>
  <c r="R965" i="1" s="1"/>
  <c r="AC966" i="1"/>
  <c r="M969" i="1"/>
  <c r="R969" i="1" s="1"/>
  <c r="AC970" i="1"/>
  <c r="M973" i="1"/>
  <c r="R973" i="1" s="1"/>
  <c r="AC974" i="1"/>
  <c r="M977" i="1"/>
  <c r="R977" i="1" s="1"/>
  <c r="AC978" i="1"/>
  <c r="M981" i="1"/>
  <c r="R981" i="1" s="1"/>
  <c r="AC982" i="1"/>
  <c r="M985" i="1"/>
  <c r="R985" i="1" s="1"/>
  <c r="AC986" i="1"/>
  <c r="M989" i="1"/>
  <c r="R989" i="1" s="1"/>
  <c r="AC990" i="1"/>
  <c r="M993" i="1"/>
  <c r="R993" i="1" s="1"/>
  <c r="AC994" i="1"/>
  <c r="M997" i="1"/>
  <c r="R997" i="1" s="1"/>
  <c r="AC998" i="1"/>
  <c r="M1001" i="1"/>
  <c r="R1001" i="1" s="1"/>
  <c r="AC1002" i="1"/>
  <c r="M1005" i="1"/>
  <c r="R1005" i="1" s="1"/>
  <c r="AC1006" i="1"/>
  <c r="M1009" i="1"/>
  <c r="R1009" i="1" s="1"/>
  <c r="AC1010" i="1"/>
  <c r="M1013" i="1"/>
  <c r="R1013" i="1" s="1"/>
  <c r="AC1014" i="1"/>
  <c r="M1017" i="1"/>
  <c r="R1017" i="1" s="1"/>
  <c r="AC1018" i="1"/>
  <c r="M1021" i="1"/>
  <c r="R1021" i="1" s="1"/>
  <c r="AC1022" i="1"/>
  <c r="M1025" i="1"/>
  <c r="R1025" i="1" s="1"/>
  <c r="AC1026" i="1"/>
  <c r="M1029" i="1"/>
  <c r="R1029" i="1" s="1"/>
  <c r="AC1030" i="1"/>
  <c r="M1033" i="1"/>
  <c r="R1033" i="1" s="1"/>
  <c r="AC1034" i="1"/>
  <c r="M1037" i="1"/>
  <c r="R1037" i="1" s="1"/>
  <c r="AC1038" i="1"/>
  <c r="M1041" i="1"/>
  <c r="R1041" i="1" s="1"/>
  <c r="AC1042" i="1"/>
  <c r="M1045" i="1"/>
  <c r="R1045" i="1" s="1"/>
  <c r="AC1046" i="1"/>
  <c r="M1049" i="1"/>
  <c r="R1049" i="1" s="1"/>
  <c r="AC1050" i="1"/>
  <c r="M1053" i="1"/>
  <c r="R1053" i="1" s="1"/>
  <c r="AC1054" i="1"/>
  <c r="M1057" i="1"/>
  <c r="R1057" i="1" s="1"/>
  <c r="AC1058" i="1"/>
  <c r="M1061" i="1"/>
  <c r="R1061" i="1" s="1"/>
  <c r="AC1062" i="1"/>
  <c r="M1065" i="1"/>
  <c r="R1065" i="1" s="1"/>
  <c r="AC1066" i="1"/>
  <c r="M1069" i="1"/>
  <c r="R1069" i="1" s="1"/>
  <c r="AC1070" i="1"/>
  <c r="M1073" i="1"/>
  <c r="R1073" i="1" s="1"/>
  <c r="AC1074" i="1"/>
  <c r="M1077" i="1"/>
  <c r="R1077" i="1" s="1"/>
  <c r="AC1078" i="1"/>
  <c r="M1081" i="1"/>
  <c r="R1081" i="1" s="1"/>
  <c r="AC1082" i="1"/>
  <c r="M1085" i="1"/>
  <c r="R1085" i="1" s="1"/>
  <c r="AC1086" i="1"/>
  <c r="M1089" i="1"/>
  <c r="R1089" i="1" s="1"/>
  <c r="AC1090" i="1"/>
  <c r="M1093" i="1"/>
  <c r="R1093" i="1" s="1"/>
  <c r="AC1094" i="1"/>
  <c r="M1097" i="1"/>
  <c r="R1097" i="1" s="1"/>
  <c r="AC1098" i="1"/>
  <c r="M1101" i="1"/>
  <c r="R1101" i="1" s="1"/>
  <c r="AC1102" i="1"/>
  <c r="M1105" i="1"/>
  <c r="R1105" i="1" s="1"/>
  <c r="AC1106" i="1"/>
  <c r="M1109" i="1"/>
  <c r="R1109" i="1" s="1"/>
  <c r="AC1110" i="1"/>
  <c r="M1113" i="1"/>
  <c r="R1113" i="1" s="1"/>
  <c r="AC1114" i="1"/>
  <c r="M1117" i="1"/>
  <c r="R1117" i="1" s="1"/>
  <c r="AC1118" i="1"/>
  <c r="M1121" i="1"/>
  <c r="R1121" i="1" s="1"/>
  <c r="AC1122" i="1"/>
  <c r="M1125" i="1"/>
  <c r="R1125" i="1" s="1"/>
  <c r="AC1126" i="1"/>
  <c r="M1129" i="1"/>
  <c r="R1129" i="1" s="1"/>
  <c r="AC1130" i="1"/>
  <c r="M1133" i="1"/>
  <c r="R1133" i="1" s="1"/>
  <c r="AC1134" i="1"/>
  <c r="M1137" i="1"/>
  <c r="R1137" i="1" s="1"/>
  <c r="AC1138" i="1"/>
  <c r="M1141" i="1"/>
  <c r="R1141" i="1" s="1"/>
  <c r="AC1142" i="1"/>
  <c r="M1145" i="1"/>
  <c r="R1145" i="1" s="1"/>
  <c r="AC1146" i="1"/>
  <c r="M1149" i="1"/>
  <c r="R1149" i="1" s="1"/>
  <c r="AC1150" i="1"/>
  <c r="M1153" i="1"/>
  <c r="R1153" i="1" s="1"/>
  <c r="AC1154" i="1"/>
  <c r="M1157" i="1"/>
  <c r="R1157" i="1" s="1"/>
  <c r="AC1158" i="1"/>
  <c r="M1161" i="1"/>
  <c r="R1161" i="1" s="1"/>
  <c r="AC1162" i="1"/>
  <c r="M1165" i="1"/>
  <c r="R1165" i="1" s="1"/>
  <c r="AC1166" i="1"/>
  <c r="M1169" i="1"/>
  <c r="R1169" i="1" s="1"/>
  <c r="AC1170" i="1"/>
  <c r="AD1174" i="1"/>
  <c r="AD1175" i="1"/>
  <c r="AF1175" i="1"/>
  <c r="AE1175" i="1"/>
  <c r="M1177" i="1"/>
  <c r="R1177" i="1" s="1"/>
  <c r="AG1177" i="1"/>
  <c r="AG1180" i="1"/>
  <c r="AC1180" i="1"/>
  <c r="AE1180" i="1"/>
  <c r="AD1182" i="1"/>
  <c r="AD1183" i="1"/>
  <c r="AF1183" i="1"/>
  <c r="AE1183" i="1"/>
  <c r="M1185" i="1"/>
  <c r="R1185" i="1" s="1"/>
  <c r="AG1185" i="1"/>
  <c r="AG1188" i="1"/>
  <c r="AC1188" i="1"/>
  <c r="AE1188" i="1"/>
  <c r="AD1190" i="1"/>
  <c r="AD1191" i="1"/>
  <c r="AF1191" i="1"/>
  <c r="AE1191" i="1"/>
  <c r="M1193" i="1"/>
  <c r="R1193" i="1" s="1"/>
  <c r="AG1193" i="1"/>
  <c r="AG1196" i="1"/>
  <c r="AC1196" i="1"/>
  <c r="AE1196" i="1"/>
  <c r="AD1198" i="1"/>
  <c r="AD1199" i="1"/>
  <c r="AF1199" i="1"/>
  <c r="AE1199" i="1"/>
  <c r="M1201" i="1"/>
  <c r="R1201" i="1" s="1"/>
  <c r="AG1201" i="1"/>
  <c r="AG1204" i="1"/>
  <c r="AC1204" i="1"/>
  <c r="AE1204" i="1"/>
  <c r="AD1206" i="1"/>
  <c r="AD1207" i="1"/>
  <c r="AF1207" i="1"/>
  <c r="AE1207" i="1"/>
  <c r="M1209" i="1"/>
  <c r="R1209" i="1" s="1"/>
  <c r="AG1209" i="1"/>
  <c r="AG1212" i="1"/>
  <c r="AC1212" i="1"/>
  <c r="AE1212" i="1"/>
  <c r="AD1214" i="1"/>
  <c r="AD1215" i="1"/>
  <c r="AF1215" i="1"/>
  <c r="AE1215" i="1"/>
  <c r="M1217" i="1"/>
  <c r="R1217" i="1" s="1"/>
  <c r="AG1217" i="1"/>
  <c r="AG1220" i="1"/>
  <c r="AC1220" i="1"/>
  <c r="AE1220" i="1"/>
  <c r="AD1222" i="1"/>
  <c r="AD1223" i="1"/>
  <c r="AF1223" i="1"/>
  <c r="AE1223" i="1"/>
  <c r="M1225" i="1"/>
  <c r="R1225" i="1" s="1"/>
  <c r="AG1225" i="1"/>
  <c r="AG1228" i="1"/>
  <c r="AC1228" i="1"/>
  <c r="AE1228" i="1"/>
  <c r="AD1230" i="1"/>
  <c r="AD1231" i="1"/>
  <c r="AF1231" i="1"/>
  <c r="AE1231" i="1"/>
  <c r="M1233" i="1"/>
  <c r="R1233" i="1" s="1"/>
  <c r="AG1233" i="1"/>
  <c r="Y1235" i="1"/>
  <c r="M1235" i="1"/>
  <c r="R1235" i="1" s="1"/>
  <c r="AG1236" i="1"/>
  <c r="AC1236" i="1"/>
  <c r="AE1236" i="1"/>
  <c r="AD1238" i="1"/>
  <c r="M1241" i="1"/>
  <c r="R1241" i="1" s="1"/>
  <c r="AG1241" i="1"/>
  <c r="AG1244" i="1"/>
  <c r="AC1244" i="1"/>
  <c r="AE1244" i="1"/>
  <c r="AD1246" i="1"/>
  <c r="AD1247" i="1"/>
  <c r="AF1247" i="1"/>
  <c r="AE1247" i="1"/>
  <c r="M1249" i="1"/>
  <c r="R1249" i="1" s="1"/>
  <c r="AG1249" i="1"/>
  <c r="Y1251" i="1"/>
  <c r="M1251" i="1"/>
  <c r="R1251" i="1" s="1"/>
  <c r="AG1252" i="1"/>
  <c r="AC1252" i="1"/>
  <c r="AE1252" i="1"/>
  <c r="AD1254" i="1"/>
  <c r="AD1255" i="1"/>
  <c r="AF1255" i="1"/>
  <c r="AE1255" i="1"/>
  <c r="M1257" i="1"/>
  <c r="R1257" i="1" s="1"/>
  <c r="AG1257" i="1"/>
  <c r="AG1260" i="1"/>
  <c r="AC1260" i="1"/>
  <c r="AE1260" i="1"/>
  <c r="AD1262" i="1"/>
  <c r="AD1263" i="1"/>
  <c r="AF1263" i="1"/>
  <c r="AE1263" i="1"/>
  <c r="M1265" i="1"/>
  <c r="R1265" i="1" s="1"/>
  <c r="AG1265" i="1"/>
  <c r="AG1268" i="1"/>
  <c r="AC1268" i="1"/>
  <c r="AE1268" i="1"/>
  <c r="AD1270" i="1"/>
  <c r="AD1271" i="1"/>
  <c r="AF1271" i="1"/>
  <c r="AE1271" i="1"/>
  <c r="M1273" i="1"/>
  <c r="R1273" i="1" s="1"/>
  <c r="AG1273" i="1"/>
  <c r="AG1276" i="1"/>
  <c r="AC1276" i="1"/>
  <c r="AE1276" i="1"/>
  <c r="AD1278" i="1"/>
  <c r="AD1279" i="1"/>
  <c r="AF1279" i="1"/>
  <c r="AE1279" i="1"/>
  <c r="M1281" i="1"/>
  <c r="R1281" i="1" s="1"/>
  <c r="AG1281" i="1"/>
  <c r="AG1284" i="1"/>
  <c r="AF1285" i="1"/>
  <c r="AE1285" i="1"/>
  <c r="AD1285" i="1"/>
  <c r="AF1286" i="1"/>
  <c r="AG1292" i="1"/>
  <c r="AF1294" i="1"/>
  <c r="AG1300" i="1"/>
  <c r="AF1301" i="1"/>
  <c r="AE1301" i="1"/>
  <c r="AD1301" i="1"/>
  <c r="AF1302" i="1"/>
  <c r="AG1308" i="1"/>
  <c r="AF1309" i="1"/>
  <c r="AE1309" i="1"/>
  <c r="AD1309" i="1"/>
  <c r="AF1310" i="1"/>
  <c r="AG1316" i="1"/>
  <c r="AF1317" i="1"/>
  <c r="AE1317" i="1"/>
  <c r="AD1317" i="1"/>
  <c r="AF1318" i="1"/>
  <c r="AG1324" i="1"/>
  <c r="AF1325" i="1"/>
  <c r="AE1325" i="1"/>
  <c r="AD1325" i="1"/>
  <c r="AF1326" i="1"/>
  <c r="AG1332" i="1"/>
  <c r="AF1333" i="1"/>
  <c r="AE1333" i="1"/>
  <c r="AD1333" i="1"/>
  <c r="AF1334" i="1"/>
  <c r="AG1340" i="1"/>
  <c r="AF1342" i="1"/>
  <c r="AG1348" i="1"/>
  <c r="AF1349" i="1"/>
  <c r="AE1349" i="1"/>
  <c r="AD1349" i="1"/>
  <c r="AF1350" i="1"/>
  <c r="AG1356" i="1"/>
  <c r="AF1357" i="1"/>
  <c r="AE1357" i="1"/>
  <c r="AD1357" i="1"/>
  <c r="AF1358" i="1"/>
  <c r="AG1364" i="1"/>
  <c r="AF1365" i="1"/>
  <c r="AE1365" i="1"/>
  <c r="AD1365" i="1"/>
  <c r="AF1366" i="1"/>
  <c r="AG1372" i="1"/>
  <c r="AF1373" i="1"/>
  <c r="AE1373" i="1"/>
  <c r="AD1373" i="1"/>
  <c r="AF1374" i="1"/>
  <c r="AG1380" i="1"/>
  <c r="AF1381" i="1"/>
  <c r="AE1381" i="1"/>
  <c r="AD1381" i="1"/>
  <c r="AF1382" i="1"/>
  <c r="AG1388" i="1"/>
  <c r="AF1389" i="1"/>
  <c r="AE1389" i="1"/>
  <c r="AD1389" i="1"/>
  <c r="AF1390" i="1"/>
  <c r="AG1396" i="1"/>
  <c r="AF1397" i="1"/>
  <c r="AE1397" i="1"/>
  <c r="AD1397" i="1"/>
  <c r="AF1398" i="1"/>
  <c r="AG1404" i="1"/>
  <c r="AF1406" i="1"/>
  <c r="AG1412" i="1"/>
  <c r="AF1413" i="1"/>
  <c r="AE1413" i="1"/>
  <c r="AD1413" i="1"/>
  <c r="AF1414" i="1"/>
  <c r="Y1433" i="1"/>
  <c r="M1433" i="1"/>
  <c r="R1433" i="1" s="1"/>
  <c r="Y1441" i="1"/>
  <c r="AE1441" i="1" s="1"/>
  <c r="M1441" i="1"/>
  <c r="R1441" i="1" s="1"/>
  <c r="AF1453" i="1"/>
  <c r="AE1453" i="1"/>
  <c r="AD1453" i="1"/>
  <c r="AF1461" i="1"/>
  <c r="AE1461" i="1"/>
  <c r="AD1461" i="1"/>
  <c r="AF1469" i="1"/>
  <c r="AE1469" i="1"/>
  <c r="AD1469" i="1"/>
  <c r="AF1477" i="1"/>
  <c r="AE1477" i="1"/>
  <c r="AD1477" i="1"/>
  <c r="AF1485" i="1"/>
  <c r="AE1485" i="1"/>
  <c r="AD1485" i="1"/>
  <c r="AF1493" i="1"/>
  <c r="AE1493" i="1"/>
  <c r="AD1493" i="1"/>
  <c r="AF1509" i="1"/>
  <c r="AE1509" i="1"/>
  <c r="AD1509" i="1"/>
  <c r="AF1517" i="1"/>
  <c r="AE1517" i="1"/>
  <c r="AD1517" i="1"/>
  <c r="AF1525" i="1"/>
  <c r="AE1525" i="1"/>
  <c r="AD1525" i="1"/>
  <c r="AF1533" i="1"/>
  <c r="AE1533" i="1"/>
  <c r="AD1533" i="1"/>
  <c r="AF1541" i="1"/>
  <c r="AE1541" i="1"/>
  <c r="AD1541" i="1"/>
  <c r="AF1549" i="1"/>
  <c r="AE1549" i="1"/>
  <c r="AD1549" i="1"/>
  <c r="Y1561" i="1"/>
  <c r="AF1561" i="1" s="1"/>
  <c r="M1561" i="1"/>
  <c r="R1561" i="1" s="1"/>
  <c r="AG1562" i="1"/>
  <c r="AC1562" i="1"/>
  <c r="AE1562" i="1"/>
  <c r="AF1562" i="1"/>
  <c r="AD1562" i="1"/>
  <c r="AF1568" i="1"/>
  <c r="AD1568" i="1"/>
  <c r="AG1578" i="1"/>
  <c r="AC1578" i="1"/>
  <c r="AE1578" i="1"/>
  <c r="AF1578" i="1"/>
  <c r="AD1578" i="1"/>
  <c r="AF1584" i="1"/>
  <c r="AD1584" i="1"/>
  <c r="Y1593" i="1"/>
  <c r="AD1593" i="1" s="1"/>
  <c r="M1593" i="1"/>
  <c r="R1593" i="1" s="1"/>
  <c r="AG1594" i="1"/>
  <c r="AC1594" i="1"/>
  <c r="AE1594" i="1"/>
  <c r="AF1594" i="1"/>
  <c r="AD1594" i="1"/>
  <c r="AF1600" i="1"/>
  <c r="AD1600" i="1"/>
  <c r="AG1610" i="1"/>
  <c r="AC1610" i="1"/>
  <c r="AE1610" i="1"/>
  <c r="AF1610" i="1"/>
  <c r="AD1610" i="1"/>
  <c r="AF1616" i="1"/>
  <c r="AD1616" i="1"/>
  <c r="AG1626" i="1"/>
  <c r="AC1626" i="1"/>
  <c r="AE1626" i="1"/>
  <c r="AF1626" i="1"/>
  <c r="AD1626" i="1"/>
  <c r="AF1632" i="1"/>
  <c r="AD1632" i="1"/>
  <c r="AC1915" i="1"/>
  <c r="AF1979" i="1"/>
  <c r="AE1979" i="1"/>
  <c r="AD1979" i="1"/>
  <c r="AG1979" i="1"/>
  <c r="AC1979" i="1"/>
  <c r="AF1987" i="1"/>
  <c r="AE1987" i="1"/>
  <c r="AD1987" i="1"/>
  <c r="AG1987" i="1"/>
  <c r="AC1987" i="1"/>
  <c r="AF1996" i="1"/>
  <c r="AD1996" i="1"/>
  <c r="AG2022" i="1"/>
  <c r="AC2022" i="1"/>
  <c r="AE2022" i="1"/>
  <c r="AF2022" i="1"/>
  <c r="AD2022" i="1"/>
  <c r="AE1284" i="1"/>
  <c r="AE1288" i="1"/>
  <c r="AE1292" i="1"/>
  <c r="AE1296" i="1"/>
  <c r="AE1300" i="1"/>
  <c r="AE1304" i="1"/>
  <c r="AE1308" i="1"/>
  <c r="AE1312" i="1"/>
  <c r="AE1316" i="1"/>
  <c r="AE1320" i="1"/>
  <c r="AE1324" i="1"/>
  <c r="AE1328" i="1"/>
  <c r="AE1332" i="1"/>
  <c r="AE1336" i="1"/>
  <c r="AE1340" i="1"/>
  <c r="AE1344" i="1"/>
  <c r="AE1348" i="1"/>
  <c r="AE1352" i="1"/>
  <c r="AE1356" i="1"/>
  <c r="AE1360" i="1"/>
  <c r="AE1364" i="1"/>
  <c r="AE1368" i="1"/>
  <c r="AE1372" i="1"/>
  <c r="AE1376" i="1"/>
  <c r="AE1380" i="1"/>
  <c r="AE1384" i="1"/>
  <c r="AE1388" i="1"/>
  <c r="AE1392" i="1"/>
  <c r="AE1396" i="1"/>
  <c r="AE1400" i="1"/>
  <c r="AE1404" i="1"/>
  <c r="AE1408" i="1"/>
  <c r="AE1412" i="1"/>
  <c r="AE1416" i="1"/>
  <c r="AE1420" i="1"/>
  <c r="AE1424" i="1"/>
  <c r="AE1428" i="1"/>
  <c r="AE1432" i="1"/>
  <c r="AE1436" i="1"/>
  <c r="AE1440" i="1"/>
  <c r="AE1444" i="1"/>
  <c r="AE1448" i="1"/>
  <c r="AE1452" i="1"/>
  <c r="AE1456" i="1"/>
  <c r="AE1460" i="1"/>
  <c r="AE1464" i="1"/>
  <c r="AE1468" i="1"/>
  <c r="AE1472" i="1"/>
  <c r="AE1476" i="1"/>
  <c r="AE1480" i="1"/>
  <c r="AE1484" i="1"/>
  <c r="AE1488" i="1"/>
  <c r="AE1492" i="1"/>
  <c r="AE1496" i="1"/>
  <c r="AE1500" i="1"/>
  <c r="AE1504" i="1"/>
  <c r="AE1508" i="1"/>
  <c r="AE1512" i="1"/>
  <c r="AE1516" i="1"/>
  <c r="AE1520" i="1"/>
  <c r="AE1524" i="1"/>
  <c r="AE1528" i="1"/>
  <c r="AE1532" i="1"/>
  <c r="AE1536" i="1"/>
  <c r="AE1540" i="1"/>
  <c r="AE1544" i="1"/>
  <c r="AE1548" i="1"/>
  <c r="AE1552" i="1"/>
  <c r="M1557" i="1"/>
  <c r="R1557" i="1" s="1"/>
  <c r="AE1560" i="1"/>
  <c r="AG1560" i="1"/>
  <c r="AC1560" i="1"/>
  <c r="AF1563" i="1"/>
  <c r="AD1563" i="1"/>
  <c r="AE1563" i="1"/>
  <c r="AE1568" i="1"/>
  <c r="AG1568" i="1"/>
  <c r="AC1568" i="1"/>
  <c r="AF1571" i="1"/>
  <c r="AD1571" i="1"/>
  <c r="AE1571" i="1"/>
  <c r="M1573" i="1"/>
  <c r="R1573" i="1" s="1"/>
  <c r="AE1576" i="1"/>
  <c r="AG1576" i="1"/>
  <c r="AC1576" i="1"/>
  <c r="M1581" i="1"/>
  <c r="R1581" i="1" s="1"/>
  <c r="AE1584" i="1"/>
  <c r="AG1584" i="1"/>
  <c r="AC1584" i="1"/>
  <c r="AF1587" i="1"/>
  <c r="AD1587" i="1"/>
  <c r="AE1587" i="1"/>
  <c r="M1589" i="1"/>
  <c r="R1589" i="1" s="1"/>
  <c r="AE1592" i="1"/>
  <c r="AG1592" i="1"/>
  <c r="AC1592" i="1"/>
  <c r="AF1595" i="1"/>
  <c r="AD1595" i="1"/>
  <c r="AE1595" i="1"/>
  <c r="M1597" i="1"/>
  <c r="R1597" i="1" s="1"/>
  <c r="AE1600" i="1"/>
  <c r="AG1600" i="1"/>
  <c r="AC1600" i="1"/>
  <c r="AF1603" i="1"/>
  <c r="AD1603" i="1"/>
  <c r="AE1603" i="1"/>
  <c r="AE1608" i="1"/>
  <c r="AG1608" i="1"/>
  <c r="AC1608" i="1"/>
  <c r="M1613" i="1"/>
  <c r="R1613" i="1" s="1"/>
  <c r="AE1616" i="1"/>
  <c r="AG1616" i="1"/>
  <c r="AC1616" i="1"/>
  <c r="M1621" i="1"/>
  <c r="R1621" i="1" s="1"/>
  <c r="Y1623" i="1"/>
  <c r="M1623" i="1"/>
  <c r="R1623" i="1" s="1"/>
  <c r="AE1624" i="1"/>
  <c r="AG1624" i="1"/>
  <c r="AC1624" i="1"/>
  <c r="AF1627" i="1"/>
  <c r="AD1627" i="1"/>
  <c r="AE1627" i="1"/>
  <c r="M1629" i="1"/>
  <c r="R1629" i="1" s="1"/>
  <c r="AE1632" i="1"/>
  <c r="AG1632" i="1"/>
  <c r="AC1632" i="1"/>
  <c r="AF1635" i="1"/>
  <c r="AD1635" i="1"/>
  <c r="AE1635" i="1"/>
  <c r="AE1640" i="1"/>
  <c r="AD1640" i="1"/>
  <c r="AG1640" i="1"/>
  <c r="AC1640" i="1"/>
  <c r="AD1641" i="1"/>
  <c r="AG1641" i="1"/>
  <c r="AC1641" i="1"/>
  <c r="AF1641" i="1"/>
  <c r="AD1642" i="1"/>
  <c r="M1643" i="1"/>
  <c r="R1643" i="1" s="1"/>
  <c r="AE1648" i="1"/>
  <c r="AD1648" i="1"/>
  <c r="AG1648" i="1"/>
  <c r="AC1648" i="1"/>
  <c r="AD1649" i="1"/>
  <c r="AG1649" i="1"/>
  <c r="AC1649" i="1"/>
  <c r="AF1649" i="1"/>
  <c r="AD1650" i="1"/>
  <c r="M1651" i="1"/>
  <c r="R1651" i="1" s="1"/>
  <c r="AE1656" i="1"/>
  <c r="AD1656" i="1"/>
  <c r="AG1656" i="1"/>
  <c r="AC1656" i="1"/>
  <c r="AD1657" i="1"/>
  <c r="AG1657" i="1"/>
  <c r="AC1657" i="1"/>
  <c r="AF1657" i="1"/>
  <c r="AD1658" i="1"/>
  <c r="M1659" i="1"/>
  <c r="R1659" i="1" s="1"/>
  <c r="AE1664" i="1"/>
  <c r="AD1664" i="1"/>
  <c r="AG1664" i="1"/>
  <c r="AC1664" i="1"/>
  <c r="AD1665" i="1"/>
  <c r="AG1665" i="1"/>
  <c r="AC1665" i="1"/>
  <c r="AF1665" i="1"/>
  <c r="AD1666" i="1"/>
  <c r="M1667" i="1"/>
  <c r="R1667" i="1" s="1"/>
  <c r="AE1672" i="1"/>
  <c r="AD1672" i="1"/>
  <c r="AG1672" i="1"/>
  <c r="AC1672" i="1"/>
  <c r="AD1673" i="1"/>
  <c r="AG1673" i="1"/>
  <c r="AC1673" i="1"/>
  <c r="AF1673" i="1"/>
  <c r="AD1674" i="1"/>
  <c r="M1675" i="1"/>
  <c r="R1675" i="1" s="1"/>
  <c r="AE1680" i="1"/>
  <c r="AD1680" i="1"/>
  <c r="AG1680" i="1"/>
  <c r="AC1680" i="1"/>
  <c r="AD1681" i="1"/>
  <c r="AG1681" i="1"/>
  <c r="AC1681" i="1"/>
  <c r="AF1681" i="1"/>
  <c r="AD1682" i="1"/>
  <c r="M1683" i="1"/>
  <c r="R1683" i="1" s="1"/>
  <c r="AE1688" i="1"/>
  <c r="AD1688" i="1"/>
  <c r="AG1688" i="1"/>
  <c r="AC1688" i="1"/>
  <c r="AD1689" i="1"/>
  <c r="AG1689" i="1"/>
  <c r="AC1689" i="1"/>
  <c r="AF1689" i="1"/>
  <c r="AD1690" i="1"/>
  <c r="M1691" i="1"/>
  <c r="R1691" i="1" s="1"/>
  <c r="AE1696" i="1"/>
  <c r="AD1696" i="1"/>
  <c r="AG1696" i="1"/>
  <c r="AC1696" i="1"/>
  <c r="AD1697" i="1"/>
  <c r="AG1697" i="1"/>
  <c r="AC1697" i="1"/>
  <c r="AF1697" i="1"/>
  <c r="AD1698" i="1"/>
  <c r="M1699" i="1"/>
  <c r="R1699" i="1" s="1"/>
  <c r="AE1704" i="1"/>
  <c r="AD1704" i="1"/>
  <c r="AG1704" i="1"/>
  <c r="AC1704" i="1"/>
  <c r="AD1705" i="1"/>
  <c r="AG1705" i="1"/>
  <c r="AC1705" i="1"/>
  <c r="AF1705" i="1"/>
  <c r="AD1706" i="1"/>
  <c r="M1707" i="1"/>
  <c r="R1707" i="1" s="1"/>
  <c r="AE1712" i="1"/>
  <c r="AD1712" i="1"/>
  <c r="AG1712" i="1"/>
  <c r="AC1712" i="1"/>
  <c r="AD1713" i="1"/>
  <c r="AG1713" i="1"/>
  <c r="AC1713" i="1"/>
  <c r="AF1713" i="1"/>
  <c r="AD1714" i="1"/>
  <c r="AE1720" i="1"/>
  <c r="AD1720" i="1"/>
  <c r="AG1720" i="1"/>
  <c r="AC1720" i="1"/>
  <c r="AD1721" i="1"/>
  <c r="AG1721" i="1"/>
  <c r="AC1721" i="1"/>
  <c r="AF1721" i="1"/>
  <c r="AD1722" i="1"/>
  <c r="M1723" i="1"/>
  <c r="R1723" i="1" s="1"/>
  <c r="AE1728" i="1"/>
  <c r="AD1728" i="1"/>
  <c r="AG1728" i="1"/>
  <c r="AC1728" i="1"/>
  <c r="AD1729" i="1"/>
  <c r="AG1729" i="1"/>
  <c r="AC1729" i="1"/>
  <c r="AF1729" i="1"/>
  <c r="AD1730" i="1"/>
  <c r="M1731" i="1"/>
  <c r="R1731" i="1" s="1"/>
  <c r="AE1736" i="1"/>
  <c r="AD1736" i="1"/>
  <c r="AG1736" i="1"/>
  <c r="AC1736" i="1"/>
  <c r="AD1737" i="1"/>
  <c r="AG1737" i="1"/>
  <c r="AC1737" i="1"/>
  <c r="AF1737" i="1"/>
  <c r="AD1738" i="1"/>
  <c r="M1739" i="1"/>
  <c r="R1739" i="1" s="1"/>
  <c r="AE1744" i="1"/>
  <c r="AD1744" i="1"/>
  <c r="AG1744" i="1"/>
  <c r="AC1744" i="1"/>
  <c r="AD1745" i="1"/>
  <c r="AG1745" i="1"/>
  <c r="AC1745" i="1"/>
  <c r="AF1745" i="1"/>
  <c r="AD1746" i="1"/>
  <c r="M1747" i="1"/>
  <c r="R1747" i="1" s="1"/>
  <c r="AE1752" i="1"/>
  <c r="AD1752" i="1"/>
  <c r="AG1752" i="1"/>
  <c r="AC1752" i="1"/>
  <c r="AD1753" i="1"/>
  <c r="AG1753" i="1"/>
  <c r="AC1753" i="1"/>
  <c r="AF1753" i="1"/>
  <c r="AD1754" i="1"/>
  <c r="M1755" i="1"/>
  <c r="R1755" i="1" s="1"/>
  <c r="AE1760" i="1"/>
  <c r="AD1760" i="1"/>
  <c r="AG1760" i="1"/>
  <c r="AC1760" i="1"/>
  <c r="AD1761" i="1"/>
  <c r="AG1761" i="1"/>
  <c r="AC1761" i="1"/>
  <c r="AF1761" i="1"/>
  <c r="AD1762" i="1"/>
  <c r="M1763" i="1"/>
  <c r="R1763" i="1" s="1"/>
  <c r="AE1768" i="1"/>
  <c r="AD1768" i="1"/>
  <c r="AG1768" i="1"/>
  <c r="AC1768" i="1"/>
  <c r="AD1769" i="1"/>
  <c r="AG1769" i="1"/>
  <c r="AC1769" i="1"/>
  <c r="AF1769" i="1"/>
  <c r="AD1770" i="1"/>
  <c r="M1771" i="1"/>
  <c r="R1771" i="1" s="1"/>
  <c r="AE1776" i="1"/>
  <c r="AD1776" i="1"/>
  <c r="AG1776" i="1"/>
  <c r="AC1776" i="1"/>
  <c r="AD1777" i="1"/>
  <c r="AG1777" i="1"/>
  <c r="AC1777" i="1"/>
  <c r="AF1777" i="1"/>
  <c r="AD1778" i="1"/>
  <c r="M1779" i="1"/>
  <c r="R1779" i="1" s="1"/>
  <c r="AE1784" i="1"/>
  <c r="AD1784" i="1"/>
  <c r="AG1784" i="1"/>
  <c r="AC1784" i="1"/>
  <c r="AD1785" i="1"/>
  <c r="AG1785" i="1"/>
  <c r="AC1785" i="1"/>
  <c r="AF1785" i="1"/>
  <c r="AD1786" i="1"/>
  <c r="M1787" i="1"/>
  <c r="R1787" i="1" s="1"/>
  <c r="AE1792" i="1"/>
  <c r="AD1792" i="1"/>
  <c r="AG1792" i="1"/>
  <c r="AC1792" i="1"/>
  <c r="AD1793" i="1"/>
  <c r="AG1793" i="1"/>
  <c r="AC1793" i="1"/>
  <c r="AF1793" i="1"/>
  <c r="AD1794" i="1"/>
  <c r="M1795" i="1"/>
  <c r="R1795" i="1" s="1"/>
  <c r="AE1800" i="1"/>
  <c r="AD1800" i="1"/>
  <c r="AG1800" i="1"/>
  <c r="AC1800" i="1"/>
  <c r="AD1801" i="1"/>
  <c r="AG1801" i="1"/>
  <c r="AC1801" i="1"/>
  <c r="AF1801" i="1"/>
  <c r="AD1802" i="1"/>
  <c r="M1803" i="1"/>
  <c r="R1803" i="1" s="1"/>
  <c r="AE1808" i="1"/>
  <c r="AD1808" i="1"/>
  <c r="AG1808" i="1"/>
  <c r="AC1808" i="1"/>
  <c r="AD1809" i="1"/>
  <c r="AG1809" i="1"/>
  <c r="AC1809" i="1"/>
  <c r="AF1809" i="1"/>
  <c r="AD1810" i="1"/>
  <c r="AE1816" i="1"/>
  <c r="AD1816" i="1"/>
  <c r="AG1816" i="1"/>
  <c r="AC1816" i="1"/>
  <c r="AD1817" i="1"/>
  <c r="AG1817" i="1"/>
  <c r="AC1817" i="1"/>
  <c r="AF1817" i="1"/>
  <c r="AD1818" i="1"/>
  <c r="M1819" i="1"/>
  <c r="R1819" i="1" s="1"/>
  <c r="AE1824" i="1"/>
  <c r="AD1824" i="1"/>
  <c r="AG1824" i="1"/>
  <c r="AC1824" i="1"/>
  <c r="AD1825" i="1"/>
  <c r="AG1825" i="1"/>
  <c r="AC1825" i="1"/>
  <c r="AF1825" i="1"/>
  <c r="AD1826" i="1"/>
  <c r="M1827" i="1"/>
  <c r="R1827" i="1" s="1"/>
  <c r="AE1832" i="1"/>
  <c r="AD1832" i="1"/>
  <c r="AG1832" i="1"/>
  <c r="AC1832" i="1"/>
  <c r="AD1833" i="1"/>
  <c r="AG1833" i="1"/>
  <c r="AC1833" i="1"/>
  <c r="AF1833" i="1"/>
  <c r="AD1834" i="1"/>
  <c r="M1835" i="1"/>
  <c r="R1835" i="1" s="1"/>
  <c r="AE1840" i="1"/>
  <c r="AD1840" i="1"/>
  <c r="AG1840" i="1"/>
  <c r="AC1840" i="1"/>
  <c r="AD1841" i="1"/>
  <c r="AG1841" i="1"/>
  <c r="AC1841" i="1"/>
  <c r="AF1841" i="1"/>
  <c r="AD1842" i="1"/>
  <c r="M1843" i="1"/>
  <c r="R1843" i="1" s="1"/>
  <c r="AE1848" i="1"/>
  <c r="AD1848" i="1"/>
  <c r="AG1848" i="1"/>
  <c r="AC1848" i="1"/>
  <c r="AD1849" i="1"/>
  <c r="AG1849" i="1"/>
  <c r="AC1849" i="1"/>
  <c r="AF1849" i="1"/>
  <c r="AD1850" i="1"/>
  <c r="M1851" i="1"/>
  <c r="R1851" i="1" s="1"/>
  <c r="AE1856" i="1"/>
  <c r="AD1856" i="1"/>
  <c r="AG1856" i="1"/>
  <c r="AC1856" i="1"/>
  <c r="AD1857" i="1"/>
  <c r="AG1857" i="1"/>
  <c r="AC1857" i="1"/>
  <c r="AF1857" i="1"/>
  <c r="AD1858" i="1"/>
  <c r="M1859" i="1"/>
  <c r="R1859" i="1" s="1"/>
  <c r="AE1864" i="1"/>
  <c r="AD1864" i="1"/>
  <c r="AG1864" i="1"/>
  <c r="AC1864" i="1"/>
  <c r="AD1865" i="1"/>
  <c r="AG1865" i="1"/>
  <c r="AC1865" i="1"/>
  <c r="AF1865" i="1"/>
  <c r="AD1866" i="1"/>
  <c r="M1867" i="1"/>
  <c r="R1867" i="1" s="1"/>
  <c r="AE1872" i="1"/>
  <c r="AD1872" i="1"/>
  <c r="AG1872" i="1"/>
  <c r="AC1872" i="1"/>
  <c r="AD1873" i="1"/>
  <c r="AG1873" i="1"/>
  <c r="AC1873" i="1"/>
  <c r="AF1873" i="1"/>
  <c r="AD1874" i="1"/>
  <c r="M1875" i="1"/>
  <c r="R1875" i="1" s="1"/>
  <c r="AE1880" i="1"/>
  <c r="AD1880" i="1"/>
  <c r="AG1880" i="1"/>
  <c r="AC1880" i="1"/>
  <c r="AD1881" i="1"/>
  <c r="AG1881" i="1"/>
  <c r="AC1881" i="1"/>
  <c r="AF1881" i="1"/>
  <c r="AD1882" i="1"/>
  <c r="M1883" i="1"/>
  <c r="R1883" i="1" s="1"/>
  <c r="AE1888" i="1"/>
  <c r="AD1888" i="1"/>
  <c r="AG1888" i="1"/>
  <c r="AC1888" i="1"/>
  <c r="AD1889" i="1"/>
  <c r="AG1889" i="1"/>
  <c r="AC1889" i="1"/>
  <c r="AF1889" i="1"/>
  <c r="AD1890" i="1"/>
  <c r="M1891" i="1"/>
  <c r="R1891" i="1" s="1"/>
  <c r="AE1896" i="1"/>
  <c r="AD1896" i="1"/>
  <c r="AG1896" i="1"/>
  <c r="AC1896" i="1"/>
  <c r="AD1897" i="1"/>
  <c r="AG1897" i="1"/>
  <c r="AC1897" i="1"/>
  <c r="AF1897" i="1"/>
  <c r="AD1898" i="1"/>
  <c r="M1899" i="1"/>
  <c r="R1899" i="1" s="1"/>
  <c r="AE1904" i="1"/>
  <c r="AD1904" i="1"/>
  <c r="AG1904" i="1"/>
  <c r="AC1904" i="1"/>
  <c r="AD1905" i="1"/>
  <c r="AG1905" i="1"/>
  <c r="AC1905" i="1"/>
  <c r="AF1905" i="1"/>
  <c r="AD1906" i="1"/>
  <c r="AE1912" i="1"/>
  <c r="AD1912" i="1"/>
  <c r="AG1912" i="1"/>
  <c r="AC1912" i="1"/>
  <c r="AD1913" i="1"/>
  <c r="AG1913" i="1"/>
  <c r="AC1913" i="1"/>
  <c r="AF1913" i="1"/>
  <c r="AE1920" i="1"/>
  <c r="AD1920" i="1"/>
  <c r="AG1920" i="1"/>
  <c r="AC1920" i="1"/>
  <c r="AD1921" i="1"/>
  <c r="AG1921" i="1"/>
  <c r="AC1921" i="1"/>
  <c r="AF1921" i="1"/>
  <c r="M1923" i="1"/>
  <c r="R1923" i="1" s="1"/>
  <c r="AE1928" i="1"/>
  <c r="AD1928" i="1"/>
  <c r="AG1928" i="1"/>
  <c r="AC1928" i="1"/>
  <c r="AD1929" i="1"/>
  <c r="AG1929" i="1"/>
  <c r="AC1929" i="1"/>
  <c r="AF1929" i="1"/>
  <c r="AD1930" i="1"/>
  <c r="M1931" i="1"/>
  <c r="R1931" i="1" s="1"/>
  <c r="AE1936" i="1"/>
  <c r="AD1936" i="1"/>
  <c r="AG1936" i="1"/>
  <c r="AC1936" i="1"/>
  <c r="AD1937" i="1"/>
  <c r="AG1937" i="1"/>
  <c r="AC1937" i="1"/>
  <c r="AF1937" i="1"/>
  <c r="AD1938" i="1"/>
  <c r="M1939" i="1"/>
  <c r="R1939" i="1" s="1"/>
  <c r="AE1944" i="1"/>
  <c r="AD1944" i="1"/>
  <c r="AG1944" i="1"/>
  <c r="AC1944" i="1"/>
  <c r="AD1945" i="1"/>
  <c r="AG1945" i="1"/>
  <c r="AC1945" i="1"/>
  <c r="AF1945" i="1"/>
  <c r="AD1946" i="1"/>
  <c r="M1947" i="1"/>
  <c r="R1947" i="1" s="1"/>
  <c r="AE1952" i="1"/>
  <c r="AD1952" i="1"/>
  <c r="AG1952" i="1"/>
  <c r="AC1952" i="1"/>
  <c r="AD1953" i="1"/>
  <c r="AG1953" i="1"/>
  <c r="AC1953" i="1"/>
  <c r="AF1953" i="1"/>
  <c r="AD1954" i="1"/>
  <c r="AE1960" i="1"/>
  <c r="AD1960" i="1"/>
  <c r="AG1960" i="1"/>
  <c r="AC1960" i="1"/>
  <c r="AD1961" i="1"/>
  <c r="AG1961" i="1"/>
  <c r="AC1961" i="1"/>
  <c r="AF1961" i="1"/>
  <c r="AE1968" i="1"/>
  <c r="AD1968" i="1"/>
  <c r="AG1968" i="1"/>
  <c r="AC1968" i="1"/>
  <c r="AD1969" i="1"/>
  <c r="AG1969" i="1"/>
  <c r="AC1969" i="1"/>
  <c r="AF1969" i="1"/>
  <c r="M1971" i="1"/>
  <c r="R1971" i="1" s="1"/>
  <c r="AE1976" i="1"/>
  <c r="AD1976" i="1"/>
  <c r="AG1976" i="1"/>
  <c r="AC1976" i="1"/>
  <c r="AD1977" i="1"/>
  <c r="AG1977" i="1"/>
  <c r="AC1977" i="1"/>
  <c r="AF1977" i="1"/>
  <c r="M1979" i="1"/>
  <c r="R1979" i="1" s="1"/>
  <c r="AE1984" i="1"/>
  <c r="AD1984" i="1"/>
  <c r="AG1984" i="1"/>
  <c r="AC1984" i="1"/>
  <c r="AD1985" i="1"/>
  <c r="AG1985" i="1"/>
  <c r="AC1985" i="1"/>
  <c r="AF1985" i="1"/>
  <c r="AD1986" i="1"/>
  <c r="M1987" i="1"/>
  <c r="R1987" i="1" s="1"/>
  <c r="AE1992" i="1"/>
  <c r="AD1992" i="1"/>
  <c r="AG1992" i="1"/>
  <c r="AC1992" i="1"/>
  <c r="AD1993" i="1"/>
  <c r="AF1993" i="1"/>
  <c r="AC1993" i="1"/>
  <c r="AG1993" i="1"/>
  <c r="AD2009" i="1"/>
  <c r="AF2009" i="1"/>
  <c r="AC2009" i="1"/>
  <c r="AG2009" i="1"/>
  <c r="AD2025" i="1"/>
  <c r="AF2025" i="1"/>
  <c r="AC2025" i="1"/>
  <c r="AG2025" i="1"/>
  <c r="AF2119" i="1"/>
  <c r="AE2119" i="1"/>
  <c r="AD2119" i="1"/>
  <c r="AG2119" i="1"/>
  <c r="AC2119" i="1"/>
  <c r="AC2127" i="1"/>
  <c r="AC2135" i="1"/>
  <c r="AC2143" i="1"/>
  <c r="AC2151" i="1"/>
  <c r="Y2155" i="1"/>
  <c r="M2155" i="1"/>
  <c r="R2155" i="1" s="1"/>
  <c r="AD2192" i="1"/>
  <c r="AF2373" i="1"/>
  <c r="AE2373" i="1"/>
  <c r="AG2373" i="1"/>
  <c r="AD2373" i="1"/>
  <c r="AC2373" i="1"/>
  <c r="AF1284" i="1"/>
  <c r="AF1288" i="1"/>
  <c r="AF1292" i="1"/>
  <c r="AF1296" i="1"/>
  <c r="AF1300" i="1"/>
  <c r="AF1304" i="1"/>
  <c r="AF1308" i="1"/>
  <c r="AF1312" i="1"/>
  <c r="AF1316" i="1"/>
  <c r="AF1320" i="1"/>
  <c r="AF1324" i="1"/>
  <c r="AF1328" i="1"/>
  <c r="AF1332" i="1"/>
  <c r="AF1336" i="1"/>
  <c r="AF1340" i="1"/>
  <c r="AF1344" i="1"/>
  <c r="AF1348" i="1"/>
  <c r="AF1352" i="1"/>
  <c r="AF1356" i="1"/>
  <c r="AF1360" i="1"/>
  <c r="AF1364" i="1"/>
  <c r="AF1368" i="1"/>
  <c r="AF1372" i="1"/>
  <c r="AF1376" i="1"/>
  <c r="AF1380" i="1"/>
  <c r="AF1384" i="1"/>
  <c r="AF1388" i="1"/>
  <c r="AF1392" i="1"/>
  <c r="AF1396" i="1"/>
  <c r="AF1400" i="1"/>
  <c r="AF1404" i="1"/>
  <c r="AF1408" i="1"/>
  <c r="AF1412" i="1"/>
  <c r="AF1416" i="1"/>
  <c r="AF1420" i="1"/>
  <c r="AF1424" i="1"/>
  <c r="AF1428" i="1"/>
  <c r="AF1432" i="1"/>
  <c r="AF1436" i="1"/>
  <c r="AF1440" i="1"/>
  <c r="AF1444" i="1"/>
  <c r="AF1448" i="1"/>
  <c r="AF1452" i="1"/>
  <c r="AF1456" i="1"/>
  <c r="AF1460" i="1"/>
  <c r="AF1464" i="1"/>
  <c r="AF1468" i="1"/>
  <c r="AF1472" i="1"/>
  <c r="AF1476" i="1"/>
  <c r="AF1480" i="1"/>
  <c r="AF1484" i="1"/>
  <c r="AF1488" i="1"/>
  <c r="AF1492" i="1"/>
  <c r="AF1496" i="1"/>
  <c r="AF1500" i="1"/>
  <c r="AF1504" i="1"/>
  <c r="AF1508" i="1"/>
  <c r="AF1512" i="1"/>
  <c r="AF1516" i="1"/>
  <c r="AF1520" i="1"/>
  <c r="AF1524" i="1"/>
  <c r="AF1528" i="1"/>
  <c r="AF1532" i="1"/>
  <c r="AF1536" i="1"/>
  <c r="AF1540" i="1"/>
  <c r="AF1544" i="1"/>
  <c r="AF1548" i="1"/>
  <c r="AF1552" i="1"/>
  <c r="AG1558" i="1"/>
  <c r="AC1558" i="1"/>
  <c r="AE1558" i="1"/>
  <c r="Y1565" i="1"/>
  <c r="M1565" i="1"/>
  <c r="R1565" i="1" s="1"/>
  <c r="AG1566" i="1"/>
  <c r="AC1566" i="1"/>
  <c r="AE1566" i="1"/>
  <c r="AG1574" i="1"/>
  <c r="AC1574" i="1"/>
  <c r="AE1574" i="1"/>
  <c r="AD1577" i="1"/>
  <c r="AF1577" i="1"/>
  <c r="AE1577" i="1"/>
  <c r="AG1582" i="1"/>
  <c r="AC1582" i="1"/>
  <c r="AE1582" i="1"/>
  <c r="AD1585" i="1"/>
  <c r="AF1585" i="1"/>
  <c r="AE1585" i="1"/>
  <c r="AG1590" i="1"/>
  <c r="AC1590" i="1"/>
  <c r="AE1590" i="1"/>
  <c r="AG1598" i="1"/>
  <c r="AC1598" i="1"/>
  <c r="AE1598" i="1"/>
  <c r="AD1601" i="1"/>
  <c r="AF1601" i="1"/>
  <c r="AE1601" i="1"/>
  <c r="Y1605" i="1"/>
  <c r="M1605" i="1"/>
  <c r="R1605" i="1" s="1"/>
  <c r="AG1606" i="1"/>
  <c r="AC1606" i="1"/>
  <c r="AE1606" i="1"/>
  <c r="AD1609" i="1"/>
  <c r="AF1609" i="1"/>
  <c r="AE1609" i="1"/>
  <c r="AG1614" i="1"/>
  <c r="AC1614" i="1"/>
  <c r="AE1614" i="1"/>
  <c r="AD1617" i="1"/>
  <c r="AF1617" i="1"/>
  <c r="AE1617" i="1"/>
  <c r="AG1622" i="1"/>
  <c r="AC1622" i="1"/>
  <c r="AE1622" i="1"/>
  <c r="AD1625" i="1"/>
  <c r="AF1625" i="1"/>
  <c r="AE1625" i="1"/>
  <c r="AG1630" i="1"/>
  <c r="AC1630" i="1"/>
  <c r="AE1630" i="1"/>
  <c r="AD1633" i="1"/>
  <c r="AF1633" i="1"/>
  <c r="AE1633" i="1"/>
  <c r="AF1639" i="1"/>
  <c r="AE1639" i="1"/>
  <c r="AD1639" i="1"/>
  <c r="AF1647" i="1"/>
  <c r="AE1647" i="1"/>
  <c r="AD1647" i="1"/>
  <c r="AF1655" i="1"/>
  <c r="AE1655" i="1"/>
  <c r="AD1655" i="1"/>
  <c r="AF1663" i="1"/>
  <c r="AE1663" i="1"/>
  <c r="AD1663" i="1"/>
  <c r="AF1671" i="1"/>
  <c r="AE1671" i="1"/>
  <c r="AD1671" i="1"/>
  <c r="AF1679" i="1"/>
  <c r="AE1679" i="1"/>
  <c r="AD1679" i="1"/>
  <c r="AF1687" i="1"/>
  <c r="AE1687" i="1"/>
  <c r="AD1687" i="1"/>
  <c r="AF1695" i="1"/>
  <c r="AE1695" i="1"/>
  <c r="AD1695" i="1"/>
  <c r="AF1703" i="1"/>
  <c r="AE1703" i="1"/>
  <c r="AD1703" i="1"/>
  <c r="Y1715" i="1"/>
  <c r="M1715" i="1"/>
  <c r="R1715" i="1" s="1"/>
  <c r="AF1727" i="1"/>
  <c r="AE1727" i="1"/>
  <c r="AD1727" i="1"/>
  <c r="AF1735" i="1"/>
  <c r="AE1735" i="1"/>
  <c r="AD1735" i="1"/>
  <c r="AF1743" i="1"/>
  <c r="AE1743" i="1"/>
  <c r="AD1743" i="1"/>
  <c r="AF1751" i="1"/>
  <c r="AE1751" i="1"/>
  <c r="AD1751" i="1"/>
  <c r="AF1759" i="1"/>
  <c r="AE1759" i="1"/>
  <c r="AD1759" i="1"/>
  <c r="AF1767" i="1"/>
  <c r="AE1767" i="1"/>
  <c r="AD1767" i="1"/>
  <c r="AF1775" i="1"/>
  <c r="AE1775" i="1"/>
  <c r="AD1775" i="1"/>
  <c r="AF1783" i="1"/>
  <c r="AE1783" i="1"/>
  <c r="AD1783" i="1"/>
  <c r="AF1791" i="1"/>
  <c r="AE1791" i="1"/>
  <c r="AD1791" i="1"/>
  <c r="AF1799" i="1"/>
  <c r="AE1799" i="1"/>
  <c r="AD1799" i="1"/>
  <c r="AF1807" i="1"/>
  <c r="AE1807" i="1"/>
  <c r="AD1807" i="1"/>
  <c r="Y1811" i="1"/>
  <c r="M1811" i="1"/>
  <c r="R1811" i="1" s="1"/>
  <c r="AF1815" i="1"/>
  <c r="AE1815" i="1"/>
  <c r="AD1815" i="1"/>
  <c r="AF1823" i="1"/>
  <c r="AE1823" i="1"/>
  <c r="AD1823" i="1"/>
  <c r="AF1831" i="1"/>
  <c r="AE1831" i="1"/>
  <c r="AD1831" i="1"/>
  <c r="AF1839" i="1"/>
  <c r="AE1839" i="1"/>
  <c r="AD1839" i="1"/>
  <c r="AF1847" i="1"/>
  <c r="AE1847" i="1"/>
  <c r="AD1847" i="1"/>
  <c r="AF1855" i="1"/>
  <c r="AE1855" i="1"/>
  <c r="AD1855" i="1"/>
  <c r="AF1863" i="1"/>
  <c r="AE1863" i="1"/>
  <c r="AD1863" i="1"/>
  <c r="AF1871" i="1"/>
  <c r="AE1871" i="1"/>
  <c r="AD1871" i="1"/>
  <c r="AF1879" i="1"/>
  <c r="AE1879" i="1"/>
  <c r="AD1879" i="1"/>
  <c r="AF1887" i="1"/>
  <c r="AE1887" i="1"/>
  <c r="AD1887" i="1"/>
  <c r="AF1895" i="1"/>
  <c r="AE1895" i="1"/>
  <c r="AD1895" i="1"/>
  <c r="AF1903" i="1"/>
  <c r="AE1903" i="1"/>
  <c r="AD1903" i="1"/>
  <c r="Y1907" i="1"/>
  <c r="M1907" i="1"/>
  <c r="R1907" i="1" s="1"/>
  <c r="AF1911" i="1"/>
  <c r="AE1911" i="1"/>
  <c r="AD1911" i="1"/>
  <c r="Y1915" i="1"/>
  <c r="M1915" i="1"/>
  <c r="R1915" i="1" s="1"/>
  <c r="AF1919" i="1"/>
  <c r="AE1919" i="1"/>
  <c r="AD1919" i="1"/>
  <c r="AF1927" i="1"/>
  <c r="AE1927" i="1"/>
  <c r="AD1927" i="1"/>
  <c r="AF1935" i="1"/>
  <c r="AE1935" i="1"/>
  <c r="AD1935" i="1"/>
  <c r="AF1943" i="1"/>
  <c r="AE1943" i="1"/>
  <c r="AD1943" i="1"/>
  <c r="AF1951" i="1"/>
  <c r="AE1951" i="1"/>
  <c r="AD1951" i="1"/>
  <c r="Y1955" i="1"/>
  <c r="M1955" i="1"/>
  <c r="R1955" i="1" s="1"/>
  <c r="AF1959" i="1"/>
  <c r="AE1959" i="1"/>
  <c r="AD1959" i="1"/>
  <c r="Y1963" i="1"/>
  <c r="M1963" i="1"/>
  <c r="R1963" i="1" s="1"/>
  <c r="AF1975" i="1"/>
  <c r="AE1975" i="1"/>
  <c r="AD1975" i="1"/>
  <c r="AF1983" i="1"/>
  <c r="AE1983" i="1"/>
  <c r="AD1983" i="1"/>
  <c r="AF1991" i="1"/>
  <c r="AE1991" i="1"/>
  <c r="AD1991" i="1"/>
  <c r="AG1998" i="1"/>
  <c r="AC1998" i="1"/>
  <c r="AE1998" i="1"/>
  <c r="AF1998" i="1"/>
  <c r="AD1998" i="1"/>
  <c r="AF2004" i="1"/>
  <c r="AD2004" i="1"/>
  <c r="AG2014" i="1"/>
  <c r="AC2014" i="1"/>
  <c r="AE2014" i="1"/>
  <c r="AF2014" i="1"/>
  <c r="AD2014" i="1"/>
  <c r="AF2020" i="1"/>
  <c r="AD2020" i="1"/>
  <c r="AG2030" i="1"/>
  <c r="AC2030" i="1"/>
  <c r="AE2030" i="1"/>
  <c r="AF2030" i="1"/>
  <c r="AD2030" i="1"/>
  <c r="AF2036" i="1"/>
  <c r="AD2036" i="1"/>
  <c r="AG2115" i="1"/>
  <c r="AC2159" i="1"/>
  <c r="Y2163" i="1"/>
  <c r="M2163" i="1"/>
  <c r="R2163" i="1" s="1"/>
  <c r="Y2265" i="1"/>
  <c r="AG2265" i="1" s="1"/>
  <c r="M2265" i="1"/>
  <c r="R2265" i="1" s="1"/>
  <c r="Y2273" i="1"/>
  <c r="M2273" i="1"/>
  <c r="R2273" i="1" s="1"/>
  <c r="Y2281" i="1"/>
  <c r="M2281" i="1"/>
  <c r="R2281" i="1" s="1"/>
  <c r="AG2361" i="1"/>
  <c r="AC1284" i="1"/>
  <c r="AC1288" i="1"/>
  <c r="AC1292" i="1"/>
  <c r="AC1296" i="1"/>
  <c r="AC1300" i="1"/>
  <c r="AC1304" i="1"/>
  <c r="AC1308" i="1"/>
  <c r="AC1312" i="1"/>
  <c r="AC1316" i="1"/>
  <c r="AC1320" i="1"/>
  <c r="M1323" i="1"/>
  <c r="R1323" i="1" s="1"/>
  <c r="AC1324" i="1"/>
  <c r="AC1328" i="1"/>
  <c r="AC1332" i="1"/>
  <c r="AC1336" i="1"/>
  <c r="AC1340" i="1"/>
  <c r="AC1344" i="1"/>
  <c r="AC1348" i="1"/>
  <c r="AC1352" i="1"/>
  <c r="AC1356" i="1"/>
  <c r="AC1360" i="1"/>
  <c r="AC1364" i="1"/>
  <c r="M1367" i="1"/>
  <c r="R1367" i="1" s="1"/>
  <c r="AC1368" i="1"/>
  <c r="M1371" i="1"/>
  <c r="R1371" i="1" s="1"/>
  <c r="AC1372" i="1"/>
  <c r="AC1376" i="1"/>
  <c r="AC1380" i="1"/>
  <c r="AC1384" i="1"/>
  <c r="AC1388" i="1"/>
  <c r="AC1392" i="1"/>
  <c r="AC1396" i="1"/>
  <c r="AC1400" i="1"/>
  <c r="AC1404" i="1"/>
  <c r="AC1408" i="1"/>
  <c r="AC1412" i="1"/>
  <c r="AC1416" i="1"/>
  <c r="AC1420" i="1"/>
  <c r="AC1424" i="1"/>
  <c r="AC1428" i="1"/>
  <c r="AC1432" i="1"/>
  <c r="AC1436" i="1"/>
  <c r="AC1440" i="1"/>
  <c r="AC1444" i="1"/>
  <c r="AC1448" i="1"/>
  <c r="M1451" i="1"/>
  <c r="R1451" i="1" s="1"/>
  <c r="AC1452" i="1"/>
  <c r="AC1456" i="1"/>
  <c r="AC1460" i="1"/>
  <c r="AC1464" i="1"/>
  <c r="AC1468" i="1"/>
  <c r="AC1472" i="1"/>
  <c r="AC1476" i="1"/>
  <c r="AC1480" i="1"/>
  <c r="AC1484" i="1"/>
  <c r="AC1488" i="1"/>
  <c r="AC1492" i="1"/>
  <c r="AC1496" i="1"/>
  <c r="M1499" i="1"/>
  <c r="R1499" i="1" s="1"/>
  <c r="AC1500" i="1"/>
  <c r="AC1504" i="1"/>
  <c r="AC1508" i="1"/>
  <c r="M1511" i="1"/>
  <c r="R1511" i="1" s="1"/>
  <c r="AC1512" i="1"/>
  <c r="M1515" i="1"/>
  <c r="R1515" i="1" s="1"/>
  <c r="AC1516" i="1"/>
  <c r="M1519" i="1"/>
  <c r="R1519" i="1" s="1"/>
  <c r="AC1520" i="1"/>
  <c r="M1523" i="1"/>
  <c r="R1523" i="1" s="1"/>
  <c r="AC1524" i="1"/>
  <c r="M1527" i="1"/>
  <c r="R1527" i="1" s="1"/>
  <c r="AC1528" i="1"/>
  <c r="M1531" i="1"/>
  <c r="R1531" i="1" s="1"/>
  <c r="AC1532" i="1"/>
  <c r="M1535" i="1"/>
  <c r="R1535" i="1" s="1"/>
  <c r="AC1536" i="1"/>
  <c r="M1539" i="1"/>
  <c r="R1539" i="1" s="1"/>
  <c r="AC1540" i="1"/>
  <c r="M1543" i="1"/>
  <c r="R1543" i="1" s="1"/>
  <c r="AC1544" i="1"/>
  <c r="M1547" i="1"/>
  <c r="R1547" i="1" s="1"/>
  <c r="AC1548" i="1"/>
  <c r="M1551" i="1"/>
  <c r="R1551" i="1" s="1"/>
  <c r="AC1552" i="1"/>
  <c r="M1555" i="1"/>
  <c r="R1555" i="1" s="1"/>
  <c r="AE1556" i="1"/>
  <c r="AG1556" i="1"/>
  <c r="AC1556" i="1"/>
  <c r="AD1558" i="1"/>
  <c r="AF1559" i="1"/>
  <c r="AD1559" i="1"/>
  <c r="AE1559" i="1"/>
  <c r="AE1564" i="1"/>
  <c r="AG1564" i="1"/>
  <c r="AC1564" i="1"/>
  <c r="AD1566" i="1"/>
  <c r="AF1567" i="1"/>
  <c r="AD1567" i="1"/>
  <c r="AE1567" i="1"/>
  <c r="AE1572" i="1"/>
  <c r="AG1572" i="1"/>
  <c r="AC1572" i="1"/>
  <c r="AD1574" i="1"/>
  <c r="AF1575" i="1"/>
  <c r="AD1575" i="1"/>
  <c r="AE1575" i="1"/>
  <c r="M1577" i="1"/>
  <c r="R1577" i="1" s="1"/>
  <c r="AG1577" i="1"/>
  <c r="Y1579" i="1"/>
  <c r="M1579" i="1"/>
  <c r="R1579" i="1" s="1"/>
  <c r="AE1580" i="1"/>
  <c r="AG1580" i="1"/>
  <c r="AC1580" i="1"/>
  <c r="AD1582" i="1"/>
  <c r="AF1583" i="1"/>
  <c r="AD1583" i="1"/>
  <c r="AE1583" i="1"/>
  <c r="M1585" i="1"/>
  <c r="R1585" i="1" s="1"/>
  <c r="AG1585" i="1"/>
  <c r="AE1588" i="1"/>
  <c r="AG1588" i="1"/>
  <c r="AC1588" i="1"/>
  <c r="AD1590" i="1"/>
  <c r="AF1591" i="1"/>
  <c r="AD1591" i="1"/>
  <c r="AE1591" i="1"/>
  <c r="AE1596" i="1"/>
  <c r="AG1596" i="1"/>
  <c r="AC1596" i="1"/>
  <c r="AD1598" i="1"/>
  <c r="AF1599" i="1"/>
  <c r="AD1599" i="1"/>
  <c r="AE1599" i="1"/>
  <c r="M1601" i="1"/>
  <c r="R1601" i="1" s="1"/>
  <c r="AG1601" i="1"/>
  <c r="AE1604" i="1"/>
  <c r="AG1604" i="1"/>
  <c r="AC1604" i="1"/>
  <c r="AD1606" i="1"/>
  <c r="AF1607" i="1"/>
  <c r="AD1607" i="1"/>
  <c r="AE1607" i="1"/>
  <c r="M1609" i="1"/>
  <c r="R1609" i="1" s="1"/>
  <c r="AG1609" i="1"/>
  <c r="Y1611" i="1"/>
  <c r="M1611" i="1"/>
  <c r="R1611" i="1" s="1"/>
  <c r="AE1612" i="1"/>
  <c r="AG1612" i="1"/>
  <c r="AC1612" i="1"/>
  <c r="AD1614" i="1"/>
  <c r="AF1615" i="1"/>
  <c r="AD1615" i="1"/>
  <c r="AE1615" i="1"/>
  <c r="M1617" i="1"/>
  <c r="R1617" i="1" s="1"/>
  <c r="AG1617" i="1"/>
  <c r="Y1619" i="1"/>
  <c r="M1619" i="1"/>
  <c r="R1619" i="1" s="1"/>
  <c r="AE1620" i="1"/>
  <c r="AG1620" i="1"/>
  <c r="AC1620" i="1"/>
  <c r="AD1622" i="1"/>
  <c r="M1625" i="1"/>
  <c r="R1625" i="1" s="1"/>
  <c r="AG1625" i="1"/>
  <c r="AE1628" i="1"/>
  <c r="AG1628" i="1"/>
  <c r="AC1628" i="1"/>
  <c r="AD1630" i="1"/>
  <c r="AF1631" i="1"/>
  <c r="AD1631" i="1"/>
  <c r="AE1631" i="1"/>
  <c r="M1633" i="1"/>
  <c r="R1633" i="1" s="1"/>
  <c r="AG1633" i="1"/>
  <c r="AE1636" i="1"/>
  <c r="AD1636" i="1"/>
  <c r="AG1636" i="1"/>
  <c r="AC1636" i="1"/>
  <c r="AD1637" i="1"/>
  <c r="AG1637" i="1"/>
  <c r="AC1637" i="1"/>
  <c r="AF1637" i="1"/>
  <c r="M1639" i="1"/>
  <c r="R1639" i="1" s="1"/>
  <c r="AE1644" i="1"/>
  <c r="AD1644" i="1"/>
  <c r="AG1644" i="1"/>
  <c r="AC1644" i="1"/>
  <c r="AD1645" i="1"/>
  <c r="AG1645" i="1"/>
  <c r="AC1645" i="1"/>
  <c r="AF1645" i="1"/>
  <c r="M1647" i="1"/>
  <c r="R1647" i="1" s="1"/>
  <c r="AE1652" i="1"/>
  <c r="AD1652" i="1"/>
  <c r="AG1652" i="1"/>
  <c r="AC1652" i="1"/>
  <c r="AD1653" i="1"/>
  <c r="AG1653" i="1"/>
  <c r="AC1653" i="1"/>
  <c r="AF1653" i="1"/>
  <c r="M1655" i="1"/>
  <c r="R1655" i="1" s="1"/>
  <c r="AE1660" i="1"/>
  <c r="AD1660" i="1"/>
  <c r="AG1660" i="1"/>
  <c r="AC1660" i="1"/>
  <c r="AD1661" i="1"/>
  <c r="AG1661" i="1"/>
  <c r="AC1661" i="1"/>
  <c r="AF1661" i="1"/>
  <c r="M1663" i="1"/>
  <c r="R1663" i="1" s="1"/>
  <c r="AE1668" i="1"/>
  <c r="AD1668" i="1"/>
  <c r="AG1668" i="1"/>
  <c r="AC1668" i="1"/>
  <c r="AD1669" i="1"/>
  <c r="AG1669" i="1"/>
  <c r="AC1669" i="1"/>
  <c r="AF1669" i="1"/>
  <c r="M1671" i="1"/>
  <c r="R1671" i="1" s="1"/>
  <c r="AE1676" i="1"/>
  <c r="AD1676" i="1"/>
  <c r="AG1676" i="1"/>
  <c r="AC1676" i="1"/>
  <c r="AD1677" i="1"/>
  <c r="AG1677" i="1"/>
  <c r="AC1677" i="1"/>
  <c r="AF1677" i="1"/>
  <c r="M1679" i="1"/>
  <c r="R1679" i="1" s="1"/>
  <c r="AE1684" i="1"/>
  <c r="AD1684" i="1"/>
  <c r="AG1684" i="1"/>
  <c r="AC1684" i="1"/>
  <c r="AD1685" i="1"/>
  <c r="AG1685" i="1"/>
  <c r="AC1685" i="1"/>
  <c r="AF1685" i="1"/>
  <c r="M1687" i="1"/>
  <c r="R1687" i="1" s="1"/>
  <c r="AE1692" i="1"/>
  <c r="AD1692" i="1"/>
  <c r="AG1692" i="1"/>
  <c r="AC1692" i="1"/>
  <c r="AD1693" i="1"/>
  <c r="AG1693" i="1"/>
  <c r="AC1693" i="1"/>
  <c r="AF1693" i="1"/>
  <c r="M1695" i="1"/>
  <c r="R1695" i="1" s="1"/>
  <c r="AE1700" i="1"/>
  <c r="AD1700" i="1"/>
  <c r="AG1700" i="1"/>
  <c r="AC1700" i="1"/>
  <c r="AD1701" i="1"/>
  <c r="AG1701" i="1"/>
  <c r="AC1701" i="1"/>
  <c r="AF1701" i="1"/>
  <c r="M1703" i="1"/>
  <c r="R1703" i="1" s="1"/>
  <c r="AE1708" i="1"/>
  <c r="AD1708" i="1"/>
  <c r="AG1708" i="1"/>
  <c r="AC1708" i="1"/>
  <c r="AD1709" i="1"/>
  <c r="AG1709" i="1"/>
  <c r="AC1709" i="1"/>
  <c r="AF1709" i="1"/>
  <c r="AE1716" i="1"/>
  <c r="AD1716" i="1"/>
  <c r="AG1716" i="1"/>
  <c r="AC1716" i="1"/>
  <c r="AD1717" i="1"/>
  <c r="AG1717" i="1"/>
  <c r="AC1717" i="1"/>
  <c r="AF1717" i="1"/>
  <c r="AE1724" i="1"/>
  <c r="AD1724" i="1"/>
  <c r="AG1724" i="1"/>
  <c r="AC1724" i="1"/>
  <c r="AD1725" i="1"/>
  <c r="AG1725" i="1"/>
  <c r="AC1725" i="1"/>
  <c r="AF1725" i="1"/>
  <c r="M1727" i="1"/>
  <c r="R1727" i="1" s="1"/>
  <c r="AE1732" i="1"/>
  <c r="AD1732" i="1"/>
  <c r="AG1732" i="1"/>
  <c r="AC1732" i="1"/>
  <c r="AD1733" i="1"/>
  <c r="AG1733" i="1"/>
  <c r="AC1733" i="1"/>
  <c r="AF1733" i="1"/>
  <c r="M1735" i="1"/>
  <c r="R1735" i="1" s="1"/>
  <c r="AE1740" i="1"/>
  <c r="AD1740" i="1"/>
  <c r="AG1740" i="1"/>
  <c r="AC1740" i="1"/>
  <c r="AD1741" i="1"/>
  <c r="AG1741" i="1"/>
  <c r="AC1741" i="1"/>
  <c r="AF1741" i="1"/>
  <c r="M1743" i="1"/>
  <c r="R1743" i="1" s="1"/>
  <c r="AE1748" i="1"/>
  <c r="AD1748" i="1"/>
  <c r="AG1748" i="1"/>
  <c r="AC1748" i="1"/>
  <c r="AD1749" i="1"/>
  <c r="AG1749" i="1"/>
  <c r="AC1749" i="1"/>
  <c r="AF1749" i="1"/>
  <c r="M1751" i="1"/>
  <c r="R1751" i="1" s="1"/>
  <c r="AE1756" i="1"/>
  <c r="AD1756" i="1"/>
  <c r="AG1756" i="1"/>
  <c r="AC1756" i="1"/>
  <c r="AD1757" i="1"/>
  <c r="AG1757" i="1"/>
  <c r="AC1757" i="1"/>
  <c r="AF1757" i="1"/>
  <c r="M1759" i="1"/>
  <c r="R1759" i="1" s="1"/>
  <c r="AE1764" i="1"/>
  <c r="AD1764" i="1"/>
  <c r="AG1764" i="1"/>
  <c r="AC1764" i="1"/>
  <c r="AD1765" i="1"/>
  <c r="AG1765" i="1"/>
  <c r="AC1765" i="1"/>
  <c r="AF1765" i="1"/>
  <c r="M1767" i="1"/>
  <c r="R1767" i="1" s="1"/>
  <c r="AE1772" i="1"/>
  <c r="AD1772" i="1"/>
  <c r="AG1772" i="1"/>
  <c r="AC1772" i="1"/>
  <c r="AD1773" i="1"/>
  <c r="AG1773" i="1"/>
  <c r="AC1773" i="1"/>
  <c r="AF1773" i="1"/>
  <c r="M1775" i="1"/>
  <c r="R1775" i="1" s="1"/>
  <c r="AE1780" i="1"/>
  <c r="AD1780" i="1"/>
  <c r="AG1780" i="1"/>
  <c r="AC1780" i="1"/>
  <c r="AD1781" i="1"/>
  <c r="AG1781" i="1"/>
  <c r="AC1781" i="1"/>
  <c r="AF1781" i="1"/>
  <c r="M1783" i="1"/>
  <c r="R1783" i="1" s="1"/>
  <c r="AE1788" i="1"/>
  <c r="AD1788" i="1"/>
  <c r="AG1788" i="1"/>
  <c r="AC1788" i="1"/>
  <c r="AD1789" i="1"/>
  <c r="AG1789" i="1"/>
  <c r="AC1789" i="1"/>
  <c r="AF1789" i="1"/>
  <c r="M1791" i="1"/>
  <c r="R1791" i="1" s="1"/>
  <c r="AE1796" i="1"/>
  <c r="AD1796" i="1"/>
  <c r="AG1796" i="1"/>
  <c r="AC1796" i="1"/>
  <c r="AD1797" i="1"/>
  <c r="AG1797" i="1"/>
  <c r="AC1797" i="1"/>
  <c r="AF1797" i="1"/>
  <c r="M1799" i="1"/>
  <c r="R1799" i="1" s="1"/>
  <c r="AE1804" i="1"/>
  <c r="AD1804" i="1"/>
  <c r="AG1804" i="1"/>
  <c r="AC1804" i="1"/>
  <c r="AD1805" i="1"/>
  <c r="AG1805" i="1"/>
  <c r="AC1805" i="1"/>
  <c r="AF1805" i="1"/>
  <c r="M1807" i="1"/>
  <c r="R1807" i="1" s="1"/>
  <c r="AE1812" i="1"/>
  <c r="AD1812" i="1"/>
  <c r="AG1812" i="1"/>
  <c r="AC1812" i="1"/>
  <c r="AD1813" i="1"/>
  <c r="AG1813" i="1"/>
  <c r="AC1813" i="1"/>
  <c r="AF1813" i="1"/>
  <c r="M1815" i="1"/>
  <c r="R1815" i="1" s="1"/>
  <c r="AE1820" i="1"/>
  <c r="AD1820" i="1"/>
  <c r="AG1820" i="1"/>
  <c r="AC1820" i="1"/>
  <c r="AD1821" i="1"/>
  <c r="AG1821" i="1"/>
  <c r="AC1821" i="1"/>
  <c r="AF1821" i="1"/>
  <c r="M1823" i="1"/>
  <c r="R1823" i="1" s="1"/>
  <c r="AE1828" i="1"/>
  <c r="AD1828" i="1"/>
  <c r="AG1828" i="1"/>
  <c r="AC1828" i="1"/>
  <c r="AD1829" i="1"/>
  <c r="AG1829" i="1"/>
  <c r="AC1829" i="1"/>
  <c r="AF1829" i="1"/>
  <c r="M1831" i="1"/>
  <c r="R1831" i="1" s="1"/>
  <c r="AE1836" i="1"/>
  <c r="AD1836" i="1"/>
  <c r="AG1836" i="1"/>
  <c r="AC1836" i="1"/>
  <c r="AD1837" i="1"/>
  <c r="AG1837" i="1"/>
  <c r="AC1837" i="1"/>
  <c r="AF1837" i="1"/>
  <c r="M1839" i="1"/>
  <c r="R1839" i="1" s="1"/>
  <c r="AE1844" i="1"/>
  <c r="AD1844" i="1"/>
  <c r="AG1844" i="1"/>
  <c r="AC1844" i="1"/>
  <c r="AD1845" i="1"/>
  <c r="AG1845" i="1"/>
  <c r="AC1845" i="1"/>
  <c r="AF1845" i="1"/>
  <c r="M1847" i="1"/>
  <c r="R1847" i="1" s="1"/>
  <c r="AE1852" i="1"/>
  <c r="AD1852" i="1"/>
  <c r="AG1852" i="1"/>
  <c r="AC1852" i="1"/>
  <c r="AD1853" i="1"/>
  <c r="AG1853" i="1"/>
  <c r="AC1853" i="1"/>
  <c r="AF1853" i="1"/>
  <c r="M1855" i="1"/>
  <c r="R1855" i="1" s="1"/>
  <c r="AE1860" i="1"/>
  <c r="AD1860" i="1"/>
  <c r="AG1860" i="1"/>
  <c r="AC1860" i="1"/>
  <c r="AD1861" i="1"/>
  <c r="AG1861" i="1"/>
  <c r="AC1861" i="1"/>
  <c r="AF1861" i="1"/>
  <c r="M1863" i="1"/>
  <c r="R1863" i="1" s="1"/>
  <c r="AE1868" i="1"/>
  <c r="AD1868" i="1"/>
  <c r="AG1868" i="1"/>
  <c r="AC1868" i="1"/>
  <c r="AD1869" i="1"/>
  <c r="AG1869" i="1"/>
  <c r="AC1869" i="1"/>
  <c r="AF1869" i="1"/>
  <c r="M1871" i="1"/>
  <c r="R1871" i="1" s="1"/>
  <c r="AE1876" i="1"/>
  <c r="AD1876" i="1"/>
  <c r="AG1876" i="1"/>
  <c r="AC1876" i="1"/>
  <c r="AD1877" i="1"/>
  <c r="AG1877" i="1"/>
  <c r="AC1877" i="1"/>
  <c r="AF1877" i="1"/>
  <c r="M1879" i="1"/>
  <c r="R1879" i="1" s="1"/>
  <c r="AE1884" i="1"/>
  <c r="AD1884" i="1"/>
  <c r="AG1884" i="1"/>
  <c r="AC1884" i="1"/>
  <c r="AD1885" i="1"/>
  <c r="AG1885" i="1"/>
  <c r="AC1885" i="1"/>
  <c r="AF1885" i="1"/>
  <c r="M1887" i="1"/>
  <c r="R1887" i="1" s="1"/>
  <c r="AE1892" i="1"/>
  <c r="AD1892" i="1"/>
  <c r="AG1892" i="1"/>
  <c r="AC1892" i="1"/>
  <c r="AD1893" i="1"/>
  <c r="AG1893" i="1"/>
  <c r="AC1893" i="1"/>
  <c r="AF1893" i="1"/>
  <c r="M1895" i="1"/>
  <c r="R1895" i="1" s="1"/>
  <c r="AE1900" i="1"/>
  <c r="AD1900" i="1"/>
  <c r="AG1900" i="1"/>
  <c r="AC1900" i="1"/>
  <c r="AD1901" i="1"/>
  <c r="AG1901" i="1"/>
  <c r="AC1901" i="1"/>
  <c r="AF1901" i="1"/>
  <c r="M1903" i="1"/>
  <c r="R1903" i="1" s="1"/>
  <c r="AE1908" i="1"/>
  <c r="AD1908" i="1"/>
  <c r="AG1908" i="1"/>
  <c r="AC1908" i="1"/>
  <c r="AD1909" i="1"/>
  <c r="AG1909" i="1"/>
  <c r="AC1909" i="1"/>
  <c r="AF1909" i="1"/>
  <c r="M1911" i="1"/>
  <c r="R1911" i="1" s="1"/>
  <c r="AE1916" i="1"/>
  <c r="AD1916" i="1"/>
  <c r="AG1916" i="1"/>
  <c r="AC1916" i="1"/>
  <c r="AD1917" i="1"/>
  <c r="AG1917" i="1"/>
  <c r="AC1917" i="1"/>
  <c r="AF1917" i="1"/>
  <c r="M1919" i="1"/>
  <c r="R1919" i="1" s="1"/>
  <c r="AE1921" i="1"/>
  <c r="AE1924" i="1"/>
  <c r="AD1924" i="1"/>
  <c r="AG1924" i="1"/>
  <c r="AC1924" i="1"/>
  <c r="AD1925" i="1"/>
  <c r="AG1925" i="1"/>
  <c r="AC1925" i="1"/>
  <c r="AF1925" i="1"/>
  <c r="M1927" i="1"/>
  <c r="R1927" i="1" s="1"/>
  <c r="AE1932" i="1"/>
  <c r="AD1932" i="1"/>
  <c r="AG1932" i="1"/>
  <c r="AC1932" i="1"/>
  <c r="AD1933" i="1"/>
  <c r="AG1933" i="1"/>
  <c r="AC1933" i="1"/>
  <c r="AF1933" i="1"/>
  <c r="M1935" i="1"/>
  <c r="R1935" i="1" s="1"/>
  <c r="AE1940" i="1"/>
  <c r="AD1940" i="1"/>
  <c r="AG1940" i="1"/>
  <c r="AC1940" i="1"/>
  <c r="AD1941" i="1"/>
  <c r="AG1941" i="1"/>
  <c r="AC1941" i="1"/>
  <c r="AF1941" i="1"/>
  <c r="M1943" i="1"/>
  <c r="R1943" i="1" s="1"/>
  <c r="AE1948" i="1"/>
  <c r="AD1948" i="1"/>
  <c r="AG1948" i="1"/>
  <c r="AC1948" i="1"/>
  <c r="AD1949" i="1"/>
  <c r="AG1949" i="1"/>
  <c r="AC1949" i="1"/>
  <c r="AF1949" i="1"/>
  <c r="M1951" i="1"/>
  <c r="R1951" i="1" s="1"/>
  <c r="AE1956" i="1"/>
  <c r="AD1956" i="1"/>
  <c r="AG1956" i="1"/>
  <c r="AC1956" i="1"/>
  <c r="AD1957" i="1"/>
  <c r="AG1957" i="1"/>
  <c r="AC1957" i="1"/>
  <c r="AF1957" i="1"/>
  <c r="AE1964" i="1"/>
  <c r="AD1964" i="1"/>
  <c r="AG1964" i="1"/>
  <c r="AC1964" i="1"/>
  <c r="AD1965" i="1"/>
  <c r="AG1965" i="1"/>
  <c r="AC1965" i="1"/>
  <c r="AF1965" i="1"/>
  <c r="AE1972" i="1"/>
  <c r="AD1972" i="1"/>
  <c r="AG1972" i="1"/>
  <c r="AC1972" i="1"/>
  <c r="AD1973" i="1"/>
  <c r="AG1973" i="1"/>
  <c r="AC1973" i="1"/>
  <c r="AF1973" i="1"/>
  <c r="M1975" i="1"/>
  <c r="R1975" i="1" s="1"/>
  <c r="AE1980" i="1"/>
  <c r="AD1980" i="1"/>
  <c r="AG1980" i="1"/>
  <c r="AC1980" i="1"/>
  <c r="AD1981" i="1"/>
  <c r="AG1981" i="1"/>
  <c r="AC1981" i="1"/>
  <c r="AF1981" i="1"/>
  <c r="M1983" i="1"/>
  <c r="R1983" i="1" s="1"/>
  <c r="AE1988" i="1"/>
  <c r="AD1988" i="1"/>
  <c r="AG1988" i="1"/>
  <c r="AC1988" i="1"/>
  <c r="AD1989" i="1"/>
  <c r="AG1989" i="1"/>
  <c r="AC1989" i="1"/>
  <c r="AF1989" i="1"/>
  <c r="M1991" i="1"/>
  <c r="R1991" i="1" s="1"/>
  <c r="AD2001" i="1"/>
  <c r="AF2001" i="1"/>
  <c r="AC2001" i="1"/>
  <c r="AG2001" i="1"/>
  <c r="AD2017" i="1"/>
  <c r="AF2017" i="1"/>
  <c r="AC2017" i="1"/>
  <c r="AG2017" i="1"/>
  <c r="AD2033" i="1"/>
  <c r="AF2033" i="1"/>
  <c r="AC2033" i="1"/>
  <c r="AG2033" i="1"/>
  <c r="AF2039" i="1"/>
  <c r="AE2039" i="1"/>
  <c r="AD2039" i="1"/>
  <c r="AG2039" i="1"/>
  <c r="AC2039" i="1"/>
  <c r="Y2043" i="1"/>
  <c r="M2043" i="1"/>
  <c r="R2043" i="1" s="1"/>
  <c r="AF2047" i="1"/>
  <c r="AE2047" i="1"/>
  <c r="AD2047" i="1"/>
  <c r="AG2047" i="1"/>
  <c r="AC2047" i="1"/>
  <c r="AF2055" i="1"/>
  <c r="AE2055" i="1"/>
  <c r="AD2055" i="1"/>
  <c r="AG2055" i="1"/>
  <c r="AC2055" i="1"/>
  <c r="AF2063" i="1"/>
  <c r="AE2063" i="1"/>
  <c r="AD2063" i="1"/>
  <c r="AG2063" i="1"/>
  <c r="AC2063" i="1"/>
  <c r="AF2071" i="1"/>
  <c r="AE2071" i="1"/>
  <c r="AD2071" i="1"/>
  <c r="AG2071" i="1"/>
  <c r="AC2071" i="1"/>
  <c r="AF2079" i="1"/>
  <c r="AE2079" i="1"/>
  <c r="AD2079" i="1"/>
  <c r="AG2079" i="1"/>
  <c r="AC2079" i="1"/>
  <c r="AF2087" i="1"/>
  <c r="AE2087" i="1"/>
  <c r="AD2087" i="1"/>
  <c r="AG2087" i="1"/>
  <c r="AC2087" i="1"/>
  <c r="AF2095" i="1"/>
  <c r="AE2095" i="1"/>
  <c r="AD2095" i="1"/>
  <c r="AG2095" i="1"/>
  <c r="AC2095" i="1"/>
  <c r="AF2103" i="1"/>
  <c r="AE2103" i="1"/>
  <c r="AD2103" i="1"/>
  <c r="AG2103" i="1"/>
  <c r="AC2103" i="1"/>
  <c r="AC2167" i="1"/>
  <c r="Y2171" i="1"/>
  <c r="M2171" i="1"/>
  <c r="R2171" i="1" s="1"/>
  <c r="AE2186" i="1"/>
  <c r="AG2186" i="1"/>
  <c r="AC2186" i="1"/>
  <c r="AF2186" i="1"/>
  <c r="AD2186" i="1"/>
  <c r="AF2189" i="1"/>
  <c r="AD2189" i="1"/>
  <c r="AC2189" i="1"/>
  <c r="AG2189" i="1"/>
  <c r="AE2189" i="1"/>
  <c r="AE1638" i="1"/>
  <c r="AE1642" i="1"/>
  <c r="AE1646" i="1"/>
  <c r="AE1650" i="1"/>
  <c r="AE1654" i="1"/>
  <c r="AE1658" i="1"/>
  <c r="AE1662" i="1"/>
  <c r="AE1666" i="1"/>
  <c r="AE1670" i="1"/>
  <c r="AE1674" i="1"/>
  <c r="AE1678" i="1"/>
  <c r="AE1682" i="1"/>
  <c r="AE1686" i="1"/>
  <c r="AE1690" i="1"/>
  <c r="AE1694" i="1"/>
  <c r="AE1698" i="1"/>
  <c r="AE1702" i="1"/>
  <c r="AE1706" i="1"/>
  <c r="AE1710" i="1"/>
  <c r="AE1714" i="1"/>
  <c r="AE1718" i="1"/>
  <c r="AE1722" i="1"/>
  <c r="AE1726" i="1"/>
  <c r="AE1730" i="1"/>
  <c r="AE1734" i="1"/>
  <c r="AE1738" i="1"/>
  <c r="AE1742" i="1"/>
  <c r="AE1746" i="1"/>
  <c r="AE1750" i="1"/>
  <c r="AE1754" i="1"/>
  <c r="AE1758" i="1"/>
  <c r="AE1762" i="1"/>
  <c r="AE1766" i="1"/>
  <c r="AE1770" i="1"/>
  <c r="AE1774" i="1"/>
  <c r="AE1778" i="1"/>
  <c r="AE1782" i="1"/>
  <c r="AE1786" i="1"/>
  <c r="AE1790" i="1"/>
  <c r="AE1794" i="1"/>
  <c r="AE1798" i="1"/>
  <c r="AE1802" i="1"/>
  <c r="AE1806" i="1"/>
  <c r="AE1810" i="1"/>
  <c r="AE1814" i="1"/>
  <c r="AE1818" i="1"/>
  <c r="AE1822" i="1"/>
  <c r="AE1826" i="1"/>
  <c r="AE1830" i="1"/>
  <c r="AE1834" i="1"/>
  <c r="AE1838" i="1"/>
  <c r="AE1842" i="1"/>
  <c r="AE1846" i="1"/>
  <c r="AE1850" i="1"/>
  <c r="AE1854" i="1"/>
  <c r="AE1858" i="1"/>
  <c r="AE1862" i="1"/>
  <c r="AE1866" i="1"/>
  <c r="AE1870" i="1"/>
  <c r="AE1874" i="1"/>
  <c r="AE1878" i="1"/>
  <c r="AE1882" i="1"/>
  <c r="AE1886" i="1"/>
  <c r="AE1890" i="1"/>
  <c r="AE1894" i="1"/>
  <c r="AE1898" i="1"/>
  <c r="AE1902" i="1"/>
  <c r="AE1906" i="1"/>
  <c r="AE1910" i="1"/>
  <c r="AE1914" i="1"/>
  <c r="AE1918" i="1"/>
  <c r="AE1922" i="1"/>
  <c r="AE1926" i="1"/>
  <c r="AE1930" i="1"/>
  <c r="AE1934" i="1"/>
  <c r="AE1938" i="1"/>
  <c r="AE1942" i="1"/>
  <c r="AE1946" i="1"/>
  <c r="AE1950" i="1"/>
  <c r="AE1954" i="1"/>
  <c r="AE1958" i="1"/>
  <c r="AE1962" i="1"/>
  <c r="AE1966" i="1"/>
  <c r="AE1970" i="1"/>
  <c r="AE1974" i="1"/>
  <c r="AE1978" i="1"/>
  <c r="AE1982" i="1"/>
  <c r="AE1986" i="1"/>
  <c r="AE1990" i="1"/>
  <c r="M1993" i="1"/>
  <c r="R1993" i="1" s="1"/>
  <c r="AE1996" i="1"/>
  <c r="AG1996" i="1"/>
  <c r="AC1996" i="1"/>
  <c r="AF1999" i="1"/>
  <c r="AD1999" i="1"/>
  <c r="AE1999" i="1"/>
  <c r="M2001" i="1"/>
  <c r="R2001" i="1" s="1"/>
  <c r="AE2004" i="1"/>
  <c r="AG2004" i="1"/>
  <c r="AC2004" i="1"/>
  <c r="AF2007" i="1"/>
  <c r="AD2007" i="1"/>
  <c r="AE2007" i="1"/>
  <c r="M2009" i="1"/>
  <c r="R2009" i="1" s="1"/>
  <c r="AE2012" i="1"/>
  <c r="AG2012" i="1"/>
  <c r="AC2012" i="1"/>
  <c r="M2017" i="1"/>
  <c r="R2017" i="1" s="1"/>
  <c r="AE2020" i="1"/>
  <c r="AG2020" i="1"/>
  <c r="AC2020" i="1"/>
  <c r="AF2023" i="1"/>
  <c r="AD2023" i="1"/>
  <c r="AE2023" i="1"/>
  <c r="M2025" i="1"/>
  <c r="R2025" i="1" s="1"/>
  <c r="AE2028" i="1"/>
  <c r="AG2028" i="1"/>
  <c r="AC2028" i="1"/>
  <c r="AF2031" i="1"/>
  <c r="AD2031" i="1"/>
  <c r="AE2031" i="1"/>
  <c r="M2033" i="1"/>
  <c r="R2033" i="1" s="1"/>
  <c r="AE2036" i="1"/>
  <c r="AG2036" i="1"/>
  <c r="AC2036" i="1"/>
  <c r="M2039" i="1"/>
  <c r="R2039" i="1" s="1"/>
  <c r="AE2044" i="1"/>
  <c r="AD2044" i="1"/>
  <c r="AG2044" i="1"/>
  <c r="AC2044" i="1"/>
  <c r="AD2045" i="1"/>
  <c r="AG2045" i="1"/>
  <c r="AC2045" i="1"/>
  <c r="AF2045" i="1"/>
  <c r="AD2046" i="1"/>
  <c r="M2047" i="1"/>
  <c r="R2047" i="1" s="1"/>
  <c r="AE2052" i="1"/>
  <c r="AD2052" i="1"/>
  <c r="AG2052" i="1"/>
  <c r="AC2052" i="1"/>
  <c r="AD2053" i="1"/>
  <c r="AG2053" i="1"/>
  <c r="AC2053" i="1"/>
  <c r="AF2053" i="1"/>
  <c r="AD2054" i="1"/>
  <c r="M2055" i="1"/>
  <c r="R2055" i="1" s="1"/>
  <c r="AE2060" i="1"/>
  <c r="AD2060" i="1"/>
  <c r="AG2060" i="1"/>
  <c r="AC2060" i="1"/>
  <c r="AD2061" i="1"/>
  <c r="AG2061" i="1"/>
  <c r="AC2061" i="1"/>
  <c r="AF2061" i="1"/>
  <c r="AD2062" i="1"/>
  <c r="M2063" i="1"/>
  <c r="R2063" i="1" s="1"/>
  <c r="AE2068" i="1"/>
  <c r="AD2068" i="1"/>
  <c r="AG2068" i="1"/>
  <c r="AC2068" i="1"/>
  <c r="AD2069" i="1"/>
  <c r="AG2069" i="1"/>
  <c r="AC2069" i="1"/>
  <c r="AF2069" i="1"/>
  <c r="AD2070" i="1"/>
  <c r="M2071" i="1"/>
  <c r="R2071" i="1" s="1"/>
  <c r="AE2076" i="1"/>
  <c r="AD2076" i="1"/>
  <c r="AG2076" i="1"/>
  <c r="AC2076" i="1"/>
  <c r="AD2077" i="1"/>
  <c r="AG2077" i="1"/>
  <c r="AC2077" i="1"/>
  <c r="AF2077" i="1"/>
  <c r="AD2078" i="1"/>
  <c r="M2079" i="1"/>
  <c r="R2079" i="1" s="1"/>
  <c r="AE2084" i="1"/>
  <c r="AD2084" i="1"/>
  <c r="AG2084" i="1"/>
  <c r="AC2084" i="1"/>
  <c r="AD2085" i="1"/>
  <c r="AG2085" i="1"/>
  <c r="AC2085" i="1"/>
  <c r="AF2085" i="1"/>
  <c r="AD2086" i="1"/>
  <c r="M2087" i="1"/>
  <c r="R2087" i="1" s="1"/>
  <c r="AE2092" i="1"/>
  <c r="AD2092" i="1"/>
  <c r="AG2092" i="1"/>
  <c r="AC2092" i="1"/>
  <c r="AD2093" i="1"/>
  <c r="AG2093" i="1"/>
  <c r="AC2093" i="1"/>
  <c r="AF2093" i="1"/>
  <c r="AD2094" i="1"/>
  <c r="M2095" i="1"/>
  <c r="R2095" i="1" s="1"/>
  <c r="AE2100" i="1"/>
  <c r="AD2100" i="1"/>
  <c r="AG2100" i="1"/>
  <c r="AC2100" i="1"/>
  <c r="AD2101" i="1"/>
  <c r="AG2101" i="1"/>
  <c r="AC2101" i="1"/>
  <c r="AF2101" i="1"/>
  <c r="AD2102" i="1"/>
  <c r="M2103" i="1"/>
  <c r="R2103" i="1" s="1"/>
  <c r="AE2108" i="1"/>
  <c r="AD2108" i="1"/>
  <c r="AG2108" i="1"/>
  <c r="AC2108" i="1"/>
  <c r="AD2109" i="1"/>
  <c r="AG2109" i="1"/>
  <c r="AC2109" i="1"/>
  <c r="AF2109" i="1"/>
  <c r="M2111" i="1"/>
  <c r="R2111" i="1" s="1"/>
  <c r="AE2116" i="1"/>
  <c r="AD2116" i="1"/>
  <c r="AG2116" i="1"/>
  <c r="AC2116" i="1"/>
  <c r="AD2117" i="1"/>
  <c r="AG2117" i="1"/>
  <c r="AC2117" i="1"/>
  <c r="AF2117" i="1"/>
  <c r="M2119" i="1"/>
  <c r="R2119" i="1" s="1"/>
  <c r="AE2124" i="1"/>
  <c r="AD2124" i="1"/>
  <c r="AG2124" i="1"/>
  <c r="AC2124" i="1"/>
  <c r="AD2125" i="1"/>
  <c r="AG2125" i="1"/>
  <c r="AC2125" i="1"/>
  <c r="AF2125" i="1"/>
  <c r="AE2132" i="1"/>
  <c r="AD2132" i="1"/>
  <c r="AG2132" i="1"/>
  <c r="AC2132" i="1"/>
  <c r="AD2133" i="1"/>
  <c r="AG2133" i="1"/>
  <c r="AC2133" i="1"/>
  <c r="AF2133" i="1"/>
  <c r="AE2140" i="1"/>
  <c r="AD2140" i="1"/>
  <c r="AG2140" i="1"/>
  <c r="AC2140" i="1"/>
  <c r="AD2141" i="1"/>
  <c r="AG2141" i="1"/>
  <c r="AC2141" i="1"/>
  <c r="AF2141" i="1"/>
  <c r="AE2148" i="1"/>
  <c r="AD2148" i="1"/>
  <c r="AG2148" i="1"/>
  <c r="AC2148" i="1"/>
  <c r="AD2149" i="1"/>
  <c r="AG2149" i="1"/>
  <c r="AC2149" i="1"/>
  <c r="AF2149" i="1"/>
  <c r="AE2156" i="1"/>
  <c r="AD2156" i="1"/>
  <c r="AG2156" i="1"/>
  <c r="AC2156" i="1"/>
  <c r="AD2157" i="1"/>
  <c r="AG2157" i="1"/>
  <c r="AC2157" i="1"/>
  <c r="AF2157" i="1"/>
  <c r="AE2164" i="1"/>
  <c r="AD2164" i="1"/>
  <c r="AG2164" i="1"/>
  <c r="AC2164" i="1"/>
  <c r="AD2165" i="1"/>
  <c r="AG2165" i="1"/>
  <c r="AC2165" i="1"/>
  <c r="AF2165" i="1"/>
  <c r="AE2172" i="1"/>
  <c r="AD2172" i="1"/>
  <c r="AG2172" i="1"/>
  <c r="AC2172" i="1"/>
  <c r="AD2173" i="1"/>
  <c r="AG2173" i="1"/>
  <c r="AC2173" i="1"/>
  <c r="AF2173" i="1"/>
  <c r="AE2180" i="1"/>
  <c r="AD2180" i="1"/>
  <c r="AG2180" i="1"/>
  <c r="AC2180" i="1"/>
  <c r="AD2181" i="1"/>
  <c r="AE2181" i="1"/>
  <c r="AC2181" i="1"/>
  <c r="AG2181" i="1"/>
  <c r="AF2205" i="1"/>
  <c r="AE2205" i="1"/>
  <c r="AD2205" i="1"/>
  <c r="AG2205" i="1"/>
  <c r="AC2205" i="1"/>
  <c r="AC2213" i="1"/>
  <c r="AF2221" i="1"/>
  <c r="AE2221" i="1"/>
  <c r="AD2221" i="1"/>
  <c r="AG2221" i="1"/>
  <c r="AC2221" i="1"/>
  <c r="AF2229" i="1"/>
  <c r="AE2229" i="1"/>
  <c r="AD2229" i="1"/>
  <c r="AG2229" i="1"/>
  <c r="AC2229" i="1"/>
  <c r="AF2237" i="1"/>
  <c r="AE2237" i="1"/>
  <c r="AD2237" i="1"/>
  <c r="AG2237" i="1"/>
  <c r="AC2237" i="1"/>
  <c r="AF2245" i="1"/>
  <c r="AE2245" i="1"/>
  <c r="AD2245" i="1"/>
  <c r="AG2245" i="1"/>
  <c r="AC2245" i="1"/>
  <c r="AF2253" i="1"/>
  <c r="AE2253" i="1"/>
  <c r="AD2253" i="1"/>
  <c r="AG2253" i="1"/>
  <c r="AC2253" i="1"/>
  <c r="AF2261" i="1"/>
  <c r="AE2261" i="1"/>
  <c r="AD2261" i="1"/>
  <c r="AG2261" i="1"/>
  <c r="AC2261" i="1"/>
  <c r="AC2269" i="1"/>
  <c r="AF2277" i="1"/>
  <c r="AE2277" i="1"/>
  <c r="AD2277" i="1"/>
  <c r="AG2277" i="1"/>
  <c r="AC2277" i="1"/>
  <c r="AF2285" i="1"/>
  <c r="AE2285" i="1"/>
  <c r="AD2285" i="1"/>
  <c r="AG2285" i="1"/>
  <c r="AC2285" i="1"/>
  <c r="AF2293" i="1"/>
  <c r="AE2293" i="1"/>
  <c r="AD2293" i="1"/>
  <c r="AG2293" i="1"/>
  <c r="AC2293" i="1"/>
  <c r="AF2301" i="1"/>
  <c r="AE2301" i="1"/>
  <c r="AD2301" i="1"/>
  <c r="AG2301" i="1"/>
  <c r="AC2301" i="1"/>
  <c r="AF2309" i="1"/>
  <c r="AE2309" i="1"/>
  <c r="AD2309" i="1"/>
  <c r="AG2309" i="1"/>
  <c r="AC2309" i="1"/>
  <c r="AF2317" i="1"/>
  <c r="AE2317" i="1"/>
  <c r="AD2317" i="1"/>
  <c r="AG2317" i="1"/>
  <c r="AC2317" i="1"/>
  <c r="AF2325" i="1"/>
  <c r="AE2325" i="1"/>
  <c r="AD2325" i="1"/>
  <c r="AG2325" i="1"/>
  <c r="AC2325" i="1"/>
  <c r="AF2333" i="1"/>
  <c r="AE2333" i="1"/>
  <c r="AD2333" i="1"/>
  <c r="AG2333" i="1"/>
  <c r="AC2333" i="1"/>
  <c r="AF2341" i="1"/>
  <c r="AE2341" i="1"/>
  <c r="AD2341" i="1"/>
  <c r="AG2341" i="1"/>
  <c r="AC2341" i="1"/>
  <c r="AF2349" i="1"/>
  <c r="AE2349" i="1"/>
  <c r="AD2349" i="1"/>
  <c r="AG2349" i="1"/>
  <c r="AC2349" i="1"/>
  <c r="AF2357" i="1"/>
  <c r="AE2357" i="1"/>
  <c r="AD2357" i="1"/>
  <c r="AG2357" i="1"/>
  <c r="AC2357" i="1"/>
  <c r="AD2369" i="1"/>
  <c r="AE2370" i="1"/>
  <c r="AD2370" i="1"/>
  <c r="AG2370" i="1"/>
  <c r="AF2370" i="1"/>
  <c r="AC2370" i="1"/>
  <c r="AD2371" i="1"/>
  <c r="AG2371" i="1"/>
  <c r="AC2371" i="1"/>
  <c r="AF2371" i="1"/>
  <c r="AE2371" i="1"/>
  <c r="AG2388" i="1"/>
  <c r="AC2388" i="1"/>
  <c r="AF2388" i="1"/>
  <c r="AE2388" i="1"/>
  <c r="AD2388" i="1"/>
  <c r="AF2407" i="1"/>
  <c r="AG2442" i="1"/>
  <c r="AD2575" i="1"/>
  <c r="AG2575" i="1"/>
  <c r="AC2575" i="1"/>
  <c r="AF2575" i="1"/>
  <c r="AE2575" i="1"/>
  <c r="Y2589" i="1"/>
  <c r="AE2589" i="1" s="1"/>
  <c r="M2589" i="1"/>
  <c r="R2589" i="1" s="1"/>
  <c r="AG2608" i="1"/>
  <c r="AC2608" i="1"/>
  <c r="AF2608" i="1"/>
  <c r="AE2608" i="1"/>
  <c r="AD2608" i="1"/>
  <c r="AF1638" i="1"/>
  <c r="AF1642" i="1"/>
  <c r="AF1646" i="1"/>
  <c r="AF1650" i="1"/>
  <c r="AF1654" i="1"/>
  <c r="AF1658" i="1"/>
  <c r="AF1662" i="1"/>
  <c r="AF1666" i="1"/>
  <c r="AF1670" i="1"/>
  <c r="AF1674" i="1"/>
  <c r="AF1678" i="1"/>
  <c r="AF1682" i="1"/>
  <c r="AF1686" i="1"/>
  <c r="AF1690" i="1"/>
  <c r="AF1694" i="1"/>
  <c r="AF1698" i="1"/>
  <c r="AF1702" i="1"/>
  <c r="AF1706" i="1"/>
  <c r="AF1710" i="1"/>
  <c r="AF1714" i="1"/>
  <c r="AF1718" i="1"/>
  <c r="AF1722" i="1"/>
  <c r="AF1726" i="1"/>
  <c r="AF1730" i="1"/>
  <c r="AF1734" i="1"/>
  <c r="AF1738" i="1"/>
  <c r="AF1742" i="1"/>
  <c r="AF1746" i="1"/>
  <c r="AF1750" i="1"/>
  <c r="AF1754" i="1"/>
  <c r="AF1758" i="1"/>
  <c r="AF1762" i="1"/>
  <c r="AF1766" i="1"/>
  <c r="AF1770" i="1"/>
  <c r="AF1774" i="1"/>
  <c r="AF1778" i="1"/>
  <c r="AF1782" i="1"/>
  <c r="AF1786" i="1"/>
  <c r="AF1790" i="1"/>
  <c r="AF1794" i="1"/>
  <c r="AF1798" i="1"/>
  <c r="AF1802" i="1"/>
  <c r="AF1806" i="1"/>
  <c r="AF1810" i="1"/>
  <c r="AF1814" i="1"/>
  <c r="AF1818" i="1"/>
  <c r="AF1822" i="1"/>
  <c r="AF1826" i="1"/>
  <c r="AF1830" i="1"/>
  <c r="AF1834" i="1"/>
  <c r="AF1838" i="1"/>
  <c r="AF1842" i="1"/>
  <c r="AF1846" i="1"/>
  <c r="AF1850" i="1"/>
  <c r="AF1854" i="1"/>
  <c r="AF1858" i="1"/>
  <c r="AF1862" i="1"/>
  <c r="AF1866" i="1"/>
  <c r="AF1870" i="1"/>
  <c r="AF1874" i="1"/>
  <c r="AF1878" i="1"/>
  <c r="AF1882" i="1"/>
  <c r="AF1886" i="1"/>
  <c r="AF1890" i="1"/>
  <c r="AF1894" i="1"/>
  <c r="AF1898" i="1"/>
  <c r="AF1902" i="1"/>
  <c r="AF1906" i="1"/>
  <c r="AF1910" i="1"/>
  <c r="AF1914" i="1"/>
  <c r="AF1918" i="1"/>
  <c r="AF1922" i="1"/>
  <c r="AF1926" i="1"/>
  <c r="AF1930" i="1"/>
  <c r="AF1934" i="1"/>
  <c r="AF1938" i="1"/>
  <c r="AF1942" i="1"/>
  <c r="AF1946" i="1"/>
  <c r="AF1950" i="1"/>
  <c r="AF1954" i="1"/>
  <c r="AF1958" i="1"/>
  <c r="AF1962" i="1"/>
  <c r="AF1966" i="1"/>
  <c r="AF1970" i="1"/>
  <c r="AF1974" i="1"/>
  <c r="AF1978" i="1"/>
  <c r="AF1982" i="1"/>
  <c r="AF1986" i="1"/>
  <c r="AF1990" i="1"/>
  <c r="AG1994" i="1"/>
  <c r="AC1994" i="1"/>
  <c r="AE1994" i="1"/>
  <c r="AD1997" i="1"/>
  <c r="AF1997" i="1"/>
  <c r="AE1997" i="1"/>
  <c r="AG2002" i="1"/>
  <c r="AC2002" i="1"/>
  <c r="AE2002" i="1"/>
  <c r="AD2005" i="1"/>
  <c r="AF2005" i="1"/>
  <c r="AE2005" i="1"/>
  <c r="AG2010" i="1"/>
  <c r="AC2010" i="1"/>
  <c r="AE2010" i="1"/>
  <c r="AD2013" i="1"/>
  <c r="AF2013" i="1"/>
  <c r="AE2013" i="1"/>
  <c r="AG2018" i="1"/>
  <c r="AC2018" i="1"/>
  <c r="AE2018" i="1"/>
  <c r="AD2021" i="1"/>
  <c r="AF2021" i="1"/>
  <c r="AE2021" i="1"/>
  <c r="AG2026" i="1"/>
  <c r="AC2026" i="1"/>
  <c r="AE2026" i="1"/>
  <c r="AD2029" i="1"/>
  <c r="AF2029" i="1"/>
  <c r="AE2029" i="1"/>
  <c r="AG2034" i="1"/>
  <c r="AC2034" i="1"/>
  <c r="AE2034" i="1"/>
  <c r="AD2037" i="1"/>
  <c r="AF2037" i="1"/>
  <c r="AE2037" i="1"/>
  <c r="AF2051" i="1"/>
  <c r="AE2051" i="1"/>
  <c r="AD2051" i="1"/>
  <c r="AF2059" i="1"/>
  <c r="AE2059" i="1"/>
  <c r="AD2059" i="1"/>
  <c r="AF2067" i="1"/>
  <c r="AE2067" i="1"/>
  <c r="AD2067" i="1"/>
  <c r="AF2075" i="1"/>
  <c r="AE2075" i="1"/>
  <c r="AD2075" i="1"/>
  <c r="AF2083" i="1"/>
  <c r="AE2083" i="1"/>
  <c r="AD2083" i="1"/>
  <c r="AF2091" i="1"/>
  <c r="AE2091" i="1"/>
  <c r="AD2091" i="1"/>
  <c r="AF2099" i="1"/>
  <c r="AE2099" i="1"/>
  <c r="AD2099" i="1"/>
  <c r="AF2107" i="1"/>
  <c r="AE2107" i="1"/>
  <c r="AD2107" i="1"/>
  <c r="AF2115" i="1"/>
  <c r="AE2115" i="1"/>
  <c r="AD2115" i="1"/>
  <c r="AF2123" i="1"/>
  <c r="Y2127" i="1"/>
  <c r="M2127" i="1"/>
  <c r="R2127" i="1" s="1"/>
  <c r="Y2135" i="1"/>
  <c r="M2135" i="1"/>
  <c r="R2135" i="1" s="1"/>
  <c r="Y2143" i="1"/>
  <c r="M2143" i="1"/>
  <c r="R2143" i="1" s="1"/>
  <c r="Y2151" i="1"/>
  <c r="M2151" i="1"/>
  <c r="R2151" i="1" s="1"/>
  <c r="Y2159" i="1"/>
  <c r="M2159" i="1"/>
  <c r="R2159" i="1" s="1"/>
  <c r="Y2167" i="1"/>
  <c r="M2167" i="1"/>
  <c r="R2167" i="1" s="1"/>
  <c r="Y2175" i="1"/>
  <c r="M2175" i="1"/>
  <c r="R2175" i="1" s="1"/>
  <c r="AD2184" i="1"/>
  <c r="AE2194" i="1"/>
  <c r="AG2194" i="1"/>
  <c r="AC2194" i="1"/>
  <c r="AF2194" i="1"/>
  <c r="AD2194" i="1"/>
  <c r="AC2197" i="1"/>
  <c r="AD2200" i="1"/>
  <c r="AG2201" i="1"/>
  <c r="AG2209" i="1"/>
  <c r="AG2217" i="1"/>
  <c r="AG2225" i="1"/>
  <c r="AG2233" i="1"/>
  <c r="AG2241" i="1"/>
  <c r="AG2249" i="1"/>
  <c r="AG2257" i="1"/>
  <c r="AG2289" i="1"/>
  <c r="AG2297" i="1"/>
  <c r="AG2305" i="1"/>
  <c r="AG2313" i="1"/>
  <c r="AG2321" i="1"/>
  <c r="AG2329" i="1"/>
  <c r="AG2337" i="1"/>
  <c r="AG2345" i="1"/>
  <c r="AG2353" i="1"/>
  <c r="AF2471" i="1"/>
  <c r="AC1638" i="1"/>
  <c r="AC1642" i="1"/>
  <c r="AC1646" i="1"/>
  <c r="AC1650" i="1"/>
  <c r="AC1654" i="1"/>
  <c r="AC1658" i="1"/>
  <c r="AC1662" i="1"/>
  <c r="AC1666" i="1"/>
  <c r="AC1670" i="1"/>
  <c r="AC1674" i="1"/>
  <c r="AC1678" i="1"/>
  <c r="AC1682" i="1"/>
  <c r="AC1686" i="1"/>
  <c r="AC1690" i="1"/>
  <c r="AC1694" i="1"/>
  <c r="AC1698" i="1"/>
  <c r="AC1702" i="1"/>
  <c r="AC1706" i="1"/>
  <c r="M1709" i="1"/>
  <c r="R1709" i="1" s="1"/>
  <c r="AC1710" i="1"/>
  <c r="AC1714" i="1"/>
  <c r="AC1718" i="1"/>
  <c r="AC1722" i="1"/>
  <c r="AC1726" i="1"/>
  <c r="AC1730" i="1"/>
  <c r="AC1734" i="1"/>
  <c r="AC1738" i="1"/>
  <c r="AC1742" i="1"/>
  <c r="AC1746" i="1"/>
  <c r="AC1750" i="1"/>
  <c r="AC1754" i="1"/>
  <c r="AC1758" i="1"/>
  <c r="AC1762" i="1"/>
  <c r="AC1766" i="1"/>
  <c r="AC1770" i="1"/>
  <c r="AC1774" i="1"/>
  <c r="AC1778" i="1"/>
  <c r="AC1782" i="1"/>
  <c r="AC1786" i="1"/>
  <c r="AC1790" i="1"/>
  <c r="AC1794" i="1"/>
  <c r="AC1798" i="1"/>
  <c r="AC1802" i="1"/>
  <c r="AC1806" i="1"/>
  <c r="AC1810" i="1"/>
  <c r="AC1814" i="1"/>
  <c r="M1817" i="1"/>
  <c r="R1817" i="1" s="1"/>
  <c r="AC1818" i="1"/>
  <c r="AC1822" i="1"/>
  <c r="AC1826" i="1"/>
  <c r="AC1830" i="1"/>
  <c r="AC1834" i="1"/>
  <c r="AC1838" i="1"/>
  <c r="AC1842" i="1"/>
  <c r="AC1846" i="1"/>
  <c r="AC1850" i="1"/>
  <c r="AC1854" i="1"/>
  <c r="AC1858" i="1"/>
  <c r="AC1862" i="1"/>
  <c r="AC1866" i="1"/>
  <c r="AC1870" i="1"/>
  <c r="AC1874" i="1"/>
  <c r="AC1878" i="1"/>
  <c r="AC1882" i="1"/>
  <c r="AC1886" i="1"/>
  <c r="AC1890" i="1"/>
  <c r="AC1894" i="1"/>
  <c r="AC1898" i="1"/>
  <c r="AC1902" i="1"/>
  <c r="AC1906" i="1"/>
  <c r="AC1910" i="1"/>
  <c r="AC1914" i="1"/>
  <c r="AC1918" i="1"/>
  <c r="AC1922" i="1"/>
  <c r="AC1926" i="1"/>
  <c r="AC1930" i="1"/>
  <c r="AC1934" i="1"/>
  <c r="AC1938" i="1"/>
  <c r="AC1942" i="1"/>
  <c r="AC1946" i="1"/>
  <c r="AC1950" i="1"/>
  <c r="AC1954" i="1"/>
  <c r="AC1958" i="1"/>
  <c r="AC1962" i="1"/>
  <c r="AC1966" i="1"/>
  <c r="AC1970" i="1"/>
  <c r="AC1974" i="1"/>
  <c r="M1977" i="1"/>
  <c r="R1977" i="1" s="1"/>
  <c r="AC1978" i="1"/>
  <c r="M1981" i="1"/>
  <c r="R1981" i="1" s="1"/>
  <c r="AC1982" i="1"/>
  <c r="M1985" i="1"/>
  <c r="R1985" i="1" s="1"/>
  <c r="AC1986" i="1"/>
  <c r="M1989" i="1"/>
  <c r="R1989" i="1" s="1"/>
  <c r="AC1990" i="1"/>
  <c r="AD1994" i="1"/>
  <c r="AF1995" i="1"/>
  <c r="AD1995" i="1"/>
  <c r="AE1995" i="1"/>
  <c r="M1997" i="1"/>
  <c r="R1997" i="1" s="1"/>
  <c r="AG1997" i="1"/>
  <c r="AE2000" i="1"/>
  <c r="AG2000" i="1"/>
  <c r="AC2000" i="1"/>
  <c r="AD2002" i="1"/>
  <c r="AF2003" i="1"/>
  <c r="AD2003" i="1"/>
  <c r="AE2003" i="1"/>
  <c r="M2005" i="1"/>
  <c r="R2005" i="1" s="1"/>
  <c r="AG2005" i="1"/>
  <c r="AE2008" i="1"/>
  <c r="AG2008" i="1"/>
  <c r="AC2008" i="1"/>
  <c r="AD2010" i="1"/>
  <c r="AF2011" i="1"/>
  <c r="AD2011" i="1"/>
  <c r="AE2011" i="1"/>
  <c r="M2013" i="1"/>
  <c r="R2013" i="1" s="1"/>
  <c r="AG2013" i="1"/>
  <c r="Y2015" i="1"/>
  <c r="M2015" i="1"/>
  <c r="R2015" i="1" s="1"/>
  <c r="AE2016" i="1"/>
  <c r="AG2016" i="1"/>
  <c r="AC2016" i="1"/>
  <c r="AD2018" i="1"/>
  <c r="AF2019" i="1"/>
  <c r="AD2019" i="1"/>
  <c r="AE2019" i="1"/>
  <c r="M2021" i="1"/>
  <c r="R2021" i="1" s="1"/>
  <c r="AG2021" i="1"/>
  <c r="AE2024" i="1"/>
  <c r="AG2024" i="1"/>
  <c r="AC2024" i="1"/>
  <c r="AD2026" i="1"/>
  <c r="AF2027" i="1"/>
  <c r="AD2027" i="1"/>
  <c r="AE2027" i="1"/>
  <c r="M2029" i="1"/>
  <c r="R2029" i="1" s="1"/>
  <c r="AG2029" i="1"/>
  <c r="AE2032" i="1"/>
  <c r="AG2032" i="1"/>
  <c r="AC2032" i="1"/>
  <c r="AD2034" i="1"/>
  <c r="AF2035" i="1"/>
  <c r="AD2035" i="1"/>
  <c r="AE2035" i="1"/>
  <c r="M2037" i="1"/>
  <c r="R2037" i="1" s="1"/>
  <c r="AG2037" i="1"/>
  <c r="AE2040" i="1"/>
  <c r="AD2040" i="1"/>
  <c r="AG2040" i="1"/>
  <c r="AC2040" i="1"/>
  <c r="AD2041" i="1"/>
  <c r="AG2041" i="1"/>
  <c r="AC2041" i="1"/>
  <c r="AF2041" i="1"/>
  <c r="AE2048" i="1"/>
  <c r="AD2048" i="1"/>
  <c r="AG2048" i="1"/>
  <c r="AC2048" i="1"/>
  <c r="AD2049" i="1"/>
  <c r="AG2049" i="1"/>
  <c r="AC2049" i="1"/>
  <c r="AF2049" i="1"/>
  <c r="M2051" i="1"/>
  <c r="R2051" i="1" s="1"/>
  <c r="AE2056" i="1"/>
  <c r="AD2056" i="1"/>
  <c r="AG2056" i="1"/>
  <c r="AC2056" i="1"/>
  <c r="AD2057" i="1"/>
  <c r="AG2057" i="1"/>
  <c r="AC2057" i="1"/>
  <c r="AF2057" i="1"/>
  <c r="M2059" i="1"/>
  <c r="R2059" i="1" s="1"/>
  <c r="AE2064" i="1"/>
  <c r="AD2064" i="1"/>
  <c r="AG2064" i="1"/>
  <c r="AC2064" i="1"/>
  <c r="AD2065" i="1"/>
  <c r="AG2065" i="1"/>
  <c r="AC2065" i="1"/>
  <c r="AF2065" i="1"/>
  <c r="M2067" i="1"/>
  <c r="R2067" i="1" s="1"/>
  <c r="AE2072" i="1"/>
  <c r="AD2072" i="1"/>
  <c r="AG2072" i="1"/>
  <c r="AC2072" i="1"/>
  <c r="AD2073" i="1"/>
  <c r="AG2073" i="1"/>
  <c r="AC2073" i="1"/>
  <c r="AF2073" i="1"/>
  <c r="M2075" i="1"/>
  <c r="R2075" i="1" s="1"/>
  <c r="AE2080" i="1"/>
  <c r="AD2080" i="1"/>
  <c r="AG2080" i="1"/>
  <c r="AC2080" i="1"/>
  <c r="AD2081" i="1"/>
  <c r="AG2081" i="1"/>
  <c r="AC2081" i="1"/>
  <c r="AF2081" i="1"/>
  <c r="M2083" i="1"/>
  <c r="R2083" i="1" s="1"/>
  <c r="AE2088" i="1"/>
  <c r="AD2088" i="1"/>
  <c r="AG2088" i="1"/>
  <c r="AC2088" i="1"/>
  <c r="AD2089" i="1"/>
  <c r="AG2089" i="1"/>
  <c r="AC2089" i="1"/>
  <c r="AF2089" i="1"/>
  <c r="M2091" i="1"/>
  <c r="R2091" i="1" s="1"/>
  <c r="AE2096" i="1"/>
  <c r="AD2096" i="1"/>
  <c r="AG2096" i="1"/>
  <c r="AC2096" i="1"/>
  <c r="AD2097" i="1"/>
  <c r="AG2097" i="1"/>
  <c r="AC2097" i="1"/>
  <c r="AF2097" i="1"/>
  <c r="M2099" i="1"/>
  <c r="R2099" i="1" s="1"/>
  <c r="AE2104" i="1"/>
  <c r="AD2104" i="1"/>
  <c r="AG2104" i="1"/>
  <c r="AC2104" i="1"/>
  <c r="AD2105" i="1"/>
  <c r="AG2105" i="1"/>
  <c r="AC2105" i="1"/>
  <c r="AF2105" i="1"/>
  <c r="M2107" i="1"/>
  <c r="R2107" i="1" s="1"/>
  <c r="AE2112" i="1"/>
  <c r="AD2112" i="1"/>
  <c r="AG2112" i="1"/>
  <c r="AC2112" i="1"/>
  <c r="AD2113" i="1"/>
  <c r="AG2113" i="1"/>
  <c r="AC2113" i="1"/>
  <c r="AF2113" i="1"/>
  <c r="M2115" i="1"/>
  <c r="R2115" i="1" s="1"/>
  <c r="AE2117" i="1"/>
  <c r="AE2120" i="1"/>
  <c r="AD2120" i="1"/>
  <c r="AG2120" i="1"/>
  <c r="AC2120" i="1"/>
  <c r="AD2121" i="1"/>
  <c r="AG2121" i="1"/>
  <c r="AC2121" i="1"/>
  <c r="AF2121" i="1"/>
  <c r="AD2122" i="1"/>
  <c r="AE2125" i="1"/>
  <c r="AE2128" i="1"/>
  <c r="AD2128" i="1"/>
  <c r="AG2128" i="1"/>
  <c r="AC2128" i="1"/>
  <c r="AD2129" i="1"/>
  <c r="AG2129" i="1"/>
  <c r="AC2129" i="1"/>
  <c r="AF2129" i="1"/>
  <c r="AD2130" i="1"/>
  <c r="AE2133" i="1"/>
  <c r="AE2136" i="1"/>
  <c r="AD2136" i="1"/>
  <c r="AG2136" i="1"/>
  <c r="AC2136" i="1"/>
  <c r="AD2137" i="1"/>
  <c r="AG2137" i="1"/>
  <c r="AC2137" i="1"/>
  <c r="AF2137" i="1"/>
  <c r="AD2138" i="1"/>
  <c r="AE2141" i="1"/>
  <c r="AE2144" i="1"/>
  <c r="AD2144" i="1"/>
  <c r="AG2144" i="1"/>
  <c r="AC2144" i="1"/>
  <c r="AD2145" i="1"/>
  <c r="AG2145" i="1"/>
  <c r="AC2145" i="1"/>
  <c r="AF2145" i="1"/>
  <c r="AD2146" i="1"/>
  <c r="AE2149" i="1"/>
  <c r="AE2152" i="1"/>
  <c r="AD2152" i="1"/>
  <c r="AG2152" i="1"/>
  <c r="AC2152" i="1"/>
  <c r="AD2153" i="1"/>
  <c r="AG2153" i="1"/>
  <c r="AC2153" i="1"/>
  <c r="AF2153" i="1"/>
  <c r="AE2157" i="1"/>
  <c r="AE2160" i="1"/>
  <c r="AD2160" i="1"/>
  <c r="AG2160" i="1"/>
  <c r="AC2160" i="1"/>
  <c r="AD2161" i="1"/>
  <c r="AG2161" i="1"/>
  <c r="AC2161" i="1"/>
  <c r="AF2161" i="1"/>
  <c r="AE2165" i="1"/>
  <c r="AE2168" i="1"/>
  <c r="AD2168" i="1"/>
  <c r="AG2168" i="1"/>
  <c r="AC2168" i="1"/>
  <c r="AD2169" i="1"/>
  <c r="AG2169" i="1"/>
  <c r="AC2169" i="1"/>
  <c r="AF2169" i="1"/>
  <c r="AE2173" i="1"/>
  <c r="AE2176" i="1"/>
  <c r="AD2176" i="1"/>
  <c r="AG2176" i="1"/>
  <c r="AC2176" i="1"/>
  <c r="AD2177" i="1"/>
  <c r="AG2177" i="1"/>
  <c r="AC2177" i="1"/>
  <c r="AF2177" i="1"/>
  <c r="AF2181" i="1"/>
  <c r="AD2363" i="1"/>
  <c r="AG2363" i="1"/>
  <c r="AE2363" i="1"/>
  <c r="AC2363" i="1"/>
  <c r="AF2363" i="1"/>
  <c r="AF2423" i="1"/>
  <c r="AG2457" i="1"/>
  <c r="AC2457" i="1"/>
  <c r="AF2457" i="1"/>
  <c r="AE2457" i="1"/>
  <c r="AD2457" i="1"/>
  <c r="AE2467" i="1"/>
  <c r="AD2467" i="1"/>
  <c r="AG2467" i="1"/>
  <c r="AC2467" i="1"/>
  <c r="AF2467" i="1"/>
  <c r="AE2507" i="1"/>
  <c r="AD2507" i="1"/>
  <c r="AG2507" i="1"/>
  <c r="AC2507" i="1"/>
  <c r="AF2507" i="1"/>
  <c r="AG2553" i="1"/>
  <c r="AC2553" i="1"/>
  <c r="AF2553" i="1"/>
  <c r="AE2553" i="1"/>
  <c r="AD2553" i="1"/>
  <c r="AD2561" i="1"/>
  <c r="AE2042" i="1"/>
  <c r="AE2046" i="1"/>
  <c r="AE2050" i="1"/>
  <c r="AE2054" i="1"/>
  <c r="AE2058" i="1"/>
  <c r="AE2062" i="1"/>
  <c r="AE2066" i="1"/>
  <c r="AE2070" i="1"/>
  <c r="AE2074" i="1"/>
  <c r="AE2078" i="1"/>
  <c r="AE2082" i="1"/>
  <c r="AE2086" i="1"/>
  <c r="AE2090" i="1"/>
  <c r="AE2094" i="1"/>
  <c r="AE2098" i="1"/>
  <c r="AE2102" i="1"/>
  <c r="AE2106" i="1"/>
  <c r="AE2110" i="1"/>
  <c r="AE2114" i="1"/>
  <c r="AE2118" i="1"/>
  <c r="AE2122" i="1"/>
  <c r="AE2126" i="1"/>
  <c r="AE2130" i="1"/>
  <c r="AE2134" i="1"/>
  <c r="AE2138" i="1"/>
  <c r="AE2142" i="1"/>
  <c r="AE2146" i="1"/>
  <c r="AE2150" i="1"/>
  <c r="AE2154" i="1"/>
  <c r="AE2158" i="1"/>
  <c r="AE2162" i="1"/>
  <c r="AE2166" i="1"/>
  <c r="AE2170" i="1"/>
  <c r="AE2174" i="1"/>
  <c r="AE2178" i="1"/>
  <c r="AG2184" i="1"/>
  <c r="AC2184" i="1"/>
  <c r="AE2184" i="1"/>
  <c r="AF2188" i="1"/>
  <c r="M2189" i="1"/>
  <c r="R2189" i="1" s="1"/>
  <c r="AG2192" i="1"/>
  <c r="AC2192" i="1"/>
  <c r="AE2192" i="1"/>
  <c r="AD2195" i="1"/>
  <c r="AF2195" i="1"/>
  <c r="AE2195" i="1"/>
  <c r="AF2196" i="1"/>
  <c r="AG2200" i="1"/>
  <c r="AC2200" i="1"/>
  <c r="AE2200" i="1"/>
  <c r="AE2202" i="1"/>
  <c r="AD2202" i="1"/>
  <c r="AG2202" i="1"/>
  <c r="AC2202" i="1"/>
  <c r="AD2203" i="1"/>
  <c r="AG2203" i="1"/>
  <c r="AC2203" i="1"/>
  <c r="AF2203" i="1"/>
  <c r="M2205" i="1"/>
  <c r="R2205" i="1" s="1"/>
  <c r="AE2210" i="1"/>
  <c r="AD2210" i="1"/>
  <c r="AG2210" i="1"/>
  <c r="AC2210" i="1"/>
  <c r="AD2211" i="1"/>
  <c r="AG2211" i="1"/>
  <c r="AC2211" i="1"/>
  <c r="AF2211" i="1"/>
  <c r="AE2218" i="1"/>
  <c r="AD2218" i="1"/>
  <c r="AG2218" i="1"/>
  <c r="AC2218" i="1"/>
  <c r="AD2219" i="1"/>
  <c r="AG2219" i="1"/>
  <c r="AC2219" i="1"/>
  <c r="AF2219" i="1"/>
  <c r="M2221" i="1"/>
  <c r="R2221" i="1" s="1"/>
  <c r="AE2226" i="1"/>
  <c r="AD2226" i="1"/>
  <c r="AG2226" i="1"/>
  <c r="AC2226" i="1"/>
  <c r="AD2227" i="1"/>
  <c r="AG2227" i="1"/>
  <c r="AC2227" i="1"/>
  <c r="AF2227" i="1"/>
  <c r="M2229" i="1"/>
  <c r="R2229" i="1" s="1"/>
  <c r="AE2234" i="1"/>
  <c r="AD2234" i="1"/>
  <c r="AG2234" i="1"/>
  <c r="AC2234" i="1"/>
  <c r="AD2235" i="1"/>
  <c r="AG2235" i="1"/>
  <c r="AC2235" i="1"/>
  <c r="AF2235" i="1"/>
  <c r="M2237" i="1"/>
  <c r="R2237" i="1" s="1"/>
  <c r="AE2242" i="1"/>
  <c r="AD2242" i="1"/>
  <c r="AG2242" i="1"/>
  <c r="AC2242" i="1"/>
  <c r="AD2243" i="1"/>
  <c r="AG2243" i="1"/>
  <c r="AC2243" i="1"/>
  <c r="AF2243" i="1"/>
  <c r="M2245" i="1"/>
  <c r="R2245" i="1" s="1"/>
  <c r="AE2250" i="1"/>
  <c r="AD2250" i="1"/>
  <c r="AG2250" i="1"/>
  <c r="AC2250" i="1"/>
  <c r="AD2251" i="1"/>
  <c r="AG2251" i="1"/>
  <c r="AC2251" i="1"/>
  <c r="AF2251" i="1"/>
  <c r="M2253" i="1"/>
  <c r="R2253" i="1" s="1"/>
  <c r="AE2258" i="1"/>
  <c r="AD2258" i="1"/>
  <c r="AG2258" i="1"/>
  <c r="AC2258" i="1"/>
  <c r="AD2259" i="1"/>
  <c r="AG2259" i="1"/>
  <c r="AC2259" i="1"/>
  <c r="AF2259" i="1"/>
  <c r="M2261" i="1"/>
  <c r="R2261" i="1" s="1"/>
  <c r="AE2266" i="1"/>
  <c r="AD2266" i="1"/>
  <c r="AG2266" i="1"/>
  <c r="AC2266" i="1"/>
  <c r="AD2267" i="1"/>
  <c r="AG2267" i="1"/>
  <c r="AC2267" i="1"/>
  <c r="AF2267" i="1"/>
  <c r="AE2274" i="1"/>
  <c r="AD2274" i="1"/>
  <c r="AG2274" i="1"/>
  <c r="AC2274" i="1"/>
  <c r="AD2275" i="1"/>
  <c r="AG2275" i="1"/>
  <c r="AC2275" i="1"/>
  <c r="AF2275" i="1"/>
  <c r="M2277" i="1"/>
  <c r="R2277" i="1" s="1"/>
  <c r="AE2282" i="1"/>
  <c r="AD2282" i="1"/>
  <c r="AG2282" i="1"/>
  <c r="AC2282" i="1"/>
  <c r="AD2283" i="1"/>
  <c r="AG2283" i="1"/>
  <c r="AC2283" i="1"/>
  <c r="AF2283" i="1"/>
  <c r="M2285" i="1"/>
  <c r="R2285" i="1" s="1"/>
  <c r="AE2290" i="1"/>
  <c r="AD2290" i="1"/>
  <c r="AG2290" i="1"/>
  <c r="AC2290" i="1"/>
  <c r="AD2291" i="1"/>
  <c r="AG2291" i="1"/>
  <c r="AC2291" i="1"/>
  <c r="AF2291" i="1"/>
  <c r="M2293" i="1"/>
  <c r="R2293" i="1" s="1"/>
  <c r="AE2298" i="1"/>
  <c r="AD2298" i="1"/>
  <c r="AG2298" i="1"/>
  <c r="AC2298" i="1"/>
  <c r="AD2299" i="1"/>
  <c r="AG2299" i="1"/>
  <c r="AC2299" i="1"/>
  <c r="AF2299" i="1"/>
  <c r="M2301" i="1"/>
  <c r="R2301" i="1" s="1"/>
  <c r="AE2306" i="1"/>
  <c r="AD2306" i="1"/>
  <c r="AG2306" i="1"/>
  <c r="AC2306" i="1"/>
  <c r="AD2307" i="1"/>
  <c r="AG2307" i="1"/>
  <c r="AC2307" i="1"/>
  <c r="AF2307" i="1"/>
  <c r="M2309" i="1"/>
  <c r="R2309" i="1" s="1"/>
  <c r="AE2314" i="1"/>
  <c r="AD2314" i="1"/>
  <c r="AG2314" i="1"/>
  <c r="AC2314" i="1"/>
  <c r="AD2315" i="1"/>
  <c r="AG2315" i="1"/>
  <c r="AC2315" i="1"/>
  <c r="AF2315" i="1"/>
  <c r="M2317" i="1"/>
  <c r="R2317" i="1" s="1"/>
  <c r="AE2322" i="1"/>
  <c r="AD2322" i="1"/>
  <c r="AG2322" i="1"/>
  <c r="AC2322" i="1"/>
  <c r="AD2323" i="1"/>
  <c r="AG2323" i="1"/>
  <c r="AC2323" i="1"/>
  <c r="AF2323" i="1"/>
  <c r="M2325" i="1"/>
  <c r="R2325" i="1" s="1"/>
  <c r="AE2330" i="1"/>
  <c r="AD2330" i="1"/>
  <c r="AG2330" i="1"/>
  <c r="AC2330" i="1"/>
  <c r="AD2331" i="1"/>
  <c r="AG2331" i="1"/>
  <c r="AC2331" i="1"/>
  <c r="AF2331" i="1"/>
  <c r="M2333" i="1"/>
  <c r="R2333" i="1" s="1"/>
  <c r="AE2338" i="1"/>
  <c r="AD2338" i="1"/>
  <c r="AG2338" i="1"/>
  <c r="AC2338" i="1"/>
  <c r="AD2339" i="1"/>
  <c r="AG2339" i="1"/>
  <c r="AC2339" i="1"/>
  <c r="AF2339" i="1"/>
  <c r="M2341" i="1"/>
  <c r="R2341" i="1" s="1"/>
  <c r="AE2346" i="1"/>
  <c r="AD2346" i="1"/>
  <c r="AG2346" i="1"/>
  <c r="AC2346" i="1"/>
  <c r="AD2347" i="1"/>
  <c r="AG2347" i="1"/>
  <c r="AC2347" i="1"/>
  <c r="AF2347" i="1"/>
  <c r="M2349" i="1"/>
  <c r="R2349" i="1" s="1"/>
  <c r="AE2354" i="1"/>
  <c r="AD2354" i="1"/>
  <c r="AG2354" i="1"/>
  <c r="AC2354" i="1"/>
  <c r="AD2355" i="1"/>
  <c r="AG2355" i="1"/>
  <c r="AC2355" i="1"/>
  <c r="AF2355" i="1"/>
  <c r="M2357" i="1"/>
  <c r="R2357" i="1" s="1"/>
  <c r="AD2367" i="1"/>
  <c r="AG2367" i="1"/>
  <c r="AC2367" i="1"/>
  <c r="AF2367" i="1"/>
  <c r="AE2367" i="1"/>
  <c r="Y2381" i="1"/>
  <c r="M2381" i="1"/>
  <c r="R2381" i="1" s="1"/>
  <c r="AG2385" i="1"/>
  <c r="AG2394" i="1"/>
  <c r="AG2410" i="1"/>
  <c r="AG2426" i="1"/>
  <c r="AG2441" i="1"/>
  <c r="AC2441" i="1"/>
  <c r="AF2441" i="1"/>
  <c r="AE2441" i="1"/>
  <c r="AD2441" i="1"/>
  <c r="AD2448" i="1"/>
  <c r="AG2448" i="1"/>
  <c r="AC2448" i="1"/>
  <c r="AF2448" i="1"/>
  <c r="AG2474" i="1"/>
  <c r="AD2480" i="1"/>
  <c r="AG2480" i="1"/>
  <c r="AC2480" i="1"/>
  <c r="AF2480" i="1"/>
  <c r="AE2491" i="1"/>
  <c r="AD2491" i="1"/>
  <c r="AG2491" i="1"/>
  <c r="AC2491" i="1"/>
  <c r="AF2491" i="1"/>
  <c r="AE2515" i="1"/>
  <c r="AD2515" i="1"/>
  <c r="AG2515" i="1"/>
  <c r="AC2515" i="1"/>
  <c r="AF2515" i="1"/>
  <c r="AD2525" i="1"/>
  <c r="AD2540" i="1"/>
  <c r="AG2540" i="1"/>
  <c r="AC2540" i="1"/>
  <c r="AF2540" i="1"/>
  <c r="AD2548" i="1"/>
  <c r="AG2548" i="1"/>
  <c r="AC2548" i="1"/>
  <c r="AF2548" i="1"/>
  <c r="AD2560" i="1"/>
  <c r="AG2560" i="1"/>
  <c r="AC2560" i="1"/>
  <c r="AF2560" i="1"/>
  <c r="AD2571" i="1"/>
  <c r="AG2571" i="1"/>
  <c r="AC2571" i="1"/>
  <c r="AE2571" i="1"/>
  <c r="AF2571" i="1"/>
  <c r="AF2585" i="1"/>
  <c r="AE2585" i="1"/>
  <c r="AG2585" i="1"/>
  <c r="AD2585" i="1"/>
  <c r="AC2585" i="1"/>
  <c r="AE2596" i="1"/>
  <c r="AG2616" i="1"/>
  <c r="AC2616" i="1"/>
  <c r="AF2616" i="1"/>
  <c r="AE2616" i="1"/>
  <c r="AD2616" i="1"/>
  <c r="AG2689" i="1"/>
  <c r="AF2042" i="1"/>
  <c r="AF2046" i="1"/>
  <c r="AF2050" i="1"/>
  <c r="AF2054" i="1"/>
  <c r="AF2058" i="1"/>
  <c r="AF2062" i="1"/>
  <c r="AF2066" i="1"/>
  <c r="AF2070" i="1"/>
  <c r="AF2074" i="1"/>
  <c r="AF2078" i="1"/>
  <c r="AF2082" i="1"/>
  <c r="AF2086" i="1"/>
  <c r="AF2090" i="1"/>
  <c r="AF2094" i="1"/>
  <c r="AF2098" i="1"/>
  <c r="AF2102" i="1"/>
  <c r="AF2106" i="1"/>
  <c r="AF2110" i="1"/>
  <c r="AF2114" i="1"/>
  <c r="AF2118" i="1"/>
  <c r="AF2122" i="1"/>
  <c r="AF2126" i="1"/>
  <c r="AF2130" i="1"/>
  <c r="AF2134" i="1"/>
  <c r="AF2138" i="1"/>
  <c r="AF2142" i="1"/>
  <c r="AF2146" i="1"/>
  <c r="AF2150" i="1"/>
  <c r="AF2154" i="1"/>
  <c r="AF2158" i="1"/>
  <c r="AF2162" i="1"/>
  <c r="AF2166" i="1"/>
  <c r="AF2170" i="1"/>
  <c r="AF2174" i="1"/>
  <c r="AF2178" i="1"/>
  <c r="AE2182" i="1"/>
  <c r="AG2182" i="1"/>
  <c r="AC2182" i="1"/>
  <c r="AF2185" i="1"/>
  <c r="AD2185" i="1"/>
  <c r="AE2185" i="1"/>
  <c r="AE2190" i="1"/>
  <c r="AG2190" i="1"/>
  <c r="AC2190" i="1"/>
  <c r="AF2193" i="1"/>
  <c r="AD2193" i="1"/>
  <c r="AE2193" i="1"/>
  <c r="Y2197" i="1"/>
  <c r="M2197" i="1"/>
  <c r="R2197" i="1" s="1"/>
  <c r="AE2198" i="1"/>
  <c r="AG2198" i="1"/>
  <c r="AC2198" i="1"/>
  <c r="AF2201" i="1"/>
  <c r="AE2201" i="1"/>
  <c r="AD2201" i="1"/>
  <c r="AF2209" i="1"/>
  <c r="AE2209" i="1"/>
  <c r="AD2209" i="1"/>
  <c r="Y2213" i="1"/>
  <c r="M2213" i="1"/>
  <c r="R2213" i="1" s="1"/>
  <c r="AF2217" i="1"/>
  <c r="AE2217" i="1"/>
  <c r="AD2217" i="1"/>
  <c r="AF2225" i="1"/>
  <c r="AE2225" i="1"/>
  <c r="AD2225" i="1"/>
  <c r="AF2233" i="1"/>
  <c r="AE2233" i="1"/>
  <c r="AD2233" i="1"/>
  <c r="AF2241" i="1"/>
  <c r="AE2241" i="1"/>
  <c r="AD2241" i="1"/>
  <c r="AF2249" i="1"/>
  <c r="AE2249" i="1"/>
  <c r="AD2249" i="1"/>
  <c r="AF2257" i="1"/>
  <c r="AE2257" i="1"/>
  <c r="AD2257" i="1"/>
  <c r="Y2269" i="1"/>
  <c r="M2269" i="1"/>
  <c r="R2269" i="1" s="1"/>
  <c r="AD2281" i="1"/>
  <c r="AF2289" i="1"/>
  <c r="AE2289" i="1"/>
  <c r="AD2289" i="1"/>
  <c r="AF2297" i="1"/>
  <c r="AE2297" i="1"/>
  <c r="AD2297" i="1"/>
  <c r="AF2305" i="1"/>
  <c r="AE2305" i="1"/>
  <c r="AD2305" i="1"/>
  <c r="AF2313" i="1"/>
  <c r="AE2313" i="1"/>
  <c r="AD2313" i="1"/>
  <c r="AF2321" i="1"/>
  <c r="AE2321" i="1"/>
  <c r="AD2321" i="1"/>
  <c r="AF2329" i="1"/>
  <c r="AE2329" i="1"/>
  <c r="AD2329" i="1"/>
  <c r="AF2337" i="1"/>
  <c r="AE2337" i="1"/>
  <c r="AD2337" i="1"/>
  <c r="AF2345" i="1"/>
  <c r="AE2345" i="1"/>
  <c r="AD2345" i="1"/>
  <c r="AF2353" i="1"/>
  <c r="AE2353" i="1"/>
  <c r="AD2353" i="1"/>
  <c r="AF2361" i="1"/>
  <c r="AE2361" i="1"/>
  <c r="AD2361" i="1"/>
  <c r="AC2361" i="1"/>
  <c r="AG2372" i="1"/>
  <c r="AC2372" i="1"/>
  <c r="AF2372" i="1"/>
  <c r="AE2372" i="1"/>
  <c r="AD2385" i="1"/>
  <c r="AE2386" i="1"/>
  <c r="AD2386" i="1"/>
  <c r="AG2386" i="1"/>
  <c r="AF2386" i="1"/>
  <c r="AC2386" i="1"/>
  <c r="AD2387" i="1"/>
  <c r="AG2387" i="1"/>
  <c r="AC2387" i="1"/>
  <c r="AF2387" i="1"/>
  <c r="AE2387" i="1"/>
  <c r="AF2389" i="1"/>
  <c r="AE2389" i="1"/>
  <c r="AG2389" i="1"/>
  <c r="AD2389" i="1"/>
  <c r="AD2400" i="1"/>
  <c r="AG2400" i="1"/>
  <c r="AC2400" i="1"/>
  <c r="AF2400" i="1"/>
  <c r="AG2409" i="1"/>
  <c r="AC2409" i="1"/>
  <c r="AF2409" i="1"/>
  <c r="AE2409" i="1"/>
  <c r="AD2409" i="1"/>
  <c r="AD2416" i="1"/>
  <c r="AG2416" i="1"/>
  <c r="AC2416" i="1"/>
  <c r="AF2416" i="1"/>
  <c r="AG2425" i="1"/>
  <c r="AC2425" i="1"/>
  <c r="AF2425" i="1"/>
  <c r="AE2425" i="1"/>
  <c r="AD2425" i="1"/>
  <c r="AD2432" i="1"/>
  <c r="AG2432" i="1"/>
  <c r="AC2432" i="1"/>
  <c r="AF2432" i="1"/>
  <c r="AD2449" i="1"/>
  <c r="AE2451" i="1"/>
  <c r="AD2451" i="1"/>
  <c r="AG2451" i="1"/>
  <c r="AC2451" i="1"/>
  <c r="AF2451" i="1"/>
  <c r="AF2455" i="1"/>
  <c r="AG2473" i="1"/>
  <c r="AC2473" i="1"/>
  <c r="AF2473" i="1"/>
  <c r="AE2473" i="1"/>
  <c r="AD2473" i="1"/>
  <c r="AD2481" i="1"/>
  <c r="AE2483" i="1"/>
  <c r="AD2483" i="1"/>
  <c r="AG2483" i="1"/>
  <c r="AC2483" i="1"/>
  <c r="AF2483" i="1"/>
  <c r="AD2524" i="1"/>
  <c r="AG2524" i="1"/>
  <c r="AC2524" i="1"/>
  <c r="AF2524" i="1"/>
  <c r="AD2549" i="1"/>
  <c r="AF2551" i="1"/>
  <c r="AD2568" i="1"/>
  <c r="AG2592" i="1"/>
  <c r="AC2592" i="1"/>
  <c r="AF2592" i="1"/>
  <c r="AE2592" i="1"/>
  <c r="AD2592" i="1"/>
  <c r="AE2604" i="1"/>
  <c r="AG2620" i="1"/>
  <c r="AC2620" i="1"/>
  <c r="AE2620" i="1"/>
  <c r="AD2620" i="1"/>
  <c r="AF2620" i="1"/>
  <c r="Y2622" i="1"/>
  <c r="M2622" i="1"/>
  <c r="R2622" i="1" s="1"/>
  <c r="AC2042" i="1"/>
  <c r="AC2046" i="1"/>
  <c r="AC2050" i="1"/>
  <c r="AC2054" i="1"/>
  <c r="AC2058" i="1"/>
  <c r="AC2062" i="1"/>
  <c r="M2065" i="1"/>
  <c r="R2065" i="1" s="1"/>
  <c r="AC2066" i="1"/>
  <c r="AC2070" i="1"/>
  <c r="AC2074" i="1"/>
  <c r="AC2078" i="1"/>
  <c r="AC2082" i="1"/>
  <c r="AC2086" i="1"/>
  <c r="AC2090" i="1"/>
  <c r="AC2094" i="1"/>
  <c r="M2097" i="1"/>
  <c r="R2097" i="1" s="1"/>
  <c r="AC2098" i="1"/>
  <c r="AC2102" i="1"/>
  <c r="AC2106" i="1"/>
  <c r="AC2110" i="1"/>
  <c r="M2113" i="1"/>
  <c r="R2113" i="1" s="1"/>
  <c r="AC2114" i="1"/>
  <c r="AC2118" i="1"/>
  <c r="AC2122" i="1"/>
  <c r="AC2126" i="1"/>
  <c r="AC2130" i="1"/>
  <c r="AC2134" i="1"/>
  <c r="AC2138" i="1"/>
  <c r="AC2142" i="1"/>
  <c r="AC2146" i="1"/>
  <c r="AC2150" i="1"/>
  <c r="AC2154" i="1"/>
  <c r="AC2158" i="1"/>
  <c r="AC2162" i="1"/>
  <c r="AC2166" i="1"/>
  <c r="AC2170" i="1"/>
  <c r="AC2174" i="1"/>
  <c r="AC2178" i="1"/>
  <c r="AD2182" i="1"/>
  <c r="AD2183" i="1"/>
  <c r="AF2183" i="1"/>
  <c r="AE2183" i="1"/>
  <c r="AF2184" i="1"/>
  <c r="M2185" i="1"/>
  <c r="R2185" i="1" s="1"/>
  <c r="AG2185" i="1"/>
  <c r="Y2187" i="1"/>
  <c r="M2187" i="1"/>
  <c r="R2187" i="1" s="1"/>
  <c r="AG2188" i="1"/>
  <c r="AC2188" i="1"/>
  <c r="AE2188" i="1"/>
  <c r="AD2190" i="1"/>
  <c r="AD2191" i="1"/>
  <c r="AF2191" i="1"/>
  <c r="AE2191" i="1"/>
  <c r="AF2192" i="1"/>
  <c r="M2193" i="1"/>
  <c r="R2193" i="1" s="1"/>
  <c r="AG2193" i="1"/>
  <c r="AG2196" i="1"/>
  <c r="AC2196" i="1"/>
  <c r="AE2196" i="1"/>
  <c r="AD2198" i="1"/>
  <c r="AD2199" i="1"/>
  <c r="AF2199" i="1"/>
  <c r="AE2199" i="1"/>
  <c r="AF2200" i="1"/>
  <c r="M2201" i="1"/>
  <c r="R2201" i="1" s="1"/>
  <c r="AE2203" i="1"/>
  <c r="AE2206" i="1"/>
  <c r="AD2206" i="1"/>
  <c r="AG2206" i="1"/>
  <c r="AC2206" i="1"/>
  <c r="AD2207" i="1"/>
  <c r="AG2207" i="1"/>
  <c r="AC2207" i="1"/>
  <c r="AF2207" i="1"/>
  <c r="AD2208" i="1"/>
  <c r="M2209" i="1"/>
  <c r="R2209" i="1" s="1"/>
  <c r="AE2211" i="1"/>
  <c r="AE2214" i="1"/>
  <c r="AD2214" i="1"/>
  <c r="AG2214" i="1"/>
  <c r="AC2214" i="1"/>
  <c r="AD2215" i="1"/>
  <c r="AG2215" i="1"/>
  <c r="AC2215" i="1"/>
  <c r="AF2215" i="1"/>
  <c r="AD2216" i="1"/>
  <c r="M2217" i="1"/>
  <c r="R2217" i="1" s="1"/>
  <c r="AE2219" i="1"/>
  <c r="AE2222" i="1"/>
  <c r="AD2222" i="1"/>
  <c r="AG2222" i="1"/>
  <c r="AC2222" i="1"/>
  <c r="AD2223" i="1"/>
  <c r="AG2223" i="1"/>
  <c r="AC2223" i="1"/>
  <c r="AF2223" i="1"/>
  <c r="AD2224" i="1"/>
  <c r="M2225" i="1"/>
  <c r="R2225" i="1" s="1"/>
  <c r="AE2227" i="1"/>
  <c r="AE2230" i="1"/>
  <c r="AD2230" i="1"/>
  <c r="AG2230" i="1"/>
  <c r="AC2230" i="1"/>
  <c r="AD2231" i="1"/>
  <c r="AG2231" i="1"/>
  <c r="AC2231" i="1"/>
  <c r="AF2231" i="1"/>
  <c r="AD2232" i="1"/>
  <c r="M2233" i="1"/>
  <c r="R2233" i="1" s="1"/>
  <c r="AE2235" i="1"/>
  <c r="AE2238" i="1"/>
  <c r="AD2238" i="1"/>
  <c r="AG2238" i="1"/>
  <c r="AC2238" i="1"/>
  <c r="AD2239" i="1"/>
  <c r="AG2239" i="1"/>
  <c r="AC2239" i="1"/>
  <c r="AF2239" i="1"/>
  <c r="AD2240" i="1"/>
  <c r="M2241" i="1"/>
  <c r="R2241" i="1" s="1"/>
  <c r="AE2243" i="1"/>
  <c r="AE2246" i="1"/>
  <c r="AD2246" i="1"/>
  <c r="AG2246" i="1"/>
  <c r="AC2246" i="1"/>
  <c r="AD2247" i="1"/>
  <c r="AG2247" i="1"/>
  <c r="AC2247" i="1"/>
  <c r="AF2247" i="1"/>
  <c r="AD2248" i="1"/>
  <c r="M2249" i="1"/>
  <c r="R2249" i="1" s="1"/>
  <c r="AE2251" i="1"/>
  <c r="AE2254" i="1"/>
  <c r="AD2254" i="1"/>
  <c r="AG2254" i="1"/>
  <c r="AC2254" i="1"/>
  <c r="AD2255" i="1"/>
  <c r="AG2255" i="1"/>
  <c r="AC2255" i="1"/>
  <c r="AF2255" i="1"/>
  <c r="AD2256" i="1"/>
  <c r="M2257" i="1"/>
  <c r="R2257" i="1" s="1"/>
  <c r="AE2259" i="1"/>
  <c r="AE2262" i="1"/>
  <c r="AD2262" i="1"/>
  <c r="AG2262" i="1"/>
  <c r="AC2262" i="1"/>
  <c r="AD2263" i="1"/>
  <c r="AG2263" i="1"/>
  <c r="AC2263" i="1"/>
  <c r="AF2263" i="1"/>
  <c r="AD2264" i="1"/>
  <c r="AE2267" i="1"/>
  <c r="AE2270" i="1"/>
  <c r="AD2270" i="1"/>
  <c r="AG2270" i="1"/>
  <c r="AC2270" i="1"/>
  <c r="AD2271" i="1"/>
  <c r="AG2271" i="1"/>
  <c r="AC2271" i="1"/>
  <c r="AF2271" i="1"/>
  <c r="AD2272" i="1"/>
  <c r="AE2275" i="1"/>
  <c r="AE2278" i="1"/>
  <c r="AD2278" i="1"/>
  <c r="AG2278" i="1"/>
  <c r="AC2278" i="1"/>
  <c r="AD2279" i="1"/>
  <c r="AG2279" i="1"/>
  <c r="AC2279" i="1"/>
  <c r="AF2279" i="1"/>
  <c r="AD2280" i="1"/>
  <c r="AE2283" i="1"/>
  <c r="AE2286" i="1"/>
  <c r="AD2286" i="1"/>
  <c r="AG2286" i="1"/>
  <c r="AC2286" i="1"/>
  <c r="AD2287" i="1"/>
  <c r="AG2287" i="1"/>
  <c r="AC2287" i="1"/>
  <c r="AF2287" i="1"/>
  <c r="AD2288" i="1"/>
  <c r="M2289" i="1"/>
  <c r="R2289" i="1" s="1"/>
  <c r="AE2291" i="1"/>
  <c r="AE2294" i="1"/>
  <c r="AD2294" i="1"/>
  <c r="AG2294" i="1"/>
  <c r="AC2294" i="1"/>
  <c r="AD2295" i="1"/>
  <c r="AG2295" i="1"/>
  <c r="AC2295" i="1"/>
  <c r="AF2295" i="1"/>
  <c r="AD2296" i="1"/>
  <c r="M2297" i="1"/>
  <c r="R2297" i="1" s="1"/>
  <c r="AE2299" i="1"/>
  <c r="AE2302" i="1"/>
  <c r="AD2302" i="1"/>
  <c r="AG2302" i="1"/>
  <c r="AC2302" i="1"/>
  <c r="AD2303" i="1"/>
  <c r="AG2303" i="1"/>
  <c r="AC2303" i="1"/>
  <c r="AF2303" i="1"/>
  <c r="AD2304" i="1"/>
  <c r="M2305" i="1"/>
  <c r="R2305" i="1" s="1"/>
  <c r="AE2307" i="1"/>
  <c r="AE2310" i="1"/>
  <c r="AD2310" i="1"/>
  <c r="AG2310" i="1"/>
  <c r="AC2310" i="1"/>
  <c r="AD2311" i="1"/>
  <c r="AG2311" i="1"/>
  <c r="AC2311" i="1"/>
  <c r="AF2311" i="1"/>
  <c r="AD2312" i="1"/>
  <c r="M2313" i="1"/>
  <c r="R2313" i="1" s="1"/>
  <c r="AE2315" i="1"/>
  <c r="AE2318" i="1"/>
  <c r="AD2318" i="1"/>
  <c r="AG2318" i="1"/>
  <c r="AC2318" i="1"/>
  <c r="AD2319" i="1"/>
  <c r="AG2319" i="1"/>
  <c r="AC2319" i="1"/>
  <c r="AF2319" i="1"/>
  <c r="AD2320" i="1"/>
  <c r="M2321" i="1"/>
  <c r="R2321" i="1" s="1"/>
  <c r="AE2323" i="1"/>
  <c r="AE2326" i="1"/>
  <c r="AD2326" i="1"/>
  <c r="AG2326" i="1"/>
  <c r="AC2326" i="1"/>
  <c r="AD2327" i="1"/>
  <c r="AG2327" i="1"/>
  <c r="AC2327" i="1"/>
  <c r="AF2327" i="1"/>
  <c r="AD2328" i="1"/>
  <c r="M2329" i="1"/>
  <c r="R2329" i="1" s="1"/>
  <c r="AE2331" i="1"/>
  <c r="AE2334" i="1"/>
  <c r="AD2334" i="1"/>
  <c r="AG2334" i="1"/>
  <c r="AC2334" i="1"/>
  <c r="AD2335" i="1"/>
  <c r="AG2335" i="1"/>
  <c r="AC2335" i="1"/>
  <c r="AF2335" i="1"/>
  <c r="AD2336" i="1"/>
  <c r="M2337" i="1"/>
  <c r="R2337" i="1" s="1"/>
  <c r="AE2339" i="1"/>
  <c r="AE2342" i="1"/>
  <c r="AD2342" i="1"/>
  <c r="AG2342" i="1"/>
  <c r="AC2342" i="1"/>
  <c r="AD2343" i="1"/>
  <c r="AG2343" i="1"/>
  <c r="AC2343" i="1"/>
  <c r="AF2343" i="1"/>
  <c r="AD2344" i="1"/>
  <c r="M2345" i="1"/>
  <c r="R2345" i="1" s="1"/>
  <c r="AE2347" i="1"/>
  <c r="AE2350" i="1"/>
  <c r="AD2350" i="1"/>
  <c r="AG2350" i="1"/>
  <c r="AC2350" i="1"/>
  <c r="AD2351" i="1"/>
  <c r="AG2351" i="1"/>
  <c r="AC2351" i="1"/>
  <c r="AF2351" i="1"/>
  <c r="AD2352" i="1"/>
  <c r="M2353" i="1"/>
  <c r="R2353" i="1" s="1"/>
  <c r="AE2355" i="1"/>
  <c r="AE2358" i="1"/>
  <c r="AD2358" i="1"/>
  <c r="AG2358" i="1"/>
  <c r="AC2358" i="1"/>
  <c r="AD2359" i="1"/>
  <c r="AG2359" i="1"/>
  <c r="AC2359" i="1"/>
  <c r="AF2359" i="1"/>
  <c r="AE2360" i="1"/>
  <c r="Y2365" i="1"/>
  <c r="AD2365" i="1" s="1"/>
  <c r="M2365" i="1"/>
  <c r="R2365" i="1" s="1"/>
  <c r="AG2369" i="1"/>
  <c r="AD2379" i="1"/>
  <c r="AG2379" i="1"/>
  <c r="AC2379" i="1"/>
  <c r="AE2379" i="1"/>
  <c r="AD2383" i="1"/>
  <c r="AG2383" i="1"/>
  <c r="AC2383" i="1"/>
  <c r="AF2383" i="1"/>
  <c r="AE2383" i="1"/>
  <c r="AC2389" i="1"/>
  <c r="AD2401" i="1"/>
  <c r="AE2403" i="1"/>
  <c r="AD2403" i="1"/>
  <c r="AG2403" i="1"/>
  <c r="AC2403" i="1"/>
  <c r="AF2403" i="1"/>
  <c r="AD2417" i="1"/>
  <c r="AE2419" i="1"/>
  <c r="AD2419" i="1"/>
  <c r="AG2419" i="1"/>
  <c r="AC2419" i="1"/>
  <c r="AF2419" i="1"/>
  <c r="AD2433" i="1"/>
  <c r="AE2435" i="1"/>
  <c r="AD2435" i="1"/>
  <c r="AG2435" i="1"/>
  <c r="AC2435" i="1"/>
  <c r="AF2435" i="1"/>
  <c r="AF2439" i="1"/>
  <c r="AF2442" i="1"/>
  <c r="AD2464" i="1"/>
  <c r="AG2464" i="1"/>
  <c r="AC2464" i="1"/>
  <c r="AF2464" i="1"/>
  <c r="AF2526" i="1"/>
  <c r="AE2535" i="1"/>
  <c r="AD2535" i="1"/>
  <c r="AG2535" i="1"/>
  <c r="AC2535" i="1"/>
  <c r="AF2535" i="1"/>
  <c r="AG2542" i="1"/>
  <c r="AG2554" i="1"/>
  <c r="AG2562" i="1"/>
  <c r="AF2590" i="1"/>
  <c r="AG2590" i="1"/>
  <c r="AG2600" i="1"/>
  <c r="AC2600" i="1"/>
  <c r="AF2600" i="1"/>
  <c r="AE2600" i="1"/>
  <c r="AD2600" i="1"/>
  <c r="AE2612" i="1"/>
  <c r="AG2632" i="1"/>
  <c r="AC2632" i="1"/>
  <c r="AF2632" i="1"/>
  <c r="AE2632" i="1"/>
  <c r="AD2632" i="1"/>
  <c r="AG2634" i="1"/>
  <c r="AG2672" i="1"/>
  <c r="AC2672" i="1"/>
  <c r="AD2672" i="1"/>
  <c r="AF2672" i="1"/>
  <c r="AE2672" i="1"/>
  <c r="AE2204" i="1"/>
  <c r="AE2208" i="1"/>
  <c r="AE2212" i="1"/>
  <c r="AE2216" i="1"/>
  <c r="AE2220" i="1"/>
  <c r="AE2224" i="1"/>
  <c r="AE2228" i="1"/>
  <c r="AE2232" i="1"/>
  <c r="AE2236" i="1"/>
  <c r="AE2240" i="1"/>
  <c r="AE2244" i="1"/>
  <c r="AE2248" i="1"/>
  <c r="AE2252" i="1"/>
  <c r="AE2256" i="1"/>
  <c r="AE2260" i="1"/>
  <c r="AE2264" i="1"/>
  <c r="AE2268" i="1"/>
  <c r="AE2272" i="1"/>
  <c r="AE2276" i="1"/>
  <c r="AE2280" i="1"/>
  <c r="AE2284" i="1"/>
  <c r="AE2288" i="1"/>
  <c r="AE2292" i="1"/>
  <c r="AE2296" i="1"/>
  <c r="AE2300" i="1"/>
  <c r="AE2304" i="1"/>
  <c r="AE2308" i="1"/>
  <c r="AE2312" i="1"/>
  <c r="AE2316" i="1"/>
  <c r="AE2320" i="1"/>
  <c r="AE2324" i="1"/>
  <c r="AE2328" i="1"/>
  <c r="AE2332" i="1"/>
  <c r="AE2336" i="1"/>
  <c r="AE2340" i="1"/>
  <c r="AE2344" i="1"/>
  <c r="AE2348" i="1"/>
  <c r="AE2352" i="1"/>
  <c r="AE2356" i="1"/>
  <c r="AE2366" i="1"/>
  <c r="AD2366" i="1"/>
  <c r="AG2368" i="1"/>
  <c r="AC2368" i="1"/>
  <c r="AF2368" i="1"/>
  <c r="AD2368" i="1"/>
  <c r="AF2369" i="1"/>
  <c r="AE2369" i="1"/>
  <c r="AC2369" i="1"/>
  <c r="M2378" i="1"/>
  <c r="R2378" i="1" s="1"/>
  <c r="AE2382" i="1"/>
  <c r="AD2382" i="1"/>
  <c r="AG2384" i="1"/>
  <c r="AC2384" i="1"/>
  <c r="AF2384" i="1"/>
  <c r="AD2384" i="1"/>
  <c r="AF2385" i="1"/>
  <c r="AE2385" i="1"/>
  <c r="AC2385" i="1"/>
  <c r="AD2396" i="1"/>
  <c r="AG2396" i="1"/>
  <c r="AC2396" i="1"/>
  <c r="AF2396" i="1"/>
  <c r="AE2396" i="1"/>
  <c r="AE2399" i="1"/>
  <c r="AD2399" i="1"/>
  <c r="AG2399" i="1"/>
  <c r="AC2399" i="1"/>
  <c r="M2402" i="1"/>
  <c r="R2402" i="1" s="1"/>
  <c r="AG2405" i="1"/>
  <c r="AC2405" i="1"/>
  <c r="AF2405" i="1"/>
  <c r="AE2405" i="1"/>
  <c r="AF2406" i="1"/>
  <c r="AD2412" i="1"/>
  <c r="AG2412" i="1"/>
  <c r="AC2412" i="1"/>
  <c r="AF2412" i="1"/>
  <c r="AE2412" i="1"/>
  <c r="AE2415" i="1"/>
  <c r="AD2415" i="1"/>
  <c r="AG2415" i="1"/>
  <c r="AC2415" i="1"/>
  <c r="M2418" i="1"/>
  <c r="R2418" i="1" s="1"/>
  <c r="AG2421" i="1"/>
  <c r="AC2421" i="1"/>
  <c r="AF2421" i="1"/>
  <c r="AE2421" i="1"/>
  <c r="AF2422" i="1"/>
  <c r="AD2428" i="1"/>
  <c r="AG2428" i="1"/>
  <c r="AC2428" i="1"/>
  <c r="AF2428" i="1"/>
  <c r="AE2428" i="1"/>
  <c r="AE2431" i="1"/>
  <c r="AD2431" i="1"/>
  <c r="AG2431" i="1"/>
  <c r="AC2431" i="1"/>
  <c r="M2434" i="1"/>
  <c r="R2434" i="1" s="1"/>
  <c r="AG2437" i="1"/>
  <c r="AC2437" i="1"/>
  <c r="AF2437" i="1"/>
  <c r="AE2437" i="1"/>
  <c r="AF2438" i="1"/>
  <c r="AD2444" i="1"/>
  <c r="AG2444" i="1"/>
  <c r="AC2444" i="1"/>
  <c r="AF2444" i="1"/>
  <c r="AE2444" i="1"/>
  <c r="AE2447" i="1"/>
  <c r="AD2447" i="1"/>
  <c r="AG2447" i="1"/>
  <c r="AC2447" i="1"/>
  <c r="M2450" i="1"/>
  <c r="R2450" i="1" s="1"/>
  <c r="AG2453" i="1"/>
  <c r="AC2453" i="1"/>
  <c r="AF2453" i="1"/>
  <c r="AE2453" i="1"/>
  <c r="AF2454" i="1"/>
  <c r="AD2460" i="1"/>
  <c r="AG2460" i="1"/>
  <c r="AC2460" i="1"/>
  <c r="AF2460" i="1"/>
  <c r="AE2460" i="1"/>
  <c r="AE2463" i="1"/>
  <c r="AD2463" i="1"/>
  <c r="AG2463" i="1"/>
  <c r="AC2463" i="1"/>
  <c r="M2466" i="1"/>
  <c r="R2466" i="1" s="1"/>
  <c r="AG2469" i="1"/>
  <c r="AC2469" i="1"/>
  <c r="AF2469" i="1"/>
  <c r="AE2469" i="1"/>
  <c r="AF2470" i="1"/>
  <c r="AD2476" i="1"/>
  <c r="AG2476" i="1"/>
  <c r="AC2476" i="1"/>
  <c r="AF2476" i="1"/>
  <c r="AE2476" i="1"/>
  <c r="AE2479" i="1"/>
  <c r="AD2479" i="1"/>
  <c r="AG2479" i="1"/>
  <c r="AC2479" i="1"/>
  <c r="M2482" i="1"/>
  <c r="R2482" i="1" s="1"/>
  <c r="AG2485" i="1"/>
  <c r="AC2485" i="1"/>
  <c r="AF2485" i="1"/>
  <c r="AE2485" i="1"/>
  <c r="AF2486" i="1"/>
  <c r="AD2488" i="1"/>
  <c r="AG2488" i="1"/>
  <c r="AC2488" i="1"/>
  <c r="AF2488" i="1"/>
  <c r="AE2488" i="1"/>
  <c r="AG2493" i="1"/>
  <c r="AC2493" i="1"/>
  <c r="AF2493" i="1"/>
  <c r="AE2493" i="1"/>
  <c r="AF2494" i="1"/>
  <c r="AD2496" i="1"/>
  <c r="AG2496" i="1"/>
  <c r="AC2496" i="1"/>
  <c r="AF2496" i="1"/>
  <c r="AE2496" i="1"/>
  <c r="AG2501" i="1"/>
  <c r="AC2501" i="1"/>
  <c r="AF2501" i="1"/>
  <c r="AE2501" i="1"/>
  <c r="AF2502" i="1"/>
  <c r="AD2504" i="1"/>
  <c r="AG2504" i="1"/>
  <c r="AC2504" i="1"/>
  <c r="AF2504" i="1"/>
  <c r="AE2504" i="1"/>
  <c r="AG2509" i="1"/>
  <c r="AC2509" i="1"/>
  <c r="AF2509" i="1"/>
  <c r="AE2509" i="1"/>
  <c r="AF2510" i="1"/>
  <c r="AD2512" i="1"/>
  <c r="AG2512" i="1"/>
  <c r="AC2512" i="1"/>
  <c r="AF2512" i="1"/>
  <c r="AE2512" i="1"/>
  <c r="AG2517" i="1"/>
  <c r="AC2517" i="1"/>
  <c r="AF2517" i="1"/>
  <c r="AE2517" i="1"/>
  <c r="AF2518" i="1"/>
  <c r="AD2520" i="1"/>
  <c r="AG2520" i="1"/>
  <c r="AC2520" i="1"/>
  <c r="AF2520" i="1"/>
  <c r="AE2520" i="1"/>
  <c r="AE2523" i="1"/>
  <c r="AD2523" i="1"/>
  <c r="AG2523" i="1"/>
  <c r="AC2523" i="1"/>
  <c r="AF2525" i="1"/>
  <c r="AD2528" i="1"/>
  <c r="AG2528" i="1"/>
  <c r="AC2528" i="1"/>
  <c r="AF2528" i="1"/>
  <c r="AE2528" i="1"/>
  <c r="AF2530" i="1"/>
  <c r="AG2533" i="1"/>
  <c r="AD2533" i="1"/>
  <c r="M2534" i="1"/>
  <c r="R2534" i="1" s="1"/>
  <c r="AE2539" i="1"/>
  <c r="AD2539" i="1"/>
  <c r="AG2539" i="1"/>
  <c r="AC2539" i="1"/>
  <c r="AF2541" i="1"/>
  <c r="AD2544" i="1"/>
  <c r="AG2544" i="1"/>
  <c r="AC2544" i="1"/>
  <c r="AF2544" i="1"/>
  <c r="AE2544" i="1"/>
  <c r="AE2547" i="1"/>
  <c r="AD2547" i="1"/>
  <c r="AG2547" i="1"/>
  <c r="AC2547" i="1"/>
  <c r="M2550" i="1"/>
  <c r="R2550" i="1" s="1"/>
  <c r="AD2556" i="1"/>
  <c r="AG2556" i="1"/>
  <c r="AC2556" i="1"/>
  <c r="AF2556" i="1"/>
  <c r="AE2556" i="1"/>
  <c r="AE2559" i="1"/>
  <c r="AD2559" i="1"/>
  <c r="AG2559" i="1"/>
  <c r="AC2559" i="1"/>
  <c r="AF2561" i="1"/>
  <c r="AD2564" i="1"/>
  <c r="AG2564" i="1"/>
  <c r="AC2564" i="1"/>
  <c r="AF2564" i="1"/>
  <c r="AE2564" i="1"/>
  <c r="AF2566" i="1"/>
  <c r="AE2572" i="1"/>
  <c r="AG2574" i="1"/>
  <c r="AD2579" i="1"/>
  <c r="AG2579" i="1"/>
  <c r="AC2579" i="1"/>
  <c r="AE2579" i="1"/>
  <c r="AD2583" i="1"/>
  <c r="AG2583" i="1"/>
  <c r="AC2583" i="1"/>
  <c r="AF2583" i="1"/>
  <c r="AE2583" i="1"/>
  <c r="AF2593" i="1"/>
  <c r="AE2593" i="1"/>
  <c r="AG2593" i="1"/>
  <c r="AD2593" i="1"/>
  <c r="Y2597" i="1"/>
  <c r="M2597" i="1"/>
  <c r="R2597" i="1" s="1"/>
  <c r="AF2601" i="1"/>
  <c r="AE2601" i="1"/>
  <c r="AG2601" i="1"/>
  <c r="AD2601" i="1"/>
  <c r="Y2605" i="1"/>
  <c r="M2605" i="1"/>
  <c r="R2605" i="1" s="1"/>
  <c r="AF2609" i="1"/>
  <c r="AE2609" i="1"/>
  <c r="AG2609" i="1"/>
  <c r="AD2609" i="1"/>
  <c r="Y2613" i="1"/>
  <c r="M2613" i="1"/>
  <c r="R2613" i="1" s="1"/>
  <c r="AE2615" i="1"/>
  <c r="AD2623" i="1"/>
  <c r="AF2623" i="1"/>
  <c r="AE2623" i="1"/>
  <c r="AG2623" i="1"/>
  <c r="AC2623" i="1"/>
  <c r="AF2626" i="1"/>
  <c r="AE2628" i="1"/>
  <c r="AE2633" i="1"/>
  <c r="AE2662" i="1"/>
  <c r="AF2662" i="1"/>
  <c r="AD2662" i="1"/>
  <c r="AC2662" i="1"/>
  <c r="AG2662" i="1"/>
  <c r="AF2675" i="1"/>
  <c r="AG2696" i="1"/>
  <c r="AC2696" i="1"/>
  <c r="AF2696" i="1"/>
  <c r="AE2696" i="1"/>
  <c r="AD2696" i="1"/>
  <c r="AF2707" i="1"/>
  <c r="AC2707" i="1"/>
  <c r="AG2707" i="1"/>
  <c r="AE2707" i="1"/>
  <c r="AD2707" i="1"/>
  <c r="AF2204" i="1"/>
  <c r="AF2208" i="1"/>
  <c r="AF2212" i="1"/>
  <c r="AF2216" i="1"/>
  <c r="AF2220" i="1"/>
  <c r="AF2224" i="1"/>
  <c r="AF2228" i="1"/>
  <c r="AF2232" i="1"/>
  <c r="AF2236" i="1"/>
  <c r="AF2240" i="1"/>
  <c r="AF2244" i="1"/>
  <c r="AF2248" i="1"/>
  <c r="AF2252" i="1"/>
  <c r="AF2256" i="1"/>
  <c r="AF2260" i="1"/>
  <c r="AF2264" i="1"/>
  <c r="AF2268" i="1"/>
  <c r="AF2272" i="1"/>
  <c r="AF2276" i="1"/>
  <c r="AF2280" i="1"/>
  <c r="AF2284" i="1"/>
  <c r="AF2288" i="1"/>
  <c r="AF2292" i="1"/>
  <c r="AF2296" i="1"/>
  <c r="AF2300" i="1"/>
  <c r="AF2304" i="1"/>
  <c r="AF2308" i="1"/>
  <c r="AF2312" i="1"/>
  <c r="AF2316" i="1"/>
  <c r="AF2320" i="1"/>
  <c r="AF2324" i="1"/>
  <c r="AF2328" i="1"/>
  <c r="AF2332" i="1"/>
  <c r="AF2336" i="1"/>
  <c r="AF2340" i="1"/>
  <c r="AF2344" i="1"/>
  <c r="AF2348" i="1"/>
  <c r="AF2352" i="1"/>
  <c r="AF2356" i="1"/>
  <c r="AG2360" i="1"/>
  <c r="AC2360" i="1"/>
  <c r="AF2362" i="1"/>
  <c r="AG2364" i="1"/>
  <c r="AC2364" i="1"/>
  <c r="AF2364" i="1"/>
  <c r="AD2364" i="1"/>
  <c r="AC2365" i="1"/>
  <c r="AE2378" i="1"/>
  <c r="AD2378" i="1"/>
  <c r="AG2380" i="1"/>
  <c r="AC2380" i="1"/>
  <c r="AF2380" i="1"/>
  <c r="AD2380" i="1"/>
  <c r="AC2381" i="1"/>
  <c r="AE2395" i="1"/>
  <c r="AD2395" i="1"/>
  <c r="AG2395" i="1"/>
  <c r="AC2395" i="1"/>
  <c r="AF2399" i="1"/>
  <c r="AG2401" i="1"/>
  <c r="AC2401" i="1"/>
  <c r="AF2401" i="1"/>
  <c r="AE2401" i="1"/>
  <c r="AF2402" i="1"/>
  <c r="AD2408" i="1"/>
  <c r="AG2408" i="1"/>
  <c r="AC2408" i="1"/>
  <c r="AF2408" i="1"/>
  <c r="AE2408" i="1"/>
  <c r="AE2411" i="1"/>
  <c r="AD2411" i="1"/>
  <c r="AG2411" i="1"/>
  <c r="AC2411" i="1"/>
  <c r="AF2415" i="1"/>
  <c r="AG2417" i="1"/>
  <c r="AC2417" i="1"/>
  <c r="AF2417" i="1"/>
  <c r="AE2417" i="1"/>
  <c r="AF2418" i="1"/>
  <c r="AD2424" i="1"/>
  <c r="AG2424" i="1"/>
  <c r="AC2424" i="1"/>
  <c r="AF2424" i="1"/>
  <c r="AE2424" i="1"/>
  <c r="AE2427" i="1"/>
  <c r="AD2427" i="1"/>
  <c r="AG2427" i="1"/>
  <c r="AC2427" i="1"/>
  <c r="AF2431" i="1"/>
  <c r="AG2433" i="1"/>
  <c r="AC2433" i="1"/>
  <c r="AF2433" i="1"/>
  <c r="AE2433" i="1"/>
  <c r="AF2434" i="1"/>
  <c r="AD2440" i="1"/>
  <c r="AG2440" i="1"/>
  <c r="AC2440" i="1"/>
  <c r="AF2440" i="1"/>
  <c r="AE2440" i="1"/>
  <c r="AE2443" i="1"/>
  <c r="AD2443" i="1"/>
  <c r="AG2443" i="1"/>
  <c r="AC2443" i="1"/>
  <c r="AF2447" i="1"/>
  <c r="AG2449" i="1"/>
  <c r="AC2449" i="1"/>
  <c r="AF2449" i="1"/>
  <c r="AE2449" i="1"/>
  <c r="AF2450" i="1"/>
  <c r="AD2456" i="1"/>
  <c r="AG2456" i="1"/>
  <c r="AC2456" i="1"/>
  <c r="AF2456" i="1"/>
  <c r="AE2456" i="1"/>
  <c r="AE2459" i="1"/>
  <c r="AD2459" i="1"/>
  <c r="AG2459" i="1"/>
  <c r="AC2459" i="1"/>
  <c r="AF2463" i="1"/>
  <c r="AG2465" i="1"/>
  <c r="AC2465" i="1"/>
  <c r="AF2465" i="1"/>
  <c r="AE2465" i="1"/>
  <c r="AF2466" i="1"/>
  <c r="AD2472" i="1"/>
  <c r="AG2472" i="1"/>
  <c r="AC2472" i="1"/>
  <c r="AF2472" i="1"/>
  <c r="AE2472" i="1"/>
  <c r="AE2475" i="1"/>
  <c r="AD2475" i="1"/>
  <c r="AG2475" i="1"/>
  <c r="AC2475" i="1"/>
  <c r="AF2479" i="1"/>
  <c r="AG2481" i="1"/>
  <c r="AC2481" i="1"/>
  <c r="AF2481" i="1"/>
  <c r="AE2481" i="1"/>
  <c r="AF2482" i="1"/>
  <c r="AE2487" i="1"/>
  <c r="AD2487" i="1"/>
  <c r="AG2487" i="1"/>
  <c r="AC2487" i="1"/>
  <c r="M2490" i="1"/>
  <c r="R2490" i="1" s="1"/>
  <c r="AE2495" i="1"/>
  <c r="AD2495" i="1"/>
  <c r="AG2495" i="1"/>
  <c r="AC2495" i="1"/>
  <c r="AE2503" i="1"/>
  <c r="AD2503" i="1"/>
  <c r="AG2503" i="1"/>
  <c r="AC2503" i="1"/>
  <c r="AE2511" i="1"/>
  <c r="AD2511" i="1"/>
  <c r="AG2511" i="1"/>
  <c r="AC2511" i="1"/>
  <c r="AE2519" i="1"/>
  <c r="AD2519" i="1"/>
  <c r="AG2519" i="1"/>
  <c r="AC2519" i="1"/>
  <c r="AE2527" i="1"/>
  <c r="AD2527" i="1"/>
  <c r="AG2527" i="1"/>
  <c r="AC2527" i="1"/>
  <c r="AD2532" i="1"/>
  <c r="AG2532" i="1"/>
  <c r="AC2532" i="1"/>
  <c r="AF2532" i="1"/>
  <c r="AE2532" i="1"/>
  <c r="AF2534" i="1"/>
  <c r="AD2537" i="1"/>
  <c r="AE2543" i="1"/>
  <c r="AD2543" i="1"/>
  <c r="AG2543" i="1"/>
  <c r="AC2543" i="1"/>
  <c r="AG2549" i="1"/>
  <c r="AC2549" i="1"/>
  <c r="AF2549" i="1"/>
  <c r="AE2549" i="1"/>
  <c r="AF2550" i="1"/>
  <c r="AD2552" i="1"/>
  <c r="AG2552" i="1"/>
  <c r="AC2552" i="1"/>
  <c r="AF2552" i="1"/>
  <c r="AE2552" i="1"/>
  <c r="AE2555" i="1"/>
  <c r="AD2555" i="1"/>
  <c r="AG2555" i="1"/>
  <c r="AC2555" i="1"/>
  <c r="AE2563" i="1"/>
  <c r="AD2563" i="1"/>
  <c r="AG2563" i="1"/>
  <c r="AC2563" i="1"/>
  <c r="AG2568" i="1"/>
  <c r="AC2568" i="1"/>
  <c r="AF2568" i="1"/>
  <c r="AE2568" i="1"/>
  <c r="AF2569" i="1"/>
  <c r="AE2569" i="1"/>
  <c r="AG2569" i="1"/>
  <c r="AD2569" i="1"/>
  <c r="Y2573" i="1"/>
  <c r="AF2573" i="1" s="1"/>
  <c r="M2573" i="1"/>
  <c r="R2573" i="1" s="1"/>
  <c r="AG2576" i="1"/>
  <c r="AC2576" i="1"/>
  <c r="AF2576" i="1"/>
  <c r="AE2576" i="1"/>
  <c r="AE2580" i="1"/>
  <c r="AG2582" i="1"/>
  <c r="AD2587" i="1"/>
  <c r="AG2587" i="1"/>
  <c r="AC2587" i="1"/>
  <c r="AE2587" i="1"/>
  <c r="AD2591" i="1"/>
  <c r="AG2591" i="1"/>
  <c r="AC2591" i="1"/>
  <c r="AF2591" i="1"/>
  <c r="AE2591" i="1"/>
  <c r="AD2599" i="1"/>
  <c r="AG2599" i="1"/>
  <c r="AC2599" i="1"/>
  <c r="AF2599" i="1"/>
  <c r="AE2599" i="1"/>
  <c r="AD2607" i="1"/>
  <c r="AG2607" i="1"/>
  <c r="AC2607" i="1"/>
  <c r="AF2607" i="1"/>
  <c r="AE2607" i="1"/>
  <c r="Y2617" i="1"/>
  <c r="AD2617" i="1" s="1"/>
  <c r="M2617" i="1"/>
  <c r="R2617" i="1" s="1"/>
  <c r="AE2630" i="1"/>
  <c r="AF2630" i="1"/>
  <c r="AD2630" i="1"/>
  <c r="AG2630" i="1"/>
  <c r="AC2630" i="1"/>
  <c r="AG2645" i="1"/>
  <c r="AE2656" i="1"/>
  <c r="AE2661" i="1"/>
  <c r="AF2666" i="1"/>
  <c r="AG2692" i="1"/>
  <c r="AC2692" i="1"/>
  <c r="AF2692" i="1"/>
  <c r="AE2692" i="1"/>
  <c r="AD2692" i="1"/>
  <c r="AE2727" i="1"/>
  <c r="AC2204" i="1"/>
  <c r="AC2208" i="1"/>
  <c r="AC2212" i="1"/>
  <c r="AC2216" i="1"/>
  <c r="AC2220" i="1"/>
  <c r="AC2224" i="1"/>
  <c r="AC2228" i="1"/>
  <c r="AC2232" i="1"/>
  <c r="AC2236" i="1"/>
  <c r="AC2240" i="1"/>
  <c r="AC2244" i="1"/>
  <c r="AC2248" i="1"/>
  <c r="AC2252" i="1"/>
  <c r="AC2256" i="1"/>
  <c r="AC2260" i="1"/>
  <c r="AC2264" i="1"/>
  <c r="AC2268" i="1"/>
  <c r="AC2272" i="1"/>
  <c r="AC2276" i="1"/>
  <c r="AC2280" i="1"/>
  <c r="AC2284" i="1"/>
  <c r="M2287" i="1"/>
  <c r="R2287" i="1" s="1"/>
  <c r="AC2288" i="1"/>
  <c r="M2291" i="1"/>
  <c r="R2291" i="1" s="1"/>
  <c r="AC2292" i="1"/>
  <c r="M2295" i="1"/>
  <c r="R2295" i="1" s="1"/>
  <c r="AC2296" i="1"/>
  <c r="M2299" i="1"/>
  <c r="R2299" i="1" s="1"/>
  <c r="AC2300" i="1"/>
  <c r="M2303" i="1"/>
  <c r="R2303" i="1" s="1"/>
  <c r="AC2304" i="1"/>
  <c r="M2307" i="1"/>
  <c r="R2307" i="1" s="1"/>
  <c r="AC2308" i="1"/>
  <c r="M2311" i="1"/>
  <c r="R2311" i="1" s="1"/>
  <c r="AC2312" i="1"/>
  <c r="M2315" i="1"/>
  <c r="R2315" i="1" s="1"/>
  <c r="AC2316" i="1"/>
  <c r="M2319" i="1"/>
  <c r="R2319" i="1" s="1"/>
  <c r="AC2320" i="1"/>
  <c r="M2323" i="1"/>
  <c r="R2323" i="1" s="1"/>
  <c r="AC2324" i="1"/>
  <c r="M2327" i="1"/>
  <c r="R2327" i="1" s="1"/>
  <c r="AC2328" i="1"/>
  <c r="M2331" i="1"/>
  <c r="R2331" i="1" s="1"/>
  <c r="AC2332" i="1"/>
  <c r="M2335" i="1"/>
  <c r="R2335" i="1" s="1"/>
  <c r="AC2336" i="1"/>
  <c r="M2339" i="1"/>
  <c r="R2339" i="1" s="1"/>
  <c r="AC2340" i="1"/>
  <c r="M2343" i="1"/>
  <c r="R2343" i="1" s="1"/>
  <c r="AC2344" i="1"/>
  <c r="M2347" i="1"/>
  <c r="R2347" i="1" s="1"/>
  <c r="AC2348" i="1"/>
  <c r="M2351" i="1"/>
  <c r="R2351" i="1" s="1"/>
  <c r="AC2352" i="1"/>
  <c r="M2355" i="1"/>
  <c r="R2355" i="1" s="1"/>
  <c r="AC2356" i="1"/>
  <c r="M2359" i="1"/>
  <c r="R2359" i="1" s="1"/>
  <c r="AD2360" i="1"/>
  <c r="M2361" i="1"/>
  <c r="R2361" i="1" s="1"/>
  <c r="AE2362" i="1"/>
  <c r="AG2362" i="1"/>
  <c r="M2363" i="1"/>
  <c r="R2363" i="1" s="1"/>
  <c r="AE2364" i="1"/>
  <c r="M2370" i="1"/>
  <c r="R2370" i="1" s="1"/>
  <c r="M2373" i="1"/>
  <c r="R2373" i="1" s="1"/>
  <c r="AE2374" i="1"/>
  <c r="AD2374" i="1"/>
  <c r="AD2375" i="1"/>
  <c r="AG2375" i="1"/>
  <c r="AC2375" i="1"/>
  <c r="AG2376" i="1"/>
  <c r="AC2376" i="1"/>
  <c r="AF2376" i="1"/>
  <c r="AD2376" i="1"/>
  <c r="AF2377" i="1"/>
  <c r="AE2377" i="1"/>
  <c r="AC2377" i="1"/>
  <c r="AC2378" i="1"/>
  <c r="AE2380" i="1"/>
  <c r="M2386" i="1"/>
  <c r="R2386" i="1" s="1"/>
  <c r="M2389" i="1"/>
  <c r="R2389" i="1" s="1"/>
  <c r="AE2390" i="1"/>
  <c r="AD2390" i="1"/>
  <c r="AD2391" i="1"/>
  <c r="AG2391" i="1"/>
  <c r="AC2391" i="1"/>
  <c r="AG2392" i="1"/>
  <c r="AC2392" i="1"/>
  <c r="AF2392" i="1"/>
  <c r="AD2392" i="1"/>
  <c r="AG2393" i="1"/>
  <c r="AC2393" i="1"/>
  <c r="AF2393" i="1"/>
  <c r="AE2393" i="1"/>
  <c r="AD2393" i="1"/>
  <c r="M2394" i="1"/>
  <c r="R2394" i="1" s="1"/>
  <c r="AF2395" i="1"/>
  <c r="AG2397" i="1"/>
  <c r="AC2397" i="1"/>
  <c r="AF2397" i="1"/>
  <c r="AE2397" i="1"/>
  <c r="AF2398" i="1"/>
  <c r="AD2404" i="1"/>
  <c r="AG2404" i="1"/>
  <c r="AC2404" i="1"/>
  <c r="AF2404" i="1"/>
  <c r="AE2404" i="1"/>
  <c r="AE2407" i="1"/>
  <c r="AD2407" i="1"/>
  <c r="AG2407" i="1"/>
  <c r="AC2407" i="1"/>
  <c r="M2410" i="1"/>
  <c r="R2410" i="1" s="1"/>
  <c r="AF2411" i="1"/>
  <c r="AG2413" i="1"/>
  <c r="AC2413" i="1"/>
  <c r="AF2413" i="1"/>
  <c r="AE2413" i="1"/>
  <c r="AF2414" i="1"/>
  <c r="AD2420" i="1"/>
  <c r="AG2420" i="1"/>
  <c r="AC2420" i="1"/>
  <c r="AF2420" i="1"/>
  <c r="AE2420" i="1"/>
  <c r="AE2423" i="1"/>
  <c r="AD2423" i="1"/>
  <c r="AG2423" i="1"/>
  <c r="AC2423" i="1"/>
  <c r="M2426" i="1"/>
  <c r="R2426" i="1" s="1"/>
  <c r="AF2427" i="1"/>
  <c r="AG2429" i="1"/>
  <c r="AC2429" i="1"/>
  <c r="AF2429" i="1"/>
  <c r="AE2429" i="1"/>
  <c r="AF2430" i="1"/>
  <c r="AD2436" i="1"/>
  <c r="AG2436" i="1"/>
  <c r="AC2436" i="1"/>
  <c r="AF2436" i="1"/>
  <c r="AE2436" i="1"/>
  <c r="AE2439" i="1"/>
  <c r="AD2439" i="1"/>
  <c r="AG2439" i="1"/>
  <c r="AC2439" i="1"/>
  <c r="M2442" i="1"/>
  <c r="R2442" i="1" s="1"/>
  <c r="AF2443" i="1"/>
  <c r="AG2445" i="1"/>
  <c r="AC2445" i="1"/>
  <c r="AF2445" i="1"/>
  <c r="AE2445" i="1"/>
  <c r="AF2446" i="1"/>
  <c r="AD2452" i="1"/>
  <c r="AG2452" i="1"/>
  <c r="AC2452" i="1"/>
  <c r="AF2452" i="1"/>
  <c r="AE2452" i="1"/>
  <c r="AE2455" i="1"/>
  <c r="AD2455" i="1"/>
  <c r="AG2455" i="1"/>
  <c r="AC2455" i="1"/>
  <c r="M2458" i="1"/>
  <c r="R2458" i="1" s="1"/>
  <c r="AF2459" i="1"/>
  <c r="AG2461" i="1"/>
  <c r="AC2461" i="1"/>
  <c r="AF2461" i="1"/>
  <c r="AE2461" i="1"/>
  <c r="AF2462" i="1"/>
  <c r="AD2468" i="1"/>
  <c r="AG2468" i="1"/>
  <c r="AC2468" i="1"/>
  <c r="AF2468" i="1"/>
  <c r="AE2468" i="1"/>
  <c r="AE2471" i="1"/>
  <c r="AD2471" i="1"/>
  <c r="AG2471" i="1"/>
  <c r="AC2471" i="1"/>
  <c r="M2474" i="1"/>
  <c r="R2474" i="1" s="1"/>
  <c r="AF2475" i="1"/>
  <c r="AG2477" i="1"/>
  <c r="AC2477" i="1"/>
  <c r="AF2477" i="1"/>
  <c r="AE2477" i="1"/>
  <c r="AF2478" i="1"/>
  <c r="AD2484" i="1"/>
  <c r="AG2484" i="1"/>
  <c r="AC2484" i="1"/>
  <c r="AF2484" i="1"/>
  <c r="AE2484" i="1"/>
  <c r="AF2487" i="1"/>
  <c r="AG2489" i="1"/>
  <c r="AC2489" i="1"/>
  <c r="AF2489" i="1"/>
  <c r="AE2489" i="1"/>
  <c r="AF2490" i="1"/>
  <c r="AD2492" i="1"/>
  <c r="AG2492" i="1"/>
  <c r="AC2492" i="1"/>
  <c r="AF2492" i="1"/>
  <c r="AE2492" i="1"/>
  <c r="AF2495" i="1"/>
  <c r="AG2497" i="1"/>
  <c r="AC2497" i="1"/>
  <c r="AF2497" i="1"/>
  <c r="AE2497" i="1"/>
  <c r="AF2498" i="1"/>
  <c r="AD2500" i="1"/>
  <c r="AG2500" i="1"/>
  <c r="AC2500" i="1"/>
  <c r="AF2500" i="1"/>
  <c r="AE2500" i="1"/>
  <c r="AF2503" i="1"/>
  <c r="AG2505" i="1"/>
  <c r="AC2505" i="1"/>
  <c r="AF2505" i="1"/>
  <c r="AE2505" i="1"/>
  <c r="AF2506" i="1"/>
  <c r="AD2508" i="1"/>
  <c r="AG2508" i="1"/>
  <c r="AC2508" i="1"/>
  <c r="AF2508" i="1"/>
  <c r="AE2508" i="1"/>
  <c r="AF2511" i="1"/>
  <c r="AG2513" i="1"/>
  <c r="AC2513" i="1"/>
  <c r="AF2513" i="1"/>
  <c r="AE2513" i="1"/>
  <c r="AF2514" i="1"/>
  <c r="AD2516" i="1"/>
  <c r="AG2516" i="1"/>
  <c r="AC2516" i="1"/>
  <c r="AF2516" i="1"/>
  <c r="AE2516" i="1"/>
  <c r="AF2519" i="1"/>
  <c r="AG2521" i="1"/>
  <c r="AC2521" i="1"/>
  <c r="AF2521" i="1"/>
  <c r="AE2521" i="1"/>
  <c r="AF2522" i="1"/>
  <c r="AG2525" i="1"/>
  <c r="M2526" i="1"/>
  <c r="R2526" i="1" s="1"/>
  <c r="AF2527" i="1"/>
  <c r="AE2531" i="1"/>
  <c r="AD2531" i="1"/>
  <c r="AG2531" i="1"/>
  <c r="AC2531" i="1"/>
  <c r="AF2533" i="1"/>
  <c r="AD2536" i="1"/>
  <c r="AG2536" i="1"/>
  <c r="AC2536" i="1"/>
  <c r="AF2536" i="1"/>
  <c r="AE2536" i="1"/>
  <c r="AF2538" i="1"/>
  <c r="AG2541" i="1"/>
  <c r="M2542" i="1"/>
  <c r="R2542" i="1" s="1"/>
  <c r="AF2543" i="1"/>
  <c r="AG2545" i="1"/>
  <c r="AC2545" i="1"/>
  <c r="AF2545" i="1"/>
  <c r="AE2545" i="1"/>
  <c r="AF2546" i="1"/>
  <c r="AE2551" i="1"/>
  <c r="AD2551" i="1"/>
  <c r="AG2551" i="1"/>
  <c r="AC2551" i="1"/>
  <c r="M2554" i="1"/>
  <c r="R2554" i="1" s="1"/>
  <c r="AF2555" i="1"/>
  <c r="AG2557" i="1"/>
  <c r="AC2557" i="1"/>
  <c r="AF2557" i="1"/>
  <c r="AE2557" i="1"/>
  <c r="AF2558" i="1"/>
  <c r="AG2561" i="1"/>
  <c r="M2562" i="1"/>
  <c r="R2562" i="1" s="1"/>
  <c r="AF2563" i="1"/>
  <c r="AE2567" i="1"/>
  <c r="AD2567" i="1"/>
  <c r="AG2567" i="1"/>
  <c r="AC2567" i="1"/>
  <c r="AF2577" i="1"/>
  <c r="AE2577" i="1"/>
  <c r="AG2577" i="1"/>
  <c r="AD2577" i="1"/>
  <c r="Y2581" i="1"/>
  <c r="AF2581" i="1" s="1"/>
  <c r="M2581" i="1"/>
  <c r="R2581" i="1" s="1"/>
  <c r="AG2584" i="1"/>
  <c r="AC2584" i="1"/>
  <c r="AF2584" i="1"/>
  <c r="AE2584" i="1"/>
  <c r="AE2588" i="1"/>
  <c r="AD2595" i="1"/>
  <c r="AG2595" i="1"/>
  <c r="AC2595" i="1"/>
  <c r="AE2595" i="1"/>
  <c r="AD2603" i="1"/>
  <c r="AG2603" i="1"/>
  <c r="AC2603" i="1"/>
  <c r="AE2603" i="1"/>
  <c r="AD2611" i="1"/>
  <c r="AG2611" i="1"/>
  <c r="AC2611" i="1"/>
  <c r="AE2611" i="1"/>
  <c r="AG2624" i="1"/>
  <c r="AC2624" i="1"/>
  <c r="AD2624" i="1"/>
  <c r="AF2624" i="1"/>
  <c r="AG2636" i="1"/>
  <c r="AC2636" i="1"/>
  <c r="AE2636" i="1"/>
  <c r="AD2636" i="1"/>
  <c r="AF2638" i="1"/>
  <c r="AG2641" i="1"/>
  <c r="Y2665" i="1"/>
  <c r="AF2665" i="1" s="1"/>
  <c r="M2665" i="1"/>
  <c r="R2665" i="1" s="1"/>
  <c r="Y2670" i="1"/>
  <c r="M2670" i="1"/>
  <c r="R2670" i="1" s="1"/>
  <c r="AG2680" i="1"/>
  <c r="AC2680" i="1"/>
  <c r="AF2680" i="1"/>
  <c r="AE2680" i="1"/>
  <c r="AD2680" i="1"/>
  <c r="AD2394" i="1"/>
  <c r="AD2398" i="1"/>
  <c r="AD2402" i="1"/>
  <c r="AD2406" i="1"/>
  <c r="AD2410" i="1"/>
  <c r="AD2414" i="1"/>
  <c r="AD2418" i="1"/>
  <c r="AD2422" i="1"/>
  <c r="AD2426" i="1"/>
  <c r="AD2430" i="1"/>
  <c r="AD2434" i="1"/>
  <c r="AD2438" i="1"/>
  <c r="AD2442" i="1"/>
  <c r="AD2446" i="1"/>
  <c r="AD2450" i="1"/>
  <c r="AD2454" i="1"/>
  <c r="AD2458" i="1"/>
  <c r="AD2462" i="1"/>
  <c r="AD2466" i="1"/>
  <c r="AD2470" i="1"/>
  <c r="AD2474" i="1"/>
  <c r="AD2478" i="1"/>
  <c r="AD2482" i="1"/>
  <c r="AD2486" i="1"/>
  <c r="AD2490" i="1"/>
  <c r="AD2494" i="1"/>
  <c r="AD2498" i="1"/>
  <c r="AD2502" i="1"/>
  <c r="AD2506" i="1"/>
  <c r="AD2510" i="1"/>
  <c r="AD2514" i="1"/>
  <c r="AD2518" i="1"/>
  <c r="AD2522" i="1"/>
  <c r="AE2525" i="1"/>
  <c r="AD2526" i="1"/>
  <c r="AE2529" i="1"/>
  <c r="AD2530" i="1"/>
  <c r="AE2533" i="1"/>
  <c r="AD2534" i="1"/>
  <c r="AE2537" i="1"/>
  <c r="AD2538" i="1"/>
  <c r="AE2541" i="1"/>
  <c r="AD2542" i="1"/>
  <c r="AD2546" i="1"/>
  <c r="AD2550" i="1"/>
  <c r="AD2554" i="1"/>
  <c r="AD2558" i="1"/>
  <c r="AE2561" i="1"/>
  <c r="AD2562" i="1"/>
  <c r="AE2565" i="1"/>
  <c r="AD2566" i="1"/>
  <c r="AF2570" i="1"/>
  <c r="AE2574" i="1"/>
  <c r="AD2574" i="1"/>
  <c r="AF2578" i="1"/>
  <c r="AE2582" i="1"/>
  <c r="AD2582" i="1"/>
  <c r="AF2586" i="1"/>
  <c r="AE2590" i="1"/>
  <c r="AD2590" i="1"/>
  <c r="AF2594" i="1"/>
  <c r="AE2598" i="1"/>
  <c r="AD2598" i="1"/>
  <c r="AF2602" i="1"/>
  <c r="AE2606" i="1"/>
  <c r="AD2606" i="1"/>
  <c r="AF2610" i="1"/>
  <c r="AE2614" i="1"/>
  <c r="AF2614" i="1"/>
  <c r="AD2614" i="1"/>
  <c r="AC2619" i="1"/>
  <c r="AD2628" i="1"/>
  <c r="AD2631" i="1"/>
  <c r="AC2631" i="1"/>
  <c r="AG2631" i="1"/>
  <c r="AF2631" i="1"/>
  <c r="AE2634" i="1"/>
  <c r="AD2634" i="1"/>
  <c r="AC2634" i="1"/>
  <c r="Y2637" i="1"/>
  <c r="M2637" i="1"/>
  <c r="R2637" i="1" s="1"/>
  <c r="AD2643" i="1"/>
  <c r="AE2643" i="1"/>
  <c r="AC2643" i="1"/>
  <c r="AG2644" i="1"/>
  <c r="AC2644" i="1"/>
  <c r="AF2644" i="1"/>
  <c r="AE2649" i="1"/>
  <c r="AD2667" i="1"/>
  <c r="AG2667" i="1"/>
  <c r="AF2667" i="1"/>
  <c r="AE2667" i="1"/>
  <c r="AD2671" i="1"/>
  <c r="AF2671" i="1"/>
  <c r="AE2671" i="1"/>
  <c r="AC2671" i="1"/>
  <c r="AF2673" i="1"/>
  <c r="AE2673" i="1"/>
  <c r="AD2673" i="1"/>
  <c r="AC2673" i="1"/>
  <c r="AF2674" i="1"/>
  <c r="AE2678" i="1"/>
  <c r="AF2678" i="1"/>
  <c r="AD2678" i="1"/>
  <c r="AC2678" i="1"/>
  <c r="Y2681" i="1"/>
  <c r="M2681" i="1"/>
  <c r="R2681" i="1" s="1"/>
  <c r="AG2684" i="1"/>
  <c r="AC2684" i="1"/>
  <c r="AE2684" i="1"/>
  <c r="AD2684" i="1"/>
  <c r="AF2684" i="1"/>
  <c r="Y2686" i="1"/>
  <c r="M2686" i="1"/>
  <c r="R2686" i="1" s="1"/>
  <c r="AG2688" i="1"/>
  <c r="AC2688" i="1"/>
  <c r="AD2688" i="1"/>
  <c r="AF2688" i="1"/>
  <c r="AE2695" i="1"/>
  <c r="AE2706" i="1"/>
  <c r="AD2706" i="1"/>
  <c r="AF2715" i="1"/>
  <c r="AE2715" i="1"/>
  <c r="AG2715" i="1"/>
  <c r="AC2715" i="1"/>
  <c r="AG2726" i="1"/>
  <c r="AC2726" i="1"/>
  <c r="AF2726" i="1"/>
  <c r="AE2726" i="1"/>
  <c r="AE2764" i="1"/>
  <c r="AG2764" i="1"/>
  <c r="AC2764" i="1"/>
  <c r="AF2764" i="1"/>
  <c r="AD2764" i="1"/>
  <c r="AF2767" i="1"/>
  <c r="AD2767" i="1"/>
  <c r="AC2767" i="1"/>
  <c r="AG2767" i="1"/>
  <c r="AE2767" i="1"/>
  <c r="AF2824" i="1"/>
  <c r="AE2828" i="1"/>
  <c r="AG2828" i="1"/>
  <c r="AC2828" i="1"/>
  <c r="AF2828" i="1"/>
  <c r="AD2828" i="1"/>
  <c r="AF2831" i="1"/>
  <c r="AD2831" i="1"/>
  <c r="AC2831" i="1"/>
  <c r="AG2831" i="1"/>
  <c r="AE2831" i="1"/>
  <c r="AD2849" i="1"/>
  <c r="AG2849" i="1"/>
  <c r="AC2849" i="1"/>
  <c r="AF2849" i="1"/>
  <c r="AE2849" i="1"/>
  <c r="AE2394" i="1"/>
  <c r="AE2398" i="1"/>
  <c r="AE2402" i="1"/>
  <c r="AE2406" i="1"/>
  <c r="AE2410" i="1"/>
  <c r="AE2414" i="1"/>
  <c r="AE2418" i="1"/>
  <c r="AE2422" i="1"/>
  <c r="AE2426" i="1"/>
  <c r="AE2430" i="1"/>
  <c r="AE2434" i="1"/>
  <c r="AE2438" i="1"/>
  <c r="AE2442" i="1"/>
  <c r="AE2446" i="1"/>
  <c r="AE2450" i="1"/>
  <c r="AE2454" i="1"/>
  <c r="AE2458" i="1"/>
  <c r="AE2462" i="1"/>
  <c r="AE2466" i="1"/>
  <c r="AE2470" i="1"/>
  <c r="AE2474" i="1"/>
  <c r="AE2478" i="1"/>
  <c r="AE2482" i="1"/>
  <c r="AE2486" i="1"/>
  <c r="AE2490" i="1"/>
  <c r="AE2494" i="1"/>
  <c r="AE2498" i="1"/>
  <c r="AE2502" i="1"/>
  <c r="AE2506" i="1"/>
  <c r="AE2510" i="1"/>
  <c r="AE2514" i="1"/>
  <c r="AE2518" i="1"/>
  <c r="AE2522" i="1"/>
  <c r="AE2526" i="1"/>
  <c r="AE2530" i="1"/>
  <c r="AE2534" i="1"/>
  <c r="AE2538" i="1"/>
  <c r="AE2542" i="1"/>
  <c r="AE2546" i="1"/>
  <c r="AE2550" i="1"/>
  <c r="AE2554" i="1"/>
  <c r="AE2558" i="1"/>
  <c r="AE2562" i="1"/>
  <c r="AE2566" i="1"/>
  <c r="M2570" i="1"/>
  <c r="R2570" i="1" s="1"/>
  <c r="AG2572" i="1"/>
  <c r="AC2572" i="1"/>
  <c r="AF2572" i="1"/>
  <c r="AD2572" i="1"/>
  <c r="AC2573" i="1"/>
  <c r="M2578" i="1"/>
  <c r="R2578" i="1" s="1"/>
  <c r="AG2580" i="1"/>
  <c r="AC2580" i="1"/>
  <c r="AF2580" i="1"/>
  <c r="AD2580" i="1"/>
  <c r="AC2581" i="1"/>
  <c r="M2586" i="1"/>
  <c r="R2586" i="1" s="1"/>
  <c r="AG2588" i="1"/>
  <c r="AC2588" i="1"/>
  <c r="AF2588" i="1"/>
  <c r="AD2588" i="1"/>
  <c r="AC2589" i="1"/>
  <c r="M2594" i="1"/>
  <c r="R2594" i="1" s="1"/>
  <c r="AG2596" i="1"/>
  <c r="AC2596" i="1"/>
  <c r="AF2596" i="1"/>
  <c r="AD2596" i="1"/>
  <c r="AC2597" i="1"/>
  <c r="AC2598" i="1"/>
  <c r="M2602" i="1"/>
  <c r="R2602" i="1" s="1"/>
  <c r="AG2604" i="1"/>
  <c r="AC2604" i="1"/>
  <c r="AF2604" i="1"/>
  <c r="AD2604" i="1"/>
  <c r="AC2605" i="1"/>
  <c r="AC2606" i="1"/>
  <c r="M2610" i="1"/>
  <c r="R2610" i="1" s="1"/>
  <c r="AG2612" i="1"/>
  <c r="AC2612" i="1"/>
  <c r="AF2612" i="1"/>
  <c r="AD2612" i="1"/>
  <c r="AC2613" i="1"/>
  <c r="AC2614" i="1"/>
  <c r="AD2615" i="1"/>
  <c r="AC2615" i="1"/>
  <c r="AG2615" i="1"/>
  <c r="AF2615" i="1"/>
  <c r="AE2618" i="1"/>
  <c r="AD2618" i="1"/>
  <c r="AC2618" i="1"/>
  <c r="Y2621" i="1"/>
  <c r="AG2621" i="1" s="1"/>
  <c r="M2621" i="1"/>
  <c r="R2621" i="1" s="1"/>
  <c r="M2631" i="1"/>
  <c r="R2631" i="1" s="1"/>
  <c r="AD2633" i="1"/>
  <c r="AF2634" i="1"/>
  <c r="AD2635" i="1"/>
  <c r="AG2635" i="1"/>
  <c r="AF2635" i="1"/>
  <c r="AD2638" i="1"/>
  <c r="AF2641" i="1"/>
  <c r="AE2641" i="1"/>
  <c r="AD2641" i="1"/>
  <c r="AF2642" i="1"/>
  <c r="AF2643" i="1"/>
  <c r="AF2645" i="1"/>
  <c r="AD2645" i="1"/>
  <c r="AC2645" i="1"/>
  <c r="AE2645" i="1"/>
  <c r="AE2646" i="1"/>
  <c r="AF2646" i="1"/>
  <c r="AD2646" i="1"/>
  <c r="M2649" i="1"/>
  <c r="R2649" i="1" s="1"/>
  <c r="AD2649" i="1"/>
  <c r="AG2652" i="1"/>
  <c r="AC2652" i="1"/>
  <c r="AE2652" i="1"/>
  <c r="AD2652" i="1"/>
  <c r="AF2652" i="1"/>
  <c r="Y2654" i="1"/>
  <c r="AG2654" i="1" s="1"/>
  <c r="M2654" i="1"/>
  <c r="R2654" i="1" s="1"/>
  <c r="AG2656" i="1"/>
  <c r="AC2656" i="1"/>
  <c r="AD2656" i="1"/>
  <c r="AF2656" i="1"/>
  <c r="AG2660" i="1"/>
  <c r="AC2660" i="1"/>
  <c r="AF2660" i="1"/>
  <c r="AE2660" i="1"/>
  <c r="AC2667" i="1"/>
  <c r="AE2669" i="1"/>
  <c r="AG2671" i="1"/>
  <c r="AE2677" i="1"/>
  <c r="AG2678" i="1"/>
  <c r="AD2683" i="1"/>
  <c r="AG2683" i="1"/>
  <c r="AF2683" i="1"/>
  <c r="AE2683" i="1"/>
  <c r="AD2687" i="1"/>
  <c r="AF2687" i="1"/>
  <c r="AE2687" i="1"/>
  <c r="AC2687" i="1"/>
  <c r="AF2689" i="1"/>
  <c r="AE2689" i="1"/>
  <c r="AD2689" i="1"/>
  <c r="AC2689" i="1"/>
  <c r="AF2690" i="1"/>
  <c r="AE2694" i="1"/>
  <c r="AF2694" i="1"/>
  <c r="AD2694" i="1"/>
  <c r="AC2694" i="1"/>
  <c r="Y2697" i="1"/>
  <c r="M2697" i="1"/>
  <c r="R2697" i="1" s="1"/>
  <c r="AG2700" i="1"/>
  <c r="AC2700" i="1"/>
  <c r="AE2700" i="1"/>
  <c r="AD2700" i="1"/>
  <c r="AF2700" i="1"/>
  <c r="Y2702" i="1"/>
  <c r="AE2702" i="1" s="1"/>
  <c r="M2702" i="1"/>
  <c r="R2702" i="1" s="1"/>
  <c r="AG2704" i="1"/>
  <c r="AC2704" i="1"/>
  <c r="AD2704" i="1"/>
  <c r="AF2704" i="1"/>
  <c r="AE2708" i="1"/>
  <c r="AF2708" i="1"/>
  <c r="AD2708" i="1"/>
  <c r="AG2708" i="1"/>
  <c r="AC2708" i="1"/>
  <c r="AE2713" i="1"/>
  <c r="AE2724" i="1"/>
  <c r="AD2724" i="1"/>
  <c r="AF2724" i="1"/>
  <c r="AC2724" i="1"/>
  <c r="AG2724" i="1"/>
  <c r="AF2760" i="1"/>
  <c r="AE2570" i="1"/>
  <c r="AD2570" i="1"/>
  <c r="AE2578" i="1"/>
  <c r="AD2578" i="1"/>
  <c r="AE2586" i="1"/>
  <c r="AD2586" i="1"/>
  <c r="AE2594" i="1"/>
  <c r="AD2594" i="1"/>
  <c r="AE2602" i="1"/>
  <c r="AD2602" i="1"/>
  <c r="AE2610" i="1"/>
  <c r="AD2610" i="1"/>
  <c r="M2615" i="1"/>
  <c r="R2615" i="1" s="1"/>
  <c r="AD2619" i="1"/>
  <c r="AG2619" i="1"/>
  <c r="AF2619" i="1"/>
  <c r="AF2625" i="1"/>
  <c r="AE2625" i="1"/>
  <c r="AD2625" i="1"/>
  <c r="AG2625" i="1"/>
  <c r="M2626" i="1"/>
  <c r="R2626" i="1" s="1"/>
  <c r="AD2627" i="1"/>
  <c r="AE2627" i="1"/>
  <c r="AC2627" i="1"/>
  <c r="AG2628" i="1"/>
  <c r="AC2628" i="1"/>
  <c r="AF2628" i="1"/>
  <c r="AD2639" i="1"/>
  <c r="AF2639" i="1"/>
  <c r="AE2639" i="1"/>
  <c r="AG2640" i="1"/>
  <c r="AC2640" i="1"/>
  <c r="AD2640" i="1"/>
  <c r="AE2640" i="1"/>
  <c r="AD2647" i="1"/>
  <c r="AC2647" i="1"/>
  <c r="AG2647" i="1"/>
  <c r="AF2647" i="1"/>
  <c r="AG2648" i="1"/>
  <c r="AC2648" i="1"/>
  <c r="AF2648" i="1"/>
  <c r="AE2648" i="1"/>
  <c r="AD2651" i="1"/>
  <c r="AG2651" i="1"/>
  <c r="AF2651" i="1"/>
  <c r="AE2651" i="1"/>
  <c r="AD2655" i="1"/>
  <c r="AF2655" i="1"/>
  <c r="AE2655" i="1"/>
  <c r="AC2655" i="1"/>
  <c r="AF2657" i="1"/>
  <c r="AE2657" i="1"/>
  <c r="AD2657" i="1"/>
  <c r="AC2657" i="1"/>
  <c r="AG2664" i="1"/>
  <c r="AC2664" i="1"/>
  <c r="AF2664" i="1"/>
  <c r="AE2664" i="1"/>
  <c r="AD2664" i="1"/>
  <c r="AG2676" i="1"/>
  <c r="AC2676" i="1"/>
  <c r="AF2676" i="1"/>
  <c r="AE2676" i="1"/>
  <c r="AG2694" i="1"/>
  <c r="AD2699" i="1"/>
  <c r="AG2699" i="1"/>
  <c r="AF2699" i="1"/>
  <c r="AE2699" i="1"/>
  <c r="AD2703" i="1"/>
  <c r="AF2703" i="1"/>
  <c r="AE2703" i="1"/>
  <c r="AC2703" i="1"/>
  <c r="AF2705" i="1"/>
  <c r="AE2705" i="1"/>
  <c r="AD2705" i="1"/>
  <c r="AC2705" i="1"/>
  <c r="AF2728" i="1"/>
  <c r="AE2732" i="1"/>
  <c r="AG2732" i="1"/>
  <c r="AC2732" i="1"/>
  <c r="AF2732" i="1"/>
  <c r="AD2732" i="1"/>
  <c r="AF2735" i="1"/>
  <c r="AD2735" i="1"/>
  <c r="AC2735" i="1"/>
  <c r="AG2735" i="1"/>
  <c r="AE2735" i="1"/>
  <c r="AF2792" i="1"/>
  <c r="AE2796" i="1"/>
  <c r="AG2796" i="1"/>
  <c r="AC2796" i="1"/>
  <c r="AF2796" i="1"/>
  <c r="AD2796" i="1"/>
  <c r="AF2799" i="1"/>
  <c r="AD2799" i="1"/>
  <c r="AC2799" i="1"/>
  <c r="AG2799" i="1"/>
  <c r="AE2799" i="1"/>
  <c r="AC2859" i="1"/>
  <c r="AE2650" i="1"/>
  <c r="AG2650" i="1"/>
  <c r="AD2659" i="1"/>
  <c r="AG2659" i="1"/>
  <c r="AF2661" i="1"/>
  <c r="AG2661" i="1"/>
  <c r="AE2666" i="1"/>
  <c r="AG2666" i="1"/>
  <c r="AD2669" i="1"/>
  <c r="AD2674" i="1"/>
  <c r="AD2675" i="1"/>
  <c r="AG2675" i="1"/>
  <c r="AF2677" i="1"/>
  <c r="AG2677" i="1"/>
  <c r="AE2682" i="1"/>
  <c r="AG2682" i="1"/>
  <c r="AD2685" i="1"/>
  <c r="AD2690" i="1"/>
  <c r="AD2691" i="1"/>
  <c r="AG2691" i="1"/>
  <c r="AF2693" i="1"/>
  <c r="AG2693" i="1"/>
  <c r="AE2698" i="1"/>
  <c r="AG2698" i="1"/>
  <c r="AD2701" i="1"/>
  <c r="AG2710" i="1"/>
  <c r="AC2710" i="1"/>
  <c r="AF2710" i="1"/>
  <c r="AE2710" i="1"/>
  <c r="AD2710" i="1"/>
  <c r="AD2717" i="1"/>
  <c r="AG2717" i="1"/>
  <c r="AC2717" i="1"/>
  <c r="Y2719" i="1"/>
  <c r="M2719" i="1"/>
  <c r="R2719" i="1" s="1"/>
  <c r="AD2721" i="1"/>
  <c r="AG2721" i="1"/>
  <c r="AC2721" i="1"/>
  <c r="AE2721" i="1"/>
  <c r="AD2723" i="1"/>
  <c r="AG2738" i="1"/>
  <c r="AC2738" i="1"/>
  <c r="AE2738" i="1"/>
  <c r="AF2738" i="1"/>
  <c r="AD2738" i="1"/>
  <c r="AF2752" i="1"/>
  <c r="AE2756" i="1"/>
  <c r="AG2756" i="1"/>
  <c r="AC2756" i="1"/>
  <c r="AF2756" i="1"/>
  <c r="AG2770" i="1"/>
  <c r="AC2770" i="1"/>
  <c r="AE2770" i="1"/>
  <c r="AF2770" i="1"/>
  <c r="AD2770" i="1"/>
  <c r="AF2784" i="1"/>
  <c r="AE2788" i="1"/>
  <c r="AG2788" i="1"/>
  <c r="AC2788" i="1"/>
  <c r="AF2788" i="1"/>
  <c r="AD2789" i="1"/>
  <c r="AF2789" i="1"/>
  <c r="AG2789" i="1"/>
  <c r="AE2789" i="1"/>
  <c r="AG2802" i="1"/>
  <c r="AC2802" i="1"/>
  <c r="AE2802" i="1"/>
  <c r="AF2802" i="1"/>
  <c r="AD2802" i="1"/>
  <c r="AF2816" i="1"/>
  <c r="AE2820" i="1"/>
  <c r="AG2820" i="1"/>
  <c r="AC2820" i="1"/>
  <c r="AF2820" i="1"/>
  <c r="AD2821" i="1"/>
  <c r="AF2821" i="1"/>
  <c r="AG2821" i="1"/>
  <c r="AE2821" i="1"/>
  <c r="AE2856" i="1"/>
  <c r="AD2856" i="1"/>
  <c r="AG2856" i="1"/>
  <c r="AC2856" i="1"/>
  <c r="AF2856" i="1"/>
  <c r="AE2907" i="1"/>
  <c r="AD2916" i="1"/>
  <c r="AD2919" i="1"/>
  <c r="AG2919" i="1"/>
  <c r="AC2919" i="1"/>
  <c r="AF2919" i="1"/>
  <c r="AE2919" i="1"/>
  <c r="AF2633" i="1"/>
  <c r="AG2633" i="1"/>
  <c r="AE2638" i="1"/>
  <c r="AG2638" i="1"/>
  <c r="AF2649" i="1"/>
  <c r="AG2649" i="1"/>
  <c r="AC2650" i="1"/>
  <c r="M2653" i="1"/>
  <c r="R2653" i="1" s="1"/>
  <c r="AC2659" i="1"/>
  <c r="AC2661" i="1"/>
  <c r="AD2663" i="1"/>
  <c r="AG2663" i="1"/>
  <c r="AC2666" i="1"/>
  <c r="M2669" i="1"/>
  <c r="R2669" i="1" s="1"/>
  <c r="AC2675" i="1"/>
  <c r="AC2677" i="1"/>
  <c r="AD2679" i="1"/>
  <c r="AG2679" i="1"/>
  <c r="AC2682" i="1"/>
  <c r="M2685" i="1"/>
  <c r="R2685" i="1" s="1"/>
  <c r="AC2691" i="1"/>
  <c r="AC2693" i="1"/>
  <c r="AD2695" i="1"/>
  <c r="AG2695" i="1"/>
  <c r="AC2698" i="1"/>
  <c r="M2701" i="1"/>
  <c r="R2701" i="1" s="1"/>
  <c r="AE2712" i="1"/>
  <c r="AD2712" i="1"/>
  <c r="AG2712" i="1"/>
  <c r="AF2712" i="1"/>
  <c r="AG2714" i="1"/>
  <c r="AC2714" i="1"/>
  <c r="AF2714" i="1"/>
  <c r="AE2714" i="1"/>
  <c r="AE2717" i="1"/>
  <c r="M2723" i="1"/>
  <c r="R2723" i="1" s="1"/>
  <c r="AD2725" i="1"/>
  <c r="AG2725" i="1"/>
  <c r="AC2725" i="1"/>
  <c r="AF2725" i="1"/>
  <c r="AE2725" i="1"/>
  <c r="AF2743" i="1"/>
  <c r="AD2743" i="1"/>
  <c r="AC2743" i="1"/>
  <c r="AE2743" i="1"/>
  <c r="AD2756" i="1"/>
  <c r="AC2757" i="1"/>
  <c r="Y2761" i="1"/>
  <c r="M2761" i="1"/>
  <c r="R2761" i="1" s="1"/>
  <c r="AF2775" i="1"/>
  <c r="AD2775" i="1"/>
  <c r="AC2775" i="1"/>
  <c r="AE2775" i="1"/>
  <c r="AD2788" i="1"/>
  <c r="AC2789" i="1"/>
  <c r="AF2807" i="1"/>
  <c r="AD2807" i="1"/>
  <c r="AC2807" i="1"/>
  <c r="AE2807" i="1"/>
  <c r="AD2820" i="1"/>
  <c r="AC2821" i="1"/>
  <c r="AD2841" i="1"/>
  <c r="AG2841" i="1"/>
  <c r="AE2841" i="1"/>
  <c r="AC2841" i="1"/>
  <c r="AC2843" i="1"/>
  <c r="AE2872" i="1"/>
  <c r="AD2872" i="1"/>
  <c r="AG2872" i="1"/>
  <c r="AC2872" i="1"/>
  <c r="AF2872" i="1"/>
  <c r="AC2622" i="1"/>
  <c r="AE2626" i="1"/>
  <c r="AG2626" i="1"/>
  <c r="M2627" i="1"/>
  <c r="R2627" i="1" s="1"/>
  <c r="AC2638" i="1"/>
  <c r="M2641" i="1"/>
  <c r="R2641" i="1" s="1"/>
  <c r="AE2642" i="1"/>
  <c r="AG2642" i="1"/>
  <c r="M2643" i="1"/>
  <c r="R2643" i="1" s="1"/>
  <c r="AC2649" i="1"/>
  <c r="AD2650" i="1"/>
  <c r="AF2653" i="1"/>
  <c r="AG2653" i="1"/>
  <c r="AC2654" i="1"/>
  <c r="AE2658" i="1"/>
  <c r="AG2658" i="1"/>
  <c r="M2659" i="1"/>
  <c r="R2659" i="1" s="1"/>
  <c r="AE2659" i="1"/>
  <c r="AD2661" i="1"/>
  <c r="AC2663" i="1"/>
  <c r="AC2665" i="1"/>
  <c r="AD2666" i="1"/>
  <c r="AF2669" i="1"/>
  <c r="AG2669" i="1"/>
  <c r="AC2670" i="1"/>
  <c r="M2673" i="1"/>
  <c r="R2673" i="1" s="1"/>
  <c r="AE2674" i="1"/>
  <c r="AG2674" i="1"/>
  <c r="M2675" i="1"/>
  <c r="R2675" i="1" s="1"/>
  <c r="AE2675" i="1"/>
  <c r="AD2677" i="1"/>
  <c r="AC2679" i="1"/>
  <c r="AC2681" i="1"/>
  <c r="AD2682" i="1"/>
  <c r="AF2685" i="1"/>
  <c r="AG2685" i="1"/>
  <c r="AC2686" i="1"/>
  <c r="M2689" i="1"/>
  <c r="R2689" i="1" s="1"/>
  <c r="AE2690" i="1"/>
  <c r="AG2690" i="1"/>
  <c r="M2691" i="1"/>
  <c r="R2691" i="1" s="1"/>
  <c r="AE2691" i="1"/>
  <c r="AD2693" i="1"/>
  <c r="AC2695" i="1"/>
  <c r="AC2697" i="1"/>
  <c r="AD2698" i="1"/>
  <c r="AF2701" i="1"/>
  <c r="AG2701" i="1"/>
  <c r="AC2702" i="1"/>
  <c r="M2705" i="1"/>
  <c r="R2705" i="1" s="1"/>
  <c r="AG2706" i="1"/>
  <c r="AC2706" i="1"/>
  <c r="AF2706" i="1"/>
  <c r="M2707" i="1"/>
  <c r="R2707" i="1" s="1"/>
  <c r="AD2709" i="1"/>
  <c r="AG2709" i="1"/>
  <c r="AC2709" i="1"/>
  <c r="AF2709" i="1"/>
  <c r="AE2709" i="1"/>
  <c r="AF2711" i="1"/>
  <c r="AE2711" i="1"/>
  <c r="AG2711" i="1"/>
  <c r="AD2711" i="1"/>
  <c r="AC2712" i="1"/>
  <c r="AD2713" i="1"/>
  <c r="AG2713" i="1"/>
  <c r="AC2713" i="1"/>
  <c r="AF2713" i="1"/>
  <c r="AF2717" i="1"/>
  <c r="AF2721" i="1"/>
  <c r="AG2723" i="1"/>
  <c r="M2724" i="1"/>
  <c r="R2724" i="1" s="1"/>
  <c r="AG2727" i="1"/>
  <c r="AD2733" i="1"/>
  <c r="AF2733" i="1"/>
  <c r="AG2733" i="1"/>
  <c r="AE2733" i="1"/>
  <c r="AC2733" i="1"/>
  <c r="AG2743" i="1"/>
  <c r="AG2746" i="1"/>
  <c r="AC2746" i="1"/>
  <c r="AE2746" i="1"/>
  <c r="AF2746" i="1"/>
  <c r="AD2746" i="1"/>
  <c r="AG2759" i="1"/>
  <c r="AC2765" i="1"/>
  <c r="Y2769" i="1"/>
  <c r="M2769" i="1"/>
  <c r="R2769" i="1" s="1"/>
  <c r="AG2775" i="1"/>
  <c r="AG2778" i="1"/>
  <c r="AC2778" i="1"/>
  <c r="AE2778" i="1"/>
  <c r="AF2778" i="1"/>
  <c r="AD2778" i="1"/>
  <c r="AG2791" i="1"/>
  <c r="AD2797" i="1"/>
  <c r="AF2797" i="1"/>
  <c r="AG2797" i="1"/>
  <c r="AE2797" i="1"/>
  <c r="AC2797" i="1"/>
  <c r="Y2801" i="1"/>
  <c r="M2801" i="1"/>
  <c r="R2801" i="1" s="1"/>
  <c r="AG2810" i="1"/>
  <c r="AC2810" i="1"/>
  <c r="AE2810" i="1"/>
  <c r="AF2810" i="1"/>
  <c r="AD2810" i="1"/>
  <c r="AG2823" i="1"/>
  <c r="AD2829" i="1"/>
  <c r="AF2829" i="1"/>
  <c r="AG2829" i="1"/>
  <c r="AE2829" i="1"/>
  <c r="AC2829" i="1"/>
  <c r="AF2841" i="1"/>
  <c r="AD2842" i="1"/>
  <c r="Y2875" i="1"/>
  <c r="M2875" i="1"/>
  <c r="R2875" i="1" s="1"/>
  <c r="AF2876" i="1"/>
  <c r="M2716" i="1"/>
  <c r="R2716" i="1" s="1"/>
  <c r="AE2720" i="1"/>
  <c r="AD2720" i="1"/>
  <c r="AG2722" i="1"/>
  <c r="AC2722" i="1"/>
  <c r="AF2722" i="1"/>
  <c r="AD2722" i="1"/>
  <c r="AF2723" i="1"/>
  <c r="AE2723" i="1"/>
  <c r="AC2723" i="1"/>
  <c r="AE2740" i="1"/>
  <c r="AG2740" i="1"/>
  <c r="AC2740" i="1"/>
  <c r="AF2740" i="1"/>
  <c r="AD2741" i="1"/>
  <c r="AF2741" i="1"/>
  <c r="AG2741" i="1"/>
  <c r="AF2751" i="1"/>
  <c r="AD2751" i="1"/>
  <c r="AC2751" i="1"/>
  <c r="AG2754" i="1"/>
  <c r="AC2754" i="1"/>
  <c r="AE2754" i="1"/>
  <c r="AF2754" i="1"/>
  <c r="AD2754" i="1"/>
  <c r="AE2772" i="1"/>
  <c r="AG2772" i="1"/>
  <c r="AC2772" i="1"/>
  <c r="AF2772" i="1"/>
  <c r="Y2777" i="1"/>
  <c r="M2777" i="1"/>
  <c r="R2777" i="1" s="1"/>
  <c r="AF2783" i="1"/>
  <c r="AD2783" i="1"/>
  <c r="AC2783" i="1"/>
  <c r="M2785" i="1"/>
  <c r="R2785" i="1" s="1"/>
  <c r="AG2786" i="1"/>
  <c r="AC2786" i="1"/>
  <c r="AE2786" i="1"/>
  <c r="AF2786" i="1"/>
  <c r="AD2786" i="1"/>
  <c r="AE2804" i="1"/>
  <c r="AG2804" i="1"/>
  <c r="AC2804" i="1"/>
  <c r="AF2804" i="1"/>
  <c r="AD2805" i="1"/>
  <c r="AF2805" i="1"/>
  <c r="AG2805" i="1"/>
  <c r="Y2811" i="1"/>
  <c r="M2811" i="1"/>
  <c r="R2811" i="1" s="1"/>
  <c r="AC2815" i="1"/>
  <c r="M2817" i="1"/>
  <c r="R2817" i="1" s="1"/>
  <c r="AG2818" i="1"/>
  <c r="AC2818" i="1"/>
  <c r="AE2818" i="1"/>
  <c r="AF2818" i="1"/>
  <c r="AD2818" i="1"/>
  <c r="AG2838" i="1"/>
  <c r="AC2838" i="1"/>
  <c r="AD2838" i="1"/>
  <c r="AF2838" i="1"/>
  <c r="Y2839" i="1"/>
  <c r="M2839" i="1"/>
  <c r="R2839" i="1" s="1"/>
  <c r="AG2850" i="1"/>
  <c r="AC2850" i="1"/>
  <c r="AF2850" i="1"/>
  <c r="AE2850" i="1"/>
  <c r="AD2850" i="1"/>
  <c r="AD2865" i="1"/>
  <c r="AG2865" i="1"/>
  <c r="AC2865" i="1"/>
  <c r="AF2865" i="1"/>
  <c r="AE2891" i="1"/>
  <c r="AD2900" i="1"/>
  <c r="AD2903" i="1"/>
  <c r="AG2903" i="1"/>
  <c r="AC2903" i="1"/>
  <c r="AF2903" i="1"/>
  <c r="AE2903" i="1"/>
  <c r="M2712" i="1"/>
  <c r="R2712" i="1" s="1"/>
  <c r="AE2716" i="1"/>
  <c r="AD2716" i="1"/>
  <c r="AG2718" i="1"/>
  <c r="AC2718" i="1"/>
  <c r="AF2718" i="1"/>
  <c r="AD2718" i="1"/>
  <c r="AC2719" i="1"/>
  <c r="M2729" i="1"/>
  <c r="R2729" i="1" s="1"/>
  <c r="AG2730" i="1"/>
  <c r="AC2730" i="1"/>
  <c r="AE2730" i="1"/>
  <c r="AF2730" i="1"/>
  <c r="AD2730" i="1"/>
  <c r="AE2748" i="1"/>
  <c r="AG2748" i="1"/>
  <c r="AC2748" i="1"/>
  <c r="AF2748" i="1"/>
  <c r="AD2749" i="1"/>
  <c r="AF2749" i="1"/>
  <c r="AG2749" i="1"/>
  <c r="Y2753" i="1"/>
  <c r="AD2753" i="1" s="1"/>
  <c r="M2753" i="1"/>
  <c r="R2753" i="1" s="1"/>
  <c r="AF2759" i="1"/>
  <c r="AD2759" i="1"/>
  <c r="AC2759" i="1"/>
  <c r="AG2762" i="1"/>
  <c r="AC2762" i="1"/>
  <c r="AE2762" i="1"/>
  <c r="AF2762" i="1"/>
  <c r="AD2762" i="1"/>
  <c r="AE2780" i="1"/>
  <c r="AG2780" i="1"/>
  <c r="AC2780" i="1"/>
  <c r="AF2780" i="1"/>
  <c r="AF2791" i="1"/>
  <c r="AD2791" i="1"/>
  <c r="AC2791" i="1"/>
  <c r="M2793" i="1"/>
  <c r="R2793" i="1" s="1"/>
  <c r="AG2794" i="1"/>
  <c r="AC2794" i="1"/>
  <c r="AE2794" i="1"/>
  <c r="AF2794" i="1"/>
  <c r="AD2794" i="1"/>
  <c r="AE2812" i="1"/>
  <c r="AG2812" i="1"/>
  <c r="AC2812" i="1"/>
  <c r="AF2812" i="1"/>
  <c r="AD2813" i="1"/>
  <c r="AF2813" i="1"/>
  <c r="AG2813" i="1"/>
  <c r="Y2819" i="1"/>
  <c r="M2819" i="1"/>
  <c r="R2819" i="1" s="1"/>
  <c r="AF2823" i="1"/>
  <c r="AD2823" i="1"/>
  <c r="AC2823" i="1"/>
  <c r="M2825" i="1"/>
  <c r="R2825" i="1" s="1"/>
  <c r="AG2826" i="1"/>
  <c r="AC2826" i="1"/>
  <c r="AE2826" i="1"/>
  <c r="AF2826" i="1"/>
  <c r="AD2826" i="1"/>
  <c r="Y2836" i="1"/>
  <c r="M2836" i="1"/>
  <c r="R2836" i="1" s="1"/>
  <c r="AC2836" i="1"/>
  <c r="AD2837" i="1"/>
  <c r="AF2837" i="1"/>
  <c r="AC2837" i="1"/>
  <c r="AG2837" i="1"/>
  <c r="AD2845" i="1"/>
  <c r="AG2845" i="1"/>
  <c r="AC2845" i="1"/>
  <c r="AF2845" i="1"/>
  <c r="AE2845" i="1"/>
  <c r="AC2851" i="1"/>
  <c r="AE2864" i="1"/>
  <c r="AD2864" i="1"/>
  <c r="AG2864" i="1"/>
  <c r="AC2864" i="1"/>
  <c r="AF2864" i="1"/>
  <c r="AC2867" i="1"/>
  <c r="AF2727" i="1"/>
  <c r="AD2727" i="1"/>
  <c r="AE2728" i="1"/>
  <c r="AG2728" i="1"/>
  <c r="AC2728" i="1"/>
  <c r="AF2731" i="1"/>
  <c r="AD2731" i="1"/>
  <c r="AE2731" i="1"/>
  <c r="AE2736" i="1"/>
  <c r="AG2736" i="1"/>
  <c r="AC2736" i="1"/>
  <c r="AF2739" i="1"/>
  <c r="AD2739" i="1"/>
  <c r="AE2739" i="1"/>
  <c r="AE2744" i="1"/>
  <c r="AG2744" i="1"/>
  <c r="AC2744" i="1"/>
  <c r="AF2747" i="1"/>
  <c r="AD2747" i="1"/>
  <c r="AE2747" i="1"/>
  <c r="AE2752" i="1"/>
  <c r="AG2752" i="1"/>
  <c r="AC2752" i="1"/>
  <c r="AF2755" i="1"/>
  <c r="AD2755" i="1"/>
  <c r="AE2755" i="1"/>
  <c r="AE2760" i="1"/>
  <c r="AG2760" i="1"/>
  <c r="AC2760" i="1"/>
  <c r="AF2763" i="1"/>
  <c r="AD2763" i="1"/>
  <c r="AE2763" i="1"/>
  <c r="AE2768" i="1"/>
  <c r="AG2768" i="1"/>
  <c r="AC2768" i="1"/>
  <c r="AF2771" i="1"/>
  <c r="AD2771" i="1"/>
  <c r="AE2771" i="1"/>
  <c r="AE2776" i="1"/>
  <c r="AG2776" i="1"/>
  <c r="AC2776" i="1"/>
  <c r="AF2779" i="1"/>
  <c r="AD2779" i="1"/>
  <c r="AE2779" i="1"/>
  <c r="AE2784" i="1"/>
  <c r="AG2784" i="1"/>
  <c r="AC2784" i="1"/>
  <c r="AF2787" i="1"/>
  <c r="AD2787" i="1"/>
  <c r="AE2787" i="1"/>
  <c r="AE2792" i="1"/>
  <c r="AG2792" i="1"/>
  <c r="AC2792" i="1"/>
  <c r="AF2795" i="1"/>
  <c r="AD2795" i="1"/>
  <c r="AE2795" i="1"/>
  <c r="AE2800" i="1"/>
  <c r="AG2800" i="1"/>
  <c r="AC2800" i="1"/>
  <c r="AF2803" i="1"/>
  <c r="AD2803" i="1"/>
  <c r="AE2803" i="1"/>
  <c r="AE2808" i="1"/>
  <c r="AG2808" i="1"/>
  <c r="AC2808" i="1"/>
  <c r="Y2815" i="1"/>
  <c r="M2815" i="1"/>
  <c r="R2815" i="1" s="1"/>
  <c r="AE2816" i="1"/>
  <c r="AG2816" i="1"/>
  <c r="AC2816" i="1"/>
  <c r="AE2824" i="1"/>
  <c r="AG2824" i="1"/>
  <c r="AC2824" i="1"/>
  <c r="AF2827" i="1"/>
  <c r="AD2827" i="1"/>
  <c r="AE2827" i="1"/>
  <c r="AE2832" i="1"/>
  <c r="AG2832" i="1"/>
  <c r="AC2832" i="1"/>
  <c r="AG2834" i="1"/>
  <c r="AC2834" i="1"/>
  <c r="AE2834" i="1"/>
  <c r="AF2834" i="1"/>
  <c r="AG2842" i="1"/>
  <c r="AC2842" i="1"/>
  <c r="AF2842" i="1"/>
  <c r="AE2842" i="1"/>
  <c r="Y2843" i="1"/>
  <c r="M2843" i="1"/>
  <c r="R2843" i="1" s="1"/>
  <c r="AE2848" i="1"/>
  <c r="AD2848" i="1"/>
  <c r="AG2848" i="1"/>
  <c r="AC2848" i="1"/>
  <c r="AF2848" i="1"/>
  <c r="Y2859" i="1"/>
  <c r="M2859" i="1"/>
  <c r="R2859" i="1" s="1"/>
  <c r="AF2860" i="1"/>
  <c r="Y2867" i="1"/>
  <c r="M2867" i="1"/>
  <c r="R2867" i="1" s="1"/>
  <c r="AF2868" i="1"/>
  <c r="AG2874" i="1"/>
  <c r="AC2874" i="1"/>
  <c r="AF2874" i="1"/>
  <c r="AE2874" i="1"/>
  <c r="AD2874" i="1"/>
  <c r="AC2727" i="1"/>
  <c r="AD2728" i="1"/>
  <c r="AD2729" i="1"/>
  <c r="AF2729" i="1"/>
  <c r="AE2729" i="1"/>
  <c r="M2731" i="1"/>
  <c r="R2731" i="1" s="1"/>
  <c r="AG2731" i="1"/>
  <c r="AG2734" i="1"/>
  <c r="AC2734" i="1"/>
  <c r="AE2734" i="1"/>
  <c r="AD2736" i="1"/>
  <c r="AD2737" i="1"/>
  <c r="AF2737" i="1"/>
  <c r="AE2737" i="1"/>
  <c r="M2739" i="1"/>
  <c r="R2739" i="1" s="1"/>
  <c r="AG2739" i="1"/>
  <c r="AG2742" i="1"/>
  <c r="AC2742" i="1"/>
  <c r="AE2742" i="1"/>
  <c r="AD2744" i="1"/>
  <c r="AD2745" i="1"/>
  <c r="AF2745" i="1"/>
  <c r="AE2745" i="1"/>
  <c r="M2747" i="1"/>
  <c r="R2747" i="1" s="1"/>
  <c r="AG2747" i="1"/>
  <c r="AG2750" i="1"/>
  <c r="AC2750" i="1"/>
  <c r="AE2750" i="1"/>
  <c r="AD2752" i="1"/>
  <c r="M2755" i="1"/>
  <c r="R2755" i="1" s="1"/>
  <c r="AG2755" i="1"/>
  <c r="Y2757" i="1"/>
  <c r="M2757" i="1"/>
  <c r="R2757" i="1" s="1"/>
  <c r="AG2758" i="1"/>
  <c r="AC2758" i="1"/>
  <c r="AE2758" i="1"/>
  <c r="AD2760" i="1"/>
  <c r="M2763" i="1"/>
  <c r="R2763" i="1" s="1"/>
  <c r="AG2763" i="1"/>
  <c r="Y2765" i="1"/>
  <c r="M2765" i="1"/>
  <c r="R2765" i="1" s="1"/>
  <c r="AG2766" i="1"/>
  <c r="AC2766" i="1"/>
  <c r="AE2766" i="1"/>
  <c r="AD2768" i="1"/>
  <c r="M2771" i="1"/>
  <c r="R2771" i="1" s="1"/>
  <c r="AG2771" i="1"/>
  <c r="Y2773" i="1"/>
  <c r="AD2773" i="1" s="1"/>
  <c r="M2773" i="1"/>
  <c r="R2773" i="1" s="1"/>
  <c r="AG2774" i="1"/>
  <c r="AC2774" i="1"/>
  <c r="AE2774" i="1"/>
  <c r="AD2776" i="1"/>
  <c r="M2779" i="1"/>
  <c r="R2779" i="1" s="1"/>
  <c r="AG2779" i="1"/>
  <c r="Y2781" i="1"/>
  <c r="AD2781" i="1" s="1"/>
  <c r="M2781" i="1"/>
  <c r="R2781" i="1" s="1"/>
  <c r="AG2782" i="1"/>
  <c r="AC2782" i="1"/>
  <c r="AE2782" i="1"/>
  <c r="AD2784" i="1"/>
  <c r="AD2785" i="1"/>
  <c r="AF2785" i="1"/>
  <c r="AE2785" i="1"/>
  <c r="M2787" i="1"/>
  <c r="R2787" i="1" s="1"/>
  <c r="AG2787" i="1"/>
  <c r="AG2790" i="1"/>
  <c r="AC2790" i="1"/>
  <c r="AE2790" i="1"/>
  <c r="AD2792" i="1"/>
  <c r="AD2793" i="1"/>
  <c r="AF2793" i="1"/>
  <c r="AE2793" i="1"/>
  <c r="M2795" i="1"/>
  <c r="R2795" i="1" s="1"/>
  <c r="AG2795" i="1"/>
  <c r="AG2798" i="1"/>
  <c r="AC2798" i="1"/>
  <c r="AE2798" i="1"/>
  <c r="AD2800" i="1"/>
  <c r="M2803" i="1"/>
  <c r="R2803" i="1" s="1"/>
  <c r="AG2803" i="1"/>
  <c r="AG2806" i="1"/>
  <c r="AC2806" i="1"/>
  <c r="AE2806" i="1"/>
  <c r="AD2808" i="1"/>
  <c r="AD2809" i="1"/>
  <c r="AF2809" i="1"/>
  <c r="AE2809" i="1"/>
  <c r="AG2814" i="1"/>
  <c r="AC2814" i="1"/>
  <c r="AE2814" i="1"/>
  <c r="AD2816" i="1"/>
  <c r="AD2817" i="1"/>
  <c r="AF2817" i="1"/>
  <c r="AE2817" i="1"/>
  <c r="AG2822" i="1"/>
  <c r="AC2822" i="1"/>
  <c r="AE2822" i="1"/>
  <c r="AD2824" i="1"/>
  <c r="AD2825" i="1"/>
  <c r="AF2825" i="1"/>
  <c r="AE2825" i="1"/>
  <c r="M2827" i="1"/>
  <c r="R2827" i="1" s="1"/>
  <c r="AG2827" i="1"/>
  <c r="AG2830" i="1"/>
  <c r="AC2830" i="1"/>
  <c r="AE2830" i="1"/>
  <c r="AD2832" i="1"/>
  <c r="AD2833" i="1"/>
  <c r="AF2833" i="1"/>
  <c r="AE2833" i="1"/>
  <c r="AC2839" i="1"/>
  <c r="Y2851" i="1"/>
  <c r="M2851" i="1"/>
  <c r="R2851" i="1" s="1"/>
  <c r="AF2852" i="1"/>
  <c r="AG2858" i="1"/>
  <c r="AC2858" i="1"/>
  <c r="AF2858" i="1"/>
  <c r="AE2858" i="1"/>
  <c r="AD2858" i="1"/>
  <c r="AG2866" i="1"/>
  <c r="AC2866" i="1"/>
  <c r="AF2866" i="1"/>
  <c r="AE2866" i="1"/>
  <c r="AD2866" i="1"/>
  <c r="AD2873" i="1"/>
  <c r="AG2873" i="1"/>
  <c r="AC2873" i="1"/>
  <c r="AF2873" i="1"/>
  <c r="AF2885" i="1"/>
  <c r="AD2885" i="1"/>
  <c r="AC2885" i="1"/>
  <c r="AG2885" i="1"/>
  <c r="AE2885" i="1"/>
  <c r="AE2894" i="1"/>
  <c r="AD2894" i="1"/>
  <c r="AG2894" i="1"/>
  <c r="AC2894" i="1"/>
  <c r="AF2894" i="1"/>
  <c r="AE2910" i="1"/>
  <c r="AD2910" i="1"/>
  <c r="AG2910" i="1"/>
  <c r="AC2910" i="1"/>
  <c r="AF2910" i="1"/>
  <c r="AE2926" i="1"/>
  <c r="AD2926" i="1"/>
  <c r="AG2926" i="1"/>
  <c r="AC2926" i="1"/>
  <c r="AF2926" i="1"/>
  <c r="AE2844" i="1"/>
  <c r="AD2844" i="1"/>
  <c r="AG2846" i="1"/>
  <c r="AC2846" i="1"/>
  <c r="AF2846" i="1"/>
  <c r="AD2846" i="1"/>
  <c r="AE2852" i="1"/>
  <c r="AD2852" i="1"/>
  <c r="AG2852" i="1"/>
  <c r="AC2852" i="1"/>
  <c r="AD2853" i="1"/>
  <c r="AG2853" i="1"/>
  <c r="AC2853" i="1"/>
  <c r="AF2853" i="1"/>
  <c r="AG2854" i="1"/>
  <c r="AC2854" i="1"/>
  <c r="AF2854" i="1"/>
  <c r="AE2854" i="1"/>
  <c r="Y2855" i="1"/>
  <c r="M2855" i="1"/>
  <c r="R2855" i="1" s="1"/>
  <c r="AE2868" i="1"/>
  <c r="AD2868" i="1"/>
  <c r="AG2868" i="1"/>
  <c r="AC2868" i="1"/>
  <c r="AD2869" i="1"/>
  <c r="AG2869" i="1"/>
  <c r="AC2869" i="1"/>
  <c r="AF2869" i="1"/>
  <c r="AG2870" i="1"/>
  <c r="AC2870" i="1"/>
  <c r="AF2870" i="1"/>
  <c r="AE2870" i="1"/>
  <c r="Y2871" i="1"/>
  <c r="AE2871" i="1" s="1"/>
  <c r="M2871" i="1"/>
  <c r="R2871" i="1" s="1"/>
  <c r="AD2892" i="1"/>
  <c r="AD2895" i="1"/>
  <c r="AG2895" i="1"/>
  <c r="AC2895" i="1"/>
  <c r="AF2895" i="1"/>
  <c r="AE2895" i="1"/>
  <c r="AE2902" i="1"/>
  <c r="AD2902" i="1"/>
  <c r="AG2902" i="1"/>
  <c r="AC2902" i="1"/>
  <c r="AF2902" i="1"/>
  <c r="AD2924" i="1"/>
  <c r="AD2927" i="1"/>
  <c r="AG2927" i="1"/>
  <c r="AC2927" i="1"/>
  <c r="AF2927" i="1"/>
  <c r="AE2927" i="1"/>
  <c r="AD2943" i="1"/>
  <c r="AG2943" i="1"/>
  <c r="AC2943" i="1"/>
  <c r="AF2943" i="1"/>
  <c r="AE2943" i="1"/>
  <c r="AE2939" i="1"/>
  <c r="AF2835" i="1"/>
  <c r="AG2835" i="1"/>
  <c r="AE2840" i="1"/>
  <c r="AG2840" i="1"/>
  <c r="M2841" i="1"/>
  <c r="R2841" i="1" s="1"/>
  <c r="Y2847" i="1"/>
  <c r="M2847" i="1"/>
  <c r="R2847" i="1" s="1"/>
  <c r="AE2860" i="1"/>
  <c r="AD2860" i="1"/>
  <c r="AG2860" i="1"/>
  <c r="AC2860" i="1"/>
  <c r="AD2861" i="1"/>
  <c r="AG2861" i="1"/>
  <c r="AC2861" i="1"/>
  <c r="AF2861" i="1"/>
  <c r="AG2862" i="1"/>
  <c r="AC2862" i="1"/>
  <c r="AF2862" i="1"/>
  <c r="AE2862" i="1"/>
  <c r="Y2863" i="1"/>
  <c r="M2863" i="1"/>
  <c r="R2863" i="1" s="1"/>
  <c r="AE2876" i="1"/>
  <c r="AD2876" i="1"/>
  <c r="AG2876" i="1"/>
  <c r="AC2876" i="1"/>
  <c r="AD2877" i="1"/>
  <c r="AE2877" i="1"/>
  <c r="AC2877" i="1"/>
  <c r="AG2877" i="1"/>
  <c r="AE2882" i="1"/>
  <c r="AG2882" i="1"/>
  <c r="AC2882" i="1"/>
  <c r="AF2882" i="1"/>
  <c r="AD2882" i="1"/>
  <c r="AD2908" i="1"/>
  <c r="AD2911" i="1"/>
  <c r="AG2911" i="1"/>
  <c r="AC2911" i="1"/>
  <c r="AF2911" i="1"/>
  <c r="AE2911" i="1"/>
  <c r="AE2918" i="1"/>
  <c r="AD2918" i="1"/>
  <c r="AG2918" i="1"/>
  <c r="AC2918" i="1"/>
  <c r="AF2918" i="1"/>
  <c r="Y2879" i="1"/>
  <c r="M2879" i="1"/>
  <c r="R2879" i="1" s="1"/>
  <c r="AG2880" i="1"/>
  <c r="AC2880" i="1"/>
  <c r="AE2880" i="1"/>
  <c r="AD2883" i="1"/>
  <c r="AF2883" i="1"/>
  <c r="AE2883" i="1"/>
  <c r="AG2892" i="1"/>
  <c r="AF2893" i="1"/>
  <c r="AE2893" i="1"/>
  <c r="AD2893" i="1"/>
  <c r="AG2900" i="1"/>
  <c r="AF2901" i="1"/>
  <c r="AE2901" i="1"/>
  <c r="AD2901" i="1"/>
  <c r="AG2908" i="1"/>
  <c r="AF2909" i="1"/>
  <c r="AE2909" i="1"/>
  <c r="AD2909" i="1"/>
  <c r="AG2916" i="1"/>
  <c r="AF2917" i="1"/>
  <c r="AE2917" i="1"/>
  <c r="AD2917" i="1"/>
  <c r="AG2924" i="1"/>
  <c r="AF2925" i="1"/>
  <c r="AE2925" i="1"/>
  <c r="AD2925" i="1"/>
  <c r="AD2935" i="1"/>
  <c r="AF2935" i="1"/>
  <c r="AC2935" i="1"/>
  <c r="AG2935" i="1"/>
  <c r="AE2942" i="1"/>
  <c r="AD2942" i="1"/>
  <c r="AG2942" i="1"/>
  <c r="AC2942" i="1"/>
  <c r="AF2942" i="1"/>
  <c r="AG2952" i="1"/>
  <c r="AC2952" i="1"/>
  <c r="AE2952" i="1"/>
  <c r="AF2952" i="1"/>
  <c r="AD2952" i="1"/>
  <c r="AE2878" i="1"/>
  <c r="AG2878" i="1"/>
  <c r="AC2878" i="1"/>
  <c r="AD2880" i="1"/>
  <c r="AF2881" i="1"/>
  <c r="AD2881" i="1"/>
  <c r="AE2881" i="1"/>
  <c r="AG2883" i="1"/>
  <c r="AE2886" i="1"/>
  <c r="AG2886" i="1"/>
  <c r="AC2886" i="1"/>
  <c r="AE2890" i="1"/>
  <c r="AD2890" i="1"/>
  <c r="AG2890" i="1"/>
  <c r="AC2890" i="1"/>
  <c r="AD2891" i="1"/>
  <c r="AG2891" i="1"/>
  <c r="AC2891" i="1"/>
  <c r="AF2891" i="1"/>
  <c r="AE2898" i="1"/>
  <c r="AD2898" i="1"/>
  <c r="AG2898" i="1"/>
  <c r="AC2898" i="1"/>
  <c r="AD2899" i="1"/>
  <c r="AG2899" i="1"/>
  <c r="AC2899" i="1"/>
  <c r="AF2899" i="1"/>
  <c r="AE2906" i="1"/>
  <c r="AD2906" i="1"/>
  <c r="AG2906" i="1"/>
  <c r="AC2906" i="1"/>
  <c r="AD2907" i="1"/>
  <c r="AG2907" i="1"/>
  <c r="AC2907" i="1"/>
  <c r="AF2907" i="1"/>
  <c r="AE2914" i="1"/>
  <c r="AD2914" i="1"/>
  <c r="AG2914" i="1"/>
  <c r="AC2914" i="1"/>
  <c r="AD2915" i="1"/>
  <c r="AG2915" i="1"/>
  <c r="AC2915" i="1"/>
  <c r="AF2915" i="1"/>
  <c r="AE2922" i="1"/>
  <c r="AD2922" i="1"/>
  <c r="AG2922" i="1"/>
  <c r="AC2922" i="1"/>
  <c r="AD2923" i="1"/>
  <c r="AG2923" i="1"/>
  <c r="AC2923" i="1"/>
  <c r="AF2923" i="1"/>
  <c r="AE2930" i="1"/>
  <c r="AD2930" i="1"/>
  <c r="AG2930" i="1"/>
  <c r="AC2930" i="1"/>
  <c r="AD2931" i="1"/>
  <c r="AF2931" i="1"/>
  <c r="AG2931" i="1"/>
  <c r="AE2931" i="1"/>
  <c r="AC2931" i="1"/>
  <c r="AE2935" i="1"/>
  <c r="AD2948" i="1"/>
  <c r="AD2878" i="1"/>
  <c r="AF2880" i="1"/>
  <c r="M2881" i="1"/>
  <c r="R2881" i="1" s="1"/>
  <c r="AG2881" i="1"/>
  <c r="AG2884" i="1"/>
  <c r="AC2884" i="1"/>
  <c r="AE2884" i="1"/>
  <c r="AD2886" i="1"/>
  <c r="AD2887" i="1"/>
  <c r="AG2887" i="1"/>
  <c r="AC2887" i="1"/>
  <c r="AF2887" i="1"/>
  <c r="AG2888" i="1"/>
  <c r="AF2889" i="1"/>
  <c r="AE2889" i="1"/>
  <c r="AD2889" i="1"/>
  <c r="AF2890" i="1"/>
  <c r="AC2893" i="1"/>
  <c r="AG2896" i="1"/>
  <c r="AF2897" i="1"/>
  <c r="AE2897" i="1"/>
  <c r="AD2897" i="1"/>
  <c r="AF2898" i="1"/>
  <c r="AC2901" i="1"/>
  <c r="AG2904" i="1"/>
  <c r="AF2905" i="1"/>
  <c r="AE2905" i="1"/>
  <c r="AD2905" i="1"/>
  <c r="AF2906" i="1"/>
  <c r="AC2909" i="1"/>
  <c r="AG2912" i="1"/>
  <c r="AF2913" i="1"/>
  <c r="AE2913" i="1"/>
  <c r="AD2913" i="1"/>
  <c r="AF2914" i="1"/>
  <c r="AC2917" i="1"/>
  <c r="AG2920" i="1"/>
  <c r="AF2921" i="1"/>
  <c r="AE2921" i="1"/>
  <c r="AD2921" i="1"/>
  <c r="AF2922" i="1"/>
  <c r="AC2925" i="1"/>
  <c r="AG2928" i="1"/>
  <c r="AF2929" i="1"/>
  <c r="AE2929" i="1"/>
  <c r="AD2929" i="1"/>
  <c r="AF2930" i="1"/>
  <c r="AD2940" i="1"/>
  <c r="AD2951" i="1"/>
  <c r="AG2951" i="1"/>
  <c r="AC2951" i="1"/>
  <c r="AF2951" i="1"/>
  <c r="AE2951" i="1"/>
  <c r="AE2888" i="1"/>
  <c r="AE2892" i="1"/>
  <c r="AE2896" i="1"/>
  <c r="AE2900" i="1"/>
  <c r="AE2904" i="1"/>
  <c r="AE2908" i="1"/>
  <c r="AE2912" i="1"/>
  <c r="AE2916" i="1"/>
  <c r="AE2920" i="1"/>
  <c r="AE2924" i="1"/>
  <c r="AE2928" i="1"/>
  <c r="AF2933" i="1"/>
  <c r="AD2933" i="1"/>
  <c r="AE2933" i="1"/>
  <c r="M2935" i="1"/>
  <c r="R2935" i="1" s="1"/>
  <c r="AG2940" i="1"/>
  <c r="AF2941" i="1"/>
  <c r="AE2941" i="1"/>
  <c r="AD2941" i="1"/>
  <c r="Y2945" i="1"/>
  <c r="M2945" i="1"/>
  <c r="R2945" i="1" s="1"/>
  <c r="AG2948" i="1"/>
  <c r="AE2962" i="1"/>
  <c r="AG2962" i="1"/>
  <c r="AC2962" i="1"/>
  <c r="AF2962" i="1"/>
  <c r="AD2962" i="1"/>
  <c r="AF2965" i="1"/>
  <c r="AE2965" i="1"/>
  <c r="AD2965" i="1"/>
  <c r="AG2965" i="1"/>
  <c r="AC2965" i="1"/>
  <c r="AF2888" i="1"/>
  <c r="AF2892" i="1"/>
  <c r="AF2896" i="1"/>
  <c r="AF2900" i="1"/>
  <c r="AF2904" i="1"/>
  <c r="AF2908" i="1"/>
  <c r="AF2912" i="1"/>
  <c r="AF2916" i="1"/>
  <c r="AF2920" i="1"/>
  <c r="AF2924" i="1"/>
  <c r="AF2928" i="1"/>
  <c r="AG2936" i="1"/>
  <c r="AC2936" i="1"/>
  <c r="AE2936" i="1"/>
  <c r="AE2938" i="1"/>
  <c r="AD2938" i="1"/>
  <c r="AG2938" i="1"/>
  <c r="AC2938" i="1"/>
  <c r="AD2939" i="1"/>
  <c r="AG2939" i="1"/>
  <c r="AC2939" i="1"/>
  <c r="AF2939" i="1"/>
  <c r="AE2946" i="1"/>
  <c r="AD2946" i="1"/>
  <c r="AG2946" i="1"/>
  <c r="AC2946" i="1"/>
  <c r="AD2947" i="1"/>
  <c r="AG2947" i="1"/>
  <c r="AC2947" i="1"/>
  <c r="AF2947" i="1"/>
  <c r="AF2973" i="1"/>
  <c r="AE2973" i="1"/>
  <c r="AD2973" i="1"/>
  <c r="AG2973" i="1"/>
  <c r="AC2973" i="1"/>
  <c r="Y2984" i="1"/>
  <c r="M2984" i="1"/>
  <c r="R2984" i="1" s="1"/>
  <c r="Y2992" i="1"/>
  <c r="M2992" i="1"/>
  <c r="R2992" i="1" s="1"/>
  <c r="AC2888" i="1"/>
  <c r="AC2892" i="1"/>
  <c r="AC2896" i="1"/>
  <c r="M2899" i="1"/>
  <c r="R2899" i="1" s="1"/>
  <c r="AC2900" i="1"/>
  <c r="M2903" i="1"/>
  <c r="R2903" i="1" s="1"/>
  <c r="AC2904" i="1"/>
  <c r="M2907" i="1"/>
  <c r="R2907" i="1" s="1"/>
  <c r="AC2908" i="1"/>
  <c r="M2911" i="1"/>
  <c r="R2911" i="1" s="1"/>
  <c r="AC2912" i="1"/>
  <c r="M2915" i="1"/>
  <c r="R2915" i="1" s="1"/>
  <c r="AC2916" i="1"/>
  <c r="M2919" i="1"/>
  <c r="R2919" i="1" s="1"/>
  <c r="AC2920" i="1"/>
  <c r="M2923" i="1"/>
  <c r="R2923" i="1" s="1"/>
  <c r="AC2924" i="1"/>
  <c r="M2927" i="1"/>
  <c r="R2927" i="1" s="1"/>
  <c r="AC2928" i="1"/>
  <c r="M2931" i="1"/>
  <c r="R2931" i="1" s="1"/>
  <c r="AE2934" i="1"/>
  <c r="AG2934" i="1"/>
  <c r="AC2934" i="1"/>
  <c r="AD2936" i="1"/>
  <c r="AF2937" i="1"/>
  <c r="AE2937" i="1"/>
  <c r="AD2937" i="1"/>
  <c r="AF2938" i="1"/>
  <c r="AG2944" i="1"/>
  <c r="AF2946" i="1"/>
  <c r="Y2949" i="1"/>
  <c r="AF2949" i="1" s="1"/>
  <c r="M2949" i="1"/>
  <c r="R2949" i="1" s="1"/>
  <c r="AE2954" i="1"/>
  <c r="AG2954" i="1"/>
  <c r="AC2954" i="1"/>
  <c r="AF2954" i="1"/>
  <c r="AD2954" i="1"/>
  <c r="AF2957" i="1"/>
  <c r="AD2957" i="1"/>
  <c r="AC2957" i="1"/>
  <c r="AG2957" i="1"/>
  <c r="AD2960" i="1"/>
  <c r="AE2940" i="1"/>
  <c r="AE2944" i="1"/>
  <c r="AE2948" i="1"/>
  <c r="AD2955" i="1"/>
  <c r="AF2955" i="1"/>
  <c r="AE2955" i="1"/>
  <c r="AF2956" i="1"/>
  <c r="M2957" i="1"/>
  <c r="R2957" i="1" s="1"/>
  <c r="AG2960" i="1"/>
  <c r="AC2960" i="1"/>
  <c r="AE2960" i="1"/>
  <c r="AD2963" i="1"/>
  <c r="AF2963" i="1"/>
  <c r="AE2963" i="1"/>
  <c r="AF2964" i="1"/>
  <c r="M2965" i="1"/>
  <c r="R2965" i="1" s="1"/>
  <c r="AE2970" i="1"/>
  <c r="AD2970" i="1"/>
  <c r="AG2970" i="1"/>
  <c r="AC2970" i="1"/>
  <c r="AD2971" i="1"/>
  <c r="AG2971" i="1"/>
  <c r="AC2971" i="1"/>
  <c r="AF2971" i="1"/>
  <c r="M2973" i="1"/>
  <c r="R2973" i="1" s="1"/>
  <c r="AD2978" i="1"/>
  <c r="AG2978" i="1"/>
  <c r="AC2978" i="1"/>
  <c r="AF2978" i="1"/>
  <c r="AE2978" i="1"/>
  <c r="AG2983" i="1"/>
  <c r="AC2983" i="1"/>
  <c r="AF2983" i="1"/>
  <c r="AE2983" i="1"/>
  <c r="AD2983" i="1"/>
  <c r="AD2986" i="1"/>
  <c r="AG2986" i="1"/>
  <c r="AC2986" i="1"/>
  <c r="AF2986" i="1"/>
  <c r="AE2986" i="1"/>
  <c r="AG2991" i="1"/>
  <c r="AC2991" i="1"/>
  <c r="AF2991" i="1"/>
  <c r="AE2991" i="1"/>
  <c r="AD2991" i="1"/>
  <c r="AD2994" i="1"/>
  <c r="AG2994" i="1"/>
  <c r="AC2994" i="1"/>
  <c r="AF2994" i="1"/>
  <c r="AE2994" i="1"/>
  <c r="AF2940" i="1"/>
  <c r="AF2944" i="1"/>
  <c r="AF2948" i="1"/>
  <c r="AF2953" i="1"/>
  <c r="AD2953" i="1"/>
  <c r="AE2953" i="1"/>
  <c r="AE2958" i="1"/>
  <c r="AG2958" i="1"/>
  <c r="AC2958" i="1"/>
  <c r="AF2961" i="1"/>
  <c r="AD2961" i="1"/>
  <c r="AE2961" i="1"/>
  <c r="AF2969" i="1"/>
  <c r="AE2969" i="1"/>
  <c r="AD2969" i="1"/>
  <c r="Y2980" i="1"/>
  <c r="M2980" i="1"/>
  <c r="R2980" i="1" s="1"/>
  <c r="Y2988" i="1"/>
  <c r="M2988" i="1"/>
  <c r="R2988" i="1" s="1"/>
  <c r="AF2997" i="1"/>
  <c r="AD3002" i="1"/>
  <c r="AG3002" i="1"/>
  <c r="AC3002" i="1"/>
  <c r="AF3002" i="1"/>
  <c r="AE3002" i="1"/>
  <c r="AC2940" i="1"/>
  <c r="AC2944" i="1"/>
  <c r="AC2948" i="1"/>
  <c r="M2953" i="1"/>
  <c r="R2953" i="1" s="1"/>
  <c r="AG2953" i="1"/>
  <c r="AG2956" i="1"/>
  <c r="AC2956" i="1"/>
  <c r="AE2956" i="1"/>
  <c r="AD2958" i="1"/>
  <c r="AD2959" i="1"/>
  <c r="AF2959" i="1"/>
  <c r="AE2959" i="1"/>
  <c r="AF2960" i="1"/>
  <c r="M2961" i="1"/>
  <c r="R2961" i="1" s="1"/>
  <c r="AG2961" i="1"/>
  <c r="AG2964" i="1"/>
  <c r="AC2964" i="1"/>
  <c r="AE2964" i="1"/>
  <c r="AE2966" i="1"/>
  <c r="AD2966" i="1"/>
  <c r="AG2966" i="1"/>
  <c r="AC2966" i="1"/>
  <c r="AD2967" i="1"/>
  <c r="AG2967" i="1"/>
  <c r="AC2967" i="1"/>
  <c r="AF2967" i="1"/>
  <c r="M2969" i="1"/>
  <c r="R2969" i="1" s="1"/>
  <c r="AE2971" i="1"/>
  <c r="AE2974" i="1"/>
  <c r="AD2974" i="1"/>
  <c r="AG2974" i="1"/>
  <c r="AC2974" i="1"/>
  <c r="AD2975" i="1"/>
  <c r="AG2975" i="1"/>
  <c r="AC2975" i="1"/>
  <c r="AF2975" i="1"/>
  <c r="AG2979" i="1"/>
  <c r="AC2979" i="1"/>
  <c r="AF2979" i="1"/>
  <c r="AE2979" i="1"/>
  <c r="AD2979" i="1"/>
  <c r="AD2982" i="1"/>
  <c r="AG2982" i="1"/>
  <c r="AC2982" i="1"/>
  <c r="AF2982" i="1"/>
  <c r="AE2982" i="1"/>
  <c r="AG2987" i="1"/>
  <c r="AC2987" i="1"/>
  <c r="AF2987" i="1"/>
  <c r="AE2987" i="1"/>
  <c r="AD2987" i="1"/>
  <c r="AD2990" i="1"/>
  <c r="AG2990" i="1"/>
  <c r="AC2990" i="1"/>
  <c r="AF2990" i="1"/>
  <c r="AE2990" i="1"/>
  <c r="AE2968" i="1"/>
  <c r="AE2972" i="1"/>
  <c r="AE2981" i="1"/>
  <c r="AD2981" i="1"/>
  <c r="AG2981" i="1"/>
  <c r="AC2981" i="1"/>
  <c r="AE2985" i="1"/>
  <c r="AD2985" i="1"/>
  <c r="AG2985" i="1"/>
  <c r="AC2985" i="1"/>
  <c r="AE2989" i="1"/>
  <c r="AD2989" i="1"/>
  <c r="AG2989" i="1"/>
  <c r="AC2989" i="1"/>
  <c r="AE2993" i="1"/>
  <c r="AD2993" i="1"/>
  <c r="AG2993" i="1"/>
  <c r="AC2993" i="1"/>
  <c r="AG2995" i="1"/>
  <c r="AC2995" i="1"/>
  <c r="AF2995" i="1"/>
  <c r="AE2995" i="1"/>
  <c r="Y2996" i="1"/>
  <c r="M2996" i="1"/>
  <c r="R2996" i="1" s="1"/>
  <c r="AE3001" i="1"/>
  <c r="AD3001" i="1"/>
  <c r="AG3001" i="1"/>
  <c r="AC3001" i="1"/>
  <c r="AG3003" i="1"/>
  <c r="AC3003" i="1"/>
  <c r="AF3003" i="1"/>
  <c r="AE3003" i="1"/>
  <c r="AF3004" i="1"/>
  <c r="AD3006" i="1"/>
  <c r="AG3006" i="1"/>
  <c r="AC3006" i="1"/>
  <c r="AF3006" i="1"/>
  <c r="AF2968" i="1"/>
  <c r="AF2972" i="1"/>
  <c r="AE2976" i="1"/>
  <c r="AG2976" i="1"/>
  <c r="AF2981" i="1"/>
  <c r="AF2985" i="1"/>
  <c r="AF2989" i="1"/>
  <c r="AF2993" i="1"/>
  <c r="AD2998" i="1"/>
  <c r="AG2998" i="1"/>
  <c r="AC2998" i="1"/>
  <c r="AF2998" i="1"/>
  <c r="AF3001" i="1"/>
  <c r="AE3005" i="1"/>
  <c r="AD3005" i="1"/>
  <c r="AG3005" i="1"/>
  <c r="AC3005" i="1"/>
  <c r="M2967" i="1"/>
  <c r="R2967" i="1" s="1"/>
  <c r="AC2968" i="1"/>
  <c r="AC2972" i="1"/>
  <c r="M2975" i="1"/>
  <c r="R2975" i="1" s="1"/>
  <c r="AC2976" i="1"/>
  <c r="AE2977" i="1"/>
  <c r="AD2977" i="1"/>
  <c r="AE2997" i="1"/>
  <c r="AD2997" i="1"/>
  <c r="AG2997" i="1"/>
  <c r="AC2997" i="1"/>
  <c r="AG2999" i="1"/>
  <c r="AC2999" i="1"/>
  <c r="AF2999" i="1"/>
  <c r="AE2999" i="1"/>
  <c r="Y3000" i="1"/>
  <c r="M3000" i="1"/>
  <c r="R3000" i="1" s="1"/>
  <c r="AF3005" i="1"/>
  <c r="AE3006" i="1"/>
  <c r="AD3004" i="1"/>
  <c r="AE3004" i="1"/>
  <c r="N3007" i="1"/>
  <c r="AK9" i="1"/>
  <c r="AG2220" i="1" l="1"/>
  <c r="AG637" i="1"/>
  <c r="AG541" i="1"/>
  <c r="AF1008" i="1"/>
  <c r="AF2977" i="1"/>
  <c r="AD2934" i="1"/>
  <c r="AF2814" i="1"/>
  <c r="AD2204" i="1"/>
  <c r="AG1974" i="1"/>
  <c r="AF109" i="1"/>
  <c r="AG2751" i="1"/>
  <c r="AD1244" i="1"/>
  <c r="AE1445" i="1"/>
  <c r="AF1445" i="1"/>
  <c r="AG1540" i="1"/>
  <c r="AD1540" i="1"/>
  <c r="AG1500" i="1"/>
  <c r="AD1500" i="1"/>
  <c r="AG1444" i="1"/>
  <c r="AD1444" i="1"/>
  <c r="AD641" i="1"/>
  <c r="AD577" i="1"/>
  <c r="AE553" i="1"/>
  <c r="AD553" i="1"/>
  <c r="AG529" i="1"/>
  <c r="AD529" i="1"/>
  <c r="AG1187" i="1"/>
  <c r="AG975" i="1"/>
  <c r="AG907" i="1"/>
  <c r="AD1293" i="1"/>
  <c r="AD1040" i="1"/>
  <c r="AG995" i="1"/>
  <c r="AG1223" i="1"/>
  <c r="AG1425" i="1"/>
  <c r="AG1615" i="1"/>
  <c r="AF1596" i="1"/>
  <c r="AD1596" i="1"/>
  <c r="AD1468" i="1"/>
  <c r="AG1468" i="1"/>
  <c r="AG1191" i="1"/>
  <c r="AG1231" i="1"/>
  <c r="AG895" i="1"/>
  <c r="AG859" i="1"/>
  <c r="AG839" i="1"/>
  <c r="AG366" i="1"/>
  <c r="AF349" i="1"/>
  <c r="AD349" i="1"/>
  <c r="AG349" i="1"/>
  <c r="AG334" i="1"/>
  <c r="AG133" i="1"/>
  <c r="AD133" i="1"/>
  <c r="AG442" i="1"/>
  <c r="AG429" i="1"/>
  <c r="AD429" i="1"/>
  <c r="AG342" i="1"/>
  <c r="AG322" i="1"/>
  <c r="AD285" i="1"/>
  <c r="AD221" i="1"/>
  <c r="AD21" i="1"/>
  <c r="AG21" i="1"/>
  <c r="AG1155" i="1"/>
  <c r="AG1023" i="1"/>
  <c r="AG1607" i="1"/>
  <c r="AF1196" i="1"/>
  <c r="AD1196" i="1"/>
  <c r="AF606" i="1"/>
  <c r="AD489" i="1"/>
  <c r="AG489" i="1"/>
  <c r="AG298" i="1"/>
  <c r="AF541" i="1"/>
  <c r="AF1040" i="1"/>
  <c r="AF2627" i="1"/>
  <c r="AF2663" i="1"/>
  <c r="AG2051" i="1"/>
  <c r="AG1563" i="1"/>
  <c r="AD1670" i="1"/>
  <c r="AG1207" i="1"/>
  <c r="AG1115" i="1"/>
  <c r="AD505" i="1"/>
  <c r="AD101" i="1"/>
  <c r="AF221" i="1"/>
  <c r="AF628" i="1"/>
  <c r="AD1204" i="1"/>
  <c r="AD85" i="1"/>
  <c r="AF2884" i="1"/>
  <c r="AG819" i="1"/>
  <c r="AF2163" i="1"/>
  <c r="AE1719" i="1"/>
  <c r="AE2139" i="1"/>
  <c r="AG1561" i="1"/>
  <c r="AF1239" i="1"/>
  <c r="AF2753" i="1"/>
  <c r="AE1341" i="1"/>
  <c r="AD2166" i="1"/>
  <c r="AG2665" i="1"/>
  <c r="AF1341" i="1"/>
  <c r="AE2665" i="1"/>
  <c r="AF1967" i="1"/>
  <c r="AD1341" i="1"/>
  <c r="AD216" i="1"/>
  <c r="AE1561" i="1"/>
  <c r="AD2980" i="1"/>
  <c r="AG17" i="1"/>
  <c r="AG2637" i="1"/>
  <c r="AD232" i="1"/>
  <c r="AF2637" i="1"/>
  <c r="AG605" i="1"/>
  <c r="AF589" i="1"/>
  <c r="AG589" i="1"/>
  <c r="AE2967" i="1"/>
  <c r="AF2886" i="1"/>
  <c r="AG2833" i="1"/>
  <c r="AG2817" i="1"/>
  <c r="AD2782" i="1"/>
  <c r="AF2782" i="1"/>
  <c r="AG3004" i="1"/>
  <c r="AG2969" i="1"/>
  <c r="AG2921" i="1"/>
  <c r="AE2805" i="1"/>
  <c r="AG2793" i="1"/>
  <c r="AF2334" i="1"/>
  <c r="AG2304" i="1"/>
  <c r="AG2191" i="1"/>
  <c r="AE2161" i="1"/>
  <c r="AE2129" i="1"/>
  <c r="AD2106" i="1"/>
  <c r="AG2106" i="1"/>
  <c r="AG2091" i="1"/>
  <c r="AG2606" i="1"/>
  <c r="AF2606" i="1"/>
  <c r="AG2538" i="1"/>
  <c r="AG2494" i="1"/>
  <c r="AD2421" i="1"/>
  <c r="AF2374" i="1"/>
  <c r="AF2346" i="1"/>
  <c r="AE2311" i="1"/>
  <c r="AF2574" i="1"/>
  <c r="AF2354" i="1"/>
  <c r="AG2320" i="1"/>
  <c r="AG2284" i="1"/>
  <c r="AD2284" i="1"/>
  <c r="AG2268" i="1"/>
  <c r="AD2268" i="1"/>
  <c r="AG2252" i="1"/>
  <c r="AD2252" i="1"/>
  <c r="AD2212" i="1"/>
  <c r="AG2212" i="1"/>
  <c r="AG2162" i="1"/>
  <c r="AG2110" i="1"/>
  <c r="AD2110" i="1"/>
  <c r="AG2082" i="1"/>
  <c r="AD2082" i="1"/>
  <c r="AG2066" i="1"/>
  <c r="AD2066" i="1"/>
  <c r="AG2046" i="1"/>
  <c r="AG2007" i="1"/>
  <c r="AG1990" i="1"/>
  <c r="AD1990" i="1"/>
  <c r="AE1969" i="1"/>
  <c r="AE1953" i="1"/>
  <c r="AE1937" i="1"/>
  <c r="AG1874" i="1"/>
  <c r="AG1847" i="1"/>
  <c r="AG1831" i="1"/>
  <c r="AG1791" i="1"/>
  <c r="AE1765" i="1"/>
  <c r="AF2076" i="1"/>
  <c r="AE1941" i="1"/>
  <c r="AE1917" i="1"/>
  <c r="AE1901" i="1"/>
  <c r="AG1855" i="1"/>
  <c r="AE1817" i="1"/>
  <c r="AE1781" i="1"/>
  <c r="AE1745" i="1"/>
  <c r="AF1732" i="1"/>
  <c r="AE1709" i="1"/>
  <c r="AG1682" i="1"/>
  <c r="AE1637" i="1"/>
  <c r="AD1604" i="1"/>
  <c r="AF1604" i="1"/>
  <c r="AE1554" i="1"/>
  <c r="AF1554" i="1"/>
  <c r="AD1554" i="1"/>
  <c r="AG1554" i="1"/>
  <c r="AF1539" i="1"/>
  <c r="AD1539" i="1"/>
  <c r="AE1539" i="1"/>
  <c r="AG1525" i="1"/>
  <c r="AG1509" i="1"/>
  <c r="AG1485" i="1"/>
  <c r="AF1470" i="1"/>
  <c r="AG1456" i="1"/>
  <c r="AF1438" i="1"/>
  <c r="AG1419" i="1"/>
  <c r="AF1419" i="1"/>
  <c r="AE1725" i="1"/>
  <c r="AE1681" i="1"/>
  <c r="AF1664" i="1"/>
  <c r="AE1645" i="1"/>
  <c r="AF1628" i="1"/>
  <c r="AD1628" i="1"/>
  <c r="AF1612" i="1"/>
  <c r="AD1612" i="1"/>
  <c r="AG1546" i="1"/>
  <c r="AE1546" i="1"/>
  <c r="AF1546" i="1"/>
  <c r="AG1532" i="1"/>
  <c r="AD1532" i="1"/>
  <c r="AD1508" i="1"/>
  <c r="AG1508" i="1"/>
  <c r="AG1484" i="1"/>
  <c r="AD1484" i="1"/>
  <c r="AG1469" i="1"/>
  <c r="AD1452" i="1"/>
  <c r="AD1418" i="1"/>
  <c r="AG1418" i="1"/>
  <c r="AD1404" i="1"/>
  <c r="AF1387" i="1"/>
  <c r="AD1387" i="1"/>
  <c r="AE1387" i="1"/>
  <c r="AE1374" i="1"/>
  <c r="AG1360" i="1"/>
  <c r="AD1340" i="1"/>
  <c r="AD1324" i="1"/>
  <c r="AE1306" i="1"/>
  <c r="AF1306" i="1"/>
  <c r="AD1306" i="1"/>
  <c r="AG1288" i="1"/>
  <c r="AG1258" i="1"/>
  <c r="AF1258" i="1"/>
  <c r="AF1720" i="1"/>
  <c r="AF1680" i="1"/>
  <c r="AG1666" i="1"/>
  <c r="AF1652" i="1"/>
  <c r="AG1595" i="1"/>
  <c r="AF1576" i="1"/>
  <c r="AD1576" i="1"/>
  <c r="AE1543" i="1"/>
  <c r="AG1529" i="1"/>
  <c r="AD1529" i="1"/>
  <c r="AF1529" i="1"/>
  <c r="AF1507" i="1"/>
  <c r="AD1507" i="1"/>
  <c r="AE1507" i="1"/>
  <c r="AE1495" i="1"/>
  <c r="AG1481" i="1"/>
  <c r="AE1481" i="1"/>
  <c r="AD1481" i="1"/>
  <c r="AG1457" i="1"/>
  <c r="AD1457" i="1"/>
  <c r="AF1457" i="1"/>
  <c r="AE1423" i="1"/>
  <c r="AD1403" i="1"/>
  <c r="AE1403" i="1"/>
  <c r="AG1403" i="1"/>
  <c r="AD1384" i="1"/>
  <c r="AD1351" i="1"/>
  <c r="AF1335" i="1"/>
  <c r="AE1335" i="1"/>
  <c r="AD1335" i="1"/>
  <c r="AG1321" i="1"/>
  <c r="AE1321" i="1"/>
  <c r="AD1321" i="1"/>
  <c r="AD1299" i="1"/>
  <c r="AE1299" i="1"/>
  <c r="AG1299" i="1"/>
  <c r="AG1277" i="1"/>
  <c r="AF1277" i="1"/>
  <c r="AF1257" i="1"/>
  <c r="AD1257" i="1"/>
  <c r="AE1257" i="1"/>
  <c r="AF1236" i="1"/>
  <c r="AD1236" i="1"/>
  <c r="AE1221" i="1"/>
  <c r="AF1221" i="1"/>
  <c r="AD1221" i="1"/>
  <c r="AF1202" i="1"/>
  <c r="AE1202" i="1"/>
  <c r="AD1202" i="1"/>
  <c r="AG1202" i="1"/>
  <c r="AF1188" i="1"/>
  <c r="AG1175" i="1"/>
  <c r="AG1159" i="1"/>
  <c r="AD1159" i="1"/>
  <c r="AF1159" i="1"/>
  <c r="AG1145" i="1"/>
  <c r="AF1145" i="1"/>
  <c r="AG1131" i="1"/>
  <c r="AD1131" i="1"/>
  <c r="AF1131" i="1"/>
  <c r="AG1111" i="1"/>
  <c r="AD1111" i="1"/>
  <c r="AF1111" i="1"/>
  <c r="AE1093" i="1"/>
  <c r="AF1093" i="1"/>
  <c r="AD1093" i="1"/>
  <c r="AG1079" i="1"/>
  <c r="AD1079" i="1"/>
  <c r="AF1079" i="1"/>
  <c r="AG1065" i="1"/>
  <c r="AF1065" i="1"/>
  <c r="AD1045" i="1"/>
  <c r="AG1045" i="1"/>
  <c r="AE1045" i="1"/>
  <c r="AG1026" i="1"/>
  <c r="AD1026" i="1"/>
  <c r="AE1026" i="1"/>
  <c r="AG1007" i="1"/>
  <c r="AF1007" i="1"/>
  <c r="AE1007" i="1"/>
  <c r="AD1007" i="1"/>
  <c r="AF1319" i="1"/>
  <c r="AD1319" i="1"/>
  <c r="AE1319" i="1"/>
  <c r="AG1242" i="1"/>
  <c r="AF1242" i="1"/>
  <c r="AF1228" i="1"/>
  <c r="AD1228" i="1"/>
  <c r="AG1041" i="1"/>
  <c r="AF1041" i="1"/>
  <c r="AE1024" i="1"/>
  <c r="AF1024" i="1"/>
  <c r="AD1024" i="1"/>
  <c r="AG1024" i="1"/>
  <c r="AE1005" i="1"/>
  <c r="AD1005" i="1"/>
  <c r="AG1005" i="1"/>
  <c r="AG985" i="1"/>
  <c r="AF985" i="1"/>
  <c r="AD970" i="1"/>
  <c r="AF970" i="1"/>
  <c r="AG970" i="1"/>
  <c r="AD954" i="1"/>
  <c r="AF954" i="1"/>
  <c r="AG954" i="1"/>
  <c r="AG935" i="1"/>
  <c r="AE935" i="1"/>
  <c r="AD935" i="1"/>
  <c r="AG921" i="1"/>
  <c r="AF921" i="1"/>
  <c r="AD905" i="1"/>
  <c r="AE905" i="1"/>
  <c r="AG905" i="1"/>
  <c r="AE884" i="1"/>
  <c r="AD884" i="1"/>
  <c r="AG884" i="1"/>
  <c r="AE868" i="1"/>
  <c r="AF868" i="1"/>
  <c r="AD868" i="1"/>
  <c r="AG868" i="1"/>
  <c r="AG854" i="1"/>
  <c r="AF854" i="1"/>
  <c r="AD854" i="1"/>
  <c r="AE854" i="1"/>
  <c r="AE829" i="1"/>
  <c r="AD829" i="1"/>
  <c r="AG829" i="1"/>
  <c r="AE808" i="1"/>
  <c r="AF808" i="1"/>
  <c r="AD808" i="1"/>
  <c r="AG808" i="1"/>
  <c r="AG795" i="1"/>
  <c r="AF795" i="1"/>
  <c r="AE795" i="1"/>
  <c r="AD795" i="1"/>
  <c r="AG771" i="1"/>
  <c r="AD771" i="1"/>
  <c r="AF771" i="1"/>
  <c r="AE926" i="1"/>
  <c r="AD926" i="1"/>
  <c r="AG926" i="1"/>
  <c r="AF926" i="1"/>
  <c r="AD861" i="1"/>
  <c r="AE861" i="1"/>
  <c r="AG861" i="1"/>
  <c r="AD616" i="1"/>
  <c r="AF616" i="1"/>
  <c r="AG616" i="1"/>
  <c r="AE616" i="1"/>
  <c r="AE2273" i="1"/>
  <c r="AF2139" i="1"/>
  <c r="AE1711" i="1"/>
  <c r="AF649" i="1"/>
  <c r="AF2273" i="1"/>
  <c r="AG2273" i="1"/>
  <c r="AD2123" i="1"/>
  <c r="AF1711" i="1"/>
  <c r="AG621" i="1"/>
  <c r="AE589" i="1"/>
  <c r="AE2759" i="1"/>
  <c r="AD2870" i="1"/>
  <c r="AG2374" i="1"/>
  <c r="AG1452" i="1"/>
  <c r="AF2769" i="1"/>
  <c r="AD2163" i="1"/>
  <c r="AD2139" i="1"/>
  <c r="AE2123" i="1"/>
  <c r="AF1623" i="1"/>
  <c r="AG1593" i="1"/>
  <c r="AF1593" i="1"/>
  <c r="AD1561" i="1"/>
  <c r="AD2626" i="1"/>
  <c r="AG1962" i="1"/>
  <c r="AG2138" i="1"/>
  <c r="AD248" i="1"/>
  <c r="AG533" i="1"/>
  <c r="AE480" i="1"/>
  <c r="AG381" i="1"/>
  <c r="AE290" i="1"/>
  <c r="AE111" i="1"/>
  <c r="AD97" i="1"/>
  <c r="AF507" i="1"/>
  <c r="AG413" i="1"/>
  <c r="AG333" i="1"/>
  <c r="AG81" i="1"/>
  <c r="AD333" i="1"/>
  <c r="AF290" i="1"/>
  <c r="AE167" i="1"/>
  <c r="AG197" i="1"/>
  <c r="AD169" i="1"/>
  <c r="AG1790" i="1"/>
  <c r="AD590" i="1"/>
  <c r="AF381" i="1"/>
  <c r="AF333" i="1"/>
  <c r="AE127" i="1"/>
  <c r="AG73" i="1"/>
  <c r="AG65" i="1"/>
  <c r="AD145" i="1"/>
  <c r="AG145" i="1"/>
  <c r="AG97" i="1"/>
  <c r="AD73" i="1"/>
  <c r="AD405" i="1"/>
  <c r="AE733" i="1"/>
  <c r="AF274" i="1"/>
  <c r="AE103" i="1"/>
  <c r="AG1822" i="1"/>
  <c r="AD281" i="1"/>
  <c r="AD266" i="1"/>
  <c r="AD381" i="1"/>
  <c r="AF479" i="1"/>
  <c r="AG655" i="1"/>
  <c r="AD730" i="1"/>
  <c r="AD1962" i="1"/>
  <c r="AG1930" i="1"/>
  <c r="AD1894" i="1"/>
  <c r="AE2670" i="1"/>
  <c r="AG2617" i="1"/>
  <c r="AF2670" i="1"/>
  <c r="AD2589" i="1"/>
  <c r="AE2147" i="1"/>
  <c r="AD1429" i="1"/>
  <c r="AD1421" i="1"/>
  <c r="AG2122" i="1"/>
  <c r="AE2899" i="1"/>
  <c r="AF2589" i="1"/>
  <c r="AE1429" i="1"/>
  <c r="AE1421" i="1"/>
  <c r="AD2273" i="1"/>
  <c r="AE2163" i="1"/>
  <c r="AG2123" i="1"/>
  <c r="AD1711" i="1"/>
  <c r="AE1501" i="1"/>
  <c r="AF1429" i="1"/>
  <c r="AF1421" i="1"/>
  <c r="AG2154" i="1"/>
  <c r="AG1946" i="1"/>
  <c r="AG2248" i="1"/>
  <c r="AG1838" i="1"/>
  <c r="AD2465" i="1"/>
  <c r="AD2308" i="1"/>
  <c r="AG2146" i="1"/>
  <c r="AG2130" i="1"/>
  <c r="AE2381" i="1"/>
  <c r="AE1623" i="1"/>
  <c r="AG557" i="1"/>
  <c r="AE2875" i="1"/>
  <c r="AG2670" i="1"/>
  <c r="AF2597" i="1"/>
  <c r="AE2179" i="1"/>
  <c r="AD1623" i="1"/>
  <c r="AG2139" i="1"/>
  <c r="AE1593" i="1"/>
  <c r="AD1445" i="1"/>
  <c r="AF557" i="1"/>
  <c r="AG1894" i="1"/>
  <c r="AE2753" i="1"/>
  <c r="AF2043" i="1"/>
  <c r="AF2875" i="1"/>
  <c r="AE2801" i="1"/>
  <c r="AD2043" i="1"/>
  <c r="AE2043" i="1"/>
  <c r="AF2613" i="1"/>
  <c r="AF2381" i="1"/>
  <c r="AE2777" i="1"/>
  <c r="AD2381" i="1"/>
  <c r="AD1854" i="1"/>
  <c r="AD1822" i="1"/>
  <c r="AD1790" i="1"/>
  <c r="AD1758" i="1"/>
  <c r="AG2875" i="1"/>
  <c r="AF2801" i="1"/>
  <c r="AF2777" i="1"/>
  <c r="AF2621" i="1"/>
  <c r="AE2637" i="1"/>
  <c r="AD2875" i="1"/>
  <c r="AD2801" i="1"/>
  <c r="AD2777" i="1"/>
  <c r="AE2654" i="1"/>
  <c r="AF2365" i="1"/>
  <c r="AD2000" i="1"/>
  <c r="AF2000" i="1"/>
  <c r="AD1750" i="1"/>
  <c r="AF590" i="1"/>
  <c r="AD1284" i="1"/>
  <c r="AG13" i="1"/>
  <c r="AE2992" i="1"/>
  <c r="AF2719" i="1"/>
  <c r="AE2867" i="1"/>
  <c r="AE2622" i="1"/>
  <c r="AE2613" i="1"/>
  <c r="AE2597" i="1"/>
  <c r="AE2365" i="1"/>
  <c r="AD2613" i="1"/>
  <c r="AG2381" i="1"/>
  <c r="AE2171" i="1"/>
  <c r="AF2155" i="1"/>
  <c r="AD1719" i="1"/>
  <c r="AE1239" i="1"/>
  <c r="AG1806" i="1"/>
  <c r="AD1774" i="1"/>
  <c r="AD1742" i="1"/>
  <c r="AD1862" i="1"/>
  <c r="AG2264" i="1"/>
  <c r="AG1862" i="1"/>
  <c r="AG1774" i="1"/>
  <c r="AG1742" i="1"/>
  <c r="AD690" i="1"/>
  <c r="AE2945" i="1"/>
  <c r="AF2761" i="1"/>
  <c r="AE2811" i="1"/>
  <c r="AG2686" i="1"/>
  <c r="AF2617" i="1"/>
  <c r="AF1719" i="1"/>
  <c r="AD1239" i="1"/>
  <c r="AD1838" i="1"/>
  <c r="AG109" i="1"/>
  <c r="AE2949" i="1"/>
  <c r="AE2996" i="1"/>
  <c r="AF2871" i="1"/>
  <c r="AF2855" i="1"/>
  <c r="AE2839" i="1"/>
  <c r="AE2761" i="1"/>
  <c r="AE2719" i="1"/>
  <c r="AF2697" i="1"/>
  <c r="AG2197" i="1"/>
  <c r="AG2213" i="1"/>
  <c r="AD1811" i="1"/>
  <c r="AG1429" i="1"/>
  <c r="AG2308" i="1"/>
  <c r="AG1938" i="1"/>
  <c r="AG2280" i="1"/>
  <c r="AG2216" i="1"/>
  <c r="AG1830" i="1"/>
  <c r="AG1798" i="1"/>
  <c r="AG1766" i="1"/>
  <c r="AG1750" i="1"/>
  <c r="AG1734" i="1"/>
  <c r="AG45" i="1"/>
  <c r="AD738" i="1"/>
  <c r="AD2719" i="1"/>
  <c r="AD2686" i="1"/>
  <c r="AD1251" i="1"/>
  <c r="AE1235" i="1"/>
  <c r="AD2871" i="1"/>
  <c r="AG2781" i="1"/>
  <c r="AF2867" i="1"/>
  <c r="AE2686" i="1"/>
  <c r="AG2719" i="1"/>
  <c r="AG2365" i="1"/>
  <c r="AD1405" i="1"/>
  <c r="AD2154" i="1"/>
  <c r="AD2008" i="1"/>
  <c r="AG1954" i="1"/>
  <c r="AD1910" i="1"/>
  <c r="AD1878" i="1"/>
  <c r="AG2296" i="1"/>
  <c r="AG2232" i="1"/>
  <c r="AG1910" i="1"/>
  <c r="AG1878" i="1"/>
  <c r="AG1846" i="1"/>
  <c r="AG1814" i="1"/>
  <c r="AG1782" i="1"/>
  <c r="AD938" i="1"/>
  <c r="AG2811" i="1"/>
  <c r="AD1830" i="1"/>
  <c r="AD1798" i="1"/>
  <c r="AD1766" i="1"/>
  <c r="AD1734" i="1"/>
  <c r="AF2127" i="1"/>
  <c r="AF1619" i="1"/>
  <c r="AE1963" i="1"/>
  <c r="AG1293" i="1"/>
  <c r="AG1646" i="1"/>
  <c r="AG2847" i="1"/>
  <c r="AG2980" i="1"/>
  <c r="AE2847" i="1"/>
  <c r="AF2839" i="1"/>
  <c r="AD2811" i="1"/>
  <c r="AG2801" i="1"/>
  <c r="AE2757" i="1"/>
  <c r="AF2654" i="1"/>
  <c r="AF2171" i="1"/>
  <c r="AF2213" i="1"/>
  <c r="AF2159" i="1"/>
  <c r="AD2143" i="1"/>
  <c r="AF1501" i="1"/>
  <c r="AD1437" i="1"/>
  <c r="AE1293" i="1"/>
  <c r="AG1445" i="1"/>
  <c r="AD541" i="1"/>
  <c r="AE2718" i="1"/>
  <c r="AE2392" i="1"/>
  <c r="AD1516" i="1"/>
  <c r="AD834" i="1"/>
  <c r="AG89" i="1"/>
  <c r="AE2843" i="1"/>
  <c r="AE2980" i="1"/>
  <c r="AF2945" i="1"/>
  <c r="AD2988" i="1"/>
  <c r="AF2980" i="1"/>
  <c r="AF2996" i="1"/>
  <c r="AG2984" i="1"/>
  <c r="AF2847" i="1"/>
  <c r="AF2811" i="1"/>
  <c r="AF2836" i="1"/>
  <c r="AF2773" i="1"/>
  <c r="AD2765" i="1"/>
  <c r="AG2859" i="1"/>
  <c r="AG2597" i="1"/>
  <c r="AF1611" i="1"/>
  <c r="AE1437" i="1"/>
  <c r="AF1293" i="1"/>
  <c r="AE2175" i="1"/>
  <c r="AG1955" i="1"/>
  <c r="AE2846" i="1"/>
  <c r="AG1516" i="1"/>
  <c r="AF2984" i="1"/>
  <c r="AD2945" i="1"/>
  <c r="AG2945" i="1"/>
  <c r="AE2769" i="1"/>
  <c r="AG2851" i="1"/>
  <c r="AD2843" i="1"/>
  <c r="AF2859" i="1"/>
  <c r="AD2670" i="1"/>
  <c r="AD2171" i="1"/>
  <c r="AE2151" i="1"/>
  <c r="AD1501" i="1"/>
  <c r="AF1437" i="1"/>
  <c r="AD1907" i="1"/>
  <c r="AF1715" i="1"/>
  <c r="AD1441" i="1"/>
  <c r="AG1719" i="1"/>
  <c r="AD605" i="1"/>
  <c r="AD1646" i="1"/>
  <c r="AG2863" i="1"/>
  <c r="AE2863" i="1"/>
  <c r="AG2815" i="1"/>
  <c r="AE2815" i="1"/>
  <c r="AD2702" i="1"/>
  <c r="AG2581" i="1"/>
  <c r="AG2135" i="1"/>
  <c r="AG1915" i="1"/>
  <c r="AG1433" i="1"/>
  <c r="AD1433" i="1"/>
  <c r="AE1565" i="1"/>
  <c r="AD1565" i="1"/>
  <c r="AD621" i="1"/>
  <c r="AG2879" i="1"/>
  <c r="AG2573" i="1"/>
  <c r="AD2605" i="1"/>
  <c r="AD2187" i="1"/>
  <c r="AF2269" i="1"/>
  <c r="AE1605" i="1"/>
  <c r="AE3000" i="1"/>
  <c r="AD3000" i="1"/>
  <c r="AF2992" i="1"/>
  <c r="AE2988" i="1"/>
  <c r="AD2984" i="1"/>
  <c r="AG2996" i="1"/>
  <c r="AG2992" i="1"/>
  <c r="AG2988" i="1"/>
  <c r="AE2879" i="1"/>
  <c r="AG2871" i="1"/>
  <c r="AF2863" i="1"/>
  <c r="AG2839" i="1"/>
  <c r="AD2769" i="1"/>
  <c r="AD2761" i="1"/>
  <c r="AE2819" i="1"/>
  <c r="AD2851" i="1"/>
  <c r="AF2781" i="1"/>
  <c r="AG2867" i="1"/>
  <c r="AE2765" i="1"/>
  <c r="AF2843" i="1"/>
  <c r="AG2769" i="1"/>
  <c r="AG2681" i="1"/>
  <c r="AG2757" i="1"/>
  <c r="AD2859" i="1"/>
  <c r="AD2654" i="1"/>
  <c r="AE2697" i="1"/>
  <c r="AD2681" i="1"/>
  <c r="AD2622" i="1"/>
  <c r="AD2637" i="1"/>
  <c r="AE2617" i="1"/>
  <c r="AF2686" i="1"/>
  <c r="AE2281" i="1"/>
  <c r="AD2265" i="1"/>
  <c r="AD2597" i="1"/>
  <c r="AE2197" i="1"/>
  <c r="AD2197" i="1"/>
  <c r="AF2179" i="1"/>
  <c r="AF2147" i="1"/>
  <c r="AD2131" i="1"/>
  <c r="AG2269" i="1"/>
  <c r="AD2213" i="1"/>
  <c r="AE2015" i="1"/>
  <c r="AE2167" i="1"/>
  <c r="AG2179" i="1"/>
  <c r="AG2159" i="1"/>
  <c r="AG2147" i="1"/>
  <c r="AE1569" i="1"/>
  <c r="AF2151" i="1"/>
  <c r="AE2143" i="1"/>
  <c r="AD2135" i="1"/>
  <c r="AG2127" i="1"/>
  <c r="AG2015" i="1"/>
  <c r="AE1579" i="1"/>
  <c r="AD1915" i="1"/>
  <c r="AE1405" i="1"/>
  <c r="AF2175" i="1"/>
  <c r="AE1907" i="1"/>
  <c r="AE1811" i="1"/>
  <c r="AG1715" i="1"/>
  <c r="AF1605" i="1"/>
  <c r="AG1579" i="1"/>
  <c r="AF1963" i="1"/>
  <c r="AE1433" i="1"/>
  <c r="AF1235" i="1"/>
  <c r="AG1565" i="1"/>
  <c r="AG1251" i="1"/>
  <c r="AD649" i="1"/>
  <c r="AG1341" i="1"/>
  <c r="AF621" i="1"/>
  <c r="AD1955" i="1"/>
  <c r="AG1711" i="1"/>
  <c r="AG1239" i="1"/>
  <c r="AD637" i="1"/>
  <c r="AD573" i="1"/>
  <c r="AE573" i="1"/>
  <c r="AD2167" i="1"/>
  <c r="AF3000" i="1"/>
  <c r="AF2988" i="1"/>
  <c r="AE2984" i="1"/>
  <c r="AD2996" i="1"/>
  <c r="AF2879" i="1"/>
  <c r="AD2855" i="1"/>
  <c r="AD2847" i="1"/>
  <c r="AD2819" i="1"/>
  <c r="AE2851" i="1"/>
  <c r="AD2836" i="1"/>
  <c r="AE2836" i="1"/>
  <c r="AG2753" i="1"/>
  <c r="AD2867" i="1"/>
  <c r="AD2815" i="1"/>
  <c r="AG2765" i="1"/>
  <c r="AG2843" i="1"/>
  <c r="AF2681" i="1"/>
  <c r="AF2757" i="1"/>
  <c r="AE2859" i="1"/>
  <c r="AD2839" i="1"/>
  <c r="AD2697" i="1"/>
  <c r="AE2605" i="1"/>
  <c r="AG2855" i="1"/>
  <c r="AE2681" i="1"/>
  <c r="AD2573" i="1"/>
  <c r="AG2613" i="1"/>
  <c r="AF2281" i="1"/>
  <c r="AE2265" i="1"/>
  <c r="AE2187" i="1"/>
  <c r="AG2187" i="1"/>
  <c r="AG2281" i="1"/>
  <c r="AF2197" i="1"/>
  <c r="AD2155" i="1"/>
  <c r="AE2131" i="1"/>
  <c r="AG2589" i="1"/>
  <c r="AD2269" i="1"/>
  <c r="AE2213" i="1"/>
  <c r="AD2015" i="1"/>
  <c r="AF2167" i="1"/>
  <c r="AD2159" i="1"/>
  <c r="AD1967" i="1"/>
  <c r="AF1569" i="1"/>
  <c r="AG2171" i="1"/>
  <c r="AG2151" i="1"/>
  <c r="AF2143" i="1"/>
  <c r="AE2135" i="1"/>
  <c r="AD2127" i="1"/>
  <c r="AG2043" i="1"/>
  <c r="AE1619" i="1"/>
  <c r="AE1611" i="1"/>
  <c r="AD1579" i="1"/>
  <c r="AG1967" i="1"/>
  <c r="AE1915" i="1"/>
  <c r="AG1441" i="1"/>
  <c r="AF1405" i="1"/>
  <c r="AG2175" i="1"/>
  <c r="AG2163" i="1"/>
  <c r="AF1907" i="1"/>
  <c r="AF1811" i="1"/>
  <c r="AD1715" i="1"/>
  <c r="AG1611" i="1"/>
  <c r="AD1605" i="1"/>
  <c r="AG1963" i="1"/>
  <c r="AF1441" i="1"/>
  <c r="AF1433" i="1"/>
  <c r="AE1251" i="1"/>
  <c r="AD1235" i="1"/>
  <c r="AG1501" i="1"/>
  <c r="AG1437" i="1"/>
  <c r="AG1421" i="1"/>
  <c r="AG1235" i="1"/>
  <c r="AG1405" i="1"/>
  <c r="AF2622" i="1"/>
  <c r="AE1955" i="1"/>
  <c r="AG1623" i="1"/>
  <c r="AE637" i="1"/>
  <c r="AG649" i="1"/>
  <c r="AD2992" i="1"/>
  <c r="AG3000" i="1"/>
  <c r="AG2949" i="1"/>
  <c r="AD2949" i="1"/>
  <c r="AD2879" i="1"/>
  <c r="AE2855" i="1"/>
  <c r="AD2863" i="1"/>
  <c r="AG2819" i="1"/>
  <c r="AE2781" i="1"/>
  <c r="AE2773" i="1"/>
  <c r="AF2819" i="1"/>
  <c r="AF2851" i="1"/>
  <c r="AG2836" i="1"/>
  <c r="AF2815" i="1"/>
  <c r="AG2773" i="1"/>
  <c r="AF2765" i="1"/>
  <c r="AG2702" i="1"/>
  <c r="AG2697" i="1"/>
  <c r="AG2622" i="1"/>
  <c r="AD2757" i="1"/>
  <c r="AG2761" i="1"/>
  <c r="AD2621" i="1"/>
  <c r="AF2605" i="1"/>
  <c r="AE2581" i="1"/>
  <c r="AE2573" i="1"/>
  <c r="AF2702" i="1"/>
  <c r="AD2665" i="1"/>
  <c r="AE2621" i="1"/>
  <c r="AD2581" i="1"/>
  <c r="AG2605" i="1"/>
  <c r="AF2265" i="1"/>
  <c r="AF2187" i="1"/>
  <c r="AD2179" i="1"/>
  <c r="AE2155" i="1"/>
  <c r="AD2147" i="1"/>
  <c r="AF2131" i="1"/>
  <c r="AE2269" i="1"/>
  <c r="AF2015" i="1"/>
  <c r="AG2167" i="1"/>
  <c r="AG2155" i="1"/>
  <c r="AG1569" i="1"/>
  <c r="AE2159" i="1"/>
  <c r="AG2131" i="1"/>
  <c r="AE1967" i="1"/>
  <c r="AD1569" i="1"/>
  <c r="AD2151" i="1"/>
  <c r="AG2143" i="1"/>
  <c r="AF2135" i="1"/>
  <c r="AE2127" i="1"/>
  <c r="AD1619" i="1"/>
  <c r="AD1611" i="1"/>
  <c r="AF1579" i="1"/>
  <c r="AF1915" i="1"/>
  <c r="AD2175" i="1"/>
  <c r="AG1907" i="1"/>
  <c r="AG1811" i="1"/>
  <c r="AE1715" i="1"/>
  <c r="AG1605" i="1"/>
  <c r="AD1963" i="1"/>
  <c r="AF1251" i="1"/>
  <c r="AF1565" i="1"/>
  <c r="AE649" i="1"/>
  <c r="AG2777" i="1"/>
  <c r="AF1955" i="1"/>
  <c r="AG1619" i="1"/>
  <c r="AE621" i="1"/>
  <c r="AE557" i="1"/>
  <c r="AD589" i="1"/>
  <c r="AD557" i="1"/>
  <c r="X3007" i="1"/>
  <c r="Z3007" i="1" s="1"/>
  <c r="W3007" i="1"/>
  <c r="S3007" i="1"/>
  <c r="Q3007" i="1"/>
  <c r="F3014" i="1"/>
  <c r="F3015" i="1" l="1"/>
  <c r="W10" i="1" l="1"/>
  <c r="X10" i="1"/>
  <c r="Q10" i="1"/>
  <c r="S10" i="1" s="1"/>
  <c r="T10" i="1" s="1"/>
  <c r="AH10" i="1" s="1"/>
  <c r="I3007" i="1" l="1"/>
  <c r="AB10" i="1"/>
  <c r="AB3007" i="1"/>
  <c r="AC3007" i="1" l="1"/>
  <c r="AC10" i="1"/>
  <c r="Z10" i="1" s="1"/>
  <c r="K3007" i="1"/>
  <c r="M10" i="1"/>
  <c r="R10" i="1" s="1"/>
  <c r="L3007" i="1"/>
  <c r="Y10" i="1"/>
  <c r="AE10" i="1" s="1"/>
  <c r="Y3007" i="1" l="1"/>
  <c r="AD3007" i="1" s="1"/>
  <c r="M3007" i="1"/>
  <c r="R3007" i="1" s="1"/>
  <c r="AD10" i="1"/>
  <c r="AF10" i="1"/>
  <c r="AG10" i="1"/>
  <c r="AG3007" i="1" l="1"/>
  <c r="AE3007" i="1"/>
  <c r="AF300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<sst xmlns="http://schemas.openxmlformats.org/spreadsheetml/2006/main" count="15994" uniqueCount="3608">
  <si>
    <t>Company</t>
  </si>
  <si>
    <t>ID</t>
  </si>
  <si>
    <t>Model</t>
  </si>
  <si>
    <t>Date of Cal</t>
  </si>
  <si>
    <t>Units</t>
  </si>
  <si>
    <t>Asset Info</t>
  </si>
  <si>
    <t>Std Read</t>
  </si>
  <si>
    <t>Standard Info</t>
  </si>
  <si>
    <t>Spec Type</t>
  </si>
  <si>
    <t>Low Tol</t>
  </si>
  <si>
    <t>High Tol</t>
  </si>
  <si>
    <t>Tol Span</t>
  </si>
  <si>
    <t>Error Span</t>
  </si>
  <si>
    <t>Ratio</t>
  </si>
  <si>
    <t>Result</t>
  </si>
  <si>
    <t>DUT Nom</t>
  </si>
  <si>
    <t>DUT Read</t>
  </si>
  <si>
    <t>Pass/Fail</t>
  </si>
  <si>
    <t>DUT Ucty</t>
  </si>
  <si>
    <t>Std Error</t>
  </si>
  <si>
    <t>Data Eval</t>
  </si>
  <si>
    <t>Std Ucty</t>
  </si>
  <si>
    <t>DUT Adj Read</t>
  </si>
  <si>
    <t>Std Adj Read</t>
  </si>
  <si>
    <t>&gt; Eval</t>
  </si>
  <si>
    <t>&lt; Eval</t>
  </si>
  <si>
    <t>&gt;= Eval</t>
  </si>
  <si>
    <t>&lt;= Eval</t>
  </si>
  <si>
    <t>BACKEND/NOTES</t>
  </si>
  <si>
    <t>Final Eval</t>
  </si>
  <si>
    <t>Notes</t>
  </si>
  <si>
    <t>Errant Standard:</t>
  </si>
  <si>
    <t>Company:</t>
  </si>
  <si>
    <t>Analysis Date:</t>
  </si>
  <si>
    <t>Covered Range:</t>
  </si>
  <si>
    <t>±</t>
  </si>
  <si>
    <t>&gt;</t>
  </si>
  <si>
    <t>≥</t>
  </si>
  <si>
    <t>&lt;</t>
  </si>
  <si>
    <t>≤</t>
  </si>
  <si>
    <t>Manufacturer</t>
  </si>
  <si>
    <t>Description</t>
  </si>
  <si>
    <t>Serial Number</t>
  </si>
  <si>
    <t>Calibration Type:</t>
  </si>
  <si>
    <t>Evaluation of Errancy Significance upon Reverse Trace Assets</t>
  </si>
  <si>
    <t>Spec Type2</t>
  </si>
  <si>
    <t>+/- Eval</t>
  </si>
  <si>
    <t>DUT Preliminary Evaluation</t>
  </si>
  <si>
    <t>No further action required.</t>
  </si>
  <si>
    <t>See Notes.</t>
  </si>
  <si>
    <t>Alexander Haskins</t>
  </si>
  <si>
    <t>Initial Release</t>
  </si>
  <si>
    <t>Added Macros</t>
  </si>
  <si>
    <t>Reformatted, separated Macros, added further research tab</t>
  </si>
  <si>
    <t>Un-forked double/singlesided specs documents. Split Calculations away from final report for clarity. Adjusted macros accordingly.</t>
  </si>
  <si>
    <t>Forked Single-Sided specs from double-sided specs document.</t>
  </si>
  <si>
    <t>Cal Type</t>
  </si>
  <si>
    <t>Std Nom</t>
  </si>
  <si>
    <t>Minor formatting tweaks.</t>
  </si>
  <si>
    <t>Validation:</t>
  </si>
  <si>
    <t>YES</t>
  </si>
  <si>
    <t>Have all calculations been verified/validated?</t>
  </si>
  <si>
    <t>Have all formulas been verified/validated?</t>
  </si>
  <si>
    <t>Are all STD OOT Parameters on applicable able to be captured?</t>
  </si>
  <si>
    <t>Are all presumptive analyses correct, or able to be corrected?</t>
  </si>
  <si>
    <t>Have all Macros been verified to not drop DUT assets?</t>
  </si>
  <si>
    <t>Macro button dupolicates calculations tab and asks for new parameter name.</t>
  </si>
  <si>
    <t>Were based directly out of the procedure.</t>
  </si>
  <si>
    <t>Verified.</t>
  </si>
  <si>
    <t>Added new OOT parameter button. Added Validation. Import data function is now one singular function, scrubbing for blanks in the report automatically.</t>
  </si>
  <si>
    <t>Analysis still required.</t>
  </si>
  <si>
    <t>Sample rate used in this evaluation:</t>
  </si>
  <si>
    <t>%</t>
  </si>
  <si>
    <t>Debugged sample sub-routine, for better logic flow, confirmations/restarts, and preventing tampering with 100% sample rates.</t>
  </si>
  <si>
    <t>Wrote new sampling routine (depricating the old), this time filtering for unique model numbers, as approved by Service Quality Department (Ani Bomben, 1/4/2019)</t>
  </si>
  <si>
    <t>Removed cannot save bug, and added sampling routine.</t>
  </si>
  <si>
    <t>Total Assets in this evaluation:</t>
  </si>
  <si>
    <t>assets</t>
  </si>
  <si>
    <t>Assets Analyzed in this evaluation:</t>
  </si>
  <si>
    <t>INSTRUCTIONS</t>
  </si>
  <si>
    <t>Debugged unique-sampling routine. It's a little slower, but actually performs as intended with no weird artifacts, or double-checks required.</t>
  </si>
  <si>
    <t>Gage Condition</t>
  </si>
  <si>
    <t>USER INPUT</t>
  </si>
  <si>
    <t>Drop-down in F5, comparison to listed condition in gage for recall logic, allowed for parameters beyond 2.</t>
  </si>
  <si>
    <t>Expanded the number of possible entries from 1k to 3k, to account for the MM test stand's Calibrator having some 2.5k assets attributed.</t>
  </si>
  <si>
    <t>Quick Instructions:</t>
  </si>
  <si>
    <t>1. Get the reverse trace report (second option in the drop down on the gage reverse trace report screen). Open the file, after download is complete.</t>
  </si>
  <si>
    <t>Open the Excel file you just downloaded, and if it's not already, open this OOT Impact Analysis Template file. Which you're ostensibly reading right now.</t>
  </si>
  <si>
    <t>6.A</t>
  </si>
  <si>
    <t>6.B</t>
  </si>
  <si>
    <t>6.C</t>
  </si>
  <si>
    <t>6.D</t>
  </si>
  <si>
    <t>6.D.i</t>
  </si>
  <si>
    <t>6.D.ii</t>
  </si>
  <si>
    <t>6.D.iii</t>
  </si>
  <si>
    <t>6.E</t>
  </si>
  <si>
    <t>6.F</t>
  </si>
  <si>
    <t>6.G</t>
  </si>
  <si>
    <t>6.H</t>
  </si>
  <si>
    <t>6.I</t>
  </si>
  <si>
    <t>Click the Second Macro Button to add any additional OOT Parameters, if more than one parameter was OOT. The macro will prompt you for the parameter names, and rename the new tabs accordingly for you. For example, DCV and Resistance were OOT on a Fluke 5700.</t>
  </si>
  <si>
    <t>Fill in Cell F5 in the Calculations tab from the drop down present in the cell.</t>
  </si>
  <si>
    <t>If there is no intersection between Standard/DUT test points, tweak this row's specific Standard Nominal &amp; Read to intersect with the DUT's range/test point. If there is no intersection in this parameter, press CTRL+M, and move on to the next row.</t>
  </si>
  <si>
    <t>6.J</t>
  </si>
  <si>
    <t>6.J.i</t>
  </si>
  <si>
    <r>
      <rPr>
        <b/>
        <sz val="11"/>
        <color theme="1"/>
        <rFont val="Calibri"/>
        <family val="2"/>
        <scheme val="minor"/>
      </rPr>
      <t>Cols I &amp; J:</t>
    </r>
    <r>
      <rPr>
        <sz val="11"/>
        <color theme="1"/>
        <rFont val="Calibri"/>
        <family val="2"/>
        <scheme val="minor"/>
      </rPr>
      <t xml:space="preserve"> Unit of measure and whether or not the unit is single sided or double-sided in its specification, which will determine adjusted pass/fail later.</t>
    </r>
  </si>
  <si>
    <r>
      <rPr>
        <b/>
        <sz val="11"/>
        <color theme="1"/>
        <rFont val="Calibri"/>
        <family val="2"/>
        <scheme val="minor"/>
      </rPr>
      <t>Col O &amp; P:</t>
    </r>
    <r>
      <rPr>
        <sz val="11"/>
        <color theme="1"/>
        <rFont val="Calibri"/>
        <family val="2"/>
        <scheme val="minor"/>
      </rPr>
      <t xml:space="preserve"> The high and low tolerance of the test point that intersects with the worst standard error entered in the previous steps.</t>
    </r>
  </si>
  <si>
    <r>
      <rPr>
        <b/>
        <sz val="11"/>
        <color theme="1"/>
        <rFont val="Calibri"/>
        <family val="2"/>
        <scheme val="minor"/>
      </rPr>
      <t>Col AH:</t>
    </r>
    <r>
      <rPr>
        <sz val="11"/>
        <color theme="1"/>
        <rFont val="Calibri"/>
        <family val="2"/>
        <scheme val="minor"/>
      </rPr>
      <t xml:space="preserve"> This column automatically compares the input Gage condition versus the adjusted condition and tells you if a recall is required. HOWEVER! If there is some extenuating circumstance you're aware of, as cell lead or as tech super on location, or other various circumstances, feel free to manually adjust this column utilizing the drop down present.</t>
    </r>
  </si>
  <si>
    <t>Increased formulaic automation (decreases copy/pasting), expanded instructions, added Quick instructions on calculations tab, added conditional formatting for ease of use by newcomers.</t>
  </si>
  <si>
    <r>
      <rPr>
        <b/>
        <sz val="11"/>
        <color theme="1"/>
        <rFont val="Calibri"/>
        <family val="2"/>
        <scheme val="minor"/>
      </rPr>
      <t>Col AI</t>
    </r>
    <r>
      <rPr>
        <sz val="11"/>
        <color theme="1"/>
        <rFont val="Calibri"/>
        <family val="2"/>
        <scheme val="minor"/>
      </rPr>
      <t>: Explain any extenuating circumstances, or any notations at all, that are relevant to the Impact Analysis for that DUT. For example, "Not affected by X parameter, see X Tab for other parameter(s)", "No intersection of test ranges", and "Accuracy of measurement is derived from a different standard", "Standard's inclusion was a typo during cal event" are all pretty common entries. If it's metrologically and logically sound, input whatever justification for whatever manual determination you have. But you must justify it.</t>
    </r>
  </si>
  <si>
    <t>If you notice an issue that would cause a traceability, repeatability, or accuracy issue (anything A2LA wouldn't like- for example, using a transducer below 10% FS), recall the DUT, for proper recalibration, and input the notes in Col AI. Sanitize the notes, as this is customer-facing, but be clear about what the problem is. Continuing the example, "Standard transducer was used below 10% capacity, accuracy of readings cannot be verified in this range. Please Recall DUT for proper recalibration," is more than sufficiently clear and sanitized. No call-outs of your fellow techs! Stick to the facts, not accusations.</t>
  </si>
  <si>
    <t>Bug fix with dropped formulas in Cols I:N after last update. Added input tab rename routine, to clarify it is the full reverse trace.</t>
  </si>
  <si>
    <t>Michael Sandel</t>
  </si>
  <si>
    <t>Added error routine for macro to pull in reverse trace report</t>
  </si>
  <si>
    <t>If the row turns green after Column P, proceed to the next row, any impact is considered mathematically insignificant.</t>
  </si>
  <si>
    <r>
      <t xml:space="preserve">Upon completion, save the file (save frequently!!!), and send it to the Process Engineer Team and CC your TSM for close-out in accordance with the OOT Procedure. We'll take it from there, and </t>
    </r>
    <r>
      <rPr>
        <b/>
        <i/>
        <sz val="11"/>
        <color theme="1"/>
        <rFont val="Calibri"/>
        <family val="2"/>
        <scheme val="minor"/>
      </rPr>
      <t>we really appreciate the help!</t>
    </r>
  </si>
  <si>
    <t>Rebuilt conditional formatting. Added "Semi-Significant" condition. Tweaked "Recall Required" to "Action Required". Updated Instructions for new tweaks.</t>
  </si>
  <si>
    <t>Sample declaration verbiage tweaked; re-approved by Jennifer Fleenor.</t>
  </si>
  <si>
    <t>Sample Selection for this Impact Analysis was generated programmatically, filtering for unique model numbers with Excel's VBA-based macro function (code can be provided upon request). This approach was chosen specifically to give the broadest view across the potential specification ranges of the reverse trace assets.
Note: if significant impact is found, that specific model number's section will be expanded out to include all of its assets, so each asset can be individually analyzed, and recalls can be issued appropriately for all affected assets.</t>
  </si>
  <si>
    <t>Optimization Tweaks: Sped up process of inputting data by hiding all blank rows at once rather than line by line</t>
  </si>
  <si>
    <t>Used by Model Sample</t>
  </si>
  <si>
    <t>Used by Ctrl+M</t>
  </si>
  <si>
    <t>Used by Dropdowns</t>
  </si>
  <si>
    <t>Used by Ctrl+J</t>
  </si>
  <si>
    <t>Determination required.</t>
  </si>
  <si>
    <t>Performed in Accordance with CS-SOP-OOT Procedure, Revision 2</t>
  </si>
  <si>
    <t>2. Click the Import Data Button; let it run, this performs a QA-approved sample method based on unique Model #. Reverse Trace file will import into Input/Rev Trace tab and then close completely.</t>
  </si>
  <si>
    <t>3. If required, hit the button in Cols I/J, to add new tabs for other OOT parameters of the standard (DCV &amp; Resistance are both OOT on a Fluke calibrator, for instance). You do not need a new parameter tab per OOT test point within the same parameter/range.</t>
  </si>
  <si>
    <t>4. Starting in the top row, fill in the blue cells, from left to right. Rows beneath will auto-populate as you proceed.</t>
  </si>
  <si>
    <t>5. If the row turns blue, move to the next row. If the row turns yellow/red, fill in as much as you can. See Instructions tab for detailed breakdowns of each column and value.
     If the DUT does not have data, leave Column V blank, but proceed to Col AA.</t>
  </si>
  <si>
    <t>6. When complete, save this file and send this to the PE Team (Teams message, Email, OOT Manager MS Form Tool are all acceptable).</t>
  </si>
  <si>
    <t>Download Reverse Trace REPORT from Gage Insight software. .XLS is required. Should be the second option in Gage Report Screen. The macro needs the header present on the report, and pulls data starting from row 8 on the report.</t>
  </si>
  <si>
    <t>Click the left-most macro button on the Calculations tab. The macro will import the data, close the reverse trace file, and filter for unique model numbers automatically. This is a Quality approved sample methodology. The raw reverse trace data is stored in the so-named tab.</t>
  </si>
  <si>
    <t>Head to the appropriate calculations tab(s), and starting from Row 10, proceed from left to right. Possible columns to fill in are: I, J, K, L, N, O, P, V, W, &amp; AA. They'll be blue and empty if you need to fill them in, as conditional formatting is used to highlight necessary inputs.</t>
  </si>
  <si>
    <r>
      <rPr>
        <b/>
        <sz val="11"/>
        <color theme="1"/>
        <rFont val="Calibri"/>
        <family val="2"/>
        <scheme val="minor"/>
      </rPr>
      <t>Cols K &amp; L</t>
    </r>
    <r>
      <rPr>
        <sz val="11"/>
        <color theme="1"/>
        <rFont val="Calibri"/>
        <family val="2"/>
        <scheme val="minor"/>
      </rPr>
      <t xml:space="preserve">: </t>
    </r>
    <r>
      <rPr>
        <b/>
        <u/>
        <sz val="11"/>
        <color theme="1"/>
        <rFont val="Calibri"/>
        <family val="2"/>
        <scheme val="minor"/>
      </rPr>
      <t>Use the worst error present within the OOT Standard parameter.</t>
    </r>
    <r>
      <rPr>
        <sz val="11"/>
        <color theme="1"/>
        <rFont val="Calibri"/>
        <family val="2"/>
        <scheme val="minor"/>
      </rPr>
      <t xml:space="preserve"> This ensures the widest net possible is cast, and prevents some DUTs from slipping through the cracks that would require recall.</t>
    </r>
  </si>
  <si>
    <r>
      <rPr>
        <b/>
        <sz val="11"/>
        <color theme="1"/>
        <rFont val="Calibri"/>
        <family val="2"/>
        <scheme val="minor"/>
      </rPr>
      <t>Col N</t>
    </r>
    <r>
      <rPr>
        <sz val="11"/>
        <color theme="1"/>
        <rFont val="Calibri"/>
        <family val="2"/>
        <scheme val="minor"/>
      </rPr>
      <t>: If empty and blue, fill in the uncertainty for the measurement with the worst error (the nominal vs read utilized in cols K &amp; L). Otherwise, leave this cell alone.</t>
    </r>
  </si>
  <si>
    <r>
      <t xml:space="preserve">If the row does not turn green after Column P, head over to the down arrow in cell D9. Click it, find the relevant model number to the row you were working on, uncheck it, then check it. This expands the hidden assets of that model number. We need to see the data on each one specifically, to be able to make a determination if there was an impact. </t>
    </r>
    <r>
      <rPr>
        <b/>
        <sz val="11"/>
        <color theme="1"/>
        <rFont val="Calibri"/>
        <family val="2"/>
        <scheme val="minor"/>
      </rPr>
      <t>Do not touch anything else in this drop down, or else you'll undo the whole sample.</t>
    </r>
  </si>
  <si>
    <r>
      <rPr>
        <b/>
        <sz val="11"/>
        <color theme="1"/>
        <rFont val="Calibri"/>
        <family val="2"/>
        <scheme val="minor"/>
      </rPr>
      <t>Col V:</t>
    </r>
    <r>
      <rPr>
        <sz val="11"/>
        <color theme="1"/>
        <rFont val="Calibri"/>
        <family val="2"/>
        <scheme val="minor"/>
      </rPr>
      <t xml:space="preserve"> DUT Data time. Input the DUT As Found Value. If no data is available, leave this cell blank. This compares to the already-present DUT tolerances, after arithmetically adjustmenting the value based on the standard error.</t>
    </r>
  </si>
  <si>
    <r>
      <rPr>
        <b/>
        <sz val="11"/>
        <color theme="1"/>
        <rFont val="Calibri"/>
        <family val="2"/>
        <scheme val="minor"/>
      </rPr>
      <t>Col W:</t>
    </r>
    <r>
      <rPr>
        <sz val="11"/>
        <color theme="1"/>
        <rFont val="Calibri"/>
        <family val="2"/>
        <scheme val="minor"/>
      </rPr>
      <t xml:space="preserve"> If blue/blank, input the DUT's uncertainty as it pertains to the test point you've input in Col V.</t>
    </r>
  </si>
  <si>
    <r>
      <rPr>
        <b/>
        <sz val="11"/>
        <color theme="1"/>
        <rFont val="Calibri"/>
        <family val="2"/>
        <scheme val="minor"/>
      </rPr>
      <t>Col Z:</t>
    </r>
    <r>
      <rPr>
        <sz val="11"/>
        <color theme="1"/>
        <rFont val="Calibri"/>
        <family val="2"/>
        <scheme val="minor"/>
      </rPr>
      <t xml:space="preserve"> </t>
    </r>
    <r>
      <rPr>
        <b/>
        <sz val="11"/>
        <color theme="1"/>
        <rFont val="Calibri"/>
        <family val="2"/>
        <scheme val="minor"/>
      </rPr>
      <t>NO INPUT</t>
    </r>
    <r>
      <rPr>
        <sz val="11"/>
        <color theme="1"/>
        <rFont val="Calibri"/>
        <family val="2"/>
        <scheme val="minor"/>
      </rPr>
      <t>- If DUT As Found was provided, this column tells if the unit actually passed or failed versus its listed tolerances. This is the adjusted condition. Otherwise, it reads "Need Data".</t>
    </r>
  </si>
  <si>
    <r>
      <rPr>
        <b/>
        <sz val="11"/>
        <color theme="1"/>
        <rFont val="Calibri"/>
        <family val="2"/>
        <scheme val="minor"/>
      </rPr>
      <t>Col AA:</t>
    </r>
    <r>
      <rPr>
        <sz val="11"/>
        <color theme="1"/>
        <rFont val="Calibri"/>
        <family val="2"/>
        <scheme val="minor"/>
      </rPr>
      <t xml:space="preserve"> Input whether or not the DUT passed or failed according to the relevant event in Gage. If the unit passed in Gage, and passes now, no action is required. If the unit failed in Gage and fails now, no action. We're only concerned with a change in those conditions.</t>
    </r>
  </si>
  <si>
    <t>Hid unnecessary-to-user columns, added undo to non-intersection macro, added IMPACTED macro (CTRL+J), adjusted conditional formatting and some determination logic. Updated Instructions.</t>
  </si>
  <si>
    <t>Fails FI, determination required.</t>
  </si>
  <si>
    <t>Used by Ctrl+P</t>
  </si>
  <si>
    <t>Added "Fails FI, determination required" to Final Result column options, complete with ctrl+p macro (it's undo-able!). Tweaked conditional formatting to not overwrite blue spaces requiring user input.</t>
  </si>
  <si>
    <t>Revision # of most recent validation:</t>
  </si>
  <si>
    <t>Change Notes:</t>
  </si>
  <si>
    <t>Date:</t>
  </si>
  <si>
    <t>Name:</t>
  </si>
  <si>
    <t>Rev #:</t>
  </si>
  <si>
    <r>
      <rPr>
        <b/>
        <sz val="11"/>
        <color theme="1"/>
        <rFont val="Calibri"/>
        <family val="2"/>
        <scheme val="minor"/>
      </rPr>
      <t>Performed by:</t>
    </r>
    <r>
      <rPr>
        <sz val="11"/>
        <color theme="1"/>
        <rFont val="Calibri"/>
        <family val="2"/>
        <scheme val="minor"/>
      </rPr>
      <t xml:space="preserve"> Chris Pearson</t>
    </r>
  </si>
  <si>
    <t>Validation Notes:</t>
  </si>
  <si>
    <t>Consolidated Validation and Rev History Tabs, added Validation details (Rev # Validated, Validated by).</t>
  </si>
  <si>
    <t>Ucty</t>
  </si>
  <si>
    <t>AsF</t>
  </si>
  <si>
    <t>Nom</t>
  </si>
  <si>
    <t>Max Err %:</t>
  </si>
  <si>
    <t>Error %</t>
  </si>
  <si>
    <t>Condition</t>
  </si>
  <si>
    <t>Tolerance</t>
  </si>
  <si>
    <t>Error</t>
  </si>
  <si>
    <t>Uncertainty</t>
  </si>
  <si>
    <t>As Found</t>
  </si>
  <si>
    <t>Nominal</t>
  </si>
  <si>
    <t>lbf·in</t>
  </si>
  <si>
    <t>Yellow Jacket</t>
  </si>
  <si>
    <t>lbf·ft</t>
  </si>
  <si>
    <t>Wright Tools</t>
  </si>
  <si>
    <t>Wright Tool</t>
  </si>
  <si>
    <t>N/A</t>
  </si>
  <si>
    <t>MTW-50SA</t>
  </si>
  <si>
    <t>Williams</t>
  </si>
  <si>
    <t>ozf·in</t>
  </si>
  <si>
    <t>61SP</t>
  </si>
  <si>
    <t>61SMW</t>
  </si>
  <si>
    <t>401SP</t>
  </si>
  <si>
    <t>21SPW</t>
  </si>
  <si>
    <t>151SPW</t>
  </si>
  <si>
    <t>WDMI-600</t>
  </si>
  <si>
    <t>MTD-2-75</t>
  </si>
  <si>
    <t>HTW-4RCF</t>
  </si>
  <si>
    <t>Willams</t>
  </si>
  <si>
    <t>C752MFRW</t>
  </si>
  <si>
    <t>C2502MRW</t>
  </si>
  <si>
    <t>N·m</t>
  </si>
  <si>
    <t>Wiha</t>
  </si>
  <si>
    <t>2882-20</t>
  </si>
  <si>
    <t>cN·m</t>
  </si>
  <si>
    <t>6PAH9</t>
  </si>
  <si>
    <t>Westward</t>
  </si>
  <si>
    <t>6PAH7</t>
  </si>
  <si>
    <t>6PAG8</t>
  </si>
  <si>
    <t>6PAG5</t>
  </si>
  <si>
    <t>6PAG4</t>
  </si>
  <si>
    <t>6PAG3</t>
  </si>
  <si>
    <t>4RYK7</t>
  </si>
  <si>
    <t>4DA97</t>
  </si>
  <si>
    <t>4DA96</t>
  </si>
  <si>
    <t>4DA95</t>
  </si>
  <si>
    <t>4DA94</t>
  </si>
  <si>
    <t>10L422</t>
  </si>
  <si>
    <t>10L420</t>
  </si>
  <si>
    <t>10L419</t>
  </si>
  <si>
    <t>6PAG2</t>
  </si>
  <si>
    <t>6PAG1</t>
  </si>
  <si>
    <t>6PAG0</t>
  </si>
  <si>
    <t>6PAF8</t>
  </si>
  <si>
    <t>6PAF7</t>
  </si>
  <si>
    <t>6PAF6</t>
  </si>
  <si>
    <t>6PAF5</t>
  </si>
  <si>
    <t>6PAF4</t>
  </si>
  <si>
    <t>6PAE8</t>
  </si>
  <si>
    <t>4RYL9</t>
  </si>
  <si>
    <t>4RYL8</t>
  </si>
  <si>
    <t>4RYL6</t>
  </si>
  <si>
    <t>4RYL5</t>
  </si>
  <si>
    <t>4RYL3</t>
  </si>
  <si>
    <t>4RYL2</t>
  </si>
  <si>
    <t>39WE18</t>
  </si>
  <si>
    <t>39WE16</t>
  </si>
  <si>
    <t>39WE12</t>
  </si>
  <si>
    <t>39WE11</t>
  </si>
  <si>
    <t>23NN43</t>
  </si>
  <si>
    <t>23NN39</t>
  </si>
  <si>
    <t>ONLY</t>
  </si>
  <si>
    <t>Wera Folder</t>
  </si>
  <si>
    <t>Use DS from</t>
  </si>
  <si>
    <t>Wera</t>
  </si>
  <si>
    <t>A5</t>
  </si>
  <si>
    <t>7006E</t>
  </si>
  <si>
    <t>7005C</t>
  </si>
  <si>
    <t>7003C</t>
  </si>
  <si>
    <t>7001C</t>
  </si>
  <si>
    <t>7001B</t>
  </si>
  <si>
    <t>7000C</t>
  </si>
  <si>
    <t>7000B</t>
  </si>
  <si>
    <t>7000A</t>
  </si>
  <si>
    <t>9918380000-7Nm</t>
  </si>
  <si>
    <t>Weidmuller</t>
  </si>
  <si>
    <t>9918370000-8Nm</t>
  </si>
  <si>
    <t>9918370000-1.7Nm</t>
  </si>
  <si>
    <t>S-8</t>
  </si>
  <si>
    <t>Velocity Microwave</t>
  </si>
  <si>
    <t>S-5</t>
  </si>
  <si>
    <t>N20-8</t>
  </si>
  <si>
    <t>N20-12</t>
  </si>
  <si>
    <t>N19-8</t>
  </si>
  <si>
    <t>N19-12</t>
  </si>
  <si>
    <t>Valin</t>
  </si>
  <si>
    <t>Utica Folder</t>
  </si>
  <si>
    <t>TT-1</t>
  </si>
  <si>
    <t>Utica Tools</t>
  </si>
  <si>
    <t>TT SN 1</t>
  </si>
  <si>
    <t>TS-30</t>
  </si>
  <si>
    <t>TS-100</t>
  </si>
  <si>
    <t>TS SN 2</t>
  </si>
  <si>
    <t>TS SN 1</t>
  </si>
  <si>
    <t>TS 35</t>
  </si>
  <si>
    <t>kgf·m</t>
  </si>
  <si>
    <t>TCI 8M</t>
  </si>
  <si>
    <t>TCI 81/2M</t>
  </si>
  <si>
    <t>TCI 75FRN</t>
  </si>
  <si>
    <t>TCI 75FN</t>
  </si>
  <si>
    <t>TCI 750R</t>
  </si>
  <si>
    <t>TCI 750 1/2</t>
  </si>
  <si>
    <t>TCI 750</t>
  </si>
  <si>
    <t>TCI 7250R</t>
  </si>
  <si>
    <t>TCI 600FRN</t>
  </si>
  <si>
    <t>TCI 250R</t>
  </si>
  <si>
    <t>TCI 250FRN</t>
  </si>
  <si>
    <t>TCI 20M</t>
  </si>
  <si>
    <t>TCI 1600R</t>
  </si>
  <si>
    <t>TCI 1600</t>
  </si>
  <si>
    <t>TCI 150RA 3/8</t>
  </si>
  <si>
    <t>TCI 150RA</t>
  </si>
  <si>
    <t>TCI 150FRN</t>
  </si>
  <si>
    <t>TCI 150FRD</t>
  </si>
  <si>
    <t>TCI 150FN</t>
  </si>
  <si>
    <t>TCI 150 3/8</t>
  </si>
  <si>
    <t>TCI 150</t>
  </si>
  <si>
    <t>FH 150FRN</t>
  </si>
  <si>
    <t>CHB 9</t>
  </si>
  <si>
    <t>CHB 7</t>
  </si>
  <si>
    <t>CHB 15</t>
  </si>
  <si>
    <t>CHB 13</t>
  </si>
  <si>
    <t>CHB 11</t>
  </si>
  <si>
    <t>CHA 7</t>
  </si>
  <si>
    <t>CHA 6</t>
  </si>
  <si>
    <t>CHA 5</t>
  </si>
  <si>
    <t>CHA 23</t>
  </si>
  <si>
    <t>CHA 11</t>
  </si>
  <si>
    <t>CH 75F</t>
  </si>
  <si>
    <t>CH 150F</t>
  </si>
  <si>
    <t>CH 150</t>
  </si>
  <si>
    <t>DA4600FM</t>
  </si>
  <si>
    <t>DA4600F</t>
  </si>
  <si>
    <t>DA4350FMPC</t>
  </si>
  <si>
    <t>DA4350FM</t>
  </si>
  <si>
    <t>DA3250FM</t>
  </si>
  <si>
    <t>DA3175FM</t>
  </si>
  <si>
    <t>DA3100FM</t>
  </si>
  <si>
    <t>DA2600M</t>
  </si>
  <si>
    <t>DA2600</t>
  </si>
  <si>
    <t>DA250FM</t>
  </si>
  <si>
    <t>DA2300M</t>
  </si>
  <si>
    <t>DA2150M</t>
  </si>
  <si>
    <t>DA175M</t>
  </si>
  <si>
    <t>DA130M</t>
  </si>
  <si>
    <t>B2600</t>
  </si>
  <si>
    <t>6107A</t>
  </si>
  <si>
    <t>Urrea</t>
  </si>
  <si>
    <t>6106A</t>
  </si>
  <si>
    <t>6105A</t>
  </si>
  <si>
    <t>6066A</t>
  </si>
  <si>
    <t>6064A</t>
  </si>
  <si>
    <t>6062A</t>
  </si>
  <si>
    <t>6061A</t>
  </si>
  <si>
    <t>6012A</t>
  </si>
  <si>
    <t>6179E</t>
  </si>
  <si>
    <t>6178A</t>
  </si>
  <si>
    <t>6177A</t>
  </si>
  <si>
    <t>6134A</t>
  </si>
  <si>
    <t>6121A</t>
  </si>
  <si>
    <t>6007A</t>
  </si>
  <si>
    <t>QCOK4</t>
  </si>
  <si>
    <t>Unknown</t>
  </si>
  <si>
    <t>80 lbf·ft</t>
  </si>
  <si>
    <t>Ultra Pro</t>
  </si>
  <si>
    <t>Truecraft</t>
  </si>
  <si>
    <t xml:space="preserve">Use datasheet </t>
  </si>
  <si>
    <t>folder</t>
  </si>
  <si>
    <t>in Tri-Sure</t>
  </si>
  <si>
    <t>26WTTS</t>
  </si>
  <si>
    <t>Tri-Sure</t>
  </si>
  <si>
    <t>26WTSW</t>
  </si>
  <si>
    <t>26WTSP</t>
  </si>
  <si>
    <t>26WSTS</t>
  </si>
  <si>
    <t>26WSSW</t>
  </si>
  <si>
    <t>26WSSC</t>
  </si>
  <si>
    <t>FXL63</t>
  </si>
  <si>
    <t>Tri Torq</t>
  </si>
  <si>
    <t>FXL5</t>
  </si>
  <si>
    <t>FXL33</t>
  </si>
  <si>
    <t>FXL320</t>
  </si>
  <si>
    <t>FXL32</t>
  </si>
  <si>
    <t>FXL200</t>
  </si>
  <si>
    <t>FXL100</t>
  </si>
  <si>
    <t>TBN 65G</t>
  </si>
  <si>
    <t>TorqueLeader</t>
  </si>
  <si>
    <t>TBN 65</t>
  </si>
  <si>
    <t>TBN 2G</t>
  </si>
  <si>
    <t>TBN 25G</t>
  </si>
  <si>
    <t>TBN 25</t>
  </si>
  <si>
    <t>TBN 200G</t>
  </si>
  <si>
    <t>TBN 200</t>
  </si>
  <si>
    <t>TBN 2</t>
  </si>
  <si>
    <t>TBN 135G</t>
  </si>
  <si>
    <t>TBN 135</t>
  </si>
  <si>
    <t>TBN 10G</t>
  </si>
  <si>
    <t>TBN 10</t>
  </si>
  <si>
    <t>Standard 1/4 Square Drive</t>
  </si>
  <si>
    <t>Minor 1/4 Square Drive</t>
  </si>
  <si>
    <t>TB12C</t>
  </si>
  <si>
    <t>TB100C</t>
  </si>
  <si>
    <t>TT 500 FH</t>
  </si>
  <si>
    <t>Torque Leader</t>
  </si>
  <si>
    <t>TT 250 FH</t>
  </si>
  <si>
    <t>TT 100 FH</t>
  </si>
  <si>
    <t>TQT-ADJ-100FL</t>
  </si>
  <si>
    <t>Torqtite</t>
  </si>
  <si>
    <t>D-Torq (DX)</t>
  </si>
  <si>
    <t>Topeak</t>
  </si>
  <si>
    <t>N·cm</t>
  </si>
  <si>
    <t>NSP100CNX8</t>
  </si>
  <si>
    <t>Tohnichi</t>
  </si>
  <si>
    <t>RTD80Z</t>
  </si>
  <si>
    <t>RTD60CN</t>
  </si>
  <si>
    <t>RTD5I</t>
  </si>
  <si>
    <t>RTD50Z</t>
  </si>
  <si>
    <t>RTD500CN</t>
  </si>
  <si>
    <t>RTD40Z</t>
  </si>
  <si>
    <t>RTD40I</t>
  </si>
  <si>
    <t>RTD30CN</t>
  </si>
  <si>
    <t>RTD260CN</t>
  </si>
  <si>
    <t>RTD22I</t>
  </si>
  <si>
    <t>RTD20Z</t>
  </si>
  <si>
    <t>RTD2.6I</t>
  </si>
  <si>
    <t>RTD150Z</t>
  </si>
  <si>
    <t>RTD120CN</t>
  </si>
  <si>
    <t>RTD10I</t>
  </si>
  <si>
    <t>RTD100Z</t>
  </si>
  <si>
    <t>RNTD60CN</t>
  </si>
  <si>
    <t>RNTD500CN</t>
  </si>
  <si>
    <t>RNTD30CN</t>
  </si>
  <si>
    <t>RNTD260CN</t>
  </si>
  <si>
    <t>RNTD120CN</t>
  </si>
  <si>
    <t>LTD90I</t>
  </si>
  <si>
    <t>LTD80Z</t>
  </si>
  <si>
    <t>LTD60CN</t>
  </si>
  <si>
    <t>LTD5I</t>
  </si>
  <si>
    <t>LTD50Z</t>
  </si>
  <si>
    <t>LTD500CN</t>
  </si>
  <si>
    <t>LTD40Z</t>
  </si>
  <si>
    <t>LTD40I</t>
  </si>
  <si>
    <t>LTD30CN</t>
  </si>
  <si>
    <t>LTD260CN</t>
  </si>
  <si>
    <t>LTD22I</t>
  </si>
  <si>
    <t>LTD2000CN</t>
  </si>
  <si>
    <t>LTD2.6I</t>
  </si>
  <si>
    <t>LTD180I</t>
  </si>
  <si>
    <t>LTD150Z</t>
  </si>
  <si>
    <t>LTD120CN</t>
  </si>
  <si>
    <t>LTD10I</t>
  </si>
  <si>
    <t>LTD100Z</t>
  </si>
  <si>
    <t>LTD1000CN</t>
  </si>
  <si>
    <t>BMRD30CN2</t>
  </si>
  <si>
    <t>6RTD-A</t>
  </si>
  <si>
    <t>6RTD N</t>
  </si>
  <si>
    <t>kgf·cm</t>
  </si>
  <si>
    <t>6RTD</t>
  </si>
  <si>
    <t>6RNTD</t>
  </si>
  <si>
    <t>6NTD</t>
  </si>
  <si>
    <t>6LTD-A</t>
  </si>
  <si>
    <t>6LTD N</t>
  </si>
  <si>
    <t>6LTD</t>
  </si>
  <si>
    <t>50RTD-A</t>
  </si>
  <si>
    <t>50RTD N</t>
  </si>
  <si>
    <t>50RTD</t>
  </si>
  <si>
    <t>50RNTD</t>
  </si>
  <si>
    <t>50NTD</t>
  </si>
  <si>
    <t>50LTD-A</t>
  </si>
  <si>
    <t>50LTD N</t>
  </si>
  <si>
    <t>50LTD</t>
  </si>
  <si>
    <t>3RTD-A</t>
  </si>
  <si>
    <t>3RTD N</t>
  </si>
  <si>
    <t>3RTD</t>
  </si>
  <si>
    <t>3RNTD</t>
  </si>
  <si>
    <t>3NTD</t>
  </si>
  <si>
    <t>3LTD-A</t>
  </si>
  <si>
    <t>3LTD N</t>
  </si>
  <si>
    <t>3LTD</t>
  </si>
  <si>
    <t>3BMRD2-A</t>
  </si>
  <si>
    <t>3BMRD2</t>
  </si>
  <si>
    <t>3BMLD-A</t>
  </si>
  <si>
    <t>26RTD-A</t>
  </si>
  <si>
    <t>26RTD N</t>
  </si>
  <si>
    <t>26RTD</t>
  </si>
  <si>
    <t>26RNTD</t>
  </si>
  <si>
    <t>26NTD</t>
  </si>
  <si>
    <t>26LTD-A</t>
  </si>
  <si>
    <t>26LTD N</t>
  </si>
  <si>
    <t>26LTD</t>
  </si>
  <si>
    <t>200LTD-A</t>
  </si>
  <si>
    <t>200LTD N</t>
  </si>
  <si>
    <t>200LTD</t>
  </si>
  <si>
    <t>12RTD-A</t>
  </si>
  <si>
    <t>12RTD N</t>
  </si>
  <si>
    <t>12RTD</t>
  </si>
  <si>
    <t>12RNTD</t>
  </si>
  <si>
    <t>12NTD</t>
  </si>
  <si>
    <t>12LTD-A</t>
  </si>
  <si>
    <t>12LTD N</t>
  </si>
  <si>
    <t>12LTD</t>
  </si>
  <si>
    <t>100NTD</t>
  </si>
  <si>
    <t>100LTD-A</t>
  </si>
  <si>
    <t>100LTD N</t>
  </si>
  <si>
    <t>100LTD</t>
  </si>
  <si>
    <t>1.5BMLD</t>
  </si>
  <si>
    <t>YCL750I</t>
  </si>
  <si>
    <t>YCL600I</t>
  </si>
  <si>
    <t>YCL400I</t>
  </si>
  <si>
    <t>YCL200I</t>
  </si>
  <si>
    <t>YCL150F</t>
  </si>
  <si>
    <t>YCL100I</t>
  </si>
  <si>
    <t>YCL100F</t>
  </si>
  <si>
    <t>YCL1000I</t>
  </si>
  <si>
    <t>SP8N2</t>
  </si>
  <si>
    <t>SP67N2-MH</t>
  </si>
  <si>
    <t>SP67N2</t>
  </si>
  <si>
    <t>SP560N</t>
  </si>
  <si>
    <t>SP420N</t>
  </si>
  <si>
    <t>SP38N2-MH</t>
  </si>
  <si>
    <t>SP38N2-3-MH</t>
  </si>
  <si>
    <t>SP38N2-3</t>
  </si>
  <si>
    <t>SP38N2-2-MH</t>
  </si>
  <si>
    <t>SP38N2-2</t>
  </si>
  <si>
    <t>SP38N2-1-MH</t>
  </si>
  <si>
    <t>SP38N2-1</t>
  </si>
  <si>
    <t>SP38N2</t>
  </si>
  <si>
    <t>SP310N2-MH</t>
  </si>
  <si>
    <t>SP310N2</t>
  </si>
  <si>
    <t>SP2N2</t>
  </si>
  <si>
    <t>SP220N2-MH</t>
  </si>
  <si>
    <t>SP220N2</t>
  </si>
  <si>
    <t>SP19N2-MH</t>
  </si>
  <si>
    <t>SP19N2-3-MH</t>
  </si>
  <si>
    <t>SP19N2-3</t>
  </si>
  <si>
    <t>SP19N2-2-MH</t>
  </si>
  <si>
    <t>SP19N2-2</t>
  </si>
  <si>
    <t>SP19N2-1-MH</t>
  </si>
  <si>
    <t>SP19N2-1</t>
  </si>
  <si>
    <t>SP19N2</t>
  </si>
  <si>
    <t>SP160N2-MH</t>
  </si>
  <si>
    <t>SP160N2</t>
  </si>
  <si>
    <t>SP120N2-MH</t>
  </si>
  <si>
    <t>SP120N2</t>
  </si>
  <si>
    <t>RSP8N2</t>
  </si>
  <si>
    <t>RSP67N2-MH</t>
  </si>
  <si>
    <t>RSP67N2</t>
  </si>
  <si>
    <t>RSP38N2-MH</t>
  </si>
  <si>
    <t>RSP38N2</t>
  </si>
  <si>
    <t>RSP310N2-MH</t>
  </si>
  <si>
    <t>RSP310N2</t>
  </si>
  <si>
    <t>RSP220N2-MH</t>
  </si>
  <si>
    <t>RSP220N2</t>
  </si>
  <si>
    <t>RSP19N2-MH</t>
  </si>
  <si>
    <t>RSP19N2</t>
  </si>
  <si>
    <t>RSP160N2-MH</t>
  </si>
  <si>
    <t>RSP160N2</t>
  </si>
  <si>
    <t>RSP120N2-MH</t>
  </si>
  <si>
    <t>RSP120N2</t>
  </si>
  <si>
    <t>QSP750I-3A</t>
  </si>
  <si>
    <t>QSP6N4</t>
  </si>
  <si>
    <t>QSP50N3</t>
  </si>
  <si>
    <t>QSP4420N</t>
  </si>
  <si>
    <t>QSP3N4</t>
  </si>
  <si>
    <t>QSP280N3-1/2</t>
  </si>
  <si>
    <t>QSP280N3</t>
  </si>
  <si>
    <t>QSP25N3-1/4</t>
  </si>
  <si>
    <t>QSP25N3</t>
  </si>
  <si>
    <t>QSP200N4</t>
  </si>
  <si>
    <t>QSP200F-4A</t>
  </si>
  <si>
    <t>QSP2001-2A</t>
  </si>
  <si>
    <t>QSP140N3</t>
  </si>
  <si>
    <t>QSP12N4</t>
  </si>
  <si>
    <t>QSP100N4-3/8</t>
  </si>
  <si>
    <t>QSP1.5N4</t>
  </si>
  <si>
    <t>QLE750N</t>
  </si>
  <si>
    <t>QLE550N</t>
  </si>
  <si>
    <t>QLE2100N</t>
  </si>
  <si>
    <t>QLE1400N</t>
  </si>
  <si>
    <t>QLE1000N</t>
  </si>
  <si>
    <t>QL75F-3A</t>
  </si>
  <si>
    <t>QL750I-3A</t>
  </si>
  <si>
    <t>QL7501-3A</t>
  </si>
  <si>
    <t>QL700F-8A</t>
  </si>
  <si>
    <t>QL6N4</t>
  </si>
  <si>
    <t>QL600F-6A</t>
  </si>
  <si>
    <t>QL5N-MH</t>
  </si>
  <si>
    <t>QL50N-MH</t>
  </si>
  <si>
    <t>QL50N</t>
  </si>
  <si>
    <t>QL50I-2A-MH</t>
  </si>
  <si>
    <t>QL50I-2A</t>
  </si>
  <si>
    <t>QL420N</t>
  </si>
  <si>
    <t>QL400I-3A</t>
  </si>
  <si>
    <t>QL400F-6A</t>
  </si>
  <si>
    <t>QL3N4</t>
  </si>
  <si>
    <t>QL30I-2A-MH</t>
  </si>
  <si>
    <t>QL300F-6A</t>
  </si>
  <si>
    <t>QL2N-MH</t>
  </si>
  <si>
    <t>QL280N-MH</t>
  </si>
  <si>
    <t>QL280N-1/2</t>
  </si>
  <si>
    <t>QL280N</t>
  </si>
  <si>
    <t>QL25N-MH</t>
  </si>
  <si>
    <t>QL25N-1/4</t>
  </si>
  <si>
    <t>QL25N</t>
  </si>
  <si>
    <t>QL250F-6A</t>
  </si>
  <si>
    <t>QL200N-MH</t>
  </si>
  <si>
    <t>QL200N4</t>
  </si>
  <si>
    <t>QL200I-3A</t>
  </si>
  <si>
    <t>QL200I-2A</t>
  </si>
  <si>
    <t>QL200F-4A</t>
  </si>
  <si>
    <t>QL15N-MH</t>
  </si>
  <si>
    <t>QL15I-2A-MH</t>
  </si>
  <si>
    <t>QL15-2A-MH</t>
  </si>
  <si>
    <t>QL150F-4A</t>
  </si>
  <si>
    <t>QL1500F-8A</t>
  </si>
  <si>
    <t>QL140N-MH</t>
  </si>
  <si>
    <t>QL140N</t>
  </si>
  <si>
    <t>QL12N4</t>
  </si>
  <si>
    <t>QL10N-MH</t>
  </si>
  <si>
    <t>QL100N4-3/8</t>
  </si>
  <si>
    <t>QL100N4</t>
  </si>
  <si>
    <t>QL100I-2A-MH</t>
  </si>
  <si>
    <t>QL100I-2A</t>
  </si>
  <si>
    <t>QL100F-4A</t>
  </si>
  <si>
    <t>QL1000F-8A</t>
  </si>
  <si>
    <t>QL1.5N4</t>
  </si>
  <si>
    <t>CSP6N4</t>
  </si>
  <si>
    <t>CSP45N4</t>
  </si>
  <si>
    <t>CSP3N4</t>
  </si>
  <si>
    <t>CSP180N3</t>
  </si>
  <si>
    <t>CSP140N3</t>
  </si>
  <si>
    <t>CSP12N4</t>
  </si>
  <si>
    <t>CSP1.5N4X8D</t>
  </si>
  <si>
    <t>CLE900FX32D</t>
  </si>
  <si>
    <t>CLE850Nx32D</t>
  </si>
  <si>
    <t>CLE850N2X32D</t>
  </si>
  <si>
    <t>CLE750Nx27D</t>
  </si>
  <si>
    <t>CLE750N2X27D</t>
  </si>
  <si>
    <t>CLE600FX32D</t>
  </si>
  <si>
    <t>CLE550Nx27D</t>
  </si>
  <si>
    <t>CLE50N2X27D</t>
  </si>
  <si>
    <t>CLE500FX27D</t>
  </si>
  <si>
    <t>CLE400FX27D</t>
  </si>
  <si>
    <t>CLE1200Nx32D</t>
  </si>
  <si>
    <t>CLE1200N2X32D</t>
  </si>
  <si>
    <t>CL6N4x8D</t>
  </si>
  <si>
    <t>CL5NX8D-MH</t>
  </si>
  <si>
    <t>CL5NX8D</t>
  </si>
  <si>
    <t>CL50NX15D-MH</t>
  </si>
  <si>
    <t>CL50Nx15D</t>
  </si>
  <si>
    <t>CL50NX12D-MH</t>
  </si>
  <si>
    <t>CL50Nx12D</t>
  </si>
  <si>
    <t>CL50IX8D-MH</t>
  </si>
  <si>
    <t>CL50IX8D</t>
  </si>
  <si>
    <t>CL420Nx22D</t>
  </si>
  <si>
    <t>CL3N4x8D</t>
  </si>
  <si>
    <t>CL30IX8D-MH</t>
  </si>
  <si>
    <t>CL30IX8D</t>
  </si>
  <si>
    <t>CL2NX8D-MH</t>
  </si>
  <si>
    <t>CL2NX8D</t>
  </si>
  <si>
    <t>CL280NX22D-MH</t>
  </si>
  <si>
    <t>CL280NX22D</t>
  </si>
  <si>
    <t>CL25NX10D-MH</t>
  </si>
  <si>
    <t>CL25Nx10D</t>
  </si>
  <si>
    <t>CL25N5X10D</t>
  </si>
  <si>
    <t>CL200NX19D-MH</t>
  </si>
  <si>
    <t>CL200NX19D</t>
  </si>
  <si>
    <t>CL200IX10D</t>
  </si>
  <si>
    <t>CL15NX8D-MH</t>
  </si>
  <si>
    <t>CL15IX8D-MH</t>
  </si>
  <si>
    <t>CL15IX8D</t>
  </si>
  <si>
    <t>CL15DX8D</t>
  </si>
  <si>
    <t>CL140NX15D-MH</t>
  </si>
  <si>
    <t>CL140NX15D</t>
  </si>
  <si>
    <t>CL12N4x8D</t>
  </si>
  <si>
    <t>CL10NX8D-MH</t>
  </si>
  <si>
    <t>CL10NX8D</t>
  </si>
  <si>
    <t>CL100NX15D-MH</t>
  </si>
  <si>
    <t>CL100NX15D</t>
  </si>
  <si>
    <t>CL100IX8D-MH</t>
  </si>
  <si>
    <t>CL100IX8D</t>
  </si>
  <si>
    <t>CL1.5N4x8D</t>
  </si>
  <si>
    <t>BCSP50N5x15D</t>
  </si>
  <si>
    <t>BCSP50N5x12D</t>
  </si>
  <si>
    <t>BCSP420N5x22D</t>
  </si>
  <si>
    <t>BCSP280N5x22D</t>
  </si>
  <si>
    <t>BCSP25Nx10D</t>
  </si>
  <si>
    <t>BCSP200N5x19D</t>
  </si>
  <si>
    <t>BCSP140N5x15D</t>
  </si>
  <si>
    <t>BCSP100N5x15D</t>
  </si>
  <si>
    <t>900QSP2</t>
  </si>
  <si>
    <t>900QSP</t>
  </si>
  <si>
    <t>900QL-MH</t>
  </si>
  <si>
    <t>900QL4-3/8</t>
  </si>
  <si>
    <t>900QL4</t>
  </si>
  <si>
    <t>900QL N</t>
  </si>
  <si>
    <t>900QL</t>
  </si>
  <si>
    <t>900PQL-A</t>
  </si>
  <si>
    <t>900PQL N</t>
  </si>
  <si>
    <t>900PQL</t>
  </si>
  <si>
    <t>900PCLLS N</t>
  </si>
  <si>
    <t>900PCLLS</t>
  </si>
  <si>
    <t>900PCL N</t>
  </si>
  <si>
    <t>900PCL</t>
  </si>
  <si>
    <t>900CSP2</t>
  </si>
  <si>
    <t>900CSP</t>
  </si>
  <si>
    <t>900CL-MH</t>
  </si>
  <si>
    <t>900CL-A</t>
  </si>
  <si>
    <t>900CL3-A</t>
  </si>
  <si>
    <t>900CL3</t>
  </si>
  <si>
    <t>900CL N</t>
  </si>
  <si>
    <t>900CL</t>
  </si>
  <si>
    <t>8500CLE-A</t>
  </si>
  <si>
    <t>8500CLE2</t>
  </si>
  <si>
    <t>8500CLE N</t>
  </si>
  <si>
    <t>8500CLE</t>
  </si>
  <si>
    <t>7500QLE N</t>
  </si>
  <si>
    <t>7500QLE</t>
  </si>
  <si>
    <t>7500DQLE N</t>
  </si>
  <si>
    <t>7500DQLE</t>
  </si>
  <si>
    <t>7500CLE-A</t>
  </si>
  <si>
    <t>7500CLE2</t>
  </si>
  <si>
    <t>7500CLE</t>
  </si>
  <si>
    <t>60QSP2</t>
  </si>
  <si>
    <t>60QSP</t>
  </si>
  <si>
    <t>60QL4</t>
  </si>
  <si>
    <t>60QL N</t>
  </si>
  <si>
    <t>60QL</t>
  </si>
  <si>
    <t>60CSP2</t>
  </si>
  <si>
    <t>60CSP</t>
  </si>
  <si>
    <t>60CL-A</t>
  </si>
  <si>
    <t>60CL4-A</t>
  </si>
  <si>
    <t>60CL4</t>
  </si>
  <si>
    <t>60CL N</t>
  </si>
  <si>
    <t>60CL</t>
  </si>
  <si>
    <t>5500QLE N</t>
  </si>
  <si>
    <t>5500QLE</t>
  </si>
  <si>
    <t>5500CLE-A</t>
  </si>
  <si>
    <t>5500CLE2</t>
  </si>
  <si>
    <t>5500CLE</t>
  </si>
  <si>
    <t>50QL-MH</t>
  </si>
  <si>
    <t>50CL-MH</t>
  </si>
  <si>
    <t>50CL</t>
  </si>
  <si>
    <t>500PCLLS N</t>
  </si>
  <si>
    <t>500PCLLS</t>
  </si>
  <si>
    <t>500PCL N</t>
  </si>
  <si>
    <t>500PCL</t>
  </si>
  <si>
    <t>500CSP2</t>
  </si>
  <si>
    <t>500CSP</t>
  </si>
  <si>
    <t>500CL-MH</t>
  </si>
  <si>
    <t>500CL-A</t>
  </si>
  <si>
    <t>500CL3-A</t>
  </si>
  <si>
    <t>500CL3</t>
  </si>
  <si>
    <t>500CL N</t>
  </si>
  <si>
    <t>500CL</t>
  </si>
  <si>
    <t>450QSP2</t>
  </si>
  <si>
    <t>450QSP</t>
  </si>
  <si>
    <t>450QL-MH</t>
  </si>
  <si>
    <t>450QL3</t>
  </si>
  <si>
    <t>450QL N</t>
  </si>
  <si>
    <t>450QL</t>
  </si>
  <si>
    <t>450PQL-A</t>
  </si>
  <si>
    <t>450PQL N</t>
  </si>
  <si>
    <t>450PQL</t>
  </si>
  <si>
    <t>450PCLLS N</t>
  </si>
  <si>
    <t>450PCLLS</t>
  </si>
  <si>
    <t>450PCL N</t>
  </si>
  <si>
    <t>450PCL</t>
  </si>
  <si>
    <t>450CSP2</t>
  </si>
  <si>
    <t>450CSP</t>
  </si>
  <si>
    <t>450CL-MH</t>
  </si>
  <si>
    <t>450CL-A</t>
  </si>
  <si>
    <t>450CL3-A</t>
  </si>
  <si>
    <t>450CL3</t>
  </si>
  <si>
    <t>450CL N</t>
  </si>
  <si>
    <t>450CL</t>
  </si>
  <si>
    <t>4200QSP2</t>
  </si>
  <si>
    <t>4200QSP</t>
  </si>
  <si>
    <t>4200QL2 N</t>
  </si>
  <si>
    <t>4200QL2</t>
  </si>
  <si>
    <t>4200CSP2</t>
  </si>
  <si>
    <t>4200CSP</t>
  </si>
  <si>
    <t>4200CL-A</t>
  </si>
  <si>
    <t>4200CL2-A</t>
  </si>
  <si>
    <t>4200CL2 N</t>
  </si>
  <si>
    <t>4200CL2</t>
  </si>
  <si>
    <t>30QSP2</t>
  </si>
  <si>
    <t>30QSP</t>
  </si>
  <si>
    <t>30QL4-A</t>
  </si>
  <si>
    <t>30QL4</t>
  </si>
  <si>
    <t>30QL N</t>
  </si>
  <si>
    <t>30QL</t>
  </si>
  <si>
    <t>30CSP</t>
  </si>
  <si>
    <t>30CL4-A</t>
  </si>
  <si>
    <t>30CL4</t>
  </si>
  <si>
    <t>30CL N</t>
  </si>
  <si>
    <t>30CL</t>
  </si>
  <si>
    <t>2800QSP2</t>
  </si>
  <si>
    <t>2800QSP</t>
  </si>
  <si>
    <t>2800QL-MH</t>
  </si>
  <si>
    <t>2800QL3-1/2</t>
  </si>
  <si>
    <t>2800QL3</t>
  </si>
  <si>
    <t>2800QL2</t>
  </si>
  <si>
    <t>2800QL N</t>
  </si>
  <si>
    <t>2800DQL2 N</t>
  </si>
  <si>
    <t>2800DQL2</t>
  </si>
  <si>
    <t>2800CSP2</t>
  </si>
  <si>
    <t>2800CSP</t>
  </si>
  <si>
    <t>2800CL-MH</t>
  </si>
  <si>
    <t>2800CL-A</t>
  </si>
  <si>
    <t>2800CL3-A</t>
  </si>
  <si>
    <t>2800CL3</t>
  </si>
  <si>
    <t>2800CL2 N</t>
  </si>
  <si>
    <t>2800CL2</t>
  </si>
  <si>
    <t>255QL-MH</t>
  </si>
  <si>
    <t>225QSP N</t>
  </si>
  <si>
    <t>225QSP</t>
  </si>
  <si>
    <t>225QL3-1/4</t>
  </si>
  <si>
    <t>225QL3</t>
  </si>
  <si>
    <t>225QL N</t>
  </si>
  <si>
    <t>225QL</t>
  </si>
  <si>
    <t>225PQL-A</t>
  </si>
  <si>
    <t>225PQL N</t>
  </si>
  <si>
    <t>225PQL</t>
  </si>
  <si>
    <t>225PCLLS N</t>
  </si>
  <si>
    <t>225PCLLS</t>
  </si>
  <si>
    <t>225PCL N</t>
  </si>
  <si>
    <t>225PCL</t>
  </si>
  <si>
    <t>225CSP N</t>
  </si>
  <si>
    <t>225CSP</t>
  </si>
  <si>
    <t>225CL-MH</t>
  </si>
  <si>
    <t>225CL-A</t>
  </si>
  <si>
    <t>225CL5</t>
  </si>
  <si>
    <t>225CL3-A</t>
  </si>
  <si>
    <t>225CL3</t>
  </si>
  <si>
    <t>225CL N</t>
  </si>
  <si>
    <t>225CL</t>
  </si>
  <si>
    <t>21000QLE N</t>
  </si>
  <si>
    <t>21000QLE</t>
  </si>
  <si>
    <t>20QL-MH</t>
  </si>
  <si>
    <t>20CL-MH</t>
  </si>
  <si>
    <t>20CL</t>
  </si>
  <si>
    <t>1800QSP N</t>
  </si>
  <si>
    <t>1800QSP</t>
  </si>
  <si>
    <t>1800QL-MH</t>
  </si>
  <si>
    <t>1800QL4</t>
  </si>
  <si>
    <t>1800QL N</t>
  </si>
  <si>
    <t>1800QL</t>
  </si>
  <si>
    <t>1800PQL-A</t>
  </si>
  <si>
    <t>1800PQL N</t>
  </si>
  <si>
    <t>1800PQL</t>
  </si>
  <si>
    <t>1800PCLLS N</t>
  </si>
  <si>
    <t>1800PCLLS</t>
  </si>
  <si>
    <t>1800PCL N</t>
  </si>
  <si>
    <t>1800PCL</t>
  </si>
  <si>
    <t>1800DQL N</t>
  </si>
  <si>
    <t>1800DQL</t>
  </si>
  <si>
    <t>1800CSP2</t>
  </si>
  <si>
    <t>1800CSP</t>
  </si>
  <si>
    <t>1800CL-MH</t>
  </si>
  <si>
    <t>1800CL-A</t>
  </si>
  <si>
    <t>1800CL3-A</t>
  </si>
  <si>
    <t>1800CL3</t>
  </si>
  <si>
    <t>1800CL N</t>
  </si>
  <si>
    <t>1800CL</t>
  </si>
  <si>
    <t>15QSP N</t>
  </si>
  <si>
    <t>15QSP</t>
  </si>
  <si>
    <t>15QL4-A</t>
  </si>
  <si>
    <t>15QL4</t>
  </si>
  <si>
    <t>15QL N</t>
  </si>
  <si>
    <t>15QL</t>
  </si>
  <si>
    <t>15CSP</t>
  </si>
  <si>
    <t>15CL4-A</t>
  </si>
  <si>
    <t>15CL4</t>
  </si>
  <si>
    <t>15CL N</t>
  </si>
  <si>
    <t>15CL</t>
  </si>
  <si>
    <t>150QL-MH</t>
  </si>
  <si>
    <t>150CL-MH</t>
  </si>
  <si>
    <t>150CL</t>
  </si>
  <si>
    <t>1400QSP2</t>
  </si>
  <si>
    <t>1400QSP</t>
  </si>
  <si>
    <t>1400QL-MH</t>
  </si>
  <si>
    <t>1400QL3</t>
  </si>
  <si>
    <t>1400QL N</t>
  </si>
  <si>
    <t>1400PQL-A</t>
  </si>
  <si>
    <t>1400PQL N</t>
  </si>
  <si>
    <t>1400PQL</t>
  </si>
  <si>
    <t>1400PCLLS N</t>
  </si>
  <si>
    <t>1400PCLLS</t>
  </si>
  <si>
    <t>1400PCL N</t>
  </si>
  <si>
    <t>1400PCL</t>
  </si>
  <si>
    <t>1400CSP2</t>
  </si>
  <si>
    <t>1400CSP</t>
  </si>
  <si>
    <t>1400CL-MH</t>
  </si>
  <si>
    <t>1400CL-A</t>
  </si>
  <si>
    <t>1400CL3-A</t>
  </si>
  <si>
    <t>1400CL3</t>
  </si>
  <si>
    <t>1400CL N</t>
  </si>
  <si>
    <t>1400CL</t>
  </si>
  <si>
    <t>14000QLE N</t>
  </si>
  <si>
    <t>14000QLE</t>
  </si>
  <si>
    <t>120QSP N</t>
  </si>
  <si>
    <t>120QSP</t>
  </si>
  <si>
    <t>120QL4</t>
  </si>
  <si>
    <t>120QL N</t>
  </si>
  <si>
    <t>120QL</t>
  </si>
  <si>
    <t>120CSP2</t>
  </si>
  <si>
    <t>120CSP</t>
  </si>
  <si>
    <t>120CL-A</t>
  </si>
  <si>
    <t>120CL4-A</t>
  </si>
  <si>
    <t>120CL4</t>
  </si>
  <si>
    <t>120CL N</t>
  </si>
  <si>
    <t>120CL</t>
  </si>
  <si>
    <t>12000CLE-A</t>
  </si>
  <si>
    <t>12000CLE2</t>
  </si>
  <si>
    <t>12000CLE N</t>
  </si>
  <si>
    <t>12000CLE</t>
  </si>
  <si>
    <t>100QL-MH</t>
  </si>
  <si>
    <t>100QL</t>
  </si>
  <si>
    <t>100CL-MH</t>
  </si>
  <si>
    <t>100CL</t>
  </si>
  <si>
    <t>10000QLE N</t>
  </si>
  <si>
    <t>10000QLE</t>
  </si>
  <si>
    <t>T65F-4AS</t>
  </si>
  <si>
    <t>T400I-3AS</t>
  </si>
  <si>
    <t>T200I-3AS</t>
  </si>
  <si>
    <t>T130F-4AS</t>
  </si>
  <si>
    <t>See MFG</t>
  </si>
  <si>
    <t>Folder</t>
  </si>
  <si>
    <t>STC50CN2-G</t>
  </si>
  <si>
    <t>STC400CN2-G</t>
  </si>
  <si>
    <t>STC200CN2-G</t>
  </si>
  <si>
    <t>MTD1.4Z</t>
  </si>
  <si>
    <t>MTD07Z</t>
  </si>
  <si>
    <t>FTD8N2-S</t>
  </si>
  <si>
    <t>FTD7Z</t>
  </si>
  <si>
    <t>FTD70Z2-S</t>
  </si>
  <si>
    <t>FTD70Z</t>
  </si>
  <si>
    <t>FTD50CN-2</t>
  </si>
  <si>
    <t>FTD50CN</t>
  </si>
  <si>
    <t>FTD400CN2-S</t>
  </si>
  <si>
    <t>FTD400CN</t>
  </si>
  <si>
    <t>FTD3Z</t>
  </si>
  <si>
    <t>FTD30Z2-S</t>
  </si>
  <si>
    <t>FTD30Z</t>
  </si>
  <si>
    <t>FTD200CN2-S</t>
  </si>
  <si>
    <t>FTD200CN</t>
  </si>
  <si>
    <t>FTD16N2-S</t>
  </si>
  <si>
    <t>FTD15Z</t>
  </si>
  <si>
    <t>FTD100CN2-S</t>
  </si>
  <si>
    <t>FTD100CN</t>
  </si>
  <si>
    <t>DBE850N-S</t>
  </si>
  <si>
    <t>DBE700N-S</t>
  </si>
  <si>
    <t>DBE560N-S</t>
  </si>
  <si>
    <t>DBE2100N-S</t>
  </si>
  <si>
    <t>DBE1400N-S</t>
  </si>
  <si>
    <t>DBE1000N-S</t>
  </si>
  <si>
    <t>DB800F-8AS</t>
  </si>
  <si>
    <t>DB75I-2AS</t>
  </si>
  <si>
    <t>DB75I-2A</t>
  </si>
  <si>
    <t>DB6N4-S</t>
  </si>
  <si>
    <t>DB600I-4AS</t>
  </si>
  <si>
    <t>DB600I-3AS</t>
  </si>
  <si>
    <t>DB50N-S</t>
  </si>
  <si>
    <t>DB50F-4AS</t>
  </si>
  <si>
    <t>DB50F-3AS</t>
  </si>
  <si>
    <t>DB500F-6AS</t>
  </si>
  <si>
    <t>DB420N-S</t>
  </si>
  <si>
    <t>DB40I-2AS</t>
  </si>
  <si>
    <t>DB3N4-S</t>
  </si>
  <si>
    <t>DB350F-6AS</t>
  </si>
  <si>
    <t>DB300I-3AS</t>
  </si>
  <si>
    <t>DB280N-S</t>
  </si>
  <si>
    <t>DB280N-1/2-S</t>
  </si>
  <si>
    <t>DB26I-2AS</t>
  </si>
  <si>
    <t>DB25N-S</t>
  </si>
  <si>
    <t>DB25N-1/4-S</t>
  </si>
  <si>
    <t>DB25F-3AS</t>
  </si>
  <si>
    <t>DB250F-6AS</t>
  </si>
  <si>
    <t>DB200N-S</t>
  </si>
  <si>
    <t>DB2000F-12AS</t>
  </si>
  <si>
    <t>DB175-4AS</t>
  </si>
  <si>
    <t>DB150I-3AS</t>
  </si>
  <si>
    <t>DB150I-2AS</t>
  </si>
  <si>
    <t>DB1500F-8AS</t>
  </si>
  <si>
    <t>DB13I-2AS</t>
  </si>
  <si>
    <t>DB12N4-S</t>
  </si>
  <si>
    <t>DB100N-S</t>
  </si>
  <si>
    <t>DB100N-3/8-S</t>
  </si>
  <si>
    <t>DB100F-4AS</t>
  </si>
  <si>
    <t>DB1000F-8AS</t>
  </si>
  <si>
    <t>DB1.5N4-S</t>
  </si>
  <si>
    <t>CTB850N2X32D-G</t>
  </si>
  <si>
    <t>CTB50N2X12D-G</t>
  </si>
  <si>
    <t>CTB500N2X22D-G</t>
  </si>
  <si>
    <t>CTB360N2X22D-G</t>
  </si>
  <si>
    <t>CTB20N2X10D-G</t>
  </si>
  <si>
    <t>CTB200N2X19D-G</t>
  </si>
  <si>
    <t>CTB10N2X8D-G</t>
  </si>
  <si>
    <t>CTB100N2X15D-G</t>
  </si>
  <si>
    <t>CEM850N3X32D-G</t>
  </si>
  <si>
    <t>CEM50N3X12D-G</t>
  </si>
  <si>
    <t>CEM500N3X22D-G</t>
  </si>
  <si>
    <t>CEM360N3X22D-G</t>
  </si>
  <si>
    <t>CEM20N3X10D-G</t>
  </si>
  <si>
    <t>CEM200N3X19D-G</t>
  </si>
  <si>
    <t>CEM10N3X8D-G</t>
  </si>
  <si>
    <t>CEM100N3X15D-G</t>
  </si>
  <si>
    <t>920F-A</t>
  </si>
  <si>
    <t>900DB3-S</t>
  </si>
  <si>
    <t>900DB3-1/4-S</t>
  </si>
  <si>
    <t>8500QF-A</t>
  </si>
  <si>
    <t>8500F-A</t>
  </si>
  <si>
    <t>8500DBE2-S</t>
  </si>
  <si>
    <t>8500CF-A</t>
  </si>
  <si>
    <t>80FTD-A</t>
  </si>
  <si>
    <t>80FTD2-S</t>
  </si>
  <si>
    <t>80FTD2-A-S</t>
  </si>
  <si>
    <t>80FTD2 S</t>
  </si>
  <si>
    <t>80FTD2 N S</t>
  </si>
  <si>
    <t>80FTD N</t>
  </si>
  <si>
    <t>80FTD</t>
  </si>
  <si>
    <t>7SF-A</t>
  </si>
  <si>
    <t>70CSF-A</t>
  </si>
  <si>
    <t>70CDB-A-S</t>
  </si>
  <si>
    <t>7000T-A-S</t>
  </si>
  <si>
    <t>7000QF-A</t>
  </si>
  <si>
    <t>7000F-A</t>
  </si>
  <si>
    <t>7000DBE2-S</t>
  </si>
  <si>
    <t>60SF-A</t>
  </si>
  <si>
    <t>60DB4-S</t>
  </si>
  <si>
    <t>600QF-A</t>
  </si>
  <si>
    <t>5FTD-A</t>
  </si>
  <si>
    <t>5FTD2-S</t>
  </si>
  <si>
    <t>5FTD2-A-S</t>
  </si>
  <si>
    <t>5FTD2 S</t>
  </si>
  <si>
    <t>5FTD2 N S</t>
  </si>
  <si>
    <t>5FTD N</t>
  </si>
  <si>
    <t>5FTD</t>
  </si>
  <si>
    <t>5600QF-A</t>
  </si>
  <si>
    <t>5600F-A</t>
  </si>
  <si>
    <t>5600DBE2-S</t>
  </si>
  <si>
    <t>gf·cm</t>
  </si>
  <si>
    <t>50MTD N</t>
  </si>
  <si>
    <t>50MTD</t>
  </si>
  <si>
    <t>500F-6AS</t>
  </si>
  <si>
    <t>500CF-A</t>
  </si>
  <si>
    <t>500CDB-A-S</t>
  </si>
  <si>
    <t>4SF-A</t>
  </si>
  <si>
    <t>460F-A</t>
  </si>
  <si>
    <t>450DB3-S</t>
  </si>
  <si>
    <t>4200QF-A</t>
  </si>
  <si>
    <t>4200F-A</t>
  </si>
  <si>
    <t>4200DB2-S</t>
  </si>
  <si>
    <t>4200CF-A</t>
  </si>
  <si>
    <t>4200CDB-A-S</t>
  </si>
  <si>
    <t>40FTD-A</t>
  </si>
  <si>
    <t>40FTD2-S</t>
  </si>
  <si>
    <t>40FTD2-A-S</t>
  </si>
  <si>
    <t>40FTD2 S</t>
  </si>
  <si>
    <t>40FTD2 N S</t>
  </si>
  <si>
    <t>40FTD N</t>
  </si>
  <si>
    <t>40FTD</t>
  </si>
  <si>
    <t>3200QF-A</t>
  </si>
  <si>
    <t>30SF-A</t>
  </si>
  <si>
    <t>30DB4-S</t>
  </si>
  <si>
    <t>3000CDB-A-S</t>
  </si>
  <si>
    <t>2FTD2 S</t>
  </si>
  <si>
    <t>2FTD2 N S</t>
  </si>
  <si>
    <t>2800F-A</t>
  </si>
  <si>
    <t>28000T-A-S</t>
  </si>
  <si>
    <t>28000QFR-A</t>
  </si>
  <si>
    <t>28000FR-A</t>
  </si>
  <si>
    <t>250CF-A</t>
  </si>
  <si>
    <t>250CDB-A-S</t>
  </si>
  <si>
    <t>230F-A</t>
  </si>
  <si>
    <t>230DB3-S</t>
  </si>
  <si>
    <t>230DB3-1/4-S</t>
  </si>
  <si>
    <t>2300CF-A</t>
  </si>
  <si>
    <t>2200QF-A</t>
  </si>
  <si>
    <t>21000T-A-S</t>
  </si>
  <si>
    <t>21000QFR-A</t>
  </si>
  <si>
    <t>21000FR-A</t>
  </si>
  <si>
    <t>21000DBE2-S</t>
  </si>
  <si>
    <t>20MTD N</t>
  </si>
  <si>
    <t>20MTD</t>
  </si>
  <si>
    <t>20FTD-A</t>
  </si>
  <si>
    <t>20FTD2-S</t>
  </si>
  <si>
    <t>20FTD2-A-S</t>
  </si>
  <si>
    <t>20FTD2 S</t>
  </si>
  <si>
    <t>20FTD2 N S</t>
  </si>
  <si>
    <t>20FTD N</t>
  </si>
  <si>
    <t>20FTD</t>
  </si>
  <si>
    <t>2000DB3-S</t>
  </si>
  <si>
    <t>2000DB3-1/2-S</t>
  </si>
  <si>
    <t>2000CDB-A-S</t>
  </si>
  <si>
    <t>1FTD2 S</t>
  </si>
  <si>
    <t>1FTD2 N S</t>
  </si>
  <si>
    <t>1900F-A</t>
  </si>
  <si>
    <t>1800DB3-S</t>
  </si>
  <si>
    <t>160FTD-A</t>
  </si>
  <si>
    <t>160FTD2-S</t>
  </si>
  <si>
    <t>160FTD2-A-S</t>
  </si>
  <si>
    <t>160FTD2 S</t>
  </si>
  <si>
    <t>160FTD2 N S</t>
  </si>
  <si>
    <t>160FTD N</t>
  </si>
  <si>
    <t>160FTD</t>
  </si>
  <si>
    <t>15SF-A</t>
  </si>
  <si>
    <t>15DB4-S</t>
  </si>
  <si>
    <t>1500CF-A</t>
  </si>
  <si>
    <t>140CSF-A</t>
  </si>
  <si>
    <t>140CDB-A-S</t>
  </si>
  <si>
    <t>14000T-A-S</t>
  </si>
  <si>
    <t>14000QFR-A</t>
  </si>
  <si>
    <t>14000FR-A</t>
  </si>
  <si>
    <t>14000DBE2-S</t>
  </si>
  <si>
    <t>1300F-A</t>
  </si>
  <si>
    <t>120SF-A</t>
  </si>
  <si>
    <t>120DB4-S</t>
  </si>
  <si>
    <t>1200QF-A</t>
  </si>
  <si>
    <t>10MTD N</t>
  </si>
  <si>
    <t>10MTD</t>
  </si>
  <si>
    <t>10FTD-A</t>
  </si>
  <si>
    <t>10FTD2-S</t>
  </si>
  <si>
    <t>10FTD2-A-S</t>
  </si>
  <si>
    <t>10FTD2 S</t>
  </si>
  <si>
    <t>10FTD2 N S</t>
  </si>
  <si>
    <t>10FTD N</t>
  </si>
  <si>
    <t>10FTD</t>
  </si>
  <si>
    <t>10500QFR-A</t>
  </si>
  <si>
    <t>10500FR-A</t>
  </si>
  <si>
    <t>100MTD N</t>
  </si>
  <si>
    <t>100MTD</t>
  </si>
  <si>
    <t>1000CF-A</t>
  </si>
  <si>
    <t>1000CDB-A-S</t>
  </si>
  <si>
    <t>10000T-A-S</t>
  </si>
  <si>
    <t>10000F-A</t>
  </si>
  <si>
    <t>10000DBE2-S</t>
  </si>
  <si>
    <t>05FTD2 S</t>
  </si>
  <si>
    <t>05FTD2 N S</t>
  </si>
  <si>
    <t>02FTD2 S</t>
  </si>
  <si>
    <t>02FTD2 N S</t>
  </si>
  <si>
    <t>1292AG-E4</t>
  </si>
  <si>
    <t>Teng Tools</t>
  </si>
  <si>
    <t>TRQ-21101</t>
  </si>
  <si>
    <t>Tekton</t>
  </si>
  <si>
    <t>1490262-1</t>
  </si>
  <si>
    <t>TE Connectivity</t>
  </si>
  <si>
    <t>1061789-1</t>
  </si>
  <si>
    <t>1055868-1</t>
  </si>
  <si>
    <t>TE Connect. Folder</t>
  </si>
  <si>
    <t>1055826-1</t>
  </si>
  <si>
    <t>1055791-1</t>
  </si>
  <si>
    <t>1055790-1</t>
  </si>
  <si>
    <t>1055546-1</t>
  </si>
  <si>
    <t>1055512-1</t>
  </si>
  <si>
    <t>1055480-1</t>
  </si>
  <si>
    <t>1055419-1</t>
  </si>
  <si>
    <t>1055276-1</t>
  </si>
  <si>
    <t>1055258-1</t>
  </si>
  <si>
    <t>HTW4A</t>
  </si>
  <si>
    <t>Tacklife</t>
  </si>
  <si>
    <t>HTW3A</t>
  </si>
  <si>
    <t>HTW2C</t>
  </si>
  <si>
    <t>HTW1A</t>
  </si>
  <si>
    <t>03920L</t>
  </si>
  <si>
    <t>SW-Stahl</t>
  </si>
  <si>
    <t>Sweeney</t>
  </si>
  <si>
    <t>SurTek</t>
  </si>
  <si>
    <t>Sunex</t>
  </si>
  <si>
    <t>WSP3-030CN</t>
  </si>
  <si>
    <t>Summit Tools</t>
  </si>
  <si>
    <t>WEP4-200CN</t>
  </si>
  <si>
    <t>WEA08-060CN</t>
  </si>
  <si>
    <t>ES2-030CN</t>
  </si>
  <si>
    <t>DPS3-085CN-S</t>
  </si>
  <si>
    <t>DPS3-060CN-S</t>
  </si>
  <si>
    <t>DME2-020BN</t>
  </si>
  <si>
    <t>BMS2-020CN-S</t>
  </si>
  <si>
    <t>BMS2-006CN-2</t>
  </si>
  <si>
    <t>BME2-020BN</t>
  </si>
  <si>
    <t>BME2-006BN</t>
  </si>
  <si>
    <t>PM-5</t>
  </si>
  <si>
    <t>Sturtevant Richmont</t>
  </si>
  <si>
    <t>PM-36</t>
  </si>
  <si>
    <t>PM-15</t>
  </si>
  <si>
    <t>ExacTorq 74</t>
  </si>
  <si>
    <t>ExacTorq 100</t>
  </si>
  <si>
    <t>CAL 40</t>
  </si>
  <si>
    <t>CAL 36/4</t>
  </si>
  <si>
    <t>SLTCS 7200 I</t>
  </si>
  <si>
    <t>SLTCR 7200 I</t>
  </si>
  <si>
    <t>SLTC 750 I</t>
  </si>
  <si>
    <t>SLTC 3600 I</t>
  </si>
  <si>
    <t>SLTC 300 I</t>
  </si>
  <si>
    <t>SLTC 1800 I</t>
  </si>
  <si>
    <t>SLTC 150 I</t>
  </si>
  <si>
    <t>LTCS 750 I</t>
  </si>
  <si>
    <t>LTCS 7200 I</t>
  </si>
  <si>
    <t>LTCS 50 I</t>
  </si>
  <si>
    <t>LTCS 3600 I</t>
  </si>
  <si>
    <t>LTCS 300 I</t>
  </si>
  <si>
    <t>LTCS 1800 I</t>
  </si>
  <si>
    <t>LTCS 150 I</t>
  </si>
  <si>
    <t>LTCR 750 I</t>
  </si>
  <si>
    <t>LTCR 7200 I</t>
  </si>
  <si>
    <t>LTCR 50 I</t>
  </si>
  <si>
    <t>LTCR 3600 I</t>
  </si>
  <si>
    <t>LTCR 3000 I</t>
  </si>
  <si>
    <t xml:space="preserve">LTCR 300 I </t>
  </si>
  <si>
    <t>LTCR 1800 I</t>
  </si>
  <si>
    <t>LTCR 150 I</t>
  </si>
  <si>
    <t>LTCR 1200 I</t>
  </si>
  <si>
    <t>LTC ERGO 1800 I</t>
  </si>
  <si>
    <t>LTC 750 I</t>
  </si>
  <si>
    <t>LTC 50 I</t>
  </si>
  <si>
    <t xml:space="preserve">LTC 4800 I </t>
  </si>
  <si>
    <t>LTC 3600 I</t>
  </si>
  <si>
    <t>LTC 3000</t>
  </si>
  <si>
    <t>LTC 300 I</t>
  </si>
  <si>
    <t>LTC 1800 I</t>
  </si>
  <si>
    <t xml:space="preserve">LTC 150 I </t>
  </si>
  <si>
    <t>CCM900KGF.CM</t>
  </si>
  <si>
    <t>CCM6NM</t>
  </si>
  <si>
    <t>CCM60KGF.M</t>
  </si>
  <si>
    <t>CCM60KGF.CM</t>
  </si>
  <si>
    <t>CCM600NM</t>
  </si>
  <si>
    <t>CCM600I</t>
  </si>
  <si>
    <t>CCM50I</t>
  </si>
  <si>
    <t>CCM40KGF.M</t>
  </si>
  <si>
    <t>CCM400NM</t>
  </si>
  <si>
    <t>CCM400</t>
  </si>
  <si>
    <t>CCM300</t>
  </si>
  <si>
    <t>CCM20NM</t>
  </si>
  <si>
    <t>CCM200NM</t>
  </si>
  <si>
    <t>CCM200KGF.CM</t>
  </si>
  <si>
    <t>CCM2000KGF.CM</t>
  </si>
  <si>
    <t>CCM1800I</t>
  </si>
  <si>
    <t>CCM150I</t>
  </si>
  <si>
    <t>CCM150</t>
  </si>
  <si>
    <t>CCM1200I</t>
  </si>
  <si>
    <t>CCM100NM</t>
  </si>
  <si>
    <t>CCM100</t>
  </si>
  <si>
    <t>CCM 750 I MG</t>
  </si>
  <si>
    <t>CCM 75 MG</t>
  </si>
  <si>
    <t>CCM 600 I MG</t>
  </si>
  <si>
    <t>CCM 50 I MG</t>
  </si>
  <si>
    <t>CCM 400 MG</t>
  </si>
  <si>
    <t>CCM 300 MG</t>
  </si>
  <si>
    <t>CCM 1800 I MG</t>
  </si>
  <si>
    <t>CCM 150 MG</t>
  </si>
  <si>
    <t>CCM 150 I MG</t>
  </si>
  <si>
    <t>CCM 1200 I MG</t>
  </si>
  <si>
    <t>6SDR80KGF.M</t>
  </si>
  <si>
    <t>6SDR800NM</t>
  </si>
  <si>
    <t>6SDR60KGF.M</t>
  </si>
  <si>
    <t>6SDR600</t>
  </si>
  <si>
    <t>6SDR40KGF.M</t>
  </si>
  <si>
    <t>6SDR30KGF.M</t>
  </si>
  <si>
    <t>6SDR300NM</t>
  </si>
  <si>
    <t>6SDR300</t>
  </si>
  <si>
    <t>6SDR250</t>
  </si>
  <si>
    <t>6SD80KGF.CM</t>
  </si>
  <si>
    <t>6SD800NM</t>
  </si>
  <si>
    <t>6SD600</t>
  </si>
  <si>
    <t>6SD300</t>
  </si>
  <si>
    <t>600 Nm</t>
  </si>
  <si>
    <t>6 SDR 700</t>
  </si>
  <si>
    <t>6 SDR 600</t>
  </si>
  <si>
    <t>6 SDR 300</t>
  </si>
  <si>
    <t>6 SD 800 Nm</t>
  </si>
  <si>
    <t>6 SD 600</t>
  </si>
  <si>
    <t>6 Nm</t>
  </si>
  <si>
    <t>4SDR900KGF.CM</t>
  </si>
  <si>
    <t>4SDR30KGF.M</t>
  </si>
  <si>
    <t>4SDR300NM</t>
  </si>
  <si>
    <t>4SDR250</t>
  </si>
  <si>
    <t>4SDR200NM</t>
  </si>
  <si>
    <t>4SDR2000KGF.CM</t>
  </si>
  <si>
    <t>4SDR1800I</t>
  </si>
  <si>
    <t>4SDR150</t>
  </si>
  <si>
    <t>4SDR1200I</t>
  </si>
  <si>
    <t>4SDR100NM</t>
  </si>
  <si>
    <t>4SD200NM</t>
  </si>
  <si>
    <t>4SD2000KGF.CM</t>
  </si>
  <si>
    <t>4SD1800I</t>
  </si>
  <si>
    <t>4SD150</t>
  </si>
  <si>
    <t>400 Nm</t>
  </si>
  <si>
    <t>4 SDR 300 Nm</t>
  </si>
  <si>
    <t>4 SDR 250 MG</t>
  </si>
  <si>
    <t>4 SDR 200 Nm MG</t>
  </si>
  <si>
    <t>4 SDR 1800 I MG</t>
  </si>
  <si>
    <t>4 SDR 150 MG</t>
  </si>
  <si>
    <t>4 SDR 140 Nm MG</t>
  </si>
  <si>
    <t>4 SDR 100 Nm MG</t>
  </si>
  <si>
    <t>4 SD 150 MG</t>
  </si>
  <si>
    <t>3SDR900KGF.CM</t>
  </si>
  <si>
    <t>3SDR750I</t>
  </si>
  <si>
    <t>3SDR75</t>
  </si>
  <si>
    <t>3SDR600I</t>
  </si>
  <si>
    <t>3SDR20NM</t>
  </si>
  <si>
    <t>3SDR200KGF.CM</t>
  </si>
  <si>
    <t>3SDR200I</t>
  </si>
  <si>
    <t>3SDR150I</t>
  </si>
  <si>
    <t>3SDR1200I</t>
  </si>
  <si>
    <t>3SDR100NM</t>
  </si>
  <si>
    <t>3SDR100</t>
  </si>
  <si>
    <t>3SD900KGF.CM</t>
  </si>
  <si>
    <t>3SD750I</t>
  </si>
  <si>
    <t>3SD20NM</t>
  </si>
  <si>
    <t>3SD200KGF.CM</t>
  </si>
  <si>
    <t>3SD200I</t>
  </si>
  <si>
    <t>3SD150I</t>
  </si>
  <si>
    <t>3SD1200I</t>
  </si>
  <si>
    <t>3SD100NM</t>
  </si>
  <si>
    <t>3 SDR 750 I MG</t>
  </si>
  <si>
    <t>3 SDR 75 MG</t>
  </si>
  <si>
    <t>3 SDR 600 I MG</t>
  </si>
  <si>
    <t>3 SDR 50 Nm MG</t>
  </si>
  <si>
    <t>3 SDR 200 I MG</t>
  </si>
  <si>
    <t>3 SDR 20 Nm MG</t>
  </si>
  <si>
    <t>3 SDR 150 I MG</t>
  </si>
  <si>
    <t>3 SDR 140 Nm MG</t>
  </si>
  <si>
    <t>3 SDR 1200 I MG</t>
  </si>
  <si>
    <t>3 SDR 100 Nm MG</t>
  </si>
  <si>
    <t>3 SDR 100 MG</t>
  </si>
  <si>
    <t>3 SD 750 I MG</t>
  </si>
  <si>
    <t>3 SD 200 I MG</t>
  </si>
  <si>
    <t>2SDR6NM</t>
  </si>
  <si>
    <t>2SDR60KGF.CM</t>
  </si>
  <si>
    <t>2SDR50I</t>
  </si>
  <si>
    <t>2SDR20NM</t>
  </si>
  <si>
    <t>2SDR200KGF.CM</t>
  </si>
  <si>
    <t>2SDR150I</t>
  </si>
  <si>
    <t>2SD6NM</t>
  </si>
  <si>
    <t>2SD60KGF.CM</t>
  </si>
  <si>
    <t>2SD50I</t>
  </si>
  <si>
    <t>2SD20NM</t>
  </si>
  <si>
    <t>2SD200KGF.CM</t>
  </si>
  <si>
    <t>2SD200I</t>
  </si>
  <si>
    <t>2SD150I</t>
  </si>
  <si>
    <t>200 Nm</t>
  </si>
  <si>
    <t>20 Nm</t>
  </si>
  <si>
    <t>2 SDR 6 Nm MG</t>
  </si>
  <si>
    <t>2 SDR 50 I MG</t>
  </si>
  <si>
    <t>2 SDR 20 Nm MG</t>
  </si>
  <si>
    <t>2 SDR 150 I MG</t>
  </si>
  <si>
    <t>2 SD 50 I MG</t>
  </si>
  <si>
    <t>2 SD 150 I MG</t>
  </si>
  <si>
    <t>100 Nm</t>
  </si>
  <si>
    <t>S600R</t>
  </si>
  <si>
    <t>S600I</t>
  </si>
  <si>
    <t>S50I</t>
  </si>
  <si>
    <t>S50</t>
  </si>
  <si>
    <t>S3600I</t>
  </si>
  <si>
    <t>S300I</t>
  </si>
  <si>
    <t>S300</t>
  </si>
  <si>
    <t>S25</t>
  </si>
  <si>
    <t>S2400I</t>
  </si>
  <si>
    <t>S200I</t>
  </si>
  <si>
    <t>S200</t>
  </si>
  <si>
    <t>S1800I</t>
  </si>
  <si>
    <t>S150</t>
  </si>
  <si>
    <t>S1200I</t>
  </si>
  <si>
    <t>S100I</t>
  </si>
  <si>
    <t>S100</t>
  </si>
  <si>
    <t>MD85KGF.CM</t>
  </si>
  <si>
    <t>MD800NM</t>
  </si>
  <si>
    <t>MD70NM</t>
  </si>
  <si>
    <t>MD-70-50</t>
  </si>
  <si>
    <t>MD700KGF.CM</t>
  </si>
  <si>
    <t>MD6NM</t>
  </si>
  <si>
    <t>MD60KGF.CM</t>
  </si>
  <si>
    <t>MD600I</t>
  </si>
  <si>
    <t>MD600</t>
  </si>
  <si>
    <t>MD50I</t>
  </si>
  <si>
    <t>MD35NM</t>
  </si>
  <si>
    <t>MD35KGF.M</t>
  </si>
  <si>
    <t>MD350NM</t>
  </si>
  <si>
    <t>MD300KGF.CM</t>
  </si>
  <si>
    <t>MD300I</t>
  </si>
  <si>
    <t>MD250</t>
  </si>
  <si>
    <t>MD20KGF.M</t>
  </si>
  <si>
    <t>MD200NM</t>
  </si>
  <si>
    <t>MD175KGF.CM</t>
  </si>
  <si>
    <t>MD15NM</t>
  </si>
  <si>
    <t>MD150I</t>
  </si>
  <si>
    <t>MD150</t>
  </si>
  <si>
    <t>MD1000</t>
  </si>
  <si>
    <t>M825RNM</t>
  </si>
  <si>
    <t>M80I0</t>
  </si>
  <si>
    <t>M70NM</t>
  </si>
  <si>
    <t>M700KGF.CM</t>
  </si>
  <si>
    <t>M600R</t>
  </si>
  <si>
    <t>M600I</t>
  </si>
  <si>
    <t>M5NM</t>
  </si>
  <si>
    <t>M5I</t>
  </si>
  <si>
    <t>M58KGF.CM</t>
  </si>
  <si>
    <t>dN·m</t>
  </si>
  <si>
    <t>M56DNM</t>
  </si>
  <si>
    <t>M56CNM</t>
  </si>
  <si>
    <t>M50I</t>
  </si>
  <si>
    <t>M50</t>
  </si>
  <si>
    <t>M42KGF.M</t>
  </si>
  <si>
    <t>M410NM</t>
  </si>
  <si>
    <t>M350KGF.CM</t>
  </si>
  <si>
    <t>M34NM</t>
  </si>
  <si>
    <t>M32I0</t>
  </si>
  <si>
    <t>M300I</t>
  </si>
  <si>
    <t>M300</t>
  </si>
  <si>
    <t>M29KGF.CM</t>
  </si>
  <si>
    <t>M28KGF.M</t>
  </si>
  <si>
    <t>M280NM</t>
  </si>
  <si>
    <t>M25I</t>
  </si>
  <si>
    <t>M-25-1</t>
  </si>
  <si>
    <t>M25</t>
  </si>
  <si>
    <t>M230KGF.CM</t>
  </si>
  <si>
    <t>M22NM</t>
  </si>
  <si>
    <t>M21KGF.M</t>
  </si>
  <si>
    <t>M-210-NM</t>
  </si>
  <si>
    <t>M210NM</t>
  </si>
  <si>
    <t>M200I</t>
  </si>
  <si>
    <t>M200</t>
  </si>
  <si>
    <t>M2.5NM</t>
  </si>
  <si>
    <t>M1NM</t>
  </si>
  <si>
    <t>M1800I</t>
  </si>
  <si>
    <t>M160I0</t>
  </si>
  <si>
    <t>M150</t>
  </si>
  <si>
    <t>M14KGF.M</t>
  </si>
  <si>
    <t>M-140-NM</t>
  </si>
  <si>
    <t>M140NM</t>
  </si>
  <si>
    <t>M12NM</t>
  </si>
  <si>
    <t>M12KGF.CM</t>
  </si>
  <si>
    <t>M1200I</t>
  </si>
  <si>
    <t>M115KGF.CM</t>
  </si>
  <si>
    <t>M110CNM</t>
  </si>
  <si>
    <t>M10I</t>
  </si>
  <si>
    <t>M100I</t>
  </si>
  <si>
    <t>M100</t>
  </si>
  <si>
    <t>DM-70-NM</t>
  </si>
  <si>
    <t>DM70/600I</t>
  </si>
  <si>
    <t>DM70/50</t>
  </si>
  <si>
    <t>DM56/80I0</t>
  </si>
  <si>
    <t>DM56/50I</t>
  </si>
  <si>
    <t>DM5/50I</t>
  </si>
  <si>
    <t>DM-34-NM</t>
  </si>
  <si>
    <t>DM34/300I</t>
  </si>
  <si>
    <t>DM34/25</t>
  </si>
  <si>
    <t>DM28/25I</t>
  </si>
  <si>
    <t>S R Folder</t>
  </si>
  <si>
    <t xml:space="preserve">See MFG </t>
  </si>
  <si>
    <t>DM22NM</t>
  </si>
  <si>
    <t>DM22/32I0</t>
  </si>
  <si>
    <t>DM22/200I</t>
  </si>
  <si>
    <t>DM210/150</t>
  </si>
  <si>
    <t>DM2.5/25I</t>
  </si>
  <si>
    <t>DM140-NM</t>
  </si>
  <si>
    <t>DM140/100</t>
  </si>
  <si>
    <t>DM12NM</t>
  </si>
  <si>
    <t>DM12/100I</t>
  </si>
  <si>
    <t>DM110/160I0</t>
  </si>
  <si>
    <t>DM110/100I inlb</t>
  </si>
  <si>
    <t>DM110/100I dNm</t>
  </si>
  <si>
    <t>DM1/10I</t>
  </si>
  <si>
    <t>DM 5 NM</t>
  </si>
  <si>
    <t>3T660</t>
  </si>
  <si>
    <t>Storm</t>
  </si>
  <si>
    <t>3T425</t>
  </si>
  <si>
    <t>Manoskop 730a/5</t>
  </si>
  <si>
    <t>Stahlwille</t>
  </si>
  <si>
    <t>Manoskop 730a/4</t>
  </si>
  <si>
    <t>Manoskop 730a/20</t>
  </si>
  <si>
    <t>Manoskop 730a/2</t>
  </si>
  <si>
    <t>Manoskop 730a/12</t>
  </si>
  <si>
    <t>Manoskop 730a/10</t>
  </si>
  <si>
    <t>Manoskop 730/65</t>
  </si>
  <si>
    <t>Manoskop 730/5</t>
  </si>
  <si>
    <t>Manoskop 730/40</t>
  </si>
  <si>
    <t>Manoskop 730/4</t>
  </si>
  <si>
    <t>Manoskop 730/20</t>
  </si>
  <si>
    <t>Manoskop 730/2</t>
  </si>
  <si>
    <t>Manoskop 730/12</t>
  </si>
  <si>
    <t>Manoskop 730/10</t>
  </si>
  <si>
    <t>730Na/5</t>
  </si>
  <si>
    <t>730Na/40</t>
  </si>
  <si>
    <t>730Na/20</t>
  </si>
  <si>
    <t>730Na/2</t>
  </si>
  <si>
    <t>730Na/10</t>
  </si>
  <si>
    <t>730N/65</t>
  </si>
  <si>
    <t>730N/5</t>
  </si>
  <si>
    <t>730N/40</t>
  </si>
  <si>
    <t>730N/20</t>
  </si>
  <si>
    <t>730N/2</t>
  </si>
  <si>
    <t>730N/12</t>
  </si>
  <si>
    <t>730/2</t>
  </si>
  <si>
    <t>730/10</t>
  </si>
  <si>
    <t>72NF/100</t>
  </si>
  <si>
    <t>760/7.5</t>
  </si>
  <si>
    <t>760/60</t>
  </si>
  <si>
    <t>760/30</t>
  </si>
  <si>
    <t>760/15</t>
  </si>
  <si>
    <t>5450-800-039</t>
  </si>
  <si>
    <t>Sonopet</t>
  </si>
  <si>
    <t>QTSP135</t>
  </si>
  <si>
    <t>Snap-on</t>
  </si>
  <si>
    <t>QTS135</t>
  </si>
  <si>
    <t>QDRIVER4P</t>
  </si>
  <si>
    <t>QDRIVER4NMA</t>
  </si>
  <si>
    <t>QDRIVER4NM</t>
  </si>
  <si>
    <t>QDRIVER4A</t>
  </si>
  <si>
    <t>QDRIVER4</t>
  </si>
  <si>
    <t>QDRIVER3P</t>
  </si>
  <si>
    <t>QDRIVER3A</t>
  </si>
  <si>
    <t>QDRIVER3</t>
  </si>
  <si>
    <t>QDRIVER2P</t>
  </si>
  <si>
    <t>QDRIVER2A</t>
  </si>
  <si>
    <t>QDRIVER2</t>
  </si>
  <si>
    <t>QDRIVER1P</t>
  </si>
  <si>
    <t>TQSSC6FUA</t>
  </si>
  <si>
    <t>TQSSC4FUA</t>
  </si>
  <si>
    <t>TQSSC2.5FUA</t>
  </si>
  <si>
    <t>TQSSC1FUA</t>
  </si>
  <si>
    <t>TQSS6FUA</t>
  </si>
  <si>
    <t>TQSS6A</t>
  </si>
  <si>
    <t>TQSS4FUA</t>
  </si>
  <si>
    <t>TQSS4A</t>
  </si>
  <si>
    <t>TQSS2FUA</t>
  </si>
  <si>
    <t>TQSS2A</t>
  </si>
  <si>
    <t>TQSS2.5FUA</t>
  </si>
  <si>
    <t>TQSS2.5A</t>
  </si>
  <si>
    <t>TQSS1FUA</t>
  </si>
  <si>
    <t>TQSS1A</t>
  </si>
  <si>
    <t>TQSS050FUAC</t>
  </si>
  <si>
    <t>TQSS050FUA</t>
  </si>
  <si>
    <t>TQSS050AC</t>
  </si>
  <si>
    <t>TQSS050A</t>
  </si>
  <si>
    <t>TQSS025FU</t>
  </si>
  <si>
    <t>TQSS025A</t>
  </si>
  <si>
    <t>TQSR6FUA</t>
  </si>
  <si>
    <t>TQSR6A</t>
  </si>
  <si>
    <t>TQSR4FUA</t>
  </si>
  <si>
    <t>TQSR4A</t>
  </si>
  <si>
    <t>TQSR2.5FUA</t>
  </si>
  <si>
    <t>TQSR2.5A</t>
  </si>
  <si>
    <t>TQSR1FUA</t>
  </si>
  <si>
    <t>TQSP2.5FUA</t>
  </si>
  <si>
    <t>TQSC6FUA</t>
  </si>
  <si>
    <t>TQSC6A</t>
  </si>
  <si>
    <t>TQSC4FUA</t>
  </si>
  <si>
    <t>TQSC4FU</t>
  </si>
  <si>
    <t>TQSC4A</t>
  </si>
  <si>
    <t>TQSC2.5FUA</t>
  </si>
  <si>
    <t>TQSC2.5A</t>
  </si>
  <si>
    <t>TQSC1FUA</t>
  </si>
  <si>
    <t>TQSC1A</t>
  </si>
  <si>
    <t>TQS6FU</t>
  </si>
  <si>
    <t>TQS6A</t>
  </si>
  <si>
    <t>TQS4FUAC</t>
  </si>
  <si>
    <t>TQS4FUA</t>
  </si>
  <si>
    <t>TQS4FU</t>
  </si>
  <si>
    <t>TQS4AC</t>
  </si>
  <si>
    <t>TQS4A</t>
  </si>
  <si>
    <t>TQS2FUA</t>
  </si>
  <si>
    <t>TQS2A</t>
  </si>
  <si>
    <t>TQS2.5FUA</t>
  </si>
  <si>
    <t>TQS2.5A</t>
  </si>
  <si>
    <t>TQS1FUA</t>
  </si>
  <si>
    <t>TQS1A</t>
  </si>
  <si>
    <t>SNAP-ON Folder</t>
  </si>
  <si>
    <t>TQS050FUA</t>
  </si>
  <si>
    <t>TQS050FU</t>
  </si>
  <si>
    <t>TQS050A</t>
  </si>
  <si>
    <t>TQS025FUA</t>
  </si>
  <si>
    <t>TQS025FU</t>
  </si>
  <si>
    <t>TQS025A</t>
  </si>
  <si>
    <t>TQS025</t>
  </si>
  <si>
    <t>TQS012FUA</t>
  </si>
  <si>
    <t>TQS012FU</t>
  </si>
  <si>
    <t>TQS012A</t>
  </si>
  <si>
    <t>TQ-50A</t>
  </si>
  <si>
    <t>TQ-3</t>
  </si>
  <si>
    <t>TQ-250-FU</t>
  </si>
  <si>
    <t>TEXC602TLA</t>
  </si>
  <si>
    <t>TEXC602TFUA</t>
  </si>
  <si>
    <t>TEXC2003TL</t>
  </si>
  <si>
    <t>TEXC2003TFU</t>
  </si>
  <si>
    <t>TEXC1003TLA</t>
  </si>
  <si>
    <t>TEXC1003TFUA</t>
  </si>
  <si>
    <t>TEX602TLA</t>
  </si>
  <si>
    <t>TEX602TFUA</t>
  </si>
  <si>
    <t>TEX2003TL</t>
  </si>
  <si>
    <t>TEX2003TFU</t>
  </si>
  <si>
    <t>TEX1003TLA</t>
  </si>
  <si>
    <t>TEX1003TFUA</t>
  </si>
  <si>
    <t>TESI800LE</t>
  </si>
  <si>
    <t>TESI800LA</t>
  </si>
  <si>
    <t>TESI800FUE</t>
  </si>
  <si>
    <t>TESI800FUA</t>
  </si>
  <si>
    <t>TESI800A</t>
  </si>
  <si>
    <t>TESI75L</t>
  </si>
  <si>
    <t>TESI75FUE</t>
  </si>
  <si>
    <t>TESI75FU</t>
  </si>
  <si>
    <t>TESI75</t>
  </si>
  <si>
    <t>TESI70L</t>
  </si>
  <si>
    <t>TESI70FUE</t>
  </si>
  <si>
    <t>TESI70FU</t>
  </si>
  <si>
    <t>TESI70</t>
  </si>
  <si>
    <t>TESI60L</t>
  </si>
  <si>
    <t>TESI60FU</t>
  </si>
  <si>
    <t>TESI60</t>
  </si>
  <si>
    <t>TESI5L</t>
  </si>
  <si>
    <t>TESI5FUE</t>
  </si>
  <si>
    <t>TESI5FU</t>
  </si>
  <si>
    <t>TESI500LA</t>
  </si>
  <si>
    <t>TESI500FUE</t>
  </si>
  <si>
    <t>TESI500FUA</t>
  </si>
  <si>
    <t>TESI500A</t>
  </si>
  <si>
    <t>TESI5</t>
  </si>
  <si>
    <t>TESI4000L</t>
  </si>
  <si>
    <t>TESI4000FU</t>
  </si>
  <si>
    <t>TESI4000</t>
  </si>
  <si>
    <t>TESI30L</t>
  </si>
  <si>
    <t>TESI30FUE</t>
  </si>
  <si>
    <t>TESI30FU</t>
  </si>
  <si>
    <t>TESI30</t>
  </si>
  <si>
    <t>TESI2805</t>
  </si>
  <si>
    <t>TESI2803LE</t>
  </si>
  <si>
    <t>TESI2803L</t>
  </si>
  <si>
    <t>TESI2803FUE</t>
  </si>
  <si>
    <t>TESI2803FU</t>
  </si>
  <si>
    <t>TESI2803</t>
  </si>
  <si>
    <t>TESI250L</t>
  </si>
  <si>
    <t>TESI250FUE</t>
  </si>
  <si>
    <t>TESI250FU</t>
  </si>
  <si>
    <t>TESI250</t>
  </si>
  <si>
    <t>TESI20L</t>
  </si>
  <si>
    <t>TESI20FUE</t>
  </si>
  <si>
    <t>TESI20FU</t>
  </si>
  <si>
    <t>TESI200L</t>
  </si>
  <si>
    <t>TESI200FU</t>
  </si>
  <si>
    <t>TESI200</t>
  </si>
  <si>
    <t>TESI20</t>
  </si>
  <si>
    <t>TESI1360LE</t>
  </si>
  <si>
    <t>TESI1360L</t>
  </si>
  <si>
    <t>TESI1360FUE</t>
  </si>
  <si>
    <t>TESI1360FU</t>
  </si>
  <si>
    <t>TESI1360A</t>
  </si>
  <si>
    <t>TESI1360</t>
  </si>
  <si>
    <t>TESI125L</t>
  </si>
  <si>
    <t>TESI125FUE</t>
  </si>
  <si>
    <t>TESI125FU</t>
  </si>
  <si>
    <t>TESI125</t>
  </si>
  <si>
    <t>TESI10L</t>
  </si>
  <si>
    <t>TESI10FUE</t>
  </si>
  <si>
    <t>TESI10FU</t>
  </si>
  <si>
    <t>TESI10</t>
  </si>
  <si>
    <t>TER6FUA</t>
  </si>
  <si>
    <t>TER6A</t>
  </si>
  <si>
    <t>TER602LA</t>
  </si>
  <si>
    <t>TER602FUA</t>
  </si>
  <si>
    <t>TER602A</t>
  </si>
  <si>
    <t>TER51L</t>
  </si>
  <si>
    <t>TER51FU</t>
  </si>
  <si>
    <t>TER51</t>
  </si>
  <si>
    <t>TER50LA</t>
  </si>
  <si>
    <t>TER50FUA</t>
  </si>
  <si>
    <t>TER50A</t>
  </si>
  <si>
    <t>TER3FUA</t>
  </si>
  <si>
    <t>TER3A</t>
  </si>
  <si>
    <t>TER352LA</t>
  </si>
  <si>
    <t>TER352FUA</t>
  </si>
  <si>
    <t>TER352A</t>
  </si>
  <si>
    <t>TER25LA</t>
  </si>
  <si>
    <t>TER25FUA</t>
  </si>
  <si>
    <t>TER25A</t>
  </si>
  <si>
    <t>TER250L</t>
  </si>
  <si>
    <t>TER250FU</t>
  </si>
  <si>
    <t>TER250</t>
  </si>
  <si>
    <t>TER1FUA</t>
  </si>
  <si>
    <t>TER1A</t>
  </si>
  <si>
    <t>TER175L</t>
  </si>
  <si>
    <t>TER175FU</t>
  </si>
  <si>
    <t>TER175</t>
  </si>
  <si>
    <t>TER12LA</t>
  </si>
  <si>
    <t>TER12FUA</t>
  </si>
  <si>
    <t>TER12A</t>
  </si>
  <si>
    <t>TER100L</t>
  </si>
  <si>
    <t>TER100FU</t>
  </si>
  <si>
    <t>TER1003L</t>
  </si>
  <si>
    <t>TER1003FU</t>
  </si>
  <si>
    <t>TER1003</t>
  </si>
  <si>
    <t>TER100</t>
  </si>
  <si>
    <t>Snap-on Folder</t>
  </si>
  <si>
    <t>TED6FUA</t>
  </si>
  <si>
    <t>TECP6-FU-A</t>
  </si>
  <si>
    <t>TECH4ZD600</t>
  </si>
  <si>
    <t>TECH4Z600</t>
  </si>
  <si>
    <t>TECH4R600</t>
  </si>
  <si>
    <t>TECH4</t>
  </si>
  <si>
    <t>TECH3XD250</t>
  </si>
  <si>
    <t>TECH3X250</t>
  </si>
  <si>
    <t>TECH3R250</t>
  </si>
  <si>
    <t>TECH3FR250</t>
  </si>
  <si>
    <t>TECH3</t>
  </si>
  <si>
    <t>TECH2YD100</t>
  </si>
  <si>
    <t>TECH2Y100</t>
  </si>
  <si>
    <t>TECH2R100</t>
  </si>
  <si>
    <t>TECH2FR100</t>
  </si>
  <si>
    <t>TECH2</t>
  </si>
  <si>
    <t>TECH1R240</t>
  </si>
  <si>
    <t>TECH1JDM240</t>
  </si>
  <si>
    <t>TECH1JD240</t>
  </si>
  <si>
    <t>TECH1J240</t>
  </si>
  <si>
    <t>TECH1FRM240</t>
  </si>
  <si>
    <t>TECH1FR240</t>
  </si>
  <si>
    <t>TECH1</t>
  </si>
  <si>
    <t>TEC803L</t>
  </si>
  <si>
    <t>TEC803FU</t>
  </si>
  <si>
    <t>TEC803</t>
  </si>
  <si>
    <t>TEC6FUE</t>
  </si>
  <si>
    <t>TEC6FUA</t>
  </si>
  <si>
    <t>TEC6A</t>
  </si>
  <si>
    <t>TEC602LA</t>
  </si>
  <si>
    <t>TEC602FUE</t>
  </si>
  <si>
    <t>TEC602FUA</t>
  </si>
  <si>
    <t>TEC602FU</t>
  </si>
  <si>
    <t>TEC602A</t>
  </si>
  <si>
    <t>TEC51L</t>
  </si>
  <si>
    <t>TEC51FUE</t>
  </si>
  <si>
    <t>TEC51FU</t>
  </si>
  <si>
    <t>TEC51</t>
  </si>
  <si>
    <t>TEC50LA</t>
  </si>
  <si>
    <t>TEC50FUE</t>
  </si>
  <si>
    <t>TEC50FUA</t>
  </si>
  <si>
    <t>TEC50A</t>
  </si>
  <si>
    <t>TEC3FUE</t>
  </si>
  <si>
    <t>TEC3FUA</t>
  </si>
  <si>
    <t>TEC3A</t>
  </si>
  <si>
    <t>TEC352LA</t>
  </si>
  <si>
    <t>TEC352FUE</t>
  </si>
  <si>
    <t>TEC352FUA</t>
  </si>
  <si>
    <t>TEC352A</t>
  </si>
  <si>
    <t>TEC3005L</t>
  </si>
  <si>
    <t>TEC3005FU</t>
  </si>
  <si>
    <t>TEC3005</t>
  </si>
  <si>
    <t>TEC25FUE</t>
  </si>
  <si>
    <t>TEC25FLA</t>
  </si>
  <si>
    <t>TEC25FFUA</t>
  </si>
  <si>
    <t>TEC25FA</t>
  </si>
  <si>
    <t>TEC250L</t>
  </si>
  <si>
    <t>TEC250FUE</t>
  </si>
  <si>
    <t>TEC250FU</t>
  </si>
  <si>
    <t>TEC250</t>
  </si>
  <si>
    <t>TEC2005L</t>
  </si>
  <si>
    <t>TEC2005FU</t>
  </si>
  <si>
    <t>TEC2005</t>
  </si>
  <si>
    <t>TEC2003L</t>
  </si>
  <si>
    <t>TEC2003FU</t>
  </si>
  <si>
    <t>TEC2003</t>
  </si>
  <si>
    <t>TEC1FUE</t>
  </si>
  <si>
    <t>TEC1FUA</t>
  </si>
  <si>
    <t>TEC1A</t>
  </si>
  <si>
    <t>TEC175L</t>
  </si>
  <si>
    <t>TEC175FUE</t>
  </si>
  <si>
    <t>TEC175FU</t>
  </si>
  <si>
    <t>TEC175</t>
  </si>
  <si>
    <t>TEC1503L</t>
  </si>
  <si>
    <t>TEC1503FU</t>
  </si>
  <si>
    <t>TEC1503</t>
  </si>
  <si>
    <t>TEC12LA</t>
  </si>
  <si>
    <t>TEC12FUE</t>
  </si>
  <si>
    <t>TEC12FUA</t>
  </si>
  <si>
    <t>TEC12A</t>
  </si>
  <si>
    <t>TEC100L</t>
  </si>
  <si>
    <t>TEC100FUE</t>
  </si>
  <si>
    <t>TEC100FU</t>
  </si>
  <si>
    <t>TEC1003L</t>
  </si>
  <si>
    <t>TEC1003FU</t>
  </si>
  <si>
    <t>TEC1003</t>
  </si>
  <si>
    <t>TEC100</t>
  </si>
  <si>
    <t>TE803L</t>
  </si>
  <si>
    <t>TE803FU</t>
  </si>
  <si>
    <t>TE803</t>
  </si>
  <si>
    <t>TE6FUA</t>
  </si>
  <si>
    <t>TE6A</t>
  </si>
  <si>
    <t>TE602LE</t>
  </si>
  <si>
    <t>TE602LA</t>
  </si>
  <si>
    <t>TE602FUE</t>
  </si>
  <si>
    <t>TE602FUA</t>
  </si>
  <si>
    <t>TE602A</t>
  </si>
  <si>
    <t>TE602</t>
  </si>
  <si>
    <t>TE51L</t>
  </si>
  <si>
    <t>TE51FU</t>
  </si>
  <si>
    <t>TE51FL</t>
  </si>
  <si>
    <t>TE51FFU</t>
  </si>
  <si>
    <t>TE51F</t>
  </si>
  <si>
    <t>TE51</t>
  </si>
  <si>
    <t>TE50LA</t>
  </si>
  <si>
    <t>TE50FUE</t>
  </si>
  <si>
    <t>TE50FUA</t>
  </si>
  <si>
    <t>TE50FLA</t>
  </si>
  <si>
    <t>TE50FFUE</t>
  </si>
  <si>
    <t>TE50FFUA</t>
  </si>
  <si>
    <t>TE50FA</t>
  </si>
  <si>
    <t>TE50A</t>
  </si>
  <si>
    <t>TE3FUE</t>
  </si>
  <si>
    <t>TE3FUA</t>
  </si>
  <si>
    <t>TE3A</t>
  </si>
  <si>
    <t>TE352LA</t>
  </si>
  <si>
    <t>TE352FUE</t>
  </si>
  <si>
    <t>TE352FUA</t>
  </si>
  <si>
    <t>TE352A</t>
  </si>
  <si>
    <t>TE3005L</t>
  </si>
  <si>
    <t>TE3005FU</t>
  </si>
  <si>
    <t>TE3005</t>
  </si>
  <si>
    <t>TE25LA</t>
  </si>
  <si>
    <t>TE25FUE</t>
  </si>
  <si>
    <t>TE25FUA</t>
  </si>
  <si>
    <t>TE25FLA</t>
  </si>
  <si>
    <t>TE25FFUE</t>
  </si>
  <si>
    <t>TE25FFUA</t>
  </si>
  <si>
    <t>TE25FA</t>
  </si>
  <si>
    <t>TE25A</t>
  </si>
  <si>
    <t>TE250L</t>
  </si>
  <si>
    <t>TE250FUE</t>
  </si>
  <si>
    <t>TE250FU</t>
  </si>
  <si>
    <t>TE250</t>
  </si>
  <si>
    <t>TE2005L</t>
  </si>
  <si>
    <t>TE2005FU</t>
  </si>
  <si>
    <t>TE2005</t>
  </si>
  <si>
    <t>TE2003LE</t>
  </si>
  <si>
    <t>TE2003L</t>
  </si>
  <si>
    <t>TE2003FUE</t>
  </si>
  <si>
    <t>TE2003FU</t>
  </si>
  <si>
    <t>TE2003</t>
  </si>
  <si>
    <t>TE1FUE</t>
  </si>
  <si>
    <t>TE1FUA</t>
  </si>
  <si>
    <t>TE1A</t>
  </si>
  <si>
    <t>TE175L</t>
  </si>
  <si>
    <t>TE175FUE</t>
  </si>
  <si>
    <t>TE175FU</t>
  </si>
  <si>
    <t>TE175</t>
  </si>
  <si>
    <t>TE1503L</t>
  </si>
  <si>
    <t>TE1503FU</t>
  </si>
  <si>
    <t>TE1503</t>
  </si>
  <si>
    <t>TE12LA</t>
  </si>
  <si>
    <t>TE12FUE</t>
  </si>
  <si>
    <t>TE12FUA</t>
  </si>
  <si>
    <t>TE12FLA</t>
  </si>
  <si>
    <t>TE12FFUA</t>
  </si>
  <si>
    <t>TE12FA</t>
  </si>
  <si>
    <t>TE12A</t>
  </si>
  <si>
    <t>TE100L</t>
  </si>
  <si>
    <t>TE100FUE</t>
  </si>
  <si>
    <t>TE100FU</t>
  </si>
  <si>
    <t>TE1003LE</t>
  </si>
  <si>
    <t>TE1003L</t>
  </si>
  <si>
    <t>TE1003FUE</t>
  </si>
  <si>
    <t>TE1003FU</t>
  </si>
  <si>
    <t>TE1003</t>
  </si>
  <si>
    <t>TE100</t>
  </si>
  <si>
    <t>QCE425A</t>
  </si>
  <si>
    <t>QCE325A</t>
  </si>
  <si>
    <t>QCE225A</t>
  </si>
  <si>
    <t>QCE215A</t>
  </si>
  <si>
    <t>QCE115A</t>
  </si>
  <si>
    <t>PMR50</t>
  </si>
  <si>
    <t>PMR100</t>
  </si>
  <si>
    <t>GTE602</t>
  </si>
  <si>
    <t>GTE50FA</t>
  </si>
  <si>
    <t>GTE50A</t>
  </si>
  <si>
    <t>GTE3A</t>
  </si>
  <si>
    <t>GTE250</t>
  </si>
  <si>
    <t>GTE175</t>
  </si>
  <si>
    <t>GTE12A</t>
  </si>
  <si>
    <t>GTE100</t>
  </si>
  <si>
    <t>ED2600</t>
  </si>
  <si>
    <t>ED2250</t>
  </si>
  <si>
    <t>ED1050</t>
  </si>
  <si>
    <t>TQRM80B</t>
  </si>
  <si>
    <t>Snap On</t>
  </si>
  <si>
    <t>TQR600E</t>
  </si>
  <si>
    <t>TQR600C</t>
  </si>
  <si>
    <t>TQR600B</t>
  </si>
  <si>
    <t>TQR400</t>
  </si>
  <si>
    <t>TQR250C</t>
  </si>
  <si>
    <t>TQR250A</t>
  </si>
  <si>
    <t>TQR100A</t>
  </si>
  <si>
    <t>TQFRN68</t>
  </si>
  <si>
    <t>TQFRN600B</t>
  </si>
  <si>
    <t>TQFRN350C</t>
  </si>
  <si>
    <t>TQFRN130</t>
  </si>
  <si>
    <t>TQFRM34C</t>
  </si>
  <si>
    <t>TQFRM14A</t>
  </si>
  <si>
    <t>TQFR50C</t>
  </si>
  <si>
    <t>TQFR50A</t>
  </si>
  <si>
    <t>TQFR250</t>
  </si>
  <si>
    <t>TQFR100A</t>
  </si>
  <si>
    <t>TQFM34</t>
  </si>
  <si>
    <t>TQF250C</t>
  </si>
  <si>
    <t>TQF250</t>
  </si>
  <si>
    <t>QT3R2500</t>
  </si>
  <si>
    <t>QT3R250</t>
  </si>
  <si>
    <t>QT2R1000</t>
  </si>
  <si>
    <t>QT2R100</t>
  </si>
  <si>
    <t>QT2FR100</t>
  </si>
  <si>
    <t>QT1R50</t>
  </si>
  <si>
    <t>QT1R200</t>
  </si>
  <si>
    <t>QP2100B</t>
  </si>
  <si>
    <t>QJRM65C</t>
  </si>
  <si>
    <t>QJRM65B</t>
  </si>
  <si>
    <t>QJRM65A</t>
  </si>
  <si>
    <t>QJRM65</t>
  </si>
  <si>
    <t>QJRM250A</t>
  </si>
  <si>
    <t>QJRM250</t>
  </si>
  <si>
    <t>QJR4600B</t>
  </si>
  <si>
    <t>QJR4600A</t>
  </si>
  <si>
    <t>QJR3250A</t>
  </si>
  <si>
    <t>QJR3250</t>
  </si>
  <si>
    <t>QJR3209B</t>
  </si>
  <si>
    <t>QJR3200C</t>
  </si>
  <si>
    <t>QJR3200B</t>
  </si>
  <si>
    <t>QJR284E</t>
  </si>
  <si>
    <t>QJR284D</t>
  </si>
  <si>
    <t>QJR284C</t>
  </si>
  <si>
    <t>QJR284B</t>
  </si>
  <si>
    <t>QJR217D</t>
  </si>
  <si>
    <t>QJR217C</t>
  </si>
  <si>
    <t>QJR217B</t>
  </si>
  <si>
    <t>QJR2100E</t>
  </si>
  <si>
    <t>QJR2100D</t>
  </si>
  <si>
    <t>QJR2100C</t>
  </si>
  <si>
    <t>QJR2100B</t>
  </si>
  <si>
    <t>QJR117F</t>
  </si>
  <si>
    <t>QJR117E</t>
  </si>
  <si>
    <t>QJR117D</t>
  </si>
  <si>
    <t>QJR117C</t>
  </si>
  <si>
    <t>QJR117B</t>
  </si>
  <si>
    <t>QJR117</t>
  </si>
  <si>
    <t>QJMR330B</t>
  </si>
  <si>
    <t>QJMR330</t>
  </si>
  <si>
    <t>QJMR210D</t>
  </si>
  <si>
    <t>QJMR210C</t>
  </si>
  <si>
    <t>QJMR210B</t>
  </si>
  <si>
    <t>QJMR210A</t>
  </si>
  <si>
    <t>QJMR12C</t>
  </si>
  <si>
    <t>QJMR12B</t>
  </si>
  <si>
    <t>QJMR12A</t>
  </si>
  <si>
    <t>QJM330</t>
  </si>
  <si>
    <t>QJM12</t>
  </si>
  <si>
    <t>QJFR3250</t>
  </si>
  <si>
    <t>QJFR3200</t>
  </si>
  <si>
    <t>QJFR275E</t>
  </si>
  <si>
    <t>QJFR275D</t>
  </si>
  <si>
    <t>QJFR275C</t>
  </si>
  <si>
    <t>QJFR275B</t>
  </si>
  <si>
    <t>QJ4600A</t>
  </si>
  <si>
    <t>QJ3250A</t>
  </si>
  <si>
    <t>QJ3250</t>
  </si>
  <si>
    <t>QJ3209B</t>
  </si>
  <si>
    <t>QJ3200B</t>
  </si>
  <si>
    <t>QJ284C</t>
  </si>
  <si>
    <t>QJ284B</t>
  </si>
  <si>
    <t>QJ217C</t>
  </si>
  <si>
    <t>QJ217B</t>
  </si>
  <si>
    <t>QJ2100C</t>
  </si>
  <si>
    <t>QJ2100B</t>
  </si>
  <si>
    <t>QJ117C</t>
  </si>
  <si>
    <t>QJ117B</t>
  </si>
  <si>
    <t>QJ117</t>
  </si>
  <si>
    <t>QD5R1000</t>
  </si>
  <si>
    <t>QD4RN800A</t>
  </si>
  <si>
    <t>QD4RN800</t>
  </si>
  <si>
    <t>QD4RN550</t>
  </si>
  <si>
    <t>QD4R600A</t>
  </si>
  <si>
    <t>QD4R600</t>
  </si>
  <si>
    <t>QD4R400</t>
  </si>
  <si>
    <t>QD4IN800A</t>
  </si>
  <si>
    <t>QD4IN800</t>
  </si>
  <si>
    <t>QD4600A</t>
  </si>
  <si>
    <t>QD4600</t>
  </si>
  <si>
    <t>QD4400A</t>
  </si>
  <si>
    <t>QD4400</t>
  </si>
  <si>
    <t>QD3RN350</t>
  </si>
  <si>
    <t>QD3RN200</t>
  </si>
  <si>
    <t>QD3R250A</t>
  </si>
  <si>
    <t>QD3R2500</t>
  </si>
  <si>
    <t>QD3R250</t>
  </si>
  <si>
    <t>QD3R1600A</t>
  </si>
  <si>
    <t>QD3R1600</t>
  </si>
  <si>
    <t>QD3R150A</t>
  </si>
  <si>
    <t>QD3R150</t>
  </si>
  <si>
    <t>QD3IN350</t>
  </si>
  <si>
    <t>QD3IN200</t>
  </si>
  <si>
    <t>QD3250A</t>
  </si>
  <si>
    <t>QD3250</t>
  </si>
  <si>
    <t>QD3150</t>
  </si>
  <si>
    <t>QD2RN50A</t>
  </si>
  <si>
    <t>QD2RN50</t>
  </si>
  <si>
    <t>QD2RN25A</t>
  </si>
  <si>
    <t>QD2RN25</t>
  </si>
  <si>
    <t>QD2RN100</t>
  </si>
  <si>
    <t>QD2R200</t>
  </si>
  <si>
    <t>QD2R100A</t>
  </si>
  <si>
    <t>QD2R1000A</t>
  </si>
  <si>
    <t>QD2R1000</t>
  </si>
  <si>
    <t>QD2R100</t>
  </si>
  <si>
    <t>QD2IN50</t>
  </si>
  <si>
    <t>QD2IN100</t>
  </si>
  <si>
    <t>QD2FR75</t>
  </si>
  <si>
    <t>QD275</t>
  </si>
  <si>
    <t>QD2100A</t>
  </si>
  <si>
    <t>QD21000A</t>
  </si>
  <si>
    <t>QD2100</t>
  </si>
  <si>
    <t>QD1RN6A</t>
  </si>
  <si>
    <t>QD1RN6</t>
  </si>
  <si>
    <t>QD1RN25A</t>
  </si>
  <si>
    <t>QD1RN25</t>
  </si>
  <si>
    <t>QD1R50A</t>
  </si>
  <si>
    <t>QD1R50</t>
  </si>
  <si>
    <t>QD1R200</t>
  </si>
  <si>
    <t>QD150</t>
  </si>
  <si>
    <t>QD1200</t>
  </si>
  <si>
    <t>QC5R1000</t>
  </si>
  <si>
    <t>QC5N2500</t>
  </si>
  <si>
    <t>QC51000</t>
  </si>
  <si>
    <t>QC4RN800</t>
  </si>
  <si>
    <t>QC4RN550</t>
  </si>
  <si>
    <t>QC4RM80</t>
  </si>
  <si>
    <t>QC4R600A</t>
  </si>
  <si>
    <t>QC4R600</t>
  </si>
  <si>
    <t>QC4R400A</t>
  </si>
  <si>
    <t>QC4R400</t>
  </si>
  <si>
    <t>QC4N800</t>
  </si>
  <si>
    <t>QC4N550</t>
  </si>
  <si>
    <t>QC4600</t>
  </si>
  <si>
    <t>QC4400</t>
  </si>
  <si>
    <t>QC3RN350</t>
  </si>
  <si>
    <t>QC3RN200</t>
  </si>
  <si>
    <t>QC3RM30</t>
  </si>
  <si>
    <t>QC3RM2000</t>
  </si>
  <si>
    <t>QC3R2500</t>
  </si>
  <si>
    <t>QC3R250</t>
  </si>
  <si>
    <t>QC3R150</t>
  </si>
  <si>
    <t>QC3N350</t>
  </si>
  <si>
    <t>QC3N200</t>
  </si>
  <si>
    <t>QC32500</t>
  </si>
  <si>
    <t>QC3250</t>
  </si>
  <si>
    <t>QC31600</t>
  </si>
  <si>
    <t>QC3150</t>
  </si>
  <si>
    <t>QC2RN50</t>
  </si>
  <si>
    <t>QC2RN25</t>
  </si>
  <si>
    <t>QC2RN100</t>
  </si>
  <si>
    <t>QC2RM1000</t>
  </si>
  <si>
    <t>QC2R200</t>
  </si>
  <si>
    <t>QC2R1000</t>
  </si>
  <si>
    <t>QC2R100</t>
  </si>
  <si>
    <t>QC2N50</t>
  </si>
  <si>
    <t>QC2N100</t>
  </si>
  <si>
    <t>QC2I75</t>
  </si>
  <si>
    <t>QC2FR75</t>
  </si>
  <si>
    <t>QC275</t>
  </si>
  <si>
    <t>QC2175</t>
  </si>
  <si>
    <t>QC2100</t>
  </si>
  <si>
    <t>QC1RN6</t>
  </si>
  <si>
    <t>QC1RN25</t>
  </si>
  <si>
    <t>QC1RM200</t>
  </si>
  <si>
    <t>QC1R50</t>
  </si>
  <si>
    <t>QC1R200</t>
  </si>
  <si>
    <t>QC1N6</t>
  </si>
  <si>
    <t>QC1N25</t>
  </si>
  <si>
    <t>QC1I200</t>
  </si>
  <si>
    <t>QC150</t>
  </si>
  <si>
    <t>QC1200</t>
  </si>
  <si>
    <t>BRUTUS3R300</t>
  </si>
  <si>
    <t>BRUTUS3R250D</t>
  </si>
  <si>
    <t>SKT0587</t>
  </si>
  <si>
    <t>SK</t>
  </si>
  <si>
    <t>SKT0563</t>
  </si>
  <si>
    <t>SKT0064</t>
  </si>
  <si>
    <t>SKT0046</t>
  </si>
  <si>
    <t>SKT0045</t>
  </si>
  <si>
    <t>SKT0787</t>
  </si>
  <si>
    <t>SKT0786</t>
  </si>
  <si>
    <t>SKT0785</t>
  </si>
  <si>
    <t>SKT0784</t>
  </si>
  <si>
    <t>SKT0771</t>
  </si>
  <si>
    <t>SKT0770</t>
  </si>
  <si>
    <t>SKT0769</t>
  </si>
  <si>
    <t>SKT0765</t>
  </si>
  <si>
    <t>SKT0763</t>
  </si>
  <si>
    <t>SKT0589</t>
  </si>
  <si>
    <t>SKT0400</t>
  </si>
  <si>
    <t>SKT0151</t>
  </si>
  <si>
    <t>SKT0059</t>
  </si>
  <si>
    <t>SKT0058</t>
  </si>
  <si>
    <t>SKT0056</t>
  </si>
  <si>
    <t>SKT0055</t>
  </si>
  <si>
    <t>SKT0016</t>
  </si>
  <si>
    <t>SKT0014</t>
  </si>
  <si>
    <t>SKT0013</t>
  </si>
  <si>
    <t>SKT0011</t>
  </si>
  <si>
    <t>Signet</t>
  </si>
  <si>
    <t>TK-1</t>
  </si>
  <si>
    <t>Seekonk</t>
  </si>
  <si>
    <t>MC-200</t>
  </si>
  <si>
    <t>MC-10H</t>
  </si>
  <si>
    <t>LT-M</t>
  </si>
  <si>
    <t>BT-4R-3/8</t>
  </si>
  <si>
    <t>BT-4L8-3/8</t>
  </si>
  <si>
    <t>BT-4L-3/8</t>
  </si>
  <si>
    <t>BT-4D-3/8</t>
  </si>
  <si>
    <t>BT-4C-3/8</t>
  </si>
  <si>
    <t>BT-3-3/8</t>
  </si>
  <si>
    <t>BT-3-1/4</t>
  </si>
  <si>
    <t>BT-2R-3/8</t>
  </si>
  <si>
    <t>BT-2R-1/4</t>
  </si>
  <si>
    <t>BT-2L-3/8</t>
  </si>
  <si>
    <t>BT-2L-1/4</t>
  </si>
  <si>
    <t>BT-2D-3/8</t>
  </si>
  <si>
    <t>BT-2D-1/4</t>
  </si>
  <si>
    <t>BT-1R-1/4</t>
  </si>
  <si>
    <t>BT-1B-1/4</t>
  </si>
  <si>
    <t>SM-150-T37</t>
  </si>
  <si>
    <t>NC-100</t>
  </si>
  <si>
    <t>LT-R 3/8</t>
  </si>
  <si>
    <t>LT-R 1/4</t>
  </si>
  <si>
    <t>LT-R</t>
  </si>
  <si>
    <t>LT-O</t>
  </si>
  <si>
    <t>LT-L</t>
  </si>
  <si>
    <t>IT-6 3/4</t>
  </si>
  <si>
    <t>IT-5 1/2</t>
  </si>
  <si>
    <t>IT-4 3/8</t>
  </si>
  <si>
    <t>IT-3 1/4</t>
  </si>
  <si>
    <t>TSQ-75</t>
  </si>
  <si>
    <t>TSQ-600</t>
  </si>
  <si>
    <t>TSQ-300</t>
  </si>
  <si>
    <t>TSQ-30</t>
  </si>
  <si>
    <t>TSQ-150</t>
  </si>
  <si>
    <t>TSQ-100</t>
  </si>
  <si>
    <t>TSF-50</t>
  </si>
  <si>
    <t>SO-96</t>
  </si>
  <si>
    <t>SO-24</t>
  </si>
  <si>
    <t>SL-80 Right</t>
  </si>
  <si>
    <t>SL-80 Left</t>
  </si>
  <si>
    <t>SL-6</t>
  </si>
  <si>
    <t>SL-50 Right</t>
  </si>
  <si>
    <t>SL-50 Left</t>
  </si>
  <si>
    <t>SL-25 Right</t>
  </si>
  <si>
    <t>SL-25 Left</t>
  </si>
  <si>
    <t>SL-12</t>
  </si>
  <si>
    <t>SL-100 Right</t>
  </si>
  <si>
    <t>SL-100 Left</t>
  </si>
  <si>
    <t>SD-96</t>
  </si>
  <si>
    <t>SD-48</t>
  </si>
  <si>
    <t>5680-099-01</t>
  </si>
  <si>
    <t>Sandvik Coromant</t>
  </si>
  <si>
    <t>5680-088-02</t>
  </si>
  <si>
    <t>DYNASTOP 5-80</t>
  </si>
  <si>
    <t>Sam</t>
  </si>
  <si>
    <t>Rock River</t>
  </si>
  <si>
    <t>Rahsol</t>
  </si>
  <si>
    <t>8460-01</t>
  </si>
  <si>
    <t>R-282-320</t>
  </si>
  <si>
    <t>Radiall</t>
  </si>
  <si>
    <t>MC 30</t>
  </si>
  <si>
    <t>Proxxon</t>
  </si>
  <si>
    <t>J6107A</t>
  </si>
  <si>
    <t>Proto</t>
  </si>
  <si>
    <t>J6106A</t>
  </si>
  <si>
    <t>J6104A</t>
  </si>
  <si>
    <t>JH7-6014C</t>
  </si>
  <si>
    <t>JH5-6006C</t>
  </si>
  <si>
    <t>JH5-200FPS</t>
  </si>
  <si>
    <t>JH5-150FPS</t>
  </si>
  <si>
    <t>JH4-50FPS</t>
  </si>
  <si>
    <t>JH4-150PS</t>
  </si>
  <si>
    <t>J6072C</t>
  </si>
  <si>
    <t>J6068C</t>
  </si>
  <si>
    <t>J6066CX</t>
  </si>
  <si>
    <t>J6066C</t>
  </si>
  <si>
    <t>J6065CX</t>
  </si>
  <si>
    <t>J6065C</t>
  </si>
  <si>
    <t>J6064CX</t>
  </si>
  <si>
    <t>J6064C</t>
  </si>
  <si>
    <t>J6063CX</t>
  </si>
  <si>
    <t>J6063C</t>
  </si>
  <si>
    <t>J6062C</t>
  </si>
  <si>
    <t>J6061CX</t>
  </si>
  <si>
    <t>J6061C</t>
  </si>
  <si>
    <t>J6060A</t>
  </si>
  <si>
    <t>J6025</t>
  </si>
  <si>
    <t>J6023</t>
  </si>
  <si>
    <t>J6022B</t>
  </si>
  <si>
    <t>J6020NM</t>
  </si>
  <si>
    <t>J6020CX</t>
  </si>
  <si>
    <t>J6020AB</t>
  </si>
  <si>
    <t>J6018CX</t>
  </si>
  <si>
    <t>J6018AB</t>
  </si>
  <si>
    <t>J6017B</t>
  </si>
  <si>
    <t>J6016NMC</t>
  </si>
  <si>
    <t>J6016MC</t>
  </si>
  <si>
    <t>J6016C</t>
  </si>
  <si>
    <t>J6016B</t>
  </si>
  <si>
    <t>J6015C</t>
  </si>
  <si>
    <t>J6014NMC</t>
  </si>
  <si>
    <t>J6014MC</t>
  </si>
  <si>
    <t>J6014F</t>
  </si>
  <si>
    <t>J6014C</t>
  </si>
  <si>
    <t>J6013C</t>
  </si>
  <si>
    <t>J6012FC</t>
  </si>
  <si>
    <t>J6012C</t>
  </si>
  <si>
    <t>J6008C</t>
  </si>
  <si>
    <t>J6006NMC</t>
  </si>
  <si>
    <t>J6006MC</t>
  </si>
  <si>
    <t>J6006F</t>
  </si>
  <si>
    <t>J6006C</t>
  </si>
  <si>
    <t>J6005C</t>
  </si>
  <si>
    <t>H7-6014C</t>
  </si>
  <si>
    <t>6072F</t>
  </si>
  <si>
    <t>6068F</t>
  </si>
  <si>
    <t>6068C</t>
  </si>
  <si>
    <t>6066F</t>
  </si>
  <si>
    <t>6066C</t>
  </si>
  <si>
    <t>6065F</t>
  </si>
  <si>
    <t>6065A</t>
  </si>
  <si>
    <t>6065-4</t>
  </si>
  <si>
    <t>6064F</t>
  </si>
  <si>
    <t>6064CX</t>
  </si>
  <si>
    <t>6064C</t>
  </si>
  <si>
    <t>6063A</t>
  </si>
  <si>
    <t>6063-5</t>
  </si>
  <si>
    <t>6062F</t>
  </si>
  <si>
    <t>6062C</t>
  </si>
  <si>
    <t>6061-5</t>
  </si>
  <si>
    <t>6060A</t>
  </si>
  <si>
    <t>6022B</t>
  </si>
  <si>
    <t>6020NM</t>
  </si>
  <si>
    <t>6020AB</t>
  </si>
  <si>
    <t>6020-1</t>
  </si>
  <si>
    <t>6018AB</t>
  </si>
  <si>
    <t>6016NMC</t>
  </si>
  <si>
    <t>6016NMB</t>
  </si>
  <si>
    <t>6016NM</t>
  </si>
  <si>
    <t>6016F</t>
  </si>
  <si>
    <t>6016CX</t>
  </si>
  <si>
    <t>6016C</t>
  </si>
  <si>
    <t>6015C</t>
  </si>
  <si>
    <t>6014NMC</t>
  </si>
  <si>
    <t>6014F</t>
  </si>
  <si>
    <t>6014CX</t>
  </si>
  <si>
    <t>6014C</t>
  </si>
  <si>
    <t>6013C</t>
  </si>
  <si>
    <t>6012F</t>
  </si>
  <si>
    <t>6012C</t>
  </si>
  <si>
    <t>6008CX</t>
  </si>
  <si>
    <t>6008C</t>
  </si>
  <si>
    <t>6006NMC</t>
  </si>
  <si>
    <t>6006NMA</t>
  </si>
  <si>
    <t>6006F</t>
  </si>
  <si>
    <t>6006CX</t>
  </si>
  <si>
    <t>6006C</t>
  </si>
  <si>
    <t>6006A</t>
  </si>
  <si>
    <t>6005C</t>
  </si>
  <si>
    <t>6005A</t>
  </si>
  <si>
    <t>49860A</t>
  </si>
  <si>
    <t>49859-A</t>
  </si>
  <si>
    <t>39825-A</t>
  </si>
  <si>
    <t>34870-A</t>
  </si>
  <si>
    <t>JH7-250FRB</t>
  </si>
  <si>
    <t>JH7-250F</t>
  </si>
  <si>
    <t>JH5-100FRB</t>
  </si>
  <si>
    <t>JH5-100F</t>
  </si>
  <si>
    <t>JH4-250RB</t>
  </si>
  <si>
    <t>JH4-250</t>
  </si>
  <si>
    <t>J6351</t>
  </si>
  <si>
    <t>J6349</t>
  </si>
  <si>
    <t>J6347</t>
  </si>
  <si>
    <t>J6346</t>
  </si>
  <si>
    <t>J6345B</t>
  </si>
  <si>
    <t>J6345A</t>
  </si>
  <si>
    <t>J6345</t>
  </si>
  <si>
    <t>J6342</t>
  </si>
  <si>
    <t>J6339</t>
  </si>
  <si>
    <t>J6181F</t>
  </si>
  <si>
    <t>J6177NMF</t>
  </si>
  <si>
    <t>J6177F</t>
  </si>
  <si>
    <t>J6169NMF</t>
  </si>
  <si>
    <t>J6169F</t>
  </si>
  <si>
    <t>J6168F</t>
  </si>
  <si>
    <t>J6149F</t>
  </si>
  <si>
    <t>J6141F</t>
  </si>
  <si>
    <t>J6141AB</t>
  </si>
  <si>
    <t>J6134F</t>
  </si>
  <si>
    <t>J6133F</t>
  </si>
  <si>
    <t>J6125F</t>
  </si>
  <si>
    <t>J6121NMF</t>
  </si>
  <si>
    <t>J6121F</t>
  </si>
  <si>
    <t>J6113NMF</t>
  </si>
  <si>
    <t>J6113F</t>
  </si>
  <si>
    <t>J6061EFX</t>
  </si>
  <si>
    <t>J6014EFX</t>
  </si>
  <si>
    <t>J6012EFX</t>
  </si>
  <si>
    <t>J6012E</t>
  </si>
  <si>
    <t>6181A</t>
  </si>
  <si>
    <t>6169A</t>
  </si>
  <si>
    <t>6149F</t>
  </si>
  <si>
    <t>6125A</t>
  </si>
  <si>
    <t>6113A</t>
  </si>
  <si>
    <t>SD-T635-0112 N</t>
  </si>
  <si>
    <t>Proskit</t>
  </si>
  <si>
    <t>SD-T635-0112 LB</t>
  </si>
  <si>
    <t>Pro Source</t>
  </si>
  <si>
    <t>Pro Point</t>
  </si>
  <si>
    <t>M3R250F</t>
  </si>
  <si>
    <t>Precision Instruments</t>
  </si>
  <si>
    <t>M3R2500HX</t>
  </si>
  <si>
    <t>M3R2500H</t>
  </si>
  <si>
    <t>M3F250F</t>
  </si>
  <si>
    <t>M3F2500HXB</t>
  </si>
  <si>
    <t>M3F2500H</t>
  </si>
  <si>
    <t>M2R200HX</t>
  </si>
  <si>
    <t>M2R200H</t>
  </si>
  <si>
    <t>M2R100F</t>
  </si>
  <si>
    <t>M2R1000HX</t>
  </si>
  <si>
    <t>M2R1000H</t>
  </si>
  <si>
    <t>M2FR100F</t>
  </si>
  <si>
    <t>M2F100F</t>
  </si>
  <si>
    <t>M2F1000HXB</t>
  </si>
  <si>
    <t>M2F1000H</t>
  </si>
  <si>
    <t>M1R50H</t>
  </si>
  <si>
    <t>M1R200HX</t>
  </si>
  <si>
    <t>M1R200HC</t>
  </si>
  <si>
    <t>M1R200H</t>
  </si>
  <si>
    <t>M1F50HB</t>
  </si>
  <si>
    <t>M1F50H</t>
  </si>
  <si>
    <t>M1F200HXB</t>
  </si>
  <si>
    <t>M1F200H</t>
  </si>
  <si>
    <t>C5D600F</t>
  </si>
  <si>
    <t>C4D80M</t>
  </si>
  <si>
    <t>C4D800N</t>
  </si>
  <si>
    <t>C4D600F</t>
  </si>
  <si>
    <t>C4D400F</t>
  </si>
  <si>
    <t>C3FR350N</t>
  </si>
  <si>
    <t>C3FR34M</t>
  </si>
  <si>
    <t>C3FR250F</t>
  </si>
  <si>
    <t>C3F34M</t>
  </si>
  <si>
    <t>C3F250F</t>
  </si>
  <si>
    <t>C2R100F</t>
  </si>
  <si>
    <t>C2FR68N</t>
  </si>
  <si>
    <t>C2FR600H</t>
  </si>
  <si>
    <t>C2FR14M</t>
  </si>
  <si>
    <t>C2FR130N</t>
  </si>
  <si>
    <t>C2FR100F</t>
  </si>
  <si>
    <t>DS1F96CZHM</t>
  </si>
  <si>
    <t>DS1F96CZH</t>
  </si>
  <si>
    <t>DS1F8Z</t>
  </si>
  <si>
    <t>DS1F48CZHM</t>
  </si>
  <si>
    <t>DS1F384CZHMC</t>
  </si>
  <si>
    <t>DS1F192CZHMC</t>
  </si>
  <si>
    <t>D3F100FMP</t>
  </si>
  <si>
    <t>D250CFNMC</t>
  </si>
  <si>
    <t>D1F75HM</t>
  </si>
  <si>
    <t>D1F75HL</t>
  </si>
  <si>
    <t>D1F75H</t>
  </si>
  <si>
    <t>D1F75CHNM</t>
  </si>
  <si>
    <t>D1F75CHNL</t>
  </si>
  <si>
    <t>D1F75CHN</t>
  </si>
  <si>
    <t>D1F75CHKM</t>
  </si>
  <si>
    <t>D1F75CHKL</t>
  </si>
  <si>
    <t>D1F75CHK</t>
  </si>
  <si>
    <t>D1F5NM</t>
  </si>
  <si>
    <t>D1F5NL</t>
  </si>
  <si>
    <t>D1F5N</t>
  </si>
  <si>
    <t>D1F50HM</t>
  </si>
  <si>
    <t>D1F50HL</t>
  </si>
  <si>
    <t>D1F50H</t>
  </si>
  <si>
    <t>D1F50CHKM</t>
  </si>
  <si>
    <t>D1F50CHKL</t>
  </si>
  <si>
    <t>D1F50CHK</t>
  </si>
  <si>
    <t>D1F30HM</t>
  </si>
  <si>
    <t>D1F30HL</t>
  </si>
  <si>
    <t>D1F30H</t>
  </si>
  <si>
    <t>D1F30CHNM</t>
  </si>
  <si>
    <t>D1F30CHNL</t>
  </si>
  <si>
    <t>D1F30CHN</t>
  </si>
  <si>
    <t>D1F30CHKM</t>
  </si>
  <si>
    <t>D1F30CHKL</t>
  </si>
  <si>
    <t>D1F30CHK</t>
  </si>
  <si>
    <t>D1F240ZM</t>
  </si>
  <si>
    <t>D1F240ZL</t>
  </si>
  <si>
    <t>D1F240Z</t>
  </si>
  <si>
    <t>D1F15HM</t>
  </si>
  <si>
    <t>D1F15HL</t>
  </si>
  <si>
    <t>D1F15H</t>
  </si>
  <si>
    <t>D1F15CHWM</t>
  </si>
  <si>
    <t>D1F15CHNM</t>
  </si>
  <si>
    <t>D1F15CHNL</t>
  </si>
  <si>
    <t>D1F15CHN</t>
  </si>
  <si>
    <t>D1F15CHKM</t>
  </si>
  <si>
    <t>D1F15CHKL</t>
  </si>
  <si>
    <t>D1F15CHK</t>
  </si>
  <si>
    <t>D1F10NM</t>
  </si>
  <si>
    <t>D1F10NL</t>
  </si>
  <si>
    <t>D1F10N</t>
  </si>
  <si>
    <t>D1F100HM</t>
  </si>
  <si>
    <t>D1F100HL</t>
  </si>
  <si>
    <t>D1F100H</t>
  </si>
  <si>
    <t>Pittsburgh</t>
  </si>
  <si>
    <t>50 - 300 ft·lb</t>
  </si>
  <si>
    <t>00807</t>
  </si>
  <si>
    <t>0 - 80 ft·lb</t>
  </si>
  <si>
    <t>0 - 180 in·lb</t>
  </si>
  <si>
    <t>M199</t>
  </si>
  <si>
    <t>Performance Tool</t>
  </si>
  <si>
    <t>DEMI3-15-NM</t>
  </si>
  <si>
    <t>Pedros</t>
  </si>
  <si>
    <t>PE5019-9</t>
  </si>
  <si>
    <t>Pasternack</t>
  </si>
  <si>
    <t>PE5019-8</t>
  </si>
  <si>
    <t>PE5019-7</t>
  </si>
  <si>
    <t>PE5019-6</t>
  </si>
  <si>
    <t>PE5019-5</t>
  </si>
  <si>
    <t>PE5019-4</t>
  </si>
  <si>
    <t>PE5019-3</t>
  </si>
  <si>
    <t>PE5019-2</t>
  </si>
  <si>
    <t>PE5019-19</t>
  </si>
  <si>
    <t>PE5019-18</t>
  </si>
  <si>
    <t>PE5019-17</t>
  </si>
  <si>
    <t>PE5019-16</t>
  </si>
  <si>
    <t>PE5019-14</t>
  </si>
  <si>
    <t>PE5019-13</t>
  </si>
  <si>
    <t>PE5019-12</t>
  </si>
  <si>
    <t>PE5019-11</t>
  </si>
  <si>
    <t>PE5019-10</t>
  </si>
  <si>
    <t>PE5019-1</t>
  </si>
  <si>
    <t>77-DISS-TW-K</t>
  </si>
  <si>
    <t>Parker</t>
  </si>
  <si>
    <t>77-DISS-TW</t>
  </si>
  <si>
    <t>77-350-TW</t>
  </si>
  <si>
    <t>PAR-SARO063FT</t>
  </si>
  <si>
    <t>Paramount</t>
  </si>
  <si>
    <t>OTC</t>
  </si>
  <si>
    <t>7098-5031-54</t>
  </si>
  <si>
    <t>Omni Spectra</t>
  </si>
  <si>
    <t>2598-5383-50</t>
  </si>
  <si>
    <t>2598-5298-54</t>
  </si>
  <si>
    <t>2598-5160-54</t>
  </si>
  <si>
    <t>2598-5027-54</t>
  </si>
  <si>
    <t>2598-5026-54</t>
  </si>
  <si>
    <t>2098-5830-54</t>
  </si>
  <si>
    <t>2098-5619-54</t>
  </si>
  <si>
    <t>2098-5304-54</t>
  </si>
  <si>
    <t>2098-5065-54</t>
  </si>
  <si>
    <t>2098-0351-54</t>
  </si>
  <si>
    <t>IT3262</t>
  </si>
  <si>
    <t>OEL Sales</t>
  </si>
  <si>
    <t>IT-30250RA</t>
  </si>
  <si>
    <t>IT-250TA-TB</t>
  </si>
  <si>
    <t>OCS-4</t>
  </si>
  <si>
    <t>Ocon</t>
  </si>
  <si>
    <t>PTMTW-I-2000E</t>
  </si>
  <si>
    <t>NuLine</t>
  </si>
  <si>
    <t>in NuLine</t>
  </si>
  <si>
    <t>NB-100C</t>
  </si>
  <si>
    <t>Norbar</t>
  </si>
  <si>
    <t>10573B</t>
  </si>
  <si>
    <t>Neiko</t>
  </si>
  <si>
    <t>TTSN 1</t>
  </si>
  <si>
    <t>NASCO</t>
  </si>
  <si>
    <t>TS 30</t>
  </si>
  <si>
    <t>TS 100</t>
  </si>
  <si>
    <t>MT80 A</t>
  </si>
  <si>
    <t>MT50A</t>
  </si>
  <si>
    <t>MT120 A</t>
  </si>
  <si>
    <t>810587</t>
  </si>
  <si>
    <t>NTL 12</t>
  </si>
  <si>
    <t>NTL 100</t>
  </si>
  <si>
    <t>NTA 50IW</t>
  </si>
  <si>
    <t>NTA 50FW</t>
  </si>
  <si>
    <t>NTA 250IW</t>
  </si>
  <si>
    <t>NTA 250FW</t>
  </si>
  <si>
    <t>TT50F/H</t>
  </si>
  <si>
    <t>TT500F/H</t>
  </si>
  <si>
    <t>TT250F/H</t>
  </si>
  <si>
    <t>TT100F/H</t>
  </si>
  <si>
    <t>TT 1CM</t>
  </si>
  <si>
    <t>TT 1</t>
  </si>
  <si>
    <t>SO80</t>
  </si>
  <si>
    <t>SO6</t>
  </si>
  <si>
    <t>SO48</t>
  </si>
  <si>
    <t>SO3</t>
  </si>
  <si>
    <t>SO24</t>
  </si>
  <si>
    <t>SO12</t>
  </si>
  <si>
    <t>SL6</t>
  </si>
  <si>
    <t>SL50</t>
  </si>
  <si>
    <t>SL25</t>
  </si>
  <si>
    <t>SL12</t>
  </si>
  <si>
    <t>SL100</t>
  </si>
  <si>
    <t>GS350</t>
  </si>
  <si>
    <t>GS170</t>
  </si>
  <si>
    <t>98TG A</t>
  </si>
  <si>
    <t>68TG A</t>
  </si>
  <si>
    <t>TBX-25</t>
  </si>
  <si>
    <t>Mountz</t>
  </si>
  <si>
    <t>TBX-12</t>
  </si>
  <si>
    <t>TBIH (06800XD)</t>
  </si>
  <si>
    <t>TBIH (06800XC)</t>
  </si>
  <si>
    <t>TBIH (06800XB)</t>
  </si>
  <si>
    <t>TBIH (06800XA)</t>
  </si>
  <si>
    <t>TBIH (067999-D)</t>
  </si>
  <si>
    <t>TBIH (067999-C)</t>
  </si>
  <si>
    <t>TBIH (067999-B)</t>
  </si>
  <si>
    <t>TBIH (067999-A)</t>
  </si>
  <si>
    <t>TB (0600DX)</t>
  </si>
  <si>
    <t>TB (0600CX)</t>
  </si>
  <si>
    <t>TB (0600BX)</t>
  </si>
  <si>
    <t>TB (0600AX)</t>
  </si>
  <si>
    <t>MTBN65</t>
  </si>
  <si>
    <t>MTBN25</t>
  </si>
  <si>
    <t>MTBN200</t>
  </si>
  <si>
    <t>MTBN2</t>
  </si>
  <si>
    <t>MTBN135</t>
  </si>
  <si>
    <t>MTBN10</t>
  </si>
  <si>
    <t>MMTB 8-39</t>
  </si>
  <si>
    <t>MMTB 80</t>
  </si>
  <si>
    <t>MMTB 40-80</t>
  </si>
  <si>
    <t>MMTB 39</t>
  </si>
  <si>
    <t>ATB5i</t>
  </si>
  <si>
    <t>ATB5</t>
  </si>
  <si>
    <t>ATB25i</t>
  </si>
  <si>
    <t>ATB25F</t>
  </si>
  <si>
    <t>ATB25</t>
  </si>
  <si>
    <t>ATB2.5</t>
  </si>
  <si>
    <t>ATB10i</t>
  </si>
  <si>
    <t>ATB10</t>
  </si>
  <si>
    <t>TLS-IFR 1360</t>
  </si>
  <si>
    <t>TLS-IFR 0406</t>
  </si>
  <si>
    <t>TLS-IFR 0135</t>
  </si>
  <si>
    <t>TLS1360</t>
  </si>
  <si>
    <t>TLS0406</t>
  </si>
  <si>
    <t>TLS0135</t>
  </si>
  <si>
    <t>TLS0022M</t>
  </si>
  <si>
    <t>TLS0022</t>
  </si>
  <si>
    <t>TLS PRO 450 ESD</t>
  </si>
  <si>
    <t>TLS PRO 450</t>
  </si>
  <si>
    <t>TLS PRO 25 ESD</t>
  </si>
  <si>
    <t>TLS PRO 25</t>
  </si>
  <si>
    <t>TLS PRO 150 ESD</t>
  </si>
  <si>
    <t>TLS PRO 150</t>
  </si>
  <si>
    <t>TLS PRO 1350 ESD</t>
  </si>
  <si>
    <t>TLS PRO 1350</t>
  </si>
  <si>
    <t>TLS Prime 450</t>
  </si>
  <si>
    <t>TLS Prime 150</t>
  </si>
  <si>
    <t>QSN600SD</t>
  </si>
  <si>
    <t>PSE450</t>
  </si>
  <si>
    <t>PSE25</t>
  </si>
  <si>
    <t>PSE150</t>
  </si>
  <si>
    <t>PSE1350</t>
  </si>
  <si>
    <t>MT9-NFH</t>
  </si>
  <si>
    <t>MT9-N</t>
  </si>
  <si>
    <t>MT80-AFH</t>
  </si>
  <si>
    <t>MT80-A</t>
  </si>
  <si>
    <t>MT6-NFH</t>
  </si>
  <si>
    <t>MT6-N</t>
  </si>
  <si>
    <t>MT50-AFH</t>
  </si>
  <si>
    <t>MT50-A</t>
  </si>
  <si>
    <t>MT12-AFH</t>
  </si>
  <si>
    <t>MT12-A</t>
  </si>
  <si>
    <t>MT120-NFH</t>
  </si>
  <si>
    <t>MT120-N</t>
  </si>
  <si>
    <t>MT120-AFH</t>
  </si>
  <si>
    <t>MT-120A</t>
  </si>
  <si>
    <t>IFR CRS100-0406FH</t>
  </si>
  <si>
    <t>IFR CRS100-0135FH</t>
  </si>
  <si>
    <t>FG-8i</t>
  </si>
  <si>
    <t>FG-40i</t>
  </si>
  <si>
    <t>FG-20i</t>
  </si>
  <si>
    <t>FG-125i</t>
  </si>
  <si>
    <t>EMT9</t>
  </si>
  <si>
    <t>EMT80</t>
  </si>
  <si>
    <t>EMT60</t>
  </si>
  <si>
    <t>EMT6</t>
  </si>
  <si>
    <t>EMT50</t>
  </si>
  <si>
    <t>EMT40</t>
  </si>
  <si>
    <t>EMT4</t>
  </si>
  <si>
    <t>EMT160</t>
  </si>
  <si>
    <t>EMT120</t>
  </si>
  <si>
    <t>EMT12</t>
  </si>
  <si>
    <t>CRS100-1360FH</t>
  </si>
  <si>
    <t>CRS100-0406FH</t>
  </si>
  <si>
    <t>CRS100-0135FH</t>
  </si>
  <si>
    <t>CRS100-0022FH</t>
  </si>
  <si>
    <t xml:space="preserve">in Mountz </t>
  </si>
  <si>
    <t>TSP5/45</t>
  </si>
  <si>
    <t>TSP10/90</t>
  </si>
  <si>
    <t>TSN55</t>
  </si>
  <si>
    <t>TSN25D</t>
  </si>
  <si>
    <t>TSN25A</t>
  </si>
  <si>
    <t>TSN125</t>
  </si>
  <si>
    <t>TSC90</t>
  </si>
  <si>
    <t>TSC5</t>
  </si>
  <si>
    <t>TSC45</t>
  </si>
  <si>
    <t>TSC10</t>
  </si>
  <si>
    <t>Titan75F-S</t>
  </si>
  <si>
    <t>Titan75F</t>
  </si>
  <si>
    <t>Titan600F</t>
  </si>
  <si>
    <t>Titan300F-S</t>
  </si>
  <si>
    <t>Titan300F</t>
  </si>
  <si>
    <t>Titan250i-S</t>
  </si>
  <si>
    <t>Titan250i</t>
  </si>
  <si>
    <t>Titan150F-S</t>
  </si>
  <si>
    <t>Titan150F</t>
  </si>
  <si>
    <t>Titan100i</t>
  </si>
  <si>
    <t>IPT 885N</t>
  </si>
  <si>
    <t>IPT 885</t>
  </si>
  <si>
    <t>IPT 73N</t>
  </si>
  <si>
    <t>IPT 73</t>
  </si>
  <si>
    <t>IPT 36N</t>
  </si>
  <si>
    <t>IPT 369N</t>
  </si>
  <si>
    <t>IPT 369</t>
  </si>
  <si>
    <t>IPT 36</t>
  </si>
  <si>
    <t>IPT 250N</t>
  </si>
  <si>
    <t>IPT 250</t>
  </si>
  <si>
    <t>IPT 18N</t>
  </si>
  <si>
    <t>IPT 18</t>
  </si>
  <si>
    <t>IPT 150N</t>
  </si>
  <si>
    <t>IPT 150</t>
  </si>
  <si>
    <t>IPT 110N</t>
  </si>
  <si>
    <t>IPT 110</t>
  </si>
  <si>
    <t>EPT75F</t>
  </si>
  <si>
    <t>EPT250I</t>
  </si>
  <si>
    <t>EDS2000</t>
  </si>
  <si>
    <t>EDS1400</t>
  </si>
  <si>
    <t>DDS800S</t>
  </si>
  <si>
    <t>CDS400S</t>
  </si>
  <si>
    <t>BDS80ES</t>
  </si>
  <si>
    <t>BDS80E</t>
  </si>
  <si>
    <t>BDS80AS</t>
  </si>
  <si>
    <t>BDS80A</t>
  </si>
  <si>
    <t>BDS200S</t>
  </si>
  <si>
    <t>BDS200</t>
  </si>
  <si>
    <t>BDS160S</t>
  </si>
  <si>
    <t>BDS160</t>
  </si>
  <si>
    <t>ADS8</t>
  </si>
  <si>
    <t>ADS40S</t>
  </si>
  <si>
    <t>ADS40F</t>
  </si>
  <si>
    <t>ADS40</t>
  </si>
  <si>
    <t>ADS4</t>
  </si>
  <si>
    <t>ADS25F</t>
  </si>
  <si>
    <t>ADS25</t>
  </si>
  <si>
    <t>ADS12D</t>
  </si>
  <si>
    <t>ADS12A</t>
  </si>
  <si>
    <t>Datatorq 983-215</t>
  </si>
  <si>
    <t>Mitutoyo</t>
  </si>
  <si>
    <t>Datatorq 983-214</t>
  </si>
  <si>
    <t>Datatorq 983-213</t>
  </si>
  <si>
    <t>Datatorq 983-212</t>
  </si>
  <si>
    <t>Datatorq 983-211</t>
  </si>
  <si>
    <t>Datatorq 983-210</t>
  </si>
  <si>
    <t>TB-12C</t>
  </si>
  <si>
    <t>MHH Engineering CO. LTD.</t>
  </si>
  <si>
    <t>BTWs-8-787</t>
  </si>
  <si>
    <t>MegaPhase</t>
  </si>
  <si>
    <t>BTWs-8-312</t>
  </si>
  <si>
    <t>BTWs-5-562</t>
  </si>
  <si>
    <t>BTWs-12-750</t>
  </si>
  <si>
    <t>BTW-8-787</t>
  </si>
  <si>
    <t>BTW-8-312</t>
  </si>
  <si>
    <t>BTW-5-562</t>
  </si>
  <si>
    <t>BTW-12-750</t>
  </si>
  <si>
    <t>TS-8-312</t>
  </si>
  <si>
    <t>TS-5-562</t>
  </si>
  <si>
    <t>TS-4-334</t>
  </si>
  <si>
    <t>TS-4-234</t>
  </si>
  <si>
    <t>DT75FA</t>
  </si>
  <si>
    <t>McMaster-Carr</t>
  </si>
  <si>
    <t>DT250A</t>
  </si>
  <si>
    <t>DT150FA</t>
  </si>
  <si>
    <t>CD3150FR-MCB</t>
  </si>
  <si>
    <t>8799E1</t>
  </si>
  <si>
    <t>Maury Microwave</t>
  </si>
  <si>
    <t>8799D1</t>
  </si>
  <si>
    <t>8799A1</t>
  </si>
  <si>
    <t>2698K1</t>
  </si>
  <si>
    <t>2698J1</t>
  </si>
  <si>
    <t>2698H1</t>
  </si>
  <si>
    <t>2698G1</t>
  </si>
  <si>
    <t>2698C2</t>
  </si>
  <si>
    <t>2498T1</t>
  </si>
  <si>
    <t>TSA36</t>
  </si>
  <si>
    <t>Matco Tools</t>
  </si>
  <si>
    <t>TRB75F</t>
  </si>
  <si>
    <t>Matco</t>
  </si>
  <si>
    <t>TRB100K</t>
  </si>
  <si>
    <t>TRB100</t>
  </si>
  <si>
    <t>TDR600R</t>
  </si>
  <si>
    <t>T-150RA</t>
  </si>
  <si>
    <t>ETWA20FK</t>
  </si>
  <si>
    <t>M38255OTW</t>
  </si>
  <si>
    <t>Master Mechanic</t>
  </si>
  <si>
    <t xml:space="preserve">in MAC Tools </t>
  </si>
  <si>
    <t>TWZ600P</t>
  </si>
  <si>
    <t>Mac Tools</t>
  </si>
  <si>
    <t>TWZ400P</t>
  </si>
  <si>
    <t>TWV250</t>
  </si>
  <si>
    <t>TW4200A</t>
  </si>
  <si>
    <t>PS501-4</t>
  </si>
  <si>
    <t>Lindstrom</t>
  </si>
  <si>
    <t>PS501-3</t>
  </si>
  <si>
    <t>PS501-2</t>
  </si>
  <si>
    <t>PS501-1</t>
  </si>
  <si>
    <t>MAL500-3</t>
  </si>
  <si>
    <t>MAL500-2</t>
  </si>
  <si>
    <t>MAL500-1D</t>
  </si>
  <si>
    <t>MAL500-1</t>
  </si>
  <si>
    <t>MA500-3</t>
  </si>
  <si>
    <t>KTC Folder</t>
  </si>
  <si>
    <t>GLK500E</t>
  </si>
  <si>
    <t>KTC</t>
  </si>
  <si>
    <t>GLK250E</t>
  </si>
  <si>
    <t>GLK060E</t>
  </si>
  <si>
    <t>GEK030-C3</t>
  </si>
  <si>
    <t>516.1612 Nm</t>
  </si>
  <si>
    <t>KS Tools</t>
  </si>
  <si>
    <t>516.1612 lbf ft</t>
  </si>
  <si>
    <t>Kobalt</t>
  </si>
  <si>
    <t>98 43 50</t>
  </si>
  <si>
    <t>Knipex</t>
  </si>
  <si>
    <t>57035</t>
  </si>
  <si>
    <t>Klein</t>
  </si>
  <si>
    <t>ARD80</t>
  </si>
  <si>
    <t>Kingmaster</t>
  </si>
  <si>
    <t>34111-2EG</t>
  </si>
  <si>
    <t>King Tony</t>
  </si>
  <si>
    <t>5110-8.5</t>
  </si>
  <si>
    <t>Keltek</t>
  </si>
  <si>
    <t>KD Tools</t>
  </si>
  <si>
    <t>K-D</t>
  </si>
  <si>
    <t>3265</t>
  </si>
  <si>
    <t>3264</t>
  </si>
  <si>
    <t>3262</t>
  </si>
  <si>
    <t>3261</t>
  </si>
  <si>
    <t>2954</t>
  </si>
  <si>
    <t>2953</t>
  </si>
  <si>
    <t>2952</t>
  </si>
  <si>
    <t>2951</t>
  </si>
  <si>
    <t>KCR-3125S-8</t>
  </si>
  <si>
    <t>KCR Products</t>
  </si>
  <si>
    <t>STDK-R400CN</t>
  </si>
  <si>
    <t>Kanon</t>
  </si>
  <si>
    <t>PI 50LTDK</t>
  </si>
  <si>
    <t>PI 30LTDK</t>
  </si>
  <si>
    <t>OI 200LTDK</t>
  </si>
  <si>
    <t>N6LTDK</t>
  </si>
  <si>
    <t>N50LTDK</t>
  </si>
  <si>
    <t>N3LTDK-H</t>
  </si>
  <si>
    <t>N3LTDK</t>
  </si>
  <si>
    <t>N30LTDK-H</t>
  </si>
  <si>
    <t>N30LTDK</t>
  </si>
  <si>
    <t>N20LTDK</t>
  </si>
  <si>
    <t>N12LTDK</t>
  </si>
  <si>
    <t>N10LTDK</t>
  </si>
  <si>
    <t>N100LTDK</t>
  </si>
  <si>
    <t>CN60LTDK</t>
  </si>
  <si>
    <t>CN500LTDK</t>
  </si>
  <si>
    <t>CN30LTDK-H</t>
  </si>
  <si>
    <t>CN30LTDK</t>
  </si>
  <si>
    <t>CN300LTDK</t>
  </si>
  <si>
    <t>CN200LTDK</t>
  </si>
  <si>
    <t>CN120LTDK</t>
  </si>
  <si>
    <t>6LTDK</t>
  </si>
  <si>
    <t>50LTDK</t>
  </si>
  <si>
    <t>3LTDK-H</t>
  </si>
  <si>
    <t>3LTDK</t>
  </si>
  <si>
    <t>30LTDK</t>
  </si>
  <si>
    <t>20LTDK</t>
  </si>
  <si>
    <t>12LTDK</t>
  </si>
  <si>
    <t>100LTDK</t>
  </si>
  <si>
    <t>N6LCK</t>
  </si>
  <si>
    <t>N60LCK</t>
  </si>
  <si>
    <t>n</t>
  </si>
  <si>
    <t>N50QLK</t>
  </si>
  <si>
    <t>230QSPK</t>
  </si>
  <si>
    <t>ARD150B2</t>
  </si>
  <si>
    <t>Kabo</t>
  </si>
  <si>
    <t>ARD150B1</t>
  </si>
  <si>
    <t>ARD080B2</t>
  </si>
  <si>
    <t>ARD080B1</t>
  </si>
  <si>
    <t>KTI-72100</t>
  </si>
  <si>
    <t>K Tool International</t>
  </si>
  <si>
    <t>G61160</t>
  </si>
  <si>
    <t>JS Technology</t>
  </si>
  <si>
    <t>NA</t>
  </si>
  <si>
    <t>T07981N</t>
  </si>
  <si>
    <t>Jonnesway</t>
  </si>
  <si>
    <t>T07980N</t>
  </si>
  <si>
    <t>T07701F</t>
  </si>
  <si>
    <t>T07700N</t>
  </si>
  <si>
    <t>T07700F</t>
  </si>
  <si>
    <t>T07600F</t>
  </si>
  <si>
    <t>T07500N</t>
  </si>
  <si>
    <t>T07350N</t>
  </si>
  <si>
    <t>T07300F</t>
  </si>
  <si>
    <t>T07250F</t>
  </si>
  <si>
    <t>T07210N</t>
  </si>
  <si>
    <t>T07150F</t>
  </si>
  <si>
    <t>T071501N</t>
  </si>
  <si>
    <t>T07110N</t>
  </si>
  <si>
    <t>T07080N</t>
  </si>
  <si>
    <t>T07080F</t>
  </si>
  <si>
    <t>T07031N</t>
  </si>
  <si>
    <t>T07030N</t>
  </si>
  <si>
    <t>T07021F</t>
  </si>
  <si>
    <t>T07020F</t>
  </si>
  <si>
    <t>JO Line</t>
  </si>
  <si>
    <t>ED-75I</t>
  </si>
  <si>
    <t>Jetco</t>
  </si>
  <si>
    <t>ED-600F</t>
  </si>
  <si>
    <t>ED-50I</t>
  </si>
  <si>
    <t>ED-50F</t>
  </si>
  <si>
    <t>ED-250I</t>
  </si>
  <si>
    <t>ED-250F</t>
  </si>
  <si>
    <t>ED-2000F</t>
  </si>
  <si>
    <t>ED-100I</t>
  </si>
  <si>
    <t>ED-100F</t>
  </si>
  <si>
    <t>D5-2000F</t>
  </si>
  <si>
    <t>D4-350F</t>
  </si>
  <si>
    <t>D4-1000F</t>
  </si>
  <si>
    <t>D3-600F</t>
  </si>
  <si>
    <t>D3-250F</t>
  </si>
  <si>
    <t>D3-175F</t>
  </si>
  <si>
    <t>D3-100F</t>
  </si>
  <si>
    <t>D1-75I-P</t>
  </si>
  <si>
    <t>D1-75I</t>
  </si>
  <si>
    <t>D1-600I</t>
  </si>
  <si>
    <t>D1-50I-P</t>
  </si>
  <si>
    <t>D1-50F-E</t>
  </si>
  <si>
    <t>D1-50F</t>
  </si>
  <si>
    <t>D1-30I</t>
  </si>
  <si>
    <t>D1-250I</t>
  </si>
  <si>
    <t>D1-150I</t>
  </si>
  <si>
    <t>D1-100I-P</t>
  </si>
  <si>
    <t>XTD 3 2000F</t>
  </si>
  <si>
    <t>J.H. Williams</t>
  </si>
  <si>
    <t>STD 3 250F</t>
  </si>
  <si>
    <t>STD 1 250F</t>
  </si>
  <si>
    <t>MTD 2 75</t>
  </si>
  <si>
    <t>HTD 3 600F</t>
  </si>
  <si>
    <t>HTD 2 600F</t>
  </si>
  <si>
    <t>HTD 2 350F</t>
  </si>
  <si>
    <t>BTD 3 50F</t>
  </si>
  <si>
    <t>BTD 2 50F</t>
  </si>
  <si>
    <t>BTD 2 250F</t>
  </si>
  <si>
    <t>BTD 2 250</t>
  </si>
  <si>
    <t>BTD 1 250</t>
  </si>
  <si>
    <t>TDR-50INLB-R</t>
  </si>
  <si>
    <t>Integra Companies</t>
  </si>
  <si>
    <t>TDR-44INLB-N</t>
  </si>
  <si>
    <t>TDR-30INLB-B</t>
  </si>
  <si>
    <t>TDEX-50INLB-R</t>
  </si>
  <si>
    <t>TDEX-44INLB-N</t>
  </si>
  <si>
    <t>TDEX-30INLB-B</t>
  </si>
  <si>
    <t>TD-50INLB-R</t>
  </si>
  <si>
    <t>TD-44INLB-N</t>
  </si>
  <si>
    <t>TD-30INLB-B</t>
  </si>
  <si>
    <t>IST-DW9</t>
  </si>
  <si>
    <t>Insize</t>
  </si>
  <si>
    <t>IST-DW18</t>
  </si>
  <si>
    <t>Imada Folder</t>
  </si>
  <si>
    <t>Imada</t>
  </si>
  <si>
    <t>GEK030-C3E</t>
  </si>
  <si>
    <t>DIW-75</t>
  </si>
  <si>
    <t>H3DTWDIG</t>
  </si>
  <si>
    <t>Husky</t>
  </si>
  <si>
    <t>74Z-0-0-80</t>
  </si>
  <si>
    <t>Huber+Suhner</t>
  </si>
  <si>
    <t>74Z-0-0-79</t>
  </si>
  <si>
    <t>74Z-0-0-77</t>
  </si>
  <si>
    <t>74Z-0-0-663</t>
  </si>
  <si>
    <t>74Z-0-0-511</t>
  </si>
  <si>
    <t>74Z-0-0-500</t>
  </si>
  <si>
    <t>74Z-0-0-492</t>
  </si>
  <si>
    <t>74Z-0-0-45</t>
  </si>
  <si>
    <t>74Z-0-0-373</t>
  </si>
  <si>
    <t>74Z-0-0-330</t>
  </si>
  <si>
    <t>74Z-0-0-321</t>
  </si>
  <si>
    <t>74Z-0-0-21</t>
  </si>
  <si>
    <t>74Z-0-0-193</t>
  </si>
  <si>
    <t>74Z-0-0-192</t>
  </si>
  <si>
    <t>74Z-0-0-189</t>
  </si>
  <si>
    <t>74Z-0-0-174</t>
  </si>
  <si>
    <t>655920 30</t>
  </si>
  <si>
    <t>Holex</t>
  </si>
  <si>
    <t>65 6510_800</t>
  </si>
  <si>
    <t>Hazet</t>
  </si>
  <si>
    <t>65 6510_60</t>
  </si>
  <si>
    <t>65 6510_400</t>
  </si>
  <si>
    <t>65 6510_320</t>
  </si>
  <si>
    <t>65 6510_200</t>
  </si>
  <si>
    <t>65 6510_120</t>
  </si>
  <si>
    <t>65 6510_10</t>
  </si>
  <si>
    <t>65 6500_800</t>
  </si>
  <si>
    <t>65 6500_60</t>
  </si>
  <si>
    <t>65 6500_6</t>
  </si>
  <si>
    <t>65 6500_400</t>
  </si>
  <si>
    <t>65 6500_320</t>
  </si>
  <si>
    <t>65 6500_2000</t>
  </si>
  <si>
    <t>65 6500_200</t>
  </si>
  <si>
    <t>65 6500_1600</t>
  </si>
  <si>
    <t>65 6500_120</t>
  </si>
  <si>
    <t>65 6500_1000</t>
  </si>
  <si>
    <t>65 6500_10</t>
  </si>
  <si>
    <t>6293-1 CT</t>
  </si>
  <si>
    <t>6292-1 CT</t>
  </si>
  <si>
    <t>6291-2 CT</t>
  </si>
  <si>
    <t>6291-1 CT</t>
  </si>
  <si>
    <t>6290-1 CT</t>
  </si>
  <si>
    <t>6121-1CT</t>
  </si>
  <si>
    <t>6108-1CT</t>
  </si>
  <si>
    <t>5123-1 CT</t>
  </si>
  <si>
    <t>5122-1 CT</t>
  </si>
  <si>
    <t>5121-1 CT</t>
  </si>
  <si>
    <t>5110-3 CT</t>
  </si>
  <si>
    <t>5110-1 CT</t>
  </si>
  <si>
    <t>MATW3</t>
  </si>
  <si>
    <t>GreatNeck</t>
  </si>
  <si>
    <t>MATW1</t>
  </si>
  <si>
    <t>DIN75A</t>
  </si>
  <si>
    <t>Gray</t>
  </si>
  <si>
    <t>600-161</t>
  </si>
  <si>
    <t>Glenair</t>
  </si>
  <si>
    <t>TBN 65G Nm</t>
  </si>
  <si>
    <t>Gedore</t>
  </si>
  <si>
    <t>TBN 65G lbf in</t>
  </si>
  <si>
    <t>TBN 65 Nm</t>
  </si>
  <si>
    <t>TBN 65 lbf in</t>
  </si>
  <si>
    <t>TBN 2G Nm</t>
  </si>
  <si>
    <t>TBN 2G lbf in</t>
  </si>
  <si>
    <t>TBN 25G Nm</t>
  </si>
  <si>
    <t>TBN 25G lbf in</t>
  </si>
  <si>
    <t>TBN 25 Nm</t>
  </si>
  <si>
    <t>TBN 25 lbf in</t>
  </si>
  <si>
    <t>TBN 200G Nm</t>
  </si>
  <si>
    <t>TBN 200G lbf in</t>
  </si>
  <si>
    <t>TBN 200 Nm</t>
  </si>
  <si>
    <t>TBN 200 lbf in</t>
  </si>
  <si>
    <t>TBN 2 Nm</t>
  </si>
  <si>
    <t>TBN 2 lbf in</t>
  </si>
  <si>
    <t>TBN 135G Nm</t>
  </si>
  <si>
    <t>TBN 135G lbf in</t>
  </si>
  <si>
    <t>TBN 135 Nm</t>
  </si>
  <si>
    <t>TBN 135 lbf in</t>
  </si>
  <si>
    <t>TBN 10G Nm</t>
  </si>
  <si>
    <t>TBN 10G lbf in</t>
  </si>
  <si>
    <t>TBN 10 Nm</t>
  </si>
  <si>
    <t>TBN 10 lbf in</t>
  </si>
  <si>
    <t>ATB 5G Nm</t>
  </si>
  <si>
    <t>ATB 5G lbf in</t>
  </si>
  <si>
    <t>ATB 5 Nm</t>
  </si>
  <si>
    <t>ATB 5 lbf in</t>
  </si>
  <si>
    <t>ATB 2.5G lbf in</t>
  </si>
  <si>
    <t>ATB 2.5G cNm</t>
  </si>
  <si>
    <t>ATB 2.5 lbf in</t>
  </si>
  <si>
    <t>ATB 2.5 cNm</t>
  </si>
  <si>
    <t>ATB 10G Nm</t>
  </si>
  <si>
    <t>ATB 10G lbf in</t>
  </si>
  <si>
    <t>ATB 10 Nm</t>
  </si>
  <si>
    <t>ATB 10 lbf in</t>
  </si>
  <si>
    <t>QSN900 FH</t>
  </si>
  <si>
    <t>QSN600 FH</t>
  </si>
  <si>
    <t>QSN40 FH</t>
  </si>
  <si>
    <t>QSN120 FH</t>
  </si>
  <si>
    <t>QSA80 FH</t>
  </si>
  <si>
    <t>QSA60Z FH</t>
  </si>
  <si>
    <t>QSA60 FH</t>
  </si>
  <si>
    <t>QSA50 FH</t>
  </si>
  <si>
    <t>QSA4 FH</t>
  </si>
  <si>
    <t>QSA160 FH</t>
  </si>
  <si>
    <t>QSA12 FH</t>
  </si>
  <si>
    <t>TSP 5</t>
  </si>
  <si>
    <t>TSP 10</t>
  </si>
  <si>
    <t>TSN 55</t>
  </si>
  <si>
    <t>TSN 5/45</t>
  </si>
  <si>
    <t>TSN 25 D</t>
  </si>
  <si>
    <t>TSN 25 A</t>
  </si>
  <si>
    <t>TSN 125</t>
  </si>
  <si>
    <t>TSN 10/90</t>
  </si>
  <si>
    <t>TSC 90</t>
  </si>
  <si>
    <t>TSC 5</t>
  </si>
  <si>
    <t>TSC 45</t>
  </si>
  <si>
    <t>TSC 10</t>
  </si>
  <si>
    <t>Torcofix-Z</t>
  </si>
  <si>
    <t>Torcofix 85 G</t>
  </si>
  <si>
    <t>Torcofix 750 K</t>
  </si>
  <si>
    <t>Torcofix 550 K</t>
  </si>
  <si>
    <t>Torcofix 50 Z</t>
  </si>
  <si>
    <t>Torcofix 50 SE</t>
  </si>
  <si>
    <t>Torcofix 50 K</t>
  </si>
  <si>
    <t>Torcofix 50 G</t>
  </si>
  <si>
    <t>Torcofix 5 K</t>
  </si>
  <si>
    <t>Torcofix 400 Z</t>
  </si>
  <si>
    <t>Torcofix 400 SE</t>
  </si>
  <si>
    <t>Torcofix 400 K</t>
  </si>
  <si>
    <t>Torcofix 300 Z</t>
  </si>
  <si>
    <t>Torcofix 300 SE</t>
  </si>
  <si>
    <t>Torcofix 300 K</t>
  </si>
  <si>
    <t>Torcofix 25 Z</t>
  </si>
  <si>
    <t>Torcofix 25 SE</t>
  </si>
  <si>
    <t>Torcofix 25 K</t>
  </si>
  <si>
    <t>Torcofix 25 G</t>
  </si>
  <si>
    <t>Torcofix 200 Z</t>
  </si>
  <si>
    <t>Torcofix 200 SE</t>
  </si>
  <si>
    <t>Torcofix 200 K</t>
  </si>
  <si>
    <t>Torcofix 200 G</t>
  </si>
  <si>
    <t>Torcofix 100 Z</t>
  </si>
  <si>
    <t>Torcofix 100 SE</t>
  </si>
  <si>
    <t>Torcofix 100 K</t>
  </si>
  <si>
    <t>753-11</t>
  </si>
  <si>
    <t>6551-10</t>
  </si>
  <si>
    <t>4550-20</t>
  </si>
  <si>
    <t>4549-05</t>
  </si>
  <si>
    <t>4549-02</t>
  </si>
  <si>
    <t>Gearwrench</t>
  </si>
  <si>
    <t>GH3001</t>
  </si>
  <si>
    <t>Gearhead</t>
  </si>
  <si>
    <t>Gasflo Products</t>
  </si>
  <si>
    <t>Garant</t>
  </si>
  <si>
    <t>659906/500</t>
  </si>
  <si>
    <t>659906/200</t>
  </si>
  <si>
    <t>659905/50</t>
  </si>
  <si>
    <t>65 6055_800</t>
  </si>
  <si>
    <t>65 6055_60</t>
  </si>
  <si>
    <t>65 6055_500</t>
  </si>
  <si>
    <t>65 6055_400</t>
  </si>
  <si>
    <t>65 6055_320</t>
  </si>
  <si>
    <t>65 6055_25</t>
  </si>
  <si>
    <t>65 6055_200</t>
  </si>
  <si>
    <t>65 6055_120</t>
  </si>
  <si>
    <t>65 6050_800</t>
  </si>
  <si>
    <t>65 6050_60</t>
  </si>
  <si>
    <t>65 6050_6</t>
  </si>
  <si>
    <t>65 6050_500</t>
  </si>
  <si>
    <t>65 6050_400</t>
  </si>
  <si>
    <t>65 6050_320</t>
  </si>
  <si>
    <t>65 6050_25</t>
  </si>
  <si>
    <t>65 6050_200</t>
  </si>
  <si>
    <t>65 6050_1600</t>
  </si>
  <si>
    <t>65 6050_120</t>
  </si>
  <si>
    <t>65 6050_1000</t>
  </si>
  <si>
    <t>GR-DTW14</t>
  </si>
  <si>
    <t>Garage Ready</t>
  </si>
  <si>
    <t>GR-DTW12</t>
  </si>
  <si>
    <t>H51772</t>
  </si>
  <si>
    <t>Firstinfo</t>
  </si>
  <si>
    <t>ST-N-34-B08</t>
  </si>
  <si>
    <t>Fairview Microwave</t>
  </si>
  <si>
    <t>ST-N-34-B014</t>
  </si>
  <si>
    <t>ST-N-2532-B14</t>
  </si>
  <si>
    <t>ST-N-2532-B08</t>
  </si>
  <si>
    <t>ST-N-1316-B08</t>
  </si>
  <si>
    <t>ST-N-1316-B014</t>
  </si>
  <si>
    <t>ST-SMA8</t>
  </si>
  <si>
    <t>Fairview</t>
  </si>
  <si>
    <t>A.444</t>
  </si>
  <si>
    <t>Facom</t>
  </si>
  <si>
    <t>A.442</t>
  </si>
  <si>
    <t>A.404</t>
  </si>
  <si>
    <t>A.402</t>
  </si>
  <si>
    <t>R.306-25D</t>
  </si>
  <si>
    <t>R.208-25</t>
  </si>
  <si>
    <t>K.306-600d</t>
  </si>
  <si>
    <t>J.208-50D</t>
  </si>
  <si>
    <t>77-DISS-TW-15</t>
  </si>
  <si>
    <t>Ewal</t>
  </si>
  <si>
    <t>TSD-50</t>
  </si>
  <si>
    <t>Electromatic</t>
  </si>
  <si>
    <t>79-142</t>
  </si>
  <si>
    <t>Duralast</t>
  </si>
  <si>
    <t>79-141</t>
  </si>
  <si>
    <t>DW-6004</t>
  </si>
  <si>
    <t>Digitool Solutions</t>
  </si>
  <si>
    <t>DW-2503</t>
  </si>
  <si>
    <t>DW-2501</t>
  </si>
  <si>
    <t>DW-1002</t>
  </si>
  <si>
    <t>DWMT75463</t>
  </si>
  <si>
    <t>DeWalt</t>
  </si>
  <si>
    <t>DWMT75462</t>
  </si>
  <si>
    <t>CW/EU</t>
  </si>
  <si>
    <t>8952K</t>
  </si>
  <si>
    <t>CTA</t>
  </si>
  <si>
    <t>Craftsman</t>
  </si>
  <si>
    <t>94543</t>
  </si>
  <si>
    <t>944542</t>
  </si>
  <si>
    <t>9 44597</t>
  </si>
  <si>
    <t>9 44595</t>
  </si>
  <si>
    <t>9 44594</t>
  </si>
  <si>
    <t>9 44593</t>
  </si>
  <si>
    <t>9 44548</t>
  </si>
  <si>
    <t>9 44547</t>
  </si>
  <si>
    <t>9 44482</t>
  </si>
  <si>
    <t>9 31425</t>
  </si>
  <si>
    <t>9 31424</t>
  </si>
  <si>
    <t>9 31423</t>
  </si>
  <si>
    <t>9 13919</t>
  </si>
  <si>
    <t>9 13918</t>
  </si>
  <si>
    <t>9 44644</t>
  </si>
  <si>
    <t>9 44642</t>
  </si>
  <si>
    <t>CP8925 Nm</t>
  </si>
  <si>
    <t>Chicago Pneumatic</t>
  </si>
  <si>
    <t>CP8925 lbf ft</t>
  </si>
  <si>
    <t>CP8920 Nm</t>
  </si>
  <si>
    <t>CP8920 lbf ft</t>
  </si>
  <si>
    <t>CP8915 Nm</t>
  </si>
  <si>
    <t>CP8915 lbf ft</t>
  </si>
  <si>
    <t>CP8910 Nm</t>
  </si>
  <si>
    <t>CP8910 lbf ft</t>
  </si>
  <si>
    <t>CP8905 Nm</t>
  </si>
  <si>
    <t>CP8905 lbf ft</t>
  </si>
  <si>
    <t>Checkline Folder</t>
  </si>
  <si>
    <t>Check-Line</t>
  </si>
  <si>
    <t>TSD-400</t>
  </si>
  <si>
    <t>TSD-200</t>
  </si>
  <si>
    <t>DTW-265i</t>
  </si>
  <si>
    <t>DTW-1200IBN</t>
  </si>
  <si>
    <t>DTL-50i</t>
  </si>
  <si>
    <t>DTL-175i</t>
  </si>
  <si>
    <t>DTL-100i</t>
  </si>
  <si>
    <t>DIW-20</t>
  </si>
  <si>
    <t>GEK030-R2E</t>
  </si>
  <si>
    <t>Checkline</t>
  </si>
  <si>
    <t>CT-516-8E</t>
  </si>
  <si>
    <t>Centric RF</t>
  </si>
  <si>
    <t>50250TW38I</t>
  </si>
  <si>
    <t>Cementex</t>
  </si>
  <si>
    <t>30200TW38I</t>
  </si>
  <si>
    <t>30150TW38I</t>
  </si>
  <si>
    <t>30150TW14I</t>
  </si>
  <si>
    <t>30150TW12F</t>
  </si>
  <si>
    <t>25250TW12F</t>
  </si>
  <si>
    <t>1575TW38F</t>
  </si>
  <si>
    <t>1575TW12F</t>
  </si>
  <si>
    <t>150750TW12I</t>
  </si>
  <si>
    <t>Cedar Folder</t>
  </si>
  <si>
    <t>Cedar</t>
  </si>
  <si>
    <t>CDI</t>
  </si>
  <si>
    <t>61SM</t>
  </si>
  <si>
    <t>61NSM</t>
  </si>
  <si>
    <t>401SM</t>
  </si>
  <si>
    <t>401NSM</t>
  </si>
  <si>
    <t>361SP</t>
  </si>
  <si>
    <t>361SM</t>
  </si>
  <si>
    <t>301SM</t>
  </si>
  <si>
    <t>21SP</t>
  </si>
  <si>
    <t>151SP</t>
  </si>
  <si>
    <t>151SM</t>
  </si>
  <si>
    <t>151NSM</t>
  </si>
  <si>
    <t>1502TPA</t>
  </si>
  <si>
    <t>1501TPA</t>
  </si>
  <si>
    <t>1501TP</t>
  </si>
  <si>
    <t>1001SPO</t>
  </si>
  <si>
    <t>1001SMO</t>
  </si>
  <si>
    <t>ENDURO3R250T</t>
  </si>
  <si>
    <t>C1503MFRW</t>
  </si>
  <si>
    <t>804KMRMH</t>
  </si>
  <si>
    <t>802MFRMHSS</t>
  </si>
  <si>
    <t>802MFRFMHSS</t>
  </si>
  <si>
    <t>800NMIMH</t>
  </si>
  <si>
    <t>8004NMRMHSS</t>
  </si>
  <si>
    <t>8004NMRMH</t>
  </si>
  <si>
    <t>75MFMHSS</t>
  </si>
  <si>
    <t>75MFIMH</t>
  </si>
  <si>
    <t>752MFRMH</t>
  </si>
  <si>
    <t>752MFMH</t>
  </si>
  <si>
    <t>7503MRMH</t>
  </si>
  <si>
    <t>7502MRRPHSS</t>
  </si>
  <si>
    <t>7502MRRHSS</t>
  </si>
  <si>
    <t>7502MRMH</t>
  </si>
  <si>
    <t>7502MMH</t>
  </si>
  <si>
    <t>602NMRMHSS</t>
  </si>
  <si>
    <t>602NMRMH</t>
  </si>
  <si>
    <t>600T-I-SET</t>
  </si>
  <si>
    <t>600T-4R (in.lb.)</t>
  </si>
  <si>
    <t>600T-4R (ft.lb.)</t>
  </si>
  <si>
    <t>600T-4P (in.lb.)</t>
  </si>
  <si>
    <t>600T-4P (ft.lb.)</t>
  </si>
  <si>
    <t>6004MFRPH</t>
  </si>
  <si>
    <t>6004MFRMH</t>
  </si>
  <si>
    <t>6004MFMH</t>
  </si>
  <si>
    <t>5TI-SET</t>
  </si>
  <si>
    <t>5T-1R (in.lb.)</t>
  </si>
  <si>
    <t>5T-1R (ft.lb.)</t>
  </si>
  <si>
    <t>5T-1P (in.lb.)</t>
  </si>
  <si>
    <t>5T-1P (ft.lb.)</t>
  </si>
  <si>
    <t>50T-I-SET</t>
  </si>
  <si>
    <t>50T-2R (in.lb.)</t>
  </si>
  <si>
    <t>50T-2R (ft.lb.)</t>
  </si>
  <si>
    <t>50T-2P (in.lb.)</t>
  </si>
  <si>
    <t>50T-2P (ft.lb.)</t>
  </si>
  <si>
    <t>50NMIMH</t>
  </si>
  <si>
    <t>501NMRMH</t>
  </si>
  <si>
    <t>501MRMH</t>
  </si>
  <si>
    <t>501MMH</t>
  </si>
  <si>
    <t>501KMRMH</t>
  </si>
  <si>
    <t>48004MRMH</t>
  </si>
  <si>
    <t>48004MMH</t>
  </si>
  <si>
    <t>4004MFRMH</t>
  </si>
  <si>
    <t>4004MFMH</t>
  </si>
  <si>
    <t>363KMRMH</t>
  </si>
  <si>
    <t>3603NMRMH</t>
  </si>
  <si>
    <t>350NMIMH</t>
  </si>
  <si>
    <t>3403NMRMHSS</t>
  </si>
  <si>
    <t>3403NMRMH</t>
  </si>
  <si>
    <t>303KMRMH</t>
  </si>
  <si>
    <t>300T-I-SET</t>
  </si>
  <si>
    <t>300T-4R (in.lb.)</t>
  </si>
  <si>
    <t>300T-4R (ft.lb.)</t>
  </si>
  <si>
    <t>300T-4P (in.lb.)</t>
  </si>
  <si>
    <t>300T-4P (ft.lb.)</t>
  </si>
  <si>
    <t>3003NMRMH</t>
  </si>
  <si>
    <t>3002KMRMH</t>
  </si>
  <si>
    <t>250MFMHSS</t>
  </si>
  <si>
    <t>250MFIMH</t>
  </si>
  <si>
    <t>2503MFRPH</t>
  </si>
  <si>
    <t>2503MFRMH</t>
  </si>
  <si>
    <t>2503MFMH</t>
  </si>
  <si>
    <t>2502MRPH</t>
  </si>
  <si>
    <t>2502MRMH</t>
  </si>
  <si>
    <t>2502MMH</t>
  </si>
  <si>
    <t>25003MRMH</t>
  </si>
  <si>
    <t>203KMRMH</t>
  </si>
  <si>
    <t>200T-I-SET</t>
  </si>
  <si>
    <t>200T-3R (in.lb.)</t>
  </si>
  <si>
    <t>200T-3R (ft.lb.)</t>
  </si>
  <si>
    <t>200T-3P (in.lb.)</t>
  </si>
  <si>
    <t>200T-3P (ft.lb.)</t>
  </si>
  <si>
    <t>200NMIMH</t>
  </si>
  <si>
    <t>2003NMRMHSS</t>
  </si>
  <si>
    <t>2003NMRMH</t>
  </si>
  <si>
    <t>2003MFRPH</t>
  </si>
  <si>
    <t>2003MFRMH</t>
  </si>
  <si>
    <t>2003MFMH</t>
  </si>
  <si>
    <t>2002NMRMH</t>
  </si>
  <si>
    <t>2002MRMH</t>
  </si>
  <si>
    <t>2002MMH</t>
  </si>
  <si>
    <t>2001MRMH</t>
  </si>
  <si>
    <t>20005MFMHSS</t>
  </si>
  <si>
    <t>20005MFMH</t>
  </si>
  <si>
    <t>16003MRMH</t>
  </si>
  <si>
    <t>16003MMH</t>
  </si>
  <si>
    <t>150MIMH</t>
  </si>
  <si>
    <t>150MFMHSS</t>
  </si>
  <si>
    <t>1505KMRMH</t>
  </si>
  <si>
    <t>1503MFRRH</t>
  </si>
  <si>
    <t>1503MFRPH</t>
  </si>
  <si>
    <t>1503MFRMHSS</t>
  </si>
  <si>
    <t>1503MFRMH</t>
  </si>
  <si>
    <t>1503MFMH</t>
  </si>
  <si>
    <t>1502TP-1</t>
  </si>
  <si>
    <t>1502MRRH</t>
  </si>
  <si>
    <t>1502MRMHSS</t>
  </si>
  <si>
    <t>1502MRMH</t>
  </si>
  <si>
    <t>1502KMRMH</t>
  </si>
  <si>
    <t>1501TPA-1</t>
  </si>
  <si>
    <t>1501TP-1</t>
  </si>
  <si>
    <t>1501MRRH</t>
  </si>
  <si>
    <t>1501MRPH</t>
  </si>
  <si>
    <t>1501MRMH</t>
  </si>
  <si>
    <t>1501MRH</t>
  </si>
  <si>
    <t>1501MMH</t>
  </si>
  <si>
    <t>15005NMRMHSS</t>
  </si>
  <si>
    <t>15005NMRMH</t>
  </si>
  <si>
    <t>14003KMRMH</t>
  </si>
  <si>
    <t>10T-I-SET</t>
  </si>
  <si>
    <t>10T-2R (in.lb.)</t>
  </si>
  <si>
    <t>10T-2R (ft.lb.)</t>
  </si>
  <si>
    <t>10T-2P (in.lb.)</t>
  </si>
  <si>
    <t>10T-2P (ft.lb.)</t>
  </si>
  <si>
    <t>10ST-I-SET</t>
  </si>
  <si>
    <t>100T-I-SET</t>
  </si>
  <si>
    <t>100T-I</t>
  </si>
  <si>
    <t>100T-3R (in.lb.)</t>
  </si>
  <si>
    <t>100T-3R (ft.lb.)</t>
  </si>
  <si>
    <t>100T-3P (in.lb.)</t>
  </si>
  <si>
    <t>100T-3P (ft.lb.)</t>
  </si>
  <si>
    <t>100NMIMH</t>
  </si>
  <si>
    <t>1002NMRMHSS</t>
  </si>
  <si>
    <t>1002NMRMH</t>
  </si>
  <si>
    <t>1002MFRPH</t>
  </si>
  <si>
    <t>1002MFRMH</t>
  </si>
  <si>
    <t>1002MFMH</t>
  </si>
  <si>
    <t>10005MFRPH</t>
  </si>
  <si>
    <t>10005MFRMH</t>
  </si>
  <si>
    <t>10005MFMH</t>
  </si>
  <si>
    <t>10002MRPH</t>
  </si>
  <si>
    <t>10002MRMH</t>
  </si>
  <si>
    <t>10002MMH</t>
  </si>
  <si>
    <t>10002KMRMH</t>
  </si>
  <si>
    <t>92NLDNSS</t>
  </si>
  <si>
    <t>75LDINI</t>
  </si>
  <si>
    <t>752LDINSS</t>
  </si>
  <si>
    <t>752LDIN</t>
  </si>
  <si>
    <t>751LDINSS</t>
  </si>
  <si>
    <t>751LDIN</t>
  </si>
  <si>
    <t>751KLDIN</t>
  </si>
  <si>
    <t>600LDINI</t>
  </si>
  <si>
    <t>6004LDFN</t>
  </si>
  <si>
    <t>6004KLDFN</t>
  </si>
  <si>
    <t>6004-I-PET-C</t>
  </si>
  <si>
    <t>6004-F-PET-R</t>
  </si>
  <si>
    <t>6004CF-II</t>
  </si>
  <si>
    <t>6004CASG</t>
  </si>
  <si>
    <t>6002LDIN</t>
  </si>
  <si>
    <t>6002KLDIN</t>
  </si>
  <si>
    <t>6002-I-PET-R</t>
  </si>
  <si>
    <t>6002-I-PET-M</t>
  </si>
  <si>
    <t>6002-I-PET-C</t>
  </si>
  <si>
    <t>6002ED</t>
  </si>
  <si>
    <t>6002BI</t>
  </si>
  <si>
    <t>502LDFN</t>
  </si>
  <si>
    <t>502KLDFN</t>
  </si>
  <si>
    <t>502CF-II</t>
  </si>
  <si>
    <t>502BF</t>
  </si>
  <si>
    <t>501-I-PET-R</t>
  </si>
  <si>
    <t>501-I-PET-M</t>
  </si>
  <si>
    <t>501-I-PET-C</t>
  </si>
  <si>
    <t>501CI-II</t>
  </si>
  <si>
    <t>3504LDFN</t>
  </si>
  <si>
    <t>3504KLDFN</t>
  </si>
  <si>
    <t>3503NLDNSS</t>
  </si>
  <si>
    <t>302NLDNSS</t>
  </si>
  <si>
    <t>301LDIN</t>
  </si>
  <si>
    <t>301KLDIN</t>
  </si>
  <si>
    <t>3004BF</t>
  </si>
  <si>
    <t>3002LDINSS</t>
  </si>
  <si>
    <t>3002LDIN</t>
  </si>
  <si>
    <t>3002-I-PET-R</t>
  </si>
  <si>
    <t>3002-I-PET-M</t>
  </si>
  <si>
    <t>3002-I-PET-C</t>
  </si>
  <si>
    <t>3.51NLDNSS</t>
  </si>
  <si>
    <t>252LDFN</t>
  </si>
  <si>
    <t>250LDFNI</t>
  </si>
  <si>
    <t>2503LDFNR</t>
  </si>
  <si>
    <t>2503LDFN</t>
  </si>
  <si>
    <t>2503KLDFN</t>
  </si>
  <si>
    <t>2503CF-II</t>
  </si>
  <si>
    <t>2503CF3HA</t>
  </si>
  <si>
    <t>2503CF3</t>
  </si>
  <si>
    <t>2503CASG</t>
  </si>
  <si>
    <t>2502LDIN</t>
  </si>
  <si>
    <t>2502KLDIN</t>
  </si>
  <si>
    <t>2502ED</t>
  </si>
  <si>
    <t>2502CI-II</t>
  </si>
  <si>
    <t>2403NLDNSS</t>
  </si>
  <si>
    <t>2401CI3</t>
  </si>
  <si>
    <t>2401CASG</t>
  </si>
  <si>
    <t>2003-I-PET-C</t>
  </si>
  <si>
    <t>2003-F-PET-R</t>
  </si>
  <si>
    <t>2003-F-PET-M</t>
  </si>
  <si>
    <t>2003BF</t>
  </si>
  <si>
    <t>20005LDFESS</t>
  </si>
  <si>
    <t>20005KLDFN</t>
  </si>
  <si>
    <t>175LDFNI</t>
  </si>
  <si>
    <t>1753LDFN</t>
  </si>
  <si>
    <t>1753KLDFN</t>
  </si>
  <si>
    <t>151LDINSS</t>
  </si>
  <si>
    <t>151LDIN</t>
  </si>
  <si>
    <t>150LDINI</t>
  </si>
  <si>
    <t>1503BF</t>
  </si>
  <si>
    <t>1502LDIN</t>
  </si>
  <si>
    <t>1502KLDIN</t>
  </si>
  <si>
    <t>1403NLDNSS</t>
  </si>
  <si>
    <t>100LDFNI</t>
  </si>
  <si>
    <t>1003LDFN</t>
  </si>
  <si>
    <t>1003LDFIN</t>
  </si>
  <si>
    <t>1003LDFE</t>
  </si>
  <si>
    <t>1003KLDFN</t>
  </si>
  <si>
    <t>1003BF</t>
  </si>
  <si>
    <t>1002TAA</t>
  </si>
  <si>
    <t>1002CF3</t>
  </si>
  <si>
    <t>1002CASG</t>
  </si>
  <si>
    <t>1000-PF</t>
  </si>
  <si>
    <t>10005LDFN</t>
  </si>
  <si>
    <t>10005KLDFN</t>
  </si>
  <si>
    <t>10005CF-II</t>
  </si>
  <si>
    <t>TW38TD1</t>
  </si>
  <si>
    <t>Carlyle</t>
  </si>
  <si>
    <t>TW34</t>
  </si>
  <si>
    <t>TW12RH2</t>
  </si>
  <si>
    <t>TW12RH1</t>
  </si>
  <si>
    <t>TW12FL</t>
  </si>
  <si>
    <t>ETW14FL</t>
  </si>
  <si>
    <t>CP21075S</t>
  </si>
  <si>
    <t>Capri Tools</t>
  </si>
  <si>
    <t>CP21075</t>
  </si>
  <si>
    <t>26000-50</t>
  </si>
  <si>
    <t>26000-400</t>
  </si>
  <si>
    <t>26000-200</t>
  </si>
  <si>
    <t>2001TPRH</t>
  </si>
  <si>
    <t>California Torque Tools</t>
  </si>
  <si>
    <t>ASPTW3</t>
  </si>
  <si>
    <t>Cal-Hawk</t>
  </si>
  <si>
    <t>BTW30150</t>
  </si>
  <si>
    <t>Burndy</t>
  </si>
  <si>
    <t>BTW150750</t>
  </si>
  <si>
    <t>BLD0212M</t>
  </si>
  <si>
    <t>Brownline</t>
  </si>
  <si>
    <t>BLD0212BM</t>
  </si>
  <si>
    <t>Blackhawk</t>
  </si>
  <si>
    <t>BM10-STTW-0101-K</t>
  </si>
  <si>
    <t>Birzman</t>
  </si>
  <si>
    <t>4200QLK</t>
  </si>
  <si>
    <t>Best Kanon</t>
  </si>
  <si>
    <t>38B-2</t>
  </si>
  <si>
    <t>Belknap</t>
  </si>
  <si>
    <t>38A-1</t>
  </si>
  <si>
    <t>12E-2</t>
  </si>
  <si>
    <t>12D-2</t>
  </si>
  <si>
    <t>12B-2</t>
  </si>
  <si>
    <t>12A-1</t>
  </si>
  <si>
    <t>VB600T-I</t>
  </si>
  <si>
    <t>VB5T-I</t>
  </si>
  <si>
    <t>VB50T-I</t>
  </si>
  <si>
    <t>VB50ST-I</t>
  </si>
  <si>
    <t>VB300T-I</t>
  </si>
  <si>
    <t>VB2T-I</t>
  </si>
  <si>
    <t>VB200T-I</t>
  </si>
  <si>
    <t>VB10T-1</t>
  </si>
  <si>
    <t>VB10ST-I</t>
  </si>
  <si>
    <t>VB100T-I</t>
  </si>
  <si>
    <t>VB100ST-I</t>
  </si>
  <si>
    <t>VB1000T-I</t>
  </si>
  <si>
    <t>VB752LDIN</t>
  </si>
  <si>
    <t>VB751LDIN</t>
  </si>
  <si>
    <t>VB6004LDFN</t>
  </si>
  <si>
    <t>VB6002LDIN</t>
  </si>
  <si>
    <t>VB502LDFN</t>
  </si>
  <si>
    <t>VB3504LDFN</t>
  </si>
  <si>
    <t>VB301LDIN</t>
  </si>
  <si>
    <t>VB2503LDFN</t>
  </si>
  <si>
    <t>VB2502LDIN</t>
  </si>
  <si>
    <t>VB20005LDFE</t>
  </si>
  <si>
    <t>VB151LDIN</t>
  </si>
  <si>
    <t>VB1502LDIN</t>
  </si>
  <si>
    <t>VB1003LDFN</t>
  </si>
  <si>
    <t>VB10005LDFN</t>
  </si>
  <si>
    <t>7455-800</t>
  </si>
  <si>
    <t>Bahco</t>
  </si>
  <si>
    <t>IZO-D-30</t>
  </si>
  <si>
    <t>6981A</t>
  </si>
  <si>
    <t>AC68</t>
  </si>
  <si>
    <t>Autocraft</t>
  </si>
  <si>
    <t>AC66</t>
  </si>
  <si>
    <t>Atorn</t>
  </si>
  <si>
    <t>ATD-2505</t>
  </si>
  <si>
    <t>ATD Tools</t>
  </si>
  <si>
    <t>ATD2505</t>
  </si>
  <si>
    <t>ATD-2504</t>
  </si>
  <si>
    <t>ATD-12505A</t>
  </si>
  <si>
    <t>ATD-12505</t>
  </si>
  <si>
    <t>ATD-12504A</t>
  </si>
  <si>
    <t>ATD-12502A</t>
  </si>
  <si>
    <t>ATD-12501A</t>
  </si>
  <si>
    <t>ATD-12500A</t>
  </si>
  <si>
    <t>PS-060HM-S-CG</t>
  </si>
  <si>
    <t>ASG</t>
  </si>
  <si>
    <t>PS-060HM-S</t>
  </si>
  <si>
    <t>PS-018NM-H-CG</t>
  </si>
  <si>
    <t>PS-018NM-H</t>
  </si>
  <si>
    <t>PS-012NM-H</t>
  </si>
  <si>
    <t>ASG-P6</t>
  </si>
  <si>
    <t>ASG-P40</t>
  </si>
  <si>
    <t>ASG-P2</t>
  </si>
  <si>
    <t>ASG-P15</t>
  </si>
  <si>
    <t>ASG-A6</t>
  </si>
  <si>
    <t>ASG-A40</t>
  </si>
  <si>
    <t>ASG-A15</t>
  </si>
  <si>
    <t>AS-900IN-S-CG</t>
  </si>
  <si>
    <t>AS-900IN-S</t>
  </si>
  <si>
    <t>AS-150IN-H-CG</t>
  </si>
  <si>
    <t>AS-150IN-H</t>
  </si>
  <si>
    <t>AS-100NM-S-CG</t>
  </si>
  <si>
    <t>AS-100NM-S</t>
  </si>
  <si>
    <t>AS-060NM-H-CG</t>
  </si>
  <si>
    <t>AS-060NM-H</t>
  </si>
  <si>
    <t>AS-040IN-H-CG</t>
  </si>
  <si>
    <t>AS-040IN-H</t>
  </si>
  <si>
    <t>AS-012NM-H-CG</t>
  </si>
  <si>
    <t>AS-012NM-H</t>
  </si>
  <si>
    <t>TW800-W</t>
  </si>
  <si>
    <t>TW800</t>
  </si>
  <si>
    <t>TW600-W</t>
  </si>
  <si>
    <t>TW600</t>
  </si>
  <si>
    <t>TW500-W</t>
  </si>
  <si>
    <t>TW500</t>
  </si>
  <si>
    <t>TW400-W</t>
  </si>
  <si>
    <t>TW400</t>
  </si>
  <si>
    <t>TW300-W</t>
  </si>
  <si>
    <t>TW300</t>
  </si>
  <si>
    <t>TW250-W</t>
  </si>
  <si>
    <t>TW250</t>
  </si>
  <si>
    <t>TW200-W</t>
  </si>
  <si>
    <t>TW2000-W</t>
  </si>
  <si>
    <t>TW2000</t>
  </si>
  <si>
    <t>TW200</t>
  </si>
  <si>
    <t>TW150-W</t>
  </si>
  <si>
    <t>TW1500-W</t>
  </si>
  <si>
    <t>TW1500</t>
  </si>
  <si>
    <t>TW150</t>
  </si>
  <si>
    <t>TW135-W</t>
  </si>
  <si>
    <t>TW135</t>
  </si>
  <si>
    <t>TW100-W</t>
  </si>
  <si>
    <t>TW1000-W</t>
  </si>
  <si>
    <t>TW1000</t>
  </si>
  <si>
    <t>TW100</t>
  </si>
  <si>
    <t>TW050-W</t>
  </si>
  <si>
    <t>TW050</t>
  </si>
  <si>
    <t>TW020-W</t>
  </si>
  <si>
    <t>TW020</t>
  </si>
  <si>
    <t>TW010-W</t>
  </si>
  <si>
    <t>TW010</t>
  </si>
  <si>
    <t>DT4-340AR</t>
  </si>
  <si>
    <t>DT4-200AR</t>
  </si>
  <si>
    <t>DT2-030AR</t>
  </si>
  <si>
    <t>ASG-W53</t>
  </si>
  <si>
    <t>ASG-W177-NM</t>
  </si>
  <si>
    <t>ASG-W177</t>
  </si>
  <si>
    <t>ASG-D4</t>
  </si>
  <si>
    <t>ASG-D35</t>
  </si>
  <si>
    <t>64 005</t>
  </si>
  <si>
    <t>Armstrong</t>
  </si>
  <si>
    <t>64 004</t>
  </si>
  <si>
    <t>64 001</t>
  </si>
  <si>
    <t>CG21000QC-ARBH</t>
  </si>
  <si>
    <t>64 995</t>
  </si>
  <si>
    <t>64 986</t>
  </si>
  <si>
    <t>64 985</t>
  </si>
  <si>
    <t>64 984</t>
  </si>
  <si>
    <t>64 981</t>
  </si>
  <si>
    <t>64 946</t>
  </si>
  <si>
    <t>64 942</t>
  </si>
  <si>
    <t>64 941</t>
  </si>
  <si>
    <t>64 938</t>
  </si>
  <si>
    <t>64 932</t>
  </si>
  <si>
    <t>64 931</t>
  </si>
  <si>
    <t>64 236</t>
  </si>
  <si>
    <t>64 226</t>
  </si>
  <si>
    <t>64 221</t>
  </si>
  <si>
    <t>64 212</t>
  </si>
  <si>
    <t>64 186</t>
  </si>
  <si>
    <t>64 154</t>
  </si>
  <si>
    <t>64 151</t>
  </si>
  <si>
    <t>64 146</t>
  </si>
  <si>
    <t>64 107</t>
  </si>
  <si>
    <t>64 104</t>
  </si>
  <si>
    <t>64 102</t>
  </si>
  <si>
    <t>64 101</t>
  </si>
  <si>
    <t>64 099</t>
  </si>
  <si>
    <t>64 095</t>
  </si>
  <si>
    <t>64 094</t>
  </si>
  <si>
    <t>64 089</t>
  </si>
  <si>
    <t>64 086</t>
  </si>
  <si>
    <t>64 085</t>
  </si>
  <si>
    <t>64 084</t>
  </si>
  <si>
    <t>64 082</t>
  </si>
  <si>
    <t>64 081</t>
  </si>
  <si>
    <t>64 066</t>
  </si>
  <si>
    <t>64 063</t>
  </si>
  <si>
    <t>64 058</t>
  </si>
  <si>
    <t>64 055</t>
  </si>
  <si>
    <t>64 051</t>
  </si>
  <si>
    <t>64 049</t>
  </si>
  <si>
    <t>64 046</t>
  </si>
  <si>
    <t>64 042</t>
  </si>
  <si>
    <t>64 041</t>
  </si>
  <si>
    <t>64 038</t>
  </si>
  <si>
    <t>64 032</t>
  </si>
  <si>
    <t>64 031</t>
  </si>
  <si>
    <t>64 014</t>
  </si>
  <si>
    <t>64 010</t>
  </si>
  <si>
    <t>64 007</t>
  </si>
  <si>
    <t>64 740</t>
  </si>
  <si>
    <t>64 730</t>
  </si>
  <si>
    <t>64 591</t>
  </si>
  <si>
    <t>64 587</t>
  </si>
  <si>
    <t>64 570</t>
  </si>
  <si>
    <t>64 567</t>
  </si>
  <si>
    <t>64 562</t>
  </si>
  <si>
    <t>64 561</t>
  </si>
  <si>
    <t>64 552</t>
  </si>
  <si>
    <t>64 551</t>
  </si>
  <si>
    <t>64 544</t>
  </si>
  <si>
    <t>64 534</t>
  </si>
  <si>
    <t>64 505</t>
  </si>
  <si>
    <t>64 502</t>
  </si>
  <si>
    <t>64 458</t>
  </si>
  <si>
    <t>64 455</t>
  </si>
  <si>
    <t>64 452</t>
  </si>
  <si>
    <t>64 407A</t>
  </si>
  <si>
    <t>64 407</t>
  </si>
  <si>
    <t>64 405</t>
  </si>
  <si>
    <t>64 402</t>
  </si>
  <si>
    <t>64 358A</t>
  </si>
  <si>
    <t>64 358</t>
  </si>
  <si>
    <t>64 355A</t>
  </si>
  <si>
    <t>64 355</t>
  </si>
  <si>
    <t>64 352</t>
  </si>
  <si>
    <t>64 302A</t>
  </si>
  <si>
    <t>64 302</t>
  </si>
  <si>
    <t>B100</t>
  </si>
  <si>
    <t>APCO Mossberg</t>
  </si>
  <si>
    <t>B75</t>
  </si>
  <si>
    <t>B50</t>
  </si>
  <si>
    <t>B25</t>
  </si>
  <si>
    <t>B12.5</t>
  </si>
  <si>
    <t>B6.25</t>
  </si>
  <si>
    <t>A100</t>
  </si>
  <si>
    <t>A50</t>
  </si>
  <si>
    <t>A25</t>
  </si>
  <si>
    <t>T5969</t>
  </si>
  <si>
    <t>Agilent(HP)</t>
  </si>
  <si>
    <t>8710-1935</t>
  </si>
  <si>
    <t>Agilent</t>
  </si>
  <si>
    <t>8710-1766</t>
  </si>
  <si>
    <t>8710-1765</t>
  </si>
  <si>
    <t>8710-1764</t>
  </si>
  <si>
    <t>ARM602-4A</t>
  </si>
  <si>
    <t>AC Delco</t>
  </si>
  <si>
    <t>ARM602-3</t>
  </si>
  <si>
    <t>ARM601-4</t>
  </si>
  <si>
    <t>ARM601-3</t>
  </si>
  <si>
    <t>ARM331-2I</t>
  </si>
  <si>
    <t>ARM329-4I</t>
  </si>
  <si>
    <t>ARM327-3I</t>
  </si>
  <si>
    <t>ARM325-2I</t>
  </si>
  <si>
    <t>ARM302-4S</t>
  </si>
  <si>
    <t>Range Units</t>
  </si>
  <si>
    <t>Range</t>
  </si>
  <si>
    <t>Tolerance % CCW</t>
  </si>
  <si>
    <t xml:space="preserve">Tolerance % CW </t>
  </si>
  <si>
    <t>MFR &amp; MDL</t>
  </si>
  <si>
    <t>Established Torque version, only includes Torque Tables. Automated tolerance scraping will come later.</t>
  </si>
  <si>
    <t>DUT XLOOKUP formulae have been added after test run with Asset ID 79255 // 000065 (Analysis date of 9/27/2022). Stays blank if more research is required.</t>
  </si>
  <si>
    <t>Unhiding Ratio column. Expanding Worksheet tab, per the 3/24/2023 update of 'main' Impact Analysis Version.</t>
  </si>
  <si>
    <r>
      <rPr>
        <b/>
        <sz val="20"/>
        <color theme="1"/>
        <rFont val="Calibri"/>
        <family val="2"/>
        <scheme val="minor"/>
      </rPr>
      <t xml:space="preserve">This worksheet is used  to determine the worst case error of the standard in a given parameter. </t>
    </r>
    <r>
      <rPr>
        <sz val="11"/>
        <color theme="1"/>
        <rFont val="Calibri"/>
        <family val="2"/>
        <scheme val="minor"/>
      </rPr>
      <t xml:space="preserve">
</t>
    </r>
    <r>
      <rPr>
        <b/>
        <u/>
        <sz val="11"/>
        <color theme="1"/>
        <rFont val="Calibri"/>
        <family val="2"/>
        <scheme val="minor"/>
      </rPr>
      <t>Nominal</t>
    </r>
    <r>
      <rPr>
        <sz val="11"/>
        <color theme="1"/>
        <rFont val="Calibri"/>
        <family val="2"/>
        <scheme val="minor"/>
      </rPr>
      <t xml:space="preserve">, </t>
    </r>
    <r>
      <rPr>
        <b/>
        <u/>
        <sz val="11"/>
        <color theme="1"/>
        <rFont val="Calibri"/>
        <family val="2"/>
        <scheme val="minor"/>
      </rPr>
      <t>As Found</t>
    </r>
    <r>
      <rPr>
        <sz val="11"/>
        <color theme="1"/>
        <rFont val="Calibri"/>
        <family val="2"/>
        <scheme val="minor"/>
      </rPr>
      <t xml:space="preserve">, </t>
    </r>
    <r>
      <rPr>
        <b/>
        <u/>
        <sz val="11"/>
        <color theme="1"/>
        <rFont val="Calibri"/>
        <family val="2"/>
        <scheme val="minor"/>
      </rPr>
      <t>Uncertainty</t>
    </r>
    <r>
      <rPr>
        <sz val="11"/>
        <color theme="1"/>
        <rFont val="Calibri"/>
        <family val="2"/>
        <scheme val="minor"/>
      </rPr>
      <t xml:space="preserve"> (if any, feel free to leave blank or fill with 0's) are self-explanatory and come directly from the errant standard's datasheet.
</t>
    </r>
    <r>
      <rPr>
        <b/>
        <u/>
        <sz val="11"/>
        <color theme="1"/>
        <rFont val="Calibri"/>
        <family val="2"/>
        <scheme val="minor"/>
      </rPr>
      <t>Tolerance</t>
    </r>
    <r>
      <rPr>
        <sz val="11"/>
        <color theme="1"/>
        <rFont val="Calibri"/>
        <family val="2"/>
        <scheme val="minor"/>
      </rPr>
      <t xml:space="preserve"> is included in the event the DS comes from a vendor, and it's unclear what test points pass or fail. If that applies, fill in the expected tolerance for that test point. This will directly affect the </t>
    </r>
    <r>
      <rPr>
        <b/>
        <u/>
        <sz val="11"/>
        <color theme="1"/>
        <rFont val="Calibri"/>
        <family val="2"/>
        <scheme val="minor"/>
      </rPr>
      <t>Condition</t>
    </r>
    <r>
      <rPr>
        <sz val="11"/>
        <color theme="1"/>
        <rFont val="Calibri"/>
        <family val="2"/>
        <scheme val="minor"/>
      </rPr>
      <t xml:space="preserve"> column. Remember, indeterminant Failures are not significant enough to require analysis (the</t>
    </r>
    <r>
      <rPr>
        <b/>
        <sz val="11"/>
        <color theme="1"/>
        <rFont val="Calibri"/>
        <family val="2"/>
        <scheme val="minor"/>
      </rPr>
      <t xml:space="preserve"> </t>
    </r>
    <r>
      <rPr>
        <b/>
        <u/>
        <sz val="11"/>
        <color theme="1"/>
        <rFont val="Calibri"/>
        <family val="2"/>
        <scheme val="minor"/>
      </rPr>
      <t>Condition</t>
    </r>
    <r>
      <rPr>
        <sz val="11"/>
        <color theme="1"/>
        <rFont val="Calibri"/>
        <family val="2"/>
        <scheme val="minor"/>
      </rPr>
      <t xml:space="preserve"> column will report '</t>
    </r>
    <r>
      <rPr>
        <b/>
        <sz val="11"/>
        <color theme="1"/>
        <rFont val="Calibri"/>
        <family val="2"/>
        <scheme val="minor"/>
      </rPr>
      <t>No Impact</t>
    </r>
    <r>
      <rPr>
        <sz val="11"/>
        <color theme="1"/>
        <rFont val="Calibri"/>
        <family val="2"/>
        <scheme val="minor"/>
      </rPr>
      <t>' if this is the case).
Excel wizards may also turn this worksheet into a drop-down menu for the Standards Cells in the Calculations tab - useful if it's easier to find the DUT's tightest spec, and then select the intersecting TP/Range of the standard (we'll address this as 'DUT-first comparison). For non-wizards, please click the link directly below for a tutorial. This saves time in big OOTs, or where the worst case error of the standard isn't specific enough - like the standard worst case error exceeds the DUT's range(s), for example.</t>
    </r>
  </si>
  <si>
    <t>the PE Wiki in Teams, click '5. DUT-first Comparison' on the left because the more specific link doesn't take you to the correct view, for some reason.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</si>
</sst>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00000"/>
  </numFmts>
  <fonts count="22" x14ac:knownFonts="1">
    <font>
      <sz val="11"/>
      <color theme="1"/>
      <name val="Calibri"/>
      <family val="2"/>
      <scheme val="minor"/>
    </font>
    <font>
      <b/>
      <sz val="12"/>
      <color theme="1"/>
      <name val="Calibri"/>
      <family val="2"/>
      <scheme val="minor"/>
    </font>
    <font>
      <b/>
      <sz val="14"/>
      <color theme="0"/>
      <name val="Calibri"/>
      <family val="2"/>
      <scheme val="minor"/>
    </font>
    <font>
      <b/>
      <sz val="14"/>
      <color theme="1"/>
      <name val="Calibri"/>
      <family val="2"/>
      <scheme val="minor"/>
    </font>
    <font>
      <sz val="11"/>
      <color theme="1"/>
      <name val="Calibri"/>
      <family val="2"/>
    </font>
    <font>
      <b/>
      <sz val="20"/>
      <color theme="1"/>
      <name val="Calibri"/>
      <family val="2"/>
      <scheme val="minor"/>
    </font>
    <font>
      <b/>
      <i/>
      <sz val="11"/>
      <color rgb="FF0000FF"/>
      <name val="Calibri"/>
      <family val="2"/>
    </font>
    <font>
      <b/>
      <sz val="11"/>
      <color theme="1"/>
      <name val="Calibri"/>
      <family val="2"/>
      <scheme val="minor"/>
    </font>
    <font>
      <b/>
      <sz val="16"/>
      <color theme="0"/>
      <name val="Calibri"/>
      <family val="2"/>
      <scheme val="minor"/>
    </font>
    <font>
      <b/>
      <sz val="12"/>
      <color indexed="10"/>
      <name val="Arial"/>
      <family val="2"/>
    </font>
    <font>
      <b/>
      <sz val="48"/>
      <color theme="1"/>
      <name val="Calibri"/>
      <family val="2"/>
      <scheme val="minor"/>
    </font>
    <font>
      <b/>
      <i/>
      <sz val="11"/>
      <color theme="1"/>
      <name val="Calibri"/>
      <family val="2"/>
      <scheme val="minor"/>
    </font>
    <font>
      <b/>
      <sz val="12"/>
      <name val="Arial"/>
      <family val="2"/>
    </font>
    <font>
      <b/>
      <u/>
      <sz val="11"/>
      <color theme="1"/>
      <name val="Calibri"/>
      <family val="2"/>
      <scheme val="minor"/>
    </font>
    <font>
      <b/>
      <sz val="16"/>
      <color theme="1"/>
      <name val="Calibri"/>
      <family val="2"/>
      <scheme val="minor"/>
    </font>
    <font>
      <sz val="11"/>
      <color theme="1"/>
      <name val="Calibri"/>
      <family val="2"/>
      <scheme val="minor"/>
    </font>
    <font>
      <sz val="11"/>
      <color rgb="FF9C0006"/>
      <name val="Calibri"/>
      <family val="2"/>
      <scheme val="minor"/>
    </font>
    <font>
      <sz val="11"/>
      <color theme="0"/>
      <name val="Calibri"/>
      <family val="2"/>
      <scheme val="minor"/>
    </font>
    <font>
      <u/>
      <sz val="11"/>
      <color theme="10"/>
      <name val="Calibri"/>
      <family val="2"/>
      <scheme val="minor"/>
    </font>
    <font>
      <b/>
      <u/>
      <sz val="16"/>
      <color theme="10"/>
      <name val="Calibri"/>
      <family val="2"/>
      <scheme val="minor"/>
    </font>
    <font>
      <b/>
      <sz val="11"/>
      <color rgb="FF9C0006"/>
      <name val="Calibri"/>
      <family val="2"/>
      <scheme val="minor"/>
    </font>
    <font>
      <sz val="12"/>
      <color theme="1"/>
      <name val="Calibri"/>
      <family val="2"/>
      <scheme val="minor"/>
    </font>
  </fonts>
  <fills count="8">
    <fill>
      <patternFill patternType="none"/>
    </fill>
    <fill>
      <patternFill patternType="gray125"/>
    </fill>
    <fill>
      <patternFill patternType="solid">
        <fgColor theme="5"/>
        <bgColor theme="5"/>
      </patternFill>
    </fill>
    <fill>
      <patternFill patternType="solid">
        <fgColor theme="1"/>
        <bgColor indexed="64"/>
      </patternFill>
    </fill>
    <fill>
      <patternFill patternType="solid">
        <fgColor rgb="FFFFFF00"/>
        <bgColor indexed="64"/>
      </patternFill>
    </fill>
    <fill>
      <patternFill patternType="solid">
        <fgColor rgb="FF00B0F0"/>
        <bgColor indexed="64"/>
      </patternFill>
    </fill>
    <fill>
      <patternFill patternType="solid">
        <fgColor rgb="FFFFC7CE"/>
      </patternFill>
    </fill>
    <fill>
      <patternFill patternType="solid">
        <fgColor theme="4"/>
      </patternFill>
    </fill>
  </fills>
  <borders count="2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9" fontId="15" fillId="0" borderId="0" applyFont="0" applyFill="0" applyBorder="0" applyAlignment="0" applyProtection="0"/>
    <xf numFmtId="0" fontId="16" fillId="6" borderId="0" applyNumberFormat="0" applyBorder="0" applyAlignment="0" applyProtection="0"/>
    <xf numFmtId="0" fontId="17" fillId="7" borderId="0" applyNumberFormat="0" applyBorder="0" applyAlignment="0" applyProtection="0"/>
    <xf numFmtId="0" fontId="18" fillId="0" borderId="0" applyNumberFormat="0" applyFill="0" applyBorder="0" applyAlignment="0" applyProtection="0"/>
  </cellStyleXfs>
  <cellXfs count="83">
    <xf numFmtId="0" fontId="0" fillId="0" borderId="0" xfId="0"/>
    <xf numFmtId="0" fontId="0" fillId="0" borderId="0" xfId="0" applyAlignment="1">
      <alignment horizontal="center"/>
    </xf>
    <xf numFmtId="0" fontId="1" fillId="0" borderId="0" xfId="0" applyFont="1"/>
    <xf numFmtId="0" fontId="3" fillId="0" borderId="5" xfId="0" applyFont="1" applyBorder="1" applyAlignment="1">
      <alignment horizontal="left"/>
    </xf>
    <xf numFmtId="0" fontId="3" fillId="0" borderId="6" xfId="0" applyFont="1" applyBorder="1" applyAlignment="1">
      <alignment horizontal="left"/>
    </xf>
    <xf numFmtId="0" fontId="4" fillId="0" borderId="0" xfId="0" applyFont="1" applyAlignment="1">
      <alignment horizontal="center"/>
    </xf>
    <xf numFmtId="0" fontId="3" fillId="0" borderId="4" xfId="0" applyFont="1" applyBorder="1" applyAlignment="1">
      <alignment horizontal="left"/>
    </xf>
    <xf numFmtId="0" fontId="3" fillId="0" borderId="7" xfId="0" applyFont="1" applyBorder="1" applyAlignment="1">
      <alignment horizontal="left"/>
    </xf>
    <xf numFmtId="0" fontId="3" fillId="0" borderId="4" xfId="0" quotePrefix="1" applyFont="1" applyBorder="1" applyAlignment="1">
      <alignment horizontal="left"/>
    </xf>
    <xf numFmtId="0" fontId="3" fillId="0" borderId="5" xfId="0" quotePrefix="1" applyFont="1" applyBorder="1" applyAlignment="1">
      <alignment horizontal="left"/>
    </xf>
    <xf numFmtId="0" fontId="0" fillId="0" borderId="0" xfId="0" applyAlignment="1">
      <alignment horizontal="left"/>
    </xf>
    <xf numFmtId="0" fontId="3" fillId="0" borderId="9" xfId="0" applyFont="1" applyBorder="1" applyAlignment="1">
      <alignment horizontal="left"/>
    </xf>
    <xf numFmtId="0" fontId="3" fillId="0" borderId="9" xfId="0" quotePrefix="1" applyFont="1" applyBorder="1" applyAlignment="1">
      <alignment horizontal="left"/>
    </xf>
    <xf numFmtId="0" fontId="3" fillId="0" borderId="0" xfId="0" applyFont="1" applyAlignment="1">
      <alignment horizontal="center"/>
    </xf>
    <xf numFmtId="0" fontId="7" fillId="4" borderId="12" xfId="0" applyFont="1" applyFill="1" applyBorder="1" applyAlignment="1">
      <alignment horizontal="center" vertical="center"/>
    </xf>
    <xf numFmtId="0" fontId="9" fillId="0" borderId="0" xfId="0" applyFont="1" applyAlignment="1">
      <alignment horizontal="left" vertical="top"/>
    </xf>
    <xf numFmtId="0" fontId="3" fillId="0" borderId="23" xfId="0" applyFont="1" applyBorder="1" applyAlignment="1">
      <alignment horizontal="left"/>
    </xf>
    <xf numFmtId="0" fontId="1" fillId="0" borderId="22" xfId="0" applyFont="1" applyBorder="1" applyAlignment="1">
      <alignment horizontal="center"/>
    </xf>
    <xf numFmtId="0" fontId="1" fillId="0" borderId="23" xfId="0" applyFont="1" applyBorder="1" applyAlignment="1">
      <alignment horizontal="left"/>
    </xf>
    <xf numFmtId="2" fontId="3" fillId="0" borderId="22" xfId="0" applyNumberFormat="1" applyFont="1" applyBorder="1" applyAlignment="1">
      <alignment horizontal="center"/>
    </xf>
    <xf numFmtId="0" fontId="10" fillId="0" borderId="0" xfId="0" applyFont="1" applyAlignment="1">
      <alignment horizontal="center" vertical="center"/>
    </xf>
    <xf numFmtId="0" fontId="2" fillId="2" borderId="8" xfId="0" applyFont="1" applyFill="1" applyBorder="1" applyAlignment="1">
      <alignment horizontal="center"/>
    </xf>
    <xf numFmtId="0" fontId="0" fillId="0" borderId="22" xfId="0" applyBorder="1" applyAlignment="1">
      <alignment horizontal="center"/>
    </xf>
    <xf numFmtId="0" fontId="0" fillId="0" borderId="0" xfId="0" applyAlignment="1">
      <alignment wrapText="1"/>
    </xf>
    <xf numFmtId="0" fontId="3" fillId="0" borderId="0" xfId="0" applyFont="1" applyAlignment="1">
      <alignment horizontal="center" vertical="top"/>
    </xf>
    <xf numFmtId="0" fontId="0" fillId="0" borderId="0" xfId="0" applyAlignment="1">
      <alignment horizontal="left" wrapText="1"/>
    </xf>
    <xf numFmtId="164" fontId="9" fillId="0" borderId="0" xfId="0" applyNumberFormat="1" applyFont="1" applyAlignment="1">
      <alignment horizontal="left" vertical="top"/>
    </xf>
    <xf numFmtId="0" fontId="12" fillId="0" borderId="0" xfId="0" applyFont="1" applyAlignment="1">
      <alignment horizontal="left" vertical="top"/>
    </xf>
    <xf numFmtId="0" fontId="7" fillId="4" borderId="12" xfId="0" applyFont="1" applyFill="1" applyBorder="1" applyAlignment="1">
      <alignment horizontal="center"/>
    </xf>
    <xf numFmtId="0" fontId="0" fillId="4" borderId="12" xfId="0" applyFill="1" applyBorder="1" applyAlignment="1">
      <alignment vertical="center"/>
    </xf>
    <xf numFmtId="0" fontId="0" fillId="4" borderId="12" xfId="0" applyFill="1" applyBorder="1" applyAlignment="1">
      <alignment horizontal="left"/>
    </xf>
    <xf numFmtId="0" fontId="8" fillId="3" borderId="0" xfId="0" applyFont="1" applyFill="1" applyAlignment="1">
      <alignment horizontal="left" vertical="center"/>
    </xf>
    <xf numFmtId="0" fontId="14" fillId="3" borderId="0" xfId="0" applyFont="1" applyFill="1" applyAlignment="1">
      <alignment horizontal="center"/>
    </xf>
    <xf numFmtId="0" fontId="14" fillId="3" borderId="0" xfId="0" applyFont="1" applyFill="1"/>
    <xf numFmtId="14" fontId="0" fillId="0" borderId="0" xfId="0" applyNumberFormat="1" applyAlignment="1">
      <alignment horizontal="left"/>
    </xf>
    <xf numFmtId="0" fontId="3" fillId="0" borderId="0" xfId="0" applyFont="1"/>
    <xf numFmtId="165" fontId="0" fillId="0" borderId="0" xfId="0" applyNumberFormat="1" applyAlignment="1">
      <alignment horizontal="center"/>
    </xf>
    <xf numFmtId="0" fontId="7" fillId="0" borderId="0" xfId="0" applyFont="1" applyAlignment="1">
      <alignment horizontal="center"/>
    </xf>
    <xf numFmtId="0" fontId="0" fillId="0" borderId="0" xfId="0" applyAlignment="1">
      <alignment horizontal="right"/>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14" fontId="0" fillId="0" borderId="0" xfId="0" applyNumberFormat="1" applyAlignment="1">
      <alignment horizontal="center"/>
    </xf>
    <xf numFmtId="0" fontId="1" fillId="0" borderId="21" xfId="0" applyFont="1" applyBorder="1" applyAlignment="1">
      <alignment horizontal="right"/>
    </xf>
    <xf numFmtId="0" fontId="1" fillId="0" borderId="22" xfId="0" applyFont="1" applyBorder="1" applyAlignment="1">
      <alignment horizontal="right"/>
    </xf>
    <xf numFmtId="0" fontId="0" fillId="0" borderId="0" xfId="0" applyAlignment="1">
      <alignment horizontal="left"/>
    </xf>
    <xf numFmtId="0" fontId="0" fillId="0" borderId="0" xfId="0" applyAlignment="1">
      <alignment horizontal="left" vertical="top" wrapText="1"/>
    </xf>
    <xf numFmtId="0" fontId="0" fillId="0" borderId="19" xfId="0" applyBorder="1" applyAlignment="1">
      <alignment horizontal="left"/>
    </xf>
    <xf numFmtId="0" fontId="3" fillId="0" borderId="13" xfId="0" applyFont="1" applyBorder="1" applyAlignment="1">
      <alignment horizontal="left" vertical="top" wrapText="1"/>
    </xf>
    <xf numFmtId="0" fontId="3" fillId="0" borderId="14" xfId="0" applyFont="1" applyBorder="1" applyAlignment="1">
      <alignment horizontal="left" vertical="top"/>
    </xf>
    <xf numFmtId="0" fontId="3" fillId="0" borderId="15" xfId="0" applyFont="1" applyBorder="1" applyAlignment="1">
      <alignment horizontal="left" vertical="top"/>
    </xf>
    <xf numFmtId="0" fontId="3" fillId="0" borderId="16" xfId="0" applyFont="1" applyBorder="1" applyAlignment="1">
      <alignment horizontal="left" vertical="top"/>
    </xf>
    <xf numFmtId="0" fontId="3" fillId="0" borderId="0" xfId="0" applyFont="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0" fillId="0" borderId="0" xfId="0" applyAlignment="1">
      <alignment horizontal="center"/>
    </xf>
    <xf numFmtId="0" fontId="2" fillId="2" borderId="10" xfId="0" applyFont="1" applyFill="1" applyBorder="1" applyAlignment="1">
      <alignment horizontal="center"/>
    </xf>
    <xf numFmtId="0" fontId="2" fillId="2" borderId="8" xfId="0" applyFont="1" applyFill="1" applyBorder="1" applyAlignment="1">
      <alignment horizontal="center"/>
    </xf>
    <xf numFmtId="0" fontId="2" fillId="2" borderId="11" xfId="0" applyFont="1" applyFill="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3" fillId="0" borderId="0" xfId="0" applyFont="1" applyAlignment="1">
      <alignment horizontal="left"/>
    </xf>
    <xf numFmtId="0" fontId="3" fillId="0" borderId="21" xfId="0" applyFont="1" applyBorder="1" applyAlignment="1">
      <alignment horizontal="right"/>
    </xf>
    <xf numFmtId="0" fontId="3" fillId="0" borderId="22" xfId="0" applyFont="1" applyBorder="1" applyAlignment="1">
      <alignment horizontal="right"/>
    </xf>
    <xf numFmtId="0" fontId="5" fillId="0" borderId="0" xfId="0" applyFont="1" applyAlignment="1">
      <alignment horizontal="center"/>
    </xf>
    <xf numFmtId="0" fontId="0" fillId="0" borderId="0" xfId="0" applyAlignment="1">
      <alignment horizontal="left" wrapText="1"/>
    </xf>
    <xf numFmtId="0" fontId="7" fillId="5" borderId="12" xfId="0" applyFont="1" applyFill="1" applyBorder="1" applyAlignment="1">
      <alignment horizontal="center" vertical="center"/>
    </xf>
    <xf numFmtId="0" fontId="8" fillId="3" borderId="0" xfId="0" applyFont="1" applyFill="1" applyAlignment="1">
      <alignment horizontal="center" vertical="center"/>
    </xf>
    <xf numFmtId="0" fontId="19" fillId="0" borderId="0" xfId="4" applyFont="1" applyAlignment="1">
      <alignment horizontal="center" vertical="center"/>
    </xf>
    <xf numFmtId="0" fontId="8" fillId="7" borderId="5" xfId="3" applyFont="1" applyBorder="1" applyAlignment="1">
      <alignment horizontal="center"/>
    </xf>
    <xf numFmtId="9" fontId="0" fillId="0" borderId="0" xfId="1" applyFont="1" applyAlignment="1">
      <alignment horizontal="center"/>
    </xf>
    <xf numFmtId="0" fontId="20" fillId="6" borderId="13" xfId="2" applyFont="1" applyBorder="1" applyAlignment="1">
      <alignment horizontal="center"/>
    </xf>
    <xf numFmtId="9" fontId="20" fillId="6" borderId="14" xfId="1" applyFont="1" applyFill="1" applyBorder="1" applyAlignment="1">
      <alignment horizontal="center"/>
    </xf>
    <xf numFmtId="9" fontId="20" fillId="6" borderId="15" xfId="1" applyFont="1" applyFill="1" applyBorder="1" applyAlignment="1">
      <alignment horizontal="center"/>
    </xf>
    <xf numFmtId="0" fontId="7" fillId="0" borderId="16" xfId="0" applyFont="1" applyBorder="1" applyAlignment="1">
      <alignment horizontal="center"/>
    </xf>
    <xf numFmtId="0" fontId="7" fillId="0" borderId="17" xfId="0" applyFont="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21" fillId="0" borderId="0" xfId="0" applyFont="1" applyAlignment="1">
      <alignment vertical="center"/>
    </xf>
  </cellXfs>
  <cellStyles count="5">
    <cellStyle name="Accent1" xfId="3" builtinId="29"/>
    <cellStyle name="Bad" xfId="2" builtinId="27"/>
    <cellStyle name="Hyperlink" xfId="4" builtinId="8"/>
    <cellStyle name="Normal" xfId="0" builtinId="0"/>
    <cellStyle name="Percent" xfId="1" builtinId="5"/>
  </cellStyles>
  <dxfs count="60">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family val="2"/>
        <scheme val="minor"/>
      </font>
      <fill>
        <patternFill patternType="solid">
          <fgColor indexed="64"/>
          <bgColor theme="1"/>
        </patternFill>
      </fill>
    </dxf>
    <dxf>
      <alignment horizontal="right" vertical="bottom" textRotation="0" wrapText="0" indent="0" justifyLastLine="0" shrinkToFit="0" readingOrder="0"/>
    </dxf>
    <dxf>
      <alignment horizontal="center" textRotation="0" indent="0" justifyLastLine="0" shrinkToFit="0" readingOrder="0"/>
    </dxf>
    <dxf>
      <alignment horizontal="center" textRotation="0" indent="0" justifyLastLine="0" shrinkToFit="0" readingOrder="0"/>
    </dxf>
    <dxf>
      <numFmt numFmtId="0" formatCode="General"/>
    </dxf>
    <dxf>
      <alignment horizontal="left" textRotation="0" wrapText="0" indent="0" justifyLastLine="0" shrinkToFit="0" readingOrder="0"/>
    </dxf>
    <dxf>
      <alignment horizontal="left" textRotation="0" wrapText="0" indent="0" justifyLastLine="0" shrinkToFit="0" readingOrder="0"/>
    </dxf>
    <dxf>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4"/>
        <name val="Calibri"/>
        <family val="2"/>
        <scheme val="minor"/>
      </font>
      <alignment horizontal="left" vertical="bottom" textRotation="0" wrapText="0" indent="0" justifyLastLine="0" shrinkToFit="0" readingOrder="0"/>
    </dxf>
    <dxf>
      <fill>
        <patternFill>
          <bgColor rgb="FFFF000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0000"/>
        </patternFill>
      </fill>
    </dxf>
    <dxf>
      <fill>
        <patternFill>
          <bgColor rgb="FF00B0F0"/>
        </patternFill>
      </fill>
    </dxf>
    <dxf>
      <fill>
        <patternFill>
          <bgColor rgb="FF00B0F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4392198" cy="77275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392198" cy="772755"/>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0</xdr:colOff>
          <xdr:row>0</xdr:row>
          <xdr:rowOff>19050</xdr:rowOff>
        </xdr:from>
        <xdr:to>
          <xdr:col>7</xdr:col>
          <xdr:colOff>866775</xdr:colOff>
          <xdr:row>5</xdr:row>
          <xdr:rowOff>9525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FF"/>
                  </a:solidFill>
                  <a:latin typeface="Calibri"/>
                  <a:cs typeface="Calibri"/>
                </a:rPr>
                <a:t>Import Data from Reverse Trace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0</xdr:row>
          <xdr:rowOff>19050</xdr:rowOff>
        </xdr:from>
        <xdr:to>
          <xdr:col>9</xdr:col>
          <xdr:colOff>647700</xdr:colOff>
          <xdr:row>5</xdr:row>
          <xdr:rowOff>19050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FF"/>
                  </a:solidFill>
                  <a:latin typeface="Calibri"/>
                  <a:cs typeface="Calibri"/>
                </a:rPr>
                <a:t>Add New Calculation Tab for Other OOT Parameters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9:AI3007" totalsRowShown="0" headerRowDxfId="50" dataDxfId="49">
  <autoFilter ref="A9:AI3007" xr:uid="{00000000-0009-0000-0100-000001000000}"/>
  <sortState xmlns:xlrd2="http://schemas.microsoft.com/office/spreadsheetml/2017/richdata2" ref="A10:AI3007">
    <sortCondition ref="D9:D3007"/>
  </sortState>
  <tableColumns count="35">
    <tableColumn id="1" xr3:uid="{00000000-0010-0000-0000-000001000000}" name="ID" dataDxfId="48"/>
    <tableColumn id="2" xr3:uid="{00000000-0010-0000-0000-000002000000}" name="Company" dataDxfId="47"/>
    <tableColumn id="3" xr3:uid="{00000000-0010-0000-0000-000003000000}" name="Manufacturer" dataDxfId="46"/>
    <tableColumn id="4" xr3:uid="{00000000-0010-0000-0000-000004000000}" name="Model" dataDxfId="45"/>
    <tableColumn id="5" xr3:uid="{00000000-0010-0000-0000-000005000000}" name="Description" dataDxfId="44"/>
    <tableColumn id="6" xr3:uid="{00000000-0010-0000-0000-000006000000}" name="Serial Number" dataDxfId="43"/>
    <tableColumn id="8" xr3:uid="{00000000-0010-0000-0000-000008000000}" name="Date of Cal" dataDxfId="42"/>
    <tableColumn id="7" xr3:uid="{00000000-0010-0000-0000-000007000000}" name="Cal Type" dataDxfId="41"/>
    <tableColumn id="9" xr3:uid="{00000000-0010-0000-0000-000009000000}" name="Units" dataDxfId="40">
      <calculatedColumnFormula>$I$10</calculatedColumnFormula>
    </tableColumn>
    <tableColumn id="10" xr3:uid="{00000000-0010-0000-0000-00000A000000}" name="Spec Type" dataDxfId="39">
      <calculatedColumnFormula>""</calculatedColumnFormula>
    </tableColumn>
    <tableColumn id="11" xr3:uid="{00000000-0010-0000-0000-00000B000000}" name="Std Nom" dataDxfId="38">
      <calculatedColumnFormula>$K$10</calculatedColumnFormula>
    </tableColumn>
    <tableColumn id="12" xr3:uid="{00000000-0010-0000-0000-00000C000000}" name="Std Read" dataDxfId="37">
      <calculatedColumnFormula>$L$10</calculatedColumnFormula>
    </tableColumn>
    <tableColumn id="13" xr3:uid="{00000000-0010-0000-0000-00000D000000}" name="Std Error" dataDxfId="36">
      <calculatedColumnFormula>IF(OR(Table1[[#This Row],[Std Nom]]="",Table1[[#This Row],[Std Read]]=""),0,Table1[[#This Row],[Std Nom]]-Table1[[#This Row],[Std Read]])</calculatedColumnFormula>
    </tableColumn>
    <tableColumn id="14" xr3:uid="{00000000-0010-0000-0000-00000E000000}" name="Std Ucty" dataDxfId="35">
      <calculatedColumnFormula>IF(Calculations!$F$5="ACCREDITED 17025 WITH UNCERTAINTIES","",0)</calculatedColumnFormula>
    </tableColumn>
    <tableColumn id="15" xr3:uid="{00000000-0010-0000-0000-00000F000000}" name="Low Tol" dataDxfId="34">
      <calculatedColumnFormula>IFERROR(Table1[[#This Row],[Std Nom]]-(_xlfn.XLOOKUP(Table1[[#This Row],[Manufacturer]]&amp;" "&amp;Table1[[#This Row],[Model]],Table13[MFR &amp; MDL],Table13[Tolerance % CW ],"")/100*Table1[[#This Row],[Std Nom]]),"")</calculatedColumnFormula>
    </tableColumn>
    <tableColumn id="16" xr3:uid="{00000000-0010-0000-0000-000010000000}" name="High Tol" dataDxfId="33">
      <calculatedColumnFormula>IFERROR(Table1[[#This Row],[Std Nom]]+(_xlfn.XLOOKUP(Table1[[#This Row],[Manufacturer]]&amp;" "&amp;Table1[[#This Row],[Model]],Table13[MFR &amp; MDL],Table13[Tolerance % CW ],"")/100*Table1[[#This Row],[Std Nom]]),"")</calculatedColumnFormula>
    </tableColumn>
    <tableColumn id="17" xr3:uid="{00000000-0010-0000-0000-000011000000}" name="Tol Span" dataDxfId="32">
      <calculatedColumnFormula>Table1[[#This Row],[High Tol]]-Table1[[#This Row],[Low Tol]]</calculatedColumnFormula>
    </tableColumn>
    <tableColumn id="18" xr3:uid="{00000000-0010-0000-0000-000012000000}" name="Error Span" dataDxfId="31">
      <calculatedColumnFormula>2*Table1[[#This Row],[Std Error]]</calculatedColumnFormula>
    </tableColumn>
    <tableColumn id="19" xr3:uid="{00000000-0010-0000-0000-000013000000}" name="Ratio" dataDxfId="30">
      <calculatedColumnFormula>IF(Table1[[#This Row],[High Tol]]="","N/A",IFERROR(ABS(Table1[[#This Row],[Tol Span]]/Table1[[#This Row],[Error Span]]),"N/A"))</calculatedColumnFormula>
    </tableColumn>
    <tableColumn id="20" xr3:uid="{00000000-0010-0000-0000-000014000000}" name="Result" dataDxfId="29">
      <calculatedColumnFormula>IF(OR(Table1[[#This Row],[Low Tol]]="",Table1[[#This Row],[High Tol]]=""),"Needs Analysis",IF(Table1[[#This Row],[Ratio]]&gt;=4,"Not Significant",IF(Table1[[#This Row],[Ratio]]&gt;=2,"Semi-Significant","Significant")))</calculatedColumnFormula>
    </tableColumn>
    <tableColumn id="21" xr3:uid="{00000000-0010-0000-0000-000015000000}" name="DUT Nom" dataDxfId="28"/>
    <tableColumn id="22" xr3:uid="{00000000-0010-0000-0000-000016000000}" name="DUT Read" dataDxfId="27">
      <calculatedColumnFormula>IF(OR(Table1[[#This Row],[Cal Type]]="Normal",Table1[[#This Row],[Cal Type]]="ACCREDITED 17025 WITH UNCERTAINTIES"),"","N/A")</calculatedColumnFormula>
    </tableColumn>
    <tableColumn id="23" xr3:uid="{00000000-0010-0000-0000-000017000000}" name="DUT Ucty" dataDxfId="26">
      <calculatedColumnFormula>IF(Table1[[#This Row],[Cal Type]]&lt;&gt;"ACCREDITED 17025 WITH UNCERTAINTIES",0,"")</calculatedColumnFormula>
    </tableColumn>
    <tableColumn id="24" xr3:uid="{00000000-0010-0000-0000-000018000000}" name="DUT Adj Read" dataDxfId="25">
      <calculatedColumnFormula>IF(Table1[[#This Row],[DUT Read]]="","N/A",Table1[[#This Row],[Std Error]]+Table1[[#This Row],[DUT Read]]+Table1[[#This Row],[DUT Ucty]])</calculatedColumnFormula>
    </tableColumn>
    <tableColumn id="25" xr3:uid="{00000000-0010-0000-0000-000019000000}" name="Std Adj Read" dataDxfId="24">
      <calculatedColumnFormula>IF(Table1[[#This Row],[Std Read]]="","N/A",Table1[[#This Row],[Std Read]]+Table1[[#This Row],[Std Ucty]])</calculatedColumnFormula>
    </tableColumn>
    <tableColumn id="26" xr3:uid="{00000000-0010-0000-0000-00001A000000}" name="Pass/Fail" dataDxfId="23">
      <calculatedColumnFormula>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calculatedColumnFormula>
    </tableColumn>
    <tableColumn id="31" xr3:uid="{74B26322-B0F7-48CA-A90A-E42F636F5377}" name="Gage Condition" dataDxfId="22"/>
    <tableColumn id="34" xr3:uid="{00000000-0010-0000-0000-000022000000}" name="Spec Type2" dataDxfId="21">
      <calculatedColumnFormula>IF(Table1[[#This Row],[Spec Type]]="","N/A",Table1[[#This Row],[Spec Type]])</calculatedColumnFormula>
    </tableColumn>
    <tableColumn id="35" xr3:uid="{00000000-0010-0000-0000-000023000000}" name="+/- Eval" dataDxfId="20">
      <calculatedColumnFormula>IF(Table1[[#This Row],[Spec Type2]]="N/A","N/A",IF(AND(Table1[[#This Row],[DUT Adj Read]]&gt;=Table1[[#This Row],[Low Tol]],Table1[[#This Row],[DUT Adj Read]]&lt;=Table1[[#This Row],[High Tol]]),"Pass","Fail"))</calculatedColumnFormula>
    </tableColumn>
    <tableColumn id="27" xr3:uid="{00000000-0010-0000-0000-00001B000000}" name="&gt; Eval" dataDxfId="19">
      <calculatedColumnFormula>IF(AND(Table1[[#This Row],[Spec Type2]]="N/A",Table1[[#This Row],[DUT Adj Read]]="N/A",Table1[[#This Row],[Std Adj Read]]="N/A"),"N/A",IF(Table1[[#This Row],[DUT Adj Read]]="N/A",IF(Table1[[#This Row],[Std Adj Read]]&gt;Table1[[#This Row],[Low Tol]],"Pass","Fail"),IF(Table1[[#This Row],[DUT Adj Read]]&gt;Table1[[#This Row],[Low Tol]],"Pass","Fail")))</calculatedColumnFormula>
    </tableColumn>
    <tableColumn id="28" xr3:uid="{00000000-0010-0000-0000-00001C000000}" name="&lt; Eval" dataDxfId="18">
      <calculatedColumnFormula>IF(AND(Table1[[#This Row],[Spec Type2]]="N/A",Table1[[#This Row],[DUT Adj Read]]="N/A",Table1[[#This Row],[Std Adj Read]]="N/A"),"N/A",IF(Table1[[#This Row],[DUT Adj Read]]="N/A",IF(Table1[[#This Row],[Std Adj Read]]&lt;Table1[[#This Row],[High Tol]],"Pass","Fail"),IF(Table1[[#This Row],[DUT Adj Read]]&lt;Table1[[#This Row],[High Tol]],"Pass","Fail")))</calculatedColumnFormula>
    </tableColumn>
    <tableColumn id="29" xr3:uid="{00000000-0010-0000-0000-00001D000000}" name="&gt;= Eval" dataDxfId="17">
      <calculatedColumnFormula>IF(AND(Table1[[#This Row],[Spec Type2]]="N/A",Table1[[#This Row],[DUT Adj Read]]="N/A",Table1[[#This Row],[Std Adj Read]]="N/A"),"N/A",IF(Table1[[#This Row],[DUT Adj Read]]="N/A",IF(Table1[[#This Row],[Std Adj Read]]&gt;=Table1[[#This Row],[Low Tol]],"Pass","Fail"),IF(Table1[[#This Row],[DUT Adj Read]]&gt;=Table1[[#This Row],[Low Tol]],"Pass","Fail")))</calculatedColumnFormula>
    </tableColumn>
    <tableColumn id="30" xr3:uid="{00000000-0010-0000-0000-00001E000000}" name="&lt;= Eval" dataDxfId="16">
      <calculatedColumnFormula>IF(AND(Table1[[#This Row],[Spec Type2]]="N/A",Table1[[#This Row],[DUT Adj Read]]="N/A",Table1[[#This Row],[Std Adj Read]]="N/A"),"N/A",IF(Table1[[#This Row],[DUT Adj Read]]="N/A",IF(Table1[[#This Row],[Std Adj Read]]&lt;=Table1[[#This Row],[High Tol]],"Pass","Fail"),IF(Table1[[#This Row],[DUT Adj Read]]&lt;=Table1[[#This Row],[High Tol]],"Pass","Fail")))</calculatedColumnFormula>
    </tableColumn>
    <tableColumn id="32" xr3:uid="{00000000-0010-0000-0000-000020000000}" name="Final Eval" dataDxfId="15">
      <calculatedColumnFormula>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calculatedColumnFormula>
    </tableColumn>
    <tableColumn id="33" xr3:uid="{00000000-0010-0000-0000-000021000000}" name="Notes" dataDxfId="14"/>
  </tableColumns>
  <tableStyleInfo name="TableStyleDark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CB8A24-7A33-4261-8387-9E38C20B10F4}" name="Table13" displayName="Table13" ref="A1:G3893" totalsRowShown="0">
  <autoFilter ref="A1:G3893" xr:uid="{5F37887B-F0AF-4288-B220-9F2076BEC4FD}"/>
  <sortState xmlns:xlrd2="http://schemas.microsoft.com/office/spreadsheetml/2017/richdata2" ref="A2:G3893">
    <sortCondition ref="A1:A3893"/>
  </sortState>
  <tableColumns count="7">
    <tableColumn id="1" xr3:uid="{53A79C53-EAB6-473D-ABCA-8A4EADC2986C}" name="Manufacturer" dataDxfId="13"/>
    <tableColumn id="2" xr3:uid="{E3F2DDFD-6276-405D-8FD0-C284050E4093}" name="Model" dataDxfId="12"/>
    <tableColumn id="7" xr3:uid="{00D79448-E78E-436B-8CC5-BCE0B37DA40F}" name="MFR &amp; MDL" dataDxfId="11">
      <calculatedColumnFormula>Table13[[#This Row],[Manufacturer]]&amp;" "&amp;Table13[[#This Row],[Model]]</calculatedColumnFormula>
    </tableColumn>
    <tableColumn id="3" xr3:uid="{D4E4CA54-A7E2-4AF6-9FB6-68DA2C9C2D5A}" name="Tolerance % CW " dataDxfId="10"/>
    <tableColumn id="4" xr3:uid="{CD5A5A6D-5843-4ADC-BE4F-D657F194BE42}" name="Tolerance % CCW" dataDxfId="9"/>
    <tableColumn id="5" xr3:uid="{CF71BFBF-F946-4716-90FC-1176E7A979D7}" name="Range" dataDxfId="8"/>
    <tableColumn id="6" xr3:uid="{6DBE7543-EBCC-4382-A84F-541085888FC0}" name="Range Units"/>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8:D60" totalsRowShown="0" headerRowDxfId="7">
  <tableColumns count="4">
    <tableColumn id="1" xr3:uid="{00000000-0010-0000-0100-000001000000}" name="Rev #:" dataDxfId="6"/>
    <tableColumn id="2" xr3:uid="{00000000-0010-0000-0100-000002000000}" name="Name:" dataDxfId="5"/>
    <tableColumn id="3" xr3:uid="{00000000-0010-0000-0100-000003000000}" name="Date:" dataDxfId="4"/>
    <tableColumn id="4" xr3:uid="{00000000-0010-0000-0100-000004000000}" name="Change Notes:"/>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teams.microsoft.com/l/entity/com.microsoft.teamspace.tab.wiki/tab::ec66421a-6e53-4793-8ccb-6515f30dc760?context=%7B%22subEntityId%22%3A%22%7B%5C%22pageId%5C%22%3A28%2C%5C%22origin%5C%22%3A2%7D%22%2C%22channelId%22%3A%2219%3Abef838e743a54342b177007198606e16%40thread.tacv2%22%7D&amp;tenantId=0f634ac3-b39f-41a6-83ba-8f107876c692" TargetMode="External"/><Relationship Id="rId1" Type="http://schemas.openxmlformats.org/officeDocument/2006/relationships/hyperlink" Target="https://teams.microsoft.com/l/entity/com.microsoft.teamspace.tab.wiki/tab::ec66421a-6e53-4793-8ccb-6515f30dc760?context=%7B%22subEntityId%22%3A%22%7B%5C%22pageId%5C%22%3A28%2C%5C%22sectionId%5C%22%3A47%2C%5C%22origin%5C%22%3A2%7D%22%2C%22channelId%22%3A%2219%3Abef838e743a54342b177007198606e16%40thread.tacv2%22%7D&amp;tenantId=0f634ac3-b39f-41a6-83ba-8f107876c692"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AC2AA-0AE8-48A8-9EE8-462A7889B1CD}">
  <sheetPr codeName="Sheet1"/>
  <dimension ref="A1:U402"/>
  <sheetViews>
    <sheetView workbookViewId="0">
      <selection activeCell="K15" sqref="K15"/>
    </sheetView>
  </sheetViews>
  <sheetFormatPr defaultColWidth="8.85546875" defaultRowHeight="15" x14ac:dyDescent="0.25"/>
  <cols>
    <col min="1" max="6" width="15.85546875" style="1" customWidth="1"/>
    <col min="7" max="7" width="15.85546875" customWidth="1"/>
    <col min="9" max="10" width="11.85546875" customWidth="1"/>
  </cols>
  <sheetData>
    <row r="1" spans="1:21" ht="149.25" customHeight="1" x14ac:dyDescent="0.25">
      <c r="A1" s="46" t="s">
        <v>3606</v>
      </c>
      <c r="B1" s="46"/>
      <c r="C1" s="46"/>
      <c r="D1" s="46"/>
      <c r="E1" s="46"/>
      <c r="F1" s="46"/>
      <c r="G1" s="46"/>
      <c r="H1" s="46"/>
      <c r="I1" s="46"/>
      <c r="J1" s="46"/>
      <c r="K1" s="46"/>
      <c r="L1" s="46"/>
      <c r="M1" s="46"/>
      <c r="N1" s="46"/>
      <c r="O1" s="46"/>
      <c r="P1" s="46"/>
      <c r="Q1" s="46"/>
      <c r="R1" s="46"/>
      <c r="S1" s="46"/>
      <c r="T1" s="46"/>
      <c r="U1" s="46"/>
    </row>
    <row r="2" spans="1:21" ht="21" x14ac:dyDescent="0.25">
      <c r="A2" s="71" t="s">
        <v>3607</v>
      </c>
      <c r="B2" s="71"/>
      <c r="C2" s="71"/>
      <c r="D2" s="71"/>
      <c r="E2" s="71"/>
      <c r="F2" s="71"/>
      <c r="G2" s="71"/>
      <c r="H2" s="71"/>
      <c r="I2" s="71"/>
      <c r="J2" s="71"/>
      <c r="K2" s="71"/>
      <c r="L2" s="71"/>
      <c r="M2" s="71"/>
      <c r="N2" s="71"/>
      <c r="O2" s="71"/>
      <c r="P2" s="71"/>
      <c r="Q2" s="71"/>
      <c r="R2" s="71"/>
      <c r="S2" s="71"/>
      <c r="T2" s="71"/>
      <c r="U2" s="71"/>
    </row>
    <row r="3" spans="1:21" ht="21.75" thickBot="1" x14ac:dyDescent="0.4">
      <c r="A3" s="72" t="s">
        <v>163</v>
      </c>
      <c r="B3" s="72" t="s">
        <v>162</v>
      </c>
      <c r="C3" s="72" t="s">
        <v>161</v>
      </c>
      <c r="D3" s="72" t="s">
        <v>159</v>
      </c>
      <c r="E3" s="72" t="s">
        <v>158</v>
      </c>
      <c r="F3" s="72" t="s">
        <v>160</v>
      </c>
      <c r="G3" s="72" t="s">
        <v>157</v>
      </c>
    </row>
    <row r="4" spans="1:21" x14ac:dyDescent="0.25">
      <c r="E4" s="1" t="str">
        <f>IF(B4="","No data given",IF(F4&lt;=D4,"Pass",IF(F4&lt;=(D4+C4),"No Impact","Fail")))</f>
        <v>No data given</v>
      </c>
      <c r="F4" s="36" t="str">
        <f>IF(B4="","No data given",ABS(A4-B4))</f>
        <v>No data given</v>
      </c>
      <c r="G4" s="73" t="str">
        <f>IF(B4="","No data given",IF(E4&lt;&gt;"Fail",0,F4/A4))</f>
        <v>No data given</v>
      </c>
      <c r="I4" s="74" t="s">
        <v>156</v>
      </c>
      <c r="J4" s="75">
        <f>_xlfn.MAXIFS(G4:G402,E4:E402,"Fail")</f>
        <v>0</v>
      </c>
      <c r="K4" s="76"/>
    </row>
    <row r="5" spans="1:21" x14ac:dyDescent="0.25">
      <c r="E5" s="1" t="str">
        <f t="shared" ref="E5:E68" si="0">IF(B5="","No data given",IF(F5&lt;=D5,"Pass",IF(F5&lt;=(D5+C5),"No Impact","Fail")))</f>
        <v>No data given</v>
      </c>
      <c r="F5" s="36" t="str">
        <f>IF(B5="","No data given",ABS(A5-B5))</f>
        <v>No data given</v>
      </c>
      <c r="G5" s="73" t="str">
        <f>IF(B5="","No data given",IF(E5&lt;&gt;"Fail",0,F5/A5))</f>
        <v>No data given</v>
      </c>
      <c r="I5" s="77" t="s">
        <v>155</v>
      </c>
      <c r="J5" s="37" t="s">
        <v>154</v>
      </c>
      <c r="K5" s="78" t="s">
        <v>153</v>
      </c>
    </row>
    <row r="6" spans="1:21" ht="15.75" thickBot="1" x14ac:dyDescent="0.3">
      <c r="E6" s="1" t="str">
        <f t="shared" si="0"/>
        <v>No data given</v>
      </c>
      <c r="F6" s="36" t="str">
        <f t="shared" ref="F6:F69" si="1">IF(B6="","No data given",ABS(A6-B6))</f>
        <v>No data given</v>
      </c>
      <c r="G6" s="73" t="str">
        <f>IF(B6="","No data given",IF(E6&lt;&gt;"Fail",0,F6/A6))</f>
        <v>No data given</v>
      </c>
      <c r="I6" s="79" t="str" cm="1">
        <f t="array" ref="I6">IFERROR(INDEX(A4:G402,_xlfn.XMATCH(J4,G4:G402,0),1),"No data")</f>
        <v>No data</v>
      </c>
      <c r="J6" s="80" t="str" cm="1">
        <f t="array" ref="J6">IFERROR(INDEX(A4:G402,_xlfn.XMATCH(J4,G4:G402,0),2),"No data")</f>
        <v>No data</v>
      </c>
      <c r="K6" s="81" t="str" cm="1">
        <f t="array" ref="K6">IFERROR(INDEX(A4:G402,_xlfn.XMATCH(J4,G4:G402,0),3),"No data")</f>
        <v>No data</v>
      </c>
    </row>
    <row r="7" spans="1:21" x14ac:dyDescent="0.25">
      <c r="E7" s="1" t="str">
        <f t="shared" si="0"/>
        <v>No data given</v>
      </c>
      <c r="F7" s="36" t="str">
        <f t="shared" si="1"/>
        <v>No data given</v>
      </c>
      <c r="G7" s="73" t="str">
        <f t="shared" ref="G7:G70" si="2">IF(B7="","No data given",IF(E7&lt;&gt;"Fail",0,F7/A7))</f>
        <v>No data given</v>
      </c>
    </row>
    <row r="8" spans="1:21" x14ac:dyDescent="0.25">
      <c r="E8" s="1" t="str">
        <f t="shared" si="0"/>
        <v>No data given</v>
      </c>
      <c r="F8" s="36" t="str">
        <f t="shared" si="1"/>
        <v>No data given</v>
      </c>
      <c r="G8" s="73" t="str">
        <f t="shared" si="2"/>
        <v>No data given</v>
      </c>
    </row>
    <row r="9" spans="1:21" x14ac:dyDescent="0.25">
      <c r="E9" s="1" t="str">
        <f t="shared" si="0"/>
        <v>No data given</v>
      </c>
      <c r="F9" s="36" t="str">
        <f t="shared" si="1"/>
        <v>No data given</v>
      </c>
      <c r="G9" s="73" t="str">
        <f t="shared" si="2"/>
        <v>No data given</v>
      </c>
    </row>
    <row r="10" spans="1:21" x14ac:dyDescent="0.25">
      <c r="E10" s="1" t="str">
        <f t="shared" si="0"/>
        <v>No data given</v>
      </c>
      <c r="F10" s="36" t="str">
        <f t="shared" si="1"/>
        <v>No data given</v>
      </c>
      <c r="G10" s="73" t="str">
        <f t="shared" si="2"/>
        <v>No data given</v>
      </c>
    </row>
    <row r="11" spans="1:21" x14ac:dyDescent="0.25">
      <c r="E11" s="1" t="str">
        <f t="shared" si="0"/>
        <v>No data given</v>
      </c>
      <c r="F11" s="36" t="str">
        <f t="shared" si="1"/>
        <v>No data given</v>
      </c>
      <c r="G11" s="73" t="str">
        <f t="shared" si="2"/>
        <v>No data given</v>
      </c>
    </row>
    <row r="12" spans="1:21" ht="15.75" x14ac:dyDescent="0.25">
      <c r="E12" s="1" t="str">
        <f t="shared" si="0"/>
        <v>No data given</v>
      </c>
      <c r="F12" s="36" t="str">
        <f t="shared" si="1"/>
        <v>No data given</v>
      </c>
      <c r="G12" s="73" t="str">
        <f t="shared" si="2"/>
        <v>No data given</v>
      </c>
      <c r="I12" s="82"/>
      <c r="J12" s="82"/>
      <c r="K12" s="82"/>
      <c r="L12" s="82"/>
      <c r="M12" s="82"/>
      <c r="N12" s="82"/>
      <c r="O12" s="82"/>
      <c r="P12" s="82"/>
      <c r="Q12" s="82"/>
    </row>
    <row r="13" spans="1:21" x14ac:dyDescent="0.25">
      <c r="E13" s="1" t="str">
        <f t="shared" si="0"/>
        <v>No data given</v>
      </c>
      <c r="F13" s="36" t="str">
        <f t="shared" si="1"/>
        <v>No data given</v>
      </c>
      <c r="G13" s="73" t="str">
        <f t="shared" si="2"/>
        <v>No data given</v>
      </c>
    </row>
    <row r="14" spans="1:21" x14ac:dyDescent="0.25">
      <c r="E14" s="1" t="str">
        <f t="shared" si="0"/>
        <v>No data given</v>
      </c>
      <c r="F14" s="36" t="str">
        <f t="shared" si="1"/>
        <v>No data given</v>
      </c>
      <c r="G14" s="73" t="str">
        <f t="shared" si="2"/>
        <v>No data given</v>
      </c>
    </row>
    <row r="15" spans="1:21" x14ac:dyDescent="0.25">
      <c r="E15" s="1" t="str">
        <f t="shared" si="0"/>
        <v>No data given</v>
      </c>
      <c r="F15" s="36" t="str">
        <f t="shared" si="1"/>
        <v>No data given</v>
      </c>
      <c r="G15" s="73" t="str">
        <f t="shared" si="2"/>
        <v>No data given</v>
      </c>
    </row>
    <row r="16" spans="1:21" x14ac:dyDescent="0.25">
      <c r="E16" s="1" t="str">
        <f t="shared" si="0"/>
        <v>No data given</v>
      </c>
      <c r="F16" s="36" t="str">
        <f t="shared" si="1"/>
        <v>No data given</v>
      </c>
      <c r="G16" s="73" t="str">
        <f t="shared" si="2"/>
        <v>No data given</v>
      </c>
    </row>
    <row r="17" spans="5:7" x14ac:dyDescent="0.25">
      <c r="E17" s="1" t="str">
        <f t="shared" si="0"/>
        <v>No data given</v>
      </c>
      <c r="F17" s="36" t="str">
        <f t="shared" si="1"/>
        <v>No data given</v>
      </c>
      <c r="G17" s="73" t="str">
        <f t="shared" si="2"/>
        <v>No data given</v>
      </c>
    </row>
    <row r="18" spans="5:7" x14ac:dyDescent="0.25">
      <c r="E18" s="1" t="str">
        <f t="shared" si="0"/>
        <v>No data given</v>
      </c>
      <c r="F18" s="36" t="str">
        <f t="shared" si="1"/>
        <v>No data given</v>
      </c>
      <c r="G18" s="73" t="str">
        <f t="shared" si="2"/>
        <v>No data given</v>
      </c>
    </row>
    <row r="19" spans="5:7" x14ac:dyDescent="0.25">
      <c r="E19" s="1" t="str">
        <f t="shared" si="0"/>
        <v>No data given</v>
      </c>
      <c r="F19" s="36" t="str">
        <f t="shared" si="1"/>
        <v>No data given</v>
      </c>
      <c r="G19" s="73" t="str">
        <f t="shared" si="2"/>
        <v>No data given</v>
      </c>
    </row>
    <row r="20" spans="5:7" x14ac:dyDescent="0.25">
      <c r="E20" s="1" t="str">
        <f t="shared" si="0"/>
        <v>No data given</v>
      </c>
      <c r="F20" s="36" t="str">
        <f t="shared" si="1"/>
        <v>No data given</v>
      </c>
      <c r="G20" s="73" t="str">
        <f t="shared" si="2"/>
        <v>No data given</v>
      </c>
    </row>
    <row r="21" spans="5:7" x14ac:dyDescent="0.25">
      <c r="E21" s="1" t="str">
        <f t="shared" si="0"/>
        <v>No data given</v>
      </c>
      <c r="F21" s="36" t="str">
        <f t="shared" si="1"/>
        <v>No data given</v>
      </c>
      <c r="G21" s="73" t="str">
        <f t="shared" si="2"/>
        <v>No data given</v>
      </c>
    </row>
    <row r="22" spans="5:7" x14ac:dyDescent="0.25">
      <c r="E22" s="1" t="str">
        <f t="shared" si="0"/>
        <v>No data given</v>
      </c>
      <c r="F22" s="36" t="str">
        <f t="shared" si="1"/>
        <v>No data given</v>
      </c>
      <c r="G22" s="73" t="str">
        <f t="shared" si="2"/>
        <v>No data given</v>
      </c>
    </row>
    <row r="23" spans="5:7" x14ac:dyDescent="0.25">
      <c r="E23" s="1" t="str">
        <f t="shared" si="0"/>
        <v>No data given</v>
      </c>
      <c r="F23" s="36" t="str">
        <f t="shared" si="1"/>
        <v>No data given</v>
      </c>
      <c r="G23" s="73" t="str">
        <f t="shared" si="2"/>
        <v>No data given</v>
      </c>
    </row>
    <row r="24" spans="5:7" x14ac:dyDescent="0.25">
      <c r="E24" s="1" t="str">
        <f t="shared" si="0"/>
        <v>No data given</v>
      </c>
      <c r="F24" s="36" t="str">
        <f t="shared" si="1"/>
        <v>No data given</v>
      </c>
      <c r="G24" s="73" t="str">
        <f t="shared" si="2"/>
        <v>No data given</v>
      </c>
    </row>
    <row r="25" spans="5:7" x14ac:dyDescent="0.25">
      <c r="E25" s="1" t="str">
        <f t="shared" si="0"/>
        <v>No data given</v>
      </c>
      <c r="F25" s="36" t="str">
        <f t="shared" si="1"/>
        <v>No data given</v>
      </c>
      <c r="G25" s="73" t="str">
        <f t="shared" si="2"/>
        <v>No data given</v>
      </c>
    </row>
    <row r="26" spans="5:7" x14ac:dyDescent="0.25">
      <c r="E26" s="1" t="str">
        <f t="shared" si="0"/>
        <v>No data given</v>
      </c>
      <c r="F26" s="36" t="str">
        <f t="shared" si="1"/>
        <v>No data given</v>
      </c>
      <c r="G26" s="73" t="str">
        <f t="shared" si="2"/>
        <v>No data given</v>
      </c>
    </row>
    <row r="27" spans="5:7" x14ac:dyDescent="0.25">
      <c r="E27" s="1" t="str">
        <f t="shared" si="0"/>
        <v>No data given</v>
      </c>
      <c r="F27" s="36" t="str">
        <f t="shared" si="1"/>
        <v>No data given</v>
      </c>
      <c r="G27" s="73" t="str">
        <f t="shared" si="2"/>
        <v>No data given</v>
      </c>
    </row>
    <row r="28" spans="5:7" x14ac:dyDescent="0.25">
      <c r="E28" s="1" t="str">
        <f t="shared" si="0"/>
        <v>No data given</v>
      </c>
      <c r="F28" s="36" t="str">
        <f t="shared" si="1"/>
        <v>No data given</v>
      </c>
      <c r="G28" s="73" t="str">
        <f t="shared" si="2"/>
        <v>No data given</v>
      </c>
    </row>
    <row r="29" spans="5:7" x14ac:dyDescent="0.25">
      <c r="E29" s="1" t="str">
        <f t="shared" si="0"/>
        <v>No data given</v>
      </c>
      <c r="F29" s="36" t="str">
        <f t="shared" si="1"/>
        <v>No data given</v>
      </c>
      <c r="G29" s="73" t="str">
        <f t="shared" si="2"/>
        <v>No data given</v>
      </c>
    </row>
    <row r="30" spans="5:7" x14ac:dyDescent="0.25">
      <c r="E30" s="1" t="str">
        <f t="shared" si="0"/>
        <v>No data given</v>
      </c>
      <c r="F30" s="36" t="str">
        <f t="shared" si="1"/>
        <v>No data given</v>
      </c>
      <c r="G30" s="73" t="str">
        <f t="shared" si="2"/>
        <v>No data given</v>
      </c>
    </row>
    <row r="31" spans="5:7" x14ac:dyDescent="0.25">
      <c r="E31" s="1" t="str">
        <f t="shared" si="0"/>
        <v>No data given</v>
      </c>
      <c r="F31" s="36" t="str">
        <f t="shared" si="1"/>
        <v>No data given</v>
      </c>
      <c r="G31" s="73" t="str">
        <f t="shared" si="2"/>
        <v>No data given</v>
      </c>
    </row>
    <row r="32" spans="5:7" x14ac:dyDescent="0.25">
      <c r="E32" s="1" t="str">
        <f t="shared" si="0"/>
        <v>No data given</v>
      </c>
      <c r="F32" s="36" t="str">
        <f t="shared" si="1"/>
        <v>No data given</v>
      </c>
      <c r="G32" s="73" t="str">
        <f t="shared" si="2"/>
        <v>No data given</v>
      </c>
    </row>
    <row r="33" spans="5:7" x14ac:dyDescent="0.25">
      <c r="E33" s="1" t="str">
        <f t="shared" si="0"/>
        <v>No data given</v>
      </c>
      <c r="F33" s="36" t="str">
        <f t="shared" si="1"/>
        <v>No data given</v>
      </c>
      <c r="G33" s="73" t="str">
        <f t="shared" si="2"/>
        <v>No data given</v>
      </c>
    </row>
    <row r="34" spans="5:7" x14ac:dyDescent="0.25">
      <c r="E34" s="1" t="str">
        <f t="shared" si="0"/>
        <v>No data given</v>
      </c>
      <c r="F34" s="36" t="str">
        <f t="shared" si="1"/>
        <v>No data given</v>
      </c>
      <c r="G34" s="73" t="str">
        <f t="shared" si="2"/>
        <v>No data given</v>
      </c>
    </row>
    <row r="35" spans="5:7" x14ac:dyDescent="0.25">
      <c r="E35" s="1" t="str">
        <f t="shared" si="0"/>
        <v>No data given</v>
      </c>
      <c r="F35" s="36" t="str">
        <f t="shared" si="1"/>
        <v>No data given</v>
      </c>
      <c r="G35" s="73" t="str">
        <f t="shared" si="2"/>
        <v>No data given</v>
      </c>
    </row>
    <row r="36" spans="5:7" x14ac:dyDescent="0.25">
      <c r="E36" s="1" t="str">
        <f t="shared" si="0"/>
        <v>No data given</v>
      </c>
      <c r="F36" s="36" t="str">
        <f t="shared" si="1"/>
        <v>No data given</v>
      </c>
      <c r="G36" s="73" t="str">
        <f t="shared" si="2"/>
        <v>No data given</v>
      </c>
    </row>
    <row r="37" spans="5:7" x14ac:dyDescent="0.25">
      <c r="E37" s="1" t="str">
        <f t="shared" si="0"/>
        <v>No data given</v>
      </c>
      <c r="F37" s="36" t="str">
        <f t="shared" si="1"/>
        <v>No data given</v>
      </c>
      <c r="G37" s="73" t="str">
        <f t="shared" si="2"/>
        <v>No data given</v>
      </c>
    </row>
    <row r="38" spans="5:7" x14ac:dyDescent="0.25">
      <c r="E38" s="1" t="str">
        <f t="shared" si="0"/>
        <v>No data given</v>
      </c>
      <c r="F38" s="36" t="str">
        <f t="shared" si="1"/>
        <v>No data given</v>
      </c>
      <c r="G38" s="73" t="str">
        <f t="shared" si="2"/>
        <v>No data given</v>
      </c>
    </row>
    <row r="39" spans="5:7" x14ac:dyDescent="0.25">
      <c r="E39" s="1" t="str">
        <f t="shared" si="0"/>
        <v>No data given</v>
      </c>
      <c r="F39" s="36" t="str">
        <f t="shared" si="1"/>
        <v>No data given</v>
      </c>
      <c r="G39" s="73" t="str">
        <f t="shared" si="2"/>
        <v>No data given</v>
      </c>
    </row>
    <row r="40" spans="5:7" x14ac:dyDescent="0.25">
      <c r="E40" s="1" t="str">
        <f t="shared" si="0"/>
        <v>No data given</v>
      </c>
      <c r="F40" s="36" t="str">
        <f t="shared" si="1"/>
        <v>No data given</v>
      </c>
      <c r="G40" s="73" t="str">
        <f t="shared" si="2"/>
        <v>No data given</v>
      </c>
    </row>
    <row r="41" spans="5:7" x14ac:dyDescent="0.25">
      <c r="E41" s="1" t="str">
        <f t="shared" si="0"/>
        <v>No data given</v>
      </c>
      <c r="F41" s="36" t="str">
        <f t="shared" si="1"/>
        <v>No data given</v>
      </c>
      <c r="G41" s="73" t="str">
        <f t="shared" si="2"/>
        <v>No data given</v>
      </c>
    </row>
    <row r="42" spans="5:7" x14ac:dyDescent="0.25">
      <c r="E42" s="1" t="str">
        <f t="shared" si="0"/>
        <v>No data given</v>
      </c>
      <c r="F42" s="36" t="str">
        <f t="shared" si="1"/>
        <v>No data given</v>
      </c>
      <c r="G42" s="73" t="str">
        <f t="shared" si="2"/>
        <v>No data given</v>
      </c>
    </row>
    <row r="43" spans="5:7" x14ac:dyDescent="0.25">
      <c r="E43" s="1" t="str">
        <f t="shared" si="0"/>
        <v>No data given</v>
      </c>
      <c r="F43" s="36" t="str">
        <f t="shared" si="1"/>
        <v>No data given</v>
      </c>
      <c r="G43" s="73" t="str">
        <f t="shared" si="2"/>
        <v>No data given</v>
      </c>
    </row>
    <row r="44" spans="5:7" x14ac:dyDescent="0.25">
      <c r="E44" s="1" t="str">
        <f t="shared" si="0"/>
        <v>No data given</v>
      </c>
      <c r="F44" s="36" t="str">
        <f t="shared" si="1"/>
        <v>No data given</v>
      </c>
      <c r="G44" s="73" t="str">
        <f t="shared" si="2"/>
        <v>No data given</v>
      </c>
    </row>
    <row r="45" spans="5:7" x14ac:dyDescent="0.25">
      <c r="E45" s="1" t="str">
        <f t="shared" si="0"/>
        <v>No data given</v>
      </c>
      <c r="F45" s="36" t="str">
        <f t="shared" si="1"/>
        <v>No data given</v>
      </c>
      <c r="G45" s="73" t="str">
        <f t="shared" si="2"/>
        <v>No data given</v>
      </c>
    </row>
    <row r="46" spans="5:7" x14ac:dyDescent="0.25">
      <c r="E46" s="1" t="str">
        <f t="shared" si="0"/>
        <v>No data given</v>
      </c>
      <c r="F46" s="36" t="str">
        <f t="shared" si="1"/>
        <v>No data given</v>
      </c>
      <c r="G46" s="73" t="str">
        <f t="shared" si="2"/>
        <v>No data given</v>
      </c>
    </row>
    <row r="47" spans="5:7" x14ac:dyDescent="0.25">
      <c r="E47" s="1" t="str">
        <f t="shared" si="0"/>
        <v>No data given</v>
      </c>
      <c r="F47" s="36" t="str">
        <f t="shared" si="1"/>
        <v>No data given</v>
      </c>
      <c r="G47" s="73" t="str">
        <f t="shared" si="2"/>
        <v>No data given</v>
      </c>
    </row>
    <row r="48" spans="5:7" x14ac:dyDescent="0.25">
      <c r="E48" s="1" t="str">
        <f t="shared" si="0"/>
        <v>No data given</v>
      </c>
      <c r="F48" s="36" t="str">
        <f t="shared" si="1"/>
        <v>No data given</v>
      </c>
      <c r="G48" s="73" t="str">
        <f t="shared" si="2"/>
        <v>No data given</v>
      </c>
    </row>
    <row r="49" spans="5:7" x14ac:dyDescent="0.25">
      <c r="E49" s="1" t="str">
        <f t="shared" si="0"/>
        <v>No data given</v>
      </c>
      <c r="F49" s="36" t="str">
        <f t="shared" si="1"/>
        <v>No data given</v>
      </c>
      <c r="G49" s="73" t="str">
        <f t="shared" si="2"/>
        <v>No data given</v>
      </c>
    </row>
    <row r="50" spans="5:7" x14ac:dyDescent="0.25">
      <c r="E50" s="1" t="str">
        <f t="shared" si="0"/>
        <v>No data given</v>
      </c>
      <c r="F50" s="36" t="str">
        <f t="shared" si="1"/>
        <v>No data given</v>
      </c>
      <c r="G50" s="73" t="str">
        <f t="shared" si="2"/>
        <v>No data given</v>
      </c>
    </row>
    <row r="51" spans="5:7" x14ac:dyDescent="0.25">
      <c r="E51" s="1" t="str">
        <f t="shared" si="0"/>
        <v>No data given</v>
      </c>
      <c r="F51" s="36" t="str">
        <f t="shared" si="1"/>
        <v>No data given</v>
      </c>
      <c r="G51" s="73" t="str">
        <f t="shared" si="2"/>
        <v>No data given</v>
      </c>
    </row>
    <row r="52" spans="5:7" x14ac:dyDescent="0.25">
      <c r="E52" s="1" t="str">
        <f t="shared" si="0"/>
        <v>No data given</v>
      </c>
      <c r="F52" s="36" t="str">
        <f t="shared" si="1"/>
        <v>No data given</v>
      </c>
      <c r="G52" s="73" t="str">
        <f t="shared" si="2"/>
        <v>No data given</v>
      </c>
    </row>
    <row r="53" spans="5:7" x14ac:dyDescent="0.25">
      <c r="E53" s="1" t="str">
        <f t="shared" si="0"/>
        <v>No data given</v>
      </c>
      <c r="F53" s="36" t="str">
        <f t="shared" si="1"/>
        <v>No data given</v>
      </c>
      <c r="G53" s="73" t="str">
        <f t="shared" si="2"/>
        <v>No data given</v>
      </c>
    </row>
    <row r="54" spans="5:7" x14ac:dyDescent="0.25">
      <c r="E54" s="1" t="str">
        <f t="shared" si="0"/>
        <v>No data given</v>
      </c>
      <c r="F54" s="36" t="str">
        <f t="shared" si="1"/>
        <v>No data given</v>
      </c>
      <c r="G54" s="73" t="str">
        <f t="shared" si="2"/>
        <v>No data given</v>
      </c>
    </row>
    <row r="55" spans="5:7" x14ac:dyDescent="0.25">
      <c r="E55" s="1" t="str">
        <f t="shared" si="0"/>
        <v>No data given</v>
      </c>
      <c r="F55" s="36" t="str">
        <f t="shared" si="1"/>
        <v>No data given</v>
      </c>
      <c r="G55" s="73" t="str">
        <f t="shared" si="2"/>
        <v>No data given</v>
      </c>
    </row>
    <row r="56" spans="5:7" x14ac:dyDescent="0.25">
      <c r="E56" s="1" t="str">
        <f t="shared" si="0"/>
        <v>No data given</v>
      </c>
      <c r="F56" s="36" t="str">
        <f t="shared" si="1"/>
        <v>No data given</v>
      </c>
      <c r="G56" s="73" t="str">
        <f t="shared" si="2"/>
        <v>No data given</v>
      </c>
    </row>
    <row r="57" spans="5:7" x14ac:dyDescent="0.25">
      <c r="E57" s="1" t="str">
        <f t="shared" si="0"/>
        <v>No data given</v>
      </c>
      <c r="F57" s="36" t="str">
        <f t="shared" si="1"/>
        <v>No data given</v>
      </c>
      <c r="G57" s="73" t="str">
        <f t="shared" si="2"/>
        <v>No data given</v>
      </c>
    </row>
    <row r="58" spans="5:7" x14ac:dyDescent="0.25">
      <c r="E58" s="1" t="str">
        <f t="shared" si="0"/>
        <v>No data given</v>
      </c>
      <c r="F58" s="36" t="str">
        <f t="shared" si="1"/>
        <v>No data given</v>
      </c>
      <c r="G58" s="73" t="str">
        <f t="shared" si="2"/>
        <v>No data given</v>
      </c>
    </row>
    <row r="59" spans="5:7" x14ac:dyDescent="0.25">
      <c r="E59" s="1" t="str">
        <f t="shared" si="0"/>
        <v>No data given</v>
      </c>
      <c r="F59" s="36" t="str">
        <f t="shared" si="1"/>
        <v>No data given</v>
      </c>
      <c r="G59" s="73" t="str">
        <f t="shared" si="2"/>
        <v>No data given</v>
      </c>
    </row>
    <row r="60" spans="5:7" x14ac:dyDescent="0.25">
      <c r="E60" s="1" t="str">
        <f t="shared" si="0"/>
        <v>No data given</v>
      </c>
      <c r="F60" s="36" t="str">
        <f t="shared" si="1"/>
        <v>No data given</v>
      </c>
      <c r="G60" s="73" t="str">
        <f t="shared" si="2"/>
        <v>No data given</v>
      </c>
    </row>
    <row r="61" spans="5:7" x14ac:dyDescent="0.25">
      <c r="E61" s="1" t="str">
        <f t="shared" si="0"/>
        <v>No data given</v>
      </c>
      <c r="F61" s="36" t="str">
        <f t="shared" si="1"/>
        <v>No data given</v>
      </c>
      <c r="G61" s="73" t="str">
        <f t="shared" si="2"/>
        <v>No data given</v>
      </c>
    </row>
    <row r="62" spans="5:7" x14ac:dyDescent="0.25">
      <c r="E62" s="1" t="str">
        <f t="shared" si="0"/>
        <v>No data given</v>
      </c>
      <c r="F62" s="36" t="str">
        <f t="shared" si="1"/>
        <v>No data given</v>
      </c>
      <c r="G62" s="73" t="str">
        <f t="shared" si="2"/>
        <v>No data given</v>
      </c>
    </row>
    <row r="63" spans="5:7" x14ac:dyDescent="0.25">
      <c r="E63" s="1" t="str">
        <f t="shared" si="0"/>
        <v>No data given</v>
      </c>
      <c r="F63" s="36" t="str">
        <f t="shared" si="1"/>
        <v>No data given</v>
      </c>
      <c r="G63" s="73" t="str">
        <f t="shared" si="2"/>
        <v>No data given</v>
      </c>
    </row>
    <row r="64" spans="5:7" x14ac:dyDescent="0.25">
      <c r="E64" s="1" t="str">
        <f t="shared" si="0"/>
        <v>No data given</v>
      </c>
      <c r="F64" s="36" t="str">
        <f t="shared" si="1"/>
        <v>No data given</v>
      </c>
      <c r="G64" s="73" t="str">
        <f t="shared" si="2"/>
        <v>No data given</v>
      </c>
    </row>
    <row r="65" spans="5:7" x14ac:dyDescent="0.25">
      <c r="E65" s="1" t="str">
        <f t="shared" si="0"/>
        <v>No data given</v>
      </c>
      <c r="F65" s="36" t="str">
        <f t="shared" si="1"/>
        <v>No data given</v>
      </c>
      <c r="G65" s="73" t="str">
        <f t="shared" si="2"/>
        <v>No data given</v>
      </c>
    </row>
    <row r="66" spans="5:7" x14ac:dyDescent="0.25">
      <c r="E66" s="1" t="str">
        <f t="shared" si="0"/>
        <v>No data given</v>
      </c>
      <c r="F66" s="36" t="str">
        <f t="shared" si="1"/>
        <v>No data given</v>
      </c>
      <c r="G66" s="73" t="str">
        <f t="shared" si="2"/>
        <v>No data given</v>
      </c>
    </row>
    <row r="67" spans="5:7" x14ac:dyDescent="0.25">
      <c r="E67" s="1" t="str">
        <f t="shared" si="0"/>
        <v>No data given</v>
      </c>
      <c r="F67" s="36" t="str">
        <f t="shared" si="1"/>
        <v>No data given</v>
      </c>
      <c r="G67" s="73" t="str">
        <f t="shared" si="2"/>
        <v>No data given</v>
      </c>
    </row>
    <row r="68" spans="5:7" x14ac:dyDescent="0.25">
      <c r="E68" s="1" t="str">
        <f t="shared" si="0"/>
        <v>No data given</v>
      </c>
      <c r="F68" s="36" t="str">
        <f t="shared" si="1"/>
        <v>No data given</v>
      </c>
      <c r="G68" s="73" t="str">
        <f t="shared" si="2"/>
        <v>No data given</v>
      </c>
    </row>
    <row r="69" spans="5:7" x14ac:dyDescent="0.25">
      <c r="E69" s="1" t="str">
        <f t="shared" ref="E69:E132" si="3">IF(B69="","No data given",IF(F69&lt;=D69,"Pass",IF(F69&lt;=(D69+C69),"No Impact","Fail")))</f>
        <v>No data given</v>
      </c>
      <c r="F69" s="36" t="str">
        <f t="shared" si="1"/>
        <v>No data given</v>
      </c>
      <c r="G69" s="73" t="str">
        <f t="shared" si="2"/>
        <v>No data given</v>
      </c>
    </row>
    <row r="70" spans="5:7" x14ac:dyDescent="0.25">
      <c r="E70" s="1" t="str">
        <f t="shared" si="3"/>
        <v>No data given</v>
      </c>
      <c r="F70" s="36" t="str">
        <f t="shared" ref="F70:F133" si="4">IF(B70="","No data given",ABS(A70-B70))</f>
        <v>No data given</v>
      </c>
      <c r="G70" s="73" t="str">
        <f t="shared" si="2"/>
        <v>No data given</v>
      </c>
    </row>
    <row r="71" spans="5:7" x14ac:dyDescent="0.25">
      <c r="E71" s="1" t="str">
        <f t="shared" si="3"/>
        <v>No data given</v>
      </c>
      <c r="F71" s="36" t="str">
        <f t="shared" si="4"/>
        <v>No data given</v>
      </c>
      <c r="G71" s="73" t="str">
        <f t="shared" ref="G71:G134" si="5">IF(B71="","No data given",IF(E71&lt;&gt;"Fail",0,F71/A71))</f>
        <v>No data given</v>
      </c>
    </row>
    <row r="72" spans="5:7" x14ac:dyDescent="0.25">
      <c r="E72" s="1" t="str">
        <f t="shared" si="3"/>
        <v>No data given</v>
      </c>
      <c r="F72" s="36" t="str">
        <f t="shared" si="4"/>
        <v>No data given</v>
      </c>
      <c r="G72" s="73" t="str">
        <f t="shared" si="5"/>
        <v>No data given</v>
      </c>
    </row>
    <row r="73" spans="5:7" x14ac:dyDescent="0.25">
      <c r="E73" s="1" t="str">
        <f t="shared" si="3"/>
        <v>No data given</v>
      </c>
      <c r="F73" s="36" t="str">
        <f t="shared" si="4"/>
        <v>No data given</v>
      </c>
      <c r="G73" s="73" t="str">
        <f t="shared" si="5"/>
        <v>No data given</v>
      </c>
    </row>
    <row r="74" spans="5:7" x14ac:dyDescent="0.25">
      <c r="E74" s="1" t="str">
        <f t="shared" si="3"/>
        <v>No data given</v>
      </c>
      <c r="F74" s="36" t="str">
        <f t="shared" si="4"/>
        <v>No data given</v>
      </c>
      <c r="G74" s="73" t="str">
        <f t="shared" si="5"/>
        <v>No data given</v>
      </c>
    </row>
    <row r="75" spans="5:7" x14ac:dyDescent="0.25">
      <c r="E75" s="1" t="str">
        <f t="shared" si="3"/>
        <v>No data given</v>
      </c>
      <c r="F75" s="36" t="str">
        <f t="shared" si="4"/>
        <v>No data given</v>
      </c>
      <c r="G75" s="73" t="str">
        <f t="shared" si="5"/>
        <v>No data given</v>
      </c>
    </row>
    <row r="76" spans="5:7" x14ac:dyDescent="0.25">
      <c r="E76" s="1" t="str">
        <f t="shared" si="3"/>
        <v>No data given</v>
      </c>
      <c r="F76" s="36" t="str">
        <f t="shared" si="4"/>
        <v>No data given</v>
      </c>
      <c r="G76" s="73" t="str">
        <f t="shared" si="5"/>
        <v>No data given</v>
      </c>
    </row>
    <row r="77" spans="5:7" x14ac:dyDescent="0.25">
      <c r="E77" s="1" t="str">
        <f t="shared" si="3"/>
        <v>No data given</v>
      </c>
      <c r="F77" s="36" t="str">
        <f t="shared" si="4"/>
        <v>No data given</v>
      </c>
      <c r="G77" s="73" t="str">
        <f t="shared" si="5"/>
        <v>No data given</v>
      </c>
    </row>
    <row r="78" spans="5:7" x14ac:dyDescent="0.25">
      <c r="E78" s="1" t="str">
        <f t="shared" si="3"/>
        <v>No data given</v>
      </c>
      <c r="F78" s="36" t="str">
        <f t="shared" si="4"/>
        <v>No data given</v>
      </c>
      <c r="G78" s="73" t="str">
        <f t="shared" si="5"/>
        <v>No data given</v>
      </c>
    </row>
    <row r="79" spans="5:7" x14ac:dyDescent="0.25">
      <c r="E79" s="1" t="str">
        <f t="shared" si="3"/>
        <v>No data given</v>
      </c>
      <c r="F79" s="36" t="str">
        <f t="shared" si="4"/>
        <v>No data given</v>
      </c>
      <c r="G79" s="73" t="str">
        <f t="shared" si="5"/>
        <v>No data given</v>
      </c>
    </row>
    <row r="80" spans="5:7" x14ac:dyDescent="0.25">
      <c r="E80" s="1" t="str">
        <f t="shared" si="3"/>
        <v>No data given</v>
      </c>
      <c r="F80" s="36" t="str">
        <f t="shared" si="4"/>
        <v>No data given</v>
      </c>
      <c r="G80" s="73" t="str">
        <f t="shared" si="5"/>
        <v>No data given</v>
      </c>
    </row>
    <row r="81" spans="5:7" x14ac:dyDescent="0.25">
      <c r="E81" s="1" t="str">
        <f t="shared" si="3"/>
        <v>No data given</v>
      </c>
      <c r="F81" s="36" t="str">
        <f t="shared" si="4"/>
        <v>No data given</v>
      </c>
      <c r="G81" s="73" t="str">
        <f t="shared" si="5"/>
        <v>No data given</v>
      </c>
    </row>
    <row r="82" spans="5:7" x14ac:dyDescent="0.25">
      <c r="E82" s="1" t="str">
        <f t="shared" si="3"/>
        <v>No data given</v>
      </c>
      <c r="F82" s="36" t="str">
        <f t="shared" si="4"/>
        <v>No data given</v>
      </c>
      <c r="G82" s="73" t="str">
        <f t="shared" si="5"/>
        <v>No data given</v>
      </c>
    </row>
    <row r="83" spans="5:7" x14ac:dyDescent="0.25">
      <c r="E83" s="1" t="str">
        <f t="shared" si="3"/>
        <v>No data given</v>
      </c>
      <c r="F83" s="36" t="str">
        <f t="shared" si="4"/>
        <v>No data given</v>
      </c>
      <c r="G83" s="73" t="str">
        <f t="shared" si="5"/>
        <v>No data given</v>
      </c>
    </row>
    <row r="84" spans="5:7" x14ac:dyDescent="0.25">
      <c r="E84" s="1" t="str">
        <f t="shared" si="3"/>
        <v>No data given</v>
      </c>
      <c r="F84" s="36" t="str">
        <f t="shared" si="4"/>
        <v>No data given</v>
      </c>
      <c r="G84" s="73" t="str">
        <f t="shared" si="5"/>
        <v>No data given</v>
      </c>
    </row>
    <row r="85" spans="5:7" x14ac:dyDescent="0.25">
      <c r="E85" s="1" t="str">
        <f t="shared" si="3"/>
        <v>No data given</v>
      </c>
      <c r="F85" s="36" t="str">
        <f t="shared" si="4"/>
        <v>No data given</v>
      </c>
      <c r="G85" s="73" t="str">
        <f t="shared" si="5"/>
        <v>No data given</v>
      </c>
    </row>
    <row r="86" spans="5:7" x14ac:dyDescent="0.25">
      <c r="E86" s="1" t="str">
        <f t="shared" si="3"/>
        <v>No data given</v>
      </c>
      <c r="F86" s="36" t="str">
        <f t="shared" si="4"/>
        <v>No data given</v>
      </c>
      <c r="G86" s="73" t="str">
        <f t="shared" si="5"/>
        <v>No data given</v>
      </c>
    </row>
    <row r="87" spans="5:7" x14ac:dyDescent="0.25">
      <c r="E87" s="1" t="str">
        <f t="shared" si="3"/>
        <v>No data given</v>
      </c>
      <c r="F87" s="36" t="str">
        <f t="shared" si="4"/>
        <v>No data given</v>
      </c>
      <c r="G87" s="73" t="str">
        <f t="shared" si="5"/>
        <v>No data given</v>
      </c>
    </row>
    <row r="88" spans="5:7" x14ac:dyDescent="0.25">
      <c r="E88" s="1" t="str">
        <f t="shared" si="3"/>
        <v>No data given</v>
      </c>
      <c r="F88" s="36" t="str">
        <f t="shared" si="4"/>
        <v>No data given</v>
      </c>
      <c r="G88" s="73" t="str">
        <f t="shared" si="5"/>
        <v>No data given</v>
      </c>
    </row>
    <row r="89" spans="5:7" x14ac:dyDescent="0.25">
      <c r="E89" s="1" t="str">
        <f t="shared" si="3"/>
        <v>No data given</v>
      </c>
      <c r="F89" s="36" t="str">
        <f t="shared" si="4"/>
        <v>No data given</v>
      </c>
      <c r="G89" s="73" t="str">
        <f t="shared" si="5"/>
        <v>No data given</v>
      </c>
    </row>
    <row r="90" spans="5:7" x14ac:dyDescent="0.25">
      <c r="E90" s="1" t="str">
        <f t="shared" si="3"/>
        <v>No data given</v>
      </c>
      <c r="F90" s="36" t="str">
        <f t="shared" si="4"/>
        <v>No data given</v>
      </c>
      <c r="G90" s="73" t="str">
        <f t="shared" si="5"/>
        <v>No data given</v>
      </c>
    </row>
    <row r="91" spans="5:7" x14ac:dyDescent="0.25">
      <c r="E91" s="1" t="str">
        <f t="shared" si="3"/>
        <v>No data given</v>
      </c>
      <c r="F91" s="36" t="str">
        <f t="shared" si="4"/>
        <v>No data given</v>
      </c>
      <c r="G91" s="73" t="str">
        <f t="shared" si="5"/>
        <v>No data given</v>
      </c>
    </row>
    <row r="92" spans="5:7" x14ac:dyDescent="0.25">
      <c r="E92" s="1" t="str">
        <f t="shared" si="3"/>
        <v>No data given</v>
      </c>
      <c r="F92" s="36" t="str">
        <f t="shared" si="4"/>
        <v>No data given</v>
      </c>
      <c r="G92" s="73" t="str">
        <f t="shared" si="5"/>
        <v>No data given</v>
      </c>
    </row>
    <row r="93" spans="5:7" x14ac:dyDescent="0.25">
      <c r="E93" s="1" t="str">
        <f t="shared" si="3"/>
        <v>No data given</v>
      </c>
      <c r="F93" s="36" t="str">
        <f t="shared" si="4"/>
        <v>No data given</v>
      </c>
      <c r="G93" s="73" t="str">
        <f t="shared" si="5"/>
        <v>No data given</v>
      </c>
    </row>
    <row r="94" spans="5:7" x14ac:dyDescent="0.25">
      <c r="E94" s="1" t="str">
        <f t="shared" si="3"/>
        <v>No data given</v>
      </c>
      <c r="F94" s="36" t="str">
        <f t="shared" si="4"/>
        <v>No data given</v>
      </c>
      <c r="G94" s="73" t="str">
        <f t="shared" si="5"/>
        <v>No data given</v>
      </c>
    </row>
    <row r="95" spans="5:7" x14ac:dyDescent="0.25">
      <c r="E95" s="1" t="str">
        <f t="shared" si="3"/>
        <v>No data given</v>
      </c>
      <c r="F95" s="36" t="str">
        <f t="shared" si="4"/>
        <v>No data given</v>
      </c>
      <c r="G95" s="73" t="str">
        <f t="shared" si="5"/>
        <v>No data given</v>
      </c>
    </row>
    <row r="96" spans="5:7" x14ac:dyDescent="0.25">
      <c r="E96" s="1" t="str">
        <f t="shared" si="3"/>
        <v>No data given</v>
      </c>
      <c r="F96" s="36" t="str">
        <f t="shared" si="4"/>
        <v>No data given</v>
      </c>
      <c r="G96" s="73" t="str">
        <f t="shared" si="5"/>
        <v>No data given</v>
      </c>
    </row>
    <row r="97" spans="5:7" x14ac:dyDescent="0.25">
      <c r="E97" s="1" t="str">
        <f t="shared" si="3"/>
        <v>No data given</v>
      </c>
      <c r="F97" s="36" t="str">
        <f t="shared" si="4"/>
        <v>No data given</v>
      </c>
      <c r="G97" s="73" t="str">
        <f t="shared" si="5"/>
        <v>No data given</v>
      </c>
    </row>
    <row r="98" spans="5:7" x14ac:dyDescent="0.25">
      <c r="E98" s="1" t="str">
        <f t="shared" si="3"/>
        <v>No data given</v>
      </c>
      <c r="F98" s="36" t="str">
        <f t="shared" si="4"/>
        <v>No data given</v>
      </c>
      <c r="G98" s="73" t="str">
        <f t="shared" si="5"/>
        <v>No data given</v>
      </c>
    </row>
    <row r="99" spans="5:7" x14ac:dyDescent="0.25">
      <c r="E99" s="1" t="str">
        <f t="shared" si="3"/>
        <v>No data given</v>
      </c>
      <c r="F99" s="36" t="str">
        <f t="shared" si="4"/>
        <v>No data given</v>
      </c>
      <c r="G99" s="73" t="str">
        <f t="shared" si="5"/>
        <v>No data given</v>
      </c>
    </row>
    <row r="100" spans="5:7" x14ac:dyDescent="0.25">
      <c r="E100" s="1" t="str">
        <f t="shared" si="3"/>
        <v>No data given</v>
      </c>
      <c r="F100" s="36" t="str">
        <f t="shared" si="4"/>
        <v>No data given</v>
      </c>
      <c r="G100" s="73" t="str">
        <f t="shared" si="5"/>
        <v>No data given</v>
      </c>
    </row>
    <row r="101" spans="5:7" x14ac:dyDescent="0.25">
      <c r="E101" s="1" t="str">
        <f t="shared" si="3"/>
        <v>No data given</v>
      </c>
      <c r="F101" s="36" t="str">
        <f t="shared" si="4"/>
        <v>No data given</v>
      </c>
      <c r="G101" s="73" t="str">
        <f t="shared" si="5"/>
        <v>No data given</v>
      </c>
    </row>
    <row r="102" spans="5:7" x14ac:dyDescent="0.25">
      <c r="E102" s="1" t="str">
        <f t="shared" si="3"/>
        <v>No data given</v>
      </c>
      <c r="F102" s="36" t="str">
        <f t="shared" si="4"/>
        <v>No data given</v>
      </c>
      <c r="G102" s="73" t="str">
        <f t="shared" si="5"/>
        <v>No data given</v>
      </c>
    </row>
    <row r="103" spans="5:7" x14ac:dyDescent="0.25">
      <c r="E103" s="1" t="str">
        <f t="shared" si="3"/>
        <v>No data given</v>
      </c>
      <c r="F103" s="36" t="str">
        <f t="shared" si="4"/>
        <v>No data given</v>
      </c>
      <c r="G103" s="73" t="str">
        <f t="shared" si="5"/>
        <v>No data given</v>
      </c>
    </row>
    <row r="104" spans="5:7" x14ac:dyDescent="0.25">
      <c r="E104" s="1" t="str">
        <f t="shared" si="3"/>
        <v>No data given</v>
      </c>
      <c r="F104" s="36" t="str">
        <f t="shared" si="4"/>
        <v>No data given</v>
      </c>
      <c r="G104" s="73" t="str">
        <f t="shared" si="5"/>
        <v>No data given</v>
      </c>
    </row>
    <row r="105" spans="5:7" x14ac:dyDescent="0.25">
      <c r="E105" s="1" t="str">
        <f t="shared" si="3"/>
        <v>No data given</v>
      </c>
      <c r="F105" s="36" t="str">
        <f t="shared" si="4"/>
        <v>No data given</v>
      </c>
      <c r="G105" s="73" t="str">
        <f t="shared" si="5"/>
        <v>No data given</v>
      </c>
    </row>
    <row r="106" spans="5:7" x14ac:dyDescent="0.25">
      <c r="E106" s="1" t="str">
        <f t="shared" si="3"/>
        <v>No data given</v>
      </c>
      <c r="F106" s="36" t="str">
        <f t="shared" si="4"/>
        <v>No data given</v>
      </c>
      <c r="G106" s="73" t="str">
        <f t="shared" si="5"/>
        <v>No data given</v>
      </c>
    </row>
    <row r="107" spans="5:7" x14ac:dyDescent="0.25">
      <c r="E107" s="1" t="str">
        <f t="shared" si="3"/>
        <v>No data given</v>
      </c>
      <c r="F107" s="36" t="str">
        <f t="shared" si="4"/>
        <v>No data given</v>
      </c>
      <c r="G107" s="73" t="str">
        <f t="shared" si="5"/>
        <v>No data given</v>
      </c>
    </row>
    <row r="108" spans="5:7" x14ac:dyDescent="0.25">
      <c r="E108" s="1" t="str">
        <f t="shared" si="3"/>
        <v>No data given</v>
      </c>
      <c r="F108" s="36" t="str">
        <f t="shared" si="4"/>
        <v>No data given</v>
      </c>
      <c r="G108" s="73" t="str">
        <f t="shared" si="5"/>
        <v>No data given</v>
      </c>
    </row>
    <row r="109" spans="5:7" x14ac:dyDescent="0.25">
      <c r="E109" s="1" t="str">
        <f t="shared" si="3"/>
        <v>No data given</v>
      </c>
      <c r="F109" s="36" t="str">
        <f t="shared" si="4"/>
        <v>No data given</v>
      </c>
      <c r="G109" s="73" t="str">
        <f t="shared" si="5"/>
        <v>No data given</v>
      </c>
    </row>
    <row r="110" spans="5:7" x14ac:dyDescent="0.25">
      <c r="E110" s="1" t="str">
        <f t="shared" si="3"/>
        <v>No data given</v>
      </c>
      <c r="F110" s="36" t="str">
        <f t="shared" si="4"/>
        <v>No data given</v>
      </c>
      <c r="G110" s="73" t="str">
        <f t="shared" si="5"/>
        <v>No data given</v>
      </c>
    </row>
    <row r="111" spans="5:7" x14ac:dyDescent="0.25">
      <c r="E111" s="1" t="str">
        <f t="shared" si="3"/>
        <v>No data given</v>
      </c>
      <c r="F111" s="36" t="str">
        <f t="shared" si="4"/>
        <v>No data given</v>
      </c>
      <c r="G111" s="73" t="str">
        <f t="shared" si="5"/>
        <v>No data given</v>
      </c>
    </row>
    <row r="112" spans="5:7" x14ac:dyDescent="0.25">
      <c r="E112" s="1" t="str">
        <f t="shared" si="3"/>
        <v>No data given</v>
      </c>
      <c r="F112" s="36" t="str">
        <f t="shared" si="4"/>
        <v>No data given</v>
      </c>
      <c r="G112" s="73" t="str">
        <f t="shared" si="5"/>
        <v>No data given</v>
      </c>
    </row>
    <row r="113" spans="5:7" x14ac:dyDescent="0.25">
      <c r="E113" s="1" t="str">
        <f t="shared" si="3"/>
        <v>No data given</v>
      </c>
      <c r="F113" s="36" t="str">
        <f t="shared" si="4"/>
        <v>No data given</v>
      </c>
      <c r="G113" s="73" t="str">
        <f t="shared" si="5"/>
        <v>No data given</v>
      </c>
    </row>
    <row r="114" spans="5:7" x14ac:dyDescent="0.25">
      <c r="E114" s="1" t="str">
        <f t="shared" si="3"/>
        <v>No data given</v>
      </c>
      <c r="F114" s="36" t="str">
        <f t="shared" si="4"/>
        <v>No data given</v>
      </c>
      <c r="G114" s="73" t="str">
        <f t="shared" si="5"/>
        <v>No data given</v>
      </c>
    </row>
    <row r="115" spans="5:7" x14ac:dyDescent="0.25">
      <c r="E115" s="1" t="str">
        <f t="shared" si="3"/>
        <v>No data given</v>
      </c>
      <c r="F115" s="36" t="str">
        <f t="shared" si="4"/>
        <v>No data given</v>
      </c>
      <c r="G115" s="73" t="str">
        <f t="shared" si="5"/>
        <v>No data given</v>
      </c>
    </row>
    <row r="116" spans="5:7" x14ac:dyDescent="0.25">
      <c r="E116" s="1" t="str">
        <f t="shared" si="3"/>
        <v>No data given</v>
      </c>
      <c r="F116" s="36" t="str">
        <f t="shared" si="4"/>
        <v>No data given</v>
      </c>
      <c r="G116" s="73" t="str">
        <f t="shared" si="5"/>
        <v>No data given</v>
      </c>
    </row>
    <row r="117" spans="5:7" x14ac:dyDescent="0.25">
      <c r="E117" s="1" t="str">
        <f t="shared" si="3"/>
        <v>No data given</v>
      </c>
      <c r="F117" s="36" t="str">
        <f t="shared" si="4"/>
        <v>No data given</v>
      </c>
      <c r="G117" s="73" t="str">
        <f t="shared" si="5"/>
        <v>No data given</v>
      </c>
    </row>
    <row r="118" spans="5:7" x14ac:dyDescent="0.25">
      <c r="E118" s="1" t="str">
        <f t="shared" si="3"/>
        <v>No data given</v>
      </c>
      <c r="F118" s="36" t="str">
        <f t="shared" si="4"/>
        <v>No data given</v>
      </c>
      <c r="G118" s="73" t="str">
        <f t="shared" si="5"/>
        <v>No data given</v>
      </c>
    </row>
    <row r="119" spans="5:7" x14ac:dyDescent="0.25">
      <c r="E119" s="1" t="str">
        <f t="shared" si="3"/>
        <v>No data given</v>
      </c>
      <c r="F119" s="36" t="str">
        <f t="shared" si="4"/>
        <v>No data given</v>
      </c>
      <c r="G119" s="73" t="str">
        <f t="shared" si="5"/>
        <v>No data given</v>
      </c>
    </row>
    <row r="120" spans="5:7" x14ac:dyDescent="0.25">
      <c r="E120" s="1" t="str">
        <f t="shared" si="3"/>
        <v>No data given</v>
      </c>
      <c r="F120" s="36" t="str">
        <f t="shared" si="4"/>
        <v>No data given</v>
      </c>
      <c r="G120" s="73" t="str">
        <f t="shared" si="5"/>
        <v>No data given</v>
      </c>
    </row>
    <row r="121" spans="5:7" x14ac:dyDescent="0.25">
      <c r="E121" s="1" t="str">
        <f t="shared" si="3"/>
        <v>No data given</v>
      </c>
      <c r="F121" s="36" t="str">
        <f t="shared" si="4"/>
        <v>No data given</v>
      </c>
      <c r="G121" s="73" t="str">
        <f t="shared" si="5"/>
        <v>No data given</v>
      </c>
    </row>
    <row r="122" spans="5:7" x14ac:dyDescent="0.25">
      <c r="E122" s="1" t="str">
        <f t="shared" si="3"/>
        <v>No data given</v>
      </c>
      <c r="F122" s="36" t="str">
        <f t="shared" si="4"/>
        <v>No data given</v>
      </c>
      <c r="G122" s="73" t="str">
        <f t="shared" si="5"/>
        <v>No data given</v>
      </c>
    </row>
    <row r="123" spans="5:7" x14ac:dyDescent="0.25">
      <c r="E123" s="1" t="str">
        <f t="shared" si="3"/>
        <v>No data given</v>
      </c>
      <c r="F123" s="36" t="str">
        <f t="shared" si="4"/>
        <v>No data given</v>
      </c>
      <c r="G123" s="73" t="str">
        <f t="shared" si="5"/>
        <v>No data given</v>
      </c>
    </row>
    <row r="124" spans="5:7" x14ac:dyDescent="0.25">
      <c r="E124" s="1" t="str">
        <f t="shared" si="3"/>
        <v>No data given</v>
      </c>
      <c r="F124" s="36" t="str">
        <f t="shared" si="4"/>
        <v>No data given</v>
      </c>
      <c r="G124" s="73" t="str">
        <f t="shared" si="5"/>
        <v>No data given</v>
      </c>
    </row>
    <row r="125" spans="5:7" x14ac:dyDescent="0.25">
      <c r="E125" s="1" t="str">
        <f t="shared" si="3"/>
        <v>No data given</v>
      </c>
      <c r="F125" s="36" t="str">
        <f t="shared" si="4"/>
        <v>No data given</v>
      </c>
      <c r="G125" s="73" t="str">
        <f t="shared" si="5"/>
        <v>No data given</v>
      </c>
    </row>
    <row r="126" spans="5:7" x14ac:dyDescent="0.25">
      <c r="E126" s="1" t="str">
        <f t="shared" si="3"/>
        <v>No data given</v>
      </c>
      <c r="F126" s="36" t="str">
        <f t="shared" si="4"/>
        <v>No data given</v>
      </c>
      <c r="G126" s="73" t="str">
        <f t="shared" si="5"/>
        <v>No data given</v>
      </c>
    </row>
    <row r="127" spans="5:7" x14ac:dyDescent="0.25">
      <c r="E127" s="1" t="str">
        <f t="shared" si="3"/>
        <v>No data given</v>
      </c>
      <c r="F127" s="36" t="str">
        <f t="shared" si="4"/>
        <v>No data given</v>
      </c>
      <c r="G127" s="73" t="str">
        <f t="shared" si="5"/>
        <v>No data given</v>
      </c>
    </row>
    <row r="128" spans="5:7" x14ac:dyDescent="0.25">
      <c r="E128" s="1" t="str">
        <f t="shared" si="3"/>
        <v>No data given</v>
      </c>
      <c r="F128" s="36" t="str">
        <f t="shared" si="4"/>
        <v>No data given</v>
      </c>
      <c r="G128" s="73" t="str">
        <f t="shared" si="5"/>
        <v>No data given</v>
      </c>
    </row>
    <row r="129" spans="5:7" x14ac:dyDescent="0.25">
      <c r="E129" s="1" t="str">
        <f t="shared" si="3"/>
        <v>No data given</v>
      </c>
      <c r="F129" s="36" t="str">
        <f t="shared" si="4"/>
        <v>No data given</v>
      </c>
      <c r="G129" s="73" t="str">
        <f t="shared" si="5"/>
        <v>No data given</v>
      </c>
    </row>
    <row r="130" spans="5:7" x14ac:dyDescent="0.25">
      <c r="E130" s="1" t="str">
        <f t="shared" si="3"/>
        <v>No data given</v>
      </c>
      <c r="F130" s="36" t="str">
        <f t="shared" si="4"/>
        <v>No data given</v>
      </c>
      <c r="G130" s="73" t="str">
        <f t="shared" si="5"/>
        <v>No data given</v>
      </c>
    </row>
    <row r="131" spans="5:7" x14ac:dyDescent="0.25">
      <c r="E131" s="1" t="str">
        <f t="shared" si="3"/>
        <v>No data given</v>
      </c>
      <c r="F131" s="36" t="str">
        <f t="shared" si="4"/>
        <v>No data given</v>
      </c>
      <c r="G131" s="73" t="str">
        <f t="shared" si="5"/>
        <v>No data given</v>
      </c>
    </row>
    <row r="132" spans="5:7" x14ac:dyDescent="0.25">
      <c r="E132" s="1" t="str">
        <f t="shared" si="3"/>
        <v>No data given</v>
      </c>
      <c r="F132" s="36" t="str">
        <f t="shared" si="4"/>
        <v>No data given</v>
      </c>
      <c r="G132" s="73" t="str">
        <f t="shared" si="5"/>
        <v>No data given</v>
      </c>
    </row>
    <row r="133" spans="5:7" x14ac:dyDescent="0.25">
      <c r="E133" s="1" t="str">
        <f t="shared" ref="E133:E196" si="6">IF(B133="","No data given",IF(F133&lt;=D133,"Pass",IF(F133&lt;=(D133+C133),"No Impact","Fail")))</f>
        <v>No data given</v>
      </c>
      <c r="F133" s="36" t="str">
        <f t="shared" si="4"/>
        <v>No data given</v>
      </c>
      <c r="G133" s="73" t="str">
        <f t="shared" si="5"/>
        <v>No data given</v>
      </c>
    </row>
    <row r="134" spans="5:7" x14ac:dyDescent="0.25">
      <c r="E134" s="1" t="str">
        <f t="shared" si="6"/>
        <v>No data given</v>
      </c>
      <c r="F134" s="36" t="str">
        <f t="shared" ref="F134:F197" si="7">IF(B134="","No data given",ABS(A134-B134))</f>
        <v>No data given</v>
      </c>
      <c r="G134" s="73" t="str">
        <f t="shared" si="5"/>
        <v>No data given</v>
      </c>
    </row>
    <row r="135" spans="5:7" x14ac:dyDescent="0.25">
      <c r="E135" s="1" t="str">
        <f t="shared" si="6"/>
        <v>No data given</v>
      </c>
      <c r="F135" s="36" t="str">
        <f t="shared" si="7"/>
        <v>No data given</v>
      </c>
      <c r="G135" s="73" t="str">
        <f t="shared" ref="G135:G198" si="8">IF(B135="","No data given",IF(E135&lt;&gt;"Fail",0,F135/A135))</f>
        <v>No data given</v>
      </c>
    </row>
    <row r="136" spans="5:7" x14ac:dyDescent="0.25">
      <c r="E136" s="1" t="str">
        <f t="shared" si="6"/>
        <v>No data given</v>
      </c>
      <c r="F136" s="36" t="str">
        <f t="shared" si="7"/>
        <v>No data given</v>
      </c>
      <c r="G136" s="73" t="str">
        <f t="shared" si="8"/>
        <v>No data given</v>
      </c>
    </row>
    <row r="137" spans="5:7" x14ac:dyDescent="0.25">
      <c r="E137" s="1" t="str">
        <f t="shared" si="6"/>
        <v>No data given</v>
      </c>
      <c r="F137" s="36" t="str">
        <f t="shared" si="7"/>
        <v>No data given</v>
      </c>
      <c r="G137" s="73" t="str">
        <f t="shared" si="8"/>
        <v>No data given</v>
      </c>
    </row>
    <row r="138" spans="5:7" x14ac:dyDescent="0.25">
      <c r="E138" s="1" t="str">
        <f t="shared" si="6"/>
        <v>No data given</v>
      </c>
      <c r="F138" s="36" t="str">
        <f t="shared" si="7"/>
        <v>No data given</v>
      </c>
      <c r="G138" s="73" t="str">
        <f t="shared" si="8"/>
        <v>No data given</v>
      </c>
    </row>
    <row r="139" spans="5:7" x14ac:dyDescent="0.25">
      <c r="E139" s="1" t="str">
        <f t="shared" si="6"/>
        <v>No data given</v>
      </c>
      <c r="F139" s="36" t="str">
        <f t="shared" si="7"/>
        <v>No data given</v>
      </c>
      <c r="G139" s="73" t="str">
        <f t="shared" si="8"/>
        <v>No data given</v>
      </c>
    </row>
    <row r="140" spans="5:7" x14ac:dyDescent="0.25">
      <c r="E140" s="1" t="str">
        <f t="shared" si="6"/>
        <v>No data given</v>
      </c>
      <c r="F140" s="36" t="str">
        <f t="shared" si="7"/>
        <v>No data given</v>
      </c>
      <c r="G140" s="73" t="str">
        <f t="shared" si="8"/>
        <v>No data given</v>
      </c>
    </row>
    <row r="141" spans="5:7" x14ac:dyDescent="0.25">
      <c r="E141" s="1" t="str">
        <f t="shared" si="6"/>
        <v>No data given</v>
      </c>
      <c r="F141" s="36" t="str">
        <f t="shared" si="7"/>
        <v>No data given</v>
      </c>
      <c r="G141" s="73" t="str">
        <f t="shared" si="8"/>
        <v>No data given</v>
      </c>
    </row>
    <row r="142" spans="5:7" x14ac:dyDescent="0.25">
      <c r="E142" s="1" t="str">
        <f t="shared" si="6"/>
        <v>No data given</v>
      </c>
      <c r="F142" s="36" t="str">
        <f t="shared" si="7"/>
        <v>No data given</v>
      </c>
      <c r="G142" s="73" t="str">
        <f t="shared" si="8"/>
        <v>No data given</v>
      </c>
    </row>
    <row r="143" spans="5:7" x14ac:dyDescent="0.25">
      <c r="E143" s="1" t="str">
        <f t="shared" si="6"/>
        <v>No data given</v>
      </c>
      <c r="F143" s="36" t="str">
        <f t="shared" si="7"/>
        <v>No data given</v>
      </c>
      <c r="G143" s="73" t="str">
        <f t="shared" si="8"/>
        <v>No data given</v>
      </c>
    </row>
    <row r="144" spans="5:7" x14ac:dyDescent="0.25">
      <c r="E144" s="1" t="str">
        <f t="shared" si="6"/>
        <v>No data given</v>
      </c>
      <c r="F144" s="36" t="str">
        <f t="shared" si="7"/>
        <v>No data given</v>
      </c>
      <c r="G144" s="73" t="str">
        <f t="shared" si="8"/>
        <v>No data given</v>
      </c>
    </row>
    <row r="145" spans="5:7" x14ac:dyDescent="0.25">
      <c r="E145" s="1" t="str">
        <f t="shared" si="6"/>
        <v>No data given</v>
      </c>
      <c r="F145" s="36" t="str">
        <f t="shared" si="7"/>
        <v>No data given</v>
      </c>
      <c r="G145" s="73" t="str">
        <f t="shared" si="8"/>
        <v>No data given</v>
      </c>
    </row>
    <row r="146" spans="5:7" x14ac:dyDescent="0.25">
      <c r="E146" s="1" t="str">
        <f t="shared" si="6"/>
        <v>No data given</v>
      </c>
      <c r="F146" s="36" t="str">
        <f t="shared" si="7"/>
        <v>No data given</v>
      </c>
      <c r="G146" s="73" t="str">
        <f t="shared" si="8"/>
        <v>No data given</v>
      </c>
    </row>
    <row r="147" spans="5:7" x14ac:dyDescent="0.25">
      <c r="E147" s="1" t="str">
        <f t="shared" si="6"/>
        <v>No data given</v>
      </c>
      <c r="F147" s="36" t="str">
        <f t="shared" si="7"/>
        <v>No data given</v>
      </c>
      <c r="G147" s="73" t="str">
        <f t="shared" si="8"/>
        <v>No data given</v>
      </c>
    </row>
    <row r="148" spans="5:7" x14ac:dyDescent="0.25">
      <c r="E148" s="1" t="str">
        <f t="shared" si="6"/>
        <v>No data given</v>
      </c>
      <c r="F148" s="36" t="str">
        <f t="shared" si="7"/>
        <v>No data given</v>
      </c>
      <c r="G148" s="73" t="str">
        <f t="shared" si="8"/>
        <v>No data given</v>
      </c>
    </row>
    <row r="149" spans="5:7" x14ac:dyDescent="0.25">
      <c r="E149" s="1" t="str">
        <f t="shared" si="6"/>
        <v>No data given</v>
      </c>
      <c r="F149" s="36" t="str">
        <f t="shared" si="7"/>
        <v>No data given</v>
      </c>
      <c r="G149" s="73" t="str">
        <f t="shared" si="8"/>
        <v>No data given</v>
      </c>
    </row>
    <row r="150" spans="5:7" x14ac:dyDescent="0.25">
      <c r="E150" s="1" t="str">
        <f t="shared" si="6"/>
        <v>No data given</v>
      </c>
      <c r="F150" s="36" t="str">
        <f t="shared" si="7"/>
        <v>No data given</v>
      </c>
      <c r="G150" s="73" t="str">
        <f t="shared" si="8"/>
        <v>No data given</v>
      </c>
    </row>
    <row r="151" spans="5:7" x14ac:dyDescent="0.25">
      <c r="E151" s="1" t="str">
        <f t="shared" si="6"/>
        <v>No data given</v>
      </c>
      <c r="F151" s="36" t="str">
        <f t="shared" si="7"/>
        <v>No data given</v>
      </c>
      <c r="G151" s="73" t="str">
        <f t="shared" si="8"/>
        <v>No data given</v>
      </c>
    </row>
    <row r="152" spans="5:7" x14ac:dyDescent="0.25">
      <c r="E152" s="1" t="str">
        <f t="shared" si="6"/>
        <v>No data given</v>
      </c>
      <c r="F152" s="36" t="str">
        <f t="shared" si="7"/>
        <v>No data given</v>
      </c>
      <c r="G152" s="73" t="str">
        <f t="shared" si="8"/>
        <v>No data given</v>
      </c>
    </row>
    <row r="153" spans="5:7" x14ac:dyDescent="0.25">
      <c r="E153" s="1" t="str">
        <f t="shared" si="6"/>
        <v>No data given</v>
      </c>
      <c r="F153" s="36" t="str">
        <f t="shared" si="7"/>
        <v>No data given</v>
      </c>
      <c r="G153" s="73" t="str">
        <f t="shared" si="8"/>
        <v>No data given</v>
      </c>
    </row>
    <row r="154" spans="5:7" x14ac:dyDescent="0.25">
      <c r="E154" s="1" t="str">
        <f t="shared" si="6"/>
        <v>No data given</v>
      </c>
      <c r="F154" s="36" t="str">
        <f t="shared" si="7"/>
        <v>No data given</v>
      </c>
      <c r="G154" s="73" t="str">
        <f t="shared" si="8"/>
        <v>No data given</v>
      </c>
    </row>
    <row r="155" spans="5:7" x14ac:dyDescent="0.25">
      <c r="E155" s="1" t="str">
        <f t="shared" si="6"/>
        <v>No data given</v>
      </c>
      <c r="F155" s="36" t="str">
        <f t="shared" si="7"/>
        <v>No data given</v>
      </c>
      <c r="G155" s="73" t="str">
        <f t="shared" si="8"/>
        <v>No data given</v>
      </c>
    </row>
    <row r="156" spans="5:7" x14ac:dyDescent="0.25">
      <c r="E156" s="1" t="str">
        <f t="shared" si="6"/>
        <v>No data given</v>
      </c>
      <c r="F156" s="36" t="str">
        <f t="shared" si="7"/>
        <v>No data given</v>
      </c>
      <c r="G156" s="73" t="str">
        <f t="shared" si="8"/>
        <v>No data given</v>
      </c>
    </row>
    <row r="157" spans="5:7" x14ac:dyDescent="0.25">
      <c r="E157" s="1" t="str">
        <f t="shared" si="6"/>
        <v>No data given</v>
      </c>
      <c r="F157" s="36" t="str">
        <f t="shared" si="7"/>
        <v>No data given</v>
      </c>
      <c r="G157" s="73" t="str">
        <f t="shared" si="8"/>
        <v>No data given</v>
      </c>
    </row>
    <row r="158" spans="5:7" x14ac:dyDescent="0.25">
      <c r="E158" s="1" t="str">
        <f t="shared" si="6"/>
        <v>No data given</v>
      </c>
      <c r="F158" s="36" t="str">
        <f t="shared" si="7"/>
        <v>No data given</v>
      </c>
      <c r="G158" s="73" t="str">
        <f t="shared" si="8"/>
        <v>No data given</v>
      </c>
    </row>
    <row r="159" spans="5:7" x14ac:dyDescent="0.25">
      <c r="E159" s="1" t="str">
        <f t="shared" si="6"/>
        <v>No data given</v>
      </c>
      <c r="F159" s="36" t="str">
        <f t="shared" si="7"/>
        <v>No data given</v>
      </c>
      <c r="G159" s="73" t="str">
        <f t="shared" si="8"/>
        <v>No data given</v>
      </c>
    </row>
    <row r="160" spans="5:7" x14ac:dyDescent="0.25">
      <c r="E160" s="1" t="str">
        <f t="shared" si="6"/>
        <v>No data given</v>
      </c>
      <c r="F160" s="36" t="str">
        <f t="shared" si="7"/>
        <v>No data given</v>
      </c>
      <c r="G160" s="73" t="str">
        <f t="shared" si="8"/>
        <v>No data given</v>
      </c>
    </row>
    <row r="161" spans="5:7" x14ac:dyDescent="0.25">
      <c r="E161" s="1" t="str">
        <f t="shared" si="6"/>
        <v>No data given</v>
      </c>
      <c r="F161" s="36" t="str">
        <f t="shared" si="7"/>
        <v>No data given</v>
      </c>
      <c r="G161" s="73" t="str">
        <f t="shared" si="8"/>
        <v>No data given</v>
      </c>
    </row>
    <row r="162" spans="5:7" x14ac:dyDescent="0.25">
      <c r="E162" s="1" t="str">
        <f t="shared" si="6"/>
        <v>No data given</v>
      </c>
      <c r="F162" s="36" t="str">
        <f t="shared" si="7"/>
        <v>No data given</v>
      </c>
      <c r="G162" s="73" t="str">
        <f t="shared" si="8"/>
        <v>No data given</v>
      </c>
    </row>
    <row r="163" spans="5:7" x14ac:dyDescent="0.25">
      <c r="E163" s="1" t="str">
        <f t="shared" si="6"/>
        <v>No data given</v>
      </c>
      <c r="F163" s="36" t="str">
        <f t="shared" si="7"/>
        <v>No data given</v>
      </c>
      <c r="G163" s="73" t="str">
        <f t="shared" si="8"/>
        <v>No data given</v>
      </c>
    </row>
    <row r="164" spans="5:7" x14ac:dyDescent="0.25">
      <c r="E164" s="1" t="str">
        <f t="shared" si="6"/>
        <v>No data given</v>
      </c>
      <c r="F164" s="36" t="str">
        <f t="shared" si="7"/>
        <v>No data given</v>
      </c>
      <c r="G164" s="73" t="str">
        <f t="shared" si="8"/>
        <v>No data given</v>
      </c>
    </row>
    <row r="165" spans="5:7" x14ac:dyDescent="0.25">
      <c r="E165" s="1" t="str">
        <f t="shared" si="6"/>
        <v>No data given</v>
      </c>
      <c r="F165" s="36" t="str">
        <f t="shared" si="7"/>
        <v>No data given</v>
      </c>
      <c r="G165" s="73" t="str">
        <f t="shared" si="8"/>
        <v>No data given</v>
      </c>
    </row>
    <row r="166" spans="5:7" x14ac:dyDescent="0.25">
      <c r="E166" s="1" t="str">
        <f t="shared" si="6"/>
        <v>No data given</v>
      </c>
      <c r="F166" s="36" t="str">
        <f t="shared" si="7"/>
        <v>No data given</v>
      </c>
      <c r="G166" s="73" t="str">
        <f t="shared" si="8"/>
        <v>No data given</v>
      </c>
    </row>
    <row r="167" spans="5:7" x14ac:dyDescent="0.25">
      <c r="E167" s="1" t="str">
        <f t="shared" si="6"/>
        <v>No data given</v>
      </c>
      <c r="F167" s="36" t="str">
        <f t="shared" si="7"/>
        <v>No data given</v>
      </c>
      <c r="G167" s="73" t="str">
        <f t="shared" si="8"/>
        <v>No data given</v>
      </c>
    </row>
    <row r="168" spans="5:7" x14ac:dyDescent="0.25">
      <c r="E168" s="1" t="str">
        <f t="shared" si="6"/>
        <v>No data given</v>
      </c>
      <c r="F168" s="36" t="str">
        <f t="shared" si="7"/>
        <v>No data given</v>
      </c>
      <c r="G168" s="73" t="str">
        <f t="shared" si="8"/>
        <v>No data given</v>
      </c>
    </row>
    <row r="169" spans="5:7" x14ac:dyDescent="0.25">
      <c r="E169" s="1" t="str">
        <f t="shared" si="6"/>
        <v>No data given</v>
      </c>
      <c r="F169" s="36" t="str">
        <f t="shared" si="7"/>
        <v>No data given</v>
      </c>
      <c r="G169" s="73" t="str">
        <f t="shared" si="8"/>
        <v>No data given</v>
      </c>
    </row>
    <row r="170" spans="5:7" x14ac:dyDescent="0.25">
      <c r="E170" s="1" t="str">
        <f t="shared" si="6"/>
        <v>No data given</v>
      </c>
      <c r="F170" s="36" t="str">
        <f t="shared" si="7"/>
        <v>No data given</v>
      </c>
      <c r="G170" s="73" t="str">
        <f t="shared" si="8"/>
        <v>No data given</v>
      </c>
    </row>
    <row r="171" spans="5:7" x14ac:dyDescent="0.25">
      <c r="E171" s="1" t="str">
        <f t="shared" si="6"/>
        <v>No data given</v>
      </c>
      <c r="F171" s="36" t="str">
        <f t="shared" si="7"/>
        <v>No data given</v>
      </c>
      <c r="G171" s="73" t="str">
        <f t="shared" si="8"/>
        <v>No data given</v>
      </c>
    </row>
    <row r="172" spans="5:7" x14ac:dyDescent="0.25">
      <c r="E172" s="1" t="str">
        <f t="shared" si="6"/>
        <v>No data given</v>
      </c>
      <c r="F172" s="36" t="str">
        <f t="shared" si="7"/>
        <v>No data given</v>
      </c>
      <c r="G172" s="73" t="str">
        <f t="shared" si="8"/>
        <v>No data given</v>
      </c>
    </row>
    <row r="173" spans="5:7" x14ac:dyDescent="0.25">
      <c r="E173" s="1" t="str">
        <f t="shared" si="6"/>
        <v>No data given</v>
      </c>
      <c r="F173" s="36" t="str">
        <f t="shared" si="7"/>
        <v>No data given</v>
      </c>
      <c r="G173" s="73" t="str">
        <f t="shared" si="8"/>
        <v>No data given</v>
      </c>
    </row>
    <row r="174" spans="5:7" x14ac:dyDescent="0.25">
      <c r="E174" s="1" t="str">
        <f t="shared" si="6"/>
        <v>No data given</v>
      </c>
      <c r="F174" s="36" t="str">
        <f t="shared" si="7"/>
        <v>No data given</v>
      </c>
      <c r="G174" s="73" t="str">
        <f t="shared" si="8"/>
        <v>No data given</v>
      </c>
    </row>
    <row r="175" spans="5:7" x14ac:dyDescent="0.25">
      <c r="E175" s="1" t="str">
        <f t="shared" si="6"/>
        <v>No data given</v>
      </c>
      <c r="F175" s="36" t="str">
        <f t="shared" si="7"/>
        <v>No data given</v>
      </c>
      <c r="G175" s="73" t="str">
        <f t="shared" si="8"/>
        <v>No data given</v>
      </c>
    </row>
    <row r="176" spans="5:7" x14ac:dyDescent="0.25">
      <c r="E176" s="1" t="str">
        <f t="shared" si="6"/>
        <v>No data given</v>
      </c>
      <c r="F176" s="36" t="str">
        <f t="shared" si="7"/>
        <v>No data given</v>
      </c>
      <c r="G176" s="73" t="str">
        <f t="shared" si="8"/>
        <v>No data given</v>
      </c>
    </row>
    <row r="177" spans="5:7" x14ac:dyDescent="0.25">
      <c r="E177" s="1" t="str">
        <f t="shared" si="6"/>
        <v>No data given</v>
      </c>
      <c r="F177" s="36" t="str">
        <f t="shared" si="7"/>
        <v>No data given</v>
      </c>
      <c r="G177" s="73" t="str">
        <f t="shared" si="8"/>
        <v>No data given</v>
      </c>
    </row>
    <row r="178" spans="5:7" x14ac:dyDescent="0.25">
      <c r="E178" s="1" t="str">
        <f t="shared" si="6"/>
        <v>No data given</v>
      </c>
      <c r="F178" s="36" t="str">
        <f t="shared" si="7"/>
        <v>No data given</v>
      </c>
      <c r="G178" s="73" t="str">
        <f t="shared" si="8"/>
        <v>No data given</v>
      </c>
    </row>
    <row r="179" spans="5:7" x14ac:dyDescent="0.25">
      <c r="E179" s="1" t="str">
        <f t="shared" si="6"/>
        <v>No data given</v>
      </c>
      <c r="F179" s="36" t="str">
        <f t="shared" si="7"/>
        <v>No data given</v>
      </c>
      <c r="G179" s="73" t="str">
        <f t="shared" si="8"/>
        <v>No data given</v>
      </c>
    </row>
    <row r="180" spans="5:7" x14ac:dyDescent="0.25">
      <c r="E180" s="1" t="str">
        <f t="shared" si="6"/>
        <v>No data given</v>
      </c>
      <c r="F180" s="36" t="str">
        <f t="shared" si="7"/>
        <v>No data given</v>
      </c>
      <c r="G180" s="73" t="str">
        <f t="shared" si="8"/>
        <v>No data given</v>
      </c>
    </row>
    <row r="181" spans="5:7" x14ac:dyDescent="0.25">
      <c r="E181" s="1" t="str">
        <f t="shared" si="6"/>
        <v>No data given</v>
      </c>
      <c r="F181" s="36" t="str">
        <f t="shared" si="7"/>
        <v>No data given</v>
      </c>
      <c r="G181" s="73" t="str">
        <f t="shared" si="8"/>
        <v>No data given</v>
      </c>
    </row>
    <row r="182" spans="5:7" x14ac:dyDescent="0.25">
      <c r="E182" s="1" t="str">
        <f t="shared" si="6"/>
        <v>No data given</v>
      </c>
      <c r="F182" s="36" t="str">
        <f t="shared" si="7"/>
        <v>No data given</v>
      </c>
      <c r="G182" s="73" t="str">
        <f t="shared" si="8"/>
        <v>No data given</v>
      </c>
    </row>
    <row r="183" spans="5:7" x14ac:dyDescent="0.25">
      <c r="E183" s="1" t="str">
        <f t="shared" si="6"/>
        <v>No data given</v>
      </c>
      <c r="F183" s="36" t="str">
        <f t="shared" si="7"/>
        <v>No data given</v>
      </c>
      <c r="G183" s="73" t="str">
        <f t="shared" si="8"/>
        <v>No data given</v>
      </c>
    </row>
    <row r="184" spans="5:7" x14ac:dyDescent="0.25">
      <c r="E184" s="1" t="str">
        <f t="shared" si="6"/>
        <v>No data given</v>
      </c>
      <c r="F184" s="36" t="str">
        <f t="shared" si="7"/>
        <v>No data given</v>
      </c>
      <c r="G184" s="73" t="str">
        <f t="shared" si="8"/>
        <v>No data given</v>
      </c>
    </row>
    <row r="185" spans="5:7" x14ac:dyDescent="0.25">
      <c r="E185" s="1" t="str">
        <f t="shared" si="6"/>
        <v>No data given</v>
      </c>
      <c r="F185" s="36" t="str">
        <f t="shared" si="7"/>
        <v>No data given</v>
      </c>
      <c r="G185" s="73" t="str">
        <f t="shared" si="8"/>
        <v>No data given</v>
      </c>
    </row>
    <row r="186" spans="5:7" x14ac:dyDescent="0.25">
      <c r="E186" s="1" t="str">
        <f t="shared" si="6"/>
        <v>No data given</v>
      </c>
      <c r="F186" s="36" t="str">
        <f t="shared" si="7"/>
        <v>No data given</v>
      </c>
      <c r="G186" s="73" t="str">
        <f t="shared" si="8"/>
        <v>No data given</v>
      </c>
    </row>
    <row r="187" spans="5:7" x14ac:dyDescent="0.25">
      <c r="E187" s="1" t="str">
        <f t="shared" si="6"/>
        <v>No data given</v>
      </c>
      <c r="F187" s="36" t="str">
        <f t="shared" si="7"/>
        <v>No data given</v>
      </c>
      <c r="G187" s="73" t="str">
        <f t="shared" si="8"/>
        <v>No data given</v>
      </c>
    </row>
    <row r="188" spans="5:7" x14ac:dyDescent="0.25">
      <c r="E188" s="1" t="str">
        <f t="shared" si="6"/>
        <v>No data given</v>
      </c>
      <c r="F188" s="36" t="str">
        <f t="shared" si="7"/>
        <v>No data given</v>
      </c>
      <c r="G188" s="73" t="str">
        <f t="shared" si="8"/>
        <v>No data given</v>
      </c>
    </row>
    <row r="189" spans="5:7" x14ac:dyDescent="0.25">
      <c r="E189" s="1" t="str">
        <f t="shared" si="6"/>
        <v>No data given</v>
      </c>
      <c r="F189" s="36" t="str">
        <f t="shared" si="7"/>
        <v>No data given</v>
      </c>
      <c r="G189" s="73" t="str">
        <f t="shared" si="8"/>
        <v>No data given</v>
      </c>
    </row>
    <row r="190" spans="5:7" x14ac:dyDescent="0.25">
      <c r="E190" s="1" t="str">
        <f t="shared" si="6"/>
        <v>No data given</v>
      </c>
      <c r="F190" s="36" t="str">
        <f t="shared" si="7"/>
        <v>No data given</v>
      </c>
      <c r="G190" s="73" t="str">
        <f t="shared" si="8"/>
        <v>No data given</v>
      </c>
    </row>
    <row r="191" spans="5:7" x14ac:dyDescent="0.25">
      <c r="E191" s="1" t="str">
        <f t="shared" si="6"/>
        <v>No data given</v>
      </c>
      <c r="F191" s="36" t="str">
        <f t="shared" si="7"/>
        <v>No data given</v>
      </c>
      <c r="G191" s="73" t="str">
        <f t="shared" si="8"/>
        <v>No data given</v>
      </c>
    </row>
    <row r="192" spans="5:7" x14ac:dyDescent="0.25">
      <c r="E192" s="1" t="str">
        <f t="shared" si="6"/>
        <v>No data given</v>
      </c>
      <c r="F192" s="36" t="str">
        <f t="shared" si="7"/>
        <v>No data given</v>
      </c>
      <c r="G192" s="73" t="str">
        <f t="shared" si="8"/>
        <v>No data given</v>
      </c>
    </row>
    <row r="193" spans="5:7" x14ac:dyDescent="0.25">
      <c r="E193" s="1" t="str">
        <f t="shared" si="6"/>
        <v>No data given</v>
      </c>
      <c r="F193" s="36" t="str">
        <f t="shared" si="7"/>
        <v>No data given</v>
      </c>
      <c r="G193" s="73" t="str">
        <f t="shared" si="8"/>
        <v>No data given</v>
      </c>
    </row>
    <row r="194" spans="5:7" x14ac:dyDescent="0.25">
      <c r="E194" s="1" t="str">
        <f t="shared" si="6"/>
        <v>No data given</v>
      </c>
      <c r="F194" s="36" t="str">
        <f t="shared" si="7"/>
        <v>No data given</v>
      </c>
      <c r="G194" s="73" t="str">
        <f t="shared" si="8"/>
        <v>No data given</v>
      </c>
    </row>
    <row r="195" spans="5:7" x14ac:dyDescent="0.25">
      <c r="E195" s="1" t="str">
        <f t="shared" si="6"/>
        <v>No data given</v>
      </c>
      <c r="F195" s="36" t="str">
        <f t="shared" si="7"/>
        <v>No data given</v>
      </c>
      <c r="G195" s="73" t="str">
        <f t="shared" si="8"/>
        <v>No data given</v>
      </c>
    </row>
    <row r="196" spans="5:7" x14ac:dyDescent="0.25">
      <c r="E196" s="1" t="str">
        <f t="shared" si="6"/>
        <v>No data given</v>
      </c>
      <c r="F196" s="36" t="str">
        <f t="shared" si="7"/>
        <v>No data given</v>
      </c>
      <c r="G196" s="73" t="str">
        <f t="shared" si="8"/>
        <v>No data given</v>
      </c>
    </row>
    <row r="197" spans="5:7" x14ac:dyDescent="0.25">
      <c r="E197" s="1" t="str">
        <f t="shared" ref="E197:E260" si="9">IF(B197="","No data given",IF(F197&lt;=D197,"Pass",IF(F197&lt;=(D197+C197),"No Impact","Fail")))</f>
        <v>No data given</v>
      </c>
      <c r="F197" s="36" t="str">
        <f t="shared" si="7"/>
        <v>No data given</v>
      </c>
      <c r="G197" s="73" t="str">
        <f t="shared" si="8"/>
        <v>No data given</v>
      </c>
    </row>
    <row r="198" spans="5:7" x14ac:dyDescent="0.25">
      <c r="E198" s="1" t="str">
        <f t="shared" si="9"/>
        <v>No data given</v>
      </c>
      <c r="F198" s="36" t="str">
        <f t="shared" ref="F198:F261" si="10">IF(B198="","No data given",ABS(A198-B198))</f>
        <v>No data given</v>
      </c>
      <c r="G198" s="73" t="str">
        <f t="shared" si="8"/>
        <v>No data given</v>
      </c>
    </row>
    <row r="199" spans="5:7" x14ac:dyDescent="0.25">
      <c r="E199" s="1" t="str">
        <f t="shared" si="9"/>
        <v>No data given</v>
      </c>
      <c r="F199" s="36" t="str">
        <f t="shared" si="10"/>
        <v>No data given</v>
      </c>
      <c r="G199" s="73" t="str">
        <f t="shared" ref="G199:G262" si="11">IF(B199="","No data given",IF(E199&lt;&gt;"Fail",0,F199/A199))</f>
        <v>No data given</v>
      </c>
    </row>
    <row r="200" spans="5:7" x14ac:dyDescent="0.25">
      <c r="E200" s="1" t="str">
        <f t="shared" si="9"/>
        <v>No data given</v>
      </c>
      <c r="F200" s="36" t="str">
        <f t="shared" si="10"/>
        <v>No data given</v>
      </c>
      <c r="G200" s="73" t="str">
        <f t="shared" si="11"/>
        <v>No data given</v>
      </c>
    </row>
    <row r="201" spans="5:7" x14ac:dyDescent="0.25">
      <c r="E201" s="1" t="str">
        <f t="shared" si="9"/>
        <v>No data given</v>
      </c>
      <c r="F201" s="36" t="str">
        <f t="shared" si="10"/>
        <v>No data given</v>
      </c>
      <c r="G201" s="73" t="str">
        <f t="shared" si="11"/>
        <v>No data given</v>
      </c>
    </row>
    <row r="202" spans="5:7" x14ac:dyDescent="0.25">
      <c r="E202" s="1" t="str">
        <f t="shared" si="9"/>
        <v>No data given</v>
      </c>
      <c r="F202" s="36" t="str">
        <f t="shared" si="10"/>
        <v>No data given</v>
      </c>
      <c r="G202" s="73" t="str">
        <f t="shared" si="11"/>
        <v>No data given</v>
      </c>
    </row>
    <row r="203" spans="5:7" x14ac:dyDescent="0.25">
      <c r="E203" s="1" t="str">
        <f t="shared" si="9"/>
        <v>No data given</v>
      </c>
      <c r="F203" s="36" t="str">
        <f t="shared" si="10"/>
        <v>No data given</v>
      </c>
      <c r="G203" s="73" t="str">
        <f t="shared" si="11"/>
        <v>No data given</v>
      </c>
    </row>
    <row r="204" spans="5:7" x14ac:dyDescent="0.25">
      <c r="E204" s="1" t="str">
        <f t="shared" si="9"/>
        <v>No data given</v>
      </c>
      <c r="F204" s="36" t="str">
        <f t="shared" si="10"/>
        <v>No data given</v>
      </c>
      <c r="G204" s="73" t="str">
        <f t="shared" si="11"/>
        <v>No data given</v>
      </c>
    </row>
    <row r="205" spans="5:7" x14ac:dyDescent="0.25">
      <c r="E205" s="1" t="str">
        <f t="shared" si="9"/>
        <v>No data given</v>
      </c>
      <c r="F205" s="36" t="str">
        <f t="shared" si="10"/>
        <v>No data given</v>
      </c>
      <c r="G205" s="73" t="str">
        <f t="shared" si="11"/>
        <v>No data given</v>
      </c>
    </row>
    <row r="206" spans="5:7" x14ac:dyDescent="0.25">
      <c r="E206" s="1" t="str">
        <f t="shared" si="9"/>
        <v>No data given</v>
      </c>
      <c r="F206" s="36" t="str">
        <f t="shared" si="10"/>
        <v>No data given</v>
      </c>
      <c r="G206" s="73" t="str">
        <f t="shared" si="11"/>
        <v>No data given</v>
      </c>
    </row>
    <row r="207" spans="5:7" x14ac:dyDescent="0.25">
      <c r="E207" s="1" t="str">
        <f t="shared" si="9"/>
        <v>No data given</v>
      </c>
      <c r="F207" s="36" t="str">
        <f t="shared" si="10"/>
        <v>No data given</v>
      </c>
      <c r="G207" s="73" t="str">
        <f t="shared" si="11"/>
        <v>No data given</v>
      </c>
    </row>
    <row r="208" spans="5:7" x14ac:dyDescent="0.25">
      <c r="E208" s="1" t="str">
        <f t="shared" si="9"/>
        <v>No data given</v>
      </c>
      <c r="F208" s="36" t="str">
        <f t="shared" si="10"/>
        <v>No data given</v>
      </c>
      <c r="G208" s="73" t="str">
        <f t="shared" si="11"/>
        <v>No data given</v>
      </c>
    </row>
    <row r="209" spans="5:7" x14ac:dyDescent="0.25">
      <c r="E209" s="1" t="str">
        <f t="shared" si="9"/>
        <v>No data given</v>
      </c>
      <c r="F209" s="36" t="str">
        <f t="shared" si="10"/>
        <v>No data given</v>
      </c>
      <c r="G209" s="73" t="str">
        <f t="shared" si="11"/>
        <v>No data given</v>
      </c>
    </row>
    <row r="210" spans="5:7" x14ac:dyDescent="0.25">
      <c r="E210" s="1" t="str">
        <f t="shared" si="9"/>
        <v>No data given</v>
      </c>
      <c r="F210" s="36" t="str">
        <f t="shared" si="10"/>
        <v>No data given</v>
      </c>
      <c r="G210" s="73" t="str">
        <f t="shared" si="11"/>
        <v>No data given</v>
      </c>
    </row>
    <row r="211" spans="5:7" x14ac:dyDescent="0.25">
      <c r="E211" s="1" t="str">
        <f t="shared" si="9"/>
        <v>No data given</v>
      </c>
      <c r="F211" s="36" t="str">
        <f t="shared" si="10"/>
        <v>No data given</v>
      </c>
      <c r="G211" s="73" t="str">
        <f t="shared" si="11"/>
        <v>No data given</v>
      </c>
    </row>
    <row r="212" spans="5:7" x14ac:dyDescent="0.25">
      <c r="E212" s="1" t="str">
        <f t="shared" si="9"/>
        <v>No data given</v>
      </c>
      <c r="F212" s="36" t="str">
        <f t="shared" si="10"/>
        <v>No data given</v>
      </c>
      <c r="G212" s="73" t="str">
        <f t="shared" si="11"/>
        <v>No data given</v>
      </c>
    </row>
    <row r="213" spans="5:7" x14ac:dyDescent="0.25">
      <c r="E213" s="1" t="str">
        <f t="shared" si="9"/>
        <v>No data given</v>
      </c>
      <c r="F213" s="36" t="str">
        <f t="shared" si="10"/>
        <v>No data given</v>
      </c>
      <c r="G213" s="73" t="str">
        <f t="shared" si="11"/>
        <v>No data given</v>
      </c>
    </row>
    <row r="214" spans="5:7" x14ac:dyDescent="0.25">
      <c r="E214" s="1" t="str">
        <f t="shared" si="9"/>
        <v>No data given</v>
      </c>
      <c r="F214" s="36" t="str">
        <f t="shared" si="10"/>
        <v>No data given</v>
      </c>
      <c r="G214" s="73" t="str">
        <f t="shared" si="11"/>
        <v>No data given</v>
      </c>
    </row>
    <row r="215" spans="5:7" x14ac:dyDescent="0.25">
      <c r="E215" s="1" t="str">
        <f t="shared" si="9"/>
        <v>No data given</v>
      </c>
      <c r="F215" s="36" t="str">
        <f t="shared" si="10"/>
        <v>No data given</v>
      </c>
      <c r="G215" s="73" t="str">
        <f t="shared" si="11"/>
        <v>No data given</v>
      </c>
    </row>
    <row r="216" spans="5:7" x14ac:dyDescent="0.25">
      <c r="E216" s="1" t="str">
        <f t="shared" si="9"/>
        <v>No data given</v>
      </c>
      <c r="F216" s="36" t="str">
        <f t="shared" si="10"/>
        <v>No data given</v>
      </c>
      <c r="G216" s="73" t="str">
        <f t="shared" si="11"/>
        <v>No data given</v>
      </c>
    </row>
    <row r="217" spans="5:7" x14ac:dyDescent="0.25">
      <c r="E217" s="1" t="str">
        <f t="shared" si="9"/>
        <v>No data given</v>
      </c>
      <c r="F217" s="36" t="str">
        <f t="shared" si="10"/>
        <v>No data given</v>
      </c>
      <c r="G217" s="73" t="str">
        <f t="shared" si="11"/>
        <v>No data given</v>
      </c>
    </row>
    <row r="218" spans="5:7" x14ac:dyDescent="0.25">
      <c r="E218" s="1" t="str">
        <f t="shared" si="9"/>
        <v>No data given</v>
      </c>
      <c r="F218" s="36" t="str">
        <f t="shared" si="10"/>
        <v>No data given</v>
      </c>
      <c r="G218" s="73" t="str">
        <f t="shared" si="11"/>
        <v>No data given</v>
      </c>
    </row>
    <row r="219" spans="5:7" x14ac:dyDescent="0.25">
      <c r="E219" s="1" t="str">
        <f t="shared" si="9"/>
        <v>No data given</v>
      </c>
      <c r="F219" s="36" t="str">
        <f t="shared" si="10"/>
        <v>No data given</v>
      </c>
      <c r="G219" s="73" t="str">
        <f t="shared" si="11"/>
        <v>No data given</v>
      </c>
    </row>
    <row r="220" spans="5:7" x14ac:dyDescent="0.25">
      <c r="E220" s="1" t="str">
        <f t="shared" si="9"/>
        <v>No data given</v>
      </c>
      <c r="F220" s="36" t="str">
        <f t="shared" si="10"/>
        <v>No data given</v>
      </c>
      <c r="G220" s="73" t="str">
        <f t="shared" si="11"/>
        <v>No data given</v>
      </c>
    </row>
    <row r="221" spans="5:7" x14ac:dyDescent="0.25">
      <c r="E221" s="1" t="str">
        <f t="shared" si="9"/>
        <v>No data given</v>
      </c>
      <c r="F221" s="36" t="str">
        <f t="shared" si="10"/>
        <v>No data given</v>
      </c>
      <c r="G221" s="73" t="str">
        <f t="shared" si="11"/>
        <v>No data given</v>
      </c>
    </row>
    <row r="222" spans="5:7" x14ac:dyDescent="0.25">
      <c r="E222" s="1" t="str">
        <f t="shared" si="9"/>
        <v>No data given</v>
      </c>
      <c r="F222" s="36" t="str">
        <f t="shared" si="10"/>
        <v>No data given</v>
      </c>
      <c r="G222" s="73" t="str">
        <f t="shared" si="11"/>
        <v>No data given</v>
      </c>
    </row>
    <row r="223" spans="5:7" x14ac:dyDescent="0.25">
      <c r="E223" s="1" t="str">
        <f t="shared" si="9"/>
        <v>No data given</v>
      </c>
      <c r="F223" s="36" t="str">
        <f t="shared" si="10"/>
        <v>No data given</v>
      </c>
      <c r="G223" s="73" t="str">
        <f t="shared" si="11"/>
        <v>No data given</v>
      </c>
    </row>
    <row r="224" spans="5:7" x14ac:dyDescent="0.25">
      <c r="E224" s="1" t="str">
        <f t="shared" si="9"/>
        <v>No data given</v>
      </c>
      <c r="F224" s="36" t="str">
        <f t="shared" si="10"/>
        <v>No data given</v>
      </c>
      <c r="G224" s="73" t="str">
        <f t="shared" si="11"/>
        <v>No data given</v>
      </c>
    </row>
    <row r="225" spans="5:7" x14ac:dyDescent="0.25">
      <c r="E225" s="1" t="str">
        <f t="shared" si="9"/>
        <v>No data given</v>
      </c>
      <c r="F225" s="36" t="str">
        <f t="shared" si="10"/>
        <v>No data given</v>
      </c>
      <c r="G225" s="73" t="str">
        <f t="shared" si="11"/>
        <v>No data given</v>
      </c>
    </row>
    <row r="226" spans="5:7" x14ac:dyDescent="0.25">
      <c r="E226" s="1" t="str">
        <f t="shared" si="9"/>
        <v>No data given</v>
      </c>
      <c r="F226" s="36" t="str">
        <f t="shared" si="10"/>
        <v>No data given</v>
      </c>
      <c r="G226" s="73" t="str">
        <f t="shared" si="11"/>
        <v>No data given</v>
      </c>
    </row>
    <row r="227" spans="5:7" x14ac:dyDescent="0.25">
      <c r="E227" s="1" t="str">
        <f t="shared" si="9"/>
        <v>No data given</v>
      </c>
      <c r="F227" s="36" t="str">
        <f t="shared" si="10"/>
        <v>No data given</v>
      </c>
      <c r="G227" s="73" t="str">
        <f t="shared" si="11"/>
        <v>No data given</v>
      </c>
    </row>
    <row r="228" spans="5:7" x14ac:dyDescent="0.25">
      <c r="E228" s="1" t="str">
        <f t="shared" si="9"/>
        <v>No data given</v>
      </c>
      <c r="F228" s="36" t="str">
        <f t="shared" si="10"/>
        <v>No data given</v>
      </c>
      <c r="G228" s="73" t="str">
        <f t="shared" si="11"/>
        <v>No data given</v>
      </c>
    </row>
    <row r="229" spans="5:7" x14ac:dyDescent="0.25">
      <c r="E229" s="1" t="str">
        <f t="shared" si="9"/>
        <v>No data given</v>
      </c>
      <c r="F229" s="36" t="str">
        <f t="shared" si="10"/>
        <v>No data given</v>
      </c>
      <c r="G229" s="73" t="str">
        <f t="shared" si="11"/>
        <v>No data given</v>
      </c>
    </row>
    <row r="230" spans="5:7" x14ac:dyDescent="0.25">
      <c r="E230" s="1" t="str">
        <f t="shared" si="9"/>
        <v>No data given</v>
      </c>
      <c r="F230" s="36" t="str">
        <f t="shared" si="10"/>
        <v>No data given</v>
      </c>
      <c r="G230" s="73" t="str">
        <f t="shared" si="11"/>
        <v>No data given</v>
      </c>
    </row>
    <row r="231" spans="5:7" x14ac:dyDescent="0.25">
      <c r="E231" s="1" t="str">
        <f t="shared" si="9"/>
        <v>No data given</v>
      </c>
      <c r="F231" s="36" t="str">
        <f t="shared" si="10"/>
        <v>No data given</v>
      </c>
      <c r="G231" s="73" t="str">
        <f t="shared" si="11"/>
        <v>No data given</v>
      </c>
    </row>
    <row r="232" spans="5:7" x14ac:dyDescent="0.25">
      <c r="E232" s="1" t="str">
        <f t="shared" si="9"/>
        <v>No data given</v>
      </c>
      <c r="F232" s="36" t="str">
        <f t="shared" si="10"/>
        <v>No data given</v>
      </c>
      <c r="G232" s="73" t="str">
        <f t="shared" si="11"/>
        <v>No data given</v>
      </c>
    </row>
    <row r="233" spans="5:7" x14ac:dyDescent="0.25">
      <c r="E233" s="1" t="str">
        <f t="shared" si="9"/>
        <v>No data given</v>
      </c>
      <c r="F233" s="36" t="str">
        <f t="shared" si="10"/>
        <v>No data given</v>
      </c>
      <c r="G233" s="73" t="str">
        <f t="shared" si="11"/>
        <v>No data given</v>
      </c>
    </row>
    <row r="234" spans="5:7" x14ac:dyDescent="0.25">
      <c r="E234" s="1" t="str">
        <f t="shared" si="9"/>
        <v>No data given</v>
      </c>
      <c r="F234" s="36" t="str">
        <f t="shared" si="10"/>
        <v>No data given</v>
      </c>
      <c r="G234" s="73" t="str">
        <f t="shared" si="11"/>
        <v>No data given</v>
      </c>
    </row>
    <row r="235" spans="5:7" x14ac:dyDescent="0.25">
      <c r="E235" s="1" t="str">
        <f t="shared" si="9"/>
        <v>No data given</v>
      </c>
      <c r="F235" s="36" t="str">
        <f t="shared" si="10"/>
        <v>No data given</v>
      </c>
      <c r="G235" s="73" t="str">
        <f t="shared" si="11"/>
        <v>No data given</v>
      </c>
    </row>
    <row r="236" spans="5:7" x14ac:dyDescent="0.25">
      <c r="E236" s="1" t="str">
        <f t="shared" si="9"/>
        <v>No data given</v>
      </c>
      <c r="F236" s="36" t="str">
        <f t="shared" si="10"/>
        <v>No data given</v>
      </c>
      <c r="G236" s="73" t="str">
        <f t="shared" si="11"/>
        <v>No data given</v>
      </c>
    </row>
    <row r="237" spans="5:7" x14ac:dyDescent="0.25">
      <c r="E237" s="1" t="str">
        <f t="shared" si="9"/>
        <v>No data given</v>
      </c>
      <c r="F237" s="36" t="str">
        <f t="shared" si="10"/>
        <v>No data given</v>
      </c>
      <c r="G237" s="73" t="str">
        <f t="shared" si="11"/>
        <v>No data given</v>
      </c>
    </row>
    <row r="238" spans="5:7" x14ac:dyDescent="0.25">
      <c r="E238" s="1" t="str">
        <f t="shared" si="9"/>
        <v>No data given</v>
      </c>
      <c r="F238" s="36" t="str">
        <f t="shared" si="10"/>
        <v>No data given</v>
      </c>
      <c r="G238" s="73" t="str">
        <f t="shared" si="11"/>
        <v>No data given</v>
      </c>
    </row>
    <row r="239" spans="5:7" x14ac:dyDescent="0.25">
      <c r="E239" s="1" t="str">
        <f t="shared" si="9"/>
        <v>No data given</v>
      </c>
      <c r="F239" s="36" t="str">
        <f t="shared" si="10"/>
        <v>No data given</v>
      </c>
      <c r="G239" s="73" t="str">
        <f t="shared" si="11"/>
        <v>No data given</v>
      </c>
    </row>
    <row r="240" spans="5:7" x14ac:dyDescent="0.25">
      <c r="E240" s="1" t="str">
        <f t="shared" si="9"/>
        <v>No data given</v>
      </c>
      <c r="F240" s="36" t="str">
        <f t="shared" si="10"/>
        <v>No data given</v>
      </c>
      <c r="G240" s="73" t="str">
        <f t="shared" si="11"/>
        <v>No data given</v>
      </c>
    </row>
    <row r="241" spans="5:7" x14ac:dyDescent="0.25">
      <c r="E241" s="1" t="str">
        <f t="shared" si="9"/>
        <v>No data given</v>
      </c>
      <c r="F241" s="36" t="str">
        <f t="shared" si="10"/>
        <v>No data given</v>
      </c>
      <c r="G241" s="73" t="str">
        <f t="shared" si="11"/>
        <v>No data given</v>
      </c>
    </row>
    <row r="242" spans="5:7" x14ac:dyDescent="0.25">
      <c r="E242" s="1" t="str">
        <f t="shared" si="9"/>
        <v>No data given</v>
      </c>
      <c r="F242" s="36" t="str">
        <f t="shared" si="10"/>
        <v>No data given</v>
      </c>
      <c r="G242" s="73" t="str">
        <f t="shared" si="11"/>
        <v>No data given</v>
      </c>
    </row>
    <row r="243" spans="5:7" x14ac:dyDescent="0.25">
      <c r="E243" s="1" t="str">
        <f t="shared" si="9"/>
        <v>No data given</v>
      </c>
      <c r="F243" s="36" t="str">
        <f t="shared" si="10"/>
        <v>No data given</v>
      </c>
      <c r="G243" s="73" t="str">
        <f t="shared" si="11"/>
        <v>No data given</v>
      </c>
    </row>
    <row r="244" spans="5:7" x14ac:dyDescent="0.25">
      <c r="E244" s="1" t="str">
        <f t="shared" si="9"/>
        <v>No data given</v>
      </c>
      <c r="F244" s="36" t="str">
        <f t="shared" si="10"/>
        <v>No data given</v>
      </c>
      <c r="G244" s="73" t="str">
        <f t="shared" si="11"/>
        <v>No data given</v>
      </c>
    </row>
    <row r="245" spans="5:7" x14ac:dyDescent="0.25">
      <c r="E245" s="1" t="str">
        <f t="shared" si="9"/>
        <v>No data given</v>
      </c>
      <c r="F245" s="36" t="str">
        <f t="shared" si="10"/>
        <v>No data given</v>
      </c>
      <c r="G245" s="73" t="str">
        <f t="shared" si="11"/>
        <v>No data given</v>
      </c>
    </row>
    <row r="246" spans="5:7" x14ac:dyDescent="0.25">
      <c r="E246" s="1" t="str">
        <f t="shared" si="9"/>
        <v>No data given</v>
      </c>
      <c r="F246" s="36" t="str">
        <f t="shared" si="10"/>
        <v>No data given</v>
      </c>
      <c r="G246" s="73" t="str">
        <f t="shared" si="11"/>
        <v>No data given</v>
      </c>
    </row>
    <row r="247" spans="5:7" x14ac:dyDescent="0.25">
      <c r="E247" s="1" t="str">
        <f t="shared" si="9"/>
        <v>No data given</v>
      </c>
      <c r="F247" s="36" t="str">
        <f t="shared" si="10"/>
        <v>No data given</v>
      </c>
      <c r="G247" s="73" t="str">
        <f t="shared" si="11"/>
        <v>No data given</v>
      </c>
    </row>
    <row r="248" spans="5:7" x14ac:dyDescent="0.25">
      <c r="E248" s="1" t="str">
        <f t="shared" si="9"/>
        <v>No data given</v>
      </c>
      <c r="F248" s="36" t="str">
        <f t="shared" si="10"/>
        <v>No data given</v>
      </c>
      <c r="G248" s="73" t="str">
        <f t="shared" si="11"/>
        <v>No data given</v>
      </c>
    </row>
    <row r="249" spans="5:7" x14ac:dyDescent="0.25">
      <c r="E249" s="1" t="str">
        <f t="shared" si="9"/>
        <v>No data given</v>
      </c>
      <c r="F249" s="36" t="str">
        <f t="shared" si="10"/>
        <v>No data given</v>
      </c>
      <c r="G249" s="73" t="str">
        <f t="shared" si="11"/>
        <v>No data given</v>
      </c>
    </row>
    <row r="250" spans="5:7" x14ac:dyDescent="0.25">
      <c r="E250" s="1" t="str">
        <f t="shared" si="9"/>
        <v>No data given</v>
      </c>
      <c r="F250" s="36" t="str">
        <f t="shared" si="10"/>
        <v>No data given</v>
      </c>
      <c r="G250" s="73" t="str">
        <f t="shared" si="11"/>
        <v>No data given</v>
      </c>
    </row>
    <row r="251" spans="5:7" x14ac:dyDescent="0.25">
      <c r="E251" s="1" t="str">
        <f t="shared" si="9"/>
        <v>No data given</v>
      </c>
      <c r="F251" s="36" t="str">
        <f t="shared" si="10"/>
        <v>No data given</v>
      </c>
      <c r="G251" s="73" t="str">
        <f t="shared" si="11"/>
        <v>No data given</v>
      </c>
    </row>
    <row r="252" spans="5:7" x14ac:dyDescent="0.25">
      <c r="E252" s="1" t="str">
        <f t="shared" si="9"/>
        <v>No data given</v>
      </c>
      <c r="F252" s="36" t="str">
        <f t="shared" si="10"/>
        <v>No data given</v>
      </c>
      <c r="G252" s="73" t="str">
        <f t="shared" si="11"/>
        <v>No data given</v>
      </c>
    </row>
    <row r="253" spans="5:7" x14ac:dyDescent="0.25">
      <c r="E253" s="1" t="str">
        <f t="shared" si="9"/>
        <v>No data given</v>
      </c>
      <c r="F253" s="36" t="str">
        <f t="shared" si="10"/>
        <v>No data given</v>
      </c>
      <c r="G253" s="73" t="str">
        <f t="shared" si="11"/>
        <v>No data given</v>
      </c>
    </row>
    <row r="254" spans="5:7" x14ac:dyDescent="0.25">
      <c r="E254" s="1" t="str">
        <f t="shared" si="9"/>
        <v>No data given</v>
      </c>
      <c r="F254" s="36" t="str">
        <f t="shared" si="10"/>
        <v>No data given</v>
      </c>
      <c r="G254" s="73" t="str">
        <f t="shared" si="11"/>
        <v>No data given</v>
      </c>
    </row>
    <row r="255" spans="5:7" x14ac:dyDescent="0.25">
      <c r="E255" s="1" t="str">
        <f t="shared" si="9"/>
        <v>No data given</v>
      </c>
      <c r="F255" s="36" t="str">
        <f t="shared" si="10"/>
        <v>No data given</v>
      </c>
      <c r="G255" s="73" t="str">
        <f t="shared" si="11"/>
        <v>No data given</v>
      </c>
    </row>
    <row r="256" spans="5:7" x14ac:dyDescent="0.25">
      <c r="E256" s="1" t="str">
        <f t="shared" si="9"/>
        <v>No data given</v>
      </c>
      <c r="F256" s="36" t="str">
        <f t="shared" si="10"/>
        <v>No data given</v>
      </c>
      <c r="G256" s="73" t="str">
        <f t="shared" si="11"/>
        <v>No data given</v>
      </c>
    </row>
    <row r="257" spans="5:7" x14ac:dyDescent="0.25">
      <c r="E257" s="1" t="str">
        <f t="shared" si="9"/>
        <v>No data given</v>
      </c>
      <c r="F257" s="36" t="str">
        <f t="shared" si="10"/>
        <v>No data given</v>
      </c>
      <c r="G257" s="73" t="str">
        <f t="shared" si="11"/>
        <v>No data given</v>
      </c>
    </row>
    <row r="258" spans="5:7" x14ac:dyDescent="0.25">
      <c r="E258" s="1" t="str">
        <f t="shared" si="9"/>
        <v>No data given</v>
      </c>
      <c r="F258" s="36" t="str">
        <f t="shared" si="10"/>
        <v>No data given</v>
      </c>
      <c r="G258" s="73" t="str">
        <f t="shared" si="11"/>
        <v>No data given</v>
      </c>
    </row>
    <row r="259" spans="5:7" x14ac:dyDescent="0.25">
      <c r="E259" s="1" t="str">
        <f t="shared" si="9"/>
        <v>No data given</v>
      </c>
      <c r="F259" s="36" t="str">
        <f t="shared" si="10"/>
        <v>No data given</v>
      </c>
      <c r="G259" s="73" t="str">
        <f t="shared" si="11"/>
        <v>No data given</v>
      </c>
    </row>
    <row r="260" spans="5:7" x14ac:dyDescent="0.25">
      <c r="E260" s="1" t="str">
        <f t="shared" si="9"/>
        <v>No data given</v>
      </c>
      <c r="F260" s="36" t="str">
        <f t="shared" si="10"/>
        <v>No data given</v>
      </c>
      <c r="G260" s="73" t="str">
        <f t="shared" si="11"/>
        <v>No data given</v>
      </c>
    </row>
    <row r="261" spans="5:7" x14ac:dyDescent="0.25">
      <c r="E261" s="1" t="str">
        <f t="shared" ref="E261:E324" si="12">IF(B261="","No data given",IF(F261&lt;=D261,"Pass",IF(F261&lt;=(D261+C261),"No Impact","Fail")))</f>
        <v>No data given</v>
      </c>
      <c r="F261" s="36" t="str">
        <f t="shared" si="10"/>
        <v>No data given</v>
      </c>
      <c r="G261" s="73" t="str">
        <f t="shared" si="11"/>
        <v>No data given</v>
      </c>
    </row>
    <row r="262" spans="5:7" x14ac:dyDescent="0.25">
      <c r="E262" s="1" t="str">
        <f t="shared" si="12"/>
        <v>No data given</v>
      </c>
      <c r="F262" s="36" t="str">
        <f t="shared" ref="F262:F325" si="13">IF(B262="","No data given",ABS(A262-B262))</f>
        <v>No data given</v>
      </c>
      <c r="G262" s="73" t="str">
        <f t="shared" si="11"/>
        <v>No data given</v>
      </c>
    </row>
    <row r="263" spans="5:7" x14ac:dyDescent="0.25">
      <c r="E263" s="1" t="str">
        <f t="shared" si="12"/>
        <v>No data given</v>
      </c>
      <c r="F263" s="36" t="str">
        <f t="shared" si="13"/>
        <v>No data given</v>
      </c>
      <c r="G263" s="73" t="str">
        <f t="shared" ref="G263:G326" si="14">IF(B263="","No data given",IF(E263&lt;&gt;"Fail",0,F263/A263))</f>
        <v>No data given</v>
      </c>
    </row>
    <row r="264" spans="5:7" x14ac:dyDescent="0.25">
      <c r="E264" s="1" t="str">
        <f t="shared" si="12"/>
        <v>No data given</v>
      </c>
      <c r="F264" s="36" t="str">
        <f t="shared" si="13"/>
        <v>No data given</v>
      </c>
      <c r="G264" s="73" t="str">
        <f t="shared" si="14"/>
        <v>No data given</v>
      </c>
    </row>
    <row r="265" spans="5:7" x14ac:dyDescent="0.25">
      <c r="E265" s="1" t="str">
        <f t="shared" si="12"/>
        <v>No data given</v>
      </c>
      <c r="F265" s="36" t="str">
        <f t="shared" si="13"/>
        <v>No data given</v>
      </c>
      <c r="G265" s="73" t="str">
        <f t="shared" si="14"/>
        <v>No data given</v>
      </c>
    </row>
    <row r="266" spans="5:7" x14ac:dyDescent="0.25">
      <c r="E266" s="1" t="str">
        <f t="shared" si="12"/>
        <v>No data given</v>
      </c>
      <c r="F266" s="36" t="str">
        <f t="shared" si="13"/>
        <v>No data given</v>
      </c>
      <c r="G266" s="73" t="str">
        <f t="shared" si="14"/>
        <v>No data given</v>
      </c>
    </row>
    <row r="267" spans="5:7" x14ac:dyDescent="0.25">
      <c r="E267" s="1" t="str">
        <f t="shared" si="12"/>
        <v>No data given</v>
      </c>
      <c r="F267" s="36" t="str">
        <f t="shared" si="13"/>
        <v>No data given</v>
      </c>
      <c r="G267" s="73" t="str">
        <f t="shared" si="14"/>
        <v>No data given</v>
      </c>
    </row>
    <row r="268" spans="5:7" x14ac:dyDescent="0.25">
      <c r="E268" s="1" t="str">
        <f t="shared" si="12"/>
        <v>No data given</v>
      </c>
      <c r="F268" s="36" t="str">
        <f t="shared" si="13"/>
        <v>No data given</v>
      </c>
      <c r="G268" s="73" t="str">
        <f t="shared" si="14"/>
        <v>No data given</v>
      </c>
    </row>
    <row r="269" spans="5:7" x14ac:dyDescent="0.25">
      <c r="E269" s="1" t="str">
        <f t="shared" si="12"/>
        <v>No data given</v>
      </c>
      <c r="F269" s="36" t="str">
        <f t="shared" si="13"/>
        <v>No data given</v>
      </c>
      <c r="G269" s="73" t="str">
        <f t="shared" si="14"/>
        <v>No data given</v>
      </c>
    </row>
    <row r="270" spans="5:7" x14ac:dyDescent="0.25">
      <c r="E270" s="1" t="str">
        <f t="shared" si="12"/>
        <v>No data given</v>
      </c>
      <c r="F270" s="36" t="str">
        <f t="shared" si="13"/>
        <v>No data given</v>
      </c>
      <c r="G270" s="73" t="str">
        <f t="shared" si="14"/>
        <v>No data given</v>
      </c>
    </row>
    <row r="271" spans="5:7" x14ac:dyDescent="0.25">
      <c r="E271" s="1" t="str">
        <f t="shared" si="12"/>
        <v>No data given</v>
      </c>
      <c r="F271" s="36" t="str">
        <f t="shared" si="13"/>
        <v>No data given</v>
      </c>
      <c r="G271" s="73" t="str">
        <f t="shared" si="14"/>
        <v>No data given</v>
      </c>
    </row>
    <row r="272" spans="5:7" x14ac:dyDescent="0.25">
      <c r="E272" s="1" t="str">
        <f t="shared" si="12"/>
        <v>No data given</v>
      </c>
      <c r="F272" s="36" t="str">
        <f t="shared" si="13"/>
        <v>No data given</v>
      </c>
      <c r="G272" s="73" t="str">
        <f t="shared" si="14"/>
        <v>No data given</v>
      </c>
    </row>
    <row r="273" spans="5:7" x14ac:dyDescent="0.25">
      <c r="E273" s="1" t="str">
        <f t="shared" si="12"/>
        <v>No data given</v>
      </c>
      <c r="F273" s="36" t="str">
        <f t="shared" si="13"/>
        <v>No data given</v>
      </c>
      <c r="G273" s="73" t="str">
        <f t="shared" si="14"/>
        <v>No data given</v>
      </c>
    </row>
    <row r="274" spans="5:7" x14ac:dyDescent="0.25">
      <c r="E274" s="1" t="str">
        <f t="shared" si="12"/>
        <v>No data given</v>
      </c>
      <c r="F274" s="36" t="str">
        <f t="shared" si="13"/>
        <v>No data given</v>
      </c>
      <c r="G274" s="73" t="str">
        <f t="shared" si="14"/>
        <v>No data given</v>
      </c>
    </row>
    <row r="275" spans="5:7" x14ac:dyDescent="0.25">
      <c r="E275" s="1" t="str">
        <f t="shared" si="12"/>
        <v>No data given</v>
      </c>
      <c r="F275" s="36" t="str">
        <f t="shared" si="13"/>
        <v>No data given</v>
      </c>
      <c r="G275" s="73" t="str">
        <f t="shared" si="14"/>
        <v>No data given</v>
      </c>
    </row>
    <row r="276" spans="5:7" x14ac:dyDescent="0.25">
      <c r="E276" s="1" t="str">
        <f t="shared" si="12"/>
        <v>No data given</v>
      </c>
      <c r="F276" s="36" t="str">
        <f t="shared" si="13"/>
        <v>No data given</v>
      </c>
      <c r="G276" s="73" t="str">
        <f t="shared" si="14"/>
        <v>No data given</v>
      </c>
    </row>
    <row r="277" spans="5:7" x14ac:dyDescent="0.25">
      <c r="E277" s="1" t="str">
        <f t="shared" si="12"/>
        <v>No data given</v>
      </c>
      <c r="F277" s="36" t="str">
        <f t="shared" si="13"/>
        <v>No data given</v>
      </c>
      <c r="G277" s="73" t="str">
        <f t="shared" si="14"/>
        <v>No data given</v>
      </c>
    </row>
    <row r="278" spans="5:7" x14ac:dyDescent="0.25">
      <c r="E278" s="1" t="str">
        <f t="shared" si="12"/>
        <v>No data given</v>
      </c>
      <c r="F278" s="36" t="str">
        <f t="shared" si="13"/>
        <v>No data given</v>
      </c>
      <c r="G278" s="73" t="str">
        <f t="shared" si="14"/>
        <v>No data given</v>
      </c>
    </row>
    <row r="279" spans="5:7" x14ac:dyDescent="0.25">
      <c r="E279" s="1" t="str">
        <f t="shared" si="12"/>
        <v>No data given</v>
      </c>
      <c r="F279" s="36" t="str">
        <f t="shared" si="13"/>
        <v>No data given</v>
      </c>
      <c r="G279" s="73" t="str">
        <f t="shared" si="14"/>
        <v>No data given</v>
      </c>
    </row>
    <row r="280" spans="5:7" x14ac:dyDescent="0.25">
      <c r="E280" s="1" t="str">
        <f t="shared" si="12"/>
        <v>No data given</v>
      </c>
      <c r="F280" s="36" t="str">
        <f t="shared" si="13"/>
        <v>No data given</v>
      </c>
      <c r="G280" s="73" t="str">
        <f t="shared" si="14"/>
        <v>No data given</v>
      </c>
    </row>
    <row r="281" spans="5:7" x14ac:dyDescent="0.25">
      <c r="E281" s="1" t="str">
        <f t="shared" si="12"/>
        <v>No data given</v>
      </c>
      <c r="F281" s="36" t="str">
        <f t="shared" si="13"/>
        <v>No data given</v>
      </c>
      <c r="G281" s="73" t="str">
        <f t="shared" si="14"/>
        <v>No data given</v>
      </c>
    </row>
    <row r="282" spans="5:7" x14ac:dyDescent="0.25">
      <c r="E282" s="1" t="str">
        <f t="shared" si="12"/>
        <v>No data given</v>
      </c>
      <c r="F282" s="36" t="str">
        <f t="shared" si="13"/>
        <v>No data given</v>
      </c>
      <c r="G282" s="73" t="str">
        <f t="shared" si="14"/>
        <v>No data given</v>
      </c>
    </row>
    <row r="283" spans="5:7" x14ac:dyDescent="0.25">
      <c r="E283" s="1" t="str">
        <f t="shared" si="12"/>
        <v>No data given</v>
      </c>
      <c r="F283" s="36" t="str">
        <f t="shared" si="13"/>
        <v>No data given</v>
      </c>
      <c r="G283" s="73" t="str">
        <f t="shared" si="14"/>
        <v>No data given</v>
      </c>
    </row>
    <row r="284" spans="5:7" x14ac:dyDescent="0.25">
      <c r="E284" s="1" t="str">
        <f t="shared" si="12"/>
        <v>No data given</v>
      </c>
      <c r="F284" s="36" t="str">
        <f t="shared" si="13"/>
        <v>No data given</v>
      </c>
      <c r="G284" s="73" t="str">
        <f t="shared" si="14"/>
        <v>No data given</v>
      </c>
    </row>
    <row r="285" spans="5:7" x14ac:dyDescent="0.25">
      <c r="E285" s="1" t="str">
        <f t="shared" si="12"/>
        <v>No data given</v>
      </c>
      <c r="F285" s="36" t="str">
        <f t="shared" si="13"/>
        <v>No data given</v>
      </c>
      <c r="G285" s="73" t="str">
        <f t="shared" si="14"/>
        <v>No data given</v>
      </c>
    </row>
    <row r="286" spans="5:7" x14ac:dyDescent="0.25">
      <c r="E286" s="1" t="str">
        <f t="shared" si="12"/>
        <v>No data given</v>
      </c>
      <c r="F286" s="36" t="str">
        <f t="shared" si="13"/>
        <v>No data given</v>
      </c>
      <c r="G286" s="73" t="str">
        <f t="shared" si="14"/>
        <v>No data given</v>
      </c>
    </row>
    <row r="287" spans="5:7" x14ac:dyDescent="0.25">
      <c r="E287" s="1" t="str">
        <f t="shared" si="12"/>
        <v>No data given</v>
      </c>
      <c r="F287" s="36" t="str">
        <f t="shared" si="13"/>
        <v>No data given</v>
      </c>
      <c r="G287" s="73" t="str">
        <f t="shared" si="14"/>
        <v>No data given</v>
      </c>
    </row>
    <row r="288" spans="5:7" x14ac:dyDescent="0.25">
      <c r="E288" s="1" t="str">
        <f t="shared" si="12"/>
        <v>No data given</v>
      </c>
      <c r="F288" s="36" t="str">
        <f t="shared" si="13"/>
        <v>No data given</v>
      </c>
      <c r="G288" s="73" t="str">
        <f t="shared" si="14"/>
        <v>No data given</v>
      </c>
    </row>
    <row r="289" spans="5:7" x14ac:dyDescent="0.25">
      <c r="E289" s="1" t="str">
        <f t="shared" si="12"/>
        <v>No data given</v>
      </c>
      <c r="F289" s="36" t="str">
        <f t="shared" si="13"/>
        <v>No data given</v>
      </c>
      <c r="G289" s="73" t="str">
        <f t="shared" si="14"/>
        <v>No data given</v>
      </c>
    </row>
    <row r="290" spans="5:7" x14ac:dyDescent="0.25">
      <c r="E290" s="1" t="str">
        <f t="shared" si="12"/>
        <v>No data given</v>
      </c>
      <c r="F290" s="36" t="str">
        <f t="shared" si="13"/>
        <v>No data given</v>
      </c>
      <c r="G290" s="73" t="str">
        <f t="shared" si="14"/>
        <v>No data given</v>
      </c>
    </row>
    <row r="291" spans="5:7" x14ac:dyDescent="0.25">
      <c r="E291" s="1" t="str">
        <f t="shared" si="12"/>
        <v>No data given</v>
      </c>
      <c r="F291" s="36" t="str">
        <f t="shared" si="13"/>
        <v>No data given</v>
      </c>
      <c r="G291" s="73" t="str">
        <f t="shared" si="14"/>
        <v>No data given</v>
      </c>
    </row>
    <row r="292" spans="5:7" x14ac:dyDescent="0.25">
      <c r="E292" s="1" t="str">
        <f t="shared" si="12"/>
        <v>No data given</v>
      </c>
      <c r="F292" s="36" t="str">
        <f t="shared" si="13"/>
        <v>No data given</v>
      </c>
      <c r="G292" s="73" t="str">
        <f t="shared" si="14"/>
        <v>No data given</v>
      </c>
    </row>
    <row r="293" spans="5:7" x14ac:dyDescent="0.25">
      <c r="E293" s="1" t="str">
        <f t="shared" si="12"/>
        <v>No data given</v>
      </c>
      <c r="F293" s="36" t="str">
        <f t="shared" si="13"/>
        <v>No data given</v>
      </c>
      <c r="G293" s="73" t="str">
        <f t="shared" si="14"/>
        <v>No data given</v>
      </c>
    </row>
    <row r="294" spans="5:7" x14ac:dyDescent="0.25">
      <c r="E294" s="1" t="str">
        <f t="shared" si="12"/>
        <v>No data given</v>
      </c>
      <c r="F294" s="36" t="str">
        <f t="shared" si="13"/>
        <v>No data given</v>
      </c>
      <c r="G294" s="73" t="str">
        <f t="shared" si="14"/>
        <v>No data given</v>
      </c>
    </row>
    <row r="295" spans="5:7" x14ac:dyDescent="0.25">
      <c r="E295" s="1" t="str">
        <f t="shared" si="12"/>
        <v>No data given</v>
      </c>
      <c r="F295" s="36" t="str">
        <f t="shared" si="13"/>
        <v>No data given</v>
      </c>
      <c r="G295" s="73" t="str">
        <f t="shared" si="14"/>
        <v>No data given</v>
      </c>
    </row>
    <row r="296" spans="5:7" x14ac:dyDescent="0.25">
      <c r="E296" s="1" t="str">
        <f t="shared" si="12"/>
        <v>No data given</v>
      </c>
      <c r="F296" s="36" t="str">
        <f t="shared" si="13"/>
        <v>No data given</v>
      </c>
      <c r="G296" s="73" t="str">
        <f t="shared" si="14"/>
        <v>No data given</v>
      </c>
    </row>
    <row r="297" spans="5:7" x14ac:dyDescent="0.25">
      <c r="E297" s="1" t="str">
        <f t="shared" si="12"/>
        <v>No data given</v>
      </c>
      <c r="F297" s="36" t="str">
        <f t="shared" si="13"/>
        <v>No data given</v>
      </c>
      <c r="G297" s="73" t="str">
        <f t="shared" si="14"/>
        <v>No data given</v>
      </c>
    </row>
    <row r="298" spans="5:7" x14ac:dyDescent="0.25">
      <c r="E298" s="1" t="str">
        <f t="shared" si="12"/>
        <v>No data given</v>
      </c>
      <c r="F298" s="36" t="str">
        <f t="shared" si="13"/>
        <v>No data given</v>
      </c>
      <c r="G298" s="73" t="str">
        <f t="shared" si="14"/>
        <v>No data given</v>
      </c>
    </row>
    <row r="299" spans="5:7" x14ac:dyDescent="0.25">
      <c r="E299" s="1" t="str">
        <f t="shared" si="12"/>
        <v>No data given</v>
      </c>
      <c r="F299" s="36" t="str">
        <f t="shared" si="13"/>
        <v>No data given</v>
      </c>
      <c r="G299" s="73" t="str">
        <f t="shared" si="14"/>
        <v>No data given</v>
      </c>
    </row>
    <row r="300" spans="5:7" x14ac:dyDescent="0.25">
      <c r="E300" s="1" t="str">
        <f t="shared" si="12"/>
        <v>No data given</v>
      </c>
      <c r="F300" s="36" t="str">
        <f t="shared" si="13"/>
        <v>No data given</v>
      </c>
      <c r="G300" s="73" t="str">
        <f t="shared" si="14"/>
        <v>No data given</v>
      </c>
    </row>
    <row r="301" spans="5:7" x14ac:dyDescent="0.25">
      <c r="E301" s="1" t="str">
        <f t="shared" si="12"/>
        <v>No data given</v>
      </c>
      <c r="F301" s="36" t="str">
        <f t="shared" si="13"/>
        <v>No data given</v>
      </c>
      <c r="G301" s="73" t="str">
        <f t="shared" si="14"/>
        <v>No data given</v>
      </c>
    </row>
    <row r="302" spans="5:7" x14ac:dyDescent="0.25">
      <c r="E302" s="1" t="str">
        <f t="shared" si="12"/>
        <v>No data given</v>
      </c>
      <c r="F302" s="36" t="str">
        <f t="shared" si="13"/>
        <v>No data given</v>
      </c>
      <c r="G302" s="73" t="str">
        <f t="shared" si="14"/>
        <v>No data given</v>
      </c>
    </row>
    <row r="303" spans="5:7" x14ac:dyDescent="0.25">
      <c r="E303" s="1" t="str">
        <f t="shared" si="12"/>
        <v>No data given</v>
      </c>
      <c r="F303" s="36" t="str">
        <f t="shared" si="13"/>
        <v>No data given</v>
      </c>
      <c r="G303" s="73" t="str">
        <f t="shared" si="14"/>
        <v>No data given</v>
      </c>
    </row>
    <row r="304" spans="5:7" x14ac:dyDescent="0.25">
      <c r="E304" s="1" t="str">
        <f t="shared" si="12"/>
        <v>No data given</v>
      </c>
      <c r="F304" s="36" t="str">
        <f t="shared" si="13"/>
        <v>No data given</v>
      </c>
      <c r="G304" s="73" t="str">
        <f t="shared" si="14"/>
        <v>No data given</v>
      </c>
    </row>
    <row r="305" spans="5:7" x14ac:dyDescent="0.25">
      <c r="E305" s="1" t="str">
        <f t="shared" si="12"/>
        <v>No data given</v>
      </c>
      <c r="F305" s="36" t="str">
        <f t="shared" si="13"/>
        <v>No data given</v>
      </c>
      <c r="G305" s="73" t="str">
        <f t="shared" si="14"/>
        <v>No data given</v>
      </c>
    </row>
    <row r="306" spans="5:7" x14ac:dyDescent="0.25">
      <c r="E306" s="1" t="str">
        <f t="shared" si="12"/>
        <v>No data given</v>
      </c>
      <c r="F306" s="36" t="str">
        <f t="shared" si="13"/>
        <v>No data given</v>
      </c>
      <c r="G306" s="73" t="str">
        <f t="shared" si="14"/>
        <v>No data given</v>
      </c>
    </row>
    <row r="307" spans="5:7" x14ac:dyDescent="0.25">
      <c r="E307" s="1" t="str">
        <f t="shared" si="12"/>
        <v>No data given</v>
      </c>
      <c r="F307" s="36" t="str">
        <f t="shared" si="13"/>
        <v>No data given</v>
      </c>
      <c r="G307" s="73" t="str">
        <f t="shared" si="14"/>
        <v>No data given</v>
      </c>
    </row>
    <row r="308" spans="5:7" x14ac:dyDescent="0.25">
      <c r="E308" s="1" t="str">
        <f t="shared" si="12"/>
        <v>No data given</v>
      </c>
      <c r="F308" s="36" t="str">
        <f t="shared" si="13"/>
        <v>No data given</v>
      </c>
      <c r="G308" s="73" t="str">
        <f t="shared" si="14"/>
        <v>No data given</v>
      </c>
    </row>
    <row r="309" spans="5:7" x14ac:dyDescent="0.25">
      <c r="E309" s="1" t="str">
        <f t="shared" si="12"/>
        <v>No data given</v>
      </c>
      <c r="F309" s="36" t="str">
        <f t="shared" si="13"/>
        <v>No data given</v>
      </c>
      <c r="G309" s="73" t="str">
        <f t="shared" si="14"/>
        <v>No data given</v>
      </c>
    </row>
    <row r="310" spans="5:7" x14ac:dyDescent="0.25">
      <c r="E310" s="1" t="str">
        <f t="shared" si="12"/>
        <v>No data given</v>
      </c>
      <c r="F310" s="36" t="str">
        <f t="shared" si="13"/>
        <v>No data given</v>
      </c>
      <c r="G310" s="73" t="str">
        <f t="shared" si="14"/>
        <v>No data given</v>
      </c>
    </row>
    <row r="311" spans="5:7" x14ac:dyDescent="0.25">
      <c r="E311" s="1" t="str">
        <f t="shared" si="12"/>
        <v>No data given</v>
      </c>
      <c r="F311" s="36" t="str">
        <f t="shared" si="13"/>
        <v>No data given</v>
      </c>
      <c r="G311" s="73" t="str">
        <f t="shared" si="14"/>
        <v>No data given</v>
      </c>
    </row>
    <row r="312" spans="5:7" x14ac:dyDescent="0.25">
      <c r="E312" s="1" t="str">
        <f t="shared" si="12"/>
        <v>No data given</v>
      </c>
      <c r="F312" s="36" t="str">
        <f t="shared" si="13"/>
        <v>No data given</v>
      </c>
      <c r="G312" s="73" t="str">
        <f t="shared" si="14"/>
        <v>No data given</v>
      </c>
    </row>
    <row r="313" spans="5:7" x14ac:dyDescent="0.25">
      <c r="E313" s="1" t="str">
        <f t="shared" si="12"/>
        <v>No data given</v>
      </c>
      <c r="F313" s="36" t="str">
        <f t="shared" si="13"/>
        <v>No data given</v>
      </c>
      <c r="G313" s="73" t="str">
        <f t="shared" si="14"/>
        <v>No data given</v>
      </c>
    </row>
    <row r="314" spans="5:7" x14ac:dyDescent="0.25">
      <c r="E314" s="1" t="str">
        <f t="shared" si="12"/>
        <v>No data given</v>
      </c>
      <c r="F314" s="36" t="str">
        <f t="shared" si="13"/>
        <v>No data given</v>
      </c>
      <c r="G314" s="73" t="str">
        <f t="shared" si="14"/>
        <v>No data given</v>
      </c>
    </row>
    <row r="315" spans="5:7" x14ac:dyDescent="0.25">
      <c r="E315" s="1" t="str">
        <f t="shared" si="12"/>
        <v>No data given</v>
      </c>
      <c r="F315" s="36" t="str">
        <f t="shared" si="13"/>
        <v>No data given</v>
      </c>
      <c r="G315" s="73" t="str">
        <f t="shared" si="14"/>
        <v>No data given</v>
      </c>
    </row>
    <row r="316" spans="5:7" x14ac:dyDescent="0.25">
      <c r="E316" s="1" t="str">
        <f t="shared" si="12"/>
        <v>No data given</v>
      </c>
      <c r="F316" s="36" t="str">
        <f t="shared" si="13"/>
        <v>No data given</v>
      </c>
      <c r="G316" s="73" t="str">
        <f t="shared" si="14"/>
        <v>No data given</v>
      </c>
    </row>
    <row r="317" spans="5:7" x14ac:dyDescent="0.25">
      <c r="E317" s="1" t="str">
        <f t="shared" si="12"/>
        <v>No data given</v>
      </c>
      <c r="F317" s="36" t="str">
        <f t="shared" si="13"/>
        <v>No data given</v>
      </c>
      <c r="G317" s="73" t="str">
        <f t="shared" si="14"/>
        <v>No data given</v>
      </c>
    </row>
    <row r="318" spans="5:7" x14ac:dyDescent="0.25">
      <c r="E318" s="1" t="str">
        <f t="shared" si="12"/>
        <v>No data given</v>
      </c>
      <c r="F318" s="36" t="str">
        <f t="shared" si="13"/>
        <v>No data given</v>
      </c>
      <c r="G318" s="73" t="str">
        <f t="shared" si="14"/>
        <v>No data given</v>
      </c>
    </row>
    <row r="319" spans="5:7" x14ac:dyDescent="0.25">
      <c r="E319" s="1" t="str">
        <f t="shared" si="12"/>
        <v>No data given</v>
      </c>
      <c r="F319" s="36" t="str">
        <f t="shared" si="13"/>
        <v>No data given</v>
      </c>
      <c r="G319" s="73" t="str">
        <f t="shared" si="14"/>
        <v>No data given</v>
      </c>
    </row>
    <row r="320" spans="5:7" x14ac:dyDescent="0.25">
      <c r="E320" s="1" t="str">
        <f t="shared" si="12"/>
        <v>No data given</v>
      </c>
      <c r="F320" s="36" t="str">
        <f t="shared" si="13"/>
        <v>No data given</v>
      </c>
      <c r="G320" s="73" t="str">
        <f t="shared" si="14"/>
        <v>No data given</v>
      </c>
    </row>
    <row r="321" spans="5:7" x14ac:dyDescent="0.25">
      <c r="E321" s="1" t="str">
        <f t="shared" si="12"/>
        <v>No data given</v>
      </c>
      <c r="F321" s="36" t="str">
        <f t="shared" si="13"/>
        <v>No data given</v>
      </c>
      <c r="G321" s="73" t="str">
        <f t="shared" si="14"/>
        <v>No data given</v>
      </c>
    </row>
    <row r="322" spans="5:7" x14ac:dyDescent="0.25">
      <c r="E322" s="1" t="str">
        <f t="shared" si="12"/>
        <v>No data given</v>
      </c>
      <c r="F322" s="36" t="str">
        <f t="shared" si="13"/>
        <v>No data given</v>
      </c>
      <c r="G322" s="73" t="str">
        <f t="shared" si="14"/>
        <v>No data given</v>
      </c>
    </row>
    <row r="323" spans="5:7" x14ac:dyDescent="0.25">
      <c r="E323" s="1" t="str">
        <f t="shared" si="12"/>
        <v>No data given</v>
      </c>
      <c r="F323" s="36" t="str">
        <f t="shared" si="13"/>
        <v>No data given</v>
      </c>
      <c r="G323" s="73" t="str">
        <f t="shared" si="14"/>
        <v>No data given</v>
      </c>
    </row>
    <row r="324" spans="5:7" x14ac:dyDescent="0.25">
      <c r="E324" s="1" t="str">
        <f t="shared" si="12"/>
        <v>No data given</v>
      </c>
      <c r="F324" s="36" t="str">
        <f t="shared" si="13"/>
        <v>No data given</v>
      </c>
      <c r="G324" s="73" t="str">
        <f t="shared" si="14"/>
        <v>No data given</v>
      </c>
    </row>
    <row r="325" spans="5:7" x14ac:dyDescent="0.25">
      <c r="E325" s="1" t="str">
        <f t="shared" ref="E325:E388" si="15">IF(B325="","No data given",IF(F325&lt;=D325,"Pass",IF(F325&lt;=(D325+C325),"No Impact","Fail")))</f>
        <v>No data given</v>
      </c>
      <c r="F325" s="36" t="str">
        <f t="shared" si="13"/>
        <v>No data given</v>
      </c>
      <c r="G325" s="73" t="str">
        <f t="shared" si="14"/>
        <v>No data given</v>
      </c>
    </row>
    <row r="326" spans="5:7" x14ac:dyDescent="0.25">
      <c r="E326" s="1" t="str">
        <f t="shared" si="15"/>
        <v>No data given</v>
      </c>
      <c r="F326" s="36" t="str">
        <f t="shared" ref="F326:F389" si="16">IF(B326="","No data given",ABS(A326-B326))</f>
        <v>No data given</v>
      </c>
      <c r="G326" s="73" t="str">
        <f t="shared" si="14"/>
        <v>No data given</v>
      </c>
    </row>
    <row r="327" spans="5:7" x14ac:dyDescent="0.25">
      <c r="E327" s="1" t="str">
        <f t="shared" si="15"/>
        <v>No data given</v>
      </c>
      <c r="F327" s="36" t="str">
        <f t="shared" si="16"/>
        <v>No data given</v>
      </c>
      <c r="G327" s="73" t="str">
        <f t="shared" ref="G327:G390" si="17">IF(B327="","No data given",IF(E327&lt;&gt;"Fail",0,F327/A327))</f>
        <v>No data given</v>
      </c>
    </row>
    <row r="328" spans="5:7" x14ac:dyDescent="0.25">
      <c r="E328" s="1" t="str">
        <f t="shared" si="15"/>
        <v>No data given</v>
      </c>
      <c r="F328" s="36" t="str">
        <f t="shared" si="16"/>
        <v>No data given</v>
      </c>
      <c r="G328" s="73" t="str">
        <f t="shared" si="17"/>
        <v>No data given</v>
      </c>
    </row>
    <row r="329" spans="5:7" x14ac:dyDescent="0.25">
      <c r="E329" s="1" t="str">
        <f t="shared" si="15"/>
        <v>No data given</v>
      </c>
      <c r="F329" s="36" t="str">
        <f t="shared" si="16"/>
        <v>No data given</v>
      </c>
      <c r="G329" s="73" t="str">
        <f t="shared" si="17"/>
        <v>No data given</v>
      </c>
    </row>
    <row r="330" spans="5:7" x14ac:dyDescent="0.25">
      <c r="E330" s="1" t="str">
        <f t="shared" si="15"/>
        <v>No data given</v>
      </c>
      <c r="F330" s="36" t="str">
        <f t="shared" si="16"/>
        <v>No data given</v>
      </c>
      <c r="G330" s="73" t="str">
        <f t="shared" si="17"/>
        <v>No data given</v>
      </c>
    </row>
    <row r="331" spans="5:7" x14ac:dyDescent="0.25">
      <c r="E331" s="1" t="str">
        <f t="shared" si="15"/>
        <v>No data given</v>
      </c>
      <c r="F331" s="36" t="str">
        <f t="shared" si="16"/>
        <v>No data given</v>
      </c>
      <c r="G331" s="73" t="str">
        <f t="shared" si="17"/>
        <v>No data given</v>
      </c>
    </row>
    <row r="332" spans="5:7" x14ac:dyDescent="0.25">
      <c r="E332" s="1" t="str">
        <f t="shared" si="15"/>
        <v>No data given</v>
      </c>
      <c r="F332" s="36" t="str">
        <f t="shared" si="16"/>
        <v>No data given</v>
      </c>
      <c r="G332" s="73" t="str">
        <f t="shared" si="17"/>
        <v>No data given</v>
      </c>
    </row>
    <row r="333" spans="5:7" x14ac:dyDescent="0.25">
      <c r="E333" s="1" t="str">
        <f t="shared" si="15"/>
        <v>No data given</v>
      </c>
      <c r="F333" s="36" t="str">
        <f t="shared" si="16"/>
        <v>No data given</v>
      </c>
      <c r="G333" s="73" t="str">
        <f t="shared" si="17"/>
        <v>No data given</v>
      </c>
    </row>
    <row r="334" spans="5:7" x14ac:dyDescent="0.25">
      <c r="E334" s="1" t="str">
        <f t="shared" si="15"/>
        <v>No data given</v>
      </c>
      <c r="F334" s="36" t="str">
        <f t="shared" si="16"/>
        <v>No data given</v>
      </c>
      <c r="G334" s="73" t="str">
        <f t="shared" si="17"/>
        <v>No data given</v>
      </c>
    </row>
    <row r="335" spans="5:7" x14ac:dyDescent="0.25">
      <c r="E335" s="1" t="str">
        <f t="shared" si="15"/>
        <v>No data given</v>
      </c>
      <c r="F335" s="36" t="str">
        <f t="shared" si="16"/>
        <v>No data given</v>
      </c>
      <c r="G335" s="73" t="str">
        <f t="shared" si="17"/>
        <v>No data given</v>
      </c>
    </row>
    <row r="336" spans="5:7" x14ac:dyDescent="0.25">
      <c r="E336" s="1" t="str">
        <f t="shared" si="15"/>
        <v>No data given</v>
      </c>
      <c r="F336" s="36" t="str">
        <f t="shared" si="16"/>
        <v>No data given</v>
      </c>
      <c r="G336" s="73" t="str">
        <f t="shared" si="17"/>
        <v>No data given</v>
      </c>
    </row>
    <row r="337" spans="5:7" x14ac:dyDescent="0.25">
      <c r="E337" s="1" t="str">
        <f t="shared" si="15"/>
        <v>No data given</v>
      </c>
      <c r="F337" s="36" t="str">
        <f t="shared" si="16"/>
        <v>No data given</v>
      </c>
      <c r="G337" s="73" t="str">
        <f t="shared" si="17"/>
        <v>No data given</v>
      </c>
    </row>
    <row r="338" spans="5:7" x14ac:dyDescent="0.25">
      <c r="E338" s="1" t="str">
        <f t="shared" si="15"/>
        <v>No data given</v>
      </c>
      <c r="F338" s="36" t="str">
        <f t="shared" si="16"/>
        <v>No data given</v>
      </c>
      <c r="G338" s="73" t="str">
        <f t="shared" si="17"/>
        <v>No data given</v>
      </c>
    </row>
    <row r="339" spans="5:7" x14ac:dyDescent="0.25">
      <c r="E339" s="1" t="str">
        <f t="shared" si="15"/>
        <v>No data given</v>
      </c>
      <c r="F339" s="36" t="str">
        <f t="shared" si="16"/>
        <v>No data given</v>
      </c>
      <c r="G339" s="73" t="str">
        <f t="shared" si="17"/>
        <v>No data given</v>
      </c>
    </row>
    <row r="340" spans="5:7" x14ac:dyDescent="0.25">
      <c r="E340" s="1" t="str">
        <f t="shared" si="15"/>
        <v>No data given</v>
      </c>
      <c r="F340" s="36" t="str">
        <f t="shared" si="16"/>
        <v>No data given</v>
      </c>
      <c r="G340" s="73" t="str">
        <f t="shared" si="17"/>
        <v>No data given</v>
      </c>
    </row>
    <row r="341" spans="5:7" x14ac:dyDescent="0.25">
      <c r="E341" s="1" t="str">
        <f t="shared" si="15"/>
        <v>No data given</v>
      </c>
      <c r="F341" s="36" t="str">
        <f t="shared" si="16"/>
        <v>No data given</v>
      </c>
      <c r="G341" s="73" t="str">
        <f t="shared" si="17"/>
        <v>No data given</v>
      </c>
    </row>
    <row r="342" spans="5:7" x14ac:dyDescent="0.25">
      <c r="E342" s="1" t="str">
        <f t="shared" si="15"/>
        <v>No data given</v>
      </c>
      <c r="F342" s="36" t="str">
        <f t="shared" si="16"/>
        <v>No data given</v>
      </c>
      <c r="G342" s="73" t="str">
        <f t="shared" si="17"/>
        <v>No data given</v>
      </c>
    </row>
    <row r="343" spans="5:7" x14ac:dyDescent="0.25">
      <c r="E343" s="1" t="str">
        <f t="shared" si="15"/>
        <v>No data given</v>
      </c>
      <c r="F343" s="36" t="str">
        <f t="shared" si="16"/>
        <v>No data given</v>
      </c>
      <c r="G343" s="73" t="str">
        <f t="shared" si="17"/>
        <v>No data given</v>
      </c>
    </row>
    <row r="344" spans="5:7" x14ac:dyDescent="0.25">
      <c r="E344" s="1" t="str">
        <f t="shared" si="15"/>
        <v>No data given</v>
      </c>
      <c r="F344" s="36" t="str">
        <f t="shared" si="16"/>
        <v>No data given</v>
      </c>
      <c r="G344" s="73" t="str">
        <f t="shared" si="17"/>
        <v>No data given</v>
      </c>
    </row>
    <row r="345" spans="5:7" x14ac:dyDescent="0.25">
      <c r="E345" s="1" t="str">
        <f t="shared" si="15"/>
        <v>No data given</v>
      </c>
      <c r="F345" s="36" t="str">
        <f t="shared" si="16"/>
        <v>No data given</v>
      </c>
      <c r="G345" s="73" t="str">
        <f t="shared" si="17"/>
        <v>No data given</v>
      </c>
    </row>
    <row r="346" spans="5:7" x14ac:dyDescent="0.25">
      <c r="E346" s="1" t="str">
        <f t="shared" si="15"/>
        <v>No data given</v>
      </c>
      <c r="F346" s="36" t="str">
        <f t="shared" si="16"/>
        <v>No data given</v>
      </c>
      <c r="G346" s="73" t="str">
        <f t="shared" si="17"/>
        <v>No data given</v>
      </c>
    </row>
    <row r="347" spans="5:7" x14ac:dyDescent="0.25">
      <c r="E347" s="1" t="str">
        <f t="shared" si="15"/>
        <v>No data given</v>
      </c>
      <c r="F347" s="36" t="str">
        <f t="shared" si="16"/>
        <v>No data given</v>
      </c>
      <c r="G347" s="73" t="str">
        <f t="shared" si="17"/>
        <v>No data given</v>
      </c>
    </row>
    <row r="348" spans="5:7" x14ac:dyDescent="0.25">
      <c r="E348" s="1" t="str">
        <f t="shared" si="15"/>
        <v>No data given</v>
      </c>
      <c r="F348" s="36" t="str">
        <f t="shared" si="16"/>
        <v>No data given</v>
      </c>
      <c r="G348" s="73" t="str">
        <f t="shared" si="17"/>
        <v>No data given</v>
      </c>
    </row>
    <row r="349" spans="5:7" x14ac:dyDescent="0.25">
      <c r="E349" s="1" t="str">
        <f t="shared" si="15"/>
        <v>No data given</v>
      </c>
      <c r="F349" s="36" t="str">
        <f t="shared" si="16"/>
        <v>No data given</v>
      </c>
      <c r="G349" s="73" t="str">
        <f t="shared" si="17"/>
        <v>No data given</v>
      </c>
    </row>
    <row r="350" spans="5:7" x14ac:dyDescent="0.25">
      <c r="E350" s="1" t="str">
        <f t="shared" si="15"/>
        <v>No data given</v>
      </c>
      <c r="F350" s="36" t="str">
        <f t="shared" si="16"/>
        <v>No data given</v>
      </c>
      <c r="G350" s="73" t="str">
        <f t="shared" si="17"/>
        <v>No data given</v>
      </c>
    </row>
    <row r="351" spans="5:7" x14ac:dyDescent="0.25">
      <c r="E351" s="1" t="str">
        <f t="shared" si="15"/>
        <v>No data given</v>
      </c>
      <c r="F351" s="36" t="str">
        <f t="shared" si="16"/>
        <v>No data given</v>
      </c>
      <c r="G351" s="73" t="str">
        <f t="shared" si="17"/>
        <v>No data given</v>
      </c>
    </row>
    <row r="352" spans="5:7" x14ac:dyDescent="0.25">
      <c r="E352" s="1" t="str">
        <f t="shared" si="15"/>
        <v>No data given</v>
      </c>
      <c r="F352" s="36" t="str">
        <f t="shared" si="16"/>
        <v>No data given</v>
      </c>
      <c r="G352" s="73" t="str">
        <f t="shared" si="17"/>
        <v>No data given</v>
      </c>
    </row>
    <row r="353" spans="5:7" x14ac:dyDescent="0.25">
      <c r="E353" s="1" t="str">
        <f t="shared" si="15"/>
        <v>No data given</v>
      </c>
      <c r="F353" s="36" t="str">
        <f t="shared" si="16"/>
        <v>No data given</v>
      </c>
      <c r="G353" s="73" t="str">
        <f t="shared" si="17"/>
        <v>No data given</v>
      </c>
    </row>
    <row r="354" spans="5:7" x14ac:dyDescent="0.25">
      <c r="E354" s="1" t="str">
        <f t="shared" si="15"/>
        <v>No data given</v>
      </c>
      <c r="F354" s="36" t="str">
        <f t="shared" si="16"/>
        <v>No data given</v>
      </c>
      <c r="G354" s="73" t="str">
        <f t="shared" si="17"/>
        <v>No data given</v>
      </c>
    </row>
    <row r="355" spans="5:7" x14ac:dyDescent="0.25">
      <c r="E355" s="1" t="str">
        <f t="shared" si="15"/>
        <v>No data given</v>
      </c>
      <c r="F355" s="36" t="str">
        <f t="shared" si="16"/>
        <v>No data given</v>
      </c>
      <c r="G355" s="73" t="str">
        <f t="shared" si="17"/>
        <v>No data given</v>
      </c>
    </row>
    <row r="356" spans="5:7" x14ac:dyDescent="0.25">
      <c r="E356" s="1" t="str">
        <f t="shared" si="15"/>
        <v>No data given</v>
      </c>
      <c r="F356" s="36" t="str">
        <f t="shared" si="16"/>
        <v>No data given</v>
      </c>
      <c r="G356" s="73" t="str">
        <f t="shared" si="17"/>
        <v>No data given</v>
      </c>
    </row>
    <row r="357" spans="5:7" x14ac:dyDescent="0.25">
      <c r="E357" s="1" t="str">
        <f t="shared" si="15"/>
        <v>No data given</v>
      </c>
      <c r="F357" s="36" t="str">
        <f t="shared" si="16"/>
        <v>No data given</v>
      </c>
      <c r="G357" s="73" t="str">
        <f t="shared" si="17"/>
        <v>No data given</v>
      </c>
    </row>
    <row r="358" spans="5:7" x14ac:dyDescent="0.25">
      <c r="E358" s="1" t="str">
        <f t="shared" si="15"/>
        <v>No data given</v>
      </c>
      <c r="F358" s="36" t="str">
        <f t="shared" si="16"/>
        <v>No data given</v>
      </c>
      <c r="G358" s="73" t="str">
        <f t="shared" si="17"/>
        <v>No data given</v>
      </c>
    </row>
    <row r="359" spans="5:7" x14ac:dyDescent="0.25">
      <c r="E359" s="1" t="str">
        <f t="shared" si="15"/>
        <v>No data given</v>
      </c>
      <c r="F359" s="36" t="str">
        <f t="shared" si="16"/>
        <v>No data given</v>
      </c>
      <c r="G359" s="73" t="str">
        <f t="shared" si="17"/>
        <v>No data given</v>
      </c>
    </row>
    <row r="360" spans="5:7" x14ac:dyDescent="0.25">
      <c r="E360" s="1" t="str">
        <f t="shared" si="15"/>
        <v>No data given</v>
      </c>
      <c r="F360" s="36" t="str">
        <f t="shared" si="16"/>
        <v>No data given</v>
      </c>
      <c r="G360" s="73" t="str">
        <f t="shared" si="17"/>
        <v>No data given</v>
      </c>
    </row>
    <row r="361" spans="5:7" x14ac:dyDescent="0.25">
      <c r="E361" s="1" t="str">
        <f t="shared" si="15"/>
        <v>No data given</v>
      </c>
      <c r="F361" s="36" t="str">
        <f t="shared" si="16"/>
        <v>No data given</v>
      </c>
      <c r="G361" s="73" t="str">
        <f t="shared" si="17"/>
        <v>No data given</v>
      </c>
    </row>
    <row r="362" spans="5:7" x14ac:dyDescent="0.25">
      <c r="E362" s="1" t="str">
        <f t="shared" si="15"/>
        <v>No data given</v>
      </c>
      <c r="F362" s="36" t="str">
        <f t="shared" si="16"/>
        <v>No data given</v>
      </c>
      <c r="G362" s="73" t="str">
        <f t="shared" si="17"/>
        <v>No data given</v>
      </c>
    </row>
    <row r="363" spans="5:7" x14ac:dyDescent="0.25">
      <c r="E363" s="1" t="str">
        <f t="shared" si="15"/>
        <v>No data given</v>
      </c>
      <c r="F363" s="36" t="str">
        <f t="shared" si="16"/>
        <v>No data given</v>
      </c>
      <c r="G363" s="73" t="str">
        <f t="shared" si="17"/>
        <v>No data given</v>
      </c>
    </row>
    <row r="364" spans="5:7" x14ac:dyDescent="0.25">
      <c r="E364" s="1" t="str">
        <f t="shared" si="15"/>
        <v>No data given</v>
      </c>
      <c r="F364" s="36" t="str">
        <f t="shared" si="16"/>
        <v>No data given</v>
      </c>
      <c r="G364" s="73" t="str">
        <f t="shared" si="17"/>
        <v>No data given</v>
      </c>
    </row>
    <row r="365" spans="5:7" x14ac:dyDescent="0.25">
      <c r="E365" s="1" t="str">
        <f t="shared" si="15"/>
        <v>No data given</v>
      </c>
      <c r="F365" s="36" t="str">
        <f t="shared" si="16"/>
        <v>No data given</v>
      </c>
      <c r="G365" s="73" t="str">
        <f t="shared" si="17"/>
        <v>No data given</v>
      </c>
    </row>
    <row r="366" spans="5:7" x14ac:dyDescent="0.25">
      <c r="E366" s="1" t="str">
        <f t="shared" si="15"/>
        <v>No data given</v>
      </c>
      <c r="F366" s="36" t="str">
        <f t="shared" si="16"/>
        <v>No data given</v>
      </c>
      <c r="G366" s="73" t="str">
        <f t="shared" si="17"/>
        <v>No data given</v>
      </c>
    </row>
    <row r="367" spans="5:7" x14ac:dyDescent="0.25">
      <c r="E367" s="1" t="str">
        <f t="shared" si="15"/>
        <v>No data given</v>
      </c>
      <c r="F367" s="36" t="str">
        <f t="shared" si="16"/>
        <v>No data given</v>
      </c>
      <c r="G367" s="73" t="str">
        <f t="shared" si="17"/>
        <v>No data given</v>
      </c>
    </row>
    <row r="368" spans="5:7" x14ac:dyDescent="0.25">
      <c r="E368" s="1" t="str">
        <f t="shared" si="15"/>
        <v>No data given</v>
      </c>
      <c r="F368" s="36" t="str">
        <f t="shared" si="16"/>
        <v>No data given</v>
      </c>
      <c r="G368" s="73" t="str">
        <f t="shared" si="17"/>
        <v>No data given</v>
      </c>
    </row>
    <row r="369" spans="5:7" x14ac:dyDescent="0.25">
      <c r="E369" s="1" t="str">
        <f t="shared" si="15"/>
        <v>No data given</v>
      </c>
      <c r="F369" s="36" t="str">
        <f t="shared" si="16"/>
        <v>No data given</v>
      </c>
      <c r="G369" s="73" t="str">
        <f t="shared" si="17"/>
        <v>No data given</v>
      </c>
    </row>
    <row r="370" spans="5:7" x14ac:dyDescent="0.25">
      <c r="E370" s="1" t="str">
        <f t="shared" si="15"/>
        <v>No data given</v>
      </c>
      <c r="F370" s="36" t="str">
        <f t="shared" si="16"/>
        <v>No data given</v>
      </c>
      <c r="G370" s="73" t="str">
        <f t="shared" si="17"/>
        <v>No data given</v>
      </c>
    </row>
    <row r="371" spans="5:7" x14ac:dyDescent="0.25">
      <c r="E371" s="1" t="str">
        <f t="shared" si="15"/>
        <v>No data given</v>
      </c>
      <c r="F371" s="36" t="str">
        <f t="shared" si="16"/>
        <v>No data given</v>
      </c>
      <c r="G371" s="73" t="str">
        <f t="shared" si="17"/>
        <v>No data given</v>
      </c>
    </row>
    <row r="372" spans="5:7" x14ac:dyDescent="0.25">
      <c r="E372" s="1" t="str">
        <f t="shared" si="15"/>
        <v>No data given</v>
      </c>
      <c r="F372" s="36" t="str">
        <f t="shared" si="16"/>
        <v>No data given</v>
      </c>
      <c r="G372" s="73" t="str">
        <f t="shared" si="17"/>
        <v>No data given</v>
      </c>
    </row>
    <row r="373" spans="5:7" x14ac:dyDescent="0.25">
      <c r="E373" s="1" t="str">
        <f t="shared" si="15"/>
        <v>No data given</v>
      </c>
      <c r="F373" s="36" t="str">
        <f t="shared" si="16"/>
        <v>No data given</v>
      </c>
      <c r="G373" s="73" t="str">
        <f t="shared" si="17"/>
        <v>No data given</v>
      </c>
    </row>
    <row r="374" spans="5:7" x14ac:dyDescent="0.25">
      <c r="E374" s="1" t="str">
        <f t="shared" si="15"/>
        <v>No data given</v>
      </c>
      <c r="F374" s="36" t="str">
        <f t="shared" si="16"/>
        <v>No data given</v>
      </c>
      <c r="G374" s="73" t="str">
        <f t="shared" si="17"/>
        <v>No data given</v>
      </c>
    </row>
    <row r="375" spans="5:7" x14ac:dyDescent="0.25">
      <c r="E375" s="1" t="str">
        <f t="shared" si="15"/>
        <v>No data given</v>
      </c>
      <c r="F375" s="36" t="str">
        <f t="shared" si="16"/>
        <v>No data given</v>
      </c>
      <c r="G375" s="73" t="str">
        <f t="shared" si="17"/>
        <v>No data given</v>
      </c>
    </row>
    <row r="376" spans="5:7" x14ac:dyDescent="0.25">
      <c r="E376" s="1" t="str">
        <f t="shared" si="15"/>
        <v>No data given</v>
      </c>
      <c r="F376" s="36" t="str">
        <f t="shared" si="16"/>
        <v>No data given</v>
      </c>
      <c r="G376" s="73" t="str">
        <f t="shared" si="17"/>
        <v>No data given</v>
      </c>
    </row>
    <row r="377" spans="5:7" x14ac:dyDescent="0.25">
      <c r="E377" s="1" t="str">
        <f t="shared" si="15"/>
        <v>No data given</v>
      </c>
      <c r="F377" s="36" t="str">
        <f t="shared" si="16"/>
        <v>No data given</v>
      </c>
      <c r="G377" s="73" t="str">
        <f t="shared" si="17"/>
        <v>No data given</v>
      </c>
    </row>
    <row r="378" spans="5:7" x14ac:dyDescent="0.25">
      <c r="E378" s="1" t="str">
        <f t="shared" si="15"/>
        <v>No data given</v>
      </c>
      <c r="F378" s="36" t="str">
        <f t="shared" si="16"/>
        <v>No data given</v>
      </c>
      <c r="G378" s="73" t="str">
        <f t="shared" si="17"/>
        <v>No data given</v>
      </c>
    </row>
    <row r="379" spans="5:7" x14ac:dyDescent="0.25">
      <c r="E379" s="1" t="str">
        <f t="shared" si="15"/>
        <v>No data given</v>
      </c>
      <c r="F379" s="36" t="str">
        <f t="shared" si="16"/>
        <v>No data given</v>
      </c>
      <c r="G379" s="73" t="str">
        <f t="shared" si="17"/>
        <v>No data given</v>
      </c>
    </row>
    <row r="380" spans="5:7" x14ac:dyDescent="0.25">
      <c r="E380" s="1" t="str">
        <f t="shared" si="15"/>
        <v>No data given</v>
      </c>
      <c r="F380" s="36" t="str">
        <f t="shared" si="16"/>
        <v>No data given</v>
      </c>
      <c r="G380" s="73" t="str">
        <f t="shared" si="17"/>
        <v>No data given</v>
      </c>
    </row>
    <row r="381" spans="5:7" x14ac:dyDescent="0.25">
      <c r="E381" s="1" t="str">
        <f t="shared" si="15"/>
        <v>No data given</v>
      </c>
      <c r="F381" s="36" t="str">
        <f t="shared" si="16"/>
        <v>No data given</v>
      </c>
      <c r="G381" s="73" t="str">
        <f t="shared" si="17"/>
        <v>No data given</v>
      </c>
    </row>
    <row r="382" spans="5:7" x14ac:dyDescent="0.25">
      <c r="E382" s="1" t="str">
        <f t="shared" si="15"/>
        <v>No data given</v>
      </c>
      <c r="F382" s="36" t="str">
        <f t="shared" si="16"/>
        <v>No data given</v>
      </c>
      <c r="G382" s="73" t="str">
        <f t="shared" si="17"/>
        <v>No data given</v>
      </c>
    </row>
    <row r="383" spans="5:7" x14ac:dyDescent="0.25">
      <c r="E383" s="1" t="str">
        <f t="shared" si="15"/>
        <v>No data given</v>
      </c>
      <c r="F383" s="36" t="str">
        <f t="shared" si="16"/>
        <v>No data given</v>
      </c>
      <c r="G383" s="73" t="str">
        <f t="shared" si="17"/>
        <v>No data given</v>
      </c>
    </row>
    <row r="384" spans="5:7" x14ac:dyDescent="0.25">
      <c r="E384" s="1" t="str">
        <f t="shared" si="15"/>
        <v>No data given</v>
      </c>
      <c r="F384" s="36" t="str">
        <f t="shared" si="16"/>
        <v>No data given</v>
      </c>
      <c r="G384" s="73" t="str">
        <f t="shared" si="17"/>
        <v>No data given</v>
      </c>
    </row>
    <row r="385" spans="5:7" x14ac:dyDescent="0.25">
      <c r="E385" s="1" t="str">
        <f t="shared" si="15"/>
        <v>No data given</v>
      </c>
      <c r="F385" s="36" t="str">
        <f t="shared" si="16"/>
        <v>No data given</v>
      </c>
      <c r="G385" s="73" t="str">
        <f t="shared" si="17"/>
        <v>No data given</v>
      </c>
    </row>
    <row r="386" spans="5:7" x14ac:dyDescent="0.25">
      <c r="E386" s="1" t="str">
        <f t="shared" si="15"/>
        <v>No data given</v>
      </c>
      <c r="F386" s="36" t="str">
        <f t="shared" si="16"/>
        <v>No data given</v>
      </c>
      <c r="G386" s="73" t="str">
        <f t="shared" si="17"/>
        <v>No data given</v>
      </c>
    </row>
    <row r="387" spans="5:7" x14ac:dyDescent="0.25">
      <c r="E387" s="1" t="str">
        <f t="shared" si="15"/>
        <v>No data given</v>
      </c>
      <c r="F387" s="36" t="str">
        <f t="shared" si="16"/>
        <v>No data given</v>
      </c>
      <c r="G387" s="73" t="str">
        <f t="shared" si="17"/>
        <v>No data given</v>
      </c>
    </row>
    <row r="388" spans="5:7" x14ac:dyDescent="0.25">
      <c r="E388" s="1" t="str">
        <f t="shared" si="15"/>
        <v>No data given</v>
      </c>
      <c r="F388" s="36" t="str">
        <f t="shared" si="16"/>
        <v>No data given</v>
      </c>
      <c r="G388" s="73" t="str">
        <f t="shared" si="17"/>
        <v>No data given</v>
      </c>
    </row>
    <row r="389" spans="5:7" x14ac:dyDescent="0.25">
      <c r="E389" s="1" t="str">
        <f t="shared" ref="E389:E402" si="18">IF(B389="","No data given",IF(F389&lt;=D389,"Pass",IF(F389&lt;=(D389+C389),"No Impact","Fail")))</f>
        <v>No data given</v>
      </c>
      <c r="F389" s="36" t="str">
        <f t="shared" si="16"/>
        <v>No data given</v>
      </c>
      <c r="G389" s="73" t="str">
        <f t="shared" si="17"/>
        <v>No data given</v>
      </c>
    </row>
    <row r="390" spans="5:7" x14ac:dyDescent="0.25">
      <c r="E390" s="1" t="str">
        <f t="shared" si="18"/>
        <v>No data given</v>
      </c>
      <c r="F390" s="36" t="str">
        <f t="shared" ref="F390:F402" si="19">IF(B390="","No data given",ABS(A390-B390))</f>
        <v>No data given</v>
      </c>
      <c r="G390" s="73" t="str">
        <f t="shared" si="17"/>
        <v>No data given</v>
      </c>
    </row>
    <row r="391" spans="5:7" x14ac:dyDescent="0.25">
      <c r="E391" s="1" t="str">
        <f t="shared" si="18"/>
        <v>No data given</v>
      </c>
      <c r="F391" s="36" t="str">
        <f t="shared" si="19"/>
        <v>No data given</v>
      </c>
      <c r="G391" s="73" t="str">
        <f t="shared" ref="G391:G402" si="20">IF(B391="","No data given",IF(E391&lt;&gt;"Fail",0,F391/A391))</f>
        <v>No data given</v>
      </c>
    </row>
    <row r="392" spans="5:7" x14ac:dyDescent="0.25">
      <c r="E392" s="1" t="str">
        <f t="shared" si="18"/>
        <v>No data given</v>
      </c>
      <c r="F392" s="36" t="str">
        <f t="shared" si="19"/>
        <v>No data given</v>
      </c>
      <c r="G392" s="73" t="str">
        <f t="shared" si="20"/>
        <v>No data given</v>
      </c>
    </row>
    <row r="393" spans="5:7" x14ac:dyDescent="0.25">
      <c r="E393" s="1" t="str">
        <f t="shared" si="18"/>
        <v>No data given</v>
      </c>
      <c r="F393" s="36" t="str">
        <f t="shared" si="19"/>
        <v>No data given</v>
      </c>
      <c r="G393" s="73" t="str">
        <f t="shared" si="20"/>
        <v>No data given</v>
      </c>
    </row>
    <row r="394" spans="5:7" x14ac:dyDescent="0.25">
      <c r="E394" s="1" t="str">
        <f t="shared" si="18"/>
        <v>No data given</v>
      </c>
      <c r="F394" s="36" t="str">
        <f t="shared" si="19"/>
        <v>No data given</v>
      </c>
      <c r="G394" s="73" t="str">
        <f t="shared" si="20"/>
        <v>No data given</v>
      </c>
    </row>
    <row r="395" spans="5:7" x14ac:dyDescent="0.25">
      <c r="E395" s="1" t="str">
        <f t="shared" si="18"/>
        <v>No data given</v>
      </c>
      <c r="F395" s="36" t="str">
        <f t="shared" si="19"/>
        <v>No data given</v>
      </c>
      <c r="G395" s="73" t="str">
        <f t="shared" si="20"/>
        <v>No data given</v>
      </c>
    </row>
    <row r="396" spans="5:7" x14ac:dyDescent="0.25">
      <c r="E396" s="1" t="str">
        <f t="shared" si="18"/>
        <v>No data given</v>
      </c>
      <c r="F396" s="36" t="str">
        <f t="shared" si="19"/>
        <v>No data given</v>
      </c>
      <c r="G396" s="73" t="str">
        <f t="shared" si="20"/>
        <v>No data given</v>
      </c>
    </row>
    <row r="397" spans="5:7" x14ac:dyDescent="0.25">
      <c r="E397" s="1" t="str">
        <f t="shared" si="18"/>
        <v>No data given</v>
      </c>
      <c r="F397" s="36" t="str">
        <f t="shared" si="19"/>
        <v>No data given</v>
      </c>
      <c r="G397" s="73" t="str">
        <f t="shared" si="20"/>
        <v>No data given</v>
      </c>
    </row>
    <row r="398" spans="5:7" x14ac:dyDescent="0.25">
      <c r="E398" s="1" t="str">
        <f t="shared" si="18"/>
        <v>No data given</v>
      </c>
      <c r="F398" s="36" t="str">
        <f t="shared" si="19"/>
        <v>No data given</v>
      </c>
      <c r="G398" s="73" t="str">
        <f t="shared" si="20"/>
        <v>No data given</v>
      </c>
    </row>
    <row r="399" spans="5:7" x14ac:dyDescent="0.25">
      <c r="E399" s="1" t="str">
        <f t="shared" si="18"/>
        <v>No data given</v>
      </c>
      <c r="F399" s="36" t="str">
        <f t="shared" si="19"/>
        <v>No data given</v>
      </c>
      <c r="G399" s="73" t="str">
        <f t="shared" si="20"/>
        <v>No data given</v>
      </c>
    </row>
    <row r="400" spans="5:7" x14ac:dyDescent="0.25">
      <c r="E400" s="1" t="str">
        <f t="shared" si="18"/>
        <v>No data given</v>
      </c>
      <c r="F400" s="36" t="str">
        <f t="shared" si="19"/>
        <v>No data given</v>
      </c>
      <c r="G400" s="73" t="str">
        <f t="shared" si="20"/>
        <v>No data given</v>
      </c>
    </row>
    <row r="401" spans="5:7" x14ac:dyDescent="0.25">
      <c r="E401" s="1" t="str">
        <f t="shared" si="18"/>
        <v>No data given</v>
      </c>
      <c r="F401" s="36" t="str">
        <f t="shared" si="19"/>
        <v>No data given</v>
      </c>
      <c r="G401" s="73" t="str">
        <f t="shared" si="20"/>
        <v>No data given</v>
      </c>
    </row>
    <row r="402" spans="5:7" x14ac:dyDescent="0.25">
      <c r="E402" s="1" t="str">
        <f t="shared" si="18"/>
        <v>No data given</v>
      </c>
      <c r="F402" s="36" t="str">
        <f t="shared" si="19"/>
        <v>No data given</v>
      </c>
      <c r="G402" s="73" t="str">
        <f t="shared" si="20"/>
        <v>No data given</v>
      </c>
    </row>
  </sheetData>
  <mergeCells count="3">
    <mergeCell ref="A1:U1"/>
    <mergeCell ref="A2:U2"/>
    <mergeCell ref="J4:K4"/>
  </mergeCells>
  <conditionalFormatting sqref="G4:G402">
    <cfRule type="top10" dxfId="3" priority="4" rank="1"/>
  </conditionalFormatting>
  <conditionalFormatting sqref="E4:E402">
    <cfRule type="containsText" dxfId="0" priority="1" operator="containsText" text="Fail">
      <formula>NOT(ISERROR(SEARCH("Fail",E4)))</formula>
    </cfRule>
    <cfRule type="containsText" dxfId="1" priority="2" operator="containsText" text="Pass">
      <formula>NOT(ISERROR(SEARCH("Pass",E4)))</formula>
    </cfRule>
    <cfRule type="containsText" dxfId="2" priority="3" operator="containsText" text="No Impact">
      <formula>NOT(ISERROR(SEARCH("No Impact",E4)))</formula>
    </cfRule>
  </conditionalFormatting>
  <hyperlinks>
    <hyperlink ref="A2" r:id="rId1" display="the PE Wiki in Teams for a tutorial" xr:uid="{8C6290E8-6219-49BB-B508-EB88C648A39D}"/>
    <hyperlink ref="A2:U2" r:id="rId2" display="the PE Wiki in Teams, straight to the Tutorial in question" xr:uid="{082CA547-1701-4C08-A6AF-A9DDCB46E742}"/>
  </hyperlinks>
  <pageMargins left="0.7" right="0.7" top="0.75" bottom="0.75" header="0.3" footer="0.3"/>
  <pageSetup paperSize="262" orientation="landscape" horizontalDpi="360" verticalDpi="360"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7030A0"/>
  </sheetPr>
  <dimension ref="A1:AO3019"/>
  <sheetViews>
    <sheetView tabSelected="1" workbookViewId="0">
      <pane xSplit="1" topLeftCell="B1" activePane="topRight" state="frozen"/>
      <selection pane="topRight" activeCell="E16" sqref="E16"/>
    </sheetView>
  </sheetViews>
  <sheetFormatPr defaultColWidth="9.140625" defaultRowHeight="15" x14ac:dyDescent="0.25"/>
  <cols>
    <col min="1" max="1" width="15.28515625" style="1" customWidth="1"/>
    <col min="2" max="2" width="16" style="1" customWidth="1"/>
    <col min="3" max="3" width="20.28515625" style="1" customWidth="1"/>
    <col min="4" max="4" width="16" style="1" customWidth="1"/>
    <col min="5" max="5" width="29.85546875" style="1" customWidth="1"/>
    <col min="6" max="6" width="20.28515625" style="1" customWidth="1"/>
    <col min="7" max="7" width="14.140625" style="1" customWidth="1"/>
    <col min="8" max="8" width="13.140625" style="1" customWidth="1"/>
    <col min="9" max="9" width="8.85546875"/>
    <col min="10" max="10" width="14.5703125" style="1" customWidth="1"/>
    <col min="11" max="11" width="14.85546875" style="1" bestFit="1" customWidth="1"/>
    <col min="12" max="12" width="14" style="1" customWidth="1"/>
    <col min="13" max="13" width="13.5703125" style="1" customWidth="1"/>
    <col min="14" max="14" width="13" style="1" customWidth="1"/>
    <col min="15" max="16" width="12.42578125" style="1" customWidth="1"/>
    <col min="17" max="17" width="12.5703125" style="1" hidden="1" customWidth="1"/>
    <col min="18" max="18" width="14.7109375" style="1" hidden="1" customWidth="1"/>
    <col min="19" max="19" width="10.42578125" style="1" hidden="1" customWidth="1"/>
    <col min="20" max="20" width="15.85546875" style="1" customWidth="1"/>
    <col min="21" max="21" width="14.85546875" style="1" hidden="1" customWidth="1"/>
    <col min="22" max="22" width="14.5703125" style="1" customWidth="1"/>
    <col min="23" max="23" width="14.42578125" style="1" customWidth="1"/>
    <col min="24" max="24" width="14.5703125" style="1" hidden="1" customWidth="1"/>
    <col min="25" max="25" width="17.85546875" style="1" hidden="1" customWidth="1"/>
    <col min="26" max="26" width="15.140625" style="1" customWidth="1"/>
    <col min="27" max="27" width="22.5703125" style="1" customWidth="1"/>
    <col min="28" max="28" width="14.7109375" style="1" hidden="1" customWidth="1"/>
    <col min="29" max="30" width="22.28515625" style="1" hidden="1" customWidth="1"/>
    <col min="31" max="33" width="12.5703125" style="1" hidden="1" customWidth="1"/>
    <col min="34" max="34" width="28" style="1" customWidth="1"/>
    <col min="35" max="35" width="94.7109375" style="10" customWidth="1"/>
    <col min="36" max="36" width="19.28515625" style="1" hidden="1" customWidth="1"/>
    <col min="37" max="37" width="24.28515625" style="1" hidden="1" customWidth="1"/>
    <col min="38" max="38" width="23.85546875" style="1" hidden="1" customWidth="1"/>
    <col min="39" max="39" width="14" style="1" hidden="1" customWidth="1"/>
    <col min="40" max="40" width="13" style="1" hidden="1" customWidth="1"/>
    <col min="41" max="41" width="13.42578125" style="1" hidden="1" customWidth="1"/>
    <col min="42" max="16384" width="9.140625" style="1"/>
  </cols>
  <sheetData>
    <row r="1" spans="1:41" customFormat="1" ht="18.75" x14ac:dyDescent="0.3">
      <c r="A1" s="57"/>
      <c r="B1" s="57"/>
      <c r="C1" s="57"/>
      <c r="D1" s="1"/>
      <c r="E1" s="2" t="s">
        <v>31</v>
      </c>
      <c r="F1" s="27"/>
      <c r="G1" s="15"/>
      <c r="K1" s="64" t="s">
        <v>85</v>
      </c>
      <c r="L1" s="64"/>
      <c r="M1" s="64"/>
      <c r="N1" s="64"/>
      <c r="O1" s="64"/>
      <c r="P1" s="64"/>
      <c r="Q1" s="64"/>
      <c r="R1" s="64"/>
      <c r="S1" s="64"/>
      <c r="T1" s="64"/>
      <c r="U1" s="64"/>
      <c r="V1" s="64"/>
    </row>
    <row r="2" spans="1:41" customFormat="1" ht="15.75" x14ac:dyDescent="0.25">
      <c r="A2" s="57"/>
      <c r="B2" s="57"/>
      <c r="C2" s="57"/>
      <c r="D2" s="1"/>
      <c r="E2" s="2" t="s">
        <v>32</v>
      </c>
      <c r="F2" s="27"/>
      <c r="G2" s="15"/>
      <c r="K2" s="45" t="s">
        <v>86</v>
      </c>
      <c r="L2" s="45"/>
      <c r="M2" s="45"/>
      <c r="N2" s="45"/>
      <c r="O2" s="45"/>
      <c r="P2" s="45"/>
      <c r="Q2" s="45"/>
      <c r="R2" s="45"/>
      <c r="S2" s="45"/>
      <c r="T2" s="45"/>
      <c r="U2" s="45"/>
      <c r="V2" s="45"/>
      <c r="W2" s="45"/>
      <c r="X2" s="45"/>
      <c r="Y2" s="45"/>
      <c r="Z2" s="45"/>
      <c r="AA2" s="45"/>
      <c r="AB2" s="45"/>
      <c r="AC2" s="45"/>
      <c r="AD2" s="45"/>
      <c r="AE2" s="45"/>
      <c r="AF2" s="45"/>
      <c r="AG2" s="45"/>
      <c r="AH2" s="45"/>
      <c r="AI2" s="45"/>
    </row>
    <row r="3" spans="1:41" customFormat="1" ht="15.75" x14ac:dyDescent="0.25">
      <c r="A3" s="57"/>
      <c r="B3" s="57"/>
      <c r="C3" s="57"/>
      <c r="D3" s="1"/>
      <c r="E3" s="2" t="s">
        <v>33</v>
      </c>
      <c r="F3" s="27"/>
      <c r="G3" s="26"/>
      <c r="K3" s="45" t="s">
        <v>126</v>
      </c>
      <c r="L3" s="45"/>
      <c r="M3" s="45"/>
      <c r="N3" s="45"/>
      <c r="O3" s="45"/>
      <c r="P3" s="45"/>
      <c r="Q3" s="45"/>
      <c r="R3" s="45"/>
      <c r="S3" s="45"/>
      <c r="T3" s="45"/>
      <c r="U3" s="45"/>
      <c r="V3" s="45"/>
      <c r="W3" s="45"/>
      <c r="X3" s="45"/>
      <c r="Y3" s="45"/>
      <c r="Z3" s="45"/>
      <c r="AA3" s="45"/>
      <c r="AB3" s="45"/>
      <c r="AC3" s="45"/>
      <c r="AD3" s="45"/>
      <c r="AE3" s="45"/>
      <c r="AF3" s="45"/>
      <c r="AG3" s="45"/>
      <c r="AH3" s="45"/>
      <c r="AI3" s="45"/>
    </row>
    <row r="4" spans="1:41" customFormat="1" ht="15.75" x14ac:dyDescent="0.25">
      <c r="A4" s="57"/>
      <c r="B4" s="57"/>
      <c r="C4" s="57"/>
      <c r="D4" s="1"/>
      <c r="E4" s="2" t="s">
        <v>34</v>
      </c>
      <c r="F4" s="27"/>
      <c r="G4" s="15"/>
      <c r="H4" s="15"/>
      <c r="I4" s="15"/>
      <c r="K4" s="45" t="s">
        <v>127</v>
      </c>
      <c r="L4" s="45"/>
      <c r="M4" s="45"/>
      <c r="N4" s="45"/>
      <c r="O4" s="45"/>
      <c r="P4" s="45"/>
      <c r="Q4" s="45"/>
      <c r="R4" s="45"/>
      <c r="S4" s="45"/>
      <c r="T4" s="45"/>
      <c r="U4" s="45"/>
      <c r="V4" s="45"/>
      <c r="W4" s="45"/>
      <c r="X4" s="45"/>
      <c r="Y4" s="45"/>
      <c r="Z4" s="45"/>
      <c r="AA4" s="45"/>
      <c r="AB4" s="45"/>
      <c r="AC4" s="45"/>
      <c r="AD4" s="45"/>
      <c r="AE4" s="45"/>
      <c r="AF4" s="45"/>
      <c r="AG4" s="45"/>
      <c r="AH4" s="45"/>
      <c r="AI4" s="45"/>
    </row>
    <row r="5" spans="1:41" customFormat="1" ht="15.75" x14ac:dyDescent="0.25">
      <c r="A5" s="57"/>
      <c r="B5" s="57"/>
      <c r="C5" s="57"/>
      <c r="D5" s="1"/>
      <c r="E5" s="2" t="s">
        <v>43</v>
      </c>
      <c r="F5" s="27"/>
      <c r="K5" s="45" t="s">
        <v>128</v>
      </c>
      <c r="L5" s="45"/>
      <c r="M5" s="45"/>
      <c r="N5" s="45"/>
      <c r="O5" s="45"/>
      <c r="P5" s="45"/>
      <c r="Q5" s="45"/>
      <c r="R5" s="45"/>
      <c r="S5" s="45"/>
      <c r="T5" s="45"/>
      <c r="U5" s="45"/>
      <c r="V5" s="45"/>
      <c r="W5" s="45"/>
      <c r="X5" s="45"/>
      <c r="Y5" s="45"/>
      <c r="Z5" s="45"/>
      <c r="AA5" s="45"/>
      <c r="AB5" s="45"/>
      <c r="AC5" s="45"/>
      <c r="AD5" s="45"/>
      <c r="AE5" s="45"/>
      <c r="AF5" s="45"/>
      <c r="AG5" s="45"/>
      <c r="AH5" s="45"/>
      <c r="AI5" s="45"/>
    </row>
    <row r="6" spans="1:41" customFormat="1" ht="31.15" customHeight="1" x14ac:dyDescent="0.4">
      <c r="A6" s="67" t="s">
        <v>44</v>
      </c>
      <c r="B6" s="67"/>
      <c r="C6" s="67"/>
      <c r="D6" s="67"/>
      <c r="E6" s="67"/>
      <c r="F6" s="67"/>
      <c r="G6" s="67"/>
      <c r="H6" s="67"/>
      <c r="I6" s="67"/>
      <c r="K6" s="46" t="s">
        <v>129</v>
      </c>
      <c r="L6" s="46"/>
      <c r="M6" s="46"/>
      <c r="N6" s="46"/>
      <c r="O6" s="46"/>
      <c r="P6" s="46"/>
      <c r="Q6" s="46"/>
      <c r="R6" s="46"/>
      <c r="S6" s="46"/>
      <c r="T6" s="46"/>
      <c r="U6" s="46"/>
      <c r="V6" s="46"/>
      <c r="W6" s="46"/>
      <c r="X6" s="46"/>
      <c r="Y6" s="46"/>
      <c r="Z6" s="46"/>
      <c r="AA6" s="46"/>
      <c r="AB6" s="46"/>
      <c r="AC6" s="46"/>
      <c r="AD6" s="46"/>
      <c r="AE6" s="46"/>
      <c r="AF6" s="46"/>
      <c r="AG6" s="46"/>
      <c r="AH6" s="46"/>
      <c r="AI6" s="46"/>
    </row>
    <row r="7" spans="1:41" customFormat="1" ht="15.75" thickBot="1" x14ac:dyDescent="0.3">
      <c r="A7" s="57" t="s">
        <v>125</v>
      </c>
      <c r="B7" s="57"/>
      <c r="C7" s="57"/>
      <c r="D7" s="57"/>
      <c r="E7" s="57"/>
      <c r="F7" s="57"/>
      <c r="G7" s="57"/>
      <c r="H7" s="57"/>
      <c r="I7" s="57"/>
      <c r="K7" s="47" t="s">
        <v>130</v>
      </c>
      <c r="L7" s="47"/>
      <c r="M7" s="47"/>
      <c r="N7" s="47"/>
      <c r="O7" s="47"/>
      <c r="P7" s="47"/>
      <c r="Q7" s="47"/>
      <c r="R7" s="47"/>
      <c r="S7" s="47"/>
      <c r="T7" s="47"/>
      <c r="U7" s="47"/>
      <c r="V7" s="47"/>
      <c r="W7" s="47"/>
      <c r="X7" s="47"/>
      <c r="Y7" s="47"/>
      <c r="Z7" s="47"/>
      <c r="AA7" s="47"/>
      <c r="AB7" s="47"/>
      <c r="AC7" s="47"/>
      <c r="AD7" s="47"/>
      <c r="AE7" s="47"/>
      <c r="AF7" s="47"/>
      <c r="AG7" s="47"/>
      <c r="AH7" s="47"/>
      <c r="AI7" s="47"/>
    </row>
    <row r="8" spans="1:41" ht="18.75" x14ac:dyDescent="0.3">
      <c r="A8" s="58" t="s">
        <v>5</v>
      </c>
      <c r="B8" s="59"/>
      <c r="C8" s="59"/>
      <c r="D8" s="59"/>
      <c r="E8" s="59"/>
      <c r="F8" s="59"/>
      <c r="G8" s="59"/>
      <c r="H8" s="59"/>
      <c r="I8" s="59"/>
      <c r="J8" s="60"/>
      <c r="K8" s="61" t="s">
        <v>7</v>
      </c>
      <c r="L8" s="62"/>
      <c r="M8" s="62"/>
      <c r="N8" s="63"/>
      <c r="O8" s="61" t="s">
        <v>47</v>
      </c>
      <c r="P8" s="62"/>
      <c r="Q8" s="62"/>
      <c r="R8" s="62"/>
      <c r="S8" s="62"/>
      <c r="T8" s="63"/>
      <c r="U8" s="61" t="s">
        <v>20</v>
      </c>
      <c r="V8" s="62"/>
      <c r="W8" s="62"/>
      <c r="X8" s="62"/>
      <c r="Y8" s="62"/>
      <c r="Z8" s="63"/>
      <c r="AA8" s="21" t="s">
        <v>82</v>
      </c>
      <c r="AB8" s="58" t="s">
        <v>28</v>
      </c>
      <c r="AC8" s="59"/>
      <c r="AD8" s="59"/>
      <c r="AE8" s="59"/>
      <c r="AF8" s="59"/>
      <c r="AG8" s="59"/>
      <c r="AH8" s="61" t="s">
        <v>29</v>
      </c>
      <c r="AI8" s="63"/>
      <c r="AK8" s="1" t="s">
        <v>122</v>
      </c>
      <c r="AL8" s="1" t="s">
        <v>120</v>
      </c>
      <c r="AM8" s="1" t="s">
        <v>121</v>
      </c>
      <c r="AN8" s="1" t="s">
        <v>123</v>
      </c>
      <c r="AO8" s="1" t="s">
        <v>143</v>
      </c>
    </row>
    <row r="9" spans="1:41" s="10" customFormat="1" ht="19.5" thickBot="1" x14ac:dyDescent="0.35">
      <c r="A9" s="6" t="s">
        <v>1</v>
      </c>
      <c r="B9" s="3" t="s">
        <v>0</v>
      </c>
      <c r="C9" s="3" t="s">
        <v>40</v>
      </c>
      <c r="D9" s="3" t="s">
        <v>2</v>
      </c>
      <c r="E9" s="3" t="s">
        <v>41</v>
      </c>
      <c r="F9" s="3" t="s">
        <v>42</v>
      </c>
      <c r="G9" s="3" t="s">
        <v>3</v>
      </c>
      <c r="H9" s="3" t="s">
        <v>56</v>
      </c>
      <c r="I9" s="3" t="s">
        <v>4</v>
      </c>
      <c r="J9" s="7" t="s">
        <v>8</v>
      </c>
      <c r="K9" s="6" t="s">
        <v>57</v>
      </c>
      <c r="L9" s="3" t="s">
        <v>6</v>
      </c>
      <c r="M9" s="3" t="s">
        <v>19</v>
      </c>
      <c r="N9" s="4" t="s">
        <v>21</v>
      </c>
      <c r="O9" s="6" t="s">
        <v>9</v>
      </c>
      <c r="P9" s="3" t="s">
        <v>10</v>
      </c>
      <c r="Q9" s="3" t="s">
        <v>11</v>
      </c>
      <c r="R9" s="3" t="s">
        <v>12</v>
      </c>
      <c r="S9" s="3" t="s">
        <v>13</v>
      </c>
      <c r="T9" s="4" t="s">
        <v>14</v>
      </c>
      <c r="U9" s="6" t="s">
        <v>15</v>
      </c>
      <c r="V9" s="3" t="s">
        <v>16</v>
      </c>
      <c r="W9" s="3" t="s">
        <v>18</v>
      </c>
      <c r="X9" s="3" t="s">
        <v>22</v>
      </c>
      <c r="Y9" s="3" t="s">
        <v>23</v>
      </c>
      <c r="Z9" s="4" t="s">
        <v>17</v>
      </c>
      <c r="AA9" s="11" t="s">
        <v>81</v>
      </c>
      <c r="AB9" s="11" t="s">
        <v>45</v>
      </c>
      <c r="AC9" s="12" t="s">
        <v>46</v>
      </c>
      <c r="AD9" s="8" t="s">
        <v>24</v>
      </c>
      <c r="AE9" s="9" t="s">
        <v>25</v>
      </c>
      <c r="AF9" s="3" t="s">
        <v>26</v>
      </c>
      <c r="AG9" s="9" t="s">
        <v>27</v>
      </c>
      <c r="AH9" s="6" t="s">
        <v>29</v>
      </c>
      <c r="AI9" s="4" t="s">
        <v>30</v>
      </c>
      <c r="AK9" s="10" t="str">
        <f>""</f>
        <v/>
      </c>
      <c r="AM9"/>
    </row>
    <row r="10" spans="1:41" x14ac:dyDescent="0.25">
      <c r="A10" s="10"/>
      <c r="B10" s="10"/>
      <c r="C10" s="10"/>
      <c r="D10" s="10"/>
      <c r="E10" s="10"/>
      <c r="F10" s="10"/>
      <c r="G10" s="10"/>
      <c r="H10" s="10"/>
      <c r="I10" s="1"/>
      <c r="J10" s="1" t="s">
        <v>35</v>
      </c>
      <c r="M10" s="1">
        <f>IF(OR(Table1[[#This Row],[Std Nom]]="",Table1[[#This Row],[Std Read]]=""),0,Table1[[#This Row],[Std Nom]]-Table1[[#This Row],[Std Read]])</f>
        <v>0</v>
      </c>
      <c r="O10" s="1" t="str">
        <f>IFERROR(Table1[[#This Row],[Std Nom]]-(_xlfn.XLOOKUP(Table1[[#This Row],[Manufacturer]]&amp;" "&amp;Table1[[#This Row],[Model]],Table13[MFR &amp; MDL],Table13[Tolerance % CW ],"")/100*Table1[[#This Row],[Std Nom]]),"")</f>
        <v/>
      </c>
      <c r="P10" s="1" t="str">
        <f>IFERROR(Table1[[#This Row],[Std Nom]]+(_xlfn.XLOOKUP(Table1[[#This Row],[Manufacturer]]&amp;" "&amp;Table1[[#This Row],[Model]],Table13[MFR &amp; MDL],Table13[Tolerance % CW ],"")/100*Table1[[#This Row],[Std Nom]]),"")</f>
        <v/>
      </c>
      <c r="Q10" s="1" t="e">
        <f>Table1[[#This Row],[High Tol]]-Table1[[#This Row],[Low Tol]]</f>
        <v>#VALUE!</v>
      </c>
      <c r="R10" s="1">
        <f>2*Table1[[#This Row],[Std Error]]</f>
        <v>0</v>
      </c>
      <c r="S10" s="1" t="str">
        <f>IF(Table1[[#This Row],[High Tol]]="","N/A",IFERROR(ABS(Table1[[#This Row],[Tol Span]]/Table1[[#This Row],[Error Span]]),"N/A"))</f>
        <v>N/A</v>
      </c>
      <c r="T10" s="1" t="str">
        <f>IF(OR(Table1[[#This Row],[Low Tol]]="",Table1[[#This Row],[High Tol]]=""),"Needs Analysis",IF(Table1[[#This Row],[Ratio]]&gt;=4,"Not Significant",IF(Table1[[#This Row],[Ratio]]&gt;=2,"Semi-Significant","Significant")))</f>
        <v>Needs Analysis</v>
      </c>
      <c r="W10" s="1">
        <f>IF(Table1[[#This Row],[Cal Type]]&lt;&gt;"ACCREDITED 17025 WITH UNCERTAINTIES",0,"")</f>
        <v>0</v>
      </c>
      <c r="X10" s="1" t="str">
        <f>IF(Table1[[#This Row],[DUT Read]]="","N/A",Table1[[#This Row],[Std Error]]+Table1[[#This Row],[DUT Read]]+Table1[[#This Row],[DUT Ucty]])</f>
        <v>N/A</v>
      </c>
      <c r="Y10" s="1" t="str">
        <f>IF(Table1[[#This Row],[Std Read]]="","N/A",Table1[[#This Row],[Std Read]]+Table1[[#This Row],[Std Ucty]])</f>
        <v>N/A</v>
      </c>
      <c r="Z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 s="1" t="str">
        <f>IF(Table1[[#This Row],[Spec Type]]="","N/A",Table1[[#This Row],[Spec Type]])</f>
        <v>±</v>
      </c>
      <c r="AC10" s="1" t="str">
        <f>IF(Table1[[#This Row],[Spec Type2]]="N/A","N/A",IF(AND(Table1[[#This Row],[DUT Adj Read]]&gt;=Table1[[#This Row],[Low Tol]],Table1[[#This Row],[DUT Adj Read]]&lt;=Table1[[#This Row],[High Tol]]),"Pass","Fail"))</f>
        <v>Fail</v>
      </c>
      <c r="AD10" s="1" t="str">
        <f>IF(AND(Table1[[#This Row],[Spec Type2]]="N/A",Table1[[#This Row],[DUT Adj Read]]="N/A",Table1[[#This Row],[Std Adj Read]]="N/A"),"N/A",IF(Table1[[#This Row],[DUT Adj Read]]="N/A",IF(Table1[[#This Row],[Std Adj Read]]&gt;Table1[[#This Row],[Low Tol]],"Pass","Fail"),IF(Table1[[#This Row],[DUT Adj Read]]&gt;Table1[[#This Row],[Low Tol]],"Pass","Fail")))</f>
        <v>Pass</v>
      </c>
      <c r="AE10" s="1" t="str">
        <f>IF(AND(Table1[[#This Row],[Spec Type2]]="N/A",Table1[[#This Row],[DUT Adj Read]]="N/A",Table1[[#This Row],[Std Adj Read]]="N/A"),"N/A",IF(Table1[[#This Row],[DUT Adj Read]]="N/A",IF(Table1[[#This Row],[Std Adj Read]]&lt;Table1[[#This Row],[High Tol]],"Pass","Fail"),IF(Table1[[#This Row],[DUT Adj Read]]&lt;Table1[[#This Row],[High Tol]],"Pass","Fail")))</f>
        <v>Fail</v>
      </c>
      <c r="AF10" s="1" t="str">
        <f>IF(AND(Table1[[#This Row],[Spec Type2]]="N/A",Table1[[#This Row],[DUT Adj Read]]="N/A",Table1[[#This Row],[Std Adj Read]]="N/A"),"N/A",IF(Table1[[#This Row],[DUT Adj Read]]="N/A",IF(Table1[[#This Row],[Std Adj Read]]&gt;=Table1[[#This Row],[Low Tol]],"Pass","Fail"),IF(Table1[[#This Row],[DUT Adj Read]]&gt;=Table1[[#This Row],[Low Tol]],"Pass","Fail")))</f>
        <v>Pass</v>
      </c>
      <c r="AG10" s="1" t="str">
        <f>IF(AND(Table1[[#This Row],[Spec Type2]]="N/A",Table1[[#This Row],[DUT Adj Read]]="N/A",Table1[[#This Row],[Std Adj Read]]="N/A"),"N/A",IF(Table1[[#This Row],[DUT Adj Read]]="N/A",IF(Table1[[#This Row],[Std Adj Read]]&lt;=Table1[[#This Row],[High Tol]],"Pass","Fail"),IF(Table1[[#This Row],[DUT Adj Read]]&lt;=Table1[[#This Row],[High Tol]],"Pass","Fail")))</f>
        <v>Fail</v>
      </c>
      <c r="AH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0" s="5" t="s">
        <v>35</v>
      </c>
      <c r="AM10" s="1" t="b">
        <v>0</v>
      </c>
      <c r="AN10" s="1" t="b">
        <v>0</v>
      </c>
      <c r="AO10" s="1" t="b">
        <v>0</v>
      </c>
    </row>
    <row r="11" spans="1:41" x14ac:dyDescent="0.25">
      <c r="A11" s="10"/>
      <c r="B11" s="10"/>
      <c r="C11" s="10"/>
      <c r="D11" s="10"/>
      <c r="E11" s="10"/>
      <c r="F11" s="10"/>
      <c r="G11" s="10"/>
      <c r="H11" s="10"/>
      <c r="I11" s="1" t="str">
        <f>IF($I$10="","",$I$10)</f>
        <v/>
      </c>
      <c r="J11" s="1" t="s">
        <v>35</v>
      </c>
      <c r="K11" s="1" t="str">
        <f t="shared" ref="K11:K74" si="0">IF($K$10="","",$K$10)</f>
        <v/>
      </c>
      <c r="L11" s="1" t="str">
        <f t="shared" ref="L11:L74" si="1">IF($L$10="","",$L$10)</f>
        <v/>
      </c>
      <c r="M11" s="1">
        <f>IF(OR(Table1[[#This Row],[Std Nom]]="",Table1[[#This Row],[Std Read]]=""),0,Table1[[#This Row],[Std Nom]]-Table1[[#This Row],[Std Read]])</f>
        <v>0</v>
      </c>
      <c r="N11" s="1">
        <f>IF(Calculations!$F$5="ACCREDITED 17025 WITH UNCERTAINTIES",$N$10,0)</f>
        <v>0</v>
      </c>
      <c r="O11" s="1" t="str">
        <f>IFERROR(Table1[[#This Row],[Std Nom]]-(_xlfn.XLOOKUP(Table1[[#This Row],[Manufacturer]]&amp;" "&amp;Table1[[#This Row],[Model]],Table13[MFR &amp; MDL],Table13[Tolerance % CW ],"")/100*Table1[[#This Row],[Std Nom]]),"")</f>
        <v/>
      </c>
      <c r="P11" s="1" t="str">
        <f>IFERROR(Table1[[#This Row],[Std Nom]]+(_xlfn.XLOOKUP(Table1[[#This Row],[Manufacturer]]&amp;" "&amp;Table1[[#This Row],[Model]],Table13[MFR &amp; MDL],Table13[Tolerance % CW ],"")/100*Table1[[#This Row],[Std Nom]]),"")</f>
        <v/>
      </c>
      <c r="Q11" s="1" t="e">
        <f>Table1[[#This Row],[High Tol]]-Table1[[#This Row],[Low Tol]]</f>
        <v>#VALUE!</v>
      </c>
      <c r="R11" s="1">
        <f>2*Table1[[#This Row],[Std Error]]</f>
        <v>0</v>
      </c>
      <c r="S11" s="1" t="str">
        <f>IF(Table1[[#This Row],[High Tol]]="","N/A",IFERROR(ABS(Table1[[#This Row],[Tol Span]]/Table1[[#This Row],[Error Span]]),"N/A"))</f>
        <v>N/A</v>
      </c>
      <c r="T11" s="1" t="str">
        <f>IF(OR(Table1[[#This Row],[Low Tol]]="",Table1[[#This Row],[High Tol]]=""),"Needs Analysis",IF(Table1[[#This Row],[Ratio]]&gt;=4,"Not Significant",IF(Table1[[#This Row],[Ratio]]&gt;=2,"Semi-Significant","Significant")))</f>
        <v>Needs Analysis</v>
      </c>
      <c r="W11" s="1">
        <f>IF(Table1[[#This Row],[Cal Type]]&lt;&gt;"ACCREDITED 17025 WITH UNCERTAINTIES",0,"")</f>
        <v>0</v>
      </c>
      <c r="X11" s="1" t="str">
        <f>IF(Table1[[#This Row],[DUT Read]]="","N/A",Table1[[#This Row],[Std Error]]+Table1[[#This Row],[DUT Read]]+Table1[[#This Row],[DUT Ucty]])</f>
        <v>N/A</v>
      </c>
      <c r="Y11" s="1" t="str">
        <f>IF(Table1[[#This Row],[Std Read]]="","N/A",Table1[[#This Row],[Std Read]]+Table1[[#This Row],[Std Ucty]])</f>
        <v>N/A</v>
      </c>
      <c r="Z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 s="1" t="str">
        <f>IF(Table1[[#This Row],[Spec Type]]="","N/A",Table1[[#This Row],[Spec Type]])</f>
        <v>±</v>
      </c>
      <c r="AC11" s="1" t="str">
        <f>IF(Table1[[#This Row],[Spec Type2]]="N/A","N/A",IF(AND(Table1[[#This Row],[DUT Adj Read]]&gt;=Table1[[#This Row],[Low Tol]],Table1[[#This Row],[DUT Adj Read]]&lt;=Table1[[#This Row],[High Tol]]),"Pass","Fail"))</f>
        <v>Fail</v>
      </c>
      <c r="AD11" s="1" t="str">
        <f>IF(AND(Table1[[#This Row],[Spec Type2]]="N/A",Table1[[#This Row],[DUT Adj Read]]="N/A",Table1[[#This Row],[Std Adj Read]]="N/A"),"N/A",IF(Table1[[#This Row],[DUT Adj Read]]="N/A",IF(Table1[[#This Row],[Std Adj Read]]&gt;Table1[[#This Row],[Low Tol]],"Pass","Fail"),IF(Table1[[#This Row],[DUT Adj Read]]&gt;Table1[[#This Row],[Low Tol]],"Pass","Fail")))</f>
        <v>Pass</v>
      </c>
      <c r="AE11" s="1" t="str">
        <f>IF(AND(Table1[[#This Row],[Spec Type2]]="N/A",Table1[[#This Row],[DUT Adj Read]]="N/A",Table1[[#This Row],[Std Adj Read]]="N/A"),"N/A",IF(Table1[[#This Row],[DUT Adj Read]]="N/A",IF(Table1[[#This Row],[Std Adj Read]]&lt;Table1[[#This Row],[High Tol]],"Pass","Fail"),IF(Table1[[#This Row],[DUT Adj Read]]&lt;Table1[[#This Row],[High Tol]],"Pass","Fail")))</f>
        <v>Fail</v>
      </c>
      <c r="AF11" s="1" t="str">
        <f>IF(AND(Table1[[#This Row],[Spec Type2]]="N/A",Table1[[#This Row],[DUT Adj Read]]="N/A",Table1[[#This Row],[Std Adj Read]]="N/A"),"N/A",IF(Table1[[#This Row],[DUT Adj Read]]="N/A",IF(Table1[[#This Row],[Std Adj Read]]&gt;=Table1[[#This Row],[Low Tol]],"Pass","Fail"),IF(Table1[[#This Row],[DUT Adj Read]]&gt;=Table1[[#This Row],[Low Tol]],"Pass","Fail")))</f>
        <v>Pass</v>
      </c>
      <c r="AG11" s="1" t="str">
        <f>IF(AND(Table1[[#This Row],[Spec Type2]]="N/A",Table1[[#This Row],[DUT Adj Read]]="N/A",Table1[[#This Row],[Std Adj Read]]="N/A"),"N/A",IF(Table1[[#This Row],[DUT Adj Read]]="N/A",IF(Table1[[#This Row],[Std Adj Read]]&lt;=Table1[[#This Row],[High Tol]],"Pass","Fail"),IF(Table1[[#This Row],[DUT Adj Read]]&lt;=Table1[[#This Row],[High Tol]],"Pass","Fail")))</f>
        <v>Fail</v>
      </c>
      <c r="AH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1" s="1" t="s">
        <v>36</v>
      </c>
      <c r="AM11" s="1" t="b">
        <v>0</v>
      </c>
      <c r="AN11" s="1" t="b">
        <v>0</v>
      </c>
      <c r="AO11" s="1" t="b">
        <v>0</v>
      </c>
    </row>
    <row r="12" spans="1:41" x14ac:dyDescent="0.25">
      <c r="A12" s="10"/>
      <c r="B12" s="10"/>
      <c r="C12" s="10"/>
      <c r="D12" s="10"/>
      <c r="E12" s="10"/>
      <c r="F12" s="10"/>
      <c r="G12" s="10"/>
      <c r="H12" s="10"/>
      <c r="I12" s="1" t="str">
        <f t="shared" ref="I12:I74" si="2">IF($I$10="","",$I$10)</f>
        <v/>
      </c>
      <c r="J12" s="1" t="s">
        <v>35</v>
      </c>
      <c r="K12" s="1" t="str">
        <f t="shared" si="0"/>
        <v/>
      </c>
      <c r="L12" s="1" t="str">
        <f t="shared" si="1"/>
        <v/>
      </c>
      <c r="M12" s="1">
        <f>IF(OR(Table1[[#This Row],[Std Nom]]="",Table1[[#This Row],[Std Read]]=""),0,Table1[[#This Row],[Std Nom]]-Table1[[#This Row],[Std Read]])</f>
        <v>0</v>
      </c>
      <c r="N12" s="1">
        <f>IF(Calculations!$F$5="ACCREDITED 17025 WITH UNCERTAINTIES",$N$10,0)</f>
        <v>0</v>
      </c>
      <c r="O12" s="1" t="str">
        <f>IFERROR(Table1[[#This Row],[Std Nom]]-(_xlfn.XLOOKUP(Table1[[#This Row],[Manufacturer]]&amp;" "&amp;Table1[[#This Row],[Model]],Table13[MFR &amp; MDL],Table13[Tolerance % CW ],"")/100*Table1[[#This Row],[Std Nom]]),"")</f>
        <v/>
      </c>
      <c r="P12" s="1" t="str">
        <f>IFERROR(Table1[[#This Row],[Std Nom]]+(_xlfn.XLOOKUP(Table1[[#This Row],[Manufacturer]]&amp;" "&amp;Table1[[#This Row],[Model]],Table13[MFR &amp; MDL],Table13[Tolerance % CW ],"")/100*Table1[[#This Row],[Std Nom]]),"")</f>
        <v/>
      </c>
      <c r="Q12" s="1" t="e">
        <f>Table1[[#This Row],[High Tol]]-Table1[[#This Row],[Low Tol]]</f>
        <v>#VALUE!</v>
      </c>
      <c r="R12" s="1">
        <f>2*Table1[[#This Row],[Std Error]]</f>
        <v>0</v>
      </c>
      <c r="S12" s="1" t="str">
        <f>IF(Table1[[#This Row],[High Tol]]="","N/A",IFERROR(ABS(Table1[[#This Row],[Tol Span]]/Table1[[#This Row],[Error Span]]),"N/A"))</f>
        <v>N/A</v>
      </c>
      <c r="T12" s="1" t="str">
        <f>IF(OR(Table1[[#This Row],[Low Tol]]="",Table1[[#This Row],[High Tol]]=""),"Needs Analysis",IF(Table1[[#This Row],[Ratio]]&gt;=4,"Not Significant",IF(Table1[[#This Row],[Ratio]]&gt;=2,"Semi-Significant","Significant")))</f>
        <v>Needs Analysis</v>
      </c>
      <c r="W12" s="1">
        <f>IF(Table1[[#This Row],[Cal Type]]&lt;&gt;"ACCREDITED 17025 WITH UNCERTAINTIES",0,"")</f>
        <v>0</v>
      </c>
      <c r="X12" s="1" t="str">
        <f>IF(Table1[[#This Row],[DUT Read]]="","N/A",Table1[[#This Row],[Std Error]]+Table1[[#This Row],[DUT Read]]+Table1[[#This Row],[DUT Ucty]])</f>
        <v>N/A</v>
      </c>
      <c r="Y12" s="1" t="str">
        <f>IF(Table1[[#This Row],[Std Read]]="","N/A",Table1[[#This Row],[Std Read]]+Table1[[#This Row],[Std Ucty]])</f>
        <v>N/A</v>
      </c>
      <c r="Z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 s="1" t="str">
        <f>IF(Table1[[#This Row],[Spec Type]]="","N/A",Table1[[#This Row],[Spec Type]])</f>
        <v>±</v>
      </c>
      <c r="AC12" s="1" t="str">
        <f>IF(Table1[[#This Row],[Spec Type2]]="N/A","N/A",IF(AND(Table1[[#This Row],[DUT Adj Read]]&gt;=Table1[[#This Row],[Low Tol]],Table1[[#This Row],[DUT Adj Read]]&lt;=Table1[[#This Row],[High Tol]]),"Pass","Fail"))</f>
        <v>Fail</v>
      </c>
      <c r="AD12" s="1" t="str">
        <f>IF(AND(Table1[[#This Row],[Spec Type2]]="N/A",Table1[[#This Row],[DUT Adj Read]]="N/A",Table1[[#This Row],[Std Adj Read]]="N/A"),"N/A",IF(Table1[[#This Row],[DUT Adj Read]]="N/A",IF(Table1[[#This Row],[Std Adj Read]]&gt;Table1[[#This Row],[Low Tol]],"Pass","Fail"),IF(Table1[[#This Row],[DUT Adj Read]]&gt;Table1[[#This Row],[Low Tol]],"Pass","Fail")))</f>
        <v>Pass</v>
      </c>
      <c r="AE12" s="1" t="str">
        <f>IF(AND(Table1[[#This Row],[Spec Type2]]="N/A",Table1[[#This Row],[DUT Adj Read]]="N/A",Table1[[#This Row],[Std Adj Read]]="N/A"),"N/A",IF(Table1[[#This Row],[DUT Adj Read]]="N/A",IF(Table1[[#This Row],[Std Adj Read]]&lt;Table1[[#This Row],[High Tol]],"Pass","Fail"),IF(Table1[[#This Row],[DUT Adj Read]]&lt;Table1[[#This Row],[High Tol]],"Pass","Fail")))</f>
        <v>Fail</v>
      </c>
      <c r="AF12" s="1" t="str">
        <f>IF(AND(Table1[[#This Row],[Spec Type2]]="N/A",Table1[[#This Row],[DUT Adj Read]]="N/A",Table1[[#This Row],[Std Adj Read]]="N/A"),"N/A",IF(Table1[[#This Row],[DUT Adj Read]]="N/A",IF(Table1[[#This Row],[Std Adj Read]]&gt;=Table1[[#This Row],[Low Tol]],"Pass","Fail"),IF(Table1[[#This Row],[DUT Adj Read]]&gt;=Table1[[#This Row],[Low Tol]],"Pass","Fail")))</f>
        <v>Pass</v>
      </c>
      <c r="AG12" s="1" t="str">
        <f>IF(AND(Table1[[#This Row],[Spec Type2]]="N/A",Table1[[#This Row],[DUT Adj Read]]="N/A",Table1[[#This Row],[Std Adj Read]]="N/A"),"N/A",IF(Table1[[#This Row],[DUT Adj Read]]="N/A",IF(Table1[[#This Row],[Std Adj Read]]&lt;=Table1[[#This Row],[High Tol]],"Pass","Fail"),IF(Table1[[#This Row],[DUT Adj Read]]&lt;=Table1[[#This Row],[High Tol]],"Pass","Fail")))</f>
        <v>Fail</v>
      </c>
      <c r="AH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2" s="5" t="s">
        <v>37</v>
      </c>
      <c r="AM12" s="1" t="b">
        <v>0</v>
      </c>
      <c r="AN12" s="1" t="b">
        <v>0</v>
      </c>
      <c r="AO12" s="1" t="b">
        <v>0</v>
      </c>
    </row>
    <row r="13" spans="1:41" x14ac:dyDescent="0.25">
      <c r="A13" s="10"/>
      <c r="B13" s="10"/>
      <c r="C13" s="10"/>
      <c r="D13" s="10"/>
      <c r="E13" s="10"/>
      <c r="F13" s="10"/>
      <c r="G13" s="10"/>
      <c r="H13" s="10"/>
      <c r="I13" s="1" t="str">
        <f t="shared" si="2"/>
        <v/>
      </c>
      <c r="J13" s="1" t="s">
        <v>35</v>
      </c>
      <c r="K13" s="1" t="str">
        <f t="shared" si="0"/>
        <v/>
      </c>
      <c r="L13" s="1" t="str">
        <f t="shared" si="1"/>
        <v/>
      </c>
      <c r="M13" s="1">
        <f>IF(OR(Table1[[#This Row],[Std Nom]]="",Table1[[#This Row],[Std Read]]=""),0,Table1[[#This Row],[Std Nom]]-Table1[[#This Row],[Std Read]])</f>
        <v>0</v>
      </c>
      <c r="N13" s="1">
        <f>IF(Calculations!$F$5="ACCREDITED 17025 WITH UNCERTAINTIES",$N$10,0)</f>
        <v>0</v>
      </c>
      <c r="O13" s="1" t="str">
        <f>IFERROR(Table1[[#This Row],[Std Nom]]-(_xlfn.XLOOKUP(Table1[[#This Row],[Manufacturer]]&amp;" "&amp;Table1[[#This Row],[Model]],Table13[MFR &amp; MDL],Table13[Tolerance % CW ],"")/100*Table1[[#This Row],[Std Nom]]),"")</f>
        <v/>
      </c>
      <c r="P13" s="1" t="str">
        <f>IFERROR(Table1[[#This Row],[Std Nom]]+(_xlfn.XLOOKUP(Table1[[#This Row],[Manufacturer]]&amp;" "&amp;Table1[[#This Row],[Model]],Table13[MFR &amp; MDL],Table13[Tolerance % CW ],"")/100*Table1[[#This Row],[Std Nom]]),"")</f>
        <v/>
      </c>
      <c r="Q13" s="1" t="e">
        <f>Table1[[#This Row],[High Tol]]-Table1[[#This Row],[Low Tol]]</f>
        <v>#VALUE!</v>
      </c>
      <c r="R13" s="1">
        <f>2*Table1[[#This Row],[Std Error]]</f>
        <v>0</v>
      </c>
      <c r="S13" s="1" t="str">
        <f>IF(Table1[[#This Row],[High Tol]]="","N/A",IFERROR(ABS(Table1[[#This Row],[Tol Span]]/Table1[[#This Row],[Error Span]]),"N/A"))</f>
        <v>N/A</v>
      </c>
      <c r="T13" s="1" t="str">
        <f>IF(OR(Table1[[#This Row],[Low Tol]]="",Table1[[#This Row],[High Tol]]=""),"Needs Analysis",IF(Table1[[#This Row],[Ratio]]&gt;=4,"Not Significant",IF(Table1[[#This Row],[Ratio]]&gt;=2,"Semi-Significant","Significant")))</f>
        <v>Needs Analysis</v>
      </c>
      <c r="W13" s="1">
        <f>IF(Table1[[#This Row],[Cal Type]]&lt;&gt;"ACCREDITED 17025 WITH UNCERTAINTIES",0,"")</f>
        <v>0</v>
      </c>
      <c r="X13" s="1" t="str">
        <f>IF(Table1[[#This Row],[DUT Read]]="","N/A",Table1[[#This Row],[Std Error]]+Table1[[#This Row],[DUT Read]]+Table1[[#This Row],[DUT Ucty]])</f>
        <v>N/A</v>
      </c>
      <c r="Y13" s="1" t="str">
        <f>IF(Table1[[#This Row],[Std Read]]="","N/A",Table1[[#This Row],[Std Read]]+Table1[[#This Row],[Std Ucty]])</f>
        <v>N/A</v>
      </c>
      <c r="Z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 s="1" t="str">
        <f>IF(Table1[[#This Row],[Spec Type]]="","N/A",Table1[[#This Row],[Spec Type]])</f>
        <v>±</v>
      </c>
      <c r="AC13" s="1" t="str">
        <f>IF(Table1[[#This Row],[Spec Type2]]="N/A","N/A",IF(AND(Table1[[#This Row],[DUT Adj Read]]&gt;=Table1[[#This Row],[Low Tol]],Table1[[#This Row],[DUT Adj Read]]&lt;=Table1[[#This Row],[High Tol]]),"Pass","Fail"))</f>
        <v>Fail</v>
      </c>
      <c r="AD13" s="1" t="str">
        <f>IF(AND(Table1[[#This Row],[Spec Type2]]="N/A",Table1[[#This Row],[DUT Adj Read]]="N/A",Table1[[#This Row],[Std Adj Read]]="N/A"),"N/A",IF(Table1[[#This Row],[DUT Adj Read]]="N/A",IF(Table1[[#This Row],[Std Adj Read]]&gt;Table1[[#This Row],[Low Tol]],"Pass","Fail"),IF(Table1[[#This Row],[DUT Adj Read]]&gt;Table1[[#This Row],[Low Tol]],"Pass","Fail")))</f>
        <v>Pass</v>
      </c>
      <c r="AE13" s="1" t="str">
        <f>IF(AND(Table1[[#This Row],[Spec Type2]]="N/A",Table1[[#This Row],[DUT Adj Read]]="N/A",Table1[[#This Row],[Std Adj Read]]="N/A"),"N/A",IF(Table1[[#This Row],[DUT Adj Read]]="N/A",IF(Table1[[#This Row],[Std Adj Read]]&lt;Table1[[#This Row],[High Tol]],"Pass","Fail"),IF(Table1[[#This Row],[DUT Adj Read]]&lt;Table1[[#This Row],[High Tol]],"Pass","Fail")))</f>
        <v>Fail</v>
      </c>
      <c r="AF13" s="1" t="str">
        <f>IF(AND(Table1[[#This Row],[Spec Type2]]="N/A",Table1[[#This Row],[DUT Adj Read]]="N/A",Table1[[#This Row],[Std Adj Read]]="N/A"),"N/A",IF(Table1[[#This Row],[DUT Adj Read]]="N/A",IF(Table1[[#This Row],[Std Adj Read]]&gt;=Table1[[#This Row],[Low Tol]],"Pass","Fail"),IF(Table1[[#This Row],[DUT Adj Read]]&gt;=Table1[[#This Row],[Low Tol]],"Pass","Fail")))</f>
        <v>Pass</v>
      </c>
      <c r="AG13" s="1" t="str">
        <f>IF(AND(Table1[[#This Row],[Spec Type2]]="N/A",Table1[[#This Row],[DUT Adj Read]]="N/A",Table1[[#This Row],[Std Adj Read]]="N/A"),"N/A",IF(Table1[[#This Row],[DUT Adj Read]]="N/A",IF(Table1[[#This Row],[Std Adj Read]]&lt;=Table1[[#This Row],[High Tol]],"Pass","Fail"),IF(Table1[[#This Row],[DUT Adj Read]]&lt;=Table1[[#This Row],[High Tol]],"Pass","Fail")))</f>
        <v>Fail</v>
      </c>
      <c r="AH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3" s="5" t="s">
        <v>38</v>
      </c>
      <c r="AM13" s="1" t="b">
        <v>0</v>
      </c>
      <c r="AN13" s="1" t="b">
        <v>0</v>
      </c>
      <c r="AO13" s="1" t="b">
        <v>0</v>
      </c>
    </row>
    <row r="14" spans="1:41" x14ac:dyDescent="0.25">
      <c r="A14" s="10"/>
      <c r="B14" s="10"/>
      <c r="C14" s="10"/>
      <c r="D14" s="10"/>
      <c r="E14" s="10"/>
      <c r="F14" s="10"/>
      <c r="G14" s="10"/>
      <c r="H14" s="10"/>
      <c r="I14" s="1" t="str">
        <f t="shared" si="2"/>
        <v/>
      </c>
      <c r="J14" s="1" t="s">
        <v>35</v>
      </c>
      <c r="K14" s="1" t="str">
        <f t="shared" si="0"/>
        <v/>
      </c>
      <c r="L14" s="1" t="str">
        <f t="shared" si="1"/>
        <v/>
      </c>
      <c r="M14" s="1">
        <f>IF(OR(Table1[[#This Row],[Std Nom]]="",Table1[[#This Row],[Std Read]]=""),0,Table1[[#This Row],[Std Nom]]-Table1[[#This Row],[Std Read]])</f>
        <v>0</v>
      </c>
      <c r="N14" s="1">
        <f>IF(Calculations!$F$5="ACCREDITED 17025 WITH UNCERTAINTIES",$N$10,0)</f>
        <v>0</v>
      </c>
      <c r="O14" s="1" t="str">
        <f>IFERROR(Table1[[#This Row],[Std Nom]]-(_xlfn.XLOOKUP(Table1[[#This Row],[Manufacturer]]&amp;" "&amp;Table1[[#This Row],[Model]],Table13[MFR &amp; MDL],Table13[Tolerance % CW ],"")/100*Table1[[#This Row],[Std Nom]]),"")</f>
        <v/>
      </c>
      <c r="P14" s="1" t="str">
        <f>IFERROR(Table1[[#This Row],[Std Nom]]+(_xlfn.XLOOKUP(Table1[[#This Row],[Manufacturer]]&amp;" "&amp;Table1[[#This Row],[Model]],Table13[MFR &amp; MDL],Table13[Tolerance % CW ],"")/100*Table1[[#This Row],[Std Nom]]),"")</f>
        <v/>
      </c>
      <c r="Q14" s="1" t="e">
        <f>Table1[[#This Row],[High Tol]]-Table1[[#This Row],[Low Tol]]</f>
        <v>#VALUE!</v>
      </c>
      <c r="R14" s="1">
        <f>2*Table1[[#This Row],[Std Error]]</f>
        <v>0</v>
      </c>
      <c r="S14" s="1" t="str">
        <f>IF(Table1[[#This Row],[High Tol]]="","N/A",IFERROR(ABS(Table1[[#This Row],[Tol Span]]/Table1[[#This Row],[Error Span]]),"N/A"))</f>
        <v>N/A</v>
      </c>
      <c r="T14" s="1" t="str">
        <f>IF(OR(Table1[[#This Row],[Low Tol]]="",Table1[[#This Row],[High Tol]]=""),"Needs Analysis",IF(Table1[[#This Row],[Ratio]]&gt;=4,"Not Significant",IF(Table1[[#This Row],[Ratio]]&gt;=2,"Semi-Significant","Significant")))</f>
        <v>Needs Analysis</v>
      </c>
      <c r="W14" s="1">
        <f>IF(Table1[[#This Row],[Cal Type]]&lt;&gt;"ACCREDITED 17025 WITH UNCERTAINTIES",0,"")</f>
        <v>0</v>
      </c>
      <c r="X14" s="1" t="str">
        <f>IF(Table1[[#This Row],[DUT Read]]="","N/A",Table1[[#This Row],[Std Error]]+Table1[[#This Row],[DUT Read]]+Table1[[#This Row],[DUT Ucty]])</f>
        <v>N/A</v>
      </c>
      <c r="Y14" s="1" t="str">
        <f>IF(Table1[[#This Row],[Std Read]]="","N/A",Table1[[#This Row],[Std Read]]+Table1[[#This Row],[Std Ucty]])</f>
        <v>N/A</v>
      </c>
      <c r="Z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 s="1" t="str">
        <f>IF(Table1[[#This Row],[Spec Type]]="","N/A",Table1[[#This Row],[Spec Type]])</f>
        <v>±</v>
      </c>
      <c r="AC14" s="1" t="str">
        <f>IF(Table1[[#This Row],[Spec Type2]]="N/A","N/A",IF(AND(Table1[[#This Row],[DUT Adj Read]]&gt;=Table1[[#This Row],[Low Tol]],Table1[[#This Row],[DUT Adj Read]]&lt;=Table1[[#This Row],[High Tol]]),"Pass","Fail"))</f>
        <v>Fail</v>
      </c>
      <c r="AD14" s="1" t="str">
        <f>IF(AND(Table1[[#This Row],[Spec Type2]]="N/A",Table1[[#This Row],[DUT Adj Read]]="N/A",Table1[[#This Row],[Std Adj Read]]="N/A"),"N/A",IF(Table1[[#This Row],[DUT Adj Read]]="N/A",IF(Table1[[#This Row],[Std Adj Read]]&gt;Table1[[#This Row],[Low Tol]],"Pass","Fail"),IF(Table1[[#This Row],[DUT Adj Read]]&gt;Table1[[#This Row],[Low Tol]],"Pass","Fail")))</f>
        <v>Pass</v>
      </c>
      <c r="AE14" s="1" t="str">
        <f>IF(AND(Table1[[#This Row],[Spec Type2]]="N/A",Table1[[#This Row],[DUT Adj Read]]="N/A",Table1[[#This Row],[Std Adj Read]]="N/A"),"N/A",IF(Table1[[#This Row],[DUT Adj Read]]="N/A",IF(Table1[[#This Row],[Std Adj Read]]&lt;Table1[[#This Row],[High Tol]],"Pass","Fail"),IF(Table1[[#This Row],[DUT Adj Read]]&lt;Table1[[#This Row],[High Tol]],"Pass","Fail")))</f>
        <v>Fail</v>
      </c>
      <c r="AF14" s="1" t="str">
        <f>IF(AND(Table1[[#This Row],[Spec Type2]]="N/A",Table1[[#This Row],[DUT Adj Read]]="N/A",Table1[[#This Row],[Std Adj Read]]="N/A"),"N/A",IF(Table1[[#This Row],[DUT Adj Read]]="N/A",IF(Table1[[#This Row],[Std Adj Read]]&gt;=Table1[[#This Row],[Low Tol]],"Pass","Fail"),IF(Table1[[#This Row],[DUT Adj Read]]&gt;=Table1[[#This Row],[Low Tol]],"Pass","Fail")))</f>
        <v>Pass</v>
      </c>
      <c r="AG14" s="1" t="str">
        <f>IF(AND(Table1[[#This Row],[Spec Type2]]="N/A",Table1[[#This Row],[DUT Adj Read]]="N/A",Table1[[#This Row],[Std Adj Read]]="N/A"),"N/A",IF(Table1[[#This Row],[DUT Adj Read]]="N/A",IF(Table1[[#This Row],[Std Adj Read]]&lt;=Table1[[#This Row],[High Tol]],"Pass","Fail"),IF(Table1[[#This Row],[DUT Adj Read]]&lt;=Table1[[#This Row],[High Tol]],"Pass","Fail")))</f>
        <v>Fail</v>
      </c>
      <c r="AH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4" s="5" t="s">
        <v>39</v>
      </c>
      <c r="AM14" s="1" t="b">
        <v>0</v>
      </c>
      <c r="AN14" s="1" t="b">
        <v>0</v>
      </c>
      <c r="AO14" s="1" t="b">
        <v>0</v>
      </c>
    </row>
    <row r="15" spans="1:41" x14ac:dyDescent="0.25">
      <c r="A15" s="10"/>
      <c r="B15" s="10"/>
      <c r="C15" s="10"/>
      <c r="D15" s="10"/>
      <c r="E15" s="10"/>
      <c r="F15" s="10"/>
      <c r="G15" s="10"/>
      <c r="H15" s="10"/>
      <c r="I15" s="1" t="str">
        <f t="shared" si="2"/>
        <v/>
      </c>
      <c r="J15" s="1" t="s">
        <v>35</v>
      </c>
      <c r="K15" s="1" t="str">
        <f t="shared" si="0"/>
        <v/>
      </c>
      <c r="L15" s="1" t="str">
        <f t="shared" si="1"/>
        <v/>
      </c>
      <c r="M15" s="1">
        <f>IF(OR(Table1[[#This Row],[Std Nom]]="",Table1[[#This Row],[Std Read]]=""),0,Table1[[#This Row],[Std Nom]]-Table1[[#This Row],[Std Read]])</f>
        <v>0</v>
      </c>
      <c r="N15" s="1">
        <f>IF(Calculations!$F$5="ACCREDITED 17025 WITH UNCERTAINTIES",$N$10,0)</f>
        <v>0</v>
      </c>
      <c r="O15" s="1" t="str">
        <f>IFERROR(Table1[[#This Row],[Std Nom]]-(_xlfn.XLOOKUP(Table1[[#This Row],[Manufacturer]]&amp;" "&amp;Table1[[#This Row],[Model]],Table13[MFR &amp; MDL],Table13[Tolerance % CW ],"")/100*Table1[[#This Row],[Std Nom]]),"")</f>
        <v/>
      </c>
      <c r="P15" s="1" t="str">
        <f>IFERROR(Table1[[#This Row],[Std Nom]]+(_xlfn.XLOOKUP(Table1[[#This Row],[Manufacturer]]&amp;" "&amp;Table1[[#This Row],[Model]],Table13[MFR &amp; MDL],Table13[Tolerance % CW ],"")/100*Table1[[#This Row],[Std Nom]]),"")</f>
        <v/>
      </c>
      <c r="Q15" s="1" t="e">
        <f>Table1[[#This Row],[High Tol]]-Table1[[#This Row],[Low Tol]]</f>
        <v>#VALUE!</v>
      </c>
      <c r="R15" s="1">
        <f>2*Table1[[#This Row],[Std Error]]</f>
        <v>0</v>
      </c>
      <c r="S15" s="1" t="str">
        <f>IF(Table1[[#This Row],[High Tol]]="","N/A",IFERROR(ABS(Table1[[#This Row],[Tol Span]]/Table1[[#This Row],[Error Span]]),"N/A"))</f>
        <v>N/A</v>
      </c>
      <c r="T15" s="1" t="str">
        <f>IF(OR(Table1[[#This Row],[Low Tol]]="",Table1[[#This Row],[High Tol]]=""),"Needs Analysis",IF(Table1[[#This Row],[Ratio]]&gt;=4,"Not Significant",IF(Table1[[#This Row],[Ratio]]&gt;=2,"Semi-Significant","Significant")))</f>
        <v>Needs Analysis</v>
      </c>
      <c r="W15" s="1">
        <f>IF(Table1[[#This Row],[Cal Type]]&lt;&gt;"ACCREDITED 17025 WITH UNCERTAINTIES",0,"")</f>
        <v>0</v>
      </c>
      <c r="X15" s="1" t="str">
        <f>IF(Table1[[#This Row],[DUT Read]]="","N/A",Table1[[#This Row],[Std Error]]+Table1[[#This Row],[DUT Read]]+Table1[[#This Row],[DUT Ucty]])</f>
        <v>N/A</v>
      </c>
      <c r="Y15" s="1" t="str">
        <f>IF(Table1[[#This Row],[Std Read]]="","N/A",Table1[[#This Row],[Std Read]]+Table1[[#This Row],[Std Ucty]])</f>
        <v>N/A</v>
      </c>
      <c r="Z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 s="1" t="str">
        <f>IF(Table1[[#This Row],[Spec Type]]="","N/A",Table1[[#This Row],[Spec Type]])</f>
        <v>±</v>
      </c>
      <c r="AC15" s="1" t="str">
        <f>IF(Table1[[#This Row],[Spec Type2]]="N/A","N/A",IF(AND(Table1[[#This Row],[DUT Adj Read]]&gt;=Table1[[#This Row],[Low Tol]],Table1[[#This Row],[DUT Adj Read]]&lt;=Table1[[#This Row],[High Tol]]),"Pass","Fail"))</f>
        <v>Fail</v>
      </c>
      <c r="AD15" s="1" t="str">
        <f>IF(AND(Table1[[#This Row],[Spec Type2]]="N/A",Table1[[#This Row],[DUT Adj Read]]="N/A",Table1[[#This Row],[Std Adj Read]]="N/A"),"N/A",IF(Table1[[#This Row],[DUT Adj Read]]="N/A",IF(Table1[[#This Row],[Std Adj Read]]&gt;Table1[[#This Row],[Low Tol]],"Pass","Fail"),IF(Table1[[#This Row],[DUT Adj Read]]&gt;Table1[[#This Row],[Low Tol]],"Pass","Fail")))</f>
        <v>Pass</v>
      </c>
      <c r="AE15" s="1" t="str">
        <f>IF(AND(Table1[[#This Row],[Spec Type2]]="N/A",Table1[[#This Row],[DUT Adj Read]]="N/A",Table1[[#This Row],[Std Adj Read]]="N/A"),"N/A",IF(Table1[[#This Row],[DUT Adj Read]]="N/A",IF(Table1[[#This Row],[Std Adj Read]]&lt;Table1[[#This Row],[High Tol]],"Pass","Fail"),IF(Table1[[#This Row],[DUT Adj Read]]&lt;Table1[[#This Row],[High Tol]],"Pass","Fail")))</f>
        <v>Fail</v>
      </c>
      <c r="AF15" s="1" t="str">
        <f>IF(AND(Table1[[#This Row],[Spec Type2]]="N/A",Table1[[#This Row],[DUT Adj Read]]="N/A",Table1[[#This Row],[Std Adj Read]]="N/A"),"N/A",IF(Table1[[#This Row],[DUT Adj Read]]="N/A",IF(Table1[[#This Row],[Std Adj Read]]&gt;=Table1[[#This Row],[Low Tol]],"Pass","Fail"),IF(Table1[[#This Row],[DUT Adj Read]]&gt;=Table1[[#This Row],[Low Tol]],"Pass","Fail")))</f>
        <v>Pass</v>
      </c>
      <c r="AG15" s="1" t="str">
        <f>IF(AND(Table1[[#This Row],[Spec Type2]]="N/A",Table1[[#This Row],[DUT Adj Read]]="N/A",Table1[[#This Row],[Std Adj Read]]="N/A"),"N/A",IF(Table1[[#This Row],[DUT Adj Read]]="N/A",IF(Table1[[#This Row],[Std Adj Read]]&lt;=Table1[[#This Row],[High Tol]],"Pass","Fail"),IF(Table1[[#This Row],[DUT Adj Read]]&lt;=Table1[[#This Row],[High Tol]],"Pass","Fail")))</f>
        <v>Fail</v>
      </c>
      <c r="AH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 s="1" t="b">
        <v>0</v>
      </c>
      <c r="AN15" s="1" t="b">
        <v>0</v>
      </c>
      <c r="AO15" s="1" t="b">
        <v>0</v>
      </c>
    </row>
    <row r="16" spans="1:41" x14ac:dyDescent="0.25">
      <c r="A16" s="10"/>
      <c r="B16" s="10"/>
      <c r="C16" s="10"/>
      <c r="D16" s="10"/>
      <c r="E16" s="10"/>
      <c r="F16" s="10"/>
      <c r="G16" s="10"/>
      <c r="H16" s="10"/>
      <c r="I16" s="1" t="str">
        <f t="shared" si="2"/>
        <v/>
      </c>
      <c r="J16" s="1" t="s">
        <v>35</v>
      </c>
      <c r="K16" s="1" t="str">
        <f t="shared" si="0"/>
        <v/>
      </c>
      <c r="L16" s="1" t="str">
        <f t="shared" si="1"/>
        <v/>
      </c>
      <c r="M16" s="1">
        <f>IF(OR(Table1[[#This Row],[Std Nom]]="",Table1[[#This Row],[Std Read]]=""),0,Table1[[#This Row],[Std Nom]]-Table1[[#This Row],[Std Read]])</f>
        <v>0</v>
      </c>
      <c r="N16" s="1">
        <f>IF(Calculations!$F$5="ACCREDITED 17025 WITH UNCERTAINTIES",$N$10,0)</f>
        <v>0</v>
      </c>
      <c r="O16" s="1" t="str">
        <f>IFERROR(Table1[[#This Row],[Std Nom]]-(_xlfn.XLOOKUP(Table1[[#This Row],[Manufacturer]]&amp;" "&amp;Table1[[#This Row],[Model]],Table13[MFR &amp; MDL],Table13[Tolerance % CW ],"")/100*Table1[[#This Row],[Std Nom]]),"")</f>
        <v/>
      </c>
      <c r="P16" s="1" t="str">
        <f>IFERROR(Table1[[#This Row],[Std Nom]]+(_xlfn.XLOOKUP(Table1[[#This Row],[Manufacturer]]&amp;" "&amp;Table1[[#This Row],[Model]],Table13[MFR &amp; MDL],Table13[Tolerance % CW ],"")/100*Table1[[#This Row],[Std Nom]]),"")</f>
        <v/>
      </c>
      <c r="Q16" s="1" t="e">
        <f>Table1[[#This Row],[High Tol]]-Table1[[#This Row],[Low Tol]]</f>
        <v>#VALUE!</v>
      </c>
      <c r="R16" s="1">
        <f>2*Table1[[#This Row],[Std Error]]</f>
        <v>0</v>
      </c>
      <c r="S16" s="1" t="str">
        <f>IF(Table1[[#This Row],[High Tol]]="","N/A",IFERROR(ABS(Table1[[#This Row],[Tol Span]]/Table1[[#This Row],[Error Span]]),"N/A"))</f>
        <v>N/A</v>
      </c>
      <c r="T16" s="1" t="str">
        <f>IF(OR(Table1[[#This Row],[Low Tol]]="",Table1[[#This Row],[High Tol]]=""),"Needs Analysis",IF(Table1[[#This Row],[Ratio]]&gt;=4,"Not Significant",IF(Table1[[#This Row],[Ratio]]&gt;=2,"Semi-Significant","Significant")))</f>
        <v>Needs Analysis</v>
      </c>
      <c r="W16" s="1">
        <f>IF(Table1[[#This Row],[Cal Type]]&lt;&gt;"ACCREDITED 17025 WITH UNCERTAINTIES",0,"")</f>
        <v>0</v>
      </c>
      <c r="X16" s="1" t="str">
        <f>IF(Table1[[#This Row],[DUT Read]]="","N/A",Table1[[#This Row],[Std Error]]+Table1[[#This Row],[DUT Read]]+Table1[[#This Row],[DUT Ucty]])</f>
        <v>N/A</v>
      </c>
      <c r="Y16" s="1" t="str">
        <f>IF(Table1[[#This Row],[Std Read]]="","N/A",Table1[[#This Row],[Std Read]]+Table1[[#This Row],[Std Ucty]])</f>
        <v>N/A</v>
      </c>
      <c r="Z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 s="1" t="str">
        <f>IF(Table1[[#This Row],[Spec Type]]="","N/A",Table1[[#This Row],[Spec Type]])</f>
        <v>±</v>
      </c>
      <c r="AC16" s="1" t="str">
        <f>IF(Table1[[#This Row],[Spec Type2]]="N/A","N/A",IF(AND(Table1[[#This Row],[DUT Adj Read]]&gt;=Table1[[#This Row],[Low Tol]],Table1[[#This Row],[DUT Adj Read]]&lt;=Table1[[#This Row],[High Tol]]),"Pass","Fail"))</f>
        <v>Fail</v>
      </c>
      <c r="AD16" s="1" t="str">
        <f>IF(AND(Table1[[#This Row],[Spec Type2]]="N/A",Table1[[#This Row],[DUT Adj Read]]="N/A",Table1[[#This Row],[Std Adj Read]]="N/A"),"N/A",IF(Table1[[#This Row],[DUT Adj Read]]="N/A",IF(Table1[[#This Row],[Std Adj Read]]&gt;Table1[[#This Row],[Low Tol]],"Pass","Fail"),IF(Table1[[#This Row],[DUT Adj Read]]&gt;Table1[[#This Row],[Low Tol]],"Pass","Fail")))</f>
        <v>Pass</v>
      </c>
      <c r="AE16" s="1" t="str">
        <f>IF(AND(Table1[[#This Row],[Spec Type2]]="N/A",Table1[[#This Row],[DUT Adj Read]]="N/A",Table1[[#This Row],[Std Adj Read]]="N/A"),"N/A",IF(Table1[[#This Row],[DUT Adj Read]]="N/A",IF(Table1[[#This Row],[Std Adj Read]]&lt;Table1[[#This Row],[High Tol]],"Pass","Fail"),IF(Table1[[#This Row],[DUT Adj Read]]&lt;Table1[[#This Row],[High Tol]],"Pass","Fail")))</f>
        <v>Fail</v>
      </c>
      <c r="AF16" s="1" t="str">
        <f>IF(AND(Table1[[#This Row],[Spec Type2]]="N/A",Table1[[#This Row],[DUT Adj Read]]="N/A",Table1[[#This Row],[Std Adj Read]]="N/A"),"N/A",IF(Table1[[#This Row],[DUT Adj Read]]="N/A",IF(Table1[[#This Row],[Std Adj Read]]&gt;=Table1[[#This Row],[Low Tol]],"Pass","Fail"),IF(Table1[[#This Row],[DUT Adj Read]]&gt;=Table1[[#This Row],[Low Tol]],"Pass","Fail")))</f>
        <v>Pass</v>
      </c>
      <c r="AG16" s="1" t="str">
        <f>IF(AND(Table1[[#This Row],[Spec Type2]]="N/A",Table1[[#This Row],[DUT Adj Read]]="N/A",Table1[[#This Row],[Std Adj Read]]="N/A"),"N/A",IF(Table1[[#This Row],[DUT Adj Read]]="N/A",IF(Table1[[#This Row],[Std Adj Read]]&lt;=Table1[[#This Row],[High Tol]],"Pass","Fail"),IF(Table1[[#This Row],[DUT Adj Read]]&lt;=Table1[[#This Row],[High Tol]],"Pass","Fail")))</f>
        <v>Fail</v>
      </c>
      <c r="AH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 s="1" t="b">
        <v>0</v>
      </c>
      <c r="AN16" s="1" t="b">
        <v>0</v>
      </c>
      <c r="AO16" s="1" t="b">
        <v>0</v>
      </c>
    </row>
    <row r="17" spans="1:41" x14ac:dyDescent="0.25">
      <c r="A17" s="10"/>
      <c r="B17" s="10"/>
      <c r="C17" s="10"/>
      <c r="D17" s="10"/>
      <c r="E17" s="10"/>
      <c r="F17" s="10"/>
      <c r="G17" s="10"/>
      <c r="H17" s="10"/>
      <c r="I17" s="1" t="str">
        <f t="shared" si="2"/>
        <v/>
      </c>
      <c r="J17" s="1" t="s">
        <v>35</v>
      </c>
      <c r="K17" s="1" t="str">
        <f t="shared" si="0"/>
        <v/>
      </c>
      <c r="L17" s="1" t="str">
        <f t="shared" si="1"/>
        <v/>
      </c>
      <c r="M17" s="1">
        <f>IF(OR(Table1[[#This Row],[Std Nom]]="",Table1[[#This Row],[Std Read]]=""),0,Table1[[#This Row],[Std Nom]]-Table1[[#This Row],[Std Read]])</f>
        <v>0</v>
      </c>
      <c r="N17" s="1">
        <f>IF(Calculations!$F$5="ACCREDITED 17025 WITH UNCERTAINTIES",$N$10,0)</f>
        <v>0</v>
      </c>
      <c r="O17" s="1" t="str">
        <f>IFERROR(Table1[[#This Row],[Std Nom]]-(_xlfn.XLOOKUP(Table1[[#This Row],[Manufacturer]]&amp;" "&amp;Table1[[#This Row],[Model]],Table13[MFR &amp; MDL],Table13[Tolerance % CW ],"")/100*Table1[[#This Row],[Std Nom]]),"")</f>
        <v/>
      </c>
      <c r="P17" s="1" t="str">
        <f>IFERROR(Table1[[#This Row],[Std Nom]]+(_xlfn.XLOOKUP(Table1[[#This Row],[Manufacturer]]&amp;" "&amp;Table1[[#This Row],[Model]],Table13[MFR &amp; MDL],Table13[Tolerance % CW ],"")/100*Table1[[#This Row],[Std Nom]]),"")</f>
        <v/>
      </c>
      <c r="Q17" s="1" t="e">
        <f>Table1[[#This Row],[High Tol]]-Table1[[#This Row],[Low Tol]]</f>
        <v>#VALUE!</v>
      </c>
      <c r="R17" s="1">
        <f>2*Table1[[#This Row],[Std Error]]</f>
        <v>0</v>
      </c>
      <c r="S17" s="1" t="str">
        <f>IF(Table1[[#This Row],[High Tol]]="","N/A",IFERROR(ABS(Table1[[#This Row],[Tol Span]]/Table1[[#This Row],[Error Span]]),"N/A"))</f>
        <v>N/A</v>
      </c>
      <c r="T17" s="1" t="str">
        <f>IF(OR(Table1[[#This Row],[Low Tol]]="",Table1[[#This Row],[High Tol]]=""),"Needs Analysis",IF(Table1[[#This Row],[Ratio]]&gt;=4,"Not Significant",IF(Table1[[#This Row],[Ratio]]&gt;=2,"Semi-Significant","Significant")))</f>
        <v>Needs Analysis</v>
      </c>
      <c r="W17" s="1">
        <f>IF(Table1[[#This Row],[Cal Type]]&lt;&gt;"ACCREDITED 17025 WITH UNCERTAINTIES",0,"")</f>
        <v>0</v>
      </c>
      <c r="X17" s="1" t="str">
        <f>IF(Table1[[#This Row],[DUT Read]]="","N/A",Table1[[#This Row],[Std Error]]+Table1[[#This Row],[DUT Read]]+Table1[[#This Row],[DUT Ucty]])</f>
        <v>N/A</v>
      </c>
      <c r="Y17" s="1" t="str">
        <f>IF(Table1[[#This Row],[Std Read]]="","N/A",Table1[[#This Row],[Std Read]]+Table1[[#This Row],[Std Ucty]])</f>
        <v>N/A</v>
      </c>
      <c r="Z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 s="1" t="str">
        <f>IF(Table1[[#This Row],[Spec Type]]="","N/A",Table1[[#This Row],[Spec Type]])</f>
        <v>±</v>
      </c>
      <c r="AC17" s="1" t="str">
        <f>IF(Table1[[#This Row],[Spec Type2]]="N/A","N/A",IF(AND(Table1[[#This Row],[DUT Adj Read]]&gt;=Table1[[#This Row],[Low Tol]],Table1[[#This Row],[DUT Adj Read]]&lt;=Table1[[#This Row],[High Tol]]),"Pass","Fail"))</f>
        <v>Fail</v>
      </c>
      <c r="AD17" s="1" t="str">
        <f>IF(AND(Table1[[#This Row],[Spec Type2]]="N/A",Table1[[#This Row],[DUT Adj Read]]="N/A",Table1[[#This Row],[Std Adj Read]]="N/A"),"N/A",IF(Table1[[#This Row],[DUT Adj Read]]="N/A",IF(Table1[[#This Row],[Std Adj Read]]&gt;Table1[[#This Row],[Low Tol]],"Pass","Fail"),IF(Table1[[#This Row],[DUT Adj Read]]&gt;Table1[[#This Row],[Low Tol]],"Pass","Fail")))</f>
        <v>Pass</v>
      </c>
      <c r="AE17" s="1" t="str">
        <f>IF(AND(Table1[[#This Row],[Spec Type2]]="N/A",Table1[[#This Row],[DUT Adj Read]]="N/A",Table1[[#This Row],[Std Adj Read]]="N/A"),"N/A",IF(Table1[[#This Row],[DUT Adj Read]]="N/A",IF(Table1[[#This Row],[Std Adj Read]]&lt;Table1[[#This Row],[High Tol]],"Pass","Fail"),IF(Table1[[#This Row],[DUT Adj Read]]&lt;Table1[[#This Row],[High Tol]],"Pass","Fail")))</f>
        <v>Fail</v>
      </c>
      <c r="AF17" s="1" t="str">
        <f>IF(AND(Table1[[#This Row],[Spec Type2]]="N/A",Table1[[#This Row],[DUT Adj Read]]="N/A",Table1[[#This Row],[Std Adj Read]]="N/A"),"N/A",IF(Table1[[#This Row],[DUT Adj Read]]="N/A",IF(Table1[[#This Row],[Std Adj Read]]&gt;=Table1[[#This Row],[Low Tol]],"Pass","Fail"),IF(Table1[[#This Row],[DUT Adj Read]]&gt;=Table1[[#This Row],[Low Tol]],"Pass","Fail")))</f>
        <v>Pass</v>
      </c>
      <c r="AG17" s="1" t="str">
        <f>IF(AND(Table1[[#This Row],[Spec Type2]]="N/A",Table1[[#This Row],[DUT Adj Read]]="N/A",Table1[[#This Row],[Std Adj Read]]="N/A"),"N/A",IF(Table1[[#This Row],[DUT Adj Read]]="N/A",IF(Table1[[#This Row],[Std Adj Read]]&lt;=Table1[[#This Row],[High Tol]],"Pass","Fail"),IF(Table1[[#This Row],[DUT Adj Read]]&lt;=Table1[[#This Row],[High Tol]],"Pass","Fail")))</f>
        <v>Fail</v>
      </c>
      <c r="AH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7" s="1" t="s">
        <v>48</v>
      </c>
      <c r="AM17" s="1" t="b">
        <v>0</v>
      </c>
      <c r="AN17" s="1" t="b">
        <v>0</v>
      </c>
      <c r="AO17" s="1" t="b">
        <v>0</v>
      </c>
    </row>
    <row r="18" spans="1:41" x14ac:dyDescent="0.25">
      <c r="A18" s="10"/>
      <c r="B18" s="10"/>
      <c r="C18" s="10"/>
      <c r="D18" s="10"/>
      <c r="E18" s="10"/>
      <c r="F18" s="10"/>
      <c r="G18" s="10"/>
      <c r="H18" s="10"/>
      <c r="I18" s="1" t="str">
        <f t="shared" si="2"/>
        <v/>
      </c>
      <c r="J18" s="1" t="s">
        <v>35</v>
      </c>
      <c r="K18" s="1" t="str">
        <f t="shared" si="0"/>
        <v/>
      </c>
      <c r="L18" s="1" t="str">
        <f t="shared" si="1"/>
        <v/>
      </c>
      <c r="M18" s="1">
        <f>IF(OR(Table1[[#This Row],[Std Nom]]="",Table1[[#This Row],[Std Read]]=""),0,Table1[[#This Row],[Std Nom]]-Table1[[#This Row],[Std Read]])</f>
        <v>0</v>
      </c>
      <c r="N18" s="1">
        <f>IF(Calculations!$F$5="ACCREDITED 17025 WITH UNCERTAINTIES",$N$10,0)</f>
        <v>0</v>
      </c>
      <c r="O18" s="1" t="str">
        <f>IFERROR(Table1[[#This Row],[Std Nom]]-(_xlfn.XLOOKUP(Table1[[#This Row],[Manufacturer]]&amp;" "&amp;Table1[[#This Row],[Model]],Table13[MFR &amp; MDL],Table13[Tolerance % CW ],"")/100*Table1[[#This Row],[Std Nom]]),"")</f>
        <v/>
      </c>
      <c r="P18" s="1" t="str">
        <f>IFERROR(Table1[[#This Row],[Std Nom]]+(_xlfn.XLOOKUP(Table1[[#This Row],[Manufacturer]]&amp;" "&amp;Table1[[#This Row],[Model]],Table13[MFR &amp; MDL],Table13[Tolerance % CW ],"")/100*Table1[[#This Row],[Std Nom]]),"")</f>
        <v/>
      </c>
      <c r="Q18" s="1" t="e">
        <f>Table1[[#This Row],[High Tol]]-Table1[[#This Row],[Low Tol]]</f>
        <v>#VALUE!</v>
      </c>
      <c r="R18" s="1">
        <f>2*Table1[[#This Row],[Std Error]]</f>
        <v>0</v>
      </c>
      <c r="S18" s="1" t="str">
        <f>IF(Table1[[#This Row],[High Tol]]="","N/A",IFERROR(ABS(Table1[[#This Row],[Tol Span]]/Table1[[#This Row],[Error Span]]),"N/A"))</f>
        <v>N/A</v>
      </c>
      <c r="T18" s="1" t="str">
        <f>IF(OR(Table1[[#This Row],[Low Tol]]="",Table1[[#This Row],[High Tol]]=""),"Needs Analysis",IF(Table1[[#This Row],[Ratio]]&gt;=4,"Not Significant",IF(Table1[[#This Row],[Ratio]]&gt;=2,"Semi-Significant","Significant")))</f>
        <v>Needs Analysis</v>
      </c>
      <c r="W18" s="1">
        <f>IF(Table1[[#This Row],[Cal Type]]&lt;&gt;"ACCREDITED 17025 WITH UNCERTAINTIES",0,"")</f>
        <v>0</v>
      </c>
      <c r="X18" s="1" t="str">
        <f>IF(Table1[[#This Row],[DUT Read]]="","N/A",Table1[[#This Row],[Std Error]]+Table1[[#This Row],[DUT Read]]+Table1[[#This Row],[DUT Ucty]])</f>
        <v>N/A</v>
      </c>
      <c r="Y18" s="1" t="str">
        <f>IF(Table1[[#This Row],[Std Read]]="","N/A",Table1[[#This Row],[Std Read]]+Table1[[#This Row],[Std Ucty]])</f>
        <v>N/A</v>
      </c>
      <c r="Z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 s="1" t="str">
        <f>IF(Table1[[#This Row],[Spec Type]]="","N/A",Table1[[#This Row],[Spec Type]])</f>
        <v>±</v>
      </c>
      <c r="AC18" s="1" t="str">
        <f>IF(Table1[[#This Row],[Spec Type2]]="N/A","N/A",IF(AND(Table1[[#This Row],[DUT Adj Read]]&gt;=Table1[[#This Row],[Low Tol]],Table1[[#This Row],[DUT Adj Read]]&lt;=Table1[[#This Row],[High Tol]]),"Pass","Fail"))</f>
        <v>Fail</v>
      </c>
      <c r="AD18" s="1" t="str">
        <f>IF(AND(Table1[[#This Row],[Spec Type2]]="N/A",Table1[[#This Row],[DUT Adj Read]]="N/A",Table1[[#This Row],[Std Adj Read]]="N/A"),"N/A",IF(Table1[[#This Row],[DUT Adj Read]]="N/A",IF(Table1[[#This Row],[Std Adj Read]]&gt;Table1[[#This Row],[Low Tol]],"Pass","Fail"),IF(Table1[[#This Row],[DUT Adj Read]]&gt;Table1[[#This Row],[Low Tol]],"Pass","Fail")))</f>
        <v>Pass</v>
      </c>
      <c r="AE18" s="1" t="str">
        <f>IF(AND(Table1[[#This Row],[Spec Type2]]="N/A",Table1[[#This Row],[DUT Adj Read]]="N/A",Table1[[#This Row],[Std Adj Read]]="N/A"),"N/A",IF(Table1[[#This Row],[DUT Adj Read]]="N/A",IF(Table1[[#This Row],[Std Adj Read]]&lt;Table1[[#This Row],[High Tol]],"Pass","Fail"),IF(Table1[[#This Row],[DUT Adj Read]]&lt;Table1[[#This Row],[High Tol]],"Pass","Fail")))</f>
        <v>Fail</v>
      </c>
      <c r="AF18" s="1" t="str">
        <f>IF(AND(Table1[[#This Row],[Spec Type2]]="N/A",Table1[[#This Row],[DUT Adj Read]]="N/A",Table1[[#This Row],[Std Adj Read]]="N/A"),"N/A",IF(Table1[[#This Row],[DUT Adj Read]]="N/A",IF(Table1[[#This Row],[Std Adj Read]]&gt;=Table1[[#This Row],[Low Tol]],"Pass","Fail"),IF(Table1[[#This Row],[DUT Adj Read]]&gt;=Table1[[#This Row],[Low Tol]],"Pass","Fail")))</f>
        <v>Pass</v>
      </c>
      <c r="AG18" s="1" t="str">
        <f>IF(AND(Table1[[#This Row],[Spec Type2]]="N/A",Table1[[#This Row],[DUT Adj Read]]="N/A",Table1[[#This Row],[Std Adj Read]]="N/A"),"N/A",IF(Table1[[#This Row],[DUT Adj Read]]="N/A",IF(Table1[[#This Row],[Std Adj Read]]&lt;=Table1[[#This Row],[High Tol]],"Pass","Fail"),IF(Table1[[#This Row],[DUT Adj Read]]&lt;=Table1[[#This Row],[High Tol]],"Pass","Fail")))</f>
        <v>Fail</v>
      </c>
      <c r="AH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8" s="1" t="s">
        <v>124</v>
      </c>
      <c r="AM18" s="1" t="b">
        <v>0</v>
      </c>
      <c r="AN18" s="1" t="b">
        <v>0</v>
      </c>
      <c r="AO18" s="1" t="b">
        <v>0</v>
      </c>
    </row>
    <row r="19" spans="1:41" x14ac:dyDescent="0.25">
      <c r="A19" s="10"/>
      <c r="B19" s="10"/>
      <c r="C19" s="10"/>
      <c r="D19" s="10"/>
      <c r="E19" s="10"/>
      <c r="F19" s="10"/>
      <c r="G19" s="10"/>
      <c r="H19" s="10"/>
      <c r="I19" s="1" t="str">
        <f t="shared" si="2"/>
        <v/>
      </c>
      <c r="J19" s="1" t="s">
        <v>35</v>
      </c>
      <c r="K19" s="1" t="str">
        <f t="shared" si="0"/>
        <v/>
      </c>
      <c r="L19" s="1" t="str">
        <f t="shared" si="1"/>
        <v/>
      </c>
      <c r="M19" s="1">
        <f>IF(OR(Table1[[#This Row],[Std Nom]]="",Table1[[#This Row],[Std Read]]=""),0,Table1[[#This Row],[Std Nom]]-Table1[[#This Row],[Std Read]])</f>
        <v>0</v>
      </c>
      <c r="N19" s="1">
        <f>IF(Calculations!$F$5="ACCREDITED 17025 WITH UNCERTAINTIES",$N$10,0)</f>
        <v>0</v>
      </c>
      <c r="O19" s="1" t="str">
        <f>IFERROR(Table1[[#This Row],[Std Nom]]-(_xlfn.XLOOKUP(Table1[[#This Row],[Manufacturer]]&amp;" "&amp;Table1[[#This Row],[Model]],Table13[MFR &amp; MDL],Table13[Tolerance % CW ],"")/100*Table1[[#This Row],[Std Nom]]),"")</f>
        <v/>
      </c>
      <c r="P19" s="1" t="str">
        <f>IFERROR(Table1[[#This Row],[Std Nom]]+(_xlfn.XLOOKUP(Table1[[#This Row],[Manufacturer]]&amp;" "&amp;Table1[[#This Row],[Model]],Table13[MFR &amp; MDL],Table13[Tolerance % CW ],"")/100*Table1[[#This Row],[Std Nom]]),"")</f>
        <v/>
      </c>
      <c r="Q19" s="1" t="e">
        <f>Table1[[#This Row],[High Tol]]-Table1[[#This Row],[Low Tol]]</f>
        <v>#VALUE!</v>
      </c>
      <c r="R19" s="1">
        <f>2*Table1[[#This Row],[Std Error]]</f>
        <v>0</v>
      </c>
      <c r="S19" s="1" t="str">
        <f>IF(Table1[[#This Row],[High Tol]]="","N/A",IFERROR(ABS(Table1[[#This Row],[Tol Span]]/Table1[[#This Row],[Error Span]]),"N/A"))</f>
        <v>N/A</v>
      </c>
      <c r="T19" s="1" t="str">
        <f>IF(OR(Table1[[#This Row],[Low Tol]]="",Table1[[#This Row],[High Tol]]=""),"Needs Analysis",IF(Table1[[#This Row],[Ratio]]&gt;=4,"Not Significant",IF(Table1[[#This Row],[Ratio]]&gt;=2,"Semi-Significant","Significant")))</f>
        <v>Needs Analysis</v>
      </c>
      <c r="W19" s="1">
        <f>IF(Table1[[#This Row],[Cal Type]]&lt;&gt;"ACCREDITED 17025 WITH UNCERTAINTIES",0,"")</f>
        <v>0</v>
      </c>
      <c r="X19" s="1" t="str">
        <f>IF(Table1[[#This Row],[DUT Read]]="","N/A",Table1[[#This Row],[Std Error]]+Table1[[#This Row],[DUT Read]]+Table1[[#This Row],[DUT Ucty]])</f>
        <v>N/A</v>
      </c>
      <c r="Y19" s="1" t="str">
        <f>IF(Table1[[#This Row],[Std Read]]="","N/A",Table1[[#This Row],[Std Read]]+Table1[[#This Row],[Std Ucty]])</f>
        <v>N/A</v>
      </c>
      <c r="Z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 s="1" t="str">
        <f>IF(Table1[[#This Row],[Spec Type]]="","N/A",Table1[[#This Row],[Spec Type]])</f>
        <v>±</v>
      </c>
      <c r="AC19" s="1" t="str">
        <f>IF(Table1[[#This Row],[Spec Type2]]="N/A","N/A",IF(AND(Table1[[#This Row],[DUT Adj Read]]&gt;=Table1[[#This Row],[Low Tol]],Table1[[#This Row],[DUT Adj Read]]&lt;=Table1[[#This Row],[High Tol]]),"Pass","Fail"))</f>
        <v>Fail</v>
      </c>
      <c r="AD19" s="1" t="str">
        <f>IF(AND(Table1[[#This Row],[Spec Type2]]="N/A",Table1[[#This Row],[DUT Adj Read]]="N/A",Table1[[#This Row],[Std Adj Read]]="N/A"),"N/A",IF(Table1[[#This Row],[DUT Adj Read]]="N/A",IF(Table1[[#This Row],[Std Adj Read]]&gt;Table1[[#This Row],[Low Tol]],"Pass","Fail"),IF(Table1[[#This Row],[DUT Adj Read]]&gt;Table1[[#This Row],[Low Tol]],"Pass","Fail")))</f>
        <v>Pass</v>
      </c>
      <c r="AE19" s="1" t="str">
        <f>IF(AND(Table1[[#This Row],[Spec Type2]]="N/A",Table1[[#This Row],[DUT Adj Read]]="N/A",Table1[[#This Row],[Std Adj Read]]="N/A"),"N/A",IF(Table1[[#This Row],[DUT Adj Read]]="N/A",IF(Table1[[#This Row],[Std Adj Read]]&lt;Table1[[#This Row],[High Tol]],"Pass","Fail"),IF(Table1[[#This Row],[DUT Adj Read]]&lt;Table1[[#This Row],[High Tol]],"Pass","Fail")))</f>
        <v>Fail</v>
      </c>
      <c r="AF19" s="1" t="str">
        <f>IF(AND(Table1[[#This Row],[Spec Type2]]="N/A",Table1[[#This Row],[DUT Adj Read]]="N/A",Table1[[#This Row],[Std Adj Read]]="N/A"),"N/A",IF(Table1[[#This Row],[DUT Adj Read]]="N/A",IF(Table1[[#This Row],[Std Adj Read]]&gt;=Table1[[#This Row],[Low Tol]],"Pass","Fail"),IF(Table1[[#This Row],[DUT Adj Read]]&gt;=Table1[[#This Row],[Low Tol]],"Pass","Fail")))</f>
        <v>Pass</v>
      </c>
      <c r="AG19" s="1" t="str">
        <f>IF(AND(Table1[[#This Row],[Spec Type2]]="N/A",Table1[[#This Row],[DUT Adj Read]]="N/A",Table1[[#This Row],[Std Adj Read]]="N/A"),"N/A",IF(Table1[[#This Row],[DUT Adj Read]]="N/A",IF(Table1[[#This Row],[Std Adj Read]]&lt;=Table1[[#This Row],[High Tol]],"Pass","Fail"),IF(Table1[[#This Row],[DUT Adj Read]]&lt;=Table1[[#This Row],[High Tol]],"Pass","Fail")))</f>
        <v>Fail</v>
      </c>
      <c r="AH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9" s="1" t="s">
        <v>49</v>
      </c>
      <c r="AM19" s="1" t="b">
        <v>0</v>
      </c>
      <c r="AN19" s="1" t="b">
        <v>0</v>
      </c>
      <c r="AO19" s="1" t="b">
        <v>0</v>
      </c>
    </row>
    <row r="20" spans="1:41" x14ac:dyDescent="0.25">
      <c r="A20" s="10"/>
      <c r="B20" s="10"/>
      <c r="C20" s="10"/>
      <c r="D20" s="10"/>
      <c r="E20" s="10"/>
      <c r="F20" s="10"/>
      <c r="G20" s="10"/>
      <c r="H20" s="10"/>
      <c r="I20" s="1" t="str">
        <f t="shared" si="2"/>
        <v/>
      </c>
      <c r="J20" s="1" t="s">
        <v>35</v>
      </c>
      <c r="K20" s="1" t="str">
        <f t="shared" si="0"/>
        <v/>
      </c>
      <c r="L20" s="1" t="str">
        <f t="shared" si="1"/>
        <v/>
      </c>
      <c r="M20" s="1">
        <f>IF(OR(Table1[[#This Row],[Std Nom]]="",Table1[[#This Row],[Std Read]]=""),0,Table1[[#This Row],[Std Nom]]-Table1[[#This Row],[Std Read]])</f>
        <v>0</v>
      </c>
      <c r="N20" s="1">
        <f>IF(Calculations!$F$5="ACCREDITED 17025 WITH UNCERTAINTIES",$N$10,0)</f>
        <v>0</v>
      </c>
      <c r="O20" s="1" t="str">
        <f>IFERROR(Table1[[#This Row],[Std Nom]]-(_xlfn.XLOOKUP(Table1[[#This Row],[Manufacturer]]&amp;" "&amp;Table1[[#This Row],[Model]],Table13[MFR &amp; MDL],Table13[Tolerance % CW ],"")/100*Table1[[#This Row],[Std Nom]]),"")</f>
        <v/>
      </c>
      <c r="P20" s="1" t="str">
        <f>IFERROR(Table1[[#This Row],[Std Nom]]+(_xlfn.XLOOKUP(Table1[[#This Row],[Manufacturer]]&amp;" "&amp;Table1[[#This Row],[Model]],Table13[MFR &amp; MDL],Table13[Tolerance % CW ],"")/100*Table1[[#This Row],[Std Nom]]),"")</f>
        <v/>
      </c>
      <c r="Q20" s="1" t="e">
        <f>Table1[[#This Row],[High Tol]]-Table1[[#This Row],[Low Tol]]</f>
        <v>#VALUE!</v>
      </c>
      <c r="R20" s="1">
        <f>2*Table1[[#This Row],[Std Error]]</f>
        <v>0</v>
      </c>
      <c r="S20" s="1" t="str">
        <f>IF(Table1[[#This Row],[High Tol]]="","N/A",IFERROR(ABS(Table1[[#This Row],[Tol Span]]/Table1[[#This Row],[Error Span]]),"N/A"))</f>
        <v>N/A</v>
      </c>
      <c r="T20" s="1" t="str">
        <f>IF(OR(Table1[[#This Row],[Low Tol]]="",Table1[[#This Row],[High Tol]]=""),"Needs Analysis",IF(Table1[[#This Row],[Ratio]]&gt;=4,"Not Significant",IF(Table1[[#This Row],[Ratio]]&gt;=2,"Semi-Significant","Significant")))</f>
        <v>Needs Analysis</v>
      </c>
      <c r="W20" s="1">
        <f>IF(Table1[[#This Row],[Cal Type]]&lt;&gt;"ACCREDITED 17025 WITH UNCERTAINTIES",0,"")</f>
        <v>0</v>
      </c>
      <c r="X20" s="1" t="str">
        <f>IF(Table1[[#This Row],[DUT Read]]="","N/A",Table1[[#This Row],[Std Error]]+Table1[[#This Row],[DUT Read]]+Table1[[#This Row],[DUT Ucty]])</f>
        <v>N/A</v>
      </c>
      <c r="Y20" s="1" t="str">
        <f>IF(Table1[[#This Row],[Std Read]]="","N/A",Table1[[#This Row],[Std Read]]+Table1[[#This Row],[Std Ucty]])</f>
        <v>N/A</v>
      </c>
      <c r="Z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 s="1" t="str">
        <f>IF(Table1[[#This Row],[Spec Type]]="","N/A",Table1[[#This Row],[Spec Type]])</f>
        <v>±</v>
      </c>
      <c r="AC20" s="1" t="str">
        <f>IF(Table1[[#This Row],[Spec Type2]]="N/A","N/A",IF(AND(Table1[[#This Row],[DUT Adj Read]]&gt;=Table1[[#This Row],[Low Tol]],Table1[[#This Row],[DUT Adj Read]]&lt;=Table1[[#This Row],[High Tol]]),"Pass","Fail"))</f>
        <v>Fail</v>
      </c>
      <c r="AD20" s="1" t="str">
        <f>IF(AND(Table1[[#This Row],[Spec Type2]]="N/A",Table1[[#This Row],[DUT Adj Read]]="N/A",Table1[[#This Row],[Std Adj Read]]="N/A"),"N/A",IF(Table1[[#This Row],[DUT Adj Read]]="N/A",IF(Table1[[#This Row],[Std Adj Read]]&gt;Table1[[#This Row],[Low Tol]],"Pass","Fail"),IF(Table1[[#This Row],[DUT Adj Read]]&gt;Table1[[#This Row],[Low Tol]],"Pass","Fail")))</f>
        <v>Pass</v>
      </c>
      <c r="AE20" s="1" t="str">
        <f>IF(AND(Table1[[#This Row],[Spec Type2]]="N/A",Table1[[#This Row],[DUT Adj Read]]="N/A",Table1[[#This Row],[Std Adj Read]]="N/A"),"N/A",IF(Table1[[#This Row],[DUT Adj Read]]="N/A",IF(Table1[[#This Row],[Std Adj Read]]&lt;Table1[[#This Row],[High Tol]],"Pass","Fail"),IF(Table1[[#This Row],[DUT Adj Read]]&lt;Table1[[#This Row],[High Tol]],"Pass","Fail")))</f>
        <v>Fail</v>
      </c>
      <c r="AF20" s="1" t="str">
        <f>IF(AND(Table1[[#This Row],[Spec Type2]]="N/A",Table1[[#This Row],[DUT Adj Read]]="N/A",Table1[[#This Row],[Std Adj Read]]="N/A"),"N/A",IF(Table1[[#This Row],[DUT Adj Read]]="N/A",IF(Table1[[#This Row],[Std Adj Read]]&gt;=Table1[[#This Row],[Low Tol]],"Pass","Fail"),IF(Table1[[#This Row],[DUT Adj Read]]&gt;=Table1[[#This Row],[Low Tol]],"Pass","Fail")))</f>
        <v>Pass</v>
      </c>
      <c r="AG20" s="1" t="str">
        <f>IF(AND(Table1[[#This Row],[Spec Type2]]="N/A",Table1[[#This Row],[DUT Adj Read]]="N/A",Table1[[#This Row],[Std Adj Read]]="N/A"),"N/A",IF(Table1[[#This Row],[DUT Adj Read]]="N/A",IF(Table1[[#This Row],[Std Adj Read]]&lt;=Table1[[#This Row],[High Tol]],"Pass","Fail"),IF(Table1[[#This Row],[DUT Adj Read]]&lt;=Table1[[#This Row],[High Tol]],"Pass","Fail")))</f>
        <v>Fail</v>
      </c>
      <c r="AH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20" s="1" t="s">
        <v>70</v>
      </c>
      <c r="AM20" s="1" t="b">
        <v>0</v>
      </c>
      <c r="AN20" s="1" t="b">
        <v>0</v>
      </c>
      <c r="AO20" s="1" t="b">
        <v>0</v>
      </c>
    </row>
    <row r="21" spans="1:41" x14ac:dyDescent="0.25">
      <c r="A21" s="10"/>
      <c r="B21" s="10"/>
      <c r="C21" s="10"/>
      <c r="D21" s="10"/>
      <c r="E21" s="10"/>
      <c r="F21" s="10"/>
      <c r="G21" s="10"/>
      <c r="H21" s="10"/>
      <c r="I21" s="1" t="str">
        <f t="shared" si="2"/>
        <v/>
      </c>
      <c r="J21" s="1" t="s">
        <v>35</v>
      </c>
      <c r="K21" s="1" t="str">
        <f t="shared" si="0"/>
        <v/>
      </c>
      <c r="L21" s="1" t="str">
        <f t="shared" si="1"/>
        <v/>
      </c>
      <c r="M21" s="1">
        <f>IF(OR(Table1[[#This Row],[Std Nom]]="",Table1[[#This Row],[Std Read]]=""),0,Table1[[#This Row],[Std Nom]]-Table1[[#This Row],[Std Read]])</f>
        <v>0</v>
      </c>
      <c r="N21" s="1">
        <f>IF(Calculations!$F$5="ACCREDITED 17025 WITH UNCERTAINTIES",$N$10,0)</f>
        <v>0</v>
      </c>
      <c r="O21" s="1" t="str">
        <f>IFERROR(Table1[[#This Row],[Std Nom]]-(_xlfn.XLOOKUP(Table1[[#This Row],[Manufacturer]]&amp;" "&amp;Table1[[#This Row],[Model]],Table13[MFR &amp; MDL],Table13[Tolerance % CW ],"")/100*Table1[[#This Row],[Std Nom]]),"")</f>
        <v/>
      </c>
      <c r="P21" s="1" t="str">
        <f>IFERROR(Table1[[#This Row],[Std Nom]]+(_xlfn.XLOOKUP(Table1[[#This Row],[Manufacturer]]&amp;" "&amp;Table1[[#This Row],[Model]],Table13[MFR &amp; MDL],Table13[Tolerance % CW ],"")/100*Table1[[#This Row],[Std Nom]]),"")</f>
        <v/>
      </c>
      <c r="Q21" s="1" t="e">
        <f>Table1[[#This Row],[High Tol]]-Table1[[#This Row],[Low Tol]]</f>
        <v>#VALUE!</v>
      </c>
      <c r="R21" s="1">
        <f>2*Table1[[#This Row],[Std Error]]</f>
        <v>0</v>
      </c>
      <c r="S21" s="1" t="str">
        <f>IF(Table1[[#This Row],[High Tol]]="","N/A",IFERROR(ABS(Table1[[#This Row],[Tol Span]]/Table1[[#This Row],[Error Span]]),"N/A"))</f>
        <v>N/A</v>
      </c>
      <c r="T21" s="1" t="str">
        <f>IF(OR(Table1[[#This Row],[Low Tol]]="",Table1[[#This Row],[High Tol]]=""),"Needs Analysis",IF(Table1[[#This Row],[Ratio]]&gt;=4,"Not Significant",IF(Table1[[#This Row],[Ratio]]&gt;=2,"Semi-Significant","Significant")))</f>
        <v>Needs Analysis</v>
      </c>
      <c r="W21" s="1">
        <f>IF(Table1[[#This Row],[Cal Type]]&lt;&gt;"ACCREDITED 17025 WITH UNCERTAINTIES",0,"")</f>
        <v>0</v>
      </c>
      <c r="X21" s="1" t="str">
        <f>IF(Table1[[#This Row],[DUT Read]]="","N/A",Table1[[#This Row],[Std Error]]+Table1[[#This Row],[DUT Read]]+Table1[[#This Row],[DUT Ucty]])</f>
        <v>N/A</v>
      </c>
      <c r="Y21" s="1" t="str">
        <f>IF(Table1[[#This Row],[Std Read]]="","N/A",Table1[[#This Row],[Std Read]]+Table1[[#This Row],[Std Ucty]])</f>
        <v>N/A</v>
      </c>
      <c r="Z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 s="1" t="str">
        <f>IF(Table1[[#This Row],[Spec Type]]="","N/A",Table1[[#This Row],[Spec Type]])</f>
        <v>±</v>
      </c>
      <c r="AC21" s="1" t="str">
        <f>IF(Table1[[#This Row],[Spec Type2]]="N/A","N/A",IF(AND(Table1[[#This Row],[DUT Adj Read]]&gt;=Table1[[#This Row],[Low Tol]],Table1[[#This Row],[DUT Adj Read]]&lt;=Table1[[#This Row],[High Tol]]),"Pass","Fail"))</f>
        <v>Fail</v>
      </c>
      <c r="AD21" s="1" t="str">
        <f>IF(AND(Table1[[#This Row],[Spec Type2]]="N/A",Table1[[#This Row],[DUT Adj Read]]="N/A",Table1[[#This Row],[Std Adj Read]]="N/A"),"N/A",IF(Table1[[#This Row],[DUT Adj Read]]="N/A",IF(Table1[[#This Row],[Std Adj Read]]&gt;Table1[[#This Row],[Low Tol]],"Pass","Fail"),IF(Table1[[#This Row],[DUT Adj Read]]&gt;Table1[[#This Row],[Low Tol]],"Pass","Fail")))</f>
        <v>Pass</v>
      </c>
      <c r="AE21" s="1" t="str">
        <f>IF(AND(Table1[[#This Row],[Spec Type2]]="N/A",Table1[[#This Row],[DUT Adj Read]]="N/A",Table1[[#This Row],[Std Adj Read]]="N/A"),"N/A",IF(Table1[[#This Row],[DUT Adj Read]]="N/A",IF(Table1[[#This Row],[Std Adj Read]]&lt;Table1[[#This Row],[High Tol]],"Pass","Fail"),IF(Table1[[#This Row],[DUT Adj Read]]&lt;Table1[[#This Row],[High Tol]],"Pass","Fail")))</f>
        <v>Fail</v>
      </c>
      <c r="AF21" s="1" t="str">
        <f>IF(AND(Table1[[#This Row],[Spec Type2]]="N/A",Table1[[#This Row],[DUT Adj Read]]="N/A",Table1[[#This Row],[Std Adj Read]]="N/A"),"N/A",IF(Table1[[#This Row],[DUT Adj Read]]="N/A",IF(Table1[[#This Row],[Std Adj Read]]&gt;=Table1[[#This Row],[Low Tol]],"Pass","Fail"),IF(Table1[[#This Row],[DUT Adj Read]]&gt;=Table1[[#This Row],[Low Tol]],"Pass","Fail")))</f>
        <v>Pass</v>
      </c>
      <c r="AG21" s="1" t="str">
        <f>IF(AND(Table1[[#This Row],[Spec Type2]]="N/A",Table1[[#This Row],[DUT Adj Read]]="N/A",Table1[[#This Row],[Std Adj Read]]="N/A"),"N/A",IF(Table1[[#This Row],[DUT Adj Read]]="N/A",IF(Table1[[#This Row],[Std Adj Read]]&lt;=Table1[[#This Row],[High Tol]],"Pass","Fail"),IF(Table1[[#This Row],[DUT Adj Read]]&lt;=Table1[[#This Row],[High Tol]],"Pass","Fail")))</f>
        <v>Fail</v>
      </c>
      <c r="AH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21" s="1" t="s">
        <v>142</v>
      </c>
      <c r="AM21" s="1" t="b">
        <v>0</v>
      </c>
      <c r="AN21" s="1" t="b">
        <v>0</v>
      </c>
      <c r="AO21" s="1" t="b">
        <v>0</v>
      </c>
    </row>
    <row r="22" spans="1:41" x14ac:dyDescent="0.25">
      <c r="A22" s="10"/>
      <c r="B22" s="10"/>
      <c r="C22" s="10"/>
      <c r="D22" s="10"/>
      <c r="E22" s="10"/>
      <c r="F22" s="10"/>
      <c r="G22" s="10"/>
      <c r="H22" s="10"/>
      <c r="I22" s="1" t="str">
        <f t="shared" si="2"/>
        <v/>
      </c>
      <c r="J22" s="1" t="s">
        <v>35</v>
      </c>
      <c r="K22" s="1" t="str">
        <f t="shared" si="0"/>
        <v/>
      </c>
      <c r="L22" s="1" t="str">
        <f t="shared" si="1"/>
        <v/>
      </c>
      <c r="M22" s="1">
        <f>IF(OR(Table1[[#This Row],[Std Nom]]="",Table1[[#This Row],[Std Read]]=""),0,Table1[[#This Row],[Std Nom]]-Table1[[#This Row],[Std Read]])</f>
        <v>0</v>
      </c>
      <c r="N22" s="1">
        <f>IF(Calculations!$F$5="ACCREDITED 17025 WITH UNCERTAINTIES",$N$10,0)</f>
        <v>0</v>
      </c>
      <c r="O22" s="1" t="str">
        <f>IFERROR(Table1[[#This Row],[Std Nom]]-(_xlfn.XLOOKUP(Table1[[#This Row],[Manufacturer]]&amp;" "&amp;Table1[[#This Row],[Model]],Table13[MFR &amp; MDL],Table13[Tolerance % CW ],"")/100*Table1[[#This Row],[Std Nom]]),"")</f>
        <v/>
      </c>
      <c r="P22" s="1" t="str">
        <f>IFERROR(Table1[[#This Row],[Std Nom]]+(_xlfn.XLOOKUP(Table1[[#This Row],[Manufacturer]]&amp;" "&amp;Table1[[#This Row],[Model]],Table13[MFR &amp; MDL],Table13[Tolerance % CW ],"")/100*Table1[[#This Row],[Std Nom]]),"")</f>
        <v/>
      </c>
      <c r="Q22" s="1" t="e">
        <f>Table1[[#This Row],[High Tol]]-Table1[[#This Row],[Low Tol]]</f>
        <v>#VALUE!</v>
      </c>
      <c r="R22" s="1">
        <f>2*Table1[[#This Row],[Std Error]]</f>
        <v>0</v>
      </c>
      <c r="S22" s="1" t="str">
        <f>IF(Table1[[#This Row],[High Tol]]="","N/A",IFERROR(ABS(Table1[[#This Row],[Tol Span]]/Table1[[#This Row],[Error Span]]),"N/A"))</f>
        <v>N/A</v>
      </c>
      <c r="T22" s="1" t="str">
        <f>IF(OR(Table1[[#This Row],[Low Tol]]="",Table1[[#This Row],[High Tol]]=""),"Needs Analysis",IF(Table1[[#This Row],[Ratio]]&gt;=4,"Not Significant",IF(Table1[[#This Row],[Ratio]]&gt;=2,"Semi-Significant","Significant")))</f>
        <v>Needs Analysis</v>
      </c>
      <c r="W22" s="1">
        <f>IF(Table1[[#This Row],[Cal Type]]&lt;&gt;"ACCREDITED 17025 WITH UNCERTAINTIES",0,"")</f>
        <v>0</v>
      </c>
      <c r="X22" s="1" t="str">
        <f>IF(Table1[[#This Row],[DUT Read]]="","N/A",Table1[[#This Row],[Std Error]]+Table1[[#This Row],[DUT Read]]+Table1[[#This Row],[DUT Ucty]])</f>
        <v>N/A</v>
      </c>
      <c r="Y22" s="1" t="str">
        <f>IF(Table1[[#This Row],[Std Read]]="","N/A",Table1[[#This Row],[Std Read]]+Table1[[#This Row],[Std Ucty]])</f>
        <v>N/A</v>
      </c>
      <c r="Z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 s="1" t="str">
        <f>IF(Table1[[#This Row],[Spec Type]]="","N/A",Table1[[#This Row],[Spec Type]])</f>
        <v>±</v>
      </c>
      <c r="AC22" s="1" t="str">
        <f>IF(Table1[[#This Row],[Spec Type2]]="N/A","N/A",IF(AND(Table1[[#This Row],[DUT Adj Read]]&gt;=Table1[[#This Row],[Low Tol]],Table1[[#This Row],[DUT Adj Read]]&lt;=Table1[[#This Row],[High Tol]]),"Pass","Fail"))</f>
        <v>Fail</v>
      </c>
      <c r="AD22" s="1" t="str">
        <f>IF(AND(Table1[[#This Row],[Spec Type2]]="N/A",Table1[[#This Row],[DUT Adj Read]]="N/A",Table1[[#This Row],[Std Adj Read]]="N/A"),"N/A",IF(Table1[[#This Row],[DUT Adj Read]]="N/A",IF(Table1[[#This Row],[Std Adj Read]]&gt;Table1[[#This Row],[Low Tol]],"Pass","Fail"),IF(Table1[[#This Row],[DUT Adj Read]]&gt;Table1[[#This Row],[Low Tol]],"Pass","Fail")))</f>
        <v>Pass</v>
      </c>
      <c r="AE22" s="1" t="str">
        <f>IF(AND(Table1[[#This Row],[Spec Type2]]="N/A",Table1[[#This Row],[DUT Adj Read]]="N/A",Table1[[#This Row],[Std Adj Read]]="N/A"),"N/A",IF(Table1[[#This Row],[DUT Adj Read]]="N/A",IF(Table1[[#This Row],[Std Adj Read]]&lt;Table1[[#This Row],[High Tol]],"Pass","Fail"),IF(Table1[[#This Row],[DUT Adj Read]]&lt;Table1[[#This Row],[High Tol]],"Pass","Fail")))</f>
        <v>Fail</v>
      </c>
      <c r="AF22" s="1" t="str">
        <f>IF(AND(Table1[[#This Row],[Spec Type2]]="N/A",Table1[[#This Row],[DUT Adj Read]]="N/A",Table1[[#This Row],[Std Adj Read]]="N/A"),"N/A",IF(Table1[[#This Row],[DUT Adj Read]]="N/A",IF(Table1[[#This Row],[Std Adj Read]]&gt;=Table1[[#This Row],[Low Tol]],"Pass","Fail"),IF(Table1[[#This Row],[DUT Adj Read]]&gt;=Table1[[#This Row],[Low Tol]],"Pass","Fail")))</f>
        <v>Pass</v>
      </c>
      <c r="AG22" s="1" t="str">
        <f>IF(AND(Table1[[#This Row],[Spec Type2]]="N/A",Table1[[#This Row],[DUT Adj Read]]="N/A",Table1[[#This Row],[Std Adj Read]]="N/A"),"N/A",IF(Table1[[#This Row],[DUT Adj Read]]="N/A",IF(Table1[[#This Row],[Std Adj Read]]&lt;=Table1[[#This Row],[High Tol]],"Pass","Fail"),IF(Table1[[#This Row],[DUT Adj Read]]&lt;=Table1[[#This Row],[High Tol]],"Pass","Fail")))</f>
        <v>Fail</v>
      </c>
      <c r="AH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 s="1" t="b">
        <v>0</v>
      </c>
      <c r="AN22" s="1" t="b">
        <v>0</v>
      </c>
      <c r="AO22" s="1" t="b">
        <v>0</v>
      </c>
    </row>
    <row r="23" spans="1:41" x14ac:dyDescent="0.25">
      <c r="A23" s="10"/>
      <c r="B23" s="10"/>
      <c r="C23" s="10"/>
      <c r="D23" s="10"/>
      <c r="E23" s="10"/>
      <c r="F23" s="10"/>
      <c r="G23" s="10"/>
      <c r="H23" s="10"/>
      <c r="I23" s="1" t="str">
        <f t="shared" si="2"/>
        <v/>
      </c>
      <c r="J23" s="1" t="s">
        <v>35</v>
      </c>
      <c r="K23" s="1" t="str">
        <f t="shared" si="0"/>
        <v/>
      </c>
      <c r="L23" s="1" t="str">
        <f t="shared" si="1"/>
        <v/>
      </c>
      <c r="M23" s="1">
        <f>IF(OR(Table1[[#This Row],[Std Nom]]="",Table1[[#This Row],[Std Read]]=""),0,Table1[[#This Row],[Std Nom]]-Table1[[#This Row],[Std Read]])</f>
        <v>0</v>
      </c>
      <c r="N23" s="1">
        <f>IF(Calculations!$F$5="ACCREDITED 17025 WITH UNCERTAINTIES",$N$10,0)</f>
        <v>0</v>
      </c>
      <c r="O23" s="1" t="str">
        <f>IFERROR(Table1[[#This Row],[Std Nom]]-(_xlfn.XLOOKUP(Table1[[#This Row],[Manufacturer]]&amp;" "&amp;Table1[[#This Row],[Model]],Table13[MFR &amp; MDL],Table13[Tolerance % CW ],"")/100*Table1[[#This Row],[Std Nom]]),"")</f>
        <v/>
      </c>
      <c r="P23" s="1" t="str">
        <f>IFERROR(Table1[[#This Row],[Std Nom]]+(_xlfn.XLOOKUP(Table1[[#This Row],[Manufacturer]]&amp;" "&amp;Table1[[#This Row],[Model]],Table13[MFR &amp; MDL],Table13[Tolerance % CW ],"")/100*Table1[[#This Row],[Std Nom]]),"")</f>
        <v/>
      </c>
      <c r="Q23" s="1" t="e">
        <f>Table1[[#This Row],[High Tol]]-Table1[[#This Row],[Low Tol]]</f>
        <v>#VALUE!</v>
      </c>
      <c r="R23" s="1">
        <f>2*Table1[[#This Row],[Std Error]]</f>
        <v>0</v>
      </c>
      <c r="S23" s="1" t="str">
        <f>IF(Table1[[#This Row],[High Tol]]="","N/A",IFERROR(ABS(Table1[[#This Row],[Tol Span]]/Table1[[#This Row],[Error Span]]),"N/A"))</f>
        <v>N/A</v>
      </c>
      <c r="T23" s="1" t="str">
        <f>IF(OR(Table1[[#This Row],[Low Tol]]="",Table1[[#This Row],[High Tol]]=""),"Needs Analysis",IF(Table1[[#This Row],[Ratio]]&gt;=4,"Not Significant",IF(Table1[[#This Row],[Ratio]]&gt;=2,"Semi-Significant","Significant")))</f>
        <v>Needs Analysis</v>
      </c>
      <c r="W23" s="1">
        <f>IF(Table1[[#This Row],[Cal Type]]&lt;&gt;"ACCREDITED 17025 WITH UNCERTAINTIES",0,"")</f>
        <v>0</v>
      </c>
      <c r="X23" s="1" t="str">
        <f>IF(Table1[[#This Row],[DUT Read]]="","N/A",Table1[[#This Row],[Std Error]]+Table1[[#This Row],[DUT Read]]+Table1[[#This Row],[DUT Ucty]])</f>
        <v>N/A</v>
      </c>
      <c r="Y23" s="1" t="str">
        <f>IF(Table1[[#This Row],[Std Read]]="","N/A",Table1[[#This Row],[Std Read]]+Table1[[#This Row],[Std Ucty]])</f>
        <v>N/A</v>
      </c>
      <c r="Z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 s="1" t="str">
        <f>IF(Table1[[#This Row],[Spec Type]]="","N/A",Table1[[#This Row],[Spec Type]])</f>
        <v>±</v>
      </c>
      <c r="AC23" s="1" t="str">
        <f>IF(Table1[[#This Row],[Spec Type2]]="N/A","N/A",IF(AND(Table1[[#This Row],[DUT Adj Read]]&gt;=Table1[[#This Row],[Low Tol]],Table1[[#This Row],[DUT Adj Read]]&lt;=Table1[[#This Row],[High Tol]]),"Pass","Fail"))</f>
        <v>Fail</v>
      </c>
      <c r="AD23" s="1" t="str">
        <f>IF(AND(Table1[[#This Row],[Spec Type2]]="N/A",Table1[[#This Row],[DUT Adj Read]]="N/A",Table1[[#This Row],[Std Adj Read]]="N/A"),"N/A",IF(Table1[[#This Row],[DUT Adj Read]]="N/A",IF(Table1[[#This Row],[Std Adj Read]]&gt;Table1[[#This Row],[Low Tol]],"Pass","Fail"),IF(Table1[[#This Row],[DUT Adj Read]]&gt;Table1[[#This Row],[Low Tol]],"Pass","Fail")))</f>
        <v>Pass</v>
      </c>
      <c r="AE23" s="1" t="str">
        <f>IF(AND(Table1[[#This Row],[Spec Type2]]="N/A",Table1[[#This Row],[DUT Adj Read]]="N/A",Table1[[#This Row],[Std Adj Read]]="N/A"),"N/A",IF(Table1[[#This Row],[DUT Adj Read]]="N/A",IF(Table1[[#This Row],[Std Adj Read]]&lt;Table1[[#This Row],[High Tol]],"Pass","Fail"),IF(Table1[[#This Row],[DUT Adj Read]]&lt;Table1[[#This Row],[High Tol]],"Pass","Fail")))</f>
        <v>Fail</v>
      </c>
      <c r="AF23" s="1" t="str">
        <f>IF(AND(Table1[[#This Row],[Spec Type2]]="N/A",Table1[[#This Row],[DUT Adj Read]]="N/A",Table1[[#This Row],[Std Adj Read]]="N/A"),"N/A",IF(Table1[[#This Row],[DUT Adj Read]]="N/A",IF(Table1[[#This Row],[Std Adj Read]]&gt;=Table1[[#This Row],[Low Tol]],"Pass","Fail"),IF(Table1[[#This Row],[DUT Adj Read]]&gt;=Table1[[#This Row],[Low Tol]],"Pass","Fail")))</f>
        <v>Pass</v>
      </c>
      <c r="AG23" s="1" t="str">
        <f>IF(AND(Table1[[#This Row],[Spec Type2]]="N/A",Table1[[#This Row],[DUT Adj Read]]="N/A",Table1[[#This Row],[Std Adj Read]]="N/A"),"N/A",IF(Table1[[#This Row],[DUT Adj Read]]="N/A",IF(Table1[[#This Row],[Std Adj Read]]&lt;=Table1[[#This Row],[High Tol]],"Pass","Fail"),IF(Table1[[#This Row],[DUT Adj Read]]&lt;=Table1[[#This Row],[High Tol]],"Pass","Fail")))</f>
        <v>Fail</v>
      </c>
      <c r="AH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 s="1" t="b">
        <v>0</v>
      </c>
      <c r="AN23" s="1" t="b">
        <v>0</v>
      </c>
      <c r="AO23" s="1" t="b">
        <v>0</v>
      </c>
    </row>
    <row r="24" spans="1:41" x14ac:dyDescent="0.25">
      <c r="A24" s="10"/>
      <c r="B24" s="10"/>
      <c r="C24" s="10"/>
      <c r="D24" s="10"/>
      <c r="E24" s="10"/>
      <c r="F24" s="10"/>
      <c r="G24" s="10"/>
      <c r="H24" s="10"/>
      <c r="I24" s="1" t="str">
        <f t="shared" si="2"/>
        <v/>
      </c>
      <c r="J24" s="1" t="s">
        <v>35</v>
      </c>
      <c r="K24" s="1" t="str">
        <f t="shared" si="0"/>
        <v/>
      </c>
      <c r="L24" s="1" t="str">
        <f t="shared" si="1"/>
        <v/>
      </c>
      <c r="M24" s="1">
        <f>IF(OR(Table1[[#This Row],[Std Nom]]="",Table1[[#This Row],[Std Read]]=""),0,Table1[[#This Row],[Std Nom]]-Table1[[#This Row],[Std Read]])</f>
        <v>0</v>
      </c>
      <c r="N24" s="1">
        <f>IF(Calculations!$F$5="ACCREDITED 17025 WITH UNCERTAINTIES",$N$10,0)</f>
        <v>0</v>
      </c>
      <c r="O24" s="1" t="str">
        <f>IFERROR(Table1[[#This Row],[Std Nom]]-(_xlfn.XLOOKUP(Table1[[#This Row],[Manufacturer]]&amp;" "&amp;Table1[[#This Row],[Model]],Table13[MFR &amp; MDL],Table13[Tolerance % CW ],"")/100*Table1[[#This Row],[Std Nom]]),"")</f>
        <v/>
      </c>
      <c r="P24" s="1" t="str">
        <f>IFERROR(Table1[[#This Row],[Std Nom]]+(_xlfn.XLOOKUP(Table1[[#This Row],[Manufacturer]]&amp;" "&amp;Table1[[#This Row],[Model]],Table13[MFR &amp; MDL],Table13[Tolerance % CW ],"")/100*Table1[[#This Row],[Std Nom]]),"")</f>
        <v/>
      </c>
      <c r="Q24" s="1" t="e">
        <f>Table1[[#This Row],[High Tol]]-Table1[[#This Row],[Low Tol]]</f>
        <v>#VALUE!</v>
      </c>
      <c r="R24" s="1">
        <f>2*Table1[[#This Row],[Std Error]]</f>
        <v>0</v>
      </c>
      <c r="S24" s="1" t="str">
        <f>IF(Table1[[#This Row],[High Tol]]="","N/A",IFERROR(ABS(Table1[[#This Row],[Tol Span]]/Table1[[#This Row],[Error Span]]),"N/A"))</f>
        <v>N/A</v>
      </c>
      <c r="T24" s="1" t="str">
        <f>IF(OR(Table1[[#This Row],[Low Tol]]="",Table1[[#This Row],[High Tol]]=""),"Needs Analysis",IF(Table1[[#This Row],[Ratio]]&gt;=4,"Not Significant",IF(Table1[[#This Row],[Ratio]]&gt;=2,"Semi-Significant","Significant")))</f>
        <v>Needs Analysis</v>
      </c>
      <c r="W24" s="1">
        <f>IF(Table1[[#This Row],[Cal Type]]&lt;&gt;"ACCREDITED 17025 WITH UNCERTAINTIES",0,"")</f>
        <v>0</v>
      </c>
      <c r="X24" s="1" t="str">
        <f>IF(Table1[[#This Row],[DUT Read]]="","N/A",Table1[[#This Row],[Std Error]]+Table1[[#This Row],[DUT Read]]+Table1[[#This Row],[DUT Ucty]])</f>
        <v>N/A</v>
      </c>
      <c r="Y24" s="1" t="str">
        <f>IF(Table1[[#This Row],[Std Read]]="","N/A",Table1[[#This Row],[Std Read]]+Table1[[#This Row],[Std Ucty]])</f>
        <v>N/A</v>
      </c>
      <c r="Z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 s="1" t="str">
        <f>IF(Table1[[#This Row],[Spec Type]]="","N/A",Table1[[#This Row],[Spec Type]])</f>
        <v>±</v>
      </c>
      <c r="AC24" s="1" t="str">
        <f>IF(Table1[[#This Row],[Spec Type2]]="N/A","N/A",IF(AND(Table1[[#This Row],[DUT Adj Read]]&gt;=Table1[[#This Row],[Low Tol]],Table1[[#This Row],[DUT Adj Read]]&lt;=Table1[[#This Row],[High Tol]]),"Pass","Fail"))</f>
        <v>Fail</v>
      </c>
      <c r="AD24" s="1" t="str">
        <f>IF(AND(Table1[[#This Row],[Spec Type2]]="N/A",Table1[[#This Row],[DUT Adj Read]]="N/A",Table1[[#This Row],[Std Adj Read]]="N/A"),"N/A",IF(Table1[[#This Row],[DUT Adj Read]]="N/A",IF(Table1[[#This Row],[Std Adj Read]]&gt;Table1[[#This Row],[Low Tol]],"Pass","Fail"),IF(Table1[[#This Row],[DUT Adj Read]]&gt;Table1[[#This Row],[Low Tol]],"Pass","Fail")))</f>
        <v>Pass</v>
      </c>
      <c r="AE24" s="1" t="str">
        <f>IF(AND(Table1[[#This Row],[Spec Type2]]="N/A",Table1[[#This Row],[DUT Adj Read]]="N/A",Table1[[#This Row],[Std Adj Read]]="N/A"),"N/A",IF(Table1[[#This Row],[DUT Adj Read]]="N/A",IF(Table1[[#This Row],[Std Adj Read]]&lt;Table1[[#This Row],[High Tol]],"Pass","Fail"),IF(Table1[[#This Row],[DUT Adj Read]]&lt;Table1[[#This Row],[High Tol]],"Pass","Fail")))</f>
        <v>Fail</v>
      </c>
      <c r="AF24" s="1" t="str">
        <f>IF(AND(Table1[[#This Row],[Spec Type2]]="N/A",Table1[[#This Row],[DUT Adj Read]]="N/A",Table1[[#This Row],[Std Adj Read]]="N/A"),"N/A",IF(Table1[[#This Row],[DUT Adj Read]]="N/A",IF(Table1[[#This Row],[Std Adj Read]]&gt;=Table1[[#This Row],[Low Tol]],"Pass","Fail"),IF(Table1[[#This Row],[DUT Adj Read]]&gt;=Table1[[#This Row],[Low Tol]],"Pass","Fail")))</f>
        <v>Pass</v>
      </c>
      <c r="AG24" s="1" t="str">
        <f>IF(AND(Table1[[#This Row],[Spec Type2]]="N/A",Table1[[#This Row],[DUT Adj Read]]="N/A",Table1[[#This Row],[Std Adj Read]]="N/A"),"N/A",IF(Table1[[#This Row],[DUT Adj Read]]="N/A",IF(Table1[[#This Row],[Std Adj Read]]&lt;=Table1[[#This Row],[High Tol]],"Pass","Fail"),IF(Table1[[#This Row],[DUT Adj Read]]&lt;=Table1[[#This Row],[High Tol]],"Pass","Fail")))</f>
        <v>Fail</v>
      </c>
      <c r="AH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 s="1" t="b">
        <v>0</v>
      </c>
      <c r="AN24" s="1" t="b">
        <v>0</v>
      </c>
      <c r="AO24" s="1" t="b">
        <v>0</v>
      </c>
    </row>
    <row r="25" spans="1:41" x14ac:dyDescent="0.25">
      <c r="A25" s="10"/>
      <c r="B25" s="10"/>
      <c r="C25" s="10"/>
      <c r="D25" s="10"/>
      <c r="E25" s="10"/>
      <c r="F25" s="10"/>
      <c r="G25" s="10"/>
      <c r="H25" s="10"/>
      <c r="I25" s="1" t="str">
        <f t="shared" si="2"/>
        <v/>
      </c>
      <c r="J25" s="1" t="s">
        <v>35</v>
      </c>
      <c r="K25" s="1" t="str">
        <f t="shared" si="0"/>
        <v/>
      </c>
      <c r="L25" s="1" t="str">
        <f t="shared" si="1"/>
        <v/>
      </c>
      <c r="M25" s="1">
        <f>IF(OR(Table1[[#This Row],[Std Nom]]="",Table1[[#This Row],[Std Read]]=""),0,Table1[[#This Row],[Std Nom]]-Table1[[#This Row],[Std Read]])</f>
        <v>0</v>
      </c>
      <c r="N25" s="1">
        <f>IF(Calculations!$F$5="ACCREDITED 17025 WITH UNCERTAINTIES",$N$10,0)</f>
        <v>0</v>
      </c>
      <c r="O25" s="1" t="str">
        <f>IFERROR(Table1[[#This Row],[Std Nom]]-(_xlfn.XLOOKUP(Table1[[#This Row],[Manufacturer]]&amp;" "&amp;Table1[[#This Row],[Model]],Table13[MFR &amp; MDL],Table13[Tolerance % CW ],"")/100*Table1[[#This Row],[Std Nom]]),"")</f>
        <v/>
      </c>
      <c r="P25" s="1" t="str">
        <f>IFERROR(Table1[[#This Row],[Std Nom]]+(_xlfn.XLOOKUP(Table1[[#This Row],[Manufacturer]]&amp;" "&amp;Table1[[#This Row],[Model]],Table13[MFR &amp; MDL],Table13[Tolerance % CW ],"")/100*Table1[[#This Row],[Std Nom]]),"")</f>
        <v/>
      </c>
      <c r="Q25" s="1" t="e">
        <f>Table1[[#This Row],[High Tol]]-Table1[[#This Row],[Low Tol]]</f>
        <v>#VALUE!</v>
      </c>
      <c r="R25" s="1">
        <f>2*Table1[[#This Row],[Std Error]]</f>
        <v>0</v>
      </c>
      <c r="S25" s="1" t="str">
        <f>IF(Table1[[#This Row],[High Tol]]="","N/A",IFERROR(ABS(Table1[[#This Row],[Tol Span]]/Table1[[#This Row],[Error Span]]),"N/A"))</f>
        <v>N/A</v>
      </c>
      <c r="T25" s="1" t="str">
        <f>IF(OR(Table1[[#This Row],[Low Tol]]="",Table1[[#This Row],[High Tol]]=""),"Needs Analysis",IF(Table1[[#This Row],[Ratio]]&gt;=4,"Not Significant",IF(Table1[[#This Row],[Ratio]]&gt;=2,"Semi-Significant","Significant")))</f>
        <v>Needs Analysis</v>
      </c>
      <c r="W25" s="1">
        <f>IF(Table1[[#This Row],[Cal Type]]&lt;&gt;"ACCREDITED 17025 WITH UNCERTAINTIES",0,"")</f>
        <v>0</v>
      </c>
      <c r="X25" s="1" t="str">
        <f>IF(Table1[[#This Row],[DUT Read]]="","N/A",Table1[[#This Row],[Std Error]]+Table1[[#This Row],[DUT Read]]+Table1[[#This Row],[DUT Ucty]])</f>
        <v>N/A</v>
      </c>
      <c r="Y25" s="1" t="str">
        <f>IF(Table1[[#This Row],[Std Read]]="","N/A",Table1[[#This Row],[Std Read]]+Table1[[#This Row],[Std Ucty]])</f>
        <v>N/A</v>
      </c>
      <c r="Z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 s="1" t="str">
        <f>IF(Table1[[#This Row],[Spec Type]]="","N/A",Table1[[#This Row],[Spec Type]])</f>
        <v>±</v>
      </c>
      <c r="AC25" s="1" t="str">
        <f>IF(Table1[[#This Row],[Spec Type2]]="N/A","N/A",IF(AND(Table1[[#This Row],[DUT Adj Read]]&gt;=Table1[[#This Row],[Low Tol]],Table1[[#This Row],[DUT Adj Read]]&lt;=Table1[[#This Row],[High Tol]]),"Pass","Fail"))</f>
        <v>Fail</v>
      </c>
      <c r="AD25" s="1" t="str">
        <f>IF(AND(Table1[[#This Row],[Spec Type2]]="N/A",Table1[[#This Row],[DUT Adj Read]]="N/A",Table1[[#This Row],[Std Adj Read]]="N/A"),"N/A",IF(Table1[[#This Row],[DUT Adj Read]]="N/A",IF(Table1[[#This Row],[Std Adj Read]]&gt;Table1[[#This Row],[Low Tol]],"Pass","Fail"),IF(Table1[[#This Row],[DUT Adj Read]]&gt;Table1[[#This Row],[Low Tol]],"Pass","Fail")))</f>
        <v>Pass</v>
      </c>
      <c r="AE25" s="1" t="str">
        <f>IF(AND(Table1[[#This Row],[Spec Type2]]="N/A",Table1[[#This Row],[DUT Adj Read]]="N/A",Table1[[#This Row],[Std Adj Read]]="N/A"),"N/A",IF(Table1[[#This Row],[DUT Adj Read]]="N/A",IF(Table1[[#This Row],[Std Adj Read]]&lt;Table1[[#This Row],[High Tol]],"Pass","Fail"),IF(Table1[[#This Row],[DUT Adj Read]]&lt;Table1[[#This Row],[High Tol]],"Pass","Fail")))</f>
        <v>Fail</v>
      </c>
      <c r="AF25" s="1" t="str">
        <f>IF(AND(Table1[[#This Row],[Spec Type2]]="N/A",Table1[[#This Row],[DUT Adj Read]]="N/A",Table1[[#This Row],[Std Adj Read]]="N/A"),"N/A",IF(Table1[[#This Row],[DUT Adj Read]]="N/A",IF(Table1[[#This Row],[Std Adj Read]]&gt;=Table1[[#This Row],[Low Tol]],"Pass","Fail"),IF(Table1[[#This Row],[DUT Adj Read]]&gt;=Table1[[#This Row],[Low Tol]],"Pass","Fail")))</f>
        <v>Pass</v>
      </c>
      <c r="AG25" s="1" t="str">
        <f>IF(AND(Table1[[#This Row],[Spec Type2]]="N/A",Table1[[#This Row],[DUT Adj Read]]="N/A",Table1[[#This Row],[Std Adj Read]]="N/A"),"N/A",IF(Table1[[#This Row],[DUT Adj Read]]="N/A",IF(Table1[[#This Row],[Std Adj Read]]&lt;=Table1[[#This Row],[High Tol]],"Pass","Fail"),IF(Table1[[#This Row],[DUT Adj Read]]&lt;=Table1[[#This Row],[High Tol]],"Pass","Fail")))</f>
        <v>Fail</v>
      </c>
      <c r="AH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 s="1" t="b">
        <v>0</v>
      </c>
      <c r="AN25" s="1" t="b">
        <v>0</v>
      </c>
      <c r="AO25" s="1" t="b">
        <v>0</v>
      </c>
    </row>
    <row r="26" spans="1:41" x14ac:dyDescent="0.25">
      <c r="A26" s="10"/>
      <c r="B26" s="10"/>
      <c r="C26" s="10"/>
      <c r="D26" s="10"/>
      <c r="E26" s="10"/>
      <c r="F26" s="10"/>
      <c r="G26" s="10"/>
      <c r="H26" s="10"/>
      <c r="I26" s="1" t="str">
        <f t="shared" si="2"/>
        <v/>
      </c>
      <c r="J26" s="1" t="s">
        <v>35</v>
      </c>
      <c r="K26" s="1" t="str">
        <f t="shared" si="0"/>
        <v/>
      </c>
      <c r="L26" s="1" t="str">
        <f t="shared" si="1"/>
        <v/>
      </c>
      <c r="M26" s="1">
        <f>IF(OR(Table1[[#This Row],[Std Nom]]="",Table1[[#This Row],[Std Read]]=""),0,Table1[[#This Row],[Std Nom]]-Table1[[#This Row],[Std Read]])</f>
        <v>0</v>
      </c>
      <c r="N26" s="1">
        <f>IF(Calculations!$F$5="ACCREDITED 17025 WITH UNCERTAINTIES",$N$10,0)</f>
        <v>0</v>
      </c>
      <c r="O26" s="1" t="str">
        <f>IFERROR(Table1[[#This Row],[Std Nom]]-(_xlfn.XLOOKUP(Table1[[#This Row],[Manufacturer]]&amp;" "&amp;Table1[[#This Row],[Model]],Table13[MFR &amp; MDL],Table13[Tolerance % CW ],"")/100*Table1[[#This Row],[Std Nom]]),"")</f>
        <v/>
      </c>
      <c r="P26" s="1" t="str">
        <f>IFERROR(Table1[[#This Row],[Std Nom]]+(_xlfn.XLOOKUP(Table1[[#This Row],[Manufacturer]]&amp;" "&amp;Table1[[#This Row],[Model]],Table13[MFR &amp; MDL],Table13[Tolerance % CW ],"")/100*Table1[[#This Row],[Std Nom]]),"")</f>
        <v/>
      </c>
      <c r="Q26" s="1" t="e">
        <f>Table1[[#This Row],[High Tol]]-Table1[[#This Row],[Low Tol]]</f>
        <v>#VALUE!</v>
      </c>
      <c r="R26" s="1">
        <f>2*Table1[[#This Row],[Std Error]]</f>
        <v>0</v>
      </c>
      <c r="S26" s="1" t="str">
        <f>IF(Table1[[#This Row],[High Tol]]="","N/A",IFERROR(ABS(Table1[[#This Row],[Tol Span]]/Table1[[#This Row],[Error Span]]),"N/A"))</f>
        <v>N/A</v>
      </c>
      <c r="T26" s="1" t="str">
        <f>IF(OR(Table1[[#This Row],[Low Tol]]="",Table1[[#This Row],[High Tol]]=""),"Needs Analysis",IF(Table1[[#This Row],[Ratio]]&gt;=4,"Not Significant",IF(Table1[[#This Row],[Ratio]]&gt;=2,"Semi-Significant","Significant")))</f>
        <v>Needs Analysis</v>
      </c>
      <c r="W26" s="1">
        <f>IF(Table1[[#This Row],[Cal Type]]&lt;&gt;"ACCREDITED 17025 WITH UNCERTAINTIES",0,"")</f>
        <v>0</v>
      </c>
      <c r="X26" s="1" t="str">
        <f>IF(Table1[[#This Row],[DUT Read]]="","N/A",Table1[[#This Row],[Std Error]]+Table1[[#This Row],[DUT Read]]+Table1[[#This Row],[DUT Ucty]])</f>
        <v>N/A</v>
      </c>
      <c r="Y26" s="1" t="str">
        <f>IF(Table1[[#This Row],[Std Read]]="","N/A",Table1[[#This Row],[Std Read]]+Table1[[#This Row],[Std Ucty]])</f>
        <v>N/A</v>
      </c>
      <c r="Z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 s="1" t="str">
        <f>IF(Table1[[#This Row],[Spec Type]]="","N/A",Table1[[#This Row],[Spec Type]])</f>
        <v>±</v>
      </c>
      <c r="AC26" s="1" t="str">
        <f>IF(Table1[[#This Row],[Spec Type2]]="N/A","N/A",IF(AND(Table1[[#This Row],[DUT Adj Read]]&gt;=Table1[[#This Row],[Low Tol]],Table1[[#This Row],[DUT Adj Read]]&lt;=Table1[[#This Row],[High Tol]]),"Pass","Fail"))</f>
        <v>Fail</v>
      </c>
      <c r="AD26" s="1" t="str">
        <f>IF(AND(Table1[[#This Row],[Spec Type2]]="N/A",Table1[[#This Row],[DUT Adj Read]]="N/A",Table1[[#This Row],[Std Adj Read]]="N/A"),"N/A",IF(Table1[[#This Row],[DUT Adj Read]]="N/A",IF(Table1[[#This Row],[Std Adj Read]]&gt;Table1[[#This Row],[Low Tol]],"Pass","Fail"),IF(Table1[[#This Row],[DUT Adj Read]]&gt;Table1[[#This Row],[Low Tol]],"Pass","Fail")))</f>
        <v>Pass</v>
      </c>
      <c r="AE26" s="1" t="str">
        <f>IF(AND(Table1[[#This Row],[Spec Type2]]="N/A",Table1[[#This Row],[DUT Adj Read]]="N/A",Table1[[#This Row],[Std Adj Read]]="N/A"),"N/A",IF(Table1[[#This Row],[DUT Adj Read]]="N/A",IF(Table1[[#This Row],[Std Adj Read]]&lt;Table1[[#This Row],[High Tol]],"Pass","Fail"),IF(Table1[[#This Row],[DUT Adj Read]]&lt;Table1[[#This Row],[High Tol]],"Pass","Fail")))</f>
        <v>Fail</v>
      </c>
      <c r="AF26" s="1" t="str">
        <f>IF(AND(Table1[[#This Row],[Spec Type2]]="N/A",Table1[[#This Row],[DUT Adj Read]]="N/A",Table1[[#This Row],[Std Adj Read]]="N/A"),"N/A",IF(Table1[[#This Row],[DUT Adj Read]]="N/A",IF(Table1[[#This Row],[Std Adj Read]]&gt;=Table1[[#This Row],[Low Tol]],"Pass","Fail"),IF(Table1[[#This Row],[DUT Adj Read]]&gt;=Table1[[#This Row],[Low Tol]],"Pass","Fail")))</f>
        <v>Pass</v>
      </c>
      <c r="AG26" s="1" t="str">
        <f>IF(AND(Table1[[#This Row],[Spec Type2]]="N/A",Table1[[#This Row],[DUT Adj Read]]="N/A",Table1[[#This Row],[Std Adj Read]]="N/A"),"N/A",IF(Table1[[#This Row],[DUT Adj Read]]="N/A",IF(Table1[[#This Row],[Std Adj Read]]&lt;=Table1[[#This Row],[High Tol]],"Pass","Fail"),IF(Table1[[#This Row],[DUT Adj Read]]&lt;=Table1[[#This Row],[High Tol]],"Pass","Fail")))</f>
        <v>Fail</v>
      </c>
      <c r="AH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 s="1" t="b">
        <v>0</v>
      </c>
      <c r="AN26" s="1" t="b">
        <v>0</v>
      </c>
      <c r="AO26" s="1" t="b">
        <v>0</v>
      </c>
    </row>
    <row r="27" spans="1:41" x14ac:dyDescent="0.25">
      <c r="A27" s="10"/>
      <c r="B27" s="10"/>
      <c r="C27" s="10"/>
      <c r="D27" s="10"/>
      <c r="E27" s="10"/>
      <c r="F27" s="10"/>
      <c r="G27" s="10"/>
      <c r="H27" s="10"/>
      <c r="I27" s="1" t="str">
        <f t="shared" si="2"/>
        <v/>
      </c>
      <c r="J27" s="1" t="s">
        <v>35</v>
      </c>
      <c r="K27" s="1" t="str">
        <f t="shared" si="0"/>
        <v/>
      </c>
      <c r="L27" s="1" t="str">
        <f t="shared" si="1"/>
        <v/>
      </c>
      <c r="M27" s="1">
        <f>IF(OR(Table1[[#This Row],[Std Nom]]="",Table1[[#This Row],[Std Read]]=""),0,Table1[[#This Row],[Std Nom]]-Table1[[#This Row],[Std Read]])</f>
        <v>0</v>
      </c>
      <c r="N27" s="1">
        <f>IF(Calculations!$F$5="ACCREDITED 17025 WITH UNCERTAINTIES",$N$10,0)</f>
        <v>0</v>
      </c>
      <c r="O27" s="1" t="str">
        <f>IFERROR(Table1[[#This Row],[Std Nom]]-(_xlfn.XLOOKUP(Table1[[#This Row],[Manufacturer]]&amp;" "&amp;Table1[[#This Row],[Model]],Table13[MFR &amp; MDL],Table13[Tolerance % CW ],"")/100*Table1[[#This Row],[Std Nom]]),"")</f>
        <v/>
      </c>
      <c r="P27" s="1" t="str">
        <f>IFERROR(Table1[[#This Row],[Std Nom]]+(_xlfn.XLOOKUP(Table1[[#This Row],[Manufacturer]]&amp;" "&amp;Table1[[#This Row],[Model]],Table13[MFR &amp; MDL],Table13[Tolerance % CW ],"")/100*Table1[[#This Row],[Std Nom]]),"")</f>
        <v/>
      </c>
      <c r="Q27" s="1" t="e">
        <f>Table1[[#This Row],[High Tol]]-Table1[[#This Row],[Low Tol]]</f>
        <v>#VALUE!</v>
      </c>
      <c r="R27" s="1">
        <f>2*Table1[[#This Row],[Std Error]]</f>
        <v>0</v>
      </c>
      <c r="S27" s="1" t="str">
        <f>IF(Table1[[#This Row],[High Tol]]="","N/A",IFERROR(ABS(Table1[[#This Row],[Tol Span]]/Table1[[#This Row],[Error Span]]),"N/A"))</f>
        <v>N/A</v>
      </c>
      <c r="T27" s="1" t="str">
        <f>IF(OR(Table1[[#This Row],[Low Tol]]="",Table1[[#This Row],[High Tol]]=""),"Needs Analysis",IF(Table1[[#This Row],[Ratio]]&gt;=4,"Not Significant",IF(Table1[[#This Row],[Ratio]]&gt;=2,"Semi-Significant","Significant")))</f>
        <v>Needs Analysis</v>
      </c>
      <c r="W27" s="1">
        <f>IF(Table1[[#This Row],[Cal Type]]&lt;&gt;"ACCREDITED 17025 WITH UNCERTAINTIES",0,"")</f>
        <v>0</v>
      </c>
      <c r="X27" s="1" t="str">
        <f>IF(Table1[[#This Row],[DUT Read]]="","N/A",Table1[[#This Row],[Std Error]]+Table1[[#This Row],[DUT Read]]+Table1[[#This Row],[DUT Ucty]])</f>
        <v>N/A</v>
      </c>
      <c r="Y27" s="1" t="str">
        <f>IF(Table1[[#This Row],[Std Read]]="","N/A",Table1[[#This Row],[Std Read]]+Table1[[#This Row],[Std Ucty]])</f>
        <v>N/A</v>
      </c>
      <c r="Z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 s="1" t="str">
        <f>IF(Table1[[#This Row],[Spec Type]]="","N/A",Table1[[#This Row],[Spec Type]])</f>
        <v>±</v>
      </c>
      <c r="AC27" s="1" t="str">
        <f>IF(Table1[[#This Row],[Spec Type2]]="N/A","N/A",IF(AND(Table1[[#This Row],[DUT Adj Read]]&gt;=Table1[[#This Row],[Low Tol]],Table1[[#This Row],[DUT Adj Read]]&lt;=Table1[[#This Row],[High Tol]]),"Pass","Fail"))</f>
        <v>Fail</v>
      </c>
      <c r="AD27" s="1" t="str">
        <f>IF(AND(Table1[[#This Row],[Spec Type2]]="N/A",Table1[[#This Row],[DUT Adj Read]]="N/A",Table1[[#This Row],[Std Adj Read]]="N/A"),"N/A",IF(Table1[[#This Row],[DUT Adj Read]]="N/A",IF(Table1[[#This Row],[Std Adj Read]]&gt;Table1[[#This Row],[Low Tol]],"Pass","Fail"),IF(Table1[[#This Row],[DUT Adj Read]]&gt;Table1[[#This Row],[Low Tol]],"Pass","Fail")))</f>
        <v>Pass</v>
      </c>
      <c r="AE27" s="1" t="str">
        <f>IF(AND(Table1[[#This Row],[Spec Type2]]="N/A",Table1[[#This Row],[DUT Adj Read]]="N/A",Table1[[#This Row],[Std Adj Read]]="N/A"),"N/A",IF(Table1[[#This Row],[DUT Adj Read]]="N/A",IF(Table1[[#This Row],[Std Adj Read]]&lt;Table1[[#This Row],[High Tol]],"Pass","Fail"),IF(Table1[[#This Row],[DUT Adj Read]]&lt;Table1[[#This Row],[High Tol]],"Pass","Fail")))</f>
        <v>Fail</v>
      </c>
      <c r="AF27" s="1" t="str">
        <f>IF(AND(Table1[[#This Row],[Spec Type2]]="N/A",Table1[[#This Row],[DUT Adj Read]]="N/A",Table1[[#This Row],[Std Adj Read]]="N/A"),"N/A",IF(Table1[[#This Row],[DUT Adj Read]]="N/A",IF(Table1[[#This Row],[Std Adj Read]]&gt;=Table1[[#This Row],[Low Tol]],"Pass","Fail"),IF(Table1[[#This Row],[DUT Adj Read]]&gt;=Table1[[#This Row],[Low Tol]],"Pass","Fail")))</f>
        <v>Pass</v>
      </c>
      <c r="AG27" s="1" t="str">
        <f>IF(AND(Table1[[#This Row],[Spec Type2]]="N/A",Table1[[#This Row],[DUT Adj Read]]="N/A",Table1[[#This Row],[Std Adj Read]]="N/A"),"N/A",IF(Table1[[#This Row],[DUT Adj Read]]="N/A",IF(Table1[[#This Row],[Std Adj Read]]&lt;=Table1[[#This Row],[High Tol]],"Pass","Fail"),IF(Table1[[#This Row],[DUT Adj Read]]&lt;=Table1[[#This Row],[High Tol]],"Pass","Fail")))</f>
        <v>Fail</v>
      </c>
      <c r="AH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 s="1" t="b">
        <v>0</v>
      </c>
      <c r="AN27" s="1" t="b">
        <v>0</v>
      </c>
      <c r="AO27" s="1" t="b">
        <v>0</v>
      </c>
    </row>
    <row r="28" spans="1:41" x14ac:dyDescent="0.25">
      <c r="A28" s="10"/>
      <c r="B28" s="10"/>
      <c r="C28" s="10"/>
      <c r="D28" s="10"/>
      <c r="E28" s="10"/>
      <c r="F28" s="10"/>
      <c r="G28" s="10"/>
      <c r="H28" s="10"/>
      <c r="I28" s="1" t="str">
        <f t="shared" si="2"/>
        <v/>
      </c>
      <c r="J28" s="1" t="s">
        <v>35</v>
      </c>
      <c r="K28" s="1" t="str">
        <f t="shared" si="0"/>
        <v/>
      </c>
      <c r="L28" s="1" t="str">
        <f t="shared" si="1"/>
        <v/>
      </c>
      <c r="M28" s="1">
        <f>IF(OR(Table1[[#This Row],[Std Nom]]="",Table1[[#This Row],[Std Read]]=""),0,Table1[[#This Row],[Std Nom]]-Table1[[#This Row],[Std Read]])</f>
        <v>0</v>
      </c>
      <c r="N28" s="1">
        <f>IF(Calculations!$F$5="ACCREDITED 17025 WITH UNCERTAINTIES",$N$10,0)</f>
        <v>0</v>
      </c>
      <c r="O28" s="1" t="str">
        <f>IFERROR(Table1[[#This Row],[Std Nom]]-(_xlfn.XLOOKUP(Table1[[#This Row],[Manufacturer]]&amp;" "&amp;Table1[[#This Row],[Model]],Table13[MFR &amp; MDL],Table13[Tolerance % CW ],"")/100*Table1[[#This Row],[Std Nom]]),"")</f>
        <v/>
      </c>
      <c r="P28" s="1" t="str">
        <f>IFERROR(Table1[[#This Row],[Std Nom]]+(_xlfn.XLOOKUP(Table1[[#This Row],[Manufacturer]]&amp;" "&amp;Table1[[#This Row],[Model]],Table13[MFR &amp; MDL],Table13[Tolerance % CW ],"")/100*Table1[[#This Row],[Std Nom]]),"")</f>
        <v/>
      </c>
      <c r="Q28" s="1" t="e">
        <f>Table1[[#This Row],[High Tol]]-Table1[[#This Row],[Low Tol]]</f>
        <v>#VALUE!</v>
      </c>
      <c r="R28" s="1">
        <f>2*Table1[[#This Row],[Std Error]]</f>
        <v>0</v>
      </c>
      <c r="S28" s="1" t="str">
        <f>IF(Table1[[#This Row],[High Tol]]="","N/A",IFERROR(ABS(Table1[[#This Row],[Tol Span]]/Table1[[#This Row],[Error Span]]),"N/A"))</f>
        <v>N/A</v>
      </c>
      <c r="T28" s="1" t="str">
        <f>IF(OR(Table1[[#This Row],[Low Tol]]="",Table1[[#This Row],[High Tol]]=""),"Needs Analysis",IF(Table1[[#This Row],[Ratio]]&gt;=4,"Not Significant",IF(Table1[[#This Row],[Ratio]]&gt;=2,"Semi-Significant","Significant")))</f>
        <v>Needs Analysis</v>
      </c>
      <c r="W28" s="1">
        <f>IF(Table1[[#This Row],[Cal Type]]&lt;&gt;"ACCREDITED 17025 WITH UNCERTAINTIES",0,"")</f>
        <v>0</v>
      </c>
      <c r="X28" s="1" t="str">
        <f>IF(Table1[[#This Row],[DUT Read]]="","N/A",Table1[[#This Row],[Std Error]]+Table1[[#This Row],[DUT Read]]+Table1[[#This Row],[DUT Ucty]])</f>
        <v>N/A</v>
      </c>
      <c r="Y28" s="1" t="str">
        <f>IF(Table1[[#This Row],[Std Read]]="","N/A",Table1[[#This Row],[Std Read]]+Table1[[#This Row],[Std Ucty]])</f>
        <v>N/A</v>
      </c>
      <c r="Z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 s="1" t="str">
        <f>IF(Table1[[#This Row],[Spec Type]]="","N/A",Table1[[#This Row],[Spec Type]])</f>
        <v>±</v>
      </c>
      <c r="AC28" s="1" t="str">
        <f>IF(Table1[[#This Row],[Spec Type2]]="N/A","N/A",IF(AND(Table1[[#This Row],[DUT Adj Read]]&gt;=Table1[[#This Row],[Low Tol]],Table1[[#This Row],[DUT Adj Read]]&lt;=Table1[[#This Row],[High Tol]]),"Pass","Fail"))</f>
        <v>Fail</v>
      </c>
      <c r="AD28" s="1" t="str">
        <f>IF(AND(Table1[[#This Row],[Spec Type2]]="N/A",Table1[[#This Row],[DUT Adj Read]]="N/A",Table1[[#This Row],[Std Adj Read]]="N/A"),"N/A",IF(Table1[[#This Row],[DUT Adj Read]]="N/A",IF(Table1[[#This Row],[Std Adj Read]]&gt;Table1[[#This Row],[Low Tol]],"Pass","Fail"),IF(Table1[[#This Row],[DUT Adj Read]]&gt;Table1[[#This Row],[Low Tol]],"Pass","Fail")))</f>
        <v>Pass</v>
      </c>
      <c r="AE28" s="1" t="str">
        <f>IF(AND(Table1[[#This Row],[Spec Type2]]="N/A",Table1[[#This Row],[DUT Adj Read]]="N/A",Table1[[#This Row],[Std Adj Read]]="N/A"),"N/A",IF(Table1[[#This Row],[DUT Adj Read]]="N/A",IF(Table1[[#This Row],[Std Adj Read]]&lt;Table1[[#This Row],[High Tol]],"Pass","Fail"),IF(Table1[[#This Row],[DUT Adj Read]]&lt;Table1[[#This Row],[High Tol]],"Pass","Fail")))</f>
        <v>Fail</v>
      </c>
      <c r="AF28" s="1" t="str">
        <f>IF(AND(Table1[[#This Row],[Spec Type2]]="N/A",Table1[[#This Row],[DUT Adj Read]]="N/A",Table1[[#This Row],[Std Adj Read]]="N/A"),"N/A",IF(Table1[[#This Row],[DUT Adj Read]]="N/A",IF(Table1[[#This Row],[Std Adj Read]]&gt;=Table1[[#This Row],[Low Tol]],"Pass","Fail"),IF(Table1[[#This Row],[DUT Adj Read]]&gt;=Table1[[#This Row],[Low Tol]],"Pass","Fail")))</f>
        <v>Pass</v>
      </c>
      <c r="AG28" s="1" t="str">
        <f>IF(AND(Table1[[#This Row],[Spec Type2]]="N/A",Table1[[#This Row],[DUT Adj Read]]="N/A",Table1[[#This Row],[Std Adj Read]]="N/A"),"N/A",IF(Table1[[#This Row],[DUT Adj Read]]="N/A",IF(Table1[[#This Row],[Std Adj Read]]&lt;=Table1[[#This Row],[High Tol]],"Pass","Fail"),IF(Table1[[#This Row],[DUT Adj Read]]&lt;=Table1[[#This Row],[High Tol]],"Pass","Fail")))</f>
        <v>Fail</v>
      </c>
      <c r="AH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 s="1" t="b">
        <v>0</v>
      </c>
      <c r="AN28" s="1" t="b">
        <v>0</v>
      </c>
      <c r="AO28" s="1" t="b">
        <v>0</v>
      </c>
    </row>
    <row r="29" spans="1:41" x14ac:dyDescent="0.25">
      <c r="A29" s="10"/>
      <c r="B29" s="10"/>
      <c r="C29" s="10"/>
      <c r="D29" s="10"/>
      <c r="E29" s="10"/>
      <c r="F29" s="10"/>
      <c r="G29" s="10"/>
      <c r="H29" s="10"/>
      <c r="I29" s="1" t="str">
        <f t="shared" si="2"/>
        <v/>
      </c>
      <c r="J29" s="1" t="s">
        <v>35</v>
      </c>
      <c r="K29" s="1" t="str">
        <f t="shared" si="0"/>
        <v/>
      </c>
      <c r="L29" s="1" t="str">
        <f t="shared" si="1"/>
        <v/>
      </c>
      <c r="M29" s="1">
        <f>IF(OR(Table1[[#This Row],[Std Nom]]="",Table1[[#This Row],[Std Read]]=""),0,Table1[[#This Row],[Std Nom]]-Table1[[#This Row],[Std Read]])</f>
        <v>0</v>
      </c>
      <c r="N29" s="1">
        <f>IF(Calculations!$F$5="ACCREDITED 17025 WITH UNCERTAINTIES",$N$10,0)</f>
        <v>0</v>
      </c>
      <c r="O29" s="1" t="str">
        <f>IFERROR(Table1[[#This Row],[Std Nom]]-(_xlfn.XLOOKUP(Table1[[#This Row],[Manufacturer]]&amp;" "&amp;Table1[[#This Row],[Model]],Table13[MFR &amp; MDL],Table13[Tolerance % CW ],"")/100*Table1[[#This Row],[Std Nom]]),"")</f>
        <v/>
      </c>
      <c r="P29" s="1" t="str">
        <f>IFERROR(Table1[[#This Row],[Std Nom]]+(_xlfn.XLOOKUP(Table1[[#This Row],[Manufacturer]]&amp;" "&amp;Table1[[#This Row],[Model]],Table13[MFR &amp; MDL],Table13[Tolerance % CW ],"")/100*Table1[[#This Row],[Std Nom]]),"")</f>
        <v/>
      </c>
      <c r="Q29" s="1" t="e">
        <f>Table1[[#This Row],[High Tol]]-Table1[[#This Row],[Low Tol]]</f>
        <v>#VALUE!</v>
      </c>
      <c r="R29" s="1">
        <f>2*Table1[[#This Row],[Std Error]]</f>
        <v>0</v>
      </c>
      <c r="S29" s="1" t="str">
        <f>IF(Table1[[#This Row],[High Tol]]="","N/A",IFERROR(ABS(Table1[[#This Row],[Tol Span]]/Table1[[#This Row],[Error Span]]),"N/A"))</f>
        <v>N/A</v>
      </c>
      <c r="T29" s="1" t="str">
        <f>IF(OR(Table1[[#This Row],[Low Tol]]="",Table1[[#This Row],[High Tol]]=""),"Needs Analysis",IF(Table1[[#This Row],[Ratio]]&gt;=4,"Not Significant",IF(Table1[[#This Row],[Ratio]]&gt;=2,"Semi-Significant","Significant")))</f>
        <v>Needs Analysis</v>
      </c>
      <c r="W29" s="1">
        <f>IF(Table1[[#This Row],[Cal Type]]&lt;&gt;"ACCREDITED 17025 WITH UNCERTAINTIES",0,"")</f>
        <v>0</v>
      </c>
      <c r="X29" s="1" t="str">
        <f>IF(Table1[[#This Row],[DUT Read]]="","N/A",Table1[[#This Row],[Std Error]]+Table1[[#This Row],[DUT Read]]+Table1[[#This Row],[DUT Ucty]])</f>
        <v>N/A</v>
      </c>
      <c r="Y29" s="1" t="str">
        <f>IF(Table1[[#This Row],[Std Read]]="","N/A",Table1[[#This Row],[Std Read]]+Table1[[#This Row],[Std Ucty]])</f>
        <v>N/A</v>
      </c>
      <c r="Z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 s="1" t="str">
        <f>IF(Table1[[#This Row],[Spec Type]]="","N/A",Table1[[#This Row],[Spec Type]])</f>
        <v>±</v>
      </c>
      <c r="AC29" s="1" t="str">
        <f>IF(Table1[[#This Row],[Spec Type2]]="N/A","N/A",IF(AND(Table1[[#This Row],[DUT Adj Read]]&gt;=Table1[[#This Row],[Low Tol]],Table1[[#This Row],[DUT Adj Read]]&lt;=Table1[[#This Row],[High Tol]]),"Pass","Fail"))</f>
        <v>Fail</v>
      </c>
      <c r="AD29" s="1" t="str">
        <f>IF(AND(Table1[[#This Row],[Spec Type2]]="N/A",Table1[[#This Row],[DUT Adj Read]]="N/A",Table1[[#This Row],[Std Adj Read]]="N/A"),"N/A",IF(Table1[[#This Row],[DUT Adj Read]]="N/A",IF(Table1[[#This Row],[Std Adj Read]]&gt;Table1[[#This Row],[Low Tol]],"Pass","Fail"),IF(Table1[[#This Row],[DUT Adj Read]]&gt;Table1[[#This Row],[Low Tol]],"Pass","Fail")))</f>
        <v>Pass</v>
      </c>
      <c r="AE29" s="1" t="str">
        <f>IF(AND(Table1[[#This Row],[Spec Type2]]="N/A",Table1[[#This Row],[DUT Adj Read]]="N/A",Table1[[#This Row],[Std Adj Read]]="N/A"),"N/A",IF(Table1[[#This Row],[DUT Adj Read]]="N/A",IF(Table1[[#This Row],[Std Adj Read]]&lt;Table1[[#This Row],[High Tol]],"Pass","Fail"),IF(Table1[[#This Row],[DUT Adj Read]]&lt;Table1[[#This Row],[High Tol]],"Pass","Fail")))</f>
        <v>Fail</v>
      </c>
      <c r="AF29" s="1" t="str">
        <f>IF(AND(Table1[[#This Row],[Spec Type2]]="N/A",Table1[[#This Row],[DUT Adj Read]]="N/A",Table1[[#This Row],[Std Adj Read]]="N/A"),"N/A",IF(Table1[[#This Row],[DUT Adj Read]]="N/A",IF(Table1[[#This Row],[Std Adj Read]]&gt;=Table1[[#This Row],[Low Tol]],"Pass","Fail"),IF(Table1[[#This Row],[DUT Adj Read]]&gt;=Table1[[#This Row],[Low Tol]],"Pass","Fail")))</f>
        <v>Pass</v>
      </c>
      <c r="AG29" s="1" t="str">
        <f>IF(AND(Table1[[#This Row],[Spec Type2]]="N/A",Table1[[#This Row],[DUT Adj Read]]="N/A",Table1[[#This Row],[Std Adj Read]]="N/A"),"N/A",IF(Table1[[#This Row],[DUT Adj Read]]="N/A",IF(Table1[[#This Row],[Std Adj Read]]&lt;=Table1[[#This Row],[High Tol]],"Pass","Fail"),IF(Table1[[#This Row],[DUT Adj Read]]&lt;=Table1[[#This Row],[High Tol]],"Pass","Fail")))</f>
        <v>Fail</v>
      </c>
      <c r="AH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 s="1" t="b">
        <v>0</v>
      </c>
      <c r="AN29" s="1" t="b">
        <v>0</v>
      </c>
      <c r="AO29" s="1" t="b">
        <v>0</v>
      </c>
    </row>
    <row r="30" spans="1:41" x14ac:dyDescent="0.25">
      <c r="A30" s="10"/>
      <c r="B30" s="10"/>
      <c r="C30" s="10"/>
      <c r="D30" s="10"/>
      <c r="E30" s="10"/>
      <c r="F30" s="10"/>
      <c r="G30" s="10"/>
      <c r="H30" s="10"/>
      <c r="I30" s="1" t="str">
        <f t="shared" si="2"/>
        <v/>
      </c>
      <c r="J30" s="1" t="s">
        <v>35</v>
      </c>
      <c r="K30" s="1" t="str">
        <f t="shared" si="0"/>
        <v/>
      </c>
      <c r="L30" s="1" t="str">
        <f t="shared" si="1"/>
        <v/>
      </c>
      <c r="M30" s="1">
        <f>IF(OR(Table1[[#This Row],[Std Nom]]="",Table1[[#This Row],[Std Read]]=""),0,Table1[[#This Row],[Std Nom]]-Table1[[#This Row],[Std Read]])</f>
        <v>0</v>
      </c>
      <c r="N30" s="1">
        <f>IF(Calculations!$F$5="ACCREDITED 17025 WITH UNCERTAINTIES",$N$10,0)</f>
        <v>0</v>
      </c>
      <c r="O30" s="1" t="str">
        <f>IFERROR(Table1[[#This Row],[Std Nom]]-(_xlfn.XLOOKUP(Table1[[#This Row],[Manufacturer]]&amp;" "&amp;Table1[[#This Row],[Model]],Table13[MFR &amp; MDL],Table13[Tolerance % CW ],"")/100*Table1[[#This Row],[Std Nom]]),"")</f>
        <v/>
      </c>
      <c r="P30" s="1" t="str">
        <f>IFERROR(Table1[[#This Row],[Std Nom]]+(_xlfn.XLOOKUP(Table1[[#This Row],[Manufacturer]]&amp;" "&amp;Table1[[#This Row],[Model]],Table13[MFR &amp; MDL],Table13[Tolerance % CW ],"")/100*Table1[[#This Row],[Std Nom]]),"")</f>
        <v/>
      </c>
      <c r="Q30" s="1" t="e">
        <f>Table1[[#This Row],[High Tol]]-Table1[[#This Row],[Low Tol]]</f>
        <v>#VALUE!</v>
      </c>
      <c r="R30" s="1">
        <f>2*Table1[[#This Row],[Std Error]]</f>
        <v>0</v>
      </c>
      <c r="S30" s="1" t="str">
        <f>IF(Table1[[#This Row],[High Tol]]="","N/A",IFERROR(ABS(Table1[[#This Row],[Tol Span]]/Table1[[#This Row],[Error Span]]),"N/A"))</f>
        <v>N/A</v>
      </c>
      <c r="T30" s="1" t="str">
        <f>IF(OR(Table1[[#This Row],[Low Tol]]="",Table1[[#This Row],[High Tol]]=""),"Needs Analysis",IF(Table1[[#This Row],[Ratio]]&gt;=4,"Not Significant",IF(Table1[[#This Row],[Ratio]]&gt;=2,"Semi-Significant","Significant")))</f>
        <v>Needs Analysis</v>
      </c>
      <c r="W30" s="1">
        <f>IF(Table1[[#This Row],[Cal Type]]&lt;&gt;"ACCREDITED 17025 WITH UNCERTAINTIES",0,"")</f>
        <v>0</v>
      </c>
      <c r="X30" s="1" t="str">
        <f>IF(Table1[[#This Row],[DUT Read]]="","N/A",Table1[[#This Row],[Std Error]]+Table1[[#This Row],[DUT Read]]+Table1[[#This Row],[DUT Ucty]])</f>
        <v>N/A</v>
      </c>
      <c r="Y30" s="1" t="str">
        <f>IF(Table1[[#This Row],[Std Read]]="","N/A",Table1[[#This Row],[Std Read]]+Table1[[#This Row],[Std Ucty]])</f>
        <v>N/A</v>
      </c>
      <c r="Z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 s="1" t="str">
        <f>IF(Table1[[#This Row],[Spec Type]]="","N/A",Table1[[#This Row],[Spec Type]])</f>
        <v>±</v>
      </c>
      <c r="AC30" s="1" t="str">
        <f>IF(Table1[[#This Row],[Spec Type2]]="N/A","N/A",IF(AND(Table1[[#This Row],[DUT Adj Read]]&gt;=Table1[[#This Row],[Low Tol]],Table1[[#This Row],[DUT Adj Read]]&lt;=Table1[[#This Row],[High Tol]]),"Pass","Fail"))</f>
        <v>Fail</v>
      </c>
      <c r="AD30" s="1" t="str">
        <f>IF(AND(Table1[[#This Row],[Spec Type2]]="N/A",Table1[[#This Row],[DUT Adj Read]]="N/A",Table1[[#This Row],[Std Adj Read]]="N/A"),"N/A",IF(Table1[[#This Row],[DUT Adj Read]]="N/A",IF(Table1[[#This Row],[Std Adj Read]]&gt;Table1[[#This Row],[Low Tol]],"Pass","Fail"),IF(Table1[[#This Row],[DUT Adj Read]]&gt;Table1[[#This Row],[Low Tol]],"Pass","Fail")))</f>
        <v>Pass</v>
      </c>
      <c r="AE30" s="1" t="str">
        <f>IF(AND(Table1[[#This Row],[Spec Type2]]="N/A",Table1[[#This Row],[DUT Adj Read]]="N/A",Table1[[#This Row],[Std Adj Read]]="N/A"),"N/A",IF(Table1[[#This Row],[DUT Adj Read]]="N/A",IF(Table1[[#This Row],[Std Adj Read]]&lt;Table1[[#This Row],[High Tol]],"Pass","Fail"),IF(Table1[[#This Row],[DUT Adj Read]]&lt;Table1[[#This Row],[High Tol]],"Pass","Fail")))</f>
        <v>Fail</v>
      </c>
      <c r="AF30" s="1" t="str">
        <f>IF(AND(Table1[[#This Row],[Spec Type2]]="N/A",Table1[[#This Row],[DUT Adj Read]]="N/A",Table1[[#This Row],[Std Adj Read]]="N/A"),"N/A",IF(Table1[[#This Row],[DUT Adj Read]]="N/A",IF(Table1[[#This Row],[Std Adj Read]]&gt;=Table1[[#This Row],[Low Tol]],"Pass","Fail"),IF(Table1[[#This Row],[DUT Adj Read]]&gt;=Table1[[#This Row],[Low Tol]],"Pass","Fail")))</f>
        <v>Pass</v>
      </c>
      <c r="AG30" s="1" t="str">
        <f>IF(AND(Table1[[#This Row],[Spec Type2]]="N/A",Table1[[#This Row],[DUT Adj Read]]="N/A",Table1[[#This Row],[Std Adj Read]]="N/A"),"N/A",IF(Table1[[#This Row],[DUT Adj Read]]="N/A",IF(Table1[[#This Row],[Std Adj Read]]&lt;=Table1[[#This Row],[High Tol]],"Pass","Fail"),IF(Table1[[#This Row],[DUT Adj Read]]&lt;=Table1[[#This Row],[High Tol]],"Pass","Fail")))</f>
        <v>Fail</v>
      </c>
      <c r="AH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 s="1" t="b">
        <v>0</v>
      </c>
      <c r="AN30" s="1" t="b">
        <v>0</v>
      </c>
      <c r="AO30" s="1" t="b">
        <v>0</v>
      </c>
    </row>
    <row r="31" spans="1:41" x14ac:dyDescent="0.25">
      <c r="A31" s="10"/>
      <c r="B31" s="10"/>
      <c r="C31" s="10"/>
      <c r="D31" s="10"/>
      <c r="E31" s="10"/>
      <c r="F31" s="10"/>
      <c r="G31" s="10"/>
      <c r="H31" s="10"/>
      <c r="I31" s="1" t="str">
        <f t="shared" si="2"/>
        <v/>
      </c>
      <c r="J31" s="1" t="s">
        <v>35</v>
      </c>
      <c r="K31" s="1" t="str">
        <f t="shared" si="0"/>
        <v/>
      </c>
      <c r="L31" s="1" t="str">
        <f t="shared" si="1"/>
        <v/>
      </c>
      <c r="M31" s="1">
        <f>IF(OR(Table1[[#This Row],[Std Nom]]="",Table1[[#This Row],[Std Read]]=""),0,Table1[[#This Row],[Std Nom]]-Table1[[#This Row],[Std Read]])</f>
        <v>0</v>
      </c>
      <c r="N31" s="1">
        <f>IF(Calculations!$F$5="ACCREDITED 17025 WITH UNCERTAINTIES",$N$10,0)</f>
        <v>0</v>
      </c>
      <c r="O31" s="1" t="str">
        <f>IFERROR(Table1[[#This Row],[Std Nom]]-(_xlfn.XLOOKUP(Table1[[#This Row],[Manufacturer]]&amp;" "&amp;Table1[[#This Row],[Model]],Table13[MFR &amp; MDL],Table13[Tolerance % CW ],"")/100*Table1[[#This Row],[Std Nom]]),"")</f>
        <v/>
      </c>
      <c r="P31" s="1" t="str">
        <f>IFERROR(Table1[[#This Row],[Std Nom]]+(_xlfn.XLOOKUP(Table1[[#This Row],[Manufacturer]]&amp;" "&amp;Table1[[#This Row],[Model]],Table13[MFR &amp; MDL],Table13[Tolerance % CW ],"")/100*Table1[[#This Row],[Std Nom]]),"")</f>
        <v/>
      </c>
      <c r="Q31" s="1" t="e">
        <f>Table1[[#This Row],[High Tol]]-Table1[[#This Row],[Low Tol]]</f>
        <v>#VALUE!</v>
      </c>
      <c r="R31" s="1">
        <f>2*Table1[[#This Row],[Std Error]]</f>
        <v>0</v>
      </c>
      <c r="S31" s="1" t="str">
        <f>IF(Table1[[#This Row],[High Tol]]="","N/A",IFERROR(ABS(Table1[[#This Row],[Tol Span]]/Table1[[#This Row],[Error Span]]),"N/A"))</f>
        <v>N/A</v>
      </c>
      <c r="T31" s="1" t="str">
        <f>IF(OR(Table1[[#This Row],[Low Tol]]="",Table1[[#This Row],[High Tol]]=""),"Needs Analysis",IF(Table1[[#This Row],[Ratio]]&gt;=4,"Not Significant",IF(Table1[[#This Row],[Ratio]]&gt;=2,"Semi-Significant","Significant")))</f>
        <v>Needs Analysis</v>
      </c>
      <c r="W31" s="1">
        <f>IF(Table1[[#This Row],[Cal Type]]&lt;&gt;"ACCREDITED 17025 WITH UNCERTAINTIES",0,"")</f>
        <v>0</v>
      </c>
      <c r="X31" s="1" t="str">
        <f>IF(Table1[[#This Row],[DUT Read]]="","N/A",Table1[[#This Row],[Std Error]]+Table1[[#This Row],[DUT Read]]+Table1[[#This Row],[DUT Ucty]])</f>
        <v>N/A</v>
      </c>
      <c r="Y31" s="1" t="str">
        <f>IF(Table1[[#This Row],[Std Read]]="","N/A",Table1[[#This Row],[Std Read]]+Table1[[#This Row],[Std Ucty]])</f>
        <v>N/A</v>
      </c>
      <c r="Z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 s="1" t="str">
        <f>IF(Table1[[#This Row],[Spec Type]]="","N/A",Table1[[#This Row],[Spec Type]])</f>
        <v>±</v>
      </c>
      <c r="AC31" s="1" t="str">
        <f>IF(Table1[[#This Row],[Spec Type2]]="N/A","N/A",IF(AND(Table1[[#This Row],[DUT Adj Read]]&gt;=Table1[[#This Row],[Low Tol]],Table1[[#This Row],[DUT Adj Read]]&lt;=Table1[[#This Row],[High Tol]]),"Pass","Fail"))</f>
        <v>Fail</v>
      </c>
      <c r="AD31" s="1" t="str">
        <f>IF(AND(Table1[[#This Row],[Spec Type2]]="N/A",Table1[[#This Row],[DUT Adj Read]]="N/A",Table1[[#This Row],[Std Adj Read]]="N/A"),"N/A",IF(Table1[[#This Row],[DUT Adj Read]]="N/A",IF(Table1[[#This Row],[Std Adj Read]]&gt;Table1[[#This Row],[Low Tol]],"Pass","Fail"),IF(Table1[[#This Row],[DUT Adj Read]]&gt;Table1[[#This Row],[Low Tol]],"Pass","Fail")))</f>
        <v>Pass</v>
      </c>
      <c r="AE31" s="1" t="str">
        <f>IF(AND(Table1[[#This Row],[Spec Type2]]="N/A",Table1[[#This Row],[DUT Adj Read]]="N/A",Table1[[#This Row],[Std Adj Read]]="N/A"),"N/A",IF(Table1[[#This Row],[DUT Adj Read]]="N/A",IF(Table1[[#This Row],[Std Adj Read]]&lt;Table1[[#This Row],[High Tol]],"Pass","Fail"),IF(Table1[[#This Row],[DUT Adj Read]]&lt;Table1[[#This Row],[High Tol]],"Pass","Fail")))</f>
        <v>Fail</v>
      </c>
      <c r="AF31" s="1" t="str">
        <f>IF(AND(Table1[[#This Row],[Spec Type2]]="N/A",Table1[[#This Row],[DUT Adj Read]]="N/A",Table1[[#This Row],[Std Adj Read]]="N/A"),"N/A",IF(Table1[[#This Row],[DUT Adj Read]]="N/A",IF(Table1[[#This Row],[Std Adj Read]]&gt;=Table1[[#This Row],[Low Tol]],"Pass","Fail"),IF(Table1[[#This Row],[DUT Adj Read]]&gt;=Table1[[#This Row],[Low Tol]],"Pass","Fail")))</f>
        <v>Pass</v>
      </c>
      <c r="AG31" s="1" t="str">
        <f>IF(AND(Table1[[#This Row],[Spec Type2]]="N/A",Table1[[#This Row],[DUT Adj Read]]="N/A",Table1[[#This Row],[Std Adj Read]]="N/A"),"N/A",IF(Table1[[#This Row],[DUT Adj Read]]="N/A",IF(Table1[[#This Row],[Std Adj Read]]&lt;=Table1[[#This Row],[High Tol]],"Pass","Fail"),IF(Table1[[#This Row],[DUT Adj Read]]&lt;=Table1[[#This Row],[High Tol]],"Pass","Fail")))</f>
        <v>Fail</v>
      </c>
      <c r="AH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 s="1" t="b">
        <v>0</v>
      </c>
      <c r="AN31" s="1" t="b">
        <v>0</v>
      </c>
      <c r="AO31" s="1" t="b">
        <v>0</v>
      </c>
    </row>
    <row r="32" spans="1:41" x14ac:dyDescent="0.25">
      <c r="A32" s="10"/>
      <c r="B32" s="10"/>
      <c r="C32" s="10"/>
      <c r="D32" s="10"/>
      <c r="E32" s="10"/>
      <c r="F32" s="10"/>
      <c r="G32" s="10"/>
      <c r="H32" s="10"/>
      <c r="I32" s="1" t="str">
        <f t="shared" si="2"/>
        <v/>
      </c>
      <c r="J32" s="1" t="s">
        <v>35</v>
      </c>
      <c r="K32" s="1" t="str">
        <f t="shared" si="0"/>
        <v/>
      </c>
      <c r="L32" s="1" t="str">
        <f t="shared" si="1"/>
        <v/>
      </c>
      <c r="M32" s="1">
        <f>IF(OR(Table1[[#This Row],[Std Nom]]="",Table1[[#This Row],[Std Read]]=""),0,Table1[[#This Row],[Std Nom]]-Table1[[#This Row],[Std Read]])</f>
        <v>0</v>
      </c>
      <c r="N32" s="1">
        <f>IF(Calculations!$F$5="ACCREDITED 17025 WITH UNCERTAINTIES",$N$10,0)</f>
        <v>0</v>
      </c>
      <c r="O32" s="1" t="str">
        <f>IFERROR(Table1[[#This Row],[Std Nom]]-(_xlfn.XLOOKUP(Table1[[#This Row],[Manufacturer]]&amp;" "&amp;Table1[[#This Row],[Model]],Table13[MFR &amp; MDL],Table13[Tolerance % CW ],"")/100*Table1[[#This Row],[Std Nom]]),"")</f>
        <v/>
      </c>
      <c r="P32" s="1" t="str">
        <f>IFERROR(Table1[[#This Row],[Std Nom]]+(_xlfn.XLOOKUP(Table1[[#This Row],[Manufacturer]]&amp;" "&amp;Table1[[#This Row],[Model]],Table13[MFR &amp; MDL],Table13[Tolerance % CW ],"")/100*Table1[[#This Row],[Std Nom]]),"")</f>
        <v/>
      </c>
      <c r="Q32" s="1" t="e">
        <f>Table1[[#This Row],[High Tol]]-Table1[[#This Row],[Low Tol]]</f>
        <v>#VALUE!</v>
      </c>
      <c r="R32" s="1">
        <f>2*Table1[[#This Row],[Std Error]]</f>
        <v>0</v>
      </c>
      <c r="S32" s="1" t="str">
        <f>IF(Table1[[#This Row],[High Tol]]="","N/A",IFERROR(ABS(Table1[[#This Row],[Tol Span]]/Table1[[#This Row],[Error Span]]),"N/A"))</f>
        <v>N/A</v>
      </c>
      <c r="T32" s="1" t="str">
        <f>IF(OR(Table1[[#This Row],[Low Tol]]="",Table1[[#This Row],[High Tol]]=""),"Needs Analysis",IF(Table1[[#This Row],[Ratio]]&gt;=4,"Not Significant",IF(Table1[[#This Row],[Ratio]]&gt;=2,"Semi-Significant","Significant")))</f>
        <v>Needs Analysis</v>
      </c>
      <c r="W32" s="1">
        <f>IF(Table1[[#This Row],[Cal Type]]&lt;&gt;"ACCREDITED 17025 WITH UNCERTAINTIES",0,"")</f>
        <v>0</v>
      </c>
      <c r="X32" s="1" t="str">
        <f>IF(Table1[[#This Row],[DUT Read]]="","N/A",Table1[[#This Row],[Std Error]]+Table1[[#This Row],[DUT Read]]+Table1[[#This Row],[DUT Ucty]])</f>
        <v>N/A</v>
      </c>
      <c r="Y32" s="1" t="str">
        <f>IF(Table1[[#This Row],[Std Read]]="","N/A",Table1[[#This Row],[Std Read]]+Table1[[#This Row],[Std Ucty]])</f>
        <v>N/A</v>
      </c>
      <c r="Z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 s="1" t="str">
        <f>IF(Table1[[#This Row],[Spec Type]]="","N/A",Table1[[#This Row],[Spec Type]])</f>
        <v>±</v>
      </c>
      <c r="AC32" s="1" t="str">
        <f>IF(Table1[[#This Row],[Spec Type2]]="N/A","N/A",IF(AND(Table1[[#This Row],[DUT Adj Read]]&gt;=Table1[[#This Row],[Low Tol]],Table1[[#This Row],[DUT Adj Read]]&lt;=Table1[[#This Row],[High Tol]]),"Pass","Fail"))</f>
        <v>Fail</v>
      </c>
      <c r="AD32" s="1" t="str">
        <f>IF(AND(Table1[[#This Row],[Spec Type2]]="N/A",Table1[[#This Row],[DUT Adj Read]]="N/A",Table1[[#This Row],[Std Adj Read]]="N/A"),"N/A",IF(Table1[[#This Row],[DUT Adj Read]]="N/A",IF(Table1[[#This Row],[Std Adj Read]]&gt;Table1[[#This Row],[Low Tol]],"Pass","Fail"),IF(Table1[[#This Row],[DUT Adj Read]]&gt;Table1[[#This Row],[Low Tol]],"Pass","Fail")))</f>
        <v>Pass</v>
      </c>
      <c r="AE32" s="1" t="str">
        <f>IF(AND(Table1[[#This Row],[Spec Type2]]="N/A",Table1[[#This Row],[DUT Adj Read]]="N/A",Table1[[#This Row],[Std Adj Read]]="N/A"),"N/A",IF(Table1[[#This Row],[DUT Adj Read]]="N/A",IF(Table1[[#This Row],[Std Adj Read]]&lt;Table1[[#This Row],[High Tol]],"Pass","Fail"),IF(Table1[[#This Row],[DUT Adj Read]]&lt;Table1[[#This Row],[High Tol]],"Pass","Fail")))</f>
        <v>Fail</v>
      </c>
      <c r="AF32" s="1" t="str">
        <f>IF(AND(Table1[[#This Row],[Spec Type2]]="N/A",Table1[[#This Row],[DUT Adj Read]]="N/A",Table1[[#This Row],[Std Adj Read]]="N/A"),"N/A",IF(Table1[[#This Row],[DUT Adj Read]]="N/A",IF(Table1[[#This Row],[Std Adj Read]]&gt;=Table1[[#This Row],[Low Tol]],"Pass","Fail"),IF(Table1[[#This Row],[DUT Adj Read]]&gt;=Table1[[#This Row],[Low Tol]],"Pass","Fail")))</f>
        <v>Pass</v>
      </c>
      <c r="AG32" s="1" t="str">
        <f>IF(AND(Table1[[#This Row],[Spec Type2]]="N/A",Table1[[#This Row],[DUT Adj Read]]="N/A",Table1[[#This Row],[Std Adj Read]]="N/A"),"N/A",IF(Table1[[#This Row],[DUT Adj Read]]="N/A",IF(Table1[[#This Row],[Std Adj Read]]&lt;=Table1[[#This Row],[High Tol]],"Pass","Fail"),IF(Table1[[#This Row],[DUT Adj Read]]&lt;=Table1[[#This Row],[High Tol]],"Pass","Fail")))</f>
        <v>Fail</v>
      </c>
      <c r="AH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 s="1" t="b">
        <v>0</v>
      </c>
      <c r="AN32" s="1" t="b">
        <v>0</v>
      </c>
      <c r="AO32" s="1" t="b">
        <v>0</v>
      </c>
    </row>
    <row r="33" spans="1:41" x14ac:dyDescent="0.25">
      <c r="A33" s="10"/>
      <c r="B33" s="10"/>
      <c r="C33" s="10"/>
      <c r="D33" s="10"/>
      <c r="E33" s="10"/>
      <c r="F33" s="10"/>
      <c r="G33" s="10"/>
      <c r="H33" s="10"/>
      <c r="I33" s="1" t="str">
        <f t="shared" si="2"/>
        <v/>
      </c>
      <c r="J33" s="1" t="s">
        <v>35</v>
      </c>
      <c r="K33" s="1" t="str">
        <f t="shared" si="0"/>
        <v/>
      </c>
      <c r="L33" s="1" t="str">
        <f t="shared" si="1"/>
        <v/>
      </c>
      <c r="M33" s="1">
        <f>IF(OR(Table1[[#This Row],[Std Nom]]="",Table1[[#This Row],[Std Read]]=""),0,Table1[[#This Row],[Std Nom]]-Table1[[#This Row],[Std Read]])</f>
        <v>0</v>
      </c>
      <c r="N33" s="1">
        <f>IF(Calculations!$F$5="ACCREDITED 17025 WITH UNCERTAINTIES",$N$10,0)</f>
        <v>0</v>
      </c>
      <c r="O33" s="1" t="str">
        <f>IFERROR(Table1[[#This Row],[Std Nom]]-(_xlfn.XLOOKUP(Table1[[#This Row],[Manufacturer]]&amp;" "&amp;Table1[[#This Row],[Model]],Table13[MFR &amp; MDL],Table13[Tolerance % CW ],"")/100*Table1[[#This Row],[Std Nom]]),"")</f>
        <v/>
      </c>
      <c r="P33" s="1" t="str">
        <f>IFERROR(Table1[[#This Row],[Std Nom]]+(_xlfn.XLOOKUP(Table1[[#This Row],[Manufacturer]]&amp;" "&amp;Table1[[#This Row],[Model]],Table13[MFR &amp; MDL],Table13[Tolerance % CW ],"")/100*Table1[[#This Row],[Std Nom]]),"")</f>
        <v/>
      </c>
      <c r="Q33" s="1" t="e">
        <f>Table1[[#This Row],[High Tol]]-Table1[[#This Row],[Low Tol]]</f>
        <v>#VALUE!</v>
      </c>
      <c r="R33" s="1">
        <f>2*Table1[[#This Row],[Std Error]]</f>
        <v>0</v>
      </c>
      <c r="S33" s="1" t="str">
        <f>IF(Table1[[#This Row],[High Tol]]="","N/A",IFERROR(ABS(Table1[[#This Row],[Tol Span]]/Table1[[#This Row],[Error Span]]),"N/A"))</f>
        <v>N/A</v>
      </c>
      <c r="T33" s="1" t="str">
        <f>IF(OR(Table1[[#This Row],[Low Tol]]="",Table1[[#This Row],[High Tol]]=""),"Needs Analysis",IF(Table1[[#This Row],[Ratio]]&gt;=4,"Not Significant",IF(Table1[[#This Row],[Ratio]]&gt;=2,"Semi-Significant","Significant")))</f>
        <v>Needs Analysis</v>
      </c>
      <c r="W33" s="1">
        <f>IF(Table1[[#This Row],[Cal Type]]&lt;&gt;"ACCREDITED 17025 WITH UNCERTAINTIES",0,"")</f>
        <v>0</v>
      </c>
      <c r="X33" s="1" t="str">
        <f>IF(Table1[[#This Row],[DUT Read]]="","N/A",Table1[[#This Row],[Std Error]]+Table1[[#This Row],[DUT Read]]+Table1[[#This Row],[DUT Ucty]])</f>
        <v>N/A</v>
      </c>
      <c r="Y33" s="1" t="str">
        <f>IF(Table1[[#This Row],[Std Read]]="","N/A",Table1[[#This Row],[Std Read]]+Table1[[#This Row],[Std Ucty]])</f>
        <v>N/A</v>
      </c>
      <c r="Z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 s="1" t="str">
        <f>IF(Table1[[#This Row],[Spec Type]]="","N/A",Table1[[#This Row],[Spec Type]])</f>
        <v>±</v>
      </c>
      <c r="AC33" s="1" t="str">
        <f>IF(Table1[[#This Row],[Spec Type2]]="N/A","N/A",IF(AND(Table1[[#This Row],[DUT Adj Read]]&gt;=Table1[[#This Row],[Low Tol]],Table1[[#This Row],[DUT Adj Read]]&lt;=Table1[[#This Row],[High Tol]]),"Pass","Fail"))</f>
        <v>Fail</v>
      </c>
      <c r="AD33" s="1" t="str">
        <f>IF(AND(Table1[[#This Row],[Spec Type2]]="N/A",Table1[[#This Row],[DUT Adj Read]]="N/A",Table1[[#This Row],[Std Adj Read]]="N/A"),"N/A",IF(Table1[[#This Row],[DUT Adj Read]]="N/A",IF(Table1[[#This Row],[Std Adj Read]]&gt;Table1[[#This Row],[Low Tol]],"Pass","Fail"),IF(Table1[[#This Row],[DUT Adj Read]]&gt;Table1[[#This Row],[Low Tol]],"Pass","Fail")))</f>
        <v>Pass</v>
      </c>
      <c r="AE33" s="1" t="str">
        <f>IF(AND(Table1[[#This Row],[Spec Type2]]="N/A",Table1[[#This Row],[DUT Adj Read]]="N/A",Table1[[#This Row],[Std Adj Read]]="N/A"),"N/A",IF(Table1[[#This Row],[DUT Adj Read]]="N/A",IF(Table1[[#This Row],[Std Adj Read]]&lt;Table1[[#This Row],[High Tol]],"Pass","Fail"),IF(Table1[[#This Row],[DUT Adj Read]]&lt;Table1[[#This Row],[High Tol]],"Pass","Fail")))</f>
        <v>Fail</v>
      </c>
      <c r="AF33" s="1" t="str">
        <f>IF(AND(Table1[[#This Row],[Spec Type2]]="N/A",Table1[[#This Row],[DUT Adj Read]]="N/A",Table1[[#This Row],[Std Adj Read]]="N/A"),"N/A",IF(Table1[[#This Row],[DUT Adj Read]]="N/A",IF(Table1[[#This Row],[Std Adj Read]]&gt;=Table1[[#This Row],[Low Tol]],"Pass","Fail"),IF(Table1[[#This Row],[DUT Adj Read]]&gt;=Table1[[#This Row],[Low Tol]],"Pass","Fail")))</f>
        <v>Pass</v>
      </c>
      <c r="AG33" s="1" t="str">
        <f>IF(AND(Table1[[#This Row],[Spec Type2]]="N/A",Table1[[#This Row],[DUT Adj Read]]="N/A",Table1[[#This Row],[Std Adj Read]]="N/A"),"N/A",IF(Table1[[#This Row],[DUT Adj Read]]="N/A",IF(Table1[[#This Row],[Std Adj Read]]&lt;=Table1[[#This Row],[High Tol]],"Pass","Fail"),IF(Table1[[#This Row],[DUT Adj Read]]&lt;=Table1[[#This Row],[High Tol]],"Pass","Fail")))</f>
        <v>Fail</v>
      </c>
      <c r="AH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 s="1" t="b">
        <v>0</v>
      </c>
      <c r="AN33" s="1" t="b">
        <v>0</v>
      </c>
      <c r="AO33" s="1" t="b">
        <v>0</v>
      </c>
    </row>
    <row r="34" spans="1:41" x14ac:dyDescent="0.25">
      <c r="A34" s="10"/>
      <c r="B34" s="10"/>
      <c r="C34" s="10"/>
      <c r="D34" s="10"/>
      <c r="E34" s="10"/>
      <c r="F34" s="10"/>
      <c r="G34" s="10"/>
      <c r="H34" s="10"/>
      <c r="I34" s="1" t="str">
        <f t="shared" si="2"/>
        <v/>
      </c>
      <c r="J34" s="1" t="s">
        <v>35</v>
      </c>
      <c r="K34" s="1" t="str">
        <f t="shared" si="0"/>
        <v/>
      </c>
      <c r="L34" s="1" t="str">
        <f t="shared" si="1"/>
        <v/>
      </c>
      <c r="M34" s="1">
        <f>IF(OR(Table1[[#This Row],[Std Nom]]="",Table1[[#This Row],[Std Read]]=""),0,Table1[[#This Row],[Std Nom]]-Table1[[#This Row],[Std Read]])</f>
        <v>0</v>
      </c>
      <c r="N34" s="1">
        <f>IF(Calculations!$F$5="ACCREDITED 17025 WITH UNCERTAINTIES",$N$10,0)</f>
        <v>0</v>
      </c>
      <c r="O34" s="1" t="str">
        <f>IFERROR(Table1[[#This Row],[Std Nom]]-(_xlfn.XLOOKUP(Table1[[#This Row],[Manufacturer]]&amp;" "&amp;Table1[[#This Row],[Model]],Table13[MFR &amp; MDL],Table13[Tolerance % CW ],"")/100*Table1[[#This Row],[Std Nom]]),"")</f>
        <v/>
      </c>
      <c r="P34" s="1" t="str">
        <f>IFERROR(Table1[[#This Row],[Std Nom]]+(_xlfn.XLOOKUP(Table1[[#This Row],[Manufacturer]]&amp;" "&amp;Table1[[#This Row],[Model]],Table13[MFR &amp; MDL],Table13[Tolerance % CW ],"")/100*Table1[[#This Row],[Std Nom]]),"")</f>
        <v/>
      </c>
      <c r="Q34" s="1" t="e">
        <f>Table1[[#This Row],[High Tol]]-Table1[[#This Row],[Low Tol]]</f>
        <v>#VALUE!</v>
      </c>
      <c r="R34" s="1">
        <f>2*Table1[[#This Row],[Std Error]]</f>
        <v>0</v>
      </c>
      <c r="S34" s="1" t="str">
        <f>IF(Table1[[#This Row],[High Tol]]="","N/A",IFERROR(ABS(Table1[[#This Row],[Tol Span]]/Table1[[#This Row],[Error Span]]),"N/A"))</f>
        <v>N/A</v>
      </c>
      <c r="T34" s="1" t="str">
        <f>IF(OR(Table1[[#This Row],[Low Tol]]="",Table1[[#This Row],[High Tol]]=""),"Needs Analysis",IF(Table1[[#This Row],[Ratio]]&gt;=4,"Not Significant",IF(Table1[[#This Row],[Ratio]]&gt;=2,"Semi-Significant","Significant")))</f>
        <v>Needs Analysis</v>
      </c>
      <c r="W34" s="1">
        <f>IF(Table1[[#This Row],[Cal Type]]&lt;&gt;"ACCREDITED 17025 WITH UNCERTAINTIES",0,"")</f>
        <v>0</v>
      </c>
      <c r="X34" s="1" t="str">
        <f>IF(Table1[[#This Row],[DUT Read]]="","N/A",Table1[[#This Row],[Std Error]]+Table1[[#This Row],[DUT Read]]+Table1[[#This Row],[DUT Ucty]])</f>
        <v>N/A</v>
      </c>
      <c r="Y34" s="1" t="str">
        <f>IF(Table1[[#This Row],[Std Read]]="","N/A",Table1[[#This Row],[Std Read]]+Table1[[#This Row],[Std Ucty]])</f>
        <v>N/A</v>
      </c>
      <c r="Z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 s="1" t="str">
        <f>IF(Table1[[#This Row],[Spec Type]]="","N/A",Table1[[#This Row],[Spec Type]])</f>
        <v>±</v>
      </c>
      <c r="AC34" s="1" t="str">
        <f>IF(Table1[[#This Row],[Spec Type2]]="N/A","N/A",IF(AND(Table1[[#This Row],[DUT Adj Read]]&gt;=Table1[[#This Row],[Low Tol]],Table1[[#This Row],[DUT Adj Read]]&lt;=Table1[[#This Row],[High Tol]]),"Pass","Fail"))</f>
        <v>Fail</v>
      </c>
      <c r="AD34" s="1" t="str">
        <f>IF(AND(Table1[[#This Row],[Spec Type2]]="N/A",Table1[[#This Row],[DUT Adj Read]]="N/A",Table1[[#This Row],[Std Adj Read]]="N/A"),"N/A",IF(Table1[[#This Row],[DUT Adj Read]]="N/A",IF(Table1[[#This Row],[Std Adj Read]]&gt;Table1[[#This Row],[Low Tol]],"Pass","Fail"),IF(Table1[[#This Row],[DUT Adj Read]]&gt;Table1[[#This Row],[Low Tol]],"Pass","Fail")))</f>
        <v>Pass</v>
      </c>
      <c r="AE34" s="1" t="str">
        <f>IF(AND(Table1[[#This Row],[Spec Type2]]="N/A",Table1[[#This Row],[DUT Adj Read]]="N/A",Table1[[#This Row],[Std Adj Read]]="N/A"),"N/A",IF(Table1[[#This Row],[DUT Adj Read]]="N/A",IF(Table1[[#This Row],[Std Adj Read]]&lt;Table1[[#This Row],[High Tol]],"Pass","Fail"),IF(Table1[[#This Row],[DUT Adj Read]]&lt;Table1[[#This Row],[High Tol]],"Pass","Fail")))</f>
        <v>Fail</v>
      </c>
      <c r="AF34" s="1" t="str">
        <f>IF(AND(Table1[[#This Row],[Spec Type2]]="N/A",Table1[[#This Row],[DUT Adj Read]]="N/A",Table1[[#This Row],[Std Adj Read]]="N/A"),"N/A",IF(Table1[[#This Row],[DUT Adj Read]]="N/A",IF(Table1[[#This Row],[Std Adj Read]]&gt;=Table1[[#This Row],[Low Tol]],"Pass","Fail"),IF(Table1[[#This Row],[DUT Adj Read]]&gt;=Table1[[#This Row],[Low Tol]],"Pass","Fail")))</f>
        <v>Pass</v>
      </c>
      <c r="AG34" s="1" t="str">
        <f>IF(AND(Table1[[#This Row],[Spec Type2]]="N/A",Table1[[#This Row],[DUT Adj Read]]="N/A",Table1[[#This Row],[Std Adj Read]]="N/A"),"N/A",IF(Table1[[#This Row],[DUT Adj Read]]="N/A",IF(Table1[[#This Row],[Std Adj Read]]&lt;=Table1[[#This Row],[High Tol]],"Pass","Fail"),IF(Table1[[#This Row],[DUT Adj Read]]&lt;=Table1[[#This Row],[High Tol]],"Pass","Fail")))</f>
        <v>Fail</v>
      </c>
      <c r="AH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 s="1" t="b">
        <v>0</v>
      </c>
      <c r="AN34" s="1" t="b">
        <v>0</v>
      </c>
      <c r="AO34" s="1" t="b">
        <v>0</v>
      </c>
    </row>
    <row r="35" spans="1:41" x14ac:dyDescent="0.25">
      <c r="A35" s="10"/>
      <c r="B35" s="10"/>
      <c r="C35" s="10"/>
      <c r="D35" s="10"/>
      <c r="E35" s="10"/>
      <c r="F35" s="10"/>
      <c r="G35" s="10"/>
      <c r="H35" s="10"/>
      <c r="I35" s="1" t="str">
        <f t="shared" si="2"/>
        <v/>
      </c>
      <c r="J35" s="1" t="s">
        <v>35</v>
      </c>
      <c r="K35" s="1" t="str">
        <f t="shared" si="0"/>
        <v/>
      </c>
      <c r="L35" s="1" t="str">
        <f t="shared" si="1"/>
        <v/>
      </c>
      <c r="M35" s="1">
        <f>IF(OR(Table1[[#This Row],[Std Nom]]="",Table1[[#This Row],[Std Read]]=""),0,Table1[[#This Row],[Std Nom]]-Table1[[#This Row],[Std Read]])</f>
        <v>0</v>
      </c>
      <c r="N35" s="1">
        <f>IF(Calculations!$F$5="ACCREDITED 17025 WITH UNCERTAINTIES",$N$10,0)</f>
        <v>0</v>
      </c>
      <c r="O35" s="1" t="str">
        <f>IFERROR(Table1[[#This Row],[Std Nom]]-(_xlfn.XLOOKUP(Table1[[#This Row],[Manufacturer]]&amp;" "&amp;Table1[[#This Row],[Model]],Table13[MFR &amp; MDL],Table13[Tolerance % CW ],"")/100*Table1[[#This Row],[Std Nom]]),"")</f>
        <v/>
      </c>
      <c r="P35" s="1" t="str">
        <f>IFERROR(Table1[[#This Row],[Std Nom]]+(_xlfn.XLOOKUP(Table1[[#This Row],[Manufacturer]]&amp;" "&amp;Table1[[#This Row],[Model]],Table13[MFR &amp; MDL],Table13[Tolerance % CW ],"")/100*Table1[[#This Row],[Std Nom]]),"")</f>
        <v/>
      </c>
      <c r="Q35" s="1" t="e">
        <f>Table1[[#This Row],[High Tol]]-Table1[[#This Row],[Low Tol]]</f>
        <v>#VALUE!</v>
      </c>
      <c r="R35" s="1">
        <f>2*Table1[[#This Row],[Std Error]]</f>
        <v>0</v>
      </c>
      <c r="S35" s="1" t="str">
        <f>IF(Table1[[#This Row],[High Tol]]="","N/A",IFERROR(ABS(Table1[[#This Row],[Tol Span]]/Table1[[#This Row],[Error Span]]),"N/A"))</f>
        <v>N/A</v>
      </c>
      <c r="T35" s="1" t="str">
        <f>IF(OR(Table1[[#This Row],[Low Tol]]="",Table1[[#This Row],[High Tol]]=""),"Needs Analysis",IF(Table1[[#This Row],[Ratio]]&gt;=4,"Not Significant",IF(Table1[[#This Row],[Ratio]]&gt;=2,"Semi-Significant","Significant")))</f>
        <v>Needs Analysis</v>
      </c>
      <c r="W35" s="1">
        <f>IF(Table1[[#This Row],[Cal Type]]&lt;&gt;"ACCREDITED 17025 WITH UNCERTAINTIES",0,"")</f>
        <v>0</v>
      </c>
      <c r="X35" s="1" t="str">
        <f>IF(Table1[[#This Row],[DUT Read]]="","N/A",Table1[[#This Row],[Std Error]]+Table1[[#This Row],[DUT Read]]+Table1[[#This Row],[DUT Ucty]])</f>
        <v>N/A</v>
      </c>
      <c r="Y35" s="1" t="str">
        <f>IF(Table1[[#This Row],[Std Read]]="","N/A",Table1[[#This Row],[Std Read]]+Table1[[#This Row],[Std Ucty]])</f>
        <v>N/A</v>
      </c>
      <c r="Z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 s="1" t="str">
        <f>IF(Table1[[#This Row],[Spec Type]]="","N/A",Table1[[#This Row],[Spec Type]])</f>
        <v>±</v>
      </c>
      <c r="AC35" s="1" t="str">
        <f>IF(Table1[[#This Row],[Spec Type2]]="N/A","N/A",IF(AND(Table1[[#This Row],[DUT Adj Read]]&gt;=Table1[[#This Row],[Low Tol]],Table1[[#This Row],[DUT Adj Read]]&lt;=Table1[[#This Row],[High Tol]]),"Pass","Fail"))</f>
        <v>Fail</v>
      </c>
      <c r="AD35" s="1" t="str">
        <f>IF(AND(Table1[[#This Row],[Spec Type2]]="N/A",Table1[[#This Row],[DUT Adj Read]]="N/A",Table1[[#This Row],[Std Adj Read]]="N/A"),"N/A",IF(Table1[[#This Row],[DUT Adj Read]]="N/A",IF(Table1[[#This Row],[Std Adj Read]]&gt;Table1[[#This Row],[Low Tol]],"Pass","Fail"),IF(Table1[[#This Row],[DUT Adj Read]]&gt;Table1[[#This Row],[Low Tol]],"Pass","Fail")))</f>
        <v>Pass</v>
      </c>
      <c r="AE35" s="1" t="str">
        <f>IF(AND(Table1[[#This Row],[Spec Type2]]="N/A",Table1[[#This Row],[DUT Adj Read]]="N/A",Table1[[#This Row],[Std Adj Read]]="N/A"),"N/A",IF(Table1[[#This Row],[DUT Adj Read]]="N/A",IF(Table1[[#This Row],[Std Adj Read]]&lt;Table1[[#This Row],[High Tol]],"Pass","Fail"),IF(Table1[[#This Row],[DUT Adj Read]]&lt;Table1[[#This Row],[High Tol]],"Pass","Fail")))</f>
        <v>Fail</v>
      </c>
      <c r="AF35" s="1" t="str">
        <f>IF(AND(Table1[[#This Row],[Spec Type2]]="N/A",Table1[[#This Row],[DUT Adj Read]]="N/A",Table1[[#This Row],[Std Adj Read]]="N/A"),"N/A",IF(Table1[[#This Row],[DUT Adj Read]]="N/A",IF(Table1[[#This Row],[Std Adj Read]]&gt;=Table1[[#This Row],[Low Tol]],"Pass","Fail"),IF(Table1[[#This Row],[DUT Adj Read]]&gt;=Table1[[#This Row],[Low Tol]],"Pass","Fail")))</f>
        <v>Pass</v>
      </c>
      <c r="AG35" s="1" t="str">
        <f>IF(AND(Table1[[#This Row],[Spec Type2]]="N/A",Table1[[#This Row],[DUT Adj Read]]="N/A",Table1[[#This Row],[Std Adj Read]]="N/A"),"N/A",IF(Table1[[#This Row],[DUT Adj Read]]="N/A",IF(Table1[[#This Row],[Std Adj Read]]&lt;=Table1[[#This Row],[High Tol]],"Pass","Fail"),IF(Table1[[#This Row],[DUT Adj Read]]&lt;=Table1[[#This Row],[High Tol]],"Pass","Fail")))</f>
        <v>Fail</v>
      </c>
      <c r="AH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 s="1" t="b">
        <v>0</v>
      </c>
      <c r="AN35" s="1" t="b">
        <v>0</v>
      </c>
      <c r="AO35" s="1" t="b">
        <v>0</v>
      </c>
    </row>
    <row r="36" spans="1:41" x14ac:dyDescent="0.25">
      <c r="A36" s="10"/>
      <c r="B36" s="10"/>
      <c r="C36" s="10"/>
      <c r="D36" s="10"/>
      <c r="E36" s="10"/>
      <c r="F36" s="10"/>
      <c r="G36" s="10"/>
      <c r="H36" s="10"/>
      <c r="I36" s="1" t="str">
        <f t="shared" si="2"/>
        <v/>
      </c>
      <c r="J36" s="1" t="s">
        <v>35</v>
      </c>
      <c r="K36" s="1" t="str">
        <f t="shared" si="0"/>
        <v/>
      </c>
      <c r="L36" s="1" t="str">
        <f t="shared" si="1"/>
        <v/>
      </c>
      <c r="M36" s="1">
        <f>IF(OR(Table1[[#This Row],[Std Nom]]="",Table1[[#This Row],[Std Read]]=""),0,Table1[[#This Row],[Std Nom]]-Table1[[#This Row],[Std Read]])</f>
        <v>0</v>
      </c>
      <c r="N36" s="1">
        <f>IF(Calculations!$F$5="ACCREDITED 17025 WITH UNCERTAINTIES",$N$10,0)</f>
        <v>0</v>
      </c>
      <c r="O36" s="1" t="str">
        <f>IFERROR(Table1[[#This Row],[Std Nom]]-(_xlfn.XLOOKUP(Table1[[#This Row],[Manufacturer]]&amp;" "&amp;Table1[[#This Row],[Model]],Table13[MFR &amp; MDL],Table13[Tolerance % CW ],"")/100*Table1[[#This Row],[Std Nom]]),"")</f>
        <v/>
      </c>
      <c r="P36" s="1" t="str">
        <f>IFERROR(Table1[[#This Row],[Std Nom]]+(_xlfn.XLOOKUP(Table1[[#This Row],[Manufacturer]]&amp;" "&amp;Table1[[#This Row],[Model]],Table13[MFR &amp; MDL],Table13[Tolerance % CW ],"")/100*Table1[[#This Row],[Std Nom]]),"")</f>
        <v/>
      </c>
      <c r="Q36" s="1" t="e">
        <f>Table1[[#This Row],[High Tol]]-Table1[[#This Row],[Low Tol]]</f>
        <v>#VALUE!</v>
      </c>
      <c r="R36" s="1">
        <f>2*Table1[[#This Row],[Std Error]]</f>
        <v>0</v>
      </c>
      <c r="S36" s="1" t="str">
        <f>IF(Table1[[#This Row],[High Tol]]="","N/A",IFERROR(ABS(Table1[[#This Row],[Tol Span]]/Table1[[#This Row],[Error Span]]),"N/A"))</f>
        <v>N/A</v>
      </c>
      <c r="T36" s="1" t="str">
        <f>IF(OR(Table1[[#This Row],[Low Tol]]="",Table1[[#This Row],[High Tol]]=""),"Needs Analysis",IF(Table1[[#This Row],[Ratio]]&gt;=4,"Not Significant",IF(Table1[[#This Row],[Ratio]]&gt;=2,"Semi-Significant","Significant")))</f>
        <v>Needs Analysis</v>
      </c>
      <c r="W36" s="1">
        <f>IF(Table1[[#This Row],[Cal Type]]&lt;&gt;"ACCREDITED 17025 WITH UNCERTAINTIES",0,"")</f>
        <v>0</v>
      </c>
      <c r="X36" s="1" t="str">
        <f>IF(Table1[[#This Row],[DUT Read]]="","N/A",Table1[[#This Row],[Std Error]]+Table1[[#This Row],[DUT Read]]+Table1[[#This Row],[DUT Ucty]])</f>
        <v>N/A</v>
      </c>
      <c r="Y36" s="1" t="str">
        <f>IF(Table1[[#This Row],[Std Read]]="","N/A",Table1[[#This Row],[Std Read]]+Table1[[#This Row],[Std Ucty]])</f>
        <v>N/A</v>
      </c>
      <c r="Z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 s="1" t="str">
        <f>IF(Table1[[#This Row],[Spec Type]]="","N/A",Table1[[#This Row],[Spec Type]])</f>
        <v>±</v>
      </c>
      <c r="AC36" s="1" t="str">
        <f>IF(Table1[[#This Row],[Spec Type2]]="N/A","N/A",IF(AND(Table1[[#This Row],[DUT Adj Read]]&gt;=Table1[[#This Row],[Low Tol]],Table1[[#This Row],[DUT Adj Read]]&lt;=Table1[[#This Row],[High Tol]]),"Pass","Fail"))</f>
        <v>Fail</v>
      </c>
      <c r="AD36" s="1" t="str">
        <f>IF(AND(Table1[[#This Row],[Spec Type2]]="N/A",Table1[[#This Row],[DUT Adj Read]]="N/A",Table1[[#This Row],[Std Adj Read]]="N/A"),"N/A",IF(Table1[[#This Row],[DUT Adj Read]]="N/A",IF(Table1[[#This Row],[Std Adj Read]]&gt;Table1[[#This Row],[Low Tol]],"Pass","Fail"),IF(Table1[[#This Row],[DUT Adj Read]]&gt;Table1[[#This Row],[Low Tol]],"Pass","Fail")))</f>
        <v>Pass</v>
      </c>
      <c r="AE36" s="1" t="str">
        <f>IF(AND(Table1[[#This Row],[Spec Type2]]="N/A",Table1[[#This Row],[DUT Adj Read]]="N/A",Table1[[#This Row],[Std Adj Read]]="N/A"),"N/A",IF(Table1[[#This Row],[DUT Adj Read]]="N/A",IF(Table1[[#This Row],[Std Adj Read]]&lt;Table1[[#This Row],[High Tol]],"Pass","Fail"),IF(Table1[[#This Row],[DUT Adj Read]]&lt;Table1[[#This Row],[High Tol]],"Pass","Fail")))</f>
        <v>Fail</v>
      </c>
      <c r="AF36" s="1" t="str">
        <f>IF(AND(Table1[[#This Row],[Spec Type2]]="N/A",Table1[[#This Row],[DUT Adj Read]]="N/A",Table1[[#This Row],[Std Adj Read]]="N/A"),"N/A",IF(Table1[[#This Row],[DUT Adj Read]]="N/A",IF(Table1[[#This Row],[Std Adj Read]]&gt;=Table1[[#This Row],[Low Tol]],"Pass","Fail"),IF(Table1[[#This Row],[DUT Adj Read]]&gt;=Table1[[#This Row],[Low Tol]],"Pass","Fail")))</f>
        <v>Pass</v>
      </c>
      <c r="AG36" s="1" t="str">
        <f>IF(AND(Table1[[#This Row],[Spec Type2]]="N/A",Table1[[#This Row],[DUT Adj Read]]="N/A",Table1[[#This Row],[Std Adj Read]]="N/A"),"N/A",IF(Table1[[#This Row],[DUT Adj Read]]="N/A",IF(Table1[[#This Row],[Std Adj Read]]&lt;=Table1[[#This Row],[High Tol]],"Pass","Fail"),IF(Table1[[#This Row],[DUT Adj Read]]&lt;=Table1[[#This Row],[High Tol]],"Pass","Fail")))</f>
        <v>Fail</v>
      </c>
      <c r="AH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 s="1" t="b">
        <v>0</v>
      </c>
      <c r="AN36" s="1" t="b">
        <v>0</v>
      </c>
      <c r="AO36" s="1" t="b">
        <v>0</v>
      </c>
    </row>
    <row r="37" spans="1:41" x14ac:dyDescent="0.25">
      <c r="A37" s="10"/>
      <c r="B37" s="10"/>
      <c r="C37" s="10"/>
      <c r="D37" s="10"/>
      <c r="E37" s="10"/>
      <c r="F37" s="10"/>
      <c r="G37" s="10"/>
      <c r="H37" s="10"/>
      <c r="I37" s="1" t="str">
        <f t="shared" si="2"/>
        <v/>
      </c>
      <c r="J37" s="1" t="s">
        <v>35</v>
      </c>
      <c r="K37" s="1" t="str">
        <f t="shared" si="0"/>
        <v/>
      </c>
      <c r="L37" s="1" t="str">
        <f t="shared" si="1"/>
        <v/>
      </c>
      <c r="M37" s="1">
        <f>IF(OR(Table1[[#This Row],[Std Nom]]="",Table1[[#This Row],[Std Read]]=""),0,Table1[[#This Row],[Std Nom]]-Table1[[#This Row],[Std Read]])</f>
        <v>0</v>
      </c>
      <c r="N37" s="1">
        <f>IF(Calculations!$F$5="ACCREDITED 17025 WITH UNCERTAINTIES",$N$10,0)</f>
        <v>0</v>
      </c>
      <c r="O37" s="1" t="str">
        <f>IFERROR(Table1[[#This Row],[Std Nom]]-(_xlfn.XLOOKUP(Table1[[#This Row],[Manufacturer]]&amp;" "&amp;Table1[[#This Row],[Model]],Table13[MFR &amp; MDL],Table13[Tolerance % CW ],"")/100*Table1[[#This Row],[Std Nom]]),"")</f>
        <v/>
      </c>
      <c r="P37" s="1" t="str">
        <f>IFERROR(Table1[[#This Row],[Std Nom]]+(_xlfn.XLOOKUP(Table1[[#This Row],[Manufacturer]]&amp;" "&amp;Table1[[#This Row],[Model]],Table13[MFR &amp; MDL],Table13[Tolerance % CW ],"")/100*Table1[[#This Row],[Std Nom]]),"")</f>
        <v/>
      </c>
      <c r="Q37" s="1" t="e">
        <f>Table1[[#This Row],[High Tol]]-Table1[[#This Row],[Low Tol]]</f>
        <v>#VALUE!</v>
      </c>
      <c r="R37" s="1">
        <f>2*Table1[[#This Row],[Std Error]]</f>
        <v>0</v>
      </c>
      <c r="S37" s="1" t="str">
        <f>IF(Table1[[#This Row],[High Tol]]="","N/A",IFERROR(ABS(Table1[[#This Row],[Tol Span]]/Table1[[#This Row],[Error Span]]),"N/A"))</f>
        <v>N/A</v>
      </c>
      <c r="T37" s="1" t="str">
        <f>IF(OR(Table1[[#This Row],[Low Tol]]="",Table1[[#This Row],[High Tol]]=""),"Needs Analysis",IF(Table1[[#This Row],[Ratio]]&gt;=4,"Not Significant",IF(Table1[[#This Row],[Ratio]]&gt;=2,"Semi-Significant","Significant")))</f>
        <v>Needs Analysis</v>
      </c>
      <c r="W37" s="1">
        <f>IF(Table1[[#This Row],[Cal Type]]&lt;&gt;"ACCREDITED 17025 WITH UNCERTAINTIES",0,"")</f>
        <v>0</v>
      </c>
      <c r="X37" s="1" t="str">
        <f>IF(Table1[[#This Row],[DUT Read]]="","N/A",Table1[[#This Row],[Std Error]]+Table1[[#This Row],[DUT Read]]+Table1[[#This Row],[DUT Ucty]])</f>
        <v>N/A</v>
      </c>
      <c r="Y37" s="1" t="str">
        <f>IF(Table1[[#This Row],[Std Read]]="","N/A",Table1[[#This Row],[Std Read]]+Table1[[#This Row],[Std Ucty]])</f>
        <v>N/A</v>
      </c>
      <c r="Z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 s="1" t="str">
        <f>IF(Table1[[#This Row],[Spec Type]]="","N/A",Table1[[#This Row],[Spec Type]])</f>
        <v>±</v>
      </c>
      <c r="AC37" s="1" t="str">
        <f>IF(Table1[[#This Row],[Spec Type2]]="N/A","N/A",IF(AND(Table1[[#This Row],[DUT Adj Read]]&gt;=Table1[[#This Row],[Low Tol]],Table1[[#This Row],[DUT Adj Read]]&lt;=Table1[[#This Row],[High Tol]]),"Pass","Fail"))</f>
        <v>Fail</v>
      </c>
      <c r="AD37" s="1" t="str">
        <f>IF(AND(Table1[[#This Row],[Spec Type2]]="N/A",Table1[[#This Row],[DUT Adj Read]]="N/A",Table1[[#This Row],[Std Adj Read]]="N/A"),"N/A",IF(Table1[[#This Row],[DUT Adj Read]]="N/A",IF(Table1[[#This Row],[Std Adj Read]]&gt;Table1[[#This Row],[Low Tol]],"Pass","Fail"),IF(Table1[[#This Row],[DUT Adj Read]]&gt;Table1[[#This Row],[Low Tol]],"Pass","Fail")))</f>
        <v>Pass</v>
      </c>
      <c r="AE37" s="1" t="str">
        <f>IF(AND(Table1[[#This Row],[Spec Type2]]="N/A",Table1[[#This Row],[DUT Adj Read]]="N/A",Table1[[#This Row],[Std Adj Read]]="N/A"),"N/A",IF(Table1[[#This Row],[DUT Adj Read]]="N/A",IF(Table1[[#This Row],[Std Adj Read]]&lt;Table1[[#This Row],[High Tol]],"Pass","Fail"),IF(Table1[[#This Row],[DUT Adj Read]]&lt;Table1[[#This Row],[High Tol]],"Pass","Fail")))</f>
        <v>Fail</v>
      </c>
      <c r="AF37" s="1" t="str">
        <f>IF(AND(Table1[[#This Row],[Spec Type2]]="N/A",Table1[[#This Row],[DUT Adj Read]]="N/A",Table1[[#This Row],[Std Adj Read]]="N/A"),"N/A",IF(Table1[[#This Row],[DUT Adj Read]]="N/A",IF(Table1[[#This Row],[Std Adj Read]]&gt;=Table1[[#This Row],[Low Tol]],"Pass","Fail"),IF(Table1[[#This Row],[DUT Adj Read]]&gt;=Table1[[#This Row],[Low Tol]],"Pass","Fail")))</f>
        <v>Pass</v>
      </c>
      <c r="AG37" s="1" t="str">
        <f>IF(AND(Table1[[#This Row],[Spec Type2]]="N/A",Table1[[#This Row],[DUT Adj Read]]="N/A",Table1[[#This Row],[Std Adj Read]]="N/A"),"N/A",IF(Table1[[#This Row],[DUT Adj Read]]="N/A",IF(Table1[[#This Row],[Std Adj Read]]&lt;=Table1[[#This Row],[High Tol]],"Pass","Fail"),IF(Table1[[#This Row],[DUT Adj Read]]&lt;=Table1[[#This Row],[High Tol]],"Pass","Fail")))</f>
        <v>Fail</v>
      </c>
      <c r="AH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 s="1" t="b">
        <v>0</v>
      </c>
      <c r="AN37" s="1" t="b">
        <v>0</v>
      </c>
      <c r="AO37" s="1" t="b">
        <v>0</v>
      </c>
    </row>
    <row r="38" spans="1:41" x14ac:dyDescent="0.25">
      <c r="A38" s="10"/>
      <c r="B38" s="10"/>
      <c r="C38" s="10"/>
      <c r="D38" s="10"/>
      <c r="E38" s="10"/>
      <c r="F38" s="10"/>
      <c r="G38" s="10"/>
      <c r="H38" s="10"/>
      <c r="I38" s="1" t="str">
        <f t="shared" si="2"/>
        <v/>
      </c>
      <c r="J38" s="1" t="s">
        <v>35</v>
      </c>
      <c r="K38" s="1" t="str">
        <f t="shared" si="0"/>
        <v/>
      </c>
      <c r="L38" s="1" t="str">
        <f t="shared" si="1"/>
        <v/>
      </c>
      <c r="M38" s="1">
        <f>IF(OR(Table1[[#This Row],[Std Nom]]="",Table1[[#This Row],[Std Read]]=""),0,Table1[[#This Row],[Std Nom]]-Table1[[#This Row],[Std Read]])</f>
        <v>0</v>
      </c>
      <c r="N38" s="1">
        <f>IF(Calculations!$F$5="ACCREDITED 17025 WITH UNCERTAINTIES",$N$10,0)</f>
        <v>0</v>
      </c>
      <c r="O38" s="1" t="str">
        <f>IFERROR(Table1[[#This Row],[Std Nom]]-(_xlfn.XLOOKUP(Table1[[#This Row],[Manufacturer]]&amp;" "&amp;Table1[[#This Row],[Model]],Table13[MFR &amp; MDL],Table13[Tolerance % CW ],"")/100*Table1[[#This Row],[Std Nom]]),"")</f>
        <v/>
      </c>
      <c r="P38" s="1" t="str">
        <f>IFERROR(Table1[[#This Row],[Std Nom]]+(_xlfn.XLOOKUP(Table1[[#This Row],[Manufacturer]]&amp;" "&amp;Table1[[#This Row],[Model]],Table13[MFR &amp; MDL],Table13[Tolerance % CW ],"")/100*Table1[[#This Row],[Std Nom]]),"")</f>
        <v/>
      </c>
      <c r="Q38" s="1" t="e">
        <f>Table1[[#This Row],[High Tol]]-Table1[[#This Row],[Low Tol]]</f>
        <v>#VALUE!</v>
      </c>
      <c r="R38" s="1">
        <f>2*Table1[[#This Row],[Std Error]]</f>
        <v>0</v>
      </c>
      <c r="S38" s="1" t="str">
        <f>IF(Table1[[#This Row],[High Tol]]="","N/A",IFERROR(ABS(Table1[[#This Row],[Tol Span]]/Table1[[#This Row],[Error Span]]),"N/A"))</f>
        <v>N/A</v>
      </c>
      <c r="T38" s="1" t="str">
        <f>IF(OR(Table1[[#This Row],[Low Tol]]="",Table1[[#This Row],[High Tol]]=""),"Needs Analysis",IF(Table1[[#This Row],[Ratio]]&gt;=4,"Not Significant",IF(Table1[[#This Row],[Ratio]]&gt;=2,"Semi-Significant","Significant")))</f>
        <v>Needs Analysis</v>
      </c>
      <c r="W38" s="1">
        <f>IF(Table1[[#This Row],[Cal Type]]&lt;&gt;"ACCREDITED 17025 WITH UNCERTAINTIES",0,"")</f>
        <v>0</v>
      </c>
      <c r="X38" s="1" t="str">
        <f>IF(Table1[[#This Row],[DUT Read]]="","N/A",Table1[[#This Row],[Std Error]]+Table1[[#This Row],[DUT Read]]+Table1[[#This Row],[DUT Ucty]])</f>
        <v>N/A</v>
      </c>
      <c r="Y38" s="1" t="str">
        <f>IF(Table1[[#This Row],[Std Read]]="","N/A",Table1[[#This Row],[Std Read]]+Table1[[#This Row],[Std Ucty]])</f>
        <v>N/A</v>
      </c>
      <c r="Z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 s="1" t="str">
        <f>IF(Table1[[#This Row],[Spec Type]]="","N/A",Table1[[#This Row],[Spec Type]])</f>
        <v>±</v>
      </c>
      <c r="AC38" s="1" t="str">
        <f>IF(Table1[[#This Row],[Spec Type2]]="N/A","N/A",IF(AND(Table1[[#This Row],[DUT Adj Read]]&gt;=Table1[[#This Row],[Low Tol]],Table1[[#This Row],[DUT Adj Read]]&lt;=Table1[[#This Row],[High Tol]]),"Pass","Fail"))</f>
        <v>Fail</v>
      </c>
      <c r="AD38" s="1" t="str">
        <f>IF(AND(Table1[[#This Row],[Spec Type2]]="N/A",Table1[[#This Row],[DUT Adj Read]]="N/A",Table1[[#This Row],[Std Adj Read]]="N/A"),"N/A",IF(Table1[[#This Row],[DUT Adj Read]]="N/A",IF(Table1[[#This Row],[Std Adj Read]]&gt;Table1[[#This Row],[Low Tol]],"Pass","Fail"),IF(Table1[[#This Row],[DUT Adj Read]]&gt;Table1[[#This Row],[Low Tol]],"Pass","Fail")))</f>
        <v>Pass</v>
      </c>
      <c r="AE38" s="1" t="str">
        <f>IF(AND(Table1[[#This Row],[Spec Type2]]="N/A",Table1[[#This Row],[DUT Adj Read]]="N/A",Table1[[#This Row],[Std Adj Read]]="N/A"),"N/A",IF(Table1[[#This Row],[DUT Adj Read]]="N/A",IF(Table1[[#This Row],[Std Adj Read]]&lt;Table1[[#This Row],[High Tol]],"Pass","Fail"),IF(Table1[[#This Row],[DUT Adj Read]]&lt;Table1[[#This Row],[High Tol]],"Pass","Fail")))</f>
        <v>Fail</v>
      </c>
      <c r="AF38" s="1" t="str">
        <f>IF(AND(Table1[[#This Row],[Spec Type2]]="N/A",Table1[[#This Row],[DUT Adj Read]]="N/A",Table1[[#This Row],[Std Adj Read]]="N/A"),"N/A",IF(Table1[[#This Row],[DUT Adj Read]]="N/A",IF(Table1[[#This Row],[Std Adj Read]]&gt;=Table1[[#This Row],[Low Tol]],"Pass","Fail"),IF(Table1[[#This Row],[DUT Adj Read]]&gt;=Table1[[#This Row],[Low Tol]],"Pass","Fail")))</f>
        <v>Pass</v>
      </c>
      <c r="AG38" s="1" t="str">
        <f>IF(AND(Table1[[#This Row],[Spec Type2]]="N/A",Table1[[#This Row],[DUT Adj Read]]="N/A",Table1[[#This Row],[Std Adj Read]]="N/A"),"N/A",IF(Table1[[#This Row],[DUT Adj Read]]="N/A",IF(Table1[[#This Row],[Std Adj Read]]&lt;=Table1[[#This Row],[High Tol]],"Pass","Fail"),IF(Table1[[#This Row],[DUT Adj Read]]&lt;=Table1[[#This Row],[High Tol]],"Pass","Fail")))</f>
        <v>Fail</v>
      </c>
      <c r="AH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 s="1" t="b">
        <v>0</v>
      </c>
      <c r="AN38" s="1" t="b">
        <v>0</v>
      </c>
      <c r="AO38" s="1" t="b">
        <v>0</v>
      </c>
    </row>
    <row r="39" spans="1:41" x14ac:dyDescent="0.25">
      <c r="A39" s="10"/>
      <c r="B39" s="10"/>
      <c r="C39" s="10"/>
      <c r="D39" s="10"/>
      <c r="E39" s="10"/>
      <c r="F39" s="10"/>
      <c r="G39" s="10"/>
      <c r="H39" s="10"/>
      <c r="I39" s="1" t="str">
        <f t="shared" si="2"/>
        <v/>
      </c>
      <c r="J39" s="1" t="s">
        <v>35</v>
      </c>
      <c r="K39" s="1" t="str">
        <f t="shared" si="0"/>
        <v/>
      </c>
      <c r="L39" s="1" t="str">
        <f t="shared" si="1"/>
        <v/>
      </c>
      <c r="M39" s="1">
        <f>IF(OR(Table1[[#This Row],[Std Nom]]="",Table1[[#This Row],[Std Read]]=""),0,Table1[[#This Row],[Std Nom]]-Table1[[#This Row],[Std Read]])</f>
        <v>0</v>
      </c>
      <c r="N39" s="1">
        <f>IF(Calculations!$F$5="ACCREDITED 17025 WITH UNCERTAINTIES",$N$10,0)</f>
        <v>0</v>
      </c>
      <c r="O39" s="1" t="str">
        <f>IFERROR(Table1[[#This Row],[Std Nom]]-(_xlfn.XLOOKUP(Table1[[#This Row],[Manufacturer]]&amp;" "&amp;Table1[[#This Row],[Model]],Table13[MFR &amp; MDL],Table13[Tolerance % CW ],"")/100*Table1[[#This Row],[Std Nom]]),"")</f>
        <v/>
      </c>
      <c r="P39" s="1" t="str">
        <f>IFERROR(Table1[[#This Row],[Std Nom]]+(_xlfn.XLOOKUP(Table1[[#This Row],[Manufacturer]]&amp;" "&amp;Table1[[#This Row],[Model]],Table13[MFR &amp; MDL],Table13[Tolerance % CW ],"")/100*Table1[[#This Row],[Std Nom]]),"")</f>
        <v/>
      </c>
      <c r="Q39" s="1" t="e">
        <f>Table1[[#This Row],[High Tol]]-Table1[[#This Row],[Low Tol]]</f>
        <v>#VALUE!</v>
      </c>
      <c r="R39" s="1">
        <f>2*Table1[[#This Row],[Std Error]]</f>
        <v>0</v>
      </c>
      <c r="S39" s="1" t="str">
        <f>IF(Table1[[#This Row],[High Tol]]="","N/A",IFERROR(ABS(Table1[[#This Row],[Tol Span]]/Table1[[#This Row],[Error Span]]),"N/A"))</f>
        <v>N/A</v>
      </c>
      <c r="T39" s="1" t="str">
        <f>IF(OR(Table1[[#This Row],[Low Tol]]="",Table1[[#This Row],[High Tol]]=""),"Needs Analysis",IF(Table1[[#This Row],[Ratio]]&gt;=4,"Not Significant",IF(Table1[[#This Row],[Ratio]]&gt;=2,"Semi-Significant","Significant")))</f>
        <v>Needs Analysis</v>
      </c>
      <c r="W39" s="1">
        <f>IF(Table1[[#This Row],[Cal Type]]&lt;&gt;"ACCREDITED 17025 WITH UNCERTAINTIES",0,"")</f>
        <v>0</v>
      </c>
      <c r="X39" s="1" t="str">
        <f>IF(Table1[[#This Row],[DUT Read]]="","N/A",Table1[[#This Row],[Std Error]]+Table1[[#This Row],[DUT Read]]+Table1[[#This Row],[DUT Ucty]])</f>
        <v>N/A</v>
      </c>
      <c r="Y39" s="1" t="str">
        <f>IF(Table1[[#This Row],[Std Read]]="","N/A",Table1[[#This Row],[Std Read]]+Table1[[#This Row],[Std Ucty]])</f>
        <v>N/A</v>
      </c>
      <c r="Z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 s="1" t="str">
        <f>IF(Table1[[#This Row],[Spec Type]]="","N/A",Table1[[#This Row],[Spec Type]])</f>
        <v>±</v>
      </c>
      <c r="AC39" s="1" t="str">
        <f>IF(Table1[[#This Row],[Spec Type2]]="N/A","N/A",IF(AND(Table1[[#This Row],[DUT Adj Read]]&gt;=Table1[[#This Row],[Low Tol]],Table1[[#This Row],[DUT Adj Read]]&lt;=Table1[[#This Row],[High Tol]]),"Pass","Fail"))</f>
        <v>Fail</v>
      </c>
      <c r="AD39" s="1" t="str">
        <f>IF(AND(Table1[[#This Row],[Spec Type2]]="N/A",Table1[[#This Row],[DUT Adj Read]]="N/A",Table1[[#This Row],[Std Adj Read]]="N/A"),"N/A",IF(Table1[[#This Row],[DUT Adj Read]]="N/A",IF(Table1[[#This Row],[Std Adj Read]]&gt;Table1[[#This Row],[Low Tol]],"Pass","Fail"),IF(Table1[[#This Row],[DUT Adj Read]]&gt;Table1[[#This Row],[Low Tol]],"Pass","Fail")))</f>
        <v>Pass</v>
      </c>
      <c r="AE39" s="1" t="str">
        <f>IF(AND(Table1[[#This Row],[Spec Type2]]="N/A",Table1[[#This Row],[DUT Adj Read]]="N/A",Table1[[#This Row],[Std Adj Read]]="N/A"),"N/A",IF(Table1[[#This Row],[DUT Adj Read]]="N/A",IF(Table1[[#This Row],[Std Adj Read]]&lt;Table1[[#This Row],[High Tol]],"Pass","Fail"),IF(Table1[[#This Row],[DUT Adj Read]]&lt;Table1[[#This Row],[High Tol]],"Pass","Fail")))</f>
        <v>Fail</v>
      </c>
      <c r="AF39" s="1" t="str">
        <f>IF(AND(Table1[[#This Row],[Spec Type2]]="N/A",Table1[[#This Row],[DUT Adj Read]]="N/A",Table1[[#This Row],[Std Adj Read]]="N/A"),"N/A",IF(Table1[[#This Row],[DUT Adj Read]]="N/A",IF(Table1[[#This Row],[Std Adj Read]]&gt;=Table1[[#This Row],[Low Tol]],"Pass","Fail"),IF(Table1[[#This Row],[DUT Adj Read]]&gt;=Table1[[#This Row],[Low Tol]],"Pass","Fail")))</f>
        <v>Pass</v>
      </c>
      <c r="AG39" s="1" t="str">
        <f>IF(AND(Table1[[#This Row],[Spec Type2]]="N/A",Table1[[#This Row],[DUT Adj Read]]="N/A",Table1[[#This Row],[Std Adj Read]]="N/A"),"N/A",IF(Table1[[#This Row],[DUT Adj Read]]="N/A",IF(Table1[[#This Row],[Std Adj Read]]&lt;=Table1[[#This Row],[High Tol]],"Pass","Fail"),IF(Table1[[#This Row],[DUT Adj Read]]&lt;=Table1[[#This Row],[High Tol]],"Pass","Fail")))</f>
        <v>Fail</v>
      </c>
      <c r="AH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 s="1" t="b">
        <v>0</v>
      </c>
      <c r="AN39" s="1" t="b">
        <v>0</v>
      </c>
      <c r="AO39" s="1" t="b">
        <v>0</v>
      </c>
    </row>
    <row r="40" spans="1:41" x14ac:dyDescent="0.25">
      <c r="A40" s="10"/>
      <c r="B40" s="10"/>
      <c r="C40" s="10"/>
      <c r="D40" s="10"/>
      <c r="E40" s="10"/>
      <c r="F40" s="10"/>
      <c r="G40" s="10"/>
      <c r="H40" s="10"/>
      <c r="I40" s="1" t="str">
        <f t="shared" si="2"/>
        <v/>
      </c>
      <c r="J40" s="1" t="s">
        <v>35</v>
      </c>
      <c r="K40" s="1" t="str">
        <f t="shared" si="0"/>
        <v/>
      </c>
      <c r="L40" s="1" t="str">
        <f t="shared" si="1"/>
        <v/>
      </c>
      <c r="M40" s="1">
        <f>IF(OR(Table1[[#This Row],[Std Nom]]="",Table1[[#This Row],[Std Read]]=""),0,Table1[[#This Row],[Std Nom]]-Table1[[#This Row],[Std Read]])</f>
        <v>0</v>
      </c>
      <c r="N40" s="1">
        <f>IF(Calculations!$F$5="ACCREDITED 17025 WITH UNCERTAINTIES",$N$10,0)</f>
        <v>0</v>
      </c>
      <c r="O40" s="1" t="str">
        <f>IFERROR(Table1[[#This Row],[Std Nom]]-(_xlfn.XLOOKUP(Table1[[#This Row],[Manufacturer]]&amp;" "&amp;Table1[[#This Row],[Model]],Table13[MFR &amp; MDL],Table13[Tolerance % CW ],"")/100*Table1[[#This Row],[Std Nom]]),"")</f>
        <v/>
      </c>
      <c r="P40" s="1" t="str">
        <f>IFERROR(Table1[[#This Row],[Std Nom]]+(_xlfn.XLOOKUP(Table1[[#This Row],[Manufacturer]]&amp;" "&amp;Table1[[#This Row],[Model]],Table13[MFR &amp; MDL],Table13[Tolerance % CW ],"")/100*Table1[[#This Row],[Std Nom]]),"")</f>
        <v/>
      </c>
      <c r="Q40" s="1" t="e">
        <f>Table1[[#This Row],[High Tol]]-Table1[[#This Row],[Low Tol]]</f>
        <v>#VALUE!</v>
      </c>
      <c r="R40" s="1">
        <f>2*Table1[[#This Row],[Std Error]]</f>
        <v>0</v>
      </c>
      <c r="S40" s="1" t="str">
        <f>IF(Table1[[#This Row],[High Tol]]="","N/A",IFERROR(ABS(Table1[[#This Row],[Tol Span]]/Table1[[#This Row],[Error Span]]),"N/A"))</f>
        <v>N/A</v>
      </c>
      <c r="T40" s="1" t="str">
        <f>IF(OR(Table1[[#This Row],[Low Tol]]="",Table1[[#This Row],[High Tol]]=""),"Needs Analysis",IF(Table1[[#This Row],[Ratio]]&gt;=4,"Not Significant",IF(Table1[[#This Row],[Ratio]]&gt;=2,"Semi-Significant","Significant")))</f>
        <v>Needs Analysis</v>
      </c>
      <c r="W40" s="1">
        <f>IF(Table1[[#This Row],[Cal Type]]&lt;&gt;"ACCREDITED 17025 WITH UNCERTAINTIES",0,"")</f>
        <v>0</v>
      </c>
      <c r="X40" s="1" t="str">
        <f>IF(Table1[[#This Row],[DUT Read]]="","N/A",Table1[[#This Row],[Std Error]]+Table1[[#This Row],[DUT Read]]+Table1[[#This Row],[DUT Ucty]])</f>
        <v>N/A</v>
      </c>
      <c r="Y40" s="1" t="str">
        <f>IF(Table1[[#This Row],[Std Read]]="","N/A",Table1[[#This Row],[Std Read]]+Table1[[#This Row],[Std Ucty]])</f>
        <v>N/A</v>
      </c>
      <c r="Z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 s="1" t="str">
        <f>IF(Table1[[#This Row],[Spec Type]]="","N/A",Table1[[#This Row],[Spec Type]])</f>
        <v>±</v>
      </c>
      <c r="AC40" s="1" t="str">
        <f>IF(Table1[[#This Row],[Spec Type2]]="N/A","N/A",IF(AND(Table1[[#This Row],[DUT Adj Read]]&gt;=Table1[[#This Row],[Low Tol]],Table1[[#This Row],[DUT Adj Read]]&lt;=Table1[[#This Row],[High Tol]]),"Pass","Fail"))</f>
        <v>Fail</v>
      </c>
      <c r="AD40" s="1" t="str">
        <f>IF(AND(Table1[[#This Row],[Spec Type2]]="N/A",Table1[[#This Row],[DUT Adj Read]]="N/A",Table1[[#This Row],[Std Adj Read]]="N/A"),"N/A",IF(Table1[[#This Row],[DUT Adj Read]]="N/A",IF(Table1[[#This Row],[Std Adj Read]]&gt;Table1[[#This Row],[Low Tol]],"Pass","Fail"),IF(Table1[[#This Row],[DUT Adj Read]]&gt;Table1[[#This Row],[Low Tol]],"Pass","Fail")))</f>
        <v>Pass</v>
      </c>
      <c r="AE40" s="1" t="str">
        <f>IF(AND(Table1[[#This Row],[Spec Type2]]="N/A",Table1[[#This Row],[DUT Adj Read]]="N/A",Table1[[#This Row],[Std Adj Read]]="N/A"),"N/A",IF(Table1[[#This Row],[DUT Adj Read]]="N/A",IF(Table1[[#This Row],[Std Adj Read]]&lt;Table1[[#This Row],[High Tol]],"Pass","Fail"),IF(Table1[[#This Row],[DUT Adj Read]]&lt;Table1[[#This Row],[High Tol]],"Pass","Fail")))</f>
        <v>Fail</v>
      </c>
      <c r="AF40" s="1" t="str">
        <f>IF(AND(Table1[[#This Row],[Spec Type2]]="N/A",Table1[[#This Row],[DUT Adj Read]]="N/A",Table1[[#This Row],[Std Adj Read]]="N/A"),"N/A",IF(Table1[[#This Row],[DUT Adj Read]]="N/A",IF(Table1[[#This Row],[Std Adj Read]]&gt;=Table1[[#This Row],[Low Tol]],"Pass","Fail"),IF(Table1[[#This Row],[DUT Adj Read]]&gt;=Table1[[#This Row],[Low Tol]],"Pass","Fail")))</f>
        <v>Pass</v>
      </c>
      <c r="AG40" s="1" t="str">
        <f>IF(AND(Table1[[#This Row],[Spec Type2]]="N/A",Table1[[#This Row],[DUT Adj Read]]="N/A",Table1[[#This Row],[Std Adj Read]]="N/A"),"N/A",IF(Table1[[#This Row],[DUT Adj Read]]="N/A",IF(Table1[[#This Row],[Std Adj Read]]&lt;=Table1[[#This Row],[High Tol]],"Pass","Fail"),IF(Table1[[#This Row],[DUT Adj Read]]&lt;=Table1[[#This Row],[High Tol]],"Pass","Fail")))</f>
        <v>Fail</v>
      </c>
      <c r="AH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 s="1" t="b">
        <v>0</v>
      </c>
      <c r="AN40" s="1" t="b">
        <v>0</v>
      </c>
      <c r="AO40" s="1" t="b">
        <v>0</v>
      </c>
    </row>
    <row r="41" spans="1:41" x14ac:dyDescent="0.25">
      <c r="A41" s="10"/>
      <c r="B41" s="10"/>
      <c r="C41" s="10"/>
      <c r="D41" s="10"/>
      <c r="E41" s="10"/>
      <c r="F41" s="10"/>
      <c r="G41" s="10"/>
      <c r="H41" s="10"/>
      <c r="I41" s="1" t="str">
        <f t="shared" si="2"/>
        <v/>
      </c>
      <c r="J41" s="1" t="s">
        <v>35</v>
      </c>
      <c r="K41" s="1" t="str">
        <f t="shared" si="0"/>
        <v/>
      </c>
      <c r="L41" s="1" t="str">
        <f t="shared" si="1"/>
        <v/>
      </c>
      <c r="M41" s="1">
        <f>IF(OR(Table1[[#This Row],[Std Nom]]="",Table1[[#This Row],[Std Read]]=""),0,Table1[[#This Row],[Std Nom]]-Table1[[#This Row],[Std Read]])</f>
        <v>0</v>
      </c>
      <c r="N41" s="1">
        <f>IF(Calculations!$F$5="ACCREDITED 17025 WITH UNCERTAINTIES",$N$10,0)</f>
        <v>0</v>
      </c>
      <c r="O41" s="1" t="str">
        <f>IFERROR(Table1[[#This Row],[Std Nom]]-(_xlfn.XLOOKUP(Table1[[#This Row],[Manufacturer]]&amp;" "&amp;Table1[[#This Row],[Model]],Table13[MFR &amp; MDL],Table13[Tolerance % CW ],"")/100*Table1[[#This Row],[Std Nom]]),"")</f>
        <v/>
      </c>
      <c r="P41" s="1" t="str">
        <f>IFERROR(Table1[[#This Row],[Std Nom]]+(_xlfn.XLOOKUP(Table1[[#This Row],[Manufacturer]]&amp;" "&amp;Table1[[#This Row],[Model]],Table13[MFR &amp; MDL],Table13[Tolerance % CW ],"")/100*Table1[[#This Row],[Std Nom]]),"")</f>
        <v/>
      </c>
      <c r="Q41" s="1" t="e">
        <f>Table1[[#This Row],[High Tol]]-Table1[[#This Row],[Low Tol]]</f>
        <v>#VALUE!</v>
      </c>
      <c r="R41" s="1">
        <f>2*Table1[[#This Row],[Std Error]]</f>
        <v>0</v>
      </c>
      <c r="S41" s="1" t="str">
        <f>IF(Table1[[#This Row],[High Tol]]="","N/A",IFERROR(ABS(Table1[[#This Row],[Tol Span]]/Table1[[#This Row],[Error Span]]),"N/A"))</f>
        <v>N/A</v>
      </c>
      <c r="T41" s="1" t="str">
        <f>IF(OR(Table1[[#This Row],[Low Tol]]="",Table1[[#This Row],[High Tol]]=""),"Needs Analysis",IF(Table1[[#This Row],[Ratio]]&gt;=4,"Not Significant",IF(Table1[[#This Row],[Ratio]]&gt;=2,"Semi-Significant","Significant")))</f>
        <v>Needs Analysis</v>
      </c>
      <c r="W41" s="1">
        <f>IF(Table1[[#This Row],[Cal Type]]&lt;&gt;"ACCREDITED 17025 WITH UNCERTAINTIES",0,"")</f>
        <v>0</v>
      </c>
      <c r="X41" s="1" t="str">
        <f>IF(Table1[[#This Row],[DUT Read]]="","N/A",Table1[[#This Row],[Std Error]]+Table1[[#This Row],[DUT Read]]+Table1[[#This Row],[DUT Ucty]])</f>
        <v>N/A</v>
      </c>
      <c r="Y41" s="1" t="str">
        <f>IF(Table1[[#This Row],[Std Read]]="","N/A",Table1[[#This Row],[Std Read]]+Table1[[#This Row],[Std Ucty]])</f>
        <v>N/A</v>
      </c>
      <c r="Z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 s="1" t="str">
        <f>IF(Table1[[#This Row],[Spec Type]]="","N/A",Table1[[#This Row],[Spec Type]])</f>
        <v>±</v>
      </c>
      <c r="AC41" s="1" t="str">
        <f>IF(Table1[[#This Row],[Spec Type2]]="N/A","N/A",IF(AND(Table1[[#This Row],[DUT Adj Read]]&gt;=Table1[[#This Row],[Low Tol]],Table1[[#This Row],[DUT Adj Read]]&lt;=Table1[[#This Row],[High Tol]]),"Pass","Fail"))</f>
        <v>Fail</v>
      </c>
      <c r="AD41" s="1" t="str">
        <f>IF(AND(Table1[[#This Row],[Spec Type2]]="N/A",Table1[[#This Row],[DUT Adj Read]]="N/A",Table1[[#This Row],[Std Adj Read]]="N/A"),"N/A",IF(Table1[[#This Row],[DUT Adj Read]]="N/A",IF(Table1[[#This Row],[Std Adj Read]]&gt;Table1[[#This Row],[Low Tol]],"Pass","Fail"),IF(Table1[[#This Row],[DUT Adj Read]]&gt;Table1[[#This Row],[Low Tol]],"Pass","Fail")))</f>
        <v>Pass</v>
      </c>
      <c r="AE41" s="1" t="str">
        <f>IF(AND(Table1[[#This Row],[Spec Type2]]="N/A",Table1[[#This Row],[DUT Adj Read]]="N/A",Table1[[#This Row],[Std Adj Read]]="N/A"),"N/A",IF(Table1[[#This Row],[DUT Adj Read]]="N/A",IF(Table1[[#This Row],[Std Adj Read]]&lt;Table1[[#This Row],[High Tol]],"Pass","Fail"),IF(Table1[[#This Row],[DUT Adj Read]]&lt;Table1[[#This Row],[High Tol]],"Pass","Fail")))</f>
        <v>Fail</v>
      </c>
      <c r="AF41" s="1" t="str">
        <f>IF(AND(Table1[[#This Row],[Spec Type2]]="N/A",Table1[[#This Row],[DUT Adj Read]]="N/A",Table1[[#This Row],[Std Adj Read]]="N/A"),"N/A",IF(Table1[[#This Row],[DUT Adj Read]]="N/A",IF(Table1[[#This Row],[Std Adj Read]]&gt;=Table1[[#This Row],[Low Tol]],"Pass","Fail"),IF(Table1[[#This Row],[DUT Adj Read]]&gt;=Table1[[#This Row],[Low Tol]],"Pass","Fail")))</f>
        <v>Pass</v>
      </c>
      <c r="AG41" s="1" t="str">
        <f>IF(AND(Table1[[#This Row],[Spec Type2]]="N/A",Table1[[#This Row],[DUT Adj Read]]="N/A",Table1[[#This Row],[Std Adj Read]]="N/A"),"N/A",IF(Table1[[#This Row],[DUT Adj Read]]="N/A",IF(Table1[[#This Row],[Std Adj Read]]&lt;=Table1[[#This Row],[High Tol]],"Pass","Fail"),IF(Table1[[#This Row],[DUT Adj Read]]&lt;=Table1[[#This Row],[High Tol]],"Pass","Fail")))</f>
        <v>Fail</v>
      </c>
      <c r="AH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 s="1" t="b">
        <v>0</v>
      </c>
      <c r="AN41" s="1" t="b">
        <v>0</v>
      </c>
      <c r="AO41" s="1" t="b">
        <v>0</v>
      </c>
    </row>
    <row r="42" spans="1:41" x14ac:dyDescent="0.25">
      <c r="A42" s="10"/>
      <c r="B42" s="10"/>
      <c r="C42" s="10"/>
      <c r="D42" s="10"/>
      <c r="E42" s="10"/>
      <c r="F42" s="10"/>
      <c r="G42" s="10"/>
      <c r="H42" s="10"/>
      <c r="I42" s="1" t="str">
        <f t="shared" si="2"/>
        <v/>
      </c>
      <c r="J42" s="1" t="s">
        <v>35</v>
      </c>
      <c r="K42" s="1" t="str">
        <f t="shared" si="0"/>
        <v/>
      </c>
      <c r="L42" s="1" t="str">
        <f t="shared" si="1"/>
        <v/>
      </c>
      <c r="M42" s="1">
        <f>IF(OR(Table1[[#This Row],[Std Nom]]="",Table1[[#This Row],[Std Read]]=""),0,Table1[[#This Row],[Std Nom]]-Table1[[#This Row],[Std Read]])</f>
        <v>0</v>
      </c>
      <c r="N42" s="1">
        <f>IF(Calculations!$F$5="ACCREDITED 17025 WITH UNCERTAINTIES",$N$10,0)</f>
        <v>0</v>
      </c>
      <c r="O42" s="1" t="str">
        <f>IFERROR(Table1[[#This Row],[Std Nom]]-(_xlfn.XLOOKUP(Table1[[#This Row],[Manufacturer]]&amp;" "&amp;Table1[[#This Row],[Model]],Table13[MFR &amp; MDL],Table13[Tolerance % CW ],"")/100*Table1[[#This Row],[Std Nom]]),"")</f>
        <v/>
      </c>
      <c r="P42" s="1" t="str">
        <f>IFERROR(Table1[[#This Row],[Std Nom]]+(_xlfn.XLOOKUP(Table1[[#This Row],[Manufacturer]]&amp;" "&amp;Table1[[#This Row],[Model]],Table13[MFR &amp; MDL],Table13[Tolerance % CW ],"")/100*Table1[[#This Row],[Std Nom]]),"")</f>
        <v/>
      </c>
      <c r="Q42" s="1" t="e">
        <f>Table1[[#This Row],[High Tol]]-Table1[[#This Row],[Low Tol]]</f>
        <v>#VALUE!</v>
      </c>
      <c r="R42" s="1">
        <f>2*Table1[[#This Row],[Std Error]]</f>
        <v>0</v>
      </c>
      <c r="S42" s="1" t="str">
        <f>IF(Table1[[#This Row],[High Tol]]="","N/A",IFERROR(ABS(Table1[[#This Row],[Tol Span]]/Table1[[#This Row],[Error Span]]),"N/A"))</f>
        <v>N/A</v>
      </c>
      <c r="T42" s="1" t="str">
        <f>IF(OR(Table1[[#This Row],[Low Tol]]="",Table1[[#This Row],[High Tol]]=""),"Needs Analysis",IF(Table1[[#This Row],[Ratio]]&gt;=4,"Not Significant",IF(Table1[[#This Row],[Ratio]]&gt;=2,"Semi-Significant","Significant")))</f>
        <v>Needs Analysis</v>
      </c>
      <c r="W42" s="1">
        <f>IF(Table1[[#This Row],[Cal Type]]&lt;&gt;"ACCREDITED 17025 WITH UNCERTAINTIES",0,"")</f>
        <v>0</v>
      </c>
      <c r="X42" s="1" t="str">
        <f>IF(Table1[[#This Row],[DUT Read]]="","N/A",Table1[[#This Row],[Std Error]]+Table1[[#This Row],[DUT Read]]+Table1[[#This Row],[DUT Ucty]])</f>
        <v>N/A</v>
      </c>
      <c r="Y42" s="1" t="str">
        <f>IF(Table1[[#This Row],[Std Read]]="","N/A",Table1[[#This Row],[Std Read]]+Table1[[#This Row],[Std Ucty]])</f>
        <v>N/A</v>
      </c>
      <c r="Z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 s="1" t="str">
        <f>IF(Table1[[#This Row],[Spec Type]]="","N/A",Table1[[#This Row],[Spec Type]])</f>
        <v>±</v>
      </c>
      <c r="AC42" s="1" t="str">
        <f>IF(Table1[[#This Row],[Spec Type2]]="N/A","N/A",IF(AND(Table1[[#This Row],[DUT Adj Read]]&gt;=Table1[[#This Row],[Low Tol]],Table1[[#This Row],[DUT Adj Read]]&lt;=Table1[[#This Row],[High Tol]]),"Pass","Fail"))</f>
        <v>Fail</v>
      </c>
      <c r="AD42" s="1" t="str">
        <f>IF(AND(Table1[[#This Row],[Spec Type2]]="N/A",Table1[[#This Row],[DUT Adj Read]]="N/A",Table1[[#This Row],[Std Adj Read]]="N/A"),"N/A",IF(Table1[[#This Row],[DUT Adj Read]]="N/A",IF(Table1[[#This Row],[Std Adj Read]]&gt;Table1[[#This Row],[Low Tol]],"Pass","Fail"),IF(Table1[[#This Row],[DUT Adj Read]]&gt;Table1[[#This Row],[Low Tol]],"Pass","Fail")))</f>
        <v>Pass</v>
      </c>
      <c r="AE42" s="1" t="str">
        <f>IF(AND(Table1[[#This Row],[Spec Type2]]="N/A",Table1[[#This Row],[DUT Adj Read]]="N/A",Table1[[#This Row],[Std Adj Read]]="N/A"),"N/A",IF(Table1[[#This Row],[DUT Adj Read]]="N/A",IF(Table1[[#This Row],[Std Adj Read]]&lt;Table1[[#This Row],[High Tol]],"Pass","Fail"),IF(Table1[[#This Row],[DUT Adj Read]]&lt;Table1[[#This Row],[High Tol]],"Pass","Fail")))</f>
        <v>Fail</v>
      </c>
      <c r="AF42" s="1" t="str">
        <f>IF(AND(Table1[[#This Row],[Spec Type2]]="N/A",Table1[[#This Row],[DUT Adj Read]]="N/A",Table1[[#This Row],[Std Adj Read]]="N/A"),"N/A",IF(Table1[[#This Row],[DUT Adj Read]]="N/A",IF(Table1[[#This Row],[Std Adj Read]]&gt;=Table1[[#This Row],[Low Tol]],"Pass","Fail"),IF(Table1[[#This Row],[DUT Adj Read]]&gt;=Table1[[#This Row],[Low Tol]],"Pass","Fail")))</f>
        <v>Pass</v>
      </c>
      <c r="AG42" s="1" t="str">
        <f>IF(AND(Table1[[#This Row],[Spec Type2]]="N/A",Table1[[#This Row],[DUT Adj Read]]="N/A",Table1[[#This Row],[Std Adj Read]]="N/A"),"N/A",IF(Table1[[#This Row],[DUT Adj Read]]="N/A",IF(Table1[[#This Row],[Std Adj Read]]&lt;=Table1[[#This Row],[High Tol]],"Pass","Fail"),IF(Table1[[#This Row],[DUT Adj Read]]&lt;=Table1[[#This Row],[High Tol]],"Pass","Fail")))</f>
        <v>Fail</v>
      </c>
      <c r="AH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 s="1" t="b">
        <v>0</v>
      </c>
      <c r="AN42" s="1" t="b">
        <v>0</v>
      </c>
      <c r="AO42" s="1" t="b">
        <v>0</v>
      </c>
    </row>
    <row r="43" spans="1:41" x14ac:dyDescent="0.25">
      <c r="A43" s="10"/>
      <c r="B43" s="10"/>
      <c r="C43" s="10"/>
      <c r="D43" s="10"/>
      <c r="E43" s="10"/>
      <c r="F43" s="10"/>
      <c r="G43" s="10"/>
      <c r="H43" s="10"/>
      <c r="I43" s="1" t="str">
        <f t="shared" si="2"/>
        <v/>
      </c>
      <c r="J43" s="1" t="s">
        <v>35</v>
      </c>
      <c r="K43" s="1" t="str">
        <f t="shared" si="0"/>
        <v/>
      </c>
      <c r="L43" s="1" t="str">
        <f t="shared" si="1"/>
        <v/>
      </c>
      <c r="M43" s="1">
        <f>IF(OR(Table1[[#This Row],[Std Nom]]="",Table1[[#This Row],[Std Read]]=""),0,Table1[[#This Row],[Std Nom]]-Table1[[#This Row],[Std Read]])</f>
        <v>0</v>
      </c>
      <c r="N43" s="1">
        <f>IF(Calculations!$F$5="ACCREDITED 17025 WITH UNCERTAINTIES",$N$10,0)</f>
        <v>0</v>
      </c>
      <c r="O43" s="1" t="str">
        <f>IFERROR(Table1[[#This Row],[Std Nom]]-(_xlfn.XLOOKUP(Table1[[#This Row],[Manufacturer]]&amp;" "&amp;Table1[[#This Row],[Model]],Table13[MFR &amp; MDL],Table13[Tolerance % CW ],"")/100*Table1[[#This Row],[Std Nom]]),"")</f>
        <v/>
      </c>
      <c r="P43" s="1" t="str">
        <f>IFERROR(Table1[[#This Row],[Std Nom]]+(_xlfn.XLOOKUP(Table1[[#This Row],[Manufacturer]]&amp;" "&amp;Table1[[#This Row],[Model]],Table13[MFR &amp; MDL],Table13[Tolerance % CW ],"")/100*Table1[[#This Row],[Std Nom]]),"")</f>
        <v/>
      </c>
      <c r="Q43" s="1" t="e">
        <f>Table1[[#This Row],[High Tol]]-Table1[[#This Row],[Low Tol]]</f>
        <v>#VALUE!</v>
      </c>
      <c r="R43" s="1">
        <f>2*Table1[[#This Row],[Std Error]]</f>
        <v>0</v>
      </c>
      <c r="S43" s="1" t="str">
        <f>IF(Table1[[#This Row],[High Tol]]="","N/A",IFERROR(ABS(Table1[[#This Row],[Tol Span]]/Table1[[#This Row],[Error Span]]),"N/A"))</f>
        <v>N/A</v>
      </c>
      <c r="T43" s="1" t="str">
        <f>IF(OR(Table1[[#This Row],[Low Tol]]="",Table1[[#This Row],[High Tol]]=""),"Needs Analysis",IF(Table1[[#This Row],[Ratio]]&gt;=4,"Not Significant",IF(Table1[[#This Row],[Ratio]]&gt;=2,"Semi-Significant","Significant")))</f>
        <v>Needs Analysis</v>
      </c>
      <c r="W43" s="1">
        <f>IF(Table1[[#This Row],[Cal Type]]&lt;&gt;"ACCREDITED 17025 WITH UNCERTAINTIES",0,"")</f>
        <v>0</v>
      </c>
      <c r="X43" s="1" t="str">
        <f>IF(Table1[[#This Row],[DUT Read]]="","N/A",Table1[[#This Row],[Std Error]]+Table1[[#This Row],[DUT Read]]+Table1[[#This Row],[DUT Ucty]])</f>
        <v>N/A</v>
      </c>
      <c r="Y43" s="1" t="str">
        <f>IF(Table1[[#This Row],[Std Read]]="","N/A",Table1[[#This Row],[Std Read]]+Table1[[#This Row],[Std Ucty]])</f>
        <v>N/A</v>
      </c>
      <c r="Z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 s="1" t="str">
        <f>IF(Table1[[#This Row],[Spec Type]]="","N/A",Table1[[#This Row],[Spec Type]])</f>
        <v>±</v>
      </c>
      <c r="AC43" s="1" t="str">
        <f>IF(Table1[[#This Row],[Spec Type2]]="N/A","N/A",IF(AND(Table1[[#This Row],[DUT Adj Read]]&gt;=Table1[[#This Row],[Low Tol]],Table1[[#This Row],[DUT Adj Read]]&lt;=Table1[[#This Row],[High Tol]]),"Pass","Fail"))</f>
        <v>Fail</v>
      </c>
      <c r="AD43" s="1" t="str">
        <f>IF(AND(Table1[[#This Row],[Spec Type2]]="N/A",Table1[[#This Row],[DUT Adj Read]]="N/A",Table1[[#This Row],[Std Adj Read]]="N/A"),"N/A",IF(Table1[[#This Row],[DUT Adj Read]]="N/A",IF(Table1[[#This Row],[Std Adj Read]]&gt;Table1[[#This Row],[Low Tol]],"Pass","Fail"),IF(Table1[[#This Row],[DUT Adj Read]]&gt;Table1[[#This Row],[Low Tol]],"Pass","Fail")))</f>
        <v>Pass</v>
      </c>
      <c r="AE43" s="1" t="str">
        <f>IF(AND(Table1[[#This Row],[Spec Type2]]="N/A",Table1[[#This Row],[DUT Adj Read]]="N/A",Table1[[#This Row],[Std Adj Read]]="N/A"),"N/A",IF(Table1[[#This Row],[DUT Adj Read]]="N/A",IF(Table1[[#This Row],[Std Adj Read]]&lt;Table1[[#This Row],[High Tol]],"Pass","Fail"),IF(Table1[[#This Row],[DUT Adj Read]]&lt;Table1[[#This Row],[High Tol]],"Pass","Fail")))</f>
        <v>Fail</v>
      </c>
      <c r="AF43" s="1" t="str">
        <f>IF(AND(Table1[[#This Row],[Spec Type2]]="N/A",Table1[[#This Row],[DUT Adj Read]]="N/A",Table1[[#This Row],[Std Adj Read]]="N/A"),"N/A",IF(Table1[[#This Row],[DUT Adj Read]]="N/A",IF(Table1[[#This Row],[Std Adj Read]]&gt;=Table1[[#This Row],[Low Tol]],"Pass","Fail"),IF(Table1[[#This Row],[DUT Adj Read]]&gt;=Table1[[#This Row],[Low Tol]],"Pass","Fail")))</f>
        <v>Pass</v>
      </c>
      <c r="AG43" s="1" t="str">
        <f>IF(AND(Table1[[#This Row],[Spec Type2]]="N/A",Table1[[#This Row],[DUT Adj Read]]="N/A",Table1[[#This Row],[Std Adj Read]]="N/A"),"N/A",IF(Table1[[#This Row],[DUT Adj Read]]="N/A",IF(Table1[[#This Row],[Std Adj Read]]&lt;=Table1[[#This Row],[High Tol]],"Pass","Fail"),IF(Table1[[#This Row],[DUT Adj Read]]&lt;=Table1[[#This Row],[High Tol]],"Pass","Fail")))</f>
        <v>Fail</v>
      </c>
      <c r="AH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 s="1" t="b">
        <v>0</v>
      </c>
      <c r="AN43" s="1" t="b">
        <v>0</v>
      </c>
      <c r="AO43" s="1" t="b">
        <v>0</v>
      </c>
    </row>
    <row r="44" spans="1:41" x14ac:dyDescent="0.25">
      <c r="A44" s="10"/>
      <c r="B44" s="10"/>
      <c r="C44" s="10"/>
      <c r="D44" s="10"/>
      <c r="E44" s="10"/>
      <c r="F44" s="10"/>
      <c r="G44" s="10"/>
      <c r="H44" s="10"/>
      <c r="I44" s="1" t="str">
        <f t="shared" si="2"/>
        <v/>
      </c>
      <c r="J44" s="1" t="s">
        <v>35</v>
      </c>
      <c r="K44" s="1" t="str">
        <f t="shared" si="0"/>
        <v/>
      </c>
      <c r="L44" s="1" t="str">
        <f t="shared" si="1"/>
        <v/>
      </c>
      <c r="M44" s="1">
        <f>IF(OR(Table1[[#This Row],[Std Nom]]="",Table1[[#This Row],[Std Read]]=""),0,Table1[[#This Row],[Std Nom]]-Table1[[#This Row],[Std Read]])</f>
        <v>0</v>
      </c>
      <c r="N44" s="1">
        <f>IF(Calculations!$F$5="ACCREDITED 17025 WITH UNCERTAINTIES",$N$10,0)</f>
        <v>0</v>
      </c>
      <c r="O44" s="1" t="str">
        <f>IFERROR(Table1[[#This Row],[Std Nom]]-(_xlfn.XLOOKUP(Table1[[#This Row],[Manufacturer]]&amp;" "&amp;Table1[[#This Row],[Model]],Table13[MFR &amp; MDL],Table13[Tolerance % CW ],"")/100*Table1[[#This Row],[Std Nom]]),"")</f>
        <v/>
      </c>
      <c r="P44" s="1" t="str">
        <f>IFERROR(Table1[[#This Row],[Std Nom]]+(_xlfn.XLOOKUP(Table1[[#This Row],[Manufacturer]]&amp;" "&amp;Table1[[#This Row],[Model]],Table13[MFR &amp; MDL],Table13[Tolerance % CW ],"")/100*Table1[[#This Row],[Std Nom]]),"")</f>
        <v/>
      </c>
      <c r="Q44" s="1" t="e">
        <f>Table1[[#This Row],[High Tol]]-Table1[[#This Row],[Low Tol]]</f>
        <v>#VALUE!</v>
      </c>
      <c r="R44" s="1">
        <f>2*Table1[[#This Row],[Std Error]]</f>
        <v>0</v>
      </c>
      <c r="S44" s="1" t="str">
        <f>IF(Table1[[#This Row],[High Tol]]="","N/A",IFERROR(ABS(Table1[[#This Row],[Tol Span]]/Table1[[#This Row],[Error Span]]),"N/A"))</f>
        <v>N/A</v>
      </c>
      <c r="T44" s="1" t="str">
        <f>IF(OR(Table1[[#This Row],[Low Tol]]="",Table1[[#This Row],[High Tol]]=""),"Needs Analysis",IF(Table1[[#This Row],[Ratio]]&gt;=4,"Not Significant",IF(Table1[[#This Row],[Ratio]]&gt;=2,"Semi-Significant","Significant")))</f>
        <v>Needs Analysis</v>
      </c>
      <c r="W44" s="1">
        <f>IF(Table1[[#This Row],[Cal Type]]&lt;&gt;"ACCREDITED 17025 WITH UNCERTAINTIES",0,"")</f>
        <v>0</v>
      </c>
      <c r="X44" s="1" t="str">
        <f>IF(Table1[[#This Row],[DUT Read]]="","N/A",Table1[[#This Row],[Std Error]]+Table1[[#This Row],[DUT Read]]+Table1[[#This Row],[DUT Ucty]])</f>
        <v>N/A</v>
      </c>
      <c r="Y44" s="1" t="str">
        <f>IF(Table1[[#This Row],[Std Read]]="","N/A",Table1[[#This Row],[Std Read]]+Table1[[#This Row],[Std Ucty]])</f>
        <v>N/A</v>
      </c>
      <c r="Z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 s="1" t="str">
        <f>IF(Table1[[#This Row],[Spec Type]]="","N/A",Table1[[#This Row],[Spec Type]])</f>
        <v>±</v>
      </c>
      <c r="AC44" s="1" t="str">
        <f>IF(Table1[[#This Row],[Spec Type2]]="N/A","N/A",IF(AND(Table1[[#This Row],[DUT Adj Read]]&gt;=Table1[[#This Row],[Low Tol]],Table1[[#This Row],[DUT Adj Read]]&lt;=Table1[[#This Row],[High Tol]]),"Pass","Fail"))</f>
        <v>Fail</v>
      </c>
      <c r="AD44" s="1" t="str">
        <f>IF(AND(Table1[[#This Row],[Spec Type2]]="N/A",Table1[[#This Row],[DUT Adj Read]]="N/A",Table1[[#This Row],[Std Adj Read]]="N/A"),"N/A",IF(Table1[[#This Row],[DUT Adj Read]]="N/A",IF(Table1[[#This Row],[Std Adj Read]]&gt;Table1[[#This Row],[Low Tol]],"Pass","Fail"),IF(Table1[[#This Row],[DUT Adj Read]]&gt;Table1[[#This Row],[Low Tol]],"Pass","Fail")))</f>
        <v>Pass</v>
      </c>
      <c r="AE44" s="1" t="str">
        <f>IF(AND(Table1[[#This Row],[Spec Type2]]="N/A",Table1[[#This Row],[DUT Adj Read]]="N/A",Table1[[#This Row],[Std Adj Read]]="N/A"),"N/A",IF(Table1[[#This Row],[DUT Adj Read]]="N/A",IF(Table1[[#This Row],[Std Adj Read]]&lt;Table1[[#This Row],[High Tol]],"Pass","Fail"),IF(Table1[[#This Row],[DUT Adj Read]]&lt;Table1[[#This Row],[High Tol]],"Pass","Fail")))</f>
        <v>Fail</v>
      </c>
      <c r="AF44" s="1" t="str">
        <f>IF(AND(Table1[[#This Row],[Spec Type2]]="N/A",Table1[[#This Row],[DUT Adj Read]]="N/A",Table1[[#This Row],[Std Adj Read]]="N/A"),"N/A",IF(Table1[[#This Row],[DUT Adj Read]]="N/A",IF(Table1[[#This Row],[Std Adj Read]]&gt;=Table1[[#This Row],[Low Tol]],"Pass","Fail"),IF(Table1[[#This Row],[DUT Adj Read]]&gt;=Table1[[#This Row],[Low Tol]],"Pass","Fail")))</f>
        <v>Pass</v>
      </c>
      <c r="AG44" s="1" t="str">
        <f>IF(AND(Table1[[#This Row],[Spec Type2]]="N/A",Table1[[#This Row],[DUT Adj Read]]="N/A",Table1[[#This Row],[Std Adj Read]]="N/A"),"N/A",IF(Table1[[#This Row],[DUT Adj Read]]="N/A",IF(Table1[[#This Row],[Std Adj Read]]&lt;=Table1[[#This Row],[High Tol]],"Pass","Fail"),IF(Table1[[#This Row],[DUT Adj Read]]&lt;=Table1[[#This Row],[High Tol]],"Pass","Fail")))</f>
        <v>Fail</v>
      </c>
      <c r="AH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 s="1" t="b">
        <v>0</v>
      </c>
      <c r="AN44" s="1" t="b">
        <v>0</v>
      </c>
      <c r="AO44" s="1" t="b">
        <v>0</v>
      </c>
    </row>
    <row r="45" spans="1:41" x14ac:dyDescent="0.25">
      <c r="A45" s="10"/>
      <c r="B45" s="10"/>
      <c r="C45" s="10"/>
      <c r="D45" s="10"/>
      <c r="E45" s="10"/>
      <c r="F45" s="10"/>
      <c r="G45" s="10"/>
      <c r="H45" s="10"/>
      <c r="I45" s="1" t="str">
        <f t="shared" si="2"/>
        <v/>
      </c>
      <c r="J45" s="1" t="s">
        <v>35</v>
      </c>
      <c r="K45" s="1" t="str">
        <f t="shared" si="0"/>
        <v/>
      </c>
      <c r="L45" s="1" t="str">
        <f t="shared" si="1"/>
        <v/>
      </c>
      <c r="M45" s="1">
        <f>IF(OR(Table1[[#This Row],[Std Nom]]="",Table1[[#This Row],[Std Read]]=""),0,Table1[[#This Row],[Std Nom]]-Table1[[#This Row],[Std Read]])</f>
        <v>0</v>
      </c>
      <c r="N45" s="1">
        <f>IF(Calculations!$F$5="ACCREDITED 17025 WITH UNCERTAINTIES",$N$10,0)</f>
        <v>0</v>
      </c>
      <c r="O45" s="1" t="str">
        <f>IFERROR(Table1[[#This Row],[Std Nom]]-(_xlfn.XLOOKUP(Table1[[#This Row],[Manufacturer]]&amp;" "&amp;Table1[[#This Row],[Model]],Table13[MFR &amp; MDL],Table13[Tolerance % CW ],"")/100*Table1[[#This Row],[Std Nom]]),"")</f>
        <v/>
      </c>
      <c r="P45" s="1" t="str">
        <f>IFERROR(Table1[[#This Row],[Std Nom]]+(_xlfn.XLOOKUP(Table1[[#This Row],[Manufacturer]]&amp;" "&amp;Table1[[#This Row],[Model]],Table13[MFR &amp; MDL],Table13[Tolerance % CW ],"")/100*Table1[[#This Row],[Std Nom]]),"")</f>
        <v/>
      </c>
      <c r="Q45" s="1" t="e">
        <f>Table1[[#This Row],[High Tol]]-Table1[[#This Row],[Low Tol]]</f>
        <v>#VALUE!</v>
      </c>
      <c r="R45" s="1">
        <f>2*Table1[[#This Row],[Std Error]]</f>
        <v>0</v>
      </c>
      <c r="S45" s="1" t="str">
        <f>IF(Table1[[#This Row],[High Tol]]="","N/A",IFERROR(ABS(Table1[[#This Row],[Tol Span]]/Table1[[#This Row],[Error Span]]),"N/A"))</f>
        <v>N/A</v>
      </c>
      <c r="T45" s="1" t="str">
        <f>IF(OR(Table1[[#This Row],[Low Tol]]="",Table1[[#This Row],[High Tol]]=""),"Needs Analysis",IF(Table1[[#This Row],[Ratio]]&gt;=4,"Not Significant",IF(Table1[[#This Row],[Ratio]]&gt;=2,"Semi-Significant","Significant")))</f>
        <v>Needs Analysis</v>
      </c>
      <c r="W45" s="1">
        <f>IF(Table1[[#This Row],[Cal Type]]&lt;&gt;"ACCREDITED 17025 WITH UNCERTAINTIES",0,"")</f>
        <v>0</v>
      </c>
      <c r="X45" s="1" t="str">
        <f>IF(Table1[[#This Row],[DUT Read]]="","N/A",Table1[[#This Row],[Std Error]]+Table1[[#This Row],[DUT Read]]+Table1[[#This Row],[DUT Ucty]])</f>
        <v>N/A</v>
      </c>
      <c r="Y45" s="1" t="str">
        <f>IF(Table1[[#This Row],[Std Read]]="","N/A",Table1[[#This Row],[Std Read]]+Table1[[#This Row],[Std Ucty]])</f>
        <v>N/A</v>
      </c>
      <c r="Z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 s="1" t="str">
        <f>IF(Table1[[#This Row],[Spec Type]]="","N/A",Table1[[#This Row],[Spec Type]])</f>
        <v>±</v>
      </c>
      <c r="AC45" s="1" t="str">
        <f>IF(Table1[[#This Row],[Spec Type2]]="N/A","N/A",IF(AND(Table1[[#This Row],[DUT Adj Read]]&gt;=Table1[[#This Row],[Low Tol]],Table1[[#This Row],[DUT Adj Read]]&lt;=Table1[[#This Row],[High Tol]]),"Pass","Fail"))</f>
        <v>Fail</v>
      </c>
      <c r="AD45" s="1" t="str">
        <f>IF(AND(Table1[[#This Row],[Spec Type2]]="N/A",Table1[[#This Row],[DUT Adj Read]]="N/A",Table1[[#This Row],[Std Adj Read]]="N/A"),"N/A",IF(Table1[[#This Row],[DUT Adj Read]]="N/A",IF(Table1[[#This Row],[Std Adj Read]]&gt;Table1[[#This Row],[Low Tol]],"Pass","Fail"),IF(Table1[[#This Row],[DUT Adj Read]]&gt;Table1[[#This Row],[Low Tol]],"Pass","Fail")))</f>
        <v>Pass</v>
      </c>
      <c r="AE45" s="1" t="str">
        <f>IF(AND(Table1[[#This Row],[Spec Type2]]="N/A",Table1[[#This Row],[DUT Adj Read]]="N/A",Table1[[#This Row],[Std Adj Read]]="N/A"),"N/A",IF(Table1[[#This Row],[DUT Adj Read]]="N/A",IF(Table1[[#This Row],[Std Adj Read]]&lt;Table1[[#This Row],[High Tol]],"Pass","Fail"),IF(Table1[[#This Row],[DUT Adj Read]]&lt;Table1[[#This Row],[High Tol]],"Pass","Fail")))</f>
        <v>Fail</v>
      </c>
      <c r="AF45" s="1" t="str">
        <f>IF(AND(Table1[[#This Row],[Spec Type2]]="N/A",Table1[[#This Row],[DUT Adj Read]]="N/A",Table1[[#This Row],[Std Adj Read]]="N/A"),"N/A",IF(Table1[[#This Row],[DUT Adj Read]]="N/A",IF(Table1[[#This Row],[Std Adj Read]]&gt;=Table1[[#This Row],[Low Tol]],"Pass","Fail"),IF(Table1[[#This Row],[DUT Adj Read]]&gt;=Table1[[#This Row],[Low Tol]],"Pass","Fail")))</f>
        <v>Pass</v>
      </c>
      <c r="AG45" s="1" t="str">
        <f>IF(AND(Table1[[#This Row],[Spec Type2]]="N/A",Table1[[#This Row],[DUT Adj Read]]="N/A",Table1[[#This Row],[Std Adj Read]]="N/A"),"N/A",IF(Table1[[#This Row],[DUT Adj Read]]="N/A",IF(Table1[[#This Row],[Std Adj Read]]&lt;=Table1[[#This Row],[High Tol]],"Pass","Fail"),IF(Table1[[#This Row],[DUT Adj Read]]&lt;=Table1[[#This Row],[High Tol]],"Pass","Fail")))</f>
        <v>Fail</v>
      </c>
      <c r="AH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 s="1" t="b">
        <v>0</v>
      </c>
      <c r="AN45" s="1" t="b">
        <v>0</v>
      </c>
      <c r="AO45" s="1" t="b">
        <v>0</v>
      </c>
    </row>
    <row r="46" spans="1:41" x14ac:dyDescent="0.25">
      <c r="A46" s="10"/>
      <c r="B46" s="10"/>
      <c r="C46" s="10"/>
      <c r="D46" s="10"/>
      <c r="E46" s="10"/>
      <c r="F46" s="10"/>
      <c r="G46" s="10"/>
      <c r="H46" s="10"/>
      <c r="I46" s="1" t="str">
        <f t="shared" si="2"/>
        <v/>
      </c>
      <c r="J46" s="1" t="s">
        <v>35</v>
      </c>
      <c r="K46" s="1" t="str">
        <f t="shared" si="0"/>
        <v/>
      </c>
      <c r="L46" s="1" t="str">
        <f t="shared" si="1"/>
        <v/>
      </c>
      <c r="M46" s="1">
        <f>IF(OR(Table1[[#This Row],[Std Nom]]="",Table1[[#This Row],[Std Read]]=""),0,Table1[[#This Row],[Std Nom]]-Table1[[#This Row],[Std Read]])</f>
        <v>0</v>
      </c>
      <c r="N46" s="1">
        <f>IF(Calculations!$F$5="ACCREDITED 17025 WITH UNCERTAINTIES",$N$10,0)</f>
        <v>0</v>
      </c>
      <c r="O46" s="1" t="str">
        <f>IFERROR(Table1[[#This Row],[Std Nom]]-(_xlfn.XLOOKUP(Table1[[#This Row],[Manufacturer]]&amp;" "&amp;Table1[[#This Row],[Model]],Table13[MFR &amp; MDL],Table13[Tolerance % CW ],"")/100*Table1[[#This Row],[Std Nom]]),"")</f>
        <v/>
      </c>
      <c r="P46" s="1" t="str">
        <f>IFERROR(Table1[[#This Row],[Std Nom]]+(_xlfn.XLOOKUP(Table1[[#This Row],[Manufacturer]]&amp;" "&amp;Table1[[#This Row],[Model]],Table13[MFR &amp; MDL],Table13[Tolerance % CW ],"")/100*Table1[[#This Row],[Std Nom]]),"")</f>
        <v/>
      </c>
      <c r="Q46" s="1" t="e">
        <f>Table1[[#This Row],[High Tol]]-Table1[[#This Row],[Low Tol]]</f>
        <v>#VALUE!</v>
      </c>
      <c r="R46" s="1">
        <f>2*Table1[[#This Row],[Std Error]]</f>
        <v>0</v>
      </c>
      <c r="S46" s="1" t="str">
        <f>IF(Table1[[#This Row],[High Tol]]="","N/A",IFERROR(ABS(Table1[[#This Row],[Tol Span]]/Table1[[#This Row],[Error Span]]),"N/A"))</f>
        <v>N/A</v>
      </c>
      <c r="T46" s="1" t="str">
        <f>IF(OR(Table1[[#This Row],[Low Tol]]="",Table1[[#This Row],[High Tol]]=""),"Needs Analysis",IF(Table1[[#This Row],[Ratio]]&gt;=4,"Not Significant",IF(Table1[[#This Row],[Ratio]]&gt;=2,"Semi-Significant","Significant")))</f>
        <v>Needs Analysis</v>
      </c>
      <c r="W46" s="1">
        <f>IF(Table1[[#This Row],[Cal Type]]&lt;&gt;"ACCREDITED 17025 WITH UNCERTAINTIES",0,"")</f>
        <v>0</v>
      </c>
      <c r="X46" s="1" t="str">
        <f>IF(Table1[[#This Row],[DUT Read]]="","N/A",Table1[[#This Row],[Std Error]]+Table1[[#This Row],[DUT Read]]+Table1[[#This Row],[DUT Ucty]])</f>
        <v>N/A</v>
      </c>
      <c r="Y46" s="1" t="str">
        <f>IF(Table1[[#This Row],[Std Read]]="","N/A",Table1[[#This Row],[Std Read]]+Table1[[#This Row],[Std Ucty]])</f>
        <v>N/A</v>
      </c>
      <c r="Z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 s="1" t="str">
        <f>IF(Table1[[#This Row],[Spec Type]]="","N/A",Table1[[#This Row],[Spec Type]])</f>
        <v>±</v>
      </c>
      <c r="AC46" s="1" t="str">
        <f>IF(Table1[[#This Row],[Spec Type2]]="N/A","N/A",IF(AND(Table1[[#This Row],[DUT Adj Read]]&gt;=Table1[[#This Row],[Low Tol]],Table1[[#This Row],[DUT Adj Read]]&lt;=Table1[[#This Row],[High Tol]]),"Pass","Fail"))</f>
        <v>Fail</v>
      </c>
      <c r="AD46" s="1" t="str">
        <f>IF(AND(Table1[[#This Row],[Spec Type2]]="N/A",Table1[[#This Row],[DUT Adj Read]]="N/A",Table1[[#This Row],[Std Adj Read]]="N/A"),"N/A",IF(Table1[[#This Row],[DUT Adj Read]]="N/A",IF(Table1[[#This Row],[Std Adj Read]]&gt;Table1[[#This Row],[Low Tol]],"Pass","Fail"),IF(Table1[[#This Row],[DUT Adj Read]]&gt;Table1[[#This Row],[Low Tol]],"Pass","Fail")))</f>
        <v>Pass</v>
      </c>
      <c r="AE46" s="1" t="str">
        <f>IF(AND(Table1[[#This Row],[Spec Type2]]="N/A",Table1[[#This Row],[DUT Adj Read]]="N/A",Table1[[#This Row],[Std Adj Read]]="N/A"),"N/A",IF(Table1[[#This Row],[DUT Adj Read]]="N/A",IF(Table1[[#This Row],[Std Adj Read]]&lt;Table1[[#This Row],[High Tol]],"Pass","Fail"),IF(Table1[[#This Row],[DUT Adj Read]]&lt;Table1[[#This Row],[High Tol]],"Pass","Fail")))</f>
        <v>Fail</v>
      </c>
      <c r="AF46" s="1" t="str">
        <f>IF(AND(Table1[[#This Row],[Spec Type2]]="N/A",Table1[[#This Row],[DUT Adj Read]]="N/A",Table1[[#This Row],[Std Adj Read]]="N/A"),"N/A",IF(Table1[[#This Row],[DUT Adj Read]]="N/A",IF(Table1[[#This Row],[Std Adj Read]]&gt;=Table1[[#This Row],[Low Tol]],"Pass","Fail"),IF(Table1[[#This Row],[DUT Adj Read]]&gt;=Table1[[#This Row],[Low Tol]],"Pass","Fail")))</f>
        <v>Pass</v>
      </c>
      <c r="AG46" s="1" t="str">
        <f>IF(AND(Table1[[#This Row],[Spec Type2]]="N/A",Table1[[#This Row],[DUT Adj Read]]="N/A",Table1[[#This Row],[Std Adj Read]]="N/A"),"N/A",IF(Table1[[#This Row],[DUT Adj Read]]="N/A",IF(Table1[[#This Row],[Std Adj Read]]&lt;=Table1[[#This Row],[High Tol]],"Pass","Fail"),IF(Table1[[#This Row],[DUT Adj Read]]&lt;=Table1[[#This Row],[High Tol]],"Pass","Fail")))</f>
        <v>Fail</v>
      </c>
      <c r="AH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 s="1" t="b">
        <v>0</v>
      </c>
      <c r="AN46" s="1" t="b">
        <v>0</v>
      </c>
      <c r="AO46" s="1" t="b">
        <v>0</v>
      </c>
    </row>
    <row r="47" spans="1:41" x14ac:dyDescent="0.25">
      <c r="A47" s="10"/>
      <c r="B47" s="10"/>
      <c r="C47" s="10"/>
      <c r="D47" s="10"/>
      <c r="E47" s="10"/>
      <c r="F47" s="10"/>
      <c r="G47" s="10"/>
      <c r="H47" s="10"/>
      <c r="I47" s="1" t="str">
        <f t="shared" si="2"/>
        <v/>
      </c>
      <c r="J47" s="1" t="s">
        <v>35</v>
      </c>
      <c r="K47" s="1" t="str">
        <f t="shared" si="0"/>
        <v/>
      </c>
      <c r="L47" s="1" t="str">
        <f t="shared" si="1"/>
        <v/>
      </c>
      <c r="M47" s="1">
        <f>IF(OR(Table1[[#This Row],[Std Nom]]="",Table1[[#This Row],[Std Read]]=""),0,Table1[[#This Row],[Std Nom]]-Table1[[#This Row],[Std Read]])</f>
        <v>0</v>
      </c>
      <c r="N47" s="1">
        <f>IF(Calculations!$F$5="ACCREDITED 17025 WITH UNCERTAINTIES",$N$10,0)</f>
        <v>0</v>
      </c>
      <c r="O47" s="1" t="str">
        <f>IFERROR(Table1[[#This Row],[Std Nom]]-(_xlfn.XLOOKUP(Table1[[#This Row],[Manufacturer]]&amp;" "&amp;Table1[[#This Row],[Model]],Table13[MFR &amp; MDL],Table13[Tolerance % CW ],"")/100*Table1[[#This Row],[Std Nom]]),"")</f>
        <v/>
      </c>
      <c r="P47" s="1" t="str">
        <f>IFERROR(Table1[[#This Row],[Std Nom]]+(_xlfn.XLOOKUP(Table1[[#This Row],[Manufacturer]]&amp;" "&amp;Table1[[#This Row],[Model]],Table13[MFR &amp; MDL],Table13[Tolerance % CW ],"")/100*Table1[[#This Row],[Std Nom]]),"")</f>
        <v/>
      </c>
      <c r="Q47" s="1" t="e">
        <f>Table1[[#This Row],[High Tol]]-Table1[[#This Row],[Low Tol]]</f>
        <v>#VALUE!</v>
      </c>
      <c r="R47" s="1">
        <f>2*Table1[[#This Row],[Std Error]]</f>
        <v>0</v>
      </c>
      <c r="S47" s="1" t="str">
        <f>IF(Table1[[#This Row],[High Tol]]="","N/A",IFERROR(ABS(Table1[[#This Row],[Tol Span]]/Table1[[#This Row],[Error Span]]),"N/A"))</f>
        <v>N/A</v>
      </c>
      <c r="T47" s="1" t="str">
        <f>IF(OR(Table1[[#This Row],[Low Tol]]="",Table1[[#This Row],[High Tol]]=""),"Needs Analysis",IF(Table1[[#This Row],[Ratio]]&gt;=4,"Not Significant",IF(Table1[[#This Row],[Ratio]]&gt;=2,"Semi-Significant","Significant")))</f>
        <v>Needs Analysis</v>
      </c>
      <c r="W47" s="1">
        <f>IF(Table1[[#This Row],[Cal Type]]&lt;&gt;"ACCREDITED 17025 WITH UNCERTAINTIES",0,"")</f>
        <v>0</v>
      </c>
      <c r="X47" s="1" t="str">
        <f>IF(Table1[[#This Row],[DUT Read]]="","N/A",Table1[[#This Row],[Std Error]]+Table1[[#This Row],[DUT Read]]+Table1[[#This Row],[DUT Ucty]])</f>
        <v>N/A</v>
      </c>
      <c r="Y47" s="1" t="str">
        <f>IF(Table1[[#This Row],[Std Read]]="","N/A",Table1[[#This Row],[Std Read]]+Table1[[#This Row],[Std Ucty]])</f>
        <v>N/A</v>
      </c>
      <c r="Z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 s="1" t="str">
        <f>IF(Table1[[#This Row],[Spec Type]]="","N/A",Table1[[#This Row],[Spec Type]])</f>
        <v>±</v>
      </c>
      <c r="AC47" s="1" t="str">
        <f>IF(Table1[[#This Row],[Spec Type2]]="N/A","N/A",IF(AND(Table1[[#This Row],[DUT Adj Read]]&gt;=Table1[[#This Row],[Low Tol]],Table1[[#This Row],[DUT Adj Read]]&lt;=Table1[[#This Row],[High Tol]]),"Pass","Fail"))</f>
        <v>Fail</v>
      </c>
      <c r="AD47" s="1" t="str">
        <f>IF(AND(Table1[[#This Row],[Spec Type2]]="N/A",Table1[[#This Row],[DUT Adj Read]]="N/A",Table1[[#This Row],[Std Adj Read]]="N/A"),"N/A",IF(Table1[[#This Row],[DUT Adj Read]]="N/A",IF(Table1[[#This Row],[Std Adj Read]]&gt;Table1[[#This Row],[Low Tol]],"Pass","Fail"),IF(Table1[[#This Row],[DUT Adj Read]]&gt;Table1[[#This Row],[Low Tol]],"Pass","Fail")))</f>
        <v>Pass</v>
      </c>
      <c r="AE47" s="1" t="str">
        <f>IF(AND(Table1[[#This Row],[Spec Type2]]="N/A",Table1[[#This Row],[DUT Adj Read]]="N/A",Table1[[#This Row],[Std Adj Read]]="N/A"),"N/A",IF(Table1[[#This Row],[DUT Adj Read]]="N/A",IF(Table1[[#This Row],[Std Adj Read]]&lt;Table1[[#This Row],[High Tol]],"Pass","Fail"),IF(Table1[[#This Row],[DUT Adj Read]]&lt;Table1[[#This Row],[High Tol]],"Pass","Fail")))</f>
        <v>Fail</v>
      </c>
      <c r="AF47" s="1" t="str">
        <f>IF(AND(Table1[[#This Row],[Spec Type2]]="N/A",Table1[[#This Row],[DUT Adj Read]]="N/A",Table1[[#This Row],[Std Adj Read]]="N/A"),"N/A",IF(Table1[[#This Row],[DUT Adj Read]]="N/A",IF(Table1[[#This Row],[Std Adj Read]]&gt;=Table1[[#This Row],[Low Tol]],"Pass","Fail"),IF(Table1[[#This Row],[DUT Adj Read]]&gt;=Table1[[#This Row],[Low Tol]],"Pass","Fail")))</f>
        <v>Pass</v>
      </c>
      <c r="AG47" s="1" t="str">
        <f>IF(AND(Table1[[#This Row],[Spec Type2]]="N/A",Table1[[#This Row],[DUT Adj Read]]="N/A",Table1[[#This Row],[Std Adj Read]]="N/A"),"N/A",IF(Table1[[#This Row],[DUT Adj Read]]="N/A",IF(Table1[[#This Row],[Std Adj Read]]&lt;=Table1[[#This Row],[High Tol]],"Pass","Fail"),IF(Table1[[#This Row],[DUT Adj Read]]&lt;=Table1[[#This Row],[High Tol]],"Pass","Fail")))</f>
        <v>Fail</v>
      </c>
      <c r="AH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 s="1" t="b">
        <v>0</v>
      </c>
      <c r="AN47" s="1" t="b">
        <v>0</v>
      </c>
      <c r="AO47" s="1" t="b">
        <v>0</v>
      </c>
    </row>
    <row r="48" spans="1:41" x14ac:dyDescent="0.25">
      <c r="A48" s="10"/>
      <c r="B48" s="10"/>
      <c r="C48" s="10"/>
      <c r="D48" s="10"/>
      <c r="E48" s="10"/>
      <c r="F48" s="10"/>
      <c r="G48" s="10"/>
      <c r="H48" s="10"/>
      <c r="I48" s="1" t="str">
        <f t="shared" si="2"/>
        <v/>
      </c>
      <c r="J48" s="1" t="s">
        <v>35</v>
      </c>
      <c r="K48" s="1" t="str">
        <f t="shared" si="0"/>
        <v/>
      </c>
      <c r="L48" s="1" t="str">
        <f t="shared" si="1"/>
        <v/>
      </c>
      <c r="M48" s="1">
        <f>IF(OR(Table1[[#This Row],[Std Nom]]="",Table1[[#This Row],[Std Read]]=""),0,Table1[[#This Row],[Std Nom]]-Table1[[#This Row],[Std Read]])</f>
        <v>0</v>
      </c>
      <c r="N48" s="1">
        <f>IF(Calculations!$F$5="ACCREDITED 17025 WITH UNCERTAINTIES",$N$10,0)</f>
        <v>0</v>
      </c>
      <c r="O48" s="1" t="str">
        <f>IFERROR(Table1[[#This Row],[Std Nom]]-(_xlfn.XLOOKUP(Table1[[#This Row],[Manufacturer]]&amp;" "&amp;Table1[[#This Row],[Model]],Table13[MFR &amp; MDL],Table13[Tolerance % CW ],"")/100*Table1[[#This Row],[Std Nom]]),"")</f>
        <v/>
      </c>
      <c r="P48" s="1" t="str">
        <f>IFERROR(Table1[[#This Row],[Std Nom]]+(_xlfn.XLOOKUP(Table1[[#This Row],[Manufacturer]]&amp;" "&amp;Table1[[#This Row],[Model]],Table13[MFR &amp; MDL],Table13[Tolerance % CW ],"")/100*Table1[[#This Row],[Std Nom]]),"")</f>
        <v/>
      </c>
      <c r="Q48" s="1" t="e">
        <f>Table1[[#This Row],[High Tol]]-Table1[[#This Row],[Low Tol]]</f>
        <v>#VALUE!</v>
      </c>
      <c r="R48" s="1">
        <f>2*Table1[[#This Row],[Std Error]]</f>
        <v>0</v>
      </c>
      <c r="S48" s="1" t="str">
        <f>IF(Table1[[#This Row],[High Tol]]="","N/A",IFERROR(ABS(Table1[[#This Row],[Tol Span]]/Table1[[#This Row],[Error Span]]),"N/A"))</f>
        <v>N/A</v>
      </c>
      <c r="T48" s="1" t="str">
        <f>IF(OR(Table1[[#This Row],[Low Tol]]="",Table1[[#This Row],[High Tol]]=""),"Needs Analysis",IF(Table1[[#This Row],[Ratio]]&gt;=4,"Not Significant",IF(Table1[[#This Row],[Ratio]]&gt;=2,"Semi-Significant","Significant")))</f>
        <v>Needs Analysis</v>
      </c>
      <c r="W48" s="1">
        <f>IF(Table1[[#This Row],[Cal Type]]&lt;&gt;"ACCREDITED 17025 WITH UNCERTAINTIES",0,"")</f>
        <v>0</v>
      </c>
      <c r="X48" s="1" t="str">
        <f>IF(Table1[[#This Row],[DUT Read]]="","N/A",Table1[[#This Row],[Std Error]]+Table1[[#This Row],[DUT Read]]+Table1[[#This Row],[DUT Ucty]])</f>
        <v>N/A</v>
      </c>
      <c r="Y48" s="1" t="str">
        <f>IF(Table1[[#This Row],[Std Read]]="","N/A",Table1[[#This Row],[Std Read]]+Table1[[#This Row],[Std Ucty]])</f>
        <v>N/A</v>
      </c>
      <c r="Z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 s="1" t="str">
        <f>IF(Table1[[#This Row],[Spec Type]]="","N/A",Table1[[#This Row],[Spec Type]])</f>
        <v>±</v>
      </c>
      <c r="AC48" s="1" t="str">
        <f>IF(Table1[[#This Row],[Spec Type2]]="N/A","N/A",IF(AND(Table1[[#This Row],[DUT Adj Read]]&gt;=Table1[[#This Row],[Low Tol]],Table1[[#This Row],[DUT Adj Read]]&lt;=Table1[[#This Row],[High Tol]]),"Pass","Fail"))</f>
        <v>Fail</v>
      </c>
      <c r="AD48" s="1" t="str">
        <f>IF(AND(Table1[[#This Row],[Spec Type2]]="N/A",Table1[[#This Row],[DUT Adj Read]]="N/A",Table1[[#This Row],[Std Adj Read]]="N/A"),"N/A",IF(Table1[[#This Row],[DUT Adj Read]]="N/A",IF(Table1[[#This Row],[Std Adj Read]]&gt;Table1[[#This Row],[Low Tol]],"Pass","Fail"),IF(Table1[[#This Row],[DUT Adj Read]]&gt;Table1[[#This Row],[Low Tol]],"Pass","Fail")))</f>
        <v>Pass</v>
      </c>
      <c r="AE48" s="1" t="str">
        <f>IF(AND(Table1[[#This Row],[Spec Type2]]="N/A",Table1[[#This Row],[DUT Adj Read]]="N/A",Table1[[#This Row],[Std Adj Read]]="N/A"),"N/A",IF(Table1[[#This Row],[DUT Adj Read]]="N/A",IF(Table1[[#This Row],[Std Adj Read]]&lt;Table1[[#This Row],[High Tol]],"Pass","Fail"),IF(Table1[[#This Row],[DUT Adj Read]]&lt;Table1[[#This Row],[High Tol]],"Pass","Fail")))</f>
        <v>Fail</v>
      </c>
      <c r="AF48" s="1" t="str">
        <f>IF(AND(Table1[[#This Row],[Spec Type2]]="N/A",Table1[[#This Row],[DUT Adj Read]]="N/A",Table1[[#This Row],[Std Adj Read]]="N/A"),"N/A",IF(Table1[[#This Row],[DUT Adj Read]]="N/A",IF(Table1[[#This Row],[Std Adj Read]]&gt;=Table1[[#This Row],[Low Tol]],"Pass","Fail"),IF(Table1[[#This Row],[DUT Adj Read]]&gt;=Table1[[#This Row],[Low Tol]],"Pass","Fail")))</f>
        <v>Pass</v>
      </c>
      <c r="AG48" s="1" t="str">
        <f>IF(AND(Table1[[#This Row],[Spec Type2]]="N/A",Table1[[#This Row],[DUT Adj Read]]="N/A",Table1[[#This Row],[Std Adj Read]]="N/A"),"N/A",IF(Table1[[#This Row],[DUT Adj Read]]="N/A",IF(Table1[[#This Row],[Std Adj Read]]&lt;=Table1[[#This Row],[High Tol]],"Pass","Fail"),IF(Table1[[#This Row],[DUT Adj Read]]&lt;=Table1[[#This Row],[High Tol]],"Pass","Fail")))</f>
        <v>Fail</v>
      </c>
      <c r="AH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 s="1" t="b">
        <v>0</v>
      </c>
      <c r="AN48" s="1" t="b">
        <v>0</v>
      </c>
      <c r="AO48" s="1" t="b">
        <v>0</v>
      </c>
    </row>
    <row r="49" spans="1:41" x14ac:dyDescent="0.25">
      <c r="A49" s="10"/>
      <c r="B49" s="10"/>
      <c r="C49" s="10"/>
      <c r="D49" s="10"/>
      <c r="E49" s="10"/>
      <c r="F49" s="10"/>
      <c r="G49" s="10"/>
      <c r="H49" s="10"/>
      <c r="I49" s="1" t="str">
        <f t="shared" si="2"/>
        <v/>
      </c>
      <c r="J49" s="1" t="s">
        <v>35</v>
      </c>
      <c r="K49" s="1" t="str">
        <f t="shared" si="0"/>
        <v/>
      </c>
      <c r="L49" s="1" t="str">
        <f t="shared" si="1"/>
        <v/>
      </c>
      <c r="M49" s="1">
        <f>IF(OR(Table1[[#This Row],[Std Nom]]="",Table1[[#This Row],[Std Read]]=""),0,Table1[[#This Row],[Std Nom]]-Table1[[#This Row],[Std Read]])</f>
        <v>0</v>
      </c>
      <c r="N49" s="1">
        <f>IF(Calculations!$F$5="ACCREDITED 17025 WITH UNCERTAINTIES",$N$10,0)</f>
        <v>0</v>
      </c>
      <c r="O49" s="1" t="str">
        <f>IFERROR(Table1[[#This Row],[Std Nom]]-(_xlfn.XLOOKUP(Table1[[#This Row],[Manufacturer]]&amp;" "&amp;Table1[[#This Row],[Model]],Table13[MFR &amp; MDL],Table13[Tolerance % CW ],"")/100*Table1[[#This Row],[Std Nom]]),"")</f>
        <v/>
      </c>
      <c r="P49" s="1" t="str">
        <f>IFERROR(Table1[[#This Row],[Std Nom]]+(_xlfn.XLOOKUP(Table1[[#This Row],[Manufacturer]]&amp;" "&amp;Table1[[#This Row],[Model]],Table13[MFR &amp; MDL],Table13[Tolerance % CW ],"")/100*Table1[[#This Row],[Std Nom]]),"")</f>
        <v/>
      </c>
      <c r="Q49" s="1" t="e">
        <f>Table1[[#This Row],[High Tol]]-Table1[[#This Row],[Low Tol]]</f>
        <v>#VALUE!</v>
      </c>
      <c r="R49" s="1">
        <f>2*Table1[[#This Row],[Std Error]]</f>
        <v>0</v>
      </c>
      <c r="S49" s="1" t="str">
        <f>IF(Table1[[#This Row],[High Tol]]="","N/A",IFERROR(ABS(Table1[[#This Row],[Tol Span]]/Table1[[#This Row],[Error Span]]),"N/A"))</f>
        <v>N/A</v>
      </c>
      <c r="T49" s="1" t="str">
        <f>IF(OR(Table1[[#This Row],[Low Tol]]="",Table1[[#This Row],[High Tol]]=""),"Needs Analysis",IF(Table1[[#This Row],[Ratio]]&gt;=4,"Not Significant",IF(Table1[[#This Row],[Ratio]]&gt;=2,"Semi-Significant","Significant")))</f>
        <v>Needs Analysis</v>
      </c>
      <c r="W49" s="1">
        <f>IF(Table1[[#This Row],[Cal Type]]&lt;&gt;"ACCREDITED 17025 WITH UNCERTAINTIES",0,"")</f>
        <v>0</v>
      </c>
      <c r="X49" s="1" t="str">
        <f>IF(Table1[[#This Row],[DUT Read]]="","N/A",Table1[[#This Row],[Std Error]]+Table1[[#This Row],[DUT Read]]+Table1[[#This Row],[DUT Ucty]])</f>
        <v>N/A</v>
      </c>
      <c r="Y49" s="1" t="str">
        <f>IF(Table1[[#This Row],[Std Read]]="","N/A",Table1[[#This Row],[Std Read]]+Table1[[#This Row],[Std Ucty]])</f>
        <v>N/A</v>
      </c>
      <c r="Z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 s="1" t="str">
        <f>IF(Table1[[#This Row],[Spec Type]]="","N/A",Table1[[#This Row],[Spec Type]])</f>
        <v>±</v>
      </c>
      <c r="AC49" s="1" t="str">
        <f>IF(Table1[[#This Row],[Spec Type2]]="N/A","N/A",IF(AND(Table1[[#This Row],[DUT Adj Read]]&gt;=Table1[[#This Row],[Low Tol]],Table1[[#This Row],[DUT Adj Read]]&lt;=Table1[[#This Row],[High Tol]]),"Pass","Fail"))</f>
        <v>Fail</v>
      </c>
      <c r="AD49" s="1" t="str">
        <f>IF(AND(Table1[[#This Row],[Spec Type2]]="N/A",Table1[[#This Row],[DUT Adj Read]]="N/A",Table1[[#This Row],[Std Adj Read]]="N/A"),"N/A",IF(Table1[[#This Row],[DUT Adj Read]]="N/A",IF(Table1[[#This Row],[Std Adj Read]]&gt;Table1[[#This Row],[Low Tol]],"Pass","Fail"),IF(Table1[[#This Row],[DUT Adj Read]]&gt;Table1[[#This Row],[Low Tol]],"Pass","Fail")))</f>
        <v>Pass</v>
      </c>
      <c r="AE49" s="1" t="str">
        <f>IF(AND(Table1[[#This Row],[Spec Type2]]="N/A",Table1[[#This Row],[DUT Adj Read]]="N/A",Table1[[#This Row],[Std Adj Read]]="N/A"),"N/A",IF(Table1[[#This Row],[DUT Adj Read]]="N/A",IF(Table1[[#This Row],[Std Adj Read]]&lt;Table1[[#This Row],[High Tol]],"Pass","Fail"),IF(Table1[[#This Row],[DUT Adj Read]]&lt;Table1[[#This Row],[High Tol]],"Pass","Fail")))</f>
        <v>Fail</v>
      </c>
      <c r="AF49" s="1" t="str">
        <f>IF(AND(Table1[[#This Row],[Spec Type2]]="N/A",Table1[[#This Row],[DUT Adj Read]]="N/A",Table1[[#This Row],[Std Adj Read]]="N/A"),"N/A",IF(Table1[[#This Row],[DUT Adj Read]]="N/A",IF(Table1[[#This Row],[Std Adj Read]]&gt;=Table1[[#This Row],[Low Tol]],"Pass","Fail"),IF(Table1[[#This Row],[DUT Adj Read]]&gt;=Table1[[#This Row],[Low Tol]],"Pass","Fail")))</f>
        <v>Pass</v>
      </c>
      <c r="AG49" s="1" t="str">
        <f>IF(AND(Table1[[#This Row],[Spec Type2]]="N/A",Table1[[#This Row],[DUT Adj Read]]="N/A",Table1[[#This Row],[Std Adj Read]]="N/A"),"N/A",IF(Table1[[#This Row],[DUT Adj Read]]="N/A",IF(Table1[[#This Row],[Std Adj Read]]&lt;=Table1[[#This Row],[High Tol]],"Pass","Fail"),IF(Table1[[#This Row],[DUT Adj Read]]&lt;=Table1[[#This Row],[High Tol]],"Pass","Fail")))</f>
        <v>Fail</v>
      </c>
      <c r="AH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 s="1" t="b">
        <v>0</v>
      </c>
      <c r="AN49" s="1" t="b">
        <v>0</v>
      </c>
      <c r="AO49" s="1" t="b">
        <v>0</v>
      </c>
    </row>
    <row r="50" spans="1:41" x14ac:dyDescent="0.25">
      <c r="A50" s="10"/>
      <c r="B50" s="10"/>
      <c r="C50" s="10"/>
      <c r="D50" s="10"/>
      <c r="E50" s="10"/>
      <c r="F50" s="10"/>
      <c r="G50" s="10"/>
      <c r="H50" s="10"/>
      <c r="I50" s="1" t="str">
        <f t="shared" si="2"/>
        <v/>
      </c>
      <c r="J50" s="1" t="s">
        <v>35</v>
      </c>
      <c r="K50" s="1" t="str">
        <f t="shared" si="0"/>
        <v/>
      </c>
      <c r="L50" s="1" t="str">
        <f t="shared" si="1"/>
        <v/>
      </c>
      <c r="M50" s="1">
        <f>IF(OR(Table1[[#This Row],[Std Nom]]="",Table1[[#This Row],[Std Read]]=""),0,Table1[[#This Row],[Std Nom]]-Table1[[#This Row],[Std Read]])</f>
        <v>0</v>
      </c>
      <c r="N50" s="1">
        <f>IF(Calculations!$F$5="ACCREDITED 17025 WITH UNCERTAINTIES",$N$10,0)</f>
        <v>0</v>
      </c>
      <c r="O50" s="1" t="str">
        <f>IFERROR(Table1[[#This Row],[Std Nom]]-(_xlfn.XLOOKUP(Table1[[#This Row],[Manufacturer]]&amp;" "&amp;Table1[[#This Row],[Model]],Table13[MFR &amp; MDL],Table13[Tolerance % CW ],"")/100*Table1[[#This Row],[Std Nom]]),"")</f>
        <v/>
      </c>
      <c r="P50" s="1" t="str">
        <f>IFERROR(Table1[[#This Row],[Std Nom]]+(_xlfn.XLOOKUP(Table1[[#This Row],[Manufacturer]]&amp;" "&amp;Table1[[#This Row],[Model]],Table13[MFR &amp; MDL],Table13[Tolerance % CW ],"")/100*Table1[[#This Row],[Std Nom]]),"")</f>
        <v/>
      </c>
      <c r="Q50" s="1" t="e">
        <f>Table1[[#This Row],[High Tol]]-Table1[[#This Row],[Low Tol]]</f>
        <v>#VALUE!</v>
      </c>
      <c r="R50" s="1">
        <f>2*Table1[[#This Row],[Std Error]]</f>
        <v>0</v>
      </c>
      <c r="S50" s="1" t="str">
        <f>IF(Table1[[#This Row],[High Tol]]="","N/A",IFERROR(ABS(Table1[[#This Row],[Tol Span]]/Table1[[#This Row],[Error Span]]),"N/A"))</f>
        <v>N/A</v>
      </c>
      <c r="T50" s="1" t="str">
        <f>IF(OR(Table1[[#This Row],[Low Tol]]="",Table1[[#This Row],[High Tol]]=""),"Needs Analysis",IF(Table1[[#This Row],[Ratio]]&gt;=4,"Not Significant",IF(Table1[[#This Row],[Ratio]]&gt;=2,"Semi-Significant","Significant")))</f>
        <v>Needs Analysis</v>
      </c>
      <c r="W50" s="1">
        <f>IF(Table1[[#This Row],[Cal Type]]&lt;&gt;"ACCREDITED 17025 WITH UNCERTAINTIES",0,"")</f>
        <v>0</v>
      </c>
      <c r="X50" s="1" t="str">
        <f>IF(Table1[[#This Row],[DUT Read]]="","N/A",Table1[[#This Row],[Std Error]]+Table1[[#This Row],[DUT Read]]+Table1[[#This Row],[DUT Ucty]])</f>
        <v>N/A</v>
      </c>
      <c r="Y50" s="1" t="str">
        <f>IF(Table1[[#This Row],[Std Read]]="","N/A",Table1[[#This Row],[Std Read]]+Table1[[#This Row],[Std Ucty]])</f>
        <v>N/A</v>
      </c>
      <c r="Z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 s="1" t="str">
        <f>IF(Table1[[#This Row],[Spec Type]]="","N/A",Table1[[#This Row],[Spec Type]])</f>
        <v>±</v>
      </c>
      <c r="AC50" s="1" t="str">
        <f>IF(Table1[[#This Row],[Spec Type2]]="N/A","N/A",IF(AND(Table1[[#This Row],[DUT Adj Read]]&gt;=Table1[[#This Row],[Low Tol]],Table1[[#This Row],[DUT Adj Read]]&lt;=Table1[[#This Row],[High Tol]]),"Pass","Fail"))</f>
        <v>Fail</v>
      </c>
      <c r="AD50" s="1" t="str">
        <f>IF(AND(Table1[[#This Row],[Spec Type2]]="N/A",Table1[[#This Row],[DUT Adj Read]]="N/A",Table1[[#This Row],[Std Adj Read]]="N/A"),"N/A",IF(Table1[[#This Row],[DUT Adj Read]]="N/A",IF(Table1[[#This Row],[Std Adj Read]]&gt;Table1[[#This Row],[Low Tol]],"Pass","Fail"),IF(Table1[[#This Row],[DUT Adj Read]]&gt;Table1[[#This Row],[Low Tol]],"Pass","Fail")))</f>
        <v>Pass</v>
      </c>
      <c r="AE50" s="1" t="str">
        <f>IF(AND(Table1[[#This Row],[Spec Type2]]="N/A",Table1[[#This Row],[DUT Adj Read]]="N/A",Table1[[#This Row],[Std Adj Read]]="N/A"),"N/A",IF(Table1[[#This Row],[DUT Adj Read]]="N/A",IF(Table1[[#This Row],[Std Adj Read]]&lt;Table1[[#This Row],[High Tol]],"Pass","Fail"),IF(Table1[[#This Row],[DUT Adj Read]]&lt;Table1[[#This Row],[High Tol]],"Pass","Fail")))</f>
        <v>Fail</v>
      </c>
      <c r="AF50" s="1" t="str">
        <f>IF(AND(Table1[[#This Row],[Spec Type2]]="N/A",Table1[[#This Row],[DUT Adj Read]]="N/A",Table1[[#This Row],[Std Adj Read]]="N/A"),"N/A",IF(Table1[[#This Row],[DUT Adj Read]]="N/A",IF(Table1[[#This Row],[Std Adj Read]]&gt;=Table1[[#This Row],[Low Tol]],"Pass","Fail"),IF(Table1[[#This Row],[DUT Adj Read]]&gt;=Table1[[#This Row],[Low Tol]],"Pass","Fail")))</f>
        <v>Pass</v>
      </c>
      <c r="AG50" s="1" t="str">
        <f>IF(AND(Table1[[#This Row],[Spec Type2]]="N/A",Table1[[#This Row],[DUT Adj Read]]="N/A",Table1[[#This Row],[Std Adj Read]]="N/A"),"N/A",IF(Table1[[#This Row],[DUT Adj Read]]="N/A",IF(Table1[[#This Row],[Std Adj Read]]&lt;=Table1[[#This Row],[High Tol]],"Pass","Fail"),IF(Table1[[#This Row],[DUT Adj Read]]&lt;=Table1[[#This Row],[High Tol]],"Pass","Fail")))</f>
        <v>Fail</v>
      </c>
      <c r="AH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 s="1" t="b">
        <v>0</v>
      </c>
      <c r="AN50" s="1" t="b">
        <v>0</v>
      </c>
      <c r="AO50" s="1" t="b">
        <v>0</v>
      </c>
    </row>
    <row r="51" spans="1:41" x14ac:dyDescent="0.25">
      <c r="A51" s="10"/>
      <c r="B51" s="10"/>
      <c r="C51" s="10"/>
      <c r="D51" s="10"/>
      <c r="E51" s="10"/>
      <c r="F51" s="10"/>
      <c r="G51" s="10"/>
      <c r="H51" s="10"/>
      <c r="I51" s="1" t="str">
        <f t="shared" si="2"/>
        <v/>
      </c>
      <c r="J51" s="1" t="s">
        <v>35</v>
      </c>
      <c r="K51" s="1" t="str">
        <f t="shared" si="0"/>
        <v/>
      </c>
      <c r="L51" s="1" t="str">
        <f t="shared" si="1"/>
        <v/>
      </c>
      <c r="M51" s="1">
        <f>IF(OR(Table1[[#This Row],[Std Nom]]="",Table1[[#This Row],[Std Read]]=""),0,Table1[[#This Row],[Std Nom]]-Table1[[#This Row],[Std Read]])</f>
        <v>0</v>
      </c>
      <c r="N51" s="1">
        <f>IF(Calculations!$F$5="ACCREDITED 17025 WITH UNCERTAINTIES",$N$10,0)</f>
        <v>0</v>
      </c>
      <c r="O51" s="1" t="str">
        <f>IFERROR(Table1[[#This Row],[Std Nom]]-(_xlfn.XLOOKUP(Table1[[#This Row],[Manufacturer]]&amp;" "&amp;Table1[[#This Row],[Model]],Table13[MFR &amp; MDL],Table13[Tolerance % CW ],"")/100*Table1[[#This Row],[Std Nom]]),"")</f>
        <v/>
      </c>
      <c r="P51" s="1" t="str">
        <f>IFERROR(Table1[[#This Row],[Std Nom]]+(_xlfn.XLOOKUP(Table1[[#This Row],[Manufacturer]]&amp;" "&amp;Table1[[#This Row],[Model]],Table13[MFR &amp; MDL],Table13[Tolerance % CW ],"")/100*Table1[[#This Row],[Std Nom]]),"")</f>
        <v/>
      </c>
      <c r="Q51" s="1" t="e">
        <f>Table1[[#This Row],[High Tol]]-Table1[[#This Row],[Low Tol]]</f>
        <v>#VALUE!</v>
      </c>
      <c r="R51" s="1">
        <f>2*Table1[[#This Row],[Std Error]]</f>
        <v>0</v>
      </c>
      <c r="S51" s="1" t="str">
        <f>IF(Table1[[#This Row],[High Tol]]="","N/A",IFERROR(ABS(Table1[[#This Row],[Tol Span]]/Table1[[#This Row],[Error Span]]),"N/A"))</f>
        <v>N/A</v>
      </c>
      <c r="T51" s="1" t="str">
        <f>IF(OR(Table1[[#This Row],[Low Tol]]="",Table1[[#This Row],[High Tol]]=""),"Needs Analysis",IF(Table1[[#This Row],[Ratio]]&gt;=4,"Not Significant",IF(Table1[[#This Row],[Ratio]]&gt;=2,"Semi-Significant","Significant")))</f>
        <v>Needs Analysis</v>
      </c>
      <c r="W51" s="1">
        <f>IF(Table1[[#This Row],[Cal Type]]&lt;&gt;"ACCREDITED 17025 WITH UNCERTAINTIES",0,"")</f>
        <v>0</v>
      </c>
      <c r="X51" s="1" t="str">
        <f>IF(Table1[[#This Row],[DUT Read]]="","N/A",Table1[[#This Row],[Std Error]]+Table1[[#This Row],[DUT Read]]+Table1[[#This Row],[DUT Ucty]])</f>
        <v>N/A</v>
      </c>
      <c r="Y51" s="1" t="str">
        <f>IF(Table1[[#This Row],[Std Read]]="","N/A",Table1[[#This Row],[Std Read]]+Table1[[#This Row],[Std Ucty]])</f>
        <v>N/A</v>
      </c>
      <c r="Z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 s="1" t="str">
        <f>IF(Table1[[#This Row],[Spec Type]]="","N/A",Table1[[#This Row],[Spec Type]])</f>
        <v>±</v>
      </c>
      <c r="AC51" s="1" t="str">
        <f>IF(Table1[[#This Row],[Spec Type2]]="N/A","N/A",IF(AND(Table1[[#This Row],[DUT Adj Read]]&gt;=Table1[[#This Row],[Low Tol]],Table1[[#This Row],[DUT Adj Read]]&lt;=Table1[[#This Row],[High Tol]]),"Pass","Fail"))</f>
        <v>Fail</v>
      </c>
      <c r="AD51" s="1" t="str">
        <f>IF(AND(Table1[[#This Row],[Spec Type2]]="N/A",Table1[[#This Row],[DUT Adj Read]]="N/A",Table1[[#This Row],[Std Adj Read]]="N/A"),"N/A",IF(Table1[[#This Row],[DUT Adj Read]]="N/A",IF(Table1[[#This Row],[Std Adj Read]]&gt;Table1[[#This Row],[Low Tol]],"Pass","Fail"),IF(Table1[[#This Row],[DUT Adj Read]]&gt;Table1[[#This Row],[Low Tol]],"Pass","Fail")))</f>
        <v>Pass</v>
      </c>
      <c r="AE51" s="1" t="str">
        <f>IF(AND(Table1[[#This Row],[Spec Type2]]="N/A",Table1[[#This Row],[DUT Adj Read]]="N/A",Table1[[#This Row],[Std Adj Read]]="N/A"),"N/A",IF(Table1[[#This Row],[DUT Adj Read]]="N/A",IF(Table1[[#This Row],[Std Adj Read]]&lt;Table1[[#This Row],[High Tol]],"Pass","Fail"),IF(Table1[[#This Row],[DUT Adj Read]]&lt;Table1[[#This Row],[High Tol]],"Pass","Fail")))</f>
        <v>Fail</v>
      </c>
      <c r="AF51" s="1" t="str">
        <f>IF(AND(Table1[[#This Row],[Spec Type2]]="N/A",Table1[[#This Row],[DUT Adj Read]]="N/A",Table1[[#This Row],[Std Adj Read]]="N/A"),"N/A",IF(Table1[[#This Row],[DUT Adj Read]]="N/A",IF(Table1[[#This Row],[Std Adj Read]]&gt;=Table1[[#This Row],[Low Tol]],"Pass","Fail"),IF(Table1[[#This Row],[DUT Adj Read]]&gt;=Table1[[#This Row],[Low Tol]],"Pass","Fail")))</f>
        <v>Pass</v>
      </c>
      <c r="AG51" s="1" t="str">
        <f>IF(AND(Table1[[#This Row],[Spec Type2]]="N/A",Table1[[#This Row],[DUT Adj Read]]="N/A",Table1[[#This Row],[Std Adj Read]]="N/A"),"N/A",IF(Table1[[#This Row],[DUT Adj Read]]="N/A",IF(Table1[[#This Row],[Std Adj Read]]&lt;=Table1[[#This Row],[High Tol]],"Pass","Fail"),IF(Table1[[#This Row],[DUT Adj Read]]&lt;=Table1[[#This Row],[High Tol]],"Pass","Fail")))</f>
        <v>Fail</v>
      </c>
      <c r="AH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 s="1" t="b">
        <v>0</v>
      </c>
      <c r="AN51" s="1" t="b">
        <v>0</v>
      </c>
      <c r="AO51" s="1" t="b">
        <v>0</v>
      </c>
    </row>
    <row r="52" spans="1:41" x14ac:dyDescent="0.25">
      <c r="A52" s="10"/>
      <c r="B52" s="10"/>
      <c r="C52" s="10"/>
      <c r="D52" s="10"/>
      <c r="E52" s="10"/>
      <c r="F52" s="10"/>
      <c r="G52" s="10"/>
      <c r="H52" s="10"/>
      <c r="I52" s="1" t="str">
        <f t="shared" si="2"/>
        <v/>
      </c>
      <c r="J52" s="1" t="s">
        <v>35</v>
      </c>
      <c r="K52" s="1" t="str">
        <f t="shared" si="0"/>
        <v/>
      </c>
      <c r="L52" s="1" t="str">
        <f t="shared" si="1"/>
        <v/>
      </c>
      <c r="M52" s="1">
        <f>IF(OR(Table1[[#This Row],[Std Nom]]="",Table1[[#This Row],[Std Read]]=""),0,Table1[[#This Row],[Std Nom]]-Table1[[#This Row],[Std Read]])</f>
        <v>0</v>
      </c>
      <c r="N52" s="1">
        <f>IF(Calculations!$F$5="ACCREDITED 17025 WITH UNCERTAINTIES",$N$10,0)</f>
        <v>0</v>
      </c>
      <c r="O52" s="1" t="str">
        <f>IFERROR(Table1[[#This Row],[Std Nom]]-(_xlfn.XLOOKUP(Table1[[#This Row],[Manufacturer]]&amp;" "&amp;Table1[[#This Row],[Model]],Table13[MFR &amp; MDL],Table13[Tolerance % CW ],"")/100*Table1[[#This Row],[Std Nom]]),"")</f>
        <v/>
      </c>
      <c r="P52" s="1" t="str">
        <f>IFERROR(Table1[[#This Row],[Std Nom]]+(_xlfn.XLOOKUP(Table1[[#This Row],[Manufacturer]]&amp;" "&amp;Table1[[#This Row],[Model]],Table13[MFR &amp; MDL],Table13[Tolerance % CW ],"")/100*Table1[[#This Row],[Std Nom]]),"")</f>
        <v/>
      </c>
      <c r="Q52" s="1" t="e">
        <f>Table1[[#This Row],[High Tol]]-Table1[[#This Row],[Low Tol]]</f>
        <v>#VALUE!</v>
      </c>
      <c r="R52" s="1">
        <f>2*Table1[[#This Row],[Std Error]]</f>
        <v>0</v>
      </c>
      <c r="S52" s="1" t="str">
        <f>IF(Table1[[#This Row],[High Tol]]="","N/A",IFERROR(ABS(Table1[[#This Row],[Tol Span]]/Table1[[#This Row],[Error Span]]),"N/A"))</f>
        <v>N/A</v>
      </c>
      <c r="T52" s="1" t="str">
        <f>IF(OR(Table1[[#This Row],[Low Tol]]="",Table1[[#This Row],[High Tol]]=""),"Needs Analysis",IF(Table1[[#This Row],[Ratio]]&gt;=4,"Not Significant",IF(Table1[[#This Row],[Ratio]]&gt;=2,"Semi-Significant","Significant")))</f>
        <v>Needs Analysis</v>
      </c>
      <c r="W52" s="1">
        <f>IF(Table1[[#This Row],[Cal Type]]&lt;&gt;"ACCREDITED 17025 WITH UNCERTAINTIES",0,"")</f>
        <v>0</v>
      </c>
      <c r="X52" s="1" t="str">
        <f>IF(Table1[[#This Row],[DUT Read]]="","N/A",Table1[[#This Row],[Std Error]]+Table1[[#This Row],[DUT Read]]+Table1[[#This Row],[DUT Ucty]])</f>
        <v>N/A</v>
      </c>
      <c r="Y52" s="1" t="str">
        <f>IF(Table1[[#This Row],[Std Read]]="","N/A",Table1[[#This Row],[Std Read]]+Table1[[#This Row],[Std Ucty]])</f>
        <v>N/A</v>
      </c>
      <c r="Z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 s="1" t="str">
        <f>IF(Table1[[#This Row],[Spec Type]]="","N/A",Table1[[#This Row],[Spec Type]])</f>
        <v>±</v>
      </c>
      <c r="AC52" s="1" t="str">
        <f>IF(Table1[[#This Row],[Spec Type2]]="N/A","N/A",IF(AND(Table1[[#This Row],[DUT Adj Read]]&gt;=Table1[[#This Row],[Low Tol]],Table1[[#This Row],[DUT Adj Read]]&lt;=Table1[[#This Row],[High Tol]]),"Pass","Fail"))</f>
        <v>Fail</v>
      </c>
      <c r="AD52" s="1" t="str">
        <f>IF(AND(Table1[[#This Row],[Spec Type2]]="N/A",Table1[[#This Row],[DUT Adj Read]]="N/A",Table1[[#This Row],[Std Adj Read]]="N/A"),"N/A",IF(Table1[[#This Row],[DUT Adj Read]]="N/A",IF(Table1[[#This Row],[Std Adj Read]]&gt;Table1[[#This Row],[Low Tol]],"Pass","Fail"),IF(Table1[[#This Row],[DUT Adj Read]]&gt;Table1[[#This Row],[Low Tol]],"Pass","Fail")))</f>
        <v>Pass</v>
      </c>
      <c r="AE52" s="1" t="str">
        <f>IF(AND(Table1[[#This Row],[Spec Type2]]="N/A",Table1[[#This Row],[DUT Adj Read]]="N/A",Table1[[#This Row],[Std Adj Read]]="N/A"),"N/A",IF(Table1[[#This Row],[DUT Adj Read]]="N/A",IF(Table1[[#This Row],[Std Adj Read]]&lt;Table1[[#This Row],[High Tol]],"Pass","Fail"),IF(Table1[[#This Row],[DUT Adj Read]]&lt;Table1[[#This Row],[High Tol]],"Pass","Fail")))</f>
        <v>Fail</v>
      </c>
      <c r="AF52" s="1" t="str">
        <f>IF(AND(Table1[[#This Row],[Spec Type2]]="N/A",Table1[[#This Row],[DUT Adj Read]]="N/A",Table1[[#This Row],[Std Adj Read]]="N/A"),"N/A",IF(Table1[[#This Row],[DUT Adj Read]]="N/A",IF(Table1[[#This Row],[Std Adj Read]]&gt;=Table1[[#This Row],[Low Tol]],"Pass","Fail"),IF(Table1[[#This Row],[DUT Adj Read]]&gt;=Table1[[#This Row],[Low Tol]],"Pass","Fail")))</f>
        <v>Pass</v>
      </c>
      <c r="AG52" s="1" t="str">
        <f>IF(AND(Table1[[#This Row],[Spec Type2]]="N/A",Table1[[#This Row],[DUT Adj Read]]="N/A",Table1[[#This Row],[Std Adj Read]]="N/A"),"N/A",IF(Table1[[#This Row],[DUT Adj Read]]="N/A",IF(Table1[[#This Row],[Std Adj Read]]&lt;=Table1[[#This Row],[High Tol]],"Pass","Fail"),IF(Table1[[#This Row],[DUT Adj Read]]&lt;=Table1[[#This Row],[High Tol]],"Pass","Fail")))</f>
        <v>Fail</v>
      </c>
      <c r="AH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 s="1" t="b">
        <v>0</v>
      </c>
      <c r="AN52" s="1" t="b">
        <v>0</v>
      </c>
      <c r="AO52" s="1" t="b">
        <v>0</v>
      </c>
    </row>
    <row r="53" spans="1:41" x14ac:dyDescent="0.25">
      <c r="A53" s="10"/>
      <c r="B53" s="10"/>
      <c r="C53" s="10"/>
      <c r="D53" s="10"/>
      <c r="E53" s="10"/>
      <c r="F53" s="10"/>
      <c r="G53" s="10"/>
      <c r="H53" s="10"/>
      <c r="I53" s="1" t="str">
        <f t="shared" si="2"/>
        <v/>
      </c>
      <c r="J53" s="1" t="s">
        <v>35</v>
      </c>
      <c r="K53" s="1" t="str">
        <f t="shared" si="0"/>
        <v/>
      </c>
      <c r="L53" s="1" t="str">
        <f t="shared" si="1"/>
        <v/>
      </c>
      <c r="M53" s="1">
        <f>IF(OR(Table1[[#This Row],[Std Nom]]="",Table1[[#This Row],[Std Read]]=""),0,Table1[[#This Row],[Std Nom]]-Table1[[#This Row],[Std Read]])</f>
        <v>0</v>
      </c>
      <c r="N53" s="1">
        <f>IF(Calculations!$F$5="ACCREDITED 17025 WITH UNCERTAINTIES",$N$10,0)</f>
        <v>0</v>
      </c>
      <c r="O53" s="1" t="str">
        <f>IFERROR(Table1[[#This Row],[Std Nom]]-(_xlfn.XLOOKUP(Table1[[#This Row],[Manufacturer]]&amp;" "&amp;Table1[[#This Row],[Model]],Table13[MFR &amp; MDL],Table13[Tolerance % CW ],"")/100*Table1[[#This Row],[Std Nom]]),"")</f>
        <v/>
      </c>
      <c r="P53" s="1" t="str">
        <f>IFERROR(Table1[[#This Row],[Std Nom]]+(_xlfn.XLOOKUP(Table1[[#This Row],[Manufacturer]]&amp;" "&amp;Table1[[#This Row],[Model]],Table13[MFR &amp; MDL],Table13[Tolerance % CW ],"")/100*Table1[[#This Row],[Std Nom]]),"")</f>
        <v/>
      </c>
      <c r="Q53" s="1" t="e">
        <f>Table1[[#This Row],[High Tol]]-Table1[[#This Row],[Low Tol]]</f>
        <v>#VALUE!</v>
      </c>
      <c r="R53" s="1">
        <f>2*Table1[[#This Row],[Std Error]]</f>
        <v>0</v>
      </c>
      <c r="S53" s="1" t="str">
        <f>IF(Table1[[#This Row],[High Tol]]="","N/A",IFERROR(ABS(Table1[[#This Row],[Tol Span]]/Table1[[#This Row],[Error Span]]),"N/A"))</f>
        <v>N/A</v>
      </c>
      <c r="T53" s="1" t="str">
        <f>IF(OR(Table1[[#This Row],[Low Tol]]="",Table1[[#This Row],[High Tol]]=""),"Needs Analysis",IF(Table1[[#This Row],[Ratio]]&gt;=4,"Not Significant",IF(Table1[[#This Row],[Ratio]]&gt;=2,"Semi-Significant","Significant")))</f>
        <v>Needs Analysis</v>
      </c>
      <c r="W53" s="1">
        <f>IF(Table1[[#This Row],[Cal Type]]&lt;&gt;"ACCREDITED 17025 WITH UNCERTAINTIES",0,"")</f>
        <v>0</v>
      </c>
      <c r="X53" s="1" t="str">
        <f>IF(Table1[[#This Row],[DUT Read]]="","N/A",Table1[[#This Row],[Std Error]]+Table1[[#This Row],[DUT Read]]+Table1[[#This Row],[DUT Ucty]])</f>
        <v>N/A</v>
      </c>
      <c r="Y53" s="1" t="str">
        <f>IF(Table1[[#This Row],[Std Read]]="","N/A",Table1[[#This Row],[Std Read]]+Table1[[#This Row],[Std Ucty]])</f>
        <v>N/A</v>
      </c>
      <c r="Z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 s="1" t="str">
        <f>IF(Table1[[#This Row],[Spec Type]]="","N/A",Table1[[#This Row],[Spec Type]])</f>
        <v>±</v>
      </c>
      <c r="AC53" s="1" t="str">
        <f>IF(Table1[[#This Row],[Spec Type2]]="N/A","N/A",IF(AND(Table1[[#This Row],[DUT Adj Read]]&gt;=Table1[[#This Row],[Low Tol]],Table1[[#This Row],[DUT Adj Read]]&lt;=Table1[[#This Row],[High Tol]]),"Pass","Fail"))</f>
        <v>Fail</v>
      </c>
      <c r="AD53" s="1" t="str">
        <f>IF(AND(Table1[[#This Row],[Spec Type2]]="N/A",Table1[[#This Row],[DUT Adj Read]]="N/A",Table1[[#This Row],[Std Adj Read]]="N/A"),"N/A",IF(Table1[[#This Row],[DUT Adj Read]]="N/A",IF(Table1[[#This Row],[Std Adj Read]]&gt;Table1[[#This Row],[Low Tol]],"Pass","Fail"),IF(Table1[[#This Row],[DUT Adj Read]]&gt;Table1[[#This Row],[Low Tol]],"Pass","Fail")))</f>
        <v>Pass</v>
      </c>
      <c r="AE53" s="1" t="str">
        <f>IF(AND(Table1[[#This Row],[Spec Type2]]="N/A",Table1[[#This Row],[DUT Adj Read]]="N/A",Table1[[#This Row],[Std Adj Read]]="N/A"),"N/A",IF(Table1[[#This Row],[DUT Adj Read]]="N/A",IF(Table1[[#This Row],[Std Adj Read]]&lt;Table1[[#This Row],[High Tol]],"Pass","Fail"),IF(Table1[[#This Row],[DUT Adj Read]]&lt;Table1[[#This Row],[High Tol]],"Pass","Fail")))</f>
        <v>Fail</v>
      </c>
      <c r="AF53" s="1" t="str">
        <f>IF(AND(Table1[[#This Row],[Spec Type2]]="N/A",Table1[[#This Row],[DUT Adj Read]]="N/A",Table1[[#This Row],[Std Adj Read]]="N/A"),"N/A",IF(Table1[[#This Row],[DUT Adj Read]]="N/A",IF(Table1[[#This Row],[Std Adj Read]]&gt;=Table1[[#This Row],[Low Tol]],"Pass","Fail"),IF(Table1[[#This Row],[DUT Adj Read]]&gt;=Table1[[#This Row],[Low Tol]],"Pass","Fail")))</f>
        <v>Pass</v>
      </c>
      <c r="AG53" s="1" t="str">
        <f>IF(AND(Table1[[#This Row],[Spec Type2]]="N/A",Table1[[#This Row],[DUT Adj Read]]="N/A",Table1[[#This Row],[Std Adj Read]]="N/A"),"N/A",IF(Table1[[#This Row],[DUT Adj Read]]="N/A",IF(Table1[[#This Row],[Std Adj Read]]&lt;=Table1[[#This Row],[High Tol]],"Pass","Fail"),IF(Table1[[#This Row],[DUT Adj Read]]&lt;=Table1[[#This Row],[High Tol]],"Pass","Fail")))</f>
        <v>Fail</v>
      </c>
      <c r="AH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 s="1" t="b">
        <v>0</v>
      </c>
      <c r="AN53" s="1" t="b">
        <v>0</v>
      </c>
      <c r="AO53" s="1" t="b">
        <v>0</v>
      </c>
    </row>
    <row r="54" spans="1:41" x14ac:dyDescent="0.25">
      <c r="A54" s="10"/>
      <c r="B54" s="10"/>
      <c r="C54" s="10"/>
      <c r="D54" s="10"/>
      <c r="E54" s="10"/>
      <c r="F54" s="10"/>
      <c r="G54" s="10"/>
      <c r="H54" s="10"/>
      <c r="I54" s="1" t="str">
        <f t="shared" si="2"/>
        <v/>
      </c>
      <c r="J54" s="1" t="s">
        <v>35</v>
      </c>
      <c r="K54" s="1" t="str">
        <f t="shared" si="0"/>
        <v/>
      </c>
      <c r="L54" s="1" t="str">
        <f t="shared" si="1"/>
        <v/>
      </c>
      <c r="M54" s="1">
        <f>IF(OR(Table1[[#This Row],[Std Nom]]="",Table1[[#This Row],[Std Read]]=""),0,Table1[[#This Row],[Std Nom]]-Table1[[#This Row],[Std Read]])</f>
        <v>0</v>
      </c>
      <c r="N54" s="1">
        <f>IF(Calculations!$F$5="ACCREDITED 17025 WITH UNCERTAINTIES",$N$10,0)</f>
        <v>0</v>
      </c>
      <c r="O54" s="1" t="str">
        <f>IFERROR(Table1[[#This Row],[Std Nom]]-(_xlfn.XLOOKUP(Table1[[#This Row],[Manufacturer]]&amp;" "&amp;Table1[[#This Row],[Model]],Table13[MFR &amp; MDL],Table13[Tolerance % CW ],"")/100*Table1[[#This Row],[Std Nom]]),"")</f>
        <v/>
      </c>
      <c r="P54" s="1" t="str">
        <f>IFERROR(Table1[[#This Row],[Std Nom]]+(_xlfn.XLOOKUP(Table1[[#This Row],[Manufacturer]]&amp;" "&amp;Table1[[#This Row],[Model]],Table13[MFR &amp; MDL],Table13[Tolerance % CW ],"")/100*Table1[[#This Row],[Std Nom]]),"")</f>
        <v/>
      </c>
      <c r="Q54" s="1" t="e">
        <f>Table1[[#This Row],[High Tol]]-Table1[[#This Row],[Low Tol]]</f>
        <v>#VALUE!</v>
      </c>
      <c r="R54" s="1">
        <f>2*Table1[[#This Row],[Std Error]]</f>
        <v>0</v>
      </c>
      <c r="S54" s="1" t="str">
        <f>IF(Table1[[#This Row],[High Tol]]="","N/A",IFERROR(ABS(Table1[[#This Row],[Tol Span]]/Table1[[#This Row],[Error Span]]),"N/A"))</f>
        <v>N/A</v>
      </c>
      <c r="T54" s="1" t="str">
        <f>IF(OR(Table1[[#This Row],[Low Tol]]="",Table1[[#This Row],[High Tol]]=""),"Needs Analysis",IF(Table1[[#This Row],[Ratio]]&gt;=4,"Not Significant",IF(Table1[[#This Row],[Ratio]]&gt;=2,"Semi-Significant","Significant")))</f>
        <v>Needs Analysis</v>
      </c>
      <c r="W54" s="1">
        <f>IF(Table1[[#This Row],[Cal Type]]&lt;&gt;"ACCREDITED 17025 WITH UNCERTAINTIES",0,"")</f>
        <v>0</v>
      </c>
      <c r="X54" s="1" t="str">
        <f>IF(Table1[[#This Row],[DUT Read]]="","N/A",Table1[[#This Row],[Std Error]]+Table1[[#This Row],[DUT Read]]+Table1[[#This Row],[DUT Ucty]])</f>
        <v>N/A</v>
      </c>
      <c r="Y54" s="1" t="str">
        <f>IF(Table1[[#This Row],[Std Read]]="","N/A",Table1[[#This Row],[Std Read]]+Table1[[#This Row],[Std Ucty]])</f>
        <v>N/A</v>
      </c>
      <c r="Z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 s="1" t="str">
        <f>IF(Table1[[#This Row],[Spec Type]]="","N/A",Table1[[#This Row],[Spec Type]])</f>
        <v>±</v>
      </c>
      <c r="AC54" s="1" t="str">
        <f>IF(Table1[[#This Row],[Spec Type2]]="N/A","N/A",IF(AND(Table1[[#This Row],[DUT Adj Read]]&gt;=Table1[[#This Row],[Low Tol]],Table1[[#This Row],[DUT Adj Read]]&lt;=Table1[[#This Row],[High Tol]]),"Pass","Fail"))</f>
        <v>Fail</v>
      </c>
      <c r="AD54" s="1" t="str">
        <f>IF(AND(Table1[[#This Row],[Spec Type2]]="N/A",Table1[[#This Row],[DUT Adj Read]]="N/A",Table1[[#This Row],[Std Adj Read]]="N/A"),"N/A",IF(Table1[[#This Row],[DUT Adj Read]]="N/A",IF(Table1[[#This Row],[Std Adj Read]]&gt;Table1[[#This Row],[Low Tol]],"Pass","Fail"),IF(Table1[[#This Row],[DUT Adj Read]]&gt;Table1[[#This Row],[Low Tol]],"Pass","Fail")))</f>
        <v>Pass</v>
      </c>
      <c r="AE54" s="1" t="str">
        <f>IF(AND(Table1[[#This Row],[Spec Type2]]="N/A",Table1[[#This Row],[DUT Adj Read]]="N/A",Table1[[#This Row],[Std Adj Read]]="N/A"),"N/A",IF(Table1[[#This Row],[DUT Adj Read]]="N/A",IF(Table1[[#This Row],[Std Adj Read]]&lt;Table1[[#This Row],[High Tol]],"Pass","Fail"),IF(Table1[[#This Row],[DUT Adj Read]]&lt;Table1[[#This Row],[High Tol]],"Pass","Fail")))</f>
        <v>Fail</v>
      </c>
      <c r="AF54" s="1" t="str">
        <f>IF(AND(Table1[[#This Row],[Spec Type2]]="N/A",Table1[[#This Row],[DUT Adj Read]]="N/A",Table1[[#This Row],[Std Adj Read]]="N/A"),"N/A",IF(Table1[[#This Row],[DUT Adj Read]]="N/A",IF(Table1[[#This Row],[Std Adj Read]]&gt;=Table1[[#This Row],[Low Tol]],"Pass","Fail"),IF(Table1[[#This Row],[DUT Adj Read]]&gt;=Table1[[#This Row],[Low Tol]],"Pass","Fail")))</f>
        <v>Pass</v>
      </c>
      <c r="AG54" s="1" t="str">
        <f>IF(AND(Table1[[#This Row],[Spec Type2]]="N/A",Table1[[#This Row],[DUT Adj Read]]="N/A",Table1[[#This Row],[Std Adj Read]]="N/A"),"N/A",IF(Table1[[#This Row],[DUT Adj Read]]="N/A",IF(Table1[[#This Row],[Std Adj Read]]&lt;=Table1[[#This Row],[High Tol]],"Pass","Fail"),IF(Table1[[#This Row],[DUT Adj Read]]&lt;=Table1[[#This Row],[High Tol]],"Pass","Fail")))</f>
        <v>Fail</v>
      </c>
      <c r="AH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 s="1" t="b">
        <v>0</v>
      </c>
      <c r="AN54" s="1" t="b">
        <v>0</v>
      </c>
      <c r="AO54" s="1" t="b">
        <v>0</v>
      </c>
    </row>
    <row r="55" spans="1:41" x14ac:dyDescent="0.25">
      <c r="A55" s="10"/>
      <c r="B55" s="10"/>
      <c r="C55" s="10"/>
      <c r="D55" s="10"/>
      <c r="E55" s="10"/>
      <c r="F55" s="10"/>
      <c r="G55" s="10"/>
      <c r="H55" s="10"/>
      <c r="I55" s="1" t="str">
        <f t="shared" si="2"/>
        <v/>
      </c>
      <c r="J55" s="1" t="s">
        <v>35</v>
      </c>
      <c r="K55" s="1" t="str">
        <f t="shared" si="0"/>
        <v/>
      </c>
      <c r="L55" s="1" t="str">
        <f t="shared" si="1"/>
        <v/>
      </c>
      <c r="M55" s="1">
        <f>IF(OR(Table1[[#This Row],[Std Nom]]="",Table1[[#This Row],[Std Read]]=""),0,Table1[[#This Row],[Std Nom]]-Table1[[#This Row],[Std Read]])</f>
        <v>0</v>
      </c>
      <c r="N55" s="1">
        <f>IF(Calculations!$F$5="ACCREDITED 17025 WITH UNCERTAINTIES",$N$10,0)</f>
        <v>0</v>
      </c>
      <c r="O55" s="1" t="str">
        <f>IFERROR(Table1[[#This Row],[Std Nom]]-(_xlfn.XLOOKUP(Table1[[#This Row],[Manufacturer]]&amp;" "&amp;Table1[[#This Row],[Model]],Table13[MFR &amp; MDL],Table13[Tolerance % CW ],"")/100*Table1[[#This Row],[Std Nom]]),"")</f>
        <v/>
      </c>
      <c r="P55" s="1" t="str">
        <f>IFERROR(Table1[[#This Row],[Std Nom]]+(_xlfn.XLOOKUP(Table1[[#This Row],[Manufacturer]]&amp;" "&amp;Table1[[#This Row],[Model]],Table13[MFR &amp; MDL],Table13[Tolerance % CW ],"")/100*Table1[[#This Row],[Std Nom]]),"")</f>
        <v/>
      </c>
      <c r="Q55" s="1" t="e">
        <f>Table1[[#This Row],[High Tol]]-Table1[[#This Row],[Low Tol]]</f>
        <v>#VALUE!</v>
      </c>
      <c r="R55" s="1">
        <f>2*Table1[[#This Row],[Std Error]]</f>
        <v>0</v>
      </c>
      <c r="S55" s="1" t="str">
        <f>IF(Table1[[#This Row],[High Tol]]="","N/A",IFERROR(ABS(Table1[[#This Row],[Tol Span]]/Table1[[#This Row],[Error Span]]),"N/A"))</f>
        <v>N/A</v>
      </c>
      <c r="T55" s="1" t="str">
        <f>IF(OR(Table1[[#This Row],[Low Tol]]="",Table1[[#This Row],[High Tol]]=""),"Needs Analysis",IF(Table1[[#This Row],[Ratio]]&gt;=4,"Not Significant",IF(Table1[[#This Row],[Ratio]]&gt;=2,"Semi-Significant","Significant")))</f>
        <v>Needs Analysis</v>
      </c>
      <c r="W55" s="1">
        <f>IF(Table1[[#This Row],[Cal Type]]&lt;&gt;"ACCREDITED 17025 WITH UNCERTAINTIES",0,"")</f>
        <v>0</v>
      </c>
      <c r="X55" s="1" t="str">
        <f>IF(Table1[[#This Row],[DUT Read]]="","N/A",Table1[[#This Row],[Std Error]]+Table1[[#This Row],[DUT Read]]+Table1[[#This Row],[DUT Ucty]])</f>
        <v>N/A</v>
      </c>
      <c r="Y55" s="1" t="str">
        <f>IF(Table1[[#This Row],[Std Read]]="","N/A",Table1[[#This Row],[Std Read]]+Table1[[#This Row],[Std Ucty]])</f>
        <v>N/A</v>
      </c>
      <c r="Z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 s="1" t="str">
        <f>IF(Table1[[#This Row],[Spec Type]]="","N/A",Table1[[#This Row],[Spec Type]])</f>
        <v>±</v>
      </c>
      <c r="AC55" s="1" t="str">
        <f>IF(Table1[[#This Row],[Spec Type2]]="N/A","N/A",IF(AND(Table1[[#This Row],[DUT Adj Read]]&gt;=Table1[[#This Row],[Low Tol]],Table1[[#This Row],[DUT Adj Read]]&lt;=Table1[[#This Row],[High Tol]]),"Pass","Fail"))</f>
        <v>Fail</v>
      </c>
      <c r="AD55" s="1" t="str">
        <f>IF(AND(Table1[[#This Row],[Spec Type2]]="N/A",Table1[[#This Row],[DUT Adj Read]]="N/A",Table1[[#This Row],[Std Adj Read]]="N/A"),"N/A",IF(Table1[[#This Row],[DUT Adj Read]]="N/A",IF(Table1[[#This Row],[Std Adj Read]]&gt;Table1[[#This Row],[Low Tol]],"Pass","Fail"),IF(Table1[[#This Row],[DUT Adj Read]]&gt;Table1[[#This Row],[Low Tol]],"Pass","Fail")))</f>
        <v>Pass</v>
      </c>
      <c r="AE55" s="1" t="str">
        <f>IF(AND(Table1[[#This Row],[Spec Type2]]="N/A",Table1[[#This Row],[DUT Adj Read]]="N/A",Table1[[#This Row],[Std Adj Read]]="N/A"),"N/A",IF(Table1[[#This Row],[DUT Adj Read]]="N/A",IF(Table1[[#This Row],[Std Adj Read]]&lt;Table1[[#This Row],[High Tol]],"Pass","Fail"),IF(Table1[[#This Row],[DUT Adj Read]]&lt;Table1[[#This Row],[High Tol]],"Pass","Fail")))</f>
        <v>Fail</v>
      </c>
      <c r="AF55" s="1" t="str">
        <f>IF(AND(Table1[[#This Row],[Spec Type2]]="N/A",Table1[[#This Row],[DUT Adj Read]]="N/A",Table1[[#This Row],[Std Adj Read]]="N/A"),"N/A",IF(Table1[[#This Row],[DUT Adj Read]]="N/A",IF(Table1[[#This Row],[Std Adj Read]]&gt;=Table1[[#This Row],[Low Tol]],"Pass","Fail"),IF(Table1[[#This Row],[DUT Adj Read]]&gt;=Table1[[#This Row],[Low Tol]],"Pass","Fail")))</f>
        <v>Pass</v>
      </c>
      <c r="AG55" s="1" t="str">
        <f>IF(AND(Table1[[#This Row],[Spec Type2]]="N/A",Table1[[#This Row],[DUT Adj Read]]="N/A",Table1[[#This Row],[Std Adj Read]]="N/A"),"N/A",IF(Table1[[#This Row],[DUT Adj Read]]="N/A",IF(Table1[[#This Row],[Std Adj Read]]&lt;=Table1[[#This Row],[High Tol]],"Pass","Fail"),IF(Table1[[#This Row],[DUT Adj Read]]&lt;=Table1[[#This Row],[High Tol]],"Pass","Fail")))</f>
        <v>Fail</v>
      </c>
      <c r="AH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 s="1" t="b">
        <v>0</v>
      </c>
      <c r="AN55" s="1" t="b">
        <v>0</v>
      </c>
      <c r="AO55" s="1" t="b">
        <v>0</v>
      </c>
    </row>
    <row r="56" spans="1:41" x14ac:dyDescent="0.25">
      <c r="A56" s="10"/>
      <c r="B56" s="10"/>
      <c r="C56" s="10"/>
      <c r="D56" s="10"/>
      <c r="E56" s="10"/>
      <c r="F56" s="10"/>
      <c r="G56" s="10"/>
      <c r="H56" s="10"/>
      <c r="I56" s="1" t="str">
        <f t="shared" si="2"/>
        <v/>
      </c>
      <c r="J56" s="1" t="s">
        <v>35</v>
      </c>
      <c r="K56" s="1" t="str">
        <f t="shared" si="0"/>
        <v/>
      </c>
      <c r="L56" s="1" t="str">
        <f t="shared" si="1"/>
        <v/>
      </c>
      <c r="M56" s="1">
        <f>IF(OR(Table1[[#This Row],[Std Nom]]="",Table1[[#This Row],[Std Read]]=""),0,Table1[[#This Row],[Std Nom]]-Table1[[#This Row],[Std Read]])</f>
        <v>0</v>
      </c>
      <c r="N56" s="1">
        <f>IF(Calculations!$F$5="ACCREDITED 17025 WITH UNCERTAINTIES",$N$10,0)</f>
        <v>0</v>
      </c>
      <c r="O56" s="1" t="str">
        <f>IFERROR(Table1[[#This Row],[Std Nom]]-(_xlfn.XLOOKUP(Table1[[#This Row],[Manufacturer]]&amp;" "&amp;Table1[[#This Row],[Model]],Table13[MFR &amp; MDL],Table13[Tolerance % CW ],"")/100*Table1[[#This Row],[Std Nom]]),"")</f>
        <v/>
      </c>
      <c r="P56" s="1" t="str">
        <f>IFERROR(Table1[[#This Row],[Std Nom]]+(_xlfn.XLOOKUP(Table1[[#This Row],[Manufacturer]]&amp;" "&amp;Table1[[#This Row],[Model]],Table13[MFR &amp; MDL],Table13[Tolerance % CW ],"")/100*Table1[[#This Row],[Std Nom]]),"")</f>
        <v/>
      </c>
      <c r="Q56" s="1" t="e">
        <f>Table1[[#This Row],[High Tol]]-Table1[[#This Row],[Low Tol]]</f>
        <v>#VALUE!</v>
      </c>
      <c r="R56" s="1">
        <f>2*Table1[[#This Row],[Std Error]]</f>
        <v>0</v>
      </c>
      <c r="S56" s="1" t="str">
        <f>IF(Table1[[#This Row],[High Tol]]="","N/A",IFERROR(ABS(Table1[[#This Row],[Tol Span]]/Table1[[#This Row],[Error Span]]),"N/A"))</f>
        <v>N/A</v>
      </c>
      <c r="T56" s="1" t="str">
        <f>IF(OR(Table1[[#This Row],[Low Tol]]="",Table1[[#This Row],[High Tol]]=""),"Needs Analysis",IF(Table1[[#This Row],[Ratio]]&gt;=4,"Not Significant",IF(Table1[[#This Row],[Ratio]]&gt;=2,"Semi-Significant","Significant")))</f>
        <v>Needs Analysis</v>
      </c>
      <c r="W56" s="1">
        <f>IF(Table1[[#This Row],[Cal Type]]&lt;&gt;"ACCREDITED 17025 WITH UNCERTAINTIES",0,"")</f>
        <v>0</v>
      </c>
      <c r="X56" s="1" t="str">
        <f>IF(Table1[[#This Row],[DUT Read]]="","N/A",Table1[[#This Row],[Std Error]]+Table1[[#This Row],[DUT Read]]+Table1[[#This Row],[DUT Ucty]])</f>
        <v>N/A</v>
      </c>
      <c r="Y56" s="1" t="str">
        <f>IF(Table1[[#This Row],[Std Read]]="","N/A",Table1[[#This Row],[Std Read]]+Table1[[#This Row],[Std Ucty]])</f>
        <v>N/A</v>
      </c>
      <c r="Z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 s="1" t="str">
        <f>IF(Table1[[#This Row],[Spec Type]]="","N/A",Table1[[#This Row],[Spec Type]])</f>
        <v>±</v>
      </c>
      <c r="AC56" s="1" t="str">
        <f>IF(Table1[[#This Row],[Spec Type2]]="N/A","N/A",IF(AND(Table1[[#This Row],[DUT Adj Read]]&gt;=Table1[[#This Row],[Low Tol]],Table1[[#This Row],[DUT Adj Read]]&lt;=Table1[[#This Row],[High Tol]]),"Pass","Fail"))</f>
        <v>Fail</v>
      </c>
      <c r="AD56" s="1" t="str">
        <f>IF(AND(Table1[[#This Row],[Spec Type2]]="N/A",Table1[[#This Row],[DUT Adj Read]]="N/A",Table1[[#This Row],[Std Adj Read]]="N/A"),"N/A",IF(Table1[[#This Row],[DUT Adj Read]]="N/A",IF(Table1[[#This Row],[Std Adj Read]]&gt;Table1[[#This Row],[Low Tol]],"Pass","Fail"),IF(Table1[[#This Row],[DUT Adj Read]]&gt;Table1[[#This Row],[Low Tol]],"Pass","Fail")))</f>
        <v>Pass</v>
      </c>
      <c r="AE56" s="1" t="str">
        <f>IF(AND(Table1[[#This Row],[Spec Type2]]="N/A",Table1[[#This Row],[DUT Adj Read]]="N/A",Table1[[#This Row],[Std Adj Read]]="N/A"),"N/A",IF(Table1[[#This Row],[DUT Adj Read]]="N/A",IF(Table1[[#This Row],[Std Adj Read]]&lt;Table1[[#This Row],[High Tol]],"Pass","Fail"),IF(Table1[[#This Row],[DUT Adj Read]]&lt;Table1[[#This Row],[High Tol]],"Pass","Fail")))</f>
        <v>Fail</v>
      </c>
      <c r="AF56" s="1" t="str">
        <f>IF(AND(Table1[[#This Row],[Spec Type2]]="N/A",Table1[[#This Row],[DUT Adj Read]]="N/A",Table1[[#This Row],[Std Adj Read]]="N/A"),"N/A",IF(Table1[[#This Row],[DUT Adj Read]]="N/A",IF(Table1[[#This Row],[Std Adj Read]]&gt;=Table1[[#This Row],[Low Tol]],"Pass","Fail"),IF(Table1[[#This Row],[DUT Adj Read]]&gt;=Table1[[#This Row],[Low Tol]],"Pass","Fail")))</f>
        <v>Pass</v>
      </c>
      <c r="AG56" s="1" t="str">
        <f>IF(AND(Table1[[#This Row],[Spec Type2]]="N/A",Table1[[#This Row],[DUT Adj Read]]="N/A",Table1[[#This Row],[Std Adj Read]]="N/A"),"N/A",IF(Table1[[#This Row],[DUT Adj Read]]="N/A",IF(Table1[[#This Row],[Std Adj Read]]&lt;=Table1[[#This Row],[High Tol]],"Pass","Fail"),IF(Table1[[#This Row],[DUT Adj Read]]&lt;=Table1[[#This Row],[High Tol]],"Pass","Fail")))</f>
        <v>Fail</v>
      </c>
      <c r="AH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 s="1" t="b">
        <v>0</v>
      </c>
      <c r="AN56" s="1" t="b">
        <v>0</v>
      </c>
      <c r="AO56" s="1" t="b">
        <v>0</v>
      </c>
    </row>
    <row r="57" spans="1:41" x14ac:dyDescent="0.25">
      <c r="A57" s="10"/>
      <c r="B57" s="10"/>
      <c r="C57" s="10"/>
      <c r="D57" s="10"/>
      <c r="E57" s="10"/>
      <c r="F57" s="10"/>
      <c r="G57" s="10"/>
      <c r="H57" s="10"/>
      <c r="I57" s="1" t="str">
        <f t="shared" si="2"/>
        <v/>
      </c>
      <c r="J57" s="1" t="s">
        <v>35</v>
      </c>
      <c r="K57" s="1" t="str">
        <f t="shared" si="0"/>
        <v/>
      </c>
      <c r="L57" s="1" t="str">
        <f t="shared" si="1"/>
        <v/>
      </c>
      <c r="M57" s="1">
        <f>IF(OR(Table1[[#This Row],[Std Nom]]="",Table1[[#This Row],[Std Read]]=""),0,Table1[[#This Row],[Std Nom]]-Table1[[#This Row],[Std Read]])</f>
        <v>0</v>
      </c>
      <c r="N57" s="1">
        <f>IF(Calculations!$F$5="ACCREDITED 17025 WITH UNCERTAINTIES",$N$10,0)</f>
        <v>0</v>
      </c>
      <c r="O57" s="1" t="str">
        <f>IFERROR(Table1[[#This Row],[Std Nom]]-(_xlfn.XLOOKUP(Table1[[#This Row],[Manufacturer]]&amp;" "&amp;Table1[[#This Row],[Model]],Table13[MFR &amp; MDL],Table13[Tolerance % CW ],"")/100*Table1[[#This Row],[Std Nom]]),"")</f>
        <v/>
      </c>
      <c r="P57" s="1" t="str">
        <f>IFERROR(Table1[[#This Row],[Std Nom]]+(_xlfn.XLOOKUP(Table1[[#This Row],[Manufacturer]]&amp;" "&amp;Table1[[#This Row],[Model]],Table13[MFR &amp; MDL],Table13[Tolerance % CW ],"")/100*Table1[[#This Row],[Std Nom]]),"")</f>
        <v/>
      </c>
      <c r="Q57" s="1" t="e">
        <f>Table1[[#This Row],[High Tol]]-Table1[[#This Row],[Low Tol]]</f>
        <v>#VALUE!</v>
      </c>
      <c r="R57" s="1">
        <f>2*Table1[[#This Row],[Std Error]]</f>
        <v>0</v>
      </c>
      <c r="S57" s="1" t="str">
        <f>IF(Table1[[#This Row],[High Tol]]="","N/A",IFERROR(ABS(Table1[[#This Row],[Tol Span]]/Table1[[#This Row],[Error Span]]),"N/A"))</f>
        <v>N/A</v>
      </c>
      <c r="T57" s="1" t="str">
        <f>IF(OR(Table1[[#This Row],[Low Tol]]="",Table1[[#This Row],[High Tol]]=""),"Needs Analysis",IF(Table1[[#This Row],[Ratio]]&gt;=4,"Not Significant",IF(Table1[[#This Row],[Ratio]]&gt;=2,"Semi-Significant","Significant")))</f>
        <v>Needs Analysis</v>
      </c>
      <c r="W57" s="1">
        <f>IF(Table1[[#This Row],[Cal Type]]&lt;&gt;"ACCREDITED 17025 WITH UNCERTAINTIES",0,"")</f>
        <v>0</v>
      </c>
      <c r="X57" s="1" t="str">
        <f>IF(Table1[[#This Row],[DUT Read]]="","N/A",Table1[[#This Row],[Std Error]]+Table1[[#This Row],[DUT Read]]+Table1[[#This Row],[DUT Ucty]])</f>
        <v>N/A</v>
      </c>
      <c r="Y57" s="1" t="str">
        <f>IF(Table1[[#This Row],[Std Read]]="","N/A",Table1[[#This Row],[Std Read]]+Table1[[#This Row],[Std Ucty]])</f>
        <v>N/A</v>
      </c>
      <c r="Z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 s="1" t="str">
        <f>IF(Table1[[#This Row],[Spec Type]]="","N/A",Table1[[#This Row],[Spec Type]])</f>
        <v>±</v>
      </c>
      <c r="AC57" s="1" t="str">
        <f>IF(Table1[[#This Row],[Spec Type2]]="N/A","N/A",IF(AND(Table1[[#This Row],[DUT Adj Read]]&gt;=Table1[[#This Row],[Low Tol]],Table1[[#This Row],[DUT Adj Read]]&lt;=Table1[[#This Row],[High Tol]]),"Pass","Fail"))</f>
        <v>Fail</v>
      </c>
      <c r="AD57" s="1" t="str">
        <f>IF(AND(Table1[[#This Row],[Spec Type2]]="N/A",Table1[[#This Row],[DUT Adj Read]]="N/A",Table1[[#This Row],[Std Adj Read]]="N/A"),"N/A",IF(Table1[[#This Row],[DUT Adj Read]]="N/A",IF(Table1[[#This Row],[Std Adj Read]]&gt;Table1[[#This Row],[Low Tol]],"Pass","Fail"),IF(Table1[[#This Row],[DUT Adj Read]]&gt;Table1[[#This Row],[Low Tol]],"Pass","Fail")))</f>
        <v>Pass</v>
      </c>
      <c r="AE57" s="1" t="str">
        <f>IF(AND(Table1[[#This Row],[Spec Type2]]="N/A",Table1[[#This Row],[DUT Adj Read]]="N/A",Table1[[#This Row],[Std Adj Read]]="N/A"),"N/A",IF(Table1[[#This Row],[DUT Adj Read]]="N/A",IF(Table1[[#This Row],[Std Adj Read]]&lt;Table1[[#This Row],[High Tol]],"Pass","Fail"),IF(Table1[[#This Row],[DUT Adj Read]]&lt;Table1[[#This Row],[High Tol]],"Pass","Fail")))</f>
        <v>Fail</v>
      </c>
      <c r="AF57" s="1" t="str">
        <f>IF(AND(Table1[[#This Row],[Spec Type2]]="N/A",Table1[[#This Row],[DUT Adj Read]]="N/A",Table1[[#This Row],[Std Adj Read]]="N/A"),"N/A",IF(Table1[[#This Row],[DUT Adj Read]]="N/A",IF(Table1[[#This Row],[Std Adj Read]]&gt;=Table1[[#This Row],[Low Tol]],"Pass","Fail"),IF(Table1[[#This Row],[DUT Adj Read]]&gt;=Table1[[#This Row],[Low Tol]],"Pass","Fail")))</f>
        <v>Pass</v>
      </c>
      <c r="AG57" s="1" t="str">
        <f>IF(AND(Table1[[#This Row],[Spec Type2]]="N/A",Table1[[#This Row],[DUT Adj Read]]="N/A",Table1[[#This Row],[Std Adj Read]]="N/A"),"N/A",IF(Table1[[#This Row],[DUT Adj Read]]="N/A",IF(Table1[[#This Row],[Std Adj Read]]&lt;=Table1[[#This Row],[High Tol]],"Pass","Fail"),IF(Table1[[#This Row],[DUT Adj Read]]&lt;=Table1[[#This Row],[High Tol]],"Pass","Fail")))</f>
        <v>Fail</v>
      </c>
      <c r="AH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 s="1" t="b">
        <v>0</v>
      </c>
      <c r="AN57" s="1" t="b">
        <v>0</v>
      </c>
      <c r="AO57" s="1" t="b">
        <v>0</v>
      </c>
    </row>
    <row r="58" spans="1:41" x14ac:dyDescent="0.25">
      <c r="A58" s="10"/>
      <c r="B58" s="10"/>
      <c r="C58" s="10"/>
      <c r="D58" s="10"/>
      <c r="E58" s="10"/>
      <c r="F58" s="10"/>
      <c r="G58" s="10"/>
      <c r="H58" s="10"/>
      <c r="I58" s="1" t="str">
        <f t="shared" si="2"/>
        <v/>
      </c>
      <c r="J58" s="1" t="s">
        <v>35</v>
      </c>
      <c r="K58" s="1" t="str">
        <f t="shared" si="0"/>
        <v/>
      </c>
      <c r="L58" s="1" t="str">
        <f t="shared" si="1"/>
        <v/>
      </c>
      <c r="M58" s="1">
        <f>IF(OR(Table1[[#This Row],[Std Nom]]="",Table1[[#This Row],[Std Read]]=""),0,Table1[[#This Row],[Std Nom]]-Table1[[#This Row],[Std Read]])</f>
        <v>0</v>
      </c>
      <c r="N58" s="1">
        <f>IF(Calculations!$F$5="ACCREDITED 17025 WITH UNCERTAINTIES",$N$10,0)</f>
        <v>0</v>
      </c>
      <c r="O58" s="1" t="str">
        <f>IFERROR(Table1[[#This Row],[Std Nom]]-(_xlfn.XLOOKUP(Table1[[#This Row],[Manufacturer]]&amp;" "&amp;Table1[[#This Row],[Model]],Table13[MFR &amp; MDL],Table13[Tolerance % CW ],"")/100*Table1[[#This Row],[Std Nom]]),"")</f>
        <v/>
      </c>
      <c r="P58" s="1" t="str">
        <f>IFERROR(Table1[[#This Row],[Std Nom]]+(_xlfn.XLOOKUP(Table1[[#This Row],[Manufacturer]]&amp;" "&amp;Table1[[#This Row],[Model]],Table13[MFR &amp; MDL],Table13[Tolerance % CW ],"")/100*Table1[[#This Row],[Std Nom]]),"")</f>
        <v/>
      </c>
      <c r="Q58" s="1" t="e">
        <f>Table1[[#This Row],[High Tol]]-Table1[[#This Row],[Low Tol]]</f>
        <v>#VALUE!</v>
      </c>
      <c r="R58" s="1">
        <f>2*Table1[[#This Row],[Std Error]]</f>
        <v>0</v>
      </c>
      <c r="S58" s="1" t="str">
        <f>IF(Table1[[#This Row],[High Tol]]="","N/A",IFERROR(ABS(Table1[[#This Row],[Tol Span]]/Table1[[#This Row],[Error Span]]),"N/A"))</f>
        <v>N/A</v>
      </c>
      <c r="T58" s="1" t="str">
        <f>IF(OR(Table1[[#This Row],[Low Tol]]="",Table1[[#This Row],[High Tol]]=""),"Needs Analysis",IF(Table1[[#This Row],[Ratio]]&gt;=4,"Not Significant",IF(Table1[[#This Row],[Ratio]]&gt;=2,"Semi-Significant","Significant")))</f>
        <v>Needs Analysis</v>
      </c>
      <c r="W58" s="1">
        <f>IF(Table1[[#This Row],[Cal Type]]&lt;&gt;"ACCREDITED 17025 WITH UNCERTAINTIES",0,"")</f>
        <v>0</v>
      </c>
      <c r="X58" s="1" t="str">
        <f>IF(Table1[[#This Row],[DUT Read]]="","N/A",Table1[[#This Row],[Std Error]]+Table1[[#This Row],[DUT Read]]+Table1[[#This Row],[DUT Ucty]])</f>
        <v>N/A</v>
      </c>
      <c r="Y58" s="1" t="str">
        <f>IF(Table1[[#This Row],[Std Read]]="","N/A",Table1[[#This Row],[Std Read]]+Table1[[#This Row],[Std Ucty]])</f>
        <v>N/A</v>
      </c>
      <c r="Z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 s="1" t="str">
        <f>IF(Table1[[#This Row],[Spec Type]]="","N/A",Table1[[#This Row],[Spec Type]])</f>
        <v>±</v>
      </c>
      <c r="AC58" s="1" t="str">
        <f>IF(Table1[[#This Row],[Spec Type2]]="N/A","N/A",IF(AND(Table1[[#This Row],[DUT Adj Read]]&gt;=Table1[[#This Row],[Low Tol]],Table1[[#This Row],[DUT Adj Read]]&lt;=Table1[[#This Row],[High Tol]]),"Pass","Fail"))</f>
        <v>Fail</v>
      </c>
      <c r="AD58" s="1" t="str">
        <f>IF(AND(Table1[[#This Row],[Spec Type2]]="N/A",Table1[[#This Row],[DUT Adj Read]]="N/A",Table1[[#This Row],[Std Adj Read]]="N/A"),"N/A",IF(Table1[[#This Row],[DUT Adj Read]]="N/A",IF(Table1[[#This Row],[Std Adj Read]]&gt;Table1[[#This Row],[Low Tol]],"Pass","Fail"),IF(Table1[[#This Row],[DUT Adj Read]]&gt;Table1[[#This Row],[Low Tol]],"Pass","Fail")))</f>
        <v>Pass</v>
      </c>
      <c r="AE58" s="1" t="str">
        <f>IF(AND(Table1[[#This Row],[Spec Type2]]="N/A",Table1[[#This Row],[DUT Adj Read]]="N/A",Table1[[#This Row],[Std Adj Read]]="N/A"),"N/A",IF(Table1[[#This Row],[DUT Adj Read]]="N/A",IF(Table1[[#This Row],[Std Adj Read]]&lt;Table1[[#This Row],[High Tol]],"Pass","Fail"),IF(Table1[[#This Row],[DUT Adj Read]]&lt;Table1[[#This Row],[High Tol]],"Pass","Fail")))</f>
        <v>Fail</v>
      </c>
      <c r="AF58" s="1" t="str">
        <f>IF(AND(Table1[[#This Row],[Spec Type2]]="N/A",Table1[[#This Row],[DUT Adj Read]]="N/A",Table1[[#This Row],[Std Adj Read]]="N/A"),"N/A",IF(Table1[[#This Row],[DUT Adj Read]]="N/A",IF(Table1[[#This Row],[Std Adj Read]]&gt;=Table1[[#This Row],[Low Tol]],"Pass","Fail"),IF(Table1[[#This Row],[DUT Adj Read]]&gt;=Table1[[#This Row],[Low Tol]],"Pass","Fail")))</f>
        <v>Pass</v>
      </c>
      <c r="AG58" s="1" t="str">
        <f>IF(AND(Table1[[#This Row],[Spec Type2]]="N/A",Table1[[#This Row],[DUT Adj Read]]="N/A",Table1[[#This Row],[Std Adj Read]]="N/A"),"N/A",IF(Table1[[#This Row],[DUT Adj Read]]="N/A",IF(Table1[[#This Row],[Std Adj Read]]&lt;=Table1[[#This Row],[High Tol]],"Pass","Fail"),IF(Table1[[#This Row],[DUT Adj Read]]&lt;=Table1[[#This Row],[High Tol]],"Pass","Fail")))</f>
        <v>Fail</v>
      </c>
      <c r="AH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 s="1" t="b">
        <v>0</v>
      </c>
      <c r="AN58" s="1" t="b">
        <v>0</v>
      </c>
      <c r="AO58" s="1" t="b">
        <v>0</v>
      </c>
    </row>
    <row r="59" spans="1:41" x14ac:dyDescent="0.25">
      <c r="A59" s="10"/>
      <c r="B59" s="10"/>
      <c r="C59" s="10"/>
      <c r="D59" s="10"/>
      <c r="E59" s="10"/>
      <c r="F59" s="10"/>
      <c r="G59" s="10"/>
      <c r="H59" s="10"/>
      <c r="I59" s="1" t="str">
        <f t="shared" si="2"/>
        <v/>
      </c>
      <c r="J59" s="1" t="s">
        <v>35</v>
      </c>
      <c r="K59" s="1" t="str">
        <f t="shared" si="0"/>
        <v/>
      </c>
      <c r="L59" s="1" t="str">
        <f t="shared" si="1"/>
        <v/>
      </c>
      <c r="M59" s="1">
        <f>IF(OR(Table1[[#This Row],[Std Nom]]="",Table1[[#This Row],[Std Read]]=""),0,Table1[[#This Row],[Std Nom]]-Table1[[#This Row],[Std Read]])</f>
        <v>0</v>
      </c>
      <c r="N59" s="1">
        <f>IF(Calculations!$F$5="ACCREDITED 17025 WITH UNCERTAINTIES",$N$10,0)</f>
        <v>0</v>
      </c>
      <c r="O59" s="1" t="str">
        <f>IFERROR(Table1[[#This Row],[Std Nom]]-(_xlfn.XLOOKUP(Table1[[#This Row],[Manufacturer]]&amp;" "&amp;Table1[[#This Row],[Model]],Table13[MFR &amp; MDL],Table13[Tolerance % CW ],"")/100*Table1[[#This Row],[Std Nom]]),"")</f>
        <v/>
      </c>
      <c r="P59" s="1" t="str">
        <f>IFERROR(Table1[[#This Row],[Std Nom]]+(_xlfn.XLOOKUP(Table1[[#This Row],[Manufacturer]]&amp;" "&amp;Table1[[#This Row],[Model]],Table13[MFR &amp; MDL],Table13[Tolerance % CW ],"")/100*Table1[[#This Row],[Std Nom]]),"")</f>
        <v/>
      </c>
      <c r="Q59" s="1" t="e">
        <f>Table1[[#This Row],[High Tol]]-Table1[[#This Row],[Low Tol]]</f>
        <v>#VALUE!</v>
      </c>
      <c r="R59" s="1">
        <f>2*Table1[[#This Row],[Std Error]]</f>
        <v>0</v>
      </c>
      <c r="S59" s="1" t="str">
        <f>IF(Table1[[#This Row],[High Tol]]="","N/A",IFERROR(ABS(Table1[[#This Row],[Tol Span]]/Table1[[#This Row],[Error Span]]),"N/A"))</f>
        <v>N/A</v>
      </c>
      <c r="T59" s="1" t="str">
        <f>IF(OR(Table1[[#This Row],[Low Tol]]="",Table1[[#This Row],[High Tol]]=""),"Needs Analysis",IF(Table1[[#This Row],[Ratio]]&gt;=4,"Not Significant",IF(Table1[[#This Row],[Ratio]]&gt;=2,"Semi-Significant","Significant")))</f>
        <v>Needs Analysis</v>
      </c>
      <c r="W59" s="1">
        <f>IF(Table1[[#This Row],[Cal Type]]&lt;&gt;"ACCREDITED 17025 WITH UNCERTAINTIES",0,"")</f>
        <v>0</v>
      </c>
      <c r="X59" s="1" t="str">
        <f>IF(Table1[[#This Row],[DUT Read]]="","N/A",Table1[[#This Row],[Std Error]]+Table1[[#This Row],[DUT Read]]+Table1[[#This Row],[DUT Ucty]])</f>
        <v>N/A</v>
      </c>
      <c r="Y59" s="1" t="str">
        <f>IF(Table1[[#This Row],[Std Read]]="","N/A",Table1[[#This Row],[Std Read]]+Table1[[#This Row],[Std Ucty]])</f>
        <v>N/A</v>
      </c>
      <c r="Z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 s="1" t="str">
        <f>IF(Table1[[#This Row],[Spec Type]]="","N/A",Table1[[#This Row],[Spec Type]])</f>
        <v>±</v>
      </c>
      <c r="AC59" s="1" t="str">
        <f>IF(Table1[[#This Row],[Spec Type2]]="N/A","N/A",IF(AND(Table1[[#This Row],[DUT Adj Read]]&gt;=Table1[[#This Row],[Low Tol]],Table1[[#This Row],[DUT Adj Read]]&lt;=Table1[[#This Row],[High Tol]]),"Pass","Fail"))</f>
        <v>Fail</v>
      </c>
      <c r="AD59" s="1" t="str">
        <f>IF(AND(Table1[[#This Row],[Spec Type2]]="N/A",Table1[[#This Row],[DUT Adj Read]]="N/A",Table1[[#This Row],[Std Adj Read]]="N/A"),"N/A",IF(Table1[[#This Row],[DUT Adj Read]]="N/A",IF(Table1[[#This Row],[Std Adj Read]]&gt;Table1[[#This Row],[Low Tol]],"Pass","Fail"),IF(Table1[[#This Row],[DUT Adj Read]]&gt;Table1[[#This Row],[Low Tol]],"Pass","Fail")))</f>
        <v>Pass</v>
      </c>
      <c r="AE59" s="1" t="str">
        <f>IF(AND(Table1[[#This Row],[Spec Type2]]="N/A",Table1[[#This Row],[DUT Adj Read]]="N/A",Table1[[#This Row],[Std Adj Read]]="N/A"),"N/A",IF(Table1[[#This Row],[DUT Adj Read]]="N/A",IF(Table1[[#This Row],[Std Adj Read]]&lt;Table1[[#This Row],[High Tol]],"Pass","Fail"),IF(Table1[[#This Row],[DUT Adj Read]]&lt;Table1[[#This Row],[High Tol]],"Pass","Fail")))</f>
        <v>Fail</v>
      </c>
      <c r="AF59" s="1" t="str">
        <f>IF(AND(Table1[[#This Row],[Spec Type2]]="N/A",Table1[[#This Row],[DUT Adj Read]]="N/A",Table1[[#This Row],[Std Adj Read]]="N/A"),"N/A",IF(Table1[[#This Row],[DUT Adj Read]]="N/A",IF(Table1[[#This Row],[Std Adj Read]]&gt;=Table1[[#This Row],[Low Tol]],"Pass","Fail"),IF(Table1[[#This Row],[DUT Adj Read]]&gt;=Table1[[#This Row],[Low Tol]],"Pass","Fail")))</f>
        <v>Pass</v>
      </c>
      <c r="AG59" s="1" t="str">
        <f>IF(AND(Table1[[#This Row],[Spec Type2]]="N/A",Table1[[#This Row],[DUT Adj Read]]="N/A",Table1[[#This Row],[Std Adj Read]]="N/A"),"N/A",IF(Table1[[#This Row],[DUT Adj Read]]="N/A",IF(Table1[[#This Row],[Std Adj Read]]&lt;=Table1[[#This Row],[High Tol]],"Pass","Fail"),IF(Table1[[#This Row],[DUT Adj Read]]&lt;=Table1[[#This Row],[High Tol]],"Pass","Fail")))</f>
        <v>Fail</v>
      </c>
      <c r="AH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 s="1" t="b">
        <v>0</v>
      </c>
      <c r="AN59" s="1" t="b">
        <v>0</v>
      </c>
      <c r="AO59" s="1" t="b">
        <v>0</v>
      </c>
    </row>
    <row r="60" spans="1:41" x14ac:dyDescent="0.25">
      <c r="A60" s="10"/>
      <c r="B60" s="10"/>
      <c r="C60" s="10"/>
      <c r="D60" s="10"/>
      <c r="E60" s="10"/>
      <c r="F60" s="10"/>
      <c r="G60" s="10"/>
      <c r="H60" s="10"/>
      <c r="I60" s="1" t="str">
        <f t="shared" si="2"/>
        <v/>
      </c>
      <c r="J60" s="1" t="s">
        <v>35</v>
      </c>
      <c r="K60" s="1" t="str">
        <f t="shared" si="0"/>
        <v/>
      </c>
      <c r="L60" s="1" t="str">
        <f t="shared" si="1"/>
        <v/>
      </c>
      <c r="M60" s="1">
        <f>IF(OR(Table1[[#This Row],[Std Nom]]="",Table1[[#This Row],[Std Read]]=""),0,Table1[[#This Row],[Std Nom]]-Table1[[#This Row],[Std Read]])</f>
        <v>0</v>
      </c>
      <c r="N60" s="1">
        <f>IF(Calculations!$F$5="ACCREDITED 17025 WITH UNCERTAINTIES",$N$10,0)</f>
        <v>0</v>
      </c>
      <c r="O60" s="1" t="str">
        <f>IFERROR(Table1[[#This Row],[Std Nom]]-(_xlfn.XLOOKUP(Table1[[#This Row],[Manufacturer]]&amp;" "&amp;Table1[[#This Row],[Model]],Table13[MFR &amp; MDL],Table13[Tolerance % CW ],"")/100*Table1[[#This Row],[Std Nom]]),"")</f>
        <v/>
      </c>
      <c r="P60" s="1" t="str">
        <f>IFERROR(Table1[[#This Row],[Std Nom]]+(_xlfn.XLOOKUP(Table1[[#This Row],[Manufacturer]]&amp;" "&amp;Table1[[#This Row],[Model]],Table13[MFR &amp; MDL],Table13[Tolerance % CW ],"")/100*Table1[[#This Row],[Std Nom]]),"")</f>
        <v/>
      </c>
      <c r="Q60" s="1" t="e">
        <f>Table1[[#This Row],[High Tol]]-Table1[[#This Row],[Low Tol]]</f>
        <v>#VALUE!</v>
      </c>
      <c r="R60" s="1">
        <f>2*Table1[[#This Row],[Std Error]]</f>
        <v>0</v>
      </c>
      <c r="S60" s="1" t="str">
        <f>IF(Table1[[#This Row],[High Tol]]="","N/A",IFERROR(ABS(Table1[[#This Row],[Tol Span]]/Table1[[#This Row],[Error Span]]),"N/A"))</f>
        <v>N/A</v>
      </c>
      <c r="T60" s="1" t="str">
        <f>IF(OR(Table1[[#This Row],[Low Tol]]="",Table1[[#This Row],[High Tol]]=""),"Needs Analysis",IF(Table1[[#This Row],[Ratio]]&gt;=4,"Not Significant",IF(Table1[[#This Row],[Ratio]]&gt;=2,"Semi-Significant","Significant")))</f>
        <v>Needs Analysis</v>
      </c>
      <c r="W60" s="1">
        <f>IF(Table1[[#This Row],[Cal Type]]&lt;&gt;"ACCREDITED 17025 WITH UNCERTAINTIES",0,"")</f>
        <v>0</v>
      </c>
      <c r="X60" s="1" t="str">
        <f>IF(Table1[[#This Row],[DUT Read]]="","N/A",Table1[[#This Row],[Std Error]]+Table1[[#This Row],[DUT Read]]+Table1[[#This Row],[DUT Ucty]])</f>
        <v>N/A</v>
      </c>
      <c r="Y60" s="1" t="str">
        <f>IF(Table1[[#This Row],[Std Read]]="","N/A",Table1[[#This Row],[Std Read]]+Table1[[#This Row],[Std Ucty]])</f>
        <v>N/A</v>
      </c>
      <c r="Z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 s="1" t="str">
        <f>IF(Table1[[#This Row],[Spec Type]]="","N/A",Table1[[#This Row],[Spec Type]])</f>
        <v>±</v>
      </c>
      <c r="AC60" s="1" t="str">
        <f>IF(Table1[[#This Row],[Spec Type2]]="N/A","N/A",IF(AND(Table1[[#This Row],[DUT Adj Read]]&gt;=Table1[[#This Row],[Low Tol]],Table1[[#This Row],[DUT Adj Read]]&lt;=Table1[[#This Row],[High Tol]]),"Pass","Fail"))</f>
        <v>Fail</v>
      </c>
      <c r="AD60" s="1" t="str">
        <f>IF(AND(Table1[[#This Row],[Spec Type2]]="N/A",Table1[[#This Row],[DUT Adj Read]]="N/A",Table1[[#This Row],[Std Adj Read]]="N/A"),"N/A",IF(Table1[[#This Row],[DUT Adj Read]]="N/A",IF(Table1[[#This Row],[Std Adj Read]]&gt;Table1[[#This Row],[Low Tol]],"Pass","Fail"),IF(Table1[[#This Row],[DUT Adj Read]]&gt;Table1[[#This Row],[Low Tol]],"Pass","Fail")))</f>
        <v>Pass</v>
      </c>
      <c r="AE60" s="1" t="str">
        <f>IF(AND(Table1[[#This Row],[Spec Type2]]="N/A",Table1[[#This Row],[DUT Adj Read]]="N/A",Table1[[#This Row],[Std Adj Read]]="N/A"),"N/A",IF(Table1[[#This Row],[DUT Adj Read]]="N/A",IF(Table1[[#This Row],[Std Adj Read]]&lt;Table1[[#This Row],[High Tol]],"Pass","Fail"),IF(Table1[[#This Row],[DUT Adj Read]]&lt;Table1[[#This Row],[High Tol]],"Pass","Fail")))</f>
        <v>Fail</v>
      </c>
      <c r="AF60" s="1" t="str">
        <f>IF(AND(Table1[[#This Row],[Spec Type2]]="N/A",Table1[[#This Row],[DUT Adj Read]]="N/A",Table1[[#This Row],[Std Adj Read]]="N/A"),"N/A",IF(Table1[[#This Row],[DUT Adj Read]]="N/A",IF(Table1[[#This Row],[Std Adj Read]]&gt;=Table1[[#This Row],[Low Tol]],"Pass","Fail"),IF(Table1[[#This Row],[DUT Adj Read]]&gt;=Table1[[#This Row],[Low Tol]],"Pass","Fail")))</f>
        <v>Pass</v>
      </c>
      <c r="AG60" s="1" t="str">
        <f>IF(AND(Table1[[#This Row],[Spec Type2]]="N/A",Table1[[#This Row],[DUT Adj Read]]="N/A",Table1[[#This Row],[Std Adj Read]]="N/A"),"N/A",IF(Table1[[#This Row],[DUT Adj Read]]="N/A",IF(Table1[[#This Row],[Std Adj Read]]&lt;=Table1[[#This Row],[High Tol]],"Pass","Fail"),IF(Table1[[#This Row],[DUT Adj Read]]&lt;=Table1[[#This Row],[High Tol]],"Pass","Fail")))</f>
        <v>Fail</v>
      </c>
      <c r="AH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 s="1" t="b">
        <v>0</v>
      </c>
      <c r="AN60" s="1" t="b">
        <v>0</v>
      </c>
      <c r="AO60" s="1" t="b">
        <v>0</v>
      </c>
    </row>
    <row r="61" spans="1:41" x14ac:dyDescent="0.25">
      <c r="A61" s="10"/>
      <c r="B61" s="10"/>
      <c r="C61" s="10"/>
      <c r="D61" s="10"/>
      <c r="E61" s="10"/>
      <c r="F61" s="10"/>
      <c r="G61" s="10"/>
      <c r="H61" s="10"/>
      <c r="I61" s="1" t="str">
        <f t="shared" si="2"/>
        <v/>
      </c>
      <c r="J61" s="1" t="s">
        <v>35</v>
      </c>
      <c r="K61" s="1" t="str">
        <f t="shared" si="0"/>
        <v/>
      </c>
      <c r="L61" s="1" t="str">
        <f t="shared" si="1"/>
        <v/>
      </c>
      <c r="M61" s="1">
        <f>IF(OR(Table1[[#This Row],[Std Nom]]="",Table1[[#This Row],[Std Read]]=""),0,Table1[[#This Row],[Std Nom]]-Table1[[#This Row],[Std Read]])</f>
        <v>0</v>
      </c>
      <c r="N61" s="1">
        <f>IF(Calculations!$F$5="ACCREDITED 17025 WITH UNCERTAINTIES",$N$10,0)</f>
        <v>0</v>
      </c>
      <c r="O61" s="1" t="str">
        <f>IFERROR(Table1[[#This Row],[Std Nom]]-(_xlfn.XLOOKUP(Table1[[#This Row],[Manufacturer]]&amp;" "&amp;Table1[[#This Row],[Model]],Table13[MFR &amp; MDL],Table13[Tolerance % CW ],"")/100*Table1[[#This Row],[Std Nom]]),"")</f>
        <v/>
      </c>
      <c r="P61" s="1" t="str">
        <f>IFERROR(Table1[[#This Row],[Std Nom]]+(_xlfn.XLOOKUP(Table1[[#This Row],[Manufacturer]]&amp;" "&amp;Table1[[#This Row],[Model]],Table13[MFR &amp; MDL],Table13[Tolerance % CW ],"")/100*Table1[[#This Row],[Std Nom]]),"")</f>
        <v/>
      </c>
      <c r="Q61" s="1" t="e">
        <f>Table1[[#This Row],[High Tol]]-Table1[[#This Row],[Low Tol]]</f>
        <v>#VALUE!</v>
      </c>
      <c r="R61" s="1">
        <f>2*Table1[[#This Row],[Std Error]]</f>
        <v>0</v>
      </c>
      <c r="S61" s="1" t="str">
        <f>IF(Table1[[#This Row],[High Tol]]="","N/A",IFERROR(ABS(Table1[[#This Row],[Tol Span]]/Table1[[#This Row],[Error Span]]),"N/A"))</f>
        <v>N/A</v>
      </c>
      <c r="T61" s="1" t="str">
        <f>IF(OR(Table1[[#This Row],[Low Tol]]="",Table1[[#This Row],[High Tol]]=""),"Needs Analysis",IF(Table1[[#This Row],[Ratio]]&gt;=4,"Not Significant",IF(Table1[[#This Row],[Ratio]]&gt;=2,"Semi-Significant","Significant")))</f>
        <v>Needs Analysis</v>
      </c>
      <c r="W61" s="1">
        <f>IF(Table1[[#This Row],[Cal Type]]&lt;&gt;"ACCREDITED 17025 WITH UNCERTAINTIES",0,"")</f>
        <v>0</v>
      </c>
      <c r="X61" s="1" t="str">
        <f>IF(Table1[[#This Row],[DUT Read]]="","N/A",Table1[[#This Row],[Std Error]]+Table1[[#This Row],[DUT Read]]+Table1[[#This Row],[DUT Ucty]])</f>
        <v>N/A</v>
      </c>
      <c r="Y61" s="1" t="str">
        <f>IF(Table1[[#This Row],[Std Read]]="","N/A",Table1[[#This Row],[Std Read]]+Table1[[#This Row],[Std Ucty]])</f>
        <v>N/A</v>
      </c>
      <c r="Z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 s="1" t="str">
        <f>IF(Table1[[#This Row],[Spec Type]]="","N/A",Table1[[#This Row],[Spec Type]])</f>
        <v>±</v>
      </c>
      <c r="AC61" s="1" t="str">
        <f>IF(Table1[[#This Row],[Spec Type2]]="N/A","N/A",IF(AND(Table1[[#This Row],[DUT Adj Read]]&gt;=Table1[[#This Row],[Low Tol]],Table1[[#This Row],[DUT Adj Read]]&lt;=Table1[[#This Row],[High Tol]]),"Pass","Fail"))</f>
        <v>Fail</v>
      </c>
      <c r="AD61" s="1" t="str">
        <f>IF(AND(Table1[[#This Row],[Spec Type2]]="N/A",Table1[[#This Row],[DUT Adj Read]]="N/A",Table1[[#This Row],[Std Adj Read]]="N/A"),"N/A",IF(Table1[[#This Row],[DUT Adj Read]]="N/A",IF(Table1[[#This Row],[Std Adj Read]]&gt;Table1[[#This Row],[Low Tol]],"Pass","Fail"),IF(Table1[[#This Row],[DUT Adj Read]]&gt;Table1[[#This Row],[Low Tol]],"Pass","Fail")))</f>
        <v>Pass</v>
      </c>
      <c r="AE61" s="1" t="str">
        <f>IF(AND(Table1[[#This Row],[Spec Type2]]="N/A",Table1[[#This Row],[DUT Adj Read]]="N/A",Table1[[#This Row],[Std Adj Read]]="N/A"),"N/A",IF(Table1[[#This Row],[DUT Adj Read]]="N/A",IF(Table1[[#This Row],[Std Adj Read]]&lt;Table1[[#This Row],[High Tol]],"Pass","Fail"),IF(Table1[[#This Row],[DUT Adj Read]]&lt;Table1[[#This Row],[High Tol]],"Pass","Fail")))</f>
        <v>Fail</v>
      </c>
      <c r="AF61" s="1" t="str">
        <f>IF(AND(Table1[[#This Row],[Spec Type2]]="N/A",Table1[[#This Row],[DUT Adj Read]]="N/A",Table1[[#This Row],[Std Adj Read]]="N/A"),"N/A",IF(Table1[[#This Row],[DUT Adj Read]]="N/A",IF(Table1[[#This Row],[Std Adj Read]]&gt;=Table1[[#This Row],[Low Tol]],"Pass","Fail"),IF(Table1[[#This Row],[DUT Adj Read]]&gt;=Table1[[#This Row],[Low Tol]],"Pass","Fail")))</f>
        <v>Pass</v>
      </c>
      <c r="AG61" s="1" t="str">
        <f>IF(AND(Table1[[#This Row],[Spec Type2]]="N/A",Table1[[#This Row],[DUT Adj Read]]="N/A",Table1[[#This Row],[Std Adj Read]]="N/A"),"N/A",IF(Table1[[#This Row],[DUT Adj Read]]="N/A",IF(Table1[[#This Row],[Std Adj Read]]&lt;=Table1[[#This Row],[High Tol]],"Pass","Fail"),IF(Table1[[#This Row],[DUT Adj Read]]&lt;=Table1[[#This Row],[High Tol]],"Pass","Fail")))</f>
        <v>Fail</v>
      </c>
      <c r="AH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 s="1" t="b">
        <v>0</v>
      </c>
      <c r="AN61" s="1" t="b">
        <v>0</v>
      </c>
      <c r="AO61" s="1" t="b">
        <v>0</v>
      </c>
    </row>
    <row r="62" spans="1:41" x14ac:dyDescent="0.25">
      <c r="A62" s="10"/>
      <c r="B62" s="10"/>
      <c r="C62" s="10"/>
      <c r="D62" s="10"/>
      <c r="E62" s="10"/>
      <c r="F62" s="10"/>
      <c r="G62" s="10"/>
      <c r="H62" s="10"/>
      <c r="I62" s="1" t="str">
        <f t="shared" si="2"/>
        <v/>
      </c>
      <c r="J62" s="1" t="s">
        <v>35</v>
      </c>
      <c r="K62" s="1" t="str">
        <f t="shared" si="0"/>
        <v/>
      </c>
      <c r="L62" s="1" t="str">
        <f t="shared" si="1"/>
        <v/>
      </c>
      <c r="M62" s="1">
        <f>IF(OR(Table1[[#This Row],[Std Nom]]="",Table1[[#This Row],[Std Read]]=""),0,Table1[[#This Row],[Std Nom]]-Table1[[#This Row],[Std Read]])</f>
        <v>0</v>
      </c>
      <c r="N62" s="1">
        <f>IF(Calculations!$F$5="ACCREDITED 17025 WITH UNCERTAINTIES",$N$10,0)</f>
        <v>0</v>
      </c>
      <c r="O62" s="1" t="str">
        <f>IFERROR(Table1[[#This Row],[Std Nom]]-(_xlfn.XLOOKUP(Table1[[#This Row],[Manufacturer]]&amp;" "&amp;Table1[[#This Row],[Model]],Table13[MFR &amp; MDL],Table13[Tolerance % CW ],"")/100*Table1[[#This Row],[Std Nom]]),"")</f>
        <v/>
      </c>
      <c r="P62" s="1" t="str">
        <f>IFERROR(Table1[[#This Row],[Std Nom]]+(_xlfn.XLOOKUP(Table1[[#This Row],[Manufacturer]]&amp;" "&amp;Table1[[#This Row],[Model]],Table13[MFR &amp; MDL],Table13[Tolerance % CW ],"")/100*Table1[[#This Row],[Std Nom]]),"")</f>
        <v/>
      </c>
      <c r="Q62" s="1" t="e">
        <f>Table1[[#This Row],[High Tol]]-Table1[[#This Row],[Low Tol]]</f>
        <v>#VALUE!</v>
      </c>
      <c r="R62" s="1">
        <f>2*Table1[[#This Row],[Std Error]]</f>
        <v>0</v>
      </c>
      <c r="S62" s="1" t="str">
        <f>IF(Table1[[#This Row],[High Tol]]="","N/A",IFERROR(ABS(Table1[[#This Row],[Tol Span]]/Table1[[#This Row],[Error Span]]),"N/A"))</f>
        <v>N/A</v>
      </c>
      <c r="T62" s="1" t="str">
        <f>IF(OR(Table1[[#This Row],[Low Tol]]="",Table1[[#This Row],[High Tol]]=""),"Needs Analysis",IF(Table1[[#This Row],[Ratio]]&gt;=4,"Not Significant",IF(Table1[[#This Row],[Ratio]]&gt;=2,"Semi-Significant","Significant")))</f>
        <v>Needs Analysis</v>
      </c>
      <c r="W62" s="1">
        <f>IF(Table1[[#This Row],[Cal Type]]&lt;&gt;"ACCREDITED 17025 WITH UNCERTAINTIES",0,"")</f>
        <v>0</v>
      </c>
      <c r="X62" s="1" t="str">
        <f>IF(Table1[[#This Row],[DUT Read]]="","N/A",Table1[[#This Row],[Std Error]]+Table1[[#This Row],[DUT Read]]+Table1[[#This Row],[DUT Ucty]])</f>
        <v>N/A</v>
      </c>
      <c r="Y62" s="1" t="str">
        <f>IF(Table1[[#This Row],[Std Read]]="","N/A",Table1[[#This Row],[Std Read]]+Table1[[#This Row],[Std Ucty]])</f>
        <v>N/A</v>
      </c>
      <c r="Z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 s="1" t="str">
        <f>IF(Table1[[#This Row],[Spec Type]]="","N/A",Table1[[#This Row],[Spec Type]])</f>
        <v>±</v>
      </c>
      <c r="AC62" s="1" t="str">
        <f>IF(Table1[[#This Row],[Spec Type2]]="N/A","N/A",IF(AND(Table1[[#This Row],[DUT Adj Read]]&gt;=Table1[[#This Row],[Low Tol]],Table1[[#This Row],[DUT Adj Read]]&lt;=Table1[[#This Row],[High Tol]]),"Pass","Fail"))</f>
        <v>Fail</v>
      </c>
      <c r="AD62" s="1" t="str">
        <f>IF(AND(Table1[[#This Row],[Spec Type2]]="N/A",Table1[[#This Row],[DUT Adj Read]]="N/A",Table1[[#This Row],[Std Adj Read]]="N/A"),"N/A",IF(Table1[[#This Row],[DUT Adj Read]]="N/A",IF(Table1[[#This Row],[Std Adj Read]]&gt;Table1[[#This Row],[Low Tol]],"Pass","Fail"),IF(Table1[[#This Row],[DUT Adj Read]]&gt;Table1[[#This Row],[Low Tol]],"Pass","Fail")))</f>
        <v>Pass</v>
      </c>
      <c r="AE62" s="1" t="str">
        <f>IF(AND(Table1[[#This Row],[Spec Type2]]="N/A",Table1[[#This Row],[DUT Adj Read]]="N/A",Table1[[#This Row],[Std Adj Read]]="N/A"),"N/A",IF(Table1[[#This Row],[DUT Adj Read]]="N/A",IF(Table1[[#This Row],[Std Adj Read]]&lt;Table1[[#This Row],[High Tol]],"Pass","Fail"),IF(Table1[[#This Row],[DUT Adj Read]]&lt;Table1[[#This Row],[High Tol]],"Pass","Fail")))</f>
        <v>Fail</v>
      </c>
      <c r="AF62" s="1" t="str">
        <f>IF(AND(Table1[[#This Row],[Spec Type2]]="N/A",Table1[[#This Row],[DUT Adj Read]]="N/A",Table1[[#This Row],[Std Adj Read]]="N/A"),"N/A",IF(Table1[[#This Row],[DUT Adj Read]]="N/A",IF(Table1[[#This Row],[Std Adj Read]]&gt;=Table1[[#This Row],[Low Tol]],"Pass","Fail"),IF(Table1[[#This Row],[DUT Adj Read]]&gt;=Table1[[#This Row],[Low Tol]],"Pass","Fail")))</f>
        <v>Pass</v>
      </c>
      <c r="AG62" s="1" t="str">
        <f>IF(AND(Table1[[#This Row],[Spec Type2]]="N/A",Table1[[#This Row],[DUT Adj Read]]="N/A",Table1[[#This Row],[Std Adj Read]]="N/A"),"N/A",IF(Table1[[#This Row],[DUT Adj Read]]="N/A",IF(Table1[[#This Row],[Std Adj Read]]&lt;=Table1[[#This Row],[High Tol]],"Pass","Fail"),IF(Table1[[#This Row],[DUT Adj Read]]&lt;=Table1[[#This Row],[High Tol]],"Pass","Fail")))</f>
        <v>Fail</v>
      </c>
      <c r="AH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 s="1" t="b">
        <v>0</v>
      </c>
      <c r="AN62" s="1" t="b">
        <v>0</v>
      </c>
      <c r="AO62" s="1" t="b">
        <v>0</v>
      </c>
    </row>
    <row r="63" spans="1:41" x14ac:dyDescent="0.25">
      <c r="A63" s="10"/>
      <c r="B63" s="10"/>
      <c r="C63" s="10"/>
      <c r="D63" s="10"/>
      <c r="E63" s="10"/>
      <c r="F63" s="10"/>
      <c r="G63" s="10"/>
      <c r="H63" s="10"/>
      <c r="I63" s="1" t="str">
        <f t="shared" si="2"/>
        <v/>
      </c>
      <c r="J63" s="1" t="s">
        <v>35</v>
      </c>
      <c r="K63" s="1" t="str">
        <f t="shared" si="0"/>
        <v/>
      </c>
      <c r="L63" s="1" t="str">
        <f t="shared" si="1"/>
        <v/>
      </c>
      <c r="M63" s="1">
        <f>IF(OR(Table1[[#This Row],[Std Nom]]="",Table1[[#This Row],[Std Read]]=""),0,Table1[[#This Row],[Std Nom]]-Table1[[#This Row],[Std Read]])</f>
        <v>0</v>
      </c>
      <c r="N63" s="1">
        <f>IF(Calculations!$F$5="ACCREDITED 17025 WITH UNCERTAINTIES",$N$10,0)</f>
        <v>0</v>
      </c>
      <c r="O63" s="1" t="str">
        <f>IFERROR(Table1[[#This Row],[Std Nom]]-(_xlfn.XLOOKUP(Table1[[#This Row],[Manufacturer]]&amp;" "&amp;Table1[[#This Row],[Model]],Table13[MFR &amp; MDL],Table13[Tolerance % CW ],"")/100*Table1[[#This Row],[Std Nom]]),"")</f>
        <v/>
      </c>
      <c r="P63" s="1" t="str">
        <f>IFERROR(Table1[[#This Row],[Std Nom]]+(_xlfn.XLOOKUP(Table1[[#This Row],[Manufacturer]]&amp;" "&amp;Table1[[#This Row],[Model]],Table13[MFR &amp; MDL],Table13[Tolerance % CW ],"")/100*Table1[[#This Row],[Std Nom]]),"")</f>
        <v/>
      </c>
      <c r="Q63" s="1" t="e">
        <f>Table1[[#This Row],[High Tol]]-Table1[[#This Row],[Low Tol]]</f>
        <v>#VALUE!</v>
      </c>
      <c r="R63" s="1">
        <f>2*Table1[[#This Row],[Std Error]]</f>
        <v>0</v>
      </c>
      <c r="S63" s="1" t="str">
        <f>IF(Table1[[#This Row],[High Tol]]="","N/A",IFERROR(ABS(Table1[[#This Row],[Tol Span]]/Table1[[#This Row],[Error Span]]),"N/A"))</f>
        <v>N/A</v>
      </c>
      <c r="T63" s="1" t="str">
        <f>IF(OR(Table1[[#This Row],[Low Tol]]="",Table1[[#This Row],[High Tol]]=""),"Needs Analysis",IF(Table1[[#This Row],[Ratio]]&gt;=4,"Not Significant",IF(Table1[[#This Row],[Ratio]]&gt;=2,"Semi-Significant","Significant")))</f>
        <v>Needs Analysis</v>
      </c>
      <c r="W63" s="1">
        <f>IF(Table1[[#This Row],[Cal Type]]&lt;&gt;"ACCREDITED 17025 WITH UNCERTAINTIES",0,"")</f>
        <v>0</v>
      </c>
      <c r="X63" s="1" t="str">
        <f>IF(Table1[[#This Row],[DUT Read]]="","N/A",Table1[[#This Row],[Std Error]]+Table1[[#This Row],[DUT Read]]+Table1[[#This Row],[DUT Ucty]])</f>
        <v>N/A</v>
      </c>
      <c r="Y63" s="1" t="str">
        <f>IF(Table1[[#This Row],[Std Read]]="","N/A",Table1[[#This Row],[Std Read]]+Table1[[#This Row],[Std Ucty]])</f>
        <v>N/A</v>
      </c>
      <c r="Z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 s="1" t="str">
        <f>IF(Table1[[#This Row],[Spec Type]]="","N/A",Table1[[#This Row],[Spec Type]])</f>
        <v>±</v>
      </c>
      <c r="AC63" s="1" t="str">
        <f>IF(Table1[[#This Row],[Spec Type2]]="N/A","N/A",IF(AND(Table1[[#This Row],[DUT Adj Read]]&gt;=Table1[[#This Row],[Low Tol]],Table1[[#This Row],[DUT Adj Read]]&lt;=Table1[[#This Row],[High Tol]]),"Pass","Fail"))</f>
        <v>Fail</v>
      </c>
      <c r="AD63" s="1" t="str">
        <f>IF(AND(Table1[[#This Row],[Spec Type2]]="N/A",Table1[[#This Row],[DUT Adj Read]]="N/A",Table1[[#This Row],[Std Adj Read]]="N/A"),"N/A",IF(Table1[[#This Row],[DUT Adj Read]]="N/A",IF(Table1[[#This Row],[Std Adj Read]]&gt;Table1[[#This Row],[Low Tol]],"Pass","Fail"),IF(Table1[[#This Row],[DUT Adj Read]]&gt;Table1[[#This Row],[Low Tol]],"Pass","Fail")))</f>
        <v>Pass</v>
      </c>
      <c r="AE63" s="1" t="str">
        <f>IF(AND(Table1[[#This Row],[Spec Type2]]="N/A",Table1[[#This Row],[DUT Adj Read]]="N/A",Table1[[#This Row],[Std Adj Read]]="N/A"),"N/A",IF(Table1[[#This Row],[DUT Adj Read]]="N/A",IF(Table1[[#This Row],[Std Adj Read]]&lt;Table1[[#This Row],[High Tol]],"Pass","Fail"),IF(Table1[[#This Row],[DUT Adj Read]]&lt;Table1[[#This Row],[High Tol]],"Pass","Fail")))</f>
        <v>Fail</v>
      </c>
      <c r="AF63" s="1" t="str">
        <f>IF(AND(Table1[[#This Row],[Spec Type2]]="N/A",Table1[[#This Row],[DUT Adj Read]]="N/A",Table1[[#This Row],[Std Adj Read]]="N/A"),"N/A",IF(Table1[[#This Row],[DUT Adj Read]]="N/A",IF(Table1[[#This Row],[Std Adj Read]]&gt;=Table1[[#This Row],[Low Tol]],"Pass","Fail"),IF(Table1[[#This Row],[DUT Adj Read]]&gt;=Table1[[#This Row],[Low Tol]],"Pass","Fail")))</f>
        <v>Pass</v>
      </c>
      <c r="AG63" s="1" t="str">
        <f>IF(AND(Table1[[#This Row],[Spec Type2]]="N/A",Table1[[#This Row],[DUT Adj Read]]="N/A",Table1[[#This Row],[Std Adj Read]]="N/A"),"N/A",IF(Table1[[#This Row],[DUT Adj Read]]="N/A",IF(Table1[[#This Row],[Std Adj Read]]&lt;=Table1[[#This Row],[High Tol]],"Pass","Fail"),IF(Table1[[#This Row],[DUT Adj Read]]&lt;=Table1[[#This Row],[High Tol]],"Pass","Fail")))</f>
        <v>Fail</v>
      </c>
      <c r="AH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 s="1" t="b">
        <v>0</v>
      </c>
      <c r="AN63" s="1" t="b">
        <v>0</v>
      </c>
      <c r="AO63" s="1" t="b">
        <v>0</v>
      </c>
    </row>
    <row r="64" spans="1:41" x14ac:dyDescent="0.25">
      <c r="A64" s="10"/>
      <c r="B64" s="10"/>
      <c r="C64" s="10"/>
      <c r="D64" s="10"/>
      <c r="E64" s="10"/>
      <c r="F64" s="10"/>
      <c r="G64" s="10"/>
      <c r="H64" s="10"/>
      <c r="I64" s="1" t="str">
        <f t="shared" si="2"/>
        <v/>
      </c>
      <c r="J64" s="1" t="s">
        <v>35</v>
      </c>
      <c r="K64" s="1" t="str">
        <f t="shared" si="0"/>
        <v/>
      </c>
      <c r="L64" s="1" t="str">
        <f t="shared" si="1"/>
        <v/>
      </c>
      <c r="M64" s="1">
        <f>IF(OR(Table1[[#This Row],[Std Nom]]="",Table1[[#This Row],[Std Read]]=""),0,Table1[[#This Row],[Std Nom]]-Table1[[#This Row],[Std Read]])</f>
        <v>0</v>
      </c>
      <c r="N64" s="1">
        <f>IF(Calculations!$F$5="ACCREDITED 17025 WITH UNCERTAINTIES",$N$10,0)</f>
        <v>0</v>
      </c>
      <c r="O64" s="1" t="str">
        <f>IFERROR(Table1[[#This Row],[Std Nom]]-(_xlfn.XLOOKUP(Table1[[#This Row],[Manufacturer]]&amp;" "&amp;Table1[[#This Row],[Model]],Table13[MFR &amp; MDL],Table13[Tolerance % CW ],"")/100*Table1[[#This Row],[Std Nom]]),"")</f>
        <v/>
      </c>
      <c r="P64" s="1" t="str">
        <f>IFERROR(Table1[[#This Row],[Std Nom]]+(_xlfn.XLOOKUP(Table1[[#This Row],[Manufacturer]]&amp;" "&amp;Table1[[#This Row],[Model]],Table13[MFR &amp; MDL],Table13[Tolerance % CW ],"")/100*Table1[[#This Row],[Std Nom]]),"")</f>
        <v/>
      </c>
      <c r="Q64" s="1" t="e">
        <f>Table1[[#This Row],[High Tol]]-Table1[[#This Row],[Low Tol]]</f>
        <v>#VALUE!</v>
      </c>
      <c r="R64" s="1">
        <f>2*Table1[[#This Row],[Std Error]]</f>
        <v>0</v>
      </c>
      <c r="S64" s="1" t="str">
        <f>IF(Table1[[#This Row],[High Tol]]="","N/A",IFERROR(ABS(Table1[[#This Row],[Tol Span]]/Table1[[#This Row],[Error Span]]),"N/A"))</f>
        <v>N/A</v>
      </c>
      <c r="T64" s="1" t="str">
        <f>IF(OR(Table1[[#This Row],[Low Tol]]="",Table1[[#This Row],[High Tol]]=""),"Needs Analysis",IF(Table1[[#This Row],[Ratio]]&gt;=4,"Not Significant",IF(Table1[[#This Row],[Ratio]]&gt;=2,"Semi-Significant","Significant")))</f>
        <v>Needs Analysis</v>
      </c>
      <c r="W64" s="1">
        <f>IF(Table1[[#This Row],[Cal Type]]&lt;&gt;"ACCREDITED 17025 WITH UNCERTAINTIES",0,"")</f>
        <v>0</v>
      </c>
      <c r="X64" s="1" t="str">
        <f>IF(Table1[[#This Row],[DUT Read]]="","N/A",Table1[[#This Row],[Std Error]]+Table1[[#This Row],[DUT Read]]+Table1[[#This Row],[DUT Ucty]])</f>
        <v>N/A</v>
      </c>
      <c r="Y64" s="1" t="str">
        <f>IF(Table1[[#This Row],[Std Read]]="","N/A",Table1[[#This Row],[Std Read]]+Table1[[#This Row],[Std Ucty]])</f>
        <v>N/A</v>
      </c>
      <c r="Z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 s="1" t="str">
        <f>IF(Table1[[#This Row],[Spec Type]]="","N/A",Table1[[#This Row],[Spec Type]])</f>
        <v>±</v>
      </c>
      <c r="AC64" s="1" t="str">
        <f>IF(Table1[[#This Row],[Spec Type2]]="N/A","N/A",IF(AND(Table1[[#This Row],[DUT Adj Read]]&gt;=Table1[[#This Row],[Low Tol]],Table1[[#This Row],[DUT Adj Read]]&lt;=Table1[[#This Row],[High Tol]]),"Pass","Fail"))</f>
        <v>Fail</v>
      </c>
      <c r="AD64" s="1" t="str">
        <f>IF(AND(Table1[[#This Row],[Spec Type2]]="N/A",Table1[[#This Row],[DUT Adj Read]]="N/A",Table1[[#This Row],[Std Adj Read]]="N/A"),"N/A",IF(Table1[[#This Row],[DUT Adj Read]]="N/A",IF(Table1[[#This Row],[Std Adj Read]]&gt;Table1[[#This Row],[Low Tol]],"Pass","Fail"),IF(Table1[[#This Row],[DUT Adj Read]]&gt;Table1[[#This Row],[Low Tol]],"Pass","Fail")))</f>
        <v>Pass</v>
      </c>
      <c r="AE64" s="1" t="str">
        <f>IF(AND(Table1[[#This Row],[Spec Type2]]="N/A",Table1[[#This Row],[DUT Adj Read]]="N/A",Table1[[#This Row],[Std Adj Read]]="N/A"),"N/A",IF(Table1[[#This Row],[DUT Adj Read]]="N/A",IF(Table1[[#This Row],[Std Adj Read]]&lt;Table1[[#This Row],[High Tol]],"Pass","Fail"),IF(Table1[[#This Row],[DUT Adj Read]]&lt;Table1[[#This Row],[High Tol]],"Pass","Fail")))</f>
        <v>Fail</v>
      </c>
      <c r="AF64" s="1" t="str">
        <f>IF(AND(Table1[[#This Row],[Spec Type2]]="N/A",Table1[[#This Row],[DUT Adj Read]]="N/A",Table1[[#This Row],[Std Adj Read]]="N/A"),"N/A",IF(Table1[[#This Row],[DUT Adj Read]]="N/A",IF(Table1[[#This Row],[Std Adj Read]]&gt;=Table1[[#This Row],[Low Tol]],"Pass","Fail"),IF(Table1[[#This Row],[DUT Adj Read]]&gt;=Table1[[#This Row],[Low Tol]],"Pass","Fail")))</f>
        <v>Pass</v>
      </c>
      <c r="AG64" s="1" t="str">
        <f>IF(AND(Table1[[#This Row],[Spec Type2]]="N/A",Table1[[#This Row],[DUT Adj Read]]="N/A",Table1[[#This Row],[Std Adj Read]]="N/A"),"N/A",IF(Table1[[#This Row],[DUT Adj Read]]="N/A",IF(Table1[[#This Row],[Std Adj Read]]&lt;=Table1[[#This Row],[High Tol]],"Pass","Fail"),IF(Table1[[#This Row],[DUT Adj Read]]&lt;=Table1[[#This Row],[High Tol]],"Pass","Fail")))</f>
        <v>Fail</v>
      </c>
      <c r="AH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 s="1" t="b">
        <v>0</v>
      </c>
      <c r="AN64" s="1" t="b">
        <v>0</v>
      </c>
      <c r="AO64" s="1" t="b">
        <v>0</v>
      </c>
    </row>
    <row r="65" spans="1:41" x14ac:dyDescent="0.25">
      <c r="A65" s="10"/>
      <c r="B65" s="10"/>
      <c r="C65" s="10"/>
      <c r="D65" s="10"/>
      <c r="E65" s="10"/>
      <c r="F65" s="10"/>
      <c r="G65" s="10"/>
      <c r="H65" s="10"/>
      <c r="I65" s="1" t="str">
        <f t="shared" si="2"/>
        <v/>
      </c>
      <c r="J65" s="1" t="s">
        <v>35</v>
      </c>
      <c r="K65" s="1" t="str">
        <f t="shared" si="0"/>
        <v/>
      </c>
      <c r="L65" s="1" t="str">
        <f t="shared" si="1"/>
        <v/>
      </c>
      <c r="M65" s="1">
        <f>IF(OR(Table1[[#This Row],[Std Nom]]="",Table1[[#This Row],[Std Read]]=""),0,Table1[[#This Row],[Std Nom]]-Table1[[#This Row],[Std Read]])</f>
        <v>0</v>
      </c>
      <c r="N65" s="1">
        <f>IF(Calculations!$F$5="ACCREDITED 17025 WITH UNCERTAINTIES",$N$10,0)</f>
        <v>0</v>
      </c>
      <c r="O65" s="1" t="str">
        <f>IFERROR(Table1[[#This Row],[Std Nom]]-(_xlfn.XLOOKUP(Table1[[#This Row],[Manufacturer]]&amp;" "&amp;Table1[[#This Row],[Model]],Table13[MFR &amp; MDL],Table13[Tolerance % CW ],"")/100*Table1[[#This Row],[Std Nom]]),"")</f>
        <v/>
      </c>
      <c r="P65" s="1" t="str">
        <f>IFERROR(Table1[[#This Row],[Std Nom]]+(_xlfn.XLOOKUP(Table1[[#This Row],[Manufacturer]]&amp;" "&amp;Table1[[#This Row],[Model]],Table13[MFR &amp; MDL],Table13[Tolerance % CW ],"")/100*Table1[[#This Row],[Std Nom]]),"")</f>
        <v/>
      </c>
      <c r="Q65" s="1" t="e">
        <f>Table1[[#This Row],[High Tol]]-Table1[[#This Row],[Low Tol]]</f>
        <v>#VALUE!</v>
      </c>
      <c r="R65" s="1">
        <f>2*Table1[[#This Row],[Std Error]]</f>
        <v>0</v>
      </c>
      <c r="S65" s="1" t="str">
        <f>IF(Table1[[#This Row],[High Tol]]="","N/A",IFERROR(ABS(Table1[[#This Row],[Tol Span]]/Table1[[#This Row],[Error Span]]),"N/A"))</f>
        <v>N/A</v>
      </c>
      <c r="T65" s="1" t="str">
        <f>IF(OR(Table1[[#This Row],[Low Tol]]="",Table1[[#This Row],[High Tol]]=""),"Needs Analysis",IF(Table1[[#This Row],[Ratio]]&gt;=4,"Not Significant",IF(Table1[[#This Row],[Ratio]]&gt;=2,"Semi-Significant","Significant")))</f>
        <v>Needs Analysis</v>
      </c>
      <c r="W65" s="1">
        <f>IF(Table1[[#This Row],[Cal Type]]&lt;&gt;"ACCREDITED 17025 WITH UNCERTAINTIES",0,"")</f>
        <v>0</v>
      </c>
      <c r="X65" s="1" t="str">
        <f>IF(Table1[[#This Row],[DUT Read]]="","N/A",Table1[[#This Row],[Std Error]]+Table1[[#This Row],[DUT Read]]+Table1[[#This Row],[DUT Ucty]])</f>
        <v>N/A</v>
      </c>
      <c r="Y65" s="1" t="str">
        <f>IF(Table1[[#This Row],[Std Read]]="","N/A",Table1[[#This Row],[Std Read]]+Table1[[#This Row],[Std Ucty]])</f>
        <v>N/A</v>
      </c>
      <c r="Z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 s="1" t="str">
        <f>IF(Table1[[#This Row],[Spec Type]]="","N/A",Table1[[#This Row],[Spec Type]])</f>
        <v>±</v>
      </c>
      <c r="AC65" s="1" t="str">
        <f>IF(Table1[[#This Row],[Spec Type2]]="N/A","N/A",IF(AND(Table1[[#This Row],[DUT Adj Read]]&gt;=Table1[[#This Row],[Low Tol]],Table1[[#This Row],[DUT Adj Read]]&lt;=Table1[[#This Row],[High Tol]]),"Pass","Fail"))</f>
        <v>Fail</v>
      </c>
      <c r="AD65" s="1" t="str">
        <f>IF(AND(Table1[[#This Row],[Spec Type2]]="N/A",Table1[[#This Row],[DUT Adj Read]]="N/A",Table1[[#This Row],[Std Adj Read]]="N/A"),"N/A",IF(Table1[[#This Row],[DUT Adj Read]]="N/A",IF(Table1[[#This Row],[Std Adj Read]]&gt;Table1[[#This Row],[Low Tol]],"Pass","Fail"),IF(Table1[[#This Row],[DUT Adj Read]]&gt;Table1[[#This Row],[Low Tol]],"Pass","Fail")))</f>
        <v>Pass</v>
      </c>
      <c r="AE65" s="1" t="str">
        <f>IF(AND(Table1[[#This Row],[Spec Type2]]="N/A",Table1[[#This Row],[DUT Adj Read]]="N/A",Table1[[#This Row],[Std Adj Read]]="N/A"),"N/A",IF(Table1[[#This Row],[DUT Adj Read]]="N/A",IF(Table1[[#This Row],[Std Adj Read]]&lt;Table1[[#This Row],[High Tol]],"Pass","Fail"),IF(Table1[[#This Row],[DUT Adj Read]]&lt;Table1[[#This Row],[High Tol]],"Pass","Fail")))</f>
        <v>Fail</v>
      </c>
      <c r="AF65" s="1" t="str">
        <f>IF(AND(Table1[[#This Row],[Spec Type2]]="N/A",Table1[[#This Row],[DUT Adj Read]]="N/A",Table1[[#This Row],[Std Adj Read]]="N/A"),"N/A",IF(Table1[[#This Row],[DUT Adj Read]]="N/A",IF(Table1[[#This Row],[Std Adj Read]]&gt;=Table1[[#This Row],[Low Tol]],"Pass","Fail"),IF(Table1[[#This Row],[DUT Adj Read]]&gt;=Table1[[#This Row],[Low Tol]],"Pass","Fail")))</f>
        <v>Pass</v>
      </c>
      <c r="AG65" s="1" t="str">
        <f>IF(AND(Table1[[#This Row],[Spec Type2]]="N/A",Table1[[#This Row],[DUT Adj Read]]="N/A",Table1[[#This Row],[Std Adj Read]]="N/A"),"N/A",IF(Table1[[#This Row],[DUT Adj Read]]="N/A",IF(Table1[[#This Row],[Std Adj Read]]&lt;=Table1[[#This Row],[High Tol]],"Pass","Fail"),IF(Table1[[#This Row],[DUT Adj Read]]&lt;=Table1[[#This Row],[High Tol]],"Pass","Fail")))</f>
        <v>Fail</v>
      </c>
      <c r="AH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 s="1" t="b">
        <v>0</v>
      </c>
      <c r="AN65" s="1" t="b">
        <v>0</v>
      </c>
      <c r="AO65" s="1" t="b">
        <v>0</v>
      </c>
    </row>
    <row r="66" spans="1:41" x14ac:dyDescent="0.25">
      <c r="A66" s="10"/>
      <c r="B66" s="10"/>
      <c r="C66" s="10"/>
      <c r="D66" s="10"/>
      <c r="E66" s="10"/>
      <c r="F66" s="10"/>
      <c r="G66" s="10"/>
      <c r="H66" s="10"/>
      <c r="I66" s="1" t="str">
        <f t="shared" si="2"/>
        <v/>
      </c>
      <c r="J66" s="1" t="s">
        <v>35</v>
      </c>
      <c r="K66" s="1" t="str">
        <f t="shared" si="0"/>
        <v/>
      </c>
      <c r="L66" s="1" t="str">
        <f t="shared" si="1"/>
        <v/>
      </c>
      <c r="M66" s="1">
        <f>IF(OR(Table1[[#This Row],[Std Nom]]="",Table1[[#This Row],[Std Read]]=""),0,Table1[[#This Row],[Std Nom]]-Table1[[#This Row],[Std Read]])</f>
        <v>0</v>
      </c>
      <c r="N66" s="1">
        <f>IF(Calculations!$F$5="ACCREDITED 17025 WITH UNCERTAINTIES",$N$10,0)</f>
        <v>0</v>
      </c>
      <c r="O66" s="1" t="str">
        <f>IFERROR(Table1[[#This Row],[Std Nom]]-(_xlfn.XLOOKUP(Table1[[#This Row],[Manufacturer]]&amp;" "&amp;Table1[[#This Row],[Model]],Table13[MFR &amp; MDL],Table13[Tolerance % CW ],"")/100*Table1[[#This Row],[Std Nom]]),"")</f>
        <v/>
      </c>
      <c r="P66" s="1" t="str">
        <f>IFERROR(Table1[[#This Row],[Std Nom]]+(_xlfn.XLOOKUP(Table1[[#This Row],[Manufacturer]]&amp;" "&amp;Table1[[#This Row],[Model]],Table13[MFR &amp; MDL],Table13[Tolerance % CW ],"")/100*Table1[[#This Row],[Std Nom]]),"")</f>
        <v/>
      </c>
      <c r="Q66" s="1" t="e">
        <f>Table1[[#This Row],[High Tol]]-Table1[[#This Row],[Low Tol]]</f>
        <v>#VALUE!</v>
      </c>
      <c r="R66" s="1">
        <f>2*Table1[[#This Row],[Std Error]]</f>
        <v>0</v>
      </c>
      <c r="S66" s="1" t="str">
        <f>IF(Table1[[#This Row],[High Tol]]="","N/A",IFERROR(ABS(Table1[[#This Row],[Tol Span]]/Table1[[#This Row],[Error Span]]),"N/A"))</f>
        <v>N/A</v>
      </c>
      <c r="T66" s="1" t="str">
        <f>IF(OR(Table1[[#This Row],[Low Tol]]="",Table1[[#This Row],[High Tol]]=""),"Needs Analysis",IF(Table1[[#This Row],[Ratio]]&gt;=4,"Not Significant",IF(Table1[[#This Row],[Ratio]]&gt;=2,"Semi-Significant","Significant")))</f>
        <v>Needs Analysis</v>
      </c>
      <c r="W66" s="1">
        <f>IF(Table1[[#This Row],[Cal Type]]&lt;&gt;"ACCREDITED 17025 WITH UNCERTAINTIES",0,"")</f>
        <v>0</v>
      </c>
      <c r="X66" s="1" t="str">
        <f>IF(Table1[[#This Row],[DUT Read]]="","N/A",Table1[[#This Row],[Std Error]]+Table1[[#This Row],[DUT Read]]+Table1[[#This Row],[DUT Ucty]])</f>
        <v>N/A</v>
      </c>
      <c r="Y66" s="1" t="str">
        <f>IF(Table1[[#This Row],[Std Read]]="","N/A",Table1[[#This Row],[Std Read]]+Table1[[#This Row],[Std Ucty]])</f>
        <v>N/A</v>
      </c>
      <c r="Z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 s="1" t="str">
        <f>IF(Table1[[#This Row],[Spec Type]]="","N/A",Table1[[#This Row],[Spec Type]])</f>
        <v>±</v>
      </c>
      <c r="AC66" s="1" t="str">
        <f>IF(Table1[[#This Row],[Spec Type2]]="N/A","N/A",IF(AND(Table1[[#This Row],[DUT Adj Read]]&gt;=Table1[[#This Row],[Low Tol]],Table1[[#This Row],[DUT Adj Read]]&lt;=Table1[[#This Row],[High Tol]]),"Pass","Fail"))</f>
        <v>Fail</v>
      </c>
      <c r="AD66" s="1" t="str">
        <f>IF(AND(Table1[[#This Row],[Spec Type2]]="N/A",Table1[[#This Row],[DUT Adj Read]]="N/A",Table1[[#This Row],[Std Adj Read]]="N/A"),"N/A",IF(Table1[[#This Row],[DUT Adj Read]]="N/A",IF(Table1[[#This Row],[Std Adj Read]]&gt;Table1[[#This Row],[Low Tol]],"Pass","Fail"),IF(Table1[[#This Row],[DUT Adj Read]]&gt;Table1[[#This Row],[Low Tol]],"Pass","Fail")))</f>
        <v>Pass</v>
      </c>
      <c r="AE66" s="1" t="str">
        <f>IF(AND(Table1[[#This Row],[Spec Type2]]="N/A",Table1[[#This Row],[DUT Adj Read]]="N/A",Table1[[#This Row],[Std Adj Read]]="N/A"),"N/A",IF(Table1[[#This Row],[DUT Adj Read]]="N/A",IF(Table1[[#This Row],[Std Adj Read]]&lt;Table1[[#This Row],[High Tol]],"Pass","Fail"),IF(Table1[[#This Row],[DUT Adj Read]]&lt;Table1[[#This Row],[High Tol]],"Pass","Fail")))</f>
        <v>Fail</v>
      </c>
      <c r="AF66" s="1" t="str">
        <f>IF(AND(Table1[[#This Row],[Spec Type2]]="N/A",Table1[[#This Row],[DUT Adj Read]]="N/A",Table1[[#This Row],[Std Adj Read]]="N/A"),"N/A",IF(Table1[[#This Row],[DUT Adj Read]]="N/A",IF(Table1[[#This Row],[Std Adj Read]]&gt;=Table1[[#This Row],[Low Tol]],"Pass","Fail"),IF(Table1[[#This Row],[DUT Adj Read]]&gt;=Table1[[#This Row],[Low Tol]],"Pass","Fail")))</f>
        <v>Pass</v>
      </c>
      <c r="AG66" s="1" t="str">
        <f>IF(AND(Table1[[#This Row],[Spec Type2]]="N/A",Table1[[#This Row],[DUT Adj Read]]="N/A",Table1[[#This Row],[Std Adj Read]]="N/A"),"N/A",IF(Table1[[#This Row],[DUT Adj Read]]="N/A",IF(Table1[[#This Row],[Std Adj Read]]&lt;=Table1[[#This Row],[High Tol]],"Pass","Fail"),IF(Table1[[#This Row],[DUT Adj Read]]&lt;=Table1[[#This Row],[High Tol]],"Pass","Fail")))</f>
        <v>Fail</v>
      </c>
      <c r="AH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 s="1" t="b">
        <v>0</v>
      </c>
      <c r="AN66" s="1" t="b">
        <v>0</v>
      </c>
      <c r="AO66" s="1" t="b">
        <v>0</v>
      </c>
    </row>
    <row r="67" spans="1:41" x14ac:dyDescent="0.25">
      <c r="A67" s="10"/>
      <c r="B67" s="10"/>
      <c r="C67" s="10"/>
      <c r="D67" s="10"/>
      <c r="E67" s="10"/>
      <c r="F67" s="10"/>
      <c r="G67" s="10"/>
      <c r="H67" s="10"/>
      <c r="I67" s="1" t="str">
        <f t="shared" si="2"/>
        <v/>
      </c>
      <c r="J67" s="1" t="s">
        <v>35</v>
      </c>
      <c r="K67" s="1" t="str">
        <f t="shared" si="0"/>
        <v/>
      </c>
      <c r="L67" s="1" t="str">
        <f t="shared" si="1"/>
        <v/>
      </c>
      <c r="M67" s="1">
        <f>IF(OR(Table1[[#This Row],[Std Nom]]="",Table1[[#This Row],[Std Read]]=""),0,Table1[[#This Row],[Std Nom]]-Table1[[#This Row],[Std Read]])</f>
        <v>0</v>
      </c>
      <c r="N67" s="1">
        <f>IF(Calculations!$F$5="ACCREDITED 17025 WITH UNCERTAINTIES",$N$10,0)</f>
        <v>0</v>
      </c>
      <c r="O67" s="1" t="str">
        <f>IFERROR(Table1[[#This Row],[Std Nom]]-(_xlfn.XLOOKUP(Table1[[#This Row],[Manufacturer]]&amp;" "&amp;Table1[[#This Row],[Model]],Table13[MFR &amp; MDL],Table13[Tolerance % CW ],"")/100*Table1[[#This Row],[Std Nom]]),"")</f>
        <v/>
      </c>
      <c r="P67" s="1" t="str">
        <f>IFERROR(Table1[[#This Row],[Std Nom]]+(_xlfn.XLOOKUP(Table1[[#This Row],[Manufacturer]]&amp;" "&amp;Table1[[#This Row],[Model]],Table13[MFR &amp; MDL],Table13[Tolerance % CW ],"")/100*Table1[[#This Row],[Std Nom]]),"")</f>
        <v/>
      </c>
      <c r="Q67" s="1" t="e">
        <f>Table1[[#This Row],[High Tol]]-Table1[[#This Row],[Low Tol]]</f>
        <v>#VALUE!</v>
      </c>
      <c r="R67" s="1">
        <f>2*Table1[[#This Row],[Std Error]]</f>
        <v>0</v>
      </c>
      <c r="S67" s="1" t="str">
        <f>IF(Table1[[#This Row],[High Tol]]="","N/A",IFERROR(ABS(Table1[[#This Row],[Tol Span]]/Table1[[#This Row],[Error Span]]),"N/A"))</f>
        <v>N/A</v>
      </c>
      <c r="T67" s="1" t="str">
        <f>IF(OR(Table1[[#This Row],[Low Tol]]="",Table1[[#This Row],[High Tol]]=""),"Needs Analysis",IF(Table1[[#This Row],[Ratio]]&gt;=4,"Not Significant",IF(Table1[[#This Row],[Ratio]]&gt;=2,"Semi-Significant","Significant")))</f>
        <v>Needs Analysis</v>
      </c>
      <c r="W67" s="1">
        <f>IF(Table1[[#This Row],[Cal Type]]&lt;&gt;"ACCREDITED 17025 WITH UNCERTAINTIES",0,"")</f>
        <v>0</v>
      </c>
      <c r="X67" s="1" t="str">
        <f>IF(Table1[[#This Row],[DUT Read]]="","N/A",Table1[[#This Row],[Std Error]]+Table1[[#This Row],[DUT Read]]+Table1[[#This Row],[DUT Ucty]])</f>
        <v>N/A</v>
      </c>
      <c r="Y67" s="1" t="str">
        <f>IF(Table1[[#This Row],[Std Read]]="","N/A",Table1[[#This Row],[Std Read]]+Table1[[#This Row],[Std Ucty]])</f>
        <v>N/A</v>
      </c>
      <c r="Z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 s="1" t="str">
        <f>IF(Table1[[#This Row],[Spec Type]]="","N/A",Table1[[#This Row],[Spec Type]])</f>
        <v>±</v>
      </c>
      <c r="AC67" s="1" t="str">
        <f>IF(Table1[[#This Row],[Spec Type2]]="N/A","N/A",IF(AND(Table1[[#This Row],[DUT Adj Read]]&gt;=Table1[[#This Row],[Low Tol]],Table1[[#This Row],[DUT Adj Read]]&lt;=Table1[[#This Row],[High Tol]]),"Pass","Fail"))</f>
        <v>Fail</v>
      </c>
      <c r="AD67" s="1" t="str">
        <f>IF(AND(Table1[[#This Row],[Spec Type2]]="N/A",Table1[[#This Row],[DUT Adj Read]]="N/A",Table1[[#This Row],[Std Adj Read]]="N/A"),"N/A",IF(Table1[[#This Row],[DUT Adj Read]]="N/A",IF(Table1[[#This Row],[Std Adj Read]]&gt;Table1[[#This Row],[Low Tol]],"Pass","Fail"),IF(Table1[[#This Row],[DUT Adj Read]]&gt;Table1[[#This Row],[Low Tol]],"Pass","Fail")))</f>
        <v>Pass</v>
      </c>
      <c r="AE67" s="1" t="str">
        <f>IF(AND(Table1[[#This Row],[Spec Type2]]="N/A",Table1[[#This Row],[DUT Adj Read]]="N/A",Table1[[#This Row],[Std Adj Read]]="N/A"),"N/A",IF(Table1[[#This Row],[DUT Adj Read]]="N/A",IF(Table1[[#This Row],[Std Adj Read]]&lt;Table1[[#This Row],[High Tol]],"Pass","Fail"),IF(Table1[[#This Row],[DUT Adj Read]]&lt;Table1[[#This Row],[High Tol]],"Pass","Fail")))</f>
        <v>Fail</v>
      </c>
      <c r="AF67" s="1" t="str">
        <f>IF(AND(Table1[[#This Row],[Spec Type2]]="N/A",Table1[[#This Row],[DUT Adj Read]]="N/A",Table1[[#This Row],[Std Adj Read]]="N/A"),"N/A",IF(Table1[[#This Row],[DUT Adj Read]]="N/A",IF(Table1[[#This Row],[Std Adj Read]]&gt;=Table1[[#This Row],[Low Tol]],"Pass","Fail"),IF(Table1[[#This Row],[DUT Adj Read]]&gt;=Table1[[#This Row],[Low Tol]],"Pass","Fail")))</f>
        <v>Pass</v>
      </c>
      <c r="AG67" s="1" t="str">
        <f>IF(AND(Table1[[#This Row],[Spec Type2]]="N/A",Table1[[#This Row],[DUT Adj Read]]="N/A",Table1[[#This Row],[Std Adj Read]]="N/A"),"N/A",IF(Table1[[#This Row],[DUT Adj Read]]="N/A",IF(Table1[[#This Row],[Std Adj Read]]&lt;=Table1[[#This Row],[High Tol]],"Pass","Fail"),IF(Table1[[#This Row],[DUT Adj Read]]&lt;=Table1[[#This Row],[High Tol]],"Pass","Fail")))</f>
        <v>Fail</v>
      </c>
      <c r="AH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 s="1" t="b">
        <v>0</v>
      </c>
      <c r="AN67" s="1" t="b">
        <v>0</v>
      </c>
      <c r="AO67" s="1" t="b">
        <v>0</v>
      </c>
    </row>
    <row r="68" spans="1:41" x14ac:dyDescent="0.25">
      <c r="A68" s="10"/>
      <c r="B68" s="10"/>
      <c r="C68" s="10"/>
      <c r="D68" s="10"/>
      <c r="E68" s="10"/>
      <c r="F68" s="10"/>
      <c r="G68" s="10"/>
      <c r="H68" s="10"/>
      <c r="I68" s="1" t="str">
        <f t="shared" si="2"/>
        <v/>
      </c>
      <c r="J68" s="1" t="s">
        <v>35</v>
      </c>
      <c r="K68" s="1" t="str">
        <f t="shared" si="0"/>
        <v/>
      </c>
      <c r="L68" s="1" t="str">
        <f t="shared" si="1"/>
        <v/>
      </c>
      <c r="M68" s="1">
        <f>IF(OR(Table1[[#This Row],[Std Nom]]="",Table1[[#This Row],[Std Read]]=""),0,Table1[[#This Row],[Std Nom]]-Table1[[#This Row],[Std Read]])</f>
        <v>0</v>
      </c>
      <c r="N68" s="1">
        <f>IF(Calculations!$F$5="ACCREDITED 17025 WITH UNCERTAINTIES",$N$10,0)</f>
        <v>0</v>
      </c>
      <c r="O68" s="1" t="str">
        <f>IFERROR(Table1[[#This Row],[Std Nom]]-(_xlfn.XLOOKUP(Table1[[#This Row],[Manufacturer]]&amp;" "&amp;Table1[[#This Row],[Model]],Table13[MFR &amp; MDL],Table13[Tolerance % CW ],"")/100*Table1[[#This Row],[Std Nom]]),"")</f>
        <v/>
      </c>
      <c r="P68" s="1" t="str">
        <f>IFERROR(Table1[[#This Row],[Std Nom]]+(_xlfn.XLOOKUP(Table1[[#This Row],[Manufacturer]]&amp;" "&amp;Table1[[#This Row],[Model]],Table13[MFR &amp; MDL],Table13[Tolerance % CW ],"")/100*Table1[[#This Row],[Std Nom]]),"")</f>
        <v/>
      </c>
      <c r="Q68" s="1" t="e">
        <f>Table1[[#This Row],[High Tol]]-Table1[[#This Row],[Low Tol]]</f>
        <v>#VALUE!</v>
      </c>
      <c r="R68" s="1">
        <f>2*Table1[[#This Row],[Std Error]]</f>
        <v>0</v>
      </c>
      <c r="S68" s="1" t="str">
        <f>IF(Table1[[#This Row],[High Tol]]="","N/A",IFERROR(ABS(Table1[[#This Row],[Tol Span]]/Table1[[#This Row],[Error Span]]),"N/A"))</f>
        <v>N/A</v>
      </c>
      <c r="T68" s="1" t="str">
        <f>IF(OR(Table1[[#This Row],[Low Tol]]="",Table1[[#This Row],[High Tol]]=""),"Needs Analysis",IF(Table1[[#This Row],[Ratio]]&gt;=4,"Not Significant",IF(Table1[[#This Row],[Ratio]]&gt;=2,"Semi-Significant","Significant")))</f>
        <v>Needs Analysis</v>
      </c>
      <c r="W68" s="1">
        <f>IF(Table1[[#This Row],[Cal Type]]&lt;&gt;"ACCREDITED 17025 WITH UNCERTAINTIES",0,"")</f>
        <v>0</v>
      </c>
      <c r="X68" s="1" t="str">
        <f>IF(Table1[[#This Row],[DUT Read]]="","N/A",Table1[[#This Row],[Std Error]]+Table1[[#This Row],[DUT Read]]+Table1[[#This Row],[DUT Ucty]])</f>
        <v>N/A</v>
      </c>
      <c r="Y68" s="1" t="str">
        <f>IF(Table1[[#This Row],[Std Read]]="","N/A",Table1[[#This Row],[Std Read]]+Table1[[#This Row],[Std Ucty]])</f>
        <v>N/A</v>
      </c>
      <c r="Z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 s="1" t="str">
        <f>IF(Table1[[#This Row],[Spec Type]]="","N/A",Table1[[#This Row],[Spec Type]])</f>
        <v>±</v>
      </c>
      <c r="AC68" s="1" t="str">
        <f>IF(Table1[[#This Row],[Spec Type2]]="N/A","N/A",IF(AND(Table1[[#This Row],[DUT Adj Read]]&gt;=Table1[[#This Row],[Low Tol]],Table1[[#This Row],[DUT Adj Read]]&lt;=Table1[[#This Row],[High Tol]]),"Pass","Fail"))</f>
        <v>Fail</v>
      </c>
      <c r="AD68" s="1" t="str">
        <f>IF(AND(Table1[[#This Row],[Spec Type2]]="N/A",Table1[[#This Row],[DUT Adj Read]]="N/A",Table1[[#This Row],[Std Adj Read]]="N/A"),"N/A",IF(Table1[[#This Row],[DUT Adj Read]]="N/A",IF(Table1[[#This Row],[Std Adj Read]]&gt;Table1[[#This Row],[Low Tol]],"Pass","Fail"),IF(Table1[[#This Row],[DUT Adj Read]]&gt;Table1[[#This Row],[Low Tol]],"Pass","Fail")))</f>
        <v>Pass</v>
      </c>
      <c r="AE68" s="1" t="str">
        <f>IF(AND(Table1[[#This Row],[Spec Type2]]="N/A",Table1[[#This Row],[DUT Adj Read]]="N/A",Table1[[#This Row],[Std Adj Read]]="N/A"),"N/A",IF(Table1[[#This Row],[DUT Adj Read]]="N/A",IF(Table1[[#This Row],[Std Adj Read]]&lt;Table1[[#This Row],[High Tol]],"Pass","Fail"),IF(Table1[[#This Row],[DUT Adj Read]]&lt;Table1[[#This Row],[High Tol]],"Pass","Fail")))</f>
        <v>Fail</v>
      </c>
      <c r="AF68" s="1" t="str">
        <f>IF(AND(Table1[[#This Row],[Spec Type2]]="N/A",Table1[[#This Row],[DUT Adj Read]]="N/A",Table1[[#This Row],[Std Adj Read]]="N/A"),"N/A",IF(Table1[[#This Row],[DUT Adj Read]]="N/A",IF(Table1[[#This Row],[Std Adj Read]]&gt;=Table1[[#This Row],[Low Tol]],"Pass","Fail"),IF(Table1[[#This Row],[DUT Adj Read]]&gt;=Table1[[#This Row],[Low Tol]],"Pass","Fail")))</f>
        <v>Pass</v>
      </c>
      <c r="AG68" s="1" t="str">
        <f>IF(AND(Table1[[#This Row],[Spec Type2]]="N/A",Table1[[#This Row],[DUT Adj Read]]="N/A",Table1[[#This Row],[Std Adj Read]]="N/A"),"N/A",IF(Table1[[#This Row],[DUT Adj Read]]="N/A",IF(Table1[[#This Row],[Std Adj Read]]&lt;=Table1[[#This Row],[High Tol]],"Pass","Fail"),IF(Table1[[#This Row],[DUT Adj Read]]&lt;=Table1[[#This Row],[High Tol]],"Pass","Fail")))</f>
        <v>Fail</v>
      </c>
      <c r="AH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 s="1" t="b">
        <v>0</v>
      </c>
      <c r="AN68" s="1" t="b">
        <v>0</v>
      </c>
      <c r="AO68" s="1" t="b">
        <v>0</v>
      </c>
    </row>
    <row r="69" spans="1:41" x14ac:dyDescent="0.25">
      <c r="A69" s="10"/>
      <c r="B69" s="10"/>
      <c r="C69" s="10"/>
      <c r="D69" s="10"/>
      <c r="E69" s="10"/>
      <c r="F69" s="10"/>
      <c r="G69" s="10"/>
      <c r="H69" s="10"/>
      <c r="I69" s="1" t="str">
        <f t="shared" si="2"/>
        <v/>
      </c>
      <c r="J69" s="1" t="s">
        <v>35</v>
      </c>
      <c r="K69" s="1" t="str">
        <f t="shared" si="0"/>
        <v/>
      </c>
      <c r="L69" s="1" t="str">
        <f t="shared" si="1"/>
        <v/>
      </c>
      <c r="M69" s="1">
        <f>IF(OR(Table1[[#This Row],[Std Nom]]="",Table1[[#This Row],[Std Read]]=""),0,Table1[[#This Row],[Std Nom]]-Table1[[#This Row],[Std Read]])</f>
        <v>0</v>
      </c>
      <c r="N69" s="1">
        <f>IF(Calculations!$F$5="ACCREDITED 17025 WITH UNCERTAINTIES",$N$10,0)</f>
        <v>0</v>
      </c>
      <c r="O69" s="1" t="str">
        <f>IFERROR(Table1[[#This Row],[Std Nom]]-(_xlfn.XLOOKUP(Table1[[#This Row],[Manufacturer]]&amp;" "&amp;Table1[[#This Row],[Model]],Table13[MFR &amp; MDL],Table13[Tolerance % CW ],"")/100*Table1[[#This Row],[Std Nom]]),"")</f>
        <v/>
      </c>
      <c r="P69" s="1" t="str">
        <f>IFERROR(Table1[[#This Row],[Std Nom]]+(_xlfn.XLOOKUP(Table1[[#This Row],[Manufacturer]]&amp;" "&amp;Table1[[#This Row],[Model]],Table13[MFR &amp; MDL],Table13[Tolerance % CW ],"")/100*Table1[[#This Row],[Std Nom]]),"")</f>
        <v/>
      </c>
      <c r="Q69" s="1" t="e">
        <f>Table1[[#This Row],[High Tol]]-Table1[[#This Row],[Low Tol]]</f>
        <v>#VALUE!</v>
      </c>
      <c r="R69" s="1">
        <f>2*Table1[[#This Row],[Std Error]]</f>
        <v>0</v>
      </c>
      <c r="S69" s="1" t="str">
        <f>IF(Table1[[#This Row],[High Tol]]="","N/A",IFERROR(ABS(Table1[[#This Row],[Tol Span]]/Table1[[#This Row],[Error Span]]),"N/A"))</f>
        <v>N/A</v>
      </c>
      <c r="T69" s="1" t="str">
        <f>IF(OR(Table1[[#This Row],[Low Tol]]="",Table1[[#This Row],[High Tol]]=""),"Needs Analysis",IF(Table1[[#This Row],[Ratio]]&gt;=4,"Not Significant",IF(Table1[[#This Row],[Ratio]]&gt;=2,"Semi-Significant","Significant")))</f>
        <v>Needs Analysis</v>
      </c>
      <c r="W69" s="1">
        <f>IF(Table1[[#This Row],[Cal Type]]&lt;&gt;"ACCREDITED 17025 WITH UNCERTAINTIES",0,"")</f>
        <v>0</v>
      </c>
      <c r="X69" s="1" t="str">
        <f>IF(Table1[[#This Row],[DUT Read]]="","N/A",Table1[[#This Row],[Std Error]]+Table1[[#This Row],[DUT Read]]+Table1[[#This Row],[DUT Ucty]])</f>
        <v>N/A</v>
      </c>
      <c r="Y69" s="1" t="str">
        <f>IF(Table1[[#This Row],[Std Read]]="","N/A",Table1[[#This Row],[Std Read]]+Table1[[#This Row],[Std Ucty]])</f>
        <v>N/A</v>
      </c>
      <c r="Z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 s="1" t="str">
        <f>IF(Table1[[#This Row],[Spec Type]]="","N/A",Table1[[#This Row],[Spec Type]])</f>
        <v>±</v>
      </c>
      <c r="AC69" s="1" t="str">
        <f>IF(Table1[[#This Row],[Spec Type2]]="N/A","N/A",IF(AND(Table1[[#This Row],[DUT Adj Read]]&gt;=Table1[[#This Row],[Low Tol]],Table1[[#This Row],[DUT Adj Read]]&lt;=Table1[[#This Row],[High Tol]]),"Pass","Fail"))</f>
        <v>Fail</v>
      </c>
      <c r="AD69" s="1" t="str">
        <f>IF(AND(Table1[[#This Row],[Spec Type2]]="N/A",Table1[[#This Row],[DUT Adj Read]]="N/A",Table1[[#This Row],[Std Adj Read]]="N/A"),"N/A",IF(Table1[[#This Row],[DUT Adj Read]]="N/A",IF(Table1[[#This Row],[Std Adj Read]]&gt;Table1[[#This Row],[Low Tol]],"Pass","Fail"),IF(Table1[[#This Row],[DUT Adj Read]]&gt;Table1[[#This Row],[Low Tol]],"Pass","Fail")))</f>
        <v>Pass</v>
      </c>
      <c r="AE69" s="1" t="str">
        <f>IF(AND(Table1[[#This Row],[Spec Type2]]="N/A",Table1[[#This Row],[DUT Adj Read]]="N/A",Table1[[#This Row],[Std Adj Read]]="N/A"),"N/A",IF(Table1[[#This Row],[DUT Adj Read]]="N/A",IF(Table1[[#This Row],[Std Adj Read]]&lt;Table1[[#This Row],[High Tol]],"Pass","Fail"),IF(Table1[[#This Row],[DUT Adj Read]]&lt;Table1[[#This Row],[High Tol]],"Pass","Fail")))</f>
        <v>Fail</v>
      </c>
      <c r="AF69" s="1" t="str">
        <f>IF(AND(Table1[[#This Row],[Spec Type2]]="N/A",Table1[[#This Row],[DUT Adj Read]]="N/A",Table1[[#This Row],[Std Adj Read]]="N/A"),"N/A",IF(Table1[[#This Row],[DUT Adj Read]]="N/A",IF(Table1[[#This Row],[Std Adj Read]]&gt;=Table1[[#This Row],[Low Tol]],"Pass","Fail"),IF(Table1[[#This Row],[DUT Adj Read]]&gt;=Table1[[#This Row],[Low Tol]],"Pass","Fail")))</f>
        <v>Pass</v>
      </c>
      <c r="AG69" s="1" t="str">
        <f>IF(AND(Table1[[#This Row],[Spec Type2]]="N/A",Table1[[#This Row],[DUT Adj Read]]="N/A",Table1[[#This Row],[Std Adj Read]]="N/A"),"N/A",IF(Table1[[#This Row],[DUT Adj Read]]="N/A",IF(Table1[[#This Row],[Std Adj Read]]&lt;=Table1[[#This Row],[High Tol]],"Pass","Fail"),IF(Table1[[#This Row],[DUT Adj Read]]&lt;=Table1[[#This Row],[High Tol]],"Pass","Fail")))</f>
        <v>Fail</v>
      </c>
      <c r="AH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 s="1" t="b">
        <v>0</v>
      </c>
      <c r="AN69" s="1" t="b">
        <v>0</v>
      </c>
      <c r="AO69" s="1" t="b">
        <v>0</v>
      </c>
    </row>
    <row r="70" spans="1:41" x14ac:dyDescent="0.25">
      <c r="A70" s="10"/>
      <c r="B70" s="10"/>
      <c r="C70" s="10"/>
      <c r="D70" s="10"/>
      <c r="E70" s="10"/>
      <c r="F70" s="10"/>
      <c r="G70" s="10"/>
      <c r="H70" s="10"/>
      <c r="I70" s="1" t="str">
        <f t="shared" si="2"/>
        <v/>
      </c>
      <c r="J70" s="1" t="s">
        <v>35</v>
      </c>
      <c r="K70" s="1" t="str">
        <f t="shared" si="0"/>
        <v/>
      </c>
      <c r="L70" s="1" t="str">
        <f t="shared" si="1"/>
        <v/>
      </c>
      <c r="M70" s="1">
        <f>IF(OR(Table1[[#This Row],[Std Nom]]="",Table1[[#This Row],[Std Read]]=""),0,Table1[[#This Row],[Std Nom]]-Table1[[#This Row],[Std Read]])</f>
        <v>0</v>
      </c>
      <c r="N70" s="1">
        <f>IF(Calculations!$F$5="ACCREDITED 17025 WITH UNCERTAINTIES",$N$10,0)</f>
        <v>0</v>
      </c>
      <c r="O70" s="1" t="str">
        <f>IFERROR(Table1[[#This Row],[Std Nom]]-(_xlfn.XLOOKUP(Table1[[#This Row],[Manufacturer]]&amp;" "&amp;Table1[[#This Row],[Model]],Table13[MFR &amp; MDL],Table13[Tolerance % CW ],"")/100*Table1[[#This Row],[Std Nom]]),"")</f>
        <v/>
      </c>
      <c r="P70" s="1" t="str">
        <f>IFERROR(Table1[[#This Row],[Std Nom]]+(_xlfn.XLOOKUP(Table1[[#This Row],[Manufacturer]]&amp;" "&amp;Table1[[#This Row],[Model]],Table13[MFR &amp; MDL],Table13[Tolerance % CW ],"")/100*Table1[[#This Row],[Std Nom]]),"")</f>
        <v/>
      </c>
      <c r="Q70" s="1" t="e">
        <f>Table1[[#This Row],[High Tol]]-Table1[[#This Row],[Low Tol]]</f>
        <v>#VALUE!</v>
      </c>
      <c r="R70" s="1">
        <f>2*Table1[[#This Row],[Std Error]]</f>
        <v>0</v>
      </c>
      <c r="S70" s="1" t="str">
        <f>IF(Table1[[#This Row],[High Tol]]="","N/A",IFERROR(ABS(Table1[[#This Row],[Tol Span]]/Table1[[#This Row],[Error Span]]),"N/A"))</f>
        <v>N/A</v>
      </c>
      <c r="T70" s="1" t="str">
        <f>IF(OR(Table1[[#This Row],[Low Tol]]="",Table1[[#This Row],[High Tol]]=""),"Needs Analysis",IF(Table1[[#This Row],[Ratio]]&gt;=4,"Not Significant",IF(Table1[[#This Row],[Ratio]]&gt;=2,"Semi-Significant","Significant")))</f>
        <v>Needs Analysis</v>
      </c>
      <c r="W70" s="1">
        <f>IF(Table1[[#This Row],[Cal Type]]&lt;&gt;"ACCREDITED 17025 WITH UNCERTAINTIES",0,"")</f>
        <v>0</v>
      </c>
      <c r="X70" s="1" t="str">
        <f>IF(Table1[[#This Row],[DUT Read]]="","N/A",Table1[[#This Row],[Std Error]]+Table1[[#This Row],[DUT Read]]+Table1[[#This Row],[DUT Ucty]])</f>
        <v>N/A</v>
      </c>
      <c r="Y70" s="1" t="str">
        <f>IF(Table1[[#This Row],[Std Read]]="","N/A",Table1[[#This Row],[Std Read]]+Table1[[#This Row],[Std Ucty]])</f>
        <v>N/A</v>
      </c>
      <c r="Z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 s="1" t="str">
        <f>IF(Table1[[#This Row],[Spec Type]]="","N/A",Table1[[#This Row],[Spec Type]])</f>
        <v>±</v>
      </c>
      <c r="AC70" s="1" t="str">
        <f>IF(Table1[[#This Row],[Spec Type2]]="N/A","N/A",IF(AND(Table1[[#This Row],[DUT Adj Read]]&gt;=Table1[[#This Row],[Low Tol]],Table1[[#This Row],[DUT Adj Read]]&lt;=Table1[[#This Row],[High Tol]]),"Pass","Fail"))</f>
        <v>Fail</v>
      </c>
      <c r="AD70" s="1" t="str">
        <f>IF(AND(Table1[[#This Row],[Spec Type2]]="N/A",Table1[[#This Row],[DUT Adj Read]]="N/A",Table1[[#This Row],[Std Adj Read]]="N/A"),"N/A",IF(Table1[[#This Row],[DUT Adj Read]]="N/A",IF(Table1[[#This Row],[Std Adj Read]]&gt;Table1[[#This Row],[Low Tol]],"Pass","Fail"),IF(Table1[[#This Row],[DUT Adj Read]]&gt;Table1[[#This Row],[Low Tol]],"Pass","Fail")))</f>
        <v>Pass</v>
      </c>
      <c r="AE70" s="1" t="str">
        <f>IF(AND(Table1[[#This Row],[Spec Type2]]="N/A",Table1[[#This Row],[DUT Adj Read]]="N/A",Table1[[#This Row],[Std Adj Read]]="N/A"),"N/A",IF(Table1[[#This Row],[DUT Adj Read]]="N/A",IF(Table1[[#This Row],[Std Adj Read]]&lt;Table1[[#This Row],[High Tol]],"Pass","Fail"),IF(Table1[[#This Row],[DUT Adj Read]]&lt;Table1[[#This Row],[High Tol]],"Pass","Fail")))</f>
        <v>Fail</v>
      </c>
      <c r="AF70" s="1" t="str">
        <f>IF(AND(Table1[[#This Row],[Spec Type2]]="N/A",Table1[[#This Row],[DUT Adj Read]]="N/A",Table1[[#This Row],[Std Adj Read]]="N/A"),"N/A",IF(Table1[[#This Row],[DUT Adj Read]]="N/A",IF(Table1[[#This Row],[Std Adj Read]]&gt;=Table1[[#This Row],[Low Tol]],"Pass","Fail"),IF(Table1[[#This Row],[DUT Adj Read]]&gt;=Table1[[#This Row],[Low Tol]],"Pass","Fail")))</f>
        <v>Pass</v>
      </c>
      <c r="AG70" s="1" t="str">
        <f>IF(AND(Table1[[#This Row],[Spec Type2]]="N/A",Table1[[#This Row],[DUT Adj Read]]="N/A",Table1[[#This Row],[Std Adj Read]]="N/A"),"N/A",IF(Table1[[#This Row],[DUT Adj Read]]="N/A",IF(Table1[[#This Row],[Std Adj Read]]&lt;=Table1[[#This Row],[High Tol]],"Pass","Fail"),IF(Table1[[#This Row],[DUT Adj Read]]&lt;=Table1[[#This Row],[High Tol]],"Pass","Fail")))</f>
        <v>Fail</v>
      </c>
      <c r="AH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 s="1" t="b">
        <v>0</v>
      </c>
      <c r="AN70" s="1" t="b">
        <v>0</v>
      </c>
      <c r="AO70" s="1" t="b">
        <v>0</v>
      </c>
    </row>
    <row r="71" spans="1:41" x14ac:dyDescent="0.25">
      <c r="A71" s="10"/>
      <c r="B71" s="10"/>
      <c r="C71" s="10"/>
      <c r="D71" s="10"/>
      <c r="E71" s="10"/>
      <c r="F71" s="10"/>
      <c r="G71" s="10"/>
      <c r="H71" s="10"/>
      <c r="I71" s="1" t="str">
        <f t="shared" si="2"/>
        <v/>
      </c>
      <c r="J71" s="1" t="s">
        <v>35</v>
      </c>
      <c r="K71" s="1" t="str">
        <f t="shared" si="0"/>
        <v/>
      </c>
      <c r="L71" s="1" t="str">
        <f t="shared" si="1"/>
        <v/>
      </c>
      <c r="M71" s="1">
        <f>IF(OR(Table1[[#This Row],[Std Nom]]="",Table1[[#This Row],[Std Read]]=""),0,Table1[[#This Row],[Std Nom]]-Table1[[#This Row],[Std Read]])</f>
        <v>0</v>
      </c>
      <c r="N71" s="1">
        <f>IF(Calculations!$F$5="ACCREDITED 17025 WITH UNCERTAINTIES",$N$10,0)</f>
        <v>0</v>
      </c>
      <c r="O71" s="1" t="str">
        <f>IFERROR(Table1[[#This Row],[Std Nom]]-(_xlfn.XLOOKUP(Table1[[#This Row],[Manufacturer]]&amp;" "&amp;Table1[[#This Row],[Model]],Table13[MFR &amp; MDL],Table13[Tolerance % CW ],"")/100*Table1[[#This Row],[Std Nom]]),"")</f>
        <v/>
      </c>
      <c r="P71" s="1" t="str">
        <f>IFERROR(Table1[[#This Row],[Std Nom]]+(_xlfn.XLOOKUP(Table1[[#This Row],[Manufacturer]]&amp;" "&amp;Table1[[#This Row],[Model]],Table13[MFR &amp; MDL],Table13[Tolerance % CW ],"")/100*Table1[[#This Row],[Std Nom]]),"")</f>
        <v/>
      </c>
      <c r="Q71" s="1" t="e">
        <f>Table1[[#This Row],[High Tol]]-Table1[[#This Row],[Low Tol]]</f>
        <v>#VALUE!</v>
      </c>
      <c r="R71" s="1">
        <f>2*Table1[[#This Row],[Std Error]]</f>
        <v>0</v>
      </c>
      <c r="S71" s="1" t="str">
        <f>IF(Table1[[#This Row],[High Tol]]="","N/A",IFERROR(ABS(Table1[[#This Row],[Tol Span]]/Table1[[#This Row],[Error Span]]),"N/A"))</f>
        <v>N/A</v>
      </c>
      <c r="T71" s="1" t="str">
        <f>IF(OR(Table1[[#This Row],[Low Tol]]="",Table1[[#This Row],[High Tol]]=""),"Needs Analysis",IF(Table1[[#This Row],[Ratio]]&gt;=4,"Not Significant",IF(Table1[[#This Row],[Ratio]]&gt;=2,"Semi-Significant","Significant")))</f>
        <v>Needs Analysis</v>
      </c>
      <c r="W71" s="1">
        <f>IF(Table1[[#This Row],[Cal Type]]&lt;&gt;"ACCREDITED 17025 WITH UNCERTAINTIES",0,"")</f>
        <v>0</v>
      </c>
      <c r="X71" s="1" t="str">
        <f>IF(Table1[[#This Row],[DUT Read]]="","N/A",Table1[[#This Row],[Std Error]]+Table1[[#This Row],[DUT Read]]+Table1[[#This Row],[DUT Ucty]])</f>
        <v>N/A</v>
      </c>
      <c r="Y71" s="1" t="str">
        <f>IF(Table1[[#This Row],[Std Read]]="","N/A",Table1[[#This Row],[Std Read]]+Table1[[#This Row],[Std Ucty]])</f>
        <v>N/A</v>
      </c>
      <c r="Z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 s="1" t="str">
        <f>IF(Table1[[#This Row],[Spec Type]]="","N/A",Table1[[#This Row],[Spec Type]])</f>
        <v>±</v>
      </c>
      <c r="AC71" s="1" t="str">
        <f>IF(Table1[[#This Row],[Spec Type2]]="N/A","N/A",IF(AND(Table1[[#This Row],[DUT Adj Read]]&gt;=Table1[[#This Row],[Low Tol]],Table1[[#This Row],[DUT Adj Read]]&lt;=Table1[[#This Row],[High Tol]]),"Pass","Fail"))</f>
        <v>Fail</v>
      </c>
      <c r="AD71" s="1" t="str">
        <f>IF(AND(Table1[[#This Row],[Spec Type2]]="N/A",Table1[[#This Row],[DUT Adj Read]]="N/A",Table1[[#This Row],[Std Adj Read]]="N/A"),"N/A",IF(Table1[[#This Row],[DUT Adj Read]]="N/A",IF(Table1[[#This Row],[Std Adj Read]]&gt;Table1[[#This Row],[Low Tol]],"Pass","Fail"),IF(Table1[[#This Row],[DUT Adj Read]]&gt;Table1[[#This Row],[Low Tol]],"Pass","Fail")))</f>
        <v>Pass</v>
      </c>
      <c r="AE71" s="1" t="str">
        <f>IF(AND(Table1[[#This Row],[Spec Type2]]="N/A",Table1[[#This Row],[DUT Adj Read]]="N/A",Table1[[#This Row],[Std Adj Read]]="N/A"),"N/A",IF(Table1[[#This Row],[DUT Adj Read]]="N/A",IF(Table1[[#This Row],[Std Adj Read]]&lt;Table1[[#This Row],[High Tol]],"Pass","Fail"),IF(Table1[[#This Row],[DUT Adj Read]]&lt;Table1[[#This Row],[High Tol]],"Pass","Fail")))</f>
        <v>Fail</v>
      </c>
      <c r="AF71" s="1" t="str">
        <f>IF(AND(Table1[[#This Row],[Spec Type2]]="N/A",Table1[[#This Row],[DUT Adj Read]]="N/A",Table1[[#This Row],[Std Adj Read]]="N/A"),"N/A",IF(Table1[[#This Row],[DUT Adj Read]]="N/A",IF(Table1[[#This Row],[Std Adj Read]]&gt;=Table1[[#This Row],[Low Tol]],"Pass","Fail"),IF(Table1[[#This Row],[DUT Adj Read]]&gt;=Table1[[#This Row],[Low Tol]],"Pass","Fail")))</f>
        <v>Pass</v>
      </c>
      <c r="AG71" s="1" t="str">
        <f>IF(AND(Table1[[#This Row],[Spec Type2]]="N/A",Table1[[#This Row],[DUT Adj Read]]="N/A",Table1[[#This Row],[Std Adj Read]]="N/A"),"N/A",IF(Table1[[#This Row],[DUT Adj Read]]="N/A",IF(Table1[[#This Row],[Std Adj Read]]&lt;=Table1[[#This Row],[High Tol]],"Pass","Fail"),IF(Table1[[#This Row],[DUT Adj Read]]&lt;=Table1[[#This Row],[High Tol]],"Pass","Fail")))</f>
        <v>Fail</v>
      </c>
      <c r="AH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 s="1" t="b">
        <v>0</v>
      </c>
      <c r="AN71" s="1" t="b">
        <v>0</v>
      </c>
      <c r="AO71" s="1" t="b">
        <v>0</v>
      </c>
    </row>
    <row r="72" spans="1:41" x14ac:dyDescent="0.25">
      <c r="A72" s="10"/>
      <c r="B72" s="10"/>
      <c r="C72" s="10"/>
      <c r="D72" s="10"/>
      <c r="E72" s="10"/>
      <c r="F72" s="10"/>
      <c r="G72" s="10"/>
      <c r="H72" s="10"/>
      <c r="I72" s="1" t="str">
        <f t="shared" si="2"/>
        <v/>
      </c>
      <c r="J72" s="1" t="s">
        <v>35</v>
      </c>
      <c r="K72" s="1" t="str">
        <f t="shared" si="0"/>
        <v/>
      </c>
      <c r="L72" s="1" t="str">
        <f t="shared" si="1"/>
        <v/>
      </c>
      <c r="M72" s="1">
        <f>IF(OR(Table1[[#This Row],[Std Nom]]="",Table1[[#This Row],[Std Read]]=""),0,Table1[[#This Row],[Std Nom]]-Table1[[#This Row],[Std Read]])</f>
        <v>0</v>
      </c>
      <c r="N72" s="1">
        <f>IF(Calculations!$F$5="ACCREDITED 17025 WITH UNCERTAINTIES",$N$10,0)</f>
        <v>0</v>
      </c>
      <c r="O72" s="1" t="str">
        <f>IFERROR(Table1[[#This Row],[Std Nom]]-(_xlfn.XLOOKUP(Table1[[#This Row],[Manufacturer]]&amp;" "&amp;Table1[[#This Row],[Model]],Table13[MFR &amp; MDL],Table13[Tolerance % CW ],"")/100*Table1[[#This Row],[Std Nom]]),"")</f>
        <v/>
      </c>
      <c r="P72" s="1" t="str">
        <f>IFERROR(Table1[[#This Row],[Std Nom]]+(_xlfn.XLOOKUP(Table1[[#This Row],[Manufacturer]]&amp;" "&amp;Table1[[#This Row],[Model]],Table13[MFR &amp; MDL],Table13[Tolerance % CW ],"")/100*Table1[[#This Row],[Std Nom]]),"")</f>
        <v/>
      </c>
      <c r="Q72" s="1" t="e">
        <f>Table1[[#This Row],[High Tol]]-Table1[[#This Row],[Low Tol]]</f>
        <v>#VALUE!</v>
      </c>
      <c r="R72" s="1">
        <f>2*Table1[[#This Row],[Std Error]]</f>
        <v>0</v>
      </c>
      <c r="S72" s="1" t="str">
        <f>IF(Table1[[#This Row],[High Tol]]="","N/A",IFERROR(ABS(Table1[[#This Row],[Tol Span]]/Table1[[#This Row],[Error Span]]),"N/A"))</f>
        <v>N/A</v>
      </c>
      <c r="T72" s="1" t="str">
        <f>IF(OR(Table1[[#This Row],[Low Tol]]="",Table1[[#This Row],[High Tol]]=""),"Needs Analysis",IF(Table1[[#This Row],[Ratio]]&gt;=4,"Not Significant",IF(Table1[[#This Row],[Ratio]]&gt;=2,"Semi-Significant","Significant")))</f>
        <v>Needs Analysis</v>
      </c>
      <c r="W72" s="1">
        <f>IF(Table1[[#This Row],[Cal Type]]&lt;&gt;"ACCREDITED 17025 WITH UNCERTAINTIES",0,"")</f>
        <v>0</v>
      </c>
      <c r="X72" s="1" t="str">
        <f>IF(Table1[[#This Row],[DUT Read]]="","N/A",Table1[[#This Row],[Std Error]]+Table1[[#This Row],[DUT Read]]+Table1[[#This Row],[DUT Ucty]])</f>
        <v>N/A</v>
      </c>
      <c r="Y72" s="1" t="str">
        <f>IF(Table1[[#This Row],[Std Read]]="","N/A",Table1[[#This Row],[Std Read]]+Table1[[#This Row],[Std Ucty]])</f>
        <v>N/A</v>
      </c>
      <c r="Z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 s="1" t="str">
        <f>IF(Table1[[#This Row],[Spec Type]]="","N/A",Table1[[#This Row],[Spec Type]])</f>
        <v>±</v>
      </c>
      <c r="AC72" s="1" t="str">
        <f>IF(Table1[[#This Row],[Spec Type2]]="N/A","N/A",IF(AND(Table1[[#This Row],[DUT Adj Read]]&gt;=Table1[[#This Row],[Low Tol]],Table1[[#This Row],[DUT Adj Read]]&lt;=Table1[[#This Row],[High Tol]]),"Pass","Fail"))</f>
        <v>Fail</v>
      </c>
      <c r="AD72" s="1" t="str">
        <f>IF(AND(Table1[[#This Row],[Spec Type2]]="N/A",Table1[[#This Row],[DUT Adj Read]]="N/A",Table1[[#This Row],[Std Adj Read]]="N/A"),"N/A",IF(Table1[[#This Row],[DUT Adj Read]]="N/A",IF(Table1[[#This Row],[Std Adj Read]]&gt;Table1[[#This Row],[Low Tol]],"Pass","Fail"),IF(Table1[[#This Row],[DUT Adj Read]]&gt;Table1[[#This Row],[Low Tol]],"Pass","Fail")))</f>
        <v>Pass</v>
      </c>
      <c r="AE72" s="1" t="str">
        <f>IF(AND(Table1[[#This Row],[Spec Type2]]="N/A",Table1[[#This Row],[DUT Adj Read]]="N/A",Table1[[#This Row],[Std Adj Read]]="N/A"),"N/A",IF(Table1[[#This Row],[DUT Adj Read]]="N/A",IF(Table1[[#This Row],[Std Adj Read]]&lt;Table1[[#This Row],[High Tol]],"Pass","Fail"),IF(Table1[[#This Row],[DUT Adj Read]]&lt;Table1[[#This Row],[High Tol]],"Pass","Fail")))</f>
        <v>Fail</v>
      </c>
      <c r="AF72" s="1" t="str">
        <f>IF(AND(Table1[[#This Row],[Spec Type2]]="N/A",Table1[[#This Row],[DUT Adj Read]]="N/A",Table1[[#This Row],[Std Adj Read]]="N/A"),"N/A",IF(Table1[[#This Row],[DUT Adj Read]]="N/A",IF(Table1[[#This Row],[Std Adj Read]]&gt;=Table1[[#This Row],[Low Tol]],"Pass","Fail"),IF(Table1[[#This Row],[DUT Adj Read]]&gt;=Table1[[#This Row],[Low Tol]],"Pass","Fail")))</f>
        <v>Pass</v>
      </c>
      <c r="AG72" s="1" t="str">
        <f>IF(AND(Table1[[#This Row],[Spec Type2]]="N/A",Table1[[#This Row],[DUT Adj Read]]="N/A",Table1[[#This Row],[Std Adj Read]]="N/A"),"N/A",IF(Table1[[#This Row],[DUT Adj Read]]="N/A",IF(Table1[[#This Row],[Std Adj Read]]&lt;=Table1[[#This Row],[High Tol]],"Pass","Fail"),IF(Table1[[#This Row],[DUT Adj Read]]&lt;=Table1[[#This Row],[High Tol]],"Pass","Fail")))</f>
        <v>Fail</v>
      </c>
      <c r="AH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 s="1" t="b">
        <v>0</v>
      </c>
      <c r="AN72" s="1" t="b">
        <v>0</v>
      </c>
      <c r="AO72" s="1" t="b">
        <v>0</v>
      </c>
    </row>
    <row r="73" spans="1:41" x14ac:dyDescent="0.25">
      <c r="A73" s="10"/>
      <c r="B73" s="10"/>
      <c r="C73" s="10"/>
      <c r="D73" s="10"/>
      <c r="E73" s="10"/>
      <c r="F73" s="10"/>
      <c r="G73" s="10"/>
      <c r="H73" s="10"/>
      <c r="I73" s="1" t="str">
        <f t="shared" si="2"/>
        <v/>
      </c>
      <c r="J73" s="1" t="s">
        <v>35</v>
      </c>
      <c r="K73" s="1" t="str">
        <f t="shared" si="0"/>
        <v/>
      </c>
      <c r="L73" s="1" t="str">
        <f t="shared" si="1"/>
        <v/>
      </c>
      <c r="M73" s="1">
        <f>IF(OR(Table1[[#This Row],[Std Nom]]="",Table1[[#This Row],[Std Read]]=""),0,Table1[[#This Row],[Std Nom]]-Table1[[#This Row],[Std Read]])</f>
        <v>0</v>
      </c>
      <c r="N73" s="1">
        <f>IF(Calculations!$F$5="ACCREDITED 17025 WITH UNCERTAINTIES",$N$10,0)</f>
        <v>0</v>
      </c>
      <c r="O73" s="1" t="str">
        <f>IFERROR(Table1[[#This Row],[Std Nom]]-(_xlfn.XLOOKUP(Table1[[#This Row],[Manufacturer]]&amp;" "&amp;Table1[[#This Row],[Model]],Table13[MFR &amp; MDL],Table13[Tolerance % CW ],"")/100*Table1[[#This Row],[Std Nom]]),"")</f>
        <v/>
      </c>
      <c r="P73" s="1" t="str">
        <f>IFERROR(Table1[[#This Row],[Std Nom]]+(_xlfn.XLOOKUP(Table1[[#This Row],[Manufacturer]]&amp;" "&amp;Table1[[#This Row],[Model]],Table13[MFR &amp; MDL],Table13[Tolerance % CW ],"")/100*Table1[[#This Row],[Std Nom]]),"")</f>
        <v/>
      </c>
      <c r="Q73" s="1" t="e">
        <f>Table1[[#This Row],[High Tol]]-Table1[[#This Row],[Low Tol]]</f>
        <v>#VALUE!</v>
      </c>
      <c r="R73" s="1">
        <f>2*Table1[[#This Row],[Std Error]]</f>
        <v>0</v>
      </c>
      <c r="S73" s="1" t="str">
        <f>IF(Table1[[#This Row],[High Tol]]="","N/A",IFERROR(ABS(Table1[[#This Row],[Tol Span]]/Table1[[#This Row],[Error Span]]),"N/A"))</f>
        <v>N/A</v>
      </c>
      <c r="T73" s="1" t="str">
        <f>IF(OR(Table1[[#This Row],[Low Tol]]="",Table1[[#This Row],[High Tol]]=""),"Needs Analysis",IF(Table1[[#This Row],[Ratio]]&gt;=4,"Not Significant",IF(Table1[[#This Row],[Ratio]]&gt;=2,"Semi-Significant","Significant")))</f>
        <v>Needs Analysis</v>
      </c>
      <c r="W73" s="1">
        <f>IF(Table1[[#This Row],[Cal Type]]&lt;&gt;"ACCREDITED 17025 WITH UNCERTAINTIES",0,"")</f>
        <v>0</v>
      </c>
      <c r="X73" s="1" t="str">
        <f>IF(Table1[[#This Row],[DUT Read]]="","N/A",Table1[[#This Row],[Std Error]]+Table1[[#This Row],[DUT Read]]+Table1[[#This Row],[DUT Ucty]])</f>
        <v>N/A</v>
      </c>
      <c r="Y73" s="1" t="str">
        <f>IF(Table1[[#This Row],[Std Read]]="","N/A",Table1[[#This Row],[Std Read]]+Table1[[#This Row],[Std Ucty]])</f>
        <v>N/A</v>
      </c>
      <c r="Z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 s="1" t="str">
        <f>IF(Table1[[#This Row],[Spec Type]]="","N/A",Table1[[#This Row],[Spec Type]])</f>
        <v>±</v>
      </c>
      <c r="AC73" s="1" t="str">
        <f>IF(Table1[[#This Row],[Spec Type2]]="N/A","N/A",IF(AND(Table1[[#This Row],[DUT Adj Read]]&gt;=Table1[[#This Row],[Low Tol]],Table1[[#This Row],[DUT Adj Read]]&lt;=Table1[[#This Row],[High Tol]]),"Pass","Fail"))</f>
        <v>Fail</v>
      </c>
      <c r="AD73" s="1" t="str">
        <f>IF(AND(Table1[[#This Row],[Spec Type2]]="N/A",Table1[[#This Row],[DUT Adj Read]]="N/A",Table1[[#This Row],[Std Adj Read]]="N/A"),"N/A",IF(Table1[[#This Row],[DUT Adj Read]]="N/A",IF(Table1[[#This Row],[Std Adj Read]]&gt;Table1[[#This Row],[Low Tol]],"Pass","Fail"),IF(Table1[[#This Row],[DUT Adj Read]]&gt;Table1[[#This Row],[Low Tol]],"Pass","Fail")))</f>
        <v>Pass</v>
      </c>
      <c r="AE73" s="1" t="str">
        <f>IF(AND(Table1[[#This Row],[Spec Type2]]="N/A",Table1[[#This Row],[DUT Adj Read]]="N/A",Table1[[#This Row],[Std Adj Read]]="N/A"),"N/A",IF(Table1[[#This Row],[DUT Adj Read]]="N/A",IF(Table1[[#This Row],[Std Adj Read]]&lt;Table1[[#This Row],[High Tol]],"Pass","Fail"),IF(Table1[[#This Row],[DUT Adj Read]]&lt;Table1[[#This Row],[High Tol]],"Pass","Fail")))</f>
        <v>Fail</v>
      </c>
      <c r="AF73" s="1" t="str">
        <f>IF(AND(Table1[[#This Row],[Spec Type2]]="N/A",Table1[[#This Row],[DUT Adj Read]]="N/A",Table1[[#This Row],[Std Adj Read]]="N/A"),"N/A",IF(Table1[[#This Row],[DUT Adj Read]]="N/A",IF(Table1[[#This Row],[Std Adj Read]]&gt;=Table1[[#This Row],[Low Tol]],"Pass","Fail"),IF(Table1[[#This Row],[DUT Adj Read]]&gt;=Table1[[#This Row],[Low Tol]],"Pass","Fail")))</f>
        <v>Pass</v>
      </c>
      <c r="AG73" s="1" t="str">
        <f>IF(AND(Table1[[#This Row],[Spec Type2]]="N/A",Table1[[#This Row],[DUT Adj Read]]="N/A",Table1[[#This Row],[Std Adj Read]]="N/A"),"N/A",IF(Table1[[#This Row],[DUT Adj Read]]="N/A",IF(Table1[[#This Row],[Std Adj Read]]&lt;=Table1[[#This Row],[High Tol]],"Pass","Fail"),IF(Table1[[#This Row],[DUT Adj Read]]&lt;=Table1[[#This Row],[High Tol]],"Pass","Fail")))</f>
        <v>Fail</v>
      </c>
      <c r="AH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 s="1" t="b">
        <v>0</v>
      </c>
      <c r="AN73" s="1" t="b">
        <v>0</v>
      </c>
      <c r="AO73" s="1" t="b">
        <v>0</v>
      </c>
    </row>
    <row r="74" spans="1:41" x14ac:dyDescent="0.25">
      <c r="A74" s="10"/>
      <c r="B74" s="10"/>
      <c r="C74" s="10"/>
      <c r="D74" s="10"/>
      <c r="E74" s="10"/>
      <c r="F74" s="10"/>
      <c r="G74" s="10"/>
      <c r="H74" s="10"/>
      <c r="I74" s="1" t="str">
        <f t="shared" si="2"/>
        <v/>
      </c>
      <c r="J74" s="1" t="s">
        <v>35</v>
      </c>
      <c r="K74" s="1" t="str">
        <f t="shared" si="0"/>
        <v/>
      </c>
      <c r="L74" s="1" t="str">
        <f t="shared" si="1"/>
        <v/>
      </c>
      <c r="M74" s="1">
        <f>IF(OR(Table1[[#This Row],[Std Nom]]="",Table1[[#This Row],[Std Read]]=""),0,Table1[[#This Row],[Std Nom]]-Table1[[#This Row],[Std Read]])</f>
        <v>0</v>
      </c>
      <c r="N74" s="1">
        <f>IF(Calculations!$F$5="ACCREDITED 17025 WITH UNCERTAINTIES",$N$10,0)</f>
        <v>0</v>
      </c>
      <c r="O74" s="1" t="str">
        <f>IFERROR(Table1[[#This Row],[Std Nom]]-(_xlfn.XLOOKUP(Table1[[#This Row],[Manufacturer]]&amp;" "&amp;Table1[[#This Row],[Model]],Table13[MFR &amp; MDL],Table13[Tolerance % CW ],"")/100*Table1[[#This Row],[Std Nom]]),"")</f>
        <v/>
      </c>
      <c r="P74" s="1" t="str">
        <f>IFERROR(Table1[[#This Row],[Std Nom]]+(_xlfn.XLOOKUP(Table1[[#This Row],[Manufacturer]]&amp;" "&amp;Table1[[#This Row],[Model]],Table13[MFR &amp; MDL],Table13[Tolerance % CW ],"")/100*Table1[[#This Row],[Std Nom]]),"")</f>
        <v/>
      </c>
      <c r="Q74" s="1" t="e">
        <f>Table1[[#This Row],[High Tol]]-Table1[[#This Row],[Low Tol]]</f>
        <v>#VALUE!</v>
      </c>
      <c r="R74" s="1">
        <f>2*Table1[[#This Row],[Std Error]]</f>
        <v>0</v>
      </c>
      <c r="S74" s="1" t="str">
        <f>IF(Table1[[#This Row],[High Tol]]="","N/A",IFERROR(ABS(Table1[[#This Row],[Tol Span]]/Table1[[#This Row],[Error Span]]),"N/A"))</f>
        <v>N/A</v>
      </c>
      <c r="T74" s="1" t="str">
        <f>IF(OR(Table1[[#This Row],[Low Tol]]="",Table1[[#This Row],[High Tol]]=""),"Needs Analysis",IF(Table1[[#This Row],[Ratio]]&gt;=4,"Not Significant",IF(Table1[[#This Row],[Ratio]]&gt;=2,"Semi-Significant","Significant")))</f>
        <v>Needs Analysis</v>
      </c>
      <c r="W74" s="1">
        <f>IF(Table1[[#This Row],[Cal Type]]&lt;&gt;"ACCREDITED 17025 WITH UNCERTAINTIES",0,"")</f>
        <v>0</v>
      </c>
      <c r="X74" s="1" t="str">
        <f>IF(Table1[[#This Row],[DUT Read]]="","N/A",Table1[[#This Row],[Std Error]]+Table1[[#This Row],[DUT Read]]+Table1[[#This Row],[DUT Ucty]])</f>
        <v>N/A</v>
      </c>
      <c r="Y74" s="1" t="str">
        <f>IF(Table1[[#This Row],[Std Read]]="","N/A",Table1[[#This Row],[Std Read]]+Table1[[#This Row],[Std Ucty]])</f>
        <v>N/A</v>
      </c>
      <c r="Z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 s="1" t="str">
        <f>IF(Table1[[#This Row],[Spec Type]]="","N/A",Table1[[#This Row],[Spec Type]])</f>
        <v>±</v>
      </c>
      <c r="AC74" s="1" t="str">
        <f>IF(Table1[[#This Row],[Spec Type2]]="N/A","N/A",IF(AND(Table1[[#This Row],[DUT Adj Read]]&gt;=Table1[[#This Row],[Low Tol]],Table1[[#This Row],[DUT Adj Read]]&lt;=Table1[[#This Row],[High Tol]]),"Pass","Fail"))</f>
        <v>Fail</v>
      </c>
      <c r="AD74" s="1" t="str">
        <f>IF(AND(Table1[[#This Row],[Spec Type2]]="N/A",Table1[[#This Row],[DUT Adj Read]]="N/A",Table1[[#This Row],[Std Adj Read]]="N/A"),"N/A",IF(Table1[[#This Row],[DUT Adj Read]]="N/A",IF(Table1[[#This Row],[Std Adj Read]]&gt;Table1[[#This Row],[Low Tol]],"Pass","Fail"),IF(Table1[[#This Row],[DUT Adj Read]]&gt;Table1[[#This Row],[Low Tol]],"Pass","Fail")))</f>
        <v>Pass</v>
      </c>
      <c r="AE74" s="1" t="str">
        <f>IF(AND(Table1[[#This Row],[Spec Type2]]="N/A",Table1[[#This Row],[DUT Adj Read]]="N/A",Table1[[#This Row],[Std Adj Read]]="N/A"),"N/A",IF(Table1[[#This Row],[DUT Adj Read]]="N/A",IF(Table1[[#This Row],[Std Adj Read]]&lt;Table1[[#This Row],[High Tol]],"Pass","Fail"),IF(Table1[[#This Row],[DUT Adj Read]]&lt;Table1[[#This Row],[High Tol]],"Pass","Fail")))</f>
        <v>Fail</v>
      </c>
      <c r="AF74" s="1" t="str">
        <f>IF(AND(Table1[[#This Row],[Spec Type2]]="N/A",Table1[[#This Row],[DUT Adj Read]]="N/A",Table1[[#This Row],[Std Adj Read]]="N/A"),"N/A",IF(Table1[[#This Row],[DUT Adj Read]]="N/A",IF(Table1[[#This Row],[Std Adj Read]]&gt;=Table1[[#This Row],[Low Tol]],"Pass","Fail"),IF(Table1[[#This Row],[DUT Adj Read]]&gt;=Table1[[#This Row],[Low Tol]],"Pass","Fail")))</f>
        <v>Pass</v>
      </c>
      <c r="AG74" s="1" t="str">
        <f>IF(AND(Table1[[#This Row],[Spec Type2]]="N/A",Table1[[#This Row],[DUT Adj Read]]="N/A",Table1[[#This Row],[Std Adj Read]]="N/A"),"N/A",IF(Table1[[#This Row],[DUT Adj Read]]="N/A",IF(Table1[[#This Row],[Std Adj Read]]&lt;=Table1[[#This Row],[High Tol]],"Pass","Fail"),IF(Table1[[#This Row],[DUT Adj Read]]&lt;=Table1[[#This Row],[High Tol]],"Pass","Fail")))</f>
        <v>Fail</v>
      </c>
      <c r="AH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 s="1" t="b">
        <v>0</v>
      </c>
      <c r="AN74" s="1" t="b">
        <v>0</v>
      </c>
      <c r="AO74" s="1" t="b">
        <v>0</v>
      </c>
    </row>
    <row r="75" spans="1:41" x14ac:dyDescent="0.25">
      <c r="A75" s="10"/>
      <c r="B75" s="10"/>
      <c r="C75" s="10"/>
      <c r="D75" s="10"/>
      <c r="E75" s="10"/>
      <c r="F75" s="10"/>
      <c r="G75" s="10"/>
      <c r="H75" s="10"/>
      <c r="I75" s="1" t="str">
        <f t="shared" ref="I75:I138" si="3">IF($I$10="","",$I$10)</f>
        <v/>
      </c>
      <c r="J75" s="1" t="s">
        <v>35</v>
      </c>
      <c r="K75" s="1" t="str">
        <f t="shared" ref="K75:K138" si="4">IF($K$10="","",$K$10)</f>
        <v/>
      </c>
      <c r="L75" s="1" t="str">
        <f t="shared" ref="L75:L138" si="5">IF($L$10="","",$L$10)</f>
        <v/>
      </c>
      <c r="M75" s="1">
        <f>IF(OR(Table1[[#This Row],[Std Nom]]="",Table1[[#This Row],[Std Read]]=""),0,Table1[[#This Row],[Std Nom]]-Table1[[#This Row],[Std Read]])</f>
        <v>0</v>
      </c>
      <c r="N75" s="1">
        <f>IF(Calculations!$F$5="ACCREDITED 17025 WITH UNCERTAINTIES",$N$10,0)</f>
        <v>0</v>
      </c>
      <c r="O75" s="1" t="str">
        <f>IFERROR(Table1[[#This Row],[Std Nom]]-(_xlfn.XLOOKUP(Table1[[#This Row],[Manufacturer]]&amp;" "&amp;Table1[[#This Row],[Model]],Table13[MFR &amp; MDL],Table13[Tolerance % CW ],"")/100*Table1[[#This Row],[Std Nom]]),"")</f>
        <v/>
      </c>
      <c r="P75" s="1" t="str">
        <f>IFERROR(Table1[[#This Row],[Std Nom]]+(_xlfn.XLOOKUP(Table1[[#This Row],[Manufacturer]]&amp;" "&amp;Table1[[#This Row],[Model]],Table13[MFR &amp; MDL],Table13[Tolerance % CW ],"")/100*Table1[[#This Row],[Std Nom]]),"")</f>
        <v/>
      </c>
      <c r="Q75" s="1" t="e">
        <f>Table1[[#This Row],[High Tol]]-Table1[[#This Row],[Low Tol]]</f>
        <v>#VALUE!</v>
      </c>
      <c r="R75" s="1">
        <f>2*Table1[[#This Row],[Std Error]]</f>
        <v>0</v>
      </c>
      <c r="S75" s="1" t="str">
        <f>IF(Table1[[#This Row],[High Tol]]="","N/A",IFERROR(ABS(Table1[[#This Row],[Tol Span]]/Table1[[#This Row],[Error Span]]),"N/A"))</f>
        <v>N/A</v>
      </c>
      <c r="T75" s="1" t="str">
        <f>IF(OR(Table1[[#This Row],[Low Tol]]="",Table1[[#This Row],[High Tol]]=""),"Needs Analysis",IF(Table1[[#This Row],[Ratio]]&gt;=4,"Not Significant",IF(Table1[[#This Row],[Ratio]]&gt;=2,"Semi-Significant","Significant")))</f>
        <v>Needs Analysis</v>
      </c>
      <c r="W75" s="1">
        <f>IF(Table1[[#This Row],[Cal Type]]&lt;&gt;"ACCREDITED 17025 WITH UNCERTAINTIES",0,"")</f>
        <v>0</v>
      </c>
      <c r="X75" s="1" t="str">
        <f>IF(Table1[[#This Row],[DUT Read]]="","N/A",Table1[[#This Row],[Std Error]]+Table1[[#This Row],[DUT Read]]+Table1[[#This Row],[DUT Ucty]])</f>
        <v>N/A</v>
      </c>
      <c r="Y75" s="1" t="str">
        <f>IF(Table1[[#This Row],[Std Read]]="","N/A",Table1[[#This Row],[Std Read]]+Table1[[#This Row],[Std Ucty]])</f>
        <v>N/A</v>
      </c>
      <c r="Z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 s="1" t="str">
        <f>IF(Table1[[#This Row],[Spec Type]]="","N/A",Table1[[#This Row],[Spec Type]])</f>
        <v>±</v>
      </c>
      <c r="AC75" s="1" t="str">
        <f>IF(Table1[[#This Row],[Spec Type2]]="N/A","N/A",IF(AND(Table1[[#This Row],[DUT Adj Read]]&gt;=Table1[[#This Row],[Low Tol]],Table1[[#This Row],[DUT Adj Read]]&lt;=Table1[[#This Row],[High Tol]]),"Pass","Fail"))</f>
        <v>Fail</v>
      </c>
      <c r="AD75" s="1" t="str">
        <f>IF(AND(Table1[[#This Row],[Spec Type2]]="N/A",Table1[[#This Row],[DUT Adj Read]]="N/A",Table1[[#This Row],[Std Adj Read]]="N/A"),"N/A",IF(Table1[[#This Row],[DUT Adj Read]]="N/A",IF(Table1[[#This Row],[Std Adj Read]]&gt;Table1[[#This Row],[Low Tol]],"Pass","Fail"),IF(Table1[[#This Row],[DUT Adj Read]]&gt;Table1[[#This Row],[Low Tol]],"Pass","Fail")))</f>
        <v>Pass</v>
      </c>
      <c r="AE75" s="1" t="str">
        <f>IF(AND(Table1[[#This Row],[Spec Type2]]="N/A",Table1[[#This Row],[DUT Adj Read]]="N/A",Table1[[#This Row],[Std Adj Read]]="N/A"),"N/A",IF(Table1[[#This Row],[DUT Adj Read]]="N/A",IF(Table1[[#This Row],[Std Adj Read]]&lt;Table1[[#This Row],[High Tol]],"Pass","Fail"),IF(Table1[[#This Row],[DUT Adj Read]]&lt;Table1[[#This Row],[High Tol]],"Pass","Fail")))</f>
        <v>Fail</v>
      </c>
      <c r="AF75" s="1" t="str">
        <f>IF(AND(Table1[[#This Row],[Spec Type2]]="N/A",Table1[[#This Row],[DUT Adj Read]]="N/A",Table1[[#This Row],[Std Adj Read]]="N/A"),"N/A",IF(Table1[[#This Row],[DUT Adj Read]]="N/A",IF(Table1[[#This Row],[Std Adj Read]]&gt;=Table1[[#This Row],[Low Tol]],"Pass","Fail"),IF(Table1[[#This Row],[DUT Adj Read]]&gt;=Table1[[#This Row],[Low Tol]],"Pass","Fail")))</f>
        <v>Pass</v>
      </c>
      <c r="AG75" s="1" t="str">
        <f>IF(AND(Table1[[#This Row],[Spec Type2]]="N/A",Table1[[#This Row],[DUT Adj Read]]="N/A",Table1[[#This Row],[Std Adj Read]]="N/A"),"N/A",IF(Table1[[#This Row],[DUT Adj Read]]="N/A",IF(Table1[[#This Row],[Std Adj Read]]&lt;=Table1[[#This Row],[High Tol]],"Pass","Fail"),IF(Table1[[#This Row],[DUT Adj Read]]&lt;=Table1[[#This Row],[High Tol]],"Pass","Fail")))</f>
        <v>Fail</v>
      </c>
      <c r="AH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 s="1" t="b">
        <v>0</v>
      </c>
      <c r="AN75" s="1" t="b">
        <v>0</v>
      </c>
      <c r="AO75" s="1" t="b">
        <v>0</v>
      </c>
    </row>
    <row r="76" spans="1:41" x14ac:dyDescent="0.25">
      <c r="A76" s="10"/>
      <c r="B76" s="10"/>
      <c r="C76" s="10"/>
      <c r="D76" s="10"/>
      <c r="E76" s="10"/>
      <c r="F76" s="10"/>
      <c r="G76" s="10"/>
      <c r="H76" s="10"/>
      <c r="I76" s="1" t="str">
        <f t="shared" si="3"/>
        <v/>
      </c>
      <c r="J76" s="1" t="s">
        <v>35</v>
      </c>
      <c r="K76" s="1" t="str">
        <f t="shared" si="4"/>
        <v/>
      </c>
      <c r="L76" s="1" t="str">
        <f t="shared" si="5"/>
        <v/>
      </c>
      <c r="M76" s="1">
        <f>IF(OR(Table1[[#This Row],[Std Nom]]="",Table1[[#This Row],[Std Read]]=""),0,Table1[[#This Row],[Std Nom]]-Table1[[#This Row],[Std Read]])</f>
        <v>0</v>
      </c>
      <c r="N76" s="1">
        <f>IF(Calculations!$F$5="ACCREDITED 17025 WITH UNCERTAINTIES",$N$10,0)</f>
        <v>0</v>
      </c>
      <c r="O76" s="1" t="str">
        <f>IFERROR(Table1[[#This Row],[Std Nom]]-(_xlfn.XLOOKUP(Table1[[#This Row],[Manufacturer]]&amp;" "&amp;Table1[[#This Row],[Model]],Table13[MFR &amp; MDL],Table13[Tolerance % CW ],"")/100*Table1[[#This Row],[Std Nom]]),"")</f>
        <v/>
      </c>
      <c r="P76" s="1" t="str">
        <f>IFERROR(Table1[[#This Row],[Std Nom]]+(_xlfn.XLOOKUP(Table1[[#This Row],[Manufacturer]]&amp;" "&amp;Table1[[#This Row],[Model]],Table13[MFR &amp; MDL],Table13[Tolerance % CW ],"")/100*Table1[[#This Row],[Std Nom]]),"")</f>
        <v/>
      </c>
      <c r="Q76" s="1" t="e">
        <f>Table1[[#This Row],[High Tol]]-Table1[[#This Row],[Low Tol]]</f>
        <v>#VALUE!</v>
      </c>
      <c r="R76" s="1">
        <f>2*Table1[[#This Row],[Std Error]]</f>
        <v>0</v>
      </c>
      <c r="S76" s="1" t="str">
        <f>IF(Table1[[#This Row],[High Tol]]="","N/A",IFERROR(ABS(Table1[[#This Row],[Tol Span]]/Table1[[#This Row],[Error Span]]),"N/A"))</f>
        <v>N/A</v>
      </c>
      <c r="T76" s="1" t="str">
        <f>IF(OR(Table1[[#This Row],[Low Tol]]="",Table1[[#This Row],[High Tol]]=""),"Needs Analysis",IF(Table1[[#This Row],[Ratio]]&gt;=4,"Not Significant",IF(Table1[[#This Row],[Ratio]]&gt;=2,"Semi-Significant","Significant")))</f>
        <v>Needs Analysis</v>
      </c>
      <c r="W76" s="1">
        <f>IF(Table1[[#This Row],[Cal Type]]&lt;&gt;"ACCREDITED 17025 WITH UNCERTAINTIES",0,"")</f>
        <v>0</v>
      </c>
      <c r="X76" s="1" t="str">
        <f>IF(Table1[[#This Row],[DUT Read]]="","N/A",Table1[[#This Row],[Std Error]]+Table1[[#This Row],[DUT Read]]+Table1[[#This Row],[DUT Ucty]])</f>
        <v>N/A</v>
      </c>
      <c r="Y76" s="1" t="str">
        <f>IF(Table1[[#This Row],[Std Read]]="","N/A",Table1[[#This Row],[Std Read]]+Table1[[#This Row],[Std Ucty]])</f>
        <v>N/A</v>
      </c>
      <c r="Z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 s="1" t="str">
        <f>IF(Table1[[#This Row],[Spec Type]]="","N/A",Table1[[#This Row],[Spec Type]])</f>
        <v>±</v>
      </c>
      <c r="AC76" s="1" t="str">
        <f>IF(Table1[[#This Row],[Spec Type2]]="N/A","N/A",IF(AND(Table1[[#This Row],[DUT Adj Read]]&gt;=Table1[[#This Row],[Low Tol]],Table1[[#This Row],[DUT Adj Read]]&lt;=Table1[[#This Row],[High Tol]]),"Pass","Fail"))</f>
        <v>Fail</v>
      </c>
      <c r="AD76" s="1" t="str">
        <f>IF(AND(Table1[[#This Row],[Spec Type2]]="N/A",Table1[[#This Row],[DUT Adj Read]]="N/A",Table1[[#This Row],[Std Adj Read]]="N/A"),"N/A",IF(Table1[[#This Row],[DUT Adj Read]]="N/A",IF(Table1[[#This Row],[Std Adj Read]]&gt;Table1[[#This Row],[Low Tol]],"Pass","Fail"),IF(Table1[[#This Row],[DUT Adj Read]]&gt;Table1[[#This Row],[Low Tol]],"Pass","Fail")))</f>
        <v>Pass</v>
      </c>
      <c r="AE76" s="1" t="str">
        <f>IF(AND(Table1[[#This Row],[Spec Type2]]="N/A",Table1[[#This Row],[DUT Adj Read]]="N/A",Table1[[#This Row],[Std Adj Read]]="N/A"),"N/A",IF(Table1[[#This Row],[DUT Adj Read]]="N/A",IF(Table1[[#This Row],[Std Adj Read]]&lt;Table1[[#This Row],[High Tol]],"Pass","Fail"),IF(Table1[[#This Row],[DUT Adj Read]]&lt;Table1[[#This Row],[High Tol]],"Pass","Fail")))</f>
        <v>Fail</v>
      </c>
      <c r="AF76" s="1" t="str">
        <f>IF(AND(Table1[[#This Row],[Spec Type2]]="N/A",Table1[[#This Row],[DUT Adj Read]]="N/A",Table1[[#This Row],[Std Adj Read]]="N/A"),"N/A",IF(Table1[[#This Row],[DUT Adj Read]]="N/A",IF(Table1[[#This Row],[Std Adj Read]]&gt;=Table1[[#This Row],[Low Tol]],"Pass","Fail"),IF(Table1[[#This Row],[DUT Adj Read]]&gt;=Table1[[#This Row],[Low Tol]],"Pass","Fail")))</f>
        <v>Pass</v>
      </c>
      <c r="AG76" s="1" t="str">
        <f>IF(AND(Table1[[#This Row],[Spec Type2]]="N/A",Table1[[#This Row],[DUT Adj Read]]="N/A",Table1[[#This Row],[Std Adj Read]]="N/A"),"N/A",IF(Table1[[#This Row],[DUT Adj Read]]="N/A",IF(Table1[[#This Row],[Std Adj Read]]&lt;=Table1[[#This Row],[High Tol]],"Pass","Fail"),IF(Table1[[#This Row],[DUT Adj Read]]&lt;=Table1[[#This Row],[High Tol]],"Pass","Fail")))</f>
        <v>Fail</v>
      </c>
      <c r="AH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 s="1" t="b">
        <v>0</v>
      </c>
      <c r="AN76" s="1" t="b">
        <v>0</v>
      </c>
      <c r="AO76" s="1" t="b">
        <v>0</v>
      </c>
    </row>
    <row r="77" spans="1:41" x14ac:dyDescent="0.25">
      <c r="A77" s="10"/>
      <c r="B77" s="10"/>
      <c r="C77" s="10"/>
      <c r="D77" s="10"/>
      <c r="E77" s="10"/>
      <c r="F77" s="10"/>
      <c r="G77" s="10"/>
      <c r="H77" s="10"/>
      <c r="I77" s="1" t="str">
        <f t="shared" si="3"/>
        <v/>
      </c>
      <c r="J77" s="1" t="s">
        <v>35</v>
      </c>
      <c r="K77" s="1" t="str">
        <f t="shared" si="4"/>
        <v/>
      </c>
      <c r="L77" s="1" t="str">
        <f t="shared" si="5"/>
        <v/>
      </c>
      <c r="M77" s="1">
        <f>IF(OR(Table1[[#This Row],[Std Nom]]="",Table1[[#This Row],[Std Read]]=""),0,Table1[[#This Row],[Std Nom]]-Table1[[#This Row],[Std Read]])</f>
        <v>0</v>
      </c>
      <c r="N77" s="1">
        <f>IF(Calculations!$F$5="ACCREDITED 17025 WITH UNCERTAINTIES",$N$10,0)</f>
        <v>0</v>
      </c>
      <c r="O77" s="1" t="str">
        <f>IFERROR(Table1[[#This Row],[Std Nom]]-(_xlfn.XLOOKUP(Table1[[#This Row],[Manufacturer]]&amp;" "&amp;Table1[[#This Row],[Model]],Table13[MFR &amp; MDL],Table13[Tolerance % CW ],"")/100*Table1[[#This Row],[Std Nom]]),"")</f>
        <v/>
      </c>
      <c r="P77" s="1" t="str">
        <f>IFERROR(Table1[[#This Row],[Std Nom]]+(_xlfn.XLOOKUP(Table1[[#This Row],[Manufacturer]]&amp;" "&amp;Table1[[#This Row],[Model]],Table13[MFR &amp; MDL],Table13[Tolerance % CW ],"")/100*Table1[[#This Row],[Std Nom]]),"")</f>
        <v/>
      </c>
      <c r="Q77" s="1" t="e">
        <f>Table1[[#This Row],[High Tol]]-Table1[[#This Row],[Low Tol]]</f>
        <v>#VALUE!</v>
      </c>
      <c r="R77" s="1">
        <f>2*Table1[[#This Row],[Std Error]]</f>
        <v>0</v>
      </c>
      <c r="S77" s="1" t="str">
        <f>IF(Table1[[#This Row],[High Tol]]="","N/A",IFERROR(ABS(Table1[[#This Row],[Tol Span]]/Table1[[#This Row],[Error Span]]),"N/A"))</f>
        <v>N/A</v>
      </c>
      <c r="T77" s="1" t="str">
        <f>IF(OR(Table1[[#This Row],[Low Tol]]="",Table1[[#This Row],[High Tol]]=""),"Needs Analysis",IF(Table1[[#This Row],[Ratio]]&gt;=4,"Not Significant",IF(Table1[[#This Row],[Ratio]]&gt;=2,"Semi-Significant","Significant")))</f>
        <v>Needs Analysis</v>
      </c>
      <c r="W77" s="1">
        <f>IF(Table1[[#This Row],[Cal Type]]&lt;&gt;"ACCREDITED 17025 WITH UNCERTAINTIES",0,"")</f>
        <v>0</v>
      </c>
      <c r="X77" s="1" t="str">
        <f>IF(Table1[[#This Row],[DUT Read]]="","N/A",Table1[[#This Row],[Std Error]]+Table1[[#This Row],[DUT Read]]+Table1[[#This Row],[DUT Ucty]])</f>
        <v>N/A</v>
      </c>
      <c r="Y77" s="1" t="str">
        <f>IF(Table1[[#This Row],[Std Read]]="","N/A",Table1[[#This Row],[Std Read]]+Table1[[#This Row],[Std Ucty]])</f>
        <v>N/A</v>
      </c>
      <c r="Z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 s="1" t="str">
        <f>IF(Table1[[#This Row],[Spec Type]]="","N/A",Table1[[#This Row],[Spec Type]])</f>
        <v>±</v>
      </c>
      <c r="AC77" s="1" t="str">
        <f>IF(Table1[[#This Row],[Spec Type2]]="N/A","N/A",IF(AND(Table1[[#This Row],[DUT Adj Read]]&gt;=Table1[[#This Row],[Low Tol]],Table1[[#This Row],[DUT Adj Read]]&lt;=Table1[[#This Row],[High Tol]]),"Pass","Fail"))</f>
        <v>Fail</v>
      </c>
      <c r="AD77" s="1" t="str">
        <f>IF(AND(Table1[[#This Row],[Spec Type2]]="N/A",Table1[[#This Row],[DUT Adj Read]]="N/A",Table1[[#This Row],[Std Adj Read]]="N/A"),"N/A",IF(Table1[[#This Row],[DUT Adj Read]]="N/A",IF(Table1[[#This Row],[Std Adj Read]]&gt;Table1[[#This Row],[Low Tol]],"Pass","Fail"),IF(Table1[[#This Row],[DUT Adj Read]]&gt;Table1[[#This Row],[Low Tol]],"Pass","Fail")))</f>
        <v>Pass</v>
      </c>
      <c r="AE77" s="1" t="str">
        <f>IF(AND(Table1[[#This Row],[Spec Type2]]="N/A",Table1[[#This Row],[DUT Adj Read]]="N/A",Table1[[#This Row],[Std Adj Read]]="N/A"),"N/A",IF(Table1[[#This Row],[DUT Adj Read]]="N/A",IF(Table1[[#This Row],[Std Adj Read]]&lt;Table1[[#This Row],[High Tol]],"Pass","Fail"),IF(Table1[[#This Row],[DUT Adj Read]]&lt;Table1[[#This Row],[High Tol]],"Pass","Fail")))</f>
        <v>Fail</v>
      </c>
      <c r="AF77" s="1" t="str">
        <f>IF(AND(Table1[[#This Row],[Spec Type2]]="N/A",Table1[[#This Row],[DUT Adj Read]]="N/A",Table1[[#This Row],[Std Adj Read]]="N/A"),"N/A",IF(Table1[[#This Row],[DUT Adj Read]]="N/A",IF(Table1[[#This Row],[Std Adj Read]]&gt;=Table1[[#This Row],[Low Tol]],"Pass","Fail"),IF(Table1[[#This Row],[DUT Adj Read]]&gt;=Table1[[#This Row],[Low Tol]],"Pass","Fail")))</f>
        <v>Pass</v>
      </c>
      <c r="AG77" s="1" t="str">
        <f>IF(AND(Table1[[#This Row],[Spec Type2]]="N/A",Table1[[#This Row],[DUT Adj Read]]="N/A",Table1[[#This Row],[Std Adj Read]]="N/A"),"N/A",IF(Table1[[#This Row],[DUT Adj Read]]="N/A",IF(Table1[[#This Row],[Std Adj Read]]&lt;=Table1[[#This Row],[High Tol]],"Pass","Fail"),IF(Table1[[#This Row],[DUT Adj Read]]&lt;=Table1[[#This Row],[High Tol]],"Pass","Fail")))</f>
        <v>Fail</v>
      </c>
      <c r="AH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 s="1" t="b">
        <v>0</v>
      </c>
      <c r="AN77" s="1" t="b">
        <v>0</v>
      </c>
      <c r="AO77" s="1" t="b">
        <v>0</v>
      </c>
    </row>
    <row r="78" spans="1:41" x14ac:dyDescent="0.25">
      <c r="A78" s="10"/>
      <c r="B78" s="10"/>
      <c r="C78" s="10"/>
      <c r="D78" s="10"/>
      <c r="E78" s="10"/>
      <c r="F78" s="10"/>
      <c r="G78" s="10"/>
      <c r="H78" s="10"/>
      <c r="I78" s="1" t="str">
        <f t="shared" si="3"/>
        <v/>
      </c>
      <c r="J78" s="1" t="s">
        <v>35</v>
      </c>
      <c r="K78" s="1" t="str">
        <f t="shared" si="4"/>
        <v/>
      </c>
      <c r="L78" s="1" t="str">
        <f t="shared" si="5"/>
        <v/>
      </c>
      <c r="M78" s="1">
        <f>IF(OR(Table1[[#This Row],[Std Nom]]="",Table1[[#This Row],[Std Read]]=""),0,Table1[[#This Row],[Std Nom]]-Table1[[#This Row],[Std Read]])</f>
        <v>0</v>
      </c>
      <c r="N78" s="1">
        <f>IF(Calculations!$F$5="ACCREDITED 17025 WITH UNCERTAINTIES",$N$10,0)</f>
        <v>0</v>
      </c>
      <c r="O78" s="1" t="str">
        <f>IFERROR(Table1[[#This Row],[Std Nom]]-(_xlfn.XLOOKUP(Table1[[#This Row],[Manufacturer]]&amp;" "&amp;Table1[[#This Row],[Model]],Table13[MFR &amp; MDL],Table13[Tolerance % CW ],"")/100*Table1[[#This Row],[Std Nom]]),"")</f>
        <v/>
      </c>
      <c r="P78" s="1" t="str">
        <f>IFERROR(Table1[[#This Row],[Std Nom]]+(_xlfn.XLOOKUP(Table1[[#This Row],[Manufacturer]]&amp;" "&amp;Table1[[#This Row],[Model]],Table13[MFR &amp; MDL],Table13[Tolerance % CW ],"")/100*Table1[[#This Row],[Std Nom]]),"")</f>
        <v/>
      </c>
      <c r="Q78" s="1" t="e">
        <f>Table1[[#This Row],[High Tol]]-Table1[[#This Row],[Low Tol]]</f>
        <v>#VALUE!</v>
      </c>
      <c r="R78" s="1">
        <f>2*Table1[[#This Row],[Std Error]]</f>
        <v>0</v>
      </c>
      <c r="S78" s="1" t="str">
        <f>IF(Table1[[#This Row],[High Tol]]="","N/A",IFERROR(ABS(Table1[[#This Row],[Tol Span]]/Table1[[#This Row],[Error Span]]),"N/A"))</f>
        <v>N/A</v>
      </c>
      <c r="T78" s="1" t="str">
        <f>IF(OR(Table1[[#This Row],[Low Tol]]="",Table1[[#This Row],[High Tol]]=""),"Needs Analysis",IF(Table1[[#This Row],[Ratio]]&gt;=4,"Not Significant",IF(Table1[[#This Row],[Ratio]]&gt;=2,"Semi-Significant","Significant")))</f>
        <v>Needs Analysis</v>
      </c>
      <c r="W78" s="1">
        <f>IF(Table1[[#This Row],[Cal Type]]&lt;&gt;"ACCREDITED 17025 WITH UNCERTAINTIES",0,"")</f>
        <v>0</v>
      </c>
      <c r="X78" s="1" t="str">
        <f>IF(Table1[[#This Row],[DUT Read]]="","N/A",Table1[[#This Row],[Std Error]]+Table1[[#This Row],[DUT Read]]+Table1[[#This Row],[DUT Ucty]])</f>
        <v>N/A</v>
      </c>
      <c r="Y78" s="1" t="str">
        <f>IF(Table1[[#This Row],[Std Read]]="","N/A",Table1[[#This Row],[Std Read]]+Table1[[#This Row],[Std Ucty]])</f>
        <v>N/A</v>
      </c>
      <c r="Z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 s="1" t="str">
        <f>IF(Table1[[#This Row],[Spec Type]]="","N/A",Table1[[#This Row],[Spec Type]])</f>
        <v>±</v>
      </c>
      <c r="AC78" s="1" t="str">
        <f>IF(Table1[[#This Row],[Spec Type2]]="N/A","N/A",IF(AND(Table1[[#This Row],[DUT Adj Read]]&gt;=Table1[[#This Row],[Low Tol]],Table1[[#This Row],[DUT Adj Read]]&lt;=Table1[[#This Row],[High Tol]]),"Pass","Fail"))</f>
        <v>Fail</v>
      </c>
      <c r="AD78" s="1" t="str">
        <f>IF(AND(Table1[[#This Row],[Spec Type2]]="N/A",Table1[[#This Row],[DUT Adj Read]]="N/A",Table1[[#This Row],[Std Adj Read]]="N/A"),"N/A",IF(Table1[[#This Row],[DUT Adj Read]]="N/A",IF(Table1[[#This Row],[Std Adj Read]]&gt;Table1[[#This Row],[Low Tol]],"Pass","Fail"),IF(Table1[[#This Row],[DUT Adj Read]]&gt;Table1[[#This Row],[Low Tol]],"Pass","Fail")))</f>
        <v>Pass</v>
      </c>
      <c r="AE78" s="1" t="str">
        <f>IF(AND(Table1[[#This Row],[Spec Type2]]="N/A",Table1[[#This Row],[DUT Adj Read]]="N/A",Table1[[#This Row],[Std Adj Read]]="N/A"),"N/A",IF(Table1[[#This Row],[DUT Adj Read]]="N/A",IF(Table1[[#This Row],[Std Adj Read]]&lt;Table1[[#This Row],[High Tol]],"Pass","Fail"),IF(Table1[[#This Row],[DUT Adj Read]]&lt;Table1[[#This Row],[High Tol]],"Pass","Fail")))</f>
        <v>Fail</v>
      </c>
      <c r="AF78" s="1" t="str">
        <f>IF(AND(Table1[[#This Row],[Spec Type2]]="N/A",Table1[[#This Row],[DUT Adj Read]]="N/A",Table1[[#This Row],[Std Adj Read]]="N/A"),"N/A",IF(Table1[[#This Row],[DUT Adj Read]]="N/A",IF(Table1[[#This Row],[Std Adj Read]]&gt;=Table1[[#This Row],[Low Tol]],"Pass","Fail"),IF(Table1[[#This Row],[DUT Adj Read]]&gt;=Table1[[#This Row],[Low Tol]],"Pass","Fail")))</f>
        <v>Pass</v>
      </c>
      <c r="AG78" s="1" t="str">
        <f>IF(AND(Table1[[#This Row],[Spec Type2]]="N/A",Table1[[#This Row],[DUT Adj Read]]="N/A",Table1[[#This Row],[Std Adj Read]]="N/A"),"N/A",IF(Table1[[#This Row],[DUT Adj Read]]="N/A",IF(Table1[[#This Row],[Std Adj Read]]&lt;=Table1[[#This Row],[High Tol]],"Pass","Fail"),IF(Table1[[#This Row],[DUT Adj Read]]&lt;=Table1[[#This Row],[High Tol]],"Pass","Fail")))</f>
        <v>Fail</v>
      </c>
      <c r="AH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 s="1" t="b">
        <v>0</v>
      </c>
      <c r="AN78" s="1" t="b">
        <v>0</v>
      </c>
      <c r="AO78" s="1" t="b">
        <v>0</v>
      </c>
    </row>
    <row r="79" spans="1:41" x14ac:dyDescent="0.25">
      <c r="A79" s="10"/>
      <c r="B79" s="10"/>
      <c r="C79" s="10"/>
      <c r="D79" s="10"/>
      <c r="E79" s="10"/>
      <c r="F79" s="10"/>
      <c r="G79" s="10"/>
      <c r="H79" s="10"/>
      <c r="I79" s="1" t="str">
        <f t="shared" si="3"/>
        <v/>
      </c>
      <c r="J79" s="1" t="s">
        <v>35</v>
      </c>
      <c r="K79" s="1" t="str">
        <f t="shared" si="4"/>
        <v/>
      </c>
      <c r="L79" s="1" t="str">
        <f t="shared" si="5"/>
        <v/>
      </c>
      <c r="M79" s="1">
        <f>IF(OR(Table1[[#This Row],[Std Nom]]="",Table1[[#This Row],[Std Read]]=""),0,Table1[[#This Row],[Std Nom]]-Table1[[#This Row],[Std Read]])</f>
        <v>0</v>
      </c>
      <c r="N79" s="1">
        <f>IF(Calculations!$F$5="ACCREDITED 17025 WITH UNCERTAINTIES",$N$10,0)</f>
        <v>0</v>
      </c>
      <c r="O79" s="1" t="str">
        <f>IFERROR(Table1[[#This Row],[Std Nom]]-(_xlfn.XLOOKUP(Table1[[#This Row],[Manufacturer]]&amp;" "&amp;Table1[[#This Row],[Model]],Table13[MFR &amp; MDL],Table13[Tolerance % CW ],"")/100*Table1[[#This Row],[Std Nom]]),"")</f>
        <v/>
      </c>
      <c r="P79" s="1" t="str">
        <f>IFERROR(Table1[[#This Row],[Std Nom]]+(_xlfn.XLOOKUP(Table1[[#This Row],[Manufacturer]]&amp;" "&amp;Table1[[#This Row],[Model]],Table13[MFR &amp; MDL],Table13[Tolerance % CW ],"")/100*Table1[[#This Row],[Std Nom]]),"")</f>
        <v/>
      </c>
      <c r="Q79" s="1" t="e">
        <f>Table1[[#This Row],[High Tol]]-Table1[[#This Row],[Low Tol]]</f>
        <v>#VALUE!</v>
      </c>
      <c r="R79" s="1">
        <f>2*Table1[[#This Row],[Std Error]]</f>
        <v>0</v>
      </c>
      <c r="S79" s="1" t="str">
        <f>IF(Table1[[#This Row],[High Tol]]="","N/A",IFERROR(ABS(Table1[[#This Row],[Tol Span]]/Table1[[#This Row],[Error Span]]),"N/A"))</f>
        <v>N/A</v>
      </c>
      <c r="T79" s="1" t="str">
        <f>IF(OR(Table1[[#This Row],[Low Tol]]="",Table1[[#This Row],[High Tol]]=""),"Needs Analysis",IF(Table1[[#This Row],[Ratio]]&gt;=4,"Not Significant",IF(Table1[[#This Row],[Ratio]]&gt;=2,"Semi-Significant","Significant")))</f>
        <v>Needs Analysis</v>
      </c>
      <c r="W79" s="1">
        <f>IF(Table1[[#This Row],[Cal Type]]&lt;&gt;"ACCREDITED 17025 WITH UNCERTAINTIES",0,"")</f>
        <v>0</v>
      </c>
      <c r="X79" s="1" t="str">
        <f>IF(Table1[[#This Row],[DUT Read]]="","N/A",Table1[[#This Row],[Std Error]]+Table1[[#This Row],[DUT Read]]+Table1[[#This Row],[DUT Ucty]])</f>
        <v>N/A</v>
      </c>
      <c r="Y79" s="1" t="str">
        <f>IF(Table1[[#This Row],[Std Read]]="","N/A",Table1[[#This Row],[Std Read]]+Table1[[#This Row],[Std Ucty]])</f>
        <v>N/A</v>
      </c>
      <c r="Z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 s="1" t="str">
        <f>IF(Table1[[#This Row],[Spec Type]]="","N/A",Table1[[#This Row],[Spec Type]])</f>
        <v>±</v>
      </c>
      <c r="AC79" s="1" t="str">
        <f>IF(Table1[[#This Row],[Spec Type2]]="N/A","N/A",IF(AND(Table1[[#This Row],[DUT Adj Read]]&gt;=Table1[[#This Row],[Low Tol]],Table1[[#This Row],[DUT Adj Read]]&lt;=Table1[[#This Row],[High Tol]]),"Pass","Fail"))</f>
        <v>Fail</v>
      </c>
      <c r="AD79" s="1" t="str">
        <f>IF(AND(Table1[[#This Row],[Spec Type2]]="N/A",Table1[[#This Row],[DUT Adj Read]]="N/A",Table1[[#This Row],[Std Adj Read]]="N/A"),"N/A",IF(Table1[[#This Row],[DUT Adj Read]]="N/A",IF(Table1[[#This Row],[Std Adj Read]]&gt;Table1[[#This Row],[Low Tol]],"Pass","Fail"),IF(Table1[[#This Row],[DUT Adj Read]]&gt;Table1[[#This Row],[Low Tol]],"Pass","Fail")))</f>
        <v>Pass</v>
      </c>
      <c r="AE79" s="1" t="str">
        <f>IF(AND(Table1[[#This Row],[Spec Type2]]="N/A",Table1[[#This Row],[DUT Adj Read]]="N/A",Table1[[#This Row],[Std Adj Read]]="N/A"),"N/A",IF(Table1[[#This Row],[DUT Adj Read]]="N/A",IF(Table1[[#This Row],[Std Adj Read]]&lt;Table1[[#This Row],[High Tol]],"Pass","Fail"),IF(Table1[[#This Row],[DUT Adj Read]]&lt;Table1[[#This Row],[High Tol]],"Pass","Fail")))</f>
        <v>Fail</v>
      </c>
      <c r="AF79" s="1" t="str">
        <f>IF(AND(Table1[[#This Row],[Spec Type2]]="N/A",Table1[[#This Row],[DUT Adj Read]]="N/A",Table1[[#This Row],[Std Adj Read]]="N/A"),"N/A",IF(Table1[[#This Row],[DUT Adj Read]]="N/A",IF(Table1[[#This Row],[Std Adj Read]]&gt;=Table1[[#This Row],[Low Tol]],"Pass","Fail"),IF(Table1[[#This Row],[DUT Adj Read]]&gt;=Table1[[#This Row],[Low Tol]],"Pass","Fail")))</f>
        <v>Pass</v>
      </c>
      <c r="AG79" s="1" t="str">
        <f>IF(AND(Table1[[#This Row],[Spec Type2]]="N/A",Table1[[#This Row],[DUT Adj Read]]="N/A",Table1[[#This Row],[Std Adj Read]]="N/A"),"N/A",IF(Table1[[#This Row],[DUT Adj Read]]="N/A",IF(Table1[[#This Row],[Std Adj Read]]&lt;=Table1[[#This Row],[High Tol]],"Pass","Fail"),IF(Table1[[#This Row],[DUT Adj Read]]&lt;=Table1[[#This Row],[High Tol]],"Pass","Fail")))</f>
        <v>Fail</v>
      </c>
      <c r="AH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 s="1" t="b">
        <v>0</v>
      </c>
      <c r="AN79" s="1" t="b">
        <v>0</v>
      </c>
      <c r="AO79" s="1" t="b">
        <v>0</v>
      </c>
    </row>
    <row r="80" spans="1:41" x14ac:dyDescent="0.25">
      <c r="A80" s="10"/>
      <c r="B80" s="10"/>
      <c r="C80" s="10"/>
      <c r="D80" s="10"/>
      <c r="E80" s="10"/>
      <c r="F80" s="10"/>
      <c r="G80" s="10"/>
      <c r="H80" s="10"/>
      <c r="I80" s="1" t="str">
        <f t="shared" si="3"/>
        <v/>
      </c>
      <c r="J80" s="1" t="s">
        <v>35</v>
      </c>
      <c r="K80" s="1" t="str">
        <f t="shared" si="4"/>
        <v/>
      </c>
      <c r="L80" s="1" t="str">
        <f t="shared" si="5"/>
        <v/>
      </c>
      <c r="M80" s="1">
        <f>IF(OR(Table1[[#This Row],[Std Nom]]="",Table1[[#This Row],[Std Read]]=""),0,Table1[[#This Row],[Std Nom]]-Table1[[#This Row],[Std Read]])</f>
        <v>0</v>
      </c>
      <c r="N80" s="1">
        <f>IF(Calculations!$F$5="ACCREDITED 17025 WITH UNCERTAINTIES",$N$10,0)</f>
        <v>0</v>
      </c>
      <c r="O80" s="1" t="str">
        <f>IFERROR(Table1[[#This Row],[Std Nom]]-(_xlfn.XLOOKUP(Table1[[#This Row],[Manufacturer]]&amp;" "&amp;Table1[[#This Row],[Model]],Table13[MFR &amp; MDL],Table13[Tolerance % CW ],"")/100*Table1[[#This Row],[Std Nom]]),"")</f>
        <v/>
      </c>
      <c r="P80" s="1" t="str">
        <f>IFERROR(Table1[[#This Row],[Std Nom]]+(_xlfn.XLOOKUP(Table1[[#This Row],[Manufacturer]]&amp;" "&amp;Table1[[#This Row],[Model]],Table13[MFR &amp; MDL],Table13[Tolerance % CW ],"")/100*Table1[[#This Row],[Std Nom]]),"")</f>
        <v/>
      </c>
      <c r="Q80" s="1" t="e">
        <f>Table1[[#This Row],[High Tol]]-Table1[[#This Row],[Low Tol]]</f>
        <v>#VALUE!</v>
      </c>
      <c r="R80" s="1">
        <f>2*Table1[[#This Row],[Std Error]]</f>
        <v>0</v>
      </c>
      <c r="S80" s="1" t="str">
        <f>IF(Table1[[#This Row],[High Tol]]="","N/A",IFERROR(ABS(Table1[[#This Row],[Tol Span]]/Table1[[#This Row],[Error Span]]),"N/A"))</f>
        <v>N/A</v>
      </c>
      <c r="T80" s="1" t="str">
        <f>IF(OR(Table1[[#This Row],[Low Tol]]="",Table1[[#This Row],[High Tol]]=""),"Needs Analysis",IF(Table1[[#This Row],[Ratio]]&gt;=4,"Not Significant",IF(Table1[[#This Row],[Ratio]]&gt;=2,"Semi-Significant","Significant")))</f>
        <v>Needs Analysis</v>
      </c>
      <c r="W80" s="1">
        <f>IF(Table1[[#This Row],[Cal Type]]&lt;&gt;"ACCREDITED 17025 WITH UNCERTAINTIES",0,"")</f>
        <v>0</v>
      </c>
      <c r="X80" s="1" t="str">
        <f>IF(Table1[[#This Row],[DUT Read]]="","N/A",Table1[[#This Row],[Std Error]]+Table1[[#This Row],[DUT Read]]+Table1[[#This Row],[DUT Ucty]])</f>
        <v>N/A</v>
      </c>
      <c r="Y80" s="1" t="str">
        <f>IF(Table1[[#This Row],[Std Read]]="","N/A",Table1[[#This Row],[Std Read]]+Table1[[#This Row],[Std Ucty]])</f>
        <v>N/A</v>
      </c>
      <c r="Z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 s="1" t="str">
        <f>IF(Table1[[#This Row],[Spec Type]]="","N/A",Table1[[#This Row],[Spec Type]])</f>
        <v>±</v>
      </c>
      <c r="AC80" s="1" t="str">
        <f>IF(Table1[[#This Row],[Spec Type2]]="N/A","N/A",IF(AND(Table1[[#This Row],[DUT Adj Read]]&gt;=Table1[[#This Row],[Low Tol]],Table1[[#This Row],[DUT Adj Read]]&lt;=Table1[[#This Row],[High Tol]]),"Pass","Fail"))</f>
        <v>Fail</v>
      </c>
      <c r="AD80" s="1" t="str">
        <f>IF(AND(Table1[[#This Row],[Spec Type2]]="N/A",Table1[[#This Row],[DUT Adj Read]]="N/A",Table1[[#This Row],[Std Adj Read]]="N/A"),"N/A",IF(Table1[[#This Row],[DUT Adj Read]]="N/A",IF(Table1[[#This Row],[Std Adj Read]]&gt;Table1[[#This Row],[Low Tol]],"Pass","Fail"),IF(Table1[[#This Row],[DUT Adj Read]]&gt;Table1[[#This Row],[Low Tol]],"Pass","Fail")))</f>
        <v>Pass</v>
      </c>
      <c r="AE80" s="1" t="str">
        <f>IF(AND(Table1[[#This Row],[Spec Type2]]="N/A",Table1[[#This Row],[DUT Adj Read]]="N/A",Table1[[#This Row],[Std Adj Read]]="N/A"),"N/A",IF(Table1[[#This Row],[DUT Adj Read]]="N/A",IF(Table1[[#This Row],[Std Adj Read]]&lt;Table1[[#This Row],[High Tol]],"Pass","Fail"),IF(Table1[[#This Row],[DUT Adj Read]]&lt;Table1[[#This Row],[High Tol]],"Pass","Fail")))</f>
        <v>Fail</v>
      </c>
      <c r="AF80" s="1" t="str">
        <f>IF(AND(Table1[[#This Row],[Spec Type2]]="N/A",Table1[[#This Row],[DUT Adj Read]]="N/A",Table1[[#This Row],[Std Adj Read]]="N/A"),"N/A",IF(Table1[[#This Row],[DUT Adj Read]]="N/A",IF(Table1[[#This Row],[Std Adj Read]]&gt;=Table1[[#This Row],[Low Tol]],"Pass","Fail"),IF(Table1[[#This Row],[DUT Adj Read]]&gt;=Table1[[#This Row],[Low Tol]],"Pass","Fail")))</f>
        <v>Pass</v>
      </c>
      <c r="AG80" s="1" t="str">
        <f>IF(AND(Table1[[#This Row],[Spec Type2]]="N/A",Table1[[#This Row],[DUT Adj Read]]="N/A",Table1[[#This Row],[Std Adj Read]]="N/A"),"N/A",IF(Table1[[#This Row],[DUT Adj Read]]="N/A",IF(Table1[[#This Row],[Std Adj Read]]&lt;=Table1[[#This Row],[High Tol]],"Pass","Fail"),IF(Table1[[#This Row],[DUT Adj Read]]&lt;=Table1[[#This Row],[High Tol]],"Pass","Fail")))</f>
        <v>Fail</v>
      </c>
      <c r="AH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 s="1" t="b">
        <v>0</v>
      </c>
      <c r="AN80" s="1" t="b">
        <v>0</v>
      </c>
      <c r="AO80" s="1" t="b">
        <v>0</v>
      </c>
    </row>
    <row r="81" spans="1:41" x14ac:dyDescent="0.25">
      <c r="A81" s="10"/>
      <c r="B81" s="10"/>
      <c r="C81" s="10"/>
      <c r="D81" s="10"/>
      <c r="E81" s="10"/>
      <c r="F81" s="10"/>
      <c r="G81" s="10"/>
      <c r="H81" s="10"/>
      <c r="I81" s="1" t="str">
        <f t="shared" si="3"/>
        <v/>
      </c>
      <c r="J81" s="1" t="s">
        <v>35</v>
      </c>
      <c r="K81" s="1" t="str">
        <f t="shared" si="4"/>
        <v/>
      </c>
      <c r="L81" s="1" t="str">
        <f t="shared" si="5"/>
        <v/>
      </c>
      <c r="M81" s="1">
        <f>IF(OR(Table1[[#This Row],[Std Nom]]="",Table1[[#This Row],[Std Read]]=""),0,Table1[[#This Row],[Std Nom]]-Table1[[#This Row],[Std Read]])</f>
        <v>0</v>
      </c>
      <c r="N81" s="1">
        <f>IF(Calculations!$F$5="ACCREDITED 17025 WITH UNCERTAINTIES",$N$10,0)</f>
        <v>0</v>
      </c>
      <c r="O81" s="1" t="str">
        <f>IFERROR(Table1[[#This Row],[Std Nom]]-(_xlfn.XLOOKUP(Table1[[#This Row],[Manufacturer]]&amp;" "&amp;Table1[[#This Row],[Model]],Table13[MFR &amp; MDL],Table13[Tolerance % CW ],"")/100*Table1[[#This Row],[Std Nom]]),"")</f>
        <v/>
      </c>
      <c r="P81" s="1" t="str">
        <f>IFERROR(Table1[[#This Row],[Std Nom]]+(_xlfn.XLOOKUP(Table1[[#This Row],[Manufacturer]]&amp;" "&amp;Table1[[#This Row],[Model]],Table13[MFR &amp; MDL],Table13[Tolerance % CW ],"")/100*Table1[[#This Row],[Std Nom]]),"")</f>
        <v/>
      </c>
      <c r="Q81" s="1" t="e">
        <f>Table1[[#This Row],[High Tol]]-Table1[[#This Row],[Low Tol]]</f>
        <v>#VALUE!</v>
      </c>
      <c r="R81" s="1">
        <f>2*Table1[[#This Row],[Std Error]]</f>
        <v>0</v>
      </c>
      <c r="S81" s="1" t="str">
        <f>IF(Table1[[#This Row],[High Tol]]="","N/A",IFERROR(ABS(Table1[[#This Row],[Tol Span]]/Table1[[#This Row],[Error Span]]),"N/A"))</f>
        <v>N/A</v>
      </c>
      <c r="T81" s="1" t="str">
        <f>IF(OR(Table1[[#This Row],[Low Tol]]="",Table1[[#This Row],[High Tol]]=""),"Needs Analysis",IF(Table1[[#This Row],[Ratio]]&gt;=4,"Not Significant",IF(Table1[[#This Row],[Ratio]]&gt;=2,"Semi-Significant","Significant")))</f>
        <v>Needs Analysis</v>
      </c>
      <c r="W81" s="1">
        <f>IF(Table1[[#This Row],[Cal Type]]&lt;&gt;"ACCREDITED 17025 WITH UNCERTAINTIES",0,"")</f>
        <v>0</v>
      </c>
      <c r="X81" s="1" t="str">
        <f>IF(Table1[[#This Row],[DUT Read]]="","N/A",Table1[[#This Row],[Std Error]]+Table1[[#This Row],[DUT Read]]+Table1[[#This Row],[DUT Ucty]])</f>
        <v>N/A</v>
      </c>
      <c r="Y81" s="1" t="str">
        <f>IF(Table1[[#This Row],[Std Read]]="","N/A",Table1[[#This Row],[Std Read]]+Table1[[#This Row],[Std Ucty]])</f>
        <v>N/A</v>
      </c>
      <c r="Z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 s="1" t="str">
        <f>IF(Table1[[#This Row],[Spec Type]]="","N/A",Table1[[#This Row],[Spec Type]])</f>
        <v>±</v>
      </c>
      <c r="AC81" s="1" t="str">
        <f>IF(Table1[[#This Row],[Spec Type2]]="N/A","N/A",IF(AND(Table1[[#This Row],[DUT Adj Read]]&gt;=Table1[[#This Row],[Low Tol]],Table1[[#This Row],[DUT Adj Read]]&lt;=Table1[[#This Row],[High Tol]]),"Pass","Fail"))</f>
        <v>Fail</v>
      </c>
      <c r="AD81" s="1" t="str">
        <f>IF(AND(Table1[[#This Row],[Spec Type2]]="N/A",Table1[[#This Row],[DUT Adj Read]]="N/A",Table1[[#This Row],[Std Adj Read]]="N/A"),"N/A",IF(Table1[[#This Row],[DUT Adj Read]]="N/A",IF(Table1[[#This Row],[Std Adj Read]]&gt;Table1[[#This Row],[Low Tol]],"Pass","Fail"),IF(Table1[[#This Row],[DUT Adj Read]]&gt;Table1[[#This Row],[Low Tol]],"Pass","Fail")))</f>
        <v>Pass</v>
      </c>
      <c r="AE81" s="1" t="str">
        <f>IF(AND(Table1[[#This Row],[Spec Type2]]="N/A",Table1[[#This Row],[DUT Adj Read]]="N/A",Table1[[#This Row],[Std Adj Read]]="N/A"),"N/A",IF(Table1[[#This Row],[DUT Adj Read]]="N/A",IF(Table1[[#This Row],[Std Adj Read]]&lt;Table1[[#This Row],[High Tol]],"Pass","Fail"),IF(Table1[[#This Row],[DUT Adj Read]]&lt;Table1[[#This Row],[High Tol]],"Pass","Fail")))</f>
        <v>Fail</v>
      </c>
      <c r="AF81" s="1" t="str">
        <f>IF(AND(Table1[[#This Row],[Spec Type2]]="N/A",Table1[[#This Row],[DUT Adj Read]]="N/A",Table1[[#This Row],[Std Adj Read]]="N/A"),"N/A",IF(Table1[[#This Row],[DUT Adj Read]]="N/A",IF(Table1[[#This Row],[Std Adj Read]]&gt;=Table1[[#This Row],[Low Tol]],"Pass","Fail"),IF(Table1[[#This Row],[DUT Adj Read]]&gt;=Table1[[#This Row],[Low Tol]],"Pass","Fail")))</f>
        <v>Pass</v>
      </c>
      <c r="AG81" s="1" t="str">
        <f>IF(AND(Table1[[#This Row],[Spec Type2]]="N/A",Table1[[#This Row],[DUT Adj Read]]="N/A",Table1[[#This Row],[Std Adj Read]]="N/A"),"N/A",IF(Table1[[#This Row],[DUT Adj Read]]="N/A",IF(Table1[[#This Row],[Std Adj Read]]&lt;=Table1[[#This Row],[High Tol]],"Pass","Fail"),IF(Table1[[#This Row],[DUT Adj Read]]&lt;=Table1[[#This Row],[High Tol]],"Pass","Fail")))</f>
        <v>Fail</v>
      </c>
      <c r="AH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 s="1" t="b">
        <v>0</v>
      </c>
      <c r="AN81" s="1" t="b">
        <v>0</v>
      </c>
      <c r="AO81" s="1" t="b">
        <v>0</v>
      </c>
    </row>
    <row r="82" spans="1:41" x14ac:dyDescent="0.25">
      <c r="A82" s="10"/>
      <c r="B82" s="10"/>
      <c r="C82" s="10"/>
      <c r="D82" s="10"/>
      <c r="E82" s="10"/>
      <c r="F82" s="10"/>
      <c r="G82" s="10"/>
      <c r="H82" s="10"/>
      <c r="I82" s="1" t="str">
        <f t="shared" si="3"/>
        <v/>
      </c>
      <c r="J82" s="1" t="s">
        <v>35</v>
      </c>
      <c r="K82" s="1" t="str">
        <f t="shared" si="4"/>
        <v/>
      </c>
      <c r="L82" s="1" t="str">
        <f t="shared" si="5"/>
        <v/>
      </c>
      <c r="M82" s="1">
        <f>IF(OR(Table1[[#This Row],[Std Nom]]="",Table1[[#This Row],[Std Read]]=""),0,Table1[[#This Row],[Std Nom]]-Table1[[#This Row],[Std Read]])</f>
        <v>0</v>
      </c>
      <c r="N82" s="1">
        <f>IF(Calculations!$F$5="ACCREDITED 17025 WITH UNCERTAINTIES",$N$10,0)</f>
        <v>0</v>
      </c>
      <c r="O82" s="1" t="str">
        <f>IFERROR(Table1[[#This Row],[Std Nom]]-(_xlfn.XLOOKUP(Table1[[#This Row],[Manufacturer]]&amp;" "&amp;Table1[[#This Row],[Model]],Table13[MFR &amp; MDL],Table13[Tolerance % CW ],"")/100*Table1[[#This Row],[Std Nom]]),"")</f>
        <v/>
      </c>
      <c r="P82" s="1" t="str">
        <f>IFERROR(Table1[[#This Row],[Std Nom]]+(_xlfn.XLOOKUP(Table1[[#This Row],[Manufacturer]]&amp;" "&amp;Table1[[#This Row],[Model]],Table13[MFR &amp; MDL],Table13[Tolerance % CW ],"")/100*Table1[[#This Row],[Std Nom]]),"")</f>
        <v/>
      </c>
      <c r="Q82" s="1" t="e">
        <f>Table1[[#This Row],[High Tol]]-Table1[[#This Row],[Low Tol]]</f>
        <v>#VALUE!</v>
      </c>
      <c r="R82" s="1">
        <f>2*Table1[[#This Row],[Std Error]]</f>
        <v>0</v>
      </c>
      <c r="S82" s="1" t="str">
        <f>IF(Table1[[#This Row],[High Tol]]="","N/A",IFERROR(ABS(Table1[[#This Row],[Tol Span]]/Table1[[#This Row],[Error Span]]),"N/A"))</f>
        <v>N/A</v>
      </c>
      <c r="T82" s="1" t="str">
        <f>IF(OR(Table1[[#This Row],[Low Tol]]="",Table1[[#This Row],[High Tol]]=""),"Needs Analysis",IF(Table1[[#This Row],[Ratio]]&gt;=4,"Not Significant",IF(Table1[[#This Row],[Ratio]]&gt;=2,"Semi-Significant","Significant")))</f>
        <v>Needs Analysis</v>
      </c>
      <c r="W82" s="1">
        <f>IF(Table1[[#This Row],[Cal Type]]&lt;&gt;"ACCREDITED 17025 WITH UNCERTAINTIES",0,"")</f>
        <v>0</v>
      </c>
      <c r="X82" s="1" t="str">
        <f>IF(Table1[[#This Row],[DUT Read]]="","N/A",Table1[[#This Row],[Std Error]]+Table1[[#This Row],[DUT Read]]+Table1[[#This Row],[DUT Ucty]])</f>
        <v>N/A</v>
      </c>
      <c r="Y82" s="1" t="str">
        <f>IF(Table1[[#This Row],[Std Read]]="","N/A",Table1[[#This Row],[Std Read]]+Table1[[#This Row],[Std Ucty]])</f>
        <v>N/A</v>
      </c>
      <c r="Z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 s="1" t="str">
        <f>IF(Table1[[#This Row],[Spec Type]]="","N/A",Table1[[#This Row],[Spec Type]])</f>
        <v>±</v>
      </c>
      <c r="AC82" s="1" t="str">
        <f>IF(Table1[[#This Row],[Spec Type2]]="N/A","N/A",IF(AND(Table1[[#This Row],[DUT Adj Read]]&gt;=Table1[[#This Row],[Low Tol]],Table1[[#This Row],[DUT Adj Read]]&lt;=Table1[[#This Row],[High Tol]]),"Pass","Fail"))</f>
        <v>Fail</v>
      </c>
      <c r="AD82" s="1" t="str">
        <f>IF(AND(Table1[[#This Row],[Spec Type2]]="N/A",Table1[[#This Row],[DUT Adj Read]]="N/A",Table1[[#This Row],[Std Adj Read]]="N/A"),"N/A",IF(Table1[[#This Row],[DUT Adj Read]]="N/A",IF(Table1[[#This Row],[Std Adj Read]]&gt;Table1[[#This Row],[Low Tol]],"Pass","Fail"),IF(Table1[[#This Row],[DUT Adj Read]]&gt;Table1[[#This Row],[Low Tol]],"Pass","Fail")))</f>
        <v>Pass</v>
      </c>
      <c r="AE82" s="1" t="str">
        <f>IF(AND(Table1[[#This Row],[Spec Type2]]="N/A",Table1[[#This Row],[DUT Adj Read]]="N/A",Table1[[#This Row],[Std Adj Read]]="N/A"),"N/A",IF(Table1[[#This Row],[DUT Adj Read]]="N/A",IF(Table1[[#This Row],[Std Adj Read]]&lt;Table1[[#This Row],[High Tol]],"Pass","Fail"),IF(Table1[[#This Row],[DUT Adj Read]]&lt;Table1[[#This Row],[High Tol]],"Pass","Fail")))</f>
        <v>Fail</v>
      </c>
      <c r="AF82" s="1" t="str">
        <f>IF(AND(Table1[[#This Row],[Spec Type2]]="N/A",Table1[[#This Row],[DUT Adj Read]]="N/A",Table1[[#This Row],[Std Adj Read]]="N/A"),"N/A",IF(Table1[[#This Row],[DUT Adj Read]]="N/A",IF(Table1[[#This Row],[Std Adj Read]]&gt;=Table1[[#This Row],[Low Tol]],"Pass","Fail"),IF(Table1[[#This Row],[DUT Adj Read]]&gt;=Table1[[#This Row],[Low Tol]],"Pass","Fail")))</f>
        <v>Pass</v>
      </c>
      <c r="AG82" s="1" t="str">
        <f>IF(AND(Table1[[#This Row],[Spec Type2]]="N/A",Table1[[#This Row],[DUT Adj Read]]="N/A",Table1[[#This Row],[Std Adj Read]]="N/A"),"N/A",IF(Table1[[#This Row],[DUT Adj Read]]="N/A",IF(Table1[[#This Row],[Std Adj Read]]&lt;=Table1[[#This Row],[High Tol]],"Pass","Fail"),IF(Table1[[#This Row],[DUT Adj Read]]&lt;=Table1[[#This Row],[High Tol]],"Pass","Fail")))</f>
        <v>Fail</v>
      </c>
      <c r="AH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 s="1" t="b">
        <v>0</v>
      </c>
      <c r="AN82" s="1" t="b">
        <v>0</v>
      </c>
      <c r="AO82" s="1" t="b">
        <v>0</v>
      </c>
    </row>
    <row r="83" spans="1:41" x14ac:dyDescent="0.25">
      <c r="A83" s="10"/>
      <c r="B83" s="10"/>
      <c r="C83" s="10"/>
      <c r="D83" s="10"/>
      <c r="E83" s="10"/>
      <c r="F83" s="10"/>
      <c r="G83" s="10"/>
      <c r="H83" s="10"/>
      <c r="I83" s="1" t="str">
        <f t="shared" si="3"/>
        <v/>
      </c>
      <c r="J83" s="1" t="s">
        <v>35</v>
      </c>
      <c r="K83" s="1" t="str">
        <f t="shared" si="4"/>
        <v/>
      </c>
      <c r="L83" s="1" t="str">
        <f t="shared" si="5"/>
        <v/>
      </c>
      <c r="M83" s="1">
        <f>IF(OR(Table1[[#This Row],[Std Nom]]="",Table1[[#This Row],[Std Read]]=""),0,Table1[[#This Row],[Std Nom]]-Table1[[#This Row],[Std Read]])</f>
        <v>0</v>
      </c>
      <c r="N83" s="1">
        <f>IF(Calculations!$F$5="ACCREDITED 17025 WITH UNCERTAINTIES",$N$10,0)</f>
        <v>0</v>
      </c>
      <c r="O83" s="1" t="str">
        <f>IFERROR(Table1[[#This Row],[Std Nom]]-(_xlfn.XLOOKUP(Table1[[#This Row],[Manufacturer]]&amp;" "&amp;Table1[[#This Row],[Model]],Table13[MFR &amp; MDL],Table13[Tolerance % CW ],"")/100*Table1[[#This Row],[Std Nom]]),"")</f>
        <v/>
      </c>
      <c r="P83" s="1" t="str">
        <f>IFERROR(Table1[[#This Row],[Std Nom]]+(_xlfn.XLOOKUP(Table1[[#This Row],[Manufacturer]]&amp;" "&amp;Table1[[#This Row],[Model]],Table13[MFR &amp; MDL],Table13[Tolerance % CW ],"")/100*Table1[[#This Row],[Std Nom]]),"")</f>
        <v/>
      </c>
      <c r="Q83" s="1" t="e">
        <f>Table1[[#This Row],[High Tol]]-Table1[[#This Row],[Low Tol]]</f>
        <v>#VALUE!</v>
      </c>
      <c r="R83" s="1">
        <f>2*Table1[[#This Row],[Std Error]]</f>
        <v>0</v>
      </c>
      <c r="S83" s="1" t="str">
        <f>IF(Table1[[#This Row],[High Tol]]="","N/A",IFERROR(ABS(Table1[[#This Row],[Tol Span]]/Table1[[#This Row],[Error Span]]),"N/A"))</f>
        <v>N/A</v>
      </c>
      <c r="T83" s="1" t="str">
        <f>IF(OR(Table1[[#This Row],[Low Tol]]="",Table1[[#This Row],[High Tol]]=""),"Needs Analysis",IF(Table1[[#This Row],[Ratio]]&gt;=4,"Not Significant",IF(Table1[[#This Row],[Ratio]]&gt;=2,"Semi-Significant","Significant")))</f>
        <v>Needs Analysis</v>
      </c>
      <c r="W83" s="1">
        <f>IF(Table1[[#This Row],[Cal Type]]&lt;&gt;"ACCREDITED 17025 WITH UNCERTAINTIES",0,"")</f>
        <v>0</v>
      </c>
      <c r="X83" s="1" t="str">
        <f>IF(Table1[[#This Row],[DUT Read]]="","N/A",Table1[[#This Row],[Std Error]]+Table1[[#This Row],[DUT Read]]+Table1[[#This Row],[DUT Ucty]])</f>
        <v>N/A</v>
      </c>
      <c r="Y83" s="1" t="str">
        <f>IF(Table1[[#This Row],[Std Read]]="","N/A",Table1[[#This Row],[Std Read]]+Table1[[#This Row],[Std Ucty]])</f>
        <v>N/A</v>
      </c>
      <c r="Z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 s="1" t="str">
        <f>IF(Table1[[#This Row],[Spec Type]]="","N/A",Table1[[#This Row],[Spec Type]])</f>
        <v>±</v>
      </c>
      <c r="AC83" s="1" t="str">
        <f>IF(Table1[[#This Row],[Spec Type2]]="N/A","N/A",IF(AND(Table1[[#This Row],[DUT Adj Read]]&gt;=Table1[[#This Row],[Low Tol]],Table1[[#This Row],[DUT Adj Read]]&lt;=Table1[[#This Row],[High Tol]]),"Pass","Fail"))</f>
        <v>Fail</v>
      </c>
      <c r="AD83" s="1" t="str">
        <f>IF(AND(Table1[[#This Row],[Spec Type2]]="N/A",Table1[[#This Row],[DUT Adj Read]]="N/A",Table1[[#This Row],[Std Adj Read]]="N/A"),"N/A",IF(Table1[[#This Row],[DUT Adj Read]]="N/A",IF(Table1[[#This Row],[Std Adj Read]]&gt;Table1[[#This Row],[Low Tol]],"Pass","Fail"),IF(Table1[[#This Row],[DUT Adj Read]]&gt;Table1[[#This Row],[Low Tol]],"Pass","Fail")))</f>
        <v>Pass</v>
      </c>
      <c r="AE83" s="1" t="str">
        <f>IF(AND(Table1[[#This Row],[Spec Type2]]="N/A",Table1[[#This Row],[DUT Adj Read]]="N/A",Table1[[#This Row],[Std Adj Read]]="N/A"),"N/A",IF(Table1[[#This Row],[DUT Adj Read]]="N/A",IF(Table1[[#This Row],[Std Adj Read]]&lt;Table1[[#This Row],[High Tol]],"Pass","Fail"),IF(Table1[[#This Row],[DUT Adj Read]]&lt;Table1[[#This Row],[High Tol]],"Pass","Fail")))</f>
        <v>Fail</v>
      </c>
      <c r="AF83" s="1" t="str">
        <f>IF(AND(Table1[[#This Row],[Spec Type2]]="N/A",Table1[[#This Row],[DUT Adj Read]]="N/A",Table1[[#This Row],[Std Adj Read]]="N/A"),"N/A",IF(Table1[[#This Row],[DUT Adj Read]]="N/A",IF(Table1[[#This Row],[Std Adj Read]]&gt;=Table1[[#This Row],[Low Tol]],"Pass","Fail"),IF(Table1[[#This Row],[DUT Adj Read]]&gt;=Table1[[#This Row],[Low Tol]],"Pass","Fail")))</f>
        <v>Pass</v>
      </c>
      <c r="AG83" s="1" t="str">
        <f>IF(AND(Table1[[#This Row],[Spec Type2]]="N/A",Table1[[#This Row],[DUT Adj Read]]="N/A",Table1[[#This Row],[Std Adj Read]]="N/A"),"N/A",IF(Table1[[#This Row],[DUT Adj Read]]="N/A",IF(Table1[[#This Row],[Std Adj Read]]&lt;=Table1[[#This Row],[High Tol]],"Pass","Fail"),IF(Table1[[#This Row],[DUT Adj Read]]&lt;=Table1[[#This Row],[High Tol]],"Pass","Fail")))</f>
        <v>Fail</v>
      </c>
      <c r="AH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 s="1" t="b">
        <v>0</v>
      </c>
      <c r="AN83" s="1" t="b">
        <v>0</v>
      </c>
      <c r="AO83" s="1" t="b">
        <v>0</v>
      </c>
    </row>
    <row r="84" spans="1:41" x14ac:dyDescent="0.25">
      <c r="A84" s="10"/>
      <c r="B84" s="10"/>
      <c r="C84" s="10"/>
      <c r="D84" s="10"/>
      <c r="E84" s="10"/>
      <c r="F84" s="10"/>
      <c r="G84" s="10"/>
      <c r="H84" s="10"/>
      <c r="I84" s="1" t="str">
        <f t="shared" si="3"/>
        <v/>
      </c>
      <c r="J84" s="1" t="s">
        <v>35</v>
      </c>
      <c r="K84" s="1" t="str">
        <f t="shared" si="4"/>
        <v/>
      </c>
      <c r="L84" s="1" t="str">
        <f t="shared" si="5"/>
        <v/>
      </c>
      <c r="M84" s="1">
        <f>IF(OR(Table1[[#This Row],[Std Nom]]="",Table1[[#This Row],[Std Read]]=""),0,Table1[[#This Row],[Std Nom]]-Table1[[#This Row],[Std Read]])</f>
        <v>0</v>
      </c>
      <c r="N84" s="1">
        <f>IF(Calculations!$F$5="ACCREDITED 17025 WITH UNCERTAINTIES",$N$10,0)</f>
        <v>0</v>
      </c>
      <c r="O84" s="1" t="str">
        <f>IFERROR(Table1[[#This Row],[Std Nom]]-(_xlfn.XLOOKUP(Table1[[#This Row],[Manufacturer]]&amp;" "&amp;Table1[[#This Row],[Model]],Table13[MFR &amp; MDL],Table13[Tolerance % CW ],"")/100*Table1[[#This Row],[Std Nom]]),"")</f>
        <v/>
      </c>
      <c r="P84" s="1" t="str">
        <f>IFERROR(Table1[[#This Row],[Std Nom]]+(_xlfn.XLOOKUP(Table1[[#This Row],[Manufacturer]]&amp;" "&amp;Table1[[#This Row],[Model]],Table13[MFR &amp; MDL],Table13[Tolerance % CW ],"")/100*Table1[[#This Row],[Std Nom]]),"")</f>
        <v/>
      </c>
      <c r="Q84" s="1" t="e">
        <f>Table1[[#This Row],[High Tol]]-Table1[[#This Row],[Low Tol]]</f>
        <v>#VALUE!</v>
      </c>
      <c r="R84" s="1">
        <f>2*Table1[[#This Row],[Std Error]]</f>
        <v>0</v>
      </c>
      <c r="S84" s="1" t="str">
        <f>IF(Table1[[#This Row],[High Tol]]="","N/A",IFERROR(ABS(Table1[[#This Row],[Tol Span]]/Table1[[#This Row],[Error Span]]),"N/A"))</f>
        <v>N/A</v>
      </c>
      <c r="T84" s="1" t="str">
        <f>IF(OR(Table1[[#This Row],[Low Tol]]="",Table1[[#This Row],[High Tol]]=""),"Needs Analysis",IF(Table1[[#This Row],[Ratio]]&gt;=4,"Not Significant",IF(Table1[[#This Row],[Ratio]]&gt;=2,"Semi-Significant","Significant")))</f>
        <v>Needs Analysis</v>
      </c>
      <c r="W84" s="1">
        <f>IF(Table1[[#This Row],[Cal Type]]&lt;&gt;"ACCREDITED 17025 WITH UNCERTAINTIES",0,"")</f>
        <v>0</v>
      </c>
      <c r="X84" s="1" t="str">
        <f>IF(Table1[[#This Row],[DUT Read]]="","N/A",Table1[[#This Row],[Std Error]]+Table1[[#This Row],[DUT Read]]+Table1[[#This Row],[DUT Ucty]])</f>
        <v>N/A</v>
      </c>
      <c r="Y84" s="1" t="str">
        <f>IF(Table1[[#This Row],[Std Read]]="","N/A",Table1[[#This Row],[Std Read]]+Table1[[#This Row],[Std Ucty]])</f>
        <v>N/A</v>
      </c>
      <c r="Z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 s="1" t="str">
        <f>IF(Table1[[#This Row],[Spec Type]]="","N/A",Table1[[#This Row],[Spec Type]])</f>
        <v>±</v>
      </c>
      <c r="AC84" s="1" t="str">
        <f>IF(Table1[[#This Row],[Spec Type2]]="N/A","N/A",IF(AND(Table1[[#This Row],[DUT Adj Read]]&gt;=Table1[[#This Row],[Low Tol]],Table1[[#This Row],[DUT Adj Read]]&lt;=Table1[[#This Row],[High Tol]]),"Pass","Fail"))</f>
        <v>Fail</v>
      </c>
      <c r="AD84" s="1" t="str">
        <f>IF(AND(Table1[[#This Row],[Spec Type2]]="N/A",Table1[[#This Row],[DUT Adj Read]]="N/A",Table1[[#This Row],[Std Adj Read]]="N/A"),"N/A",IF(Table1[[#This Row],[DUT Adj Read]]="N/A",IF(Table1[[#This Row],[Std Adj Read]]&gt;Table1[[#This Row],[Low Tol]],"Pass","Fail"),IF(Table1[[#This Row],[DUT Adj Read]]&gt;Table1[[#This Row],[Low Tol]],"Pass","Fail")))</f>
        <v>Pass</v>
      </c>
      <c r="AE84" s="1" t="str">
        <f>IF(AND(Table1[[#This Row],[Spec Type2]]="N/A",Table1[[#This Row],[DUT Adj Read]]="N/A",Table1[[#This Row],[Std Adj Read]]="N/A"),"N/A",IF(Table1[[#This Row],[DUT Adj Read]]="N/A",IF(Table1[[#This Row],[Std Adj Read]]&lt;Table1[[#This Row],[High Tol]],"Pass","Fail"),IF(Table1[[#This Row],[DUT Adj Read]]&lt;Table1[[#This Row],[High Tol]],"Pass","Fail")))</f>
        <v>Fail</v>
      </c>
      <c r="AF84" s="1" t="str">
        <f>IF(AND(Table1[[#This Row],[Spec Type2]]="N/A",Table1[[#This Row],[DUT Adj Read]]="N/A",Table1[[#This Row],[Std Adj Read]]="N/A"),"N/A",IF(Table1[[#This Row],[DUT Adj Read]]="N/A",IF(Table1[[#This Row],[Std Adj Read]]&gt;=Table1[[#This Row],[Low Tol]],"Pass","Fail"),IF(Table1[[#This Row],[DUT Adj Read]]&gt;=Table1[[#This Row],[Low Tol]],"Pass","Fail")))</f>
        <v>Pass</v>
      </c>
      <c r="AG84" s="1" t="str">
        <f>IF(AND(Table1[[#This Row],[Spec Type2]]="N/A",Table1[[#This Row],[DUT Adj Read]]="N/A",Table1[[#This Row],[Std Adj Read]]="N/A"),"N/A",IF(Table1[[#This Row],[DUT Adj Read]]="N/A",IF(Table1[[#This Row],[Std Adj Read]]&lt;=Table1[[#This Row],[High Tol]],"Pass","Fail"),IF(Table1[[#This Row],[DUT Adj Read]]&lt;=Table1[[#This Row],[High Tol]],"Pass","Fail")))</f>
        <v>Fail</v>
      </c>
      <c r="AH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 s="1" t="b">
        <v>0</v>
      </c>
      <c r="AN84" s="1" t="b">
        <v>0</v>
      </c>
      <c r="AO84" s="1" t="b">
        <v>0</v>
      </c>
    </row>
    <row r="85" spans="1:41" x14ac:dyDescent="0.25">
      <c r="A85" s="10"/>
      <c r="B85" s="10"/>
      <c r="C85" s="10"/>
      <c r="D85" s="10"/>
      <c r="E85" s="10"/>
      <c r="F85" s="10"/>
      <c r="G85" s="10"/>
      <c r="H85" s="10"/>
      <c r="I85" s="1" t="str">
        <f t="shared" si="3"/>
        <v/>
      </c>
      <c r="J85" s="1" t="s">
        <v>35</v>
      </c>
      <c r="K85" s="1" t="str">
        <f t="shared" si="4"/>
        <v/>
      </c>
      <c r="L85" s="1" t="str">
        <f t="shared" si="5"/>
        <v/>
      </c>
      <c r="M85" s="1">
        <f>IF(OR(Table1[[#This Row],[Std Nom]]="",Table1[[#This Row],[Std Read]]=""),0,Table1[[#This Row],[Std Nom]]-Table1[[#This Row],[Std Read]])</f>
        <v>0</v>
      </c>
      <c r="N85" s="1">
        <f>IF(Calculations!$F$5="ACCREDITED 17025 WITH UNCERTAINTIES",$N$10,0)</f>
        <v>0</v>
      </c>
      <c r="O85" s="1" t="str">
        <f>IFERROR(Table1[[#This Row],[Std Nom]]-(_xlfn.XLOOKUP(Table1[[#This Row],[Manufacturer]]&amp;" "&amp;Table1[[#This Row],[Model]],Table13[MFR &amp; MDL],Table13[Tolerance % CW ],"")/100*Table1[[#This Row],[Std Nom]]),"")</f>
        <v/>
      </c>
      <c r="P85" s="1" t="str">
        <f>IFERROR(Table1[[#This Row],[Std Nom]]+(_xlfn.XLOOKUP(Table1[[#This Row],[Manufacturer]]&amp;" "&amp;Table1[[#This Row],[Model]],Table13[MFR &amp; MDL],Table13[Tolerance % CW ],"")/100*Table1[[#This Row],[Std Nom]]),"")</f>
        <v/>
      </c>
      <c r="Q85" s="1" t="e">
        <f>Table1[[#This Row],[High Tol]]-Table1[[#This Row],[Low Tol]]</f>
        <v>#VALUE!</v>
      </c>
      <c r="R85" s="1">
        <f>2*Table1[[#This Row],[Std Error]]</f>
        <v>0</v>
      </c>
      <c r="S85" s="1" t="str">
        <f>IF(Table1[[#This Row],[High Tol]]="","N/A",IFERROR(ABS(Table1[[#This Row],[Tol Span]]/Table1[[#This Row],[Error Span]]),"N/A"))</f>
        <v>N/A</v>
      </c>
      <c r="T85" s="1" t="str">
        <f>IF(OR(Table1[[#This Row],[Low Tol]]="",Table1[[#This Row],[High Tol]]=""),"Needs Analysis",IF(Table1[[#This Row],[Ratio]]&gt;=4,"Not Significant",IF(Table1[[#This Row],[Ratio]]&gt;=2,"Semi-Significant","Significant")))</f>
        <v>Needs Analysis</v>
      </c>
      <c r="W85" s="1">
        <f>IF(Table1[[#This Row],[Cal Type]]&lt;&gt;"ACCREDITED 17025 WITH UNCERTAINTIES",0,"")</f>
        <v>0</v>
      </c>
      <c r="X85" s="1" t="str">
        <f>IF(Table1[[#This Row],[DUT Read]]="","N/A",Table1[[#This Row],[Std Error]]+Table1[[#This Row],[DUT Read]]+Table1[[#This Row],[DUT Ucty]])</f>
        <v>N/A</v>
      </c>
      <c r="Y85" s="1" t="str">
        <f>IF(Table1[[#This Row],[Std Read]]="","N/A",Table1[[#This Row],[Std Read]]+Table1[[#This Row],[Std Ucty]])</f>
        <v>N/A</v>
      </c>
      <c r="Z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 s="1" t="str">
        <f>IF(Table1[[#This Row],[Spec Type]]="","N/A",Table1[[#This Row],[Spec Type]])</f>
        <v>±</v>
      </c>
      <c r="AC85" s="1" t="str">
        <f>IF(Table1[[#This Row],[Spec Type2]]="N/A","N/A",IF(AND(Table1[[#This Row],[DUT Adj Read]]&gt;=Table1[[#This Row],[Low Tol]],Table1[[#This Row],[DUT Adj Read]]&lt;=Table1[[#This Row],[High Tol]]),"Pass","Fail"))</f>
        <v>Fail</v>
      </c>
      <c r="AD85" s="1" t="str">
        <f>IF(AND(Table1[[#This Row],[Spec Type2]]="N/A",Table1[[#This Row],[DUT Adj Read]]="N/A",Table1[[#This Row],[Std Adj Read]]="N/A"),"N/A",IF(Table1[[#This Row],[DUT Adj Read]]="N/A",IF(Table1[[#This Row],[Std Adj Read]]&gt;Table1[[#This Row],[Low Tol]],"Pass","Fail"),IF(Table1[[#This Row],[DUT Adj Read]]&gt;Table1[[#This Row],[Low Tol]],"Pass","Fail")))</f>
        <v>Pass</v>
      </c>
      <c r="AE85" s="1" t="str">
        <f>IF(AND(Table1[[#This Row],[Spec Type2]]="N/A",Table1[[#This Row],[DUT Adj Read]]="N/A",Table1[[#This Row],[Std Adj Read]]="N/A"),"N/A",IF(Table1[[#This Row],[DUT Adj Read]]="N/A",IF(Table1[[#This Row],[Std Adj Read]]&lt;Table1[[#This Row],[High Tol]],"Pass","Fail"),IF(Table1[[#This Row],[DUT Adj Read]]&lt;Table1[[#This Row],[High Tol]],"Pass","Fail")))</f>
        <v>Fail</v>
      </c>
      <c r="AF85" s="1" t="str">
        <f>IF(AND(Table1[[#This Row],[Spec Type2]]="N/A",Table1[[#This Row],[DUT Adj Read]]="N/A",Table1[[#This Row],[Std Adj Read]]="N/A"),"N/A",IF(Table1[[#This Row],[DUT Adj Read]]="N/A",IF(Table1[[#This Row],[Std Adj Read]]&gt;=Table1[[#This Row],[Low Tol]],"Pass","Fail"),IF(Table1[[#This Row],[DUT Adj Read]]&gt;=Table1[[#This Row],[Low Tol]],"Pass","Fail")))</f>
        <v>Pass</v>
      </c>
      <c r="AG85" s="1" t="str">
        <f>IF(AND(Table1[[#This Row],[Spec Type2]]="N/A",Table1[[#This Row],[DUT Adj Read]]="N/A",Table1[[#This Row],[Std Adj Read]]="N/A"),"N/A",IF(Table1[[#This Row],[DUT Adj Read]]="N/A",IF(Table1[[#This Row],[Std Adj Read]]&lt;=Table1[[#This Row],[High Tol]],"Pass","Fail"),IF(Table1[[#This Row],[DUT Adj Read]]&lt;=Table1[[#This Row],[High Tol]],"Pass","Fail")))</f>
        <v>Fail</v>
      </c>
      <c r="AH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 s="1" t="b">
        <v>0</v>
      </c>
      <c r="AN85" s="1" t="b">
        <v>0</v>
      </c>
      <c r="AO85" s="1" t="b">
        <v>0</v>
      </c>
    </row>
    <row r="86" spans="1:41" x14ac:dyDescent="0.25">
      <c r="A86" s="10"/>
      <c r="B86" s="10"/>
      <c r="C86" s="10"/>
      <c r="D86" s="10"/>
      <c r="E86" s="10"/>
      <c r="F86" s="10"/>
      <c r="G86" s="10"/>
      <c r="H86" s="10"/>
      <c r="I86" s="1" t="str">
        <f t="shared" si="3"/>
        <v/>
      </c>
      <c r="J86" s="1" t="s">
        <v>35</v>
      </c>
      <c r="K86" s="1" t="str">
        <f t="shared" si="4"/>
        <v/>
      </c>
      <c r="L86" s="1" t="str">
        <f t="shared" si="5"/>
        <v/>
      </c>
      <c r="M86" s="1">
        <f>IF(OR(Table1[[#This Row],[Std Nom]]="",Table1[[#This Row],[Std Read]]=""),0,Table1[[#This Row],[Std Nom]]-Table1[[#This Row],[Std Read]])</f>
        <v>0</v>
      </c>
      <c r="N86" s="1">
        <f>IF(Calculations!$F$5="ACCREDITED 17025 WITH UNCERTAINTIES",$N$10,0)</f>
        <v>0</v>
      </c>
      <c r="O86" s="1" t="str">
        <f>IFERROR(Table1[[#This Row],[Std Nom]]-(_xlfn.XLOOKUP(Table1[[#This Row],[Manufacturer]]&amp;" "&amp;Table1[[#This Row],[Model]],Table13[MFR &amp; MDL],Table13[Tolerance % CW ],"")/100*Table1[[#This Row],[Std Nom]]),"")</f>
        <v/>
      </c>
      <c r="P86" s="1" t="str">
        <f>IFERROR(Table1[[#This Row],[Std Nom]]+(_xlfn.XLOOKUP(Table1[[#This Row],[Manufacturer]]&amp;" "&amp;Table1[[#This Row],[Model]],Table13[MFR &amp; MDL],Table13[Tolerance % CW ],"")/100*Table1[[#This Row],[Std Nom]]),"")</f>
        <v/>
      </c>
      <c r="Q86" s="1" t="e">
        <f>Table1[[#This Row],[High Tol]]-Table1[[#This Row],[Low Tol]]</f>
        <v>#VALUE!</v>
      </c>
      <c r="R86" s="1">
        <f>2*Table1[[#This Row],[Std Error]]</f>
        <v>0</v>
      </c>
      <c r="S86" s="1" t="str">
        <f>IF(Table1[[#This Row],[High Tol]]="","N/A",IFERROR(ABS(Table1[[#This Row],[Tol Span]]/Table1[[#This Row],[Error Span]]),"N/A"))</f>
        <v>N/A</v>
      </c>
      <c r="T86" s="1" t="str">
        <f>IF(OR(Table1[[#This Row],[Low Tol]]="",Table1[[#This Row],[High Tol]]=""),"Needs Analysis",IF(Table1[[#This Row],[Ratio]]&gt;=4,"Not Significant",IF(Table1[[#This Row],[Ratio]]&gt;=2,"Semi-Significant","Significant")))</f>
        <v>Needs Analysis</v>
      </c>
      <c r="W86" s="1">
        <f>IF(Table1[[#This Row],[Cal Type]]&lt;&gt;"ACCREDITED 17025 WITH UNCERTAINTIES",0,"")</f>
        <v>0</v>
      </c>
      <c r="X86" s="1" t="str">
        <f>IF(Table1[[#This Row],[DUT Read]]="","N/A",Table1[[#This Row],[Std Error]]+Table1[[#This Row],[DUT Read]]+Table1[[#This Row],[DUT Ucty]])</f>
        <v>N/A</v>
      </c>
      <c r="Y86" s="1" t="str">
        <f>IF(Table1[[#This Row],[Std Read]]="","N/A",Table1[[#This Row],[Std Read]]+Table1[[#This Row],[Std Ucty]])</f>
        <v>N/A</v>
      </c>
      <c r="Z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 s="1" t="str">
        <f>IF(Table1[[#This Row],[Spec Type]]="","N/A",Table1[[#This Row],[Spec Type]])</f>
        <v>±</v>
      </c>
      <c r="AC86" s="1" t="str">
        <f>IF(Table1[[#This Row],[Spec Type2]]="N/A","N/A",IF(AND(Table1[[#This Row],[DUT Adj Read]]&gt;=Table1[[#This Row],[Low Tol]],Table1[[#This Row],[DUT Adj Read]]&lt;=Table1[[#This Row],[High Tol]]),"Pass","Fail"))</f>
        <v>Fail</v>
      </c>
      <c r="AD86" s="1" t="str">
        <f>IF(AND(Table1[[#This Row],[Spec Type2]]="N/A",Table1[[#This Row],[DUT Adj Read]]="N/A",Table1[[#This Row],[Std Adj Read]]="N/A"),"N/A",IF(Table1[[#This Row],[DUT Adj Read]]="N/A",IF(Table1[[#This Row],[Std Adj Read]]&gt;Table1[[#This Row],[Low Tol]],"Pass","Fail"),IF(Table1[[#This Row],[DUT Adj Read]]&gt;Table1[[#This Row],[Low Tol]],"Pass","Fail")))</f>
        <v>Pass</v>
      </c>
      <c r="AE86" s="1" t="str">
        <f>IF(AND(Table1[[#This Row],[Spec Type2]]="N/A",Table1[[#This Row],[DUT Adj Read]]="N/A",Table1[[#This Row],[Std Adj Read]]="N/A"),"N/A",IF(Table1[[#This Row],[DUT Adj Read]]="N/A",IF(Table1[[#This Row],[Std Adj Read]]&lt;Table1[[#This Row],[High Tol]],"Pass","Fail"),IF(Table1[[#This Row],[DUT Adj Read]]&lt;Table1[[#This Row],[High Tol]],"Pass","Fail")))</f>
        <v>Fail</v>
      </c>
      <c r="AF86" s="1" t="str">
        <f>IF(AND(Table1[[#This Row],[Spec Type2]]="N/A",Table1[[#This Row],[DUT Adj Read]]="N/A",Table1[[#This Row],[Std Adj Read]]="N/A"),"N/A",IF(Table1[[#This Row],[DUT Adj Read]]="N/A",IF(Table1[[#This Row],[Std Adj Read]]&gt;=Table1[[#This Row],[Low Tol]],"Pass","Fail"),IF(Table1[[#This Row],[DUT Adj Read]]&gt;=Table1[[#This Row],[Low Tol]],"Pass","Fail")))</f>
        <v>Pass</v>
      </c>
      <c r="AG86" s="1" t="str">
        <f>IF(AND(Table1[[#This Row],[Spec Type2]]="N/A",Table1[[#This Row],[DUT Adj Read]]="N/A",Table1[[#This Row],[Std Adj Read]]="N/A"),"N/A",IF(Table1[[#This Row],[DUT Adj Read]]="N/A",IF(Table1[[#This Row],[Std Adj Read]]&lt;=Table1[[#This Row],[High Tol]],"Pass","Fail"),IF(Table1[[#This Row],[DUT Adj Read]]&lt;=Table1[[#This Row],[High Tol]],"Pass","Fail")))</f>
        <v>Fail</v>
      </c>
      <c r="AH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 s="1" t="b">
        <v>0</v>
      </c>
      <c r="AN86" s="1" t="b">
        <v>0</v>
      </c>
      <c r="AO86" s="1" t="b">
        <v>0</v>
      </c>
    </row>
    <row r="87" spans="1:41" x14ac:dyDescent="0.25">
      <c r="A87" s="10"/>
      <c r="B87" s="10"/>
      <c r="C87" s="10"/>
      <c r="D87" s="10"/>
      <c r="E87" s="10"/>
      <c r="F87" s="10"/>
      <c r="G87" s="10"/>
      <c r="H87" s="10"/>
      <c r="I87" s="1" t="str">
        <f t="shared" si="3"/>
        <v/>
      </c>
      <c r="J87" s="1" t="s">
        <v>35</v>
      </c>
      <c r="K87" s="1" t="str">
        <f t="shared" si="4"/>
        <v/>
      </c>
      <c r="L87" s="1" t="str">
        <f t="shared" si="5"/>
        <v/>
      </c>
      <c r="M87" s="1">
        <f>IF(OR(Table1[[#This Row],[Std Nom]]="",Table1[[#This Row],[Std Read]]=""),0,Table1[[#This Row],[Std Nom]]-Table1[[#This Row],[Std Read]])</f>
        <v>0</v>
      </c>
      <c r="N87" s="1">
        <f>IF(Calculations!$F$5="ACCREDITED 17025 WITH UNCERTAINTIES",$N$10,0)</f>
        <v>0</v>
      </c>
      <c r="O87" s="1" t="str">
        <f>IFERROR(Table1[[#This Row],[Std Nom]]-(_xlfn.XLOOKUP(Table1[[#This Row],[Manufacturer]]&amp;" "&amp;Table1[[#This Row],[Model]],Table13[MFR &amp; MDL],Table13[Tolerance % CW ],"")/100*Table1[[#This Row],[Std Nom]]),"")</f>
        <v/>
      </c>
      <c r="P87" s="1" t="str">
        <f>IFERROR(Table1[[#This Row],[Std Nom]]+(_xlfn.XLOOKUP(Table1[[#This Row],[Manufacturer]]&amp;" "&amp;Table1[[#This Row],[Model]],Table13[MFR &amp; MDL],Table13[Tolerance % CW ],"")/100*Table1[[#This Row],[Std Nom]]),"")</f>
        <v/>
      </c>
      <c r="Q87" s="1" t="e">
        <f>Table1[[#This Row],[High Tol]]-Table1[[#This Row],[Low Tol]]</f>
        <v>#VALUE!</v>
      </c>
      <c r="R87" s="1">
        <f>2*Table1[[#This Row],[Std Error]]</f>
        <v>0</v>
      </c>
      <c r="S87" s="1" t="str">
        <f>IF(Table1[[#This Row],[High Tol]]="","N/A",IFERROR(ABS(Table1[[#This Row],[Tol Span]]/Table1[[#This Row],[Error Span]]),"N/A"))</f>
        <v>N/A</v>
      </c>
      <c r="T87" s="1" t="str">
        <f>IF(OR(Table1[[#This Row],[Low Tol]]="",Table1[[#This Row],[High Tol]]=""),"Needs Analysis",IF(Table1[[#This Row],[Ratio]]&gt;=4,"Not Significant",IF(Table1[[#This Row],[Ratio]]&gt;=2,"Semi-Significant","Significant")))</f>
        <v>Needs Analysis</v>
      </c>
      <c r="W87" s="1">
        <f>IF(Table1[[#This Row],[Cal Type]]&lt;&gt;"ACCREDITED 17025 WITH UNCERTAINTIES",0,"")</f>
        <v>0</v>
      </c>
      <c r="X87" s="1" t="str">
        <f>IF(Table1[[#This Row],[DUT Read]]="","N/A",Table1[[#This Row],[Std Error]]+Table1[[#This Row],[DUT Read]]+Table1[[#This Row],[DUT Ucty]])</f>
        <v>N/A</v>
      </c>
      <c r="Y87" s="1" t="str">
        <f>IF(Table1[[#This Row],[Std Read]]="","N/A",Table1[[#This Row],[Std Read]]+Table1[[#This Row],[Std Ucty]])</f>
        <v>N/A</v>
      </c>
      <c r="Z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 s="1" t="str">
        <f>IF(Table1[[#This Row],[Spec Type]]="","N/A",Table1[[#This Row],[Spec Type]])</f>
        <v>±</v>
      </c>
      <c r="AC87" s="1" t="str">
        <f>IF(Table1[[#This Row],[Spec Type2]]="N/A","N/A",IF(AND(Table1[[#This Row],[DUT Adj Read]]&gt;=Table1[[#This Row],[Low Tol]],Table1[[#This Row],[DUT Adj Read]]&lt;=Table1[[#This Row],[High Tol]]),"Pass","Fail"))</f>
        <v>Fail</v>
      </c>
      <c r="AD87" s="1" t="str">
        <f>IF(AND(Table1[[#This Row],[Spec Type2]]="N/A",Table1[[#This Row],[DUT Adj Read]]="N/A",Table1[[#This Row],[Std Adj Read]]="N/A"),"N/A",IF(Table1[[#This Row],[DUT Adj Read]]="N/A",IF(Table1[[#This Row],[Std Adj Read]]&gt;Table1[[#This Row],[Low Tol]],"Pass","Fail"),IF(Table1[[#This Row],[DUT Adj Read]]&gt;Table1[[#This Row],[Low Tol]],"Pass","Fail")))</f>
        <v>Pass</v>
      </c>
      <c r="AE87" s="1" t="str">
        <f>IF(AND(Table1[[#This Row],[Spec Type2]]="N/A",Table1[[#This Row],[DUT Adj Read]]="N/A",Table1[[#This Row],[Std Adj Read]]="N/A"),"N/A",IF(Table1[[#This Row],[DUT Adj Read]]="N/A",IF(Table1[[#This Row],[Std Adj Read]]&lt;Table1[[#This Row],[High Tol]],"Pass","Fail"),IF(Table1[[#This Row],[DUT Adj Read]]&lt;Table1[[#This Row],[High Tol]],"Pass","Fail")))</f>
        <v>Fail</v>
      </c>
      <c r="AF87" s="1" t="str">
        <f>IF(AND(Table1[[#This Row],[Spec Type2]]="N/A",Table1[[#This Row],[DUT Adj Read]]="N/A",Table1[[#This Row],[Std Adj Read]]="N/A"),"N/A",IF(Table1[[#This Row],[DUT Adj Read]]="N/A",IF(Table1[[#This Row],[Std Adj Read]]&gt;=Table1[[#This Row],[Low Tol]],"Pass","Fail"),IF(Table1[[#This Row],[DUT Adj Read]]&gt;=Table1[[#This Row],[Low Tol]],"Pass","Fail")))</f>
        <v>Pass</v>
      </c>
      <c r="AG87" s="1" t="str">
        <f>IF(AND(Table1[[#This Row],[Spec Type2]]="N/A",Table1[[#This Row],[DUT Adj Read]]="N/A",Table1[[#This Row],[Std Adj Read]]="N/A"),"N/A",IF(Table1[[#This Row],[DUT Adj Read]]="N/A",IF(Table1[[#This Row],[Std Adj Read]]&lt;=Table1[[#This Row],[High Tol]],"Pass","Fail"),IF(Table1[[#This Row],[DUT Adj Read]]&lt;=Table1[[#This Row],[High Tol]],"Pass","Fail")))</f>
        <v>Fail</v>
      </c>
      <c r="AH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 s="1" t="b">
        <v>0</v>
      </c>
      <c r="AN87" s="1" t="b">
        <v>0</v>
      </c>
      <c r="AO87" s="1" t="b">
        <v>0</v>
      </c>
    </row>
    <row r="88" spans="1:41" x14ac:dyDescent="0.25">
      <c r="A88" s="10"/>
      <c r="B88" s="10"/>
      <c r="C88" s="10"/>
      <c r="D88" s="10"/>
      <c r="E88" s="10"/>
      <c r="F88" s="10"/>
      <c r="G88" s="10"/>
      <c r="H88" s="10"/>
      <c r="I88" s="1" t="str">
        <f t="shared" si="3"/>
        <v/>
      </c>
      <c r="J88" s="1" t="s">
        <v>35</v>
      </c>
      <c r="K88" s="1" t="str">
        <f t="shared" si="4"/>
        <v/>
      </c>
      <c r="L88" s="1" t="str">
        <f t="shared" si="5"/>
        <v/>
      </c>
      <c r="M88" s="1">
        <f>IF(OR(Table1[[#This Row],[Std Nom]]="",Table1[[#This Row],[Std Read]]=""),0,Table1[[#This Row],[Std Nom]]-Table1[[#This Row],[Std Read]])</f>
        <v>0</v>
      </c>
      <c r="N88" s="1">
        <f>IF(Calculations!$F$5="ACCREDITED 17025 WITH UNCERTAINTIES",$N$10,0)</f>
        <v>0</v>
      </c>
      <c r="O88" s="1" t="str">
        <f>IFERROR(Table1[[#This Row],[Std Nom]]-(_xlfn.XLOOKUP(Table1[[#This Row],[Manufacturer]]&amp;" "&amp;Table1[[#This Row],[Model]],Table13[MFR &amp; MDL],Table13[Tolerance % CW ],"")/100*Table1[[#This Row],[Std Nom]]),"")</f>
        <v/>
      </c>
      <c r="P88" s="1" t="str">
        <f>IFERROR(Table1[[#This Row],[Std Nom]]+(_xlfn.XLOOKUP(Table1[[#This Row],[Manufacturer]]&amp;" "&amp;Table1[[#This Row],[Model]],Table13[MFR &amp; MDL],Table13[Tolerance % CW ],"")/100*Table1[[#This Row],[Std Nom]]),"")</f>
        <v/>
      </c>
      <c r="Q88" s="1" t="e">
        <f>Table1[[#This Row],[High Tol]]-Table1[[#This Row],[Low Tol]]</f>
        <v>#VALUE!</v>
      </c>
      <c r="R88" s="1">
        <f>2*Table1[[#This Row],[Std Error]]</f>
        <v>0</v>
      </c>
      <c r="S88" s="1" t="str">
        <f>IF(Table1[[#This Row],[High Tol]]="","N/A",IFERROR(ABS(Table1[[#This Row],[Tol Span]]/Table1[[#This Row],[Error Span]]),"N/A"))</f>
        <v>N/A</v>
      </c>
      <c r="T88" s="1" t="str">
        <f>IF(OR(Table1[[#This Row],[Low Tol]]="",Table1[[#This Row],[High Tol]]=""),"Needs Analysis",IF(Table1[[#This Row],[Ratio]]&gt;=4,"Not Significant",IF(Table1[[#This Row],[Ratio]]&gt;=2,"Semi-Significant","Significant")))</f>
        <v>Needs Analysis</v>
      </c>
      <c r="W88" s="1">
        <f>IF(Table1[[#This Row],[Cal Type]]&lt;&gt;"ACCREDITED 17025 WITH UNCERTAINTIES",0,"")</f>
        <v>0</v>
      </c>
      <c r="X88" s="1" t="str">
        <f>IF(Table1[[#This Row],[DUT Read]]="","N/A",Table1[[#This Row],[Std Error]]+Table1[[#This Row],[DUT Read]]+Table1[[#This Row],[DUT Ucty]])</f>
        <v>N/A</v>
      </c>
      <c r="Y88" s="1" t="str">
        <f>IF(Table1[[#This Row],[Std Read]]="","N/A",Table1[[#This Row],[Std Read]]+Table1[[#This Row],[Std Ucty]])</f>
        <v>N/A</v>
      </c>
      <c r="Z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 s="1" t="str">
        <f>IF(Table1[[#This Row],[Spec Type]]="","N/A",Table1[[#This Row],[Spec Type]])</f>
        <v>±</v>
      </c>
      <c r="AC88" s="1" t="str">
        <f>IF(Table1[[#This Row],[Spec Type2]]="N/A","N/A",IF(AND(Table1[[#This Row],[DUT Adj Read]]&gt;=Table1[[#This Row],[Low Tol]],Table1[[#This Row],[DUT Adj Read]]&lt;=Table1[[#This Row],[High Tol]]),"Pass","Fail"))</f>
        <v>Fail</v>
      </c>
      <c r="AD88" s="1" t="str">
        <f>IF(AND(Table1[[#This Row],[Spec Type2]]="N/A",Table1[[#This Row],[DUT Adj Read]]="N/A",Table1[[#This Row],[Std Adj Read]]="N/A"),"N/A",IF(Table1[[#This Row],[DUT Adj Read]]="N/A",IF(Table1[[#This Row],[Std Adj Read]]&gt;Table1[[#This Row],[Low Tol]],"Pass","Fail"),IF(Table1[[#This Row],[DUT Adj Read]]&gt;Table1[[#This Row],[Low Tol]],"Pass","Fail")))</f>
        <v>Pass</v>
      </c>
      <c r="AE88" s="1" t="str">
        <f>IF(AND(Table1[[#This Row],[Spec Type2]]="N/A",Table1[[#This Row],[DUT Adj Read]]="N/A",Table1[[#This Row],[Std Adj Read]]="N/A"),"N/A",IF(Table1[[#This Row],[DUT Adj Read]]="N/A",IF(Table1[[#This Row],[Std Adj Read]]&lt;Table1[[#This Row],[High Tol]],"Pass","Fail"),IF(Table1[[#This Row],[DUT Adj Read]]&lt;Table1[[#This Row],[High Tol]],"Pass","Fail")))</f>
        <v>Fail</v>
      </c>
      <c r="AF88" s="1" t="str">
        <f>IF(AND(Table1[[#This Row],[Spec Type2]]="N/A",Table1[[#This Row],[DUT Adj Read]]="N/A",Table1[[#This Row],[Std Adj Read]]="N/A"),"N/A",IF(Table1[[#This Row],[DUT Adj Read]]="N/A",IF(Table1[[#This Row],[Std Adj Read]]&gt;=Table1[[#This Row],[Low Tol]],"Pass","Fail"),IF(Table1[[#This Row],[DUT Adj Read]]&gt;=Table1[[#This Row],[Low Tol]],"Pass","Fail")))</f>
        <v>Pass</v>
      </c>
      <c r="AG88" s="1" t="str">
        <f>IF(AND(Table1[[#This Row],[Spec Type2]]="N/A",Table1[[#This Row],[DUT Adj Read]]="N/A",Table1[[#This Row],[Std Adj Read]]="N/A"),"N/A",IF(Table1[[#This Row],[DUT Adj Read]]="N/A",IF(Table1[[#This Row],[Std Adj Read]]&lt;=Table1[[#This Row],[High Tol]],"Pass","Fail"),IF(Table1[[#This Row],[DUT Adj Read]]&lt;=Table1[[#This Row],[High Tol]],"Pass","Fail")))</f>
        <v>Fail</v>
      </c>
      <c r="AH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 s="1" t="b">
        <v>0</v>
      </c>
      <c r="AN88" s="1" t="b">
        <v>0</v>
      </c>
      <c r="AO88" s="1" t="b">
        <v>0</v>
      </c>
    </row>
    <row r="89" spans="1:41" x14ac:dyDescent="0.25">
      <c r="A89" s="10"/>
      <c r="B89" s="10"/>
      <c r="C89" s="10"/>
      <c r="D89" s="10"/>
      <c r="E89" s="10"/>
      <c r="F89" s="10"/>
      <c r="G89" s="10"/>
      <c r="H89" s="10"/>
      <c r="I89" s="1" t="str">
        <f t="shared" si="3"/>
        <v/>
      </c>
      <c r="J89" s="1" t="s">
        <v>35</v>
      </c>
      <c r="K89" s="1" t="str">
        <f t="shared" si="4"/>
        <v/>
      </c>
      <c r="L89" s="1" t="str">
        <f t="shared" si="5"/>
        <v/>
      </c>
      <c r="M89" s="1">
        <f>IF(OR(Table1[[#This Row],[Std Nom]]="",Table1[[#This Row],[Std Read]]=""),0,Table1[[#This Row],[Std Nom]]-Table1[[#This Row],[Std Read]])</f>
        <v>0</v>
      </c>
      <c r="N89" s="1">
        <f>IF(Calculations!$F$5="ACCREDITED 17025 WITH UNCERTAINTIES",$N$10,0)</f>
        <v>0</v>
      </c>
      <c r="O89" s="1" t="str">
        <f>IFERROR(Table1[[#This Row],[Std Nom]]-(_xlfn.XLOOKUP(Table1[[#This Row],[Manufacturer]]&amp;" "&amp;Table1[[#This Row],[Model]],Table13[MFR &amp; MDL],Table13[Tolerance % CW ],"")/100*Table1[[#This Row],[Std Nom]]),"")</f>
        <v/>
      </c>
      <c r="P89" s="1" t="str">
        <f>IFERROR(Table1[[#This Row],[Std Nom]]+(_xlfn.XLOOKUP(Table1[[#This Row],[Manufacturer]]&amp;" "&amp;Table1[[#This Row],[Model]],Table13[MFR &amp; MDL],Table13[Tolerance % CW ],"")/100*Table1[[#This Row],[Std Nom]]),"")</f>
        <v/>
      </c>
      <c r="Q89" s="1" t="e">
        <f>Table1[[#This Row],[High Tol]]-Table1[[#This Row],[Low Tol]]</f>
        <v>#VALUE!</v>
      </c>
      <c r="R89" s="1">
        <f>2*Table1[[#This Row],[Std Error]]</f>
        <v>0</v>
      </c>
      <c r="S89" s="1" t="str">
        <f>IF(Table1[[#This Row],[High Tol]]="","N/A",IFERROR(ABS(Table1[[#This Row],[Tol Span]]/Table1[[#This Row],[Error Span]]),"N/A"))</f>
        <v>N/A</v>
      </c>
      <c r="T89" s="1" t="str">
        <f>IF(OR(Table1[[#This Row],[Low Tol]]="",Table1[[#This Row],[High Tol]]=""),"Needs Analysis",IF(Table1[[#This Row],[Ratio]]&gt;=4,"Not Significant",IF(Table1[[#This Row],[Ratio]]&gt;=2,"Semi-Significant","Significant")))</f>
        <v>Needs Analysis</v>
      </c>
      <c r="W89" s="1">
        <f>IF(Table1[[#This Row],[Cal Type]]&lt;&gt;"ACCREDITED 17025 WITH UNCERTAINTIES",0,"")</f>
        <v>0</v>
      </c>
      <c r="X89" s="1" t="str">
        <f>IF(Table1[[#This Row],[DUT Read]]="","N/A",Table1[[#This Row],[Std Error]]+Table1[[#This Row],[DUT Read]]+Table1[[#This Row],[DUT Ucty]])</f>
        <v>N/A</v>
      </c>
      <c r="Y89" s="1" t="str">
        <f>IF(Table1[[#This Row],[Std Read]]="","N/A",Table1[[#This Row],[Std Read]]+Table1[[#This Row],[Std Ucty]])</f>
        <v>N/A</v>
      </c>
      <c r="Z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 s="1" t="str">
        <f>IF(Table1[[#This Row],[Spec Type]]="","N/A",Table1[[#This Row],[Spec Type]])</f>
        <v>±</v>
      </c>
      <c r="AC89" s="1" t="str">
        <f>IF(Table1[[#This Row],[Spec Type2]]="N/A","N/A",IF(AND(Table1[[#This Row],[DUT Adj Read]]&gt;=Table1[[#This Row],[Low Tol]],Table1[[#This Row],[DUT Adj Read]]&lt;=Table1[[#This Row],[High Tol]]),"Pass","Fail"))</f>
        <v>Fail</v>
      </c>
      <c r="AD89" s="1" t="str">
        <f>IF(AND(Table1[[#This Row],[Spec Type2]]="N/A",Table1[[#This Row],[DUT Adj Read]]="N/A",Table1[[#This Row],[Std Adj Read]]="N/A"),"N/A",IF(Table1[[#This Row],[DUT Adj Read]]="N/A",IF(Table1[[#This Row],[Std Adj Read]]&gt;Table1[[#This Row],[Low Tol]],"Pass","Fail"),IF(Table1[[#This Row],[DUT Adj Read]]&gt;Table1[[#This Row],[Low Tol]],"Pass","Fail")))</f>
        <v>Pass</v>
      </c>
      <c r="AE89" s="1" t="str">
        <f>IF(AND(Table1[[#This Row],[Spec Type2]]="N/A",Table1[[#This Row],[DUT Adj Read]]="N/A",Table1[[#This Row],[Std Adj Read]]="N/A"),"N/A",IF(Table1[[#This Row],[DUT Adj Read]]="N/A",IF(Table1[[#This Row],[Std Adj Read]]&lt;Table1[[#This Row],[High Tol]],"Pass","Fail"),IF(Table1[[#This Row],[DUT Adj Read]]&lt;Table1[[#This Row],[High Tol]],"Pass","Fail")))</f>
        <v>Fail</v>
      </c>
      <c r="AF89" s="1" t="str">
        <f>IF(AND(Table1[[#This Row],[Spec Type2]]="N/A",Table1[[#This Row],[DUT Adj Read]]="N/A",Table1[[#This Row],[Std Adj Read]]="N/A"),"N/A",IF(Table1[[#This Row],[DUT Adj Read]]="N/A",IF(Table1[[#This Row],[Std Adj Read]]&gt;=Table1[[#This Row],[Low Tol]],"Pass","Fail"),IF(Table1[[#This Row],[DUT Adj Read]]&gt;=Table1[[#This Row],[Low Tol]],"Pass","Fail")))</f>
        <v>Pass</v>
      </c>
      <c r="AG89" s="1" t="str">
        <f>IF(AND(Table1[[#This Row],[Spec Type2]]="N/A",Table1[[#This Row],[DUT Adj Read]]="N/A",Table1[[#This Row],[Std Adj Read]]="N/A"),"N/A",IF(Table1[[#This Row],[DUT Adj Read]]="N/A",IF(Table1[[#This Row],[Std Adj Read]]&lt;=Table1[[#This Row],[High Tol]],"Pass","Fail"),IF(Table1[[#This Row],[DUT Adj Read]]&lt;=Table1[[#This Row],[High Tol]],"Pass","Fail")))</f>
        <v>Fail</v>
      </c>
      <c r="AH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 s="1" t="b">
        <v>0</v>
      </c>
      <c r="AN89" s="1" t="b">
        <v>0</v>
      </c>
      <c r="AO89" s="1" t="b">
        <v>0</v>
      </c>
    </row>
    <row r="90" spans="1:41" x14ac:dyDescent="0.25">
      <c r="A90" s="10"/>
      <c r="B90" s="10"/>
      <c r="C90" s="10"/>
      <c r="D90" s="10"/>
      <c r="E90" s="10"/>
      <c r="F90" s="10"/>
      <c r="G90" s="10"/>
      <c r="H90" s="10"/>
      <c r="I90" s="1" t="str">
        <f t="shared" si="3"/>
        <v/>
      </c>
      <c r="J90" s="1" t="s">
        <v>35</v>
      </c>
      <c r="K90" s="1" t="str">
        <f t="shared" si="4"/>
        <v/>
      </c>
      <c r="L90" s="1" t="str">
        <f t="shared" si="5"/>
        <v/>
      </c>
      <c r="M90" s="1">
        <f>IF(OR(Table1[[#This Row],[Std Nom]]="",Table1[[#This Row],[Std Read]]=""),0,Table1[[#This Row],[Std Nom]]-Table1[[#This Row],[Std Read]])</f>
        <v>0</v>
      </c>
      <c r="N90" s="1">
        <f>IF(Calculations!$F$5="ACCREDITED 17025 WITH UNCERTAINTIES",$N$10,0)</f>
        <v>0</v>
      </c>
      <c r="O90" s="1" t="str">
        <f>IFERROR(Table1[[#This Row],[Std Nom]]-(_xlfn.XLOOKUP(Table1[[#This Row],[Manufacturer]]&amp;" "&amp;Table1[[#This Row],[Model]],Table13[MFR &amp; MDL],Table13[Tolerance % CW ],"")/100*Table1[[#This Row],[Std Nom]]),"")</f>
        <v/>
      </c>
      <c r="P90" s="1" t="str">
        <f>IFERROR(Table1[[#This Row],[Std Nom]]+(_xlfn.XLOOKUP(Table1[[#This Row],[Manufacturer]]&amp;" "&amp;Table1[[#This Row],[Model]],Table13[MFR &amp; MDL],Table13[Tolerance % CW ],"")/100*Table1[[#This Row],[Std Nom]]),"")</f>
        <v/>
      </c>
      <c r="Q90" s="1" t="e">
        <f>Table1[[#This Row],[High Tol]]-Table1[[#This Row],[Low Tol]]</f>
        <v>#VALUE!</v>
      </c>
      <c r="R90" s="1">
        <f>2*Table1[[#This Row],[Std Error]]</f>
        <v>0</v>
      </c>
      <c r="S90" s="1" t="str">
        <f>IF(Table1[[#This Row],[High Tol]]="","N/A",IFERROR(ABS(Table1[[#This Row],[Tol Span]]/Table1[[#This Row],[Error Span]]),"N/A"))</f>
        <v>N/A</v>
      </c>
      <c r="T90" s="1" t="str">
        <f>IF(OR(Table1[[#This Row],[Low Tol]]="",Table1[[#This Row],[High Tol]]=""),"Needs Analysis",IF(Table1[[#This Row],[Ratio]]&gt;=4,"Not Significant",IF(Table1[[#This Row],[Ratio]]&gt;=2,"Semi-Significant","Significant")))</f>
        <v>Needs Analysis</v>
      </c>
      <c r="W90" s="1">
        <f>IF(Table1[[#This Row],[Cal Type]]&lt;&gt;"ACCREDITED 17025 WITH UNCERTAINTIES",0,"")</f>
        <v>0</v>
      </c>
      <c r="X90" s="1" t="str">
        <f>IF(Table1[[#This Row],[DUT Read]]="","N/A",Table1[[#This Row],[Std Error]]+Table1[[#This Row],[DUT Read]]+Table1[[#This Row],[DUT Ucty]])</f>
        <v>N/A</v>
      </c>
      <c r="Y90" s="1" t="str">
        <f>IF(Table1[[#This Row],[Std Read]]="","N/A",Table1[[#This Row],[Std Read]]+Table1[[#This Row],[Std Ucty]])</f>
        <v>N/A</v>
      </c>
      <c r="Z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 s="1" t="str">
        <f>IF(Table1[[#This Row],[Spec Type]]="","N/A",Table1[[#This Row],[Spec Type]])</f>
        <v>±</v>
      </c>
      <c r="AC90" s="1" t="str">
        <f>IF(Table1[[#This Row],[Spec Type2]]="N/A","N/A",IF(AND(Table1[[#This Row],[DUT Adj Read]]&gt;=Table1[[#This Row],[Low Tol]],Table1[[#This Row],[DUT Adj Read]]&lt;=Table1[[#This Row],[High Tol]]),"Pass","Fail"))</f>
        <v>Fail</v>
      </c>
      <c r="AD90" s="1" t="str">
        <f>IF(AND(Table1[[#This Row],[Spec Type2]]="N/A",Table1[[#This Row],[DUT Adj Read]]="N/A",Table1[[#This Row],[Std Adj Read]]="N/A"),"N/A",IF(Table1[[#This Row],[DUT Adj Read]]="N/A",IF(Table1[[#This Row],[Std Adj Read]]&gt;Table1[[#This Row],[Low Tol]],"Pass","Fail"),IF(Table1[[#This Row],[DUT Adj Read]]&gt;Table1[[#This Row],[Low Tol]],"Pass","Fail")))</f>
        <v>Pass</v>
      </c>
      <c r="AE90" s="1" t="str">
        <f>IF(AND(Table1[[#This Row],[Spec Type2]]="N/A",Table1[[#This Row],[DUT Adj Read]]="N/A",Table1[[#This Row],[Std Adj Read]]="N/A"),"N/A",IF(Table1[[#This Row],[DUT Adj Read]]="N/A",IF(Table1[[#This Row],[Std Adj Read]]&lt;Table1[[#This Row],[High Tol]],"Pass","Fail"),IF(Table1[[#This Row],[DUT Adj Read]]&lt;Table1[[#This Row],[High Tol]],"Pass","Fail")))</f>
        <v>Fail</v>
      </c>
      <c r="AF90" s="1" t="str">
        <f>IF(AND(Table1[[#This Row],[Spec Type2]]="N/A",Table1[[#This Row],[DUT Adj Read]]="N/A",Table1[[#This Row],[Std Adj Read]]="N/A"),"N/A",IF(Table1[[#This Row],[DUT Adj Read]]="N/A",IF(Table1[[#This Row],[Std Adj Read]]&gt;=Table1[[#This Row],[Low Tol]],"Pass","Fail"),IF(Table1[[#This Row],[DUT Adj Read]]&gt;=Table1[[#This Row],[Low Tol]],"Pass","Fail")))</f>
        <v>Pass</v>
      </c>
      <c r="AG90" s="1" t="str">
        <f>IF(AND(Table1[[#This Row],[Spec Type2]]="N/A",Table1[[#This Row],[DUT Adj Read]]="N/A",Table1[[#This Row],[Std Adj Read]]="N/A"),"N/A",IF(Table1[[#This Row],[DUT Adj Read]]="N/A",IF(Table1[[#This Row],[Std Adj Read]]&lt;=Table1[[#This Row],[High Tol]],"Pass","Fail"),IF(Table1[[#This Row],[DUT Adj Read]]&lt;=Table1[[#This Row],[High Tol]],"Pass","Fail")))</f>
        <v>Fail</v>
      </c>
      <c r="AH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 s="1" t="b">
        <v>0</v>
      </c>
      <c r="AN90" s="1" t="b">
        <v>0</v>
      </c>
      <c r="AO90" s="1" t="b">
        <v>0</v>
      </c>
    </row>
    <row r="91" spans="1:41" x14ac:dyDescent="0.25">
      <c r="A91" s="10"/>
      <c r="B91" s="10"/>
      <c r="C91" s="10"/>
      <c r="D91" s="10"/>
      <c r="E91" s="10"/>
      <c r="F91" s="10"/>
      <c r="G91" s="10"/>
      <c r="H91" s="10"/>
      <c r="I91" s="1" t="str">
        <f t="shared" si="3"/>
        <v/>
      </c>
      <c r="J91" s="1" t="s">
        <v>35</v>
      </c>
      <c r="K91" s="1" t="str">
        <f t="shared" si="4"/>
        <v/>
      </c>
      <c r="L91" s="1" t="str">
        <f t="shared" si="5"/>
        <v/>
      </c>
      <c r="M91" s="1">
        <f>IF(OR(Table1[[#This Row],[Std Nom]]="",Table1[[#This Row],[Std Read]]=""),0,Table1[[#This Row],[Std Nom]]-Table1[[#This Row],[Std Read]])</f>
        <v>0</v>
      </c>
      <c r="N91" s="1">
        <f>IF(Calculations!$F$5="ACCREDITED 17025 WITH UNCERTAINTIES",$N$10,0)</f>
        <v>0</v>
      </c>
      <c r="O91" s="1" t="str">
        <f>IFERROR(Table1[[#This Row],[Std Nom]]-(_xlfn.XLOOKUP(Table1[[#This Row],[Manufacturer]]&amp;" "&amp;Table1[[#This Row],[Model]],Table13[MFR &amp; MDL],Table13[Tolerance % CW ],"")/100*Table1[[#This Row],[Std Nom]]),"")</f>
        <v/>
      </c>
      <c r="P91" s="1" t="str">
        <f>IFERROR(Table1[[#This Row],[Std Nom]]+(_xlfn.XLOOKUP(Table1[[#This Row],[Manufacturer]]&amp;" "&amp;Table1[[#This Row],[Model]],Table13[MFR &amp; MDL],Table13[Tolerance % CW ],"")/100*Table1[[#This Row],[Std Nom]]),"")</f>
        <v/>
      </c>
      <c r="Q91" s="1" t="e">
        <f>Table1[[#This Row],[High Tol]]-Table1[[#This Row],[Low Tol]]</f>
        <v>#VALUE!</v>
      </c>
      <c r="R91" s="1">
        <f>2*Table1[[#This Row],[Std Error]]</f>
        <v>0</v>
      </c>
      <c r="S91" s="1" t="str">
        <f>IF(Table1[[#This Row],[High Tol]]="","N/A",IFERROR(ABS(Table1[[#This Row],[Tol Span]]/Table1[[#This Row],[Error Span]]),"N/A"))</f>
        <v>N/A</v>
      </c>
      <c r="T91" s="1" t="str">
        <f>IF(OR(Table1[[#This Row],[Low Tol]]="",Table1[[#This Row],[High Tol]]=""),"Needs Analysis",IF(Table1[[#This Row],[Ratio]]&gt;=4,"Not Significant",IF(Table1[[#This Row],[Ratio]]&gt;=2,"Semi-Significant","Significant")))</f>
        <v>Needs Analysis</v>
      </c>
      <c r="W91" s="1">
        <f>IF(Table1[[#This Row],[Cal Type]]&lt;&gt;"ACCREDITED 17025 WITH UNCERTAINTIES",0,"")</f>
        <v>0</v>
      </c>
      <c r="X91" s="1" t="str">
        <f>IF(Table1[[#This Row],[DUT Read]]="","N/A",Table1[[#This Row],[Std Error]]+Table1[[#This Row],[DUT Read]]+Table1[[#This Row],[DUT Ucty]])</f>
        <v>N/A</v>
      </c>
      <c r="Y91" s="1" t="str">
        <f>IF(Table1[[#This Row],[Std Read]]="","N/A",Table1[[#This Row],[Std Read]]+Table1[[#This Row],[Std Ucty]])</f>
        <v>N/A</v>
      </c>
      <c r="Z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 s="1" t="str">
        <f>IF(Table1[[#This Row],[Spec Type]]="","N/A",Table1[[#This Row],[Spec Type]])</f>
        <v>±</v>
      </c>
      <c r="AC91" s="1" t="str">
        <f>IF(Table1[[#This Row],[Spec Type2]]="N/A","N/A",IF(AND(Table1[[#This Row],[DUT Adj Read]]&gt;=Table1[[#This Row],[Low Tol]],Table1[[#This Row],[DUT Adj Read]]&lt;=Table1[[#This Row],[High Tol]]),"Pass","Fail"))</f>
        <v>Fail</v>
      </c>
      <c r="AD91" s="1" t="str">
        <f>IF(AND(Table1[[#This Row],[Spec Type2]]="N/A",Table1[[#This Row],[DUT Adj Read]]="N/A",Table1[[#This Row],[Std Adj Read]]="N/A"),"N/A",IF(Table1[[#This Row],[DUT Adj Read]]="N/A",IF(Table1[[#This Row],[Std Adj Read]]&gt;Table1[[#This Row],[Low Tol]],"Pass","Fail"),IF(Table1[[#This Row],[DUT Adj Read]]&gt;Table1[[#This Row],[Low Tol]],"Pass","Fail")))</f>
        <v>Pass</v>
      </c>
      <c r="AE91" s="1" t="str">
        <f>IF(AND(Table1[[#This Row],[Spec Type2]]="N/A",Table1[[#This Row],[DUT Adj Read]]="N/A",Table1[[#This Row],[Std Adj Read]]="N/A"),"N/A",IF(Table1[[#This Row],[DUT Adj Read]]="N/A",IF(Table1[[#This Row],[Std Adj Read]]&lt;Table1[[#This Row],[High Tol]],"Pass","Fail"),IF(Table1[[#This Row],[DUT Adj Read]]&lt;Table1[[#This Row],[High Tol]],"Pass","Fail")))</f>
        <v>Fail</v>
      </c>
      <c r="AF91" s="1" t="str">
        <f>IF(AND(Table1[[#This Row],[Spec Type2]]="N/A",Table1[[#This Row],[DUT Adj Read]]="N/A",Table1[[#This Row],[Std Adj Read]]="N/A"),"N/A",IF(Table1[[#This Row],[DUT Adj Read]]="N/A",IF(Table1[[#This Row],[Std Adj Read]]&gt;=Table1[[#This Row],[Low Tol]],"Pass","Fail"),IF(Table1[[#This Row],[DUT Adj Read]]&gt;=Table1[[#This Row],[Low Tol]],"Pass","Fail")))</f>
        <v>Pass</v>
      </c>
      <c r="AG91" s="1" t="str">
        <f>IF(AND(Table1[[#This Row],[Spec Type2]]="N/A",Table1[[#This Row],[DUT Adj Read]]="N/A",Table1[[#This Row],[Std Adj Read]]="N/A"),"N/A",IF(Table1[[#This Row],[DUT Adj Read]]="N/A",IF(Table1[[#This Row],[Std Adj Read]]&lt;=Table1[[#This Row],[High Tol]],"Pass","Fail"),IF(Table1[[#This Row],[DUT Adj Read]]&lt;=Table1[[#This Row],[High Tol]],"Pass","Fail")))</f>
        <v>Fail</v>
      </c>
      <c r="AH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 s="1" t="b">
        <v>0</v>
      </c>
      <c r="AN91" s="1" t="b">
        <v>0</v>
      </c>
      <c r="AO91" s="1" t="b">
        <v>0</v>
      </c>
    </row>
    <row r="92" spans="1:41" x14ac:dyDescent="0.25">
      <c r="A92" s="10"/>
      <c r="B92" s="10"/>
      <c r="C92" s="10"/>
      <c r="D92" s="10"/>
      <c r="E92" s="10"/>
      <c r="F92" s="10"/>
      <c r="G92" s="10"/>
      <c r="H92" s="10"/>
      <c r="I92" s="1" t="str">
        <f t="shared" si="3"/>
        <v/>
      </c>
      <c r="J92" s="1" t="s">
        <v>35</v>
      </c>
      <c r="K92" s="1" t="str">
        <f t="shared" si="4"/>
        <v/>
      </c>
      <c r="L92" s="1" t="str">
        <f t="shared" si="5"/>
        <v/>
      </c>
      <c r="M92" s="1">
        <f>IF(OR(Table1[[#This Row],[Std Nom]]="",Table1[[#This Row],[Std Read]]=""),0,Table1[[#This Row],[Std Nom]]-Table1[[#This Row],[Std Read]])</f>
        <v>0</v>
      </c>
      <c r="N92" s="1">
        <f>IF(Calculations!$F$5="ACCREDITED 17025 WITH UNCERTAINTIES",$N$10,0)</f>
        <v>0</v>
      </c>
      <c r="O92" s="1" t="str">
        <f>IFERROR(Table1[[#This Row],[Std Nom]]-(_xlfn.XLOOKUP(Table1[[#This Row],[Manufacturer]]&amp;" "&amp;Table1[[#This Row],[Model]],Table13[MFR &amp; MDL],Table13[Tolerance % CW ],"")/100*Table1[[#This Row],[Std Nom]]),"")</f>
        <v/>
      </c>
      <c r="P92" s="1" t="str">
        <f>IFERROR(Table1[[#This Row],[Std Nom]]+(_xlfn.XLOOKUP(Table1[[#This Row],[Manufacturer]]&amp;" "&amp;Table1[[#This Row],[Model]],Table13[MFR &amp; MDL],Table13[Tolerance % CW ],"")/100*Table1[[#This Row],[Std Nom]]),"")</f>
        <v/>
      </c>
      <c r="Q92" s="1" t="e">
        <f>Table1[[#This Row],[High Tol]]-Table1[[#This Row],[Low Tol]]</f>
        <v>#VALUE!</v>
      </c>
      <c r="R92" s="1">
        <f>2*Table1[[#This Row],[Std Error]]</f>
        <v>0</v>
      </c>
      <c r="S92" s="1" t="str">
        <f>IF(Table1[[#This Row],[High Tol]]="","N/A",IFERROR(ABS(Table1[[#This Row],[Tol Span]]/Table1[[#This Row],[Error Span]]),"N/A"))</f>
        <v>N/A</v>
      </c>
      <c r="T92" s="1" t="str">
        <f>IF(OR(Table1[[#This Row],[Low Tol]]="",Table1[[#This Row],[High Tol]]=""),"Needs Analysis",IF(Table1[[#This Row],[Ratio]]&gt;=4,"Not Significant",IF(Table1[[#This Row],[Ratio]]&gt;=2,"Semi-Significant","Significant")))</f>
        <v>Needs Analysis</v>
      </c>
      <c r="W92" s="1">
        <f>IF(Table1[[#This Row],[Cal Type]]&lt;&gt;"ACCREDITED 17025 WITH UNCERTAINTIES",0,"")</f>
        <v>0</v>
      </c>
      <c r="X92" s="1" t="str">
        <f>IF(Table1[[#This Row],[DUT Read]]="","N/A",Table1[[#This Row],[Std Error]]+Table1[[#This Row],[DUT Read]]+Table1[[#This Row],[DUT Ucty]])</f>
        <v>N/A</v>
      </c>
      <c r="Y92" s="1" t="str">
        <f>IF(Table1[[#This Row],[Std Read]]="","N/A",Table1[[#This Row],[Std Read]]+Table1[[#This Row],[Std Ucty]])</f>
        <v>N/A</v>
      </c>
      <c r="Z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 s="1" t="str">
        <f>IF(Table1[[#This Row],[Spec Type]]="","N/A",Table1[[#This Row],[Spec Type]])</f>
        <v>±</v>
      </c>
      <c r="AC92" s="1" t="str">
        <f>IF(Table1[[#This Row],[Spec Type2]]="N/A","N/A",IF(AND(Table1[[#This Row],[DUT Adj Read]]&gt;=Table1[[#This Row],[Low Tol]],Table1[[#This Row],[DUT Adj Read]]&lt;=Table1[[#This Row],[High Tol]]),"Pass","Fail"))</f>
        <v>Fail</v>
      </c>
      <c r="AD92" s="1" t="str">
        <f>IF(AND(Table1[[#This Row],[Spec Type2]]="N/A",Table1[[#This Row],[DUT Adj Read]]="N/A",Table1[[#This Row],[Std Adj Read]]="N/A"),"N/A",IF(Table1[[#This Row],[DUT Adj Read]]="N/A",IF(Table1[[#This Row],[Std Adj Read]]&gt;Table1[[#This Row],[Low Tol]],"Pass","Fail"),IF(Table1[[#This Row],[DUT Adj Read]]&gt;Table1[[#This Row],[Low Tol]],"Pass","Fail")))</f>
        <v>Pass</v>
      </c>
      <c r="AE92" s="1" t="str">
        <f>IF(AND(Table1[[#This Row],[Spec Type2]]="N/A",Table1[[#This Row],[DUT Adj Read]]="N/A",Table1[[#This Row],[Std Adj Read]]="N/A"),"N/A",IF(Table1[[#This Row],[DUT Adj Read]]="N/A",IF(Table1[[#This Row],[Std Adj Read]]&lt;Table1[[#This Row],[High Tol]],"Pass","Fail"),IF(Table1[[#This Row],[DUT Adj Read]]&lt;Table1[[#This Row],[High Tol]],"Pass","Fail")))</f>
        <v>Fail</v>
      </c>
      <c r="AF92" s="1" t="str">
        <f>IF(AND(Table1[[#This Row],[Spec Type2]]="N/A",Table1[[#This Row],[DUT Adj Read]]="N/A",Table1[[#This Row],[Std Adj Read]]="N/A"),"N/A",IF(Table1[[#This Row],[DUT Adj Read]]="N/A",IF(Table1[[#This Row],[Std Adj Read]]&gt;=Table1[[#This Row],[Low Tol]],"Pass","Fail"),IF(Table1[[#This Row],[DUT Adj Read]]&gt;=Table1[[#This Row],[Low Tol]],"Pass","Fail")))</f>
        <v>Pass</v>
      </c>
      <c r="AG92" s="1" t="str">
        <f>IF(AND(Table1[[#This Row],[Spec Type2]]="N/A",Table1[[#This Row],[DUT Adj Read]]="N/A",Table1[[#This Row],[Std Adj Read]]="N/A"),"N/A",IF(Table1[[#This Row],[DUT Adj Read]]="N/A",IF(Table1[[#This Row],[Std Adj Read]]&lt;=Table1[[#This Row],[High Tol]],"Pass","Fail"),IF(Table1[[#This Row],[DUT Adj Read]]&lt;=Table1[[#This Row],[High Tol]],"Pass","Fail")))</f>
        <v>Fail</v>
      </c>
      <c r="AH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 s="1" t="b">
        <v>0</v>
      </c>
      <c r="AN92" s="1" t="b">
        <v>0</v>
      </c>
      <c r="AO92" s="1" t="b">
        <v>0</v>
      </c>
    </row>
    <row r="93" spans="1:41" x14ac:dyDescent="0.25">
      <c r="A93" s="10"/>
      <c r="B93" s="10"/>
      <c r="C93" s="10"/>
      <c r="D93" s="10"/>
      <c r="E93" s="10"/>
      <c r="F93" s="10"/>
      <c r="G93" s="10"/>
      <c r="H93" s="10"/>
      <c r="I93" s="1" t="str">
        <f t="shared" si="3"/>
        <v/>
      </c>
      <c r="J93" s="1" t="s">
        <v>35</v>
      </c>
      <c r="K93" s="1" t="str">
        <f t="shared" si="4"/>
        <v/>
      </c>
      <c r="L93" s="1" t="str">
        <f t="shared" si="5"/>
        <v/>
      </c>
      <c r="M93" s="1">
        <f>IF(OR(Table1[[#This Row],[Std Nom]]="",Table1[[#This Row],[Std Read]]=""),0,Table1[[#This Row],[Std Nom]]-Table1[[#This Row],[Std Read]])</f>
        <v>0</v>
      </c>
      <c r="N93" s="1">
        <f>IF(Calculations!$F$5="ACCREDITED 17025 WITH UNCERTAINTIES",$N$10,0)</f>
        <v>0</v>
      </c>
      <c r="O93" s="1" t="str">
        <f>IFERROR(Table1[[#This Row],[Std Nom]]-(_xlfn.XLOOKUP(Table1[[#This Row],[Manufacturer]]&amp;" "&amp;Table1[[#This Row],[Model]],Table13[MFR &amp; MDL],Table13[Tolerance % CW ],"")/100*Table1[[#This Row],[Std Nom]]),"")</f>
        <v/>
      </c>
      <c r="P93" s="1" t="str">
        <f>IFERROR(Table1[[#This Row],[Std Nom]]+(_xlfn.XLOOKUP(Table1[[#This Row],[Manufacturer]]&amp;" "&amp;Table1[[#This Row],[Model]],Table13[MFR &amp; MDL],Table13[Tolerance % CW ],"")/100*Table1[[#This Row],[Std Nom]]),"")</f>
        <v/>
      </c>
      <c r="Q93" s="1" t="e">
        <f>Table1[[#This Row],[High Tol]]-Table1[[#This Row],[Low Tol]]</f>
        <v>#VALUE!</v>
      </c>
      <c r="R93" s="1">
        <f>2*Table1[[#This Row],[Std Error]]</f>
        <v>0</v>
      </c>
      <c r="S93" s="1" t="str">
        <f>IF(Table1[[#This Row],[High Tol]]="","N/A",IFERROR(ABS(Table1[[#This Row],[Tol Span]]/Table1[[#This Row],[Error Span]]),"N/A"))</f>
        <v>N/A</v>
      </c>
      <c r="T93" s="1" t="str">
        <f>IF(OR(Table1[[#This Row],[Low Tol]]="",Table1[[#This Row],[High Tol]]=""),"Needs Analysis",IF(Table1[[#This Row],[Ratio]]&gt;=4,"Not Significant",IF(Table1[[#This Row],[Ratio]]&gt;=2,"Semi-Significant","Significant")))</f>
        <v>Needs Analysis</v>
      </c>
      <c r="W93" s="1">
        <f>IF(Table1[[#This Row],[Cal Type]]&lt;&gt;"ACCREDITED 17025 WITH UNCERTAINTIES",0,"")</f>
        <v>0</v>
      </c>
      <c r="X93" s="1" t="str">
        <f>IF(Table1[[#This Row],[DUT Read]]="","N/A",Table1[[#This Row],[Std Error]]+Table1[[#This Row],[DUT Read]]+Table1[[#This Row],[DUT Ucty]])</f>
        <v>N/A</v>
      </c>
      <c r="Y93" s="1" t="str">
        <f>IF(Table1[[#This Row],[Std Read]]="","N/A",Table1[[#This Row],[Std Read]]+Table1[[#This Row],[Std Ucty]])</f>
        <v>N/A</v>
      </c>
      <c r="Z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 s="1" t="str">
        <f>IF(Table1[[#This Row],[Spec Type]]="","N/A",Table1[[#This Row],[Spec Type]])</f>
        <v>±</v>
      </c>
      <c r="AC93" s="1" t="str">
        <f>IF(Table1[[#This Row],[Spec Type2]]="N/A","N/A",IF(AND(Table1[[#This Row],[DUT Adj Read]]&gt;=Table1[[#This Row],[Low Tol]],Table1[[#This Row],[DUT Adj Read]]&lt;=Table1[[#This Row],[High Tol]]),"Pass","Fail"))</f>
        <v>Fail</v>
      </c>
      <c r="AD93" s="1" t="str">
        <f>IF(AND(Table1[[#This Row],[Spec Type2]]="N/A",Table1[[#This Row],[DUT Adj Read]]="N/A",Table1[[#This Row],[Std Adj Read]]="N/A"),"N/A",IF(Table1[[#This Row],[DUT Adj Read]]="N/A",IF(Table1[[#This Row],[Std Adj Read]]&gt;Table1[[#This Row],[Low Tol]],"Pass","Fail"),IF(Table1[[#This Row],[DUT Adj Read]]&gt;Table1[[#This Row],[Low Tol]],"Pass","Fail")))</f>
        <v>Pass</v>
      </c>
      <c r="AE93" s="1" t="str">
        <f>IF(AND(Table1[[#This Row],[Spec Type2]]="N/A",Table1[[#This Row],[DUT Adj Read]]="N/A",Table1[[#This Row],[Std Adj Read]]="N/A"),"N/A",IF(Table1[[#This Row],[DUT Adj Read]]="N/A",IF(Table1[[#This Row],[Std Adj Read]]&lt;Table1[[#This Row],[High Tol]],"Pass","Fail"),IF(Table1[[#This Row],[DUT Adj Read]]&lt;Table1[[#This Row],[High Tol]],"Pass","Fail")))</f>
        <v>Fail</v>
      </c>
      <c r="AF93" s="1" t="str">
        <f>IF(AND(Table1[[#This Row],[Spec Type2]]="N/A",Table1[[#This Row],[DUT Adj Read]]="N/A",Table1[[#This Row],[Std Adj Read]]="N/A"),"N/A",IF(Table1[[#This Row],[DUT Adj Read]]="N/A",IF(Table1[[#This Row],[Std Adj Read]]&gt;=Table1[[#This Row],[Low Tol]],"Pass","Fail"),IF(Table1[[#This Row],[DUT Adj Read]]&gt;=Table1[[#This Row],[Low Tol]],"Pass","Fail")))</f>
        <v>Pass</v>
      </c>
      <c r="AG93" s="1" t="str">
        <f>IF(AND(Table1[[#This Row],[Spec Type2]]="N/A",Table1[[#This Row],[DUT Adj Read]]="N/A",Table1[[#This Row],[Std Adj Read]]="N/A"),"N/A",IF(Table1[[#This Row],[DUT Adj Read]]="N/A",IF(Table1[[#This Row],[Std Adj Read]]&lt;=Table1[[#This Row],[High Tol]],"Pass","Fail"),IF(Table1[[#This Row],[DUT Adj Read]]&lt;=Table1[[#This Row],[High Tol]],"Pass","Fail")))</f>
        <v>Fail</v>
      </c>
      <c r="AH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 s="1" t="b">
        <v>0</v>
      </c>
      <c r="AN93" s="1" t="b">
        <v>0</v>
      </c>
      <c r="AO93" s="1" t="b">
        <v>0</v>
      </c>
    </row>
    <row r="94" spans="1:41" x14ac:dyDescent="0.25">
      <c r="A94" s="10"/>
      <c r="B94" s="10"/>
      <c r="C94" s="10"/>
      <c r="D94" s="10"/>
      <c r="E94" s="10"/>
      <c r="F94" s="10"/>
      <c r="G94" s="10"/>
      <c r="H94" s="10"/>
      <c r="I94" s="1" t="str">
        <f t="shared" si="3"/>
        <v/>
      </c>
      <c r="J94" s="1" t="s">
        <v>35</v>
      </c>
      <c r="K94" s="1" t="str">
        <f t="shared" si="4"/>
        <v/>
      </c>
      <c r="L94" s="1" t="str">
        <f t="shared" si="5"/>
        <v/>
      </c>
      <c r="M94" s="1">
        <f>IF(OR(Table1[[#This Row],[Std Nom]]="",Table1[[#This Row],[Std Read]]=""),0,Table1[[#This Row],[Std Nom]]-Table1[[#This Row],[Std Read]])</f>
        <v>0</v>
      </c>
      <c r="N94" s="1">
        <f>IF(Calculations!$F$5="ACCREDITED 17025 WITH UNCERTAINTIES",$N$10,0)</f>
        <v>0</v>
      </c>
      <c r="O94" s="1" t="str">
        <f>IFERROR(Table1[[#This Row],[Std Nom]]-(_xlfn.XLOOKUP(Table1[[#This Row],[Manufacturer]]&amp;" "&amp;Table1[[#This Row],[Model]],Table13[MFR &amp; MDL],Table13[Tolerance % CW ],"")/100*Table1[[#This Row],[Std Nom]]),"")</f>
        <v/>
      </c>
      <c r="P94" s="1" t="str">
        <f>IFERROR(Table1[[#This Row],[Std Nom]]+(_xlfn.XLOOKUP(Table1[[#This Row],[Manufacturer]]&amp;" "&amp;Table1[[#This Row],[Model]],Table13[MFR &amp; MDL],Table13[Tolerance % CW ],"")/100*Table1[[#This Row],[Std Nom]]),"")</f>
        <v/>
      </c>
      <c r="Q94" s="1" t="e">
        <f>Table1[[#This Row],[High Tol]]-Table1[[#This Row],[Low Tol]]</f>
        <v>#VALUE!</v>
      </c>
      <c r="R94" s="1">
        <f>2*Table1[[#This Row],[Std Error]]</f>
        <v>0</v>
      </c>
      <c r="S94" s="1" t="str">
        <f>IF(Table1[[#This Row],[High Tol]]="","N/A",IFERROR(ABS(Table1[[#This Row],[Tol Span]]/Table1[[#This Row],[Error Span]]),"N/A"))</f>
        <v>N/A</v>
      </c>
      <c r="T94" s="1" t="str">
        <f>IF(OR(Table1[[#This Row],[Low Tol]]="",Table1[[#This Row],[High Tol]]=""),"Needs Analysis",IF(Table1[[#This Row],[Ratio]]&gt;=4,"Not Significant",IF(Table1[[#This Row],[Ratio]]&gt;=2,"Semi-Significant","Significant")))</f>
        <v>Needs Analysis</v>
      </c>
      <c r="W94" s="1">
        <f>IF(Table1[[#This Row],[Cal Type]]&lt;&gt;"ACCREDITED 17025 WITH UNCERTAINTIES",0,"")</f>
        <v>0</v>
      </c>
      <c r="X94" s="1" t="str">
        <f>IF(Table1[[#This Row],[DUT Read]]="","N/A",Table1[[#This Row],[Std Error]]+Table1[[#This Row],[DUT Read]]+Table1[[#This Row],[DUT Ucty]])</f>
        <v>N/A</v>
      </c>
      <c r="Y94" s="1" t="str">
        <f>IF(Table1[[#This Row],[Std Read]]="","N/A",Table1[[#This Row],[Std Read]]+Table1[[#This Row],[Std Ucty]])</f>
        <v>N/A</v>
      </c>
      <c r="Z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 s="1" t="str">
        <f>IF(Table1[[#This Row],[Spec Type]]="","N/A",Table1[[#This Row],[Spec Type]])</f>
        <v>±</v>
      </c>
      <c r="AC94" s="1" t="str">
        <f>IF(Table1[[#This Row],[Spec Type2]]="N/A","N/A",IF(AND(Table1[[#This Row],[DUT Adj Read]]&gt;=Table1[[#This Row],[Low Tol]],Table1[[#This Row],[DUT Adj Read]]&lt;=Table1[[#This Row],[High Tol]]),"Pass","Fail"))</f>
        <v>Fail</v>
      </c>
      <c r="AD94" s="1" t="str">
        <f>IF(AND(Table1[[#This Row],[Spec Type2]]="N/A",Table1[[#This Row],[DUT Adj Read]]="N/A",Table1[[#This Row],[Std Adj Read]]="N/A"),"N/A",IF(Table1[[#This Row],[DUT Adj Read]]="N/A",IF(Table1[[#This Row],[Std Adj Read]]&gt;Table1[[#This Row],[Low Tol]],"Pass","Fail"),IF(Table1[[#This Row],[DUT Adj Read]]&gt;Table1[[#This Row],[Low Tol]],"Pass","Fail")))</f>
        <v>Pass</v>
      </c>
      <c r="AE94" s="1" t="str">
        <f>IF(AND(Table1[[#This Row],[Spec Type2]]="N/A",Table1[[#This Row],[DUT Adj Read]]="N/A",Table1[[#This Row],[Std Adj Read]]="N/A"),"N/A",IF(Table1[[#This Row],[DUT Adj Read]]="N/A",IF(Table1[[#This Row],[Std Adj Read]]&lt;Table1[[#This Row],[High Tol]],"Pass","Fail"),IF(Table1[[#This Row],[DUT Adj Read]]&lt;Table1[[#This Row],[High Tol]],"Pass","Fail")))</f>
        <v>Fail</v>
      </c>
      <c r="AF94" s="1" t="str">
        <f>IF(AND(Table1[[#This Row],[Spec Type2]]="N/A",Table1[[#This Row],[DUT Adj Read]]="N/A",Table1[[#This Row],[Std Adj Read]]="N/A"),"N/A",IF(Table1[[#This Row],[DUT Adj Read]]="N/A",IF(Table1[[#This Row],[Std Adj Read]]&gt;=Table1[[#This Row],[Low Tol]],"Pass","Fail"),IF(Table1[[#This Row],[DUT Adj Read]]&gt;=Table1[[#This Row],[Low Tol]],"Pass","Fail")))</f>
        <v>Pass</v>
      </c>
      <c r="AG94" s="1" t="str">
        <f>IF(AND(Table1[[#This Row],[Spec Type2]]="N/A",Table1[[#This Row],[DUT Adj Read]]="N/A",Table1[[#This Row],[Std Adj Read]]="N/A"),"N/A",IF(Table1[[#This Row],[DUT Adj Read]]="N/A",IF(Table1[[#This Row],[Std Adj Read]]&lt;=Table1[[#This Row],[High Tol]],"Pass","Fail"),IF(Table1[[#This Row],[DUT Adj Read]]&lt;=Table1[[#This Row],[High Tol]],"Pass","Fail")))</f>
        <v>Fail</v>
      </c>
      <c r="AH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 s="1" t="b">
        <v>0</v>
      </c>
      <c r="AN94" s="1" t="b">
        <v>0</v>
      </c>
      <c r="AO94" s="1" t="b">
        <v>0</v>
      </c>
    </row>
    <row r="95" spans="1:41" x14ac:dyDescent="0.25">
      <c r="A95" s="10"/>
      <c r="B95" s="10"/>
      <c r="C95" s="10"/>
      <c r="D95" s="10"/>
      <c r="E95" s="10"/>
      <c r="F95" s="10"/>
      <c r="G95" s="10"/>
      <c r="H95" s="10"/>
      <c r="I95" s="1" t="str">
        <f t="shared" si="3"/>
        <v/>
      </c>
      <c r="J95" s="1" t="s">
        <v>35</v>
      </c>
      <c r="K95" s="1" t="str">
        <f t="shared" si="4"/>
        <v/>
      </c>
      <c r="L95" s="1" t="str">
        <f t="shared" si="5"/>
        <v/>
      </c>
      <c r="M95" s="1">
        <f>IF(OR(Table1[[#This Row],[Std Nom]]="",Table1[[#This Row],[Std Read]]=""),0,Table1[[#This Row],[Std Nom]]-Table1[[#This Row],[Std Read]])</f>
        <v>0</v>
      </c>
      <c r="N95" s="1">
        <f>IF(Calculations!$F$5="ACCREDITED 17025 WITH UNCERTAINTIES",$N$10,0)</f>
        <v>0</v>
      </c>
      <c r="O95" s="1" t="str">
        <f>IFERROR(Table1[[#This Row],[Std Nom]]-(_xlfn.XLOOKUP(Table1[[#This Row],[Manufacturer]]&amp;" "&amp;Table1[[#This Row],[Model]],Table13[MFR &amp; MDL],Table13[Tolerance % CW ],"")/100*Table1[[#This Row],[Std Nom]]),"")</f>
        <v/>
      </c>
      <c r="P95" s="1" t="str">
        <f>IFERROR(Table1[[#This Row],[Std Nom]]+(_xlfn.XLOOKUP(Table1[[#This Row],[Manufacturer]]&amp;" "&amp;Table1[[#This Row],[Model]],Table13[MFR &amp; MDL],Table13[Tolerance % CW ],"")/100*Table1[[#This Row],[Std Nom]]),"")</f>
        <v/>
      </c>
      <c r="Q95" s="1" t="e">
        <f>Table1[[#This Row],[High Tol]]-Table1[[#This Row],[Low Tol]]</f>
        <v>#VALUE!</v>
      </c>
      <c r="R95" s="1">
        <f>2*Table1[[#This Row],[Std Error]]</f>
        <v>0</v>
      </c>
      <c r="S95" s="1" t="str">
        <f>IF(Table1[[#This Row],[High Tol]]="","N/A",IFERROR(ABS(Table1[[#This Row],[Tol Span]]/Table1[[#This Row],[Error Span]]),"N/A"))</f>
        <v>N/A</v>
      </c>
      <c r="T95" s="1" t="str">
        <f>IF(OR(Table1[[#This Row],[Low Tol]]="",Table1[[#This Row],[High Tol]]=""),"Needs Analysis",IF(Table1[[#This Row],[Ratio]]&gt;=4,"Not Significant",IF(Table1[[#This Row],[Ratio]]&gt;=2,"Semi-Significant","Significant")))</f>
        <v>Needs Analysis</v>
      </c>
      <c r="W95" s="1">
        <f>IF(Table1[[#This Row],[Cal Type]]&lt;&gt;"ACCREDITED 17025 WITH UNCERTAINTIES",0,"")</f>
        <v>0</v>
      </c>
      <c r="X95" s="1" t="str">
        <f>IF(Table1[[#This Row],[DUT Read]]="","N/A",Table1[[#This Row],[Std Error]]+Table1[[#This Row],[DUT Read]]+Table1[[#This Row],[DUT Ucty]])</f>
        <v>N/A</v>
      </c>
      <c r="Y95" s="1" t="str">
        <f>IF(Table1[[#This Row],[Std Read]]="","N/A",Table1[[#This Row],[Std Read]]+Table1[[#This Row],[Std Ucty]])</f>
        <v>N/A</v>
      </c>
      <c r="Z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 s="1" t="str">
        <f>IF(Table1[[#This Row],[Spec Type]]="","N/A",Table1[[#This Row],[Spec Type]])</f>
        <v>±</v>
      </c>
      <c r="AC95" s="1" t="str">
        <f>IF(Table1[[#This Row],[Spec Type2]]="N/A","N/A",IF(AND(Table1[[#This Row],[DUT Adj Read]]&gt;=Table1[[#This Row],[Low Tol]],Table1[[#This Row],[DUT Adj Read]]&lt;=Table1[[#This Row],[High Tol]]),"Pass","Fail"))</f>
        <v>Fail</v>
      </c>
      <c r="AD95" s="1" t="str">
        <f>IF(AND(Table1[[#This Row],[Spec Type2]]="N/A",Table1[[#This Row],[DUT Adj Read]]="N/A",Table1[[#This Row],[Std Adj Read]]="N/A"),"N/A",IF(Table1[[#This Row],[DUT Adj Read]]="N/A",IF(Table1[[#This Row],[Std Adj Read]]&gt;Table1[[#This Row],[Low Tol]],"Pass","Fail"),IF(Table1[[#This Row],[DUT Adj Read]]&gt;Table1[[#This Row],[Low Tol]],"Pass","Fail")))</f>
        <v>Pass</v>
      </c>
      <c r="AE95" s="1" t="str">
        <f>IF(AND(Table1[[#This Row],[Spec Type2]]="N/A",Table1[[#This Row],[DUT Adj Read]]="N/A",Table1[[#This Row],[Std Adj Read]]="N/A"),"N/A",IF(Table1[[#This Row],[DUT Adj Read]]="N/A",IF(Table1[[#This Row],[Std Adj Read]]&lt;Table1[[#This Row],[High Tol]],"Pass","Fail"),IF(Table1[[#This Row],[DUT Adj Read]]&lt;Table1[[#This Row],[High Tol]],"Pass","Fail")))</f>
        <v>Fail</v>
      </c>
      <c r="AF95" s="1" t="str">
        <f>IF(AND(Table1[[#This Row],[Spec Type2]]="N/A",Table1[[#This Row],[DUT Adj Read]]="N/A",Table1[[#This Row],[Std Adj Read]]="N/A"),"N/A",IF(Table1[[#This Row],[DUT Adj Read]]="N/A",IF(Table1[[#This Row],[Std Adj Read]]&gt;=Table1[[#This Row],[Low Tol]],"Pass","Fail"),IF(Table1[[#This Row],[DUT Adj Read]]&gt;=Table1[[#This Row],[Low Tol]],"Pass","Fail")))</f>
        <v>Pass</v>
      </c>
      <c r="AG95" s="1" t="str">
        <f>IF(AND(Table1[[#This Row],[Spec Type2]]="N/A",Table1[[#This Row],[DUT Adj Read]]="N/A",Table1[[#This Row],[Std Adj Read]]="N/A"),"N/A",IF(Table1[[#This Row],[DUT Adj Read]]="N/A",IF(Table1[[#This Row],[Std Adj Read]]&lt;=Table1[[#This Row],[High Tol]],"Pass","Fail"),IF(Table1[[#This Row],[DUT Adj Read]]&lt;=Table1[[#This Row],[High Tol]],"Pass","Fail")))</f>
        <v>Fail</v>
      </c>
      <c r="AH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 s="1" t="b">
        <v>0</v>
      </c>
      <c r="AN95" s="1" t="b">
        <v>0</v>
      </c>
      <c r="AO95" s="1" t="b">
        <v>0</v>
      </c>
    </row>
    <row r="96" spans="1:41" x14ac:dyDescent="0.25">
      <c r="A96" s="10"/>
      <c r="B96" s="10"/>
      <c r="C96" s="10"/>
      <c r="D96" s="10"/>
      <c r="E96" s="10"/>
      <c r="F96" s="10"/>
      <c r="G96" s="10"/>
      <c r="H96" s="10"/>
      <c r="I96" s="1" t="str">
        <f t="shared" si="3"/>
        <v/>
      </c>
      <c r="J96" s="1" t="s">
        <v>35</v>
      </c>
      <c r="K96" s="1" t="str">
        <f t="shared" si="4"/>
        <v/>
      </c>
      <c r="L96" s="1" t="str">
        <f t="shared" si="5"/>
        <v/>
      </c>
      <c r="M96" s="1">
        <f>IF(OR(Table1[[#This Row],[Std Nom]]="",Table1[[#This Row],[Std Read]]=""),0,Table1[[#This Row],[Std Nom]]-Table1[[#This Row],[Std Read]])</f>
        <v>0</v>
      </c>
      <c r="N96" s="1">
        <f>IF(Calculations!$F$5="ACCREDITED 17025 WITH UNCERTAINTIES",$N$10,0)</f>
        <v>0</v>
      </c>
      <c r="O96" s="1" t="str">
        <f>IFERROR(Table1[[#This Row],[Std Nom]]-(_xlfn.XLOOKUP(Table1[[#This Row],[Manufacturer]]&amp;" "&amp;Table1[[#This Row],[Model]],Table13[MFR &amp; MDL],Table13[Tolerance % CW ],"")/100*Table1[[#This Row],[Std Nom]]),"")</f>
        <v/>
      </c>
      <c r="P96" s="1" t="str">
        <f>IFERROR(Table1[[#This Row],[Std Nom]]+(_xlfn.XLOOKUP(Table1[[#This Row],[Manufacturer]]&amp;" "&amp;Table1[[#This Row],[Model]],Table13[MFR &amp; MDL],Table13[Tolerance % CW ],"")/100*Table1[[#This Row],[Std Nom]]),"")</f>
        <v/>
      </c>
      <c r="Q96" s="1" t="e">
        <f>Table1[[#This Row],[High Tol]]-Table1[[#This Row],[Low Tol]]</f>
        <v>#VALUE!</v>
      </c>
      <c r="R96" s="1">
        <f>2*Table1[[#This Row],[Std Error]]</f>
        <v>0</v>
      </c>
      <c r="S96" s="1" t="str">
        <f>IF(Table1[[#This Row],[High Tol]]="","N/A",IFERROR(ABS(Table1[[#This Row],[Tol Span]]/Table1[[#This Row],[Error Span]]),"N/A"))</f>
        <v>N/A</v>
      </c>
      <c r="T96" s="1" t="str">
        <f>IF(OR(Table1[[#This Row],[Low Tol]]="",Table1[[#This Row],[High Tol]]=""),"Needs Analysis",IF(Table1[[#This Row],[Ratio]]&gt;=4,"Not Significant",IF(Table1[[#This Row],[Ratio]]&gt;=2,"Semi-Significant","Significant")))</f>
        <v>Needs Analysis</v>
      </c>
      <c r="W96" s="1">
        <f>IF(Table1[[#This Row],[Cal Type]]&lt;&gt;"ACCREDITED 17025 WITH UNCERTAINTIES",0,"")</f>
        <v>0</v>
      </c>
      <c r="X96" s="1" t="str">
        <f>IF(Table1[[#This Row],[DUT Read]]="","N/A",Table1[[#This Row],[Std Error]]+Table1[[#This Row],[DUT Read]]+Table1[[#This Row],[DUT Ucty]])</f>
        <v>N/A</v>
      </c>
      <c r="Y96" s="1" t="str">
        <f>IF(Table1[[#This Row],[Std Read]]="","N/A",Table1[[#This Row],[Std Read]]+Table1[[#This Row],[Std Ucty]])</f>
        <v>N/A</v>
      </c>
      <c r="Z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 s="1" t="str">
        <f>IF(Table1[[#This Row],[Spec Type]]="","N/A",Table1[[#This Row],[Spec Type]])</f>
        <v>±</v>
      </c>
      <c r="AC96" s="1" t="str">
        <f>IF(Table1[[#This Row],[Spec Type2]]="N/A","N/A",IF(AND(Table1[[#This Row],[DUT Adj Read]]&gt;=Table1[[#This Row],[Low Tol]],Table1[[#This Row],[DUT Adj Read]]&lt;=Table1[[#This Row],[High Tol]]),"Pass","Fail"))</f>
        <v>Fail</v>
      </c>
      <c r="AD96" s="1" t="str">
        <f>IF(AND(Table1[[#This Row],[Spec Type2]]="N/A",Table1[[#This Row],[DUT Adj Read]]="N/A",Table1[[#This Row],[Std Adj Read]]="N/A"),"N/A",IF(Table1[[#This Row],[DUT Adj Read]]="N/A",IF(Table1[[#This Row],[Std Adj Read]]&gt;Table1[[#This Row],[Low Tol]],"Pass","Fail"),IF(Table1[[#This Row],[DUT Adj Read]]&gt;Table1[[#This Row],[Low Tol]],"Pass","Fail")))</f>
        <v>Pass</v>
      </c>
      <c r="AE96" s="1" t="str">
        <f>IF(AND(Table1[[#This Row],[Spec Type2]]="N/A",Table1[[#This Row],[DUT Adj Read]]="N/A",Table1[[#This Row],[Std Adj Read]]="N/A"),"N/A",IF(Table1[[#This Row],[DUT Adj Read]]="N/A",IF(Table1[[#This Row],[Std Adj Read]]&lt;Table1[[#This Row],[High Tol]],"Pass","Fail"),IF(Table1[[#This Row],[DUT Adj Read]]&lt;Table1[[#This Row],[High Tol]],"Pass","Fail")))</f>
        <v>Fail</v>
      </c>
      <c r="AF96" s="1" t="str">
        <f>IF(AND(Table1[[#This Row],[Spec Type2]]="N/A",Table1[[#This Row],[DUT Adj Read]]="N/A",Table1[[#This Row],[Std Adj Read]]="N/A"),"N/A",IF(Table1[[#This Row],[DUT Adj Read]]="N/A",IF(Table1[[#This Row],[Std Adj Read]]&gt;=Table1[[#This Row],[Low Tol]],"Pass","Fail"),IF(Table1[[#This Row],[DUT Adj Read]]&gt;=Table1[[#This Row],[Low Tol]],"Pass","Fail")))</f>
        <v>Pass</v>
      </c>
      <c r="AG96" s="1" t="str">
        <f>IF(AND(Table1[[#This Row],[Spec Type2]]="N/A",Table1[[#This Row],[DUT Adj Read]]="N/A",Table1[[#This Row],[Std Adj Read]]="N/A"),"N/A",IF(Table1[[#This Row],[DUT Adj Read]]="N/A",IF(Table1[[#This Row],[Std Adj Read]]&lt;=Table1[[#This Row],[High Tol]],"Pass","Fail"),IF(Table1[[#This Row],[DUT Adj Read]]&lt;=Table1[[#This Row],[High Tol]],"Pass","Fail")))</f>
        <v>Fail</v>
      </c>
      <c r="AH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 s="1" t="b">
        <v>0</v>
      </c>
      <c r="AN96" s="1" t="b">
        <v>0</v>
      </c>
      <c r="AO96" s="1" t="b">
        <v>0</v>
      </c>
    </row>
    <row r="97" spans="1:41" x14ac:dyDescent="0.25">
      <c r="A97" s="10"/>
      <c r="B97" s="10"/>
      <c r="C97" s="10"/>
      <c r="D97" s="10"/>
      <c r="E97" s="10"/>
      <c r="F97" s="10"/>
      <c r="G97" s="10"/>
      <c r="H97" s="10"/>
      <c r="I97" s="1" t="str">
        <f t="shared" si="3"/>
        <v/>
      </c>
      <c r="J97" s="1" t="s">
        <v>35</v>
      </c>
      <c r="K97" s="1" t="str">
        <f t="shared" si="4"/>
        <v/>
      </c>
      <c r="L97" s="1" t="str">
        <f t="shared" si="5"/>
        <v/>
      </c>
      <c r="M97" s="1">
        <f>IF(OR(Table1[[#This Row],[Std Nom]]="",Table1[[#This Row],[Std Read]]=""),0,Table1[[#This Row],[Std Nom]]-Table1[[#This Row],[Std Read]])</f>
        <v>0</v>
      </c>
      <c r="N97" s="1">
        <f>IF(Calculations!$F$5="ACCREDITED 17025 WITH UNCERTAINTIES",$N$10,0)</f>
        <v>0</v>
      </c>
      <c r="O97" s="1" t="str">
        <f>IFERROR(Table1[[#This Row],[Std Nom]]-(_xlfn.XLOOKUP(Table1[[#This Row],[Manufacturer]]&amp;" "&amp;Table1[[#This Row],[Model]],Table13[MFR &amp; MDL],Table13[Tolerance % CW ],"")/100*Table1[[#This Row],[Std Nom]]),"")</f>
        <v/>
      </c>
      <c r="P97" s="1" t="str">
        <f>IFERROR(Table1[[#This Row],[Std Nom]]+(_xlfn.XLOOKUP(Table1[[#This Row],[Manufacturer]]&amp;" "&amp;Table1[[#This Row],[Model]],Table13[MFR &amp; MDL],Table13[Tolerance % CW ],"")/100*Table1[[#This Row],[Std Nom]]),"")</f>
        <v/>
      </c>
      <c r="Q97" s="1" t="e">
        <f>Table1[[#This Row],[High Tol]]-Table1[[#This Row],[Low Tol]]</f>
        <v>#VALUE!</v>
      </c>
      <c r="R97" s="1">
        <f>2*Table1[[#This Row],[Std Error]]</f>
        <v>0</v>
      </c>
      <c r="S97" s="1" t="str">
        <f>IF(Table1[[#This Row],[High Tol]]="","N/A",IFERROR(ABS(Table1[[#This Row],[Tol Span]]/Table1[[#This Row],[Error Span]]),"N/A"))</f>
        <v>N/A</v>
      </c>
      <c r="T97" s="1" t="str">
        <f>IF(OR(Table1[[#This Row],[Low Tol]]="",Table1[[#This Row],[High Tol]]=""),"Needs Analysis",IF(Table1[[#This Row],[Ratio]]&gt;=4,"Not Significant",IF(Table1[[#This Row],[Ratio]]&gt;=2,"Semi-Significant","Significant")))</f>
        <v>Needs Analysis</v>
      </c>
      <c r="W97" s="1">
        <f>IF(Table1[[#This Row],[Cal Type]]&lt;&gt;"ACCREDITED 17025 WITH UNCERTAINTIES",0,"")</f>
        <v>0</v>
      </c>
      <c r="X97" s="1" t="str">
        <f>IF(Table1[[#This Row],[DUT Read]]="","N/A",Table1[[#This Row],[Std Error]]+Table1[[#This Row],[DUT Read]]+Table1[[#This Row],[DUT Ucty]])</f>
        <v>N/A</v>
      </c>
      <c r="Y97" s="1" t="str">
        <f>IF(Table1[[#This Row],[Std Read]]="","N/A",Table1[[#This Row],[Std Read]]+Table1[[#This Row],[Std Ucty]])</f>
        <v>N/A</v>
      </c>
      <c r="Z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 s="1" t="str">
        <f>IF(Table1[[#This Row],[Spec Type]]="","N/A",Table1[[#This Row],[Spec Type]])</f>
        <v>±</v>
      </c>
      <c r="AC97" s="1" t="str">
        <f>IF(Table1[[#This Row],[Spec Type2]]="N/A","N/A",IF(AND(Table1[[#This Row],[DUT Adj Read]]&gt;=Table1[[#This Row],[Low Tol]],Table1[[#This Row],[DUT Adj Read]]&lt;=Table1[[#This Row],[High Tol]]),"Pass","Fail"))</f>
        <v>Fail</v>
      </c>
      <c r="AD97" s="1" t="str">
        <f>IF(AND(Table1[[#This Row],[Spec Type2]]="N/A",Table1[[#This Row],[DUT Adj Read]]="N/A",Table1[[#This Row],[Std Adj Read]]="N/A"),"N/A",IF(Table1[[#This Row],[DUT Adj Read]]="N/A",IF(Table1[[#This Row],[Std Adj Read]]&gt;Table1[[#This Row],[Low Tol]],"Pass","Fail"),IF(Table1[[#This Row],[DUT Adj Read]]&gt;Table1[[#This Row],[Low Tol]],"Pass","Fail")))</f>
        <v>Pass</v>
      </c>
      <c r="AE97" s="1" t="str">
        <f>IF(AND(Table1[[#This Row],[Spec Type2]]="N/A",Table1[[#This Row],[DUT Adj Read]]="N/A",Table1[[#This Row],[Std Adj Read]]="N/A"),"N/A",IF(Table1[[#This Row],[DUT Adj Read]]="N/A",IF(Table1[[#This Row],[Std Adj Read]]&lt;Table1[[#This Row],[High Tol]],"Pass","Fail"),IF(Table1[[#This Row],[DUT Adj Read]]&lt;Table1[[#This Row],[High Tol]],"Pass","Fail")))</f>
        <v>Fail</v>
      </c>
      <c r="AF97" s="1" t="str">
        <f>IF(AND(Table1[[#This Row],[Spec Type2]]="N/A",Table1[[#This Row],[DUT Adj Read]]="N/A",Table1[[#This Row],[Std Adj Read]]="N/A"),"N/A",IF(Table1[[#This Row],[DUT Adj Read]]="N/A",IF(Table1[[#This Row],[Std Adj Read]]&gt;=Table1[[#This Row],[Low Tol]],"Pass","Fail"),IF(Table1[[#This Row],[DUT Adj Read]]&gt;=Table1[[#This Row],[Low Tol]],"Pass","Fail")))</f>
        <v>Pass</v>
      </c>
      <c r="AG97" s="1" t="str">
        <f>IF(AND(Table1[[#This Row],[Spec Type2]]="N/A",Table1[[#This Row],[DUT Adj Read]]="N/A",Table1[[#This Row],[Std Adj Read]]="N/A"),"N/A",IF(Table1[[#This Row],[DUT Adj Read]]="N/A",IF(Table1[[#This Row],[Std Adj Read]]&lt;=Table1[[#This Row],[High Tol]],"Pass","Fail"),IF(Table1[[#This Row],[DUT Adj Read]]&lt;=Table1[[#This Row],[High Tol]],"Pass","Fail")))</f>
        <v>Fail</v>
      </c>
      <c r="AH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 s="1" t="b">
        <v>0</v>
      </c>
      <c r="AN97" s="1" t="b">
        <v>0</v>
      </c>
      <c r="AO97" s="1" t="b">
        <v>0</v>
      </c>
    </row>
    <row r="98" spans="1:41" x14ac:dyDescent="0.25">
      <c r="A98" s="10"/>
      <c r="B98" s="10"/>
      <c r="C98" s="10"/>
      <c r="D98" s="10"/>
      <c r="E98" s="10"/>
      <c r="F98" s="10"/>
      <c r="G98" s="10"/>
      <c r="H98" s="10"/>
      <c r="I98" s="1" t="str">
        <f t="shared" si="3"/>
        <v/>
      </c>
      <c r="J98" s="1" t="s">
        <v>35</v>
      </c>
      <c r="K98" s="1" t="str">
        <f t="shared" si="4"/>
        <v/>
      </c>
      <c r="L98" s="1" t="str">
        <f t="shared" si="5"/>
        <v/>
      </c>
      <c r="M98" s="1">
        <f>IF(OR(Table1[[#This Row],[Std Nom]]="",Table1[[#This Row],[Std Read]]=""),0,Table1[[#This Row],[Std Nom]]-Table1[[#This Row],[Std Read]])</f>
        <v>0</v>
      </c>
      <c r="N98" s="1">
        <f>IF(Calculations!$F$5="ACCREDITED 17025 WITH UNCERTAINTIES",$N$10,0)</f>
        <v>0</v>
      </c>
      <c r="O98" s="1" t="str">
        <f>IFERROR(Table1[[#This Row],[Std Nom]]-(_xlfn.XLOOKUP(Table1[[#This Row],[Manufacturer]]&amp;" "&amp;Table1[[#This Row],[Model]],Table13[MFR &amp; MDL],Table13[Tolerance % CW ],"")/100*Table1[[#This Row],[Std Nom]]),"")</f>
        <v/>
      </c>
      <c r="P98" s="1" t="str">
        <f>IFERROR(Table1[[#This Row],[Std Nom]]+(_xlfn.XLOOKUP(Table1[[#This Row],[Manufacturer]]&amp;" "&amp;Table1[[#This Row],[Model]],Table13[MFR &amp; MDL],Table13[Tolerance % CW ],"")/100*Table1[[#This Row],[Std Nom]]),"")</f>
        <v/>
      </c>
      <c r="Q98" s="1" t="e">
        <f>Table1[[#This Row],[High Tol]]-Table1[[#This Row],[Low Tol]]</f>
        <v>#VALUE!</v>
      </c>
      <c r="R98" s="1">
        <f>2*Table1[[#This Row],[Std Error]]</f>
        <v>0</v>
      </c>
      <c r="S98" s="1" t="str">
        <f>IF(Table1[[#This Row],[High Tol]]="","N/A",IFERROR(ABS(Table1[[#This Row],[Tol Span]]/Table1[[#This Row],[Error Span]]),"N/A"))</f>
        <v>N/A</v>
      </c>
      <c r="T98" s="1" t="str">
        <f>IF(OR(Table1[[#This Row],[Low Tol]]="",Table1[[#This Row],[High Tol]]=""),"Needs Analysis",IF(Table1[[#This Row],[Ratio]]&gt;=4,"Not Significant",IF(Table1[[#This Row],[Ratio]]&gt;=2,"Semi-Significant","Significant")))</f>
        <v>Needs Analysis</v>
      </c>
      <c r="W98" s="1">
        <f>IF(Table1[[#This Row],[Cal Type]]&lt;&gt;"ACCREDITED 17025 WITH UNCERTAINTIES",0,"")</f>
        <v>0</v>
      </c>
      <c r="X98" s="1" t="str">
        <f>IF(Table1[[#This Row],[DUT Read]]="","N/A",Table1[[#This Row],[Std Error]]+Table1[[#This Row],[DUT Read]]+Table1[[#This Row],[DUT Ucty]])</f>
        <v>N/A</v>
      </c>
      <c r="Y98" s="1" t="str">
        <f>IF(Table1[[#This Row],[Std Read]]="","N/A",Table1[[#This Row],[Std Read]]+Table1[[#This Row],[Std Ucty]])</f>
        <v>N/A</v>
      </c>
      <c r="Z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 s="1" t="str">
        <f>IF(Table1[[#This Row],[Spec Type]]="","N/A",Table1[[#This Row],[Spec Type]])</f>
        <v>±</v>
      </c>
      <c r="AC98" s="1" t="str">
        <f>IF(Table1[[#This Row],[Spec Type2]]="N/A","N/A",IF(AND(Table1[[#This Row],[DUT Adj Read]]&gt;=Table1[[#This Row],[Low Tol]],Table1[[#This Row],[DUT Adj Read]]&lt;=Table1[[#This Row],[High Tol]]),"Pass","Fail"))</f>
        <v>Fail</v>
      </c>
      <c r="AD98" s="1" t="str">
        <f>IF(AND(Table1[[#This Row],[Spec Type2]]="N/A",Table1[[#This Row],[DUT Adj Read]]="N/A",Table1[[#This Row],[Std Adj Read]]="N/A"),"N/A",IF(Table1[[#This Row],[DUT Adj Read]]="N/A",IF(Table1[[#This Row],[Std Adj Read]]&gt;Table1[[#This Row],[Low Tol]],"Pass","Fail"),IF(Table1[[#This Row],[DUT Adj Read]]&gt;Table1[[#This Row],[Low Tol]],"Pass","Fail")))</f>
        <v>Pass</v>
      </c>
      <c r="AE98" s="1" t="str">
        <f>IF(AND(Table1[[#This Row],[Spec Type2]]="N/A",Table1[[#This Row],[DUT Adj Read]]="N/A",Table1[[#This Row],[Std Adj Read]]="N/A"),"N/A",IF(Table1[[#This Row],[DUT Adj Read]]="N/A",IF(Table1[[#This Row],[Std Adj Read]]&lt;Table1[[#This Row],[High Tol]],"Pass","Fail"),IF(Table1[[#This Row],[DUT Adj Read]]&lt;Table1[[#This Row],[High Tol]],"Pass","Fail")))</f>
        <v>Fail</v>
      </c>
      <c r="AF98" s="1" t="str">
        <f>IF(AND(Table1[[#This Row],[Spec Type2]]="N/A",Table1[[#This Row],[DUT Adj Read]]="N/A",Table1[[#This Row],[Std Adj Read]]="N/A"),"N/A",IF(Table1[[#This Row],[DUT Adj Read]]="N/A",IF(Table1[[#This Row],[Std Adj Read]]&gt;=Table1[[#This Row],[Low Tol]],"Pass","Fail"),IF(Table1[[#This Row],[DUT Adj Read]]&gt;=Table1[[#This Row],[Low Tol]],"Pass","Fail")))</f>
        <v>Pass</v>
      </c>
      <c r="AG98" s="1" t="str">
        <f>IF(AND(Table1[[#This Row],[Spec Type2]]="N/A",Table1[[#This Row],[DUT Adj Read]]="N/A",Table1[[#This Row],[Std Adj Read]]="N/A"),"N/A",IF(Table1[[#This Row],[DUT Adj Read]]="N/A",IF(Table1[[#This Row],[Std Adj Read]]&lt;=Table1[[#This Row],[High Tol]],"Pass","Fail"),IF(Table1[[#This Row],[DUT Adj Read]]&lt;=Table1[[#This Row],[High Tol]],"Pass","Fail")))</f>
        <v>Fail</v>
      </c>
      <c r="AH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 s="1" t="b">
        <v>0</v>
      </c>
      <c r="AN98" s="1" t="b">
        <v>0</v>
      </c>
      <c r="AO98" s="1" t="b">
        <v>0</v>
      </c>
    </row>
    <row r="99" spans="1:41" x14ac:dyDescent="0.25">
      <c r="A99" s="10"/>
      <c r="B99" s="10"/>
      <c r="C99" s="10"/>
      <c r="D99" s="10"/>
      <c r="E99" s="10"/>
      <c r="F99" s="10"/>
      <c r="G99" s="10"/>
      <c r="H99" s="10"/>
      <c r="I99" s="1" t="str">
        <f t="shared" si="3"/>
        <v/>
      </c>
      <c r="J99" s="1" t="s">
        <v>35</v>
      </c>
      <c r="K99" s="1" t="str">
        <f t="shared" si="4"/>
        <v/>
      </c>
      <c r="L99" s="1" t="str">
        <f t="shared" si="5"/>
        <v/>
      </c>
      <c r="M99" s="1">
        <f>IF(OR(Table1[[#This Row],[Std Nom]]="",Table1[[#This Row],[Std Read]]=""),0,Table1[[#This Row],[Std Nom]]-Table1[[#This Row],[Std Read]])</f>
        <v>0</v>
      </c>
      <c r="N99" s="1">
        <f>IF(Calculations!$F$5="ACCREDITED 17025 WITH UNCERTAINTIES",$N$10,0)</f>
        <v>0</v>
      </c>
      <c r="O99" s="1" t="str">
        <f>IFERROR(Table1[[#This Row],[Std Nom]]-(_xlfn.XLOOKUP(Table1[[#This Row],[Manufacturer]]&amp;" "&amp;Table1[[#This Row],[Model]],Table13[MFR &amp; MDL],Table13[Tolerance % CW ],"")/100*Table1[[#This Row],[Std Nom]]),"")</f>
        <v/>
      </c>
      <c r="P99" s="1" t="str">
        <f>IFERROR(Table1[[#This Row],[Std Nom]]+(_xlfn.XLOOKUP(Table1[[#This Row],[Manufacturer]]&amp;" "&amp;Table1[[#This Row],[Model]],Table13[MFR &amp; MDL],Table13[Tolerance % CW ],"")/100*Table1[[#This Row],[Std Nom]]),"")</f>
        <v/>
      </c>
      <c r="Q99" s="1" t="e">
        <f>Table1[[#This Row],[High Tol]]-Table1[[#This Row],[Low Tol]]</f>
        <v>#VALUE!</v>
      </c>
      <c r="R99" s="1">
        <f>2*Table1[[#This Row],[Std Error]]</f>
        <v>0</v>
      </c>
      <c r="S99" s="1" t="str">
        <f>IF(Table1[[#This Row],[High Tol]]="","N/A",IFERROR(ABS(Table1[[#This Row],[Tol Span]]/Table1[[#This Row],[Error Span]]),"N/A"))</f>
        <v>N/A</v>
      </c>
      <c r="T99" s="1" t="str">
        <f>IF(OR(Table1[[#This Row],[Low Tol]]="",Table1[[#This Row],[High Tol]]=""),"Needs Analysis",IF(Table1[[#This Row],[Ratio]]&gt;=4,"Not Significant",IF(Table1[[#This Row],[Ratio]]&gt;=2,"Semi-Significant","Significant")))</f>
        <v>Needs Analysis</v>
      </c>
      <c r="W99" s="1">
        <f>IF(Table1[[#This Row],[Cal Type]]&lt;&gt;"ACCREDITED 17025 WITH UNCERTAINTIES",0,"")</f>
        <v>0</v>
      </c>
      <c r="X99" s="1" t="str">
        <f>IF(Table1[[#This Row],[DUT Read]]="","N/A",Table1[[#This Row],[Std Error]]+Table1[[#This Row],[DUT Read]]+Table1[[#This Row],[DUT Ucty]])</f>
        <v>N/A</v>
      </c>
      <c r="Y99" s="1" t="str">
        <f>IF(Table1[[#This Row],[Std Read]]="","N/A",Table1[[#This Row],[Std Read]]+Table1[[#This Row],[Std Ucty]])</f>
        <v>N/A</v>
      </c>
      <c r="Z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 s="1" t="str">
        <f>IF(Table1[[#This Row],[Spec Type]]="","N/A",Table1[[#This Row],[Spec Type]])</f>
        <v>±</v>
      </c>
      <c r="AC99" s="1" t="str">
        <f>IF(Table1[[#This Row],[Spec Type2]]="N/A","N/A",IF(AND(Table1[[#This Row],[DUT Adj Read]]&gt;=Table1[[#This Row],[Low Tol]],Table1[[#This Row],[DUT Adj Read]]&lt;=Table1[[#This Row],[High Tol]]),"Pass","Fail"))</f>
        <v>Fail</v>
      </c>
      <c r="AD99" s="1" t="str">
        <f>IF(AND(Table1[[#This Row],[Spec Type2]]="N/A",Table1[[#This Row],[DUT Adj Read]]="N/A",Table1[[#This Row],[Std Adj Read]]="N/A"),"N/A",IF(Table1[[#This Row],[DUT Adj Read]]="N/A",IF(Table1[[#This Row],[Std Adj Read]]&gt;Table1[[#This Row],[Low Tol]],"Pass","Fail"),IF(Table1[[#This Row],[DUT Adj Read]]&gt;Table1[[#This Row],[Low Tol]],"Pass","Fail")))</f>
        <v>Pass</v>
      </c>
      <c r="AE99" s="1" t="str">
        <f>IF(AND(Table1[[#This Row],[Spec Type2]]="N/A",Table1[[#This Row],[DUT Adj Read]]="N/A",Table1[[#This Row],[Std Adj Read]]="N/A"),"N/A",IF(Table1[[#This Row],[DUT Adj Read]]="N/A",IF(Table1[[#This Row],[Std Adj Read]]&lt;Table1[[#This Row],[High Tol]],"Pass","Fail"),IF(Table1[[#This Row],[DUT Adj Read]]&lt;Table1[[#This Row],[High Tol]],"Pass","Fail")))</f>
        <v>Fail</v>
      </c>
      <c r="AF99" s="1" t="str">
        <f>IF(AND(Table1[[#This Row],[Spec Type2]]="N/A",Table1[[#This Row],[DUT Adj Read]]="N/A",Table1[[#This Row],[Std Adj Read]]="N/A"),"N/A",IF(Table1[[#This Row],[DUT Adj Read]]="N/A",IF(Table1[[#This Row],[Std Adj Read]]&gt;=Table1[[#This Row],[Low Tol]],"Pass","Fail"),IF(Table1[[#This Row],[DUT Adj Read]]&gt;=Table1[[#This Row],[Low Tol]],"Pass","Fail")))</f>
        <v>Pass</v>
      </c>
      <c r="AG99" s="1" t="str">
        <f>IF(AND(Table1[[#This Row],[Spec Type2]]="N/A",Table1[[#This Row],[DUT Adj Read]]="N/A",Table1[[#This Row],[Std Adj Read]]="N/A"),"N/A",IF(Table1[[#This Row],[DUT Adj Read]]="N/A",IF(Table1[[#This Row],[Std Adj Read]]&lt;=Table1[[#This Row],[High Tol]],"Pass","Fail"),IF(Table1[[#This Row],[DUT Adj Read]]&lt;=Table1[[#This Row],[High Tol]],"Pass","Fail")))</f>
        <v>Fail</v>
      </c>
      <c r="AH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 s="1" t="b">
        <v>0</v>
      </c>
      <c r="AN99" s="1" t="b">
        <v>0</v>
      </c>
      <c r="AO99" s="1" t="b">
        <v>0</v>
      </c>
    </row>
    <row r="100" spans="1:41" x14ac:dyDescent="0.25">
      <c r="A100" s="10"/>
      <c r="B100" s="10"/>
      <c r="C100" s="10"/>
      <c r="D100" s="10"/>
      <c r="E100" s="10"/>
      <c r="F100" s="10"/>
      <c r="G100" s="10"/>
      <c r="H100" s="10"/>
      <c r="I100" s="1" t="str">
        <f t="shared" si="3"/>
        <v/>
      </c>
      <c r="J100" s="1" t="s">
        <v>35</v>
      </c>
      <c r="K100" s="1" t="str">
        <f t="shared" si="4"/>
        <v/>
      </c>
      <c r="L100" s="1" t="str">
        <f t="shared" si="5"/>
        <v/>
      </c>
      <c r="M100" s="1">
        <f>IF(OR(Table1[[#This Row],[Std Nom]]="",Table1[[#This Row],[Std Read]]=""),0,Table1[[#This Row],[Std Nom]]-Table1[[#This Row],[Std Read]])</f>
        <v>0</v>
      </c>
      <c r="N100" s="1">
        <f>IF(Calculations!$F$5="ACCREDITED 17025 WITH UNCERTAINTIES",$N$10,0)</f>
        <v>0</v>
      </c>
      <c r="O100" s="1" t="str">
        <f>IFERROR(Table1[[#This Row],[Std Nom]]-(_xlfn.XLOOKUP(Table1[[#This Row],[Manufacturer]]&amp;" "&amp;Table1[[#This Row],[Model]],Table13[MFR &amp; MDL],Table13[Tolerance % CW ],"")/100*Table1[[#This Row],[Std Nom]]),"")</f>
        <v/>
      </c>
      <c r="P100" s="1" t="str">
        <f>IFERROR(Table1[[#This Row],[Std Nom]]+(_xlfn.XLOOKUP(Table1[[#This Row],[Manufacturer]]&amp;" "&amp;Table1[[#This Row],[Model]],Table13[MFR &amp; MDL],Table13[Tolerance % CW ],"")/100*Table1[[#This Row],[Std Nom]]),"")</f>
        <v/>
      </c>
      <c r="Q100" s="1" t="e">
        <f>Table1[[#This Row],[High Tol]]-Table1[[#This Row],[Low Tol]]</f>
        <v>#VALUE!</v>
      </c>
      <c r="R100" s="1">
        <f>2*Table1[[#This Row],[Std Error]]</f>
        <v>0</v>
      </c>
      <c r="S100" s="1" t="str">
        <f>IF(Table1[[#This Row],[High Tol]]="","N/A",IFERROR(ABS(Table1[[#This Row],[Tol Span]]/Table1[[#This Row],[Error Span]]),"N/A"))</f>
        <v>N/A</v>
      </c>
      <c r="T100" s="1" t="str">
        <f>IF(OR(Table1[[#This Row],[Low Tol]]="",Table1[[#This Row],[High Tol]]=""),"Needs Analysis",IF(Table1[[#This Row],[Ratio]]&gt;=4,"Not Significant",IF(Table1[[#This Row],[Ratio]]&gt;=2,"Semi-Significant","Significant")))</f>
        <v>Needs Analysis</v>
      </c>
      <c r="W100" s="1">
        <f>IF(Table1[[#This Row],[Cal Type]]&lt;&gt;"ACCREDITED 17025 WITH UNCERTAINTIES",0,"")</f>
        <v>0</v>
      </c>
      <c r="X100" s="1" t="str">
        <f>IF(Table1[[#This Row],[DUT Read]]="","N/A",Table1[[#This Row],[Std Error]]+Table1[[#This Row],[DUT Read]]+Table1[[#This Row],[DUT Ucty]])</f>
        <v>N/A</v>
      </c>
      <c r="Y100" s="1" t="str">
        <f>IF(Table1[[#This Row],[Std Read]]="","N/A",Table1[[#This Row],[Std Read]]+Table1[[#This Row],[Std Ucty]])</f>
        <v>N/A</v>
      </c>
      <c r="Z1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 s="1" t="str">
        <f>IF(Table1[[#This Row],[Spec Type]]="","N/A",Table1[[#This Row],[Spec Type]])</f>
        <v>±</v>
      </c>
      <c r="AC100" s="1" t="str">
        <f>IF(Table1[[#This Row],[Spec Type2]]="N/A","N/A",IF(AND(Table1[[#This Row],[DUT Adj Read]]&gt;=Table1[[#This Row],[Low Tol]],Table1[[#This Row],[DUT Adj Read]]&lt;=Table1[[#This Row],[High Tol]]),"Pass","Fail"))</f>
        <v>Fail</v>
      </c>
      <c r="AD100" s="1" t="str">
        <f>IF(AND(Table1[[#This Row],[Spec Type2]]="N/A",Table1[[#This Row],[DUT Adj Read]]="N/A",Table1[[#This Row],[Std Adj Read]]="N/A"),"N/A",IF(Table1[[#This Row],[DUT Adj Read]]="N/A",IF(Table1[[#This Row],[Std Adj Read]]&gt;Table1[[#This Row],[Low Tol]],"Pass","Fail"),IF(Table1[[#This Row],[DUT Adj Read]]&gt;Table1[[#This Row],[Low Tol]],"Pass","Fail")))</f>
        <v>Pass</v>
      </c>
      <c r="AE100" s="1" t="str">
        <f>IF(AND(Table1[[#This Row],[Spec Type2]]="N/A",Table1[[#This Row],[DUT Adj Read]]="N/A",Table1[[#This Row],[Std Adj Read]]="N/A"),"N/A",IF(Table1[[#This Row],[DUT Adj Read]]="N/A",IF(Table1[[#This Row],[Std Adj Read]]&lt;Table1[[#This Row],[High Tol]],"Pass","Fail"),IF(Table1[[#This Row],[DUT Adj Read]]&lt;Table1[[#This Row],[High Tol]],"Pass","Fail")))</f>
        <v>Fail</v>
      </c>
      <c r="AF100" s="1" t="str">
        <f>IF(AND(Table1[[#This Row],[Spec Type2]]="N/A",Table1[[#This Row],[DUT Adj Read]]="N/A",Table1[[#This Row],[Std Adj Read]]="N/A"),"N/A",IF(Table1[[#This Row],[DUT Adj Read]]="N/A",IF(Table1[[#This Row],[Std Adj Read]]&gt;=Table1[[#This Row],[Low Tol]],"Pass","Fail"),IF(Table1[[#This Row],[DUT Adj Read]]&gt;=Table1[[#This Row],[Low Tol]],"Pass","Fail")))</f>
        <v>Pass</v>
      </c>
      <c r="AG100" s="1" t="str">
        <f>IF(AND(Table1[[#This Row],[Spec Type2]]="N/A",Table1[[#This Row],[DUT Adj Read]]="N/A",Table1[[#This Row],[Std Adj Read]]="N/A"),"N/A",IF(Table1[[#This Row],[DUT Adj Read]]="N/A",IF(Table1[[#This Row],[Std Adj Read]]&lt;=Table1[[#This Row],[High Tol]],"Pass","Fail"),IF(Table1[[#This Row],[DUT Adj Read]]&lt;=Table1[[#This Row],[High Tol]],"Pass","Fail")))</f>
        <v>Fail</v>
      </c>
      <c r="AH1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 s="1" t="b">
        <v>0</v>
      </c>
      <c r="AN100" s="1" t="b">
        <v>0</v>
      </c>
      <c r="AO100" s="1" t="b">
        <v>0</v>
      </c>
    </row>
    <row r="101" spans="1:41" x14ac:dyDescent="0.25">
      <c r="A101" s="10"/>
      <c r="B101" s="10"/>
      <c r="C101" s="10"/>
      <c r="D101" s="10"/>
      <c r="E101" s="10"/>
      <c r="F101" s="10"/>
      <c r="G101" s="10"/>
      <c r="H101" s="10"/>
      <c r="I101" s="1" t="str">
        <f t="shared" si="3"/>
        <v/>
      </c>
      <c r="J101" s="1" t="s">
        <v>35</v>
      </c>
      <c r="K101" s="1" t="str">
        <f t="shared" si="4"/>
        <v/>
      </c>
      <c r="L101" s="1" t="str">
        <f t="shared" si="5"/>
        <v/>
      </c>
      <c r="M101" s="1">
        <f>IF(OR(Table1[[#This Row],[Std Nom]]="",Table1[[#This Row],[Std Read]]=""),0,Table1[[#This Row],[Std Nom]]-Table1[[#This Row],[Std Read]])</f>
        <v>0</v>
      </c>
      <c r="N101" s="1">
        <f>IF(Calculations!$F$5="ACCREDITED 17025 WITH UNCERTAINTIES",$N$10,0)</f>
        <v>0</v>
      </c>
      <c r="O101" s="1" t="str">
        <f>IFERROR(Table1[[#This Row],[Std Nom]]-(_xlfn.XLOOKUP(Table1[[#This Row],[Manufacturer]]&amp;" "&amp;Table1[[#This Row],[Model]],Table13[MFR &amp; MDL],Table13[Tolerance % CW ],"")/100*Table1[[#This Row],[Std Nom]]),"")</f>
        <v/>
      </c>
      <c r="P101" s="1" t="str">
        <f>IFERROR(Table1[[#This Row],[Std Nom]]+(_xlfn.XLOOKUP(Table1[[#This Row],[Manufacturer]]&amp;" "&amp;Table1[[#This Row],[Model]],Table13[MFR &amp; MDL],Table13[Tolerance % CW ],"")/100*Table1[[#This Row],[Std Nom]]),"")</f>
        <v/>
      </c>
      <c r="Q101" s="1" t="e">
        <f>Table1[[#This Row],[High Tol]]-Table1[[#This Row],[Low Tol]]</f>
        <v>#VALUE!</v>
      </c>
      <c r="R101" s="1">
        <f>2*Table1[[#This Row],[Std Error]]</f>
        <v>0</v>
      </c>
      <c r="S101" s="1" t="str">
        <f>IF(Table1[[#This Row],[High Tol]]="","N/A",IFERROR(ABS(Table1[[#This Row],[Tol Span]]/Table1[[#This Row],[Error Span]]),"N/A"))</f>
        <v>N/A</v>
      </c>
      <c r="T101" s="1" t="str">
        <f>IF(OR(Table1[[#This Row],[Low Tol]]="",Table1[[#This Row],[High Tol]]=""),"Needs Analysis",IF(Table1[[#This Row],[Ratio]]&gt;=4,"Not Significant",IF(Table1[[#This Row],[Ratio]]&gt;=2,"Semi-Significant","Significant")))</f>
        <v>Needs Analysis</v>
      </c>
      <c r="W101" s="1">
        <f>IF(Table1[[#This Row],[Cal Type]]&lt;&gt;"ACCREDITED 17025 WITH UNCERTAINTIES",0,"")</f>
        <v>0</v>
      </c>
      <c r="X101" s="1" t="str">
        <f>IF(Table1[[#This Row],[DUT Read]]="","N/A",Table1[[#This Row],[Std Error]]+Table1[[#This Row],[DUT Read]]+Table1[[#This Row],[DUT Ucty]])</f>
        <v>N/A</v>
      </c>
      <c r="Y101" s="1" t="str">
        <f>IF(Table1[[#This Row],[Std Read]]="","N/A",Table1[[#This Row],[Std Read]]+Table1[[#This Row],[Std Ucty]])</f>
        <v>N/A</v>
      </c>
      <c r="Z1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 s="1" t="str">
        <f>IF(Table1[[#This Row],[Spec Type]]="","N/A",Table1[[#This Row],[Spec Type]])</f>
        <v>±</v>
      </c>
      <c r="AC101" s="1" t="str">
        <f>IF(Table1[[#This Row],[Spec Type2]]="N/A","N/A",IF(AND(Table1[[#This Row],[DUT Adj Read]]&gt;=Table1[[#This Row],[Low Tol]],Table1[[#This Row],[DUT Adj Read]]&lt;=Table1[[#This Row],[High Tol]]),"Pass","Fail"))</f>
        <v>Fail</v>
      </c>
      <c r="AD101" s="1" t="str">
        <f>IF(AND(Table1[[#This Row],[Spec Type2]]="N/A",Table1[[#This Row],[DUT Adj Read]]="N/A",Table1[[#This Row],[Std Adj Read]]="N/A"),"N/A",IF(Table1[[#This Row],[DUT Adj Read]]="N/A",IF(Table1[[#This Row],[Std Adj Read]]&gt;Table1[[#This Row],[Low Tol]],"Pass","Fail"),IF(Table1[[#This Row],[DUT Adj Read]]&gt;Table1[[#This Row],[Low Tol]],"Pass","Fail")))</f>
        <v>Pass</v>
      </c>
      <c r="AE101" s="1" t="str">
        <f>IF(AND(Table1[[#This Row],[Spec Type2]]="N/A",Table1[[#This Row],[DUT Adj Read]]="N/A",Table1[[#This Row],[Std Adj Read]]="N/A"),"N/A",IF(Table1[[#This Row],[DUT Adj Read]]="N/A",IF(Table1[[#This Row],[Std Adj Read]]&lt;Table1[[#This Row],[High Tol]],"Pass","Fail"),IF(Table1[[#This Row],[DUT Adj Read]]&lt;Table1[[#This Row],[High Tol]],"Pass","Fail")))</f>
        <v>Fail</v>
      </c>
      <c r="AF101" s="1" t="str">
        <f>IF(AND(Table1[[#This Row],[Spec Type2]]="N/A",Table1[[#This Row],[DUT Adj Read]]="N/A",Table1[[#This Row],[Std Adj Read]]="N/A"),"N/A",IF(Table1[[#This Row],[DUT Adj Read]]="N/A",IF(Table1[[#This Row],[Std Adj Read]]&gt;=Table1[[#This Row],[Low Tol]],"Pass","Fail"),IF(Table1[[#This Row],[DUT Adj Read]]&gt;=Table1[[#This Row],[Low Tol]],"Pass","Fail")))</f>
        <v>Pass</v>
      </c>
      <c r="AG101" s="1" t="str">
        <f>IF(AND(Table1[[#This Row],[Spec Type2]]="N/A",Table1[[#This Row],[DUT Adj Read]]="N/A",Table1[[#This Row],[Std Adj Read]]="N/A"),"N/A",IF(Table1[[#This Row],[DUT Adj Read]]="N/A",IF(Table1[[#This Row],[Std Adj Read]]&lt;=Table1[[#This Row],[High Tol]],"Pass","Fail"),IF(Table1[[#This Row],[DUT Adj Read]]&lt;=Table1[[#This Row],[High Tol]],"Pass","Fail")))</f>
        <v>Fail</v>
      </c>
      <c r="AH1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 s="1" t="b">
        <v>0</v>
      </c>
      <c r="AN101" s="1" t="b">
        <v>0</v>
      </c>
      <c r="AO101" s="1" t="b">
        <v>0</v>
      </c>
    </row>
    <row r="102" spans="1:41" x14ac:dyDescent="0.25">
      <c r="A102" s="10"/>
      <c r="B102" s="10"/>
      <c r="C102" s="10"/>
      <c r="D102" s="10"/>
      <c r="E102" s="10"/>
      <c r="F102" s="10"/>
      <c r="G102" s="10"/>
      <c r="H102" s="10"/>
      <c r="I102" s="1" t="str">
        <f t="shared" si="3"/>
        <v/>
      </c>
      <c r="J102" s="1" t="s">
        <v>35</v>
      </c>
      <c r="K102" s="1" t="str">
        <f t="shared" si="4"/>
        <v/>
      </c>
      <c r="L102" s="1" t="str">
        <f t="shared" si="5"/>
        <v/>
      </c>
      <c r="M102" s="1">
        <f>IF(OR(Table1[[#This Row],[Std Nom]]="",Table1[[#This Row],[Std Read]]=""),0,Table1[[#This Row],[Std Nom]]-Table1[[#This Row],[Std Read]])</f>
        <v>0</v>
      </c>
      <c r="N102" s="1">
        <f>IF(Calculations!$F$5="ACCREDITED 17025 WITH UNCERTAINTIES",$N$10,0)</f>
        <v>0</v>
      </c>
      <c r="O102" s="1" t="str">
        <f>IFERROR(Table1[[#This Row],[Std Nom]]-(_xlfn.XLOOKUP(Table1[[#This Row],[Manufacturer]]&amp;" "&amp;Table1[[#This Row],[Model]],Table13[MFR &amp; MDL],Table13[Tolerance % CW ],"")/100*Table1[[#This Row],[Std Nom]]),"")</f>
        <v/>
      </c>
      <c r="P102" s="1" t="str">
        <f>IFERROR(Table1[[#This Row],[Std Nom]]+(_xlfn.XLOOKUP(Table1[[#This Row],[Manufacturer]]&amp;" "&amp;Table1[[#This Row],[Model]],Table13[MFR &amp; MDL],Table13[Tolerance % CW ],"")/100*Table1[[#This Row],[Std Nom]]),"")</f>
        <v/>
      </c>
      <c r="Q102" s="1" t="e">
        <f>Table1[[#This Row],[High Tol]]-Table1[[#This Row],[Low Tol]]</f>
        <v>#VALUE!</v>
      </c>
      <c r="R102" s="1">
        <f>2*Table1[[#This Row],[Std Error]]</f>
        <v>0</v>
      </c>
      <c r="S102" s="1" t="str">
        <f>IF(Table1[[#This Row],[High Tol]]="","N/A",IFERROR(ABS(Table1[[#This Row],[Tol Span]]/Table1[[#This Row],[Error Span]]),"N/A"))</f>
        <v>N/A</v>
      </c>
      <c r="T102" s="1" t="str">
        <f>IF(OR(Table1[[#This Row],[Low Tol]]="",Table1[[#This Row],[High Tol]]=""),"Needs Analysis",IF(Table1[[#This Row],[Ratio]]&gt;=4,"Not Significant",IF(Table1[[#This Row],[Ratio]]&gt;=2,"Semi-Significant","Significant")))</f>
        <v>Needs Analysis</v>
      </c>
      <c r="W102" s="1">
        <f>IF(Table1[[#This Row],[Cal Type]]&lt;&gt;"ACCREDITED 17025 WITH UNCERTAINTIES",0,"")</f>
        <v>0</v>
      </c>
      <c r="X102" s="1" t="str">
        <f>IF(Table1[[#This Row],[DUT Read]]="","N/A",Table1[[#This Row],[Std Error]]+Table1[[#This Row],[DUT Read]]+Table1[[#This Row],[DUT Ucty]])</f>
        <v>N/A</v>
      </c>
      <c r="Y102" s="1" t="str">
        <f>IF(Table1[[#This Row],[Std Read]]="","N/A",Table1[[#This Row],[Std Read]]+Table1[[#This Row],[Std Ucty]])</f>
        <v>N/A</v>
      </c>
      <c r="Z1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 s="1" t="str">
        <f>IF(Table1[[#This Row],[Spec Type]]="","N/A",Table1[[#This Row],[Spec Type]])</f>
        <v>±</v>
      </c>
      <c r="AC102" s="1" t="str">
        <f>IF(Table1[[#This Row],[Spec Type2]]="N/A","N/A",IF(AND(Table1[[#This Row],[DUT Adj Read]]&gt;=Table1[[#This Row],[Low Tol]],Table1[[#This Row],[DUT Adj Read]]&lt;=Table1[[#This Row],[High Tol]]),"Pass","Fail"))</f>
        <v>Fail</v>
      </c>
      <c r="AD102" s="1" t="str">
        <f>IF(AND(Table1[[#This Row],[Spec Type2]]="N/A",Table1[[#This Row],[DUT Adj Read]]="N/A",Table1[[#This Row],[Std Adj Read]]="N/A"),"N/A",IF(Table1[[#This Row],[DUT Adj Read]]="N/A",IF(Table1[[#This Row],[Std Adj Read]]&gt;Table1[[#This Row],[Low Tol]],"Pass","Fail"),IF(Table1[[#This Row],[DUT Adj Read]]&gt;Table1[[#This Row],[Low Tol]],"Pass","Fail")))</f>
        <v>Pass</v>
      </c>
      <c r="AE102" s="1" t="str">
        <f>IF(AND(Table1[[#This Row],[Spec Type2]]="N/A",Table1[[#This Row],[DUT Adj Read]]="N/A",Table1[[#This Row],[Std Adj Read]]="N/A"),"N/A",IF(Table1[[#This Row],[DUT Adj Read]]="N/A",IF(Table1[[#This Row],[Std Adj Read]]&lt;Table1[[#This Row],[High Tol]],"Pass","Fail"),IF(Table1[[#This Row],[DUT Adj Read]]&lt;Table1[[#This Row],[High Tol]],"Pass","Fail")))</f>
        <v>Fail</v>
      </c>
      <c r="AF102" s="1" t="str">
        <f>IF(AND(Table1[[#This Row],[Spec Type2]]="N/A",Table1[[#This Row],[DUT Adj Read]]="N/A",Table1[[#This Row],[Std Adj Read]]="N/A"),"N/A",IF(Table1[[#This Row],[DUT Adj Read]]="N/A",IF(Table1[[#This Row],[Std Adj Read]]&gt;=Table1[[#This Row],[Low Tol]],"Pass","Fail"),IF(Table1[[#This Row],[DUT Adj Read]]&gt;=Table1[[#This Row],[Low Tol]],"Pass","Fail")))</f>
        <v>Pass</v>
      </c>
      <c r="AG102" s="1" t="str">
        <f>IF(AND(Table1[[#This Row],[Spec Type2]]="N/A",Table1[[#This Row],[DUT Adj Read]]="N/A",Table1[[#This Row],[Std Adj Read]]="N/A"),"N/A",IF(Table1[[#This Row],[DUT Adj Read]]="N/A",IF(Table1[[#This Row],[Std Adj Read]]&lt;=Table1[[#This Row],[High Tol]],"Pass","Fail"),IF(Table1[[#This Row],[DUT Adj Read]]&lt;=Table1[[#This Row],[High Tol]],"Pass","Fail")))</f>
        <v>Fail</v>
      </c>
      <c r="AH1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 s="1" t="b">
        <v>0</v>
      </c>
      <c r="AN102" s="1" t="b">
        <v>0</v>
      </c>
      <c r="AO102" s="1" t="b">
        <v>0</v>
      </c>
    </row>
    <row r="103" spans="1:41" x14ac:dyDescent="0.25">
      <c r="A103" s="10"/>
      <c r="B103" s="10"/>
      <c r="C103" s="10"/>
      <c r="D103" s="10"/>
      <c r="E103" s="10"/>
      <c r="F103" s="10"/>
      <c r="G103" s="10"/>
      <c r="H103" s="10"/>
      <c r="I103" s="1" t="str">
        <f t="shared" si="3"/>
        <v/>
      </c>
      <c r="J103" s="1" t="s">
        <v>35</v>
      </c>
      <c r="K103" s="1" t="str">
        <f t="shared" si="4"/>
        <v/>
      </c>
      <c r="L103" s="1" t="str">
        <f t="shared" si="5"/>
        <v/>
      </c>
      <c r="M103" s="1">
        <f>IF(OR(Table1[[#This Row],[Std Nom]]="",Table1[[#This Row],[Std Read]]=""),0,Table1[[#This Row],[Std Nom]]-Table1[[#This Row],[Std Read]])</f>
        <v>0</v>
      </c>
      <c r="N103" s="1">
        <f>IF(Calculations!$F$5="ACCREDITED 17025 WITH UNCERTAINTIES",$N$10,0)</f>
        <v>0</v>
      </c>
      <c r="O103" s="1" t="str">
        <f>IFERROR(Table1[[#This Row],[Std Nom]]-(_xlfn.XLOOKUP(Table1[[#This Row],[Manufacturer]]&amp;" "&amp;Table1[[#This Row],[Model]],Table13[MFR &amp; MDL],Table13[Tolerance % CW ],"")/100*Table1[[#This Row],[Std Nom]]),"")</f>
        <v/>
      </c>
      <c r="P103" s="1" t="str">
        <f>IFERROR(Table1[[#This Row],[Std Nom]]+(_xlfn.XLOOKUP(Table1[[#This Row],[Manufacturer]]&amp;" "&amp;Table1[[#This Row],[Model]],Table13[MFR &amp; MDL],Table13[Tolerance % CW ],"")/100*Table1[[#This Row],[Std Nom]]),"")</f>
        <v/>
      </c>
      <c r="Q103" s="1" t="e">
        <f>Table1[[#This Row],[High Tol]]-Table1[[#This Row],[Low Tol]]</f>
        <v>#VALUE!</v>
      </c>
      <c r="R103" s="1">
        <f>2*Table1[[#This Row],[Std Error]]</f>
        <v>0</v>
      </c>
      <c r="S103" s="1" t="str">
        <f>IF(Table1[[#This Row],[High Tol]]="","N/A",IFERROR(ABS(Table1[[#This Row],[Tol Span]]/Table1[[#This Row],[Error Span]]),"N/A"))</f>
        <v>N/A</v>
      </c>
      <c r="T103" s="1" t="str">
        <f>IF(OR(Table1[[#This Row],[Low Tol]]="",Table1[[#This Row],[High Tol]]=""),"Needs Analysis",IF(Table1[[#This Row],[Ratio]]&gt;=4,"Not Significant",IF(Table1[[#This Row],[Ratio]]&gt;=2,"Semi-Significant","Significant")))</f>
        <v>Needs Analysis</v>
      </c>
      <c r="W103" s="1">
        <f>IF(Table1[[#This Row],[Cal Type]]&lt;&gt;"ACCREDITED 17025 WITH UNCERTAINTIES",0,"")</f>
        <v>0</v>
      </c>
      <c r="X103" s="1" t="str">
        <f>IF(Table1[[#This Row],[DUT Read]]="","N/A",Table1[[#This Row],[Std Error]]+Table1[[#This Row],[DUT Read]]+Table1[[#This Row],[DUT Ucty]])</f>
        <v>N/A</v>
      </c>
      <c r="Y103" s="1" t="str">
        <f>IF(Table1[[#This Row],[Std Read]]="","N/A",Table1[[#This Row],[Std Read]]+Table1[[#This Row],[Std Ucty]])</f>
        <v>N/A</v>
      </c>
      <c r="Z1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 s="1" t="str">
        <f>IF(Table1[[#This Row],[Spec Type]]="","N/A",Table1[[#This Row],[Spec Type]])</f>
        <v>±</v>
      </c>
      <c r="AC103" s="1" t="str">
        <f>IF(Table1[[#This Row],[Spec Type2]]="N/A","N/A",IF(AND(Table1[[#This Row],[DUT Adj Read]]&gt;=Table1[[#This Row],[Low Tol]],Table1[[#This Row],[DUT Adj Read]]&lt;=Table1[[#This Row],[High Tol]]),"Pass","Fail"))</f>
        <v>Fail</v>
      </c>
      <c r="AD103" s="1" t="str">
        <f>IF(AND(Table1[[#This Row],[Spec Type2]]="N/A",Table1[[#This Row],[DUT Adj Read]]="N/A",Table1[[#This Row],[Std Adj Read]]="N/A"),"N/A",IF(Table1[[#This Row],[DUT Adj Read]]="N/A",IF(Table1[[#This Row],[Std Adj Read]]&gt;Table1[[#This Row],[Low Tol]],"Pass","Fail"),IF(Table1[[#This Row],[DUT Adj Read]]&gt;Table1[[#This Row],[Low Tol]],"Pass","Fail")))</f>
        <v>Pass</v>
      </c>
      <c r="AE103" s="1" t="str">
        <f>IF(AND(Table1[[#This Row],[Spec Type2]]="N/A",Table1[[#This Row],[DUT Adj Read]]="N/A",Table1[[#This Row],[Std Adj Read]]="N/A"),"N/A",IF(Table1[[#This Row],[DUT Adj Read]]="N/A",IF(Table1[[#This Row],[Std Adj Read]]&lt;Table1[[#This Row],[High Tol]],"Pass","Fail"),IF(Table1[[#This Row],[DUT Adj Read]]&lt;Table1[[#This Row],[High Tol]],"Pass","Fail")))</f>
        <v>Fail</v>
      </c>
      <c r="AF103" s="1" t="str">
        <f>IF(AND(Table1[[#This Row],[Spec Type2]]="N/A",Table1[[#This Row],[DUT Adj Read]]="N/A",Table1[[#This Row],[Std Adj Read]]="N/A"),"N/A",IF(Table1[[#This Row],[DUT Adj Read]]="N/A",IF(Table1[[#This Row],[Std Adj Read]]&gt;=Table1[[#This Row],[Low Tol]],"Pass","Fail"),IF(Table1[[#This Row],[DUT Adj Read]]&gt;=Table1[[#This Row],[Low Tol]],"Pass","Fail")))</f>
        <v>Pass</v>
      </c>
      <c r="AG103" s="1" t="str">
        <f>IF(AND(Table1[[#This Row],[Spec Type2]]="N/A",Table1[[#This Row],[DUT Adj Read]]="N/A",Table1[[#This Row],[Std Adj Read]]="N/A"),"N/A",IF(Table1[[#This Row],[DUT Adj Read]]="N/A",IF(Table1[[#This Row],[Std Adj Read]]&lt;=Table1[[#This Row],[High Tol]],"Pass","Fail"),IF(Table1[[#This Row],[DUT Adj Read]]&lt;=Table1[[#This Row],[High Tol]],"Pass","Fail")))</f>
        <v>Fail</v>
      </c>
      <c r="AH1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 s="1" t="b">
        <v>0</v>
      </c>
      <c r="AN103" s="1" t="b">
        <v>0</v>
      </c>
      <c r="AO103" s="1" t="b">
        <v>0</v>
      </c>
    </row>
    <row r="104" spans="1:41" x14ac:dyDescent="0.25">
      <c r="A104" s="10"/>
      <c r="B104" s="10"/>
      <c r="C104" s="10"/>
      <c r="D104" s="10"/>
      <c r="E104" s="10"/>
      <c r="F104" s="10"/>
      <c r="G104" s="10"/>
      <c r="H104" s="10"/>
      <c r="I104" s="1" t="str">
        <f t="shared" si="3"/>
        <v/>
      </c>
      <c r="J104" s="1" t="s">
        <v>35</v>
      </c>
      <c r="K104" s="1" t="str">
        <f t="shared" si="4"/>
        <v/>
      </c>
      <c r="L104" s="1" t="str">
        <f t="shared" si="5"/>
        <v/>
      </c>
      <c r="M104" s="1">
        <f>IF(OR(Table1[[#This Row],[Std Nom]]="",Table1[[#This Row],[Std Read]]=""),0,Table1[[#This Row],[Std Nom]]-Table1[[#This Row],[Std Read]])</f>
        <v>0</v>
      </c>
      <c r="N104" s="1">
        <f>IF(Calculations!$F$5="ACCREDITED 17025 WITH UNCERTAINTIES",$N$10,0)</f>
        <v>0</v>
      </c>
      <c r="O104" s="1" t="str">
        <f>IFERROR(Table1[[#This Row],[Std Nom]]-(_xlfn.XLOOKUP(Table1[[#This Row],[Manufacturer]]&amp;" "&amp;Table1[[#This Row],[Model]],Table13[MFR &amp; MDL],Table13[Tolerance % CW ],"")/100*Table1[[#This Row],[Std Nom]]),"")</f>
        <v/>
      </c>
      <c r="P104" s="1" t="str">
        <f>IFERROR(Table1[[#This Row],[Std Nom]]+(_xlfn.XLOOKUP(Table1[[#This Row],[Manufacturer]]&amp;" "&amp;Table1[[#This Row],[Model]],Table13[MFR &amp; MDL],Table13[Tolerance % CW ],"")/100*Table1[[#This Row],[Std Nom]]),"")</f>
        <v/>
      </c>
      <c r="Q104" s="1" t="e">
        <f>Table1[[#This Row],[High Tol]]-Table1[[#This Row],[Low Tol]]</f>
        <v>#VALUE!</v>
      </c>
      <c r="R104" s="1">
        <f>2*Table1[[#This Row],[Std Error]]</f>
        <v>0</v>
      </c>
      <c r="S104" s="1" t="str">
        <f>IF(Table1[[#This Row],[High Tol]]="","N/A",IFERROR(ABS(Table1[[#This Row],[Tol Span]]/Table1[[#This Row],[Error Span]]),"N/A"))</f>
        <v>N/A</v>
      </c>
      <c r="T104" s="1" t="str">
        <f>IF(OR(Table1[[#This Row],[Low Tol]]="",Table1[[#This Row],[High Tol]]=""),"Needs Analysis",IF(Table1[[#This Row],[Ratio]]&gt;=4,"Not Significant",IF(Table1[[#This Row],[Ratio]]&gt;=2,"Semi-Significant","Significant")))</f>
        <v>Needs Analysis</v>
      </c>
      <c r="W104" s="1">
        <f>IF(Table1[[#This Row],[Cal Type]]&lt;&gt;"ACCREDITED 17025 WITH UNCERTAINTIES",0,"")</f>
        <v>0</v>
      </c>
      <c r="X104" s="1" t="str">
        <f>IF(Table1[[#This Row],[DUT Read]]="","N/A",Table1[[#This Row],[Std Error]]+Table1[[#This Row],[DUT Read]]+Table1[[#This Row],[DUT Ucty]])</f>
        <v>N/A</v>
      </c>
      <c r="Y104" s="1" t="str">
        <f>IF(Table1[[#This Row],[Std Read]]="","N/A",Table1[[#This Row],[Std Read]]+Table1[[#This Row],[Std Ucty]])</f>
        <v>N/A</v>
      </c>
      <c r="Z1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 s="1" t="str">
        <f>IF(Table1[[#This Row],[Spec Type]]="","N/A",Table1[[#This Row],[Spec Type]])</f>
        <v>±</v>
      </c>
      <c r="AC104" s="1" t="str">
        <f>IF(Table1[[#This Row],[Spec Type2]]="N/A","N/A",IF(AND(Table1[[#This Row],[DUT Adj Read]]&gt;=Table1[[#This Row],[Low Tol]],Table1[[#This Row],[DUT Adj Read]]&lt;=Table1[[#This Row],[High Tol]]),"Pass","Fail"))</f>
        <v>Fail</v>
      </c>
      <c r="AD104" s="1" t="str">
        <f>IF(AND(Table1[[#This Row],[Spec Type2]]="N/A",Table1[[#This Row],[DUT Adj Read]]="N/A",Table1[[#This Row],[Std Adj Read]]="N/A"),"N/A",IF(Table1[[#This Row],[DUT Adj Read]]="N/A",IF(Table1[[#This Row],[Std Adj Read]]&gt;Table1[[#This Row],[Low Tol]],"Pass","Fail"),IF(Table1[[#This Row],[DUT Adj Read]]&gt;Table1[[#This Row],[Low Tol]],"Pass","Fail")))</f>
        <v>Pass</v>
      </c>
      <c r="AE104" s="1" t="str">
        <f>IF(AND(Table1[[#This Row],[Spec Type2]]="N/A",Table1[[#This Row],[DUT Adj Read]]="N/A",Table1[[#This Row],[Std Adj Read]]="N/A"),"N/A",IF(Table1[[#This Row],[DUT Adj Read]]="N/A",IF(Table1[[#This Row],[Std Adj Read]]&lt;Table1[[#This Row],[High Tol]],"Pass","Fail"),IF(Table1[[#This Row],[DUT Adj Read]]&lt;Table1[[#This Row],[High Tol]],"Pass","Fail")))</f>
        <v>Fail</v>
      </c>
      <c r="AF104" s="1" t="str">
        <f>IF(AND(Table1[[#This Row],[Spec Type2]]="N/A",Table1[[#This Row],[DUT Adj Read]]="N/A",Table1[[#This Row],[Std Adj Read]]="N/A"),"N/A",IF(Table1[[#This Row],[DUT Adj Read]]="N/A",IF(Table1[[#This Row],[Std Adj Read]]&gt;=Table1[[#This Row],[Low Tol]],"Pass","Fail"),IF(Table1[[#This Row],[DUT Adj Read]]&gt;=Table1[[#This Row],[Low Tol]],"Pass","Fail")))</f>
        <v>Pass</v>
      </c>
      <c r="AG104" s="1" t="str">
        <f>IF(AND(Table1[[#This Row],[Spec Type2]]="N/A",Table1[[#This Row],[DUT Adj Read]]="N/A",Table1[[#This Row],[Std Adj Read]]="N/A"),"N/A",IF(Table1[[#This Row],[DUT Adj Read]]="N/A",IF(Table1[[#This Row],[Std Adj Read]]&lt;=Table1[[#This Row],[High Tol]],"Pass","Fail"),IF(Table1[[#This Row],[DUT Adj Read]]&lt;=Table1[[#This Row],[High Tol]],"Pass","Fail")))</f>
        <v>Fail</v>
      </c>
      <c r="AH1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 s="1" t="b">
        <v>0</v>
      </c>
      <c r="AN104" s="1" t="b">
        <v>0</v>
      </c>
      <c r="AO104" s="1" t="b">
        <v>0</v>
      </c>
    </row>
    <row r="105" spans="1:41" x14ac:dyDescent="0.25">
      <c r="A105" s="10"/>
      <c r="B105" s="10"/>
      <c r="C105" s="10"/>
      <c r="D105" s="10"/>
      <c r="E105" s="10"/>
      <c r="F105" s="10"/>
      <c r="G105" s="10"/>
      <c r="H105" s="10"/>
      <c r="I105" s="1" t="str">
        <f t="shared" si="3"/>
        <v/>
      </c>
      <c r="J105" s="1" t="s">
        <v>35</v>
      </c>
      <c r="K105" s="1" t="str">
        <f t="shared" si="4"/>
        <v/>
      </c>
      <c r="L105" s="1" t="str">
        <f t="shared" si="5"/>
        <v/>
      </c>
      <c r="M105" s="1">
        <f>IF(OR(Table1[[#This Row],[Std Nom]]="",Table1[[#This Row],[Std Read]]=""),0,Table1[[#This Row],[Std Nom]]-Table1[[#This Row],[Std Read]])</f>
        <v>0</v>
      </c>
      <c r="N105" s="1">
        <f>IF(Calculations!$F$5="ACCREDITED 17025 WITH UNCERTAINTIES",$N$10,0)</f>
        <v>0</v>
      </c>
      <c r="O105" s="1" t="str">
        <f>IFERROR(Table1[[#This Row],[Std Nom]]-(_xlfn.XLOOKUP(Table1[[#This Row],[Manufacturer]]&amp;" "&amp;Table1[[#This Row],[Model]],Table13[MFR &amp; MDL],Table13[Tolerance % CW ],"")/100*Table1[[#This Row],[Std Nom]]),"")</f>
        <v/>
      </c>
      <c r="P105" s="1" t="str">
        <f>IFERROR(Table1[[#This Row],[Std Nom]]+(_xlfn.XLOOKUP(Table1[[#This Row],[Manufacturer]]&amp;" "&amp;Table1[[#This Row],[Model]],Table13[MFR &amp; MDL],Table13[Tolerance % CW ],"")/100*Table1[[#This Row],[Std Nom]]),"")</f>
        <v/>
      </c>
      <c r="Q105" s="1" t="e">
        <f>Table1[[#This Row],[High Tol]]-Table1[[#This Row],[Low Tol]]</f>
        <v>#VALUE!</v>
      </c>
      <c r="R105" s="1">
        <f>2*Table1[[#This Row],[Std Error]]</f>
        <v>0</v>
      </c>
      <c r="S105" s="1" t="str">
        <f>IF(Table1[[#This Row],[High Tol]]="","N/A",IFERROR(ABS(Table1[[#This Row],[Tol Span]]/Table1[[#This Row],[Error Span]]),"N/A"))</f>
        <v>N/A</v>
      </c>
      <c r="T105" s="1" t="str">
        <f>IF(OR(Table1[[#This Row],[Low Tol]]="",Table1[[#This Row],[High Tol]]=""),"Needs Analysis",IF(Table1[[#This Row],[Ratio]]&gt;=4,"Not Significant",IF(Table1[[#This Row],[Ratio]]&gt;=2,"Semi-Significant","Significant")))</f>
        <v>Needs Analysis</v>
      </c>
      <c r="W105" s="1">
        <f>IF(Table1[[#This Row],[Cal Type]]&lt;&gt;"ACCREDITED 17025 WITH UNCERTAINTIES",0,"")</f>
        <v>0</v>
      </c>
      <c r="X105" s="1" t="str">
        <f>IF(Table1[[#This Row],[DUT Read]]="","N/A",Table1[[#This Row],[Std Error]]+Table1[[#This Row],[DUT Read]]+Table1[[#This Row],[DUT Ucty]])</f>
        <v>N/A</v>
      </c>
      <c r="Y105" s="1" t="str">
        <f>IF(Table1[[#This Row],[Std Read]]="","N/A",Table1[[#This Row],[Std Read]]+Table1[[#This Row],[Std Ucty]])</f>
        <v>N/A</v>
      </c>
      <c r="Z1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 s="1" t="str">
        <f>IF(Table1[[#This Row],[Spec Type]]="","N/A",Table1[[#This Row],[Spec Type]])</f>
        <v>±</v>
      </c>
      <c r="AC105" s="1" t="str">
        <f>IF(Table1[[#This Row],[Spec Type2]]="N/A","N/A",IF(AND(Table1[[#This Row],[DUT Adj Read]]&gt;=Table1[[#This Row],[Low Tol]],Table1[[#This Row],[DUT Adj Read]]&lt;=Table1[[#This Row],[High Tol]]),"Pass","Fail"))</f>
        <v>Fail</v>
      </c>
      <c r="AD105" s="1" t="str">
        <f>IF(AND(Table1[[#This Row],[Spec Type2]]="N/A",Table1[[#This Row],[DUT Adj Read]]="N/A",Table1[[#This Row],[Std Adj Read]]="N/A"),"N/A",IF(Table1[[#This Row],[DUT Adj Read]]="N/A",IF(Table1[[#This Row],[Std Adj Read]]&gt;Table1[[#This Row],[Low Tol]],"Pass","Fail"),IF(Table1[[#This Row],[DUT Adj Read]]&gt;Table1[[#This Row],[Low Tol]],"Pass","Fail")))</f>
        <v>Pass</v>
      </c>
      <c r="AE105" s="1" t="str">
        <f>IF(AND(Table1[[#This Row],[Spec Type2]]="N/A",Table1[[#This Row],[DUT Adj Read]]="N/A",Table1[[#This Row],[Std Adj Read]]="N/A"),"N/A",IF(Table1[[#This Row],[DUT Adj Read]]="N/A",IF(Table1[[#This Row],[Std Adj Read]]&lt;Table1[[#This Row],[High Tol]],"Pass","Fail"),IF(Table1[[#This Row],[DUT Adj Read]]&lt;Table1[[#This Row],[High Tol]],"Pass","Fail")))</f>
        <v>Fail</v>
      </c>
      <c r="AF105" s="1" t="str">
        <f>IF(AND(Table1[[#This Row],[Spec Type2]]="N/A",Table1[[#This Row],[DUT Adj Read]]="N/A",Table1[[#This Row],[Std Adj Read]]="N/A"),"N/A",IF(Table1[[#This Row],[DUT Adj Read]]="N/A",IF(Table1[[#This Row],[Std Adj Read]]&gt;=Table1[[#This Row],[Low Tol]],"Pass","Fail"),IF(Table1[[#This Row],[DUT Adj Read]]&gt;=Table1[[#This Row],[Low Tol]],"Pass","Fail")))</f>
        <v>Pass</v>
      </c>
      <c r="AG105" s="1" t="str">
        <f>IF(AND(Table1[[#This Row],[Spec Type2]]="N/A",Table1[[#This Row],[DUT Adj Read]]="N/A",Table1[[#This Row],[Std Adj Read]]="N/A"),"N/A",IF(Table1[[#This Row],[DUT Adj Read]]="N/A",IF(Table1[[#This Row],[Std Adj Read]]&lt;=Table1[[#This Row],[High Tol]],"Pass","Fail"),IF(Table1[[#This Row],[DUT Adj Read]]&lt;=Table1[[#This Row],[High Tol]],"Pass","Fail")))</f>
        <v>Fail</v>
      </c>
      <c r="AH1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 s="1" t="b">
        <v>0</v>
      </c>
      <c r="AN105" s="1" t="b">
        <v>0</v>
      </c>
      <c r="AO105" s="1" t="b">
        <v>0</v>
      </c>
    </row>
    <row r="106" spans="1:41" x14ac:dyDescent="0.25">
      <c r="A106" s="10"/>
      <c r="B106" s="10"/>
      <c r="C106" s="10"/>
      <c r="D106" s="10"/>
      <c r="E106" s="10"/>
      <c r="F106" s="10"/>
      <c r="G106" s="10"/>
      <c r="H106" s="10"/>
      <c r="I106" s="1" t="str">
        <f t="shared" si="3"/>
        <v/>
      </c>
      <c r="J106" s="1" t="s">
        <v>35</v>
      </c>
      <c r="K106" s="1" t="str">
        <f t="shared" si="4"/>
        <v/>
      </c>
      <c r="L106" s="1" t="str">
        <f t="shared" si="5"/>
        <v/>
      </c>
      <c r="M106" s="1">
        <f>IF(OR(Table1[[#This Row],[Std Nom]]="",Table1[[#This Row],[Std Read]]=""),0,Table1[[#This Row],[Std Nom]]-Table1[[#This Row],[Std Read]])</f>
        <v>0</v>
      </c>
      <c r="N106" s="1">
        <f>IF(Calculations!$F$5="ACCREDITED 17025 WITH UNCERTAINTIES",$N$10,0)</f>
        <v>0</v>
      </c>
      <c r="O106" s="1" t="str">
        <f>IFERROR(Table1[[#This Row],[Std Nom]]-(_xlfn.XLOOKUP(Table1[[#This Row],[Manufacturer]]&amp;" "&amp;Table1[[#This Row],[Model]],Table13[MFR &amp; MDL],Table13[Tolerance % CW ],"")/100*Table1[[#This Row],[Std Nom]]),"")</f>
        <v/>
      </c>
      <c r="P106" s="1" t="str">
        <f>IFERROR(Table1[[#This Row],[Std Nom]]+(_xlfn.XLOOKUP(Table1[[#This Row],[Manufacturer]]&amp;" "&amp;Table1[[#This Row],[Model]],Table13[MFR &amp; MDL],Table13[Tolerance % CW ],"")/100*Table1[[#This Row],[Std Nom]]),"")</f>
        <v/>
      </c>
      <c r="Q106" s="1" t="e">
        <f>Table1[[#This Row],[High Tol]]-Table1[[#This Row],[Low Tol]]</f>
        <v>#VALUE!</v>
      </c>
      <c r="R106" s="1">
        <f>2*Table1[[#This Row],[Std Error]]</f>
        <v>0</v>
      </c>
      <c r="S106" s="1" t="str">
        <f>IF(Table1[[#This Row],[High Tol]]="","N/A",IFERROR(ABS(Table1[[#This Row],[Tol Span]]/Table1[[#This Row],[Error Span]]),"N/A"))</f>
        <v>N/A</v>
      </c>
      <c r="T106" s="1" t="str">
        <f>IF(OR(Table1[[#This Row],[Low Tol]]="",Table1[[#This Row],[High Tol]]=""),"Needs Analysis",IF(Table1[[#This Row],[Ratio]]&gt;=4,"Not Significant",IF(Table1[[#This Row],[Ratio]]&gt;=2,"Semi-Significant","Significant")))</f>
        <v>Needs Analysis</v>
      </c>
      <c r="W106" s="1">
        <f>IF(Table1[[#This Row],[Cal Type]]&lt;&gt;"ACCREDITED 17025 WITH UNCERTAINTIES",0,"")</f>
        <v>0</v>
      </c>
      <c r="X106" s="1" t="str">
        <f>IF(Table1[[#This Row],[DUT Read]]="","N/A",Table1[[#This Row],[Std Error]]+Table1[[#This Row],[DUT Read]]+Table1[[#This Row],[DUT Ucty]])</f>
        <v>N/A</v>
      </c>
      <c r="Y106" s="1" t="str">
        <f>IF(Table1[[#This Row],[Std Read]]="","N/A",Table1[[#This Row],[Std Read]]+Table1[[#This Row],[Std Ucty]])</f>
        <v>N/A</v>
      </c>
      <c r="Z1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 s="1" t="str">
        <f>IF(Table1[[#This Row],[Spec Type]]="","N/A",Table1[[#This Row],[Spec Type]])</f>
        <v>±</v>
      </c>
      <c r="AC106" s="1" t="str">
        <f>IF(Table1[[#This Row],[Spec Type2]]="N/A","N/A",IF(AND(Table1[[#This Row],[DUT Adj Read]]&gt;=Table1[[#This Row],[Low Tol]],Table1[[#This Row],[DUT Adj Read]]&lt;=Table1[[#This Row],[High Tol]]),"Pass","Fail"))</f>
        <v>Fail</v>
      </c>
      <c r="AD106" s="1" t="str">
        <f>IF(AND(Table1[[#This Row],[Spec Type2]]="N/A",Table1[[#This Row],[DUT Adj Read]]="N/A",Table1[[#This Row],[Std Adj Read]]="N/A"),"N/A",IF(Table1[[#This Row],[DUT Adj Read]]="N/A",IF(Table1[[#This Row],[Std Adj Read]]&gt;Table1[[#This Row],[Low Tol]],"Pass","Fail"),IF(Table1[[#This Row],[DUT Adj Read]]&gt;Table1[[#This Row],[Low Tol]],"Pass","Fail")))</f>
        <v>Pass</v>
      </c>
      <c r="AE106" s="1" t="str">
        <f>IF(AND(Table1[[#This Row],[Spec Type2]]="N/A",Table1[[#This Row],[DUT Adj Read]]="N/A",Table1[[#This Row],[Std Adj Read]]="N/A"),"N/A",IF(Table1[[#This Row],[DUT Adj Read]]="N/A",IF(Table1[[#This Row],[Std Adj Read]]&lt;Table1[[#This Row],[High Tol]],"Pass","Fail"),IF(Table1[[#This Row],[DUT Adj Read]]&lt;Table1[[#This Row],[High Tol]],"Pass","Fail")))</f>
        <v>Fail</v>
      </c>
      <c r="AF106" s="1" t="str">
        <f>IF(AND(Table1[[#This Row],[Spec Type2]]="N/A",Table1[[#This Row],[DUT Adj Read]]="N/A",Table1[[#This Row],[Std Adj Read]]="N/A"),"N/A",IF(Table1[[#This Row],[DUT Adj Read]]="N/A",IF(Table1[[#This Row],[Std Adj Read]]&gt;=Table1[[#This Row],[Low Tol]],"Pass","Fail"),IF(Table1[[#This Row],[DUT Adj Read]]&gt;=Table1[[#This Row],[Low Tol]],"Pass","Fail")))</f>
        <v>Pass</v>
      </c>
      <c r="AG106" s="1" t="str">
        <f>IF(AND(Table1[[#This Row],[Spec Type2]]="N/A",Table1[[#This Row],[DUT Adj Read]]="N/A",Table1[[#This Row],[Std Adj Read]]="N/A"),"N/A",IF(Table1[[#This Row],[DUT Adj Read]]="N/A",IF(Table1[[#This Row],[Std Adj Read]]&lt;=Table1[[#This Row],[High Tol]],"Pass","Fail"),IF(Table1[[#This Row],[DUT Adj Read]]&lt;=Table1[[#This Row],[High Tol]],"Pass","Fail")))</f>
        <v>Fail</v>
      </c>
      <c r="AH1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 s="1" t="b">
        <v>0</v>
      </c>
      <c r="AN106" s="1" t="b">
        <v>0</v>
      </c>
      <c r="AO106" s="1" t="b">
        <v>0</v>
      </c>
    </row>
    <row r="107" spans="1:41" x14ac:dyDescent="0.25">
      <c r="A107" s="10"/>
      <c r="B107" s="10"/>
      <c r="C107" s="10"/>
      <c r="D107" s="10"/>
      <c r="E107" s="10"/>
      <c r="F107" s="10"/>
      <c r="G107" s="10"/>
      <c r="H107" s="10"/>
      <c r="I107" s="1" t="str">
        <f t="shared" si="3"/>
        <v/>
      </c>
      <c r="J107" s="1" t="s">
        <v>35</v>
      </c>
      <c r="K107" s="1" t="str">
        <f t="shared" si="4"/>
        <v/>
      </c>
      <c r="L107" s="1" t="str">
        <f t="shared" si="5"/>
        <v/>
      </c>
      <c r="M107" s="1">
        <f>IF(OR(Table1[[#This Row],[Std Nom]]="",Table1[[#This Row],[Std Read]]=""),0,Table1[[#This Row],[Std Nom]]-Table1[[#This Row],[Std Read]])</f>
        <v>0</v>
      </c>
      <c r="N107" s="1">
        <f>IF(Calculations!$F$5="ACCREDITED 17025 WITH UNCERTAINTIES",$N$10,0)</f>
        <v>0</v>
      </c>
      <c r="O107" s="1" t="str">
        <f>IFERROR(Table1[[#This Row],[Std Nom]]-(_xlfn.XLOOKUP(Table1[[#This Row],[Manufacturer]]&amp;" "&amp;Table1[[#This Row],[Model]],Table13[MFR &amp; MDL],Table13[Tolerance % CW ],"")/100*Table1[[#This Row],[Std Nom]]),"")</f>
        <v/>
      </c>
      <c r="P107" s="1" t="str">
        <f>IFERROR(Table1[[#This Row],[Std Nom]]+(_xlfn.XLOOKUP(Table1[[#This Row],[Manufacturer]]&amp;" "&amp;Table1[[#This Row],[Model]],Table13[MFR &amp; MDL],Table13[Tolerance % CW ],"")/100*Table1[[#This Row],[Std Nom]]),"")</f>
        <v/>
      </c>
      <c r="Q107" s="1" t="e">
        <f>Table1[[#This Row],[High Tol]]-Table1[[#This Row],[Low Tol]]</f>
        <v>#VALUE!</v>
      </c>
      <c r="R107" s="1">
        <f>2*Table1[[#This Row],[Std Error]]</f>
        <v>0</v>
      </c>
      <c r="S107" s="1" t="str">
        <f>IF(Table1[[#This Row],[High Tol]]="","N/A",IFERROR(ABS(Table1[[#This Row],[Tol Span]]/Table1[[#This Row],[Error Span]]),"N/A"))</f>
        <v>N/A</v>
      </c>
      <c r="T107" s="1" t="str">
        <f>IF(OR(Table1[[#This Row],[Low Tol]]="",Table1[[#This Row],[High Tol]]=""),"Needs Analysis",IF(Table1[[#This Row],[Ratio]]&gt;=4,"Not Significant",IF(Table1[[#This Row],[Ratio]]&gt;=2,"Semi-Significant","Significant")))</f>
        <v>Needs Analysis</v>
      </c>
      <c r="W107" s="1">
        <f>IF(Table1[[#This Row],[Cal Type]]&lt;&gt;"ACCREDITED 17025 WITH UNCERTAINTIES",0,"")</f>
        <v>0</v>
      </c>
      <c r="X107" s="1" t="str">
        <f>IF(Table1[[#This Row],[DUT Read]]="","N/A",Table1[[#This Row],[Std Error]]+Table1[[#This Row],[DUT Read]]+Table1[[#This Row],[DUT Ucty]])</f>
        <v>N/A</v>
      </c>
      <c r="Y107" s="1" t="str">
        <f>IF(Table1[[#This Row],[Std Read]]="","N/A",Table1[[#This Row],[Std Read]]+Table1[[#This Row],[Std Ucty]])</f>
        <v>N/A</v>
      </c>
      <c r="Z1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 s="1" t="str">
        <f>IF(Table1[[#This Row],[Spec Type]]="","N/A",Table1[[#This Row],[Spec Type]])</f>
        <v>±</v>
      </c>
      <c r="AC107" s="1" t="str">
        <f>IF(Table1[[#This Row],[Spec Type2]]="N/A","N/A",IF(AND(Table1[[#This Row],[DUT Adj Read]]&gt;=Table1[[#This Row],[Low Tol]],Table1[[#This Row],[DUT Adj Read]]&lt;=Table1[[#This Row],[High Tol]]),"Pass","Fail"))</f>
        <v>Fail</v>
      </c>
      <c r="AD107" s="1" t="str">
        <f>IF(AND(Table1[[#This Row],[Spec Type2]]="N/A",Table1[[#This Row],[DUT Adj Read]]="N/A",Table1[[#This Row],[Std Adj Read]]="N/A"),"N/A",IF(Table1[[#This Row],[DUT Adj Read]]="N/A",IF(Table1[[#This Row],[Std Adj Read]]&gt;Table1[[#This Row],[Low Tol]],"Pass","Fail"),IF(Table1[[#This Row],[DUT Adj Read]]&gt;Table1[[#This Row],[Low Tol]],"Pass","Fail")))</f>
        <v>Pass</v>
      </c>
      <c r="AE107" s="1" t="str">
        <f>IF(AND(Table1[[#This Row],[Spec Type2]]="N/A",Table1[[#This Row],[DUT Adj Read]]="N/A",Table1[[#This Row],[Std Adj Read]]="N/A"),"N/A",IF(Table1[[#This Row],[DUT Adj Read]]="N/A",IF(Table1[[#This Row],[Std Adj Read]]&lt;Table1[[#This Row],[High Tol]],"Pass","Fail"),IF(Table1[[#This Row],[DUT Adj Read]]&lt;Table1[[#This Row],[High Tol]],"Pass","Fail")))</f>
        <v>Fail</v>
      </c>
      <c r="AF107" s="1" t="str">
        <f>IF(AND(Table1[[#This Row],[Spec Type2]]="N/A",Table1[[#This Row],[DUT Adj Read]]="N/A",Table1[[#This Row],[Std Adj Read]]="N/A"),"N/A",IF(Table1[[#This Row],[DUT Adj Read]]="N/A",IF(Table1[[#This Row],[Std Adj Read]]&gt;=Table1[[#This Row],[Low Tol]],"Pass","Fail"),IF(Table1[[#This Row],[DUT Adj Read]]&gt;=Table1[[#This Row],[Low Tol]],"Pass","Fail")))</f>
        <v>Pass</v>
      </c>
      <c r="AG107" s="1" t="str">
        <f>IF(AND(Table1[[#This Row],[Spec Type2]]="N/A",Table1[[#This Row],[DUT Adj Read]]="N/A",Table1[[#This Row],[Std Adj Read]]="N/A"),"N/A",IF(Table1[[#This Row],[DUT Adj Read]]="N/A",IF(Table1[[#This Row],[Std Adj Read]]&lt;=Table1[[#This Row],[High Tol]],"Pass","Fail"),IF(Table1[[#This Row],[DUT Adj Read]]&lt;=Table1[[#This Row],[High Tol]],"Pass","Fail")))</f>
        <v>Fail</v>
      </c>
      <c r="AH1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 s="1" t="b">
        <v>0</v>
      </c>
      <c r="AN107" s="1" t="b">
        <v>0</v>
      </c>
      <c r="AO107" s="1" t="b">
        <v>0</v>
      </c>
    </row>
    <row r="108" spans="1:41" x14ac:dyDescent="0.25">
      <c r="A108" s="10"/>
      <c r="B108" s="10"/>
      <c r="C108" s="10"/>
      <c r="D108" s="10"/>
      <c r="E108" s="10"/>
      <c r="F108" s="10"/>
      <c r="G108" s="10"/>
      <c r="H108" s="10"/>
      <c r="I108" s="1" t="str">
        <f t="shared" si="3"/>
        <v/>
      </c>
      <c r="J108" s="1" t="s">
        <v>35</v>
      </c>
      <c r="K108" s="1" t="str">
        <f t="shared" si="4"/>
        <v/>
      </c>
      <c r="L108" s="1" t="str">
        <f t="shared" si="5"/>
        <v/>
      </c>
      <c r="M108" s="1">
        <f>IF(OR(Table1[[#This Row],[Std Nom]]="",Table1[[#This Row],[Std Read]]=""),0,Table1[[#This Row],[Std Nom]]-Table1[[#This Row],[Std Read]])</f>
        <v>0</v>
      </c>
      <c r="N108" s="1">
        <f>IF(Calculations!$F$5="ACCREDITED 17025 WITH UNCERTAINTIES",$N$10,0)</f>
        <v>0</v>
      </c>
      <c r="O108" s="1" t="str">
        <f>IFERROR(Table1[[#This Row],[Std Nom]]-(_xlfn.XLOOKUP(Table1[[#This Row],[Manufacturer]]&amp;" "&amp;Table1[[#This Row],[Model]],Table13[MFR &amp; MDL],Table13[Tolerance % CW ],"")/100*Table1[[#This Row],[Std Nom]]),"")</f>
        <v/>
      </c>
      <c r="P108" s="1" t="str">
        <f>IFERROR(Table1[[#This Row],[Std Nom]]+(_xlfn.XLOOKUP(Table1[[#This Row],[Manufacturer]]&amp;" "&amp;Table1[[#This Row],[Model]],Table13[MFR &amp; MDL],Table13[Tolerance % CW ],"")/100*Table1[[#This Row],[Std Nom]]),"")</f>
        <v/>
      </c>
      <c r="Q108" s="1" t="e">
        <f>Table1[[#This Row],[High Tol]]-Table1[[#This Row],[Low Tol]]</f>
        <v>#VALUE!</v>
      </c>
      <c r="R108" s="1">
        <f>2*Table1[[#This Row],[Std Error]]</f>
        <v>0</v>
      </c>
      <c r="S108" s="1" t="str">
        <f>IF(Table1[[#This Row],[High Tol]]="","N/A",IFERROR(ABS(Table1[[#This Row],[Tol Span]]/Table1[[#This Row],[Error Span]]),"N/A"))</f>
        <v>N/A</v>
      </c>
      <c r="T108" s="1" t="str">
        <f>IF(OR(Table1[[#This Row],[Low Tol]]="",Table1[[#This Row],[High Tol]]=""),"Needs Analysis",IF(Table1[[#This Row],[Ratio]]&gt;=4,"Not Significant",IF(Table1[[#This Row],[Ratio]]&gt;=2,"Semi-Significant","Significant")))</f>
        <v>Needs Analysis</v>
      </c>
      <c r="W108" s="1">
        <f>IF(Table1[[#This Row],[Cal Type]]&lt;&gt;"ACCREDITED 17025 WITH UNCERTAINTIES",0,"")</f>
        <v>0</v>
      </c>
      <c r="X108" s="1" t="str">
        <f>IF(Table1[[#This Row],[DUT Read]]="","N/A",Table1[[#This Row],[Std Error]]+Table1[[#This Row],[DUT Read]]+Table1[[#This Row],[DUT Ucty]])</f>
        <v>N/A</v>
      </c>
      <c r="Y108" s="1" t="str">
        <f>IF(Table1[[#This Row],[Std Read]]="","N/A",Table1[[#This Row],[Std Read]]+Table1[[#This Row],[Std Ucty]])</f>
        <v>N/A</v>
      </c>
      <c r="Z1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 s="1" t="str">
        <f>IF(Table1[[#This Row],[Spec Type]]="","N/A",Table1[[#This Row],[Spec Type]])</f>
        <v>±</v>
      </c>
      <c r="AC108" s="1" t="str">
        <f>IF(Table1[[#This Row],[Spec Type2]]="N/A","N/A",IF(AND(Table1[[#This Row],[DUT Adj Read]]&gt;=Table1[[#This Row],[Low Tol]],Table1[[#This Row],[DUT Adj Read]]&lt;=Table1[[#This Row],[High Tol]]),"Pass","Fail"))</f>
        <v>Fail</v>
      </c>
      <c r="AD108" s="1" t="str">
        <f>IF(AND(Table1[[#This Row],[Spec Type2]]="N/A",Table1[[#This Row],[DUT Adj Read]]="N/A",Table1[[#This Row],[Std Adj Read]]="N/A"),"N/A",IF(Table1[[#This Row],[DUT Adj Read]]="N/A",IF(Table1[[#This Row],[Std Adj Read]]&gt;Table1[[#This Row],[Low Tol]],"Pass","Fail"),IF(Table1[[#This Row],[DUT Adj Read]]&gt;Table1[[#This Row],[Low Tol]],"Pass","Fail")))</f>
        <v>Pass</v>
      </c>
      <c r="AE108" s="1" t="str">
        <f>IF(AND(Table1[[#This Row],[Spec Type2]]="N/A",Table1[[#This Row],[DUT Adj Read]]="N/A",Table1[[#This Row],[Std Adj Read]]="N/A"),"N/A",IF(Table1[[#This Row],[DUT Adj Read]]="N/A",IF(Table1[[#This Row],[Std Adj Read]]&lt;Table1[[#This Row],[High Tol]],"Pass","Fail"),IF(Table1[[#This Row],[DUT Adj Read]]&lt;Table1[[#This Row],[High Tol]],"Pass","Fail")))</f>
        <v>Fail</v>
      </c>
      <c r="AF108" s="1" t="str">
        <f>IF(AND(Table1[[#This Row],[Spec Type2]]="N/A",Table1[[#This Row],[DUT Adj Read]]="N/A",Table1[[#This Row],[Std Adj Read]]="N/A"),"N/A",IF(Table1[[#This Row],[DUT Adj Read]]="N/A",IF(Table1[[#This Row],[Std Adj Read]]&gt;=Table1[[#This Row],[Low Tol]],"Pass","Fail"),IF(Table1[[#This Row],[DUT Adj Read]]&gt;=Table1[[#This Row],[Low Tol]],"Pass","Fail")))</f>
        <v>Pass</v>
      </c>
      <c r="AG108" s="1" t="str">
        <f>IF(AND(Table1[[#This Row],[Spec Type2]]="N/A",Table1[[#This Row],[DUT Adj Read]]="N/A",Table1[[#This Row],[Std Adj Read]]="N/A"),"N/A",IF(Table1[[#This Row],[DUT Adj Read]]="N/A",IF(Table1[[#This Row],[Std Adj Read]]&lt;=Table1[[#This Row],[High Tol]],"Pass","Fail"),IF(Table1[[#This Row],[DUT Adj Read]]&lt;=Table1[[#This Row],[High Tol]],"Pass","Fail")))</f>
        <v>Fail</v>
      </c>
      <c r="AH1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 s="1" t="b">
        <v>0</v>
      </c>
      <c r="AN108" s="1" t="b">
        <v>0</v>
      </c>
      <c r="AO108" s="1" t="b">
        <v>0</v>
      </c>
    </row>
    <row r="109" spans="1:41" x14ac:dyDescent="0.25">
      <c r="A109" s="10"/>
      <c r="B109" s="10"/>
      <c r="C109" s="10"/>
      <c r="D109" s="10"/>
      <c r="E109" s="10"/>
      <c r="F109" s="10"/>
      <c r="G109" s="10"/>
      <c r="H109" s="10"/>
      <c r="I109" s="1" t="str">
        <f t="shared" si="3"/>
        <v/>
      </c>
      <c r="J109" s="1" t="s">
        <v>35</v>
      </c>
      <c r="K109" s="1" t="str">
        <f t="shared" si="4"/>
        <v/>
      </c>
      <c r="L109" s="1" t="str">
        <f t="shared" si="5"/>
        <v/>
      </c>
      <c r="M109" s="1">
        <f>IF(OR(Table1[[#This Row],[Std Nom]]="",Table1[[#This Row],[Std Read]]=""),0,Table1[[#This Row],[Std Nom]]-Table1[[#This Row],[Std Read]])</f>
        <v>0</v>
      </c>
      <c r="N109" s="1">
        <f>IF(Calculations!$F$5="ACCREDITED 17025 WITH UNCERTAINTIES",$N$10,0)</f>
        <v>0</v>
      </c>
      <c r="O109" s="1" t="str">
        <f>IFERROR(Table1[[#This Row],[Std Nom]]-(_xlfn.XLOOKUP(Table1[[#This Row],[Manufacturer]]&amp;" "&amp;Table1[[#This Row],[Model]],Table13[MFR &amp; MDL],Table13[Tolerance % CW ],"")/100*Table1[[#This Row],[Std Nom]]),"")</f>
        <v/>
      </c>
      <c r="P109" s="1" t="str">
        <f>IFERROR(Table1[[#This Row],[Std Nom]]+(_xlfn.XLOOKUP(Table1[[#This Row],[Manufacturer]]&amp;" "&amp;Table1[[#This Row],[Model]],Table13[MFR &amp; MDL],Table13[Tolerance % CW ],"")/100*Table1[[#This Row],[Std Nom]]),"")</f>
        <v/>
      </c>
      <c r="Q109" s="1" t="e">
        <f>Table1[[#This Row],[High Tol]]-Table1[[#This Row],[Low Tol]]</f>
        <v>#VALUE!</v>
      </c>
      <c r="R109" s="1">
        <f>2*Table1[[#This Row],[Std Error]]</f>
        <v>0</v>
      </c>
      <c r="S109" s="1" t="str">
        <f>IF(Table1[[#This Row],[High Tol]]="","N/A",IFERROR(ABS(Table1[[#This Row],[Tol Span]]/Table1[[#This Row],[Error Span]]),"N/A"))</f>
        <v>N/A</v>
      </c>
      <c r="T109" s="1" t="str">
        <f>IF(OR(Table1[[#This Row],[Low Tol]]="",Table1[[#This Row],[High Tol]]=""),"Needs Analysis",IF(Table1[[#This Row],[Ratio]]&gt;=4,"Not Significant",IF(Table1[[#This Row],[Ratio]]&gt;=2,"Semi-Significant","Significant")))</f>
        <v>Needs Analysis</v>
      </c>
      <c r="W109" s="1">
        <f>IF(Table1[[#This Row],[Cal Type]]&lt;&gt;"ACCREDITED 17025 WITH UNCERTAINTIES",0,"")</f>
        <v>0</v>
      </c>
      <c r="X109" s="1" t="str">
        <f>IF(Table1[[#This Row],[DUT Read]]="","N/A",Table1[[#This Row],[Std Error]]+Table1[[#This Row],[DUT Read]]+Table1[[#This Row],[DUT Ucty]])</f>
        <v>N/A</v>
      </c>
      <c r="Y109" s="1" t="str">
        <f>IF(Table1[[#This Row],[Std Read]]="","N/A",Table1[[#This Row],[Std Read]]+Table1[[#This Row],[Std Ucty]])</f>
        <v>N/A</v>
      </c>
      <c r="Z1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 s="1" t="str">
        <f>IF(Table1[[#This Row],[Spec Type]]="","N/A",Table1[[#This Row],[Spec Type]])</f>
        <v>±</v>
      </c>
      <c r="AC109" s="1" t="str">
        <f>IF(Table1[[#This Row],[Spec Type2]]="N/A","N/A",IF(AND(Table1[[#This Row],[DUT Adj Read]]&gt;=Table1[[#This Row],[Low Tol]],Table1[[#This Row],[DUT Adj Read]]&lt;=Table1[[#This Row],[High Tol]]),"Pass","Fail"))</f>
        <v>Fail</v>
      </c>
      <c r="AD109" s="1" t="str">
        <f>IF(AND(Table1[[#This Row],[Spec Type2]]="N/A",Table1[[#This Row],[DUT Adj Read]]="N/A",Table1[[#This Row],[Std Adj Read]]="N/A"),"N/A",IF(Table1[[#This Row],[DUT Adj Read]]="N/A",IF(Table1[[#This Row],[Std Adj Read]]&gt;Table1[[#This Row],[Low Tol]],"Pass","Fail"),IF(Table1[[#This Row],[DUT Adj Read]]&gt;Table1[[#This Row],[Low Tol]],"Pass","Fail")))</f>
        <v>Pass</v>
      </c>
      <c r="AE109" s="1" t="str">
        <f>IF(AND(Table1[[#This Row],[Spec Type2]]="N/A",Table1[[#This Row],[DUT Adj Read]]="N/A",Table1[[#This Row],[Std Adj Read]]="N/A"),"N/A",IF(Table1[[#This Row],[DUT Adj Read]]="N/A",IF(Table1[[#This Row],[Std Adj Read]]&lt;Table1[[#This Row],[High Tol]],"Pass","Fail"),IF(Table1[[#This Row],[DUT Adj Read]]&lt;Table1[[#This Row],[High Tol]],"Pass","Fail")))</f>
        <v>Fail</v>
      </c>
      <c r="AF109" s="1" t="str">
        <f>IF(AND(Table1[[#This Row],[Spec Type2]]="N/A",Table1[[#This Row],[DUT Adj Read]]="N/A",Table1[[#This Row],[Std Adj Read]]="N/A"),"N/A",IF(Table1[[#This Row],[DUT Adj Read]]="N/A",IF(Table1[[#This Row],[Std Adj Read]]&gt;=Table1[[#This Row],[Low Tol]],"Pass","Fail"),IF(Table1[[#This Row],[DUT Adj Read]]&gt;=Table1[[#This Row],[Low Tol]],"Pass","Fail")))</f>
        <v>Pass</v>
      </c>
      <c r="AG109" s="1" t="str">
        <f>IF(AND(Table1[[#This Row],[Spec Type2]]="N/A",Table1[[#This Row],[DUT Adj Read]]="N/A",Table1[[#This Row],[Std Adj Read]]="N/A"),"N/A",IF(Table1[[#This Row],[DUT Adj Read]]="N/A",IF(Table1[[#This Row],[Std Adj Read]]&lt;=Table1[[#This Row],[High Tol]],"Pass","Fail"),IF(Table1[[#This Row],[DUT Adj Read]]&lt;=Table1[[#This Row],[High Tol]],"Pass","Fail")))</f>
        <v>Fail</v>
      </c>
      <c r="AH1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 s="1" t="b">
        <v>0</v>
      </c>
      <c r="AN109" s="1" t="b">
        <v>0</v>
      </c>
      <c r="AO109" s="1" t="b">
        <v>0</v>
      </c>
    </row>
    <row r="110" spans="1:41" x14ac:dyDescent="0.25">
      <c r="A110" s="10"/>
      <c r="B110" s="10"/>
      <c r="C110" s="10"/>
      <c r="D110" s="10"/>
      <c r="E110" s="10"/>
      <c r="F110" s="10"/>
      <c r="G110" s="10"/>
      <c r="H110" s="10"/>
      <c r="I110" s="1" t="str">
        <f t="shared" si="3"/>
        <v/>
      </c>
      <c r="J110" s="1" t="s">
        <v>35</v>
      </c>
      <c r="K110" s="1" t="str">
        <f t="shared" si="4"/>
        <v/>
      </c>
      <c r="L110" s="1" t="str">
        <f t="shared" si="5"/>
        <v/>
      </c>
      <c r="M110" s="1">
        <f>IF(OR(Table1[[#This Row],[Std Nom]]="",Table1[[#This Row],[Std Read]]=""),0,Table1[[#This Row],[Std Nom]]-Table1[[#This Row],[Std Read]])</f>
        <v>0</v>
      </c>
      <c r="N110" s="1">
        <f>IF(Calculations!$F$5="ACCREDITED 17025 WITH UNCERTAINTIES",$N$10,0)</f>
        <v>0</v>
      </c>
      <c r="O110" s="1" t="str">
        <f>IFERROR(Table1[[#This Row],[Std Nom]]-(_xlfn.XLOOKUP(Table1[[#This Row],[Manufacturer]]&amp;" "&amp;Table1[[#This Row],[Model]],Table13[MFR &amp; MDL],Table13[Tolerance % CW ],"")/100*Table1[[#This Row],[Std Nom]]),"")</f>
        <v/>
      </c>
      <c r="P110" s="1" t="str">
        <f>IFERROR(Table1[[#This Row],[Std Nom]]+(_xlfn.XLOOKUP(Table1[[#This Row],[Manufacturer]]&amp;" "&amp;Table1[[#This Row],[Model]],Table13[MFR &amp; MDL],Table13[Tolerance % CW ],"")/100*Table1[[#This Row],[Std Nom]]),"")</f>
        <v/>
      </c>
      <c r="Q110" s="1" t="e">
        <f>Table1[[#This Row],[High Tol]]-Table1[[#This Row],[Low Tol]]</f>
        <v>#VALUE!</v>
      </c>
      <c r="R110" s="1">
        <f>2*Table1[[#This Row],[Std Error]]</f>
        <v>0</v>
      </c>
      <c r="S110" s="1" t="str">
        <f>IF(Table1[[#This Row],[High Tol]]="","N/A",IFERROR(ABS(Table1[[#This Row],[Tol Span]]/Table1[[#This Row],[Error Span]]),"N/A"))</f>
        <v>N/A</v>
      </c>
      <c r="T110" s="1" t="str">
        <f>IF(OR(Table1[[#This Row],[Low Tol]]="",Table1[[#This Row],[High Tol]]=""),"Needs Analysis",IF(Table1[[#This Row],[Ratio]]&gt;=4,"Not Significant",IF(Table1[[#This Row],[Ratio]]&gt;=2,"Semi-Significant","Significant")))</f>
        <v>Needs Analysis</v>
      </c>
      <c r="W110" s="1">
        <f>IF(Table1[[#This Row],[Cal Type]]&lt;&gt;"ACCREDITED 17025 WITH UNCERTAINTIES",0,"")</f>
        <v>0</v>
      </c>
      <c r="X110" s="1" t="str">
        <f>IF(Table1[[#This Row],[DUT Read]]="","N/A",Table1[[#This Row],[Std Error]]+Table1[[#This Row],[DUT Read]]+Table1[[#This Row],[DUT Ucty]])</f>
        <v>N/A</v>
      </c>
      <c r="Y110" s="1" t="str">
        <f>IF(Table1[[#This Row],[Std Read]]="","N/A",Table1[[#This Row],[Std Read]]+Table1[[#This Row],[Std Ucty]])</f>
        <v>N/A</v>
      </c>
      <c r="Z1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 s="1" t="str">
        <f>IF(Table1[[#This Row],[Spec Type]]="","N/A",Table1[[#This Row],[Spec Type]])</f>
        <v>±</v>
      </c>
      <c r="AC110" s="1" t="str">
        <f>IF(Table1[[#This Row],[Spec Type2]]="N/A","N/A",IF(AND(Table1[[#This Row],[DUT Adj Read]]&gt;=Table1[[#This Row],[Low Tol]],Table1[[#This Row],[DUT Adj Read]]&lt;=Table1[[#This Row],[High Tol]]),"Pass","Fail"))</f>
        <v>Fail</v>
      </c>
      <c r="AD110" s="1" t="str">
        <f>IF(AND(Table1[[#This Row],[Spec Type2]]="N/A",Table1[[#This Row],[DUT Adj Read]]="N/A",Table1[[#This Row],[Std Adj Read]]="N/A"),"N/A",IF(Table1[[#This Row],[DUT Adj Read]]="N/A",IF(Table1[[#This Row],[Std Adj Read]]&gt;Table1[[#This Row],[Low Tol]],"Pass","Fail"),IF(Table1[[#This Row],[DUT Adj Read]]&gt;Table1[[#This Row],[Low Tol]],"Pass","Fail")))</f>
        <v>Pass</v>
      </c>
      <c r="AE110" s="1" t="str">
        <f>IF(AND(Table1[[#This Row],[Spec Type2]]="N/A",Table1[[#This Row],[DUT Adj Read]]="N/A",Table1[[#This Row],[Std Adj Read]]="N/A"),"N/A",IF(Table1[[#This Row],[DUT Adj Read]]="N/A",IF(Table1[[#This Row],[Std Adj Read]]&lt;Table1[[#This Row],[High Tol]],"Pass","Fail"),IF(Table1[[#This Row],[DUT Adj Read]]&lt;Table1[[#This Row],[High Tol]],"Pass","Fail")))</f>
        <v>Fail</v>
      </c>
      <c r="AF110" s="1" t="str">
        <f>IF(AND(Table1[[#This Row],[Spec Type2]]="N/A",Table1[[#This Row],[DUT Adj Read]]="N/A",Table1[[#This Row],[Std Adj Read]]="N/A"),"N/A",IF(Table1[[#This Row],[DUT Adj Read]]="N/A",IF(Table1[[#This Row],[Std Adj Read]]&gt;=Table1[[#This Row],[Low Tol]],"Pass","Fail"),IF(Table1[[#This Row],[DUT Adj Read]]&gt;=Table1[[#This Row],[Low Tol]],"Pass","Fail")))</f>
        <v>Pass</v>
      </c>
      <c r="AG110" s="1" t="str">
        <f>IF(AND(Table1[[#This Row],[Spec Type2]]="N/A",Table1[[#This Row],[DUT Adj Read]]="N/A",Table1[[#This Row],[Std Adj Read]]="N/A"),"N/A",IF(Table1[[#This Row],[DUT Adj Read]]="N/A",IF(Table1[[#This Row],[Std Adj Read]]&lt;=Table1[[#This Row],[High Tol]],"Pass","Fail"),IF(Table1[[#This Row],[DUT Adj Read]]&lt;=Table1[[#This Row],[High Tol]],"Pass","Fail")))</f>
        <v>Fail</v>
      </c>
      <c r="AH1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 s="1" t="b">
        <v>0</v>
      </c>
      <c r="AN110" s="1" t="b">
        <v>0</v>
      </c>
      <c r="AO110" s="1" t="b">
        <v>0</v>
      </c>
    </row>
    <row r="111" spans="1:41" x14ac:dyDescent="0.25">
      <c r="A111" s="10"/>
      <c r="B111" s="10"/>
      <c r="C111" s="10"/>
      <c r="D111" s="10"/>
      <c r="E111" s="10"/>
      <c r="F111" s="10"/>
      <c r="G111" s="10"/>
      <c r="H111" s="10"/>
      <c r="I111" s="1" t="str">
        <f t="shared" si="3"/>
        <v/>
      </c>
      <c r="J111" s="1" t="s">
        <v>35</v>
      </c>
      <c r="K111" s="1" t="str">
        <f t="shared" si="4"/>
        <v/>
      </c>
      <c r="L111" s="1" t="str">
        <f t="shared" si="5"/>
        <v/>
      </c>
      <c r="M111" s="1">
        <f>IF(OR(Table1[[#This Row],[Std Nom]]="",Table1[[#This Row],[Std Read]]=""),0,Table1[[#This Row],[Std Nom]]-Table1[[#This Row],[Std Read]])</f>
        <v>0</v>
      </c>
      <c r="N111" s="1">
        <f>IF(Calculations!$F$5="ACCREDITED 17025 WITH UNCERTAINTIES",$N$10,0)</f>
        <v>0</v>
      </c>
      <c r="O111" s="1" t="str">
        <f>IFERROR(Table1[[#This Row],[Std Nom]]-(_xlfn.XLOOKUP(Table1[[#This Row],[Manufacturer]]&amp;" "&amp;Table1[[#This Row],[Model]],Table13[MFR &amp; MDL],Table13[Tolerance % CW ],"")/100*Table1[[#This Row],[Std Nom]]),"")</f>
        <v/>
      </c>
      <c r="P111" s="1" t="str">
        <f>IFERROR(Table1[[#This Row],[Std Nom]]+(_xlfn.XLOOKUP(Table1[[#This Row],[Manufacturer]]&amp;" "&amp;Table1[[#This Row],[Model]],Table13[MFR &amp; MDL],Table13[Tolerance % CW ],"")/100*Table1[[#This Row],[Std Nom]]),"")</f>
        <v/>
      </c>
      <c r="Q111" s="1" t="e">
        <f>Table1[[#This Row],[High Tol]]-Table1[[#This Row],[Low Tol]]</f>
        <v>#VALUE!</v>
      </c>
      <c r="R111" s="1">
        <f>2*Table1[[#This Row],[Std Error]]</f>
        <v>0</v>
      </c>
      <c r="S111" s="1" t="str">
        <f>IF(Table1[[#This Row],[High Tol]]="","N/A",IFERROR(ABS(Table1[[#This Row],[Tol Span]]/Table1[[#This Row],[Error Span]]),"N/A"))</f>
        <v>N/A</v>
      </c>
      <c r="T111" s="1" t="str">
        <f>IF(OR(Table1[[#This Row],[Low Tol]]="",Table1[[#This Row],[High Tol]]=""),"Needs Analysis",IF(Table1[[#This Row],[Ratio]]&gt;=4,"Not Significant",IF(Table1[[#This Row],[Ratio]]&gt;=2,"Semi-Significant","Significant")))</f>
        <v>Needs Analysis</v>
      </c>
      <c r="W111" s="1">
        <f>IF(Table1[[#This Row],[Cal Type]]&lt;&gt;"ACCREDITED 17025 WITH UNCERTAINTIES",0,"")</f>
        <v>0</v>
      </c>
      <c r="X111" s="1" t="str">
        <f>IF(Table1[[#This Row],[DUT Read]]="","N/A",Table1[[#This Row],[Std Error]]+Table1[[#This Row],[DUT Read]]+Table1[[#This Row],[DUT Ucty]])</f>
        <v>N/A</v>
      </c>
      <c r="Y111" s="1" t="str">
        <f>IF(Table1[[#This Row],[Std Read]]="","N/A",Table1[[#This Row],[Std Read]]+Table1[[#This Row],[Std Ucty]])</f>
        <v>N/A</v>
      </c>
      <c r="Z1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 s="1" t="str">
        <f>IF(Table1[[#This Row],[Spec Type]]="","N/A",Table1[[#This Row],[Spec Type]])</f>
        <v>±</v>
      </c>
      <c r="AC111" s="1" t="str">
        <f>IF(Table1[[#This Row],[Spec Type2]]="N/A","N/A",IF(AND(Table1[[#This Row],[DUT Adj Read]]&gt;=Table1[[#This Row],[Low Tol]],Table1[[#This Row],[DUT Adj Read]]&lt;=Table1[[#This Row],[High Tol]]),"Pass","Fail"))</f>
        <v>Fail</v>
      </c>
      <c r="AD111" s="1" t="str">
        <f>IF(AND(Table1[[#This Row],[Spec Type2]]="N/A",Table1[[#This Row],[DUT Adj Read]]="N/A",Table1[[#This Row],[Std Adj Read]]="N/A"),"N/A",IF(Table1[[#This Row],[DUT Adj Read]]="N/A",IF(Table1[[#This Row],[Std Adj Read]]&gt;Table1[[#This Row],[Low Tol]],"Pass","Fail"),IF(Table1[[#This Row],[DUT Adj Read]]&gt;Table1[[#This Row],[Low Tol]],"Pass","Fail")))</f>
        <v>Pass</v>
      </c>
      <c r="AE111" s="1" t="str">
        <f>IF(AND(Table1[[#This Row],[Spec Type2]]="N/A",Table1[[#This Row],[DUT Adj Read]]="N/A",Table1[[#This Row],[Std Adj Read]]="N/A"),"N/A",IF(Table1[[#This Row],[DUT Adj Read]]="N/A",IF(Table1[[#This Row],[Std Adj Read]]&lt;Table1[[#This Row],[High Tol]],"Pass","Fail"),IF(Table1[[#This Row],[DUT Adj Read]]&lt;Table1[[#This Row],[High Tol]],"Pass","Fail")))</f>
        <v>Fail</v>
      </c>
      <c r="AF111" s="1" t="str">
        <f>IF(AND(Table1[[#This Row],[Spec Type2]]="N/A",Table1[[#This Row],[DUT Adj Read]]="N/A",Table1[[#This Row],[Std Adj Read]]="N/A"),"N/A",IF(Table1[[#This Row],[DUT Adj Read]]="N/A",IF(Table1[[#This Row],[Std Adj Read]]&gt;=Table1[[#This Row],[Low Tol]],"Pass","Fail"),IF(Table1[[#This Row],[DUT Adj Read]]&gt;=Table1[[#This Row],[Low Tol]],"Pass","Fail")))</f>
        <v>Pass</v>
      </c>
      <c r="AG111" s="1" t="str">
        <f>IF(AND(Table1[[#This Row],[Spec Type2]]="N/A",Table1[[#This Row],[DUT Adj Read]]="N/A",Table1[[#This Row],[Std Adj Read]]="N/A"),"N/A",IF(Table1[[#This Row],[DUT Adj Read]]="N/A",IF(Table1[[#This Row],[Std Adj Read]]&lt;=Table1[[#This Row],[High Tol]],"Pass","Fail"),IF(Table1[[#This Row],[DUT Adj Read]]&lt;=Table1[[#This Row],[High Tol]],"Pass","Fail")))</f>
        <v>Fail</v>
      </c>
      <c r="AH1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 s="1" t="b">
        <v>0</v>
      </c>
      <c r="AN111" s="1" t="b">
        <v>0</v>
      </c>
      <c r="AO111" s="1" t="b">
        <v>0</v>
      </c>
    </row>
    <row r="112" spans="1:41" x14ac:dyDescent="0.25">
      <c r="A112" s="10"/>
      <c r="B112" s="10"/>
      <c r="C112" s="10"/>
      <c r="D112" s="10"/>
      <c r="E112" s="10"/>
      <c r="F112" s="10"/>
      <c r="G112" s="10"/>
      <c r="H112" s="10"/>
      <c r="I112" s="1" t="str">
        <f t="shared" si="3"/>
        <v/>
      </c>
      <c r="J112" s="1" t="s">
        <v>35</v>
      </c>
      <c r="K112" s="1" t="str">
        <f t="shared" si="4"/>
        <v/>
      </c>
      <c r="L112" s="1" t="str">
        <f t="shared" si="5"/>
        <v/>
      </c>
      <c r="M112" s="1">
        <f>IF(OR(Table1[[#This Row],[Std Nom]]="",Table1[[#This Row],[Std Read]]=""),0,Table1[[#This Row],[Std Nom]]-Table1[[#This Row],[Std Read]])</f>
        <v>0</v>
      </c>
      <c r="N112" s="1">
        <f>IF(Calculations!$F$5="ACCREDITED 17025 WITH UNCERTAINTIES",$N$10,0)</f>
        <v>0</v>
      </c>
      <c r="O112" s="1" t="str">
        <f>IFERROR(Table1[[#This Row],[Std Nom]]-(_xlfn.XLOOKUP(Table1[[#This Row],[Manufacturer]]&amp;" "&amp;Table1[[#This Row],[Model]],Table13[MFR &amp; MDL],Table13[Tolerance % CW ],"")/100*Table1[[#This Row],[Std Nom]]),"")</f>
        <v/>
      </c>
      <c r="P112" s="1" t="str">
        <f>IFERROR(Table1[[#This Row],[Std Nom]]+(_xlfn.XLOOKUP(Table1[[#This Row],[Manufacturer]]&amp;" "&amp;Table1[[#This Row],[Model]],Table13[MFR &amp; MDL],Table13[Tolerance % CW ],"")/100*Table1[[#This Row],[Std Nom]]),"")</f>
        <v/>
      </c>
      <c r="Q112" s="1" t="e">
        <f>Table1[[#This Row],[High Tol]]-Table1[[#This Row],[Low Tol]]</f>
        <v>#VALUE!</v>
      </c>
      <c r="R112" s="1">
        <f>2*Table1[[#This Row],[Std Error]]</f>
        <v>0</v>
      </c>
      <c r="S112" s="1" t="str">
        <f>IF(Table1[[#This Row],[High Tol]]="","N/A",IFERROR(ABS(Table1[[#This Row],[Tol Span]]/Table1[[#This Row],[Error Span]]),"N/A"))</f>
        <v>N/A</v>
      </c>
      <c r="T112" s="1" t="str">
        <f>IF(OR(Table1[[#This Row],[Low Tol]]="",Table1[[#This Row],[High Tol]]=""),"Needs Analysis",IF(Table1[[#This Row],[Ratio]]&gt;=4,"Not Significant",IF(Table1[[#This Row],[Ratio]]&gt;=2,"Semi-Significant","Significant")))</f>
        <v>Needs Analysis</v>
      </c>
      <c r="W112" s="1">
        <f>IF(Table1[[#This Row],[Cal Type]]&lt;&gt;"ACCREDITED 17025 WITH UNCERTAINTIES",0,"")</f>
        <v>0</v>
      </c>
      <c r="X112" s="1" t="str">
        <f>IF(Table1[[#This Row],[DUT Read]]="","N/A",Table1[[#This Row],[Std Error]]+Table1[[#This Row],[DUT Read]]+Table1[[#This Row],[DUT Ucty]])</f>
        <v>N/A</v>
      </c>
      <c r="Y112" s="1" t="str">
        <f>IF(Table1[[#This Row],[Std Read]]="","N/A",Table1[[#This Row],[Std Read]]+Table1[[#This Row],[Std Ucty]])</f>
        <v>N/A</v>
      </c>
      <c r="Z1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 s="1" t="str">
        <f>IF(Table1[[#This Row],[Spec Type]]="","N/A",Table1[[#This Row],[Spec Type]])</f>
        <v>±</v>
      </c>
      <c r="AC112" s="1" t="str">
        <f>IF(Table1[[#This Row],[Spec Type2]]="N/A","N/A",IF(AND(Table1[[#This Row],[DUT Adj Read]]&gt;=Table1[[#This Row],[Low Tol]],Table1[[#This Row],[DUT Adj Read]]&lt;=Table1[[#This Row],[High Tol]]),"Pass","Fail"))</f>
        <v>Fail</v>
      </c>
      <c r="AD112" s="1" t="str">
        <f>IF(AND(Table1[[#This Row],[Spec Type2]]="N/A",Table1[[#This Row],[DUT Adj Read]]="N/A",Table1[[#This Row],[Std Adj Read]]="N/A"),"N/A",IF(Table1[[#This Row],[DUT Adj Read]]="N/A",IF(Table1[[#This Row],[Std Adj Read]]&gt;Table1[[#This Row],[Low Tol]],"Pass","Fail"),IF(Table1[[#This Row],[DUT Adj Read]]&gt;Table1[[#This Row],[Low Tol]],"Pass","Fail")))</f>
        <v>Pass</v>
      </c>
      <c r="AE112" s="1" t="str">
        <f>IF(AND(Table1[[#This Row],[Spec Type2]]="N/A",Table1[[#This Row],[DUT Adj Read]]="N/A",Table1[[#This Row],[Std Adj Read]]="N/A"),"N/A",IF(Table1[[#This Row],[DUT Adj Read]]="N/A",IF(Table1[[#This Row],[Std Adj Read]]&lt;Table1[[#This Row],[High Tol]],"Pass","Fail"),IF(Table1[[#This Row],[DUT Adj Read]]&lt;Table1[[#This Row],[High Tol]],"Pass","Fail")))</f>
        <v>Fail</v>
      </c>
      <c r="AF112" s="1" t="str">
        <f>IF(AND(Table1[[#This Row],[Spec Type2]]="N/A",Table1[[#This Row],[DUT Adj Read]]="N/A",Table1[[#This Row],[Std Adj Read]]="N/A"),"N/A",IF(Table1[[#This Row],[DUT Adj Read]]="N/A",IF(Table1[[#This Row],[Std Adj Read]]&gt;=Table1[[#This Row],[Low Tol]],"Pass","Fail"),IF(Table1[[#This Row],[DUT Adj Read]]&gt;=Table1[[#This Row],[Low Tol]],"Pass","Fail")))</f>
        <v>Pass</v>
      </c>
      <c r="AG112" s="1" t="str">
        <f>IF(AND(Table1[[#This Row],[Spec Type2]]="N/A",Table1[[#This Row],[DUT Adj Read]]="N/A",Table1[[#This Row],[Std Adj Read]]="N/A"),"N/A",IF(Table1[[#This Row],[DUT Adj Read]]="N/A",IF(Table1[[#This Row],[Std Adj Read]]&lt;=Table1[[#This Row],[High Tol]],"Pass","Fail"),IF(Table1[[#This Row],[DUT Adj Read]]&lt;=Table1[[#This Row],[High Tol]],"Pass","Fail")))</f>
        <v>Fail</v>
      </c>
      <c r="AH1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 s="1" t="b">
        <v>0</v>
      </c>
      <c r="AN112" s="1" t="b">
        <v>0</v>
      </c>
      <c r="AO112" s="1" t="b">
        <v>0</v>
      </c>
    </row>
    <row r="113" spans="1:41" x14ac:dyDescent="0.25">
      <c r="A113" s="10"/>
      <c r="B113" s="10"/>
      <c r="C113" s="10"/>
      <c r="D113" s="10"/>
      <c r="E113" s="10"/>
      <c r="F113" s="10"/>
      <c r="G113" s="10"/>
      <c r="H113" s="10"/>
      <c r="I113" s="1" t="str">
        <f t="shared" si="3"/>
        <v/>
      </c>
      <c r="J113" s="1" t="s">
        <v>35</v>
      </c>
      <c r="K113" s="1" t="str">
        <f t="shared" si="4"/>
        <v/>
      </c>
      <c r="L113" s="1" t="str">
        <f t="shared" si="5"/>
        <v/>
      </c>
      <c r="M113" s="1">
        <f>IF(OR(Table1[[#This Row],[Std Nom]]="",Table1[[#This Row],[Std Read]]=""),0,Table1[[#This Row],[Std Nom]]-Table1[[#This Row],[Std Read]])</f>
        <v>0</v>
      </c>
      <c r="N113" s="1">
        <f>IF(Calculations!$F$5="ACCREDITED 17025 WITH UNCERTAINTIES",$N$10,0)</f>
        <v>0</v>
      </c>
      <c r="O113" s="1" t="str">
        <f>IFERROR(Table1[[#This Row],[Std Nom]]-(_xlfn.XLOOKUP(Table1[[#This Row],[Manufacturer]]&amp;" "&amp;Table1[[#This Row],[Model]],Table13[MFR &amp; MDL],Table13[Tolerance % CW ],"")/100*Table1[[#This Row],[Std Nom]]),"")</f>
        <v/>
      </c>
      <c r="P113" s="1" t="str">
        <f>IFERROR(Table1[[#This Row],[Std Nom]]+(_xlfn.XLOOKUP(Table1[[#This Row],[Manufacturer]]&amp;" "&amp;Table1[[#This Row],[Model]],Table13[MFR &amp; MDL],Table13[Tolerance % CW ],"")/100*Table1[[#This Row],[Std Nom]]),"")</f>
        <v/>
      </c>
      <c r="Q113" s="1" t="e">
        <f>Table1[[#This Row],[High Tol]]-Table1[[#This Row],[Low Tol]]</f>
        <v>#VALUE!</v>
      </c>
      <c r="R113" s="1">
        <f>2*Table1[[#This Row],[Std Error]]</f>
        <v>0</v>
      </c>
      <c r="S113" s="1" t="str">
        <f>IF(Table1[[#This Row],[High Tol]]="","N/A",IFERROR(ABS(Table1[[#This Row],[Tol Span]]/Table1[[#This Row],[Error Span]]),"N/A"))</f>
        <v>N/A</v>
      </c>
      <c r="T113" s="1" t="str">
        <f>IF(OR(Table1[[#This Row],[Low Tol]]="",Table1[[#This Row],[High Tol]]=""),"Needs Analysis",IF(Table1[[#This Row],[Ratio]]&gt;=4,"Not Significant",IF(Table1[[#This Row],[Ratio]]&gt;=2,"Semi-Significant","Significant")))</f>
        <v>Needs Analysis</v>
      </c>
      <c r="W113" s="1">
        <f>IF(Table1[[#This Row],[Cal Type]]&lt;&gt;"ACCREDITED 17025 WITH UNCERTAINTIES",0,"")</f>
        <v>0</v>
      </c>
      <c r="X113" s="1" t="str">
        <f>IF(Table1[[#This Row],[DUT Read]]="","N/A",Table1[[#This Row],[Std Error]]+Table1[[#This Row],[DUT Read]]+Table1[[#This Row],[DUT Ucty]])</f>
        <v>N/A</v>
      </c>
      <c r="Y113" s="1" t="str">
        <f>IF(Table1[[#This Row],[Std Read]]="","N/A",Table1[[#This Row],[Std Read]]+Table1[[#This Row],[Std Ucty]])</f>
        <v>N/A</v>
      </c>
      <c r="Z1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 s="1" t="str">
        <f>IF(Table1[[#This Row],[Spec Type]]="","N/A",Table1[[#This Row],[Spec Type]])</f>
        <v>±</v>
      </c>
      <c r="AC113" s="1" t="str">
        <f>IF(Table1[[#This Row],[Spec Type2]]="N/A","N/A",IF(AND(Table1[[#This Row],[DUT Adj Read]]&gt;=Table1[[#This Row],[Low Tol]],Table1[[#This Row],[DUT Adj Read]]&lt;=Table1[[#This Row],[High Tol]]),"Pass","Fail"))</f>
        <v>Fail</v>
      </c>
      <c r="AD113" s="1" t="str">
        <f>IF(AND(Table1[[#This Row],[Spec Type2]]="N/A",Table1[[#This Row],[DUT Adj Read]]="N/A",Table1[[#This Row],[Std Adj Read]]="N/A"),"N/A",IF(Table1[[#This Row],[DUT Adj Read]]="N/A",IF(Table1[[#This Row],[Std Adj Read]]&gt;Table1[[#This Row],[Low Tol]],"Pass","Fail"),IF(Table1[[#This Row],[DUT Adj Read]]&gt;Table1[[#This Row],[Low Tol]],"Pass","Fail")))</f>
        <v>Pass</v>
      </c>
      <c r="AE113" s="1" t="str">
        <f>IF(AND(Table1[[#This Row],[Spec Type2]]="N/A",Table1[[#This Row],[DUT Adj Read]]="N/A",Table1[[#This Row],[Std Adj Read]]="N/A"),"N/A",IF(Table1[[#This Row],[DUT Adj Read]]="N/A",IF(Table1[[#This Row],[Std Adj Read]]&lt;Table1[[#This Row],[High Tol]],"Pass","Fail"),IF(Table1[[#This Row],[DUT Adj Read]]&lt;Table1[[#This Row],[High Tol]],"Pass","Fail")))</f>
        <v>Fail</v>
      </c>
      <c r="AF113" s="1" t="str">
        <f>IF(AND(Table1[[#This Row],[Spec Type2]]="N/A",Table1[[#This Row],[DUT Adj Read]]="N/A",Table1[[#This Row],[Std Adj Read]]="N/A"),"N/A",IF(Table1[[#This Row],[DUT Adj Read]]="N/A",IF(Table1[[#This Row],[Std Adj Read]]&gt;=Table1[[#This Row],[Low Tol]],"Pass","Fail"),IF(Table1[[#This Row],[DUT Adj Read]]&gt;=Table1[[#This Row],[Low Tol]],"Pass","Fail")))</f>
        <v>Pass</v>
      </c>
      <c r="AG113" s="1" t="str">
        <f>IF(AND(Table1[[#This Row],[Spec Type2]]="N/A",Table1[[#This Row],[DUT Adj Read]]="N/A",Table1[[#This Row],[Std Adj Read]]="N/A"),"N/A",IF(Table1[[#This Row],[DUT Adj Read]]="N/A",IF(Table1[[#This Row],[Std Adj Read]]&lt;=Table1[[#This Row],[High Tol]],"Pass","Fail"),IF(Table1[[#This Row],[DUT Adj Read]]&lt;=Table1[[#This Row],[High Tol]],"Pass","Fail")))</f>
        <v>Fail</v>
      </c>
      <c r="AH1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 s="1" t="b">
        <v>0</v>
      </c>
      <c r="AN113" s="1" t="b">
        <v>0</v>
      </c>
      <c r="AO113" s="1" t="b">
        <v>0</v>
      </c>
    </row>
    <row r="114" spans="1:41" x14ac:dyDescent="0.25">
      <c r="A114" s="10"/>
      <c r="B114" s="10"/>
      <c r="C114" s="10"/>
      <c r="D114" s="10"/>
      <c r="E114" s="10"/>
      <c r="F114" s="10"/>
      <c r="G114" s="10"/>
      <c r="H114" s="10"/>
      <c r="I114" s="1" t="str">
        <f t="shared" si="3"/>
        <v/>
      </c>
      <c r="J114" s="1" t="s">
        <v>35</v>
      </c>
      <c r="K114" s="1" t="str">
        <f t="shared" si="4"/>
        <v/>
      </c>
      <c r="L114" s="1" t="str">
        <f t="shared" si="5"/>
        <v/>
      </c>
      <c r="M114" s="1">
        <f>IF(OR(Table1[[#This Row],[Std Nom]]="",Table1[[#This Row],[Std Read]]=""),0,Table1[[#This Row],[Std Nom]]-Table1[[#This Row],[Std Read]])</f>
        <v>0</v>
      </c>
      <c r="N114" s="1">
        <f>IF(Calculations!$F$5="ACCREDITED 17025 WITH UNCERTAINTIES",$N$10,0)</f>
        <v>0</v>
      </c>
      <c r="O114" s="1" t="str">
        <f>IFERROR(Table1[[#This Row],[Std Nom]]-(_xlfn.XLOOKUP(Table1[[#This Row],[Manufacturer]]&amp;" "&amp;Table1[[#This Row],[Model]],Table13[MFR &amp; MDL],Table13[Tolerance % CW ],"")/100*Table1[[#This Row],[Std Nom]]),"")</f>
        <v/>
      </c>
      <c r="P114" s="1" t="str">
        <f>IFERROR(Table1[[#This Row],[Std Nom]]+(_xlfn.XLOOKUP(Table1[[#This Row],[Manufacturer]]&amp;" "&amp;Table1[[#This Row],[Model]],Table13[MFR &amp; MDL],Table13[Tolerance % CW ],"")/100*Table1[[#This Row],[Std Nom]]),"")</f>
        <v/>
      </c>
      <c r="Q114" s="1" t="e">
        <f>Table1[[#This Row],[High Tol]]-Table1[[#This Row],[Low Tol]]</f>
        <v>#VALUE!</v>
      </c>
      <c r="R114" s="1">
        <f>2*Table1[[#This Row],[Std Error]]</f>
        <v>0</v>
      </c>
      <c r="S114" s="1" t="str">
        <f>IF(Table1[[#This Row],[High Tol]]="","N/A",IFERROR(ABS(Table1[[#This Row],[Tol Span]]/Table1[[#This Row],[Error Span]]),"N/A"))</f>
        <v>N/A</v>
      </c>
      <c r="T114" s="1" t="str">
        <f>IF(OR(Table1[[#This Row],[Low Tol]]="",Table1[[#This Row],[High Tol]]=""),"Needs Analysis",IF(Table1[[#This Row],[Ratio]]&gt;=4,"Not Significant",IF(Table1[[#This Row],[Ratio]]&gt;=2,"Semi-Significant","Significant")))</f>
        <v>Needs Analysis</v>
      </c>
      <c r="W114" s="1">
        <f>IF(Table1[[#This Row],[Cal Type]]&lt;&gt;"ACCREDITED 17025 WITH UNCERTAINTIES",0,"")</f>
        <v>0</v>
      </c>
      <c r="X114" s="1" t="str">
        <f>IF(Table1[[#This Row],[DUT Read]]="","N/A",Table1[[#This Row],[Std Error]]+Table1[[#This Row],[DUT Read]]+Table1[[#This Row],[DUT Ucty]])</f>
        <v>N/A</v>
      </c>
      <c r="Y114" s="1" t="str">
        <f>IF(Table1[[#This Row],[Std Read]]="","N/A",Table1[[#This Row],[Std Read]]+Table1[[#This Row],[Std Ucty]])</f>
        <v>N/A</v>
      </c>
      <c r="Z1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 s="1" t="str">
        <f>IF(Table1[[#This Row],[Spec Type]]="","N/A",Table1[[#This Row],[Spec Type]])</f>
        <v>±</v>
      </c>
      <c r="AC114" s="1" t="str">
        <f>IF(Table1[[#This Row],[Spec Type2]]="N/A","N/A",IF(AND(Table1[[#This Row],[DUT Adj Read]]&gt;=Table1[[#This Row],[Low Tol]],Table1[[#This Row],[DUT Adj Read]]&lt;=Table1[[#This Row],[High Tol]]),"Pass","Fail"))</f>
        <v>Fail</v>
      </c>
      <c r="AD114" s="1" t="str">
        <f>IF(AND(Table1[[#This Row],[Spec Type2]]="N/A",Table1[[#This Row],[DUT Adj Read]]="N/A",Table1[[#This Row],[Std Adj Read]]="N/A"),"N/A",IF(Table1[[#This Row],[DUT Adj Read]]="N/A",IF(Table1[[#This Row],[Std Adj Read]]&gt;Table1[[#This Row],[Low Tol]],"Pass","Fail"),IF(Table1[[#This Row],[DUT Adj Read]]&gt;Table1[[#This Row],[Low Tol]],"Pass","Fail")))</f>
        <v>Pass</v>
      </c>
      <c r="AE114" s="1" t="str">
        <f>IF(AND(Table1[[#This Row],[Spec Type2]]="N/A",Table1[[#This Row],[DUT Adj Read]]="N/A",Table1[[#This Row],[Std Adj Read]]="N/A"),"N/A",IF(Table1[[#This Row],[DUT Adj Read]]="N/A",IF(Table1[[#This Row],[Std Adj Read]]&lt;Table1[[#This Row],[High Tol]],"Pass","Fail"),IF(Table1[[#This Row],[DUT Adj Read]]&lt;Table1[[#This Row],[High Tol]],"Pass","Fail")))</f>
        <v>Fail</v>
      </c>
      <c r="AF114" s="1" t="str">
        <f>IF(AND(Table1[[#This Row],[Spec Type2]]="N/A",Table1[[#This Row],[DUT Adj Read]]="N/A",Table1[[#This Row],[Std Adj Read]]="N/A"),"N/A",IF(Table1[[#This Row],[DUT Adj Read]]="N/A",IF(Table1[[#This Row],[Std Adj Read]]&gt;=Table1[[#This Row],[Low Tol]],"Pass","Fail"),IF(Table1[[#This Row],[DUT Adj Read]]&gt;=Table1[[#This Row],[Low Tol]],"Pass","Fail")))</f>
        <v>Pass</v>
      </c>
      <c r="AG114" s="1" t="str">
        <f>IF(AND(Table1[[#This Row],[Spec Type2]]="N/A",Table1[[#This Row],[DUT Adj Read]]="N/A",Table1[[#This Row],[Std Adj Read]]="N/A"),"N/A",IF(Table1[[#This Row],[DUT Adj Read]]="N/A",IF(Table1[[#This Row],[Std Adj Read]]&lt;=Table1[[#This Row],[High Tol]],"Pass","Fail"),IF(Table1[[#This Row],[DUT Adj Read]]&lt;=Table1[[#This Row],[High Tol]],"Pass","Fail")))</f>
        <v>Fail</v>
      </c>
      <c r="AH1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 s="1" t="b">
        <v>0</v>
      </c>
      <c r="AN114" s="1" t="b">
        <v>0</v>
      </c>
      <c r="AO114" s="1" t="b">
        <v>0</v>
      </c>
    </row>
    <row r="115" spans="1:41" x14ac:dyDescent="0.25">
      <c r="A115" s="10"/>
      <c r="B115" s="10"/>
      <c r="C115" s="10"/>
      <c r="D115" s="10"/>
      <c r="E115" s="10"/>
      <c r="F115" s="10"/>
      <c r="G115" s="10"/>
      <c r="H115" s="10"/>
      <c r="I115" s="1" t="str">
        <f t="shared" si="3"/>
        <v/>
      </c>
      <c r="J115" s="1" t="s">
        <v>35</v>
      </c>
      <c r="K115" s="1" t="str">
        <f t="shared" si="4"/>
        <v/>
      </c>
      <c r="L115" s="1" t="str">
        <f t="shared" si="5"/>
        <v/>
      </c>
      <c r="M115" s="1">
        <f>IF(OR(Table1[[#This Row],[Std Nom]]="",Table1[[#This Row],[Std Read]]=""),0,Table1[[#This Row],[Std Nom]]-Table1[[#This Row],[Std Read]])</f>
        <v>0</v>
      </c>
      <c r="N115" s="1">
        <f>IF(Calculations!$F$5="ACCREDITED 17025 WITH UNCERTAINTIES",$N$10,0)</f>
        <v>0</v>
      </c>
      <c r="O115" s="1" t="str">
        <f>IFERROR(Table1[[#This Row],[Std Nom]]-(_xlfn.XLOOKUP(Table1[[#This Row],[Manufacturer]]&amp;" "&amp;Table1[[#This Row],[Model]],Table13[MFR &amp; MDL],Table13[Tolerance % CW ],"")/100*Table1[[#This Row],[Std Nom]]),"")</f>
        <v/>
      </c>
      <c r="P115" s="1" t="str">
        <f>IFERROR(Table1[[#This Row],[Std Nom]]+(_xlfn.XLOOKUP(Table1[[#This Row],[Manufacturer]]&amp;" "&amp;Table1[[#This Row],[Model]],Table13[MFR &amp; MDL],Table13[Tolerance % CW ],"")/100*Table1[[#This Row],[Std Nom]]),"")</f>
        <v/>
      </c>
      <c r="Q115" s="1" t="e">
        <f>Table1[[#This Row],[High Tol]]-Table1[[#This Row],[Low Tol]]</f>
        <v>#VALUE!</v>
      </c>
      <c r="R115" s="1">
        <f>2*Table1[[#This Row],[Std Error]]</f>
        <v>0</v>
      </c>
      <c r="S115" s="1" t="str">
        <f>IF(Table1[[#This Row],[High Tol]]="","N/A",IFERROR(ABS(Table1[[#This Row],[Tol Span]]/Table1[[#This Row],[Error Span]]),"N/A"))</f>
        <v>N/A</v>
      </c>
      <c r="T115" s="1" t="str">
        <f>IF(OR(Table1[[#This Row],[Low Tol]]="",Table1[[#This Row],[High Tol]]=""),"Needs Analysis",IF(Table1[[#This Row],[Ratio]]&gt;=4,"Not Significant",IF(Table1[[#This Row],[Ratio]]&gt;=2,"Semi-Significant","Significant")))</f>
        <v>Needs Analysis</v>
      </c>
      <c r="W115" s="1">
        <f>IF(Table1[[#This Row],[Cal Type]]&lt;&gt;"ACCREDITED 17025 WITH UNCERTAINTIES",0,"")</f>
        <v>0</v>
      </c>
      <c r="X115" s="1" t="str">
        <f>IF(Table1[[#This Row],[DUT Read]]="","N/A",Table1[[#This Row],[Std Error]]+Table1[[#This Row],[DUT Read]]+Table1[[#This Row],[DUT Ucty]])</f>
        <v>N/A</v>
      </c>
      <c r="Y115" s="1" t="str">
        <f>IF(Table1[[#This Row],[Std Read]]="","N/A",Table1[[#This Row],[Std Read]]+Table1[[#This Row],[Std Ucty]])</f>
        <v>N/A</v>
      </c>
      <c r="Z1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 s="1" t="str">
        <f>IF(Table1[[#This Row],[Spec Type]]="","N/A",Table1[[#This Row],[Spec Type]])</f>
        <v>±</v>
      </c>
      <c r="AC115" s="1" t="str">
        <f>IF(Table1[[#This Row],[Spec Type2]]="N/A","N/A",IF(AND(Table1[[#This Row],[DUT Adj Read]]&gt;=Table1[[#This Row],[Low Tol]],Table1[[#This Row],[DUT Adj Read]]&lt;=Table1[[#This Row],[High Tol]]),"Pass","Fail"))</f>
        <v>Fail</v>
      </c>
      <c r="AD115" s="1" t="str">
        <f>IF(AND(Table1[[#This Row],[Spec Type2]]="N/A",Table1[[#This Row],[DUT Adj Read]]="N/A",Table1[[#This Row],[Std Adj Read]]="N/A"),"N/A",IF(Table1[[#This Row],[DUT Adj Read]]="N/A",IF(Table1[[#This Row],[Std Adj Read]]&gt;Table1[[#This Row],[Low Tol]],"Pass","Fail"),IF(Table1[[#This Row],[DUT Adj Read]]&gt;Table1[[#This Row],[Low Tol]],"Pass","Fail")))</f>
        <v>Pass</v>
      </c>
      <c r="AE115" s="1" t="str">
        <f>IF(AND(Table1[[#This Row],[Spec Type2]]="N/A",Table1[[#This Row],[DUT Adj Read]]="N/A",Table1[[#This Row],[Std Adj Read]]="N/A"),"N/A",IF(Table1[[#This Row],[DUT Adj Read]]="N/A",IF(Table1[[#This Row],[Std Adj Read]]&lt;Table1[[#This Row],[High Tol]],"Pass","Fail"),IF(Table1[[#This Row],[DUT Adj Read]]&lt;Table1[[#This Row],[High Tol]],"Pass","Fail")))</f>
        <v>Fail</v>
      </c>
      <c r="AF115" s="1" t="str">
        <f>IF(AND(Table1[[#This Row],[Spec Type2]]="N/A",Table1[[#This Row],[DUT Adj Read]]="N/A",Table1[[#This Row],[Std Adj Read]]="N/A"),"N/A",IF(Table1[[#This Row],[DUT Adj Read]]="N/A",IF(Table1[[#This Row],[Std Adj Read]]&gt;=Table1[[#This Row],[Low Tol]],"Pass","Fail"),IF(Table1[[#This Row],[DUT Adj Read]]&gt;=Table1[[#This Row],[Low Tol]],"Pass","Fail")))</f>
        <v>Pass</v>
      </c>
      <c r="AG115" s="1" t="str">
        <f>IF(AND(Table1[[#This Row],[Spec Type2]]="N/A",Table1[[#This Row],[DUT Adj Read]]="N/A",Table1[[#This Row],[Std Adj Read]]="N/A"),"N/A",IF(Table1[[#This Row],[DUT Adj Read]]="N/A",IF(Table1[[#This Row],[Std Adj Read]]&lt;=Table1[[#This Row],[High Tol]],"Pass","Fail"),IF(Table1[[#This Row],[DUT Adj Read]]&lt;=Table1[[#This Row],[High Tol]],"Pass","Fail")))</f>
        <v>Fail</v>
      </c>
      <c r="AH1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 s="1" t="b">
        <v>0</v>
      </c>
      <c r="AN115" s="1" t="b">
        <v>0</v>
      </c>
      <c r="AO115" s="1" t="b">
        <v>0</v>
      </c>
    </row>
    <row r="116" spans="1:41" x14ac:dyDescent="0.25">
      <c r="A116" s="10"/>
      <c r="B116" s="10"/>
      <c r="C116" s="10"/>
      <c r="D116" s="10"/>
      <c r="E116" s="10"/>
      <c r="F116" s="10"/>
      <c r="G116" s="10"/>
      <c r="H116" s="10"/>
      <c r="I116" s="1" t="str">
        <f t="shared" si="3"/>
        <v/>
      </c>
      <c r="J116" s="1" t="s">
        <v>35</v>
      </c>
      <c r="K116" s="1" t="str">
        <f t="shared" si="4"/>
        <v/>
      </c>
      <c r="L116" s="1" t="str">
        <f t="shared" si="5"/>
        <v/>
      </c>
      <c r="M116" s="1">
        <f>IF(OR(Table1[[#This Row],[Std Nom]]="",Table1[[#This Row],[Std Read]]=""),0,Table1[[#This Row],[Std Nom]]-Table1[[#This Row],[Std Read]])</f>
        <v>0</v>
      </c>
      <c r="N116" s="1">
        <f>IF(Calculations!$F$5="ACCREDITED 17025 WITH UNCERTAINTIES",$N$10,0)</f>
        <v>0</v>
      </c>
      <c r="O116" s="1" t="str">
        <f>IFERROR(Table1[[#This Row],[Std Nom]]-(_xlfn.XLOOKUP(Table1[[#This Row],[Manufacturer]]&amp;" "&amp;Table1[[#This Row],[Model]],Table13[MFR &amp; MDL],Table13[Tolerance % CW ],"")/100*Table1[[#This Row],[Std Nom]]),"")</f>
        <v/>
      </c>
      <c r="P116" s="1" t="str">
        <f>IFERROR(Table1[[#This Row],[Std Nom]]+(_xlfn.XLOOKUP(Table1[[#This Row],[Manufacturer]]&amp;" "&amp;Table1[[#This Row],[Model]],Table13[MFR &amp; MDL],Table13[Tolerance % CW ],"")/100*Table1[[#This Row],[Std Nom]]),"")</f>
        <v/>
      </c>
      <c r="Q116" s="1" t="e">
        <f>Table1[[#This Row],[High Tol]]-Table1[[#This Row],[Low Tol]]</f>
        <v>#VALUE!</v>
      </c>
      <c r="R116" s="1">
        <f>2*Table1[[#This Row],[Std Error]]</f>
        <v>0</v>
      </c>
      <c r="S116" s="1" t="str">
        <f>IF(Table1[[#This Row],[High Tol]]="","N/A",IFERROR(ABS(Table1[[#This Row],[Tol Span]]/Table1[[#This Row],[Error Span]]),"N/A"))</f>
        <v>N/A</v>
      </c>
      <c r="T116" s="1" t="str">
        <f>IF(OR(Table1[[#This Row],[Low Tol]]="",Table1[[#This Row],[High Tol]]=""),"Needs Analysis",IF(Table1[[#This Row],[Ratio]]&gt;=4,"Not Significant",IF(Table1[[#This Row],[Ratio]]&gt;=2,"Semi-Significant","Significant")))</f>
        <v>Needs Analysis</v>
      </c>
      <c r="W116" s="1">
        <f>IF(Table1[[#This Row],[Cal Type]]&lt;&gt;"ACCREDITED 17025 WITH UNCERTAINTIES",0,"")</f>
        <v>0</v>
      </c>
      <c r="X116" s="1" t="str">
        <f>IF(Table1[[#This Row],[DUT Read]]="","N/A",Table1[[#This Row],[Std Error]]+Table1[[#This Row],[DUT Read]]+Table1[[#This Row],[DUT Ucty]])</f>
        <v>N/A</v>
      </c>
      <c r="Y116" s="1" t="str">
        <f>IF(Table1[[#This Row],[Std Read]]="","N/A",Table1[[#This Row],[Std Read]]+Table1[[#This Row],[Std Ucty]])</f>
        <v>N/A</v>
      </c>
      <c r="Z1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 s="1" t="str">
        <f>IF(Table1[[#This Row],[Spec Type]]="","N/A",Table1[[#This Row],[Spec Type]])</f>
        <v>±</v>
      </c>
      <c r="AC116" s="1" t="str">
        <f>IF(Table1[[#This Row],[Spec Type2]]="N/A","N/A",IF(AND(Table1[[#This Row],[DUT Adj Read]]&gt;=Table1[[#This Row],[Low Tol]],Table1[[#This Row],[DUT Adj Read]]&lt;=Table1[[#This Row],[High Tol]]),"Pass","Fail"))</f>
        <v>Fail</v>
      </c>
      <c r="AD116" s="1" t="str">
        <f>IF(AND(Table1[[#This Row],[Spec Type2]]="N/A",Table1[[#This Row],[DUT Adj Read]]="N/A",Table1[[#This Row],[Std Adj Read]]="N/A"),"N/A",IF(Table1[[#This Row],[DUT Adj Read]]="N/A",IF(Table1[[#This Row],[Std Adj Read]]&gt;Table1[[#This Row],[Low Tol]],"Pass","Fail"),IF(Table1[[#This Row],[DUT Adj Read]]&gt;Table1[[#This Row],[Low Tol]],"Pass","Fail")))</f>
        <v>Pass</v>
      </c>
      <c r="AE116" s="1" t="str">
        <f>IF(AND(Table1[[#This Row],[Spec Type2]]="N/A",Table1[[#This Row],[DUT Adj Read]]="N/A",Table1[[#This Row],[Std Adj Read]]="N/A"),"N/A",IF(Table1[[#This Row],[DUT Adj Read]]="N/A",IF(Table1[[#This Row],[Std Adj Read]]&lt;Table1[[#This Row],[High Tol]],"Pass","Fail"),IF(Table1[[#This Row],[DUT Adj Read]]&lt;Table1[[#This Row],[High Tol]],"Pass","Fail")))</f>
        <v>Fail</v>
      </c>
      <c r="AF116" s="1" t="str">
        <f>IF(AND(Table1[[#This Row],[Spec Type2]]="N/A",Table1[[#This Row],[DUT Adj Read]]="N/A",Table1[[#This Row],[Std Adj Read]]="N/A"),"N/A",IF(Table1[[#This Row],[DUT Adj Read]]="N/A",IF(Table1[[#This Row],[Std Adj Read]]&gt;=Table1[[#This Row],[Low Tol]],"Pass","Fail"),IF(Table1[[#This Row],[DUT Adj Read]]&gt;=Table1[[#This Row],[Low Tol]],"Pass","Fail")))</f>
        <v>Pass</v>
      </c>
      <c r="AG116" s="1" t="str">
        <f>IF(AND(Table1[[#This Row],[Spec Type2]]="N/A",Table1[[#This Row],[DUT Adj Read]]="N/A",Table1[[#This Row],[Std Adj Read]]="N/A"),"N/A",IF(Table1[[#This Row],[DUT Adj Read]]="N/A",IF(Table1[[#This Row],[Std Adj Read]]&lt;=Table1[[#This Row],[High Tol]],"Pass","Fail"),IF(Table1[[#This Row],[DUT Adj Read]]&lt;=Table1[[#This Row],[High Tol]],"Pass","Fail")))</f>
        <v>Fail</v>
      </c>
      <c r="AH1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 s="1" t="b">
        <v>0</v>
      </c>
      <c r="AN116" s="1" t="b">
        <v>0</v>
      </c>
      <c r="AO116" s="1" t="b">
        <v>0</v>
      </c>
    </row>
    <row r="117" spans="1:41" x14ac:dyDescent="0.25">
      <c r="A117" s="10"/>
      <c r="B117" s="10"/>
      <c r="C117" s="10"/>
      <c r="D117" s="10"/>
      <c r="E117" s="10"/>
      <c r="F117" s="10"/>
      <c r="G117" s="10"/>
      <c r="H117" s="10"/>
      <c r="I117" s="1" t="str">
        <f t="shared" si="3"/>
        <v/>
      </c>
      <c r="J117" s="1" t="s">
        <v>35</v>
      </c>
      <c r="K117" s="1" t="str">
        <f t="shared" si="4"/>
        <v/>
      </c>
      <c r="L117" s="1" t="str">
        <f t="shared" si="5"/>
        <v/>
      </c>
      <c r="M117" s="1">
        <f>IF(OR(Table1[[#This Row],[Std Nom]]="",Table1[[#This Row],[Std Read]]=""),0,Table1[[#This Row],[Std Nom]]-Table1[[#This Row],[Std Read]])</f>
        <v>0</v>
      </c>
      <c r="N117" s="1">
        <f>IF(Calculations!$F$5="ACCREDITED 17025 WITH UNCERTAINTIES",$N$10,0)</f>
        <v>0</v>
      </c>
      <c r="O117" s="1" t="str">
        <f>IFERROR(Table1[[#This Row],[Std Nom]]-(_xlfn.XLOOKUP(Table1[[#This Row],[Manufacturer]]&amp;" "&amp;Table1[[#This Row],[Model]],Table13[MFR &amp; MDL],Table13[Tolerance % CW ],"")/100*Table1[[#This Row],[Std Nom]]),"")</f>
        <v/>
      </c>
      <c r="P117" s="1" t="str">
        <f>IFERROR(Table1[[#This Row],[Std Nom]]+(_xlfn.XLOOKUP(Table1[[#This Row],[Manufacturer]]&amp;" "&amp;Table1[[#This Row],[Model]],Table13[MFR &amp; MDL],Table13[Tolerance % CW ],"")/100*Table1[[#This Row],[Std Nom]]),"")</f>
        <v/>
      </c>
      <c r="Q117" s="1" t="e">
        <f>Table1[[#This Row],[High Tol]]-Table1[[#This Row],[Low Tol]]</f>
        <v>#VALUE!</v>
      </c>
      <c r="R117" s="1">
        <f>2*Table1[[#This Row],[Std Error]]</f>
        <v>0</v>
      </c>
      <c r="S117" s="1" t="str">
        <f>IF(Table1[[#This Row],[High Tol]]="","N/A",IFERROR(ABS(Table1[[#This Row],[Tol Span]]/Table1[[#This Row],[Error Span]]),"N/A"))</f>
        <v>N/A</v>
      </c>
      <c r="T117" s="1" t="str">
        <f>IF(OR(Table1[[#This Row],[Low Tol]]="",Table1[[#This Row],[High Tol]]=""),"Needs Analysis",IF(Table1[[#This Row],[Ratio]]&gt;=4,"Not Significant",IF(Table1[[#This Row],[Ratio]]&gt;=2,"Semi-Significant","Significant")))</f>
        <v>Needs Analysis</v>
      </c>
      <c r="W117" s="1">
        <f>IF(Table1[[#This Row],[Cal Type]]&lt;&gt;"ACCREDITED 17025 WITH UNCERTAINTIES",0,"")</f>
        <v>0</v>
      </c>
      <c r="X117" s="1" t="str">
        <f>IF(Table1[[#This Row],[DUT Read]]="","N/A",Table1[[#This Row],[Std Error]]+Table1[[#This Row],[DUT Read]]+Table1[[#This Row],[DUT Ucty]])</f>
        <v>N/A</v>
      </c>
      <c r="Y117" s="1" t="str">
        <f>IF(Table1[[#This Row],[Std Read]]="","N/A",Table1[[#This Row],[Std Read]]+Table1[[#This Row],[Std Ucty]])</f>
        <v>N/A</v>
      </c>
      <c r="Z1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 s="1" t="str">
        <f>IF(Table1[[#This Row],[Spec Type]]="","N/A",Table1[[#This Row],[Spec Type]])</f>
        <v>±</v>
      </c>
      <c r="AC117" s="1" t="str">
        <f>IF(Table1[[#This Row],[Spec Type2]]="N/A","N/A",IF(AND(Table1[[#This Row],[DUT Adj Read]]&gt;=Table1[[#This Row],[Low Tol]],Table1[[#This Row],[DUT Adj Read]]&lt;=Table1[[#This Row],[High Tol]]),"Pass","Fail"))</f>
        <v>Fail</v>
      </c>
      <c r="AD117" s="1" t="str">
        <f>IF(AND(Table1[[#This Row],[Spec Type2]]="N/A",Table1[[#This Row],[DUT Adj Read]]="N/A",Table1[[#This Row],[Std Adj Read]]="N/A"),"N/A",IF(Table1[[#This Row],[DUT Adj Read]]="N/A",IF(Table1[[#This Row],[Std Adj Read]]&gt;Table1[[#This Row],[Low Tol]],"Pass","Fail"),IF(Table1[[#This Row],[DUT Adj Read]]&gt;Table1[[#This Row],[Low Tol]],"Pass","Fail")))</f>
        <v>Pass</v>
      </c>
      <c r="AE117" s="1" t="str">
        <f>IF(AND(Table1[[#This Row],[Spec Type2]]="N/A",Table1[[#This Row],[DUT Adj Read]]="N/A",Table1[[#This Row],[Std Adj Read]]="N/A"),"N/A",IF(Table1[[#This Row],[DUT Adj Read]]="N/A",IF(Table1[[#This Row],[Std Adj Read]]&lt;Table1[[#This Row],[High Tol]],"Pass","Fail"),IF(Table1[[#This Row],[DUT Adj Read]]&lt;Table1[[#This Row],[High Tol]],"Pass","Fail")))</f>
        <v>Fail</v>
      </c>
      <c r="AF117" s="1" t="str">
        <f>IF(AND(Table1[[#This Row],[Spec Type2]]="N/A",Table1[[#This Row],[DUT Adj Read]]="N/A",Table1[[#This Row],[Std Adj Read]]="N/A"),"N/A",IF(Table1[[#This Row],[DUT Adj Read]]="N/A",IF(Table1[[#This Row],[Std Adj Read]]&gt;=Table1[[#This Row],[Low Tol]],"Pass","Fail"),IF(Table1[[#This Row],[DUT Adj Read]]&gt;=Table1[[#This Row],[Low Tol]],"Pass","Fail")))</f>
        <v>Pass</v>
      </c>
      <c r="AG117" s="1" t="str">
        <f>IF(AND(Table1[[#This Row],[Spec Type2]]="N/A",Table1[[#This Row],[DUT Adj Read]]="N/A",Table1[[#This Row],[Std Adj Read]]="N/A"),"N/A",IF(Table1[[#This Row],[DUT Adj Read]]="N/A",IF(Table1[[#This Row],[Std Adj Read]]&lt;=Table1[[#This Row],[High Tol]],"Pass","Fail"),IF(Table1[[#This Row],[DUT Adj Read]]&lt;=Table1[[#This Row],[High Tol]],"Pass","Fail")))</f>
        <v>Fail</v>
      </c>
      <c r="AH1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 s="1" t="b">
        <v>0</v>
      </c>
      <c r="AN117" s="1" t="b">
        <v>0</v>
      </c>
      <c r="AO117" s="1" t="b">
        <v>0</v>
      </c>
    </row>
    <row r="118" spans="1:41" x14ac:dyDescent="0.25">
      <c r="A118" s="10"/>
      <c r="B118" s="10"/>
      <c r="C118" s="10"/>
      <c r="D118" s="10"/>
      <c r="E118" s="10"/>
      <c r="F118" s="10"/>
      <c r="G118" s="10"/>
      <c r="H118" s="10"/>
      <c r="I118" s="1" t="str">
        <f t="shared" si="3"/>
        <v/>
      </c>
      <c r="J118" s="1" t="s">
        <v>35</v>
      </c>
      <c r="K118" s="1" t="str">
        <f t="shared" si="4"/>
        <v/>
      </c>
      <c r="L118" s="1" t="str">
        <f t="shared" si="5"/>
        <v/>
      </c>
      <c r="M118" s="1">
        <f>IF(OR(Table1[[#This Row],[Std Nom]]="",Table1[[#This Row],[Std Read]]=""),0,Table1[[#This Row],[Std Nom]]-Table1[[#This Row],[Std Read]])</f>
        <v>0</v>
      </c>
      <c r="N118" s="1">
        <f>IF(Calculations!$F$5="ACCREDITED 17025 WITH UNCERTAINTIES",$N$10,0)</f>
        <v>0</v>
      </c>
      <c r="O118" s="1" t="str">
        <f>IFERROR(Table1[[#This Row],[Std Nom]]-(_xlfn.XLOOKUP(Table1[[#This Row],[Manufacturer]]&amp;" "&amp;Table1[[#This Row],[Model]],Table13[MFR &amp; MDL],Table13[Tolerance % CW ],"")/100*Table1[[#This Row],[Std Nom]]),"")</f>
        <v/>
      </c>
      <c r="P118" s="1" t="str">
        <f>IFERROR(Table1[[#This Row],[Std Nom]]+(_xlfn.XLOOKUP(Table1[[#This Row],[Manufacturer]]&amp;" "&amp;Table1[[#This Row],[Model]],Table13[MFR &amp; MDL],Table13[Tolerance % CW ],"")/100*Table1[[#This Row],[Std Nom]]),"")</f>
        <v/>
      </c>
      <c r="Q118" s="1" t="e">
        <f>Table1[[#This Row],[High Tol]]-Table1[[#This Row],[Low Tol]]</f>
        <v>#VALUE!</v>
      </c>
      <c r="R118" s="1">
        <f>2*Table1[[#This Row],[Std Error]]</f>
        <v>0</v>
      </c>
      <c r="S118" s="1" t="str">
        <f>IF(Table1[[#This Row],[High Tol]]="","N/A",IFERROR(ABS(Table1[[#This Row],[Tol Span]]/Table1[[#This Row],[Error Span]]),"N/A"))</f>
        <v>N/A</v>
      </c>
      <c r="T118" s="1" t="str">
        <f>IF(OR(Table1[[#This Row],[Low Tol]]="",Table1[[#This Row],[High Tol]]=""),"Needs Analysis",IF(Table1[[#This Row],[Ratio]]&gt;=4,"Not Significant",IF(Table1[[#This Row],[Ratio]]&gt;=2,"Semi-Significant","Significant")))</f>
        <v>Needs Analysis</v>
      </c>
      <c r="W118" s="1">
        <f>IF(Table1[[#This Row],[Cal Type]]&lt;&gt;"ACCREDITED 17025 WITH UNCERTAINTIES",0,"")</f>
        <v>0</v>
      </c>
      <c r="X118" s="1" t="str">
        <f>IF(Table1[[#This Row],[DUT Read]]="","N/A",Table1[[#This Row],[Std Error]]+Table1[[#This Row],[DUT Read]]+Table1[[#This Row],[DUT Ucty]])</f>
        <v>N/A</v>
      </c>
      <c r="Y118" s="1" t="str">
        <f>IF(Table1[[#This Row],[Std Read]]="","N/A",Table1[[#This Row],[Std Read]]+Table1[[#This Row],[Std Ucty]])</f>
        <v>N/A</v>
      </c>
      <c r="Z1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 s="1" t="str">
        <f>IF(Table1[[#This Row],[Spec Type]]="","N/A",Table1[[#This Row],[Spec Type]])</f>
        <v>±</v>
      </c>
      <c r="AC118" s="1" t="str">
        <f>IF(Table1[[#This Row],[Spec Type2]]="N/A","N/A",IF(AND(Table1[[#This Row],[DUT Adj Read]]&gt;=Table1[[#This Row],[Low Tol]],Table1[[#This Row],[DUT Adj Read]]&lt;=Table1[[#This Row],[High Tol]]),"Pass","Fail"))</f>
        <v>Fail</v>
      </c>
      <c r="AD118" s="1" t="str">
        <f>IF(AND(Table1[[#This Row],[Spec Type2]]="N/A",Table1[[#This Row],[DUT Adj Read]]="N/A",Table1[[#This Row],[Std Adj Read]]="N/A"),"N/A",IF(Table1[[#This Row],[DUT Adj Read]]="N/A",IF(Table1[[#This Row],[Std Adj Read]]&gt;Table1[[#This Row],[Low Tol]],"Pass","Fail"),IF(Table1[[#This Row],[DUT Adj Read]]&gt;Table1[[#This Row],[Low Tol]],"Pass","Fail")))</f>
        <v>Pass</v>
      </c>
      <c r="AE118" s="1" t="str">
        <f>IF(AND(Table1[[#This Row],[Spec Type2]]="N/A",Table1[[#This Row],[DUT Adj Read]]="N/A",Table1[[#This Row],[Std Adj Read]]="N/A"),"N/A",IF(Table1[[#This Row],[DUT Adj Read]]="N/A",IF(Table1[[#This Row],[Std Adj Read]]&lt;Table1[[#This Row],[High Tol]],"Pass","Fail"),IF(Table1[[#This Row],[DUT Adj Read]]&lt;Table1[[#This Row],[High Tol]],"Pass","Fail")))</f>
        <v>Fail</v>
      </c>
      <c r="AF118" s="1" t="str">
        <f>IF(AND(Table1[[#This Row],[Spec Type2]]="N/A",Table1[[#This Row],[DUT Adj Read]]="N/A",Table1[[#This Row],[Std Adj Read]]="N/A"),"N/A",IF(Table1[[#This Row],[DUT Adj Read]]="N/A",IF(Table1[[#This Row],[Std Adj Read]]&gt;=Table1[[#This Row],[Low Tol]],"Pass","Fail"),IF(Table1[[#This Row],[DUT Adj Read]]&gt;=Table1[[#This Row],[Low Tol]],"Pass","Fail")))</f>
        <v>Pass</v>
      </c>
      <c r="AG118" s="1" t="str">
        <f>IF(AND(Table1[[#This Row],[Spec Type2]]="N/A",Table1[[#This Row],[DUT Adj Read]]="N/A",Table1[[#This Row],[Std Adj Read]]="N/A"),"N/A",IF(Table1[[#This Row],[DUT Adj Read]]="N/A",IF(Table1[[#This Row],[Std Adj Read]]&lt;=Table1[[#This Row],[High Tol]],"Pass","Fail"),IF(Table1[[#This Row],[DUT Adj Read]]&lt;=Table1[[#This Row],[High Tol]],"Pass","Fail")))</f>
        <v>Fail</v>
      </c>
      <c r="AH1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 s="1" t="b">
        <v>0</v>
      </c>
      <c r="AN118" s="1" t="b">
        <v>0</v>
      </c>
      <c r="AO118" s="1" t="b">
        <v>0</v>
      </c>
    </row>
    <row r="119" spans="1:41" x14ac:dyDescent="0.25">
      <c r="A119" s="10"/>
      <c r="B119" s="10"/>
      <c r="C119" s="10"/>
      <c r="D119" s="10"/>
      <c r="E119" s="10"/>
      <c r="F119" s="10"/>
      <c r="G119" s="10"/>
      <c r="H119" s="10"/>
      <c r="I119" s="1" t="str">
        <f t="shared" si="3"/>
        <v/>
      </c>
      <c r="J119" s="1" t="s">
        <v>35</v>
      </c>
      <c r="K119" s="1" t="str">
        <f t="shared" si="4"/>
        <v/>
      </c>
      <c r="L119" s="1" t="str">
        <f t="shared" si="5"/>
        <v/>
      </c>
      <c r="M119" s="1">
        <f>IF(OR(Table1[[#This Row],[Std Nom]]="",Table1[[#This Row],[Std Read]]=""),0,Table1[[#This Row],[Std Nom]]-Table1[[#This Row],[Std Read]])</f>
        <v>0</v>
      </c>
      <c r="N119" s="1">
        <f>IF(Calculations!$F$5="ACCREDITED 17025 WITH UNCERTAINTIES",$N$10,0)</f>
        <v>0</v>
      </c>
      <c r="O119" s="1" t="str">
        <f>IFERROR(Table1[[#This Row],[Std Nom]]-(_xlfn.XLOOKUP(Table1[[#This Row],[Manufacturer]]&amp;" "&amp;Table1[[#This Row],[Model]],Table13[MFR &amp; MDL],Table13[Tolerance % CW ],"")/100*Table1[[#This Row],[Std Nom]]),"")</f>
        <v/>
      </c>
      <c r="P119" s="1" t="str">
        <f>IFERROR(Table1[[#This Row],[Std Nom]]+(_xlfn.XLOOKUP(Table1[[#This Row],[Manufacturer]]&amp;" "&amp;Table1[[#This Row],[Model]],Table13[MFR &amp; MDL],Table13[Tolerance % CW ],"")/100*Table1[[#This Row],[Std Nom]]),"")</f>
        <v/>
      </c>
      <c r="Q119" s="1" t="e">
        <f>Table1[[#This Row],[High Tol]]-Table1[[#This Row],[Low Tol]]</f>
        <v>#VALUE!</v>
      </c>
      <c r="R119" s="1">
        <f>2*Table1[[#This Row],[Std Error]]</f>
        <v>0</v>
      </c>
      <c r="S119" s="1" t="str">
        <f>IF(Table1[[#This Row],[High Tol]]="","N/A",IFERROR(ABS(Table1[[#This Row],[Tol Span]]/Table1[[#This Row],[Error Span]]),"N/A"))</f>
        <v>N/A</v>
      </c>
      <c r="T119" s="1" t="str">
        <f>IF(OR(Table1[[#This Row],[Low Tol]]="",Table1[[#This Row],[High Tol]]=""),"Needs Analysis",IF(Table1[[#This Row],[Ratio]]&gt;=4,"Not Significant",IF(Table1[[#This Row],[Ratio]]&gt;=2,"Semi-Significant","Significant")))</f>
        <v>Needs Analysis</v>
      </c>
      <c r="W119" s="1">
        <f>IF(Table1[[#This Row],[Cal Type]]&lt;&gt;"ACCREDITED 17025 WITH UNCERTAINTIES",0,"")</f>
        <v>0</v>
      </c>
      <c r="X119" s="1" t="str">
        <f>IF(Table1[[#This Row],[DUT Read]]="","N/A",Table1[[#This Row],[Std Error]]+Table1[[#This Row],[DUT Read]]+Table1[[#This Row],[DUT Ucty]])</f>
        <v>N/A</v>
      </c>
      <c r="Y119" s="1" t="str">
        <f>IF(Table1[[#This Row],[Std Read]]="","N/A",Table1[[#This Row],[Std Read]]+Table1[[#This Row],[Std Ucty]])</f>
        <v>N/A</v>
      </c>
      <c r="Z1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 s="1" t="str">
        <f>IF(Table1[[#This Row],[Spec Type]]="","N/A",Table1[[#This Row],[Spec Type]])</f>
        <v>±</v>
      </c>
      <c r="AC119" s="1" t="str">
        <f>IF(Table1[[#This Row],[Spec Type2]]="N/A","N/A",IF(AND(Table1[[#This Row],[DUT Adj Read]]&gt;=Table1[[#This Row],[Low Tol]],Table1[[#This Row],[DUT Adj Read]]&lt;=Table1[[#This Row],[High Tol]]),"Pass","Fail"))</f>
        <v>Fail</v>
      </c>
      <c r="AD119" s="1" t="str">
        <f>IF(AND(Table1[[#This Row],[Spec Type2]]="N/A",Table1[[#This Row],[DUT Adj Read]]="N/A",Table1[[#This Row],[Std Adj Read]]="N/A"),"N/A",IF(Table1[[#This Row],[DUT Adj Read]]="N/A",IF(Table1[[#This Row],[Std Adj Read]]&gt;Table1[[#This Row],[Low Tol]],"Pass","Fail"),IF(Table1[[#This Row],[DUT Adj Read]]&gt;Table1[[#This Row],[Low Tol]],"Pass","Fail")))</f>
        <v>Pass</v>
      </c>
      <c r="AE119" s="1" t="str">
        <f>IF(AND(Table1[[#This Row],[Spec Type2]]="N/A",Table1[[#This Row],[DUT Adj Read]]="N/A",Table1[[#This Row],[Std Adj Read]]="N/A"),"N/A",IF(Table1[[#This Row],[DUT Adj Read]]="N/A",IF(Table1[[#This Row],[Std Adj Read]]&lt;Table1[[#This Row],[High Tol]],"Pass","Fail"),IF(Table1[[#This Row],[DUT Adj Read]]&lt;Table1[[#This Row],[High Tol]],"Pass","Fail")))</f>
        <v>Fail</v>
      </c>
      <c r="AF119" s="1" t="str">
        <f>IF(AND(Table1[[#This Row],[Spec Type2]]="N/A",Table1[[#This Row],[DUT Adj Read]]="N/A",Table1[[#This Row],[Std Adj Read]]="N/A"),"N/A",IF(Table1[[#This Row],[DUT Adj Read]]="N/A",IF(Table1[[#This Row],[Std Adj Read]]&gt;=Table1[[#This Row],[Low Tol]],"Pass","Fail"),IF(Table1[[#This Row],[DUT Adj Read]]&gt;=Table1[[#This Row],[Low Tol]],"Pass","Fail")))</f>
        <v>Pass</v>
      </c>
      <c r="AG119" s="1" t="str">
        <f>IF(AND(Table1[[#This Row],[Spec Type2]]="N/A",Table1[[#This Row],[DUT Adj Read]]="N/A",Table1[[#This Row],[Std Adj Read]]="N/A"),"N/A",IF(Table1[[#This Row],[DUT Adj Read]]="N/A",IF(Table1[[#This Row],[Std Adj Read]]&lt;=Table1[[#This Row],[High Tol]],"Pass","Fail"),IF(Table1[[#This Row],[DUT Adj Read]]&lt;=Table1[[#This Row],[High Tol]],"Pass","Fail")))</f>
        <v>Fail</v>
      </c>
      <c r="AH1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 s="1" t="b">
        <v>0</v>
      </c>
      <c r="AN119" s="1" t="b">
        <v>0</v>
      </c>
      <c r="AO119" s="1" t="b">
        <v>0</v>
      </c>
    </row>
    <row r="120" spans="1:41" x14ac:dyDescent="0.25">
      <c r="A120" s="10"/>
      <c r="B120" s="10"/>
      <c r="C120" s="10"/>
      <c r="D120" s="10"/>
      <c r="E120" s="10"/>
      <c r="F120" s="10"/>
      <c r="G120" s="10"/>
      <c r="H120" s="10"/>
      <c r="I120" s="1" t="str">
        <f t="shared" si="3"/>
        <v/>
      </c>
      <c r="J120" s="1" t="s">
        <v>35</v>
      </c>
      <c r="K120" s="1" t="str">
        <f t="shared" si="4"/>
        <v/>
      </c>
      <c r="L120" s="1" t="str">
        <f t="shared" si="5"/>
        <v/>
      </c>
      <c r="M120" s="1">
        <f>IF(OR(Table1[[#This Row],[Std Nom]]="",Table1[[#This Row],[Std Read]]=""),0,Table1[[#This Row],[Std Nom]]-Table1[[#This Row],[Std Read]])</f>
        <v>0</v>
      </c>
      <c r="N120" s="1">
        <f>IF(Calculations!$F$5="ACCREDITED 17025 WITH UNCERTAINTIES",$N$10,0)</f>
        <v>0</v>
      </c>
      <c r="O120" s="1" t="str">
        <f>IFERROR(Table1[[#This Row],[Std Nom]]-(_xlfn.XLOOKUP(Table1[[#This Row],[Manufacturer]]&amp;" "&amp;Table1[[#This Row],[Model]],Table13[MFR &amp; MDL],Table13[Tolerance % CW ],"")/100*Table1[[#This Row],[Std Nom]]),"")</f>
        <v/>
      </c>
      <c r="P120" s="1" t="str">
        <f>IFERROR(Table1[[#This Row],[Std Nom]]+(_xlfn.XLOOKUP(Table1[[#This Row],[Manufacturer]]&amp;" "&amp;Table1[[#This Row],[Model]],Table13[MFR &amp; MDL],Table13[Tolerance % CW ],"")/100*Table1[[#This Row],[Std Nom]]),"")</f>
        <v/>
      </c>
      <c r="Q120" s="1" t="e">
        <f>Table1[[#This Row],[High Tol]]-Table1[[#This Row],[Low Tol]]</f>
        <v>#VALUE!</v>
      </c>
      <c r="R120" s="1">
        <f>2*Table1[[#This Row],[Std Error]]</f>
        <v>0</v>
      </c>
      <c r="S120" s="1" t="str">
        <f>IF(Table1[[#This Row],[High Tol]]="","N/A",IFERROR(ABS(Table1[[#This Row],[Tol Span]]/Table1[[#This Row],[Error Span]]),"N/A"))</f>
        <v>N/A</v>
      </c>
      <c r="T120" s="1" t="str">
        <f>IF(OR(Table1[[#This Row],[Low Tol]]="",Table1[[#This Row],[High Tol]]=""),"Needs Analysis",IF(Table1[[#This Row],[Ratio]]&gt;=4,"Not Significant",IF(Table1[[#This Row],[Ratio]]&gt;=2,"Semi-Significant","Significant")))</f>
        <v>Needs Analysis</v>
      </c>
      <c r="W120" s="1">
        <f>IF(Table1[[#This Row],[Cal Type]]&lt;&gt;"ACCREDITED 17025 WITH UNCERTAINTIES",0,"")</f>
        <v>0</v>
      </c>
      <c r="X120" s="1" t="str">
        <f>IF(Table1[[#This Row],[DUT Read]]="","N/A",Table1[[#This Row],[Std Error]]+Table1[[#This Row],[DUT Read]]+Table1[[#This Row],[DUT Ucty]])</f>
        <v>N/A</v>
      </c>
      <c r="Y120" s="1" t="str">
        <f>IF(Table1[[#This Row],[Std Read]]="","N/A",Table1[[#This Row],[Std Read]]+Table1[[#This Row],[Std Ucty]])</f>
        <v>N/A</v>
      </c>
      <c r="Z1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 s="1" t="str">
        <f>IF(Table1[[#This Row],[Spec Type]]="","N/A",Table1[[#This Row],[Spec Type]])</f>
        <v>±</v>
      </c>
      <c r="AC120" s="1" t="str">
        <f>IF(Table1[[#This Row],[Spec Type2]]="N/A","N/A",IF(AND(Table1[[#This Row],[DUT Adj Read]]&gt;=Table1[[#This Row],[Low Tol]],Table1[[#This Row],[DUT Adj Read]]&lt;=Table1[[#This Row],[High Tol]]),"Pass","Fail"))</f>
        <v>Fail</v>
      </c>
      <c r="AD120" s="1" t="str">
        <f>IF(AND(Table1[[#This Row],[Spec Type2]]="N/A",Table1[[#This Row],[DUT Adj Read]]="N/A",Table1[[#This Row],[Std Adj Read]]="N/A"),"N/A",IF(Table1[[#This Row],[DUT Adj Read]]="N/A",IF(Table1[[#This Row],[Std Adj Read]]&gt;Table1[[#This Row],[Low Tol]],"Pass","Fail"),IF(Table1[[#This Row],[DUT Adj Read]]&gt;Table1[[#This Row],[Low Tol]],"Pass","Fail")))</f>
        <v>Pass</v>
      </c>
      <c r="AE120" s="1" t="str">
        <f>IF(AND(Table1[[#This Row],[Spec Type2]]="N/A",Table1[[#This Row],[DUT Adj Read]]="N/A",Table1[[#This Row],[Std Adj Read]]="N/A"),"N/A",IF(Table1[[#This Row],[DUT Adj Read]]="N/A",IF(Table1[[#This Row],[Std Adj Read]]&lt;Table1[[#This Row],[High Tol]],"Pass","Fail"),IF(Table1[[#This Row],[DUT Adj Read]]&lt;Table1[[#This Row],[High Tol]],"Pass","Fail")))</f>
        <v>Fail</v>
      </c>
      <c r="AF120" s="1" t="str">
        <f>IF(AND(Table1[[#This Row],[Spec Type2]]="N/A",Table1[[#This Row],[DUT Adj Read]]="N/A",Table1[[#This Row],[Std Adj Read]]="N/A"),"N/A",IF(Table1[[#This Row],[DUT Adj Read]]="N/A",IF(Table1[[#This Row],[Std Adj Read]]&gt;=Table1[[#This Row],[Low Tol]],"Pass","Fail"),IF(Table1[[#This Row],[DUT Adj Read]]&gt;=Table1[[#This Row],[Low Tol]],"Pass","Fail")))</f>
        <v>Pass</v>
      </c>
      <c r="AG120" s="1" t="str">
        <f>IF(AND(Table1[[#This Row],[Spec Type2]]="N/A",Table1[[#This Row],[DUT Adj Read]]="N/A",Table1[[#This Row],[Std Adj Read]]="N/A"),"N/A",IF(Table1[[#This Row],[DUT Adj Read]]="N/A",IF(Table1[[#This Row],[Std Adj Read]]&lt;=Table1[[#This Row],[High Tol]],"Pass","Fail"),IF(Table1[[#This Row],[DUT Adj Read]]&lt;=Table1[[#This Row],[High Tol]],"Pass","Fail")))</f>
        <v>Fail</v>
      </c>
      <c r="AH1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 s="1" t="b">
        <v>0</v>
      </c>
      <c r="AN120" s="1" t="b">
        <v>0</v>
      </c>
      <c r="AO120" s="1" t="b">
        <v>0</v>
      </c>
    </row>
    <row r="121" spans="1:41" x14ac:dyDescent="0.25">
      <c r="A121" s="10"/>
      <c r="B121" s="10"/>
      <c r="C121" s="10"/>
      <c r="D121" s="10"/>
      <c r="E121" s="10"/>
      <c r="F121" s="10"/>
      <c r="G121" s="10"/>
      <c r="H121" s="10"/>
      <c r="I121" s="1" t="str">
        <f t="shared" si="3"/>
        <v/>
      </c>
      <c r="J121" s="1" t="s">
        <v>35</v>
      </c>
      <c r="K121" s="1" t="str">
        <f t="shared" si="4"/>
        <v/>
      </c>
      <c r="L121" s="1" t="str">
        <f t="shared" si="5"/>
        <v/>
      </c>
      <c r="M121" s="1">
        <f>IF(OR(Table1[[#This Row],[Std Nom]]="",Table1[[#This Row],[Std Read]]=""),0,Table1[[#This Row],[Std Nom]]-Table1[[#This Row],[Std Read]])</f>
        <v>0</v>
      </c>
      <c r="N121" s="1">
        <f>IF(Calculations!$F$5="ACCREDITED 17025 WITH UNCERTAINTIES",$N$10,0)</f>
        <v>0</v>
      </c>
      <c r="O121" s="1" t="str">
        <f>IFERROR(Table1[[#This Row],[Std Nom]]-(_xlfn.XLOOKUP(Table1[[#This Row],[Manufacturer]]&amp;" "&amp;Table1[[#This Row],[Model]],Table13[MFR &amp; MDL],Table13[Tolerance % CW ],"")/100*Table1[[#This Row],[Std Nom]]),"")</f>
        <v/>
      </c>
      <c r="P121" s="1" t="str">
        <f>IFERROR(Table1[[#This Row],[Std Nom]]+(_xlfn.XLOOKUP(Table1[[#This Row],[Manufacturer]]&amp;" "&amp;Table1[[#This Row],[Model]],Table13[MFR &amp; MDL],Table13[Tolerance % CW ],"")/100*Table1[[#This Row],[Std Nom]]),"")</f>
        <v/>
      </c>
      <c r="Q121" s="1" t="e">
        <f>Table1[[#This Row],[High Tol]]-Table1[[#This Row],[Low Tol]]</f>
        <v>#VALUE!</v>
      </c>
      <c r="R121" s="1">
        <f>2*Table1[[#This Row],[Std Error]]</f>
        <v>0</v>
      </c>
      <c r="S121" s="1" t="str">
        <f>IF(Table1[[#This Row],[High Tol]]="","N/A",IFERROR(ABS(Table1[[#This Row],[Tol Span]]/Table1[[#This Row],[Error Span]]),"N/A"))</f>
        <v>N/A</v>
      </c>
      <c r="T121" s="1" t="str">
        <f>IF(OR(Table1[[#This Row],[Low Tol]]="",Table1[[#This Row],[High Tol]]=""),"Needs Analysis",IF(Table1[[#This Row],[Ratio]]&gt;=4,"Not Significant",IF(Table1[[#This Row],[Ratio]]&gt;=2,"Semi-Significant","Significant")))</f>
        <v>Needs Analysis</v>
      </c>
      <c r="W121" s="1">
        <f>IF(Table1[[#This Row],[Cal Type]]&lt;&gt;"ACCREDITED 17025 WITH UNCERTAINTIES",0,"")</f>
        <v>0</v>
      </c>
      <c r="X121" s="1" t="str">
        <f>IF(Table1[[#This Row],[DUT Read]]="","N/A",Table1[[#This Row],[Std Error]]+Table1[[#This Row],[DUT Read]]+Table1[[#This Row],[DUT Ucty]])</f>
        <v>N/A</v>
      </c>
      <c r="Y121" s="1" t="str">
        <f>IF(Table1[[#This Row],[Std Read]]="","N/A",Table1[[#This Row],[Std Read]]+Table1[[#This Row],[Std Ucty]])</f>
        <v>N/A</v>
      </c>
      <c r="Z1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 s="1" t="str">
        <f>IF(Table1[[#This Row],[Spec Type]]="","N/A",Table1[[#This Row],[Spec Type]])</f>
        <v>±</v>
      </c>
      <c r="AC121" s="1" t="str">
        <f>IF(Table1[[#This Row],[Spec Type2]]="N/A","N/A",IF(AND(Table1[[#This Row],[DUT Adj Read]]&gt;=Table1[[#This Row],[Low Tol]],Table1[[#This Row],[DUT Adj Read]]&lt;=Table1[[#This Row],[High Tol]]),"Pass","Fail"))</f>
        <v>Fail</v>
      </c>
      <c r="AD121" s="1" t="str">
        <f>IF(AND(Table1[[#This Row],[Spec Type2]]="N/A",Table1[[#This Row],[DUT Adj Read]]="N/A",Table1[[#This Row],[Std Adj Read]]="N/A"),"N/A",IF(Table1[[#This Row],[DUT Adj Read]]="N/A",IF(Table1[[#This Row],[Std Adj Read]]&gt;Table1[[#This Row],[Low Tol]],"Pass","Fail"),IF(Table1[[#This Row],[DUT Adj Read]]&gt;Table1[[#This Row],[Low Tol]],"Pass","Fail")))</f>
        <v>Pass</v>
      </c>
      <c r="AE121" s="1" t="str">
        <f>IF(AND(Table1[[#This Row],[Spec Type2]]="N/A",Table1[[#This Row],[DUT Adj Read]]="N/A",Table1[[#This Row],[Std Adj Read]]="N/A"),"N/A",IF(Table1[[#This Row],[DUT Adj Read]]="N/A",IF(Table1[[#This Row],[Std Adj Read]]&lt;Table1[[#This Row],[High Tol]],"Pass","Fail"),IF(Table1[[#This Row],[DUT Adj Read]]&lt;Table1[[#This Row],[High Tol]],"Pass","Fail")))</f>
        <v>Fail</v>
      </c>
      <c r="AF121" s="1" t="str">
        <f>IF(AND(Table1[[#This Row],[Spec Type2]]="N/A",Table1[[#This Row],[DUT Adj Read]]="N/A",Table1[[#This Row],[Std Adj Read]]="N/A"),"N/A",IF(Table1[[#This Row],[DUT Adj Read]]="N/A",IF(Table1[[#This Row],[Std Adj Read]]&gt;=Table1[[#This Row],[Low Tol]],"Pass","Fail"),IF(Table1[[#This Row],[DUT Adj Read]]&gt;=Table1[[#This Row],[Low Tol]],"Pass","Fail")))</f>
        <v>Pass</v>
      </c>
      <c r="AG121" s="1" t="str">
        <f>IF(AND(Table1[[#This Row],[Spec Type2]]="N/A",Table1[[#This Row],[DUT Adj Read]]="N/A",Table1[[#This Row],[Std Adj Read]]="N/A"),"N/A",IF(Table1[[#This Row],[DUT Adj Read]]="N/A",IF(Table1[[#This Row],[Std Adj Read]]&lt;=Table1[[#This Row],[High Tol]],"Pass","Fail"),IF(Table1[[#This Row],[DUT Adj Read]]&lt;=Table1[[#This Row],[High Tol]],"Pass","Fail")))</f>
        <v>Fail</v>
      </c>
      <c r="AH1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 s="1" t="b">
        <v>0</v>
      </c>
      <c r="AN121" s="1" t="b">
        <v>0</v>
      </c>
      <c r="AO121" s="1" t="b">
        <v>0</v>
      </c>
    </row>
    <row r="122" spans="1:41" x14ac:dyDescent="0.25">
      <c r="A122" s="10"/>
      <c r="B122" s="10"/>
      <c r="C122" s="10"/>
      <c r="D122" s="10"/>
      <c r="E122" s="10"/>
      <c r="F122" s="10"/>
      <c r="G122" s="10"/>
      <c r="H122" s="10"/>
      <c r="I122" s="1" t="str">
        <f t="shared" si="3"/>
        <v/>
      </c>
      <c r="J122" s="1" t="s">
        <v>35</v>
      </c>
      <c r="K122" s="1" t="str">
        <f t="shared" si="4"/>
        <v/>
      </c>
      <c r="L122" s="1" t="str">
        <f t="shared" si="5"/>
        <v/>
      </c>
      <c r="M122" s="1">
        <f>IF(OR(Table1[[#This Row],[Std Nom]]="",Table1[[#This Row],[Std Read]]=""),0,Table1[[#This Row],[Std Nom]]-Table1[[#This Row],[Std Read]])</f>
        <v>0</v>
      </c>
      <c r="N122" s="1">
        <f>IF(Calculations!$F$5="ACCREDITED 17025 WITH UNCERTAINTIES",$N$10,0)</f>
        <v>0</v>
      </c>
      <c r="O122" s="1" t="str">
        <f>IFERROR(Table1[[#This Row],[Std Nom]]-(_xlfn.XLOOKUP(Table1[[#This Row],[Manufacturer]]&amp;" "&amp;Table1[[#This Row],[Model]],Table13[MFR &amp; MDL],Table13[Tolerance % CW ],"")/100*Table1[[#This Row],[Std Nom]]),"")</f>
        <v/>
      </c>
      <c r="P122" s="1" t="str">
        <f>IFERROR(Table1[[#This Row],[Std Nom]]+(_xlfn.XLOOKUP(Table1[[#This Row],[Manufacturer]]&amp;" "&amp;Table1[[#This Row],[Model]],Table13[MFR &amp; MDL],Table13[Tolerance % CW ],"")/100*Table1[[#This Row],[Std Nom]]),"")</f>
        <v/>
      </c>
      <c r="Q122" s="1" t="e">
        <f>Table1[[#This Row],[High Tol]]-Table1[[#This Row],[Low Tol]]</f>
        <v>#VALUE!</v>
      </c>
      <c r="R122" s="1">
        <f>2*Table1[[#This Row],[Std Error]]</f>
        <v>0</v>
      </c>
      <c r="S122" s="1" t="str">
        <f>IF(Table1[[#This Row],[High Tol]]="","N/A",IFERROR(ABS(Table1[[#This Row],[Tol Span]]/Table1[[#This Row],[Error Span]]),"N/A"))</f>
        <v>N/A</v>
      </c>
      <c r="T122" s="1" t="str">
        <f>IF(OR(Table1[[#This Row],[Low Tol]]="",Table1[[#This Row],[High Tol]]=""),"Needs Analysis",IF(Table1[[#This Row],[Ratio]]&gt;=4,"Not Significant",IF(Table1[[#This Row],[Ratio]]&gt;=2,"Semi-Significant","Significant")))</f>
        <v>Needs Analysis</v>
      </c>
      <c r="W122" s="1">
        <f>IF(Table1[[#This Row],[Cal Type]]&lt;&gt;"ACCREDITED 17025 WITH UNCERTAINTIES",0,"")</f>
        <v>0</v>
      </c>
      <c r="X122" s="1" t="str">
        <f>IF(Table1[[#This Row],[DUT Read]]="","N/A",Table1[[#This Row],[Std Error]]+Table1[[#This Row],[DUT Read]]+Table1[[#This Row],[DUT Ucty]])</f>
        <v>N/A</v>
      </c>
      <c r="Y122" s="1" t="str">
        <f>IF(Table1[[#This Row],[Std Read]]="","N/A",Table1[[#This Row],[Std Read]]+Table1[[#This Row],[Std Ucty]])</f>
        <v>N/A</v>
      </c>
      <c r="Z1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 s="1" t="str">
        <f>IF(Table1[[#This Row],[Spec Type]]="","N/A",Table1[[#This Row],[Spec Type]])</f>
        <v>±</v>
      </c>
      <c r="AC122" s="1" t="str">
        <f>IF(Table1[[#This Row],[Spec Type2]]="N/A","N/A",IF(AND(Table1[[#This Row],[DUT Adj Read]]&gt;=Table1[[#This Row],[Low Tol]],Table1[[#This Row],[DUT Adj Read]]&lt;=Table1[[#This Row],[High Tol]]),"Pass","Fail"))</f>
        <v>Fail</v>
      </c>
      <c r="AD122" s="1" t="str">
        <f>IF(AND(Table1[[#This Row],[Spec Type2]]="N/A",Table1[[#This Row],[DUT Adj Read]]="N/A",Table1[[#This Row],[Std Adj Read]]="N/A"),"N/A",IF(Table1[[#This Row],[DUT Adj Read]]="N/A",IF(Table1[[#This Row],[Std Adj Read]]&gt;Table1[[#This Row],[Low Tol]],"Pass","Fail"),IF(Table1[[#This Row],[DUT Adj Read]]&gt;Table1[[#This Row],[Low Tol]],"Pass","Fail")))</f>
        <v>Pass</v>
      </c>
      <c r="AE122" s="1" t="str">
        <f>IF(AND(Table1[[#This Row],[Spec Type2]]="N/A",Table1[[#This Row],[DUT Adj Read]]="N/A",Table1[[#This Row],[Std Adj Read]]="N/A"),"N/A",IF(Table1[[#This Row],[DUT Adj Read]]="N/A",IF(Table1[[#This Row],[Std Adj Read]]&lt;Table1[[#This Row],[High Tol]],"Pass","Fail"),IF(Table1[[#This Row],[DUT Adj Read]]&lt;Table1[[#This Row],[High Tol]],"Pass","Fail")))</f>
        <v>Fail</v>
      </c>
      <c r="AF122" s="1" t="str">
        <f>IF(AND(Table1[[#This Row],[Spec Type2]]="N/A",Table1[[#This Row],[DUT Adj Read]]="N/A",Table1[[#This Row],[Std Adj Read]]="N/A"),"N/A",IF(Table1[[#This Row],[DUT Adj Read]]="N/A",IF(Table1[[#This Row],[Std Adj Read]]&gt;=Table1[[#This Row],[Low Tol]],"Pass","Fail"),IF(Table1[[#This Row],[DUT Adj Read]]&gt;=Table1[[#This Row],[Low Tol]],"Pass","Fail")))</f>
        <v>Pass</v>
      </c>
      <c r="AG122" s="1" t="str">
        <f>IF(AND(Table1[[#This Row],[Spec Type2]]="N/A",Table1[[#This Row],[DUT Adj Read]]="N/A",Table1[[#This Row],[Std Adj Read]]="N/A"),"N/A",IF(Table1[[#This Row],[DUT Adj Read]]="N/A",IF(Table1[[#This Row],[Std Adj Read]]&lt;=Table1[[#This Row],[High Tol]],"Pass","Fail"),IF(Table1[[#This Row],[DUT Adj Read]]&lt;=Table1[[#This Row],[High Tol]],"Pass","Fail")))</f>
        <v>Fail</v>
      </c>
      <c r="AH1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 s="1" t="b">
        <v>0</v>
      </c>
      <c r="AN122" s="1" t="b">
        <v>0</v>
      </c>
      <c r="AO122" s="1" t="b">
        <v>0</v>
      </c>
    </row>
    <row r="123" spans="1:41" x14ac:dyDescent="0.25">
      <c r="A123" s="10"/>
      <c r="B123" s="10"/>
      <c r="C123" s="10"/>
      <c r="D123" s="10"/>
      <c r="E123" s="10"/>
      <c r="F123" s="10"/>
      <c r="G123" s="10"/>
      <c r="H123" s="10"/>
      <c r="I123" s="1" t="str">
        <f t="shared" si="3"/>
        <v/>
      </c>
      <c r="J123" s="1" t="s">
        <v>35</v>
      </c>
      <c r="K123" s="1" t="str">
        <f t="shared" si="4"/>
        <v/>
      </c>
      <c r="L123" s="1" t="str">
        <f t="shared" si="5"/>
        <v/>
      </c>
      <c r="M123" s="1">
        <f>IF(OR(Table1[[#This Row],[Std Nom]]="",Table1[[#This Row],[Std Read]]=""),0,Table1[[#This Row],[Std Nom]]-Table1[[#This Row],[Std Read]])</f>
        <v>0</v>
      </c>
      <c r="N123" s="1">
        <f>IF(Calculations!$F$5="ACCREDITED 17025 WITH UNCERTAINTIES",$N$10,0)</f>
        <v>0</v>
      </c>
      <c r="O123" s="1" t="str">
        <f>IFERROR(Table1[[#This Row],[Std Nom]]-(_xlfn.XLOOKUP(Table1[[#This Row],[Manufacturer]]&amp;" "&amp;Table1[[#This Row],[Model]],Table13[MFR &amp; MDL],Table13[Tolerance % CW ],"")/100*Table1[[#This Row],[Std Nom]]),"")</f>
        <v/>
      </c>
      <c r="P123" s="1" t="str">
        <f>IFERROR(Table1[[#This Row],[Std Nom]]+(_xlfn.XLOOKUP(Table1[[#This Row],[Manufacturer]]&amp;" "&amp;Table1[[#This Row],[Model]],Table13[MFR &amp; MDL],Table13[Tolerance % CW ],"")/100*Table1[[#This Row],[Std Nom]]),"")</f>
        <v/>
      </c>
      <c r="Q123" s="1" t="e">
        <f>Table1[[#This Row],[High Tol]]-Table1[[#This Row],[Low Tol]]</f>
        <v>#VALUE!</v>
      </c>
      <c r="R123" s="1">
        <f>2*Table1[[#This Row],[Std Error]]</f>
        <v>0</v>
      </c>
      <c r="S123" s="1" t="str">
        <f>IF(Table1[[#This Row],[High Tol]]="","N/A",IFERROR(ABS(Table1[[#This Row],[Tol Span]]/Table1[[#This Row],[Error Span]]),"N/A"))</f>
        <v>N/A</v>
      </c>
      <c r="T123" s="1" t="str">
        <f>IF(OR(Table1[[#This Row],[Low Tol]]="",Table1[[#This Row],[High Tol]]=""),"Needs Analysis",IF(Table1[[#This Row],[Ratio]]&gt;=4,"Not Significant",IF(Table1[[#This Row],[Ratio]]&gt;=2,"Semi-Significant","Significant")))</f>
        <v>Needs Analysis</v>
      </c>
      <c r="W123" s="1">
        <f>IF(Table1[[#This Row],[Cal Type]]&lt;&gt;"ACCREDITED 17025 WITH UNCERTAINTIES",0,"")</f>
        <v>0</v>
      </c>
      <c r="X123" s="1" t="str">
        <f>IF(Table1[[#This Row],[DUT Read]]="","N/A",Table1[[#This Row],[Std Error]]+Table1[[#This Row],[DUT Read]]+Table1[[#This Row],[DUT Ucty]])</f>
        <v>N/A</v>
      </c>
      <c r="Y123" s="1" t="str">
        <f>IF(Table1[[#This Row],[Std Read]]="","N/A",Table1[[#This Row],[Std Read]]+Table1[[#This Row],[Std Ucty]])</f>
        <v>N/A</v>
      </c>
      <c r="Z1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 s="1" t="str">
        <f>IF(Table1[[#This Row],[Spec Type]]="","N/A",Table1[[#This Row],[Spec Type]])</f>
        <v>±</v>
      </c>
      <c r="AC123" s="1" t="str">
        <f>IF(Table1[[#This Row],[Spec Type2]]="N/A","N/A",IF(AND(Table1[[#This Row],[DUT Adj Read]]&gt;=Table1[[#This Row],[Low Tol]],Table1[[#This Row],[DUT Adj Read]]&lt;=Table1[[#This Row],[High Tol]]),"Pass","Fail"))</f>
        <v>Fail</v>
      </c>
      <c r="AD123" s="1" t="str">
        <f>IF(AND(Table1[[#This Row],[Spec Type2]]="N/A",Table1[[#This Row],[DUT Adj Read]]="N/A",Table1[[#This Row],[Std Adj Read]]="N/A"),"N/A",IF(Table1[[#This Row],[DUT Adj Read]]="N/A",IF(Table1[[#This Row],[Std Adj Read]]&gt;Table1[[#This Row],[Low Tol]],"Pass","Fail"),IF(Table1[[#This Row],[DUT Adj Read]]&gt;Table1[[#This Row],[Low Tol]],"Pass","Fail")))</f>
        <v>Pass</v>
      </c>
      <c r="AE123" s="1" t="str">
        <f>IF(AND(Table1[[#This Row],[Spec Type2]]="N/A",Table1[[#This Row],[DUT Adj Read]]="N/A",Table1[[#This Row],[Std Adj Read]]="N/A"),"N/A",IF(Table1[[#This Row],[DUT Adj Read]]="N/A",IF(Table1[[#This Row],[Std Adj Read]]&lt;Table1[[#This Row],[High Tol]],"Pass","Fail"),IF(Table1[[#This Row],[DUT Adj Read]]&lt;Table1[[#This Row],[High Tol]],"Pass","Fail")))</f>
        <v>Fail</v>
      </c>
      <c r="AF123" s="1" t="str">
        <f>IF(AND(Table1[[#This Row],[Spec Type2]]="N/A",Table1[[#This Row],[DUT Adj Read]]="N/A",Table1[[#This Row],[Std Adj Read]]="N/A"),"N/A",IF(Table1[[#This Row],[DUT Adj Read]]="N/A",IF(Table1[[#This Row],[Std Adj Read]]&gt;=Table1[[#This Row],[Low Tol]],"Pass","Fail"),IF(Table1[[#This Row],[DUT Adj Read]]&gt;=Table1[[#This Row],[Low Tol]],"Pass","Fail")))</f>
        <v>Pass</v>
      </c>
      <c r="AG123" s="1" t="str">
        <f>IF(AND(Table1[[#This Row],[Spec Type2]]="N/A",Table1[[#This Row],[DUT Adj Read]]="N/A",Table1[[#This Row],[Std Adj Read]]="N/A"),"N/A",IF(Table1[[#This Row],[DUT Adj Read]]="N/A",IF(Table1[[#This Row],[Std Adj Read]]&lt;=Table1[[#This Row],[High Tol]],"Pass","Fail"),IF(Table1[[#This Row],[DUT Adj Read]]&lt;=Table1[[#This Row],[High Tol]],"Pass","Fail")))</f>
        <v>Fail</v>
      </c>
      <c r="AH1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 s="1" t="b">
        <v>0</v>
      </c>
      <c r="AN123" s="1" t="b">
        <v>0</v>
      </c>
      <c r="AO123" s="1" t="b">
        <v>0</v>
      </c>
    </row>
    <row r="124" spans="1:41" x14ac:dyDescent="0.25">
      <c r="A124" s="10"/>
      <c r="B124" s="10"/>
      <c r="C124" s="10"/>
      <c r="D124" s="10"/>
      <c r="E124" s="10"/>
      <c r="F124" s="10"/>
      <c r="G124" s="10"/>
      <c r="H124" s="10"/>
      <c r="I124" s="1" t="str">
        <f t="shared" si="3"/>
        <v/>
      </c>
      <c r="J124" s="1" t="s">
        <v>35</v>
      </c>
      <c r="K124" s="1" t="str">
        <f t="shared" si="4"/>
        <v/>
      </c>
      <c r="L124" s="1" t="str">
        <f t="shared" si="5"/>
        <v/>
      </c>
      <c r="M124" s="1">
        <f>IF(OR(Table1[[#This Row],[Std Nom]]="",Table1[[#This Row],[Std Read]]=""),0,Table1[[#This Row],[Std Nom]]-Table1[[#This Row],[Std Read]])</f>
        <v>0</v>
      </c>
      <c r="N124" s="1">
        <f>IF(Calculations!$F$5="ACCREDITED 17025 WITH UNCERTAINTIES",$N$10,0)</f>
        <v>0</v>
      </c>
      <c r="O124" s="1" t="str">
        <f>IFERROR(Table1[[#This Row],[Std Nom]]-(_xlfn.XLOOKUP(Table1[[#This Row],[Manufacturer]]&amp;" "&amp;Table1[[#This Row],[Model]],Table13[MFR &amp; MDL],Table13[Tolerance % CW ],"")/100*Table1[[#This Row],[Std Nom]]),"")</f>
        <v/>
      </c>
      <c r="P124" s="1" t="str">
        <f>IFERROR(Table1[[#This Row],[Std Nom]]+(_xlfn.XLOOKUP(Table1[[#This Row],[Manufacturer]]&amp;" "&amp;Table1[[#This Row],[Model]],Table13[MFR &amp; MDL],Table13[Tolerance % CW ],"")/100*Table1[[#This Row],[Std Nom]]),"")</f>
        <v/>
      </c>
      <c r="Q124" s="1" t="e">
        <f>Table1[[#This Row],[High Tol]]-Table1[[#This Row],[Low Tol]]</f>
        <v>#VALUE!</v>
      </c>
      <c r="R124" s="1">
        <f>2*Table1[[#This Row],[Std Error]]</f>
        <v>0</v>
      </c>
      <c r="S124" s="1" t="str">
        <f>IF(Table1[[#This Row],[High Tol]]="","N/A",IFERROR(ABS(Table1[[#This Row],[Tol Span]]/Table1[[#This Row],[Error Span]]),"N/A"))</f>
        <v>N/A</v>
      </c>
      <c r="T124" s="1" t="str">
        <f>IF(OR(Table1[[#This Row],[Low Tol]]="",Table1[[#This Row],[High Tol]]=""),"Needs Analysis",IF(Table1[[#This Row],[Ratio]]&gt;=4,"Not Significant",IF(Table1[[#This Row],[Ratio]]&gt;=2,"Semi-Significant","Significant")))</f>
        <v>Needs Analysis</v>
      </c>
      <c r="W124" s="1">
        <f>IF(Table1[[#This Row],[Cal Type]]&lt;&gt;"ACCREDITED 17025 WITH UNCERTAINTIES",0,"")</f>
        <v>0</v>
      </c>
      <c r="X124" s="1" t="str">
        <f>IF(Table1[[#This Row],[DUT Read]]="","N/A",Table1[[#This Row],[Std Error]]+Table1[[#This Row],[DUT Read]]+Table1[[#This Row],[DUT Ucty]])</f>
        <v>N/A</v>
      </c>
      <c r="Y124" s="1" t="str">
        <f>IF(Table1[[#This Row],[Std Read]]="","N/A",Table1[[#This Row],[Std Read]]+Table1[[#This Row],[Std Ucty]])</f>
        <v>N/A</v>
      </c>
      <c r="Z1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 s="1" t="str">
        <f>IF(Table1[[#This Row],[Spec Type]]="","N/A",Table1[[#This Row],[Spec Type]])</f>
        <v>±</v>
      </c>
      <c r="AC124" s="1" t="str">
        <f>IF(Table1[[#This Row],[Spec Type2]]="N/A","N/A",IF(AND(Table1[[#This Row],[DUT Adj Read]]&gt;=Table1[[#This Row],[Low Tol]],Table1[[#This Row],[DUT Adj Read]]&lt;=Table1[[#This Row],[High Tol]]),"Pass","Fail"))</f>
        <v>Fail</v>
      </c>
      <c r="AD124" s="1" t="str">
        <f>IF(AND(Table1[[#This Row],[Spec Type2]]="N/A",Table1[[#This Row],[DUT Adj Read]]="N/A",Table1[[#This Row],[Std Adj Read]]="N/A"),"N/A",IF(Table1[[#This Row],[DUT Adj Read]]="N/A",IF(Table1[[#This Row],[Std Adj Read]]&gt;Table1[[#This Row],[Low Tol]],"Pass","Fail"),IF(Table1[[#This Row],[DUT Adj Read]]&gt;Table1[[#This Row],[Low Tol]],"Pass","Fail")))</f>
        <v>Pass</v>
      </c>
      <c r="AE124" s="1" t="str">
        <f>IF(AND(Table1[[#This Row],[Spec Type2]]="N/A",Table1[[#This Row],[DUT Adj Read]]="N/A",Table1[[#This Row],[Std Adj Read]]="N/A"),"N/A",IF(Table1[[#This Row],[DUT Adj Read]]="N/A",IF(Table1[[#This Row],[Std Adj Read]]&lt;Table1[[#This Row],[High Tol]],"Pass","Fail"),IF(Table1[[#This Row],[DUT Adj Read]]&lt;Table1[[#This Row],[High Tol]],"Pass","Fail")))</f>
        <v>Fail</v>
      </c>
      <c r="AF124" s="1" t="str">
        <f>IF(AND(Table1[[#This Row],[Spec Type2]]="N/A",Table1[[#This Row],[DUT Adj Read]]="N/A",Table1[[#This Row],[Std Adj Read]]="N/A"),"N/A",IF(Table1[[#This Row],[DUT Adj Read]]="N/A",IF(Table1[[#This Row],[Std Adj Read]]&gt;=Table1[[#This Row],[Low Tol]],"Pass","Fail"),IF(Table1[[#This Row],[DUT Adj Read]]&gt;=Table1[[#This Row],[Low Tol]],"Pass","Fail")))</f>
        <v>Pass</v>
      </c>
      <c r="AG124" s="1" t="str">
        <f>IF(AND(Table1[[#This Row],[Spec Type2]]="N/A",Table1[[#This Row],[DUT Adj Read]]="N/A",Table1[[#This Row],[Std Adj Read]]="N/A"),"N/A",IF(Table1[[#This Row],[DUT Adj Read]]="N/A",IF(Table1[[#This Row],[Std Adj Read]]&lt;=Table1[[#This Row],[High Tol]],"Pass","Fail"),IF(Table1[[#This Row],[DUT Adj Read]]&lt;=Table1[[#This Row],[High Tol]],"Pass","Fail")))</f>
        <v>Fail</v>
      </c>
      <c r="AH1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 s="1" t="b">
        <v>0</v>
      </c>
      <c r="AN124" s="1" t="b">
        <v>0</v>
      </c>
      <c r="AO124" s="1" t="b">
        <v>0</v>
      </c>
    </row>
    <row r="125" spans="1:41" x14ac:dyDescent="0.25">
      <c r="A125" s="10"/>
      <c r="B125" s="10"/>
      <c r="C125" s="10"/>
      <c r="D125" s="10"/>
      <c r="E125" s="10"/>
      <c r="F125" s="10"/>
      <c r="G125" s="10"/>
      <c r="H125" s="10"/>
      <c r="I125" s="1" t="str">
        <f t="shared" si="3"/>
        <v/>
      </c>
      <c r="J125" s="1" t="s">
        <v>35</v>
      </c>
      <c r="K125" s="1" t="str">
        <f t="shared" si="4"/>
        <v/>
      </c>
      <c r="L125" s="1" t="str">
        <f t="shared" si="5"/>
        <v/>
      </c>
      <c r="M125" s="1">
        <f>IF(OR(Table1[[#This Row],[Std Nom]]="",Table1[[#This Row],[Std Read]]=""),0,Table1[[#This Row],[Std Nom]]-Table1[[#This Row],[Std Read]])</f>
        <v>0</v>
      </c>
      <c r="N125" s="1">
        <f>IF(Calculations!$F$5="ACCREDITED 17025 WITH UNCERTAINTIES",$N$10,0)</f>
        <v>0</v>
      </c>
      <c r="O125" s="1" t="str">
        <f>IFERROR(Table1[[#This Row],[Std Nom]]-(_xlfn.XLOOKUP(Table1[[#This Row],[Manufacturer]]&amp;" "&amp;Table1[[#This Row],[Model]],Table13[MFR &amp; MDL],Table13[Tolerance % CW ],"")/100*Table1[[#This Row],[Std Nom]]),"")</f>
        <v/>
      </c>
      <c r="P125" s="1" t="str">
        <f>IFERROR(Table1[[#This Row],[Std Nom]]+(_xlfn.XLOOKUP(Table1[[#This Row],[Manufacturer]]&amp;" "&amp;Table1[[#This Row],[Model]],Table13[MFR &amp; MDL],Table13[Tolerance % CW ],"")/100*Table1[[#This Row],[Std Nom]]),"")</f>
        <v/>
      </c>
      <c r="Q125" s="1" t="e">
        <f>Table1[[#This Row],[High Tol]]-Table1[[#This Row],[Low Tol]]</f>
        <v>#VALUE!</v>
      </c>
      <c r="R125" s="1">
        <f>2*Table1[[#This Row],[Std Error]]</f>
        <v>0</v>
      </c>
      <c r="S125" s="1" t="str">
        <f>IF(Table1[[#This Row],[High Tol]]="","N/A",IFERROR(ABS(Table1[[#This Row],[Tol Span]]/Table1[[#This Row],[Error Span]]),"N/A"))</f>
        <v>N/A</v>
      </c>
      <c r="T125" s="1" t="str">
        <f>IF(OR(Table1[[#This Row],[Low Tol]]="",Table1[[#This Row],[High Tol]]=""),"Needs Analysis",IF(Table1[[#This Row],[Ratio]]&gt;=4,"Not Significant",IF(Table1[[#This Row],[Ratio]]&gt;=2,"Semi-Significant","Significant")))</f>
        <v>Needs Analysis</v>
      </c>
      <c r="W125" s="1">
        <f>IF(Table1[[#This Row],[Cal Type]]&lt;&gt;"ACCREDITED 17025 WITH UNCERTAINTIES",0,"")</f>
        <v>0</v>
      </c>
      <c r="X125" s="1" t="str">
        <f>IF(Table1[[#This Row],[DUT Read]]="","N/A",Table1[[#This Row],[Std Error]]+Table1[[#This Row],[DUT Read]]+Table1[[#This Row],[DUT Ucty]])</f>
        <v>N/A</v>
      </c>
      <c r="Y125" s="1" t="str">
        <f>IF(Table1[[#This Row],[Std Read]]="","N/A",Table1[[#This Row],[Std Read]]+Table1[[#This Row],[Std Ucty]])</f>
        <v>N/A</v>
      </c>
      <c r="Z1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 s="1" t="str">
        <f>IF(Table1[[#This Row],[Spec Type]]="","N/A",Table1[[#This Row],[Spec Type]])</f>
        <v>±</v>
      </c>
      <c r="AC125" s="1" t="str">
        <f>IF(Table1[[#This Row],[Spec Type2]]="N/A","N/A",IF(AND(Table1[[#This Row],[DUT Adj Read]]&gt;=Table1[[#This Row],[Low Tol]],Table1[[#This Row],[DUT Adj Read]]&lt;=Table1[[#This Row],[High Tol]]),"Pass","Fail"))</f>
        <v>Fail</v>
      </c>
      <c r="AD125" s="1" t="str">
        <f>IF(AND(Table1[[#This Row],[Spec Type2]]="N/A",Table1[[#This Row],[DUT Adj Read]]="N/A",Table1[[#This Row],[Std Adj Read]]="N/A"),"N/A",IF(Table1[[#This Row],[DUT Adj Read]]="N/A",IF(Table1[[#This Row],[Std Adj Read]]&gt;Table1[[#This Row],[Low Tol]],"Pass","Fail"),IF(Table1[[#This Row],[DUT Adj Read]]&gt;Table1[[#This Row],[Low Tol]],"Pass","Fail")))</f>
        <v>Pass</v>
      </c>
      <c r="AE125" s="1" t="str">
        <f>IF(AND(Table1[[#This Row],[Spec Type2]]="N/A",Table1[[#This Row],[DUT Adj Read]]="N/A",Table1[[#This Row],[Std Adj Read]]="N/A"),"N/A",IF(Table1[[#This Row],[DUT Adj Read]]="N/A",IF(Table1[[#This Row],[Std Adj Read]]&lt;Table1[[#This Row],[High Tol]],"Pass","Fail"),IF(Table1[[#This Row],[DUT Adj Read]]&lt;Table1[[#This Row],[High Tol]],"Pass","Fail")))</f>
        <v>Fail</v>
      </c>
      <c r="AF125" s="1" t="str">
        <f>IF(AND(Table1[[#This Row],[Spec Type2]]="N/A",Table1[[#This Row],[DUT Adj Read]]="N/A",Table1[[#This Row],[Std Adj Read]]="N/A"),"N/A",IF(Table1[[#This Row],[DUT Adj Read]]="N/A",IF(Table1[[#This Row],[Std Adj Read]]&gt;=Table1[[#This Row],[Low Tol]],"Pass","Fail"),IF(Table1[[#This Row],[DUT Adj Read]]&gt;=Table1[[#This Row],[Low Tol]],"Pass","Fail")))</f>
        <v>Pass</v>
      </c>
      <c r="AG125" s="1" t="str">
        <f>IF(AND(Table1[[#This Row],[Spec Type2]]="N/A",Table1[[#This Row],[DUT Adj Read]]="N/A",Table1[[#This Row],[Std Adj Read]]="N/A"),"N/A",IF(Table1[[#This Row],[DUT Adj Read]]="N/A",IF(Table1[[#This Row],[Std Adj Read]]&lt;=Table1[[#This Row],[High Tol]],"Pass","Fail"),IF(Table1[[#This Row],[DUT Adj Read]]&lt;=Table1[[#This Row],[High Tol]],"Pass","Fail")))</f>
        <v>Fail</v>
      </c>
      <c r="AH1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 s="1" t="b">
        <v>0</v>
      </c>
      <c r="AN125" s="1" t="b">
        <v>0</v>
      </c>
      <c r="AO125" s="1" t="b">
        <v>0</v>
      </c>
    </row>
    <row r="126" spans="1:41" x14ac:dyDescent="0.25">
      <c r="A126" s="10"/>
      <c r="B126" s="10"/>
      <c r="C126" s="10"/>
      <c r="D126" s="10"/>
      <c r="E126" s="10"/>
      <c r="F126" s="10"/>
      <c r="G126" s="10"/>
      <c r="H126" s="10"/>
      <c r="I126" s="1" t="str">
        <f t="shared" si="3"/>
        <v/>
      </c>
      <c r="J126" s="1" t="s">
        <v>35</v>
      </c>
      <c r="K126" s="1" t="str">
        <f t="shared" si="4"/>
        <v/>
      </c>
      <c r="L126" s="1" t="str">
        <f t="shared" si="5"/>
        <v/>
      </c>
      <c r="M126" s="1">
        <f>IF(OR(Table1[[#This Row],[Std Nom]]="",Table1[[#This Row],[Std Read]]=""),0,Table1[[#This Row],[Std Nom]]-Table1[[#This Row],[Std Read]])</f>
        <v>0</v>
      </c>
      <c r="N126" s="1">
        <f>IF(Calculations!$F$5="ACCREDITED 17025 WITH UNCERTAINTIES",$N$10,0)</f>
        <v>0</v>
      </c>
      <c r="O126" s="1" t="str">
        <f>IFERROR(Table1[[#This Row],[Std Nom]]-(_xlfn.XLOOKUP(Table1[[#This Row],[Manufacturer]]&amp;" "&amp;Table1[[#This Row],[Model]],Table13[MFR &amp; MDL],Table13[Tolerance % CW ],"")/100*Table1[[#This Row],[Std Nom]]),"")</f>
        <v/>
      </c>
      <c r="P126" s="1" t="str">
        <f>IFERROR(Table1[[#This Row],[Std Nom]]+(_xlfn.XLOOKUP(Table1[[#This Row],[Manufacturer]]&amp;" "&amp;Table1[[#This Row],[Model]],Table13[MFR &amp; MDL],Table13[Tolerance % CW ],"")/100*Table1[[#This Row],[Std Nom]]),"")</f>
        <v/>
      </c>
      <c r="Q126" s="1" t="e">
        <f>Table1[[#This Row],[High Tol]]-Table1[[#This Row],[Low Tol]]</f>
        <v>#VALUE!</v>
      </c>
      <c r="R126" s="1">
        <f>2*Table1[[#This Row],[Std Error]]</f>
        <v>0</v>
      </c>
      <c r="S126" s="1" t="str">
        <f>IF(Table1[[#This Row],[High Tol]]="","N/A",IFERROR(ABS(Table1[[#This Row],[Tol Span]]/Table1[[#This Row],[Error Span]]),"N/A"))</f>
        <v>N/A</v>
      </c>
      <c r="T126" s="1" t="str">
        <f>IF(OR(Table1[[#This Row],[Low Tol]]="",Table1[[#This Row],[High Tol]]=""),"Needs Analysis",IF(Table1[[#This Row],[Ratio]]&gt;=4,"Not Significant",IF(Table1[[#This Row],[Ratio]]&gt;=2,"Semi-Significant","Significant")))</f>
        <v>Needs Analysis</v>
      </c>
      <c r="W126" s="1">
        <f>IF(Table1[[#This Row],[Cal Type]]&lt;&gt;"ACCREDITED 17025 WITH UNCERTAINTIES",0,"")</f>
        <v>0</v>
      </c>
      <c r="X126" s="1" t="str">
        <f>IF(Table1[[#This Row],[DUT Read]]="","N/A",Table1[[#This Row],[Std Error]]+Table1[[#This Row],[DUT Read]]+Table1[[#This Row],[DUT Ucty]])</f>
        <v>N/A</v>
      </c>
      <c r="Y126" s="1" t="str">
        <f>IF(Table1[[#This Row],[Std Read]]="","N/A",Table1[[#This Row],[Std Read]]+Table1[[#This Row],[Std Ucty]])</f>
        <v>N/A</v>
      </c>
      <c r="Z1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 s="1" t="str">
        <f>IF(Table1[[#This Row],[Spec Type]]="","N/A",Table1[[#This Row],[Spec Type]])</f>
        <v>±</v>
      </c>
      <c r="AC126" s="1" t="str">
        <f>IF(Table1[[#This Row],[Spec Type2]]="N/A","N/A",IF(AND(Table1[[#This Row],[DUT Adj Read]]&gt;=Table1[[#This Row],[Low Tol]],Table1[[#This Row],[DUT Adj Read]]&lt;=Table1[[#This Row],[High Tol]]),"Pass","Fail"))</f>
        <v>Fail</v>
      </c>
      <c r="AD126" s="1" t="str">
        <f>IF(AND(Table1[[#This Row],[Spec Type2]]="N/A",Table1[[#This Row],[DUT Adj Read]]="N/A",Table1[[#This Row],[Std Adj Read]]="N/A"),"N/A",IF(Table1[[#This Row],[DUT Adj Read]]="N/A",IF(Table1[[#This Row],[Std Adj Read]]&gt;Table1[[#This Row],[Low Tol]],"Pass","Fail"),IF(Table1[[#This Row],[DUT Adj Read]]&gt;Table1[[#This Row],[Low Tol]],"Pass","Fail")))</f>
        <v>Pass</v>
      </c>
      <c r="AE126" s="1" t="str">
        <f>IF(AND(Table1[[#This Row],[Spec Type2]]="N/A",Table1[[#This Row],[DUT Adj Read]]="N/A",Table1[[#This Row],[Std Adj Read]]="N/A"),"N/A",IF(Table1[[#This Row],[DUT Adj Read]]="N/A",IF(Table1[[#This Row],[Std Adj Read]]&lt;Table1[[#This Row],[High Tol]],"Pass","Fail"),IF(Table1[[#This Row],[DUT Adj Read]]&lt;Table1[[#This Row],[High Tol]],"Pass","Fail")))</f>
        <v>Fail</v>
      </c>
      <c r="AF126" s="1" t="str">
        <f>IF(AND(Table1[[#This Row],[Spec Type2]]="N/A",Table1[[#This Row],[DUT Adj Read]]="N/A",Table1[[#This Row],[Std Adj Read]]="N/A"),"N/A",IF(Table1[[#This Row],[DUT Adj Read]]="N/A",IF(Table1[[#This Row],[Std Adj Read]]&gt;=Table1[[#This Row],[Low Tol]],"Pass","Fail"),IF(Table1[[#This Row],[DUT Adj Read]]&gt;=Table1[[#This Row],[Low Tol]],"Pass","Fail")))</f>
        <v>Pass</v>
      </c>
      <c r="AG126" s="1" t="str">
        <f>IF(AND(Table1[[#This Row],[Spec Type2]]="N/A",Table1[[#This Row],[DUT Adj Read]]="N/A",Table1[[#This Row],[Std Adj Read]]="N/A"),"N/A",IF(Table1[[#This Row],[DUT Adj Read]]="N/A",IF(Table1[[#This Row],[Std Adj Read]]&lt;=Table1[[#This Row],[High Tol]],"Pass","Fail"),IF(Table1[[#This Row],[DUT Adj Read]]&lt;=Table1[[#This Row],[High Tol]],"Pass","Fail")))</f>
        <v>Fail</v>
      </c>
      <c r="AH1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 s="1" t="b">
        <v>0</v>
      </c>
      <c r="AN126" s="1" t="b">
        <v>0</v>
      </c>
      <c r="AO126" s="1" t="b">
        <v>0</v>
      </c>
    </row>
    <row r="127" spans="1:41" x14ac:dyDescent="0.25">
      <c r="A127" s="10"/>
      <c r="B127" s="10"/>
      <c r="C127" s="10"/>
      <c r="D127" s="10"/>
      <c r="E127" s="10"/>
      <c r="F127" s="10"/>
      <c r="G127" s="10"/>
      <c r="H127" s="10"/>
      <c r="I127" s="1" t="str">
        <f t="shared" si="3"/>
        <v/>
      </c>
      <c r="J127" s="1" t="s">
        <v>35</v>
      </c>
      <c r="K127" s="1" t="str">
        <f t="shared" si="4"/>
        <v/>
      </c>
      <c r="L127" s="1" t="str">
        <f t="shared" si="5"/>
        <v/>
      </c>
      <c r="M127" s="1">
        <f>IF(OR(Table1[[#This Row],[Std Nom]]="",Table1[[#This Row],[Std Read]]=""),0,Table1[[#This Row],[Std Nom]]-Table1[[#This Row],[Std Read]])</f>
        <v>0</v>
      </c>
      <c r="N127" s="1">
        <f>IF(Calculations!$F$5="ACCREDITED 17025 WITH UNCERTAINTIES",$N$10,0)</f>
        <v>0</v>
      </c>
      <c r="O127" s="1" t="str">
        <f>IFERROR(Table1[[#This Row],[Std Nom]]-(_xlfn.XLOOKUP(Table1[[#This Row],[Manufacturer]]&amp;" "&amp;Table1[[#This Row],[Model]],Table13[MFR &amp; MDL],Table13[Tolerance % CW ],"")/100*Table1[[#This Row],[Std Nom]]),"")</f>
        <v/>
      </c>
      <c r="P127" s="1" t="str">
        <f>IFERROR(Table1[[#This Row],[Std Nom]]+(_xlfn.XLOOKUP(Table1[[#This Row],[Manufacturer]]&amp;" "&amp;Table1[[#This Row],[Model]],Table13[MFR &amp; MDL],Table13[Tolerance % CW ],"")/100*Table1[[#This Row],[Std Nom]]),"")</f>
        <v/>
      </c>
      <c r="Q127" s="1" t="e">
        <f>Table1[[#This Row],[High Tol]]-Table1[[#This Row],[Low Tol]]</f>
        <v>#VALUE!</v>
      </c>
      <c r="R127" s="1">
        <f>2*Table1[[#This Row],[Std Error]]</f>
        <v>0</v>
      </c>
      <c r="S127" s="1" t="str">
        <f>IF(Table1[[#This Row],[High Tol]]="","N/A",IFERROR(ABS(Table1[[#This Row],[Tol Span]]/Table1[[#This Row],[Error Span]]),"N/A"))</f>
        <v>N/A</v>
      </c>
      <c r="T127" s="1" t="str">
        <f>IF(OR(Table1[[#This Row],[Low Tol]]="",Table1[[#This Row],[High Tol]]=""),"Needs Analysis",IF(Table1[[#This Row],[Ratio]]&gt;=4,"Not Significant",IF(Table1[[#This Row],[Ratio]]&gt;=2,"Semi-Significant","Significant")))</f>
        <v>Needs Analysis</v>
      </c>
      <c r="W127" s="1">
        <f>IF(Table1[[#This Row],[Cal Type]]&lt;&gt;"ACCREDITED 17025 WITH UNCERTAINTIES",0,"")</f>
        <v>0</v>
      </c>
      <c r="X127" s="1" t="str">
        <f>IF(Table1[[#This Row],[DUT Read]]="","N/A",Table1[[#This Row],[Std Error]]+Table1[[#This Row],[DUT Read]]+Table1[[#This Row],[DUT Ucty]])</f>
        <v>N/A</v>
      </c>
      <c r="Y127" s="1" t="str">
        <f>IF(Table1[[#This Row],[Std Read]]="","N/A",Table1[[#This Row],[Std Read]]+Table1[[#This Row],[Std Ucty]])</f>
        <v>N/A</v>
      </c>
      <c r="Z1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 s="1" t="str">
        <f>IF(Table1[[#This Row],[Spec Type]]="","N/A",Table1[[#This Row],[Spec Type]])</f>
        <v>±</v>
      </c>
      <c r="AC127" s="1" t="str">
        <f>IF(Table1[[#This Row],[Spec Type2]]="N/A","N/A",IF(AND(Table1[[#This Row],[DUT Adj Read]]&gt;=Table1[[#This Row],[Low Tol]],Table1[[#This Row],[DUT Adj Read]]&lt;=Table1[[#This Row],[High Tol]]),"Pass","Fail"))</f>
        <v>Fail</v>
      </c>
      <c r="AD127" s="1" t="str">
        <f>IF(AND(Table1[[#This Row],[Spec Type2]]="N/A",Table1[[#This Row],[DUT Adj Read]]="N/A",Table1[[#This Row],[Std Adj Read]]="N/A"),"N/A",IF(Table1[[#This Row],[DUT Adj Read]]="N/A",IF(Table1[[#This Row],[Std Adj Read]]&gt;Table1[[#This Row],[Low Tol]],"Pass","Fail"),IF(Table1[[#This Row],[DUT Adj Read]]&gt;Table1[[#This Row],[Low Tol]],"Pass","Fail")))</f>
        <v>Pass</v>
      </c>
      <c r="AE127" s="1" t="str">
        <f>IF(AND(Table1[[#This Row],[Spec Type2]]="N/A",Table1[[#This Row],[DUT Adj Read]]="N/A",Table1[[#This Row],[Std Adj Read]]="N/A"),"N/A",IF(Table1[[#This Row],[DUT Adj Read]]="N/A",IF(Table1[[#This Row],[Std Adj Read]]&lt;Table1[[#This Row],[High Tol]],"Pass","Fail"),IF(Table1[[#This Row],[DUT Adj Read]]&lt;Table1[[#This Row],[High Tol]],"Pass","Fail")))</f>
        <v>Fail</v>
      </c>
      <c r="AF127" s="1" t="str">
        <f>IF(AND(Table1[[#This Row],[Spec Type2]]="N/A",Table1[[#This Row],[DUT Adj Read]]="N/A",Table1[[#This Row],[Std Adj Read]]="N/A"),"N/A",IF(Table1[[#This Row],[DUT Adj Read]]="N/A",IF(Table1[[#This Row],[Std Adj Read]]&gt;=Table1[[#This Row],[Low Tol]],"Pass","Fail"),IF(Table1[[#This Row],[DUT Adj Read]]&gt;=Table1[[#This Row],[Low Tol]],"Pass","Fail")))</f>
        <v>Pass</v>
      </c>
      <c r="AG127" s="1" t="str">
        <f>IF(AND(Table1[[#This Row],[Spec Type2]]="N/A",Table1[[#This Row],[DUT Adj Read]]="N/A",Table1[[#This Row],[Std Adj Read]]="N/A"),"N/A",IF(Table1[[#This Row],[DUT Adj Read]]="N/A",IF(Table1[[#This Row],[Std Adj Read]]&lt;=Table1[[#This Row],[High Tol]],"Pass","Fail"),IF(Table1[[#This Row],[DUT Adj Read]]&lt;=Table1[[#This Row],[High Tol]],"Pass","Fail")))</f>
        <v>Fail</v>
      </c>
      <c r="AH1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 s="1" t="b">
        <v>0</v>
      </c>
      <c r="AN127" s="1" t="b">
        <v>0</v>
      </c>
      <c r="AO127" s="1" t="b">
        <v>0</v>
      </c>
    </row>
    <row r="128" spans="1:41" x14ac:dyDescent="0.25">
      <c r="A128" s="10"/>
      <c r="B128" s="10"/>
      <c r="C128" s="10"/>
      <c r="D128" s="10"/>
      <c r="E128" s="10"/>
      <c r="F128" s="10"/>
      <c r="G128" s="10"/>
      <c r="H128" s="10"/>
      <c r="I128" s="1" t="str">
        <f t="shared" si="3"/>
        <v/>
      </c>
      <c r="J128" s="1" t="s">
        <v>35</v>
      </c>
      <c r="K128" s="1" t="str">
        <f t="shared" si="4"/>
        <v/>
      </c>
      <c r="L128" s="1" t="str">
        <f t="shared" si="5"/>
        <v/>
      </c>
      <c r="M128" s="1">
        <f>IF(OR(Table1[[#This Row],[Std Nom]]="",Table1[[#This Row],[Std Read]]=""),0,Table1[[#This Row],[Std Nom]]-Table1[[#This Row],[Std Read]])</f>
        <v>0</v>
      </c>
      <c r="N128" s="1">
        <f>IF(Calculations!$F$5="ACCREDITED 17025 WITH UNCERTAINTIES",$N$10,0)</f>
        <v>0</v>
      </c>
      <c r="O128" s="1" t="str">
        <f>IFERROR(Table1[[#This Row],[Std Nom]]-(_xlfn.XLOOKUP(Table1[[#This Row],[Manufacturer]]&amp;" "&amp;Table1[[#This Row],[Model]],Table13[MFR &amp; MDL],Table13[Tolerance % CW ],"")/100*Table1[[#This Row],[Std Nom]]),"")</f>
        <v/>
      </c>
      <c r="P128" s="1" t="str">
        <f>IFERROR(Table1[[#This Row],[Std Nom]]+(_xlfn.XLOOKUP(Table1[[#This Row],[Manufacturer]]&amp;" "&amp;Table1[[#This Row],[Model]],Table13[MFR &amp; MDL],Table13[Tolerance % CW ],"")/100*Table1[[#This Row],[Std Nom]]),"")</f>
        <v/>
      </c>
      <c r="Q128" s="1" t="e">
        <f>Table1[[#This Row],[High Tol]]-Table1[[#This Row],[Low Tol]]</f>
        <v>#VALUE!</v>
      </c>
      <c r="R128" s="1">
        <f>2*Table1[[#This Row],[Std Error]]</f>
        <v>0</v>
      </c>
      <c r="S128" s="1" t="str">
        <f>IF(Table1[[#This Row],[High Tol]]="","N/A",IFERROR(ABS(Table1[[#This Row],[Tol Span]]/Table1[[#This Row],[Error Span]]),"N/A"))</f>
        <v>N/A</v>
      </c>
      <c r="T128" s="1" t="str">
        <f>IF(OR(Table1[[#This Row],[Low Tol]]="",Table1[[#This Row],[High Tol]]=""),"Needs Analysis",IF(Table1[[#This Row],[Ratio]]&gt;=4,"Not Significant",IF(Table1[[#This Row],[Ratio]]&gt;=2,"Semi-Significant","Significant")))</f>
        <v>Needs Analysis</v>
      </c>
      <c r="W128" s="1">
        <f>IF(Table1[[#This Row],[Cal Type]]&lt;&gt;"ACCREDITED 17025 WITH UNCERTAINTIES",0,"")</f>
        <v>0</v>
      </c>
      <c r="X128" s="1" t="str">
        <f>IF(Table1[[#This Row],[DUT Read]]="","N/A",Table1[[#This Row],[Std Error]]+Table1[[#This Row],[DUT Read]]+Table1[[#This Row],[DUT Ucty]])</f>
        <v>N/A</v>
      </c>
      <c r="Y128" s="1" t="str">
        <f>IF(Table1[[#This Row],[Std Read]]="","N/A",Table1[[#This Row],[Std Read]]+Table1[[#This Row],[Std Ucty]])</f>
        <v>N/A</v>
      </c>
      <c r="Z1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 s="1" t="str">
        <f>IF(Table1[[#This Row],[Spec Type]]="","N/A",Table1[[#This Row],[Spec Type]])</f>
        <v>±</v>
      </c>
      <c r="AC128" s="1" t="str">
        <f>IF(Table1[[#This Row],[Spec Type2]]="N/A","N/A",IF(AND(Table1[[#This Row],[DUT Adj Read]]&gt;=Table1[[#This Row],[Low Tol]],Table1[[#This Row],[DUT Adj Read]]&lt;=Table1[[#This Row],[High Tol]]),"Pass","Fail"))</f>
        <v>Fail</v>
      </c>
      <c r="AD128" s="1" t="str">
        <f>IF(AND(Table1[[#This Row],[Spec Type2]]="N/A",Table1[[#This Row],[DUT Adj Read]]="N/A",Table1[[#This Row],[Std Adj Read]]="N/A"),"N/A",IF(Table1[[#This Row],[DUT Adj Read]]="N/A",IF(Table1[[#This Row],[Std Adj Read]]&gt;Table1[[#This Row],[Low Tol]],"Pass","Fail"),IF(Table1[[#This Row],[DUT Adj Read]]&gt;Table1[[#This Row],[Low Tol]],"Pass","Fail")))</f>
        <v>Pass</v>
      </c>
      <c r="AE128" s="1" t="str">
        <f>IF(AND(Table1[[#This Row],[Spec Type2]]="N/A",Table1[[#This Row],[DUT Adj Read]]="N/A",Table1[[#This Row],[Std Adj Read]]="N/A"),"N/A",IF(Table1[[#This Row],[DUT Adj Read]]="N/A",IF(Table1[[#This Row],[Std Adj Read]]&lt;Table1[[#This Row],[High Tol]],"Pass","Fail"),IF(Table1[[#This Row],[DUT Adj Read]]&lt;Table1[[#This Row],[High Tol]],"Pass","Fail")))</f>
        <v>Fail</v>
      </c>
      <c r="AF128" s="1" t="str">
        <f>IF(AND(Table1[[#This Row],[Spec Type2]]="N/A",Table1[[#This Row],[DUT Adj Read]]="N/A",Table1[[#This Row],[Std Adj Read]]="N/A"),"N/A",IF(Table1[[#This Row],[DUT Adj Read]]="N/A",IF(Table1[[#This Row],[Std Adj Read]]&gt;=Table1[[#This Row],[Low Tol]],"Pass","Fail"),IF(Table1[[#This Row],[DUT Adj Read]]&gt;=Table1[[#This Row],[Low Tol]],"Pass","Fail")))</f>
        <v>Pass</v>
      </c>
      <c r="AG128" s="1" t="str">
        <f>IF(AND(Table1[[#This Row],[Spec Type2]]="N/A",Table1[[#This Row],[DUT Adj Read]]="N/A",Table1[[#This Row],[Std Adj Read]]="N/A"),"N/A",IF(Table1[[#This Row],[DUT Adj Read]]="N/A",IF(Table1[[#This Row],[Std Adj Read]]&lt;=Table1[[#This Row],[High Tol]],"Pass","Fail"),IF(Table1[[#This Row],[DUT Adj Read]]&lt;=Table1[[#This Row],[High Tol]],"Pass","Fail")))</f>
        <v>Fail</v>
      </c>
      <c r="AH1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 s="1" t="b">
        <v>0</v>
      </c>
      <c r="AN128" s="1" t="b">
        <v>0</v>
      </c>
      <c r="AO128" s="1" t="b">
        <v>0</v>
      </c>
    </row>
    <row r="129" spans="1:41" x14ac:dyDescent="0.25">
      <c r="A129" s="10"/>
      <c r="B129" s="10"/>
      <c r="C129" s="10"/>
      <c r="D129" s="10"/>
      <c r="E129" s="10"/>
      <c r="F129" s="10"/>
      <c r="G129" s="10"/>
      <c r="H129" s="10"/>
      <c r="I129" s="1" t="str">
        <f t="shared" si="3"/>
        <v/>
      </c>
      <c r="J129" s="1" t="s">
        <v>35</v>
      </c>
      <c r="K129" s="1" t="str">
        <f t="shared" si="4"/>
        <v/>
      </c>
      <c r="L129" s="1" t="str">
        <f t="shared" si="5"/>
        <v/>
      </c>
      <c r="M129" s="1">
        <f>IF(OR(Table1[[#This Row],[Std Nom]]="",Table1[[#This Row],[Std Read]]=""),0,Table1[[#This Row],[Std Nom]]-Table1[[#This Row],[Std Read]])</f>
        <v>0</v>
      </c>
      <c r="N129" s="1">
        <f>IF(Calculations!$F$5="ACCREDITED 17025 WITH UNCERTAINTIES",$N$10,0)</f>
        <v>0</v>
      </c>
      <c r="O129" s="1" t="str">
        <f>IFERROR(Table1[[#This Row],[Std Nom]]-(_xlfn.XLOOKUP(Table1[[#This Row],[Manufacturer]]&amp;" "&amp;Table1[[#This Row],[Model]],Table13[MFR &amp; MDL],Table13[Tolerance % CW ],"")/100*Table1[[#This Row],[Std Nom]]),"")</f>
        <v/>
      </c>
      <c r="P129" s="1" t="str">
        <f>IFERROR(Table1[[#This Row],[Std Nom]]+(_xlfn.XLOOKUP(Table1[[#This Row],[Manufacturer]]&amp;" "&amp;Table1[[#This Row],[Model]],Table13[MFR &amp; MDL],Table13[Tolerance % CW ],"")/100*Table1[[#This Row],[Std Nom]]),"")</f>
        <v/>
      </c>
      <c r="Q129" s="1" t="e">
        <f>Table1[[#This Row],[High Tol]]-Table1[[#This Row],[Low Tol]]</f>
        <v>#VALUE!</v>
      </c>
      <c r="R129" s="1">
        <f>2*Table1[[#This Row],[Std Error]]</f>
        <v>0</v>
      </c>
      <c r="S129" s="1" t="str">
        <f>IF(Table1[[#This Row],[High Tol]]="","N/A",IFERROR(ABS(Table1[[#This Row],[Tol Span]]/Table1[[#This Row],[Error Span]]),"N/A"))</f>
        <v>N/A</v>
      </c>
      <c r="T129" s="1" t="str">
        <f>IF(OR(Table1[[#This Row],[Low Tol]]="",Table1[[#This Row],[High Tol]]=""),"Needs Analysis",IF(Table1[[#This Row],[Ratio]]&gt;=4,"Not Significant",IF(Table1[[#This Row],[Ratio]]&gt;=2,"Semi-Significant","Significant")))</f>
        <v>Needs Analysis</v>
      </c>
      <c r="W129" s="1">
        <f>IF(Table1[[#This Row],[Cal Type]]&lt;&gt;"ACCREDITED 17025 WITH UNCERTAINTIES",0,"")</f>
        <v>0</v>
      </c>
      <c r="X129" s="1" t="str">
        <f>IF(Table1[[#This Row],[DUT Read]]="","N/A",Table1[[#This Row],[Std Error]]+Table1[[#This Row],[DUT Read]]+Table1[[#This Row],[DUT Ucty]])</f>
        <v>N/A</v>
      </c>
      <c r="Y129" s="1" t="str">
        <f>IF(Table1[[#This Row],[Std Read]]="","N/A",Table1[[#This Row],[Std Read]]+Table1[[#This Row],[Std Ucty]])</f>
        <v>N/A</v>
      </c>
      <c r="Z1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 s="1" t="str">
        <f>IF(Table1[[#This Row],[Spec Type]]="","N/A",Table1[[#This Row],[Spec Type]])</f>
        <v>±</v>
      </c>
      <c r="AC129" s="1" t="str">
        <f>IF(Table1[[#This Row],[Spec Type2]]="N/A","N/A",IF(AND(Table1[[#This Row],[DUT Adj Read]]&gt;=Table1[[#This Row],[Low Tol]],Table1[[#This Row],[DUT Adj Read]]&lt;=Table1[[#This Row],[High Tol]]),"Pass","Fail"))</f>
        <v>Fail</v>
      </c>
      <c r="AD129" s="1" t="str">
        <f>IF(AND(Table1[[#This Row],[Spec Type2]]="N/A",Table1[[#This Row],[DUT Adj Read]]="N/A",Table1[[#This Row],[Std Adj Read]]="N/A"),"N/A",IF(Table1[[#This Row],[DUT Adj Read]]="N/A",IF(Table1[[#This Row],[Std Adj Read]]&gt;Table1[[#This Row],[Low Tol]],"Pass","Fail"),IF(Table1[[#This Row],[DUT Adj Read]]&gt;Table1[[#This Row],[Low Tol]],"Pass","Fail")))</f>
        <v>Pass</v>
      </c>
      <c r="AE129" s="1" t="str">
        <f>IF(AND(Table1[[#This Row],[Spec Type2]]="N/A",Table1[[#This Row],[DUT Adj Read]]="N/A",Table1[[#This Row],[Std Adj Read]]="N/A"),"N/A",IF(Table1[[#This Row],[DUT Adj Read]]="N/A",IF(Table1[[#This Row],[Std Adj Read]]&lt;Table1[[#This Row],[High Tol]],"Pass","Fail"),IF(Table1[[#This Row],[DUT Adj Read]]&lt;Table1[[#This Row],[High Tol]],"Pass","Fail")))</f>
        <v>Fail</v>
      </c>
      <c r="AF129" s="1" t="str">
        <f>IF(AND(Table1[[#This Row],[Spec Type2]]="N/A",Table1[[#This Row],[DUT Adj Read]]="N/A",Table1[[#This Row],[Std Adj Read]]="N/A"),"N/A",IF(Table1[[#This Row],[DUT Adj Read]]="N/A",IF(Table1[[#This Row],[Std Adj Read]]&gt;=Table1[[#This Row],[Low Tol]],"Pass","Fail"),IF(Table1[[#This Row],[DUT Adj Read]]&gt;=Table1[[#This Row],[Low Tol]],"Pass","Fail")))</f>
        <v>Pass</v>
      </c>
      <c r="AG129" s="1" t="str">
        <f>IF(AND(Table1[[#This Row],[Spec Type2]]="N/A",Table1[[#This Row],[DUT Adj Read]]="N/A",Table1[[#This Row],[Std Adj Read]]="N/A"),"N/A",IF(Table1[[#This Row],[DUT Adj Read]]="N/A",IF(Table1[[#This Row],[Std Adj Read]]&lt;=Table1[[#This Row],[High Tol]],"Pass","Fail"),IF(Table1[[#This Row],[DUT Adj Read]]&lt;=Table1[[#This Row],[High Tol]],"Pass","Fail")))</f>
        <v>Fail</v>
      </c>
      <c r="AH1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 s="1" t="b">
        <v>0</v>
      </c>
      <c r="AN129" s="1" t="b">
        <v>0</v>
      </c>
      <c r="AO129" s="1" t="b">
        <v>0</v>
      </c>
    </row>
    <row r="130" spans="1:41" x14ac:dyDescent="0.25">
      <c r="A130" s="10"/>
      <c r="B130" s="10"/>
      <c r="C130" s="10"/>
      <c r="D130" s="10"/>
      <c r="E130" s="10"/>
      <c r="F130" s="10"/>
      <c r="G130" s="10"/>
      <c r="H130" s="10"/>
      <c r="I130" s="1" t="str">
        <f t="shared" si="3"/>
        <v/>
      </c>
      <c r="J130" s="1" t="s">
        <v>35</v>
      </c>
      <c r="K130" s="1" t="str">
        <f t="shared" si="4"/>
        <v/>
      </c>
      <c r="L130" s="1" t="str">
        <f t="shared" si="5"/>
        <v/>
      </c>
      <c r="M130" s="1">
        <f>IF(OR(Table1[[#This Row],[Std Nom]]="",Table1[[#This Row],[Std Read]]=""),0,Table1[[#This Row],[Std Nom]]-Table1[[#This Row],[Std Read]])</f>
        <v>0</v>
      </c>
      <c r="N130" s="1">
        <f>IF(Calculations!$F$5="ACCREDITED 17025 WITH UNCERTAINTIES",$N$10,0)</f>
        <v>0</v>
      </c>
      <c r="O130" s="1" t="str">
        <f>IFERROR(Table1[[#This Row],[Std Nom]]-(_xlfn.XLOOKUP(Table1[[#This Row],[Manufacturer]]&amp;" "&amp;Table1[[#This Row],[Model]],Table13[MFR &amp; MDL],Table13[Tolerance % CW ],"")/100*Table1[[#This Row],[Std Nom]]),"")</f>
        <v/>
      </c>
      <c r="P130" s="1" t="str">
        <f>IFERROR(Table1[[#This Row],[Std Nom]]+(_xlfn.XLOOKUP(Table1[[#This Row],[Manufacturer]]&amp;" "&amp;Table1[[#This Row],[Model]],Table13[MFR &amp; MDL],Table13[Tolerance % CW ],"")/100*Table1[[#This Row],[Std Nom]]),"")</f>
        <v/>
      </c>
      <c r="Q130" s="1" t="e">
        <f>Table1[[#This Row],[High Tol]]-Table1[[#This Row],[Low Tol]]</f>
        <v>#VALUE!</v>
      </c>
      <c r="R130" s="1">
        <f>2*Table1[[#This Row],[Std Error]]</f>
        <v>0</v>
      </c>
      <c r="S130" s="1" t="str">
        <f>IF(Table1[[#This Row],[High Tol]]="","N/A",IFERROR(ABS(Table1[[#This Row],[Tol Span]]/Table1[[#This Row],[Error Span]]),"N/A"))</f>
        <v>N/A</v>
      </c>
      <c r="T130" s="1" t="str">
        <f>IF(OR(Table1[[#This Row],[Low Tol]]="",Table1[[#This Row],[High Tol]]=""),"Needs Analysis",IF(Table1[[#This Row],[Ratio]]&gt;=4,"Not Significant",IF(Table1[[#This Row],[Ratio]]&gt;=2,"Semi-Significant","Significant")))</f>
        <v>Needs Analysis</v>
      </c>
      <c r="W130" s="1">
        <f>IF(Table1[[#This Row],[Cal Type]]&lt;&gt;"ACCREDITED 17025 WITH UNCERTAINTIES",0,"")</f>
        <v>0</v>
      </c>
      <c r="X130" s="1" t="str">
        <f>IF(Table1[[#This Row],[DUT Read]]="","N/A",Table1[[#This Row],[Std Error]]+Table1[[#This Row],[DUT Read]]+Table1[[#This Row],[DUT Ucty]])</f>
        <v>N/A</v>
      </c>
      <c r="Y130" s="1" t="str">
        <f>IF(Table1[[#This Row],[Std Read]]="","N/A",Table1[[#This Row],[Std Read]]+Table1[[#This Row],[Std Ucty]])</f>
        <v>N/A</v>
      </c>
      <c r="Z1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 s="1" t="str">
        <f>IF(Table1[[#This Row],[Spec Type]]="","N/A",Table1[[#This Row],[Spec Type]])</f>
        <v>±</v>
      </c>
      <c r="AC130" s="1" t="str">
        <f>IF(Table1[[#This Row],[Spec Type2]]="N/A","N/A",IF(AND(Table1[[#This Row],[DUT Adj Read]]&gt;=Table1[[#This Row],[Low Tol]],Table1[[#This Row],[DUT Adj Read]]&lt;=Table1[[#This Row],[High Tol]]),"Pass","Fail"))</f>
        <v>Fail</v>
      </c>
      <c r="AD130" s="1" t="str">
        <f>IF(AND(Table1[[#This Row],[Spec Type2]]="N/A",Table1[[#This Row],[DUT Adj Read]]="N/A",Table1[[#This Row],[Std Adj Read]]="N/A"),"N/A",IF(Table1[[#This Row],[DUT Adj Read]]="N/A",IF(Table1[[#This Row],[Std Adj Read]]&gt;Table1[[#This Row],[Low Tol]],"Pass","Fail"),IF(Table1[[#This Row],[DUT Adj Read]]&gt;Table1[[#This Row],[Low Tol]],"Pass","Fail")))</f>
        <v>Pass</v>
      </c>
      <c r="AE130" s="1" t="str">
        <f>IF(AND(Table1[[#This Row],[Spec Type2]]="N/A",Table1[[#This Row],[DUT Adj Read]]="N/A",Table1[[#This Row],[Std Adj Read]]="N/A"),"N/A",IF(Table1[[#This Row],[DUT Adj Read]]="N/A",IF(Table1[[#This Row],[Std Adj Read]]&lt;Table1[[#This Row],[High Tol]],"Pass","Fail"),IF(Table1[[#This Row],[DUT Adj Read]]&lt;Table1[[#This Row],[High Tol]],"Pass","Fail")))</f>
        <v>Fail</v>
      </c>
      <c r="AF130" s="1" t="str">
        <f>IF(AND(Table1[[#This Row],[Spec Type2]]="N/A",Table1[[#This Row],[DUT Adj Read]]="N/A",Table1[[#This Row],[Std Adj Read]]="N/A"),"N/A",IF(Table1[[#This Row],[DUT Adj Read]]="N/A",IF(Table1[[#This Row],[Std Adj Read]]&gt;=Table1[[#This Row],[Low Tol]],"Pass","Fail"),IF(Table1[[#This Row],[DUT Adj Read]]&gt;=Table1[[#This Row],[Low Tol]],"Pass","Fail")))</f>
        <v>Pass</v>
      </c>
      <c r="AG130" s="1" t="str">
        <f>IF(AND(Table1[[#This Row],[Spec Type2]]="N/A",Table1[[#This Row],[DUT Adj Read]]="N/A",Table1[[#This Row],[Std Adj Read]]="N/A"),"N/A",IF(Table1[[#This Row],[DUT Adj Read]]="N/A",IF(Table1[[#This Row],[Std Adj Read]]&lt;=Table1[[#This Row],[High Tol]],"Pass","Fail"),IF(Table1[[#This Row],[DUT Adj Read]]&lt;=Table1[[#This Row],[High Tol]],"Pass","Fail")))</f>
        <v>Fail</v>
      </c>
      <c r="AH1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 s="1" t="b">
        <v>0</v>
      </c>
      <c r="AN130" s="1" t="b">
        <v>0</v>
      </c>
      <c r="AO130" s="1" t="b">
        <v>0</v>
      </c>
    </row>
    <row r="131" spans="1:41" x14ac:dyDescent="0.25">
      <c r="A131" s="10"/>
      <c r="B131" s="10"/>
      <c r="C131" s="10"/>
      <c r="D131" s="10"/>
      <c r="E131" s="10"/>
      <c r="F131" s="10"/>
      <c r="G131" s="10"/>
      <c r="H131" s="10"/>
      <c r="I131" s="1" t="str">
        <f t="shared" si="3"/>
        <v/>
      </c>
      <c r="J131" s="1" t="s">
        <v>35</v>
      </c>
      <c r="K131" s="1" t="str">
        <f t="shared" si="4"/>
        <v/>
      </c>
      <c r="L131" s="1" t="str">
        <f t="shared" si="5"/>
        <v/>
      </c>
      <c r="M131" s="1">
        <f>IF(OR(Table1[[#This Row],[Std Nom]]="",Table1[[#This Row],[Std Read]]=""),0,Table1[[#This Row],[Std Nom]]-Table1[[#This Row],[Std Read]])</f>
        <v>0</v>
      </c>
      <c r="N131" s="1">
        <f>IF(Calculations!$F$5="ACCREDITED 17025 WITH UNCERTAINTIES",$N$10,0)</f>
        <v>0</v>
      </c>
      <c r="O131" s="1" t="str">
        <f>IFERROR(Table1[[#This Row],[Std Nom]]-(_xlfn.XLOOKUP(Table1[[#This Row],[Manufacturer]]&amp;" "&amp;Table1[[#This Row],[Model]],Table13[MFR &amp; MDL],Table13[Tolerance % CW ],"")/100*Table1[[#This Row],[Std Nom]]),"")</f>
        <v/>
      </c>
      <c r="P131" s="1" t="str">
        <f>IFERROR(Table1[[#This Row],[Std Nom]]+(_xlfn.XLOOKUP(Table1[[#This Row],[Manufacturer]]&amp;" "&amp;Table1[[#This Row],[Model]],Table13[MFR &amp; MDL],Table13[Tolerance % CW ],"")/100*Table1[[#This Row],[Std Nom]]),"")</f>
        <v/>
      </c>
      <c r="Q131" s="1" t="e">
        <f>Table1[[#This Row],[High Tol]]-Table1[[#This Row],[Low Tol]]</f>
        <v>#VALUE!</v>
      </c>
      <c r="R131" s="1">
        <f>2*Table1[[#This Row],[Std Error]]</f>
        <v>0</v>
      </c>
      <c r="S131" s="1" t="str">
        <f>IF(Table1[[#This Row],[High Tol]]="","N/A",IFERROR(ABS(Table1[[#This Row],[Tol Span]]/Table1[[#This Row],[Error Span]]),"N/A"))</f>
        <v>N/A</v>
      </c>
      <c r="T131" s="1" t="str">
        <f>IF(OR(Table1[[#This Row],[Low Tol]]="",Table1[[#This Row],[High Tol]]=""),"Needs Analysis",IF(Table1[[#This Row],[Ratio]]&gt;=4,"Not Significant",IF(Table1[[#This Row],[Ratio]]&gt;=2,"Semi-Significant","Significant")))</f>
        <v>Needs Analysis</v>
      </c>
      <c r="W131" s="1">
        <f>IF(Table1[[#This Row],[Cal Type]]&lt;&gt;"ACCREDITED 17025 WITH UNCERTAINTIES",0,"")</f>
        <v>0</v>
      </c>
      <c r="X131" s="1" t="str">
        <f>IF(Table1[[#This Row],[DUT Read]]="","N/A",Table1[[#This Row],[Std Error]]+Table1[[#This Row],[DUT Read]]+Table1[[#This Row],[DUT Ucty]])</f>
        <v>N/A</v>
      </c>
      <c r="Y131" s="1" t="str">
        <f>IF(Table1[[#This Row],[Std Read]]="","N/A",Table1[[#This Row],[Std Read]]+Table1[[#This Row],[Std Ucty]])</f>
        <v>N/A</v>
      </c>
      <c r="Z1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 s="1" t="str">
        <f>IF(Table1[[#This Row],[Spec Type]]="","N/A",Table1[[#This Row],[Spec Type]])</f>
        <v>±</v>
      </c>
      <c r="AC131" s="1" t="str">
        <f>IF(Table1[[#This Row],[Spec Type2]]="N/A","N/A",IF(AND(Table1[[#This Row],[DUT Adj Read]]&gt;=Table1[[#This Row],[Low Tol]],Table1[[#This Row],[DUT Adj Read]]&lt;=Table1[[#This Row],[High Tol]]),"Pass","Fail"))</f>
        <v>Fail</v>
      </c>
      <c r="AD131" s="1" t="str">
        <f>IF(AND(Table1[[#This Row],[Spec Type2]]="N/A",Table1[[#This Row],[DUT Adj Read]]="N/A",Table1[[#This Row],[Std Adj Read]]="N/A"),"N/A",IF(Table1[[#This Row],[DUT Adj Read]]="N/A",IF(Table1[[#This Row],[Std Adj Read]]&gt;Table1[[#This Row],[Low Tol]],"Pass","Fail"),IF(Table1[[#This Row],[DUT Adj Read]]&gt;Table1[[#This Row],[Low Tol]],"Pass","Fail")))</f>
        <v>Pass</v>
      </c>
      <c r="AE131" s="1" t="str">
        <f>IF(AND(Table1[[#This Row],[Spec Type2]]="N/A",Table1[[#This Row],[DUT Adj Read]]="N/A",Table1[[#This Row],[Std Adj Read]]="N/A"),"N/A",IF(Table1[[#This Row],[DUT Adj Read]]="N/A",IF(Table1[[#This Row],[Std Adj Read]]&lt;Table1[[#This Row],[High Tol]],"Pass","Fail"),IF(Table1[[#This Row],[DUT Adj Read]]&lt;Table1[[#This Row],[High Tol]],"Pass","Fail")))</f>
        <v>Fail</v>
      </c>
      <c r="AF131" s="1" t="str">
        <f>IF(AND(Table1[[#This Row],[Spec Type2]]="N/A",Table1[[#This Row],[DUT Adj Read]]="N/A",Table1[[#This Row],[Std Adj Read]]="N/A"),"N/A",IF(Table1[[#This Row],[DUT Adj Read]]="N/A",IF(Table1[[#This Row],[Std Adj Read]]&gt;=Table1[[#This Row],[Low Tol]],"Pass","Fail"),IF(Table1[[#This Row],[DUT Adj Read]]&gt;=Table1[[#This Row],[Low Tol]],"Pass","Fail")))</f>
        <v>Pass</v>
      </c>
      <c r="AG131" s="1" t="str">
        <f>IF(AND(Table1[[#This Row],[Spec Type2]]="N/A",Table1[[#This Row],[DUT Adj Read]]="N/A",Table1[[#This Row],[Std Adj Read]]="N/A"),"N/A",IF(Table1[[#This Row],[DUT Adj Read]]="N/A",IF(Table1[[#This Row],[Std Adj Read]]&lt;=Table1[[#This Row],[High Tol]],"Pass","Fail"),IF(Table1[[#This Row],[DUT Adj Read]]&lt;=Table1[[#This Row],[High Tol]],"Pass","Fail")))</f>
        <v>Fail</v>
      </c>
      <c r="AH1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 s="1" t="b">
        <v>0</v>
      </c>
      <c r="AN131" s="1" t="b">
        <v>0</v>
      </c>
      <c r="AO131" s="1" t="b">
        <v>0</v>
      </c>
    </row>
    <row r="132" spans="1:41" x14ac:dyDescent="0.25">
      <c r="A132" s="10"/>
      <c r="B132" s="10"/>
      <c r="C132" s="10"/>
      <c r="D132" s="10"/>
      <c r="E132" s="10"/>
      <c r="F132" s="10"/>
      <c r="G132" s="10"/>
      <c r="H132" s="10"/>
      <c r="I132" s="1" t="str">
        <f t="shared" si="3"/>
        <v/>
      </c>
      <c r="J132" s="1" t="s">
        <v>35</v>
      </c>
      <c r="K132" s="1" t="str">
        <f t="shared" si="4"/>
        <v/>
      </c>
      <c r="L132" s="1" t="str">
        <f t="shared" si="5"/>
        <v/>
      </c>
      <c r="M132" s="1">
        <f>IF(OR(Table1[[#This Row],[Std Nom]]="",Table1[[#This Row],[Std Read]]=""),0,Table1[[#This Row],[Std Nom]]-Table1[[#This Row],[Std Read]])</f>
        <v>0</v>
      </c>
      <c r="N132" s="1">
        <f>IF(Calculations!$F$5="ACCREDITED 17025 WITH UNCERTAINTIES",$N$10,0)</f>
        <v>0</v>
      </c>
      <c r="O132" s="1" t="str">
        <f>IFERROR(Table1[[#This Row],[Std Nom]]-(_xlfn.XLOOKUP(Table1[[#This Row],[Manufacturer]]&amp;" "&amp;Table1[[#This Row],[Model]],Table13[MFR &amp; MDL],Table13[Tolerance % CW ],"")/100*Table1[[#This Row],[Std Nom]]),"")</f>
        <v/>
      </c>
      <c r="P132" s="1" t="str">
        <f>IFERROR(Table1[[#This Row],[Std Nom]]+(_xlfn.XLOOKUP(Table1[[#This Row],[Manufacturer]]&amp;" "&amp;Table1[[#This Row],[Model]],Table13[MFR &amp; MDL],Table13[Tolerance % CW ],"")/100*Table1[[#This Row],[Std Nom]]),"")</f>
        <v/>
      </c>
      <c r="Q132" s="1" t="e">
        <f>Table1[[#This Row],[High Tol]]-Table1[[#This Row],[Low Tol]]</f>
        <v>#VALUE!</v>
      </c>
      <c r="R132" s="1">
        <f>2*Table1[[#This Row],[Std Error]]</f>
        <v>0</v>
      </c>
      <c r="S132" s="1" t="str">
        <f>IF(Table1[[#This Row],[High Tol]]="","N/A",IFERROR(ABS(Table1[[#This Row],[Tol Span]]/Table1[[#This Row],[Error Span]]),"N/A"))</f>
        <v>N/A</v>
      </c>
      <c r="T132" s="1" t="str">
        <f>IF(OR(Table1[[#This Row],[Low Tol]]="",Table1[[#This Row],[High Tol]]=""),"Needs Analysis",IF(Table1[[#This Row],[Ratio]]&gt;=4,"Not Significant",IF(Table1[[#This Row],[Ratio]]&gt;=2,"Semi-Significant","Significant")))</f>
        <v>Needs Analysis</v>
      </c>
      <c r="W132" s="1">
        <f>IF(Table1[[#This Row],[Cal Type]]&lt;&gt;"ACCREDITED 17025 WITH UNCERTAINTIES",0,"")</f>
        <v>0</v>
      </c>
      <c r="X132" s="1" t="str">
        <f>IF(Table1[[#This Row],[DUT Read]]="","N/A",Table1[[#This Row],[Std Error]]+Table1[[#This Row],[DUT Read]]+Table1[[#This Row],[DUT Ucty]])</f>
        <v>N/A</v>
      </c>
      <c r="Y132" s="1" t="str">
        <f>IF(Table1[[#This Row],[Std Read]]="","N/A",Table1[[#This Row],[Std Read]]+Table1[[#This Row],[Std Ucty]])</f>
        <v>N/A</v>
      </c>
      <c r="Z1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 s="1" t="str">
        <f>IF(Table1[[#This Row],[Spec Type]]="","N/A",Table1[[#This Row],[Spec Type]])</f>
        <v>±</v>
      </c>
      <c r="AC132" s="1" t="str">
        <f>IF(Table1[[#This Row],[Spec Type2]]="N/A","N/A",IF(AND(Table1[[#This Row],[DUT Adj Read]]&gt;=Table1[[#This Row],[Low Tol]],Table1[[#This Row],[DUT Adj Read]]&lt;=Table1[[#This Row],[High Tol]]),"Pass","Fail"))</f>
        <v>Fail</v>
      </c>
      <c r="AD132" s="1" t="str">
        <f>IF(AND(Table1[[#This Row],[Spec Type2]]="N/A",Table1[[#This Row],[DUT Adj Read]]="N/A",Table1[[#This Row],[Std Adj Read]]="N/A"),"N/A",IF(Table1[[#This Row],[DUT Adj Read]]="N/A",IF(Table1[[#This Row],[Std Adj Read]]&gt;Table1[[#This Row],[Low Tol]],"Pass","Fail"),IF(Table1[[#This Row],[DUT Adj Read]]&gt;Table1[[#This Row],[Low Tol]],"Pass","Fail")))</f>
        <v>Pass</v>
      </c>
      <c r="AE132" s="1" t="str">
        <f>IF(AND(Table1[[#This Row],[Spec Type2]]="N/A",Table1[[#This Row],[DUT Adj Read]]="N/A",Table1[[#This Row],[Std Adj Read]]="N/A"),"N/A",IF(Table1[[#This Row],[DUT Adj Read]]="N/A",IF(Table1[[#This Row],[Std Adj Read]]&lt;Table1[[#This Row],[High Tol]],"Pass","Fail"),IF(Table1[[#This Row],[DUT Adj Read]]&lt;Table1[[#This Row],[High Tol]],"Pass","Fail")))</f>
        <v>Fail</v>
      </c>
      <c r="AF132" s="1" t="str">
        <f>IF(AND(Table1[[#This Row],[Spec Type2]]="N/A",Table1[[#This Row],[DUT Adj Read]]="N/A",Table1[[#This Row],[Std Adj Read]]="N/A"),"N/A",IF(Table1[[#This Row],[DUT Adj Read]]="N/A",IF(Table1[[#This Row],[Std Adj Read]]&gt;=Table1[[#This Row],[Low Tol]],"Pass","Fail"),IF(Table1[[#This Row],[DUT Adj Read]]&gt;=Table1[[#This Row],[Low Tol]],"Pass","Fail")))</f>
        <v>Pass</v>
      </c>
      <c r="AG132" s="1" t="str">
        <f>IF(AND(Table1[[#This Row],[Spec Type2]]="N/A",Table1[[#This Row],[DUT Adj Read]]="N/A",Table1[[#This Row],[Std Adj Read]]="N/A"),"N/A",IF(Table1[[#This Row],[DUT Adj Read]]="N/A",IF(Table1[[#This Row],[Std Adj Read]]&lt;=Table1[[#This Row],[High Tol]],"Pass","Fail"),IF(Table1[[#This Row],[DUT Adj Read]]&lt;=Table1[[#This Row],[High Tol]],"Pass","Fail")))</f>
        <v>Fail</v>
      </c>
      <c r="AH1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 s="1" t="b">
        <v>0</v>
      </c>
      <c r="AN132" s="1" t="b">
        <v>0</v>
      </c>
      <c r="AO132" s="1" t="b">
        <v>0</v>
      </c>
    </row>
    <row r="133" spans="1:41" x14ac:dyDescent="0.25">
      <c r="A133" s="10"/>
      <c r="B133" s="10"/>
      <c r="C133" s="10"/>
      <c r="D133" s="10"/>
      <c r="E133" s="10"/>
      <c r="F133" s="10"/>
      <c r="G133" s="10"/>
      <c r="H133" s="10"/>
      <c r="I133" s="1" t="str">
        <f t="shared" si="3"/>
        <v/>
      </c>
      <c r="J133" s="1" t="s">
        <v>35</v>
      </c>
      <c r="K133" s="1" t="str">
        <f t="shared" si="4"/>
        <v/>
      </c>
      <c r="L133" s="1" t="str">
        <f t="shared" si="5"/>
        <v/>
      </c>
      <c r="M133" s="1">
        <f>IF(OR(Table1[[#This Row],[Std Nom]]="",Table1[[#This Row],[Std Read]]=""),0,Table1[[#This Row],[Std Nom]]-Table1[[#This Row],[Std Read]])</f>
        <v>0</v>
      </c>
      <c r="N133" s="1">
        <f>IF(Calculations!$F$5="ACCREDITED 17025 WITH UNCERTAINTIES",$N$10,0)</f>
        <v>0</v>
      </c>
      <c r="O133" s="1" t="str">
        <f>IFERROR(Table1[[#This Row],[Std Nom]]-(_xlfn.XLOOKUP(Table1[[#This Row],[Manufacturer]]&amp;" "&amp;Table1[[#This Row],[Model]],Table13[MFR &amp; MDL],Table13[Tolerance % CW ],"")/100*Table1[[#This Row],[Std Nom]]),"")</f>
        <v/>
      </c>
      <c r="P133" s="1" t="str">
        <f>IFERROR(Table1[[#This Row],[Std Nom]]+(_xlfn.XLOOKUP(Table1[[#This Row],[Manufacturer]]&amp;" "&amp;Table1[[#This Row],[Model]],Table13[MFR &amp; MDL],Table13[Tolerance % CW ],"")/100*Table1[[#This Row],[Std Nom]]),"")</f>
        <v/>
      </c>
      <c r="Q133" s="1" t="e">
        <f>Table1[[#This Row],[High Tol]]-Table1[[#This Row],[Low Tol]]</f>
        <v>#VALUE!</v>
      </c>
      <c r="R133" s="1">
        <f>2*Table1[[#This Row],[Std Error]]</f>
        <v>0</v>
      </c>
      <c r="S133" s="1" t="str">
        <f>IF(Table1[[#This Row],[High Tol]]="","N/A",IFERROR(ABS(Table1[[#This Row],[Tol Span]]/Table1[[#This Row],[Error Span]]),"N/A"))</f>
        <v>N/A</v>
      </c>
      <c r="T133" s="1" t="str">
        <f>IF(OR(Table1[[#This Row],[Low Tol]]="",Table1[[#This Row],[High Tol]]=""),"Needs Analysis",IF(Table1[[#This Row],[Ratio]]&gt;=4,"Not Significant",IF(Table1[[#This Row],[Ratio]]&gt;=2,"Semi-Significant","Significant")))</f>
        <v>Needs Analysis</v>
      </c>
      <c r="W133" s="1">
        <f>IF(Table1[[#This Row],[Cal Type]]&lt;&gt;"ACCREDITED 17025 WITH UNCERTAINTIES",0,"")</f>
        <v>0</v>
      </c>
      <c r="X133" s="1" t="str">
        <f>IF(Table1[[#This Row],[DUT Read]]="","N/A",Table1[[#This Row],[Std Error]]+Table1[[#This Row],[DUT Read]]+Table1[[#This Row],[DUT Ucty]])</f>
        <v>N/A</v>
      </c>
      <c r="Y133" s="1" t="str">
        <f>IF(Table1[[#This Row],[Std Read]]="","N/A",Table1[[#This Row],[Std Read]]+Table1[[#This Row],[Std Ucty]])</f>
        <v>N/A</v>
      </c>
      <c r="Z1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 s="1" t="str">
        <f>IF(Table1[[#This Row],[Spec Type]]="","N/A",Table1[[#This Row],[Spec Type]])</f>
        <v>±</v>
      </c>
      <c r="AC133" s="1" t="str">
        <f>IF(Table1[[#This Row],[Spec Type2]]="N/A","N/A",IF(AND(Table1[[#This Row],[DUT Adj Read]]&gt;=Table1[[#This Row],[Low Tol]],Table1[[#This Row],[DUT Adj Read]]&lt;=Table1[[#This Row],[High Tol]]),"Pass","Fail"))</f>
        <v>Fail</v>
      </c>
      <c r="AD133" s="1" t="str">
        <f>IF(AND(Table1[[#This Row],[Spec Type2]]="N/A",Table1[[#This Row],[DUT Adj Read]]="N/A",Table1[[#This Row],[Std Adj Read]]="N/A"),"N/A",IF(Table1[[#This Row],[DUT Adj Read]]="N/A",IF(Table1[[#This Row],[Std Adj Read]]&gt;Table1[[#This Row],[Low Tol]],"Pass","Fail"),IF(Table1[[#This Row],[DUT Adj Read]]&gt;Table1[[#This Row],[Low Tol]],"Pass","Fail")))</f>
        <v>Pass</v>
      </c>
      <c r="AE133" s="1" t="str">
        <f>IF(AND(Table1[[#This Row],[Spec Type2]]="N/A",Table1[[#This Row],[DUT Adj Read]]="N/A",Table1[[#This Row],[Std Adj Read]]="N/A"),"N/A",IF(Table1[[#This Row],[DUT Adj Read]]="N/A",IF(Table1[[#This Row],[Std Adj Read]]&lt;Table1[[#This Row],[High Tol]],"Pass","Fail"),IF(Table1[[#This Row],[DUT Adj Read]]&lt;Table1[[#This Row],[High Tol]],"Pass","Fail")))</f>
        <v>Fail</v>
      </c>
      <c r="AF133" s="1" t="str">
        <f>IF(AND(Table1[[#This Row],[Spec Type2]]="N/A",Table1[[#This Row],[DUT Adj Read]]="N/A",Table1[[#This Row],[Std Adj Read]]="N/A"),"N/A",IF(Table1[[#This Row],[DUT Adj Read]]="N/A",IF(Table1[[#This Row],[Std Adj Read]]&gt;=Table1[[#This Row],[Low Tol]],"Pass","Fail"),IF(Table1[[#This Row],[DUT Adj Read]]&gt;=Table1[[#This Row],[Low Tol]],"Pass","Fail")))</f>
        <v>Pass</v>
      </c>
      <c r="AG133" s="1" t="str">
        <f>IF(AND(Table1[[#This Row],[Spec Type2]]="N/A",Table1[[#This Row],[DUT Adj Read]]="N/A",Table1[[#This Row],[Std Adj Read]]="N/A"),"N/A",IF(Table1[[#This Row],[DUT Adj Read]]="N/A",IF(Table1[[#This Row],[Std Adj Read]]&lt;=Table1[[#This Row],[High Tol]],"Pass","Fail"),IF(Table1[[#This Row],[DUT Adj Read]]&lt;=Table1[[#This Row],[High Tol]],"Pass","Fail")))</f>
        <v>Fail</v>
      </c>
      <c r="AH1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 s="1" t="b">
        <v>0</v>
      </c>
      <c r="AN133" s="1" t="b">
        <v>0</v>
      </c>
      <c r="AO133" s="1" t="b">
        <v>0</v>
      </c>
    </row>
    <row r="134" spans="1:41" x14ac:dyDescent="0.25">
      <c r="A134" s="10"/>
      <c r="B134" s="10"/>
      <c r="C134" s="10"/>
      <c r="D134" s="10"/>
      <c r="E134" s="10"/>
      <c r="F134" s="10"/>
      <c r="G134" s="10"/>
      <c r="H134" s="10"/>
      <c r="I134" s="1" t="str">
        <f t="shared" si="3"/>
        <v/>
      </c>
      <c r="J134" s="1" t="s">
        <v>35</v>
      </c>
      <c r="K134" s="1" t="str">
        <f t="shared" si="4"/>
        <v/>
      </c>
      <c r="L134" s="1" t="str">
        <f t="shared" si="5"/>
        <v/>
      </c>
      <c r="M134" s="1">
        <f>IF(OR(Table1[[#This Row],[Std Nom]]="",Table1[[#This Row],[Std Read]]=""),0,Table1[[#This Row],[Std Nom]]-Table1[[#This Row],[Std Read]])</f>
        <v>0</v>
      </c>
      <c r="N134" s="1">
        <f>IF(Calculations!$F$5="ACCREDITED 17025 WITH UNCERTAINTIES",$N$10,0)</f>
        <v>0</v>
      </c>
      <c r="O134" s="1" t="str">
        <f>IFERROR(Table1[[#This Row],[Std Nom]]-(_xlfn.XLOOKUP(Table1[[#This Row],[Manufacturer]]&amp;" "&amp;Table1[[#This Row],[Model]],Table13[MFR &amp; MDL],Table13[Tolerance % CW ],"")/100*Table1[[#This Row],[Std Nom]]),"")</f>
        <v/>
      </c>
      <c r="P134" s="1" t="str">
        <f>IFERROR(Table1[[#This Row],[Std Nom]]+(_xlfn.XLOOKUP(Table1[[#This Row],[Manufacturer]]&amp;" "&amp;Table1[[#This Row],[Model]],Table13[MFR &amp; MDL],Table13[Tolerance % CW ],"")/100*Table1[[#This Row],[Std Nom]]),"")</f>
        <v/>
      </c>
      <c r="Q134" s="1" t="e">
        <f>Table1[[#This Row],[High Tol]]-Table1[[#This Row],[Low Tol]]</f>
        <v>#VALUE!</v>
      </c>
      <c r="R134" s="1">
        <f>2*Table1[[#This Row],[Std Error]]</f>
        <v>0</v>
      </c>
      <c r="S134" s="1" t="str">
        <f>IF(Table1[[#This Row],[High Tol]]="","N/A",IFERROR(ABS(Table1[[#This Row],[Tol Span]]/Table1[[#This Row],[Error Span]]),"N/A"))</f>
        <v>N/A</v>
      </c>
      <c r="T134" s="1" t="str">
        <f>IF(OR(Table1[[#This Row],[Low Tol]]="",Table1[[#This Row],[High Tol]]=""),"Needs Analysis",IF(Table1[[#This Row],[Ratio]]&gt;=4,"Not Significant",IF(Table1[[#This Row],[Ratio]]&gt;=2,"Semi-Significant","Significant")))</f>
        <v>Needs Analysis</v>
      </c>
      <c r="W134" s="1">
        <f>IF(Table1[[#This Row],[Cal Type]]&lt;&gt;"ACCREDITED 17025 WITH UNCERTAINTIES",0,"")</f>
        <v>0</v>
      </c>
      <c r="X134" s="1" t="str">
        <f>IF(Table1[[#This Row],[DUT Read]]="","N/A",Table1[[#This Row],[Std Error]]+Table1[[#This Row],[DUT Read]]+Table1[[#This Row],[DUT Ucty]])</f>
        <v>N/A</v>
      </c>
      <c r="Y134" s="1" t="str">
        <f>IF(Table1[[#This Row],[Std Read]]="","N/A",Table1[[#This Row],[Std Read]]+Table1[[#This Row],[Std Ucty]])</f>
        <v>N/A</v>
      </c>
      <c r="Z1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 s="1" t="str">
        <f>IF(Table1[[#This Row],[Spec Type]]="","N/A",Table1[[#This Row],[Spec Type]])</f>
        <v>±</v>
      </c>
      <c r="AC134" s="1" t="str">
        <f>IF(Table1[[#This Row],[Spec Type2]]="N/A","N/A",IF(AND(Table1[[#This Row],[DUT Adj Read]]&gt;=Table1[[#This Row],[Low Tol]],Table1[[#This Row],[DUT Adj Read]]&lt;=Table1[[#This Row],[High Tol]]),"Pass","Fail"))</f>
        <v>Fail</v>
      </c>
      <c r="AD134" s="1" t="str">
        <f>IF(AND(Table1[[#This Row],[Spec Type2]]="N/A",Table1[[#This Row],[DUT Adj Read]]="N/A",Table1[[#This Row],[Std Adj Read]]="N/A"),"N/A",IF(Table1[[#This Row],[DUT Adj Read]]="N/A",IF(Table1[[#This Row],[Std Adj Read]]&gt;Table1[[#This Row],[Low Tol]],"Pass","Fail"),IF(Table1[[#This Row],[DUT Adj Read]]&gt;Table1[[#This Row],[Low Tol]],"Pass","Fail")))</f>
        <v>Pass</v>
      </c>
      <c r="AE134" s="1" t="str">
        <f>IF(AND(Table1[[#This Row],[Spec Type2]]="N/A",Table1[[#This Row],[DUT Adj Read]]="N/A",Table1[[#This Row],[Std Adj Read]]="N/A"),"N/A",IF(Table1[[#This Row],[DUT Adj Read]]="N/A",IF(Table1[[#This Row],[Std Adj Read]]&lt;Table1[[#This Row],[High Tol]],"Pass","Fail"),IF(Table1[[#This Row],[DUT Adj Read]]&lt;Table1[[#This Row],[High Tol]],"Pass","Fail")))</f>
        <v>Fail</v>
      </c>
      <c r="AF134" s="1" t="str">
        <f>IF(AND(Table1[[#This Row],[Spec Type2]]="N/A",Table1[[#This Row],[DUT Adj Read]]="N/A",Table1[[#This Row],[Std Adj Read]]="N/A"),"N/A",IF(Table1[[#This Row],[DUT Adj Read]]="N/A",IF(Table1[[#This Row],[Std Adj Read]]&gt;=Table1[[#This Row],[Low Tol]],"Pass","Fail"),IF(Table1[[#This Row],[DUT Adj Read]]&gt;=Table1[[#This Row],[Low Tol]],"Pass","Fail")))</f>
        <v>Pass</v>
      </c>
      <c r="AG134" s="1" t="str">
        <f>IF(AND(Table1[[#This Row],[Spec Type2]]="N/A",Table1[[#This Row],[DUT Adj Read]]="N/A",Table1[[#This Row],[Std Adj Read]]="N/A"),"N/A",IF(Table1[[#This Row],[DUT Adj Read]]="N/A",IF(Table1[[#This Row],[Std Adj Read]]&lt;=Table1[[#This Row],[High Tol]],"Pass","Fail"),IF(Table1[[#This Row],[DUT Adj Read]]&lt;=Table1[[#This Row],[High Tol]],"Pass","Fail")))</f>
        <v>Fail</v>
      </c>
      <c r="AH1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 s="1" t="b">
        <v>0</v>
      </c>
      <c r="AN134" s="1" t="b">
        <v>0</v>
      </c>
      <c r="AO134" s="1" t="b">
        <v>0</v>
      </c>
    </row>
    <row r="135" spans="1:41" x14ac:dyDescent="0.25">
      <c r="A135" s="10"/>
      <c r="B135" s="10"/>
      <c r="C135" s="10"/>
      <c r="D135" s="10"/>
      <c r="E135" s="10"/>
      <c r="F135" s="10"/>
      <c r="G135" s="10"/>
      <c r="H135" s="10"/>
      <c r="I135" s="1" t="str">
        <f t="shared" si="3"/>
        <v/>
      </c>
      <c r="J135" s="1" t="s">
        <v>35</v>
      </c>
      <c r="K135" s="1" t="str">
        <f t="shared" si="4"/>
        <v/>
      </c>
      <c r="L135" s="1" t="str">
        <f t="shared" si="5"/>
        <v/>
      </c>
      <c r="M135" s="1">
        <f>IF(OR(Table1[[#This Row],[Std Nom]]="",Table1[[#This Row],[Std Read]]=""),0,Table1[[#This Row],[Std Nom]]-Table1[[#This Row],[Std Read]])</f>
        <v>0</v>
      </c>
      <c r="N135" s="1">
        <f>IF(Calculations!$F$5="ACCREDITED 17025 WITH UNCERTAINTIES",$N$10,0)</f>
        <v>0</v>
      </c>
      <c r="O135" s="1" t="str">
        <f>IFERROR(Table1[[#This Row],[Std Nom]]-(_xlfn.XLOOKUP(Table1[[#This Row],[Manufacturer]]&amp;" "&amp;Table1[[#This Row],[Model]],Table13[MFR &amp; MDL],Table13[Tolerance % CW ],"")/100*Table1[[#This Row],[Std Nom]]),"")</f>
        <v/>
      </c>
      <c r="P135" s="1" t="str">
        <f>IFERROR(Table1[[#This Row],[Std Nom]]+(_xlfn.XLOOKUP(Table1[[#This Row],[Manufacturer]]&amp;" "&amp;Table1[[#This Row],[Model]],Table13[MFR &amp; MDL],Table13[Tolerance % CW ],"")/100*Table1[[#This Row],[Std Nom]]),"")</f>
        <v/>
      </c>
      <c r="Q135" s="1" t="e">
        <f>Table1[[#This Row],[High Tol]]-Table1[[#This Row],[Low Tol]]</f>
        <v>#VALUE!</v>
      </c>
      <c r="R135" s="1">
        <f>2*Table1[[#This Row],[Std Error]]</f>
        <v>0</v>
      </c>
      <c r="S135" s="1" t="str">
        <f>IF(Table1[[#This Row],[High Tol]]="","N/A",IFERROR(ABS(Table1[[#This Row],[Tol Span]]/Table1[[#This Row],[Error Span]]),"N/A"))</f>
        <v>N/A</v>
      </c>
      <c r="T135" s="1" t="str">
        <f>IF(OR(Table1[[#This Row],[Low Tol]]="",Table1[[#This Row],[High Tol]]=""),"Needs Analysis",IF(Table1[[#This Row],[Ratio]]&gt;=4,"Not Significant",IF(Table1[[#This Row],[Ratio]]&gt;=2,"Semi-Significant","Significant")))</f>
        <v>Needs Analysis</v>
      </c>
      <c r="W135" s="1">
        <f>IF(Table1[[#This Row],[Cal Type]]&lt;&gt;"ACCREDITED 17025 WITH UNCERTAINTIES",0,"")</f>
        <v>0</v>
      </c>
      <c r="X135" s="1" t="str">
        <f>IF(Table1[[#This Row],[DUT Read]]="","N/A",Table1[[#This Row],[Std Error]]+Table1[[#This Row],[DUT Read]]+Table1[[#This Row],[DUT Ucty]])</f>
        <v>N/A</v>
      </c>
      <c r="Y135" s="1" t="str">
        <f>IF(Table1[[#This Row],[Std Read]]="","N/A",Table1[[#This Row],[Std Read]]+Table1[[#This Row],[Std Ucty]])</f>
        <v>N/A</v>
      </c>
      <c r="Z1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 s="1" t="str">
        <f>IF(Table1[[#This Row],[Spec Type]]="","N/A",Table1[[#This Row],[Spec Type]])</f>
        <v>±</v>
      </c>
      <c r="AC135" s="1" t="str">
        <f>IF(Table1[[#This Row],[Spec Type2]]="N/A","N/A",IF(AND(Table1[[#This Row],[DUT Adj Read]]&gt;=Table1[[#This Row],[Low Tol]],Table1[[#This Row],[DUT Adj Read]]&lt;=Table1[[#This Row],[High Tol]]),"Pass","Fail"))</f>
        <v>Fail</v>
      </c>
      <c r="AD135" s="1" t="str">
        <f>IF(AND(Table1[[#This Row],[Spec Type2]]="N/A",Table1[[#This Row],[DUT Adj Read]]="N/A",Table1[[#This Row],[Std Adj Read]]="N/A"),"N/A",IF(Table1[[#This Row],[DUT Adj Read]]="N/A",IF(Table1[[#This Row],[Std Adj Read]]&gt;Table1[[#This Row],[Low Tol]],"Pass","Fail"),IF(Table1[[#This Row],[DUT Adj Read]]&gt;Table1[[#This Row],[Low Tol]],"Pass","Fail")))</f>
        <v>Pass</v>
      </c>
      <c r="AE135" s="1" t="str">
        <f>IF(AND(Table1[[#This Row],[Spec Type2]]="N/A",Table1[[#This Row],[DUT Adj Read]]="N/A",Table1[[#This Row],[Std Adj Read]]="N/A"),"N/A",IF(Table1[[#This Row],[DUT Adj Read]]="N/A",IF(Table1[[#This Row],[Std Adj Read]]&lt;Table1[[#This Row],[High Tol]],"Pass","Fail"),IF(Table1[[#This Row],[DUT Adj Read]]&lt;Table1[[#This Row],[High Tol]],"Pass","Fail")))</f>
        <v>Fail</v>
      </c>
      <c r="AF135" s="1" t="str">
        <f>IF(AND(Table1[[#This Row],[Spec Type2]]="N/A",Table1[[#This Row],[DUT Adj Read]]="N/A",Table1[[#This Row],[Std Adj Read]]="N/A"),"N/A",IF(Table1[[#This Row],[DUT Adj Read]]="N/A",IF(Table1[[#This Row],[Std Adj Read]]&gt;=Table1[[#This Row],[Low Tol]],"Pass","Fail"),IF(Table1[[#This Row],[DUT Adj Read]]&gt;=Table1[[#This Row],[Low Tol]],"Pass","Fail")))</f>
        <v>Pass</v>
      </c>
      <c r="AG135" s="1" t="str">
        <f>IF(AND(Table1[[#This Row],[Spec Type2]]="N/A",Table1[[#This Row],[DUT Adj Read]]="N/A",Table1[[#This Row],[Std Adj Read]]="N/A"),"N/A",IF(Table1[[#This Row],[DUT Adj Read]]="N/A",IF(Table1[[#This Row],[Std Adj Read]]&lt;=Table1[[#This Row],[High Tol]],"Pass","Fail"),IF(Table1[[#This Row],[DUT Adj Read]]&lt;=Table1[[#This Row],[High Tol]],"Pass","Fail")))</f>
        <v>Fail</v>
      </c>
      <c r="AH1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 s="1" t="b">
        <v>0</v>
      </c>
      <c r="AN135" s="1" t="b">
        <v>0</v>
      </c>
      <c r="AO135" s="1" t="b">
        <v>0</v>
      </c>
    </row>
    <row r="136" spans="1:41" x14ac:dyDescent="0.25">
      <c r="A136" s="10"/>
      <c r="B136" s="10"/>
      <c r="C136" s="10"/>
      <c r="D136" s="10"/>
      <c r="E136" s="10"/>
      <c r="F136" s="10"/>
      <c r="G136" s="10"/>
      <c r="H136" s="10"/>
      <c r="I136" s="1" t="str">
        <f t="shared" si="3"/>
        <v/>
      </c>
      <c r="J136" s="1" t="s">
        <v>35</v>
      </c>
      <c r="K136" s="1" t="str">
        <f t="shared" si="4"/>
        <v/>
      </c>
      <c r="L136" s="1" t="str">
        <f t="shared" si="5"/>
        <v/>
      </c>
      <c r="M136" s="1">
        <f>IF(OR(Table1[[#This Row],[Std Nom]]="",Table1[[#This Row],[Std Read]]=""),0,Table1[[#This Row],[Std Nom]]-Table1[[#This Row],[Std Read]])</f>
        <v>0</v>
      </c>
      <c r="N136" s="1">
        <f>IF(Calculations!$F$5="ACCREDITED 17025 WITH UNCERTAINTIES",$N$10,0)</f>
        <v>0</v>
      </c>
      <c r="O136" s="1" t="str">
        <f>IFERROR(Table1[[#This Row],[Std Nom]]-(_xlfn.XLOOKUP(Table1[[#This Row],[Manufacturer]]&amp;" "&amp;Table1[[#This Row],[Model]],Table13[MFR &amp; MDL],Table13[Tolerance % CW ],"")/100*Table1[[#This Row],[Std Nom]]),"")</f>
        <v/>
      </c>
      <c r="P136" s="1" t="str">
        <f>IFERROR(Table1[[#This Row],[Std Nom]]+(_xlfn.XLOOKUP(Table1[[#This Row],[Manufacturer]]&amp;" "&amp;Table1[[#This Row],[Model]],Table13[MFR &amp; MDL],Table13[Tolerance % CW ],"")/100*Table1[[#This Row],[Std Nom]]),"")</f>
        <v/>
      </c>
      <c r="Q136" s="1" t="e">
        <f>Table1[[#This Row],[High Tol]]-Table1[[#This Row],[Low Tol]]</f>
        <v>#VALUE!</v>
      </c>
      <c r="R136" s="1">
        <f>2*Table1[[#This Row],[Std Error]]</f>
        <v>0</v>
      </c>
      <c r="S136" s="1" t="str">
        <f>IF(Table1[[#This Row],[High Tol]]="","N/A",IFERROR(ABS(Table1[[#This Row],[Tol Span]]/Table1[[#This Row],[Error Span]]),"N/A"))</f>
        <v>N/A</v>
      </c>
      <c r="T136" s="1" t="str">
        <f>IF(OR(Table1[[#This Row],[Low Tol]]="",Table1[[#This Row],[High Tol]]=""),"Needs Analysis",IF(Table1[[#This Row],[Ratio]]&gt;=4,"Not Significant",IF(Table1[[#This Row],[Ratio]]&gt;=2,"Semi-Significant","Significant")))</f>
        <v>Needs Analysis</v>
      </c>
      <c r="W136" s="1">
        <f>IF(Table1[[#This Row],[Cal Type]]&lt;&gt;"ACCREDITED 17025 WITH UNCERTAINTIES",0,"")</f>
        <v>0</v>
      </c>
      <c r="X136" s="1" t="str">
        <f>IF(Table1[[#This Row],[DUT Read]]="","N/A",Table1[[#This Row],[Std Error]]+Table1[[#This Row],[DUT Read]]+Table1[[#This Row],[DUT Ucty]])</f>
        <v>N/A</v>
      </c>
      <c r="Y136" s="1" t="str">
        <f>IF(Table1[[#This Row],[Std Read]]="","N/A",Table1[[#This Row],[Std Read]]+Table1[[#This Row],[Std Ucty]])</f>
        <v>N/A</v>
      </c>
      <c r="Z1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 s="1" t="str">
        <f>IF(Table1[[#This Row],[Spec Type]]="","N/A",Table1[[#This Row],[Spec Type]])</f>
        <v>±</v>
      </c>
      <c r="AC136" s="1" t="str">
        <f>IF(Table1[[#This Row],[Spec Type2]]="N/A","N/A",IF(AND(Table1[[#This Row],[DUT Adj Read]]&gt;=Table1[[#This Row],[Low Tol]],Table1[[#This Row],[DUT Adj Read]]&lt;=Table1[[#This Row],[High Tol]]),"Pass","Fail"))</f>
        <v>Fail</v>
      </c>
      <c r="AD136" s="1" t="str">
        <f>IF(AND(Table1[[#This Row],[Spec Type2]]="N/A",Table1[[#This Row],[DUT Adj Read]]="N/A",Table1[[#This Row],[Std Adj Read]]="N/A"),"N/A",IF(Table1[[#This Row],[DUT Adj Read]]="N/A",IF(Table1[[#This Row],[Std Adj Read]]&gt;Table1[[#This Row],[Low Tol]],"Pass","Fail"),IF(Table1[[#This Row],[DUT Adj Read]]&gt;Table1[[#This Row],[Low Tol]],"Pass","Fail")))</f>
        <v>Pass</v>
      </c>
      <c r="AE136" s="1" t="str">
        <f>IF(AND(Table1[[#This Row],[Spec Type2]]="N/A",Table1[[#This Row],[DUT Adj Read]]="N/A",Table1[[#This Row],[Std Adj Read]]="N/A"),"N/A",IF(Table1[[#This Row],[DUT Adj Read]]="N/A",IF(Table1[[#This Row],[Std Adj Read]]&lt;Table1[[#This Row],[High Tol]],"Pass","Fail"),IF(Table1[[#This Row],[DUT Adj Read]]&lt;Table1[[#This Row],[High Tol]],"Pass","Fail")))</f>
        <v>Fail</v>
      </c>
      <c r="AF136" s="1" t="str">
        <f>IF(AND(Table1[[#This Row],[Spec Type2]]="N/A",Table1[[#This Row],[DUT Adj Read]]="N/A",Table1[[#This Row],[Std Adj Read]]="N/A"),"N/A",IF(Table1[[#This Row],[DUT Adj Read]]="N/A",IF(Table1[[#This Row],[Std Adj Read]]&gt;=Table1[[#This Row],[Low Tol]],"Pass","Fail"),IF(Table1[[#This Row],[DUT Adj Read]]&gt;=Table1[[#This Row],[Low Tol]],"Pass","Fail")))</f>
        <v>Pass</v>
      </c>
      <c r="AG136" s="1" t="str">
        <f>IF(AND(Table1[[#This Row],[Spec Type2]]="N/A",Table1[[#This Row],[DUT Adj Read]]="N/A",Table1[[#This Row],[Std Adj Read]]="N/A"),"N/A",IF(Table1[[#This Row],[DUT Adj Read]]="N/A",IF(Table1[[#This Row],[Std Adj Read]]&lt;=Table1[[#This Row],[High Tol]],"Pass","Fail"),IF(Table1[[#This Row],[DUT Adj Read]]&lt;=Table1[[#This Row],[High Tol]],"Pass","Fail")))</f>
        <v>Fail</v>
      </c>
      <c r="AH1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 s="1" t="b">
        <v>0</v>
      </c>
      <c r="AN136" s="1" t="b">
        <v>0</v>
      </c>
      <c r="AO136" s="1" t="b">
        <v>0</v>
      </c>
    </row>
    <row r="137" spans="1:41" x14ac:dyDescent="0.25">
      <c r="A137" s="10"/>
      <c r="B137" s="10"/>
      <c r="C137" s="10"/>
      <c r="D137" s="10"/>
      <c r="E137" s="10"/>
      <c r="F137" s="10"/>
      <c r="G137" s="10"/>
      <c r="H137" s="10"/>
      <c r="I137" s="1" t="str">
        <f t="shared" si="3"/>
        <v/>
      </c>
      <c r="J137" s="1" t="s">
        <v>35</v>
      </c>
      <c r="K137" s="1" t="str">
        <f t="shared" si="4"/>
        <v/>
      </c>
      <c r="L137" s="1" t="str">
        <f t="shared" si="5"/>
        <v/>
      </c>
      <c r="M137" s="1">
        <f>IF(OR(Table1[[#This Row],[Std Nom]]="",Table1[[#This Row],[Std Read]]=""),0,Table1[[#This Row],[Std Nom]]-Table1[[#This Row],[Std Read]])</f>
        <v>0</v>
      </c>
      <c r="N137" s="1">
        <f>IF(Calculations!$F$5="ACCREDITED 17025 WITH UNCERTAINTIES",$N$10,0)</f>
        <v>0</v>
      </c>
      <c r="O137" s="1" t="str">
        <f>IFERROR(Table1[[#This Row],[Std Nom]]-(_xlfn.XLOOKUP(Table1[[#This Row],[Manufacturer]]&amp;" "&amp;Table1[[#This Row],[Model]],Table13[MFR &amp; MDL],Table13[Tolerance % CW ],"")/100*Table1[[#This Row],[Std Nom]]),"")</f>
        <v/>
      </c>
      <c r="P137" s="1" t="str">
        <f>IFERROR(Table1[[#This Row],[Std Nom]]+(_xlfn.XLOOKUP(Table1[[#This Row],[Manufacturer]]&amp;" "&amp;Table1[[#This Row],[Model]],Table13[MFR &amp; MDL],Table13[Tolerance % CW ],"")/100*Table1[[#This Row],[Std Nom]]),"")</f>
        <v/>
      </c>
      <c r="Q137" s="1" t="e">
        <f>Table1[[#This Row],[High Tol]]-Table1[[#This Row],[Low Tol]]</f>
        <v>#VALUE!</v>
      </c>
      <c r="R137" s="1">
        <f>2*Table1[[#This Row],[Std Error]]</f>
        <v>0</v>
      </c>
      <c r="S137" s="1" t="str">
        <f>IF(Table1[[#This Row],[High Tol]]="","N/A",IFERROR(ABS(Table1[[#This Row],[Tol Span]]/Table1[[#This Row],[Error Span]]),"N/A"))</f>
        <v>N/A</v>
      </c>
      <c r="T137" s="1" t="str">
        <f>IF(OR(Table1[[#This Row],[Low Tol]]="",Table1[[#This Row],[High Tol]]=""),"Needs Analysis",IF(Table1[[#This Row],[Ratio]]&gt;=4,"Not Significant",IF(Table1[[#This Row],[Ratio]]&gt;=2,"Semi-Significant","Significant")))</f>
        <v>Needs Analysis</v>
      </c>
      <c r="W137" s="1">
        <f>IF(Table1[[#This Row],[Cal Type]]&lt;&gt;"ACCREDITED 17025 WITH UNCERTAINTIES",0,"")</f>
        <v>0</v>
      </c>
      <c r="X137" s="1" t="str">
        <f>IF(Table1[[#This Row],[DUT Read]]="","N/A",Table1[[#This Row],[Std Error]]+Table1[[#This Row],[DUT Read]]+Table1[[#This Row],[DUT Ucty]])</f>
        <v>N/A</v>
      </c>
      <c r="Y137" s="1" t="str">
        <f>IF(Table1[[#This Row],[Std Read]]="","N/A",Table1[[#This Row],[Std Read]]+Table1[[#This Row],[Std Ucty]])</f>
        <v>N/A</v>
      </c>
      <c r="Z1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 s="1" t="str">
        <f>IF(Table1[[#This Row],[Spec Type]]="","N/A",Table1[[#This Row],[Spec Type]])</f>
        <v>±</v>
      </c>
      <c r="AC137" s="1" t="str">
        <f>IF(Table1[[#This Row],[Spec Type2]]="N/A","N/A",IF(AND(Table1[[#This Row],[DUT Adj Read]]&gt;=Table1[[#This Row],[Low Tol]],Table1[[#This Row],[DUT Adj Read]]&lt;=Table1[[#This Row],[High Tol]]),"Pass","Fail"))</f>
        <v>Fail</v>
      </c>
      <c r="AD137" s="1" t="str">
        <f>IF(AND(Table1[[#This Row],[Spec Type2]]="N/A",Table1[[#This Row],[DUT Adj Read]]="N/A",Table1[[#This Row],[Std Adj Read]]="N/A"),"N/A",IF(Table1[[#This Row],[DUT Adj Read]]="N/A",IF(Table1[[#This Row],[Std Adj Read]]&gt;Table1[[#This Row],[Low Tol]],"Pass","Fail"),IF(Table1[[#This Row],[DUT Adj Read]]&gt;Table1[[#This Row],[Low Tol]],"Pass","Fail")))</f>
        <v>Pass</v>
      </c>
      <c r="AE137" s="1" t="str">
        <f>IF(AND(Table1[[#This Row],[Spec Type2]]="N/A",Table1[[#This Row],[DUT Adj Read]]="N/A",Table1[[#This Row],[Std Adj Read]]="N/A"),"N/A",IF(Table1[[#This Row],[DUT Adj Read]]="N/A",IF(Table1[[#This Row],[Std Adj Read]]&lt;Table1[[#This Row],[High Tol]],"Pass","Fail"),IF(Table1[[#This Row],[DUT Adj Read]]&lt;Table1[[#This Row],[High Tol]],"Pass","Fail")))</f>
        <v>Fail</v>
      </c>
      <c r="AF137" s="1" t="str">
        <f>IF(AND(Table1[[#This Row],[Spec Type2]]="N/A",Table1[[#This Row],[DUT Adj Read]]="N/A",Table1[[#This Row],[Std Adj Read]]="N/A"),"N/A",IF(Table1[[#This Row],[DUT Adj Read]]="N/A",IF(Table1[[#This Row],[Std Adj Read]]&gt;=Table1[[#This Row],[Low Tol]],"Pass","Fail"),IF(Table1[[#This Row],[DUT Adj Read]]&gt;=Table1[[#This Row],[Low Tol]],"Pass","Fail")))</f>
        <v>Pass</v>
      </c>
      <c r="AG137" s="1" t="str">
        <f>IF(AND(Table1[[#This Row],[Spec Type2]]="N/A",Table1[[#This Row],[DUT Adj Read]]="N/A",Table1[[#This Row],[Std Adj Read]]="N/A"),"N/A",IF(Table1[[#This Row],[DUT Adj Read]]="N/A",IF(Table1[[#This Row],[Std Adj Read]]&lt;=Table1[[#This Row],[High Tol]],"Pass","Fail"),IF(Table1[[#This Row],[DUT Adj Read]]&lt;=Table1[[#This Row],[High Tol]],"Pass","Fail")))</f>
        <v>Fail</v>
      </c>
      <c r="AH1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 s="1" t="b">
        <v>0</v>
      </c>
      <c r="AN137" s="1" t="b">
        <v>0</v>
      </c>
      <c r="AO137" s="1" t="b">
        <v>0</v>
      </c>
    </row>
    <row r="138" spans="1:41" x14ac:dyDescent="0.25">
      <c r="A138" s="10"/>
      <c r="B138" s="10"/>
      <c r="C138" s="10"/>
      <c r="D138" s="10"/>
      <c r="E138" s="10"/>
      <c r="F138" s="10"/>
      <c r="G138" s="10"/>
      <c r="H138" s="10"/>
      <c r="I138" s="1" t="str">
        <f t="shared" si="3"/>
        <v/>
      </c>
      <c r="J138" s="1" t="s">
        <v>35</v>
      </c>
      <c r="K138" s="1" t="str">
        <f t="shared" si="4"/>
        <v/>
      </c>
      <c r="L138" s="1" t="str">
        <f t="shared" si="5"/>
        <v/>
      </c>
      <c r="M138" s="1">
        <f>IF(OR(Table1[[#This Row],[Std Nom]]="",Table1[[#This Row],[Std Read]]=""),0,Table1[[#This Row],[Std Nom]]-Table1[[#This Row],[Std Read]])</f>
        <v>0</v>
      </c>
      <c r="N138" s="1">
        <f>IF(Calculations!$F$5="ACCREDITED 17025 WITH UNCERTAINTIES",$N$10,0)</f>
        <v>0</v>
      </c>
      <c r="O138" s="1" t="str">
        <f>IFERROR(Table1[[#This Row],[Std Nom]]-(_xlfn.XLOOKUP(Table1[[#This Row],[Manufacturer]]&amp;" "&amp;Table1[[#This Row],[Model]],Table13[MFR &amp; MDL],Table13[Tolerance % CW ],"")/100*Table1[[#This Row],[Std Nom]]),"")</f>
        <v/>
      </c>
      <c r="P138" s="1" t="str">
        <f>IFERROR(Table1[[#This Row],[Std Nom]]+(_xlfn.XLOOKUP(Table1[[#This Row],[Manufacturer]]&amp;" "&amp;Table1[[#This Row],[Model]],Table13[MFR &amp; MDL],Table13[Tolerance % CW ],"")/100*Table1[[#This Row],[Std Nom]]),"")</f>
        <v/>
      </c>
      <c r="Q138" s="1" t="e">
        <f>Table1[[#This Row],[High Tol]]-Table1[[#This Row],[Low Tol]]</f>
        <v>#VALUE!</v>
      </c>
      <c r="R138" s="1">
        <f>2*Table1[[#This Row],[Std Error]]</f>
        <v>0</v>
      </c>
      <c r="S138" s="1" t="str">
        <f>IF(Table1[[#This Row],[High Tol]]="","N/A",IFERROR(ABS(Table1[[#This Row],[Tol Span]]/Table1[[#This Row],[Error Span]]),"N/A"))</f>
        <v>N/A</v>
      </c>
      <c r="T138" s="1" t="str">
        <f>IF(OR(Table1[[#This Row],[Low Tol]]="",Table1[[#This Row],[High Tol]]=""),"Needs Analysis",IF(Table1[[#This Row],[Ratio]]&gt;=4,"Not Significant",IF(Table1[[#This Row],[Ratio]]&gt;=2,"Semi-Significant","Significant")))</f>
        <v>Needs Analysis</v>
      </c>
      <c r="W138" s="1">
        <f>IF(Table1[[#This Row],[Cal Type]]&lt;&gt;"ACCREDITED 17025 WITH UNCERTAINTIES",0,"")</f>
        <v>0</v>
      </c>
      <c r="X138" s="1" t="str">
        <f>IF(Table1[[#This Row],[DUT Read]]="","N/A",Table1[[#This Row],[Std Error]]+Table1[[#This Row],[DUT Read]]+Table1[[#This Row],[DUT Ucty]])</f>
        <v>N/A</v>
      </c>
      <c r="Y138" s="1" t="str">
        <f>IF(Table1[[#This Row],[Std Read]]="","N/A",Table1[[#This Row],[Std Read]]+Table1[[#This Row],[Std Ucty]])</f>
        <v>N/A</v>
      </c>
      <c r="Z1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 s="1" t="str">
        <f>IF(Table1[[#This Row],[Spec Type]]="","N/A",Table1[[#This Row],[Spec Type]])</f>
        <v>±</v>
      </c>
      <c r="AC138" s="1" t="str">
        <f>IF(Table1[[#This Row],[Spec Type2]]="N/A","N/A",IF(AND(Table1[[#This Row],[DUT Adj Read]]&gt;=Table1[[#This Row],[Low Tol]],Table1[[#This Row],[DUT Adj Read]]&lt;=Table1[[#This Row],[High Tol]]),"Pass","Fail"))</f>
        <v>Fail</v>
      </c>
      <c r="AD138" s="1" t="str">
        <f>IF(AND(Table1[[#This Row],[Spec Type2]]="N/A",Table1[[#This Row],[DUT Adj Read]]="N/A",Table1[[#This Row],[Std Adj Read]]="N/A"),"N/A",IF(Table1[[#This Row],[DUT Adj Read]]="N/A",IF(Table1[[#This Row],[Std Adj Read]]&gt;Table1[[#This Row],[Low Tol]],"Pass","Fail"),IF(Table1[[#This Row],[DUT Adj Read]]&gt;Table1[[#This Row],[Low Tol]],"Pass","Fail")))</f>
        <v>Pass</v>
      </c>
      <c r="AE138" s="1" t="str">
        <f>IF(AND(Table1[[#This Row],[Spec Type2]]="N/A",Table1[[#This Row],[DUT Adj Read]]="N/A",Table1[[#This Row],[Std Adj Read]]="N/A"),"N/A",IF(Table1[[#This Row],[DUT Adj Read]]="N/A",IF(Table1[[#This Row],[Std Adj Read]]&lt;Table1[[#This Row],[High Tol]],"Pass","Fail"),IF(Table1[[#This Row],[DUT Adj Read]]&lt;Table1[[#This Row],[High Tol]],"Pass","Fail")))</f>
        <v>Fail</v>
      </c>
      <c r="AF138" s="1" t="str">
        <f>IF(AND(Table1[[#This Row],[Spec Type2]]="N/A",Table1[[#This Row],[DUT Adj Read]]="N/A",Table1[[#This Row],[Std Adj Read]]="N/A"),"N/A",IF(Table1[[#This Row],[DUT Adj Read]]="N/A",IF(Table1[[#This Row],[Std Adj Read]]&gt;=Table1[[#This Row],[Low Tol]],"Pass","Fail"),IF(Table1[[#This Row],[DUT Adj Read]]&gt;=Table1[[#This Row],[Low Tol]],"Pass","Fail")))</f>
        <v>Pass</v>
      </c>
      <c r="AG138" s="1" t="str">
        <f>IF(AND(Table1[[#This Row],[Spec Type2]]="N/A",Table1[[#This Row],[DUT Adj Read]]="N/A",Table1[[#This Row],[Std Adj Read]]="N/A"),"N/A",IF(Table1[[#This Row],[DUT Adj Read]]="N/A",IF(Table1[[#This Row],[Std Adj Read]]&lt;=Table1[[#This Row],[High Tol]],"Pass","Fail"),IF(Table1[[#This Row],[DUT Adj Read]]&lt;=Table1[[#This Row],[High Tol]],"Pass","Fail")))</f>
        <v>Fail</v>
      </c>
      <c r="AH1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 s="1" t="b">
        <v>0</v>
      </c>
      <c r="AN138" s="1" t="b">
        <v>0</v>
      </c>
      <c r="AO138" s="1" t="b">
        <v>0</v>
      </c>
    </row>
    <row r="139" spans="1:41" x14ac:dyDescent="0.25">
      <c r="A139" s="10"/>
      <c r="B139" s="10"/>
      <c r="C139" s="10"/>
      <c r="D139" s="10"/>
      <c r="E139" s="10"/>
      <c r="F139" s="10"/>
      <c r="G139" s="10"/>
      <c r="H139" s="10"/>
      <c r="I139" s="1" t="str">
        <f t="shared" ref="I139:I202" si="6">IF($I$10="","",$I$10)</f>
        <v/>
      </c>
      <c r="J139" s="1" t="s">
        <v>35</v>
      </c>
      <c r="K139" s="1" t="str">
        <f t="shared" ref="K139:K202" si="7">IF($K$10="","",$K$10)</f>
        <v/>
      </c>
      <c r="L139" s="1" t="str">
        <f t="shared" ref="L139:L202" si="8">IF($L$10="","",$L$10)</f>
        <v/>
      </c>
      <c r="M139" s="1">
        <f>IF(OR(Table1[[#This Row],[Std Nom]]="",Table1[[#This Row],[Std Read]]=""),0,Table1[[#This Row],[Std Nom]]-Table1[[#This Row],[Std Read]])</f>
        <v>0</v>
      </c>
      <c r="N139" s="1">
        <f>IF(Calculations!$F$5="ACCREDITED 17025 WITH UNCERTAINTIES",$N$10,0)</f>
        <v>0</v>
      </c>
      <c r="O139" s="1" t="str">
        <f>IFERROR(Table1[[#This Row],[Std Nom]]-(_xlfn.XLOOKUP(Table1[[#This Row],[Manufacturer]]&amp;" "&amp;Table1[[#This Row],[Model]],Table13[MFR &amp; MDL],Table13[Tolerance % CW ],"")/100*Table1[[#This Row],[Std Nom]]),"")</f>
        <v/>
      </c>
      <c r="P139" s="1" t="str">
        <f>IFERROR(Table1[[#This Row],[Std Nom]]+(_xlfn.XLOOKUP(Table1[[#This Row],[Manufacturer]]&amp;" "&amp;Table1[[#This Row],[Model]],Table13[MFR &amp; MDL],Table13[Tolerance % CW ],"")/100*Table1[[#This Row],[Std Nom]]),"")</f>
        <v/>
      </c>
      <c r="Q139" s="1" t="e">
        <f>Table1[[#This Row],[High Tol]]-Table1[[#This Row],[Low Tol]]</f>
        <v>#VALUE!</v>
      </c>
      <c r="R139" s="1">
        <f>2*Table1[[#This Row],[Std Error]]</f>
        <v>0</v>
      </c>
      <c r="S139" s="1" t="str">
        <f>IF(Table1[[#This Row],[High Tol]]="","N/A",IFERROR(ABS(Table1[[#This Row],[Tol Span]]/Table1[[#This Row],[Error Span]]),"N/A"))</f>
        <v>N/A</v>
      </c>
      <c r="T139" s="1" t="str">
        <f>IF(OR(Table1[[#This Row],[Low Tol]]="",Table1[[#This Row],[High Tol]]=""),"Needs Analysis",IF(Table1[[#This Row],[Ratio]]&gt;=4,"Not Significant",IF(Table1[[#This Row],[Ratio]]&gt;=2,"Semi-Significant","Significant")))</f>
        <v>Needs Analysis</v>
      </c>
      <c r="W139" s="1">
        <f>IF(Table1[[#This Row],[Cal Type]]&lt;&gt;"ACCREDITED 17025 WITH UNCERTAINTIES",0,"")</f>
        <v>0</v>
      </c>
      <c r="X139" s="1" t="str">
        <f>IF(Table1[[#This Row],[DUT Read]]="","N/A",Table1[[#This Row],[Std Error]]+Table1[[#This Row],[DUT Read]]+Table1[[#This Row],[DUT Ucty]])</f>
        <v>N/A</v>
      </c>
      <c r="Y139" s="1" t="str">
        <f>IF(Table1[[#This Row],[Std Read]]="","N/A",Table1[[#This Row],[Std Read]]+Table1[[#This Row],[Std Ucty]])</f>
        <v>N/A</v>
      </c>
      <c r="Z1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 s="1" t="str">
        <f>IF(Table1[[#This Row],[Spec Type]]="","N/A",Table1[[#This Row],[Spec Type]])</f>
        <v>±</v>
      </c>
      <c r="AC139" s="1" t="str">
        <f>IF(Table1[[#This Row],[Spec Type2]]="N/A","N/A",IF(AND(Table1[[#This Row],[DUT Adj Read]]&gt;=Table1[[#This Row],[Low Tol]],Table1[[#This Row],[DUT Adj Read]]&lt;=Table1[[#This Row],[High Tol]]),"Pass","Fail"))</f>
        <v>Fail</v>
      </c>
      <c r="AD139" s="1" t="str">
        <f>IF(AND(Table1[[#This Row],[Spec Type2]]="N/A",Table1[[#This Row],[DUT Adj Read]]="N/A",Table1[[#This Row],[Std Adj Read]]="N/A"),"N/A",IF(Table1[[#This Row],[DUT Adj Read]]="N/A",IF(Table1[[#This Row],[Std Adj Read]]&gt;Table1[[#This Row],[Low Tol]],"Pass","Fail"),IF(Table1[[#This Row],[DUT Adj Read]]&gt;Table1[[#This Row],[Low Tol]],"Pass","Fail")))</f>
        <v>Pass</v>
      </c>
      <c r="AE139" s="1" t="str">
        <f>IF(AND(Table1[[#This Row],[Spec Type2]]="N/A",Table1[[#This Row],[DUT Adj Read]]="N/A",Table1[[#This Row],[Std Adj Read]]="N/A"),"N/A",IF(Table1[[#This Row],[DUT Adj Read]]="N/A",IF(Table1[[#This Row],[Std Adj Read]]&lt;Table1[[#This Row],[High Tol]],"Pass","Fail"),IF(Table1[[#This Row],[DUT Adj Read]]&lt;Table1[[#This Row],[High Tol]],"Pass","Fail")))</f>
        <v>Fail</v>
      </c>
      <c r="AF139" s="1" t="str">
        <f>IF(AND(Table1[[#This Row],[Spec Type2]]="N/A",Table1[[#This Row],[DUT Adj Read]]="N/A",Table1[[#This Row],[Std Adj Read]]="N/A"),"N/A",IF(Table1[[#This Row],[DUT Adj Read]]="N/A",IF(Table1[[#This Row],[Std Adj Read]]&gt;=Table1[[#This Row],[Low Tol]],"Pass","Fail"),IF(Table1[[#This Row],[DUT Adj Read]]&gt;=Table1[[#This Row],[Low Tol]],"Pass","Fail")))</f>
        <v>Pass</v>
      </c>
      <c r="AG139" s="1" t="str">
        <f>IF(AND(Table1[[#This Row],[Spec Type2]]="N/A",Table1[[#This Row],[DUT Adj Read]]="N/A",Table1[[#This Row],[Std Adj Read]]="N/A"),"N/A",IF(Table1[[#This Row],[DUT Adj Read]]="N/A",IF(Table1[[#This Row],[Std Adj Read]]&lt;=Table1[[#This Row],[High Tol]],"Pass","Fail"),IF(Table1[[#This Row],[DUT Adj Read]]&lt;=Table1[[#This Row],[High Tol]],"Pass","Fail")))</f>
        <v>Fail</v>
      </c>
      <c r="AH1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 s="1" t="b">
        <v>0</v>
      </c>
      <c r="AN139" s="1" t="b">
        <v>0</v>
      </c>
      <c r="AO139" s="1" t="b">
        <v>0</v>
      </c>
    </row>
    <row r="140" spans="1:41" x14ac:dyDescent="0.25">
      <c r="A140" s="10"/>
      <c r="B140" s="10"/>
      <c r="C140" s="10"/>
      <c r="D140" s="10"/>
      <c r="E140" s="10"/>
      <c r="F140" s="10"/>
      <c r="G140" s="10"/>
      <c r="H140" s="10"/>
      <c r="I140" s="1" t="str">
        <f t="shared" si="6"/>
        <v/>
      </c>
      <c r="J140" s="1" t="s">
        <v>35</v>
      </c>
      <c r="K140" s="1" t="str">
        <f t="shared" si="7"/>
        <v/>
      </c>
      <c r="L140" s="1" t="str">
        <f t="shared" si="8"/>
        <v/>
      </c>
      <c r="M140" s="1">
        <f>IF(OR(Table1[[#This Row],[Std Nom]]="",Table1[[#This Row],[Std Read]]=""),0,Table1[[#This Row],[Std Nom]]-Table1[[#This Row],[Std Read]])</f>
        <v>0</v>
      </c>
      <c r="N140" s="1">
        <f>IF(Calculations!$F$5="ACCREDITED 17025 WITH UNCERTAINTIES",$N$10,0)</f>
        <v>0</v>
      </c>
      <c r="O140" s="1" t="str">
        <f>IFERROR(Table1[[#This Row],[Std Nom]]-(_xlfn.XLOOKUP(Table1[[#This Row],[Manufacturer]]&amp;" "&amp;Table1[[#This Row],[Model]],Table13[MFR &amp; MDL],Table13[Tolerance % CW ],"")/100*Table1[[#This Row],[Std Nom]]),"")</f>
        <v/>
      </c>
      <c r="P140" s="1" t="str">
        <f>IFERROR(Table1[[#This Row],[Std Nom]]+(_xlfn.XLOOKUP(Table1[[#This Row],[Manufacturer]]&amp;" "&amp;Table1[[#This Row],[Model]],Table13[MFR &amp; MDL],Table13[Tolerance % CW ],"")/100*Table1[[#This Row],[Std Nom]]),"")</f>
        <v/>
      </c>
      <c r="Q140" s="1" t="e">
        <f>Table1[[#This Row],[High Tol]]-Table1[[#This Row],[Low Tol]]</f>
        <v>#VALUE!</v>
      </c>
      <c r="R140" s="1">
        <f>2*Table1[[#This Row],[Std Error]]</f>
        <v>0</v>
      </c>
      <c r="S140" s="1" t="str">
        <f>IF(Table1[[#This Row],[High Tol]]="","N/A",IFERROR(ABS(Table1[[#This Row],[Tol Span]]/Table1[[#This Row],[Error Span]]),"N/A"))</f>
        <v>N/A</v>
      </c>
      <c r="T140" s="1" t="str">
        <f>IF(OR(Table1[[#This Row],[Low Tol]]="",Table1[[#This Row],[High Tol]]=""),"Needs Analysis",IF(Table1[[#This Row],[Ratio]]&gt;=4,"Not Significant",IF(Table1[[#This Row],[Ratio]]&gt;=2,"Semi-Significant","Significant")))</f>
        <v>Needs Analysis</v>
      </c>
      <c r="W140" s="1">
        <f>IF(Table1[[#This Row],[Cal Type]]&lt;&gt;"ACCREDITED 17025 WITH UNCERTAINTIES",0,"")</f>
        <v>0</v>
      </c>
      <c r="X140" s="1" t="str">
        <f>IF(Table1[[#This Row],[DUT Read]]="","N/A",Table1[[#This Row],[Std Error]]+Table1[[#This Row],[DUT Read]]+Table1[[#This Row],[DUT Ucty]])</f>
        <v>N/A</v>
      </c>
      <c r="Y140" s="1" t="str">
        <f>IF(Table1[[#This Row],[Std Read]]="","N/A",Table1[[#This Row],[Std Read]]+Table1[[#This Row],[Std Ucty]])</f>
        <v>N/A</v>
      </c>
      <c r="Z1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 s="1" t="str">
        <f>IF(Table1[[#This Row],[Spec Type]]="","N/A",Table1[[#This Row],[Spec Type]])</f>
        <v>±</v>
      </c>
      <c r="AC140" s="1" t="str">
        <f>IF(Table1[[#This Row],[Spec Type2]]="N/A","N/A",IF(AND(Table1[[#This Row],[DUT Adj Read]]&gt;=Table1[[#This Row],[Low Tol]],Table1[[#This Row],[DUT Adj Read]]&lt;=Table1[[#This Row],[High Tol]]),"Pass","Fail"))</f>
        <v>Fail</v>
      </c>
      <c r="AD140" s="1" t="str">
        <f>IF(AND(Table1[[#This Row],[Spec Type2]]="N/A",Table1[[#This Row],[DUT Adj Read]]="N/A",Table1[[#This Row],[Std Adj Read]]="N/A"),"N/A",IF(Table1[[#This Row],[DUT Adj Read]]="N/A",IF(Table1[[#This Row],[Std Adj Read]]&gt;Table1[[#This Row],[Low Tol]],"Pass","Fail"),IF(Table1[[#This Row],[DUT Adj Read]]&gt;Table1[[#This Row],[Low Tol]],"Pass","Fail")))</f>
        <v>Pass</v>
      </c>
      <c r="AE140" s="1" t="str">
        <f>IF(AND(Table1[[#This Row],[Spec Type2]]="N/A",Table1[[#This Row],[DUT Adj Read]]="N/A",Table1[[#This Row],[Std Adj Read]]="N/A"),"N/A",IF(Table1[[#This Row],[DUT Adj Read]]="N/A",IF(Table1[[#This Row],[Std Adj Read]]&lt;Table1[[#This Row],[High Tol]],"Pass","Fail"),IF(Table1[[#This Row],[DUT Adj Read]]&lt;Table1[[#This Row],[High Tol]],"Pass","Fail")))</f>
        <v>Fail</v>
      </c>
      <c r="AF140" s="1" t="str">
        <f>IF(AND(Table1[[#This Row],[Spec Type2]]="N/A",Table1[[#This Row],[DUT Adj Read]]="N/A",Table1[[#This Row],[Std Adj Read]]="N/A"),"N/A",IF(Table1[[#This Row],[DUT Adj Read]]="N/A",IF(Table1[[#This Row],[Std Adj Read]]&gt;=Table1[[#This Row],[Low Tol]],"Pass","Fail"),IF(Table1[[#This Row],[DUT Adj Read]]&gt;=Table1[[#This Row],[Low Tol]],"Pass","Fail")))</f>
        <v>Pass</v>
      </c>
      <c r="AG140" s="1" t="str">
        <f>IF(AND(Table1[[#This Row],[Spec Type2]]="N/A",Table1[[#This Row],[DUT Adj Read]]="N/A",Table1[[#This Row],[Std Adj Read]]="N/A"),"N/A",IF(Table1[[#This Row],[DUT Adj Read]]="N/A",IF(Table1[[#This Row],[Std Adj Read]]&lt;=Table1[[#This Row],[High Tol]],"Pass","Fail"),IF(Table1[[#This Row],[DUT Adj Read]]&lt;=Table1[[#This Row],[High Tol]],"Pass","Fail")))</f>
        <v>Fail</v>
      </c>
      <c r="AH1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 s="1" t="b">
        <v>0</v>
      </c>
      <c r="AN140" s="1" t="b">
        <v>0</v>
      </c>
      <c r="AO140" s="1" t="b">
        <v>0</v>
      </c>
    </row>
    <row r="141" spans="1:41" x14ac:dyDescent="0.25">
      <c r="A141" s="10"/>
      <c r="B141" s="10"/>
      <c r="C141" s="10"/>
      <c r="D141" s="10"/>
      <c r="E141" s="10"/>
      <c r="F141" s="10"/>
      <c r="G141" s="10"/>
      <c r="H141" s="10"/>
      <c r="I141" s="1" t="str">
        <f t="shared" si="6"/>
        <v/>
      </c>
      <c r="J141" s="1" t="s">
        <v>35</v>
      </c>
      <c r="K141" s="1" t="str">
        <f t="shared" si="7"/>
        <v/>
      </c>
      <c r="L141" s="1" t="str">
        <f t="shared" si="8"/>
        <v/>
      </c>
      <c r="M141" s="1">
        <f>IF(OR(Table1[[#This Row],[Std Nom]]="",Table1[[#This Row],[Std Read]]=""),0,Table1[[#This Row],[Std Nom]]-Table1[[#This Row],[Std Read]])</f>
        <v>0</v>
      </c>
      <c r="N141" s="1">
        <f>IF(Calculations!$F$5="ACCREDITED 17025 WITH UNCERTAINTIES",$N$10,0)</f>
        <v>0</v>
      </c>
      <c r="O141" s="1" t="str">
        <f>IFERROR(Table1[[#This Row],[Std Nom]]-(_xlfn.XLOOKUP(Table1[[#This Row],[Manufacturer]]&amp;" "&amp;Table1[[#This Row],[Model]],Table13[MFR &amp; MDL],Table13[Tolerance % CW ],"")/100*Table1[[#This Row],[Std Nom]]),"")</f>
        <v/>
      </c>
      <c r="P141" s="1" t="str">
        <f>IFERROR(Table1[[#This Row],[Std Nom]]+(_xlfn.XLOOKUP(Table1[[#This Row],[Manufacturer]]&amp;" "&amp;Table1[[#This Row],[Model]],Table13[MFR &amp; MDL],Table13[Tolerance % CW ],"")/100*Table1[[#This Row],[Std Nom]]),"")</f>
        <v/>
      </c>
      <c r="Q141" s="1" t="e">
        <f>Table1[[#This Row],[High Tol]]-Table1[[#This Row],[Low Tol]]</f>
        <v>#VALUE!</v>
      </c>
      <c r="R141" s="1">
        <f>2*Table1[[#This Row],[Std Error]]</f>
        <v>0</v>
      </c>
      <c r="S141" s="1" t="str">
        <f>IF(Table1[[#This Row],[High Tol]]="","N/A",IFERROR(ABS(Table1[[#This Row],[Tol Span]]/Table1[[#This Row],[Error Span]]),"N/A"))</f>
        <v>N/A</v>
      </c>
      <c r="T141" s="1" t="str">
        <f>IF(OR(Table1[[#This Row],[Low Tol]]="",Table1[[#This Row],[High Tol]]=""),"Needs Analysis",IF(Table1[[#This Row],[Ratio]]&gt;=4,"Not Significant",IF(Table1[[#This Row],[Ratio]]&gt;=2,"Semi-Significant","Significant")))</f>
        <v>Needs Analysis</v>
      </c>
      <c r="W141" s="1">
        <f>IF(Table1[[#This Row],[Cal Type]]&lt;&gt;"ACCREDITED 17025 WITH UNCERTAINTIES",0,"")</f>
        <v>0</v>
      </c>
      <c r="X141" s="1" t="str">
        <f>IF(Table1[[#This Row],[DUT Read]]="","N/A",Table1[[#This Row],[Std Error]]+Table1[[#This Row],[DUT Read]]+Table1[[#This Row],[DUT Ucty]])</f>
        <v>N/A</v>
      </c>
      <c r="Y141" s="1" t="str">
        <f>IF(Table1[[#This Row],[Std Read]]="","N/A",Table1[[#This Row],[Std Read]]+Table1[[#This Row],[Std Ucty]])</f>
        <v>N/A</v>
      </c>
      <c r="Z1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 s="1" t="str">
        <f>IF(Table1[[#This Row],[Spec Type]]="","N/A",Table1[[#This Row],[Spec Type]])</f>
        <v>±</v>
      </c>
      <c r="AC141" s="1" t="str">
        <f>IF(Table1[[#This Row],[Spec Type2]]="N/A","N/A",IF(AND(Table1[[#This Row],[DUT Adj Read]]&gt;=Table1[[#This Row],[Low Tol]],Table1[[#This Row],[DUT Adj Read]]&lt;=Table1[[#This Row],[High Tol]]),"Pass","Fail"))</f>
        <v>Fail</v>
      </c>
      <c r="AD141" s="1" t="str">
        <f>IF(AND(Table1[[#This Row],[Spec Type2]]="N/A",Table1[[#This Row],[DUT Adj Read]]="N/A",Table1[[#This Row],[Std Adj Read]]="N/A"),"N/A",IF(Table1[[#This Row],[DUT Adj Read]]="N/A",IF(Table1[[#This Row],[Std Adj Read]]&gt;Table1[[#This Row],[Low Tol]],"Pass","Fail"),IF(Table1[[#This Row],[DUT Adj Read]]&gt;Table1[[#This Row],[Low Tol]],"Pass","Fail")))</f>
        <v>Pass</v>
      </c>
      <c r="AE141" s="1" t="str">
        <f>IF(AND(Table1[[#This Row],[Spec Type2]]="N/A",Table1[[#This Row],[DUT Adj Read]]="N/A",Table1[[#This Row],[Std Adj Read]]="N/A"),"N/A",IF(Table1[[#This Row],[DUT Adj Read]]="N/A",IF(Table1[[#This Row],[Std Adj Read]]&lt;Table1[[#This Row],[High Tol]],"Pass","Fail"),IF(Table1[[#This Row],[DUT Adj Read]]&lt;Table1[[#This Row],[High Tol]],"Pass","Fail")))</f>
        <v>Fail</v>
      </c>
      <c r="AF141" s="1" t="str">
        <f>IF(AND(Table1[[#This Row],[Spec Type2]]="N/A",Table1[[#This Row],[DUT Adj Read]]="N/A",Table1[[#This Row],[Std Adj Read]]="N/A"),"N/A",IF(Table1[[#This Row],[DUT Adj Read]]="N/A",IF(Table1[[#This Row],[Std Adj Read]]&gt;=Table1[[#This Row],[Low Tol]],"Pass","Fail"),IF(Table1[[#This Row],[DUT Adj Read]]&gt;=Table1[[#This Row],[Low Tol]],"Pass","Fail")))</f>
        <v>Pass</v>
      </c>
      <c r="AG141" s="1" t="str">
        <f>IF(AND(Table1[[#This Row],[Spec Type2]]="N/A",Table1[[#This Row],[DUT Adj Read]]="N/A",Table1[[#This Row],[Std Adj Read]]="N/A"),"N/A",IF(Table1[[#This Row],[DUT Adj Read]]="N/A",IF(Table1[[#This Row],[Std Adj Read]]&lt;=Table1[[#This Row],[High Tol]],"Pass","Fail"),IF(Table1[[#This Row],[DUT Adj Read]]&lt;=Table1[[#This Row],[High Tol]],"Pass","Fail")))</f>
        <v>Fail</v>
      </c>
      <c r="AH1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 s="1" t="b">
        <v>0</v>
      </c>
      <c r="AN141" s="1" t="b">
        <v>0</v>
      </c>
      <c r="AO141" s="1" t="b">
        <v>0</v>
      </c>
    </row>
    <row r="142" spans="1:41" x14ac:dyDescent="0.25">
      <c r="A142" s="10"/>
      <c r="B142" s="10"/>
      <c r="C142" s="10"/>
      <c r="D142" s="10"/>
      <c r="E142" s="10"/>
      <c r="F142" s="10"/>
      <c r="G142" s="10"/>
      <c r="H142" s="10"/>
      <c r="I142" s="1" t="str">
        <f t="shared" si="6"/>
        <v/>
      </c>
      <c r="J142" s="1" t="s">
        <v>35</v>
      </c>
      <c r="K142" s="1" t="str">
        <f t="shared" si="7"/>
        <v/>
      </c>
      <c r="L142" s="1" t="str">
        <f t="shared" si="8"/>
        <v/>
      </c>
      <c r="M142" s="1">
        <f>IF(OR(Table1[[#This Row],[Std Nom]]="",Table1[[#This Row],[Std Read]]=""),0,Table1[[#This Row],[Std Nom]]-Table1[[#This Row],[Std Read]])</f>
        <v>0</v>
      </c>
      <c r="N142" s="1">
        <f>IF(Calculations!$F$5="ACCREDITED 17025 WITH UNCERTAINTIES",$N$10,0)</f>
        <v>0</v>
      </c>
      <c r="O142" s="1" t="str">
        <f>IFERROR(Table1[[#This Row],[Std Nom]]-(_xlfn.XLOOKUP(Table1[[#This Row],[Manufacturer]]&amp;" "&amp;Table1[[#This Row],[Model]],Table13[MFR &amp; MDL],Table13[Tolerance % CW ],"")/100*Table1[[#This Row],[Std Nom]]),"")</f>
        <v/>
      </c>
      <c r="P142" s="1" t="str">
        <f>IFERROR(Table1[[#This Row],[Std Nom]]+(_xlfn.XLOOKUP(Table1[[#This Row],[Manufacturer]]&amp;" "&amp;Table1[[#This Row],[Model]],Table13[MFR &amp; MDL],Table13[Tolerance % CW ],"")/100*Table1[[#This Row],[Std Nom]]),"")</f>
        <v/>
      </c>
      <c r="Q142" s="1" t="e">
        <f>Table1[[#This Row],[High Tol]]-Table1[[#This Row],[Low Tol]]</f>
        <v>#VALUE!</v>
      </c>
      <c r="R142" s="1">
        <f>2*Table1[[#This Row],[Std Error]]</f>
        <v>0</v>
      </c>
      <c r="S142" s="1" t="str">
        <f>IF(Table1[[#This Row],[High Tol]]="","N/A",IFERROR(ABS(Table1[[#This Row],[Tol Span]]/Table1[[#This Row],[Error Span]]),"N/A"))</f>
        <v>N/A</v>
      </c>
      <c r="T142" s="1" t="str">
        <f>IF(OR(Table1[[#This Row],[Low Tol]]="",Table1[[#This Row],[High Tol]]=""),"Needs Analysis",IF(Table1[[#This Row],[Ratio]]&gt;=4,"Not Significant",IF(Table1[[#This Row],[Ratio]]&gt;=2,"Semi-Significant","Significant")))</f>
        <v>Needs Analysis</v>
      </c>
      <c r="W142" s="1">
        <f>IF(Table1[[#This Row],[Cal Type]]&lt;&gt;"ACCREDITED 17025 WITH UNCERTAINTIES",0,"")</f>
        <v>0</v>
      </c>
      <c r="X142" s="1" t="str">
        <f>IF(Table1[[#This Row],[DUT Read]]="","N/A",Table1[[#This Row],[Std Error]]+Table1[[#This Row],[DUT Read]]+Table1[[#This Row],[DUT Ucty]])</f>
        <v>N/A</v>
      </c>
      <c r="Y142" s="1" t="str">
        <f>IF(Table1[[#This Row],[Std Read]]="","N/A",Table1[[#This Row],[Std Read]]+Table1[[#This Row],[Std Ucty]])</f>
        <v>N/A</v>
      </c>
      <c r="Z1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 s="1" t="str">
        <f>IF(Table1[[#This Row],[Spec Type]]="","N/A",Table1[[#This Row],[Spec Type]])</f>
        <v>±</v>
      </c>
      <c r="AC142" s="1" t="str">
        <f>IF(Table1[[#This Row],[Spec Type2]]="N/A","N/A",IF(AND(Table1[[#This Row],[DUT Adj Read]]&gt;=Table1[[#This Row],[Low Tol]],Table1[[#This Row],[DUT Adj Read]]&lt;=Table1[[#This Row],[High Tol]]),"Pass","Fail"))</f>
        <v>Fail</v>
      </c>
      <c r="AD142" s="1" t="str">
        <f>IF(AND(Table1[[#This Row],[Spec Type2]]="N/A",Table1[[#This Row],[DUT Adj Read]]="N/A",Table1[[#This Row],[Std Adj Read]]="N/A"),"N/A",IF(Table1[[#This Row],[DUT Adj Read]]="N/A",IF(Table1[[#This Row],[Std Adj Read]]&gt;Table1[[#This Row],[Low Tol]],"Pass","Fail"),IF(Table1[[#This Row],[DUT Adj Read]]&gt;Table1[[#This Row],[Low Tol]],"Pass","Fail")))</f>
        <v>Pass</v>
      </c>
      <c r="AE142" s="1" t="str">
        <f>IF(AND(Table1[[#This Row],[Spec Type2]]="N/A",Table1[[#This Row],[DUT Adj Read]]="N/A",Table1[[#This Row],[Std Adj Read]]="N/A"),"N/A",IF(Table1[[#This Row],[DUT Adj Read]]="N/A",IF(Table1[[#This Row],[Std Adj Read]]&lt;Table1[[#This Row],[High Tol]],"Pass","Fail"),IF(Table1[[#This Row],[DUT Adj Read]]&lt;Table1[[#This Row],[High Tol]],"Pass","Fail")))</f>
        <v>Fail</v>
      </c>
      <c r="AF142" s="1" t="str">
        <f>IF(AND(Table1[[#This Row],[Spec Type2]]="N/A",Table1[[#This Row],[DUT Adj Read]]="N/A",Table1[[#This Row],[Std Adj Read]]="N/A"),"N/A",IF(Table1[[#This Row],[DUT Adj Read]]="N/A",IF(Table1[[#This Row],[Std Adj Read]]&gt;=Table1[[#This Row],[Low Tol]],"Pass","Fail"),IF(Table1[[#This Row],[DUT Adj Read]]&gt;=Table1[[#This Row],[Low Tol]],"Pass","Fail")))</f>
        <v>Pass</v>
      </c>
      <c r="AG142" s="1" t="str">
        <f>IF(AND(Table1[[#This Row],[Spec Type2]]="N/A",Table1[[#This Row],[DUT Adj Read]]="N/A",Table1[[#This Row],[Std Adj Read]]="N/A"),"N/A",IF(Table1[[#This Row],[DUT Adj Read]]="N/A",IF(Table1[[#This Row],[Std Adj Read]]&lt;=Table1[[#This Row],[High Tol]],"Pass","Fail"),IF(Table1[[#This Row],[DUT Adj Read]]&lt;=Table1[[#This Row],[High Tol]],"Pass","Fail")))</f>
        <v>Fail</v>
      </c>
      <c r="AH1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 s="1" t="b">
        <v>0</v>
      </c>
      <c r="AN142" s="1" t="b">
        <v>0</v>
      </c>
      <c r="AO142" s="1" t="b">
        <v>0</v>
      </c>
    </row>
    <row r="143" spans="1:41" x14ac:dyDescent="0.25">
      <c r="A143" s="10"/>
      <c r="B143" s="10"/>
      <c r="C143" s="10"/>
      <c r="D143" s="10"/>
      <c r="E143" s="10"/>
      <c r="F143" s="10"/>
      <c r="G143" s="10"/>
      <c r="H143" s="10"/>
      <c r="I143" s="1" t="str">
        <f t="shared" si="6"/>
        <v/>
      </c>
      <c r="J143" s="1" t="s">
        <v>35</v>
      </c>
      <c r="K143" s="1" t="str">
        <f t="shared" si="7"/>
        <v/>
      </c>
      <c r="L143" s="1" t="str">
        <f t="shared" si="8"/>
        <v/>
      </c>
      <c r="M143" s="1">
        <f>IF(OR(Table1[[#This Row],[Std Nom]]="",Table1[[#This Row],[Std Read]]=""),0,Table1[[#This Row],[Std Nom]]-Table1[[#This Row],[Std Read]])</f>
        <v>0</v>
      </c>
      <c r="N143" s="1">
        <f>IF(Calculations!$F$5="ACCREDITED 17025 WITH UNCERTAINTIES",$N$10,0)</f>
        <v>0</v>
      </c>
      <c r="O143" s="1" t="str">
        <f>IFERROR(Table1[[#This Row],[Std Nom]]-(_xlfn.XLOOKUP(Table1[[#This Row],[Manufacturer]]&amp;" "&amp;Table1[[#This Row],[Model]],Table13[MFR &amp; MDL],Table13[Tolerance % CW ],"")/100*Table1[[#This Row],[Std Nom]]),"")</f>
        <v/>
      </c>
      <c r="P143" s="1" t="str">
        <f>IFERROR(Table1[[#This Row],[Std Nom]]+(_xlfn.XLOOKUP(Table1[[#This Row],[Manufacturer]]&amp;" "&amp;Table1[[#This Row],[Model]],Table13[MFR &amp; MDL],Table13[Tolerance % CW ],"")/100*Table1[[#This Row],[Std Nom]]),"")</f>
        <v/>
      </c>
      <c r="Q143" s="1" t="e">
        <f>Table1[[#This Row],[High Tol]]-Table1[[#This Row],[Low Tol]]</f>
        <v>#VALUE!</v>
      </c>
      <c r="R143" s="1">
        <f>2*Table1[[#This Row],[Std Error]]</f>
        <v>0</v>
      </c>
      <c r="S143" s="1" t="str">
        <f>IF(Table1[[#This Row],[High Tol]]="","N/A",IFERROR(ABS(Table1[[#This Row],[Tol Span]]/Table1[[#This Row],[Error Span]]),"N/A"))</f>
        <v>N/A</v>
      </c>
      <c r="T143" s="1" t="str">
        <f>IF(OR(Table1[[#This Row],[Low Tol]]="",Table1[[#This Row],[High Tol]]=""),"Needs Analysis",IF(Table1[[#This Row],[Ratio]]&gt;=4,"Not Significant",IF(Table1[[#This Row],[Ratio]]&gt;=2,"Semi-Significant","Significant")))</f>
        <v>Needs Analysis</v>
      </c>
      <c r="W143" s="1">
        <f>IF(Table1[[#This Row],[Cal Type]]&lt;&gt;"ACCREDITED 17025 WITH UNCERTAINTIES",0,"")</f>
        <v>0</v>
      </c>
      <c r="X143" s="1" t="str">
        <f>IF(Table1[[#This Row],[DUT Read]]="","N/A",Table1[[#This Row],[Std Error]]+Table1[[#This Row],[DUT Read]]+Table1[[#This Row],[DUT Ucty]])</f>
        <v>N/A</v>
      </c>
      <c r="Y143" s="1" t="str">
        <f>IF(Table1[[#This Row],[Std Read]]="","N/A",Table1[[#This Row],[Std Read]]+Table1[[#This Row],[Std Ucty]])</f>
        <v>N/A</v>
      </c>
      <c r="Z1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 s="1" t="str">
        <f>IF(Table1[[#This Row],[Spec Type]]="","N/A",Table1[[#This Row],[Spec Type]])</f>
        <v>±</v>
      </c>
      <c r="AC143" s="1" t="str">
        <f>IF(Table1[[#This Row],[Spec Type2]]="N/A","N/A",IF(AND(Table1[[#This Row],[DUT Adj Read]]&gt;=Table1[[#This Row],[Low Tol]],Table1[[#This Row],[DUT Adj Read]]&lt;=Table1[[#This Row],[High Tol]]),"Pass","Fail"))</f>
        <v>Fail</v>
      </c>
      <c r="AD143" s="1" t="str">
        <f>IF(AND(Table1[[#This Row],[Spec Type2]]="N/A",Table1[[#This Row],[DUT Adj Read]]="N/A",Table1[[#This Row],[Std Adj Read]]="N/A"),"N/A",IF(Table1[[#This Row],[DUT Adj Read]]="N/A",IF(Table1[[#This Row],[Std Adj Read]]&gt;Table1[[#This Row],[Low Tol]],"Pass","Fail"),IF(Table1[[#This Row],[DUT Adj Read]]&gt;Table1[[#This Row],[Low Tol]],"Pass","Fail")))</f>
        <v>Pass</v>
      </c>
      <c r="AE143" s="1" t="str">
        <f>IF(AND(Table1[[#This Row],[Spec Type2]]="N/A",Table1[[#This Row],[DUT Adj Read]]="N/A",Table1[[#This Row],[Std Adj Read]]="N/A"),"N/A",IF(Table1[[#This Row],[DUT Adj Read]]="N/A",IF(Table1[[#This Row],[Std Adj Read]]&lt;Table1[[#This Row],[High Tol]],"Pass","Fail"),IF(Table1[[#This Row],[DUT Adj Read]]&lt;Table1[[#This Row],[High Tol]],"Pass","Fail")))</f>
        <v>Fail</v>
      </c>
      <c r="AF143" s="1" t="str">
        <f>IF(AND(Table1[[#This Row],[Spec Type2]]="N/A",Table1[[#This Row],[DUT Adj Read]]="N/A",Table1[[#This Row],[Std Adj Read]]="N/A"),"N/A",IF(Table1[[#This Row],[DUT Adj Read]]="N/A",IF(Table1[[#This Row],[Std Adj Read]]&gt;=Table1[[#This Row],[Low Tol]],"Pass","Fail"),IF(Table1[[#This Row],[DUT Adj Read]]&gt;=Table1[[#This Row],[Low Tol]],"Pass","Fail")))</f>
        <v>Pass</v>
      </c>
      <c r="AG143" s="1" t="str">
        <f>IF(AND(Table1[[#This Row],[Spec Type2]]="N/A",Table1[[#This Row],[DUT Adj Read]]="N/A",Table1[[#This Row],[Std Adj Read]]="N/A"),"N/A",IF(Table1[[#This Row],[DUT Adj Read]]="N/A",IF(Table1[[#This Row],[Std Adj Read]]&lt;=Table1[[#This Row],[High Tol]],"Pass","Fail"),IF(Table1[[#This Row],[DUT Adj Read]]&lt;=Table1[[#This Row],[High Tol]],"Pass","Fail")))</f>
        <v>Fail</v>
      </c>
      <c r="AH1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 s="1" t="b">
        <v>0</v>
      </c>
      <c r="AN143" s="1" t="b">
        <v>0</v>
      </c>
      <c r="AO143" s="1" t="b">
        <v>0</v>
      </c>
    </row>
    <row r="144" spans="1:41" x14ac:dyDescent="0.25">
      <c r="A144" s="10"/>
      <c r="B144" s="10"/>
      <c r="C144" s="10"/>
      <c r="D144" s="10"/>
      <c r="E144" s="10"/>
      <c r="F144" s="10"/>
      <c r="G144" s="10"/>
      <c r="H144" s="10"/>
      <c r="I144" s="1" t="str">
        <f t="shared" si="6"/>
        <v/>
      </c>
      <c r="J144" s="1" t="s">
        <v>35</v>
      </c>
      <c r="K144" s="1" t="str">
        <f t="shared" si="7"/>
        <v/>
      </c>
      <c r="L144" s="1" t="str">
        <f t="shared" si="8"/>
        <v/>
      </c>
      <c r="M144" s="1">
        <f>IF(OR(Table1[[#This Row],[Std Nom]]="",Table1[[#This Row],[Std Read]]=""),0,Table1[[#This Row],[Std Nom]]-Table1[[#This Row],[Std Read]])</f>
        <v>0</v>
      </c>
      <c r="N144" s="1">
        <f>IF(Calculations!$F$5="ACCREDITED 17025 WITH UNCERTAINTIES",$N$10,0)</f>
        <v>0</v>
      </c>
      <c r="O144" s="1" t="str">
        <f>IFERROR(Table1[[#This Row],[Std Nom]]-(_xlfn.XLOOKUP(Table1[[#This Row],[Manufacturer]]&amp;" "&amp;Table1[[#This Row],[Model]],Table13[MFR &amp; MDL],Table13[Tolerance % CW ],"")/100*Table1[[#This Row],[Std Nom]]),"")</f>
        <v/>
      </c>
      <c r="P144" s="1" t="str">
        <f>IFERROR(Table1[[#This Row],[Std Nom]]+(_xlfn.XLOOKUP(Table1[[#This Row],[Manufacturer]]&amp;" "&amp;Table1[[#This Row],[Model]],Table13[MFR &amp; MDL],Table13[Tolerance % CW ],"")/100*Table1[[#This Row],[Std Nom]]),"")</f>
        <v/>
      </c>
      <c r="Q144" s="1" t="e">
        <f>Table1[[#This Row],[High Tol]]-Table1[[#This Row],[Low Tol]]</f>
        <v>#VALUE!</v>
      </c>
      <c r="R144" s="1">
        <f>2*Table1[[#This Row],[Std Error]]</f>
        <v>0</v>
      </c>
      <c r="S144" s="1" t="str">
        <f>IF(Table1[[#This Row],[High Tol]]="","N/A",IFERROR(ABS(Table1[[#This Row],[Tol Span]]/Table1[[#This Row],[Error Span]]),"N/A"))</f>
        <v>N/A</v>
      </c>
      <c r="T144" s="1" t="str">
        <f>IF(OR(Table1[[#This Row],[Low Tol]]="",Table1[[#This Row],[High Tol]]=""),"Needs Analysis",IF(Table1[[#This Row],[Ratio]]&gt;=4,"Not Significant",IF(Table1[[#This Row],[Ratio]]&gt;=2,"Semi-Significant","Significant")))</f>
        <v>Needs Analysis</v>
      </c>
      <c r="W144" s="1">
        <f>IF(Table1[[#This Row],[Cal Type]]&lt;&gt;"ACCREDITED 17025 WITH UNCERTAINTIES",0,"")</f>
        <v>0</v>
      </c>
      <c r="X144" s="1" t="str">
        <f>IF(Table1[[#This Row],[DUT Read]]="","N/A",Table1[[#This Row],[Std Error]]+Table1[[#This Row],[DUT Read]]+Table1[[#This Row],[DUT Ucty]])</f>
        <v>N/A</v>
      </c>
      <c r="Y144" s="1" t="str">
        <f>IF(Table1[[#This Row],[Std Read]]="","N/A",Table1[[#This Row],[Std Read]]+Table1[[#This Row],[Std Ucty]])</f>
        <v>N/A</v>
      </c>
      <c r="Z1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 s="1" t="str">
        <f>IF(Table1[[#This Row],[Spec Type]]="","N/A",Table1[[#This Row],[Spec Type]])</f>
        <v>±</v>
      </c>
      <c r="AC144" s="1" t="str">
        <f>IF(Table1[[#This Row],[Spec Type2]]="N/A","N/A",IF(AND(Table1[[#This Row],[DUT Adj Read]]&gt;=Table1[[#This Row],[Low Tol]],Table1[[#This Row],[DUT Adj Read]]&lt;=Table1[[#This Row],[High Tol]]),"Pass","Fail"))</f>
        <v>Fail</v>
      </c>
      <c r="AD144" s="1" t="str">
        <f>IF(AND(Table1[[#This Row],[Spec Type2]]="N/A",Table1[[#This Row],[DUT Adj Read]]="N/A",Table1[[#This Row],[Std Adj Read]]="N/A"),"N/A",IF(Table1[[#This Row],[DUT Adj Read]]="N/A",IF(Table1[[#This Row],[Std Adj Read]]&gt;Table1[[#This Row],[Low Tol]],"Pass","Fail"),IF(Table1[[#This Row],[DUT Adj Read]]&gt;Table1[[#This Row],[Low Tol]],"Pass","Fail")))</f>
        <v>Pass</v>
      </c>
      <c r="AE144" s="1" t="str">
        <f>IF(AND(Table1[[#This Row],[Spec Type2]]="N/A",Table1[[#This Row],[DUT Adj Read]]="N/A",Table1[[#This Row],[Std Adj Read]]="N/A"),"N/A",IF(Table1[[#This Row],[DUT Adj Read]]="N/A",IF(Table1[[#This Row],[Std Adj Read]]&lt;Table1[[#This Row],[High Tol]],"Pass","Fail"),IF(Table1[[#This Row],[DUT Adj Read]]&lt;Table1[[#This Row],[High Tol]],"Pass","Fail")))</f>
        <v>Fail</v>
      </c>
      <c r="AF144" s="1" t="str">
        <f>IF(AND(Table1[[#This Row],[Spec Type2]]="N/A",Table1[[#This Row],[DUT Adj Read]]="N/A",Table1[[#This Row],[Std Adj Read]]="N/A"),"N/A",IF(Table1[[#This Row],[DUT Adj Read]]="N/A",IF(Table1[[#This Row],[Std Adj Read]]&gt;=Table1[[#This Row],[Low Tol]],"Pass","Fail"),IF(Table1[[#This Row],[DUT Adj Read]]&gt;=Table1[[#This Row],[Low Tol]],"Pass","Fail")))</f>
        <v>Pass</v>
      </c>
      <c r="AG144" s="1" t="str">
        <f>IF(AND(Table1[[#This Row],[Spec Type2]]="N/A",Table1[[#This Row],[DUT Adj Read]]="N/A",Table1[[#This Row],[Std Adj Read]]="N/A"),"N/A",IF(Table1[[#This Row],[DUT Adj Read]]="N/A",IF(Table1[[#This Row],[Std Adj Read]]&lt;=Table1[[#This Row],[High Tol]],"Pass","Fail"),IF(Table1[[#This Row],[DUT Adj Read]]&lt;=Table1[[#This Row],[High Tol]],"Pass","Fail")))</f>
        <v>Fail</v>
      </c>
      <c r="AH1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 s="1" t="b">
        <v>0</v>
      </c>
      <c r="AN144" s="1" t="b">
        <v>0</v>
      </c>
      <c r="AO144" s="1" t="b">
        <v>0</v>
      </c>
    </row>
    <row r="145" spans="1:41" x14ac:dyDescent="0.25">
      <c r="A145" s="10"/>
      <c r="B145" s="10"/>
      <c r="C145" s="10"/>
      <c r="D145" s="10"/>
      <c r="E145" s="10"/>
      <c r="F145" s="10"/>
      <c r="G145" s="10"/>
      <c r="H145" s="10"/>
      <c r="I145" s="1" t="str">
        <f t="shared" si="6"/>
        <v/>
      </c>
      <c r="J145" s="1" t="s">
        <v>35</v>
      </c>
      <c r="K145" s="1" t="str">
        <f t="shared" si="7"/>
        <v/>
      </c>
      <c r="L145" s="1" t="str">
        <f t="shared" si="8"/>
        <v/>
      </c>
      <c r="M145" s="1">
        <f>IF(OR(Table1[[#This Row],[Std Nom]]="",Table1[[#This Row],[Std Read]]=""),0,Table1[[#This Row],[Std Nom]]-Table1[[#This Row],[Std Read]])</f>
        <v>0</v>
      </c>
      <c r="N145" s="1">
        <f>IF(Calculations!$F$5="ACCREDITED 17025 WITH UNCERTAINTIES",$N$10,0)</f>
        <v>0</v>
      </c>
      <c r="O145" s="1" t="str">
        <f>IFERROR(Table1[[#This Row],[Std Nom]]-(_xlfn.XLOOKUP(Table1[[#This Row],[Manufacturer]]&amp;" "&amp;Table1[[#This Row],[Model]],Table13[MFR &amp; MDL],Table13[Tolerance % CW ],"")/100*Table1[[#This Row],[Std Nom]]),"")</f>
        <v/>
      </c>
      <c r="P145" s="1" t="str">
        <f>IFERROR(Table1[[#This Row],[Std Nom]]+(_xlfn.XLOOKUP(Table1[[#This Row],[Manufacturer]]&amp;" "&amp;Table1[[#This Row],[Model]],Table13[MFR &amp; MDL],Table13[Tolerance % CW ],"")/100*Table1[[#This Row],[Std Nom]]),"")</f>
        <v/>
      </c>
      <c r="Q145" s="1" t="e">
        <f>Table1[[#This Row],[High Tol]]-Table1[[#This Row],[Low Tol]]</f>
        <v>#VALUE!</v>
      </c>
      <c r="R145" s="1">
        <f>2*Table1[[#This Row],[Std Error]]</f>
        <v>0</v>
      </c>
      <c r="S145" s="1" t="str">
        <f>IF(Table1[[#This Row],[High Tol]]="","N/A",IFERROR(ABS(Table1[[#This Row],[Tol Span]]/Table1[[#This Row],[Error Span]]),"N/A"))</f>
        <v>N/A</v>
      </c>
      <c r="T145" s="1" t="str">
        <f>IF(OR(Table1[[#This Row],[Low Tol]]="",Table1[[#This Row],[High Tol]]=""),"Needs Analysis",IF(Table1[[#This Row],[Ratio]]&gt;=4,"Not Significant",IF(Table1[[#This Row],[Ratio]]&gt;=2,"Semi-Significant","Significant")))</f>
        <v>Needs Analysis</v>
      </c>
      <c r="W145" s="1">
        <f>IF(Table1[[#This Row],[Cal Type]]&lt;&gt;"ACCREDITED 17025 WITH UNCERTAINTIES",0,"")</f>
        <v>0</v>
      </c>
      <c r="X145" s="1" t="str">
        <f>IF(Table1[[#This Row],[DUT Read]]="","N/A",Table1[[#This Row],[Std Error]]+Table1[[#This Row],[DUT Read]]+Table1[[#This Row],[DUT Ucty]])</f>
        <v>N/A</v>
      </c>
      <c r="Y145" s="1" t="str">
        <f>IF(Table1[[#This Row],[Std Read]]="","N/A",Table1[[#This Row],[Std Read]]+Table1[[#This Row],[Std Ucty]])</f>
        <v>N/A</v>
      </c>
      <c r="Z1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 s="1" t="str">
        <f>IF(Table1[[#This Row],[Spec Type]]="","N/A",Table1[[#This Row],[Spec Type]])</f>
        <v>±</v>
      </c>
      <c r="AC145" s="1" t="str">
        <f>IF(Table1[[#This Row],[Spec Type2]]="N/A","N/A",IF(AND(Table1[[#This Row],[DUT Adj Read]]&gt;=Table1[[#This Row],[Low Tol]],Table1[[#This Row],[DUT Adj Read]]&lt;=Table1[[#This Row],[High Tol]]),"Pass","Fail"))</f>
        <v>Fail</v>
      </c>
      <c r="AD145" s="1" t="str">
        <f>IF(AND(Table1[[#This Row],[Spec Type2]]="N/A",Table1[[#This Row],[DUT Adj Read]]="N/A",Table1[[#This Row],[Std Adj Read]]="N/A"),"N/A",IF(Table1[[#This Row],[DUT Adj Read]]="N/A",IF(Table1[[#This Row],[Std Adj Read]]&gt;Table1[[#This Row],[Low Tol]],"Pass","Fail"),IF(Table1[[#This Row],[DUT Adj Read]]&gt;Table1[[#This Row],[Low Tol]],"Pass","Fail")))</f>
        <v>Pass</v>
      </c>
      <c r="AE145" s="1" t="str">
        <f>IF(AND(Table1[[#This Row],[Spec Type2]]="N/A",Table1[[#This Row],[DUT Adj Read]]="N/A",Table1[[#This Row],[Std Adj Read]]="N/A"),"N/A",IF(Table1[[#This Row],[DUT Adj Read]]="N/A",IF(Table1[[#This Row],[Std Adj Read]]&lt;Table1[[#This Row],[High Tol]],"Pass","Fail"),IF(Table1[[#This Row],[DUT Adj Read]]&lt;Table1[[#This Row],[High Tol]],"Pass","Fail")))</f>
        <v>Fail</v>
      </c>
      <c r="AF145" s="1" t="str">
        <f>IF(AND(Table1[[#This Row],[Spec Type2]]="N/A",Table1[[#This Row],[DUT Adj Read]]="N/A",Table1[[#This Row],[Std Adj Read]]="N/A"),"N/A",IF(Table1[[#This Row],[DUT Adj Read]]="N/A",IF(Table1[[#This Row],[Std Adj Read]]&gt;=Table1[[#This Row],[Low Tol]],"Pass","Fail"),IF(Table1[[#This Row],[DUT Adj Read]]&gt;=Table1[[#This Row],[Low Tol]],"Pass","Fail")))</f>
        <v>Pass</v>
      </c>
      <c r="AG145" s="1" t="str">
        <f>IF(AND(Table1[[#This Row],[Spec Type2]]="N/A",Table1[[#This Row],[DUT Adj Read]]="N/A",Table1[[#This Row],[Std Adj Read]]="N/A"),"N/A",IF(Table1[[#This Row],[DUT Adj Read]]="N/A",IF(Table1[[#This Row],[Std Adj Read]]&lt;=Table1[[#This Row],[High Tol]],"Pass","Fail"),IF(Table1[[#This Row],[DUT Adj Read]]&lt;=Table1[[#This Row],[High Tol]],"Pass","Fail")))</f>
        <v>Fail</v>
      </c>
      <c r="AH1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 s="1" t="b">
        <v>0</v>
      </c>
      <c r="AN145" s="1" t="b">
        <v>0</v>
      </c>
      <c r="AO145" s="1" t="b">
        <v>0</v>
      </c>
    </row>
    <row r="146" spans="1:41" x14ac:dyDescent="0.25">
      <c r="A146" s="10"/>
      <c r="B146" s="10"/>
      <c r="C146" s="10"/>
      <c r="D146" s="10"/>
      <c r="E146" s="10"/>
      <c r="F146" s="10"/>
      <c r="G146" s="10"/>
      <c r="H146" s="10"/>
      <c r="I146" s="1" t="str">
        <f t="shared" si="6"/>
        <v/>
      </c>
      <c r="J146" s="1" t="s">
        <v>35</v>
      </c>
      <c r="K146" s="1" t="str">
        <f t="shared" si="7"/>
        <v/>
      </c>
      <c r="L146" s="1" t="str">
        <f t="shared" si="8"/>
        <v/>
      </c>
      <c r="M146" s="1">
        <f>IF(OR(Table1[[#This Row],[Std Nom]]="",Table1[[#This Row],[Std Read]]=""),0,Table1[[#This Row],[Std Nom]]-Table1[[#This Row],[Std Read]])</f>
        <v>0</v>
      </c>
      <c r="N146" s="1">
        <f>IF(Calculations!$F$5="ACCREDITED 17025 WITH UNCERTAINTIES",$N$10,0)</f>
        <v>0</v>
      </c>
      <c r="O146" s="1" t="str">
        <f>IFERROR(Table1[[#This Row],[Std Nom]]-(_xlfn.XLOOKUP(Table1[[#This Row],[Manufacturer]]&amp;" "&amp;Table1[[#This Row],[Model]],Table13[MFR &amp; MDL],Table13[Tolerance % CW ],"")/100*Table1[[#This Row],[Std Nom]]),"")</f>
        <v/>
      </c>
      <c r="P146" s="1" t="str">
        <f>IFERROR(Table1[[#This Row],[Std Nom]]+(_xlfn.XLOOKUP(Table1[[#This Row],[Manufacturer]]&amp;" "&amp;Table1[[#This Row],[Model]],Table13[MFR &amp; MDL],Table13[Tolerance % CW ],"")/100*Table1[[#This Row],[Std Nom]]),"")</f>
        <v/>
      </c>
      <c r="Q146" s="1" t="e">
        <f>Table1[[#This Row],[High Tol]]-Table1[[#This Row],[Low Tol]]</f>
        <v>#VALUE!</v>
      </c>
      <c r="R146" s="1">
        <f>2*Table1[[#This Row],[Std Error]]</f>
        <v>0</v>
      </c>
      <c r="S146" s="1" t="str">
        <f>IF(Table1[[#This Row],[High Tol]]="","N/A",IFERROR(ABS(Table1[[#This Row],[Tol Span]]/Table1[[#This Row],[Error Span]]),"N/A"))</f>
        <v>N/A</v>
      </c>
      <c r="T146" s="1" t="str">
        <f>IF(OR(Table1[[#This Row],[Low Tol]]="",Table1[[#This Row],[High Tol]]=""),"Needs Analysis",IF(Table1[[#This Row],[Ratio]]&gt;=4,"Not Significant",IF(Table1[[#This Row],[Ratio]]&gt;=2,"Semi-Significant","Significant")))</f>
        <v>Needs Analysis</v>
      </c>
      <c r="W146" s="1">
        <f>IF(Table1[[#This Row],[Cal Type]]&lt;&gt;"ACCREDITED 17025 WITH UNCERTAINTIES",0,"")</f>
        <v>0</v>
      </c>
      <c r="X146" s="1" t="str">
        <f>IF(Table1[[#This Row],[DUT Read]]="","N/A",Table1[[#This Row],[Std Error]]+Table1[[#This Row],[DUT Read]]+Table1[[#This Row],[DUT Ucty]])</f>
        <v>N/A</v>
      </c>
      <c r="Y146" s="1" t="str">
        <f>IF(Table1[[#This Row],[Std Read]]="","N/A",Table1[[#This Row],[Std Read]]+Table1[[#This Row],[Std Ucty]])</f>
        <v>N/A</v>
      </c>
      <c r="Z1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 s="1" t="str">
        <f>IF(Table1[[#This Row],[Spec Type]]="","N/A",Table1[[#This Row],[Spec Type]])</f>
        <v>±</v>
      </c>
      <c r="AC146" s="1" t="str">
        <f>IF(Table1[[#This Row],[Spec Type2]]="N/A","N/A",IF(AND(Table1[[#This Row],[DUT Adj Read]]&gt;=Table1[[#This Row],[Low Tol]],Table1[[#This Row],[DUT Adj Read]]&lt;=Table1[[#This Row],[High Tol]]),"Pass","Fail"))</f>
        <v>Fail</v>
      </c>
      <c r="AD146" s="1" t="str">
        <f>IF(AND(Table1[[#This Row],[Spec Type2]]="N/A",Table1[[#This Row],[DUT Adj Read]]="N/A",Table1[[#This Row],[Std Adj Read]]="N/A"),"N/A",IF(Table1[[#This Row],[DUT Adj Read]]="N/A",IF(Table1[[#This Row],[Std Adj Read]]&gt;Table1[[#This Row],[Low Tol]],"Pass","Fail"),IF(Table1[[#This Row],[DUT Adj Read]]&gt;Table1[[#This Row],[Low Tol]],"Pass","Fail")))</f>
        <v>Pass</v>
      </c>
      <c r="AE146" s="1" t="str">
        <f>IF(AND(Table1[[#This Row],[Spec Type2]]="N/A",Table1[[#This Row],[DUT Adj Read]]="N/A",Table1[[#This Row],[Std Adj Read]]="N/A"),"N/A",IF(Table1[[#This Row],[DUT Adj Read]]="N/A",IF(Table1[[#This Row],[Std Adj Read]]&lt;Table1[[#This Row],[High Tol]],"Pass","Fail"),IF(Table1[[#This Row],[DUT Adj Read]]&lt;Table1[[#This Row],[High Tol]],"Pass","Fail")))</f>
        <v>Fail</v>
      </c>
      <c r="AF146" s="1" t="str">
        <f>IF(AND(Table1[[#This Row],[Spec Type2]]="N/A",Table1[[#This Row],[DUT Adj Read]]="N/A",Table1[[#This Row],[Std Adj Read]]="N/A"),"N/A",IF(Table1[[#This Row],[DUT Adj Read]]="N/A",IF(Table1[[#This Row],[Std Adj Read]]&gt;=Table1[[#This Row],[Low Tol]],"Pass","Fail"),IF(Table1[[#This Row],[DUT Adj Read]]&gt;=Table1[[#This Row],[Low Tol]],"Pass","Fail")))</f>
        <v>Pass</v>
      </c>
      <c r="AG146" s="1" t="str">
        <f>IF(AND(Table1[[#This Row],[Spec Type2]]="N/A",Table1[[#This Row],[DUT Adj Read]]="N/A",Table1[[#This Row],[Std Adj Read]]="N/A"),"N/A",IF(Table1[[#This Row],[DUT Adj Read]]="N/A",IF(Table1[[#This Row],[Std Adj Read]]&lt;=Table1[[#This Row],[High Tol]],"Pass","Fail"),IF(Table1[[#This Row],[DUT Adj Read]]&lt;=Table1[[#This Row],[High Tol]],"Pass","Fail")))</f>
        <v>Fail</v>
      </c>
      <c r="AH1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 s="1" t="b">
        <v>0</v>
      </c>
      <c r="AN146" s="1" t="b">
        <v>0</v>
      </c>
      <c r="AO146" s="1" t="b">
        <v>0</v>
      </c>
    </row>
    <row r="147" spans="1:41" x14ac:dyDescent="0.25">
      <c r="A147" s="10"/>
      <c r="B147" s="10"/>
      <c r="C147" s="10"/>
      <c r="D147" s="10"/>
      <c r="E147" s="10"/>
      <c r="F147" s="10"/>
      <c r="G147" s="10"/>
      <c r="H147" s="10"/>
      <c r="I147" s="1" t="str">
        <f t="shared" si="6"/>
        <v/>
      </c>
      <c r="J147" s="1" t="s">
        <v>35</v>
      </c>
      <c r="K147" s="1" t="str">
        <f t="shared" si="7"/>
        <v/>
      </c>
      <c r="L147" s="1" t="str">
        <f t="shared" si="8"/>
        <v/>
      </c>
      <c r="M147" s="1">
        <f>IF(OR(Table1[[#This Row],[Std Nom]]="",Table1[[#This Row],[Std Read]]=""),0,Table1[[#This Row],[Std Nom]]-Table1[[#This Row],[Std Read]])</f>
        <v>0</v>
      </c>
      <c r="N147" s="1">
        <f>IF(Calculations!$F$5="ACCREDITED 17025 WITH UNCERTAINTIES",$N$10,0)</f>
        <v>0</v>
      </c>
      <c r="O147" s="1" t="str">
        <f>IFERROR(Table1[[#This Row],[Std Nom]]-(_xlfn.XLOOKUP(Table1[[#This Row],[Manufacturer]]&amp;" "&amp;Table1[[#This Row],[Model]],Table13[MFR &amp; MDL],Table13[Tolerance % CW ],"")/100*Table1[[#This Row],[Std Nom]]),"")</f>
        <v/>
      </c>
      <c r="P147" s="1" t="str">
        <f>IFERROR(Table1[[#This Row],[Std Nom]]+(_xlfn.XLOOKUP(Table1[[#This Row],[Manufacturer]]&amp;" "&amp;Table1[[#This Row],[Model]],Table13[MFR &amp; MDL],Table13[Tolerance % CW ],"")/100*Table1[[#This Row],[Std Nom]]),"")</f>
        <v/>
      </c>
      <c r="Q147" s="1" t="e">
        <f>Table1[[#This Row],[High Tol]]-Table1[[#This Row],[Low Tol]]</f>
        <v>#VALUE!</v>
      </c>
      <c r="R147" s="1">
        <f>2*Table1[[#This Row],[Std Error]]</f>
        <v>0</v>
      </c>
      <c r="S147" s="1" t="str">
        <f>IF(Table1[[#This Row],[High Tol]]="","N/A",IFERROR(ABS(Table1[[#This Row],[Tol Span]]/Table1[[#This Row],[Error Span]]),"N/A"))</f>
        <v>N/A</v>
      </c>
      <c r="T147" s="1" t="str">
        <f>IF(OR(Table1[[#This Row],[Low Tol]]="",Table1[[#This Row],[High Tol]]=""),"Needs Analysis",IF(Table1[[#This Row],[Ratio]]&gt;=4,"Not Significant",IF(Table1[[#This Row],[Ratio]]&gt;=2,"Semi-Significant","Significant")))</f>
        <v>Needs Analysis</v>
      </c>
      <c r="W147" s="1">
        <f>IF(Table1[[#This Row],[Cal Type]]&lt;&gt;"ACCREDITED 17025 WITH UNCERTAINTIES",0,"")</f>
        <v>0</v>
      </c>
      <c r="X147" s="1" t="str">
        <f>IF(Table1[[#This Row],[DUT Read]]="","N/A",Table1[[#This Row],[Std Error]]+Table1[[#This Row],[DUT Read]]+Table1[[#This Row],[DUT Ucty]])</f>
        <v>N/A</v>
      </c>
      <c r="Y147" s="1" t="str">
        <f>IF(Table1[[#This Row],[Std Read]]="","N/A",Table1[[#This Row],[Std Read]]+Table1[[#This Row],[Std Ucty]])</f>
        <v>N/A</v>
      </c>
      <c r="Z1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 s="1" t="str">
        <f>IF(Table1[[#This Row],[Spec Type]]="","N/A",Table1[[#This Row],[Spec Type]])</f>
        <v>±</v>
      </c>
      <c r="AC147" s="1" t="str">
        <f>IF(Table1[[#This Row],[Spec Type2]]="N/A","N/A",IF(AND(Table1[[#This Row],[DUT Adj Read]]&gt;=Table1[[#This Row],[Low Tol]],Table1[[#This Row],[DUT Adj Read]]&lt;=Table1[[#This Row],[High Tol]]),"Pass","Fail"))</f>
        <v>Fail</v>
      </c>
      <c r="AD147" s="1" t="str">
        <f>IF(AND(Table1[[#This Row],[Spec Type2]]="N/A",Table1[[#This Row],[DUT Adj Read]]="N/A",Table1[[#This Row],[Std Adj Read]]="N/A"),"N/A",IF(Table1[[#This Row],[DUT Adj Read]]="N/A",IF(Table1[[#This Row],[Std Adj Read]]&gt;Table1[[#This Row],[Low Tol]],"Pass","Fail"),IF(Table1[[#This Row],[DUT Adj Read]]&gt;Table1[[#This Row],[Low Tol]],"Pass","Fail")))</f>
        <v>Pass</v>
      </c>
      <c r="AE147" s="1" t="str">
        <f>IF(AND(Table1[[#This Row],[Spec Type2]]="N/A",Table1[[#This Row],[DUT Adj Read]]="N/A",Table1[[#This Row],[Std Adj Read]]="N/A"),"N/A",IF(Table1[[#This Row],[DUT Adj Read]]="N/A",IF(Table1[[#This Row],[Std Adj Read]]&lt;Table1[[#This Row],[High Tol]],"Pass","Fail"),IF(Table1[[#This Row],[DUT Adj Read]]&lt;Table1[[#This Row],[High Tol]],"Pass","Fail")))</f>
        <v>Fail</v>
      </c>
      <c r="AF147" s="1" t="str">
        <f>IF(AND(Table1[[#This Row],[Spec Type2]]="N/A",Table1[[#This Row],[DUT Adj Read]]="N/A",Table1[[#This Row],[Std Adj Read]]="N/A"),"N/A",IF(Table1[[#This Row],[DUT Adj Read]]="N/A",IF(Table1[[#This Row],[Std Adj Read]]&gt;=Table1[[#This Row],[Low Tol]],"Pass","Fail"),IF(Table1[[#This Row],[DUT Adj Read]]&gt;=Table1[[#This Row],[Low Tol]],"Pass","Fail")))</f>
        <v>Pass</v>
      </c>
      <c r="AG147" s="1" t="str">
        <f>IF(AND(Table1[[#This Row],[Spec Type2]]="N/A",Table1[[#This Row],[DUT Adj Read]]="N/A",Table1[[#This Row],[Std Adj Read]]="N/A"),"N/A",IF(Table1[[#This Row],[DUT Adj Read]]="N/A",IF(Table1[[#This Row],[Std Adj Read]]&lt;=Table1[[#This Row],[High Tol]],"Pass","Fail"),IF(Table1[[#This Row],[DUT Adj Read]]&lt;=Table1[[#This Row],[High Tol]],"Pass","Fail")))</f>
        <v>Fail</v>
      </c>
      <c r="AH1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 s="1" t="b">
        <v>0</v>
      </c>
      <c r="AN147" s="1" t="b">
        <v>0</v>
      </c>
      <c r="AO147" s="1" t="b">
        <v>0</v>
      </c>
    </row>
    <row r="148" spans="1:41" x14ac:dyDescent="0.25">
      <c r="A148" s="10"/>
      <c r="B148" s="10"/>
      <c r="C148" s="10"/>
      <c r="D148" s="10"/>
      <c r="E148" s="10"/>
      <c r="F148" s="10"/>
      <c r="G148" s="10"/>
      <c r="H148" s="10"/>
      <c r="I148" s="1" t="str">
        <f t="shared" si="6"/>
        <v/>
      </c>
      <c r="J148" s="1" t="s">
        <v>35</v>
      </c>
      <c r="K148" s="1" t="str">
        <f t="shared" si="7"/>
        <v/>
      </c>
      <c r="L148" s="1" t="str">
        <f t="shared" si="8"/>
        <v/>
      </c>
      <c r="M148" s="1">
        <f>IF(OR(Table1[[#This Row],[Std Nom]]="",Table1[[#This Row],[Std Read]]=""),0,Table1[[#This Row],[Std Nom]]-Table1[[#This Row],[Std Read]])</f>
        <v>0</v>
      </c>
      <c r="N148" s="1">
        <f>IF(Calculations!$F$5="ACCREDITED 17025 WITH UNCERTAINTIES",$N$10,0)</f>
        <v>0</v>
      </c>
      <c r="O148" s="1" t="str">
        <f>IFERROR(Table1[[#This Row],[Std Nom]]-(_xlfn.XLOOKUP(Table1[[#This Row],[Manufacturer]]&amp;" "&amp;Table1[[#This Row],[Model]],Table13[MFR &amp; MDL],Table13[Tolerance % CW ],"")/100*Table1[[#This Row],[Std Nom]]),"")</f>
        <v/>
      </c>
      <c r="P148" s="1" t="str">
        <f>IFERROR(Table1[[#This Row],[Std Nom]]+(_xlfn.XLOOKUP(Table1[[#This Row],[Manufacturer]]&amp;" "&amp;Table1[[#This Row],[Model]],Table13[MFR &amp; MDL],Table13[Tolerance % CW ],"")/100*Table1[[#This Row],[Std Nom]]),"")</f>
        <v/>
      </c>
      <c r="Q148" s="1" t="e">
        <f>Table1[[#This Row],[High Tol]]-Table1[[#This Row],[Low Tol]]</f>
        <v>#VALUE!</v>
      </c>
      <c r="R148" s="1">
        <f>2*Table1[[#This Row],[Std Error]]</f>
        <v>0</v>
      </c>
      <c r="S148" s="1" t="str">
        <f>IF(Table1[[#This Row],[High Tol]]="","N/A",IFERROR(ABS(Table1[[#This Row],[Tol Span]]/Table1[[#This Row],[Error Span]]),"N/A"))</f>
        <v>N/A</v>
      </c>
      <c r="T148" s="1" t="str">
        <f>IF(OR(Table1[[#This Row],[Low Tol]]="",Table1[[#This Row],[High Tol]]=""),"Needs Analysis",IF(Table1[[#This Row],[Ratio]]&gt;=4,"Not Significant",IF(Table1[[#This Row],[Ratio]]&gt;=2,"Semi-Significant","Significant")))</f>
        <v>Needs Analysis</v>
      </c>
      <c r="W148" s="1">
        <f>IF(Table1[[#This Row],[Cal Type]]&lt;&gt;"ACCREDITED 17025 WITH UNCERTAINTIES",0,"")</f>
        <v>0</v>
      </c>
      <c r="X148" s="1" t="str">
        <f>IF(Table1[[#This Row],[DUT Read]]="","N/A",Table1[[#This Row],[Std Error]]+Table1[[#This Row],[DUT Read]]+Table1[[#This Row],[DUT Ucty]])</f>
        <v>N/A</v>
      </c>
      <c r="Y148" s="1" t="str">
        <f>IF(Table1[[#This Row],[Std Read]]="","N/A",Table1[[#This Row],[Std Read]]+Table1[[#This Row],[Std Ucty]])</f>
        <v>N/A</v>
      </c>
      <c r="Z1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 s="1" t="str">
        <f>IF(Table1[[#This Row],[Spec Type]]="","N/A",Table1[[#This Row],[Spec Type]])</f>
        <v>±</v>
      </c>
      <c r="AC148" s="1" t="str">
        <f>IF(Table1[[#This Row],[Spec Type2]]="N/A","N/A",IF(AND(Table1[[#This Row],[DUT Adj Read]]&gt;=Table1[[#This Row],[Low Tol]],Table1[[#This Row],[DUT Adj Read]]&lt;=Table1[[#This Row],[High Tol]]),"Pass","Fail"))</f>
        <v>Fail</v>
      </c>
      <c r="AD148" s="1" t="str">
        <f>IF(AND(Table1[[#This Row],[Spec Type2]]="N/A",Table1[[#This Row],[DUT Adj Read]]="N/A",Table1[[#This Row],[Std Adj Read]]="N/A"),"N/A",IF(Table1[[#This Row],[DUT Adj Read]]="N/A",IF(Table1[[#This Row],[Std Adj Read]]&gt;Table1[[#This Row],[Low Tol]],"Pass","Fail"),IF(Table1[[#This Row],[DUT Adj Read]]&gt;Table1[[#This Row],[Low Tol]],"Pass","Fail")))</f>
        <v>Pass</v>
      </c>
      <c r="AE148" s="1" t="str">
        <f>IF(AND(Table1[[#This Row],[Spec Type2]]="N/A",Table1[[#This Row],[DUT Adj Read]]="N/A",Table1[[#This Row],[Std Adj Read]]="N/A"),"N/A",IF(Table1[[#This Row],[DUT Adj Read]]="N/A",IF(Table1[[#This Row],[Std Adj Read]]&lt;Table1[[#This Row],[High Tol]],"Pass","Fail"),IF(Table1[[#This Row],[DUT Adj Read]]&lt;Table1[[#This Row],[High Tol]],"Pass","Fail")))</f>
        <v>Fail</v>
      </c>
      <c r="AF148" s="1" t="str">
        <f>IF(AND(Table1[[#This Row],[Spec Type2]]="N/A",Table1[[#This Row],[DUT Adj Read]]="N/A",Table1[[#This Row],[Std Adj Read]]="N/A"),"N/A",IF(Table1[[#This Row],[DUT Adj Read]]="N/A",IF(Table1[[#This Row],[Std Adj Read]]&gt;=Table1[[#This Row],[Low Tol]],"Pass","Fail"),IF(Table1[[#This Row],[DUT Adj Read]]&gt;=Table1[[#This Row],[Low Tol]],"Pass","Fail")))</f>
        <v>Pass</v>
      </c>
      <c r="AG148" s="1" t="str">
        <f>IF(AND(Table1[[#This Row],[Spec Type2]]="N/A",Table1[[#This Row],[DUT Adj Read]]="N/A",Table1[[#This Row],[Std Adj Read]]="N/A"),"N/A",IF(Table1[[#This Row],[DUT Adj Read]]="N/A",IF(Table1[[#This Row],[Std Adj Read]]&lt;=Table1[[#This Row],[High Tol]],"Pass","Fail"),IF(Table1[[#This Row],[DUT Adj Read]]&lt;=Table1[[#This Row],[High Tol]],"Pass","Fail")))</f>
        <v>Fail</v>
      </c>
      <c r="AH1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 s="1" t="b">
        <v>0</v>
      </c>
      <c r="AN148" s="1" t="b">
        <v>0</v>
      </c>
      <c r="AO148" s="1" t="b">
        <v>0</v>
      </c>
    </row>
    <row r="149" spans="1:41" x14ac:dyDescent="0.25">
      <c r="A149" s="10"/>
      <c r="B149" s="10"/>
      <c r="C149" s="10"/>
      <c r="D149" s="10"/>
      <c r="E149" s="10"/>
      <c r="F149" s="10"/>
      <c r="G149" s="10"/>
      <c r="H149" s="10"/>
      <c r="I149" s="1" t="str">
        <f t="shared" si="6"/>
        <v/>
      </c>
      <c r="J149" s="1" t="s">
        <v>35</v>
      </c>
      <c r="K149" s="1" t="str">
        <f t="shared" si="7"/>
        <v/>
      </c>
      <c r="L149" s="1" t="str">
        <f t="shared" si="8"/>
        <v/>
      </c>
      <c r="M149" s="1">
        <f>IF(OR(Table1[[#This Row],[Std Nom]]="",Table1[[#This Row],[Std Read]]=""),0,Table1[[#This Row],[Std Nom]]-Table1[[#This Row],[Std Read]])</f>
        <v>0</v>
      </c>
      <c r="N149" s="1">
        <f>IF(Calculations!$F$5="ACCREDITED 17025 WITH UNCERTAINTIES",$N$10,0)</f>
        <v>0</v>
      </c>
      <c r="O149" s="1" t="str">
        <f>IFERROR(Table1[[#This Row],[Std Nom]]-(_xlfn.XLOOKUP(Table1[[#This Row],[Manufacturer]]&amp;" "&amp;Table1[[#This Row],[Model]],Table13[MFR &amp; MDL],Table13[Tolerance % CW ],"")/100*Table1[[#This Row],[Std Nom]]),"")</f>
        <v/>
      </c>
      <c r="P149" s="1" t="str">
        <f>IFERROR(Table1[[#This Row],[Std Nom]]+(_xlfn.XLOOKUP(Table1[[#This Row],[Manufacturer]]&amp;" "&amp;Table1[[#This Row],[Model]],Table13[MFR &amp; MDL],Table13[Tolerance % CW ],"")/100*Table1[[#This Row],[Std Nom]]),"")</f>
        <v/>
      </c>
      <c r="Q149" s="1" t="e">
        <f>Table1[[#This Row],[High Tol]]-Table1[[#This Row],[Low Tol]]</f>
        <v>#VALUE!</v>
      </c>
      <c r="R149" s="1">
        <f>2*Table1[[#This Row],[Std Error]]</f>
        <v>0</v>
      </c>
      <c r="S149" s="1" t="str">
        <f>IF(Table1[[#This Row],[High Tol]]="","N/A",IFERROR(ABS(Table1[[#This Row],[Tol Span]]/Table1[[#This Row],[Error Span]]),"N/A"))</f>
        <v>N/A</v>
      </c>
      <c r="T149" s="1" t="str">
        <f>IF(OR(Table1[[#This Row],[Low Tol]]="",Table1[[#This Row],[High Tol]]=""),"Needs Analysis",IF(Table1[[#This Row],[Ratio]]&gt;=4,"Not Significant",IF(Table1[[#This Row],[Ratio]]&gt;=2,"Semi-Significant","Significant")))</f>
        <v>Needs Analysis</v>
      </c>
      <c r="W149" s="1">
        <f>IF(Table1[[#This Row],[Cal Type]]&lt;&gt;"ACCREDITED 17025 WITH UNCERTAINTIES",0,"")</f>
        <v>0</v>
      </c>
      <c r="X149" s="1" t="str">
        <f>IF(Table1[[#This Row],[DUT Read]]="","N/A",Table1[[#This Row],[Std Error]]+Table1[[#This Row],[DUT Read]]+Table1[[#This Row],[DUT Ucty]])</f>
        <v>N/A</v>
      </c>
      <c r="Y149" s="1" t="str">
        <f>IF(Table1[[#This Row],[Std Read]]="","N/A",Table1[[#This Row],[Std Read]]+Table1[[#This Row],[Std Ucty]])</f>
        <v>N/A</v>
      </c>
      <c r="Z1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 s="1" t="str">
        <f>IF(Table1[[#This Row],[Spec Type]]="","N/A",Table1[[#This Row],[Spec Type]])</f>
        <v>±</v>
      </c>
      <c r="AC149" s="1" t="str">
        <f>IF(Table1[[#This Row],[Spec Type2]]="N/A","N/A",IF(AND(Table1[[#This Row],[DUT Adj Read]]&gt;=Table1[[#This Row],[Low Tol]],Table1[[#This Row],[DUT Adj Read]]&lt;=Table1[[#This Row],[High Tol]]),"Pass","Fail"))</f>
        <v>Fail</v>
      </c>
      <c r="AD149" s="1" t="str">
        <f>IF(AND(Table1[[#This Row],[Spec Type2]]="N/A",Table1[[#This Row],[DUT Adj Read]]="N/A",Table1[[#This Row],[Std Adj Read]]="N/A"),"N/A",IF(Table1[[#This Row],[DUT Adj Read]]="N/A",IF(Table1[[#This Row],[Std Adj Read]]&gt;Table1[[#This Row],[Low Tol]],"Pass","Fail"),IF(Table1[[#This Row],[DUT Adj Read]]&gt;Table1[[#This Row],[Low Tol]],"Pass","Fail")))</f>
        <v>Pass</v>
      </c>
      <c r="AE149" s="1" t="str">
        <f>IF(AND(Table1[[#This Row],[Spec Type2]]="N/A",Table1[[#This Row],[DUT Adj Read]]="N/A",Table1[[#This Row],[Std Adj Read]]="N/A"),"N/A",IF(Table1[[#This Row],[DUT Adj Read]]="N/A",IF(Table1[[#This Row],[Std Adj Read]]&lt;Table1[[#This Row],[High Tol]],"Pass","Fail"),IF(Table1[[#This Row],[DUT Adj Read]]&lt;Table1[[#This Row],[High Tol]],"Pass","Fail")))</f>
        <v>Fail</v>
      </c>
      <c r="AF149" s="1" t="str">
        <f>IF(AND(Table1[[#This Row],[Spec Type2]]="N/A",Table1[[#This Row],[DUT Adj Read]]="N/A",Table1[[#This Row],[Std Adj Read]]="N/A"),"N/A",IF(Table1[[#This Row],[DUT Adj Read]]="N/A",IF(Table1[[#This Row],[Std Adj Read]]&gt;=Table1[[#This Row],[Low Tol]],"Pass","Fail"),IF(Table1[[#This Row],[DUT Adj Read]]&gt;=Table1[[#This Row],[Low Tol]],"Pass","Fail")))</f>
        <v>Pass</v>
      </c>
      <c r="AG149" s="1" t="str">
        <f>IF(AND(Table1[[#This Row],[Spec Type2]]="N/A",Table1[[#This Row],[DUT Adj Read]]="N/A",Table1[[#This Row],[Std Adj Read]]="N/A"),"N/A",IF(Table1[[#This Row],[DUT Adj Read]]="N/A",IF(Table1[[#This Row],[Std Adj Read]]&lt;=Table1[[#This Row],[High Tol]],"Pass","Fail"),IF(Table1[[#This Row],[DUT Adj Read]]&lt;=Table1[[#This Row],[High Tol]],"Pass","Fail")))</f>
        <v>Fail</v>
      </c>
      <c r="AH1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 s="1" t="b">
        <v>0</v>
      </c>
      <c r="AN149" s="1" t="b">
        <v>0</v>
      </c>
      <c r="AO149" s="1" t="b">
        <v>0</v>
      </c>
    </row>
    <row r="150" spans="1:41" x14ac:dyDescent="0.25">
      <c r="A150" s="10"/>
      <c r="B150" s="10"/>
      <c r="C150" s="10"/>
      <c r="D150" s="10"/>
      <c r="E150" s="10"/>
      <c r="F150" s="10"/>
      <c r="G150" s="10"/>
      <c r="H150" s="10"/>
      <c r="I150" s="1" t="str">
        <f t="shared" si="6"/>
        <v/>
      </c>
      <c r="J150" s="1" t="s">
        <v>35</v>
      </c>
      <c r="K150" s="1" t="str">
        <f t="shared" si="7"/>
        <v/>
      </c>
      <c r="L150" s="1" t="str">
        <f t="shared" si="8"/>
        <v/>
      </c>
      <c r="M150" s="1">
        <f>IF(OR(Table1[[#This Row],[Std Nom]]="",Table1[[#This Row],[Std Read]]=""),0,Table1[[#This Row],[Std Nom]]-Table1[[#This Row],[Std Read]])</f>
        <v>0</v>
      </c>
      <c r="N150" s="1">
        <f>IF(Calculations!$F$5="ACCREDITED 17025 WITH UNCERTAINTIES",$N$10,0)</f>
        <v>0</v>
      </c>
      <c r="O150" s="1" t="str">
        <f>IFERROR(Table1[[#This Row],[Std Nom]]-(_xlfn.XLOOKUP(Table1[[#This Row],[Manufacturer]]&amp;" "&amp;Table1[[#This Row],[Model]],Table13[MFR &amp; MDL],Table13[Tolerance % CW ],"")/100*Table1[[#This Row],[Std Nom]]),"")</f>
        <v/>
      </c>
      <c r="P150" s="1" t="str">
        <f>IFERROR(Table1[[#This Row],[Std Nom]]+(_xlfn.XLOOKUP(Table1[[#This Row],[Manufacturer]]&amp;" "&amp;Table1[[#This Row],[Model]],Table13[MFR &amp; MDL],Table13[Tolerance % CW ],"")/100*Table1[[#This Row],[Std Nom]]),"")</f>
        <v/>
      </c>
      <c r="Q150" s="1" t="e">
        <f>Table1[[#This Row],[High Tol]]-Table1[[#This Row],[Low Tol]]</f>
        <v>#VALUE!</v>
      </c>
      <c r="R150" s="1">
        <f>2*Table1[[#This Row],[Std Error]]</f>
        <v>0</v>
      </c>
      <c r="S150" s="1" t="str">
        <f>IF(Table1[[#This Row],[High Tol]]="","N/A",IFERROR(ABS(Table1[[#This Row],[Tol Span]]/Table1[[#This Row],[Error Span]]),"N/A"))</f>
        <v>N/A</v>
      </c>
      <c r="T150" s="1" t="str">
        <f>IF(OR(Table1[[#This Row],[Low Tol]]="",Table1[[#This Row],[High Tol]]=""),"Needs Analysis",IF(Table1[[#This Row],[Ratio]]&gt;=4,"Not Significant",IF(Table1[[#This Row],[Ratio]]&gt;=2,"Semi-Significant","Significant")))</f>
        <v>Needs Analysis</v>
      </c>
      <c r="W150" s="1">
        <f>IF(Table1[[#This Row],[Cal Type]]&lt;&gt;"ACCREDITED 17025 WITH UNCERTAINTIES",0,"")</f>
        <v>0</v>
      </c>
      <c r="X150" s="1" t="str">
        <f>IF(Table1[[#This Row],[DUT Read]]="","N/A",Table1[[#This Row],[Std Error]]+Table1[[#This Row],[DUT Read]]+Table1[[#This Row],[DUT Ucty]])</f>
        <v>N/A</v>
      </c>
      <c r="Y150" s="1" t="str">
        <f>IF(Table1[[#This Row],[Std Read]]="","N/A",Table1[[#This Row],[Std Read]]+Table1[[#This Row],[Std Ucty]])</f>
        <v>N/A</v>
      </c>
      <c r="Z1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 s="1" t="str">
        <f>IF(Table1[[#This Row],[Spec Type]]="","N/A",Table1[[#This Row],[Spec Type]])</f>
        <v>±</v>
      </c>
      <c r="AC150" s="1" t="str">
        <f>IF(Table1[[#This Row],[Spec Type2]]="N/A","N/A",IF(AND(Table1[[#This Row],[DUT Adj Read]]&gt;=Table1[[#This Row],[Low Tol]],Table1[[#This Row],[DUT Adj Read]]&lt;=Table1[[#This Row],[High Tol]]),"Pass","Fail"))</f>
        <v>Fail</v>
      </c>
      <c r="AD150" s="1" t="str">
        <f>IF(AND(Table1[[#This Row],[Spec Type2]]="N/A",Table1[[#This Row],[DUT Adj Read]]="N/A",Table1[[#This Row],[Std Adj Read]]="N/A"),"N/A",IF(Table1[[#This Row],[DUT Adj Read]]="N/A",IF(Table1[[#This Row],[Std Adj Read]]&gt;Table1[[#This Row],[Low Tol]],"Pass","Fail"),IF(Table1[[#This Row],[DUT Adj Read]]&gt;Table1[[#This Row],[Low Tol]],"Pass","Fail")))</f>
        <v>Pass</v>
      </c>
      <c r="AE150" s="1" t="str">
        <f>IF(AND(Table1[[#This Row],[Spec Type2]]="N/A",Table1[[#This Row],[DUT Adj Read]]="N/A",Table1[[#This Row],[Std Adj Read]]="N/A"),"N/A",IF(Table1[[#This Row],[DUT Adj Read]]="N/A",IF(Table1[[#This Row],[Std Adj Read]]&lt;Table1[[#This Row],[High Tol]],"Pass","Fail"),IF(Table1[[#This Row],[DUT Adj Read]]&lt;Table1[[#This Row],[High Tol]],"Pass","Fail")))</f>
        <v>Fail</v>
      </c>
      <c r="AF150" s="1" t="str">
        <f>IF(AND(Table1[[#This Row],[Spec Type2]]="N/A",Table1[[#This Row],[DUT Adj Read]]="N/A",Table1[[#This Row],[Std Adj Read]]="N/A"),"N/A",IF(Table1[[#This Row],[DUT Adj Read]]="N/A",IF(Table1[[#This Row],[Std Adj Read]]&gt;=Table1[[#This Row],[Low Tol]],"Pass","Fail"),IF(Table1[[#This Row],[DUT Adj Read]]&gt;=Table1[[#This Row],[Low Tol]],"Pass","Fail")))</f>
        <v>Pass</v>
      </c>
      <c r="AG150" s="1" t="str">
        <f>IF(AND(Table1[[#This Row],[Spec Type2]]="N/A",Table1[[#This Row],[DUT Adj Read]]="N/A",Table1[[#This Row],[Std Adj Read]]="N/A"),"N/A",IF(Table1[[#This Row],[DUT Adj Read]]="N/A",IF(Table1[[#This Row],[Std Adj Read]]&lt;=Table1[[#This Row],[High Tol]],"Pass","Fail"),IF(Table1[[#This Row],[DUT Adj Read]]&lt;=Table1[[#This Row],[High Tol]],"Pass","Fail")))</f>
        <v>Fail</v>
      </c>
      <c r="AH1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 s="1" t="b">
        <v>0</v>
      </c>
      <c r="AN150" s="1" t="b">
        <v>0</v>
      </c>
      <c r="AO150" s="1" t="b">
        <v>0</v>
      </c>
    </row>
    <row r="151" spans="1:41" x14ac:dyDescent="0.25">
      <c r="A151" s="10"/>
      <c r="B151" s="10"/>
      <c r="C151" s="10"/>
      <c r="D151" s="10"/>
      <c r="E151" s="10"/>
      <c r="F151" s="10"/>
      <c r="G151" s="10"/>
      <c r="H151" s="10"/>
      <c r="I151" s="1" t="str">
        <f t="shared" si="6"/>
        <v/>
      </c>
      <c r="J151" s="1" t="s">
        <v>35</v>
      </c>
      <c r="K151" s="1" t="str">
        <f t="shared" si="7"/>
        <v/>
      </c>
      <c r="L151" s="1" t="str">
        <f t="shared" si="8"/>
        <v/>
      </c>
      <c r="M151" s="1">
        <f>IF(OR(Table1[[#This Row],[Std Nom]]="",Table1[[#This Row],[Std Read]]=""),0,Table1[[#This Row],[Std Nom]]-Table1[[#This Row],[Std Read]])</f>
        <v>0</v>
      </c>
      <c r="N151" s="1">
        <f>IF(Calculations!$F$5="ACCREDITED 17025 WITH UNCERTAINTIES",$N$10,0)</f>
        <v>0</v>
      </c>
      <c r="O151" s="1" t="str">
        <f>IFERROR(Table1[[#This Row],[Std Nom]]-(_xlfn.XLOOKUP(Table1[[#This Row],[Manufacturer]]&amp;" "&amp;Table1[[#This Row],[Model]],Table13[MFR &amp; MDL],Table13[Tolerance % CW ],"")/100*Table1[[#This Row],[Std Nom]]),"")</f>
        <v/>
      </c>
      <c r="P151" s="1" t="str">
        <f>IFERROR(Table1[[#This Row],[Std Nom]]+(_xlfn.XLOOKUP(Table1[[#This Row],[Manufacturer]]&amp;" "&amp;Table1[[#This Row],[Model]],Table13[MFR &amp; MDL],Table13[Tolerance % CW ],"")/100*Table1[[#This Row],[Std Nom]]),"")</f>
        <v/>
      </c>
      <c r="Q151" s="1" t="e">
        <f>Table1[[#This Row],[High Tol]]-Table1[[#This Row],[Low Tol]]</f>
        <v>#VALUE!</v>
      </c>
      <c r="R151" s="1">
        <f>2*Table1[[#This Row],[Std Error]]</f>
        <v>0</v>
      </c>
      <c r="S151" s="1" t="str">
        <f>IF(Table1[[#This Row],[High Tol]]="","N/A",IFERROR(ABS(Table1[[#This Row],[Tol Span]]/Table1[[#This Row],[Error Span]]),"N/A"))</f>
        <v>N/A</v>
      </c>
      <c r="T151" s="1" t="str">
        <f>IF(OR(Table1[[#This Row],[Low Tol]]="",Table1[[#This Row],[High Tol]]=""),"Needs Analysis",IF(Table1[[#This Row],[Ratio]]&gt;=4,"Not Significant",IF(Table1[[#This Row],[Ratio]]&gt;=2,"Semi-Significant","Significant")))</f>
        <v>Needs Analysis</v>
      </c>
      <c r="W151" s="1">
        <f>IF(Table1[[#This Row],[Cal Type]]&lt;&gt;"ACCREDITED 17025 WITH UNCERTAINTIES",0,"")</f>
        <v>0</v>
      </c>
      <c r="X151" s="1" t="str">
        <f>IF(Table1[[#This Row],[DUT Read]]="","N/A",Table1[[#This Row],[Std Error]]+Table1[[#This Row],[DUT Read]]+Table1[[#This Row],[DUT Ucty]])</f>
        <v>N/A</v>
      </c>
      <c r="Y151" s="1" t="str">
        <f>IF(Table1[[#This Row],[Std Read]]="","N/A",Table1[[#This Row],[Std Read]]+Table1[[#This Row],[Std Ucty]])</f>
        <v>N/A</v>
      </c>
      <c r="Z1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 s="1" t="str">
        <f>IF(Table1[[#This Row],[Spec Type]]="","N/A",Table1[[#This Row],[Spec Type]])</f>
        <v>±</v>
      </c>
      <c r="AC151" s="1" t="str">
        <f>IF(Table1[[#This Row],[Spec Type2]]="N/A","N/A",IF(AND(Table1[[#This Row],[DUT Adj Read]]&gt;=Table1[[#This Row],[Low Tol]],Table1[[#This Row],[DUT Adj Read]]&lt;=Table1[[#This Row],[High Tol]]),"Pass","Fail"))</f>
        <v>Fail</v>
      </c>
      <c r="AD151" s="1" t="str">
        <f>IF(AND(Table1[[#This Row],[Spec Type2]]="N/A",Table1[[#This Row],[DUT Adj Read]]="N/A",Table1[[#This Row],[Std Adj Read]]="N/A"),"N/A",IF(Table1[[#This Row],[DUT Adj Read]]="N/A",IF(Table1[[#This Row],[Std Adj Read]]&gt;Table1[[#This Row],[Low Tol]],"Pass","Fail"),IF(Table1[[#This Row],[DUT Adj Read]]&gt;Table1[[#This Row],[Low Tol]],"Pass","Fail")))</f>
        <v>Pass</v>
      </c>
      <c r="AE151" s="1" t="str">
        <f>IF(AND(Table1[[#This Row],[Spec Type2]]="N/A",Table1[[#This Row],[DUT Adj Read]]="N/A",Table1[[#This Row],[Std Adj Read]]="N/A"),"N/A",IF(Table1[[#This Row],[DUT Adj Read]]="N/A",IF(Table1[[#This Row],[Std Adj Read]]&lt;Table1[[#This Row],[High Tol]],"Pass","Fail"),IF(Table1[[#This Row],[DUT Adj Read]]&lt;Table1[[#This Row],[High Tol]],"Pass","Fail")))</f>
        <v>Fail</v>
      </c>
      <c r="AF151" s="1" t="str">
        <f>IF(AND(Table1[[#This Row],[Spec Type2]]="N/A",Table1[[#This Row],[DUT Adj Read]]="N/A",Table1[[#This Row],[Std Adj Read]]="N/A"),"N/A",IF(Table1[[#This Row],[DUT Adj Read]]="N/A",IF(Table1[[#This Row],[Std Adj Read]]&gt;=Table1[[#This Row],[Low Tol]],"Pass","Fail"),IF(Table1[[#This Row],[DUT Adj Read]]&gt;=Table1[[#This Row],[Low Tol]],"Pass","Fail")))</f>
        <v>Pass</v>
      </c>
      <c r="AG151" s="1" t="str">
        <f>IF(AND(Table1[[#This Row],[Spec Type2]]="N/A",Table1[[#This Row],[DUT Adj Read]]="N/A",Table1[[#This Row],[Std Adj Read]]="N/A"),"N/A",IF(Table1[[#This Row],[DUT Adj Read]]="N/A",IF(Table1[[#This Row],[Std Adj Read]]&lt;=Table1[[#This Row],[High Tol]],"Pass","Fail"),IF(Table1[[#This Row],[DUT Adj Read]]&lt;=Table1[[#This Row],[High Tol]],"Pass","Fail")))</f>
        <v>Fail</v>
      </c>
      <c r="AH1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 s="1" t="b">
        <v>0</v>
      </c>
      <c r="AN151" s="1" t="b">
        <v>0</v>
      </c>
      <c r="AO151" s="1" t="b">
        <v>0</v>
      </c>
    </row>
    <row r="152" spans="1:41" x14ac:dyDescent="0.25">
      <c r="A152" s="10"/>
      <c r="B152" s="10"/>
      <c r="C152" s="10"/>
      <c r="D152" s="10"/>
      <c r="E152" s="10"/>
      <c r="F152" s="10"/>
      <c r="G152" s="10"/>
      <c r="H152" s="10"/>
      <c r="I152" s="1" t="str">
        <f t="shared" si="6"/>
        <v/>
      </c>
      <c r="J152" s="1" t="s">
        <v>35</v>
      </c>
      <c r="K152" s="1" t="str">
        <f t="shared" si="7"/>
        <v/>
      </c>
      <c r="L152" s="1" t="str">
        <f t="shared" si="8"/>
        <v/>
      </c>
      <c r="M152" s="1">
        <f>IF(OR(Table1[[#This Row],[Std Nom]]="",Table1[[#This Row],[Std Read]]=""),0,Table1[[#This Row],[Std Nom]]-Table1[[#This Row],[Std Read]])</f>
        <v>0</v>
      </c>
      <c r="N152" s="1">
        <f>IF(Calculations!$F$5="ACCREDITED 17025 WITH UNCERTAINTIES",$N$10,0)</f>
        <v>0</v>
      </c>
      <c r="O152" s="1" t="str">
        <f>IFERROR(Table1[[#This Row],[Std Nom]]-(_xlfn.XLOOKUP(Table1[[#This Row],[Manufacturer]]&amp;" "&amp;Table1[[#This Row],[Model]],Table13[MFR &amp; MDL],Table13[Tolerance % CW ],"")/100*Table1[[#This Row],[Std Nom]]),"")</f>
        <v/>
      </c>
      <c r="P152" s="1" t="str">
        <f>IFERROR(Table1[[#This Row],[Std Nom]]+(_xlfn.XLOOKUP(Table1[[#This Row],[Manufacturer]]&amp;" "&amp;Table1[[#This Row],[Model]],Table13[MFR &amp; MDL],Table13[Tolerance % CW ],"")/100*Table1[[#This Row],[Std Nom]]),"")</f>
        <v/>
      </c>
      <c r="Q152" s="1" t="e">
        <f>Table1[[#This Row],[High Tol]]-Table1[[#This Row],[Low Tol]]</f>
        <v>#VALUE!</v>
      </c>
      <c r="R152" s="1">
        <f>2*Table1[[#This Row],[Std Error]]</f>
        <v>0</v>
      </c>
      <c r="S152" s="1" t="str">
        <f>IF(Table1[[#This Row],[High Tol]]="","N/A",IFERROR(ABS(Table1[[#This Row],[Tol Span]]/Table1[[#This Row],[Error Span]]),"N/A"))</f>
        <v>N/A</v>
      </c>
      <c r="T152" s="1" t="str">
        <f>IF(OR(Table1[[#This Row],[Low Tol]]="",Table1[[#This Row],[High Tol]]=""),"Needs Analysis",IF(Table1[[#This Row],[Ratio]]&gt;=4,"Not Significant",IF(Table1[[#This Row],[Ratio]]&gt;=2,"Semi-Significant","Significant")))</f>
        <v>Needs Analysis</v>
      </c>
      <c r="W152" s="1">
        <f>IF(Table1[[#This Row],[Cal Type]]&lt;&gt;"ACCREDITED 17025 WITH UNCERTAINTIES",0,"")</f>
        <v>0</v>
      </c>
      <c r="X152" s="1" t="str">
        <f>IF(Table1[[#This Row],[DUT Read]]="","N/A",Table1[[#This Row],[Std Error]]+Table1[[#This Row],[DUT Read]]+Table1[[#This Row],[DUT Ucty]])</f>
        <v>N/A</v>
      </c>
      <c r="Y152" s="1" t="str">
        <f>IF(Table1[[#This Row],[Std Read]]="","N/A",Table1[[#This Row],[Std Read]]+Table1[[#This Row],[Std Ucty]])</f>
        <v>N/A</v>
      </c>
      <c r="Z1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 s="1" t="str">
        <f>IF(Table1[[#This Row],[Spec Type]]="","N/A",Table1[[#This Row],[Spec Type]])</f>
        <v>±</v>
      </c>
      <c r="AC152" s="1" t="str">
        <f>IF(Table1[[#This Row],[Spec Type2]]="N/A","N/A",IF(AND(Table1[[#This Row],[DUT Adj Read]]&gt;=Table1[[#This Row],[Low Tol]],Table1[[#This Row],[DUT Adj Read]]&lt;=Table1[[#This Row],[High Tol]]),"Pass","Fail"))</f>
        <v>Fail</v>
      </c>
      <c r="AD152" s="1" t="str">
        <f>IF(AND(Table1[[#This Row],[Spec Type2]]="N/A",Table1[[#This Row],[DUT Adj Read]]="N/A",Table1[[#This Row],[Std Adj Read]]="N/A"),"N/A",IF(Table1[[#This Row],[DUT Adj Read]]="N/A",IF(Table1[[#This Row],[Std Adj Read]]&gt;Table1[[#This Row],[Low Tol]],"Pass","Fail"),IF(Table1[[#This Row],[DUT Adj Read]]&gt;Table1[[#This Row],[Low Tol]],"Pass","Fail")))</f>
        <v>Pass</v>
      </c>
      <c r="AE152" s="1" t="str">
        <f>IF(AND(Table1[[#This Row],[Spec Type2]]="N/A",Table1[[#This Row],[DUT Adj Read]]="N/A",Table1[[#This Row],[Std Adj Read]]="N/A"),"N/A",IF(Table1[[#This Row],[DUT Adj Read]]="N/A",IF(Table1[[#This Row],[Std Adj Read]]&lt;Table1[[#This Row],[High Tol]],"Pass","Fail"),IF(Table1[[#This Row],[DUT Adj Read]]&lt;Table1[[#This Row],[High Tol]],"Pass","Fail")))</f>
        <v>Fail</v>
      </c>
      <c r="AF152" s="1" t="str">
        <f>IF(AND(Table1[[#This Row],[Spec Type2]]="N/A",Table1[[#This Row],[DUT Adj Read]]="N/A",Table1[[#This Row],[Std Adj Read]]="N/A"),"N/A",IF(Table1[[#This Row],[DUT Adj Read]]="N/A",IF(Table1[[#This Row],[Std Adj Read]]&gt;=Table1[[#This Row],[Low Tol]],"Pass","Fail"),IF(Table1[[#This Row],[DUT Adj Read]]&gt;=Table1[[#This Row],[Low Tol]],"Pass","Fail")))</f>
        <v>Pass</v>
      </c>
      <c r="AG152" s="1" t="str">
        <f>IF(AND(Table1[[#This Row],[Spec Type2]]="N/A",Table1[[#This Row],[DUT Adj Read]]="N/A",Table1[[#This Row],[Std Adj Read]]="N/A"),"N/A",IF(Table1[[#This Row],[DUT Adj Read]]="N/A",IF(Table1[[#This Row],[Std Adj Read]]&lt;=Table1[[#This Row],[High Tol]],"Pass","Fail"),IF(Table1[[#This Row],[DUT Adj Read]]&lt;=Table1[[#This Row],[High Tol]],"Pass","Fail")))</f>
        <v>Fail</v>
      </c>
      <c r="AH1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 s="1" t="b">
        <v>0</v>
      </c>
      <c r="AN152" s="1" t="b">
        <v>0</v>
      </c>
      <c r="AO152" s="1" t="b">
        <v>0</v>
      </c>
    </row>
    <row r="153" spans="1:41" x14ac:dyDescent="0.25">
      <c r="A153" s="10"/>
      <c r="B153" s="10"/>
      <c r="C153" s="10"/>
      <c r="D153" s="10"/>
      <c r="E153" s="10"/>
      <c r="F153" s="10"/>
      <c r="G153" s="10"/>
      <c r="H153" s="10"/>
      <c r="I153" s="1" t="str">
        <f t="shared" si="6"/>
        <v/>
      </c>
      <c r="J153" s="1" t="s">
        <v>35</v>
      </c>
      <c r="K153" s="1" t="str">
        <f t="shared" si="7"/>
        <v/>
      </c>
      <c r="L153" s="1" t="str">
        <f t="shared" si="8"/>
        <v/>
      </c>
      <c r="M153" s="1">
        <f>IF(OR(Table1[[#This Row],[Std Nom]]="",Table1[[#This Row],[Std Read]]=""),0,Table1[[#This Row],[Std Nom]]-Table1[[#This Row],[Std Read]])</f>
        <v>0</v>
      </c>
      <c r="N153" s="1">
        <f>IF(Calculations!$F$5="ACCREDITED 17025 WITH UNCERTAINTIES",$N$10,0)</f>
        <v>0</v>
      </c>
      <c r="O153" s="1" t="str">
        <f>IFERROR(Table1[[#This Row],[Std Nom]]-(_xlfn.XLOOKUP(Table1[[#This Row],[Manufacturer]]&amp;" "&amp;Table1[[#This Row],[Model]],Table13[MFR &amp; MDL],Table13[Tolerance % CW ],"")/100*Table1[[#This Row],[Std Nom]]),"")</f>
        <v/>
      </c>
      <c r="P153" s="1" t="str">
        <f>IFERROR(Table1[[#This Row],[Std Nom]]+(_xlfn.XLOOKUP(Table1[[#This Row],[Manufacturer]]&amp;" "&amp;Table1[[#This Row],[Model]],Table13[MFR &amp; MDL],Table13[Tolerance % CW ],"")/100*Table1[[#This Row],[Std Nom]]),"")</f>
        <v/>
      </c>
      <c r="Q153" s="1" t="e">
        <f>Table1[[#This Row],[High Tol]]-Table1[[#This Row],[Low Tol]]</f>
        <v>#VALUE!</v>
      </c>
      <c r="R153" s="1">
        <f>2*Table1[[#This Row],[Std Error]]</f>
        <v>0</v>
      </c>
      <c r="S153" s="1" t="str">
        <f>IF(Table1[[#This Row],[High Tol]]="","N/A",IFERROR(ABS(Table1[[#This Row],[Tol Span]]/Table1[[#This Row],[Error Span]]),"N/A"))</f>
        <v>N/A</v>
      </c>
      <c r="T153" s="1" t="str">
        <f>IF(OR(Table1[[#This Row],[Low Tol]]="",Table1[[#This Row],[High Tol]]=""),"Needs Analysis",IF(Table1[[#This Row],[Ratio]]&gt;=4,"Not Significant",IF(Table1[[#This Row],[Ratio]]&gt;=2,"Semi-Significant","Significant")))</f>
        <v>Needs Analysis</v>
      </c>
      <c r="W153" s="1">
        <f>IF(Table1[[#This Row],[Cal Type]]&lt;&gt;"ACCREDITED 17025 WITH UNCERTAINTIES",0,"")</f>
        <v>0</v>
      </c>
      <c r="X153" s="1" t="str">
        <f>IF(Table1[[#This Row],[DUT Read]]="","N/A",Table1[[#This Row],[Std Error]]+Table1[[#This Row],[DUT Read]]+Table1[[#This Row],[DUT Ucty]])</f>
        <v>N/A</v>
      </c>
      <c r="Y153" s="1" t="str">
        <f>IF(Table1[[#This Row],[Std Read]]="","N/A",Table1[[#This Row],[Std Read]]+Table1[[#This Row],[Std Ucty]])</f>
        <v>N/A</v>
      </c>
      <c r="Z1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 s="1" t="str">
        <f>IF(Table1[[#This Row],[Spec Type]]="","N/A",Table1[[#This Row],[Spec Type]])</f>
        <v>±</v>
      </c>
      <c r="AC153" s="1" t="str">
        <f>IF(Table1[[#This Row],[Spec Type2]]="N/A","N/A",IF(AND(Table1[[#This Row],[DUT Adj Read]]&gt;=Table1[[#This Row],[Low Tol]],Table1[[#This Row],[DUT Adj Read]]&lt;=Table1[[#This Row],[High Tol]]),"Pass","Fail"))</f>
        <v>Fail</v>
      </c>
      <c r="AD153" s="1" t="str">
        <f>IF(AND(Table1[[#This Row],[Spec Type2]]="N/A",Table1[[#This Row],[DUT Adj Read]]="N/A",Table1[[#This Row],[Std Adj Read]]="N/A"),"N/A",IF(Table1[[#This Row],[DUT Adj Read]]="N/A",IF(Table1[[#This Row],[Std Adj Read]]&gt;Table1[[#This Row],[Low Tol]],"Pass","Fail"),IF(Table1[[#This Row],[DUT Adj Read]]&gt;Table1[[#This Row],[Low Tol]],"Pass","Fail")))</f>
        <v>Pass</v>
      </c>
      <c r="AE153" s="1" t="str">
        <f>IF(AND(Table1[[#This Row],[Spec Type2]]="N/A",Table1[[#This Row],[DUT Adj Read]]="N/A",Table1[[#This Row],[Std Adj Read]]="N/A"),"N/A",IF(Table1[[#This Row],[DUT Adj Read]]="N/A",IF(Table1[[#This Row],[Std Adj Read]]&lt;Table1[[#This Row],[High Tol]],"Pass","Fail"),IF(Table1[[#This Row],[DUT Adj Read]]&lt;Table1[[#This Row],[High Tol]],"Pass","Fail")))</f>
        <v>Fail</v>
      </c>
      <c r="AF153" s="1" t="str">
        <f>IF(AND(Table1[[#This Row],[Spec Type2]]="N/A",Table1[[#This Row],[DUT Adj Read]]="N/A",Table1[[#This Row],[Std Adj Read]]="N/A"),"N/A",IF(Table1[[#This Row],[DUT Adj Read]]="N/A",IF(Table1[[#This Row],[Std Adj Read]]&gt;=Table1[[#This Row],[Low Tol]],"Pass","Fail"),IF(Table1[[#This Row],[DUT Adj Read]]&gt;=Table1[[#This Row],[Low Tol]],"Pass","Fail")))</f>
        <v>Pass</v>
      </c>
      <c r="AG153" s="1" t="str">
        <f>IF(AND(Table1[[#This Row],[Spec Type2]]="N/A",Table1[[#This Row],[DUT Adj Read]]="N/A",Table1[[#This Row],[Std Adj Read]]="N/A"),"N/A",IF(Table1[[#This Row],[DUT Adj Read]]="N/A",IF(Table1[[#This Row],[Std Adj Read]]&lt;=Table1[[#This Row],[High Tol]],"Pass","Fail"),IF(Table1[[#This Row],[DUT Adj Read]]&lt;=Table1[[#This Row],[High Tol]],"Pass","Fail")))</f>
        <v>Fail</v>
      </c>
      <c r="AH1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 s="1" t="b">
        <v>0</v>
      </c>
      <c r="AN153" s="1" t="b">
        <v>0</v>
      </c>
      <c r="AO153" s="1" t="b">
        <v>0</v>
      </c>
    </row>
    <row r="154" spans="1:41" x14ac:dyDescent="0.25">
      <c r="A154" s="10"/>
      <c r="B154" s="10"/>
      <c r="C154" s="10"/>
      <c r="D154" s="10"/>
      <c r="E154" s="10"/>
      <c r="F154" s="10"/>
      <c r="G154" s="10"/>
      <c r="H154" s="10"/>
      <c r="I154" s="1" t="str">
        <f t="shared" si="6"/>
        <v/>
      </c>
      <c r="J154" s="1" t="s">
        <v>35</v>
      </c>
      <c r="K154" s="1" t="str">
        <f t="shared" si="7"/>
        <v/>
      </c>
      <c r="L154" s="1" t="str">
        <f t="shared" si="8"/>
        <v/>
      </c>
      <c r="M154" s="1">
        <f>IF(OR(Table1[[#This Row],[Std Nom]]="",Table1[[#This Row],[Std Read]]=""),0,Table1[[#This Row],[Std Nom]]-Table1[[#This Row],[Std Read]])</f>
        <v>0</v>
      </c>
      <c r="N154" s="1">
        <f>IF(Calculations!$F$5="ACCREDITED 17025 WITH UNCERTAINTIES",$N$10,0)</f>
        <v>0</v>
      </c>
      <c r="O154" s="1" t="str">
        <f>IFERROR(Table1[[#This Row],[Std Nom]]-(_xlfn.XLOOKUP(Table1[[#This Row],[Manufacturer]]&amp;" "&amp;Table1[[#This Row],[Model]],Table13[MFR &amp; MDL],Table13[Tolerance % CW ],"")/100*Table1[[#This Row],[Std Nom]]),"")</f>
        <v/>
      </c>
      <c r="P154" s="1" t="str">
        <f>IFERROR(Table1[[#This Row],[Std Nom]]+(_xlfn.XLOOKUP(Table1[[#This Row],[Manufacturer]]&amp;" "&amp;Table1[[#This Row],[Model]],Table13[MFR &amp; MDL],Table13[Tolerance % CW ],"")/100*Table1[[#This Row],[Std Nom]]),"")</f>
        <v/>
      </c>
      <c r="Q154" s="1" t="e">
        <f>Table1[[#This Row],[High Tol]]-Table1[[#This Row],[Low Tol]]</f>
        <v>#VALUE!</v>
      </c>
      <c r="R154" s="1">
        <f>2*Table1[[#This Row],[Std Error]]</f>
        <v>0</v>
      </c>
      <c r="S154" s="1" t="str">
        <f>IF(Table1[[#This Row],[High Tol]]="","N/A",IFERROR(ABS(Table1[[#This Row],[Tol Span]]/Table1[[#This Row],[Error Span]]),"N/A"))</f>
        <v>N/A</v>
      </c>
      <c r="T154" s="1" t="str">
        <f>IF(OR(Table1[[#This Row],[Low Tol]]="",Table1[[#This Row],[High Tol]]=""),"Needs Analysis",IF(Table1[[#This Row],[Ratio]]&gt;=4,"Not Significant",IF(Table1[[#This Row],[Ratio]]&gt;=2,"Semi-Significant","Significant")))</f>
        <v>Needs Analysis</v>
      </c>
      <c r="W154" s="1">
        <f>IF(Table1[[#This Row],[Cal Type]]&lt;&gt;"ACCREDITED 17025 WITH UNCERTAINTIES",0,"")</f>
        <v>0</v>
      </c>
      <c r="X154" s="1" t="str">
        <f>IF(Table1[[#This Row],[DUT Read]]="","N/A",Table1[[#This Row],[Std Error]]+Table1[[#This Row],[DUT Read]]+Table1[[#This Row],[DUT Ucty]])</f>
        <v>N/A</v>
      </c>
      <c r="Y154" s="1" t="str">
        <f>IF(Table1[[#This Row],[Std Read]]="","N/A",Table1[[#This Row],[Std Read]]+Table1[[#This Row],[Std Ucty]])</f>
        <v>N/A</v>
      </c>
      <c r="Z1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 s="1" t="str">
        <f>IF(Table1[[#This Row],[Spec Type]]="","N/A",Table1[[#This Row],[Spec Type]])</f>
        <v>±</v>
      </c>
      <c r="AC154" s="1" t="str">
        <f>IF(Table1[[#This Row],[Spec Type2]]="N/A","N/A",IF(AND(Table1[[#This Row],[DUT Adj Read]]&gt;=Table1[[#This Row],[Low Tol]],Table1[[#This Row],[DUT Adj Read]]&lt;=Table1[[#This Row],[High Tol]]),"Pass","Fail"))</f>
        <v>Fail</v>
      </c>
      <c r="AD154" s="1" t="str">
        <f>IF(AND(Table1[[#This Row],[Spec Type2]]="N/A",Table1[[#This Row],[DUT Adj Read]]="N/A",Table1[[#This Row],[Std Adj Read]]="N/A"),"N/A",IF(Table1[[#This Row],[DUT Adj Read]]="N/A",IF(Table1[[#This Row],[Std Adj Read]]&gt;Table1[[#This Row],[Low Tol]],"Pass","Fail"),IF(Table1[[#This Row],[DUT Adj Read]]&gt;Table1[[#This Row],[Low Tol]],"Pass","Fail")))</f>
        <v>Pass</v>
      </c>
      <c r="AE154" s="1" t="str">
        <f>IF(AND(Table1[[#This Row],[Spec Type2]]="N/A",Table1[[#This Row],[DUT Adj Read]]="N/A",Table1[[#This Row],[Std Adj Read]]="N/A"),"N/A",IF(Table1[[#This Row],[DUT Adj Read]]="N/A",IF(Table1[[#This Row],[Std Adj Read]]&lt;Table1[[#This Row],[High Tol]],"Pass","Fail"),IF(Table1[[#This Row],[DUT Adj Read]]&lt;Table1[[#This Row],[High Tol]],"Pass","Fail")))</f>
        <v>Fail</v>
      </c>
      <c r="AF154" s="1" t="str">
        <f>IF(AND(Table1[[#This Row],[Spec Type2]]="N/A",Table1[[#This Row],[DUT Adj Read]]="N/A",Table1[[#This Row],[Std Adj Read]]="N/A"),"N/A",IF(Table1[[#This Row],[DUT Adj Read]]="N/A",IF(Table1[[#This Row],[Std Adj Read]]&gt;=Table1[[#This Row],[Low Tol]],"Pass","Fail"),IF(Table1[[#This Row],[DUT Adj Read]]&gt;=Table1[[#This Row],[Low Tol]],"Pass","Fail")))</f>
        <v>Pass</v>
      </c>
      <c r="AG154" s="1" t="str">
        <f>IF(AND(Table1[[#This Row],[Spec Type2]]="N/A",Table1[[#This Row],[DUT Adj Read]]="N/A",Table1[[#This Row],[Std Adj Read]]="N/A"),"N/A",IF(Table1[[#This Row],[DUT Adj Read]]="N/A",IF(Table1[[#This Row],[Std Adj Read]]&lt;=Table1[[#This Row],[High Tol]],"Pass","Fail"),IF(Table1[[#This Row],[DUT Adj Read]]&lt;=Table1[[#This Row],[High Tol]],"Pass","Fail")))</f>
        <v>Fail</v>
      </c>
      <c r="AH1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 s="1" t="b">
        <v>0</v>
      </c>
      <c r="AN154" s="1" t="b">
        <v>0</v>
      </c>
      <c r="AO154" s="1" t="b">
        <v>0</v>
      </c>
    </row>
    <row r="155" spans="1:41" x14ac:dyDescent="0.25">
      <c r="A155" s="10"/>
      <c r="B155" s="10"/>
      <c r="C155" s="10"/>
      <c r="D155" s="10"/>
      <c r="E155" s="10"/>
      <c r="F155" s="10"/>
      <c r="G155" s="10"/>
      <c r="H155" s="10"/>
      <c r="I155" s="1" t="str">
        <f t="shared" si="6"/>
        <v/>
      </c>
      <c r="J155" s="1" t="s">
        <v>35</v>
      </c>
      <c r="K155" s="1" t="str">
        <f t="shared" si="7"/>
        <v/>
      </c>
      <c r="L155" s="1" t="str">
        <f t="shared" si="8"/>
        <v/>
      </c>
      <c r="M155" s="1">
        <f>IF(OR(Table1[[#This Row],[Std Nom]]="",Table1[[#This Row],[Std Read]]=""),0,Table1[[#This Row],[Std Nom]]-Table1[[#This Row],[Std Read]])</f>
        <v>0</v>
      </c>
      <c r="N155" s="1">
        <f>IF(Calculations!$F$5="ACCREDITED 17025 WITH UNCERTAINTIES",$N$10,0)</f>
        <v>0</v>
      </c>
      <c r="O155" s="1" t="str">
        <f>IFERROR(Table1[[#This Row],[Std Nom]]-(_xlfn.XLOOKUP(Table1[[#This Row],[Manufacturer]]&amp;" "&amp;Table1[[#This Row],[Model]],Table13[MFR &amp; MDL],Table13[Tolerance % CW ],"")/100*Table1[[#This Row],[Std Nom]]),"")</f>
        <v/>
      </c>
      <c r="P155" s="1" t="str">
        <f>IFERROR(Table1[[#This Row],[Std Nom]]+(_xlfn.XLOOKUP(Table1[[#This Row],[Manufacturer]]&amp;" "&amp;Table1[[#This Row],[Model]],Table13[MFR &amp; MDL],Table13[Tolerance % CW ],"")/100*Table1[[#This Row],[Std Nom]]),"")</f>
        <v/>
      </c>
      <c r="Q155" s="1" t="e">
        <f>Table1[[#This Row],[High Tol]]-Table1[[#This Row],[Low Tol]]</f>
        <v>#VALUE!</v>
      </c>
      <c r="R155" s="1">
        <f>2*Table1[[#This Row],[Std Error]]</f>
        <v>0</v>
      </c>
      <c r="S155" s="1" t="str">
        <f>IF(Table1[[#This Row],[High Tol]]="","N/A",IFERROR(ABS(Table1[[#This Row],[Tol Span]]/Table1[[#This Row],[Error Span]]),"N/A"))</f>
        <v>N/A</v>
      </c>
      <c r="T155" s="1" t="str">
        <f>IF(OR(Table1[[#This Row],[Low Tol]]="",Table1[[#This Row],[High Tol]]=""),"Needs Analysis",IF(Table1[[#This Row],[Ratio]]&gt;=4,"Not Significant",IF(Table1[[#This Row],[Ratio]]&gt;=2,"Semi-Significant","Significant")))</f>
        <v>Needs Analysis</v>
      </c>
      <c r="W155" s="1">
        <f>IF(Table1[[#This Row],[Cal Type]]&lt;&gt;"ACCREDITED 17025 WITH UNCERTAINTIES",0,"")</f>
        <v>0</v>
      </c>
      <c r="X155" s="1" t="str">
        <f>IF(Table1[[#This Row],[DUT Read]]="","N/A",Table1[[#This Row],[Std Error]]+Table1[[#This Row],[DUT Read]]+Table1[[#This Row],[DUT Ucty]])</f>
        <v>N/A</v>
      </c>
      <c r="Y155" s="1" t="str">
        <f>IF(Table1[[#This Row],[Std Read]]="","N/A",Table1[[#This Row],[Std Read]]+Table1[[#This Row],[Std Ucty]])</f>
        <v>N/A</v>
      </c>
      <c r="Z1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 s="1" t="str">
        <f>IF(Table1[[#This Row],[Spec Type]]="","N/A",Table1[[#This Row],[Spec Type]])</f>
        <v>±</v>
      </c>
      <c r="AC155" s="1" t="str">
        <f>IF(Table1[[#This Row],[Spec Type2]]="N/A","N/A",IF(AND(Table1[[#This Row],[DUT Adj Read]]&gt;=Table1[[#This Row],[Low Tol]],Table1[[#This Row],[DUT Adj Read]]&lt;=Table1[[#This Row],[High Tol]]),"Pass","Fail"))</f>
        <v>Fail</v>
      </c>
      <c r="AD155" s="1" t="str">
        <f>IF(AND(Table1[[#This Row],[Spec Type2]]="N/A",Table1[[#This Row],[DUT Adj Read]]="N/A",Table1[[#This Row],[Std Adj Read]]="N/A"),"N/A",IF(Table1[[#This Row],[DUT Adj Read]]="N/A",IF(Table1[[#This Row],[Std Adj Read]]&gt;Table1[[#This Row],[Low Tol]],"Pass","Fail"),IF(Table1[[#This Row],[DUT Adj Read]]&gt;Table1[[#This Row],[Low Tol]],"Pass","Fail")))</f>
        <v>Pass</v>
      </c>
      <c r="AE155" s="1" t="str">
        <f>IF(AND(Table1[[#This Row],[Spec Type2]]="N/A",Table1[[#This Row],[DUT Adj Read]]="N/A",Table1[[#This Row],[Std Adj Read]]="N/A"),"N/A",IF(Table1[[#This Row],[DUT Adj Read]]="N/A",IF(Table1[[#This Row],[Std Adj Read]]&lt;Table1[[#This Row],[High Tol]],"Pass","Fail"),IF(Table1[[#This Row],[DUT Adj Read]]&lt;Table1[[#This Row],[High Tol]],"Pass","Fail")))</f>
        <v>Fail</v>
      </c>
      <c r="AF155" s="1" t="str">
        <f>IF(AND(Table1[[#This Row],[Spec Type2]]="N/A",Table1[[#This Row],[DUT Adj Read]]="N/A",Table1[[#This Row],[Std Adj Read]]="N/A"),"N/A",IF(Table1[[#This Row],[DUT Adj Read]]="N/A",IF(Table1[[#This Row],[Std Adj Read]]&gt;=Table1[[#This Row],[Low Tol]],"Pass","Fail"),IF(Table1[[#This Row],[DUT Adj Read]]&gt;=Table1[[#This Row],[Low Tol]],"Pass","Fail")))</f>
        <v>Pass</v>
      </c>
      <c r="AG155" s="1" t="str">
        <f>IF(AND(Table1[[#This Row],[Spec Type2]]="N/A",Table1[[#This Row],[DUT Adj Read]]="N/A",Table1[[#This Row],[Std Adj Read]]="N/A"),"N/A",IF(Table1[[#This Row],[DUT Adj Read]]="N/A",IF(Table1[[#This Row],[Std Adj Read]]&lt;=Table1[[#This Row],[High Tol]],"Pass","Fail"),IF(Table1[[#This Row],[DUT Adj Read]]&lt;=Table1[[#This Row],[High Tol]],"Pass","Fail")))</f>
        <v>Fail</v>
      </c>
      <c r="AH1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 s="1" t="b">
        <v>0</v>
      </c>
      <c r="AN155" s="1" t="b">
        <v>0</v>
      </c>
      <c r="AO155" s="1" t="b">
        <v>0</v>
      </c>
    </row>
    <row r="156" spans="1:41" x14ac:dyDescent="0.25">
      <c r="A156" s="10"/>
      <c r="B156" s="10"/>
      <c r="C156" s="10"/>
      <c r="D156" s="10"/>
      <c r="E156" s="10"/>
      <c r="F156" s="10"/>
      <c r="G156" s="10"/>
      <c r="H156" s="10"/>
      <c r="I156" s="1" t="str">
        <f t="shared" si="6"/>
        <v/>
      </c>
      <c r="J156" s="1" t="s">
        <v>35</v>
      </c>
      <c r="K156" s="1" t="str">
        <f t="shared" si="7"/>
        <v/>
      </c>
      <c r="L156" s="1" t="str">
        <f t="shared" si="8"/>
        <v/>
      </c>
      <c r="M156" s="1">
        <f>IF(OR(Table1[[#This Row],[Std Nom]]="",Table1[[#This Row],[Std Read]]=""),0,Table1[[#This Row],[Std Nom]]-Table1[[#This Row],[Std Read]])</f>
        <v>0</v>
      </c>
      <c r="N156" s="1">
        <f>IF(Calculations!$F$5="ACCREDITED 17025 WITH UNCERTAINTIES",$N$10,0)</f>
        <v>0</v>
      </c>
      <c r="O156" s="1" t="str">
        <f>IFERROR(Table1[[#This Row],[Std Nom]]-(_xlfn.XLOOKUP(Table1[[#This Row],[Manufacturer]]&amp;" "&amp;Table1[[#This Row],[Model]],Table13[MFR &amp; MDL],Table13[Tolerance % CW ],"")/100*Table1[[#This Row],[Std Nom]]),"")</f>
        <v/>
      </c>
      <c r="P156" s="1" t="str">
        <f>IFERROR(Table1[[#This Row],[Std Nom]]+(_xlfn.XLOOKUP(Table1[[#This Row],[Manufacturer]]&amp;" "&amp;Table1[[#This Row],[Model]],Table13[MFR &amp; MDL],Table13[Tolerance % CW ],"")/100*Table1[[#This Row],[Std Nom]]),"")</f>
        <v/>
      </c>
      <c r="Q156" s="1" t="e">
        <f>Table1[[#This Row],[High Tol]]-Table1[[#This Row],[Low Tol]]</f>
        <v>#VALUE!</v>
      </c>
      <c r="R156" s="1">
        <f>2*Table1[[#This Row],[Std Error]]</f>
        <v>0</v>
      </c>
      <c r="S156" s="1" t="str">
        <f>IF(Table1[[#This Row],[High Tol]]="","N/A",IFERROR(ABS(Table1[[#This Row],[Tol Span]]/Table1[[#This Row],[Error Span]]),"N/A"))</f>
        <v>N/A</v>
      </c>
      <c r="T156" s="1" t="str">
        <f>IF(OR(Table1[[#This Row],[Low Tol]]="",Table1[[#This Row],[High Tol]]=""),"Needs Analysis",IF(Table1[[#This Row],[Ratio]]&gt;=4,"Not Significant",IF(Table1[[#This Row],[Ratio]]&gt;=2,"Semi-Significant","Significant")))</f>
        <v>Needs Analysis</v>
      </c>
      <c r="W156" s="1">
        <f>IF(Table1[[#This Row],[Cal Type]]&lt;&gt;"ACCREDITED 17025 WITH UNCERTAINTIES",0,"")</f>
        <v>0</v>
      </c>
      <c r="X156" s="1" t="str">
        <f>IF(Table1[[#This Row],[DUT Read]]="","N/A",Table1[[#This Row],[Std Error]]+Table1[[#This Row],[DUT Read]]+Table1[[#This Row],[DUT Ucty]])</f>
        <v>N/A</v>
      </c>
      <c r="Y156" s="1" t="str">
        <f>IF(Table1[[#This Row],[Std Read]]="","N/A",Table1[[#This Row],[Std Read]]+Table1[[#This Row],[Std Ucty]])</f>
        <v>N/A</v>
      </c>
      <c r="Z1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 s="1" t="str">
        <f>IF(Table1[[#This Row],[Spec Type]]="","N/A",Table1[[#This Row],[Spec Type]])</f>
        <v>±</v>
      </c>
      <c r="AC156" s="1" t="str">
        <f>IF(Table1[[#This Row],[Spec Type2]]="N/A","N/A",IF(AND(Table1[[#This Row],[DUT Adj Read]]&gt;=Table1[[#This Row],[Low Tol]],Table1[[#This Row],[DUT Adj Read]]&lt;=Table1[[#This Row],[High Tol]]),"Pass","Fail"))</f>
        <v>Fail</v>
      </c>
      <c r="AD156" s="1" t="str">
        <f>IF(AND(Table1[[#This Row],[Spec Type2]]="N/A",Table1[[#This Row],[DUT Adj Read]]="N/A",Table1[[#This Row],[Std Adj Read]]="N/A"),"N/A",IF(Table1[[#This Row],[DUT Adj Read]]="N/A",IF(Table1[[#This Row],[Std Adj Read]]&gt;Table1[[#This Row],[Low Tol]],"Pass","Fail"),IF(Table1[[#This Row],[DUT Adj Read]]&gt;Table1[[#This Row],[Low Tol]],"Pass","Fail")))</f>
        <v>Pass</v>
      </c>
      <c r="AE156" s="1" t="str">
        <f>IF(AND(Table1[[#This Row],[Spec Type2]]="N/A",Table1[[#This Row],[DUT Adj Read]]="N/A",Table1[[#This Row],[Std Adj Read]]="N/A"),"N/A",IF(Table1[[#This Row],[DUT Adj Read]]="N/A",IF(Table1[[#This Row],[Std Adj Read]]&lt;Table1[[#This Row],[High Tol]],"Pass","Fail"),IF(Table1[[#This Row],[DUT Adj Read]]&lt;Table1[[#This Row],[High Tol]],"Pass","Fail")))</f>
        <v>Fail</v>
      </c>
      <c r="AF156" s="1" t="str">
        <f>IF(AND(Table1[[#This Row],[Spec Type2]]="N/A",Table1[[#This Row],[DUT Adj Read]]="N/A",Table1[[#This Row],[Std Adj Read]]="N/A"),"N/A",IF(Table1[[#This Row],[DUT Adj Read]]="N/A",IF(Table1[[#This Row],[Std Adj Read]]&gt;=Table1[[#This Row],[Low Tol]],"Pass","Fail"),IF(Table1[[#This Row],[DUT Adj Read]]&gt;=Table1[[#This Row],[Low Tol]],"Pass","Fail")))</f>
        <v>Pass</v>
      </c>
      <c r="AG156" s="1" t="str">
        <f>IF(AND(Table1[[#This Row],[Spec Type2]]="N/A",Table1[[#This Row],[DUT Adj Read]]="N/A",Table1[[#This Row],[Std Adj Read]]="N/A"),"N/A",IF(Table1[[#This Row],[DUT Adj Read]]="N/A",IF(Table1[[#This Row],[Std Adj Read]]&lt;=Table1[[#This Row],[High Tol]],"Pass","Fail"),IF(Table1[[#This Row],[DUT Adj Read]]&lt;=Table1[[#This Row],[High Tol]],"Pass","Fail")))</f>
        <v>Fail</v>
      </c>
      <c r="AH1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 s="1" t="b">
        <v>0</v>
      </c>
      <c r="AN156" s="1" t="b">
        <v>0</v>
      </c>
      <c r="AO156" s="1" t="b">
        <v>0</v>
      </c>
    </row>
    <row r="157" spans="1:41" x14ac:dyDescent="0.25">
      <c r="A157" s="10"/>
      <c r="B157" s="10"/>
      <c r="C157" s="10"/>
      <c r="D157" s="10"/>
      <c r="E157" s="10"/>
      <c r="F157" s="10"/>
      <c r="G157" s="10"/>
      <c r="H157" s="10"/>
      <c r="I157" s="1" t="str">
        <f t="shared" si="6"/>
        <v/>
      </c>
      <c r="J157" s="1" t="s">
        <v>35</v>
      </c>
      <c r="K157" s="1" t="str">
        <f t="shared" si="7"/>
        <v/>
      </c>
      <c r="L157" s="1" t="str">
        <f t="shared" si="8"/>
        <v/>
      </c>
      <c r="M157" s="1">
        <f>IF(OR(Table1[[#This Row],[Std Nom]]="",Table1[[#This Row],[Std Read]]=""),0,Table1[[#This Row],[Std Nom]]-Table1[[#This Row],[Std Read]])</f>
        <v>0</v>
      </c>
      <c r="N157" s="1">
        <f>IF(Calculations!$F$5="ACCREDITED 17025 WITH UNCERTAINTIES",$N$10,0)</f>
        <v>0</v>
      </c>
      <c r="O157" s="1" t="str">
        <f>IFERROR(Table1[[#This Row],[Std Nom]]-(_xlfn.XLOOKUP(Table1[[#This Row],[Manufacturer]]&amp;" "&amp;Table1[[#This Row],[Model]],Table13[MFR &amp; MDL],Table13[Tolerance % CW ],"")/100*Table1[[#This Row],[Std Nom]]),"")</f>
        <v/>
      </c>
      <c r="P157" s="1" t="str">
        <f>IFERROR(Table1[[#This Row],[Std Nom]]+(_xlfn.XLOOKUP(Table1[[#This Row],[Manufacturer]]&amp;" "&amp;Table1[[#This Row],[Model]],Table13[MFR &amp; MDL],Table13[Tolerance % CW ],"")/100*Table1[[#This Row],[Std Nom]]),"")</f>
        <v/>
      </c>
      <c r="Q157" s="1" t="e">
        <f>Table1[[#This Row],[High Tol]]-Table1[[#This Row],[Low Tol]]</f>
        <v>#VALUE!</v>
      </c>
      <c r="R157" s="1">
        <f>2*Table1[[#This Row],[Std Error]]</f>
        <v>0</v>
      </c>
      <c r="S157" s="1" t="str">
        <f>IF(Table1[[#This Row],[High Tol]]="","N/A",IFERROR(ABS(Table1[[#This Row],[Tol Span]]/Table1[[#This Row],[Error Span]]),"N/A"))</f>
        <v>N/A</v>
      </c>
      <c r="T157" s="1" t="str">
        <f>IF(OR(Table1[[#This Row],[Low Tol]]="",Table1[[#This Row],[High Tol]]=""),"Needs Analysis",IF(Table1[[#This Row],[Ratio]]&gt;=4,"Not Significant",IF(Table1[[#This Row],[Ratio]]&gt;=2,"Semi-Significant","Significant")))</f>
        <v>Needs Analysis</v>
      </c>
      <c r="W157" s="1">
        <f>IF(Table1[[#This Row],[Cal Type]]&lt;&gt;"ACCREDITED 17025 WITH UNCERTAINTIES",0,"")</f>
        <v>0</v>
      </c>
      <c r="X157" s="1" t="str">
        <f>IF(Table1[[#This Row],[DUT Read]]="","N/A",Table1[[#This Row],[Std Error]]+Table1[[#This Row],[DUT Read]]+Table1[[#This Row],[DUT Ucty]])</f>
        <v>N/A</v>
      </c>
      <c r="Y157" s="1" t="str">
        <f>IF(Table1[[#This Row],[Std Read]]="","N/A",Table1[[#This Row],[Std Read]]+Table1[[#This Row],[Std Ucty]])</f>
        <v>N/A</v>
      </c>
      <c r="Z1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 s="1" t="str">
        <f>IF(Table1[[#This Row],[Spec Type]]="","N/A",Table1[[#This Row],[Spec Type]])</f>
        <v>±</v>
      </c>
      <c r="AC157" s="1" t="str">
        <f>IF(Table1[[#This Row],[Spec Type2]]="N/A","N/A",IF(AND(Table1[[#This Row],[DUT Adj Read]]&gt;=Table1[[#This Row],[Low Tol]],Table1[[#This Row],[DUT Adj Read]]&lt;=Table1[[#This Row],[High Tol]]),"Pass","Fail"))</f>
        <v>Fail</v>
      </c>
      <c r="AD157" s="1" t="str">
        <f>IF(AND(Table1[[#This Row],[Spec Type2]]="N/A",Table1[[#This Row],[DUT Adj Read]]="N/A",Table1[[#This Row],[Std Adj Read]]="N/A"),"N/A",IF(Table1[[#This Row],[DUT Adj Read]]="N/A",IF(Table1[[#This Row],[Std Adj Read]]&gt;Table1[[#This Row],[Low Tol]],"Pass","Fail"),IF(Table1[[#This Row],[DUT Adj Read]]&gt;Table1[[#This Row],[Low Tol]],"Pass","Fail")))</f>
        <v>Pass</v>
      </c>
      <c r="AE157" s="1" t="str">
        <f>IF(AND(Table1[[#This Row],[Spec Type2]]="N/A",Table1[[#This Row],[DUT Adj Read]]="N/A",Table1[[#This Row],[Std Adj Read]]="N/A"),"N/A",IF(Table1[[#This Row],[DUT Adj Read]]="N/A",IF(Table1[[#This Row],[Std Adj Read]]&lt;Table1[[#This Row],[High Tol]],"Pass","Fail"),IF(Table1[[#This Row],[DUT Adj Read]]&lt;Table1[[#This Row],[High Tol]],"Pass","Fail")))</f>
        <v>Fail</v>
      </c>
      <c r="AF157" s="1" t="str">
        <f>IF(AND(Table1[[#This Row],[Spec Type2]]="N/A",Table1[[#This Row],[DUT Adj Read]]="N/A",Table1[[#This Row],[Std Adj Read]]="N/A"),"N/A",IF(Table1[[#This Row],[DUT Adj Read]]="N/A",IF(Table1[[#This Row],[Std Adj Read]]&gt;=Table1[[#This Row],[Low Tol]],"Pass","Fail"),IF(Table1[[#This Row],[DUT Adj Read]]&gt;=Table1[[#This Row],[Low Tol]],"Pass","Fail")))</f>
        <v>Pass</v>
      </c>
      <c r="AG157" s="1" t="str">
        <f>IF(AND(Table1[[#This Row],[Spec Type2]]="N/A",Table1[[#This Row],[DUT Adj Read]]="N/A",Table1[[#This Row],[Std Adj Read]]="N/A"),"N/A",IF(Table1[[#This Row],[DUT Adj Read]]="N/A",IF(Table1[[#This Row],[Std Adj Read]]&lt;=Table1[[#This Row],[High Tol]],"Pass","Fail"),IF(Table1[[#This Row],[DUT Adj Read]]&lt;=Table1[[#This Row],[High Tol]],"Pass","Fail")))</f>
        <v>Fail</v>
      </c>
      <c r="AH1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 s="1" t="b">
        <v>0</v>
      </c>
      <c r="AN157" s="1" t="b">
        <v>0</v>
      </c>
      <c r="AO157" s="1" t="b">
        <v>0</v>
      </c>
    </row>
    <row r="158" spans="1:41" x14ac:dyDescent="0.25">
      <c r="A158" s="10"/>
      <c r="B158" s="10"/>
      <c r="C158" s="10"/>
      <c r="D158" s="10"/>
      <c r="E158" s="10"/>
      <c r="F158" s="10"/>
      <c r="G158" s="10"/>
      <c r="H158" s="10"/>
      <c r="I158" s="1" t="str">
        <f t="shared" si="6"/>
        <v/>
      </c>
      <c r="J158" s="1" t="s">
        <v>35</v>
      </c>
      <c r="K158" s="1" t="str">
        <f t="shared" si="7"/>
        <v/>
      </c>
      <c r="L158" s="1" t="str">
        <f t="shared" si="8"/>
        <v/>
      </c>
      <c r="M158" s="1">
        <f>IF(OR(Table1[[#This Row],[Std Nom]]="",Table1[[#This Row],[Std Read]]=""),0,Table1[[#This Row],[Std Nom]]-Table1[[#This Row],[Std Read]])</f>
        <v>0</v>
      </c>
      <c r="N158" s="1">
        <f>IF(Calculations!$F$5="ACCREDITED 17025 WITH UNCERTAINTIES",$N$10,0)</f>
        <v>0</v>
      </c>
      <c r="O158" s="1" t="str">
        <f>IFERROR(Table1[[#This Row],[Std Nom]]-(_xlfn.XLOOKUP(Table1[[#This Row],[Manufacturer]]&amp;" "&amp;Table1[[#This Row],[Model]],Table13[MFR &amp; MDL],Table13[Tolerance % CW ],"")/100*Table1[[#This Row],[Std Nom]]),"")</f>
        <v/>
      </c>
      <c r="P158" s="1" t="str">
        <f>IFERROR(Table1[[#This Row],[Std Nom]]+(_xlfn.XLOOKUP(Table1[[#This Row],[Manufacturer]]&amp;" "&amp;Table1[[#This Row],[Model]],Table13[MFR &amp; MDL],Table13[Tolerance % CW ],"")/100*Table1[[#This Row],[Std Nom]]),"")</f>
        <v/>
      </c>
      <c r="Q158" s="1" t="e">
        <f>Table1[[#This Row],[High Tol]]-Table1[[#This Row],[Low Tol]]</f>
        <v>#VALUE!</v>
      </c>
      <c r="R158" s="1">
        <f>2*Table1[[#This Row],[Std Error]]</f>
        <v>0</v>
      </c>
      <c r="S158" s="1" t="str">
        <f>IF(Table1[[#This Row],[High Tol]]="","N/A",IFERROR(ABS(Table1[[#This Row],[Tol Span]]/Table1[[#This Row],[Error Span]]),"N/A"))</f>
        <v>N/A</v>
      </c>
      <c r="T158" s="1" t="str">
        <f>IF(OR(Table1[[#This Row],[Low Tol]]="",Table1[[#This Row],[High Tol]]=""),"Needs Analysis",IF(Table1[[#This Row],[Ratio]]&gt;=4,"Not Significant",IF(Table1[[#This Row],[Ratio]]&gt;=2,"Semi-Significant","Significant")))</f>
        <v>Needs Analysis</v>
      </c>
      <c r="W158" s="1">
        <f>IF(Table1[[#This Row],[Cal Type]]&lt;&gt;"ACCREDITED 17025 WITH UNCERTAINTIES",0,"")</f>
        <v>0</v>
      </c>
      <c r="X158" s="1" t="str">
        <f>IF(Table1[[#This Row],[DUT Read]]="","N/A",Table1[[#This Row],[Std Error]]+Table1[[#This Row],[DUT Read]]+Table1[[#This Row],[DUT Ucty]])</f>
        <v>N/A</v>
      </c>
      <c r="Y158" s="1" t="str">
        <f>IF(Table1[[#This Row],[Std Read]]="","N/A",Table1[[#This Row],[Std Read]]+Table1[[#This Row],[Std Ucty]])</f>
        <v>N/A</v>
      </c>
      <c r="Z1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 s="1" t="str">
        <f>IF(Table1[[#This Row],[Spec Type]]="","N/A",Table1[[#This Row],[Spec Type]])</f>
        <v>±</v>
      </c>
      <c r="AC158" s="1" t="str">
        <f>IF(Table1[[#This Row],[Spec Type2]]="N/A","N/A",IF(AND(Table1[[#This Row],[DUT Adj Read]]&gt;=Table1[[#This Row],[Low Tol]],Table1[[#This Row],[DUT Adj Read]]&lt;=Table1[[#This Row],[High Tol]]),"Pass","Fail"))</f>
        <v>Fail</v>
      </c>
      <c r="AD158" s="1" t="str">
        <f>IF(AND(Table1[[#This Row],[Spec Type2]]="N/A",Table1[[#This Row],[DUT Adj Read]]="N/A",Table1[[#This Row],[Std Adj Read]]="N/A"),"N/A",IF(Table1[[#This Row],[DUT Adj Read]]="N/A",IF(Table1[[#This Row],[Std Adj Read]]&gt;Table1[[#This Row],[Low Tol]],"Pass","Fail"),IF(Table1[[#This Row],[DUT Adj Read]]&gt;Table1[[#This Row],[Low Tol]],"Pass","Fail")))</f>
        <v>Pass</v>
      </c>
      <c r="AE158" s="1" t="str">
        <f>IF(AND(Table1[[#This Row],[Spec Type2]]="N/A",Table1[[#This Row],[DUT Adj Read]]="N/A",Table1[[#This Row],[Std Adj Read]]="N/A"),"N/A",IF(Table1[[#This Row],[DUT Adj Read]]="N/A",IF(Table1[[#This Row],[Std Adj Read]]&lt;Table1[[#This Row],[High Tol]],"Pass","Fail"),IF(Table1[[#This Row],[DUT Adj Read]]&lt;Table1[[#This Row],[High Tol]],"Pass","Fail")))</f>
        <v>Fail</v>
      </c>
      <c r="AF158" s="1" t="str">
        <f>IF(AND(Table1[[#This Row],[Spec Type2]]="N/A",Table1[[#This Row],[DUT Adj Read]]="N/A",Table1[[#This Row],[Std Adj Read]]="N/A"),"N/A",IF(Table1[[#This Row],[DUT Adj Read]]="N/A",IF(Table1[[#This Row],[Std Adj Read]]&gt;=Table1[[#This Row],[Low Tol]],"Pass","Fail"),IF(Table1[[#This Row],[DUT Adj Read]]&gt;=Table1[[#This Row],[Low Tol]],"Pass","Fail")))</f>
        <v>Pass</v>
      </c>
      <c r="AG158" s="1" t="str">
        <f>IF(AND(Table1[[#This Row],[Spec Type2]]="N/A",Table1[[#This Row],[DUT Adj Read]]="N/A",Table1[[#This Row],[Std Adj Read]]="N/A"),"N/A",IF(Table1[[#This Row],[DUT Adj Read]]="N/A",IF(Table1[[#This Row],[Std Adj Read]]&lt;=Table1[[#This Row],[High Tol]],"Pass","Fail"),IF(Table1[[#This Row],[DUT Adj Read]]&lt;=Table1[[#This Row],[High Tol]],"Pass","Fail")))</f>
        <v>Fail</v>
      </c>
      <c r="AH1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 s="1" t="b">
        <v>0</v>
      </c>
      <c r="AN158" s="1" t="b">
        <v>0</v>
      </c>
      <c r="AO158" s="1" t="b">
        <v>0</v>
      </c>
    </row>
    <row r="159" spans="1:41" x14ac:dyDescent="0.25">
      <c r="A159" s="10"/>
      <c r="B159" s="10"/>
      <c r="C159" s="10"/>
      <c r="D159" s="10"/>
      <c r="E159" s="10"/>
      <c r="F159" s="10"/>
      <c r="G159" s="10"/>
      <c r="H159" s="10"/>
      <c r="I159" s="1" t="str">
        <f t="shared" si="6"/>
        <v/>
      </c>
      <c r="J159" s="1" t="s">
        <v>35</v>
      </c>
      <c r="K159" s="1" t="str">
        <f t="shared" si="7"/>
        <v/>
      </c>
      <c r="L159" s="1" t="str">
        <f t="shared" si="8"/>
        <v/>
      </c>
      <c r="M159" s="1">
        <f>IF(OR(Table1[[#This Row],[Std Nom]]="",Table1[[#This Row],[Std Read]]=""),0,Table1[[#This Row],[Std Nom]]-Table1[[#This Row],[Std Read]])</f>
        <v>0</v>
      </c>
      <c r="N159" s="1">
        <f>IF(Calculations!$F$5="ACCREDITED 17025 WITH UNCERTAINTIES",$N$10,0)</f>
        <v>0</v>
      </c>
      <c r="O159" s="1" t="str">
        <f>IFERROR(Table1[[#This Row],[Std Nom]]-(_xlfn.XLOOKUP(Table1[[#This Row],[Manufacturer]]&amp;" "&amp;Table1[[#This Row],[Model]],Table13[MFR &amp; MDL],Table13[Tolerance % CW ],"")/100*Table1[[#This Row],[Std Nom]]),"")</f>
        <v/>
      </c>
      <c r="P159" s="1" t="str">
        <f>IFERROR(Table1[[#This Row],[Std Nom]]+(_xlfn.XLOOKUP(Table1[[#This Row],[Manufacturer]]&amp;" "&amp;Table1[[#This Row],[Model]],Table13[MFR &amp; MDL],Table13[Tolerance % CW ],"")/100*Table1[[#This Row],[Std Nom]]),"")</f>
        <v/>
      </c>
      <c r="Q159" s="1" t="e">
        <f>Table1[[#This Row],[High Tol]]-Table1[[#This Row],[Low Tol]]</f>
        <v>#VALUE!</v>
      </c>
      <c r="R159" s="1">
        <f>2*Table1[[#This Row],[Std Error]]</f>
        <v>0</v>
      </c>
      <c r="S159" s="1" t="str">
        <f>IF(Table1[[#This Row],[High Tol]]="","N/A",IFERROR(ABS(Table1[[#This Row],[Tol Span]]/Table1[[#This Row],[Error Span]]),"N/A"))</f>
        <v>N/A</v>
      </c>
      <c r="T159" s="1" t="str">
        <f>IF(OR(Table1[[#This Row],[Low Tol]]="",Table1[[#This Row],[High Tol]]=""),"Needs Analysis",IF(Table1[[#This Row],[Ratio]]&gt;=4,"Not Significant",IF(Table1[[#This Row],[Ratio]]&gt;=2,"Semi-Significant","Significant")))</f>
        <v>Needs Analysis</v>
      </c>
      <c r="W159" s="1">
        <f>IF(Table1[[#This Row],[Cal Type]]&lt;&gt;"ACCREDITED 17025 WITH UNCERTAINTIES",0,"")</f>
        <v>0</v>
      </c>
      <c r="X159" s="1" t="str">
        <f>IF(Table1[[#This Row],[DUT Read]]="","N/A",Table1[[#This Row],[Std Error]]+Table1[[#This Row],[DUT Read]]+Table1[[#This Row],[DUT Ucty]])</f>
        <v>N/A</v>
      </c>
      <c r="Y159" s="1" t="str">
        <f>IF(Table1[[#This Row],[Std Read]]="","N/A",Table1[[#This Row],[Std Read]]+Table1[[#This Row],[Std Ucty]])</f>
        <v>N/A</v>
      </c>
      <c r="Z1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 s="1" t="str">
        <f>IF(Table1[[#This Row],[Spec Type]]="","N/A",Table1[[#This Row],[Spec Type]])</f>
        <v>±</v>
      </c>
      <c r="AC159" s="1" t="str">
        <f>IF(Table1[[#This Row],[Spec Type2]]="N/A","N/A",IF(AND(Table1[[#This Row],[DUT Adj Read]]&gt;=Table1[[#This Row],[Low Tol]],Table1[[#This Row],[DUT Adj Read]]&lt;=Table1[[#This Row],[High Tol]]),"Pass","Fail"))</f>
        <v>Fail</v>
      </c>
      <c r="AD159" s="1" t="str">
        <f>IF(AND(Table1[[#This Row],[Spec Type2]]="N/A",Table1[[#This Row],[DUT Adj Read]]="N/A",Table1[[#This Row],[Std Adj Read]]="N/A"),"N/A",IF(Table1[[#This Row],[DUT Adj Read]]="N/A",IF(Table1[[#This Row],[Std Adj Read]]&gt;Table1[[#This Row],[Low Tol]],"Pass","Fail"),IF(Table1[[#This Row],[DUT Adj Read]]&gt;Table1[[#This Row],[Low Tol]],"Pass","Fail")))</f>
        <v>Pass</v>
      </c>
      <c r="AE159" s="1" t="str">
        <f>IF(AND(Table1[[#This Row],[Spec Type2]]="N/A",Table1[[#This Row],[DUT Adj Read]]="N/A",Table1[[#This Row],[Std Adj Read]]="N/A"),"N/A",IF(Table1[[#This Row],[DUT Adj Read]]="N/A",IF(Table1[[#This Row],[Std Adj Read]]&lt;Table1[[#This Row],[High Tol]],"Pass","Fail"),IF(Table1[[#This Row],[DUT Adj Read]]&lt;Table1[[#This Row],[High Tol]],"Pass","Fail")))</f>
        <v>Fail</v>
      </c>
      <c r="AF159" s="1" t="str">
        <f>IF(AND(Table1[[#This Row],[Spec Type2]]="N/A",Table1[[#This Row],[DUT Adj Read]]="N/A",Table1[[#This Row],[Std Adj Read]]="N/A"),"N/A",IF(Table1[[#This Row],[DUT Adj Read]]="N/A",IF(Table1[[#This Row],[Std Adj Read]]&gt;=Table1[[#This Row],[Low Tol]],"Pass","Fail"),IF(Table1[[#This Row],[DUT Adj Read]]&gt;=Table1[[#This Row],[Low Tol]],"Pass","Fail")))</f>
        <v>Pass</v>
      </c>
      <c r="AG159" s="1" t="str">
        <f>IF(AND(Table1[[#This Row],[Spec Type2]]="N/A",Table1[[#This Row],[DUT Adj Read]]="N/A",Table1[[#This Row],[Std Adj Read]]="N/A"),"N/A",IF(Table1[[#This Row],[DUT Adj Read]]="N/A",IF(Table1[[#This Row],[Std Adj Read]]&lt;=Table1[[#This Row],[High Tol]],"Pass","Fail"),IF(Table1[[#This Row],[DUT Adj Read]]&lt;=Table1[[#This Row],[High Tol]],"Pass","Fail")))</f>
        <v>Fail</v>
      </c>
      <c r="AH1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 s="1" t="b">
        <v>0</v>
      </c>
      <c r="AN159" s="1" t="b">
        <v>0</v>
      </c>
      <c r="AO159" s="1" t="b">
        <v>0</v>
      </c>
    </row>
    <row r="160" spans="1:41" x14ac:dyDescent="0.25">
      <c r="A160" s="10"/>
      <c r="B160" s="10"/>
      <c r="C160" s="10"/>
      <c r="D160" s="10"/>
      <c r="E160" s="10"/>
      <c r="F160" s="10"/>
      <c r="G160" s="10"/>
      <c r="H160" s="10"/>
      <c r="I160" s="1" t="str">
        <f t="shared" si="6"/>
        <v/>
      </c>
      <c r="J160" s="1" t="s">
        <v>35</v>
      </c>
      <c r="K160" s="1" t="str">
        <f t="shared" si="7"/>
        <v/>
      </c>
      <c r="L160" s="1" t="str">
        <f t="shared" si="8"/>
        <v/>
      </c>
      <c r="M160" s="1">
        <f>IF(OR(Table1[[#This Row],[Std Nom]]="",Table1[[#This Row],[Std Read]]=""),0,Table1[[#This Row],[Std Nom]]-Table1[[#This Row],[Std Read]])</f>
        <v>0</v>
      </c>
      <c r="N160" s="1">
        <f>IF(Calculations!$F$5="ACCREDITED 17025 WITH UNCERTAINTIES",$N$10,0)</f>
        <v>0</v>
      </c>
      <c r="O160" s="1" t="str">
        <f>IFERROR(Table1[[#This Row],[Std Nom]]-(_xlfn.XLOOKUP(Table1[[#This Row],[Manufacturer]]&amp;" "&amp;Table1[[#This Row],[Model]],Table13[MFR &amp; MDL],Table13[Tolerance % CW ],"")/100*Table1[[#This Row],[Std Nom]]),"")</f>
        <v/>
      </c>
      <c r="P160" s="1" t="str">
        <f>IFERROR(Table1[[#This Row],[Std Nom]]+(_xlfn.XLOOKUP(Table1[[#This Row],[Manufacturer]]&amp;" "&amp;Table1[[#This Row],[Model]],Table13[MFR &amp; MDL],Table13[Tolerance % CW ],"")/100*Table1[[#This Row],[Std Nom]]),"")</f>
        <v/>
      </c>
      <c r="Q160" s="1" t="e">
        <f>Table1[[#This Row],[High Tol]]-Table1[[#This Row],[Low Tol]]</f>
        <v>#VALUE!</v>
      </c>
      <c r="R160" s="1">
        <f>2*Table1[[#This Row],[Std Error]]</f>
        <v>0</v>
      </c>
      <c r="S160" s="1" t="str">
        <f>IF(Table1[[#This Row],[High Tol]]="","N/A",IFERROR(ABS(Table1[[#This Row],[Tol Span]]/Table1[[#This Row],[Error Span]]),"N/A"))</f>
        <v>N/A</v>
      </c>
      <c r="T160" s="1" t="str">
        <f>IF(OR(Table1[[#This Row],[Low Tol]]="",Table1[[#This Row],[High Tol]]=""),"Needs Analysis",IF(Table1[[#This Row],[Ratio]]&gt;=4,"Not Significant",IF(Table1[[#This Row],[Ratio]]&gt;=2,"Semi-Significant","Significant")))</f>
        <v>Needs Analysis</v>
      </c>
      <c r="W160" s="1">
        <f>IF(Table1[[#This Row],[Cal Type]]&lt;&gt;"ACCREDITED 17025 WITH UNCERTAINTIES",0,"")</f>
        <v>0</v>
      </c>
      <c r="X160" s="1" t="str">
        <f>IF(Table1[[#This Row],[DUT Read]]="","N/A",Table1[[#This Row],[Std Error]]+Table1[[#This Row],[DUT Read]]+Table1[[#This Row],[DUT Ucty]])</f>
        <v>N/A</v>
      </c>
      <c r="Y160" s="1" t="str">
        <f>IF(Table1[[#This Row],[Std Read]]="","N/A",Table1[[#This Row],[Std Read]]+Table1[[#This Row],[Std Ucty]])</f>
        <v>N/A</v>
      </c>
      <c r="Z1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 s="1" t="str">
        <f>IF(Table1[[#This Row],[Spec Type]]="","N/A",Table1[[#This Row],[Spec Type]])</f>
        <v>±</v>
      </c>
      <c r="AC160" s="1" t="str">
        <f>IF(Table1[[#This Row],[Spec Type2]]="N/A","N/A",IF(AND(Table1[[#This Row],[DUT Adj Read]]&gt;=Table1[[#This Row],[Low Tol]],Table1[[#This Row],[DUT Adj Read]]&lt;=Table1[[#This Row],[High Tol]]),"Pass","Fail"))</f>
        <v>Fail</v>
      </c>
      <c r="AD160" s="1" t="str">
        <f>IF(AND(Table1[[#This Row],[Spec Type2]]="N/A",Table1[[#This Row],[DUT Adj Read]]="N/A",Table1[[#This Row],[Std Adj Read]]="N/A"),"N/A",IF(Table1[[#This Row],[DUT Adj Read]]="N/A",IF(Table1[[#This Row],[Std Adj Read]]&gt;Table1[[#This Row],[Low Tol]],"Pass","Fail"),IF(Table1[[#This Row],[DUT Adj Read]]&gt;Table1[[#This Row],[Low Tol]],"Pass","Fail")))</f>
        <v>Pass</v>
      </c>
      <c r="AE160" s="1" t="str">
        <f>IF(AND(Table1[[#This Row],[Spec Type2]]="N/A",Table1[[#This Row],[DUT Adj Read]]="N/A",Table1[[#This Row],[Std Adj Read]]="N/A"),"N/A",IF(Table1[[#This Row],[DUT Adj Read]]="N/A",IF(Table1[[#This Row],[Std Adj Read]]&lt;Table1[[#This Row],[High Tol]],"Pass","Fail"),IF(Table1[[#This Row],[DUT Adj Read]]&lt;Table1[[#This Row],[High Tol]],"Pass","Fail")))</f>
        <v>Fail</v>
      </c>
      <c r="AF160" s="1" t="str">
        <f>IF(AND(Table1[[#This Row],[Spec Type2]]="N/A",Table1[[#This Row],[DUT Adj Read]]="N/A",Table1[[#This Row],[Std Adj Read]]="N/A"),"N/A",IF(Table1[[#This Row],[DUT Adj Read]]="N/A",IF(Table1[[#This Row],[Std Adj Read]]&gt;=Table1[[#This Row],[Low Tol]],"Pass","Fail"),IF(Table1[[#This Row],[DUT Adj Read]]&gt;=Table1[[#This Row],[Low Tol]],"Pass","Fail")))</f>
        <v>Pass</v>
      </c>
      <c r="AG160" s="1" t="str">
        <f>IF(AND(Table1[[#This Row],[Spec Type2]]="N/A",Table1[[#This Row],[DUT Adj Read]]="N/A",Table1[[#This Row],[Std Adj Read]]="N/A"),"N/A",IF(Table1[[#This Row],[DUT Adj Read]]="N/A",IF(Table1[[#This Row],[Std Adj Read]]&lt;=Table1[[#This Row],[High Tol]],"Pass","Fail"),IF(Table1[[#This Row],[DUT Adj Read]]&lt;=Table1[[#This Row],[High Tol]],"Pass","Fail")))</f>
        <v>Fail</v>
      </c>
      <c r="AH1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 s="1" t="b">
        <v>0</v>
      </c>
      <c r="AN160" s="1" t="b">
        <v>0</v>
      </c>
      <c r="AO160" s="1" t="b">
        <v>0</v>
      </c>
    </row>
    <row r="161" spans="1:41" x14ac:dyDescent="0.25">
      <c r="A161" s="10"/>
      <c r="B161" s="10"/>
      <c r="C161" s="10"/>
      <c r="D161" s="10"/>
      <c r="E161" s="10"/>
      <c r="F161" s="10"/>
      <c r="G161" s="10"/>
      <c r="H161" s="10"/>
      <c r="I161" s="1" t="str">
        <f t="shared" si="6"/>
        <v/>
      </c>
      <c r="J161" s="1" t="s">
        <v>35</v>
      </c>
      <c r="K161" s="1" t="str">
        <f t="shared" si="7"/>
        <v/>
      </c>
      <c r="L161" s="1" t="str">
        <f t="shared" si="8"/>
        <v/>
      </c>
      <c r="M161" s="1">
        <f>IF(OR(Table1[[#This Row],[Std Nom]]="",Table1[[#This Row],[Std Read]]=""),0,Table1[[#This Row],[Std Nom]]-Table1[[#This Row],[Std Read]])</f>
        <v>0</v>
      </c>
      <c r="N161" s="1">
        <f>IF(Calculations!$F$5="ACCREDITED 17025 WITH UNCERTAINTIES",$N$10,0)</f>
        <v>0</v>
      </c>
      <c r="O161" s="1" t="str">
        <f>IFERROR(Table1[[#This Row],[Std Nom]]-(_xlfn.XLOOKUP(Table1[[#This Row],[Manufacturer]]&amp;" "&amp;Table1[[#This Row],[Model]],Table13[MFR &amp; MDL],Table13[Tolerance % CW ],"")/100*Table1[[#This Row],[Std Nom]]),"")</f>
        <v/>
      </c>
      <c r="P161" s="1" t="str">
        <f>IFERROR(Table1[[#This Row],[Std Nom]]+(_xlfn.XLOOKUP(Table1[[#This Row],[Manufacturer]]&amp;" "&amp;Table1[[#This Row],[Model]],Table13[MFR &amp; MDL],Table13[Tolerance % CW ],"")/100*Table1[[#This Row],[Std Nom]]),"")</f>
        <v/>
      </c>
      <c r="Q161" s="1" t="e">
        <f>Table1[[#This Row],[High Tol]]-Table1[[#This Row],[Low Tol]]</f>
        <v>#VALUE!</v>
      </c>
      <c r="R161" s="1">
        <f>2*Table1[[#This Row],[Std Error]]</f>
        <v>0</v>
      </c>
      <c r="S161" s="1" t="str">
        <f>IF(Table1[[#This Row],[High Tol]]="","N/A",IFERROR(ABS(Table1[[#This Row],[Tol Span]]/Table1[[#This Row],[Error Span]]),"N/A"))</f>
        <v>N/A</v>
      </c>
      <c r="T161" s="1" t="str">
        <f>IF(OR(Table1[[#This Row],[Low Tol]]="",Table1[[#This Row],[High Tol]]=""),"Needs Analysis",IF(Table1[[#This Row],[Ratio]]&gt;=4,"Not Significant",IF(Table1[[#This Row],[Ratio]]&gt;=2,"Semi-Significant","Significant")))</f>
        <v>Needs Analysis</v>
      </c>
      <c r="W161" s="1">
        <f>IF(Table1[[#This Row],[Cal Type]]&lt;&gt;"ACCREDITED 17025 WITH UNCERTAINTIES",0,"")</f>
        <v>0</v>
      </c>
      <c r="X161" s="1" t="str">
        <f>IF(Table1[[#This Row],[DUT Read]]="","N/A",Table1[[#This Row],[Std Error]]+Table1[[#This Row],[DUT Read]]+Table1[[#This Row],[DUT Ucty]])</f>
        <v>N/A</v>
      </c>
      <c r="Y161" s="1" t="str">
        <f>IF(Table1[[#This Row],[Std Read]]="","N/A",Table1[[#This Row],[Std Read]]+Table1[[#This Row],[Std Ucty]])</f>
        <v>N/A</v>
      </c>
      <c r="Z1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 s="1" t="str">
        <f>IF(Table1[[#This Row],[Spec Type]]="","N/A",Table1[[#This Row],[Spec Type]])</f>
        <v>±</v>
      </c>
      <c r="AC161" s="1" t="str">
        <f>IF(Table1[[#This Row],[Spec Type2]]="N/A","N/A",IF(AND(Table1[[#This Row],[DUT Adj Read]]&gt;=Table1[[#This Row],[Low Tol]],Table1[[#This Row],[DUT Adj Read]]&lt;=Table1[[#This Row],[High Tol]]),"Pass","Fail"))</f>
        <v>Fail</v>
      </c>
      <c r="AD161" s="1" t="str">
        <f>IF(AND(Table1[[#This Row],[Spec Type2]]="N/A",Table1[[#This Row],[DUT Adj Read]]="N/A",Table1[[#This Row],[Std Adj Read]]="N/A"),"N/A",IF(Table1[[#This Row],[DUT Adj Read]]="N/A",IF(Table1[[#This Row],[Std Adj Read]]&gt;Table1[[#This Row],[Low Tol]],"Pass","Fail"),IF(Table1[[#This Row],[DUT Adj Read]]&gt;Table1[[#This Row],[Low Tol]],"Pass","Fail")))</f>
        <v>Pass</v>
      </c>
      <c r="AE161" s="1" t="str">
        <f>IF(AND(Table1[[#This Row],[Spec Type2]]="N/A",Table1[[#This Row],[DUT Adj Read]]="N/A",Table1[[#This Row],[Std Adj Read]]="N/A"),"N/A",IF(Table1[[#This Row],[DUT Adj Read]]="N/A",IF(Table1[[#This Row],[Std Adj Read]]&lt;Table1[[#This Row],[High Tol]],"Pass","Fail"),IF(Table1[[#This Row],[DUT Adj Read]]&lt;Table1[[#This Row],[High Tol]],"Pass","Fail")))</f>
        <v>Fail</v>
      </c>
      <c r="AF161" s="1" t="str">
        <f>IF(AND(Table1[[#This Row],[Spec Type2]]="N/A",Table1[[#This Row],[DUT Adj Read]]="N/A",Table1[[#This Row],[Std Adj Read]]="N/A"),"N/A",IF(Table1[[#This Row],[DUT Adj Read]]="N/A",IF(Table1[[#This Row],[Std Adj Read]]&gt;=Table1[[#This Row],[Low Tol]],"Pass","Fail"),IF(Table1[[#This Row],[DUT Adj Read]]&gt;=Table1[[#This Row],[Low Tol]],"Pass","Fail")))</f>
        <v>Pass</v>
      </c>
      <c r="AG161" s="1" t="str">
        <f>IF(AND(Table1[[#This Row],[Spec Type2]]="N/A",Table1[[#This Row],[DUT Adj Read]]="N/A",Table1[[#This Row],[Std Adj Read]]="N/A"),"N/A",IF(Table1[[#This Row],[DUT Adj Read]]="N/A",IF(Table1[[#This Row],[Std Adj Read]]&lt;=Table1[[#This Row],[High Tol]],"Pass","Fail"),IF(Table1[[#This Row],[DUT Adj Read]]&lt;=Table1[[#This Row],[High Tol]],"Pass","Fail")))</f>
        <v>Fail</v>
      </c>
      <c r="AH1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 s="1" t="b">
        <v>0</v>
      </c>
      <c r="AN161" s="1" t="b">
        <v>0</v>
      </c>
      <c r="AO161" s="1" t="b">
        <v>0</v>
      </c>
    </row>
    <row r="162" spans="1:41" x14ac:dyDescent="0.25">
      <c r="A162" s="10"/>
      <c r="B162" s="10"/>
      <c r="C162" s="10"/>
      <c r="D162" s="10"/>
      <c r="E162" s="10"/>
      <c r="F162" s="10"/>
      <c r="G162" s="10"/>
      <c r="H162" s="10"/>
      <c r="I162" s="1" t="str">
        <f t="shared" si="6"/>
        <v/>
      </c>
      <c r="J162" s="1" t="s">
        <v>35</v>
      </c>
      <c r="K162" s="1" t="str">
        <f t="shared" si="7"/>
        <v/>
      </c>
      <c r="L162" s="1" t="str">
        <f t="shared" si="8"/>
        <v/>
      </c>
      <c r="M162" s="1">
        <f>IF(OR(Table1[[#This Row],[Std Nom]]="",Table1[[#This Row],[Std Read]]=""),0,Table1[[#This Row],[Std Nom]]-Table1[[#This Row],[Std Read]])</f>
        <v>0</v>
      </c>
      <c r="N162" s="1">
        <f>IF(Calculations!$F$5="ACCREDITED 17025 WITH UNCERTAINTIES",$N$10,0)</f>
        <v>0</v>
      </c>
      <c r="O162" s="1" t="str">
        <f>IFERROR(Table1[[#This Row],[Std Nom]]-(_xlfn.XLOOKUP(Table1[[#This Row],[Manufacturer]]&amp;" "&amp;Table1[[#This Row],[Model]],Table13[MFR &amp; MDL],Table13[Tolerance % CW ],"")/100*Table1[[#This Row],[Std Nom]]),"")</f>
        <v/>
      </c>
      <c r="P162" s="1" t="str">
        <f>IFERROR(Table1[[#This Row],[Std Nom]]+(_xlfn.XLOOKUP(Table1[[#This Row],[Manufacturer]]&amp;" "&amp;Table1[[#This Row],[Model]],Table13[MFR &amp; MDL],Table13[Tolerance % CW ],"")/100*Table1[[#This Row],[Std Nom]]),"")</f>
        <v/>
      </c>
      <c r="Q162" s="1" t="e">
        <f>Table1[[#This Row],[High Tol]]-Table1[[#This Row],[Low Tol]]</f>
        <v>#VALUE!</v>
      </c>
      <c r="R162" s="1">
        <f>2*Table1[[#This Row],[Std Error]]</f>
        <v>0</v>
      </c>
      <c r="S162" s="1" t="str">
        <f>IF(Table1[[#This Row],[High Tol]]="","N/A",IFERROR(ABS(Table1[[#This Row],[Tol Span]]/Table1[[#This Row],[Error Span]]),"N/A"))</f>
        <v>N/A</v>
      </c>
      <c r="T162" s="1" t="str">
        <f>IF(OR(Table1[[#This Row],[Low Tol]]="",Table1[[#This Row],[High Tol]]=""),"Needs Analysis",IF(Table1[[#This Row],[Ratio]]&gt;=4,"Not Significant",IF(Table1[[#This Row],[Ratio]]&gt;=2,"Semi-Significant","Significant")))</f>
        <v>Needs Analysis</v>
      </c>
      <c r="W162" s="1">
        <f>IF(Table1[[#This Row],[Cal Type]]&lt;&gt;"ACCREDITED 17025 WITH UNCERTAINTIES",0,"")</f>
        <v>0</v>
      </c>
      <c r="X162" s="1" t="str">
        <f>IF(Table1[[#This Row],[DUT Read]]="","N/A",Table1[[#This Row],[Std Error]]+Table1[[#This Row],[DUT Read]]+Table1[[#This Row],[DUT Ucty]])</f>
        <v>N/A</v>
      </c>
      <c r="Y162" s="1" t="str">
        <f>IF(Table1[[#This Row],[Std Read]]="","N/A",Table1[[#This Row],[Std Read]]+Table1[[#This Row],[Std Ucty]])</f>
        <v>N/A</v>
      </c>
      <c r="Z1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 s="1" t="str">
        <f>IF(Table1[[#This Row],[Spec Type]]="","N/A",Table1[[#This Row],[Spec Type]])</f>
        <v>±</v>
      </c>
      <c r="AC162" s="1" t="str">
        <f>IF(Table1[[#This Row],[Spec Type2]]="N/A","N/A",IF(AND(Table1[[#This Row],[DUT Adj Read]]&gt;=Table1[[#This Row],[Low Tol]],Table1[[#This Row],[DUT Adj Read]]&lt;=Table1[[#This Row],[High Tol]]),"Pass","Fail"))</f>
        <v>Fail</v>
      </c>
      <c r="AD162" s="1" t="str">
        <f>IF(AND(Table1[[#This Row],[Spec Type2]]="N/A",Table1[[#This Row],[DUT Adj Read]]="N/A",Table1[[#This Row],[Std Adj Read]]="N/A"),"N/A",IF(Table1[[#This Row],[DUT Adj Read]]="N/A",IF(Table1[[#This Row],[Std Adj Read]]&gt;Table1[[#This Row],[Low Tol]],"Pass","Fail"),IF(Table1[[#This Row],[DUT Adj Read]]&gt;Table1[[#This Row],[Low Tol]],"Pass","Fail")))</f>
        <v>Pass</v>
      </c>
      <c r="AE162" s="1" t="str">
        <f>IF(AND(Table1[[#This Row],[Spec Type2]]="N/A",Table1[[#This Row],[DUT Adj Read]]="N/A",Table1[[#This Row],[Std Adj Read]]="N/A"),"N/A",IF(Table1[[#This Row],[DUT Adj Read]]="N/A",IF(Table1[[#This Row],[Std Adj Read]]&lt;Table1[[#This Row],[High Tol]],"Pass","Fail"),IF(Table1[[#This Row],[DUT Adj Read]]&lt;Table1[[#This Row],[High Tol]],"Pass","Fail")))</f>
        <v>Fail</v>
      </c>
      <c r="AF162" s="1" t="str">
        <f>IF(AND(Table1[[#This Row],[Spec Type2]]="N/A",Table1[[#This Row],[DUT Adj Read]]="N/A",Table1[[#This Row],[Std Adj Read]]="N/A"),"N/A",IF(Table1[[#This Row],[DUT Adj Read]]="N/A",IF(Table1[[#This Row],[Std Adj Read]]&gt;=Table1[[#This Row],[Low Tol]],"Pass","Fail"),IF(Table1[[#This Row],[DUT Adj Read]]&gt;=Table1[[#This Row],[Low Tol]],"Pass","Fail")))</f>
        <v>Pass</v>
      </c>
      <c r="AG162" s="1" t="str">
        <f>IF(AND(Table1[[#This Row],[Spec Type2]]="N/A",Table1[[#This Row],[DUT Adj Read]]="N/A",Table1[[#This Row],[Std Adj Read]]="N/A"),"N/A",IF(Table1[[#This Row],[DUT Adj Read]]="N/A",IF(Table1[[#This Row],[Std Adj Read]]&lt;=Table1[[#This Row],[High Tol]],"Pass","Fail"),IF(Table1[[#This Row],[DUT Adj Read]]&lt;=Table1[[#This Row],[High Tol]],"Pass","Fail")))</f>
        <v>Fail</v>
      </c>
      <c r="AH1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 s="1" t="b">
        <v>0</v>
      </c>
      <c r="AN162" s="1" t="b">
        <v>0</v>
      </c>
      <c r="AO162" s="1" t="b">
        <v>0</v>
      </c>
    </row>
    <row r="163" spans="1:41" x14ac:dyDescent="0.25">
      <c r="A163" s="10"/>
      <c r="B163" s="10"/>
      <c r="C163" s="10"/>
      <c r="D163" s="10"/>
      <c r="E163" s="10"/>
      <c r="F163" s="10"/>
      <c r="G163" s="10"/>
      <c r="H163" s="10"/>
      <c r="I163" s="1" t="str">
        <f t="shared" si="6"/>
        <v/>
      </c>
      <c r="J163" s="1" t="s">
        <v>35</v>
      </c>
      <c r="K163" s="1" t="str">
        <f t="shared" si="7"/>
        <v/>
      </c>
      <c r="L163" s="1" t="str">
        <f t="shared" si="8"/>
        <v/>
      </c>
      <c r="M163" s="1">
        <f>IF(OR(Table1[[#This Row],[Std Nom]]="",Table1[[#This Row],[Std Read]]=""),0,Table1[[#This Row],[Std Nom]]-Table1[[#This Row],[Std Read]])</f>
        <v>0</v>
      </c>
      <c r="N163" s="1">
        <f>IF(Calculations!$F$5="ACCREDITED 17025 WITH UNCERTAINTIES",$N$10,0)</f>
        <v>0</v>
      </c>
      <c r="O163" s="1" t="str">
        <f>IFERROR(Table1[[#This Row],[Std Nom]]-(_xlfn.XLOOKUP(Table1[[#This Row],[Manufacturer]]&amp;" "&amp;Table1[[#This Row],[Model]],Table13[MFR &amp; MDL],Table13[Tolerance % CW ],"")/100*Table1[[#This Row],[Std Nom]]),"")</f>
        <v/>
      </c>
      <c r="P163" s="1" t="str">
        <f>IFERROR(Table1[[#This Row],[Std Nom]]+(_xlfn.XLOOKUP(Table1[[#This Row],[Manufacturer]]&amp;" "&amp;Table1[[#This Row],[Model]],Table13[MFR &amp; MDL],Table13[Tolerance % CW ],"")/100*Table1[[#This Row],[Std Nom]]),"")</f>
        <v/>
      </c>
      <c r="Q163" s="1" t="e">
        <f>Table1[[#This Row],[High Tol]]-Table1[[#This Row],[Low Tol]]</f>
        <v>#VALUE!</v>
      </c>
      <c r="R163" s="1">
        <f>2*Table1[[#This Row],[Std Error]]</f>
        <v>0</v>
      </c>
      <c r="S163" s="1" t="str">
        <f>IF(Table1[[#This Row],[High Tol]]="","N/A",IFERROR(ABS(Table1[[#This Row],[Tol Span]]/Table1[[#This Row],[Error Span]]),"N/A"))</f>
        <v>N/A</v>
      </c>
      <c r="T163" s="1" t="str">
        <f>IF(OR(Table1[[#This Row],[Low Tol]]="",Table1[[#This Row],[High Tol]]=""),"Needs Analysis",IF(Table1[[#This Row],[Ratio]]&gt;=4,"Not Significant",IF(Table1[[#This Row],[Ratio]]&gt;=2,"Semi-Significant","Significant")))</f>
        <v>Needs Analysis</v>
      </c>
      <c r="W163" s="1">
        <f>IF(Table1[[#This Row],[Cal Type]]&lt;&gt;"ACCREDITED 17025 WITH UNCERTAINTIES",0,"")</f>
        <v>0</v>
      </c>
      <c r="X163" s="1" t="str">
        <f>IF(Table1[[#This Row],[DUT Read]]="","N/A",Table1[[#This Row],[Std Error]]+Table1[[#This Row],[DUT Read]]+Table1[[#This Row],[DUT Ucty]])</f>
        <v>N/A</v>
      </c>
      <c r="Y163" s="1" t="str">
        <f>IF(Table1[[#This Row],[Std Read]]="","N/A",Table1[[#This Row],[Std Read]]+Table1[[#This Row],[Std Ucty]])</f>
        <v>N/A</v>
      </c>
      <c r="Z1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 s="1" t="str">
        <f>IF(Table1[[#This Row],[Spec Type]]="","N/A",Table1[[#This Row],[Spec Type]])</f>
        <v>±</v>
      </c>
      <c r="AC163" s="1" t="str">
        <f>IF(Table1[[#This Row],[Spec Type2]]="N/A","N/A",IF(AND(Table1[[#This Row],[DUT Adj Read]]&gt;=Table1[[#This Row],[Low Tol]],Table1[[#This Row],[DUT Adj Read]]&lt;=Table1[[#This Row],[High Tol]]),"Pass","Fail"))</f>
        <v>Fail</v>
      </c>
      <c r="AD163" s="1" t="str">
        <f>IF(AND(Table1[[#This Row],[Spec Type2]]="N/A",Table1[[#This Row],[DUT Adj Read]]="N/A",Table1[[#This Row],[Std Adj Read]]="N/A"),"N/A",IF(Table1[[#This Row],[DUT Adj Read]]="N/A",IF(Table1[[#This Row],[Std Adj Read]]&gt;Table1[[#This Row],[Low Tol]],"Pass","Fail"),IF(Table1[[#This Row],[DUT Adj Read]]&gt;Table1[[#This Row],[Low Tol]],"Pass","Fail")))</f>
        <v>Pass</v>
      </c>
      <c r="AE163" s="1" t="str">
        <f>IF(AND(Table1[[#This Row],[Spec Type2]]="N/A",Table1[[#This Row],[DUT Adj Read]]="N/A",Table1[[#This Row],[Std Adj Read]]="N/A"),"N/A",IF(Table1[[#This Row],[DUT Adj Read]]="N/A",IF(Table1[[#This Row],[Std Adj Read]]&lt;Table1[[#This Row],[High Tol]],"Pass","Fail"),IF(Table1[[#This Row],[DUT Adj Read]]&lt;Table1[[#This Row],[High Tol]],"Pass","Fail")))</f>
        <v>Fail</v>
      </c>
      <c r="AF163" s="1" t="str">
        <f>IF(AND(Table1[[#This Row],[Spec Type2]]="N/A",Table1[[#This Row],[DUT Adj Read]]="N/A",Table1[[#This Row],[Std Adj Read]]="N/A"),"N/A",IF(Table1[[#This Row],[DUT Adj Read]]="N/A",IF(Table1[[#This Row],[Std Adj Read]]&gt;=Table1[[#This Row],[Low Tol]],"Pass","Fail"),IF(Table1[[#This Row],[DUT Adj Read]]&gt;=Table1[[#This Row],[Low Tol]],"Pass","Fail")))</f>
        <v>Pass</v>
      </c>
      <c r="AG163" s="1" t="str">
        <f>IF(AND(Table1[[#This Row],[Spec Type2]]="N/A",Table1[[#This Row],[DUT Adj Read]]="N/A",Table1[[#This Row],[Std Adj Read]]="N/A"),"N/A",IF(Table1[[#This Row],[DUT Adj Read]]="N/A",IF(Table1[[#This Row],[Std Adj Read]]&lt;=Table1[[#This Row],[High Tol]],"Pass","Fail"),IF(Table1[[#This Row],[DUT Adj Read]]&lt;=Table1[[#This Row],[High Tol]],"Pass","Fail")))</f>
        <v>Fail</v>
      </c>
      <c r="AH1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 s="1" t="b">
        <v>0</v>
      </c>
      <c r="AN163" s="1" t="b">
        <v>0</v>
      </c>
      <c r="AO163" s="1" t="b">
        <v>0</v>
      </c>
    </row>
    <row r="164" spans="1:41" x14ac:dyDescent="0.25">
      <c r="A164" s="10"/>
      <c r="B164" s="10"/>
      <c r="C164" s="10"/>
      <c r="D164" s="10"/>
      <c r="E164" s="10"/>
      <c r="F164" s="10"/>
      <c r="G164" s="10"/>
      <c r="H164" s="10"/>
      <c r="I164" s="1" t="str">
        <f t="shared" si="6"/>
        <v/>
      </c>
      <c r="J164" s="1" t="s">
        <v>35</v>
      </c>
      <c r="K164" s="1" t="str">
        <f t="shared" si="7"/>
        <v/>
      </c>
      <c r="L164" s="1" t="str">
        <f t="shared" si="8"/>
        <v/>
      </c>
      <c r="M164" s="1">
        <f>IF(OR(Table1[[#This Row],[Std Nom]]="",Table1[[#This Row],[Std Read]]=""),0,Table1[[#This Row],[Std Nom]]-Table1[[#This Row],[Std Read]])</f>
        <v>0</v>
      </c>
      <c r="N164" s="1">
        <f>IF(Calculations!$F$5="ACCREDITED 17025 WITH UNCERTAINTIES",$N$10,0)</f>
        <v>0</v>
      </c>
      <c r="O164" s="1" t="str">
        <f>IFERROR(Table1[[#This Row],[Std Nom]]-(_xlfn.XLOOKUP(Table1[[#This Row],[Manufacturer]]&amp;" "&amp;Table1[[#This Row],[Model]],Table13[MFR &amp; MDL],Table13[Tolerance % CW ],"")/100*Table1[[#This Row],[Std Nom]]),"")</f>
        <v/>
      </c>
      <c r="P164" s="1" t="str">
        <f>IFERROR(Table1[[#This Row],[Std Nom]]+(_xlfn.XLOOKUP(Table1[[#This Row],[Manufacturer]]&amp;" "&amp;Table1[[#This Row],[Model]],Table13[MFR &amp; MDL],Table13[Tolerance % CW ],"")/100*Table1[[#This Row],[Std Nom]]),"")</f>
        <v/>
      </c>
      <c r="Q164" s="1" t="e">
        <f>Table1[[#This Row],[High Tol]]-Table1[[#This Row],[Low Tol]]</f>
        <v>#VALUE!</v>
      </c>
      <c r="R164" s="1">
        <f>2*Table1[[#This Row],[Std Error]]</f>
        <v>0</v>
      </c>
      <c r="S164" s="1" t="str">
        <f>IF(Table1[[#This Row],[High Tol]]="","N/A",IFERROR(ABS(Table1[[#This Row],[Tol Span]]/Table1[[#This Row],[Error Span]]),"N/A"))</f>
        <v>N/A</v>
      </c>
      <c r="T164" s="1" t="str">
        <f>IF(OR(Table1[[#This Row],[Low Tol]]="",Table1[[#This Row],[High Tol]]=""),"Needs Analysis",IF(Table1[[#This Row],[Ratio]]&gt;=4,"Not Significant",IF(Table1[[#This Row],[Ratio]]&gt;=2,"Semi-Significant","Significant")))</f>
        <v>Needs Analysis</v>
      </c>
      <c r="W164" s="1">
        <f>IF(Table1[[#This Row],[Cal Type]]&lt;&gt;"ACCREDITED 17025 WITH UNCERTAINTIES",0,"")</f>
        <v>0</v>
      </c>
      <c r="X164" s="1" t="str">
        <f>IF(Table1[[#This Row],[DUT Read]]="","N/A",Table1[[#This Row],[Std Error]]+Table1[[#This Row],[DUT Read]]+Table1[[#This Row],[DUT Ucty]])</f>
        <v>N/A</v>
      </c>
      <c r="Y164" s="1" t="str">
        <f>IF(Table1[[#This Row],[Std Read]]="","N/A",Table1[[#This Row],[Std Read]]+Table1[[#This Row],[Std Ucty]])</f>
        <v>N/A</v>
      </c>
      <c r="Z1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 s="1" t="str">
        <f>IF(Table1[[#This Row],[Spec Type]]="","N/A",Table1[[#This Row],[Spec Type]])</f>
        <v>±</v>
      </c>
      <c r="AC164" s="1" t="str">
        <f>IF(Table1[[#This Row],[Spec Type2]]="N/A","N/A",IF(AND(Table1[[#This Row],[DUT Adj Read]]&gt;=Table1[[#This Row],[Low Tol]],Table1[[#This Row],[DUT Adj Read]]&lt;=Table1[[#This Row],[High Tol]]),"Pass","Fail"))</f>
        <v>Fail</v>
      </c>
      <c r="AD164" s="1" t="str">
        <f>IF(AND(Table1[[#This Row],[Spec Type2]]="N/A",Table1[[#This Row],[DUT Adj Read]]="N/A",Table1[[#This Row],[Std Adj Read]]="N/A"),"N/A",IF(Table1[[#This Row],[DUT Adj Read]]="N/A",IF(Table1[[#This Row],[Std Adj Read]]&gt;Table1[[#This Row],[Low Tol]],"Pass","Fail"),IF(Table1[[#This Row],[DUT Adj Read]]&gt;Table1[[#This Row],[Low Tol]],"Pass","Fail")))</f>
        <v>Pass</v>
      </c>
      <c r="AE164" s="1" t="str">
        <f>IF(AND(Table1[[#This Row],[Spec Type2]]="N/A",Table1[[#This Row],[DUT Adj Read]]="N/A",Table1[[#This Row],[Std Adj Read]]="N/A"),"N/A",IF(Table1[[#This Row],[DUT Adj Read]]="N/A",IF(Table1[[#This Row],[Std Adj Read]]&lt;Table1[[#This Row],[High Tol]],"Pass","Fail"),IF(Table1[[#This Row],[DUT Adj Read]]&lt;Table1[[#This Row],[High Tol]],"Pass","Fail")))</f>
        <v>Fail</v>
      </c>
      <c r="AF164" s="1" t="str">
        <f>IF(AND(Table1[[#This Row],[Spec Type2]]="N/A",Table1[[#This Row],[DUT Adj Read]]="N/A",Table1[[#This Row],[Std Adj Read]]="N/A"),"N/A",IF(Table1[[#This Row],[DUT Adj Read]]="N/A",IF(Table1[[#This Row],[Std Adj Read]]&gt;=Table1[[#This Row],[Low Tol]],"Pass","Fail"),IF(Table1[[#This Row],[DUT Adj Read]]&gt;=Table1[[#This Row],[Low Tol]],"Pass","Fail")))</f>
        <v>Pass</v>
      </c>
      <c r="AG164" s="1" t="str">
        <f>IF(AND(Table1[[#This Row],[Spec Type2]]="N/A",Table1[[#This Row],[DUT Adj Read]]="N/A",Table1[[#This Row],[Std Adj Read]]="N/A"),"N/A",IF(Table1[[#This Row],[DUT Adj Read]]="N/A",IF(Table1[[#This Row],[Std Adj Read]]&lt;=Table1[[#This Row],[High Tol]],"Pass","Fail"),IF(Table1[[#This Row],[DUT Adj Read]]&lt;=Table1[[#This Row],[High Tol]],"Pass","Fail")))</f>
        <v>Fail</v>
      </c>
      <c r="AH1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 s="1" t="b">
        <v>0</v>
      </c>
      <c r="AN164" s="1" t="b">
        <v>0</v>
      </c>
      <c r="AO164" s="1" t="b">
        <v>0</v>
      </c>
    </row>
    <row r="165" spans="1:41" x14ac:dyDescent="0.25">
      <c r="A165" s="10"/>
      <c r="B165" s="10"/>
      <c r="C165" s="10"/>
      <c r="D165" s="10"/>
      <c r="E165" s="10"/>
      <c r="F165" s="10"/>
      <c r="G165" s="10"/>
      <c r="H165" s="10"/>
      <c r="I165" s="1" t="str">
        <f t="shared" si="6"/>
        <v/>
      </c>
      <c r="J165" s="1" t="s">
        <v>35</v>
      </c>
      <c r="K165" s="1" t="str">
        <f t="shared" si="7"/>
        <v/>
      </c>
      <c r="L165" s="1" t="str">
        <f t="shared" si="8"/>
        <v/>
      </c>
      <c r="M165" s="1">
        <f>IF(OR(Table1[[#This Row],[Std Nom]]="",Table1[[#This Row],[Std Read]]=""),0,Table1[[#This Row],[Std Nom]]-Table1[[#This Row],[Std Read]])</f>
        <v>0</v>
      </c>
      <c r="N165" s="1">
        <f>IF(Calculations!$F$5="ACCREDITED 17025 WITH UNCERTAINTIES",$N$10,0)</f>
        <v>0</v>
      </c>
      <c r="O165" s="1" t="str">
        <f>IFERROR(Table1[[#This Row],[Std Nom]]-(_xlfn.XLOOKUP(Table1[[#This Row],[Manufacturer]]&amp;" "&amp;Table1[[#This Row],[Model]],Table13[MFR &amp; MDL],Table13[Tolerance % CW ],"")/100*Table1[[#This Row],[Std Nom]]),"")</f>
        <v/>
      </c>
      <c r="P165" s="1" t="str">
        <f>IFERROR(Table1[[#This Row],[Std Nom]]+(_xlfn.XLOOKUP(Table1[[#This Row],[Manufacturer]]&amp;" "&amp;Table1[[#This Row],[Model]],Table13[MFR &amp; MDL],Table13[Tolerance % CW ],"")/100*Table1[[#This Row],[Std Nom]]),"")</f>
        <v/>
      </c>
      <c r="Q165" s="1" t="e">
        <f>Table1[[#This Row],[High Tol]]-Table1[[#This Row],[Low Tol]]</f>
        <v>#VALUE!</v>
      </c>
      <c r="R165" s="1">
        <f>2*Table1[[#This Row],[Std Error]]</f>
        <v>0</v>
      </c>
      <c r="S165" s="1" t="str">
        <f>IF(Table1[[#This Row],[High Tol]]="","N/A",IFERROR(ABS(Table1[[#This Row],[Tol Span]]/Table1[[#This Row],[Error Span]]),"N/A"))</f>
        <v>N/A</v>
      </c>
      <c r="T165" s="1" t="str">
        <f>IF(OR(Table1[[#This Row],[Low Tol]]="",Table1[[#This Row],[High Tol]]=""),"Needs Analysis",IF(Table1[[#This Row],[Ratio]]&gt;=4,"Not Significant",IF(Table1[[#This Row],[Ratio]]&gt;=2,"Semi-Significant","Significant")))</f>
        <v>Needs Analysis</v>
      </c>
      <c r="W165" s="1">
        <f>IF(Table1[[#This Row],[Cal Type]]&lt;&gt;"ACCREDITED 17025 WITH UNCERTAINTIES",0,"")</f>
        <v>0</v>
      </c>
      <c r="X165" s="1" t="str">
        <f>IF(Table1[[#This Row],[DUT Read]]="","N/A",Table1[[#This Row],[Std Error]]+Table1[[#This Row],[DUT Read]]+Table1[[#This Row],[DUT Ucty]])</f>
        <v>N/A</v>
      </c>
      <c r="Y165" s="1" t="str">
        <f>IF(Table1[[#This Row],[Std Read]]="","N/A",Table1[[#This Row],[Std Read]]+Table1[[#This Row],[Std Ucty]])</f>
        <v>N/A</v>
      </c>
      <c r="Z1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 s="1" t="str">
        <f>IF(Table1[[#This Row],[Spec Type]]="","N/A",Table1[[#This Row],[Spec Type]])</f>
        <v>±</v>
      </c>
      <c r="AC165" s="1" t="str">
        <f>IF(Table1[[#This Row],[Spec Type2]]="N/A","N/A",IF(AND(Table1[[#This Row],[DUT Adj Read]]&gt;=Table1[[#This Row],[Low Tol]],Table1[[#This Row],[DUT Adj Read]]&lt;=Table1[[#This Row],[High Tol]]),"Pass","Fail"))</f>
        <v>Fail</v>
      </c>
      <c r="AD165" s="1" t="str">
        <f>IF(AND(Table1[[#This Row],[Spec Type2]]="N/A",Table1[[#This Row],[DUT Adj Read]]="N/A",Table1[[#This Row],[Std Adj Read]]="N/A"),"N/A",IF(Table1[[#This Row],[DUT Adj Read]]="N/A",IF(Table1[[#This Row],[Std Adj Read]]&gt;Table1[[#This Row],[Low Tol]],"Pass","Fail"),IF(Table1[[#This Row],[DUT Adj Read]]&gt;Table1[[#This Row],[Low Tol]],"Pass","Fail")))</f>
        <v>Pass</v>
      </c>
      <c r="AE165" s="1" t="str">
        <f>IF(AND(Table1[[#This Row],[Spec Type2]]="N/A",Table1[[#This Row],[DUT Adj Read]]="N/A",Table1[[#This Row],[Std Adj Read]]="N/A"),"N/A",IF(Table1[[#This Row],[DUT Adj Read]]="N/A",IF(Table1[[#This Row],[Std Adj Read]]&lt;Table1[[#This Row],[High Tol]],"Pass","Fail"),IF(Table1[[#This Row],[DUT Adj Read]]&lt;Table1[[#This Row],[High Tol]],"Pass","Fail")))</f>
        <v>Fail</v>
      </c>
      <c r="AF165" s="1" t="str">
        <f>IF(AND(Table1[[#This Row],[Spec Type2]]="N/A",Table1[[#This Row],[DUT Adj Read]]="N/A",Table1[[#This Row],[Std Adj Read]]="N/A"),"N/A",IF(Table1[[#This Row],[DUT Adj Read]]="N/A",IF(Table1[[#This Row],[Std Adj Read]]&gt;=Table1[[#This Row],[Low Tol]],"Pass","Fail"),IF(Table1[[#This Row],[DUT Adj Read]]&gt;=Table1[[#This Row],[Low Tol]],"Pass","Fail")))</f>
        <v>Pass</v>
      </c>
      <c r="AG165" s="1" t="str">
        <f>IF(AND(Table1[[#This Row],[Spec Type2]]="N/A",Table1[[#This Row],[DUT Adj Read]]="N/A",Table1[[#This Row],[Std Adj Read]]="N/A"),"N/A",IF(Table1[[#This Row],[DUT Adj Read]]="N/A",IF(Table1[[#This Row],[Std Adj Read]]&lt;=Table1[[#This Row],[High Tol]],"Pass","Fail"),IF(Table1[[#This Row],[DUT Adj Read]]&lt;=Table1[[#This Row],[High Tol]],"Pass","Fail")))</f>
        <v>Fail</v>
      </c>
      <c r="AH1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 s="1" t="b">
        <v>0</v>
      </c>
      <c r="AN165" s="1" t="b">
        <v>0</v>
      </c>
      <c r="AO165" s="1" t="b">
        <v>0</v>
      </c>
    </row>
    <row r="166" spans="1:41" x14ac:dyDescent="0.25">
      <c r="A166" s="10"/>
      <c r="B166" s="10"/>
      <c r="C166" s="10"/>
      <c r="D166" s="10"/>
      <c r="E166" s="10"/>
      <c r="F166" s="10"/>
      <c r="G166" s="10"/>
      <c r="H166" s="10"/>
      <c r="I166" s="1" t="str">
        <f t="shared" si="6"/>
        <v/>
      </c>
      <c r="J166" s="1" t="s">
        <v>35</v>
      </c>
      <c r="K166" s="1" t="str">
        <f t="shared" si="7"/>
        <v/>
      </c>
      <c r="L166" s="1" t="str">
        <f t="shared" si="8"/>
        <v/>
      </c>
      <c r="M166" s="1">
        <f>IF(OR(Table1[[#This Row],[Std Nom]]="",Table1[[#This Row],[Std Read]]=""),0,Table1[[#This Row],[Std Nom]]-Table1[[#This Row],[Std Read]])</f>
        <v>0</v>
      </c>
      <c r="N166" s="1">
        <f>IF(Calculations!$F$5="ACCREDITED 17025 WITH UNCERTAINTIES",$N$10,0)</f>
        <v>0</v>
      </c>
      <c r="O166" s="1" t="str">
        <f>IFERROR(Table1[[#This Row],[Std Nom]]-(_xlfn.XLOOKUP(Table1[[#This Row],[Manufacturer]]&amp;" "&amp;Table1[[#This Row],[Model]],Table13[MFR &amp; MDL],Table13[Tolerance % CW ],"")/100*Table1[[#This Row],[Std Nom]]),"")</f>
        <v/>
      </c>
      <c r="P166" s="1" t="str">
        <f>IFERROR(Table1[[#This Row],[Std Nom]]+(_xlfn.XLOOKUP(Table1[[#This Row],[Manufacturer]]&amp;" "&amp;Table1[[#This Row],[Model]],Table13[MFR &amp; MDL],Table13[Tolerance % CW ],"")/100*Table1[[#This Row],[Std Nom]]),"")</f>
        <v/>
      </c>
      <c r="Q166" s="1" t="e">
        <f>Table1[[#This Row],[High Tol]]-Table1[[#This Row],[Low Tol]]</f>
        <v>#VALUE!</v>
      </c>
      <c r="R166" s="1">
        <f>2*Table1[[#This Row],[Std Error]]</f>
        <v>0</v>
      </c>
      <c r="S166" s="1" t="str">
        <f>IF(Table1[[#This Row],[High Tol]]="","N/A",IFERROR(ABS(Table1[[#This Row],[Tol Span]]/Table1[[#This Row],[Error Span]]),"N/A"))</f>
        <v>N/A</v>
      </c>
      <c r="T166" s="1" t="str">
        <f>IF(OR(Table1[[#This Row],[Low Tol]]="",Table1[[#This Row],[High Tol]]=""),"Needs Analysis",IF(Table1[[#This Row],[Ratio]]&gt;=4,"Not Significant",IF(Table1[[#This Row],[Ratio]]&gt;=2,"Semi-Significant","Significant")))</f>
        <v>Needs Analysis</v>
      </c>
      <c r="W166" s="1">
        <f>IF(Table1[[#This Row],[Cal Type]]&lt;&gt;"ACCREDITED 17025 WITH UNCERTAINTIES",0,"")</f>
        <v>0</v>
      </c>
      <c r="X166" s="1" t="str">
        <f>IF(Table1[[#This Row],[DUT Read]]="","N/A",Table1[[#This Row],[Std Error]]+Table1[[#This Row],[DUT Read]]+Table1[[#This Row],[DUT Ucty]])</f>
        <v>N/A</v>
      </c>
      <c r="Y166" s="1" t="str">
        <f>IF(Table1[[#This Row],[Std Read]]="","N/A",Table1[[#This Row],[Std Read]]+Table1[[#This Row],[Std Ucty]])</f>
        <v>N/A</v>
      </c>
      <c r="Z1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 s="1" t="str">
        <f>IF(Table1[[#This Row],[Spec Type]]="","N/A",Table1[[#This Row],[Spec Type]])</f>
        <v>±</v>
      </c>
      <c r="AC166" s="1" t="str">
        <f>IF(Table1[[#This Row],[Spec Type2]]="N/A","N/A",IF(AND(Table1[[#This Row],[DUT Adj Read]]&gt;=Table1[[#This Row],[Low Tol]],Table1[[#This Row],[DUT Adj Read]]&lt;=Table1[[#This Row],[High Tol]]),"Pass","Fail"))</f>
        <v>Fail</v>
      </c>
      <c r="AD166" s="1" t="str">
        <f>IF(AND(Table1[[#This Row],[Spec Type2]]="N/A",Table1[[#This Row],[DUT Adj Read]]="N/A",Table1[[#This Row],[Std Adj Read]]="N/A"),"N/A",IF(Table1[[#This Row],[DUT Adj Read]]="N/A",IF(Table1[[#This Row],[Std Adj Read]]&gt;Table1[[#This Row],[Low Tol]],"Pass","Fail"),IF(Table1[[#This Row],[DUT Adj Read]]&gt;Table1[[#This Row],[Low Tol]],"Pass","Fail")))</f>
        <v>Pass</v>
      </c>
      <c r="AE166" s="1" t="str">
        <f>IF(AND(Table1[[#This Row],[Spec Type2]]="N/A",Table1[[#This Row],[DUT Adj Read]]="N/A",Table1[[#This Row],[Std Adj Read]]="N/A"),"N/A",IF(Table1[[#This Row],[DUT Adj Read]]="N/A",IF(Table1[[#This Row],[Std Adj Read]]&lt;Table1[[#This Row],[High Tol]],"Pass","Fail"),IF(Table1[[#This Row],[DUT Adj Read]]&lt;Table1[[#This Row],[High Tol]],"Pass","Fail")))</f>
        <v>Fail</v>
      </c>
      <c r="AF166" s="1" t="str">
        <f>IF(AND(Table1[[#This Row],[Spec Type2]]="N/A",Table1[[#This Row],[DUT Adj Read]]="N/A",Table1[[#This Row],[Std Adj Read]]="N/A"),"N/A",IF(Table1[[#This Row],[DUT Adj Read]]="N/A",IF(Table1[[#This Row],[Std Adj Read]]&gt;=Table1[[#This Row],[Low Tol]],"Pass","Fail"),IF(Table1[[#This Row],[DUT Adj Read]]&gt;=Table1[[#This Row],[Low Tol]],"Pass","Fail")))</f>
        <v>Pass</v>
      </c>
      <c r="AG166" s="1" t="str">
        <f>IF(AND(Table1[[#This Row],[Spec Type2]]="N/A",Table1[[#This Row],[DUT Adj Read]]="N/A",Table1[[#This Row],[Std Adj Read]]="N/A"),"N/A",IF(Table1[[#This Row],[DUT Adj Read]]="N/A",IF(Table1[[#This Row],[Std Adj Read]]&lt;=Table1[[#This Row],[High Tol]],"Pass","Fail"),IF(Table1[[#This Row],[DUT Adj Read]]&lt;=Table1[[#This Row],[High Tol]],"Pass","Fail")))</f>
        <v>Fail</v>
      </c>
      <c r="AH1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 s="1" t="b">
        <v>0</v>
      </c>
      <c r="AN166" s="1" t="b">
        <v>0</v>
      </c>
      <c r="AO166" s="1" t="b">
        <v>0</v>
      </c>
    </row>
    <row r="167" spans="1:41" x14ac:dyDescent="0.25">
      <c r="A167" s="10"/>
      <c r="B167" s="10"/>
      <c r="C167" s="10"/>
      <c r="D167" s="10"/>
      <c r="E167" s="10"/>
      <c r="F167" s="10"/>
      <c r="G167" s="10"/>
      <c r="H167" s="10"/>
      <c r="I167" s="1" t="str">
        <f t="shared" si="6"/>
        <v/>
      </c>
      <c r="J167" s="1" t="s">
        <v>35</v>
      </c>
      <c r="K167" s="1" t="str">
        <f t="shared" si="7"/>
        <v/>
      </c>
      <c r="L167" s="1" t="str">
        <f t="shared" si="8"/>
        <v/>
      </c>
      <c r="M167" s="1">
        <f>IF(OR(Table1[[#This Row],[Std Nom]]="",Table1[[#This Row],[Std Read]]=""),0,Table1[[#This Row],[Std Nom]]-Table1[[#This Row],[Std Read]])</f>
        <v>0</v>
      </c>
      <c r="N167" s="1">
        <f>IF(Calculations!$F$5="ACCREDITED 17025 WITH UNCERTAINTIES",$N$10,0)</f>
        <v>0</v>
      </c>
      <c r="O167" s="1" t="str">
        <f>IFERROR(Table1[[#This Row],[Std Nom]]-(_xlfn.XLOOKUP(Table1[[#This Row],[Manufacturer]]&amp;" "&amp;Table1[[#This Row],[Model]],Table13[MFR &amp; MDL],Table13[Tolerance % CW ],"")/100*Table1[[#This Row],[Std Nom]]),"")</f>
        <v/>
      </c>
      <c r="P167" s="1" t="str">
        <f>IFERROR(Table1[[#This Row],[Std Nom]]+(_xlfn.XLOOKUP(Table1[[#This Row],[Manufacturer]]&amp;" "&amp;Table1[[#This Row],[Model]],Table13[MFR &amp; MDL],Table13[Tolerance % CW ],"")/100*Table1[[#This Row],[Std Nom]]),"")</f>
        <v/>
      </c>
      <c r="Q167" s="1" t="e">
        <f>Table1[[#This Row],[High Tol]]-Table1[[#This Row],[Low Tol]]</f>
        <v>#VALUE!</v>
      </c>
      <c r="R167" s="1">
        <f>2*Table1[[#This Row],[Std Error]]</f>
        <v>0</v>
      </c>
      <c r="S167" s="1" t="str">
        <f>IF(Table1[[#This Row],[High Tol]]="","N/A",IFERROR(ABS(Table1[[#This Row],[Tol Span]]/Table1[[#This Row],[Error Span]]),"N/A"))</f>
        <v>N/A</v>
      </c>
      <c r="T167" s="1" t="str">
        <f>IF(OR(Table1[[#This Row],[Low Tol]]="",Table1[[#This Row],[High Tol]]=""),"Needs Analysis",IF(Table1[[#This Row],[Ratio]]&gt;=4,"Not Significant",IF(Table1[[#This Row],[Ratio]]&gt;=2,"Semi-Significant","Significant")))</f>
        <v>Needs Analysis</v>
      </c>
      <c r="W167" s="1">
        <f>IF(Table1[[#This Row],[Cal Type]]&lt;&gt;"ACCREDITED 17025 WITH UNCERTAINTIES",0,"")</f>
        <v>0</v>
      </c>
      <c r="X167" s="1" t="str">
        <f>IF(Table1[[#This Row],[DUT Read]]="","N/A",Table1[[#This Row],[Std Error]]+Table1[[#This Row],[DUT Read]]+Table1[[#This Row],[DUT Ucty]])</f>
        <v>N/A</v>
      </c>
      <c r="Y167" s="1" t="str">
        <f>IF(Table1[[#This Row],[Std Read]]="","N/A",Table1[[#This Row],[Std Read]]+Table1[[#This Row],[Std Ucty]])</f>
        <v>N/A</v>
      </c>
      <c r="Z1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 s="1" t="str">
        <f>IF(Table1[[#This Row],[Spec Type]]="","N/A",Table1[[#This Row],[Spec Type]])</f>
        <v>±</v>
      </c>
      <c r="AC167" s="1" t="str">
        <f>IF(Table1[[#This Row],[Spec Type2]]="N/A","N/A",IF(AND(Table1[[#This Row],[DUT Adj Read]]&gt;=Table1[[#This Row],[Low Tol]],Table1[[#This Row],[DUT Adj Read]]&lt;=Table1[[#This Row],[High Tol]]),"Pass","Fail"))</f>
        <v>Fail</v>
      </c>
      <c r="AD167" s="1" t="str">
        <f>IF(AND(Table1[[#This Row],[Spec Type2]]="N/A",Table1[[#This Row],[DUT Adj Read]]="N/A",Table1[[#This Row],[Std Adj Read]]="N/A"),"N/A",IF(Table1[[#This Row],[DUT Adj Read]]="N/A",IF(Table1[[#This Row],[Std Adj Read]]&gt;Table1[[#This Row],[Low Tol]],"Pass","Fail"),IF(Table1[[#This Row],[DUT Adj Read]]&gt;Table1[[#This Row],[Low Tol]],"Pass","Fail")))</f>
        <v>Pass</v>
      </c>
      <c r="AE167" s="1" t="str">
        <f>IF(AND(Table1[[#This Row],[Spec Type2]]="N/A",Table1[[#This Row],[DUT Adj Read]]="N/A",Table1[[#This Row],[Std Adj Read]]="N/A"),"N/A",IF(Table1[[#This Row],[DUT Adj Read]]="N/A",IF(Table1[[#This Row],[Std Adj Read]]&lt;Table1[[#This Row],[High Tol]],"Pass","Fail"),IF(Table1[[#This Row],[DUT Adj Read]]&lt;Table1[[#This Row],[High Tol]],"Pass","Fail")))</f>
        <v>Fail</v>
      </c>
      <c r="AF167" s="1" t="str">
        <f>IF(AND(Table1[[#This Row],[Spec Type2]]="N/A",Table1[[#This Row],[DUT Adj Read]]="N/A",Table1[[#This Row],[Std Adj Read]]="N/A"),"N/A",IF(Table1[[#This Row],[DUT Adj Read]]="N/A",IF(Table1[[#This Row],[Std Adj Read]]&gt;=Table1[[#This Row],[Low Tol]],"Pass","Fail"),IF(Table1[[#This Row],[DUT Adj Read]]&gt;=Table1[[#This Row],[Low Tol]],"Pass","Fail")))</f>
        <v>Pass</v>
      </c>
      <c r="AG167" s="1" t="str">
        <f>IF(AND(Table1[[#This Row],[Spec Type2]]="N/A",Table1[[#This Row],[DUT Adj Read]]="N/A",Table1[[#This Row],[Std Adj Read]]="N/A"),"N/A",IF(Table1[[#This Row],[DUT Adj Read]]="N/A",IF(Table1[[#This Row],[Std Adj Read]]&lt;=Table1[[#This Row],[High Tol]],"Pass","Fail"),IF(Table1[[#This Row],[DUT Adj Read]]&lt;=Table1[[#This Row],[High Tol]],"Pass","Fail")))</f>
        <v>Fail</v>
      </c>
      <c r="AH1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 s="1" t="b">
        <v>0</v>
      </c>
      <c r="AN167" s="1" t="b">
        <v>0</v>
      </c>
      <c r="AO167" s="1" t="b">
        <v>0</v>
      </c>
    </row>
    <row r="168" spans="1:41" x14ac:dyDescent="0.25">
      <c r="A168" s="10"/>
      <c r="B168" s="10"/>
      <c r="C168" s="10"/>
      <c r="D168" s="10"/>
      <c r="E168" s="10"/>
      <c r="F168" s="10"/>
      <c r="G168" s="10"/>
      <c r="H168" s="10"/>
      <c r="I168" s="1" t="str">
        <f t="shared" si="6"/>
        <v/>
      </c>
      <c r="J168" s="1" t="s">
        <v>35</v>
      </c>
      <c r="K168" s="1" t="str">
        <f t="shared" si="7"/>
        <v/>
      </c>
      <c r="L168" s="1" t="str">
        <f t="shared" si="8"/>
        <v/>
      </c>
      <c r="M168" s="1">
        <f>IF(OR(Table1[[#This Row],[Std Nom]]="",Table1[[#This Row],[Std Read]]=""),0,Table1[[#This Row],[Std Nom]]-Table1[[#This Row],[Std Read]])</f>
        <v>0</v>
      </c>
      <c r="N168" s="1">
        <f>IF(Calculations!$F$5="ACCREDITED 17025 WITH UNCERTAINTIES",$N$10,0)</f>
        <v>0</v>
      </c>
      <c r="O168" s="1" t="str">
        <f>IFERROR(Table1[[#This Row],[Std Nom]]-(_xlfn.XLOOKUP(Table1[[#This Row],[Manufacturer]]&amp;" "&amp;Table1[[#This Row],[Model]],Table13[MFR &amp; MDL],Table13[Tolerance % CW ],"")/100*Table1[[#This Row],[Std Nom]]),"")</f>
        <v/>
      </c>
      <c r="P168" s="1" t="str">
        <f>IFERROR(Table1[[#This Row],[Std Nom]]+(_xlfn.XLOOKUP(Table1[[#This Row],[Manufacturer]]&amp;" "&amp;Table1[[#This Row],[Model]],Table13[MFR &amp; MDL],Table13[Tolerance % CW ],"")/100*Table1[[#This Row],[Std Nom]]),"")</f>
        <v/>
      </c>
      <c r="Q168" s="1" t="e">
        <f>Table1[[#This Row],[High Tol]]-Table1[[#This Row],[Low Tol]]</f>
        <v>#VALUE!</v>
      </c>
      <c r="R168" s="1">
        <f>2*Table1[[#This Row],[Std Error]]</f>
        <v>0</v>
      </c>
      <c r="S168" s="1" t="str">
        <f>IF(Table1[[#This Row],[High Tol]]="","N/A",IFERROR(ABS(Table1[[#This Row],[Tol Span]]/Table1[[#This Row],[Error Span]]),"N/A"))</f>
        <v>N/A</v>
      </c>
      <c r="T168" s="1" t="str">
        <f>IF(OR(Table1[[#This Row],[Low Tol]]="",Table1[[#This Row],[High Tol]]=""),"Needs Analysis",IF(Table1[[#This Row],[Ratio]]&gt;=4,"Not Significant",IF(Table1[[#This Row],[Ratio]]&gt;=2,"Semi-Significant","Significant")))</f>
        <v>Needs Analysis</v>
      </c>
      <c r="W168" s="1">
        <f>IF(Table1[[#This Row],[Cal Type]]&lt;&gt;"ACCREDITED 17025 WITH UNCERTAINTIES",0,"")</f>
        <v>0</v>
      </c>
      <c r="X168" s="1" t="str">
        <f>IF(Table1[[#This Row],[DUT Read]]="","N/A",Table1[[#This Row],[Std Error]]+Table1[[#This Row],[DUT Read]]+Table1[[#This Row],[DUT Ucty]])</f>
        <v>N/A</v>
      </c>
      <c r="Y168" s="1" t="str">
        <f>IF(Table1[[#This Row],[Std Read]]="","N/A",Table1[[#This Row],[Std Read]]+Table1[[#This Row],[Std Ucty]])</f>
        <v>N/A</v>
      </c>
      <c r="Z1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 s="1" t="str">
        <f>IF(Table1[[#This Row],[Spec Type]]="","N/A",Table1[[#This Row],[Spec Type]])</f>
        <v>±</v>
      </c>
      <c r="AC168" s="1" t="str">
        <f>IF(Table1[[#This Row],[Spec Type2]]="N/A","N/A",IF(AND(Table1[[#This Row],[DUT Adj Read]]&gt;=Table1[[#This Row],[Low Tol]],Table1[[#This Row],[DUT Adj Read]]&lt;=Table1[[#This Row],[High Tol]]),"Pass","Fail"))</f>
        <v>Fail</v>
      </c>
      <c r="AD168" s="1" t="str">
        <f>IF(AND(Table1[[#This Row],[Spec Type2]]="N/A",Table1[[#This Row],[DUT Adj Read]]="N/A",Table1[[#This Row],[Std Adj Read]]="N/A"),"N/A",IF(Table1[[#This Row],[DUT Adj Read]]="N/A",IF(Table1[[#This Row],[Std Adj Read]]&gt;Table1[[#This Row],[Low Tol]],"Pass","Fail"),IF(Table1[[#This Row],[DUT Adj Read]]&gt;Table1[[#This Row],[Low Tol]],"Pass","Fail")))</f>
        <v>Pass</v>
      </c>
      <c r="AE168" s="1" t="str">
        <f>IF(AND(Table1[[#This Row],[Spec Type2]]="N/A",Table1[[#This Row],[DUT Adj Read]]="N/A",Table1[[#This Row],[Std Adj Read]]="N/A"),"N/A",IF(Table1[[#This Row],[DUT Adj Read]]="N/A",IF(Table1[[#This Row],[Std Adj Read]]&lt;Table1[[#This Row],[High Tol]],"Pass","Fail"),IF(Table1[[#This Row],[DUT Adj Read]]&lt;Table1[[#This Row],[High Tol]],"Pass","Fail")))</f>
        <v>Fail</v>
      </c>
      <c r="AF168" s="1" t="str">
        <f>IF(AND(Table1[[#This Row],[Spec Type2]]="N/A",Table1[[#This Row],[DUT Adj Read]]="N/A",Table1[[#This Row],[Std Adj Read]]="N/A"),"N/A",IF(Table1[[#This Row],[DUT Adj Read]]="N/A",IF(Table1[[#This Row],[Std Adj Read]]&gt;=Table1[[#This Row],[Low Tol]],"Pass","Fail"),IF(Table1[[#This Row],[DUT Adj Read]]&gt;=Table1[[#This Row],[Low Tol]],"Pass","Fail")))</f>
        <v>Pass</v>
      </c>
      <c r="AG168" s="1" t="str">
        <f>IF(AND(Table1[[#This Row],[Spec Type2]]="N/A",Table1[[#This Row],[DUT Adj Read]]="N/A",Table1[[#This Row],[Std Adj Read]]="N/A"),"N/A",IF(Table1[[#This Row],[DUT Adj Read]]="N/A",IF(Table1[[#This Row],[Std Adj Read]]&lt;=Table1[[#This Row],[High Tol]],"Pass","Fail"),IF(Table1[[#This Row],[DUT Adj Read]]&lt;=Table1[[#This Row],[High Tol]],"Pass","Fail")))</f>
        <v>Fail</v>
      </c>
      <c r="AH1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 s="1" t="b">
        <v>0</v>
      </c>
      <c r="AN168" s="1" t="b">
        <v>0</v>
      </c>
      <c r="AO168" s="1" t="b">
        <v>0</v>
      </c>
    </row>
    <row r="169" spans="1:41" x14ac:dyDescent="0.25">
      <c r="A169" s="10"/>
      <c r="B169" s="10"/>
      <c r="C169" s="10"/>
      <c r="D169" s="10"/>
      <c r="E169" s="10"/>
      <c r="F169" s="10"/>
      <c r="G169" s="10"/>
      <c r="H169" s="10"/>
      <c r="I169" s="1" t="str">
        <f t="shared" si="6"/>
        <v/>
      </c>
      <c r="J169" s="1" t="s">
        <v>35</v>
      </c>
      <c r="K169" s="1" t="str">
        <f t="shared" si="7"/>
        <v/>
      </c>
      <c r="L169" s="1" t="str">
        <f t="shared" si="8"/>
        <v/>
      </c>
      <c r="M169" s="1">
        <f>IF(OR(Table1[[#This Row],[Std Nom]]="",Table1[[#This Row],[Std Read]]=""),0,Table1[[#This Row],[Std Nom]]-Table1[[#This Row],[Std Read]])</f>
        <v>0</v>
      </c>
      <c r="N169" s="1">
        <f>IF(Calculations!$F$5="ACCREDITED 17025 WITH UNCERTAINTIES",$N$10,0)</f>
        <v>0</v>
      </c>
      <c r="O169" s="1" t="str">
        <f>IFERROR(Table1[[#This Row],[Std Nom]]-(_xlfn.XLOOKUP(Table1[[#This Row],[Manufacturer]]&amp;" "&amp;Table1[[#This Row],[Model]],Table13[MFR &amp; MDL],Table13[Tolerance % CW ],"")/100*Table1[[#This Row],[Std Nom]]),"")</f>
        <v/>
      </c>
      <c r="P169" s="1" t="str">
        <f>IFERROR(Table1[[#This Row],[Std Nom]]+(_xlfn.XLOOKUP(Table1[[#This Row],[Manufacturer]]&amp;" "&amp;Table1[[#This Row],[Model]],Table13[MFR &amp; MDL],Table13[Tolerance % CW ],"")/100*Table1[[#This Row],[Std Nom]]),"")</f>
        <v/>
      </c>
      <c r="Q169" s="1" t="e">
        <f>Table1[[#This Row],[High Tol]]-Table1[[#This Row],[Low Tol]]</f>
        <v>#VALUE!</v>
      </c>
      <c r="R169" s="1">
        <f>2*Table1[[#This Row],[Std Error]]</f>
        <v>0</v>
      </c>
      <c r="S169" s="1" t="str">
        <f>IF(Table1[[#This Row],[High Tol]]="","N/A",IFERROR(ABS(Table1[[#This Row],[Tol Span]]/Table1[[#This Row],[Error Span]]),"N/A"))</f>
        <v>N/A</v>
      </c>
      <c r="T169" s="1" t="str">
        <f>IF(OR(Table1[[#This Row],[Low Tol]]="",Table1[[#This Row],[High Tol]]=""),"Needs Analysis",IF(Table1[[#This Row],[Ratio]]&gt;=4,"Not Significant",IF(Table1[[#This Row],[Ratio]]&gt;=2,"Semi-Significant","Significant")))</f>
        <v>Needs Analysis</v>
      </c>
      <c r="W169" s="1">
        <f>IF(Table1[[#This Row],[Cal Type]]&lt;&gt;"ACCREDITED 17025 WITH UNCERTAINTIES",0,"")</f>
        <v>0</v>
      </c>
      <c r="X169" s="1" t="str">
        <f>IF(Table1[[#This Row],[DUT Read]]="","N/A",Table1[[#This Row],[Std Error]]+Table1[[#This Row],[DUT Read]]+Table1[[#This Row],[DUT Ucty]])</f>
        <v>N/A</v>
      </c>
      <c r="Y169" s="1" t="str">
        <f>IF(Table1[[#This Row],[Std Read]]="","N/A",Table1[[#This Row],[Std Read]]+Table1[[#This Row],[Std Ucty]])</f>
        <v>N/A</v>
      </c>
      <c r="Z1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 s="1" t="str">
        <f>IF(Table1[[#This Row],[Spec Type]]="","N/A",Table1[[#This Row],[Spec Type]])</f>
        <v>±</v>
      </c>
      <c r="AC169" s="1" t="str">
        <f>IF(Table1[[#This Row],[Spec Type2]]="N/A","N/A",IF(AND(Table1[[#This Row],[DUT Adj Read]]&gt;=Table1[[#This Row],[Low Tol]],Table1[[#This Row],[DUT Adj Read]]&lt;=Table1[[#This Row],[High Tol]]),"Pass","Fail"))</f>
        <v>Fail</v>
      </c>
      <c r="AD169" s="1" t="str">
        <f>IF(AND(Table1[[#This Row],[Spec Type2]]="N/A",Table1[[#This Row],[DUT Adj Read]]="N/A",Table1[[#This Row],[Std Adj Read]]="N/A"),"N/A",IF(Table1[[#This Row],[DUT Adj Read]]="N/A",IF(Table1[[#This Row],[Std Adj Read]]&gt;Table1[[#This Row],[Low Tol]],"Pass","Fail"),IF(Table1[[#This Row],[DUT Adj Read]]&gt;Table1[[#This Row],[Low Tol]],"Pass","Fail")))</f>
        <v>Pass</v>
      </c>
      <c r="AE169" s="1" t="str">
        <f>IF(AND(Table1[[#This Row],[Spec Type2]]="N/A",Table1[[#This Row],[DUT Adj Read]]="N/A",Table1[[#This Row],[Std Adj Read]]="N/A"),"N/A",IF(Table1[[#This Row],[DUT Adj Read]]="N/A",IF(Table1[[#This Row],[Std Adj Read]]&lt;Table1[[#This Row],[High Tol]],"Pass","Fail"),IF(Table1[[#This Row],[DUT Adj Read]]&lt;Table1[[#This Row],[High Tol]],"Pass","Fail")))</f>
        <v>Fail</v>
      </c>
      <c r="AF169" s="1" t="str">
        <f>IF(AND(Table1[[#This Row],[Spec Type2]]="N/A",Table1[[#This Row],[DUT Adj Read]]="N/A",Table1[[#This Row],[Std Adj Read]]="N/A"),"N/A",IF(Table1[[#This Row],[DUT Adj Read]]="N/A",IF(Table1[[#This Row],[Std Adj Read]]&gt;=Table1[[#This Row],[Low Tol]],"Pass","Fail"),IF(Table1[[#This Row],[DUT Adj Read]]&gt;=Table1[[#This Row],[Low Tol]],"Pass","Fail")))</f>
        <v>Pass</v>
      </c>
      <c r="AG169" s="1" t="str">
        <f>IF(AND(Table1[[#This Row],[Spec Type2]]="N/A",Table1[[#This Row],[DUT Adj Read]]="N/A",Table1[[#This Row],[Std Adj Read]]="N/A"),"N/A",IF(Table1[[#This Row],[DUT Adj Read]]="N/A",IF(Table1[[#This Row],[Std Adj Read]]&lt;=Table1[[#This Row],[High Tol]],"Pass","Fail"),IF(Table1[[#This Row],[DUT Adj Read]]&lt;=Table1[[#This Row],[High Tol]],"Pass","Fail")))</f>
        <v>Fail</v>
      </c>
      <c r="AH1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 s="1" t="b">
        <v>0</v>
      </c>
      <c r="AN169" s="1" t="b">
        <v>0</v>
      </c>
      <c r="AO169" s="1" t="b">
        <v>0</v>
      </c>
    </row>
    <row r="170" spans="1:41" x14ac:dyDescent="0.25">
      <c r="A170" s="10"/>
      <c r="B170" s="10"/>
      <c r="C170" s="10"/>
      <c r="D170" s="10"/>
      <c r="E170" s="10"/>
      <c r="F170" s="10"/>
      <c r="G170" s="10"/>
      <c r="H170" s="10"/>
      <c r="I170" s="1" t="str">
        <f t="shared" si="6"/>
        <v/>
      </c>
      <c r="J170" s="1" t="s">
        <v>35</v>
      </c>
      <c r="K170" s="1" t="str">
        <f t="shared" si="7"/>
        <v/>
      </c>
      <c r="L170" s="1" t="str">
        <f t="shared" si="8"/>
        <v/>
      </c>
      <c r="M170" s="1">
        <f>IF(OR(Table1[[#This Row],[Std Nom]]="",Table1[[#This Row],[Std Read]]=""),0,Table1[[#This Row],[Std Nom]]-Table1[[#This Row],[Std Read]])</f>
        <v>0</v>
      </c>
      <c r="N170" s="1">
        <f>IF(Calculations!$F$5="ACCREDITED 17025 WITH UNCERTAINTIES",$N$10,0)</f>
        <v>0</v>
      </c>
      <c r="O170" s="1" t="str">
        <f>IFERROR(Table1[[#This Row],[Std Nom]]-(_xlfn.XLOOKUP(Table1[[#This Row],[Manufacturer]]&amp;" "&amp;Table1[[#This Row],[Model]],Table13[MFR &amp; MDL],Table13[Tolerance % CW ],"")/100*Table1[[#This Row],[Std Nom]]),"")</f>
        <v/>
      </c>
      <c r="P170" s="1" t="str">
        <f>IFERROR(Table1[[#This Row],[Std Nom]]+(_xlfn.XLOOKUP(Table1[[#This Row],[Manufacturer]]&amp;" "&amp;Table1[[#This Row],[Model]],Table13[MFR &amp; MDL],Table13[Tolerance % CW ],"")/100*Table1[[#This Row],[Std Nom]]),"")</f>
        <v/>
      </c>
      <c r="Q170" s="1" t="e">
        <f>Table1[[#This Row],[High Tol]]-Table1[[#This Row],[Low Tol]]</f>
        <v>#VALUE!</v>
      </c>
      <c r="R170" s="1">
        <f>2*Table1[[#This Row],[Std Error]]</f>
        <v>0</v>
      </c>
      <c r="S170" s="1" t="str">
        <f>IF(Table1[[#This Row],[High Tol]]="","N/A",IFERROR(ABS(Table1[[#This Row],[Tol Span]]/Table1[[#This Row],[Error Span]]),"N/A"))</f>
        <v>N/A</v>
      </c>
      <c r="T170" s="1" t="str">
        <f>IF(OR(Table1[[#This Row],[Low Tol]]="",Table1[[#This Row],[High Tol]]=""),"Needs Analysis",IF(Table1[[#This Row],[Ratio]]&gt;=4,"Not Significant",IF(Table1[[#This Row],[Ratio]]&gt;=2,"Semi-Significant","Significant")))</f>
        <v>Needs Analysis</v>
      </c>
      <c r="W170" s="1">
        <f>IF(Table1[[#This Row],[Cal Type]]&lt;&gt;"ACCREDITED 17025 WITH UNCERTAINTIES",0,"")</f>
        <v>0</v>
      </c>
      <c r="X170" s="1" t="str">
        <f>IF(Table1[[#This Row],[DUT Read]]="","N/A",Table1[[#This Row],[Std Error]]+Table1[[#This Row],[DUT Read]]+Table1[[#This Row],[DUT Ucty]])</f>
        <v>N/A</v>
      </c>
      <c r="Y170" s="1" t="str">
        <f>IF(Table1[[#This Row],[Std Read]]="","N/A",Table1[[#This Row],[Std Read]]+Table1[[#This Row],[Std Ucty]])</f>
        <v>N/A</v>
      </c>
      <c r="Z1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 s="1" t="str">
        <f>IF(Table1[[#This Row],[Spec Type]]="","N/A",Table1[[#This Row],[Spec Type]])</f>
        <v>±</v>
      </c>
      <c r="AC170" s="1" t="str">
        <f>IF(Table1[[#This Row],[Spec Type2]]="N/A","N/A",IF(AND(Table1[[#This Row],[DUT Adj Read]]&gt;=Table1[[#This Row],[Low Tol]],Table1[[#This Row],[DUT Adj Read]]&lt;=Table1[[#This Row],[High Tol]]),"Pass","Fail"))</f>
        <v>Fail</v>
      </c>
      <c r="AD170" s="1" t="str">
        <f>IF(AND(Table1[[#This Row],[Spec Type2]]="N/A",Table1[[#This Row],[DUT Adj Read]]="N/A",Table1[[#This Row],[Std Adj Read]]="N/A"),"N/A",IF(Table1[[#This Row],[DUT Adj Read]]="N/A",IF(Table1[[#This Row],[Std Adj Read]]&gt;Table1[[#This Row],[Low Tol]],"Pass","Fail"),IF(Table1[[#This Row],[DUT Adj Read]]&gt;Table1[[#This Row],[Low Tol]],"Pass","Fail")))</f>
        <v>Pass</v>
      </c>
      <c r="AE170" s="1" t="str">
        <f>IF(AND(Table1[[#This Row],[Spec Type2]]="N/A",Table1[[#This Row],[DUT Adj Read]]="N/A",Table1[[#This Row],[Std Adj Read]]="N/A"),"N/A",IF(Table1[[#This Row],[DUT Adj Read]]="N/A",IF(Table1[[#This Row],[Std Adj Read]]&lt;Table1[[#This Row],[High Tol]],"Pass","Fail"),IF(Table1[[#This Row],[DUT Adj Read]]&lt;Table1[[#This Row],[High Tol]],"Pass","Fail")))</f>
        <v>Fail</v>
      </c>
      <c r="AF170" s="1" t="str">
        <f>IF(AND(Table1[[#This Row],[Spec Type2]]="N/A",Table1[[#This Row],[DUT Adj Read]]="N/A",Table1[[#This Row],[Std Adj Read]]="N/A"),"N/A",IF(Table1[[#This Row],[DUT Adj Read]]="N/A",IF(Table1[[#This Row],[Std Adj Read]]&gt;=Table1[[#This Row],[Low Tol]],"Pass","Fail"),IF(Table1[[#This Row],[DUT Adj Read]]&gt;=Table1[[#This Row],[Low Tol]],"Pass","Fail")))</f>
        <v>Pass</v>
      </c>
      <c r="AG170" s="1" t="str">
        <f>IF(AND(Table1[[#This Row],[Spec Type2]]="N/A",Table1[[#This Row],[DUT Adj Read]]="N/A",Table1[[#This Row],[Std Adj Read]]="N/A"),"N/A",IF(Table1[[#This Row],[DUT Adj Read]]="N/A",IF(Table1[[#This Row],[Std Adj Read]]&lt;=Table1[[#This Row],[High Tol]],"Pass","Fail"),IF(Table1[[#This Row],[DUT Adj Read]]&lt;=Table1[[#This Row],[High Tol]],"Pass","Fail")))</f>
        <v>Fail</v>
      </c>
      <c r="AH1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 s="1" t="b">
        <v>0</v>
      </c>
      <c r="AN170" s="1" t="b">
        <v>0</v>
      </c>
      <c r="AO170" s="1" t="b">
        <v>0</v>
      </c>
    </row>
    <row r="171" spans="1:41" x14ac:dyDescent="0.25">
      <c r="A171" s="10"/>
      <c r="B171" s="10"/>
      <c r="C171" s="10"/>
      <c r="D171" s="10"/>
      <c r="E171" s="10"/>
      <c r="F171" s="10"/>
      <c r="G171" s="10"/>
      <c r="H171" s="10"/>
      <c r="I171" s="1" t="str">
        <f t="shared" si="6"/>
        <v/>
      </c>
      <c r="J171" s="1" t="s">
        <v>35</v>
      </c>
      <c r="K171" s="1" t="str">
        <f t="shared" si="7"/>
        <v/>
      </c>
      <c r="L171" s="1" t="str">
        <f t="shared" si="8"/>
        <v/>
      </c>
      <c r="M171" s="1">
        <f>IF(OR(Table1[[#This Row],[Std Nom]]="",Table1[[#This Row],[Std Read]]=""),0,Table1[[#This Row],[Std Nom]]-Table1[[#This Row],[Std Read]])</f>
        <v>0</v>
      </c>
      <c r="N171" s="1">
        <f>IF(Calculations!$F$5="ACCREDITED 17025 WITH UNCERTAINTIES",$N$10,0)</f>
        <v>0</v>
      </c>
      <c r="O171" s="1" t="str">
        <f>IFERROR(Table1[[#This Row],[Std Nom]]-(_xlfn.XLOOKUP(Table1[[#This Row],[Manufacturer]]&amp;" "&amp;Table1[[#This Row],[Model]],Table13[MFR &amp; MDL],Table13[Tolerance % CW ],"")/100*Table1[[#This Row],[Std Nom]]),"")</f>
        <v/>
      </c>
      <c r="P171" s="1" t="str">
        <f>IFERROR(Table1[[#This Row],[Std Nom]]+(_xlfn.XLOOKUP(Table1[[#This Row],[Manufacturer]]&amp;" "&amp;Table1[[#This Row],[Model]],Table13[MFR &amp; MDL],Table13[Tolerance % CW ],"")/100*Table1[[#This Row],[Std Nom]]),"")</f>
        <v/>
      </c>
      <c r="Q171" s="1" t="e">
        <f>Table1[[#This Row],[High Tol]]-Table1[[#This Row],[Low Tol]]</f>
        <v>#VALUE!</v>
      </c>
      <c r="R171" s="1">
        <f>2*Table1[[#This Row],[Std Error]]</f>
        <v>0</v>
      </c>
      <c r="S171" s="1" t="str">
        <f>IF(Table1[[#This Row],[High Tol]]="","N/A",IFERROR(ABS(Table1[[#This Row],[Tol Span]]/Table1[[#This Row],[Error Span]]),"N/A"))</f>
        <v>N/A</v>
      </c>
      <c r="T171" s="1" t="str">
        <f>IF(OR(Table1[[#This Row],[Low Tol]]="",Table1[[#This Row],[High Tol]]=""),"Needs Analysis",IF(Table1[[#This Row],[Ratio]]&gt;=4,"Not Significant",IF(Table1[[#This Row],[Ratio]]&gt;=2,"Semi-Significant","Significant")))</f>
        <v>Needs Analysis</v>
      </c>
      <c r="W171" s="1">
        <f>IF(Table1[[#This Row],[Cal Type]]&lt;&gt;"ACCREDITED 17025 WITH UNCERTAINTIES",0,"")</f>
        <v>0</v>
      </c>
      <c r="X171" s="1" t="str">
        <f>IF(Table1[[#This Row],[DUT Read]]="","N/A",Table1[[#This Row],[Std Error]]+Table1[[#This Row],[DUT Read]]+Table1[[#This Row],[DUT Ucty]])</f>
        <v>N/A</v>
      </c>
      <c r="Y171" s="1" t="str">
        <f>IF(Table1[[#This Row],[Std Read]]="","N/A",Table1[[#This Row],[Std Read]]+Table1[[#This Row],[Std Ucty]])</f>
        <v>N/A</v>
      </c>
      <c r="Z1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 s="1" t="str">
        <f>IF(Table1[[#This Row],[Spec Type]]="","N/A",Table1[[#This Row],[Spec Type]])</f>
        <v>±</v>
      </c>
      <c r="AC171" s="1" t="str">
        <f>IF(Table1[[#This Row],[Spec Type2]]="N/A","N/A",IF(AND(Table1[[#This Row],[DUT Adj Read]]&gt;=Table1[[#This Row],[Low Tol]],Table1[[#This Row],[DUT Adj Read]]&lt;=Table1[[#This Row],[High Tol]]),"Pass","Fail"))</f>
        <v>Fail</v>
      </c>
      <c r="AD171" s="1" t="str">
        <f>IF(AND(Table1[[#This Row],[Spec Type2]]="N/A",Table1[[#This Row],[DUT Adj Read]]="N/A",Table1[[#This Row],[Std Adj Read]]="N/A"),"N/A",IF(Table1[[#This Row],[DUT Adj Read]]="N/A",IF(Table1[[#This Row],[Std Adj Read]]&gt;Table1[[#This Row],[Low Tol]],"Pass","Fail"),IF(Table1[[#This Row],[DUT Adj Read]]&gt;Table1[[#This Row],[Low Tol]],"Pass","Fail")))</f>
        <v>Pass</v>
      </c>
      <c r="AE171" s="1" t="str">
        <f>IF(AND(Table1[[#This Row],[Spec Type2]]="N/A",Table1[[#This Row],[DUT Adj Read]]="N/A",Table1[[#This Row],[Std Adj Read]]="N/A"),"N/A",IF(Table1[[#This Row],[DUT Adj Read]]="N/A",IF(Table1[[#This Row],[Std Adj Read]]&lt;Table1[[#This Row],[High Tol]],"Pass","Fail"),IF(Table1[[#This Row],[DUT Adj Read]]&lt;Table1[[#This Row],[High Tol]],"Pass","Fail")))</f>
        <v>Fail</v>
      </c>
      <c r="AF171" s="1" t="str">
        <f>IF(AND(Table1[[#This Row],[Spec Type2]]="N/A",Table1[[#This Row],[DUT Adj Read]]="N/A",Table1[[#This Row],[Std Adj Read]]="N/A"),"N/A",IF(Table1[[#This Row],[DUT Adj Read]]="N/A",IF(Table1[[#This Row],[Std Adj Read]]&gt;=Table1[[#This Row],[Low Tol]],"Pass","Fail"),IF(Table1[[#This Row],[DUT Adj Read]]&gt;=Table1[[#This Row],[Low Tol]],"Pass","Fail")))</f>
        <v>Pass</v>
      </c>
      <c r="AG171" s="1" t="str">
        <f>IF(AND(Table1[[#This Row],[Spec Type2]]="N/A",Table1[[#This Row],[DUT Adj Read]]="N/A",Table1[[#This Row],[Std Adj Read]]="N/A"),"N/A",IF(Table1[[#This Row],[DUT Adj Read]]="N/A",IF(Table1[[#This Row],[Std Adj Read]]&lt;=Table1[[#This Row],[High Tol]],"Pass","Fail"),IF(Table1[[#This Row],[DUT Adj Read]]&lt;=Table1[[#This Row],[High Tol]],"Pass","Fail")))</f>
        <v>Fail</v>
      </c>
      <c r="AH1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 s="1" t="b">
        <v>0</v>
      </c>
      <c r="AN171" s="1" t="b">
        <v>0</v>
      </c>
      <c r="AO171" s="1" t="b">
        <v>0</v>
      </c>
    </row>
    <row r="172" spans="1:41" x14ac:dyDescent="0.25">
      <c r="A172" s="10"/>
      <c r="B172" s="10"/>
      <c r="C172" s="10"/>
      <c r="D172" s="10"/>
      <c r="E172" s="10"/>
      <c r="F172" s="10"/>
      <c r="G172" s="10"/>
      <c r="H172" s="10"/>
      <c r="I172" s="1" t="str">
        <f t="shared" si="6"/>
        <v/>
      </c>
      <c r="J172" s="1" t="s">
        <v>35</v>
      </c>
      <c r="K172" s="1" t="str">
        <f t="shared" si="7"/>
        <v/>
      </c>
      <c r="L172" s="1" t="str">
        <f t="shared" si="8"/>
        <v/>
      </c>
      <c r="M172" s="1">
        <f>IF(OR(Table1[[#This Row],[Std Nom]]="",Table1[[#This Row],[Std Read]]=""),0,Table1[[#This Row],[Std Nom]]-Table1[[#This Row],[Std Read]])</f>
        <v>0</v>
      </c>
      <c r="N172" s="1">
        <f>IF(Calculations!$F$5="ACCREDITED 17025 WITH UNCERTAINTIES",$N$10,0)</f>
        <v>0</v>
      </c>
      <c r="O172" s="1" t="str">
        <f>IFERROR(Table1[[#This Row],[Std Nom]]-(_xlfn.XLOOKUP(Table1[[#This Row],[Manufacturer]]&amp;" "&amp;Table1[[#This Row],[Model]],Table13[MFR &amp; MDL],Table13[Tolerance % CW ],"")/100*Table1[[#This Row],[Std Nom]]),"")</f>
        <v/>
      </c>
      <c r="P172" s="1" t="str">
        <f>IFERROR(Table1[[#This Row],[Std Nom]]+(_xlfn.XLOOKUP(Table1[[#This Row],[Manufacturer]]&amp;" "&amp;Table1[[#This Row],[Model]],Table13[MFR &amp; MDL],Table13[Tolerance % CW ],"")/100*Table1[[#This Row],[Std Nom]]),"")</f>
        <v/>
      </c>
      <c r="Q172" s="1" t="e">
        <f>Table1[[#This Row],[High Tol]]-Table1[[#This Row],[Low Tol]]</f>
        <v>#VALUE!</v>
      </c>
      <c r="R172" s="1">
        <f>2*Table1[[#This Row],[Std Error]]</f>
        <v>0</v>
      </c>
      <c r="S172" s="1" t="str">
        <f>IF(Table1[[#This Row],[High Tol]]="","N/A",IFERROR(ABS(Table1[[#This Row],[Tol Span]]/Table1[[#This Row],[Error Span]]),"N/A"))</f>
        <v>N/A</v>
      </c>
      <c r="T172" s="1" t="str">
        <f>IF(OR(Table1[[#This Row],[Low Tol]]="",Table1[[#This Row],[High Tol]]=""),"Needs Analysis",IF(Table1[[#This Row],[Ratio]]&gt;=4,"Not Significant",IF(Table1[[#This Row],[Ratio]]&gt;=2,"Semi-Significant","Significant")))</f>
        <v>Needs Analysis</v>
      </c>
      <c r="W172" s="1">
        <f>IF(Table1[[#This Row],[Cal Type]]&lt;&gt;"ACCREDITED 17025 WITH UNCERTAINTIES",0,"")</f>
        <v>0</v>
      </c>
      <c r="X172" s="1" t="str">
        <f>IF(Table1[[#This Row],[DUT Read]]="","N/A",Table1[[#This Row],[Std Error]]+Table1[[#This Row],[DUT Read]]+Table1[[#This Row],[DUT Ucty]])</f>
        <v>N/A</v>
      </c>
      <c r="Y172" s="1" t="str">
        <f>IF(Table1[[#This Row],[Std Read]]="","N/A",Table1[[#This Row],[Std Read]]+Table1[[#This Row],[Std Ucty]])</f>
        <v>N/A</v>
      </c>
      <c r="Z1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 s="1" t="str">
        <f>IF(Table1[[#This Row],[Spec Type]]="","N/A",Table1[[#This Row],[Spec Type]])</f>
        <v>±</v>
      </c>
      <c r="AC172" s="1" t="str">
        <f>IF(Table1[[#This Row],[Spec Type2]]="N/A","N/A",IF(AND(Table1[[#This Row],[DUT Adj Read]]&gt;=Table1[[#This Row],[Low Tol]],Table1[[#This Row],[DUT Adj Read]]&lt;=Table1[[#This Row],[High Tol]]),"Pass","Fail"))</f>
        <v>Fail</v>
      </c>
      <c r="AD172" s="1" t="str">
        <f>IF(AND(Table1[[#This Row],[Spec Type2]]="N/A",Table1[[#This Row],[DUT Adj Read]]="N/A",Table1[[#This Row],[Std Adj Read]]="N/A"),"N/A",IF(Table1[[#This Row],[DUT Adj Read]]="N/A",IF(Table1[[#This Row],[Std Adj Read]]&gt;Table1[[#This Row],[Low Tol]],"Pass","Fail"),IF(Table1[[#This Row],[DUT Adj Read]]&gt;Table1[[#This Row],[Low Tol]],"Pass","Fail")))</f>
        <v>Pass</v>
      </c>
      <c r="AE172" s="1" t="str">
        <f>IF(AND(Table1[[#This Row],[Spec Type2]]="N/A",Table1[[#This Row],[DUT Adj Read]]="N/A",Table1[[#This Row],[Std Adj Read]]="N/A"),"N/A",IF(Table1[[#This Row],[DUT Adj Read]]="N/A",IF(Table1[[#This Row],[Std Adj Read]]&lt;Table1[[#This Row],[High Tol]],"Pass","Fail"),IF(Table1[[#This Row],[DUT Adj Read]]&lt;Table1[[#This Row],[High Tol]],"Pass","Fail")))</f>
        <v>Fail</v>
      </c>
      <c r="AF172" s="1" t="str">
        <f>IF(AND(Table1[[#This Row],[Spec Type2]]="N/A",Table1[[#This Row],[DUT Adj Read]]="N/A",Table1[[#This Row],[Std Adj Read]]="N/A"),"N/A",IF(Table1[[#This Row],[DUT Adj Read]]="N/A",IF(Table1[[#This Row],[Std Adj Read]]&gt;=Table1[[#This Row],[Low Tol]],"Pass","Fail"),IF(Table1[[#This Row],[DUT Adj Read]]&gt;=Table1[[#This Row],[Low Tol]],"Pass","Fail")))</f>
        <v>Pass</v>
      </c>
      <c r="AG172" s="1" t="str">
        <f>IF(AND(Table1[[#This Row],[Spec Type2]]="N/A",Table1[[#This Row],[DUT Adj Read]]="N/A",Table1[[#This Row],[Std Adj Read]]="N/A"),"N/A",IF(Table1[[#This Row],[DUT Adj Read]]="N/A",IF(Table1[[#This Row],[Std Adj Read]]&lt;=Table1[[#This Row],[High Tol]],"Pass","Fail"),IF(Table1[[#This Row],[DUT Adj Read]]&lt;=Table1[[#This Row],[High Tol]],"Pass","Fail")))</f>
        <v>Fail</v>
      </c>
      <c r="AH1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 s="1" t="b">
        <v>0</v>
      </c>
      <c r="AN172" s="1" t="b">
        <v>0</v>
      </c>
      <c r="AO172" s="1" t="b">
        <v>0</v>
      </c>
    </row>
    <row r="173" spans="1:41" x14ac:dyDescent="0.25">
      <c r="A173" s="10"/>
      <c r="B173" s="10"/>
      <c r="C173" s="10"/>
      <c r="D173" s="10"/>
      <c r="E173" s="10"/>
      <c r="F173" s="10"/>
      <c r="G173" s="10"/>
      <c r="H173" s="10"/>
      <c r="I173" s="1" t="str">
        <f t="shared" si="6"/>
        <v/>
      </c>
      <c r="J173" s="1" t="s">
        <v>35</v>
      </c>
      <c r="K173" s="1" t="str">
        <f t="shared" si="7"/>
        <v/>
      </c>
      <c r="L173" s="1" t="str">
        <f t="shared" si="8"/>
        <v/>
      </c>
      <c r="M173" s="1">
        <f>IF(OR(Table1[[#This Row],[Std Nom]]="",Table1[[#This Row],[Std Read]]=""),0,Table1[[#This Row],[Std Nom]]-Table1[[#This Row],[Std Read]])</f>
        <v>0</v>
      </c>
      <c r="N173" s="1">
        <f>IF(Calculations!$F$5="ACCREDITED 17025 WITH UNCERTAINTIES",$N$10,0)</f>
        <v>0</v>
      </c>
      <c r="O173" s="1" t="str">
        <f>IFERROR(Table1[[#This Row],[Std Nom]]-(_xlfn.XLOOKUP(Table1[[#This Row],[Manufacturer]]&amp;" "&amp;Table1[[#This Row],[Model]],Table13[MFR &amp; MDL],Table13[Tolerance % CW ],"")/100*Table1[[#This Row],[Std Nom]]),"")</f>
        <v/>
      </c>
      <c r="P173" s="1" t="str">
        <f>IFERROR(Table1[[#This Row],[Std Nom]]+(_xlfn.XLOOKUP(Table1[[#This Row],[Manufacturer]]&amp;" "&amp;Table1[[#This Row],[Model]],Table13[MFR &amp; MDL],Table13[Tolerance % CW ],"")/100*Table1[[#This Row],[Std Nom]]),"")</f>
        <v/>
      </c>
      <c r="Q173" s="1" t="e">
        <f>Table1[[#This Row],[High Tol]]-Table1[[#This Row],[Low Tol]]</f>
        <v>#VALUE!</v>
      </c>
      <c r="R173" s="1">
        <f>2*Table1[[#This Row],[Std Error]]</f>
        <v>0</v>
      </c>
      <c r="S173" s="1" t="str">
        <f>IF(Table1[[#This Row],[High Tol]]="","N/A",IFERROR(ABS(Table1[[#This Row],[Tol Span]]/Table1[[#This Row],[Error Span]]),"N/A"))</f>
        <v>N/A</v>
      </c>
      <c r="T173" s="1" t="str">
        <f>IF(OR(Table1[[#This Row],[Low Tol]]="",Table1[[#This Row],[High Tol]]=""),"Needs Analysis",IF(Table1[[#This Row],[Ratio]]&gt;=4,"Not Significant",IF(Table1[[#This Row],[Ratio]]&gt;=2,"Semi-Significant","Significant")))</f>
        <v>Needs Analysis</v>
      </c>
      <c r="W173" s="1">
        <f>IF(Table1[[#This Row],[Cal Type]]&lt;&gt;"ACCREDITED 17025 WITH UNCERTAINTIES",0,"")</f>
        <v>0</v>
      </c>
      <c r="X173" s="1" t="str">
        <f>IF(Table1[[#This Row],[DUT Read]]="","N/A",Table1[[#This Row],[Std Error]]+Table1[[#This Row],[DUT Read]]+Table1[[#This Row],[DUT Ucty]])</f>
        <v>N/A</v>
      </c>
      <c r="Y173" s="1" t="str">
        <f>IF(Table1[[#This Row],[Std Read]]="","N/A",Table1[[#This Row],[Std Read]]+Table1[[#This Row],[Std Ucty]])</f>
        <v>N/A</v>
      </c>
      <c r="Z1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 s="1" t="str">
        <f>IF(Table1[[#This Row],[Spec Type]]="","N/A",Table1[[#This Row],[Spec Type]])</f>
        <v>±</v>
      </c>
      <c r="AC173" s="1" t="str">
        <f>IF(Table1[[#This Row],[Spec Type2]]="N/A","N/A",IF(AND(Table1[[#This Row],[DUT Adj Read]]&gt;=Table1[[#This Row],[Low Tol]],Table1[[#This Row],[DUT Adj Read]]&lt;=Table1[[#This Row],[High Tol]]),"Pass","Fail"))</f>
        <v>Fail</v>
      </c>
      <c r="AD173" s="1" t="str">
        <f>IF(AND(Table1[[#This Row],[Spec Type2]]="N/A",Table1[[#This Row],[DUT Adj Read]]="N/A",Table1[[#This Row],[Std Adj Read]]="N/A"),"N/A",IF(Table1[[#This Row],[DUT Adj Read]]="N/A",IF(Table1[[#This Row],[Std Adj Read]]&gt;Table1[[#This Row],[Low Tol]],"Pass","Fail"),IF(Table1[[#This Row],[DUT Adj Read]]&gt;Table1[[#This Row],[Low Tol]],"Pass","Fail")))</f>
        <v>Pass</v>
      </c>
      <c r="AE173" s="1" t="str">
        <f>IF(AND(Table1[[#This Row],[Spec Type2]]="N/A",Table1[[#This Row],[DUT Adj Read]]="N/A",Table1[[#This Row],[Std Adj Read]]="N/A"),"N/A",IF(Table1[[#This Row],[DUT Adj Read]]="N/A",IF(Table1[[#This Row],[Std Adj Read]]&lt;Table1[[#This Row],[High Tol]],"Pass","Fail"),IF(Table1[[#This Row],[DUT Adj Read]]&lt;Table1[[#This Row],[High Tol]],"Pass","Fail")))</f>
        <v>Fail</v>
      </c>
      <c r="AF173" s="1" t="str">
        <f>IF(AND(Table1[[#This Row],[Spec Type2]]="N/A",Table1[[#This Row],[DUT Adj Read]]="N/A",Table1[[#This Row],[Std Adj Read]]="N/A"),"N/A",IF(Table1[[#This Row],[DUT Adj Read]]="N/A",IF(Table1[[#This Row],[Std Adj Read]]&gt;=Table1[[#This Row],[Low Tol]],"Pass","Fail"),IF(Table1[[#This Row],[DUT Adj Read]]&gt;=Table1[[#This Row],[Low Tol]],"Pass","Fail")))</f>
        <v>Pass</v>
      </c>
      <c r="AG173" s="1" t="str">
        <f>IF(AND(Table1[[#This Row],[Spec Type2]]="N/A",Table1[[#This Row],[DUT Adj Read]]="N/A",Table1[[#This Row],[Std Adj Read]]="N/A"),"N/A",IF(Table1[[#This Row],[DUT Adj Read]]="N/A",IF(Table1[[#This Row],[Std Adj Read]]&lt;=Table1[[#This Row],[High Tol]],"Pass","Fail"),IF(Table1[[#This Row],[DUT Adj Read]]&lt;=Table1[[#This Row],[High Tol]],"Pass","Fail")))</f>
        <v>Fail</v>
      </c>
      <c r="AH1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 s="1" t="b">
        <v>0</v>
      </c>
      <c r="AN173" s="1" t="b">
        <v>0</v>
      </c>
      <c r="AO173" s="1" t="b">
        <v>0</v>
      </c>
    </row>
    <row r="174" spans="1:41" x14ac:dyDescent="0.25">
      <c r="A174" s="10"/>
      <c r="B174" s="10"/>
      <c r="C174" s="10"/>
      <c r="D174" s="10"/>
      <c r="E174" s="10"/>
      <c r="F174" s="10"/>
      <c r="G174" s="10"/>
      <c r="H174" s="10"/>
      <c r="I174" s="1" t="str">
        <f t="shared" si="6"/>
        <v/>
      </c>
      <c r="J174" s="1" t="s">
        <v>35</v>
      </c>
      <c r="K174" s="1" t="str">
        <f t="shared" si="7"/>
        <v/>
      </c>
      <c r="L174" s="1" t="str">
        <f t="shared" si="8"/>
        <v/>
      </c>
      <c r="M174" s="1">
        <f>IF(OR(Table1[[#This Row],[Std Nom]]="",Table1[[#This Row],[Std Read]]=""),0,Table1[[#This Row],[Std Nom]]-Table1[[#This Row],[Std Read]])</f>
        <v>0</v>
      </c>
      <c r="N174" s="1">
        <f>IF(Calculations!$F$5="ACCREDITED 17025 WITH UNCERTAINTIES",$N$10,0)</f>
        <v>0</v>
      </c>
      <c r="O174" s="1" t="str">
        <f>IFERROR(Table1[[#This Row],[Std Nom]]-(_xlfn.XLOOKUP(Table1[[#This Row],[Manufacturer]]&amp;" "&amp;Table1[[#This Row],[Model]],Table13[MFR &amp; MDL],Table13[Tolerance % CW ],"")/100*Table1[[#This Row],[Std Nom]]),"")</f>
        <v/>
      </c>
      <c r="P174" s="1" t="str">
        <f>IFERROR(Table1[[#This Row],[Std Nom]]+(_xlfn.XLOOKUP(Table1[[#This Row],[Manufacturer]]&amp;" "&amp;Table1[[#This Row],[Model]],Table13[MFR &amp; MDL],Table13[Tolerance % CW ],"")/100*Table1[[#This Row],[Std Nom]]),"")</f>
        <v/>
      </c>
      <c r="Q174" s="1" t="e">
        <f>Table1[[#This Row],[High Tol]]-Table1[[#This Row],[Low Tol]]</f>
        <v>#VALUE!</v>
      </c>
      <c r="R174" s="1">
        <f>2*Table1[[#This Row],[Std Error]]</f>
        <v>0</v>
      </c>
      <c r="S174" s="1" t="str">
        <f>IF(Table1[[#This Row],[High Tol]]="","N/A",IFERROR(ABS(Table1[[#This Row],[Tol Span]]/Table1[[#This Row],[Error Span]]),"N/A"))</f>
        <v>N/A</v>
      </c>
      <c r="T174" s="1" t="str">
        <f>IF(OR(Table1[[#This Row],[Low Tol]]="",Table1[[#This Row],[High Tol]]=""),"Needs Analysis",IF(Table1[[#This Row],[Ratio]]&gt;=4,"Not Significant",IF(Table1[[#This Row],[Ratio]]&gt;=2,"Semi-Significant","Significant")))</f>
        <v>Needs Analysis</v>
      </c>
      <c r="W174" s="1">
        <f>IF(Table1[[#This Row],[Cal Type]]&lt;&gt;"ACCREDITED 17025 WITH UNCERTAINTIES",0,"")</f>
        <v>0</v>
      </c>
      <c r="X174" s="1" t="str">
        <f>IF(Table1[[#This Row],[DUT Read]]="","N/A",Table1[[#This Row],[Std Error]]+Table1[[#This Row],[DUT Read]]+Table1[[#This Row],[DUT Ucty]])</f>
        <v>N/A</v>
      </c>
      <c r="Y174" s="1" t="str">
        <f>IF(Table1[[#This Row],[Std Read]]="","N/A",Table1[[#This Row],[Std Read]]+Table1[[#This Row],[Std Ucty]])</f>
        <v>N/A</v>
      </c>
      <c r="Z1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 s="1" t="str">
        <f>IF(Table1[[#This Row],[Spec Type]]="","N/A",Table1[[#This Row],[Spec Type]])</f>
        <v>±</v>
      </c>
      <c r="AC174" s="1" t="str">
        <f>IF(Table1[[#This Row],[Spec Type2]]="N/A","N/A",IF(AND(Table1[[#This Row],[DUT Adj Read]]&gt;=Table1[[#This Row],[Low Tol]],Table1[[#This Row],[DUT Adj Read]]&lt;=Table1[[#This Row],[High Tol]]),"Pass","Fail"))</f>
        <v>Fail</v>
      </c>
      <c r="AD174" s="1" t="str">
        <f>IF(AND(Table1[[#This Row],[Spec Type2]]="N/A",Table1[[#This Row],[DUT Adj Read]]="N/A",Table1[[#This Row],[Std Adj Read]]="N/A"),"N/A",IF(Table1[[#This Row],[DUT Adj Read]]="N/A",IF(Table1[[#This Row],[Std Adj Read]]&gt;Table1[[#This Row],[Low Tol]],"Pass","Fail"),IF(Table1[[#This Row],[DUT Adj Read]]&gt;Table1[[#This Row],[Low Tol]],"Pass","Fail")))</f>
        <v>Pass</v>
      </c>
      <c r="AE174" s="1" t="str">
        <f>IF(AND(Table1[[#This Row],[Spec Type2]]="N/A",Table1[[#This Row],[DUT Adj Read]]="N/A",Table1[[#This Row],[Std Adj Read]]="N/A"),"N/A",IF(Table1[[#This Row],[DUT Adj Read]]="N/A",IF(Table1[[#This Row],[Std Adj Read]]&lt;Table1[[#This Row],[High Tol]],"Pass","Fail"),IF(Table1[[#This Row],[DUT Adj Read]]&lt;Table1[[#This Row],[High Tol]],"Pass","Fail")))</f>
        <v>Fail</v>
      </c>
      <c r="AF174" s="1" t="str">
        <f>IF(AND(Table1[[#This Row],[Spec Type2]]="N/A",Table1[[#This Row],[DUT Adj Read]]="N/A",Table1[[#This Row],[Std Adj Read]]="N/A"),"N/A",IF(Table1[[#This Row],[DUT Adj Read]]="N/A",IF(Table1[[#This Row],[Std Adj Read]]&gt;=Table1[[#This Row],[Low Tol]],"Pass","Fail"),IF(Table1[[#This Row],[DUT Adj Read]]&gt;=Table1[[#This Row],[Low Tol]],"Pass","Fail")))</f>
        <v>Pass</v>
      </c>
      <c r="AG174" s="1" t="str">
        <f>IF(AND(Table1[[#This Row],[Spec Type2]]="N/A",Table1[[#This Row],[DUT Adj Read]]="N/A",Table1[[#This Row],[Std Adj Read]]="N/A"),"N/A",IF(Table1[[#This Row],[DUT Adj Read]]="N/A",IF(Table1[[#This Row],[Std Adj Read]]&lt;=Table1[[#This Row],[High Tol]],"Pass","Fail"),IF(Table1[[#This Row],[DUT Adj Read]]&lt;=Table1[[#This Row],[High Tol]],"Pass","Fail")))</f>
        <v>Fail</v>
      </c>
      <c r="AH1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 s="1" t="b">
        <v>0</v>
      </c>
      <c r="AN174" s="1" t="b">
        <v>0</v>
      </c>
      <c r="AO174" s="1" t="b">
        <v>0</v>
      </c>
    </row>
    <row r="175" spans="1:41" x14ac:dyDescent="0.25">
      <c r="A175" s="10"/>
      <c r="B175" s="10"/>
      <c r="C175" s="10"/>
      <c r="D175" s="10"/>
      <c r="E175" s="10"/>
      <c r="F175" s="10"/>
      <c r="G175" s="10"/>
      <c r="H175" s="10"/>
      <c r="I175" s="1" t="str">
        <f t="shared" si="6"/>
        <v/>
      </c>
      <c r="J175" s="1" t="s">
        <v>35</v>
      </c>
      <c r="K175" s="1" t="str">
        <f t="shared" si="7"/>
        <v/>
      </c>
      <c r="L175" s="1" t="str">
        <f t="shared" si="8"/>
        <v/>
      </c>
      <c r="M175" s="1">
        <f>IF(OR(Table1[[#This Row],[Std Nom]]="",Table1[[#This Row],[Std Read]]=""),0,Table1[[#This Row],[Std Nom]]-Table1[[#This Row],[Std Read]])</f>
        <v>0</v>
      </c>
      <c r="N175" s="1">
        <f>IF(Calculations!$F$5="ACCREDITED 17025 WITH UNCERTAINTIES",$N$10,0)</f>
        <v>0</v>
      </c>
      <c r="O175" s="1" t="str">
        <f>IFERROR(Table1[[#This Row],[Std Nom]]-(_xlfn.XLOOKUP(Table1[[#This Row],[Manufacturer]]&amp;" "&amp;Table1[[#This Row],[Model]],Table13[MFR &amp; MDL],Table13[Tolerance % CW ],"")/100*Table1[[#This Row],[Std Nom]]),"")</f>
        <v/>
      </c>
      <c r="P175" s="1" t="str">
        <f>IFERROR(Table1[[#This Row],[Std Nom]]+(_xlfn.XLOOKUP(Table1[[#This Row],[Manufacturer]]&amp;" "&amp;Table1[[#This Row],[Model]],Table13[MFR &amp; MDL],Table13[Tolerance % CW ],"")/100*Table1[[#This Row],[Std Nom]]),"")</f>
        <v/>
      </c>
      <c r="Q175" s="1" t="e">
        <f>Table1[[#This Row],[High Tol]]-Table1[[#This Row],[Low Tol]]</f>
        <v>#VALUE!</v>
      </c>
      <c r="R175" s="1">
        <f>2*Table1[[#This Row],[Std Error]]</f>
        <v>0</v>
      </c>
      <c r="S175" s="1" t="str">
        <f>IF(Table1[[#This Row],[High Tol]]="","N/A",IFERROR(ABS(Table1[[#This Row],[Tol Span]]/Table1[[#This Row],[Error Span]]),"N/A"))</f>
        <v>N/A</v>
      </c>
      <c r="T175" s="1" t="str">
        <f>IF(OR(Table1[[#This Row],[Low Tol]]="",Table1[[#This Row],[High Tol]]=""),"Needs Analysis",IF(Table1[[#This Row],[Ratio]]&gt;=4,"Not Significant",IF(Table1[[#This Row],[Ratio]]&gt;=2,"Semi-Significant","Significant")))</f>
        <v>Needs Analysis</v>
      </c>
      <c r="W175" s="1">
        <f>IF(Table1[[#This Row],[Cal Type]]&lt;&gt;"ACCREDITED 17025 WITH UNCERTAINTIES",0,"")</f>
        <v>0</v>
      </c>
      <c r="X175" s="1" t="str">
        <f>IF(Table1[[#This Row],[DUT Read]]="","N/A",Table1[[#This Row],[Std Error]]+Table1[[#This Row],[DUT Read]]+Table1[[#This Row],[DUT Ucty]])</f>
        <v>N/A</v>
      </c>
      <c r="Y175" s="1" t="str">
        <f>IF(Table1[[#This Row],[Std Read]]="","N/A",Table1[[#This Row],[Std Read]]+Table1[[#This Row],[Std Ucty]])</f>
        <v>N/A</v>
      </c>
      <c r="Z1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 s="1" t="str">
        <f>IF(Table1[[#This Row],[Spec Type]]="","N/A",Table1[[#This Row],[Spec Type]])</f>
        <v>±</v>
      </c>
      <c r="AC175" s="1" t="str">
        <f>IF(Table1[[#This Row],[Spec Type2]]="N/A","N/A",IF(AND(Table1[[#This Row],[DUT Adj Read]]&gt;=Table1[[#This Row],[Low Tol]],Table1[[#This Row],[DUT Adj Read]]&lt;=Table1[[#This Row],[High Tol]]),"Pass","Fail"))</f>
        <v>Fail</v>
      </c>
      <c r="AD175" s="1" t="str">
        <f>IF(AND(Table1[[#This Row],[Spec Type2]]="N/A",Table1[[#This Row],[DUT Adj Read]]="N/A",Table1[[#This Row],[Std Adj Read]]="N/A"),"N/A",IF(Table1[[#This Row],[DUT Adj Read]]="N/A",IF(Table1[[#This Row],[Std Adj Read]]&gt;Table1[[#This Row],[Low Tol]],"Pass","Fail"),IF(Table1[[#This Row],[DUT Adj Read]]&gt;Table1[[#This Row],[Low Tol]],"Pass","Fail")))</f>
        <v>Pass</v>
      </c>
      <c r="AE175" s="1" t="str">
        <f>IF(AND(Table1[[#This Row],[Spec Type2]]="N/A",Table1[[#This Row],[DUT Adj Read]]="N/A",Table1[[#This Row],[Std Adj Read]]="N/A"),"N/A",IF(Table1[[#This Row],[DUT Adj Read]]="N/A",IF(Table1[[#This Row],[Std Adj Read]]&lt;Table1[[#This Row],[High Tol]],"Pass","Fail"),IF(Table1[[#This Row],[DUT Adj Read]]&lt;Table1[[#This Row],[High Tol]],"Pass","Fail")))</f>
        <v>Fail</v>
      </c>
      <c r="AF175" s="1" t="str">
        <f>IF(AND(Table1[[#This Row],[Spec Type2]]="N/A",Table1[[#This Row],[DUT Adj Read]]="N/A",Table1[[#This Row],[Std Adj Read]]="N/A"),"N/A",IF(Table1[[#This Row],[DUT Adj Read]]="N/A",IF(Table1[[#This Row],[Std Adj Read]]&gt;=Table1[[#This Row],[Low Tol]],"Pass","Fail"),IF(Table1[[#This Row],[DUT Adj Read]]&gt;=Table1[[#This Row],[Low Tol]],"Pass","Fail")))</f>
        <v>Pass</v>
      </c>
      <c r="AG175" s="1" t="str">
        <f>IF(AND(Table1[[#This Row],[Spec Type2]]="N/A",Table1[[#This Row],[DUT Adj Read]]="N/A",Table1[[#This Row],[Std Adj Read]]="N/A"),"N/A",IF(Table1[[#This Row],[DUT Adj Read]]="N/A",IF(Table1[[#This Row],[Std Adj Read]]&lt;=Table1[[#This Row],[High Tol]],"Pass","Fail"),IF(Table1[[#This Row],[DUT Adj Read]]&lt;=Table1[[#This Row],[High Tol]],"Pass","Fail")))</f>
        <v>Fail</v>
      </c>
      <c r="AH1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 s="1" t="b">
        <v>0</v>
      </c>
      <c r="AN175" s="1" t="b">
        <v>0</v>
      </c>
      <c r="AO175" s="1" t="b">
        <v>0</v>
      </c>
    </row>
    <row r="176" spans="1:41" x14ac:dyDescent="0.25">
      <c r="A176" s="10"/>
      <c r="B176" s="10"/>
      <c r="C176" s="10"/>
      <c r="D176" s="10"/>
      <c r="E176" s="10"/>
      <c r="F176" s="10"/>
      <c r="G176" s="10"/>
      <c r="H176" s="10"/>
      <c r="I176" s="1" t="str">
        <f t="shared" si="6"/>
        <v/>
      </c>
      <c r="J176" s="1" t="s">
        <v>35</v>
      </c>
      <c r="K176" s="1" t="str">
        <f t="shared" si="7"/>
        <v/>
      </c>
      <c r="L176" s="1" t="str">
        <f t="shared" si="8"/>
        <v/>
      </c>
      <c r="M176" s="1">
        <f>IF(OR(Table1[[#This Row],[Std Nom]]="",Table1[[#This Row],[Std Read]]=""),0,Table1[[#This Row],[Std Nom]]-Table1[[#This Row],[Std Read]])</f>
        <v>0</v>
      </c>
      <c r="N176" s="1">
        <f>IF(Calculations!$F$5="ACCREDITED 17025 WITH UNCERTAINTIES",$N$10,0)</f>
        <v>0</v>
      </c>
      <c r="O176" s="1" t="str">
        <f>IFERROR(Table1[[#This Row],[Std Nom]]-(_xlfn.XLOOKUP(Table1[[#This Row],[Manufacturer]]&amp;" "&amp;Table1[[#This Row],[Model]],Table13[MFR &amp; MDL],Table13[Tolerance % CW ],"")/100*Table1[[#This Row],[Std Nom]]),"")</f>
        <v/>
      </c>
      <c r="P176" s="1" t="str">
        <f>IFERROR(Table1[[#This Row],[Std Nom]]+(_xlfn.XLOOKUP(Table1[[#This Row],[Manufacturer]]&amp;" "&amp;Table1[[#This Row],[Model]],Table13[MFR &amp; MDL],Table13[Tolerance % CW ],"")/100*Table1[[#This Row],[Std Nom]]),"")</f>
        <v/>
      </c>
      <c r="Q176" s="1" t="e">
        <f>Table1[[#This Row],[High Tol]]-Table1[[#This Row],[Low Tol]]</f>
        <v>#VALUE!</v>
      </c>
      <c r="R176" s="1">
        <f>2*Table1[[#This Row],[Std Error]]</f>
        <v>0</v>
      </c>
      <c r="S176" s="1" t="str">
        <f>IF(Table1[[#This Row],[High Tol]]="","N/A",IFERROR(ABS(Table1[[#This Row],[Tol Span]]/Table1[[#This Row],[Error Span]]),"N/A"))</f>
        <v>N/A</v>
      </c>
      <c r="T176" s="1" t="str">
        <f>IF(OR(Table1[[#This Row],[Low Tol]]="",Table1[[#This Row],[High Tol]]=""),"Needs Analysis",IF(Table1[[#This Row],[Ratio]]&gt;=4,"Not Significant",IF(Table1[[#This Row],[Ratio]]&gt;=2,"Semi-Significant","Significant")))</f>
        <v>Needs Analysis</v>
      </c>
      <c r="W176" s="1">
        <f>IF(Table1[[#This Row],[Cal Type]]&lt;&gt;"ACCREDITED 17025 WITH UNCERTAINTIES",0,"")</f>
        <v>0</v>
      </c>
      <c r="X176" s="1" t="str">
        <f>IF(Table1[[#This Row],[DUT Read]]="","N/A",Table1[[#This Row],[Std Error]]+Table1[[#This Row],[DUT Read]]+Table1[[#This Row],[DUT Ucty]])</f>
        <v>N/A</v>
      </c>
      <c r="Y176" s="1" t="str">
        <f>IF(Table1[[#This Row],[Std Read]]="","N/A",Table1[[#This Row],[Std Read]]+Table1[[#This Row],[Std Ucty]])</f>
        <v>N/A</v>
      </c>
      <c r="Z1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 s="1" t="str">
        <f>IF(Table1[[#This Row],[Spec Type]]="","N/A",Table1[[#This Row],[Spec Type]])</f>
        <v>±</v>
      </c>
      <c r="AC176" s="1" t="str">
        <f>IF(Table1[[#This Row],[Spec Type2]]="N/A","N/A",IF(AND(Table1[[#This Row],[DUT Adj Read]]&gt;=Table1[[#This Row],[Low Tol]],Table1[[#This Row],[DUT Adj Read]]&lt;=Table1[[#This Row],[High Tol]]),"Pass","Fail"))</f>
        <v>Fail</v>
      </c>
      <c r="AD176" s="1" t="str">
        <f>IF(AND(Table1[[#This Row],[Spec Type2]]="N/A",Table1[[#This Row],[DUT Adj Read]]="N/A",Table1[[#This Row],[Std Adj Read]]="N/A"),"N/A",IF(Table1[[#This Row],[DUT Adj Read]]="N/A",IF(Table1[[#This Row],[Std Adj Read]]&gt;Table1[[#This Row],[Low Tol]],"Pass","Fail"),IF(Table1[[#This Row],[DUT Adj Read]]&gt;Table1[[#This Row],[Low Tol]],"Pass","Fail")))</f>
        <v>Pass</v>
      </c>
      <c r="AE176" s="1" t="str">
        <f>IF(AND(Table1[[#This Row],[Spec Type2]]="N/A",Table1[[#This Row],[DUT Adj Read]]="N/A",Table1[[#This Row],[Std Adj Read]]="N/A"),"N/A",IF(Table1[[#This Row],[DUT Adj Read]]="N/A",IF(Table1[[#This Row],[Std Adj Read]]&lt;Table1[[#This Row],[High Tol]],"Pass","Fail"),IF(Table1[[#This Row],[DUT Adj Read]]&lt;Table1[[#This Row],[High Tol]],"Pass","Fail")))</f>
        <v>Fail</v>
      </c>
      <c r="AF176" s="1" t="str">
        <f>IF(AND(Table1[[#This Row],[Spec Type2]]="N/A",Table1[[#This Row],[DUT Adj Read]]="N/A",Table1[[#This Row],[Std Adj Read]]="N/A"),"N/A",IF(Table1[[#This Row],[DUT Adj Read]]="N/A",IF(Table1[[#This Row],[Std Adj Read]]&gt;=Table1[[#This Row],[Low Tol]],"Pass","Fail"),IF(Table1[[#This Row],[DUT Adj Read]]&gt;=Table1[[#This Row],[Low Tol]],"Pass","Fail")))</f>
        <v>Pass</v>
      </c>
      <c r="AG176" s="1" t="str">
        <f>IF(AND(Table1[[#This Row],[Spec Type2]]="N/A",Table1[[#This Row],[DUT Adj Read]]="N/A",Table1[[#This Row],[Std Adj Read]]="N/A"),"N/A",IF(Table1[[#This Row],[DUT Adj Read]]="N/A",IF(Table1[[#This Row],[Std Adj Read]]&lt;=Table1[[#This Row],[High Tol]],"Pass","Fail"),IF(Table1[[#This Row],[DUT Adj Read]]&lt;=Table1[[#This Row],[High Tol]],"Pass","Fail")))</f>
        <v>Fail</v>
      </c>
      <c r="AH1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 s="1" t="b">
        <v>0</v>
      </c>
      <c r="AN176" s="1" t="b">
        <v>0</v>
      </c>
      <c r="AO176" s="1" t="b">
        <v>0</v>
      </c>
    </row>
    <row r="177" spans="1:41" x14ac:dyDescent="0.25">
      <c r="A177" s="10"/>
      <c r="B177" s="10"/>
      <c r="C177" s="10"/>
      <c r="D177" s="10"/>
      <c r="E177" s="10"/>
      <c r="F177" s="10"/>
      <c r="G177" s="10"/>
      <c r="H177" s="10"/>
      <c r="I177" s="1" t="str">
        <f t="shared" si="6"/>
        <v/>
      </c>
      <c r="J177" s="1" t="s">
        <v>35</v>
      </c>
      <c r="K177" s="1" t="str">
        <f t="shared" si="7"/>
        <v/>
      </c>
      <c r="L177" s="1" t="str">
        <f t="shared" si="8"/>
        <v/>
      </c>
      <c r="M177" s="1">
        <f>IF(OR(Table1[[#This Row],[Std Nom]]="",Table1[[#This Row],[Std Read]]=""),0,Table1[[#This Row],[Std Nom]]-Table1[[#This Row],[Std Read]])</f>
        <v>0</v>
      </c>
      <c r="N177" s="1">
        <f>IF(Calculations!$F$5="ACCREDITED 17025 WITH UNCERTAINTIES",$N$10,0)</f>
        <v>0</v>
      </c>
      <c r="O177" s="1" t="str">
        <f>IFERROR(Table1[[#This Row],[Std Nom]]-(_xlfn.XLOOKUP(Table1[[#This Row],[Manufacturer]]&amp;" "&amp;Table1[[#This Row],[Model]],Table13[MFR &amp; MDL],Table13[Tolerance % CW ],"")/100*Table1[[#This Row],[Std Nom]]),"")</f>
        <v/>
      </c>
      <c r="P177" s="1" t="str">
        <f>IFERROR(Table1[[#This Row],[Std Nom]]+(_xlfn.XLOOKUP(Table1[[#This Row],[Manufacturer]]&amp;" "&amp;Table1[[#This Row],[Model]],Table13[MFR &amp; MDL],Table13[Tolerance % CW ],"")/100*Table1[[#This Row],[Std Nom]]),"")</f>
        <v/>
      </c>
      <c r="Q177" s="1" t="e">
        <f>Table1[[#This Row],[High Tol]]-Table1[[#This Row],[Low Tol]]</f>
        <v>#VALUE!</v>
      </c>
      <c r="R177" s="1">
        <f>2*Table1[[#This Row],[Std Error]]</f>
        <v>0</v>
      </c>
      <c r="S177" s="1" t="str">
        <f>IF(Table1[[#This Row],[High Tol]]="","N/A",IFERROR(ABS(Table1[[#This Row],[Tol Span]]/Table1[[#This Row],[Error Span]]),"N/A"))</f>
        <v>N/A</v>
      </c>
      <c r="T177" s="1" t="str">
        <f>IF(OR(Table1[[#This Row],[Low Tol]]="",Table1[[#This Row],[High Tol]]=""),"Needs Analysis",IF(Table1[[#This Row],[Ratio]]&gt;=4,"Not Significant",IF(Table1[[#This Row],[Ratio]]&gt;=2,"Semi-Significant","Significant")))</f>
        <v>Needs Analysis</v>
      </c>
      <c r="W177" s="1">
        <f>IF(Table1[[#This Row],[Cal Type]]&lt;&gt;"ACCREDITED 17025 WITH UNCERTAINTIES",0,"")</f>
        <v>0</v>
      </c>
      <c r="X177" s="1" t="str">
        <f>IF(Table1[[#This Row],[DUT Read]]="","N/A",Table1[[#This Row],[Std Error]]+Table1[[#This Row],[DUT Read]]+Table1[[#This Row],[DUT Ucty]])</f>
        <v>N/A</v>
      </c>
      <c r="Y177" s="1" t="str">
        <f>IF(Table1[[#This Row],[Std Read]]="","N/A",Table1[[#This Row],[Std Read]]+Table1[[#This Row],[Std Ucty]])</f>
        <v>N/A</v>
      </c>
      <c r="Z1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 s="1" t="str">
        <f>IF(Table1[[#This Row],[Spec Type]]="","N/A",Table1[[#This Row],[Spec Type]])</f>
        <v>±</v>
      </c>
      <c r="AC177" s="1" t="str">
        <f>IF(Table1[[#This Row],[Spec Type2]]="N/A","N/A",IF(AND(Table1[[#This Row],[DUT Adj Read]]&gt;=Table1[[#This Row],[Low Tol]],Table1[[#This Row],[DUT Adj Read]]&lt;=Table1[[#This Row],[High Tol]]),"Pass","Fail"))</f>
        <v>Fail</v>
      </c>
      <c r="AD177" s="1" t="str">
        <f>IF(AND(Table1[[#This Row],[Spec Type2]]="N/A",Table1[[#This Row],[DUT Adj Read]]="N/A",Table1[[#This Row],[Std Adj Read]]="N/A"),"N/A",IF(Table1[[#This Row],[DUT Adj Read]]="N/A",IF(Table1[[#This Row],[Std Adj Read]]&gt;Table1[[#This Row],[Low Tol]],"Pass","Fail"),IF(Table1[[#This Row],[DUT Adj Read]]&gt;Table1[[#This Row],[Low Tol]],"Pass","Fail")))</f>
        <v>Pass</v>
      </c>
      <c r="AE177" s="1" t="str">
        <f>IF(AND(Table1[[#This Row],[Spec Type2]]="N/A",Table1[[#This Row],[DUT Adj Read]]="N/A",Table1[[#This Row],[Std Adj Read]]="N/A"),"N/A",IF(Table1[[#This Row],[DUT Adj Read]]="N/A",IF(Table1[[#This Row],[Std Adj Read]]&lt;Table1[[#This Row],[High Tol]],"Pass","Fail"),IF(Table1[[#This Row],[DUT Adj Read]]&lt;Table1[[#This Row],[High Tol]],"Pass","Fail")))</f>
        <v>Fail</v>
      </c>
      <c r="AF177" s="1" t="str">
        <f>IF(AND(Table1[[#This Row],[Spec Type2]]="N/A",Table1[[#This Row],[DUT Adj Read]]="N/A",Table1[[#This Row],[Std Adj Read]]="N/A"),"N/A",IF(Table1[[#This Row],[DUT Adj Read]]="N/A",IF(Table1[[#This Row],[Std Adj Read]]&gt;=Table1[[#This Row],[Low Tol]],"Pass","Fail"),IF(Table1[[#This Row],[DUT Adj Read]]&gt;=Table1[[#This Row],[Low Tol]],"Pass","Fail")))</f>
        <v>Pass</v>
      </c>
      <c r="AG177" s="1" t="str">
        <f>IF(AND(Table1[[#This Row],[Spec Type2]]="N/A",Table1[[#This Row],[DUT Adj Read]]="N/A",Table1[[#This Row],[Std Adj Read]]="N/A"),"N/A",IF(Table1[[#This Row],[DUT Adj Read]]="N/A",IF(Table1[[#This Row],[Std Adj Read]]&lt;=Table1[[#This Row],[High Tol]],"Pass","Fail"),IF(Table1[[#This Row],[DUT Adj Read]]&lt;=Table1[[#This Row],[High Tol]],"Pass","Fail")))</f>
        <v>Fail</v>
      </c>
      <c r="AH1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 s="1" t="b">
        <v>0</v>
      </c>
      <c r="AN177" s="1" t="b">
        <v>0</v>
      </c>
      <c r="AO177" s="1" t="b">
        <v>0</v>
      </c>
    </row>
    <row r="178" spans="1:41" x14ac:dyDescent="0.25">
      <c r="A178" s="10"/>
      <c r="B178" s="10"/>
      <c r="C178" s="10"/>
      <c r="D178" s="10"/>
      <c r="E178" s="10"/>
      <c r="F178" s="10"/>
      <c r="G178" s="10"/>
      <c r="H178" s="10"/>
      <c r="I178" s="1" t="str">
        <f t="shared" si="6"/>
        <v/>
      </c>
      <c r="J178" s="1" t="s">
        <v>35</v>
      </c>
      <c r="K178" s="1" t="str">
        <f t="shared" si="7"/>
        <v/>
      </c>
      <c r="L178" s="1" t="str">
        <f t="shared" si="8"/>
        <v/>
      </c>
      <c r="M178" s="1">
        <f>IF(OR(Table1[[#This Row],[Std Nom]]="",Table1[[#This Row],[Std Read]]=""),0,Table1[[#This Row],[Std Nom]]-Table1[[#This Row],[Std Read]])</f>
        <v>0</v>
      </c>
      <c r="N178" s="1">
        <f>IF(Calculations!$F$5="ACCREDITED 17025 WITH UNCERTAINTIES",$N$10,0)</f>
        <v>0</v>
      </c>
      <c r="O178" s="1" t="str">
        <f>IFERROR(Table1[[#This Row],[Std Nom]]-(_xlfn.XLOOKUP(Table1[[#This Row],[Manufacturer]]&amp;" "&amp;Table1[[#This Row],[Model]],Table13[MFR &amp; MDL],Table13[Tolerance % CW ],"")/100*Table1[[#This Row],[Std Nom]]),"")</f>
        <v/>
      </c>
      <c r="P178" s="1" t="str">
        <f>IFERROR(Table1[[#This Row],[Std Nom]]+(_xlfn.XLOOKUP(Table1[[#This Row],[Manufacturer]]&amp;" "&amp;Table1[[#This Row],[Model]],Table13[MFR &amp; MDL],Table13[Tolerance % CW ],"")/100*Table1[[#This Row],[Std Nom]]),"")</f>
        <v/>
      </c>
      <c r="Q178" s="1" t="e">
        <f>Table1[[#This Row],[High Tol]]-Table1[[#This Row],[Low Tol]]</f>
        <v>#VALUE!</v>
      </c>
      <c r="R178" s="1">
        <f>2*Table1[[#This Row],[Std Error]]</f>
        <v>0</v>
      </c>
      <c r="S178" s="1" t="str">
        <f>IF(Table1[[#This Row],[High Tol]]="","N/A",IFERROR(ABS(Table1[[#This Row],[Tol Span]]/Table1[[#This Row],[Error Span]]),"N/A"))</f>
        <v>N/A</v>
      </c>
      <c r="T178" s="1" t="str">
        <f>IF(OR(Table1[[#This Row],[Low Tol]]="",Table1[[#This Row],[High Tol]]=""),"Needs Analysis",IF(Table1[[#This Row],[Ratio]]&gt;=4,"Not Significant",IF(Table1[[#This Row],[Ratio]]&gt;=2,"Semi-Significant","Significant")))</f>
        <v>Needs Analysis</v>
      </c>
      <c r="W178" s="1">
        <f>IF(Table1[[#This Row],[Cal Type]]&lt;&gt;"ACCREDITED 17025 WITH UNCERTAINTIES",0,"")</f>
        <v>0</v>
      </c>
      <c r="X178" s="1" t="str">
        <f>IF(Table1[[#This Row],[DUT Read]]="","N/A",Table1[[#This Row],[Std Error]]+Table1[[#This Row],[DUT Read]]+Table1[[#This Row],[DUT Ucty]])</f>
        <v>N/A</v>
      </c>
      <c r="Y178" s="1" t="str">
        <f>IF(Table1[[#This Row],[Std Read]]="","N/A",Table1[[#This Row],[Std Read]]+Table1[[#This Row],[Std Ucty]])</f>
        <v>N/A</v>
      </c>
      <c r="Z1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 s="1" t="str">
        <f>IF(Table1[[#This Row],[Spec Type]]="","N/A",Table1[[#This Row],[Spec Type]])</f>
        <v>±</v>
      </c>
      <c r="AC178" s="1" t="str">
        <f>IF(Table1[[#This Row],[Spec Type2]]="N/A","N/A",IF(AND(Table1[[#This Row],[DUT Adj Read]]&gt;=Table1[[#This Row],[Low Tol]],Table1[[#This Row],[DUT Adj Read]]&lt;=Table1[[#This Row],[High Tol]]),"Pass","Fail"))</f>
        <v>Fail</v>
      </c>
      <c r="AD178" s="1" t="str">
        <f>IF(AND(Table1[[#This Row],[Spec Type2]]="N/A",Table1[[#This Row],[DUT Adj Read]]="N/A",Table1[[#This Row],[Std Adj Read]]="N/A"),"N/A",IF(Table1[[#This Row],[DUT Adj Read]]="N/A",IF(Table1[[#This Row],[Std Adj Read]]&gt;Table1[[#This Row],[Low Tol]],"Pass","Fail"),IF(Table1[[#This Row],[DUT Adj Read]]&gt;Table1[[#This Row],[Low Tol]],"Pass","Fail")))</f>
        <v>Pass</v>
      </c>
      <c r="AE178" s="1" t="str">
        <f>IF(AND(Table1[[#This Row],[Spec Type2]]="N/A",Table1[[#This Row],[DUT Adj Read]]="N/A",Table1[[#This Row],[Std Adj Read]]="N/A"),"N/A",IF(Table1[[#This Row],[DUT Adj Read]]="N/A",IF(Table1[[#This Row],[Std Adj Read]]&lt;Table1[[#This Row],[High Tol]],"Pass","Fail"),IF(Table1[[#This Row],[DUT Adj Read]]&lt;Table1[[#This Row],[High Tol]],"Pass","Fail")))</f>
        <v>Fail</v>
      </c>
      <c r="AF178" s="1" t="str">
        <f>IF(AND(Table1[[#This Row],[Spec Type2]]="N/A",Table1[[#This Row],[DUT Adj Read]]="N/A",Table1[[#This Row],[Std Adj Read]]="N/A"),"N/A",IF(Table1[[#This Row],[DUT Adj Read]]="N/A",IF(Table1[[#This Row],[Std Adj Read]]&gt;=Table1[[#This Row],[Low Tol]],"Pass","Fail"),IF(Table1[[#This Row],[DUT Adj Read]]&gt;=Table1[[#This Row],[Low Tol]],"Pass","Fail")))</f>
        <v>Pass</v>
      </c>
      <c r="AG178" s="1" t="str">
        <f>IF(AND(Table1[[#This Row],[Spec Type2]]="N/A",Table1[[#This Row],[DUT Adj Read]]="N/A",Table1[[#This Row],[Std Adj Read]]="N/A"),"N/A",IF(Table1[[#This Row],[DUT Adj Read]]="N/A",IF(Table1[[#This Row],[Std Adj Read]]&lt;=Table1[[#This Row],[High Tol]],"Pass","Fail"),IF(Table1[[#This Row],[DUT Adj Read]]&lt;=Table1[[#This Row],[High Tol]],"Pass","Fail")))</f>
        <v>Fail</v>
      </c>
      <c r="AH1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 s="1" t="b">
        <v>0</v>
      </c>
      <c r="AN178" s="1" t="b">
        <v>0</v>
      </c>
      <c r="AO178" s="1" t="b">
        <v>0</v>
      </c>
    </row>
    <row r="179" spans="1:41" x14ac:dyDescent="0.25">
      <c r="A179" s="10"/>
      <c r="B179" s="10"/>
      <c r="C179" s="10"/>
      <c r="D179" s="10"/>
      <c r="E179" s="10"/>
      <c r="F179" s="10"/>
      <c r="G179" s="10"/>
      <c r="H179" s="10"/>
      <c r="I179" s="1" t="str">
        <f t="shared" si="6"/>
        <v/>
      </c>
      <c r="J179" s="1" t="s">
        <v>35</v>
      </c>
      <c r="K179" s="1" t="str">
        <f t="shared" si="7"/>
        <v/>
      </c>
      <c r="L179" s="1" t="str">
        <f t="shared" si="8"/>
        <v/>
      </c>
      <c r="M179" s="1">
        <f>IF(OR(Table1[[#This Row],[Std Nom]]="",Table1[[#This Row],[Std Read]]=""),0,Table1[[#This Row],[Std Nom]]-Table1[[#This Row],[Std Read]])</f>
        <v>0</v>
      </c>
      <c r="N179" s="1">
        <f>IF(Calculations!$F$5="ACCREDITED 17025 WITH UNCERTAINTIES",$N$10,0)</f>
        <v>0</v>
      </c>
      <c r="O179" s="1" t="str">
        <f>IFERROR(Table1[[#This Row],[Std Nom]]-(_xlfn.XLOOKUP(Table1[[#This Row],[Manufacturer]]&amp;" "&amp;Table1[[#This Row],[Model]],Table13[MFR &amp; MDL],Table13[Tolerance % CW ],"")/100*Table1[[#This Row],[Std Nom]]),"")</f>
        <v/>
      </c>
      <c r="P179" s="1" t="str">
        <f>IFERROR(Table1[[#This Row],[Std Nom]]+(_xlfn.XLOOKUP(Table1[[#This Row],[Manufacturer]]&amp;" "&amp;Table1[[#This Row],[Model]],Table13[MFR &amp; MDL],Table13[Tolerance % CW ],"")/100*Table1[[#This Row],[Std Nom]]),"")</f>
        <v/>
      </c>
      <c r="Q179" s="1" t="e">
        <f>Table1[[#This Row],[High Tol]]-Table1[[#This Row],[Low Tol]]</f>
        <v>#VALUE!</v>
      </c>
      <c r="R179" s="1">
        <f>2*Table1[[#This Row],[Std Error]]</f>
        <v>0</v>
      </c>
      <c r="S179" s="1" t="str">
        <f>IF(Table1[[#This Row],[High Tol]]="","N/A",IFERROR(ABS(Table1[[#This Row],[Tol Span]]/Table1[[#This Row],[Error Span]]),"N/A"))</f>
        <v>N/A</v>
      </c>
      <c r="T179" s="1" t="str">
        <f>IF(OR(Table1[[#This Row],[Low Tol]]="",Table1[[#This Row],[High Tol]]=""),"Needs Analysis",IF(Table1[[#This Row],[Ratio]]&gt;=4,"Not Significant",IF(Table1[[#This Row],[Ratio]]&gt;=2,"Semi-Significant","Significant")))</f>
        <v>Needs Analysis</v>
      </c>
      <c r="W179" s="1">
        <f>IF(Table1[[#This Row],[Cal Type]]&lt;&gt;"ACCREDITED 17025 WITH UNCERTAINTIES",0,"")</f>
        <v>0</v>
      </c>
      <c r="X179" s="1" t="str">
        <f>IF(Table1[[#This Row],[DUT Read]]="","N/A",Table1[[#This Row],[Std Error]]+Table1[[#This Row],[DUT Read]]+Table1[[#This Row],[DUT Ucty]])</f>
        <v>N/A</v>
      </c>
      <c r="Y179" s="1" t="str">
        <f>IF(Table1[[#This Row],[Std Read]]="","N/A",Table1[[#This Row],[Std Read]]+Table1[[#This Row],[Std Ucty]])</f>
        <v>N/A</v>
      </c>
      <c r="Z1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 s="1" t="str">
        <f>IF(Table1[[#This Row],[Spec Type]]="","N/A",Table1[[#This Row],[Spec Type]])</f>
        <v>±</v>
      </c>
      <c r="AC179" s="1" t="str">
        <f>IF(Table1[[#This Row],[Spec Type2]]="N/A","N/A",IF(AND(Table1[[#This Row],[DUT Adj Read]]&gt;=Table1[[#This Row],[Low Tol]],Table1[[#This Row],[DUT Adj Read]]&lt;=Table1[[#This Row],[High Tol]]),"Pass","Fail"))</f>
        <v>Fail</v>
      </c>
      <c r="AD179" s="1" t="str">
        <f>IF(AND(Table1[[#This Row],[Spec Type2]]="N/A",Table1[[#This Row],[DUT Adj Read]]="N/A",Table1[[#This Row],[Std Adj Read]]="N/A"),"N/A",IF(Table1[[#This Row],[DUT Adj Read]]="N/A",IF(Table1[[#This Row],[Std Adj Read]]&gt;Table1[[#This Row],[Low Tol]],"Pass","Fail"),IF(Table1[[#This Row],[DUT Adj Read]]&gt;Table1[[#This Row],[Low Tol]],"Pass","Fail")))</f>
        <v>Pass</v>
      </c>
      <c r="AE179" s="1" t="str">
        <f>IF(AND(Table1[[#This Row],[Spec Type2]]="N/A",Table1[[#This Row],[DUT Adj Read]]="N/A",Table1[[#This Row],[Std Adj Read]]="N/A"),"N/A",IF(Table1[[#This Row],[DUT Adj Read]]="N/A",IF(Table1[[#This Row],[Std Adj Read]]&lt;Table1[[#This Row],[High Tol]],"Pass","Fail"),IF(Table1[[#This Row],[DUT Adj Read]]&lt;Table1[[#This Row],[High Tol]],"Pass","Fail")))</f>
        <v>Fail</v>
      </c>
      <c r="AF179" s="1" t="str">
        <f>IF(AND(Table1[[#This Row],[Spec Type2]]="N/A",Table1[[#This Row],[DUT Adj Read]]="N/A",Table1[[#This Row],[Std Adj Read]]="N/A"),"N/A",IF(Table1[[#This Row],[DUT Adj Read]]="N/A",IF(Table1[[#This Row],[Std Adj Read]]&gt;=Table1[[#This Row],[Low Tol]],"Pass","Fail"),IF(Table1[[#This Row],[DUT Adj Read]]&gt;=Table1[[#This Row],[Low Tol]],"Pass","Fail")))</f>
        <v>Pass</v>
      </c>
      <c r="AG179" s="1" t="str">
        <f>IF(AND(Table1[[#This Row],[Spec Type2]]="N/A",Table1[[#This Row],[DUT Adj Read]]="N/A",Table1[[#This Row],[Std Adj Read]]="N/A"),"N/A",IF(Table1[[#This Row],[DUT Adj Read]]="N/A",IF(Table1[[#This Row],[Std Adj Read]]&lt;=Table1[[#This Row],[High Tol]],"Pass","Fail"),IF(Table1[[#This Row],[DUT Adj Read]]&lt;=Table1[[#This Row],[High Tol]],"Pass","Fail")))</f>
        <v>Fail</v>
      </c>
      <c r="AH1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 s="1" t="b">
        <v>0</v>
      </c>
      <c r="AN179" s="1" t="b">
        <v>0</v>
      </c>
      <c r="AO179" s="1" t="b">
        <v>0</v>
      </c>
    </row>
    <row r="180" spans="1:41" x14ac:dyDescent="0.25">
      <c r="A180" s="10"/>
      <c r="B180" s="10"/>
      <c r="C180" s="10"/>
      <c r="D180" s="10"/>
      <c r="E180" s="10"/>
      <c r="F180" s="10"/>
      <c r="G180" s="10"/>
      <c r="H180" s="10"/>
      <c r="I180" s="1" t="str">
        <f t="shared" si="6"/>
        <v/>
      </c>
      <c r="J180" s="1" t="s">
        <v>35</v>
      </c>
      <c r="K180" s="1" t="str">
        <f t="shared" si="7"/>
        <v/>
      </c>
      <c r="L180" s="1" t="str">
        <f t="shared" si="8"/>
        <v/>
      </c>
      <c r="M180" s="1">
        <f>IF(OR(Table1[[#This Row],[Std Nom]]="",Table1[[#This Row],[Std Read]]=""),0,Table1[[#This Row],[Std Nom]]-Table1[[#This Row],[Std Read]])</f>
        <v>0</v>
      </c>
      <c r="N180" s="1">
        <f>IF(Calculations!$F$5="ACCREDITED 17025 WITH UNCERTAINTIES",$N$10,0)</f>
        <v>0</v>
      </c>
      <c r="O180" s="1" t="str">
        <f>IFERROR(Table1[[#This Row],[Std Nom]]-(_xlfn.XLOOKUP(Table1[[#This Row],[Manufacturer]]&amp;" "&amp;Table1[[#This Row],[Model]],Table13[MFR &amp; MDL],Table13[Tolerance % CW ],"")/100*Table1[[#This Row],[Std Nom]]),"")</f>
        <v/>
      </c>
      <c r="P180" s="1" t="str">
        <f>IFERROR(Table1[[#This Row],[Std Nom]]+(_xlfn.XLOOKUP(Table1[[#This Row],[Manufacturer]]&amp;" "&amp;Table1[[#This Row],[Model]],Table13[MFR &amp; MDL],Table13[Tolerance % CW ],"")/100*Table1[[#This Row],[Std Nom]]),"")</f>
        <v/>
      </c>
      <c r="Q180" s="1" t="e">
        <f>Table1[[#This Row],[High Tol]]-Table1[[#This Row],[Low Tol]]</f>
        <v>#VALUE!</v>
      </c>
      <c r="R180" s="1">
        <f>2*Table1[[#This Row],[Std Error]]</f>
        <v>0</v>
      </c>
      <c r="S180" s="1" t="str">
        <f>IF(Table1[[#This Row],[High Tol]]="","N/A",IFERROR(ABS(Table1[[#This Row],[Tol Span]]/Table1[[#This Row],[Error Span]]),"N/A"))</f>
        <v>N/A</v>
      </c>
      <c r="T180" s="1" t="str">
        <f>IF(OR(Table1[[#This Row],[Low Tol]]="",Table1[[#This Row],[High Tol]]=""),"Needs Analysis",IF(Table1[[#This Row],[Ratio]]&gt;=4,"Not Significant",IF(Table1[[#This Row],[Ratio]]&gt;=2,"Semi-Significant","Significant")))</f>
        <v>Needs Analysis</v>
      </c>
      <c r="W180" s="1">
        <f>IF(Table1[[#This Row],[Cal Type]]&lt;&gt;"ACCREDITED 17025 WITH UNCERTAINTIES",0,"")</f>
        <v>0</v>
      </c>
      <c r="X180" s="1" t="str">
        <f>IF(Table1[[#This Row],[DUT Read]]="","N/A",Table1[[#This Row],[Std Error]]+Table1[[#This Row],[DUT Read]]+Table1[[#This Row],[DUT Ucty]])</f>
        <v>N/A</v>
      </c>
      <c r="Y180" s="1" t="str">
        <f>IF(Table1[[#This Row],[Std Read]]="","N/A",Table1[[#This Row],[Std Read]]+Table1[[#This Row],[Std Ucty]])</f>
        <v>N/A</v>
      </c>
      <c r="Z1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 s="1" t="str">
        <f>IF(Table1[[#This Row],[Spec Type]]="","N/A",Table1[[#This Row],[Spec Type]])</f>
        <v>±</v>
      </c>
      <c r="AC180" s="1" t="str">
        <f>IF(Table1[[#This Row],[Spec Type2]]="N/A","N/A",IF(AND(Table1[[#This Row],[DUT Adj Read]]&gt;=Table1[[#This Row],[Low Tol]],Table1[[#This Row],[DUT Adj Read]]&lt;=Table1[[#This Row],[High Tol]]),"Pass","Fail"))</f>
        <v>Fail</v>
      </c>
      <c r="AD180" s="1" t="str">
        <f>IF(AND(Table1[[#This Row],[Spec Type2]]="N/A",Table1[[#This Row],[DUT Adj Read]]="N/A",Table1[[#This Row],[Std Adj Read]]="N/A"),"N/A",IF(Table1[[#This Row],[DUT Adj Read]]="N/A",IF(Table1[[#This Row],[Std Adj Read]]&gt;Table1[[#This Row],[Low Tol]],"Pass","Fail"),IF(Table1[[#This Row],[DUT Adj Read]]&gt;Table1[[#This Row],[Low Tol]],"Pass","Fail")))</f>
        <v>Pass</v>
      </c>
      <c r="AE180" s="1" t="str">
        <f>IF(AND(Table1[[#This Row],[Spec Type2]]="N/A",Table1[[#This Row],[DUT Adj Read]]="N/A",Table1[[#This Row],[Std Adj Read]]="N/A"),"N/A",IF(Table1[[#This Row],[DUT Adj Read]]="N/A",IF(Table1[[#This Row],[Std Adj Read]]&lt;Table1[[#This Row],[High Tol]],"Pass","Fail"),IF(Table1[[#This Row],[DUT Adj Read]]&lt;Table1[[#This Row],[High Tol]],"Pass","Fail")))</f>
        <v>Fail</v>
      </c>
      <c r="AF180" s="1" t="str">
        <f>IF(AND(Table1[[#This Row],[Spec Type2]]="N/A",Table1[[#This Row],[DUT Adj Read]]="N/A",Table1[[#This Row],[Std Adj Read]]="N/A"),"N/A",IF(Table1[[#This Row],[DUT Adj Read]]="N/A",IF(Table1[[#This Row],[Std Adj Read]]&gt;=Table1[[#This Row],[Low Tol]],"Pass","Fail"),IF(Table1[[#This Row],[DUT Adj Read]]&gt;=Table1[[#This Row],[Low Tol]],"Pass","Fail")))</f>
        <v>Pass</v>
      </c>
      <c r="AG180" s="1" t="str">
        <f>IF(AND(Table1[[#This Row],[Spec Type2]]="N/A",Table1[[#This Row],[DUT Adj Read]]="N/A",Table1[[#This Row],[Std Adj Read]]="N/A"),"N/A",IF(Table1[[#This Row],[DUT Adj Read]]="N/A",IF(Table1[[#This Row],[Std Adj Read]]&lt;=Table1[[#This Row],[High Tol]],"Pass","Fail"),IF(Table1[[#This Row],[DUT Adj Read]]&lt;=Table1[[#This Row],[High Tol]],"Pass","Fail")))</f>
        <v>Fail</v>
      </c>
      <c r="AH1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 s="1" t="b">
        <v>0</v>
      </c>
      <c r="AN180" s="1" t="b">
        <v>0</v>
      </c>
      <c r="AO180" s="1" t="b">
        <v>0</v>
      </c>
    </row>
    <row r="181" spans="1:41" x14ac:dyDescent="0.25">
      <c r="A181" s="10"/>
      <c r="B181" s="10"/>
      <c r="C181" s="10"/>
      <c r="D181" s="10"/>
      <c r="E181" s="10"/>
      <c r="F181" s="10"/>
      <c r="G181" s="10"/>
      <c r="H181" s="10"/>
      <c r="I181" s="1" t="str">
        <f t="shared" si="6"/>
        <v/>
      </c>
      <c r="J181" s="1" t="s">
        <v>35</v>
      </c>
      <c r="K181" s="1" t="str">
        <f t="shared" si="7"/>
        <v/>
      </c>
      <c r="L181" s="1" t="str">
        <f t="shared" si="8"/>
        <v/>
      </c>
      <c r="M181" s="1">
        <f>IF(OR(Table1[[#This Row],[Std Nom]]="",Table1[[#This Row],[Std Read]]=""),0,Table1[[#This Row],[Std Nom]]-Table1[[#This Row],[Std Read]])</f>
        <v>0</v>
      </c>
      <c r="N181" s="1">
        <f>IF(Calculations!$F$5="ACCREDITED 17025 WITH UNCERTAINTIES",$N$10,0)</f>
        <v>0</v>
      </c>
      <c r="O181" s="1" t="str">
        <f>IFERROR(Table1[[#This Row],[Std Nom]]-(_xlfn.XLOOKUP(Table1[[#This Row],[Manufacturer]]&amp;" "&amp;Table1[[#This Row],[Model]],Table13[MFR &amp; MDL],Table13[Tolerance % CW ],"")/100*Table1[[#This Row],[Std Nom]]),"")</f>
        <v/>
      </c>
      <c r="P181" s="1" t="str">
        <f>IFERROR(Table1[[#This Row],[Std Nom]]+(_xlfn.XLOOKUP(Table1[[#This Row],[Manufacturer]]&amp;" "&amp;Table1[[#This Row],[Model]],Table13[MFR &amp; MDL],Table13[Tolerance % CW ],"")/100*Table1[[#This Row],[Std Nom]]),"")</f>
        <v/>
      </c>
      <c r="Q181" s="1" t="e">
        <f>Table1[[#This Row],[High Tol]]-Table1[[#This Row],[Low Tol]]</f>
        <v>#VALUE!</v>
      </c>
      <c r="R181" s="1">
        <f>2*Table1[[#This Row],[Std Error]]</f>
        <v>0</v>
      </c>
      <c r="S181" s="1" t="str">
        <f>IF(Table1[[#This Row],[High Tol]]="","N/A",IFERROR(ABS(Table1[[#This Row],[Tol Span]]/Table1[[#This Row],[Error Span]]),"N/A"))</f>
        <v>N/A</v>
      </c>
      <c r="T181" s="1" t="str">
        <f>IF(OR(Table1[[#This Row],[Low Tol]]="",Table1[[#This Row],[High Tol]]=""),"Needs Analysis",IF(Table1[[#This Row],[Ratio]]&gt;=4,"Not Significant",IF(Table1[[#This Row],[Ratio]]&gt;=2,"Semi-Significant","Significant")))</f>
        <v>Needs Analysis</v>
      </c>
      <c r="W181" s="1">
        <f>IF(Table1[[#This Row],[Cal Type]]&lt;&gt;"ACCREDITED 17025 WITH UNCERTAINTIES",0,"")</f>
        <v>0</v>
      </c>
      <c r="X181" s="1" t="str">
        <f>IF(Table1[[#This Row],[DUT Read]]="","N/A",Table1[[#This Row],[Std Error]]+Table1[[#This Row],[DUT Read]]+Table1[[#This Row],[DUT Ucty]])</f>
        <v>N/A</v>
      </c>
      <c r="Y181" s="1" t="str">
        <f>IF(Table1[[#This Row],[Std Read]]="","N/A",Table1[[#This Row],[Std Read]]+Table1[[#This Row],[Std Ucty]])</f>
        <v>N/A</v>
      </c>
      <c r="Z1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 s="1" t="str">
        <f>IF(Table1[[#This Row],[Spec Type]]="","N/A",Table1[[#This Row],[Spec Type]])</f>
        <v>±</v>
      </c>
      <c r="AC181" s="1" t="str">
        <f>IF(Table1[[#This Row],[Spec Type2]]="N/A","N/A",IF(AND(Table1[[#This Row],[DUT Adj Read]]&gt;=Table1[[#This Row],[Low Tol]],Table1[[#This Row],[DUT Adj Read]]&lt;=Table1[[#This Row],[High Tol]]),"Pass","Fail"))</f>
        <v>Fail</v>
      </c>
      <c r="AD181" s="1" t="str">
        <f>IF(AND(Table1[[#This Row],[Spec Type2]]="N/A",Table1[[#This Row],[DUT Adj Read]]="N/A",Table1[[#This Row],[Std Adj Read]]="N/A"),"N/A",IF(Table1[[#This Row],[DUT Adj Read]]="N/A",IF(Table1[[#This Row],[Std Adj Read]]&gt;Table1[[#This Row],[Low Tol]],"Pass","Fail"),IF(Table1[[#This Row],[DUT Adj Read]]&gt;Table1[[#This Row],[Low Tol]],"Pass","Fail")))</f>
        <v>Pass</v>
      </c>
      <c r="AE181" s="1" t="str">
        <f>IF(AND(Table1[[#This Row],[Spec Type2]]="N/A",Table1[[#This Row],[DUT Adj Read]]="N/A",Table1[[#This Row],[Std Adj Read]]="N/A"),"N/A",IF(Table1[[#This Row],[DUT Adj Read]]="N/A",IF(Table1[[#This Row],[Std Adj Read]]&lt;Table1[[#This Row],[High Tol]],"Pass","Fail"),IF(Table1[[#This Row],[DUT Adj Read]]&lt;Table1[[#This Row],[High Tol]],"Pass","Fail")))</f>
        <v>Fail</v>
      </c>
      <c r="AF181" s="1" t="str">
        <f>IF(AND(Table1[[#This Row],[Spec Type2]]="N/A",Table1[[#This Row],[DUT Adj Read]]="N/A",Table1[[#This Row],[Std Adj Read]]="N/A"),"N/A",IF(Table1[[#This Row],[DUT Adj Read]]="N/A",IF(Table1[[#This Row],[Std Adj Read]]&gt;=Table1[[#This Row],[Low Tol]],"Pass","Fail"),IF(Table1[[#This Row],[DUT Adj Read]]&gt;=Table1[[#This Row],[Low Tol]],"Pass","Fail")))</f>
        <v>Pass</v>
      </c>
      <c r="AG181" s="1" t="str">
        <f>IF(AND(Table1[[#This Row],[Spec Type2]]="N/A",Table1[[#This Row],[DUT Adj Read]]="N/A",Table1[[#This Row],[Std Adj Read]]="N/A"),"N/A",IF(Table1[[#This Row],[DUT Adj Read]]="N/A",IF(Table1[[#This Row],[Std Adj Read]]&lt;=Table1[[#This Row],[High Tol]],"Pass","Fail"),IF(Table1[[#This Row],[DUT Adj Read]]&lt;=Table1[[#This Row],[High Tol]],"Pass","Fail")))</f>
        <v>Fail</v>
      </c>
      <c r="AH1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 s="1" t="b">
        <v>0</v>
      </c>
      <c r="AN181" s="1" t="b">
        <v>0</v>
      </c>
      <c r="AO181" s="1" t="b">
        <v>0</v>
      </c>
    </row>
    <row r="182" spans="1:41" x14ac:dyDescent="0.25">
      <c r="A182" s="10"/>
      <c r="B182" s="10"/>
      <c r="C182" s="10"/>
      <c r="D182" s="10"/>
      <c r="E182" s="10"/>
      <c r="F182" s="10"/>
      <c r="G182" s="10"/>
      <c r="H182" s="10"/>
      <c r="I182" s="1" t="str">
        <f t="shared" si="6"/>
        <v/>
      </c>
      <c r="J182" s="1" t="s">
        <v>35</v>
      </c>
      <c r="K182" s="1" t="str">
        <f t="shared" si="7"/>
        <v/>
      </c>
      <c r="L182" s="1" t="str">
        <f t="shared" si="8"/>
        <v/>
      </c>
      <c r="M182" s="1">
        <f>IF(OR(Table1[[#This Row],[Std Nom]]="",Table1[[#This Row],[Std Read]]=""),0,Table1[[#This Row],[Std Nom]]-Table1[[#This Row],[Std Read]])</f>
        <v>0</v>
      </c>
      <c r="N182" s="1">
        <f>IF(Calculations!$F$5="ACCREDITED 17025 WITH UNCERTAINTIES",$N$10,0)</f>
        <v>0</v>
      </c>
      <c r="O182" s="1" t="str">
        <f>IFERROR(Table1[[#This Row],[Std Nom]]-(_xlfn.XLOOKUP(Table1[[#This Row],[Manufacturer]]&amp;" "&amp;Table1[[#This Row],[Model]],Table13[MFR &amp; MDL],Table13[Tolerance % CW ],"")/100*Table1[[#This Row],[Std Nom]]),"")</f>
        <v/>
      </c>
      <c r="P182" s="1" t="str">
        <f>IFERROR(Table1[[#This Row],[Std Nom]]+(_xlfn.XLOOKUP(Table1[[#This Row],[Manufacturer]]&amp;" "&amp;Table1[[#This Row],[Model]],Table13[MFR &amp; MDL],Table13[Tolerance % CW ],"")/100*Table1[[#This Row],[Std Nom]]),"")</f>
        <v/>
      </c>
      <c r="Q182" s="1" t="e">
        <f>Table1[[#This Row],[High Tol]]-Table1[[#This Row],[Low Tol]]</f>
        <v>#VALUE!</v>
      </c>
      <c r="R182" s="1">
        <f>2*Table1[[#This Row],[Std Error]]</f>
        <v>0</v>
      </c>
      <c r="S182" s="1" t="str">
        <f>IF(Table1[[#This Row],[High Tol]]="","N/A",IFERROR(ABS(Table1[[#This Row],[Tol Span]]/Table1[[#This Row],[Error Span]]),"N/A"))</f>
        <v>N/A</v>
      </c>
      <c r="T182" s="1" t="str">
        <f>IF(OR(Table1[[#This Row],[Low Tol]]="",Table1[[#This Row],[High Tol]]=""),"Needs Analysis",IF(Table1[[#This Row],[Ratio]]&gt;=4,"Not Significant",IF(Table1[[#This Row],[Ratio]]&gt;=2,"Semi-Significant","Significant")))</f>
        <v>Needs Analysis</v>
      </c>
      <c r="W182" s="1">
        <f>IF(Table1[[#This Row],[Cal Type]]&lt;&gt;"ACCREDITED 17025 WITH UNCERTAINTIES",0,"")</f>
        <v>0</v>
      </c>
      <c r="X182" s="1" t="str">
        <f>IF(Table1[[#This Row],[DUT Read]]="","N/A",Table1[[#This Row],[Std Error]]+Table1[[#This Row],[DUT Read]]+Table1[[#This Row],[DUT Ucty]])</f>
        <v>N/A</v>
      </c>
      <c r="Y182" s="1" t="str">
        <f>IF(Table1[[#This Row],[Std Read]]="","N/A",Table1[[#This Row],[Std Read]]+Table1[[#This Row],[Std Ucty]])</f>
        <v>N/A</v>
      </c>
      <c r="Z1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 s="1" t="str">
        <f>IF(Table1[[#This Row],[Spec Type]]="","N/A",Table1[[#This Row],[Spec Type]])</f>
        <v>±</v>
      </c>
      <c r="AC182" s="1" t="str">
        <f>IF(Table1[[#This Row],[Spec Type2]]="N/A","N/A",IF(AND(Table1[[#This Row],[DUT Adj Read]]&gt;=Table1[[#This Row],[Low Tol]],Table1[[#This Row],[DUT Adj Read]]&lt;=Table1[[#This Row],[High Tol]]),"Pass","Fail"))</f>
        <v>Fail</v>
      </c>
      <c r="AD182" s="1" t="str">
        <f>IF(AND(Table1[[#This Row],[Spec Type2]]="N/A",Table1[[#This Row],[DUT Adj Read]]="N/A",Table1[[#This Row],[Std Adj Read]]="N/A"),"N/A",IF(Table1[[#This Row],[DUT Adj Read]]="N/A",IF(Table1[[#This Row],[Std Adj Read]]&gt;Table1[[#This Row],[Low Tol]],"Pass","Fail"),IF(Table1[[#This Row],[DUT Adj Read]]&gt;Table1[[#This Row],[Low Tol]],"Pass","Fail")))</f>
        <v>Pass</v>
      </c>
      <c r="AE182" s="1" t="str">
        <f>IF(AND(Table1[[#This Row],[Spec Type2]]="N/A",Table1[[#This Row],[DUT Adj Read]]="N/A",Table1[[#This Row],[Std Adj Read]]="N/A"),"N/A",IF(Table1[[#This Row],[DUT Adj Read]]="N/A",IF(Table1[[#This Row],[Std Adj Read]]&lt;Table1[[#This Row],[High Tol]],"Pass","Fail"),IF(Table1[[#This Row],[DUT Adj Read]]&lt;Table1[[#This Row],[High Tol]],"Pass","Fail")))</f>
        <v>Fail</v>
      </c>
      <c r="AF182" s="1" t="str">
        <f>IF(AND(Table1[[#This Row],[Spec Type2]]="N/A",Table1[[#This Row],[DUT Adj Read]]="N/A",Table1[[#This Row],[Std Adj Read]]="N/A"),"N/A",IF(Table1[[#This Row],[DUT Adj Read]]="N/A",IF(Table1[[#This Row],[Std Adj Read]]&gt;=Table1[[#This Row],[Low Tol]],"Pass","Fail"),IF(Table1[[#This Row],[DUT Adj Read]]&gt;=Table1[[#This Row],[Low Tol]],"Pass","Fail")))</f>
        <v>Pass</v>
      </c>
      <c r="AG182" s="1" t="str">
        <f>IF(AND(Table1[[#This Row],[Spec Type2]]="N/A",Table1[[#This Row],[DUT Adj Read]]="N/A",Table1[[#This Row],[Std Adj Read]]="N/A"),"N/A",IF(Table1[[#This Row],[DUT Adj Read]]="N/A",IF(Table1[[#This Row],[Std Adj Read]]&lt;=Table1[[#This Row],[High Tol]],"Pass","Fail"),IF(Table1[[#This Row],[DUT Adj Read]]&lt;=Table1[[#This Row],[High Tol]],"Pass","Fail")))</f>
        <v>Fail</v>
      </c>
      <c r="AH1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 s="1" t="b">
        <v>0</v>
      </c>
      <c r="AN182" s="1" t="b">
        <v>0</v>
      </c>
      <c r="AO182" s="1" t="b">
        <v>0</v>
      </c>
    </row>
    <row r="183" spans="1:41" x14ac:dyDescent="0.25">
      <c r="A183" s="10"/>
      <c r="B183" s="10"/>
      <c r="C183" s="10"/>
      <c r="D183" s="10"/>
      <c r="E183" s="10"/>
      <c r="F183" s="10"/>
      <c r="G183" s="10"/>
      <c r="H183" s="10"/>
      <c r="I183" s="1" t="str">
        <f t="shared" si="6"/>
        <v/>
      </c>
      <c r="J183" s="1" t="s">
        <v>35</v>
      </c>
      <c r="K183" s="1" t="str">
        <f t="shared" si="7"/>
        <v/>
      </c>
      <c r="L183" s="1" t="str">
        <f t="shared" si="8"/>
        <v/>
      </c>
      <c r="M183" s="1">
        <f>IF(OR(Table1[[#This Row],[Std Nom]]="",Table1[[#This Row],[Std Read]]=""),0,Table1[[#This Row],[Std Nom]]-Table1[[#This Row],[Std Read]])</f>
        <v>0</v>
      </c>
      <c r="N183" s="1">
        <f>IF(Calculations!$F$5="ACCREDITED 17025 WITH UNCERTAINTIES",$N$10,0)</f>
        <v>0</v>
      </c>
      <c r="O183" s="1" t="str">
        <f>IFERROR(Table1[[#This Row],[Std Nom]]-(_xlfn.XLOOKUP(Table1[[#This Row],[Manufacturer]]&amp;" "&amp;Table1[[#This Row],[Model]],Table13[MFR &amp; MDL],Table13[Tolerance % CW ],"")/100*Table1[[#This Row],[Std Nom]]),"")</f>
        <v/>
      </c>
      <c r="P183" s="1" t="str">
        <f>IFERROR(Table1[[#This Row],[Std Nom]]+(_xlfn.XLOOKUP(Table1[[#This Row],[Manufacturer]]&amp;" "&amp;Table1[[#This Row],[Model]],Table13[MFR &amp; MDL],Table13[Tolerance % CW ],"")/100*Table1[[#This Row],[Std Nom]]),"")</f>
        <v/>
      </c>
      <c r="Q183" s="1" t="e">
        <f>Table1[[#This Row],[High Tol]]-Table1[[#This Row],[Low Tol]]</f>
        <v>#VALUE!</v>
      </c>
      <c r="R183" s="1">
        <f>2*Table1[[#This Row],[Std Error]]</f>
        <v>0</v>
      </c>
      <c r="S183" s="1" t="str">
        <f>IF(Table1[[#This Row],[High Tol]]="","N/A",IFERROR(ABS(Table1[[#This Row],[Tol Span]]/Table1[[#This Row],[Error Span]]),"N/A"))</f>
        <v>N/A</v>
      </c>
      <c r="T183" s="1" t="str">
        <f>IF(OR(Table1[[#This Row],[Low Tol]]="",Table1[[#This Row],[High Tol]]=""),"Needs Analysis",IF(Table1[[#This Row],[Ratio]]&gt;=4,"Not Significant",IF(Table1[[#This Row],[Ratio]]&gt;=2,"Semi-Significant","Significant")))</f>
        <v>Needs Analysis</v>
      </c>
      <c r="W183" s="1">
        <f>IF(Table1[[#This Row],[Cal Type]]&lt;&gt;"ACCREDITED 17025 WITH UNCERTAINTIES",0,"")</f>
        <v>0</v>
      </c>
      <c r="X183" s="1" t="str">
        <f>IF(Table1[[#This Row],[DUT Read]]="","N/A",Table1[[#This Row],[Std Error]]+Table1[[#This Row],[DUT Read]]+Table1[[#This Row],[DUT Ucty]])</f>
        <v>N/A</v>
      </c>
      <c r="Y183" s="1" t="str">
        <f>IF(Table1[[#This Row],[Std Read]]="","N/A",Table1[[#This Row],[Std Read]]+Table1[[#This Row],[Std Ucty]])</f>
        <v>N/A</v>
      </c>
      <c r="Z1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 s="1" t="str">
        <f>IF(Table1[[#This Row],[Spec Type]]="","N/A",Table1[[#This Row],[Spec Type]])</f>
        <v>±</v>
      </c>
      <c r="AC183" s="1" t="str">
        <f>IF(Table1[[#This Row],[Spec Type2]]="N/A","N/A",IF(AND(Table1[[#This Row],[DUT Adj Read]]&gt;=Table1[[#This Row],[Low Tol]],Table1[[#This Row],[DUT Adj Read]]&lt;=Table1[[#This Row],[High Tol]]),"Pass","Fail"))</f>
        <v>Fail</v>
      </c>
      <c r="AD183" s="1" t="str">
        <f>IF(AND(Table1[[#This Row],[Spec Type2]]="N/A",Table1[[#This Row],[DUT Adj Read]]="N/A",Table1[[#This Row],[Std Adj Read]]="N/A"),"N/A",IF(Table1[[#This Row],[DUT Adj Read]]="N/A",IF(Table1[[#This Row],[Std Adj Read]]&gt;Table1[[#This Row],[Low Tol]],"Pass","Fail"),IF(Table1[[#This Row],[DUT Adj Read]]&gt;Table1[[#This Row],[Low Tol]],"Pass","Fail")))</f>
        <v>Pass</v>
      </c>
      <c r="AE183" s="1" t="str">
        <f>IF(AND(Table1[[#This Row],[Spec Type2]]="N/A",Table1[[#This Row],[DUT Adj Read]]="N/A",Table1[[#This Row],[Std Adj Read]]="N/A"),"N/A",IF(Table1[[#This Row],[DUT Adj Read]]="N/A",IF(Table1[[#This Row],[Std Adj Read]]&lt;Table1[[#This Row],[High Tol]],"Pass","Fail"),IF(Table1[[#This Row],[DUT Adj Read]]&lt;Table1[[#This Row],[High Tol]],"Pass","Fail")))</f>
        <v>Fail</v>
      </c>
      <c r="AF183" s="1" t="str">
        <f>IF(AND(Table1[[#This Row],[Spec Type2]]="N/A",Table1[[#This Row],[DUT Adj Read]]="N/A",Table1[[#This Row],[Std Adj Read]]="N/A"),"N/A",IF(Table1[[#This Row],[DUT Adj Read]]="N/A",IF(Table1[[#This Row],[Std Adj Read]]&gt;=Table1[[#This Row],[Low Tol]],"Pass","Fail"),IF(Table1[[#This Row],[DUT Adj Read]]&gt;=Table1[[#This Row],[Low Tol]],"Pass","Fail")))</f>
        <v>Pass</v>
      </c>
      <c r="AG183" s="1" t="str">
        <f>IF(AND(Table1[[#This Row],[Spec Type2]]="N/A",Table1[[#This Row],[DUT Adj Read]]="N/A",Table1[[#This Row],[Std Adj Read]]="N/A"),"N/A",IF(Table1[[#This Row],[DUT Adj Read]]="N/A",IF(Table1[[#This Row],[Std Adj Read]]&lt;=Table1[[#This Row],[High Tol]],"Pass","Fail"),IF(Table1[[#This Row],[DUT Adj Read]]&lt;=Table1[[#This Row],[High Tol]],"Pass","Fail")))</f>
        <v>Fail</v>
      </c>
      <c r="AH1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 s="1" t="b">
        <v>0</v>
      </c>
      <c r="AN183" s="1" t="b">
        <v>0</v>
      </c>
      <c r="AO183" s="1" t="b">
        <v>0</v>
      </c>
    </row>
    <row r="184" spans="1:41" x14ac:dyDescent="0.25">
      <c r="A184" s="10"/>
      <c r="B184" s="10"/>
      <c r="C184" s="10"/>
      <c r="D184" s="10"/>
      <c r="E184" s="10"/>
      <c r="F184" s="10"/>
      <c r="G184" s="10"/>
      <c r="H184" s="10"/>
      <c r="I184" s="1" t="str">
        <f t="shared" si="6"/>
        <v/>
      </c>
      <c r="J184" s="1" t="s">
        <v>35</v>
      </c>
      <c r="K184" s="1" t="str">
        <f t="shared" si="7"/>
        <v/>
      </c>
      <c r="L184" s="1" t="str">
        <f t="shared" si="8"/>
        <v/>
      </c>
      <c r="M184" s="1">
        <f>IF(OR(Table1[[#This Row],[Std Nom]]="",Table1[[#This Row],[Std Read]]=""),0,Table1[[#This Row],[Std Nom]]-Table1[[#This Row],[Std Read]])</f>
        <v>0</v>
      </c>
      <c r="N184" s="1">
        <f>IF(Calculations!$F$5="ACCREDITED 17025 WITH UNCERTAINTIES",$N$10,0)</f>
        <v>0</v>
      </c>
      <c r="O184" s="1" t="str">
        <f>IFERROR(Table1[[#This Row],[Std Nom]]-(_xlfn.XLOOKUP(Table1[[#This Row],[Manufacturer]]&amp;" "&amp;Table1[[#This Row],[Model]],Table13[MFR &amp; MDL],Table13[Tolerance % CW ],"")/100*Table1[[#This Row],[Std Nom]]),"")</f>
        <v/>
      </c>
      <c r="P184" s="1" t="str">
        <f>IFERROR(Table1[[#This Row],[Std Nom]]+(_xlfn.XLOOKUP(Table1[[#This Row],[Manufacturer]]&amp;" "&amp;Table1[[#This Row],[Model]],Table13[MFR &amp; MDL],Table13[Tolerance % CW ],"")/100*Table1[[#This Row],[Std Nom]]),"")</f>
        <v/>
      </c>
      <c r="Q184" s="1" t="e">
        <f>Table1[[#This Row],[High Tol]]-Table1[[#This Row],[Low Tol]]</f>
        <v>#VALUE!</v>
      </c>
      <c r="R184" s="1">
        <f>2*Table1[[#This Row],[Std Error]]</f>
        <v>0</v>
      </c>
      <c r="S184" s="1" t="str">
        <f>IF(Table1[[#This Row],[High Tol]]="","N/A",IFERROR(ABS(Table1[[#This Row],[Tol Span]]/Table1[[#This Row],[Error Span]]),"N/A"))</f>
        <v>N/A</v>
      </c>
      <c r="T184" s="1" t="str">
        <f>IF(OR(Table1[[#This Row],[Low Tol]]="",Table1[[#This Row],[High Tol]]=""),"Needs Analysis",IF(Table1[[#This Row],[Ratio]]&gt;=4,"Not Significant",IF(Table1[[#This Row],[Ratio]]&gt;=2,"Semi-Significant","Significant")))</f>
        <v>Needs Analysis</v>
      </c>
      <c r="W184" s="1">
        <f>IF(Table1[[#This Row],[Cal Type]]&lt;&gt;"ACCREDITED 17025 WITH UNCERTAINTIES",0,"")</f>
        <v>0</v>
      </c>
      <c r="X184" s="1" t="str">
        <f>IF(Table1[[#This Row],[DUT Read]]="","N/A",Table1[[#This Row],[Std Error]]+Table1[[#This Row],[DUT Read]]+Table1[[#This Row],[DUT Ucty]])</f>
        <v>N/A</v>
      </c>
      <c r="Y184" s="1" t="str">
        <f>IF(Table1[[#This Row],[Std Read]]="","N/A",Table1[[#This Row],[Std Read]]+Table1[[#This Row],[Std Ucty]])</f>
        <v>N/A</v>
      </c>
      <c r="Z1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 s="1" t="str">
        <f>IF(Table1[[#This Row],[Spec Type]]="","N/A",Table1[[#This Row],[Spec Type]])</f>
        <v>±</v>
      </c>
      <c r="AC184" s="1" t="str">
        <f>IF(Table1[[#This Row],[Spec Type2]]="N/A","N/A",IF(AND(Table1[[#This Row],[DUT Adj Read]]&gt;=Table1[[#This Row],[Low Tol]],Table1[[#This Row],[DUT Adj Read]]&lt;=Table1[[#This Row],[High Tol]]),"Pass","Fail"))</f>
        <v>Fail</v>
      </c>
      <c r="AD184" s="1" t="str">
        <f>IF(AND(Table1[[#This Row],[Spec Type2]]="N/A",Table1[[#This Row],[DUT Adj Read]]="N/A",Table1[[#This Row],[Std Adj Read]]="N/A"),"N/A",IF(Table1[[#This Row],[DUT Adj Read]]="N/A",IF(Table1[[#This Row],[Std Adj Read]]&gt;Table1[[#This Row],[Low Tol]],"Pass","Fail"),IF(Table1[[#This Row],[DUT Adj Read]]&gt;Table1[[#This Row],[Low Tol]],"Pass","Fail")))</f>
        <v>Pass</v>
      </c>
      <c r="AE184" s="1" t="str">
        <f>IF(AND(Table1[[#This Row],[Spec Type2]]="N/A",Table1[[#This Row],[DUT Adj Read]]="N/A",Table1[[#This Row],[Std Adj Read]]="N/A"),"N/A",IF(Table1[[#This Row],[DUT Adj Read]]="N/A",IF(Table1[[#This Row],[Std Adj Read]]&lt;Table1[[#This Row],[High Tol]],"Pass","Fail"),IF(Table1[[#This Row],[DUT Adj Read]]&lt;Table1[[#This Row],[High Tol]],"Pass","Fail")))</f>
        <v>Fail</v>
      </c>
      <c r="AF184" s="1" t="str">
        <f>IF(AND(Table1[[#This Row],[Spec Type2]]="N/A",Table1[[#This Row],[DUT Adj Read]]="N/A",Table1[[#This Row],[Std Adj Read]]="N/A"),"N/A",IF(Table1[[#This Row],[DUT Adj Read]]="N/A",IF(Table1[[#This Row],[Std Adj Read]]&gt;=Table1[[#This Row],[Low Tol]],"Pass","Fail"),IF(Table1[[#This Row],[DUT Adj Read]]&gt;=Table1[[#This Row],[Low Tol]],"Pass","Fail")))</f>
        <v>Pass</v>
      </c>
      <c r="AG184" s="1" t="str">
        <f>IF(AND(Table1[[#This Row],[Spec Type2]]="N/A",Table1[[#This Row],[DUT Adj Read]]="N/A",Table1[[#This Row],[Std Adj Read]]="N/A"),"N/A",IF(Table1[[#This Row],[DUT Adj Read]]="N/A",IF(Table1[[#This Row],[Std Adj Read]]&lt;=Table1[[#This Row],[High Tol]],"Pass","Fail"),IF(Table1[[#This Row],[DUT Adj Read]]&lt;=Table1[[#This Row],[High Tol]],"Pass","Fail")))</f>
        <v>Fail</v>
      </c>
      <c r="AH1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 s="1" t="b">
        <v>0</v>
      </c>
      <c r="AN184" s="1" t="b">
        <v>0</v>
      </c>
      <c r="AO184" s="1" t="b">
        <v>0</v>
      </c>
    </row>
    <row r="185" spans="1:41" x14ac:dyDescent="0.25">
      <c r="A185" s="10"/>
      <c r="B185" s="10"/>
      <c r="C185" s="10"/>
      <c r="D185" s="10"/>
      <c r="E185" s="10"/>
      <c r="F185" s="10"/>
      <c r="G185" s="10"/>
      <c r="H185" s="10"/>
      <c r="I185" s="1" t="str">
        <f t="shared" si="6"/>
        <v/>
      </c>
      <c r="J185" s="1" t="s">
        <v>35</v>
      </c>
      <c r="K185" s="1" t="str">
        <f t="shared" si="7"/>
        <v/>
      </c>
      <c r="L185" s="1" t="str">
        <f t="shared" si="8"/>
        <v/>
      </c>
      <c r="M185" s="1">
        <f>IF(OR(Table1[[#This Row],[Std Nom]]="",Table1[[#This Row],[Std Read]]=""),0,Table1[[#This Row],[Std Nom]]-Table1[[#This Row],[Std Read]])</f>
        <v>0</v>
      </c>
      <c r="N185" s="1">
        <f>IF(Calculations!$F$5="ACCREDITED 17025 WITH UNCERTAINTIES",$N$10,0)</f>
        <v>0</v>
      </c>
      <c r="O185" s="1" t="str">
        <f>IFERROR(Table1[[#This Row],[Std Nom]]-(_xlfn.XLOOKUP(Table1[[#This Row],[Manufacturer]]&amp;" "&amp;Table1[[#This Row],[Model]],Table13[MFR &amp; MDL],Table13[Tolerance % CW ],"")/100*Table1[[#This Row],[Std Nom]]),"")</f>
        <v/>
      </c>
      <c r="P185" s="1" t="str">
        <f>IFERROR(Table1[[#This Row],[Std Nom]]+(_xlfn.XLOOKUP(Table1[[#This Row],[Manufacturer]]&amp;" "&amp;Table1[[#This Row],[Model]],Table13[MFR &amp; MDL],Table13[Tolerance % CW ],"")/100*Table1[[#This Row],[Std Nom]]),"")</f>
        <v/>
      </c>
      <c r="Q185" s="1" t="e">
        <f>Table1[[#This Row],[High Tol]]-Table1[[#This Row],[Low Tol]]</f>
        <v>#VALUE!</v>
      </c>
      <c r="R185" s="1">
        <f>2*Table1[[#This Row],[Std Error]]</f>
        <v>0</v>
      </c>
      <c r="S185" s="1" t="str">
        <f>IF(Table1[[#This Row],[High Tol]]="","N/A",IFERROR(ABS(Table1[[#This Row],[Tol Span]]/Table1[[#This Row],[Error Span]]),"N/A"))</f>
        <v>N/A</v>
      </c>
      <c r="T185" s="1" t="str">
        <f>IF(OR(Table1[[#This Row],[Low Tol]]="",Table1[[#This Row],[High Tol]]=""),"Needs Analysis",IF(Table1[[#This Row],[Ratio]]&gt;=4,"Not Significant",IF(Table1[[#This Row],[Ratio]]&gt;=2,"Semi-Significant","Significant")))</f>
        <v>Needs Analysis</v>
      </c>
      <c r="W185" s="1">
        <f>IF(Table1[[#This Row],[Cal Type]]&lt;&gt;"ACCREDITED 17025 WITH UNCERTAINTIES",0,"")</f>
        <v>0</v>
      </c>
      <c r="X185" s="1" t="str">
        <f>IF(Table1[[#This Row],[DUT Read]]="","N/A",Table1[[#This Row],[Std Error]]+Table1[[#This Row],[DUT Read]]+Table1[[#This Row],[DUT Ucty]])</f>
        <v>N/A</v>
      </c>
      <c r="Y185" s="1" t="str">
        <f>IF(Table1[[#This Row],[Std Read]]="","N/A",Table1[[#This Row],[Std Read]]+Table1[[#This Row],[Std Ucty]])</f>
        <v>N/A</v>
      </c>
      <c r="Z1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 s="1" t="str">
        <f>IF(Table1[[#This Row],[Spec Type]]="","N/A",Table1[[#This Row],[Spec Type]])</f>
        <v>±</v>
      </c>
      <c r="AC185" s="1" t="str">
        <f>IF(Table1[[#This Row],[Spec Type2]]="N/A","N/A",IF(AND(Table1[[#This Row],[DUT Adj Read]]&gt;=Table1[[#This Row],[Low Tol]],Table1[[#This Row],[DUT Adj Read]]&lt;=Table1[[#This Row],[High Tol]]),"Pass","Fail"))</f>
        <v>Fail</v>
      </c>
      <c r="AD185" s="1" t="str">
        <f>IF(AND(Table1[[#This Row],[Spec Type2]]="N/A",Table1[[#This Row],[DUT Adj Read]]="N/A",Table1[[#This Row],[Std Adj Read]]="N/A"),"N/A",IF(Table1[[#This Row],[DUT Adj Read]]="N/A",IF(Table1[[#This Row],[Std Adj Read]]&gt;Table1[[#This Row],[Low Tol]],"Pass","Fail"),IF(Table1[[#This Row],[DUT Adj Read]]&gt;Table1[[#This Row],[Low Tol]],"Pass","Fail")))</f>
        <v>Pass</v>
      </c>
      <c r="AE185" s="1" t="str">
        <f>IF(AND(Table1[[#This Row],[Spec Type2]]="N/A",Table1[[#This Row],[DUT Adj Read]]="N/A",Table1[[#This Row],[Std Adj Read]]="N/A"),"N/A",IF(Table1[[#This Row],[DUT Adj Read]]="N/A",IF(Table1[[#This Row],[Std Adj Read]]&lt;Table1[[#This Row],[High Tol]],"Pass","Fail"),IF(Table1[[#This Row],[DUT Adj Read]]&lt;Table1[[#This Row],[High Tol]],"Pass","Fail")))</f>
        <v>Fail</v>
      </c>
      <c r="AF185" s="1" t="str">
        <f>IF(AND(Table1[[#This Row],[Spec Type2]]="N/A",Table1[[#This Row],[DUT Adj Read]]="N/A",Table1[[#This Row],[Std Adj Read]]="N/A"),"N/A",IF(Table1[[#This Row],[DUT Adj Read]]="N/A",IF(Table1[[#This Row],[Std Adj Read]]&gt;=Table1[[#This Row],[Low Tol]],"Pass","Fail"),IF(Table1[[#This Row],[DUT Adj Read]]&gt;=Table1[[#This Row],[Low Tol]],"Pass","Fail")))</f>
        <v>Pass</v>
      </c>
      <c r="AG185" s="1" t="str">
        <f>IF(AND(Table1[[#This Row],[Spec Type2]]="N/A",Table1[[#This Row],[DUT Adj Read]]="N/A",Table1[[#This Row],[Std Adj Read]]="N/A"),"N/A",IF(Table1[[#This Row],[DUT Adj Read]]="N/A",IF(Table1[[#This Row],[Std Adj Read]]&lt;=Table1[[#This Row],[High Tol]],"Pass","Fail"),IF(Table1[[#This Row],[DUT Adj Read]]&lt;=Table1[[#This Row],[High Tol]],"Pass","Fail")))</f>
        <v>Fail</v>
      </c>
      <c r="AH1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 s="1" t="b">
        <v>0</v>
      </c>
      <c r="AN185" s="1" t="b">
        <v>0</v>
      </c>
      <c r="AO185" s="1" t="b">
        <v>0</v>
      </c>
    </row>
    <row r="186" spans="1:41" x14ac:dyDescent="0.25">
      <c r="A186" s="10"/>
      <c r="B186" s="10"/>
      <c r="C186" s="10"/>
      <c r="D186" s="10"/>
      <c r="E186" s="10"/>
      <c r="F186" s="10"/>
      <c r="G186" s="10"/>
      <c r="H186" s="10"/>
      <c r="I186" s="1" t="str">
        <f t="shared" si="6"/>
        <v/>
      </c>
      <c r="J186" s="1" t="s">
        <v>35</v>
      </c>
      <c r="K186" s="1" t="str">
        <f t="shared" si="7"/>
        <v/>
      </c>
      <c r="L186" s="1" t="str">
        <f t="shared" si="8"/>
        <v/>
      </c>
      <c r="M186" s="1">
        <f>IF(OR(Table1[[#This Row],[Std Nom]]="",Table1[[#This Row],[Std Read]]=""),0,Table1[[#This Row],[Std Nom]]-Table1[[#This Row],[Std Read]])</f>
        <v>0</v>
      </c>
      <c r="N186" s="1">
        <f>IF(Calculations!$F$5="ACCREDITED 17025 WITH UNCERTAINTIES",$N$10,0)</f>
        <v>0</v>
      </c>
      <c r="O186" s="1" t="str">
        <f>IFERROR(Table1[[#This Row],[Std Nom]]-(_xlfn.XLOOKUP(Table1[[#This Row],[Manufacturer]]&amp;" "&amp;Table1[[#This Row],[Model]],Table13[MFR &amp; MDL],Table13[Tolerance % CW ],"")/100*Table1[[#This Row],[Std Nom]]),"")</f>
        <v/>
      </c>
      <c r="P186" s="1" t="str">
        <f>IFERROR(Table1[[#This Row],[Std Nom]]+(_xlfn.XLOOKUP(Table1[[#This Row],[Manufacturer]]&amp;" "&amp;Table1[[#This Row],[Model]],Table13[MFR &amp; MDL],Table13[Tolerance % CW ],"")/100*Table1[[#This Row],[Std Nom]]),"")</f>
        <v/>
      </c>
      <c r="Q186" s="1" t="e">
        <f>Table1[[#This Row],[High Tol]]-Table1[[#This Row],[Low Tol]]</f>
        <v>#VALUE!</v>
      </c>
      <c r="R186" s="1">
        <f>2*Table1[[#This Row],[Std Error]]</f>
        <v>0</v>
      </c>
      <c r="S186" s="1" t="str">
        <f>IF(Table1[[#This Row],[High Tol]]="","N/A",IFERROR(ABS(Table1[[#This Row],[Tol Span]]/Table1[[#This Row],[Error Span]]),"N/A"))</f>
        <v>N/A</v>
      </c>
      <c r="T186" s="1" t="str">
        <f>IF(OR(Table1[[#This Row],[Low Tol]]="",Table1[[#This Row],[High Tol]]=""),"Needs Analysis",IF(Table1[[#This Row],[Ratio]]&gt;=4,"Not Significant",IF(Table1[[#This Row],[Ratio]]&gt;=2,"Semi-Significant","Significant")))</f>
        <v>Needs Analysis</v>
      </c>
      <c r="W186" s="1">
        <f>IF(Table1[[#This Row],[Cal Type]]&lt;&gt;"ACCREDITED 17025 WITH UNCERTAINTIES",0,"")</f>
        <v>0</v>
      </c>
      <c r="X186" s="1" t="str">
        <f>IF(Table1[[#This Row],[DUT Read]]="","N/A",Table1[[#This Row],[Std Error]]+Table1[[#This Row],[DUT Read]]+Table1[[#This Row],[DUT Ucty]])</f>
        <v>N/A</v>
      </c>
      <c r="Y186" s="1" t="str">
        <f>IF(Table1[[#This Row],[Std Read]]="","N/A",Table1[[#This Row],[Std Read]]+Table1[[#This Row],[Std Ucty]])</f>
        <v>N/A</v>
      </c>
      <c r="Z1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 s="1" t="str">
        <f>IF(Table1[[#This Row],[Spec Type]]="","N/A",Table1[[#This Row],[Spec Type]])</f>
        <v>±</v>
      </c>
      <c r="AC186" s="1" t="str">
        <f>IF(Table1[[#This Row],[Spec Type2]]="N/A","N/A",IF(AND(Table1[[#This Row],[DUT Adj Read]]&gt;=Table1[[#This Row],[Low Tol]],Table1[[#This Row],[DUT Adj Read]]&lt;=Table1[[#This Row],[High Tol]]),"Pass","Fail"))</f>
        <v>Fail</v>
      </c>
      <c r="AD186" s="1" t="str">
        <f>IF(AND(Table1[[#This Row],[Spec Type2]]="N/A",Table1[[#This Row],[DUT Adj Read]]="N/A",Table1[[#This Row],[Std Adj Read]]="N/A"),"N/A",IF(Table1[[#This Row],[DUT Adj Read]]="N/A",IF(Table1[[#This Row],[Std Adj Read]]&gt;Table1[[#This Row],[Low Tol]],"Pass","Fail"),IF(Table1[[#This Row],[DUT Adj Read]]&gt;Table1[[#This Row],[Low Tol]],"Pass","Fail")))</f>
        <v>Pass</v>
      </c>
      <c r="AE186" s="1" t="str">
        <f>IF(AND(Table1[[#This Row],[Spec Type2]]="N/A",Table1[[#This Row],[DUT Adj Read]]="N/A",Table1[[#This Row],[Std Adj Read]]="N/A"),"N/A",IF(Table1[[#This Row],[DUT Adj Read]]="N/A",IF(Table1[[#This Row],[Std Adj Read]]&lt;Table1[[#This Row],[High Tol]],"Pass","Fail"),IF(Table1[[#This Row],[DUT Adj Read]]&lt;Table1[[#This Row],[High Tol]],"Pass","Fail")))</f>
        <v>Fail</v>
      </c>
      <c r="AF186" s="1" t="str">
        <f>IF(AND(Table1[[#This Row],[Spec Type2]]="N/A",Table1[[#This Row],[DUT Adj Read]]="N/A",Table1[[#This Row],[Std Adj Read]]="N/A"),"N/A",IF(Table1[[#This Row],[DUT Adj Read]]="N/A",IF(Table1[[#This Row],[Std Adj Read]]&gt;=Table1[[#This Row],[Low Tol]],"Pass","Fail"),IF(Table1[[#This Row],[DUT Adj Read]]&gt;=Table1[[#This Row],[Low Tol]],"Pass","Fail")))</f>
        <v>Pass</v>
      </c>
      <c r="AG186" s="1" t="str">
        <f>IF(AND(Table1[[#This Row],[Spec Type2]]="N/A",Table1[[#This Row],[DUT Adj Read]]="N/A",Table1[[#This Row],[Std Adj Read]]="N/A"),"N/A",IF(Table1[[#This Row],[DUT Adj Read]]="N/A",IF(Table1[[#This Row],[Std Adj Read]]&lt;=Table1[[#This Row],[High Tol]],"Pass","Fail"),IF(Table1[[#This Row],[DUT Adj Read]]&lt;=Table1[[#This Row],[High Tol]],"Pass","Fail")))</f>
        <v>Fail</v>
      </c>
      <c r="AH1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 s="1" t="b">
        <v>0</v>
      </c>
      <c r="AN186" s="1" t="b">
        <v>0</v>
      </c>
      <c r="AO186" s="1" t="b">
        <v>0</v>
      </c>
    </row>
    <row r="187" spans="1:41" x14ac:dyDescent="0.25">
      <c r="A187" s="10"/>
      <c r="B187" s="10"/>
      <c r="C187" s="10"/>
      <c r="D187" s="10"/>
      <c r="E187" s="10"/>
      <c r="F187" s="10"/>
      <c r="G187" s="10"/>
      <c r="H187" s="10"/>
      <c r="I187" s="1" t="str">
        <f t="shared" si="6"/>
        <v/>
      </c>
      <c r="J187" s="1" t="s">
        <v>35</v>
      </c>
      <c r="K187" s="1" t="str">
        <f t="shared" si="7"/>
        <v/>
      </c>
      <c r="L187" s="1" t="str">
        <f t="shared" si="8"/>
        <v/>
      </c>
      <c r="M187" s="1">
        <f>IF(OR(Table1[[#This Row],[Std Nom]]="",Table1[[#This Row],[Std Read]]=""),0,Table1[[#This Row],[Std Nom]]-Table1[[#This Row],[Std Read]])</f>
        <v>0</v>
      </c>
      <c r="N187" s="1">
        <f>IF(Calculations!$F$5="ACCREDITED 17025 WITH UNCERTAINTIES",$N$10,0)</f>
        <v>0</v>
      </c>
      <c r="O187" s="1" t="str">
        <f>IFERROR(Table1[[#This Row],[Std Nom]]-(_xlfn.XLOOKUP(Table1[[#This Row],[Manufacturer]]&amp;" "&amp;Table1[[#This Row],[Model]],Table13[MFR &amp; MDL],Table13[Tolerance % CW ],"")/100*Table1[[#This Row],[Std Nom]]),"")</f>
        <v/>
      </c>
      <c r="P187" s="1" t="str">
        <f>IFERROR(Table1[[#This Row],[Std Nom]]+(_xlfn.XLOOKUP(Table1[[#This Row],[Manufacturer]]&amp;" "&amp;Table1[[#This Row],[Model]],Table13[MFR &amp; MDL],Table13[Tolerance % CW ],"")/100*Table1[[#This Row],[Std Nom]]),"")</f>
        <v/>
      </c>
      <c r="Q187" s="1" t="e">
        <f>Table1[[#This Row],[High Tol]]-Table1[[#This Row],[Low Tol]]</f>
        <v>#VALUE!</v>
      </c>
      <c r="R187" s="1">
        <f>2*Table1[[#This Row],[Std Error]]</f>
        <v>0</v>
      </c>
      <c r="S187" s="1" t="str">
        <f>IF(Table1[[#This Row],[High Tol]]="","N/A",IFERROR(ABS(Table1[[#This Row],[Tol Span]]/Table1[[#This Row],[Error Span]]),"N/A"))</f>
        <v>N/A</v>
      </c>
      <c r="T187" s="1" t="str">
        <f>IF(OR(Table1[[#This Row],[Low Tol]]="",Table1[[#This Row],[High Tol]]=""),"Needs Analysis",IF(Table1[[#This Row],[Ratio]]&gt;=4,"Not Significant",IF(Table1[[#This Row],[Ratio]]&gt;=2,"Semi-Significant","Significant")))</f>
        <v>Needs Analysis</v>
      </c>
      <c r="W187" s="1">
        <f>IF(Table1[[#This Row],[Cal Type]]&lt;&gt;"ACCREDITED 17025 WITH UNCERTAINTIES",0,"")</f>
        <v>0</v>
      </c>
      <c r="X187" s="1" t="str">
        <f>IF(Table1[[#This Row],[DUT Read]]="","N/A",Table1[[#This Row],[Std Error]]+Table1[[#This Row],[DUT Read]]+Table1[[#This Row],[DUT Ucty]])</f>
        <v>N/A</v>
      </c>
      <c r="Y187" s="1" t="str">
        <f>IF(Table1[[#This Row],[Std Read]]="","N/A",Table1[[#This Row],[Std Read]]+Table1[[#This Row],[Std Ucty]])</f>
        <v>N/A</v>
      </c>
      <c r="Z1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 s="1" t="str">
        <f>IF(Table1[[#This Row],[Spec Type]]="","N/A",Table1[[#This Row],[Spec Type]])</f>
        <v>±</v>
      </c>
      <c r="AC187" s="1" t="str">
        <f>IF(Table1[[#This Row],[Spec Type2]]="N/A","N/A",IF(AND(Table1[[#This Row],[DUT Adj Read]]&gt;=Table1[[#This Row],[Low Tol]],Table1[[#This Row],[DUT Adj Read]]&lt;=Table1[[#This Row],[High Tol]]),"Pass","Fail"))</f>
        <v>Fail</v>
      </c>
      <c r="AD187" s="1" t="str">
        <f>IF(AND(Table1[[#This Row],[Spec Type2]]="N/A",Table1[[#This Row],[DUT Adj Read]]="N/A",Table1[[#This Row],[Std Adj Read]]="N/A"),"N/A",IF(Table1[[#This Row],[DUT Adj Read]]="N/A",IF(Table1[[#This Row],[Std Adj Read]]&gt;Table1[[#This Row],[Low Tol]],"Pass","Fail"),IF(Table1[[#This Row],[DUT Adj Read]]&gt;Table1[[#This Row],[Low Tol]],"Pass","Fail")))</f>
        <v>Pass</v>
      </c>
      <c r="AE187" s="1" t="str">
        <f>IF(AND(Table1[[#This Row],[Spec Type2]]="N/A",Table1[[#This Row],[DUT Adj Read]]="N/A",Table1[[#This Row],[Std Adj Read]]="N/A"),"N/A",IF(Table1[[#This Row],[DUT Adj Read]]="N/A",IF(Table1[[#This Row],[Std Adj Read]]&lt;Table1[[#This Row],[High Tol]],"Pass","Fail"),IF(Table1[[#This Row],[DUT Adj Read]]&lt;Table1[[#This Row],[High Tol]],"Pass","Fail")))</f>
        <v>Fail</v>
      </c>
      <c r="AF187" s="1" t="str">
        <f>IF(AND(Table1[[#This Row],[Spec Type2]]="N/A",Table1[[#This Row],[DUT Adj Read]]="N/A",Table1[[#This Row],[Std Adj Read]]="N/A"),"N/A",IF(Table1[[#This Row],[DUT Adj Read]]="N/A",IF(Table1[[#This Row],[Std Adj Read]]&gt;=Table1[[#This Row],[Low Tol]],"Pass","Fail"),IF(Table1[[#This Row],[DUT Adj Read]]&gt;=Table1[[#This Row],[Low Tol]],"Pass","Fail")))</f>
        <v>Pass</v>
      </c>
      <c r="AG187" s="1" t="str">
        <f>IF(AND(Table1[[#This Row],[Spec Type2]]="N/A",Table1[[#This Row],[DUT Adj Read]]="N/A",Table1[[#This Row],[Std Adj Read]]="N/A"),"N/A",IF(Table1[[#This Row],[DUT Adj Read]]="N/A",IF(Table1[[#This Row],[Std Adj Read]]&lt;=Table1[[#This Row],[High Tol]],"Pass","Fail"),IF(Table1[[#This Row],[DUT Adj Read]]&lt;=Table1[[#This Row],[High Tol]],"Pass","Fail")))</f>
        <v>Fail</v>
      </c>
      <c r="AH1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 s="1" t="b">
        <v>0</v>
      </c>
      <c r="AN187" s="1" t="b">
        <v>0</v>
      </c>
      <c r="AO187" s="1" t="b">
        <v>0</v>
      </c>
    </row>
    <row r="188" spans="1:41" x14ac:dyDescent="0.25">
      <c r="A188" s="10"/>
      <c r="B188" s="10"/>
      <c r="C188" s="10"/>
      <c r="D188" s="10"/>
      <c r="E188" s="10"/>
      <c r="F188" s="10"/>
      <c r="G188" s="10"/>
      <c r="H188" s="10"/>
      <c r="I188" s="1" t="str">
        <f t="shared" si="6"/>
        <v/>
      </c>
      <c r="J188" s="1" t="s">
        <v>35</v>
      </c>
      <c r="K188" s="1" t="str">
        <f t="shared" si="7"/>
        <v/>
      </c>
      <c r="L188" s="1" t="str">
        <f t="shared" si="8"/>
        <v/>
      </c>
      <c r="M188" s="1">
        <f>IF(OR(Table1[[#This Row],[Std Nom]]="",Table1[[#This Row],[Std Read]]=""),0,Table1[[#This Row],[Std Nom]]-Table1[[#This Row],[Std Read]])</f>
        <v>0</v>
      </c>
      <c r="N188" s="1">
        <f>IF(Calculations!$F$5="ACCREDITED 17025 WITH UNCERTAINTIES",$N$10,0)</f>
        <v>0</v>
      </c>
      <c r="O188" s="1" t="str">
        <f>IFERROR(Table1[[#This Row],[Std Nom]]-(_xlfn.XLOOKUP(Table1[[#This Row],[Manufacturer]]&amp;" "&amp;Table1[[#This Row],[Model]],Table13[MFR &amp; MDL],Table13[Tolerance % CW ],"")/100*Table1[[#This Row],[Std Nom]]),"")</f>
        <v/>
      </c>
      <c r="P188" s="1" t="str">
        <f>IFERROR(Table1[[#This Row],[Std Nom]]+(_xlfn.XLOOKUP(Table1[[#This Row],[Manufacturer]]&amp;" "&amp;Table1[[#This Row],[Model]],Table13[MFR &amp; MDL],Table13[Tolerance % CW ],"")/100*Table1[[#This Row],[Std Nom]]),"")</f>
        <v/>
      </c>
      <c r="Q188" s="1" t="e">
        <f>Table1[[#This Row],[High Tol]]-Table1[[#This Row],[Low Tol]]</f>
        <v>#VALUE!</v>
      </c>
      <c r="R188" s="1">
        <f>2*Table1[[#This Row],[Std Error]]</f>
        <v>0</v>
      </c>
      <c r="S188" s="1" t="str">
        <f>IF(Table1[[#This Row],[High Tol]]="","N/A",IFERROR(ABS(Table1[[#This Row],[Tol Span]]/Table1[[#This Row],[Error Span]]),"N/A"))</f>
        <v>N/A</v>
      </c>
      <c r="T188" s="1" t="str">
        <f>IF(OR(Table1[[#This Row],[Low Tol]]="",Table1[[#This Row],[High Tol]]=""),"Needs Analysis",IF(Table1[[#This Row],[Ratio]]&gt;=4,"Not Significant",IF(Table1[[#This Row],[Ratio]]&gt;=2,"Semi-Significant","Significant")))</f>
        <v>Needs Analysis</v>
      </c>
      <c r="W188" s="1">
        <f>IF(Table1[[#This Row],[Cal Type]]&lt;&gt;"ACCREDITED 17025 WITH UNCERTAINTIES",0,"")</f>
        <v>0</v>
      </c>
      <c r="X188" s="1" t="str">
        <f>IF(Table1[[#This Row],[DUT Read]]="","N/A",Table1[[#This Row],[Std Error]]+Table1[[#This Row],[DUT Read]]+Table1[[#This Row],[DUT Ucty]])</f>
        <v>N/A</v>
      </c>
      <c r="Y188" s="1" t="str">
        <f>IF(Table1[[#This Row],[Std Read]]="","N/A",Table1[[#This Row],[Std Read]]+Table1[[#This Row],[Std Ucty]])</f>
        <v>N/A</v>
      </c>
      <c r="Z1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 s="1" t="str">
        <f>IF(Table1[[#This Row],[Spec Type]]="","N/A",Table1[[#This Row],[Spec Type]])</f>
        <v>±</v>
      </c>
      <c r="AC188" s="1" t="str">
        <f>IF(Table1[[#This Row],[Spec Type2]]="N/A","N/A",IF(AND(Table1[[#This Row],[DUT Adj Read]]&gt;=Table1[[#This Row],[Low Tol]],Table1[[#This Row],[DUT Adj Read]]&lt;=Table1[[#This Row],[High Tol]]),"Pass","Fail"))</f>
        <v>Fail</v>
      </c>
      <c r="AD188" s="1" t="str">
        <f>IF(AND(Table1[[#This Row],[Spec Type2]]="N/A",Table1[[#This Row],[DUT Adj Read]]="N/A",Table1[[#This Row],[Std Adj Read]]="N/A"),"N/A",IF(Table1[[#This Row],[DUT Adj Read]]="N/A",IF(Table1[[#This Row],[Std Adj Read]]&gt;Table1[[#This Row],[Low Tol]],"Pass","Fail"),IF(Table1[[#This Row],[DUT Adj Read]]&gt;Table1[[#This Row],[Low Tol]],"Pass","Fail")))</f>
        <v>Pass</v>
      </c>
      <c r="AE188" s="1" t="str">
        <f>IF(AND(Table1[[#This Row],[Spec Type2]]="N/A",Table1[[#This Row],[DUT Adj Read]]="N/A",Table1[[#This Row],[Std Adj Read]]="N/A"),"N/A",IF(Table1[[#This Row],[DUT Adj Read]]="N/A",IF(Table1[[#This Row],[Std Adj Read]]&lt;Table1[[#This Row],[High Tol]],"Pass","Fail"),IF(Table1[[#This Row],[DUT Adj Read]]&lt;Table1[[#This Row],[High Tol]],"Pass","Fail")))</f>
        <v>Fail</v>
      </c>
      <c r="AF188" s="1" t="str">
        <f>IF(AND(Table1[[#This Row],[Spec Type2]]="N/A",Table1[[#This Row],[DUT Adj Read]]="N/A",Table1[[#This Row],[Std Adj Read]]="N/A"),"N/A",IF(Table1[[#This Row],[DUT Adj Read]]="N/A",IF(Table1[[#This Row],[Std Adj Read]]&gt;=Table1[[#This Row],[Low Tol]],"Pass","Fail"),IF(Table1[[#This Row],[DUT Adj Read]]&gt;=Table1[[#This Row],[Low Tol]],"Pass","Fail")))</f>
        <v>Pass</v>
      </c>
      <c r="AG188" s="1" t="str">
        <f>IF(AND(Table1[[#This Row],[Spec Type2]]="N/A",Table1[[#This Row],[DUT Adj Read]]="N/A",Table1[[#This Row],[Std Adj Read]]="N/A"),"N/A",IF(Table1[[#This Row],[DUT Adj Read]]="N/A",IF(Table1[[#This Row],[Std Adj Read]]&lt;=Table1[[#This Row],[High Tol]],"Pass","Fail"),IF(Table1[[#This Row],[DUT Adj Read]]&lt;=Table1[[#This Row],[High Tol]],"Pass","Fail")))</f>
        <v>Fail</v>
      </c>
      <c r="AH1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 s="1" t="b">
        <v>0</v>
      </c>
      <c r="AN188" s="1" t="b">
        <v>0</v>
      </c>
      <c r="AO188" s="1" t="b">
        <v>0</v>
      </c>
    </row>
    <row r="189" spans="1:41" x14ac:dyDescent="0.25">
      <c r="A189" s="10"/>
      <c r="B189" s="10"/>
      <c r="C189" s="10"/>
      <c r="D189" s="10"/>
      <c r="E189" s="10"/>
      <c r="F189" s="10"/>
      <c r="G189" s="10"/>
      <c r="H189" s="10"/>
      <c r="I189" s="1" t="str">
        <f t="shared" si="6"/>
        <v/>
      </c>
      <c r="J189" s="1" t="s">
        <v>35</v>
      </c>
      <c r="K189" s="1" t="str">
        <f t="shared" si="7"/>
        <v/>
      </c>
      <c r="L189" s="1" t="str">
        <f t="shared" si="8"/>
        <v/>
      </c>
      <c r="M189" s="1">
        <f>IF(OR(Table1[[#This Row],[Std Nom]]="",Table1[[#This Row],[Std Read]]=""),0,Table1[[#This Row],[Std Nom]]-Table1[[#This Row],[Std Read]])</f>
        <v>0</v>
      </c>
      <c r="N189" s="1">
        <f>IF(Calculations!$F$5="ACCREDITED 17025 WITH UNCERTAINTIES",$N$10,0)</f>
        <v>0</v>
      </c>
      <c r="O189" s="1" t="str">
        <f>IFERROR(Table1[[#This Row],[Std Nom]]-(_xlfn.XLOOKUP(Table1[[#This Row],[Manufacturer]]&amp;" "&amp;Table1[[#This Row],[Model]],Table13[MFR &amp; MDL],Table13[Tolerance % CW ],"")/100*Table1[[#This Row],[Std Nom]]),"")</f>
        <v/>
      </c>
      <c r="P189" s="1" t="str">
        <f>IFERROR(Table1[[#This Row],[Std Nom]]+(_xlfn.XLOOKUP(Table1[[#This Row],[Manufacturer]]&amp;" "&amp;Table1[[#This Row],[Model]],Table13[MFR &amp; MDL],Table13[Tolerance % CW ],"")/100*Table1[[#This Row],[Std Nom]]),"")</f>
        <v/>
      </c>
      <c r="Q189" s="1" t="e">
        <f>Table1[[#This Row],[High Tol]]-Table1[[#This Row],[Low Tol]]</f>
        <v>#VALUE!</v>
      </c>
      <c r="R189" s="1">
        <f>2*Table1[[#This Row],[Std Error]]</f>
        <v>0</v>
      </c>
      <c r="S189" s="1" t="str">
        <f>IF(Table1[[#This Row],[High Tol]]="","N/A",IFERROR(ABS(Table1[[#This Row],[Tol Span]]/Table1[[#This Row],[Error Span]]),"N/A"))</f>
        <v>N/A</v>
      </c>
      <c r="T189" s="1" t="str">
        <f>IF(OR(Table1[[#This Row],[Low Tol]]="",Table1[[#This Row],[High Tol]]=""),"Needs Analysis",IF(Table1[[#This Row],[Ratio]]&gt;=4,"Not Significant",IF(Table1[[#This Row],[Ratio]]&gt;=2,"Semi-Significant","Significant")))</f>
        <v>Needs Analysis</v>
      </c>
      <c r="W189" s="1">
        <f>IF(Table1[[#This Row],[Cal Type]]&lt;&gt;"ACCREDITED 17025 WITH UNCERTAINTIES",0,"")</f>
        <v>0</v>
      </c>
      <c r="X189" s="1" t="str">
        <f>IF(Table1[[#This Row],[DUT Read]]="","N/A",Table1[[#This Row],[Std Error]]+Table1[[#This Row],[DUT Read]]+Table1[[#This Row],[DUT Ucty]])</f>
        <v>N/A</v>
      </c>
      <c r="Y189" s="1" t="str">
        <f>IF(Table1[[#This Row],[Std Read]]="","N/A",Table1[[#This Row],[Std Read]]+Table1[[#This Row],[Std Ucty]])</f>
        <v>N/A</v>
      </c>
      <c r="Z1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 s="1" t="str">
        <f>IF(Table1[[#This Row],[Spec Type]]="","N/A",Table1[[#This Row],[Spec Type]])</f>
        <v>±</v>
      </c>
      <c r="AC189" s="1" t="str">
        <f>IF(Table1[[#This Row],[Spec Type2]]="N/A","N/A",IF(AND(Table1[[#This Row],[DUT Adj Read]]&gt;=Table1[[#This Row],[Low Tol]],Table1[[#This Row],[DUT Adj Read]]&lt;=Table1[[#This Row],[High Tol]]),"Pass","Fail"))</f>
        <v>Fail</v>
      </c>
      <c r="AD189" s="1" t="str">
        <f>IF(AND(Table1[[#This Row],[Spec Type2]]="N/A",Table1[[#This Row],[DUT Adj Read]]="N/A",Table1[[#This Row],[Std Adj Read]]="N/A"),"N/A",IF(Table1[[#This Row],[DUT Adj Read]]="N/A",IF(Table1[[#This Row],[Std Adj Read]]&gt;Table1[[#This Row],[Low Tol]],"Pass","Fail"),IF(Table1[[#This Row],[DUT Adj Read]]&gt;Table1[[#This Row],[Low Tol]],"Pass","Fail")))</f>
        <v>Pass</v>
      </c>
      <c r="AE189" s="1" t="str">
        <f>IF(AND(Table1[[#This Row],[Spec Type2]]="N/A",Table1[[#This Row],[DUT Adj Read]]="N/A",Table1[[#This Row],[Std Adj Read]]="N/A"),"N/A",IF(Table1[[#This Row],[DUT Adj Read]]="N/A",IF(Table1[[#This Row],[Std Adj Read]]&lt;Table1[[#This Row],[High Tol]],"Pass","Fail"),IF(Table1[[#This Row],[DUT Adj Read]]&lt;Table1[[#This Row],[High Tol]],"Pass","Fail")))</f>
        <v>Fail</v>
      </c>
      <c r="AF189" s="1" t="str">
        <f>IF(AND(Table1[[#This Row],[Spec Type2]]="N/A",Table1[[#This Row],[DUT Adj Read]]="N/A",Table1[[#This Row],[Std Adj Read]]="N/A"),"N/A",IF(Table1[[#This Row],[DUT Adj Read]]="N/A",IF(Table1[[#This Row],[Std Adj Read]]&gt;=Table1[[#This Row],[Low Tol]],"Pass","Fail"),IF(Table1[[#This Row],[DUT Adj Read]]&gt;=Table1[[#This Row],[Low Tol]],"Pass","Fail")))</f>
        <v>Pass</v>
      </c>
      <c r="AG189" s="1" t="str">
        <f>IF(AND(Table1[[#This Row],[Spec Type2]]="N/A",Table1[[#This Row],[DUT Adj Read]]="N/A",Table1[[#This Row],[Std Adj Read]]="N/A"),"N/A",IF(Table1[[#This Row],[DUT Adj Read]]="N/A",IF(Table1[[#This Row],[Std Adj Read]]&lt;=Table1[[#This Row],[High Tol]],"Pass","Fail"),IF(Table1[[#This Row],[DUT Adj Read]]&lt;=Table1[[#This Row],[High Tol]],"Pass","Fail")))</f>
        <v>Fail</v>
      </c>
      <c r="AH1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 s="1" t="b">
        <v>0</v>
      </c>
      <c r="AN189" s="1" t="b">
        <v>0</v>
      </c>
      <c r="AO189" s="1" t="b">
        <v>0</v>
      </c>
    </row>
    <row r="190" spans="1:41" x14ac:dyDescent="0.25">
      <c r="A190" s="10"/>
      <c r="B190" s="10"/>
      <c r="C190" s="10"/>
      <c r="D190" s="10"/>
      <c r="E190" s="10"/>
      <c r="F190" s="10"/>
      <c r="G190" s="10"/>
      <c r="H190" s="10"/>
      <c r="I190" s="1" t="str">
        <f t="shared" si="6"/>
        <v/>
      </c>
      <c r="J190" s="1" t="s">
        <v>35</v>
      </c>
      <c r="K190" s="1" t="str">
        <f t="shared" si="7"/>
        <v/>
      </c>
      <c r="L190" s="1" t="str">
        <f t="shared" si="8"/>
        <v/>
      </c>
      <c r="M190" s="1">
        <f>IF(OR(Table1[[#This Row],[Std Nom]]="",Table1[[#This Row],[Std Read]]=""),0,Table1[[#This Row],[Std Nom]]-Table1[[#This Row],[Std Read]])</f>
        <v>0</v>
      </c>
      <c r="N190" s="1">
        <f>IF(Calculations!$F$5="ACCREDITED 17025 WITH UNCERTAINTIES",$N$10,0)</f>
        <v>0</v>
      </c>
      <c r="O190" s="1" t="str">
        <f>IFERROR(Table1[[#This Row],[Std Nom]]-(_xlfn.XLOOKUP(Table1[[#This Row],[Manufacturer]]&amp;" "&amp;Table1[[#This Row],[Model]],Table13[MFR &amp; MDL],Table13[Tolerance % CW ],"")/100*Table1[[#This Row],[Std Nom]]),"")</f>
        <v/>
      </c>
      <c r="P190" s="1" t="str">
        <f>IFERROR(Table1[[#This Row],[Std Nom]]+(_xlfn.XLOOKUP(Table1[[#This Row],[Manufacturer]]&amp;" "&amp;Table1[[#This Row],[Model]],Table13[MFR &amp; MDL],Table13[Tolerance % CW ],"")/100*Table1[[#This Row],[Std Nom]]),"")</f>
        <v/>
      </c>
      <c r="Q190" s="1" t="e">
        <f>Table1[[#This Row],[High Tol]]-Table1[[#This Row],[Low Tol]]</f>
        <v>#VALUE!</v>
      </c>
      <c r="R190" s="1">
        <f>2*Table1[[#This Row],[Std Error]]</f>
        <v>0</v>
      </c>
      <c r="S190" s="1" t="str">
        <f>IF(Table1[[#This Row],[High Tol]]="","N/A",IFERROR(ABS(Table1[[#This Row],[Tol Span]]/Table1[[#This Row],[Error Span]]),"N/A"))</f>
        <v>N/A</v>
      </c>
      <c r="T190" s="1" t="str">
        <f>IF(OR(Table1[[#This Row],[Low Tol]]="",Table1[[#This Row],[High Tol]]=""),"Needs Analysis",IF(Table1[[#This Row],[Ratio]]&gt;=4,"Not Significant",IF(Table1[[#This Row],[Ratio]]&gt;=2,"Semi-Significant","Significant")))</f>
        <v>Needs Analysis</v>
      </c>
      <c r="W190" s="1">
        <f>IF(Table1[[#This Row],[Cal Type]]&lt;&gt;"ACCREDITED 17025 WITH UNCERTAINTIES",0,"")</f>
        <v>0</v>
      </c>
      <c r="X190" s="1" t="str">
        <f>IF(Table1[[#This Row],[DUT Read]]="","N/A",Table1[[#This Row],[Std Error]]+Table1[[#This Row],[DUT Read]]+Table1[[#This Row],[DUT Ucty]])</f>
        <v>N/A</v>
      </c>
      <c r="Y190" s="1" t="str">
        <f>IF(Table1[[#This Row],[Std Read]]="","N/A",Table1[[#This Row],[Std Read]]+Table1[[#This Row],[Std Ucty]])</f>
        <v>N/A</v>
      </c>
      <c r="Z1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 s="1" t="str">
        <f>IF(Table1[[#This Row],[Spec Type]]="","N/A",Table1[[#This Row],[Spec Type]])</f>
        <v>±</v>
      </c>
      <c r="AC190" s="1" t="str">
        <f>IF(Table1[[#This Row],[Spec Type2]]="N/A","N/A",IF(AND(Table1[[#This Row],[DUT Adj Read]]&gt;=Table1[[#This Row],[Low Tol]],Table1[[#This Row],[DUT Adj Read]]&lt;=Table1[[#This Row],[High Tol]]),"Pass","Fail"))</f>
        <v>Fail</v>
      </c>
      <c r="AD190" s="1" t="str">
        <f>IF(AND(Table1[[#This Row],[Spec Type2]]="N/A",Table1[[#This Row],[DUT Adj Read]]="N/A",Table1[[#This Row],[Std Adj Read]]="N/A"),"N/A",IF(Table1[[#This Row],[DUT Adj Read]]="N/A",IF(Table1[[#This Row],[Std Adj Read]]&gt;Table1[[#This Row],[Low Tol]],"Pass","Fail"),IF(Table1[[#This Row],[DUT Adj Read]]&gt;Table1[[#This Row],[Low Tol]],"Pass","Fail")))</f>
        <v>Pass</v>
      </c>
      <c r="AE190" s="1" t="str">
        <f>IF(AND(Table1[[#This Row],[Spec Type2]]="N/A",Table1[[#This Row],[DUT Adj Read]]="N/A",Table1[[#This Row],[Std Adj Read]]="N/A"),"N/A",IF(Table1[[#This Row],[DUT Adj Read]]="N/A",IF(Table1[[#This Row],[Std Adj Read]]&lt;Table1[[#This Row],[High Tol]],"Pass","Fail"),IF(Table1[[#This Row],[DUT Adj Read]]&lt;Table1[[#This Row],[High Tol]],"Pass","Fail")))</f>
        <v>Fail</v>
      </c>
      <c r="AF190" s="1" t="str">
        <f>IF(AND(Table1[[#This Row],[Spec Type2]]="N/A",Table1[[#This Row],[DUT Adj Read]]="N/A",Table1[[#This Row],[Std Adj Read]]="N/A"),"N/A",IF(Table1[[#This Row],[DUT Adj Read]]="N/A",IF(Table1[[#This Row],[Std Adj Read]]&gt;=Table1[[#This Row],[Low Tol]],"Pass","Fail"),IF(Table1[[#This Row],[DUT Adj Read]]&gt;=Table1[[#This Row],[Low Tol]],"Pass","Fail")))</f>
        <v>Pass</v>
      </c>
      <c r="AG190" s="1" t="str">
        <f>IF(AND(Table1[[#This Row],[Spec Type2]]="N/A",Table1[[#This Row],[DUT Adj Read]]="N/A",Table1[[#This Row],[Std Adj Read]]="N/A"),"N/A",IF(Table1[[#This Row],[DUT Adj Read]]="N/A",IF(Table1[[#This Row],[Std Adj Read]]&lt;=Table1[[#This Row],[High Tol]],"Pass","Fail"),IF(Table1[[#This Row],[DUT Adj Read]]&lt;=Table1[[#This Row],[High Tol]],"Pass","Fail")))</f>
        <v>Fail</v>
      </c>
      <c r="AH1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 s="1" t="b">
        <v>0</v>
      </c>
      <c r="AN190" s="1" t="b">
        <v>0</v>
      </c>
      <c r="AO190" s="1" t="b">
        <v>0</v>
      </c>
    </row>
    <row r="191" spans="1:41" x14ac:dyDescent="0.25">
      <c r="A191" s="10"/>
      <c r="B191" s="10"/>
      <c r="C191" s="10"/>
      <c r="D191" s="10"/>
      <c r="E191" s="10"/>
      <c r="F191" s="10"/>
      <c r="G191" s="10"/>
      <c r="H191" s="10"/>
      <c r="I191" s="1" t="str">
        <f t="shared" si="6"/>
        <v/>
      </c>
      <c r="J191" s="1" t="s">
        <v>35</v>
      </c>
      <c r="K191" s="1" t="str">
        <f t="shared" si="7"/>
        <v/>
      </c>
      <c r="L191" s="1" t="str">
        <f t="shared" si="8"/>
        <v/>
      </c>
      <c r="M191" s="1">
        <f>IF(OR(Table1[[#This Row],[Std Nom]]="",Table1[[#This Row],[Std Read]]=""),0,Table1[[#This Row],[Std Nom]]-Table1[[#This Row],[Std Read]])</f>
        <v>0</v>
      </c>
      <c r="N191" s="1">
        <f>IF(Calculations!$F$5="ACCREDITED 17025 WITH UNCERTAINTIES",$N$10,0)</f>
        <v>0</v>
      </c>
      <c r="O191" s="1" t="str">
        <f>IFERROR(Table1[[#This Row],[Std Nom]]-(_xlfn.XLOOKUP(Table1[[#This Row],[Manufacturer]]&amp;" "&amp;Table1[[#This Row],[Model]],Table13[MFR &amp; MDL],Table13[Tolerance % CW ],"")/100*Table1[[#This Row],[Std Nom]]),"")</f>
        <v/>
      </c>
      <c r="P191" s="1" t="str">
        <f>IFERROR(Table1[[#This Row],[Std Nom]]+(_xlfn.XLOOKUP(Table1[[#This Row],[Manufacturer]]&amp;" "&amp;Table1[[#This Row],[Model]],Table13[MFR &amp; MDL],Table13[Tolerance % CW ],"")/100*Table1[[#This Row],[Std Nom]]),"")</f>
        <v/>
      </c>
      <c r="Q191" s="1" t="e">
        <f>Table1[[#This Row],[High Tol]]-Table1[[#This Row],[Low Tol]]</f>
        <v>#VALUE!</v>
      </c>
      <c r="R191" s="1">
        <f>2*Table1[[#This Row],[Std Error]]</f>
        <v>0</v>
      </c>
      <c r="S191" s="1" t="str">
        <f>IF(Table1[[#This Row],[High Tol]]="","N/A",IFERROR(ABS(Table1[[#This Row],[Tol Span]]/Table1[[#This Row],[Error Span]]),"N/A"))</f>
        <v>N/A</v>
      </c>
      <c r="T191" s="1" t="str">
        <f>IF(OR(Table1[[#This Row],[Low Tol]]="",Table1[[#This Row],[High Tol]]=""),"Needs Analysis",IF(Table1[[#This Row],[Ratio]]&gt;=4,"Not Significant",IF(Table1[[#This Row],[Ratio]]&gt;=2,"Semi-Significant","Significant")))</f>
        <v>Needs Analysis</v>
      </c>
      <c r="W191" s="1">
        <f>IF(Table1[[#This Row],[Cal Type]]&lt;&gt;"ACCREDITED 17025 WITH UNCERTAINTIES",0,"")</f>
        <v>0</v>
      </c>
      <c r="X191" s="1" t="str">
        <f>IF(Table1[[#This Row],[DUT Read]]="","N/A",Table1[[#This Row],[Std Error]]+Table1[[#This Row],[DUT Read]]+Table1[[#This Row],[DUT Ucty]])</f>
        <v>N/A</v>
      </c>
      <c r="Y191" s="1" t="str">
        <f>IF(Table1[[#This Row],[Std Read]]="","N/A",Table1[[#This Row],[Std Read]]+Table1[[#This Row],[Std Ucty]])</f>
        <v>N/A</v>
      </c>
      <c r="Z1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 s="1" t="str">
        <f>IF(Table1[[#This Row],[Spec Type]]="","N/A",Table1[[#This Row],[Spec Type]])</f>
        <v>±</v>
      </c>
      <c r="AC191" s="1" t="str">
        <f>IF(Table1[[#This Row],[Spec Type2]]="N/A","N/A",IF(AND(Table1[[#This Row],[DUT Adj Read]]&gt;=Table1[[#This Row],[Low Tol]],Table1[[#This Row],[DUT Adj Read]]&lt;=Table1[[#This Row],[High Tol]]),"Pass","Fail"))</f>
        <v>Fail</v>
      </c>
      <c r="AD191" s="1" t="str">
        <f>IF(AND(Table1[[#This Row],[Spec Type2]]="N/A",Table1[[#This Row],[DUT Adj Read]]="N/A",Table1[[#This Row],[Std Adj Read]]="N/A"),"N/A",IF(Table1[[#This Row],[DUT Adj Read]]="N/A",IF(Table1[[#This Row],[Std Adj Read]]&gt;Table1[[#This Row],[Low Tol]],"Pass","Fail"),IF(Table1[[#This Row],[DUT Adj Read]]&gt;Table1[[#This Row],[Low Tol]],"Pass","Fail")))</f>
        <v>Pass</v>
      </c>
      <c r="AE191" s="1" t="str">
        <f>IF(AND(Table1[[#This Row],[Spec Type2]]="N/A",Table1[[#This Row],[DUT Adj Read]]="N/A",Table1[[#This Row],[Std Adj Read]]="N/A"),"N/A",IF(Table1[[#This Row],[DUT Adj Read]]="N/A",IF(Table1[[#This Row],[Std Adj Read]]&lt;Table1[[#This Row],[High Tol]],"Pass","Fail"),IF(Table1[[#This Row],[DUT Adj Read]]&lt;Table1[[#This Row],[High Tol]],"Pass","Fail")))</f>
        <v>Fail</v>
      </c>
      <c r="AF191" s="1" t="str">
        <f>IF(AND(Table1[[#This Row],[Spec Type2]]="N/A",Table1[[#This Row],[DUT Adj Read]]="N/A",Table1[[#This Row],[Std Adj Read]]="N/A"),"N/A",IF(Table1[[#This Row],[DUT Adj Read]]="N/A",IF(Table1[[#This Row],[Std Adj Read]]&gt;=Table1[[#This Row],[Low Tol]],"Pass","Fail"),IF(Table1[[#This Row],[DUT Adj Read]]&gt;=Table1[[#This Row],[Low Tol]],"Pass","Fail")))</f>
        <v>Pass</v>
      </c>
      <c r="AG191" s="1" t="str">
        <f>IF(AND(Table1[[#This Row],[Spec Type2]]="N/A",Table1[[#This Row],[DUT Adj Read]]="N/A",Table1[[#This Row],[Std Adj Read]]="N/A"),"N/A",IF(Table1[[#This Row],[DUT Adj Read]]="N/A",IF(Table1[[#This Row],[Std Adj Read]]&lt;=Table1[[#This Row],[High Tol]],"Pass","Fail"),IF(Table1[[#This Row],[DUT Adj Read]]&lt;=Table1[[#This Row],[High Tol]],"Pass","Fail")))</f>
        <v>Fail</v>
      </c>
      <c r="AH1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 s="1" t="b">
        <v>0</v>
      </c>
      <c r="AN191" s="1" t="b">
        <v>0</v>
      </c>
      <c r="AO191" s="1" t="b">
        <v>0</v>
      </c>
    </row>
    <row r="192" spans="1:41" x14ac:dyDescent="0.25">
      <c r="A192" s="10"/>
      <c r="B192" s="10"/>
      <c r="C192" s="10"/>
      <c r="D192" s="10"/>
      <c r="E192" s="10"/>
      <c r="F192" s="10"/>
      <c r="G192" s="10"/>
      <c r="H192" s="10"/>
      <c r="I192" s="1" t="str">
        <f t="shared" si="6"/>
        <v/>
      </c>
      <c r="J192" s="1" t="s">
        <v>35</v>
      </c>
      <c r="K192" s="1" t="str">
        <f t="shared" si="7"/>
        <v/>
      </c>
      <c r="L192" s="1" t="str">
        <f t="shared" si="8"/>
        <v/>
      </c>
      <c r="M192" s="1">
        <f>IF(OR(Table1[[#This Row],[Std Nom]]="",Table1[[#This Row],[Std Read]]=""),0,Table1[[#This Row],[Std Nom]]-Table1[[#This Row],[Std Read]])</f>
        <v>0</v>
      </c>
      <c r="N192" s="1">
        <f>IF(Calculations!$F$5="ACCREDITED 17025 WITH UNCERTAINTIES",$N$10,0)</f>
        <v>0</v>
      </c>
      <c r="O192" s="1" t="str">
        <f>IFERROR(Table1[[#This Row],[Std Nom]]-(_xlfn.XLOOKUP(Table1[[#This Row],[Manufacturer]]&amp;" "&amp;Table1[[#This Row],[Model]],Table13[MFR &amp; MDL],Table13[Tolerance % CW ],"")/100*Table1[[#This Row],[Std Nom]]),"")</f>
        <v/>
      </c>
      <c r="P192" s="1" t="str">
        <f>IFERROR(Table1[[#This Row],[Std Nom]]+(_xlfn.XLOOKUP(Table1[[#This Row],[Manufacturer]]&amp;" "&amp;Table1[[#This Row],[Model]],Table13[MFR &amp; MDL],Table13[Tolerance % CW ],"")/100*Table1[[#This Row],[Std Nom]]),"")</f>
        <v/>
      </c>
      <c r="Q192" s="1" t="e">
        <f>Table1[[#This Row],[High Tol]]-Table1[[#This Row],[Low Tol]]</f>
        <v>#VALUE!</v>
      </c>
      <c r="R192" s="1">
        <f>2*Table1[[#This Row],[Std Error]]</f>
        <v>0</v>
      </c>
      <c r="S192" s="1" t="str">
        <f>IF(Table1[[#This Row],[High Tol]]="","N/A",IFERROR(ABS(Table1[[#This Row],[Tol Span]]/Table1[[#This Row],[Error Span]]),"N/A"))</f>
        <v>N/A</v>
      </c>
      <c r="T192" s="1" t="str">
        <f>IF(OR(Table1[[#This Row],[Low Tol]]="",Table1[[#This Row],[High Tol]]=""),"Needs Analysis",IF(Table1[[#This Row],[Ratio]]&gt;=4,"Not Significant",IF(Table1[[#This Row],[Ratio]]&gt;=2,"Semi-Significant","Significant")))</f>
        <v>Needs Analysis</v>
      </c>
      <c r="W192" s="1">
        <f>IF(Table1[[#This Row],[Cal Type]]&lt;&gt;"ACCREDITED 17025 WITH UNCERTAINTIES",0,"")</f>
        <v>0</v>
      </c>
      <c r="X192" s="1" t="str">
        <f>IF(Table1[[#This Row],[DUT Read]]="","N/A",Table1[[#This Row],[Std Error]]+Table1[[#This Row],[DUT Read]]+Table1[[#This Row],[DUT Ucty]])</f>
        <v>N/A</v>
      </c>
      <c r="Y192" s="1" t="str">
        <f>IF(Table1[[#This Row],[Std Read]]="","N/A",Table1[[#This Row],[Std Read]]+Table1[[#This Row],[Std Ucty]])</f>
        <v>N/A</v>
      </c>
      <c r="Z1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 s="1" t="str">
        <f>IF(Table1[[#This Row],[Spec Type]]="","N/A",Table1[[#This Row],[Spec Type]])</f>
        <v>±</v>
      </c>
      <c r="AC192" s="1" t="str">
        <f>IF(Table1[[#This Row],[Spec Type2]]="N/A","N/A",IF(AND(Table1[[#This Row],[DUT Adj Read]]&gt;=Table1[[#This Row],[Low Tol]],Table1[[#This Row],[DUT Adj Read]]&lt;=Table1[[#This Row],[High Tol]]),"Pass","Fail"))</f>
        <v>Fail</v>
      </c>
      <c r="AD192" s="1" t="str">
        <f>IF(AND(Table1[[#This Row],[Spec Type2]]="N/A",Table1[[#This Row],[DUT Adj Read]]="N/A",Table1[[#This Row],[Std Adj Read]]="N/A"),"N/A",IF(Table1[[#This Row],[DUT Adj Read]]="N/A",IF(Table1[[#This Row],[Std Adj Read]]&gt;Table1[[#This Row],[Low Tol]],"Pass","Fail"),IF(Table1[[#This Row],[DUT Adj Read]]&gt;Table1[[#This Row],[Low Tol]],"Pass","Fail")))</f>
        <v>Pass</v>
      </c>
      <c r="AE192" s="1" t="str">
        <f>IF(AND(Table1[[#This Row],[Spec Type2]]="N/A",Table1[[#This Row],[DUT Adj Read]]="N/A",Table1[[#This Row],[Std Adj Read]]="N/A"),"N/A",IF(Table1[[#This Row],[DUT Adj Read]]="N/A",IF(Table1[[#This Row],[Std Adj Read]]&lt;Table1[[#This Row],[High Tol]],"Pass","Fail"),IF(Table1[[#This Row],[DUT Adj Read]]&lt;Table1[[#This Row],[High Tol]],"Pass","Fail")))</f>
        <v>Fail</v>
      </c>
      <c r="AF192" s="1" t="str">
        <f>IF(AND(Table1[[#This Row],[Spec Type2]]="N/A",Table1[[#This Row],[DUT Adj Read]]="N/A",Table1[[#This Row],[Std Adj Read]]="N/A"),"N/A",IF(Table1[[#This Row],[DUT Adj Read]]="N/A",IF(Table1[[#This Row],[Std Adj Read]]&gt;=Table1[[#This Row],[Low Tol]],"Pass","Fail"),IF(Table1[[#This Row],[DUT Adj Read]]&gt;=Table1[[#This Row],[Low Tol]],"Pass","Fail")))</f>
        <v>Pass</v>
      </c>
      <c r="AG192" s="1" t="str">
        <f>IF(AND(Table1[[#This Row],[Spec Type2]]="N/A",Table1[[#This Row],[DUT Adj Read]]="N/A",Table1[[#This Row],[Std Adj Read]]="N/A"),"N/A",IF(Table1[[#This Row],[DUT Adj Read]]="N/A",IF(Table1[[#This Row],[Std Adj Read]]&lt;=Table1[[#This Row],[High Tol]],"Pass","Fail"),IF(Table1[[#This Row],[DUT Adj Read]]&lt;=Table1[[#This Row],[High Tol]],"Pass","Fail")))</f>
        <v>Fail</v>
      </c>
      <c r="AH1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 s="1" t="b">
        <v>0</v>
      </c>
      <c r="AN192" s="1" t="b">
        <v>0</v>
      </c>
      <c r="AO192" s="1" t="b">
        <v>0</v>
      </c>
    </row>
    <row r="193" spans="1:41" x14ac:dyDescent="0.25">
      <c r="A193" s="10"/>
      <c r="B193" s="10"/>
      <c r="C193" s="10"/>
      <c r="D193" s="10"/>
      <c r="E193" s="10"/>
      <c r="F193" s="10"/>
      <c r="G193" s="10"/>
      <c r="H193" s="10"/>
      <c r="I193" s="1" t="str">
        <f t="shared" si="6"/>
        <v/>
      </c>
      <c r="J193" s="1" t="s">
        <v>35</v>
      </c>
      <c r="K193" s="1" t="str">
        <f t="shared" si="7"/>
        <v/>
      </c>
      <c r="L193" s="1" t="str">
        <f t="shared" si="8"/>
        <v/>
      </c>
      <c r="M193" s="1">
        <f>IF(OR(Table1[[#This Row],[Std Nom]]="",Table1[[#This Row],[Std Read]]=""),0,Table1[[#This Row],[Std Nom]]-Table1[[#This Row],[Std Read]])</f>
        <v>0</v>
      </c>
      <c r="N193" s="1">
        <f>IF(Calculations!$F$5="ACCREDITED 17025 WITH UNCERTAINTIES",$N$10,0)</f>
        <v>0</v>
      </c>
      <c r="O193" s="1" t="str">
        <f>IFERROR(Table1[[#This Row],[Std Nom]]-(_xlfn.XLOOKUP(Table1[[#This Row],[Manufacturer]]&amp;" "&amp;Table1[[#This Row],[Model]],Table13[MFR &amp; MDL],Table13[Tolerance % CW ],"")/100*Table1[[#This Row],[Std Nom]]),"")</f>
        <v/>
      </c>
      <c r="P193" s="1" t="str">
        <f>IFERROR(Table1[[#This Row],[Std Nom]]+(_xlfn.XLOOKUP(Table1[[#This Row],[Manufacturer]]&amp;" "&amp;Table1[[#This Row],[Model]],Table13[MFR &amp; MDL],Table13[Tolerance % CW ],"")/100*Table1[[#This Row],[Std Nom]]),"")</f>
        <v/>
      </c>
      <c r="Q193" s="1" t="e">
        <f>Table1[[#This Row],[High Tol]]-Table1[[#This Row],[Low Tol]]</f>
        <v>#VALUE!</v>
      </c>
      <c r="R193" s="1">
        <f>2*Table1[[#This Row],[Std Error]]</f>
        <v>0</v>
      </c>
      <c r="S193" s="1" t="str">
        <f>IF(Table1[[#This Row],[High Tol]]="","N/A",IFERROR(ABS(Table1[[#This Row],[Tol Span]]/Table1[[#This Row],[Error Span]]),"N/A"))</f>
        <v>N/A</v>
      </c>
      <c r="T193" s="1" t="str">
        <f>IF(OR(Table1[[#This Row],[Low Tol]]="",Table1[[#This Row],[High Tol]]=""),"Needs Analysis",IF(Table1[[#This Row],[Ratio]]&gt;=4,"Not Significant",IF(Table1[[#This Row],[Ratio]]&gt;=2,"Semi-Significant","Significant")))</f>
        <v>Needs Analysis</v>
      </c>
      <c r="W193" s="1">
        <f>IF(Table1[[#This Row],[Cal Type]]&lt;&gt;"ACCREDITED 17025 WITH UNCERTAINTIES",0,"")</f>
        <v>0</v>
      </c>
      <c r="X193" s="1" t="str">
        <f>IF(Table1[[#This Row],[DUT Read]]="","N/A",Table1[[#This Row],[Std Error]]+Table1[[#This Row],[DUT Read]]+Table1[[#This Row],[DUT Ucty]])</f>
        <v>N/A</v>
      </c>
      <c r="Y193" s="1" t="str">
        <f>IF(Table1[[#This Row],[Std Read]]="","N/A",Table1[[#This Row],[Std Read]]+Table1[[#This Row],[Std Ucty]])</f>
        <v>N/A</v>
      </c>
      <c r="Z1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 s="1" t="str">
        <f>IF(Table1[[#This Row],[Spec Type]]="","N/A",Table1[[#This Row],[Spec Type]])</f>
        <v>±</v>
      </c>
      <c r="AC193" s="1" t="str">
        <f>IF(Table1[[#This Row],[Spec Type2]]="N/A","N/A",IF(AND(Table1[[#This Row],[DUT Adj Read]]&gt;=Table1[[#This Row],[Low Tol]],Table1[[#This Row],[DUT Adj Read]]&lt;=Table1[[#This Row],[High Tol]]),"Pass","Fail"))</f>
        <v>Fail</v>
      </c>
      <c r="AD193" s="1" t="str">
        <f>IF(AND(Table1[[#This Row],[Spec Type2]]="N/A",Table1[[#This Row],[DUT Adj Read]]="N/A",Table1[[#This Row],[Std Adj Read]]="N/A"),"N/A",IF(Table1[[#This Row],[DUT Adj Read]]="N/A",IF(Table1[[#This Row],[Std Adj Read]]&gt;Table1[[#This Row],[Low Tol]],"Pass","Fail"),IF(Table1[[#This Row],[DUT Adj Read]]&gt;Table1[[#This Row],[Low Tol]],"Pass","Fail")))</f>
        <v>Pass</v>
      </c>
      <c r="AE193" s="1" t="str">
        <f>IF(AND(Table1[[#This Row],[Spec Type2]]="N/A",Table1[[#This Row],[DUT Adj Read]]="N/A",Table1[[#This Row],[Std Adj Read]]="N/A"),"N/A",IF(Table1[[#This Row],[DUT Adj Read]]="N/A",IF(Table1[[#This Row],[Std Adj Read]]&lt;Table1[[#This Row],[High Tol]],"Pass","Fail"),IF(Table1[[#This Row],[DUT Adj Read]]&lt;Table1[[#This Row],[High Tol]],"Pass","Fail")))</f>
        <v>Fail</v>
      </c>
      <c r="AF193" s="1" t="str">
        <f>IF(AND(Table1[[#This Row],[Spec Type2]]="N/A",Table1[[#This Row],[DUT Adj Read]]="N/A",Table1[[#This Row],[Std Adj Read]]="N/A"),"N/A",IF(Table1[[#This Row],[DUT Adj Read]]="N/A",IF(Table1[[#This Row],[Std Adj Read]]&gt;=Table1[[#This Row],[Low Tol]],"Pass","Fail"),IF(Table1[[#This Row],[DUT Adj Read]]&gt;=Table1[[#This Row],[Low Tol]],"Pass","Fail")))</f>
        <v>Pass</v>
      </c>
      <c r="AG193" s="1" t="str">
        <f>IF(AND(Table1[[#This Row],[Spec Type2]]="N/A",Table1[[#This Row],[DUT Adj Read]]="N/A",Table1[[#This Row],[Std Adj Read]]="N/A"),"N/A",IF(Table1[[#This Row],[DUT Adj Read]]="N/A",IF(Table1[[#This Row],[Std Adj Read]]&lt;=Table1[[#This Row],[High Tol]],"Pass","Fail"),IF(Table1[[#This Row],[DUT Adj Read]]&lt;=Table1[[#This Row],[High Tol]],"Pass","Fail")))</f>
        <v>Fail</v>
      </c>
      <c r="AH1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 s="1" t="b">
        <v>0</v>
      </c>
      <c r="AN193" s="1" t="b">
        <v>0</v>
      </c>
      <c r="AO193" s="1" t="b">
        <v>0</v>
      </c>
    </row>
    <row r="194" spans="1:41" x14ac:dyDescent="0.25">
      <c r="A194" s="10"/>
      <c r="B194" s="10"/>
      <c r="C194" s="10"/>
      <c r="D194" s="10"/>
      <c r="E194" s="10"/>
      <c r="F194" s="10"/>
      <c r="G194" s="10"/>
      <c r="H194" s="10"/>
      <c r="I194" s="1" t="str">
        <f t="shared" si="6"/>
        <v/>
      </c>
      <c r="J194" s="1" t="s">
        <v>35</v>
      </c>
      <c r="K194" s="1" t="str">
        <f t="shared" si="7"/>
        <v/>
      </c>
      <c r="L194" s="1" t="str">
        <f t="shared" si="8"/>
        <v/>
      </c>
      <c r="M194" s="1">
        <f>IF(OR(Table1[[#This Row],[Std Nom]]="",Table1[[#This Row],[Std Read]]=""),0,Table1[[#This Row],[Std Nom]]-Table1[[#This Row],[Std Read]])</f>
        <v>0</v>
      </c>
      <c r="N194" s="1">
        <f>IF(Calculations!$F$5="ACCREDITED 17025 WITH UNCERTAINTIES",$N$10,0)</f>
        <v>0</v>
      </c>
      <c r="O194" s="1" t="str">
        <f>IFERROR(Table1[[#This Row],[Std Nom]]-(_xlfn.XLOOKUP(Table1[[#This Row],[Manufacturer]]&amp;" "&amp;Table1[[#This Row],[Model]],Table13[MFR &amp; MDL],Table13[Tolerance % CW ],"")/100*Table1[[#This Row],[Std Nom]]),"")</f>
        <v/>
      </c>
      <c r="P194" s="1" t="str">
        <f>IFERROR(Table1[[#This Row],[Std Nom]]+(_xlfn.XLOOKUP(Table1[[#This Row],[Manufacturer]]&amp;" "&amp;Table1[[#This Row],[Model]],Table13[MFR &amp; MDL],Table13[Tolerance % CW ],"")/100*Table1[[#This Row],[Std Nom]]),"")</f>
        <v/>
      </c>
      <c r="Q194" s="1" t="e">
        <f>Table1[[#This Row],[High Tol]]-Table1[[#This Row],[Low Tol]]</f>
        <v>#VALUE!</v>
      </c>
      <c r="R194" s="1">
        <f>2*Table1[[#This Row],[Std Error]]</f>
        <v>0</v>
      </c>
      <c r="S194" s="1" t="str">
        <f>IF(Table1[[#This Row],[High Tol]]="","N/A",IFERROR(ABS(Table1[[#This Row],[Tol Span]]/Table1[[#This Row],[Error Span]]),"N/A"))</f>
        <v>N/A</v>
      </c>
      <c r="T194" s="1" t="str">
        <f>IF(OR(Table1[[#This Row],[Low Tol]]="",Table1[[#This Row],[High Tol]]=""),"Needs Analysis",IF(Table1[[#This Row],[Ratio]]&gt;=4,"Not Significant",IF(Table1[[#This Row],[Ratio]]&gt;=2,"Semi-Significant","Significant")))</f>
        <v>Needs Analysis</v>
      </c>
      <c r="W194" s="1">
        <f>IF(Table1[[#This Row],[Cal Type]]&lt;&gt;"ACCREDITED 17025 WITH UNCERTAINTIES",0,"")</f>
        <v>0</v>
      </c>
      <c r="X194" s="1" t="str">
        <f>IF(Table1[[#This Row],[DUT Read]]="","N/A",Table1[[#This Row],[Std Error]]+Table1[[#This Row],[DUT Read]]+Table1[[#This Row],[DUT Ucty]])</f>
        <v>N/A</v>
      </c>
      <c r="Y194" s="1" t="str">
        <f>IF(Table1[[#This Row],[Std Read]]="","N/A",Table1[[#This Row],[Std Read]]+Table1[[#This Row],[Std Ucty]])</f>
        <v>N/A</v>
      </c>
      <c r="Z1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 s="1" t="str">
        <f>IF(Table1[[#This Row],[Spec Type]]="","N/A",Table1[[#This Row],[Spec Type]])</f>
        <v>±</v>
      </c>
      <c r="AC194" s="1" t="str">
        <f>IF(Table1[[#This Row],[Spec Type2]]="N/A","N/A",IF(AND(Table1[[#This Row],[DUT Adj Read]]&gt;=Table1[[#This Row],[Low Tol]],Table1[[#This Row],[DUT Adj Read]]&lt;=Table1[[#This Row],[High Tol]]),"Pass","Fail"))</f>
        <v>Fail</v>
      </c>
      <c r="AD194" s="1" t="str">
        <f>IF(AND(Table1[[#This Row],[Spec Type2]]="N/A",Table1[[#This Row],[DUT Adj Read]]="N/A",Table1[[#This Row],[Std Adj Read]]="N/A"),"N/A",IF(Table1[[#This Row],[DUT Adj Read]]="N/A",IF(Table1[[#This Row],[Std Adj Read]]&gt;Table1[[#This Row],[Low Tol]],"Pass","Fail"),IF(Table1[[#This Row],[DUT Adj Read]]&gt;Table1[[#This Row],[Low Tol]],"Pass","Fail")))</f>
        <v>Pass</v>
      </c>
      <c r="AE194" s="1" t="str">
        <f>IF(AND(Table1[[#This Row],[Spec Type2]]="N/A",Table1[[#This Row],[DUT Adj Read]]="N/A",Table1[[#This Row],[Std Adj Read]]="N/A"),"N/A",IF(Table1[[#This Row],[DUT Adj Read]]="N/A",IF(Table1[[#This Row],[Std Adj Read]]&lt;Table1[[#This Row],[High Tol]],"Pass","Fail"),IF(Table1[[#This Row],[DUT Adj Read]]&lt;Table1[[#This Row],[High Tol]],"Pass","Fail")))</f>
        <v>Fail</v>
      </c>
      <c r="AF194" s="1" t="str">
        <f>IF(AND(Table1[[#This Row],[Spec Type2]]="N/A",Table1[[#This Row],[DUT Adj Read]]="N/A",Table1[[#This Row],[Std Adj Read]]="N/A"),"N/A",IF(Table1[[#This Row],[DUT Adj Read]]="N/A",IF(Table1[[#This Row],[Std Adj Read]]&gt;=Table1[[#This Row],[Low Tol]],"Pass","Fail"),IF(Table1[[#This Row],[DUT Adj Read]]&gt;=Table1[[#This Row],[Low Tol]],"Pass","Fail")))</f>
        <v>Pass</v>
      </c>
      <c r="AG194" s="1" t="str">
        <f>IF(AND(Table1[[#This Row],[Spec Type2]]="N/A",Table1[[#This Row],[DUT Adj Read]]="N/A",Table1[[#This Row],[Std Adj Read]]="N/A"),"N/A",IF(Table1[[#This Row],[DUT Adj Read]]="N/A",IF(Table1[[#This Row],[Std Adj Read]]&lt;=Table1[[#This Row],[High Tol]],"Pass","Fail"),IF(Table1[[#This Row],[DUT Adj Read]]&lt;=Table1[[#This Row],[High Tol]],"Pass","Fail")))</f>
        <v>Fail</v>
      </c>
      <c r="AH1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 s="1" t="b">
        <v>0</v>
      </c>
      <c r="AN194" s="1" t="b">
        <v>0</v>
      </c>
      <c r="AO194" s="1" t="b">
        <v>0</v>
      </c>
    </row>
    <row r="195" spans="1:41" x14ac:dyDescent="0.25">
      <c r="A195" s="10"/>
      <c r="B195" s="10"/>
      <c r="C195" s="10"/>
      <c r="D195" s="10"/>
      <c r="E195" s="10"/>
      <c r="F195" s="10"/>
      <c r="G195" s="10"/>
      <c r="H195" s="10"/>
      <c r="I195" s="1" t="str">
        <f t="shared" si="6"/>
        <v/>
      </c>
      <c r="J195" s="1" t="s">
        <v>35</v>
      </c>
      <c r="K195" s="1" t="str">
        <f t="shared" si="7"/>
        <v/>
      </c>
      <c r="L195" s="1" t="str">
        <f t="shared" si="8"/>
        <v/>
      </c>
      <c r="M195" s="1">
        <f>IF(OR(Table1[[#This Row],[Std Nom]]="",Table1[[#This Row],[Std Read]]=""),0,Table1[[#This Row],[Std Nom]]-Table1[[#This Row],[Std Read]])</f>
        <v>0</v>
      </c>
      <c r="N195" s="1">
        <f>IF(Calculations!$F$5="ACCREDITED 17025 WITH UNCERTAINTIES",$N$10,0)</f>
        <v>0</v>
      </c>
      <c r="O195" s="1" t="str">
        <f>IFERROR(Table1[[#This Row],[Std Nom]]-(_xlfn.XLOOKUP(Table1[[#This Row],[Manufacturer]]&amp;" "&amp;Table1[[#This Row],[Model]],Table13[MFR &amp; MDL],Table13[Tolerance % CW ],"")/100*Table1[[#This Row],[Std Nom]]),"")</f>
        <v/>
      </c>
      <c r="P195" s="1" t="str">
        <f>IFERROR(Table1[[#This Row],[Std Nom]]+(_xlfn.XLOOKUP(Table1[[#This Row],[Manufacturer]]&amp;" "&amp;Table1[[#This Row],[Model]],Table13[MFR &amp; MDL],Table13[Tolerance % CW ],"")/100*Table1[[#This Row],[Std Nom]]),"")</f>
        <v/>
      </c>
      <c r="Q195" s="1" t="e">
        <f>Table1[[#This Row],[High Tol]]-Table1[[#This Row],[Low Tol]]</f>
        <v>#VALUE!</v>
      </c>
      <c r="R195" s="1">
        <f>2*Table1[[#This Row],[Std Error]]</f>
        <v>0</v>
      </c>
      <c r="S195" s="1" t="str">
        <f>IF(Table1[[#This Row],[High Tol]]="","N/A",IFERROR(ABS(Table1[[#This Row],[Tol Span]]/Table1[[#This Row],[Error Span]]),"N/A"))</f>
        <v>N/A</v>
      </c>
      <c r="T195" s="1" t="str">
        <f>IF(OR(Table1[[#This Row],[Low Tol]]="",Table1[[#This Row],[High Tol]]=""),"Needs Analysis",IF(Table1[[#This Row],[Ratio]]&gt;=4,"Not Significant",IF(Table1[[#This Row],[Ratio]]&gt;=2,"Semi-Significant","Significant")))</f>
        <v>Needs Analysis</v>
      </c>
      <c r="W195" s="1">
        <f>IF(Table1[[#This Row],[Cal Type]]&lt;&gt;"ACCREDITED 17025 WITH UNCERTAINTIES",0,"")</f>
        <v>0</v>
      </c>
      <c r="X195" s="1" t="str">
        <f>IF(Table1[[#This Row],[DUT Read]]="","N/A",Table1[[#This Row],[Std Error]]+Table1[[#This Row],[DUT Read]]+Table1[[#This Row],[DUT Ucty]])</f>
        <v>N/A</v>
      </c>
      <c r="Y195" s="1" t="str">
        <f>IF(Table1[[#This Row],[Std Read]]="","N/A",Table1[[#This Row],[Std Read]]+Table1[[#This Row],[Std Ucty]])</f>
        <v>N/A</v>
      </c>
      <c r="Z1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 s="1" t="str">
        <f>IF(Table1[[#This Row],[Spec Type]]="","N/A",Table1[[#This Row],[Spec Type]])</f>
        <v>±</v>
      </c>
      <c r="AC195" s="1" t="str">
        <f>IF(Table1[[#This Row],[Spec Type2]]="N/A","N/A",IF(AND(Table1[[#This Row],[DUT Adj Read]]&gt;=Table1[[#This Row],[Low Tol]],Table1[[#This Row],[DUT Adj Read]]&lt;=Table1[[#This Row],[High Tol]]),"Pass","Fail"))</f>
        <v>Fail</v>
      </c>
      <c r="AD195" s="1" t="str">
        <f>IF(AND(Table1[[#This Row],[Spec Type2]]="N/A",Table1[[#This Row],[DUT Adj Read]]="N/A",Table1[[#This Row],[Std Adj Read]]="N/A"),"N/A",IF(Table1[[#This Row],[DUT Adj Read]]="N/A",IF(Table1[[#This Row],[Std Adj Read]]&gt;Table1[[#This Row],[Low Tol]],"Pass","Fail"),IF(Table1[[#This Row],[DUT Adj Read]]&gt;Table1[[#This Row],[Low Tol]],"Pass","Fail")))</f>
        <v>Pass</v>
      </c>
      <c r="AE195" s="1" t="str">
        <f>IF(AND(Table1[[#This Row],[Spec Type2]]="N/A",Table1[[#This Row],[DUT Adj Read]]="N/A",Table1[[#This Row],[Std Adj Read]]="N/A"),"N/A",IF(Table1[[#This Row],[DUT Adj Read]]="N/A",IF(Table1[[#This Row],[Std Adj Read]]&lt;Table1[[#This Row],[High Tol]],"Pass","Fail"),IF(Table1[[#This Row],[DUT Adj Read]]&lt;Table1[[#This Row],[High Tol]],"Pass","Fail")))</f>
        <v>Fail</v>
      </c>
      <c r="AF195" s="1" t="str">
        <f>IF(AND(Table1[[#This Row],[Spec Type2]]="N/A",Table1[[#This Row],[DUT Adj Read]]="N/A",Table1[[#This Row],[Std Adj Read]]="N/A"),"N/A",IF(Table1[[#This Row],[DUT Adj Read]]="N/A",IF(Table1[[#This Row],[Std Adj Read]]&gt;=Table1[[#This Row],[Low Tol]],"Pass","Fail"),IF(Table1[[#This Row],[DUT Adj Read]]&gt;=Table1[[#This Row],[Low Tol]],"Pass","Fail")))</f>
        <v>Pass</v>
      </c>
      <c r="AG195" s="1" t="str">
        <f>IF(AND(Table1[[#This Row],[Spec Type2]]="N/A",Table1[[#This Row],[DUT Adj Read]]="N/A",Table1[[#This Row],[Std Adj Read]]="N/A"),"N/A",IF(Table1[[#This Row],[DUT Adj Read]]="N/A",IF(Table1[[#This Row],[Std Adj Read]]&lt;=Table1[[#This Row],[High Tol]],"Pass","Fail"),IF(Table1[[#This Row],[DUT Adj Read]]&lt;=Table1[[#This Row],[High Tol]],"Pass","Fail")))</f>
        <v>Fail</v>
      </c>
      <c r="AH1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 s="1" t="b">
        <v>0</v>
      </c>
      <c r="AN195" s="1" t="b">
        <v>0</v>
      </c>
      <c r="AO195" s="1" t="b">
        <v>0</v>
      </c>
    </row>
    <row r="196" spans="1:41" x14ac:dyDescent="0.25">
      <c r="A196" s="10"/>
      <c r="B196" s="10"/>
      <c r="C196" s="10"/>
      <c r="D196" s="10"/>
      <c r="E196" s="10"/>
      <c r="F196" s="10"/>
      <c r="G196" s="10"/>
      <c r="H196" s="10"/>
      <c r="I196" s="1" t="str">
        <f t="shared" si="6"/>
        <v/>
      </c>
      <c r="J196" s="1" t="s">
        <v>35</v>
      </c>
      <c r="K196" s="1" t="str">
        <f t="shared" si="7"/>
        <v/>
      </c>
      <c r="L196" s="1" t="str">
        <f t="shared" si="8"/>
        <v/>
      </c>
      <c r="M196" s="1">
        <f>IF(OR(Table1[[#This Row],[Std Nom]]="",Table1[[#This Row],[Std Read]]=""),0,Table1[[#This Row],[Std Nom]]-Table1[[#This Row],[Std Read]])</f>
        <v>0</v>
      </c>
      <c r="N196" s="1">
        <f>IF(Calculations!$F$5="ACCREDITED 17025 WITH UNCERTAINTIES",$N$10,0)</f>
        <v>0</v>
      </c>
      <c r="O196" s="1" t="str">
        <f>IFERROR(Table1[[#This Row],[Std Nom]]-(_xlfn.XLOOKUP(Table1[[#This Row],[Manufacturer]]&amp;" "&amp;Table1[[#This Row],[Model]],Table13[MFR &amp; MDL],Table13[Tolerance % CW ],"")/100*Table1[[#This Row],[Std Nom]]),"")</f>
        <v/>
      </c>
      <c r="P196" s="1" t="str">
        <f>IFERROR(Table1[[#This Row],[Std Nom]]+(_xlfn.XLOOKUP(Table1[[#This Row],[Manufacturer]]&amp;" "&amp;Table1[[#This Row],[Model]],Table13[MFR &amp; MDL],Table13[Tolerance % CW ],"")/100*Table1[[#This Row],[Std Nom]]),"")</f>
        <v/>
      </c>
      <c r="Q196" s="1" t="e">
        <f>Table1[[#This Row],[High Tol]]-Table1[[#This Row],[Low Tol]]</f>
        <v>#VALUE!</v>
      </c>
      <c r="R196" s="1">
        <f>2*Table1[[#This Row],[Std Error]]</f>
        <v>0</v>
      </c>
      <c r="S196" s="1" t="str">
        <f>IF(Table1[[#This Row],[High Tol]]="","N/A",IFERROR(ABS(Table1[[#This Row],[Tol Span]]/Table1[[#This Row],[Error Span]]),"N/A"))</f>
        <v>N/A</v>
      </c>
      <c r="T196" s="1" t="str">
        <f>IF(OR(Table1[[#This Row],[Low Tol]]="",Table1[[#This Row],[High Tol]]=""),"Needs Analysis",IF(Table1[[#This Row],[Ratio]]&gt;=4,"Not Significant",IF(Table1[[#This Row],[Ratio]]&gt;=2,"Semi-Significant","Significant")))</f>
        <v>Needs Analysis</v>
      </c>
      <c r="W196" s="1">
        <f>IF(Table1[[#This Row],[Cal Type]]&lt;&gt;"ACCREDITED 17025 WITH UNCERTAINTIES",0,"")</f>
        <v>0</v>
      </c>
      <c r="X196" s="1" t="str">
        <f>IF(Table1[[#This Row],[DUT Read]]="","N/A",Table1[[#This Row],[Std Error]]+Table1[[#This Row],[DUT Read]]+Table1[[#This Row],[DUT Ucty]])</f>
        <v>N/A</v>
      </c>
      <c r="Y196" s="1" t="str">
        <f>IF(Table1[[#This Row],[Std Read]]="","N/A",Table1[[#This Row],[Std Read]]+Table1[[#This Row],[Std Ucty]])</f>
        <v>N/A</v>
      </c>
      <c r="Z1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 s="1" t="str">
        <f>IF(Table1[[#This Row],[Spec Type]]="","N/A",Table1[[#This Row],[Spec Type]])</f>
        <v>±</v>
      </c>
      <c r="AC196" s="1" t="str">
        <f>IF(Table1[[#This Row],[Spec Type2]]="N/A","N/A",IF(AND(Table1[[#This Row],[DUT Adj Read]]&gt;=Table1[[#This Row],[Low Tol]],Table1[[#This Row],[DUT Adj Read]]&lt;=Table1[[#This Row],[High Tol]]),"Pass","Fail"))</f>
        <v>Fail</v>
      </c>
      <c r="AD196" s="1" t="str">
        <f>IF(AND(Table1[[#This Row],[Spec Type2]]="N/A",Table1[[#This Row],[DUT Adj Read]]="N/A",Table1[[#This Row],[Std Adj Read]]="N/A"),"N/A",IF(Table1[[#This Row],[DUT Adj Read]]="N/A",IF(Table1[[#This Row],[Std Adj Read]]&gt;Table1[[#This Row],[Low Tol]],"Pass","Fail"),IF(Table1[[#This Row],[DUT Adj Read]]&gt;Table1[[#This Row],[Low Tol]],"Pass","Fail")))</f>
        <v>Pass</v>
      </c>
      <c r="AE196" s="1" t="str">
        <f>IF(AND(Table1[[#This Row],[Spec Type2]]="N/A",Table1[[#This Row],[DUT Adj Read]]="N/A",Table1[[#This Row],[Std Adj Read]]="N/A"),"N/A",IF(Table1[[#This Row],[DUT Adj Read]]="N/A",IF(Table1[[#This Row],[Std Adj Read]]&lt;Table1[[#This Row],[High Tol]],"Pass","Fail"),IF(Table1[[#This Row],[DUT Adj Read]]&lt;Table1[[#This Row],[High Tol]],"Pass","Fail")))</f>
        <v>Fail</v>
      </c>
      <c r="AF196" s="1" t="str">
        <f>IF(AND(Table1[[#This Row],[Spec Type2]]="N/A",Table1[[#This Row],[DUT Adj Read]]="N/A",Table1[[#This Row],[Std Adj Read]]="N/A"),"N/A",IF(Table1[[#This Row],[DUT Adj Read]]="N/A",IF(Table1[[#This Row],[Std Adj Read]]&gt;=Table1[[#This Row],[Low Tol]],"Pass","Fail"),IF(Table1[[#This Row],[DUT Adj Read]]&gt;=Table1[[#This Row],[Low Tol]],"Pass","Fail")))</f>
        <v>Pass</v>
      </c>
      <c r="AG196" s="1" t="str">
        <f>IF(AND(Table1[[#This Row],[Spec Type2]]="N/A",Table1[[#This Row],[DUT Adj Read]]="N/A",Table1[[#This Row],[Std Adj Read]]="N/A"),"N/A",IF(Table1[[#This Row],[DUT Adj Read]]="N/A",IF(Table1[[#This Row],[Std Adj Read]]&lt;=Table1[[#This Row],[High Tol]],"Pass","Fail"),IF(Table1[[#This Row],[DUT Adj Read]]&lt;=Table1[[#This Row],[High Tol]],"Pass","Fail")))</f>
        <v>Fail</v>
      </c>
      <c r="AH1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 s="1" t="b">
        <v>0</v>
      </c>
      <c r="AN196" s="1" t="b">
        <v>0</v>
      </c>
      <c r="AO196" s="1" t="b">
        <v>0</v>
      </c>
    </row>
    <row r="197" spans="1:41" x14ac:dyDescent="0.25">
      <c r="A197" s="10"/>
      <c r="B197" s="10"/>
      <c r="C197" s="10"/>
      <c r="D197" s="10"/>
      <c r="E197" s="10"/>
      <c r="F197" s="10"/>
      <c r="G197" s="10"/>
      <c r="H197" s="10"/>
      <c r="I197" s="1" t="str">
        <f t="shared" si="6"/>
        <v/>
      </c>
      <c r="J197" s="1" t="s">
        <v>35</v>
      </c>
      <c r="K197" s="1" t="str">
        <f t="shared" si="7"/>
        <v/>
      </c>
      <c r="L197" s="1" t="str">
        <f t="shared" si="8"/>
        <v/>
      </c>
      <c r="M197" s="1">
        <f>IF(OR(Table1[[#This Row],[Std Nom]]="",Table1[[#This Row],[Std Read]]=""),0,Table1[[#This Row],[Std Nom]]-Table1[[#This Row],[Std Read]])</f>
        <v>0</v>
      </c>
      <c r="N197" s="1">
        <f>IF(Calculations!$F$5="ACCREDITED 17025 WITH UNCERTAINTIES",$N$10,0)</f>
        <v>0</v>
      </c>
      <c r="O197" s="1" t="str">
        <f>IFERROR(Table1[[#This Row],[Std Nom]]-(_xlfn.XLOOKUP(Table1[[#This Row],[Manufacturer]]&amp;" "&amp;Table1[[#This Row],[Model]],Table13[MFR &amp; MDL],Table13[Tolerance % CW ],"")/100*Table1[[#This Row],[Std Nom]]),"")</f>
        <v/>
      </c>
      <c r="P197" s="1" t="str">
        <f>IFERROR(Table1[[#This Row],[Std Nom]]+(_xlfn.XLOOKUP(Table1[[#This Row],[Manufacturer]]&amp;" "&amp;Table1[[#This Row],[Model]],Table13[MFR &amp; MDL],Table13[Tolerance % CW ],"")/100*Table1[[#This Row],[Std Nom]]),"")</f>
        <v/>
      </c>
      <c r="Q197" s="1" t="e">
        <f>Table1[[#This Row],[High Tol]]-Table1[[#This Row],[Low Tol]]</f>
        <v>#VALUE!</v>
      </c>
      <c r="R197" s="1">
        <f>2*Table1[[#This Row],[Std Error]]</f>
        <v>0</v>
      </c>
      <c r="S197" s="1" t="str">
        <f>IF(Table1[[#This Row],[High Tol]]="","N/A",IFERROR(ABS(Table1[[#This Row],[Tol Span]]/Table1[[#This Row],[Error Span]]),"N/A"))</f>
        <v>N/A</v>
      </c>
      <c r="T197" s="1" t="str">
        <f>IF(OR(Table1[[#This Row],[Low Tol]]="",Table1[[#This Row],[High Tol]]=""),"Needs Analysis",IF(Table1[[#This Row],[Ratio]]&gt;=4,"Not Significant",IF(Table1[[#This Row],[Ratio]]&gt;=2,"Semi-Significant","Significant")))</f>
        <v>Needs Analysis</v>
      </c>
      <c r="W197" s="1">
        <f>IF(Table1[[#This Row],[Cal Type]]&lt;&gt;"ACCREDITED 17025 WITH UNCERTAINTIES",0,"")</f>
        <v>0</v>
      </c>
      <c r="X197" s="1" t="str">
        <f>IF(Table1[[#This Row],[DUT Read]]="","N/A",Table1[[#This Row],[Std Error]]+Table1[[#This Row],[DUT Read]]+Table1[[#This Row],[DUT Ucty]])</f>
        <v>N/A</v>
      </c>
      <c r="Y197" s="1" t="str">
        <f>IF(Table1[[#This Row],[Std Read]]="","N/A",Table1[[#This Row],[Std Read]]+Table1[[#This Row],[Std Ucty]])</f>
        <v>N/A</v>
      </c>
      <c r="Z1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 s="1" t="str">
        <f>IF(Table1[[#This Row],[Spec Type]]="","N/A",Table1[[#This Row],[Spec Type]])</f>
        <v>±</v>
      </c>
      <c r="AC197" s="1" t="str">
        <f>IF(Table1[[#This Row],[Spec Type2]]="N/A","N/A",IF(AND(Table1[[#This Row],[DUT Adj Read]]&gt;=Table1[[#This Row],[Low Tol]],Table1[[#This Row],[DUT Adj Read]]&lt;=Table1[[#This Row],[High Tol]]),"Pass","Fail"))</f>
        <v>Fail</v>
      </c>
      <c r="AD197" s="1" t="str">
        <f>IF(AND(Table1[[#This Row],[Spec Type2]]="N/A",Table1[[#This Row],[DUT Adj Read]]="N/A",Table1[[#This Row],[Std Adj Read]]="N/A"),"N/A",IF(Table1[[#This Row],[DUT Adj Read]]="N/A",IF(Table1[[#This Row],[Std Adj Read]]&gt;Table1[[#This Row],[Low Tol]],"Pass","Fail"),IF(Table1[[#This Row],[DUT Adj Read]]&gt;Table1[[#This Row],[Low Tol]],"Pass","Fail")))</f>
        <v>Pass</v>
      </c>
      <c r="AE197" s="1" t="str">
        <f>IF(AND(Table1[[#This Row],[Spec Type2]]="N/A",Table1[[#This Row],[DUT Adj Read]]="N/A",Table1[[#This Row],[Std Adj Read]]="N/A"),"N/A",IF(Table1[[#This Row],[DUT Adj Read]]="N/A",IF(Table1[[#This Row],[Std Adj Read]]&lt;Table1[[#This Row],[High Tol]],"Pass","Fail"),IF(Table1[[#This Row],[DUT Adj Read]]&lt;Table1[[#This Row],[High Tol]],"Pass","Fail")))</f>
        <v>Fail</v>
      </c>
      <c r="AF197" s="1" t="str">
        <f>IF(AND(Table1[[#This Row],[Spec Type2]]="N/A",Table1[[#This Row],[DUT Adj Read]]="N/A",Table1[[#This Row],[Std Adj Read]]="N/A"),"N/A",IF(Table1[[#This Row],[DUT Adj Read]]="N/A",IF(Table1[[#This Row],[Std Adj Read]]&gt;=Table1[[#This Row],[Low Tol]],"Pass","Fail"),IF(Table1[[#This Row],[DUT Adj Read]]&gt;=Table1[[#This Row],[Low Tol]],"Pass","Fail")))</f>
        <v>Pass</v>
      </c>
      <c r="AG197" s="1" t="str">
        <f>IF(AND(Table1[[#This Row],[Spec Type2]]="N/A",Table1[[#This Row],[DUT Adj Read]]="N/A",Table1[[#This Row],[Std Adj Read]]="N/A"),"N/A",IF(Table1[[#This Row],[DUT Adj Read]]="N/A",IF(Table1[[#This Row],[Std Adj Read]]&lt;=Table1[[#This Row],[High Tol]],"Pass","Fail"),IF(Table1[[#This Row],[DUT Adj Read]]&lt;=Table1[[#This Row],[High Tol]],"Pass","Fail")))</f>
        <v>Fail</v>
      </c>
      <c r="AH1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 s="1" t="b">
        <v>0</v>
      </c>
      <c r="AN197" s="1" t="b">
        <v>0</v>
      </c>
      <c r="AO197" s="1" t="b">
        <v>0</v>
      </c>
    </row>
    <row r="198" spans="1:41" x14ac:dyDescent="0.25">
      <c r="A198" s="10"/>
      <c r="B198" s="10"/>
      <c r="C198" s="10"/>
      <c r="D198" s="10"/>
      <c r="E198" s="10"/>
      <c r="F198" s="10"/>
      <c r="G198" s="10"/>
      <c r="H198" s="10"/>
      <c r="I198" s="1" t="str">
        <f t="shared" si="6"/>
        <v/>
      </c>
      <c r="J198" s="1" t="s">
        <v>35</v>
      </c>
      <c r="K198" s="1" t="str">
        <f t="shared" si="7"/>
        <v/>
      </c>
      <c r="L198" s="1" t="str">
        <f t="shared" si="8"/>
        <v/>
      </c>
      <c r="M198" s="1">
        <f>IF(OR(Table1[[#This Row],[Std Nom]]="",Table1[[#This Row],[Std Read]]=""),0,Table1[[#This Row],[Std Nom]]-Table1[[#This Row],[Std Read]])</f>
        <v>0</v>
      </c>
      <c r="N198" s="1">
        <f>IF(Calculations!$F$5="ACCREDITED 17025 WITH UNCERTAINTIES",$N$10,0)</f>
        <v>0</v>
      </c>
      <c r="O198" s="1" t="str">
        <f>IFERROR(Table1[[#This Row],[Std Nom]]-(_xlfn.XLOOKUP(Table1[[#This Row],[Manufacturer]]&amp;" "&amp;Table1[[#This Row],[Model]],Table13[MFR &amp; MDL],Table13[Tolerance % CW ],"")/100*Table1[[#This Row],[Std Nom]]),"")</f>
        <v/>
      </c>
      <c r="P198" s="1" t="str">
        <f>IFERROR(Table1[[#This Row],[Std Nom]]+(_xlfn.XLOOKUP(Table1[[#This Row],[Manufacturer]]&amp;" "&amp;Table1[[#This Row],[Model]],Table13[MFR &amp; MDL],Table13[Tolerance % CW ],"")/100*Table1[[#This Row],[Std Nom]]),"")</f>
        <v/>
      </c>
      <c r="Q198" s="1" t="e">
        <f>Table1[[#This Row],[High Tol]]-Table1[[#This Row],[Low Tol]]</f>
        <v>#VALUE!</v>
      </c>
      <c r="R198" s="1">
        <f>2*Table1[[#This Row],[Std Error]]</f>
        <v>0</v>
      </c>
      <c r="S198" s="1" t="str">
        <f>IF(Table1[[#This Row],[High Tol]]="","N/A",IFERROR(ABS(Table1[[#This Row],[Tol Span]]/Table1[[#This Row],[Error Span]]),"N/A"))</f>
        <v>N/A</v>
      </c>
      <c r="T198" s="1" t="str">
        <f>IF(OR(Table1[[#This Row],[Low Tol]]="",Table1[[#This Row],[High Tol]]=""),"Needs Analysis",IF(Table1[[#This Row],[Ratio]]&gt;=4,"Not Significant",IF(Table1[[#This Row],[Ratio]]&gt;=2,"Semi-Significant","Significant")))</f>
        <v>Needs Analysis</v>
      </c>
      <c r="W198" s="1">
        <f>IF(Table1[[#This Row],[Cal Type]]&lt;&gt;"ACCREDITED 17025 WITH UNCERTAINTIES",0,"")</f>
        <v>0</v>
      </c>
      <c r="X198" s="1" t="str">
        <f>IF(Table1[[#This Row],[DUT Read]]="","N/A",Table1[[#This Row],[Std Error]]+Table1[[#This Row],[DUT Read]]+Table1[[#This Row],[DUT Ucty]])</f>
        <v>N/A</v>
      </c>
      <c r="Y198" s="1" t="str">
        <f>IF(Table1[[#This Row],[Std Read]]="","N/A",Table1[[#This Row],[Std Read]]+Table1[[#This Row],[Std Ucty]])</f>
        <v>N/A</v>
      </c>
      <c r="Z1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 s="1" t="str">
        <f>IF(Table1[[#This Row],[Spec Type]]="","N/A",Table1[[#This Row],[Spec Type]])</f>
        <v>±</v>
      </c>
      <c r="AC198" s="1" t="str">
        <f>IF(Table1[[#This Row],[Spec Type2]]="N/A","N/A",IF(AND(Table1[[#This Row],[DUT Adj Read]]&gt;=Table1[[#This Row],[Low Tol]],Table1[[#This Row],[DUT Adj Read]]&lt;=Table1[[#This Row],[High Tol]]),"Pass","Fail"))</f>
        <v>Fail</v>
      </c>
      <c r="AD198" s="1" t="str">
        <f>IF(AND(Table1[[#This Row],[Spec Type2]]="N/A",Table1[[#This Row],[DUT Adj Read]]="N/A",Table1[[#This Row],[Std Adj Read]]="N/A"),"N/A",IF(Table1[[#This Row],[DUT Adj Read]]="N/A",IF(Table1[[#This Row],[Std Adj Read]]&gt;Table1[[#This Row],[Low Tol]],"Pass","Fail"),IF(Table1[[#This Row],[DUT Adj Read]]&gt;Table1[[#This Row],[Low Tol]],"Pass","Fail")))</f>
        <v>Pass</v>
      </c>
      <c r="AE198" s="1" t="str">
        <f>IF(AND(Table1[[#This Row],[Spec Type2]]="N/A",Table1[[#This Row],[DUT Adj Read]]="N/A",Table1[[#This Row],[Std Adj Read]]="N/A"),"N/A",IF(Table1[[#This Row],[DUT Adj Read]]="N/A",IF(Table1[[#This Row],[Std Adj Read]]&lt;Table1[[#This Row],[High Tol]],"Pass","Fail"),IF(Table1[[#This Row],[DUT Adj Read]]&lt;Table1[[#This Row],[High Tol]],"Pass","Fail")))</f>
        <v>Fail</v>
      </c>
      <c r="AF198" s="1" t="str">
        <f>IF(AND(Table1[[#This Row],[Spec Type2]]="N/A",Table1[[#This Row],[DUT Adj Read]]="N/A",Table1[[#This Row],[Std Adj Read]]="N/A"),"N/A",IF(Table1[[#This Row],[DUT Adj Read]]="N/A",IF(Table1[[#This Row],[Std Adj Read]]&gt;=Table1[[#This Row],[Low Tol]],"Pass","Fail"),IF(Table1[[#This Row],[DUT Adj Read]]&gt;=Table1[[#This Row],[Low Tol]],"Pass","Fail")))</f>
        <v>Pass</v>
      </c>
      <c r="AG198" s="1" t="str">
        <f>IF(AND(Table1[[#This Row],[Spec Type2]]="N/A",Table1[[#This Row],[DUT Adj Read]]="N/A",Table1[[#This Row],[Std Adj Read]]="N/A"),"N/A",IF(Table1[[#This Row],[DUT Adj Read]]="N/A",IF(Table1[[#This Row],[Std Adj Read]]&lt;=Table1[[#This Row],[High Tol]],"Pass","Fail"),IF(Table1[[#This Row],[DUT Adj Read]]&lt;=Table1[[#This Row],[High Tol]],"Pass","Fail")))</f>
        <v>Fail</v>
      </c>
      <c r="AH1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 s="1" t="b">
        <v>0</v>
      </c>
      <c r="AN198" s="1" t="b">
        <v>0</v>
      </c>
      <c r="AO198" s="1" t="b">
        <v>0</v>
      </c>
    </row>
    <row r="199" spans="1:41" x14ac:dyDescent="0.25">
      <c r="A199" s="10"/>
      <c r="B199" s="10"/>
      <c r="C199" s="10"/>
      <c r="D199" s="10"/>
      <c r="E199" s="10"/>
      <c r="F199" s="10"/>
      <c r="G199" s="10"/>
      <c r="H199" s="10"/>
      <c r="I199" s="1" t="str">
        <f t="shared" si="6"/>
        <v/>
      </c>
      <c r="J199" s="1" t="s">
        <v>35</v>
      </c>
      <c r="K199" s="1" t="str">
        <f t="shared" si="7"/>
        <v/>
      </c>
      <c r="L199" s="1" t="str">
        <f t="shared" si="8"/>
        <v/>
      </c>
      <c r="M199" s="1">
        <f>IF(OR(Table1[[#This Row],[Std Nom]]="",Table1[[#This Row],[Std Read]]=""),0,Table1[[#This Row],[Std Nom]]-Table1[[#This Row],[Std Read]])</f>
        <v>0</v>
      </c>
      <c r="N199" s="1">
        <f>IF(Calculations!$F$5="ACCREDITED 17025 WITH UNCERTAINTIES",$N$10,0)</f>
        <v>0</v>
      </c>
      <c r="O199" s="1" t="str">
        <f>IFERROR(Table1[[#This Row],[Std Nom]]-(_xlfn.XLOOKUP(Table1[[#This Row],[Manufacturer]]&amp;" "&amp;Table1[[#This Row],[Model]],Table13[MFR &amp; MDL],Table13[Tolerance % CW ],"")/100*Table1[[#This Row],[Std Nom]]),"")</f>
        <v/>
      </c>
      <c r="P199" s="1" t="str">
        <f>IFERROR(Table1[[#This Row],[Std Nom]]+(_xlfn.XLOOKUP(Table1[[#This Row],[Manufacturer]]&amp;" "&amp;Table1[[#This Row],[Model]],Table13[MFR &amp; MDL],Table13[Tolerance % CW ],"")/100*Table1[[#This Row],[Std Nom]]),"")</f>
        <v/>
      </c>
      <c r="Q199" s="1" t="e">
        <f>Table1[[#This Row],[High Tol]]-Table1[[#This Row],[Low Tol]]</f>
        <v>#VALUE!</v>
      </c>
      <c r="R199" s="1">
        <f>2*Table1[[#This Row],[Std Error]]</f>
        <v>0</v>
      </c>
      <c r="S199" s="1" t="str">
        <f>IF(Table1[[#This Row],[High Tol]]="","N/A",IFERROR(ABS(Table1[[#This Row],[Tol Span]]/Table1[[#This Row],[Error Span]]),"N/A"))</f>
        <v>N/A</v>
      </c>
      <c r="T199" s="1" t="str">
        <f>IF(OR(Table1[[#This Row],[Low Tol]]="",Table1[[#This Row],[High Tol]]=""),"Needs Analysis",IF(Table1[[#This Row],[Ratio]]&gt;=4,"Not Significant",IF(Table1[[#This Row],[Ratio]]&gt;=2,"Semi-Significant","Significant")))</f>
        <v>Needs Analysis</v>
      </c>
      <c r="W199" s="1">
        <f>IF(Table1[[#This Row],[Cal Type]]&lt;&gt;"ACCREDITED 17025 WITH UNCERTAINTIES",0,"")</f>
        <v>0</v>
      </c>
      <c r="X199" s="1" t="str">
        <f>IF(Table1[[#This Row],[DUT Read]]="","N/A",Table1[[#This Row],[Std Error]]+Table1[[#This Row],[DUT Read]]+Table1[[#This Row],[DUT Ucty]])</f>
        <v>N/A</v>
      </c>
      <c r="Y199" s="1" t="str">
        <f>IF(Table1[[#This Row],[Std Read]]="","N/A",Table1[[#This Row],[Std Read]]+Table1[[#This Row],[Std Ucty]])</f>
        <v>N/A</v>
      </c>
      <c r="Z1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 s="1" t="str">
        <f>IF(Table1[[#This Row],[Spec Type]]="","N/A",Table1[[#This Row],[Spec Type]])</f>
        <v>±</v>
      </c>
      <c r="AC199" s="1" t="str">
        <f>IF(Table1[[#This Row],[Spec Type2]]="N/A","N/A",IF(AND(Table1[[#This Row],[DUT Adj Read]]&gt;=Table1[[#This Row],[Low Tol]],Table1[[#This Row],[DUT Adj Read]]&lt;=Table1[[#This Row],[High Tol]]),"Pass","Fail"))</f>
        <v>Fail</v>
      </c>
      <c r="AD199" s="1" t="str">
        <f>IF(AND(Table1[[#This Row],[Spec Type2]]="N/A",Table1[[#This Row],[DUT Adj Read]]="N/A",Table1[[#This Row],[Std Adj Read]]="N/A"),"N/A",IF(Table1[[#This Row],[DUT Adj Read]]="N/A",IF(Table1[[#This Row],[Std Adj Read]]&gt;Table1[[#This Row],[Low Tol]],"Pass","Fail"),IF(Table1[[#This Row],[DUT Adj Read]]&gt;Table1[[#This Row],[Low Tol]],"Pass","Fail")))</f>
        <v>Pass</v>
      </c>
      <c r="AE199" s="1" t="str">
        <f>IF(AND(Table1[[#This Row],[Spec Type2]]="N/A",Table1[[#This Row],[DUT Adj Read]]="N/A",Table1[[#This Row],[Std Adj Read]]="N/A"),"N/A",IF(Table1[[#This Row],[DUT Adj Read]]="N/A",IF(Table1[[#This Row],[Std Adj Read]]&lt;Table1[[#This Row],[High Tol]],"Pass","Fail"),IF(Table1[[#This Row],[DUT Adj Read]]&lt;Table1[[#This Row],[High Tol]],"Pass","Fail")))</f>
        <v>Fail</v>
      </c>
      <c r="AF199" s="1" t="str">
        <f>IF(AND(Table1[[#This Row],[Spec Type2]]="N/A",Table1[[#This Row],[DUT Adj Read]]="N/A",Table1[[#This Row],[Std Adj Read]]="N/A"),"N/A",IF(Table1[[#This Row],[DUT Adj Read]]="N/A",IF(Table1[[#This Row],[Std Adj Read]]&gt;=Table1[[#This Row],[Low Tol]],"Pass","Fail"),IF(Table1[[#This Row],[DUT Adj Read]]&gt;=Table1[[#This Row],[Low Tol]],"Pass","Fail")))</f>
        <v>Pass</v>
      </c>
      <c r="AG199" s="1" t="str">
        <f>IF(AND(Table1[[#This Row],[Spec Type2]]="N/A",Table1[[#This Row],[DUT Adj Read]]="N/A",Table1[[#This Row],[Std Adj Read]]="N/A"),"N/A",IF(Table1[[#This Row],[DUT Adj Read]]="N/A",IF(Table1[[#This Row],[Std Adj Read]]&lt;=Table1[[#This Row],[High Tol]],"Pass","Fail"),IF(Table1[[#This Row],[DUT Adj Read]]&lt;=Table1[[#This Row],[High Tol]],"Pass","Fail")))</f>
        <v>Fail</v>
      </c>
      <c r="AH1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 s="1" t="b">
        <v>0</v>
      </c>
      <c r="AN199" s="1" t="b">
        <v>0</v>
      </c>
      <c r="AO199" s="1" t="b">
        <v>0</v>
      </c>
    </row>
    <row r="200" spans="1:41" x14ac:dyDescent="0.25">
      <c r="A200" s="10"/>
      <c r="B200" s="10"/>
      <c r="C200" s="10"/>
      <c r="D200" s="10"/>
      <c r="E200" s="10"/>
      <c r="F200" s="10"/>
      <c r="G200" s="10"/>
      <c r="H200" s="10"/>
      <c r="I200" s="1" t="str">
        <f t="shared" si="6"/>
        <v/>
      </c>
      <c r="J200" s="1" t="s">
        <v>35</v>
      </c>
      <c r="K200" s="1" t="str">
        <f t="shared" si="7"/>
        <v/>
      </c>
      <c r="L200" s="1" t="str">
        <f t="shared" si="8"/>
        <v/>
      </c>
      <c r="M200" s="1">
        <f>IF(OR(Table1[[#This Row],[Std Nom]]="",Table1[[#This Row],[Std Read]]=""),0,Table1[[#This Row],[Std Nom]]-Table1[[#This Row],[Std Read]])</f>
        <v>0</v>
      </c>
      <c r="N200" s="1">
        <f>IF(Calculations!$F$5="ACCREDITED 17025 WITH UNCERTAINTIES",$N$10,0)</f>
        <v>0</v>
      </c>
      <c r="O200" s="1" t="str">
        <f>IFERROR(Table1[[#This Row],[Std Nom]]-(_xlfn.XLOOKUP(Table1[[#This Row],[Manufacturer]]&amp;" "&amp;Table1[[#This Row],[Model]],Table13[MFR &amp; MDL],Table13[Tolerance % CW ],"")/100*Table1[[#This Row],[Std Nom]]),"")</f>
        <v/>
      </c>
      <c r="P200" s="1" t="str">
        <f>IFERROR(Table1[[#This Row],[Std Nom]]+(_xlfn.XLOOKUP(Table1[[#This Row],[Manufacturer]]&amp;" "&amp;Table1[[#This Row],[Model]],Table13[MFR &amp; MDL],Table13[Tolerance % CW ],"")/100*Table1[[#This Row],[Std Nom]]),"")</f>
        <v/>
      </c>
      <c r="Q200" s="1" t="e">
        <f>Table1[[#This Row],[High Tol]]-Table1[[#This Row],[Low Tol]]</f>
        <v>#VALUE!</v>
      </c>
      <c r="R200" s="1">
        <f>2*Table1[[#This Row],[Std Error]]</f>
        <v>0</v>
      </c>
      <c r="S200" s="1" t="str">
        <f>IF(Table1[[#This Row],[High Tol]]="","N/A",IFERROR(ABS(Table1[[#This Row],[Tol Span]]/Table1[[#This Row],[Error Span]]),"N/A"))</f>
        <v>N/A</v>
      </c>
      <c r="T200" s="1" t="str">
        <f>IF(OR(Table1[[#This Row],[Low Tol]]="",Table1[[#This Row],[High Tol]]=""),"Needs Analysis",IF(Table1[[#This Row],[Ratio]]&gt;=4,"Not Significant",IF(Table1[[#This Row],[Ratio]]&gt;=2,"Semi-Significant","Significant")))</f>
        <v>Needs Analysis</v>
      </c>
      <c r="W200" s="1">
        <f>IF(Table1[[#This Row],[Cal Type]]&lt;&gt;"ACCREDITED 17025 WITH UNCERTAINTIES",0,"")</f>
        <v>0</v>
      </c>
      <c r="X200" s="1" t="str">
        <f>IF(Table1[[#This Row],[DUT Read]]="","N/A",Table1[[#This Row],[Std Error]]+Table1[[#This Row],[DUT Read]]+Table1[[#This Row],[DUT Ucty]])</f>
        <v>N/A</v>
      </c>
      <c r="Y200" s="1" t="str">
        <f>IF(Table1[[#This Row],[Std Read]]="","N/A",Table1[[#This Row],[Std Read]]+Table1[[#This Row],[Std Ucty]])</f>
        <v>N/A</v>
      </c>
      <c r="Z2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 s="1" t="str">
        <f>IF(Table1[[#This Row],[Spec Type]]="","N/A",Table1[[#This Row],[Spec Type]])</f>
        <v>±</v>
      </c>
      <c r="AC200" s="1" t="str">
        <f>IF(Table1[[#This Row],[Spec Type2]]="N/A","N/A",IF(AND(Table1[[#This Row],[DUT Adj Read]]&gt;=Table1[[#This Row],[Low Tol]],Table1[[#This Row],[DUT Adj Read]]&lt;=Table1[[#This Row],[High Tol]]),"Pass","Fail"))</f>
        <v>Fail</v>
      </c>
      <c r="AD200" s="1" t="str">
        <f>IF(AND(Table1[[#This Row],[Spec Type2]]="N/A",Table1[[#This Row],[DUT Adj Read]]="N/A",Table1[[#This Row],[Std Adj Read]]="N/A"),"N/A",IF(Table1[[#This Row],[DUT Adj Read]]="N/A",IF(Table1[[#This Row],[Std Adj Read]]&gt;Table1[[#This Row],[Low Tol]],"Pass","Fail"),IF(Table1[[#This Row],[DUT Adj Read]]&gt;Table1[[#This Row],[Low Tol]],"Pass","Fail")))</f>
        <v>Pass</v>
      </c>
      <c r="AE200" s="1" t="str">
        <f>IF(AND(Table1[[#This Row],[Spec Type2]]="N/A",Table1[[#This Row],[DUT Adj Read]]="N/A",Table1[[#This Row],[Std Adj Read]]="N/A"),"N/A",IF(Table1[[#This Row],[DUT Adj Read]]="N/A",IF(Table1[[#This Row],[Std Adj Read]]&lt;Table1[[#This Row],[High Tol]],"Pass","Fail"),IF(Table1[[#This Row],[DUT Adj Read]]&lt;Table1[[#This Row],[High Tol]],"Pass","Fail")))</f>
        <v>Fail</v>
      </c>
      <c r="AF200" s="1" t="str">
        <f>IF(AND(Table1[[#This Row],[Spec Type2]]="N/A",Table1[[#This Row],[DUT Adj Read]]="N/A",Table1[[#This Row],[Std Adj Read]]="N/A"),"N/A",IF(Table1[[#This Row],[DUT Adj Read]]="N/A",IF(Table1[[#This Row],[Std Adj Read]]&gt;=Table1[[#This Row],[Low Tol]],"Pass","Fail"),IF(Table1[[#This Row],[DUT Adj Read]]&gt;=Table1[[#This Row],[Low Tol]],"Pass","Fail")))</f>
        <v>Pass</v>
      </c>
      <c r="AG200" s="1" t="str">
        <f>IF(AND(Table1[[#This Row],[Spec Type2]]="N/A",Table1[[#This Row],[DUT Adj Read]]="N/A",Table1[[#This Row],[Std Adj Read]]="N/A"),"N/A",IF(Table1[[#This Row],[DUT Adj Read]]="N/A",IF(Table1[[#This Row],[Std Adj Read]]&lt;=Table1[[#This Row],[High Tol]],"Pass","Fail"),IF(Table1[[#This Row],[DUT Adj Read]]&lt;=Table1[[#This Row],[High Tol]],"Pass","Fail")))</f>
        <v>Fail</v>
      </c>
      <c r="AH2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 s="1" t="b">
        <v>0</v>
      </c>
      <c r="AN200" s="1" t="b">
        <v>0</v>
      </c>
      <c r="AO200" s="1" t="b">
        <v>0</v>
      </c>
    </row>
    <row r="201" spans="1:41" x14ac:dyDescent="0.25">
      <c r="A201" s="10"/>
      <c r="B201" s="10"/>
      <c r="C201" s="10"/>
      <c r="D201" s="10"/>
      <c r="E201" s="10"/>
      <c r="F201" s="10"/>
      <c r="G201" s="10"/>
      <c r="H201" s="10"/>
      <c r="I201" s="1" t="str">
        <f t="shared" si="6"/>
        <v/>
      </c>
      <c r="J201" s="1" t="s">
        <v>35</v>
      </c>
      <c r="K201" s="1" t="str">
        <f t="shared" si="7"/>
        <v/>
      </c>
      <c r="L201" s="1" t="str">
        <f t="shared" si="8"/>
        <v/>
      </c>
      <c r="M201" s="1">
        <f>IF(OR(Table1[[#This Row],[Std Nom]]="",Table1[[#This Row],[Std Read]]=""),0,Table1[[#This Row],[Std Nom]]-Table1[[#This Row],[Std Read]])</f>
        <v>0</v>
      </c>
      <c r="N201" s="1">
        <f>IF(Calculations!$F$5="ACCREDITED 17025 WITH UNCERTAINTIES",$N$10,0)</f>
        <v>0</v>
      </c>
      <c r="O201" s="1" t="str">
        <f>IFERROR(Table1[[#This Row],[Std Nom]]-(_xlfn.XLOOKUP(Table1[[#This Row],[Manufacturer]]&amp;" "&amp;Table1[[#This Row],[Model]],Table13[MFR &amp; MDL],Table13[Tolerance % CW ],"")/100*Table1[[#This Row],[Std Nom]]),"")</f>
        <v/>
      </c>
      <c r="P201" s="1" t="str">
        <f>IFERROR(Table1[[#This Row],[Std Nom]]+(_xlfn.XLOOKUP(Table1[[#This Row],[Manufacturer]]&amp;" "&amp;Table1[[#This Row],[Model]],Table13[MFR &amp; MDL],Table13[Tolerance % CW ],"")/100*Table1[[#This Row],[Std Nom]]),"")</f>
        <v/>
      </c>
      <c r="Q201" s="1" t="e">
        <f>Table1[[#This Row],[High Tol]]-Table1[[#This Row],[Low Tol]]</f>
        <v>#VALUE!</v>
      </c>
      <c r="R201" s="1">
        <f>2*Table1[[#This Row],[Std Error]]</f>
        <v>0</v>
      </c>
      <c r="S201" s="1" t="str">
        <f>IF(Table1[[#This Row],[High Tol]]="","N/A",IFERROR(ABS(Table1[[#This Row],[Tol Span]]/Table1[[#This Row],[Error Span]]),"N/A"))</f>
        <v>N/A</v>
      </c>
      <c r="T201" s="1" t="str">
        <f>IF(OR(Table1[[#This Row],[Low Tol]]="",Table1[[#This Row],[High Tol]]=""),"Needs Analysis",IF(Table1[[#This Row],[Ratio]]&gt;=4,"Not Significant",IF(Table1[[#This Row],[Ratio]]&gt;=2,"Semi-Significant","Significant")))</f>
        <v>Needs Analysis</v>
      </c>
      <c r="W201" s="1">
        <f>IF(Table1[[#This Row],[Cal Type]]&lt;&gt;"ACCREDITED 17025 WITH UNCERTAINTIES",0,"")</f>
        <v>0</v>
      </c>
      <c r="X201" s="1" t="str">
        <f>IF(Table1[[#This Row],[DUT Read]]="","N/A",Table1[[#This Row],[Std Error]]+Table1[[#This Row],[DUT Read]]+Table1[[#This Row],[DUT Ucty]])</f>
        <v>N/A</v>
      </c>
      <c r="Y201" s="1" t="str">
        <f>IF(Table1[[#This Row],[Std Read]]="","N/A",Table1[[#This Row],[Std Read]]+Table1[[#This Row],[Std Ucty]])</f>
        <v>N/A</v>
      </c>
      <c r="Z2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 s="1" t="str">
        <f>IF(Table1[[#This Row],[Spec Type]]="","N/A",Table1[[#This Row],[Spec Type]])</f>
        <v>±</v>
      </c>
      <c r="AC201" s="1" t="str">
        <f>IF(Table1[[#This Row],[Spec Type2]]="N/A","N/A",IF(AND(Table1[[#This Row],[DUT Adj Read]]&gt;=Table1[[#This Row],[Low Tol]],Table1[[#This Row],[DUT Adj Read]]&lt;=Table1[[#This Row],[High Tol]]),"Pass","Fail"))</f>
        <v>Fail</v>
      </c>
      <c r="AD201" s="1" t="str">
        <f>IF(AND(Table1[[#This Row],[Spec Type2]]="N/A",Table1[[#This Row],[DUT Adj Read]]="N/A",Table1[[#This Row],[Std Adj Read]]="N/A"),"N/A",IF(Table1[[#This Row],[DUT Adj Read]]="N/A",IF(Table1[[#This Row],[Std Adj Read]]&gt;Table1[[#This Row],[Low Tol]],"Pass","Fail"),IF(Table1[[#This Row],[DUT Adj Read]]&gt;Table1[[#This Row],[Low Tol]],"Pass","Fail")))</f>
        <v>Pass</v>
      </c>
      <c r="AE201" s="1" t="str">
        <f>IF(AND(Table1[[#This Row],[Spec Type2]]="N/A",Table1[[#This Row],[DUT Adj Read]]="N/A",Table1[[#This Row],[Std Adj Read]]="N/A"),"N/A",IF(Table1[[#This Row],[DUT Adj Read]]="N/A",IF(Table1[[#This Row],[Std Adj Read]]&lt;Table1[[#This Row],[High Tol]],"Pass","Fail"),IF(Table1[[#This Row],[DUT Adj Read]]&lt;Table1[[#This Row],[High Tol]],"Pass","Fail")))</f>
        <v>Fail</v>
      </c>
      <c r="AF201" s="1" t="str">
        <f>IF(AND(Table1[[#This Row],[Spec Type2]]="N/A",Table1[[#This Row],[DUT Adj Read]]="N/A",Table1[[#This Row],[Std Adj Read]]="N/A"),"N/A",IF(Table1[[#This Row],[DUT Adj Read]]="N/A",IF(Table1[[#This Row],[Std Adj Read]]&gt;=Table1[[#This Row],[Low Tol]],"Pass","Fail"),IF(Table1[[#This Row],[DUT Adj Read]]&gt;=Table1[[#This Row],[Low Tol]],"Pass","Fail")))</f>
        <v>Pass</v>
      </c>
      <c r="AG201" s="1" t="str">
        <f>IF(AND(Table1[[#This Row],[Spec Type2]]="N/A",Table1[[#This Row],[DUT Adj Read]]="N/A",Table1[[#This Row],[Std Adj Read]]="N/A"),"N/A",IF(Table1[[#This Row],[DUT Adj Read]]="N/A",IF(Table1[[#This Row],[Std Adj Read]]&lt;=Table1[[#This Row],[High Tol]],"Pass","Fail"),IF(Table1[[#This Row],[DUT Adj Read]]&lt;=Table1[[#This Row],[High Tol]],"Pass","Fail")))</f>
        <v>Fail</v>
      </c>
      <c r="AH2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 s="1" t="b">
        <v>0</v>
      </c>
      <c r="AN201" s="1" t="b">
        <v>0</v>
      </c>
      <c r="AO201" s="1" t="b">
        <v>0</v>
      </c>
    </row>
    <row r="202" spans="1:41" x14ac:dyDescent="0.25">
      <c r="A202" s="10"/>
      <c r="B202" s="10"/>
      <c r="C202" s="10"/>
      <c r="D202" s="10"/>
      <c r="E202" s="10"/>
      <c r="F202" s="10"/>
      <c r="G202" s="10"/>
      <c r="H202" s="10"/>
      <c r="I202" s="1" t="str">
        <f t="shared" si="6"/>
        <v/>
      </c>
      <c r="J202" s="1" t="s">
        <v>35</v>
      </c>
      <c r="K202" s="1" t="str">
        <f t="shared" si="7"/>
        <v/>
      </c>
      <c r="L202" s="1" t="str">
        <f t="shared" si="8"/>
        <v/>
      </c>
      <c r="M202" s="1">
        <f>IF(OR(Table1[[#This Row],[Std Nom]]="",Table1[[#This Row],[Std Read]]=""),0,Table1[[#This Row],[Std Nom]]-Table1[[#This Row],[Std Read]])</f>
        <v>0</v>
      </c>
      <c r="N202" s="1">
        <f>IF(Calculations!$F$5="ACCREDITED 17025 WITH UNCERTAINTIES",$N$10,0)</f>
        <v>0</v>
      </c>
      <c r="O202" s="1" t="str">
        <f>IFERROR(Table1[[#This Row],[Std Nom]]-(_xlfn.XLOOKUP(Table1[[#This Row],[Manufacturer]]&amp;" "&amp;Table1[[#This Row],[Model]],Table13[MFR &amp; MDL],Table13[Tolerance % CW ],"")/100*Table1[[#This Row],[Std Nom]]),"")</f>
        <v/>
      </c>
      <c r="P202" s="1" t="str">
        <f>IFERROR(Table1[[#This Row],[Std Nom]]+(_xlfn.XLOOKUP(Table1[[#This Row],[Manufacturer]]&amp;" "&amp;Table1[[#This Row],[Model]],Table13[MFR &amp; MDL],Table13[Tolerance % CW ],"")/100*Table1[[#This Row],[Std Nom]]),"")</f>
        <v/>
      </c>
      <c r="Q202" s="1" t="e">
        <f>Table1[[#This Row],[High Tol]]-Table1[[#This Row],[Low Tol]]</f>
        <v>#VALUE!</v>
      </c>
      <c r="R202" s="1">
        <f>2*Table1[[#This Row],[Std Error]]</f>
        <v>0</v>
      </c>
      <c r="S202" s="1" t="str">
        <f>IF(Table1[[#This Row],[High Tol]]="","N/A",IFERROR(ABS(Table1[[#This Row],[Tol Span]]/Table1[[#This Row],[Error Span]]),"N/A"))</f>
        <v>N/A</v>
      </c>
      <c r="T202" s="1" t="str">
        <f>IF(OR(Table1[[#This Row],[Low Tol]]="",Table1[[#This Row],[High Tol]]=""),"Needs Analysis",IF(Table1[[#This Row],[Ratio]]&gt;=4,"Not Significant",IF(Table1[[#This Row],[Ratio]]&gt;=2,"Semi-Significant","Significant")))</f>
        <v>Needs Analysis</v>
      </c>
      <c r="W202" s="1">
        <f>IF(Table1[[#This Row],[Cal Type]]&lt;&gt;"ACCREDITED 17025 WITH UNCERTAINTIES",0,"")</f>
        <v>0</v>
      </c>
      <c r="X202" s="1" t="str">
        <f>IF(Table1[[#This Row],[DUT Read]]="","N/A",Table1[[#This Row],[Std Error]]+Table1[[#This Row],[DUT Read]]+Table1[[#This Row],[DUT Ucty]])</f>
        <v>N/A</v>
      </c>
      <c r="Y202" s="1" t="str">
        <f>IF(Table1[[#This Row],[Std Read]]="","N/A",Table1[[#This Row],[Std Read]]+Table1[[#This Row],[Std Ucty]])</f>
        <v>N/A</v>
      </c>
      <c r="Z2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 s="1" t="str">
        <f>IF(Table1[[#This Row],[Spec Type]]="","N/A",Table1[[#This Row],[Spec Type]])</f>
        <v>±</v>
      </c>
      <c r="AC202" s="1" t="str">
        <f>IF(Table1[[#This Row],[Spec Type2]]="N/A","N/A",IF(AND(Table1[[#This Row],[DUT Adj Read]]&gt;=Table1[[#This Row],[Low Tol]],Table1[[#This Row],[DUT Adj Read]]&lt;=Table1[[#This Row],[High Tol]]),"Pass","Fail"))</f>
        <v>Fail</v>
      </c>
      <c r="AD202" s="1" t="str">
        <f>IF(AND(Table1[[#This Row],[Spec Type2]]="N/A",Table1[[#This Row],[DUT Adj Read]]="N/A",Table1[[#This Row],[Std Adj Read]]="N/A"),"N/A",IF(Table1[[#This Row],[DUT Adj Read]]="N/A",IF(Table1[[#This Row],[Std Adj Read]]&gt;Table1[[#This Row],[Low Tol]],"Pass","Fail"),IF(Table1[[#This Row],[DUT Adj Read]]&gt;Table1[[#This Row],[Low Tol]],"Pass","Fail")))</f>
        <v>Pass</v>
      </c>
      <c r="AE202" s="1" t="str">
        <f>IF(AND(Table1[[#This Row],[Spec Type2]]="N/A",Table1[[#This Row],[DUT Adj Read]]="N/A",Table1[[#This Row],[Std Adj Read]]="N/A"),"N/A",IF(Table1[[#This Row],[DUT Adj Read]]="N/A",IF(Table1[[#This Row],[Std Adj Read]]&lt;Table1[[#This Row],[High Tol]],"Pass","Fail"),IF(Table1[[#This Row],[DUT Adj Read]]&lt;Table1[[#This Row],[High Tol]],"Pass","Fail")))</f>
        <v>Fail</v>
      </c>
      <c r="AF202" s="1" t="str">
        <f>IF(AND(Table1[[#This Row],[Spec Type2]]="N/A",Table1[[#This Row],[DUT Adj Read]]="N/A",Table1[[#This Row],[Std Adj Read]]="N/A"),"N/A",IF(Table1[[#This Row],[DUT Adj Read]]="N/A",IF(Table1[[#This Row],[Std Adj Read]]&gt;=Table1[[#This Row],[Low Tol]],"Pass","Fail"),IF(Table1[[#This Row],[DUT Adj Read]]&gt;=Table1[[#This Row],[Low Tol]],"Pass","Fail")))</f>
        <v>Pass</v>
      </c>
      <c r="AG202" s="1" t="str">
        <f>IF(AND(Table1[[#This Row],[Spec Type2]]="N/A",Table1[[#This Row],[DUT Adj Read]]="N/A",Table1[[#This Row],[Std Adj Read]]="N/A"),"N/A",IF(Table1[[#This Row],[DUT Adj Read]]="N/A",IF(Table1[[#This Row],[Std Adj Read]]&lt;=Table1[[#This Row],[High Tol]],"Pass","Fail"),IF(Table1[[#This Row],[DUT Adj Read]]&lt;=Table1[[#This Row],[High Tol]],"Pass","Fail")))</f>
        <v>Fail</v>
      </c>
      <c r="AH2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 s="1" t="b">
        <v>0</v>
      </c>
      <c r="AN202" s="1" t="b">
        <v>0</v>
      </c>
      <c r="AO202" s="1" t="b">
        <v>0</v>
      </c>
    </row>
    <row r="203" spans="1:41" x14ac:dyDescent="0.25">
      <c r="A203" s="10"/>
      <c r="B203" s="10"/>
      <c r="C203" s="10"/>
      <c r="D203" s="10"/>
      <c r="E203" s="10"/>
      <c r="F203" s="10"/>
      <c r="G203" s="10"/>
      <c r="H203" s="10"/>
      <c r="I203" s="1" t="str">
        <f t="shared" ref="I203:I266" si="9">IF($I$10="","",$I$10)</f>
        <v/>
      </c>
      <c r="J203" s="1" t="s">
        <v>35</v>
      </c>
      <c r="K203" s="1" t="str">
        <f t="shared" ref="K203:K266" si="10">IF($K$10="","",$K$10)</f>
        <v/>
      </c>
      <c r="L203" s="1" t="str">
        <f t="shared" ref="L203:L266" si="11">IF($L$10="","",$L$10)</f>
        <v/>
      </c>
      <c r="M203" s="1">
        <f>IF(OR(Table1[[#This Row],[Std Nom]]="",Table1[[#This Row],[Std Read]]=""),0,Table1[[#This Row],[Std Nom]]-Table1[[#This Row],[Std Read]])</f>
        <v>0</v>
      </c>
      <c r="N203" s="1">
        <f>IF(Calculations!$F$5="ACCREDITED 17025 WITH UNCERTAINTIES",$N$10,0)</f>
        <v>0</v>
      </c>
      <c r="O203" s="1" t="str">
        <f>IFERROR(Table1[[#This Row],[Std Nom]]-(_xlfn.XLOOKUP(Table1[[#This Row],[Manufacturer]]&amp;" "&amp;Table1[[#This Row],[Model]],Table13[MFR &amp; MDL],Table13[Tolerance % CW ],"")/100*Table1[[#This Row],[Std Nom]]),"")</f>
        <v/>
      </c>
      <c r="P203" s="1" t="str">
        <f>IFERROR(Table1[[#This Row],[Std Nom]]+(_xlfn.XLOOKUP(Table1[[#This Row],[Manufacturer]]&amp;" "&amp;Table1[[#This Row],[Model]],Table13[MFR &amp; MDL],Table13[Tolerance % CW ],"")/100*Table1[[#This Row],[Std Nom]]),"")</f>
        <v/>
      </c>
      <c r="Q203" s="1" t="e">
        <f>Table1[[#This Row],[High Tol]]-Table1[[#This Row],[Low Tol]]</f>
        <v>#VALUE!</v>
      </c>
      <c r="R203" s="1">
        <f>2*Table1[[#This Row],[Std Error]]</f>
        <v>0</v>
      </c>
      <c r="S203" s="1" t="str">
        <f>IF(Table1[[#This Row],[High Tol]]="","N/A",IFERROR(ABS(Table1[[#This Row],[Tol Span]]/Table1[[#This Row],[Error Span]]),"N/A"))</f>
        <v>N/A</v>
      </c>
      <c r="T203" s="1" t="str">
        <f>IF(OR(Table1[[#This Row],[Low Tol]]="",Table1[[#This Row],[High Tol]]=""),"Needs Analysis",IF(Table1[[#This Row],[Ratio]]&gt;=4,"Not Significant",IF(Table1[[#This Row],[Ratio]]&gt;=2,"Semi-Significant","Significant")))</f>
        <v>Needs Analysis</v>
      </c>
      <c r="W203" s="1">
        <f>IF(Table1[[#This Row],[Cal Type]]&lt;&gt;"ACCREDITED 17025 WITH UNCERTAINTIES",0,"")</f>
        <v>0</v>
      </c>
      <c r="X203" s="1" t="str">
        <f>IF(Table1[[#This Row],[DUT Read]]="","N/A",Table1[[#This Row],[Std Error]]+Table1[[#This Row],[DUT Read]]+Table1[[#This Row],[DUT Ucty]])</f>
        <v>N/A</v>
      </c>
      <c r="Y203" s="1" t="str">
        <f>IF(Table1[[#This Row],[Std Read]]="","N/A",Table1[[#This Row],[Std Read]]+Table1[[#This Row],[Std Ucty]])</f>
        <v>N/A</v>
      </c>
      <c r="Z2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 s="1" t="str">
        <f>IF(Table1[[#This Row],[Spec Type]]="","N/A",Table1[[#This Row],[Spec Type]])</f>
        <v>±</v>
      </c>
      <c r="AC203" s="1" t="str">
        <f>IF(Table1[[#This Row],[Spec Type2]]="N/A","N/A",IF(AND(Table1[[#This Row],[DUT Adj Read]]&gt;=Table1[[#This Row],[Low Tol]],Table1[[#This Row],[DUT Adj Read]]&lt;=Table1[[#This Row],[High Tol]]),"Pass","Fail"))</f>
        <v>Fail</v>
      </c>
      <c r="AD203" s="1" t="str">
        <f>IF(AND(Table1[[#This Row],[Spec Type2]]="N/A",Table1[[#This Row],[DUT Adj Read]]="N/A",Table1[[#This Row],[Std Adj Read]]="N/A"),"N/A",IF(Table1[[#This Row],[DUT Adj Read]]="N/A",IF(Table1[[#This Row],[Std Adj Read]]&gt;Table1[[#This Row],[Low Tol]],"Pass","Fail"),IF(Table1[[#This Row],[DUT Adj Read]]&gt;Table1[[#This Row],[Low Tol]],"Pass","Fail")))</f>
        <v>Pass</v>
      </c>
      <c r="AE203" s="1" t="str">
        <f>IF(AND(Table1[[#This Row],[Spec Type2]]="N/A",Table1[[#This Row],[DUT Adj Read]]="N/A",Table1[[#This Row],[Std Adj Read]]="N/A"),"N/A",IF(Table1[[#This Row],[DUT Adj Read]]="N/A",IF(Table1[[#This Row],[Std Adj Read]]&lt;Table1[[#This Row],[High Tol]],"Pass","Fail"),IF(Table1[[#This Row],[DUT Adj Read]]&lt;Table1[[#This Row],[High Tol]],"Pass","Fail")))</f>
        <v>Fail</v>
      </c>
      <c r="AF203" s="1" t="str">
        <f>IF(AND(Table1[[#This Row],[Spec Type2]]="N/A",Table1[[#This Row],[DUT Adj Read]]="N/A",Table1[[#This Row],[Std Adj Read]]="N/A"),"N/A",IF(Table1[[#This Row],[DUT Adj Read]]="N/A",IF(Table1[[#This Row],[Std Adj Read]]&gt;=Table1[[#This Row],[Low Tol]],"Pass","Fail"),IF(Table1[[#This Row],[DUT Adj Read]]&gt;=Table1[[#This Row],[Low Tol]],"Pass","Fail")))</f>
        <v>Pass</v>
      </c>
      <c r="AG203" s="1" t="str">
        <f>IF(AND(Table1[[#This Row],[Spec Type2]]="N/A",Table1[[#This Row],[DUT Adj Read]]="N/A",Table1[[#This Row],[Std Adj Read]]="N/A"),"N/A",IF(Table1[[#This Row],[DUT Adj Read]]="N/A",IF(Table1[[#This Row],[Std Adj Read]]&lt;=Table1[[#This Row],[High Tol]],"Pass","Fail"),IF(Table1[[#This Row],[DUT Adj Read]]&lt;=Table1[[#This Row],[High Tol]],"Pass","Fail")))</f>
        <v>Fail</v>
      </c>
      <c r="AH2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 s="1" t="b">
        <v>0</v>
      </c>
      <c r="AN203" s="1" t="b">
        <v>0</v>
      </c>
      <c r="AO203" s="1" t="b">
        <v>0</v>
      </c>
    </row>
    <row r="204" spans="1:41" x14ac:dyDescent="0.25">
      <c r="A204" s="10"/>
      <c r="B204" s="10"/>
      <c r="C204" s="10"/>
      <c r="D204" s="10"/>
      <c r="E204" s="10"/>
      <c r="F204" s="10"/>
      <c r="G204" s="10"/>
      <c r="H204" s="10"/>
      <c r="I204" s="1" t="str">
        <f t="shared" si="9"/>
        <v/>
      </c>
      <c r="J204" s="1" t="s">
        <v>35</v>
      </c>
      <c r="K204" s="1" t="str">
        <f t="shared" si="10"/>
        <v/>
      </c>
      <c r="L204" s="1" t="str">
        <f t="shared" si="11"/>
        <v/>
      </c>
      <c r="M204" s="1">
        <f>IF(OR(Table1[[#This Row],[Std Nom]]="",Table1[[#This Row],[Std Read]]=""),0,Table1[[#This Row],[Std Nom]]-Table1[[#This Row],[Std Read]])</f>
        <v>0</v>
      </c>
      <c r="N204" s="1">
        <f>IF(Calculations!$F$5="ACCREDITED 17025 WITH UNCERTAINTIES",$N$10,0)</f>
        <v>0</v>
      </c>
      <c r="O204" s="1" t="str">
        <f>IFERROR(Table1[[#This Row],[Std Nom]]-(_xlfn.XLOOKUP(Table1[[#This Row],[Manufacturer]]&amp;" "&amp;Table1[[#This Row],[Model]],Table13[MFR &amp; MDL],Table13[Tolerance % CW ],"")/100*Table1[[#This Row],[Std Nom]]),"")</f>
        <v/>
      </c>
      <c r="P204" s="1" t="str">
        <f>IFERROR(Table1[[#This Row],[Std Nom]]+(_xlfn.XLOOKUP(Table1[[#This Row],[Manufacturer]]&amp;" "&amp;Table1[[#This Row],[Model]],Table13[MFR &amp; MDL],Table13[Tolerance % CW ],"")/100*Table1[[#This Row],[Std Nom]]),"")</f>
        <v/>
      </c>
      <c r="Q204" s="1" t="e">
        <f>Table1[[#This Row],[High Tol]]-Table1[[#This Row],[Low Tol]]</f>
        <v>#VALUE!</v>
      </c>
      <c r="R204" s="1">
        <f>2*Table1[[#This Row],[Std Error]]</f>
        <v>0</v>
      </c>
      <c r="S204" s="1" t="str">
        <f>IF(Table1[[#This Row],[High Tol]]="","N/A",IFERROR(ABS(Table1[[#This Row],[Tol Span]]/Table1[[#This Row],[Error Span]]),"N/A"))</f>
        <v>N/A</v>
      </c>
      <c r="T204" s="1" t="str">
        <f>IF(OR(Table1[[#This Row],[Low Tol]]="",Table1[[#This Row],[High Tol]]=""),"Needs Analysis",IF(Table1[[#This Row],[Ratio]]&gt;=4,"Not Significant",IF(Table1[[#This Row],[Ratio]]&gt;=2,"Semi-Significant","Significant")))</f>
        <v>Needs Analysis</v>
      </c>
      <c r="W204" s="1">
        <f>IF(Table1[[#This Row],[Cal Type]]&lt;&gt;"ACCREDITED 17025 WITH UNCERTAINTIES",0,"")</f>
        <v>0</v>
      </c>
      <c r="X204" s="1" t="str">
        <f>IF(Table1[[#This Row],[DUT Read]]="","N/A",Table1[[#This Row],[Std Error]]+Table1[[#This Row],[DUT Read]]+Table1[[#This Row],[DUT Ucty]])</f>
        <v>N/A</v>
      </c>
      <c r="Y204" s="1" t="str">
        <f>IF(Table1[[#This Row],[Std Read]]="","N/A",Table1[[#This Row],[Std Read]]+Table1[[#This Row],[Std Ucty]])</f>
        <v>N/A</v>
      </c>
      <c r="Z2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 s="1" t="str">
        <f>IF(Table1[[#This Row],[Spec Type]]="","N/A",Table1[[#This Row],[Spec Type]])</f>
        <v>±</v>
      </c>
      <c r="AC204" s="1" t="str">
        <f>IF(Table1[[#This Row],[Spec Type2]]="N/A","N/A",IF(AND(Table1[[#This Row],[DUT Adj Read]]&gt;=Table1[[#This Row],[Low Tol]],Table1[[#This Row],[DUT Adj Read]]&lt;=Table1[[#This Row],[High Tol]]),"Pass","Fail"))</f>
        <v>Fail</v>
      </c>
      <c r="AD204" s="1" t="str">
        <f>IF(AND(Table1[[#This Row],[Spec Type2]]="N/A",Table1[[#This Row],[DUT Adj Read]]="N/A",Table1[[#This Row],[Std Adj Read]]="N/A"),"N/A",IF(Table1[[#This Row],[DUT Adj Read]]="N/A",IF(Table1[[#This Row],[Std Adj Read]]&gt;Table1[[#This Row],[Low Tol]],"Pass","Fail"),IF(Table1[[#This Row],[DUT Adj Read]]&gt;Table1[[#This Row],[Low Tol]],"Pass","Fail")))</f>
        <v>Pass</v>
      </c>
      <c r="AE204" s="1" t="str">
        <f>IF(AND(Table1[[#This Row],[Spec Type2]]="N/A",Table1[[#This Row],[DUT Adj Read]]="N/A",Table1[[#This Row],[Std Adj Read]]="N/A"),"N/A",IF(Table1[[#This Row],[DUT Adj Read]]="N/A",IF(Table1[[#This Row],[Std Adj Read]]&lt;Table1[[#This Row],[High Tol]],"Pass","Fail"),IF(Table1[[#This Row],[DUT Adj Read]]&lt;Table1[[#This Row],[High Tol]],"Pass","Fail")))</f>
        <v>Fail</v>
      </c>
      <c r="AF204" s="1" t="str">
        <f>IF(AND(Table1[[#This Row],[Spec Type2]]="N/A",Table1[[#This Row],[DUT Adj Read]]="N/A",Table1[[#This Row],[Std Adj Read]]="N/A"),"N/A",IF(Table1[[#This Row],[DUT Adj Read]]="N/A",IF(Table1[[#This Row],[Std Adj Read]]&gt;=Table1[[#This Row],[Low Tol]],"Pass","Fail"),IF(Table1[[#This Row],[DUT Adj Read]]&gt;=Table1[[#This Row],[Low Tol]],"Pass","Fail")))</f>
        <v>Pass</v>
      </c>
      <c r="AG204" s="1" t="str">
        <f>IF(AND(Table1[[#This Row],[Spec Type2]]="N/A",Table1[[#This Row],[DUT Adj Read]]="N/A",Table1[[#This Row],[Std Adj Read]]="N/A"),"N/A",IF(Table1[[#This Row],[DUT Adj Read]]="N/A",IF(Table1[[#This Row],[Std Adj Read]]&lt;=Table1[[#This Row],[High Tol]],"Pass","Fail"),IF(Table1[[#This Row],[DUT Adj Read]]&lt;=Table1[[#This Row],[High Tol]],"Pass","Fail")))</f>
        <v>Fail</v>
      </c>
      <c r="AH2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 s="1" t="b">
        <v>0</v>
      </c>
      <c r="AN204" s="1" t="b">
        <v>0</v>
      </c>
      <c r="AO204" s="1" t="b">
        <v>0</v>
      </c>
    </row>
    <row r="205" spans="1:41" x14ac:dyDescent="0.25">
      <c r="A205" s="10"/>
      <c r="B205" s="10"/>
      <c r="C205" s="10"/>
      <c r="D205" s="10"/>
      <c r="E205" s="10"/>
      <c r="F205" s="10"/>
      <c r="G205" s="10"/>
      <c r="H205" s="10"/>
      <c r="I205" s="1" t="str">
        <f t="shared" si="9"/>
        <v/>
      </c>
      <c r="J205" s="1" t="s">
        <v>35</v>
      </c>
      <c r="K205" s="1" t="str">
        <f t="shared" si="10"/>
        <v/>
      </c>
      <c r="L205" s="1" t="str">
        <f t="shared" si="11"/>
        <v/>
      </c>
      <c r="M205" s="1">
        <f>IF(OR(Table1[[#This Row],[Std Nom]]="",Table1[[#This Row],[Std Read]]=""),0,Table1[[#This Row],[Std Nom]]-Table1[[#This Row],[Std Read]])</f>
        <v>0</v>
      </c>
      <c r="N205" s="1">
        <f>IF(Calculations!$F$5="ACCREDITED 17025 WITH UNCERTAINTIES",$N$10,0)</f>
        <v>0</v>
      </c>
      <c r="O205" s="1" t="str">
        <f>IFERROR(Table1[[#This Row],[Std Nom]]-(_xlfn.XLOOKUP(Table1[[#This Row],[Manufacturer]]&amp;" "&amp;Table1[[#This Row],[Model]],Table13[MFR &amp; MDL],Table13[Tolerance % CW ],"")/100*Table1[[#This Row],[Std Nom]]),"")</f>
        <v/>
      </c>
      <c r="P205" s="1" t="str">
        <f>IFERROR(Table1[[#This Row],[Std Nom]]+(_xlfn.XLOOKUP(Table1[[#This Row],[Manufacturer]]&amp;" "&amp;Table1[[#This Row],[Model]],Table13[MFR &amp; MDL],Table13[Tolerance % CW ],"")/100*Table1[[#This Row],[Std Nom]]),"")</f>
        <v/>
      </c>
      <c r="Q205" s="1" t="e">
        <f>Table1[[#This Row],[High Tol]]-Table1[[#This Row],[Low Tol]]</f>
        <v>#VALUE!</v>
      </c>
      <c r="R205" s="1">
        <f>2*Table1[[#This Row],[Std Error]]</f>
        <v>0</v>
      </c>
      <c r="S205" s="1" t="str">
        <f>IF(Table1[[#This Row],[High Tol]]="","N/A",IFERROR(ABS(Table1[[#This Row],[Tol Span]]/Table1[[#This Row],[Error Span]]),"N/A"))</f>
        <v>N/A</v>
      </c>
      <c r="T205" s="1" t="str">
        <f>IF(OR(Table1[[#This Row],[Low Tol]]="",Table1[[#This Row],[High Tol]]=""),"Needs Analysis",IF(Table1[[#This Row],[Ratio]]&gt;=4,"Not Significant",IF(Table1[[#This Row],[Ratio]]&gt;=2,"Semi-Significant","Significant")))</f>
        <v>Needs Analysis</v>
      </c>
      <c r="W205" s="1">
        <f>IF(Table1[[#This Row],[Cal Type]]&lt;&gt;"ACCREDITED 17025 WITH UNCERTAINTIES",0,"")</f>
        <v>0</v>
      </c>
      <c r="X205" s="1" t="str">
        <f>IF(Table1[[#This Row],[DUT Read]]="","N/A",Table1[[#This Row],[Std Error]]+Table1[[#This Row],[DUT Read]]+Table1[[#This Row],[DUT Ucty]])</f>
        <v>N/A</v>
      </c>
      <c r="Y205" s="1" t="str">
        <f>IF(Table1[[#This Row],[Std Read]]="","N/A",Table1[[#This Row],[Std Read]]+Table1[[#This Row],[Std Ucty]])</f>
        <v>N/A</v>
      </c>
      <c r="Z2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 s="1" t="str">
        <f>IF(Table1[[#This Row],[Spec Type]]="","N/A",Table1[[#This Row],[Spec Type]])</f>
        <v>±</v>
      </c>
      <c r="AC205" s="1" t="str">
        <f>IF(Table1[[#This Row],[Spec Type2]]="N/A","N/A",IF(AND(Table1[[#This Row],[DUT Adj Read]]&gt;=Table1[[#This Row],[Low Tol]],Table1[[#This Row],[DUT Adj Read]]&lt;=Table1[[#This Row],[High Tol]]),"Pass","Fail"))</f>
        <v>Fail</v>
      </c>
      <c r="AD205" s="1" t="str">
        <f>IF(AND(Table1[[#This Row],[Spec Type2]]="N/A",Table1[[#This Row],[DUT Adj Read]]="N/A",Table1[[#This Row],[Std Adj Read]]="N/A"),"N/A",IF(Table1[[#This Row],[DUT Adj Read]]="N/A",IF(Table1[[#This Row],[Std Adj Read]]&gt;Table1[[#This Row],[Low Tol]],"Pass","Fail"),IF(Table1[[#This Row],[DUT Adj Read]]&gt;Table1[[#This Row],[Low Tol]],"Pass","Fail")))</f>
        <v>Pass</v>
      </c>
      <c r="AE205" s="1" t="str">
        <f>IF(AND(Table1[[#This Row],[Spec Type2]]="N/A",Table1[[#This Row],[DUT Adj Read]]="N/A",Table1[[#This Row],[Std Adj Read]]="N/A"),"N/A",IF(Table1[[#This Row],[DUT Adj Read]]="N/A",IF(Table1[[#This Row],[Std Adj Read]]&lt;Table1[[#This Row],[High Tol]],"Pass","Fail"),IF(Table1[[#This Row],[DUT Adj Read]]&lt;Table1[[#This Row],[High Tol]],"Pass","Fail")))</f>
        <v>Fail</v>
      </c>
      <c r="AF205" s="1" t="str">
        <f>IF(AND(Table1[[#This Row],[Spec Type2]]="N/A",Table1[[#This Row],[DUT Adj Read]]="N/A",Table1[[#This Row],[Std Adj Read]]="N/A"),"N/A",IF(Table1[[#This Row],[DUT Adj Read]]="N/A",IF(Table1[[#This Row],[Std Adj Read]]&gt;=Table1[[#This Row],[Low Tol]],"Pass","Fail"),IF(Table1[[#This Row],[DUT Adj Read]]&gt;=Table1[[#This Row],[Low Tol]],"Pass","Fail")))</f>
        <v>Pass</v>
      </c>
      <c r="AG205" s="1" t="str">
        <f>IF(AND(Table1[[#This Row],[Spec Type2]]="N/A",Table1[[#This Row],[DUT Adj Read]]="N/A",Table1[[#This Row],[Std Adj Read]]="N/A"),"N/A",IF(Table1[[#This Row],[DUT Adj Read]]="N/A",IF(Table1[[#This Row],[Std Adj Read]]&lt;=Table1[[#This Row],[High Tol]],"Pass","Fail"),IF(Table1[[#This Row],[DUT Adj Read]]&lt;=Table1[[#This Row],[High Tol]],"Pass","Fail")))</f>
        <v>Fail</v>
      </c>
      <c r="AH2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 s="1" t="b">
        <v>0</v>
      </c>
      <c r="AN205" s="1" t="b">
        <v>0</v>
      </c>
      <c r="AO205" s="1" t="b">
        <v>0</v>
      </c>
    </row>
    <row r="206" spans="1:41" x14ac:dyDescent="0.25">
      <c r="A206" s="10"/>
      <c r="B206" s="10"/>
      <c r="C206" s="10"/>
      <c r="D206" s="10"/>
      <c r="E206" s="10"/>
      <c r="F206" s="10"/>
      <c r="G206" s="10"/>
      <c r="H206" s="10"/>
      <c r="I206" s="1" t="str">
        <f t="shared" si="9"/>
        <v/>
      </c>
      <c r="J206" s="1" t="s">
        <v>35</v>
      </c>
      <c r="K206" s="1" t="str">
        <f t="shared" si="10"/>
        <v/>
      </c>
      <c r="L206" s="1" t="str">
        <f t="shared" si="11"/>
        <v/>
      </c>
      <c r="M206" s="1">
        <f>IF(OR(Table1[[#This Row],[Std Nom]]="",Table1[[#This Row],[Std Read]]=""),0,Table1[[#This Row],[Std Nom]]-Table1[[#This Row],[Std Read]])</f>
        <v>0</v>
      </c>
      <c r="N206" s="1">
        <f>IF(Calculations!$F$5="ACCREDITED 17025 WITH UNCERTAINTIES",$N$10,0)</f>
        <v>0</v>
      </c>
      <c r="O206" s="1" t="str">
        <f>IFERROR(Table1[[#This Row],[Std Nom]]-(_xlfn.XLOOKUP(Table1[[#This Row],[Manufacturer]]&amp;" "&amp;Table1[[#This Row],[Model]],Table13[MFR &amp; MDL],Table13[Tolerance % CW ],"")/100*Table1[[#This Row],[Std Nom]]),"")</f>
        <v/>
      </c>
      <c r="P206" s="1" t="str">
        <f>IFERROR(Table1[[#This Row],[Std Nom]]+(_xlfn.XLOOKUP(Table1[[#This Row],[Manufacturer]]&amp;" "&amp;Table1[[#This Row],[Model]],Table13[MFR &amp; MDL],Table13[Tolerance % CW ],"")/100*Table1[[#This Row],[Std Nom]]),"")</f>
        <v/>
      </c>
      <c r="Q206" s="1" t="e">
        <f>Table1[[#This Row],[High Tol]]-Table1[[#This Row],[Low Tol]]</f>
        <v>#VALUE!</v>
      </c>
      <c r="R206" s="1">
        <f>2*Table1[[#This Row],[Std Error]]</f>
        <v>0</v>
      </c>
      <c r="S206" s="1" t="str">
        <f>IF(Table1[[#This Row],[High Tol]]="","N/A",IFERROR(ABS(Table1[[#This Row],[Tol Span]]/Table1[[#This Row],[Error Span]]),"N/A"))</f>
        <v>N/A</v>
      </c>
      <c r="T206" s="1" t="str">
        <f>IF(OR(Table1[[#This Row],[Low Tol]]="",Table1[[#This Row],[High Tol]]=""),"Needs Analysis",IF(Table1[[#This Row],[Ratio]]&gt;=4,"Not Significant",IF(Table1[[#This Row],[Ratio]]&gt;=2,"Semi-Significant","Significant")))</f>
        <v>Needs Analysis</v>
      </c>
      <c r="W206" s="1">
        <f>IF(Table1[[#This Row],[Cal Type]]&lt;&gt;"ACCREDITED 17025 WITH UNCERTAINTIES",0,"")</f>
        <v>0</v>
      </c>
      <c r="X206" s="1" t="str">
        <f>IF(Table1[[#This Row],[DUT Read]]="","N/A",Table1[[#This Row],[Std Error]]+Table1[[#This Row],[DUT Read]]+Table1[[#This Row],[DUT Ucty]])</f>
        <v>N/A</v>
      </c>
      <c r="Y206" s="1" t="str">
        <f>IF(Table1[[#This Row],[Std Read]]="","N/A",Table1[[#This Row],[Std Read]]+Table1[[#This Row],[Std Ucty]])</f>
        <v>N/A</v>
      </c>
      <c r="Z2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 s="1" t="str">
        <f>IF(Table1[[#This Row],[Spec Type]]="","N/A",Table1[[#This Row],[Spec Type]])</f>
        <v>±</v>
      </c>
      <c r="AC206" s="1" t="str">
        <f>IF(Table1[[#This Row],[Spec Type2]]="N/A","N/A",IF(AND(Table1[[#This Row],[DUT Adj Read]]&gt;=Table1[[#This Row],[Low Tol]],Table1[[#This Row],[DUT Adj Read]]&lt;=Table1[[#This Row],[High Tol]]),"Pass","Fail"))</f>
        <v>Fail</v>
      </c>
      <c r="AD206" s="1" t="str">
        <f>IF(AND(Table1[[#This Row],[Spec Type2]]="N/A",Table1[[#This Row],[DUT Adj Read]]="N/A",Table1[[#This Row],[Std Adj Read]]="N/A"),"N/A",IF(Table1[[#This Row],[DUT Adj Read]]="N/A",IF(Table1[[#This Row],[Std Adj Read]]&gt;Table1[[#This Row],[Low Tol]],"Pass","Fail"),IF(Table1[[#This Row],[DUT Adj Read]]&gt;Table1[[#This Row],[Low Tol]],"Pass","Fail")))</f>
        <v>Pass</v>
      </c>
      <c r="AE206" s="1" t="str">
        <f>IF(AND(Table1[[#This Row],[Spec Type2]]="N/A",Table1[[#This Row],[DUT Adj Read]]="N/A",Table1[[#This Row],[Std Adj Read]]="N/A"),"N/A",IF(Table1[[#This Row],[DUT Adj Read]]="N/A",IF(Table1[[#This Row],[Std Adj Read]]&lt;Table1[[#This Row],[High Tol]],"Pass","Fail"),IF(Table1[[#This Row],[DUT Adj Read]]&lt;Table1[[#This Row],[High Tol]],"Pass","Fail")))</f>
        <v>Fail</v>
      </c>
      <c r="AF206" s="1" t="str">
        <f>IF(AND(Table1[[#This Row],[Spec Type2]]="N/A",Table1[[#This Row],[DUT Adj Read]]="N/A",Table1[[#This Row],[Std Adj Read]]="N/A"),"N/A",IF(Table1[[#This Row],[DUT Adj Read]]="N/A",IF(Table1[[#This Row],[Std Adj Read]]&gt;=Table1[[#This Row],[Low Tol]],"Pass","Fail"),IF(Table1[[#This Row],[DUT Adj Read]]&gt;=Table1[[#This Row],[Low Tol]],"Pass","Fail")))</f>
        <v>Pass</v>
      </c>
      <c r="AG206" s="1" t="str">
        <f>IF(AND(Table1[[#This Row],[Spec Type2]]="N/A",Table1[[#This Row],[DUT Adj Read]]="N/A",Table1[[#This Row],[Std Adj Read]]="N/A"),"N/A",IF(Table1[[#This Row],[DUT Adj Read]]="N/A",IF(Table1[[#This Row],[Std Adj Read]]&lt;=Table1[[#This Row],[High Tol]],"Pass","Fail"),IF(Table1[[#This Row],[DUT Adj Read]]&lt;=Table1[[#This Row],[High Tol]],"Pass","Fail")))</f>
        <v>Fail</v>
      </c>
      <c r="AH2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 s="1" t="b">
        <v>0</v>
      </c>
      <c r="AN206" s="1" t="b">
        <v>0</v>
      </c>
      <c r="AO206" s="1" t="b">
        <v>0</v>
      </c>
    </row>
    <row r="207" spans="1:41" x14ac:dyDescent="0.25">
      <c r="A207" s="10"/>
      <c r="B207" s="10"/>
      <c r="C207" s="10"/>
      <c r="D207" s="10"/>
      <c r="E207" s="10"/>
      <c r="F207" s="10"/>
      <c r="G207" s="10"/>
      <c r="H207" s="10"/>
      <c r="I207" s="1" t="str">
        <f t="shared" si="9"/>
        <v/>
      </c>
      <c r="J207" s="1" t="s">
        <v>35</v>
      </c>
      <c r="K207" s="1" t="str">
        <f t="shared" si="10"/>
        <v/>
      </c>
      <c r="L207" s="1" t="str">
        <f t="shared" si="11"/>
        <v/>
      </c>
      <c r="M207" s="1">
        <f>IF(OR(Table1[[#This Row],[Std Nom]]="",Table1[[#This Row],[Std Read]]=""),0,Table1[[#This Row],[Std Nom]]-Table1[[#This Row],[Std Read]])</f>
        <v>0</v>
      </c>
      <c r="N207" s="1">
        <f>IF(Calculations!$F$5="ACCREDITED 17025 WITH UNCERTAINTIES",$N$10,0)</f>
        <v>0</v>
      </c>
      <c r="O207" s="1" t="str">
        <f>IFERROR(Table1[[#This Row],[Std Nom]]-(_xlfn.XLOOKUP(Table1[[#This Row],[Manufacturer]]&amp;" "&amp;Table1[[#This Row],[Model]],Table13[MFR &amp; MDL],Table13[Tolerance % CW ],"")/100*Table1[[#This Row],[Std Nom]]),"")</f>
        <v/>
      </c>
      <c r="P207" s="1" t="str">
        <f>IFERROR(Table1[[#This Row],[Std Nom]]+(_xlfn.XLOOKUP(Table1[[#This Row],[Manufacturer]]&amp;" "&amp;Table1[[#This Row],[Model]],Table13[MFR &amp; MDL],Table13[Tolerance % CW ],"")/100*Table1[[#This Row],[Std Nom]]),"")</f>
        <v/>
      </c>
      <c r="Q207" s="1" t="e">
        <f>Table1[[#This Row],[High Tol]]-Table1[[#This Row],[Low Tol]]</f>
        <v>#VALUE!</v>
      </c>
      <c r="R207" s="1">
        <f>2*Table1[[#This Row],[Std Error]]</f>
        <v>0</v>
      </c>
      <c r="S207" s="1" t="str">
        <f>IF(Table1[[#This Row],[High Tol]]="","N/A",IFERROR(ABS(Table1[[#This Row],[Tol Span]]/Table1[[#This Row],[Error Span]]),"N/A"))</f>
        <v>N/A</v>
      </c>
      <c r="T207" s="1" t="str">
        <f>IF(OR(Table1[[#This Row],[Low Tol]]="",Table1[[#This Row],[High Tol]]=""),"Needs Analysis",IF(Table1[[#This Row],[Ratio]]&gt;=4,"Not Significant",IF(Table1[[#This Row],[Ratio]]&gt;=2,"Semi-Significant","Significant")))</f>
        <v>Needs Analysis</v>
      </c>
      <c r="W207" s="1">
        <f>IF(Table1[[#This Row],[Cal Type]]&lt;&gt;"ACCREDITED 17025 WITH UNCERTAINTIES",0,"")</f>
        <v>0</v>
      </c>
      <c r="X207" s="1" t="str">
        <f>IF(Table1[[#This Row],[DUT Read]]="","N/A",Table1[[#This Row],[Std Error]]+Table1[[#This Row],[DUT Read]]+Table1[[#This Row],[DUT Ucty]])</f>
        <v>N/A</v>
      </c>
      <c r="Y207" s="1" t="str">
        <f>IF(Table1[[#This Row],[Std Read]]="","N/A",Table1[[#This Row],[Std Read]]+Table1[[#This Row],[Std Ucty]])</f>
        <v>N/A</v>
      </c>
      <c r="Z2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 s="1" t="str">
        <f>IF(Table1[[#This Row],[Spec Type]]="","N/A",Table1[[#This Row],[Spec Type]])</f>
        <v>±</v>
      </c>
      <c r="AC207" s="1" t="str">
        <f>IF(Table1[[#This Row],[Spec Type2]]="N/A","N/A",IF(AND(Table1[[#This Row],[DUT Adj Read]]&gt;=Table1[[#This Row],[Low Tol]],Table1[[#This Row],[DUT Adj Read]]&lt;=Table1[[#This Row],[High Tol]]),"Pass","Fail"))</f>
        <v>Fail</v>
      </c>
      <c r="AD207" s="1" t="str">
        <f>IF(AND(Table1[[#This Row],[Spec Type2]]="N/A",Table1[[#This Row],[DUT Adj Read]]="N/A",Table1[[#This Row],[Std Adj Read]]="N/A"),"N/A",IF(Table1[[#This Row],[DUT Adj Read]]="N/A",IF(Table1[[#This Row],[Std Adj Read]]&gt;Table1[[#This Row],[Low Tol]],"Pass","Fail"),IF(Table1[[#This Row],[DUT Adj Read]]&gt;Table1[[#This Row],[Low Tol]],"Pass","Fail")))</f>
        <v>Pass</v>
      </c>
      <c r="AE207" s="1" t="str">
        <f>IF(AND(Table1[[#This Row],[Spec Type2]]="N/A",Table1[[#This Row],[DUT Adj Read]]="N/A",Table1[[#This Row],[Std Adj Read]]="N/A"),"N/A",IF(Table1[[#This Row],[DUT Adj Read]]="N/A",IF(Table1[[#This Row],[Std Adj Read]]&lt;Table1[[#This Row],[High Tol]],"Pass","Fail"),IF(Table1[[#This Row],[DUT Adj Read]]&lt;Table1[[#This Row],[High Tol]],"Pass","Fail")))</f>
        <v>Fail</v>
      </c>
      <c r="AF207" s="1" t="str">
        <f>IF(AND(Table1[[#This Row],[Spec Type2]]="N/A",Table1[[#This Row],[DUT Adj Read]]="N/A",Table1[[#This Row],[Std Adj Read]]="N/A"),"N/A",IF(Table1[[#This Row],[DUT Adj Read]]="N/A",IF(Table1[[#This Row],[Std Adj Read]]&gt;=Table1[[#This Row],[Low Tol]],"Pass","Fail"),IF(Table1[[#This Row],[DUT Adj Read]]&gt;=Table1[[#This Row],[Low Tol]],"Pass","Fail")))</f>
        <v>Pass</v>
      </c>
      <c r="AG207" s="1" t="str">
        <f>IF(AND(Table1[[#This Row],[Spec Type2]]="N/A",Table1[[#This Row],[DUT Adj Read]]="N/A",Table1[[#This Row],[Std Adj Read]]="N/A"),"N/A",IF(Table1[[#This Row],[DUT Adj Read]]="N/A",IF(Table1[[#This Row],[Std Adj Read]]&lt;=Table1[[#This Row],[High Tol]],"Pass","Fail"),IF(Table1[[#This Row],[DUT Adj Read]]&lt;=Table1[[#This Row],[High Tol]],"Pass","Fail")))</f>
        <v>Fail</v>
      </c>
      <c r="AH2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 s="1" t="b">
        <v>0</v>
      </c>
      <c r="AN207" s="1" t="b">
        <v>0</v>
      </c>
      <c r="AO207" s="1" t="b">
        <v>0</v>
      </c>
    </row>
    <row r="208" spans="1:41" x14ac:dyDescent="0.25">
      <c r="A208" s="10"/>
      <c r="B208" s="10"/>
      <c r="C208" s="10"/>
      <c r="D208" s="10"/>
      <c r="E208" s="10"/>
      <c r="F208" s="10"/>
      <c r="G208" s="10"/>
      <c r="H208" s="10"/>
      <c r="I208" s="1" t="str">
        <f t="shared" si="9"/>
        <v/>
      </c>
      <c r="J208" s="1" t="s">
        <v>35</v>
      </c>
      <c r="K208" s="1" t="str">
        <f t="shared" si="10"/>
        <v/>
      </c>
      <c r="L208" s="1" t="str">
        <f t="shared" si="11"/>
        <v/>
      </c>
      <c r="M208" s="1">
        <f>IF(OR(Table1[[#This Row],[Std Nom]]="",Table1[[#This Row],[Std Read]]=""),0,Table1[[#This Row],[Std Nom]]-Table1[[#This Row],[Std Read]])</f>
        <v>0</v>
      </c>
      <c r="N208" s="1">
        <f>IF(Calculations!$F$5="ACCREDITED 17025 WITH UNCERTAINTIES",$N$10,0)</f>
        <v>0</v>
      </c>
      <c r="O208" s="1" t="str">
        <f>IFERROR(Table1[[#This Row],[Std Nom]]-(_xlfn.XLOOKUP(Table1[[#This Row],[Manufacturer]]&amp;" "&amp;Table1[[#This Row],[Model]],Table13[MFR &amp; MDL],Table13[Tolerance % CW ],"")/100*Table1[[#This Row],[Std Nom]]),"")</f>
        <v/>
      </c>
      <c r="P208" s="1" t="str">
        <f>IFERROR(Table1[[#This Row],[Std Nom]]+(_xlfn.XLOOKUP(Table1[[#This Row],[Manufacturer]]&amp;" "&amp;Table1[[#This Row],[Model]],Table13[MFR &amp; MDL],Table13[Tolerance % CW ],"")/100*Table1[[#This Row],[Std Nom]]),"")</f>
        <v/>
      </c>
      <c r="Q208" s="1" t="e">
        <f>Table1[[#This Row],[High Tol]]-Table1[[#This Row],[Low Tol]]</f>
        <v>#VALUE!</v>
      </c>
      <c r="R208" s="1">
        <f>2*Table1[[#This Row],[Std Error]]</f>
        <v>0</v>
      </c>
      <c r="S208" s="1" t="str">
        <f>IF(Table1[[#This Row],[High Tol]]="","N/A",IFERROR(ABS(Table1[[#This Row],[Tol Span]]/Table1[[#This Row],[Error Span]]),"N/A"))</f>
        <v>N/A</v>
      </c>
      <c r="T208" s="1" t="str">
        <f>IF(OR(Table1[[#This Row],[Low Tol]]="",Table1[[#This Row],[High Tol]]=""),"Needs Analysis",IF(Table1[[#This Row],[Ratio]]&gt;=4,"Not Significant",IF(Table1[[#This Row],[Ratio]]&gt;=2,"Semi-Significant","Significant")))</f>
        <v>Needs Analysis</v>
      </c>
      <c r="W208" s="1">
        <f>IF(Table1[[#This Row],[Cal Type]]&lt;&gt;"ACCREDITED 17025 WITH UNCERTAINTIES",0,"")</f>
        <v>0</v>
      </c>
      <c r="X208" s="1" t="str">
        <f>IF(Table1[[#This Row],[DUT Read]]="","N/A",Table1[[#This Row],[Std Error]]+Table1[[#This Row],[DUT Read]]+Table1[[#This Row],[DUT Ucty]])</f>
        <v>N/A</v>
      </c>
      <c r="Y208" s="1" t="str">
        <f>IF(Table1[[#This Row],[Std Read]]="","N/A",Table1[[#This Row],[Std Read]]+Table1[[#This Row],[Std Ucty]])</f>
        <v>N/A</v>
      </c>
      <c r="Z2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 s="1" t="str">
        <f>IF(Table1[[#This Row],[Spec Type]]="","N/A",Table1[[#This Row],[Spec Type]])</f>
        <v>±</v>
      </c>
      <c r="AC208" s="1" t="str">
        <f>IF(Table1[[#This Row],[Spec Type2]]="N/A","N/A",IF(AND(Table1[[#This Row],[DUT Adj Read]]&gt;=Table1[[#This Row],[Low Tol]],Table1[[#This Row],[DUT Adj Read]]&lt;=Table1[[#This Row],[High Tol]]),"Pass","Fail"))</f>
        <v>Fail</v>
      </c>
      <c r="AD208" s="1" t="str">
        <f>IF(AND(Table1[[#This Row],[Spec Type2]]="N/A",Table1[[#This Row],[DUT Adj Read]]="N/A",Table1[[#This Row],[Std Adj Read]]="N/A"),"N/A",IF(Table1[[#This Row],[DUT Adj Read]]="N/A",IF(Table1[[#This Row],[Std Adj Read]]&gt;Table1[[#This Row],[Low Tol]],"Pass","Fail"),IF(Table1[[#This Row],[DUT Adj Read]]&gt;Table1[[#This Row],[Low Tol]],"Pass","Fail")))</f>
        <v>Pass</v>
      </c>
      <c r="AE208" s="1" t="str">
        <f>IF(AND(Table1[[#This Row],[Spec Type2]]="N/A",Table1[[#This Row],[DUT Adj Read]]="N/A",Table1[[#This Row],[Std Adj Read]]="N/A"),"N/A",IF(Table1[[#This Row],[DUT Adj Read]]="N/A",IF(Table1[[#This Row],[Std Adj Read]]&lt;Table1[[#This Row],[High Tol]],"Pass","Fail"),IF(Table1[[#This Row],[DUT Adj Read]]&lt;Table1[[#This Row],[High Tol]],"Pass","Fail")))</f>
        <v>Fail</v>
      </c>
      <c r="AF208" s="1" t="str">
        <f>IF(AND(Table1[[#This Row],[Spec Type2]]="N/A",Table1[[#This Row],[DUT Adj Read]]="N/A",Table1[[#This Row],[Std Adj Read]]="N/A"),"N/A",IF(Table1[[#This Row],[DUT Adj Read]]="N/A",IF(Table1[[#This Row],[Std Adj Read]]&gt;=Table1[[#This Row],[Low Tol]],"Pass","Fail"),IF(Table1[[#This Row],[DUT Adj Read]]&gt;=Table1[[#This Row],[Low Tol]],"Pass","Fail")))</f>
        <v>Pass</v>
      </c>
      <c r="AG208" s="1" t="str">
        <f>IF(AND(Table1[[#This Row],[Spec Type2]]="N/A",Table1[[#This Row],[DUT Adj Read]]="N/A",Table1[[#This Row],[Std Adj Read]]="N/A"),"N/A",IF(Table1[[#This Row],[DUT Adj Read]]="N/A",IF(Table1[[#This Row],[Std Adj Read]]&lt;=Table1[[#This Row],[High Tol]],"Pass","Fail"),IF(Table1[[#This Row],[DUT Adj Read]]&lt;=Table1[[#This Row],[High Tol]],"Pass","Fail")))</f>
        <v>Fail</v>
      </c>
      <c r="AH2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 s="1" t="b">
        <v>0</v>
      </c>
      <c r="AN208" s="1" t="b">
        <v>0</v>
      </c>
      <c r="AO208" s="1" t="b">
        <v>0</v>
      </c>
    </row>
    <row r="209" spans="1:41" x14ac:dyDescent="0.25">
      <c r="A209" s="10"/>
      <c r="B209" s="10"/>
      <c r="C209" s="10"/>
      <c r="D209" s="10"/>
      <c r="E209" s="10"/>
      <c r="F209" s="10"/>
      <c r="G209" s="10"/>
      <c r="H209" s="10"/>
      <c r="I209" s="1" t="str">
        <f t="shared" si="9"/>
        <v/>
      </c>
      <c r="J209" s="1" t="s">
        <v>35</v>
      </c>
      <c r="K209" s="1" t="str">
        <f t="shared" si="10"/>
        <v/>
      </c>
      <c r="L209" s="1" t="str">
        <f t="shared" si="11"/>
        <v/>
      </c>
      <c r="M209" s="1">
        <f>IF(OR(Table1[[#This Row],[Std Nom]]="",Table1[[#This Row],[Std Read]]=""),0,Table1[[#This Row],[Std Nom]]-Table1[[#This Row],[Std Read]])</f>
        <v>0</v>
      </c>
      <c r="N209" s="1">
        <f>IF(Calculations!$F$5="ACCREDITED 17025 WITH UNCERTAINTIES",$N$10,0)</f>
        <v>0</v>
      </c>
      <c r="O209" s="1" t="str">
        <f>IFERROR(Table1[[#This Row],[Std Nom]]-(_xlfn.XLOOKUP(Table1[[#This Row],[Manufacturer]]&amp;" "&amp;Table1[[#This Row],[Model]],Table13[MFR &amp; MDL],Table13[Tolerance % CW ],"")/100*Table1[[#This Row],[Std Nom]]),"")</f>
        <v/>
      </c>
      <c r="P209" s="1" t="str">
        <f>IFERROR(Table1[[#This Row],[Std Nom]]+(_xlfn.XLOOKUP(Table1[[#This Row],[Manufacturer]]&amp;" "&amp;Table1[[#This Row],[Model]],Table13[MFR &amp; MDL],Table13[Tolerance % CW ],"")/100*Table1[[#This Row],[Std Nom]]),"")</f>
        <v/>
      </c>
      <c r="Q209" s="1" t="e">
        <f>Table1[[#This Row],[High Tol]]-Table1[[#This Row],[Low Tol]]</f>
        <v>#VALUE!</v>
      </c>
      <c r="R209" s="1">
        <f>2*Table1[[#This Row],[Std Error]]</f>
        <v>0</v>
      </c>
      <c r="S209" s="1" t="str">
        <f>IF(Table1[[#This Row],[High Tol]]="","N/A",IFERROR(ABS(Table1[[#This Row],[Tol Span]]/Table1[[#This Row],[Error Span]]),"N/A"))</f>
        <v>N/A</v>
      </c>
      <c r="T209" s="1" t="str">
        <f>IF(OR(Table1[[#This Row],[Low Tol]]="",Table1[[#This Row],[High Tol]]=""),"Needs Analysis",IF(Table1[[#This Row],[Ratio]]&gt;=4,"Not Significant",IF(Table1[[#This Row],[Ratio]]&gt;=2,"Semi-Significant","Significant")))</f>
        <v>Needs Analysis</v>
      </c>
      <c r="W209" s="1">
        <f>IF(Table1[[#This Row],[Cal Type]]&lt;&gt;"ACCREDITED 17025 WITH UNCERTAINTIES",0,"")</f>
        <v>0</v>
      </c>
      <c r="X209" s="1" t="str">
        <f>IF(Table1[[#This Row],[DUT Read]]="","N/A",Table1[[#This Row],[Std Error]]+Table1[[#This Row],[DUT Read]]+Table1[[#This Row],[DUT Ucty]])</f>
        <v>N/A</v>
      </c>
      <c r="Y209" s="1" t="str">
        <f>IF(Table1[[#This Row],[Std Read]]="","N/A",Table1[[#This Row],[Std Read]]+Table1[[#This Row],[Std Ucty]])</f>
        <v>N/A</v>
      </c>
      <c r="Z2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 s="1" t="str">
        <f>IF(Table1[[#This Row],[Spec Type]]="","N/A",Table1[[#This Row],[Spec Type]])</f>
        <v>±</v>
      </c>
      <c r="AC209" s="1" t="str">
        <f>IF(Table1[[#This Row],[Spec Type2]]="N/A","N/A",IF(AND(Table1[[#This Row],[DUT Adj Read]]&gt;=Table1[[#This Row],[Low Tol]],Table1[[#This Row],[DUT Adj Read]]&lt;=Table1[[#This Row],[High Tol]]),"Pass","Fail"))</f>
        <v>Fail</v>
      </c>
      <c r="AD209" s="1" t="str">
        <f>IF(AND(Table1[[#This Row],[Spec Type2]]="N/A",Table1[[#This Row],[DUT Adj Read]]="N/A",Table1[[#This Row],[Std Adj Read]]="N/A"),"N/A",IF(Table1[[#This Row],[DUT Adj Read]]="N/A",IF(Table1[[#This Row],[Std Adj Read]]&gt;Table1[[#This Row],[Low Tol]],"Pass","Fail"),IF(Table1[[#This Row],[DUT Adj Read]]&gt;Table1[[#This Row],[Low Tol]],"Pass","Fail")))</f>
        <v>Pass</v>
      </c>
      <c r="AE209" s="1" t="str">
        <f>IF(AND(Table1[[#This Row],[Spec Type2]]="N/A",Table1[[#This Row],[DUT Adj Read]]="N/A",Table1[[#This Row],[Std Adj Read]]="N/A"),"N/A",IF(Table1[[#This Row],[DUT Adj Read]]="N/A",IF(Table1[[#This Row],[Std Adj Read]]&lt;Table1[[#This Row],[High Tol]],"Pass","Fail"),IF(Table1[[#This Row],[DUT Adj Read]]&lt;Table1[[#This Row],[High Tol]],"Pass","Fail")))</f>
        <v>Fail</v>
      </c>
      <c r="AF209" s="1" t="str">
        <f>IF(AND(Table1[[#This Row],[Spec Type2]]="N/A",Table1[[#This Row],[DUT Adj Read]]="N/A",Table1[[#This Row],[Std Adj Read]]="N/A"),"N/A",IF(Table1[[#This Row],[DUT Adj Read]]="N/A",IF(Table1[[#This Row],[Std Adj Read]]&gt;=Table1[[#This Row],[Low Tol]],"Pass","Fail"),IF(Table1[[#This Row],[DUT Adj Read]]&gt;=Table1[[#This Row],[Low Tol]],"Pass","Fail")))</f>
        <v>Pass</v>
      </c>
      <c r="AG209" s="1" t="str">
        <f>IF(AND(Table1[[#This Row],[Spec Type2]]="N/A",Table1[[#This Row],[DUT Adj Read]]="N/A",Table1[[#This Row],[Std Adj Read]]="N/A"),"N/A",IF(Table1[[#This Row],[DUT Adj Read]]="N/A",IF(Table1[[#This Row],[Std Adj Read]]&lt;=Table1[[#This Row],[High Tol]],"Pass","Fail"),IF(Table1[[#This Row],[DUT Adj Read]]&lt;=Table1[[#This Row],[High Tol]],"Pass","Fail")))</f>
        <v>Fail</v>
      </c>
      <c r="AH2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 s="1" t="b">
        <v>0</v>
      </c>
      <c r="AN209" s="1" t="b">
        <v>0</v>
      </c>
      <c r="AO209" s="1" t="b">
        <v>0</v>
      </c>
    </row>
    <row r="210" spans="1:41" x14ac:dyDescent="0.25">
      <c r="A210" s="10"/>
      <c r="B210" s="10"/>
      <c r="C210" s="10"/>
      <c r="D210" s="10"/>
      <c r="E210" s="10"/>
      <c r="F210" s="10"/>
      <c r="G210" s="10"/>
      <c r="H210" s="10"/>
      <c r="I210" s="1" t="str">
        <f t="shared" si="9"/>
        <v/>
      </c>
      <c r="J210" s="1" t="s">
        <v>35</v>
      </c>
      <c r="K210" s="1" t="str">
        <f t="shared" si="10"/>
        <v/>
      </c>
      <c r="L210" s="1" t="str">
        <f t="shared" si="11"/>
        <v/>
      </c>
      <c r="M210" s="1">
        <f>IF(OR(Table1[[#This Row],[Std Nom]]="",Table1[[#This Row],[Std Read]]=""),0,Table1[[#This Row],[Std Nom]]-Table1[[#This Row],[Std Read]])</f>
        <v>0</v>
      </c>
      <c r="N210" s="1">
        <f>IF(Calculations!$F$5="ACCREDITED 17025 WITH UNCERTAINTIES",$N$10,0)</f>
        <v>0</v>
      </c>
      <c r="O210" s="1" t="str">
        <f>IFERROR(Table1[[#This Row],[Std Nom]]-(_xlfn.XLOOKUP(Table1[[#This Row],[Manufacturer]]&amp;" "&amp;Table1[[#This Row],[Model]],Table13[MFR &amp; MDL],Table13[Tolerance % CW ],"")/100*Table1[[#This Row],[Std Nom]]),"")</f>
        <v/>
      </c>
      <c r="P210" s="1" t="str">
        <f>IFERROR(Table1[[#This Row],[Std Nom]]+(_xlfn.XLOOKUP(Table1[[#This Row],[Manufacturer]]&amp;" "&amp;Table1[[#This Row],[Model]],Table13[MFR &amp; MDL],Table13[Tolerance % CW ],"")/100*Table1[[#This Row],[Std Nom]]),"")</f>
        <v/>
      </c>
      <c r="Q210" s="1" t="e">
        <f>Table1[[#This Row],[High Tol]]-Table1[[#This Row],[Low Tol]]</f>
        <v>#VALUE!</v>
      </c>
      <c r="R210" s="1">
        <f>2*Table1[[#This Row],[Std Error]]</f>
        <v>0</v>
      </c>
      <c r="S210" s="1" t="str">
        <f>IF(Table1[[#This Row],[High Tol]]="","N/A",IFERROR(ABS(Table1[[#This Row],[Tol Span]]/Table1[[#This Row],[Error Span]]),"N/A"))</f>
        <v>N/A</v>
      </c>
      <c r="T210" s="1" t="str">
        <f>IF(OR(Table1[[#This Row],[Low Tol]]="",Table1[[#This Row],[High Tol]]=""),"Needs Analysis",IF(Table1[[#This Row],[Ratio]]&gt;=4,"Not Significant",IF(Table1[[#This Row],[Ratio]]&gt;=2,"Semi-Significant","Significant")))</f>
        <v>Needs Analysis</v>
      </c>
      <c r="W210" s="1">
        <f>IF(Table1[[#This Row],[Cal Type]]&lt;&gt;"ACCREDITED 17025 WITH UNCERTAINTIES",0,"")</f>
        <v>0</v>
      </c>
      <c r="X210" s="1" t="str">
        <f>IF(Table1[[#This Row],[DUT Read]]="","N/A",Table1[[#This Row],[Std Error]]+Table1[[#This Row],[DUT Read]]+Table1[[#This Row],[DUT Ucty]])</f>
        <v>N/A</v>
      </c>
      <c r="Y210" s="1" t="str">
        <f>IF(Table1[[#This Row],[Std Read]]="","N/A",Table1[[#This Row],[Std Read]]+Table1[[#This Row],[Std Ucty]])</f>
        <v>N/A</v>
      </c>
      <c r="Z2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 s="1" t="str">
        <f>IF(Table1[[#This Row],[Spec Type]]="","N/A",Table1[[#This Row],[Spec Type]])</f>
        <v>±</v>
      </c>
      <c r="AC210" s="1" t="str">
        <f>IF(Table1[[#This Row],[Spec Type2]]="N/A","N/A",IF(AND(Table1[[#This Row],[DUT Adj Read]]&gt;=Table1[[#This Row],[Low Tol]],Table1[[#This Row],[DUT Adj Read]]&lt;=Table1[[#This Row],[High Tol]]),"Pass","Fail"))</f>
        <v>Fail</v>
      </c>
      <c r="AD210" s="1" t="str">
        <f>IF(AND(Table1[[#This Row],[Spec Type2]]="N/A",Table1[[#This Row],[DUT Adj Read]]="N/A",Table1[[#This Row],[Std Adj Read]]="N/A"),"N/A",IF(Table1[[#This Row],[DUT Adj Read]]="N/A",IF(Table1[[#This Row],[Std Adj Read]]&gt;Table1[[#This Row],[Low Tol]],"Pass","Fail"),IF(Table1[[#This Row],[DUT Adj Read]]&gt;Table1[[#This Row],[Low Tol]],"Pass","Fail")))</f>
        <v>Pass</v>
      </c>
      <c r="AE210" s="1" t="str">
        <f>IF(AND(Table1[[#This Row],[Spec Type2]]="N/A",Table1[[#This Row],[DUT Adj Read]]="N/A",Table1[[#This Row],[Std Adj Read]]="N/A"),"N/A",IF(Table1[[#This Row],[DUT Adj Read]]="N/A",IF(Table1[[#This Row],[Std Adj Read]]&lt;Table1[[#This Row],[High Tol]],"Pass","Fail"),IF(Table1[[#This Row],[DUT Adj Read]]&lt;Table1[[#This Row],[High Tol]],"Pass","Fail")))</f>
        <v>Fail</v>
      </c>
      <c r="AF210" s="1" t="str">
        <f>IF(AND(Table1[[#This Row],[Spec Type2]]="N/A",Table1[[#This Row],[DUT Adj Read]]="N/A",Table1[[#This Row],[Std Adj Read]]="N/A"),"N/A",IF(Table1[[#This Row],[DUT Adj Read]]="N/A",IF(Table1[[#This Row],[Std Adj Read]]&gt;=Table1[[#This Row],[Low Tol]],"Pass","Fail"),IF(Table1[[#This Row],[DUT Adj Read]]&gt;=Table1[[#This Row],[Low Tol]],"Pass","Fail")))</f>
        <v>Pass</v>
      </c>
      <c r="AG210" s="1" t="str">
        <f>IF(AND(Table1[[#This Row],[Spec Type2]]="N/A",Table1[[#This Row],[DUT Adj Read]]="N/A",Table1[[#This Row],[Std Adj Read]]="N/A"),"N/A",IF(Table1[[#This Row],[DUT Adj Read]]="N/A",IF(Table1[[#This Row],[Std Adj Read]]&lt;=Table1[[#This Row],[High Tol]],"Pass","Fail"),IF(Table1[[#This Row],[DUT Adj Read]]&lt;=Table1[[#This Row],[High Tol]],"Pass","Fail")))</f>
        <v>Fail</v>
      </c>
      <c r="AH2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 s="1" t="b">
        <v>0</v>
      </c>
      <c r="AN210" s="1" t="b">
        <v>0</v>
      </c>
      <c r="AO210" s="1" t="b">
        <v>0</v>
      </c>
    </row>
    <row r="211" spans="1:41" x14ac:dyDescent="0.25">
      <c r="A211" s="10"/>
      <c r="B211" s="10"/>
      <c r="C211" s="10"/>
      <c r="D211" s="10"/>
      <c r="E211" s="10"/>
      <c r="F211" s="10"/>
      <c r="G211" s="10"/>
      <c r="H211" s="10"/>
      <c r="I211" s="1" t="str">
        <f t="shared" si="9"/>
        <v/>
      </c>
      <c r="J211" s="1" t="s">
        <v>35</v>
      </c>
      <c r="K211" s="1" t="str">
        <f t="shared" si="10"/>
        <v/>
      </c>
      <c r="L211" s="1" t="str">
        <f t="shared" si="11"/>
        <v/>
      </c>
      <c r="M211" s="1">
        <f>IF(OR(Table1[[#This Row],[Std Nom]]="",Table1[[#This Row],[Std Read]]=""),0,Table1[[#This Row],[Std Nom]]-Table1[[#This Row],[Std Read]])</f>
        <v>0</v>
      </c>
      <c r="N211" s="1">
        <f>IF(Calculations!$F$5="ACCREDITED 17025 WITH UNCERTAINTIES",$N$10,0)</f>
        <v>0</v>
      </c>
      <c r="O211" s="1" t="str">
        <f>IFERROR(Table1[[#This Row],[Std Nom]]-(_xlfn.XLOOKUP(Table1[[#This Row],[Manufacturer]]&amp;" "&amp;Table1[[#This Row],[Model]],Table13[MFR &amp; MDL],Table13[Tolerance % CW ],"")/100*Table1[[#This Row],[Std Nom]]),"")</f>
        <v/>
      </c>
      <c r="P211" s="1" t="str">
        <f>IFERROR(Table1[[#This Row],[Std Nom]]+(_xlfn.XLOOKUP(Table1[[#This Row],[Manufacturer]]&amp;" "&amp;Table1[[#This Row],[Model]],Table13[MFR &amp; MDL],Table13[Tolerance % CW ],"")/100*Table1[[#This Row],[Std Nom]]),"")</f>
        <v/>
      </c>
      <c r="Q211" s="1" t="e">
        <f>Table1[[#This Row],[High Tol]]-Table1[[#This Row],[Low Tol]]</f>
        <v>#VALUE!</v>
      </c>
      <c r="R211" s="1">
        <f>2*Table1[[#This Row],[Std Error]]</f>
        <v>0</v>
      </c>
      <c r="S211" s="1" t="str">
        <f>IF(Table1[[#This Row],[High Tol]]="","N/A",IFERROR(ABS(Table1[[#This Row],[Tol Span]]/Table1[[#This Row],[Error Span]]),"N/A"))</f>
        <v>N/A</v>
      </c>
      <c r="T211" s="1" t="str">
        <f>IF(OR(Table1[[#This Row],[Low Tol]]="",Table1[[#This Row],[High Tol]]=""),"Needs Analysis",IF(Table1[[#This Row],[Ratio]]&gt;=4,"Not Significant",IF(Table1[[#This Row],[Ratio]]&gt;=2,"Semi-Significant","Significant")))</f>
        <v>Needs Analysis</v>
      </c>
      <c r="W211" s="1">
        <f>IF(Table1[[#This Row],[Cal Type]]&lt;&gt;"ACCREDITED 17025 WITH UNCERTAINTIES",0,"")</f>
        <v>0</v>
      </c>
      <c r="X211" s="1" t="str">
        <f>IF(Table1[[#This Row],[DUT Read]]="","N/A",Table1[[#This Row],[Std Error]]+Table1[[#This Row],[DUT Read]]+Table1[[#This Row],[DUT Ucty]])</f>
        <v>N/A</v>
      </c>
      <c r="Y211" s="1" t="str">
        <f>IF(Table1[[#This Row],[Std Read]]="","N/A",Table1[[#This Row],[Std Read]]+Table1[[#This Row],[Std Ucty]])</f>
        <v>N/A</v>
      </c>
      <c r="Z2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 s="1" t="str">
        <f>IF(Table1[[#This Row],[Spec Type]]="","N/A",Table1[[#This Row],[Spec Type]])</f>
        <v>±</v>
      </c>
      <c r="AC211" s="1" t="str">
        <f>IF(Table1[[#This Row],[Spec Type2]]="N/A","N/A",IF(AND(Table1[[#This Row],[DUT Adj Read]]&gt;=Table1[[#This Row],[Low Tol]],Table1[[#This Row],[DUT Adj Read]]&lt;=Table1[[#This Row],[High Tol]]),"Pass","Fail"))</f>
        <v>Fail</v>
      </c>
      <c r="AD211" s="1" t="str">
        <f>IF(AND(Table1[[#This Row],[Spec Type2]]="N/A",Table1[[#This Row],[DUT Adj Read]]="N/A",Table1[[#This Row],[Std Adj Read]]="N/A"),"N/A",IF(Table1[[#This Row],[DUT Adj Read]]="N/A",IF(Table1[[#This Row],[Std Adj Read]]&gt;Table1[[#This Row],[Low Tol]],"Pass","Fail"),IF(Table1[[#This Row],[DUT Adj Read]]&gt;Table1[[#This Row],[Low Tol]],"Pass","Fail")))</f>
        <v>Pass</v>
      </c>
      <c r="AE211" s="1" t="str">
        <f>IF(AND(Table1[[#This Row],[Spec Type2]]="N/A",Table1[[#This Row],[DUT Adj Read]]="N/A",Table1[[#This Row],[Std Adj Read]]="N/A"),"N/A",IF(Table1[[#This Row],[DUT Adj Read]]="N/A",IF(Table1[[#This Row],[Std Adj Read]]&lt;Table1[[#This Row],[High Tol]],"Pass","Fail"),IF(Table1[[#This Row],[DUT Adj Read]]&lt;Table1[[#This Row],[High Tol]],"Pass","Fail")))</f>
        <v>Fail</v>
      </c>
      <c r="AF211" s="1" t="str">
        <f>IF(AND(Table1[[#This Row],[Spec Type2]]="N/A",Table1[[#This Row],[DUT Adj Read]]="N/A",Table1[[#This Row],[Std Adj Read]]="N/A"),"N/A",IF(Table1[[#This Row],[DUT Adj Read]]="N/A",IF(Table1[[#This Row],[Std Adj Read]]&gt;=Table1[[#This Row],[Low Tol]],"Pass","Fail"),IF(Table1[[#This Row],[DUT Adj Read]]&gt;=Table1[[#This Row],[Low Tol]],"Pass","Fail")))</f>
        <v>Pass</v>
      </c>
      <c r="AG211" s="1" t="str">
        <f>IF(AND(Table1[[#This Row],[Spec Type2]]="N/A",Table1[[#This Row],[DUT Adj Read]]="N/A",Table1[[#This Row],[Std Adj Read]]="N/A"),"N/A",IF(Table1[[#This Row],[DUT Adj Read]]="N/A",IF(Table1[[#This Row],[Std Adj Read]]&lt;=Table1[[#This Row],[High Tol]],"Pass","Fail"),IF(Table1[[#This Row],[DUT Adj Read]]&lt;=Table1[[#This Row],[High Tol]],"Pass","Fail")))</f>
        <v>Fail</v>
      </c>
      <c r="AH2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 s="1" t="b">
        <v>0</v>
      </c>
      <c r="AN211" s="1" t="b">
        <v>0</v>
      </c>
      <c r="AO211" s="1" t="b">
        <v>0</v>
      </c>
    </row>
    <row r="212" spans="1:41" x14ac:dyDescent="0.25">
      <c r="A212" s="10"/>
      <c r="B212" s="10"/>
      <c r="C212" s="10"/>
      <c r="D212" s="10"/>
      <c r="E212" s="10"/>
      <c r="F212" s="10"/>
      <c r="G212" s="10"/>
      <c r="H212" s="10"/>
      <c r="I212" s="1" t="str">
        <f t="shared" si="9"/>
        <v/>
      </c>
      <c r="J212" s="1" t="s">
        <v>35</v>
      </c>
      <c r="K212" s="1" t="str">
        <f t="shared" si="10"/>
        <v/>
      </c>
      <c r="L212" s="1" t="str">
        <f t="shared" si="11"/>
        <v/>
      </c>
      <c r="M212" s="1">
        <f>IF(OR(Table1[[#This Row],[Std Nom]]="",Table1[[#This Row],[Std Read]]=""),0,Table1[[#This Row],[Std Nom]]-Table1[[#This Row],[Std Read]])</f>
        <v>0</v>
      </c>
      <c r="N212" s="1">
        <f>IF(Calculations!$F$5="ACCREDITED 17025 WITH UNCERTAINTIES",$N$10,0)</f>
        <v>0</v>
      </c>
      <c r="O212" s="1" t="str">
        <f>IFERROR(Table1[[#This Row],[Std Nom]]-(_xlfn.XLOOKUP(Table1[[#This Row],[Manufacturer]]&amp;" "&amp;Table1[[#This Row],[Model]],Table13[MFR &amp; MDL],Table13[Tolerance % CW ],"")/100*Table1[[#This Row],[Std Nom]]),"")</f>
        <v/>
      </c>
      <c r="P212" s="1" t="str">
        <f>IFERROR(Table1[[#This Row],[Std Nom]]+(_xlfn.XLOOKUP(Table1[[#This Row],[Manufacturer]]&amp;" "&amp;Table1[[#This Row],[Model]],Table13[MFR &amp; MDL],Table13[Tolerance % CW ],"")/100*Table1[[#This Row],[Std Nom]]),"")</f>
        <v/>
      </c>
      <c r="Q212" s="1" t="e">
        <f>Table1[[#This Row],[High Tol]]-Table1[[#This Row],[Low Tol]]</f>
        <v>#VALUE!</v>
      </c>
      <c r="R212" s="1">
        <f>2*Table1[[#This Row],[Std Error]]</f>
        <v>0</v>
      </c>
      <c r="S212" s="1" t="str">
        <f>IF(Table1[[#This Row],[High Tol]]="","N/A",IFERROR(ABS(Table1[[#This Row],[Tol Span]]/Table1[[#This Row],[Error Span]]),"N/A"))</f>
        <v>N/A</v>
      </c>
      <c r="T212" s="1" t="str">
        <f>IF(OR(Table1[[#This Row],[Low Tol]]="",Table1[[#This Row],[High Tol]]=""),"Needs Analysis",IF(Table1[[#This Row],[Ratio]]&gt;=4,"Not Significant",IF(Table1[[#This Row],[Ratio]]&gt;=2,"Semi-Significant","Significant")))</f>
        <v>Needs Analysis</v>
      </c>
      <c r="W212" s="1">
        <f>IF(Table1[[#This Row],[Cal Type]]&lt;&gt;"ACCREDITED 17025 WITH UNCERTAINTIES",0,"")</f>
        <v>0</v>
      </c>
      <c r="X212" s="1" t="str">
        <f>IF(Table1[[#This Row],[DUT Read]]="","N/A",Table1[[#This Row],[Std Error]]+Table1[[#This Row],[DUT Read]]+Table1[[#This Row],[DUT Ucty]])</f>
        <v>N/A</v>
      </c>
      <c r="Y212" s="1" t="str">
        <f>IF(Table1[[#This Row],[Std Read]]="","N/A",Table1[[#This Row],[Std Read]]+Table1[[#This Row],[Std Ucty]])</f>
        <v>N/A</v>
      </c>
      <c r="Z2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 s="1" t="str">
        <f>IF(Table1[[#This Row],[Spec Type]]="","N/A",Table1[[#This Row],[Spec Type]])</f>
        <v>±</v>
      </c>
      <c r="AC212" s="1" t="str">
        <f>IF(Table1[[#This Row],[Spec Type2]]="N/A","N/A",IF(AND(Table1[[#This Row],[DUT Adj Read]]&gt;=Table1[[#This Row],[Low Tol]],Table1[[#This Row],[DUT Adj Read]]&lt;=Table1[[#This Row],[High Tol]]),"Pass","Fail"))</f>
        <v>Fail</v>
      </c>
      <c r="AD212" s="1" t="str">
        <f>IF(AND(Table1[[#This Row],[Spec Type2]]="N/A",Table1[[#This Row],[DUT Adj Read]]="N/A",Table1[[#This Row],[Std Adj Read]]="N/A"),"N/A",IF(Table1[[#This Row],[DUT Adj Read]]="N/A",IF(Table1[[#This Row],[Std Adj Read]]&gt;Table1[[#This Row],[Low Tol]],"Pass","Fail"),IF(Table1[[#This Row],[DUT Adj Read]]&gt;Table1[[#This Row],[Low Tol]],"Pass","Fail")))</f>
        <v>Pass</v>
      </c>
      <c r="AE212" s="1" t="str">
        <f>IF(AND(Table1[[#This Row],[Spec Type2]]="N/A",Table1[[#This Row],[DUT Adj Read]]="N/A",Table1[[#This Row],[Std Adj Read]]="N/A"),"N/A",IF(Table1[[#This Row],[DUT Adj Read]]="N/A",IF(Table1[[#This Row],[Std Adj Read]]&lt;Table1[[#This Row],[High Tol]],"Pass","Fail"),IF(Table1[[#This Row],[DUT Adj Read]]&lt;Table1[[#This Row],[High Tol]],"Pass","Fail")))</f>
        <v>Fail</v>
      </c>
      <c r="AF212" s="1" t="str">
        <f>IF(AND(Table1[[#This Row],[Spec Type2]]="N/A",Table1[[#This Row],[DUT Adj Read]]="N/A",Table1[[#This Row],[Std Adj Read]]="N/A"),"N/A",IF(Table1[[#This Row],[DUT Adj Read]]="N/A",IF(Table1[[#This Row],[Std Adj Read]]&gt;=Table1[[#This Row],[Low Tol]],"Pass","Fail"),IF(Table1[[#This Row],[DUT Adj Read]]&gt;=Table1[[#This Row],[Low Tol]],"Pass","Fail")))</f>
        <v>Pass</v>
      </c>
      <c r="AG212" s="1" t="str">
        <f>IF(AND(Table1[[#This Row],[Spec Type2]]="N/A",Table1[[#This Row],[DUT Adj Read]]="N/A",Table1[[#This Row],[Std Adj Read]]="N/A"),"N/A",IF(Table1[[#This Row],[DUT Adj Read]]="N/A",IF(Table1[[#This Row],[Std Adj Read]]&lt;=Table1[[#This Row],[High Tol]],"Pass","Fail"),IF(Table1[[#This Row],[DUT Adj Read]]&lt;=Table1[[#This Row],[High Tol]],"Pass","Fail")))</f>
        <v>Fail</v>
      </c>
      <c r="AH2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 s="1" t="b">
        <v>0</v>
      </c>
      <c r="AN212" s="1" t="b">
        <v>0</v>
      </c>
      <c r="AO212" s="1" t="b">
        <v>0</v>
      </c>
    </row>
    <row r="213" spans="1:41" x14ac:dyDescent="0.25">
      <c r="A213" s="10"/>
      <c r="B213" s="10"/>
      <c r="C213" s="10"/>
      <c r="D213" s="10"/>
      <c r="E213" s="10"/>
      <c r="F213" s="10"/>
      <c r="G213" s="10"/>
      <c r="H213" s="10"/>
      <c r="I213" s="1" t="str">
        <f t="shared" si="9"/>
        <v/>
      </c>
      <c r="J213" s="1" t="s">
        <v>35</v>
      </c>
      <c r="K213" s="1" t="str">
        <f t="shared" si="10"/>
        <v/>
      </c>
      <c r="L213" s="1" t="str">
        <f t="shared" si="11"/>
        <v/>
      </c>
      <c r="M213" s="1">
        <f>IF(OR(Table1[[#This Row],[Std Nom]]="",Table1[[#This Row],[Std Read]]=""),0,Table1[[#This Row],[Std Nom]]-Table1[[#This Row],[Std Read]])</f>
        <v>0</v>
      </c>
      <c r="N213" s="1">
        <f>IF(Calculations!$F$5="ACCREDITED 17025 WITH UNCERTAINTIES",$N$10,0)</f>
        <v>0</v>
      </c>
      <c r="O213" s="1" t="str">
        <f>IFERROR(Table1[[#This Row],[Std Nom]]-(_xlfn.XLOOKUP(Table1[[#This Row],[Manufacturer]]&amp;" "&amp;Table1[[#This Row],[Model]],Table13[MFR &amp; MDL],Table13[Tolerance % CW ],"")/100*Table1[[#This Row],[Std Nom]]),"")</f>
        <v/>
      </c>
      <c r="P213" s="1" t="str">
        <f>IFERROR(Table1[[#This Row],[Std Nom]]+(_xlfn.XLOOKUP(Table1[[#This Row],[Manufacturer]]&amp;" "&amp;Table1[[#This Row],[Model]],Table13[MFR &amp; MDL],Table13[Tolerance % CW ],"")/100*Table1[[#This Row],[Std Nom]]),"")</f>
        <v/>
      </c>
      <c r="Q213" s="1" t="e">
        <f>Table1[[#This Row],[High Tol]]-Table1[[#This Row],[Low Tol]]</f>
        <v>#VALUE!</v>
      </c>
      <c r="R213" s="1">
        <f>2*Table1[[#This Row],[Std Error]]</f>
        <v>0</v>
      </c>
      <c r="S213" s="1" t="str">
        <f>IF(Table1[[#This Row],[High Tol]]="","N/A",IFERROR(ABS(Table1[[#This Row],[Tol Span]]/Table1[[#This Row],[Error Span]]),"N/A"))</f>
        <v>N/A</v>
      </c>
      <c r="T213" s="1" t="str">
        <f>IF(OR(Table1[[#This Row],[Low Tol]]="",Table1[[#This Row],[High Tol]]=""),"Needs Analysis",IF(Table1[[#This Row],[Ratio]]&gt;=4,"Not Significant",IF(Table1[[#This Row],[Ratio]]&gt;=2,"Semi-Significant","Significant")))</f>
        <v>Needs Analysis</v>
      </c>
      <c r="W213" s="1">
        <f>IF(Table1[[#This Row],[Cal Type]]&lt;&gt;"ACCREDITED 17025 WITH UNCERTAINTIES",0,"")</f>
        <v>0</v>
      </c>
      <c r="X213" s="1" t="str">
        <f>IF(Table1[[#This Row],[DUT Read]]="","N/A",Table1[[#This Row],[Std Error]]+Table1[[#This Row],[DUT Read]]+Table1[[#This Row],[DUT Ucty]])</f>
        <v>N/A</v>
      </c>
      <c r="Y213" s="1" t="str">
        <f>IF(Table1[[#This Row],[Std Read]]="","N/A",Table1[[#This Row],[Std Read]]+Table1[[#This Row],[Std Ucty]])</f>
        <v>N/A</v>
      </c>
      <c r="Z2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 s="1" t="str">
        <f>IF(Table1[[#This Row],[Spec Type]]="","N/A",Table1[[#This Row],[Spec Type]])</f>
        <v>±</v>
      </c>
      <c r="AC213" s="1" t="str">
        <f>IF(Table1[[#This Row],[Spec Type2]]="N/A","N/A",IF(AND(Table1[[#This Row],[DUT Adj Read]]&gt;=Table1[[#This Row],[Low Tol]],Table1[[#This Row],[DUT Adj Read]]&lt;=Table1[[#This Row],[High Tol]]),"Pass","Fail"))</f>
        <v>Fail</v>
      </c>
      <c r="AD213" s="1" t="str">
        <f>IF(AND(Table1[[#This Row],[Spec Type2]]="N/A",Table1[[#This Row],[DUT Adj Read]]="N/A",Table1[[#This Row],[Std Adj Read]]="N/A"),"N/A",IF(Table1[[#This Row],[DUT Adj Read]]="N/A",IF(Table1[[#This Row],[Std Adj Read]]&gt;Table1[[#This Row],[Low Tol]],"Pass","Fail"),IF(Table1[[#This Row],[DUT Adj Read]]&gt;Table1[[#This Row],[Low Tol]],"Pass","Fail")))</f>
        <v>Pass</v>
      </c>
      <c r="AE213" s="1" t="str">
        <f>IF(AND(Table1[[#This Row],[Spec Type2]]="N/A",Table1[[#This Row],[DUT Adj Read]]="N/A",Table1[[#This Row],[Std Adj Read]]="N/A"),"N/A",IF(Table1[[#This Row],[DUT Adj Read]]="N/A",IF(Table1[[#This Row],[Std Adj Read]]&lt;Table1[[#This Row],[High Tol]],"Pass","Fail"),IF(Table1[[#This Row],[DUT Adj Read]]&lt;Table1[[#This Row],[High Tol]],"Pass","Fail")))</f>
        <v>Fail</v>
      </c>
      <c r="AF213" s="1" t="str">
        <f>IF(AND(Table1[[#This Row],[Spec Type2]]="N/A",Table1[[#This Row],[DUT Adj Read]]="N/A",Table1[[#This Row],[Std Adj Read]]="N/A"),"N/A",IF(Table1[[#This Row],[DUT Adj Read]]="N/A",IF(Table1[[#This Row],[Std Adj Read]]&gt;=Table1[[#This Row],[Low Tol]],"Pass","Fail"),IF(Table1[[#This Row],[DUT Adj Read]]&gt;=Table1[[#This Row],[Low Tol]],"Pass","Fail")))</f>
        <v>Pass</v>
      </c>
      <c r="AG213" s="1" t="str">
        <f>IF(AND(Table1[[#This Row],[Spec Type2]]="N/A",Table1[[#This Row],[DUT Adj Read]]="N/A",Table1[[#This Row],[Std Adj Read]]="N/A"),"N/A",IF(Table1[[#This Row],[DUT Adj Read]]="N/A",IF(Table1[[#This Row],[Std Adj Read]]&lt;=Table1[[#This Row],[High Tol]],"Pass","Fail"),IF(Table1[[#This Row],[DUT Adj Read]]&lt;=Table1[[#This Row],[High Tol]],"Pass","Fail")))</f>
        <v>Fail</v>
      </c>
      <c r="AH2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 s="1" t="b">
        <v>0</v>
      </c>
      <c r="AN213" s="1" t="b">
        <v>0</v>
      </c>
      <c r="AO213" s="1" t="b">
        <v>0</v>
      </c>
    </row>
    <row r="214" spans="1:41" x14ac:dyDescent="0.25">
      <c r="A214" s="10"/>
      <c r="B214" s="10"/>
      <c r="C214" s="10"/>
      <c r="D214" s="10"/>
      <c r="E214" s="10"/>
      <c r="F214" s="10"/>
      <c r="G214" s="10"/>
      <c r="H214" s="10"/>
      <c r="I214" s="1" t="str">
        <f t="shared" si="9"/>
        <v/>
      </c>
      <c r="J214" s="1" t="s">
        <v>35</v>
      </c>
      <c r="K214" s="1" t="str">
        <f t="shared" si="10"/>
        <v/>
      </c>
      <c r="L214" s="1" t="str">
        <f t="shared" si="11"/>
        <v/>
      </c>
      <c r="M214" s="1">
        <f>IF(OR(Table1[[#This Row],[Std Nom]]="",Table1[[#This Row],[Std Read]]=""),0,Table1[[#This Row],[Std Nom]]-Table1[[#This Row],[Std Read]])</f>
        <v>0</v>
      </c>
      <c r="N214" s="1">
        <f>IF(Calculations!$F$5="ACCREDITED 17025 WITH UNCERTAINTIES",$N$10,0)</f>
        <v>0</v>
      </c>
      <c r="O214" s="1" t="str">
        <f>IFERROR(Table1[[#This Row],[Std Nom]]-(_xlfn.XLOOKUP(Table1[[#This Row],[Manufacturer]]&amp;" "&amp;Table1[[#This Row],[Model]],Table13[MFR &amp; MDL],Table13[Tolerance % CW ],"")/100*Table1[[#This Row],[Std Nom]]),"")</f>
        <v/>
      </c>
      <c r="P214" s="1" t="str">
        <f>IFERROR(Table1[[#This Row],[Std Nom]]+(_xlfn.XLOOKUP(Table1[[#This Row],[Manufacturer]]&amp;" "&amp;Table1[[#This Row],[Model]],Table13[MFR &amp; MDL],Table13[Tolerance % CW ],"")/100*Table1[[#This Row],[Std Nom]]),"")</f>
        <v/>
      </c>
      <c r="Q214" s="1" t="e">
        <f>Table1[[#This Row],[High Tol]]-Table1[[#This Row],[Low Tol]]</f>
        <v>#VALUE!</v>
      </c>
      <c r="R214" s="1">
        <f>2*Table1[[#This Row],[Std Error]]</f>
        <v>0</v>
      </c>
      <c r="S214" s="1" t="str">
        <f>IF(Table1[[#This Row],[High Tol]]="","N/A",IFERROR(ABS(Table1[[#This Row],[Tol Span]]/Table1[[#This Row],[Error Span]]),"N/A"))</f>
        <v>N/A</v>
      </c>
      <c r="T214" s="1" t="str">
        <f>IF(OR(Table1[[#This Row],[Low Tol]]="",Table1[[#This Row],[High Tol]]=""),"Needs Analysis",IF(Table1[[#This Row],[Ratio]]&gt;=4,"Not Significant",IF(Table1[[#This Row],[Ratio]]&gt;=2,"Semi-Significant","Significant")))</f>
        <v>Needs Analysis</v>
      </c>
      <c r="W214" s="1">
        <f>IF(Table1[[#This Row],[Cal Type]]&lt;&gt;"ACCREDITED 17025 WITH UNCERTAINTIES",0,"")</f>
        <v>0</v>
      </c>
      <c r="X214" s="1" t="str">
        <f>IF(Table1[[#This Row],[DUT Read]]="","N/A",Table1[[#This Row],[Std Error]]+Table1[[#This Row],[DUT Read]]+Table1[[#This Row],[DUT Ucty]])</f>
        <v>N/A</v>
      </c>
      <c r="Y214" s="1" t="str">
        <f>IF(Table1[[#This Row],[Std Read]]="","N/A",Table1[[#This Row],[Std Read]]+Table1[[#This Row],[Std Ucty]])</f>
        <v>N/A</v>
      </c>
      <c r="Z2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 s="1" t="str">
        <f>IF(Table1[[#This Row],[Spec Type]]="","N/A",Table1[[#This Row],[Spec Type]])</f>
        <v>±</v>
      </c>
      <c r="AC214" s="1" t="str">
        <f>IF(Table1[[#This Row],[Spec Type2]]="N/A","N/A",IF(AND(Table1[[#This Row],[DUT Adj Read]]&gt;=Table1[[#This Row],[Low Tol]],Table1[[#This Row],[DUT Adj Read]]&lt;=Table1[[#This Row],[High Tol]]),"Pass","Fail"))</f>
        <v>Fail</v>
      </c>
      <c r="AD214" s="1" t="str">
        <f>IF(AND(Table1[[#This Row],[Spec Type2]]="N/A",Table1[[#This Row],[DUT Adj Read]]="N/A",Table1[[#This Row],[Std Adj Read]]="N/A"),"N/A",IF(Table1[[#This Row],[DUT Adj Read]]="N/A",IF(Table1[[#This Row],[Std Adj Read]]&gt;Table1[[#This Row],[Low Tol]],"Pass","Fail"),IF(Table1[[#This Row],[DUT Adj Read]]&gt;Table1[[#This Row],[Low Tol]],"Pass","Fail")))</f>
        <v>Pass</v>
      </c>
      <c r="AE214" s="1" t="str">
        <f>IF(AND(Table1[[#This Row],[Spec Type2]]="N/A",Table1[[#This Row],[DUT Adj Read]]="N/A",Table1[[#This Row],[Std Adj Read]]="N/A"),"N/A",IF(Table1[[#This Row],[DUT Adj Read]]="N/A",IF(Table1[[#This Row],[Std Adj Read]]&lt;Table1[[#This Row],[High Tol]],"Pass","Fail"),IF(Table1[[#This Row],[DUT Adj Read]]&lt;Table1[[#This Row],[High Tol]],"Pass","Fail")))</f>
        <v>Fail</v>
      </c>
      <c r="AF214" s="1" t="str">
        <f>IF(AND(Table1[[#This Row],[Spec Type2]]="N/A",Table1[[#This Row],[DUT Adj Read]]="N/A",Table1[[#This Row],[Std Adj Read]]="N/A"),"N/A",IF(Table1[[#This Row],[DUT Adj Read]]="N/A",IF(Table1[[#This Row],[Std Adj Read]]&gt;=Table1[[#This Row],[Low Tol]],"Pass","Fail"),IF(Table1[[#This Row],[DUT Adj Read]]&gt;=Table1[[#This Row],[Low Tol]],"Pass","Fail")))</f>
        <v>Pass</v>
      </c>
      <c r="AG214" s="1" t="str">
        <f>IF(AND(Table1[[#This Row],[Spec Type2]]="N/A",Table1[[#This Row],[DUT Adj Read]]="N/A",Table1[[#This Row],[Std Adj Read]]="N/A"),"N/A",IF(Table1[[#This Row],[DUT Adj Read]]="N/A",IF(Table1[[#This Row],[Std Adj Read]]&lt;=Table1[[#This Row],[High Tol]],"Pass","Fail"),IF(Table1[[#This Row],[DUT Adj Read]]&lt;=Table1[[#This Row],[High Tol]],"Pass","Fail")))</f>
        <v>Fail</v>
      </c>
      <c r="AH2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 s="1" t="b">
        <v>0</v>
      </c>
      <c r="AN214" s="1" t="b">
        <v>0</v>
      </c>
      <c r="AO214" s="1" t="b">
        <v>0</v>
      </c>
    </row>
    <row r="215" spans="1:41" x14ac:dyDescent="0.25">
      <c r="A215" s="10"/>
      <c r="B215" s="10"/>
      <c r="C215" s="10"/>
      <c r="D215" s="10"/>
      <c r="E215" s="10"/>
      <c r="F215" s="10"/>
      <c r="G215" s="10"/>
      <c r="H215" s="10"/>
      <c r="I215" s="1" t="str">
        <f t="shared" si="9"/>
        <v/>
      </c>
      <c r="J215" s="1" t="s">
        <v>35</v>
      </c>
      <c r="K215" s="1" t="str">
        <f t="shared" si="10"/>
        <v/>
      </c>
      <c r="L215" s="1" t="str">
        <f t="shared" si="11"/>
        <v/>
      </c>
      <c r="M215" s="1">
        <f>IF(OR(Table1[[#This Row],[Std Nom]]="",Table1[[#This Row],[Std Read]]=""),0,Table1[[#This Row],[Std Nom]]-Table1[[#This Row],[Std Read]])</f>
        <v>0</v>
      </c>
      <c r="N215" s="1">
        <f>IF(Calculations!$F$5="ACCREDITED 17025 WITH UNCERTAINTIES",$N$10,0)</f>
        <v>0</v>
      </c>
      <c r="O215" s="1" t="str">
        <f>IFERROR(Table1[[#This Row],[Std Nom]]-(_xlfn.XLOOKUP(Table1[[#This Row],[Manufacturer]]&amp;" "&amp;Table1[[#This Row],[Model]],Table13[MFR &amp; MDL],Table13[Tolerance % CW ],"")/100*Table1[[#This Row],[Std Nom]]),"")</f>
        <v/>
      </c>
      <c r="P215" s="1" t="str">
        <f>IFERROR(Table1[[#This Row],[Std Nom]]+(_xlfn.XLOOKUP(Table1[[#This Row],[Manufacturer]]&amp;" "&amp;Table1[[#This Row],[Model]],Table13[MFR &amp; MDL],Table13[Tolerance % CW ],"")/100*Table1[[#This Row],[Std Nom]]),"")</f>
        <v/>
      </c>
      <c r="Q215" s="1" t="e">
        <f>Table1[[#This Row],[High Tol]]-Table1[[#This Row],[Low Tol]]</f>
        <v>#VALUE!</v>
      </c>
      <c r="R215" s="1">
        <f>2*Table1[[#This Row],[Std Error]]</f>
        <v>0</v>
      </c>
      <c r="S215" s="1" t="str">
        <f>IF(Table1[[#This Row],[High Tol]]="","N/A",IFERROR(ABS(Table1[[#This Row],[Tol Span]]/Table1[[#This Row],[Error Span]]),"N/A"))</f>
        <v>N/A</v>
      </c>
      <c r="T215" s="1" t="str">
        <f>IF(OR(Table1[[#This Row],[Low Tol]]="",Table1[[#This Row],[High Tol]]=""),"Needs Analysis",IF(Table1[[#This Row],[Ratio]]&gt;=4,"Not Significant",IF(Table1[[#This Row],[Ratio]]&gt;=2,"Semi-Significant","Significant")))</f>
        <v>Needs Analysis</v>
      </c>
      <c r="W215" s="1">
        <f>IF(Table1[[#This Row],[Cal Type]]&lt;&gt;"ACCREDITED 17025 WITH UNCERTAINTIES",0,"")</f>
        <v>0</v>
      </c>
      <c r="X215" s="1" t="str">
        <f>IF(Table1[[#This Row],[DUT Read]]="","N/A",Table1[[#This Row],[Std Error]]+Table1[[#This Row],[DUT Read]]+Table1[[#This Row],[DUT Ucty]])</f>
        <v>N/A</v>
      </c>
      <c r="Y215" s="1" t="str">
        <f>IF(Table1[[#This Row],[Std Read]]="","N/A",Table1[[#This Row],[Std Read]]+Table1[[#This Row],[Std Ucty]])</f>
        <v>N/A</v>
      </c>
      <c r="Z2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 s="1" t="str">
        <f>IF(Table1[[#This Row],[Spec Type]]="","N/A",Table1[[#This Row],[Spec Type]])</f>
        <v>±</v>
      </c>
      <c r="AC215" s="1" t="str">
        <f>IF(Table1[[#This Row],[Spec Type2]]="N/A","N/A",IF(AND(Table1[[#This Row],[DUT Adj Read]]&gt;=Table1[[#This Row],[Low Tol]],Table1[[#This Row],[DUT Adj Read]]&lt;=Table1[[#This Row],[High Tol]]),"Pass","Fail"))</f>
        <v>Fail</v>
      </c>
      <c r="AD215" s="1" t="str">
        <f>IF(AND(Table1[[#This Row],[Spec Type2]]="N/A",Table1[[#This Row],[DUT Adj Read]]="N/A",Table1[[#This Row],[Std Adj Read]]="N/A"),"N/A",IF(Table1[[#This Row],[DUT Adj Read]]="N/A",IF(Table1[[#This Row],[Std Adj Read]]&gt;Table1[[#This Row],[Low Tol]],"Pass","Fail"),IF(Table1[[#This Row],[DUT Adj Read]]&gt;Table1[[#This Row],[Low Tol]],"Pass","Fail")))</f>
        <v>Pass</v>
      </c>
      <c r="AE215" s="1" t="str">
        <f>IF(AND(Table1[[#This Row],[Spec Type2]]="N/A",Table1[[#This Row],[DUT Adj Read]]="N/A",Table1[[#This Row],[Std Adj Read]]="N/A"),"N/A",IF(Table1[[#This Row],[DUT Adj Read]]="N/A",IF(Table1[[#This Row],[Std Adj Read]]&lt;Table1[[#This Row],[High Tol]],"Pass","Fail"),IF(Table1[[#This Row],[DUT Adj Read]]&lt;Table1[[#This Row],[High Tol]],"Pass","Fail")))</f>
        <v>Fail</v>
      </c>
      <c r="AF215" s="1" t="str">
        <f>IF(AND(Table1[[#This Row],[Spec Type2]]="N/A",Table1[[#This Row],[DUT Adj Read]]="N/A",Table1[[#This Row],[Std Adj Read]]="N/A"),"N/A",IF(Table1[[#This Row],[DUT Adj Read]]="N/A",IF(Table1[[#This Row],[Std Adj Read]]&gt;=Table1[[#This Row],[Low Tol]],"Pass","Fail"),IF(Table1[[#This Row],[DUT Adj Read]]&gt;=Table1[[#This Row],[Low Tol]],"Pass","Fail")))</f>
        <v>Pass</v>
      </c>
      <c r="AG215" s="1" t="str">
        <f>IF(AND(Table1[[#This Row],[Spec Type2]]="N/A",Table1[[#This Row],[DUT Adj Read]]="N/A",Table1[[#This Row],[Std Adj Read]]="N/A"),"N/A",IF(Table1[[#This Row],[DUT Adj Read]]="N/A",IF(Table1[[#This Row],[Std Adj Read]]&lt;=Table1[[#This Row],[High Tol]],"Pass","Fail"),IF(Table1[[#This Row],[DUT Adj Read]]&lt;=Table1[[#This Row],[High Tol]],"Pass","Fail")))</f>
        <v>Fail</v>
      </c>
      <c r="AH2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 s="1" t="b">
        <v>0</v>
      </c>
      <c r="AN215" s="1" t="b">
        <v>0</v>
      </c>
      <c r="AO215" s="1" t="b">
        <v>0</v>
      </c>
    </row>
    <row r="216" spans="1:41" x14ac:dyDescent="0.25">
      <c r="A216" s="10"/>
      <c r="B216" s="10"/>
      <c r="C216" s="10"/>
      <c r="D216" s="10"/>
      <c r="E216" s="10"/>
      <c r="F216" s="10"/>
      <c r="G216" s="10"/>
      <c r="H216" s="10"/>
      <c r="I216" s="1" t="str">
        <f t="shared" si="9"/>
        <v/>
      </c>
      <c r="J216" s="1" t="s">
        <v>35</v>
      </c>
      <c r="K216" s="1" t="str">
        <f t="shared" si="10"/>
        <v/>
      </c>
      <c r="L216" s="1" t="str">
        <f t="shared" si="11"/>
        <v/>
      </c>
      <c r="M216" s="1">
        <f>IF(OR(Table1[[#This Row],[Std Nom]]="",Table1[[#This Row],[Std Read]]=""),0,Table1[[#This Row],[Std Nom]]-Table1[[#This Row],[Std Read]])</f>
        <v>0</v>
      </c>
      <c r="N216" s="1">
        <f>IF(Calculations!$F$5="ACCREDITED 17025 WITH UNCERTAINTIES",$N$10,0)</f>
        <v>0</v>
      </c>
      <c r="O216" s="1" t="str">
        <f>IFERROR(Table1[[#This Row],[Std Nom]]-(_xlfn.XLOOKUP(Table1[[#This Row],[Manufacturer]]&amp;" "&amp;Table1[[#This Row],[Model]],Table13[MFR &amp; MDL],Table13[Tolerance % CW ],"")/100*Table1[[#This Row],[Std Nom]]),"")</f>
        <v/>
      </c>
      <c r="P216" s="1" t="str">
        <f>IFERROR(Table1[[#This Row],[Std Nom]]+(_xlfn.XLOOKUP(Table1[[#This Row],[Manufacturer]]&amp;" "&amp;Table1[[#This Row],[Model]],Table13[MFR &amp; MDL],Table13[Tolerance % CW ],"")/100*Table1[[#This Row],[Std Nom]]),"")</f>
        <v/>
      </c>
      <c r="Q216" s="1" t="e">
        <f>Table1[[#This Row],[High Tol]]-Table1[[#This Row],[Low Tol]]</f>
        <v>#VALUE!</v>
      </c>
      <c r="R216" s="1">
        <f>2*Table1[[#This Row],[Std Error]]</f>
        <v>0</v>
      </c>
      <c r="S216" s="1" t="str">
        <f>IF(Table1[[#This Row],[High Tol]]="","N/A",IFERROR(ABS(Table1[[#This Row],[Tol Span]]/Table1[[#This Row],[Error Span]]),"N/A"))</f>
        <v>N/A</v>
      </c>
      <c r="T216" s="1" t="str">
        <f>IF(OR(Table1[[#This Row],[Low Tol]]="",Table1[[#This Row],[High Tol]]=""),"Needs Analysis",IF(Table1[[#This Row],[Ratio]]&gt;=4,"Not Significant",IF(Table1[[#This Row],[Ratio]]&gt;=2,"Semi-Significant","Significant")))</f>
        <v>Needs Analysis</v>
      </c>
      <c r="W216" s="1">
        <f>IF(Table1[[#This Row],[Cal Type]]&lt;&gt;"ACCREDITED 17025 WITH UNCERTAINTIES",0,"")</f>
        <v>0</v>
      </c>
      <c r="X216" s="1" t="str">
        <f>IF(Table1[[#This Row],[DUT Read]]="","N/A",Table1[[#This Row],[Std Error]]+Table1[[#This Row],[DUT Read]]+Table1[[#This Row],[DUT Ucty]])</f>
        <v>N/A</v>
      </c>
      <c r="Y216" s="1" t="str">
        <f>IF(Table1[[#This Row],[Std Read]]="","N/A",Table1[[#This Row],[Std Read]]+Table1[[#This Row],[Std Ucty]])</f>
        <v>N/A</v>
      </c>
      <c r="Z2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 s="1" t="str">
        <f>IF(Table1[[#This Row],[Spec Type]]="","N/A",Table1[[#This Row],[Spec Type]])</f>
        <v>±</v>
      </c>
      <c r="AC216" s="1" t="str">
        <f>IF(Table1[[#This Row],[Spec Type2]]="N/A","N/A",IF(AND(Table1[[#This Row],[DUT Adj Read]]&gt;=Table1[[#This Row],[Low Tol]],Table1[[#This Row],[DUT Adj Read]]&lt;=Table1[[#This Row],[High Tol]]),"Pass","Fail"))</f>
        <v>Fail</v>
      </c>
      <c r="AD216" s="1" t="str">
        <f>IF(AND(Table1[[#This Row],[Spec Type2]]="N/A",Table1[[#This Row],[DUT Adj Read]]="N/A",Table1[[#This Row],[Std Adj Read]]="N/A"),"N/A",IF(Table1[[#This Row],[DUT Adj Read]]="N/A",IF(Table1[[#This Row],[Std Adj Read]]&gt;Table1[[#This Row],[Low Tol]],"Pass","Fail"),IF(Table1[[#This Row],[DUT Adj Read]]&gt;Table1[[#This Row],[Low Tol]],"Pass","Fail")))</f>
        <v>Pass</v>
      </c>
      <c r="AE216" s="1" t="str">
        <f>IF(AND(Table1[[#This Row],[Spec Type2]]="N/A",Table1[[#This Row],[DUT Adj Read]]="N/A",Table1[[#This Row],[Std Adj Read]]="N/A"),"N/A",IF(Table1[[#This Row],[DUT Adj Read]]="N/A",IF(Table1[[#This Row],[Std Adj Read]]&lt;Table1[[#This Row],[High Tol]],"Pass","Fail"),IF(Table1[[#This Row],[DUT Adj Read]]&lt;Table1[[#This Row],[High Tol]],"Pass","Fail")))</f>
        <v>Fail</v>
      </c>
      <c r="AF216" s="1" t="str">
        <f>IF(AND(Table1[[#This Row],[Spec Type2]]="N/A",Table1[[#This Row],[DUT Adj Read]]="N/A",Table1[[#This Row],[Std Adj Read]]="N/A"),"N/A",IF(Table1[[#This Row],[DUT Adj Read]]="N/A",IF(Table1[[#This Row],[Std Adj Read]]&gt;=Table1[[#This Row],[Low Tol]],"Pass","Fail"),IF(Table1[[#This Row],[DUT Adj Read]]&gt;=Table1[[#This Row],[Low Tol]],"Pass","Fail")))</f>
        <v>Pass</v>
      </c>
      <c r="AG216" s="1" t="str">
        <f>IF(AND(Table1[[#This Row],[Spec Type2]]="N/A",Table1[[#This Row],[DUT Adj Read]]="N/A",Table1[[#This Row],[Std Adj Read]]="N/A"),"N/A",IF(Table1[[#This Row],[DUT Adj Read]]="N/A",IF(Table1[[#This Row],[Std Adj Read]]&lt;=Table1[[#This Row],[High Tol]],"Pass","Fail"),IF(Table1[[#This Row],[DUT Adj Read]]&lt;=Table1[[#This Row],[High Tol]],"Pass","Fail")))</f>
        <v>Fail</v>
      </c>
      <c r="AH2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 s="1" t="b">
        <v>0</v>
      </c>
      <c r="AN216" s="1" t="b">
        <v>0</v>
      </c>
      <c r="AO216" s="1" t="b">
        <v>0</v>
      </c>
    </row>
    <row r="217" spans="1:41" x14ac:dyDescent="0.25">
      <c r="A217" s="10"/>
      <c r="B217" s="10"/>
      <c r="C217" s="10"/>
      <c r="D217" s="10"/>
      <c r="E217" s="10"/>
      <c r="F217" s="10"/>
      <c r="G217" s="10"/>
      <c r="H217" s="10"/>
      <c r="I217" s="1" t="str">
        <f t="shared" si="9"/>
        <v/>
      </c>
      <c r="J217" s="1" t="s">
        <v>35</v>
      </c>
      <c r="K217" s="1" t="str">
        <f t="shared" si="10"/>
        <v/>
      </c>
      <c r="L217" s="1" t="str">
        <f t="shared" si="11"/>
        <v/>
      </c>
      <c r="M217" s="1">
        <f>IF(OR(Table1[[#This Row],[Std Nom]]="",Table1[[#This Row],[Std Read]]=""),0,Table1[[#This Row],[Std Nom]]-Table1[[#This Row],[Std Read]])</f>
        <v>0</v>
      </c>
      <c r="N217" s="1">
        <f>IF(Calculations!$F$5="ACCREDITED 17025 WITH UNCERTAINTIES",$N$10,0)</f>
        <v>0</v>
      </c>
      <c r="O217" s="1" t="str">
        <f>IFERROR(Table1[[#This Row],[Std Nom]]-(_xlfn.XLOOKUP(Table1[[#This Row],[Manufacturer]]&amp;" "&amp;Table1[[#This Row],[Model]],Table13[MFR &amp; MDL],Table13[Tolerance % CW ],"")/100*Table1[[#This Row],[Std Nom]]),"")</f>
        <v/>
      </c>
      <c r="P217" s="1" t="str">
        <f>IFERROR(Table1[[#This Row],[Std Nom]]+(_xlfn.XLOOKUP(Table1[[#This Row],[Manufacturer]]&amp;" "&amp;Table1[[#This Row],[Model]],Table13[MFR &amp; MDL],Table13[Tolerance % CW ],"")/100*Table1[[#This Row],[Std Nom]]),"")</f>
        <v/>
      </c>
      <c r="Q217" s="1" t="e">
        <f>Table1[[#This Row],[High Tol]]-Table1[[#This Row],[Low Tol]]</f>
        <v>#VALUE!</v>
      </c>
      <c r="R217" s="1">
        <f>2*Table1[[#This Row],[Std Error]]</f>
        <v>0</v>
      </c>
      <c r="S217" s="1" t="str">
        <f>IF(Table1[[#This Row],[High Tol]]="","N/A",IFERROR(ABS(Table1[[#This Row],[Tol Span]]/Table1[[#This Row],[Error Span]]),"N/A"))</f>
        <v>N/A</v>
      </c>
      <c r="T217" s="1" t="str">
        <f>IF(OR(Table1[[#This Row],[Low Tol]]="",Table1[[#This Row],[High Tol]]=""),"Needs Analysis",IF(Table1[[#This Row],[Ratio]]&gt;=4,"Not Significant",IF(Table1[[#This Row],[Ratio]]&gt;=2,"Semi-Significant","Significant")))</f>
        <v>Needs Analysis</v>
      </c>
      <c r="W217" s="1">
        <f>IF(Table1[[#This Row],[Cal Type]]&lt;&gt;"ACCREDITED 17025 WITH UNCERTAINTIES",0,"")</f>
        <v>0</v>
      </c>
      <c r="X217" s="1" t="str">
        <f>IF(Table1[[#This Row],[DUT Read]]="","N/A",Table1[[#This Row],[Std Error]]+Table1[[#This Row],[DUT Read]]+Table1[[#This Row],[DUT Ucty]])</f>
        <v>N/A</v>
      </c>
      <c r="Y217" s="1" t="str">
        <f>IF(Table1[[#This Row],[Std Read]]="","N/A",Table1[[#This Row],[Std Read]]+Table1[[#This Row],[Std Ucty]])</f>
        <v>N/A</v>
      </c>
      <c r="Z2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 s="1" t="str">
        <f>IF(Table1[[#This Row],[Spec Type]]="","N/A",Table1[[#This Row],[Spec Type]])</f>
        <v>±</v>
      </c>
      <c r="AC217" s="1" t="str">
        <f>IF(Table1[[#This Row],[Spec Type2]]="N/A","N/A",IF(AND(Table1[[#This Row],[DUT Adj Read]]&gt;=Table1[[#This Row],[Low Tol]],Table1[[#This Row],[DUT Adj Read]]&lt;=Table1[[#This Row],[High Tol]]),"Pass","Fail"))</f>
        <v>Fail</v>
      </c>
      <c r="AD217" s="1" t="str">
        <f>IF(AND(Table1[[#This Row],[Spec Type2]]="N/A",Table1[[#This Row],[DUT Adj Read]]="N/A",Table1[[#This Row],[Std Adj Read]]="N/A"),"N/A",IF(Table1[[#This Row],[DUT Adj Read]]="N/A",IF(Table1[[#This Row],[Std Adj Read]]&gt;Table1[[#This Row],[Low Tol]],"Pass","Fail"),IF(Table1[[#This Row],[DUT Adj Read]]&gt;Table1[[#This Row],[Low Tol]],"Pass","Fail")))</f>
        <v>Pass</v>
      </c>
      <c r="AE217" s="1" t="str">
        <f>IF(AND(Table1[[#This Row],[Spec Type2]]="N/A",Table1[[#This Row],[DUT Adj Read]]="N/A",Table1[[#This Row],[Std Adj Read]]="N/A"),"N/A",IF(Table1[[#This Row],[DUT Adj Read]]="N/A",IF(Table1[[#This Row],[Std Adj Read]]&lt;Table1[[#This Row],[High Tol]],"Pass","Fail"),IF(Table1[[#This Row],[DUT Adj Read]]&lt;Table1[[#This Row],[High Tol]],"Pass","Fail")))</f>
        <v>Fail</v>
      </c>
      <c r="AF217" s="1" t="str">
        <f>IF(AND(Table1[[#This Row],[Spec Type2]]="N/A",Table1[[#This Row],[DUT Adj Read]]="N/A",Table1[[#This Row],[Std Adj Read]]="N/A"),"N/A",IF(Table1[[#This Row],[DUT Adj Read]]="N/A",IF(Table1[[#This Row],[Std Adj Read]]&gt;=Table1[[#This Row],[Low Tol]],"Pass","Fail"),IF(Table1[[#This Row],[DUT Adj Read]]&gt;=Table1[[#This Row],[Low Tol]],"Pass","Fail")))</f>
        <v>Pass</v>
      </c>
      <c r="AG217" s="1" t="str">
        <f>IF(AND(Table1[[#This Row],[Spec Type2]]="N/A",Table1[[#This Row],[DUT Adj Read]]="N/A",Table1[[#This Row],[Std Adj Read]]="N/A"),"N/A",IF(Table1[[#This Row],[DUT Adj Read]]="N/A",IF(Table1[[#This Row],[Std Adj Read]]&lt;=Table1[[#This Row],[High Tol]],"Pass","Fail"),IF(Table1[[#This Row],[DUT Adj Read]]&lt;=Table1[[#This Row],[High Tol]],"Pass","Fail")))</f>
        <v>Fail</v>
      </c>
      <c r="AH2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 s="1" t="b">
        <v>0</v>
      </c>
      <c r="AN217" s="1" t="b">
        <v>0</v>
      </c>
      <c r="AO217" s="1" t="b">
        <v>0</v>
      </c>
    </row>
    <row r="218" spans="1:41" x14ac:dyDescent="0.25">
      <c r="A218" s="10"/>
      <c r="B218" s="10"/>
      <c r="C218" s="10"/>
      <c r="D218" s="10"/>
      <c r="E218" s="10"/>
      <c r="F218" s="10"/>
      <c r="G218" s="10"/>
      <c r="H218" s="10"/>
      <c r="I218" s="1" t="str">
        <f t="shared" si="9"/>
        <v/>
      </c>
      <c r="J218" s="1" t="s">
        <v>35</v>
      </c>
      <c r="K218" s="1" t="str">
        <f t="shared" si="10"/>
        <v/>
      </c>
      <c r="L218" s="1" t="str">
        <f t="shared" si="11"/>
        <v/>
      </c>
      <c r="M218" s="1">
        <f>IF(OR(Table1[[#This Row],[Std Nom]]="",Table1[[#This Row],[Std Read]]=""),0,Table1[[#This Row],[Std Nom]]-Table1[[#This Row],[Std Read]])</f>
        <v>0</v>
      </c>
      <c r="N218" s="1">
        <f>IF(Calculations!$F$5="ACCREDITED 17025 WITH UNCERTAINTIES",$N$10,0)</f>
        <v>0</v>
      </c>
      <c r="O218" s="1" t="str">
        <f>IFERROR(Table1[[#This Row],[Std Nom]]-(_xlfn.XLOOKUP(Table1[[#This Row],[Manufacturer]]&amp;" "&amp;Table1[[#This Row],[Model]],Table13[MFR &amp; MDL],Table13[Tolerance % CW ],"")/100*Table1[[#This Row],[Std Nom]]),"")</f>
        <v/>
      </c>
      <c r="P218" s="1" t="str">
        <f>IFERROR(Table1[[#This Row],[Std Nom]]+(_xlfn.XLOOKUP(Table1[[#This Row],[Manufacturer]]&amp;" "&amp;Table1[[#This Row],[Model]],Table13[MFR &amp; MDL],Table13[Tolerance % CW ],"")/100*Table1[[#This Row],[Std Nom]]),"")</f>
        <v/>
      </c>
      <c r="Q218" s="1" t="e">
        <f>Table1[[#This Row],[High Tol]]-Table1[[#This Row],[Low Tol]]</f>
        <v>#VALUE!</v>
      </c>
      <c r="R218" s="1">
        <f>2*Table1[[#This Row],[Std Error]]</f>
        <v>0</v>
      </c>
      <c r="S218" s="1" t="str">
        <f>IF(Table1[[#This Row],[High Tol]]="","N/A",IFERROR(ABS(Table1[[#This Row],[Tol Span]]/Table1[[#This Row],[Error Span]]),"N/A"))</f>
        <v>N/A</v>
      </c>
      <c r="T218" s="1" t="str">
        <f>IF(OR(Table1[[#This Row],[Low Tol]]="",Table1[[#This Row],[High Tol]]=""),"Needs Analysis",IF(Table1[[#This Row],[Ratio]]&gt;=4,"Not Significant",IF(Table1[[#This Row],[Ratio]]&gt;=2,"Semi-Significant","Significant")))</f>
        <v>Needs Analysis</v>
      </c>
      <c r="W218" s="1">
        <f>IF(Table1[[#This Row],[Cal Type]]&lt;&gt;"ACCREDITED 17025 WITH UNCERTAINTIES",0,"")</f>
        <v>0</v>
      </c>
      <c r="X218" s="1" t="str">
        <f>IF(Table1[[#This Row],[DUT Read]]="","N/A",Table1[[#This Row],[Std Error]]+Table1[[#This Row],[DUT Read]]+Table1[[#This Row],[DUT Ucty]])</f>
        <v>N/A</v>
      </c>
      <c r="Y218" s="1" t="str">
        <f>IF(Table1[[#This Row],[Std Read]]="","N/A",Table1[[#This Row],[Std Read]]+Table1[[#This Row],[Std Ucty]])</f>
        <v>N/A</v>
      </c>
      <c r="Z2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 s="1" t="str">
        <f>IF(Table1[[#This Row],[Spec Type]]="","N/A",Table1[[#This Row],[Spec Type]])</f>
        <v>±</v>
      </c>
      <c r="AC218" s="1" t="str">
        <f>IF(Table1[[#This Row],[Spec Type2]]="N/A","N/A",IF(AND(Table1[[#This Row],[DUT Adj Read]]&gt;=Table1[[#This Row],[Low Tol]],Table1[[#This Row],[DUT Adj Read]]&lt;=Table1[[#This Row],[High Tol]]),"Pass","Fail"))</f>
        <v>Fail</v>
      </c>
      <c r="AD218" s="1" t="str">
        <f>IF(AND(Table1[[#This Row],[Spec Type2]]="N/A",Table1[[#This Row],[DUT Adj Read]]="N/A",Table1[[#This Row],[Std Adj Read]]="N/A"),"N/A",IF(Table1[[#This Row],[DUT Adj Read]]="N/A",IF(Table1[[#This Row],[Std Adj Read]]&gt;Table1[[#This Row],[Low Tol]],"Pass","Fail"),IF(Table1[[#This Row],[DUT Adj Read]]&gt;Table1[[#This Row],[Low Tol]],"Pass","Fail")))</f>
        <v>Pass</v>
      </c>
      <c r="AE218" s="1" t="str">
        <f>IF(AND(Table1[[#This Row],[Spec Type2]]="N/A",Table1[[#This Row],[DUT Adj Read]]="N/A",Table1[[#This Row],[Std Adj Read]]="N/A"),"N/A",IF(Table1[[#This Row],[DUT Adj Read]]="N/A",IF(Table1[[#This Row],[Std Adj Read]]&lt;Table1[[#This Row],[High Tol]],"Pass","Fail"),IF(Table1[[#This Row],[DUT Adj Read]]&lt;Table1[[#This Row],[High Tol]],"Pass","Fail")))</f>
        <v>Fail</v>
      </c>
      <c r="AF218" s="1" t="str">
        <f>IF(AND(Table1[[#This Row],[Spec Type2]]="N/A",Table1[[#This Row],[DUT Adj Read]]="N/A",Table1[[#This Row],[Std Adj Read]]="N/A"),"N/A",IF(Table1[[#This Row],[DUT Adj Read]]="N/A",IF(Table1[[#This Row],[Std Adj Read]]&gt;=Table1[[#This Row],[Low Tol]],"Pass","Fail"),IF(Table1[[#This Row],[DUT Adj Read]]&gt;=Table1[[#This Row],[Low Tol]],"Pass","Fail")))</f>
        <v>Pass</v>
      </c>
      <c r="AG218" s="1" t="str">
        <f>IF(AND(Table1[[#This Row],[Spec Type2]]="N/A",Table1[[#This Row],[DUT Adj Read]]="N/A",Table1[[#This Row],[Std Adj Read]]="N/A"),"N/A",IF(Table1[[#This Row],[DUT Adj Read]]="N/A",IF(Table1[[#This Row],[Std Adj Read]]&lt;=Table1[[#This Row],[High Tol]],"Pass","Fail"),IF(Table1[[#This Row],[DUT Adj Read]]&lt;=Table1[[#This Row],[High Tol]],"Pass","Fail")))</f>
        <v>Fail</v>
      </c>
      <c r="AH2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 s="1" t="b">
        <v>0</v>
      </c>
      <c r="AN218" s="1" t="b">
        <v>0</v>
      </c>
      <c r="AO218" s="1" t="b">
        <v>0</v>
      </c>
    </row>
    <row r="219" spans="1:41" x14ac:dyDescent="0.25">
      <c r="A219" s="10"/>
      <c r="B219" s="10"/>
      <c r="C219" s="10"/>
      <c r="D219" s="10"/>
      <c r="E219" s="10"/>
      <c r="F219" s="10"/>
      <c r="G219" s="10"/>
      <c r="H219" s="10"/>
      <c r="I219" s="1" t="str">
        <f t="shared" si="9"/>
        <v/>
      </c>
      <c r="J219" s="1" t="s">
        <v>35</v>
      </c>
      <c r="K219" s="1" t="str">
        <f t="shared" si="10"/>
        <v/>
      </c>
      <c r="L219" s="1" t="str">
        <f t="shared" si="11"/>
        <v/>
      </c>
      <c r="M219" s="1">
        <f>IF(OR(Table1[[#This Row],[Std Nom]]="",Table1[[#This Row],[Std Read]]=""),0,Table1[[#This Row],[Std Nom]]-Table1[[#This Row],[Std Read]])</f>
        <v>0</v>
      </c>
      <c r="N219" s="1">
        <f>IF(Calculations!$F$5="ACCREDITED 17025 WITH UNCERTAINTIES",$N$10,0)</f>
        <v>0</v>
      </c>
      <c r="O219" s="1" t="str">
        <f>IFERROR(Table1[[#This Row],[Std Nom]]-(_xlfn.XLOOKUP(Table1[[#This Row],[Manufacturer]]&amp;" "&amp;Table1[[#This Row],[Model]],Table13[MFR &amp; MDL],Table13[Tolerance % CW ],"")/100*Table1[[#This Row],[Std Nom]]),"")</f>
        <v/>
      </c>
      <c r="P219" s="1" t="str">
        <f>IFERROR(Table1[[#This Row],[Std Nom]]+(_xlfn.XLOOKUP(Table1[[#This Row],[Manufacturer]]&amp;" "&amp;Table1[[#This Row],[Model]],Table13[MFR &amp; MDL],Table13[Tolerance % CW ],"")/100*Table1[[#This Row],[Std Nom]]),"")</f>
        <v/>
      </c>
      <c r="Q219" s="1" t="e">
        <f>Table1[[#This Row],[High Tol]]-Table1[[#This Row],[Low Tol]]</f>
        <v>#VALUE!</v>
      </c>
      <c r="R219" s="1">
        <f>2*Table1[[#This Row],[Std Error]]</f>
        <v>0</v>
      </c>
      <c r="S219" s="1" t="str">
        <f>IF(Table1[[#This Row],[High Tol]]="","N/A",IFERROR(ABS(Table1[[#This Row],[Tol Span]]/Table1[[#This Row],[Error Span]]),"N/A"))</f>
        <v>N/A</v>
      </c>
      <c r="T219" s="1" t="str">
        <f>IF(OR(Table1[[#This Row],[Low Tol]]="",Table1[[#This Row],[High Tol]]=""),"Needs Analysis",IF(Table1[[#This Row],[Ratio]]&gt;=4,"Not Significant",IF(Table1[[#This Row],[Ratio]]&gt;=2,"Semi-Significant","Significant")))</f>
        <v>Needs Analysis</v>
      </c>
      <c r="W219" s="1">
        <f>IF(Table1[[#This Row],[Cal Type]]&lt;&gt;"ACCREDITED 17025 WITH UNCERTAINTIES",0,"")</f>
        <v>0</v>
      </c>
      <c r="X219" s="1" t="str">
        <f>IF(Table1[[#This Row],[DUT Read]]="","N/A",Table1[[#This Row],[Std Error]]+Table1[[#This Row],[DUT Read]]+Table1[[#This Row],[DUT Ucty]])</f>
        <v>N/A</v>
      </c>
      <c r="Y219" s="1" t="str">
        <f>IF(Table1[[#This Row],[Std Read]]="","N/A",Table1[[#This Row],[Std Read]]+Table1[[#This Row],[Std Ucty]])</f>
        <v>N/A</v>
      </c>
      <c r="Z2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 s="1" t="str">
        <f>IF(Table1[[#This Row],[Spec Type]]="","N/A",Table1[[#This Row],[Spec Type]])</f>
        <v>±</v>
      </c>
      <c r="AC219" s="1" t="str">
        <f>IF(Table1[[#This Row],[Spec Type2]]="N/A","N/A",IF(AND(Table1[[#This Row],[DUT Adj Read]]&gt;=Table1[[#This Row],[Low Tol]],Table1[[#This Row],[DUT Adj Read]]&lt;=Table1[[#This Row],[High Tol]]),"Pass","Fail"))</f>
        <v>Fail</v>
      </c>
      <c r="AD219" s="1" t="str">
        <f>IF(AND(Table1[[#This Row],[Spec Type2]]="N/A",Table1[[#This Row],[DUT Adj Read]]="N/A",Table1[[#This Row],[Std Adj Read]]="N/A"),"N/A",IF(Table1[[#This Row],[DUT Adj Read]]="N/A",IF(Table1[[#This Row],[Std Adj Read]]&gt;Table1[[#This Row],[Low Tol]],"Pass","Fail"),IF(Table1[[#This Row],[DUT Adj Read]]&gt;Table1[[#This Row],[Low Tol]],"Pass","Fail")))</f>
        <v>Pass</v>
      </c>
      <c r="AE219" s="1" t="str">
        <f>IF(AND(Table1[[#This Row],[Spec Type2]]="N/A",Table1[[#This Row],[DUT Adj Read]]="N/A",Table1[[#This Row],[Std Adj Read]]="N/A"),"N/A",IF(Table1[[#This Row],[DUT Adj Read]]="N/A",IF(Table1[[#This Row],[Std Adj Read]]&lt;Table1[[#This Row],[High Tol]],"Pass","Fail"),IF(Table1[[#This Row],[DUT Adj Read]]&lt;Table1[[#This Row],[High Tol]],"Pass","Fail")))</f>
        <v>Fail</v>
      </c>
      <c r="AF219" s="1" t="str">
        <f>IF(AND(Table1[[#This Row],[Spec Type2]]="N/A",Table1[[#This Row],[DUT Adj Read]]="N/A",Table1[[#This Row],[Std Adj Read]]="N/A"),"N/A",IF(Table1[[#This Row],[DUT Adj Read]]="N/A",IF(Table1[[#This Row],[Std Adj Read]]&gt;=Table1[[#This Row],[Low Tol]],"Pass","Fail"),IF(Table1[[#This Row],[DUT Adj Read]]&gt;=Table1[[#This Row],[Low Tol]],"Pass","Fail")))</f>
        <v>Pass</v>
      </c>
      <c r="AG219" s="1" t="str">
        <f>IF(AND(Table1[[#This Row],[Spec Type2]]="N/A",Table1[[#This Row],[DUT Adj Read]]="N/A",Table1[[#This Row],[Std Adj Read]]="N/A"),"N/A",IF(Table1[[#This Row],[DUT Adj Read]]="N/A",IF(Table1[[#This Row],[Std Adj Read]]&lt;=Table1[[#This Row],[High Tol]],"Pass","Fail"),IF(Table1[[#This Row],[DUT Adj Read]]&lt;=Table1[[#This Row],[High Tol]],"Pass","Fail")))</f>
        <v>Fail</v>
      </c>
      <c r="AH2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 s="1" t="b">
        <v>0</v>
      </c>
      <c r="AN219" s="1" t="b">
        <v>0</v>
      </c>
      <c r="AO219" s="1" t="b">
        <v>0</v>
      </c>
    </row>
    <row r="220" spans="1:41" x14ac:dyDescent="0.25">
      <c r="A220" s="10"/>
      <c r="B220" s="10"/>
      <c r="C220" s="10"/>
      <c r="D220" s="10"/>
      <c r="E220" s="10"/>
      <c r="F220" s="10"/>
      <c r="G220" s="10"/>
      <c r="H220" s="10"/>
      <c r="I220" s="1" t="str">
        <f t="shared" si="9"/>
        <v/>
      </c>
      <c r="J220" s="1" t="s">
        <v>35</v>
      </c>
      <c r="K220" s="1" t="str">
        <f t="shared" si="10"/>
        <v/>
      </c>
      <c r="L220" s="1" t="str">
        <f t="shared" si="11"/>
        <v/>
      </c>
      <c r="M220" s="1">
        <f>IF(OR(Table1[[#This Row],[Std Nom]]="",Table1[[#This Row],[Std Read]]=""),0,Table1[[#This Row],[Std Nom]]-Table1[[#This Row],[Std Read]])</f>
        <v>0</v>
      </c>
      <c r="N220" s="1">
        <f>IF(Calculations!$F$5="ACCREDITED 17025 WITH UNCERTAINTIES",$N$10,0)</f>
        <v>0</v>
      </c>
      <c r="O220" s="1" t="str">
        <f>IFERROR(Table1[[#This Row],[Std Nom]]-(_xlfn.XLOOKUP(Table1[[#This Row],[Manufacturer]]&amp;" "&amp;Table1[[#This Row],[Model]],Table13[MFR &amp; MDL],Table13[Tolerance % CW ],"")/100*Table1[[#This Row],[Std Nom]]),"")</f>
        <v/>
      </c>
      <c r="P220" s="1" t="str">
        <f>IFERROR(Table1[[#This Row],[Std Nom]]+(_xlfn.XLOOKUP(Table1[[#This Row],[Manufacturer]]&amp;" "&amp;Table1[[#This Row],[Model]],Table13[MFR &amp; MDL],Table13[Tolerance % CW ],"")/100*Table1[[#This Row],[Std Nom]]),"")</f>
        <v/>
      </c>
      <c r="Q220" s="1" t="e">
        <f>Table1[[#This Row],[High Tol]]-Table1[[#This Row],[Low Tol]]</f>
        <v>#VALUE!</v>
      </c>
      <c r="R220" s="1">
        <f>2*Table1[[#This Row],[Std Error]]</f>
        <v>0</v>
      </c>
      <c r="S220" s="1" t="str">
        <f>IF(Table1[[#This Row],[High Tol]]="","N/A",IFERROR(ABS(Table1[[#This Row],[Tol Span]]/Table1[[#This Row],[Error Span]]),"N/A"))</f>
        <v>N/A</v>
      </c>
      <c r="T220" s="1" t="str">
        <f>IF(OR(Table1[[#This Row],[Low Tol]]="",Table1[[#This Row],[High Tol]]=""),"Needs Analysis",IF(Table1[[#This Row],[Ratio]]&gt;=4,"Not Significant",IF(Table1[[#This Row],[Ratio]]&gt;=2,"Semi-Significant","Significant")))</f>
        <v>Needs Analysis</v>
      </c>
      <c r="W220" s="1">
        <f>IF(Table1[[#This Row],[Cal Type]]&lt;&gt;"ACCREDITED 17025 WITH UNCERTAINTIES",0,"")</f>
        <v>0</v>
      </c>
      <c r="X220" s="1" t="str">
        <f>IF(Table1[[#This Row],[DUT Read]]="","N/A",Table1[[#This Row],[Std Error]]+Table1[[#This Row],[DUT Read]]+Table1[[#This Row],[DUT Ucty]])</f>
        <v>N/A</v>
      </c>
      <c r="Y220" s="1" t="str">
        <f>IF(Table1[[#This Row],[Std Read]]="","N/A",Table1[[#This Row],[Std Read]]+Table1[[#This Row],[Std Ucty]])</f>
        <v>N/A</v>
      </c>
      <c r="Z2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 s="1" t="str">
        <f>IF(Table1[[#This Row],[Spec Type]]="","N/A",Table1[[#This Row],[Spec Type]])</f>
        <v>±</v>
      </c>
      <c r="AC220" s="1" t="str">
        <f>IF(Table1[[#This Row],[Spec Type2]]="N/A","N/A",IF(AND(Table1[[#This Row],[DUT Adj Read]]&gt;=Table1[[#This Row],[Low Tol]],Table1[[#This Row],[DUT Adj Read]]&lt;=Table1[[#This Row],[High Tol]]),"Pass","Fail"))</f>
        <v>Fail</v>
      </c>
      <c r="AD220" s="1" t="str">
        <f>IF(AND(Table1[[#This Row],[Spec Type2]]="N/A",Table1[[#This Row],[DUT Adj Read]]="N/A",Table1[[#This Row],[Std Adj Read]]="N/A"),"N/A",IF(Table1[[#This Row],[DUT Adj Read]]="N/A",IF(Table1[[#This Row],[Std Adj Read]]&gt;Table1[[#This Row],[Low Tol]],"Pass","Fail"),IF(Table1[[#This Row],[DUT Adj Read]]&gt;Table1[[#This Row],[Low Tol]],"Pass","Fail")))</f>
        <v>Pass</v>
      </c>
      <c r="AE220" s="1" t="str">
        <f>IF(AND(Table1[[#This Row],[Spec Type2]]="N/A",Table1[[#This Row],[DUT Adj Read]]="N/A",Table1[[#This Row],[Std Adj Read]]="N/A"),"N/A",IF(Table1[[#This Row],[DUT Adj Read]]="N/A",IF(Table1[[#This Row],[Std Adj Read]]&lt;Table1[[#This Row],[High Tol]],"Pass","Fail"),IF(Table1[[#This Row],[DUT Adj Read]]&lt;Table1[[#This Row],[High Tol]],"Pass","Fail")))</f>
        <v>Fail</v>
      </c>
      <c r="AF220" s="1" t="str">
        <f>IF(AND(Table1[[#This Row],[Spec Type2]]="N/A",Table1[[#This Row],[DUT Adj Read]]="N/A",Table1[[#This Row],[Std Adj Read]]="N/A"),"N/A",IF(Table1[[#This Row],[DUT Adj Read]]="N/A",IF(Table1[[#This Row],[Std Adj Read]]&gt;=Table1[[#This Row],[Low Tol]],"Pass","Fail"),IF(Table1[[#This Row],[DUT Adj Read]]&gt;=Table1[[#This Row],[Low Tol]],"Pass","Fail")))</f>
        <v>Pass</v>
      </c>
      <c r="AG220" s="1" t="str">
        <f>IF(AND(Table1[[#This Row],[Spec Type2]]="N/A",Table1[[#This Row],[DUT Adj Read]]="N/A",Table1[[#This Row],[Std Adj Read]]="N/A"),"N/A",IF(Table1[[#This Row],[DUT Adj Read]]="N/A",IF(Table1[[#This Row],[Std Adj Read]]&lt;=Table1[[#This Row],[High Tol]],"Pass","Fail"),IF(Table1[[#This Row],[DUT Adj Read]]&lt;=Table1[[#This Row],[High Tol]],"Pass","Fail")))</f>
        <v>Fail</v>
      </c>
      <c r="AH2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 s="1" t="b">
        <v>0</v>
      </c>
      <c r="AN220" s="1" t="b">
        <v>0</v>
      </c>
      <c r="AO220" s="1" t="b">
        <v>0</v>
      </c>
    </row>
    <row r="221" spans="1:41" x14ac:dyDescent="0.25">
      <c r="A221" s="10"/>
      <c r="B221" s="10"/>
      <c r="C221" s="10"/>
      <c r="D221" s="10"/>
      <c r="E221" s="10"/>
      <c r="F221" s="10"/>
      <c r="G221" s="10"/>
      <c r="H221" s="10"/>
      <c r="I221" s="1" t="str">
        <f t="shared" si="9"/>
        <v/>
      </c>
      <c r="J221" s="1" t="s">
        <v>35</v>
      </c>
      <c r="K221" s="1" t="str">
        <f t="shared" si="10"/>
        <v/>
      </c>
      <c r="L221" s="1" t="str">
        <f t="shared" si="11"/>
        <v/>
      </c>
      <c r="M221" s="1">
        <f>IF(OR(Table1[[#This Row],[Std Nom]]="",Table1[[#This Row],[Std Read]]=""),0,Table1[[#This Row],[Std Nom]]-Table1[[#This Row],[Std Read]])</f>
        <v>0</v>
      </c>
      <c r="N221" s="1">
        <f>IF(Calculations!$F$5="ACCREDITED 17025 WITH UNCERTAINTIES",$N$10,0)</f>
        <v>0</v>
      </c>
      <c r="O221" s="1" t="str">
        <f>IFERROR(Table1[[#This Row],[Std Nom]]-(_xlfn.XLOOKUP(Table1[[#This Row],[Manufacturer]]&amp;" "&amp;Table1[[#This Row],[Model]],Table13[MFR &amp; MDL],Table13[Tolerance % CW ],"")/100*Table1[[#This Row],[Std Nom]]),"")</f>
        <v/>
      </c>
      <c r="P221" s="1" t="str">
        <f>IFERROR(Table1[[#This Row],[Std Nom]]+(_xlfn.XLOOKUP(Table1[[#This Row],[Manufacturer]]&amp;" "&amp;Table1[[#This Row],[Model]],Table13[MFR &amp; MDL],Table13[Tolerance % CW ],"")/100*Table1[[#This Row],[Std Nom]]),"")</f>
        <v/>
      </c>
      <c r="Q221" s="1" t="e">
        <f>Table1[[#This Row],[High Tol]]-Table1[[#This Row],[Low Tol]]</f>
        <v>#VALUE!</v>
      </c>
      <c r="R221" s="1">
        <f>2*Table1[[#This Row],[Std Error]]</f>
        <v>0</v>
      </c>
      <c r="S221" s="1" t="str">
        <f>IF(Table1[[#This Row],[High Tol]]="","N/A",IFERROR(ABS(Table1[[#This Row],[Tol Span]]/Table1[[#This Row],[Error Span]]),"N/A"))</f>
        <v>N/A</v>
      </c>
      <c r="T221" s="1" t="str">
        <f>IF(OR(Table1[[#This Row],[Low Tol]]="",Table1[[#This Row],[High Tol]]=""),"Needs Analysis",IF(Table1[[#This Row],[Ratio]]&gt;=4,"Not Significant",IF(Table1[[#This Row],[Ratio]]&gt;=2,"Semi-Significant","Significant")))</f>
        <v>Needs Analysis</v>
      </c>
      <c r="W221" s="1">
        <f>IF(Table1[[#This Row],[Cal Type]]&lt;&gt;"ACCREDITED 17025 WITH UNCERTAINTIES",0,"")</f>
        <v>0</v>
      </c>
      <c r="X221" s="1" t="str">
        <f>IF(Table1[[#This Row],[DUT Read]]="","N/A",Table1[[#This Row],[Std Error]]+Table1[[#This Row],[DUT Read]]+Table1[[#This Row],[DUT Ucty]])</f>
        <v>N/A</v>
      </c>
      <c r="Y221" s="1" t="str">
        <f>IF(Table1[[#This Row],[Std Read]]="","N/A",Table1[[#This Row],[Std Read]]+Table1[[#This Row],[Std Ucty]])</f>
        <v>N/A</v>
      </c>
      <c r="Z2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 s="1" t="str">
        <f>IF(Table1[[#This Row],[Spec Type]]="","N/A",Table1[[#This Row],[Spec Type]])</f>
        <v>±</v>
      </c>
      <c r="AC221" s="1" t="str">
        <f>IF(Table1[[#This Row],[Spec Type2]]="N/A","N/A",IF(AND(Table1[[#This Row],[DUT Adj Read]]&gt;=Table1[[#This Row],[Low Tol]],Table1[[#This Row],[DUT Adj Read]]&lt;=Table1[[#This Row],[High Tol]]),"Pass","Fail"))</f>
        <v>Fail</v>
      </c>
      <c r="AD221" s="1" t="str">
        <f>IF(AND(Table1[[#This Row],[Spec Type2]]="N/A",Table1[[#This Row],[DUT Adj Read]]="N/A",Table1[[#This Row],[Std Adj Read]]="N/A"),"N/A",IF(Table1[[#This Row],[DUT Adj Read]]="N/A",IF(Table1[[#This Row],[Std Adj Read]]&gt;Table1[[#This Row],[Low Tol]],"Pass","Fail"),IF(Table1[[#This Row],[DUT Adj Read]]&gt;Table1[[#This Row],[Low Tol]],"Pass","Fail")))</f>
        <v>Pass</v>
      </c>
      <c r="AE221" s="1" t="str">
        <f>IF(AND(Table1[[#This Row],[Spec Type2]]="N/A",Table1[[#This Row],[DUT Adj Read]]="N/A",Table1[[#This Row],[Std Adj Read]]="N/A"),"N/A",IF(Table1[[#This Row],[DUT Adj Read]]="N/A",IF(Table1[[#This Row],[Std Adj Read]]&lt;Table1[[#This Row],[High Tol]],"Pass","Fail"),IF(Table1[[#This Row],[DUT Adj Read]]&lt;Table1[[#This Row],[High Tol]],"Pass","Fail")))</f>
        <v>Fail</v>
      </c>
      <c r="AF221" s="1" t="str">
        <f>IF(AND(Table1[[#This Row],[Spec Type2]]="N/A",Table1[[#This Row],[DUT Adj Read]]="N/A",Table1[[#This Row],[Std Adj Read]]="N/A"),"N/A",IF(Table1[[#This Row],[DUT Adj Read]]="N/A",IF(Table1[[#This Row],[Std Adj Read]]&gt;=Table1[[#This Row],[Low Tol]],"Pass","Fail"),IF(Table1[[#This Row],[DUT Adj Read]]&gt;=Table1[[#This Row],[Low Tol]],"Pass","Fail")))</f>
        <v>Pass</v>
      </c>
      <c r="AG221" s="1" t="str">
        <f>IF(AND(Table1[[#This Row],[Spec Type2]]="N/A",Table1[[#This Row],[DUT Adj Read]]="N/A",Table1[[#This Row],[Std Adj Read]]="N/A"),"N/A",IF(Table1[[#This Row],[DUT Adj Read]]="N/A",IF(Table1[[#This Row],[Std Adj Read]]&lt;=Table1[[#This Row],[High Tol]],"Pass","Fail"),IF(Table1[[#This Row],[DUT Adj Read]]&lt;=Table1[[#This Row],[High Tol]],"Pass","Fail")))</f>
        <v>Fail</v>
      </c>
      <c r="AH2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 s="1" t="b">
        <v>0</v>
      </c>
      <c r="AN221" s="1" t="b">
        <v>0</v>
      </c>
      <c r="AO221" s="1" t="b">
        <v>0</v>
      </c>
    </row>
    <row r="222" spans="1:41" x14ac:dyDescent="0.25">
      <c r="A222" s="10"/>
      <c r="B222" s="10"/>
      <c r="C222" s="10"/>
      <c r="D222" s="10"/>
      <c r="E222" s="10"/>
      <c r="F222" s="10"/>
      <c r="G222" s="10"/>
      <c r="H222" s="10"/>
      <c r="I222" s="1" t="str">
        <f t="shared" si="9"/>
        <v/>
      </c>
      <c r="J222" s="1" t="s">
        <v>35</v>
      </c>
      <c r="K222" s="1" t="str">
        <f t="shared" si="10"/>
        <v/>
      </c>
      <c r="L222" s="1" t="str">
        <f t="shared" si="11"/>
        <v/>
      </c>
      <c r="M222" s="1">
        <f>IF(OR(Table1[[#This Row],[Std Nom]]="",Table1[[#This Row],[Std Read]]=""),0,Table1[[#This Row],[Std Nom]]-Table1[[#This Row],[Std Read]])</f>
        <v>0</v>
      </c>
      <c r="N222" s="1">
        <f>IF(Calculations!$F$5="ACCREDITED 17025 WITH UNCERTAINTIES",$N$10,0)</f>
        <v>0</v>
      </c>
      <c r="O222" s="1" t="str">
        <f>IFERROR(Table1[[#This Row],[Std Nom]]-(_xlfn.XLOOKUP(Table1[[#This Row],[Manufacturer]]&amp;" "&amp;Table1[[#This Row],[Model]],Table13[MFR &amp; MDL],Table13[Tolerance % CW ],"")/100*Table1[[#This Row],[Std Nom]]),"")</f>
        <v/>
      </c>
      <c r="P222" s="1" t="str">
        <f>IFERROR(Table1[[#This Row],[Std Nom]]+(_xlfn.XLOOKUP(Table1[[#This Row],[Manufacturer]]&amp;" "&amp;Table1[[#This Row],[Model]],Table13[MFR &amp; MDL],Table13[Tolerance % CW ],"")/100*Table1[[#This Row],[Std Nom]]),"")</f>
        <v/>
      </c>
      <c r="Q222" s="1" t="e">
        <f>Table1[[#This Row],[High Tol]]-Table1[[#This Row],[Low Tol]]</f>
        <v>#VALUE!</v>
      </c>
      <c r="R222" s="1">
        <f>2*Table1[[#This Row],[Std Error]]</f>
        <v>0</v>
      </c>
      <c r="S222" s="1" t="str">
        <f>IF(Table1[[#This Row],[High Tol]]="","N/A",IFERROR(ABS(Table1[[#This Row],[Tol Span]]/Table1[[#This Row],[Error Span]]),"N/A"))</f>
        <v>N/A</v>
      </c>
      <c r="T222" s="1" t="str">
        <f>IF(OR(Table1[[#This Row],[Low Tol]]="",Table1[[#This Row],[High Tol]]=""),"Needs Analysis",IF(Table1[[#This Row],[Ratio]]&gt;=4,"Not Significant",IF(Table1[[#This Row],[Ratio]]&gt;=2,"Semi-Significant","Significant")))</f>
        <v>Needs Analysis</v>
      </c>
      <c r="W222" s="1">
        <f>IF(Table1[[#This Row],[Cal Type]]&lt;&gt;"ACCREDITED 17025 WITH UNCERTAINTIES",0,"")</f>
        <v>0</v>
      </c>
      <c r="X222" s="1" t="str">
        <f>IF(Table1[[#This Row],[DUT Read]]="","N/A",Table1[[#This Row],[Std Error]]+Table1[[#This Row],[DUT Read]]+Table1[[#This Row],[DUT Ucty]])</f>
        <v>N/A</v>
      </c>
      <c r="Y222" s="1" t="str">
        <f>IF(Table1[[#This Row],[Std Read]]="","N/A",Table1[[#This Row],[Std Read]]+Table1[[#This Row],[Std Ucty]])</f>
        <v>N/A</v>
      </c>
      <c r="Z2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 s="1" t="str">
        <f>IF(Table1[[#This Row],[Spec Type]]="","N/A",Table1[[#This Row],[Spec Type]])</f>
        <v>±</v>
      </c>
      <c r="AC222" s="1" t="str">
        <f>IF(Table1[[#This Row],[Spec Type2]]="N/A","N/A",IF(AND(Table1[[#This Row],[DUT Adj Read]]&gt;=Table1[[#This Row],[Low Tol]],Table1[[#This Row],[DUT Adj Read]]&lt;=Table1[[#This Row],[High Tol]]),"Pass","Fail"))</f>
        <v>Fail</v>
      </c>
      <c r="AD222" s="1" t="str">
        <f>IF(AND(Table1[[#This Row],[Spec Type2]]="N/A",Table1[[#This Row],[DUT Adj Read]]="N/A",Table1[[#This Row],[Std Adj Read]]="N/A"),"N/A",IF(Table1[[#This Row],[DUT Adj Read]]="N/A",IF(Table1[[#This Row],[Std Adj Read]]&gt;Table1[[#This Row],[Low Tol]],"Pass","Fail"),IF(Table1[[#This Row],[DUT Adj Read]]&gt;Table1[[#This Row],[Low Tol]],"Pass","Fail")))</f>
        <v>Pass</v>
      </c>
      <c r="AE222" s="1" t="str">
        <f>IF(AND(Table1[[#This Row],[Spec Type2]]="N/A",Table1[[#This Row],[DUT Adj Read]]="N/A",Table1[[#This Row],[Std Adj Read]]="N/A"),"N/A",IF(Table1[[#This Row],[DUT Adj Read]]="N/A",IF(Table1[[#This Row],[Std Adj Read]]&lt;Table1[[#This Row],[High Tol]],"Pass","Fail"),IF(Table1[[#This Row],[DUT Adj Read]]&lt;Table1[[#This Row],[High Tol]],"Pass","Fail")))</f>
        <v>Fail</v>
      </c>
      <c r="AF222" s="1" t="str">
        <f>IF(AND(Table1[[#This Row],[Spec Type2]]="N/A",Table1[[#This Row],[DUT Adj Read]]="N/A",Table1[[#This Row],[Std Adj Read]]="N/A"),"N/A",IF(Table1[[#This Row],[DUT Adj Read]]="N/A",IF(Table1[[#This Row],[Std Adj Read]]&gt;=Table1[[#This Row],[Low Tol]],"Pass","Fail"),IF(Table1[[#This Row],[DUT Adj Read]]&gt;=Table1[[#This Row],[Low Tol]],"Pass","Fail")))</f>
        <v>Pass</v>
      </c>
      <c r="AG222" s="1" t="str">
        <f>IF(AND(Table1[[#This Row],[Spec Type2]]="N/A",Table1[[#This Row],[DUT Adj Read]]="N/A",Table1[[#This Row],[Std Adj Read]]="N/A"),"N/A",IF(Table1[[#This Row],[DUT Adj Read]]="N/A",IF(Table1[[#This Row],[Std Adj Read]]&lt;=Table1[[#This Row],[High Tol]],"Pass","Fail"),IF(Table1[[#This Row],[DUT Adj Read]]&lt;=Table1[[#This Row],[High Tol]],"Pass","Fail")))</f>
        <v>Fail</v>
      </c>
      <c r="AH2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 s="1" t="b">
        <v>0</v>
      </c>
      <c r="AN222" s="1" t="b">
        <v>0</v>
      </c>
      <c r="AO222" s="1" t="b">
        <v>0</v>
      </c>
    </row>
    <row r="223" spans="1:41" x14ac:dyDescent="0.25">
      <c r="A223" s="10"/>
      <c r="B223" s="10"/>
      <c r="C223" s="10"/>
      <c r="D223" s="10"/>
      <c r="E223" s="10"/>
      <c r="F223" s="10"/>
      <c r="G223" s="10"/>
      <c r="H223" s="10"/>
      <c r="I223" s="1" t="str">
        <f t="shared" si="9"/>
        <v/>
      </c>
      <c r="J223" s="1" t="s">
        <v>35</v>
      </c>
      <c r="K223" s="1" t="str">
        <f t="shared" si="10"/>
        <v/>
      </c>
      <c r="L223" s="1" t="str">
        <f t="shared" si="11"/>
        <v/>
      </c>
      <c r="M223" s="1">
        <f>IF(OR(Table1[[#This Row],[Std Nom]]="",Table1[[#This Row],[Std Read]]=""),0,Table1[[#This Row],[Std Nom]]-Table1[[#This Row],[Std Read]])</f>
        <v>0</v>
      </c>
      <c r="N223" s="1">
        <f>IF(Calculations!$F$5="ACCREDITED 17025 WITH UNCERTAINTIES",$N$10,0)</f>
        <v>0</v>
      </c>
      <c r="O223" s="1" t="str">
        <f>IFERROR(Table1[[#This Row],[Std Nom]]-(_xlfn.XLOOKUP(Table1[[#This Row],[Manufacturer]]&amp;" "&amp;Table1[[#This Row],[Model]],Table13[MFR &amp; MDL],Table13[Tolerance % CW ],"")/100*Table1[[#This Row],[Std Nom]]),"")</f>
        <v/>
      </c>
      <c r="P223" s="1" t="str">
        <f>IFERROR(Table1[[#This Row],[Std Nom]]+(_xlfn.XLOOKUP(Table1[[#This Row],[Manufacturer]]&amp;" "&amp;Table1[[#This Row],[Model]],Table13[MFR &amp; MDL],Table13[Tolerance % CW ],"")/100*Table1[[#This Row],[Std Nom]]),"")</f>
        <v/>
      </c>
      <c r="Q223" s="1" t="e">
        <f>Table1[[#This Row],[High Tol]]-Table1[[#This Row],[Low Tol]]</f>
        <v>#VALUE!</v>
      </c>
      <c r="R223" s="1">
        <f>2*Table1[[#This Row],[Std Error]]</f>
        <v>0</v>
      </c>
      <c r="S223" s="1" t="str">
        <f>IF(Table1[[#This Row],[High Tol]]="","N/A",IFERROR(ABS(Table1[[#This Row],[Tol Span]]/Table1[[#This Row],[Error Span]]),"N/A"))</f>
        <v>N/A</v>
      </c>
      <c r="T223" s="1" t="str">
        <f>IF(OR(Table1[[#This Row],[Low Tol]]="",Table1[[#This Row],[High Tol]]=""),"Needs Analysis",IF(Table1[[#This Row],[Ratio]]&gt;=4,"Not Significant",IF(Table1[[#This Row],[Ratio]]&gt;=2,"Semi-Significant","Significant")))</f>
        <v>Needs Analysis</v>
      </c>
      <c r="W223" s="1">
        <f>IF(Table1[[#This Row],[Cal Type]]&lt;&gt;"ACCREDITED 17025 WITH UNCERTAINTIES",0,"")</f>
        <v>0</v>
      </c>
      <c r="X223" s="1" t="str">
        <f>IF(Table1[[#This Row],[DUT Read]]="","N/A",Table1[[#This Row],[Std Error]]+Table1[[#This Row],[DUT Read]]+Table1[[#This Row],[DUT Ucty]])</f>
        <v>N/A</v>
      </c>
      <c r="Y223" s="1" t="str">
        <f>IF(Table1[[#This Row],[Std Read]]="","N/A",Table1[[#This Row],[Std Read]]+Table1[[#This Row],[Std Ucty]])</f>
        <v>N/A</v>
      </c>
      <c r="Z2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 s="1" t="str">
        <f>IF(Table1[[#This Row],[Spec Type]]="","N/A",Table1[[#This Row],[Spec Type]])</f>
        <v>±</v>
      </c>
      <c r="AC223" s="1" t="str">
        <f>IF(Table1[[#This Row],[Spec Type2]]="N/A","N/A",IF(AND(Table1[[#This Row],[DUT Adj Read]]&gt;=Table1[[#This Row],[Low Tol]],Table1[[#This Row],[DUT Adj Read]]&lt;=Table1[[#This Row],[High Tol]]),"Pass","Fail"))</f>
        <v>Fail</v>
      </c>
      <c r="AD223" s="1" t="str">
        <f>IF(AND(Table1[[#This Row],[Spec Type2]]="N/A",Table1[[#This Row],[DUT Adj Read]]="N/A",Table1[[#This Row],[Std Adj Read]]="N/A"),"N/A",IF(Table1[[#This Row],[DUT Adj Read]]="N/A",IF(Table1[[#This Row],[Std Adj Read]]&gt;Table1[[#This Row],[Low Tol]],"Pass","Fail"),IF(Table1[[#This Row],[DUT Adj Read]]&gt;Table1[[#This Row],[Low Tol]],"Pass","Fail")))</f>
        <v>Pass</v>
      </c>
      <c r="AE223" s="1" t="str">
        <f>IF(AND(Table1[[#This Row],[Spec Type2]]="N/A",Table1[[#This Row],[DUT Adj Read]]="N/A",Table1[[#This Row],[Std Adj Read]]="N/A"),"N/A",IF(Table1[[#This Row],[DUT Adj Read]]="N/A",IF(Table1[[#This Row],[Std Adj Read]]&lt;Table1[[#This Row],[High Tol]],"Pass","Fail"),IF(Table1[[#This Row],[DUT Adj Read]]&lt;Table1[[#This Row],[High Tol]],"Pass","Fail")))</f>
        <v>Fail</v>
      </c>
      <c r="AF223" s="1" t="str">
        <f>IF(AND(Table1[[#This Row],[Spec Type2]]="N/A",Table1[[#This Row],[DUT Adj Read]]="N/A",Table1[[#This Row],[Std Adj Read]]="N/A"),"N/A",IF(Table1[[#This Row],[DUT Adj Read]]="N/A",IF(Table1[[#This Row],[Std Adj Read]]&gt;=Table1[[#This Row],[Low Tol]],"Pass","Fail"),IF(Table1[[#This Row],[DUT Adj Read]]&gt;=Table1[[#This Row],[Low Tol]],"Pass","Fail")))</f>
        <v>Pass</v>
      </c>
      <c r="AG223" s="1" t="str">
        <f>IF(AND(Table1[[#This Row],[Spec Type2]]="N/A",Table1[[#This Row],[DUT Adj Read]]="N/A",Table1[[#This Row],[Std Adj Read]]="N/A"),"N/A",IF(Table1[[#This Row],[DUT Adj Read]]="N/A",IF(Table1[[#This Row],[Std Adj Read]]&lt;=Table1[[#This Row],[High Tol]],"Pass","Fail"),IF(Table1[[#This Row],[DUT Adj Read]]&lt;=Table1[[#This Row],[High Tol]],"Pass","Fail")))</f>
        <v>Fail</v>
      </c>
      <c r="AH2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 s="1" t="b">
        <v>0</v>
      </c>
      <c r="AN223" s="1" t="b">
        <v>0</v>
      </c>
      <c r="AO223" s="1" t="b">
        <v>0</v>
      </c>
    </row>
    <row r="224" spans="1:41" x14ac:dyDescent="0.25">
      <c r="A224" s="10"/>
      <c r="B224" s="10"/>
      <c r="C224" s="10"/>
      <c r="D224" s="10"/>
      <c r="E224" s="10"/>
      <c r="F224" s="10"/>
      <c r="G224" s="10"/>
      <c r="H224" s="10"/>
      <c r="I224" s="1" t="str">
        <f t="shared" si="9"/>
        <v/>
      </c>
      <c r="J224" s="1" t="s">
        <v>35</v>
      </c>
      <c r="K224" s="1" t="str">
        <f t="shared" si="10"/>
        <v/>
      </c>
      <c r="L224" s="1" t="str">
        <f t="shared" si="11"/>
        <v/>
      </c>
      <c r="M224" s="1">
        <f>IF(OR(Table1[[#This Row],[Std Nom]]="",Table1[[#This Row],[Std Read]]=""),0,Table1[[#This Row],[Std Nom]]-Table1[[#This Row],[Std Read]])</f>
        <v>0</v>
      </c>
      <c r="N224" s="1">
        <f>IF(Calculations!$F$5="ACCREDITED 17025 WITH UNCERTAINTIES",$N$10,0)</f>
        <v>0</v>
      </c>
      <c r="O224" s="1" t="str">
        <f>IFERROR(Table1[[#This Row],[Std Nom]]-(_xlfn.XLOOKUP(Table1[[#This Row],[Manufacturer]]&amp;" "&amp;Table1[[#This Row],[Model]],Table13[MFR &amp; MDL],Table13[Tolerance % CW ],"")/100*Table1[[#This Row],[Std Nom]]),"")</f>
        <v/>
      </c>
      <c r="P224" s="1" t="str">
        <f>IFERROR(Table1[[#This Row],[Std Nom]]+(_xlfn.XLOOKUP(Table1[[#This Row],[Manufacturer]]&amp;" "&amp;Table1[[#This Row],[Model]],Table13[MFR &amp; MDL],Table13[Tolerance % CW ],"")/100*Table1[[#This Row],[Std Nom]]),"")</f>
        <v/>
      </c>
      <c r="Q224" s="1" t="e">
        <f>Table1[[#This Row],[High Tol]]-Table1[[#This Row],[Low Tol]]</f>
        <v>#VALUE!</v>
      </c>
      <c r="R224" s="1">
        <f>2*Table1[[#This Row],[Std Error]]</f>
        <v>0</v>
      </c>
      <c r="S224" s="1" t="str">
        <f>IF(Table1[[#This Row],[High Tol]]="","N/A",IFERROR(ABS(Table1[[#This Row],[Tol Span]]/Table1[[#This Row],[Error Span]]),"N/A"))</f>
        <v>N/A</v>
      </c>
      <c r="T224" s="1" t="str">
        <f>IF(OR(Table1[[#This Row],[Low Tol]]="",Table1[[#This Row],[High Tol]]=""),"Needs Analysis",IF(Table1[[#This Row],[Ratio]]&gt;=4,"Not Significant",IF(Table1[[#This Row],[Ratio]]&gt;=2,"Semi-Significant","Significant")))</f>
        <v>Needs Analysis</v>
      </c>
      <c r="W224" s="1">
        <f>IF(Table1[[#This Row],[Cal Type]]&lt;&gt;"ACCREDITED 17025 WITH UNCERTAINTIES",0,"")</f>
        <v>0</v>
      </c>
      <c r="X224" s="1" t="str">
        <f>IF(Table1[[#This Row],[DUT Read]]="","N/A",Table1[[#This Row],[Std Error]]+Table1[[#This Row],[DUT Read]]+Table1[[#This Row],[DUT Ucty]])</f>
        <v>N/A</v>
      </c>
      <c r="Y224" s="1" t="str">
        <f>IF(Table1[[#This Row],[Std Read]]="","N/A",Table1[[#This Row],[Std Read]]+Table1[[#This Row],[Std Ucty]])</f>
        <v>N/A</v>
      </c>
      <c r="Z2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 s="1" t="str">
        <f>IF(Table1[[#This Row],[Spec Type]]="","N/A",Table1[[#This Row],[Spec Type]])</f>
        <v>±</v>
      </c>
      <c r="AC224" s="1" t="str">
        <f>IF(Table1[[#This Row],[Spec Type2]]="N/A","N/A",IF(AND(Table1[[#This Row],[DUT Adj Read]]&gt;=Table1[[#This Row],[Low Tol]],Table1[[#This Row],[DUT Adj Read]]&lt;=Table1[[#This Row],[High Tol]]),"Pass","Fail"))</f>
        <v>Fail</v>
      </c>
      <c r="AD224" s="1" t="str">
        <f>IF(AND(Table1[[#This Row],[Spec Type2]]="N/A",Table1[[#This Row],[DUT Adj Read]]="N/A",Table1[[#This Row],[Std Adj Read]]="N/A"),"N/A",IF(Table1[[#This Row],[DUT Adj Read]]="N/A",IF(Table1[[#This Row],[Std Adj Read]]&gt;Table1[[#This Row],[Low Tol]],"Pass","Fail"),IF(Table1[[#This Row],[DUT Adj Read]]&gt;Table1[[#This Row],[Low Tol]],"Pass","Fail")))</f>
        <v>Pass</v>
      </c>
      <c r="AE224" s="1" t="str">
        <f>IF(AND(Table1[[#This Row],[Spec Type2]]="N/A",Table1[[#This Row],[DUT Adj Read]]="N/A",Table1[[#This Row],[Std Adj Read]]="N/A"),"N/A",IF(Table1[[#This Row],[DUT Adj Read]]="N/A",IF(Table1[[#This Row],[Std Adj Read]]&lt;Table1[[#This Row],[High Tol]],"Pass","Fail"),IF(Table1[[#This Row],[DUT Adj Read]]&lt;Table1[[#This Row],[High Tol]],"Pass","Fail")))</f>
        <v>Fail</v>
      </c>
      <c r="AF224" s="1" t="str">
        <f>IF(AND(Table1[[#This Row],[Spec Type2]]="N/A",Table1[[#This Row],[DUT Adj Read]]="N/A",Table1[[#This Row],[Std Adj Read]]="N/A"),"N/A",IF(Table1[[#This Row],[DUT Adj Read]]="N/A",IF(Table1[[#This Row],[Std Adj Read]]&gt;=Table1[[#This Row],[Low Tol]],"Pass","Fail"),IF(Table1[[#This Row],[DUT Adj Read]]&gt;=Table1[[#This Row],[Low Tol]],"Pass","Fail")))</f>
        <v>Pass</v>
      </c>
      <c r="AG224" s="1" t="str">
        <f>IF(AND(Table1[[#This Row],[Spec Type2]]="N/A",Table1[[#This Row],[DUT Adj Read]]="N/A",Table1[[#This Row],[Std Adj Read]]="N/A"),"N/A",IF(Table1[[#This Row],[DUT Adj Read]]="N/A",IF(Table1[[#This Row],[Std Adj Read]]&lt;=Table1[[#This Row],[High Tol]],"Pass","Fail"),IF(Table1[[#This Row],[DUT Adj Read]]&lt;=Table1[[#This Row],[High Tol]],"Pass","Fail")))</f>
        <v>Fail</v>
      </c>
      <c r="AH2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 s="1" t="b">
        <v>0</v>
      </c>
      <c r="AN224" s="1" t="b">
        <v>0</v>
      </c>
      <c r="AO224" s="1" t="b">
        <v>0</v>
      </c>
    </row>
    <row r="225" spans="1:41" x14ac:dyDescent="0.25">
      <c r="A225" s="10"/>
      <c r="B225" s="10"/>
      <c r="C225" s="10"/>
      <c r="D225" s="10"/>
      <c r="E225" s="10"/>
      <c r="F225" s="10"/>
      <c r="G225" s="10"/>
      <c r="H225" s="10"/>
      <c r="I225" s="1" t="str">
        <f t="shared" si="9"/>
        <v/>
      </c>
      <c r="J225" s="1" t="s">
        <v>35</v>
      </c>
      <c r="K225" s="1" t="str">
        <f t="shared" si="10"/>
        <v/>
      </c>
      <c r="L225" s="1" t="str">
        <f t="shared" si="11"/>
        <v/>
      </c>
      <c r="M225" s="1">
        <f>IF(OR(Table1[[#This Row],[Std Nom]]="",Table1[[#This Row],[Std Read]]=""),0,Table1[[#This Row],[Std Nom]]-Table1[[#This Row],[Std Read]])</f>
        <v>0</v>
      </c>
      <c r="N225" s="1">
        <f>IF(Calculations!$F$5="ACCREDITED 17025 WITH UNCERTAINTIES",$N$10,0)</f>
        <v>0</v>
      </c>
      <c r="O225" s="1" t="str">
        <f>IFERROR(Table1[[#This Row],[Std Nom]]-(_xlfn.XLOOKUP(Table1[[#This Row],[Manufacturer]]&amp;" "&amp;Table1[[#This Row],[Model]],Table13[MFR &amp; MDL],Table13[Tolerance % CW ],"")/100*Table1[[#This Row],[Std Nom]]),"")</f>
        <v/>
      </c>
      <c r="P225" s="1" t="str">
        <f>IFERROR(Table1[[#This Row],[Std Nom]]+(_xlfn.XLOOKUP(Table1[[#This Row],[Manufacturer]]&amp;" "&amp;Table1[[#This Row],[Model]],Table13[MFR &amp; MDL],Table13[Tolerance % CW ],"")/100*Table1[[#This Row],[Std Nom]]),"")</f>
        <v/>
      </c>
      <c r="Q225" s="1" t="e">
        <f>Table1[[#This Row],[High Tol]]-Table1[[#This Row],[Low Tol]]</f>
        <v>#VALUE!</v>
      </c>
      <c r="R225" s="1">
        <f>2*Table1[[#This Row],[Std Error]]</f>
        <v>0</v>
      </c>
      <c r="S225" s="1" t="str">
        <f>IF(Table1[[#This Row],[High Tol]]="","N/A",IFERROR(ABS(Table1[[#This Row],[Tol Span]]/Table1[[#This Row],[Error Span]]),"N/A"))</f>
        <v>N/A</v>
      </c>
      <c r="T225" s="1" t="str">
        <f>IF(OR(Table1[[#This Row],[Low Tol]]="",Table1[[#This Row],[High Tol]]=""),"Needs Analysis",IF(Table1[[#This Row],[Ratio]]&gt;=4,"Not Significant",IF(Table1[[#This Row],[Ratio]]&gt;=2,"Semi-Significant","Significant")))</f>
        <v>Needs Analysis</v>
      </c>
      <c r="W225" s="1">
        <f>IF(Table1[[#This Row],[Cal Type]]&lt;&gt;"ACCREDITED 17025 WITH UNCERTAINTIES",0,"")</f>
        <v>0</v>
      </c>
      <c r="X225" s="1" t="str">
        <f>IF(Table1[[#This Row],[DUT Read]]="","N/A",Table1[[#This Row],[Std Error]]+Table1[[#This Row],[DUT Read]]+Table1[[#This Row],[DUT Ucty]])</f>
        <v>N/A</v>
      </c>
      <c r="Y225" s="1" t="str">
        <f>IF(Table1[[#This Row],[Std Read]]="","N/A",Table1[[#This Row],[Std Read]]+Table1[[#This Row],[Std Ucty]])</f>
        <v>N/A</v>
      </c>
      <c r="Z2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 s="1" t="str">
        <f>IF(Table1[[#This Row],[Spec Type]]="","N/A",Table1[[#This Row],[Spec Type]])</f>
        <v>±</v>
      </c>
      <c r="AC225" s="1" t="str">
        <f>IF(Table1[[#This Row],[Spec Type2]]="N/A","N/A",IF(AND(Table1[[#This Row],[DUT Adj Read]]&gt;=Table1[[#This Row],[Low Tol]],Table1[[#This Row],[DUT Adj Read]]&lt;=Table1[[#This Row],[High Tol]]),"Pass","Fail"))</f>
        <v>Fail</v>
      </c>
      <c r="AD225" s="1" t="str">
        <f>IF(AND(Table1[[#This Row],[Spec Type2]]="N/A",Table1[[#This Row],[DUT Adj Read]]="N/A",Table1[[#This Row],[Std Adj Read]]="N/A"),"N/A",IF(Table1[[#This Row],[DUT Adj Read]]="N/A",IF(Table1[[#This Row],[Std Adj Read]]&gt;Table1[[#This Row],[Low Tol]],"Pass","Fail"),IF(Table1[[#This Row],[DUT Adj Read]]&gt;Table1[[#This Row],[Low Tol]],"Pass","Fail")))</f>
        <v>Pass</v>
      </c>
      <c r="AE225" s="1" t="str">
        <f>IF(AND(Table1[[#This Row],[Spec Type2]]="N/A",Table1[[#This Row],[DUT Adj Read]]="N/A",Table1[[#This Row],[Std Adj Read]]="N/A"),"N/A",IF(Table1[[#This Row],[DUT Adj Read]]="N/A",IF(Table1[[#This Row],[Std Adj Read]]&lt;Table1[[#This Row],[High Tol]],"Pass","Fail"),IF(Table1[[#This Row],[DUT Adj Read]]&lt;Table1[[#This Row],[High Tol]],"Pass","Fail")))</f>
        <v>Fail</v>
      </c>
      <c r="AF225" s="1" t="str">
        <f>IF(AND(Table1[[#This Row],[Spec Type2]]="N/A",Table1[[#This Row],[DUT Adj Read]]="N/A",Table1[[#This Row],[Std Adj Read]]="N/A"),"N/A",IF(Table1[[#This Row],[DUT Adj Read]]="N/A",IF(Table1[[#This Row],[Std Adj Read]]&gt;=Table1[[#This Row],[Low Tol]],"Pass","Fail"),IF(Table1[[#This Row],[DUT Adj Read]]&gt;=Table1[[#This Row],[Low Tol]],"Pass","Fail")))</f>
        <v>Pass</v>
      </c>
      <c r="AG225" s="1" t="str">
        <f>IF(AND(Table1[[#This Row],[Spec Type2]]="N/A",Table1[[#This Row],[DUT Adj Read]]="N/A",Table1[[#This Row],[Std Adj Read]]="N/A"),"N/A",IF(Table1[[#This Row],[DUT Adj Read]]="N/A",IF(Table1[[#This Row],[Std Adj Read]]&lt;=Table1[[#This Row],[High Tol]],"Pass","Fail"),IF(Table1[[#This Row],[DUT Adj Read]]&lt;=Table1[[#This Row],[High Tol]],"Pass","Fail")))</f>
        <v>Fail</v>
      </c>
      <c r="AH2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 s="1" t="b">
        <v>0</v>
      </c>
      <c r="AN225" s="1" t="b">
        <v>0</v>
      </c>
      <c r="AO225" s="1" t="b">
        <v>0</v>
      </c>
    </row>
    <row r="226" spans="1:41" x14ac:dyDescent="0.25">
      <c r="A226" s="10"/>
      <c r="B226" s="10"/>
      <c r="C226" s="10"/>
      <c r="D226" s="10"/>
      <c r="E226" s="10"/>
      <c r="F226" s="10"/>
      <c r="G226" s="10"/>
      <c r="H226" s="10"/>
      <c r="I226" s="1" t="str">
        <f t="shared" si="9"/>
        <v/>
      </c>
      <c r="J226" s="1" t="s">
        <v>35</v>
      </c>
      <c r="K226" s="1" t="str">
        <f t="shared" si="10"/>
        <v/>
      </c>
      <c r="L226" s="1" t="str">
        <f t="shared" si="11"/>
        <v/>
      </c>
      <c r="M226" s="1">
        <f>IF(OR(Table1[[#This Row],[Std Nom]]="",Table1[[#This Row],[Std Read]]=""),0,Table1[[#This Row],[Std Nom]]-Table1[[#This Row],[Std Read]])</f>
        <v>0</v>
      </c>
      <c r="N226" s="1">
        <f>IF(Calculations!$F$5="ACCREDITED 17025 WITH UNCERTAINTIES",$N$10,0)</f>
        <v>0</v>
      </c>
      <c r="O226" s="1" t="str">
        <f>IFERROR(Table1[[#This Row],[Std Nom]]-(_xlfn.XLOOKUP(Table1[[#This Row],[Manufacturer]]&amp;" "&amp;Table1[[#This Row],[Model]],Table13[MFR &amp; MDL],Table13[Tolerance % CW ],"")/100*Table1[[#This Row],[Std Nom]]),"")</f>
        <v/>
      </c>
      <c r="P226" s="1" t="str">
        <f>IFERROR(Table1[[#This Row],[Std Nom]]+(_xlfn.XLOOKUP(Table1[[#This Row],[Manufacturer]]&amp;" "&amp;Table1[[#This Row],[Model]],Table13[MFR &amp; MDL],Table13[Tolerance % CW ],"")/100*Table1[[#This Row],[Std Nom]]),"")</f>
        <v/>
      </c>
      <c r="Q226" s="1" t="e">
        <f>Table1[[#This Row],[High Tol]]-Table1[[#This Row],[Low Tol]]</f>
        <v>#VALUE!</v>
      </c>
      <c r="R226" s="1">
        <f>2*Table1[[#This Row],[Std Error]]</f>
        <v>0</v>
      </c>
      <c r="S226" s="1" t="str">
        <f>IF(Table1[[#This Row],[High Tol]]="","N/A",IFERROR(ABS(Table1[[#This Row],[Tol Span]]/Table1[[#This Row],[Error Span]]),"N/A"))</f>
        <v>N/A</v>
      </c>
      <c r="T226" s="1" t="str">
        <f>IF(OR(Table1[[#This Row],[Low Tol]]="",Table1[[#This Row],[High Tol]]=""),"Needs Analysis",IF(Table1[[#This Row],[Ratio]]&gt;=4,"Not Significant",IF(Table1[[#This Row],[Ratio]]&gt;=2,"Semi-Significant","Significant")))</f>
        <v>Needs Analysis</v>
      </c>
      <c r="W226" s="1">
        <f>IF(Table1[[#This Row],[Cal Type]]&lt;&gt;"ACCREDITED 17025 WITH UNCERTAINTIES",0,"")</f>
        <v>0</v>
      </c>
      <c r="X226" s="1" t="str">
        <f>IF(Table1[[#This Row],[DUT Read]]="","N/A",Table1[[#This Row],[Std Error]]+Table1[[#This Row],[DUT Read]]+Table1[[#This Row],[DUT Ucty]])</f>
        <v>N/A</v>
      </c>
      <c r="Y226" s="1" t="str">
        <f>IF(Table1[[#This Row],[Std Read]]="","N/A",Table1[[#This Row],[Std Read]]+Table1[[#This Row],[Std Ucty]])</f>
        <v>N/A</v>
      </c>
      <c r="Z2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 s="1" t="str">
        <f>IF(Table1[[#This Row],[Spec Type]]="","N/A",Table1[[#This Row],[Spec Type]])</f>
        <v>±</v>
      </c>
      <c r="AC226" s="1" t="str">
        <f>IF(Table1[[#This Row],[Spec Type2]]="N/A","N/A",IF(AND(Table1[[#This Row],[DUT Adj Read]]&gt;=Table1[[#This Row],[Low Tol]],Table1[[#This Row],[DUT Adj Read]]&lt;=Table1[[#This Row],[High Tol]]),"Pass","Fail"))</f>
        <v>Fail</v>
      </c>
      <c r="AD226" s="1" t="str">
        <f>IF(AND(Table1[[#This Row],[Spec Type2]]="N/A",Table1[[#This Row],[DUT Adj Read]]="N/A",Table1[[#This Row],[Std Adj Read]]="N/A"),"N/A",IF(Table1[[#This Row],[DUT Adj Read]]="N/A",IF(Table1[[#This Row],[Std Adj Read]]&gt;Table1[[#This Row],[Low Tol]],"Pass","Fail"),IF(Table1[[#This Row],[DUT Adj Read]]&gt;Table1[[#This Row],[Low Tol]],"Pass","Fail")))</f>
        <v>Pass</v>
      </c>
      <c r="AE226" s="1" t="str">
        <f>IF(AND(Table1[[#This Row],[Spec Type2]]="N/A",Table1[[#This Row],[DUT Adj Read]]="N/A",Table1[[#This Row],[Std Adj Read]]="N/A"),"N/A",IF(Table1[[#This Row],[DUT Adj Read]]="N/A",IF(Table1[[#This Row],[Std Adj Read]]&lt;Table1[[#This Row],[High Tol]],"Pass","Fail"),IF(Table1[[#This Row],[DUT Adj Read]]&lt;Table1[[#This Row],[High Tol]],"Pass","Fail")))</f>
        <v>Fail</v>
      </c>
      <c r="AF226" s="1" t="str">
        <f>IF(AND(Table1[[#This Row],[Spec Type2]]="N/A",Table1[[#This Row],[DUT Adj Read]]="N/A",Table1[[#This Row],[Std Adj Read]]="N/A"),"N/A",IF(Table1[[#This Row],[DUT Adj Read]]="N/A",IF(Table1[[#This Row],[Std Adj Read]]&gt;=Table1[[#This Row],[Low Tol]],"Pass","Fail"),IF(Table1[[#This Row],[DUT Adj Read]]&gt;=Table1[[#This Row],[Low Tol]],"Pass","Fail")))</f>
        <v>Pass</v>
      </c>
      <c r="AG226" s="1" t="str">
        <f>IF(AND(Table1[[#This Row],[Spec Type2]]="N/A",Table1[[#This Row],[DUT Adj Read]]="N/A",Table1[[#This Row],[Std Adj Read]]="N/A"),"N/A",IF(Table1[[#This Row],[DUT Adj Read]]="N/A",IF(Table1[[#This Row],[Std Adj Read]]&lt;=Table1[[#This Row],[High Tol]],"Pass","Fail"),IF(Table1[[#This Row],[DUT Adj Read]]&lt;=Table1[[#This Row],[High Tol]],"Pass","Fail")))</f>
        <v>Fail</v>
      </c>
      <c r="AH2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 s="1" t="b">
        <v>0</v>
      </c>
      <c r="AN226" s="1" t="b">
        <v>0</v>
      </c>
      <c r="AO226" s="1" t="b">
        <v>0</v>
      </c>
    </row>
    <row r="227" spans="1:41" x14ac:dyDescent="0.25">
      <c r="A227" s="10"/>
      <c r="B227" s="10"/>
      <c r="C227" s="10"/>
      <c r="D227" s="10"/>
      <c r="E227" s="10"/>
      <c r="F227" s="10"/>
      <c r="G227" s="10"/>
      <c r="H227" s="10"/>
      <c r="I227" s="1" t="str">
        <f t="shared" si="9"/>
        <v/>
      </c>
      <c r="J227" s="1" t="s">
        <v>35</v>
      </c>
      <c r="K227" s="1" t="str">
        <f t="shared" si="10"/>
        <v/>
      </c>
      <c r="L227" s="1" t="str">
        <f t="shared" si="11"/>
        <v/>
      </c>
      <c r="M227" s="1">
        <f>IF(OR(Table1[[#This Row],[Std Nom]]="",Table1[[#This Row],[Std Read]]=""),0,Table1[[#This Row],[Std Nom]]-Table1[[#This Row],[Std Read]])</f>
        <v>0</v>
      </c>
      <c r="N227" s="1">
        <f>IF(Calculations!$F$5="ACCREDITED 17025 WITH UNCERTAINTIES",$N$10,0)</f>
        <v>0</v>
      </c>
      <c r="O227" s="1" t="str">
        <f>IFERROR(Table1[[#This Row],[Std Nom]]-(_xlfn.XLOOKUP(Table1[[#This Row],[Manufacturer]]&amp;" "&amp;Table1[[#This Row],[Model]],Table13[MFR &amp; MDL],Table13[Tolerance % CW ],"")/100*Table1[[#This Row],[Std Nom]]),"")</f>
        <v/>
      </c>
      <c r="P227" s="1" t="str">
        <f>IFERROR(Table1[[#This Row],[Std Nom]]+(_xlfn.XLOOKUP(Table1[[#This Row],[Manufacturer]]&amp;" "&amp;Table1[[#This Row],[Model]],Table13[MFR &amp; MDL],Table13[Tolerance % CW ],"")/100*Table1[[#This Row],[Std Nom]]),"")</f>
        <v/>
      </c>
      <c r="Q227" s="1" t="e">
        <f>Table1[[#This Row],[High Tol]]-Table1[[#This Row],[Low Tol]]</f>
        <v>#VALUE!</v>
      </c>
      <c r="R227" s="1">
        <f>2*Table1[[#This Row],[Std Error]]</f>
        <v>0</v>
      </c>
      <c r="S227" s="1" t="str">
        <f>IF(Table1[[#This Row],[High Tol]]="","N/A",IFERROR(ABS(Table1[[#This Row],[Tol Span]]/Table1[[#This Row],[Error Span]]),"N/A"))</f>
        <v>N/A</v>
      </c>
      <c r="T227" s="1" t="str">
        <f>IF(OR(Table1[[#This Row],[Low Tol]]="",Table1[[#This Row],[High Tol]]=""),"Needs Analysis",IF(Table1[[#This Row],[Ratio]]&gt;=4,"Not Significant",IF(Table1[[#This Row],[Ratio]]&gt;=2,"Semi-Significant","Significant")))</f>
        <v>Needs Analysis</v>
      </c>
      <c r="W227" s="1">
        <f>IF(Table1[[#This Row],[Cal Type]]&lt;&gt;"ACCREDITED 17025 WITH UNCERTAINTIES",0,"")</f>
        <v>0</v>
      </c>
      <c r="X227" s="1" t="str">
        <f>IF(Table1[[#This Row],[DUT Read]]="","N/A",Table1[[#This Row],[Std Error]]+Table1[[#This Row],[DUT Read]]+Table1[[#This Row],[DUT Ucty]])</f>
        <v>N/A</v>
      </c>
      <c r="Y227" s="1" t="str">
        <f>IF(Table1[[#This Row],[Std Read]]="","N/A",Table1[[#This Row],[Std Read]]+Table1[[#This Row],[Std Ucty]])</f>
        <v>N/A</v>
      </c>
      <c r="Z2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 s="1" t="str">
        <f>IF(Table1[[#This Row],[Spec Type]]="","N/A",Table1[[#This Row],[Spec Type]])</f>
        <v>±</v>
      </c>
      <c r="AC227" s="1" t="str">
        <f>IF(Table1[[#This Row],[Spec Type2]]="N/A","N/A",IF(AND(Table1[[#This Row],[DUT Adj Read]]&gt;=Table1[[#This Row],[Low Tol]],Table1[[#This Row],[DUT Adj Read]]&lt;=Table1[[#This Row],[High Tol]]),"Pass","Fail"))</f>
        <v>Fail</v>
      </c>
      <c r="AD227" s="1" t="str">
        <f>IF(AND(Table1[[#This Row],[Spec Type2]]="N/A",Table1[[#This Row],[DUT Adj Read]]="N/A",Table1[[#This Row],[Std Adj Read]]="N/A"),"N/A",IF(Table1[[#This Row],[DUT Adj Read]]="N/A",IF(Table1[[#This Row],[Std Adj Read]]&gt;Table1[[#This Row],[Low Tol]],"Pass","Fail"),IF(Table1[[#This Row],[DUT Adj Read]]&gt;Table1[[#This Row],[Low Tol]],"Pass","Fail")))</f>
        <v>Pass</v>
      </c>
      <c r="AE227" s="1" t="str">
        <f>IF(AND(Table1[[#This Row],[Spec Type2]]="N/A",Table1[[#This Row],[DUT Adj Read]]="N/A",Table1[[#This Row],[Std Adj Read]]="N/A"),"N/A",IF(Table1[[#This Row],[DUT Adj Read]]="N/A",IF(Table1[[#This Row],[Std Adj Read]]&lt;Table1[[#This Row],[High Tol]],"Pass","Fail"),IF(Table1[[#This Row],[DUT Adj Read]]&lt;Table1[[#This Row],[High Tol]],"Pass","Fail")))</f>
        <v>Fail</v>
      </c>
      <c r="AF227" s="1" t="str">
        <f>IF(AND(Table1[[#This Row],[Spec Type2]]="N/A",Table1[[#This Row],[DUT Adj Read]]="N/A",Table1[[#This Row],[Std Adj Read]]="N/A"),"N/A",IF(Table1[[#This Row],[DUT Adj Read]]="N/A",IF(Table1[[#This Row],[Std Adj Read]]&gt;=Table1[[#This Row],[Low Tol]],"Pass","Fail"),IF(Table1[[#This Row],[DUT Adj Read]]&gt;=Table1[[#This Row],[Low Tol]],"Pass","Fail")))</f>
        <v>Pass</v>
      </c>
      <c r="AG227" s="1" t="str">
        <f>IF(AND(Table1[[#This Row],[Spec Type2]]="N/A",Table1[[#This Row],[DUT Adj Read]]="N/A",Table1[[#This Row],[Std Adj Read]]="N/A"),"N/A",IF(Table1[[#This Row],[DUT Adj Read]]="N/A",IF(Table1[[#This Row],[Std Adj Read]]&lt;=Table1[[#This Row],[High Tol]],"Pass","Fail"),IF(Table1[[#This Row],[DUT Adj Read]]&lt;=Table1[[#This Row],[High Tol]],"Pass","Fail")))</f>
        <v>Fail</v>
      </c>
      <c r="AH2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 s="1" t="b">
        <v>0</v>
      </c>
      <c r="AN227" s="1" t="b">
        <v>0</v>
      </c>
      <c r="AO227" s="1" t="b">
        <v>0</v>
      </c>
    </row>
    <row r="228" spans="1:41" x14ac:dyDescent="0.25">
      <c r="A228" s="10"/>
      <c r="B228" s="10"/>
      <c r="C228" s="10"/>
      <c r="D228" s="10"/>
      <c r="E228" s="10"/>
      <c r="F228" s="10"/>
      <c r="G228" s="10"/>
      <c r="H228" s="10"/>
      <c r="I228" s="1" t="str">
        <f t="shared" si="9"/>
        <v/>
      </c>
      <c r="J228" s="1" t="s">
        <v>35</v>
      </c>
      <c r="K228" s="1" t="str">
        <f t="shared" si="10"/>
        <v/>
      </c>
      <c r="L228" s="1" t="str">
        <f t="shared" si="11"/>
        <v/>
      </c>
      <c r="M228" s="1">
        <f>IF(OR(Table1[[#This Row],[Std Nom]]="",Table1[[#This Row],[Std Read]]=""),0,Table1[[#This Row],[Std Nom]]-Table1[[#This Row],[Std Read]])</f>
        <v>0</v>
      </c>
      <c r="N228" s="1">
        <f>IF(Calculations!$F$5="ACCREDITED 17025 WITH UNCERTAINTIES",$N$10,0)</f>
        <v>0</v>
      </c>
      <c r="O228" s="1" t="str">
        <f>IFERROR(Table1[[#This Row],[Std Nom]]-(_xlfn.XLOOKUP(Table1[[#This Row],[Manufacturer]]&amp;" "&amp;Table1[[#This Row],[Model]],Table13[MFR &amp; MDL],Table13[Tolerance % CW ],"")/100*Table1[[#This Row],[Std Nom]]),"")</f>
        <v/>
      </c>
      <c r="P228" s="1" t="str">
        <f>IFERROR(Table1[[#This Row],[Std Nom]]+(_xlfn.XLOOKUP(Table1[[#This Row],[Manufacturer]]&amp;" "&amp;Table1[[#This Row],[Model]],Table13[MFR &amp; MDL],Table13[Tolerance % CW ],"")/100*Table1[[#This Row],[Std Nom]]),"")</f>
        <v/>
      </c>
      <c r="Q228" s="1" t="e">
        <f>Table1[[#This Row],[High Tol]]-Table1[[#This Row],[Low Tol]]</f>
        <v>#VALUE!</v>
      </c>
      <c r="R228" s="1">
        <f>2*Table1[[#This Row],[Std Error]]</f>
        <v>0</v>
      </c>
      <c r="S228" s="1" t="str">
        <f>IF(Table1[[#This Row],[High Tol]]="","N/A",IFERROR(ABS(Table1[[#This Row],[Tol Span]]/Table1[[#This Row],[Error Span]]),"N/A"))</f>
        <v>N/A</v>
      </c>
      <c r="T228" s="1" t="str">
        <f>IF(OR(Table1[[#This Row],[Low Tol]]="",Table1[[#This Row],[High Tol]]=""),"Needs Analysis",IF(Table1[[#This Row],[Ratio]]&gt;=4,"Not Significant",IF(Table1[[#This Row],[Ratio]]&gt;=2,"Semi-Significant","Significant")))</f>
        <v>Needs Analysis</v>
      </c>
      <c r="W228" s="1">
        <f>IF(Table1[[#This Row],[Cal Type]]&lt;&gt;"ACCREDITED 17025 WITH UNCERTAINTIES",0,"")</f>
        <v>0</v>
      </c>
      <c r="X228" s="1" t="str">
        <f>IF(Table1[[#This Row],[DUT Read]]="","N/A",Table1[[#This Row],[Std Error]]+Table1[[#This Row],[DUT Read]]+Table1[[#This Row],[DUT Ucty]])</f>
        <v>N/A</v>
      </c>
      <c r="Y228" s="1" t="str">
        <f>IF(Table1[[#This Row],[Std Read]]="","N/A",Table1[[#This Row],[Std Read]]+Table1[[#This Row],[Std Ucty]])</f>
        <v>N/A</v>
      </c>
      <c r="Z2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 s="1" t="str">
        <f>IF(Table1[[#This Row],[Spec Type]]="","N/A",Table1[[#This Row],[Spec Type]])</f>
        <v>±</v>
      </c>
      <c r="AC228" s="1" t="str">
        <f>IF(Table1[[#This Row],[Spec Type2]]="N/A","N/A",IF(AND(Table1[[#This Row],[DUT Adj Read]]&gt;=Table1[[#This Row],[Low Tol]],Table1[[#This Row],[DUT Adj Read]]&lt;=Table1[[#This Row],[High Tol]]),"Pass","Fail"))</f>
        <v>Fail</v>
      </c>
      <c r="AD228" s="1" t="str">
        <f>IF(AND(Table1[[#This Row],[Spec Type2]]="N/A",Table1[[#This Row],[DUT Adj Read]]="N/A",Table1[[#This Row],[Std Adj Read]]="N/A"),"N/A",IF(Table1[[#This Row],[DUT Adj Read]]="N/A",IF(Table1[[#This Row],[Std Adj Read]]&gt;Table1[[#This Row],[Low Tol]],"Pass","Fail"),IF(Table1[[#This Row],[DUT Adj Read]]&gt;Table1[[#This Row],[Low Tol]],"Pass","Fail")))</f>
        <v>Pass</v>
      </c>
      <c r="AE228" s="1" t="str">
        <f>IF(AND(Table1[[#This Row],[Spec Type2]]="N/A",Table1[[#This Row],[DUT Adj Read]]="N/A",Table1[[#This Row],[Std Adj Read]]="N/A"),"N/A",IF(Table1[[#This Row],[DUT Adj Read]]="N/A",IF(Table1[[#This Row],[Std Adj Read]]&lt;Table1[[#This Row],[High Tol]],"Pass","Fail"),IF(Table1[[#This Row],[DUT Adj Read]]&lt;Table1[[#This Row],[High Tol]],"Pass","Fail")))</f>
        <v>Fail</v>
      </c>
      <c r="AF228" s="1" t="str">
        <f>IF(AND(Table1[[#This Row],[Spec Type2]]="N/A",Table1[[#This Row],[DUT Adj Read]]="N/A",Table1[[#This Row],[Std Adj Read]]="N/A"),"N/A",IF(Table1[[#This Row],[DUT Adj Read]]="N/A",IF(Table1[[#This Row],[Std Adj Read]]&gt;=Table1[[#This Row],[Low Tol]],"Pass","Fail"),IF(Table1[[#This Row],[DUT Adj Read]]&gt;=Table1[[#This Row],[Low Tol]],"Pass","Fail")))</f>
        <v>Pass</v>
      </c>
      <c r="AG228" s="1" t="str">
        <f>IF(AND(Table1[[#This Row],[Spec Type2]]="N/A",Table1[[#This Row],[DUT Adj Read]]="N/A",Table1[[#This Row],[Std Adj Read]]="N/A"),"N/A",IF(Table1[[#This Row],[DUT Adj Read]]="N/A",IF(Table1[[#This Row],[Std Adj Read]]&lt;=Table1[[#This Row],[High Tol]],"Pass","Fail"),IF(Table1[[#This Row],[DUT Adj Read]]&lt;=Table1[[#This Row],[High Tol]],"Pass","Fail")))</f>
        <v>Fail</v>
      </c>
      <c r="AH2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 s="1" t="b">
        <v>0</v>
      </c>
      <c r="AN228" s="1" t="b">
        <v>0</v>
      </c>
      <c r="AO228" s="1" t="b">
        <v>0</v>
      </c>
    </row>
    <row r="229" spans="1:41" x14ac:dyDescent="0.25">
      <c r="A229" s="10"/>
      <c r="B229" s="10"/>
      <c r="C229" s="10"/>
      <c r="D229" s="10"/>
      <c r="E229" s="10"/>
      <c r="F229" s="10"/>
      <c r="G229" s="10"/>
      <c r="H229" s="10"/>
      <c r="I229" s="1" t="str">
        <f t="shared" si="9"/>
        <v/>
      </c>
      <c r="J229" s="1" t="s">
        <v>35</v>
      </c>
      <c r="K229" s="1" t="str">
        <f t="shared" si="10"/>
        <v/>
      </c>
      <c r="L229" s="1" t="str">
        <f t="shared" si="11"/>
        <v/>
      </c>
      <c r="M229" s="1">
        <f>IF(OR(Table1[[#This Row],[Std Nom]]="",Table1[[#This Row],[Std Read]]=""),0,Table1[[#This Row],[Std Nom]]-Table1[[#This Row],[Std Read]])</f>
        <v>0</v>
      </c>
      <c r="N229" s="1">
        <f>IF(Calculations!$F$5="ACCREDITED 17025 WITH UNCERTAINTIES",$N$10,0)</f>
        <v>0</v>
      </c>
      <c r="O229" s="1" t="str">
        <f>IFERROR(Table1[[#This Row],[Std Nom]]-(_xlfn.XLOOKUP(Table1[[#This Row],[Manufacturer]]&amp;" "&amp;Table1[[#This Row],[Model]],Table13[MFR &amp; MDL],Table13[Tolerance % CW ],"")/100*Table1[[#This Row],[Std Nom]]),"")</f>
        <v/>
      </c>
      <c r="P229" s="1" t="str">
        <f>IFERROR(Table1[[#This Row],[Std Nom]]+(_xlfn.XLOOKUP(Table1[[#This Row],[Manufacturer]]&amp;" "&amp;Table1[[#This Row],[Model]],Table13[MFR &amp; MDL],Table13[Tolerance % CW ],"")/100*Table1[[#This Row],[Std Nom]]),"")</f>
        <v/>
      </c>
      <c r="Q229" s="1" t="e">
        <f>Table1[[#This Row],[High Tol]]-Table1[[#This Row],[Low Tol]]</f>
        <v>#VALUE!</v>
      </c>
      <c r="R229" s="1">
        <f>2*Table1[[#This Row],[Std Error]]</f>
        <v>0</v>
      </c>
      <c r="S229" s="1" t="str">
        <f>IF(Table1[[#This Row],[High Tol]]="","N/A",IFERROR(ABS(Table1[[#This Row],[Tol Span]]/Table1[[#This Row],[Error Span]]),"N/A"))</f>
        <v>N/A</v>
      </c>
      <c r="T229" s="1" t="str">
        <f>IF(OR(Table1[[#This Row],[Low Tol]]="",Table1[[#This Row],[High Tol]]=""),"Needs Analysis",IF(Table1[[#This Row],[Ratio]]&gt;=4,"Not Significant",IF(Table1[[#This Row],[Ratio]]&gt;=2,"Semi-Significant","Significant")))</f>
        <v>Needs Analysis</v>
      </c>
      <c r="W229" s="1">
        <f>IF(Table1[[#This Row],[Cal Type]]&lt;&gt;"ACCREDITED 17025 WITH UNCERTAINTIES",0,"")</f>
        <v>0</v>
      </c>
      <c r="X229" s="1" t="str">
        <f>IF(Table1[[#This Row],[DUT Read]]="","N/A",Table1[[#This Row],[Std Error]]+Table1[[#This Row],[DUT Read]]+Table1[[#This Row],[DUT Ucty]])</f>
        <v>N/A</v>
      </c>
      <c r="Y229" s="1" t="str">
        <f>IF(Table1[[#This Row],[Std Read]]="","N/A",Table1[[#This Row],[Std Read]]+Table1[[#This Row],[Std Ucty]])</f>
        <v>N/A</v>
      </c>
      <c r="Z2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 s="1" t="str">
        <f>IF(Table1[[#This Row],[Spec Type]]="","N/A",Table1[[#This Row],[Spec Type]])</f>
        <v>±</v>
      </c>
      <c r="AC229" s="1" t="str">
        <f>IF(Table1[[#This Row],[Spec Type2]]="N/A","N/A",IF(AND(Table1[[#This Row],[DUT Adj Read]]&gt;=Table1[[#This Row],[Low Tol]],Table1[[#This Row],[DUT Adj Read]]&lt;=Table1[[#This Row],[High Tol]]),"Pass","Fail"))</f>
        <v>Fail</v>
      </c>
      <c r="AD229" s="1" t="str">
        <f>IF(AND(Table1[[#This Row],[Spec Type2]]="N/A",Table1[[#This Row],[DUT Adj Read]]="N/A",Table1[[#This Row],[Std Adj Read]]="N/A"),"N/A",IF(Table1[[#This Row],[DUT Adj Read]]="N/A",IF(Table1[[#This Row],[Std Adj Read]]&gt;Table1[[#This Row],[Low Tol]],"Pass","Fail"),IF(Table1[[#This Row],[DUT Adj Read]]&gt;Table1[[#This Row],[Low Tol]],"Pass","Fail")))</f>
        <v>Pass</v>
      </c>
      <c r="AE229" s="1" t="str">
        <f>IF(AND(Table1[[#This Row],[Spec Type2]]="N/A",Table1[[#This Row],[DUT Adj Read]]="N/A",Table1[[#This Row],[Std Adj Read]]="N/A"),"N/A",IF(Table1[[#This Row],[DUT Adj Read]]="N/A",IF(Table1[[#This Row],[Std Adj Read]]&lt;Table1[[#This Row],[High Tol]],"Pass","Fail"),IF(Table1[[#This Row],[DUT Adj Read]]&lt;Table1[[#This Row],[High Tol]],"Pass","Fail")))</f>
        <v>Fail</v>
      </c>
      <c r="AF229" s="1" t="str">
        <f>IF(AND(Table1[[#This Row],[Spec Type2]]="N/A",Table1[[#This Row],[DUT Adj Read]]="N/A",Table1[[#This Row],[Std Adj Read]]="N/A"),"N/A",IF(Table1[[#This Row],[DUT Adj Read]]="N/A",IF(Table1[[#This Row],[Std Adj Read]]&gt;=Table1[[#This Row],[Low Tol]],"Pass","Fail"),IF(Table1[[#This Row],[DUT Adj Read]]&gt;=Table1[[#This Row],[Low Tol]],"Pass","Fail")))</f>
        <v>Pass</v>
      </c>
      <c r="AG229" s="1" t="str">
        <f>IF(AND(Table1[[#This Row],[Spec Type2]]="N/A",Table1[[#This Row],[DUT Adj Read]]="N/A",Table1[[#This Row],[Std Adj Read]]="N/A"),"N/A",IF(Table1[[#This Row],[DUT Adj Read]]="N/A",IF(Table1[[#This Row],[Std Adj Read]]&lt;=Table1[[#This Row],[High Tol]],"Pass","Fail"),IF(Table1[[#This Row],[DUT Adj Read]]&lt;=Table1[[#This Row],[High Tol]],"Pass","Fail")))</f>
        <v>Fail</v>
      </c>
      <c r="AH2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 s="1" t="b">
        <v>0</v>
      </c>
      <c r="AN229" s="1" t="b">
        <v>0</v>
      </c>
      <c r="AO229" s="1" t="b">
        <v>0</v>
      </c>
    </row>
    <row r="230" spans="1:41" x14ac:dyDescent="0.25">
      <c r="A230" s="10"/>
      <c r="B230" s="10"/>
      <c r="C230" s="10"/>
      <c r="D230" s="10"/>
      <c r="E230" s="10"/>
      <c r="F230" s="10"/>
      <c r="G230" s="10"/>
      <c r="H230" s="10"/>
      <c r="I230" s="1" t="str">
        <f t="shared" si="9"/>
        <v/>
      </c>
      <c r="J230" s="1" t="s">
        <v>35</v>
      </c>
      <c r="K230" s="1" t="str">
        <f t="shared" si="10"/>
        <v/>
      </c>
      <c r="L230" s="1" t="str">
        <f t="shared" si="11"/>
        <v/>
      </c>
      <c r="M230" s="1">
        <f>IF(OR(Table1[[#This Row],[Std Nom]]="",Table1[[#This Row],[Std Read]]=""),0,Table1[[#This Row],[Std Nom]]-Table1[[#This Row],[Std Read]])</f>
        <v>0</v>
      </c>
      <c r="N230" s="1">
        <f>IF(Calculations!$F$5="ACCREDITED 17025 WITH UNCERTAINTIES",$N$10,0)</f>
        <v>0</v>
      </c>
      <c r="O230" s="1" t="str">
        <f>IFERROR(Table1[[#This Row],[Std Nom]]-(_xlfn.XLOOKUP(Table1[[#This Row],[Manufacturer]]&amp;" "&amp;Table1[[#This Row],[Model]],Table13[MFR &amp; MDL],Table13[Tolerance % CW ],"")/100*Table1[[#This Row],[Std Nom]]),"")</f>
        <v/>
      </c>
      <c r="P230" s="1" t="str">
        <f>IFERROR(Table1[[#This Row],[Std Nom]]+(_xlfn.XLOOKUP(Table1[[#This Row],[Manufacturer]]&amp;" "&amp;Table1[[#This Row],[Model]],Table13[MFR &amp; MDL],Table13[Tolerance % CW ],"")/100*Table1[[#This Row],[Std Nom]]),"")</f>
        <v/>
      </c>
      <c r="Q230" s="1" t="e">
        <f>Table1[[#This Row],[High Tol]]-Table1[[#This Row],[Low Tol]]</f>
        <v>#VALUE!</v>
      </c>
      <c r="R230" s="1">
        <f>2*Table1[[#This Row],[Std Error]]</f>
        <v>0</v>
      </c>
      <c r="S230" s="1" t="str">
        <f>IF(Table1[[#This Row],[High Tol]]="","N/A",IFERROR(ABS(Table1[[#This Row],[Tol Span]]/Table1[[#This Row],[Error Span]]),"N/A"))</f>
        <v>N/A</v>
      </c>
      <c r="T230" s="1" t="str">
        <f>IF(OR(Table1[[#This Row],[Low Tol]]="",Table1[[#This Row],[High Tol]]=""),"Needs Analysis",IF(Table1[[#This Row],[Ratio]]&gt;=4,"Not Significant",IF(Table1[[#This Row],[Ratio]]&gt;=2,"Semi-Significant","Significant")))</f>
        <v>Needs Analysis</v>
      </c>
      <c r="W230" s="1">
        <f>IF(Table1[[#This Row],[Cal Type]]&lt;&gt;"ACCREDITED 17025 WITH UNCERTAINTIES",0,"")</f>
        <v>0</v>
      </c>
      <c r="X230" s="1" t="str">
        <f>IF(Table1[[#This Row],[DUT Read]]="","N/A",Table1[[#This Row],[Std Error]]+Table1[[#This Row],[DUT Read]]+Table1[[#This Row],[DUT Ucty]])</f>
        <v>N/A</v>
      </c>
      <c r="Y230" s="1" t="str">
        <f>IF(Table1[[#This Row],[Std Read]]="","N/A",Table1[[#This Row],[Std Read]]+Table1[[#This Row],[Std Ucty]])</f>
        <v>N/A</v>
      </c>
      <c r="Z2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 s="1" t="str">
        <f>IF(Table1[[#This Row],[Spec Type]]="","N/A",Table1[[#This Row],[Spec Type]])</f>
        <v>±</v>
      </c>
      <c r="AC230" s="1" t="str">
        <f>IF(Table1[[#This Row],[Spec Type2]]="N/A","N/A",IF(AND(Table1[[#This Row],[DUT Adj Read]]&gt;=Table1[[#This Row],[Low Tol]],Table1[[#This Row],[DUT Adj Read]]&lt;=Table1[[#This Row],[High Tol]]),"Pass","Fail"))</f>
        <v>Fail</v>
      </c>
      <c r="AD230" s="1" t="str">
        <f>IF(AND(Table1[[#This Row],[Spec Type2]]="N/A",Table1[[#This Row],[DUT Adj Read]]="N/A",Table1[[#This Row],[Std Adj Read]]="N/A"),"N/A",IF(Table1[[#This Row],[DUT Adj Read]]="N/A",IF(Table1[[#This Row],[Std Adj Read]]&gt;Table1[[#This Row],[Low Tol]],"Pass","Fail"),IF(Table1[[#This Row],[DUT Adj Read]]&gt;Table1[[#This Row],[Low Tol]],"Pass","Fail")))</f>
        <v>Pass</v>
      </c>
      <c r="AE230" s="1" t="str">
        <f>IF(AND(Table1[[#This Row],[Spec Type2]]="N/A",Table1[[#This Row],[DUT Adj Read]]="N/A",Table1[[#This Row],[Std Adj Read]]="N/A"),"N/A",IF(Table1[[#This Row],[DUT Adj Read]]="N/A",IF(Table1[[#This Row],[Std Adj Read]]&lt;Table1[[#This Row],[High Tol]],"Pass","Fail"),IF(Table1[[#This Row],[DUT Adj Read]]&lt;Table1[[#This Row],[High Tol]],"Pass","Fail")))</f>
        <v>Fail</v>
      </c>
      <c r="AF230" s="1" t="str">
        <f>IF(AND(Table1[[#This Row],[Spec Type2]]="N/A",Table1[[#This Row],[DUT Adj Read]]="N/A",Table1[[#This Row],[Std Adj Read]]="N/A"),"N/A",IF(Table1[[#This Row],[DUT Adj Read]]="N/A",IF(Table1[[#This Row],[Std Adj Read]]&gt;=Table1[[#This Row],[Low Tol]],"Pass","Fail"),IF(Table1[[#This Row],[DUT Adj Read]]&gt;=Table1[[#This Row],[Low Tol]],"Pass","Fail")))</f>
        <v>Pass</v>
      </c>
      <c r="AG230" s="1" t="str">
        <f>IF(AND(Table1[[#This Row],[Spec Type2]]="N/A",Table1[[#This Row],[DUT Adj Read]]="N/A",Table1[[#This Row],[Std Adj Read]]="N/A"),"N/A",IF(Table1[[#This Row],[DUT Adj Read]]="N/A",IF(Table1[[#This Row],[Std Adj Read]]&lt;=Table1[[#This Row],[High Tol]],"Pass","Fail"),IF(Table1[[#This Row],[DUT Adj Read]]&lt;=Table1[[#This Row],[High Tol]],"Pass","Fail")))</f>
        <v>Fail</v>
      </c>
      <c r="AH2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 s="1" t="b">
        <v>0</v>
      </c>
      <c r="AN230" s="1" t="b">
        <v>0</v>
      </c>
      <c r="AO230" s="1" t="b">
        <v>0</v>
      </c>
    </row>
    <row r="231" spans="1:41" x14ac:dyDescent="0.25">
      <c r="A231" s="10"/>
      <c r="B231" s="10"/>
      <c r="C231" s="10"/>
      <c r="D231" s="10"/>
      <c r="E231" s="10"/>
      <c r="F231" s="10"/>
      <c r="G231" s="10"/>
      <c r="H231" s="10"/>
      <c r="I231" s="1" t="str">
        <f t="shared" si="9"/>
        <v/>
      </c>
      <c r="J231" s="1" t="s">
        <v>35</v>
      </c>
      <c r="K231" s="1" t="str">
        <f t="shared" si="10"/>
        <v/>
      </c>
      <c r="L231" s="1" t="str">
        <f t="shared" si="11"/>
        <v/>
      </c>
      <c r="M231" s="1">
        <f>IF(OR(Table1[[#This Row],[Std Nom]]="",Table1[[#This Row],[Std Read]]=""),0,Table1[[#This Row],[Std Nom]]-Table1[[#This Row],[Std Read]])</f>
        <v>0</v>
      </c>
      <c r="N231" s="1">
        <f>IF(Calculations!$F$5="ACCREDITED 17025 WITH UNCERTAINTIES",$N$10,0)</f>
        <v>0</v>
      </c>
      <c r="O231" s="1" t="str">
        <f>IFERROR(Table1[[#This Row],[Std Nom]]-(_xlfn.XLOOKUP(Table1[[#This Row],[Manufacturer]]&amp;" "&amp;Table1[[#This Row],[Model]],Table13[MFR &amp; MDL],Table13[Tolerance % CW ],"")/100*Table1[[#This Row],[Std Nom]]),"")</f>
        <v/>
      </c>
      <c r="P231" s="1" t="str">
        <f>IFERROR(Table1[[#This Row],[Std Nom]]+(_xlfn.XLOOKUP(Table1[[#This Row],[Manufacturer]]&amp;" "&amp;Table1[[#This Row],[Model]],Table13[MFR &amp; MDL],Table13[Tolerance % CW ],"")/100*Table1[[#This Row],[Std Nom]]),"")</f>
        <v/>
      </c>
      <c r="Q231" s="1" t="e">
        <f>Table1[[#This Row],[High Tol]]-Table1[[#This Row],[Low Tol]]</f>
        <v>#VALUE!</v>
      </c>
      <c r="R231" s="1">
        <f>2*Table1[[#This Row],[Std Error]]</f>
        <v>0</v>
      </c>
      <c r="S231" s="1" t="str">
        <f>IF(Table1[[#This Row],[High Tol]]="","N/A",IFERROR(ABS(Table1[[#This Row],[Tol Span]]/Table1[[#This Row],[Error Span]]),"N/A"))</f>
        <v>N/A</v>
      </c>
      <c r="T231" s="1" t="str">
        <f>IF(OR(Table1[[#This Row],[Low Tol]]="",Table1[[#This Row],[High Tol]]=""),"Needs Analysis",IF(Table1[[#This Row],[Ratio]]&gt;=4,"Not Significant",IF(Table1[[#This Row],[Ratio]]&gt;=2,"Semi-Significant","Significant")))</f>
        <v>Needs Analysis</v>
      </c>
      <c r="W231" s="1">
        <f>IF(Table1[[#This Row],[Cal Type]]&lt;&gt;"ACCREDITED 17025 WITH UNCERTAINTIES",0,"")</f>
        <v>0</v>
      </c>
      <c r="X231" s="1" t="str">
        <f>IF(Table1[[#This Row],[DUT Read]]="","N/A",Table1[[#This Row],[Std Error]]+Table1[[#This Row],[DUT Read]]+Table1[[#This Row],[DUT Ucty]])</f>
        <v>N/A</v>
      </c>
      <c r="Y231" s="1" t="str">
        <f>IF(Table1[[#This Row],[Std Read]]="","N/A",Table1[[#This Row],[Std Read]]+Table1[[#This Row],[Std Ucty]])</f>
        <v>N/A</v>
      </c>
      <c r="Z2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 s="1" t="str">
        <f>IF(Table1[[#This Row],[Spec Type]]="","N/A",Table1[[#This Row],[Spec Type]])</f>
        <v>±</v>
      </c>
      <c r="AC231" s="1" t="str">
        <f>IF(Table1[[#This Row],[Spec Type2]]="N/A","N/A",IF(AND(Table1[[#This Row],[DUT Adj Read]]&gt;=Table1[[#This Row],[Low Tol]],Table1[[#This Row],[DUT Adj Read]]&lt;=Table1[[#This Row],[High Tol]]),"Pass","Fail"))</f>
        <v>Fail</v>
      </c>
      <c r="AD231" s="1" t="str">
        <f>IF(AND(Table1[[#This Row],[Spec Type2]]="N/A",Table1[[#This Row],[DUT Adj Read]]="N/A",Table1[[#This Row],[Std Adj Read]]="N/A"),"N/A",IF(Table1[[#This Row],[DUT Adj Read]]="N/A",IF(Table1[[#This Row],[Std Adj Read]]&gt;Table1[[#This Row],[Low Tol]],"Pass","Fail"),IF(Table1[[#This Row],[DUT Adj Read]]&gt;Table1[[#This Row],[Low Tol]],"Pass","Fail")))</f>
        <v>Pass</v>
      </c>
      <c r="AE231" s="1" t="str">
        <f>IF(AND(Table1[[#This Row],[Spec Type2]]="N/A",Table1[[#This Row],[DUT Adj Read]]="N/A",Table1[[#This Row],[Std Adj Read]]="N/A"),"N/A",IF(Table1[[#This Row],[DUT Adj Read]]="N/A",IF(Table1[[#This Row],[Std Adj Read]]&lt;Table1[[#This Row],[High Tol]],"Pass","Fail"),IF(Table1[[#This Row],[DUT Adj Read]]&lt;Table1[[#This Row],[High Tol]],"Pass","Fail")))</f>
        <v>Fail</v>
      </c>
      <c r="AF231" s="1" t="str">
        <f>IF(AND(Table1[[#This Row],[Spec Type2]]="N/A",Table1[[#This Row],[DUT Adj Read]]="N/A",Table1[[#This Row],[Std Adj Read]]="N/A"),"N/A",IF(Table1[[#This Row],[DUT Adj Read]]="N/A",IF(Table1[[#This Row],[Std Adj Read]]&gt;=Table1[[#This Row],[Low Tol]],"Pass","Fail"),IF(Table1[[#This Row],[DUT Adj Read]]&gt;=Table1[[#This Row],[Low Tol]],"Pass","Fail")))</f>
        <v>Pass</v>
      </c>
      <c r="AG231" s="1" t="str">
        <f>IF(AND(Table1[[#This Row],[Spec Type2]]="N/A",Table1[[#This Row],[DUT Adj Read]]="N/A",Table1[[#This Row],[Std Adj Read]]="N/A"),"N/A",IF(Table1[[#This Row],[DUT Adj Read]]="N/A",IF(Table1[[#This Row],[Std Adj Read]]&lt;=Table1[[#This Row],[High Tol]],"Pass","Fail"),IF(Table1[[#This Row],[DUT Adj Read]]&lt;=Table1[[#This Row],[High Tol]],"Pass","Fail")))</f>
        <v>Fail</v>
      </c>
      <c r="AH2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 s="1" t="b">
        <v>0</v>
      </c>
      <c r="AN231" s="1" t="b">
        <v>0</v>
      </c>
      <c r="AO231" s="1" t="b">
        <v>0</v>
      </c>
    </row>
    <row r="232" spans="1:41" x14ac:dyDescent="0.25">
      <c r="A232" s="10"/>
      <c r="B232" s="10"/>
      <c r="C232" s="10"/>
      <c r="D232" s="10"/>
      <c r="E232" s="10"/>
      <c r="F232" s="10"/>
      <c r="G232" s="10"/>
      <c r="H232" s="10"/>
      <c r="I232" s="1" t="str">
        <f t="shared" si="9"/>
        <v/>
      </c>
      <c r="J232" s="1" t="s">
        <v>35</v>
      </c>
      <c r="K232" s="1" t="str">
        <f t="shared" si="10"/>
        <v/>
      </c>
      <c r="L232" s="1" t="str">
        <f t="shared" si="11"/>
        <v/>
      </c>
      <c r="M232" s="1">
        <f>IF(OR(Table1[[#This Row],[Std Nom]]="",Table1[[#This Row],[Std Read]]=""),0,Table1[[#This Row],[Std Nom]]-Table1[[#This Row],[Std Read]])</f>
        <v>0</v>
      </c>
      <c r="N232" s="1">
        <f>IF(Calculations!$F$5="ACCREDITED 17025 WITH UNCERTAINTIES",$N$10,0)</f>
        <v>0</v>
      </c>
      <c r="O232" s="1" t="str">
        <f>IFERROR(Table1[[#This Row],[Std Nom]]-(_xlfn.XLOOKUP(Table1[[#This Row],[Manufacturer]]&amp;" "&amp;Table1[[#This Row],[Model]],Table13[MFR &amp; MDL],Table13[Tolerance % CW ],"")/100*Table1[[#This Row],[Std Nom]]),"")</f>
        <v/>
      </c>
      <c r="P232" s="1" t="str">
        <f>IFERROR(Table1[[#This Row],[Std Nom]]+(_xlfn.XLOOKUP(Table1[[#This Row],[Manufacturer]]&amp;" "&amp;Table1[[#This Row],[Model]],Table13[MFR &amp; MDL],Table13[Tolerance % CW ],"")/100*Table1[[#This Row],[Std Nom]]),"")</f>
        <v/>
      </c>
      <c r="Q232" s="1" t="e">
        <f>Table1[[#This Row],[High Tol]]-Table1[[#This Row],[Low Tol]]</f>
        <v>#VALUE!</v>
      </c>
      <c r="R232" s="1">
        <f>2*Table1[[#This Row],[Std Error]]</f>
        <v>0</v>
      </c>
      <c r="S232" s="1" t="str">
        <f>IF(Table1[[#This Row],[High Tol]]="","N/A",IFERROR(ABS(Table1[[#This Row],[Tol Span]]/Table1[[#This Row],[Error Span]]),"N/A"))</f>
        <v>N/A</v>
      </c>
      <c r="T232" s="1" t="str">
        <f>IF(OR(Table1[[#This Row],[Low Tol]]="",Table1[[#This Row],[High Tol]]=""),"Needs Analysis",IF(Table1[[#This Row],[Ratio]]&gt;=4,"Not Significant",IF(Table1[[#This Row],[Ratio]]&gt;=2,"Semi-Significant","Significant")))</f>
        <v>Needs Analysis</v>
      </c>
      <c r="W232" s="1">
        <f>IF(Table1[[#This Row],[Cal Type]]&lt;&gt;"ACCREDITED 17025 WITH UNCERTAINTIES",0,"")</f>
        <v>0</v>
      </c>
      <c r="X232" s="1" t="str">
        <f>IF(Table1[[#This Row],[DUT Read]]="","N/A",Table1[[#This Row],[Std Error]]+Table1[[#This Row],[DUT Read]]+Table1[[#This Row],[DUT Ucty]])</f>
        <v>N/A</v>
      </c>
      <c r="Y232" s="1" t="str">
        <f>IF(Table1[[#This Row],[Std Read]]="","N/A",Table1[[#This Row],[Std Read]]+Table1[[#This Row],[Std Ucty]])</f>
        <v>N/A</v>
      </c>
      <c r="Z2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 s="1" t="str">
        <f>IF(Table1[[#This Row],[Spec Type]]="","N/A",Table1[[#This Row],[Spec Type]])</f>
        <v>±</v>
      </c>
      <c r="AC232" s="1" t="str">
        <f>IF(Table1[[#This Row],[Spec Type2]]="N/A","N/A",IF(AND(Table1[[#This Row],[DUT Adj Read]]&gt;=Table1[[#This Row],[Low Tol]],Table1[[#This Row],[DUT Adj Read]]&lt;=Table1[[#This Row],[High Tol]]),"Pass","Fail"))</f>
        <v>Fail</v>
      </c>
      <c r="AD232" s="1" t="str">
        <f>IF(AND(Table1[[#This Row],[Spec Type2]]="N/A",Table1[[#This Row],[DUT Adj Read]]="N/A",Table1[[#This Row],[Std Adj Read]]="N/A"),"N/A",IF(Table1[[#This Row],[DUT Adj Read]]="N/A",IF(Table1[[#This Row],[Std Adj Read]]&gt;Table1[[#This Row],[Low Tol]],"Pass","Fail"),IF(Table1[[#This Row],[DUT Adj Read]]&gt;Table1[[#This Row],[Low Tol]],"Pass","Fail")))</f>
        <v>Pass</v>
      </c>
      <c r="AE232" s="1" t="str">
        <f>IF(AND(Table1[[#This Row],[Spec Type2]]="N/A",Table1[[#This Row],[DUT Adj Read]]="N/A",Table1[[#This Row],[Std Adj Read]]="N/A"),"N/A",IF(Table1[[#This Row],[DUT Adj Read]]="N/A",IF(Table1[[#This Row],[Std Adj Read]]&lt;Table1[[#This Row],[High Tol]],"Pass","Fail"),IF(Table1[[#This Row],[DUT Adj Read]]&lt;Table1[[#This Row],[High Tol]],"Pass","Fail")))</f>
        <v>Fail</v>
      </c>
      <c r="AF232" s="1" t="str">
        <f>IF(AND(Table1[[#This Row],[Spec Type2]]="N/A",Table1[[#This Row],[DUT Adj Read]]="N/A",Table1[[#This Row],[Std Adj Read]]="N/A"),"N/A",IF(Table1[[#This Row],[DUT Adj Read]]="N/A",IF(Table1[[#This Row],[Std Adj Read]]&gt;=Table1[[#This Row],[Low Tol]],"Pass","Fail"),IF(Table1[[#This Row],[DUT Adj Read]]&gt;=Table1[[#This Row],[Low Tol]],"Pass","Fail")))</f>
        <v>Pass</v>
      </c>
      <c r="AG232" s="1" t="str">
        <f>IF(AND(Table1[[#This Row],[Spec Type2]]="N/A",Table1[[#This Row],[DUT Adj Read]]="N/A",Table1[[#This Row],[Std Adj Read]]="N/A"),"N/A",IF(Table1[[#This Row],[DUT Adj Read]]="N/A",IF(Table1[[#This Row],[Std Adj Read]]&lt;=Table1[[#This Row],[High Tol]],"Pass","Fail"),IF(Table1[[#This Row],[DUT Adj Read]]&lt;=Table1[[#This Row],[High Tol]],"Pass","Fail")))</f>
        <v>Fail</v>
      </c>
      <c r="AH2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 s="1" t="b">
        <v>0</v>
      </c>
      <c r="AN232" s="1" t="b">
        <v>0</v>
      </c>
      <c r="AO232" s="1" t="b">
        <v>0</v>
      </c>
    </row>
    <row r="233" spans="1:41" x14ac:dyDescent="0.25">
      <c r="A233" s="10"/>
      <c r="B233" s="10"/>
      <c r="C233" s="10"/>
      <c r="D233" s="10"/>
      <c r="E233" s="10"/>
      <c r="F233" s="10"/>
      <c r="G233" s="10"/>
      <c r="H233" s="10"/>
      <c r="I233" s="1" t="str">
        <f t="shared" si="9"/>
        <v/>
      </c>
      <c r="J233" s="1" t="s">
        <v>35</v>
      </c>
      <c r="K233" s="1" t="str">
        <f t="shared" si="10"/>
        <v/>
      </c>
      <c r="L233" s="1" t="str">
        <f t="shared" si="11"/>
        <v/>
      </c>
      <c r="M233" s="1">
        <f>IF(OR(Table1[[#This Row],[Std Nom]]="",Table1[[#This Row],[Std Read]]=""),0,Table1[[#This Row],[Std Nom]]-Table1[[#This Row],[Std Read]])</f>
        <v>0</v>
      </c>
      <c r="N233" s="1">
        <f>IF(Calculations!$F$5="ACCREDITED 17025 WITH UNCERTAINTIES",$N$10,0)</f>
        <v>0</v>
      </c>
      <c r="O233" s="1" t="str">
        <f>IFERROR(Table1[[#This Row],[Std Nom]]-(_xlfn.XLOOKUP(Table1[[#This Row],[Manufacturer]]&amp;" "&amp;Table1[[#This Row],[Model]],Table13[MFR &amp; MDL],Table13[Tolerance % CW ],"")/100*Table1[[#This Row],[Std Nom]]),"")</f>
        <v/>
      </c>
      <c r="P233" s="1" t="str">
        <f>IFERROR(Table1[[#This Row],[Std Nom]]+(_xlfn.XLOOKUP(Table1[[#This Row],[Manufacturer]]&amp;" "&amp;Table1[[#This Row],[Model]],Table13[MFR &amp; MDL],Table13[Tolerance % CW ],"")/100*Table1[[#This Row],[Std Nom]]),"")</f>
        <v/>
      </c>
      <c r="Q233" s="1" t="e">
        <f>Table1[[#This Row],[High Tol]]-Table1[[#This Row],[Low Tol]]</f>
        <v>#VALUE!</v>
      </c>
      <c r="R233" s="1">
        <f>2*Table1[[#This Row],[Std Error]]</f>
        <v>0</v>
      </c>
      <c r="S233" s="1" t="str">
        <f>IF(Table1[[#This Row],[High Tol]]="","N/A",IFERROR(ABS(Table1[[#This Row],[Tol Span]]/Table1[[#This Row],[Error Span]]),"N/A"))</f>
        <v>N/A</v>
      </c>
      <c r="T233" s="1" t="str">
        <f>IF(OR(Table1[[#This Row],[Low Tol]]="",Table1[[#This Row],[High Tol]]=""),"Needs Analysis",IF(Table1[[#This Row],[Ratio]]&gt;=4,"Not Significant",IF(Table1[[#This Row],[Ratio]]&gt;=2,"Semi-Significant","Significant")))</f>
        <v>Needs Analysis</v>
      </c>
      <c r="W233" s="1">
        <f>IF(Table1[[#This Row],[Cal Type]]&lt;&gt;"ACCREDITED 17025 WITH UNCERTAINTIES",0,"")</f>
        <v>0</v>
      </c>
      <c r="X233" s="1" t="str">
        <f>IF(Table1[[#This Row],[DUT Read]]="","N/A",Table1[[#This Row],[Std Error]]+Table1[[#This Row],[DUT Read]]+Table1[[#This Row],[DUT Ucty]])</f>
        <v>N/A</v>
      </c>
      <c r="Y233" s="1" t="str">
        <f>IF(Table1[[#This Row],[Std Read]]="","N/A",Table1[[#This Row],[Std Read]]+Table1[[#This Row],[Std Ucty]])</f>
        <v>N/A</v>
      </c>
      <c r="Z2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 s="1" t="str">
        <f>IF(Table1[[#This Row],[Spec Type]]="","N/A",Table1[[#This Row],[Spec Type]])</f>
        <v>±</v>
      </c>
      <c r="AC233" s="1" t="str">
        <f>IF(Table1[[#This Row],[Spec Type2]]="N/A","N/A",IF(AND(Table1[[#This Row],[DUT Adj Read]]&gt;=Table1[[#This Row],[Low Tol]],Table1[[#This Row],[DUT Adj Read]]&lt;=Table1[[#This Row],[High Tol]]),"Pass","Fail"))</f>
        <v>Fail</v>
      </c>
      <c r="AD233" s="1" t="str">
        <f>IF(AND(Table1[[#This Row],[Spec Type2]]="N/A",Table1[[#This Row],[DUT Adj Read]]="N/A",Table1[[#This Row],[Std Adj Read]]="N/A"),"N/A",IF(Table1[[#This Row],[DUT Adj Read]]="N/A",IF(Table1[[#This Row],[Std Adj Read]]&gt;Table1[[#This Row],[Low Tol]],"Pass","Fail"),IF(Table1[[#This Row],[DUT Adj Read]]&gt;Table1[[#This Row],[Low Tol]],"Pass","Fail")))</f>
        <v>Pass</v>
      </c>
      <c r="AE233" s="1" t="str">
        <f>IF(AND(Table1[[#This Row],[Spec Type2]]="N/A",Table1[[#This Row],[DUT Adj Read]]="N/A",Table1[[#This Row],[Std Adj Read]]="N/A"),"N/A",IF(Table1[[#This Row],[DUT Adj Read]]="N/A",IF(Table1[[#This Row],[Std Adj Read]]&lt;Table1[[#This Row],[High Tol]],"Pass","Fail"),IF(Table1[[#This Row],[DUT Adj Read]]&lt;Table1[[#This Row],[High Tol]],"Pass","Fail")))</f>
        <v>Fail</v>
      </c>
      <c r="AF233" s="1" t="str">
        <f>IF(AND(Table1[[#This Row],[Spec Type2]]="N/A",Table1[[#This Row],[DUT Adj Read]]="N/A",Table1[[#This Row],[Std Adj Read]]="N/A"),"N/A",IF(Table1[[#This Row],[DUT Adj Read]]="N/A",IF(Table1[[#This Row],[Std Adj Read]]&gt;=Table1[[#This Row],[Low Tol]],"Pass","Fail"),IF(Table1[[#This Row],[DUT Adj Read]]&gt;=Table1[[#This Row],[Low Tol]],"Pass","Fail")))</f>
        <v>Pass</v>
      </c>
      <c r="AG233" s="1" t="str">
        <f>IF(AND(Table1[[#This Row],[Spec Type2]]="N/A",Table1[[#This Row],[DUT Adj Read]]="N/A",Table1[[#This Row],[Std Adj Read]]="N/A"),"N/A",IF(Table1[[#This Row],[DUT Adj Read]]="N/A",IF(Table1[[#This Row],[Std Adj Read]]&lt;=Table1[[#This Row],[High Tol]],"Pass","Fail"),IF(Table1[[#This Row],[DUT Adj Read]]&lt;=Table1[[#This Row],[High Tol]],"Pass","Fail")))</f>
        <v>Fail</v>
      </c>
      <c r="AH2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 s="1" t="b">
        <v>0</v>
      </c>
      <c r="AN233" s="1" t="b">
        <v>0</v>
      </c>
      <c r="AO233" s="1" t="b">
        <v>0</v>
      </c>
    </row>
    <row r="234" spans="1:41" x14ac:dyDescent="0.25">
      <c r="A234" s="10"/>
      <c r="B234" s="10"/>
      <c r="C234" s="10"/>
      <c r="D234" s="10"/>
      <c r="E234" s="10"/>
      <c r="F234" s="10"/>
      <c r="G234" s="10"/>
      <c r="H234" s="10"/>
      <c r="I234" s="1" t="str">
        <f t="shared" si="9"/>
        <v/>
      </c>
      <c r="J234" s="1" t="s">
        <v>35</v>
      </c>
      <c r="K234" s="1" t="str">
        <f t="shared" si="10"/>
        <v/>
      </c>
      <c r="L234" s="1" t="str">
        <f t="shared" si="11"/>
        <v/>
      </c>
      <c r="M234" s="1">
        <f>IF(OR(Table1[[#This Row],[Std Nom]]="",Table1[[#This Row],[Std Read]]=""),0,Table1[[#This Row],[Std Nom]]-Table1[[#This Row],[Std Read]])</f>
        <v>0</v>
      </c>
      <c r="N234" s="1">
        <f>IF(Calculations!$F$5="ACCREDITED 17025 WITH UNCERTAINTIES",$N$10,0)</f>
        <v>0</v>
      </c>
      <c r="O234" s="1" t="str">
        <f>IFERROR(Table1[[#This Row],[Std Nom]]-(_xlfn.XLOOKUP(Table1[[#This Row],[Manufacturer]]&amp;" "&amp;Table1[[#This Row],[Model]],Table13[MFR &amp; MDL],Table13[Tolerance % CW ],"")/100*Table1[[#This Row],[Std Nom]]),"")</f>
        <v/>
      </c>
      <c r="P234" s="1" t="str">
        <f>IFERROR(Table1[[#This Row],[Std Nom]]+(_xlfn.XLOOKUP(Table1[[#This Row],[Manufacturer]]&amp;" "&amp;Table1[[#This Row],[Model]],Table13[MFR &amp; MDL],Table13[Tolerance % CW ],"")/100*Table1[[#This Row],[Std Nom]]),"")</f>
        <v/>
      </c>
      <c r="Q234" s="1" t="e">
        <f>Table1[[#This Row],[High Tol]]-Table1[[#This Row],[Low Tol]]</f>
        <v>#VALUE!</v>
      </c>
      <c r="R234" s="1">
        <f>2*Table1[[#This Row],[Std Error]]</f>
        <v>0</v>
      </c>
      <c r="S234" s="1" t="str">
        <f>IF(Table1[[#This Row],[High Tol]]="","N/A",IFERROR(ABS(Table1[[#This Row],[Tol Span]]/Table1[[#This Row],[Error Span]]),"N/A"))</f>
        <v>N/A</v>
      </c>
      <c r="T234" s="1" t="str">
        <f>IF(OR(Table1[[#This Row],[Low Tol]]="",Table1[[#This Row],[High Tol]]=""),"Needs Analysis",IF(Table1[[#This Row],[Ratio]]&gt;=4,"Not Significant",IF(Table1[[#This Row],[Ratio]]&gt;=2,"Semi-Significant","Significant")))</f>
        <v>Needs Analysis</v>
      </c>
      <c r="W234" s="1">
        <f>IF(Table1[[#This Row],[Cal Type]]&lt;&gt;"ACCREDITED 17025 WITH UNCERTAINTIES",0,"")</f>
        <v>0</v>
      </c>
      <c r="X234" s="1" t="str">
        <f>IF(Table1[[#This Row],[DUT Read]]="","N/A",Table1[[#This Row],[Std Error]]+Table1[[#This Row],[DUT Read]]+Table1[[#This Row],[DUT Ucty]])</f>
        <v>N/A</v>
      </c>
      <c r="Y234" s="1" t="str">
        <f>IF(Table1[[#This Row],[Std Read]]="","N/A",Table1[[#This Row],[Std Read]]+Table1[[#This Row],[Std Ucty]])</f>
        <v>N/A</v>
      </c>
      <c r="Z2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 s="1" t="str">
        <f>IF(Table1[[#This Row],[Spec Type]]="","N/A",Table1[[#This Row],[Spec Type]])</f>
        <v>±</v>
      </c>
      <c r="AC234" s="1" t="str">
        <f>IF(Table1[[#This Row],[Spec Type2]]="N/A","N/A",IF(AND(Table1[[#This Row],[DUT Adj Read]]&gt;=Table1[[#This Row],[Low Tol]],Table1[[#This Row],[DUT Adj Read]]&lt;=Table1[[#This Row],[High Tol]]),"Pass","Fail"))</f>
        <v>Fail</v>
      </c>
      <c r="AD234" s="1" t="str">
        <f>IF(AND(Table1[[#This Row],[Spec Type2]]="N/A",Table1[[#This Row],[DUT Adj Read]]="N/A",Table1[[#This Row],[Std Adj Read]]="N/A"),"N/A",IF(Table1[[#This Row],[DUT Adj Read]]="N/A",IF(Table1[[#This Row],[Std Adj Read]]&gt;Table1[[#This Row],[Low Tol]],"Pass","Fail"),IF(Table1[[#This Row],[DUT Adj Read]]&gt;Table1[[#This Row],[Low Tol]],"Pass","Fail")))</f>
        <v>Pass</v>
      </c>
      <c r="AE234" s="1" t="str">
        <f>IF(AND(Table1[[#This Row],[Spec Type2]]="N/A",Table1[[#This Row],[DUT Adj Read]]="N/A",Table1[[#This Row],[Std Adj Read]]="N/A"),"N/A",IF(Table1[[#This Row],[DUT Adj Read]]="N/A",IF(Table1[[#This Row],[Std Adj Read]]&lt;Table1[[#This Row],[High Tol]],"Pass","Fail"),IF(Table1[[#This Row],[DUT Adj Read]]&lt;Table1[[#This Row],[High Tol]],"Pass","Fail")))</f>
        <v>Fail</v>
      </c>
      <c r="AF234" s="1" t="str">
        <f>IF(AND(Table1[[#This Row],[Spec Type2]]="N/A",Table1[[#This Row],[DUT Adj Read]]="N/A",Table1[[#This Row],[Std Adj Read]]="N/A"),"N/A",IF(Table1[[#This Row],[DUT Adj Read]]="N/A",IF(Table1[[#This Row],[Std Adj Read]]&gt;=Table1[[#This Row],[Low Tol]],"Pass","Fail"),IF(Table1[[#This Row],[DUT Adj Read]]&gt;=Table1[[#This Row],[Low Tol]],"Pass","Fail")))</f>
        <v>Pass</v>
      </c>
      <c r="AG234" s="1" t="str">
        <f>IF(AND(Table1[[#This Row],[Spec Type2]]="N/A",Table1[[#This Row],[DUT Adj Read]]="N/A",Table1[[#This Row],[Std Adj Read]]="N/A"),"N/A",IF(Table1[[#This Row],[DUT Adj Read]]="N/A",IF(Table1[[#This Row],[Std Adj Read]]&lt;=Table1[[#This Row],[High Tol]],"Pass","Fail"),IF(Table1[[#This Row],[DUT Adj Read]]&lt;=Table1[[#This Row],[High Tol]],"Pass","Fail")))</f>
        <v>Fail</v>
      </c>
      <c r="AH2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 s="1" t="b">
        <v>0</v>
      </c>
      <c r="AN234" s="1" t="b">
        <v>0</v>
      </c>
      <c r="AO234" s="1" t="b">
        <v>0</v>
      </c>
    </row>
    <row r="235" spans="1:41" x14ac:dyDescent="0.25">
      <c r="A235" s="10"/>
      <c r="B235" s="10"/>
      <c r="C235" s="10"/>
      <c r="D235" s="10"/>
      <c r="E235" s="10"/>
      <c r="F235" s="10"/>
      <c r="G235" s="10"/>
      <c r="H235" s="10"/>
      <c r="I235" s="1" t="str">
        <f t="shared" si="9"/>
        <v/>
      </c>
      <c r="J235" s="1" t="s">
        <v>35</v>
      </c>
      <c r="K235" s="1" t="str">
        <f t="shared" si="10"/>
        <v/>
      </c>
      <c r="L235" s="1" t="str">
        <f t="shared" si="11"/>
        <v/>
      </c>
      <c r="M235" s="1">
        <f>IF(OR(Table1[[#This Row],[Std Nom]]="",Table1[[#This Row],[Std Read]]=""),0,Table1[[#This Row],[Std Nom]]-Table1[[#This Row],[Std Read]])</f>
        <v>0</v>
      </c>
      <c r="N235" s="1">
        <f>IF(Calculations!$F$5="ACCREDITED 17025 WITH UNCERTAINTIES",$N$10,0)</f>
        <v>0</v>
      </c>
      <c r="O235" s="1" t="str">
        <f>IFERROR(Table1[[#This Row],[Std Nom]]-(_xlfn.XLOOKUP(Table1[[#This Row],[Manufacturer]]&amp;" "&amp;Table1[[#This Row],[Model]],Table13[MFR &amp; MDL],Table13[Tolerance % CW ],"")/100*Table1[[#This Row],[Std Nom]]),"")</f>
        <v/>
      </c>
      <c r="P235" s="1" t="str">
        <f>IFERROR(Table1[[#This Row],[Std Nom]]+(_xlfn.XLOOKUP(Table1[[#This Row],[Manufacturer]]&amp;" "&amp;Table1[[#This Row],[Model]],Table13[MFR &amp; MDL],Table13[Tolerance % CW ],"")/100*Table1[[#This Row],[Std Nom]]),"")</f>
        <v/>
      </c>
      <c r="Q235" s="1" t="e">
        <f>Table1[[#This Row],[High Tol]]-Table1[[#This Row],[Low Tol]]</f>
        <v>#VALUE!</v>
      </c>
      <c r="R235" s="1">
        <f>2*Table1[[#This Row],[Std Error]]</f>
        <v>0</v>
      </c>
      <c r="S235" s="1" t="str">
        <f>IF(Table1[[#This Row],[High Tol]]="","N/A",IFERROR(ABS(Table1[[#This Row],[Tol Span]]/Table1[[#This Row],[Error Span]]),"N/A"))</f>
        <v>N/A</v>
      </c>
      <c r="T235" s="1" t="str">
        <f>IF(OR(Table1[[#This Row],[Low Tol]]="",Table1[[#This Row],[High Tol]]=""),"Needs Analysis",IF(Table1[[#This Row],[Ratio]]&gt;=4,"Not Significant",IF(Table1[[#This Row],[Ratio]]&gt;=2,"Semi-Significant","Significant")))</f>
        <v>Needs Analysis</v>
      </c>
      <c r="W235" s="1">
        <f>IF(Table1[[#This Row],[Cal Type]]&lt;&gt;"ACCREDITED 17025 WITH UNCERTAINTIES",0,"")</f>
        <v>0</v>
      </c>
      <c r="X235" s="1" t="str">
        <f>IF(Table1[[#This Row],[DUT Read]]="","N/A",Table1[[#This Row],[Std Error]]+Table1[[#This Row],[DUT Read]]+Table1[[#This Row],[DUT Ucty]])</f>
        <v>N/A</v>
      </c>
      <c r="Y235" s="1" t="str">
        <f>IF(Table1[[#This Row],[Std Read]]="","N/A",Table1[[#This Row],[Std Read]]+Table1[[#This Row],[Std Ucty]])</f>
        <v>N/A</v>
      </c>
      <c r="Z2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 s="1" t="str">
        <f>IF(Table1[[#This Row],[Spec Type]]="","N/A",Table1[[#This Row],[Spec Type]])</f>
        <v>±</v>
      </c>
      <c r="AC235" s="1" t="str">
        <f>IF(Table1[[#This Row],[Spec Type2]]="N/A","N/A",IF(AND(Table1[[#This Row],[DUT Adj Read]]&gt;=Table1[[#This Row],[Low Tol]],Table1[[#This Row],[DUT Adj Read]]&lt;=Table1[[#This Row],[High Tol]]),"Pass","Fail"))</f>
        <v>Fail</v>
      </c>
      <c r="AD235" s="1" t="str">
        <f>IF(AND(Table1[[#This Row],[Spec Type2]]="N/A",Table1[[#This Row],[DUT Adj Read]]="N/A",Table1[[#This Row],[Std Adj Read]]="N/A"),"N/A",IF(Table1[[#This Row],[DUT Adj Read]]="N/A",IF(Table1[[#This Row],[Std Adj Read]]&gt;Table1[[#This Row],[Low Tol]],"Pass","Fail"),IF(Table1[[#This Row],[DUT Adj Read]]&gt;Table1[[#This Row],[Low Tol]],"Pass","Fail")))</f>
        <v>Pass</v>
      </c>
      <c r="AE235" s="1" t="str">
        <f>IF(AND(Table1[[#This Row],[Spec Type2]]="N/A",Table1[[#This Row],[DUT Adj Read]]="N/A",Table1[[#This Row],[Std Adj Read]]="N/A"),"N/A",IF(Table1[[#This Row],[DUT Adj Read]]="N/A",IF(Table1[[#This Row],[Std Adj Read]]&lt;Table1[[#This Row],[High Tol]],"Pass","Fail"),IF(Table1[[#This Row],[DUT Adj Read]]&lt;Table1[[#This Row],[High Tol]],"Pass","Fail")))</f>
        <v>Fail</v>
      </c>
      <c r="AF235" s="1" t="str">
        <f>IF(AND(Table1[[#This Row],[Spec Type2]]="N/A",Table1[[#This Row],[DUT Adj Read]]="N/A",Table1[[#This Row],[Std Adj Read]]="N/A"),"N/A",IF(Table1[[#This Row],[DUT Adj Read]]="N/A",IF(Table1[[#This Row],[Std Adj Read]]&gt;=Table1[[#This Row],[Low Tol]],"Pass","Fail"),IF(Table1[[#This Row],[DUT Adj Read]]&gt;=Table1[[#This Row],[Low Tol]],"Pass","Fail")))</f>
        <v>Pass</v>
      </c>
      <c r="AG235" s="1" t="str">
        <f>IF(AND(Table1[[#This Row],[Spec Type2]]="N/A",Table1[[#This Row],[DUT Adj Read]]="N/A",Table1[[#This Row],[Std Adj Read]]="N/A"),"N/A",IF(Table1[[#This Row],[DUT Adj Read]]="N/A",IF(Table1[[#This Row],[Std Adj Read]]&lt;=Table1[[#This Row],[High Tol]],"Pass","Fail"),IF(Table1[[#This Row],[DUT Adj Read]]&lt;=Table1[[#This Row],[High Tol]],"Pass","Fail")))</f>
        <v>Fail</v>
      </c>
      <c r="AH2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 s="1" t="b">
        <v>0</v>
      </c>
      <c r="AN235" s="1" t="b">
        <v>0</v>
      </c>
      <c r="AO235" s="1" t="b">
        <v>0</v>
      </c>
    </row>
    <row r="236" spans="1:41" x14ac:dyDescent="0.25">
      <c r="A236" s="10"/>
      <c r="B236" s="10"/>
      <c r="C236" s="10"/>
      <c r="D236" s="10"/>
      <c r="E236" s="10"/>
      <c r="F236" s="10"/>
      <c r="G236" s="10"/>
      <c r="H236" s="10"/>
      <c r="I236" s="1" t="str">
        <f t="shared" si="9"/>
        <v/>
      </c>
      <c r="J236" s="1" t="s">
        <v>35</v>
      </c>
      <c r="K236" s="1" t="str">
        <f t="shared" si="10"/>
        <v/>
      </c>
      <c r="L236" s="1" t="str">
        <f t="shared" si="11"/>
        <v/>
      </c>
      <c r="M236" s="1">
        <f>IF(OR(Table1[[#This Row],[Std Nom]]="",Table1[[#This Row],[Std Read]]=""),0,Table1[[#This Row],[Std Nom]]-Table1[[#This Row],[Std Read]])</f>
        <v>0</v>
      </c>
      <c r="N236" s="1">
        <f>IF(Calculations!$F$5="ACCREDITED 17025 WITH UNCERTAINTIES",$N$10,0)</f>
        <v>0</v>
      </c>
      <c r="O236" s="1" t="str">
        <f>IFERROR(Table1[[#This Row],[Std Nom]]-(_xlfn.XLOOKUP(Table1[[#This Row],[Manufacturer]]&amp;" "&amp;Table1[[#This Row],[Model]],Table13[MFR &amp; MDL],Table13[Tolerance % CW ],"")/100*Table1[[#This Row],[Std Nom]]),"")</f>
        <v/>
      </c>
      <c r="P236" s="1" t="str">
        <f>IFERROR(Table1[[#This Row],[Std Nom]]+(_xlfn.XLOOKUP(Table1[[#This Row],[Manufacturer]]&amp;" "&amp;Table1[[#This Row],[Model]],Table13[MFR &amp; MDL],Table13[Tolerance % CW ],"")/100*Table1[[#This Row],[Std Nom]]),"")</f>
        <v/>
      </c>
      <c r="Q236" s="1" t="e">
        <f>Table1[[#This Row],[High Tol]]-Table1[[#This Row],[Low Tol]]</f>
        <v>#VALUE!</v>
      </c>
      <c r="R236" s="1">
        <f>2*Table1[[#This Row],[Std Error]]</f>
        <v>0</v>
      </c>
      <c r="S236" s="1" t="str">
        <f>IF(Table1[[#This Row],[High Tol]]="","N/A",IFERROR(ABS(Table1[[#This Row],[Tol Span]]/Table1[[#This Row],[Error Span]]),"N/A"))</f>
        <v>N/A</v>
      </c>
      <c r="T236" s="1" t="str">
        <f>IF(OR(Table1[[#This Row],[Low Tol]]="",Table1[[#This Row],[High Tol]]=""),"Needs Analysis",IF(Table1[[#This Row],[Ratio]]&gt;=4,"Not Significant",IF(Table1[[#This Row],[Ratio]]&gt;=2,"Semi-Significant","Significant")))</f>
        <v>Needs Analysis</v>
      </c>
      <c r="W236" s="1">
        <f>IF(Table1[[#This Row],[Cal Type]]&lt;&gt;"ACCREDITED 17025 WITH UNCERTAINTIES",0,"")</f>
        <v>0</v>
      </c>
      <c r="X236" s="1" t="str">
        <f>IF(Table1[[#This Row],[DUT Read]]="","N/A",Table1[[#This Row],[Std Error]]+Table1[[#This Row],[DUT Read]]+Table1[[#This Row],[DUT Ucty]])</f>
        <v>N/A</v>
      </c>
      <c r="Y236" s="1" t="str">
        <f>IF(Table1[[#This Row],[Std Read]]="","N/A",Table1[[#This Row],[Std Read]]+Table1[[#This Row],[Std Ucty]])</f>
        <v>N/A</v>
      </c>
      <c r="Z2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 s="1" t="str">
        <f>IF(Table1[[#This Row],[Spec Type]]="","N/A",Table1[[#This Row],[Spec Type]])</f>
        <v>±</v>
      </c>
      <c r="AC236" s="1" t="str">
        <f>IF(Table1[[#This Row],[Spec Type2]]="N/A","N/A",IF(AND(Table1[[#This Row],[DUT Adj Read]]&gt;=Table1[[#This Row],[Low Tol]],Table1[[#This Row],[DUT Adj Read]]&lt;=Table1[[#This Row],[High Tol]]),"Pass","Fail"))</f>
        <v>Fail</v>
      </c>
      <c r="AD236" s="1" t="str">
        <f>IF(AND(Table1[[#This Row],[Spec Type2]]="N/A",Table1[[#This Row],[DUT Adj Read]]="N/A",Table1[[#This Row],[Std Adj Read]]="N/A"),"N/A",IF(Table1[[#This Row],[DUT Adj Read]]="N/A",IF(Table1[[#This Row],[Std Adj Read]]&gt;Table1[[#This Row],[Low Tol]],"Pass","Fail"),IF(Table1[[#This Row],[DUT Adj Read]]&gt;Table1[[#This Row],[Low Tol]],"Pass","Fail")))</f>
        <v>Pass</v>
      </c>
      <c r="AE236" s="1" t="str">
        <f>IF(AND(Table1[[#This Row],[Spec Type2]]="N/A",Table1[[#This Row],[DUT Adj Read]]="N/A",Table1[[#This Row],[Std Adj Read]]="N/A"),"N/A",IF(Table1[[#This Row],[DUT Adj Read]]="N/A",IF(Table1[[#This Row],[Std Adj Read]]&lt;Table1[[#This Row],[High Tol]],"Pass","Fail"),IF(Table1[[#This Row],[DUT Adj Read]]&lt;Table1[[#This Row],[High Tol]],"Pass","Fail")))</f>
        <v>Fail</v>
      </c>
      <c r="AF236" s="1" t="str">
        <f>IF(AND(Table1[[#This Row],[Spec Type2]]="N/A",Table1[[#This Row],[DUT Adj Read]]="N/A",Table1[[#This Row],[Std Adj Read]]="N/A"),"N/A",IF(Table1[[#This Row],[DUT Adj Read]]="N/A",IF(Table1[[#This Row],[Std Adj Read]]&gt;=Table1[[#This Row],[Low Tol]],"Pass","Fail"),IF(Table1[[#This Row],[DUT Adj Read]]&gt;=Table1[[#This Row],[Low Tol]],"Pass","Fail")))</f>
        <v>Pass</v>
      </c>
      <c r="AG236" s="1" t="str">
        <f>IF(AND(Table1[[#This Row],[Spec Type2]]="N/A",Table1[[#This Row],[DUT Adj Read]]="N/A",Table1[[#This Row],[Std Adj Read]]="N/A"),"N/A",IF(Table1[[#This Row],[DUT Adj Read]]="N/A",IF(Table1[[#This Row],[Std Adj Read]]&lt;=Table1[[#This Row],[High Tol]],"Pass","Fail"),IF(Table1[[#This Row],[DUT Adj Read]]&lt;=Table1[[#This Row],[High Tol]],"Pass","Fail")))</f>
        <v>Fail</v>
      </c>
      <c r="AH2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 s="1" t="b">
        <v>0</v>
      </c>
      <c r="AN236" s="1" t="b">
        <v>0</v>
      </c>
      <c r="AO236" s="1" t="b">
        <v>0</v>
      </c>
    </row>
    <row r="237" spans="1:41" x14ac:dyDescent="0.25">
      <c r="A237" s="10"/>
      <c r="B237" s="10"/>
      <c r="C237" s="10"/>
      <c r="D237" s="10"/>
      <c r="E237" s="10"/>
      <c r="F237" s="10"/>
      <c r="G237" s="10"/>
      <c r="H237" s="10"/>
      <c r="I237" s="1" t="str">
        <f t="shared" si="9"/>
        <v/>
      </c>
      <c r="J237" s="1" t="s">
        <v>35</v>
      </c>
      <c r="K237" s="1" t="str">
        <f t="shared" si="10"/>
        <v/>
      </c>
      <c r="L237" s="1" t="str">
        <f t="shared" si="11"/>
        <v/>
      </c>
      <c r="M237" s="1">
        <f>IF(OR(Table1[[#This Row],[Std Nom]]="",Table1[[#This Row],[Std Read]]=""),0,Table1[[#This Row],[Std Nom]]-Table1[[#This Row],[Std Read]])</f>
        <v>0</v>
      </c>
      <c r="N237" s="1">
        <f>IF(Calculations!$F$5="ACCREDITED 17025 WITH UNCERTAINTIES",$N$10,0)</f>
        <v>0</v>
      </c>
      <c r="O237" s="1" t="str">
        <f>IFERROR(Table1[[#This Row],[Std Nom]]-(_xlfn.XLOOKUP(Table1[[#This Row],[Manufacturer]]&amp;" "&amp;Table1[[#This Row],[Model]],Table13[MFR &amp; MDL],Table13[Tolerance % CW ],"")/100*Table1[[#This Row],[Std Nom]]),"")</f>
        <v/>
      </c>
      <c r="P237" s="1" t="str">
        <f>IFERROR(Table1[[#This Row],[Std Nom]]+(_xlfn.XLOOKUP(Table1[[#This Row],[Manufacturer]]&amp;" "&amp;Table1[[#This Row],[Model]],Table13[MFR &amp; MDL],Table13[Tolerance % CW ],"")/100*Table1[[#This Row],[Std Nom]]),"")</f>
        <v/>
      </c>
      <c r="Q237" s="1" t="e">
        <f>Table1[[#This Row],[High Tol]]-Table1[[#This Row],[Low Tol]]</f>
        <v>#VALUE!</v>
      </c>
      <c r="R237" s="1">
        <f>2*Table1[[#This Row],[Std Error]]</f>
        <v>0</v>
      </c>
      <c r="S237" s="1" t="str">
        <f>IF(Table1[[#This Row],[High Tol]]="","N/A",IFERROR(ABS(Table1[[#This Row],[Tol Span]]/Table1[[#This Row],[Error Span]]),"N/A"))</f>
        <v>N/A</v>
      </c>
      <c r="T237" s="1" t="str">
        <f>IF(OR(Table1[[#This Row],[Low Tol]]="",Table1[[#This Row],[High Tol]]=""),"Needs Analysis",IF(Table1[[#This Row],[Ratio]]&gt;=4,"Not Significant",IF(Table1[[#This Row],[Ratio]]&gt;=2,"Semi-Significant","Significant")))</f>
        <v>Needs Analysis</v>
      </c>
      <c r="W237" s="1">
        <f>IF(Table1[[#This Row],[Cal Type]]&lt;&gt;"ACCREDITED 17025 WITH UNCERTAINTIES",0,"")</f>
        <v>0</v>
      </c>
      <c r="X237" s="1" t="str">
        <f>IF(Table1[[#This Row],[DUT Read]]="","N/A",Table1[[#This Row],[Std Error]]+Table1[[#This Row],[DUT Read]]+Table1[[#This Row],[DUT Ucty]])</f>
        <v>N/A</v>
      </c>
      <c r="Y237" s="1" t="str">
        <f>IF(Table1[[#This Row],[Std Read]]="","N/A",Table1[[#This Row],[Std Read]]+Table1[[#This Row],[Std Ucty]])</f>
        <v>N/A</v>
      </c>
      <c r="Z2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 s="1" t="str">
        <f>IF(Table1[[#This Row],[Spec Type]]="","N/A",Table1[[#This Row],[Spec Type]])</f>
        <v>±</v>
      </c>
      <c r="AC237" s="1" t="str">
        <f>IF(Table1[[#This Row],[Spec Type2]]="N/A","N/A",IF(AND(Table1[[#This Row],[DUT Adj Read]]&gt;=Table1[[#This Row],[Low Tol]],Table1[[#This Row],[DUT Adj Read]]&lt;=Table1[[#This Row],[High Tol]]),"Pass","Fail"))</f>
        <v>Fail</v>
      </c>
      <c r="AD237" s="1" t="str">
        <f>IF(AND(Table1[[#This Row],[Spec Type2]]="N/A",Table1[[#This Row],[DUT Adj Read]]="N/A",Table1[[#This Row],[Std Adj Read]]="N/A"),"N/A",IF(Table1[[#This Row],[DUT Adj Read]]="N/A",IF(Table1[[#This Row],[Std Adj Read]]&gt;Table1[[#This Row],[Low Tol]],"Pass","Fail"),IF(Table1[[#This Row],[DUT Adj Read]]&gt;Table1[[#This Row],[Low Tol]],"Pass","Fail")))</f>
        <v>Pass</v>
      </c>
      <c r="AE237" s="1" t="str">
        <f>IF(AND(Table1[[#This Row],[Spec Type2]]="N/A",Table1[[#This Row],[DUT Adj Read]]="N/A",Table1[[#This Row],[Std Adj Read]]="N/A"),"N/A",IF(Table1[[#This Row],[DUT Adj Read]]="N/A",IF(Table1[[#This Row],[Std Adj Read]]&lt;Table1[[#This Row],[High Tol]],"Pass","Fail"),IF(Table1[[#This Row],[DUT Adj Read]]&lt;Table1[[#This Row],[High Tol]],"Pass","Fail")))</f>
        <v>Fail</v>
      </c>
      <c r="AF237" s="1" t="str">
        <f>IF(AND(Table1[[#This Row],[Spec Type2]]="N/A",Table1[[#This Row],[DUT Adj Read]]="N/A",Table1[[#This Row],[Std Adj Read]]="N/A"),"N/A",IF(Table1[[#This Row],[DUT Adj Read]]="N/A",IF(Table1[[#This Row],[Std Adj Read]]&gt;=Table1[[#This Row],[Low Tol]],"Pass","Fail"),IF(Table1[[#This Row],[DUT Adj Read]]&gt;=Table1[[#This Row],[Low Tol]],"Pass","Fail")))</f>
        <v>Pass</v>
      </c>
      <c r="AG237" s="1" t="str">
        <f>IF(AND(Table1[[#This Row],[Spec Type2]]="N/A",Table1[[#This Row],[DUT Adj Read]]="N/A",Table1[[#This Row],[Std Adj Read]]="N/A"),"N/A",IF(Table1[[#This Row],[DUT Adj Read]]="N/A",IF(Table1[[#This Row],[Std Adj Read]]&lt;=Table1[[#This Row],[High Tol]],"Pass","Fail"),IF(Table1[[#This Row],[DUT Adj Read]]&lt;=Table1[[#This Row],[High Tol]],"Pass","Fail")))</f>
        <v>Fail</v>
      </c>
      <c r="AH2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 s="1" t="b">
        <v>0</v>
      </c>
      <c r="AN237" s="1" t="b">
        <v>0</v>
      </c>
      <c r="AO237" s="1" t="b">
        <v>0</v>
      </c>
    </row>
    <row r="238" spans="1:41" x14ac:dyDescent="0.25">
      <c r="A238" s="10"/>
      <c r="B238" s="10"/>
      <c r="C238" s="10"/>
      <c r="D238" s="10"/>
      <c r="E238" s="10"/>
      <c r="F238" s="10"/>
      <c r="G238" s="10"/>
      <c r="H238" s="10"/>
      <c r="I238" s="1" t="str">
        <f t="shared" si="9"/>
        <v/>
      </c>
      <c r="J238" s="1" t="s">
        <v>35</v>
      </c>
      <c r="K238" s="1" t="str">
        <f t="shared" si="10"/>
        <v/>
      </c>
      <c r="L238" s="1" t="str">
        <f t="shared" si="11"/>
        <v/>
      </c>
      <c r="M238" s="1">
        <f>IF(OR(Table1[[#This Row],[Std Nom]]="",Table1[[#This Row],[Std Read]]=""),0,Table1[[#This Row],[Std Nom]]-Table1[[#This Row],[Std Read]])</f>
        <v>0</v>
      </c>
      <c r="N238" s="1">
        <f>IF(Calculations!$F$5="ACCREDITED 17025 WITH UNCERTAINTIES",$N$10,0)</f>
        <v>0</v>
      </c>
      <c r="O238" s="1" t="str">
        <f>IFERROR(Table1[[#This Row],[Std Nom]]-(_xlfn.XLOOKUP(Table1[[#This Row],[Manufacturer]]&amp;" "&amp;Table1[[#This Row],[Model]],Table13[MFR &amp; MDL],Table13[Tolerance % CW ],"")/100*Table1[[#This Row],[Std Nom]]),"")</f>
        <v/>
      </c>
      <c r="P238" s="1" t="str">
        <f>IFERROR(Table1[[#This Row],[Std Nom]]+(_xlfn.XLOOKUP(Table1[[#This Row],[Manufacturer]]&amp;" "&amp;Table1[[#This Row],[Model]],Table13[MFR &amp; MDL],Table13[Tolerance % CW ],"")/100*Table1[[#This Row],[Std Nom]]),"")</f>
        <v/>
      </c>
      <c r="Q238" s="1" t="e">
        <f>Table1[[#This Row],[High Tol]]-Table1[[#This Row],[Low Tol]]</f>
        <v>#VALUE!</v>
      </c>
      <c r="R238" s="1">
        <f>2*Table1[[#This Row],[Std Error]]</f>
        <v>0</v>
      </c>
      <c r="S238" s="1" t="str">
        <f>IF(Table1[[#This Row],[High Tol]]="","N/A",IFERROR(ABS(Table1[[#This Row],[Tol Span]]/Table1[[#This Row],[Error Span]]),"N/A"))</f>
        <v>N/A</v>
      </c>
      <c r="T238" s="1" t="str">
        <f>IF(OR(Table1[[#This Row],[Low Tol]]="",Table1[[#This Row],[High Tol]]=""),"Needs Analysis",IF(Table1[[#This Row],[Ratio]]&gt;=4,"Not Significant",IF(Table1[[#This Row],[Ratio]]&gt;=2,"Semi-Significant","Significant")))</f>
        <v>Needs Analysis</v>
      </c>
      <c r="W238" s="1">
        <f>IF(Table1[[#This Row],[Cal Type]]&lt;&gt;"ACCREDITED 17025 WITH UNCERTAINTIES",0,"")</f>
        <v>0</v>
      </c>
      <c r="X238" s="1" t="str">
        <f>IF(Table1[[#This Row],[DUT Read]]="","N/A",Table1[[#This Row],[Std Error]]+Table1[[#This Row],[DUT Read]]+Table1[[#This Row],[DUT Ucty]])</f>
        <v>N/A</v>
      </c>
      <c r="Y238" s="1" t="str">
        <f>IF(Table1[[#This Row],[Std Read]]="","N/A",Table1[[#This Row],[Std Read]]+Table1[[#This Row],[Std Ucty]])</f>
        <v>N/A</v>
      </c>
      <c r="Z2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 s="1" t="str">
        <f>IF(Table1[[#This Row],[Spec Type]]="","N/A",Table1[[#This Row],[Spec Type]])</f>
        <v>±</v>
      </c>
      <c r="AC238" s="1" t="str">
        <f>IF(Table1[[#This Row],[Spec Type2]]="N/A","N/A",IF(AND(Table1[[#This Row],[DUT Adj Read]]&gt;=Table1[[#This Row],[Low Tol]],Table1[[#This Row],[DUT Adj Read]]&lt;=Table1[[#This Row],[High Tol]]),"Pass","Fail"))</f>
        <v>Fail</v>
      </c>
      <c r="AD238" s="1" t="str">
        <f>IF(AND(Table1[[#This Row],[Spec Type2]]="N/A",Table1[[#This Row],[DUT Adj Read]]="N/A",Table1[[#This Row],[Std Adj Read]]="N/A"),"N/A",IF(Table1[[#This Row],[DUT Adj Read]]="N/A",IF(Table1[[#This Row],[Std Adj Read]]&gt;Table1[[#This Row],[Low Tol]],"Pass","Fail"),IF(Table1[[#This Row],[DUT Adj Read]]&gt;Table1[[#This Row],[Low Tol]],"Pass","Fail")))</f>
        <v>Pass</v>
      </c>
      <c r="AE238" s="1" t="str">
        <f>IF(AND(Table1[[#This Row],[Spec Type2]]="N/A",Table1[[#This Row],[DUT Adj Read]]="N/A",Table1[[#This Row],[Std Adj Read]]="N/A"),"N/A",IF(Table1[[#This Row],[DUT Adj Read]]="N/A",IF(Table1[[#This Row],[Std Adj Read]]&lt;Table1[[#This Row],[High Tol]],"Pass","Fail"),IF(Table1[[#This Row],[DUT Adj Read]]&lt;Table1[[#This Row],[High Tol]],"Pass","Fail")))</f>
        <v>Fail</v>
      </c>
      <c r="AF238" s="1" t="str">
        <f>IF(AND(Table1[[#This Row],[Spec Type2]]="N/A",Table1[[#This Row],[DUT Adj Read]]="N/A",Table1[[#This Row],[Std Adj Read]]="N/A"),"N/A",IF(Table1[[#This Row],[DUT Adj Read]]="N/A",IF(Table1[[#This Row],[Std Adj Read]]&gt;=Table1[[#This Row],[Low Tol]],"Pass","Fail"),IF(Table1[[#This Row],[DUT Adj Read]]&gt;=Table1[[#This Row],[Low Tol]],"Pass","Fail")))</f>
        <v>Pass</v>
      </c>
      <c r="AG238" s="1" t="str">
        <f>IF(AND(Table1[[#This Row],[Spec Type2]]="N/A",Table1[[#This Row],[DUT Adj Read]]="N/A",Table1[[#This Row],[Std Adj Read]]="N/A"),"N/A",IF(Table1[[#This Row],[DUT Adj Read]]="N/A",IF(Table1[[#This Row],[Std Adj Read]]&lt;=Table1[[#This Row],[High Tol]],"Pass","Fail"),IF(Table1[[#This Row],[DUT Adj Read]]&lt;=Table1[[#This Row],[High Tol]],"Pass","Fail")))</f>
        <v>Fail</v>
      </c>
      <c r="AH2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 s="1" t="b">
        <v>0</v>
      </c>
      <c r="AN238" s="1" t="b">
        <v>0</v>
      </c>
      <c r="AO238" s="1" t="b">
        <v>0</v>
      </c>
    </row>
    <row r="239" spans="1:41" x14ac:dyDescent="0.25">
      <c r="A239" s="10"/>
      <c r="B239" s="10"/>
      <c r="C239" s="10"/>
      <c r="D239" s="10"/>
      <c r="E239" s="10"/>
      <c r="F239" s="10"/>
      <c r="G239" s="10"/>
      <c r="H239" s="10"/>
      <c r="I239" s="1" t="str">
        <f t="shared" si="9"/>
        <v/>
      </c>
      <c r="J239" s="1" t="s">
        <v>35</v>
      </c>
      <c r="K239" s="1" t="str">
        <f t="shared" si="10"/>
        <v/>
      </c>
      <c r="L239" s="1" t="str">
        <f t="shared" si="11"/>
        <v/>
      </c>
      <c r="M239" s="1">
        <f>IF(OR(Table1[[#This Row],[Std Nom]]="",Table1[[#This Row],[Std Read]]=""),0,Table1[[#This Row],[Std Nom]]-Table1[[#This Row],[Std Read]])</f>
        <v>0</v>
      </c>
      <c r="N239" s="1">
        <f>IF(Calculations!$F$5="ACCREDITED 17025 WITH UNCERTAINTIES",$N$10,0)</f>
        <v>0</v>
      </c>
      <c r="O239" s="1" t="str">
        <f>IFERROR(Table1[[#This Row],[Std Nom]]-(_xlfn.XLOOKUP(Table1[[#This Row],[Manufacturer]]&amp;" "&amp;Table1[[#This Row],[Model]],Table13[MFR &amp; MDL],Table13[Tolerance % CW ],"")/100*Table1[[#This Row],[Std Nom]]),"")</f>
        <v/>
      </c>
      <c r="P239" s="1" t="str">
        <f>IFERROR(Table1[[#This Row],[Std Nom]]+(_xlfn.XLOOKUP(Table1[[#This Row],[Manufacturer]]&amp;" "&amp;Table1[[#This Row],[Model]],Table13[MFR &amp; MDL],Table13[Tolerance % CW ],"")/100*Table1[[#This Row],[Std Nom]]),"")</f>
        <v/>
      </c>
      <c r="Q239" s="1" t="e">
        <f>Table1[[#This Row],[High Tol]]-Table1[[#This Row],[Low Tol]]</f>
        <v>#VALUE!</v>
      </c>
      <c r="R239" s="1">
        <f>2*Table1[[#This Row],[Std Error]]</f>
        <v>0</v>
      </c>
      <c r="S239" s="1" t="str">
        <f>IF(Table1[[#This Row],[High Tol]]="","N/A",IFERROR(ABS(Table1[[#This Row],[Tol Span]]/Table1[[#This Row],[Error Span]]),"N/A"))</f>
        <v>N/A</v>
      </c>
      <c r="T239" s="1" t="str">
        <f>IF(OR(Table1[[#This Row],[Low Tol]]="",Table1[[#This Row],[High Tol]]=""),"Needs Analysis",IF(Table1[[#This Row],[Ratio]]&gt;=4,"Not Significant",IF(Table1[[#This Row],[Ratio]]&gt;=2,"Semi-Significant","Significant")))</f>
        <v>Needs Analysis</v>
      </c>
      <c r="W239" s="1">
        <f>IF(Table1[[#This Row],[Cal Type]]&lt;&gt;"ACCREDITED 17025 WITH UNCERTAINTIES",0,"")</f>
        <v>0</v>
      </c>
      <c r="X239" s="1" t="str">
        <f>IF(Table1[[#This Row],[DUT Read]]="","N/A",Table1[[#This Row],[Std Error]]+Table1[[#This Row],[DUT Read]]+Table1[[#This Row],[DUT Ucty]])</f>
        <v>N/A</v>
      </c>
      <c r="Y239" s="1" t="str">
        <f>IF(Table1[[#This Row],[Std Read]]="","N/A",Table1[[#This Row],[Std Read]]+Table1[[#This Row],[Std Ucty]])</f>
        <v>N/A</v>
      </c>
      <c r="Z2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 s="1" t="str">
        <f>IF(Table1[[#This Row],[Spec Type]]="","N/A",Table1[[#This Row],[Spec Type]])</f>
        <v>±</v>
      </c>
      <c r="AC239" s="1" t="str">
        <f>IF(Table1[[#This Row],[Spec Type2]]="N/A","N/A",IF(AND(Table1[[#This Row],[DUT Adj Read]]&gt;=Table1[[#This Row],[Low Tol]],Table1[[#This Row],[DUT Adj Read]]&lt;=Table1[[#This Row],[High Tol]]),"Pass","Fail"))</f>
        <v>Fail</v>
      </c>
      <c r="AD239" s="1" t="str">
        <f>IF(AND(Table1[[#This Row],[Spec Type2]]="N/A",Table1[[#This Row],[DUT Adj Read]]="N/A",Table1[[#This Row],[Std Adj Read]]="N/A"),"N/A",IF(Table1[[#This Row],[DUT Adj Read]]="N/A",IF(Table1[[#This Row],[Std Adj Read]]&gt;Table1[[#This Row],[Low Tol]],"Pass","Fail"),IF(Table1[[#This Row],[DUT Adj Read]]&gt;Table1[[#This Row],[Low Tol]],"Pass","Fail")))</f>
        <v>Pass</v>
      </c>
      <c r="AE239" s="1" t="str">
        <f>IF(AND(Table1[[#This Row],[Spec Type2]]="N/A",Table1[[#This Row],[DUT Adj Read]]="N/A",Table1[[#This Row],[Std Adj Read]]="N/A"),"N/A",IF(Table1[[#This Row],[DUT Adj Read]]="N/A",IF(Table1[[#This Row],[Std Adj Read]]&lt;Table1[[#This Row],[High Tol]],"Pass","Fail"),IF(Table1[[#This Row],[DUT Adj Read]]&lt;Table1[[#This Row],[High Tol]],"Pass","Fail")))</f>
        <v>Fail</v>
      </c>
      <c r="AF239" s="1" t="str">
        <f>IF(AND(Table1[[#This Row],[Spec Type2]]="N/A",Table1[[#This Row],[DUT Adj Read]]="N/A",Table1[[#This Row],[Std Adj Read]]="N/A"),"N/A",IF(Table1[[#This Row],[DUT Adj Read]]="N/A",IF(Table1[[#This Row],[Std Adj Read]]&gt;=Table1[[#This Row],[Low Tol]],"Pass","Fail"),IF(Table1[[#This Row],[DUT Adj Read]]&gt;=Table1[[#This Row],[Low Tol]],"Pass","Fail")))</f>
        <v>Pass</v>
      </c>
      <c r="AG239" s="1" t="str">
        <f>IF(AND(Table1[[#This Row],[Spec Type2]]="N/A",Table1[[#This Row],[DUT Adj Read]]="N/A",Table1[[#This Row],[Std Adj Read]]="N/A"),"N/A",IF(Table1[[#This Row],[DUT Adj Read]]="N/A",IF(Table1[[#This Row],[Std Adj Read]]&lt;=Table1[[#This Row],[High Tol]],"Pass","Fail"),IF(Table1[[#This Row],[DUT Adj Read]]&lt;=Table1[[#This Row],[High Tol]],"Pass","Fail")))</f>
        <v>Fail</v>
      </c>
      <c r="AH2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 s="1" t="b">
        <v>0</v>
      </c>
      <c r="AN239" s="1" t="b">
        <v>0</v>
      </c>
      <c r="AO239" s="1" t="b">
        <v>0</v>
      </c>
    </row>
    <row r="240" spans="1:41" x14ac:dyDescent="0.25">
      <c r="A240" s="10"/>
      <c r="B240" s="10"/>
      <c r="C240" s="10"/>
      <c r="D240" s="10"/>
      <c r="E240" s="10"/>
      <c r="F240" s="10"/>
      <c r="G240" s="10"/>
      <c r="H240" s="10"/>
      <c r="I240" s="1" t="str">
        <f t="shared" si="9"/>
        <v/>
      </c>
      <c r="J240" s="1" t="s">
        <v>35</v>
      </c>
      <c r="K240" s="1" t="str">
        <f t="shared" si="10"/>
        <v/>
      </c>
      <c r="L240" s="1" t="str">
        <f t="shared" si="11"/>
        <v/>
      </c>
      <c r="M240" s="1">
        <f>IF(OR(Table1[[#This Row],[Std Nom]]="",Table1[[#This Row],[Std Read]]=""),0,Table1[[#This Row],[Std Nom]]-Table1[[#This Row],[Std Read]])</f>
        <v>0</v>
      </c>
      <c r="N240" s="1">
        <f>IF(Calculations!$F$5="ACCREDITED 17025 WITH UNCERTAINTIES",$N$10,0)</f>
        <v>0</v>
      </c>
      <c r="O240" s="1" t="str">
        <f>IFERROR(Table1[[#This Row],[Std Nom]]-(_xlfn.XLOOKUP(Table1[[#This Row],[Manufacturer]]&amp;" "&amp;Table1[[#This Row],[Model]],Table13[MFR &amp; MDL],Table13[Tolerance % CW ],"")/100*Table1[[#This Row],[Std Nom]]),"")</f>
        <v/>
      </c>
      <c r="P240" s="1" t="str">
        <f>IFERROR(Table1[[#This Row],[Std Nom]]+(_xlfn.XLOOKUP(Table1[[#This Row],[Manufacturer]]&amp;" "&amp;Table1[[#This Row],[Model]],Table13[MFR &amp; MDL],Table13[Tolerance % CW ],"")/100*Table1[[#This Row],[Std Nom]]),"")</f>
        <v/>
      </c>
      <c r="Q240" s="1" t="e">
        <f>Table1[[#This Row],[High Tol]]-Table1[[#This Row],[Low Tol]]</f>
        <v>#VALUE!</v>
      </c>
      <c r="R240" s="1">
        <f>2*Table1[[#This Row],[Std Error]]</f>
        <v>0</v>
      </c>
      <c r="S240" s="1" t="str">
        <f>IF(Table1[[#This Row],[High Tol]]="","N/A",IFERROR(ABS(Table1[[#This Row],[Tol Span]]/Table1[[#This Row],[Error Span]]),"N/A"))</f>
        <v>N/A</v>
      </c>
      <c r="T240" s="1" t="str">
        <f>IF(OR(Table1[[#This Row],[Low Tol]]="",Table1[[#This Row],[High Tol]]=""),"Needs Analysis",IF(Table1[[#This Row],[Ratio]]&gt;=4,"Not Significant",IF(Table1[[#This Row],[Ratio]]&gt;=2,"Semi-Significant","Significant")))</f>
        <v>Needs Analysis</v>
      </c>
      <c r="W240" s="1">
        <f>IF(Table1[[#This Row],[Cal Type]]&lt;&gt;"ACCREDITED 17025 WITH UNCERTAINTIES",0,"")</f>
        <v>0</v>
      </c>
      <c r="X240" s="1" t="str">
        <f>IF(Table1[[#This Row],[DUT Read]]="","N/A",Table1[[#This Row],[Std Error]]+Table1[[#This Row],[DUT Read]]+Table1[[#This Row],[DUT Ucty]])</f>
        <v>N/A</v>
      </c>
      <c r="Y240" s="1" t="str">
        <f>IF(Table1[[#This Row],[Std Read]]="","N/A",Table1[[#This Row],[Std Read]]+Table1[[#This Row],[Std Ucty]])</f>
        <v>N/A</v>
      </c>
      <c r="Z2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 s="1" t="str">
        <f>IF(Table1[[#This Row],[Spec Type]]="","N/A",Table1[[#This Row],[Spec Type]])</f>
        <v>±</v>
      </c>
      <c r="AC240" s="1" t="str">
        <f>IF(Table1[[#This Row],[Spec Type2]]="N/A","N/A",IF(AND(Table1[[#This Row],[DUT Adj Read]]&gt;=Table1[[#This Row],[Low Tol]],Table1[[#This Row],[DUT Adj Read]]&lt;=Table1[[#This Row],[High Tol]]),"Pass","Fail"))</f>
        <v>Fail</v>
      </c>
      <c r="AD240" s="1" t="str">
        <f>IF(AND(Table1[[#This Row],[Spec Type2]]="N/A",Table1[[#This Row],[DUT Adj Read]]="N/A",Table1[[#This Row],[Std Adj Read]]="N/A"),"N/A",IF(Table1[[#This Row],[DUT Adj Read]]="N/A",IF(Table1[[#This Row],[Std Adj Read]]&gt;Table1[[#This Row],[Low Tol]],"Pass","Fail"),IF(Table1[[#This Row],[DUT Adj Read]]&gt;Table1[[#This Row],[Low Tol]],"Pass","Fail")))</f>
        <v>Pass</v>
      </c>
      <c r="AE240" s="1" t="str">
        <f>IF(AND(Table1[[#This Row],[Spec Type2]]="N/A",Table1[[#This Row],[DUT Adj Read]]="N/A",Table1[[#This Row],[Std Adj Read]]="N/A"),"N/A",IF(Table1[[#This Row],[DUT Adj Read]]="N/A",IF(Table1[[#This Row],[Std Adj Read]]&lt;Table1[[#This Row],[High Tol]],"Pass","Fail"),IF(Table1[[#This Row],[DUT Adj Read]]&lt;Table1[[#This Row],[High Tol]],"Pass","Fail")))</f>
        <v>Fail</v>
      </c>
      <c r="AF240" s="1" t="str">
        <f>IF(AND(Table1[[#This Row],[Spec Type2]]="N/A",Table1[[#This Row],[DUT Adj Read]]="N/A",Table1[[#This Row],[Std Adj Read]]="N/A"),"N/A",IF(Table1[[#This Row],[DUT Adj Read]]="N/A",IF(Table1[[#This Row],[Std Adj Read]]&gt;=Table1[[#This Row],[Low Tol]],"Pass","Fail"),IF(Table1[[#This Row],[DUT Adj Read]]&gt;=Table1[[#This Row],[Low Tol]],"Pass","Fail")))</f>
        <v>Pass</v>
      </c>
      <c r="AG240" s="1" t="str">
        <f>IF(AND(Table1[[#This Row],[Spec Type2]]="N/A",Table1[[#This Row],[DUT Adj Read]]="N/A",Table1[[#This Row],[Std Adj Read]]="N/A"),"N/A",IF(Table1[[#This Row],[DUT Adj Read]]="N/A",IF(Table1[[#This Row],[Std Adj Read]]&lt;=Table1[[#This Row],[High Tol]],"Pass","Fail"),IF(Table1[[#This Row],[DUT Adj Read]]&lt;=Table1[[#This Row],[High Tol]],"Pass","Fail")))</f>
        <v>Fail</v>
      </c>
      <c r="AH2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 s="1" t="b">
        <v>0</v>
      </c>
      <c r="AN240" s="1" t="b">
        <v>0</v>
      </c>
      <c r="AO240" s="1" t="b">
        <v>0</v>
      </c>
    </row>
    <row r="241" spans="1:41" x14ac:dyDescent="0.25">
      <c r="A241" s="10"/>
      <c r="B241" s="10"/>
      <c r="C241" s="10"/>
      <c r="D241" s="10"/>
      <c r="E241" s="10"/>
      <c r="F241" s="10"/>
      <c r="G241" s="10"/>
      <c r="H241" s="10"/>
      <c r="I241" s="1" t="str">
        <f t="shared" si="9"/>
        <v/>
      </c>
      <c r="J241" s="1" t="s">
        <v>35</v>
      </c>
      <c r="K241" s="1" t="str">
        <f t="shared" si="10"/>
        <v/>
      </c>
      <c r="L241" s="1" t="str">
        <f t="shared" si="11"/>
        <v/>
      </c>
      <c r="M241" s="1">
        <f>IF(OR(Table1[[#This Row],[Std Nom]]="",Table1[[#This Row],[Std Read]]=""),0,Table1[[#This Row],[Std Nom]]-Table1[[#This Row],[Std Read]])</f>
        <v>0</v>
      </c>
      <c r="N241" s="1">
        <f>IF(Calculations!$F$5="ACCREDITED 17025 WITH UNCERTAINTIES",$N$10,0)</f>
        <v>0</v>
      </c>
      <c r="O241" s="1" t="str">
        <f>IFERROR(Table1[[#This Row],[Std Nom]]-(_xlfn.XLOOKUP(Table1[[#This Row],[Manufacturer]]&amp;" "&amp;Table1[[#This Row],[Model]],Table13[MFR &amp; MDL],Table13[Tolerance % CW ],"")/100*Table1[[#This Row],[Std Nom]]),"")</f>
        <v/>
      </c>
      <c r="P241" s="1" t="str">
        <f>IFERROR(Table1[[#This Row],[Std Nom]]+(_xlfn.XLOOKUP(Table1[[#This Row],[Manufacturer]]&amp;" "&amp;Table1[[#This Row],[Model]],Table13[MFR &amp; MDL],Table13[Tolerance % CW ],"")/100*Table1[[#This Row],[Std Nom]]),"")</f>
        <v/>
      </c>
      <c r="Q241" s="1" t="e">
        <f>Table1[[#This Row],[High Tol]]-Table1[[#This Row],[Low Tol]]</f>
        <v>#VALUE!</v>
      </c>
      <c r="R241" s="1">
        <f>2*Table1[[#This Row],[Std Error]]</f>
        <v>0</v>
      </c>
      <c r="S241" s="1" t="str">
        <f>IF(Table1[[#This Row],[High Tol]]="","N/A",IFERROR(ABS(Table1[[#This Row],[Tol Span]]/Table1[[#This Row],[Error Span]]),"N/A"))</f>
        <v>N/A</v>
      </c>
      <c r="T241" s="1" t="str">
        <f>IF(OR(Table1[[#This Row],[Low Tol]]="",Table1[[#This Row],[High Tol]]=""),"Needs Analysis",IF(Table1[[#This Row],[Ratio]]&gt;=4,"Not Significant",IF(Table1[[#This Row],[Ratio]]&gt;=2,"Semi-Significant","Significant")))</f>
        <v>Needs Analysis</v>
      </c>
      <c r="W241" s="1">
        <f>IF(Table1[[#This Row],[Cal Type]]&lt;&gt;"ACCREDITED 17025 WITH UNCERTAINTIES",0,"")</f>
        <v>0</v>
      </c>
      <c r="X241" s="1" t="str">
        <f>IF(Table1[[#This Row],[DUT Read]]="","N/A",Table1[[#This Row],[Std Error]]+Table1[[#This Row],[DUT Read]]+Table1[[#This Row],[DUT Ucty]])</f>
        <v>N/A</v>
      </c>
      <c r="Y241" s="1" t="str">
        <f>IF(Table1[[#This Row],[Std Read]]="","N/A",Table1[[#This Row],[Std Read]]+Table1[[#This Row],[Std Ucty]])</f>
        <v>N/A</v>
      </c>
      <c r="Z2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 s="1" t="str">
        <f>IF(Table1[[#This Row],[Spec Type]]="","N/A",Table1[[#This Row],[Spec Type]])</f>
        <v>±</v>
      </c>
      <c r="AC241" s="1" t="str">
        <f>IF(Table1[[#This Row],[Spec Type2]]="N/A","N/A",IF(AND(Table1[[#This Row],[DUT Adj Read]]&gt;=Table1[[#This Row],[Low Tol]],Table1[[#This Row],[DUT Adj Read]]&lt;=Table1[[#This Row],[High Tol]]),"Pass","Fail"))</f>
        <v>Fail</v>
      </c>
      <c r="AD241" s="1" t="str">
        <f>IF(AND(Table1[[#This Row],[Spec Type2]]="N/A",Table1[[#This Row],[DUT Adj Read]]="N/A",Table1[[#This Row],[Std Adj Read]]="N/A"),"N/A",IF(Table1[[#This Row],[DUT Adj Read]]="N/A",IF(Table1[[#This Row],[Std Adj Read]]&gt;Table1[[#This Row],[Low Tol]],"Pass","Fail"),IF(Table1[[#This Row],[DUT Adj Read]]&gt;Table1[[#This Row],[Low Tol]],"Pass","Fail")))</f>
        <v>Pass</v>
      </c>
      <c r="AE241" s="1" t="str">
        <f>IF(AND(Table1[[#This Row],[Spec Type2]]="N/A",Table1[[#This Row],[DUT Adj Read]]="N/A",Table1[[#This Row],[Std Adj Read]]="N/A"),"N/A",IF(Table1[[#This Row],[DUT Adj Read]]="N/A",IF(Table1[[#This Row],[Std Adj Read]]&lt;Table1[[#This Row],[High Tol]],"Pass","Fail"),IF(Table1[[#This Row],[DUT Adj Read]]&lt;Table1[[#This Row],[High Tol]],"Pass","Fail")))</f>
        <v>Fail</v>
      </c>
      <c r="AF241" s="1" t="str">
        <f>IF(AND(Table1[[#This Row],[Spec Type2]]="N/A",Table1[[#This Row],[DUT Adj Read]]="N/A",Table1[[#This Row],[Std Adj Read]]="N/A"),"N/A",IF(Table1[[#This Row],[DUT Adj Read]]="N/A",IF(Table1[[#This Row],[Std Adj Read]]&gt;=Table1[[#This Row],[Low Tol]],"Pass","Fail"),IF(Table1[[#This Row],[DUT Adj Read]]&gt;=Table1[[#This Row],[Low Tol]],"Pass","Fail")))</f>
        <v>Pass</v>
      </c>
      <c r="AG241" s="1" t="str">
        <f>IF(AND(Table1[[#This Row],[Spec Type2]]="N/A",Table1[[#This Row],[DUT Adj Read]]="N/A",Table1[[#This Row],[Std Adj Read]]="N/A"),"N/A",IF(Table1[[#This Row],[DUT Adj Read]]="N/A",IF(Table1[[#This Row],[Std Adj Read]]&lt;=Table1[[#This Row],[High Tol]],"Pass","Fail"),IF(Table1[[#This Row],[DUT Adj Read]]&lt;=Table1[[#This Row],[High Tol]],"Pass","Fail")))</f>
        <v>Fail</v>
      </c>
      <c r="AH2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 s="1" t="b">
        <v>0</v>
      </c>
      <c r="AN241" s="1" t="b">
        <v>0</v>
      </c>
      <c r="AO241" s="1" t="b">
        <v>0</v>
      </c>
    </row>
    <row r="242" spans="1:41" x14ac:dyDescent="0.25">
      <c r="A242" s="10"/>
      <c r="B242" s="10"/>
      <c r="C242" s="10"/>
      <c r="D242" s="10"/>
      <c r="E242" s="10"/>
      <c r="F242" s="10"/>
      <c r="G242" s="10"/>
      <c r="H242" s="10"/>
      <c r="I242" s="1" t="str">
        <f t="shared" si="9"/>
        <v/>
      </c>
      <c r="J242" s="1" t="s">
        <v>35</v>
      </c>
      <c r="K242" s="1" t="str">
        <f t="shared" si="10"/>
        <v/>
      </c>
      <c r="L242" s="1" t="str">
        <f t="shared" si="11"/>
        <v/>
      </c>
      <c r="M242" s="1">
        <f>IF(OR(Table1[[#This Row],[Std Nom]]="",Table1[[#This Row],[Std Read]]=""),0,Table1[[#This Row],[Std Nom]]-Table1[[#This Row],[Std Read]])</f>
        <v>0</v>
      </c>
      <c r="N242" s="1">
        <f>IF(Calculations!$F$5="ACCREDITED 17025 WITH UNCERTAINTIES",$N$10,0)</f>
        <v>0</v>
      </c>
      <c r="O242" s="1" t="str">
        <f>IFERROR(Table1[[#This Row],[Std Nom]]-(_xlfn.XLOOKUP(Table1[[#This Row],[Manufacturer]]&amp;" "&amp;Table1[[#This Row],[Model]],Table13[MFR &amp; MDL],Table13[Tolerance % CW ],"")/100*Table1[[#This Row],[Std Nom]]),"")</f>
        <v/>
      </c>
      <c r="P242" s="1" t="str">
        <f>IFERROR(Table1[[#This Row],[Std Nom]]+(_xlfn.XLOOKUP(Table1[[#This Row],[Manufacturer]]&amp;" "&amp;Table1[[#This Row],[Model]],Table13[MFR &amp; MDL],Table13[Tolerance % CW ],"")/100*Table1[[#This Row],[Std Nom]]),"")</f>
        <v/>
      </c>
      <c r="Q242" s="1" t="e">
        <f>Table1[[#This Row],[High Tol]]-Table1[[#This Row],[Low Tol]]</f>
        <v>#VALUE!</v>
      </c>
      <c r="R242" s="1">
        <f>2*Table1[[#This Row],[Std Error]]</f>
        <v>0</v>
      </c>
      <c r="S242" s="1" t="str">
        <f>IF(Table1[[#This Row],[High Tol]]="","N/A",IFERROR(ABS(Table1[[#This Row],[Tol Span]]/Table1[[#This Row],[Error Span]]),"N/A"))</f>
        <v>N/A</v>
      </c>
      <c r="T242" s="1" t="str">
        <f>IF(OR(Table1[[#This Row],[Low Tol]]="",Table1[[#This Row],[High Tol]]=""),"Needs Analysis",IF(Table1[[#This Row],[Ratio]]&gt;=4,"Not Significant",IF(Table1[[#This Row],[Ratio]]&gt;=2,"Semi-Significant","Significant")))</f>
        <v>Needs Analysis</v>
      </c>
      <c r="W242" s="1">
        <f>IF(Table1[[#This Row],[Cal Type]]&lt;&gt;"ACCREDITED 17025 WITH UNCERTAINTIES",0,"")</f>
        <v>0</v>
      </c>
      <c r="X242" s="1" t="str">
        <f>IF(Table1[[#This Row],[DUT Read]]="","N/A",Table1[[#This Row],[Std Error]]+Table1[[#This Row],[DUT Read]]+Table1[[#This Row],[DUT Ucty]])</f>
        <v>N/A</v>
      </c>
      <c r="Y242" s="1" t="str">
        <f>IF(Table1[[#This Row],[Std Read]]="","N/A",Table1[[#This Row],[Std Read]]+Table1[[#This Row],[Std Ucty]])</f>
        <v>N/A</v>
      </c>
      <c r="Z2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 s="1" t="str">
        <f>IF(Table1[[#This Row],[Spec Type]]="","N/A",Table1[[#This Row],[Spec Type]])</f>
        <v>±</v>
      </c>
      <c r="AC242" s="1" t="str">
        <f>IF(Table1[[#This Row],[Spec Type2]]="N/A","N/A",IF(AND(Table1[[#This Row],[DUT Adj Read]]&gt;=Table1[[#This Row],[Low Tol]],Table1[[#This Row],[DUT Adj Read]]&lt;=Table1[[#This Row],[High Tol]]),"Pass","Fail"))</f>
        <v>Fail</v>
      </c>
      <c r="AD242" s="1" t="str">
        <f>IF(AND(Table1[[#This Row],[Spec Type2]]="N/A",Table1[[#This Row],[DUT Adj Read]]="N/A",Table1[[#This Row],[Std Adj Read]]="N/A"),"N/A",IF(Table1[[#This Row],[DUT Adj Read]]="N/A",IF(Table1[[#This Row],[Std Adj Read]]&gt;Table1[[#This Row],[Low Tol]],"Pass","Fail"),IF(Table1[[#This Row],[DUT Adj Read]]&gt;Table1[[#This Row],[Low Tol]],"Pass","Fail")))</f>
        <v>Pass</v>
      </c>
      <c r="AE242" s="1" t="str">
        <f>IF(AND(Table1[[#This Row],[Spec Type2]]="N/A",Table1[[#This Row],[DUT Adj Read]]="N/A",Table1[[#This Row],[Std Adj Read]]="N/A"),"N/A",IF(Table1[[#This Row],[DUT Adj Read]]="N/A",IF(Table1[[#This Row],[Std Adj Read]]&lt;Table1[[#This Row],[High Tol]],"Pass","Fail"),IF(Table1[[#This Row],[DUT Adj Read]]&lt;Table1[[#This Row],[High Tol]],"Pass","Fail")))</f>
        <v>Fail</v>
      </c>
      <c r="AF242" s="1" t="str">
        <f>IF(AND(Table1[[#This Row],[Spec Type2]]="N/A",Table1[[#This Row],[DUT Adj Read]]="N/A",Table1[[#This Row],[Std Adj Read]]="N/A"),"N/A",IF(Table1[[#This Row],[DUT Adj Read]]="N/A",IF(Table1[[#This Row],[Std Adj Read]]&gt;=Table1[[#This Row],[Low Tol]],"Pass","Fail"),IF(Table1[[#This Row],[DUT Adj Read]]&gt;=Table1[[#This Row],[Low Tol]],"Pass","Fail")))</f>
        <v>Pass</v>
      </c>
      <c r="AG242" s="1" t="str">
        <f>IF(AND(Table1[[#This Row],[Spec Type2]]="N/A",Table1[[#This Row],[DUT Adj Read]]="N/A",Table1[[#This Row],[Std Adj Read]]="N/A"),"N/A",IF(Table1[[#This Row],[DUT Adj Read]]="N/A",IF(Table1[[#This Row],[Std Adj Read]]&lt;=Table1[[#This Row],[High Tol]],"Pass","Fail"),IF(Table1[[#This Row],[DUT Adj Read]]&lt;=Table1[[#This Row],[High Tol]],"Pass","Fail")))</f>
        <v>Fail</v>
      </c>
      <c r="AH2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 s="1" t="b">
        <v>0</v>
      </c>
      <c r="AN242" s="1" t="b">
        <v>0</v>
      </c>
      <c r="AO242" s="1" t="b">
        <v>0</v>
      </c>
    </row>
    <row r="243" spans="1:41" x14ac:dyDescent="0.25">
      <c r="A243" s="10"/>
      <c r="B243" s="10"/>
      <c r="C243" s="10"/>
      <c r="D243" s="10"/>
      <c r="E243" s="10"/>
      <c r="F243" s="10"/>
      <c r="G243" s="10"/>
      <c r="H243" s="10"/>
      <c r="I243" s="1" t="str">
        <f t="shared" si="9"/>
        <v/>
      </c>
      <c r="J243" s="1" t="s">
        <v>35</v>
      </c>
      <c r="K243" s="1" t="str">
        <f t="shared" si="10"/>
        <v/>
      </c>
      <c r="L243" s="1" t="str">
        <f t="shared" si="11"/>
        <v/>
      </c>
      <c r="M243" s="1">
        <f>IF(OR(Table1[[#This Row],[Std Nom]]="",Table1[[#This Row],[Std Read]]=""),0,Table1[[#This Row],[Std Nom]]-Table1[[#This Row],[Std Read]])</f>
        <v>0</v>
      </c>
      <c r="N243" s="1">
        <f>IF(Calculations!$F$5="ACCREDITED 17025 WITH UNCERTAINTIES",$N$10,0)</f>
        <v>0</v>
      </c>
      <c r="O243" s="1" t="str">
        <f>IFERROR(Table1[[#This Row],[Std Nom]]-(_xlfn.XLOOKUP(Table1[[#This Row],[Manufacturer]]&amp;" "&amp;Table1[[#This Row],[Model]],Table13[MFR &amp; MDL],Table13[Tolerance % CW ],"")/100*Table1[[#This Row],[Std Nom]]),"")</f>
        <v/>
      </c>
      <c r="P243" s="1" t="str">
        <f>IFERROR(Table1[[#This Row],[Std Nom]]+(_xlfn.XLOOKUP(Table1[[#This Row],[Manufacturer]]&amp;" "&amp;Table1[[#This Row],[Model]],Table13[MFR &amp; MDL],Table13[Tolerance % CW ],"")/100*Table1[[#This Row],[Std Nom]]),"")</f>
        <v/>
      </c>
      <c r="Q243" s="1" t="e">
        <f>Table1[[#This Row],[High Tol]]-Table1[[#This Row],[Low Tol]]</f>
        <v>#VALUE!</v>
      </c>
      <c r="R243" s="1">
        <f>2*Table1[[#This Row],[Std Error]]</f>
        <v>0</v>
      </c>
      <c r="S243" s="1" t="str">
        <f>IF(Table1[[#This Row],[High Tol]]="","N/A",IFERROR(ABS(Table1[[#This Row],[Tol Span]]/Table1[[#This Row],[Error Span]]),"N/A"))</f>
        <v>N/A</v>
      </c>
      <c r="T243" s="1" t="str">
        <f>IF(OR(Table1[[#This Row],[Low Tol]]="",Table1[[#This Row],[High Tol]]=""),"Needs Analysis",IF(Table1[[#This Row],[Ratio]]&gt;=4,"Not Significant",IF(Table1[[#This Row],[Ratio]]&gt;=2,"Semi-Significant","Significant")))</f>
        <v>Needs Analysis</v>
      </c>
      <c r="W243" s="1">
        <f>IF(Table1[[#This Row],[Cal Type]]&lt;&gt;"ACCREDITED 17025 WITH UNCERTAINTIES",0,"")</f>
        <v>0</v>
      </c>
      <c r="X243" s="1" t="str">
        <f>IF(Table1[[#This Row],[DUT Read]]="","N/A",Table1[[#This Row],[Std Error]]+Table1[[#This Row],[DUT Read]]+Table1[[#This Row],[DUT Ucty]])</f>
        <v>N/A</v>
      </c>
      <c r="Y243" s="1" t="str">
        <f>IF(Table1[[#This Row],[Std Read]]="","N/A",Table1[[#This Row],[Std Read]]+Table1[[#This Row],[Std Ucty]])</f>
        <v>N/A</v>
      </c>
      <c r="Z2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 s="1" t="str">
        <f>IF(Table1[[#This Row],[Spec Type]]="","N/A",Table1[[#This Row],[Spec Type]])</f>
        <v>±</v>
      </c>
      <c r="AC243" s="1" t="str">
        <f>IF(Table1[[#This Row],[Spec Type2]]="N/A","N/A",IF(AND(Table1[[#This Row],[DUT Adj Read]]&gt;=Table1[[#This Row],[Low Tol]],Table1[[#This Row],[DUT Adj Read]]&lt;=Table1[[#This Row],[High Tol]]),"Pass","Fail"))</f>
        <v>Fail</v>
      </c>
      <c r="AD243" s="1" t="str">
        <f>IF(AND(Table1[[#This Row],[Spec Type2]]="N/A",Table1[[#This Row],[DUT Adj Read]]="N/A",Table1[[#This Row],[Std Adj Read]]="N/A"),"N/A",IF(Table1[[#This Row],[DUT Adj Read]]="N/A",IF(Table1[[#This Row],[Std Adj Read]]&gt;Table1[[#This Row],[Low Tol]],"Pass","Fail"),IF(Table1[[#This Row],[DUT Adj Read]]&gt;Table1[[#This Row],[Low Tol]],"Pass","Fail")))</f>
        <v>Pass</v>
      </c>
      <c r="AE243" s="1" t="str">
        <f>IF(AND(Table1[[#This Row],[Spec Type2]]="N/A",Table1[[#This Row],[DUT Adj Read]]="N/A",Table1[[#This Row],[Std Adj Read]]="N/A"),"N/A",IF(Table1[[#This Row],[DUT Adj Read]]="N/A",IF(Table1[[#This Row],[Std Adj Read]]&lt;Table1[[#This Row],[High Tol]],"Pass","Fail"),IF(Table1[[#This Row],[DUT Adj Read]]&lt;Table1[[#This Row],[High Tol]],"Pass","Fail")))</f>
        <v>Fail</v>
      </c>
      <c r="AF243" s="1" t="str">
        <f>IF(AND(Table1[[#This Row],[Spec Type2]]="N/A",Table1[[#This Row],[DUT Adj Read]]="N/A",Table1[[#This Row],[Std Adj Read]]="N/A"),"N/A",IF(Table1[[#This Row],[DUT Adj Read]]="N/A",IF(Table1[[#This Row],[Std Adj Read]]&gt;=Table1[[#This Row],[Low Tol]],"Pass","Fail"),IF(Table1[[#This Row],[DUT Adj Read]]&gt;=Table1[[#This Row],[Low Tol]],"Pass","Fail")))</f>
        <v>Pass</v>
      </c>
      <c r="AG243" s="1" t="str">
        <f>IF(AND(Table1[[#This Row],[Spec Type2]]="N/A",Table1[[#This Row],[DUT Adj Read]]="N/A",Table1[[#This Row],[Std Adj Read]]="N/A"),"N/A",IF(Table1[[#This Row],[DUT Adj Read]]="N/A",IF(Table1[[#This Row],[Std Adj Read]]&lt;=Table1[[#This Row],[High Tol]],"Pass","Fail"),IF(Table1[[#This Row],[DUT Adj Read]]&lt;=Table1[[#This Row],[High Tol]],"Pass","Fail")))</f>
        <v>Fail</v>
      </c>
      <c r="AH2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 s="1" t="b">
        <v>0</v>
      </c>
      <c r="AN243" s="1" t="b">
        <v>0</v>
      </c>
      <c r="AO243" s="1" t="b">
        <v>0</v>
      </c>
    </row>
    <row r="244" spans="1:41" x14ac:dyDescent="0.25">
      <c r="A244" s="10"/>
      <c r="B244" s="10"/>
      <c r="C244" s="10"/>
      <c r="D244" s="10"/>
      <c r="E244" s="10"/>
      <c r="F244" s="10"/>
      <c r="G244" s="10"/>
      <c r="H244" s="10"/>
      <c r="I244" s="1" t="str">
        <f t="shared" si="9"/>
        <v/>
      </c>
      <c r="J244" s="1" t="s">
        <v>35</v>
      </c>
      <c r="K244" s="1" t="str">
        <f t="shared" si="10"/>
        <v/>
      </c>
      <c r="L244" s="1" t="str">
        <f t="shared" si="11"/>
        <v/>
      </c>
      <c r="M244" s="1">
        <f>IF(OR(Table1[[#This Row],[Std Nom]]="",Table1[[#This Row],[Std Read]]=""),0,Table1[[#This Row],[Std Nom]]-Table1[[#This Row],[Std Read]])</f>
        <v>0</v>
      </c>
      <c r="N244" s="1">
        <f>IF(Calculations!$F$5="ACCREDITED 17025 WITH UNCERTAINTIES",$N$10,0)</f>
        <v>0</v>
      </c>
      <c r="O244" s="1" t="str">
        <f>IFERROR(Table1[[#This Row],[Std Nom]]-(_xlfn.XLOOKUP(Table1[[#This Row],[Manufacturer]]&amp;" "&amp;Table1[[#This Row],[Model]],Table13[MFR &amp; MDL],Table13[Tolerance % CW ],"")/100*Table1[[#This Row],[Std Nom]]),"")</f>
        <v/>
      </c>
      <c r="P244" s="1" t="str">
        <f>IFERROR(Table1[[#This Row],[Std Nom]]+(_xlfn.XLOOKUP(Table1[[#This Row],[Manufacturer]]&amp;" "&amp;Table1[[#This Row],[Model]],Table13[MFR &amp; MDL],Table13[Tolerance % CW ],"")/100*Table1[[#This Row],[Std Nom]]),"")</f>
        <v/>
      </c>
      <c r="Q244" s="1" t="e">
        <f>Table1[[#This Row],[High Tol]]-Table1[[#This Row],[Low Tol]]</f>
        <v>#VALUE!</v>
      </c>
      <c r="R244" s="1">
        <f>2*Table1[[#This Row],[Std Error]]</f>
        <v>0</v>
      </c>
      <c r="S244" s="1" t="str">
        <f>IF(Table1[[#This Row],[High Tol]]="","N/A",IFERROR(ABS(Table1[[#This Row],[Tol Span]]/Table1[[#This Row],[Error Span]]),"N/A"))</f>
        <v>N/A</v>
      </c>
      <c r="T244" s="1" t="str">
        <f>IF(OR(Table1[[#This Row],[Low Tol]]="",Table1[[#This Row],[High Tol]]=""),"Needs Analysis",IF(Table1[[#This Row],[Ratio]]&gt;=4,"Not Significant",IF(Table1[[#This Row],[Ratio]]&gt;=2,"Semi-Significant","Significant")))</f>
        <v>Needs Analysis</v>
      </c>
      <c r="W244" s="1">
        <f>IF(Table1[[#This Row],[Cal Type]]&lt;&gt;"ACCREDITED 17025 WITH UNCERTAINTIES",0,"")</f>
        <v>0</v>
      </c>
      <c r="X244" s="1" t="str">
        <f>IF(Table1[[#This Row],[DUT Read]]="","N/A",Table1[[#This Row],[Std Error]]+Table1[[#This Row],[DUT Read]]+Table1[[#This Row],[DUT Ucty]])</f>
        <v>N/A</v>
      </c>
      <c r="Y244" s="1" t="str">
        <f>IF(Table1[[#This Row],[Std Read]]="","N/A",Table1[[#This Row],[Std Read]]+Table1[[#This Row],[Std Ucty]])</f>
        <v>N/A</v>
      </c>
      <c r="Z2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 s="1" t="str">
        <f>IF(Table1[[#This Row],[Spec Type]]="","N/A",Table1[[#This Row],[Spec Type]])</f>
        <v>±</v>
      </c>
      <c r="AC244" s="1" t="str">
        <f>IF(Table1[[#This Row],[Spec Type2]]="N/A","N/A",IF(AND(Table1[[#This Row],[DUT Adj Read]]&gt;=Table1[[#This Row],[Low Tol]],Table1[[#This Row],[DUT Adj Read]]&lt;=Table1[[#This Row],[High Tol]]),"Pass","Fail"))</f>
        <v>Fail</v>
      </c>
      <c r="AD244" s="1" t="str">
        <f>IF(AND(Table1[[#This Row],[Spec Type2]]="N/A",Table1[[#This Row],[DUT Adj Read]]="N/A",Table1[[#This Row],[Std Adj Read]]="N/A"),"N/A",IF(Table1[[#This Row],[DUT Adj Read]]="N/A",IF(Table1[[#This Row],[Std Adj Read]]&gt;Table1[[#This Row],[Low Tol]],"Pass","Fail"),IF(Table1[[#This Row],[DUT Adj Read]]&gt;Table1[[#This Row],[Low Tol]],"Pass","Fail")))</f>
        <v>Pass</v>
      </c>
      <c r="AE244" s="1" t="str">
        <f>IF(AND(Table1[[#This Row],[Spec Type2]]="N/A",Table1[[#This Row],[DUT Adj Read]]="N/A",Table1[[#This Row],[Std Adj Read]]="N/A"),"N/A",IF(Table1[[#This Row],[DUT Adj Read]]="N/A",IF(Table1[[#This Row],[Std Adj Read]]&lt;Table1[[#This Row],[High Tol]],"Pass","Fail"),IF(Table1[[#This Row],[DUT Adj Read]]&lt;Table1[[#This Row],[High Tol]],"Pass","Fail")))</f>
        <v>Fail</v>
      </c>
      <c r="AF244" s="1" t="str">
        <f>IF(AND(Table1[[#This Row],[Spec Type2]]="N/A",Table1[[#This Row],[DUT Adj Read]]="N/A",Table1[[#This Row],[Std Adj Read]]="N/A"),"N/A",IF(Table1[[#This Row],[DUT Adj Read]]="N/A",IF(Table1[[#This Row],[Std Adj Read]]&gt;=Table1[[#This Row],[Low Tol]],"Pass","Fail"),IF(Table1[[#This Row],[DUT Adj Read]]&gt;=Table1[[#This Row],[Low Tol]],"Pass","Fail")))</f>
        <v>Pass</v>
      </c>
      <c r="AG244" s="1" t="str">
        <f>IF(AND(Table1[[#This Row],[Spec Type2]]="N/A",Table1[[#This Row],[DUT Adj Read]]="N/A",Table1[[#This Row],[Std Adj Read]]="N/A"),"N/A",IF(Table1[[#This Row],[DUT Adj Read]]="N/A",IF(Table1[[#This Row],[Std Adj Read]]&lt;=Table1[[#This Row],[High Tol]],"Pass","Fail"),IF(Table1[[#This Row],[DUT Adj Read]]&lt;=Table1[[#This Row],[High Tol]],"Pass","Fail")))</f>
        <v>Fail</v>
      </c>
      <c r="AH2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 s="1" t="b">
        <v>0</v>
      </c>
      <c r="AN244" s="1" t="b">
        <v>0</v>
      </c>
      <c r="AO244" s="1" t="b">
        <v>0</v>
      </c>
    </row>
    <row r="245" spans="1:41" x14ac:dyDescent="0.25">
      <c r="A245" s="10"/>
      <c r="B245" s="10"/>
      <c r="C245" s="10"/>
      <c r="D245" s="10"/>
      <c r="E245" s="10"/>
      <c r="F245" s="10"/>
      <c r="G245" s="10"/>
      <c r="H245" s="10"/>
      <c r="I245" s="1" t="str">
        <f t="shared" si="9"/>
        <v/>
      </c>
      <c r="J245" s="1" t="s">
        <v>35</v>
      </c>
      <c r="K245" s="1" t="str">
        <f t="shared" si="10"/>
        <v/>
      </c>
      <c r="L245" s="1" t="str">
        <f t="shared" si="11"/>
        <v/>
      </c>
      <c r="M245" s="1">
        <f>IF(OR(Table1[[#This Row],[Std Nom]]="",Table1[[#This Row],[Std Read]]=""),0,Table1[[#This Row],[Std Nom]]-Table1[[#This Row],[Std Read]])</f>
        <v>0</v>
      </c>
      <c r="N245" s="1">
        <f>IF(Calculations!$F$5="ACCREDITED 17025 WITH UNCERTAINTIES",$N$10,0)</f>
        <v>0</v>
      </c>
      <c r="O245" s="1" t="str">
        <f>IFERROR(Table1[[#This Row],[Std Nom]]-(_xlfn.XLOOKUP(Table1[[#This Row],[Manufacturer]]&amp;" "&amp;Table1[[#This Row],[Model]],Table13[MFR &amp; MDL],Table13[Tolerance % CW ],"")/100*Table1[[#This Row],[Std Nom]]),"")</f>
        <v/>
      </c>
      <c r="P245" s="1" t="str">
        <f>IFERROR(Table1[[#This Row],[Std Nom]]+(_xlfn.XLOOKUP(Table1[[#This Row],[Manufacturer]]&amp;" "&amp;Table1[[#This Row],[Model]],Table13[MFR &amp; MDL],Table13[Tolerance % CW ],"")/100*Table1[[#This Row],[Std Nom]]),"")</f>
        <v/>
      </c>
      <c r="Q245" s="1" t="e">
        <f>Table1[[#This Row],[High Tol]]-Table1[[#This Row],[Low Tol]]</f>
        <v>#VALUE!</v>
      </c>
      <c r="R245" s="1">
        <f>2*Table1[[#This Row],[Std Error]]</f>
        <v>0</v>
      </c>
      <c r="S245" s="1" t="str">
        <f>IF(Table1[[#This Row],[High Tol]]="","N/A",IFERROR(ABS(Table1[[#This Row],[Tol Span]]/Table1[[#This Row],[Error Span]]),"N/A"))</f>
        <v>N/A</v>
      </c>
      <c r="T245" s="1" t="str">
        <f>IF(OR(Table1[[#This Row],[Low Tol]]="",Table1[[#This Row],[High Tol]]=""),"Needs Analysis",IF(Table1[[#This Row],[Ratio]]&gt;=4,"Not Significant",IF(Table1[[#This Row],[Ratio]]&gt;=2,"Semi-Significant","Significant")))</f>
        <v>Needs Analysis</v>
      </c>
      <c r="W245" s="1">
        <f>IF(Table1[[#This Row],[Cal Type]]&lt;&gt;"ACCREDITED 17025 WITH UNCERTAINTIES",0,"")</f>
        <v>0</v>
      </c>
      <c r="X245" s="1" t="str">
        <f>IF(Table1[[#This Row],[DUT Read]]="","N/A",Table1[[#This Row],[Std Error]]+Table1[[#This Row],[DUT Read]]+Table1[[#This Row],[DUT Ucty]])</f>
        <v>N/A</v>
      </c>
      <c r="Y245" s="1" t="str">
        <f>IF(Table1[[#This Row],[Std Read]]="","N/A",Table1[[#This Row],[Std Read]]+Table1[[#This Row],[Std Ucty]])</f>
        <v>N/A</v>
      </c>
      <c r="Z2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 s="1" t="str">
        <f>IF(Table1[[#This Row],[Spec Type]]="","N/A",Table1[[#This Row],[Spec Type]])</f>
        <v>±</v>
      </c>
      <c r="AC245" s="1" t="str">
        <f>IF(Table1[[#This Row],[Spec Type2]]="N/A","N/A",IF(AND(Table1[[#This Row],[DUT Adj Read]]&gt;=Table1[[#This Row],[Low Tol]],Table1[[#This Row],[DUT Adj Read]]&lt;=Table1[[#This Row],[High Tol]]),"Pass","Fail"))</f>
        <v>Fail</v>
      </c>
      <c r="AD245" s="1" t="str">
        <f>IF(AND(Table1[[#This Row],[Spec Type2]]="N/A",Table1[[#This Row],[DUT Adj Read]]="N/A",Table1[[#This Row],[Std Adj Read]]="N/A"),"N/A",IF(Table1[[#This Row],[DUT Adj Read]]="N/A",IF(Table1[[#This Row],[Std Adj Read]]&gt;Table1[[#This Row],[Low Tol]],"Pass","Fail"),IF(Table1[[#This Row],[DUT Adj Read]]&gt;Table1[[#This Row],[Low Tol]],"Pass","Fail")))</f>
        <v>Pass</v>
      </c>
      <c r="AE245" s="1" t="str">
        <f>IF(AND(Table1[[#This Row],[Spec Type2]]="N/A",Table1[[#This Row],[DUT Adj Read]]="N/A",Table1[[#This Row],[Std Adj Read]]="N/A"),"N/A",IF(Table1[[#This Row],[DUT Adj Read]]="N/A",IF(Table1[[#This Row],[Std Adj Read]]&lt;Table1[[#This Row],[High Tol]],"Pass","Fail"),IF(Table1[[#This Row],[DUT Adj Read]]&lt;Table1[[#This Row],[High Tol]],"Pass","Fail")))</f>
        <v>Fail</v>
      </c>
      <c r="AF245" s="1" t="str">
        <f>IF(AND(Table1[[#This Row],[Spec Type2]]="N/A",Table1[[#This Row],[DUT Adj Read]]="N/A",Table1[[#This Row],[Std Adj Read]]="N/A"),"N/A",IF(Table1[[#This Row],[DUT Adj Read]]="N/A",IF(Table1[[#This Row],[Std Adj Read]]&gt;=Table1[[#This Row],[Low Tol]],"Pass","Fail"),IF(Table1[[#This Row],[DUT Adj Read]]&gt;=Table1[[#This Row],[Low Tol]],"Pass","Fail")))</f>
        <v>Pass</v>
      </c>
      <c r="AG245" s="1" t="str">
        <f>IF(AND(Table1[[#This Row],[Spec Type2]]="N/A",Table1[[#This Row],[DUT Adj Read]]="N/A",Table1[[#This Row],[Std Adj Read]]="N/A"),"N/A",IF(Table1[[#This Row],[DUT Adj Read]]="N/A",IF(Table1[[#This Row],[Std Adj Read]]&lt;=Table1[[#This Row],[High Tol]],"Pass","Fail"),IF(Table1[[#This Row],[DUT Adj Read]]&lt;=Table1[[#This Row],[High Tol]],"Pass","Fail")))</f>
        <v>Fail</v>
      </c>
      <c r="AH2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 s="1" t="b">
        <v>0</v>
      </c>
      <c r="AN245" s="1" t="b">
        <v>0</v>
      </c>
      <c r="AO245" s="1" t="b">
        <v>0</v>
      </c>
    </row>
    <row r="246" spans="1:41" x14ac:dyDescent="0.25">
      <c r="A246" s="10"/>
      <c r="B246" s="10"/>
      <c r="C246" s="10"/>
      <c r="D246" s="10"/>
      <c r="E246" s="10"/>
      <c r="F246" s="10"/>
      <c r="G246" s="10"/>
      <c r="H246" s="10"/>
      <c r="I246" s="1" t="str">
        <f t="shared" si="9"/>
        <v/>
      </c>
      <c r="J246" s="1" t="s">
        <v>35</v>
      </c>
      <c r="K246" s="1" t="str">
        <f t="shared" si="10"/>
        <v/>
      </c>
      <c r="L246" s="1" t="str">
        <f t="shared" si="11"/>
        <v/>
      </c>
      <c r="M246" s="1">
        <f>IF(OR(Table1[[#This Row],[Std Nom]]="",Table1[[#This Row],[Std Read]]=""),0,Table1[[#This Row],[Std Nom]]-Table1[[#This Row],[Std Read]])</f>
        <v>0</v>
      </c>
      <c r="N246" s="1">
        <f>IF(Calculations!$F$5="ACCREDITED 17025 WITH UNCERTAINTIES",$N$10,0)</f>
        <v>0</v>
      </c>
      <c r="O246" s="1" t="str">
        <f>IFERROR(Table1[[#This Row],[Std Nom]]-(_xlfn.XLOOKUP(Table1[[#This Row],[Manufacturer]]&amp;" "&amp;Table1[[#This Row],[Model]],Table13[MFR &amp; MDL],Table13[Tolerance % CW ],"")/100*Table1[[#This Row],[Std Nom]]),"")</f>
        <v/>
      </c>
      <c r="P246" s="1" t="str">
        <f>IFERROR(Table1[[#This Row],[Std Nom]]+(_xlfn.XLOOKUP(Table1[[#This Row],[Manufacturer]]&amp;" "&amp;Table1[[#This Row],[Model]],Table13[MFR &amp; MDL],Table13[Tolerance % CW ],"")/100*Table1[[#This Row],[Std Nom]]),"")</f>
        <v/>
      </c>
      <c r="Q246" s="1" t="e">
        <f>Table1[[#This Row],[High Tol]]-Table1[[#This Row],[Low Tol]]</f>
        <v>#VALUE!</v>
      </c>
      <c r="R246" s="1">
        <f>2*Table1[[#This Row],[Std Error]]</f>
        <v>0</v>
      </c>
      <c r="S246" s="1" t="str">
        <f>IF(Table1[[#This Row],[High Tol]]="","N/A",IFERROR(ABS(Table1[[#This Row],[Tol Span]]/Table1[[#This Row],[Error Span]]),"N/A"))</f>
        <v>N/A</v>
      </c>
      <c r="T246" s="1" t="str">
        <f>IF(OR(Table1[[#This Row],[Low Tol]]="",Table1[[#This Row],[High Tol]]=""),"Needs Analysis",IF(Table1[[#This Row],[Ratio]]&gt;=4,"Not Significant",IF(Table1[[#This Row],[Ratio]]&gt;=2,"Semi-Significant","Significant")))</f>
        <v>Needs Analysis</v>
      </c>
      <c r="W246" s="1">
        <f>IF(Table1[[#This Row],[Cal Type]]&lt;&gt;"ACCREDITED 17025 WITH UNCERTAINTIES",0,"")</f>
        <v>0</v>
      </c>
      <c r="X246" s="1" t="str">
        <f>IF(Table1[[#This Row],[DUT Read]]="","N/A",Table1[[#This Row],[Std Error]]+Table1[[#This Row],[DUT Read]]+Table1[[#This Row],[DUT Ucty]])</f>
        <v>N/A</v>
      </c>
      <c r="Y246" s="1" t="str">
        <f>IF(Table1[[#This Row],[Std Read]]="","N/A",Table1[[#This Row],[Std Read]]+Table1[[#This Row],[Std Ucty]])</f>
        <v>N/A</v>
      </c>
      <c r="Z2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 s="1" t="str">
        <f>IF(Table1[[#This Row],[Spec Type]]="","N/A",Table1[[#This Row],[Spec Type]])</f>
        <v>±</v>
      </c>
      <c r="AC246" s="1" t="str">
        <f>IF(Table1[[#This Row],[Spec Type2]]="N/A","N/A",IF(AND(Table1[[#This Row],[DUT Adj Read]]&gt;=Table1[[#This Row],[Low Tol]],Table1[[#This Row],[DUT Adj Read]]&lt;=Table1[[#This Row],[High Tol]]),"Pass","Fail"))</f>
        <v>Fail</v>
      </c>
      <c r="AD246" s="1" t="str">
        <f>IF(AND(Table1[[#This Row],[Spec Type2]]="N/A",Table1[[#This Row],[DUT Adj Read]]="N/A",Table1[[#This Row],[Std Adj Read]]="N/A"),"N/A",IF(Table1[[#This Row],[DUT Adj Read]]="N/A",IF(Table1[[#This Row],[Std Adj Read]]&gt;Table1[[#This Row],[Low Tol]],"Pass","Fail"),IF(Table1[[#This Row],[DUT Adj Read]]&gt;Table1[[#This Row],[Low Tol]],"Pass","Fail")))</f>
        <v>Pass</v>
      </c>
      <c r="AE246" s="1" t="str">
        <f>IF(AND(Table1[[#This Row],[Spec Type2]]="N/A",Table1[[#This Row],[DUT Adj Read]]="N/A",Table1[[#This Row],[Std Adj Read]]="N/A"),"N/A",IF(Table1[[#This Row],[DUT Adj Read]]="N/A",IF(Table1[[#This Row],[Std Adj Read]]&lt;Table1[[#This Row],[High Tol]],"Pass","Fail"),IF(Table1[[#This Row],[DUT Adj Read]]&lt;Table1[[#This Row],[High Tol]],"Pass","Fail")))</f>
        <v>Fail</v>
      </c>
      <c r="AF246" s="1" t="str">
        <f>IF(AND(Table1[[#This Row],[Spec Type2]]="N/A",Table1[[#This Row],[DUT Adj Read]]="N/A",Table1[[#This Row],[Std Adj Read]]="N/A"),"N/A",IF(Table1[[#This Row],[DUT Adj Read]]="N/A",IF(Table1[[#This Row],[Std Adj Read]]&gt;=Table1[[#This Row],[Low Tol]],"Pass","Fail"),IF(Table1[[#This Row],[DUT Adj Read]]&gt;=Table1[[#This Row],[Low Tol]],"Pass","Fail")))</f>
        <v>Pass</v>
      </c>
      <c r="AG246" s="1" t="str">
        <f>IF(AND(Table1[[#This Row],[Spec Type2]]="N/A",Table1[[#This Row],[DUT Adj Read]]="N/A",Table1[[#This Row],[Std Adj Read]]="N/A"),"N/A",IF(Table1[[#This Row],[DUT Adj Read]]="N/A",IF(Table1[[#This Row],[Std Adj Read]]&lt;=Table1[[#This Row],[High Tol]],"Pass","Fail"),IF(Table1[[#This Row],[DUT Adj Read]]&lt;=Table1[[#This Row],[High Tol]],"Pass","Fail")))</f>
        <v>Fail</v>
      </c>
      <c r="AH2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 s="1" t="b">
        <v>0</v>
      </c>
      <c r="AN246" s="1" t="b">
        <v>0</v>
      </c>
      <c r="AO246" s="1" t="b">
        <v>0</v>
      </c>
    </row>
    <row r="247" spans="1:41" x14ac:dyDescent="0.25">
      <c r="A247" s="10"/>
      <c r="B247" s="10"/>
      <c r="C247" s="10"/>
      <c r="D247" s="10"/>
      <c r="E247" s="10"/>
      <c r="F247" s="10"/>
      <c r="G247" s="10"/>
      <c r="H247" s="10"/>
      <c r="I247" s="1" t="str">
        <f t="shared" si="9"/>
        <v/>
      </c>
      <c r="J247" s="1" t="s">
        <v>35</v>
      </c>
      <c r="K247" s="1" t="str">
        <f t="shared" si="10"/>
        <v/>
      </c>
      <c r="L247" s="1" t="str">
        <f t="shared" si="11"/>
        <v/>
      </c>
      <c r="M247" s="1">
        <f>IF(OR(Table1[[#This Row],[Std Nom]]="",Table1[[#This Row],[Std Read]]=""),0,Table1[[#This Row],[Std Nom]]-Table1[[#This Row],[Std Read]])</f>
        <v>0</v>
      </c>
      <c r="N247" s="1">
        <f>IF(Calculations!$F$5="ACCREDITED 17025 WITH UNCERTAINTIES",$N$10,0)</f>
        <v>0</v>
      </c>
      <c r="O247" s="1" t="str">
        <f>IFERROR(Table1[[#This Row],[Std Nom]]-(_xlfn.XLOOKUP(Table1[[#This Row],[Manufacturer]]&amp;" "&amp;Table1[[#This Row],[Model]],Table13[MFR &amp; MDL],Table13[Tolerance % CW ],"")/100*Table1[[#This Row],[Std Nom]]),"")</f>
        <v/>
      </c>
      <c r="P247" s="1" t="str">
        <f>IFERROR(Table1[[#This Row],[Std Nom]]+(_xlfn.XLOOKUP(Table1[[#This Row],[Manufacturer]]&amp;" "&amp;Table1[[#This Row],[Model]],Table13[MFR &amp; MDL],Table13[Tolerance % CW ],"")/100*Table1[[#This Row],[Std Nom]]),"")</f>
        <v/>
      </c>
      <c r="Q247" s="1" t="e">
        <f>Table1[[#This Row],[High Tol]]-Table1[[#This Row],[Low Tol]]</f>
        <v>#VALUE!</v>
      </c>
      <c r="R247" s="1">
        <f>2*Table1[[#This Row],[Std Error]]</f>
        <v>0</v>
      </c>
      <c r="S247" s="1" t="str">
        <f>IF(Table1[[#This Row],[High Tol]]="","N/A",IFERROR(ABS(Table1[[#This Row],[Tol Span]]/Table1[[#This Row],[Error Span]]),"N/A"))</f>
        <v>N/A</v>
      </c>
      <c r="T247" s="1" t="str">
        <f>IF(OR(Table1[[#This Row],[Low Tol]]="",Table1[[#This Row],[High Tol]]=""),"Needs Analysis",IF(Table1[[#This Row],[Ratio]]&gt;=4,"Not Significant",IF(Table1[[#This Row],[Ratio]]&gt;=2,"Semi-Significant","Significant")))</f>
        <v>Needs Analysis</v>
      </c>
      <c r="W247" s="1">
        <f>IF(Table1[[#This Row],[Cal Type]]&lt;&gt;"ACCREDITED 17025 WITH UNCERTAINTIES",0,"")</f>
        <v>0</v>
      </c>
      <c r="X247" s="1" t="str">
        <f>IF(Table1[[#This Row],[DUT Read]]="","N/A",Table1[[#This Row],[Std Error]]+Table1[[#This Row],[DUT Read]]+Table1[[#This Row],[DUT Ucty]])</f>
        <v>N/A</v>
      </c>
      <c r="Y247" s="1" t="str">
        <f>IF(Table1[[#This Row],[Std Read]]="","N/A",Table1[[#This Row],[Std Read]]+Table1[[#This Row],[Std Ucty]])</f>
        <v>N/A</v>
      </c>
      <c r="Z2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 s="1" t="str">
        <f>IF(Table1[[#This Row],[Spec Type]]="","N/A",Table1[[#This Row],[Spec Type]])</f>
        <v>±</v>
      </c>
      <c r="AC247" s="1" t="str">
        <f>IF(Table1[[#This Row],[Spec Type2]]="N/A","N/A",IF(AND(Table1[[#This Row],[DUT Adj Read]]&gt;=Table1[[#This Row],[Low Tol]],Table1[[#This Row],[DUT Adj Read]]&lt;=Table1[[#This Row],[High Tol]]),"Pass","Fail"))</f>
        <v>Fail</v>
      </c>
      <c r="AD247" s="1" t="str">
        <f>IF(AND(Table1[[#This Row],[Spec Type2]]="N/A",Table1[[#This Row],[DUT Adj Read]]="N/A",Table1[[#This Row],[Std Adj Read]]="N/A"),"N/A",IF(Table1[[#This Row],[DUT Adj Read]]="N/A",IF(Table1[[#This Row],[Std Adj Read]]&gt;Table1[[#This Row],[Low Tol]],"Pass","Fail"),IF(Table1[[#This Row],[DUT Adj Read]]&gt;Table1[[#This Row],[Low Tol]],"Pass","Fail")))</f>
        <v>Pass</v>
      </c>
      <c r="AE247" s="1" t="str">
        <f>IF(AND(Table1[[#This Row],[Spec Type2]]="N/A",Table1[[#This Row],[DUT Adj Read]]="N/A",Table1[[#This Row],[Std Adj Read]]="N/A"),"N/A",IF(Table1[[#This Row],[DUT Adj Read]]="N/A",IF(Table1[[#This Row],[Std Adj Read]]&lt;Table1[[#This Row],[High Tol]],"Pass","Fail"),IF(Table1[[#This Row],[DUT Adj Read]]&lt;Table1[[#This Row],[High Tol]],"Pass","Fail")))</f>
        <v>Fail</v>
      </c>
      <c r="AF247" s="1" t="str">
        <f>IF(AND(Table1[[#This Row],[Spec Type2]]="N/A",Table1[[#This Row],[DUT Adj Read]]="N/A",Table1[[#This Row],[Std Adj Read]]="N/A"),"N/A",IF(Table1[[#This Row],[DUT Adj Read]]="N/A",IF(Table1[[#This Row],[Std Adj Read]]&gt;=Table1[[#This Row],[Low Tol]],"Pass","Fail"),IF(Table1[[#This Row],[DUT Adj Read]]&gt;=Table1[[#This Row],[Low Tol]],"Pass","Fail")))</f>
        <v>Pass</v>
      </c>
      <c r="AG247" s="1" t="str">
        <f>IF(AND(Table1[[#This Row],[Spec Type2]]="N/A",Table1[[#This Row],[DUT Adj Read]]="N/A",Table1[[#This Row],[Std Adj Read]]="N/A"),"N/A",IF(Table1[[#This Row],[DUT Adj Read]]="N/A",IF(Table1[[#This Row],[Std Adj Read]]&lt;=Table1[[#This Row],[High Tol]],"Pass","Fail"),IF(Table1[[#This Row],[DUT Adj Read]]&lt;=Table1[[#This Row],[High Tol]],"Pass","Fail")))</f>
        <v>Fail</v>
      </c>
      <c r="AH2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 s="1" t="b">
        <v>0</v>
      </c>
      <c r="AN247" s="1" t="b">
        <v>0</v>
      </c>
      <c r="AO247" s="1" t="b">
        <v>0</v>
      </c>
    </row>
    <row r="248" spans="1:41" x14ac:dyDescent="0.25">
      <c r="A248" s="10"/>
      <c r="B248" s="10"/>
      <c r="C248" s="10"/>
      <c r="D248" s="10"/>
      <c r="E248" s="10"/>
      <c r="F248" s="10"/>
      <c r="G248" s="10"/>
      <c r="H248" s="10"/>
      <c r="I248" s="1" t="str">
        <f t="shared" si="9"/>
        <v/>
      </c>
      <c r="J248" s="1" t="s">
        <v>35</v>
      </c>
      <c r="K248" s="1" t="str">
        <f t="shared" si="10"/>
        <v/>
      </c>
      <c r="L248" s="1" t="str">
        <f t="shared" si="11"/>
        <v/>
      </c>
      <c r="M248" s="1">
        <f>IF(OR(Table1[[#This Row],[Std Nom]]="",Table1[[#This Row],[Std Read]]=""),0,Table1[[#This Row],[Std Nom]]-Table1[[#This Row],[Std Read]])</f>
        <v>0</v>
      </c>
      <c r="N248" s="1">
        <f>IF(Calculations!$F$5="ACCREDITED 17025 WITH UNCERTAINTIES",$N$10,0)</f>
        <v>0</v>
      </c>
      <c r="O248" s="1" t="str">
        <f>IFERROR(Table1[[#This Row],[Std Nom]]-(_xlfn.XLOOKUP(Table1[[#This Row],[Manufacturer]]&amp;" "&amp;Table1[[#This Row],[Model]],Table13[MFR &amp; MDL],Table13[Tolerance % CW ],"")/100*Table1[[#This Row],[Std Nom]]),"")</f>
        <v/>
      </c>
      <c r="P248" s="1" t="str">
        <f>IFERROR(Table1[[#This Row],[Std Nom]]+(_xlfn.XLOOKUP(Table1[[#This Row],[Manufacturer]]&amp;" "&amp;Table1[[#This Row],[Model]],Table13[MFR &amp; MDL],Table13[Tolerance % CW ],"")/100*Table1[[#This Row],[Std Nom]]),"")</f>
        <v/>
      </c>
      <c r="Q248" s="1" t="e">
        <f>Table1[[#This Row],[High Tol]]-Table1[[#This Row],[Low Tol]]</f>
        <v>#VALUE!</v>
      </c>
      <c r="R248" s="1">
        <f>2*Table1[[#This Row],[Std Error]]</f>
        <v>0</v>
      </c>
      <c r="S248" s="1" t="str">
        <f>IF(Table1[[#This Row],[High Tol]]="","N/A",IFERROR(ABS(Table1[[#This Row],[Tol Span]]/Table1[[#This Row],[Error Span]]),"N/A"))</f>
        <v>N/A</v>
      </c>
      <c r="T248" s="1" t="str">
        <f>IF(OR(Table1[[#This Row],[Low Tol]]="",Table1[[#This Row],[High Tol]]=""),"Needs Analysis",IF(Table1[[#This Row],[Ratio]]&gt;=4,"Not Significant",IF(Table1[[#This Row],[Ratio]]&gt;=2,"Semi-Significant","Significant")))</f>
        <v>Needs Analysis</v>
      </c>
      <c r="W248" s="1">
        <f>IF(Table1[[#This Row],[Cal Type]]&lt;&gt;"ACCREDITED 17025 WITH UNCERTAINTIES",0,"")</f>
        <v>0</v>
      </c>
      <c r="X248" s="1" t="str">
        <f>IF(Table1[[#This Row],[DUT Read]]="","N/A",Table1[[#This Row],[Std Error]]+Table1[[#This Row],[DUT Read]]+Table1[[#This Row],[DUT Ucty]])</f>
        <v>N/A</v>
      </c>
      <c r="Y248" s="1" t="str">
        <f>IF(Table1[[#This Row],[Std Read]]="","N/A",Table1[[#This Row],[Std Read]]+Table1[[#This Row],[Std Ucty]])</f>
        <v>N/A</v>
      </c>
      <c r="Z2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 s="1" t="str">
        <f>IF(Table1[[#This Row],[Spec Type]]="","N/A",Table1[[#This Row],[Spec Type]])</f>
        <v>±</v>
      </c>
      <c r="AC248" s="1" t="str">
        <f>IF(Table1[[#This Row],[Spec Type2]]="N/A","N/A",IF(AND(Table1[[#This Row],[DUT Adj Read]]&gt;=Table1[[#This Row],[Low Tol]],Table1[[#This Row],[DUT Adj Read]]&lt;=Table1[[#This Row],[High Tol]]),"Pass","Fail"))</f>
        <v>Fail</v>
      </c>
      <c r="AD248" s="1" t="str">
        <f>IF(AND(Table1[[#This Row],[Spec Type2]]="N/A",Table1[[#This Row],[DUT Adj Read]]="N/A",Table1[[#This Row],[Std Adj Read]]="N/A"),"N/A",IF(Table1[[#This Row],[DUT Adj Read]]="N/A",IF(Table1[[#This Row],[Std Adj Read]]&gt;Table1[[#This Row],[Low Tol]],"Pass","Fail"),IF(Table1[[#This Row],[DUT Adj Read]]&gt;Table1[[#This Row],[Low Tol]],"Pass","Fail")))</f>
        <v>Pass</v>
      </c>
      <c r="AE248" s="1" t="str">
        <f>IF(AND(Table1[[#This Row],[Spec Type2]]="N/A",Table1[[#This Row],[DUT Adj Read]]="N/A",Table1[[#This Row],[Std Adj Read]]="N/A"),"N/A",IF(Table1[[#This Row],[DUT Adj Read]]="N/A",IF(Table1[[#This Row],[Std Adj Read]]&lt;Table1[[#This Row],[High Tol]],"Pass","Fail"),IF(Table1[[#This Row],[DUT Adj Read]]&lt;Table1[[#This Row],[High Tol]],"Pass","Fail")))</f>
        <v>Fail</v>
      </c>
      <c r="AF248" s="1" t="str">
        <f>IF(AND(Table1[[#This Row],[Spec Type2]]="N/A",Table1[[#This Row],[DUT Adj Read]]="N/A",Table1[[#This Row],[Std Adj Read]]="N/A"),"N/A",IF(Table1[[#This Row],[DUT Adj Read]]="N/A",IF(Table1[[#This Row],[Std Adj Read]]&gt;=Table1[[#This Row],[Low Tol]],"Pass","Fail"),IF(Table1[[#This Row],[DUT Adj Read]]&gt;=Table1[[#This Row],[Low Tol]],"Pass","Fail")))</f>
        <v>Pass</v>
      </c>
      <c r="AG248" s="1" t="str">
        <f>IF(AND(Table1[[#This Row],[Spec Type2]]="N/A",Table1[[#This Row],[DUT Adj Read]]="N/A",Table1[[#This Row],[Std Adj Read]]="N/A"),"N/A",IF(Table1[[#This Row],[DUT Adj Read]]="N/A",IF(Table1[[#This Row],[Std Adj Read]]&lt;=Table1[[#This Row],[High Tol]],"Pass","Fail"),IF(Table1[[#This Row],[DUT Adj Read]]&lt;=Table1[[#This Row],[High Tol]],"Pass","Fail")))</f>
        <v>Fail</v>
      </c>
      <c r="AH2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 s="1" t="b">
        <v>0</v>
      </c>
      <c r="AN248" s="1" t="b">
        <v>0</v>
      </c>
      <c r="AO248" s="1" t="b">
        <v>0</v>
      </c>
    </row>
    <row r="249" spans="1:41" x14ac:dyDescent="0.25">
      <c r="A249" s="10"/>
      <c r="B249" s="10"/>
      <c r="C249" s="10"/>
      <c r="D249" s="10"/>
      <c r="E249" s="10"/>
      <c r="F249" s="10"/>
      <c r="G249" s="10"/>
      <c r="H249" s="10"/>
      <c r="I249" s="1" t="str">
        <f t="shared" si="9"/>
        <v/>
      </c>
      <c r="J249" s="1" t="s">
        <v>35</v>
      </c>
      <c r="K249" s="1" t="str">
        <f t="shared" si="10"/>
        <v/>
      </c>
      <c r="L249" s="1" t="str">
        <f t="shared" si="11"/>
        <v/>
      </c>
      <c r="M249" s="1">
        <f>IF(OR(Table1[[#This Row],[Std Nom]]="",Table1[[#This Row],[Std Read]]=""),0,Table1[[#This Row],[Std Nom]]-Table1[[#This Row],[Std Read]])</f>
        <v>0</v>
      </c>
      <c r="N249" s="1">
        <f>IF(Calculations!$F$5="ACCREDITED 17025 WITH UNCERTAINTIES",$N$10,0)</f>
        <v>0</v>
      </c>
      <c r="O249" s="1" t="str">
        <f>IFERROR(Table1[[#This Row],[Std Nom]]-(_xlfn.XLOOKUP(Table1[[#This Row],[Manufacturer]]&amp;" "&amp;Table1[[#This Row],[Model]],Table13[MFR &amp; MDL],Table13[Tolerance % CW ],"")/100*Table1[[#This Row],[Std Nom]]),"")</f>
        <v/>
      </c>
      <c r="P249" s="1" t="str">
        <f>IFERROR(Table1[[#This Row],[Std Nom]]+(_xlfn.XLOOKUP(Table1[[#This Row],[Manufacturer]]&amp;" "&amp;Table1[[#This Row],[Model]],Table13[MFR &amp; MDL],Table13[Tolerance % CW ],"")/100*Table1[[#This Row],[Std Nom]]),"")</f>
        <v/>
      </c>
      <c r="Q249" s="1" t="e">
        <f>Table1[[#This Row],[High Tol]]-Table1[[#This Row],[Low Tol]]</f>
        <v>#VALUE!</v>
      </c>
      <c r="R249" s="1">
        <f>2*Table1[[#This Row],[Std Error]]</f>
        <v>0</v>
      </c>
      <c r="S249" s="1" t="str">
        <f>IF(Table1[[#This Row],[High Tol]]="","N/A",IFERROR(ABS(Table1[[#This Row],[Tol Span]]/Table1[[#This Row],[Error Span]]),"N/A"))</f>
        <v>N/A</v>
      </c>
      <c r="T249" s="1" t="str">
        <f>IF(OR(Table1[[#This Row],[Low Tol]]="",Table1[[#This Row],[High Tol]]=""),"Needs Analysis",IF(Table1[[#This Row],[Ratio]]&gt;=4,"Not Significant",IF(Table1[[#This Row],[Ratio]]&gt;=2,"Semi-Significant","Significant")))</f>
        <v>Needs Analysis</v>
      </c>
      <c r="W249" s="1">
        <f>IF(Table1[[#This Row],[Cal Type]]&lt;&gt;"ACCREDITED 17025 WITH UNCERTAINTIES",0,"")</f>
        <v>0</v>
      </c>
      <c r="X249" s="1" t="str">
        <f>IF(Table1[[#This Row],[DUT Read]]="","N/A",Table1[[#This Row],[Std Error]]+Table1[[#This Row],[DUT Read]]+Table1[[#This Row],[DUT Ucty]])</f>
        <v>N/A</v>
      </c>
      <c r="Y249" s="1" t="str">
        <f>IF(Table1[[#This Row],[Std Read]]="","N/A",Table1[[#This Row],[Std Read]]+Table1[[#This Row],[Std Ucty]])</f>
        <v>N/A</v>
      </c>
      <c r="Z2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 s="1" t="str">
        <f>IF(Table1[[#This Row],[Spec Type]]="","N/A",Table1[[#This Row],[Spec Type]])</f>
        <v>±</v>
      </c>
      <c r="AC249" s="1" t="str">
        <f>IF(Table1[[#This Row],[Spec Type2]]="N/A","N/A",IF(AND(Table1[[#This Row],[DUT Adj Read]]&gt;=Table1[[#This Row],[Low Tol]],Table1[[#This Row],[DUT Adj Read]]&lt;=Table1[[#This Row],[High Tol]]),"Pass","Fail"))</f>
        <v>Fail</v>
      </c>
      <c r="AD249" s="1" t="str">
        <f>IF(AND(Table1[[#This Row],[Spec Type2]]="N/A",Table1[[#This Row],[DUT Adj Read]]="N/A",Table1[[#This Row],[Std Adj Read]]="N/A"),"N/A",IF(Table1[[#This Row],[DUT Adj Read]]="N/A",IF(Table1[[#This Row],[Std Adj Read]]&gt;Table1[[#This Row],[Low Tol]],"Pass","Fail"),IF(Table1[[#This Row],[DUT Adj Read]]&gt;Table1[[#This Row],[Low Tol]],"Pass","Fail")))</f>
        <v>Pass</v>
      </c>
      <c r="AE249" s="1" t="str">
        <f>IF(AND(Table1[[#This Row],[Spec Type2]]="N/A",Table1[[#This Row],[DUT Adj Read]]="N/A",Table1[[#This Row],[Std Adj Read]]="N/A"),"N/A",IF(Table1[[#This Row],[DUT Adj Read]]="N/A",IF(Table1[[#This Row],[Std Adj Read]]&lt;Table1[[#This Row],[High Tol]],"Pass","Fail"),IF(Table1[[#This Row],[DUT Adj Read]]&lt;Table1[[#This Row],[High Tol]],"Pass","Fail")))</f>
        <v>Fail</v>
      </c>
      <c r="AF249" s="1" t="str">
        <f>IF(AND(Table1[[#This Row],[Spec Type2]]="N/A",Table1[[#This Row],[DUT Adj Read]]="N/A",Table1[[#This Row],[Std Adj Read]]="N/A"),"N/A",IF(Table1[[#This Row],[DUT Adj Read]]="N/A",IF(Table1[[#This Row],[Std Adj Read]]&gt;=Table1[[#This Row],[Low Tol]],"Pass","Fail"),IF(Table1[[#This Row],[DUT Adj Read]]&gt;=Table1[[#This Row],[Low Tol]],"Pass","Fail")))</f>
        <v>Pass</v>
      </c>
      <c r="AG249" s="1" t="str">
        <f>IF(AND(Table1[[#This Row],[Spec Type2]]="N/A",Table1[[#This Row],[DUT Adj Read]]="N/A",Table1[[#This Row],[Std Adj Read]]="N/A"),"N/A",IF(Table1[[#This Row],[DUT Adj Read]]="N/A",IF(Table1[[#This Row],[Std Adj Read]]&lt;=Table1[[#This Row],[High Tol]],"Pass","Fail"),IF(Table1[[#This Row],[DUT Adj Read]]&lt;=Table1[[#This Row],[High Tol]],"Pass","Fail")))</f>
        <v>Fail</v>
      </c>
      <c r="AH2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 s="1" t="b">
        <v>0</v>
      </c>
      <c r="AN249" s="1" t="b">
        <v>0</v>
      </c>
      <c r="AO249" s="1" t="b">
        <v>0</v>
      </c>
    </row>
    <row r="250" spans="1:41" x14ac:dyDescent="0.25">
      <c r="A250" s="10"/>
      <c r="B250" s="10"/>
      <c r="C250" s="10"/>
      <c r="D250" s="10"/>
      <c r="E250" s="10"/>
      <c r="F250" s="10"/>
      <c r="G250" s="10"/>
      <c r="H250" s="10"/>
      <c r="I250" s="1" t="str">
        <f t="shared" si="9"/>
        <v/>
      </c>
      <c r="J250" s="1" t="s">
        <v>35</v>
      </c>
      <c r="K250" s="1" t="str">
        <f t="shared" si="10"/>
        <v/>
      </c>
      <c r="L250" s="1" t="str">
        <f t="shared" si="11"/>
        <v/>
      </c>
      <c r="M250" s="1">
        <f>IF(OR(Table1[[#This Row],[Std Nom]]="",Table1[[#This Row],[Std Read]]=""),0,Table1[[#This Row],[Std Nom]]-Table1[[#This Row],[Std Read]])</f>
        <v>0</v>
      </c>
      <c r="N250" s="1">
        <f>IF(Calculations!$F$5="ACCREDITED 17025 WITH UNCERTAINTIES",$N$10,0)</f>
        <v>0</v>
      </c>
      <c r="O250" s="1" t="str">
        <f>IFERROR(Table1[[#This Row],[Std Nom]]-(_xlfn.XLOOKUP(Table1[[#This Row],[Manufacturer]]&amp;" "&amp;Table1[[#This Row],[Model]],Table13[MFR &amp; MDL],Table13[Tolerance % CW ],"")/100*Table1[[#This Row],[Std Nom]]),"")</f>
        <v/>
      </c>
      <c r="P250" s="1" t="str">
        <f>IFERROR(Table1[[#This Row],[Std Nom]]+(_xlfn.XLOOKUP(Table1[[#This Row],[Manufacturer]]&amp;" "&amp;Table1[[#This Row],[Model]],Table13[MFR &amp; MDL],Table13[Tolerance % CW ],"")/100*Table1[[#This Row],[Std Nom]]),"")</f>
        <v/>
      </c>
      <c r="Q250" s="1" t="e">
        <f>Table1[[#This Row],[High Tol]]-Table1[[#This Row],[Low Tol]]</f>
        <v>#VALUE!</v>
      </c>
      <c r="R250" s="1">
        <f>2*Table1[[#This Row],[Std Error]]</f>
        <v>0</v>
      </c>
      <c r="S250" s="1" t="str">
        <f>IF(Table1[[#This Row],[High Tol]]="","N/A",IFERROR(ABS(Table1[[#This Row],[Tol Span]]/Table1[[#This Row],[Error Span]]),"N/A"))</f>
        <v>N/A</v>
      </c>
      <c r="T250" s="1" t="str">
        <f>IF(OR(Table1[[#This Row],[Low Tol]]="",Table1[[#This Row],[High Tol]]=""),"Needs Analysis",IF(Table1[[#This Row],[Ratio]]&gt;=4,"Not Significant",IF(Table1[[#This Row],[Ratio]]&gt;=2,"Semi-Significant","Significant")))</f>
        <v>Needs Analysis</v>
      </c>
      <c r="W250" s="1">
        <f>IF(Table1[[#This Row],[Cal Type]]&lt;&gt;"ACCREDITED 17025 WITH UNCERTAINTIES",0,"")</f>
        <v>0</v>
      </c>
      <c r="X250" s="1" t="str">
        <f>IF(Table1[[#This Row],[DUT Read]]="","N/A",Table1[[#This Row],[Std Error]]+Table1[[#This Row],[DUT Read]]+Table1[[#This Row],[DUT Ucty]])</f>
        <v>N/A</v>
      </c>
      <c r="Y250" s="1" t="str">
        <f>IF(Table1[[#This Row],[Std Read]]="","N/A",Table1[[#This Row],[Std Read]]+Table1[[#This Row],[Std Ucty]])</f>
        <v>N/A</v>
      </c>
      <c r="Z2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 s="1" t="str">
        <f>IF(Table1[[#This Row],[Spec Type]]="","N/A",Table1[[#This Row],[Spec Type]])</f>
        <v>±</v>
      </c>
      <c r="AC250" s="1" t="str">
        <f>IF(Table1[[#This Row],[Spec Type2]]="N/A","N/A",IF(AND(Table1[[#This Row],[DUT Adj Read]]&gt;=Table1[[#This Row],[Low Tol]],Table1[[#This Row],[DUT Adj Read]]&lt;=Table1[[#This Row],[High Tol]]),"Pass","Fail"))</f>
        <v>Fail</v>
      </c>
      <c r="AD250" s="1" t="str">
        <f>IF(AND(Table1[[#This Row],[Spec Type2]]="N/A",Table1[[#This Row],[DUT Adj Read]]="N/A",Table1[[#This Row],[Std Adj Read]]="N/A"),"N/A",IF(Table1[[#This Row],[DUT Adj Read]]="N/A",IF(Table1[[#This Row],[Std Adj Read]]&gt;Table1[[#This Row],[Low Tol]],"Pass","Fail"),IF(Table1[[#This Row],[DUT Adj Read]]&gt;Table1[[#This Row],[Low Tol]],"Pass","Fail")))</f>
        <v>Pass</v>
      </c>
      <c r="AE250" s="1" t="str">
        <f>IF(AND(Table1[[#This Row],[Spec Type2]]="N/A",Table1[[#This Row],[DUT Adj Read]]="N/A",Table1[[#This Row],[Std Adj Read]]="N/A"),"N/A",IF(Table1[[#This Row],[DUT Adj Read]]="N/A",IF(Table1[[#This Row],[Std Adj Read]]&lt;Table1[[#This Row],[High Tol]],"Pass","Fail"),IF(Table1[[#This Row],[DUT Adj Read]]&lt;Table1[[#This Row],[High Tol]],"Pass","Fail")))</f>
        <v>Fail</v>
      </c>
      <c r="AF250" s="1" t="str">
        <f>IF(AND(Table1[[#This Row],[Spec Type2]]="N/A",Table1[[#This Row],[DUT Adj Read]]="N/A",Table1[[#This Row],[Std Adj Read]]="N/A"),"N/A",IF(Table1[[#This Row],[DUT Adj Read]]="N/A",IF(Table1[[#This Row],[Std Adj Read]]&gt;=Table1[[#This Row],[Low Tol]],"Pass","Fail"),IF(Table1[[#This Row],[DUT Adj Read]]&gt;=Table1[[#This Row],[Low Tol]],"Pass","Fail")))</f>
        <v>Pass</v>
      </c>
      <c r="AG250" s="1" t="str">
        <f>IF(AND(Table1[[#This Row],[Spec Type2]]="N/A",Table1[[#This Row],[DUT Adj Read]]="N/A",Table1[[#This Row],[Std Adj Read]]="N/A"),"N/A",IF(Table1[[#This Row],[DUT Adj Read]]="N/A",IF(Table1[[#This Row],[Std Adj Read]]&lt;=Table1[[#This Row],[High Tol]],"Pass","Fail"),IF(Table1[[#This Row],[DUT Adj Read]]&lt;=Table1[[#This Row],[High Tol]],"Pass","Fail")))</f>
        <v>Fail</v>
      </c>
      <c r="AH2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 s="1" t="b">
        <v>0</v>
      </c>
      <c r="AN250" s="1" t="b">
        <v>0</v>
      </c>
      <c r="AO250" s="1" t="b">
        <v>0</v>
      </c>
    </row>
    <row r="251" spans="1:41" x14ac:dyDescent="0.25">
      <c r="A251" s="10"/>
      <c r="B251" s="10"/>
      <c r="C251" s="10"/>
      <c r="D251" s="10"/>
      <c r="E251" s="10"/>
      <c r="F251" s="10"/>
      <c r="G251" s="10"/>
      <c r="H251" s="10"/>
      <c r="I251" s="1" t="str">
        <f t="shared" si="9"/>
        <v/>
      </c>
      <c r="J251" s="1" t="s">
        <v>35</v>
      </c>
      <c r="K251" s="1" t="str">
        <f t="shared" si="10"/>
        <v/>
      </c>
      <c r="L251" s="1" t="str">
        <f t="shared" si="11"/>
        <v/>
      </c>
      <c r="M251" s="1">
        <f>IF(OR(Table1[[#This Row],[Std Nom]]="",Table1[[#This Row],[Std Read]]=""),0,Table1[[#This Row],[Std Nom]]-Table1[[#This Row],[Std Read]])</f>
        <v>0</v>
      </c>
      <c r="N251" s="1">
        <f>IF(Calculations!$F$5="ACCREDITED 17025 WITH UNCERTAINTIES",$N$10,0)</f>
        <v>0</v>
      </c>
      <c r="O251" s="1" t="str">
        <f>IFERROR(Table1[[#This Row],[Std Nom]]-(_xlfn.XLOOKUP(Table1[[#This Row],[Manufacturer]]&amp;" "&amp;Table1[[#This Row],[Model]],Table13[MFR &amp; MDL],Table13[Tolerance % CW ],"")/100*Table1[[#This Row],[Std Nom]]),"")</f>
        <v/>
      </c>
      <c r="P251" s="1" t="str">
        <f>IFERROR(Table1[[#This Row],[Std Nom]]+(_xlfn.XLOOKUP(Table1[[#This Row],[Manufacturer]]&amp;" "&amp;Table1[[#This Row],[Model]],Table13[MFR &amp; MDL],Table13[Tolerance % CW ],"")/100*Table1[[#This Row],[Std Nom]]),"")</f>
        <v/>
      </c>
      <c r="Q251" s="1" t="e">
        <f>Table1[[#This Row],[High Tol]]-Table1[[#This Row],[Low Tol]]</f>
        <v>#VALUE!</v>
      </c>
      <c r="R251" s="1">
        <f>2*Table1[[#This Row],[Std Error]]</f>
        <v>0</v>
      </c>
      <c r="S251" s="1" t="str">
        <f>IF(Table1[[#This Row],[High Tol]]="","N/A",IFERROR(ABS(Table1[[#This Row],[Tol Span]]/Table1[[#This Row],[Error Span]]),"N/A"))</f>
        <v>N/A</v>
      </c>
      <c r="T251" s="1" t="str">
        <f>IF(OR(Table1[[#This Row],[Low Tol]]="",Table1[[#This Row],[High Tol]]=""),"Needs Analysis",IF(Table1[[#This Row],[Ratio]]&gt;=4,"Not Significant",IF(Table1[[#This Row],[Ratio]]&gt;=2,"Semi-Significant","Significant")))</f>
        <v>Needs Analysis</v>
      </c>
      <c r="W251" s="1">
        <f>IF(Table1[[#This Row],[Cal Type]]&lt;&gt;"ACCREDITED 17025 WITH UNCERTAINTIES",0,"")</f>
        <v>0</v>
      </c>
      <c r="X251" s="1" t="str">
        <f>IF(Table1[[#This Row],[DUT Read]]="","N/A",Table1[[#This Row],[Std Error]]+Table1[[#This Row],[DUT Read]]+Table1[[#This Row],[DUT Ucty]])</f>
        <v>N/A</v>
      </c>
      <c r="Y251" s="1" t="str">
        <f>IF(Table1[[#This Row],[Std Read]]="","N/A",Table1[[#This Row],[Std Read]]+Table1[[#This Row],[Std Ucty]])</f>
        <v>N/A</v>
      </c>
      <c r="Z2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 s="1" t="str">
        <f>IF(Table1[[#This Row],[Spec Type]]="","N/A",Table1[[#This Row],[Spec Type]])</f>
        <v>±</v>
      </c>
      <c r="AC251" s="1" t="str">
        <f>IF(Table1[[#This Row],[Spec Type2]]="N/A","N/A",IF(AND(Table1[[#This Row],[DUT Adj Read]]&gt;=Table1[[#This Row],[Low Tol]],Table1[[#This Row],[DUT Adj Read]]&lt;=Table1[[#This Row],[High Tol]]),"Pass","Fail"))</f>
        <v>Fail</v>
      </c>
      <c r="AD251" s="1" t="str">
        <f>IF(AND(Table1[[#This Row],[Spec Type2]]="N/A",Table1[[#This Row],[DUT Adj Read]]="N/A",Table1[[#This Row],[Std Adj Read]]="N/A"),"N/A",IF(Table1[[#This Row],[DUT Adj Read]]="N/A",IF(Table1[[#This Row],[Std Adj Read]]&gt;Table1[[#This Row],[Low Tol]],"Pass","Fail"),IF(Table1[[#This Row],[DUT Adj Read]]&gt;Table1[[#This Row],[Low Tol]],"Pass","Fail")))</f>
        <v>Pass</v>
      </c>
      <c r="AE251" s="1" t="str">
        <f>IF(AND(Table1[[#This Row],[Spec Type2]]="N/A",Table1[[#This Row],[DUT Adj Read]]="N/A",Table1[[#This Row],[Std Adj Read]]="N/A"),"N/A",IF(Table1[[#This Row],[DUT Adj Read]]="N/A",IF(Table1[[#This Row],[Std Adj Read]]&lt;Table1[[#This Row],[High Tol]],"Pass","Fail"),IF(Table1[[#This Row],[DUT Adj Read]]&lt;Table1[[#This Row],[High Tol]],"Pass","Fail")))</f>
        <v>Fail</v>
      </c>
      <c r="AF251" s="1" t="str">
        <f>IF(AND(Table1[[#This Row],[Spec Type2]]="N/A",Table1[[#This Row],[DUT Adj Read]]="N/A",Table1[[#This Row],[Std Adj Read]]="N/A"),"N/A",IF(Table1[[#This Row],[DUT Adj Read]]="N/A",IF(Table1[[#This Row],[Std Adj Read]]&gt;=Table1[[#This Row],[Low Tol]],"Pass","Fail"),IF(Table1[[#This Row],[DUT Adj Read]]&gt;=Table1[[#This Row],[Low Tol]],"Pass","Fail")))</f>
        <v>Pass</v>
      </c>
      <c r="AG251" s="1" t="str">
        <f>IF(AND(Table1[[#This Row],[Spec Type2]]="N/A",Table1[[#This Row],[DUT Adj Read]]="N/A",Table1[[#This Row],[Std Adj Read]]="N/A"),"N/A",IF(Table1[[#This Row],[DUT Adj Read]]="N/A",IF(Table1[[#This Row],[Std Adj Read]]&lt;=Table1[[#This Row],[High Tol]],"Pass","Fail"),IF(Table1[[#This Row],[DUT Adj Read]]&lt;=Table1[[#This Row],[High Tol]],"Pass","Fail")))</f>
        <v>Fail</v>
      </c>
      <c r="AH2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 s="1" t="b">
        <v>0</v>
      </c>
      <c r="AN251" s="1" t="b">
        <v>0</v>
      </c>
      <c r="AO251" s="1" t="b">
        <v>0</v>
      </c>
    </row>
    <row r="252" spans="1:41" x14ac:dyDescent="0.25">
      <c r="A252" s="10"/>
      <c r="B252" s="10"/>
      <c r="C252" s="10"/>
      <c r="D252" s="10"/>
      <c r="E252" s="10"/>
      <c r="F252" s="10"/>
      <c r="G252" s="10"/>
      <c r="H252" s="10"/>
      <c r="I252" s="1" t="str">
        <f t="shared" si="9"/>
        <v/>
      </c>
      <c r="J252" s="1" t="s">
        <v>35</v>
      </c>
      <c r="K252" s="1" t="str">
        <f t="shared" si="10"/>
        <v/>
      </c>
      <c r="L252" s="1" t="str">
        <f t="shared" si="11"/>
        <v/>
      </c>
      <c r="M252" s="1">
        <f>IF(OR(Table1[[#This Row],[Std Nom]]="",Table1[[#This Row],[Std Read]]=""),0,Table1[[#This Row],[Std Nom]]-Table1[[#This Row],[Std Read]])</f>
        <v>0</v>
      </c>
      <c r="N252" s="1">
        <f>IF(Calculations!$F$5="ACCREDITED 17025 WITH UNCERTAINTIES",$N$10,0)</f>
        <v>0</v>
      </c>
      <c r="O252" s="1" t="str">
        <f>IFERROR(Table1[[#This Row],[Std Nom]]-(_xlfn.XLOOKUP(Table1[[#This Row],[Manufacturer]]&amp;" "&amp;Table1[[#This Row],[Model]],Table13[MFR &amp; MDL],Table13[Tolerance % CW ],"")/100*Table1[[#This Row],[Std Nom]]),"")</f>
        <v/>
      </c>
      <c r="P252" s="1" t="str">
        <f>IFERROR(Table1[[#This Row],[Std Nom]]+(_xlfn.XLOOKUP(Table1[[#This Row],[Manufacturer]]&amp;" "&amp;Table1[[#This Row],[Model]],Table13[MFR &amp; MDL],Table13[Tolerance % CW ],"")/100*Table1[[#This Row],[Std Nom]]),"")</f>
        <v/>
      </c>
      <c r="Q252" s="1" t="e">
        <f>Table1[[#This Row],[High Tol]]-Table1[[#This Row],[Low Tol]]</f>
        <v>#VALUE!</v>
      </c>
      <c r="R252" s="1">
        <f>2*Table1[[#This Row],[Std Error]]</f>
        <v>0</v>
      </c>
      <c r="S252" s="1" t="str">
        <f>IF(Table1[[#This Row],[High Tol]]="","N/A",IFERROR(ABS(Table1[[#This Row],[Tol Span]]/Table1[[#This Row],[Error Span]]),"N/A"))</f>
        <v>N/A</v>
      </c>
      <c r="T252" s="1" t="str">
        <f>IF(OR(Table1[[#This Row],[Low Tol]]="",Table1[[#This Row],[High Tol]]=""),"Needs Analysis",IF(Table1[[#This Row],[Ratio]]&gt;=4,"Not Significant",IF(Table1[[#This Row],[Ratio]]&gt;=2,"Semi-Significant","Significant")))</f>
        <v>Needs Analysis</v>
      </c>
      <c r="W252" s="1">
        <f>IF(Table1[[#This Row],[Cal Type]]&lt;&gt;"ACCREDITED 17025 WITH UNCERTAINTIES",0,"")</f>
        <v>0</v>
      </c>
      <c r="X252" s="1" t="str">
        <f>IF(Table1[[#This Row],[DUT Read]]="","N/A",Table1[[#This Row],[Std Error]]+Table1[[#This Row],[DUT Read]]+Table1[[#This Row],[DUT Ucty]])</f>
        <v>N/A</v>
      </c>
      <c r="Y252" s="1" t="str">
        <f>IF(Table1[[#This Row],[Std Read]]="","N/A",Table1[[#This Row],[Std Read]]+Table1[[#This Row],[Std Ucty]])</f>
        <v>N/A</v>
      </c>
      <c r="Z2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 s="1" t="str">
        <f>IF(Table1[[#This Row],[Spec Type]]="","N/A",Table1[[#This Row],[Spec Type]])</f>
        <v>±</v>
      </c>
      <c r="AC252" s="1" t="str">
        <f>IF(Table1[[#This Row],[Spec Type2]]="N/A","N/A",IF(AND(Table1[[#This Row],[DUT Adj Read]]&gt;=Table1[[#This Row],[Low Tol]],Table1[[#This Row],[DUT Adj Read]]&lt;=Table1[[#This Row],[High Tol]]),"Pass","Fail"))</f>
        <v>Fail</v>
      </c>
      <c r="AD252" s="1" t="str">
        <f>IF(AND(Table1[[#This Row],[Spec Type2]]="N/A",Table1[[#This Row],[DUT Adj Read]]="N/A",Table1[[#This Row],[Std Adj Read]]="N/A"),"N/A",IF(Table1[[#This Row],[DUT Adj Read]]="N/A",IF(Table1[[#This Row],[Std Adj Read]]&gt;Table1[[#This Row],[Low Tol]],"Pass","Fail"),IF(Table1[[#This Row],[DUT Adj Read]]&gt;Table1[[#This Row],[Low Tol]],"Pass","Fail")))</f>
        <v>Pass</v>
      </c>
      <c r="AE252" s="1" t="str">
        <f>IF(AND(Table1[[#This Row],[Spec Type2]]="N/A",Table1[[#This Row],[DUT Adj Read]]="N/A",Table1[[#This Row],[Std Adj Read]]="N/A"),"N/A",IF(Table1[[#This Row],[DUT Adj Read]]="N/A",IF(Table1[[#This Row],[Std Adj Read]]&lt;Table1[[#This Row],[High Tol]],"Pass","Fail"),IF(Table1[[#This Row],[DUT Adj Read]]&lt;Table1[[#This Row],[High Tol]],"Pass","Fail")))</f>
        <v>Fail</v>
      </c>
      <c r="AF252" s="1" t="str">
        <f>IF(AND(Table1[[#This Row],[Spec Type2]]="N/A",Table1[[#This Row],[DUT Adj Read]]="N/A",Table1[[#This Row],[Std Adj Read]]="N/A"),"N/A",IF(Table1[[#This Row],[DUT Adj Read]]="N/A",IF(Table1[[#This Row],[Std Adj Read]]&gt;=Table1[[#This Row],[Low Tol]],"Pass","Fail"),IF(Table1[[#This Row],[DUT Adj Read]]&gt;=Table1[[#This Row],[Low Tol]],"Pass","Fail")))</f>
        <v>Pass</v>
      </c>
      <c r="AG252" s="1" t="str">
        <f>IF(AND(Table1[[#This Row],[Spec Type2]]="N/A",Table1[[#This Row],[DUT Adj Read]]="N/A",Table1[[#This Row],[Std Adj Read]]="N/A"),"N/A",IF(Table1[[#This Row],[DUT Adj Read]]="N/A",IF(Table1[[#This Row],[Std Adj Read]]&lt;=Table1[[#This Row],[High Tol]],"Pass","Fail"),IF(Table1[[#This Row],[DUT Adj Read]]&lt;=Table1[[#This Row],[High Tol]],"Pass","Fail")))</f>
        <v>Fail</v>
      </c>
      <c r="AH2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 s="1" t="b">
        <v>0</v>
      </c>
      <c r="AN252" s="1" t="b">
        <v>0</v>
      </c>
      <c r="AO252" s="1" t="b">
        <v>0</v>
      </c>
    </row>
    <row r="253" spans="1:41" x14ac:dyDescent="0.25">
      <c r="A253" s="10"/>
      <c r="B253" s="10"/>
      <c r="C253" s="10"/>
      <c r="D253" s="10"/>
      <c r="E253" s="10"/>
      <c r="F253" s="10"/>
      <c r="G253" s="10"/>
      <c r="H253" s="10"/>
      <c r="I253" s="1" t="str">
        <f t="shared" si="9"/>
        <v/>
      </c>
      <c r="J253" s="1" t="s">
        <v>35</v>
      </c>
      <c r="K253" s="1" t="str">
        <f t="shared" si="10"/>
        <v/>
      </c>
      <c r="L253" s="1" t="str">
        <f t="shared" si="11"/>
        <v/>
      </c>
      <c r="M253" s="1">
        <f>IF(OR(Table1[[#This Row],[Std Nom]]="",Table1[[#This Row],[Std Read]]=""),0,Table1[[#This Row],[Std Nom]]-Table1[[#This Row],[Std Read]])</f>
        <v>0</v>
      </c>
      <c r="N253" s="1">
        <f>IF(Calculations!$F$5="ACCREDITED 17025 WITH UNCERTAINTIES",$N$10,0)</f>
        <v>0</v>
      </c>
      <c r="O253" s="1" t="str">
        <f>IFERROR(Table1[[#This Row],[Std Nom]]-(_xlfn.XLOOKUP(Table1[[#This Row],[Manufacturer]]&amp;" "&amp;Table1[[#This Row],[Model]],Table13[MFR &amp; MDL],Table13[Tolerance % CW ],"")/100*Table1[[#This Row],[Std Nom]]),"")</f>
        <v/>
      </c>
      <c r="P253" s="1" t="str">
        <f>IFERROR(Table1[[#This Row],[Std Nom]]+(_xlfn.XLOOKUP(Table1[[#This Row],[Manufacturer]]&amp;" "&amp;Table1[[#This Row],[Model]],Table13[MFR &amp; MDL],Table13[Tolerance % CW ],"")/100*Table1[[#This Row],[Std Nom]]),"")</f>
        <v/>
      </c>
      <c r="Q253" s="1" t="e">
        <f>Table1[[#This Row],[High Tol]]-Table1[[#This Row],[Low Tol]]</f>
        <v>#VALUE!</v>
      </c>
      <c r="R253" s="1">
        <f>2*Table1[[#This Row],[Std Error]]</f>
        <v>0</v>
      </c>
      <c r="S253" s="1" t="str">
        <f>IF(Table1[[#This Row],[High Tol]]="","N/A",IFERROR(ABS(Table1[[#This Row],[Tol Span]]/Table1[[#This Row],[Error Span]]),"N/A"))</f>
        <v>N/A</v>
      </c>
      <c r="T253" s="1" t="str">
        <f>IF(OR(Table1[[#This Row],[Low Tol]]="",Table1[[#This Row],[High Tol]]=""),"Needs Analysis",IF(Table1[[#This Row],[Ratio]]&gt;=4,"Not Significant",IF(Table1[[#This Row],[Ratio]]&gt;=2,"Semi-Significant","Significant")))</f>
        <v>Needs Analysis</v>
      </c>
      <c r="W253" s="1">
        <f>IF(Table1[[#This Row],[Cal Type]]&lt;&gt;"ACCREDITED 17025 WITH UNCERTAINTIES",0,"")</f>
        <v>0</v>
      </c>
      <c r="X253" s="1" t="str">
        <f>IF(Table1[[#This Row],[DUT Read]]="","N/A",Table1[[#This Row],[Std Error]]+Table1[[#This Row],[DUT Read]]+Table1[[#This Row],[DUT Ucty]])</f>
        <v>N/A</v>
      </c>
      <c r="Y253" s="1" t="str">
        <f>IF(Table1[[#This Row],[Std Read]]="","N/A",Table1[[#This Row],[Std Read]]+Table1[[#This Row],[Std Ucty]])</f>
        <v>N/A</v>
      </c>
      <c r="Z2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 s="1" t="str">
        <f>IF(Table1[[#This Row],[Spec Type]]="","N/A",Table1[[#This Row],[Spec Type]])</f>
        <v>±</v>
      </c>
      <c r="AC253" s="1" t="str">
        <f>IF(Table1[[#This Row],[Spec Type2]]="N/A","N/A",IF(AND(Table1[[#This Row],[DUT Adj Read]]&gt;=Table1[[#This Row],[Low Tol]],Table1[[#This Row],[DUT Adj Read]]&lt;=Table1[[#This Row],[High Tol]]),"Pass","Fail"))</f>
        <v>Fail</v>
      </c>
      <c r="AD253" s="1" t="str">
        <f>IF(AND(Table1[[#This Row],[Spec Type2]]="N/A",Table1[[#This Row],[DUT Adj Read]]="N/A",Table1[[#This Row],[Std Adj Read]]="N/A"),"N/A",IF(Table1[[#This Row],[DUT Adj Read]]="N/A",IF(Table1[[#This Row],[Std Adj Read]]&gt;Table1[[#This Row],[Low Tol]],"Pass","Fail"),IF(Table1[[#This Row],[DUT Adj Read]]&gt;Table1[[#This Row],[Low Tol]],"Pass","Fail")))</f>
        <v>Pass</v>
      </c>
      <c r="AE253" s="1" t="str">
        <f>IF(AND(Table1[[#This Row],[Spec Type2]]="N/A",Table1[[#This Row],[DUT Adj Read]]="N/A",Table1[[#This Row],[Std Adj Read]]="N/A"),"N/A",IF(Table1[[#This Row],[DUT Adj Read]]="N/A",IF(Table1[[#This Row],[Std Adj Read]]&lt;Table1[[#This Row],[High Tol]],"Pass","Fail"),IF(Table1[[#This Row],[DUT Adj Read]]&lt;Table1[[#This Row],[High Tol]],"Pass","Fail")))</f>
        <v>Fail</v>
      </c>
      <c r="AF253" s="1" t="str">
        <f>IF(AND(Table1[[#This Row],[Spec Type2]]="N/A",Table1[[#This Row],[DUT Adj Read]]="N/A",Table1[[#This Row],[Std Adj Read]]="N/A"),"N/A",IF(Table1[[#This Row],[DUT Adj Read]]="N/A",IF(Table1[[#This Row],[Std Adj Read]]&gt;=Table1[[#This Row],[Low Tol]],"Pass","Fail"),IF(Table1[[#This Row],[DUT Adj Read]]&gt;=Table1[[#This Row],[Low Tol]],"Pass","Fail")))</f>
        <v>Pass</v>
      </c>
      <c r="AG253" s="1" t="str">
        <f>IF(AND(Table1[[#This Row],[Spec Type2]]="N/A",Table1[[#This Row],[DUT Adj Read]]="N/A",Table1[[#This Row],[Std Adj Read]]="N/A"),"N/A",IF(Table1[[#This Row],[DUT Adj Read]]="N/A",IF(Table1[[#This Row],[Std Adj Read]]&lt;=Table1[[#This Row],[High Tol]],"Pass","Fail"),IF(Table1[[#This Row],[DUT Adj Read]]&lt;=Table1[[#This Row],[High Tol]],"Pass","Fail")))</f>
        <v>Fail</v>
      </c>
      <c r="AH2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 s="1" t="b">
        <v>0</v>
      </c>
      <c r="AN253" s="1" t="b">
        <v>0</v>
      </c>
      <c r="AO253" s="1" t="b">
        <v>0</v>
      </c>
    </row>
    <row r="254" spans="1:41" x14ac:dyDescent="0.25">
      <c r="A254" s="10"/>
      <c r="B254" s="10"/>
      <c r="C254" s="10"/>
      <c r="D254" s="10"/>
      <c r="E254" s="10"/>
      <c r="F254" s="10"/>
      <c r="G254" s="10"/>
      <c r="H254" s="10"/>
      <c r="I254" s="1" t="str">
        <f t="shared" si="9"/>
        <v/>
      </c>
      <c r="J254" s="1" t="s">
        <v>35</v>
      </c>
      <c r="K254" s="1" t="str">
        <f t="shared" si="10"/>
        <v/>
      </c>
      <c r="L254" s="1" t="str">
        <f t="shared" si="11"/>
        <v/>
      </c>
      <c r="M254" s="1">
        <f>IF(OR(Table1[[#This Row],[Std Nom]]="",Table1[[#This Row],[Std Read]]=""),0,Table1[[#This Row],[Std Nom]]-Table1[[#This Row],[Std Read]])</f>
        <v>0</v>
      </c>
      <c r="N254" s="1">
        <f>IF(Calculations!$F$5="ACCREDITED 17025 WITH UNCERTAINTIES",$N$10,0)</f>
        <v>0</v>
      </c>
      <c r="O254" s="1" t="str">
        <f>IFERROR(Table1[[#This Row],[Std Nom]]-(_xlfn.XLOOKUP(Table1[[#This Row],[Manufacturer]]&amp;" "&amp;Table1[[#This Row],[Model]],Table13[MFR &amp; MDL],Table13[Tolerance % CW ],"")/100*Table1[[#This Row],[Std Nom]]),"")</f>
        <v/>
      </c>
      <c r="P254" s="1" t="str">
        <f>IFERROR(Table1[[#This Row],[Std Nom]]+(_xlfn.XLOOKUP(Table1[[#This Row],[Manufacturer]]&amp;" "&amp;Table1[[#This Row],[Model]],Table13[MFR &amp; MDL],Table13[Tolerance % CW ],"")/100*Table1[[#This Row],[Std Nom]]),"")</f>
        <v/>
      </c>
      <c r="Q254" s="1" t="e">
        <f>Table1[[#This Row],[High Tol]]-Table1[[#This Row],[Low Tol]]</f>
        <v>#VALUE!</v>
      </c>
      <c r="R254" s="1">
        <f>2*Table1[[#This Row],[Std Error]]</f>
        <v>0</v>
      </c>
      <c r="S254" s="1" t="str">
        <f>IF(Table1[[#This Row],[High Tol]]="","N/A",IFERROR(ABS(Table1[[#This Row],[Tol Span]]/Table1[[#This Row],[Error Span]]),"N/A"))</f>
        <v>N/A</v>
      </c>
      <c r="T254" s="1" t="str">
        <f>IF(OR(Table1[[#This Row],[Low Tol]]="",Table1[[#This Row],[High Tol]]=""),"Needs Analysis",IF(Table1[[#This Row],[Ratio]]&gt;=4,"Not Significant",IF(Table1[[#This Row],[Ratio]]&gt;=2,"Semi-Significant","Significant")))</f>
        <v>Needs Analysis</v>
      </c>
      <c r="W254" s="1">
        <f>IF(Table1[[#This Row],[Cal Type]]&lt;&gt;"ACCREDITED 17025 WITH UNCERTAINTIES",0,"")</f>
        <v>0</v>
      </c>
      <c r="X254" s="1" t="str">
        <f>IF(Table1[[#This Row],[DUT Read]]="","N/A",Table1[[#This Row],[Std Error]]+Table1[[#This Row],[DUT Read]]+Table1[[#This Row],[DUT Ucty]])</f>
        <v>N/A</v>
      </c>
      <c r="Y254" s="1" t="str">
        <f>IF(Table1[[#This Row],[Std Read]]="","N/A",Table1[[#This Row],[Std Read]]+Table1[[#This Row],[Std Ucty]])</f>
        <v>N/A</v>
      </c>
      <c r="Z2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 s="1" t="str">
        <f>IF(Table1[[#This Row],[Spec Type]]="","N/A",Table1[[#This Row],[Spec Type]])</f>
        <v>±</v>
      </c>
      <c r="AC254" s="1" t="str">
        <f>IF(Table1[[#This Row],[Spec Type2]]="N/A","N/A",IF(AND(Table1[[#This Row],[DUT Adj Read]]&gt;=Table1[[#This Row],[Low Tol]],Table1[[#This Row],[DUT Adj Read]]&lt;=Table1[[#This Row],[High Tol]]),"Pass","Fail"))</f>
        <v>Fail</v>
      </c>
      <c r="AD254" s="1" t="str">
        <f>IF(AND(Table1[[#This Row],[Spec Type2]]="N/A",Table1[[#This Row],[DUT Adj Read]]="N/A",Table1[[#This Row],[Std Adj Read]]="N/A"),"N/A",IF(Table1[[#This Row],[DUT Adj Read]]="N/A",IF(Table1[[#This Row],[Std Adj Read]]&gt;Table1[[#This Row],[Low Tol]],"Pass","Fail"),IF(Table1[[#This Row],[DUT Adj Read]]&gt;Table1[[#This Row],[Low Tol]],"Pass","Fail")))</f>
        <v>Pass</v>
      </c>
      <c r="AE254" s="1" t="str">
        <f>IF(AND(Table1[[#This Row],[Spec Type2]]="N/A",Table1[[#This Row],[DUT Adj Read]]="N/A",Table1[[#This Row],[Std Adj Read]]="N/A"),"N/A",IF(Table1[[#This Row],[DUT Adj Read]]="N/A",IF(Table1[[#This Row],[Std Adj Read]]&lt;Table1[[#This Row],[High Tol]],"Pass","Fail"),IF(Table1[[#This Row],[DUT Adj Read]]&lt;Table1[[#This Row],[High Tol]],"Pass","Fail")))</f>
        <v>Fail</v>
      </c>
      <c r="AF254" s="1" t="str">
        <f>IF(AND(Table1[[#This Row],[Spec Type2]]="N/A",Table1[[#This Row],[DUT Adj Read]]="N/A",Table1[[#This Row],[Std Adj Read]]="N/A"),"N/A",IF(Table1[[#This Row],[DUT Adj Read]]="N/A",IF(Table1[[#This Row],[Std Adj Read]]&gt;=Table1[[#This Row],[Low Tol]],"Pass","Fail"),IF(Table1[[#This Row],[DUT Adj Read]]&gt;=Table1[[#This Row],[Low Tol]],"Pass","Fail")))</f>
        <v>Pass</v>
      </c>
      <c r="AG254" s="1" t="str">
        <f>IF(AND(Table1[[#This Row],[Spec Type2]]="N/A",Table1[[#This Row],[DUT Adj Read]]="N/A",Table1[[#This Row],[Std Adj Read]]="N/A"),"N/A",IF(Table1[[#This Row],[DUT Adj Read]]="N/A",IF(Table1[[#This Row],[Std Adj Read]]&lt;=Table1[[#This Row],[High Tol]],"Pass","Fail"),IF(Table1[[#This Row],[DUT Adj Read]]&lt;=Table1[[#This Row],[High Tol]],"Pass","Fail")))</f>
        <v>Fail</v>
      </c>
      <c r="AH2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 s="1" t="b">
        <v>0</v>
      </c>
      <c r="AN254" s="1" t="b">
        <v>0</v>
      </c>
      <c r="AO254" s="1" t="b">
        <v>0</v>
      </c>
    </row>
    <row r="255" spans="1:41" x14ac:dyDescent="0.25">
      <c r="A255" s="10"/>
      <c r="B255" s="10"/>
      <c r="C255" s="10"/>
      <c r="D255" s="10"/>
      <c r="E255" s="10"/>
      <c r="F255" s="10"/>
      <c r="G255" s="10"/>
      <c r="H255" s="10"/>
      <c r="I255" s="1" t="str">
        <f t="shared" si="9"/>
        <v/>
      </c>
      <c r="J255" s="1" t="s">
        <v>35</v>
      </c>
      <c r="K255" s="1" t="str">
        <f t="shared" si="10"/>
        <v/>
      </c>
      <c r="L255" s="1" t="str">
        <f t="shared" si="11"/>
        <v/>
      </c>
      <c r="M255" s="1">
        <f>IF(OR(Table1[[#This Row],[Std Nom]]="",Table1[[#This Row],[Std Read]]=""),0,Table1[[#This Row],[Std Nom]]-Table1[[#This Row],[Std Read]])</f>
        <v>0</v>
      </c>
      <c r="N255" s="1">
        <f>IF(Calculations!$F$5="ACCREDITED 17025 WITH UNCERTAINTIES",$N$10,0)</f>
        <v>0</v>
      </c>
      <c r="O255" s="1" t="str">
        <f>IFERROR(Table1[[#This Row],[Std Nom]]-(_xlfn.XLOOKUP(Table1[[#This Row],[Manufacturer]]&amp;" "&amp;Table1[[#This Row],[Model]],Table13[MFR &amp; MDL],Table13[Tolerance % CW ],"")/100*Table1[[#This Row],[Std Nom]]),"")</f>
        <v/>
      </c>
      <c r="P255" s="1" t="str">
        <f>IFERROR(Table1[[#This Row],[Std Nom]]+(_xlfn.XLOOKUP(Table1[[#This Row],[Manufacturer]]&amp;" "&amp;Table1[[#This Row],[Model]],Table13[MFR &amp; MDL],Table13[Tolerance % CW ],"")/100*Table1[[#This Row],[Std Nom]]),"")</f>
        <v/>
      </c>
      <c r="Q255" s="1" t="e">
        <f>Table1[[#This Row],[High Tol]]-Table1[[#This Row],[Low Tol]]</f>
        <v>#VALUE!</v>
      </c>
      <c r="R255" s="1">
        <f>2*Table1[[#This Row],[Std Error]]</f>
        <v>0</v>
      </c>
      <c r="S255" s="1" t="str">
        <f>IF(Table1[[#This Row],[High Tol]]="","N/A",IFERROR(ABS(Table1[[#This Row],[Tol Span]]/Table1[[#This Row],[Error Span]]),"N/A"))</f>
        <v>N/A</v>
      </c>
      <c r="T255" s="1" t="str">
        <f>IF(OR(Table1[[#This Row],[Low Tol]]="",Table1[[#This Row],[High Tol]]=""),"Needs Analysis",IF(Table1[[#This Row],[Ratio]]&gt;=4,"Not Significant",IF(Table1[[#This Row],[Ratio]]&gt;=2,"Semi-Significant","Significant")))</f>
        <v>Needs Analysis</v>
      </c>
      <c r="W255" s="1">
        <f>IF(Table1[[#This Row],[Cal Type]]&lt;&gt;"ACCREDITED 17025 WITH UNCERTAINTIES",0,"")</f>
        <v>0</v>
      </c>
      <c r="X255" s="1" t="str">
        <f>IF(Table1[[#This Row],[DUT Read]]="","N/A",Table1[[#This Row],[Std Error]]+Table1[[#This Row],[DUT Read]]+Table1[[#This Row],[DUT Ucty]])</f>
        <v>N/A</v>
      </c>
      <c r="Y255" s="1" t="str">
        <f>IF(Table1[[#This Row],[Std Read]]="","N/A",Table1[[#This Row],[Std Read]]+Table1[[#This Row],[Std Ucty]])</f>
        <v>N/A</v>
      </c>
      <c r="Z2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 s="1" t="str">
        <f>IF(Table1[[#This Row],[Spec Type]]="","N/A",Table1[[#This Row],[Spec Type]])</f>
        <v>±</v>
      </c>
      <c r="AC255" s="1" t="str">
        <f>IF(Table1[[#This Row],[Spec Type2]]="N/A","N/A",IF(AND(Table1[[#This Row],[DUT Adj Read]]&gt;=Table1[[#This Row],[Low Tol]],Table1[[#This Row],[DUT Adj Read]]&lt;=Table1[[#This Row],[High Tol]]),"Pass","Fail"))</f>
        <v>Fail</v>
      </c>
      <c r="AD255" s="1" t="str">
        <f>IF(AND(Table1[[#This Row],[Spec Type2]]="N/A",Table1[[#This Row],[DUT Adj Read]]="N/A",Table1[[#This Row],[Std Adj Read]]="N/A"),"N/A",IF(Table1[[#This Row],[DUT Adj Read]]="N/A",IF(Table1[[#This Row],[Std Adj Read]]&gt;Table1[[#This Row],[Low Tol]],"Pass","Fail"),IF(Table1[[#This Row],[DUT Adj Read]]&gt;Table1[[#This Row],[Low Tol]],"Pass","Fail")))</f>
        <v>Pass</v>
      </c>
      <c r="AE255" s="1" t="str">
        <f>IF(AND(Table1[[#This Row],[Spec Type2]]="N/A",Table1[[#This Row],[DUT Adj Read]]="N/A",Table1[[#This Row],[Std Adj Read]]="N/A"),"N/A",IF(Table1[[#This Row],[DUT Adj Read]]="N/A",IF(Table1[[#This Row],[Std Adj Read]]&lt;Table1[[#This Row],[High Tol]],"Pass","Fail"),IF(Table1[[#This Row],[DUT Adj Read]]&lt;Table1[[#This Row],[High Tol]],"Pass","Fail")))</f>
        <v>Fail</v>
      </c>
      <c r="AF255" s="1" t="str">
        <f>IF(AND(Table1[[#This Row],[Spec Type2]]="N/A",Table1[[#This Row],[DUT Adj Read]]="N/A",Table1[[#This Row],[Std Adj Read]]="N/A"),"N/A",IF(Table1[[#This Row],[DUT Adj Read]]="N/A",IF(Table1[[#This Row],[Std Adj Read]]&gt;=Table1[[#This Row],[Low Tol]],"Pass","Fail"),IF(Table1[[#This Row],[DUT Adj Read]]&gt;=Table1[[#This Row],[Low Tol]],"Pass","Fail")))</f>
        <v>Pass</v>
      </c>
      <c r="AG255" s="1" t="str">
        <f>IF(AND(Table1[[#This Row],[Spec Type2]]="N/A",Table1[[#This Row],[DUT Adj Read]]="N/A",Table1[[#This Row],[Std Adj Read]]="N/A"),"N/A",IF(Table1[[#This Row],[DUT Adj Read]]="N/A",IF(Table1[[#This Row],[Std Adj Read]]&lt;=Table1[[#This Row],[High Tol]],"Pass","Fail"),IF(Table1[[#This Row],[DUT Adj Read]]&lt;=Table1[[#This Row],[High Tol]],"Pass","Fail")))</f>
        <v>Fail</v>
      </c>
      <c r="AH2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 s="1" t="b">
        <v>0</v>
      </c>
      <c r="AN255" s="1" t="b">
        <v>0</v>
      </c>
      <c r="AO255" s="1" t="b">
        <v>0</v>
      </c>
    </row>
    <row r="256" spans="1:41" x14ac:dyDescent="0.25">
      <c r="A256" s="10"/>
      <c r="B256" s="10"/>
      <c r="C256" s="10"/>
      <c r="D256" s="10"/>
      <c r="E256" s="10"/>
      <c r="F256" s="10"/>
      <c r="G256" s="10"/>
      <c r="H256" s="10"/>
      <c r="I256" s="1" t="str">
        <f t="shared" si="9"/>
        <v/>
      </c>
      <c r="J256" s="1" t="s">
        <v>35</v>
      </c>
      <c r="K256" s="1" t="str">
        <f t="shared" si="10"/>
        <v/>
      </c>
      <c r="L256" s="1" t="str">
        <f t="shared" si="11"/>
        <v/>
      </c>
      <c r="M256" s="1">
        <f>IF(OR(Table1[[#This Row],[Std Nom]]="",Table1[[#This Row],[Std Read]]=""),0,Table1[[#This Row],[Std Nom]]-Table1[[#This Row],[Std Read]])</f>
        <v>0</v>
      </c>
      <c r="N256" s="1">
        <f>IF(Calculations!$F$5="ACCREDITED 17025 WITH UNCERTAINTIES",$N$10,0)</f>
        <v>0</v>
      </c>
      <c r="O256" s="1" t="str">
        <f>IFERROR(Table1[[#This Row],[Std Nom]]-(_xlfn.XLOOKUP(Table1[[#This Row],[Manufacturer]]&amp;" "&amp;Table1[[#This Row],[Model]],Table13[MFR &amp; MDL],Table13[Tolerance % CW ],"")/100*Table1[[#This Row],[Std Nom]]),"")</f>
        <v/>
      </c>
      <c r="P256" s="1" t="str">
        <f>IFERROR(Table1[[#This Row],[Std Nom]]+(_xlfn.XLOOKUP(Table1[[#This Row],[Manufacturer]]&amp;" "&amp;Table1[[#This Row],[Model]],Table13[MFR &amp; MDL],Table13[Tolerance % CW ],"")/100*Table1[[#This Row],[Std Nom]]),"")</f>
        <v/>
      </c>
      <c r="Q256" s="1" t="e">
        <f>Table1[[#This Row],[High Tol]]-Table1[[#This Row],[Low Tol]]</f>
        <v>#VALUE!</v>
      </c>
      <c r="R256" s="1">
        <f>2*Table1[[#This Row],[Std Error]]</f>
        <v>0</v>
      </c>
      <c r="S256" s="1" t="str">
        <f>IF(Table1[[#This Row],[High Tol]]="","N/A",IFERROR(ABS(Table1[[#This Row],[Tol Span]]/Table1[[#This Row],[Error Span]]),"N/A"))</f>
        <v>N/A</v>
      </c>
      <c r="T256" s="1" t="str">
        <f>IF(OR(Table1[[#This Row],[Low Tol]]="",Table1[[#This Row],[High Tol]]=""),"Needs Analysis",IF(Table1[[#This Row],[Ratio]]&gt;=4,"Not Significant",IF(Table1[[#This Row],[Ratio]]&gt;=2,"Semi-Significant","Significant")))</f>
        <v>Needs Analysis</v>
      </c>
      <c r="W256" s="1">
        <f>IF(Table1[[#This Row],[Cal Type]]&lt;&gt;"ACCREDITED 17025 WITH UNCERTAINTIES",0,"")</f>
        <v>0</v>
      </c>
      <c r="X256" s="1" t="str">
        <f>IF(Table1[[#This Row],[DUT Read]]="","N/A",Table1[[#This Row],[Std Error]]+Table1[[#This Row],[DUT Read]]+Table1[[#This Row],[DUT Ucty]])</f>
        <v>N/A</v>
      </c>
      <c r="Y256" s="1" t="str">
        <f>IF(Table1[[#This Row],[Std Read]]="","N/A",Table1[[#This Row],[Std Read]]+Table1[[#This Row],[Std Ucty]])</f>
        <v>N/A</v>
      </c>
      <c r="Z2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 s="1" t="str">
        <f>IF(Table1[[#This Row],[Spec Type]]="","N/A",Table1[[#This Row],[Spec Type]])</f>
        <v>±</v>
      </c>
      <c r="AC256" s="1" t="str">
        <f>IF(Table1[[#This Row],[Spec Type2]]="N/A","N/A",IF(AND(Table1[[#This Row],[DUT Adj Read]]&gt;=Table1[[#This Row],[Low Tol]],Table1[[#This Row],[DUT Adj Read]]&lt;=Table1[[#This Row],[High Tol]]),"Pass","Fail"))</f>
        <v>Fail</v>
      </c>
      <c r="AD256" s="1" t="str">
        <f>IF(AND(Table1[[#This Row],[Spec Type2]]="N/A",Table1[[#This Row],[DUT Adj Read]]="N/A",Table1[[#This Row],[Std Adj Read]]="N/A"),"N/A",IF(Table1[[#This Row],[DUT Adj Read]]="N/A",IF(Table1[[#This Row],[Std Adj Read]]&gt;Table1[[#This Row],[Low Tol]],"Pass","Fail"),IF(Table1[[#This Row],[DUT Adj Read]]&gt;Table1[[#This Row],[Low Tol]],"Pass","Fail")))</f>
        <v>Pass</v>
      </c>
      <c r="AE256" s="1" t="str">
        <f>IF(AND(Table1[[#This Row],[Spec Type2]]="N/A",Table1[[#This Row],[DUT Adj Read]]="N/A",Table1[[#This Row],[Std Adj Read]]="N/A"),"N/A",IF(Table1[[#This Row],[DUT Adj Read]]="N/A",IF(Table1[[#This Row],[Std Adj Read]]&lt;Table1[[#This Row],[High Tol]],"Pass","Fail"),IF(Table1[[#This Row],[DUT Adj Read]]&lt;Table1[[#This Row],[High Tol]],"Pass","Fail")))</f>
        <v>Fail</v>
      </c>
      <c r="AF256" s="1" t="str">
        <f>IF(AND(Table1[[#This Row],[Spec Type2]]="N/A",Table1[[#This Row],[DUT Adj Read]]="N/A",Table1[[#This Row],[Std Adj Read]]="N/A"),"N/A",IF(Table1[[#This Row],[DUT Adj Read]]="N/A",IF(Table1[[#This Row],[Std Adj Read]]&gt;=Table1[[#This Row],[Low Tol]],"Pass","Fail"),IF(Table1[[#This Row],[DUT Adj Read]]&gt;=Table1[[#This Row],[Low Tol]],"Pass","Fail")))</f>
        <v>Pass</v>
      </c>
      <c r="AG256" s="1" t="str">
        <f>IF(AND(Table1[[#This Row],[Spec Type2]]="N/A",Table1[[#This Row],[DUT Adj Read]]="N/A",Table1[[#This Row],[Std Adj Read]]="N/A"),"N/A",IF(Table1[[#This Row],[DUT Adj Read]]="N/A",IF(Table1[[#This Row],[Std Adj Read]]&lt;=Table1[[#This Row],[High Tol]],"Pass","Fail"),IF(Table1[[#This Row],[DUT Adj Read]]&lt;=Table1[[#This Row],[High Tol]],"Pass","Fail")))</f>
        <v>Fail</v>
      </c>
      <c r="AH2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 s="1" t="b">
        <v>0</v>
      </c>
      <c r="AN256" s="1" t="b">
        <v>0</v>
      </c>
      <c r="AO256" s="1" t="b">
        <v>0</v>
      </c>
    </row>
    <row r="257" spans="1:41" x14ac:dyDescent="0.25">
      <c r="A257" s="10"/>
      <c r="B257" s="10"/>
      <c r="C257" s="10"/>
      <c r="D257" s="10"/>
      <c r="E257" s="10"/>
      <c r="F257" s="10"/>
      <c r="G257" s="10"/>
      <c r="H257" s="10"/>
      <c r="I257" s="1" t="str">
        <f t="shared" si="9"/>
        <v/>
      </c>
      <c r="J257" s="1" t="s">
        <v>35</v>
      </c>
      <c r="K257" s="1" t="str">
        <f t="shared" si="10"/>
        <v/>
      </c>
      <c r="L257" s="1" t="str">
        <f t="shared" si="11"/>
        <v/>
      </c>
      <c r="M257" s="1">
        <f>IF(OR(Table1[[#This Row],[Std Nom]]="",Table1[[#This Row],[Std Read]]=""),0,Table1[[#This Row],[Std Nom]]-Table1[[#This Row],[Std Read]])</f>
        <v>0</v>
      </c>
      <c r="N257" s="1">
        <f>IF(Calculations!$F$5="ACCREDITED 17025 WITH UNCERTAINTIES",$N$10,0)</f>
        <v>0</v>
      </c>
      <c r="O257" s="1" t="str">
        <f>IFERROR(Table1[[#This Row],[Std Nom]]-(_xlfn.XLOOKUP(Table1[[#This Row],[Manufacturer]]&amp;" "&amp;Table1[[#This Row],[Model]],Table13[MFR &amp; MDL],Table13[Tolerance % CW ],"")/100*Table1[[#This Row],[Std Nom]]),"")</f>
        <v/>
      </c>
      <c r="P257" s="1" t="str">
        <f>IFERROR(Table1[[#This Row],[Std Nom]]+(_xlfn.XLOOKUP(Table1[[#This Row],[Manufacturer]]&amp;" "&amp;Table1[[#This Row],[Model]],Table13[MFR &amp; MDL],Table13[Tolerance % CW ],"")/100*Table1[[#This Row],[Std Nom]]),"")</f>
        <v/>
      </c>
      <c r="Q257" s="1" t="e">
        <f>Table1[[#This Row],[High Tol]]-Table1[[#This Row],[Low Tol]]</f>
        <v>#VALUE!</v>
      </c>
      <c r="R257" s="1">
        <f>2*Table1[[#This Row],[Std Error]]</f>
        <v>0</v>
      </c>
      <c r="S257" s="1" t="str">
        <f>IF(Table1[[#This Row],[High Tol]]="","N/A",IFERROR(ABS(Table1[[#This Row],[Tol Span]]/Table1[[#This Row],[Error Span]]),"N/A"))</f>
        <v>N/A</v>
      </c>
      <c r="T257" s="1" t="str">
        <f>IF(OR(Table1[[#This Row],[Low Tol]]="",Table1[[#This Row],[High Tol]]=""),"Needs Analysis",IF(Table1[[#This Row],[Ratio]]&gt;=4,"Not Significant",IF(Table1[[#This Row],[Ratio]]&gt;=2,"Semi-Significant","Significant")))</f>
        <v>Needs Analysis</v>
      </c>
      <c r="W257" s="1">
        <f>IF(Table1[[#This Row],[Cal Type]]&lt;&gt;"ACCREDITED 17025 WITH UNCERTAINTIES",0,"")</f>
        <v>0</v>
      </c>
      <c r="X257" s="1" t="str">
        <f>IF(Table1[[#This Row],[DUT Read]]="","N/A",Table1[[#This Row],[Std Error]]+Table1[[#This Row],[DUT Read]]+Table1[[#This Row],[DUT Ucty]])</f>
        <v>N/A</v>
      </c>
      <c r="Y257" s="1" t="str">
        <f>IF(Table1[[#This Row],[Std Read]]="","N/A",Table1[[#This Row],[Std Read]]+Table1[[#This Row],[Std Ucty]])</f>
        <v>N/A</v>
      </c>
      <c r="Z2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 s="1" t="str">
        <f>IF(Table1[[#This Row],[Spec Type]]="","N/A",Table1[[#This Row],[Spec Type]])</f>
        <v>±</v>
      </c>
      <c r="AC257" s="1" t="str">
        <f>IF(Table1[[#This Row],[Spec Type2]]="N/A","N/A",IF(AND(Table1[[#This Row],[DUT Adj Read]]&gt;=Table1[[#This Row],[Low Tol]],Table1[[#This Row],[DUT Adj Read]]&lt;=Table1[[#This Row],[High Tol]]),"Pass","Fail"))</f>
        <v>Fail</v>
      </c>
      <c r="AD257" s="1" t="str">
        <f>IF(AND(Table1[[#This Row],[Spec Type2]]="N/A",Table1[[#This Row],[DUT Adj Read]]="N/A",Table1[[#This Row],[Std Adj Read]]="N/A"),"N/A",IF(Table1[[#This Row],[DUT Adj Read]]="N/A",IF(Table1[[#This Row],[Std Adj Read]]&gt;Table1[[#This Row],[Low Tol]],"Pass","Fail"),IF(Table1[[#This Row],[DUT Adj Read]]&gt;Table1[[#This Row],[Low Tol]],"Pass","Fail")))</f>
        <v>Pass</v>
      </c>
      <c r="AE257" s="1" t="str">
        <f>IF(AND(Table1[[#This Row],[Spec Type2]]="N/A",Table1[[#This Row],[DUT Adj Read]]="N/A",Table1[[#This Row],[Std Adj Read]]="N/A"),"N/A",IF(Table1[[#This Row],[DUT Adj Read]]="N/A",IF(Table1[[#This Row],[Std Adj Read]]&lt;Table1[[#This Row],[High Tol]],"Pass","Fail"),IF(Table1[[#This Row],[DUT Adj Read]]&lt;Table1[[#This Row],[High Tol]],"Pass","Fail")))</f>
        <v>Fail</v>
      </c>
      <c r="AF257" s="1" t="str">
        <f>IF(AND(Table1[[#This Row],[Spec Type2]]="N/A",Table1[[#This Row],[DUT Adj Read]]="N/A",Table1[[#This Row],[Std Adj Read]]="N/A"),"N/A",IF(Table1[[#This Row],[DUT Adj Read]]="N/A",IF(Table1[[#This Row],[Std Adj Read]]&gt;=Table1[[#This Row],[Low Tol]],"Pass","Fail"),IF(Table1[[#This Row],[DUT Adj Read]]&gt;=Table1[[#This Row],[Low Tol]],"Pass","Fail")))</f>
        <v>Pass</v>
      </c>
      <c r="AG257" s="1" t="str">
        <f>IF(AND(Table1[[#This Row],[Spec Type2]]="N/A",Table1[[#This Row],[DUT Adj Read]]="N/A",Table1[[#This Row],[Std Adj Read]]="N/A"),"N/A",IF(Table1[[#This Row],[DUT Adj Read]]="N/A",IF(Table1[[#This Row],[Std Adj Read]]&lt;=Table1[[#This Row],[High Tol]],"Pass","Fail"),IF(Table1[[#This Row],[DUT Adj Read]]&lt;=Table1[[#This Row],[High Tol]],"Pass","Fail")))</f>
        <v>Fail</v>
      </c>
      <c r="AH2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 s="1" t="b">
        <v>0</v>
      </c>
      <c r="AN257" s="1" t="b">
        <v>0</v>
      </c>
      <c r="AO257" s="1" t="b">
        <v>0</v>
      </c>
    </row>
    <row r="258" spans="1:41" x14ac:dyDescent="0.25">
      <c r="A258" s="10"/>
      <c r="B258" s="10"/>
      <c r="C258" s="10"/>
      <c r="D258" s="10"/>
      <c r="E258" s="10"/>
      <c r="F258" s="10"/>
      <c r="G258" s="10"/>
      <c r="H258" s="10"/>
      <c r="I258" s="1" t="str">
        <f t="shared" si="9"/>
        <v/>
      </c>
      <c r="J258" s="1" t="s">
        <v>35</v>
      </c>
      <c r="K258" s="1" t="str">
        <f t="shared" si="10"/>
        <v/>
      </c>
      <c r="L258" s="1" t="str">
        <f t="shared" si="11"/>
        <v/>
      </c>
      <c r="M258" s="1">
        <f>IF(OR(Table1[[#This Row],[Std Nom]]="",Table1[[#This Row],[Std Read]]=""),0,Table1[[#This Row],[Std Nom]]-Table1[[#This Row],[Std Read]])</f>
        <v>0</v>
      </c>
      <c r="N258" s="1">
        <f>IF(Calculations!$F$5="ACCREDITED 17025 WITH UNCERTAINTIES",$N$10,0)</f>
        <v>0</v>
      </c>
      <c r="O258" s="1" t="str">
        <f>IFERROR(Table1[[#This Row],[Std Nom]]-(_xlfn.XLOOKUP(Table1[[#This Row],[Manufacturer]]&amp;" "&amp;Table1[[#This Row],[Model]],Table13[MFR &amp; MDL],Table13[Tolerance % CW ],"")/100*Table1[[#This Row],[Std Nom]]),"")</f>
        <v/>
      </c>
      <c r="P258" s="1" t="str">
        <f>IFERROR(Table1[[#This Row],[Std Nom]]+(_xlfn.XLOOKUP(Table1[[#This Row],[Manufacturer]]&amp;" "&amp;Table1[[#This Row],[Model]],Table13[MFR &amp; MDL],Table13[Tolerance % CW ],"")/100*Table1[[#This Row],[Std Nom]]),"")</f>
        <v/>
      </c>
      <c r="Q258" s="1" t="e">
        <f>Table1[[#This Row],[High Tol]]-Table1[[#This Row],[Low Tol]]</f>
        <v>#VALUE!</v>
      </c>
      <c r="R258" s="1">
        <f>2*Table1[[#This Row],[Std Error]]</f>
        <v>0</v>
      </c>
      <c r="S258" s="1" t="str">
        <f>IF(Table1[[#This Row],[High Tol]]="","N/A",IFERROR(ABS(Table1[[#This Row],[Tol Span]]/Table1[[#This Row],[Error Span]]),"N/A"))</f>
        <v>N/A</v>
      </c>
      <c r="T258" s="1" t="str">
        <f>IF(OR(Table1[[#This Row],[Low Tol]]="",Table1[[#This Row],[High Tol]]=""),"Needs Analysis",IF(Table1[[#This Row],[Ratio]]&gt;=4,"Not Significant",IF(Table1[[#This Row],[Ratio]]&gt;=2,"Semi-Significant","Significant")))</f>
        <v>Needs Analysis</v>
      </c>
      <c r="W258" s="1">
        <f>IF(Table1[[#This Row],[Cal Type]]&lt;&gt;"ACCREDITED 17025 WITH UNCERTAINTIES",0,"")</f>
        <v>0</v>
      </c>
      <c r="X258" s="1" t="str">
        <f>IF(Table1[[#This Row],[DUT Read]]="","N/A",Table1[[#This Row],[Std Error]]+Table1[[#This Row],[DUT Read]]+Table1[[#This Row],[DUT Ucty]])</f>
        <v>N/A</v>
      </c>
      <c r="Y258" s="1" t="str">
        <f>IF(Table1[[#This Row],[Std Read]]="","N/A",Table1[[#This Row],[Std Read]]+Table1[[#This Row],[Std Ucty]])</f>
        <v>N/A</v>
      </c>
      <c r="Z2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 s="1" t="str">
        <f>IF(Table1[[#This Row],[Spec Type]]="","N/A",Table1[[#This Row],[Spec Type]])</f>
        <v>±</v>
      </c>
      <c r="AC258" s="1" t="str">
        <f>IF(Table1[[#This Row],[Spec Type2]]="N/A","N/A",IF(AND(Table1[[#This Row],[DUT Adj Read]]&gt;=Table1[[#This Row],[Low Tol]],Table1[[#This Row],[DUT Adj Read]]&lt;=Table1[[#This Row],[High Tol]]),"Pass","Fail"))</f>
        <v>Fail</v>
      </c>
      <c r="AD258" s="1" t="str">
        <f>IF(AND(Table1[[#This Row],[Spec Type2]]="N/A",Table1[[#This Row],[DUT Adj Read]]="N/A",Table1[[#This Row],[Std Adj Read]]="N/A"),"N/A",IF(Table1[[#This Row],[DUT Adj Read]]="N/A",IF(Table1[[#This Row],[Std Adj Read]]&gt;Table1[[#This Row],[Low Tol]],"Pass","Fail"),IF(Table1[[#This Row],[DUT Adj Read]]&gt;Table1[[#This Row],[Low Tol]],"Pass","Fail")))</f>
        <v>Pass</v>
      </c>
      <c r="AE258" s="1" t="str">
        <f>IF(AND(Table1[[#This Row],[Spec Type2]]="N/A",Table1[[#This Row],[DUT Adj Read]]="N/A",Table1[[#This Row],[Std Adj Read]]="N/A"),"N/A",IF(Table1[[#This Row],[DUT Adj Read]]="N/A",IF(Table1[[#This Row],[Std Adj Read]]&lt;Table1[[#This Row],[High Tol]],"Pass","Fail"),IF(Table1[[#This Row],[DUT Adj Read]]&lt;Table1[[#This Row],[High Tol]],"Pass","Fail")))</f>
        <v>Fail</v>
      </c>
      <c r="AF258" s="1" t="str">
        <f>IF(AND(Table1[[#This Row],[Spec Type2]]="N/A",Table1[[#This Row],[DUT Adj Read]]="N/A",Table1[[#This Row],[Std Adj Read]]="N/A"),"N/A",IF(Table1[[#This Row],[DUT Adj Read]]="N/A",IF(Table1[[#This Row],[Std Adj Read]]&gt;=Table1[[#This Row],[Low Tol]],"Pass","Fail"),IF(Table1[[#This Row],[DUT Adj Read]]&gt;=Table1[[#This Row],[Low Tol]],"Pass","Fail")))</f>
        <v>Pass</v>
      </c>
      <c r="AG258" s="1" t="str">
        <f>IF(AND(Table1[[#This Row],[Spec Type2]]="N/A",Table1[[#This Row],[DUT Adj Read]]="N/A",Table1[[#This Row],[Std Adj Read]]="N/A"),"N/A",IF(Table1[[#This Row],[DUT Adj Read]]="N/A",IF(Table1[[#This Row],[Std Adj Read]]&lt;=Table1[[#This Row],[High Tol]],"Pass","Fail"),IF(Table1[[#This Row],[DUT Adj Read]]&lt;=Table1[[#This Row],[High Tol]],"Pass","Fail")))</f>
        <v>Fail</v>
      </c>
      <c r="AH2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 s="1" t="b">
        <v>0</v>
      </c>
      <c r="AN258" s="1" t="b">
        <v>0</v>
      </c>
      <c r="AO258" s="1" t="b">
        <v>0</v>
      </c>
    </row>
    <row r="259" spans="1:41" x14ac:dyDescent="0.25">
      <c r="A259" s="10"/>
      <c r="B259" s="10"/>
      <c r="C259" s="10"/>
      <c r="D259" s="10"/>
      <c r="E259" s="10"/>
      <c r="F259" s="10"/>
      <c r="G259" s="10"/>
      <c r="H259" s="10"/>
      <c r="I259" s="1" t="str">
        <f t="shared" si="9"/>
        <v/>
      </c>
      <c r="J259" s="1" t="s">
        <v>35</v>
      </c>
      <c r="K259" s="1" t="str">
        <f t="shared" si="10"/>
        <v/>
      </c>
      <c r="L259" s="1" t="str">
        <f t="shared" si="11"/>
        <v/>
      </c>
      <c r="M259" s="1">
        <f>IF(OR(Table1[[#This Row],[Std Nom]]="",Table1[[#This Row],[Std Read]]=""),0,Table1[[#This Row],[Std Nom]]-Table1[[#This Row],[Std Read]])</f>
        <v>0</v>
      </c>
      <c r="N259" s="1">
        <f>IF(Calculations!$F$5="ACCREDITED 17025 WITH UNCERTAINTIES",$N$10,0)</f>
        <v>0</v>
      </c>
      <c r="O259" s="1" t="str">
        <f>IFERROR(Table1[[#This Row],[Std Nom]]-(_xlfn.XLOOKUP(Table1[[#This Row],[Manufacturer]]&amp;" "&amp;Table1[[#This Row],[Model]],Table13[MFR &amp; MDL],Table13[Tolerance % CW ],"")/100*Table1[[#This Row],[Std Nom]]),"")</f>
        <v/>
      </c>
      <c r="P259" s="1" t="str">
        <f>IFERROR(Table1[[#This Row],[Std Nom]]+(_xlfn.XLOOKUP(Table1[[#This Row],[Manufacturer]]&amp;" "&amp;Table1[[#This Row],[Model]],Table13[MFR &amp; MDL],Table13[Tolerance % CW ],"")/100*Table1[[#This Row],[Std Nom]]),"")</f>
        <v/>
      </c>
      <c r="Q259" s="1" t="e">
        <f>Table1[[#This Row],[High Tol]]-Table1[[#This Row],[Low Tol]]</f>
        <v>#VALUE!</v>
      </c>
      <c r="R259" s="1">
        <f>2*Table1[[#This Row],[Std Error]]</f>
        <v>0</v>
      </c>
      <c r="S259" s="1" t="str">
        <f>IF(Table1[[#This Row],[High Tol]]="","N/A",IFERROR(ABS(Table1[[#This Row],[Tol Span]]/Table1[[#This Row],[Error Span]]),"N/A"))</f>
        <v>N/A</v>
      </c>
      <c r="T259" s="1" t="str">
        <f>IF(OR(Table1[[#This Row],[Low Tol]]="",Table1[[#This Row],[High Tol]]=""),"Needs Analysis",IF(Table1[[#This Row],[Ratio]]&gt;=4,"Not Significant",IF(Table1[[#This Row],[Ratio]]&gt;=2,"Semi-Significant","Significant")))</f>
        <v>Needs Analysis</v>
      </c>
      <c r="W259" s="1">
        <f>IF(Table1[[#This Row],[Cal Type]]&lt;&gt;"ACCREDITED 17025 WITH UNCERTAINTIES",0,"")</f>
        <v>0</v>
      </c>
      <c r="X259" s="1" t="str">
        <f>IF(Table1[[#This Row],[DUT Read]]="","N/A",Table1[[#This Row],[Std Error]]+Table1[[#This Row],[DUT Read]]+Table1[[#This Row],[DUT Ucty]])</f>
        <v>N/A</v>
      </c>
      <c r="Y259" s="1" t="str">
        <f>IF(Table1[[#This Row],[Std Read]]="","N/A",Table1[[#This Row],[Std Read]]+Table1[[#This Row],[Std Ucty]])</f>
        <v>N/A</v>
      </c>
      <c r="Z2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 s="1" t="str">
        <f>IF(Table1[[#This Row],[Spec Type]]="","N/A",Table1[[#This Row],[Spec Type]])</f>
        <v>±</v>
      </c>
      <c r="AC259" s="1" t="str">
        <f>IF(Table1[[#This Row],[Spec Type2]]="N/A","N/A",IF(AND(Table1[[#This Row],[DUT Adj Read]]&gt;=Table1[[#This Row],[Low Tol]],Table1[[#This Row],[DUT Adj Read]]&lt;=Table1[[#This Row],[High Tol]]),"Pass","Fail"))</f>
        <v>Fail</v>
      </c>
      <c r="AD259" s="1" t="str">
        <f>IF(AND(Table1[[#This Row],[Spec Type2]]="N/A",Table1[[#This Row],[DUT Adj Read]]="N/A",Table1[[#This Row],[Std Adj Read]]="N/A"),"N/A",IF(Table1[[#This Row],[DUT Adj Read]]="N/A",IF(Table1[[#This Row],[Std Adj Read]]&gt;Table1[[#This Row],[Low Tol]],"Pass","Fail"),IF(Table1[[#This Row],[DUT Adj Read]]&gt;Table1[[#This Row],[Low Tol]],"Pass","Fail")))</f>
        <v>Pass</v>
      </c>
      <c r="AE259" s="1" t="str">
        <f>IF(AND(Table1[[#This Row],[Spec Type2]]="N/A",Table1[[#This Row],[DUT Adj Read]]="N/A",Table1[[#This Row],[Std Adj Read]]="N/A"),"N/A",IF(Table1[[#This Row],[DUT Adj Read]]="N/A",IF(Table1[[#This Row],[Std Adj Read]]&lt;Table1[[#This Row],[High Tol]],"Pass","Fail"),IF(Table1[[#This Row],[DUT Adj Read]]&lt;Table1[[#This Row],[High Tol]],"Pass","Fail")))</f>
        <v>Fail</v>
      </c>
      <c r="AF259" s="1" t="str">
        <f>IF(AND(Table1[[#This Row],[Spec Type2]]="N/A",Table1[[#This Row],[DUT Adj Read]]="N/A",Table1[[#This Row],[Std Adj Read]]="N/A"),"N/A",IF(Table1[[#This Row],[DUT Adj Read]]="N/A",IF(Table1[[#This Row],[Std Adj Read]]&gt;=Table1[[#This Row],[Low Tol]],"Pass","Fail"),IF(Table1[[#This Row],[DUT Adj Read]]&gt;=Table1[[#This Row],[Low Tol]],"Pass","Fail")))</f>
        <v>Pass</v>
      </c>
      <c r="AG259" s="1" t="str">
        <f>IF(AND(Table1[[#This Row],[Spec Type2]]="N/A",Table1[[#This Row],[DUT Adj Read]]="N/A",Table1[[#This Row],[Std Adj Read]]="N/A"),"N/A",IF(Table1[[#This Row],[DUT Adj Read]]="N/A",IF(Table1[[#This Row],[Std Adj Read]]&lt;=Table1[[#This Row],[High Tol]],"Pass","Fail"),IF(Table1[[#This Row],[DUT Adj Read]]&lt;=Table1[[#This Row],[High Tol]],"Pass","Fail")))</f>
        <v>Fail</v>
      </c>
      <c r="AH2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 s="1" t="b">
        <v>0</v>
      </c>
      <c r="AN259" s="1" t="b">
        <v>0</v>
      </c>
      <c r="AO259" s="1" t="b">
        <v>0</v>
      </c>
    </row>
    <row r="260" spans="1:41" x14ac:dyDescent="0.25">
      <c r="A260" s="10"/>
      <c r="B260" s="10"/>
      <c r="C260" s="10"/>
      <c r="D260" s="10"/>
      <c r="E260" s="10"/>
      <c r="F260" s="10"/>
      <c r="G260" s="10"/>
      <c r="H260" s="10"/>
      <c r="I260" s="1" t="str">
        <f t="shared" si="9"/>
        <v/>
      </c>
      <c r="J260" s="1" t="s">
        <v>35</v>
      </c>
      <c r="K260" s="1" t="str">
        <f t="shared" si="10"/>
        <v/>
      </c>
      <c r="L260" s="1" t="str">
        <f t="shared" si="11"/>
        <v/>
      </c>
      <c r="M260" s="1">
        <f>IF(OR(Table1[[#This Row],[Std Nom]]="",Table1[[#This Row],[Std Read]]=""),0,Table1[[#This Row],[Std Nom]]-Table1[[#This Row],[Std Read]])</f>
        <v>0</v>
      </c>
      <c r="N260" s="1">
        <f>IF(Calculations!$F$5="ACCREDITED 17025 WITH UNCERTAINTIES",$N$10,0)</f>
        <v>0</v>
      </c>
      <c r="O260" s="1" t="str">
        <f>IFERROR(Table1[[#This Row],[Std Nom]]-(_xlfn.XLOOKUP(Table1[[#This Row],[Manufacturer]]&amp;" "&amp;Table1[[#This Row],[Model]],Table13[MFR &amp; MDL],Table13[Tolerance % CW ],"")/100*Table1[[#This Row],[Std Nom]]),"")</f>
        <v/>
      </c>
      <c r="P260" s="1" t="str">
        <f>IFERROR(Table1[[#This Row],[Std Nom]]+(_xlfn.XLOOKUP(Table1[[#This Row],[Manufacturer]]&amp;" "&amp;Table1[[#This Row],[Model]],Table13[MFR &amp; MDL],Table13[Tolerance % CW ],"")/100*Table1[[#This Row],[Std Nom]]),"")</f>
        <v/>
      </c>
      <c r="Q260" s="1" t="e">
        <f>Table1[[#This Row],[High Tol]]-Table1[[#This Row],[Low Tol]]</f>
        <v>#VALUE!</v>
      </c>
      <c r="R260" s="1">
        <f>2*Table1[[#This Row],[Std Error]]</f>
        <v>0</v>
      </c>
      <c r="S260" s="1" t="str">
        <f>IF(Table1[[#This Row],[High Tol]]="","N/A",IFERROR(ABS(Table1[[#This Row],[Tol Span]]/Table1[[#This Row],[Error Span]]),"N/A"))</f>
        <v>N/A</v>
      </c>
      <c r="T260" s="1" t="str">
        <f>IF(OR(Table1[[#This Row],[Low Tol]]="",Table1[[#This Row],[High Tol]]=""),"Needs Analysis",IF(Table1[[#This Row],[Ratio]]&gt;=4,"Not Significant",IF(Table1[[#This Row],[Ratio]]&gt;=2,"Semi-Significant","Significant")))</f>
        <v>Needs Analysis</v>
      </c>
      <c r="W260" s="1">
        <f>IF(Table1[[#This Row],[Cal Type]]&lt;&gt;"ACCREDITED 17025 WITH UNCERTAINTIES",0,"")</f>
        <v>0</v>
      </c>
      <c r="X260" s="1" t="str">
        <f>IF(Table1[[#This Row],[DUT Read]]="","N/A",Table1[[#This Row],[Std Error]]+Table1[[#This Row],[DUT Read]]+Table1[[#This Row],[DUT Ucty]])</f>
        <v>N/A</v>
      </c>
      <c r="Y260" s="1" t="str">
        <f>IF(Table1[[#This Row],[Std Read]]="","N/A",Table1[[#This Row],[Std Read]]+Table1[[#This Row],[Std Ucty]])</f>
        <v>N/A</v>
      </c>
      <c r="Z2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 s="1" t="str">
        <f>IF(Table1[[#This Row],[Spec Type]]="","N/A",Table1[[#This Row],[Spec Type]])</f>
        <v>±</v>
      </c>
      <c r="AC260" s="1" t="str">
        <f>IF(Table1[[#This Row],[Spec Type2]]="N/A","N/A",IF(AND(Table1[[#This Row],[DUT Adj Read]]&gt;=Table1[[#This Row],[Low Tol]],Table1[[#This Row],[DUT Adj Read]]&lt;=Table1[[#This Row],[High Tol]]),"Pass","Fail"))</f>
        <v>Fail</v>
      </c>
      <c r="AD260" s="1" t="str">
        <f>IF(AND(Table1[[#This Row],[Spec Type2]]="N/A",Table1[[#This Row],[DUT Adj Read]]="N/A",Table1[[#This Row],[Std Adj Read]]="N/A"),"N/A",IF(Table1[[#This Row],[DUT Adj Read]]="N/A",IF(Table1[[#This Row],[Std Adj Read]]&gt;Table1[[#This Row],[Low Tol]],"Pass","Fail"),IF(Table1[[#This Row],[DUT Adj Read]]&gt;Table1[[#This Row],[Low Tol]],"Pass","Fail")))</f>
        <v>Pass</v>
      </c>
      <c r="AE260" s="1" t="str">
        <f>IF(AND(Table1[[#This Row],[Spec Type2]]="N/A",Table1[[#This Row],[DUT Adj Read]]="N/A",Table1[[#This Row],[Std Adj Read]]="N/A"),"N/A",IF(Table1[[#This Row],[DUT Adj Read]]="N/A",IF(Table1[[#This Row],[Std Adj Read]]&lt;Table1[[#This Row],[High Tol]],"Pass","Fail"),IF(Table1[[#This Row],[DUT Adj Read]]&lt;Table1[[#This Row],[High Tol]],"Pass","Fail")))</f>
        <v>Fail</v>
      </c>
      <c r="AF260" s="1" t="str">
        <f>IF(AND(Table1[[#This Row],[Spec Type2]]="N/A",Table1[[#This Row],[DUT Adj Read]]="N/A",Table1[[#This Row],[Std Adj Read]]="N/A"),"N/A",IF(Table1[[#This Row],[DUT Adj Read]]="N/A",IF(Table1[[#This Row],[Std Adj Read]]&gt;=Table1[[#This Row],[Low Tol]],"Pass","Fail"),IF(Table1[[#This Row],[DUT Adj Read]]&gt;=Table1[[#This Row],[Low Tol]],"Pass","Fail")))</f>
        <v>Pass</v>
      </c>
      <c r="AG260" s="1" t="str">
        <f>IF(AND(Table1[[#This Row],[Spec Type2]]="N/A",Table1[[#This Row],[DUT Adj Read]]="N/A",Table1[[#This Row],[Std Adj Read]]="N/A"),"N/A",IF(Table1[[#This Row],[DUT Adj Read]]="N/A",IF(Table1[[#This Row],[Std Adj Read]]&lt;=Table1[[#This Row],[High Tol]],"Pass","Fail"),IF(Table1[[#This Row],[DUT Adj Read]]&lt;=Table1[[#This Row],[High Tol]],"Pass","Fail")))</f>
        <v>Fail</v>
      </c>
      <c r="AH2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 s="1" t="b">
        <v>0</v>
      </c>
      <c r="AN260" s="1" t="b">
        <v>0</v>
      </c>
      <c r="AO260" s="1" t="b">
        <v>0</v>
      </c>
    </row>
    <row r="261" spans="1:41" x14ac:dyDescent="0.25">
      <c r="A261" s="10"/>
      <c r="B261" s="10"/>
      <c r="C261" s="10"/>
      <c r="D261" s="10"/>
      <c r="E261" s="10"/>
      <c r="F261" s="10"/>
      <c r="G261" s="10"/>
      <c r="H261" s="10"/>
      <c r="I261" s="1" t="str">
        <f t="shared" si="9"/>
        <v/>
      </c>
      <c r="J261" s="1" t="s">
        <v>35</v>
      </c>
      <c r="K261" s="1" t="str">
        <f t="shared" si="10"/>
        <v/>
      </c>
      <c r="L261" s="1" t="str">
        <f t="shared" si="11"/>
        <v/>
      </c>
      <c r="M261" s="1">
        <f>IF(OR(Table1[[#This Row],[Std Nom]]="",Table1[[#This Row],[Std Read]]=""),0,Table1[[#This Row],[Std Nom]]-Table1[[#This Row],[Std Read]])</f>
        <v>0</v>
      </c>
      <c r="N261" s="1">
        <f>IF(Calculations!$F$5="ACCREDITED 17025 WITH UNCERTAINTIES",$N$10,0)</f>
        <v>0</v>
      </c>
      <c r="O261" s="1" t="str">
        <f>IFERROR(Table1[[#This Row],[Std Nom]]-(_xlfn.XLOOKUP(Table1[[#This Row],[Manufacturer]]&amp;" "&amp;Table1[[#This Row],[Model]],Table13[MFR &amp; MDL],Table13[Tolerance % CW ],"")/100*Table1[[#This Row],[Std Nom]]),"")</f>
        <v/>
      </c>
      <c r="P261" s="1" t="str">
        <f>IFERROR(Table1[[#This Row],[Std Nom]]+(_xlfn.XLOOKUP(Table1[[#This Row],[Manufacturer]]&amp;" "&amp;Table1[[#This Row],[Model]],Table13[MFR &amp; MDL],Table13[Tolerance % CW ],"")/100*Table1[[#This Row],[Std Nom]]),"")</f>
        <v/>
      </c>
      <c r="Q261" s="1" t="e">
        <f>Table1[[#This Row],[High Tol]]-Table1[[#This Row],[Low Tol]]</f>
        <v>#VALUE!</v>
      </c>
      <c r="R261" s="1">
        <f>2*Table1[[#This Row],[Std Error]]</f>
        <v>0</v>
      </c>
      <c r="S261" s="1" t="str">
        <f>IF(Table1[[#This Row],[High Tol]]="","N/A",IFERROR(ABS(Table1[[#This Row],[Tol Span]]/Table1[[#This Row],[Error Span]]),"N/A"))</f>
        <v>N/A</v>
      </c>
      <c r="T261" s="1" t="str">
        <f>IF(OR(Table1[[#This Row],[Low Tol]]="",Table1[[#This Row],[High Tol]]=""),"Needs Analysis",IF(Table1[[#This Row],[Ratio]]&gt;=4,"Not Significant",IF(Table1[[#This Row],[Ratio]]&gt;=2,"Semi-Significant","Significant")))</f>
        <v>Needs Analysis</v>
      </c>
      <c r="W261" s="1">
        <f>IF(Table1[[#This Row],[Cal Type]]&lt;&gt;"ACCREDITED 17025 WITH UNCERTAINTIES",0,"")</f>
        <v>0</v>
      </c>
      <c r="X261" s="1" t="str">
        <f>IF(Table1[[#This Row],[DUT Read]]="","N/A",Table1[[#This Row],[Std Error]]+Table1[[#This Row],[DUT Read]]+Table1[[#This Row],[DUT Ucty]])</f>
        <v>N/A</v>
      </c>
      <c r="Y261" s="1" t="str">
        <f>IF(Table1[[#This Row],[Std Read]]="","N/A",Table1[[#This Row],[Std Read]]+Table1[[#This Row],[Std Ucty]])</f>
        <v>N/A</v>
      </c>
      <c r="Z2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 s="1" t="str">
        <f>IF(Table1[[#This Row],[Spec Type]]="","N/A",Table1[[#This Row],[Spec Type]])</f>
        <v>±</v>
      </c>
      <c r="AC261" s="1" t="str">
        <f>IF(Table1[[#This Row],[Spec Type2]]="N/A","N/A",IF(AND(Table1[[#This Row],[DUT Adj Read]]&gt;=Table1[[#This Row],[Low Tol]],Table1[[#This Row],[DUT Adj Read]]&lt;=Table1[[#This Row],[High Tol]]),"Pass","Fail"))</f>
        <v>Fail</v>
      </c>
      <c r="AD261" s="1" t="str">
        <f>IF(AND(Table1[[#This Row],[Spec Type2]]="N/A",Table1[[#This Row],[DUT Adj Read]]="N/A",Table1[[#This Row],[Std Adj Read]]="N/A"),"N/A",IF(Table1[[#This Row],[DUT Adj Read]]="N/A",IF(Table1[[#This Row],[Std Adj Read]]&gt;Table1[[#This Row],[Low Tol]],"Pass","Fail"),IF(Table1[[#This Row],[DUT Adj Read]]&gt;Table1[[#This Row],[Low Tol]],"Pass","Fail")))</f>
        <v>Pass</v>
      </c>
      <c r="AE261" s="1" t="str">
        <f>IF(AND(Table1[[#This Row],[Spec Type2]]="N/A",Table1[[#This Row],[DUT Adj Read]]="N/A",Table1[[#This Row],[Std Adj Read]]="N/A"),"N/A",IF(Table1[[#This Row],[DUT Adj Read]]="N/A",IF(Table1[[#This Row],[Std Adj Read]]&lt;Table1[[#This Row],[High Tol]],"Pass","Fail"),IF(Table1[[#This Row],[DUT Adj Read]]&lt;Table1[[#This Row],[High Tol]],"Pass","Fail")))</f>
        <v>Fail</v>
      </c>
      <c r="AF261" s="1" t="str">
        <f>IF(AND(Table1[[#This Row],[Spec Type2]]="N/A",Table1[[#This Row],[DUT Adj Read]]="N/A",Table1[[#This Row],[Std Adj Read]]="N/A"),"N/A",IF(Table1[[#This Row],[DUT Adj Read]]="N/A",IF(Table1[[#This Row],[Std Adj Read]]&gt;=Table1[[#This Row],[Low Tol]],"Pass","Fail"),IF(Table1[[#This Row],[DUT Adj Read]]&gt;=Table1[[#This Row],[Low Tol]],"Pass","Fail")))</f>
        <v>Pass</v>
      </c>
      <c r="AG261" s="1" t="str">
        <f>IF(AND(Table1[[#This Row],[Spec Type2]]="N/A",Table1[[#This Row],[DUT Adj Read]]="N/A",Table1[[#This Row],[Std Adj Read]]="N/A"),"N/A",IF(Table1[[#This Row],[DUT Adj Read]]="N/A",IF(Table1[[#This Row],[Std Adj Read]]&lt;=Table1[[#This Row],[High Tol]],"Pass","Fail"),IF(Table1[[#This Row],[DUT Adj Read]]&lt;=Table1[[#This Row],[High Tol]],"Pass","Fail")))</f>
        <v>Fail</v>
      </c>
      <c r="AH2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 s="1" t="b">
        <v>0</v>
      </c>
      <c r="AN261" s="1" t="b">
        <v>0</v>
      </c>
      <c r="AO261" s="1" t="b">
        <v>0</v>
      </c>
    </row>
    <row r="262" spans="1:41" x14ac:dyDescent="0.25">
      <c r="A262" s="10"/>
      <c r="B262" s="10"/>
      <c r="C262" s="10"/>
      <c r="D262" s="10"/>
      <c r="E262" s="10"/>
      <c r="F262" s="10"/>
      <c r="G262" s="10"/>
      <c r="H262" s="10"/>
      <c r="I262" s="1" t="str">
        <f t="shared" si="9"/>
        <v/>
      </c>
      <c r="J262" s="1" t="s">
        <v>35</v>
      </c>
      <c r="K262" s="1" t="str">
        <f t="shared" si="10"/>
        <v/>
      </c>
      <c r="L262" s="1" t="str">
        <f t="shared" si="11"/>
        <v/>
      </c>
      <c r="M262" s="1">
        <f>IF(OR(Table1[[#This Row],[Std Nom]]="",Table1[[#This Row],[Std Read]]=""),0,Table1[[#This Row],[Std Nom]]-Table1[[#This Row],[Std Read]])</f>
        <v>0</v>
      </c>
      <c r="N262" s="1">
        <f>IF(Calculations!$F$5="ACCREDITED 17025 WITH UNCERTAINTIES",$N$10,0)</f>
        <v>0</v>
      </c>
      <c r="O262" s="1" t="str">
        <f>IFERROR(Table1[[#This Row],[Std Nom]]-(_xlfn.XLOOKUP(Table1[[#This Row],[Manufacturer]]&amp;" "&amp;Table1[[#This Row],[Model]],Table13[MFR &amp; MDL],Table13[Tolerance % CW ],"")/100*Table1[[#This Row],[Std Nom]]),"")</f>
        <v/>
      </c>
      <c r="P262" s="1" t="str">
        <f>IFERROR(Table1[[#This Row],[Std Nom]]+(_xlfn.XLOOKUP(Table1[[#This Row],[Manufacturer]]&amp;" "&amp;Table1[[#This Row],[Model]],Table13[MFR &amp; MDL],Table13[Tolerance % CW ],"")/100*Table1[[#This Row],[Std Nom]]),"")</f>
        <v/>
      </c>
      <c r="Q262" s="1" t="e">
        <f>Table1[[#This Row],[High Tol]]-Table1[[#This Row],[Low Tol]]</f>
        <v>#VALUE!</v>
      </c>
      <c r="R262" s="1">
        <f>2*Table1[[#This Row],[Std Error]]</f>
        <v>0</v>
      </c>
      <c r="S262" s="1" t="str">
        <f>IF(Table1[[#This Row],[High Tol]]="","N/A",IFERROR(ABS(Table1[[#This Row],[Tol Span]]/Table1[[#This Row],[Error Span]]),"N/A"))</f>
        <v>N/A</v>
      </c>
      <c r="T262" s="1" t="str">
        <f>IF(OR(Table1[[#This Row],[Low Tol]]="",Table1[[#This Row],[High Tol]]=""),"Needs Analysis",IF(Table1[[#This Row],[Ratio]]&gt;=4,"Not Significant",IF(Table1[[#This Row],[Ratio]]&gt;=2,"Semi-Significant","Significant")))</f>
        <v>Needs Analysis</v>
      </c>
      <c r="W262" s="1">
        <f>IF(Table1[[#This Row],[Cal Type]]&lt;&gt;"ACCREDITED 17025 WITH UNCERTAINTIES",0,"")</f>
        <v>0</v>
      </c>
      <c r="X262" s="1" t="str">
        <f>IF(Table1[[#This Row],[DUT Read]]="","N/A",Table1[[#This Row],[Std Error]]+Table1[[#This Row],[DUT Read]]+Table1[[#This Row],[DUT Ucty]])</f>
        <v>N/A</v>
      </c>
      <c r="Y262" s="1" t="str">
        <f>IF(Table1[[#This Row],[Std Read]]="","N/A",Table1[[#This Row],[Std Read]]+Table1[[#This Row],[Std Ucty]])</f>
        <v>N/A</v>
      </c>
      <c r="Z2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 s="1" t="str">
        <f>IF(Table1[[#This Row],[Spec Type]]="","N/A",Table1[[#This Row],[Spec Type]])</f>
        <v>±</v>
      </c>
      <c r="AC262" s="1" t="str">
        <f>IF(Table1[[#This Row],[Spec Type2]]="N/A","N/A",IF(AND(Table1[[#This Row],[DUT Adj Read]]&gt;=Table1[[#This Row],[Low Tol]],Table1[[#This Row],[DUT Adj Read]]&lt;=Table1[[#This Row],[High Tol]]),"Pass","Fail"))</f>
        <v>Fail</v>
      </c>
      <c r="AD262" s="1" t="str">
        <f>IF(AND(Table1[[#This Row],[Spec Type2]]="N/A",Table1[[#This Row],[DUT Adj Read]]="N/A",Table1[[#This Row],[Std Adj Read]]="N/A"),"N/A",IF(Table1[[#This Row],[DUT Adj Read]]="N/A",IF(Table1[[#This Row],[Std Adj Read]]&gt;Table1[[#This Row],[Low Tol]],"Pass","Fail"),IF(Table1[[#This Row],[DUT Adj Read]]&gt;Table1[[#This Row],[Low Tol]],"Pass","Fail")))</f>
        <v>Pass</v>
      </c>
      <c r="AE262" s="1" t="str">
        <f>IF(AND(Table1[[#This Row],[Spec Type2]]="N/A",Table1[[#This Row],[DUT Adj Read]]="N/A",Table1[[#This Row],[Std Adj Read]]="N/A"),"N/A",IF(Table1[[#This Row],[DUT Adj Read]]="N/A",IF(Table1[[#This Row],[Std Adj Read]]&lt;Table1[[#This Row],[High Tol]],"Pass","Fail"),IF(Table1[[#This Row],[DUT Adj Read]]&lt;Table1[[#This Row],[High Tol]],"Pass","Fail")))</f>
        <v>Fail</v>
      </c>
      <c r="AF262" s="1" t="str">
        <f>IF(AND(Table1[[#This Row],[Spec Type2]]="N/A",Table1[[#This Row],[DUT Adj Read]]="N/A",Table1[[#This Row],[Std Adj Read]]="N/A"),"N/A",IF(Table1[[#This Row],[DUT Adj Read]]="N/A",IF(Table1[[#This Row],[Std Adj Read]]&gt;=Table1[[#This Row],[Low Tol]],"Pass","Fail"),IF(Table1[[#This Row],[DUT Adj Read]]&gt;=Table1[[#This Row],[Low Tol]],"Pass","Fail")))</f>
        <v>Pass</v>
      </c>
      <c r="AG262" s="1" t="str">
        <f>IF(AND(Table1[[#This Row],[Spec Type2]]="N/A",Table1[[#This Row],[DUT Adj Read]]="N/A",Table1[[#This Row],[Std Adj Read]]="N/A"),"N/A",IF(Table1[[#This Row],[DUT Adj Read]]="N/A",IF(Table1[[#This Row],[Std Adj Read]]&lt;=Table1[[#This Row],[High Tol]],"Pass","Fail"),IF(Table1[[#This Row],[DUT Adj Read]]&lt;=Table1[[#This Row],[High Tol]],"Pass","Fail")))</f>
        <v>Fail</v>
      </c>
      <c r="AH2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 s="1" t="b">
        <v>0</v>
      </c>
      <c r="AN262" s="1" t="b">
        <v>0</v>
      </c>
      <c r="AO262" s="1" t="b">
        <v>0</v>
      </c>
    </row>
    <row r="263" spans="1:41" x14ac:dyDescent="0.25">
      <c r="A263" s="10"/>
      <c r="B263" s="10"/>
      <c r="C263" s="10"/>
      <c r="D263" s="10"/>
      <c r="E263" s="10"/>
      <c r="F263" s="10"/>
      <c r="G263" s="10"/>
      <c r="H263" s="10"/>
      <c r="I263" s="1" t="str">
        <f t="shared" si="9"/>
        <v/>
      </c>
      <c r="J263" s="1" t="s">
        <v>35</v>
      </c>
      <c r="K263" s="1" t="str">
        <f t="shared" si="10"/>
        <v/>
      </c>
      <c r="L263" s="1" t="str">
        <f t="shared" si="11"/>
        <v/>
      </c>
      <c r="M263" s="1">
        <f>IF(OR(Table1[[#This Row],[Std Nom]]="",Table1[[#This Row],[Std Read]]=""),0,Table1[[#This Row],[Std Nom]]-Table1[[#This Row],[Std Read]])</f>
        <v>0</v>
      </c>
      <c r="N263" s="1">
        <f>IF(Calculations!$F$5="ACCREDITED 17025 WITH UNCERTAINTIES",$N$10,0)</f>
        <v>0</v>
      </c>
      <c r="O263" s="1" t="str">
        <f>IFERROR(Table1[[#This Row],[Std Nom]]-(_xlfn.XLOOKUP(Table1[[#This Row],[Manufacturer]]&amp;" "&amp;Table1[[#This Row],[Model]],Table13[MFR &amp; MDL],Table13[Tolerance % CW ],"")/100*Table1[[#This Row],[Std Nom]]),"")</f>
        <v/>
      </c>
      <c r="P263" s="1" t="str">
        <f>IFERROR(Table1[[#This Row],[Std Nom]]+(_xlfn.XLOOKUP(Table1[[#This Row],[Manufacturer]]&amp;" "&amp;Table1[[#This Row],[Model]],Table13[MFR &amp; MDL],Table13[Tolerance % CW ],"")/100*Table1[[#This Row],[Std Nom]]),"")</f>
        <v/>
      </c>
      <c r="Q263" s="1" t="e">
        <f>Table1[[#This Row],[High Tol]]-Table1[[#This Row],[Low Tol]]</f>
        <v>#VALUE!</v>
      </c>
      <c r="R263" s="1">
        <f>2*Table1[[#This Row],[Std Error]]</f>
        <v>0</v>
      </c>
      <c r="S263" s="1" t="str">
        <f>IF(Table1[[#This Row],[High Tol]]="","N/A",IFERROR(ABS(Table1[[#This Row],[Tol Span]]/Table1[[#This Row],[Error Span]]),"N/A"))</f>
        <v>N/A</v>
      </c>
      <c r="T263" s="1" t="str">
        <f>IF(OR(Table1[[#This Row],[Low Tol]]="",Table1[[#This Row],[High Tol]]=""),"Needs Analysis",IF(Table1[[#This Row],[Ratio]]&gt;=4,"Not Significant",IF(Table1[[#This Row],[Ratio]]&gt;=2,"Semi-Significant","Significant")))</f>
        <v>Needs Analysis</v>
      </c>
      <c r="W263" s="1">
        <f>IF(Table1[[#This Row],[Cal Type]]&lt;&gt;"ACCREDITED 17025 WITH UNCERTAINTIES",0,"")</f>
        <v>0</v>
      </c>
      <c r="X263" s="1" t="str">
        <f>IF(Table1[[#This Row],[DUT Read]]="","N/A",Table1[[#This Row],[Std Error]]+Table1[[#This Row],[DUT Read]]+Table1[[#This Row],[DUT Ucty]])</f>
        <v>N/A</v>
      </c>
      <c r="Y263" s="1" t="str">
        <f>IF(Table1[[#This Row],[Std Read]]="","N/A",Table1[[#This Row],[Std Read]]+Table1[[#This Row],[Std Ucty]])</f>
        <v>N/A</v>
      </c>
      <c r="Z2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 s="1" t="str">
        <f>IF(Table1[[#This Row],[Spec Type]]="","N/A",Table1[[#This Row],[Spec Type]])</f>
        <v>±</v>
      </c>
      <c r="AC263" s="1" t="str">
        <f>IF(Table1[[#This Row],[Spec Type2]]="N/A","N/A",IF(AND(Table1[[#This Row],[DUT Adj Read]]&gt;=Table1[[#This Row],[Low Tol]],Table1[[#This Row],[DUT Adj Read]]&lt;=Table1[[#This Row],[High Tol]]),"Pass","Fail"))</f>
        <v>Fail</v>
      </c>
      <c r="AD263" s="1" t="str">
        <f>IF(AND(Table1[[#This Row],[Spec Type2]]="N/A",Table1[[#This Row],[DUT Adj Read]]="N/A",Table1[[#This Row],[Std Adj Read]]="N/A"),"N/A",IF(Table1[[#This Row],[DUT Adj Read]]="N/A",IF(Table1[[#This Row],[Std Adj Read]]&gt;Table1[[#This Row],[Low Tol]],"Pass","Fail"),IF(Table1[[#This Row],[DUT Adj Read]]&gt;Table1[[#This Row],[Low Tol]],"Pass","Fail")))</f>
        <v>Pass</v>
      </c>
      <c r="AE263" s="1" t="str">
        <f>IF(AND(Table1[[#This Row],[Spec Type2]]="N/A",Table1[[#This Row],[DUT Adj Read]]="N/A",Table1[[#This Row],[Std Adj Read]]="N/A"),"N/A",IF(Table1[[#This Row],[DUT Adj Read]]="N/A",IF(Table1[[#This Row],[Std Adj Read]]&lt;Table1[[#This Row],[High Tol]],"Pass","Fail"),IF(Table1[[#This Row],[DUT Adj Read]]&lt;Table1[[#This Row],[High Tol]],"Pass","Fail")))</f>
        <v>Fail</v>
      </c>
      <c r="AF263" s="1" t="str">
        <f>IF(AND(Table1[[#This Row],[Spec Type2]]="N/A",Table1[[#This Row],[DUT Adj Read]]="N/A",Table1[[#This Row],[Std Adj Read]]="N/A"),"N/A",IF(Table1[[#This Row],[DUT Adj Read]]="N/A",IF(Table1[[#This Row],[Std Adj Read]]&gt;=Table1[[#This Row],[Low Tol]],"Pass","Fail"),IF(Table1[[#This Row],[DUT Adj Read]]&gt;=Table1[[#This Row],[Low Tol]],"Pass","Fail")))</f>
        <v>Pass</v>
      </c>
      <c r="AG263" s="1" t="str">
        <f>IF(AND(Table1[[#This Row],[Spec Type2]]="N/A",Table1[[#This Row],[DUT Adj Read]]="N/A",Table1[[#This Row],[Std Adj Read]]="N/A"),"N/A",IF(Table1[[#This Row],[DUT Adj Read]]="N/A",IF(Table1[[#This Row],[Std Adj Read]]&lt;=Table1[[#This Row],[High Tol]],"Pass","Fail"),IF(Table1[[#This Row],[DUT Adj Read]]&lt;=Table1[[#This Row],[High Tol]],"Pass","Fail")))</f>
        <v>Fail</v>
      </c>
      <c r="AH2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 s="1" t="b">
        <v>0</v>
      </c>
      <c r="AN263" s="1" t="b">
        <v>0</v>
      </c>
      <c r="AO263" s="1" t="b">
        <v>0</v>
      </c>
    </row>
    <row r="264" spans="1:41" x14ac:dyDescent="0.25">
      <c r="A264" s="10"/>
      <c r="B264" s="10"/>
      <c r="C264" s="10"/>
      <c r="D264" s="10"/>
      <c r="E264" s="10"/>
      <c r="F264" s="10"/>
      <c r="G264" s="10"/>
      <c r="H264" s="10"/>
      <c r="I264" s="1" t="str">
        <f t="shared" si="9"/>
        <v/>
      </c>
      <c r="J264" s="1" t="s">
        <v>35</v>
      </c>
      <c r="K264" s="1" t="str">
        <f t="shared" si="10"/>
        <v/>
      </c>
      <c r="L264" s="1" t="str">
        <f t="shared" si="11"/>
        <v/>
      </c>
      <c r="M264" s="1">
        <f>IF(OR(Table1[[#This Row],[Std Nom]]="",Table1[[#This Row],[Std Read]]=""),0,Table1[[#This Row],[Std Nom]]-Table1[[#This Row],[Std Read]])</f>
        <v>0</v>
      </c>
      <c r="N264" s="1">
        <f>IF(Calculations!$F$5="ACCREDITED 17025 WITH UNCERTAINTIES",$N$10,0)</f>
        <v>0</v>
      </c>
      <c r="O264" s="1" t="str">
        <f>IFERROR(Table1[[#This Row],[Std Nom]]-(_xlfn.XLOOKUP(Table1[[#This Row],[Manufacturer]]&amp;" "&amp;Table1[[#This Row],[Model]],Table13[MFR &amp; MDL],Table13[Tolerance % CW ],"")/100*Table1[[#This Row],[Std Nom]]),"")</f>
        <v/>
      </c>
      <c r="P264" s="1" t="str">
        <f>IFERROR(Table1[[#This Row],[Std Nom]]+(_xlfn.XLOOKUP(Table1[[#This Row],[Manufacturer]]&amp;" "&amp;Table1[[#This Row],[Model]],Table13[MFR &amp; MDL],Table13[Tolerance % CW ],"")/100*Table1[[#This Row],[Std Nom]]),"")</f>
        <v/>
      </c>
      <c r="Q264" s="1" t="e">
        <f>Table1[[#This Row],[High Tol]]-Table1[[#This Row],[Low Tol]]</f>
        <v>#VALUE!</v>
      </c>
      <c r="R264" s="1">
        <f>2*Table1[[#This Row],[Std Error]]</f>
        <v>0</v>
      </c>
      <c r="S264" s="1" t="str">
        <f>IF(Table1[[#This Row],[High Tol]]="","N/A",IFERROR(ABS(Table1[[#This Row],[Tol Span]]/Table1[[#This Row],[Error Span]]),"N/A"))</f>
        <v>N/A</v>
      </c>
      <c r="T264" s="1" t="str">
        <f>IF(OR(Table1[[#This Row],[Low Tol]]="",Table1[[#This Row],[High Tol]]=""),"Needs Analysis",IF(Table1[[#This Row],[Ratio]]&gt;=4,"Not Significant",IF(Table1[[#This Row],[Ratio]]&gt;=2,"Semi-Significant","Significant")))</f>
        <v>Needs Analysis</v>
      </c>
      <c r="W264" s="1">
        <f>IF(Table1[[#This Row],[Cal Type]]&lt;&gt;"ACCREDITED 17025 WITH UNCERTAINTIES",0,"")</f>
        <v>0</v>
      </c>
      <c r="X264" s="1" t="str">
        <f>IF(Table1[[#This Row],[DUT Read]]="","N/A",Table1[[#This Row],[Std Error]]+Table1[[#This Row],[DUT Read]]+Table1[[#This Row],[DUT Ucty]])</f>
        <v>N/A</v>
      </c>
      <c r="Y264" s="1" t="str">
        <f>IF(Table1[[#This Row],[Std Read]]="","N/A",Table1[[#This Row],[Std Read]]+Table1[[#This Row],[Std Ucty]])</f>
        <v>N/A</v>
      </c>
      <c r="Z2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 s="1" t="str">
        <f>IF(Table1[[#This Row],[Spec Type]]="","N/A",Table1[[#This Row],[Spec Type]])</f>
        <v>±</v>
      </c>
      <c r="AC264" s="1" t="str">
        <f>IF(Table1[[#This Row],[Spec Type2]]="N/A","N/A",IF(AND(Table1[[#This Row],[DUT Adj Read]]&gt;=Table1[[#This Row],[Low Tol]],Table1[[#This Row],[DUT Adj Read]]&lt;=Table1[[#This Row],[High Tol]]),"Pass","Fail"))</f>
        <v>Fail</v>
      </c>
      <c r="AD264" s="1" t="str">
        <f>IF(AND(Table1[[#This Row],[Spec Type2]]="N/A",Table1[[#This Row],[DUT Adj Read]]="N/A",Table1[[#This Row],[Std Adj Read]]="N/A"),"N/A",IF(Table1[[#This Row],[DUT Adj Read]]="N/A",IF(Table1[[#This Row],[Std Adj Read]]&gt;Table1[[#This Row],[Low Tol]],"Pass","Fail"),IF(Table1[[#This Row],[DUT Adj Read]]&gt;Table1[[#This Row],[Low Tol]],"Pass","Fail")))</f>
        <v>Pass</v>
      </c>
      <c r="AE264" s="1" t="str">
        <f>IF(AND(Table1[[#This Row],[Spec Type2]]="N/A",Table1[[#This Row],[DUT Adj Read]]="N/A",Table1[[#This Row],[Std Adj Read]]="N/A"),"N/A",IF(Table1[[#This Row],[DUT Adj Read]]="N/A",IF(Table1[[#This Row],[Std Adj Read]]&lt;Table1[[#This Row],[High Tol]],"Pass","Fail"),IF(Table1[[#This Row],[DUT Adj Read]]&lt;Table1[[#This Row],[High Tol]],"Pass","Fail")))</f>
        <v>Fail</v>
      </c>
      <c r="AF264" s="1" t="str">
        <f>IF(AND(Table1[[#This Row],[Spec Type2]]="N/A",Table1[[#This Row],[DUT Adj Read]]="N/A",Table1[[#This Row],[Std Adj Read]]="N/A"),"N/A",IF(Table1[[#This Row],[DUT Adj Read]]="N/A",IF(Table1[[#This Row],[Std Adj Read]]&gt;=Table1[[#This Row],[Low Tol]],"Pass","Fail"),IF(Table1[[#This Row],[DUT Adj Read]]&gt;=Table1[[#This Row],[Low Tol]],"Pass","Fail")))</f>
        <v>Pass</v>
      </c>
      <c r="AG264" s="1" t="str">
        <f>IF(AND(Table1[[#This Row],[Spec Type2]]="N/A",Table1[[#This Row],[DUT Adj Read]]="N/A",Table1[[#This Row],[Std Adj Read]]="N/A"),"N/A",IF(Table1[[#This Row],[DUT Adj Read]]="N/A",IF(Table1[[#This Row],[Std Adj Read]]&lt;=Table1[[#This Row],[High Tol]],"Pass","Fail"),IF(Table1[[#This Row],[DUT Adj Read]]&lt;=Table1[[#This Row],[High Tol]],"Pass","Fail")))</f>
        <v>Fail</v>
      </c>
      <c r="AH2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 s="1" t="b">
        <v>0</v>
      </c>
      <c r="AN264" s="1" t="b">
        <v>0</v>
      </c>
      <c r="AO264" s="1" t="b">
        <v>0</v>
      </c>
    </row>
    <row r="265" spans="1:41" x14ac:dyDescent="0.25">
      <c r="A265" s="10"/>
      <c r="B265" s="10"/>
      <c r="C265" s="10"/>
      <c r="D265" s="10"/>
      <c r="E265" s="10"/>
      <c r="F265" s="10"/>
      <c r="G265" s="10"/>
      <c r="H265" s="10"/>
      <c r="I265" s="1" t="str">
        <f t="shared" si="9"/>
        <v/>
      </c>
      <c r="J265" s="1" t="s">
        <v>35</v>
      </c>
      <c r="K265" s="1" t="str">
        <f t="shared" si="10"/>
        <v/>
      </c>
      <c r="L265" s="1" t="str">
        <f t="shared" si="11"/>
        <v/>
      </c>
      <c r="M265" s="1">
        <f>IF(OR(Table1[[#This Row],[Std Nom]]="",Table1[[#This Row],[Std Read]]=""),0,Table1[[#This Row],[Std Nom]]-Table1[[#This Row],[Std Read]])</f>
        <v>0</v>
      </c>
      <c r="N265" s="1">
        <f>IF(Calculations!$F$5="ACCREDITED 17025 WITH UNCERTAINTIES",$N$10,0)</f>
        <v>0</v>
      </c>
      <c r="O265" s="1" t="str">
        <f>IFERROR(Table1[[#This Row],[Std Nom]]-(_xlfn.XLOOKUP(Table1[[#This Row],[Manufacturer]]&amp;" "&amp;Table1[[#This Row],[Model]],Table13[MFR &amp; MDL],Table13[Tolerance % CW ],"")/100*Table1[[#This Row],[Std Nom]]),"")</f>
        <v/>
      </c>
      <c r="P265" s="1" t="str">
        <f>IFERROR(Table1[[#This Row],[Std Nom]]+(_xlfn.XLOOKUP(Table1[[#This Row],[Manufacturer]]&amp;" "&amp;Table1[[#This Row],[Model]],Table13[MFR &amp; MDL],Table13[Tolerance % CW ],"")/100*Table1[[#This Row],[Std Nom]]),"")</f>
        <v/>
      </c>
      <c r="Q265" s="1" t="e">
        <f>Table1[[#This Row],[High Tol]]-Table1[[#This Row],[Low Tol]]</f>
        <v>#VALUE!</v>
      </c>
      <c r="R265" s="1">
        <f>2*Table1[[#This Row],[Std Error]]</f>
        <v>0</v>
      </c>
      <c r="S265" s="1" t="str">
        <f>IF(Table1[[#This Row],[High Tol]]="","N/A",IFERROR(ABS(Table1[[#This Row],[Tol Span]]/Table1[[#This Row],[Error Span]]),"N/A"))</f>
        <v>N/A</v>
      </c>
      <c r="T265" s="1" t="str">
        <f>IF(OR(Table1[[#This Row],[Low Tol]]="",Table1[[#This Row],[High Tol]]=""),"Needs Analysis",IF(Table1[[#This Row],[Ratio]]&gt;=4,"Not Significant",IF(Table1[[#This Row],[Ratio]]&gt;=2,"Semi-Significant","Significant")))</f>
        <v>Needs Analysis</v>
      </c>
      <c r="W265" s="1">
        <f>IF(Table1[[#This Row],[Cal Type]]&lt;&gt;"ACCREDITED 17025 WITH UNCERTAINTIES",0,"")</f>
        <v>0</v>
      </c>
      <c r="X265" s="1" t="str">
        <f>IF(Table1[[#This Row],[DUT Read]]="","N/A",Table1[[#This Row],[Std Error]]+Table1[[#This Row],[DUT Read]]+Table1[[#This Row],[DUT Ucty]])</f>
        <v>N/A</v>
      </c>
      <c r="Y265" s="1" t="str">
        <f>IF(Table1[[#This Row],[Std Read]]="","N/A",Table1[[#This Row],[Std Read]]+Table1[[#This Row],[Std Ucty]])</f>
        <v>N/A</v>
      </c>
      <c r="Z2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 s="1" t="str">
        <f>IF(Table1[[#This Row],[Spec Type]]="","N/A",Table1[[#This Row],[Spec Type]])</f>
        <v>±</v>
      </c>
      <c r="AC265" s="1" t="str">
        <f>IF(Table1[[#This Row],[Spec Type2]]="N/A","N/A",IF(AND(Table1[[#This Row],[DUT Adj Read]]&gt;=Table1[[#This Row],[Low Tol]],Table1[[#This Row],[DUT Adj Read]]&lt;=Table1[[#This Row],[High Tol]]),"Pass","Fail"))</f>
        <v>Fail</v>
      </c>
      <c r="AD265" s="1" t="str">
        <f>IF(AND(Table1[[#This Row],[Spec Type2]]="N/A",Table1[[#This Row],[DUT Adj Read]]="N/A",Table1[[#This Row],[Std Adj Read]]="N/A"),"N/A",IF(Table1[[#This Row],[DUT Adj Read]]="N/A",IF(Table1[[#This Row],[Std Adj Read]]&gt;Table1[[#This Row],[Low Tol]],"Pass","Fail"),IF(Table1[[#This Row],[DUT Adj Read]]&gt;Table1[[#This Row],[Low Tol]],"Pass","Fail")))</f>
        <v>Pass</v>
      </c>
      <c r="AE265" s="1" t="str">
        <f>IF(AND(Table1[[#This Row],[Spec Type2]]="N/A",Table1[[#This Row],[DUT Adj Read]]="N/A",Table1[[#This Row],[Std Adj Read]]="N/A"),"N/A",IF(Table1[[#This Row],[DUT Adj Read]]="N/A",IF(Table1[[#This Row],[Std Adj Read]]&lt;Table1[[#This Row],[High Tol]],"Pass","Fail"),IF(Table1[[#This Row],[DUT Adj Read]]&lt;Table1[[#This Row],[High Tol]],"Pass","Fail")))</f>
        <v>Fail</v>
      </c>
      <c r="AF265" s="1" t="str">
        <f>IF(AND(Table1[[#This Row],[Spec Type2]]="N/A",Table1[[#This Row],[DUT Adj Read]]="N/A",Table1[[#This Row],[Std Adj Read]]="N/A"),"N/A",IF(Table1[[#This Row],[DUT Adj Read]]="N/A",IF(Table1[[#This Row],[Std Adj Read]]&gt;=Table1[[#This Row],[Low Tol]],"Pass","Fail"),IF(Table1[[#This Row],[DUT Adj Read]]&gt;=Table1[[#This Row],[Low Tol]],"Pass","Fail")))</f>
        <v>Pass</v>
      </c>
      <c r="AG265" s="1" t="str">
        <f>IF(AND(Table1[[#This Row],[Spec Type2]]="N/A",Table1[[#This Row],[DUT Adj Read]]="N/A",Table1[[#This Row],[Std Adj Read]]="N/A"),"N/A",IF(Table1[[#This Row],[DUT Adj Read]]="N/A",IF(Table1[[#This Row],[Std Adj Read]]&lt;=Table1[[#This Row],[High Tol]],"Pass","Fail"),IF(Table1[[#This Row],[DUT Adj Read]]&lt;=Table1[[#This Row],[High Tol]],"Pass","Fail")))</f>
        <v>Fail</v>
      </c>
      <c r="AH2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 s="1" t="b">
        <v>0</v>
      </c>
      <c r="AN265" s="1" t="b">
        <v>0</v>
      </c>
      <c r="AO265" s="1" t="b">
        <v>0</v>
      </c>
    </row>
    <row r="266" spans="1:41" x14ac:dyDescent="0.25">
      <c r="A266" s="10"/>
      <c r="B266" s="10"/>
      <c r="C266" s="10"/>
      <c r="D266" s="10"/>
      <c r="E266" s="10"/>
      <c r="F266" s="10"/>
      <c r="G266" s="10"/>
      <c r="H266" s="10"/>
      <c r="I266" s="1" t="str">
        <f t="shared" si="9"/>
        <v/>
      </c>
      <c r="J266" s="1" t="s">
        <v>35</v>
      </c>
      <c r="K266" s="1" t="str">
        <f t="shared" si="10"/>
        <v/>
      </c>
      <c r="L266" s="1" t="str">
        <f t="shared" si="11"/>
        <v/>
      </c>
      <c r="M266" s="1">
        <f>IF(OR(Table1[[#This Row],[Std Nom]]="",Table1[[#This Row],[Std Read]]=""),0,Table1[[#This Row],[Std Nom]]-Table1[[#This Row],[Std Read]])</f>
        <v>0</v>
      </c>
      <c r="N266" s="1">
        <f>IF(Calculations!$F$5="ACCREDITED 17025 WITH UNCERTAINTIES",$N$10,0)</f>
        <v>0</v>
      </c>
      <c r="O266" s="1" t="str">
        <f>IFERROR(Table1[[#This Row],[Std Nom]]-(_xlfn.XLOOKUP(Table1[[#This Row],[Manufacturer]]&amp;" "&amp;Table1[[#This Row],[Model]],Table13[MFR &amp; MDL],Table13[Tolerance % CW ],"")/100*Table1[[#This Row],[Std Nom]]),"")</f>
        <v/>
      </c>
      <c r="P266" s="1" t="str">
        <f>IFERROR(Table1[[#This Row],[Std Nom]]+(_xlfn.XLOOKUP(Table1[[#This Row],[Manufacturer]]&amp;" "&amp;Table1[[#This Row],[Model]],Table13[MFR &amp; MDL],Table13[Tolerance % CW ],"")/100*Table1[[#This Row],[Std Nom]]),"")</f>
        <v/>
      </c>
      <c r="Q266" s="1" t="e">
        <f>Table1[[#This Row],[High Tol]]-Table1[[#This Row],[Low Tol]]</f>
        <v>#VALUE!</v>
      </c>
      <c r="R266" s="1">
        <f>2*Table1[[#This Row],[Std Error]]</f>
        <v>0</v>
      </c>
      <c r="S266" s="1" t="str">
        <f>IF(Table1[[#This Row],[High Tol]]="","N/A",IFERROR(ABS(Table1[[#This Row],[Tol Span]]/Table1[[#This Row],[Error Span]]),"N/A"))</f>
        <v>N/A</v>
      </c>
      <c r="T266" s="1" t="str">
        <f>IF(OR(Table1[[#This Row],[Low Tol]]="",Table1[[#This Row],[High Tol]]=""),"Needs Analysis",IF(Table1[[#This Row],[Ratio]]&gt;=4,"Not Significant",IF(Table1[[#This Row],[Ratio]]&gt;=2,"Semi-Significant","Significant")))</f>
        <v>Needs Analysis</v>
      </c>
      <c r="W266" s="1">
        <f>IF(Table1[[#This Row],[Cal Type]]&lt;&gt;"ACCREDITED 17025 WITH UNCERTAINTIES",0,"")</f>
        <v>0</v>
      </c>
      <c r="X266" s="1" t="str">
        <f>IF(Table1[[#This Row],[DUT Read]]="","N/A",Table1[[#This Row],[Std Error]]+Table1[[#This Row],[DUT Read]]+Table1[[#This Row],[DUT Ucty]])</f>
        <v>N/A</v>
      </c>
      <c r="Y266" s="1" t="str">
        <f>IF(Table1[[#This Row],[Std Read]]="","N/A",Table1[[#This Row],[Std Read]]+Table1[[#This Row],[Std Ucty]])</f>
        <v>N/A</v>
      </c>
      <c r="Z2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 s="1" t="str">
        <f>IF(Table1[[#This Row],[Spec Type]]="","N/A",Table1[[#This Row],[Spec Type]])</f>
        <v>±</v>
      </c>
      <c r="AC266" s="1" t="str">
        <f>IF(Table1[[#This Row],[Spec Type2]]="N/A","N/A",IF(AND(Table1[[#This Row],[DUT Adj Read]]&gt;=Table1[[#This Row],[Low Tol]],Table1[[#This Row],[DUT Adj Read]]&lt;=Table1[[#This Row],[High Tol]]),"Pass","Fail"))</f>
        <v>Fail</v>
      </c>
      <c r="AD266" s="1" t="str">
        <f>IF(AND(Table1[[#This Row],[Spec Type2]]="N/A",Table1[[#This Row],[DUT Adj Read]]="N/A",Table1[[#This Row],[Std Adj Read]]="N/A"),"N/A",IF(Table1[[#This Row],[DUT Adj Read]]="N/A",IF(Table1[[#This Row],[Std Adj Read]]&gt;Table1[[#This Row],[Low Tol]],"Pass","Fail"),IF(Table1[[#This Row],[DUT Adj Read]]&gt;Table1[[#This Row],[Low Tol]],"Pass","Fail")))</f>
        <v>Pass</v>
      </c>
      <c r="AE266" s="1" t="str">
        <f>IF(AND(Table1[[#This Row],[Spec Type2]]="N/A",Table1[[#This Row],[DUT Adj Read]]="N/A",Table1[[#This Row],[Std Adj Read]]="N/A"),"N/A",IF(Table1[[#This Row],[DUT Adj Read]]="N/A",IF(Table1[[#This Row],[Std Adj Read]]&lt;Table1[[#This Row],[High Tol]],"Pass","Fail"),IF(Table1[[#This Row],[DUT Adj Read]]&lt;Table1[[#This Row],[High Tol]],"Pass","Fail")))</f>
        <v>Fail</v>
      </c>
      <c r="AF266" s="1" t="str">
        <f>IF(AND(Table1[[#This Row],[Spec Type2]]="N/A",Table1[[#This Row],[DUT Adj Read]]="N/A",Table1[[#This Row],[Std Adj Read]]="N/A"),"N/A",IF(Table1[[#This Row],[DUT Adj Read]]="N/A",IF(Table1[[#This Row],[Std Adj Read]]&gt;=Table1[[#This Row],[Low Tol]],"Pass","Fail"),IF(Table1[[#This Row],[DUT Adj Read]]&gt;=Table1[[#This Row],[Low Tol]],"Pass","Fail")))</f>
        <v>Pass</v>
      </c>
      <c r="AG266" s="1" t="str">
        <f>IF(AND(Table1[[#This Row],[Spec Type2]]="N/A",Table1[[#This Row],[DUT Adj Read]]="N/A",Table1[[#This Row],[Std Adj Read]]="N/A"),"N/A",IF(Table1[[#This Row],[DUT Adj Read]]="N/A",IF(Table1[[#This Row],[Std Adj Read]]&lt;=Table1[[#This Row],[High Tol]],"Pass","Fail"),IF(Table1[[#This Row],[DUT Adj Read]]&lt;=Table1[[#This Row],[High Tol]],"Pass","Fail")))</f>
        <v>Fail</v>
      </c>
      <c r="AH2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 s="1" t="b">
        <v>0</v>
      </c>
      <c r="AN266" s="1" t="b">
        <v>0</v>
      </c>
      <c r="AO266" s="1" t="b">
        <v>0</v>
      </c>
    </row>
    <row r="267" spans="1:41" x14ac:dyDescent="0.25">
      <c r="A267" s="10"/>
      <c r="B267" s="10"/>
      <c r="C267" s="10"/>
      <c r="D267" s="10"/>
      <c r="E267" s="10"/>
      <c r="F267" s="10"/>
      <c r="G267" s="10"/>
      <c r="H267" s="10"/>
      <c r="I267" s="1" t="str">
        <f t="shared" ref="I267:I330" si="12">IF($I$10="","",$I$10)</f>
        <v/>
      </c>
      <c r="J267" s="1" t="s">
        <v>35</v>
      </c>
      <c r="K267" s="1" t="str">
        <f t="shared" ref="K267:K330" si="13">IF($K$10="","",$K$10)</f>
        <v/>
      </c>
      <c r="L267" s="1" t="str">
        <f t="shared" ref="L267:L330" si="14">IF($L$10="","",$L$10)</f>
        <v/>
      </c>
      <c r="M267" s="1">
        <f>IF(OR(Table1[[#This Row],[Std Nom]]="",Table1[[#This Row],[Std Read]]=""),0,Table1[[#This Row],[Std Nom]]-Table1[[#This Row],[Std Read]])</f>
        <v>0</v>
      </c>
      <c r="N267" s="1">
        <f>IF(Calculations!$F$5="ACCREDITED 17025 WITH UNCERTAINTIES",$N$10,0)</f>
        <v>0</v>
      </c>
      <c r="O267" s="1" t="str">
        <f>IFERROR(Table1[[#This Row],[Std Nom]]-(_xlfn.XLOOKUP(Table1[[#This Row],[Manufacturer]]&amp;" "&amp;Table1[[#This Row],[Model]],Table13[MFR &amp; MDL],Table13[Tolerance % CW ],"")/100*Table1[[#This Row],[Std Nom]]),"")</f>
        <v/>
      </c>
      <c r="P267" s="1" t="str">
        <f>IFERROR(Table1[[#This Row],[Std Nom]]+(_xlfn.XLOOKUP(Table1[[#This Row],[Manufacturer]]&amp;" "&amp;Table1[[#This Row],[Model]],Table13[MFR &amp; MDL],Table13[Tolerance % CW ],"")/100*Table1[[#This Row],[Std Nom]]),"")</f>
        <v/>
      </c>
      <c r="Q267" s="1" t="e">
        <f>Table1[[#This Row],[High Tol]]-Table1[[#This Row],[Low Tol]]</f>
        <v>#VALUE!</v>
      </c>
      <c r="R267" s="1">
        <f>2*Table1[[#This Row],[Std Error]]</f>
        <v>0</v>
      </c>
      <c r="S267" s="1" t="str">
        <f>IF(Table1[[#This Row],[High Tol]]="","N/A",IFERROR(ABS(Table1[[#This Row],[Tol Span]]/Table1[[#This Row],[Error Span]]),"N/A"))</f>
        <v>N/A</v>
      </c>
      <c r="T267" s="1" t="str">
        <f>IF(OR(Table1[[#This Row],[Low Tol]]="",Table1[[#This Row],[High Tol]]=""),"Needs Analysis",IF(Table1[[#This Row],[Ratio]]&gt;=4,"Not Significant",IF(Table1[[#This Row],[Ratio]]&gt;=2,"Semi-Significant","Significant")))</f>
        <v>Needs Analysis</v>
      </c>
      <c r="W267" s="1">
        <f>IF(Table1[[#This Row],[Cal Type]]&lt;&gt;"ACCREDITED 17025 WITH UNCERTAINTIES",0,"")</f>
        <v>0</v>
      </c>
      <c r="X267" s="1" t="str">
        <f>IF(Table1[[#This Row],[DUT Read]]="","N/A",Table1[[#This Row],[Std Error]]+Table1[[#This Row],[DUT Read]]+Table1[[#This Row],[DUT Ucty]])</f>
        <v>N/A</v>
      </c>
      <c r="Y267" s="1" t="str">
        <f>IF(Table1[[#This Row],[Std Read]]="","N/A",Table1[[#This Row],[Std Read]]+Table1[[#This Row],[Std Ucty]])</f>
        <v>N/A</v>
      </c>
      <c r="Z2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 s="1" t="str">
        <f>IF(Table1[[#This Row],[Spec Type]]="","N/A",Table1[[#This Row],[Spec Type]])</f>
        <v>±</v>
      </c>
      <c r="AC267" s="1" t="str">
        <f>IF(Table1[[#This Row],[Spec Type2]]="N/A","N/A",IF(AND(Table1[[#This Row],[DUT Adj Read]]&gt;=Table1[[#This Row],[Low Tol]],Table1[[#This Row],[DUT Adj Read]]&lt;=Table1[[#This Row],[High Tol]]),"Pass","Fail"))</f>
        <v>Fail</v>
      </c>
      <c r="AD267" s="1" t="str">
        <f>IF(AND(Table1[[#This Row],[Spec Type2]]="N/A",Table1[[#This Row],[DUT Adj Read]]="N/A",Table1[[#This Row],[Std Adj Read]]="N/A"),"N/A",IF(Table1[[#This Row],[DUT Adj Read]]="N/A",IF(Table1[[#This Row],[Std Adj Read]]&gt;Table1[[#This Row],[Low Tol]],"Pass","Fail"),IF(Table1[[#This Row],[DUT Adj Read]]&gt;Table1[[#This Row],[Low Tol]],"Pass","Fail")))</f>
        <v>Pass</v>
      </c>
      <c r="AE267" s="1" t="str">
        <f>IF(AND(Table1[[#This Row],[Spec Type2]]="N/A",Table1[[#This Row],[DUT Adj Read]]="N/A",Table1[[#This Row],[Std Adj Read]]="N/A"),"N/A",IF(Table1[[#This Row],[DUT Adj Read]]="N/A",IF(Table1[[#This Row],[Std Adj Read]]&lt;Table1[[#This Row],[High Tol]],"Pass","Fail"),IF(Table1[[#This Row],[DUT Adj Read]]&lt;Table1[[#This Row],[High Tol]],"Pass","Fail")))</f>
        <v>Fail</v>
      </c>
      <c r="AF267" s="1" t="str">
        <f>IF(AND(Table1[[#This Row],[Spec Type2]]="N/A",Table1[[#This Row],[DUT Adj Read]]="N/A",Table1[[#This Row],[Std Adj Read]]="N/A"),"N/A",IF(Table1[[#This Row],[DUT Adj Read]]="N/A",IF(Table1[[#This Row],[Std Adj Read]]&gt;=Table1[[#This Row],[Low Tol]],"Pass","Fail"),IF(Table1[[#This Row],[DUT Adj Read]]&gt;=Table1[[#This Row],[Low Tol]],"Pass","Fail")))</f>
        <v>Pass</v>
      </c>
      <c r="AG267" s="1" t="str">
        <f>IF(AND(Table1[[#This Row],[Spec Type2]]="N/A",Table1[[#This Row],[DUT Adj Read]]="N/A",Table1[[#This Row],[Std Adj Read]]="N/A"),"N/A",IF(Table1[[#This Row],[DUT Adj Read]]="N/A",IF(Table1[[#This Row],[Std Adj Read]]&lt;=Table1[[#This Row],[High Tol]],"Pass","Fail"),IF(Table1[[#This Row],[DUT Adj Read]]&lt;=Table1[[#This Row],[High Tol]],"Pass","Fail")))</f>
        <v>Fail</v>
      </c>
      <c r="AH2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 s="1" t="b">
        <v>0</v>
      </c>
      <c r="AN267" s="1" t="b">
        <v>0</v>
      </c>
      <c r="AO267" s="1" t="b">
        <v>0</v>
      </c>
    </row>
    <row r="268" spans="1:41" x14ac:dyDescent="0.25">
      <c r="A268" s="10"/>
      <c r="B268" s="10"/>
      <c r="C268" s="10"/>
      <c r="D268" s="10"/>
      <c r="E268" s="10"/>
      <c r="F268" s="10"/>
      <c r="G268" s="10"/>
      <c r="H268" s="10"/>
      <c r="I268" s="1" t="str">
        <f t="shared" si="12"/>
        <v/>
      </c>
      <c r="J268" s="1" t="s">
        <v>35</v>
      </c>
      <c r="K268" s="1" t="str">
        <f t="shared" si="13"/>
        <v/>
      </c>
      <c r="L268" s="1" t="str">
        <f t="shared" si="14"/>
        <v/>
      </c>
      <c r="M268" s="1">
        <f>IF(OR(Table1[[#This Row],[Std Nom]]="",Table1[[#This Row],[Std Read]]=""),0,Table1[[#This Row],[Std Nom]]-Table1[[#This Row],[Std Read]])</f>
        <v>0</v>
      </c>
      <c r="N268" s="1">
        <f>IF(Calculations!$F$5="ACCREDITED 17025 WITH UNCERTAINTIES",$N$10,0)</f>
        <v>0</v>
      </c>
      <c r="O268" s="1" t="str">
        <f>IFERROR(Table1[[#This Row],[Std Nom]]-(_xlfn.XLOOKUP(Table1[[#This Row],[Manufacturer]]&amp;" "&amp;Table1[[#This Row],[Model]],Table13[MFR &amp; MDL],Table13[Tolerance % CW ],"")/100*Table1[[#This Row],[Std Nom]]),"")</f>
        <v/>
      </c>
      <c r="P268" s="1" t="str">
        <f>IFERROR(Table1[[#This Row],[Std Nom]]+(_xlfn.XLOOKUP(Table1[[#This Row],[Manufacturer]]&amp;" "&amp;Table1[[#This Row],[Model]],Table13[MFR &amp; MDL],Table13[Tolerance % CW ],"")/100*Table1[[#This Row],[Std Nom]]),"")</f>
        <v/>
      </c>
      <c r="Q268" s="1" t="e">
        <f>Table1[[#This Row],[High Tol]]-Table1[[#This Row],[Low Tol]]</f>
        <v>#VALUE!</v>
      </c>
      <c r="R268" s="1">
        <f>2*Table1[[#This Row],[Std Error]]</f>
        <v>0</v>
      </c>
      <c r="S268" s="1" t="str">
        <f>IF(Table1[[#This Row],[High Tol]]="","N/A",IFERROR(ABS(Table1[[#This Row],[Tol Span]]/Table1[[#This Row],[Error Span]]),"N/A"))</f>
        <v>N/A</v>
      </c>
      <c r="T268" s="1" t="str">
        <f>IF(OR(Table1[[#This Row],[Low Tol]]="",Table1[[#This Row],[High Tol]]=""),"Needs Analysis",IF(Table1[[#This Row],[Ratio]]&gt;=4,"Not Significant",IF(Table1[[#This Row],[Ratio]]&gt;=2,"Semi-Significant","Significant")))</f>
        <v>Needs Analysis</v>
      </c>
      <c r="W268" s="1">
        <f>IF(Table1[[#This Row],[Cal Type]]&lt;&gt;"ACCREDITED 17025 WITH UNCERTAINTIES",0,"")</f>
        <v>0</v>
      </c>
      <c r="X268" s="1" t="str">
        <f>IF(Table1[[#This Row],[DUT Read]]="","N/A",Table1[[#This Row],[Std Error]]+Table1[[#This Row],[DUT Read]]+Table1[[#This Row],[DUT Ucty]])</f>
        <v>N/A</v>
      </c>
      <c r="Y268" s="1" t="str">
        <f>IF(Table1[[#This Row],[Std Read]]="","N/A",Table1[[#This Row],[Std Read]]+Table1[[#This Row],[Std Ucty]])</f>
        <v>N/A</v>
      </c>
      <c r="Z2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 s="1" t="str">
        <f>IF(Table1[[#This Row],[Spec Type]]="","N/A",Table1[[#This Row],[Spec Type]])</f>
        <v>±</v>
      </c>
      <c r="AC268" s="1" t="str">
        <f>IF(Table1[[#This Row],[Spec Type2]]="N/A","N/A",IF(AND(Table1[[#This Row],[DUT Adj Read]]&gt;=Table1[[#This Row],[Low Tol]],Table1[[#This Row],[DUT Adj Read]]&lt;=Table1[[#This Row],[High Tol]]),"Pass","Fail"))</f>
        <v>Fail</v>
      </c>
      <c r="AD268" s="1" t="str">
        <f>IF(AND(Table1[[#This Row],[Spec Type2]]="N/A",Table1[[#This Row],[DUT Adj Read]]="N/A",Table1[[#This Row],[Std Adj Read]]="N/A"),"N/A",IF(Table1[[#This Row],[DUT Adj Read]]="N/A",IF(Table1[[#This Row],[Std Adj Read]]&gt;Table1[[#This Row],[Low Tol]],"Pass","Fail"),IF(Table1[[#This Row],[DUT Adj Read]]&gt;Table1[[#This Row],[Low Tol]],"Pass","Fail")))</f>
        <v>Pass</v>
      </c>
      <c r="AE268" s="1" t="str">
        <f>IF(AND(Table1[[#This Row],[Spec Type2]]="N/A",Table1[[#This Row],[DUT Adj Read]]="N/A",Table1[[#This Row],[Std Adj Read]]="N/A"),"N/A",IF(Table1[[#This Row],[DUT Adj Read]]="N/A",IF(Table1[[#This Row],[Std Adj Read]]&lt;Table1[[#This Row],[High Tol]],"Pass","Fail"),IF(Table1[[#This Row],[DUT Adj Read]]&lt;Table1[[#This Row],[High Tol]],"Pass","Fail")))</f>
        <v>Fail</v>
      </c>
      <c r="AF268" s="1" t="str">
        <f>IF(AND(Table1[[#This Row],[Spec Type2]]="N/A",Table1[[#This Row],[DUT Adj Read]]="N/A",Table1[[#This Row],[Std Adj Read]]="N/A"),"N/A",IF(Table1[[#This Row],[DUT Adj Read]]="N/A",IF(Table1[[#This Row],[Std Adj Read]]&gt;=Table1[[#This Row],[Low Tol]],"Pass","Fail"),IF(Table1[[#This Row],[DUT Adj Read]]&gt;=Table1[[#This Row],[Low Tol]],"Pass","Fail")))</f>
        <v>Pass</v>
      </c>
      <c r="AG268" s="1" t="str">
        <f>IF(AND(Table1[[#This Row],[Spec Type2]]="N/A",Table1[[#This Row],[DUT Adj Read]]="N/A",Table1[[#This Row],[Std Adj Read]]="N/A"),"N/A",IF(Table1[[#This Row],[DUT Adj Read]]="N/A",IF(Table1[[#This Row],[Std Adj Read]]&lt;=Table1[[#This Row],[High Tol]],"Pass","Fail"),IF(Table1[[#This Row],[DUT Adj Read]]&lt;=Table1[[#This Row],[High Tol]],"Pass","Fail")))</f>
        <v>Fail</v>
      </c>
      <c r="AH2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 s="1" t="b">
        <v>0</v>
      </c>
      <c r="AN268" s="1" t="b">
        <v>0</v>
      </c>
      <c r="AO268" s="1" t="b">
        <v>0</v>
      </c>
    </row>
    <row r="269" spans="1:41" x14ac:dyDescent="0.25">
      <c r="A269" s="10"/>
      <c r="B269" s="10"/>
      <c r="C269" s="10"/>
      <c r="D269" s="10"/>
      <c r="E269" s="10"/>
      <c r="F269" s="10"/>
      <c r="G269" s="10"/>
      <c r="H269" s="10"/>
      <c r="I269" s="1" t="str">
        <f t="shared" si="12"/>
        <v/>
      </c>
      <c r="J269" s="1" t="s">
        <v>35</v>
      </c>
      <c r="K269" s="1" t="str">
        <f t="shared" si="13"/>
        <v/>
      </c>
      <c r="L269" s="1" t="str">
        <f t="shared" si="14"/>
        <v/>
      </c>
      <c r="M269" s="1">
        <f>IF(OR(Table1[[#This Row],[Std Nom]]="",Table1[[#This Row],[Std Read]]=""),0,Table1[[#This Row],[Std Nom]]-Table1[[#This Row],[Std Read]])</f>
        <v>0</v>
      </c>
      <c r="N269" s="1">
        <f>IF(Calculations!$F$5="ACCREDITED 17025 WITH UNCERTAINTIES",$N$10,0)</f>
        <v>0</v>
      </c>
      <c r="O269" s="1" t="str">
        <f>IFERROR(Table1[[#This Row],[Std Nom]]-(_xlfn.XLOOKUP(Table1[[#This Row],[Manufacturer]]&amp;" "&amp;Table1[[#This Row],[Model]],Table13[MFR &amp; MDL],Table13[Tolerance % CW ],"")/100*Table1[[#This Row],[Std Nom]]),"")</f>
        <v/>
      </c>
      <c r="P269" s="1" t="str">
        <f>IFERROR(Table1[[#This Row],[Std Nom]]+(_xlfn.XLOOKUP(Table1[[#This Row],[Manufacturer]]&amp;" "&amp;Table1[[#This Row],[Model]],Table13[MFR &amp; MDL],Table13[Tolerance % CW ],"")/100*Table1[[#This Row],[Std Nom]]),"")</f>
        <v/>
      </c>
      <c r="Q269" s="1" t="e">
        <f>Table1[[#This Row],[High Tol]]-Table1[[#This Row],[Low Tol]]</f>
        <v>#VALUE!</v>
      </c>
      <c r="R269" s="1">
        <f>2*Table1[[#This Row],[Std Error]]</f>
        <v>0</v>
      </c>
      <c r="S269" s="1" t="str">
        <f>IF(Table1[[#This Row],[High Tol]]="","N/A",IFERROR(ABS(Table1[[#This Row],[Tol Span]]/Table1[[#This Row],[Error Span]]),"N/A"))</f>
        <v>N/A</v>
      </c>
      <c r="T269" s="1" t="str">
        <f>IF(OR(Table1[[#This Row],[Low Tol]]="",Table1[[#This Row],[High Tol]]=""),"Needs Analysis",IF(Table1[[#This Row],[Ratio]]&gt;=4,"Not Significant",IF(Table1[[#This Row],[Ratio]]&gt;=2,"Semi-Significant","Significant")))</f>
        <v>Needs Analysis</v>
      </c>
      <c r="W269" s="1">
        <f>IF(Table1[[#This Row],[Cal Type]]&lt;&gt;"ACCREDITED 17025 WITH UNCERTAINTIES",0,"")</f>
        <v>0</v>
      </c>
      <c r="X269" s="1" t="str">
        <f>IF(Table1[[#This Row],[DUT Read]]="","N/A",Table1[[#This Row],[Std Error]]+Table1[[#This Row],[DUT Read]]+Table1[[#This Row],[DUT Ucty]])</f>
        <v>N/A</v>
      </c>
      <c r="Y269" s="1" t="str">
        <f>IF(Table1[[#This Row],[Std Read]]="","N/A",Table1[[#This Row],[Std Read]]+Table1[[#This Row],[Std Ucty]])</f>
        <v>N/A</v>
      </c>
      <c r="Z2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 s="1" t="str">
        <f>IF(Table1[[#This Row],[Spec Type]]="","N/A",Table1[[#This Row],[Spec Type]])</f>
        <v>±</v>
      </c>
      <c r="AC269" s="1" t="str">
        <f>IF(Table1[[#This Row],[Spec Type2]]="N/A","N/A",IF(AND(Table1[[#This Row],[DUT Adj Read]]&gt;=Table1[[#This Row],[Low Tol]],Table1[[#This Row],[DUT Adj Read]]&lt;=Table1[[#This Row],[High Tol]]),"Pass","Fail"))</f>
        <v>Fail</v>
      </c>
      <c r="AD269" s="1" t="str">
        <f>IF(AND(Table1[[#This Row],[Spec Type2]]="N/A",Table1[[#This Row],[DUT Adj Read]]="N/A",Table1[[#This Row],[Std Adj Read]]="N/A"),"N/A",IF(Table1[[#This Row],[DUT Adj Read]]="N/A",IF(Table1[[#This Row],[Std Adj Read]]&gt;Table1[[#This Row],[Low Tol]],"Pass","Fail"),IF(Table1[[#This Row],[DUT Adj Read]]&gt;Table1[[#This Row],[Low Tol]],"Pass","Fail")))</f>
        <v>Pass</v>
      </c>
      <c r="AE269" s="1" t="str">
        <f>IF(AND(Table1[[#This Row],[Spec Type2]]="N/A",Table1[[#This Row],[DUT Adj Read]]="N/A",Table1[[#This Row],[Std Adj Read]]="N/A"),"N/A",IF(Table1[[#This Row],[DUT Adj Read]]="N/A",IF(Table1[[#This Row],[Std Adj Read]]&lt;Table1[[#This Row],[High Tol]],"Pass","Fail"),IF(Table1[[#This Row],[DUT Adj Read]]&lt;Table1[[#This Row],[High Tol]],"Pass","Fail")))</f>
        <v>Fail</v>
      </c>
      <c r="AF269" s="1" t="str">
        <f>IF(AND(Table1[[#This Row],[Spec Type2]]="N/A",Table1[[#This Row],[DUT Adj Read]]="N/A",Table1[[#This Row],[Std Adj Read]]="N/A"),"N/A",IF(Table1[[#This Row],[DUT Adj Read]]="N/A",IF(Table1[[#This Row],[Std Adj Read]]&gt;=Table1[[#This Row],[Low Tol]],"Pass","Fail"),IF(Table1[[#This Row],[DUT Adj Read]]&gt;=Table1[[#This Row],[Low Tol]],"Pass","Fail")))</f>
        <v>Pass</v>
      </c>
      <c r="AG269" s="1" t="str">
        <f>IF(AND(Table1[[#This Row],[Spec Type2]]="N/A",Table1[[#This Row],[DUT Adj Read]]="N/A",Table1[[#This Row],[Std Adj Read]]="N/A"),"N/A",IF(Table1[[#This Row],[DUT Adj Read]]="N/A",IF(Table1[[#This Row],[Std Adj Read]]&lt;=Table1[[#This Row],[High Tol]],"Pass","Fail"),IF(Table1[[#This Row],[DUT Adj Read]]&lt;=Table1[[#This Row],[High Tol]],"Pass","Fail")))</f>
        <v>Fail</v>
      </c>
      <c r="AH2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 s="1" t="b">
        <v>0</v>
      </c>
      <c r="AN269" s="1" t="b">
        <v>0</v>
      </c>
      <c r="AO269" s="1" t="b">
        <v>0</v>
      </c>
    </row>
    <row r="270" spans="1:41" x14ac:dyDescent="0.25">
      <c r="A270" s="10"/>
      <c r="B270" s="10"/>
      <c r="C270" s="10"/>
      <c r="D270" s="10"/>
      <c r="E270" s="10"/>
      <c r="F270" s="10"/>
      <c r="G270" s="10"/>
      <c r="H270" s="10"/>
      <c r="I270" s="1" t="str">
        <f t="shared" si="12"/>
        <v/>
      </c>
      <c r="J270" s="1" t="s">
        <v>35</v>
      </c>
      <c r="K270" s="1" t="str">
        <f t="shared" si="13"/>
        <v/>
      </c>
      <c r="L270" s="1" t="str">
        <f t="shared" si="14"/>
        <v/>
      </c>
      <c r="M270" s="1">
        <f>IF(OR(Table1[[#This Row],[Std Nom]]="",Table1[[#This Row],[Std Read]]=""),0,Table1[[#This Row],[Std Nom]]-Table1[[#This Row],[Std Read]])</f>
        <v>0</v>
      </c>
      <c r="N270" s="1">
        <f>IF(Calculations!$F$5="ACCREDITED 17025 WITH UNCERTAINTIES",$N$10,0)</f>
        <v>0</v>
      </c>
      <c r="O270" s="1" t="str">
        <f>IFERROR(Table1[[#This Row],[Std Nom]]-(_xlfn.XLOOKUP(Table1[[#This Row],[Manufacturer]]&amp;" "&amp;Table1[[#This Row],[Model]],Table13[MFR &amp; MDL],Table13[Tolerance % CW ],"")/100*Table1[[#This Row],[Std Nom]]),"")</f>
        <v/>
      </c>
      <c r="P270" s="1" t="str">
        <f>IFERROR(Table1[[#This Row],[Std Nom]]+(_xlfn.XLOOKUP(Table1[[#This Row],[Manufacturer]]&amp;" "&amp;Table1[[#This Row],[Model]],Table13[MFR &amp; MDL],Table13[Tolerance % CW ],"")/100*Table1[[#This Row],[Std Nom]]),"")</f>
        <v/>
      </c>
      <c r="Q270" s="1" t="e">
        <f>Table1[[#This Row],[High Tol]]-Table1[[#This Row],[Low Tol]]</f>
        <v>#VALUE!</v>
      </c>
      <c r="R270" s="1">
        <f>2*Table1[[#This Row],[Std Error]]</f>
        <v>0</v>
      </c>
      <c r="S270" s="1" t="str">
        <f>IF(Table1[[#This Row],[High Tol]]="","N/A",IFERROR(ABS(Table1[[#This Row],[Tol Span]]/Table1[[#This Row],[Error Span]]),"N/A"))</f>
        <v>N/A</v>
      </c>
      <c r="T270" s="1" t="str">
        <f>IF(OR(Table1[[#This Row],[Low Tol]]="",Table1[[#This Row],[High Tol]]=""),"Needs Analysis",IF(Table1[[#This Row],[Ratio]]&gt;=4,"Not Significant",IF(Table1[[#This Row],[Ratio]]&gt;=2,"Semi-Significant","Significant")))</f>
        <v>Needs Analysis</v>
      </c>
      <c r="W270" s="1">
        <f>IF(Table1[[#This Row],[Cal Type]]&lt;&gt;"ACCREDITED 17025 WITH UNCERTAINTIES",0,"")</f>
        <v>0</v>
      </c>
      <c r="X270" s="1" t="str">
        <f>IF(Table1[[#This Row],[DUT Read]]="","N/A",Table1[[#This Row],[Std Error]]+Table1[[#This Row],[DUT Read]]+Table1[[#This Row],[DUT Ucty]])</f>
        <v>N/A</v>
      </c>
      <c r="Y270" s="1" t="str">
        <f>IF(Table1[[#This Row],[Std Read]]="","N/A",Table1[[#This Row],[Std Read]]+Table1[[#This Row],[Std Ucty]])</f>
        <v>N/A</v>
      </c>
      <c r="Z2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 s="1" t="str">
        <f>IF(Table1[[#This Row],[Spec Type]]="","N/A",Table1[[#This Row],[Spec Type]])</f>
        <v>±</v>
      </c>
      <c r="AC270" s="1" t="str">
        <f>IF(Table1[[#This Row],[Spec Type2]]="N/A","N/A",IF(AND(Table1[[#This Row],[DUT Adj Read]]&gt;=Table1[[#This Row],[Low Tol]],Table1[[#This Row],[DUT Adj Read]]&lt;=Table1[[#This Row],[High Tol]]),"Pass","Fail"))</f>
        <v>Fail</v>
      </c>
      <c r="AD270" s="1" t="str">
        <f>IF(AND(Table1[[#This Row],[Spec Type2]]="N/A",Table1[[#This Row],[DUT Adj Read]]="N/A",Table1[[#This Row],[Std Adj Read]]="N/A"),"N/A",IF(Table1[[#This Row],[DUT Adj Read]]="N/A",IF(Table1[[#This Row],[Std Adj Read]]&gt;Table1[[#This Row],[Low Tol]],"Pass","Fail"),IF(Table1[[#This Row],[DUT Adj Read]]&gt;Table1[[#This Row],[Low Tol]],"Pass","Fail")))</f>
        <v>Pass</v>
      </c>
      <c r="AE270" s="1" t="str">
        <f>IF(AND(Table1[[#This Row],[Spec Type2]]="N/A",Table1[[#This Row],[DUT Adj Read]]="N/A",Table1[[#This Row],[Std Adj Read]]="N/A"),"N/A",IF(Table1[[#This Row],[DUT Adj Read]]="N/A",IF(Table1[[#This Row],[Std Adj Read]]&lt;Table1[[#This Row],[High Tol]],"Pass","Fail"),IF(Table1[[#This Row],[DUT Adj Read]]&lt;Table1[[#This Row],[High Tol]],"Pass","Fail")))</f>
        <v>Fail</v>
      </c>
      <c r="AF270" s="1" t="str">
        <f>IF(AND(Table1[[#This Row],[Spec Type2]]="N/A",Table1[[#This Row],[DUT Adj Read]]="N/A",Table1[[#This Row],[Std Adj Read]]="N/A"),"N/A",IF(Table1[[#This Row],[DUT Adj Read]]="N/A",IF(Table1[[#This Row],[Std Adj Read]]&gt;=Table1[[#This Row],[Low Tol]],"Pass","Fail"),IF(Table1[[#This Row],[DUT Adj Read]]&gt;=Table1[[#This Row],[Low Tol]],"Pass","Fail")))</f>
        <v>Pass</v>
      </c>
      <c r="AG270" s="1" t="str">
        <f>IF(AND(Table1[[#This Row],[Spec Type2]]="N/A",Table1[[#This Row],[DUT Adj Read]]="N/A",Table1[[#This Row],[Std Adj Read]]="N/A"),"N/A",IF(Table1[[#This Row],[DUT Adj Read]]="N/A",IF(Table1[[#This Row],[Std Adj Read]]&lt;=Table1[[#This Row],[High Tol]],"Pass","Fail"),IF(Table1[[#This Row],[DUT Adj Read]]&lt;=Table1[[#This Row],[High Tol]],"Pass","Fail")))</f>
        <v>Fail</v>
      </c>
      <c r="AH2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 s="1" t="b">
        <v>0</v>
      </c>
      <c r="AN270" s="1" t="b">
        <v>0</v>
      </c>
      <c r="AO270" s="1" t="b">
        <v>0</v>
      </c>
    </row>
    <row r="271" spans="1:41" x14ac:dyDescent="0.25">
      <c r="A271" s="10"/>
      <c r="B271" s="10"/>
      <c r="C271" s="10"/>
      <c r="D271" s="10"/>
      <c r="E271" s="10"/>
      <c r="F271" s="10"/>
      <c r="G271" s="10"/>
      <c r="H271" s="10"/>
      <c r="I271" s="1" t="str">
        <f t="shared" si="12"/>
        <v/>
      </c>
      <c r="J271" s="1" t="s">
        <v>35</v>
      </c>
      <c r="K271" s="1" t="str">
        <f t="shared" si="13"/>
        <v/>
      </c>
      <c r="L271" s="1" t="str">
        <f t="shared" si="14"/>
        <v/>
      </c>
      <c r="M271" s="1">
        <f>IF(OR(Table1[[#This Row],[Std Nom]]="",Table1[[#This Row],[Std Read]]=""),0,Table1[[#This Row],[Std Nom]]-Table1[[#This Row],[Std Read]])</f>
        <v>0</v>
      </c>
      <c r="N271" s="1">
        <f>IF(Calculations!$F$5="ACCREDITED 17025 WITH UNCERTAINTIES",$N$10,0)</f>
        <v>0</v>
      </c>
      <c r="O271" s="1" t="str">
        <f>IFERROR(Table1[[#This Row],[Std Nom]]-(_xlfn.XLOOKUP(Table1[[#This Row],[Manufacturer]]&amp;" "&amp;Table1[[#This Row],[Model]],Table13[MFR &amp; MDL],Table13[Tolerance % CW ],"")/100*Table1[[#This Row],[Std Nom]]),"")</f>
        <v/>
      </c>
      <c r="P271" s="1" t="str">
        <f>IFERROR(Table1[[#This Row],[Std Nom]]+(_xlfn.XLOOKUP(Table1[[#This Row],[Manufacturer]]&amp;" "&amp;Table1[[#This Row],[Model]],Table13[MFR &amp; MDL],Table13[Tolerance % CW ],"")/100*Table1[[#This Row],[Std Nom]]),"")</f>
        <v/>
      </c>
      <c r="Q271" s="1" t="e">
        <f>Table1[[#This Row],[High Tol]]-Table1[[#This Row],[Low Tol]]</f>
        <v>#VALUE!</v>
      </c>
      <c r="R271" s="1">
        <f>2*Table1[[#This Row],[Std Error]]</f>
        <v>0</v>
      </c>
      <c r="S271" s="1" t="str">
        <f>IF(Table1[[#This Row],[High Tol]]="","N/A",IFERROR(ABS(Table1[[#This Row],[Tol Span]]/Table1[[#This Row],[Error Span]]),"N/A"))</f>
        <v>N/A</v>
      </c>
      <c r="T271" s="1" t="str">
        <f>IF(OR(Table1[[#This Row],[Low Tol]]="",Table1[[#This Row],[High Tol]]=""),"Needs Analysis",IF(Table1[[#This Row],[Ratio]]&gt;=4,"Not Significant",IF(Table1[[#This Row],[Ratio]]&gt;=2,"Semi-Significant","Significant")))</f>
        <v>Needs Analysis</v>
      </c>
      <c r="W271" s="1">
        <f>IF(Table1[[#This Row],[Cal Type]]&lt;&gt;"ACCREDITED 17025 WITH UNCERTAINTIES",0,"")</f>
        <v>0</v>
      </c>
      <c r="X271" s="1" t="str">
        <f>IF(Table1[[#This Row],[DUT Read]]="","N/A",Table1[[#This Row],[Std Error]]+Table1[[#This Row],[DUT Read]]+Table1[[#This Row],[DUT Ucty]])</f>
        <v>N/A</v>
      </c>
      <c r="Y271" s="1" t="str">
        <f>IF(Table1[[#This Row],[Std Read]]="","N/A",Table1[[#This Row],[Std Read]]+Table1[[#This Row],[Std Ucty]])</f>
        <v>N/A</v>
      </c>
      <c r="Z2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 s="1" t="str">
        <f>IF(Table1[[#This Row],[Spec Type]]="","N/A",Table1[[#This Row],[Spec Type]])</f>
        <v>±</v>
      </c>
      <c r="AC271" s="1" t="str">
        <f>IF(Table1[[#This Row],[Spec Type2]]="N/A","N/A",IF(AND(Table1[[#This Row],[DUT Adj Read]]&gt;=Table1[[#This Row],[Low Tol]],Table1[[#This Row],[DUT Adj Read]]&lt;=Table1[[#This Row],[High Tol]]),"Pass","Fail"))</f>
        <v>Fail</v>
      </c>
      <c r="AD271" s="1" t="str">
        <f>IF(AND(Table1[[#This Row],[Spec Type2]]="N/A",Table1[[#This Row],[DUT Adj Read]]="N/A",Table1[[#This Row],[Std Adj Read]]="N/A"),"N/A",IF(Table1[[#This Row],[DUT Adj Read]]="N/A",IF(Table1[[#This Row],[Std Adj Read]]&gt;Table1[[#This Row],[Low Tol]],"Pass","Fail"),IF(Table1[[#This Row],[DUT Adj Read]]&gt;Table1[[#This Row],[Low Tol]],"Pass","Fail")))</f>
        <v>Pass</v>
      </c>
      <c r="AE271" s="1" t="str">
        <f>IF(AND(Table1[[#This Row],[Spec Type2]]="N/A",Table1[[#This Row],[DUT Adj Read]]="N/A",Table1[[#This Row],[Std Adj Read]]="N/A"),"N/A",IF(Table1[[#This Row],[DUT Adj Read]]="N/A",IF(Table1[[#This Row],[Std Adj Read]]&lt;Table1[[#This Row],[High Tol]],"Pass","Fail"),IF(Table1[[#This Row],[DUT Adj Read]]&lt;Table1[[#This Row],[High Tol]],"Pass","Fail")))</f>
        <v>Fail</v>
      </c>
      <c r="AF271" s="1" t="str">
        <f>IF(AND(Table1[[#This Row],[Spec Type2]]="N/A",Table1[[#This Row],[DUT Adj Read]]="N/A",Table1[[#This Row],[Std Adj Read]]="N/A"),"N/A",IF(Table1[[#This Row],[DUT Adj Read]]="N/A",IF(Table1[[#This Row],[Std Adj Read]]&gt;=Table1[[#This Row],[Low Tol]],"Pass","Fail"),IF(Table1[[#This Row],[DUT Adj Read]]&gt;=Table1[[#This Row],[Low Tol]],"Pass","Fail")))</f>
        <v>Pass</v>
      </c>
      <c r="AG271" s="1" t="str">
        <f>IF(AND(Table1[[#This Row],[Spec Type2]]="N/A",Table1[[#This Row],[DUT Adj Read]]="N/A",Table1[[#This Row],[Std Adj Read]]="N/A"),"N/A",IF(Table1[[#This Row],[DUT Adj Read]]="N/A",IF(Table1[[#This Row],[Std Adj Read]]&lt;=Table1[[#This Row],[High Tol]],"Pass","Fail"),IF(Table1[[#This Row],[DUT Adj Read]]&lt;=Table1[[#This Row],[High Tol]],"Pass","Fail")))</f>
        <v>Fail</v>
      </c>
      <c r="AH2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 s="1" t="b">
        <v>0</v>
      </c>
      <c r="AN271" s="1" t="b">
        <v>0</v>
      </c>
      <c r="AO271" s="1" t="b">
        <v>0</v>
      </c>
    </row>
    <row r="272" spans="1:41" x14ac:dyDescent="0.25">
      <c r="A272" s="10"/>
      <c r="B272" s="10"/>
      <c r="C272" s="10"/>
      <c r="D272" s="10"/>
      <c r="E272" s="10"/>
      <c r="F272" s="10"/>
      <c r="G272" s="10"/>
      <c r="H272" s="10"/>
      <c r="I272" s="1" t="str">
        <f t="shared" si="12"/>
        <v/>
      </c>
      <c r="J272" s="1" t="s">
        <v>35</v>
      </c>
      <c r="K272" s="1" t="str">
        <f t="shared" si="13"/>
        <v/>
      </c>
      <c r="L272" s="1" t="str">
        <f t="shared" si="14"/>
        <v/>
      </c>
      <c r="M272" s="1">
        <f>IF(OR(Table1[[#This Row],[Std Nom]]="",Table1[[#This Row],[Std Read]]=""),0,Table1[[#This Row],[Std Nom]]-Table1[[#This Row],[Std Read]])</f>
        <v>0</v>
      </c>
      <c r="N272" s="1">
        <f>IF(Calculations!$F$5="ACCREDITED 17025 WITH UNCERTAINTIES",$N$10,0)</f>
        <v>0</v>
      </c>
      <c r="O272" s="1" t="str">
        <f>IFERROR(Table1[[#This Row],[Std Nom]]-(_xlfn.XLOOKUP(Table1[[#This Row],[Manufacturer]]&amp;" "&amp;Table1[[#This Row],[Model]],Table13[MFR &amp; MDL],Table13[Tolerance % CW ],"")/100*Table1[[#This Row],[Std Nom]]),"")</f>
        <v/>
      </c>
      <c r="P272" s="1" t="str">
        <f>IFERROR(Table1[[#This Row],[Std Nom]]+(_xlfn.XLOOKUP(Table1[[#This Row],[Manufacturer]]&amp;" "&amp;Table1[[#This Row],[Model]],Table13[MFR &amp; MDL],Table13[Tolerance % CW ],"")/100*Table1[[#This Row],[Std Nom]]),"")</f>
        <v/>
      </c>
      <c r="Q272" s="1" t="e">
        <f>Table1[[#This Row],[High Tol]]-Table1[[#This Row],[Low Tol]]</f>
        <v>#VALUE!</v>
      </c>
      <c r="R272" s="1">
        <f>2*Table1[[#This Row],[Std Error]]</f>
        <v>0</v>
      </c>
      <c r="S272" s="1" t="str">
        <f>IF(Table1[[#This Row],[High Tol]]="","N/A",IFERROR(ABS(Table1[[#This Row],[Tol Span]]/Table1[[#This Row],[Error Span]]),"N/A"))</f>
        <v>N/A</v>
      </c>
      <c r="T272" s="1" t="str">
        <f>IF(OR(Table1[[#This Row],[Low Tol]]="",Table1[[#This Row],[High Tol]]=""),"Needs Analysis",IF(Table1[[#This Row],[Ratio]]&gt;=4,"Not Significant",IF(Table1[[#This Row],[Ratio]]&gt;=2,"Semi-Significant","Significant")))</f>
        <v>Needs Analysis</v>
      </c>
      <c r="W272" s="1">
        <f>IF(Table1[[#This Row],[Cal Type]]&lt;&gt;"ACCREDITED 17025 WITH UNCERTAINTIES",0,"")</f>
        <v>0</v>
      </c>
      <c r="X272" s="1" t="str">
        <f>IF(Table1[[#This Row],[DUT Read]]="","N/A",Table1[[#This Row],[Std Error]]+Table1[[#This Row],[DUT Read]]+Table1[[#This Row],[DUT Ucty]])</f>
        <v>N/A</v>
      </c>
      <c r="Y272" s="1" t="str">
        <f>IF(Table1[[#This Row],[Std Read]]="","N/A",Table1[[#This Row],[Std Read]]+Table1[[#This Row],[Std Ucty]])</f>
        <v>N/A</v>
      </c>
      <c r="Z2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 s="1" t="str">
        <f>IF(Table1[[#This Row],[Spec Type]]="","N/A",Table1[[#This Row],[Spec Type]])</f>
        <v>±</v>
      </c>
      <c r="AC272" s="1" t="str">
        <f>IF(Table1[[#This Row],[Spec Type2]]="N/A","N/A",IF(AND(Table1[[#This Row],[DUT Adj Read]]&gt;=Table1[[#This Row],[Low Tol]],Table1[[#This Row],[DUT Adj Read]]&lt;=Table1[[#This Row],[High Tol]]),"Pass","Fail"))</f>
        <v>Fail</v>
      </c>
      <c r="AD272" s="1" t="str">
        <f>IF(AND(Table1[[#This Row],[Spec Type2]]="N/A",Table1[[#This Row],[DUT Adj Read]]="N/A",Table1[[#This Row],[Std Adj Read]]="N/A"),"N/A",IF(Table1[[#This Row],[DUT Adj Read]]="N/A",IF(Table1[[#This Row],[Std Adj Read]]&gt;Table1[[#This Row],[Low Tol]],"Pass","Fail"),IF(Table1[[#This Row],[DUT Adj Read]]&gt;Table1[[#This Row],[Low Tol]],"Pass","Fail")))</f>
        <v>Pass</v>
      </c>
      <c r="AE272" s="1" t="str">
        <f>IF(AND(Table1[[#This Row],[Spec Type2]]="N/A",Table1[[#This Row],[DUT Adj Read]]="N/A",Table1[[#This Row],[Std Adj Read]]="N/A"),"N/A",IF(Table1[[#This Row],[DUT Adj Read]]="N/A",IF(Table1[[#This Row],[Std Adj Read]]&lt;Table1[[#This Row],[High Tol]],"Pass","Fail"),IF(Table1[[#This Row],[DUT Adj Read]]&lt;Table1[[#This Row],[High Tol]],"Pass","Fail")))</f>
        <v>Fail</v>
      </c>
      <c r="AF272" s="1" t="str">
        <f>IF(AND(Table1[[#This Row],[Spec Type2]]="N/A",Table1[[#This Row],[DUT Adj Read]]="N/A",Table1[[#This Row],[Std Adj Read]]="N/A"),"N/A",IF(Table1[[#This Row],[DUT Adj Read]]="N/A",IF(Table1[[#This Row],[Std Adj Read]]&gt;=Table1[[#This Row],[Low Tol]],"Pass","Fail"),IF(Table1[[#This Row],[DUT Adj Read]]&gt;=Table1[[#This Row],[Low Tol]],"Pass","Fail")))</f>
        <v>Pass</v>
      </c>
      <c r="AG272" s="1" t="str">
        <f>IF(AND(Table1[[#This Row],[Spec Type2]]="N/A",Table1[[#This Row],[DUT Adj Read]]="N/A",Table1[[#This Row],[Std Adj Read]]="N/A"),"N/A",IF(Table1[[#This Row],[DUT Adj Read]]="N/A",IF(Table1[[#This Row],[Std Adj Read]]&lt;=Table1[[#This Row],[High Tol]],"Pass","Fail"),IF(Table1[[#This Row],[DUT Adj Read]]&lt;=Table1[[#This Row],[High Tol]],"Pass","Fail")))</f>
        <v>Fail</v>
      </c>
      <c r="AH2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 s="1" t="b">
        <v>0</v>
      </c>
      <c r="AN272" s="1" t="b">
        <v>0</v>
      </c>
      <c r="AO272" s="1" t="b">
        <v>0</v>
      </c>
    </row>
    <row r="273" spans="1:41" x14ac:dyDescent="0.25">
      <c r="A273" s="10"/>
      <c r="B273" s="10"/>
      <c r="C273" s="10"/>
      <c r="D273" s="10"/>
      <c r="E273" s="10"/>
      <c r="F273" s="10"/>
      <c r="G273" s="10"/>
      <c r="H273" s="10"/>
      <c r="I273" s="1" t="str">
        <f t="shared" si="12"/>
        <v/>
      </c>
      <c r="J273" s="1" t="s">
        <v>35</v>
      </c>
      <c r="K273" s="1" t="str">
        <f t="shared" si="13"/>
        <v/>
      </c>
      <c r="L273" s="1" t="str">
        <f t="shared" si="14"/>
        <v/>
      </c>
      <c r="M273" s="1">
        <f>IF(OR(Table1[[#This Row],[Std Nom]]="",Table1[[#This Row],[Std Read]]=""),0,Table1[[#This Row],[Std Nom]]-Table1[[#This Row],[Std Read]])</f>
        <v>0</v>
      </c>
      <c r="N273" s="1">
        <f>IF(Calculations!$F$5="ACCREDITED 17025 WITH UNCERTAINTIES",$N$10,0)</f>
        <v>0</v>
      </c>
      <c r="O273" s="1" t="str">
        <f>IFERROR(Table1[[#This Row],[Std Nom]]-(_xlfn.XLOOKUP(Table1[[#This Row],[Manufacturer]]&amp;" "&amp;Table1[[#This Row],[Model]],Table13[MFR &amp; MDL],Table13[Tolerance % CW ],"")/100*Table1[[#This Row],[Std Nom]]),"")</f>
        <v/>
      </c>
      <c r="P273" s="1" t="str">
        <f>IFERROR(Table1[[#This Row],[Std Nom]]+(_xlfn.XLOOKUP(Table1[[#This Row],[Manufacturer]]&amp;" "&amp;Table1[[#This Row],[Model]],Table13[MFR &amp; MDL],Table13[Tolerance % CW ],"")/100*Table1[[#This Row],[Std Nom]]),"")</f>
        <v/>
      </c>
      <c r="Q273" s="1" t="e">
        <f>Table1[[#This Row],[High Tol]]-Table1[[#This Row],[Low Tol]]</f>
        <v>#VALUE!</v>
      </c>
      <c r="R273" s="1">
        <f>2*Table1[[#This Row],[Std Error]]</f>
        <v>0</v>
      </c>
      <c r="S273" s="1" t="str">
        <f>IF(Table1[[#This Row],[High Tol]]="","N/A",IFERROR(ABS(Table1[[#This Row],[Tol Span]]/Table1[[#This Row],[Error Span]]),"N/A"))</f>
        <v>N/A</v>
      </c>
      <c r="T273" s="1" t="str">
        <f>IF(OR(Table1[[#This Row],[Low Tol]]="",Table1[[#This Row],[High Tol]]=""),"Needs Analysis",IF(Table1[[#This Row],[Ratio]]&gt;=4,"Not Significant",IF(Table1[[#This Row],[Ratio]]&gt;=2,"Semi-Significant","Significant")))</f>
        <v>Needs Analysis</v>
      </c>
      <c r="W273" s="1">
        <f>IF(Table1[[#This Row],[Cal Type]]&lt;&gt;"ACCREDITED 17025 WITH UNCERTAINTIES",0,"")</f>
        <v>0</v>
      </c>
      <c r="X273" s="1" t="str">
        <f>IF(Table1[[#This Row],[DUT Read]]="","N/A",Table1[[#This Row],[Std Error]]+Table1[[#This Row],[DUT Read]]+Table1[[#This Row],[DUT Ucty]])</f>
        <v>N/A</v>
      </c>
      <c r="Y273" s="1" t="str">
        <f>IF(Table1[[#This Row],[Std Read]]="","N/A",Table1[[#This Row],[Std Read]]+Table1[[#This Row],[Std Ucty]])</f>
        <v>N/A</v>
      </c>
      <c r="Z2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 s="1" t="str">
        <f>IF(Table1[[#This Row],[Spec Type]]="","N/A",Table1[[#This Row],[Spec Type]])</f>
        <v>±</v>
      </c>
      <c r="AC273" s="1" t="str">
        <f>IF(Table1[[#This Row],[Spec Type2]]="N/A","N/A",IF(AND(Table1[[#This Row],[DUT Adj Read]]&gt;=Table1[[#This Row],[Low Tol]],Table1[[#This Row],[DUT Adj Read]]&lt;=Table1[[#This Row],[High Tol]]),"Pass","Fail"))</f>
        <v>Fail</v>
      </c>
      <c r="AD273" s="1" t="str">
        <f>IF(AND(Table1[[#This Row],[Spec Type2]]="N/A",Table1[[#This Row],[DUT Adj Read]]="N/A",Table1[[#This Row],[Std Adj Read]]="N/A"),"N/A",IF(Table1[[#This Row],[DUT Adj Read]]="N/A",IF(Table1[[#This Row],[Std Adj Read]]&gt;Table1[[#This Row],[Low Tol]],"Pass","Fail"),IF(Table1[[#This Row],[DUT Adj Read]]&gt;Table1[[#This Row],[Low Tol]],"Pass","Fail")))</f>
        <v>Pass</v>
      </c>
      <c r="AE273" s="1" t="str">
        <f>IF(AND(Table1[[#This Row],[Spec Type2]]="N/A",Table1[[#This Row],[DUT Adj Read]]="N/A",Table1[[#This Row],[Std Adj Read]]="N/A"),"N/A",IF(Table1[[#This Row],[DUT Adj Read]]="N/A",IF(Table1[[#This Row],[Std Adj Read]]&lt;Table1[[#This Row],[High Tol]],"Pass","Fail"),IF(Table1[[#This Row],[DUT Adj Read]]&lt;Table1[[#This Row],[High Tol]],"Pass","Fail")))</f>
        <v>Fail</v>
      </c>
      <c r="AF273" s="1" t="str">
        <f>IF(AND(Table1[[#This Row],[Spec Type2]]="N/A",Table1[[#This Row],[DUT Adj Read]]="N/A",Table1[[#This Row],[Std Adj Read]]="N/A"),"N/A",IF(Table1[[#This Row],[DUT Adj Read]]="N/A",IF(Table1[[#This Row],[Std Adj Read]]&gt;=Table1[[#This Row],[Low Tol]],"Pass","Fail"),IF(Table1[[#This Row],[DUT Adj Read]]&gt;=Table1[[#This Row],[Low Tol]],"Pass","Fail")))</f>
        <v>Pass</v>
      </c>
      <c r="AG273" s="1" t="str">
        <f>IF(AND(Table1[[#This Row],[Spec Type2]]="N/A",Table1[[#This Row],[DUT Adj Read]]="N/A",Table1[[#This Row],[Std Adj Read]]="N/A"),"N/A",IF(Table1[[#This Row],[DUT Adj Read]]="N/A",IF(Table1[[#This Row],[Std Adj Read]]&lt;=Table1[[#This Row],[High Tol]],"Pass","Fail"),IF(Table1[[#This Row],[DUT Adj Read]]&lt;=Table1[[#This Row],[High Tol]],"Pass","Fail")))</f>
        <v>Fail</v>
      </c>
      <c r="AH2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 s="1" t="b">
        <v>0</v>
      </c>
      <c r="AN273" s="1" t="b">
        <v>0</v>
      </c>
      <c r="AO273" s="1" t="b">
        <v>0</v>
      </c>
    </row>
    <row r="274" spans="1:41" x14ac:dyDescent="0.25">
      <c r="A274" s="10"/>
      <c r="B274" s="10"/>
      <c r="C274" s="10"/>
      <c r="D274" s="10"/>
      <c r="E274" s="10"/>
      <c r="F274" s="10"/>
      <c r="G274" s="10"/>
      <c r="H274" s="10"/>
      <c r="I274" s="1" t="str">
        <f t="shared" si="12"/>
        <v/>
      </c>
      <c r="J274" s="1" t="s">
        <v>35</v>
      </c>
      <c r="K274" s="1" t="str">
        <f t="shared" si="13"/>
        <v/>
      </c>
      <c r="L274" s="1" t="str">
        <f t="shared" si="14"/>
        <v/>
      </c>
      <c r="M274" s="1">
        <f>IF(OR(Table1[[#This Row],[Std Nom]]="",Table1[[#This Row],[Std Read]]=""),0,Table1[[#This Row],[Std Nom]]-Table1[[#This Row],[Std Read]])</f>
        <v>0</v>
      </c>
      <c r="N274" s="1">
        <f>IF(Calculations!$F$5="ACCREDITED 17025 WITH UNCERTAINTIES",$N$10,0)</f>
        <v>0</v>
      </c>
      <c r="O274" s="1" t="str">
        <f>IFERROR(Table1[[#This Row],[Std Nom]]-(_xlfn.XLOOKUP(Table1[[#This Row],[Manufacturer]]&amp;" "&amp;Table1[[#This Row],[Model]],Table13[MFR &amp; MDL],Table13[Tolerance % CW ],"")/100*Table1[[#This Row],[Std Nom]]),"")</f>
        <v/>
      </c>
      <c r="P274" s="1" t="str">
        <f>IFERROR(Table1[[#This Row],[Std Nom]]+(_xlfn.XLOOKUP(Table1[[#This Row],[Manufacturer]]&amp;" "&amp;Table1[[#This Row],[Model]],Table13[MFR &amp; MDL],Table13[Tolerance % CW ],"")/100*Table1[[#This Row],[Std Nom]]),"")</f>
        <v/>
      </c>
      <c r="Q274" s="1" t="e">
        <f>Table1[[#This Row],[High Tol]]-Table1[[#This Row],[Low Tol]]</f>
        <v>#VALUE!</v>
      </c>
      <c r="R274" s="1">
        <f>2*Table1[[#This Row],[Std Error]]</f>
        <v>0</v>
      </c>
      <c r="S274" s="1" t="str">
        <f>IF(Table1[[#This Row],[High Tol]]="","N/A",IFERROR(ABS(Table1[[#This Row],[Tol Span]]/Table1[[#This Row],[Error Span]]),"N/A"))</f>
        <v>N/A</v>
      </c>
      <c r="T274" s="1" t="str">
        <f>IF(OR(Table1[[#This Row],[Low Tol]]="",Table1[[#This Row],[High Tol]]=""),"Needs Analysis",IF(Table1[[#This Row],[Ratio]]&gt;=4,"Not Significant",IF(Table1[[#This Row],[Ratio]]&gt;=2,"Semi-Significant","Significant")))</f>
        <v>Needs Analysis</v>
      </c>
      <c r="W274" s="1">
        <f>IF(Table1[[#This Row],[Cal Type]]&lt;&gt;"ACCREDITED 17025 WITH UNCERTAINTIES",0,"")</f>
        <v>0</v>
      </c>
      <c r="X274" s="1" t="str">
        <f>IF(Table1[[#This Row],[DUT Read]]="","N/A",Table1[[#This Row],[Std Error]]+Table1[[#This Row],[DUT Read]]+Table1[[#This Row],[DUT Ucty]])</f>
        <v>N/A</v>
      </c>
      <c r="Y274" s="1" t="str">
        <f>IF(Table1[[#This Row],[Std Read]]="","N/A",Table1[[#This Row],[Std Read]]+Table1[[#This Row],[Std Ucty]])</f>
        <v>N/A</v>
      </c>
      <c r="Z2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 s="1" t="str">
        <f>IF(Table1[[#This Row],[Spec Type]]="","N/A",Table1[[#This Row],[Spec Type]])</f>
        <v>±</v>
      </c>
      <c r="AC274" s="1" t="str">
        <f>IF(Table1[[#This Row],[Spec Type2]]="N/A","N/A",IF(AND(Table1[[#This Row],[DUT Adj Read]]&gt;=Table1[[#This Row],[Low Tol]],Table1[[#This Row],[DUT Adj Read]]&lt;=Table1[[#This Row],[High Tol]]),"Pass","Fail"))</f>
        <v>Fail</v>
      </c>
      <c r="AD274" s="1" t="str">
        <f>IF(AND(Table1[[#This Row],[Spec Type2]]="N/A",Table1[[#This Row],[DUT Adj Read]]="N/A",Table1[[#This Row],[Std Adj Read]]="N/A"),"N/A",IF(Table1[[#This Row],[DUT Adj Read]]="N/A",IF(Table1[[#This Row],[Std Adj Read]]&gt;Table1[[#This Row],[Low Tol]],"Pass","Fail"),IF(Table1[[#This Row],[DUT Adj Read]]&gt;Table1[[#This Row],[Low Tol]],"Pass","Fail")))</f>
        <v>Pass</v>
      </c>
      <c r="AE274" s="1" t="str">
        <f>IF(AND(Table1[[#This Row],[Spec Type2]]="N/A",Table1[[#This Row],[DUT Adj Read]]="N/A",Table1[[#This Row],[Std Adj Read]]="N/A"),"N/A",IF(Table1[[#This Row],[DUT Adj Read]]="N/A",IF(Table1[[#This Row],[Std Adj Read]]&lt;Table1[[#This Row],[High Tol]],"Pass","Fail"),IF(Table1[[#This Row],[DUT Adj Read]]&lt;Table1[[#This Row],[High Tol]],"Pass","Fail")))</f>
        <v>Fail</v>
      </c>
      <c r="AF274" s="1" t="str">
        <f>IF(AND(Table1[[#This Row],[Spec Type2]]="N/A",Table1[[#This Row],[DUT Adj Read]]="N/A",Table1[[#This Row],[Std Adj Read]]="N/A"),"N/A",IF(Table1[[#This Row],[DUT Adj Read]]="N/A",IF(Table1[[#This Row],[Std Adj Read]]&gt;=Table1[[#This Row],[Low Tol]],"Pass","Fail"),IF(Table1[[#This Row],[DUT Adj Read]]&gt;=Table1[[#This Row],[Low Tol]],"Pass","Fail")))</f>
        <v>Pass</v>
      </c>
      <c r="AG274" s="1" t="str">
        <f>IF(AND(Table1[[#This Row],[Spec Type2]]="N/A",Table1[[#This Row],[DUT Adj Read]]="N/A",Table1[[#This Row],[Std Adj Read]]="N/A"),"N/A",IF(Table1[[#This Row],[DUT Adj Read]]="N/A",IF(Table1[[#This Row],[Std Adj Read]]&lt;=Table1[[#This Row],[High Tol]],"Pass","Fail"),IF(Table1[[#This Row],[DUT Adj Read]]&lt;=Table1[[#This Row],[High Tol]],"Pass","Fail")))</f>
        <v>Fail</v>
      </c>
      <c r="AH2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 s="1" t="b">
        <v>0</v>
      </c>
      <c r="AN274" s="1" t="b">
        <v>0</v>
      </c>
      <c r="AO274" s="1" t="b">
        <v>0</v>
      </c>
    </row>
    <row r="275" spans="1:41" x14ac:dyDescent="0.25">
      <c r="A275" s="10"/>
      <c r="B275" s="10"/>
      <c r="C275" s="10"/>
      <c r="D275" s="10"/>
      <c r="E275" s="10"/>
      <c r="F275" s="10"/>
      <c r="G275" s="10"/>
      <c r="H275" s="10"/>
      <c r="I275" s="1" t="str">
        <f t="shared" si="12"/>
        <v/>
      </c>
      <c r="J275" s="1" t="s">
        <v>35</v>
      </c>
      <c r="K275" s="1" t="str">
        <f t="shared" si="13"/>
        <v/>
      </c>
      <c r="L275" s="1" t="str">
        <f t="shared" si="14"/>
        <v/>
      </c>
      <c r="M275" s="1">
        <f>IF(OR(Table1[[#This Row],[Std Nom]]="",Table1[[#This Row],[Std Read]]=""),0,Table1[[#This Row],[Std Nom]]-Table1[[#This Row],[Std Read]])</f>
        <v>0</v>
      </c>
      <c r="N275" s="1">
        <f>IF(Calculations!$F$5="ACCREDITED 17025 WITH UNCERTAINTIES",$N$10,0)</f>
        <v>0</v>
      </c>
      <c r="O275" s="1" t="str">
        <f>IFERROR(Table1[[#This Row],[Std Nom]]-(_xlfn.XLOOKUP(Table1[[#This Row],[Manufacturer]]&amp;" "&amp;Table1[[#This Row],[Model]],Table13[MFR &amp; MDL],Table13[Tolerance % CW ],"")/100*Table1[[#This Row],[Std Nom]]),"")</f>
        <v/>
      </c>
      <c r="P275" s="1" t="str">
        <f>IFERROR(Table1[[#This Row],[Std Nom]]+(_xlfn.XLOOKUP(Table1[[#This Row],[Manufacturer]]&amp;" "&amp;Table1[[#This Row],[Model]],Table13[MFR &amp; MDL],Table13[Tolerance % CW ],"")/100*Table1[[#This Row],[Std Nom]]),"")</f>
        <v/>
      </c>
      <c r="Q275" s="1" t="e">
        <f>Table1[[#This Row],[High Tol]]-Table1[[#This Row],[Low Tol]]</f>
        <v>#VALUE!</v>
      </c>
      <c r="R275" s="1">
        <f>2*Table1[[#This Row],[Std Error]]</f>
        <v>0</v>
      </c>
      <c r="S275" s="1" t="str">
        <f>IF(Table1[[#This Row],[High Tol]]="","N/A",IFERROR(ABS(Table1[[#This Row],[Tol Span]]/Table1[[#This Row],[Error Span]]),"N/A"))</f>
        <v>N/A</v>
      </c>
      <c r="T275" s="1" t="str">
        <f>IF(OR(Table1[[#This Row],[Low Tol]]="",Table1[[#This Row],[High Tol]]=""),"Needs Analysis",IF(Table1[[#This Row],[Ratio]]&gt;=4,"Not Significant",IF(Table1[[#This Row],[Ratio]]&gt;=2,"Semi-Significant","Significant")))</f>
        <v>Needs Analysis</v>
      </c>
      <c r="W275" s="1">
        <f>IF(Table1[[#This Row],[Cal Type]]&lt;&gt;"ACCREDITED 17025 WITH UNCERTAINTIES",0,"")</f>
        <v>0</v>
      </c>
      <c r="X275" s="1" t="str">
        <f>IF(Table1[[#This Row],[DUT Read]]="","N/A",Table1[[#This Row],[Std Error]]+Table1[[#This Row],[DUT Read]]+Table1[[#This Row],[DUT Ucty]])</f>
        <v>N/A</v>
      </c>
      <c r="Y275" s="1" t="str">
        <f>IF(Table1[[#This Row],[Std Read]]="","N/A",Table1[[#This Row],[Std Read]]+Table1[[#This Row],[Std Ucty]])</f>
        <v>N/A</v>
      </c>
      <c r="Z2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 s="1" t="str">
        <f>IF(Table1[[#This Row],[Spec Type]]="","N/A",Table1[[#This Row],[Spec Type]])</f>
        <v>±</v>
      </c>
      <c r="AC275" s="1" t="str">
        <f>IF(Table1[[#This Row],[Spec Type2]]="N/A","N/A",IF(AND(Table1[[#This Row],[DUT Adj Read]]&gt;=Table1[[#This Row],[Low Tol]],Table1[[#This Row],[DUT Adj Read]]&lt;=Table1[[#This Row],[High Tol]]),"Pass","Fail"))</f>
        <v>Fail</v>
      </c>
      <c r="AD275" s="1" t="str">
        <f>IF(AND(Table1[[#This Row],[Spec Type2]]="N/A",Table1[[#This Row],[DUT Adj Read]]="N/A",Table1[[#This Row],[Std Adj Read]]="N/A"),"N/A",IF(Table1[[#This Row],[DUT Adj Read]]="N/A",IF(Table1[[#This Row],[Std Adj Read]]&gt;Table1[[#This Row],[Low Tol]],"Pass","Fail"),IF(Table1[[#This Row],[DUT Adj Read]]&gt;Table1[[#This Row],[Low Tol]],"Pass","Fail")))</f>
        <v>Pass</v>
      </c>
      <c r="AE275" s="1" t="str">
        <f>IF(AND(Table1[[#This Row],[Spec Type2]]="N/A",Table1[[#This Row],[DUT Adj Read]]="N/A",Table1[[#This Row],[Std Adj Read]]="N/A"),"N/A",IF(Table1[[#This Row],[DUT Adj Read]]="N/A",IF(Table1[[#This Row],[Std Adj Read]]&lt;Table1[[#This Row],[High Tol]],"Pass","Fail"),IF(Table1[[#This Row],[DUT Adj Read]]&lt;Table1[[#This Row],[High Tol]],"Pass","Fail")))</f>
        <v>Fail</v>
      </c>
      <c r="AF275" s="1" t="str">
        <f>IF(AND(Table1[[#This Row],[Spec Type2]]="N/A",Table1[[#This Row],[DUT Adj Read]]="N/A",Table1[[#This Row],[Std Adj Read]]="N/A"),"N/A",IF(Table1[[#This Row],[DUT Adj Read]]="N/A",IF(Table1[[#This Row],[Std Adj Read]]&gt;=Table1[[#This Row],[Low Tol]],"Pass","Fail"),IF(Table1[[#This Row],[DUT Adj Read]]&gt;=Table1[[#This Row],[Low Tol]],"Pass","Fail")))</f>
        <v>Pass</v>
      </c>
      <c r="AG275" s="1" t="str">
        <f>IF(AND(Table1[[#This Row],[Spec Type2]]="N/A",Table1[[#This Row],[DUT Adj Read]]="N/A",Table1[[#This Row],[Std Adj Read]]="N/A"),"N/A",IF(Table1[[#This Row],[DUT Adj Read]]="N/A",IF(Table1[[#This Row],[Std Adj Read]]&lt;=Table1[[#This Row],[High Tol]],"Pass","Fail"),IF(Table1[[#This Row],[DUT Adj Read]]&lt;=Table1[[#This Row],[High Tol]],"Pass","Fail")))</f>
        <v>Fail</v>
      </c>
      <c r="AH2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 s="1" t="b">
        <v>0</v>
      </c>
      <c r="AN275" s="1" t="b">
        <v>0</v>
      </c>
      <c r="AO275" s="1" t="b">
        <v>0</v>
      </c>
    </row>
    <row r="276" spans="1:41" x14ac:dyDescent="0.25">
      <c r="A276" s="10"/>
      <c r="B276" s="10"/>
      <c r="C276" s="10"/>
      <c r="D276" s="10"/>
      <c r="E276" s="10"/>
      <c r="F276" s="10"/>
      <c r="G276" s="10"/>
      <c r="H276" s="10"/>
      <c r="I276" s="1" t="str">
        <f t="shared" si="12"/>
        <v/>
      </c>
      <c r="J276" s="1" t="s">
        <v>35</v>
      </c>
      <c r="K276" s="1" t="str">
        <f t="shared" si="13"/>
        <v/>
      </c>
      <c r="L276" s="1" t="str">
        <f t="shared" si="14"/>
        <v/>
      </c>
      <c r="M276" s="1">
        <f>IF(OR(Table1[[#This Row],[Std Nom]]="",Table1[[#This Row],[Std Read]]=""),0,Table1[[#This Row],[Std Nom]]-Table1[[#This Row],[Std Read]])</f>
        <v>0</v>
      </c>
      <c r="N276" s="1">
        <f>IF(Calculations!$F$5="ACCREDITED 17025 WITH UNCERTAINTIES",$N$10,0)</f>
        <v>0</v>
      </c>
      <c r="O276" s="1" t="str">
        <f>IFERROR(Table1[[#This Row],[Std Nom]]-(_xlfn.XLOOKUP(Table1[[#This Row],[Manufacturer]]&amp;" "&amp;Table1[[#This Row],[Model]],Table13[MFR &amp; MDL],Table13[Tolerance % CW ],"")/100*Table1[[#This Row],[Std Nom]]),"")</f>
        <v/>
      </c>
      <c r="P276" s="1" t="str">
        <f>IFERROR(Table1[[#This Row],[Std Nom]]+(_xlfn.XLOOKUP(Table1[[#This Row],[Manufacturer]]&amp;" "&amp;Table1[[#This Row],[Model]],Table13[MFR &amp; MDL],Table13[Tolerance % CW ],"")/100*Table1[[#This Row],[Std Nom]]),"")</f>
        <v/>
      </c>
      <c r="Q276" s="1" t="e">
        <f>Table1[[#This Row],[High Tol]]-Table1[[#This Row],[Low Tol]]</f>
        <v>#VALUE!</v>
      </c>
      <c r="R276" s="1">
        <f>2*Table1[[#This Row],[Std Error]]</f>
        <v>0</v>
      </c>
      <c r="S276" s="1" t="str">
        <f>IF(Table1[[#This Row],[High Tol]]="","N/A",IFERROR(ABS(Table1[[#This Row],[Tol Span]]/Table1[[#This Row],[Error Span]]),"N/A"))</f>
        <v>N/A</v>
      </c>
      <c r="T276" s="1" t="str">
        <f>IF(OR(Table1[[#This Row],[Low Tol]]="",Table1[[#This Row],[High Tol]]=""),"Needs Analysis",IF(Table1[[#This Row],[Ratio]]&gt;=4,"Not Significant",IF(Table1[[#This Row],[Ratio]]&gt;=2,"Semi-Significant","Significant")))</f>
        <v>Needs Analysis</v>
      </c>
      <c r="W276" s="1">
        <f>IF(Table1[[#This Row],[Cal Type]]&lt;&gt;"ACCREDITED 17025 WITH UNCERTAINTIES",0,"")</f>
        <v>0</v>
      </c>
      <c r="X276" s="1" t="str">
        <f>IF(Table1[[#This Row],[DUT Read]]="","N/A",Table1[[#This Row],[Std Error]]+Table1[[#This Row],[DUT Read]]+Table1[[#This Row],[DUT Ucty]])</f>
        <v>N/A</v>
      </c>
      <c r="Y276" s="1" t="str">
        <f>IF(Table1[[#This Row],[Std Read]]="","N/A",Table1[[#This Row],[Std Read]]+Table1[[#This Row],[Std Ucty]])</f>
        <v>N/A</v>
      </c>
      <c r="Z2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 s="1" t="str">
        <f>IF(Table1[[#This Row],[Spec Type]]="","N/A",Table1[[#This Row],[Spec Type]])</f>
        <v>±</v>
      </c>
      <c r="AC276" s="1" t="str">
        <f>IF(Table1[[#This Row],[Spec Type2]]="N/A","N/A",IF(AND(Table1[[#This Row],[DUT Adj Read]]&gt;=Table1[[#This Row],[Low Tol]],Table1[[#This Row],[DUT Adj Read]]&lt;=Table1[[#This Row],[High Tol]]),"Pass","Fail"))</f>
        <v>Fail</v>
      </c>
      <c r="AD276" s="1" t="str">
        <f>IF(AND(Table1[[#This Row],[Spec Type2]]="N/A",Table1[[#This Row],[DUT Adj Read]]="N/A",Table1[[#This Row],[Std Adj Read]]="N/A"),"N/A",IF(Table1[[#This Row],[DUT Adj Read]]="N/A",IF(Table1[[#This Row],[Std Adj Read]]&gt;Table1[[#This Row],[Low Tol]],"Pass","Fail"),IF(Table1[[#This Row],[DUT Adj Read]]&gt;Table1[[#This Row],[Low Tol]],"Pass","Fail")))</f>
        <v>Pass</v>
      </c>
      <c r="AE276" s="1" t="str">
        <f>IF(AND(Table1[[#This Row],[Spec Type2]]="N/A",Table1[[#This Row],[DUT Adj Read]]="N/A",Table1[[#This Row],[Std Adj Read]]="N/A"),"N/A",IF(Table1[[#This Row],[DUT Adj Read]]="N/A",IF(Table1[[#This Row],[Std Adj Read]]&lt;Table1[[#This Row],[High Tol]],"Pass","Fail"),IF(Table1[[#This Row],[DUT Adj Read]]&lt;Table1[[#This Row],[High Tol]],"Pass","Fail")))</f>
        <v>Fail</v>
      </c>
      <c r="AF276" s="1" t="str">
        <f>IF(AND(Table1[[#This Row],[Spec Type2]]="N/A",Table1[[#This Row],[DUT Adj Read]]="N/A",Table1[[#This Row],[Std Adj Read]]="N/A"),"N/A",IF(Table1[[#This Row],[DUT Adj Read]]="N/A",IF(Table1[[#This Row],[Std Adj Read]]&gt;=Table1[[#This Row],[Low Tol]],"Pass","Fail"),IF(Table1[[#This Row],[DUT Adj Read]]&gt;=Table1[[#This Row],[Low Tol]],"Pass","Fail")))</f>
        <v>Pass</v>
      </c>
      <c r="AG276" s="1" t="str">
        <f>IF(AND(Table1[[#This Row],[Spec Type2]]="N/A",Table1[[#This Row],[DUT Adj Read]]="N/A",Table1[[#This Row],[Std Adj Read]]="N/A"),"N/A",IF(Table1[[#This Row],[DUT Adj Read]]="N/A",IF(Table1[[#This Row],[Std Adj Read]]&lt;=Table1[[#This Row],[High Tol]],"Pass","Fail"),IF(Table1[[#This Row],[DUT Adj Read]]&lt;=Table1[[#This Row],[High Tol]],"Pass","Fail")))</f>
        <v>Fail</v>
      </c>
      <c r="AH2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 s="1" t="b">
        <v>0</v>
      </c>
      <c r="AN276" s="1" t="b">
        <v>0</v>
      </c>
      <c r="AO276" s="1" t="b">
        <v>0</v>
      </c>
    </row>
    <row r="277" spans="1:41" x14ac:dyDescent="0.25">
      <c r="A277" s="10"/>
      <c r="B277" s="10"/>
      <c r="C277" s="10"/>
      <c r="D277" s="10"/>
      <c r="E277" s="10"/>
      <c r="F277" s="10"/>
      <c r="G277" s="10"/>
      <c r="H277" s="10"/>
      <c r="I277" s="1" t="str">
        <f t="shared" si="12"/>
        <v/>
      </c>
      <c r="J277" s="1" t="s">
        <v>35</v>
      </c>
      <c r="K277" s="1" t="str">
        <f t="shared" si="13"/>
        <v/>
      </c>
      <c r="L277" s="1" t="str">
        <f t="shared" si="14"/>
        <v/>
      </c>
      <c r="M277" s="1">
        <f>IF(OR(Table1[[#This Row],[Std Nom]]="",Table1[[#This Row],[Std Read]]=""),0,Table1[[#This Row],[Std Nom]]-Table1[[#This Row],[Std Read]])</f>
        <v>0</v>
      </c>
      <c r="N277" s="1">
        <f>IF(Calculations!$F$5="ACCREDITED 17025 WITH UNCERTAINTIES",$N$10,0)</f>
        <v>0</v>
      </c>
      <c r="O277" s="1" t="str">
        <f>IFERROR(Table1[[#This Row],[Std Nom]]-(_xlfn.XLOOKUP(Table1[[#This Row],[Manufacturer]]&amp;" "&amp;Table1[[#This Row],[Model]],Table13[MFR &amp; MDL],Table13[Tolerance % CW ],"")/100*Table1[[#This Row],[Std Nom]]),"")</f>
        <v/>
      </c>
      <c r="P277" s="1" t="str">
        <f>IFERROR(Table1[[#This Row],[Std Nom]]+(_xlfn.XLOOKUP(Table1[[#This Row],[Manufacturer]]&amp;" "&amp;Table1[[#This Row],[Model]],Table13[MFR &amp; MDL],Table13[Tolerance % CW ],"")/100*Table1[[#This Row],[Std Nom]]),"")</f>
        <v/>
      </c>
      <c r="Q277" s="1" t="e">
        <f>Table1[[#This Row],[High Tol]]-Table1[[#This Row],[Low Tol]]</f>
        <v>#VALUE!</v>
      </c>
      <c r="R277" s="1">
        <f>2*Table1[[#This Row],[Std Error]]</f>
        <v>0</v>
      </c>
      <c r="S277" s="1" t="str">
        <f>IF(Table1[[#This Row],[High Tol]]="","N/A",IFERROR(ABS(Table1[[#This Row],[Tol Span]]/Table1[[#This Row],[Error Span]]),"N/A"))</f>
        <v>N/A</v>
      </c>
      <c r="T277" s="1" t="str">
        <f>IF(OR(Table1[[#This Row],[Low Tol]]="",Table1[[#This Row],[High Tol]]=""),"Needs Analysis",IF(Table1[[#This Row],[Ratio]]&gt;=4,"Not Significant",IF(Table1[[#This Row],[Ratio]]&gt;=2,"Semi-Significant","Significant")))</f>
        <v>Needs Analysis</v>
      </c>
      <c r="W277" s="1">
        <f>IF(Table1[[#This Row],[Cal Type]]&lt;&gt;"ACCREDITED 17025 WITH UNCERTAINTIES",0,"")</f>
        <v>0</v>
      </c>
      <c r="X277" s="1" t="str">
        <f>IF(Table1[[#This Row],[DUT Read]]="","N/A",Table1[[#This Row],[Std Error]]+Table1[[#This Row],[DUT Read]]+Table1[[#This Row],[DUT Ucty]])</f>
        <v>N/A</v>
      </c>
      <c r="Y277" s="1" t="str">
        <f>IF(Table1[[#This Row],[Std Read]]="","N/A",Table1[[#This Row],[Std Read]]+Table1[[#This Row],[Std Ucty]])</f>
        <v>N/A</v>
      </c>
      <c r="Z2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 s="1" t="str">
        <f>IF(Table1[[#This Row],[Spec Type]]="","N/A",Table1[[#This Row],[Spec Type]])</f>
        <v>±</v>
      </c>
      <c r="AC277" s="1" t="str">
        <f>IF(Table1[[#This Row],[Spec Type2]]="N/A","N/A",IF(AND(Table1[[#This Row],[DUT Adj Read]]&gt;=Table1[[#This Row],[Low Tol]],Table1[[#This Row],[DUT Adj Read]]&lt;=Table1[[#This Row],[High Tol]]),"Pass","Fail"))</f>
        <v>Fail</v>
      </c>
      <c r="AD277" s="1" t="str">
        <f>IF(AND(Table1[[#This Row],[Spec Type2]]="N/A",Table1[[#This Row],[DUT Adj Read]]="N/A",Table1[[#This Row],[Std Adj Read]]="N/A"),"N/A",IF(Table1[[#This Row],[DUT Adj Read]]="N/A",IF(Table1[[#This Row],[Std Adj Read]]&gt;Table1[[#This Row],[Low Tol]],"Pass","Fail"),IF(Table1[[#This Row],[DUT Adj Read]]&gt;Table1[[#This Row],[Low Tol]],"Pass","Fail")))</f>
        <v>Pass</v>
      </c>
      <c r="AE277" s="1" t="str">
        <f>IF(AND(Table1[[#This Row],[Spec Type2]]="N/A",Table1[[#This Row],[DUT Adj Read]]="N/A",Table1[[#This Row],[Std Adj Read]]="N/A"),"N/A",IF(Table1[[#This Row],[DUT Adj Read]]="N/A",IF(Table1[[#This Row],[Std Adj Read]]&lt;Table1[[#This Row],[High Tol]],"Pass","Fail"),IF(Table1[[#This Row],[DUT Adj Read]]&lt;Table1[[#This Row],[High Tol]],"Pass","Fail")))</f>
        <v>Fail</v>
      </c>
      <c r="AF277" s="1" t="str">
        <f>IF(AND(Table1[[#This Row],[Spec Type2]]="N/A",Table1[[#This Row],[DUT Adj Read]]="N/A",Table1[[#This Row],[Std Adj Read]]="N/A"),"N/A",IF(Table1[[#This Row],[DUT Adj Read]]="N/A",IF(Table1[[#This Row],[Std Adj Read]]&gt;=Table1[[#This Row],[Low Tol]],"Pass","Fail"),IF(Table1[[#This Row],[DUT Adj Read]]&gt;=Table1[[#This Row],[Low Tol]],"Pass","Fail")))</f>
        <v>Pass</v>
      </c>
      <c r="AG277" s="1" t="str">
        <f>IF(AND(Table1[[#This Row],[Spec Type2]]="N/A",Table1[[#This Row],[DUT Adj Read]]="N/A",Table1[[#This Row],[Std Adj Read]]="N/A"),"N/A",IF(Table1[[#This Row],[DUT Adj Read]]="N/A",IF(Table1[[#This Row],[Std Adj Read]]&lt;=Table1[[#This Row],[High Tol]],"Pass","Fail"),IF(Table1[[#This Row],[DUT Adj Read]]&lt;=Table1[[#This Row],[High Tol]],"Pass","Fail")))</f>
        <v>Fail</v>
      </c>
      <c r="AH2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 s="1" t="b">
        <v>0</v>
      </c>
      <c r="AN277" s="1" t="b">
        <v>0</v>
      </c>
      <c r="AO277" s="1" t="b">
        <v>0</v>
      </c>
    </row>
    <row r="278" spans="1:41" x14ac:dyDescent="0.25">
      <c r="A278" s="10"/>
      <c r="B278" s="10"/>
      <c r="C278" s="10"/>
      <c r="D278" s="10"/>
      <c r="E278" s="10"/>
      <c r="F278" s="10"/>
      <c r="G278" s="10"/>
      <c r="H278" s="10"/>
      <c r="I278" s="1" t="str">
        <f t="shared" si="12"/>
        <v/>
      </c>
      <c r="J278" s="1" t="s">
        <v>35</v>
      </c>
      <c r="K278" s="1" t="str">
        <f t="shared" si="13"/>
        <v/>
      </c>
      <c r="L278" s="1" t="str">
        <f t="shared" si="14"/>
        <v/>
      </c>
      <c r="M278" s="1">
        <f>IF(OR(Table1[[#This Row],[Std Nom]]="",Table1[[#This Row],[Std Read]]=""),0,Table1[[#This Row],[Std Nom]]-Table1[[#This Row],[Std Read]])</f>
        <v>0</v>
      </c>
      <c r="N278" s="1">
        <f>IF(Calculations!$F$5="ACCREDITED 17025 WITH UNCERTAINTIES",$N$10,0)</f>
        <v>0</v>
      </c>
      <c r="O278" s="1" t="str">
        <f>IFERROR(Table1[[#This Row],[Std Nom]]-(_xlfn.XLOOKUP(Table1[[#This Row],[Manufacturer]]&amp;" "&amp;Table1[[#This Row],[Model]],Table13[MFR &amp; MDL],Table13[Tolerance % CW ],"")/100*Table1[[#This Row],[Std Nom]]),"")</f>
        <v/>
      </c>
      <c r="P278" s="1" t="str">
        <f>IFERROR(Table1[[#This Row],[Std Nom]]+(_xlfn.XLOOKUP(Table1[[#This Row],[Manufacturer]]&amp;" "&amp;Table1[[#This Row],[Model]],Table13[MFR &amp; MDL],Table13[Tolerance % CW ],"")/100*Table1[[#This Row],[Std Nom]]),"")</f>
        <v/>
      </c>
      <c r="Q278" s="1" t="e">
        <f>Table1[[#This Row],[High Tol]]-Table1[[#This Row],[Low Tol]]</f>
        <v>#VALUE!</v>
      </c>
      <c r="R278" s="1">
        <f>2*Table1[[#This Row],[Std Error]]</f>
        <v>0</v>
      </c>
      <c r="S278" s="1" t="str">
        <f>IF(Table1[[#This Row],[High Tol]]="","N/A",IFERROR(ABS(Table1[[#This Row],[Tol Span]]/Table1[[#This Row],[Error Span]]),"N/A"))</f>
        <v>N/A</v>
      </c>
      <c r="T278" s="1" t="str">
        <f>IF(OR(Table1[[#This Row],[Low Tol]]="",Table1[[#This Row],[High Tol]]=""),"Needs Analysis",IF(Table1[[#This Row],[Ratio]]&gt;=4,"Not Significant",IF(Table1[[#This Row],[Ratio]]&gt;=2,"Semi-Significant","Significant")))</f>
        <v>Needs Analysis</v>
      </c>
      <c r="W278" s="1">
        <f>IF(Table1[[#This Row],[Cal Type]]&lt;&gt;"ACCREDITED 17025 WITH UNCERTAINTIES",0,"")</f>
        <v>0</v>
      </c>
      <c r="X278" s="1" t="str">
        <f>IF(Table1[[#This Row],[DUT Read]]="","N/A",Table1[[#This Row],[Std Error]]+Table1[[#This Row],[DUT Read]]+Table1[[#This Row],[DUT Ucty]])</f>
        <v>N/A</v>
      </c>
      <c r="Y278" s="1" t="str">
        <f>IF(Table1[[#This Row],[Std Read]]="","N/A",Table1[[#This Row],[Std Read]]+Table1[[#This Row],[Std Ucty]])</f>
        <v>N/A</v>
      </c>
      <c r="Z2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 s="1" t="str">
        <f>IF(Table1[[#This Row],[Spec Type]]="","N/A",Table1[[#This Row],[Spec Type]])</f>
        <v>±</v>
      </c>
      <c r="AC278" s="1" t="str">
        <f>IF(Table1[[#This Row],[Spec Type2]]="N/A","N/A",IF(AND(Table1[[#This Row],[DUT Adj Read]]&gt;=Table1[[#This Row],[Low Tol]],Table1[[#This Row],[DUT Adj Read]]&lt;=Table1[[#This Row],[High Tol]]),"Pass","Fail"))</f>
        <v>Fail</v>
      </c>
      <c r="AD278" s="1" t="str">
        <f>IF(AND(Table1[[#This Row],[Spec Type2]]="N/A",Table1[[#This Row],[DUT Adj Read]]="N/A",Table1[[#This Row],[Std Adj Read]]="N/A"),"N/A",IF(Table1[[#This Row],[DUT Adj Read]]="N/A",IF(Table1[[#This Row],[Std Adj Read]]&gt;Table1[[#This Row],[Low Tol]],"Pass","Fail"),IF(Table1[[#This Row],[DUT Adj Read]]&gt;Table1[[#This Row],[Low Tol]],"Pass","Fail")))</f>
        <v>Pass</v>
      </c>
      <c r="AE278" s="1" t="str">
        <f>IF(AND(Table1[[#This Row],[Spec Type2]]="N/A",Table1[[#This Row],[DUT Adj Read]]="N/A",Table1[[#This Row],[Std Adj Read]]="N/A"),"N/A",IF(Table1[[#This Row],[DUT Adj Read]]="N/A",IF(Table1[[#This Row],[Std Adj Read]]&lt;Table1[[#This Row],[High Tol]],"Pass","Fail"),IF(Table1[[#This Row],[DUT Adj Read]]&lt;Table1[[#This Row],[High Tol]],"Pass","Fail")))</f>
        <v>Fail</v>
      </c>
      <c r="AF278" s="1" t="str">
        <f>IF(AND(Table1[[#This Row],[Spec Type2]]="N/A",Table1[[#This Row],[DUT Adj Read]]="N/A",Table1[[#This Row],[Std Adj Read]]="N/A"),"N/A",IF(Table1[[#This Row],[DUT Adj Read]]="N/A",IF(Table1[[#This Row],[Std Adj Read]]&gt;=Table1[[#This Row],[Low Tol]],"Pass","Fail"),IF(Table1[[#This Row],[DUT Adj Read]]&gt;=Table1[[#This Row],[Low Tol]],"Pass","Fail")))</f>
        <v>Pass</v>
      </c>
      <c r="AG278" s="1" t="str">
        <f>IF(AND(Table1[[#This Row],[Spec Type2]]="N/A",Table1[[#This Row],[DUT Adj Read]]="N/A",Table1[[#This Row],[Std Adj Read]]="N/A"),"N/A",IF(Table1[[#This Row],[DUT Adj Read]]="N/A",IF(Table1[[#This Row],[Std Adj Read]]&lt;=Table1[[#This Row],[High Tol]],"Pass","Fail"),IF(Table1[[#This Row],[DUT Adj Read]]&lt;=Table1[[#This Row],[High Tol]],"Pass","Fail")))</f>
        <v>Fail</v>
      </c>
      <c r="AH2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 s="1" t="b">
        <v>0</v>
      </c>
      <c r="AN278" s="1" t="b">
        <v>0</v>
      </c>
      <c r="AO278" s="1" t="b">
        <v>0</v>
      </c>
    </row>
    <row r="279" spans="1:41" x14ac:dyDescent="0.25">
      <c r="A279" s="10"/>
      <c r="B279" s="10"/>
      <c r="C279" s="10"/>
      <c r="D279" s="10"/>
      <c r="E279" s="10"/>
      <c r="F279" s="10"/>
      <c r="G279" s="10"/>
      <c r="H279" s="10"/>
      <c r="I279" s="1" t="str">
        <f t="shared" si="12"/>
        <v/>
      </c>
      <c r="J279" s="1" t="s">
        <v>35</v>
      </c>
      <c r="K279" s="1" t="str">
        <f t="shared" si="13"/>
        <v/>
      </c>
      <c r="L279" s="1" t="str">
        <f t="shared" si="14"/>
        <v/>
      </c>
      <c r="M279" s="1">
        <f>IF(OR(Table1[[#This Row],[Std Nom]]="",Table1[[#This Row],[Std Read]]=""),0,Table1[[#This Row],[Std Nom]]-Table1[[#This Row],[Std Read]])</f>
        <v>0</v>
      </c>
      <c r="N279" s="1">
        <f>IF(Calculations!$F$5="ACCREDITED 17025 WITH UNCERTAINTIES",$N$10,0)</f>
        <v>0</v>
      </c>
      <c r="O279" s="1" t="str">
        <f>IFERROR(Table1[[#This Row],[Std Nom]]-(_xlfn.XLOOKUP(Table1[[#This Row],[Manufacturer]]&amp;" "&amp;Table1[[#This Row],[Model]],Table13[MFR &amp; MDL],Table13[Tolerance % CW ],"")/100*Table1[[#This Row],[Std Nom]]),"")</f>
        <v/>
      </c>
      <c r="P279" s="1" t="str">
        <f>IFERROR(Table1[[#This Row],[Std Nom]]+(_xlfn.XLOOKUP(Table1[[#This Row],[Manufacturer]]&amp;" "&amp;Table1[[#This Row],[Model]],Table13[MFR &amp; MDL],Table13[Tolerance % CW ],"")/100*Table1[[#This Row],[Std Nom]]),"")</f>
        <v/>
      </c>
      <c r="Q279" s="1" t="e">
        <f>Table1[[#This Row],[High Tol]]-Table1[[#This Row],[Low Tol]]</f>
        <v>#VALUE!</v>
      </c>
      <c r="R279" s="1">
        <f>2*Table1[[#This Row],[Std Error]]</f>
        <v>0</v>
      </c>
      <c r="S279" s="1" t="str">
        <f>IF(Table1[[#This Row],[High Tol]]="","N/A",IFERROR(ABS(Table1[[#This Row],[Tol Span]]/Table1[[#This Row],[Error Span]]),"N/A"))</f>
        <v>N/A</v>
      </c>
      <c r="T279" s="1" t="str">
        <f>IF(OR(Table1[[#This Row],[Low Tol]]="",Table1[[#This Row],[High Tol]]=""),"Needs Analysis",IF(Table1[[#This Row],[Ratio]]&gt;=4,"Not Significant",IF(Table1[[#This Row],[Ratio]]&gt;=2,"Semi-Significant","Significant")))</f>
        <v>Needs Analysis</v>
      </c>
      <c r="W279" s="1">
        <f>IF(Table1[[#This Row],[Cal Type]]&lt;&gt;"ACCREDITED 17025 WITH UNCERTAINTIES",0,"")</f>
        <v>0</v>
      </c>
      <c r="X279" s="1" t="str">
        <f>IF(Table1[[#This Row],[DUT Read]]="","N/A",Table1[[#This Row],[Std Error]]+Table1[[#This Row],[DUT Read]]+Table1[[#This Row],[DUT Ucty]])</f>
        <v>N/A</v>
      </c>
      <c r="Y279" s="1" t="str">
        <f>IF(Table1[[#This Row],[Std Read]]="","N/A",Table1[[#This Row],[Std Read]]+Table1[[#This Row],[Std Ucty]])</f>
        <v>N/A</v>
      </c>
      <c r="Z2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 s="1" t="str">
        <f>IF(Table1[[#This Row],[Spec Type]]="","N/A",Table1[[#This Row],[Spec Type]])</f>
        <v>±</v>
      </c>
      <c r="AC279" s="1" t="str">
        <f>IF(Table1[[#This Row],[Spec Type2]]="N/A","N/A",IF(AND(Table1[[#This Row],[DUT Adj Read]]&gt;=Table1[[#This Row],[Low Tol]],Table1[[#This Row],[DUT Adj Read]]&lt;=Table1[[#This Row],[High Tol]]),"Pass","Fail"))</f>
        <v>Fail</v>
      </c>
      <c r="AD279" s="1" t="str">
        <f>IF(AND(Table1[[#This Row],[Spec Type2]]="N/A",Table1[[#This Row],[DUT Adj Read]]="N/A",Table1[[#This Row],[Std Adj Read]]="N/A"),"N/A",IF(Table1[[#This Row],[DUT Adj Read]]="N/A",IF(Table1[[#This Row],[Std Adj Read]]&gt;Table1[[#This Row],[Low Tol]],"Pass","Fail"),IF(Table1[[#This Row],[DUT Adj Read]]&gt;Table1[[#This Row],[Low Tol]],"Pass","Fail")))</f>
        <v>Pass</v>
      </c>
      <c r="AE279" s="1" t="str">
        <f>IF(AND(Table1[[#This Row],[Spec Type2]]="N/A",Table1[[#This Row],[DUT Adj Read]]="N/A",Table1[[#This Row],[Std Adj Read]]="N/A"),"N/A",IF(Table1[[#This Row],[DUT Adj Read]]="N/A",IF(Table1[[#This Row],[Std Adj Read]]&lt;Table1[[#This Row],[High Tol]],"Pass","Fail"),IF(Table1[[#This Row],[DUT Adj Read]]&lt;Table1[[#This Row],[High Tol]],"Pass","Fail")))</f>
        <v>Fail</v>
      </c>
      <c r="AF279" s="1" t="str">
        <f>IF(AND(Table1[[#This Row],[Spec Type2]]="N/A",Table1[[#This Row],[DUT Adj Read]]="N/A",Table1[[#This Row],[Std Adj Read]]="N/A"),"N/A",IF(Table1[[#This Row],[DUT Adj Read]]="N/A",IF(Table1[[#This Row],[Std Adj Read]]&gt;=Table1[[#This Row],[Low Tol]],"Pass","Fail"),IF(Table1[[#This Row],[DUT Adj Read]]&gt;=Table1[[#This Row],[Low Tol]],"Pass","Fail")))</f>
        <v>Pass</v>
      </c>
      <c r="AG279" s="1" t="str">
        <f>IF(AND(Table1[[#This Row],[Spec Type2]]="N/A",Table1[[#This Row],[DUT Adj Read]]="N/A",Table1[[#This Row],[Std Adj Read]]="N/A"),"N/A",IF(Table1[[#This Row],[DUT Adj Read]]="N/A",IF(Table1[[#This Row],[Std Adj Read]]&lt;=Table1[[#This Row],[High Tol]],"Pass","Fail"),IF(Table1[[#This Row],[DUT Adj Read]]&lt;=Table1[[#This Row],[High Tol]],"Pass","Fail")))</f>
        <v>Fail</v>
      </c>
      <c r="AH2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 s="1" t="b">
        <v>0</v>
      </c>
      <c r="AN279" s="1" t="b">
        <v>0</v>
      </c>
      <c r="AO279" s="1" t="b">
        <v>0</v>
      </c>
    </row>
    <row r="280" spans="1:41" x14ac:dyDescent="0.25">
      <c r="A280" s="10"/>
      <c r="B280" s="10"/>
      <c r="C280" s="10"/>
      <c r="D280" s="10"/>
      <c r="E280" s="10"/>
      <c r="F280" s="10"/>
      <c r="G280" s="10"/>
      <c r="H280" s="10"/>
      <c r="I280" s="1" t="str">
        <f t="shared" si="12"/>
        <v/>
      </c>
      <c r="J280" s="1" t="s">
        <v>35</v>
      </c>
      <c r="K280" s="1" t="str">
        <f t="shared" si="13"/>
        <v/>
      </c>
      <c r="L280" s="1" t="str">
        <f t="shared" si="14"/>
        <v/>
      </c>
      <c r="M280" s="1">
        <f>IF(OR(Table1[[#This Row],[Std Nom]]="",Table1[[#This Row],[Std Read]]=""),0,Table1[[#This Row],[Std Nom]]-Table1[[#This Row],[Std Read]])</f>
        <v>0</v>
      </c>
      <c r="N280" s="1">
        <f>IF(Calculations!$F$5="ACCREDITED 17025 WITH UNCERTAINTIES",$N$10,0)</f>
        <v>0</v>
      </c>
      <c r="O280" s="1" t="str">
        <f>IFERROR(Table1[[#This Row],[Std Nom]]-(_xlfn.XLOOKUP(Table1[[#This Row],[Manufacturer]]&amp;" "&amp;Table1[[#This Row],[Model]],Table13[MFR &amp; MDL],Table13[Tolerance % CW ],"")/100*Table1[[#This Row],[Std Nom]]),"")</f>
        <v/>
      </c>
      <c r="P280" s="1" t="str">
        <f>IFERROR(Table1[[#This Row],[Std Nom]]+(_xlfn.XLOOKUP(Table1[[#This Row],[Manufacturer]]&amp;" "&amp;Table1[[#This Row],[Model]],Table13[MFR &amp; MDL],Table13[Tolerance % CW ],"")/100*Table1[[#This Row],[Std Nom]]),"")</f>
        <v/>
      </c>
      <c r="Q280" s="1" t="e">
        <f>Table1[[#This Row],[High Tol]]-Table1[[#This Row],[Low Tol]]</f>
        <v>#VALUE!</v>
      </c>
      <c r="R280" s="1">
        <f>2*Table1[[#This Row],[Std Error]]</f>
        <v>0</v>
      </c>
      <c r="S280" s="1" t="str">
        <f>IF(Table1[[#This Row],[High Tol]]="","N/A",IFERROR(ABS(Table1[[#This Row],[Tol Span]]/Table1[[#This Row],[Error Span]]),"N/A"))</f>
        <v>N/A</v>
      </c>
      <c r="T280" s="1" t="str">
        <f>IF(OR(Table1[[#This Row],[Low Tol]]="",Table1[[#This Row],[High Tol]]=""),"Needs Analysis",IF(Table1[[#This Row],[Ratio]]&gt;=4,"Not Significant",IF(Table1[[#This Row],[Ratio]]&gt;=2,"Semi-Significant","Significant")))</f>
        <v>Needs Analysis</v>
      </c>
      <c r="W280" s="1">
        <f>IF(Table1[[#This Row],[Cal Type]]&lt;&gt;"ACCREDITED 17025 WITH UNCERTAINTIES",0,"")</f>
        <v>0</v>
      </c>
      <c r="X280" s="1" t="str">
        <f>IF(Table1[[#This Row],[DUT Read]]="","N/A",Table1[[#This Row],[Std Error]]+Table1[[#This Row],[DUT Read]]+Table1[[#This Row],[DUT Ucty]])</f>
        <v>N/A</v>
      </c>
      <c r="Y280" s="1" t="str">
        <f>IF(Table1[[#This Row],[Std Read]]="","N/A",Table1[[#This Row],[Std Read]]+Table1[[#This Row],[Std Ucty]])</f>
        <v>N/A</v>
      </c>
      <c r="Z2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 s="1" t="str">
        <f>IF(Table1[[#This Row],[Spec Type]]="","N/A",Table1[[#This Row],[Spec Type]])</f>
        <v>±</v>
      </c>
      <c r="AC280" s="1" t="str">
        <f>IF(Table1[[#This Row],[Spec Type2]]="N/A","N/A",IF(AND(Table1[[#This Row],[DUT Adj Read]]&gt;=Table1[[#This Row],[Low Tol]],Table1[[#This Row],[DUT Adj Read]]&lt;=Table1[[#This Row],[High Tol]]),"Pass","Fail"))</f>
        <v>Fail</v>
      </c>
      <c r="AD280" s="1" t="str">
        <f>IF(AND(Table1[[#This Row],[Spec Type2]]="N/A",Table1[[#This Row],[DUT Adj Read]]="N/A",Table1[[#This Row],[Std Adj Read]]="N/A"),"N/A",IF(Table1[[#This Row],[DUT Adj Read]]="N/A",IF(Table1[[#This Row],[Std Adj Read]]&gt;Table1[[#This Row],[Low Tol]],"Pass","Fail"),IF(Table1[[#This Row],[DUT Adj Read]]&gt;Table1[[#This Row],[Low Tol]],"Pass","Fail")))</f>
        <v>Pass</v>
      </c>
      <c r="AE280" s="1" t="str">
        <f>IF(AND(Table1[[#This Row],[Spec Type2]]="N/A",Table1[[#This Row],[DUT Adj Read]]="N/A",Table1[[#This Row],[Std Adj Read]]="N/A"),"N/A",IF(Table1[[#This Row],[DUT Adj Read]]="N/A",IF(Table1[[#This Row],[Std Adj Read]]&lt;Table1[[#This Row],[High Tol]],"Pass","Fail"),IF(Table1[[#This Row],[DUT Adj Read]]&lt;Table1[[#This Row],[High Tol]],"Pass","Fail")))</f>
        <v>Fail</v>
      </c>
      <c r="AF280" s="1" t="str">
        <f>IF(AND(Table1[[#This Row],[Spec Type2]]="N/A",Table1[[#This Row],[DUT Adj Read]]="N/A",Table1[[#This Row],[Std Adj Read]]="N/A"),"N/A",IF(Table1[[#This Row],[DUT Adj Read]]="N/A",IF(Table1[[#This Row],[Std Adj Read]]&gt;=Table1[[#This Row],[Low Tol]],"Pass","Fail"),IF(Table1[[#This Row],[DUT Adj Read]]&gt;=Table1[[#This Row],[Low Tol]],"Pass","Fail")))</f>
        <v>Pass</v>
      </c>
      <c r="AG280" s="1" t="str">
        <f>IF(AND(Table1[[#This Row],[Spec Type2]]="N/A",Table1[[#This Row],[DUT Adj Read]]="N/A",Table1[[#This Row],[Std Adj Read]]="N/A"),"N/A",IF(Table1[[#This Row],[DUT Adj Read]]="N/A",IF(Table1[[#This Row],[Std Adj Read]]&lt;=Table1[[#This Row],[High Tol]],"Pass","Fail"),IF(Table1[[#This Row],[DUT Adj Read]]&lt;=Table1[[#This Row],[High Tol]],"Pass","Fail")))</f>
        <v>Fail</v>
      </c>
      <c r="AH2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 s="1" t="b">
        <v>0</v>
      </c>
      <c r="AN280" s="1" t="b">
        <v>0</v>
      </c>
      <c r="AO280" s="1" t="b">
        <v>0</v>
      </c>
    </row>
    <row r="281" spans="1:41" x14ac:dyDescent="0.25">
      <c r="A281" s="10"/>
      <c r="B281" s="10"/>
      <c r="C281" s="10"/>
      <c r="D281" s="10"/>
      <c r="E281" s="10"/>
      <c r="F281" s="10"/>
      <c r="G281" s="10"/>
      <c r="H281" s="10"/>
      <c r="I281" s="1" t="str">
        <f t="shared" si="12"/>
        <v/>
      </c>
      <c r="J281" s="1" t="s">
        <v>35</v>
      </c>
      <c r="K281" s="1" t="str">
        <f t="shared" si="13"/>
        <v/>
      </c>
      <c r="L281" s="1" t="str">
        <f t="shared" si="14"/>
        <v/>
      </c>
      <c r="M281" s="1">
        <f>IF(OR(Table1[[#This Row],[Std Nom]]="",Table1[[#This Row],[Std Read]]=""),0,Table1[[#This Row],[Std Nom]]-Table1[[#This Row],[Std Read]])</f>
        <v>0</v>
      </c>
      <c r="N281" s="1">
        <f>IF(Calculations!$F$5="ACCREDITED 17025 WITH UNCERTAINTIES",$N$10,0)</f>
        <v>0</v>
      </c>
      <c r="O281" s="1" t="str">
        <f>IFERROR(Table1[[#This Row],[Std Nom]]-(_xlfn.XLOOKUP(Table1[[#This Row],[Manufacturer]]&amp;" "&amp;Table1[[#This Row],[Model]],Table13[MFR &amp; MDL],Table13[Tolerance % CW ],"")/100*Table1[[#This Row],[Std Nom]]),"")</f>
        <v/>
      </c>
      <c r="P281" s="1" t="str">
        <f>IFERROR(Table1[[#This Row],[Std Nom]]+(_xlfn.XLOOKUP(Table1[[#This Row],[Manufacturer]]&amp;" "&amp;Table1[[#This Row],[Model]],Table13[MFR &amp; MDL],Table13[Tolerance % CW ],"")/100*Table1[[#This Row],[Std Nom]]),"")</f>
        <v/>
      </c>
      <c r="Q281" s="1" t="e">
        <f>Table1[[#This Row],[High Tol]]-Table1[[#This Row],[Low Tol]]</f>
        <v>#VALUE!</v>
      </c>
      <c r="R281" s="1">
        <f>2*Table1[[#This Row],[Std Error]]</f>
        <v>0</v>
      </c>
      <c r="S281" s="1" t="str">
        <f>IF(Table1[[#This Row],[High Tol]]="","N/A",IFERROR(ABS(Table1[[#This Row],[Tol Span]]/Table1[[#This Row],[Error Span]]),"N/A"))</f>
        <v>N/A</v>
      </c>
      <c r="T281" s="1" t="str">
        <f>IF(OR(Table1[[#This Row],[Low Tol]]="",Table1[[#This Row],[High Tol]]=""),"Needs Analysis",IF(Table1[[#This Row],[Ratio]]&gt;=4,"Not Significant",IF(Table1[[#This Row],[Ratio]]&gt;=2,"Semi-Significant","Significant")))</f>
        <v>Needs Analysis</v>
      </c>
      <c r="W281" s="1">
        <f>IF(Table1[[#This Row],[Cal Type]]&lt;&gt;"ACCREDITED 17025 WITH UNCERTAINTIES",0,"")</f>
        <v>0</v>
      </c>
      <c r="X281" s="1" t="str">
        <f>IF(Table1[[#This Row],[DUT Read]]="","N/A",Table1[[#This Row],[Std Error]]+Table1[[#This Row],[DUT Read]]+Table1[[#This Row],[DUT Ucty]])</f>
        <v>N/A</v>
      </c>
      <c r="Y281" s="1" t="str">
        <f>IF(Table1[[#This Row],[Std Read]]="","N/A",Table1[[#This Row],[Std Read]]+Table1[[#This Row],[Std Ucty]])</f>
        <v>N/A</v>
      </c>
      <c r="Z2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 s="1" t="str">
        <f>IF(Table1[[#This Row],[Spec Type]]="","N/A",Table1[[#This Row],[Spec Type]])</f>
        <v>±</v>
      </c>
      <c r="AC281" s="1" t="str">
        <f>IF(Table1[[#This Row],[Spec Type2]]="N/A","N/A",IF(AND(Table1[[#This Row],[DUT Adj Read]]&gt;=Table1[[#This Row],[Low Tol]],Table1[[#This Row],[DUT Adj Read]]&lt;=Table1[[#This Row],[High Tol]]),"Pass","Fail"))</f>
        <v>Fail</v>
      </c>
      <c r="AD281" s="1" t="str">
        <f>IF(AND(Table1[[#This Row],[Spec Type2]]="N/A",Table1[[#This Row],[DUT Adj Read]]="N/A",Table1[[#This Row],[Std Adj Read]]="N/A"),"N/A",IF(Table1[[#This Row],[DUT Adj Read]]="N/A",IF(Table1[[#This Row],[Std Adj Read]]&gt;Table1[[#This Row],[Low Tol]],"Pass","Fail"),IF(Table1[[#This Row],[DUT Adj Read]]&gt;Table1[[#This Row],[Low Tol]],"Pass","Fail")))</f>
        <v>Pass</v>
      </c>
      <c r="AE281" s="1" t="str">
        <f>IF(AND(Table1[[#This Row],[Spec Type2]]="N/A",Table1[[#This Row],[DUT Adj Read]]="N/A",Table1[[#This Row],[Std Adj Read]]="N/A"),"N/A",IF(Table1[[#This Row],[DUT Adj Read]]="N/A",IF(Table1[[#This Row],[Std Adj Read]]&lt;Table1[[#This Row],[High Tol]],"Pass","Fail"),IF(Table1[[#This Row],[DUT Adj Read]]&lt;Table1[[#This Row],[High Tol]],"Pass","Fail")))</f>
        <v>Fail</v>
      </c>
      <c r="AF281" s="1" t="str">
        <f>IF(AND(Table1[[#This Row],[Spec Type2]]="N/A",Table1[[#This Row],[DUT Adj Read]]="N/A",Table1[[#This Row],[Std Adj Read]]="N/A"),"N/A",IF(Table1[[#This Row],[DUT Adj Read]]="N/A",IF(Table1[[#This Row],[Std Adj Read]]&gt;=Table1[[#This Row],[Low Tol]],"Pass","Fail"),IF(Table1[[#This Row],[DUT Adj Read]]&gt;=Table1[[#This Row],[Low Tol]],"Pass","Fail")))</f>
        <v>Pass</v>
      </c>
      <c r="AG281" s="1" t="str">
        <f>IF(AND(Table1[[#This Row],[Spec Type2]]="N/A",Table1[[#This Row],[DUT Adj Read]]="N/A",Table1[[#This Row],[Std Adj Read]]="N/A"),"N/A",IF(Table1[[#This Row],[DUT Adj Read]]="N/A",IF(Table1[[#This Row],[Std Adj Read]]&lt;=Table1[[#This Row],[High Tol]],"Pass","Fail"),IF(Table1[[#This Row],[DUT Adj Read]]&lt;=Table1[[#This Row],[High Tol]],"Pass","Fail")))</f>
        <v>Fail</v>
      </c>
      <c r="AH2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 s="1" t="b">
        <v>0</v>
      </c>
      <c r="AN281" s="1" t="b">
        <v>0</v>
      </c>
      <c r="AO281" s="1" t="b">
        <v>0</v>
      </c>
    </row>
    <row r="282" spans="1:41" x14ac:dyDescent="0.25">
      <c r="A282" s="10"/>
      <c r="B282" s="10"/>
      <c r="C282" s="10"/>
      <c r="D282" s="10"/>
      <c r="E282" s="10"/>
      <c r="F282" s="10"/>
      <c r="G282" s="10"/>
      <c r="H282" s="10"/>
      <c r="I282" s="1" t="str">
        <f t="shared" si="12"/>
        <v/>
      </c>
      <c r="J282" s="1" t="s">
        <v>35</v>
      </c>
      <c r="K282" s="1" t="str">
        <f t="shared" si="13"/>
        <v/>
      </c>
      <c r="L282" s="1" t="str">
        <f t="shared" si="14"/>
        <v/>
      </c>
      <c r="M282" s="1">
        <f>IF(OR(Table1[[#This Row],[Std Nom]]="",Table1[[#This Row],[Std Read]]=""),0,Table1[[#This Row],[Std Nom]]-Table1[[#This Row],[Std Read]])</f>
        <v>0</v>
      </c>
      <c r="N282" s="1">
        <f>IF(Calculations!$F$5="ACCREDITED 17025 WITH UNCERTAINTIES",$N$10,0)</f>
        <v>0</v>
      </c>
      <c r="O282" s="1" t="str">
        <f>IFERROR(Table1[[#This Row],[Std Nom]]-(_xlfn.XLOOKUP(Table1[[#This Row],[Manufacturer]]&amp;" "&amp;Table1[[#This Row],[Model]],Table13[MFR &amp; MDL],Table13[Tolerance % CW ],"")/100*Table1[[#This Row],[Std Nom]]),"")</f>
        <v/>
      </c>
      <c r="P282" s="1" t="str">
        <f>IFERROR(Table1[[#This Row],[Std Nom]]+(_xlfn.XLOOKUP(Table1[[#This Row],[Manufacturer]]&amp;" "&amp;Table1[[#This Row],[Model]],Table13[MFR &amp; MDL],Table13[Tolerance % CW ],"")/100*Table1[[#This Row],[Std Nom]]),"")</f>
        <v/>
      </c>
      <c r="Q282" s="1" t="e">
        <f>Table1[[#This Row],[High Tol]]-Table1[[#This Row],[Low Tol]]</f>
        <v>#VALUE!</v>
      </c>
      <c r="R282" s="1">
        <f>2*Table1[[#This Row],[Std Error]]</f>
        <v>0</v>
      </c>
      <c r="S282" s="1" t="str">
        <f>IF(Table1[[#This Row],[High Tol]]="","N/A",IFERROR(ABS(Table1[[#This Row],[Tol Span]]/Table1[[#This Row],[Error Span]]),"N/A"))</f>
        <v>N/A</v>
      </c>
      <c r="T282" s="1" t="str">
        <f>IF(OR(Table1[[#This Row],[Low Tol]]="",Table1[[#This Row],[High Tol]]=""),"Needs Analysis",IF(Table1[[#This Row],[Ratio]]&gt;=4,"Not Significant",IF(Table1[[#This Row],[Ratio]]&gt;=2,"Semi-Significant","Significant")))</f>
        <v>Needs Analysis</v>
      </c>
      <c r="W282" s="1">
        <f>IF(Table1[[#This Row],[Cal Type]]&lt;&gt;"ACCREDITED 17025 WITH UNCERTAINTIES",0,"")</f>
        <v>0</v>
      </c>
      <c r="X282" s="1" t="str">
        <f>IF(Table1[[#This Row],[DUT Read]]="","N/A",Table1[[#This Row],[Std Error]]+Table1[[#This Row],[DUT Read]]+Table1[[#This Row],[DUT Ucty]])</f>
        <v>N/A</v>
      </c>
      <c r="Y282" s="1" t="str">
        <f>IF(Table1[[#This Row],[Std Read]]="","N/A",Table1[[#This Row],[Std Read]]+Table1[[#This Row],[Std Ucty]])</f>
        <v>N/A</v>
      </c>
      <c r="Z2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 s="1" t="str">
        <f>IF(Table1[[#This Row],[Spec Type]]="","N/A",Table1[[#This Row],[Spec Type]])</f>
        <v>±</v>
      </c>
      <c r="AC282" s="1" t="str">
        <f>IF(Table1[[#This Row],[Spec Type2]]="N/A","N/A",IF(AND(Table1[[#This Row],[DUT Adj Read]]&gt;=Table1[[#This Row],[Low Tol]],Table1[[#This Row],[DUT Adj Read]]&lt;=Table1[[#This Row],[High Tol]]),"Pass","Fail"))</f>
        <v>Fail</v>
      </c>
      <c r="AD282" s="1" t="str">
        <f>IF(AND(Table1[[#This Row],[Spec Type2]]="N/A",Table1[[#This Row],[DUT Adj Read]]="N/A",Table1[[#This Row],[Std Adj Read]]="N/A"),"N/A",IF(Table1[[#This Row],[DUT Adj Read]]="N/A",IF(Table1[[#This Row],[Std Adj Read]]&gt;Table1[[#This Row],[Low Tol]],"Pass","Fail"),IF(Table1[[#This Row],[DUT Adj Read]]&gt;Table1[[#This Row],[Low Tol]],"Pass","Fail")))</f>
        <v>Pass</v>
      </c>
      <c r="AE282" s="1" t="str">
        <f>IF(AND(Table1[[#This Row],[Spec Type2]]="N/A",Table1[[#This Row],[DUT Adj Read]]="N/A",Table1[[#This Row],[Std Adj Read]]="N/A"),"N/A",IF(Table1[[#This Row],[DUT Adj Read]]="N/A",IF(Table1[[#This Row],[Std Adj Read]]&lt;Table1[[#This Row],[High Tol]],"Pass","Fail"),IF(Table1[[#This Row],[DUT Adj Read]]&lt;Table1[[#This Row],[High Tol]],"Pass","Fail")))</f>
        <v>Fail</v>
      </c>
      <c r="AF282" s="1" t="str">
        <f>IF(AND(Table1[[#This Row],[Spec Type2]]="N/A",Table1[[#This Row],[DUT Adj Read]]="N/A",Table1[[#This Row],[Std Adj Read]]="N/A"),"N/A",IF(Table1[[#This Row],[DUT Adj Read]]="N/A",IF(Table1[[#This Row],[Std Adj Read]]&gt;=Table1[[#This Row],[Low Tol]],"Pass","Fail"),IF(Table1[[#This Row],[DUT Adj Read]]&gt;=Table1[[#This Row],[Low Tol]],"Pass","Fail")))</f>
        <v>Pass</v>
      </c>
      <c r="AG282" s="1" t="str">
        <f>IF(AND(Table1[[#This Row],[Spec Type2]]="N/A",Table1[[#This Row],[DUT Adj Read]]="N/A",Table1[[#This Row],[Std Adj Read]]="N/A"),"N/A",IF(Table1[[#This Row],[DUT Adj Read]]="N/A",IF(Table1[[#This Row],[Std Adj Read]]&lt;=Table1[[#This Row],[High Tol]],"Pass","Fail"),IF(Table1[[#This Row],[DUT Adj Read]]&lt;=Table1[[#This Row],[High Tol]],"Pass","Fail")))</f>
        <v>Fail</v>
      </c>
      <c r="AH2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 s="1" t="b">
        <v>0</v>
      </c>
      <c r="AN282" s="1" t="b">
        <v>0</v>
      </c>
      <c r="AO282" s="1" t="b">
        <v>0</v>
      </c>
    </row>
    <row r="283" spans="1:41" x14ac:dyDescent="0.25">
      <c r="A283" s="10"/>
      <c r="B283" s="10"/>
      <c r="C283" s="10"/>
      <c r="D283" s="10"/>
      <c r="E283" s="10"/>
      <c r="F283" s="10"/>
      <c r="G283" s="10"/>
      <c r="H283" s="10"/>
      <c r="I283" s="1" t="str">
        <f t="shared" si="12"/>
        <v/>
      </c>
      <c r="J283" s="1" t="s">
        <v>35</v>
      </c>
      <c r="K283" s="1" t="str">
        <f t="shared" si="13"/>
        <v/>
      </c>
      <c r="L283" s="1" t="str">
        <f t="shared" si="14"/>
        <v/>
      </c>
      <c r="M283" s="1">
        <f>IF(OR(Table1[[#This Row],[Std Nom]]="",Table1[[#This Row],[Std Read]]=""),0,Table1[[#This Row],[Std Nom]]-Table1[[#This Row],[Std Read]])</f>
        <v>0</v>
      </c>
      <c r="N283" s="1">
        <f>IF(Calculations!$F$5="ACCREDITED 17025 WITH UNCERTAINTIES",$N$10,0)</f>
        <v>0</v>
      </c>
      <c r="O283" s="1" t="str">
        <f>IFERROR(Table1[[#This Row],[Std Nom]]-(_xlfn.XLOOKUP(Table1[[#This Row],[Manufacturer]]&amp;" "&amp;Table1[[#This Row],[Model]],Table13[MFR &amp; MDL],Table13[Tolerance % CW ],"")/100*Table1[[#This Row],[Std Nom]]),"")</f>
        <v/>
      </c>
      <c r="P283" s="1" t="str">
        <f>IFERROR(Table1[[#This Row],[Std Nom]]+(_xlfn.XLOOKUP(Table1[[#This Row],[Manufacturer]]&amp;" "&amp;Table1[[#This Row],[Model]],Table13[MFR &amp; MDL],Table13[Tolerance % CW ],"")/100*Table1[[#This Row],[Std Nom]]),"")</f>
        <v/>
      </c>
      <c r="Q283" s="1" t="e">
        <f>Table1[[#This Row],[High Tol]]-Table1[[#This Row],[Low Tol]]</f>
        <v>#VALUE!</v>
      </c>
      <c r="R283" s="1">
        <f>2*Table1[[#This Row],[Std Error]]</f>
        <v>0</v>
      </c>
      <c r="S283" s="1" t="str">
        <f>IF(Table1[[#This Row],[High Tol]]="","N/A",IFERROR(ABS(Table1[[#This Row],[Tol Span]]/Table1[[#This Row],[Error Span]]),"N/A"))</f>
        <v>N/A</v>
      </c>
      <c r="T283" s="1" t="str">
        <f>IF(OR(Table1[[#This Row],[Low Tol]]="",Table1[[#This Row],[High Tol]]=""),"Needs Analysis",IF(Table1[[#This Row],[Ratio]]&gt;=4,"Not Significant",IF(Table1[[#This Row],[Ratio]]&gt;=2,"Semi-Significant","Significant")))</f>
        <v>Needs Analysis</v>
      </c>
      <c r="W283" s="1">
        <f>IF(Table1[[#This Row],[Cal Type]]&lt;&gt;"ACCREDITED 17025 WITH UNCERTAINTIES",0,"")</f>
        <v>0</v>
      </c>
      <c r="X283" s="1" t="str">
        <f>IF(Table1[[#This Row],[DUT Read]]="","N/A",Table1[[#This Row],[Std Error]]+Table1[[#This Row],[DUT Read]]+Table1[[#This Row],[DUT Ucty]])</f>
        <v>N/A</v>
      </c>
      <c r="Y283" s="1" t="str">
        <f>IF(Table1[[#This Row],[Std Read]]="","N/A",Table1[[#This Row],[Std Read]]+Table1[[#This Row],[Std Ucty]])</f>
        <v>N/A</v>
      </c>
      <c r="Z2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 s="1" t="str">
        <f>IF(Table1[[#This Row],[Spec Type]]="","N/A",Table1[[#This Row],[Spec Type]])</f>
        <v>±</v>
      </c>
      <c r="AC283" s="1" t="str">
        <f>IF(Table1[[#This Row],[Spec Type2]]="N/A","N/A",IF(AND(Table1[[#This Row],[DUT Adj Read]]&gt;=Table1[[#This Row],[Low Tol]],Table1[[#This Row],[DUT Adj Read]]&lt;=Table1[[#This Row],[High Tol]]),"Pass","Fail"))</f>
        <v>Fail</v>
      </c>
      <c r="AD283" s="1" t="str">
        <f>IF(AND(Table1[[#This Row],[Spec Type2]]="N/A",Table1[[#This Row],[DUT Adj Read]]="N/A",Table1[[#This Row],[Std Adj Read]]="N/A"),"N/A",IF(Table1[[#This Row],[DUT Adj Read]]="N/A",IF(Table1[[#This Row],[Std Adj Read]]&gt;Table1[[#This Row],[Low Tol]],"Pass","Fail"),IF(Table1[[#This Row],[DUT Adj Read]]&gt;Table1[[#This Row],[Low Tol]],"Pass","Fail")))</f>
        <v>Pass</v>
      </c>
      <c r="AE283" s="1" t="str">
        <f>IF(AND(Table1[[#This Row],[Spec Type2]]="N/A",Table1[[#This Row],[DUT Adj Read]]="N/A",Table1[[#This Row],[Std Adj Read]]="N/A"),"N/A",IF(Table1[[#This Row],[DUT Adj Read]]="N/A",IF(Table1[[#This Row],[Std Adj Read]]&lt;Table1[[#This Row],[High Tol]],"Pass","Fail"),IF(Table1[[#This Row],[DUT Adj Read]]&lt;Table1[[#This Row],[High Tol]],"Pass","Fail")))</f>
        <v>Fail</v>
      </c>
      <c r="AF283" s="1" t="str">
        <f>IF(AND(Table1[[#This Row],[Spec Type2]]="N/A",Table1[[#This Row],[DUT Adj Read]]="N/A",Table1[[#This Row],[Std Adj Read]]="N/A"),"N/A",IF(Table1[[#This Row],[DUT Adj Read]]="N/A",IF(Table1[[#This Row],[Std Adj Read]]&gt;=Table1[[#This Row],[Low Tol]],"Pass","Fail"),IF(Table1[[#This Row],[DUT Adj Read]]&gt;=Table1[[#This Row],[Low Tol]],"Pass","Fail")))</f>
        <v>Pass</v>
      </c>
      <c r="AG283" s="1" t="str">
        <f>IF(AND(Table1[[#This Row],[Spec Type2]]="N/A",Table1[[#This Row],[DUT Adj Read]]="N/A",Table1[[#This Row],[Std Adj Read]]="N/A"),"N/A",IF(Table1[[#This Row],[DUT Adj Read]]="N/A",IF(Table1[[#This Row],[Std Adj Read]]&lt;=Table1[[#This Row],[High Tol]],"Pass","Fail"),IF(Table1[[#This Row],[DUT Adj Read]]&lt;=Table1[[#This Row],[High Tol]],"Pass","Fail")))</f>
        <v>Fail</v>
      </c>
      <c r="AH2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 s="1" t="b">
        <v>0</v>
      </c>
      <c r="AN283" s="1" t="b">
        <v>0</v>
      </c>
      <c r="AO283" s="1" t="b">
        <v>0</v>
      </c>
    </row>
    <row r="284" spans="1:41" x14ac:dyDescent="0.25">
      <c r="A284" s="10"/>
      <c r="B284" s="10"/>
      <c r="C284" s="10"/>
      <c r="D284" s="10"/>
      <c r="E284" s="10"/>
      <c r="F284" s="10"/>
      <c r="G284" s="10"/>
      <c r="H284" s="10"/>
      <c r="I284" s="1" t="str">
        <f t="shared" si="12"/>
        <v/>
      </c>
      <c r="J284" s="1" t="s">
        <v>35</v>
      </c>
      <c r="K284" s="1" t="str">
        <f t="shared" si="13"/>
        <v/>
      </c>
      <c r="L284" s="1" t="str">
        <f t="shared" si="14"/>
        <v/>
      </c>
      <c r="M284" s="1">
        <f>IF(OR(Table1[[#This Row],[Std Nom]]="",Table1[[#This Row],[Std Read]]=""),0,Table1[[#This Row],[Std Nom]]-Table1[[#This Row],[Std Read]])</f>
        <v>0</v>
      </c>
      <c r="N284" s="1">
        <f>IF(Calculations!$F$5="ACCREDITED 17025 WITH UNCERTAINTIES",$N$10,0)</f>
        <v>0</v>
      </c>
      <c r="O284" s="1" t="str">
        <f>IFERROR(Table1[[#This Row],[Std Nom]]-(_xlfn.XLOOKUP(Table1[[#This Row],[Manufacturer]]&amp;" "&amp;Table1[[#This Row],[Model]],Table13[MFR &amp; MDL],Table13[Tolerance % CW ],"")/100*Table1[[#This Row],[Std Nom]]),"")</f>
        <v/>
      </c>
      <c r="P284" s="1" t="str">
        <f>IFERROR(Table1[[#This Row],[Std Nom]]+(_xlfn.XLOOKUP(Table1[[#This Row],[Manufacturer]]&amp;" "&amp;Table1[[#This Row],[Model]],Table13[MFR &amp; MDL],Table13[Tolerance % CW ],"")/100*Table1[[#This Row],[Std Nom]]),"")</f>
        <v/>
      </c>
      <c r="Q284" s="1" t="e">
        <f>Table1[[#This Row],[High Tol]]-Table1[[#This Row],[Low Tol]]</f>
        <v>#VALUE!</v>
      </c>
      <c r="R284" s="1">
        <f>2*Table1[[#This Row],[Std Error]]</f>
        <v>0</v>
      </c>
      <c r="S284" s="1" t="str">
        <f>IF(Table1[[#This Row],[High Tol]]="","N/A",IFERROR(ABS(Table1[[#This Row],[Tol Span]]/Table1[[#This Row],[Error Span]]),"N/A"))</f>
        <v>N/A</v>
      </c>
      <c r="T284" s="1" t="str">
        <f>IF(OR(Table1[[#This Row],[Low Tol]]="",Table1[[#This Row],[High Tol]]=""),"Needs Analysis",IF(Table1[[#This Row],[Ratio]]&gt;=4,"Not Significant",IF(Table1[[#This Row],[Ratio]]&gt;=2,"Semi-Significant","Significant")))</f>
        <v>Needs Analysis</v>
      </c>
      <c r="W284" s="1">
        <f>IF(Table1[[#This Row],[Cal Type]]&lt;&gt;"ACCREDITED 17025 WITH UNCERTAINTIES",0,"")</f>
        <v>0</v>
      </c>
      <c r="X284" s="1" t="str">
        <f>IF(Table1[[#This Row],[DUT Read]]="","N/A",Table1[[#This Row],[Std Error]]+Table1[[#This Row],[DUT Read]]+Table1[[#This Row],[DUT Ucty]])</f>
        <v>N/A</v>
      </c>
      <c r="Y284" s="1" t="str">
        <f>IF(Table1[[#This Row],[Std Read]]="","N/A",Table1[[#This Row],[Std Read]]+Table1[[#This Row],[Std Ucty]])</f>
        <v>N/A</v>
      </c>
      <c r="Z2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 s="1" t="str">
        <f>IF(Table1[[#This Row],[Spec Type]]="","N/A",Table1[[#This Row],[Spec Type]])</f>
        <v>±</v>
      </c>
      <c r="AC284" s="1" t="str">
        <f>IF(Table1[[#This Row],[Spec Type2]]="N/A","N/A",IF(AND(Table1[[#This Row],[DUT Adj Read]]&gt;=Table1[[#This Row],[Low Tol]],Table1[[#This Row],[DUT Adj Read]]&lt;=Table1[[#This Row],[High Tol]]),"Pass","Fail"))</f>
        <v>Fail</v>
      </c>
      <c r="AD284" s="1" t="str">
        <f>IF(AND(Table1[[#This Row],[Spec Type2]]="N/A",Table1[[#This Row],[DUT Adj Read]]="N/A",Table1[[#This Row],[Std Adj Read]]="N/A"),"N/A",IF(Table1[[#This Row],[DUT Adj Read]]="N/A",IF(Table1[[#This Row],[Std Adj Read]]&gt;Table1[[#This Row],[Low Tol]],"Pass","Fail"),IF(Table1[[#This Row],[DUT Adj Read]]&gt;Table1[[#This Row],[Low Tol]],"Pass","Fail")))</f>
        <v>Pass</v>
      </c>
      <c r="AE284" s="1" t="str">
        <f>IF(AND(Table1[[#This Row],[Spec Type2]]="N/A",Table1[[#This Row],[DUT Adj Read]]="N/A",Table1[[#This Row],[Std Adj Read]]="N/A"),"N/A",IF(Table1[[#This Row],[DUT Adj Read]]="N/A",IF(Table1[[#This Row],[Std Adj Read]]&lt;Table1[[#This Row],[High Tol]],"Pass","Fail"),IF(Table1[[#This Row],[DUT Adj Read]]&lt;Table1[[#This Row],[High Tol]],"Pass","Fail")))</f>
        <v>Fail</v>
      </c>
      <c r="AF284" s="1" t="str">
        <f>IF(AND(Table1[[#This Row],[Spec Type2]]="N/A",Table1[[#This Row],[DUT Adj Read]]="N/A",Table1[[#This Row],[Std Adj Read]]="N/A"),"N/A",IF(Table1[[#This Row],[DUT Adj Read]]="N/A",IF(Table1[[#This Row],[Std Adj Read]]&gt;=Table1[[#This Row],[Low Tol]],"Pass","Fail"),IF(Table1[[#This Row],[DUT Adj Read]]&gt;=Table1[[#This Row],[Low Tol]],"Pass","Fail")))</f>
        <v>Pass</v>
      </c>
      <c r="AG284" s="1" t="str">
        <f>IF(AND(Table1[[#This Row],[Spec Type2]]="N/A",Table1[[#This Row],[DUT Adj Read]]="N/A",Table1[[#This Row],[Std Adj Read]]="N/A"),"N/A",IF(Table1[[#This Row],[DUT Adj Read]]="N/A",IF(Table1[[#This Row],[Std Adj Read]]&lt;=Table1[[#This Row],[High Tol]],"Pass","Fail"),IF(Table1[[#This Row],[DUT Adj Read]]&lt;=Table1[[#This Row],[High Tol]],"Pass","Fail")))</f>
        <v>Fail</v>
      </c>
      <c r="AH2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 s="1" t="b">
        <v>0</v>
      </c>
      <c r="AN284" s="1" t="b">
        <v>0</v>
      </c>
      <c r="AO284" s="1" t="b">
        <v>0</v>
      </c>
    </row>
    <row r="285" spans="1:41" x14ac:dyDescent="0.25">
      <c r="A285" s="10"/>
      <c r="B285" s="10"/>
      <c r="C285" s="10"/>
      <c r="D285" s="10"/>
      <c r="E285" s="10"/>
      <c r="F285" s="10"/>
      <c r="G285" s="10"/>
      <c r="H285" s="10"/>
      <c r="I285" s="1" t="str">
        <f t="shared" si="12"/>
        <v/>
      </c>
      <c r="J285" s="1" t="s">
        <v>35</v>
      </c>
      <c r="K285" s="1" t="str">
        <f t="shared" si="13"/>
        <v/>
      </c>
      <c r="L285" s="1" t="str">
        <f t="shared" si="14"/>
        <v/>
      </c>
      <c r="M285" s="1">
        <f>IF(OR(Table1[[#This Row],[Std Nom]]="",Table1[[#This Row],[Std Read]]=""),0,Table1[[#This Row],[Std Nom]]-Table1[[#This Row],[Std Read]])</f>
        <v>0</v>
      </c>
      <c r="N285" s="1">
        <f>IF(Calculations!$F$5="ACCREDITED 17025 WITH UNCERTAINTIES",$N$10,0)</f>
        <v>0</v>
      </c>
      <c r="O285" s="1" t="str">
        <f>IFERROR(Table1[[#This Row],[Std Nom]]-(_xlfn.XLOOKUP(Table1[[#This Row],[Manufacturer]]&amp;" "&amp;Table1[[#This Row],[Model]],Table13[MFR &amp; MDL],Table13[Tolerance % CW ],"")/100*Table1[[#This Row],[Std Nom]]),"")</f>
        <v/>
      </c>
      <c r="P285" s="1" t="str">
        <f>IFERROR(Table1[[#This Row],[Std Nom]]+(_xlfn.XLOOKUP(Table1[[#This Row],[Manufacturer]]&amp;" "&amp;Table1[[#This Row],[Model]],Table13[MFR &amp; MDL],Table13[Tolerance % CW ],"")/100*Table1[[#This Row],[Std Nom]]),"")</f>
        <v/>
      </c>
      <c r="Q285" s="1" t="e">
        <f>Table1[[#This Row],[High Tol]]-Table1[[#This Row],[Low Tol]]</f>
        <v>#VALUE!</v>
      </c>
      <c r="R285" s="1">
        <f>2*Table1[[#This Row],[Std Error]]</f>
        <v>0</v>
      </c>
      <c r="S285" s="1" t="str">
        <f>IF(Table1[[#This Row],[High Tol]]="","N/A",IFERROR(ABS(Table1[[#This Row],[Tol Span]]/Table1[[#This Row],[Error Span]]),"N/A"))</f>
        <v>N/A</v>
      </c>
      <c r="T285" s="1" t="str">
        <f>IF(OR(Table1[[#This Row],[Low Tol]]="",Table1[[#This Row],[High Tol]]=""),"Needs Analysis",IF(Table1[[#This Row],[Ratio]]&gt;=4,"Not Significant",IF(Table1[[#This Row],[Ratio]]&gt;=2,"Semi-Significant","Significant")))</f>
        <v>Needs Analysis</v>
      </c>
      <c r="W285" s="1">
        <f>IF(Table1[[#This Row],[Cal Type]]&lt;&gt;"ACCREDITED 17025 WITH UNCERTAINTIES",0,"")</f>
        <v>0</v>
      </c>
      <c r="X285" s="1" t="str">
        <f>IF(Table1[[#This Row],[DUT Read]]="","N/A",Table1[[#This Row],[Std Error]]+Table1[[#This Row],[DUT Read]]+Table1[[#This Row],[DUT Ucty]])</f>
        <v>N/A</v>
      </c>
      <c r="Y285" s="1" t="str">
        <f>IF(Table1[[#This Row],[Std Read]]="","N/A",Table1[[#This Row],[Std Read]]+Table1[[#This Row],[Std Ucty]])</f>
        <v>N/A</v>
      </c>
      <c r="Z2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 s="1" t="str">
        <f>IF(Table1[[#This Row],[Spec Type]]="","N/A",Table1[[#This Row],[Spec Type]])</f>
        <v>±</v>
      </c>
      <c r="AC285" s="1" t="str">
        <f>IF(Table1[[#This Row],[Spec Type2]]="N/A","N/A",IF(AND(Table1[[#This Row],[DUT Adj Read]]&gt;=Table1[[#This Row],[Low Tol]],Table1[[#This Row],[DUT Adj Read]]&lt;=Table1[[#This Row],[High Tol]]),"Pass","Fail"))</f>
        <v>Fail</v>
      </c>
      <c r="AD285" s="1" t="str">
        <f>IF(AND(Table1[[#This Row],[Spec Type2]]="N/A",Table1[[#This Row],[DUT Adj Read]]="N/A",Table1[[#This Row],[Std Adj Read]]="N/A"),"N/A",IF(Table1[[#This Row],[DUT Adj Read]]="N/A",IF(Table1[[#This Row],[Std Adj Read]]&gt;Table1[[#This Row],[Low Tol]],"Pass","Fail"),IF(Table1[[#This Row],[DUT Adj Read]]&gt;Table1[[#This Row],[Low Tol]],"Pass","Fail")))</f>
        <v>Pass</v>
      </c>
      <c r="AE285" s="1" t="str">
        <f>IF(AND(Table1[[#This Row],[Spec Type2]]="N/A",Table1[[#This Row],[DUT Adj Read]]="N/A",Table1[[#This Row],[Std Adj Read]]="N/A"),"N/A",IF(Table1[[#This Row],[DUT Adj Read]]="N/A",IF(Table1[[#This Row],[Std Adj Read]]&lt;Table1[[#This Row],[High Tol]],"Pass","Fail"),IF(Table1[[#This Row],[DUT Adj Read]]&lt;Table1[[#This Row],[High Tol]],"Pass","Fail")))</f>
        <v>Fail</v>
      </c>
      <c r="AF285" s="1" t="str">
        <f>IF(AND(Table1[[#This Row],[Spec Type2]]="N/A",Table1[[#This Row],[DUT Adj Read]]="N/A",Table1[[#This Row],[Std Adj Read]]="N/A"),"N/A",IF(Table1[[#This Row],[DUT Adj Read]]="N/A",IF(Table1[[#This Row],[Std Adj Read]]&gt;=Table1[[#This Row],[Low Tol]],"Pass","Fail"),IF(Table1[[#This Row],[DUT Adj Read]]&gt;=Table1[[#This Row],[Low Tol]],"Pass","Fail")))</f>
        <v>Pass</v>
      </c>
      <c r="AG285" s="1" t="str">
        <f>IF(AND(Table1[[#This Row],[Spec Type2]]="N/A",Table1[[#This Row],[DUT Adj Read]]="N/A",Table1[[#This Row],[Std Adj Read]]="N/A"),"N/A",IF(Table1[[#This Row],[DUT Adj Read]]="N/A",IF(Table1[[#This Row],[Std Adj Read]]&lt;=Table1[[#This Row],[High Tol]],"Pass","Fail"),IF(Table1[[#This Row],[DUT Adj Read]]&lt;=Table1[[#This Row],[High Tol]],"Pass","Fail")))</f>
        <v>Fail</v>
      </c>
      <c r="AH2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 s="1" t="b">
        <v>0</v>
      </c>
      <c r="AN285" s="1" t="b">
        <v>0</v>
      </c>
      <c r="AO285" s="1" t="b">
        <v>0</v>
      </c>
    </row>
    <row r="286" spans="1:41" x14ac:dyDescent="0.25">
      <c r="A286" s="10"/>
      <c r="B286" s="10"/>
      <c r="C286" s="10"/>
      <c r="D286" s="10"/>
      <c r="E286" s="10"/>
      <c r="F286" s="10"/>
      <c r="G286" s="10"/>
      <c r="H286" s="10"/>
      <c r="I286" s="1" t="str">
        <f t="shared" si="12"/>
        <v/>
      </c>
      <c r="J286" s="1" t="s">
        <v>35</v>
      </c>
      <c r="K286" s="1" t="str">
        <f t="shared" si="13"/>
        <v/>
      </c>
      <c r="L286" s="1" t="str">
        <f t="shared" si="14"/>
        <v/>
      </c>
      <c r="M286" s="1">
        <f>IF(OR(Table1[[#This Row],[Std Nom]]="",Table1[[#This Row],[Std Read]]=""),0,Table1[[#This Row],[Std Nom]]-Table1[[#This Row],[Std Read]])</f>
        <v>0</v>
      </c>
      <c r="N286" s="1">
        <f>IF(Calculations!$F$5="ACCREDITED 17025 WITH UNCERTAINTIES",$N$10,0)</f>
        <v>0</v>
      </c>
      <c r="O286" s="1" t="str">
        <f>IFERROR(Table1[[#This Row],[Std Nom]]-(_xlfn.XLOOKUP(Table1[[#This Row],[Manufacturer]]&amp;" "&amp;Table1[[#This Row],[Model]],Table13[MFR &amp; MDL],Table13[Tolerance % CW ],"")/100*Table1[[#This Row],[Std Nom]]),"")</f>
        <v/>
      </c>
      <c r="P286" s="1" t="str">
        <f>IFERROR(Table1[[#This Row],[Std Nom]]+(_xlfn.XLOOKUP(Table1[[#This Row],[Manufacturer]]&amp;" "&amp;Table1[[#This Row],[Model]],Table13[MFR &amp; MDL],Table13[Tolerance % CW ],"")/100*Table1[[#This Row],[Std Nom]]),"")</f>
        <v/>
      </c>
      <c r="Q286" s="1" t="e">
        <f>Table1[[#This Row],[High Tol]]-Table1[[#This Row],[Low Tol]]</f>
        <v>#VALUE!</v>
      </c>
      <c r="R286" s="1">
        <f>2*Table1[[#This Row],[Std Error]]</f>
        <v>0</v>
      </c>
      <c r="S286" s="1" t="str">
        <f>IF(Table1[[#This Row],[High Tol]]="","N/A",IFERROR(ABS(Table1[[#This Row],[Tol Span]]/Table1[[#This Row],[Error Span]]),"N/A"))</f>
        <v>N/A</v>
      </c>
      <c r="T286" s="1" t="str">
        <f>IF(OR(Table1[[#This Row],[Low Tol]]="",Table1[[#This Row],[High Tol]]=""),"Needs Analysis",IF(Table1[[#This Row],[Ratio]]&gt;=4,"Not Significant",IF(Table1[[#This Row],[Ratio]]&gt;=2,"Semi-Significant","Significant")))</f>
        <v>Needs Analysis</v>
      </c>
      <c r="W286" s="1">
        <f>IF(Table1[[#This Row],[Cal Type]]&lt;&gt;"ACCREDITED 17025 WITH UNCERTAINTIES",0,"")</f>
        <v>0</v>
      </c>
      <c r="X286" s="1" t="str">
        <f>IF(Table1[[#This Row],[DUT Read]]="","N/A",Table1[[#This Row],[Std Error]]+Table1[[#This Row],[DUT Read]]+Table1[[#This Row],[DUT Ucty]])</f>
        <v>N/A</v>
      </c>
      <c r="Y286" s="1" t="str">
        <f>IF(Table1[[#This Row],[Std Read]]="","N/A",Table1[[#This Row],[Std Read]]+Table1[[#This Row],[Std Ucty]])</f>
        <v>N/A</v>
      </c>
      <c r="Z2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 s="1" t="str">
        <f>IF(Table1[[#This Row],[Spec Type]]="","N/A",Table1[[#This Row],[Spec Type]])</f>
        <v>±</v>
      </c>
      <c r="AC286" s="1" t="str">
        <f>IF(Table1[[#This Row],[Spec Type2]]="N/A","N/A",IF(AND(Table1[[#This Row],[DUT Adj Read]]&gt;=Table1[[#This Row],[Low Tol]],Table1[[#This Row],[DUT Adj Read]]&lt;=Table1[[#This Row],[High Tol]]),"Pass","Fail"))</f>
        <v>Fail</v>
      </c>
      <c r="AD286" s="1" t="str">
        <f>IF(AND(Table1[[#This Row],[Spec Type2]]="N/A",Table1[[#This Row],[DUT Adj Read]]="N/A",Table1[[#This Row],[Std Adj Read]]="N/A"),"N/A",IF(Table1[[#This Row],[DUT Adj Read]]="N/A",IF(Table1[[#This Row],[Std Adj Read]]&gt;Table1[[#This Row],[Low Tol]],"Pass","Fail"),IF(Table1[[#This Row],[DUT Adj Read]]&gt;Table1[[#This Row],[Low Tol]],"Pass","Fail")))</f>
        <v>Pass</v>
      </c>
      <c r="AE286" s="1" t="str">
        <f>IF(AND(Table1[[#This Row],[Spec Type2]]="N/A",Table1[[#This Row],[DUT Adj Read]]="N/A",Table1[[#This Row],[Std Adj Read]]="N/A"),"N/A",IF(Table1[[#This Row],[DUT Adj Read]]="N/A",IF(Table1[[#This Row],[Std Adj Read]]&lt;Table1[[#This Row],[High Tol]],"Pass","Fail"),IF(Table1[[#This Row],[DUT Adj Read]]&lt;Table1[[#This Row],[High Tol]],"Pass","Fail")))</f>
        <v>Fail</v>
      </c>
      <c r="AF286" s="1" t="str">
        <f>IF(AND(Table1[[#This Row],[Spec Type2]]="N/A",Table1[[#This Row],[DUT Adj Read]]="N/A",Table1[[#This Row],[Std Adj Read]]="N/A"),"N/A",IF(Table1[[#This Row],[DUT Adj Read]]="N/A",IF(Table1[[#This Row],[Std Adj Read]]&gt;=Table1[[#This Row],[Low Tol]],"Pass","Fail"),IF(Table1[[#This Row],[DUT Adj Read]]&gt;=Table1[[#This Row],[Low Tol]],"Pass","Fail")))</f>
        <v>Pass</v>
      </c>
      <c r="AG286" s="1" t="str">
        <f>IF(AND(Table1[[#This Row],[Spec Type2]]="N/A",Table1[[#This Row],[DUT Adj Read]]="N/A",Table1[[#This Row],[Std Adj Read]]="N/A"),"N/A",IF(Table1[[#This Row],[DUT Adj Read]]="N/A",IF(Table1[[#This Row],[Std Adj Read]]&lt;=Table1[[#This Row],[High Tol]],"Pass","Fail"),IF(Table1[[#This Row],[DUT Adj Read]]&lt;=Table1[[#This Row],[High Tol]],"Pass","Fail")))</f>
        <v>Fail</v>
      </c>
      <c r="AH2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 s="1" t="b">
        <v>0</v>
      </c>
      <c r="AN286" s="1" t="b">
        <v>0</v>
      </c>
      <c r="AO286" s="1" t="b">
        <v>0</v>
      </c>
    </row>
    <row r="287" spans="1:41" x14ac:dyDescent="0.25">
      <c r="A287" s="10"/>
      <c r="B287" s="10"/>
      <c r="C287" s="10"/>
      <c r="D287" s="10"/>
      <c r="E287" s="10"/>
      <c r="F287" s="10"/>
      <c r="G287" s="10"/>
      <c r="H287" s="10"/>
      <c r="I287" s="1" t="str">
        <f t="shared" si="12"/>
        <v/>
      </c>
      <c r="J287" s="1" t="s">
        <v>35</v>
      </c>
      <c r="K287" s="1" t="str">
        <f t="shared" si="13"/>
        <v/>
      </c>
      <c r="L287" s="1" t="str">
        <f t="shared" si="14"/>
        <v/>
      </c>
      <c r="M287" s="1">
        <f>IF(OR(Table1[[#This Row],[Std Nom]]="",Table1[[#This Row],[Std Read]]=""),0,Table1[[#This Row],[Std Nom]]-Table1[[#This Row],[Std Read]])</f>
        <v>0</v>
      </c>
      <c r="N287" s="1">
        <f>IF(Calculations!$F$5="ACCREDITED 17025 WITH UNCERTAINTIES",$N$10,0)</f>
        <v>0</v>
      </c>
      <c r="O287" s="1" t="str">
        <f>IFERROR(Table1[[#This Row],[Std Nom]]-(_xlfn.XLOOKUP(Table1[[#This Row],[Manufacturer]]&amp;" "&amp;Table1[[#This Row],[Model]],Table13[MFR &amp; MDL],Table13[Tolerance % CW ],"")/100*Table1[[#This Row],[Std Nom]]),"")</f>
        <v/>
      </c>
      <c r="P287" s="1" t="str">
        <f>IFERROR(Table1[[#This Row],[Std Nom]]+(_xlfn.XLOOKUP(Table1[[#This Row],[Manufacturer]]&amp;" "&amp;Table1[[#This Row],[Model]],Table13[MFR &amp; MDL],Table13[Tolerance % CW ],"")/100*Table1[[#This Row],[Std Nom]]),"")</f>
        <v/>
      </c>
      <c r="Q287" s="1" t="e">
        <f>Table1[[#This Row],[High Tol]]-Table1[[#This Row],[Low Tol]]</f>
        <v>#VALUE!</v>
      </c>
      <c r="R287" s="1">
        <f>2*Table1[[#This Row],[Std Error]]</f>
        <v>0</v>
      </c>
      <c r="S287" s="1" t="str">
        <f>IF(Table1[[#This Row],[High Tol]]="","N/A",IFERROR(ABS(Table1[[#This Row],[Tol Span]]/Table1[[#This Row],[Error Span]]),"N/A"))</f>
        <v>N/A</v>
      </c>
      <c r="T287" s="1" t="str">
        <f>IF(OR(Table1[[#This Row],[Low Tol]]="",Table1[[#This Row],[High Tol]]=""),"Needs Analysis",IF(Table1[[#This Row],[Ratio]]&gt;=4,"Not Significant",IF(Table1[[#This Row],[Ratio]]&gt;=2,"Semi-Significant","Significant")))</f>
        <v>Needs Analysis</v>
      </c>
      <c r="W287" s="1">
        <f>IF(Table1[[#This Row],[Cal Type]]&lt;&gt;"ACCREDITED 17025 WITH UNCERTAINTIES",0,"")</f>
        <v>0</v>
      </c>
      <c r="X287" s="1" t="str">
        <f>IF(Table1[[#This Row],[DUT Read]]="","N/A",Table1[[#This Row],[Std Error]]+Table1[[#This Row],[DUT Read]]+Table1[[#This Row],[DUT Ucty]])</f>
        <v>N/A</v>
      </c>
      <c r="Y287" s="1" t="str">
        <f>IF(Table1[[#This Row],[Std Read]]="","N/A",Table1[[#This Row],[Std Read]]+Table1[[#This Row],[Std Ucty]])</f>
        <v>N/A</v>
      </c>
      <c r="Z2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 s="1" t="str">
        <f>IF(Table1[[#This Row],[Spec Type]]="","N/A",Table1[[#This Row],[Spec Type]])</f>
        <v>±</v>
      </c>
      <c r="AC287" s="1" t="str">
        <f>IF(Table1[[#This Row],[Spec Type2]]="N/A","N/A",IF(AND(Table1[[#This Row],[DUT Adj Read]]&gt;=Table1[[#This Row],[Low Tol]],Table1[[#This Row],[DUT Adj Read]]&lt;=Table1[[#This Row],[High Tol]]),"Pass","Fail"))</f>
        <v>Fail</v>
      </c>
      <c r="AD287" s="1" t="str">
        <f>IF(AND(Table1[[#This Row],[Spec Type2]]="N/A",Table1[[#This Row],[DUT Adj Read]]="N/A",Table1[[#This Row],[Std Adj Read]]="N/A"),"N/A",IF(Table1[[#This Row],[DUT Adj Read]]="N/A",IF(Table1[[#This Row],[Std Adj Read]]&gt;Table1[[#This Row],[Low Tol]],"Pass","Fail"),IF(Table1[[#This Row],[DUT Adj Read]]&gt;Table1[[#This Row],[Low Tol]],"Pass","Fail")))</f>
        <v>Pass</v>
      </c>
      <c r="AE287" s="1" t="str">
        <f>IF(AND(Table1[[#This Row],[Spec Type2]]="N/A",Table1[[#This Row],[DUT Adj Read]]="N/A",Table1[[#This Row],[Std Adj Read]]="N/A"),"N/A",IF(Table1[[#This Row],[DUT Adj Read]]="N/A",IF(Table1[[#This Row],[Std Adj Read]]&lt;Table1[[#This Row],[High Tol]],"Pass","Fail"),IF(Table1[[#This Row],[DUT Adj Read]]&lt;Table1[[#This Row],[High Tol]],"Pass","Fail")))</f>
        <v>Fail</v>
      </c>
      <c r="AF287" s="1" t="str">
        <f>IF(AND(Table1[[#This Row],[Spec Type2]]="N/A",Table1[[#This Row],[DUT Adj Read]]="N/A",Table1[[#This Row],[Std Adj Read]]="N/A"),"N/A",IF(Table1[[#This Row],[DUT Adj Read]]="N/A",IF(Table1[[#This Row],[Std Adj Read]]&gt;=Table1[[#This Row],[Low Tol]],"Pass","Fail"),IF(Table1[[#This Row],[DUT Adj Read]]&gt;=Table1[[#This Row],[Low Tol]],"Pass","Fail")))</f>
        <v>Pass</v>
      </c>
      <c r="AG287" s="1" t="str">
        <f>IF(AND(Table1[[#This Row],[Spec Type2]]="N/A",Table1[[#This Row],[DUT Adj Read]]="N/A",Table1[[#This Row],[Std Adj Read]]="N/A"),"N/A",IF(Table1[[#This Row],[DUT Adj Read]]="N/A",IF(Table1[[#This Row],[Std Adj Read]]&lt;=Table1[[#This Row],[High Tol]],"Pass","Fail"),IF(Table1[[#This Row],[DUT Adj Read]]&lt;=Table1[[#This Row],[High Tol]],"Pass","Fail")))</f>
        <v>Fail</v>
      </c>
      <c r="AH2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 s="1" t="b">
        <v>0</v>
      </c>
      <c r="AN287" s="1" t="b">
        <v>0</v>
      </c>
      <c r="AO287" s="1" t="b">
        <v>0</v>
      </c>
    </row>
    <row r="288" spans="1:41" x14ac:dyDescent="0.25">
      <c r="A288" s="10"/>
      <c r="B288" s="10"/>
      <c r="C288" s="10"/>
      <c r="D288" s="10"/>
      <c r="E288" s="10"/>
      <c r="F288" s="10"/>
      <c r="G288" s="10"/>
      <c r="H288" s="10"/>
      <c r="I288" s="1" t="str">
        <f t="shared" si="12"/>
        <v/>
      </c>
      <c r="J288" s="1" t="s">
        <v>35</v>
      </c>
      <c r="K288" s="1" t="str">
        <f t="shared" si="13"/>
        <v/>
      </c>
      <c r="L288" s="1" t="str">
        <f t="shared" si="14"/>
        <v/>
      </c>
      <c r="M288" s="1">
        <f>IF(OR(Table1[[#This Row],[Std Nom]]="",Table1[[#This Row],[Std Read]]=""),0,Table1[[#This Row],[Std Nom]]-Table1[[#This Row],[Std Read]])</f>
        <v>0</v>
      </c>
      <c r="N288" s="1">
        <f>IF(Calculations!$F$5="ACCREDITED 17025 WITH UNCERTAINTIES",$N$10,0)</f>
        <v>0</v>
      </c>
      <c r="O288" s="1" t="str">
        <f>IFERROR(Table1[[#This Row],[Std Nom]]-(_xlfn.XLOOKUP(Table1[[#This Row],[Manufacturer]]&amp;" "&amp;Table1[[#This Row],[Model]],Table13[MFR &amp; MDL],Table13[Tolerance % CW ],"")/100*Table1[[#This Row],[Std Nom]]),"")</f>
        <v/>
      </c>
      <c r="P288" s="1" t="str">
        <f>IFERROR(Table1[[#This Row],[Std Nom]]+(_xlfn.XLOOKUP(Table1[[#This Row],[Manufacturer]]&amp;" "&amp;Table1[[#This Row],[Model]],Table13[MFR &amp; MDL],Table13[Tolerance % CW ],"")/100*Table1[[#This Row],[Std Nom]]),"")</f>
        <v/>
      </c>
      <c r="Q288" s="1" t="e">
        <f>Table1[[#This Row],[High Tol]]-Table1[[#This Row],[Low Tol]]</f>
        <v>#VALUE!</v>
      </c>
      <c r="R288" s="1">
        <f>2*Table1[[#This Row],[Std Error]]</f>
        <v>0</v>
      </c>
      <c r="S288" s="1" t="str">
        <f>IF(Table1[[#This Row],[High Tol]]="","N/A",IFERROR(ABS(Table1[[#This Row],[Tol Span]]/Table1[[#This Row],[Error Span]]),"N/A"))</f>
        <v>N/A</v>
      </c>
      <c r="T288" s="1" t="str">
        <f>IF(OR(Table1[[#This Row],[Low Tol]]="",Table1[[#This Row],[High Tol]]=""),"Needs Analysis",IF(Table1[[#This Row],[Ratio]]&gt;=4,"Not Significant",IF(Table1[[#This Row],[Ratio]]&gt;=2,"Semi-Significant","Significant")))</f>
        <v>Needs Analysis</v>
      </c>
      <c r="W288" s="1">
        <f>IF(Table1[[#This Row],[Cal Type]]&lt;&gt;"ACCREDITED 17025 WITH UNCERTAINTIES",0,"")</f>
        <v>0</v>
      </c>
      <c r="X288" s="1" t="str">
        <f>IF(Table1[[#This Row],[DUT Read]]="","N/A",Table1[[#This Row],[Std Error]]+Table1[[#This Row],[DUT Read]]+Table1[[#This Row],[DUT Ucty]])</f>
        <v>N/A</v>
      </c>
      <c r="Y288" s="1" t="str">
        <f>IF(Table1[[#This Row],[Std Read]]="","N/A",Table1[[#This Row],[Std Read]]+Table1[[#This Row],[Std Ucty]])</f>
        <v>N/A</v>
      </c>
      <c r="Z2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 s="1" t="str">
        <f>IF(Table1[[#This Row],[Spec Type]]="","N/A",Table1[[#This Row],[Spec Type]])</f>
        <v>±</v>
      </c>
      <c r="AC288" s="1" t="str">
        <f>IF(Table1[[#This Row],[Spec Type2]]="N/A","N/A",IF(AND(Table1[[#This Row],[DUT Adj Read]]&gt;=Table1[[#This Row],[Low Tol]],Table1[[#This Row],[DUT Adj Read]]&lt;=Table1[[#This Row],[High Tol]]),"Pass","Fail"))</f>
        <v>Fail</v>
      </c>
      <c r="AD288" s="1" t="str">
        <f>IF(AND(Table1[[#This Row],[Spec Type2]]="N/A",Table1[[#This Row],[DUT Adj Read]]="N/A",Table1[[#This Row],[Std Adj Read]]="N/A"),"N/A",IF(Table1[[#This Row],[DUT Adj Read]]="N/A",IF(Table1[[#This Row],[Std Adj Read]]&gt;Table1[[#This Row],[Low Tol]],"Pass","Fail"),IF(Table1[[#This Row],[DUT Adj Read]]&gt;Table1[[#This Row],[Low Tol]],"Pass","Fail")))</f>
        <v>Pass</v>
      </c>
      <c r="AE288" s="1" t="str">
        <f>IF(AND(Table1[[#This Row],[Spec Type2]]="N/A",Table1[[#This Row],[DUT Adj Read]]="N/A",Table1[[#This Row],[Std Adj Read]]="N/A"),"N/A",IF(Table1[[#This Row],[DUT Adj Read]]="N/A",IF(Table1[[#This Row],[Std Adj Read]]&lt;Table1[[#This Row],[High Tol]],"Pass","Fail"),IF(Table1[[#This Row],[DUT Adj Read]]&lt;Table1[[#This Row],[High Tol]],"Pass","Fail")))</f>
        <v>Fail</v>
      </c>
      <c r="AF288" s="1" t="str">
        <f>IF(AND(Table1[[#This Row],[Spec Type2]]="N/A",Table1[[#This Row],[DUT Adj Read]]="N/A",Table1[[#This Row],[Std Adj Read]]="N/A"),"N/A",IF(Table1[[#This Row],[DUT Adj Read]]="N/A",IF(Table1[[#This Row],[Std Adj Read]]&gt;=Table1[[#This Row],[Low Tol]],"Pass","Fail"),IF(Table1[[#This Row],[DUT Adj Read]]&gt;=Table1[[#This Row],[Low Tol]],"Pass","Fail")))</f>
        <v>Pass</v>
      </c>
      <c r="AG288" s="1" t="str">
        <f>IF(AND(Table1[[#This Row],[Spec Type2]]="N/A",Table1[[#This Row],[DUT Adj Read]]="N/A",Table1[[#This Row],[Std Adj Read]]="N/A"),"N/A",IF(Table1[[#This Row],[DUT Adj Read]]="N/A",IF(Table1[[#This Row],[Std Adj Read]]&lt;=Table1[[#This Row],[High Tol]],"Pass","Fail"),IF(Table1[[#This Row],[DUT Adj Read]]&lt;=Table1[[#This Row],[High Tol]],"Pass","Fail")))</f>
        <v>Fail</v>
      </c>
      <c r="AH2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 s="1" t="b">
        <v>0</v>
      </c>
      <c r="AN288" s="1" t="b">
        <v>0</v>
      </c>
      <c r="AO288" s="1" t="b">
        <v>0</v>
      </c>
    </row>
    <row r="289" spans="1:41" x14ac:dyDescent="0.25">
      <c r="A289" s="10"/>
      <c r="B289" s="10"/>
      <c r="C289" s="10"/>
      <c r="D289" s="10"/>
      <c r="E289" s="10"/>
      <c r="F289" s="10"/>
      <c r="G289" s="10"/>
      <c r="H289" s="10"/>
      <c r="I289" s="1" t="str">
        <f t="shared" si="12"/>
        <v/>
      </c>
      <c r="J289" s="1" t="s">
        <v>35</v>
      </c>
      <c r="K289" s="1" t="str">
        <f t="shared" si="13"/>
        <v/>
      </c>
      <c r="L289" s="1" t="str">
        <f t="shared" si="14"/>
        <v/>
      </c>
      <c r="M289" s="1">
        <f>IF(OR(Table1[[#This Row],[Std Nom]]="",Table1[[#This Row],[Std Read]]=""),0,Table1[[#This Row],[Std Nom]]-Table1[[#This Row],[Std Read]])</f>
        <v>0</v>
      </c>
      <c r="N289" s="1">
        <f>IF(Calculations!$F$5="ACCREDITED 17025 WITH UNCERTAINTIES",$N$10,0)</f>
        <v>0</v>
      </c>
      <c r="O289" s="1" t="str">
        <f>IFERROR(Table1[[#This Row],[Std Nom]]-(_xlfn.XLOOKUP(Table1[[#This Row],[Manufacturer]]&amp;" "&amp;Table1[[#This Row],[Model]],Table13[MFR &amp; MDL],Table13[Tolerance % CW ],"")/100*Table1[[#This Row],[Std Nom]]),"")</f>
        <v/>
      </c>
      <c r="P289" s="1" t="str">
        <f>IFERROR(Table1[[#This Row],[Std Nom]]+(_xlfn.XLOOKUP(Table1[[#This Row],[Manufacturer]]&amp;" "&amp;Table1[[#This Row],[Model]],Table13[MFR &amp; MDL],Table13[Tolerance % CW ],"")/100*Table1[[#This Row],[Std Nom]]),"")</f>
        <v/>
      </c>
      <c r="Q289" s="1" t="e">
        <f>Table1[[#This Row],[High Tol]]-Table1[[#This Row],[Low Tol]]</f>
        <v>#VALUE!</v>
      </c>
      <c r="R289" s="1">
        <f>2*Table1[[#This Row],[Std Error]]</f>
        <v>0</v>
      </c>
      <c r="S289" s="1" t="str">
        <f>IF(Table1[[#This Row],[High Tol]]="","N/A",IFERROR(ABS(Table1[[#This Row],[Tol Span]]/Table1[[#This Row],[Error Span]]),"N/A"))</f>
        <v>N/A</v>
      </c>
      <c r="T289" s="1" t="str">
        <f>IF(OR(Table1[[#This Row],[Low Tol]]="",Table1[[#This Row],[High Tol]]=""),"Needs Analysis",IF(Table1[[#This Row],[Ratio]]&gt;=4,"Not Significant",IF(Table1[[#This Row],[Ratio]]&gt;=2,"Semi-Significant","Significant")))</f>
        <v>Needs Analysis</v>
      </c>
      <c r="W289" s="1">
        <f>IF(Table1[[#This Row],[Cal Type]]&lt;&gt;"ACCREDITED 17025 WITH UNCERTAINTIES",0,"")</f>
        <v>0</v>
      </c>
      <c r="X289" s="1" t="str">
        <f>IF(Table1[[#This Row],[DUT Read]]="","N/A",Table1[[#This Row],[Std Error]]+Table1[[#This Row],[DUT Read]]+Table1[[#This Row],[DUT Ucty]])</f>
        <v>N/A</v>
      </c>
      <c r="Y289" s="1" t="str">
        <f>IF(Table1[[#This Row],[Std Read]]="","N/A",Table1[[#This Row],[Std Read]]+Table1[[#This Row],[Std Ucty]])</f>
        <v>N/A</v>
      </c>
      <c r="Z2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 s="1" t="str">
        <f>IF(Table1[[#This Row],[Spec Type]]="","N/A",Table1[[#This Row],[Spec Type]])</f>
        <v>±</v>
      </c>
      <c r="AC289" s="1" t="str">
        <f>IF(Table1[[#This Row],[Spec Type2]]="N/A","N/A",IF(AND(Table1[[#This Row],[DUT Adj Read]]&gt;=Table1[[#This Row],[Low Tol]],Table1[[#This Row],[DUT Adj Read]]&lt;=Table1[[#This Row],[High Tol]]),"Pass","Fail"))</f>
        <v>Fail</v>
      </c>
      <c r="AD289" s="1" t="str">
        <f>IF(AND(Table1[[#This Row],[Spec Type2]]="N/A",Table1[[#This Row],[DUT Adj Read]]="N/A",Table1[[#This Row],[Std Adj Read]]="N/A"),"N/A",IF(Table1[[#This Row],[DUT Adj Read]]="N/A",IF(Table1[[#This Row],[Std Adj Read]]&gt;Table1[[#This Row],[Low Tol]],"Pass","Fail"),IF(Table1[[#This Row],[DUT Adj Read]]&gt;Table1[[#This Row],[Low Tol]],"Pass","Fail")))</f>
        <v>Pass</v>
      </c>
      <c r="AE289" s="1" t="str">
        <f>IF(AND(Table1[[#This Row],[Spec Type2]]="N/A",Table1[[#This Row],[DUT Adj Read]]="N/A",Table1[[#This Row],[Std Adj Read]]="N/A"),"N/A",IF(Table1[[#This Row],[DUT Adj Read]]="N/A",IF(Table1[[#This Row],[Std Adj Read]]&lt;Table1[[#This Row],[High Tol]],"Pass","Fail"),IF(Table1[[#This Row],[DUT Adj Read]]&lt;Table1[[#This Row],[High Tol]],"Pass","Fail")))</f>
        <v>Fail</v>
      </c>
      <c r="AF289" s="1" t="str">
        <f>IF(AND(Table1[[#This Row],[Spec Type2]]="N/A",Table1[[#This Row],[DUT Adj Read]]="N/A",Table1[[#This Row],[Std Adj Read]]="N/A"),"N/A",IF(Table1[[#This Row],[DUT Adj Read]]="N/A",IF(Table1[[#This Row],[Std Adj Read]]&gt;=Table1[[#This Row],[Low Tol]],"Pass","Fail"),IF(Table1[[#This Row],[DUT Adj Read]]&gt;=Table1[[#This Row],[Low Tol]],"Pass","Fail")))</f>
        <v>Pass</v>
      </c>
      <c r="AG289" s="1" t="str">
        <f>IF(AND(Table1[[#This Row],[Spec Type2]]="N/A",Table1[[#This Row],[DUT Adj Read]]="N/A",Table1[[#This Row],[Std Adj Read]]="N/A"),"N/A",IF(Table1[[#This Row],[DUT Adj Read]]="N/A",IF(Table1[[#This Row],[Std Adj Read]]&lt;=Table1[[#This Row],[High Tol]],"Pass","Fail"),IF(Table1[[#This Row],[DUT Adj Read]]&lt;=Table1[[#This Row],[High Tol]],"Pass","Fail")))</f>
        <v>Fail</v>
      </c>
      <c r="AH2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 s="1" t="b">
        <v>0</v>
      </c>
      <c r="AN289" s="1" t="b">
        <v>0</v>
      </c>
      <c r="AO289" s="1" t="b">
        <v>0</v>
      </c>
    </row>
    <row r="290" spans="1:41" x14ac:dyDescent="0.25">
      <c r="A290" s="10"/>
      <c r="B290" s="10"/>
      <c r="C290" s="10"/>
      <c r="D290" s="10"/>
      <c r="E290" s="10"/>
      <c r="F290" s="10"/>
      <c r="G290" s="10"/>
      <c r="H290" s="10"/>
      <c r="I290" s="1" t="str">
        <f t="shared" si="12"/>
        <v/>
      </c>
      <c r="J290" s="1" t="s">
        <v>35</v>
      </c>
      <c r="K290" s="1" t="str">
        <f t="shared" si="13"/>
        <v/>
      </c>
      <c r="L290" s="1" t="str">
        <f t="shared" si="14"/>
        <v/>
      </c>
      <c r="M290" s="1">
        <f>IF(OR(Table1[[#This Row],[Std Nom]]="",Table1[[#This Row],[Std Read]]=""),0,Table1[[#This Row],[Std Nom]]-Table1[[#This Row],[Std Read]])</f>
        <v>0</v>
      </c>
      <c r="N290" s="1">
        <f>IF(Calculations!$F$5="ACCREDITED 17025 WITH UNCERTAINTIES",$N$10,0)</f>
        <v>0</v>
      </c>
      <c r="O290" s="1" t="str">
        <f>IFERROR(Table1[[#This Row],[Std Nom]]-(_xlfn.XLOOKUP(Table1[[#This Row],[Manufacturer]]&amp;" "&amp;Table1[[#This Row],[Model]],Table13[MFR &amp; MDL],Table13[Tolerance % CW ],"")/100*Table1[[#This Row],[Std Nom]]),"")</f>
        <v/>
      </c>
      <c r="P290" s="1" t="str">
        <f>IFERROR(Table1[[#This Row],[Std Nom]]+(_xlfn.XLOOKUP(Table1[[#This Row],[Manufacturer]]&amp;" "&amp;Table1[[#This Row],[Model]],Table13[MFR &amp; MDL],Table13[Tolerance % CW ],"")/100*Table1[[#This Row],[Std Nom]]),"")</f>
        <v/>
      </c>
      <c r="Q290" s="1" t="e">
        <f>Table1[[#This Row],[High Tol]]-Table1[[#This Row],[Low Tol]]</f>
        <v>#VALUE!</v>
      </c>
      <c r="R290" s="1">
        <f>2*Table1[[#This Row],[Std Error]]</f>
        <v>0</v>
      </c>
      <c r="S290" s="1" t="str">
        <f>IF(Table1[[#This Row],[High Tol]]="","N/A",IFERROR(ABS(Table1[[#This Row],[Tol Span]]/Table1[[#This Row],[Error Span]]),"N/A"))</f>
        <v>N/A</v>
      </c>
      <c r="T290" s="1" t="str">
        <f>IF(OR(Table1[[#This Row],[Low Tol]]="",Table1[[#This Row],[High Tol]]=""),"Needs Analysis",IF(Table1[[#This Row],[Ratio]]&gt;=4,"Not Significant",IF(Table1[[#This Row],[Ratio]]&gt;=2,"Semi-Significant","Significant")))</f>
        <v>Needs Analysis</v>
      </c>
      <c r="W290" s="1">
        <f>IF(Table1[[#This Row],[Cal Type]]&lt;&gt;"ACCREDITED 17025 WITH UNCERTAINTIES",0,"")</f>
        <v>0</v>
      </c>
      <c r="X290" s="1" t="str">
        <f>IF(Table1[[#This Row],[DUT Read]]="","N/A",Table1[[#This Row],[Std Error]]+Table1[[#This Row],[DUT Read]]+Table1[[#This Row],[DUT Ucty]])</f>
        <v>N/A</v>
      </c>
      <c r="Y290" s="1" t="str">
        <f>IF(Table1[[#This Row],[Std Read]]="","N/A",Table1[[#This Row],[Std Read]]+Table1[[#This Row],[Std Ucty]])</f>
        <v>N/A</v>
      </c>
      <c r="Z2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 s="1" t="str">
        <f>IF(Table1[[#This Row],[Spec Type]]="","N/A",Table1[[#This Row],[Spec Type]])</f>
        <v>±</v>
      </c>
      <c r="AC290" s="1" t="str">
        <f>IF(Table1[[#This Row],[Spec Type2]]="N/A","N/A",IF(AND(Table1[[#This Row],[DUT Adj Read]]&gt;=Table1[[#This Row],[Low Tol]],Table1[[#This Row],[DUT Adj Read]]&lt;=Table1[[#This Row],[High Tol]]),"Pass","Fail"))</f>
        <v>Fail</v>
      </c>
      <c r="AD290" s="1" t="str">
        <f>IF(AND(Table1[[#This Row],[Spec Type2]]="N/A",Table1[[#This Row],[DUT Adj Read]]="N/A",Table1[[#This Row],[Std Adj Read]]="N/A"),"N/A",IF(Table1[[#This Row],[DUT Adj Read]]="N/A",IF(Table1[[#This Row],[Std Adj Read]]&gt;Table1[[#This Row],[Low Tol]],"Pass","Fail"),IF(Table1[[#This Row],[DUT Adj Read]]&gt;Table1[[#This Row],[Low Tol]],"Pass","Fail")))</f>
        <v>Pass</v>
      </c>
      <c r="AE290" s="1" t="str">
        <f>IF(AND(Table1[[#This Row],[Spec Type2]]="N/A",Table1[[#This Row],[DUT Adj Read]]="N/A",Table1[[#This Row],[Std Adj Read]]="N/A"),"N/A",IF(Table1[[#This Row],[DUT Adj Read]]="N/A",IF(Table1[[#This Row],[Std Adj Read]]&lt;Table1[[#This Row],[High Tol]],"Pass","Fail"),IF(Table1[[#This Row],[DUT Adj Read]]&lt;Table1[[#This Row],[High Tol]],"Pass","Fail")))</f>
        <v>Fail</v>
      </c>
      <c r="AF290" s="1" t="str">
        <f>IF(AND(Table1[[#This Row],[Spec Type2]]="N/A",Table1[[#This Row],[DUT Adj Read]]="N/A",Table1[[#This Row],[Std Adj Read]]="N/A"),"N/A",IF(Table1[[#This Row],[DUT Adj Read]]="N/A",IF(Table1[[#This Row],[Std Adj Read]]&gt;=Table1[[#This Row],[Low Tol]],"Pass","Fail"),IF(Table1[[#This Row],[DUT Adj Read]]&gt;=Table1[[#This Row],[Low Tol]],"Pass","Fail")))</f>
        <v>Pass</v>
      </c>
      <c r="AG290" s="1" t="str">
        <f>IF(AND(Table1[[#This Row],[Spec Type2]]="N/A",Table1[[#This Row],[DUT Adj Read]]="N/A",Table1[[#This Row],[Std Adj Read]]="N/A"),"N/A",IF(Table1[[#This Row],[DUT Adj Read]]="N/A",IF(Table1[[#This Row],[Std Adj Read]]&lt;=Table1[[#This Row],[High Tol]],"Pass","Fail"),IF(Table1[[#This Row],[DUT Adj Read]]&lt;=Table1[[#This Row],[High Tol]],"Pass","Fail")))</f>
        <v>Fail</v>
      </c>
      <c r="AH2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 s="1" t="b">
        <v>0</v>
      </c>
      <c r="AN290" s="1" t="b">
        <v>0</v>
      </c>
      <c r="AO290" s="1" t="b">
        <v>0</v>
      </c>
    </row>
    <row r="291" spans="1:41" x14ac:dyDescent="0.25">
      <c r="A291" s="10"/>
      <c r="B291" s="10"/>
      <c r="C291" s="10"/>
      <c r="D291" s="10"/>
      <c r="E291" s="10"/>
      <c r="F291" s="10"/>
      <c r="G291" s="10"/>
      <c r="H291" s="10"/>
      <c r="I291" s="1" t="str">
        <f t="shared" si="12"/>
        <v/>
      </c>
      <c r="J291" s="1" t="s">
        <v>35</v>
      </c>
      <c r="K291" s="1" t="str">
        <f t="shared" si="13"/>
        <v/>
      </c>
      <c r="L291" s="1" t="str">
        <f t="shared" si="14"/>
        <v/>
      </c>
      <c r="M291" s="1">
        <f>IF(OR(Table1[[#This Row],[Std Nom]]="",Table1[[#This Row],[Std Read]]=""),0,Table1[[#This Row],[Std Nom]]-Table1[[#This Row],[Std Read]])</f>
        <v>0</v>
      </c>
      <c r="N291" s="1">
        <f>IF(Calculations!$F$5="ACCREDITED 17025 WITH UNCERTAINTIES",$N$10,0)</f>
        <v>0</v>
      </c>
      <c r="O291" s="1" t="str">
        <f>IFERROR(Table1[[#This Row],[Std Nom]]-(_xlfn.XLOOKUP(Table1[[#This Row],[Manufacturer]]&amp;" "&amp;Table1[[#This Row],[Model]],Table13[MFR &amp; MDL],Table13[Tolerance % CW ],"")/100*Table1[[#This Row],[Std Nom]]),"")</f>
        <v/>
      </c>
      <c r="P291" s="1" t="str">
        <f>IFERROR(Table1[[#This Row],[Std Nom]]+(_xlfn.XLOOKUP(Table1[[#This Row],[Manufacturer]]&amp;" "&amp;Table1[[#This Row],[Model]],Table13[MFR &amp; MDL],Table13[Tolerance % CW ],"")/100*Table1[[#This Row],[Std Nom]]),"")</f>
        <v/>
      </c>
      <c r="Q291" s="1" t="e">
        <f>Table1[[#This Row],[High Tol]]-Table1[[#This Row],[Low Tol]]</f>
        <v>#VALUE!</v>
      </c>
      <c r="R291" s="1">
        <f>2*Table1[[#This Row],[Std Error]]</f>
        <v>0</v>
      </c>
      <c r="S291" s="1" t="str">
        <f>IF(Table1[[#This Row],[High Tol]]="","N/A",IFERROR(ABS(Table1[[#This Row],[Tol Span]]/Table1[[#This Row],[Error Span]]),"N/A"))</f>
        <v>N/A</v>
      </c>
      <c r="T291" s="1" t="str">
        <f>IF(OR(Table1[[#This Row],[Low Tol]]="",Table1[[#This Row],[High Tol]]=""),"Needs Analysis",IF(Table1[[#This Row],[Ratio]]&gt;=4,"Not Significant",IF(Table1[[#This Row],[Ratio]]&gt;=2,"Semi-Significant","Significant")))</f>
        <v>Needs Analysis</v>
      </c>
      <c r="W291" s="1">
        <f>IF(Table1[[#This Row],[Cal Type]]&lt;&gt;"ACCREDITED 17025 WITH UNCERTAINTIES",0,"")</f>
        <v>0</v>
      </c>
      <c r="X291" s="1" t="str">
        <f>IF(Table1[[#This Row],[DUT Read]]="","N/A",Table1[[#This Row],[Std Error]]+Table1[[#This Row],[DUT Read]]+Table1[[#This Row],[DUT Ucty]])</f>
        <v>N/A</v>
      </c>
      <c r="Y291" s="1" t="str">
        <f>IF(Table1[[#This Row],[Std Read]]="","N/A",Table1[[#This Row],[Std Read]]+Table1[[#This Row],[Std Ucty]])</f>
        <v>N/A</v>
      </c>
      <c r="Z2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 s="1" t="str">
        <f>IF(Table1[[#This Row],[Spec Type]]="","N/A",Table1[[#This Row],[Spec Type]])</f>
        <v>±</v>
      </c>
      <c r="AC291" s="1" t="str">
        <f>IF(Table1[[#This Row],[Spec Type2]]="N/A","N/A",IF(AND(Table1[[#This Row],[DUT Adj Read]]&gt;=Table1[[#This Row],[Low Tol]],Table1[[#This Row],[DUT Adj Read]]&lt;=Table1[[#This Row],[High Tol]]),"Pass","Fail"))</f>
        <v>Fail</v>
      </c>
      <c r="AD291" s="1" t="str">
        <f>IF(AND(Table1[[#This Row],[Spec Type2]]="N/A",Table1[[#This Row],[DUT Adj Read]]="N/A",Table1[[#This Row],[Std Adj Read]]="N/A"),"N/A",IF(Table1[[#This Row],[DUT Adj Read]]="N/A",IF(Table1[[#This Row],[Std Adj Read]]&gt;Table1[[#This Row],[Low Tol]],"Pass","Fail"),IF(Table1[[#This Row],[DUT Adj Read]]&gt;Table1[[#This Row],[Low Tol]],"Pass","Fail")))</f>
        <v>Pass</v>
      </c>
      <c r="AE291" s="1" t="str">
        <f>IF(AND(Table1[[#This Row],[Spec Type2]]="N/A",Table1[[#This Row],[DUT Adj Read]]="N/A",Table1[[#This Row],[Std Adj Read]]="N/A"),"N/A",IF(Table1[[#This Row],[DUT Adj Read]]="N/A",IF(Table1[[#This Row],[Std Adj Read]]&lt;Table1[[#This Row],[High Tol]],"Pass","Fail"),IF(Table1[[#This Row],[DUT Adj Read]]&lt;Table1[[#This Row],[High Tol]],"Pass","Fail")))</f>
        <v>Fail</v>
      </c>
      <c r="AF291" s="1" t="str">
        <f>IF(AND(Table1[[#This Row],[Spec Type2]]="N/A",Table1[[#This Row],[DUT Adj Read]]="N/A",Table1[[#This Row],[Std Adj Read]]="N/A"),"N/A",IF(Table1[[#This Row],[DUT Adj Read]]="N/A",IF(Table1[[#This Row],[Std Adj Read]]&gt;=Table1[[#This Row],[Low Tol]],"Pass","Fail"),IF(Table1[[#This Row],[DUT Adj Read]]&gt;=Table1[[#This Row],[Low Tol]],"Pass","Fail")))</f>
        <v>Pass</v>
      </c>
      <c r="AG291" s="1" t="str">
        <f>IF(AND(Table1[[#This Row],[Spec Type2]]="N/A",Table1[[#This Row],[DUT Adj Read]]="N/A",Table1[[#This Row],[Std Adj Read]]="N/A"),"N/A",IF(Table1[[#This Row],[DUT Adj Read]]="N/A",IF(Table1[[#This Row],[Std Adj Read]]&lt;=Table1[[#This Row],[High Tol]],"Pass","Fail"),IF(Table1[[#This Row],[DUT Adj Read]]&lt;=Table1[[#This Row],[High Tol]],"Pass","Fail")))</f>
        <v>Fail</v>
      </c>
      <c r="AH2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 s="1" t="b">
        <v>0</v>
      </c>
      <c r="AN291" s="1" t="b">
        <v>0</v>
      </c>
      <c r="AO291" s="1" t="b">
        <v>0</v>
      </c>
    </row>
    <row r="292" spans="1:41" x14ac:dyDescent="0.25">
      <c r="A292" s="10"/>
      <c r="B292" s="10"/>
      <c r="C292" s="10"/>
      <c r="D292" s="10"/>
      <c r="E292" s="10"/>
      <c r="F292" s="10"/>
      <c r="G292" s="10"/>
      <c r="H292" s="10"/>
      <c r="I292" s="1" t="str">
        <f t="shared" si="12"/>
        <v/>
      </c>
      <c r="J292" s="1" t="s">
        <v>35</v>
      </c>
      <c r="K292" s="1" t="str">
        <f t="shared" si="13"/>
        <v/>
      </c>
      <c r="L292" s="1" t="str">
        <f t="shared" si="14"/>
        <v/>
      </c>
      <c r="M292" s="1">
        <f>IF(OR(Table1[[#This Row],[Std Nom]]="",Table1[[#This Row],[Std Read]]=""),0,Table1[[#This Row],[Std Nom]]-Table1[[#This Row],[Std Read]])</f>
        <v>0</v>
      </c>
      <c r="N292" s="1">
        <f>IF(Calculations!$F$5="ACCREDITED 17025 WITH UNCERTAINTIES",$N$10,0)</f>
        <v>0</v>
      </c>
      <c r="O292" s="1" t="str">
        <f>IFERROR(Table1[[#This Row],[Std Nom]]-(_xlfn.XLOOKUP(Table1[[#This Row],[Manufacturer]]&amp;" "&amp;Table1[[#This Row],[Model]],Table13[MFR &amp; MDL],Table13[Tolerance % CW ],"")/100*Table1[[#This Row],[Std Nom]]),"")</f>
        <v/>
      </c>
      <c r="P292" s="1" t="str">
        <f>IFERROR(Table1[[#This Row],[Std Nom]]+(_xlfn.XLOOKUP(Table1[[#This Row],[Manufacturer]]&amp;" "&amp;Table1[[#This Row],[Model]],Table13[MFR &amp; MDL],Table13[Tolerance % CW ],"")/100*Table1[[#This Row],[Std Nom]]),"")</f>
        <v/>
      </c>
      <c r="Q292" s="1" t="e">
        <f>Table1[[#This Row],[High Tol]]-Table1[[#This Row],[Low Tol]]</f>
        <v>#VALUE!</v>
      </c>
      <c r="R292" s="1">
        <f>2*Table1[[#This Row],[Std Error]]</f>
        <v>0</v>
      </c>
      <c r="S292" s="1" t="str">
        <f>IF(Table1[[#This Row],[High Tol]]="","N/A",IFERROR(ABS(Table1[[#This Row],[Tol Span]]/Table1[[#This Row],[Error Span]]),"N/A"))</f>
        <v>N/A</v>
      </c>
      <c r="T292" s="1" t="str">
        <f>IF(OR(Table1[[#This Row],[Low Tol]]="",Table1[[#This Row],[High Tol]]=""),"Needs Analysis",IF(Table1[[#This Row],[Ratio]]&gt;=4,"Not Significant",IF(Table1[[#This Row],[Ratio]]&gt;=2,"Semi-Significant","Significant")))</f>
        <v>Needs Analysis</v>
      </c>
      <c r="W292" s="1">
        <f>IF(Table1[[#This Row],[Cal Type]]&lt;&gt;"ACCREDITED 17025 WITH UNCERTAINTIES",0,"")</f>
        <v>0</v>
      </c>
      <c r="X292" s="1" t="str">
        <f>IF(Table1[[#This Row],[DUT Read]]="","N/A",Table1[[#This Row],[Std Error]]+Table1[[#This Row],[DUT Read]]+Table1[[#This Row],[DUT Ucty]])</f>
        <v>N/A</v>
      </c>
      <c r="Y292" s="1" t="str">
        <f>IF(Table1[[#This Row],[Std Read]]="","N/A",Table1[[#This Row],[Std Read]]+Table1[[#This Row],[Std Ucty]])</f>
        <v>N/A</v>
      </c>
      <c r="Z2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 s="1" t="str">
        <f>IF(Table1[[#This Row],[Spec Type]]="","N/A",Table1[[#This Row],[Spec Type]])</f>
        <v>±</v>
      </c>
      <c r="AC292" s="1" t="str">
        <f>IF(Table1[[#This Row],[Spec Type2]]="N/A","N/A",IF(AND(Table1[[#This Row],[DUT Adj Read]]&gt;=Table1[[#This Row],[Low Tol]],Table1[[#This Row],[DUT Adj Read]]&lt;=Table1[[#This Row],[High Tol]]),"Pass","Fail"))</f>
        <v>Fail</v>
      </c>
      <c r="AD292" s="1" t="str">
        <f>IF(AND(Table1[[#This Row],[Spec Type2]]="N/A",Table1[[#This Row],[DUT Adj Read]]="N/A",Table1[[#This Row],[Std Adj Read]]="N/A"),"N/A",IF(Table1[[#This Row],[DUT Adj Read]]="N/A",IF(Table1[[#This Row],[Std Adj Read]]&gt;Table1[[#This Row],[Low Tol]],"Pass","Fail"),IF(Table1[[#This Row],[DUT Adj Read]]&gt;Table1[[#This Row],[Low Tol]],"Pass","Fail")))</f>
        <v>Pass</v>
      </c>
      <c r="AE292" s="1" t="str">
        <f>IF(AND(Table1[[#This Row],[Spec Type2]]="N/A",Table1[[#This Row],[DUT Adj Read]]="N/A",Table1[[#This Row],[Std Adj Read]]="N/A"),"N/A",IF(Table1[[#This Row],[DUT Adj Read]]="N/A",IF(Table1[[#This Row],[Std Adj Read]]&lt;Table1[[#This Row],[High Tol]],"Pass","Fail"),IF(Table1[[#This Row],[DUT Adj Read]]&lt;Table1[[#This Row],[High Tol]],"Pass","Fail")))</f>
        <v>Fail</v>
      </c>
      <c r="AF292" s="1" t="str">
        <f>IF(AND(Table1[[#This Row],[Spec Type2]]="N/A",Table1[[#This Row],[DUT Adj Read]]="N/A",Table1[[#This Row],[Std Adj Read]]="N/A"),"N/A",IF(Table1[[#This Row],[DUT Adj Read]]="N/A",IF(Table1[[#This Row],[Std Adj Read]]&gt;=Table1[[#This Row],[Low Tol]],"Pass","Fail"),IF(Table1[[#This Row],[DUT Adj Read]]&gt;=Table1[[#This Row],[Low Tol]],"Pass","Fail")))</f>
        <v>Pass</v>
      </c>
      <c r="AG292" s="1" t="str">
        <f>IF(AND(Table1[[#This Row],[Spec Type2]]="N/A",Table1[[#This Row],[DUT Adj Read]]="N/A",Table1[[#This Row],[Std Adj Read]]="N/A"),"N/A",IF(Table1[[#This Row],[DUT Adj Read]]="N/A",IF(Table1[[#This Row],[Std Adj Read]]&lt;=Table1[[#This Row],[High Tol]],"Pass","Fail"),IF(Table1[[#This Row],[DUT Adj Read]]&lt;=Table1[[#This Row],[High Tol]],"Pass","Fail")))</f>
        <v>Fail</v>
      </c>
      <c r="AH2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 s="1" t="b">
        <v>0</v>
      </c>
      <c r="AN292" s="1" t="b">
        <v>0</v>
      </c>
      <c r="AO292" s="1" t="b">
        <v>0</v>
      </c>
    </row>
    <row r="293" spans="1:41" x14ac:dyDescent="0.25">
      <c r="A293" s="10"/>
      <c r="B293" s="10"/>
      <c r="C293" s="10"/>
      <c r="D293" s="10"/>
      <c r="E293" s="10"/>
      <c r="F293" s="10"/>
      <c r="G293" s="10"/>
      <c r="H293" s="10"/>
      <c r="I293" s="1" t="str">
        <f t="shared" si="12"/>
        <v/>
      </c>
      <c r="J293" s="1" t="s">
        <v>35</v>
      </c>
      <c r="K293" s="1" t="str">
        <f t="shared" si="13"/>
        <v/>
      </c>
      <c r="L293" s="1" t="str">
        <f t="shared" si="14"/>
        <v/>
      </c>
      <c r="M293" s="1">
        <f>IF(OR(Table1[[#This Row],[Std Nom]]="",Table1[[#This Row],[Std Read]]=""),0,Table1[[#This Row],[Std Nom]]-Table1[[#This Row],[Std Read]])</f>
        <v>0</v>
      </c>
      <c r="N293" s="1">
        <f>IF(Calculations!$F$5="ACCREDITED 17025 WITH UNCERTAINTIES",$N$10,0)</f>
        <v>0</v>
      </c>
      <c r="O293" s="1" t="str">
        <f>IFERROR(Table1[[#This Row],[Std Nom]]-(_xlfn.XLOOKUP(Table1[[#This Row],[Manufacturer]]&amp;" "&amp;Table1[[#This Row],[Model]],Table13[MFR &amp; MDL],Table13[Tolerance % CW ],"")/100*Table1[[#This Row],[Std Nom]]),"")</f>
        <v/>
      </c>
      <c r="P293" s="1" t="str">
        <f>IFERROR(Table1[[#This Row],[Std Nom]]+(_xlfn.XLOOKUP(Table1[[#This Row],[Manufacturer]]&amp;" "&amp;Table1[[#This Row],[Model]],Table13[MFR &amp; MDL],Table13[Tolerance % CW ],"")/100*Table1[[#This Row],[Std Nom]]),"")</f>
        <v/>
      </c>
      <c r="Q293" s="1" t="e">
        <f>Table1[[#This Row],[High Tol]]-Table1[[#This Row],[Low Tol]]</f>
        <v>#VALUE!</v>
      </c>
      <c r="R293" s="1">
        <f>2*Table1[[#This Row],[Std Error]]</f>
        <v>0</v>
      </c>
      <c r="S293" s="1" t="str">
        <f>IF(Table1[[#This Row],[High Tol]]="","N/A",IFERROR(ABS(Table1[[#This Row],[Tol Span]]/Table1[[#This Row],[Error Span]]),"N/A"))</f>
        <v>N/A</v>
      </c>
      <c r="T293" s="1" t="str">
        <f>IF(OR(Table1[[#This Row],[Low Tol]]="",Table1[[#This Row],[High Tol]]=""),"Needs Analysis",IF(Table1[[#This Row],[Ratio]]&gt;=4,"Not Significant",IF(Table1[[#This Row],[Ratio]]&gt;=2,"Semi-Significant","Significant")))</f>
        <v>Needs Analysis</v>
      </c>
      <c r="W293" s="1">
        <f>IF(Table1[[#This Row],[Cal Type]]&lt;&gt;"ACCREDITED 17025 WITH UNCERTAINTIES",0,"")</f>
        <v>0</v>
      </c>
      <c r="X293" s="1" t="str">
        <f>IF(Table1[[#This Row],[DUT Read]]="","N/A",Table1[[#This Row],[Std Error]]+Table1[[#This Row],[DUT Read]]+Table1[[#This Row],[DUT Ucty]])</f>
        <v>N/A</v>
      </c>
      <c r="Y293" s="1" t="str">
        <f>IF(Table1[[#This Row],[Std Read]]="","N/A",Table1[[#This Row],[Std Read]]+Table1[[#This Row],[Std Ucty]])</f>
        <v>N/A</v>
      </c>
      <c r="Z2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 s="1" t="str">
        <f>IF(Table1[[#This Row],[Spec Type]]="","N/A",Table1[[#This Row],[Spec Type]])</f>
        <v>±</v>
      </c>
      <c r="AC293" s="1" t="str">
        <f>IF(Table1[[#This Row],[Spec Type2]]="N/A","N/A",IF(AND(Table1[[#This Row],[DUT Adj Read]]&gt;=Table1[[#This Row],[Low Tol]],Table1[[#This Row],[DUT Adj Read]]&lt;=Table1[[#This Row],[High Tol]]),"Pass","Fail"))</f>
        <v>Fail</v>
      </c>
      <c r="AD293" s="1" t="str">
        <f>IF(AND(Table1[[#This Row],[Spec Type2]]="N/A",Table1[[#This Row],[DUT Adj Read]]="N/A",Table1[[#This Row],[Std Adj Read]]="N/A"),"N/A",IF(Table1[[#This Row],[DUT Adj Read]]="N/A",IF(Table1[[#This Row],[Std Adj Read]]&gt;Table1[[#This Row],[Low Tol]],"Pass","Fail"),IF(Table1[[#This Row],[DUT Adj Read]]&gt;Table1[[#This Row],[Low Tol]],"Pass","Fail")))</f>
        <v>Pass</v>
      </c>
      <c r="AE293" s="1" t="str">
        <f>IF(AND(Table1[[#This Row],[Spec Type2]]="N/A",Table1[[#This Row],[DUT Adj Read]]="N/A",Table1[[#This Row],[Std Adj Read]]="N/A"),"N/A",IF(Table1[[#This Row],[DUT Adj Read]]="N/A",IF(Table1[[#This Row],[Std Adj Read]]&lt;Table1[[#This Row],[High Tol]],"Pass","Fail"),IF(Table1[[#This Row],[DUT Adj Read]]&lt;Table1[[#This Row],[High Tol]],"Pass","Fail")))</f>
        <v>Fail</v>
      </c>
      <c r="AF293" s="1" t="str">
        <f>IF(AND(Table1[[#This Row],[Spec Type2]]="N/A",Table1[[#This Row],[DUT Adj Read]]="N/A",Table1[[#This Row],[Std Adj Read]]="N/A"),"N/A",IF(Table1[[#This Row],[DUT Adj Read]]="N/A",IF(Table1[[#This Row],[Std Adj Read]]&gt;=Table1[[#This Row],[Low Tol]],"Pass","Fail"),IF(Table1[[#This Row],[DUT Adj Read]]&gt;=Table1[[#This Row],[Low Tol]],"Pass","Fail")))</f>
        <v>Pass</v>
      </c>
      <c r="AG293" s="1" t="str">
        <f>IF(AND(Table1[[#This Row],[Spec Type2]]="N/A",Table1[[#This Row],[DUT Adj Read]]="N/A",Table1[[#This Row],[Std Adj Read]]="N/A"),"N/A",IF(Table1[[#This Row],[DUT Adj Read]]="N/A",IF(Table1[[#This Row],[Std Adj Read]]&lt;=Table1[[#This Row],[High Tol]],"Pass","Fail"),IF(Table1[[#This Row],[DUT Adj Read]]&lt;=Table1[[#This Row],[High Tol]],"Pass","Fail")))</f>
        <v>Fail</v>
      </c>
      <c r="AH2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 s="1" t="b">
        <v>0</v>
      </c>
      <c r="AN293" s="1" t="b">
        <v>0</v>
      </c>
      <c r="AO293" s="1" t="b">
        <v>0</v>
      </c>
    </row>
    <row r="294" spans="1:41" x14ac:dyDescent="0.25">
      <c r="A294" s="10"/>
      <c r="B294" s="10"/>
      <c r="C294" s="10"/>
      <c r="D294" s="10"/>
      <c r="E294" s="10"/>
      <c r="F294" s="10"/>
      <c r="G294" s="10"/>
      <c r="H294" s="10"/>
      <c r="I294" s="1" t="str">
        <f t="shared" si="12"/>
        <v/>
      </c>
      <c r="J294" s="1" t="s">
        <v>35</v>
      </c>
      <c r="K294" s="1" t="str">
        <f t="shared" si="13"/>
        <v/>
      </c>
      <c r="L294" s="1" t="str">
        <f t="shared" si="14"/>
        <v/>
      </c>
      <c r="M294" s="1">
        <f>IF(OR(Table1[[#This Row],[Std Nom]]="",Table1[[#This Row],[Std Read]]=""),0,Table1[[#This Row],[Std Nom]]-Table1[[#This Row],[Std Read]])</f>
        <v>0</v>
      </c>
      <c r="N294" s="1">
        <f>IF(Calculations!$F$5="ACCREDITED 17025 WITH UNCERTAINTIES",$N$10,0)</f>
        <v>0</v>
      </c>
      <c r="O294" s="1" t="str">
        <f>IFERROR(Table1[[#This Row],[Std Nom]]-(_xlfn.XLOOKUP(Table1[[#This Row],[Manufacturer]]&amp;" "&amp;Table1[[#This Row],[Model]],Table13[MFR &amp; MDL],Table13[Tolerance % CW ],"")/100*Table1[[#This Row],[Std Nom]]),"")</f>
        <v/>
      </c>
      <c r="P294" s="1" t="str">
        <f>IFERROR(Table1[[#This Row],[Std Nom]]+(_xlfn.XLOOKUP(Table1[[#This Row],[Manufacturer]]&amp;" "&amp;Table1[[#This Row],[Model]],Table13[MFR &amp; MDL],Table13[Tolerance % CW ],"")/100*Table1[[#This Row],[Std Nom]]),"")</f>
        <v/>
      </c>
      <c r="Q294" s="1" t="e">
        <f>Table1[[#This Row],[High Tol]]-Table1[[#This Row],[Low Tol]]</f>
        <v>#VALUE!</v>
      </c>
      <c r="R294" s="1">
        <f>2*Table1[[#This Row],[Std Error]]</f>
        <v>0</v>
      </c>
      <c r="S294" s="1" t="str">
        <f>IF(Table1[[#This Row],[High Tol]]="","N/A",IFERROR(ABS(Table1[[#This Row],[Tol Span]]/Table1[[#This Row],[Error Span]]),"N/A"))</f>
        <v>N/A</v>
      </c>
      <c r="T294" s="1" t="str">
        <f>IF(OR(Table1[[#This Row],[Low Tol]]="",Table1[[#This Row],[High Tol]]=""),"Needs Analysis",IF(Table1[[#This Row],[Ratio]]&gt;=4,"Not Significant",IF(Table1[[#This Row],[Ratio]]&gt;=2,"Semi-Significant","Significant")))</f>
        <v>Needs Analysis</v>
      </c>
      <c r="W294" s="1">
        <f>IF(Table1[[#This Row],[Cal Type]]&lt;&gt;"ACCREDITED 17025 WITH UNCERTAINTIES",0,"")</f>
        <v>0</v>
      </c>
      <c r="X294" s="1" t="str">
        <f>IF(Table1[[#This Row],[DUT Read]]="","N/A",Table1[[#This Row],[Std Error]]+Table1[[#This Row],[DUT Read]]+Table1[[#This Row],[DUT Ucty]])</f>
        <v>N/A</v>
      </c>
      <c r="Y294" s="1" t="str">
        <f>IF(Table1[[#This Row],[Std Read]]="","N/A",Table1[[#This Row],[Std Read]]+Table1[[#This Row],[Std Ucty]])</f>
        <v>N/A</v>
      </c>
      <c r="Z2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 s="1" t="str">
        <f>IF(Table1[[#This Row],[Spec Type]]="","N/A",Table1[[#This Row],[Spec Type]])</f>
        <v>±</v>
      </c>
      <c r="AC294" s="1" t="str">
        <f>IF(Table1[[#This Row],[Spec Type2]]="N/A","N/A",IF(AND(Table1[[#This Row],[DUT Adj Read]]&gt;=Table1[[#This Row],[Low Tol]],Table1[[#This Row],[DUT Adj Read]]&lt;=Table1[[#This Row],[High Tol]]),"Pass","Fail"))</f>
        <v>Fail</v>
      </c>
      <c r="AD294" s="1" t="str">
        <f>IF(AND(Table1[[#This Row],[Spec Type2]]="N/A",Table1[[#This Row],[DUT Adj Read]]="N/A",Table1[[#This Row],[Std Adj Read]]="N/A"),"N/A",IF(Table1[[#This Row],[DUT Adj Read]]="N/A",IF(Table1[[#This Row],[Std Adj Read]]&gt;Table1[[#This Row],[Low Tol]],"Pass","Fail"),IF(Table1[[#This Row],[DUT Adj Read]]&gt;Table1[[#This Row],[Low Tol]],"Pass","Fail")))</f>
        <v>Pass</v>
      </c>
      <c r="AE294" s="1" t="str">
        <f>IF(AND(Table1[[#This Row],[Spec Type2]]="N/A",Table1[[#This Row],[DUT Adj Read]]="N/A",Table1[[#This Row],[Std Adj Read]]="N/A"),"N/A",IF(Table1[[#This Row],[DUT Adj Read]]="N/A",IF(Table1[[#This Row],[Std Adj Read]]&lt;Table1[[#This Row],[High Tol]],"Pass","Fail"),IF(Table1[[#This Row],[DUT Adj Read]]&lt;Table1[[#This Row],[High Tol]],"Pass","Fail")))</f>
        <v>Fail</v>
      </c>
      <c r="AF294" s="1" t="str">
        <f>IF(AND(Table1[[#This Row],[Spec Type2]]="N/A",Table1[[#This Row],[DUT Adj Read]]="N/A",Table1[[#This Row],[Std Adj Read]]="N/A"),"N/A",IF(Table1[[#This Row],[DUT Adj Read]]="N/A",IF(Table1[[#This Row],[Std Adj Read]]&gt;=Table1[[#This Row],[Low Tol]],"Pass","Fail"),IF(Table1[[#This Row],[DUT Adj Read]]&gt;=Table1[[#This Row],[Low Tol]],"Pass","Fail")))</f>
        <v>Pass</v>
      </c>
      <c r="AG294" s="1" t="str">
        <f>IF(AND(Table1[[#This Row],[Spec Type2]]="N/A",Table1[[#This Row],[DUT Adj Read]]="N/A",Table1[[#This Row],[Std Adj Read]]="N/A"),"N/A",IF(Table1[[#This Row],[DUT Adj Read]]="N/A",IF(Table1[[#This Row],[Std Adj Read]]&lt;=Table1[[#This Row],[High Tol]],"Pass","Fail"),IF(Table1[[#This Row],[DUT Adj Read]]&lt;=Table1[[#This Row],[High Tol]],"Pass","Fail")))</f>
        <v>Fail</v>
      </c>
      <c r="AH2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 s="1" t="b">
        <v>0</v>
      </c>
      <c r="AN294" s="1" t="b">
        <v>0</v>
      </c>
      <c r="AO294" s="1" t="b">
        <v>0</v>
      </c>
    </row>
    <row r="295" spans="1:41" x14ac:dyDescent="0.25">
      <c r="A295" s="10"/>
      <c r="B295" s="10"/>
      <c r="C295" s="10"/>
      <c r="D295" s="10"/>
      <c r="E295" s="10"/>
      <c r="F295" s="10"/>
      <c r="G295" s="10"/>
      <c r="H295" s="10"/>
      <c r="I295" s="1" t="str">
        <f t="shared" si="12"/>
        <v/>
      </c>
      <c r="J295" s="1" t="s">
        <v>35</v>
      </c>
      <c r="K295" s="1" t="str">
        <f t="shared" si="13"/>
        <v/>
      </c>
      <c r="L295" s="1" t="str">
        <f t="shared" si="14"/>
        <v/>
      </c>
      <c r="M295" s="1">
        <f>IF(OR(Table1[[#This Row],[Std Nom]]="",Table1[[#This Row],[Std Read]]=""),0,Table1[[#This Row],[Std Nom]]-Table1[[#This Row],[Std Read]])</f>
        <v>0</v>
      </c>
      <c r="N295" s="1">
        <f>IF(Calculations!$F$5="ACCREDITED 17025 WITH UNCERTAINTIES",$N$10,0)</f>
        <v>0</v>
      </c>
      <c r="O295" s="1" t="str">
        <f>IFERROR(Table1[[#This Row],[Std Nom]]-(_xlfn.XLOOKUP(Table1[[#This Row],[Manufacturer]]&amp;" "&amp;Table1[[#This Row],[Model]],Table13[MFR &amp; MDL],Table13[Tolerance % CW ],"")/100*Table1[[#This Row],[Std Nom]]),"")</f>
        <v/>
      </c>
      <c r="P295" s="1" t="str">
        <f>IFERROR(Table1[[#This Row],[Std Nom]]+(_xlfn.XLOOKUP(Table1[[#This Row],[Manufacturer]]&amp;" "&amp;Table1[[#This Row],[Model]],Table13[MFR &amp; MDL],Table13[Tolerance % CW ],"")/100*Table1[[#This Row],[Std Nom]]),"")</f>
        <v/>
      </c>
      <c r="Q295" s="1" t="e">
        <f>Table1[[#This Row],[High Tol]]-Table1[[#This Row],[Low Tol]]</f>
        <v>#VALUE!</v>
      </c>
      <c r="R295" s="1">
        <f>2*Table1[[#This Row],[Std Error]]</f>
        <v>0</v>
      </c>
      <c r="S295" s="1" t="str">
        <f>IF(Table1[[#This Row],[High Tol]]="","N/A",IFERROR(ABS(Table1[[#This Row],[Tol Span]]/Table1[[#This Row],[Error Span]]),"N/A"))</f>
        <v>N/A</v>
      </c>
      <c r="T295" s="1" t="str">
        <f>IF(OR(Table1[[#This Row],[Low Tol]]="",Table1[[#This Row],[High Tol]]=""),"Needs Analysis",IF(Table1[[#This Row],[Ratio]]&gt;=4,"Not Significant",IF(Table1[[#This Row],[Ratio]]&gt;=2,"Semi-Significant","Significant")))</f>
        <v>Needs Analysis</v>
      </c>
      <c r="W295" s="1">
        <f>IF(Table1[[#This Row],[Cal Type]]&lt;&gt;"ACCREDITED 17025 WITH UNCERTAINTIES",0,"")</f>
        <v>0</v>
      </c>
      <c r="X295" s="1" t="str">
        <f>IF(Table1[[#This Row],[DUT Read]]="","N/A",Table1[[#This Row],[Std Error]]+Table1[[#This Row],[DUT Read]]+Table1[[#This Row],[DUT Ucty]])</f>
        <v>N/A</v>
      </c>
      <c r="Y295" s="1" t="str">
        <f>IF(Table1[[#This Row],[Std Read]]="","N/A",Table1[[#This Row],[Std Read]]+Table1[[#This Row],[Std Ucty]])</f>
        <v>N/A</v>
      </c>
      <c r="Z2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 s="1" t="str">
        <f>IF(Table1[[#This Row],[Spec Type]]="","N/A",Table1[[#This Row],[Spec Type]])</f>
        <v>±</v>
      </c>
      <c r="AC295" s="1" t="str">
        <f>IF(Table1[[#This Row],[Spec Type2]]="N/A","N/A",IF(AND(Table1[[#This Row],[DUT Adj Read]]&gt;=Table1[[#This Row],[Low Tol]],Table1[[#This Row],[DUT Adj Read]]&lt;=Table1[[#This Row],[High Tol]]),"Pass","Fail"))</f>
        <v>Fail</v>
      </c>
      <c r="AD295" s="1" t="str">
        <f>IF(AND(Table1[[#This Row],[Spec Type2]]="N/A",Table1[[#This Row],[DUT Adj Read]]="N/A",Table1[[#This Row],[Std Adj Read]]="N/A"),"N/A",IF(Table1[[#This Row],[DUT Adj Read]]="N/A",IF(Table1[[#This Row],[Std Adj Read]]&gt;Table1[[#This Row],[Low Tol]],"Pass","Fail"),IF(Table1[[#This Row],[DUT Adj Read]]&gt;Table1[[#This Row],[Low Tol]],"Pass","Fail")))</f>
        <v>Pass</v>
      </c>
      <c r="AE295" s="1" t="str">
        <f>IF(AND(Table1[[#This Row],[Spec Type2]]="N/A",Table1[[#This Row],[DUT Adj Read]]="N/A",Table1[[#This Row],[Std Adj Read]]="N/A"),"N/A",IF(Table1[[#This Row],[DUT Adj Read]]="N/A",IF(Table1[[#This Row],[Std Adj Read]]&lt;Table1[[#This Row],[High Tol]],"Pass","Fail"),IF(Table1[[#This Row],[DUT Adj Read]]&lt;Table1[[#This Row],[High Tol]],"Pass","Fail")))</f>
        <v>Fail</v>
      </c>
      <c r="AF295" s="1" t="str">
        <f>IF(AND(Table1[[#This Row],[Spec Type2]]="N/A",Table1[[#This Row],[DUT Adj Read]]="N/A",Table1[[#This Row],[Std Adj Read]]="N/A"),"N/A",IF(Table1[[#This Row],[DUT Adj Read]]="N/A",IF(Table1[[#This Row],[Std Adj Read]]&gt;=Table1[[#This Row],[Low Tol]],"Pass","Fail"),IF(Table1[[#This Row],[DUT Adj Read]]&gt;=Table1[[#This Row],[Low Tol]],"Pass","Fail")))</f>
        <v>Pass</v>
      </c>
      <c r="AG295" s="1" t="str">
        <f>IF(AND(Table1[[#This Row],[Spec Type2]]="N/A",Table1[[#This Row],[DUT Adj Read]]="N/A",Table1[[#This Row],[Std Adj Read]]="N/A"),"N/A",IF(Table1[[#This Row],[DUT Adj Read]]="N/A",IF(Table1[[#This Row],[Std Adj Read]]&lt;=Table1[[#This Row],[High Tol]],"Pass","Fail"),IF(Table1[[#This Row],[DUT Adj Read]]&lt;=Table1[[#This Row],[High Tol]],"Pass","Fail")))</f>
        <v>Fail</v>
      </c>
      <c r="AH2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 s="1" t="b">
        <v>0</v>
      </c>
      <c r="AN295" s="1" t="b">
        <v>0</v>
      </c>
      <c r="AO295" s="1" t="b">
        <v>0</v>
      </c>
    </row>
    <row r="296" spans="1:41" x14ac:dyDescent="0.25">
      <c r="A296" s="10"/>
      <c r="B296" s="10"/>
      <c r="C296" s="10"/>
      <c r="D296" s="10"/>
      <c r="E296" s="10"/>
      <c r="F296" s="10"/>
      <c r="G296" s="10"/>
      <c r="H296" s="10"/>
      <c r="I296" s="1" t="str">
        <f t="shared" si="12"/>
        <v/>
      </c>
      <c r="J296" s="1" t="s">
        <v>35</v>
      </c>
      <c r="K296" s="1" t="str">
        <f t="shared" si="13"/>
        <v/>
      </c>
      <c r="L296" s="1" t="str">
        <f t="shared" si="14"/>
        <v/>
      </c>
      <c r="M296" s="1">
        <f>IF(OR(Table1[[#This Row],[Std Nom]]="",Table1[[#This Row],[Std Read]]=""),0,Table1[[#This Row],[Std Nom]]-Table1[[#This Row],[Std Read]])</f>
        <v>0</v>
      </c>
      <c r="N296" s="1">
        <f>IF(Calculations!$F$5="ACCREDITED 17025 WITH UNCERTAINTIES",$N$10,0)</f>
        <v>0</v>
      </c>
      <c r="O296" s="1" t="str">
        <f>IFERROR(Table1[[#This Row],[Std Nom]]-(_xlfn.XLOOKUP(Table1[[#This Row],[Manufacturer]]&amp;" "&amp;Table1[[#This Row],[Model]],Table13[MFR &amp; MDL],Table13[Tolerance % CW ],"")/100*Table1[[#This Row],[Std Nom]]),"")</f>
        <v/>
      </c>
      <c r="P296" s="1" t="str">
        <f>IFERROR(Table1[[#This Row],[Std Nom]]+(_xlfn.XLOOKUP(Table1[[#This Row],[Manufacturer]]&amp;" "&amp;Table1[[#This Row],[Model]],Table13[MFR &amp; MDL],Table13[Tolerance % CW ],"")/100*Table1[[#This Row],[Std Nom]]),"")</f>
        <v/>
      </c>
      <c r="Q296" s="1" t="e">
        <f>Table1[[#This Row],[High Tol]]-Table1[[#This Row],[Low Tol]]</f>
        <v>#VALUE!</v>
      </c>
      <c r="R296" s="1">
        <f>2*Table1[[#This Row],[Std Error]]</f>
        <v>0</v>
      </c>
      <c r="S296" s="1" t="str">
        <f>IF(Table1[[#This Row],[High Tol]]="","N/A",IFERROR(ABS(Table1[[#This Row],[Tol Span]]/Table1[[#This Row],[Error Span]]),"N/A"))</f>
        <v>N/A</v>
      </c>
      <c r="T296" s="1" t="str">
        <f>IF(OR(Table1[[#This Row],[Low Tol]]="",Table1[[#This Row],[High Tol]]=""),"Needs Analysis",IF(Table1[[#This Row],[Ratio]]&gt;=4,"Not Significant",IF(Table1[[#This Row],[Ratio]]&gt;=2,"Semi-Significant","Significant")))</f>
        <v>Needs Analysis</v>
      </c>
      <c r="W296" s="1">
        <f>IF(Table1[[#This Row],[Cal Type]]&lt;&gt;"ACCREDITED 17025 WITH UNCERTAINTIES",0,"")</f>
        <v>0</v>
      </c>
      <c r="X296" s="1" t="str">
        <f>IF(Table1[[#This Row],[DUT Read]]="","N/A",Table1[[#This Row],[Std Error]]+Table1[[#This Row],[DUT Read]]+Table1[[#This Row],[DUT Ucty]])</f>
        <v>N/A</v>
      </c>
      <c r="Y296" s="1" t="str">
        <f>IF(Table1[[#This Row],[Std Read]]="","N/A",Table1[[#This Row],[Std Read]]+Table1[[#This Row],[Std Ucty]])</f>
        <v>N/A</v>
      </c>
      <c r="Z2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 s="1" t="str">
        <f>IF(Table1[[#This Row],[Spec Type]]="","N/A",Table1[[#This Row],[Spec Type]])</f>
        <v>±</v>
      </c>
      <c r="AC296" s="1" t="str">
        <f>IF(Table1[[#This Row],[Spec Type2]]="N/A","N/A",IF(AND(Table1[[#This Row],[DUT Adj Read]]&gt;=Table1[[#This Row],[Low Tol]],Table1[[#This Row],[DUT Adj Read]]&lt;=Table1[[#This Row],[High Tol]]),"Pass","Fail"))</f>
        <v>Fail</v>
      </c>
      <c r="AD296" s="1" t="str">
        <f>IF(AND(Table1[[#This Row],[Spec Type2]]="N/A",Table1[[#This Row],[DUT Adj Read]]="N/A",Table1[[#This Row],[Std Adj Read]]="N/A"),"N/A",IF(Table1[[#This Row],[DUT Adj Read]]="N/A",IF(Table1[[#This Row],[Std Adj Read]]&gt;Table1[[#This Row],[Low Tol]],"Pass","Fail"),IF(Table1[[#This Row],[DUT Adj Read]]&gt;Table1[[#This Row],[Low Tol]],"Pass","Fail")))</f>
        <v>Pass</v>
      </c>
      <c r="AE296" s="1" t="str">
        <f>IF(AND(Table1[[#This Row],[Spec Type2]]="N/A",Table1[[#This Row],[DUT Adj Read]]="N/A",Table1[[#This Row],[Std Adj Read]]="N/A"),"N/A",IF(Table1[[#This Row],[DUT Adj Read]]="N/A",IF(Table1[[#This Row],[Std Adj Read]]&lt;Table1[[#This Row],[High Tol]],"Pass","Fail"),IF(Table1[[#This Row],[DUT Adj Read]]&lt;Table1[[#This Row],[High Tol]],"Pass","Fail")))</f>
        <v>Fail</v>
      </c>
      <c r="AF296" s="1" t="str">
        <f>IF(AND(Table1[[#This Row],[Spec Type2]]="N/A",Table1[[#This Row],[DUT Adj Read]]="N/A",Table1[[#This Row],[Std Adj Read]]="N/A"),"N/A",IF(Table1[[#This Row],[DUT Adj Read]]="N/A",IF(Table1[[#This Row],[Std Adj Read]]&gt;=Table1[[#This Row],[Low Tol]],"Pass","Fail"),IF(Table1[[#This Row],[DUT Adj Read]]&gt;=Table1[[#This Row],[Low Tol]],"Pass","Fail")))</f>
        <v>Pass</v>
      </c>
      <c r="AG296" s="1" t="str">
        <f>IF(AND(Table1[[#This Row],[Spec Type2]]="N/A",Table1[[#This Row],[DUT Adj Read]]="N/A",Table1[[#This Row],[Std Adj Read]]="N/A"),"N/A",IF(Table1[[#This Row],[DUT Adj Read]]="N/A",IF(Table1[[#This Row],[Std Adj Read]]&lt;=Table1[[#This Row],[High Tol]],"Pass","Fail"),IF(Table1[[#This Row],[DUT Adj Read]]&lt;=Table1[[#This Row],[High Tol]],"Pass","Fail")))</f>
        <v>Fail</v>
      </c>
      <c r="AH2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 s="1" t="b">
        <v>0</v>
      </c>
      <c r="AN296" s="1" t="b">
        <v>0</v>
      </c>
      <c r="AO296" s="1" t="b">
        <v>0</v>
      </c>
    </row>
    <row r="297" spans="1:41" x14ac:dyDescent="0.25">
      <c r="A297" s="10"/>
      <c r="B297" s="10"/>
      <c r="C297" s="10"/>
      <c r="D297" s="10"/>
      <c r="E297" s="10"/>
      <c r="F297" s="10"/>
      <c r="G297" s="10"/>
      <c r="H297" s="10"/>
      <c r="I297" s="1" t="str">
        <f t="shared" si="12"/>
        <v/>
      </c>
      <c r="J297" s="1" t="s">
        <v>35</v>
      </c>
      <c r="K297" s="1" t="str">
        <f t="shared" si="13"/>
        <v/>
      </c>
      <c r="L297" s="1" t="str">
        <f t="shared" si="14"/>
        <v/>
      </c>
      <c r="M297" s="1">
        <f>IF(OR(Table1[[#This Row],[Std Nom]]="",Table1[[#This Row],[Std Read]]=""),0,Table1[[#This Row],[Std Nom]]-Table1[[#This Row],[Std Read]])</f>
        <v>0</v>
      </c>
      <c r="N297" s="1">
        <f>IF(Calculations!$F$5="ACCREDITED 17025 WITH UNCERTAINTIES",$N$10,0)</f>
        <v>0</v>
      </c>
      <c r="O297" s="1" t="str">
        <f>IFERROR(Table1[[#This Row],[Std Nom]]-(_xlfn.XLOOKUP(Table1[[#This Row],[Manufacturer]]&amp;" "&amp;Table1[[#This Row],[Model]],Table13[MFR &amp; MDL],Table13[Tolerance % CW ],"")/100*Table1[[#This Row],[Std Nom]]),"")</f>
        <v/>
      </c>
      <c r="P297" s="1" t="str">
        <f>IFERROR(Table1[[#This Row],[Std Nom]]+(_xlfn.XLOOKUP(Table1[[#This Row],[Manufacturer]]&amp;" "&amp;Table1[[#This Row],[Model]],Table13[MFR &amp; MDL],Table13[Tolerance % CW ],"")/100*Table1[[#This Row],[Std Nom]]),"")</f>
        <v/>
      </c>
      <c r="Q297" s="1" t="e">
        <f>Table1[[#This Row],[High Tol]]-Table1[[#This Row],[Low Tol]]</f>
        <v>#VALUE!</v>
      </c>
      <c r="R297" s="1">
        <f>2*Table1[[#This Row],[Std Error]]</f>
        <v>0</v>
      </c>
      <c r="S297" s="1" t="str">
        <f>IF(Table1[[#This Row],[High Tol]]="","N/A",IFERROR(ABS(Table1[[#This Row],[Tol Span]]/Table1[[#This Row],[Error Span]]),"N/A"))</f>
        <v>N/A</v>
      </c>
      <c r="T297" s="1" t="str">
        <f>IF(OR(Table1[[#This Row],[Low Tol]]="",Table1[[#This Row],[High Tol]]=""),"Needs Analysis",IF(Table1[[#This Row],[Ratio]]&gt;=4,"Not Significant",IF(Table1[[#This Row],[Ratio]]&gt;=2,"Semi-Significant","Significant")))</f>
        <v>Needs Analysis</v>
      </c>
      <c r="W297" s="1">
        <f>IF(Table1[[#This Row],[Cal Type]]&lt;&gt;"ACCREDITED 17025 WITH UNCERTAINTIES",0,"")</f>
        <v>0</v>
      </c>
      <c r="X297" s="1" t="str">
        <f>IF(Table1[[#This Row],[DUT Read]]="","N/A",Table1[[#This Row],[Std Error]]+Table1[[#This Row],[DUT Read]]+Table1[[#This Row],[DUT Ucty]])</f>
        <v>N/A</v>
      </c>
      <c r="Y297" s="1" t="str">
        <f>IF(Table1[[#This Row],[Std Read]]="","N/A",Table1[[#This Row],[Std Read]]+Table1[[#This Row],[Std Ucty]])</f>
        <v>N/A</v>
      </c>
      <c r="Z2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 s="1" t="str">
        <f>IF(Table1[[#This Row],[Spec Type]]="","N/A",Table1[[#This Row],[Spec Type]])</f>
        <v>±</v>
      </c>
      <c r="AC297" s="1" t="str">
        <f>IF(Table1[[#This Row],[Spec Type2]]="N/A","N/A",IF(AND(Table1[[#This Row],[DUT Adj Read]]&gt;=Table1[[#This Row],[Low Tol]],Table1[[#This Row],[DUT Adj Read]]&lt;=Table1[[#This Row],[High Tol]]),"Pass","Fail"))</f>
        <v>Fail</v>
      </c>
      <c r="AD297" s="1" t="str">
        <f>IF(AND(Table1[[#This Row],[Spec Type2]]="N/A",Table1[[#This Row],[DUT Adj Read]]="N/A",Table1[[#This Row],[Std Adj Read]]="N/A"),"N/A",IF(Table1[[#This Row],[DUT Adj Read]]="N/A",IF(Table1[[#This Row],[Std Adj Read]]&gt;Table1[[#This Row],[Low Tol]],"Pass","Fail"),IF(Table1[[#This Row],[DUT Adj Read]]&gt;Table1[[#This Row],[Low Tol]],"Pass","Fail")))</f>
        <v>Pass</v>
      </c>
      <c r="AE297" s="1" t="str">
        <f>IF(AND(Table1[[#This Row],[Spec Type2]]="N/A",Table1[[#This Row],[DUT Adj Read]]="N/A",Table1[[#This Row],[Std Adj Read]]="N/A"),"N/A",IF(Table1[[#This Row],[DUT Adj Read]]="N/A",IF(Table1[[#This Row],[Std Adj Read]]&lt;Table1[[#This Row],[High Tol]],"Pass","Fail"),IF(Table1[[#This Row],[DUT Adj Read]]&lt;Table1[[#This Row],[High Tol]],"Pass","Fail")))</f>
        <v>Fail</v>
      </c>
      <c r="AF297" s="1" t="str">
        <f>IF(AND(Table1[[#This Row],[Spec Type2]]="N/A",Table1[[#This Row],[DUT Adj Read]]="N/A",Table1[[#This Row],[Std Adj Read]]="N/A"),"N/A",IF(Table1[[#This Row],[DUT Adj Read]]="N/A",IF(Table1[[#This Row],[Std Adj Read]]&gt;=Table1[[#This Row],[Low Tol]],"Pass","Fail"),IF(Table1[[#This Row],[DUT Adj Read]]&gt;=Table1[[#This Row],[Low Tol]],"Pass","Fail")))</f>
        <v>Pass</v>
      </c>
      <c r="AG297" s="1" t="str">
        <f>IF(AND(Table1[[#This Row],[Spec Type2]]="N/A",Table1[[#This Row],[DUT Adj Read]]="N/A",Table1[[#This Row],[Std Adj Read]]="N/A"),"N/A",IF(Table1[[#This Row],[DUT Adj Read]]="N/A",IF(Table1[[#This Row],[Std Adj Read]]&lt;=Table1[[#This Row],[High Tol]],"Pass","Fail"),IF(Table1[[#This Row],[DUT Adj Read]]&lt;=Table1[[#This Row],[High Tol]],"Pass","Fail")))</f>
        <v>Fail</v>
      </c>
      <c r="AH2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 s="1" t="b">
        <v>0</v>
      </c>
      <c r="AN297" s="1" t="b">
        <v>0</v>
      </c>
      <c r="AO297" s="1" t="b">
        <v>0</v>
      </c>
    </row>
    <row r="298" spans="1:41" x14ac:dyDescent="0.25">
      <c r="A298" s="10"/>
      <c r="B298" s="10"/>
      <c r="C298" s="10"/>
      <c r="D298" s="10"/>
      <c r="E298" s="10"/>
      <c r="F298" s="10"/>
      <c r="G298" s="10"/>
      <c r="H298" s="10"/>
      <c r="I298" s="1" t="str">
        <f t="shared" si="12"/>
        <v/>
      </c>
      <c r="J298" s="1" t="s">
        <v>35</v>
      </c>
      <c r="K298" s="1" t="str">
        <f t="shared" si="13"/>
        <v/>
      </c>
      <c r="L298" s="1" t="str">
        <f t="shared" si="14"/>
        <v/>
      </c>
      <c r="M298" s="1">
        <f>IF(OR(Table1[[#This Row],[Std Nom]]="",Table1[[#This Row],[Std Read]]=""),0,Table1[[#This Row],[Std Nom]]-Table1[[#This Row],[Std Read]])</f>
        <v>0</v>
      </c>
      <c r="N298" s="1">
        <f>IF(Calculations!$F$5="ACCREDITED 17025 WITH UNCERTAINTIES",$N$10,0)</f>
        <v>0</v>
      </c>
      <c r="O298" s="1" t="str">
        <f>IFERROR(Table1[[#This Row],[Std Nom]]-(_xlfn.XLOOKUP(Table1[[#This Row],[Manufacturer]]&amp;" "&amp;Table1[[#This Row],[Model]],Table13[MFR &amp; MDL],Table13[Tolerance % CW ],"")/100*Table1[[#This Row],[Std Nom]]),"")</f>
        <v/>
      </c>
      <c r="P298" s="1" t="str">
        <f>IFERROR(Table1[[#This Row],[Std Nom]]+(_xlfn.XLOOKUP(Table1[[#This Row],[Manufacturer]]&amp;" "&amp;Table1[[#This Row],[Model]],Table13[MFR &amp; MDL],Table13[Tolerance % CW ],"")/100*Table1[[#This Row],[Std Nom]]),"")</f>
        <v/>
      </c>
      <c r="Q298" s="1" t="e">
        <f>Table1[[#This Row],[High Tol]]-Table1[[#This Row],[Low Tol]]</f>
        <v>#VALUE!</v>
      </c>
      <c r="R298" s="1">
        <f>2*Table1[[#This Row],[Std Error]]</f>
        <v>0</v>
      </c>
      <c r="S298" s="1" t="str">
        <f>IF(Table1[[#This Row],[High Tol]]="","N/A",IFERROR(ABS(Table1[[#This Row],[Tol Span]]/Table1[[#This Row],[Error Span]]),"N/A"))</f>
        <v>N/A</v>
      </c>
      <c r="T298" s="1" t="str">
        <f>IF(OR(Table1[[#This Row],[Low Tol]]="",Table1[[#This Row],[High Tol]]=""),"Needs Analysis",IF(Table1[[#This Row],[Ratio]]&gt;=4,"Not Significant",IF(Table1[[#This Row],[Ratio]]&gt;=2,"Semi-Significant","Significant")))</f>
        <v>Needs Analysis</v>
      </c>
      <c r="W298" s="1">
        <f>IF(Table1[[#This Row],[Cal Type]]&lt;&gt;"ACCREDITED 17025 WITH UNCERTAINTIES",0,"")</f>
        <v>0</v>
      </c>
      <c r="X298" s="1" t="str">
        <f>IF(Table1[[#This Row],[DUT Read]]="","N/A",Table1[[#This Row],[Std Error]]+Table1[[#This Row],[DUT Read]]+Table1[[#This Row],[DUT Ucty]])</f>
        <v>N/A</v>
      </c>
      <c r="Y298" s="1" t="str">
        <f>IF(Table1[[#This Row],[Std Read]]="","N/A",Table1[[#This Row],[Std Read]]+Table1[[#This Row],[Std Ucty]])</f>
        <v>N/A</v>
      </c>
      <c r="Z2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 s="1" t="str">
        <f>IF(Table1[[#This Row],[Spec Type]]="","N/A",Table1[[#This Row],[Spec Type]])</f>
        <v>±</v>
      </c>
      <c r="AC298" s="1" t="str">
        <f>IF(Table1[[#This Row],[Spec Type2]]="N/A","N/A",IF(AND(Table1[[#This Row],[DUT Adj Read]]&gt;=Table1[[#This Row],[Low Tol]],Table1[[#This Row],[DUT Adj Read]]&lt;=Table1[[#This Row],[High Tol]]),"Pass","Fail"))</f>
        <v>Fail</v>
      </c>
      <c r="AD298" s="1" t="str">
        <f>IF(AND(Table1[[#This Row],[Spec Type2]]="N/A",Table1[[#This Row],[DUT Adj Read]]="N/A",Table1[[#This Row],[Std Adj Read]]="N/A"),"N/A",IF(Table1[[#This Row],[DUT Adj Read]]="N/A",IF(Table1[[#This Row],[Std Adj Read]]&gt;Table1[[#This Row],[Low Tol]],"Pass","Fail"),IF(Table1[[#This Row],[DUT Adj Read]]&gt;Table1[[#This Row],[Low Tol]],"Pass","Fail")))</f>
        <v>Pass</v>
      </c>
      <c r="AE298" s="1" t="str">
        <f>IF(AND(Table1[[#This Row],[Spec Type2]]="N/A",Table1[[#This Row],[DUT Adj Read]]="N/A",Table1[[#This Row],[Std Adj Read]]="N/A"),"N/A",IF(Table1[[#This Row],[DUT Adj Read]]="N/A",IF(Table1[[#This Row],[Std Adj Read]]&lt;Table1[[#This Row],[High Tol]],"Pass","Fail"),IF(Table1[[#This Row],[DUT Adj Read]]&lt;Table1[[#This Row],[High Tol]],"Pass","Fail")))</f>
        <v>Fail</v>
      </c>
      <c r="AF298" s="1" t="str">
        <f>IF(AND(Table1[[#This Row],[Spec Type2]]="N/A",Table1[[#This Row],[DUT Adj Read]]="N/A",Table1[[#This Row],[Std Adj Read]]="N/A"),"N/A",IF(Table1[[#This Row],[DUT Adj Read]]="N/A",IF(Table1[[#This Row],[Std Adj Read]]&gt;=Table1[[#This Row],[Low Tol]],"Pass","Fail"),IF(Table1[[#This Row],[DUT Adj Read]]&gt;=Table1[[#This Row],[Low Tol]],"Pass","Fail")))</f>
        <v>Pass</v>
      </c>
      <c r="AG298" s="1" t="str">
        <f>IF(AND(Table1[[#This Row],[Spec Type2]]="N/A",Table1[[#This Row],[DUT Adj Read]]="N/A",Table1[[#This Row],[Std Adj Read]]="N/A"),"N/A",IF(Table1[[#This Row],[DUT Adj Read]]="N/A",IF(Table1[[#This Row],[Std Adj Read]]&lt;=Table1[[#This Row],[High Tol]],"Pass","Fail"),IF(Table1[[#This Row],[DUT Adj Read]]&lt;=Table1[[#This Row],[High Tol]],"Pass","Fail")))</f>
        <v>Fail</v>
      </c>
      <c r="AH2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 s="1" t="b">
        <v>0</v>
      </c>
      <c r="AN298" s="1" t="b">
        <v>0</v>
      </c>
      <c r="AO298" s="1" t="b">
        <v>0</v>
      </c>
    </row>
    <row r="299" spans="1:41" x14ac:dyDescent="0.25">
      <c r="A299" s="10"/>
      <c r="B299" s="10"/>
      <c r="C299" s="10"/>
      <c r="D299" s="10"/>
      <c r="E299" s="10"/>
      <c r="F299" s="10"/>
      <c r="G299" s="10"/>
      <c r="H299" s="10"/>
      <c r="I299" s="1" t="str">
        <f t="shared" si="12"/>
        <v/>
      </c>
      <c r="J299" s="1" t="s">
        <v>35</v>
      </c>
      <c r="K299" s="1" t="str">
        <f t="shared" si="13"/>
        <v/>
      </c>
      <c r="L299" s="1" t="str">
        <f t="shared" si="14"/>
        <v/>
      </c>
      <c r="M299" s="1">
        <f>IF(OR(Table1[[#This Row],[Std Nom]]="",Table1[[#This Row],[Std Read]]=""),0,Table1[[#This Row],[Std Nom]]-Table1[[#This Row],[Std Read]])</f>
        <v>0</v>
      </c>
      <c r="N299" s="1">
        <f>IF(Calculations!$F$5="ACCREDITED 17025 WITH UNCERTAINTIES",$N$10,0)</f>
        <v>0</v>
      </c>
      <c r="O299" s="1" t="str">
        <f>IFERROR(Table1[[#This Row],[Std Nom]]-(_xlfn.XLOOKUP(Table1[[#This Row],[Manufacturer]]&amp;" "&amp;Table1[[#This Row],[Model]],Table13[MFR &amp; MDL],Table13[Tolerance % CW ],"")/100*Table1[[#This Row],[Std Nom]]),"")</f>
        <v/>
      </c>
      <c r="P299" s="1" t="str">
        <f>IFERROR(Table1[[#This Row],[Std Nom]]+(_xlfn.XLOOKUP(Table1[[#This Row],[Manufacturer]]&amp;" "&amp;Table1[[#This Row],[Model]],Table13[MFR &amp; MDL],Table13[Tolerance % CW ],"")/100*Table1[[#This Row],[Std Nom]]),"")</f>
        <v/>
      </c>
      <c r="Q299" s="1" t="e">
        <f>Table1[[#This Row],[High Tol]]-Table1[[#This Row],[Low Tol]]</f>
        <v>#VALUE!</v>
      </c>
      <c r="R299" s="1">
        <f>2*Table1[[#This Row],[Std Error]]</f>
        <v>0</v>
      </c>
      <c r="S299" s="1" t="str">
        <f>IF(Table1[[#This Row],[High Tol]]="","N/A",IFERROR(ABS(Table1[[#This Row],[Tol Span]]/Table1[[#This Row],[Error Span]]),"N/A"))</f>
        <v>N/A</v>
      </c>
      <c r="T299" s="1" t="str">
        <f>IF(OR(Table1[[#This Row],[Low Tol]]="",Table1[[#This Row],[High Tol]]=""),"Needs Analysis",IF(Table1[[#This Row],[Ratio]]&gt;=4,"Not Significant",IF(Table1[[#This Row],[Ratio]]&gt;=2,"Semi-Significant","Significant")))</f>
        <v>Needs Analysis</v>
      </c>
      <c r="W299" s="1">
        <f>IF(Table1[[#This Row],[Cal Type]]&lt;&gt;"ACCREDITED 17025 WITH UNCERTAINTIES",0,"")</f>
        <v>0</v>
      </c>
      <c r="X299" s="1" t="str">
        <f>IF(Table1[[#This Row],[DUT Read]]="","N/A",Table1[[#This Row],[Std Error]]+Table1[[#This Row],[DUT Read]]+Table1[[#This Row],[DUT Ucty]])</f>
        <v>N/A</v>
      </c>
      <c r="Y299" s="1" t="str">
        <f>IF(Table1[[#This Row],[Std Read]]="","N/A",Table1[[#This Row],[Std Read]]+Table1[[#This Row],[Std Ucty]])</f>
        <v>N/A</v>
      </c>
      <c r="Z2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 s="1" t="str">
        <f>IF(Table1[[#This Row],[Spec Type]]="","N/A",Table1[[#This Row],[Spec Type]])</f>
        <v>±</v>
      </c>
      <c r="AC299" s="1" t="str">
        <f>IF(Table1[[#This Row],[Spec Type2]]="N/A","N/A",IF(AND(Table1[[#This Row],[DUT Adj Read]]&gt;=Table1[[#This Row],[Low Tol]],Table1[[#This Row],[DUT Adj Read]]&lt;=Table1[[#This Row],[High Tol]]),"Pass","Fail"))</f>
        <v>Fail</v>
      </c>
      <c r="AD299" s="1" t="str">
        <f>IF(AND(Table1[[#This Row],[Spec Type2]]="N/A",Table1[[#This Row],[DUT Adj Read]]="N/A",Table1[[#This Row],[Std Adj Read]]="N/A"),"N/A",IF(Table1[[#This Row],[DUT Adj Read]]="N/A",IF(Table1[[#This Row],[Std Adj Read]]&gt;Table1[[#This Row],[Low Tol]],"Pass","Fail"),IF(Table1[[#This Row],[DUT Adj Read]]&gt;Table1[[#This Row],[Low Tol]],"Pass","Fail")))</f>
        <v>Pass</v>
      </c>
      <c r="AE299" s="1" t="str">
        <f>IF(AND(Table1[[#This Row],[Spec Type2]]="N/A",Table1[[#This Row],[DUT Adj Read]]="N/A",Table1[[#This Row],[Std Adj Read]]="N/A"),"N/A",IF(Table1[[#This Row],[DUT Adj Read]]="N/A",IF(Table1[[#This Row],[Std Adj Read]]&lt;Table1[[#This Row],[High Tol]],"Pass","Fail"),IF(Table1[[#This Row],[DUT Adj Read]]&lt;Table1[[#This Row],[High Tol]],"Pass","Fail")))</f>
        <v>Fail</v>
      </c>
      <c r="AF299" s="1" t="str">
        <f>IF(AND(Table1[[#This Row],[Spec Type2]]="N/A",Table1[[#This Row],[DUT Adj Read]]="N/A",Table1[[#This Row],[Std Adj Read]]="N/A"),"N/A",IF(Table1[[#This Row],[DUT Adj Read]]="N/A",IF(Table1[[#This Row],[Std Adj Read]]&gt;=Table1[[#This Row],[Low Tol]],"Pass","Fail"),IF(Table1[[#This Row],[DUT Adj Read]]&gt;=Table1[[#This Row],[Low Tol]],"Pass","Fail")))</f>
        <v>Pass</v>
      </c>
      <c r="AG299" s="1" t="str">
        <f>IF(AND(Table1[[#This Row],[Spec Type2]]="N/A",Table1[[#This Row],[DUT Adj Read]]="N/A",Table1[[#This Row],[Std Adj Read]]="N/A"),"N/A",IF(Table1[[#This Row],[DUT Adj Read]]="N/A",IF(Table1[[#This Row],[Std Adj Read]]&lt;=Table1[[#This Row],[High Tol]],"Pass","Fail"),IF(Table1[[#This Row],[DUT Adj Read]]&lt;=Table1[[#This Row],[High Tol]],"Pass","Fail")))</f>
        <v>Fail</v>
      </c>
      <c r="AH2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 s="1" t="b">
        <v>0</v>
      </c>
      <c r="AN299" s="1" t="b">
        <v>0</v>
      </c>
      <c r="AO299" s="1" t="b">
        <v>0</v>
      </c>
    </row>
    <row r="300" spans="1:41" x14ac:dyDescent="0.25">
      <c r="A300" s="10"/>
      <c r="B300" s="10"/>
      <c r="C300" s="10"/>
      <c r="D300" s="10"/>
      <c r="E300" s="10"/>
      <c r="F300" s="10"/>
      <c r="G300" s="10"/>
      <c r="H300" s="10"/>
      <c r="I300" s="1" t="str">
        <f t="shared" si="12"/>
        <v/>
      </c>
      <c r="J300" s="1" t="s">
        <v>35</v>
      </c>
      <c r="K300" s="1" t="str">
        <f t="shared" si="13"/>
        <v/>
      </c>
      <c r="L300" s="1" t="str">
        <f t="shared" si="14"/>
        <v/>
      </c>
      <c r="M300" s="1">
        <f>IF(OR(Table1[[#This Row],[Std Nom]]="",Table1[[#This Row],[Std Read]]=""),0,Table1[[#This Row],[Std Nom]]-Table1[[#This Row],[Std Read]])</f>
        <v>0</v>
      </c>
      <c r="N300" s="1">
        <f>IF(Calculations!$F$5="ACCREDITED 17025 WITH UNCERTAINTIES",$N$10,0)</f>
        <v>0</v>
      </c>
      <c r="O300" s="1" t="str">
        <f>IFERROR(Table1[[#This Row],[Std Nom]]-(_xlfn.XLOOKUP(Table1[[#This Row],[Manufacturer]]&amp;" "&amp;Table1[[#This Row],[Model]],Table13[MFR &amp; MDL],Table13[Tolerance % CW ],"")/100*Table1[[#This Row],[Std Nom]]),"")</f>
        <v/>
      </c>
      <c r="P300" s="1" t="str">
        <f>IFERROR(Table1[[#This Row],[Std Nom]]+(_xlfn.XLOOKUP(Table1[[#This Row],[Manufacturer]]&amp;" "&amp;Table1[[#This Row],[Model]],Table13[MFR &amp; MDL],Table13[Tolerance % CW ],"")/100*Table1[[#This Row],[Std Nom]]),"")</f>
        <v/>
      </c>
      <c r="Q300" s="1" t="e">
        <f>Table1[[#This Row],[High Tol]]-Table1[[#This Row],[Low Tol]]</f>
        <v>#VALUE!</v>
      </c>
      <c r="R300" s="1">
        <f>2*Table1[[#This Row],[Std Error]]</f>
        <v>0</v>
      </c>
      <c r="S300" s="1" t="str">
        <f>IF(Table1[[#This Row],[High Tol]]="","N/A",IFERROR(ABS(Table1[[#This Row],[Tol Span]]/Table1[[#This Row],[Error Span]]),"N/A"))</f>
        <v>N/A</v>
      </c>
      <c r="T300" s="1" t="str">
        <f>IF(OR(Table1[[#This Row],[Low Tol]]="",Table1[[#This Row],[High Tol]]=""),"Needs Analysis",IF(Table1[[#This Row],[Ratio]]&gt;=4,"Not Significant",IF(Table1[[#This Row],[Ratio]]&gt;=2,"Semi-Significant","Significant")))</f>
        <v>Needs Analysis</v>
      </c>
      <c r="W300" s="1">
        <f>IF(Table1[[#This Row],[Cal Type]]&lt;&gt;"ACCREDITED 17025 WITH UNCERTAINTIES",0,"")</f>
        <v>0</v>
      </c>
      <c r="X300" s="1" t="str">
        <f>IF(Table1[[#This Row],[DUT Read]]="","N/A",Table1[[#This Row],[Std Error]]+Table1[[#This Row],[DUT Read]]+Table1[[#This Row],[DUT Ucty]])</f>
        <v>N/A</v>
      </c>
      <c r="Y300" s="1" t="str">
        <f>IF(Table1[[#This Row],[Std Read]]="","N/A",Table1[[#This Row],[Std Read]]+Table1[[#This Row],[Std Ucty]])</f>
        <v>N/A</v>
      </c>
      <c r="Z3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 s="1" t="str">
        <f>IF(Table1[[#This Row],[Spec Type]]="","N/A",Table1[[#This Row],[Spec Type]])</f>
        <v>±</v>
      </c>
      <c r="AC300" s="1" t="str">
        <f>IF(Table1[[#This Row],[Spec Type2]]="N/A","N/A",IF(AND(Table1[[#This Row],[DUT Adj Read]]&gt;=Table1[[#This Row],[Low Tol]],Table1[[#This Row],[DUT Adj Read]]&lt;=Table1[[#This Row],[High Tol]]),"Pass","Fail"))</f>
        <v>Fail</v>
      </c>
      <c r="AD300" s="1" t="str">
        <f>IF(AND(Table1[[#This Row],[Spec Type2]]="N/A",Table1[[#This Row],[DUT Adj Read]]="N/A",Table1[[#This Row],[Std Adj Read]]="N/A"),"N/A",IF(Table1[[#This Row],[DUT Adj Read]]="N/A",IF(Table1[[#This Row],[Std Adj Read]]&gt;Table1[[#This Row],[Low Tol]],"Pass","Fail"),IF(Table1[[#This Row],[DUT Adj Read]]&gt;Table1[[#This Row],[Low Tol]],"Pass","Fail")))</f>
        <v>Pass</v>
      </c>
      <c r="AE300" s="1" t="str">
        <f>IF(AND(Table1[[#This Row],[Spec Type2]]="N/A",Table1[[#This Row],[DUT Adj Read]]="N/A",Table1[[#This Row],[Std Adj Read]]="N/A"),"N/A",IF(Table1[[#This Row],[DUT Adj Read]]="N/A",IF(Table1[[#This Row],[Std Adj Read]]&lt;Table1[[#This Row],[High Tol]],"Pass","Fail"),IF(Table1[[#This Row],[DUT Adj Read]]&lt;Table1[[#This Row],[High Tol]],"Pass","Fail")))</f>
        <v>Fail</v>
      </c>
      <c r="AF300" s="1" t="str">
        <f>IF(AND(Table1[[#This Row],[Spec Type2]]="N/A",Table1[[#This Row],[DUT Adj Read]]="N/A",Table1[[#This Row],[Std Adj Read]]="N/A"),"N/A",IF(Table1[[#This Row],[DUT Adj Read]]="N/A",IF(Table1[[#This Row],[Std Adj Read]]&gt;=Table1[[#This Row],[Low Tol]],"Pass","Fail"),IF(Table1[[#This Row],[DUT Adj Read]]&gt;=Table1[[#This Row],[Low Tol]],"Pass","Fail")))</f>
        <v>Pass</v>
      </c>
      <c r="AG300" s="1" t="str">
        <f>IF(AND(Table1[[#This Row],[Spec Type2]]="N/A",Table1[[#This Row],[DUT Adj Read]]="N/A",Table1[[#This Row],[Std Adj Read]]="N/A"),"N/A",IF(Table1[[#This Row],[DUT Adj Read]]="N/A",IF(Table1[[#This Row],[Std Adj Read]]&lt;=Table1[[#This Row],[High Tol]],"Pass","Fail"),IF(Table1[[#This Row],[DUT Adj Read]]&lt;=Table1[[#This Row],[High Tol]],"Pass","Fail")))</f>
        <v>Fail</v>
      </c>
      <c r="AH3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 s="1" t="b">
        <v>0</v>
      </c>
      <c r="AN300" s="1" t="b">
        <v>0</v>
      </c>
      <c r="AO300" s="1" t="b">
        <v>0</v>
      </c>
    </row>
    <row r="301" spans="1:41" x14ac:dyDescent="0.25">
      <c r="A301" s="10"/>
      <c r="B301" s="10"/>
      <c r="C301" s="10"/>
      <c r="D301" s="10"/>
      <c r="E301" s="10"/>
      <c r="F301" s="10"/>
      <c r="G301" s="10"/>
      <c r="H301" s="10"/>
      <c r="I301" s="1" t="str">
        <f t="shared" si="12"/>
        <v/>
      </c>
      <c r="J301" s="1" t="s">
        <v>35</v>
      </c>
      <c r="K301" s="1" t="str">
        <f t="shared" si="13"/>
        <v/>
      </c>
      <c r="L301" s="1" t="str">
        <f t="shared" si="14"/>
        <v/>
      </c>
      <c r="M301" s="1">
        <f>IF(OR(Table1[[#This Row],[Std Nom]]="",Table1[[#This Row],[Std Read]]=""),0,Table1[[#This Row],[Std Nom]]-Table1[[#This Row],[Std Read]])</f>
        <v>0</v>
      </c>
      <c r="N301" s="1">
        <f>IF(Calculations!$F$5="ACCREDITED 17025 WITH UNCERTAINTIES",$N$10,0)</f>
        <v>0</v>
      </c>
      <c r="O301" s="1" t="str">
        <f>IFERROR(Table1[[#This Row],[Std Nom]]-(_xlfn.XLOOKUP(Table1[[#This Row],[Manufacturer]]&amp;" "&amp;Table1[[#This Row],[Model]],Table13[MFR &amp; MDL],Table13[Tolerance % CW ],"")/100*Table1[[#This Row],[Std Nom]]),"")</f>
        <v/>
      </c>
      <c r="P301" s="1" t="str">
        <f>IFERROR(Table1[[#This Row],[Std Nom]]+(_xlfn.XLOOKUP(Table1[[#This Row],[Manufacturer]]&amp;" "&amp;Table1[[#This Row],[Model]],Table13[MFR &amp; MDL],Table13[Tolerance % CW ],"")/100*Table1[[#This Row],[Std Nom]]),"")</f>
        <v/>
      </c>
      <c r="Q301" s="1" t="e">
        <f>Table1[[#This Row],[High Tol]]-Table1[[#This Row],[Low Tol]]</f>
        <v>#VALUE!</v>
      </c>
      <c r="R301" s="1">
        <f>2*Table1[[#This Row],[Std Error]]</f>
        <v>0</v>
      </c>
      <c r="S301" s="1" t="str">
        <f>IF(Table1[[#This Row],[High Tol]]="","N/A",IFERROR(ABS(Table1[[#This Row],[Tol Span]]/Table1[[#This Row],[Error Span]]),"N/A"))</f>
        <v>N/A</v>
      </c>
      <c r="T301" s="1" t="str">
        <f>IF(OR(Table1[[#This Row],[Low Tol]]="",Table1[[#This Row],[High Tol]]=""),"Needs Analysis",IF(Table1[[#This Row],[Ratio]]&gt;=4,"Not Significant",IF(Table1[[#This Row],[Ratio]]&gt;=2,"Semi-Significant","Significant")))</f>
        <v>Needs Analysis</v>
      </c>
      <c r="W301" s="1">
        <f>IF(Table1[[#This Row],[Cal Type]]&lt;&gt;"ACCREDITED 17025 WITH UNCERTAINTIES",0,"")</f>
        <v>0</v>
      </c>
      <c r="X301" s="1" t="str">
        <f>IF(Table1[[#This Row],[DUT Read]]="","N/A",Table1[[#This Row],[Std Error]]+Table1[[#This Row],[DUT Read]]+Table1[[#This Row],[DUT Ucty]])</f>
        <v>N/A</v>
      </c>
      <c r="Y301" s="1" t="str">
        <f>IF(Table1[[#This Row],[Std Read]]="","N/A",Table1[[#This Row],[Std Read]]+Table1[[#This Row],[Std Ucty]])</f>
        <v>N/A</v>
      </c>
      <c r="Z3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1" s="1" t="str">
        <f>IF(Table1[[#This Row],[Spec Type]]="","N/A",Table1[[#This Row],[Spec Type]])</f>
        <v>±</v>
      </c>
      <c r="AC301" s="1" t="str">
        <f>IF(Table1[[#This Row],[Spec Type2]]="N/A","N/A",IF(AND(Table1[[#This Row],[DUT Adj Read]]&gt;=Table1[[#This Row],[Low Tol]],Table1[[#This Row],[DUT Adj Read]]&lt;=Table1[[#This Row],[High Tol]]),"Pass","Fail"))</f>
        <v>Fail</v>
      </c>
      <c r="AD301" s="1" t="str">
        <f>IF(AND(Table1[[#This Row],[Spec Type2]]="N/A",Table1[[#This Row],[DUT Adj Read]]="N/A",Table1[[#This Row],[Std Adj Read]]="N/A"),"N/A",IF(Table1[[#This Row],[DUT Adj Read]]="N/A",IF(Table1[[#This Row],[Std Adj Read]]&gt;Table1[[#This Row],[Low Tol]],"Pass","Fail"),IF(Table1[[#This Row],[DUT Adj Read]]&gt;Table1[[#This Row],[Low Tol]],"Pass","Fail")))</f>
        <v>Pass</v>
      </c>
      <c r="AE301" s="1" t="str">
        <f>IF(AND(Table1[[#This Row],[Spec Type2]]="N/A",Table1[[#This Row],[DUT Adj Read]]="N/A",Table1[[#This Row],[Std Adj Read]]="N/A"),"N/A",IF(Table1[[#This Row],[DUT Adj Read]]="N/A",IF(Table1[[#This Row],[Std Adj Read]]&lt;Table1[[#This Row],[High Tol]],"Pass","Fail"),IF(Table1[[#This Row],[DUT Adj Read]]&lt;Table1[[#This Row],[High Tol]],"Pass","Fail")))</f>
        <v>Fail</v>
      </c>
      <c r="AF301" s="1" t="str">
        <f>IF(AND(Table1[[#This Row],[Spec Type2]]="N/A",Table1[[#This Row],[DUT Adj Read]]="N/A",Table1[[#This Row],[Std Adj Read]]="N/A"),"N/A",IF(Table1[[#This Row],[DUT Adj Read]]="N/A",IF(Table1[[#This Row],[Std Adj Read]]&gt;=Table1[[#This Row],[Low Tol]],"Pass","Fail"),IF(Table1[[#This Row],[DUT Adj Read]]&gt;=Table1[[#This Row],[Low Tol]],"Pass","Fail")))</f>
        <v>Pass</v>
      </c>
      <c r="AG301" s="1" t="str">
        <f>IF(AND(Table1[[#This Row],[Spec Type2]]="N/A",Table1[[#This Row],[DUT Adj Read]]="N/A",Table1[[#This Row],[Std Adj Read]]="N/A"),"N/A",IF(Table1[[#This Row],[DUT Adj Read]]="N/A",IF(Table1[[#This Row],[Std Adj Read]]&lt;=Table1[[#This Row],[High Tol]],"Pass","Fail"),IF(Table1[[#This Row],[DUT Adj Read]]&lt;=Table1[[#This Row],[High Tol]],"Pass","Fail")))</f>
        <v>Fail</v>
      </c>
      <c r="AH3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1" s="1" t="b">
        <v>0</v>
      </c>
      <c r="AN301" s="1" t="b">
        <v>0</v>
      </c>
      <c r="AO301" s="1" t="b">
        <v>0</v>
      </c>
    </row>
    <row r="302" spans="1:41" x14ac:dyDescent="0.25">
      <c r="A302" s="10"/>
      <c r="B302" s="10"/>
      <c r="C302" s="10"/>
      <c r="D302" s="10"/>
      <c r="E302" s="10"/>
      <c r="F302" s="10"/>
      <c r="G302" s="10"/>
      <c r="H302" s="10"/>
      <c r="I302" s="1" t="str">
        <f t="shared" si="12"/>
        <v/>
      </c>
      <c r="J302" s="1" t="s">
        <v>35</v>
      </c>
      <c r="K302" s="1" t="str">
        <f t="shared" si="13"/>
        <v/>
      </c>
      <c r="L302" s="1" t="str">
        <f t="shared" si="14"/>
        <v/>
      </c>
      <c r="M302" s="1">
        <f>IF(OR(Table1[[#This Row],[Std Nom]]="",Table1[[#This Row],[Std Read]]=""),0,Table1[[#This Row],[Std Nom]]-Table1[[#This Row],[Std Read]])</f>
        <v>0</v>
      </c>
      <c r="N302" s="1">
        <f>IF(Calculations!$F$5="ACCREDITED 17025 WITH UNCERTAINTIES",$N$10,0)</f>
        <v>0</v>
      </c>
      <c r="O302" s="1" t="str">
        <f>IFERROR(Table1[[#This Row],[Std Nom]]-(_xlfn.XLOOKUP(Table1[[#This Row],[Manufacturer]]&amp;" "&amp;Table1[[#This Row],[Model]],Table13[MFR &amp; MDL],Table13[Tolerance % CW ],"")/100*Table1[[#This Row],[Std Nom]]),"")</f>
        <v/>
      </c>
      <c r="P302" s="1" t="str">
        <f>IFERROR(Table1[[#This Row],[Std Nom]]+(_xlfn.XLOOKUP(Table1[[#This Row],[Manufacturer]]&amp;" "&amp;Table1[[#This Row],[Model]],Table13[MFR &amp; MDL],Table13[Tolerance % CW ],"")/100*Table1[[#This Row],[Std Nom]]),"")</f>
        <v/>
      </c>
      <c r="Q302" s="1" t="e">
        <f>Table1[[#This Row],[High Tol]]-Table1[[#This Row],[Low Tol]]</f>
        <v>#VALUE!</v>
      </c>
      <c r="R302" s="1">
        <f>2*Table1[[#This Row],[Std Error]]</f>
        <v>0</v>
      </c>
      <c r="S302" s="1" t="str">
        <f>IF(Table1[[#This Row],[High Tol]]="","N/A",IFERROR(ABS(Table1[[#This Row],[Tol Span]]/Table1[[#This Row],[Error Span]]),"N/A"))</f>
        <v>N/A</v>
      </c>
      <c r="T302" s="1" t="str">
        <f>IF(OR(Table1[[#This Row],[Low Tol]]="",Table1[[#This Row],[High Tol]]=""),"Needs Analysis",IF(Table1[[#This Row],[Ratio]]&gt;=4,"Not Significant",IF(Table1[[#This Row],[Ratio]]&gt;=2,"Semi-Significant","Significant")))</f>
        <v>Needs Analysis</v>
      </c>
      <c r="W302" s="1">
        <f>IF(Table1[[#This Row],[Cal Type]]&lt;&gt;"ACCREDITED 17025 WITH UNCERTAINTIES",0,"")</f>
        <v>0</v>
      </c>
      <c r="X302" s="1" t="str">
        <f>IF(Table1[[#This Row],[DUT Read]]="","N/A",Table1[[#This Row],[Std Error]]+Table1[[#This Row],[DUT Read]]+Table1[[#This Row],[DUT Ucty]])</f>
        <v>N/A</v>
      </c>
      <c r="Y302" s="1" t="str">
        <f>IF(Table1[[#This Row],[Std Read]]="","N/A",Table1[[#This Row],[Std Read]]+Table1[[#This Row],[Std Ucty]])</f>
        <v>N/A</v>
      </c>
      <c r="Z3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2" s="1" t="str">
        <f>IF(Table1[[#This Row],[Spec Type]]="","N/A",Table1[[#This Row],[Spec Type]])</f>
        <v>±</v>
      </c>
      <c r="AC302" s="1" t="str">
        <f>IF(Table1[[#This Row],[Spec Type2]]="N/A","N/A",IF(AND(Table1[[#This Row],[DUT Adj Read]]&gt;=Table1[[#This Row],[Low Tol]],Table1[[#This Row],[DUT Adj Read]]&lt;=Table1[[#This Row],[High Tol]]),"Pass","Fail"))</f>
        <v>Fail</v>
      </c>
      <c r="AD302" s="1" t="str">
        <f>IF(AND(Table1[[#This Row],[Spec Type2]]="N/A",Table1[[#This Row],[DUT Adj Read]]="N/A",Table1[[#This Row],[Std Adj Read]]="N/A"),"N/A",IF(Table1[[#This Row],[DUT Adj Read]]="N/A",IF(Table1[[#This Row],[Std Adj Read]]&gt;Table1[[#This Row],[Low Tol]],"Pass","Fail"),IF(Table1[[#This Row],[DUT Adj Read]]&gt;Table1[[#This Row],[Low Tol]],"Pass","Fail")))</f>
        <v>Pass</v>
      </c>
      <c r="AE302" s="1" t="str">
        <f>IF(AND(Table1[[#This Row],[Spec Type2]]="N/A",Table1[[#This Row],[DUT Adj Read]]="N/A",Table1[[#This Row],[Std Adj Read]]="N/A"),"N/A",IF(Table1[[#This Row],[DUT Adj Read]]="N/A",IF(Table1[[#This Row],[Std Adj Read]]&lt;Table1[[#This Row],[High Tol]],"Pass","Fail"),IF(Table1[[#This Row],[DUT Adj Read]]&lt;Table1[[#This Row],[High Tol]],"Pass","Fail")))</f>
        <v>Fail</v>
      </c>
      <c r="AF302" s="1" t="str">
        <f>IF(AND(Table1[[#This Row],[Spec Type2]]="N/A",Table1[[#This Row],[DUT Adj Read]]="N/A",Table1[[#This Row],[Std Adj Read]]="N/A"),"N/A",IF(Table1[[#This Row],[DUT Adj Read]]="N/A",IF(Table1[[#This Row],[Std Adj Read]]&gt;=Table1[[#This Row],[Low Tol]],"Pass","Fail"),IF(Table1[[#This Row],[DUT Adj Read]]&gt;=Table1[[#This Row],[Low Tol]],"Pass","Fail")))</f>
        <v>Pass</v>
      </c>
      <c r="AG302" s="1" t="str">
        <f>IF(AND(Table1[[#This Row],[Spec Type2]]="N/A",Table1[[#This Row],[DUT Adj Read]]="N/A",Table1[[#This Row],[Std Adj Read]]="N/A"),"N/A",IF(Table1[[#This Row],[DUT Adj Read]]="N/A",IF(Table1[[#This Row],[Std Adj Read]]&lt;=Table1[[#This Row],[High Tol]],"Pass","Fail"),IF(Table1[[#This Row],[DUT Adj Read]]&lt;=Table1[[#This Row],[High Tol]],"Pass","Fail")))</f>
        <v>Fail</v>
      </c>
      <c r="AH3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2" s="1" t="b">
        <v>0</v>
      </c>
      <c r="AN302" s="1" t="b">
        <v>0</v>
      </c>
      <c r="AO302" s="1" t="b">
        <v>0</v>
      </c>
    </row>
    <row r="303" spans="1:41" x14ac:dyDescent="0.25">
      <c r="A303" s="10"/>
      <c r="B303" s="10"/>
      <c r="C303" s="10"/>
      <c r="D303" s="10"/>
      <c r="E303" s="10"/>
      <c r="F303" s="10"/>
      <c r="G303" s="10"/>
      <c r="H303" s="10"/>
      <c r="I303" s="1" t="str">
        <f t="shared" si="12"/>
        <v/>
      </c>
      <c r="J303" s="1" t="s">
        <v>35</v>
      </c>
      <c r="K303" s="1" t="str">
        <f t="shared" si="13"/>
        <v/>
      </c>
      <c r="L303" s="1" t="str">
        <f t="shared" si="14"/>
        <v/>
      </c>
      <c r="M303" s="1">
        <f>IF(OR(Table1[[#This Row],[Std Nom]]="",Table1[[#This Row],[Std Read]]=""),0,Table1[[#This Row],[Std Nom]]-Table1[[#This Row],[Std Read]])</f>
        <v>0</v>
      </c>
      <c r="N303" s="1">
        <f>IF(Calculations!$F$5="ACCREDITED 17025 WITH UNCERTAINTIES",$N$10,0)</f>
        <v>0</v>
      </c>
      <c r="O303" s="1" t="str">
        <f>IFERROR(Table1[[#This Row],[Std Nom]]-(_xlfn.XLOOKUP(Table1[[#This Row],[Manufacturer]]&amp;" "&amp;Table1[[#This Row],[Model]],Table13[MFR &amp; MDL],Table13[Tolerance % CW ],"")/100*Table1[[#This Row],[Std Nom]]),"")</f>
        <v/>
      </c>
      <c r="P303" s="1" t="str">
        <f>IFERROR(Table1[[#This Row],[Std Nom]]+(_xlfn.XLOOKUP(Table1[[#This Row],[Manufacturer]]&amp;" "&amp;Table1[[#This Row],[Model]],Table13[MFR &amp; MDL],Table13[Tolerance % CW ],"")/100*Table1[[#This Row],[Std Nom]]),"")</f>
        <v/>
      </c>
      <c r="Q303" s="1" t="e">
        <f>Table1[[#This Row],[High Tol]]-Table1[[#This Row],[Low Tol]]</f>
        <v>#VALUE!</v>
      </c>
      <c r="R303" s="1">
        <f>2*Table1[[#This Row],[Std Error]]</f>
        <v>0</v>
      </c>
      <c r="S303" s="1" t="str">
        <f>IF(Table1[[#This Row],[High Tol]]="","N/A",IFERROR(ABS(Table1[[#This Row],[Tol Span]]/Table1[[#This Row],[Error Span]]),"N/A"))</f>
        <v>N/A</v>
      </c>
      <c r="T303" s="1" t="str">
        <f>IF(OR(Table1[[#This Row],[Low Tol]]="",Table1[[#This Row],[High Tol]]=""),"Needs Analysis",IF(Table1[[#This Row],[Ratio]]&gt;=4,"Not Significant",IF(Table1[[#This Row],[Ratio]]&gt;=2,"Semi-Significant","Significant")))</f>
        <v>Needs Analysis</v>
      </c>
      <c r="W303" s="1">
        <f>IF(Table1[[#This Row],[Cal Type]]&lt;&gt;"ACCREDITED 17025 WITH UNCERTAINTIES",0,"")</f>
        <v>0</v>
      </c>
      <c r="X303" s="1" t="str">
        <f>IF(Table1[[#This Row],[DUT Read]]="","N/A",Table1[[#This Row],[Std Error]]+Table1[[#This Row],[DUT Read]]+Table1[[#This Row],[DUT Ucty]])</f>
        <v>N/A</v>
      </c>
      <c r="Y303" s="1" t="str">
        <f>IF(Table1[[#This Row],[Std Read]]="","N/A",Table1[[#This Row],[Std Read]]+Table1[[#This Row],[Std Ucty]])</f>
        <v>N/A</v>
      </c>
      <c r="Z3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3" s="1" t="str">
        <f>IF(Table1[[#This Row],[Spec Type]]="","N/A",Table1[[#This Row],[Spec Type]])</f>
        <v>±</v>
      </c>
      <c r="AC303" s="1" t="str">
        <f>IF(Table1[[#This Row],[Spec Type2]]="N/A","N/A",IF(AND(Table1[[#This Row],[DUT Adj Read]]&gt;=Table1[[#This Row],[Low Tol]],Table1[[#This Row],[DUT Adj Read]]&lt;=Table1[[#This Row],[High Tol]]),"Pass","Fail"))</f>
        <v>Fail</v>
      </c>
      <c r="AD303" s="1" t="str">
        <f>IF(AND(Table1[[#This Row],[Spec Type2]]="N/A",Table1[[#This Row],[DUT Adj Read]]="N/A",Table1[[#This Row],[Std Adj Read]]="N/A"),"N/A",IF(Table1[[#This Row],[DUT Adj Read]]="N/A",IF(Table1[[#This Row],[Std Adj Read]]&gt;Table1[[#This Row],[Low Tol]],"Pass","Fail"),IF(Table1[[#This Row],[DUT Adj Read]]&gt;Table1[[#This Row],[Low Tol]],"Pass","Fail")))</f>
        <v>Pass</v>
      </c>
      <c r="AE303" s="1" t="str">
        <f>IF(AND(Table1[[#This Row],[Spec Type2]]="N/A",Table1[[#This Row],[DUT Adj Read]]="N/A",Table1[[#This Row],[Std Adj Read]]="N/A"),"N/A",IF(Table1[[#This Row],[DUT Adj Read]]="N/A",IF(Table1[[#This Row],[Std Adj Read]]&lt;Table1[[#This Row],[High Tol]],"Pass","Fail"),IF(Table1[[#This Row],[DUT Adj Read]]&lt;Table1[[#This Row],[High Tol]],"Pass","Fail")))</f>
        <v>Fail</v>
      </c>
      <c r="AF303" s="1" t="str">
        <f>IF(AND(Table1[[#This Row],[Spec Type2]]="N/A",Table1[[#This Row],[DUT Adj Read]]="N/A",Table1[[#This Row],[Std Adj Read]]="N/A"),"N/A",IF(Table1[[#This Row],[DUT Adj Read]]="N/A",IF(Table1[[#This Row],[Std Adj Read]]&gt;=Table1[[#This Row],[Low Tol]],"Pass","Fail"),IF(Table1[[#This Row],[DUT Adj Read]]&gt;=Table1[[#This Row],[Low Tol]],"Pass","Fail")))</f>
        <v>Pass</v>
      </c>
      <c r="AG303" s="1" t="str">
        <f>IF(AND(Table1[[#This Row],[Spec Type2]]="N/A",Table1[[#This Row],[DUT Adj Read]]="N/A",Table1[[#This Row],[Std Adj Read]]="N/A"),"N/A",IF(Table1[[#This Row],[DUT Adj Read]]="N/A",IF(Table1[[#This Row],[Std Adj Read]]&lt;=Table1[[#This Row],[High Tol]],"Pass","Fail"),IF(Table1[[#This Row],[DUT Adj Read]]&lt;=Table1[[#This Row],[High Tol]],"Pass","Fail")))</f>
        <v>Fail</v>
      </c>
      <c r="AH3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3" s="1" t="b">
        <v>0</v>
      </c>
      <c r="AN303" s="1" t="b">
        <v>0</v>
      </c>
      <c r="AO303" s="1" t="b">
        <v>0</v>
      </c>
    </row>
    <row r="304" spans="1:41" x14ac:dyDescent="0.25">
      <c r="A304" s="10"/>
      <c r="B304" s="10"/>
      <c r="C304" s="10"/>
      <c r="D304" s="10"/>
      <c r="E304" s="10"/>
      <c r="F304" s="10"/>
      <c r="G304" s="10"/>
      <c r="H304" s="10"/>
      <c r="I304" s="1" t="str">
        <f t="shared" si="12"/>
        <v/>
      </c>
      <c r="J304" s="1" t="s">
        <v>35</v>
      </c>
      <c r="K304" s="1" t="str">
        <f t="shared" si="13"/>
        <v/>
      </c>
      <c r="L304" s="1" t="str">
        <f t="shared" si="14"/>
        <v/>
      </c>
      <c r="M304" s="1">
        <f>IF(OR(Table1[[#This Row],[Std Nom]]="",Table1[[#This Row],[Std Read]]=""),0,Table1[[#This Row],[Std Nom]]-Table1[[#This Row],[Std Read]])</f>
        <v>0</v>
      </c>
      <c r="N304" s="1">
        <f>IF(Calculations!$F$5="ACCREDITED 17025 WITH UNCERTAINTIES",$N$10,0)</f>
        <v>0</v>
      </c>
      <c r="O304" s="1" t="str">
        <f>IFERROR(Table1[[#This Row],[Std Nom]]-(_xlfn.XLOOKUP(Table1[[#This Row],[Manufacturer]]&amp;" "&amp;Table1[[#This Row],[Model]],Table13[MFR &amp; MDL],Table13[Tolerance % CW ],"")/100*Table1[[#This Row],[Std Nom]]),"")</f>
        <v/>
      </c>
      <c r="P304" s="1" t="str">
        <f>IFERROR(Table1[[#This Row],[Std Nom]]+(_xlfn.XLOOKUP(Table1[[#This Row],[Manufacturer]]&amp;" "&amp;Table1[[#This Row],[Model]],Table13[MFR &amp; MDL],Table13[Tolerance % CW ],"")/100*Table1[[#This Row],[Std Nom]]),"")</f>
        <v/>
      </c>
      <c r="Q304" s="1" t="e">
        <f>Table1[[#This Row],[High Tol]]-Table1[[#This Row],[Low Tol]]</f>
        <v>#VALUE!</v>
      </c>
      <c r="R304" s="1">
        <f>2*Table1[[#This Row],[Std Error]]</f>
        <v>0</v>
      </c>
      <c r="S304" s="1" t="str">
        <f>IF(Table1[[#This Row],[High Tol]]="","N/A",IFERROR(ABS(Table1[[#This Row],[Tol Span]]/Table1[[#This Row],[Error Span]]),"N/A"))</f>
        <v>N/A</v>
      </c>
      <c r="T304" s="1" t="str">
        <f>IF(OR(Table1[[#This Row],[Low Tol]]="",Table1[[#This Row],[High Tol]]=""),"Needs Analysis",IF(Table1[[#This Row],[Ratio]]&gt;=4,"Not Significant",IF(Table1[[#This Row],[Ratio]]&gt;=2,"Semi-Significant","Significant")))</f>
        <v>Needs Analysis</v>
      </c>
      <c r="W304" s="1">
        <f>IF(Table1[[#This Row],[Cal Type]]&lt;&gt;"ACCREDITED 17025 WITH UNCERTAINTIES",0,"")</f>
        <v>0</v>
      </c>
      <c r="X304" s="1" t="str">
        <f>IF(Table1[[#This Row],[DUT Read]]="","N/A",Table1[[#This Row],[Std Error]]+Table1[[#This Row],[DUT Read]]+Table1[[#This Row],[DUT Ucty]])</f>
        <v>N/A</v>
      </c>
      <c r="Y304" s="1" t="str">
        <f>IF(Table1[[#This Row],[Std Read]]="","N/A",Table1[[#This Row],[Std Read]]+Table1[[#This Row],[Std Ucty]])</f>
        <v>N/A</v>
      </c>
      <c r="Z3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4" s="1" t="str">
        <f>IF(Table1[[#This Row],[Spec Type]]="","N/A",Table1[[#This Row],[Spec Type]])</f>
        <v>±</v>
      </c>
      <c r="AC304" s="1" t="str">
        <f>IF(Table1[[#This Row],[Spec Type2]]="N/A","N/A",IF(AND(Table1[[#This Row],[DUT Adj Read]]&gt;=Table1[[#This Row],[Low Tol]],Table1[[#This Row],[DUT Adj Read]]&lt;=Table1[[#This Row],[High Tol]]),"Pass","Fail"))</f>
        <v>Fail</v>
      </c>
      <c r="AD304" s="1" t="str">
        <f>IF(AND(Table1[[#This Row],[Spec Type2]]="N/A",Table1[[#This Row],[DUT Adj Read]]="N/A",Table1[[#This Row],[Std Adj Read]]="N/A"),"N/A",IF(Table1[[#This Row],[DUT Adj Read]]="N/A",IF(Table1[[#This Row],[Std Adj Read]]&gt;Table1[[#This Row],[Low Tol]],"Pass","Fail"),IF(Table1[[#This Row],[DUT Adj Read]]&gt;Table1[[#This Row],[Low Tol]],"Pass","Fail")))</f>
        <v>Pass</v>
      </c>
      <c r="AE304" s="1" t="str">
        <f>IF(AND(Table1[[#This Row],[Spec Type2]]="N/A",Table1[[#This Row],[DUT Adj Read]]="N/A",Table1[[#This Row],[Std Adj Read]]="N/A"),"N/A",IF(Table1[[#This Row],[DUT Adj Read]]="N/A",IF(Table1[[#This Row],[Std Adj Read]]&lt;Table1[[#This Row],[High Tol]],"Pass","Fail"),IF(Table1[[#This Row],[DUT Adj Read]]&lt;Table1[[#This Row],[High Tol]],"Pass","Fail")))</f>
        <v>Fail</v>
      </c>
      <c r="AF304" s="1" t="str">
        <f>IF(AND(Table1[[#This Row],[Spec Type2]]="N/A",Table1[[#This Row],[DUT Adj Read]]="N/A",Table1[[#This Row],[Std Adj Read]]="N/A"),"N/A",IF(Table1[[#This Row],[DUT Adj Read]]="N/A",IF(Table1[[#This Row],[Std Adj Read]]&gt;=Table1[[#This Row],[Low Tol]],"Pass","Fail"),IF(Table1[[#This Row],[DUT Adj Read]]&gt;=Table1[[#This Row],[Low Tol]],"Pass","Fail")))</f>
        <v>Pass</v>
      </c>
      <c r="AG304" s="1" t="str">
        <f>IF(AND(Table1[[#This Row],[Spec Type2]]="N/A",Table1[[#This Row],[DUT Adj Read]]="N/A",Table1[[#This Row],[Std Adj Read]]="N/A"),"N/A",IF(Table1[[#This Row],[DUT Adj Read]]="N/A",IF(Table1[[#This Row],[Std Adj Read]]&lt;=Table1[[#This Row],[High Tol]],"Pass","Fail"),IF(Table1[[#This Row],[DUT Adj Read]]&lt;=Table1[[#This Row],[High Tol]],"Pass","Fail")))</f>
        <v>Fail</v>
      </c>
      <c r="AH3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4" s="1" t="b">
        <v>0</v>
      </c>
      <c r="AN304" s="1" t="b">
        <v>0</v>
      </c>
      <c r="AO304" s="1" t="b">
        <v>0</v>
      </c>
    </row>
    <row r="305" spans="1:41" x14ac:dyDescent="0.25">
      <c r="A305" s="10"/>
      <c r="B305" s="10"/>
      <c r="C305" s="10"/>
      <c r="D305" s="10"/>
      <c r="E305" s="10"/>
      <c r="F305" s="10"/>
      <c r="G305" s="10"/>
      <c r="H305" s="10"/>
      <c r="I305" s="1" t="str">
        <f t="shared" si="12"/>
        <v/>
      </c>
      <c r="J305" s="1" t="s">
        <v>35</v>
      </c>
      <c r="K305" s="1" t="str">
        <f t="shared" si="13"/>
        <v/>
      </c>
      <c r="L305" s="1" t="str">
        <f t="shared" si="14"/>
        <v/>
      </c>
      <c r="M305" s="1">
        <f>IF(OR(Table1[[#This Row],[Std Nom]]="",Table1[[#This Row],[Std Read]]=""),0,Table1[[#This Row],[Std Nom]]-Table1[[#This Row],[Std Read]])</f>
        <v>0</v>
      </c>
      <c r="N305" s="1">
        <f>IF(Calculations!$F$5="ACCREDITED 17025 WITH UNCERTAINTIES",$N$10,0)</f>
        <v>0</v>
      </c>
      <c r="O305" s="1" t="str">
        <f>IFERROR(Table1[[#This Row],[Std Nom]]-(_xlfn.XLOOKUP(Table1[[#This Row],[Manufacturer]]&amp;" "&amp;Table1[[#This Row],[Model]],Table13[MFR &amp; MDL],Table13[Tolerance % CW ],"")/100*Table1[[#This Row],[Std Nom]]),"")</f>
        <v/>
      </c>
      <c r="P305" s="1" t="str">
        <f>IFERROR(Table1[[#This Row],[Std Nom]]+(_xlfn.XLOOKUP(Table1[[#This Row],[Manufacturer]]&amp;" "&amp;Table1[[#This Row],[Model]],Table13[MFR &amp; MDL],Table13[Tolerance % CW ],"")/100*Table1[[#This Row],[Std Nom]]),"")</f>
        <v/>
      </c>
      <c r="Q305" s="1" t="e">
        <f>Table1[[#This Row],[High Tol]]-Table1[[#This Row],[Low Tol]]</f>
        <v>#VALUE!</v>
      </c>
      <c r="R305" s="1">
        <f>2*Table1[[#This Row],[Std Error]]</f>
        <v>0</v>
      </c>
      <c r="S305" s="1" t="str">
        <f>IF(Table1[[#This Row],[High Tol]]="","N/A",IFERROR(ABS(Table1[[#This Row],[Tol Span]]/Table1[[#This Row],[Error Span]]),"N/A"))</f>
        <v>N/A</v>
      </c>
      <c r="T305" s="1" t="str">
        <f>IF(OR(Table1[[#This Row],[Low Tol]]="",Table1[[#This Row],[High Tol]]=""),"Needs Analysis",IF(Table1[[#This Row],[Ratio]]&gt;=4,"Not Significant",IF(Table1[[#This Row],[Ratio]]&gt;=2,"Semi-Significant","Significant")))</f>
        <v>Needs Analysis</v>
      </c>
      <c r="W305" s="1">
        <f>IF(Table1[[#This Row],[Cal Type]]&lt;&gt;"ACCREDITED 17025 WITH UNCERTAINTIES",0,"")</f>
        <v>0</v>
      </c>
      <c r="X305" s="1" t="str">
        <f>IF(Table1[[#This Row],[DUT Read]]="","N/A",Table1[[#This Row],[Std Error]]+Table1[[#This Row],[DUT Read]]+Table1[[#This Row],[DUT Ucty]])</f>
        <v>N/A</v>
      </c>
      <c r="Y305" s="1" t="str">
        <f>IF(Table1[[#This Row],[Std Read]]="","N/A",Table1[[#This Row],[Std Read]]+Table1[[#This Row],[Std Ucty]])</f>
        <v>N/A</v>
      </c>
      <c r="Z3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5" s="1" t="str">
        <f>IF(Table1[[#This Row],[Spec Type]]="","N/A",Table1[[#This Row],[Spec Type]])</f>
        <v>±</v>
      </c>
      <c r="AC305" s="1" t="str">
        <f>IF(Table1[[#This Row],[Spec Type2]]="N/A","N/A",IF(AND(Table1[[#This Row],[DUT Adj Read]]&gt;=Table1[[#This Row],[Low Tol]],Table1[[#This Row],[DUT Adj Read]]&lt;=Table1[[#This Row],[High Tol]]),"Pass","Fail"))</f>
        <v>Fail</v>
      </c>
      <c r="AD305" s="1" t="str">
        <f>IF(AND(Table1[[#This Row],[Spec Type2]]="N/A",Table1[[#This Row],[DUT Adj Read]]="N/A",Table1[[#This Row],[Std Adj Read]]="N/A"),"N/A",IF(Table1[[#This Row],[DUT Adj Read]]="N/A",IF(Table1[[#This Row],[Std Adj Read]]&gt;Table1[[#This Row],[Low Tol]],"Pass","Fail"),IF(Table1[[#This Row],[DUT Adj Read]]&gt;Table1[[#This Row],[Low Tol]],"Pass","Fail")))</f>
        <v>Pass</v>
      </c>
      <c r="AE305" s="1" t="str">
        <f>IF(AND(Table1[[#This Row],[Spec Type2]]="N/A",Table1[[#This Row],[DUT Adj Read]]="N/A",Table1[[#This Row],[Std Adj Read]]="N/A"),"N/A",IF(Table1[[#This Row],[DUT Adj Read]]="N/A",IF(Table1[[#This Row],[Std Adj Read]]&lt;Table1[[#This Row],[High Tol]],"Pass","Fail"),IF(Table1[[#This Row],[DUT Adj Read]]&lt;Table1[[#This Row],[High Tol]],"Pass","Fail")))</f>
        <v>Fail</v>
      </c>
      <c r="AF305" s="1" t="str">
        <f>IF(AND(Table1[[#This Row],[Spec Type2]]="N/A",Table1[[#This Row],[DUT Adj Read]]="N/A",Table1[[#This Row],[Std Adj Read]]="N/A"),"N/A",IF(Table1[[#This Row],[DUT Adj Read]]="N/A",IF(Table1[[#This Row],[Std Adj Read]]&gt;=Table1[[#This Row],[Low Tol]],"Pass","Fail"),IF(Table1[[#This Row],[DUT Adj Read]]&gt;=Table1[[#This Row],[Low Tol]],"Pass","Fail")))</f>
        <v>Pass</v>
      </c>
      <c r="AG305" s="1" t="str">
        <f>IF(AND(Table1[[#This Row],[Spec Type2]]="N/A",Table1[[#This Row],[DUT Adj Read]]="N/A",Table1[[#This Row],[Std Adj Read]]="N/A"),"N/A",IF(Table1[[#This Row],[DUT Adj Read]]="N/A",IF(Table1[[#This Row],[Std Adj Read]]&lt;=Table1[[#This Row],[High Tol]],"Pass","Fail"),IF(Table1[[#This Row],[DUT Adj Read]]&lt;=Table1[[#This Row],[High Tol]],"Pass","Fail")))</f>
        <v>Fail</v>
      </c>
      <c r="AH3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5" s="1" t="b">
        <v>0</v>
      </c>
      <c r="AN305" s="1" t="b">
        <v>0</v>
      </c>
      <c r="AO305" s="1" t="b">
        <v>0</v>
      </c>
    </row>
    <row r="306" spans="1:41" x14ac:dyDescent="0.25">
      <c r="A306" s="10"/>
      <c r="B306" s="10"/>
      <c r="C306" s="10"/>
      <c r="D306" s="10"/>
      <c r="E306" s="10"/>
      <c r="F306" s="10"/>
      <c r="G306" s="10"/>
      <c r="H306" s="10"/>
      <c r="I306" s="1" t="str">
        <f t="shared" si="12"/>
        <v/>
      </c>
      <c r="J306" s="1" t="s">
        <v>35</v>
      </c>
      <c r="K306" s="1" t="str">
        <f t="shared" si="13"/>
        <v/>
      </c>
      <c r="L306" s="1" t="str">
        <f t="shared" si="14"/>
        <v/>
      </c>
      <c r="M306" s="1">
        <f>IF(OR(Table1[[#This Row],[Std Nom]]="",Table1[[#This Row],[Std Read]]=""),0,Table1[[#This Row],[Std Nom]]-Table1[[#This Row],[Std Read]])</f>
        <v>0</v>
      </c>
      <c r="N306" s="1">
        <f>IF(Calculations!$F$5="ACCREDITED 17025 WITH UNCERTAINTIES",$N$10,0)</f>
        <v>0</v>
      </c>
      <c r="O306" s="1" t="str">
        <f>IFERROR(Table1[[#This Row],[Std Nom]]-(_xlfn.XLOOKUP(Table1[[#This Row],[Manufacturer]]&amp;" "&amp;Table1[[#This Row],[Model]],Table13[MFR &amp; MDL],Table13[Tolerance % CW ],"")/100*Table1[[#This Row],[Std Nom]]),"")</f>
        <v/>
      </c>
      <c r="P306" s="1" t="str">
        <f>IFERROR(Table1[[#This Row],[Std Nom]]+(_xlfn.XLOOKUP(Table1[[#This Row],[Manufacturer]]&amp;" "&amp;Table1[[#This Row],[Model]],Table13[MFR &amp; MDL],Table13[Tolerance % CW ],"")/100*Table1[[#This Row],[Std Nom]]),"")</f>
        <v/>
      </c>
      <c r="Q306" s="1" t="e">
        <f>Table1[[#This Row],[High Tol]]-Table1[[#This Row],[Low Tol]]</f>
        <v>#VALUE!</v>
      </c>
      <c r="R306" s="1">
        <f>2*Table1[[#This Row],[Std Error]]</f>
        <v>0</v>
      </c>
      <c r="S306" s="1" t="str">
        <f>IF(Table1[[#This Row],[High Tol]]="","N/A",IFERROR(ABS(Table1[[#This Row],[Tol Span]]/Table1[[#This Row],[Error Span]]),"N/A"))</f>
        <v>N/A</v>
      </c>
      <c r="T306" s="1" t="str">
        <f>IF(OR(Table1[[#This Row],[Low Tol]]="",Table1[[#This Row],[High Tol]]=""),"Needs Analysis",IF(Table1[[#This Row],[Ratio]]&gt;=4,"Not Significant",IF(Table1[[#This Row],[Ratio]]&gt;=2,"Semi-Significant","Significant")))</f>
        <v>Needs Analysis</v>
      </c>
      <c r="W306" s="1">
        <f>IF(Table1[[#This Row],[Cal Type]]&lt;&gt;"ACCREDITED 17025 WITH UNCERTAINTIES",0,"")</f>
        <v>0</v>
      </c>
      <c r="X306" s="1" t="str">
        <f>IF(Table1[[#This Row],[DUT Read]]="","N/A",Table1[[#This Row],[Std Error]]+Table1[[#This Row],[DUT Read]]+Table1[[#This Row],[DUT Ucty]])</f>
        <v>N/A</v>
      </c>
      <c r="Y306" s="1" t="str">
        <f>IF(Table1[[#This Row],[Std Read]]="","N/A",Table1[[#This Row],[Std Read]]+Table1[[#This Row],[Std Ucty]])</f>
        <v>N/A</v>
      </c>
      <c r="Z3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6" s="1" t="str">
        <f>IF(Table1[[#This Row],[Spec Type]]="","N/A",Table1[[#This Row],[Spec Type]])</f>
        <v>±</v>
      </c>
      <c r="AC306" s="1" t="str">
        <f>IF(Table1[[#This Row],[Spec Type2]]="N/A","N/A",IF(AND(Table1[[#This Row],[DUT Adj Read]]&gt;=Table1[[#This Row],[Low Tol]],Table1[[#This Row],[DUT Adj Read]]&lt;=Table1[[#This Row],[High Tol]]),"Pass","Fail"))</f>
        <v>Fail</v>
      </c>
      <c r="AD306" s="1" t="str">
        <f>IF(AND(Table1[[#This Row],[Spec Type2]]="N/A",Table1[[#This Row],[DUT Adj Read]]="N/A",Table1[[#This Row],[Std Adj Read]]="N/A"),"N/A",IF(Table1[[#This Row],[DUT Adj Read]]="N/A",IF(Table1[[#This Row],[Std Adj Read]]&gt;Table1[[#This Row],[Low Tol]],"Pass","Fail"),IF(Table1[[#This Row],[DUT Adj Read]]&gt;Table1[[#This Row],[Low Tol]],"Pass","Fail")))</f>
        <v>Pass</v>
      </c>
      <c r="AE306" s="1" t="str">
        <f>IF(AND(Table1[[#This Row],[Spec Type2]]="N/A",Table1[[#This Row],[DUT Adj Read]]="N/A",Table1[[#This Row],[Std Adj Read]]="N/A"),"N/A",IF(Table1[[#This Row],[DUT Adj Read]]="N/A",IF(Table1[[#This Row],[Std Adj Read]]&lt;Table1[[#This Row],[High Tol]],"Pass","Fail"),IF(Table1[[#This Row],[DUT Adj Read]]&lt;Table1[[#This Row],[High Tol]],"Pass","Fail")))</f>
        <v>Fail</v>
      </c>
      <c r="AF306" s="1" t="str">
        <f>IF(AND(Table1[[#This Row],[Spec Type2]]="N/A",Table1[[#This Row],[DUT Adj Read]]="N/A",Table1[[#This Row],[Std Adj Read]]="N/A"),"N/A",IF(Table1[[#This Row],[DUT Adj Read]]="N/A",IF(Table1[[#This Row],[Std Adj Read]]&gt;=Table1[[#This Row],[Low Tol]],"Pass","Fail"),IF(Table1[[#This Row],[DUT Adj Read]]&gt;=Table1[[#This Row],[Low Tol]],"Pass","Fail")))</f>
        <v>Pass</v>
      </c>
      <c r="AG306" s="1" t="str">
        <f>IF(AND(Table1[[#This Row],[Spec Type2]]="N/A",Table1[[#This Row],[DUT Adj Read]]="N/A",Table1[[#This Row],[Std Adj Read]]="N/A"),"N/A",IF(Table1[[#This Row],[DUT Adj Read]]="N/A",IF(Table1[[#This Row],[Std Adj Read]]&lt;=Table1[[#This Row],[High Tol]],"Pass","Fail"),IF(Table1[[#This Row],[DUT Adj Read]]&lt;=Table1[[#This Row],[High Tol]],"Pass","Fail")))</f>
        <v>Fail</v>
      </c>
      <c r="AH3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6" s="1" t="b">
        <v>0</v>
      </c>
      <c r="AN306" s="1" t="b">
        <v>0</v>
      </c>
      <c r="AO306" s="1" t="b">
        <v>0</v>
      </c>
    </row>
    <row r="307" spans="1:41" x14ac:dyDescent="0.25">
      <c r="A307" s="10"/>
      <c r="B307" s="10"/>
      <c r="C307" s="10"/>
      <c r="D307" s="10"/>
      <c r="E307" s="10"/>
      <c r="F307" s="10"/>
      <c r="G307" s="10"/>
      <c r="H307" s="10"/>
      <c r="I307" s="1" t="str">
        <f t="shared" si="12"/>
        <v/>
      </c>
      <c r="J307" s="1" t="s">
        <v>35</v>
      </c>
      <c r="K307" s="1" t="str">
        <f t="shared" si="13"/>
        <v/>
      </c>
      <c r="L307" s="1" t="str">
        <f t="shared" si="14"/>
        <v/>
      </c>
      <c r="M307" s="1">
        <f>IF(OR(Table1[[#This Row],[Std Nom]]="",Table1[[#This Row],[Std Read]]=""),0,Table1[[#This Row],[Std Nom]]-Table1[[#This Row],[Std Read]])</f>
        <v>0</v>
      </c>
      <c r="N307" s="1">
        <f>IF(Calculations!$F$5="ACCREDITED 17025 WITH UNCERTAINTIES",$N$10,0)</f>
        <v>0</v>
      </c>
      <c r="O307" s="1" t="str">
        <f>IFERROR(Table1[[#This Row],[Std Nom]]-(_xlfn.XLOOKUP(Table1[[#This Row],[Manufacturer]]&amp;" "&amp;Table1[[#This Row],[Model]],Table13[MFR &amp; MDL],Table13[Tolerance % CW ],"")/100*Table1[[#This Row],[Std Nom]]),"")</f>
        <v/>
      </c>
      <c r="P307" s="1" t="str">
        <f>IFERROR(Table1[[#This Row],[Std Nom]]+(_xlfn.XLOOKUP(Table1[[#This Row],[Manufacturer]]&amp;" "&amp;Table1[[#This Row],[Model]],Table13[MFR &amp; MDL],Table13[Tolerance % CW ],"")/100*Table1[[#This Row],[Std Nom]]),"")</f>
        <v/>
      </c>
      <c r="Q307" s="1" t="e">
        <f>Table1[[#This Row],[High Tol]]-Table1[[#This Row],[Low Tol]]</f>
        <v>#VALUE!</v>
      </c>
      <c r="R307" s="1">
        <f>2*Table1[[#This Row],[Std Error]]</f>
        <v>0</v>
      </c>
      <c r="S307" s="1" t="str">
        <f>IF(Table1[[#This Row],[High Tol]]="","N/A",IFERROR(ABS(Table1[[#This Row],[Tol Span]]/Table1[[#This Row],[Error Span]]),"N/A"))</f>
        <v>N/A</v>
      </c>
      <c r="T307" s="1" t="str">
        <f>IF(OR(Table1[[#This Row],[Low Tol]]="",Table1[[#This Row],[High Tol]]=""),"Needs Analysis",IF(Table1[[#This Row],[Ratio]]&gt;=4,"Not Significant",IF(Table1[[#This Row],[Ratio]]&gt;=2,"Semi-Significant","Significant")))</f>
        <v>Needs Analysis</v>
      </c>
      <c r="W307" s="1">
        <f>IF(Table1[[#This Row],[Cal Type]]&lt;&gt;"ACCREDITED 17025 WITH UNCERTAINTIES",0,"")</f>
        <v>0</v>
      </c>
      <c r="X307" s="1" t="str">
        <f>IF(Table1[[#This Row],[DUT Read]]="","N/A",Table1[[#This Row],[Std Error]]+Table1[[#This Row],[DUT Read]]+Table1[[#This Row],[DUT Ucty]])</f>
        <v>N/A</v>
      </c>
      <c r="Y307" s="1" t="str">
        <f>IF(Table1[[#This Row],[Std Read]]="","N/A",Table1[[#This Row],[Std Read]]+Table1[[#This Row],[Std Ucty]])</f>
        <v>N/A</v>
      </c>
      <c r="Z3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7" s="1" t="str">
        <f>IF(Table1[[#This Row],[Spec Type]]="","N/A",Table1[[#This Row],[Spec Type]])</f>
        <v>±</v>
      </c>
      <c r="AC307" s="1" t="str">
        <f>IF(Table1[[#This Row],[Spec Type2]]="N/A","N/A",IF(AND(Table1[[#This Row],[DUT Adj Read]]&gt;=Table1[[#This Row],[Low Tol]],Table1[[#This Row],[DUT Adj Read]]&lt;=Table1[[#This Row],[High Tol]]),"Pass","Fail"))</f>
        <v>Fail</v>
      </c>
      <c r="AD307" s="1" t="str">
        <f>IF(AND(Table1[[#This Row],[Spec Type2]]="N/A",Table1[[#This Row],[DUT Adj Read]]="N/A",Table1[[#This Row],[Std Adj Read]]="N/A"),"N/A",IF(Table1[[#This Row],[DUT Adj Read]]="N/A",IF(Table1[[#This Row],[Std Adj Read]]&gt;Table1[[#This Row],[Low Tol]],"Pass","Fail"),IF(Table1[[#This Row],[DUT Adj Read]]&gt;Table1[[#This Row],[Low Tol]],"Pass","Fail")))</f>
        <v>Pass</v>
      </c>
      <c r="AE307" s="1" t="str">
        <f>IF(AND(Table1[[#This Row],[Spec Type2]]="N/A",Table1[[#This Row],[DUT Adj Read]]="N/A",Table1[[#This Row],[Std Adj Read]]="N/A"),"N/A",IF(Table1[[#This Row],[DUT Adj Read]]="N/A",IF(Table1[[#This Row],[Std Adj Read]]&lt;Table1[[#This Row],[High Tol]],"Pass","Fail"),IF(Table1[[#This Row],[DUT Adj Read]]&lt;Table1[[#This Row],[High Tol]],"Pass","Fail")))</f>
        <v>Fail</v>
      </c>
      <c r="AF307" s="1" t="str">
        <f>IF(AND(Table1[[#This Row],[Spec Type2]]="N/A",Table1[[#This Row],[DUT Adj Read]]="N/A",Table1[[#This Row],[Std Adj Read]]="N/A"),"N/A",IF(Table1[[#This Row],[DUT Adj Read]]="N/A",IF(Table1[[#This Row],[Std Adj Read]]&gt;=Table1[[#This Row],[Low Tol]],"Pass","Fail"),IF(Table1[[#This Row],[DUT Adj Read]]&gt;=Table1[[#This Row],[Low Tol]],"Pass","Fail")))</f>
        <v>Pass</v>
      </c>
      <c r="AG307" s="1" t="str">
        <f>IF(AND(Table1[[#This Row],[Spec Type2]]="N/A",Table1[[#This Row],[DUT Adj Read]]="N/A",Table1[[#This Row],[Std Adj Read]]="N/A"),"N/A",IF(Table1[[#This Row],[DUT Adj Read]]="N/A",IF(Table1[[#This Row],[Std Adj Read]]&lt;=Table1[[#This Row],[High Tol]],"Pass","Fail"),IF(Table1[[#This Row],[DUT Adj Read]]&lt;=Table1[[#This Row],[High Tol]],"Pass","Fail")))</f>
        <v>Fail</v>
      </c>
      <c r="AH3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7" s="1" t="b">
        <v>0</v>
      </c>
      <c r="AN307" s="1" t="b">
        <v>0</v>
      </c>
      <c r="AO307" s="1" t="b">
        <v>0</v>
      </c>
    </row>
    <row r="308" spans="1:41" x14ac:dyDescent="0.25">
      <c r="A308" s="10"/>
      <c r="B308" s="10"/>
      <c r="C308" s="10"/>
      <c r="D308" s="10"/>
      <c r="E308" s="10"/>
      <c r="F308" s="10"/>
      <c r="G308" s="10"/>
      <c r="H308" s="10"/>
      <c r="I308" s="1" t="str">
        <f t="shared" si="12"/>
        <v/>
      </c>
      <c r="J308" s="1" t="s">
        <v>35</v>
      </c>
      <c r="K308" s="1" t="str">
        <f t="shared" si="13"/>
        <v/>
      </c>
      <c r="L308" s="1" t="str">
        <f t="shared" si="14"/>
        <v/>
      </c>
      <c r="M308" s="1">
        <f>IF(OR(Table1[[#This Row],[Std Nom]]="",Table1[[#This Row],[Std Read]]=""),0,Table1[[#This Row],[Std Nom]]-Table1[[#This Row],[Std Read]])</f>
        <v>0</v>
      </c>
      <c r="N308" s="1">
        <f>IF(Calculations!$F$5="ACCREDITED 17025 WITH UNCERTAINTIES",$N$10,0)</f>
        <v>0</v>
      </c>
      <c r="O308" s="1" t="str">
        <f>IFERROR(Table1[[#This Row],[Std Nom]]-(_xlfn.XLOOKUP(Table1[[#This Row],[Manufacturer]]&amp;" "&amp;Table1[[#This Row],[Model]],Table13[MFR &amp; MDL],Table13[Tolerance % CW ],"")/100*Table1[[#This Row],[Std Nom]]),"")</f>
        <v/>
      </c>
      <c r="P308" s="1" t="str">
        <f>IFERROR(Table1[[#This Row],[Std Nom]]+(_xlfn.XLOOKUP(Table1[[#This Row],[Manufacturer]]&amp;" "&amp;Table1[[#This Row],[Model]],Table13[MFR &amp; MDL],Table13[Tolerance % CW ],"")/100*Table1[[#This Row],[Std Nom]]),"")</f>
        <v/>
      </c>
      <c r="Q308" s="1" t="e">
        <f>Table1[[#This Row],[High Tol]]-Table1[[#This Row],[Low Tol]]</f>
        <v>#VALUE!</v>
      </c>
      <c r="R308" s="1">
        <f>2*Table1[[#This Row],[Std Error]]</f>
        <v>0</v>
      </c>
      <c r="S308" s="1" t="str">
        <f>IF(Table1[[#This Row],[High Tol]]="","N/A",IFERROR(ABS(Table1[[#This Row],[Tol Span]]/Table1[[#This Row],[Error Span]]),"N/A"))</f>
        <v>N/A</v>
      </c>
      <c r="T308" s="1" t="str">
        <f>IF(OR(Table1[[#This Row],[Low Tol]]="",Table1[[#This Row],[High Tol]]=""),"Needs Analysis",IF(Table1[[#This Row],[Ratio]]&gt;=4,"Not Significant",IF(Table1[[#This Row],[Ratio]]&gt;=2,"Semi-Significant","Significant")))</f>
        <v>Needs Analysis</v>
      </c>
      <c r="W308" s="1">
        <f>IF(Table1[[#This Row],[Cal Type]]&lt;&gt;"ACCREDITED 17025 WITH UNCERTAINTIES",0,"")</f>
        <v>0</v>
      </c>
      <c r="X308" s="1" t="str">
        <f>IF(Table1[[#This Row],[DUT Read]]="","N/A",Table1[[#This Row],[Std Error]]+Table1[[#This Row],[DUT Read]]+Table1[[#This Row],[DUT Ucty]])</f>
        <v>N/A</v>
      </c>
      <c r="Y308" s="1" t="str">
        <f>IF(Table1[[#This Row],[Std Read]]="","N/A",Table1[[#This Row],[Std Read]]+Table1[[#This Row],[Std Ucty]])</f>
        <v>N/A</v>
      </c>
      <c r="Z3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8" s="1" t="str">
        <f>IF(Table1[[#This Row],[Spec Type]]="","N/A",Table1[[#This Row],[Spec Type]])</f>
        <v>±</v>
      </c>
      <c r="AC308" s="1" t="str">
        <f>IF(Table1[[#This Row],[Spec Type2]]="N/A","N/A",IF(AND(Table1[[#This Row],[DUT Adj Read]]&gt;=Table1[[#This Row],[Low Tol]],Table1[[#This Row],[DUT Adj Read]]&lt;=Table1[[#This Row],[High Tol]]),"Pass","Fail"))</f>
        <v>Fail</v>
      </c>
      <c r="AD308" s="1" t="str">
        <f>IF(AND(Table1[[#This Row],[Spec Type2]]="N/A",Table1[[#This Row],[DUT Adj Read]]="N/A",Table1[[#This Row],[Std Adj Read]]="N/A"),"N/A",IF(Table1[[#This Row],[DUT Adj Read]]="N/A",IF(Table1[[#This Row],[Std Adj Read]]&gt;Table1[[#This Row],[Low Tol]],"Pass","Fail"),IF(Table1[[#This Row],[DUT Adj Read]]&gt;Table1[[#This Row],[Low Tol]],"Pass","Fail")))</f>
        <v>Pass</v>
      </c>
      <c r="AE308" s="1" t="str">
        <f>IF(AND(Table1[[#This Row],[Spec Type2]]="N/A",Table1[[#This Row],[DUT Adj Read]]="N/A",Table1[[#This Row],[Std Adj Read]]="N/A"),"N/A",IF(Table1[[#This Row],[DUT Adj Read]]="N/A",IF(Table1[[#This Row],[Std Adj Read]]&lt;Table1[[#This Row],[High Tol]],"Pass","Fail"),IF(Table1[[#This Row],[DUT Adj Read]]&lt;Table1[[#This Row],[High Tol]],"Pass","Fail")))</f>
        <v>Fail</v>
      </c>
      <c r="AF308" s="1" t="str">
        <f>IF(AND(Table1[[#This Row],[Spec Type2]]="N/A",Table1[[#This Row],[DUT Adj Read]]="N/A",Table1[[#This Row],[Std Adj Read]]="N/A"),"N/A",IF(Table1[[#This Row],[DUT Adj Read]]="N/A",IF(Table1[[#This Row],[Std Adj Read]]&gt;=Table1[[#This Row],[Low Tol]],"Pass","Fail"),IF(Table1[[#This Row],[DUT Adj Read]]&gt;=Table1[[#This Row],[Low Tol]],"Pass","Fail")))</f>
        <v>Pass</v>
      </c>
      <c r="AG308" s="1" t="str">
        <f>IF(AND(Table1[[#This Row],[Spec Type2]]="N/A",Table1[[#This Row],[DUT Adj Read]]="N/A",Table1[[#This Row],[Std Adj Read]]="N/A"),"N/A",IF(Table1[[#This Row],[DUT Adj Read]]="N/A",IF(Table1[[#This Row],[Std Adj Read]]&lt;=Table1[[#This Row],[High Tol]],"Pass","Fail"),IF(Table1[[#This Row],[DUT Adj Read]]&lt;=Table1[[#This Row],[High Tol]],"Pass","Fail")))</f>
        <v>Fail</v>
      </c>
      <c r="AH3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8" s="1" t="b">
        <v>0</v>
      </c>
      <c r="AN308" s="1" t="b">
        <v>0</v>
      </c>
      <c r="AO308" s="1" t="b">
        <v>0</v>
      </c>
    </row>
    <row r="309" spans="1:41" x14ac:dyDescent="0.25">
      <c r="A309" s="10"/>
      <c r="B309" s="10"/>
      <c r="C309" s="10"/>
      <c r="D309" s="10"/>
      <c r="E309" s="10"/>
      <c r="F309" s="10"/>
      <c r="G309" s="10"/>
      <c r="H309" s="10"/>
      <c r="I309" s="1" t="str">
        <f t="shared" si="12"/>
        <v/>
      </c>
      <c r="J309" s="1" t="s">
        <v>35</v>
      </c>
      <c r="K309" s="1" t="str">
        <f t="shared" si="13"/>
        <v/>
      </c>
      <c r="L309" s="1" t="str">
        <f t="shared" si="14"/>
        <v/>
      </c>
      <c r="M309" s="1">
        <f>IF(OR(Table1[[#This Row],[Std Nom]]="",Table1[[#This Row],[Std Read]]=""),0,Table1[[#This Row],[Std Nom]]-Table1[[#This Row],[Std Read]])</f>
        <v>0</v>
      </c>
      <c r="N309" s="1">
        <f>IF(Calculations!$F$5="ACCREDITED 17025 WITH UNCERTAINTIES",$N$10,0)</f>
        <v>0</v>
      </c>
      <c r="O309" s="1" t="str">
        <f>IFERROR(Table1[[#This Row],[Std Nom]]-(_xlfn.XLOOKUP(Table1[[#This Row],[Manufacturer]]&amp;" "&amp;Table1[[#This Row],[Model]],Table13[MFR &amp; MDL],Table13[Tolerance % CW ],"")/100*Table1[[#This Row],[Std Nom]]),"")</f>
        <v/>
      </c>
      <c r="P309" s="1" t="str">
        <f>IFERROR(Table1[[#This Row],[Std Nom]]+(_xlfn.XLOOKUP(Table1[[#This Row],[Manufacturer]]&amp;" "&amp;Table1[[#This Row],[Model]],Table13[MFR &amp; MDL],Table13[Tolerance % CW ],"")/100*Table1[[#This Row],[Std Nom]]),"")</f>
        <v/>
      </c>
      <c r="Q309" s="1" t="e">
        <f>Table1[[#This Row],[High Tol]]-Table1[[#This Row],[Low Tol]]</f>
        <v>#VALUE!</v>
      </c>
      <c r="R309" s="1">
        <f>2*Table1[[#This Row],[Std Error]]</f>
        <v>0</v>
      </c>
      <c r="S309" s="1" t="str">
        <f>IF(Table1[[#This Row],[High Tol]]="","N/A",IFERROR(ABS(Table1[[#This Row],[Tol Span]]/Table1[[#This Row],[Error Span]]),"N/A"))</f>
        <v>N/A</v>
      </c>
      <c r="T309" s="1" t="str">
        <f>IF(OR(Table1[[#This Row],[Low Tol]]="",Table1[[#This Row],[High Tol]]=""),"Needs Analysis",IF(Table1[[#This Row],[Ratio]]&gt;=4,"Not Significant",IF(Table1[[#This Row],[Ratio]]&gt;=2,"Semi-Significant","Significant")))</f>
        <v>Needs Analysis</v>
      </c>
      <c r="W309" s="1">
        <f>IF(Table1[[#This Row],[Cal Type]]&lt;&gt;"ACCREDITED 17025 WITH UNCERTAINTIES",0,"")</f>
        <v>0</v>
      </c>
      <c r="X309" s="1" t="str">
        <f>IF(Table1[[#This Row],[DUT Read]]="","N/A",Table1[[#This Row],[Std Error]]+Table1[[#This Row],[DUT Read]]+Table1[[#This Row],[DUT Ucty]])</f>
        <v>N/A</v>
      </c>
      <c r="Y309" s="1" t="str">
        <f>IF(Table1[[#This Row],[Std Read]]="","N/A",Table1[[#This Row],[Std Read]]+Table1[[#This Row],[Std Ucty]])</f>
        <v>N/A</v>
      </c>
      <c r="Z3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9" s="1" t="str">
        <f>IF(Table1[[#This Row],[Spec Type]]="","N/A",Table1[[#This Row],[Spec Type]])</f>
        <v>±</v>
      </c>
      <c r="AC309" s="1" t="str">
        <f>IF(Table1[[#This Row],[Spec Type2]]="N/A","N/A",IF(AND(Table1[[#This Row],[DUT Adj Read]]&gt;=Table1[[#This Row],[Low Tol]],Table1[[#This Row],[DUT Adj Read]]&lt;=Table1[[#This Row],[High Tol]]),"Pass","Fail"))</f>
        <v>Fail</v>
      </c>
      <c r="AD309" s="1" t="str">
        <f>IF(AND(Table1[[#This Row],[Spec Type2]]="N/A",Table1[[#This Row],[DUT Adj Read]]="N/A",Table1[[#This Row],[Std Adj Read]]="N/A"),"N/A",IF(Table1[[#This Row],[DUT Adj Read]]="N/A",IF(Table1[[#This Row],[Std Adj Read]]&gt;Table1[[#This Row],[Low Tol]],"Pass","Fail"),IF(Table1[[#This Row],[DUT Adj Read]]&gt;Table1[[#This Row],[Low Tol]],"Pass","Fail")))</f>
        <v>Pass</v>
      </c>
      <c r="AE309" s="1" t="str">
        <f>IF(AND(Table1[[#This Row],[Spec Type2]]="N/A",Table1[[#This Row],[DUT Adj Read]]="N/A",Table1[[#This Row],[Std Adj Read]]="N/A"),"N/A",IF(Table1[[#This Row],[DUT Adj Read]]="N/A",IF(Table1[[#This Row],[Std Adj Read]]&lt;Table1[[#This Row],[High Tol]],"Pass","Fail"),IF(Table1[[#This Row],[DUT Adj Read]]&lt;Table1[[#This Row],[High Tol]],"Pass","Fail")))</f>
        <v>Fail</v>
      </c>
      <c r="AF309" s="1" t="str">
        <f>IF(AND(Table1[[#This Row],[Spec Type2]]="N/A",Table1[[#This Row],[DUT Adj Read]]="N/A",Table1[[#This Row],[Std Adj Read]]="N/A"),"N/A",IF(Table1[[#This Row],[DUT Adj Read]]="N/A",IF(Table1[[#This Row],[Std Adj Read]]&gt;=Table1[[#This Row],[Low Tol]],"Pass","Fail"),IF(Table1[[#This Row],[DUT Adj Read]]&gt;=Table1[[#This Row],[Low Tol]],"Pass","Fail")))</f>
        <v>Pass</v>
      </c>
      <c r="AG309" s="1" t="str">
        <f>IF(AND(Table1[[#This Row],[Spec Type2]]="N/A",Table1[[#This Row],[DUT Adj Read]]="N/A",Table1[[#This Row],[Std Adj Read]]="N/A"),"N/A",IF(Table1[[#This Row],[DUT Adj Read]]="N/A",IF(Table1[[#This Row],[Std Adj Read]]&lt;=Table1[[#This Row],[High Tol]],"Pass","Fail"),IF(Table1[[#This Row],[DUT Adj Read]]&lt;=Table1[[#This Row],[High Tol]],"Pass","Fail")))</f>
        <v>Fail</v>
      </c>
      <c r="AH3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9" s="1" t="b">
        <v>0</v>
      </c>
      <c r="AN309" s="1" t="b">
        <v>0</v>
      </c>
      <c r="AO309" s="1" t="b">
        <v>0</v>
      </c>
    </row>
    <row r="310" spans="1:41" x14ac:dyDescent="0.25">
      <c r="A310" s="10"/>
      <c r="B310" s="10"/>
      <c r="C310" s="10"/>
      <c r="D310" s="10"/>
      <c r="E310" s="10"/>
      <c r="F310" s="10"/>
      <c r="G310" s="10"/>
      <c r="H310" s="10"/>
      <c r="I310" s="1" t="str">
        <f t="shared" si="12"/>
        <v/>
      </c>
      <c r="J310" s="1" t="s">
        <v>35</v>
      </c>
      <c r="K310" s="1" t="str">
        <f t="shared" si="13"/>
        <v/>
      </c>
      <c r="L310" s="1" t="str">
        <f t="shared" si="14"/>
        <v/>
      </c>
      <c r="M310" s="1">
        <f>IF(OR(Table1[[#This Row],[Std Nom]]="",Table1[[#This Row],[Std Read]]=""),0,Table1[[#This Row],[Std Nom]]-Table1[[#This Row],[Std Read]])</f>
        <v>0</v>
      </c>
      <c r="N310" s="1">
        <f>IF(Calculations!$F$5="ACCREDITED 17025 WITH UNCERTAINTIES",$N$10,0)</f>
        <v>0</v>
      </c>
      <c r="O310" s="1" t="str">
        <f>IFERROR(Table1[[#This Row],[Std Nom]]-(_xlfn.XLOOKUP(Table1[[#This Row],[Manufacturer]]&amp;" "&amp;Table1[[#This Row],[Model]],Table13[MFR &amp; MDL],Table13[Tolerance % CW ],"")/100*Table1[[#This Row],[Std Nom]]),"")</f>
        <v/>
      </c>
      <c r="P310" s="1" t="str">
        <f>IFERROR(Table1[[#This Row],[Std Nom]]+(_xlfn.XLOOKUP(Table1[[#This Row],[Manufacturer]]&amp;" "&amp;Table1[[#This Row],[Model]],Table13[MFR &amp; MDL],Table13[Tolerance % CW ],"")/100*Table1[[#This Row],[Std Nom]]),"")</f>
        <v/>
      </c>
      <c r="Q310" s="1" t="e">
        <f>Table1[[#This Row],[High Tol]]-Table1[[#This Row],[Low Tol]]</f>
        <v>#VALUE!</v>
      </c>
      <c r="R310" s="1">
        <f>2*Table1[[#This Row],[Std Error]]</f>
        <v>0</v>
      </c>
      <c r="S310" s="1" t="str">
        <f>IF(Table1[[#This Row],[High Tol]]="","N/A",IFERROR(ABS(Table1[[#This Row],[Tol Span]]/Table1[[#This Row],[Error Span]]),"N/A"))</f>
        <v>N/A</v>
      </c>
      <c r="T310" s="1" t="str">
        <f>IF(OR(Table1[[#This Row],[Low Tol]]="",Table1[[#This Row],[High Tol]]=""),"Needs Analysis",IF(Table1[[#This Row],[Ratio]]&gt;=4,"Not Significant",IF(Table1[[#This Row],[Ratio]]&gt;=2,"Semi-Significant","Significant")))</f>
        <v>Needs Analysis</v>
      </c>
      <c r="W310" s="1">
        <f>IF(Table1[[#This Row],[Cal Type]]&lt;&gt;"ACCREDITED 17025 WITH UNCERTAINTIES",0,"")</f>
        <v>0</v>
      </c>
      <c r="X310" s="1" t="str">
        <f>IF(Table1[[#This Row],[DUT Read]]="","N/A",Table1[[#This Row],[Std Error]]+Table1[[#This Row],[DUT Read]]+Table1[[#This Row],[DUT Ucty]])</f>
        <v>N/A</v>
      </c>
      <c r="Y310" s="1" t="str">
        <f>IF(Table1[[#This Row],[Std Read]]="","N/A",Table1[[#This Row],[Std Read]]+Table1[[#This Row],[Std Ucty]])</f>
        <v>N/A</v>
      </c>
      <c r="Z3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0" s="1" t="str">
        <f>IF(Table1[[#This Row],[Spec Type]]="","N/A",Table1[[#This Row],[Spec Type]])</f>
        <v>±</v>
      </c>
      <c r="AC310" s="1" t="str">
        <f>IF(Table1[[#This Row],[Spec Type2]]="N/A","N/A",IF(AND(Table1[[#This Row],[DUT Adj Read]]&gt;=Table1[[#This Row],[Low Tol]],Table1[[#This Row],[DUT Adj Read]]&lt;=Table1[[#This Row],[High Tol]]),"Pass","Fail"))</f>
        <v>Fail</v>
      </c>
      <c r="AD310" s="1" t="str">
        <f>IF(AND(Table1[[#This Row],[Spec Type2]]="N/A",Table1[[#This Row],[DUT Adj Read]]="N/A",Table1[[#This Row],[Std Adj Read]]="N/A"),"N/A",IF(Table1[[#This Row],[DUT Adj Read]]="N/A",IF(Table1[[#This Row],[Std Adj Read]]&gt;Table1[[#This Row],[Low Tol]],"Pass","Fail"),IF(Table1[[#This Row],[DUT Adj Read]]&gt;Table1[[#This Row],[Low Tol]],"Pass","Fail")))</f>
        <v>Pass</v>
      </c>
      <c r="AE310" s="1" t="str">
        <f>IF(AND(Table1[[#This Row],[Spec Type2]]="N/A",Table1[[#This Row],[DUT Adj Read]]="N/A",Table1[[#This Row],[Std Adj Read]]="N/A"),"N/A",IF(Table1[[#This Row],[DUT Adj Read]]="N/A",IF(Table1[[#This Row],[Std Adj Read]]&lt;Table1[[#This Row],[High Tol]],"Pass","Fail"),IF(Table1[[#This Row],[DUT Adj Read]]&lt;Table1[[#This Row],[High Tol]],"Pass","Fail")))</f>
        <v>Fail</v>
      </c>
      <c r="AF310" s="1" t="str">
        <f>IF(AND(Table1[[#This Row],[Spec Type2]]="N/A",Table1[[#This Row],[DUT Adj Read]]="N/A",Table1[[#This Row],[Std Adj Read]]="N/A"),"N/A",IF(Table1[[#This Row],[DUT Adj Read]]="N/A",IF(Table1[[#This Row],[Std Adj Read]]&gt;=Table1[[#This Row],[Low Tol]],"Pass","Fail"),IF(Table1[[#This Row],[DUT Adj Read]]&gt;=Table1[[#This Row],[Low Tol]],"Pass","Fail")))</f>
        <v>Pass</v>
      </c>
      <c r="AG310" s="1" t="str">
        <f>IF(AND(Table1[[#This Row],[Spec Type2]]="N/A",Table1[[#This Row],[DUT Adj Read]]="N/A",Table1[[#This Row],[Std Adj Read]]="N/A"),"N/A",IF(Table1[[#This Row],[DUT Adj Read]]="N/A",IF(Table1[[#This Row],[Std Adj Read]]&lt;=Table1[[#This Row],[High Tol]],"Pass","Fail"),IF(Table1[[#This Row],[DUT Adj Read]]&lt;=Table1[[#This Row],[High Tol]],"Pass","Fail")))</f>
        <v>Fail</v>
      </c>
      <c r="AH3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0" s="1" t="b">
        <v>0</v>
      </c>
      <c r="AN310" s="1" t="b">
        <v>0</v>
      </c>
      <c r="AO310" s="1" t="b">
        <v>0</v>
      </c>
    </row>
    <row r="311" spans="1:41" x14ac:dyDescent="0.25">
      <c r="A311" s="10"/>
      <c r="B311" s="10"/>
      <c r="C311" s="10"/>
      <c r="D311" s="10"/>
      <c r="E311" s="10"/>
      <c r="F311" s="10"/>
      <c r="G311" s="10"/>
      <c r="H311" s="10"/>
      <c r="I311" s="1" t="str">
        <f t="shared" si="12"/>
        <v/>
      </c>
      <c r="J311" s="1" t="s">
        <v>35</v>
      </c>
      <c r="K311" s="1" t="str">
        <f t="shared" si="13"/>
        <v/>
      </c>
      <c r="L311" s="1" t="str">
        <f t="shared" si="14"/>
        <v/>
      </c>
      <c r="M311" s="1">
        <f>IF(OR(Table1[[#This Row],[Std Nom]]="",Table1[[#This Row],[Std Read]]=""),0,Table1[[#This Row],[Std Nom]]-Table1[[#This Row],[Std Read]])</f>
        <v>0</v>
      </c>
      <c r="N311" s="1">
        <f>IF(Calculations!$F$5="ACCREDITED 17025 WITH UNCERTAINTIES",$N$10,0)</f>
        <v>0</v>
      </c>
      <c r="O311" s="1" t="str">
        <f>IFERROR(Table1[[#This Row],[Std Nom]]-(_xlfn.XLOOKUP(Table1[[#This Row],[Manufacturer]]&amp;" "&amp;Table1[[#This Row],[Model]],Table13[MFR &amp; MDL],Table13[Tolerance % CW ],"")/100*Table1[[#This Row],[Std Nom]]),"")</f>
        <v/>
      </c>
      <c r="P311" s="1" t="str">
        <f>IFERROR(Table1[[#This Row],[Std Nom]]+(_xlfn.XLOOKUP(Table1[[#This Row],[Manufacturer]]&amp;" "&amp;Table1[[#This Row],[Model]],Table13[MFR &amp; MDL],Table13[Tolerance % CW ],"")/100*Table1[[#This Row],[Std Nom]]),"")</f>
        <v/>
      </c>
      <c r="Q311" s="1" t="e">
        <f>Table1[[#This Row],[High Tol]]-Table1[[#This Row],[Low Tol]]</f>
        <v>#VALUE!</v>
      </c>
      <c r="R311" s="1">
        <f>2*Table1[[#This Row],[Std Error]]</f>
        <v>0</v>
      </c>
      <c r="S311" s="1" t="str">
        <f>IF(Table1[[#This Row],[High Tol]]="","N/A",IFERROR(ABS(Table1[[#This Row],[Tol Span]]/Table1[[#This Row],[Error Span]]),"N/A"))</f>
        <v>N/A</v>
      </c>
      <c r="T311" s="1" t="str">
        <f>IF(OR(Table1[[#This Row],[Low Tol]]="",Table1[[#This Row],[High Tol]]=""),"Needs Analysis",IF(Table1[[#This Row],[Ratio]]&gt;=4,"Not Significant",IF(Table1[[#This Row],[Ratio]]&gt;=2,"Semi-Significant","Significant")))</f>
        <v>Needs Analysis</v>
      </c>
      <c r="W311" s="1">
        <f>IF(Table1[[#This Row],[Cal Type]]&lt;&gt;"ACCREDITED 17025 WITH UNCERTAINTIES",0,"")</f>
        <v>0</v>
      </c>
      <c r="X311" s="1" t="str">
        <f>IF(Table1[[#This Row],[DUT Read]]="","N/A",Table1[[#This Row],[Std Error]]+Table1[[#This Row],[DUT Read]]+Table1[[#This Row],[DUT Ucty]])</f>
        <v>N/A</v>
      </c>
      <c r="Y311" s="1" t="str">
        <f>IF(Table1[[#This Row],[Std Read]]="","N/A",Table1[[#This Row],[Std Read]]+Table1[[#This Row],[Std Ucty]])</f>
        <v>N/A</v>
      </c>
      <c r="Z3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1" s="1" t="str">
        <f>IF(Table1[[#This Row],[Spec Type]]="","N/A",Table1[[#This Row],[Spec Type]])</f>
        <v>±</v>
      </c>
      <c r="AC311" s="1" t="str">
        <f>IF(Table1[[#This Row],[Spec Type2]]="N/A","N/A",IF(AND(Table1[[#This Row],[DUT Adj Read]]&gt;=Table1[[#This Row],[Low Tol]],Table1[[#This Row],[DUT Adj Read]]&lt;=Table1[[#This Row],[High Tol]]),"Pass","Fail"))</f>
        <v>Fail</v>
      </c>
      <c r="AD311" s="1" t="str">
        <f>IF(AND(Table1[[#This Row],[Spec Type2]]="N/A",Table1[[#This Row],[DUT Adj Read]]="N/A",Table1[[#This Row],[Std Adj Read]]="N/A"),"N/A",IF(Table1[[#This Row],[DUT Adj Read]]="N/A",IF(Table1[[#This Row],[Std Adj Read]]&gt;Table1[[#This Row],[Low Tol]],"Pass","Fail"),IF(Table1[[#This Row],[DUT Adj Read]]&gt;Table1[[#This Row],[Low Tol]],"Pass","Fail")))</f>
        <v>Pass</v>
      </c>
      <c r="AE311" s="1" t="str">
        <f>IF(AND(Table1[[#This Row],[Spec Type2]]="N/A",Table1[[#This Row],[DUT Adj Read]]="N/A",Table1[[#This Row],[Std Adj Read]]="N/A"),"N/A",IF(Table1[[#This Row],[DUT Adj Read]]="N/A",IF(Table1[[#This Row],[Std Adj Read]]&lt;Table1[[#This Row],[High Tol]],"Pass","Fail"),IF(Table1[[#This Row],[DUT Adj Read]]&lt;Table1[[#This Row],[High Tol]],"Pass","Fail")))</f>
        <v>Fail</v>
      </c>
      <c r="AF311" s="1" t="str">
        <f>IF(AND(Table1[[#This Row],[Spec Type2]]="N/A",Table1[[#This Row],[DUT Adj Read]]="N/A",Table1[[#This Row],[Std Adj Read]]="N/A"),"N/A",IF(Table1[[#This Row],[DUT Adj Read]]="N/A",IF(Table1[[#This Row],[Std Adj Read]]&gt;=Table1[[#This Row],[Low Tol]],"Pass","Fail"),IF(Table1[[#This Row],[DUT Adj Read]]&gt;=Table1[[#This Row],[Low Tol]],"Pass","Fail")))</f>
        <v>Pass</v>
      </c>
      <c r="AG311" s="1" t="str">
        <f>IF(AND(Table1[[#This Row],[Spec Type2]]="N/A",Table1[[#This Row],[DUT Adj Read]]="N/A",Table1[[#This Row],[Std Adj Read]]="N/A"),"N/A",IF(Table1[[#This Row],[DUT Adj Read]]="N/A",IF(Table1[[#This Row],[Std Adj Read]]&lt;=Table1[[#This Row],[High Tol]],"Pass","Fail"),IF(Table1[[#This Row],[DUT Adj Read]]&lt;=Table1[[#This Row],[High Tol]],"Pass","Fail")))</f>
        <v>Fail</v>
      </c>
      <c r="AH3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1" s="1" t="b">
        <v>0</v>
      </c>
      <c r="AN311" s="1" t="b">
        <v>0</v>
      </c>
      <c r="AO311" s="1" t="b">
        <v>0</v>
      </c>
    </row>
    <row r="312" spans="1:41" x14ac:dyDescent="0.25">
      <c r="A312" s="10"/>
      <c r="B312" s="10"/>
      <c r="C312" s="10"/>
      <c r="D312" s="10"/>
      <c r="E312" s="10"/>
      <c r="F312" s="10"/>
      <c r="G312" s="10"/>
      <c r="H312" s="10"/>
      <c r="I312" s="1" t="str">
        <f t="shared" si="12"/>
        <v/>
      </c>
      <c r="J312" s="1" t="s">
        <v>35</v>
      </c>
      <c r="K312" s="1" t="str">
        <f t="shared" si="13"/>
        <v/>
      </c>
      <c r="L312" s="1" t="str">
        <f t="shared" si="14"/>
        <v/>
      </c>
      <c r="M312" s="1">
        <f>IF(OR(Table1[[#This Row],[Std Nom]]="",Table1[[#This Row],[Std Read]]=""),0,Table1[[#This Row],[Std Nom]]-Table1[[#This Row],[Std Read]])</f>
        <v>0</v>
      </c>
      <c r="N312" s="1">
        <f>IF(Calculations!$F$5="ACCREDITED 17025 WITH UNCERTAINTIES",$N$10,0)</f>
        <v>0</v>
      </c>
      <c r="O312" s="1" t="str">
        <f>IFERROR(Table1[[#This Row],[Std Nom]]-(_xlfn.XLOOKUP(Table1[[#This Row],[Manufacturer]]&amp;" "&amp;Table1[[#This Row],[Model]],Table13[MFR &amp; MDL],Table13[Tolerance % CW ],"")/100*Table1[[#This Row],[Std Nom]]),"")</f>
        <v/>
      </c>
      <c r="P312" s="1" t="str">
        <f>IFERROR(Table1[[#This Row],[Std Nom]]+(_xlfn.XLOOKUP(Table1[[#This Row],[Manufacturer]]&amp;" "&amp;Table1[[#This Row],[Model]],Table13[MFR &amp; MDL],Table13[Tolerance % CW ],"")/100*Table1[[#This Row],[Std Nom]]),"")</f>
        <v/>
      </c>
      <c r="Q312" s="1" t="e">
        <f>Table1[[#This Row],[High Tol]]-Table1[[#This Row],[Low Tol]]</f>
        <v>#VALUE!</v>
      </c>
      <c r="R312" s="1">
        <f>2*Table1[[#This Row],[Std Error]]</f>
        <v>0</v>
      </c>
      <c r="S312" s="1" t="str">
        <f>IF(Table1[[#This Row],[High Tol]]="","N/A",IFERROR(ABS(Table1[[#This Row],[Tol Span]]/Table1[[#This Row],[Error Span]]),"N/A"))</f>
        <v>N/A</v>
      </c>
      <c r="T312" s="1" t="str">
        <f>IF(OR(Table1[[#This Row],[Low Tol]]="",Table1[[#This Row],[High Tol]]=""),"Needs Analysis",IF(Table1[[#This Row],[Ratio]]&gt;=4,"Not Significant",IF(Table1[[#This Row],[Ratio]]&gt;=2,"Semi-Significant","Significant")))</f>
        <v>Needs Analysis</v>
      </c>
      <c r="W312" s="1">
        <f>IF(Table1[[#This Row],[Cal Type]]&lt;&gt;"ACCREDITED 17025 WITH UNCERTAINTIES",0,"")</f>
        <v>0</v>
      </c>
      <c r="X312" s="1" t="str">
        <f>IF(Table1[[#This Row],[DUT Read]]="","N/A",Table1[[#This Row],[Std Error]]+Table1[[#This Row],[DUT Read]]+Table1[[#This Row],[DUT Ucty]])</f>
        <v>N/A</v>
      </c>
      <c r="Y312" s="1" t="str">
        <f>IF(Table1[[#This Row],[Std Read]]="","N/A",Table1[[#This Row],[Std Read]]+Table1[[#This Row],[Std Ucty]])</f>
        <v>N/A</v>
      </c>
      <c r="Z3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2" s="1" t="str">
        <f>IF(Table1[[#This Row],[Spec Type]]="","N/A",Table1[[#This Row],[Spec Type]])</f>
        <v>±</v>
      </c>
      <c r="AC312" s="1" t="str">
        <f>IF(Table1[[#This Row],[Spec Type2]]="N/A","N/A",IF(AND(Table1[[#This Row],[DUT Adj Read]]&gt;=Table1[[#This Row],[Low Tol]],Table1[[#This Row],[DUT Adj Read]]&lt;=Table1[[#This Row],[High Tol]]),"Pass","Fail"))</f>
        <v>Fail</v>
      </c>
      <c r="AD312" s="1" t="str">
        <f>IF(AND(Table1[[#This Row],[Spec Type2]]="N/A",Table1[[#This Row],[DUT Adj Read]]="N/A",Table1[[#This Row],[Std Adj Read]]="N/A"),"N/A",IF(Table1[[#This Row],[DUT Adj Read]]="N/A",IF(Table1[[#This Row],[Std Adj Read]]&gt;Table1[[#This Row],[Low Tol]],"Pass","Fail"),IF(Table1[[#This Row],[DUT Adj Read]]&gt;Table1[[#This Row],[Low Tol]],"Pass","Fail")))</f>
        <v>Pass</v>
      </c>
      <c r="AE312" s="1" t="str">
        <f>IF(AND(Table1[[#This Row],[Spec Type2]]="N/A",Table1[[#This Row],[DUT Adj Read]]="N/A",Table1[[#This Row],[Std Adj Read]]="N/A"),"N/A",IF(Table1[[#This Row],[DUT Adj Read]]="N/A",IF(Table1[[#This Row],[Std Adj Read]]&lt;Table1[[#This Row],[High Tol]],"Pass","Fail"),IF(Table1[[#This Row],[DUT Adj Read]]&lt;Table1[[#This Row],[High Tol]],"Pass","Fail")))</f>
        <v>Fail</v>
      </c>
      <c r="AF312" s="1" t="str">
        <f>IF(AND(Table1[[#This Row],[Spec Type2]]="N/A",Table1[[#This Row],[DUT Adj Read]]="N/A",Table1[[#This Row],[Std Adj Read]]="N/A"),"N/A",IF(Table1[[#This Row],[DUT Adj Read]]="N/A",IF(Table1[[#This Row],[Std Adj Read]]&gt;=Table1[[#This Row],[Low Tol]],"Pass","Fail"),IF(Table1[[#This Row],[DUT Adj Read]]&gt;=Table1[[#This Row],[Low Tol]],"Pass","Fail")))</f>
        <v>Pass</v>
      </c>
      <c r="AG312" s="1" t="str">
        <f>IF(AND(Table1[[#This Row],[Spec Type2]]="N/A",Table1[[#This Row],[DUT Adj Read]]="N/A",Table1[[#This Row],[Std Adj Read]]="N/A"),"N/A",IF(Table1[[#This Row],[DUT Adj Read]]="N/A",IF(Table1[[#This Row],[Std Adj Read]]&lt;=Table1[[#This Row],[High Tol]],"Pass","Fail"),IF(Table1[[#This Row],[DUT Adj Read]]&lt;=Table1[[#This Row],[High Tol]],"Pass","Fail")))</f>
        <v>Fail</v>
      </c>
      <c r="AH3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2" s="1" t="b">
        <v>0</v>
      </c>
      <c r="AN312" s="1" t="b">
        <v>0</v>
      </c>
      <c r="AO312" s="1" t="b">
        <v>0</v>
      </c>
    </row>
    <row r="313" spans="1:41" x14ac:dyDescent="0.25">
      <c r="A313" s="10"/>
      <c r="B313" s="10"/>
      <c r="C313" s="10"/>
      <c r="D313" s="10"/>
      <c r="E313" s="10"/>
      <c r="F313" s="10"/>
      <c r="G313" s="10"/>
      <c r="H313" s="10"/>
      <c r="I313" s="1" t="str">
        <f t="shared" si="12"/>
        <v/>
      </c>
      <c r="J313" s="1" t="s">
        <v>35</v>
      </c>
      <c r="K313" s="1" t="str">
        <f t="shared" si="13"/>
        <v/>
      </c>
      <c r="L313" s="1" t="str">
        <f t="shared" si="14"/>
        <v/>
      </c>
      <c r="M313" s="1">
        <f>IF(OR(Table1[[#This Row],[Std Nom]]="",Table1[[#This Row],[Std Read]]=""),0,Table1[[#This Row],[Std Nom]]-Table1[[#This Row],[Std Read]])</f>
        <v>0</v>
      </c>
      <c r="N313" s="1">
        <f>IF(Calculations!$F$5="ACCREDITED 17025 WITH UNCERTAINTIES",$N$10,0)</f>
        <v>0</v>
      </c>
      <c r="O313" s="1" t="str">
        <f>IFERROR(Table1[[#This Row],[Std Nom]]-(_xlfn.XLOOKUP(Table1[[#This Row],[Manufacturer]]&amp;" "&amp;Table1[[#This Row],[Model]],Table13[MFR &amp; MDL],Table13[Tolerance % CW ],"")/100*Table1[[#This Row],[Std Nom]]),"")</f>
        <v/>
      </c>
      <c r="P313" s="1" t="str">
        <f>IFERROR(Table1[[#This Row],[Std Nom]]+(_xlfn.XLOOKUP(Table1[[#This Row],[Manufacturer]]&amp;" "&amp;Table1[[#This Row],[Model]],Table13[MFR &amp; MDL],Table13[Tolerance % CW ],"")/100*Table1[[#This Row],[Std Nom]]),"")</f>
        <v/>
      </c>
      <c r="Q313" s="1" t="e">
        <f>Table1[[#This Row],[High Tol]]-Table1[[#This Row],[Low Tol]]</f>
        <v>#VALUE!</v>
      </c>
      <c r="R313" s="1">
        <f>2*Table1[[#This Row],[Std Error]]</f>
        <v>0</v>
      </c>
      <c r="S313" s="1" t="str">
        <f>IF(Table1[[#This Row],[High Tol]]="","N/A",IFERROR(ABS(Table1[[#This Row],[Tol Span]]/Table1[[#This Row],[Error Span]]),"N/A"))</f>
        <v>N/A</v>
      </c>
      <c r="T313" s="1" t="str">
        <f>IF(OR(Table1[[#This Row],[Low Tol]]="",Table1[[#This Row],[High Tol]]=""),"Needs Analysis",IF(Table1[[#This Row],[Ratio]]&gt;=4,"Not Significant",IF(Table1[[#This Row],[Ratio]]&gt;=2,"Semi-Significant","Significant")))</f>
        <v>Needs Analysis</v>
      </c>
      <c r="W313" s="1">
        <f>IF(Table1[[#This Row],[Cal Type]]&lt;&gt;"ACCREDITED 17025 WITH UNCERTAINTIES",0,"")</f>
        <v>0</v>
      </c>
      <c r="X313" s="1" t="str">
        <f>IF(Table1[[#This Row],[DUT Read]]="","N/A",Table1[[#This Row],[Std Error]]+Table1[[#This Row],[DUT Read]]+Table1[[#This Row],[DUT Ucty]])</f>
        <v>N/A</v>
      </c>
      <c r="Y313" s="1" t="str">
        <f>IF(Table1[[#This Row],[Std Read]]="","N/A",Table1[[#This Row],[Std Read]]+Table1[[#This Row],[Std Ucty]])</f>
        <v>N/A</v>
      </c>
      <c r="Z3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3" s="1" t="str">
        <f>IF(Table1[[#This Row],[Spec Type]]="","N/A",Table1[[#This Row],[Spec Type]])</f>
        <v>±</v>
      </c>
      <c r="AC313" s="1" t="str">
        <f>IF(Table1[[#This Row],[Spec Type2]]="N/A","N/A",IF(AND(Table1[[#This Row],[DUT Adj Read]]&gt;=Table1[[#This Row],[Low Tol]],Table1[[#This Row],[DUT Adj Read]]&lt;=Table1[[#This Row],[High Tol]]),"Pass","Fail"))</f>
        <v>Fail</v>
      </c>
      <c r="AD313" s="1" t="str">
        <f>IF(AND(Table1[[#This Row],[Spec Type2]]="N/A",Table1[[#This Row],[DUT Adj Read]]="N/A",Table1[[#This Row],[Std Adj Read]]="N/A"),"N/A",IF(Table1[[#This Row],[DUT Adj Read]]="N/A",IF(Table1[[#This Row],[Std Adj Read]]&gt;Table1[[#This Row],[Low Tol]],"Pass","Fail"),IF(Table1[[#This Row],[DUT Adj Read]]&gt;Table1[[#This Row],[Low Tol]],"Pass","Fail")))</f>
        <v>Pass</v>
      </c>
      <c r="AE313" s="1" t="str">
        <f>IF(AND(Table1[[#This Row],[Spec Type2]]="N/A",Table1[[#This Row],[DUT Adj Read]]="N/A",Table1[[#This Row],[Std Adj Read]]="N/A"),"N/A",IF(Table1[[#This Row],[DUT Adj Read]]="N/A",IF(Table1[[#This Row],[Std Adj Read]]&lt;Table1[[#This Row],[High Tol]],"Pass","Fail"),IF(Table1[[#This Row],[DUT Adj Read]]&lt;Table1[[#This Row],[High Tol]],"Pass","Fail")))</f>
        <v>Fail</v>
      </c>
      <c r="AF313" s="1" t="str">
        <f>IF(AND(Table1[[#This Row],[Spec Type2]]="N/A",Table1[[#This Row],[DUT Adj Read]]="N/A",Table1[[#This Row],[Std Adj Read]]="N/A"),"N/A",IF(Table1[[#This Row],[DUT Adj Read]]="N/A",IF(Table1[[#This Row],[Std Adj Read]]&gt;=Table1[[#This Row],[Low Tol]],"Pass","Fail"),IF(Table1[[#This Row],[DUT Adj Read]]&gt;=Table1[[#This Row],[Low Tol]],"Pass","Fail")))</f>
        <v>Pass</v>
      </c>
      <c r="AG313" s="1" t="str">
        <f>IF(AND(Table1[[#This Row],[Spec Type2]]="N/A",Table1[[#This Row],[DUT Adj Read]]="N/A",Table1[[#This Row],[Std Adj Read]]="N/A"),"N/A",IF(Table1[[#This Row],[DUT Adj Read]]="N/A",IF(Table1[[#This Row],[Std Adj Read]]&lt;=Table1[[#This Row],[High Tol]],"Pass","Fail"),IF(Table1[[#This Row],[DUT Adj Read]]&lt;=Table1[[#This Row],[High Tol]],"Pass","Fail")))</f>
        <v>Fail</v>
      </c>
      <c r="AH3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3" s="1" t="b">
        <v>0</v>
      </c>
      <c r="AN313" s="1" t="b">
        <v>0</v>
      </c>
      <c r="AO313" s="1" t="b">
        <v>0</v>
      </c>
    </row>
    <row r="314" spans="1:41" x14ac:dyDescent="0.25">
      <c r="A314" s="10"/>
      <c r="B314" s="10"/>
      <c r="C314" s="10"/>
      <c r="D314" s="10"/>
      <c r="E314" s="10"/>
      <c r="F314" s="10"/>
      <c r="G314" s="10"/>
      <c r="H314" s="10"/>
      <c r="I314" s="1" t="str">
        <f t="shared" si="12"/>
        <v/>
      </c>
      <c r="J314" s="1" t="s">
        <v>35</v>
      </c>
      <c r="K314" s="1" t="str">
        <f t="shared" si="13"/>
        <v/>
      </c>
      <c r="L314" s="1" t="str">
        <f t="shared" si="14"/>
        <v/>
      </c>
      <c r="M314" s="1">
        <f>IF(OR(Table1[[#This Row],[Std Nom]]="",Table1[[#This Row],[Std Read]]=""),0,Table1[[#This Row],[Std Nom]]-Table1[[#This Row],[Std Read]])</f>
        <v>0</v>
      </c>
      <c r="N314" s="1">
        <f>IF(Calculations!$F$5="ACCREDITED 17025 WITH UNCERTAINTIES",$N$10,0)</f>
        <v>0</v>
      </c>
      <c r="O314" s="1" t="str">
        <f>IFERROR(Table1[[#This Row],[Std Nom]]-(_xlfn.XLOOKUP(Table1[[#This Row],[Manufacturer]]&amp;" "&amp;Table1[[#This Row],[Model]],Table13[MFR &amp; MDL],Table13[Tolerance % CW ],"")/100*Table1[[#This Row],[Std Nom]]),"")</f>
        <v/>
      </c>
      <c r="P314" s="1" t="str">
        <f>IFERROR(Table1[[#This Row],[Std Nom]]+(_xlfn.XLOOKUP(Table1[[#This Row],[Manufacturer]]&amp;" "&amp;Table1[[#This Row],[Model]],Table13[MFR &amp; MDL],Table13[Tolerance % CW ],"")/100*Table1[[#This Row],[Std Nom]]),"")</f>
        <v/>
      </c>
      <c r="Q314" s="1" t="e">
        <f>Table1[[#This Row],[High Tol]]-Table1[[#This Row],[Low Tol]]</f>
        <v>#VALUE!</v>
      </c>
      <c r="R314" s="1">
        <f>2*Table1[[#This Row],[Std Error]]</f>
        <v>0</v>
      </c>
      <c r="S314" s="1" t="str">
        <f>IF(Table1[[#This Row],[High Tol]]="","N/A",IFERROR(ABS(Table1[[#This Row],[Tol Span]]/Table1[[#This Row],[Error Span]]),"N/A"))</f>
        <v>N/A</v>
      </c>
      <c r="T314" s="1" t="str">
        <f>IF(OR(Table1[[#This Row],[Low Tol]]="",Table1[[#This Row],[High Tol]]=""),"Needs Analysis",IF(Table1[[#This Row],[Ratio]]&gt;=4,"Not Significant",IF(Table1[[#This Row],[Ratio]]&gt;=2,"Semi-Significant","Significant")))</f>
        <v>Needs Analysis</v>
      </c>
      <c r="W314" s="1">
        <f>IF(Table1[[#This Row],[Cal Type]]&lt;&gt;"ACCREDITED 17025 WITH UNCERTAINTIES",0,"")</f>
        <v>0</v>
      </c>
      <c r="X314" s="1" t="str">
        <f>IF(Table1[[#This Row],[DUT Read]]="","N/A",Table1[[#This Row],[Std Error]]+Table1[[#This Row],[DUT Read]]+Table1[[#This Row],[DUT Ucty]])</f>
        <v>N/A</v>
      </c>
      <c r="Y314" s="1" t="str">
        <f>IF(Table1[[#This Row],[Std Read]]="","N/A",Table1[[#This Row],[Std Read]]+Table1[[#This Row],[Std Ucty]])</f>
        <v>N/A</v>
      </c>
      <c r="Z3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4" s="1" t="str">
        <f>IF(Table1[[#This Row],[Spec Type]]="","N/A",Table1[[#This Row],[Spec Type]])</f>
        <v>±</v>
      </c>
      <c r="AC314" s="1" t="str">
        <f>IF(Table1[[#This Row],[Spec Type2]]="N/A","N/A",IF(AND(Table1[[#This Row],[DUT Adj Read]]&gt;=Table1[[#This Row],[Low Tol]],Table1[[#This Row],[DUT Adj Read]]&lt;=Table1[[#This Row],[High Tol]]),"Pass","Fail"))</f>
        <v>Fail</v>
      </c>
      <c r="AD314" s="1" t="str">
        <f>IF(AND(Table1[[#This Row],[Spec Type2]]="N/A",Table1[[#This Row],[DUT Adj Read]]="N/A",Table1[[#This Row],[Std Adj Read]]="N/A"),"N/A",IF(Table1[[#This Row],[DUT Adj Read]]="N/A",IF(Table1[[#This Row],[Std Adj Read]]&gt;Table1[[#This Row],[Low Tol]],"Pass","Fail"),IF(Table1[[#This Row],[DUT Adj Read]]&gt;Table1[[#This Row],[Low Tol]],"Pass","Fail")))</f>
        <v>Pass</v>
      </c>
      <c r="AE314" s="1" t="str">
        <f>IF(AND(Table1[[#This Row],[Spec Type2]]="N/A",Table1[[#This Row],[DUT Adj Read]]="N/A",Table1[[#This Row],[Std Adj Read]]="N/A"),"N/A",IF(Table1[[#This Row],[DUT Adj Read]]="N/A",IF(Table1[[#This Row],[Std Adj Read]]&lt;Table1[[#This Row],[High Tol]],"Pass","Fail"),IF(Table1[[#This Row],[DUT Adj Read]]&lt;Table1[[#This Row],[High Tol]],"Pass","Fail")))</f>
        <v>Fail</v>
      </c>
      <c r="AF314" s="1" t="str">
        <f>IF(AND(Table1[[#This Row],[Spec Type2]]="N/A",Table1[[#This Row],[DUT Adj Read]]="N/A",Table1[[#This Row],[Std Adj Read]]="N/A"),"N/A",IF(Table1[[#This Row],[DUT Adj Read]]="N/A",IF(Table1[[#This Row],[Std Adj Read]]&gt;=Table1[[#This Row],[Low Tol]],"Pass","Fail"),IF(Table1[[#This Row],[DUT Adj Read]]&gt;=Table1[[#This Row],[Low Tol]],"Pass","Fail")))</f>
        <v>Pass</v>
      </c>
      <c r="AG314" s="1" t="str">
        <f>IF(AND(Table1[[#This Row],[Spec Type2]]="N/A",Table1[[#This Row],[DUT Adj Read]]="N/A",Table1[[#This Row],[Std Adj Read]]="N/A"),"N/A",IF(Table1[[#This Row],[DUT Adj Read]]="N/A",IF(Table1[[#This Row],[Std Adj Read]]&lt;=Table1[[#This Row],[High Tol]],"Pass","Fail"),IF(Table1[[#This Row],[DUT Adj Read]]&lt;=Table1[[#This Row],[High Tol]],"Pass","Fail")))</f>
        <v>Fail</v>
      </c>
      <c r="AH3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4" s="1" t="b">
        <v>0</v>
      </c>
      <c r="AN314" s="1" t="b">
        <v>0</v>
      </c>
      <c r="AO314" s="1" t="b">
        <v>0</v>
      </c>
    </row>
    <row r="315" spans="1:41" x14ac:dyDescent="0.25">
      <c r="A315" s="10"/>
      <c r="B315" s="10"/>
      <c r="C315" s="10"/>
      <c r="D315" s="10"/>
      <c r="E315" s="10"/>
      <c r="F315" s="10"/>
      <c r="G315" s="10"/>
      <c r="H315" s="10"/>
      <c r="I315" s="1" t="str">
        <f t="shared" si="12"/>
        <v/>
      </c>
      <c r="J315" s="1" t="s">
        <v>35</v>
      </c>
      <c r="K315" s="1" t="str">
        <f t="shared" si="13"/>
        <v/>
      </c>
      <c r="L315" s="1" t="str">
        <f t="shared" si="14"/>
        <v/>
      </c>
      <c r="M315" s="1">
        <f>IF(OR(Table1[[#This Row],[Std Nom]]="",Table1[[#This Row],[Std Read]]=""),0,Table1[[#This Row],[Std Nom]]-Table1[[#This Row],[Std Read]])</f>
        <v>0</v>
      </c>
      <c r="N315" s="1">
        <f>IF(Calculations!$F$5="ACCREDITED 17025 WITH UNCERTAINTIES",$N$10,0)</f>
        <v>0</v>
      </c>
      <c r="O315" s="1" t="str">
        <f>IFERROR(Table1[[#This Row],[Std Nom]]-(_xlfn.XLOOKUP(Table1[[#This Row],[Manufacturer]]&amp;" "&amp;Table1[[#This Row],[Model]],Table13[MFR &amp; MDL],Table13[Tolerance % CW ],"")/100*Table1[[#This Row],[Std Nom]]),"")</f>
        <v/>
      </c>
      <c r="P315" s="1" t="str">
        <f>IFERROR(Table1[[#This Row],[Std Nom]]+(_xlfn.XLOOKUP(Table1[[#This Row],[Manufacturer]]&amp;" "&amp;Table1[[#This Row],[Model]],Table13[MFR &amp; MDL],Table13[Tolerance % CW ],"")/100*Table1[[#This Row],[Std Nom]]),"")</f>
        <v/>
      </c>
      <c r="Q315" s="1" t="e">
        <f>Table1[[#This Row],[High Tol]]-Table1[[#This Row],[Low Tol]]</f>
        <v>#VALUE!</v>
      </c>
      <c r="R315" s="1">
        <f>2*Table1[[#This Row],[Std Error]]</f>
        <v>0</v>
      </c>
      <c r="S315" s="1" t="str">
        <f>IF(Table1[[#This Row],[High Tol]]="","N/A",IFERROR(ABS(Table1[[#This Row],[Tol Span]]/Table1[[#This Row],[Error Span]]),"N/A"))</f>
        <v>N/A</v>
      </c>
      <c r="T315" s="1" t="str">
        <f>IF(OR(Table1[[#This Row],[Low Tol]]="",Table1[[#This Row],[High Tol]]=""),"Needs Analysis",IF(Table1[[#This Row],[Ratio]]&gt;=4,"Not Significant",IF(Table1[[#This Row],[Ratio]]&gt;=2,"Semi-Significant","Significant")))</f>
        <v>Needs Analysis</v>
      </c>
      <c r="W315" s="1">
        <f>IF(Table1[[#This Row],[Cal Type]]&lt;&gt;"ACCREDITED 17025 WITH UNCERTAINTIES",0,"")</f>
        <v>0</v>
      </c>
      <c r="X315" s="1" t="str">
        <f>IF(Table1[[#This Row],[DUT Read]]="","N/A",Table1[[#This Row],[Std Error]]+Table1[[#This Row],[DUT Read]]+Table1[[#This Row],[DUT Ucty]])</f>
        <v>N/A</v>
      </c>
      <c r="Y315" s="1" t="str">
        <f>IF(Table1[[#This Row],[Std Read]]="","N/A",Table1[[#This Row],[Std Read]]+Table1[[#This Row],[Std Ucty]])</f>
        <v>N/A</v>
      </c>
      <c r="Z3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5" s="1" t="str">
        <f>IF(Table1[[#This Row],[Spec Type]]="","N/A",Table1[[#This Row],[Spec Type]])</f>
        <v>±</v>
      </c>
      <c r="AC315" s="1" t="str">
        <f>IF(Table1[[#This Row],[Spec Type2]]="N/A","N/A",IF(AND(Table1[[#This Row],[DUT Adj Read]]&gt;=Table1[[#This Row],[Low Tol]],Table1[[#This Row],[DUT Adj Read]]&lt;=Table1[[#This Row],[High Tol]]),"Pass","Fail"))</f>
        <v>Fail</v>
      </c>
      <c r="AD315" s="1" t="str">
        <f>IF(AND(Table1[[#This Row],[Spec Type2]]="N/A",Table1[[#This Row],[DUT Adj Read]]="N/A",Table1[[#This Row],[Std Adj Read]]="N/A"),"N/A",IF(Table1[[#This Row],[DUT Adj Read]]="N/A",IF(Table1[[#This Row],[Std Adj Read]]&gt;Table1[[#This Row],[Low Tol]],"Pass","Fail"),IF(Table1[[#This Row],[DUT Adj Read]]&gt;Table1[[#This Row],[Low Tol]],"Pass","Fail")))</f>
        <v>Pass</v>
      </c>
      <c r="AE315" s="1" t="str">
        <f>IF(AND(Table1[[#This Row],[Spec Type2]]="N/A",Table1[[#This Row],[DUT Adj Read]]="N/A",Table1[[#This Row],[Std Adj Read]]="N/A"),"N/A",IF(Table1[[#This Row],[DUT Adj Read]]="N/A",IF(Table1[[#This Row],[Std Adj Read]]&lt;Table1[[#This Row],[High Tol]],"Pass","Fail"),IF(Table1[[#This Row],[DUT Adj Read]]&lt;Table1[[#This Row],[High Tol]],"Pass","Fail")))</f>
        <v>Fail</v>
      </c>
      <c r="AF315" s="1" t="str">
        <f>IF(AND(Table1[[#This Row],[Spec Type2]]="N/A",Table1[[#This Row],[DUT Adj Read]]="N/A",Table1[[#This Row],[Std Adj Read]]="N/A"),"N/A",IF(Table1[[#This Row],[DUT Adj Read]]="N/A",IF(Table1[[#This Row],[Std Adj Read]]&gt;=Table1[[#This Row],[Low Tol]],"Pass","Fail"),IF(Table1[[#This Row],[DUT Adj Read]]&gt;=Table1[[#This Row],[Low Tol]],"Pass","Fail")))</f>
        <v>Pass</v>
      </c>
      <c r="AG315" s="1" t="str">
        <f>IF(AND(Table1[[#This Row],[Spec Type2]]="N/A",Table1[[#This Row],[DUT Adj Read]]="N/A",Table1[[#This Row],[Std Adj Read]]="N/A"),"N/A",IF(Table1[[#This Row],[DUT Adj Read]]="N/A",IF(Table1[[#This Row],[Std Adj Read]]&lt;=Table1[[#This Row],[High Tol]],"Pass","Fail"),IF(Table1[[#This Row],[DUT Adj Read]]&lt;=Table1[[#This Row],[High Tol]],"Pass","Fail")))</f>
        <v>Fail</v>
      </c>
      <c r="AH3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5" s="1" t="b">
        <v>0</v>
      </c>
      <c r="AN315" s="1" t="b">
        <v>0</v>
      </c>
      <c r="AO315" s="1" t="b">
        <v>0</v>
      </c>
    </row>
    <row r="316" spans="1:41" x14ac:dyDescent="0.25">
      <c r="A316" s="10"/>
      <c r="B316" s="10"/>
      <c r="C316" s="10"/>
      <c r="D316" s="10"/>
      <c r="E316" s="10"/>
      <c r="F316" s="10"/>
      <c r="G316" s="10"/>
      <c r="H316" s="10"/>
      <c r="I316" s="1" t="str">
        <f t="shared" si="12"/>
        <v/>
      </c>
      <c r="J316" s="1" t="s">
        <v>35</v>
      </c>
      <c r="K316" s="1" t="str">
        <f t="shared" si="13"/>
        <v/>
      </c>
      <c r="L316" s="1" t="str">
        <f t="shared" si="14"/>
        <v/>
      </c>
      <c r="M316" s="1">
        <f>IF(OR(Table1[[#This Row],[Std Nom]]="",Table1[[#This Row],[Std Read]]=""),0,Table1[[#This Row],[Std Nom]]-Table1[[#This Row],[Std Read]])</f>
        <v>0</v>
      </c>
      <c r="N316" s="1">
        <f>IF(Calculations!$F$5="ACCREDITED 17025 WITH UNCERTAINTIES",$N$10,0)</f>
        <v>0</v>
      </c>
      <c r="O316" s="1" t="str">
        <f>IFERROR(Table1[[#This Row],[Std Nom]]-(_xlfn.XLOOKUP(Table1[[#This Row],[Manufacturer]]&amp;" "&amp;Table1[[#This Row],[Model]],Table13[MFR &amp; MDL],Table13[Tolerance % CW ],"")/100*Table1[[#This Row],[Std Nom]]),"")</f>
        <v/>
      </c>
      <c r="P316" s="1" t="str">
        <f>IFERROR(Table1[[#This Row],[Std Nom]]+(_xlfn.XLOOKUP(Table1[[#This Row],[Manufacturer]]&amp;" "&amp;Table1[[#This Row],[Model]],Table13[MFR &amp; MDL],Table13[Tolerance % CW ],"")/100*Table1[[#This Row],[Std Nom]]),"")</f>
        <v/>
      </c>
      <c r="Q316" s="1" t="e">
        <f>Table1[[#This Row],[High Tol]]-Table1[[#This Row],[Low Tol]]</f>
        <v>#VALUE!</v>
      </c>
      <c r="R316" s="1">
        <f>2*Table1[[#This Row],[Std Error]]</f>
        <v>0</v>
      </c>
      <c r="S316" s="1" t="str">
        <f>IF(Table1[[#This Row],[High Tol]]="","N/A",IFERROR(ABS(Table1[[#This Row],[Tol Span]]/Table1[[#This Row],[Error Span]]),"N/A"))</f>
        <v>N/A</v>
      </c>
      <c r="T316" s="1" t="str">
        <f>IF(OR(Table1[[#This Row],[Low Tol]]="",Table1[[#This Row],[High Tol]]=""),"Needs Analysis",IF(Table1[[#This Row],[Ratio]]&gt;=4,"Not Significant",IF(Table1[[#This Row],[Ratio]]&gt;=2,"Semi-Significant","Significant")))</f>
        <v>Needs Analysis</v>
      </c>
      <c r="W316" s="1">
        <f>IF(Table1[[#This Row],[Cal Type]]&lt;&gt;"ACCREDITED 17025 WITH UNCERTAINTIES",0,"")</f>
        <v>0</v>
      </c>
      <c r="X316" s="1" t="str">
        <f>IF(Table1[[#This Row],[DUT Read]]="","N/A",Table1[[#This Row],[Std Error]]+Table1[[#This Row],[DUT Read]]+Table1[[#This Row],[DUT Ucty]])</f>
        <v>N/A</v>
      </c>
      <c r="Y316" s="1" t="str">
        <f>IF(Table1[[#This Row],[Std Read]]="","N/A",Table1[[#This Row],[Std Read]]+Table1[[#This Row],[Std Ucty]])</f>
        <v>N/A</v>
      </c>
      <c r="Z3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6" s="1" t="str">
        <f>IF(Table1[[#This Row],[Spec Type]]="","N/A",Table1[[#This Row],[Spec Type]])</f>
        <v>±</v>
      </c>
      <c r="AC316" s="1" t="str">
        <f>IF(Table1[[#This Row],[Spec Type2]]="N/A","N/A",IF(AND(Table1[[#This Row],[DUT Adj Read]]&gt;=Table1[[#This Row],[Low Tol]],Table1[[#This Row],[DUT Adj Read]]&lt;=Table1[[#This Row],[High Tol]]),"Pass","Fail"))</f>
        <v>Fail</v>
      </c>
      <c r="AD316" s="1" t="str">
        <f>IF(AND(Table1[[#This Row],[Spec Type2]]="N/A",Table1[[#This Row],[DUT Adj Read]]="N/A",Table1[[#This Row],[Std Adj Read]]="N/A"),"N/A",IF(Table1[[#This Row],[DUT Adj Read]]="N/A",IF(Table1[[#This Row],[Std Adj Read]]&gt;Table1[[#This Row],[Low Tol]],"Pass","Fail"),IF(Table1[[#This Row],[DUT Adj Read]]&gt;Table1[[#This Row],[Low Tol]],"Pass","Fail")))</f>
        <v>Pass</v>
      </c>
      <c r="AE316" s="1" t="str">
        <f>IF(AND(Table1[[#This Row],[Spec Type2]]="N/A",Table1[[#This Row],[DUT Adj Read]]="N/A",Table1[[#This Row],[Std Adj Read]]="N/A"),"N/A",IF(Table1[[#This Row],[DUT Adj Read]]="N/A",IF(Table1[[#This Row],[Std Adj Read]]&lt;Table1[[#This Row],[High Tol]],"Pass","Fail"),IF(Table1[[#This Row],[DUT Adj Read]]&lt;Table1[[#This Row],[High Tol]],"Pass","Fail")))</f>
        <v>Fail</v>
      </c>
      <c r="AF316" s="1" t="str">
        <f>IF(AND(Table1[[#This Row],[Spec Type2]]="N/A",Table1[[#This Row],[DUT Adj Read]]="N/A",Table1[[#This Row],[Std Adj Read]]="N/A"),"N/A",IF(Table1[[#This Row],[DUT Adj Read]]="N/A",IF(Table1[[#This Row],[Std Adj Read]]&gt;=Table1[[#This Row],[Low Tol]],"Pass","Fail"),IF(Table1[[#This Row],[DUT Adj Read]]&gt;=Table1[[#This Row],[Low Tol]],"Pass","Fail")))</f>
        <v>Pass</v>
      </c>
      <c r="AG316" s="1" t="str">
        <f>IF(AND(Table1[[#This Row],[Spec Type2]]="N/A",Table1[[#This Row],[DUT Adj Read]]="N/A",Table1[[#This Row],[Std Adj Read]]="N/A"),"N/A",IF(Table1[[#This Row],[DUT Adj Read]]="N/A",IF(Table1[[#This Row],[Std Adj Read]]&lt;=Table1[[#This Row],[High Tol]],"Pass","Fail"),IF(Table1[[#This Row],[DUT Adj Read]]&lt;=Table1[[#This Row],[High Tol]],"Pass","Fail")))</f>
        <v>Fail</v>
      </c>
      <c r="AH3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6" s="1" t="b">
        <v>0</v>
      </c>
      <c r="AN316" s="1" t="b">
        <v>0</v>
      </c>
      <c r="AO316" s="1" t="b">
        <v>0</v>
      </c>
    </row>
    <row r="317" spans="1:41" x14ac:dyDescent="0.25">
      <c r="A317" s="10"/>
      <c r="B317" s="10"/>
      <c r="C317" s="10"/>
      <c r="D317" s="10"/>
      <c r="E317" s="10"/>
      <c r="F317" s="10"/>
      <c r="G317" s="10"/>
      <c r="H317" s="10"/>
      <c r="I317" s="1" t="str">
        <f t="shared" si="12"/>
        <v/>
      </c>
      <c r="J317" s="1" t="s">
        <v>35</v>
      </c>
      <c r="K317" s="1" t="str">
        <f t="shared" si="13"/>
        <v/>
      </c>
      <c r="L317" s="1" t="str">
        <f t="shared" si="14"/>
        <v/>
      </c>
      <c r="M317" s="1">
        <f>IF(OR(Table1[[#This Row],[Std Nom]]="",Table1[[#This Row],[Std Read]]=""),0,Table1[[#This Row],[Std Nom]]-Table1[[#This Row],[Std Read]])</f>
        <v>0</v>
      </c>
      <c r="N317" s="1">
        <f>IF(Calculations!$F$5="ACCREDITED 17025 WITH UNCERTAINTIES",$N$10,0)</f>
        <v>0</v>
      </c>
      <c r="O317" s="1" t="str">
        <f>IFERROR(Table1[[#This Row],[Std Nom]]-(_xlfn.XLOOKUP(Table1[[#This Row],[Manufacturer]]&amp;" "&amp;Table1[[#This Row],[Model]],Table13[MFR &amp; MDL],Table13[Tolerance % CW ],"")/100*Table1[[#This Row],[Std Nom]]),"")</f>
        <v/>
      </c>
      <c r="P317" s="1" t="str">
        <f>IFERROR(Table1[[#This Row],[Std Nom]]+(_xlfn.XLOOKUP(Table1[[#This Row],[Manufacturer]]&amp;" "&amp;Table1[[#This Row],[Model]],Table13[MFR &amp; MDL],Table13[Tolerance % CW ],"")/100*Table1[[#This Row],[Std Nom]]),"")</f>
        <v/>
      </c>
      <c r="Q317" s="1" t="e">
        <f>Table1[[#This Row],[High Tol]]-Table1[[#This Row],[Low Tol]]</f>
        <v>#VALUE!</v>
      </c>
      <c r="R317" s="1">
        <f>2*Table1[[#This Row],[Std Error]]</f>
        <v>0</v>
      </c>
      <c r="S317" s="1" t="str">
        <f>IF(Table1[[#This Row],[High Tol]]="","N/A",IFERROR(ABS(Table1[[#This Row],[Tol Span]]/Table1[[#This Row],[Error Span]]),"N/A"))</f>
        <v>N/A</v>
      </c>
      <c r="T317" s="1" t="str">
        <f>IF(OR(Table1[[#This Row],[Low Tol]]="",Table1[[#This Row],[High Tol]]=""),"Needs Analysis",IF(Table1[[#This Row],[Ratio]]&gt;=4,"Not Significant",IF(Table1[[#This Row],[Ratio]]&gt;=2,"Semi-Significant","Significant")))</f>
        <v>Needs Analysis</v>
      </c>
      <c r="W317" s="1">
        <f>IF(Table1[[#This Row],[Cal Type]]&lt;&gt;"ACCREDITED 17025 WITH UNCERTAINTIES",0,"")</f>
        <v>0</v>
      </c>
      <c r="X317" s="1" t="str">
        <f>IF(Table1[[#This Row],[DUT Read]]="","N/A",Table1[[#This Row],[Std Error]]+Table1[[#This Row],[DUT Read]]+Table1[[#This Row],[DUT Ucty]])</f>
        <v>N/A</v>
      </c>
      <c r="Y317" s="1" t="str">
        <f>IF(Table1[[#This Row],[Std Read]]="","N/A",Table1[[#This Row],[Std Read]]+Table1[[#This Row],[Std Ucty]])</f>
        <v>N/A</v>
      </c>
      <c r="Z3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7" s="1" t="str">
        <f>IF(Table1[[#This Row],[Spec Type]]="","N/A",Table1[[#This Row],[Spec Type]])</f>
        <v>±</v>
      </c>
      <c r="AC317" s="1" t="str">
        <f>IF(Table1[[#This Row],[Spec Type2]]="N/A","N/A",IF(AND(Table1[[#This Row],[DUT Adj Read]]&gt;=Table1[[#This Row],[Low Tol]],Table1[[#This Row],[DUT Adj Read]]&lt;=Table1[[#This Row],[High Tol]]),"Pass","Fail"))</f>
        <v>Fail</v>
      </c>
      <c r="AD317" s="1" t="str">
        <f>IF(AND(Table1[[#This Row],[Spec Type2]]="N/A",Table1[[#This Row],[DUT Adj Read]]="N/A",Table1[[#This Row],[Std Adj Read]]="N/A"),"N/A",IF(Table1[[#This Row],[DUT Adj Read]]="N/A",IF(Table1[[#This Row],[Std Adj Read]]&gt;Table1[[#This Row],[Low Tol]],"Pass","Fail"),IF(Table1[[#This Row],[DUT Adj Read]]&gt;Table1[[#This Row],[Low Tol]],"Pass","Fail")))</f>
        <v>Pass</v>
      </c>
      <c r="AE317" s="1" t="str">
        <f>IF(AND(Table1[[#This Row],[Spec Type2]]="N/A",Table1[[#This Row],[DUT Adj Read]]="N/A",Table1[[#This Row],[Std Adj Read]]="N/A"),"N/A",IF(Table1[[#This Row],[DUT Adj Read]]="N/A",IF(Table1[[#This Row],[Std Adj Read]]&lt;Table1[[#This Row],[High Tol]],"Pass","Fail"),IF(Table1[[#This Row],[DUT Adj Read]]&lt;Table1[[#This Row],[High Tol]],"Pass","Fail")))</f>
        <v>Fail</v>
      </c>
      <c r="AF317" s="1" t="str">
        <f>IF(AND(Table1[[#This Row],[Spec Type2]]="N/A",Table1[[#This Row],[DUT Adj Read]]="N/A",Table1[[#This Row],[Std Adj Read]]="N/A"),"N/A",IF(Table1[[#This Row],[DUT Adj Read]]="N/A",IF(Table1[[#This Row],[Std Adj Read]]&gt;=Table1[[#This Row],[Low Tol]],"Pass","Fail"),IF(Table1[[#This Row],[DUT Adj Read]]&gt;=Table1[[#This Row],[Low Tol]],"Pass","Fail")))</f>
        <v>Pass</v>
      </c>
      <c r="AG317" s="1" t="str">
        <f>IF(AND(Table1[[#This Row],[Spec Type2]]="N/A",Table1[[#This Row],[DUT Adj Read]]="N/A",Table1[[#This Row],[Std Adj Read]]="N/A"),"N/A",IF(Table1[[#This Row],[DUT Adj Read]]="N/A",IF(Table1[[#This Row],[Std Adj Read]]&lt;=Table1[[#This Row],[High Tol]],"Pass","Fail"),IF(Table1[[#This Row],[DUT Adj Read]]&lt;=Table1[[#This Row],[High Tol]],"Pass","Fail")))</f>
        <v>Fail</v>
      </c>
      <c r="AH3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7" s="1" t="b">
        <v>0</v>
      </c>
      <c r="AN317" s="1" t="b">
        <v>0</v>
      </c>
      <c r="AO317" s="1" t="b">
        <v>0</v>
      </c>
    </row>
    <row r="318" spans="1:41" x14ac:dyDescent="0.25">
      <c r="A318" s="10"/>
      <c r="B318" s="10"/>
      <c r="C318" s="10"/>
      <c r="D318" s="10"/>
      <c r="E318" s="10"/>
      <c r="F318" s="10"/>
      <c r="G318" s="10"/>
      <c r="H318" s="10"/>
      <c r="I318" s="1" t="str">
        <f t="shared" si="12"/>
        <v/>
      </c>
      <c r="J318" s="1" t="s">
        <v>35</v>
      </c>
      <c r="K318" s="1" t="str">
        <f t="shared" si="13"/>
        <v/>
      </c>
      <c r="L318" s="1" t="str">
        <f t="shared" si="14"/>
        <v/>
      </c>
      <c r="M318" s="1">
        <f>IF(OR(Table1[[#This Row],[Std Nom]]="",Table1[[#This Row],[Std Read]]=""),0,Table1[[#This Row],[Std Nom]]-Table1[[#This Row],[Std Read]])</f>
        <v>0</v>
      </c>
      <c r="N318" s="1">
        <f>IF(Calculations!$F$5="ACCREDITED 17025 WITH UNCERTAINTIES",$N$10,0)</f>
        <v>0</v>
      </c>
      <c r="O318" s="1" t="str">
        <f>IFERROR(Table1[[#This Row],[Std Nom]]-(_xlfn.XLOOKUP(Table1[[#This Row],[Manufacturer]]&amp;" "&amp;Table1[[#This Row],[Model]],Table13[MFR &amp; MDL],Table13[Tolerance % CW ],"")/100*Table1[[#This Row],[Std Nom]]),"")</f>
        <v/>
      </c>
      <c r="P318" s="1" t="str">
        <f>IFERROR(Table1[[#This Row],[Std Nom]]+(_xlfn.XLOOKUP(Table1[[#This Row],[Manufacturer]]&amp;" "&amp;Table1[[#This Row],[Model]],Table13[MFR &amp; MDL],Table13[Tolerance % CW ],"")/100*Table1[[#This Row],[Std Nom]]),"")</f>
        <v/>
      </c>
      <c r="Q318" s="1" t="e">
        <f>Table1[[#This Row],[High Tol]]-Table1[[#This Row],[Low Tol]]</f>
        <v>#VALUE!</v>
      </c>
      <c r="R318" s="1">
        <f>2*Table1[[#This Row],[Std Error]]</f>
        <v>0</v>
      </c>
      <c r="S318" s="1" t="str">
        <f>IF(Table1[[#This Row],[High Tol]]="","N/A",IFERROR(ABS(Table1[[#This Row],[Tol Span]]/Table1[[#This Row],[Error Span]]),"N/A"))</f>
        <v>N/A</v>
      </c>
      <c r="T318" s="1" t="str">
        <f>IF(OR(Table1[[#This Row],[Low Tol]]="",Table1[[#This Row],[High Tol]]=""),"Needs Analysis",IF(Table1[[#This Row],[Ratio]]&gt;=4,"Not Significant",IF(Table1[[#This Row],[Ratio]]&gt;=2,"Semi-Significant","Significant")))</f>
        <v>Needs Analysis</v>
      </c>
      <c r="W318" s="1">
        <f>IF(Table1[[#This Row],[Cal Type]]&lt;&gt;"ACCREDITED 17025 WITH UNCERTAINTIES",0,"")</f>
        <v>0</v>
      </c>
      <c r="X318" s="1" t="str">
        <f>IF(Table1[[#This Row],[DUT Read]]="","N/A",Table1[[#This Row],[Std Error]]+Table1[[#This Row],[DUT Read]]+Table1[[#This Row],[DUT Ucty]])</f>
        <v>N/A</v>
      </c>
      <c r="Y318" s="1" t="str">
        <f>IF(Table1[[#This Row],[Std Read]]="","N/A",Table1[[#This Row],[Std Read]]+Table1[[#This Row],[Std Ucty]])</f>
        <v>N/A</v>
      </c>
      <c r="Z3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8" s="1" t="str">
        <f>IF(Table1[[#This Row],[Spec Type]]="","N/A",Table1[[#This Row],[Spec Type]])</f>
        <v>±</v>
      </c>
      <c r="AC318" s="1" t="str">
        <f>IF(Table1[[#This Row],[Spec Type2]]="N/A","N/A",IF(AND(Table1[[#This Row],[DUT Adj Read]]&gt;=Table1[[#This Row],[Low Tol]],Table1[[#This Row],[DUT Adj Read]]&lt;=Table1[[#This Row],[High Tol]]),"Pass","Fail"))</f>
        <v>Fail</v>
      </c>
      <c r="AD318" s="1" t="str">
        <f>IF(AND(Table1[[#This Row],[Spec Type2]]="N/A",Table1[[#This Row],[DUT Adj Read]]="N/A",Table1[[#This Row],[Std Adj Read]]="N/A"),"N/A",IF(Table1[[#This Row],[DUT Adj Read]]="N/A",IF(Table1[[#This Row],[Std Adj Read]]&gt;Table1[[#This Row],[Low Tol]],"Pass","Fail"),IF(Table1[[#This Row],[DUT Adj Read]]&gt;Table1[[#This Row],[Low Tol]],"Pass","Fail")))</f>
        <v>Pass</v>
      </c>
      <c r="AE318" s="1" t="str">
        <f>IF(AND(Table1[[#This Row],[Spec Type2]]="N/A",Table1[[#This Row],[DUT Adj Read]]="N/A",Table1[[#This Row],[Std Adj Read]]="N/A"),"N/A",IF(Table1[[#This Row],[DUT Adj Read]]="N/A",IF(Table1[[#This Row],[Std Adj Read]]&lt;Table1[[#This Row],[High Tol]],"Pass","Fail"),IF(Table1[[#This Row],[DUT Adj Read]]&lt;Table1[[#This Row],[High Tol]],"Pass","Fail")))</f>
        <v>Fail</v>
      </c>
      <c r="AF318" s="1" t="str">
        <f>IF(AND(Table1[[#This Row],[Spec Type2]]="N/A",Table1[[#This Row],[DUT Adj Read]]="N/A",Table1[[#This Row],[Std Adj Read]]="N/A"),"N/A",IF(Table1[[#This Row],[DUT Adj Read]]="N/A",IF(Table1[[#This Row],[Std Adj Read]]&gt;=Table1[[#This Row],[Low Tol]],"Pass","Fail"),IF(Table1[[#This Row],[DUT Adj Read]]&gt;=Table1[[#This Row],[Low Tol]],"Pass","Fail")))</f>
        <v>Pass</v>
      </c>
      <c r="AG318" s="1" t="str">
        <f>IF(AND(Table1[[#This Row],[Spec Type2]]="N/A",Table1[[#This Row],[DUT Adj Read]]="N/A",Table1[[#This Row],[Std Adj Read]]="N/A"),"N/A",IF(Table1[[#This Row],[DUT Adj Read]]="N/A",IF(Table1[[#This Row],[Std Adj Read]]&lt;=Table1[[#This Row],[High Tol]],"Pass","Fail"),IF(Table1[[#This Row],[DUT Adj Read]]&lt;=Table1[[#This Row],[High Tol]],"Pass","Fail")))</f>
        <v>Fail</v>
      </c>
      <c r="AH3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8" s="1" t="b">
        <v>0</v>
      </c>
      <c r="AN318" s="1" t="b">
        <v>0</v>
      </c>
      <c r="AO318" s="1" t="b">
        <v>0</v>
      </c>
    </row>
    <row r="319" spans="1:41" x14ac:dyDescent="0.25">
      <c r="A319" s="10"/>
      <c r="B319" s="10"/>
      <c r="C319" s="10"/>
      <c r="D319" s="10"/>
      <c r="E319" s="10"/>
      <c r="F319" s="10"/>
      <c r="G319" s="10"/>
      <c r="H319" s="10"/>
      <c r="I319" s="1" t="str">
        <f t="shared" si="12"/>
        <v/>
      </c>
      <c r="J319" s="1" t="s">
        <v>35</v>
      </c>
      <c r="K319" s="1" t="str">
        <f t="shared" si="13"/>
        <v/>
      </c>
      <c r="L319" s="1" t="str">
        <f t="shared" si="14"/>
        <v/>
      </c>
      <c r="M319" s="1">
        <f>IF(OR(Table1[[#This Row],[Std Nom]]="",Table1[[#This Row],[Std Read]]=""),0,Table1[[#This Row],[Std Nom]]-Table1[[#This Row],[Std Read]])</f>
        <v>0</v>
      </c>
      <c r="N319" s="1">
        <f>IF(Calculations!$F$5="ACCREDITED 17025 WITH UNCERTAINTIES",$N$10,0)</f>
        <v>0</v>
      </c>
      <c r="O319" s="1" t="str">
        <f>IFERROR(Table1[[#This Row],[Std Nom]]-(_xlfn.XLOOKUP(Table1[[#This Row],[Manufacturer]]&amp;" "&amp;Table1[[#This Row],[Model]],Table13[MFR &amp; MDL],Table13[Tolerance % CW ],"")/100*Table1[[#This Row],[Std Nom]]),"")</f>
        <v/>
      </c>
      <c r="P319" s="1" t="str">
        <f>IFERROR(Table1[[#This Row],[Std Nom]]+(_xlfn.XLOOKUP(Table1[[#This Row],[Manufacturer]]&amp;" "&amp;Table1[[#This Row],[Model]],Table13[MFR &amp; MDL],Table13[Tolerance % CW ],"")/100*Table1[[#This Row],[Std Nom]]),"")</f>
        <v/>
      </c>
      <c r="Q319" s="1" t="e">
        <f>Table1[[#This Row],[High Tol]]-Table1[[#This Row],[Low Tol]]</f>
        <v>#VALUE!</v>
      </c>
      <c r="R319" s="1">
        <f>2*Table1[[#This Row],[Std Error]]</f>
        <v>0</v>
      </c>
      <c r="S319" s="1" t="str">
        <f>IF(Table1[[#This Row],[High Tol]]="","N/A",IFERROR(ABS(Table1[[#This Row],[Tol Span]]/Table1[[#This Row],[Error Span]]),"N/A"))</f>
        <v>N/A</v>
      </c>
      <c r="T319" s="1" t="str">
        <f>IF(OR(Table1[[#This Row],[Low Tol]]="",Table1[[#This Row],[High Tol]]=""),"Needs Analysis",IF(Table1[[#This Row],[Ratio]]&gt;=4,"Not Significant",IF(Table1[[#This Row],[Ratio]]&gt;=2,"Semi-Significant","Significant")))</f>
        <v>Needs Analysis</v>
      </c>
      <c r="W319" s="1">
        <f>IF(Table1[[#This Row],[Cal Type]]&lt;&gt;"ACCREDITED 17025 WITH UNCERTAINTIES",0,"")</f>
        <v>0</v>
      </c>
      <c r="X319" s="1" t="str">
        <f>IF(Table1[[#This Row],[DUT Read]]="","N/A",Table1[[#This Row],[Std Error]]+Table1[[#This Row],[DUT Read]]+Table1[[#This Row],[DUT Ucty]])</f>
        <v>N/A</v>
      </c>
      <c r="Y319" s="1" t="str">
        <f>IF(Table1[[#This Row],[Std Read]]="","N/A",Table1[[#This Row],[Std Read]]+Table1[[#This Row],[Std Ucty]])</f>
        <v>N/A</v>
      </c>
      <c r="Z3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9" s="1" t="str">
        <f>IF(Table1[[#This Row],[Spec Type]]="","N/A",Table1[[#This Row],[Spec Type]])</f>
        <v>±</v>
      </c>
      <c r="AC319" s="1" t="str">
        <f>IF(Table1[[#This Row],[Spec Type2]]="N/A","N/A",IF(AND(Table1[[#This Row],[DUT Adj Read]]&gt;=Table1[[#This Row],[Low Tol]],Table1[[#This Row],[DUT Adj Read]]&lt;=Table1[[#This Row],[High Tol]]),"Pass","Fail"))</f>
        <v>Fail</v>
      </c>
      <c r="AD319" s="1" t="str">
        <f>IF(AND(Table1[[#This Row],[Spec Type2]]="N/A",Table1[[#This Row],[DUT Adj Read]]="N/A",Table1[[#This Row],[Std Adj Read]]="N/A"),"N/A",IF(Table1[[#This Row],[DUT Adj Read]]="N/A",IF(Table1[[#This Row],[Std Adj Read]]&gt;Table1[[#This Row],[Low Tol]],"Pass","Fail"),IF(Table1[[#This Row],[DUT Adj Read]]&gt;Table1[[#This Row],[Low Tol]],"Pass","Fail")))</f>
        <v>Pass</v>
      </c>
      <c r="AE319" s="1" t="str">
        <f>IF(AND(Table1[[#This Row],[Spec Type2]]="N/A",Table1[[#This Row],[DUT Adj Read]]="N/A",Table1[[#This Row],[Std Adj Read]]="N/A"),"N/A",IF(Table1[[#This Row],[DUT Adj Read]]="N/A",IF(Table1[[#This Row],[Std Adj Read]]&lt;Table1[[#This Row],[High Tol]],"Pass","Fail"),IF(Table1[[#This Row],[DUT Adj Read]]&lt;Table1[[#This Row],[High Tol]],"Pass","Fail")))</f>
        <v>Fail</v>
      </c>
      <c r="AF319" s="1" t="str">
        <f>IF(AND(Table1[[#This Row],[Spec Type2]]="N/A",Table1[[#This Row],[DUT Adj Read]]="N/A",Table1[[#This Row],[Std Adj Read]]="N/A"),"N/A",IF(Table1[[#This Row],[DUT Adj Read]]="N/A",IF(Table1[[#This Row],[Std Adj Read]]&gt;=Table1[[#This Row],[Low Tol]],"Pass","Fail"),IF(Table1[[#This Row],[DUT Adj Read]]&gt;=Table1[[#This Row],[Low Tol]],"Pass","Fail")))</f>
        <v>Pass</v>
      </c>
      <c r="AG319" s="1" t="str">
        <f>IF(AND(Table1[[#This Row],[Spec Type2]]="N/A",Table1[[#This Row],[DUT Adj Read]]="N/A",Table1[[#This Row],[Std Adj Read]]="N/A"),"N/A",IF(Table1[[#This Row],[DUT Adj Read]]="N/A",IF(Table1[[#This Row],[Std Adj Read]]&lt;=Table1[[#This Row],[High Tol]],"Pass","Fail"),IF(Table1[[#This Row],[DUT Adj Read]]&lt;=Table1[[#This Row],[High Tol]],"Pass","Fail")))</f>
        <v>Fail</v>
      </c>
      <c r="AH3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9" s="1" t="b">
        <v>0</v>
      </c>
      <c r="AN319" s="1" t="b">
        <v>0</v>
      </c>
      <c r="AO319" s="1" t="b">
        <v>0</v>
      </c>
    </row>
    <row r="320" spans="1:41" x14ac:dyDescent="0.25">
      <c r="A320" s="10"/>
      <c r="B320" s="10"/>
      <c r="C320" s="10"/>
      <c r="D320" s="10"/>
      <c r="E320" s="10"/>
      <c r="F320" s="10"/>
      <c r="G320" s="10"/>
      <c r="H320" s="10"/>
      <c r="I320" s="1" t="str">
        <f t="shared" si="12"/>
        <v/>
      </c>
      <c r="J320" s="1" t="s">
        <v>35</v>
      </c>
      <c r="K320" s="1" t="str">
        <f t="shared" si="13"/>
        <v/>
      </c>
      <c r="L320" s="1" t="str">
        <f t="shared" si="14"/>
        <v/>
      </c>
      <c r="M320" s="1">
        <f>IF(OR(Table1[[#This Row],[Std Nom]]="",Table1[[#This Row],[Std Read]]=""),0,Table1[[#This Row],[Std Nom]]-Table1[[#This Row],[Std Read]])</f>
        <v>0</v>
      </c>
      <c r="N320" s="1">
        <f>IF(Calculations!$F$5="ACCREDITED 17025 WITH UNCERTAINTIES",$N$10,0)</f>
        <v>0</v>
      </c>
      <c r="O320" s="1" t="str">
        <f>IFERROR(Table1[[#This Row],[Std Nom]]-(_xlfn.XLOOKUP(Table1[[#This Row],[Manufacturer]]&amp;" "&amp;Table1[[#This Row],[Model]],Table13[MFR &amp; MDL],Table13[Tolerance % CW ],"")/100*Table1[[#This Row],[Std Nom]]),"")</f>
        <v/>
      </c>
      <c r="P320" s="1" t="str">
        <f>IFERROR(Table1[[#This Row],[Std Nom]]+(_xlfn.XLOOKUP(Table1[[#This Row],[Manufacturer]]&amp;" "&amp;Table1[[#This Row],[Model]],Table13[MFR &amp; MDL],Table13[Tolerance % CW ],"")/100*Table1[[#This Row],[Std Nom]]),"")</f>
        <v/>
      </c>
      <c r="Q320" s="1" t="e">
        <f>Table1[[#This Row],[High Tol]]-Table1[[#This Row],[Low Tol]]</f>
        <v>#VALUE!</v>
      </c>
      <c r="R320" s="1">
        <f>2*Table1[[#This Row],[Std Error]]</f>
        <v>0</v>
      </c>
      <c r="S320" s="1" t="str">
        <f>IF(Table1[[#This Row],[High Tol]]="","N/A",IFERROR(ABS(Table1[[#This Row],[Tol Span]]/Table1[[#This Row],[Error Span]]),"N/A"))</f>
        <v>N/A</v>
      </c>
      <c r="T320" s="1" t="str">
        <f>IF(OR(Table1[[#This Row],[Low Tol]]="",Table1[[#This Row],[High Tol]]=""),"Needs Analysis",IF(Table1[[#This Row],[Ratio]]&gt;=4,"Not Significant",IF(Table1[[#This Row],[Ratio]]&gt;=2,"Semi-Significant","Significant")))</f>
        <v>Needs Analysis</v>
      </c>
      <c r="W320" s="1">
        <f>IF(Table1[[#This Row],[Cal Type]]&lt;&gt;"ACCREDITED 17025 WITH UNCERTAINTIES",0,"")</f>
        <v>0</v>
      </c>
      <c r="X320" s="1" t="str">
        <f>IF(Table1[[#This Row],[DUT Read]]="","N/A",Table1[[#This Row],[Std Error]]+Table1[[#This Row],[DUT Read]]+Table1[[#This Row],[DUT Ucty]])</f>
        <v>N/A</v>
      </c>
      <c r="Y320" s="1" t="str">
        <f>IF(Table1[[#This Row],[Std Read]]="","N/A",Table1[[#This Row],[Std Read]]+Table1[[#This Row],[Std Ucty]])</f>
        <v>N/A</v>
      </c>
      <c r="Z3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0" s="1" t="str">
        <f>IF(Table1[[#This Row],[Spec Type]]="","N/A",Table1[[#This Row],[Spec Type]])</f>
        <v>±</v>
      </c>
      <c r="AC320" s="1" t="str">
        <f>IF(Table1[[#This Row],[Spec Type2]]="N/A","N/A",IF(AND(Table1[[#This Row],[DUT Adj Read]]&gt;=Table1[[#This Row],[Low Tol]],Table1[[#This Row],[DUT Adj Read]]&lt;=Table1[[#This Row],[High Tol]]),"Pass","Fail"))</f>
        <v>Fail</v>
      </c>
      <c r="AD320" s="1" t="str">
        <f>IF(AND(Table1[[#This Row],[Spec Type2]]="N/A",Table1[[#This Row],[DUT Adj Read]]="N/A",Table1[[#This Row],[Std Adj Read]]="N/A"),"N/A",IF(Table1[[#This Row],[DUT Adj Read]]="N/A",IF(Table1[[#This Row],[Std Adj Read]]&gt;Table1[[#This Row],[Low Tol]],"Pass","Fail"),IF(Table1[[#This Row],[DUT Adj Read]]&gt;Table1[[#This Row],[Low Tol]],"Pass","Fail")))</f>
        <v>Pass</v>
      </c>
      <c r="AE320" s="1" t="str">
        <f>IF(AND(Table1[[#This Row],[Spec Type2]]="N/A",Table1[[#This Row],[DUT Adj Read]]="N/A",Table1[[#This Row],[Std Adj Read]]="N/A"),"N/A",IF(Table1[[#This Row],[DUT Adj Read]]="N/A",IF(Table1[[#This Row],[Std Adj Read]]&lt;Table1[[#This Row],[High Tol]],"Pass","Fail"),IF(Table1[[#This Row],[DUT Adj Read]]&lt;Table1[[#This Row],[High Tol]],"Pass","Fail")))</f>
        <v>Fail</v>
      </c>
      <c r="AF320" s="1" t="str">
        <f>IF(AND(Table1[[#This Row],[Spec Type2]]="N/A",Table1[[#This Row],[DUT Adj Read]]="N/A",Table1[[#This Row],[Std Adj Read]]="N/A"),"N/A",IF(Table1[[#This Row],[DUT Adj Read]]="N/A",IF(Table1[[#This Row],[Std Adj Read]]&gt;=Table1[[#This Row],[Low Tol]],"Pass","Fail"),IF(Table1[[#This Row],[DUT Adj Read]]&gt;=Table1[[#This Row],[Low Tol]],"Pass","Fail")))</f>
        <v>Pass</v>
      </c>
      <c r="AG320" s="1" t="str">
        <f>IF(AND(Table1[[#This Row],[Spec Type2]]="N/A",Table1[[#This Row],[DUT Adj Read]]="N/A",Table1[[#This Row],[Std Adj Read]]="N/A"),"N/A",IF(Table1[[#This Row],[DUT Adj Read]]="N/A",IF(Table1[[#This Row],[Std Adj Read]]&lt;=Table1[[#This Row],[High Tol]],"Pass","Fail"),IF(Table1[[#This Row],[DUT Adj Read]]&lt;=Table1[[#This Row],[High Tol]],"Pass","Fail")))</f>
        <v>Fail</v>
      </c>
      <c r="AH3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0" s="1" t="b">
        <v>0</v>
      </c>
      <c r="AN320" s="1" t="b">
        <v>0</v>
      </c>
      <c r="AO320" s="1" t="b">
        <v>0</v>
      </c>
    </row>
    <row r="321" spans="1:41" x14ac:dyDescent="0.25">
      <c r="A321" s="10"/>
      <c r="B321" s="10"/>
      <c r="C321" s="10"/>
      <c r="D321" s="10"/>
      <c r="E321" s="10"/>
      <c r="F321" s="10"/>
      <c r="G321" s="10"/>
      <c r="H321" s="10"/>
      <c r="I321" s="1" t="str">
        <f t="shared" si="12"/>
        <v/>
      </c>
      <c r="J321" s="1" t="s">
        <v>35</v>
      </c>
      <c r="K321" s="1" t="str">
        <f t="shared" si="13"/>
        <v/>
      </c>
      <c r="L321" s="1" t="str">
        <f t="shared" si="14"/>
        <v/>
      </c>
      <c r="M321" s="1">
        <f>IF(OR(Table1[[#This Row],[Std Nom]]="",Table1[[#This Row],[Std Read]]=""),0,Table1[[#This Row],[Std Nom]]-Table1[[#This Row],[Std Read]])</f>
        <v>0</v>
      </c>
      <c r="N321" s="1">
        <f>IF(Calculations!$F$5="ACCREDITED 17025 WITH UNCERTAINTIES",$N$10,0)</f>
        <v>0</v>
      </c>
      <c r="O321" s="1" t="str">
        <f>IFERROR(Table1[[#This Row],[Std Nom]]-(_xlfn.XLOOKUP(Table1[[#This Row],[Manufacturer]]&amp;" "&amp;Table1[[#This Row],[Model]],Table13[MFR &amp; MDL],Table13[Tolerance % CW ],"")/100*Table1[[#This Row],[Std Nom]]),"")</f>
        <v/>
      </c>
      <c r="P321" s="1" t="str">
        <f>IFERROR(Table1[[#This Row],[Std Nom]]+(_xlfn.XLOOKUP(Table1[[#This Row],[Manufacturer]]&amp;" "&amp;Table1[[#This Row],[Model]],Table13[MFR &amp; MDL],Table13[Tolerance % CW ],"")/100*Table1[[#This Row],[Std Nom]]),"")</f>
        <v/>
      </c>
      <c r="Q321" s="1" t="e">
        <f>Table1[[#This Row],[High Tol]]-Table1[[#This Row],[Low Tol]]</f>
        <v>#VALUE!</v>
      </c>
      <c r="R321" s="1">
        <f>2*Table1[[#This Row],[Std Error]]</f>
        <v>0</v>
      </c>
      <c r="S321" s="1" t="str">
        <f>IF(Table1[[#This Row],[High Tol]]="","N/A",IFERROR(ABS(Table1[[#This Row],[Tol Span]]/Table1[[#This Row],[Error Span]]),"N/A"))</f>
        <v>N/A</v>
      </c>
      <c r="T321" s="1" t="str">
        <f>IF(OR(Table1[[#This Row],[Low Tol]]="",Table1[[#This Row],[High Tol]]=""),"Needs Analysis",IF(Table1[[#This Row],[Ratio]]&gt;=4,"Not Significant",IF(Table1[[#This Row],[Ratio]]&gt;=2,"Semi-Significant","Significant")))</f>
        <v>Needs Analysis</v>
      </c>
      <c r="W321" s="1">
        <f>IF(Table1[[#This Row],[Cal Type]]&lt;&gt;"ACCREDITED 17025 WITH UNCERTAINTIES",0,"")</f>
        <v>0</v>
      </c>
      <c r="X321" s="1" t="str">
        <f>IF(Table1[[#This Row],[DUT Read]]="","N/A",Table1[[#This Row],[Std Error]]+Table1[[#This Row],[DUT Read]]+Table1[[#This Row],[DUT Ucty]])</f>
        <v>N/A</v>
      </c>
      <c r="Y321" s="1" t="str">
        <f>IF(Table1[[#This Row],[Std Read]]="","N/A",Table1[[#This Row],[Std Read]]+Table1[[#This Row],[Std Ucty]])</f>
        <v>N/A</v>
      </c>
      <c r="Z3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1" s="1" t="str">
        <f>IF(Table1[[#This Row],[Spec Type]]="","N/A",Table1[[#This Row],[Spec Type]])</f>
        <v>±</v>
      </c>
      <c r="AC321" s="1" t="str">
        <f>IF(Table1[[#This Row],[Spec Type2]]="N/A","N/A",IF(AND(Table1[[#This Row],[DUT Adj Read]]&gt;=Table1[[#This Row],[Low Tol]],Table1[[#This Row],[DUT Adj Read]]&lt;=Table1[[#This Row],[High Tol]]),"Pass","Fail"))</f>
        <v>Fail</v>
      </c>
      <c r="AD321" s="1" t="str">
        <f>IF(AND(Table1[[#This Row],[Spec Type2]]="N/A",Table1[[#This Row],[DUT Adj Read]]="N/A",Table1[[#This Row],[Std Adj Read]]="N/A"),"N/A",IF(Table1[[#This Row],[DUT Adj Read]]="N/A",IF(Table1[[#This Row],[Std Adj Read]]&gt;Table1[[#This Row],[Low Tol]],"Pass","Fail"),IF(Table1[[#This Row],[DUT Adj Read]]&gt;Table1[[#This Row],[Low Tol]],"Pass","Fail")))</f>
        <v>Pass</v>
      </c>
      <c r="AE321" s="1" t="str">
        <f>IF(AND(Table1[[#This Row],[Spec Type2]]="N/A",Table1[[#This Row],[DUT Adj Read]]="N/A",Table1[[#This Row],[Std Adj Read]]="N/A"),"N/A",IF(Table1[[#This Row],[DUT Adj Read]]="N/A",IF(Table1[[#This Row],[Std Adj Read]]&lt;Table1[[#This Row],[High Tol]],"Pass","Fail"),IF(Table1[[#This Row],[DUT Adj Read]]&lt;Table1[[#This Row],[High Tol]],"Pass","Fail")))</f>
        <v>Fail</v>
      </c>
      <c r="AF321" s="1" t="str">
        <f>IF(AND(Table1[[#This Row],[Spec Type2]]="N/A",Table1[[#This Row],[DUT Adj Read]]="N/A",Table1[[#This Row],[Std Adj Read]]="N/A"),"N/A",IF(Table1[[#This Row],[DUT Adj Read]]="N/A",IF(Table1[[#This Row],[Std Adj Read]]&gt;=Table1[[#This Row],[Low Tol]],"Pass","Fail"),IF(Table1[[#This Row],[DUT Adj Read]]&gt;=Table1[[#This Row],[Low Tol]],"Pass","Fail")))</f>
        <v>Pass</v>
      </c>
      <c r="AG321" s="1" t="str">
        <f>IF(AND(Table1[[#This Row],[Spec Type2]]="N/A",Table1[[#This Row],[DUT Adj Read]]="N/A",Table1[[#This Row],[Std Adj Read]]="N/A"),"N/A",IF(Table1[[#This Row],[DUT Adj Read]]="N/A",IF(Table1[[#This Row],[Std Adj Read]]&lt;=Table1[[#This Row],[High Tol]],"Pass","Fail"),IF(Table1[[#This Row],[DUT Adj Read]]&lt;=Table1[[#This Row],[High Tol]],"Pass","Fail")))</f>
        <v>Fail</v>
      </c>
      <c r="AH3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1" s="1" t="b">
        <v>0</v>
      </c>
      <c r="AN321" s="1" t="b">
        <v>0</v>
      </c>
      <c r="AO321" s="1" t="b">
        <v>0</v>
      </c>
    </row>
    <row r="322" spans="1:41" x14ac:dyDescent="0.25">
      <c r="A322" s="10"/>
      <c r="B322" s="10"/>
      <c r="C322" s="10"/>
      <c r="D322" s="10"/>
      <c r="E322" s="10"/>
      <c r="F322" s="10"/>
      <c r="G322" s="10"/>
      <c r="H322" s="10"/>
      <c r="I322" s="1" t="str">
        <f t="shared" si="12"/>
        <v/>
      </c>
      <c r="J322" s="1" t="s">
        <v>35</v>
      </c>
      <c r="K322" s="1" t="str">
        <f t="shared" si="13"/>
        <v/>
      </c>
      <c r="L322" s="1" t="str">
        <f t="shared" si="14"/>
        <v/>
      </c>
      <c r="M322" s="1">
        <f>IF(OR(Table1[[#This Row],[Std Nom]]="",Table1[[#This Row],[Std Read]]=""),0,Table1[[#This Row],[Std Nom]]-Table1[[#This Row],[Std Read]])</f>
        <v>0</v>
      </c>
      <c r="N322" s="1">
        <f>IF(Calculations!$F$5="ACCREDITED 17025 WITH UNCERTAINTIES",$N$10,0)</f>
        <v>0</v>
      </c>
      <c r="O322" s="1" t="str">
        <f>IFERROR(Table1[[#This Row],[Std Nom]]-(_xlfn.XLOOKUP(Table1[[#This Row],[Manufacturer]]&amp;" "&amp;Table1[[#This Row],[Model]],Table13[MFR &amp; MDL],Table13[Tolerance % CW ],"")/100*Table1[[#This Row],[Std Nom]]),"")</f>
        <v/>
      </c>
      <c r="P322" s="1" t="str">
        <f>IFERROR(Table1[[#This Row],[Std Nom]]+(_xlfn.XLOOKUP(Table1[[#This Row],[Manufacturer]]&amp;" "&amp;Table1[[#This Row],[Model]],Table13[MFR &amp; MDL],Table13[Tolerance % CW ],"")/100*Table1[[#This Row],[Std Nom]]),"")</f>
        <v/>
      </c>
      <c r="Q322" s="1" t="e">
        <f>Table1[[#This Row],[High Tol]]-Table1[[#This Row],[Low Tol]]</f>
        <v>#VALUE!</v>
      </c>
      <c r="R322" s="1">
        <f>2*Table1[[#This Row],[Std Error]]</f>
        <v>0</v>
      </c>
      <c r="S322" s="1" t="str">
        <f>IF(Table1[[#This Row],[High Tol]]="","N/A",IFERROR(ABS(Table1[[#This Row],[Tol Span]]/Table1[[#This Row],[Error Span]]),"N/A"))</f>
        <v>N/A</v>
      </c>
      <c r="T322" s="1" t="str">
        <f>IF(OR(Table1[[#This Row],[Low Tol]]="",Table1[[#This Row],[High Tol]]=""),"Needs Analysis",IF(Table1[[#This Row],[Ratio]]&gt;=4,"Not Significant",IF(Table1[[#This Row],[Ratio]]&gt;=2,"Semi-Significant","Significant")))</f>
        <v>Needs Analysis</v>
      </c>
      <c r="W322" s="1">
        <f>IF(Table1[[#This Row],[Cal Type]]&lt;&gt;"ACCREDITED 17025 WITH UNCERTAINTIES",0,"")</f>
        <v>0</v>
      </c>
      <c r="X322" s="1" t="str">
        <f>IF(Table1[[#This Row],[DUT Read]]="","N/A",Table1[[#This Row],[Std Error]]+Table1[[#This Row],[DUT Read]]+Table1[[#This Row],[DUT Ucty]])</f>
        <v>N/A</v>
      </c>
      <c r="Y322" s="1" t="str">
        <f>IF(Table1[[#This Row],[Std Read]]="","N/A",Table1[[#This Row],[Std Read]]+Table1[[#This Row],[Std Ucty]])</f>
        <v>N/A</v>
      </c>
      <c r="Z3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2" s="1" t="str">
        <f>IF(Table1[[#This Row],[Spec Type]]="","N/A",Table1[[#This Row],[Spec Type]])</f>
        <v>±</v>
      </c>
      <c r="AC322" s="1" t="str">
        <f>IF(Table1[[#This Row],[Spec Type2]]="N/A","N/A",IF(AND(Table1[[#This Row],[DUT Adj Read]]&gt;=Table1[[#This Row],[Low Tol]],Table1[[#This Row],[DUT Adj Read]]&lt;=Table1[[#This Row],[High Tol]]),"Pass","Fail"))</f>
        <v>Fail</v>
      </c>
      <c r="AD322" s="1" t="str">
        <f>IF(AND(Table1[[#This Row],[Spec Type2]]="N/A",Table1[[#This Row],[DUT Adj Read]]="N/A",Table1[[#This Row],[Std Adj Read]]="N/A"),"N/A",IF(Table1[[#This Row],[DUT Adj Read]]="N/A",IF(Table1[[#This Row],[Std Adj Read]]&gt;Table1[[#This Row],[Low Tol]],"Pass","Fail"),IF(Table1[[#This Row],[DUT Adj Read]]&gt;Table1[[#This Row],[Low Tol]],"Pass","Fail")))</f>
        <v>Pass</v>
      </c>
      <c r="AE322" s="1" t="str">
        <f>IF(AND(Table1[[#This Row],[Spec Type2]]="N/A",Table1[[#This Row],[DUT Adj Read]]="N/A",Table1[[#This Row],[Std Adj Read]]="N/A"),"N/A",IF(Table1[[#This Row],[DUT Adj Read]]="N/A",IF(Table1[[#This Row],[Std Adj Read]]&lt;Table1[[#This Row],[High Tol]],"Pass","Fail"),IF(Table1[[#This Row],[DUT Adj Read]]&lt;Table1[[#This Row],[High Tol]],"Pass","Fail")))</f>
        <v>Fail</v>
      </c>
      <c r="AF322" s="1" t="str">
        <f>IF(AND(Table1[[#This Row],[Spec Type2]]="N/A",Table1[[#This Row],[DUT Adj Read]]="N/A",Table1[[#This Row],[Std Adj Read]]="N/A"),"N/A",IF(Table1[[#This Row],[DUT Adj Read]]="N/A",IF(Table1[[#This Row],[Std Adj Read]]&gt;=Table1[[#This Row],[Low Tol]],"Pass","Fail"),IF(Table1[[#This Row],[DUT Adj Read]]&gt;=Table1[[#This Row],[Low Tol]],"Pass","Fail")))</f>
        <v>Pass</v>
      </c>
      <c r="AG322" s="1" t="str">
        <f>IF(AND(Table1[[#This Row],[Spec Type2]]="N/A",Table1[[#This Row],[DUT Adj Read]]="N/A",Table1[[#This Row],[Std Adj Read]]="N/A"),"N/A",IF(Table1[[#This Row],[DUT Adj Read]]="N/A",IF(Table1[[#This Row],[Std Adj Read]]&lt;=Table1[[#This Row],[High Tol]],"Pass","Fail"),IF(Table1[[#This Row],[DUT Adj Read]]&lt;=Table1[[#This Row],[High Tol]],"Pass","Fail")))</f>
        <v>Fail</v>
      </c>
      <c r="AH3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2" s="1" t="b">
        <v>0</v>
      </c>
      <c r="AN322" s="1" t="b">
        <v>0</v>
      </c>
      <c r="AO322" s="1" t="b">
        <v>0</v>
      </c>
    </row>
    <row r="323" spans="1:41" x14ac:dyDescent="0.25">
      <c r="A323" s="10"/>
      <c r="B323" s="10"/>
      <c r="C323" s="10"/>
      <c r="D323" s="10"/>
      <c r="E323" s="10"/>
      <c r="F323" s="10"/>
      <c r="G323" s="10"/>
      <c r="H323" s="10"/>
      <c r="I323" s="1" t="str">
        <f t="shared" si="12"/>
        <v/>
      </c>
      <c r="J323" s="1" t="s">
        <v>35</v>
      </c>
      <c r="K323" s="1" t="str">
        <f t="shared" si="13"/>
        <v/>
      </c>
      <c r="L323" s="1" t="str">
        <f t="shared" si="14"/>
        <v/>
      </c>
      <c r="M323" s="1">
        <f>IF(OR(Table1[[#This Row],[Std Nom]]="",Table1[[#This Row],[Std Read]]=""),0,Table1[[#This Row],[Std Nom]]-Table1[[#This Row],[Std Read]])</f>
        <v>0</v>
      </c>
      <c r="N323" s="1">
        <f>IF(Calculations!$F$5="ACCREDITED 17025 WITH UNCERTAINTIES",$N$10,0)</f>
        <v>0</v>
      </c>
      <c r="O323" s="1" t="str">
        <f>IFERROR(Table1[[#This Row],[Std Nom]]-(_xlfn.XLOOKUP(Table1[[#This Row],[Manufacturer]]&amp;" "&amp;Table1[[#This Row],[Model]],Table13[MFR &amp; MDL],Table13[Tolerance % CW ],"")/100*Table1[[#This Row],[Std Nom]]),"")</f>
        <v/>
      </c>
      <c r="P323" s="1" t="str">
        <f>IFERROR(Table1[[#This Row],[Std Nom]]+(_xlfn.XLOOKUP(Table1[[#This Row],[Manufacturer]]&amp;" "&amp;Table1[[#This Row],[Model]],Table13[MFR &amp; MDL],Table13[Tolerance % CW ],"")/100*Table1[[#This Row],[Std Nom]]),"")</f>
        <v/>
      </c>
      <c r="Q323" s="1" t="e">
        <f>Table1[[#This Row],[High Tol]]-Table1[[#This Row],[Low Tol]]</f>
        <v>#VALUE!</v>
      </c>
      <c r="R323" s="1">
        <f>2*Table1[[#This Row],[Std Error]]</f>
        <v>0</v>
      </c>
      <c r="S323" s="1" t="str">
        <f>IF(Table1[[#This Row],[High Tol]]="","N/A",IFERROR(ABS(Table1[[#This Row],[Tol Span]]/Table1[[#This Row],[Error Span]]),"N/A"))</f>
        <v>N/A</v>
      </c>
      <c r="T323" s="1" t="str">
        <f>IF(OR(Table1[[#This Row],[Low Tol]]="",Table1[[#This Row],[High Tol]]=""),"Needs Analysis",IF(Table1[[#This Row],[Ratio]]&gt;=4,"Not Significant",IF(Table1[[#This Row],[Ratio]]&gt;=2,"Semi-Significant","Significant")))</f>
        <v>Needs Analysis</v>
      </c>
      <c r="W323" s="1">
        <f>IF(Table1[[#This Row],[Cal Type]]&lt;&gt;"ACCREDITED 17025 WITH UNCERTAINTIES",0,"")</f>
        <v>0</v>
      </c>
      <c r="X323" s="1" t="str">
        <f>IF(Table1[[#This Row],[DUT Read]]="","N/A",Table1[[#This Row],[Std Error]]+Table1[[#This Row],[DUT Read]]+Table1[[#This Row],[DUT Ucty]])</f>
        <v>N/A</v>
      </c>
      <c r="Y323" s="1" t="str">
        <f>IF(Table1[[#This Row],[Std Read]]="","N/A",Table1[[#This Row],[Std Read]]+Table1[[#This Row],[Std Ucty]])</f>
        <v>N/A</v>
      </c>
      <c r="Z3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3" s="1" t="str">
        <f>IF(Table1[[#This Row],[Spec Type]]="","N/A",Table1[[#This Row],[Spec Type]])</f>
        <v>±</v>
      </c>
      <c r="AC323" s="1" t="str">
        <f>IF(Table1[[#This Row],[Spec Type2]]="N/A","N/A",IF(AND(Table1[[#This Row],[DUT Adj Read]]&gt;=Table1[[#This Row],[Low Tol]],Table1[[#This Row],[DUT Adj Read]]&lt;=Table1[[#This Row],[High Tol]]),"Pass","Fail"))</f>
        <v>Fail</v>
      </c>
      <c r="AD323" s="1" t="str">
        <f>IF(AND(Table1[[#This Row],[Spec Type2]]="N/A",Table1[[#This Row],[DUT Adj Read]]="N/A",Table1[[#This Row],[Std Adj Read]]="N/A"),"N/A",IF(Table1[[#This Row],[DUT Adj Read]]="N/A",IF(Table1[[#This Row],[Std Adj Read]]&gt;Table1[[#This Row],[Low Tol]],"Pass","Fail"),IF(Table1[[#This Row],[DUT Adj Read]]&gt;Table1[[#This Row],[Low Tol]],"Pass","Fail")))</f>
        <v>Pass</v>
      </c>
      <c r="AE323" s="1" t="str">
        <f>IF(AND(Table1[[#This Row],[Spec Type2]]="N/A",Table1[[#This Row],[DUT Adj Read]]="N/A",Table1[[#This Row],[Std Adj Read]]="N/A"),"N/A",IF(Table1[[#This Row],[DUT Adj Read]]="N/A",IF(Table1[[#This Row],[Std Adj Read]]&lt;Table1[[#This Row],[High Tol]],"Pass","Fail"),IF(Table1[[#This Row],[DUT Adj Read]]&lt;Table1[[#This Row],[High Tol]],"Pass","Fail")))</f>
        <v>Fail</v>
      </c>
      <c r="AF323" s="1" t="str">
        <f>IF(AND(Table1[[#This Row],[Spec Type2]]="N/A",Table1[[#This Row],[DUT Adj Read]]="N/A",Table1[[#This Row],[Std Adj Read]]="N/A"),"N/A",IF(Table1[[#This Row],[DUT Adj Read]]="N/A",IF(Table1[[#This Row],[Std Adj Read]]&gt;=Table1[[#This Row],[Low Tol]],"Pass","Fail"),IF(Table1[[#This Row],[DUT Adj Read]]&gt;=Table1[[#This Row],[Low Tol]],"Pass","Fail")))</f>
        <v>Pass</v>
      </c>
      <c r="AG323" s="1" t="str">
        <f>IF(AND(Table1[[#This Row],[Spec Type2]]="N/A",Table1[[#This Row],[DUT Adj Read]]="N/A",Table1[[#This Row],[Std Adj Read]]="N/A"),"N/A",IF(Table1[[#This Row],[DUT Adj Read]]="N/A",IF(Table1[[#This Row],[Std Adj Read]]&lt;=Table1[[#This Row],[High Tol]],"Pass","Fail"),IF(Table1[[#This Row],[DUT Adj Read]]&lt;=Table1[[#This Row],[High Tol]],"Pass","Fail")))</f>
        <v>Fail</v>
      </c>
      <c r="AH3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3" s="1" t="b">
        <v>0</v>
      </c>
      <c r="AN323" s="1" t="b">
        <v>0</v>
      </c>
      <c r="AO323" s="1" t="b">
        <v>0</v>
      </c>
    </row>
    <row r="324" spans="1:41" x14ac:dyDescent="0.25">
      <c r="A324" s="10"/>
      <c r="B324" s="10"/>
      <c r="C324" s="10"/>
      <c r="D324" s="10"/>
      <c r="E324" s="10"/>
      <c r="F324" s="10"/>
      <c r="G324" s="10"/>
      <c r="H324" s="10"/>
      <c r="I324" s="1" t="str">
        <f t="shared" si="12"/>
        <v/>
      </c>
      <c r="J324" s="1" t="s">
        <v>35</v>
      </c>
      <c r="K324" s="1" t="str">
        <f t="shared" si="13"/>
        <v/>
      </c>
      <c r="L324" s="1" t="str">
        <f t="shared" si="14"/>
        <v/>
      </c>
      <c r="M324" s="1">
        <f>IF(OR(Table1[[#This Row],[Std Nom]]="",Table1[[#This Row],[Std Read]]=""),0,Table1[[#This Row],[Std Nom]]-Table1[[#This Row],[Std Read]])</f>
        <v>0</v>
      </c>
      <c r="N324" s="1">
        <f>IF(Calculations!$F$5="ACCREDITED 17025 WITH UNCERTAINTIES",$N$10,0)</f>
        <v>0</v>
      </c>
      <c r="O324" s="1" t="str">
        <f>IFERROR(Table1[[#This Row],[Std Nom]]-(_xlfn.XLOOKUP(Table1[[#This Row],[Manufacturer]]&amp;" "&amp;Table1[[#This Row],[Model]],Table13[MFR &amp; MDL],Table13[Tolerance % CW ],"")/100*Table1[[#This Row],[Std Nom]]),"")</f>
        <v/>
      </c>
      <c r="P324" s="1" t="str">
        <f>IFERROR(Table1[[#This Row],[Std Nom]]+(_xlfn.XLOOKUP(Table1[[#This Row],[Manufacturer]]&amp;" "&amp;Table1[[#This Row],[Model]],Table13[MFR &amp; MDL],Table13[Tolerance % CW ],"")/100*Table1[[#This Row],[Std Nom]]),"")</f>
        <v/>
      </c>
      <c r="Q324" s="1" t="e">
        <f>Table1[[#This Row],[High Tol]]-Table1[[#This Row],[Low Tol]]</f>
        <v>#VALUE!</v>
      </c>
      <c r="R324" s="1">
        <f>2*Table1[[#This Row],[Std Error]]</f>
        <v>0</v>
      </c>
      <c r="S324" s="1" t="str">
        <f>IF(Table1[[#This Row],[High Tol]]="","N/A",IFERROR(ABS(Table1[[#This Row],[Tol Span]]/Table1[[#This Row],[Error Span]]),"N/A"))</f>
        <v>N/A</v>
      </c>
      <c r="T324" s="1" t="str">
        <f>IF(OR(Table1[[#This Row],[Low Tol]]="",Table1[[#This Row],[High Tol]]=""),"Needs Analysis",IF(Table1[[#This Row],[Ratio]]&gt;=4,"Not Significant",IF(Table1[[#This Row],[Ratio]]&gt;=2,"Semi-Significant","Significant")))</f>
        <v>Needs Analysis</v>
      </c>
      <c r="W324" s="1">
        <f>IF(Table1[[#This Row],[Cal Type]]&lt;&gt;"ACCREDITED 17025 WITH UNCERTAINTIES",0,"")</f>
        <v>0</v>
      </c>
      <c r="X324" s="1" t="str">
        <f>IF(Table1[[#This Row],[DUT Read]]="","N/A",Table1[[#This Row],[Std Error]]+Table1[[#This Row],[DUT Read]]+Table1[[#This Row],[DUT Ucty]])</f>
        <v>N/A</v>
      </c>
      <c r="Y324" s="1" t="str">
        <f>IF(Table1[[#This Row],[Std Read]]="","N/A",Table1[[#This Row],[Std Read]]+Table1[[#This Row],[Std Ucty]])</f>
        <v>N/A</v>
      </c>
      <c r="Z3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4" s="1" t="str">
        <f>IF(Table1[[#This Row],[Spec Type]]="","N/A",Table1[[#This Row],[Spec Type]])</f>
        <v>±</v>
      </c>
      <c r="AC324" s="1" t="str">
        <f>IF(Table1[[#This Row],[Spec Type2]]="N/A","N/A",IF(AND(Table1[[#This Row],[DUT Adj Read]]&gt;=Table1[[#This Row],[Low Tol]],Table1[[#This Row],[DUT Adj Read]]&lt;=Table1[[#This Row],[High Tol]]),"Pass","Fail"))</f>
        <v>Fail</v>
      </c>
      <c r="AD324" s="1" t="str">
        <f>IF(AND(Table1[[#This Row],[Spec Type2]]="N/A",Table1[[#This Row],[DUT Adj Read]]="N/A",Table1[[#This Row],[Std Adj Read]]="N/A"),"N/A",IF(Table1[[#This Row],[DUT Adj Read]]="N/A",IF(Table1[[#This Row],[Std Adj Read]]&gt;Table1[[#This Row],[Low Tol]],"Pass","Fail"),IF(Table1[[#This Row],[DUT Adj Read]]&gt;Table1[[#This Row],[Low Tol]],"Pass","Fail")))</f>
        <v>Pass</v>
      </c>
      <c r="AE324" s="1" t="str">
        <f>IF(AND(Table1[[#This Row],[Spec Type2]]="N/A",Table1[[#This Row],[DUT Adj Read]]="N/A",Table1[[#This Row],[Std Adj Read]]="N/A"),"N/A",IF(Table1[[#This Row],[DUT Adj Read]]="N/A",IF(Table1[[#This Row],[Std Adj Read]]&lt;Table1[[#This Row],[High Tol]],"Pass","Fail"),IF(Table1[[#This Row],[DUT Adj Read]]&lt;Table1[[#This Row],[High Tol]],"Pass","Fail")))</f>
        <v>Fail</v>
      </c>
      <c r="AF324" s="1" t="str">
        <f>IF(AND(Table1[[#This Row],[Spec Type2]]="N/A",Table1[[#This Row],[DUT Adj Read]]="N/A",Table1[[#This Row],[Std Adj Read]]="N/A"),"N/A",IF(Table1[[#This Row],[DUT Adj Read]]="N/A",IF(Table1[[#This Row],[Std Adj Read]]&gt;=Table1[[#This Row],[Low Tol]],"Pass","Fail"),IF(Table1[[#This Row],[DUT Adj Read]]&gt;=Table1[[#This Row],[Low Tol]],"Pass","Fail")))</f>
        <v>Pass</v>
      </c>
      <c r="AG324" s="1" t="str">
        <f>IF(AND(Table1[[#This Row],[Spec Type2]]="N/A",Table1[[#This Row],[DUT Adj Read]]="N/A",Table1[[#This Row],[Std Adj Read]]="N/A"),"N/A",IF(Table1[[#This Row],[DUT Adj Read]]="N/A",IF(Table1[[#This Row],[Std Adj Read]]&lt;=Table1[[#This Row],[High Tol]],"Pass","Fail"),IF(Table1[[#This Row],[DUT Adj Read]]&lt;=Table1[[#This Row],[High Tol]],"Pass","Fail")))</f>
        <v>Fail</v>
      </c>
      <c r="AH3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4" s="1" t="b">
        <v>0</v>
      </c>
      <c r="AN324" s="1" t="b">
        <v>0</v>
      </c>
      <c r="AO324" s="1" t="b">
        <v>0</v>
      </c>
    </row>
    <row r="325" spans="1:41" x14ac:dyDescent="0.25">
      <c r="A325" s="10"/>
      <c r="B325" s="10"/>
      <c r="C325" s="10"/>
      <c r="D325" s="10"/>
      <c r="E325" s="10"/>
      <c r="F325" s="10"/>
      <c r="G325" s="10"/>
      <c r="H325" s="10"/>
      <c r="I325" s="1" t="str">
        <f t="shared" si="12"/>
        <v/>
      </c>
      <c r="J325" s="1" t="s">
        <v>35</v>
      </c>
      <c r="K325" s="1" t="str">
        <f t="shared" si="13"/>
        <v/>
      </c>
      <c r="L325" s="1" t="str">
        <f t="shared" si="14"/>
        <v/>
      </c>
      <c r="M325" s="1">
        <f>IF(OR(Table1[[#This Row],[Std Nom]]="",Table1[[#This Row],[Std Read]]=""),0,Table1[[#This Row],[Std Nom]]-Table1[[#This Row],[Std Read]])</f>
        <v>0</v>
      </c>
      <c r="N325" s="1">
        <f>IF(Calculations!$F$5="ACCREDITED 17025 WITH UNCERTAINTIES",$N$10,0)</f>
        <v>0</v>
      </c>
      <c r="O325" s="1" t="str">
        <f>IFERROR(Table1[[#This Row],[Std Nom]]-(_xlfn.XLOOKUP(Table1[[#This Row],[Manufacturer]]&amp;" "&amp;Table1[[#This Row],[Model]],Table13[MFR &amp; MDL],Table13[Tolerance % CW ],"")/100*Table1[[#This Row],[Std Nom]]),"")</f>
        <v/>
      </c>
      <c r="P325" s="1" t="str">
        <f>IFERROR(Table1[[#This Row],[Std Nom]]+(_xlfn.XLOOKUP(Table1[[#This Row],[Manufacturer]]&amp;" "&amp;Table1[[#This Row],[Model]],Table13[MFR &amp; MDL],Table13[Tolerance % CW ],"")/100*Table1[[#This Row],[Std Nom]]),"")</f>
        <v/>
      </c>
      <c r="Q325" s="1" t="e">
        <f>Table1[[#This Row],[High Tol]]-Table1[[#This Row],[Low Tol]]</f>
        <v>#VALUE!</v>
      </c>
      <c r="R325" s="1">
        <f>2*Table1[[#This Row],[Std Error]]</f>
        <v>0</v>
      </c>
      <c r="S325" s="1" t="str">
        <f>IF(Table1[[#This Row],[High Tol]]="","N/A",IFERROR(ABS(Table1[[#This Row],[Tol Span]]/Table1[[#This Row],[Error Span]]),"N/A"))</f>
        <v>N/A</v>
      </c>
      <c r="T325" s="1" t="str">
        <f>IF(OR(Table1[[#This Row],[Low Tol]]="",Table1[[#This Row],[High Tol]]=""),"Needs Analysis",IF(Table1[[#This Row],[Ratio]]&gt;=4,"Not Significant",IF(Table1[[#This Row],[Ratio]]&gt;=2,"Semi-Significant","Significant")))</f>
        <v>Needs Analysis</v>
      </c>
      <c r="W325" s="1">
        <f>IF(Table1[[#This Row],[Cal Type]]&lt;&gt;"ACCREDITED 17025 WITH UNCERTAINTIES",0,"")</f>
        <v>0</v>
      </c>
      <c r="X325" s="1" t="str">
        <f>IF(Table1[[#This Row],[DUT Read]]="","N/A",Table1[[#This Row],[Std Error]]+Table1[[#This Row],[DUT Read]]+Table1[[#This Row],[DUT Ucty]])</f>
        <v>N/A</v>
      </c>
      <c r="Y325" s="1" t="str">
        <f>IF(Table1[[#This Row],[Std Read]]="","N/A",Table1[[#This Row],[Std Read]]+Table1[[#This Row],[Std Ucty]])</f>
        <v>N/A</v>
      </c>
      <c r="Z3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5" s="1" t="str">
        <f>IF(Table1[[#This Row],[Spec Type]]="","N/A",Table1[[#This Row],[Spec Type]])</f>
        <v>±</v>
      </c>
      <c r="AC325" s="1" t="str">
        <f>IF(Table1[[#This Row],[Spec Type2]]="N/A","N/A",IF(AND(Table1[[#This Row],[DUT Adj Read]]&gt;=Table1[[#This Row],[Low Tol]],Table1[[#This Row],[DUT Adj Read]]&lt;=Table1[[#This Row],[High Tol]]),"Pass","Fail"))</f>
        <v>Fail</v>
      </c>
      <c r="AD325" s="1" t="str">
        <f>IF(AND(Table1[[#This Row],[Spec Type2]]="N/A",Table1[[#This Row],[DUT Adj Read]]="N/A",Table1[[#This Row],[Std Adj Read]]="N/A"),"N/A",IF(Table1[[#This Row],[DUT Adj Read]]="N/A",IF(Table1[[#This Row],[Std Adj Read]]&gt;Table1[[#This Row],[Low Tol]],"Pass","Fail"),IF(Table1[[#This Row],[DUT Adj Read]]&gt;Table1[[#This Row],[Low Tol]],"Pass","Fail")))</f>
        <v>Pass</v>
      </c>
      <c r="AE325" s="1" t="str">
        <f>IF(AND(Table1[[#This Row],[Spec Type2]]="N/A",Table1[[#This Row],[DUT Adj Read]]="N/A",Table1[[#This Row],[Std Adj Read]]="N/A"),"N/A",IF(Table1[[#This Row],[DUT Adj Read]]="N/A",IF(Table1[[#This Row],[Std Adj Read]]&lt;Table1[[#This Row],[High Tol]],"Pass","Fail"),IF(Table1[[#This Row],[DUT Adj Read]]&lt;Table1[[#This Row],[High Tol]],"Pass","Fail")))</f>
        <v>Fail</v>
      </c>
      <c r="AF325" s="1" t="str">
        <f>IF(AND(Table1[[#This Row],[Spec Type2]]="N/A",Table1[[#This Row],[DUT Adj Read]]="N/A",Table1[[#This Row],[Std Adj Read]]="N/A"),"N/A",IF(Table1[[#This Row],[DUT Adj Read]]="N/A",IF(Table1[[#This Row],[Std Adj Read]]&gt;=Table1[[#This Row],[Low Tol]],"Pass","Fail"),IF(Table1[[#This Row],[DUT Adj Read]]&gt;=Table1[[#This Row],[Low Tol]],"Pass","Fail")))</f>
        <v>Pass</v>
      </c>
      <c r="AG325" s="1" t="str">
        <f>IF(AND(Table1[[#This Row],[Spec Type2]]="N/A",Table1[[#This Row],[DUT Adj Read]]="N/A",Table1[[#This Row],[Std Adj Read]]="N/A"),"N/A",IF(Table1[[#This Row],[DUT Adj Read]]="N/A",IF(Table1[[#This Row],[Std Adj Read]]&lt;=Table1[[#This Row],[High Tol]],"Pass","Fail"),IF(Table1[[#This Row],[DUT Adj Read]]&lt;=Table1[[#This Row],[High Tol]],"Pass","Fail")))</f>
        <v>Fail</v>
      </c>
      <c r="AH3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5" s="1" t="b">
        <v>0</v>
      </c>
      <c r="AN325" s="1" t="b">
        <v>0</v>
      </c>
      <c r="AO325" s="1" t="b">
        <v>0</v>
      </c>
    </row>
    <row r="326" spans="1:41" x14ac:dyDescent="0.25">
      <c r="A326" s="10"/>
      <c r="B326" s="10"/>
      <c r="C326" s="10"/>
      <c r="D326" s="10"/>
      <c r="E326" s="10"/>
      <c r="F326" s="10"/>
      <c r="G326" s="10"/>
      <c r="H326" s="10"/>
      <c r="I326" s="1" t="str">
        <f t="shared" si="12"/>
        <v/>
      </c>
      <c r="J326" s="1" t="s">
        <v>35</v>
      </c>
      <c r="K326" s="1" t="str">
        <f t="shared" si="13"/>
        <v/>
      </c>
      <c r="L326" s="1" t="str">
        <f t="shared" si="14"/>
        <v/>
      </c>
      <c r="M326" s="1">
        <f>IF(OR(Table1[[#This Row],[Std Nom]]="",Table1[[#This Row],[Std Read]]=""),0,Table1[[#This Row],[Std Nom]]-Table1[[#This Row],[Std Read]])</f>
        <v>0</v>
      </c>
      <c r="N326" s="1">
        <f>IF(Calculations!$F$5="ACCREDITED 17025 WITH UNCERTAINTIES",$N$10,0)</f>
        <v>0</v>
      </c>
      <c r="O326" s="1" t="str">
        <f>IFERROR(Table1[[#This Row],[Std Nom]]-(_xlfn.XLOOKUP(Table1[[#This Row],[Manufacturer]]&amp;" "&amp;Table1[[#This Row],[Model]],Table13[MFR &amp; MDL],Table13[Tolerance % CW ],"")/100*Table1[[#This Row],[Std Nom]]),"")</f>
        <v/>
      </c>
      <c r="P326" s="1" t="str">
        <f>IFERROR(Table1[[#This Row],[Std Nom]]+(_xlfn.XLOOKUP(Table1[[#This Row],[Manufacturer]]&amp;" "&amp;Table1[[#This Row],[Model]],Table13[MFR &amp; MDL],Table13[Tolerance % CW ],"")/100*Table1[[#This Row],[Std Nom]]),"")</f>
        <v/>
      </c>
      <c r="Q326" s="1" t="e">
        <f>Table1[[#This Row],[High Tol]]-Table1[[#This Row],[Low Tol]]</f>
        <v>#VALUE!</v>
      </c>
      <c r="R326" s="1">
        <f>2*Table1[[#This Row],[Std Error]]</f>
        <v>0</v>
      </c>
      <c r="S326" s="1" t="str">
        <f>IF(Table1[[#This Row],[High Tol]]="","N/A",IFERROR(ABS(Table1[[#This Row],[Tol Span]]/Table1[[#This Row],[Error Span]]),"N/A"))</f>
        <v>N/A</v>
      </c>
      <c r="T326" s="1" t="str">
        <f>IF(OR(Table1[[#This Row],[Low Tol]]="",Table1[[#This Row],[High Tol]]=""),"Needs Analysis",IF(Table1[[#This Row],[Ratio]]&gt;=4,"Not Significant",IF(Table1[[#This Row],[Ratio]]&gt;=2,"Semi-Significant","Significant")))</f>
        <v>Needs Analysis</v>
      </c>
      <c r="W326" s="1">
        <f>IF(Table1[[#This Row],[Cal Type]]&lt;&gt;"ACCREDITED 17025 WITH UNCERTAINTIES",0,"")</f>
        <v>0</v>
      </c>
      <c r="X326" s="1" t="str">
        <f>IF(Table1[[#This Row],[DUT Read]]="","N/A",Table1[[#This Row],[Std Error]]+Table1[[#This Row],[DUT Read]]+Table1[[#This Row],[DUT Ucty]])</f>
        <v>N/A</v>
      </c>
      <c r="Y326" s="1" t="str">
        <f>IF(Table1[[#This Row],[Std Read]]="","N/A",Table1[[#This Row],[Std Read]]+Table1[[#This Row],[Std Ucty]])</f>
        <v>N/A</v>
      </c>
      <c r="Z3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6" s="1" t="str">
        <f>IF(Table1[[#This Row],[Spec Type]]="","N/A",Table1[[#This Row],[Spec Type]])</f>
        <v>±</v>
      </c>
      <c r="AC326" s="1" t="str">
        <f>IF(Table1[[#This Row],[Spec Type2]]="N/A","N/A",IF(AND(Table1[[#This Row],[DUT Adj Read]]&gt;=Table1[[#This Row],[Low Tol]],Table1[[#This Row],[DUT Adj Read]]&lt;=Table1[[#This Row],[High Tol]]),"Pass","Fail"))</f>
        <v>Fail</v>
      </c>
      <c r="AD326" s="1" t="str">
        <f>IF(AND(Table1[[#This Row],[Spec Type2]]="N/A",Table1[[#This Row],[DUT Adj Read]]="N/A",Table1[[#This Row],[Std Adj Read]]="N/A"),"N/A",IF(Table1[[#This Row],[DUT Adj Read]]="N/A",IF(Table1[[#This Row],[Std Adj Read]]&gt;Table1[[#This Row],[Low Tol]],"Pass","Fail"),IF(Table1[[#This Row],[DUT Adj Read]]&gt;Table1[[#This Row],[Low Tol]],"Pass","Fail")))</f>
        <v>Pass</v>
      </c>
      <c r="AE326" s="1" t="str">
        <f>IF(AND(Table1[[#This Row],[Spec Type2]]="N/A",Table1[[#This Row],[DUT Adj Read]]="N/A",Table1[[#This Row],[Std Adj Read]]="N/A"),"N/A",IF(Table1[[#This Row],[DUT Adj Read]]="N/A",IF(Table1[[#This Row],[Std Adj Read]]&lt;Table1[[#This Row],[High Tol]],"Pass","Fail"),IF(Table1[[#This Row],[DUT Adj Read]]&lt;Table1[[#This Row],[High Tol]],"Pass","Fail")))</f>
        <v>Fail</v>
      </c>
      <c r="AF326" s="1" t="str">
        <f>IF(AND(Table1[[#This Row],[Spec Type2]]="N/A",Table1[[#This Row],[DUT Adj Read]]="N/A",Table1[[#This Row],[Std Adj Read]]="N/A"),"N/A",IF(Table1[[#This Row],[DUT Adj Read]]="N/A",IF(Table1[[#This Row],[Std Adj Read]]&gt;=Table1[[#This Row],[Low Tol]],"Pass","Fail"),IF(Table1[[#This Row],[DUT Adj Read]]&gt;=Table1[[#This Row],[Low Tol]],"Pass","Fail")))</f>
        <v>Pass</v>
      </c>
      <c r="AG326" s="1" t="str">
        <f>IF(AND(Table1[[#This Row],[Spec Type2]]="N/A",Table1[[#This Row],[DUT Adj Read]]="N/A",Table1[[#This Row],[Std Adj Read]]="N/A"),"N/A",IF(Table1[[#This Row],[DUT Adj Read]]="N/A",IF(Table1[[#This Row],[Std Adj Read]]&lt;=Table1[[#This Row],[High Tol]],"Pass","Fail"),IF(Table1[[#This Row],[DUT Adj Read]]&lt;=Table1[[#This Row],[High Tol]],"Pass","Fail")))</f>
        <v>Fail</v>
      </c>
      <c r="AH3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6" s="1" t="b">
        <v>0</v>
      </c>
      <c r="AN326" s="1" t="b">
        <v>0</v>
      </c>
      <c r="AO326" s="1" t="b">
        <v>0</v>
      </c>
    </row>
    <row r="327" spans="1:41" x14ac:dyDescent="0.25">
      <c r="A327" s="10"/>
      <c r="B327" s="10"/>
      <c r="C327" s="10"/>
      <c r="D327" s="10"/>
      <c r="E327" s="10"/>
      <c r="F327" s="10"/>
      <c r="G327" s="10"/>
      <c r="H327" s="10"/>
      <c r="I327" s="1" t="str">
        <f t="shared" si="12"/>
        <v/>
      </c>
      <c r="J327" s="1" t="s">
        <v>35</v>
      </c>
      <c r="K327" s="1" t="str">
        <f t="shared" si="13"/>
        <v/>
      </c>
      <c r="L327" s="1" t="str">
        <f t="shared" si="14"/>
        <v/>
      </c>
      <c r="M327" s="1">
        <f>IF(OR(Table1[[#This Row],[Std Nom]]="",Table1[[#This Row],[Std Read]]=""),0,Table1[[#This Row],[Std Nom]]-Table1[[#This Row],[Std Read]])</f>
        <v>0</v>
      </c>
      <c r="N327" s="1">
        <f>IF(Calculations!$F$5="ACCREDITED 17025 WITH UNCERTAINTIES",$N$10,0)</f>
        <v>0</v>
      </c>
      <c r="O327" s="1" t="str">
        <f>IFERROR(Table1[[#This Row],[Std Nom]]-(_xlfn.XLOOKUP(Table1[[#This Row],[Manufacturer]]&amp;" "&amp;Table1[[#This Row],[Model]],Table13[MFR &amp; MDL],Table13[Tolerance % CW ],"")/100*Table1[[#This Row],[Std Nom]]),"")</f>
        <v/>
      </c>
      <c r="P327" s="1" t="str">
        <f>IFERROR(Table1[[#This Row],[Std Nom]]+(_xlfn.XLOOKUP(Table1[[#This Row],[Manufacturer]]&amp;" "&amp;Table1[[#This Row],[Model]],Table13[MFR &amp; MDL],Table13[Tolerance % CW ],"")/100*Table1[[#This Row],[Std Nom]]),"")</f>
        <v/>
      </c>
      <c r="Q327" s="1" t="e">
        <f>Table1[[#This Row],[High Tol]]-Table1[[#This Row],[Low Tol]]</f>
        <v>#VALUE!</v>
      </c>
      <c r="R327" s="1">
        <f>2*Table1[[#This Row],[Std Error]]</f>
        <v>0</v>
      </c>
      <c r="S327" s="1" t="str">
        <f>IF(Table1[[#This Row],[High Tol]]="","N/A",IFERROR(ABS(Table1[[#This Row],[Tol Span]]/Table1[[#This Row],[Error Span]]),"N/A"))</f>
        <v>N/A</v>
      </c>
      <c r="T327" s="1" t="str">
        <f>IF(OR(Table1[[#This Row],[Low Tol]]="",Table1[[#This Row],[High Tol]]=""),"Needs Analysis",IF(Table1[[#This Row],[Ratio]]&gt;=4,"Not Significant",IF(Table1[[#This Row],[Ratio]]&gt;=2,"Semi-Significant","Significant")))</f>
        <v>Needs Analysis</v>
      </c>
      <c r="W327" s="1">
        <f>IF(Table1[[#This Row],[Cal Type]]&lt;&gt;"ACCREDITED 17025 WITH UNCERTAINTIES",0,"")</f>
        <v>0</v>
      </c>
      <c r="X327" s="1" t="str">
        <f>IF(Table1[[#This Row],[DUT Read]]="","N/A",Table1[[#This Row],[Std Error]]+Table1[[#This Row],[DUT Read]]+Table1[[#This Row],[DUT Ucty]])</f>
        <v>N/A</v>
      </c>
      <c r="Y327" s="1" t="str">
        <f>IF(Table1[[#This Row],[Std Read]]="","N/A",Table1[[#This Row],[Std Read]]+Table1[[#This Row],[Std Ucty]])</f>
        <v>N/A</v>
      </c>
      <c r="Z3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7" s="1" t="str">
        <f>IF(Table1[[#This Row],[Spec Type]]="","N/A",Table1[[#This Row],[Spec Type]])</f>
        <v>±</v>
      </c>
      <c r="AC327" s="1" t="str">
        <f>IF(Table1[[#This Row],[Spec Type2]]="N/A","N/A",IF(AND(Table1[[#This Row],[DUT Adj Read]]&gt;=Table1[[#This Row],[Low Tol]],Table1[[#This Row],[DUT Adj Read]]&lt;=Table1[[#This Row],[High Tol]]),"Pass","Fail"))</f>
        <v>Fail</v>
      </c>
      <c r="AD327" s="1" t="str">
        <f>IF(AND(Table1[[#This Row],[Spec Type2]]="N/A",Table1[[#This Row],[DUT Adj Read]]="N/A",Table1[[#This Row],[Std Adj Read]]="N/A"),"N/A",IF(Table1[[#This Row],[DUT Adj Read]]="N/A",IF(Table1[[#This Row],[Std Adj Read]]&gt;Table1[[#This Row],[Low Tol]],"Pass","Fail"),IF(Table1[[#This Row],[DUT Adj Read]]&gt;Table1[[#This Row],[Low Tol]],"Pass","Fail")))</f>
        <v>Pass</v>
      </c>
      <c r="AE327" s="1" t="str">
        <f>IF(AND(Table1[[#This Row],[Spec Type2]]="N/A",Table1[[#This Row],[DUT Adj Read]]="N/A",Table1[[#This Row],[Std Adj Read]]="N/A"),"N/A",IF(Table1[[#This Row],[DUT Adj Read]]="N/A",IF(Table1[[#This Row],[Std Adj Read]]&lt;Table1[[#This Row],[High Tol]],"Pass","Fail"),IF(Table1[[#This Row],[DUT Adj Read]]&lt;Table1[[#This Row],[High Tol]],"Pass","Fail")))</f>
        <v>Fail</v>
      </c>
      <c r="AF327" s="1" t="str">
        <f>IF(AND(Table1[[#This Row],[Spec Type2]]="N/A",Table1[[#This Row],[DUT Adj Read]]="N/A",Table1[[#This Row],[Std Adj Read]]="N/A"),"N/A",IF(Table1[[#This Row],[DUT Adj Read]]="N/A",IF(Table1[[#This Row],[Std Adj Read]]&gt;=Table1[[#This Row],[Low Tol]],"Pass","Fail"),IF(Table1[[#This Row],[DUT Adj Read]]&gt;=Table1[[#This Row],[Low Tol]],"Pass","Fail")))</f>
        <v>Pass</v>
      </c>
      <c r="AG327" s="1" t="str">
        <f>IF(AND(Table1[[#This Row],[Spec Type2]]="N/A",Table1[[#This Row],[DUT Adj Read]]="N/A",Table1[[#This Row],[Std Adj Read]]="N/A"),"N/A",IF(Table1[[#This Row],[DUT Adj Read]]="N/A",IF(Table1[[#This Row],[Std Adj Read]]&lt;=Table1[[#This Row],[High Tol]],"Pass","Fail"),IF(Table1[[#This Row],[DUT Adj Read]]&lt;=Table1[[#This Row],[High Tol]],"Pass","Fail")))</f>
        <v>Fail</v>
      </c>
      <c r="AH3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7" s="1" t="b">
        <v>0</v>
      </c>
      <c r="AN327" s="1" t="b">
        <v>0</v>
      </c>
      <c r="AO327" s="1" t="b">
        <v>0</v>
      </c>
    </row>
    <row r="328" spans="1:41" x14ac:dyDescent="0.25">
      <c r="A328" s="10"/>
      <c r="B328" s="10"/>
      <c r="C328" s="10"/>
      <c r="D328" s="10"/>
      <c r="E328" s="10"/>
      <c r="F328" s="10"/>
      <c r="G328" s="10"/>
      <c r="H328" s="10"/>
      <c r="I328" s="1" t="str">
        <f t="shared" si="12"/>
        <v/>
      </c>
      <c r="J328" s="1" t="s">
        <v>35</v>
      </c>
      <c r="K328" s="1" t="str">
        <f t="shared" si="13"/>
        <v/>
      </c>
      <c r="L328" s="1" t="str">
        <f t="shared" si="14"/>
        <v/>
      </c>
      <c r="M328" s="1">
        <f>IF(OR(Table1[[#This Row],[Std Nom]]="",Table1[[#This Row],[Std Read]]=""),0,Table1[[#This Row],[Std Nom]]-Table1[[#This Row],[Std Read]])</f>
        <v>0</v>
      </c>
      <c r="N328" s="1">
        <f>IF(Calculations!$F$5="ACCREDITED 17025 WITH UNCERTAINTIES",$N$10,0)</f>
        <v>0</v>
      </c>
      <c r="O328" s="1" t="str">
        <f>IFERROR(Table1[[#This Row],[Std Nom]]-(_xlfn.XLOOKUP(Table1[[#This Row],[Manufacturer]]&amp;" "&amp;Table1[[#This Row],[Model]],Table13[MFR &amp; MDL],Table13[Tolerance % CW ],"")/100*Table1[[#This Row],[Std Nom]]),"")</f>
        <v/>
      </c>
      <c r="P328" s="1" t="str">
        <f>IFERROR(Table1[[#This Row],[Std Nom]]+(_xlfn.XLOOKUP(Table1[[#This Row],[Manufacturer]]&amp;" "&amp;Table1[[#This Row],[Model]],Table13[MFR &amp; MDL],Table13[Tolerance % CW ],"")/100*Table1[[#This Row],[Std Nom]]),"")</f>
        <v/>
      </c>
      <c r="Q328" s="1" t="e">
        <f>Table1[[#This Row],[High Tol]]-Table1[[#This Row],[Low Tol]]</f>
        <v>#VALUE!</v>
      </c>
      <c r="R328" s="1">
        <f>2*Table1[[#This Row],[Std Error]]</f>
        <v>0</v>
      </c>
      <c r="S328" s="1" t="str">
        <f>IF(Table1[[#This Row],[High Tol]]="","N/A",IFERROR(ABS(Table1[[#This Row],[Tol Span]]/Table1[[#This Row],[Error Span]]),"N/A"))</f>
        <v>N/A</v>
      </c>
      <c r="T328" s="1" t="str">
        <f>IF(OR(Table1[[#This Row],[Low Tol]]="",Table1[[#This Row],[High Tol]]=""),"Needs Analysis",IF(Table1[[#This Row],[Ratio]]&gt;=4,"Not Significant",IF(Table1[[#This Row],[Ratio]]&gt;=2,"Semi-Significant","Significant")))</f>
        <v>Needs Analysis</v>
      </c>
      <c r="W328" s="1">
        <f>IF(Table1[[#This Row],[Cal Type]]&lt;&gt;"ACCREDITED 17025 WITH UNCERTAINTIES",0,"")</f>
        <v>0</v>
      </c>
      <c r="X328" s="1" t="str">
        <f>IF(Table1[[#This Row],[DUT Read]]="","N/A",Table1[[#This Row],[Std Error]]+Table1[[#This Row],[DUT Read]]+Table1[[#This Row],[DUT Ucty]])</f>
        <v>N/A</v>
      </c>
      <c r="Y328" s="1" t="str">
        <f>IF(Table1[[#This Row],[Std Read]]="","N/A",Table1[[#This Row],[Std Read]]+Table1[[#This Row],[Std Ucty]])</f>
        <v>N/A</v>
      </c>
      <c r="Z3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8" s="1" t="str">
        <f>IF(Table1[[#This Row],[Spec Type]]="","N/A",Table1[[#This Row],[Spec Type]])</f>
        <v>±</v>
      </c>
      <c r="AC328" s="1" t="str">
        <f>IF(Table1[[#This Row],[Spec Type2]]="N/A","N/A",IF(AND(Table1[[#This Row],[DUT Adj Read]]&gt;=Table1[[#This Row],[Low Tol]],Table1[[#This Row],[DUT Adj Read]]&lt;=Table1[[#This Row],[High Tol]]),"Pass","Fail"))</f>
        <v>Fail</v>
      </c>
      <c r="AD328" s="1" t="str">
        <f>IF(AND(Table1[[#This Row],[Spec Type2]]="N/A",Table1[[#This Row],[DUT Adj Read]]="N/A",Table1[[#This Row],[Std Adj Read]]="N/A"),"N/A",IF(Table1[[#This Row],[DUT Adj Read]]="N/A",IF(Table1[[#This Row],[Std Adj Read]]&gt;Table1[[#This Row],[Low Tol]],"Pass","Fail"),IF(Table1[[#This Row],[DUT Adj Read]]&gt;Table1[[#This Row],[Low Tol]],"Pass","Fail")))</f>
        <v>Pass</v>
      </c>
      <c r="AE328" s="1" t="str">
        <f>IF(AND(Table1[[#This Row],[Spec Type2]]="N/A",Table1[[#This Row],[DUT Adj Read]]="N/A",Table1[[#This Row],[Std Adj Read]]="N/A"),"N/A",IF(Table1[[#This Row],[DUT Adj Read]]="N/A",IF(Table1[[#This Row],[Std Adj Read]]&lt;Table1[[#This Row],[High Tol]],"Pass","Fail"),IF(Table1[[#This Row],[DUT Adj Read]]&lt;Table1[[#This Row],[High Tol]],"Pass","Fail")))</f>
        <v>Fail</v>
      </c>
      <c r="AF328" s="1" t="str">
        <f>IF(AND(Table1[[#This Row],[Spec Type2]]="N/A",Table1[[#This Row],[DUT Adj Read]]="N/A",Table1[[#This Row],[Std Adj Read]]="N/A"),"N/A",IF(Table1[[#This Row],[DUT Adj Read]]="N/A",IF(Table1[[#This Row],[Std Adj Read]]&gt;=Table1[[#This Row],[Low Tol]],"Pass","Fail"),IF(Table1[[#This Row],[DUT Adj Read]]&gt;=Table1[[#This Row],[Low Tol]],"Pass","Fail")))</f>
        <v>Pass</v>
      </c>
      <c r="AG328" s="1" t="str">
        <f>IF(AND(Table1[[#This Row],[Spec Type2]]="N/A",Table1[[#This Row],[DUT Adj Read]]="N/A",Table1[[#This Row],[Std Adj Read]]="N/A"),"N/A",IF(Table1[[#This Row],[DUT Adj Read]]="N/A",IF(Table1[[#This Row],[Std Adj Read]]&lt;=Table1[[#This Row],[High Tol]],"Pass","Fail"),IF(Table1[[#This Row],[DUT Adj Read]]&lt;=Table1[[#This Row],[High Tol]],"Pass","Fail")))</f>
        <v>Fail</v>
      </c>
      <c r="AH3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8" s="1" t="b">
        <v>0</v>
      </c>
      <c r="AN328" s="1" t="b">
        <v>0</v>
      </c>
      <c r="AO328" s="1" t="b">
        <v>0</v>
      </c>
    </row>
    <row r="329" spans="1:41" x14ac:dyDescent="0.25">
      <c r="A329" s="10"/>
      <c r="B329" s="10"/>
      <c r="C329" s="10"/>
      <c r="D329" s="10"/>
      <c r="E329" s="10"/>
      <c r="F329" s="10"/>
      <c r="G329" s="10"/>
      <c r="H329" s="10"/>
      <c r="I329" s="1" t="str">
        <f t="shared" si="12"/>
        <v/>
      </c>
      <c r="J329" s="1" t="s">
        <v>35</v>
      </c>
      <c r="K329" s="1" t="str">
        <f t="shared" si="13"/>
        <v/>
      </c>
      <c r="L329" s="1" t="str">
        <f t="shared" si="14"/>
        <v/>
      </c>
      <c r="M329" s="1">
        <f>IF(OR(Table1[[#This Row],[Std Nom]]="",Table1[[#This Row],[Std Read]]=""),0,Table1[[#This Row],[Std Nom]]-Table1[[#This Row],[Std Read]])</f>
        <v>0</v>
      </c>
      <c r="N329" s="1">
        <f>IF(Calculations!$F$5="ACCREDITED 17025 WITH UNCERTAINTIES",$N$10,0)</f>
        <v>0</v>
      </c>
      <c r="O329" s="1" t="str">
        <f>IFERROR(Table1[[#This Row],[Std Nom]]-(_xlfn.XLOOKUP(Table1[[#This Row],[Manufacturer]]&amp;" "&amp;Table1[[#This Row],[Model]],Table13[MFR &amp; MDL],Table13[Tolerance % CW ],"")/100*Table1[[#This Row],[Std Nom]]),"")</f>
        <v/>
      </c>
      <c r="P329" s="1" t="str">
        <f>IFERROR(Table1[[#This Row],[Std Nom]]+(_xlfn.XLOOKUP(Table1[[#This Row],[Manufacturer]]&amp;" "&amp;Table1[[#This Row],[Model]],Table13[MFR &amp; MDL],Table13[Tolerance % CW ],"")/100*Table1[[#This Row],[Std Nom]]),"")</f>
        <v/>
      </c>
      <c r="Q329" s="1" t="e">
        <f>Table1[[#This Row],[High Tol]]-Table1[[#This Row],[Low Tol]]</f>
        <v>#VALUE!</v>
      </c>
      <c r="R329" s="1">
        <f>2*Table1[[#This Row],[Std Error]]</f>
        <v>0</v>
      </c>
      <c r="S329" s="1" t="str">
        <f>IF(Table1[[#This Row],[High Tol]]="","N/A",IFERROR(ABS(Table1[[#This Row],[Tol Span]]/Table1[[#This Row],[Error Span]]),"N/A"))</f>
        <v>N/A</v>
      </c>
      <c r="T329" s="1" t="str">
        <f>IF(OR(Table1[[#This Row],[Low Tol]]="",Table1[[#This Row],[High Tol]]=""),"Needs Analysis",IF(Table1[[#This Row],[Ratio]]&gt;=4,"Not Significant",IF(Table1[[#This Row],[Ratio]]&gt;=2,"Semi-Significant","Significant")))</f>
        <v>Needs Analysis</v>
      </c>
      <c r="W329" s="1">
        <f>IF(Table1[[#This Row],[Cal Type]]&lt;&gt;"ACCREDITED 17025 WITH UNCERTAINTIES",0,"")</f>
        <v>0</v>
      </c>
      <c r="X329" s="1" t="str">
        <f>IF(Table1[[#This Row],[DUT Read]]="","N/A",Table1[[#This Row],[Std Error]]+Table1[[#This Row],[DUT Read]]+Table1[[#This Row],[DUT Ucty]])</f>
        <v>N/A</v>
      </c>
      <c r="Y329" s="1" t="str">
        <f>IF(Table1[[#This Row],[Std Read]]="","N/A",Table1[[#This Row],[Std Read]]+Table1[[#This Row],[Std Ucty]])</f>
        <v>N/A</v>
      </c>
      <c r="Z3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9" s="1" t="str">
        <f>IF(Table1[[#This Row],[Spec Type]]="","N/A",Table1[[#This Row],[Spec Type]])</f>
        <v>±</v>
      </c>
      <c r="AC329" s="1" t="str">
        <f>IF(Table1[[#This Row],[Spec Type2]]="N/A","N/A",IF(AND(Table1[[#This Row],[DUT Adj Read]]&gt;=Table1[[#This Row],[Low Tol]],Table1[[#This Row],[DUT Adj Read]]&lt;=Table1[[#This Row],[High Tol]]),"Pass","Fail"))</f>
        <v>Fail</v>
      </c>
      <c r="AD329" s="1" t="str">
        <f>IF(AND(Table1[[#This Row],[Spec Type2]]="N/A",Table1[[#This Row],[DUT Adj Read]]="N/A",Table1[[#This Row],[Std Adj Read]]="N/A"),"N/A",IF(Table1[[#This Row],[DUT Adj Read]]="N/A",IF(Table1[[#This Row],[Std Adj Read]]&gt;Table1[[#This Row],[Low Tol]],"Pass","Fail"),IF(Table1[[#This Row],[DUT Adj Read]]&gt;Table1[[#This Row],[Low Tol]],"Pass","Fail")))</f>
        <v>Pass</v>
      </c>
      <c r="AE329" s="1" t="str">
        <f>IF(AND(Table1[[#This Row],[Spec Type2]]="N/A",Table1[[#This Row],[DUT Adj Read]]="N/A",Table1[[#This Row],[Std Adj Read]]="N/A"),"N/A",IF(Table1[[#This Row],[DUT Adj Read]]="N/A",IF(Table1[[#This Row],[Std Adj Read]]&lt;Table1[[#This Row],[High Tol]],"Pass","Fail"),IF(Table1[[#This Row],[DUT Adj Read]]&lt;Table1[[#This Row],[High Tol]],"Pass","Fail")))</f>
        <v>Fail</v>
      </c>
      <c r="AF329" s="1" t="str">
        <f>IF(AND(Table1[[#This Row],[Spec Type2]]="N/A",Table1[[#This Row],[DUT Adj Read]]="N/A",Table1[[#This Row],[Std Adj Read]]="N/A"),"N/A",IF(Table1[[#This Row],[DUT Adj Read]]="N/A",IF(Table1[[#This Row],[Std Adj Read]]&gt;=Table1[[#This Row],[Low Tol]],"Pass","Fail"),IF(Table1[[#This Row],[DUT Adj Read]]&gt;=Table1[[#This Row],[Low Tol]],"Pass","Fail")))</f>
        <v>Pass</v>
      </c>
      <c r="AG329" s="1" t="str">
        <f>IF(AND(Table1[[#This Row],[Spec Type2]]="N/A",Table1[[#This Row],[DUT Adj Read]]="N/A",Table1[[#This Row],[Std Adj Read]]="N/A"),"N/A",IF(Table1[[#This Row],[DUT Adj Read]]="N/A",IF(Table1[[#This Row],[Std Adj Read]]&lt;=Table1[[#This Row],[High Tol]],"Pass","Fail"),IF(Table1[[#This Row],[DUT Adj Read]]&lt;=Table1[[#This Row],[High Tol]],"Pass","Fail")))</f>
        <v>Fail</v>
      </c>
      <c r="AH3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9" s="1" t="b">
        <v>0</v>
      </c>
      <c r="AN329" s="1" t="b">
        <v>0</v>
      </c>
      <c r="AO329" s="1" t="b">
        <v>0</v>
      </c>
    </row>
    <row r="330" spans="1:41" x14ac:dyDescent="0.25">
      <c r="A330" s="10"/>
      <c r="B330" s="10"/>
      <c r="C330" s="10"/>
      <c r="D330" s="10"/>
      <c r="E330" s="10"/>
      <c r="F330" s="10"/>
      <c r="G330" s="10"/>
      <c r="H330" s="10"/>
      <c r="I330" s="1" t="str">
        <f t="shared" si="12"/>
        <v/>
      </c>
      <c r="J330" s="1" t="s">
        <v>35</v>
      </c>
      <c r="K330" s="1" t="str">
        <f t="shared" si="13"/>
        <v/>
      </c>
      <c r="L330" s="1" t="str">
        <f t="shared" si="14"/>
        <v/>
      </c>
      <c r="M330" s="1">
        <f>IF(OR(Table1[[#This Row],[Std Nom]]="",Table1[[#This Row],[Std Read]]=""),0,Table1[[#This Row],[Std Nom]]-Table1[[#This Row],[Std Read]])</f>
        <v>0</v>
      </c>
      <c r="N330" s="1">
        <f>IF(Calculations!$F$5="ACCREDITED 17025 WITH UNCERTAINTIES",$N$10,0)</f>
        <v>0</v>
      </c>
      <c r="O330" s="1" t="str">
        <f>IFERROR(Table1[[#This Row],[Std Nom]]-(_xlfn.XLOOKUP(Table1[[#This Row],[Manufacturer]]&amp;" "&amp;Table1[[#This Row],[Model]],Table13[MFR &amp; MDL],Table13[Tolerance % CW ],"")/100*Table1[[#This Row],[Std Nom]]),"")</f>
        <v/>
      </c>
      <c r="P330" s="1" t="str">
        <f>IFERROR(Table1[[#This Row],[Std Nom]]+(_xlfn.XLOOKUP(Table1[[#This Row],[Manufacturer]]&amp;" "&amp;Table1[[#This Row],[Model]],Table13[MFR &amp; MDL],Table13[Tolerance % CW ],"")/100*Table1[[#This Row],[Std Nom]]),"")</f>
        <v/>
      </c>
      <c r="Q330" s="1" t="e">
        <f>Table1[[#This Row],[High Tol]]-Table1[[#This Row],[Low Tol]]</f>
        <v>#VALUE!</v>
      </c>
      <c r="R330" s="1">
        <f>2*Table1[[#This Row],[Std Error]]</f>
        <v>0</v>
      </c>
      <c r="S330" s="1" t="str">
        <f>IF(Table1[[#This Row],[High Tol]]="","N/A",IFERROR(ABS(Table1[[#This Row],[Tol Span]]/Table1[[#This Row],[Error Span]]),"N/A"))</f>
        <v>N/A</v>
      </c>
      <c r="T330" s="1" t="str">
        <f>IF(OR(Table1[[#This Row],[Low Tol]]="",Table1[[#This Row],[High Tol]]=""),"Needs Analysis",IF(Table1[[#This Row],[Ratio]]&gt;=4,"Not Significant",IF(Table1[[#This Row],[Ratio]]&gt;=2,"Semi-Significant","Significant")))</f>
        <v>Needs Analysis</v>
      </c>
      <c r="W330" s="1">
        <f>IF(Table1[[#This Row],[Cal Type]]&lt;&gt;"ACCREDITED 17025 WITH UNCERTAINTIES",0,"")</f>
        <v>0</v>
      </c>
      <c r="X330" s="1" t="str">
        <f>IF(Table1[[#This Row],[DUT Read]]="","N/A",Table1[[#This Row],[Std Error]]+Table1[[#This Row],[DUT Read]]+Table1[[#This Row],[DUT Ucty]])</f>
        <v>N/A</v>
      </c>
      <c r="Y330" s="1" t="str">
        <f>IF(Table1[[#This Row],[Std Read]]="","N/A",Table1[[#This Row],[Std Read]]+Table1[[#This Row],[Std Ucty]])</f>
        <v>N/A</v>
      </c>
      <c r="Z3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0" s="1" t="str">
        <f>IF(Table1[[#This Row],[Spec Type]]="","N/A",Table1[[#This Row],[Spec Type]])</f>
        <v>±</v>
      </c>
      <c r="AC330" s="1" t="str">
        <f>IF(Table1[[#This Row],[Spec Type2]]="N/A","N/A",IF(AND(Table1[[#This Row],[DUT Adj Read]]&gt;=Table1[[#This Row],[Low Tol]],Table1[[#This Row],[DUT Adj Read]]&lt;=Table1[[#This Row],[High Tol]]),"Pass","Fail"))</f>
        <v>Fail</v>
      </c>
      <c r="AD330" s="1" t="str">
        <f>IF(AND(Table1[[#This Row],[Spec Type2]]="N/A",Table1[[#This Row],[DUT Adj Read]]="N/A",Table1[[#This Row],[Std Adj Read]]="N/A"),"N/A",IF(Table1[[#This Row],[DUT Adj Read]]="N/A",IF(Table1[[#This Row],[Std Adj Read]]&gt;Table1[[#This Row],[Low Tol]],"Pass","Fail"),IF(Table1[[#This Row],[DUT Adj Read]]&gt;Table1[[#This Row],[Low Tol]],"Pass","Fail")))</f>
        <v>Pass</v>
      </c>
      <c r="AE330" s="1" t="str">
        <f>IF(AND(Table1[[#This Row],[Spec Type2]]="N/A",Table1[[#This Row],[DUT Adj Read]]="N/A",Table1[[#This Row],[Std Adj Read]]="N/A"),"N/A",IF(Table1[[#This Row],[DUT Adj Read]]="N/A",IF(Table1[[#This Row],[Std Adj Read]]&lt;Table1[[#This Row],[High Tol]],"Pass","Fail"),IF(Table1[[#This Row],[DUT Adj Read]]&lt;Table1[[#This Row],[High Tol]],"Pass","Fail")))</f>
        <v>Fail</v>
      </c>
      <c r="AF330" s="1" t="str">
        <f>IF(AND(Table1[[#This Row],[Spec Type2]]="N/A",Table1[[#This Row],[DUT Adj Read]]="N/A",Table1[[#This Row],[Std Adj Read]]="N/A"),"N/A",IF(Table1[[#This Row],[DUT Adj Read]]="N/A",IF(Table1[[#This Row],[Std Adj Read]]&gt;=Table1[[#This Row],[Low Tol]],"Pass","Fail"),IF(Table1[[#This Row],[DUT Adj Read]]&gt;=Table1[[#This Row],[Low Tol]],"Pass","Fail")))</f>
        <v>Pass</v>
      </c>
      <c r="AG330" s="1" t="str">
        <f>IF(AND(Table1[[#This Row],[Spec Type2]]="N/A",Table1[[#This Row],[DUT Adj Read]]="N/A",Table1[[#This Row],[Std Adj Read]]="N/A"),"N/A",IF(Table1[[#This Row],[DUT Adj Read]]="N/A",IF(Table1[[#This Row],[Std Adj Read]]&lt;=Table1[[#This Row],[High Tol]],"Pass","Fail"),IF(Table1[[#This Row],[DUT Adj Read]]&lt;=Table1[[#This Row],[High Tol]],"Pass","Fail")))</f>
        <v>Fail</v>
      </c>
      <c r="AH3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0" s="1" t="b">
        <v>0</v>
      </c>
      <c r="AN330" s="1" t="b">
        <v>0</v>
      </c>
      <c r="AO330" s="1" t="b">
        <v>0</v>
      </c>
    </row>
    <row r="331" spans="1:41" x14ac:dyDescent="0.25">
      <c r="A331" s="10"/>
      <c r="B331" s="10"/>
      <c r="C331" s="10"/>
      <c r="D331" s="10"/>
      <c r="E331" s="10"/>
      <c r="F331" s="10"/>
      <c r="G331" s="10"/>
      <c r="H331" s="10"/>
      <c r="I331" s="1" t="str">
        <f t="shared" ref="I331:I394" si="15">IF($I$10="","",$I$10)</f>
        <v/>
      </c>
      <c r="J331" s="1" t="s">
        <v>35</v>
      </c>
      <c r="K331" s="1" t="str">
        <f t="shared" ref="K331:K394" si="16">IF($K$10="","",$K$10)</f>
        <v/>
      </c>
      <c r="L331" s="1" t="str">
        <f t="shared" ref="L331:L394" si="17">IF($L$10="","",$L$10)</f>
        <v/>
      </c>
      <c r="M331" s="1">
        <f>IF(OR(Table1[[#This Row],[Std Nom]]="",Table1[[#This Row],[Std Read]]=""),0,Table1[[#This Row],[Std Nom]]-Table1[[#This Row],[Std Read]])</f>
        <v>0</v>
      </c>
      <c r="N331" s="1">
        <f>IF(Calculations!$F$5="ACCREDITED 17025 WITH UNCERTAINTIES",$N$10,0)</f>
        <v>0</v>
      </c>
      <c r="O331" s="1" t="str">
        <f>IFERROR(Table1[[#This Row],[Std Nom]]-(_xlfn.XLOOKUP(Table1[[#This Row],[Manufacturer]]&amp;" "&amp;Table1[[#This Row],[Model]],Table13[MFR &amp; MDL],Table13[Tolerance % CW ],"")/100*Table1[[#This Row],[Std Nom]]),"")</f>
        <v/>
      </c>
      <c r="P331" s="1" t="str">
        <f>IFERROR(Table1[[#This Row],[Std Nom]]+(_xlfn.XLOOKUP(Table1[[#This Row],[Manufacturer]]&amp;" "&amp;Table1[[#This Row],[Model]],Table13[MFR &amp; MDL],Table13[Tolerance % CW ],"")/100*Table1[[#This Row],[Std Nom]]),"")</f>
        <v/>
      </c>
      <c r="Q331" s="1" t="e">
        <f>Table1[[#This Row],[High Tol]]-Table1[[#This Row],[Low Tol]]</f>
        <v>#VALUE!</v>
      </c>
      <c r="R331" s="1">
        <f>2*Table1[[#This Row],[Std Error]]</f>
        <v>0</v>
      </c>
      <c r="S331" s="1" t="str">
        <f>IF(Table1[[#This Row],[High Tol]]="","N/A",IFERROR(ABS(Table1[[#This Row],[Tol Span]]/Table1[[#This Row],[Error Span]]),"N/A"))</f>
        <v>N/A</v>
      </c>
      <c r="T331" s="1" t="str">
        <f>IF(OR(Table1[[#This Row],[Low Tol]]="",Table1[[#This Row],[High Tol]]=""),"Needs Analysis",IF(Table1[[#This Row],[Ratio]]&gt;=4,"Not Significant",IF(Table1[[#This Row],[Ratio]]&gt;=2,"Semi-Significant","Significant")))</f>
        <v>Needs Analysis</v>
      </c>
      <c r="W331" s="1">
        <f>IF(Table1[[#This Row],[Cal Type]]&lt;&gt;"ACCREDITED 17025 WITH UNCERTAINTIES",0,"")</f>
        <v>0</v>
      </c>
      <c r="X331" s="1" t="str">
        <f>IF(Table1[[#This Row],[DUT Read]]="","N/A",Table1[[#This Row],[Std Error]]+Table1[[#This Row],[DUT Read]]+Table1[[#This Row],[DUT Ucty]])</f>
        <v>N/A</v>
      </c>
      <c r="Y331" s="1" t="str">
        <f>IF(Table1[[#This Row],[Std Read]]="","N/A",Table1[[#This Row],[Std Read]]+Table1[[#This Row],[Std Ucty]])</f>
        <v>N/A</v>
      </c>
      <c r="Z3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1" s="1" t="str">
        <f>IF(Table1[[#This Row],[Spec Type]]="","N/A",Table1[[#This Row],[Spec Type]])</f>
        <v>±</v>
      </c>
      <c r="AC331" s="1" t="str">
        <f>IF(Table1[[#This Row],[Spec Type2]]="N/A","N/A",IF(AND(Table1[[#This Row],[DUT Adj Read]]&gt;=Table1[[#This Row],[Low Tol]],Table1[[#This Row],[DUT Adj Read]]&lt;=Table1[[#This Row],[High Tol]]),"Pass","Fail"))</f>
        <v>Fail</v>
      </c>
      <c r="AD331" s="1" t="str">
        <f>IF(AND(Table1[[#This Row],[Spec Type2]]="N/A",Table1[[#This Row],[DUT Adj Read]]="N/A",Table1[[#This Row],[Std Adj Read]]="N/A"),"N/A",IF(Table1[[#This Row],[DUT Adj Read]]="N/A",IF(Table1[[#This Row],[Std Adj Read]]&gt;Table1[[#This Row],[Low Tol]],"Pass","Fail"),IF(Table1[[#This Row],[DUT Adj Read]]&gt;Table1[[#This Row],[Low Tol]],"Pass","Fail")))</f>
        <v>Pass</v>
      </c>
      <c r="AE331" s="1" t="str">
        <f>IF(AND(Table1[[#This Row],[Spec Type2]]="N/A",Table1[[#This Row],[DUT Adj Read]]="N/A",Table1[[#This Row],[Std Adj Read]]="N/A"),"N/A",IF(Table1[[#This Row],[DUT Adj Read]]="N/A",IF(Table1[[#This Row],[Std Adj Read]]&lt;Table1[[#This Row],[High Tol]],"Pass","Fail"),IF(Table1[[#This Row],[DUT Adj Read]]&lt;Table1[[#This Row],[High Tol]],"Pass","Fail")))</f>
        <v>Fail</v>
      </c>
      <c r="AF331" s="1" t="str">
        <f>IF(AND(Table1[[#This Row],[Spec Type2]]="N/A",Table1[[#This Row],[DUT Adj Read]]="N/A",Table1[[#This Row],[Std Adj Read]]="N/A"),"N/A",IF(Table1[[#This Row],[DUT Adj Read]]="N/A",IF(Table1[[#This Row],[Std Adj Read]]&gt;=Table1[[#This Row],[Low Tol]],"Pass","Fail"),IF(Table1[[#This Row],[DUT Adj Read]]&gt;=Table1[[#This Row],[Low Tol]],"Pass","Fail")))</f>
        <v>Pass</v>
      </c>
      <c r="AG331" s="1" t="str">
        <f>IF(AND(Table1[[#This Row],[Spec Type2]]="N/A",Table1[[#This Row],[DUT Adj Read]]="N/A",Table1[[#This Row],[Std Adj Read]]="N/A"),"N/A",IF(Table1[[#This Row],[DUT Adj Read]]="N/A",IF(Table1[[#This Row],[Std Adj Read]]&lt;=Table1[[#This Row],[High Tol]],"Pass","Fail"),IF(Table1[[#This Row],[DUT Adj Read]]&lt;=Table1[[#This Row],[High Tol]],"Pass","Fail")))</f>
        <v>Fail</v>
      </c>
      <c r="AH3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1" s="1" t="b">
        <v>0</v>
      </c>
      <c r="AN331" s="1" t="b">
        <v>0</v>
      </c>
      <c r="AO331" s="1" t="b">
        <v>0</v>
      </c>
    </row>
    <row r="332" spans="1:41" x14ac:dyDescent="0.25">
      <c r="A332" s="10"/>
      <c r="B332" s="10"/>
      <c r="C332" s="10"/>
      <c r="D332" s="10"/>
      <c r="E332" s="10"/>
      <c r="F332" s="10"/>
      <c r="G332" s="10"/>
      <c r="H332" s="10"/>
      <c r="I332" s="1" t="str">
        <f t="shared" si="15"/>
        <v/>
      </c>
      <c r="J332" s="1" t="s">
        <v>35</v>
      </c>
      <c r="K332" s="1" t="str">
        <f t="shared" si="16"/>
        <v/>
      </c>
      <c r="L332" s="1" t="str">
        <f t="shared" si="17"/>
        <v/>
      </c>
      <c r="M332" s="1">
        <f>IF(OR(Table1[[#This Row],[Std Nom]]="",Table1[[#This Row],[Std Read]]=""),0,Table1[[#This Row],[Std Nom]]-Table1[[#This Row],[Std Read]])</f>
        <v>0</v>
      </c>
      <c r="N332" s="1">
        <f>IF(Calculations!$F$5="ACCREDITED 17025 WITH UNCERTAINTIES",$N$10,0)</f>
        <v>0</v>
      </c>
      <c r="O332" s="1" t="str">
        <f>IFERROR(Table1[[#This Row],[Std Nom]]-(_xlfn.XLOOKUP(Table1[[#This Row],[Manufacturer]]&amp;" "&amp;Table1[[#This Row],[Model]],Table13[MFR &amp; MDL],Table13[Tolerance % CW ],"")/100*Table1[[#This Row],[Std Nom]]),"")</f>
        <v/>
      </c>
      <c r="P332" s="1" t="str">
        <f>IFERROR(Table1[[#This Row],[Std Nom]]+(_xlfn.XLOOKUP(Table1[[#This Row],[Manufacturer]]&amp;" "&amp;Table1[[#This Row],[Model]],Table13[MFR &amp; MDL],Table13[Tolerance % CW ],"")/100*Table1[[#This Row],[Std Nom]]),"")</f>
        <v/>
      </c>
      <c r="Q332" s="1" t="e">
        <f>Table1[[#This Row],[High Tol]]-Table1[[#This Row],[Low Tol]]</f>
        <v>#VALUE!</v>
      </c>
      <c r="R332" s="1">
        <f>2*Table1[[#This Row],[Std Error]]</f>
        <v>0</v>
      </c>
      <c r="S332" s="1" t="str">
        <f>IF(Table1[[#This Row],[High Tol]]="","N/A",IFERROR(ABS(Table1[[#This Row],[Tol Span]]/Table1[[#This Row],[Error Span]]),"N/A"))</f>
        <v>N/A</v>
      </c>
      <c r="T332" s="1" t="str">
        <f>IF(OR(Table1[[#This Row],[Low Tol]]="",Table1[[#This Row],[High Tol]]=""),"Needs Analysis",IF(Table1[[#This Row],[Ratio]]&gt;=4,"Not Significant",IF(Table1[[#This Row],[Ratio]]&gt;=2,"Semi-Significant","Significant")))</f>
        <v>Needs Analysis</v>
      </c>
      <c r="W332" s="1">
        <f>IF(Table1[[#This Row],[Cal Type]]&lt;&gt;"ACCREDITED 17025 WITH UNCERTAINTIES",0,"")</f>
        <v>0</v>
      </c>
      <c r="X332" s="1" t="str">
        <f>IF(Table1[[#This Row],[DUT Read]]="","N/A",Table1[[#This Row],[Std Error]]+Table1[[#This Row],[DUT Read]]+Table1[[#This Row],[DUT Ucty]])</f>
        <v>N/A</v>
      </c>
      <c r="Y332" s="1" t="str">
        <f>IF(Table1[[#This Row],[Std Read]]="","N/A",Table1[[#This Row],[Std Read]]+Table1[[#This Row],[Std Ucty]])</f>
        <v>N/A</v>
      </c>
      <c r="Z3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2" s="1" t="str">
        <f>IF(Table1[[#This Row],[Spec Type]]="","N/A",Table1[[#This Row],[Spec Type]])</f>
        <v>±</v>
      </c>
      <c r="AC332" s="1" t="str">
        <f>IF(Table1[[#This Row],[Spec Type2]]="N/A","N/A",IF(AND(Table1[[#This Row],[DUT Adj Read]]&gt;=Table1[[#This Row],[Low Tol]],Table1[[#This Row],[DUT Adj Read]]&lt;=Table1[[#This Row],[High Tol]]),"Pass","Fail"))</f>
        <v>Fail</v>
      </c>
      <c r="AD332" s="1" t="str">
        <f>IF(AND(Table1[[#This Row],[Spec Type2]]="N/A",Table1[[#This Row],[DUT Adj Read]]="N/A",Table1[[#This Row],[Std Adj Read]]="N/A"),"N/A",IF(Table1[[#This Row],[DUT Adj Read]]="N/A",IF(Table1[[#This Row],[Std Adj Read]]&gt;Table1[[#This Row],[Low Tol]],"Pass","Fail"),IF(Table1[[#This Row],[DUT Adj Read]]&gt;Table1[[#This Row],[Low Tol]],"Pass","Fail")))</f>
        <v>Pass</v>
      </c>
      <c r="AE332" s="1" t="str">
        <f>IF(AND(Table1[[#This Row],[Spec Type2]]="N/A",Table1[[#This Row],[DUT Adj Read]]="N/A",Table1[[#This Row],[Std Adj Read]]="N/A"),"N/A",IF(Table1[[#This Row],[DUT Adj Read]]="N/A",IF(Table1[[#This Row],[Std Adj Read]]&lt;Table1[[#This Row],[High Tol]],"Pass","Fail"),IF(Table1[[#This Row],[DUT Adj Read]]&lt;Table1[[#This Row],[High Tol]],"Pass","Fail")))</f>
        <v>Fail</v>
      </c>
      <c r="AF332" s="1" t="str">
        <f>IF(AND(Table1[[#This Row],[Spec Type2]]="N/A",Table1[[#This Row],[DUT Adj Read]]="N/A",Table1[[#This Row],[Std Adj Read]]="N/A"),"N/A",IF(Table1[[#This Row],[DUT Adj Read]]="N/A",IF(Table1[[#This Row],[Std Adj Read]]&gt;=Table1[[#This Row],[Low Tol]],"Pass","Fail"),IF(Table1[[#This Row],[DUT Adj Read]]&gt;=Table1[[#This Row],[Low Tol]],"Pass","Fail")))</f>
        <v>Pass</v>
      </c>
      <c r="AG332" s="1" t="str">
        <f>IF(AND(Table1[[#This Row],[Spec Type2]]="N/A",Table1[[#This Row],[DUT Adj Read]]="N/A",Table1[[#This Row],[Std Adj Read]]="N/A"),"N/A",IF(Table1[[#This Row],[DUT Adj Read]]="N/A",IF(Table1[[#This Row],[Std Adj Read]]&lt;=Table1[[#This Row],[High Tol]],"Pass","Fail"),IF(Table1[[#This Row],[DUT Adj Read]]&lt;=Table1[[#This Row],[High Tol]],"Pass","Fail")))</f>
        <v>Fail</v>
      </c>
      <c r="AH3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2" s="1" t="b">
        <v>0</v>
      </c>
      <c r="AN332" s="1" t="b">
        <v>0</v>
      </c>
      <c r="AO332" s="1" t="b">
        <v>0</v>
      </c>
    </row>
    <row r="333" spans="1:41" x14ac:dyDescent="0.25">
      <c r="A333" s="10"/>
      <c r="B333" s="10"/>
      <c r="C333" s="10"/>
      <c r="D333" s="10"/>
      <c r="E333" s="10"/>
      <c r="F333" s="10"/>
      <c r="G333" s="10"/>
      <c r="H333" s="10"/>
      <c r="I333" s="1" t="str">
        <f t="shared" si="15"/>
        <v/>
      </c>
      <c r="J333" s="1" t="s">
        <v>35</v>
      </c>
      <c r="K333" s="1" t="str">
        <f t="shared" si="16"/>
        <v/>
      </c>
      <c r="L333" s="1" t="str">
        <f t="shared" si="17"/>
        <v/>
      </c>
      <c r="M333" s="1">
        <f>IF(OR(Table1[[#This Row],[Std Nom]]="",Table1[[#This Row],[Std Read]]=""),0,Table1[[#This Row],[Std Nom]]-Table1[[#This Row],[Std Read]])</f>
        <v>0</v>
      </c>
      <c r="N333" s="1">
        <f>IF(Calculations!$F$5="ACCREDITED 17025 WITH UNCERTAINTIES",$N$10,0)</f>
        <v>0</v>
      </c>
      <c r="O333" s="1" t="str">
        <f>IFERROR(Table1[[#This Row],[Std Nom]]-(_xlfn.XLOOKUP(Table1[[#This Row],[Manufacturer]]&amp;" "&amp;Table1[[#This Row],[Model]],Table13[MFR &amp; MDL],Table13[Tolerance % CW ],"")/100*Table1[[#This Row],[Std Nom]]),"")</f>
        <v/>
      </c>
      <c r="P333" s="1" t="str">
        <f>IFERROR(Table1[[#This Row],[Std Nom]]+(_xlfn.XLOOKUP(Table1[[#This Row],[Manufacturer]]&amp;" "&amp;Table1[[#This Row],[Model]],Table13[MFR &amp; MDL],Table13[Tolerance % CW ],"")/100*Table1[[#This Row],[Std Nom]]),"")</f>
        <v/>
      </c>
      <c r="Q333" s="1" t="e">
        <f>Table1[[#This Row],[High Tol]]-Table1[[#This Row],[Low Tol]]</f>
        <v>#VALUE!</v>
      </c>
      <c r="R333" s="1">
        <f>2*Table1[[#This Row],[Std Error]]</f>
        <v>0</v>
      </c>
      <c r="S333" s="1" t="str">
        <f>IF(Table1[[#This Row],[High Tol]]="","N/A",IFERROR(ABS(Table1[[#This Row],[Tol Span]]/Table1[[#This Row],[Error Span]]),"N/A"))</f>
        <v>N/A</v>
      </c>
      <c r="T333" s="1" t="str">
        <f>IF(OR(Table1[[#This Row],[Low Tol]]="",Table1[[#This Row],[High Tol]]=""),"Needs Analysis",IF(Table1[[#This Row],[Ratio]]&gt;=4,"Not Significant",IF(Table1[[#This Row],[Ratio]]&gt;=2,"Semi-Significant","Significant")))</f>
        <v>Needs Analysis</v>
      </c>
      <c r="W333" s="1">
        <f>IF(Table1[[#This Row],[Cal Type]]&lt;&gt;"ACCREDITED 17025 WITH UNCERTAINTIES",0,"")</f>
        <v>0</v>
      </c>
      <c r="X333" s="1" t="str">
        <f>IF(Table1[[#This Row],[DUT Read]]="","N/A",Table1[[#This Row],[Std Error]]+Table1[[#This Row],[DUT Read]]+Table1[[#This Row],[DUT Ucty]])</f>
        <v>N/A</v>
      </c>
      <c r="Y333" s="1" t="str">
        <f>IF(Table1[[#This Row],[Std Read]]="","N/A",Table1[[#This Row],[Std Read]]+Table1[[#This Row],[Std Ucty]])</f>
        <v>N/A</v>
      </c>
      <c r="Z3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3" s="1" t="str">
        <f>IF(Table1[[#This Row],[Spec Type]]="","N/A",Table1[[#This Row],[Spec Type]])</f>
        <v>±</v>
      </c>
      <c r="AC333" s="1" t="str">
        <f>IF(Table1[[#This Row],[Spec Type2]]="N/A","N/A",IF(AND(Table1[[#This Row],[DUT Adj Read]]&gt;=Table1[[#This Row],[Low Tol]],Table1[[#This Row],[DUT Adj Read]]&lt;=Table1[[#This Row],[High Tol]]),"Pass","Fail"))</f>
        <v>Fail</v>
      </c>
      <c r="AD333" s="1" t="str">
        <f>IF(AND(Table1[[#This Row],[Spec Type2]]="N/A",Table1[[#This Row],[DUT Adj Read]]="N/A",Table1[[#This Row],[Std Adj Read]]="N/A"),"N/A",IF(Table1[[#This Row],[DUT Adj Read]]="N/A",IF(Table1[[#This Row],[Std Adj Read]]&gt;Table1[[#This Row],[Low Tol]],"Pass","Fail"),IF(Table1[[#This Row],[DUT Adj Read]]&gt;Table1[[#This Row],[Low Tol]],"Pass","Fail")))</f>
        <v>Pass</v>
      </c>
      <c r="AE333" s="1" t="str">
        <f>IF(AND(Table1[[#This Row],[Spec Type2]]="N/A",Table1[[#This Row],[DUT Adj Read]]="N/A",Table1[[#This Row],[Std Adj Read]]="N/A"),"N/A",IF(Table1[[#This Row],[DUT Adj Read]]="N/A",IF(Table1[[#This Row],[Std Adj Read]]&lt;Table1[[#This Row],[High Tol]],"Pass","Fail"),IF(Table1[[#This Row],[DUT Adj Read]]&lt;Table1[[#This Row],[High Tol]],"Pass","Fail")))</f>
        <v>Fail</v>
      </c>
      <c r="AF333" s="1" t="str">
        <f>IF(AND(Table1[[#This Row],[Spec Type2]]="N/A",Table1[[#This Row],[DUT Adj Read]]="N/A",Table1[[#This Row],[Std Adj Read]]="N/A"),"N/A",IF(Table1[[#This Row],[DUT Adj Read]]="N/A",IF(Table1[[#This Row],[Std Adj Read]]&gt;=Table1[[#This Row],[Low Tol]],"Pass","Fail"),IF(Table1[[#This Row],[DUT Adj Read]]&gt;=Table1[[#This Row],[Low Tol]],"Pass","Fail")))</f>
        <v>Pass</v>
      </c>
      <c r="AG333" s="1" t="str">
        <f>IF(AND(Table1[[#This Row],[Spec Type2]]="N/A",Table1[[#This Row],[DUT Adj Read]]="N/A",Table1[[#This Row],[Std Adj Read]]="N/A"),"N/A",IF(Table1[[#This Row],[DUT Adj Read]]="N/A",IF(Table1[[#This Row],[Std Adj Read]]&lt;=Table1[[#This Row],[High Tol]],"Pass","Fail"),IF(Table1[[#This Row],[DUT Adj Read]]&lt;=Table1[[#This Row],[High Tol]],"Pass","Fail")))</f>
        <v>Fail</v>
      </c>
      <c r="AH3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3" s="1" t="b">
        <v>0</v>
      </c>
      <c r="AN333" s="1" t="b">
        <v>0</v>
      </c>
      <c r="AO333" s="1" t="b">
        <v>0</v>
      </c>
    </row>
    <row r="334" spans="1:41" x14ac:dyDescent="0.25">
      <c r="A334" s="10"/>
      <c r="B334" s="10"/>
      <c r="C334" s="10"/>
      <c r="D334" s="10"/>
      <c r="E334" s="10"/>
      <c r="F334" s="10"/>
      <c r="G334" s="10"/>
      <c r="H334" s="10"/>
      <c r="I334" s="1" t="str">
        <f t="shared" si="15"/>
        <v/>
      </c>
      <c r="J334" s="1" t="s">
        <v>35</v>
      </c>
      <c r="K334" s="1" t="str">
        <f t="shared" si="16"/>
        <v/>
      </c>
      <c r="L334" s="1" t="str">
        <f t="shared" si="17"/>
        <v/>
      </c>
      <c r="M334" s="1">
        <f>IF(OR(Table1[[#This Row],[Std Nom]]="",Table1[[#This Row],[Std Read]]=""),0,Table1[[#This Row],[Std Nom]]-Table1[[#This Row],[Std Read]])</f>
        <v>0</v>
      </c>
      <c r="N334" s="1">
        <f>IF(Calculations!$F$5="ACCREDITED 17025 WITH UNCERTAINTIES",$N$10,0)</f>
        <v>0</v>
      </c>
      <c r="O334" s="1" t="str">
        <f>IFERROR(Table1[[#This Row],[Std Nom]]-(_xlfn.XLOOKUP(Table1[[#This Row],[Manufacturer]]&amp;" "&amp;Table1[[#This Row],[Model]],Table13[MFR &amp; MDL],Table13[Tolerance % CW ],"")/100*Table1[[#This Row],[Std Nom]]),"")</f>
        <v/>
      </c>
      <c r="P334" s="1" t="str">
        <f>IFERROR(Table1[[#This Row],[Std Nom]]+(_xlfn.XLOOKUP(Table1[[#This Row],[Manufacturer]]&amp;" "&amp;Table1[[#This Row],[Model]],Table13[MFR &amp; MDL],Table13[Tolerance % CW ],"")/100*Table1[[#This Row],[Std Nom]]),"")</f>
        <v/>
      </c>
      <c r="Q334" s="1" t="e">
        <f>Table1[[#This Row],[High Tol]]-Table1[[#This Row],[Low Tol]]</f>
        <v>#VALUE!</v>
      </c>
      <c r="R334" s="1">
        <f>2*Table1[[#This Row],[Std Error]]</f>
        <v>0</v>
      </c>
      <c r="S334" s="1" t="str">
        <f>IF(Table1[[#This Row],[High Tol]]="","N/A",IFERROR(ABS(Table1[[#This Row],[Tol Span]]/Table1[[#This Row],[Error Span]]),"N/A"))</f>
        <v>N/A</v>
      </c>
      <c r="T334" s="1" t="str">
        <f>IF(OR(Table1[[#This Row],[Low Tol]]="",Table1[[#This Row],[High Tol]]=""),"Needs Analysis",IF(Table1[[#This Row],[Ratio]]&gt;=4,"Not Significant",IF(Table1[[#This Row],[Ratio]]&gt;=2,"Semi-Significant","Significant")))</f>
        <v>Needs Analysis</v>
      </c>
      <c r="W334" s="1">
        <f>IF(Table1[[#This Row],[Cal Type]]&lt;&gt;"ACCREDITED 17025 WITH UNCERTAINTIES",0,"")</f>
        <v>0</v>
      </c>
      <c r="X334" s="1" t="str">
        <f>IF(Table1[[#This Row],[DUT Read]]="","N/A",Table1[[#This Row],[Std Error]]+Table1[[#This Row],[DUT Read]]+Table1[[#This Row],[DUT Ucty]])</f>
        <v>N/A</v>
      </c>
      <c r="Y334" s="1" t="str">
        <f>IF(Table1[[#This Row],[Std Read]]="","N/A",Table1[[#This Row],[Std Read]]+Table1[[#This Row],[Std Ucty]])</f>
        <v>N/A</v>
      </c>
      <c r="Z3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4" s="1" t="str">
        <f>IF(Table1[[#This Row],[Spec Type]]="","N/A",Table1[[#This Row],[Spec Type]])</f>
        <v>±</v>
      </c>
      <c r="AC334" s="1" t="str">
        <f>IF(Table1[[#This Row],[Spec Type2]]="N/A","N/A",IF(AND(Table1[[#This Row],[DUT Adj Read]]&gt;=Table1[[#This Row],[Low Tol]],Table1[[#This Row],[DUT Adj Read]]&lt;=Table1[[#This Row],[High Tol]]),"Pass","Fail"))</f>
        <v>Fail</v>
      </c>
      <c r="AD334" s="1" t="str">
        <f>IF(AND(Table1[[#This Row],[Spec Type2]]="N/A",Table1[[#This Row],[DUT Adj Read]]="N/A",Table1[[#This Row],[Std Adj Read]]="N/A"),"N/A",IF(Table1[[#This Row],[DUT Adj Read]]="N/A",IF(Table1[[#This Row],[Std Adj Read]]&gt;Table1[[#This Row],[Low Tol]],"Pass","Fail"),IF(Table1[[#This Row],[DUT Adj Read]]&gt;Table1[[#This Row],[Low Tol]],"Pass","Fail")))</f>
        <v>Pass</v>
      </c>
      <c r="AE334" s="1" t="str">
        <f>IF(AND(Table1[[#This Row],[Spec Type2]]="N/A",Table1[[#This Row],[DUT Adj Read]]="N/A",Table1[[#This Row],[Std Adj Read]]="N/A"),"N/A",IF(Table1[[#This Row],[DUT Adj Read]]="N/A",IF(Table1[[#This Row],[Std Adj Read]]&lt;Table1[[#This Row],[High Tol]],"Pass","Fail"),IF(Table1[[#This Row],[DUT Adj Read]]&lt;Table1[[#This Row],[High Tol]],"Pass","Fail")))</f>
        <v>Fail</v>
      </c>
      <c r="AF334" s="1" t="str">
        <f>IF(AND(Table1[[#This Row],[Spec Type2]]="N/A",Table1[[#This Row],[DUT Adj Read]]="N/A",Table1[[#This Row],[Std Adj Read]]="N/A"),"N/A",IF(Table1[[#This Row],[DUT Adj Read]]="N/A",IF(Table1[[#This Row],[Std Adj Read]]&gt;=Table1[[#This Row],[Low Tol]],"Pass","Fail"),IF(Table1[[#This Row],[DUT Adj Read]]&gt;=Table1[[#This Row],[Low Tol]],"Pass","Fail")))</f>
        <v>Pass</v>
      </c>
      <c r="AG334" s="1" t="str">
        <f>IF(AND(Table1[[#This Row],[Spec Type2]]="N/A",Table1[[#This Row],[DUT Adj Read]]="N/A",Table1[[#This Row],[Std Adj Read]]="N/A"),"N/A",IF(Table1[[#This Row],[DUT Adj Read]]="N/A",IF(Table1[[#This Row],[Std Adj Read]]&lt;=Table1[[#This Row],[High Tol]],"Pass","Fail"),IF(Table1[[#This Row],[DUT Adj Read]]&lt;=Table1[[#This Row],[High Tol]],"Pass","Fail")))</f>
        <v>Fail</v>
      </c>
      <c r="AH3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4" s="1" t="b">
        <v>0</v>
      </c>
      <c r="AN334" s="1" t="b">
        <v>0</v>
      </c>
      <c r="AO334" s="1" t="b">
        <v>0</v>
      </c>
    </row>
    <row r="335" spans="1:41" x14ac:dyDescent="0.25">
      <c r="A335" s="10"/>
      <c r="B335" s="10"/>
      <c r="C335" s="10"/>
      <c r="D335" s="10"/>
      <c r="E335" s="10"/>
      <c r="F335" s="10"/>
      <c r="G335" s="10"/>
      <c r="H335" s="10"/>
      <c r="I335" s="1" t="str">
        <f t="shared" si="15"/>
        <v/>
      </c>
      <c r="J335" s="1" t="s">
        <v>35</v>
      </c>
      <c r="K335" s="1" t="str">
        <f t="shared" si="16"/>
        <v/>
      </c>
      <c r="L335" s="1" t="str">
        <f t="shared" si="17"/>
        <v/>
      </c>
      <c r="M335" s="1">
        <f>IF(OR(Table1[[#This Row],[Std Nom]]="",Table1[[#This Row],[Std Read]]=""),0,Table1[[#This Row],[Std Nom]]-Table1[[#This Row],[Std Read]])</f>
        <v>0</v>
      </c>
      <c r="N335" s="1">
        <f>IF(Calculations!$F$5="ACCREDITED 17025 WITH UNCERTAINTIES",$N$10,0)</f>
        <v>0</v>
      </c>
      <c r="O335" s="1" t="str">
        <f>IFERROR(Table1[[#This Row],[Std Nom]]-(_xlfn.XLOOKUP(Table1[[#This Row],[Manufacturer]]&amp;" "&amp;Table1[[#This Row],[Model]],Table13[MFR &amp; MDL],Table13[Tolerance % CW ],"")/100*Table1[[#This Row],[Std Nom]]),"")</f>
        <v/>
      </c>
      <c r="P335" s="1" t="str">
        <f>IFERROR(Table1[[#This Row],[Std Nom]]+(_xlfn.XLOOKUP(Table1[[#This Row],[Manufacturer]]&amp;" "&amp;Table1[[#This Row],[Model]],Table13[MFR &amp; MDL],Table13[Tolerance % CW ],"")/100*Table1[[#This Row],[Std Nom]]),"")</f>
        <v/>
      </c>
      <c r="Q335" s="1" t="e">
        <f>Table1[[#This Row],[High Tol]]-Table1[[#This Row],[Low Tol]]</f>
        <v>#VALUE!</v>
      </c>
      <c r="R335" s="1">
        <f>2*Table1[[#This Row],[Std Error]]</f>
        <v>0</v>
      </c>
      <c r="S335" s="1" t="str">
        <f>IF(Table1[[#This Row],[High Tol]]="","N/A",IFERROR(ABS(Table1[[#This Row],[Tol Span]]/Table1[[#This Row],[Error Span]]),"N/A"))</f>
        <v>N/A</v>
      </c>
      <c r="T335" s="1" t="str">
        <f>IF(OR(Table1[[#This Row],[Low Tol]]="",Table1[[#This Row],[High Tol]]=""),"Needs Analysis",IF(Table1[[#This Row],[Ratio]]&gt;=4,"Not Significant",IF(Table1[[#This Row],[Ratio]]&gt;=2,"Semi-Significant","Significant")))</f>
        <v>Needs Analysis</v>
      </c>
      <c r="W335" s="1">
        <f>IF(Table1[[#This Row],[Cal Type]]&lt;&gt;"ACCREDITED 17025 WITH UNCERTAINTIES",0,"")</f>
        <v>0</v>
      </c>
      <c r="X335" s="1" t="str">
        <f>IF(Table1[[#This Row],[DUT Read]]="","N/A",Table1[[#This Row],[Std Error]]+Table1[[#This Row],[DUT Read]]+Table1[[#This Row],[DUT Ucty]])</f>
        <v>N/A</v>
      </c>
      <c r="Y335" s="1" t="str">
        <f>IF(Table1[[#This Row],[Std Read]]="","N/A",Table1[[#This Row],[Std Read]]+Table1[[#This Row],[Std Ucty]])</f>
        <v>N/A</v>
      </c>
      <c r="Z3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5" s="1" t="str">
        <f>IF(Table1[[#This Row],[Spec Type]]="","N/A",Table1[[#This Row],[Spec Type]])</f>
        <v>±</v>
      </c>
      <c r="AC335" s="1" t="str">
        <f>IF(Table1[[#This Row],[Spec Type2]]="N/A","N/A",IF(AND(Table1[[#This Row],[DUT Adj Read]]&gt;=Table1[[#This Row],[Low Tol]],Table1[[#This Row],[DUT Adj Read]]&lt;=Table1[[#This Row],[High Tol]]),"Pass","Fail"))</f>
        <v>Fail</v>
      </c>
      <c r="AD335" s="1" t="str">
        <f>IF(AND(Table1[[#This Row],[Spec Type2]]="N/A",Table1[[#This Row],[DUT Adj Read]]="N/A",Table1[[#This Row],[Std Adj Read]]="N/A"),"N/A",IF(Table1[[#This Row],[DUT Adj Read]]="N/A",IF(Table1[[#This Row],[Std Adj Read]]&gt;Table1[[#This Row],[Low Tol]],"Pass","Fail"),IF(Table1[[#This Row],[DUT Adj Read]]&gt;Table1[[#This Row],[Low Tol]],"Pass","Fail")))</f>
        <v>Pass</v>
      </c>
      <c r="AE335" s="1" t="str">
        <f>IF(AND(Table1[[#This Row],[Spec Type2]]="N/A",Table1[[#This Row],[DUT Adj Read]]="N/A",Table1[[#This Row],[Std Adj Read]]="N/A"),"N/A",IF(Table1[[#This Row],[DUT Adj Read]]="N/A",IF(Table1[[#This Row],[Std Adj Read]]&lt;Table1[[#This Row],[High Tol]],"Pass","Fail"),IF(Table1[[#This Row],[DUT Adj Read]]&lt;Table1[[#This Row],[High Tol]],"Pass","Fail")))</f>
        <v>Fail</v>
      </c>
      <c r="AF335" s="1" t="str">
        <f>IF(AND(Table1[[#This Row],[Spec Type2]]="N/A",Table1[[#This Row],[DUT Adj Read]]="N/A",Table1[[#This Row],[Std Adj Read]]="N/A"),"N/A",IF(Table1[[#This Row],[DUT Adj Read]]="N/A",IF(Table1[[#This Row],[Std Adj Read]]&gt;=Table1[[#This Row],[Low Tol]],"Pass","Fail"),IF(Table1[[#This Row],[DUT Adj Read]]&gt;=Table1[[#This Row],[Low Tol]],"Pass","Fail")))</f>
        <v>Pass</v>
      </c>
      <c r="AG335" s="1" t="str">
        <f>IF(AND(Table1[[#This Row],[Spec Type2]]="N/A",Table1[[#This Row],[DUT Adj Read]]="N/A",Table1[[#This Row],[Std Adj Read]]="N/A"),"N/A",IF(Table1[[#This Row],[DUT Adj Read]]="N/A",IF(Table1[[#This Row],[Std Adj Read]]&lt;=Table1[[#This Row],[High Tol]],"Pass","Fail"),IF(Table1[[#This Row],[DUT Adj Read]]&lt;=Table1[[#This Row],[High Tol]],"Pass","Fail")))</f>
        <v>Fail</v>
      </c>
      <c r="AH3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5" s="1" t="b">
        <v>0</v>
      </c>
      <c r="AN335" s="1" t="b">
        <v>0</v>
      </c>
      <c r="AO335" s="1" t="b">
        <v>0</v>
      </c>
    </row>
    <row r="336" spans="1:41" x14ac:dyDescent="0.25">
      <c r="A336" s="10"/>
      <c r="B336" s="10"/>
      <c r="C336" s="10"/>
      <c r="D336" s="10"/>
      <c r="E336" s="10"/>
      <c r="F336" s="10"/>
      <c r="G336" s="10"/>
      <c r="H336" s="10"/>
      <c r="I336" s="1" t="str">
        <f t="shared" si="15"/>
        <v/>
      </c>
      <c r="J336" s="1" t="s">
        <v>35</v>
      </c>
      <c r="K336" s="1" t="str">
        <f t="shared" si="16"/>
        <v/>
      </c>
      <c r="L336" s="1" t="str">
        <f t="shared" si="17"/>
        <v/>
      </c>
      <c r="M336" s="1">
        <f>IF(OR(Table1[[#This Row],[Std Nom]]="",Table1[[#This Row],[Std Read]]=""),0,Table1[[#This Row],[Std Nom]]-Table1[[#This Row],[Std Read]])</f>
        <v>0</v>
      </c>
      <c r="N336" s="1">
        <f>IF(Calculations!$F$5="ACCREDITED 17025 WITH UNCERTAINTIES",$N$10,0)</f>
        <v>0</v>
      </c>
      <c r="O336" s="1" t="str">
        <f>IFERROR(Table1[[#This Row],[Std Nom]]-(_xlfn.XLOOKUP(Table1[[#This Row],[Manufacturer]]&amp;" "&amp;Table1[[#This Row],[Model]],Table13[MFR &amp; MDL],Table13[Tolerance % CW ],"")/100*Table1[[#This Row],[Std Nom]]),"")</f>
        <v/>
      </c>
      <c r="P336" s="1" t="str">
        <f>IFERROR(Table1[[#This Row],[Std Nom]]+(_xlfn.XLOOKUP(Table1[[#This Row],[Manufacturer]]&amp;" "&amp;Table1[[#This Row],[Model]],Table13[MFR &amp; MDL],Table13[Tolerance % CW ],"")/100*Table1[[#This Row],[Std Nom]]),"")</f>
        <v/>
      </c>
      <c r="Q336" s="1" t="e">
        <f>Table1[[#This Row],[High Tol]]-Table1[[#This Row],[Low Tol]]</f>
        <v>#VALUE!</v>
      </c>
      <c r="R336" s="1">
        <f>2*Table1[[#This Row],[Std Error]]</f>
        <v>0</v>
      </c>
      <c r="S336" s="1" t="str">
        <f>IF(Table1[[#This Row],[High Tol]]="","N/A",IFERROR(ABS(Table1[[#This Row],[Tol Span]]/Table1[[#This Row],[Error Span]]),"N/A"))</f>
        <v>N/A</v>
      </c>
      <c r="T336" s="1" t="str">
        <f>IF(OR(Table1[[#This Row],[Low Tol]]="",Table1[[#This Row],[High Tol]]=""),"Needs Analysis",IF(Table1[[#This Row],[Ratio]]&gt;=4,"Not Significant",IF(Table1[[#This Row],[Ratio]]&gt;=2,"Semi-Significant","Significant")))</f>
        <v>Needs Analysis</v>
      </c>
      <c r="W336" s="1">
        <f>IF(Table1[[#This Row],[Cal Type]]&lt;&gt;"ACCREDITED 17025 WITH UNCERTAINTIES",0,"")</f>
        <v>0</v>
      </c>
      <c r="X336" s="1" t="str">
        <f>IF(Table1[[#This Row],[DUT Read]]="","N/A",Table1[[#This Row],[Std Error]]+Table1[[#This Row],[DUT Read]]+Table1[[#This Row],[DUT Ucty]])</f>
        <v>N/A</v>
      </c>
      <c r="Y336" s="1" t="str">
        <f>IF(Table1[[#This Row],[Std Read]]="","N/A",Table1[[#This Row],[Std Read]]+Table1[[#This Row],[Std Ucty]])</f>
        <v>N/A</v>
      </c>
      <c r="Z3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6" s="1" t="str">
        <f>IF(Table1[[#This Row],[Spec Type]]="","N/A",Table1[[#This Row],[Spec Type]])</f>
        <v>±</v>
      </c>
      <c r="AC336" s="1" t="str">
        <f>IF(Table1[[#This Row],[Spec Type2]]="N/A","N/A",IF(AND(Table1[[#This Row],[DUT Adj Read]]&gt;=Table1[[#This Row],[Low Tol]],Table1[[#This Row],[DUT Adj Read]]&lt;=Table1[[#This Row],[High Tol]]),"Pass","Fail"))</f>
        <v>Fail</v>
      </c>
      <c r="AD336" s="1" t="str">
        <f>IF(AND(Table1[[#This Row],[Spec Type2]]="N/A",Table1[[#This Row],[DUT Adj Read]]="N/A",Table1[[#This Row],[Std Adj Read]]="N/A"),"N/A",IF(Table1[[#This Row],[DUT Adj Read]]="N/A",IF(Table1[[#This Row],[Std Adj Read]]&gt;Table1[[#This Row],[Low Tol]],"Pass","Fail"),IF(Table1[[#This Row],[DUT Adj Read]]&gt;Table1[[#This Row],[Low Tol]],"Pass","Fail")))</f>
        <v>Pass</v>
      </c>
      <c r="AE336" s="1" t="str">
        <f>IF(AND(Table1[[#This Row],[Spec Type2]]="N/A",Table1[[#This Row],[DUT Adj Read]]="N/A",Table1[[#This Row],[Std Adj Read]]="N/A"),"N/A",IF(Table1[[#This Row],[DUT Adj Read]]="N/A",IF(Table1[[#This Row],[Std Adj Read]]&lt;Table1[[#This Row],[High Tol]],"Pass","Fail"),IF(Table1[[#This Row],[DUT Adj Read]]&lt;Table1[[#This Row],[High Tol]],"Pass","Fail")))</f>
        <v>Fail</v>
      </c>
      <c r="AF336" s="1" t="str">
        <f>IF(AND(Table1[[#This Row],[Spec Type2]]="N/A",Table1[[#This Row],[DUT Adj Read]]="N/A",Table1[[#This Row],[Std Adj Read]]="N/A"),"N/A",IF(Table1[[#This Row],[DUT Adj Read]]="N/A",IF(Table1[[#This Row],[Std Adj Read]]&gt;=Table1[[#This Row],[Low Tol]],"Pass","Fail"),IF(Table1[[#This Row],[DUT Adj Read]]&gt;=Table1[[#This Row],[Low Tol]],"Pass","Fail")))</f>
        <v>Pass</v>
      </c>
      <c r="AG336" s="1" t="str">
        <f>IF(AND(Table1[[#This Row],[Spec Type2]]="N/A",Table1[[#This Row],[DUT Adj Read]]="N/A",Table1[[#This Row],[Std Adj Read]]="N/A"),"N/A",IF(Table1[[#This Row],[DUT Adj Read]]="N/A",IF(Table1[[#This Row],[Std Adj Read]]&lt;=Table1[[#This Row],[High Tol]],"Pass","Fail"),IF(Table1[[#This Row],[DUT Adj Read]]&lt;=Table1[[#This Row],[High Tol]],"Pass","Fail")))</f>
        <v>Fail</v>
      </c>
      <c r="AH3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6" s="1" t="b">
        <v>0</v>
      </c>
      <c r="AN336" s="1" t="b">
        <v>0</v>
      </c>
      <c r="AO336" s="1" t="b">
        <v>0</v>
      </c>
    </row>
    <row r="337" spans="1:41" x14ac:dyDescent="0.25">
      <c r="A337" s="10"/>
      <c r="B337" s="10"/>
      <c r="C337" s="10"/>
      <c r="D337" s="10"/>
      <c r="E337" s="10"/>
      <c r="F337" s="10"/>
      <c r="G337" s="10"/>
      <c r="H337" s="10"/>
      <c r="I337" s="1" t="str">
        <f t="shared" si="15"/>
        <v/>
      </c>
      <c r="J337" s="1" t="s">
        <v>35</v>
      </c>
      <c r="K337" s="1" t="str">
        <f t="shared" si="16"/>
        <v/>
      </c>
      <c r="L337" s="1" t="str">
        <f t="shared" si="17"/>
        <v/>
      </c>
      <c r="M337" s="1">
        <f>IF(OR(Table1[[#This Row],[Std Nom]]="",Table1[[#This Row],[Std Read]]=""),0,Table1[[#This Row],[Std Nom]]-Table1[[#This Row],[Std Read]])</f>
        <v>0</v>
      </c>
      <c r="N337" s="1">
        <f>IF(Calculations!$F$5="ACCREDITED 17025 WITH UNCERTAINTIES",$N$10,0)</f>
        <v>0</v>
      </c>
      <c r="O337" s="1" t="str">
        <f>IFERROR(Table1[[#This Row],[Std Nom]]-(_xlfn.XLOOKUP(Table1[[#This Row],[Manufacturer]]&amp;" "&amp;Table1[[#This Row],[Model]],Table13[MFR &amp; MDL],Table13[Tolerance % CW ],"")/100*Table1[[#This Row],[Std Nom]]),"")</f>
        <v/>
      </c>
      <c r="P337" s="1" t="str">
        <f>IFERROR(Table1[[#This Row],[Std Nom]]+(_xlfn.XLOOKUP(Table1[[#This Row],[Manufacturer]]&amp;" "&amp;Table1[[#This Row],[Model]],Table13[MFR &amp; MDL],Table13[Tolerance % CW ],"")/100*Table1[[#This Row],[Std Nom]]),"")</f>
        <v/>
      </c>
      <c r="Q337" s="1" t="e">
        <f>Table1[[#This Row],[High Tol]]-Table1[[#This Row],[Low Tol]]</f>
        <v>#VALUE!</v>
      </c>
      <c r="R337" s="1">
        <f>2*Table1[[#This Row],[Std Error]]</f>
        <v>0</v>
      </c>
      <c r="S337" s="1" t="str">
        <f>IF(Table1[[#This Row],[High Tol]]="","N/A",IFERROR(ABS(Table1[[#This Row],[Tol Span]]/Table1[[#This Row],[Error Span]]),"N/A"))</f>
        <v>N/A</v>
      </c>
      <c r="T337" s="1" t="str">
        <f>IF(OR(Table1[[#This Row],[Low Tol]]="",Table1[[#This Row],[High Tol]]=""),"Needs Analysis",IF(Table1[[#This Row],[Ratio]]&gt;=4,"Not Significant",IF(Table1[[#This Row],[Ratio]]&gt;=2,"Semi-Significant","Significant")))</f>
        <v>Needs Analysis</v>
      </c>
      <c r="W337" s="1">
        <f>IF(Table1[[#This Row],[Cal Type]]&lt;&gt;"ACCREDITED 17025 WITH UNCERTAINTIES",0,"")</f>
        <v>0</v>
      </c>
      <c r="X337" s="1" t="str">
        <f>IF(Table1[[#This Row],[DUT Read]]="","N/A",Table1[[#This Row],[Std Error]]+Table1[[#This Row],[DUT Read]]+Table1[[#This Row],[DUT Ucty]])</f>
        <v>N/A</v>
      </c>
      <c r="Y337" s="1" t="str">
        <f>IF(Table1[[#This Row],[Std Read]]="","N/A",Table1[[#This Row],[Std Read]]+Table1[[#This Row],[Std Ucty]])</f>
        <v>N/A</v>
      </c>
      <c r="Z3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7" s="1" t="str">
        <f>IF(Table1[[#This Row],[Spec Type]]="","N/A",Table1[[#This Row],[Spec Type]])</f>
        <v>±</v>
      </c>
      <c r="AC337" s="1" t="str">
        <f>IF(Table1[[#This Row],[Spec Type2]]="N/A","N/A",IF(AND(Table1[[#This Row],[DUT Adj Read]]&gt;=Table1[[#This Row],[Low Tol]],Table1[[#This Row],[DUT Adj Read]]&lt;=Table1[[#This Row],[High Tol]]),"Pass","Fail"))</f>
        <v>Fail</v>
      </c>
      <c r="AD337" s="1" t="str">
        <f>IF(AND(Table1[[#This Row],[Spec Type2]]="N/A",Table1[[#This Row],[DUT Adj Read]]="N/A",Table1[[#This Row],[Std Adj Read]]="N/A"),"N/A",IF(Table1[[#This Row],[DUT Adj Read]]="N/A",IF(Table1[[#This Row],[Std Adj Read]]&gt;Table1[[#This Row],[Low Tol]],"Pass","Fail"),IF(Table1[[#This Row],[DUT Adj Read]]&gt;Table1[[#This Row],[Low Tol]],"Pass","Fail")))</f>
        <v>Pass</v>
      </c>
      <c r="AE337" s="1" t="str">
        <f>IF(AND(Table1[[#This Row],[Spec Type2]]="N/A",Table1[[#This Row],[DUT Adj Read]]="N/A",Table1[[#This Row],[Std Adj Read]]="N/A"),"N/A",IF(Table1[[#This Row],[DUT Adj Read]]="N/A",IF(Table1[[#This Row],[Std Adj Read]]&lt;Table1[[#This Row],[High Tol]],"Pass","Fail"),IF(Table1[[#This Row],[DUT Adj Read]]&lt;Table1[[#This Row],[High Tol]],"Pass","Fail")))</f>
        <v>Fail</v>
      </c>
      <c r="AF337" s="1" t="str">
        <f>IF(AND(Table1[[#This Row],[Spec Type2]]="N/A",Table1[[#This Row],[DUT Adj Read]]="N/A",Table1[[#This Row],[Std Adj Read]]="N/A"),"N/A",IF(Table1[[#This Row],[DUT Adj Read]]="N/A",IF(Table1[[#This Row],[Std Adj Read]]&gt;=Table1[[#This Row],[Low Tol]],"Pass","Fail"),IF(Table1[[#This Row],[DUT Adj Read]]&gt;=Table1[[#This Row],[Low Tol]],"Pass","Fail")))</f>
        <v>Pass</v>
      </c>
      <c r="AG337" s="1" t="str">
        <f>IF(AND(Table1[[#This Row],[Spec Type2]]="N/A",Table1[[#This Row],[DUT Adj Read]]="N/A",Table1[[#This Row],[Std Adj Read]]="N/A"),"N/A",IF(Table1[[#This Row],[DUT Adj Read]]="N/A",IF(Table1[[#This Row],[Std Adj Read]]&lt;=Table1[[#This Row],[High Tol]],"Pass","Fail"),IF(Table1[[#This Row],[DUT Adj Read]]&lt;=Table1[[#This Row],[High Tol]],"Pass","Fail")))</f>
        <v>Fail</v>
      </c>
      <c r="AH3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7" s="1" t="b">
        <v>0</v>
      </c>
      <c r="AN337" s="1" t="b">
        <v>0</v>
      </c>
      <c r="AO337" s="1" t="b">
        <v>0</v>
      </c>
    </row>
    <row r="338" spans="1:41" x14ac:dyDescent="0.25">
      <c r="A338" s="10"/>
      <c r="B338" s="10"/>
      <c r="C338" s="10"/>
      <c r="D338" s="10"/>
      <c r="E338" s="10"/>
      <c r="F338" s="10"/>
      <c r="G338" s="10"/>
      <c r="H338" s="10"/>
      <c r="I338" s="1" t="str">
        <f t="shared" si="15"/>
        <v/>
      </c>
      <c r="J338" s="1" t="s">
        <v>35</v>
      </c>
      <c r="K338" s="1" t="str">
        <f t="shared" si="16"/>
        <v/>
      </c>
      <c r="L338" s="1" t="str">
        <f t="shared" si="17"/>
        <v/>
      </c>
      <c r="M338" s="1">
        <f>IF(OR(Table1[[#This Row],[Std Nom]]="",Table1[[#This Row],[Std Read]]=""),0,Table1[[#This Row],[Std Nom]]-Table1[[#This Row],[Std Read]])</f>
        <v>0</v>
      </c>
      <c r="N338" s="1">
        <f>IF(Calculations!$F$5="ACCREDITED 17025 WITH UNCERTAINTIES",$N$10,0)</f>
        <v>0</v>
      </c>
      <c r="O338" s="1" t="str">
        <f>IFERROR(Table1[[#This Row],[Std Nom]]-(_xlfn.XLOOKUP(Table1[[#This Row],[Manufacturer]]&amp;" "&amp;Table1[[#This Row],[Model]],Table13[MFR &amp; MDL],Table13[Tolerance % CW ],"")/100*Table1[[#This Row],[Std Nom]]),"")</f>
        <v/>
      </c>
      <c r="P338" s="1" t="str">
        <f>IFERROR(Table1[[#This Row],[Std Nom]]+(_xlfn.XLOOKUP(Table1[[#This Row],[Manufacturer]]&amp;" "&amp;Table1[[#This Row],[Model]],Table13[MFR &amp; MDL],Table13[Tolerance % CW ],"")/100*Table1[[#This Row],[Std Nom]]),"")</f>
        <v/>
      </c>
      <c r="Q338" s="1" t="e">
        <f>Table1[[#This Row],[High Tol]]-Table1[[#This Row],[Low Tol]]</f>
        <v>#VALUE!</v>
      </c>
      <c r="R338" s="1">
        <f>2*Table1[[#This Row],[Std Error]]</f>
        <v>0</v>
      </c>
      <c r="S338" s="1" t="str">
        <f>IF(Table1[[#This Row],[High Tol]]="","N/A",IFERROR(ABS(Table1[[#This Row],[Tol Span]]/Table1[[#This Row],[Error Span]]),"N/A"))</f>
        <v>N/A</v>
      </c>
      <c r="T338" s="1" t="str">
        <f>IF(OR(Table1[[#This Row],[Low Tol]]="",Table1[[#This Row],[High Tol]]=""),"Needs Analysis",IF(Table1[[#This Row],[Ratio]]&gt;=4,"Not Significant",IF(Table1[[#This Row],[Ratio]]&gt;=2,"Semi-Significant","Significant")))</f>
        <v>Needs Analysis</v>
      </c>
      <c r="W338" s="1">
        <f>IF(Table1[[#This Row],[Cal Type]]&lt;&gt;"ACCREDITED 17025 WITH UNCERTAINTIES",0,"")</f>
        <v>0</v>
      </c>
      <c r="X338" s="1" t="str">
        <f>IF(Table1[[#This Row],[DUT Read]]="","N/A",Table1[[#This Row],[Std Error]]+Table1[[#This Row],[DUT Read]]+Table1[[#This Row],[DUT Ucty]])</f>
        <v>N/A</v>
      </c>
      <c r="Y338" s="1" t="str">
        <f>IF(Table1[[#This Row],[Std Read]]="","N/A",Table1[[#This Row],[Std Read]]+Table1[[#This Row],[Std Ucty]])</f>
        <v>N/A</v>
      </c>
      <c r="Z3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8" s="1" t="str">
        <f>IF(Table1[[#This Row],[Spec Type]]="","N/A",Table1[[#This Row],[Spec Type]])</f>
        <v>±</v>
      </c>
      <c r="AC338" s="1" t="str">
        <f>IF(Table1[[#This Row],[Spec Type2]]="N/A","N/A",IF(AND(Table1[[#This Row],[DUT Adj Read]]&gt;=Table1[[#This Row],[Low Tol]],Table1[[#This Row],[DUT Adj Read]]&lt;=Table1[[#This Row],[High Tol]]),"Pass","Fail"))</f>
        <v>Fail</v>
      </c>
      <c r="AD338" s="1" t="str">
        <f>IF(AND(Table1[[#This Row],[Spec Type2]]="N/A",Table1[[#This Row],[DUT Adj Read]]="N/A",Table1[[#This Row],[Std Adj Read]]="N/A"),"N/A",IF(Table1[[#This Row],[DUT Adj Read]]="N/A",IF(Table1[[#This Row],[Std Adj Read]]&gt;Table1[[#This Row],[Low Tol]],"Pass","Fail"),IF(Table1[[#This Row],[DUT Adj Read]]&gt;Table1[[#This Row],[Low Tol]],"Pass","Fail")))</f>
        <v>Pass</v>
      </c>
      <c r="AE338" s="1" t="str">
        <f>IF(AND(Table1[[#This Row],[Spec Type2]]="N/A",Table1[[#This Row],[DUT Adj Read]]="N/A",Table1[[#This Row],[Std Adj Read]]="N/A"),"N/A",IF(Table1[[#This Row],[DUT Adj Read]]="N/A",IF(Table1[[#This Row],[Std Adj Read]]&lt;Table1[[#This Row],[High Tol]],"Pass","Fail"),IF(Table1[[#This Row],[DUT Adj Read]]&lt;Table1[[#This Row],[High Tol]],"Pass","Fail")))</f>
        <v>Fail</v>
      </c>
      <c r="AF338" s="1" t="str">
        <f>IF(AND(Table1[[#This Row],[Spec Type2]]="N/A",Table1[[#This Row],[DUT Adj Read]]="N/A",Table1[[#This Row],[Std Adj Read]]="N/A"),"N/A",IF(Table1[[#This Row],[DUT Adj Read]]="N/A",IF(Table1[[#This Row],[Std Adj Read]]&gt;=Table1[[#This Row],[Low Tol]],"Pass","Fail"),IF(Table1[[#This Row],[DUT Adj Read]]&gt;=Table1[[#This Row],[Low Tol]],"Pass","Fail")))</f>
        <v>Pass</v>
      </c>
      <c r="AG338" s="1" t="str">
        <f>IF(AND(Table1[[#This Row],[Spec Type2]]="N/A",Table1[[#This Row],[DUT Adj Read]]="N/A",Table1[[#This Row],[Std Adj Read]]="N/A"),"N/A",IF(Table1[[#This Row],[DUT Adj Read]]="N/A",IF(Table1[[#This Row],[Std Adj Read]]&lt;=Table1[[#This Row],[High Tol]],"Pass","Fail"),IF(Table1[[#This Row],[DUT Adj Read]]&lt;=Table1[[#This Row],[High Tol]],"Pass","Fail")))</f>
        <v>Fail</v>
      </c>
      <c r="AH3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8" s="1" t="b">
        <v>0</v>
      </c>
      <c r="AN338" s="1" t="b">
        <v>0</v>
      </c>
      <c r="AO338" s="1" t="b">
        <v>0</v>
      </c>
    </row>
    <row r="339" spans="1:41" x14ac:dyDescent="0.25">
      <c r="A339" s="10"/>
      <c r="B339" s="10"/>
      <c r="C339" s="10"/>
      <c r="D339" s="10"/>
      <c r="E339" s="10"/>
      <c r="F339" s="10"/>
      <c r="G339" s="10"/>
      <c r="H339" s="10"/>
      <c r="I339" s="1" t="str">
        <f t="shared" si="15"/>
        <v/>
      </c>
      <c r="J339" s="1" t="s">
        <v>35</v>
      </c>
      <c r="K339" s="1" t="str">
        <f t="shared" si="16"/>
        <v/>
      </c>
      <c r="L339" s="1" t="str">
        <f t="shared" si="17"/>
        <v/>
      </c>
      <c r="M339" s="1">
        <f>IF(OR(Table1[[#This Row],[Std Nom]]="",Table1[[#This Row],[Std Read]]=""),0,Table1[[#This Row],[Std Nom]]-Table1[[#This Row],[Std Read]])</f>
        <v>0</v>
      </c>
      <c r="N339" s="1">
        <f>IF(Calculations!$F$5="ACCREDITED 17025 WITH UNCERTAINTIES",$N$10,0)</f>
        <v>0</v>
      </c>
      <c r="O339" s="1" t="str">
        <f>IFERROR(Table1[[#This Row],[Std Nom]]-(_xlfn.XLOOKUP(Table1[[#This Row],[Manufacturer]]&amp;" "&amp;Table1[[#This Row],[Model]],Table13[MFR &amp; MDL],Table13[Tolerance % CW ],"")/100*Table1[[#This Row],[Std Nom]]),"")</f>
        <v/>
      </c>
      <c r="P339" s="1" t="str">
        <f>IFERROR(Table1[[#This Row],[Std Nom]]+(_xlfn.XLOOKUP(Table1[[#This Row],[Manufacturer]]&amp;" "&amp;Table1[[#This Row],[Model]],Table13[MFR &amp; MDL],Table13[Tolerance % CW ],"")/100*Table1[[#This Row],[Std Nom]]),"")</f>
        <v/>
      </c>
      <c r="Q339" s="1" t="e">
        <f>Table1[[#This Row],[High Tol]]-Table1[[#This Row],[Low Tol]]</f>
        <v>#VALUE!</v>
      </c>
      <c r="R339" s="1">
        <f>2*Table1[[#This Row],[Std Error]]</f>
        <v>0</v>
      </c>
      <c r="S339" s="1" t="str">
        <f>IF(Table1[[#This Row],[High Tol]]="","N/A",IFERROR(ABS(Table1[[#This Row],[Tol Span]]/Table1[[#This Row],[Error Span]]),"N/A"))</f>
        <v>N/A</v>
      </c>
      <c r="T339" s="1" t="str">
        <f>IF(OR(Table1[[#This Row],[Low Tol]]="",Table1[[#This Row],[High Tol]]=""),"Needs Analysis",IF(Table1[[#This Row],[Ratio]]&gt;=4,"Not Significant",IF(Table1[[#This Row],[Ratio]]&gt;=2,"Semi-Significant","Significant")))</f>
        <v>Needs Analysis</v>
      </c>
      <c r="W339" s="1">
        <f>IF(Table1[[#This Row],[Cal Type]]&lt;&gt;"ACCREDITED 17025 WITH UNCERTAINTIES",0,"")</f>
        <v>0</v>
      </c>
      <c r="X339" s="1" t="str">
        <f>IF(Table1[[#This Row],[DUT Read]]="","N/A",Table1[[#This Row],[Std Error]]+Table1[[#This Row],[DUT Read]]+Table1[[#This Row],[DUT Ucty]])</f>
        <v>N/A</v>
      </c>
      <c r="Y339" s="1" t="str">
        <f>IF(Table1[[#This Row],[Std Read]]="","N/A",Table1[[#This Row],[Std Read]]+Table1[[#This Row],[Std Ucty]])</f>
        <v>N/A</v>
      </c>
      <c r="Z3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9" s="1" t="str">
        <f>IF(Table1[[#This Row],[Spec Type]]="","N/A",Table1[[#This Row],[Spec Type]])</f>
        <v>±</v>
      </c>
      <c r="AC339" s="1" t="str">
        <f>IF(Table1[[#This Row],[Spec Type2]]="N/A","N/A",IF(AND(Table1[[#This Row],[DUT Adj Read]]&gt;=Table1[[#This Row],[Low Tol]],Table1[[#This Row],[DUT Adj Read]]&lt;=Table1[[#This Row],[High Tol]]),"Pass","Fail"))</f>
        <v>Fail</v>
      </c>
      <c r="AD339" s="1" t="str">
        <f>IF(AND(Table1[[#This Row],[Spec Type2]]="N/A",Table1[[#This Row],[DUT Adj Read]]="N/A",Table1[[#This Row],[Std Adj Read]]="N/A"),"N/A",IF(Table1[[#This Row],[DUT Adj Read]]="N/A",IF(Table1[[#This Row],[Std Adj Read]]&gt;Table1[[#This Row],[Low Tol]],"Pass","Fail"),IF(Table1[[#This Row],[DUT Adj Read]]&gt;Table1[[#This Row],[Low Tol]],"Pass","Fail")))</f>
        <v>Pass</v>
      </c>
      <c r="AE339" s="1" t="str">
        <f>IF(AND(Table1[[#This Row],[Spec Type2]]="N/A",Table1[[#This Row],[DUT Adj Read]]="N/A",Table1[[#This Row],[Std Adj Read]]="N/A"),"N/A",IF(Table1[[#This Row],[DUT Adj Read]]="N/A",IF(Table1[[#This Row],[Std Adj Read]]&lt;Table1[[#This Row],[High Tol]],"Pass","Fail"),IF(Table1[[#This Row],[DUT Adj Read]]&lt;Table1[[#This Row],[High Tol]],"Pass","Fail")))</f>
        <v>Fail</v>
      </c>
      <c r="AF339" s="1" t="str">
        <f>IF(AND(Table1[[#This Row],[Spec Type2]]="N/A",Table1[[#This Row],[DUT Adj Read]]="N/A",Table1[[#This Row],[Std Adj Read]]="N/A"),"N/A",IF(Table1[[#This Row],[DUT Adj Read]]="N/A",IF(Table1[[#This Row],[Std Adj Read]]&gt;=Table1[[#This Row],[Low Tol]],"Pass","Fail"),IF(Table1[[#This Row],[DUT Adj Read]]&gt;=Table1[[#This Row],[Low Tol]],"Pass","Fail")))</f>
        <v>Pass</v>
      </c>
      <c r="AG339" s="1" t="str">
        <f>IF(AND(Table1[[#This Row],[Spec Type2]]="N/A",Table1[[#This Row],[DUT Adj Read]]="N/A",Table1[[#This Row],[Std Adj Read]]="N/A"),"N/A",IF(Table1[[#This Row],[DUT Adj Read]]="N/A",IF(Table1[[#This Row],[Std Adj Read]]&lt;=Table1[[#This Row],[High Tol]],"Pass","Fail"),IF(Table1[[#This Row],[DUT Adj Read]]&lt;=Table1[[#This Row],[High Tol]],"Pass","Fail")))</f>
        <v>Fail</v>
      </c>
      <c r="AH3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9" s="1" t="b">
        <v>0</v>
      </c>
      <c r="AN339" s="1" t="b">
        <v>0</v>
      </c>
      <c r="AO339" s="1" t="b">
        <v>0</v>
      </c>
    </row>
    <row r="340" spans="1:41" x14ac:dyDescent="0.25">
      <c r="A340" s="10"/>
      <c r="B340" s="10"/>
      <c r="C340" s="10"/>
      <c r="D340" s="10"/>
      <c r="E340" s="10"/>
      <c r="F340" s="10"/>
      <c r="G340" s="10"/>
      <c r="H340" s="10"/>
      <c r="I340" s="1" t="str">
        <f t="shared" si="15"/>
        <v/>
      </c>
      <c r="J340" s="1" t="s">
        <v>35</v>
      </c>
      <c r="K340" s="1" t="str">
        <f t="shared" si="16"/>
        <v/>
      </c>
      <c r="L340" s="1" t="str">
        <f t="shared" si="17"/>
        <v/>
      </c>
      <c r="M340" s="1">
        <f>IF(OR(Table1[[#This Row],[Std Nom]]="",Table1[[#This Row],[Std Read]]=""),0,Table1[[#This Row],[Std Nom]]-Table1[[#This Row],[Std Read]])</f>
        <v>0</v>
      </c>
      <c r="N340" s="1">
        <f>IF(Calculations!$F$5="ACCREDITED 17025 WITH UNCERTAINTIES",$N$10,0)</f>
        <v>0</v>
      </c>
      <c r="O340" s="1" t="str">
        <f>IFERROR(Table1[[#This Row],[Std Nom]]-(_xlfn.XLOOKUP(Table1[[#This Row],[Manufacturer]]&amp;" "&amp;Table1[[#This Row],[Model]],Table13[MFR &amp; MDL],Table13[Tolerance % CW ],"")/100*Table1[[#This Row],[Std Nom]]),"")</f>
        <v/>
      </c>
      <c r="P340" s="1" t="str">
        <f>IFERROR(Table1[[#This Row],[Std Nom]]+(_xlfn.XLOOKUP(Table1[[#This Row],[Manufacturer]]&amp;" "&amp;Table1[[#This Row],[Model]],Table13[MFR &amp; MDL],Table13[Tolerance % CW ],"")/100*Table1[[#This Row],[Std Nom]]),"")</f>
        <v/>
      </c>
      <c r="Q340" s="1" t="e">
        <f>Table1[[#This Row],[High Tol]]-Table1[[#This Row],[Low Tol]]</f>
        <v>#VALUE!</v>
      </c>
      <c r="R340" s="1">
        <f>2*Table1[[#This Row],[Std Error]]</f>
        <v>0</v>
      </c>
      <c r="S340" s="1" t="str">
        <f>IF(Table1[[#This Row],[High Tol]]="","N/A",IFERROR(ABS(Table1[[#This Row],[Tol Span]]/Table1[[#This Row],[Error Span]]),"N/A"))</f>
        <v>N/A</v>
      </c>
      <c r="T340" s="1" t="str">
        <f>IF(OR(Table1[[#This Row],[Low Tol]]="",Table1[[#This Row],[High Tol]]=""),"Needs Analysis",IF(Table1[[#This Row],[Ratio]]&gt;=4,"Not Significant",IF(Table1[[#This Row],[Ratio]]&gt;=2,"Semi-Significant","Significant")))</f>
        <v>Needs Analysis</v>
      </c>
      <c r="W340" s="1">
        <f>IF(Table1[[#This Row],[Cal Type]]&lt;&gt;"ACCREDITED 17025 WITH UNCERTAINTIES",0,"")</f>
        <v>0</v>
      </c>
      <c r="X340" s="1" t="str">
        <f>IF(Table1[[#This Row],[DUT Read]]="","N/A",Table1[[#This Row],[Std Error]]+Table1[[#This Row],[DUT Read]]+Table1[[#This Row],[DUT Ucty]])</f>
        <v>N/A</v>
      </c>
      <c r="Y340" s="1" t="str">
        <f>IF(Table1[[#This Row],[Std Read]]="","N/A",Table1[[#This Row],[Std Read]]+Table1[[#This Row],[Std Ucty]])</f>
        <v>N/A</v>
      </c>
      <c r="Z3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0" s="1" t="str">
        <f>IF(Table1[[#This Row],[Spec Type]]="","N/A",Table1[[#This Row],[Spec Type]])</f>
        <v>±</v>
      </c>
      <c r="AC340" s="1" t="str">
        <f>IF(Table1[[#This Row],[Spec Type2]]="N/A","N/A",IF(AND(Table1[[#This Row],[DUT Adj Read]]&gt;=Table1[[#This Row],[Low Tol]],Table1[[#This Row],[DUT Adj Read]]&lt;=Table1[[#This Row],[High Tol]]),"Pass","Fail"))</f>
        <v>Fail</v>
      </c>
      <c r="AD340" s="1" t="str">
        <f>IF(AND(Table1[[#This Row],[Spec Type2]]="N/A",Table1[[#This Row],[DUT Adj Read]]="N/A",Table1[[#This Row],[Std Adj Read]]="N/A"),"N/A",IF(Table1[[#This Row],[DUT Adj Read]]="N/A",IF(Table1[[#This Row],[Std Adj Read]]&gt;Table1[[#This Row],[Low Tol]],"Pass","Fail"),IF(Table1[[#This Row],[DUT Adj Read]]&gt;Table1[[#This Row],[Low Tol]],"Pass","Fail")))</f>
        <v>Pass</v>
      </c>
      <c r="AE340" s="1" t="str">
        <f>IF(AND(Table1[[#This Row],[Spec Type2]]="N/A",Table1[[#This Row],[DUT Adj Read]]="N/A",Table1[[#This Row],[Std Adj Read]]="N/A"),"N/A",IF(Table1[[#This Row],[DUT Adj Read]]="N/A",IF(Table1[[#This Row],[Std Adj Read]]&lt;Table1[[#This Row],[High Tol]],"Pass","Fail"),IF(Table1[[#This Row],[DUT Adj Read]]&lt;Table1[[#This Row],[High Tol]],"Pass","Fail")))</f>
        <v>Fail</v>
      </c>
      <c r="AF340" s="1" t="str">
        <f>IF(AND(Table1[[#This Row],[Spec Type2]]="N/A",Table1[[#This Row],[DUT Adj Read]]="N/A",Table1[[#This Row],[Std Adj Read]]="N/A"),"N/A",IF(Table1[[#This Row],[DUT Adj Read]]="N/A",IF(Table1[[#This Row],[Std Adj Read]]&gt;=Table1[[#This Row],[Low Tol]],"Pass","Fail"),IF(Table1[[#This Row],[DUT Adj Read]]&gt;=Table1[[#This Row],[Low Tol]],"Pass","Fail")))</f>
        <v>Pass</v>
      </c>
      <c r="AG340" s="1" t="str">
        <f>IF(AND(Table1[[#This Row],[Spec Type2]]="N/A",Table1[[#This Row],[DUT Adj Read]]="N/A",Table1[[#This Row],[Std Adj Read]]="N/A"),"N/A",IF(Table1[[#This Row],[DUT Adj Read]]="N/A",IF(Table1[[#This Row],[Std Adj Read]]&lt;=Table1[[#This Row],[High Tol]],"Pass","Fail"),IF(Table1[[#This Row],[DUT Adj Read]]&lt;=Table1[[#This Row],[High Tol]],"Pass","Fail")))</f>
        <v>Fail</v>
      </c>
      <c r="AH3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0" s="1" t="b">
        <v>0</v>
      </c>
      <c r="AN340" s="1" t="b">
        <v>0</v>
      </c>
      <c r="AO340" s="1" t="b">
        <v>0</v>
      </c>
    </row>
    <row r="341" spans="1:41" x14ac:dyDescent="0.25">
      <c r="A341" s="10"/>
      <c r="B341" s="10"/>
      <c r="C341" s="10"/>
      <c r="D341" s="10"/>
      <c r="E341" s="10"/>
      <c r="F341" s="10"/>
      <c r="G341" s="10"/>
      <c r="H341" s="10"/>
      <c r="I341" s="1" t="str">
        <f t="shared" si="15"/>
        <v/>
      </c>
      <c r="J341" s="1" t="s">
        <v>35</v>
      </c>
      <c r="K341" s="1" t="str">
        <f t="shared" si="16"/>
        <v/>
      </c>
      <c r="L341" s="1" t="str">
        <f t="shared" si="17"/>
        <v/>
      </c>
      <c r="M341" s="1">
        <f>IF(OR(Table1[[#This Row],[Std Nom]]="",Table1[[#This Row],[Std Read]]=""),0,Table1[[#This Row],[Std Nom]]-Table1[[#This Row],[Std Read]])</f>
        <v>0</v>
      </c>
      <c r="N341" s="1">
        <f>IF(Calculations!$F$5="ACCREDITED 17025 WITH UNCERTAINTIES",$N$10,0)</f>
        <v>0</v>
      </c>
      <c r="O341" s="1" t="str">
        <f>IFERROR(Table1[[#This Row],[Std Nom]]-(_xlfn.XLOOKUP(Table1[[#This Row],[Manufacturer]]&amp;" "&amp;Table1[[#This Row],[Model]],Table13[MFR &amp; MDL],Table13[Tolerance % CW ],"")/100*Table1[[#This Row],[Std Nom]]),"")</f>
        <v/>
      </c>
      <c r="P341" s="1" t="str">
        <f>IFERROR(Table1[[#This Row],[Std Nom]]+(_xlfn.XLOOKUP(Table1[[#This Row],[Manufacturer]]&amp;" "&amp;Table1[[#This Row],[Model]],Table13[MFR &amp; MDL],Table13[Tolerance % CW ],"")/100*Table1[[#This Row],[Std Nom]]),"")</f>
        <v/>
      </c>
      <c r="Q341" s="1" t="e">
        <f>Table1[[#This Row],[High Tol]]-Table1[[#This Row],[Low Tol]]</f>
        <v>#VALUE!</v>
      </c>
      <c r="R341" s="1">
        <f>2*Table1[[#This Row],[Std Error]]</f>
        <v>0</v>
      </c>
      <c r="S341" s="1" t="str">
        <f>IF(Table1[[#This Row],[High Tol]]="","N/A",IFERROR(ABS(Table1[[#This Row],[Tol Span]]/Table1[[#This Row],[Error Span]]),"N/A"))</f>
        <v>N/A</v>
      </c>
      <c r="T341" s="1" t="str">
        <f>IF(OR(Table1[[#This Row],[Low Tol]]="",Table1[[#This Row],[High Tol]]=""),"Needs Analysis",IF(Table1[[#This Row],[Ratio]]&gt;=4,"Not Significant",IF(Table1[[#This Row],[Ratio]]&gt;=2,"Semi-Significant","Significant")))</f>
        <v>Needs Analysis</v>
      </c>
      <c r="W341" s="1">
        <f>IF(Table1[[#This Row],[Cal Type]]&lt;&gt;"ACCREDITED 17025 WITH UNCERTAINTIES",0,"")</f>
        <v>0</v>
      </c>
      <c r="X341" s="1" t="str">
        <f>IF(Table1[[#This Row],[DUT Read]]="","N/A",Table1[[#This Row],[Std Error]]+Table1[[#This Row],[DUT Read]]+Table1[[#This Row],[DUT Ucty]])</f>
        <v>N/A</v>
      </c>
      <c r="Y341" s="1" t="str">
        <f>IF(Table1[[#This Row],[Std Read]]="","N/A",Table1[[#This Row],[Std Read]]+Table1[[#This Row],[Std Ucty]])</f>
        <v>N/A</v>
      </c>
      <c r="Z3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1" s="1" t="str">
        <f>IF(Table1[[#This Row],[Spec Type]]="","N/A",Table1[[#This Row],[Spec Type]])</f>
        <v>±</v>
      </c>
      <c r="AC341" s="1" t="str">
        <f>IF(Table1[[#This Row],[Spec Type2]]="N/A","N/A",IF(AND(Table1[[#This Row],[DUT Adj Read]]&gt;=Table1[[#This Row],[Low Tol]],Table1[[#This Row],[DUT Adj Read]]&lt;=Table1[[#This Row],[High Tol]]),"Pass","Fail"))</f>
        <v>Fail</v>
      </c>
      <c r="AD341" s="1" t="str">
        <f>IF(AND(Table1[[#This Row],[Spec Type2]]="N/A",Table1[[#This Row],[DUT Adj Read]]="N/A",Table1[[#This Row],[Std Adj Read]]="N/A"),"N/A",IF(Table1[[#This Row],[DUT Adj Read]]="N/A",IF(Table1[[#This Row],[Std Adj Read]]&gt;Table1[[#This Row],[Low Tol]],"Pass","Fail"),IF(Table1[[#This Row],[DUT Adj Read]]&gt;Table1[[#This Row],[Low Tol]],"Pass","Fail")))</f>
        <v>Pass</v>
      </c>
      <c r="AE341" s="1" t="str">
        <f>IF(AND(Table1[[#This Row],[Spec Type2]]="N/A",Table1[[#This Row],[DUT Adj Read]]="N/A",Table1[[#This Row],[Std Adj Read]]="N/A"),"N/A",IF(Table1[[#This Row],[DUT Adj Read]]="N/A",IF(Table1[[#This Row],[Std Adj Read]]&lt;Table1[[#This Row],[High Tol]],"Pass","Fail"),IF(Table1[[#This Row],[DUT Adj Read]]&lt;Table1[[#This Row],[High Tol]],"Pass","Fail")))</f>
        <v>Fail</v>
      </c>
      <c r="AF341" s="1" t="str">
        <f>IF(AND(Table1[[#This Row],[Spec Type2]]="N/A",Table1[[#This Row],[DUT Adj Read]]="N/A",Table1[[#This Row],[Std Adj Read]]="N/A"),"N/A",IF(Table1[[#This Row],[DUT Adj Read]]="N/A",IF(Table1[[#This Row],[Std Adj Read]]&gt;=Table1[[#This Row],[Low Tol]],"Pass","Fail"),IF(Table1[[#This Row],[DUT Adj Read]]&gt;=Table1[[#This Row],[Low Tol]],"Pass","Fail")))</f>
        <v>Pass</v>
      </c>
      <c r="AG341" s="1" t="str">
        <f>IF(AND(Table1[[#This Row],[Spec Type2]]="N/A",Table1[[#This Row],[DUT Adj Read]]="N/A",Table1[[#This Row],[Std Adj Read]]="N/A"),"N/A",IF(Table1[[#This Row],[DUT Adj Read]]="N/A",IF(Table1[[#This Row],[Std Adj Read]]&lt;=Table1[[#This Row],[High Tol]],"Pass","Fail"),IF(Table1[[#This Row],[DUT Adj Read]]&lt;=Table1[[#This Row],[High Tol]],"Pass","Fail")))</f>
        <v>Fail</v>
      </c>
      <c r="AH3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1" s="1" t="b">
        <v>0</v>
      </c>
      <c r="AN341" s="1" t="b">
        <v>0</v>
      </c>
      <c r="AO341" s="1" t="b">
        <v>0</v>
      </c>
    </row>
    <row r="342" spans="1:41" x14ac:dyDescent="0.25">
      <c r="A342" s="10"/>
      <c r="B342" s="10"/>
      <c r="C342" s="10"/>
      <c r="D342" s="10"/>
      <c r="E342" s="10"/>
      <c r="F342" s="10"/>
      <c r="G342" s="10"/>
      <c r="H342" s="10"/>
      <c r="I342" s="1" t="str">
        <f t="shared" si="15"/>
        <v/>
      </c>
      <c r="J342" s="1" t="s">
        <v>35</v>
      </c>
      <c r="K342" s="1" t="str">
        <f t="shared" si="16"/>
        <v/>
      </c>
      <c r="L342" s="1" t="str">
        <f t="shared" si="17"/>
        <v/>
      </c>
      <c r="M342" s="1">
        <f>IF(OR(Table1[[#This Row],[Std Nom]]="",Table1[[#This Row],[Std Read]]=""),0,Table1[[#This Row],[Std Nom]]-Table1[[#This Row],[Std Read]])</f>
        <v>0</v>
      </c>
      <c r="N342" s="1">
        <f>IF(Calculations!$F$5="ACCREDITED 17025 WITH UNCERTAINTIES",$N$10,0)</f>
        <v>0</v>
      </c>
      <c r="O342" s="1" t="str">
        <f>IFERROR(Table1[[#This Row],[Std Nom]]-(_xlfn.XLOOKUP(Table1[[#This Row],[Manufacturer]]&amp;" "&amp;Table1[[#This Row],[Model]],Table13[MFR &amp; MDL],Table13[Tolerance % CW ],"")/100*Table1[[#This Row],[Std Nom]]),"")</f>
        <v/>
      </c>
      <c r="P342" s="1" t="str">
        <f>IFERROR(Table1[[#This Row],[Std Nom]]+(_xlfn.XLOOKUP(Table1[[#This Row],[Manufacturer]]&amp;" "&amp;Table1[[#This Row],[Model]],Table13[MFR &amp; MDL],Table13[Tolerance % CW ],"")/100*Table1[[#This Row],[Std Nom]]),"")</f>
        <v/>
      </c>
      <c r="Q342" s="1" t="e">
        <f>Table1[[#This Row],[High Tol]]-Table1[[#This Row],[Low Tol]]</f>
        <v>#VALUE!</v>
      </c>
      <c r="R342" s="1">
        <f>2*Table1[[#This Row],[Std Error]]</f>
        <v>0</v>
      </c>
      <c r="S342" s="1" t="str">
        <f>IF(Table1[[#This Row],[High Tol]]="","N/A",IFERROR(ABS(Table1[[#This Row],[Tol Span]]/Table1[[#This Row],[Error Span]]),"N/A"))</f>
        <v>N/A</v>
      </c>
      <c r="T342" s="1" t="str">
        <f>IF(OR(Table1[[#This Row],[Low Tol]]="",Table1[[#This Row],[High Tol]]=""),"Needs Analysis",IF(Table1[[#This Row],[Ratio]]&gt;=4,"Not Significant",IF(Table1[[#This Row],[Ratio]]&gt;=2,"Semi-Significant","Significant")))</f>
        <v>Needs Analysis</v>
      </c>
      <c r="W342" s="1">
        <f>IF(Table1[[#This Row],[Cal Type]]&lt;&gt;"ACCREDITED 17025 WITH UNCERTAINTIES",0,"")</f>
        <v>0</v>
      </c>
      <c r="X342" s="1" t="str">
        <f>IF(Table1[[#This Row],[DUT Read]]="","N/A",Table1[[#This Row],[Std Error]]+Table1[[#This Row],[DUT Read]]+Table1[[#This Row],[DUT Ucty]])</f>
        <v>N/A</v>
      </c>
      <c r="Y342" s="1" t="str">
        <f>IF(Table1[[#This Row],[Std Read]]="","N/A",Table1[[#This Row],[Std Read]]+Table1[[#This Row],[Std Ucty]])</f>
        <v>N/A</v>
      </c>
      <c r="Z3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2" s="1" t="str">
        <f>IF(Table1[[#This Row],[Spec Type]]="","N/A",Table1[[#This Row],[Spec Type]])</f>
        <v>±</v>
      </c>
      <c r="AC342" s="1" t="str">
        <f>IF(Table1[[#This Row],[Spec Type2]]="N/A","N/A",IF(AND(Table1[[#This Row],[DUT Adj Read]]&gt;=Table1[[#This Row],[Low Tol]],Table1[[#This Row],[DUT Adj Read]]&lt;=Table1[[#This Row],[High Tol]]),"Pass","Fail"))</f>
        <v>Fail</v>
      </c>
      <c r="AD342" s="1" t="str">
        <f>IF(AND(Table1[[#This Row],[Spec Type2]]="N/A",Table1[[#This Row],[DUT Adj Read]]="N/A",Table1[[#This Row],[Std Adj Read]]="N/A"),"N/A",IF(Table1[[#This Row],[DUT Adj Read]]="N/A",IF(Table1[[#This Row],[Std Adj Read]]&gt;Table1[[#This Row],[Low Tol]],"Pass","Fail"),IF(Table1[[#This Row],[DUT Adj Read]]&gt;Table1[[#This Row],[Low Tol]],"Pass","Fail")))</f>
        <v>Pass</v>
      </c>
      <c r="AE342" s="1" t="str">
        <f>IF(AND(Table1[[#This Row],[Spec Type2]]="N/A",Table1[[#This Row],[DUT Adj Read]]="N/A",Table1[[#This Row],[Std Adj Read]]="N/A"),"N/A",IF(Table1[[#This Row],[DUT Adj Read]]="N/A",IF(Table1[[#This Row],[Std Adj Read]]&lt;Table1[[#This Row],[High Tol]],"Pass","Fail"),IF(Table1[[#This Row],[DUT Adj Read]]&lt;Table1[[#This Row],[High Tol]],"Pass","Fail")))</f>
        <v>Fail</v>
      </c>
      <c r="AF342" s="1" t="str">
        <f>IF(AND(Table1[[#This Row],[Spec Type2]]="N/A",Table1[[#This Row],[DUT Adj Read]]="N/A",Table1[[#This Row],[Std Adj Read]]="N/A"),"N/A",IF(Table1[[#This Row],[DUT Adj Read]]="N/A",IF(Table1[[#This Row],[Std Adj Read]]&gt;=Table1[[#This Row],[Low Tol]],"Pass","Fail"),IF(Table1[[#This Row],[DUT Adj Read]]&gt;=Table1[[#This Row],[Low Tol]],"Pass","Fail")))</f>
        <v>Pass</v>
      </c>
      <c r="AG342" s="1" t="str">
        <f>IF(AND(Table1[[#This Row],[Spec Type2]]="N/A",Table1[[#This Row],[DUT Adj Read]]="N/A",Table1[[#This Row],[Std Adj Read]]="N/A"),"N/A",IF(Table1[[#This Row],[DUT Adj Read]]="N/A",IF(Table1[[#This Row],[Std Adj Read]]&lt;=Table1[[#This Row],[High Tol]],"Pass","Fail"),IF(Table1[[#This Row],[DUT Adj Read]]&lt;=Table1[[#This Row],[High Tol]],"Pass","Fail")))</f>
        <v>Fail</v>
      </c>
      <c r="AH3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2" s="1" t="b">
        <v>0</v>
      </c>
      <c r="AN342" s="1" t="b">
        <v>0</v>
      </c>
      <c r="AO342" s="1" t="b">
        <v>0</v>
      </c>
    </row>
    <row r="343" spans="1:41" x14ac:dyDescent="0.25">
      <c r="A343" s="10"/>
      <c r="B343" s="10"/>
      <c r="C343" s="10"/>
      <c r="D343" s="10"/>
      <c r="E343" s="10"/>
      <c r="F343" s="10"/>
      <c r="G343" s="10"/>
      <c r="H343" s="10"/>
      <c r="I343" s="1" t="str">
        <f t="shared" si="15"/>
        <v/>
      </c>
      <c r="J343" s="1" t="s">
        <v>35</v>
      </c>
      <c r="K343" s="1" t="str">
        <f t="shared" si="16"/>
        <v/>
      </c>
      <c r="L343" s="1" t="str">
        <f t="shared" si="17"/>
        <v/>
      </c>
      <c r="M343" s="1">
        <f>IF(OR(Table1[[#This Row],[Std Nom]]="",Table1[[#This Row],[Std Read]]=""),0,Table1[[#This Row],[Std Nom]]-Table1[[#This Row],[Std Read]])</f>
        <v>0</v>
      </c>
      <c r="N343" s="1">
        <f>IF(Calculations!$F$5="ACCREDITED 17025 WITH UNCERTAINTIES",$N$10,0)</f>
        <v>0</v>
      </c>
      <c r="O343" s="1" t="str">
        <f>IFERROR(Table1[[#This Row],[Std Nom]]-(_xlfn.XLOOKUP(Table1[[#This Row],[Manufacturer]]&amp;" "&amp;Table1[[#This Row],[Model]],Table13[MFR &amp; MDL],Table13[Tolerance % CW ],"")/100*Table1[[#This Row],[Std Nom]]),"")</f>
        <v/>
      </c>
      <c r="P343" s="1" t="str">
        <f>IFERROR(Table1[[#This Row],[Std Nom]]+(_xlfn.XLOOKUP(Table1[[#This Row],[Manufacturer]]&amp;" "&amp;Table1[[#This Row],[Model]],Table13[MFR &amp; MDL],Table13[Tolerance % CW ],"")/100*Table1[[#This Row],[Std Nom]]),"")</f>
        <v/>
      </c>
      <c r="Q343" s="1" t="e">
        <f>Table1[[#This Row],[High Tol]]-Table1[[#This Row],[Low Tol]]</f>
        <v>#VALUE!</v>
      </c>
      <c r="R343" s="1">
        <f>2*Table1[[#This Row],[Std Error]]</f>
        <v>0</v>
      </c>
      <c r="S343" s="1" t="str">
        <f>IF(Table1[[#This Row],[High Tol]]="","N/A",IFERROR(ABS(Table1[[#This Row],[Tol Span]]/Table1[[#This Row],[Error Span]]),"N/A"))</f>
        <v>N/A</v>
      </c>
      <c r="T343" s="1" t="str">
        <f>IF(OR(Table1[[#This Row],[Low Tol]]="",Table1[[#This Row],[High Tol]]=""),"Needs Analysis",IF(Table1[[#This Row],[Ratio]]&gt;=4,"Not Significant",IF(Table1[[#This Row],[Ratio]]&gt;=2,"Semi-Significant","Significant")))</f>
        <v>Needs Analysis</v>
      </c>
      <c r="W343" s="1">
        <f>IF(Table1[[#This Row],[Cal Type]]&lt;&gt;"ACCREDITED 17025 WITH UNCERTAINTIES",0,"")</f>
        <v>0</v>
      </c>
      <c r="X343" s="1" t="str">
        <f>IF(Table1[[#This Row],[DUT Read]]="","N/A",Table1[[#This Row],[Std Error]]+Table1[[#This Row],[DUT Read]]+Table1[[#This Row],[DUT Ucty]])</f>
        <v>N/A</v>
      </c>
      <c r="Y343" s="1" t="str">
        <f>IF(Table1[[#This Row],[Std Read]]="","N/A",Table1[[#This Row],[Std Read]]+Table1[[#This Row],[Std Ucty]])</f>
        <v>N/A</v>
      </c>
      <c r="Z3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3" s="1" t="str">
        <f>IF(Table1[[#This Row],[Spec Type]]="","N/A",Table1[[#This Row],[Spec Type]])</f>
        <v>±</v>
      </c>
      <c r="AC343" s="1" t="str">
        <f>IF(Table1[[#This Row],[Spec Type2]]="N/A","N/A",IF(AND(Table1[[#This Row],[DUT Adj Read]]&gt;=Table1[[#This Row],[Low Tol]],Table1[[#This Row],[DUT Adj Read]]&lt;=Table1[[#This Row],[High Tol]]),"Pass","Fail"))</f>
        <v>Fail</v>
      </c>
      <c r="AD343" s="1" t="str">
        <f>IF(AND(Table1[[#This Row],[Spec Type2]]="N/A",Table1[[#This Row],[DUT Adj Read]]="N/A",Table1[[#This Row],[Std Adj Read]]="N/A"),"N/A",IF(Table1[[#This Row],[DUT Adj Read]]="N/A",IF(Table1[[#This Row],[Std Adj Read]]&gt;Table1[[#This Row],[Low Tol]],"Pass","Fail"),IF(Table1[[#This Row],[DUT Adj Read]]&gt;Table1[[#This Row],[Low Tol]],"Pass","Fail")))</f>
        <v>Pass</v>
      </c>
      <c r="AE343" s="1" t="str">
        <f>IF(AND(Table1[[#This Row],[Spec Type2]]="N/A",Table1[[#This Row],[DUT Adj Read]]="N/A",Table1[[#This Row],[Std Adj Read]]="N/A"),"N/A",IF(Table1[[#This Row],[DUT Adj Read]]="N/A",IF(Table1[[#This Row],[Std Adj Read]]&lt;Table1[[#This Row],[High Tol]],"Pass","Fail"),IF(Table1[[#This Row],[DUT Adj Read]]&lt;Table1[[#This Row],[High Tol]],"Pass","Fail")))</f>
        <v>Fail</v>
      </c>
      <c r="AF343" s="1" t="str">
        <f>IF(AND(Table1[[#This Row],[Spec Type2]]="N/A",Table1[[#This Row],[DUT Adj Read]]="N/A",Table1[[#This Row],[Std Adj Read]]="N/A"),"N/A",IF(Table1[[#This Row],[DUT Adj Read]]="N/A",IF(Table1[[#This Row],[Std Adj Read]]&gt;=Table1[[#This Row],[Low Tol]],"Pass","Fail"),IF(Table1[[#This Row],[DUT Adj Read]]&gt;=Table1[[#This Row],[Low Tol]],"Pass","Fail")))</f>
        <v>Pass</v>
      </c>
      <c r="AG343" s="1" t="str">
        <f>IF(AND(Table1[[#This Row],[Spec Type2]]="N/A",Table1[[#This Row],[DUT Adj Read]]="N/A",Table1[[#This Row],[Std Adj Read]]="N/A"),"N/A",IF(Table1[[#This Row],[DUT Adj Read]]="N/A",IF(Table1[[#This Row],[Std Adj Read]]&lt;=Table1[[#This Row],[High Tol]],"Pass","Fail"),IF(Table1[[#This Row],[DUT Adj Read]]&lt;=Table1[[#This Row],[High Tol]],"Pass","Fail")))</f>
        <v>Fail</v>
      </c>
      <c r="AH3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3" s="1" t="b">
        <v>0</v>
      </c>
      <c r="AN343" s="1" t="b">
        <v>0</v>
      </c>
      <c r="AO343" s="1" t="b">
        <v>0</v>
      </c>
    </row>
    <row r="344" spans="1:41" x14ac:dyDescent="0.25">
      <c r="A344" s="10"/>
      <c r="B344" s="10"/>
      <c r="C344" s="10"/>
      <c r="D344" s="10"/>
      <c r="E344" s="10"/>
      <c r="F344" s="10"/>
      <c r="G344" s="10"/>
      <c r="H344" s="10"/>
      <c r="I344" s="1" t="str">
        <f t="shared" si="15"/>
        <v/>
      </c>
      <c r="J344" s="1" t="s">
        <v>35</v>
      </c>
      <c r="K344" s="1" t="str">
        <f t="shared" si="16"/>
        <v/>
      </c>
      <c r="L344" s="1" t="str">
        <f t="shared" si="17"/>
        <v/>
      </c>
      <c r="M344" s="1">
        <f>IF(OR(Table1[[#This Row],[Std Nom]]="",Table1[[#This Row],[Std Read]]=""),0,Table1[[#This Row],[Std Nom]]-Table1[[#This Row],[Std Read]])</f>
        <v>0</v>
      </c>
      <c r="N344" s="1">
        <f>IF(Calculations!$F$5="ACCREDITED 17025 WITH UNCERTAINTIES",$N$10,0)</f>
        <v>0</v>
      </c>
      <c r="O344" s="1" t="str">
        <f>IFERROR(Table1[[#This Row],[Std Nom]]-(_xlfn.XLOOKUP(Table1[[#This Row],[Manufacturer]]&amp;" "&amp;Table1[[#This Row],[Model]],Table13[MFR &amp; MDL],Table13[Tolerance % CW ],"")/100*Table1[[#This Row],[Std Nom]]),"")</f>
        <v/>
      </c>
      <c r="P344" s="1" t="str">
        <f>IFERROR(Table1[[#This Row],[Std Nom]]+(_xlfn.XLOOKUP(Table1[[#This Row],[Manufacturer]]&amp;" "&amp;Table1[[#This Row],[Model]],Table13[MFR &amp; MDL],Table13[Tolerance % CW ],"")/100*Table1[[#This Row],[Std Nom]]),"")</f>
        <v/>
      </c>
      <c r="Q344" s="1" t="e">
        <f>Table1[[#This Row],[High Tol]]-Table1[[#This Row],[Low Tol]]</f>
        <v>#VALUE!</v>
      </c>
      <c r="R344" s="1">
        <f>2*Table1[[#This Row],[Std Error]]</f>
        <v>0</v>
      </c>
      <c r="S344" s="1" t="str">
        <f>IF(Table1[[#This Row],[High Tol]]="","N/A",IFERROR(ABS(Table1[[#This Row],[Tol Span]]/Table1[[#This Row],[Error Span]]),"N/A"))</f>
        <v>N/A</v>
      </c>
      <c r="T344" s="1" t="str">
        <f>IF(OR(Table1[[#This Row],[Low Tol]]="",Table1[[#This Row],[High Tol]]=""),"Needs Analysis",IF(Table1[[#This Row],[Ratio]]&gt;=4,"Not Significant",IF(Table1[[#This Row],[Ratio]]&gt;=2,"Semi-Significant","Significant")))</f>
        <v>Needs Analysis</v>
      </c>
      <c r="W344" s="1">
        <f>IF(Table1[[#This Row],[Cal Type]]&lt;&gt;"ACCREDITED 17025 WITH UNCERTAINTIES",0,"")</f>
        <v>0</v>
      </c>
      <c r="X344" s="1" t="str">
        <f>IF(Table1[[#This Row],[DUT Read]]="","N/A",Table1[[#This Row],[Std Error]]+Table1[[#This Row],[DUT Read]]+Table1[[#This Row],[DUT Ucty]])</f>
        <v>N/A</v>
      </c>
      <c r="Y344" s="1" t="str">
        <f>IF(Table1[[#This Row],[Std Read]]="","N/A",Table1[[#This Row],[Std Read]]+Table1[[#This Row],[Std Ucty]])</f>
        <v>N/A</v>
      </c>
      <c r="Z3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4" s="1" t="str">
        <f>IF(Table1[[#This Row],[Spec Type]]="","N/A",Table1[[#This Row],[Spec Type]])</f>
        <v>±</v>
      </c>
      <c r="AC344" s="1" t="str">
        <f>IF(Table1[[#This Row],[Spec Type2]]="N/A","N/A",IF(AND(Table1[[#This Row],[DUT Adj Read]]&gt;=Table1[[#This Row],[Low Tol]],Table1[[#This Row],[DUT Adj Read]]&lt;=Table1[[#This Row],[High Tol]]),"Pass","Fail"))</f>
        <v>Fail</v>
      </c>
      <c r="AD344" s="1" t="str">
        <f>IF(AND(Table1[[#This Row],[Spec Type2]]="N/A",Table1[[#This Row],[DUT Adj Read]]="N/A",Table1[[#This Row],[Std Adj Read]]="N/A"),"N/A",IF(Table1[[#This Row],[DUT Adj Read]]="N/A",IF(Table1[[#This Row],[Std Adj Read]]&gt;Table1[[#This Row],[Low Tol]],"Pass","Fail"),IF(Table1[[#This Row],[DUT Adj Read]]&gt;Table1[[#This Row],[Low Tol]],"Pass","Fail")))</f>
        <v>Pass</v>
      </c>
      <c r="AE344" s="1" t="str">
        <f>IF(AND(Table1[[#This Row],[Spec Type2]]="N/A",Table1[[#This Row],[DUT Adj Read]]="N/A",Table1[[#This Row],[Std Adj Read]]="N/A"),"N/A",IF(Table1[[#This Row],[DUT Adj Read]]="N/A",IF(Table1[[#This Row],[Std Adj Read]]&lt;Table1[[#This Row],[High Tol]],"Pass","Fail"),IF(Table1[[#This Row],[DUT Adj Read]]&lt;Table1[[#This Row],[High Tol]],"Pass","Fail")))</f>
        <v>Fail</v>
      </c>
      <c r="AF344" s="1" t="str">
        <f>IF(AND(Table1[[#This Row],[Spec Type2]]="N/A",Table1[[#This Row],[DUT Adj Read]]="N/A",Table1[[#This Row],[Std Adj Read]]="N/A"),"N/A",IF(Table1[[#This Row],[DUT Adj Read]]="N/A",IF(Table1[[#This Row],[Std Adj Read]]&gt;=Table1[[#This Row],[Low Tol]],"Pass","Fail"),IF(Table1[[#This Row],[DUT Adj Read]]&gt;=Table1[[#This Row],[Low Tol]],"Pass","Fail")))</f>
        <v>Pass</v>
      </c>
      <c r="AG344" s="1" t="str">
        <f>IF(AND(Table1[[#This Row],[Spec Type2]]="N/A",Table1[[#This Row],[DUT Adj Read]]="N/A",Table1[[#This Row],[Std Adj Read]]="N/A"),"N/A",IF(Table1[[#This Row],[DUT Adj Read]]="N/A",IF(Table1[[#This Row],[Std Adj Read]]&lt;=Table1[[#This Row],[High Tol]],"Pass","Fail"),IF(Table1[[#This Row],[DUT Adj Read]]&lt;=Table1[[#This Row],[High Tol]],"Pass","Fail")))</f>
        <v>Fail</v>
      </c>
      <c r="AH3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4" s="1" t="b">
        <v>0</v>
      </c>
      <c r="AN344" s="1" t="b">
        <v>0</v>
      </c>
      <c r="AO344" s="1" t="b">
        <v>0</v>
      </c>
    </row>
    <row r="345" spans="1:41" x14ac:dyDescent="0.25">
      <c r="A345" s="10"/>
      <c r="B345" s="10"/>
      <c r="C345" s="10"/>
      <c r="D345" s="10"/>
      <c r="E345" s="10"/>
      <c r="F345" s="10"/>
      <c r="G345" s="10"/>
      <c r="H345" s="10"/>
      <c r="I345" s="1" t="str">
        <f t="shared" si="15"/>
        <v/>
      </c>
      <c r="J345" s="1" t="s">
        <v>35</v>
      </c>
      <c r="K345" s="1" t="str">
        <f t="shared" si="16"/>
        <v/>
      </c>
      <c r="L345" s="1" t="str">
        <f t="shared" si="17"/>
        <v/>
      </c>
      <c r="M345" s="1">
        <f>IF(OR(Table1[[#This Row],[Std Nom]]="",Table1[[#This Row],[Std Read]]=""),0,Table1[[#This Row],[Std Nom]]-Table1[[#This Row],[Std Read]])</f>
        <v>0</v>
      </c>
      <c r="N345" s="1">
        <f>IF(Calculations!$F$5="ACCREDITED 17025 WITH UNCERTAINTIES",$N$10,0)</f>
        <v>0</v>
      </c>
      <c r="O345" s="1" t="str">
        <f>IFERROR(Table1[[#This Row],[Std Nom]]-(_xlfn.XLOOKUP(Table1[[#This Row],[Manufacturer]]&amp;" "&amp;Table1[[#This Row],[Model]],Table13[MFR &amp; MDL],Table13[Tolerance % CW ],"")/100*Table1[[#This Row],[Std Nom]]),"")</f>
        <v/>
      </c>
      <c r="P345" s="1" t="str">
        <f>IFERROR(Table1[[#This Row],[Std Nom]]+(_xlfn.XLOOKUP(Table1[[#This Row],[Manufacturer]]&amp;" "&amp;Table1[[#This Row],[Model]],Table13[MFR &amp; MDL],Table13[Tolerance % CW ],"")/100*Table1[[#This Row],[Std Nom]]),"")</f>
        <v/>
      </c>
      <c r="Q345" s="1" t="e">
        <f>Table1[[#This Row],[High Tol]]-Table1[[#This Row],[Low Tol]]</f>
        <v>#VALUE!</v>
      </c>
      <c r="R345" s="1">
        <f>2*Table1[[#This Row],[Std Error]]</f>
        <v>0</v>
      </c>
      <c r="S345" s="1" t="str">
        <f>IF(Table1[[#This Row],[High Tol]]="","N/A",IFERROR(ABS(Table1[[#This Row],[Tol Span]]/Table1[[#This Row],[Error Span]]),"N/A"))</f>
        <v>N/A</v>
      </c>
      <c r="T345" s="1" t="str">
        <f>IF(OR(Table1[[#This Row],[Low Tol]]="",Table1[[#This Row],[High Tol]]=""),"Needs Analysis",IF(Table1[[#This Row],[Ratio]]&gt;=4,"Not Significant",IF(Table1[[#This Row],[Ratio]]&gt;=2,"Semi-Significant","Significant")))</f>
        <v>Needs Analysis</v>
      </c>
      <c r="W345" s="1">
        <f>IF(Table1[[#This Row],[Cal Type]]&lt;&gt;"ACCREDITED 17025 WITH UNCERTAINTIES",0,"")</f>
        <v>0</v>
      </c>
      <c r="X345" s="1" t="str">
        <f>IF(Table1[[#This Row],[DUT Read]]="","N/A",Table1[[#This Row],[Std Error]]+Table1[[#This Row],[DUT Read]]+Table1[[#This Row],[DUT Ucty]])</f>
        <v>N/A</v>
      </c>
      <c r="Y345" s="1" t="str">
        <f>IF(Table1[[#This Row],[Std Read]]="","N/A",Table1[[#This Row],[Std Read]]+Table1[[#This Row],[Std Ucty]])</f>
        <v>N/A</v>
      </c>
      <c r="Z3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5" s="1" t="str">
        <f>IF(Table1[[#This Row],[Spec Type]]="","N/A",Table1[[#This Row],[Spec Type]])</f>
        <v>±</v>
      </c>
      <c r="AC345" s="1" t="str">
        <f>IF(Table1[[#This Row],[Spec Type2]]="N/A","N/A",IF(AND(Table1[[#This Row],[DUT Adj Read]]&gt;=Table1[[#This Row],[Low Tol]],Table1[[#This Row],[DUT Adj Read]]&lt;=Table1[[#This Row],[High Tol]]),"Pass","Fail"))</f>
        <v>Fail</v>
      </c>
      <c r="AD345" s="1" t="str">
        <f>IF(AND(Table1[[#This Row],[Spec Type2]]="N/A",Table1[[#This Row],[DUT Adj Read]]="N/A",Table1[[#This Row],[Std Adj Read]]="N/A"),"N/A",IF(Table1[[#This Row],[DUT Adj Read]]="N/A",IF(Table1[[#This Row],[Std Adj Read]]&gt;Table1[[#This Row],[Low Tol]],"Pass","Fail"),IF(Table1[[#This Row],[DUT Adj Read]]&gt;Table1[[#This Row],[Low Tol]],"Pass","Fail")))</f>
        <v>Pass</v>
      </c>
      <c r="AE345" s="1" t="str">
        <f>IF(AND(Table1[[#This Row],[Spec Type2]]="N/A",Table1[[#This Row],[DUT Adj Read]]="N/A",Table1[[#This Row],[Std Adj Read]]="N/A"),"N/A",IF(Table1[[#This Row],[DUT Adj Read]]="N/A",IF(Table1[[#This Row],[Std Adj Read]]&lt;Table1[[#This Row],[High Tol]],"Pass","Fail"),IF(Table1[[#This Row],[DUT Adj Read]]&lt;Table1[[#This Row],[High Tol]],"Pass","Fail")))</f>
        <v>Fail</v>
      </c>
      <c r="AF345" s="1" t="str">
        <f>IF(AND(Table1[[#This Row],[Spec Type2]]="N/A",Table1[[#This Row],[DUT Adj Read]]="N/A",Table1[[#This Row],[Std Adj Read]]="N/A"),"N/A",IF(Table1[[#This Row],[DUT Adj Read]]="N/A",IF(Table1[[#This Row],[Std Adj Read]]&gt;=Table1[[#This Row],[Low Tol]],"Pass","Fail"),IF(Table1[[#This Row],[DUT Adj Read]]&gt;=Table1[[#This Row],[Low Tol]],"Pass","Fail")))</f>
        <v>Pass</v>
      </c>
      <c r="AG345" s="1" t="str">
        <f>IF(AND(Table1[[#This Row],[Spec Type2]]="N/A",Table1[[#This Row],[DUT Adj Read]]="N/A",Table1[[#This Row],[Std Adj Read]]="N/A"),"N/A",IF(Table1[[#This Row],[DUT Adj Read]]="N/A",IF(Table1[[#This Row],[Std Adj Read]]&lt;=Table1[[#This Row],[High Tol]],"Pass","Fail"),IF(Table1[[#This Row],[DUT Adj Read]]&lt;=Table1[[#This Row],[High Tol]],"Pass","Fail")))</f>
        <v>Fail</v>
      </c>
      <c r="AH3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5" s="1" t="b">
        <v>0</v>
      </c>
      <c r="AN345" s="1" t="b">
        <v>0</v>
      </c>
      <c r="AO345" s="1" t="b">
        <v>0</v>
      </c>
    </row>
    <row r="346" spans="1:41" x14ac:dyDescent="0.25">
      <c r="A346" s="10"/>
      <c r="B346" s="10"/>
      <c r="C346" s="10"/>
      <c r="D346" s="10"/>
      <c r="E346" s="10"/>
      <c r="F346" s="10"/>
      <c r="G346" s="10"/>
      <c r="H346" s="10"/>
      <c r="I346" s="1" t="str">
        <f t="shared" si="15"/>
        <v/>
      </c>
      <c r="J346" s="1" t="s">
        <v>35</v>
      </c>
      <c r="K346" s="1" t="str">
        <f t="shared" si="16"/>
        <v/>
      </c>
      <c r="L346" s="1" t="str">
        <f t="shared" si="17"/>
        <v/>
      </c>
      <c r="M346" s="1">
        <f>IF(OR(Table1[[#This Row],[Std Nom]]="",Table1[[#This Row],[Std Read]]=""),0,Table1[[#This Row],[Std Nom]]-Table1[[#This Row],[Std Read]])</f>
        <v>0</v>
      </c>
      <c r="N346" s="1">
        <f>IF(Calculations!$F$5="ACCREDITED 17025 WITH UNCERTAINTIES",$N$10,0)</f>
        <v>0</v>
      </c>
      <c r="O346" s="1" t="str">
        <f>IFERROR(Table1[[#This Row],[Std Nom]]-(_xlfn.XLOOKUP(Table1[[#This Row],[Manufacturer]]&amp;" "&amp;Table1[[#This Row],[Model]],Table13[MFR &amp; MDL],Table13[Tolerance % CW ],"")/100*Table1[[#This Row],[Std Nom]]),"")</f>
        <v/>
      </c>
      <c r="P346" s="1" t="str">
        <f>IFERROR(Table1[[#This Row],[Std Nom]]+(_xlfn.XLOOKUP(Table1[[#This Row],[Manufacturer]]&amp;" "&amp;Table1[[#This Row],[Model]],Table13[MFR &amp; MDL],Table13[Tolerance % CW ],"")/100*Table1[[#This Row],[Std Nom]]),"")</f>
        <v/>
      </c>
      <c r="Q346" s="1" t="e">
        <f>Table1[[#This Row],[High Tol]]-Table1[[#This Row],[Low Tol]]</f>
        <v>#VALUE!</v>
      </c>
      <c r="R346" s="1">
        <f>2*Table1[[#This Row],[Std Error]]</f>
        <v>0</v>
      </c>
      <c r="S346" s="1" t="str">
        <f>IF(Table1[[#This Row],[High Tol]]="","N/A",IFERROR(ABS(Table1[[#This Row],[Tol Span]]/Table1[[#This Row],[Error Span]]),"N/A"))</f>
        <v>N/A</v>
      </c>
      <c r="T346" s="1" t="str">
        <f>IF(OR(Table1[[#This Row],[Low Tol]]="",Table1[[#This Row],[High Tol]]=""),"Needs Analysis",IF(Table1[[#This Row],[Ratio]]&gt;=4,"Not Significant",IF(Table1[[#This Row],[Ratio]]&gt;=2,"Semi-Significant","Significant")))</f>
        <v>Needs Analysis</v>
      </c>
      <c r="W346" s="1">
        <f>IF(Table1[[#This Row],[Cal Type]]&lt;&gt;"ACCREDITED 17025 WITH UNCERTAINTIES",0,"")</f>
        <v>0</v>
      </c>
      <c r="X346" s="1" t="str">
        <f>IF(Table1[[#This Row],[DUT Read]]="","N/A",Table1[[#This Row],[Std Error]]+Table1[[#This Row],[DUT Read]]+Table1[[#This Row],[DUT Ucty]])</f>
        <v>N/A</v>
      </c>
      <c r="Y346" s="1" t="str">
        <f>IF(Table1[[#This Row],[Std Read]]="","N/A",Table1[[#This Row],[Std Read]]+Table1[[#This Row],[Std Ucty]])</f>
        <v>N/A</v>
      </c>
      <c r="Z3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6" s="1" t="str">
        <f>IF(Table1[[#This Row],[Spec Type]]="","N/A",Table1[[#This Row],[Spec Type]])</f>
        <v>±</v>
      </c>
      <c r="AC346" s="1" t="str">
        <f>IF(Table1[[#This Row],[Spec Type2]]="N/A","N/A",IF(AND(Table1[[#This Row],[DUT Adj Read]]&gt;=Table1[[#This Row],[Low Tol]],Table1[[#This Row],[DUT Adj Read]]&lt;=Table1[[#This Row],[High Tol]]),"Pass","Fail"))</f>
        <v>Fail</v>
      </c>
      <c r="AD346" s="1" t="str">
        <f>IF(AND(Table1[[#This Row],[Spec Type2]]="N/A",Table1[[#This Row],[DUT Adj Read]]="N/A",Table1[[#This Row],[Std Adj Read]]="N/A"),"N/A",IF(Table1[[#This Row],[DUT Adj Read]]="N/A",IF(Table1[[#This Row],[Std Adj Read]]&gt;Table1[[#This Row],[Low Tol]],"Pass","Fail"),IF(Table1[[#This Row],[DUT Adj Read]]&gt;Table1[[#This Row],[Low Tol]],"Pass","Fail")))</f>
        <v>Pass</v>
      </c>
      <c r="AE346" s="1" t="str">
        <f>IF(AND(Table1[[#This Row],[Spec Type2]]="N/A",Table1[[#This Row],[DUT Adj Read]]="N/A",Table1[[#This Row],[Std Adj Read]]="N/A"),"N/A",IF(Table1[[#This Row],[DUT Adj Read]]="N/A",IF(Table1[[#This Row],[Std Adj Read]]&lt;Table1[[#This Row],[High Tol]],"Pass","Fail"),IF(Table1[[#This Row],[DUT Adj Read]]&lt;Table1[[#This Row],[High Tol]],"Pass","Fail")))</f>
        <v>Fail</v>
      </c>
      <c r="AF346" s="1" t="str">
        <f>IF(AND(Table1[[#This Row],[Spec Type2]]="N/A",Table1[[#This Row],[DUT Adj Read]]="N/A",Table1[[#This Row],[Std Adj Read]]="N/A"),"N/A",IF(Table1[[#This Row],[DUT Adj Read]]="N/A",IF(Table1[[#This Row],[Std Adj Read]]&gt;=Table1[[#This Row],[Low Tol]],"Pass","Fail"),IF(Table1[[#This Row],[DUT Adj Read]]&gt;=Table1[[#This Row],[Low Tol]],"Pass","Fail")))</f>
        <v>Pass</v>
      </c>
      <c r="AG346" s="1" t="str">
        <f>IF(AND(Table1[[#This Row],[Spec Type2]]="N/A",Table1[[#This Row],[DUT Adj Read]]="N/A",Table1[[#This Row],[Std Adj Read]]="N/A"),"N/A",IF(Table1[[#This Row],[DUT Adj Read]]="N/A",IF(Table1[[#This Row],[Std Adj Read]]&lt;=Table1[[#This Row],[High Tol]],"Pass","Fail"),IF(Table1[[#This Row],[DUT Adj Read]]&lt;=Table1[[#This Row],[High Tol]],"Pass","Fail")))</f>
        <v>Fail</v>
      </c>
      <c r="AH3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6" s="1" t="b">
        <v>0</v>
      </c>
      <c r="AN346" s="1" t="b">
        <v>0</v>
      </c>
      <c r="AO346" s="1" t="b">
        <v>0</v>
      </c>
    </row>
    <row r="347" spans="1:41" x14ac:dyDescent="0.25">
      <c r="A347" s="10"/>
      <c r="B347" s="10"/>
      <c r="C347" s="10"/>
      <c r="D347" s="10"/>
      <c r="E347" s="10"/>
      <c r="F347" s="10"/>
      <c r="G347" s="10"/>
      <c r="H347" s="10"/>
      <c r="I347" s="1" t="str">
        <f t="shared" si="15"/>
        <v/>
      </c>
      <c r="J347" s="1" t="s">
        <v>35</v>
      </c>
      <c r="K347" s="1" t="str">
        <f t="shared" si="16"/>
        <v/>
      </c>
      <c r="L347" s="1" t="str">
        <f t="shared" si="17"/>
        <v/>
      </c>
      <c r="M347" s="1">
        <f>IF(OR(Table1[[#This Row],[Std Nom]]="",Table1[[#This Row],[Std Read]]=""),0,Table1[[#This Row],[Std Nom]]-Table1[[#This Row],[Std Read]])</f>
        <v>0</v>
      </c>
      <c r="N347" s="1">
        <f>IF(Calculations!$F$5="ACCREDITED 17025 WITH UNCERTAINTIES",$N$10,0)</f>
        <v>0</v>
      </c>
      <c r="O347" s="1" t="str">
        <f>IFERROR(Table1[[#This Row],[Std Nom]]-(_xlfn.XLOOKUP(Table1[[#This Row],[Manufacturer]]&amp;" "&amp;Table1[[#This Row],[Model]],Table13[MFR &amp; MDL],Table13[Tolerance % CW ],"")/100*Table1[[#This Row],[Std Nom]]),"")</f>
        <v/>
      </c>
      <c r="P347" s="1" t="str">
        <f>IFERROR(Table1[[#This Row],[Std Nom]]+(_xlfn.XLOOKUP(Table1[[#This Row],[Manufacturer]]&amp;" "&amp;Table1[[#This Row],[Model]],Table13[MFR &amp; MDL],Table13[Tolerance % CW ],"")/100*Table1[[#This Row],[Std Nom]]),"")</f>
        <v/>
      </c>
      <c r="Q347" s="1" t="e">
        <f>Table1[[#This Row],[High Tol]]-Table1[[#This Row],[Low Tol]]</f>
        <v>#VALUE!</v>
      </c>
      <c r="R347" s="1">
        <f>2*Table1[[#This Row],[Std Error]]</f>
        <v>0</v>
      </c>
      <c r="S347" s="1" t="str">
        <f>IF(Table1[[#This Row],[High Tol]]="","N/A",IFERROR(ABS(Table1[[#This Row],[Tol Span]]/Table1[[#This Row],[Error Span]]),"N/A"))</f>
        <v>N/A</v>
      </c>
      <c r="T347" s="1" t="str">
        <f>IF(OR(Table1[[#This Row],[Low Tol]]="",Table1[[#This Row],[High Tol]]=""),"Needs Analysis",IF(Table1[[#This Row],[Ratio]]&gt;=4,"Not Significant",IF(Table1[[#This Row],[Ratio]]&gt;=2,"Semi-Significant","Significant")))</f>
        <v>Needs Analysis</v>
      </c>
      <c r="W347" s="1">
        <f>IF(Table1[[#This Row],[Cal Type]]&lt;&gt;"ACCREDITED 17025 WITH UNCERTAINTIES",0,"")</f>
        <v>0</v>
      </c>
      <c r="X347" s="1" t="str">
        <f>IF(Table1[[#This Row],[DUT Read]]="","N/A",Table1[[#This Row],[Std Error]]+Table1[[#This Row],[DUT Read]]+Table1[[#This Row],[DUT Ucty]])</f>
        <v>N/A</v>
      </c>
      <c r="Y347" s="1" t="str">
        <f>IF(Table1[[#This Row],[Std Read]]="","N/A",Table1[[#This Row],[Std Read]]+Table1[[#This Row],[Std Ucty]])</f>
        <v>N/A</v>
      </c>
      <c r="Z3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7" s="1" t="str">
        <f>IF(Table1[[#This Row],[Spec Type]]="","N/A",Table1[[#This Row],[Spec Type]])</f>
        <v>±</v>
      </c>
      <c r="AC347" s="1" t="str">
        <f>IF(Table1[[#This Row],[Spec Type2]]="N/A","N/A",IF(AND(Table1[[#This Row],[DUT Adj Read]]&gt;=Table1[[#This Row],[Low Tol]],Table1[[#This Row],[DUT Adj Read]]&lt;=Table1[[#This Row],[High Tol]]),"Pass","Fail"))</f>
        <v>Fail</v>
      </c>
      <c r="AD347" s="1" t="str">
        <f>IF(AND(Table1[[#This Row],[Spec Type2]]="N/A",Table1[[#This Row],[DUT Adj Read]]="N/A",Table1[[#This Row],[Std Adj Read]]="N/A"),"N/A",IF(Table1[[#This Row],[DUT Adj Read]]="N/A",IF(Table1[[#This Row],[Std Adj Read]]&gt;Table1[[#This Row],[Low Tol]],"Pass","Fail"),IF(Table1[[#This Row],[DUT Adj Read]]&gt;Table1[[#This Row],[Low Tol]],"Pass","Fail")))</f>
        <v>Pass</v>
      </c>
      <c r="AE347" s="1" t="str">
        <f>IF(AND(Table1[[#This Row],[Spec Type2]]="N/A",Table1[[#This Row],[DUT Adj Read]]="N/A",Table1[[#This Row],[Std Adj Read]]="N/A"),"N/A",IF(Table1[[#This Row],[DUT Adj Read]]="N/A",IF(Table1[[#This Row],[Std Adj Read]]&lt;Table1[[#This Row],[High Tol]],"Pass","Fail"),IF(Table1[[#This Row],[DUT Adj Read]]&lt;Table1[[#This Row],[High Tol]],"Pass","Fail")))</f>
        <v>Fail</v>
      </c>
      <c r="AF347" s="1" t="str">
        <f>IF(AND(Table1[[#This Row],[Spec Type2]]="N/A",Table1[[#This Row],[DUT Adj Read]]="N/A",Table1[[#This Row],[Std Adj Read]]="N/A"),"N/A",IF(Table1[[#This Row],[DUT Adj Read]]="N/A",IF(Table1[[#This Row],[Std Adj Read]]&gt;=Table1[[#This Row],[Low Tol]],"Pass","Fail"),IF(Table1[[#This Row],[DUT Adj Read]]&gt;=Table1[[#This Row],[Low Tol]],"Pass","Fail")))</f>
        <v>Pass</v>
      </c>
      <c r="AG347" s="1" t="str">
        <f>IF(AND(Table1[[#This Row],[Spec Type2]]="N/A",Table1[[#This Row],[DUT Adj Read]]="N/A",Table1[[#This Row],[Std Adj Read]]="N/A"),"N/A",IF(Table1[[#This Row],[DUT Adj Read]]="N/A",IF(Table1[[#This Row],[Std Adj Read]]&lt;=Table1[[#This Row],[High Tol]],"Pass","Fail"),IF(Table1[[#This Row],[DUT Adj Read]]&lt;=Table1[[#This Row],[High Tol]],"Pass","Fail")))</f>
        <v>Fail</v>
      </c>
      <c r="AH3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7" s="1" t="b">
        <v>0</v>
      </c>
      <c r="AN347" s="1" t="b">
        <v>0</v>
      </c>
      <c r="AO347" s="1" t="b">
        <v>0</v>
      </c>
    </row>
    <row r="348" spans="1:41" x14ac:dyDescent="0.25">
      <c r="A348" s="10"/>
      <c r="B348" s="10"/>
      <c r="C348" s="10"/>
      <c r="D348" s="10"/>
      <c r="E348" s="10"/>
      <c r="F348" s="10"/>
      <c r="G348" s="10"/>
      <c r="H348" s="10"/>
      <c r="I348" s="1" t="str">
        <f t="shared" si="15"/>
        <v/>
      </c>
      <c r="J348" s="1" t="s">
        <v>35</v>
      </c>
      <c r="K348" s="1" t="str">
        <f t="shared" si="16"/>
        <v/>
      </c>
      <c r="L348" s="1" t="str">
        <f t="shared" si="17"/>
        <v/>
      </c>
      <c r="M348" s="1">
        <f>IF(OR(Table1[[#This Row],[Std Nom]]="",Table1[[#This Row],[Std Read]]=""),0,Table1[[#This Row],[Std Nom]]-Table1[[#This Row],[Std Read]])</f>
        <v>0</v>
      </c>
      <c r="N348" s="1">
        <f>IF(Calculations!$F$5="ACCREDITED 17025 WITH UNCERTAINTIES",$N$10,0)</f>
        <v>0</v>
      </c>
      <c r="O348" s="1" t="str">
        <f>IFERROR(Table1[[#This Row],[Std Nom]]-(_xlfn.XLOOKUP(Table1[[#This Row],[Manufacturer]]&amp;" "&amp;Table1[[#This Row],[Model]],Table13[MFR &amp; MDL],Table13[Tolerance % CW ],"")/100*Table1[[#This Row],[Std Nom]]),"")</f>
        <v/>
      </c>
      <c r="P348" s="1" t="str">
        <f>IFERROR(Table1[[#This Row],[Std Nom]]+(_xlfn.XLOOKUP(Table1[[#This Row],[Manufacturer]]&amp;" "&amp;Table1[[#This Row],[Model]],Table13[MFR &amp; MDL],Table13[Tolerance % CW ],"")/100*Table1[[#This Row],[Std Nom]]),"")</f>
        <v/>
      </c>
      <c r="Q348" s="1" t="e">
        <f>Table1[[#This Row],[High Tol]]-Table1[[#This Row],[Low Tol]]</f>
        <v>#VALUE!</v>
      </c>
      <c r="R348" s="1">
        <f>2*Table1[[#This Row],[Std Error]]</f>
        <v>0</v>
      </c>
      <c r="S348" s="1" t="str">
        <f>IF(Table1[[#This Row],[High Tol]]="","N/A",IFERROR(ABS(Table1[[#This Row],[Tol Span]]/Table1[[#This Row],[Error Span]]),"N/A"))</f>
        <v>N/A</v>
      </c>
      <c r="T348" s="1" t="str">
        <f>IF(OR(Table1[[#This Row],[Low Tol]]="",Table1[[#This Row],[High Tol]]=""),"Needs Analysis",IF(Table1[[#This Row],[Ratio]]&gt;=4,"Not Significant",IF(Table1[[#This Row],[Ratio]]&gt;=2,"Semi-Significant","Significant")))</f>
        <v>Needs Analysis</v>
      </c>
      <c r="W348" s="1">
        <f>IF(Table1[[#This Row],[Cal Type]]&lt;&gt;"ACCREDITED 17025 WITH UNCERTAINTIES",0,"")</f>
        <v>0</v>
      </c>
      <c r="X348" s="1" t="str">
        <f>IF(Table1[[#This Row],[DUT Read]]="","N/A",Table1[[#This Row],[Std Error]]+Table1[[#This Row],[DUT Read]]+Table1[[#This Row],[DUT Ucty]])</f>
        <v>N/A</v>
      </c>
      <c r="Y348" s="1" t="str">
        <f>IF(Table1[[#This Row],[Std Read]]="","N/A",Table1[[#This Row],[Std Read]]+Table1[[#This Row],[Std Ucty]])</f>
        <v>N/A</v>
      </c>
      <c r="Z3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8" s="1" t="str">
        <f>IF(Table1[[#This Row],[Spec Type]]="","N/A",Table1[[#This Row],[Spec Type]])</f>
        <v>±</v>
      </c>
      <c r="AC348" s="1" t="str">
        <f>IF(Table1[[#This Row],[Spec Type2]]="N/A","N/A",IF(AND(Table1[[#This Row],[DUT Adj Read]]&gt;=Table1[[#This Row],[Low Tol]],Table1[[#This Row],[DUT Adj Read]]&lt;=Table1[[#This Row],[High Tol]]),"Pass","Fail"))</f>
        <v>Fail</v>
      </c>
      <c r="AD348" s="1" t="str">
        <f>IF(AND(Table1[[#This Row],[Spec Type2]]="N/A",Table1[[#This Row],[DUT Adj Read]]="N/A",Table1[[#This Row],[Std Adj Read]]="N/A"),"N/A",IF(Table1[[#This Row],[DUT Adj Read]]="N/A",IF(Table1[[#This Row],[Std Adj Read]]&gt;Table1[[#This Row],[Low Tol]],"Pass","Fail"),IF(Table1[[#This Row],[DUT Adj Read]]&gt;Table1[[#This Row],[Low Tol]],"Pass","Fail")))</f>
        <v>Pass</v>
      </c>
      <c r="AE348" s="1" t="str">
        <f>IF(AND(Table1[[#This Row],[Spec Type2]]="N/A",Table1[[#This Row],[DUT Adj Read]]="N/A",Table1[[#This Row],[Std Adj Read]]="N/A"),"N/A",IF(Table1[[#This Row],[DUT Adj Read]]="N/A",IF(Table1[[#This Row],[Std Adj Read]]&lt;Table1[[#This Row],[High Tol]],"Pass","Fail"),IF(Table1[[#This Row],[DUT Adj Read]]&lt;Table1[[#This Row],[High Tol]],"Pass","Fail")))</f>
        <v>Fail</v>
      </c>
      <c r="AF348" s="1" t="str">
        <f>IF(AND(Table1[[#This Row],[Spec Type2]]="N/A",Table1[[#This Row],[DUT Adj Read]]="N/A",Table1[[#This Row],[Std Adj Read]]="N/A"),"N/A",IF(Table1[[#This Row],[DUT Adj Read]]="N/A",IF(Table1[[#This Row],[Std Adj Read]]&gt;=Table1[[#This Row],[Low Tol]],"Pass","Fail"),IF(Table1[[#This Row],[DUT Adj Read]]&gt;=Table1[[#This Row],[Low Tol]],"Pass","Fail")))</f>
        <v>Pass</v>
      </c>
      <c r="AG348" s="1" t="str">
        <f>IF(AND(Table1[[#This Row],[Spec Type2]]="N/A",Table1[[#This Row],[DUT Adj Read]]="N/A",Table1[[#This Row],[Std Adj Read]]="N/A"),"N/A",IF(Table1[[#This Row],[DUT Adj Read]]="N/A",IF(Table1[[#This Row],[Std Adj Read]]&lt;=Table1[[#This Row],[High Tol]],"Pass","Fail"),IF(Table1[[#This Row],[DUT Adj Read]]&lt;=Table1[[#This Row],[High Tol]],"Pass","Fail")))</f>
        <v>Fail</v>
      </c>
      <c r="AH3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8" s="1" t="b">
        <v>0</v>
      </c>
      <c r="AN348" s="1" t="b">
        <v>0</v>
      </c>
      <c r="AO348" s="1" t="b">
        <v>0</v>
      </c>
    </row>
    <row r="349" spans="1:41" x14ac:dyDescent="0.25">
      <c r="A349" s="10"/>
      <c r="B349" s="10"/>
      <c r="C349" s="10"/>
      <c r="D349" s="10"/>
      <c r="E349" s="10"/>
      <c r="F349" s="10"/>
      <c r="G349" s="10"/>
      <c r="H349" s="10"/>
      <c r="I349" s="1" t="str">
        <f t="shared" si="15"/>
        <v/>
      </c>
      <c r="J349" s="1" t="s">
        <v>35</v>
      </c>
      <c r="K349" s="1" t="str">
        <f t="shared" si="16"/>
        <v/>
      </c>
      <c r="L349" s="1" t="str">
        <f t="shared" si="17"/>
        <v/>
      </c>
      <c r="M349" s="1">
        <f>IF(OR(Table1[[#This Row],[Std Nom]]="",Table1[[#This Row],[Std Read]]=""),0,Table1[[#This Row],[Std Nom]]-Table1[[#This Row],[Std Read]])</f>
        <v>0</v>
      </c>
      <c r="N349" s="1">
        <f>IF(Calculations!$F$5="ACCREDITED 17025 WITH UNCERTAINTIES",$N$10,0)</f>
        <v>0</v>
      </c>
      <c r="O349" s="1" t="str">
        <f>IFERROR(Table1[[#This Row],[Std Nom]]-(_xlfn.XLOOKUP(Table1[[#This Row],[Manufacturer]]&amp;" "&amp;Table1[[#This Row],[Model]],Table13[MFR &amp; MDL],Table13[Tolerance % CW ],"")/100*Table1[[#This Row],[Std Nom]]),"")</f>
        <v/>
      </c>
      <c r="P349" s="1" t="str">
        <f>IFERROR(Table1[[#This Row],[Std Nom]]+(_xlfn.XLOOKUP(Table1[[#This Row],[Manufacturer]]&amp;" "&amp;Table1[[#This Row],[Model]],Table13[MFR &amp; MDL],Table13[Tolerance % CW ],"")/100*Table1[[#This Row],[Std Nom]]),"")</f>
        <v/>
      </c>
      <c r="Q349" s="1" t="e">
        <f>Table1[[#This Row],[High Tol]]-Table1[[#This Row],[Low Tol]]</f>
        <v>#VALUE!</v>
      </c>
      <c r="R349" s="1">
        <f>2*Table1[[#This Row],[Std Error]]</f>
        <v>0</v>
      </c>
      <c r="S349" s="1" t="str">
        <f>IF(Table1[[#This Row],[High Tol]]="","N/A",IFERROR(ABS(Table1[[#This Row],[Tol Span]]/Table1[[#This Row],[Error Span]]),"N/A"))</f>
        <v>N/A</v>
      </c>
      <c r="T349" s="1" t="str">
        <f>IF(OR(Table1[[#This Row],[Low Tol]]="",Table1[[#This Row],[High Tol]]=""),"Needs Analysis",IF(Table1[[#This Row],[Ratio]]&gt;=4,"Not Significant",IF(Table1[[#This Row],[Ratio]]&gt;=2,"Semi-Significant","Significant")))</f>
        <v>Needs Analysis</v>
      </c>
      <c r="W349" s="1">
        <f>IF(Table1[[#This Row],[Cal Type]]&lt;&gt;"ACCREDITED 17025 WITH UNCERTAINTIES",0,"")</f>
        <v>0</v>
      </c>
      <c r="X349" s="1" t="str">
        <f>IF(Table1[[#This Row],[DUT Read]]="","N/A",Table1[[#This Row],[Std Error]]+Table1[[#This Row],[DUT Read]]+Table1[[#This Row],[DUT Ucty]])</f>
        <v>N/A</v>
      </c>
      <c r="Y349" s="1" t="str">
        <f>IF(Table1[[#This Row],[Std Read]]="","N/A",Table1[[#This Row],[Std Read]]+Table1[[#This Row],[Std Ucty]])</f>
        <v>N/A</v>
      </c>
      <c r="Z3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9" s="1" t="str">
        <f>IF(Table1[[#This Row],[Spec Type]]="","N/A",Table1[[#This Row],[Spec Type]])</f>
        <v>±</v>
      </c>
      <c r="AC349" s="1" t="str">
        <f>IF(Table1[[#This Row],[Spec Type2]]="N/A","N/A",IF(AND(Table1[[#This Row],[DUT Adj Read]]&gt;=Table1[[#This Row],[Low Tol]],Table1[[#This Row],[DUT Adj Read]]&lt;=Table1[[#This Row],[High Tol]]),"Pass","Fail"))</f>
        <v>Fail</v>
      </c>
      <c r="AD349" s="1" t="str">
        <f>IF(AND(Table1[[#This Row],[Spec Type2]]="N/A",Table1[[#This Row],[DUT Adj Read]]="N/A",Table1[[#This Row],[Std Adj Read]]="N/A"),"N/A",IF(Table1[[#This Row],[DUT Adj Read]]="N/A",IF(Table1[[#This Row],[Std Adj Read]]&gt;Table1[[#This Row],[Low Tol]],"Pass","Fail"),IF(Table1[[#This Row],[DUT Adj Read]]&gt;Table1[[#This Row],[Low Tol]],"Pass","Fail")))</f>
        <v>Pass</v>
      </c>
      <c r="AE349" s="1" t="str">
        <f>IF(AND(Table1[[#This Row],[Spec Type2]]="N/A",Table1[[#This Row],[DUT Adj Read]]="N/A",Table1[[#This Row],[Std Adj Read]]="N/A"),"N/A",IF(Table1[[#This Row],[DUT Adj Read]]="N/A",IF(Table1[[#This Row],[Std Adj Read]]&lt;Table1[[#This Row],[High Tol]],"Pass","Fail"),IF(Table1[[#This Row],[DUT Adj Read]]&lt;Table1[[#This Row],[High Tol]],"Pass","Fail")))</f>
        <v>Fail</v>
      </c>
      <c r="AF349" s="1" t="str">
        <f>IF(AND(Table1[[#This Row],[Spec Type2]]="N/A",Table1[[#This Row],[DUT Adj Read]]="N/A",Table1[[#This Row],[Std Adj Read]]="N/A"),"N/A",IF(Table1[[#This Row],[DUT Adj Read]]="N/A",IF(Table1[[#This Row],[Std Adj Read]]&gt;=Table1[[#This Row],[Low Tol]],"Pass","Fail"),IF(Table1[[#This Row],[DUT Adj Read]]&gt;=Table1[[#This Row],[Low Tol]],"Pass","Fail")))</f>
        <v>Pass</v>
      </c>
      <c r="AG349" s="1" t="str">
        <f>IF(AND(Table1[[#This Row],[Spec Type2]]="N/A",Table1[[#This Row],[DUT Adj Read]]="N/A",Table1[[#This Row],[Std Adj Read]]="N/A"),"N/A",IF(Table1[[#This Row],[DUT Adj Read]]="N/A",IF(Table1[[#This Row],[Std Adj Read]]&lt;=Table1[[#This Row],[High Tol]],"Pass","Fail"),IF(Table1[[#This Row],[DUT Adj Read]]&lt;=Table1[[#This Row],[High Tol]],"Pass","Fail")))</f>
        <v>Fail</v>
      </c>
      <c r="AH3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9" s="1" t="b">
        <v>0</v>
      </c>
      <c r="AN349" s="1" t="b">
        <v>0</v>
      </c>
      <c r="AO349" s="1" t="b">
        <v>0</v>
      </c>
    </row>
    <row r="350" spans="1:41" x14ac:dyDescent="0.25">
      <c r="A350" s="10"/>
      <c r="B350" s="10"/>
      <c r="C350" s="10"/>
      <c r="D350" s="10"/>
      <c r="E350" s="10"/>
      <c r="F350" s="10"/>
      <c r="G350" s="10"/>
      <c r="H350" s="10"/>
      <c r="I350" s="1" t="str">
        <f t="shared" si="15"/>
        <v/>
      </c>
      <c r="J350" s="1" t="s">
        <v>35</v>
      </c>
      <c r="K350" s="1" t="str">
        <f t="shared" si="16"/>
        <v/>
      </c>
      <c r="L350" s="1" t="str">
        <f t="shared" si="17"/>
        <v/>
      </c>
      <c r="M350" s="1">
        <f>IF(OR(Table1[[#This Row],[Std Nom]]="",Table1[[#This Row],[Std Read]]=""),0,Table1[[#This Row],[Std Nom]]-Table1[[#This Row],[Std Read]])</f>
        <v>0</v>
      </c>
      <c r="N350" s="1">
        <f>IF(Calculations!$F$5="ACCREDITED 17025 WITH UNCERTAINTIES",$N$10,0)</f>
        <v>0</v>
      </c>
      <c r="O350" s="1" t="str">
        <f>IFERROR(Table1[[#This Row],[Std Nom]]-(_xlfn.XLOOKUP(Table1[[#This Row],[Manufacturer]]&amp;" "&amp;Table1[[#This Row],[Model]],Table13[MFR &amp; MDL],Table13[Tolerance % CW ],"")/100*Table1[[#This Row],[Std Nom]]),"")</f>
        <v/>
      </c>
      <c r="P350" s="1" t="str">
        <f>IFERROR(Table1[[#This Row],[Std Nom]]+(_xlfn.XLOOKUP(Table1[[#This Row],[Manufacturer]]&amp;" "&amp;Table1[[#This Row],[Model]],Table13[MFR &amp; MDL],Table13[Tolerance % CW ],"")/100*Table1[[#This Row],[Std Nom]]),"")</f>
        <v/>
      </c>
      <c r="Q350" s="1" t="e">
        <f>Table1[[#This Row],[High Tol]]-Table1[[#This Row],[Low Tol]]</f>
        <v>#VALUE!</v>
      </c>
      <c r="R350" s="1">
        <f>2*Table1[[#This Row],[Std Error]]</f>
        <v>0</v>
      </c>
      <c r="S350" s="1" t="str">
        <f>IF(Table1[[#This Row],[High Tol]]="","N/A",IFERROR(ABS(Table1[[#This Row],[Tol Span]]/Table1[[#This Row],[Error Span]]),"N/A"))</f>
        <v>N/A</v>
      </c>
      <c r="T350" s="1" t="str">
        <f>IF(OR(Table1[[#This Row],[Low Tol]]="",Table1[[#This Row],[High Tol]]=""),"Needs Analysis",IF(Table1[[#This Row],[Ratio]]&gt;=4,"Not Significant",IF(Table1[[#This Row],[Ratio]]&gt;=2,"Semi-Significant","Significant")))</f>
        <v>Needs Analysis</v>
      </c>
      <c r="W350" s="1">
        <f>IF(Table1[[#This Row],[Cal Type]]&lt;&gt;"ACCREDITED 17025 WITH UNCERTAINTIES",0,"")</f>
        <v>0</v>
      </c>
      <c r="X350" s="1" t="str">
        <f>IF(Table1[[#This Row],[DUT Read]]="","N/A",Table1[[#This Row],[Std Error]]+Table1[[#This Row],[DUT Read]]+Table1[[#This Row],[DUT Ucty]])</f>
        <v>N/A</v>
      </c>
      <c r="Y350" s="1" t="str">
        <f>IF(Table1[[#This Row],[Std Read]]="","N/A",Table1[[#This Row],[Std Read]]+Table1[[#This Row],[Std Ucty]])</f>
        <v>N/A</v>
      </c>
      <c r="Z3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0" s="1" t="str">
        <f>IF(Table1[[#This Row],[Spec Type]]="","N/A",Table1[[#This Row],[Spec Type]])</f>
        <v>±</v>
      </c>
      <c r="AC350" s="1" t="str">
        <f>IF(Table1[[#This Row],[Spec Type2]]="N/A","N/A",IF(AND(Table1[[#This Row],[DUT Adj Read]]&gt;=Table1[[#This Row],[Low Tol]],Table1[[#This Row],[DUT Adj Read]]&lt;=Table1[[#This Row],[High Tol]]),"Pass","Fail"))</f>
        <v>Fail</v>
      </c>
      <c r="AD350" s="1" t="str">
        <f>IF(AND(Table1[[#This Row],[Spec Type2]]="N/A",Table1[[#This Row],[DUT Adj Read]]="N/A",Table1[[#This Row],[Std Adj Read]]="N/A"),"N/A",IF(Table1[[#This Row],[DUT Adj Read]]="N/A",IF(Table1[[#This Row],[Std Adj Read]]&gt;Table1[[#This Row],[Low Tol]],"Pass","Fail"),IF(Table1[[#This Row],[DUT Adj Read]]&gt;Table1[[#This Row],[Low Tol]],"Pass","Fail")))</f>
        <v>Pass</v>
      </c>
      <c r="AE350" s="1" t="str">
        <f>IF(AND(Table1[[#This Row],[Spec Type2]]="N/A",Table1[[#This Row],[DUT Adj Read]]="N/A",Table1[[#This Row],[Std Adj Read]]="N/A"),"N/A",IF(Table1[[#This Row],[DUT Adj Read]]="N/A",IF(Table1[[#This Row],[Std Adj Read]]&lt;Table1[[#This Row],[High Tol]],"Pass","Fail"),IF(Table1[[#This Row],[DUT Adj Read]]&lt;Table1[[#This Row],[High Tol]],"Pass","Fail")))</f>
        <v>Fail</v>
      </c>
      <c r="AF350" s="1" t="str">
        <f>IF(AND(Table1[[#This Row],[Spec Type2]]="N/A",Table1[[#This Row],[DUT Adj Read]]="N/A",Table1[[#This Row],[Std Adj Read]]="N/A"),"N/A",IF(Table1[[#This Row],[DUT Adj Read]]="N/A",IF(Table1[[#This Row],[Std Adj Read]]&gt;=Table1[[#This Row],[Low Tol]],"Pass","Fail"),IF(Table1[[#This Row],[DUT Adj Read]]&gt;=Table1[[#This Row],[Low Tol]],"Pass","Fail")))</f>
        <v>Pass</v>
      </c>
      <c r="AG350" s="1" t="str">
        <f>IF(AND(Table1[[#This Row],[Spec Type2]]="N/A",Table1[[#This Row],[DUT Adj Read]]="N/A",Table1[[#This Row],[Std Adj Read]]="N/A"),"N/A",IF(Table1[[#This Row],[DUT Adj Read]]="N/A",IF(Table1[[#This Row],[Std Adj Read]]&lt;=Table1[[#This Row],[High Tol]],"Pass","Fail"),IF(Table1[[#This Row],[DUT Adj Read]]&lt;=Table1[[#This Row],[High Tol]],"Pass","Fail")))</f>
        <v>Fail</v>
      </c>
      <c r="AH3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0" s="1" t="b">
        <v>0</v>
      </c>
      <c r="AN350" s="1" t="b">
        <v>0</v>
      </c>
      <c r="AO350" s="1" t="b">
        <v>0</v>
      </c>
    </row>
    <row r="351" spans="1:41" x14ac:dyDescent="0.25">
      <c r="A351" s="10"/>
      <c r="B351" s="10"/>
      <c r="C351" s="10"/>
      <c r="D351" s="10"/>
      <c r="E351" s="10"/>
      <c r="F351" s="10"/>
      <c r="G351" s="10"/>
      <c r="H351" s="10"/>
      <c r="I351" s="1" t="str">
        <f t="shared" si="15"/>
        <v/>
      </c>
      <c r="J351" s="1" t="s">
        <v>35</v>
      </c>
      <c r="K351" s="1" t="str">
        <f t="shared" si="16"/>
        <v/>
      </c>
      <c r="L351" s="1" t="str">
        <f t="shared" si="17"/>
        <v/>
      </c>
      <c r="M351" s="1">
        <f>IF(OR(Table1[[#This Row],[Std Nom]]="",Table1[[#This Row],[Std Read]]=""),0,Table1[[#This Row],[Std Nom]]-Table1[[#This Row],[Std Read]])</f>
        <v>0</v>
      </c>
      <c r="N351" s="1">
        <f>IF(Calculations!$F$5="ACCREDITED 17025 WITH UNCERTAINTIES",$N$10,0)</f>
        <v>0</v>
      </c>
      <c r="O351" s="1" t="str">
        <f>IFERROR(Table1[[#This Row],[Std Nom]]-(_xlfn.XLOOKUP(Table1[[#This Row],[Manufacturer]]&amp;" "&amp;Table1[[#This Row],[Model]],Table13[MFR &amp; MDL],Table13[Tolerance % CW ],"")/100*Table1[[#This Row],[Std Nom]]),"")</f>
        <v/>
      </c>
      <c r="P351" s="1" t="str">
        <f>IFERROR(Table1[[#This Row],[Std Nom]]+(_xlfn.XLOOKUP(Table1[[#This Row],[Manufacturer]]&amp;" "&amp;Table1[[#This Row],[Model]],Table13[MFR &amp; MDL],Table13[Tolerance % CW ],"")/100*Table1[[#This Row],[Std Nom]]),"")</f>
        <v/>
      </c>
      <c r="Q351" s="1" t="e">
        <f>Table1[[#This Row],[High Tol]]-Table1[[#This Row],[Low Tol]]</f>
        <v>#VALUE!</v>
      </c>
      <c r="R351" s="1">
        <f>2*Table1[[#This Row],[Std Error]]</f>
        <v>0</v>
      </c>
      <c r="S351" s="1" t="str">
        <f>IF(Table1[[#This Row],[High Tol]]="","N/A",IFERROR(ABS(Table1[[#This Row],[Tol Span]]/Table1[[#This Row],[Error Span]]),"N/A"))</f>
        <v>N/A</v>
      </c>
      <c r="T351" s="1" t="str">
        <f>IF(OR(Table1[[#This Row],[Low Tol]]="",Table1[[#This Row],[High Tol]]=""),"Needs Analysis",IF(Table1[[#This Row],[Ratio]]&gt;=4,"Not Significant",IF(Table1[[#This Row],[Ratio]]&gt;=2,"Semi-Significant","Significant")))</f>
        <v>Needs Analysis</v>
      </c>
      <c r="W351" s="1">
        <f>IF(Table1[[#This Row],[Cal Type]]&lt;&gt;"ACCREDITED 17025 WITH UNCERTAINTIES",0,"")</f>
        <v>0</v>
      </c>
      <c r="X351" s="1" t="str">
        <f>IF(Table1[[#This Row],[DUT Read]]="","N/A",Table1[[#This Row],[Std Error]]+Table1[[#This Row],[DUT Read]]+Table1[[#This Row],[DUT Ucty]])</f>
        <v>N/A</v>
      </c>
      <c r="Y351" s="1" t="str">
        <f>IF(Table1[[#This Row],[Std Read]]="","N/A",Table1[[#This Row],[Std Read]]+Table1[[#This Row],[Std Ucty]])</f>
        <v>N/A</v>
      </c>
      <c r="Z3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1" s="1" t="str">
        <f>IF(Table1[[#This Row],[Spec Type]]="","N/A",Table1[[#This Row],[Spec Type]])</f>
        <v>±</v>
      </c>
      <c r="AC351" s="1" t="str">
        <f>IF(Table1[[#This Row],[Spec Type2]]="N/A","N/A",IF(AND(Table1[[#This Row],[DUT Adj Read]]&gt;=Table1[[#This Row],[Low Tol]],Table1[[#This Row],[DUT Adj Read]]&lt;=Table1[[#This Row],[High Tol]]),"Pass","Fail"))</f>
        <v>Fail</v>
      </c>
      <c r="AD351" s="1" t="str">
        <f>IF(AND(Table1[[#This Row],[Spec Type2]]="N/A",Table1[[#This Row],[DUT Adj Read]]="N/A",Table1[[#This Row],[Std Adj Read]]="N/A"),"N/A",IF(Table1[[#This Row],[DUT Adj Read]]="N/A",IF(Table1[[#This Row],[Std Adj Read]]&gt;Table1[[#This Row],[Low Tol]],"Pass","Fail"),IF(Table1[[#This Row],[DUT Adj Read]]&gt;Table1[[#This Row],[Low Tol]],"Pass","Fail")))</f>
        <v>Pass</v>
      </c>
      <c r="AE351" s="1" t="str">
        <f>IF(AND(Table1[[#This Row],[Spec Type2]]="N/A",Table1[[#This Row],[DUT Adj Read]]="N/A",Table1[[#This Row],[Std Adj Read]]="N/A"),"N/A",IF(Table1[[#This Row],[DUT Adj Read]]="N/A",IF(Table1[[#This Row],[Std Adj Read]]&lt;Table1[[#This Row],[High Tol]],"Pass","Fail"),IF(Table1[[#This Row],[DUT Adj Read]]&lt;Table1[[#This Row],[High Tol]],"Pass","Fail")))</f>
        <v>Fail</v>
      </c>
      <c r="AF351" s="1" t="str">
        <f>IF(AND(Table1[[#This Row],[Spec Type2]]="N/A",Table1[[#This Row],[DUT Adj Read]]="N/A",Table1[[#This Row],[Std Adj Read]]="N/A"),"N/A",IF(Table1[[#This Row],[DUT Adj Read]]="N/A",IF(Table1[[#This Row],[Std Adj Read]]&gt;=Table1[[#This Row],[Low Tol]],"Pass","Fail"),IF(Table1[[#This Row],[DUT Adj Read]]&gt;=Table1[[#This Row],[Low Tol]],"Pass","Fail")))</f>
        <v>Pass</v>
      </c>
      <c r="AG351" s="1" t="str">
        <f>IF(AND(Table1[[#This Row],[Spec Type2]]="N/A",Table1[[#This Row],[DUT Adj Read]]="N/A",Table1[[#This Row],[Std Adj Read]]="N/A"),"N/A",IF(Table1[[#This Row],[DUT Adj Read]]="N/A",IF(Table1[[#This Row],[Std Adj Read]]&lt;=Table1[[#This Row],[High Tol]],"Pass","Fail"),IF(Table1[[#This Row],[DUT Adj Read]]&lt;=Table1[[#This Row],[High Tol]],"Pass","Fail")))</f>
        <v>Fail</v>
      </c>
      <c r="AH3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1" s="1" t="b">
        <v>0</v>
      </c>
      <c r="AN351" s="1" t="b">
        <v>0</v>
      </c>
      <c r="AO351" s="1" t="b">
        <v>0</v>
      </c>
    </row>
    <row r="352" spans="1:41" x14ac:dyDescent="0.25">
      <c r="A352" s="10"/>
      <c r="B352" s="10"/>
      <c r="C352" s="10"/>
      <c r="D352" s="10"/>
      <c r="E352" s="10"/>
      <c r="F352" s="10"/>
      <c r="G352" s="10"/>
      <c r="H352" s="10"/>
      <c r="I352" s="1" t="str">
        <f t="shared" si="15"/>
        <v/>
      </c>
      <c r="J352" s="1" t="s">
        <v>35</v>
      </c>
      <c r="K352" s="1" t="str">
        <f t="shared" si="16"/>
        <v/>
      </c>
      <c r="L352" s="1" t="str">
        <f t="shared" si="17"/>
        <v/>
      </c>
      <c r="M352" s="1">
        <f>IF(OR(Table1[[#This Row],[Std Nom]]="",Table1[[#This Row],[Std Read]]=""),0,Table1[[#This Row],[Std Nom]]-Table1[[#This Row],[Std Read]])</f>
        <v>0</v>
      </c>
      <c r="N352" s="1">
        <f>IF(Calculations!$F$5="ACCREDITED 17025 WITH UNCERTAINTIES",$N$10,0)</f>
        <v>0</v>
      </c>
      <c r="O352" s="1" t="str">
        <f>IFERROR(Table1[[#This Row],[Std Nom]]-(_xlfn.XLOOKUP(Table1[[#This Row],[Manufacturer]]&amp;" "&amp;Table1[[#This Row],[Model]],Table13[MFR &amp; MDL],Table13[Tolerance % CW ],"")/100*Table1[[#This Row],[Std Nom]]),"")</f>
        <v/>
      </c>
      <c r="P352" s="1" t="str">
        <f>IFERROR(Table1[[#This Row],[Std Nom]]+(_xlfn.XLOOKUP(Table1[[#This Row],[Manufacturer]]&amp;" "&amp;Table1[[#This Row],[Model]],Table13[MFR &amp; MDL],Table13[Tolerance % CW ],"")/100*Table1[[#This Row],[Std Nom]]),"")</f>
        <v/>
      </c>
      <c r="Q352" s="1" t="e">
        <f>Table1[[#This Row],[High Tol]]-Table1[[#This Row],[Low Tol]]</f>
        <v>#VALUE!</v>
      </c>
      <c r="R352" s="1">
        <f>2*Table1[[#This Row],[Std Error]]</f>
        <v>0</v>
      </c>
      <c r="S352" s="1" t="str">
        <f>IF(Table1[[#This Row],[High Tol]]="","N/A",IFERROR(ABS(Table1[[#This Row],[Tol Span]]/Table1[[#This Row],[Error Span]]),"N/A"))</f>
        <v>N/A</v>
      </c>
      <c r="T352" s="1" t="str">
        <f>IF(OR(Table1[[#This Row],[Low Tol]]="",Table1[[#This Row],[High Tol]]=""),"Needs Analysis",IF(Table1[[#This Row],[Ratio]]&gt;=4,"Not Significant",IF(Table1[[#This Row],[Ratio]]&gt;=2,"Semi-Significant","Significant")))</f>
        <v>Needs Analysis</v>
      </c>
      <c r="W352" s="1">
        <f>IF(Table1[[#This Row],[Cal Type]]&lt;&gt;"ACCREDITED 17025 WITH UNCERTAINTIES",0,"")</f>
        <v>0</v>
      </c>
      <c r="X352" s="1" t="str">
        <f>IF(Table1[[#This Row],[DUT Read]]="","N/A",Table1[[#This Row],[Std Error]]+Table1[[#This Row],[DUT Read]]+Table1[[#This Row],[DUT Ucty]])</f>
        <v>N/A</v>
      </c>
      <c r="Y352" s="1" t="str">
        <f>IF(Table1[[#This Row],[Std Read]]="","N/A",Table1[[#This Row],[Std Read]]+Table1[[#This Row],[Std Ucty]])</f>
        <v>N/A</v>
      </c>
      <c r="Z3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2" s="1" t="str">
        <f>IF(Table1[[#This Row],[Spec Type]]="","N/A",Table1[[#This Row],[Spec Type]])</f>
        <v>±</v>
      </c>
      <c r="AC352" s="1" t="str">
        <f>IF(Table1[[#This Row],[Spec Type2]]="N/A","N/A",IF(AND(Table1[[#This Row],[DUT Adj Read]]&gt;=Table1[[#This Row],[Low Tol]],Table1[[#This Row],[DUT Adj Read]]&lt;=Table1[[#This Row],[High Tol]]),"Pass","Fail"))</f>
        <v>Fail</v>
      </c>
      <c r="AD352" s="1" t="str">
        <f>IF(AND(Table1[[#This Row],[Spec Type2]]="N/A",Table1[[#This Row],[DUT Adj Read]]="N/A",Table1[[#This Row],[Std Adj Read]]="N/A"),"N/A",IF(Table1[[#This Row],[DUT Adj Read]]="N/A",IF(Table1[[#This Row],[Std Adj Read]]&gt;Table1[[#This Row],[Low Tol]],"Pass","Fail"),IF(Table1[[#This Row],[DUT Adj Read]]&gt;Table1[[#This Row],[Low Tol]],"Pass","Fail")))</f>
        <v>Pass</v>
      </c>
      <c r="AE352" s="1" t="str">
        <f>IF(AND(Table1[[#This Row],[Spec Type2]]="N/A",Table1[[#This Row],[DUT Adj Read]]="N/A",Table1[[#This Row],[Std Adj Read]]="N/A"),"N/A",IF(Table1[[#This Row],[DUT Adj Read]]="N/A",IF(Table1[[#This Row],[Std Adj Read]]&lt;Table1[[#This Row],[High Tol]],"Pass","Fail"),IF(Table1[[#This Row],[DUT Adj Read]]&lt;Table1[[#This Row],[High Tol]],"Pass","Fail")))</f>
        <v>Fail</v>
      </c>
      <c r="AF352" s="1" t="str">
        <f>IF(AND(Table1[[#This Row],[Spec Type2]]="N/A",Table1[[#This Row],[DUT Adj Read]]="N/A",Table1[[#This Row],[Std Adj Read]]="N/A"),"N/A",IF(Table1[[#This Row],[DUT Adj Read]]="N/A",IF(Table1[[#This Row],[Std Adj Read]]&gt;=Table1[[#This Row],[Low Tol]],"Pass","Fail"),IF(Table1[[#This Row],[DUT Adj Read]]&gt;=Table1[[#This Row],[Low Tol]],"Pass","Fail")))</f>
        <v>Pass</v>
      </c>
      <c r="AG352" s="1" t="str">
        <f>IF(AND(Table1[[#This Row],[Spec Type2]]="N/A",Table1[[#This Row],[DUT Adj Read]]="N/A",Table1[[#This Row],[Std Adj Read]]="N/A"),"N/A",IF(Table1[[#This Row],[DUT Adj Read]]="N/A",IF(Table1[[#This Row],[Std Adj Read]]&lt;=Table1[[#This Row],[High Tol]],"Pass","Fail"),IF(Table1[[#This Row],[DUT Adj Read]]&lt;=Table1[[#This Row],[High Tol]],"Pass","Fail")))</f>
        <v>Fail</v>
      </c>
      <c r="AH3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2" s="1" t="b">
        <v>0</v>
      </c>
      <c r="AN352" s="1" t="b">
        <v>0</v>
      </c>
      <c r="AO352" s="1" t="b">
        <v>0</v>
      </c>
    </row>
    <row r="353" spans="1:41" x14ac:dyDescent="0.25">
      <c r="A353" s="10"/>
      <c r="B353" s="10"/>
      <c r="C353" s="10"/>
      <c r="D353" s="10"/>
      <c r="E353" s="10"/>
      <c r="F353" s="10"/>
      <c r="G353" s="10"/>
      <c r="H353" s="10"/>
      <c r="I353" s="1" t="str">
        <f t="shared" si="15"/>
        <v/>
      </c>
      <c r="J353" s="1" t="s">
        <v>35</v>
      </c>
      <c r="K353" s="1" t="str">
        <f t="shared" si="16"/>
        <v/>
      </c>
      <c r="L353" s="1" t="str">
        <f t="shared" si="17"/>
        <v/>
      </c>
      <c r="M353" s="1">
        <f>IF(OR(Table1[[#This Row],[Std Nom]]="",Table1[[#This Row],[Std Read]]=""),0,Table1[[#This Row],[Std Nom]]-Table1[[#This Row],[Std Read]])</f>
        <v>0</v>
      </c>
      <c r="N353" s="1">
        <f>IF(Calculations!$F$5="ACCREDITED 17025 WITH UNCERTAINTIES",$N$10,0)</f>
        <v>0</v>
      </c>
      <c r="O353" s="1" t="str">
        <f>IFERROR(Table1[[#This Row],[Std Nom]]-(_xlfn.XLOOKUP(Table1[[#This Row],[Manufacturer]]&amp;" "&amp;Table1[[#This Row],[Model]],Table13[MFR &amp; MDL],Table13[Tolerance % CW ],"")/100*Table1[[#This Row],[Std Nom]]),"")</f>
        <v/>
      </c>
      <c r="P353" s="1" t="str">
        <f>IFERROR(Table1[[#This Row],[Std Nom]]+(_xlfn.XLOOKUP(Table1[[#This Row],[Manufacturer]]&amp;" "&amp;Table1[[#This Row],[Model]],Table13[MFR &amp; MDL],Table13[Tolerance % CW ],"")/100*Table1[[#This Row],[Std Nom]]),"")</f>
        <v/>
      </c>
      <c r="Q353" s="1" t="e">
        <f>Table1[[#This Row],[High Tol]]-Table1[[#This Row],[Low Tol]]</f>
        <v>#VALUE!</v>
      </c>
      <c r="R353" s="1">
        <f>2*Table1[[#This Row],[Std Error]]</f>
        <v>0</v>
      </c>
      <c r="S353" s="1" t="str">
        <f>IF(Table1[[#This Row],[High Tol]]="","N/A",IFERROR(ABS(Table1[[#This Row],[Tol Span]]/Table1[[#This Row],[Error Span]]),"N/A"))</f>
        <v>N/A</v>
      </c>
      <c r="T353" s="1" t="str">
        <f>IF(OR(Table1[[#This Row],[Low Tol]]="",Table1[[#This Row],[High Tol]]=""),"Needs Analysis",IF(Table1[[#This Row],[Ratio]]&gt;=4,"Not Significant",IF(Table1[[#This Row],[Ratio]]&gt;=2,"Semi-Significant","Significant")))</f>
        <v>Needs Analysis</v>
      </c>
      <c r="W353" s="1">
        <f>IF(Table1[[#This Row],[Cal Type]]&lt;&gt;"ACCREDITED 17025 WITH UNCERTAINTIES",0,"")</f>
        <v>0</v>
      </c>
      <c r="X353" s="1" t="str">
        <f>IF(Table1[[#This Row],[DUT Read]]="","N/A",Table1[[#This Row],[Std Error]]+Table1[[#This Row],[DUT Read]]+Table1[[#This Row],[DUT Ucty]])</f>
        <v>N/A</v>
      </c>
      <c r="Y353" s="1" t="str">
        <f>IF(Table1[[#This Row],[Std Read]]="","N/A",Table1[[#This Row],[Std Read]]+Table1[[#This Row],[Std Ucty]])</f>
        <v>N/A</v>
      </c>
      <c r="Z3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3" s="1" t="str">
        <f>IF(Table1[[#This Row],[Spec Type]]="","N/A",Table1[[#This Row],[Spec Type]])</f>
        <v>±</v>
      </c>
      <c r="AC353" s="1" t="str">
        <f>IF(Table1[[#This Row],[Spec Type2]]="N/A","N/A",IF(AND(Table1[[#This Row],[DUT Adj Read]]&gt;=Table1[[#This Row],[Low Tol]],Table1[[#This Row],[DUT Adj Read]]&lt;=Table1[[#This Row],[High Tol]]),"Pass","Fail"))</f>
        <v>Fail</v>
      </c>
      <c r="AD353" s="1" t="str">
        <f>IF(AND(Table1[[#This Row],[Spec Type2]]="N/A",Table1[[#This Row],[DUT Adj Read]]="N/A",Table1[[#This Row],[Std Adj Read]]="N/A"),"N/A",IF(Table1[[#This Row],[DUT Adj Read]]="N/A",IF(Table1[[#This Row],[Std Adj Read]]&gt;Table1[[#This Row],[Low Tol]],"Pass","Fail"),IF(Table1[[#This Row],[DUT Adj Read]]&gt;Table1[[#This Row],[Low Tol]],"Pass","Fail")))</f>
        <v>Pass</v>
      </c>
      <c r="AE353" s="1" t="str">
        <f>IF(AND(Table1[[#This Row],[Spec Type2]]="N/A",Table1[[#This Row],[DUT Adj Read]]="N/A",Table1[[#This Row],[Std Adj Read]]="N/A"),"N/A",IF(Table1[[#This Row],[DUT Adj Read]]="N/A",IF(Table1[[#This Row],[Std Adj Read]]&lt;Table1[[#This Row],[High Tol]],"Pass","Fail"),IF(Table1[[#This Row],[DUT Adj Read]]&lt;Table1[[#This Row],[High Tol]],"Pass","Fail")))</f>
        <v>Fail</v>
      </c>
      <c r="AF353" s="1" t="str">
        <f>IF(AND(Table1[[#This Row],[Spec Type2]]="N/A",Table1[[#This Row],[DUT Adj Read]]="N/A",Table1[[#This Row],[Std Adj Read]]="N/A"),"N/A",IF(Table1[[#This Row],[DUT Adj Read]]="N/A",IF(Table1[[#This Row],[Std Adj Read]]&gt;=Table1[[#This Row],[Low Tol]],"Pass","Fail"),IF(Table1[[#This Row],[DUT Adj Read]]&gt;=Table1[[#This Row],[Low Tol]],"Pass","Fail")))</f>
        <v>Pass</v>
      </c>
      <c r="AG353" s="1" t="str">
        <f>IF(AND(Table1[[#This Row],[Spec Type2]]="N/A",Table1[[#This Row],[DUT Adj Read]]="N/A",Table1[[#This Row],[Std Adj Read]]="N/A"),"N/A",IF(Table1[[#This Row],[DUT Adj Read]]="N/A",IF(Table1[[#This Row],[Std Adj Read]]&lt;=Table1[[#This Row],[High Tol]],"Pass","Fail"),IF(Table1[[#This Row],[DUT Adj Read]]&lt;=Table1[[#This Row],[High Tol]],"Pass","Fail")))</f>
        <v>Fail</v>
      </c>
      <c r="AH3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3" s="1" t="b">
        <v>0</v>
      </c>
      <c r="AN353" s="1" t="b">
        <v>0</v>
      </c>
      <c r="AO353" s="1" t="b">
        <v>0</v>
      </c>
    </row>
    <row r="354" spans="1:41" x14ac:dyDescent="0.25">
      <c r="A354" s="10"/>
      <c r="B354" s="10"/>
      <c r="C354" s="10"/>
      <c r="D354" s="10"/>
      <c r="E354" s="10"/>
      <c r="F354" s="10"/>
      <c r="G354" s="10"/>
      <c r="H354" s="10"/>
      <c r="I354" s="1" t="str">
        <f t="shared" si="15"/>
        <v/>
      </c>
      <c r="J354" s="1" t="s">
        <v>35</v>
      </c>
      <c r="K354" s="1" t="str">
        <f t="shared" si="16"/>
        <v/>
      </c>
      <c r="L354" s="1" t="str">
        <f t="shared" si="17"/>
        <v/>
      </c>
      <c r="M354" s="1">
        <f>IF(OR(Table1[[#This Row],[Std Nom]]="",Table1[[#This Row],[Std Read]]=""),0,Table1[[#This Row],[Std Nom]]-Table1[[#This Row],[Std Read]])</f>
        <v>0</v>
      </c>
      <c r="N354" s="1">
        <f>IF(Calculations!$F$5="ACCREDITED 17025 WITH UNCERTAINTIES",$N$10,0)</f>
        <v>0</v>
      </c>
      <c r="O354" s="1" t="str">
        <f>IFERROR(Table1[[#This Row],[Std Nom]]-(_xlfn.XLOOKUP(Table1[[#This Row],[Manufacturer]]&amp;" "&amp;Table1[[#This Row],[Model]],Table13[MFR &amp; MDL],Table13[Tolerance % CW ],"")/100*Table1[[#This Row],[Std Nom]]),"")</f>
        <v/>
      </c>
      <c r="P354" s="1" t="str">
        <f>IFERROR(Table1[[#This Row],[Std Nom]]+(_xlfn.XLOOKUP(Table1[[#This Row],[Manufacturer]]&amp;" "&amp;Table1[[#This Row],[Model]],Table13[MFR &amp; MDL],Table13[Tolerance % CW ],"")/100*Table1[[#This Row],[Std Nom]]),"")</f>
        <v/>
      </c>
      <c r="Q354" s="1" t="e">
        <f>Table1[[#This Row],[High Tol]]-Table1[[#This Row],[Low Tol]]</f>
        <v>#VALUE!</v>
      </c>
      <c r="R354" s="1">
        <f>2*Table1[[#This Row],[Std Error]]</f>
        <v>0</v>
      </c>
      <c r="S354" s="1" t="str">
        <f>IF(Table1[[#This Row],[High Tol]]="","N/A",IFERROR(ABS(Table1[[#This Row],[Tol Span]]/Table1[[#This Row],[Error Span]]),"N/A"))</f>
        <v>N/A</v>
      </c>
      <c r="T354" s="1" t="str">
        <f>IF(OR(Table1[[#This Row],[Low Tol]]="",Table1[[#This Row],[High Tol]]=""),"Needs Analysis",IF(Table1[[#This Row],[Ratio]]&gt;=4,"Not Significant",IF(Table1[[#This Row],[Ratio]]&gt;=2,"Semi-Significant","Significant")))</f>
        <v>Needs Analysis</v>
      </c>
      <c r="W354" s="1">
        <f>IF(Table1[[#This Row],[Cal Type]]&lt;&gt;"ACCREDITED 17025 WITH UNCERTAINTIES",0,"")</f>
        <v>0</v>
      </c>
      <c r="X354" s="1" t="str">
        <f>IF(Table1[[#This Row],[DUT Read]]="","N/A",Table1[[#This Row],[Std Error]]+Table1[[#This Row],[DUT Read]]+Table1[[#This Row],[DUT Ucty]])</f>
        <v>N/A</v>
      </c>
      <c r="Y354" s="1" t="str">
        <f>IF(Table1[[#This Row],[Std Read]]="","N/A",Table1[[#This Row],[Std Read]]+Table1[[#This Row],[Std Ucty]])</f>
        <v>N/A</v>
      </c>
      <c r="Z3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4" s="1" t="str">
        <f>IF(Table1[[#This Row],[Spec Type]]="","N/A",Table1[[#This Row],[Spec Type]])</f>
        <v>±</v>
      </c>
      <c r="AC354" s="1" t="str">
        <f>IF(Table1[[#This Row],[Spec Type2]]="N/A","N/A",IF(AND(Table1[[#This Row],[DUT Adj Read]]&gt;=Table1[[#This Row],[Low Tol]],Table1[[#This Row],[DUT Adj Read]]&lt;=Table1[[#This Row],[High Tol]]),"Pass","Fail"))</f>
        <v>Fail</v>
      </c>
      <c r="AD354" s="1" t="str">
        <f>IF(AND(Table1[[#This Row],[Spec Type2]]="N/A",Table1[[#This Row],[DUT Adj Read]]="N/A",Table1[[#This Row],[Std Adj Read]]="N/A"),"N/A",IF(Table1[[#This Row],[DUT Adj Read]]="N/A",IF(Table1[[#This Row],[Std Adj Read]]&gt;Table1[[#This Row],[Low Tol]],"Pass","Fail"),IF(Table1[[#This Row],[DUT Adj Read]]&gt;Table1[[#This Row],[Low Tol]],"Pass","Fail")))</f>
        <v>Pass</v>
      </c>
      <c r="AE354" s="1" t="str">
        <f>IF(AND(Table1[[#This Row],[Spec Type2]]="N/A",Table1[[#This Row],[DUT Adj Read]]="N/A",Table1[[#This Row],[Std Adj Read]]="N/A"),"N/A",IF(Table1[[#This Row],[DUT Adj Read]]="N/A",IF(Table1[[#This Row],[Std Adj Read]]&lt;Table1[[#This Row],[High Tol]],"Pass","Fail"),IF(Table1[[#This Row],[DUT Adj Read]]&lt;Table1[[#This Row],[High Tol]],"Pass","Fail")))</f>
        <v>Fail</v>
      </c>
      <c r="AF354" s="1" t="str">
        <f>IF(AND(Table1[[#This Row],[Spec Type2]]="N/A",Table1[[#This Row],[DUT Adj Read]]="N/A",Table1[[#This Row],[Std Adj Read]]="N/A"),"N/A",IF(Table1[[#This Row],[DUT Adj Read]]="N/A",IF(Table1[[#This Row],[Std Adj Read]]&gt;=Table1[[#This Row],[Low Tol]],"Pass","Fail"),IF(Table1[[#This Row],[DUT Adj Read]]&gt;=Table1[[#This Row],[Low Tol]],"Pass","Fail")))</f>
        <v>Pass</v>
      </c>
      <c r="AG354" s="1" t="str">
        <f>IF(AND(Table1[[#This Row],[Spec Type2]]="N/A",Table1[[#This Row],[DUT Adj Read]]="N/A",Table1[[#This Row],[Std Adj Read]]="N/A"),"N/A",IF(Table1[[#This Row],[DUT Adj Read]]="N/A",IF(Table1[[#This Row],[Std Adj Read]]&lt;=Table1[[#This Row],[High Tol]],"Pass","Fail"),IF(Table1[[#This Row],[DUT Adj Read]]&lt;=Table1[[#This Row],[High Tol]],"Pass","Fail")))</f>
        <v>Fail</v>
      </c>
      <c r="AH3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4" s="1" t="b">
        <v>0</v>
      </c>
      <c r="AN354" s="1" t="b">
        <v>0</v>
      </c>
      <c r="AO354" s="1" t="b">
        <v>0</v>
      </c>
    </row>
    <row r="355" spans="1:41" x14ac:dyDescent="0.25">
      <c r="A355" s="10"/>
      <c r="B355" s="10"/>
      <c r="C355" s="10"/>
      <c r="D355" s="10"/>
      <c r="E355" s="10"/>
      <c r="F355" s="10"/>
      <c r="G355" s="10"/>
      <c r="H355" s="10"/>
      <c r="I355" s="1" t="str">
        <f t="shared" si="15"/>
        <v/>
      </c>
      <c r="J355" s="1" t="s">
        <v>35</v>
      </c>
      <c r="K355" s="1" t="str">
        <f t="shared" si="16"/>
        <v/>
      </c>
      <c r="L355" s="1" t="str">
        <f t="shared" si="17"/>
        <v/>
      </c>
      <c r="M355" s="1">
        <f>IF(OR(Table1[[#This Row],[Std Nom]]="",Table1[[#This Row],[Std Read]]=""),0,Table1[[#This Row],[Std Nom]]-Table1[[#This Row],[Std Read]])</f>
        <v>0</v>
      </c>
      <c r="N355" s="1">
        <f>IF(Calculations!$F$5="ACCREDITED 17025 WITH UNCERTAINTIES",$N$10,0)</f>
        <v>0</v>
      </c>
      <c r="O355" s="1" t="str">
        <f>IFERROR(Table1[[#This Row],[Std Nom]]-(_xlfn.XLOOKUP(Table1[[#This Row],[Manufacturer]]&amp;" "&amp;Table1[[#This Row],[Model]],Table13[MFR &amp; MDL],Table13[Tolerance % CW ],"")/100*Table1[[#This Row],[Std Nom]]),"")</f>
        <v/>
      </c>
      <c r="P355" s="1" t="str">
        <f>IFERROR(Table1[[#This Row],[Std Nom]]+(_xlfn.XLOOKUP(Table1[[#This Row],[Manufacturer]]&amp;" "&amp;Table1[[#This Row],[Model]],Table13[MFR &amp; MDL],Table13[Tolerance % CW ],"")/100*Table1[[#This Row],[Std Nom]]),"")</f>
        <v/>
      </c>
      <c r="Q355" s="1" t="e">
        <f>Table1[[#This Row],[High Tol]]-Table1[[#This Row],[Low Tol]]</f>
        <v>#VALUE!</v>
      </c>
      <c r="R355" s="1">
        <f>2*Table1[[#This Row],[Std Error]]</f>
        <v>0</v>
      </c>
      <c r="S355" s="1" t="str">
        <f>IF(Table1[[#This Row],[High Tol]]="","N/A",IFERROR(ABS(Table1[[#This Row],[Tol Span]]/Table1[[#This Row],[Error Span]]),"N/A"))</f>
        <v>N/A</v>
      </c>
      <c r="T355" s="1" t="str">
        <f>IF(OR(Table1[[#This Row],[Low Tol]]="",Table1[[#This Row],[High Tol]]=""),"Needs Analysis",IF(Table1[[#This Row],[Ratio]]&gt;=4,"Not Significant",IF(Table1[[#This Row],[Ratio]]&gt;=2,"Semi-Significant","Significant")))</f>
        <v>Needs Analysis</v>
      </c>
      <c r="W355" s="1">
        <f>IF(Table1[[#This Row],[Cal Type]]&lt;&gt;"ACCREDITED 17025 WITH UNCERTAINTIES",0,"")</f>
        <v>0</v>
      </c>
      <c r="X355" s="1" t="str">
        <f>IF(Table1[[#This Row],[DUT Read]]="","N/A",Table1[[#This Row],[Std Error]]+Table1[[#This Row],[DUT Read]]+Table1[[#This Row],[DUT Ucty]])</f>
        <v>N/A</v>
      </c>
      <c r="Y355" s="1" t="str">
        <f>IF(Table1[[#This Row],[Std Read]]="","N/A",Table1[[#This Row],[Std Read]]+Table1[[#This Row],[Std Ucty]])</f>
        <v>N/A</v>
      </c>
      <c r="Z3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5" s="1" t="str">
        <f>IF(Table1[[#This Row],[Spec Type]]="","N/A",Table1[[#This Row],[Spec Type]])</f>
        <v>±</v>
      </c>
      <c r="AC355" s="1" t="str">
        <f>IF(Table1[[#This Row],[Spec Type2]]="N/A","N/A",IF(AND(Table1[[#This Row],[DUT Adj Read]]&gt;=Table1[[#This Row],[Low Tol]],Table1[[#This Row],[DUT Adj Read]]&lt;=Table1[[#This Row],[High Tol]]),"Pass","Fail"))</f>
        <v>Fail</v>
      </c>
      <c r="AD355" s="1" t="str">
        <f>IF(AND(Table1[[#This Row],[Spec Type2]]="N/A",Table1[[#This Row],[DUT Adj Read]]="N/A",Table1[[#This Row],[Std Adj Read]]="N/A"),"N/A",IF(Table1[[#This Row],[DUT Adj Read]]="N/A",IF(Table1[[#This Row],[Std Adj Read]]&gt;Table1[[#This Row],[Low Tol]],"Pass","Fail"),IF(Table1[[#This Row],[DUT Adj Read]]&gt;Table1[[#This Row],[Low Tol]],"Pass","Fail")))</f>
        <v>Pass</v>
      </c>
      <c r="AE355" s="1" t="str">
        <f>IF(AND(Table1[[#This Row],[Spec Type2]]="N/A",Table1[[#This Row],[DUT Adj Read]]="N/A",Table1[[#This Row],[Std Adj Read]]="N/A"),"N/A",IF(Table1[[#This Row],[DUT Adj Read]]="N/A",IF(Table1[[#This Row],[Std Adj Read]]&lt;Table1[[#This Row],[High Tol]],"Pass","Fail"),IF(Table1[[#This Row],[DUT Adj Read]]&lt;Table1[[#This Row],[High Tol]],"Pass","Fail")))</f>
        <v>Fail</v>
      </c>
      <c r="AF355" s="1" t="str">
        <f>IF(AND(Table1[[#This Row],[Spec Type2]]="N/A",Table1[[#This Row],[DUT Adj Read]]="N/A",Table1[[#This Row],[Std Adj Read]]="N/A"),"N/A",IF(Table1[[#This Row],[DUT Adj Read]]="N/A",IF(Table1[[#This Row],[Std Adj Read]]&gt;=Table1[[#This Row],[Low Tol]],"Pass","Fail"),IF(Table1[[#This Row],[DUT Adj Read]]&gt;=Table1[[#This Row],[Low Tol]],"Pass","Fail")))</f>
        <v>Pass</v>
      </c>
      <c r="AG355" s="1" t="str">
        <f>IF(AND(Table1[[#This Row],[Spec Type2]]="N/A",Table1[[#This Row],[DUT Adj Read]]="N/A",Table1[[#This Row],[Std Adj Read]]="N/A"),"N/A",IF(Table1[[#This Row],[DUT Adj Read]]="N/A",IF(Table1[[#This Row],[Std Adj Read]]&lt;=Table1[[#This Row],[High Tol]],"Pass","Fail"),IF(Table1[[#This Row],[DUT Adj Read]]&lt;=Table1[[#This Row],[High Tol]],"Pass","Fail")))</f>
        <v>Fail</v>
      </c>
      <c r="AH3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5" s="1" t="b">
        <v>0</v>
      </c>
      <c r="AN355" s="1" t="b">
        <v>0</v>
      </c>
      <c r="AO355" s="1" t="b">
        <v>0</v>
      </c>
    </row>
    <row r="356" spans="1:41" x14ac:dyDescent="0.25">
      <c r="A356" s="10"/>
      <c r="B356" s="10"/>
      <c r="C356" s="10"/>
      <c r="D356" s="10"/>
      <c r="E356" s="10"/>
      <c r="F356" s="10"/>
      <c r="G356" s="10"/>
      <c r="H356" s="10"/>
      <c r="I356" s="1" t="str">
        <f t="shared" si="15"/>
        <v/>
      </c>
      <c r="J356" s="1" t="s">
        <v>35</v>
      </c>
      <c r="K356" s="1" t="str">
        <f t="shared" si="16"/>
        <v/>
      </c>
      <c r="L356" s="1" t="str">
        <f t="shared" si="17"/>
        <v/>
      </c>
      <c r="M356" s="1">
        <f>IF(OR(Table1[[#This Row],[Std Nom]]="",Table1[[#This Row],[Std Read]]=""),0,Table1[[#This Row],[Std Nom]]-Table1[[#This Row],[Std Read]])</f>
        <v>0</v>
      </c>
      <c r="N356" s="1">
        <f>IF(Calculations!$F$5="ACCREDITED 17025 WITH UNCERTAINTIES",$N$10,0)</f>
        <v>0</v>
      </c>
      <c r="O356" s="1" t="str">
        <f>IFERROR(Table1[[#This Row],[Std Nom]]-(_xlfn.XLOOKUP(Table1[[#This Row],[Manufacturer]]&amp;" "&amp;Table1[[#This Row],[Model]],Table13[MFR &amp; MDL],Table13[Tolerance % CW ],"")/100*Table1[[#This Row],[Std Nom]]),"")</f>
        <v/>
      </c>
      <c r="P356" s="1" t="str">
        <f>IFERROR(Table1[[#This Row],[Std Nom]]+(_xlfn.XLOOKUP(Table1[[#This Row],[Manufacturer]]&amp;" "&amp;Table1[[#This Row],[Model]],Table13[MFR &amp; MDL],Table13[Tolerance % CW ],"")/100*Table1[[#This Row],[Std Nom]]),"")</f>
        <v/>
      </c>
      <c r="Q356" s="1" t="e">
        <f>Table1[[#This Row],[High Tol]]-Table1[[#This Row],[Low Tol]]</f>
        <v>#VALUE!</v>
      </c>
      <c r="R356" s="1">
        <f>2*Table1[[#This Row],[Std Error]]</f>
        <v>0</v>
      </c>
      <c r="S356" s="1" t="str">
        <f>IF(Table1[[#This Row],[High Tol]]="","N/A",IFERROR(ABS(Table1[[#This Row],[Tol Span]]/Table1[[#This Row],[Error Span]]),"N/A"))</f>
        <v>N/A</v>
      </c>
      <c r="T356" s="1" t="str">
        <f>IF(OR(Table1[[#This Row],[Low Tol]]="",Table1[[#This Row],[High Tol]]=""),"Needs Analysis",IF(Table1[[#This Row],[Ratio]]&gt;=4,"Not Significant",IF(Table1[[#This Row],[Ratio]]&gt;=2,"Semi-Significant","Significant")))</f>
        <v>Needs Analysis</v>
      </c>
      <c r="W356" s="1">
        <f>IF(Table1[[#This Row],[Cal Type]]&lt;&gt;"ACCREDITED 17025 WITH UNCERTAINTIES",0,"")</f>
        <v>0</v>
      </c>
      <c r="X356" s="1" t="str">
        <f>IF(Table1[[#This Row],[DUT Read]]="","N/A",Table1[[#This Row],[Std Error]]+Table1[[#This Row],[DUT Read]]+Table1[[#This Row],[DUT Ucty]])</f>
        <v>N/A</v>
      </c>
      <c r="Y356" s="1" t="str">
        <f>IF(Table1[[#This Row],[Std Read]]="","N/A",Table1[[#This Row],[Std Read]]+Table1[[#This Row],[Std Ucty]])</f>
        <v>N/A</v>
      </c>
      <c r="Z3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6" s="1" t="str">
        <f>IF(Table1[[#This Row],[Spec Type]]="","N/A",Table1[[#This Row],[Spec Type]])</f>
        <v>±</v>
      </c>
      <c r="AC356" s="1" t="str">
        <f>IF(Table1[[#This Row],[Spec Type2]]="N/A","N/A",IF(AND(Table1[[#This Row],[DUT Adj Read]]&gt;=Table1[[#This Row],[Low Tol]],Table1[[#This Row],[DUT Adj Read]]&lt;=Table1[[#This Row],[High Tol]]),"Pass","Fail"))</f>
        <v>Fail</v>
      </c>
      <c r="AD356" s="1" t="str">
        <f>IF(AND(Table1[[#This Row],[Spec Type2]]="N/A",Table1[[#This Row],[DUT Adj Read]]="N/A",Table1[[#This Row],[Std Adj Read]]="N/A"),"N/A",IF(Table1[[#This Row],[DUT Adj Read]]="N/A",IF(Table1[[#This Row],[Std Adj Read]]&gt;Table1[[#This Row],[Low Tol]],"Pass","Fail"),IF(Table1[[#This Row],[DUT Adj Read]]&gt;Table1[[#This Row],[Low Tol]],"Pass","Fail")))</f>
        <v>Pass</v>
      </c>
      <c r="AE356" s="1" t="str">
        <f>IF(AND(Table1[[#This Row],[Spec Type2]]="N/A",Table1[[#This Row],[DUT Adj Read]]="N/A",Table1[[#This Row],[Std Adj Read]]="N/A"),"N/A",IF(Table1[[#This Row],[DUT Adj Read]]="N/A",IF(Table1[[#This Row],[Std Adj Read]]&lt;Table1[[#This Row],[High Tol]],"Pass","Fail"),IF(Table1[[#This Row],[DUT Adj Read]]&lt;Table1[[#This Row],[High Tol]],"Pass","Fail")))</f>
        <v>Fail</v>
      </c>
      <c r="AF356" s="1" t="str">
        <f>IF(AND(Table1[[#This Row],[Spec Type2]]="N/A",Table1[[#This Row],[DUT Adj Read]]="N/A",Table1[[#This Row],[Std Adj Read]]="N/A"),"N/A",IF(Table1[[#This Row],[DUT Adj Read]]="N/A",IF(Table1[[#This Row],[Std Adj Read]]&gt;=Table1[[#This Row],[Low Tol]],"Pass","Fail"),IF(Table1[[#This Row],[DUT Adj Read]]&gt;=Table1[[#This Row],[Low Tol]],"Pass","Fail")))</f>
        <v>Pass</v>
      </c>
      <c r="AG356" s="1" t="str">
        <f>IF(AND(Table1[[#This Row],[Spec Type2]]="N/A",Table1[[#This Row],[DUT Adj Read]]="N/A",Table1[[#This Row],[Std Adj Read]]="N/A"),"N/A",IF(Table1[[#This Row],[DUT Adj Read]]="N/A",IF(Table1[[#This Row],[Std Adj Read]]&lt;=Table1[[#This Row],[High Tol]],"Pass","Fail"),IF(Table1[[#This Row],[DUT Adj Read]]&lt;=Table1[[#This Row],[High Tol]],"Pass","Fail")))</f>
        <v>Fail</v>
      </c>
      <c r="AH3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6" s="1" t="b">
        <v>0</v>
      </c>
      <c r="AN356" s="1" t="b">
        <v>0</v>
      </c>
      <c r="AO356" s="1" t="b">
        <v>0</v>
      </c>
    </row>
    <row r="357" spans="1:41" x14ac:dyDescent="0.25">
      <c r="A357" s="10"/>
      <c r="B357" s="10"/>
      <c r="C357" s="10"/>
      <c r="D357" s="10"/>
      <c r="E357" s="10"/>
      <c r="F357" s="10"/>
      <c r="G357" s="10"/>
      <c r="H357" s="10"/>
      <c r="I357" s="1" t="str">
        <f t="shared" si="15"/>
        <v/>
      </c>
      <c r="J357" s="1" t="s">
        <v>35</v>
      </c>
      <c r="K357" s="1" t="str">
        <f t="shared" si="16"/>
        <v/>
      </c>
      <c r="L357" s="1" t="str">
        <f t="shared" si="17"/>
        <v/>
      </c>
      <c r="M357" s="1">
        <f>IF(OR(Table1[[#This Row],[Std Nom]]="",Table1[[#This Row],[Std Read]]=""),0,Table1[[#This Row],[Std Nom]]-Table1[[#This Row],[Std Read]])</f>
        <v>0</v>
      </c>
      <c r="N357" s="1">
        <f>IF(Calculations!$F$5="ACCREDITED 17025 WITH UNCERTAINTIES",$N$10,0)</f>
        <v>0</v>
      </c>
      <c r="O357" s="1" t="str">
        <f>IFERROR(Table1[[#This Row],[Std Nom]]-(_xlfn.XLOOKUP(Table1[[#This Row],[Manufacturer]]&amp;" "&amp;Table1[[#This Row],[Model]],Table13[MFR &amp; MDL],Table13[Tolerance % CW ],"")/100*Table1[[#This Row],[Std Nom]]),"")</f>
        <v/>
      </c>
      <c r="P357" s="1" t="str">
        <f>IFERROR(Table1[[#This Row],[Std Nom]]+(_xlfn.XLOOKUP(Table1[[#This Row],[Manufacturer]]&amp;" "&amp;Table1[[#This Row],[Model]],Table13[MFR &amp; MDL],Table13[Tolerance % CW ],"")/100*Table1[[#This Row],[Std Nom]]),"")</f>
        <v/>
      </c>
      <c r="Q357" s="1" t="e">
        <f>Table1[[#This Row],[High Tol]]-Table1[[#This Row],[Low Tol]]</f>
        <v>#VALUE!</v>
      </c>
      <c r="R357" s="1">
        <f>2*Table1[[#This Row],[Std Error]]</f>
        <v>0</v>
      </c>
      <c r="S357" s="1" t="str">
        <f>IF(Table1[[#This Row],[High Tol]]="","N/A",IFERROR(ABS(Table1[[#This Row],[Tol Span]]/Table1[[#This Row],[Error Span]]),"N/A"))</f>
        <v>N/A</v>
      </c>
      <c r="T357" s="1" t="str">
        <f>IF(OR(Table1[[#This Row],[Low Tol]]="",Table1[[#This Row],[High Tol]]=""),"Needs Analysis",IF(Table1[[#This Row],[Ratio]]&gt;=4,"Not Significant",IF(Table1[[#This Row],[Ratio]]&gt;=2,"Semi-Significant","Significant")))</f>
        <v>Needs Analysis</v>
      </c>
      <c r="W357" s="1">
        <f>IF(Table1[[#This Row],[Cal Type]]&lt;&gt;"ACCREDITED 17025 WITH UNCERTAINTIES",0,"")</f>
        <v>0</v>
      </c>
      <c r="X357" s="1" t="str">
        <f>IF(Table1[[#This Row],[DUT Read]]="","N/A",Table1[[#This Row],[Std Error]]+Table1[[#This Row],[DUT Read]]+Table1[[#This Row],[DUT Ucty]])</f>
        <v>N/A</v>
      </c>
      <c r="Y357" s="1" t="str">
        <f>IF(Table1[[#This Row],[Std Read]]="","N/A",Table1[[#This Row],[Std Read]]+Table1[[#This Row],[Std Ucty]])</f>
        <v>N/A</v>
      </c>
      <c r="Z3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7" s="1" t="str">
        <f>IF(Table1[[#This Row],[Spec Type]]="","N/A",Table1[[#This Row],[Spec Type]])</f>
        <v>±</v>
      </c>
      <c r="AC357" s="1" t="str">
        <f>IF(Table1[[#This Row],[Spec Type2]]="N/A","N/A",IF(AND(Table1[[#This Row],[DUT Adj Read]]&gt;=Table1[[#This Row],[Low Tol]],Table1[[#This Row],[DUT Adj Read]]&lt;=Table1[[#This Row],[High Tol]]),"Pass","Fail"))</f>
        <v>Fail</v>
      </c>
      <c r="AD357" s="1" t="str">
        <f>IF(AND(Table1[[#This Row],[Spec Type2]]="N/A",Table1[[#This Row],[DUT Adj Read]]="N/A",Table1[[#This Row],[Std Adj Read]]="N/A"),"N/A",IF(Table1[[#This Row],[DUT Adj Read]]="N/A",IF(Table1[[#This Row],[Std Adj Read]]&gt;Table1[[#This Row],[Low Tol]],"Pass","Fail"),IF(Table1[[#This Row],[DUT Adj Read]]&gt;Table1[[#This Row],[Low Tol]],"Pass","Fail")))</f>
        <v>Pass</v>
      </c>
      <c r="AE357" s="1" t="str">
        <f>IF(AND(Table1[[#This Row],[Spec Type2]]="N/A",Table1[[#This Row],[DUT Adj Read]]="N/A",Table1[[#This Row],[Std Adj Read]]="N/A"),"N/A",IF(Table1[[#This Row],[DUT Adj Read]]="N/A",IF(Table1[[#This Row],[Std Adj Read]]&lt;Table1[[#This Row],[High Tol]],"Pass","Fail"),IF(Table1[[#This Row],[DUT Adj Read]]&lt;Table1[[#This Row],[High Tol]],"Pass","Fail")))</f>
        <v>Fail</v>
      </c>
      <c r="AF357" s="1" t="str">
        <f>IF(AND(Table1[[#This Row],[Spec Type2]]="N/A",Table1[[#This Row],[DUT Adj Read]]="N/A",Table1[[#This Row],[Std Adj Read]]="N/A"),"N/A",IF(Table1[[#This Row],[DUT Adj Read]]="N/A",IF(Table1[[#This Row],[Std Adj Read]]&gt;=Table1[[#This Row],[Low Tol]],"Pass","Fail"),IF(Table1[[#This Row],[DUT Adj Read]]&gt;=Table1[[#This Row],[Low Tol]],"Pass","Fail")))</f>
        <v>Pass</v>
      </c>
      <c r="AG357" s="1" t="str">
        <f>IF(AND(Table1[[#This Row],[Spec Type2]]="N/A",Table1[[#This Row],[DUT Adj Read]]="N/A",Table1[[#This Row],[Std Adj Read]]="N/A"),"N/A",IF(Table1[[#This Row],[DUT Adj Read]]="N/A",IF(Table1[[#This Row],[Std Adj Read]]&lt;=Table1[[#This Row],[High Tol]],"Pass","Fail"),IF(Table1[[#This Row],[DUT Adj Read]]&lt;=Table1[[#This Row],[High Tol]],"Pass","Fail")))</f>
        <v>Fail</v>
      </c>
      <c r="AH3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7" s="1" t="b">
        <v>0</v>
      </c>
      <c r="AN357" s="1" t="b">
        <v>0</v>
      </c>
      <c r="AO357" s="1" t="b">
        <v>0</v>
      </c>
    </row>
    <row r="358" spans="1:41" x14ac:dyDescent="0.25">
      <c r="A358" s="10"/>
      <c r="B358" s="10"/>
      <c r="C358" s="10"/>
      <c r="D358" s="10"/>
      <c r="E358" s="10"/>
      <c r="F358" s="10"/>
      <c r="G358" s="10"/>
      <c r="H358" s="10"/>
      <c r="I358" s="1" t="str">
        <f t="shared" si="15"/>
        <v/>
      </c>
      <c r="J358" s="1" t="s">
        <v>35</v>
      </c>
      <c r="K358" s="1" t="str">
        <f t="shared" si="16"/>
        <v/>
      </c>
      <c r="L358" s="1" t="str">
        <f t="shared" si="17"/>
        <v/>
      </c>
      <c r="M358" s="1">
        <f>IF(OR(Table1[[#This Row],[Std Nom]]="",Table1[[#This Row],[Std Read]]=""),0,Table1[[#This Row],[Std Nom]]-Table1[[#This Row],[Std Read]])</f>
        <v>0</v>
      </c>
      <c r="N358" s="1">
        <f>IF(Calculations!$F$5="ACCREDITED 17025 WITH UNCERTAINTIES",$N$10,0)</f>
        <v>0</v>
      </c>
      <c r="O358" s="1" t="str">
        <f>IFERROR(Table1[[#This Row],[Std Nom]]-(_xlfn.XLOOKUP(Table1[[#This Row],[Manufacturer]]&amp;" "&amp;Table1[[#This Row],[Model]],Table13[MFR &amp; MDL],Table13[Tolerance % CW ],"")/100*Table1[[#This Row],[Std Nom]]),"")</f>
        <v/>
      </c>
      <c r="P358" s="1" t="str">
        <f>IFERROR(Table1[[#This Row],[Std Nom]]+(_xlfn.XLOOKUP(Table1[[#This Row],[Manufacturer]]&amp;" "&amp;Table1[[#This Row],[Model]],Table13[MFR &amp; MDL],Table13[Tolerance % CW ],"")/100*Table1[[#This Row],[Std Nom]]),"")</f>
        <v/>
      </c>
      <c r="Q358" s="1" t="e">
        <f>Table1[[#This Row],[High Tol]]-Table1[[#This Row],[Low Tol]]</f>
        <v>#VALUE!</v>
      </c>
      <c r="R358" s="1">
        <f>2*Table1[[#This Row],[Std Error]]</f>
        <v>0</v>
      </c>
      <c r="S358" s="1" t="str">
        <f>IF(Table1[[#This Row],[High Tol]]="","N/A",IFERROR(ABS(Table1[[#This Row],[Tol Span]]/Table1[[#This Row],[Error Span]]),"N/A"))</f>
        <v>N/A</v>
      </c>
      <c r="T358" s="1" t="str">
        <f>IF(OR(Table1[[#This Row],[Low Tol]]="",Table1[[#This Row],[High Tol]]=""),"Needs Analysis",IF(Table1[[#This Row],[Ratio]]&gt;=4,"Not Significant",IF(Table1[[#This Row],[Ratio]]&gt;=2,"Semi-Significant","Significant")))</f>
        <v>Needs Analysis</v>
      </c>
      <c r="W358" s="1">
        <f>IF(Table1[[#This Row],[Cal Type]]&lt;&gt;"ACCREDITED 17025 WITH UNCERTAINTIES",0,"")</f>
        <v>0</v>
      </c>
      <c r="X358" s="1" t="str">
        <f>IF(Table1[[#This Row],[DUT Read]]="","N/A",Table1[[#This Row],[Std Error]]+Table1[[#This Row],[DUT Read]]+Table1[[#This Row],[DUT Ucty]])</f>
        <v>N/A</v>
      </c>
      <c r="Y358" s="1" t="str">
        <f>IF(Table1[[#This Row],[Std Read]]="","N/A",Table1[[#This Row],[Std Read]]+Table1[[#This Row],[Std Ucty]])</f>
        <v>N/A</v>
      </c>
      <c r="Z3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8" s="1" t="str">
        <f>IF(Table1[[#This Row],[Spec Type]]="","N/A",Table1[[#This Row],[Spec Type]])</f>
        <v>±</v>
      </c>
      <c r="AC358" s="1" t="str">
        <f>IF(Table1[[#This Row],[Spec Type2]]="N/A","N/A",IF(AND(Table1[[#This Row],[DUT Adj Read]]&gt;=Table1[[#This Row],[Low Tol]],Table1[[#This Row],[DUT Adj Read]]&lt;=Table1[[#This Row],[High Tol]]),"Pass","Fail"))</f>
        <v>Fail</v>
      </c>
      <c r="AD358" s="1" t="str">
        <f>IF(AND(Table1[[#This Row],[Spec Type2]]="N/A",Table1[[#This Row],[DUT Adj Read]]="N/A",Table1[[#This Row],[Std Adj Read]]="N/A"),"N/A",IF(Table1[[#This Row],[DUT Adj Read]]="N/A",IF(Table1[[#This Row],[Std Adj Read]]&gt;Table1[[#This Row],[Low Tol]],"Pass","Fail"),IF(Table1[[#This Row],[DUT Adj Read]]&gt;Table1[[#This Row],[Low Tol]],"Pass","Fail")))</f>
        <v>Pass</v>
      </c>
      <c r="AE358" s="1" t="str">
        <f>IF(AND(Table1[[#This Row],[Spec Type2]]="N/A",Table1[[#This Row],[DUT Adj Read]]="N/A",Table1[[#This Row],[Std Adj Read]]="N/A"),"N/A",IF(Table1[[#This Row],[DUT Adj Read]]="N/A",IF(Table1[[#This Row],[Std Adj Read]]&lt;Table1[[#This Row],[High Tol]],"Pass","Fail"),IF(Table1[[#This Row],[DUT Adj Read]]&lt;Table1[[#This Row],[High Tol]],"Pass","Fail")))</f>
        <v>Fail</v>
      </c>
      <c r="AF358" s="1" t="str">
        <f>IF(AND(Table1[[#This Row],[Spec Type2]]="N/A",Table1[[#This Row],[DUT Adj Read]]="N/A",Table1[[#This Row],[Std Adj Read]]="N/A"),"N/A",IF(Table1[[#This Row],[DUT Adj Read]]="N/A",IF(Table1[[#This Row],[Std Adj Read]]&gt;=Table1[[#This Row],[Low Tol]],"Pass","Fail"),IF(Table1[[#This Row],[DUT Adj Read]]&gt;=Table1[[#This Row],[Low Tol]],"Pass","Fail")))</f>
        <v>Pass</v>
      </c>
      <c r="AG358" s="1" t="str">
        <f>IF(AND(Table1[[#This Row],[Spec Type2]]="N/A",Table1[[#This Row],[DUT Adj Read]]="N/A",Table1[[#This Row],[Std Adj Read]]="N/A"),"N/A",IF(Table1[[#This Row],[DUT Adj Read]]="N/A",IF(Table1[[#This Row],[Std Adj Read]]&lt;=Table1[[#This Row],[High Tol]],"Pass","Fail"),IF(Table1[[#This Row],[DUT Adj Read]]&lt;=Table1[[#This Row],[High Tol]],"Pass","Fail")))</f>
        <v>Fail</v>
      </c>
      <c r="AH3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8" s="1" t="b">
        <v>0</v>
      </c>
      <c r="AN358" s="1" t="b">
        <v>0</v>
      </c>
      <c r="AO358" s="1" t="b">
        <v>0</v>
      </c>
    </row>
    <row r="359" spans="1:41" x14ac:dyDescent="0.25">
      <c r="A359" s="10"/>
      <c r="B359" s="10"/>
      <c r="C359" s="10"/>
      <c r="D359" s="10"/>
      <c r="E359" s="10"/>
      <c r="F359" s="10"/>
      <c r="G359" s="10"/>
      <c r="H359" s="10"/>
      <c r="I359" s="1" t="str">
        <f t="shared" si="15"/>
        <v/>
      </c>
      <c r="J359" s="1" t="s">
        <v>35</v>
      </c>
      <c r="K359" s="1" t="str">
        <f t="shared" si="16"/>
        <v/>
      </c>
      <c r="L359" s="1" t="str">
        <f t="shared" si="17"/>
        <v/>
      </c>
      <c r="M359" s="1">
        <f>IF(OR(Table1[[#This Row],[Std Nom]]="",Table1[[#This Row],[Std Read]]=""),0,Table1[[#This Row],[Std Nom]]-Table1[[#This Row],[Std Read]])</f>
        <v>0</v>
      </c>
      <c r="N359" s="1">
        <f>IF(Calculations!$F$5="ACCREDITED 17025 WITH UNCERTAINTIES",$N$10,0)</f>
        <v>0</v>
      </c>
      <c r="O359" s="1" t="str">
        <f>IFERROR(Table1[[#This Row],[Std Nom]]-(_xlfn.XLOOKUP(Table1[[#This Row],[Manufacturer]]&amp;" "&amp;Table1[[#This Row],[Model]],Table13[MFR &amp; MDL],Table13[Tolerance % CW ],"")/100*Table1[[#This Row],[Std Nom]]),"")</f>
        <v/>
      </c>
      <c r="P359" s="1" t="str">
        <f>IFERROR(Table1[[#This Row],[Std Nom]]+(_xlfn.XLOOKUP(Table1[[#This Row],[Manufacturer]]&amp;" "&amp;Table1[[#This Row],[Model]],Table13[MFR &amp; MDL],Table13[Tolerance % CW ],"")/100*Table1[[#This Row],[Std Nom]]),"")</f>
        <v/>
      </c>
      <c r="Q359" s="1" t="e">
        <f>Table1[[#This Row],[High Tol]]-Table1[[#This Row],[Low Tol]]</f>
        <v>#VALUE!</v>
      </c>
      <c r="R359" s="1">
        <f>2*Table1[[#This Row],[Std Error]]</f>
        <v>0</v>
      </c>
      <c r="S359" s="1" t="str">
        <f>IF(Table1[[#This Row],[High Tol]]="","N/A",IFERROR(ABS(Table1[[#This Row],[Tol Span]]/Table1[[#This Row],[Error Span]]),"N/A"))</f>
        <v>N/A</v>
      </c>
      <c r="T359" s="1" t="str">
        <f>IF(OR(Table1[[#This Row],[Low Tol]]="",Table1[[#This Row],[High Tol]]=""),"Needs Analysis",IF(Table1[[#This Row],[Ratio]]&gt;=4,"Not Significant",IF(Table1[[#This Row],[Ratio]]&gt;=2,"Semi-Significant","Significant")))</f>
        <v>Needs Analysis</v>
      </c>
      <c r="W359" s="1">
        <f>IF(Table1[[#This Row],[Cal Type]]&lt;&gt;"ACCREDITED 17025 WITH UNCERTAINTIES",0,"")</f>
        <v>0</v>
      </c>
      <c r="X359" s="1" t="str">
        <f>IF(Table1[[#This Row],[DUT Read]]="","N/A",Table1[[#This Row],[Std Error]]+Table1[[#This Row],[DUT Read]]+Table1[[#This Row],[DUT Ucty]])</f>
        <v>N/A</v>
      </c>
      <c r="Y359" s="1" t="str">
        <f>IF(Table1[[#This Row],[Std Read]]="","N/A",Table1[[#This Row],[Std Read]]+Table1[[#This Row],[Std Ucty]])</f>
        <v>N/A</v>
      </c>
      <c r="Z3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9" s="1" t="str">
        <f>IF(Table1[[#This Row],[Spec Type]]="","N/A",Table1[[#This Row],[Spec Type]])</f>
        <v>±</v>
      </c>
      <c r="AC359" s="1" t="str">
        <f>IF(Table1[[#This Row],[Spec Type2]]="N/A","N/A",IF(AND(Table1[[#This Row],[DUT Adj Read]]&gt;=Table1[[#This Row],[Low Tol]],Table1[[#This Row],[DUT Adj Read]]&lt;=Table1[[#This Row],[High Tol]]),"Pass","Fail"))</f>
        <v>Fail</v>
      </c>
      <c r="AD359" s="1" t="str">
        <f>IF(AND(Table1[[#This Row],[Spec Type2]]="N/A",Table1[[#This Row],[DUT Adj Read]]="N/A",Table1[[#This Row],[Std Adj Read]]="N/A"),"N/A",IF(Table1[[#This Row],[DUT Adj Read]]="N/A",IF(Table1[[#This Row],[Std Adj Read]]&gt;Table1[[#This Row],[Low Tol]],"Pass","Fail"),IF(Table1[[#This Row],[DUT Adj Read]]&gt;Table1[[#This Row],[Low Tol]],"Pass","Fail")))</f>
        <v>Pass</v>
      </c>
      <c r="AE359" s="1" t="str">
        <f>IF(AND(Table1[[#This Row],[Spec Type2]]="N/A",Table1[[#This Row],[DUT Adj Read]]="N/A",Table1[[#This Row],[Std Adj Read]]="N/A"),"N/A",IF(Table1[[#This Row],[DUT Adj Read]]="N/A",IF(Table1[[#This Row],[Std Adj Read]]&lt;Table1[[#This Row],[High Tol]],"Pass","Fail"),IF(Table1[[#This Row],[DUT Adj Read]]&lt;Table1[[#This Row],[High Tol]],"Pass","Fail")))</f>
        <v>Fail</v>
      </c>
      <c r="AF359" s="1" t="str">
        <f>IF(AND(Table1[[#This Row],[Spec Type2]]="N/A",Table1[[#This Row],[DUT Adj Read]]="N/A",Table1[[#This Row],[Std Adj Read]]="N/A"),"N/A",IF(Table1[[#This Row],[DUT Adj Read]]="N/A",IF(Table1[[#This Row],[Std Adj Read]]&gt;=Table1[[#This Row],[Low Tol]],"Pass","Fail"),IF(Table1[[#This Row],[DUT Adj Read]]&gt;=Table1[[#This Row],[Low Tol]],"Pass","Fail")))</f>
        <v>Pass</v>
      </c>
      <c r="AG359" s="1" t="str">
        <f>IF(AND(Table1[[#This Row],[Spec Type2]]="N/A",Table1[[#This Row],[DUT Adj Read]]="N/A",Table1[[#This Row],[Std Adj Read]]="N/A"),"N/A",IF(Table1[[#This Row],[DUT Adj Read]]="N/A",IF(Table1[[#This Row],[Std Adj Read]]&lt;=Table1[[#This Row],[High Tol]],"Pass","Fail"),IF(Table1[[#This Row],[DUT Adj Read]]&lt;=Table1[[#This Row],[High Tol]],"Pass","Fail")))</f>
        <v>Fail</v>
      </c>
      <c r="AH3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9" s="1" t="b">
        <v>0</v>
      </c>
      <c r="AN359" s="1" t="b">
        <v>0</v>
      </c>
      <c r="AO359" s="1" t="b">
        <v>0</v>
      </c>
    </row>
    <row r="360" spans="1:41" x14ac:dyDescent="0.25">
      <c r="A360" s="10"/>
      <c r="B360" s="10"/>
      <c r="C360" s="10"/>
      <c r="D360" s="10"/>
      <c r="E360" s="10"/>
      <c r="F360" s="10"/>
      <c r="G360" s="10"/>
      <c r="H360" s="10"/>
      <c r="I360" s="1" t="str">
        <f t="shared" si="15"/>
        <v/>
      </c>
      <c r="J360" s="1" t="s">
        <v>35</v>
      </c>
      <c r="K360" s="1" t="str">
        <f t="shared" si="16"/>
        <v/>
      </c>
      <c r="L360" s="1" t="str">
        <f t="shared" si="17"/>
        <v/>
      </c>
      <c r="M360" s="1">
        <f>IF(OR(Table1[[#This Row],[Std Nom]]="",Table1[[#This Row],[Std Read]]=""),0,Table1[[#This Row],[Std Nom]]-Table1[[#This Row],[Std Read]])</f>
        <v>0</v>
      </c>
      <c r="N360" s="1">
        <f>IF(Calculations!$F$5="ACCREDITED 17025 WITH UNCERTAINTIES",$N$10,0)</f>
        <v>0</v>
      </c>
      <c r="O360" s="1" t="str">
        <f>IFERROR(Table1[[#This Row],[Std Nom]]-(_xlfn.XLOOKUP(Table1[[#This Row],[Manufacturer]]&amp;" "&amp;Table1[[#This Row],[Model]],Table13[MFR &amp; MDL],Table13[Tolerance % CW ],"")/100*Table1[[#This Row],[Std Nom]]),"")</f>
        <v/>
      </c>
      <c r="P360" s="1" t="str">
        <f>IFERROR(Table1[[#This Row],[Std Nom]]+(_xlfn.XLOOKUP(Table1[[#This Row],[Manufacturer]]&amp;" "&amp;Table1[[#This Row],[Model]],Table13[MFR &amp; MDL],Table13[Tolerance % CW ],"")/100*Table1[[#This Row],[Std Nom]]),"")</f>
        <v/>
      </c>
      <c r="Q360" s="1" t="e">
        <f>Table1[[#This Row],[High Tol]]-Table1[[#This Row],[Low Tol]]</f>
        <v>#VALUE!</v>
      </c>
      <c r="R360" s="1">
        <f>2*Table1[[#This Row],[Std Error]]</f>
        <v>0</v>
      </c>
      <c r="S360" s="1" t="str">
        <f>IF(Table1[[#This Row],[High Tol]]="","N/A",IFERROR(ABS(Table1[[#This Row],[Tol Span]]/Table1[[#This Row],[Error Span]]),"N/A"))</f>
        <v>N/A</v>
      </c>
      <c r="T360" s="1" t="str">
        <f>IF(OR(Table1[[#This Row],[Low Tol]]="",Table1[[#This Row],[High Tol]]=""),"Needs Analysis",IF(Table1[[#This Row],[Ratio]]&gt;=4,"Not Significant",IF(Table1[[#This Row],[Ratio]]&gt;=2,"Semi-Significant","Significant")))</f>
        <v>Needs Analysis</v>
      </c>
      <c r="W360" s="1">
        <f>IF(Table1[[#This Row],[Cal Type]]&lt;&gt;"ACCREDITED 17025 WITH UNCERTAINTIES",0,"")</f>
        <v>0</v>
      </c>
      <c r="X360" s="1" t="str">
        <f>IF(Table1[[#This Row],[DUT Read]]="","N/A",Table1[[#This Row],[Std Error]]+Table1[[#This Row],[DUT Read]]+Table1[[#This Row],[DUT Ucty]])</f>
        <v>N/A</v>
      </c>
      <c r="Y360" s="1" t="str">
        <f>IF(Table1[[#This Row],[Std Read]]="","N/A",Table1[[#This Row],[Std Read]]+Table1[[#This Row],[Std Ucty]])</f>
        <v>N/A</v>
      </c>
      <c r="Z3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0" s="1" t="str">
        <f>IF(Table1[[#This Row],[Spec Type]]="","N/A",Table1[[#This Row],[Spec Type]])</f>
        <v>±</v>
      </c>
      <c r="AC360" s="1" t="str">
        <f>IF(Table1[[#This Row],[Spec Type2]]="N/A","N/A",IF(AND(Table1[[#This Row],[DUT Adj Read]]&gt;=Table1[[#This Row],[Low Tol]],Table1[[#This Row],[DUT Adj Read]]&lt;=Table1[[#This Row],[High Tol]]),"Pass","Fail"))</f>
        <v>Fail</v>
      </c>
      <c r="AD360" s="1" t="str">
        <f>IF(AND(Table1[[#This Row],[Spec Type2]]="N/A",Table1[[#This Row],[DUT Adj Read]]="N/A",Table1[[#This Row],[Std Adj Read]]="N/A"),"N/A",IF(Table1[[#This Row],[DUT Adj Read]]="N/A",IF(Table1[[#This Row],[Std Adj Read]]&gt;Table1[[#This Row],[Low Tol]],"Pass","Fail"),IF(Table1[[#This Row],[DUT Adj Read]]&gt;Table1[[#This Row],[Low Tol]],"Pass","Fail")))</f>
        <v>Pass</v>
      </c>
      <c r="AE360" s="1" t="str">
        <f>IF(AND(Table1[[#This Row],[Spec Type2]]="N/A",Table1[[#This Row],[DUT Adj Read]]="N/A",Table1[[#This Row],[Std Adj Read]]="N/A"),"N/A",IF(Table1[[#This Row],[DUT Adj Read]]="N/A",IF(Table1[[#This Row],[Std Adj Read]]&lt;Table1[[#This Row],[High Tol]],"Pass","Fail"),IF(Table1[[#This Row],[DUT Adj Read]]&lt;Table1[[#This Row],[High Tol]],"Pass","Fail")))</f>
        <v>Fail</v>
      </c>
      <c r="AF360" s="1" t="str">
        <f>IF(AND(Table1[[#This Row],[Spec Type2]]="N/A",Table1[[#This Row],[DUT Adj Read]]="N/A",Table1[[#This Row],[Std Adj Read]]="N/A"),"N/A",IF(Table1[[#This Row],[DUT Adj Read]]="N/A",IF(Table1[[#This Row],[Std Adj Read]]&gt;=Table1[[#This Row],[Low Tol]],"Pass","Fail"),IF(Table1[[#This Row],[DUT Adj Read]]&gt;=Table1[[#This Row],[Low Tol]],"Pass","Fail")))</f>
        <v>Pass</v>
      </c>
      <c r="AG360" s="1" t="str">
        <f>IF(AND(Table1[[#This Row],[Spec Type2]]="N/A",Table1[[#This Row],[DUT Adj Read]]="N/A",Table1[[#This Row],[Std Adj Read]]="N/A"),"N/A",IF(Table1[[#This Row],[DUT Adj Read]]="N/A",IF(Table1[[#This Row],[Std Adj Read]]&lt;=Table1[[#This Row],[High Tol]],"Pass","Fail"),IF(Table1[[#This Row],[DUT Adj Read]]&lt;=Table1[[#This Row],[High Tol]],"Pass","Fail")))</f>
        <v>Fail</v>
      </c>
      <c r="AH3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0" s="1" t="b">
        <v>0</v>
      </c>
      <c r="AN360" s="1" t="b">
        <v>0</v>
      </c>
      <c r="AO360" s="1" t="b">
        <v>0</v>
      </c>
    </row>
    <row r="361" spans="1:41" x14ac:dyDescent="0.25">
      <c r="A361" s="10"/>
      <c r="B361" s="10"/>
      <c r="C361" s="10"/>
      <c r="D361" s="10"/>
      <c r="E361" s="10"/>
      <c r="F361" s="10"/>
      <c r="G361" s="10"/>
      <c r="H361" s="10"/>
      <c r="I361" s="1" t="str">
        <f t="shared" si="15"/>
        <v/>
      </c>
      <c r="J361" s="1" t="s">
        <v>35</v>
      </c>
      <c r="K361" s="1" t="str">
        <f t="shared" si="16"/>
        <v/>
      </c>
      <c r="L361" s="1" t="str">
        <f t="shared" si="17"/>
        <v/>
      </c>
      <c r="M361" s="1">
        <f>IF(OR(Table1[[#This Row],[Std Nom]]="",Table1[[#This Row],[Std Read]]=""),0,Table1[[#This Row],[Std Nom]]-Table1[[#This Row],[Std Read]])</f>
        <v>0</v>
      </c>
      <c r="N361" s="1">
        <f>IF(Calculations!$F$5="ACCREDITED 17025 WITH UNCERTAINTIES",$N$10,0)</f>
        <v>0</v>
      </c>
      <c r="O361" s="1" t="str">
        <f>IFERROR(Table1[[#This Row],[Std Nom]]-(_xlfn.XLOOKUP(Table1[[#This Row],[Manufacturer]]&amp;" "&amp;Table1[[#This Row],[Model]],Table13[MFR &amp; MDL],Table13[Tolerance % CW ],"")/100*Table1[[#This Row],[Std Nom]]),"")</f>
        <v/>
      </c>
      <c r="P361" s="1" t="str">
        <f>IFERROR(Table1[[#This Row],[Std Nom]]+(_xlfn.XLOOKUP(Table1[[#This Row],[Manufacturer]]&amp;" "&amp;Table1[[#This Row],[Model]],Table13[MFR &amp; MDL],Table13[Tolerance % CW ],"")/100*Table1[[#This Row],[Std Nom]]),"")</f>
        <v/>
      </c>
      <c r="Q361" s="1" t="e">
        <f>Table1[[#This Row],[High Tol]]-Table1[[#This Row],[Low Tol]]</f>
        <v>#VALUE!</v>
      </c>
      <c r="R361" s="1">
        <f>2*Table1[[#This Row],[Std Error]]</f>
        <v>0</v>
      </c>
      <c r="S361" s="1" t="str">
        <f>IF(Table1[[#This Row],[High Tol]]="","N/A",IFERROR(ABS(Table1[[#This Row],[Tol Span]]/Table1[[#This Row],[Error Span]]),"N/A"))</f>
        <v>N/A</v>
      </c>
      <c r="T361" s="1" t="str">
        <f>IF(OR(Table1[[#This Row],[Low Tol]]="",Table1[[#This Row],[High Tol]]=""),"Needs Analysis",IF(Table1[[#This Row],[Ratio]]&gt;=4,"Not Significant",IF(Table1[[#This Row],[Ratio]]&gt;=2,"Semi-Significant","Significant")))</f>
        <v>Needs Analysis</v>
      </c>
      <c r="W361" s="1">
        <f>IF(Table1[[#This Row],[Cal Type]]&lt;&gt;"ACCREDITED 17025 WITH UNCERTAINTIES",0,"")</f>
        <v>0</v>
      </c>
      <c r="X361" s="1" t="str">
        <f>IF(Table1[[#This Row],[DUT Read]]="","N/A",Table1[[#This Row],[Std Error]]+Table1[[#This Row],[DUT Read]]+Table1[[#This Row],[DUT Ucty]])</f>
        <v>N/A</v>
      </c>
      <c r="Y361" s="1" t="str">
        <f>IF(Table1[[#This Row],[Std Read]]="","N/A",Table1[[#This Row],[Std Read]]+Table1[[#This Row],[Std Ucty]])</f>
        <v>N/A</v>
      </c>
      <c r="Z3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1" s="1" t="str">
        <f>IF(Table1[[#This Row],[Spec Type]]="","N/A",Table1[[#This Row],[Spec Type]])</f>
        <v>±</v>
      </c>
      <c r="AC361" s="1" t="str">
        <f>IF(Table1[[#This Row],[Spec Type2]]="N/A","N/A",IF(AND(Table1[[#This Row],[DUT Adj Read]]&gt;=Table1[[#This Row],[Low Tol]],Table1[[#This Row],[DUT Adj Read]]&lt;=Table1[[#This Row],[High Tol]]),"Pass","Fail"))</f>
        <v>Fail</v>
      </c>
      <c r="AD361" s="1" t="str">
        <f>IF(AND(Table1[[#This Row],[Spec Type2]]="N/A",Table1[[#This Row],[DUT Adj Read]]="N/A",Table1[[#This Row],[Std Adj Read]]="N/A"),"N/A",IF(Table1[[#This Row],[DUT Adj Read]]="N/A",IF(Table1[[#This Row],[Std Adj Read]]&gt;Table1[[#This Row],[Low Tol]],"Pass","Fail"),IF(Table1[[#This Row],[DUT Adj Read]]&gt;Table1[[#This Row],[Low Tol]],"Pass","Fail")))</f>
        <v>Pass</v>
      </c>
      <c r="AE361" s="1" t="str">
        <f>IF(AND(Table1[[#This Row],[Spec Type2]]="N/A",Table1[[#This Row],[DUT Adj Read]]="N/A",Table1[[#This Row],[Std Adj Read]]="N/A"),"N/A",IF(Table1[[#This Row],[DUT Adj Read]]="N/A",IF(Table1[[#This Row],[Std Adj Read]]&lt;Table1[[#This Row],[High Tol]],"Pass","Fail"),IF(Table1[[#This Row],[DUT Adj Read]]&lt;Table1[[#This Row],[High Tol]],"Pass","Fail")))</f>
        <v>Fail</v>
      </c>
      <c r="AF361" s="1" t="str">
        <f>IF(AND(Table1[[#This Row],[Spec Type2]]="N/A",Table1[[#This Row],[DUT Adj Read]]="N/A",Table1[[#This Row],[Std Adj Read]]="N/A"),"N/A",IF(Table1[[#This Row],[DUT Adj Read]]="N/A",IF(Table1[[#This Row],[Std Adj Read]]&gt;=Table1[[#This Row],[Low Tol]],"Pass","Fail"),IF(Table1[[#This Row],[DUT Adj Read]]&gt;=Table1[[#This Row],[Low Tol]],"Pass","Fail")))</f>
        <v>Pass</v>
      </c>
      <c r="AG361" s="1" t="str">
        <f>IF(AND(Table1[[#This Row],[Spec Type2]]="N/A",Table1[[#This Row],[DUT Adj Read]]="N/A",Table1[[#This Row],[Std Adj Read]]="N/A"),"N/A",IF(Table1[[#This Row],[DUT Adj Read]]="N/A",IF(Table1[[#This Row],[Std Adj Read]]&lt;=Table1[[#This Row],[High Tol]],"Pass","Fail"),IF(Table1[[#This Row],[DUT Adj Read]]&lt;=Table1[[#This Row],[High Tol]],"Pass","Fail")))</f>
        <v>Fail</v>
      </c>
      <c r="AH3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1" s="1" t="b">
        <v>0</v>
      </c>
      <c r="AN361" s="1" t="b">
        <v>0</v>
      </c>
      <c r="AO361" s="1" t="b">
        <v>0</v>
      </c>
    </row>
    <row r="362" spans="1:41" x14ac:dyDescent="0.25">
      <c r="A362" s="10"/>
      <c r="B362" s="10"/>
      <c r="C362" s="10"/>
      <c r="D362" s="10"/>
      <c r="E362" s="10"/>
      <c r="F362" s="10"/>
      <c r="G362" s="10"/>
      <c r="H362" s="10"/>
      <c r="I362" s="1" t="str">
        <f t="shared" si="15"/>
        <v/>
      </c>
      <c r="J362" s="1" t="s">
        <v>35</v>
      </c>
      <c r="K362" s="1" t="str">
        <f t="shared" si="16"/>
        <v/>
      </c>
      <c r="L362" s="1" t="str">
        <f t="shared" si="17"/>
        <v/>
      </c>
      <c r="M362" s="1">
        <f>IF(OR(Table1[[#This Row],[Std Nom]]="",Table1[[#This Row],[Std Read]]=""),0,Table1[[#This Row],[Std Nom]]-Table1[[#This Row],[Std Read]])</f>
        <v>0</v>
      </c>
      <c r="N362" s="1">
        <f>IF(Calculations!$F$5="ACCREDITED 17025 WITH UNCERTAINTIES",$N$10,0)</f>
        <v>0</v>
      </c>
      <c r="O362" s="1" t="str">
        <f>IFERROR(Table1[[#This Row],[Std Nom]]-(_xlfn.XLOOKUP(Table1[[#This Row],[Manufacturer]]&amp;" "&amp;Table1[[#This Row],[Model]],Table13[MFR &amp; MDL],Table13[Tolerance % CW ],"")/100*Table1[[#This Row],[Std Nom]]),"")</f>
        <v/>
      </c>
      <c r="P362" s="1" t="str">
        <f>IFERROR(Table1[[#This Row],[Std Nom]]+(_xlfn.XLOOKUP(Table1[[#This Row],[Manufacturer]]&amp;" "&amp;Table1[[#This Row],[Model]],Table13[MFR &amp; MDL],Table13[Tolerance % CW ],"")/100*Table1[[#This Row],[Std Nom]]),"")</f>
        <v/>
      </c>
      <c r="Q362" s="1" t="e">
        <f>Table1[[#This Row],[High Tol]]-Table1[[#This Row],[Low Tol]]</f>
        <v>#VALUE!</v>
      </c>
      <c r="R362" s="1">
        <f>2*Table1[[#This Row],[Std Error]]</f>
        <v>0</v>
      </c>
      <c r="S362" s="1" t="str">
        <f>IF(Table1[[#This Row],[High Tol]]="","N/A",IFERROR(ABS(Table1[[#This Row],[Tol Span]]/Table1[[#This Row],[Error Span]]),"N/A"))</f>
        <v>N/A</v>
      </c>
      <c r="T362" s="1" t="str">
        <f>IF(OR(Table1[[#This Row],[Low Tol]]="",Table1[[#This Row],[High Tol]]=""),"Needs Analysis",IF(Table1[[#This Row],[Ratio]]&gt;=4,"Not Significant",IF(Table1[[#This Row],[Ratio]]&gt;=2,"Semi-Significant","Significant")))</f>
        <v>Needs Analysis</v>
      </c>
      <c r="W362" s="1">
        <f>IF(Table1[[#This Row],[Cal Type]]&lt;&gt;"ACCREDITED 17025 WITH UNCERTAINTIES",0,"")</f>
        <v>0</v>
      </c>
      <c r="X362" s="1" t="str">
        <f>IF(Table1[[#This Row],[DUT Read]]="","N/A",Table1[[#This Row],[Std Error]]+Table1[[#This Row],[DUT Read]]+Table1[[#This Row],[DUT Ucty]])</f>
        <v>N/A</v>
      </c>
      <c r="Y362" s="1" t="str">
        <f>IF(Table1[[#This Row],[Std Read]]="","N/A",Table1[[#This Row],[Std Read]]+Table1[[#This Row],[Std Ucty]])</f>
        <v>N/A</v>
      </c>
      <c r="Z3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2" s="1" t="str">
        <f>IF(Table1[[#This Row],[Spec Type]]="","N/A",Table1[[#This Row],[Spec Type]])</f>
        <v>±</v>
      </c>
      <c r="AC362" s="1" t="str">
        <f>IF(Table1[[#This Row],[Spec Type2]]="N/A","N/A",IF(AND(Table1[[#This Row],[DUT Adj Read]]&gt;=Table1[[#This Row],[Low Tol]],Table1[[#This Row],[DUT Adj Read]]&lt;=Table1[[#This Row],[High Tol]]),"Pass","Fail"))</f>
        <v>Fail</v>
      </c>
      <c r="AD362" s="1" t="str">
        <f>IF(AND(Table1[[#This Row],[Spec Type2]]="N/A",Table1[[#This Row],[DUT Adj Read]]="N/A",Table1[[#This Row],[Std Adj Read]]="N/A"),"N/A",IF(Table1[[#This Row],[DUT Adj Read]]="N/A",IF(Table1[[#This Row],[Std Adj Read]]&gt;Table1[[#This Row],[Low Tol]],"Pass","Fail"),IF(Table1[[#This Row],[DUT Adj Read]]&gt;Table1[[#This Row],[Low Tol]],"Pass","Fail")))</f>
        <v>Pass</v>
      </c>
      <c r="AE362" s="1" t="str">
        <f>IF(AND(Table1[[#This Row],[Spec Type2]]="N/A",Table1[[#This Row],[DUT Adj Read]]="N/A",Table1[[#This Row],[Std Adj Read]]="N/A"),"N/A",IF(Table1[[#This Row],[DUT Adj Read]]="N/A",IF(Table1[[#This Row],[Std Adj Read]]&lt;Table1[[#This Row],[High Tol]],"Pass","Fail"),IF(Table1[[#This Row],[DUT Adj Read]]&lt;Table1[[#This Row],[High Tol]],"Pass","Fail")))</f>
        <v>Fail</v>
      </c>
      <c r="AF362" s="1" t="str">
        <f>IF(AND(Table1[[#This Row],[Spec Type2]]="N/A",Table1[[#This Row],[DUT Adj Read]]="N/A",Table1[[#This Row],[Std Adj Read]]="N/A"),"N/A",IF(Table1[[#This Row],[DUT Adj Read]]="N/A",IF(Table1[[#This Row],[Std Adj Read]]&gt;=Table1[[#This Row],[Low Tol]],"Pass","Fail"),IF(Table1[[#This Row],[DUT Adj Read]]&gt;=Table1[[#This Row],[Low Tol]],"Pass","Fail")))</f>
        <v>Pass</v>
      </c>
      <c r="AG362" s="1" t="str">
        <f>IF(AND(Table1[[#This Row],[Spec Type2]]="N/A",Table1[[#This Row],[DUT Adj Read]]="N/A",Table1[[#This Row],[Std Adj Read]]="N/A"),"N/A",IF(Table1[[#This Row],[DUT Adj Read]]="N/A",IF(Table1[[#This Row],[Std Adj Read]]&lt;=Table1[[#This Row],[High Tol]],"Pass","Fail"),IF(Table1[[#This Row],[DUT Adj Read]]&lt;=Table1[[#This Row],[High Tol]],"Pass","Fail")))</f>
        <v>Fail</v>
      </c>
      <c r="AH3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2" s="1" t="b">
        <v>0</v>
      </c>
      <c r="AN362" s="1" t="b">
        <v>0</v>
      </c>
      <c r="AO362" s="1" t="b">
        <v>0</v>
      </c>
    </row>
    <row r="363" spans="1:41" x14ac:dyDescent="0.25">
      <c r="A363" s="10"/>
      <c r="B363" s="10"/>
      <c r="C363" s="10"/>
      <c r="D363" s="10"/>
      <c r="E363" s="10"/>
      <c r="F363" s="10"/>
      <c r="G363" s="10"/>
      <c r="H363" s="10"/>
      <c r="I363" s="1" t="str">
        <f t="shared" si="15"/>
        <v/>
      </c>
      <c r="J363" s="1" t="s">
        <v>35</v>
      </c>
      <c r="K363" s="1" t="str">
        <f t="shared" si="16"/>
        <v/>
      </c>
      <c r="L363" s="1" t="str">
        <f t="shared" si="17"/>
        <v/>
      </c>
      <c r="M363" s="1">
        <f>IF(OR(Table1[[#This Row],[Std Nom]]="",Table1[[#This Row],[Std Read]]=""),0,Table1[[#This Row],[Std Nom]]-Table1[[#This Row],[Std Read]])</f>
        <v>0</v>
      </c>
      <c r="N363" s="1">
        <f>IF(Calculations!$F$5="ACCREDITED 17025 WITH UNCERTAINTIES",$N$10,0)</f>
        <v>0</v>
      </c>
      <c r="O363" s="1" t="str">
        <f>IFERROR(Table1[[#This Row],[Std Nom]]-(_xlfn.XLOOKUP(Table1[[#This Row],[Manufacturer]]&amp;" "&amp;Table1[[#This Row],[Model]],Table13[MFR &amp; MDL],Table13[Tolerance % CW ],"")/100*Table1[[#This Row],[Std Nom]]),"")</f>
        <v/>
      </c>
      <c r="P363" s="1" t="str">
        <f>IFERROR(Table1[[#This Row],[Std Nom]]+(_xlfn.XLOOKUP(Table1[[#This Row],[Manufacturer]]&amp;" "&amp;Table1[[#This Row],[Model]],Table13[MFR &amp; MDL],Table13[Tolerance % CW ],"")/100*Table1[[#This Row],[Std Nom]]),"")</f>
        <v/>
      </c>
      <c r="Q363" s="1" t="e">
        <f>Table1[[#This Row],[High Tol]]-Table1[[#This Row],[Low Tol]]</f>
        <v>#VALUE!</v>
      </c>
      <c r="R363" s="1">
        <f>2*Table1[[#This Row],[Std Error]]</f>
        <v>0</v>
      </c>
      <c r="S363" s="1" t="str">
        <f>IF(Table1[[#This Row],[High Tol]]="","N/A",IFERROR(ABS(Table1[[#This Row],[Tol Span]]/Table1[[#This Row],[Error Span]]),"N/A"))</f>
        <v>N/A</v>
      </c>
      <c r="T363" s="1" t="str">
        <f>IF(OR(Table1[[#This Row],[Low Tol]]="",Table1[[#This Row],[High Tol]]=""),"Needs Analysis",IF(Table1[[#This Row],[Ratio]]&gt;=4,"Not Significant",IF(Table1[[#This Row],[Ratio]]&gt;=2,"Semi-Significant","Significant")))</f>
        <v>Needs Analysis</v>
      </c>
      <c r="W363" s="1">
        <f>IF(Table1[[#This Row],[Cal Type]]&lt;&gt;"ACCREDITED 17025 WITH UNCERTAINTIES",0,"")</f>
        <v>0</v>
      </c>
      <c r="X363" s="1" t="str">
        <f>IF(Table1[[#This Row],[DUT Read]]="","N/A",Table1[[#This Row],[Std Error]]+Table1[[#This Row],[DUT Read]]+Table1[[#This Row],[DUT Ucty]])</f>
        <v>N/A</v>
      </c>
      <c r="Y363" s="1" t="str">
        <f>IF(Table1[[#This Row],[Std Read]]="","N/A",Table1[[#This Row],[Std Read]]+Table1[[#This Row],[Std Ucty]])</f>
        <v>N/A</v>
      </c>
      <c r="Z3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3" s="1" t="str">
        <f>IF(Table1[[#This Row],[Spec Type]]="","N/A",Table1[[#This Row],[Spec Type]])</f>
        <v>±</v>
      </c>
      <c r="AC363" s="1" t="str">
        <f>IF(Table1[[#This Row],[Spec Type2]]="N/A","N/A",IF(AND(Table1[[#This Row],[DUT Adj Read]]&gt;=Table1[[#This Row],[Low Tol]],Table1[[#This Row],[DUT Adj Read]]&lt;=Table1[[#This Row],[High Tol]]),"Pass","Fail"))</f>
        <v>Fail</v>
      </c>
      <c r="AD363" s="1" t="str">
        <f>IF(AND(Table1[[#This Row],[Spec Type2]]="N/A",Table1[[#This Row],[DUT Adj Read]]="N/A",Table1[[#This Row],[Std Adj Read]]="N/A"),"N/A",IF(Table1[[#This Row],[DUT Adj Read]]="N/A",IF(Table1[[#This Row],[Std Adj Read]]&gt;Table1[[#This Row],[Low Tol]],"Pass","Fail"),IF(Table1[[#This Row],[DUT Adj Read]]&gt;Table1[[#This Row],[Low Tol]],"Pass","Fail")))</f>
        <v>Pass</v>
      </c>
      <c r="AE363" s="1" t="str">
        <f>IF(AND(Table1[[#This Row],[Spec Type2]]="N/A",Table1[[#This Row],[DUT Adj Read]]="N/A",Table1[[#This Row],[Std Adj Read]]="N/A"),"N/A",IF(Table1[[#This Row],[DUT Adj Read]]="N/A",IF(Table1[[#This Row],[Std Adj Read]]&lt;Table1[[#This Row],[High Tol]],"Pass","Fail"),IF(Table1[[#This Row],[DUT Adj Read]]&lt;Table1[[#This Row],[High Tol]],"Pass","Fail")))</f>
        <v>Fail</v>
      </c>
      <c r="AF363" s="1" t="str">
        <f>IF(AND(Table1[[#This Row],[Spec Type2]]="N/A",Table1[[#This Row],[DUT Adj Read]]="N/A",Table1[[#This Row],[Std Adj Read]]="N/A"),"N/A",IF(Table1[[#This Row],[DUT Adj Read]]="N/A",IF(Table1[[#This Row],[Std Adj Read]]&gt;=Table1[[#This Row],[Low Tol]],"Pass","Fail"),IF(Table1[[#This Row],[DUT Adj Read]]&gt;=Table1[[#This Row],[Low Tol]],"Pass","Fail")))</f>
        <v>Pass</v>
      </c>
      <c r="AG363" s="1" t="str">
        <f>IF(AND(Table1[[#This Row],[Spec Type2]]="N/A",Table1[[#This Row],[DUT Adj Read]]="N/A",Table1[[#This Row],[Std Adj Read]]="N/A"),"N/A",IF(Table1[[#This Row],[DUT Adj Read]]="N/A",IF(Table1[[#This Row],[Std Adj Read]]&lt;=Table1[[#This Row],[High Tol]],"Pass","Fail"),IF(Table1[[#This Row],[DUT Adj Read]]&lt;=Table1[[#This Row],[High Tol]],"Pass","Fail")))</f>
        <v>Fail</v>
      </c>
      <c r="AH3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3" s="1" t="b">
        <v>0</v>
      </c>
      <c r="AN363" s="1" t="b">
        <v>0</v>
      </c>
      <c r="AO363" s="1" t="b">
        <v>0</v>
      </c>
    </row>
    <row r="364" spans="1:41" x14ac:dyDescent="0.25">
      <c r="A364" s="10"/>
      <c r="B364" s="10"/>
      <c r="C364" s="10"/>
      <c r="D364" s="10"/>
      <c r="E364" s="10"/>
      <c r="F364" s="10"/>
      <c r="G364" s="10"/>
      <c r="H364" s="10"/>
      <c r="I364" s="1" t="str">
        <f t="shared" si="15"/>
        <v/>
      </c>
      <c r="J364" s="1" t="s">
        <v>35</v>
      </c>
      <c r="K364" s="1" t="str">
        <f t="shared" si="16"/>
        <v/>
      </c>
      <c r="L364" s="1" t="str">
        <f t="shared" si="17"/>
        <v/>
      </c>
      <c r="M364" s="1">
        <f>IF(OR(Table1[[#This Row],[Std Nom]]="",Table1[[#This Row],[Std Read]]=""),0,Table1[[#This Row],[Std Nom]]-Table1[[#This Row],[Std Read]])</f>
        <v>0</v>
      </c>
      <c r="N364" s="1">
        <f>IF(Calculations!$F$5="ACCREDITED 17025 WITH UNCERTAINTIES",$N$10,0)</f>
        <v>0</v>
      </c>
      <c r="O364" s="1" t="str">
        <f>IFERROR(Table1[[#This Row],[Std Nom]]-(_xlfn.XLOOKUP(Table1[[#This Row],[Manufacturer]]&amp;" "&amp;Table1[[#This Row],[Model]],Table13[MFR &amp; MDL],Table13[Tolerance % CW ],"")/100*Table1[[#This Row],[Std Nom]]),"")</f>
        <v/>
      </c>
      <c r="P364" s="1" t="str">
        <f>IFERROR(Table1[[#This Row],[Std Nom]]+(_xlfn.XLOOKUP(Table1[[#This Row],[Manufacturer]]&amp;" "&amp;Table1[[#This Row],[Model]],Table13[MFR &amp; MDL],Table13[Tolerance % CW ],"")/100*Table1[[#This Row],[Std Nom]]),"")</f>
        <v/>
      </c>
      <c r="Q364" s="1" t="e">
        <f>Table1[[#This Row],[High Tol]]-Table1[[#This Row],[Low Tol]]</f>
        <v>#VALUE!</v>
      </c>
      <c r="R364" s="1">
        <f>2*Table1[[#This Row],[Std Error]]</f>
        <v>0</v>
      </c>
      <c r="S364" s="1" t="str">
        <f>IF(Table1[[#This Row],[High Tol]]="","N/A",IFERROR(ABS(Table1[[#This Row],[Tol Span]]/Table1[[#This Row],[Error Span]]),"N/A"))</f>
        <v>N/A</v>
      </c>
      <c r="T364" s="1" t="str">
        <f>IF(OR(Table1[[#This Row],[Low Tol]]="",Table1[[#This Row],[High Tol]]=""),"Needs Analysis",IF(Table1[[#This Row],[Ratio]]&gt;=4,"Not Significant",IF(Table1[[#This Row],[Ratio]]&gt;=2,"Semi-Significant","Significant")))</f>
        <v>Needs Analysis</v>
      </c>
      <c r="W364" s="1">
        <f>IF(Table1[[#This Row],[Cal Type]]&lt;&gt;"ACCREDITED 17025 WITH UNCERTAINTIES",0,"")</f>
        <v>0</v>
      </c>
      <c r="X364" s="1" t="str">
        <f>IF(Table1[[#This Row],[DUT Read]]="","N/A",Table1[[#This Row],[Std Error]]+Table1[[#This Row],[DUT Read]]+Table1[[#This Row],[DUT Ucty]])</f>
        <v>N/A</v>
      </c>
      <c r="Y364" s="1" t="str">
        <f>IF(Table1[[#This Row],[Std Read]]="","N/A",Table1[[#This Row],[Std Read]]+Table1[[#This Row],[Std Ucty]])</f>
        <v>N/A</v>
      </c>
      <c r="Z3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4" s="1" t="str">
        <f>IF(Table1[[#This Row],[Spec Type]]="","N/A",Table1[[#This Row],[Spec Type]])</f>
        <v>±</v>
      </c>
      <c r="AC364" s="1" t="str">
        <f>IF(Table1[[#This Row],[Spec Type2]]="N/A","N/A",IF(AND(Table1[[#This Row],[DUT Adj Read]]&gt;=Table1[[#This Row],[Low Tol]],Table1[[#This Row],[DUT Adj Read]]&lt;=Table1[[#This Row],[High Tol]]),"Pass","Fail"))</f>
        <v>Fail</v>
      </c>
      <c r="AD364" s="1" t="str">
        <f>IF(AND(Table1[[#This Row],[Spec Type2]]="N/A",Table1[[#This Row],[DUT Adj Read]]="N/A",Table1[[#This Row],[Std Adj Read]]="N/A"),"N/A",IF(Table1[[#This Row],[DUT Adj Read]]="N/A",IF(Table1[[#This Row],[Std Adj Read]]&gt;Table1[[#This Row],[Low Tol]],"Pass","Fail"),IF(Table1[[#This Row],[DUT Adj Read]]&gt;Table1[[#This Row],[Low Tol]],"Pass","Fail")))</f>
        <v>Pass</v>
      </c>
      <c r="AE364" s="1" t="str">
        <f>IF(AND(Table1[[#This Row],[Spec Type2]]="N/A",Table1[[#This Row],[DUT Adj Read]]="N/A",Table1[[#This Row],[Std Adj Read]]="N/A"),"N/A",IF(Table1[[#This Row],[DUT Adj Read]]="N/A",IF(Table1[[#This Row],[Std Adj Read]]&lt;Table1[[#This Row],[High Tol]],"Pass","Fail"),IF(Table1[[#This Row],[DUT Adj Read]]&lt;Table1[[#This Row],[High Tol]],"Pass","Fail")))</f>
        <v>Fail</v>
      </c>
      <c r="AF364" s="1" t="str">
        <f>IF(AND(Table1[[#This Row],[Spec Type2]]="N/A",Table1[[#This Row],[DUT Adj Read]]="N/A",Table1[[#This Row],[Std Adj Read]]="N/A"),"N/A",IF(Table1[[#This Row],[DUT Adj Read]]="N/A",IF(Table1[[#This Row],[Std Adj Read]]&gt;=Table1[[#This Row],[Low Tol]],"Pass","Fail"),IF(Table1[[#This Row],[DUT Adj Read]]&gt;=Table1[[#This Row],[Low Tol]],"Pass","Fail")))</f>
        <v>Pass</v>
      </c>
      <c r="AG364" s="1" t="str">
        <f>IF(AND(Table1[[#This Row],[Spec Type2]]="N/A",Table1[[#This Row],[DUT Adj Read]]="N/A",Table1[[#This Row],[Std Adj Read]]="N/A"),"N/A",IF(Table1[[#This Row],[DUT Adj Read]]="N/A",IF(Table1[[#This Row],[Std Adj Read]]&lt;=Table1[[#This Row],[High Tol]],"Pass","Fail"),IF(Table1[[#This Row],[DUT Adj Read]]&lt;=Table1[[#This Row],[High Tol]],"Pass","Fail")))</f>
        <v>Fail</v>
      </c>
      <c r="AH3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4" s="1" t="b">
        <v>0</v>
      </c>
      <c r="AN364" s="1" t="b">
        <v>0</v>
      </c>
      <c r="AO364" s="1" t="b">
        <v>0</v>
      </c>
    </row>
    <row r="365" spans="1:41" x14ac:dyDescent="0.25">
      <c r="A365" s="10"/>
      <c r="B365" s="10"/>
      <c r="C365" s="10"/>
      <c r="D365" s="10"/>
      <c r="E365" s="10"/>
      <c r="F365" s="10"/>
      <c r="G365" s="10"/>
      <c r="H365" s="10"/>
      <c r="I365" s="1" t="str">
        <f t="shared" si="15"/>
        <v/>
      </c>
      <c r="J365" s="1" t="s">
        <v>35</v>
      </c>
      <c r="K365" s="1" t="str">
        <f t="shared" si="16"/>
        <v/>
      </c>
      <c r="L365" s="1" t="str">
        <f t="shared" si="17"/>
        <v/>
      </c>
      <c r="M365" s="1">
        <f>IF(OR(Table1[[#This Row],[Std Nom]]="",Table1[[#This Row],[Std Read]]=""),0,Table1[[#This Row],[Std Nom]]-Table1[[#This Row],[Std Read]])</f>
        <v>0</v>
      </c>
      <c r="N365" s="1">
        <f>IF(Calculations!$F$5="ACCREDITED 17025 WITH UNCERTAINTIES",$N$10,0)</f>
        <v>0</v>
      </c>
      <c r="O365" s="1" t="str">
        <f>IFERROR(Table1[[#This Row],[Std Nom]]-(_xlfn.XLOOKUP(Table1[[#This Row],[Manufacturer]]&amp;" "&amp;Table1[[#This Row],[Model]],Table13[MFR &amp; MDL],Table13[Tolerance % CW ],"")/100*Table1[[#This Row],[Std Nom]]),"")</f>
        <v/>
      </c>
      <c r="P365" s="1" t="str">
        <f>IFERROR(Table1[[#This Row],[Std Nom]]+(_xlfn.XLOOKUP(Table1[[#This Row],[Manufacturer]]&amp;" "&amp;Table1[[#This Row],[Model]],Table13[MFR &amp; MDL],Table13[Tolerance % CW ],"")/100*Table1[[#This Row],[Std Nom]]),"")</f>
        <v/>
      </c>
      <c r="Q365" s="1" t="e">
        <f>Table1[[#This Row],[High Tol]]-Table1[[#This Row],[Low Tol]]</f>
        <v>#VALUE!</v>
      </c>
      <c r="R365" s="1">
        <f>2*Table1[[#This Row],[Std Error]]</f>
        <v>0</v>
      </c>
      <c r="S365" s="1" t="str">
        <f>IF(Table1[[#This Row],[High Tol]]="","N/A",IFERROR(ABS(Table1[[#This Row],[Tol Span]]/Table1[[#This Row],[Error Span]]),"N/A"))</f>
        <v>N/A</v>
      </c>
      <c r="T365" s="1" t="str">
        <f>IF(OR(Table1[[#This Row],[Low Tol]]="",Table1[[#This Row],[High Tol]]=""),"Needs Analysis",IF(Table1[[#This Row],[Ratio]]&gt;=4,"Not Significant",IF(Table1[[#This Row],[Ratio]]&gt;=2,"Semi-Significant","Significant")))</f>
        <v>Needs Analysis</v>
      </c>
      <c r="W365" s="1">
        <f>IF(Table1[[#This Row],[Cal Type]]&lt;&gt;"ACCREDITED 17025 WITH UNCERTAINTIES",0,"")</f>
        <v>0</v>
      </c>
      <c r="X365" s="1" t="str">
        <f>IF(Table1[[#This Row],[DUT Read]]="","N/A",Table1[[#This Row],[Std Error]]+Table1[[#This Row],[DUT Read]]+Table1[[#This Row],[DUT Ucty]])</f>
        <v>N/A</v>
      </c>
      <c r="Y365" s="1" t="str">
        <f>IF(Table1[[#This Row],[Std Read]]="","N/A",Table1[[#This Row],[Std Read]]+Table1[[#This Row],[Std Ucty]])</f>
        <v>N/A</v>
      </c>
      <c r="Z3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5" s="1" t="str">
        <f>IF(Table1[[#This Row],[Spec Type]]="","N/A",Table1[[#This Row],[Spec Type]])</f>
        <v>±</v>
      </c>
      <c r="AC365" s="1" t="str">
        <f>IF(Table1[[#This Row],[Spec Type2]]="N/A","N/A",IF(AND(Table1[[#This Row],[DUT Adj Read]]&gt;=Table1[[#This Row],[Low Tol]],Table1[[#This Row],[DUT Adj Read]]&lt;=Table1[[#This Row],[High Tol]]),"Pass","Fail"))</f>
        <v>Fail</v>
      </c>
      <c r="AD365" s="1" t="str">
        <f>IF(AND(Table1[[#This Row],[Spec Type2]]="N/A",Table1[[#This Row],[DUT Adj Read]]="N/A",Table1[[#This Row],[Std Adj Read]]="N/A"),"N/A",IF(Table1[[#This Row],[DUT Adj Read]]="N/A",IF(Table1[[#This Row],[Std Adj Read]]&gt;Table1[[#This Row],[Low Tol]],"Pass","Fail"),IF(Table1[[#This Row],[DUT Adj Read]]&gt;Table1[[#This Row],[Low Tol]],"Pass","Fail")))</f>
        <v>Pass</v>
      </c>
      <c r="AE365" s="1" t="str">
        <f>IF(AND(Table1[[#This Row],[Spec Type2]]="N/A",Table1[[#This Row],[DUT Adj Read]]="N/A",Table1[[#This Row],[Std Adj Read]]="N/A"),"N/A",IF(Table1[[#This Row],[DUT Adj Read]]="N/A",IF(Table1[[#This Row],[Std Adj Read]]&lt;Table1[[#This Row],[High Tol]],"Pass","Fail"),IF(Table1[[#This Row],[DUT Adj Read]]&lt;Table1[[#This Row],[High Tol]],"Pass","Fail")))</f>
        <v>Fail</v>
      </c>
      <c r="AF365" s="1" t="str">
        <f>IF(AND(Table1[[#This Row],[Spec Type2]]="N/A",Table1[[#This Row],[DUT Adj Read]]="N/A",Table1[[#This Row],[Std Adj Read]]="N/A"),"N/A",IF(Table1[[#This Row],[DUT Adj Read]]="N/A",IF(Table1[[#This Row],[Std Adj Read]]&gt;=Table1[[#This Row],[Low Tol]],"Pass","Fail"),IF(Table1[[#This Row],[DUT Adj Read]]&gt;=Table1[[#This Row],[Low Tol]],"Pass","Fail")))</f>
        <v>Pass</v>
      </c>
      <c r="AG365" s="1" t="str">
        <f>IF(AND(Table1[[#This Row],[Spec Type2]]="N/A",Table1[[#This Row],[DUT Adj Read]]="N/A",Table1[[#This Row],[Std Adj Read]]="N/A"),"N/A",IF(Table1[[#This Row],[DUT Adj Read]]="N/A",IF(Table1[[#This Row],[Std Adj Read]]&lt;=Table1[[#This Row],[High Tol]],"Pass","Fail"),IF(Table1[[#This Row],[DUT Adj Read]]&lt;=Table1[[#This Row],[High Tol]],"Pass","Fail")))</f>
        <v>Fail</v>
      </c>
      <c r="AH3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5" s="1" t="b">
        <v>0</v>
      </c>
      <c r="AN365" s="1" t="b">
        <v>0</v>
      </c>
      <c r="AO365" s="1" t="b">
        <v>0</v>
      </c>
    </row>
    <row r="366" spans="1:41" x14ac:dyDescent="0.25">
      <c r="A366" s="10"/>
      <c r="B366" s="10"/>
      <c r="C366" s="10"/>
      <c r="D366" s="10"/>
      <c r="E366" s="10"/>
      <c r="F366" s="10"/>
      <c r="G366" s="10"/>
      <c r="H366" s="10"/>
      <c r="I366" s="1" t="str">
        <f t="shared" si="15"/>
        <v/>
      </c>
      <c r="J366" s="1" t="s">
        <v>35</v>
      </c>
      <c r="K366" s="1" t="str">
        <f t="shared" si="16"/>
        <v/>
      </c>
      <c r="L366" s="1" t="str">
        <f t="shared" si="17"/>
        <v/>
      </c>
      <c r="M366" s="1">
        <f>IF(OR(Table1[[#This Row],[Std Nom]]="",Table1[[#This Row],[Std Read]]=""),0,Table1[[#This Row],[Std Nom]]-Table1[[#This Row],[Std Read]])</f>
        <v>0</v>
      </c>
      <c r="N366" s="1">
        <f>IF(Calculations!$F$5="ACCREDITED 17025 WITH UNCERTAINTIES",$N$10,0)</f>
        <v>0</v>
      </c>
      <c r="O366" s="1" t="str">
        <f>IFERROR(Table1[[#This Row],[Std Nom]]-(_xlfn.XLOOKUP(Table1[[#This Row],[Manufacturer]]&amp;" "&amp;Table1[[#This Row],[Model]],Table13[MFR &amp; MDL],Table13[Tolerance % CW ],"")/100*Table1[[#This Row],[Std Nom]]),"")</f>
        <v/>
      </c>
      <c r="P366" s="1" t="str">
        <f>IFERROR(Table1[[#This Row],[Std Nom]]+(_xlfn.XLOOKUP(Table1[[#This Row],[Manufacturer]]&amp;" "&amp;Table1[[#This Row],[Model]],Table13[MFR &amp; MDL],Table13[Tolerance % CW ],"")/100*Table1[[#This Row],[Std Nom]]),"")</f>
        <v/>
      </c>
      <c r="Q366" s="1" t="e">
        <f>Table1[[#This Row],[High Tol]]-Table1[[#This Row],[Low Tol]]</f>
        <v>#VALUE!</v>
      </c>
      <c r="R366" s="1">
        <f>2*Table1[[#This Row],[Std Error]]</f>
        <v>0</v>
      </c>
      <c r="S366" s="1" t="str">
        <f>IF(Table1[[#This Row],[High Tol]]="","N/A",IFERROR(ABS(Table1[[#This Row],[Tol Span]]/Table1[[#This Row],[Error Span]]),"N/A"))</f>
        <v>N/A</v>
      </c>
      <c r="T366" s="1" t="str">
        <f>IF(OR(Table1[[#This Row],[Low Tol]]="",Table1[[#This Row],[High Tol]]=""),"Needs Analysis",IF(Table1[[#This Row],[Ratio]]&gt;=4,"Not Significant",IF(Table1[[#This Row],[Ratio]]&gt;=2,"Semi-Significant","Significant")))</f>
        <v>Needs Analysis</v>
      </c>
      <c r="W366" s="1">
        <f>IF(Table1[[#This Row],[Cal Type]]&lt;&gt;"ACCREDITED 17025 WITH UNCERTAINTIES",0,"")</f>
        <v>0</v>
      </c>
      <c r="X366" s="1" t="str">
        <f>IF(Table1[[#This Row],[DUT Read]]="","N/A",Table1[[#This Row],[Std Error]]+Table1[[#This Row],[DUT Read]]+Table1[[#This Row],[DUT Ucty]])</f>
        <v>N/A</v>
      </c>
      <c r="Y366" s="1" t="str">
        <f>IF(Table1[[#This Row],[Std Read]]="","N/A",Table1[[#This Row],[Std Read]]+Table1[[#This Row],[Std Ucty]])</f>
        <v>N/A</v>
      </c>
      <c r="Z3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6" s="1" t="str">
        <f>IF(Table1[[#This Row],[Spec Type]]="","N/A",Table1[[#This Row],[Spec Type]])</f>
        <v>±</v>
      </c>
      <c r="AC366" s="1" t="str">
        <f>IF(Table1[[#This Row],[Spec Type2]]="N/A","N/A",IF(AND(Table1[[#This Row],[DUT Adj Read]]&gt;=Table1[[#This Row],[Low Tol]],Table1[[#This Row],[DUT Adj Read]]&lt;=Table1[[#This Row],[High Tol]]),"Pass","Fail"))</f>
        <v>Fail</v>
      </c>
      <c r="AD366" s="1" t="str">
        <f>IF(AND(Table1[[#This Row],[Spec Type2]]="N/A",Table1[[#This Row],[DUT Adj Read]]="N/A",Table1[[#This Row],[Std Adj Read]]="N/A"),"N/A",IF(Table1[[#This Row],[DUT Adj Read]]="N/A",IF(Table1[[#This Row],[Std Adj Read]]&gt;Table1[[#This Row],[Low Tol]],"Pass","Fail"),IF(Table1[[#This Row],[DUT Adj Read]]&gt;Table1[[#This Row],[Low Tol]],"Pass","Fail")))</f>
        <v>Pass</v>
      </c>
      <c r="AE366" s="1" t="str">
        <f>IF(AND(Table1[[#This Row],[Spec Type2]]="N/A",Table1[[#This Row],[DUT Adj Read]]="N/A",Table1[[#This Row],[Std Adj Read]]="N/A"),"N/A",IF(Table1[[#This Row],[DUT Adj Read]]="N/A",IF(Table1[[#This Row],[Std Adj Read]]&lt;Table1[[#This Row],[High Tol]],"Pass","Fail"),IF(Table1[[#This Row],[DUT Adj Read]]&lt;Table1[[#This Row],[High Tol]],"Pass","Fail")))</f>
        <v>Fail</v>
      </c>
      <c r="AF366" s="1" t="str">
        <f>IF(AND(Table1[[#This Row],[Spec Type2]]="N/A",Table1[[#This Row],[DUT Adj Read]]="N/A",Table1[[#This Row],[Std Adj Read]]="N/A"),"N/A",IF(Table1[[#This Row],[DUT Adj Read]]="N/A",IF(Table1[[#This Row],[Std Adj Read]]&gt;=Table1[[#This Row],[Low Tol]],"Pass","Fail"),IF(Table1[[#This Row],[DUT Adj Read]]&gt;=Table1[[#This Row],[Low Tol]],"Pass","Fail")))</f>
        <v>Pass</v>
      </c>
      <c r="AG366" s="1" t="str">
        <f>IF(AND(Table1[[#This Row],[Spec Type2]]="N/A",Table1[[#This Row],[DUT Adj Read]]="N/A",Table1[[#This Row],[Std Adj Read]]="N/A"),"N/A",IF(Table1[[#This Row],[DUT Adj Read]]="N/A",IF(Table1[[#This Row],[Std Adj Read]]&lt;=Table1[[#This Row],[High Tol]],"Pass","Fail"),IF(Table1[[#This Row],[DUT Adj Read]]&lt;=Table1[[#This Row],[High Tol]],"Pass","Fail")))</f>
        <v>Fail</v>
      </c>
      <c r="AH3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6" s="1" t="b">
        <v>0</v>
      </c>
      <c r="AN366" s="1" t="b">
        <v>0</v>
      </c>
      <c r="AO366" s="1" t="b">
        <v>0</v>
      </c>
    </row>
    <row r="367" spans="1:41" x14ac:dyDescent="0.25">
      <c r="A367" s="10"/>
      <c r="B367" s="10"/>
      <c r="C367" s="10"/>
      <c r="D367" s="10"/>
      <c r="E367" s="10"/>
      <c r="F367" s="10"/>
      <c r="G367" s="10"/>
      <c r="H367" s="10"/>
      <c r="I367" s="1" t="str">
        <f t="shared" si="15"/>
        <v/>
      </c>
      <c r="J367" s="1" t="s">
        <v>35</v>
      </c>
      <c r="K367" s="1" t="str">
        <f t="shared" si="16"/>
        <v/>
      </c>
      <c r="L367" s="1" t="str">
        <f t="shared" si="17"/>
        <v/>
      </c>
      <c r="M367" s="1">
        <f>IF(OR(Table1[[#This Row],[Std Nom]]="",Table1[[#This Row],[Std Read]]=""),0,Table1[[#This Row],[Std Nom]]-Table1[[#This Row],[Std Read]])</f>
        <v>0</v>
      </c>
      <c r="N367" s="1">
        <f>IF(Calculations!$F$5="ACCREDITED 17025 WITH UNCERTAINTIES",$N$10,0)</f>
        <v>0</v>
      </c>
      <c r="O367" s="1" t="str">
        <f>IFERROR(Table1[[#This Row],[Std Nom]]-(_xlfn.XLOOKUP(Table1[[#This Row],[Manufacturer]]&amp;" "&amp;Table1[[#This Row],[Model]],Table13[MFR &amp; MDL],Table13[Tolerance % CW ],"")/100*Table1[[#This Row],[Std Nom]]),"")</f>
        <v/>
      </c>
      <c r="P367" s="1" t="str">
        <f>IFERROR(Table1[[#This Row],[Std Nom]]+(_xlfn.XLOOKUP(Table1[[#This Row],[Manufacturer]]&amp;" "&amp;Table1[[#This Row],[Model]],Table13[MFR &amp; MDL],Table13[Tolerance % CW ],"")/100*Table1[[#This Row],[Std Nom]]),"")</f>
        <v/>
      </c>
      <c r="Q367" s="1" t="e">
        <f>Table1[[#This Row],[High Tol]]-Table1[[#This Row],[Low Tol]]</f>
        <v>#VALUE!</v>
      </c>
      <c r="R367" s="1">
        <f>2*Table1[[#This Row],[Std Error]]</f>
        <v>0</v>
      </c>
      <c r="S367" s="1" t="str">
        <f>IF(Table1[[#This Row],[High Tol]]="","N/A",IFERROR(ABS(Table1[[#This Row],[Tol Span]]/Table1[[#This Row],[Error Span]]),"N/A"))</f>
        <v>N/A</v>
      </c>
      <c r="T367" s="1" t="str">
        <f>IF(OR(Table1[[#This Row],[Low Tol]]="",Table1[[#This Row],[High Tol]]=""),"Needs Analysis",IF(Table1[[#This Row],[Ratio]]&gt;=4,"Not Significant",IF(Table1[[#This Row],[Ratio]]&gt;=2,"Semi-Significant","Significant")))</f>
        <v>Needs Analysis</v>
      </c>
      <c r="W367" s="1">
        <f>IF(Table1[[#This Row],[Cal Type]]&lt;&gt;"ACCREDITED 17025 WITH UNCERTAINTIES",0,"")</f>
        <v>0</v>
      </c>
      <c r="X367" s="1" t="str">
        <f>IF(Table1[[#This Row],[DUT Read]]="","N/A",Table1[[#This Row],[Std Error]]+Table1[[#This Row],[DUT Read]]+Table1[[#This Row],[DUT Ucty]])</f>
        <v>N/A</v>
      </c>
      <c r="Y367" s="1" t="str">
        <f>IF(Table1[[#This Row],[Std Read]]="","N/A",Table1[[#This Row],[Std Read]]+Table1[[#This Row],[Std Ucty]])</f>
        <v>N/A</v>
      </c>
      <c r="Z3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7" s="1" t="str">
        <f>IF(Table1[[#This Row],[Spec Type]]="","N/A",Table1[[#This Row],[Spec Type]])</f>
        <v>±</v>
      </c>
      <c r="AC367" s="1" t="str">
        <f>IF(Table1[[#This Row],[Spec Type2]]="N/A","N/A",IF(AND(Table1[[#This Row],[DUT Adj Read]]&gt;=Table1[[#This Row],[Low Tol]],Table1[[#This Row],[DUT Adj Read]]&lt;=Table1[[#This Row],[High Tol]]),"Pass","Fail"))</f>
        <v>Fail</v>
      </c>
      <c r="AD367" s="1" t="str">
        <f>IF(AND(Table1[[#This Row],[Spec Type2]]="N/A",Table1[[#This Row],[DUT Adj Read]]="N/A",Table1[[#This Row],[Std Adj Read]]="N/A"),"N/A",IF(Table1[[#This Row],[DUT Adj Read]]="N/A",IF(Table1[[#This Row],[Std Adj Read]]&gt;Table1[[#This Row],[Low Tol]],"Pass","Fail"),IF(Table1[[#This Row],[DUT Adj Read]]&gt;Table1[[#This Row],[Low Tol]],"Pass","Fail")))</f>
        <v>Pass</v>
      </c>
      <c r="AE367" s="1" t="str">
        <f>IF(AND(Table1[[#This Row],[Spec Type2]]="N/A",Table1[[#This Row],[DUT Adj Read]]="N/A",Table1[[#This Row],[Std Adj Read]]="N/A"),"N/A",IF(Table1[[#This Row],[DUT Adj Read]]="N/A",IF(Table1[[#This Row],[Std Adj Read]]&lt;Table1[[#This Row],[High Tol]],"Pass","Fail"),IF(Table1[[#This Row],[DUT Adj Read]]&lt;Table1[[#This Row],[High Tol]],"Pass","Fail")))</f>
        <v>Fail</v>
      </c>
      <c r="AF367" s="1" t="str">
        <f>IF(AND(Table1[[#This Row],[Spec Type2]]="N/A",Table1[[#This Row],[DUT Adj Read]]="N/A",Table1[[#This Row],[Std Adj Read]]="N/A"),"N/A",IF(Table1[[#This Row],[DUT Adj Read]]="N/A",IF(Table1[[#This Row],[Std Adj Read]]&gt;=Table1[[#This Row],[Low Tol]],"Pass","Fail"),IF(Table1[[#This Row],[DUT Adj Read]]&gt;=Table1[[#This Row],[Low Tol]],"Pass","Fail")))</f>
        <v>Pass</v>
      </c>
      <c r="AG367" s="1" t="str">
        <f>IF(AND(Table1[[#This Row],[Spec Type2]]="N/A",Table1[[#This Row],[DUT Adj Read]]="N/A",Table1[[#This Row],[Std Adj Read]]="N/A"),"N/A",IF(Table1[[#This Row],[DUT Adj Read]]="N/A",IF(Table1[[#This Row],[Std Adj Read]]&lt;=Table1[[#This Row],[High Tol]],"Pass","Fail"),IF(Table1[[#This Row],[DUT Adj Read]]&lt;=Table1[[#This Row],[High Tol]],"Pass","Fail")))</f>
        <v>Fail</v>
      </c>
      <c r="AH3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7" s="1" t="b">
        <v>0</v>
      </c>
      <c r="AN367" s="1" t="b">
        <v>0</v>
      </c>
      <c r="AO367" s="1" t="b">
        <v>0</v>
      </c>
    </row>
    <row r="368" spans="1:41" x14ac:dyDescent="0.25">
      <c r="A368" s="10"/>
      <c r="B368" s="10"/>
      <c r="C368" s="10"/>
      <c r="D368" s="10"/>
      <c r="E368" s="10"/>
      <c r="F368" s="10"/>
      <c r="G368" s="10"/>
      <c r="H368" s="10"/>
      <c r="I368" s="1" t="str">
        <f t="shared" si="15"/>
        <v/>
      </c>
      <c r="J368" s="1" t="s">
        <v>35</v>
      </c>
      <c r="K368" s="1" t="str">
        <f t="shared" si="16"/>
        <v/>
      </c>
      <c r="L368" s="1" t="str">
        <f t="shared" si="17"/>
        <v/>
      </c>
      <c r="M368" s="1">
        <f>IF(OR(Table1[[#This Row],[Std Nom]]="",Table1[[#This Row],[Std Read]]=""),0,Table1[[#This Row],[Std Nom]]-Table1[[#This Row],[Std Read]])</f>
        <v>0</v>
      </c>
      <c r="N368" s="1">
        <f>IF(Calculations!$F$5="ACCREDITED 17025 WITH UNCERTAINTIES",$N$10,0)</f>
        <v>0</v>
      </c>
      <c r="O368" s="1" t="str">
        <f>IFERROR(Table1[[#This Row],[Std Nom]]-(_xlfn.XLOOKUP(Table1[[#This Row],[Manufacturer]]&amp;" "&amp;Table1[[#This Row],[Model]],Table13[MFR &amp; MDL],Table13[Tolerance % CW ],"")/100*Table1[[#This Row],[Std Nom]]),"")</f>
        <v/>
      </c>
      <c r="P368" s="1" t="str">
        <f>IFERROR(Table1[[#This Row],[Std Nom]]+(_xlfn.XLOOKUP(Table1[[#This Row],[Manufacturer]]&amp;" "&amp;Table1[[#This Row],[Model]],Table13[MFR &amp; MDL],Table13[Tolerance % CW ],"")/100*Table1[[#This Row],[Std Nom]]),"")</f>
        <v/>
      </c>
      <c r="Q368" s="1" t="e">
        <f>Table1[[#This Row],[High Tol]]-Table1[[#This Row],[Low Tol]]</f>
        <v>#VALUE!</v>
      </c>
      <c r="R368" s="1">
        <f>2*Table1[[#This Row],[Std Error]]</f>
        <v>0</v>
      </c>
      <c r="S368" s="1" t="str">
        <f>IF(Table1[[#This Row],[High Tol]]="","N/A",IFERROR(ABS(Table1[[#This Row],[Tol Span]]/Table1[[#This Row],[Error Span]]),"N/A"))</f>
        <v>N/A</v>
      </c>
      <c r="T368" s="1" t="str">
        <f>IF(OR(Table1[[#This Row],[Low Tol]]="",Table1[[#This Row],[High Tol]]=""),"Needs Analysis",IF(Table1[[#This Row],[Ratio]]&gt;=4,"Not Significant",IF(Table1[[#This Row],[Ratio]]&gt;=2,"Semi-Significant","Significant")))</f>
        <v>Needs Analysis</v>
      </c>
      <c r="W368" s="1">
        <f>IF(Table1[[#This Row],[Cal Type]]&lt;&gt;"ACCREDITED 17025 WITH UNCERTAINTIES",0,"")</f>
        <v>0</v>
      </c>
      <c r="X368" s="1" t="str">
        <f>IF(Table1[[#This Row],[DUT Read]]="","N/A",Table1[[#This Row],[Std Error]]+Table1[[#This Row],[DUT Read]]+Table1[[#This Row],[DUT Ucty]])</f>
        <v>N/A</v>
      </c>
      <c r="Y368" s="1" t="str">
        <f>IF(Table1[[#This Row],[Std Read]]="","N/A",Table1[[#This Row],[Std Read]]+Table1[[#This Row],[Std Ucty]])</f>
        <v>N/A</v>
      </c>
      <c r="Z3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8" s="1" t="str">
        <f>IF(Table1[[#This Row],[Spec Type]]="","N/A",Table1[[#This Row],[Spec Type]])</f>
        <v>±</v>
      </c>
      <c r="AC368" s="1" t="str">
        <f>IF(Table1[[#This Row],[Spec Type2]]="N/A","N/A",IF(AND(Table1[[#This Row],[DUT Adj Read]]&gt;=Table1[[#This Row],[Low Tol]],Table1[[#This Row],[DUT Adj Read]]&lt;=Table1[[#This Row],[High Tol]]),"Pass","Fail"))</f>
        <v>Fail</v>
      </c>
      <c r="AD368" s="1" t="str">
        <f>IF(AND(Table1[[#This Row],[Spec Type2]]="N/A",Table1[[#This Row],[DUT Adj Read]]="N/A",Table1[[#This Row],[Std Adj Read]]="N/A"),"N/A",IF(Table1[[#This Row],[DUT Adj Read]]="N/A",IF(Table1[[#This Row],[Std Adj Read]]&gt;Table1[[#This Row],[Low Tol]],"Pass","Fail"),IF(Table1[[#This Row],[DUT Adj Read]]&gt;Table1[[#This Row],[Low Tol]],"Pass","Fail")))</f>
        <v>Pass</v>
      </c>
      <c r="AE368" s="1" t="str">
        <f>IF(AND(Table1[[#This Row],[Spec Type2]]="N/A",Table1[[#This Row],[DUT Adj Read]]="N/A",Table1[[#This Row],[Std Adj Read]]="N/A"),"N/A",IF(Table1[[#This Row],[DUT Adj Read]]="N/A",IF(Table1[[#This Row],[Std Adj Read]]&lt;Table1[[#This Row],[High Tol]],"Pass","Fail"),IF(Table1[[#This Row],[DUT Adj Read]]&lt;Table1[[#This Row],[High Tol]],"Pass","Fail")))</f>
        <v>Fail</v>
      </c>
      <c r="AF368" s="1" t="str">
        <f>IF(AND(Table1[[#This Row],[Spec Type2]]="N/A",Table1[[#This Row],[DUT Adj Read]]="N/A",Table1[[#This Row],[Std Adj Read]]="N/A"),"N/A",IF(Table1[[#This Row],[DUT Adj Read]]="N/A",IF(Table1[[#This Row],[Std Adj Read]]&gt;=Table1[[#This Row],[Low Tol]],"Pass","Fail"),IF(Table1[[#This Row],[DUT Adj Read]]&gt;=Table1[[#This Row],[Low Tol]],"Pass","Fail")))</f>
        <v>Pass</v>
      </c>
      <c r="AG368" s="1" t="str">
        <f>IF(AND(Table1[[#This Row],[Spec Type2]]="N/A",Table1[[#This Row],[DUT Adj Read]]="N/A",Table1[[#This Row],[Std Adj Read]]="N/A"),"N/A",IF(Table1[[#This Row],[DUT Adj Read]]="N/A",IF(Table1[[#This Row],[Std Adj Read]]&lt;=Table1[[#This Row],[High Tol]],"Pass","Fail"),IF(Table1[[#This Row],[DUT Adj Read]]&lt;=Table1[[#This Row],[High Tol]],"Pass","Fail")))</f>
        <v>Fail</v>
      </c>
      <c r="AH3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8" s="1" t="b">
        <v>0</v>
      </c>
      <c r="AN368" s="1" t="b">
        <v>0</v>
      </c>
      <c r="AO368" s="1" t="b">
        <v>0</v>
      </c>
    </row>
    <row r="369" spans="1:41" x14ac:dyDescent="0.25">
      <c r="A369" s="10"/>
      <c r="B369" s="10"/>
      <c r="C369" s="10"/>
      <c r="D369" s="10"/>
      <c r="E369" s="10"/>
      <c r="F369" s="10"/>
      <c r="G369" s="10"/>
      <c r="H369" s="10"/>
      <c r="I369" s="1" t="str">
        <f t="shared" si="15"/>
        <v/>
      </c>
      <c r="J369" s="1" t="s">
        <v>35</v>
      </c>
      <c r="K369" s="1" t="str">
        <f t="shared" si="16"/>
        <v/>
      </c>
      <c r="L369" s="1" t="str">
        <f t="shared" si="17"/>
        <v/>
      </c>
      <c r="M369" s="1">
        <f>IF(OR(Table1[[#This Row],[Std Nom]]="",Table1[[#This Row],[Std Read]]=""),0,Table1[[#This Row],[Std Nom]]-Table1[[#This Row],[Std Read]])</f>
        <v>0</v>
      </c>
      <c r="N369" s="1">
        <f>IF(Calculations!$F$5="ACCREDITED 17025 WITH UNCERTAINTIES",$N$10,0)</f>
        <v>0</v>
      </c>
      <c r="O369" s="1" t="str">
        <f>IFERROR(Table1[[#This Row],[Std Nom]]-(_xlfn.XLOOKUP(Table1[[#This Row],[Manufacturer]]&amp;" "&amp;Table1[[#This Row],[Model]],Table13[MFR &amp; MDL],Table13[Tolerance % CW ],"")/100*Table1[[#This Row],[Std Nom]]),"")</f>
        <v/>
      </c>
      <c r="P369" s="1" t="str">
        <f>IFERROR(Table1[[#This Row],[Std Nom]]+(_xlfn.XLOOKUP(Table1[[#This Row],[Manufacturer]]&amp;" "&amp;Table1[[#This Row],[Model]],Table13[MFR &amp; MDL],Table13[Tolerance % CW ],"")/100*Table1[[#This Row],[Std Nom]]),"")</f>
        <v/>
      </c>
      <c r="Q369" s="1" t="e">
        <f>Table1[[#This Row],[High Tol]]-Table1[[#This Row],[Low Tol]]</f>
        <v>#VALUE!</v>
      </c>
      <c r="R369" s="1">
        <f>2*Table1[[#This Row],[Std Error]]</f>
        <v>0</v>
      </c>
      <c r="S369" s="1" t="str">
        <f>IF(Table1[[#This Row],[High Tol]]="","N/A",IFERROR(ABS(Table1[[#This Row],[Tol Span]]/Table1[[#This Row],[Error Span]]),"N/A"))</f>
        <v>N/A</v>
      </c>
      <c r="T369" s="1" t="str">
        <f>IF(OR(Table1[[#This Row],[Low Tol]]="",Table1[[#This Row],[High Tol]]=""),"Needs Analysis",IF(Table1[[#This Row],[Ratio]]&gt;=4,"Not Significant",IF(Table1[[#This Row],[Ratio]]&gt;=2,"Semi-Significant","Significant")))</f>
        <v>Needs Analysis</v>
      </c>
      <c r="W369" s="1">
        <f>IF(Table1[[#This Row],[Cal Type]]&lt;&gt;"ACCREDITED 17025 WITH UNCERTAINTIES",0,"")</f>
        <v>0</v>
      </c>
      <c r="X369" s="1" t="str">
        <f>IF(Table1[[#This Row],[DUT Read]]="","N/A",Table1[[#This Row],[Std Error]]+Table1[[#This Row],[DUT Read]]+Table1[[#This Row],[DUT Ucty]])</f>
        <v>N/A</v>
      </c>
      <c r="Y369" s="1" t="str">
        <f>IF(Table1[[#This Row],[Std Read]]="","N/A",Table1[[#This Row],[Std Read]]+Table1[[#This Row],[Std Ucty]])</f>
        <v>N/A</v>
      </c>
      <c r="Z3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9" s="1" t="str">
        <f>IF(Table1[[#This Row],[Spec Type]]="","N/A",Table1[[#This Row],[Spec Type]])</f>
        <v>±</v>
      </c>
      <c r="AC369" s="1" t="str">
        <f>IF(Table1[[#This Row],[Spec Type2]]="N/A","N/A",IF(AND(Table1[[#This Row],[DUT Adj Read]]&gt;=Table1[[#This Row],[Low Tol]],Table1[[#This Row],[DUT Adj Read]]&lt;=Table1[[#This Row],[High Tol]]),"Pass","Fail"))</f>
        <v>Fail</v>
      </c>
      <c r="AD369" s="1" t="str">
        <f>IF(AND(Table1[[#This Row],[Spec Type2]]="N/A",Table1[[#This Row],[DUT Adj Read]]="N/A",Table1[[#This Row],[Std Adj Read]]="N/A"),"N/A",IF(Table1[[#This Row],[DUT Adj Read]]="N/A",IF(Table1[[#This Row],[Std Adj Read]]&gt;Table1[[#This Row],[Low Tol]],"Pass","Fail"),IF(Table1[[#This Row],[DUT Adj Read]]&gt;Table1[[#This Row],[Low Tol]],"Pass","Fail")))</f>
        <v>Pass</v>
      </c>
      <c r="AE369" s="1" t="str">
        <f>IF(AND(Table1[[#This Row],[Spec Type2]]="N/A",Table1[[#This Row],[DUT Adj Read]]="N/A",Table1[[#This Row],[Std Adj Read]]="N/A"),"N/A",IF(Table1[[#This Row],[DUT Adj Read]]="N/A",IF(Table1[[#This Row],[Std Adj Read]]&lt;Table1[[#This Row],[High Tol]],"Pass","Fail"),IF(Table1[[#This Row],[DUT Adj Read]]&lt;Table1[[#This Row],[High Tol]],"Pass","Fail")))</f>
        <v>Fail</v>
      </c>
      <c r="AF369" s="1" t="str">
        <f>IF(AND(Table1[[#This Row],[Spec Type2]]="N/A",Table1[[#This Row],[DUT Adj Read]]="N/A",Table1[[#This Row],[Std Adj Read]]="N/A"),"N/A",IF(Table1[[#This Row],[DUT Adj Read]]="N/A",IF(Table1[[#This Row],[Std Adj Read]]&gt;=Table1[[#This Row],[Low Tol]],"Pass","Fail"),IF(Table1[[#This Row],[DUT Adj Read]]&gt;=Table1[[#This Row],[Low Tol]],"Pass","Fail")))</f>
        <v>Pass</v>
      </c>
      <c r="AG369" s="1" t="str">
        <f>IF(AND(Table1[[#This Row],[Spec Type2]]="N/A",Table1[[#This Row],[DUT Adj Read]]="N/A",Table1[[#This Row],[Std Adj Read]]="N/A"),"N/A",IF(Table1[[#This Row],[DUT Adj Read]]="N/A",IF(Table1[[#This Row],[Std Adj Read]]&lt;=Table1[[#This Row],[High Tol]],"Pass","Fail"),IF(Table1[[#This Row],[DUT Adj Read]]&lt;=Table1[[#This Row],[High Tol]],"Pass","Fail")))</f>
        <v>Fail</v>
      </c>
      <c r="AH3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9" s="1" t="b">
        <v>0</v>
      </c>
      <c r="AN369" s="1" t="b">
        <v>0</v>
      </c>
      <c r="AO369" s="1" t="b">
        <v>0</v>
      </c>
    </row>
    <row r="370" spans="1:41" x14ac:dyDescent="0.25">
      <c r="A370" s="10"/>
      <c r="B370" s="10"/>
      <c r="C370" s="10"/>
      <c r="D370" s="10"/>
      <c r="E370" s="10"/>
      <c r="F370" s="10"/>
      <c r="G370" s="10"/>
      <c r="H370" s="10"/>
      <c r="I370" s="1" t="str">
        <f t="shared" si="15"/>
        <v/>
      </c>
      <c r="J370" s="1" t="s">
        <v>35</v>
      </c>
      <c r="K370" s="1" t="str">
        <f t="shared" si="16"/>
        <v/>
      </c>
      <c r="L370" s="1" t="str">
        <f t="shared" si="17"/>
        <v/>
      </c>
      <c r="M370" s="1">
        <f>IF(OR(Table1[[#This Row],[Std Nom]]="",Table1[[#This Row],[Std Read]]=""),0,Table1[[#This Row],[Std Nom]]-Table1[[#This Row],[Std Read]])</f>
        <v>0</v>
      </c>
      <c r="N370" s="1">
        <f>IF(Calculations!$F$5="ACCREDITED 17025 WITH UNCERTAINTIES",$N$10,0)</f>
        <v>0</v>
      </c>
      <c r="O370" s="1" t="str">
        <f>IFERROR(Table1[[#This Row],[Std Nom]]-(_xlfn.XLOOKUP(Table1[[#This Row],[Manufacturer]]&amp;" "&amp;Table1[[#This Row],[Model]],Table13[MFR &amp; MDL],Table13[Tolerance % CW ],"")/100*Table1[[#This Row],[Std Nom]]),"")</f>
        <v/>
      </c>
      <c r="P370" s="1" t="str">
        <f>IFERROR(Table1[[#This Row],[Std Nom]]+(_xlfn.XLOOKUP(Table1[[#This Row],[Manufacturer]]&amp;" "&amp;Table1[[#This Row],[Model]],Table13[MFR &amp; MDL],Table13[Tolerance % CW ],"")/100*Table1[[#This Row],[Std Nom]]),"")</f>
        <v/>
      </c>
      <c r="Q370" s="1" t="e">
        <f>Table1[[#This Row],[High Tol]]-Table1[[#This Row],[Low Tol]]</f>
        <v>#VALUE!</v>
      </c>
      <c r="R370" s="1">
        <f>2*Table1[[#This Row],[Std Error]]</f>
        <v>0</v>
      </c>
      <c r="S370" s="1" t="str">
        <f>IF(Table1[[#This Row],[High Tol]]="","N/A",IFERROR(ABS(Table1[[#This Row],[Tol Span]]/Table1[[#This Row],[Error Span]]),"N/A"))</f>
        <v>N/A</v>
      </c>
      <c r="T370" s="1" t="str">
        <f>IF(OR(Table1[[#This Row],[Low Tol]]="",Table1[[#This Row],[High Tol]]=""),"Needs Analysis",IF(Table1[[#This Row],[Ratio]]&gt;=4,"Not Significant",IF(Table1[[#This Row],[Ratio]]&gt;=2,"Semi-Significant","Significant")))</f>
        <v>Needs Analysis</v>
      </c>
      <c r="W370" s="1">
        <f>IF(Table1[[#This Row],[Cal Type]]&lt;&gt;"ACCREDITED 17025 WITH UNCERTAINTIES",0,"")</f>
        <v>0</v>
      </c>
      <c r="X370" s="1" t="str">
        <f>IF(Table1[[#This Row],[DUT Read]]="","N/A",Table1[[#This Row],[Std Error]]+Table1[[#This Row],[DUT Read]]+Table1[[#This Row],[DUT Ucty]])</f>
        <v>N/A</v>
      </c>
      <c r="Y370" s="1" t="str">
        <f>IF(Table1[[#This Row],[Std Read]]="","N/A",Table1[[#This Row],[Std Read]]+Table1[[#This Row],[Std Ucty]])</f>
        <v>N/A</v>
      </c>
      <c r="Z3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0" s="1" t="str">
        <f>IF(Table1[[#This Row],[Spec Type]]="","N/A",Table1[[#This Row],[Spec Type]])</f>
        <v>±</v>
      </c>
      <c r="AC370" s="1" t="str">
        <f>IF(Table1[[#This Row],[Spec Type2]]="N/A","N/A",IF(AND(Table1[[#This Row],[DUT Adj Read]]&gt;=Table1[[#This Row],[Low Tol]],Table1[[#This Row],[DUT Adj Read]]&lt;=Table1[[#This Row],[High Tol]]),"Pass","Fail"))</f>
        <v>Fail</v>
      </c>
      <c r="AD370" s="1" t="str">
        <f>IF(AND(Table1[[#This Row],[Spec Type2]]="N/A",Table1[[#This Row],[DUT Adj Read]]="N/A",Table1[[#This Row],[Std Adj Read]]="N/A"),"N/A",IF(Table1[[#This Row],[DUT Adj Read]]="N/A",IF(Table1[[#This Row],[Std Adj Read]]&gt;Table1[[#This Row],[Low Tol]],"Pass","Fail"),IF(Table1[[#This Row],[DUT Adj Read]]&gt;Table1[[#This Row],[Low Tol]],"Pass","Fail")))</f>
        <v>Pass</v>
      </c>
      <c r="AE370" s="1" t="str">
        <f>IF(AND(Table1[[#This Row],[Spec Type2]]="N/A",Table1[[#This Row],[DUT Adj Read]]="N/A",Table1[[#This Row],[Std Adj Read]]="N/A"),"N/A",IF(Table1[[#This Row],[DUT Adj Read]]="N/A",IF(Table1[[#This Row],[Std Adj Read]]&lt;Table1[[#This Row],[High Tol]],"Pass","Fail"),IF(Table1[[#This Row],[DUT Adj Read]]&lt;Table1[[#This Row],[High Tol]],"Pass","Fail")))</f>
        <v>Fail</v>
      </c>
      <c r="AF370" s="1" t="str">
        <f>IF(AND(Table1[[#This Row],[Spec Type2]]="N/A",Table1[[#This Row],[DUT Adj Read]]="N/A",Table1[[#This Row],[Std Adj Read]]="N/A"),"N/A",IF(Table1[[#This Row],[DUT Adj Read]]="N/A",IF(Table1[[#This Row],[Std Adj Read]]&gt;=Table1[[#This Row],[Low Tol]],"Pass","Fail"),IF(Table1[[#This Row],[DUT Adj Read]]&gt;=Table1[[#This Row],[Low Tol]],"Pass","Fail")))</f>
        <v>Pass</v>
      </c>
      <c r="AG370" s="1" t="str">
        <f>IF(AND(Table1[[#This Row],[Spec Type2]]="N/A",Table1[[#This Row],[DUT Adj Read]]="N/A",Table1[[#This Row],[Std Adj Read]]="N/A"),"N/A",IF(Table1[[#This Row],[DUT Adj Read]]="N/A",IF(Table1[[#This Row],[Std Adj Read]]&lt;=Table1[[#This Row],[High Tol]],"Pass","Fail"),IF(Table1[[#This Row],[DUT Adj Read]]&lt;=Table1[[#This Row],[High Tol]],"Pass","Fail")))</f>
        <v>Fail</v>
      </c>
      <c r="AH3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0" s="1" t="b">
        <v>0</v>
      </c>
      <c r="AN370" s="1" t="b">
        <v>0</v>
      </c>
      <c r="AO370" s="1" t="b">
        <v>0</v>
      </c>
    </row>
    <row r="371" spans="1:41" x14ac:dyDescent="0.25">
      <c r="A371" s="10"/>
      <c r="B371" s="10"/>
      <c r="C371" s="10"/>
      <c r="D371" s="10"/>
      <c r="E371" s="10"/>
      <c r="F371" s="10"/>
      <c r="G371" s="10"/>
      <c r="H371" s="10"/>
      <c r="I371" s="1" t="str">
        <f t="shared" si="15"/>
        <v/>
      </c>
      <c r="J371" s="1" t="s">
        <v>35</v>
      </c>
      <c r="K371" s="1" t="str">
        <f t="shared" si="16"/>
        <v/>
      </c>
      <c r="L371" s="1" t="str">
        <f t="shared" si="17"/>
        <v/>
      </c>
      <c r="M371" s="1">
        <f>IF(OR(Table1[[#This Row],[Std Nom]]="",Table1[[#This Row],[Std Read]]=""),0,Table1[[#This Row],[Std Nom]]-Table1[[#This Row],[Std Read]])</f>
        <v>0</v>
      </c>
      <c r="N371" s="1">
        <f>IF(Calculations!$F$5="ACCREDITED 17025 WITH UNCERTAINTIES",$N$10,0)</f>
        <v>0</v>
      </c>
      <c r="O371" s="1" t="str">
        <f>IFERROR(Table1[[#This Row],[Std Nom]]-(_xlfn.XLOOKUP(Table1[[#This Row],[Manufacturer]]&amp;" "&amp;Table1[[#This Row],[Model]],Table13[MFR &amp; MDL],Table13[Tolerance % CW ],"")/100*Table1[[#This Row],[Std Nom]]),"")</f>
        <v/>
      </c>
      <c r="P371" s="1" t="str">
        <f>IFERROR(Table1[[#This Row],[Std Nom]]+(_xlfn.XLOOKUP(Table1[[#This Row],[Manufacturer]]&amp;" "&amp;Table1[[#This Row],[Model]],Table13[MFR &amp; MDL],Table13[Tolerance % CW ],"")/100*Table1[[#This Row],[Std Nom]]),"")</f>
        <v/>
      </c>
      <c r="Q371" s="1" t="e">
        <f>Table1[[#This Row],[High Tol]]-Table1[[#This Row],[Low Tol]]</f>
        <v>#VALUE!</v>
      </c>
      <c r="R371" s="1">
        <f>2*Table1[[#This Row],[Std Error]]</f>
        <v>0</v>
      </c>
      <c r="S371" s="1" t="str">
        <f>IF(Table1[[#This Row],[High Tol]]="","N/A",IFERROR(ABS(Table1[[#This Row],[Tol Span]]/Table1[[#This Row],[Error Span]]),"N/A"))</f>
        <v>N/A</v>
      </c>
      <c r="T371" s="1" t="str">
        <f>IF(OR(Table1[[#This Row],[Low Tol]]="",Table1[[#This Row],[High Tol]]=""),"Needs Analysis",IF(Table1[[#This Row],[Ratio]]&gt;=4,"Not Significant",IF(Table1[[#This Row],[Ratio]]&gt;=2,"Semi-Significant","Significant")))</f>
        <v>Needs Analysis</v>
      </c>
      <c r="W371" s="1">
        <f>IF(Table1[[#This Row],[Cal Type]]&lt;&gt;"ACCREDITED 17025 WITH UNCERTAINTIES",0,"")</f>
        <v>0</v>
      </c>
      <c r="X371" s="1" t="str">
        <f>IF(Table1[[#This Row],[DUT Read]]="","N/A",Table1[[#This Row],[Std Error]]+Table1[[#This Row],[DUT Read]]+Table1[[#This Row],[DUT Ucty]])</f>
        <v>N/A</v>
      </c>
      <c r="Y371" s="1" t="str">
        <f>IF(Table1[[#This Row],[Std Read]]="","N/A",Table1[[#This Row],[Std Read]]+Table1[[#This Row],[Std Ucty]])</f>
        <v>N/A</v>
      </c>
      <c r="Z3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1" s="1" t="str">
        <f>IF(Table1[[#This Row],[Spec Type]]="","N/A",Table1[[#This Row],[Spec Type]])</f>
        <v>±</v>
      </c>
      <c r="AC371" s="1" t="str">
        <f>IF(Table1[[#This Row],[Spec Type2]]="N/A","N/A",IF(AND(Table1[[#This Row],[DUT Adj Read]]&gt;=Table1[[#This Row],[Low Tol]],Table1[[#This Row],[DUT Adj Read]]&lt;=Table1[[#This Row],[High Tol]]),"Pass","Fail"))</f>
        <v>Fail</v>
      </c>
      <c r="AD371" s="1" t="str">
        <f>IF(AND(Table1[[#This Row],[Spec Type2]]="N/A",Table1[[#This Row],[DUT Adj Read]]="N/A",Table1[[#This Row],[Std Adj Read]]="N/A"),"N/A",IF(Table1[[#This Row],[DUT Adj Read]]="N/A",IF(Table1[[#This Row],[Std Adj Read]]&gt;Table1[[#This Row],[Low Tol]],"Pass","Fail"),IF(Table1[[#This Row],[DUT Adj Read]]&gt;Table1[[#This Row],[Low Tol]],"Pass","Fail")))</f>
        <v>Pass</v>
      </c>
      <c r="AE371" s="1" t="str">
        <f>IF(AND(Table1[[#This Row],[Spec Type2]]="N/A",Table1[[#This Row],[DUT Adj Read]]="N/A",Table1[[#This Row],[Std Adj Read]]="N/A"),"N/A",IF(Table1[[#This Row],[DUT Adj Read]]="N/A",IF(Table1[[#This Row],[Std Adj Read]]&lt;Table1[[#This Row],[High Tol]],"Pass","Fail"),IF(Table1[[#This Row],[DUT Adj Read]]&lt;Table1[[#This Row],[High Tol]],"Pass","Fail")))</f>
        <v>Fail</v>
      </c>
      <c r="AF371" s="1" t="str">
        <f>IF(AND(Table1[[#This Row],[Spec Type2]]="N/A",Table1[[#This Row],[DUT Adj Read]]="N/A",Table1[[#This Row],[Std Adj Read]]="N/A"),"N/A",IF(Table1[[#This Row],[DUT Adj Read]]="N/A",IF(Table1[[#This Row],[Std Adj Read]]&gt;=Table1[[#This Row],[Low Tol]],"Pass","Fail"),IF(Table1[[#This Row],[DUT Adj Read]]&gt;=Table1[[#This Row],[Low Tol]],"Pass","Fail")))</f>
        <v>Pass</v>
      </c>
      <c r="AG371" s="1" t="str">
        <f>IF(AND(Table1[[#This Row],[Spec Type2]]="N/A",Table1[[#This Row],[DUT Adj Read]]="N/A",Table1[[#This Row],[Std Adj Read]]="N/A"),"N/A",IF(Table1[[#This Row],[DUT Adj Read]]="N/A",IF(Table1[[#This Row],[Std Adj Read]]&lt;=Table1[[#This Row],[High Tol]],"Pass","Fail"),IF(Table1[[#This Row],[DUT Adj Read]]&lt;=Table1[[#This Row],[High Tol]],"Pass","Fail")))</f>
        <v>Fail</v>
      </c>
      <c r="AH3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1" s="1" t="b">
        <v>0</v>
      </c>
      <c r="AN371" s="1" t="b">
        <v>0</v>
      </c>
      <c r="AO371" s="1" t="b">
        <v>0</v>
      </c>
    </row>
    <row r="372" spans="1:41" x14ac:dyDescent="0.25">
      <c r="A372" s="10"/>
      <c r="B372" s="10"/>
      <c r="C372" s="10"/>
      <c r="D372" s="10"/>
      <c r="E372" s="10"/>
      <c r="F372" s="10"/>
      <c r="G372" s="10"/>
      <c r="H372" s="10"/>
      <c r="I372" s="1" t="str">
        <f t="shared" si="15"/>
        <v/>
      </c>
      <c r="J372" s="1" t="s">
        <v>35</v>
      </c>
      <c r="K372" s="1" t="str">
        <f t="shared" si="16"/>
        <v/>
      </c>
      <c r="L372" s="1" t="str">
        <f t="shared" si="17"/>
        <v/>
      </c>
      <c r="M372" s="1">
        <f>IF(OR(Table1[[#This Row],[Std Nom]]="",Table1[[#This Row],[Std Read]]=""),0,Table1[[#This Row],[Std Nom]]-Table1[[#This Row],[Std Read]])</f>
        <v>0</v>
      </c>
      <c r="N372" s="1">
        <f>IF(Calculations!$F$5="ACCREDITED 17025 WITH UNCERTAINTIES",$N$10,0)</f>
        <v>0</v>
      </c>
      <c r="O372" s="1" t="str">
        <f>IFERROR(Table1[[#This Row],[Std Nom]]-(_xlfn.XLOOKUP(Table1[[#This Row],[Manufacturer]]&amp;" "&amp;Table1[[#This Row],[Model]],Table13[MFR &amp; MDL],Table13[Tolerance % CW ],"")/100*Table1[[#This Row],[Std Nom]]),"")</f>
        <v/>
      </c>
      <c r="P372" s="1" t="str">
        <f>IFERROR(Table1[[#This Row],[Std Nom]]+(_xlfn.XLOOKUP(Table1[[#This Row],[Manufacturer]]&amp;" "&amp;Table1[[#This Row],[Model]],Table13[MFR &amp; MDL],Table13[Tolerance % CW ],"")/100*Table1[[#This Row],[Std Nom]]),"")</f>
        <v/>
      </c>
      <c r="Q372" s="1" t="e">
        <f>Table1[[#This Row],[High Tol]]-Table1[[#This Row],[Low Tol]]</f>
        <v>#VALUE!</v>
      </c>
      <c r="R372" s="1">
        <f>2*Table1[[#This Row],[Std Error]]</f>
        <v>0</v>
      </c>
      <c r="S372" s="1" t="str">
        <f>IF(Table1[[#This Row],[High Tol]]="","N/A",IFERROR(ABS(Table1[[#This Row],[Tol Span]]/Table1[[#This Row],[Error Span]]),"N/A"))</f>
        <v>N/A</v>
      </c>
      <c r="T372" s="1" t="str">
        <f>IF(OR(Table1[[#This Row],[Low Tol]]="",Table1[[#This Row],[High Tol]]=""),"Needs Analysis",IF(Table1[[#This Row],[Ratio]]&gt;=4,"Not Significant",IF(Table1[[#This Row],[Ratio]]&gt;=2,"Semi-Significant","Significant")))</f>
        <v>Needs Analysis</v>
      </c>
      <c r="W372" s="1">
        <f>IF(Table1[[#This Row],[Cal Type]]&lt;&gt;"ACCREDITED 17025 WITH UNCERTAINTIES",0,"")</f>
        <v>0</v>
      </c>
      <c r="X372" s="1" t="str">
        <f>IF(Table1[[#This Row],[DUT Read]]="","N/A",Table1[[#This Row],[Std Error]]+Table1[[#This Row],[DUT Read]]+Table1[[#This Row],[DUT Ucty]])</f>
        <v>N/A</v>
      </c>
      <c r="Y372" s="1" t="str">
        <f>IF(Table1[[#This Row],[Std Read]]="","N/A",Table1[[#This Row],[Std Read]]+Table1[[#This Row],[Std Ucty]])</f>
        <v>N/A</v>
      </c>
      <c r="Z3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2" s="1" t="str">
        <f>IF(Table1[[#This Row],[Spec Type]]="","N/A",Table1[[#This Row],[Spec Type]])</f>
        <v>±</v>
      </c>
      <c r="AC372" s="1" t="str">
        <f>IF(Table1[[#This Row],[Spec Type2]]="N/A","N/A",IF(AND(Table1[[#This Row],[DUT Adj Read]]&gt;=Table1[[#This Row],[Low Tol]],Table1[[#This Row],[DUT Adj Read]]&lt;=Table1[[#This Row],[High Tol]]),"Pass","Fail"))</f>
        <v>Fail</v>
      </c>
      <c r="AD372" s="1" t="str">
        <f>IF(AND(Table1[[#This Row],[Spec Type2]]="N/A",Table1[[#This Row],[DUT Adj Read]]="N/A",Table1[[#This Row],[Std Adj Read]]="N/A"),"N/A",IF(Table1[[#This Row],[DUT Adj Read]]="N/A",IF(Table1[[#This Row],[Std Adj Read]]&gt;Table1[[#This Row],[Low Tol]],"Pass","Fail"),IF(Table1[[#This Row],[DUT Adj Read]]&gt;Table1[[#This Row],[Low Tol]],"Pass","Fail")))</f>
        <v>Pass</v>
      </c>
      <c r="AE372" s="1" t="str">
        <f>IF(AND(Table1[[#This Row],[Spec Type2]]="N/A",Table1[[#This Row],[DUT Adj Read]]="N/A",Table1[[#This Row],[Std Adj Read]]="N/A"),"N/A",IF(Table1[[#This Row],[DUT Adj Read]]="N/A",IF(Table1[[#This Row],[Std Adj Read]]&lt;Table1[[#This Row],[High Tol]],"Pass","Fail"),IF(Table1[[#This Row],[DUT Adj Read]]&lt;Table1[[#This Row],[High Tol]],"Pass","Fail")))</f>
        <v>Fail</v>
      </c>
      <c r="AF372" s="1" t="str">
        <f>IF(AND(Table1[[#This Row],[Spec Type2]]="N/A",Table1[[#This Row],[DUT Adj Read]]="N/A",Table1[[#This Row],[Std Adj Read]]="N/A"),"N/A",IF(Table1[[#This Row],[DUT Adj Read]]="N/A",IF(Table1[[#This Row],[Std Adj Read]]&gt;=Table1[[#This Row],[Low Tol]],"Pass","Fail"),IF(Table1[[#This Row],[DUT Adj Read]]&gt;=Table1[[#This Row],[Low Tol]],"Pass","Fail")))</f>
        <v>Pass</v>
      </c>
      <c r="AG372" s="1" t="str">
        <f>IF(AND(Table1[[#This Row],[Spec Type2]]="N/A",Table1[[#This Row],[DUT Adj Read]]="N/A",Table1[[#This Row],[Std Adj Read]]="N/A"),"N/A",IF(Table1[[#This Row],[DUT Adj Read]]="N/A",IF(Table1[[#This Row],[Std Adj Read]]&lt;=Table1[[#This Row],[High Tol]],"Pass","Fail"),IF(Table1[[#This Row],[DUT Adj Read]]&lt;=Table1[[#This Row],[High Tol]],"Pass","Fail")))</f>
        <v>Fail</v>
      </c>
      <c r="AH3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2" s="1" t="b">
        <v>0</v>
      </c>
      <c r="AN372" s="1" t="b">
        <v>0</v>
      </c>
      <c r="AO372" s="1" t="b">
        <v>0</v>
      </c>
    </row>
    <row r="373" spans="1:41" x14ac:dyDescent="0.25">
      <c r="A373" s="10"/>
      <c r="B373" s="10"/>
      <c r="C373" s="10"/>
      <c r="D373" s="10"/>
      <c r="E373" s="10"/>
      <c r="F373" s="10"/>
      <c r="G373" s="10"/>
      <c r="H373" s="10"/>
      <c r="I373" s="1" t="str">
        <f t="shared" si="15"/>
        <v/>
      </c>
      <c r="J373" s="1" t="s">
        <v>35</v>
      </c>
      <c r="K373" s="1" t="str">
        <f t="shared" si="16"/>
        <v/>
      </c>
      <c r="L373" s="1" t="str">
        <f t="shared" si="17"/>
        <v/>
      </c>
      <c r="M373" s="1">
        <f>IF(OR(Table1[[#This Row],[Std Nom]]="",Table1[[#This Row],[Std Read]]=""),0,Table1[[#This Row],[Std Nom]]-Table1[[#This Row],[Std Read]])</f>
        <v>0</v>
      </c>
      <c r="N373" s="1">
        <f>IF(Calculations!$F$5="ACCREDITED 17025 WITH UNCERTAINTIES",$N$10,0)</f>
        <v>0</v>
      </c>
      <c r="O373" s="1" t="str">
        <f>IFERROR(Table1[[#This Row],[Std Nom]]-(_xlfn.XLOOKUP(Table1[[#This Row],[Manufacturer]]&amp;" "&amp;Table1[[#This Row],[Model]],Table13[MFR &amp; MDL],Table13[Tolerance % CW ],"")/100*Table1[[#This Row],[Std Nom]]),"")</f>
        <v/>
      </c>
      <c r="P373" s="1" t="str">
        <f>IFERROR(Table1[[#This Row],[Std Nom]]+(_xlfn.XLOOKUP(Table1[[#This Row],[Manufacturer]]&amp;" "&amp;Table1[[#This Row],[Model]],Table13[MFR &amp; MDL],Table13[Tolerance % CW ],"")/100*Table1[[#This Row],[Std Nom]]),"")</f>
        <v/>
      </c>
      <c r="Q373" s="1" t="e">
        <f>Table1[[#This Row],[High Tol]]-Table1[[#This Row],[Low Tol]]</f>
        <v>#VALUE!</v>
      </c>
      <c r="R373" s="1">
        <f>2*Table1[[#This Row],[Std Error]]</f>
        <v>0</v>
      </c>
      <c r="S373" s="1" t="str">
        <f>IF(Table1[[#This Row],[High Tol]]="","N/A",IFERROR(ABS(Table1[[#This Row],[Tol Span]]/Table1[[#This Row],[Error Span]]),"N/A"))</f>
        <v>N/A</v>
      </c>
      <c r="T373" s="1" t="str">
        <f>IF(OR(Table1[[#This Row],[Low Tol]]="",Table1[[#This Row],[High Tol]]=""),"Needs Analysis",IF(Table1[[#This Row],[Ratio]]&gt;=4,"Not Significant",IF(Table1[[#This Row],[Ratio]]&gt;=2,"Semi-Significant","Significant")))</f>
        <v>Needs Analysis</v>
      </c>
      <c r="W373" s="1">
        <f>IF(Table1[[#This Row],[Cal Type]]&lt;&gt;"ACCREDITED 17025 WITH UNCERTAINTIES",0,"")</f>
        <v>0</v>
      </c>
      <c r="X373" s="1" t="str">
        <f>IF(Table1[[#This Row],[DUT Read]]="","N/A",Table1[[#This Row],[Std Error]]+Table1[[#This Row],[DUT Read]]+Table1[[#This Row],[DUT Ucty]])</f>
        <v>N/A</v>
      </c>
      <c r="Y373" s="1" t="str">
        <f>IF(Table1[[#This Row],[Std Read]]="","N/A",Table1[[#This Row],[Std Read]]+Table1[[#This Row],[Std Ucty]])</f>
        <v>N/A</v>
      </c>
      <c r="Z3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3" s="1" t="str">
        <f>IF(Table1[[#This Row],[Spec Type]]="","N/A",Table1[[#This Row],[Spec Type]])</f>
        <v>±</v>
      </c>
      <c r="AC373" s="1" t="str">
        <f>IF(Table1[[#This Row],[Spec Type2]]="N/A","N/A",IF(AND(Table1[[#This Row],[DUT Adj Read]]&gt;=Table1[[#This Row],[Low Tol]],Table1[[#This Row],[DUT Adj Read]]&lt;=Table1[[#This Row],[High Tol]]),"Pass","Fail"))</f>
        <v>Fail</v>
      </c>
      <c r="AD373" s="1" t="str">
        <f>IF(AND(Table1[[#This Row],[Spec Type2]]="N/A",Table1[[#This Row],[DUT Adj Read]]="N/A",Table1[[#This Row],[Std Adj Read]]="N/A"),"N/A",IF(Table1[[#This Row],[DUT Adj Read]]="N/A",IF(Table1[[#This Row],[Std Adj Read]]&gt;Table1[[#This Row],[Low Tol]],"Pass","Fail"),IF(Table1[[#This Row],[DUT Adj Read]]&gt;Table1[[#This Row],[Low Tol]],"Pass","Fail")))</f>
        <v>Pass</v>
      </c>
      <c r="AE373" s="1" t="str">
        <f>IF(AND(Table1[[#This Row],[Spec Type2]]="N/A",Table1[[#This Row],[DUT Adj Read]]="N/A",Table1[[#This Row],[Std Adj Read]]="N/A"),"N/A",IF(Table1[[#This Row],[DUT Adj Read]]="N/A",IF(Table1[[#This Row],[Std Adj Read]]&lt;Table1[[#This Row],[High Tol]],"Pass","Fail"),IF(Table1[[#This Row],[DUT Adj Read]]&lt;Table1[[#This Row],[High Tol]],"Pass","Fail")))</f>
        <v>Fail</v>
      </c>
      <c r="AF373" s="1" t="str">
        <f>IF(AND(Table1[[#This Row],[Spec Type2]]="N/A",Table1[[#This Row],[DUT Adj Read]]="N/A",Table1[[#This Row],[Std Adj Read]]="N/A"),"N/A",IF(Table1[[#This Row],[DUT Adj Read]]="N/A",IF(Table1[[#This Row],[Std Adj Read]]&gt;=Table1[[#This Row],[Low Tol]],"Pass","Fail"),IF(Table1[[#This Row],[DUT Adj Read]]&gt;=Table1[[#This Row],[Low Tol]],"Pass","Fail")))</f>
        <v>Pass</v>
      </c>
      <c r="AG373" s="1" t="str">
        <f>IF(AND(Table1[[#This Row],[Spec Type2]]="N/A",Table1[[#This Row],[DUT Adj Read]]="N/A",Table1[[#This Row],[Std Adj Read]]="N/A"),"N/A",IF(Table1[[#This Row],[DUT Adj Read]]="N/A",IF(Table1[[#This Row],[Std Adj Read]]&lt;=Table1[[#This Row],[High Tol]],"Pass","Fail"),IF(Table1[[#This Row],[DUT Adj Read]]&lt;=Table1[[#This Row],[High Tol]],"Pass","Fail")))</f>
        <v>Fail</v>
      </c>
      <c r="AH3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3" s="1" t="b">
        <v>0</v>
      </c>
      <c r="AN373" s="1" t="b">
        <v>0</v>
      </c>
      <c r="AO373" s="1" t="b">
        <v>0</v>
      </c>
    </row>
    <row r="374" spans="1:41" x14ac:dyDescent="0.25">
      <c r="A374" s="10"/>
      <c r="B374" s="10"/>
      <c r="C374" s="10"/>
      <c r="D374" s="10"/>
      <c r="E374" s="10"/>
      <c r="F374" s="10"/>
      <c r="G374" s="10"/>
      <c r="H374" s="10"/>
      <c r="I374" s="1" t="str">
        <f t="shared" si="15"/>
        <v/>
      </c>
      <c r="J374" s="1" t="s">
        <v>35</v>
      </c>
      <c r="K374" s="1" t="str">
        <f t="shared" si="16"/>
        <v/>
      </c>
      <c r="L374" s="1" t="str">
        <f t="shared" si="17"/>
        <v/>
      </c>
      <c r="M374" s="1">
        <f>IF(OR(Table1[[#This Row],[Std Nom]]="",Table1[[#This Row],[Std Read]]=""),0,Table1[[#This Row],[Std Nom]]-Table1[[#This Row],[Std Read]])</f>
        <v>0</v>
      </c>
      <c r="N374" s="1">
        <f>IF(Calculations!$F$5="ACCREDITED 17025 WITH UNCERTAINTIES",$N$10,0)</f>
        <v>0</v>
      </c>
      <c r="O374" s="1" t="str">
        <f>IFERROR(Table1[[#This Row],[Std Nom]]-(_xlfn.XLOOKUP(Table1[[#This Row],[Manufacturer]]&amp;" "&amp;Table1[[#This Row],[Model]],Table13[MFR &amp; MDL],Table13[Tolerance % CW ],"")/100*Table1[[#This Row],[Std Nom]]),"")</f>
        <v/>
      </c>
      <c r="P374" s="1" t="str">
        <f>IFERROR(Table1[[#This Row],[Std Nom]]+(_xlfn.XLOOKUP(Table1[[#This Row],[Manufacturer]]&amp;" "&amp;Table1[[#This Row],[Model]],Table13[MFR &amp; MDL],Table13[Tolerance % CW ],"")/100*Table1[[#This Row],[Std Nom]]),"")</f>
        <v/>
      </c>
      <c r="Q374" s="1" t="e">
        <f>Table1[[#This Row],[High Tol]]-Table1[[#This Row],[Low Tol]]</f>
        <v>#VALUE!</v>
      </c>
      <c r="R374" s="1">
        <f>2*Table1[[#This Row],[Std Error]]</f>
        <v>0</v>
      </c>
      <c r="S374" s="1" t="str">
        <f>IF(Table1[[#This Row],[High Tol]]="","N/A",IFERROR(ABS(Table1[[#This Row],[Tol Span]]/Table1[[#This Row],[Error Span]]),"N/A"))</f>
        <v>N/A</v>
      </c>
      <c r="T374" s="1" t="str">
        <f>IF(OR(Table1[[#This Row],[Low Tol]]="",Table1[[#This Row],[High Tol]]=""),"Needs Analysis",IF(Table1[[#This Row],[Ratio]]&gt;=4,"Not Significant",IF(Table1[[#This Row],[Ratio]]&gt;=2,"Semi-Significant","Significant")))</f>
        <v>Needs Analysis</v>
      </c>
      <c r="W374" s="1">
        <f>IF(Table1[[#This Row],[Cal Type]]&lt;&gt;"ACCREDITED 17025 WITH UNCERTAINTIES",0,"")</f>
        <v>0</v>
      </c>
      <c r="X374" s="1" t="str">
        <f>IF(Table1[[#This Row],[DUT Read]]="","N/A",Table1[[#This Row],[Std Error]]+Table1[[#This Row],[DUT Read]]+Table1[[#This Row],[DUT Ucty]])</f>
        <v>N/A</v>
      </c>
      <c r="Y374" s="1" t="str">
        <f>IF(Table1[[#This Row],[Std Read]]="","N/A",Table1[[#This Row],[Std Read]]+Table1[[#This Row],[Std Ucty]])</f>
        <v>N/A</v>
      </c>
      <c r="Z3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4" s="1" t="str">
        <f>IF(Table1[[#This Row],[Spec Type]]="","N/A",Table1[[#This Row],[Spec Type]])</f>
        <v>±</v>
      </c>
      <c r="AC374" s="1" t="str">
        <f>IF(Table1[[#This Row],[Spec Type2]]="N/A","N/A",IF(AND(Table1[[#This Row],[DUT Adj Read]]&gt;=Table1[[#This Row],[Low Tol]],Table1[[#This Row],[DUT Adj Read]]&lt;=Table1[[#This Row],[High Tol]]),"Pass","Fail"))</f>
        <v>Fail</v>
      </c>
      <c r="AD374" s="1" t="str">
        <f>IF(AND(Table1[[#This Row],[Spec Type2]]="N/A",Table1[[#This Row],[DUT Adj Read]]="N/A",Table1[[#This Row],[Std Adj Read]]="N/A"),"N/A",IF(Table1[[#This Row],[DUT Adj Read]]="N/A",IF(Table1[[#This Row],[Std Adj Read]]&gt;Table1[[#This Row],[Low Tol]],"Pass","Fail"),IF(Table1[[#This Row],[DUT Adj Read]]&gt;Table1[[#This Row],[Low Tol]],"Pass","Fail")))</f>
        <v>Pass</v>
      </c>
      <c r="AE374" s="1" t="str">
        <f>IF(AND(Table1[[#This Row],[Spec Type2]]="N/A",Table1[[#This Row],[DUT Adj Read]]="N/A",Table1[[#This Row],[Std Adj Read]]="N/A"),"N/A",IF(Table1[[#This Row],[DUT Adj Read]]="N/A",IF(Table1[[#This Row],[Std Adj Read]]&lt;Table1[[#This Row],[High Tol]],"Pass","Fail"),IF(Table1[[#This Row],[DUT Adj Read]]&lt;Table1[[#This Row],[High Tol]],"Pass","Fail")))</f>
        <v>Fail</v>
      </c>
      <c r="AF374" s="1" t="str">
        <f>IF(AND(Table1[[#This Row],[Spec Type2]]="N/A",Table1[[#This Row],[DUT Adj Read]]="N/A",Table1[[#This Row],[Std Adj Read]]="N/A"),"N/A",IF(Table1[[#This Row],[DUT Adj Read]]="N/A",IF(Table1[[#This Row],[Std Adj Read]]&gt;=Table1[[#This Row],[Low Tol]],"Pass","Fail"),IF(Table1[[#This Row],[DUT Adj Read]]&gt;=Table1[[#This Row],[Low Tol]],"Pass","Fail")))</f>
        <v>Pass</v>
      </c>
      <c r="AG374" s="1" t="str">
        <f>IF(AND(Table1[[#This Row],[Spec Type2]]="N/A",Table1[[#This Row],[DUT Adj Read]]="N/A",Table1[[#This Row],[Std Adj Read]]="N/A"),"N/A",IF(Table1[[#This Row],[DUT Adj Read]]="N/A",IF(Table1[[#This Row],[Std Adj Read]]&lt;=Table1[[#This Row],[High Tol]],"Pass","Fail"),IF(Table1[[#This Row],[DUT Adj Read]]&lt;=Table1[[#This Row],[High Tol]],"Pass","Fail")))</f>
        <v>Fail</v>
      </c>
      <c r="AH3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4" s="1" t="b">
        <v>0</v>
      </c>
      <c r="AN374" s="1" t="b">
        <v>0</v>
      </c>
      <c r="AO374" s="1" t="b">
        <v>0</v>
      </c>
    </row>
    <row r="375" spans="1:41" x14ac:dyDescent="0.25">
      <c r="A375" s="10"/>
      <c r="B375" s="10"/>
      <c r="C375" s="10"/>
      <c r="D375" s="10"/>
      <c r="E375" s="10"/>
      <c r="F375" s="10"/>
      <c r="G375" s="10"/>
      <c r="H375" s="10"/>
      <c r="I375" s="1" t="str">
        <f t="shared" si="15"/>
        <v/>
      </c>
      <c r="J375" s="1" t="s">
        <v>35</v>
      </c>
      <c r="K375" s="1" t="str">
        <f t="shared" si="16"/>
        <v/>
      </c>
      <c r="L375" s="1" t="str">
        <f t="shared" si="17"/>
        <v/>
      </c>
      <c r="M375" s="1">
        <f>IF(OR(Table1[[#This Row],[Std Nom]]="",Table1[[#This Row],[Std Read]]=""),0,Table1[[#This Row],[Std Nom]]-Table1[[#This Row],[Std Read]])</f>
        <v>0</v>
      </c>
      <c r="N375" s="1">
        <f>IF(Calculations!$F$5="ACCREDITED 17025 WITH UNCERTAINTIES",$N$10,0)</f>
        <v>0</v>
      </c>
      <c r="O375" s="1" t="str">
        <f>IFERROR(Table1[[#This Row],[Std Nom]]-(_xlfn.XLOOKUP(Table1[[#This Row],[Manufacturer]]&amp;" "&amp;Table1[[#This Row],[Model]],Table13[MFR &amp; MDL],Table13[Tolerance % CW ],"")/100*Table1[[#This Row],[Std Nom]]),"")</f>
        <v/>
      </c>
      <c r="P375" s="1" t="str">
        <f>IFERROR(Table1[[#This Row],[Std Nom]]+(_xlfn.XLOOKUP(Table1[[#This Row],[Manufacturer]]&amp;" "&amp;Table1[[#This Row],[Model]],Table13[MFR &amp; MDL],Table13[Tolerance % CW ],"")/100*Table1[[#This Row],[Std Nom]]),"")</f>
        <v/>
      </c>
      <c r="Q375" s="1" t="e">
        <f>Table1[[#This Row],[High Tol]]-Table1[[#This Row],[Low Tol]]</f>
        <v>#VALUE!</v>
      </c>
      <c r="R375" s="1">
        <f>2*Table1[[#This Row],[Std Error]]</f>
        <v>0</v>
      </c>
      <c r="S375" s="1" t="str">
        <f>IF(Table1[[#This Row],[High Tol]]="","N/A",IFERROR(ABS(Table1[[#This Row],[Tol Span]]/Table1[[#This Row],[Error Span]]),"N/A"))</f>
        <v>N/A</v>
      </c>
      <c r="T375" s="1" t="str">
        <f>IF(OR(Table1[[#This Row],[Low Tol]]="",Table1[[#This Row],[High Tol]]=""),"Needs Analysis",IF(Table1[[#This Row],[Ratio]]&gt;=4,"Not Significant",IF(Table1[[#This Row],[Ratio]]&gt;=2,"Semi-Significant","Significant")))</f>
        <v>Needs Analysis</v>
      </c>
      <c r="W375" s="1">
        <f>IF(Table1[[#This Row],[Cal Type]]&lt;&gt;"ACCREDITED 17025 WITH UNCERTAINTIES",0,"")</f>
        <v>0</v>
      </c>
      <c r="X375" s="1" t="str">
        <f>IF(Table1[[#This Row],[DUT Read]]="","N/A",Table1[[#This Row],[Std Error]]+Table1[[#This Row],[DUT Read]]+Table1[[#This Row],[DUT Ucty]])</f>
        <v>N/A</v>
      </c>
      <c r="Y375" s="1" t="str">
        <f>IF(Table1[[#This Row],[Std Read]]="","N/A",Table1[[#This Row],[Std Read]]+Table1[[#This Row],[Std Ucty]])</f>
        <v>N/A</v>
      </c>
      <c r="Z3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5" s="1" t="str">
        <f>IF(Table1[[#This Row],[Spec Type]]="","N/A",Table1[[#This Row],[Spec Type]])</f>
        <v>±</v>
      </c>
      <c r="AC375" s="1" t="str">
        <f>IF(Table1[[#This Row],[Spec Type2]]="N/A","N/A",IF(AND(Table1[[#This Row],[DUT Adj Read]]&gt;=Table1[[#This Row],[Low Tol]],Table1[[#This Row],[DUT Adj Read]]&lt;=Table1[[#This Row],[High Tol]]),"Pass","Fail"))</f>
        <v>Fail</v>
      </c>
      <c r="AD375" s="1" t="str">
        <f>IF(AND(Table1[[#This Row],[Spec Type2]]="N/A",Table1[[#This Row],[DUT Adj Read]]="N/A",Table1[[#This Row],[Std Adj Read]]="N/A"),"N/A",IF(Table1[[#This Row],[DUT Adj Read]]="N/A",IF(Table1[[#This Row],[Std Adj Read]]&gt;Table1[[#This Row],[Low Tol]],"Pass","Fail"),IF(Table1[[#This Row],[DUT Adj Read]]&gt;Table1[[#This Row],[Low Tol]],"Pass","Fail")))</f>
        <v>Pass</v>
      </c>
      <c r="AE375" s="1" t="str">
        <f>IF(AND(Table1[[#This Row],[Spec Type2]]="N/A",Table1[[#This Row],[DUT Adj Read]]="N/A",Table1[[#This Row],[Std Adj Read]]="N/A"),"N/A",IF(Table1[[#This Row],[DUT Adj Read]]="N/A",IF(Table1[[#This Row],[Std Adj Read]]&lt;Table1[[#This Row],[High Tol]],"Pass","Fail"),IF(Table1[[#This Row],[DUT Adj Read]]&lt;Table1[[#This Row],[High Tol]],"Pass","Fail")))</f>
        <v>Fail</v>
      </c>
      <c r="AF375" s="1" t="str">
        <f>IF(AND(Table1[[#This Row],[Spec Type2]]="N/A",Table1[[#This Row],[DUT Adj Read]]="N/A",Table1[[#This Row],[Std Adj Read]]="N/A"),"N/A",IF(Table1[[#This Row],[DUT Adj Read]]="N/A",IF(Table1[[#This Row],[Std Adj Read]]&gt;=Table1[[#This Row],[Low Tol]],"Pass","Fail"),IF(Table1[[#This Row],[DUT Adj Read]]&gt;=Table1[[#This Row],[Low Tol]],"Pass","Fail")))</f>
        <v>Pass</v>
      </c>
      <c r="AG375" s="1" t="str">
        <f>IF(AND(Table1[[#This Row],[Spec Type2]]="N/A",Table1[[#This Row],[DUT Adj Read]]="N/A",Table1[[#This Row],[Std Adj Read]]="N/A"),"N/A",IF(Table1[[#This Row],[DUT Adj Read]]="N/A",IF(Table1[[#This Row],[Std Adj Read]]&lt;=Table1[[#This Row],[High Tol]],"Pass","Fail"),IF(Table1[[#This Row],[DUT Adj Read]]&lt;=Table1[[#This Row],[High Tol]],"Pass","Fail")))</f>
        <v>Fail</v>
      </c>
      <c r="AH3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5" s="1" t="b">
        <v>0</v>
      </c>
      <c r="AN375" s="1" t="b">
        <v>0</v>
      </c>
      <c r="AO375" s="1" t="b">
        <v>0</v>
      </c>
    </row>
    <row r="376" spans="1:41" x14ac:dyDescent="0.25">
      <c r="A376" s="10"/>
      <c r="B376" s="10"/>
      <c r="C376" s="10"/>
      <c r="D376" s="10"/>
      <c r="E376" s="10"/>
      <c r="F376" s="10"/>
      <c r="G376" s="10"/>
      <c r="H376" s="10"/>
      <c r="I376" s="1" t="str">
        <f t="shared" si="15"/>
        <v/>
      </c>
      <c r="J376" s="1" t="s">
        <v>35</v>
      </c>
      <c r="K376" s="1" t="str">
        <f t="shared" si="16"/>
        <v/>
      </c>
      <c r="L376" s="1" t="str">
        <f t="shared" si="17"/>
        <v/>
      </c>
      <c r="M376" s="1">
        <f>IF(OR(Table1[[#This Row],[Std Nom]]="",Table1[[#This Row],[Std Read]]=""),0,Table1[[#This Row],[Std Nom]]-Table1[[#This Row],[Std Read]])</f>
        <v>0</v>
      </c>
      <c r="N376" s="1">
        <f>IF(Calculations!$F$5="ACCREDITED 17025 WITH UNCERTAINTIES",$N$10,0)</f>
        <v>0</v>
      </c>
      <c r="O376" s="1" t="str">
        <f>IFERROR(Table1[[#This Row],[Std Nom]]-(_xlfn.XLOOKUP(Table1[[#This Row],[Manufacturer]]&amp;" "&amp;Table1[[#This Row],[Model]],Table13[MFR &amp; MDL],Table13[Tolerance % CW ],"")/100*Table1[[#This Row],[Std Nom]]),"")</f>
        <v/>
      </c>
      <c r="P376" s="1" t="str">
        <f>IFERROR(Table1[[#This Row],[Std Nom]]+(_xlfn.XLOOKUP(Table1[[#This Row],[Manufacturer]]&amp;" "&amp;Table1[[#This Row],[Model]],Table13[MFR &amp; MDL],Table13[Tolerance % CW ],"")/100*Table1[[#This Row],[Std Nom]]),"")</f>
        <v/>
      </c>
      <c r="Q376" s="1" t="e">
        <f>Table1[[#This Row],[High Tol]]-Table1[[#This Row],[Low Tol]]</f>
        <v>#VALUE!</v>
      </c>
      <c r="R376" s="1">
        <f>2*Table1[[#This Row],[Std Error]]</f>
        <v>0</v>
      </c>
      <c r="S376" s="1" t="str">
        <f>IF(Table1[[#This Row],[High Tol]]="","N/A",IFERROR(ABS(Table1[[#This Row],[Tol Span]]/Table1[[#This Row],[Error Span]]),"N/A"))</f>
        <v>N/A</v>
      </c>
      <c r="T376" s="1" t="str">
        <f>IF(OR(Table1[[#This Row],[Low Tol]]="",Table1[[#This Row],[High Tol]]=""),"Needs Analysis",IF(Table1[[#This Row],[Ratio]]&gt;=4,"Not Significant",IF(Table1[[#This Row],[Ratio]]&gt;=2,"Semi-Significant","Significant")))</f>
        <v>Needs Analysis</v>
      </c>
      <c r="W376" s="1">
        <f>IF(Table1[[#This Row],[Cal Type]]&lt;&gt;"ACCREDITED 17025 WITH UNCERTAINTIES",0,"")</f>
        <v>0</v>
      </c>
      <c r="X376" s="1" t="str">
        <f>IF(Table1[[#This Row],[DUT Read]]="","N/A",Table1[[#This Row],[Std Error]]+Table1[[#This Row],[DUT Read]]+Table1[[#This Row],[DUT Ucty]])</f>
        <v>N/A</v>
      </c>
      <c r="Y376" s="1" t="str">
        <f>IF(Table1[[#This Row],[Std Read]]="","N/A",Table1[[#This Row],[Std Read]]+Table1[[#This Row],[Std Ucty]])</f>
        <v>N/A</v>
      </c>
      <c r="Z3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6" s="1" t="str">
        <f>IF(Table1[[#This Row],[Spec Type]]="","N/A",Table1[[#This Row],[Spec Type]])</f>
        <v>±</v>
      </c>
      <c r="AC376" s="1" t="str">
        <f>IF(Table1[[#This Row],[Spec Type2]]="N/A","N/A",IF(AND(Table1[[#This Row],[DUT Adj Read]]&gt;=Table1[[#This Row],[Low Tol]],Table1[[#This Row],[DUT Adj Read]]&lt;=Table1[[#This Row],[High Tol]]),"Pass","Fail"))</f>
        <v>Fail</v>
      </c>
      <c r="AD376" s="1" t="str">
        <f>IF(AND(Table1[[#This Row],[Spec Type2]]="N/A",Table1[[#This Row],[DUT Adj Read]]="N/A",Table1[[#This Row],[Std Adj Read]]="N/A"),"N/A",IF(Table1[[#This Row],[DUT Adj Read]]="N/A",IF(Table1[[#This Row],[Std Adj Read]]&gt;Table1[[#This Row],[Low Tol]],"Pass","Fail"),IF(Table1[[#This Row],[DUT Adj Read]]&gt;Table1[[#This Row],[Low Tol]],"Pass","Fail")))</f>
        <v>Pass</v>
      </c>
      <c r="AE376" s="1" t="str">
        <f>IF(AND(Table1[[#This Row],[Spec Type2]]="N/A",Table1[[#This Row],[DUT Adj Read]]="N/A",Table1[[#This Row],[Std Adj Read]]="N/A"),"N/A",IF(Table1[[#This Row],[DUT Adj Read]]="N/A",IF(Table1[[#This Row],[Std Adj Read]]&lt;Table1[[#This Row],[High Tol]],"Pass","Fail"),IF(Table1[[#This Row],[DUT Adj Read]]&lt;Table1[[#This Row],[High Tol]],"Pass","Fail")))</f>
        <v>Fail</v>
      </c>
      <c r="AF376" s="1" t="str">
        <f>IF(AND(Table1[[#This Row],[Spec Type2]]="N/A",Table1[[#This Row],[DUT Adj Read]]="N/A",Table1[[#This Row],[Std Adj Read]]="N/A"),"N/A",IF(Table1[[#This Row],[DUT Adj Read]]="N/A",IF(Table1[[#This Row],[Std Adj Read]]&gt;=Table1[[#This Row],[Low Tol]],"Pass","Fail"),IF(Table1[[#This Row],[DUT Adj Read]]&gt;=Table1[[#This Row],[Low Tol]],"Pass","Fail")))</f>
        <v>Pass</v>
      </c>
      <c r="AG376" s="1" t="str">
        <f>IF(AND(Table1[[#This Row],[Spec Type2]]="N/A",Table1[[#This Row],[DUT Adj Read]]="N/A",Table1[[#This Row],[Std Adj Read]]="N/A"),"N/A",IF(Table1[[#This Row],[DUT Adj Read]]="N/A",IF(Table1[[#This Row],[Std Adj Read]]&lt;=Table1[[#This Row],[High Tol]],"Pass","Fail"),IF(Table1[[#This Row],[DUT Adj Read]]&lt;=Table1[[#This Row],[High Tol]],"Pass","Fail")))</f>
        <v>Fail</v>
      </c>
      <c r="AH3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6" s="1" t="b">
        <v>0</v>
      </c>
      <c r="AN376" s="1" t="b">
        <v>0</v>
      </c>
      <c r="AO376" s="1" t="b">
        <v>0</v>
      </c>
    </row>
    <row r="377" spans="1:41" x14ac:dyDescent="0.25">
      <c r="A377" s="10"/>
      <c r="B377" s="10"/>
      <c r="C377" s="10"/>
      <c r="D377" s="10"/>
      <c r="E377" s="10"/>
      <c r="F377" s="10"/>
      <c r="G377" s="10"/>
      <c r="H377" s="10"/>
      <c r="I377" s="1" t="str">
        <f t="shared" si="15"/>
        <v/>
      </c>
      <c r="J377" s="1" t="s">
        <v>35</v>
      </c>
      <c r="K377" s="1" t="str">
        <f t="shared" si="16"/>
        <v/>
      </c>
      <c r="L377" s="1" t="str">
        <f t="shared" si="17"/>
        <v/>
      </c>
      <c r="M377" s="1">
        <f>IF(OR(Table1[[#This Row],[Std Nom]]="",Table1[[#This Row],[Std Read]]=""),0,Table1[[#This Row],[Std Nom]]-Table1[[#This Row],[Std Read]])</f>
        <v>0</v>
      </c>
      <c r="N377" s="1">
        <f>IF(Calculations!$F$5="ACCREDITED 17025 WITH UNCERTAINTIES",$N$10,0)</f>
        <v>0</v>
      </c>
      <c r="O377" s="1" t="str">
        <f>IFERROR(Table1[[#This Row],[Std Nom]]-(_xlfn.XLOOKUP(Table1[[#This Row],[Manufacturer]]&amp;" "&amp;Table1[[#This Row],[Model]],Table13[MFR &amp; MDL],Table13[Tolerance % CW ],"")/100*Table1[[#This Row],[Std Nom]]),"")</f>
        <v/>
      </c>
      <c r="P377" s="1" t="str">
        <f>IFERROR(Table1[[#This Row],[Std Nom]]+(_xlfn.XLOOKUP(Table1[[#This Row],[Manufacturer]]&amp;" "&amp;Table1[[#This Row],[Model]],Table13[MFR &amp; MDL],Table13[Tolerance % CW ],"")/100*Table1[[#This Row],[Std Nom]]),"")</f>
        <v/>
      </c>
      <c r="Q377" s="1" t="e">
        <f>Table1[[#This Row],[High Tol]]-Table1[[#This Row],[Low Tol]]</f>
        <v>#VALUE!</v>
      </c>
      <c r="R377" s="1">
        <f>2*Table1[[#This Row],[Std Error]]</f>
        <v>0</v>
      </c>
      <c r="S377" s="1" t="str">
        <f>IF(Table1[[#This Row],[High Tol]]="","N/A",IFERROR(ABS(Table1[[#This Row],[Tol Span]]/Table1[[#This Row],[Error Span]]),"N/A"))</f>
        <v>N/A</v>
      </c>
      <c r="T377" s="1" t="str">
        <f>IF(OR(Table1[[#This Row],[Low Tol]]="",Table1[[#This Row],[High Tol]]=""),"Needs Analysis",IF(Table1[[#This Row],[Ratio]]&gt;=4,"Not Significant",IF(Table1[[#This Row],[Ratio]]&gt;=2,"Semi-Significant","Significant")))</f>
        <v>Needs Analysis</v>
      </c>
      <c r="W377" s="1">
        <f>IF(Table1[[#This Row],[Cal Type]]&lt;&gt;"ACCREDITED 17025 WITH UNCERTAINTIES",0,"")</f>
        <v>0</v>
      </c>
      <c r="X377" s="1" t="str">
        <f>IF(Table1[[#This Row],[DUT Read]]="","N/A",Table1[[#This Row],[Std Error]]+Table1[[#This Row],[DUT Read]]+Table1[[#This Row],[DUT Ucty]])</f>
        <v>N/A</v>
      </c>
      <c r="Y377" s="1" t="str">
        <f>IF(Table1[[#This Row],[Std Read]]="","N/A",Table1[[#This Row],[Std Read]]+Table1[[#This Row],[Std Ucty]])</f>
        <v>N/A</v>
      </c>
      <c r="Z3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7" s="1" t="str">
        <f>IF(Table1[[#This Row],[Spec Type]]="","N/A",Table1[[#This Row],[Spec Type]])</f>
        <v>±</v>
      </c>
      <c r="AC377" s="1" t="str">
        <f>IF(Table1[[#This Row],[Spec Type2]]="N/A","N/A",IF(AND(Table1[[#This Row],[DUT Adj Read]]&gt;=Table1[[#This Row],[Low Tol]],Table1[[#This Row],[DUT Adj Read]]&lt;=Table1[[#This Row],[High Tol]]),"Pass","Fail"))</f>
        <v>Fail</v>
      </c>
      <c r="AD377" s="1" t="str">
        <f>IF(AND(Table1[[#This Row],[Spec Type2]]="N/A",Table1[[#This Row],[DUT Adj Read]]="N/A",Table1[[#This Row],[Std Adj Read]]="N/A"),"N/A",IF(Table1[[#This Row],[DUT Adj Read]]="N/A",IF(Table1[[#This Row],[Std Adj Read]]&gt;Table1[[#This Row],[Low Tol]],"Pass","Fail"),IF(Table1[[#This Row],[DUT Adj Read]]&gt;Table1[[#This Row],[Low Tol]],"Pass","Fail")))</f>
        <v>Pass</v>
      </c>
      <c r="AE377" s="1" t="str">
        <f>IF(AND(Table1[[#This Row],[Spec Type2]]="N/A",Table1[[#This Row],[DUT Adj Read]]="N/A",Table1[[#This Row],[Std Adj Read]]="N/A"),"N/A",IF(Table1[[#This Row],[DUT Adj Read]]="N/A",IF(Table1[[#This Row],[Std Adj Read]]&lt;Table1[[#This Row],[High Tol]],"Pass","Fail"),IF(Table1[[#This Row],[DUT Adj Read]]&lt;Table1[[#This Row],[High Tol]],"Pass","Fail")))</f>
        <v>Fail</v>
      </c>
      <c r="AF377" s="1" t="str">
        <f>IF(AND(Table1[[#This Row],[Spec Type2]]="N/A",Table1[[#This Row],[DUT Adj Read]]="N/A",Table1[[#This Row],[Std Adj Read]]="N/A"),"N/A",IF(Table1[[#This Row],[DUT Adj Read]]="N/A",IF(Table1[[#This Row],[Std Adj Read]]&gt;=Table1[[#This Row],[Low Tol]],"Pass","Fail"),IF(Table1[[#This Row],[DUT Adj Read]]&gt;=Table1[[#This Row],[Low Tol]],"Pass","Fail")))</f>
        <v>Pass</v>
      </c>
      <c r="AG377" s="1" t="str">
        <f>IF(AND(Table1[[#This Row],[Spec Type2]]="N/A",Table1[[#This Row],[DUT Adj Read]]="N/A",Table1[[#This Row],[Std Adj Read]]="N/A"),"N/A",IF(Table1[[#This Row],[DUT Adj Read]]="N/A",IF(Table1[[#This Row],[Std Adj Read]]&lt;=Table1[[#This Row],[High Tol]],"Pass","Fail"),IF(Table1[[#This Row],[DUT Adj Read]]&lt;=Table1[[#This Row],[High Tol]],"Pass","Fail")))</f>
        <v>Fail</v>
      </c>
      <c r="AH3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7" s="1" t="b">
        <v>0</v>
      </c>
      <c r="AN377" s="1" t="b">
        <v>0</v>
      </c>
      <c r="AO377" s="1" t="b">
        <v>0</v>
      </c>
    </row>
    <row r="378" spans="1:41" x14ac:dyDescent="0.25">
      <c r="A378" s="10"/>
      <c r="B378" s="10"/>
      <c r="C378" s="10"/>
      <c r="D378" s="10"/>
      <c r="E378" s="10"/>
      <c r="F378" s="10"/>
      <c r="G378" s="10"/>
      <c r="H378" s="10"/>
      <c r="I378" s="1" t="str">
        <f t="shared" si="15"/>
        <v/>
      </c>
      <c r="J378" s="1" t="s">
        <v>35</v>
      </c>
      <c r="K378" s="1" t="str">
        <f t="shared" si="16"/>
        <v/>
      </c>
      <c r="L378" s="1" t="str">
        <f t="shared" si="17"/>
        <v/>
      </c>
      <c r="M378" s="1">
        <f>IF(OR(Table1[[#This Row],[Std Nom]]="",Table1[[#This Row],[Std Read]]=""),0,Table1[[#This Row],[Std Nom]]-Table1[[#This Row],[Std Read]])</f>
        <v>0</v>
      </c>
      <c r="N378" s="1">
        <f>IF(Calculations!$F$5="ACCREDITED 17025 WITH UNCERTAINTIES",$N$10,0)</f>
        <v>0</v>
      </c>
      <c r="O378" s="1" t="str">
        <f>IFERROR(Table1[[#This Row],[Std Nom]]-(_xlfn.XLOOKUP(Table1[[#This Row],[Manufacturer]]&amp;" "&amp;Table1[[#This Row],[Model]],Table13[MFR &amp; MDL],Table13[Tolerance % CW ],"")/100*Table1[[#This Row],[Std Nom]]),"")</f>
        <v/>
      </c>
      <c r="P378" s="1" t="str">
        <f>IFERROR(Table1[[#This Row],[Std Nom]]+(_xlfn.XLOOKUP(Table1[[#This Row],[Manufacturer]]&amp;" "&amp;Table1[[#This Row],[Model]],Table13[MFR &amp; MDL],Table13[Tolerance % CW ],"")/100*Table1[[#This Row],[Std Nom]]),"")</f>
        <v/>
      </c>
      <c r="Q378" s="1" t="e">
        <f>Table1[[#This Row],[High Tol]]-Table1[[#This Row],[Low Tol]]</f>
        <v>#VALUE!</v>
      </c>
      <c r="R378" s="1">
        <f>2*Table1[[#This Row],[Std Error]]</f>
        <v>0</v>
      </c>
      <c r="S378" s="1" t="str">
        <f>IF(Table1[[#This Row],[High Tol]]="","N/A",IFERROR(ABS(Table1[[#This Row],[Tol Span]]/Table1[[#This Row],[Error Span]]),"N/A"))</f>
        <v>N/A</v>
      </c>
      <c r="T378" s="1" t="str">
        <f>IF(OR(Table1[[#This Row],[Low Tol]]="",Table1[[#This Row],[High Tol]]=""),"Needs Analysis",IF(Table1[[#This Row],[Ratio]]&gt;=4,"Not Significant",IF(Table1[[#This Row],[Ratio]]&gt;=2,"Semi-Significant","Significant")))</f>
        <v>Needs Analysis</v>
      </c>
      <c r="W378" s="1">
        <f>IF(Table1[[#This Row],[Cal Type]]&lt;&gt;"ACCREDITED 17025 WITH UNCERTAINTIES",0,"")</f>
        <v>0</v>
      </c>
      <c r="X378" s="1" t="str">
        <f>IF(Table1[[#This Row],[DUT Read]]="","N/A",Table1[[#This Row],[Std Error]]+Table1[[#This Row],[DUT Read]]+Table1[[#This Row],[DUT Ucty]])</f>
        <v>N/A</v>
      </c>
      <c r="Y378" s="1" t="str">
        <f>IF(Table1[[#This Row],[Std Read]]="","N/A",Table1[[#This Row],[Std Read]]+Table1[[#This Row],[Std Ucty]])</f>
        <v>N/A</v>
      </c>
      <c r="Z3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8" s="1" t="str">
        <f>IF(Table1[[#This Row],[Spec Type]]="","N/A",Table1[[#This Row],[Spec Type]])</f>
        <v>±</v>
      </c>
      <c r="AC378" s="1" t="str">
        <f>IF(Table1[[#This Row],[Spec Type2]]="N/A","N/A",IF(AND(Table1[[#This Row],[DUT Adj Read]]&gt;=Table1[[#This Row],[Low Tol]],Table1[[#This Row],[DUT Adj Read]]&lt;=Table1[[#This Row],[High Tol]]),"Pass","Fail"))</f>
        <v>Fail</v>
      </c>
      <c r="AD378" s="1" t="str">
        <f>IF(AND(Table1[[#This Row],[Spec Type2]]="N/A",Table1[[#This Row],[DUT Adj Read]]="N/A",Table1[[#This Row],[Std Adj Read]]="N/A"),"N/A",IF(Table1[[#This Row],[DUT Adj Read]]="N/A",IF(Table1[[#This Row],[Std Adj Read]]&gt;Table1[[#This Row],[Low Tol]],"Pass","Fail"),IF(Table1[[#This Row],[DUT Adj Read]]&gt;Table1[[#This Row],[Low Tol]],"Pass","Fail")))</f>
        <v>Pass</v>
      </c>
      <c r="AE378" s="1" t="str">
        <f>IF(AND(Table1[[#This Row],[Spec Type2]]="N/A",Table1[[#This Row],[DUT Adj Read]]="N/A",Table1[[#This Row],[Std Adj Read]]="N/A"),"N/A",IF(Table1[[#This Row],[DUT Adj Read]]="N/A",IF(Table1[[#This Row],[Std Adj Read]]&lt;Table1[[#This Row],[High Tol]],"Pass","Fail"),IF(Table1[[#This Row],[DUT Adj Read]]&lt;Table1[[#This Row],[High Tol]],"Pass","Fail")))</f>
        <v>Fail</v>
      </c>
      <c r="AF378" s="1" t="str">
        <f>IF(AND(Table1[[#This Row],[Spec Type2]]="N/A",Table1[[#This Row],[DUT Adj Read]]="N/A",Table1[[#This Row],[Std Adj Read]]="N/A"),"N/A",IF(Table1[[#This Row],[DUT Adj Read]]="N/A",IF(Table1[[#This Row],[Std Adj Read]]&gt;=Table1[[#This Row],[Low Tol]],"Pass","Fail"),IF(Table1[[#This Row],[DUT Adj Read]]&gt;=Table1[[#This Row],[Low Tol]],"Pass","Fail")))</f>
        <v>Pass</v>
      </c>
      <c r="AG378" s="1" t="str">
        <f>IF(AND(Table1[[#This Row],[Spec Type2]]="N/A",Table1[[#This Row],[DUT Adj Read]]="N/A",Table1[[#This Row],[Std Adj Read]]="N/A"),"N/A",IF(Table1[[#This Row],[DUT Adj Read]]="N/A",IF(Table1[[#This Row],[Std Adj Read]]&lt;=Table1[[#This Row],[High Tol]],"Pass","Fail"),IF(Table1[[#This Row],[DUT Adj Read]]&lt;=Table1[[#This Row],[High Tol]],"Pass","Fail")))</f>
        <v>Fail</v>
      </c>
      <c r="AH3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8" s="1" t="b">
        <v>0</v>
      </c>
      <c r="AN378" s="1" t="b">
        <v>0</v>
      </c>
      <c r="AO378" s="1" t="b">
        <v>0</v>
      </c>
    </row>
    <row r="379" spans="1:41" x14ac:dyDescent="0.25">
      <c r="A379" s="10"/>
      <c r="B379" s="10"/>
      <c r="C379" s="10"/>
      <c r="D379" s="10"/>
      <c r="E379" s="10"/>
      <c r="F379" s="10"/>
      <c r="G379" s="10"/>
      <c r="H379" s="10"/>
      <c r="I379" s="1" t="str">
        <f t="shared" si="15"/>
        <v/>
      </c>
      <c r="J379" s="1" t="s">
        <v>35</v>
      </c>
      <c r="K379" s="1" t="str">
        <f t="shared" si="16"/>
        <v/>
      </c>
      <c r="L379" s="1" t="str">
        <f t="shared" si="17"/>
        <v/>
      </c>
      <c r="M379" s="1">
        <f>IF(OR(Table1[[#This Row],[Std Nom]]="",Table1[[#This Row],[Std Read]]=""),0,Table1[[#This Row],[Std Nom]]-Table1[[#This Row],[Std Read]])</f>
        <v>0</v>
      </c>
      <c r="N379" s="1">
        <f>IF(Calculations!$F$5="ACCREDITED 17025 WITH UNCERTAINTIES",$N$10,0)</f>
        <v>0</v>
      </c>
      <c r="O379" s="1" t="str">
        <f>IFERROR(Table1[[#This Row],[Std Nom]]-(_xlfn.XLOOKUP(Table1[[#This Row],[Manufacturer]]&amp;" "&amp;Table1[[#This Row],[Model]],Table13[MFR &amp; MDL],Table13[Tolerance % CW ],"")/100*Table1[[#This Row],[Std Nom]]),"")</f>
        <v/>
      </c>
      <c r="P379" s="1" t="str">
        <f>IFERROR(Table1[[#This Row],[Std Nom]]+(_xlfn.XLOOKUP(Table1[[#This Row],[Manufacturer]]&amp;" "&amp;Table1[[#This Row],[Model]],Table13[MFR &amp; MDL],Table13[Tolerance % CW ],"")/100*Table1[[#This Row],[Std Nom]]),"")</f>
        <v/>
      </c>
      <c r="Q379" s="1" t="e">
        <f>Table1[[#This Row],[High Tol]]-Table1[[#This Row],[Low Tol]]</f>
        <v>#VALUE!</v>
      </c>
      <c r="R379" s="1">
        <f>2*Table1[[#This Row],[Std Error]]</f>
        <v>0</v>
      </c>
      <c r="S379" s="1" t="str">
        <f>IF(Table1[[#This Row],[High Tol]]="","N/A",IFERROR(ABS(Table1[[#This Row],[Tol Span]]/Table1[[#This Row],[Error Span]]),"N/A"))</f>
        <v>N/A</v>
      </c>
      <c r="T379" s="1" t="str">
        <f>IF(OR(Table1[[#This Row],[Low Tol]]="",Table1[[#This Row],[High Tol]]=""),"Needs Analysis",IF(Table1[[#This Row],[Ratio]]&gt;=4,"Not Significant",IF(Table1[[#This Row],[Ratio]]&gt;=2,"Semi-Significant","Significant")))</f>
        <v>Needs Analysis</v>
      </c>
      <c r="W379" s="1">
        <f>IF(Table1[[#This Row],[Cal Type]]&lt;&gt;"ACCREDITED 17025 WITH UNCERTAINTIES",0,"")</f>
        <v>0</v>
      </c>
      <c r="X379" s="1" t="str">
        <f>IF(Table1[[#This Row],[DUT Read]]="","N/A",Table1[[#This Row],[Std Error]]+Table1[[#This Row],[DUT Read]]+Table1[[#This Row],[DUT Ucty]])</f>
        <v>N/A</v>
      </c>
      <c r="Y379" s="1" t="str">
        <f>IF(Table1[[#This Row],[Std Read]]="","N/A",Table1[[#This Row],[Std Read]]+Table1[[#This Row],[Std Ucty]])</f>
        <v>N/A</v>
      </c>
      <c r="Z3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9" s="1" t="str">
        <f>IF(Table1[[#This Row],[Spec Type]]="","N/A",Table1[[#This Row],[Spec Type]])</f>
        <v>±</v>
      </c>
      <c r="AC379" s="1" t="str">
        <f>IF(Table1[[#This Row],[Spec Type2]]="N/A","N/A",IF(AND(Table1[[#This Row],[DUT Adj Read]]&gt;=Table1[[#This Row],[Low Tol]],Table1[[#This Row],[DUT Adj Read]]&lt;=Table1[[#This Row],[High Tol]]),"Pass","Fail"))</f>
        <v>Fail</v>
      </c>
      <c r="AD379" s="1" t="str">
        <f>IF(AND(Table1[[#This Row],[Spec Type2]]="N/A",Table1[[#This Row],[DUT Adj Read]]="N/A",Table1[[#This Row],[Std Adj Read]]="N/A"),"N/A",IF(Table1[[#This Row],[DUT Adj Read]]="N/A",IF(Table1[[#This Row],[Std Adj Read]]&gt;Table1[[#This Row],[Low Tol]],"Pass","Fail"),IF(Table1[[#This Row],[DUT Adj Read]]&gt;Table1[[#This Row],[Low Tol]],"Pass","Fail")))</f>
        <v>Pass</v>
      </c>
      <c r="AE379" s="1" t="str">
        <f>IF(AND(Table1[[#This Row],[Spec Type2]]="N/A",Table1[[#This Row],[DUT Adj Read]]="N/A",Table1[[#This Row],[Std Adj Read]]="N/A"),"N/A",IF(Table1[[#This Row],[DUT Adj Read]]="N/A",IF(Table1[[#This Row],[Std Adj Read]]&lt;Table1[[#This Row],[High Tol]],"Pass","Fail"),IF(Table1[[#This Row],[DUT Adj Read]]&lt;Table1[[#This Row],[High Tol]],"Pass","Fail")))</f>
        <v>Fail</v>
      </c>
      <c r="AF379" s="1" t="str">
        <f>IF(AND(Table1[[#This Row],[Spec Type2]]="N/A",Table1[[#This Row],[DUT Adj Read]]="N/A",Table1[[#This Row],[Std Adj Read]]="N/A"),"N/A",IF(Table1[[#This Row],[DUT Adj Read]]="N/A",IF(Table1[[#This Row],[Std Adj Read]]&gt;=Table1[[#This Row],[Low Tol]],"Pass","Fail"),IF(Table1[[#This Row],[DUT Adj Read]]&gt;=Table1[[#This Row],[Low Tol]],"Pass","Fail")))</f>
        <v>Pass</v>
      </c>
      <c r="AG379" s="1" t="str">
        <f>IF(AND(Table1[[#This Row],[Spec Type2]]="N/A",Table1[[#This Row],[DUT Adj Read]]="N/A",Table1[[#This Row],[Std Adj Read]]="N/A"),"N/A",IF(Table1[[#This Row],[DUT Adj Read]]="N/A",IF(Table1[[#This Row],[Std Adj Read]]&lt;=Table1[[#This Row],[High Tol]],"Pass","Fail"),IF(Table1[[#This Row],[DUT Adj Read]]&lt;=Table1[[#This Row],[High Tol]],"Pass","Fail")))</f>
        <v>Fail</v>
      </c>
      <c r="AH3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9" s="1" t="b">
        <v>0</v>
      </c>
      <c r="AN379" s="1" t="b">
        <v>0</v>
      </c>
      <c r="AO379" s="1" t="b">
        <v>0</v>
      </c>
    </row>
    <row r="380" spans="1:41" x14ac:dyDescent="0.25">
      <c r="A380" s="10"/>
      <c r="B380" s="10"/>
      <c r="C380" s="10"/>
      <c r="D380" s="10"/>
      <c r="E380" s="10"/>
      <c r="F380" s="10"/>
      <c r="G380" s="10"/>
      <c r="H380" s="10"/>
      <c r="I380" s="1" t="str">
        <f t="shared" si="15"/>
        <v/>
      </c>
      <c r="J380" s="1" t="s">
        <v>35</v>
      </c>
      <c r="K380" s="1" t="str">
        <f t="shared" si="16"/>
        <v/>
      </c>
      <c r="L380" s="1" t="str">
        <f t="shared" si="17"/>
        <v/>
      </c>
      <c r="M380" s="1">
        <f>IF(OR(Table1[[#This Row],[Std Nom]]="",Table1[[#This Row],[Std Read]]=""),0,Table1[[#This Row],[Std Nom]]-Table1[[#This Row],[Std Read]])</f>
        <v>0</v>
      </c>
      <c r="N380" s="1">
        <f>IF(Calculations!$F$5="ACCREDITED 17025 WITH UNCERTAINTIES",$N$10,0)</f>
        <v>0</v>
      </c>
      <c r="O380" s="1" t="str">
        <f>IFERROR(Table1[[#This Row],[Std Nom]]-(_xlfn.XLOOKUP(Table1[[#This Row],[Manufacturer]]&amp;" "&amp;Table1[[#This Row],[Model]],Table13[MFR &amp; MDL],Table13[Tolerance % CW ],"")/100*Table1[[#This Row],[Std Nom]]),"")</f>
        <v/>
      </c>
      <c r="P380" s="1" t="str">
        <f>IFERROR(Table1[[#This Row],[Std Nom]]+(_xlfn.XLOOKUP(Table1[[#This Row],[Manufacturer]]&amp;" "&amp;Table1[[#This Row],[Model]],Table13[MFR &amp; MDL],Table13[Tolerance % CW ],"")/100*Table1[[#This Row],[Std Nom]]),"")</f>
        <v/>
      </c>
      <c r="Q380" s="1" t="e">
        <f>Table1[[#This Row],[High Tol]]-Table1[[#This Row],[Low Tol]]</f>
        <v>#VALUE!</v>
      </c>
      <c r="R380" s="1">
        <f>2*Table1[[#This Row],[Std Error]]</f>
        <v>0</v>
      </c>
      <c r="S380" s="1" t="str">
        <f>IF(Table1[[#This Row],[High Tol]]="","N/A",IFERROR(ABS(Table1[[#This Row],[Tol Span]]/Table1[[#This Row],[Error Span]]),"N/A"))</f>
        <v>N/A</v>
      </c>
      <c r="T380" s="1" t="str">
        <f>IF(OR(Table1[[#This Row],[Low Tol]]="",Table1[[#This Row],[High Tol]]=""),"Needs Analysis",IF(Table1[[#This Row],[Ratio]]&gt;=4,"Not Significant",IF(Table1[[#This Row],[Ratio]]&gt;=2,"Semi-Significant","Significant")))</f>
        <v>Needs Analysis</v>
      </c>
      <c r="W380" s="1">
        <f>IF(Table1[[#This Row],[Cal Type]]&lt;&gt;"ACCREDITED 17025 WITH UNCERTAINTIES",0,"")</f>
        <v>0</v>
      </c>
      <c r="X380" s="1" t="str">
        <f>IF(Table1[[#This Row],[DUT Read]]="","N/A",Table1[[#This Row],[Std Error]]+Table1[[#This Row],[DUT Read]]+Table1[[#This Row],[DUT Ucty]])</f>
        <v>N/A</v>
      </c>
      <c r="Y380" s="1" t="str">
        <f>IF(Table1[[#This Row],[Std Read]]="","N/A",Table1[[#This Row],[Std Read]]+Table1[[#This Row],[Std Ucty]])</f>
        <v>N/A</v>
      </c>
      <c r="Z3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0" s="1" t="str">
        <f>IF(Table1[[#This Row],[Spec Type]]="","N/A",Table1[[#This Row],[Spec Type]])</f>
        <v>±</v>
      </c>
      <c r="AC380" s="1" t="str">
        <f>IF(Table1[[#This Row],[Spec Type2]]="N/A","N/A",IF(AND(Table1[[#This Row],[DUT Adj Read]]&gt;=Table1[[#This Row],[Low Tol]],Table1[[#This Row],[DUT Adj Read]]&lt;=Table1[[#This Row],[High Tol]]),"Pass","Fail"))</f>
        <v>Fail</v>
      </c>
      <c r="AD380" s="1" t="str">
        <f>IF(AND(Table1[[#This Row],[Spec Type2]]="N/A",Table1[[#This Row],[DUT Adj Read]]="N/A",Table1[[#This Row],[Std Adj Read]]="N/A"),"N/A",IF(Table1[[#This Row],[DUT Adj Read]]="N/A",IF(Table1[[#This Row],[Std Adj Read]]&gt;Table1[[#This Row],[Low Tol]],"Pass","Fail"),IF(Table1[[#This Row],[DUT Adj Read]]&gt;Table1[[#This Row],[Low Tol]],"Pass","Fail")))</f>
        <v>Pass</v>
      </c>
      <c r="AE380" s="1" t="str">
        <f>IF(AND(Table1[[#This Row],[Spec Type2]]="N/A",Table1[[#This Row],[DUT Adj Read]]="N/A",Table1[[#This Row],[Std Adj Read]]="N/A"),"N/A",IF(Table1[[#This Row],[DUT Adj Read]]="N/A",IF(Table1[[#This Row],[Std Adj Read]]&lt;Table1[[#This Row],[High Tol]],"Pass","Fail"),IF(Table1[[#This Row],[DUT Adj Read]]&lt;Table1[[#This Row],[High Tol]],"Pass","Fail")))</f>
        <v>Fail</v>
      </c>
      <c r="AF380" s="1" t="str">
        <f>IF(AND(Table1[[#This Row],[Spec Type2]]="N/A",Table1[[#This Row],[DUT Adj Read]]="N/A",Table1[[#This Row],[Std Adj Read]]="N/A"),"N/A",IF(Table1[[#This Row],[DUT Adj Read]]="N/A",IF(Table1[[#This Row],[Std Adj Read]]&gt;=Table1[[#This Row],[Low Tol]],"Pass","Fail"),IF(Table1[[#This Row],[DUT Adj Read]]&gt;=Table1[[#This Row],[Low Tol]],"Pass","Fail")))</f>
        <v>Pass</v>
      </c>
      <c r="AG380" s="1" t="str">
        <f>IF(AND(Table1[[#This Row],[Spec Type2]]="N/A",Table1[[#This Row],[DUT Adj Read]]="N/A",Table1[[#This Row],[Std Adj Read]]="N/A"),"N/A",IF(Table1[[#This Row],[DUT Adj Read]]="N/A",IF(Table1[[#This Row],[Std Adj Read]]&lt;=Table1[[#This Row],[High Tol]],"Pass","Fail"),IF(Table1[[#This Row],[DUT Adj Read]]&lt;=Table1[[#This Row],[High Tol]],"Pass","Fail")))</f>
        <v>Fail</v>
      </c>
      <c r="AH3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0" s="1" t="b">
        <v>0</v>
      </c>
      <c r="AN380" s="1" t="b">
        <v>0</v>
      </c>
      <c r="AO380" s="1" t="b">
        <v>0</v>
      </c>
    </row>
    <row r="381" spans="1:41" x14ac:dyDescent="0.25">
      <c r="A381" s="10"/>
      <c r="B381" s="10"/>
      <c r="C381" s="10"/>
      <c r="D381" s="10"/>
      <c r="E381" s="10"/>
      <c r="F381" s="10"/>
      <c r="G381" s="10"/>
      <c r="H381" s="10"/>
      <c r="I381" s="1" t="str">
        <f t="shared" si="15"/>
        <v/>
      </c>
      <c r="J381" s="1" t="s">
        <v>35</v>
      </c>
      <c r="K381" s="1" t="str">
        <f t="shared" si="16"/>
        <v/>
      </c>
      <c r="L381" s="1" t="str">
        <f t="shared" si="17"/>
        <v/>
      </c>
      <c r="M381" s="1">
        <f>IF(OR(Table1[[#This Row],[Std Nom]]="",Table1[[#This Row],[Std Read]]=""),0,Table1[[#This Row],[Std Nom]]-Table1[[#This Row],[Std Read]])</f>
        <v>0</v>
      </c>
      <c r="N381" s="1">
        <f>IF(Calculations!$F$5="ACCREDITED 17025 WITH UNCERTAINTIES",$N$10,0)</f>
        <v>0</v>
      </c>
      <c r="O381" s="1" t="str">
        <f>IFERROR(Table1[[#This Row],[Std Nom]]-(_xlfn.XLOOKUP(Table1[[#This Row],[Manufacturer]]&amp;" "&amp;Table1[[#This Row],[Model]],Table13[MFR &amp; MDL],Table13[Tolerance % CW ],"")/100*Table1[[#This Row],[Std Nom]]),"")</f>
        <v/>
      </c>
      <c r="P381" s="1" t="str">
        <f>IFERROR(Table1[[#This Row],[Std Nom]]+(_xlfn.XLOOKUP(Table1[[#This Row],[Manufacturer]]&amp;" "&amp;Table1[[#This Row],[Model]],Table13[MFR &amp; MDL],Table13[Tolerance % CW ],"")/100*Table1[[#This Row],[Std Nom]]),"")</f>
        <v/>
      </c>
      <c r="Q381" s="1" t="e">
        <f>Table1[[#This Row],[High Tol]]-Table1[[#This Row],[Low Tol]]</f>
        <v>#VALUE!</v>
      </c>
      <c r="R381" s="1">
        <f>2*Table1[[#This Row],[Std Error]]</f>
        <v>0</v>
      </c>
      <c r="S381" s="1" t="str">
        <f>IF(Table1[[#This Row],[High Tol]]="","N/A",IFERROR(ABS(Table1[[#This Row],[Tol Span]]/Table1[[#This Row],[Error Span]]),"N/A"))</f>
        <v>N/A</v>
      </c>
      <c r="T381" s="1" t="str">
        <f>IF(OR(Table1[[#This Row],[Low Tol]]="",Table1[[#This Row],[High Tol]]=""),"Needs Analysis",IF(Table1[[#This Row],[Ratio]]&gt;=4,"Not Significant",IF(Table1[[#This Row],[Ratio]]&gt;=2,"Semi-Significant","Significant")))</f>
        <v>Needs Analysis</v>
      </c>
      <c r="W381" s="1">
        <f>IF(Table1[[#This Row],[Cal Type]]&lt;&gt;"ACCREDITED 17025 WITH UNCERTAINTIES",0,"")</f>
        <v>0</v>
      </c>
      <c r="X381" s="1" t="str">
        <f>IF(Table1[[#This Row],[DUT Read]]="","N/A",Table1[[#This Row],[Std Error]]+Table1[[#This Row],[DUT Read]]+Table1[[#This Row],[DUT Ucty]])</f>
        <v>N/A</v>
      </c>
      <c r="Y381" s="1" t="str">
        <f>IF(Table1[[#This Row],[Std Read]]="","N/A",Table1[[#This Row],[Std Read]]+Table1[[#This Row],[Std Ucty]])</f>
        <v>N/A</v>
      </c>
      <c r="Z3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1" s="1" t="str">
        <f>IF(Table1[[#This Row],[Spec Type]]="","N/A",Table1[[#This Row],[Spec Type]])</f>
        <v>±</v>
      </c>
      <c r="AC381" s="1" t="str">
        <f>IF(Table1[[#This Row],[Spec Type2]]="N/A","N/A",IF(AND(Table1[[#This Row],[DUT Adj Read]]&gt;=Table1[[#This Row],[Low Tol]],Table1[[#This Row],[DUT Adj Read]]&lt;=Table1[[#This Row],[High Tol]]),"Pass","Fail"))</f>
        <v>Fail</v>
      </c>
      <c r="AD381" s="1" t="str">
        <f>IF(AND(Table1[[#This Row],[Spec Type2]]="N/A",Table1[[#This Row],[DUT Adj Read]]="N/A",Table1[[#This Row],[Std Adj Read]]="N/A"),"N/A",IF(Table1[[#This Row],[DUT Adj Read]]="N/A",IF(Table1[[#This Row],[Std Adj Read]]&gt;Table1[[#This Row],[Low Tol]],"Pass","Fail"),IF(Table1[[#This Row],[DUT Adj Read]]&gt;Table1[[#This Row],[Low Tol]],"Pass","Fail")))</f>
        <v>Pass</v>
      </c>
      <c r="AE381" s="1" t="str">
        <f>IF(AND(Table1[[#This Row],[Spec Type2]]="N/A",Table1[[#This Row],[DUT Adj Read]]="N/A",Table1[[#This Row],[Std Adj Read]]="N/A"),"N/A",IF(Table1[[#This Row],[DUT Adj Read]]="N/A",IF(Table1[[#This Row],[Std Adj Read]]&lt;Table1[[#This Row],[High Tol]],"Pass","Fail"),IF(Table1[[#This Row],[DUT Adj Read]]&lt;Table1[[#This Row],[High Tol]],"Pass","Fail")))</f>
        <v>Fail</v>
      </c>
      <c r="AF381" s="1" t="str">
        <f>IF(AND(Table1[[#This Row],[Spec Type2]]="N/A",Table1[[#This Row],[DUT Adj Read]]="N/A",Table1[[#This Row],[Std Adj Read]]="N/A"),"N/A",IF(Table1[[#This Row],[DUT Adj Read]]="N/A",IF(Table1[[#This Row],[Std Adj Read]]&gt;=Table1[[#This Row],[Low Tol]],"Pass","Fail"),IF(Table1[[#This Row],[DUT Adj Read]]&gt;=Table1[[#This Row],[Low Tol]],"Pass","Fail")))</f>
        <v>Pass</v>
      </c>
      <c r="AG381" s="1" t="str">
        <f>IF(AND(Table1[[#This Row],[Spec Type2]]="N/A",Table1[[#This Row],[DUT Adj Read]]="N/A",Table1[[#This Row],[Std Adj Read]]="N/A"),"N/A",IF(Table1[[#This Row],[DUT Adj Read]]="N/A",IF(Table1[[#This Row],[Std Adj Read]]&lt;=Table1[[#This Row],[High Tol]],"Pass","Fail"),IF(Table1[[#This Row],[DUT Adj Read]]&lt;=Table1[[#This Row],[High Tol]],"Pass","Fail")))</f>
        <v>Fail</v>
      </c>
      <c r="AH3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1" s="1" t="b">
        <v>0</v>
      </c>
      <c r="AN381" s="1" t="b">
        <v>0</v>
      </c>
      <c r="AO381" s="1" t="b">
        <v>0</v>
      </c>
    </row>
    <row r="382" spans="1:41" x14ac:dyDescent="0.25">
      <c r="A382" s="10"/>
      <c r="B382" s="10"/>
      <c r="C382" s="10"/>
      <c r="D382" s="10"/>
      <c r="E382" s="10"/>
      <c r="F382" s="10"/>
      <c r="G382" s="10"/>
      <c r="H382" s="10"/>
      <c r="I382" s="1" t="str">
        <f t="shared" si="15"/>
        <v/>
      </c>
      <c r="J382" s="1" t="s">
        <v>35</v>
      </c>
      <c r="K382" s="1" t="str">
        <f t="shared" si="16"/>
        <v/>
      </c>
      <c r="L382" s="1" t="str">
        <f t="shared" si="17"/>
        <v/>
      </c>
      <c r="M382" s="1">
        <f>IF(OR(Table1[[#This Row],[Std Nom]]="",Table1[[#This Row],[Std Read]]=""),0,Table1[[#This Row],[Std Nom]]-Table1[[#This Row],[Std Read]])</f>
        <v>0</v>
      </c>
      <c r="N382" s="1">
        <f>IF(Calculations!$F$5="ACCREDITED 17025 WITH UNCERTAINTIES",$N$10,0)</f>
        <v>0</v>
      </c>
      <c r="O382" s="1" t="str">
        <f>IFERROR(Table1[[#This Row],[Std Nom]]-(_xlfn.XLOOKUP(Table1[[#This Row],[Manufacturer]]&amp;" "&amp;Table1[[#This Row],[Model]],Table13[MFR &amp; MDL],Table13[Tolerance % CW ],"")/100*Table1[[#This Row],[Std Nom]]),"")</f>
        <v/>
      </c>
      <c r="P382" s="1" t="str">
        <f>IFERROR(Table1[[#This Row],[Std Nom]]+(_xlfn.XLOOKUP(Table1[[#This Row],[Manufacturer]]&amp;" "&amp;Table1[[#This Row],[Model]],Table13[MFR &amp; MDL],Table13[Tolerance % CW ],"")/100*Table1[[#This Row],[Std Nom]]),"")</f>
        <v/>
      </c>
      <c r="Q382" s="1" t="e">
        <f>Table1[[#This Row],[High Tol]]-Table1[[#This Row],[Low Tol]]</f>
        <v>#VALUE!</v>
      </c>
      <c r="R382" s="1">
        <f>2*Table1[[#This Row],[Std Error]]</f>
        <v>0</v>
      </c>
      <c r="S382" s="1" t="str">
        <f>IF(Table1[[#This Row],[High Tol]]="","N/A",IFERROR(ABS(Table1[[#This Row],[Tol Span]]/Table1[[#This Row],[Error Span]]),"N/A"))</f>
        <v>N/A</v>
      </c>
      <c r="T382" s="1" t="str">
        <f>IF(OR(Table1[[#This Row],[Low Tol]]="",Table1[[#This Row],[High Tol]]=""),"Needs Analysis",IF(Table1[[#This Row],[Ratio]]&gt;=4,"Not Significant",IF(Table1[[#This Row],[Ratio]]&gt;=2,"Semi-Significant","Significant")))</f>
        <v>Needs Analysis</v>
      </c>
      <c r="W382" s="1">
        <f>IF(Table1[[#This Row],[Cal Type]]&lt;&gt;"ACCREDITED 17025 WITH UNCERTAINTIES",0,"")</f>
        <v>0</v>
      </c>
      <c r="X382" s="1" t="str">
        <f>IF(Table1[[#This Row],[DUT Read]]="","N/A",Table1[[#This Row],[Std Error]]+Table1[[#This Row],[DUT Read]]+Table1[[#This Row],[DUT Ucty]])</f>
        <v>N/A</v>
      </c>
      <c r="Y382" s="1" t="str">
        <f>IF(Table1[[#This Row],[Std Read]]="","N/A",Table1[[#This Row],[Std Read]]+Table1[[#This Row],[Std Ucty]])</f>
        <v>N/A</v>
      </c>
      <c r="Z3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2" s="1" t="str">
        <f>IF(Table1[[#This Row],[Spec Type]]="","N/A",Table1[[#This Row],[Spec Type]])</f>
        <v>±</v>
      </c>
      <c r="AC382" s="1" t="str">
        <f>IF(Table1[[#This Row],[Spec Type2]]="N/A","N/A",IF(AND(Table1[[#This Row],[DUT Adj Read]]&gt;=Table1[[#This Row],[Low Tol]],Table1[[#This Row],[DUT Adj Read]]&lt;=Table1[[#This Row],[High Tol]]),"Pass","Fail"))</f>
        <v>Fail</v>
      </c>
      <c r="AD382" s="1" t="str">
        <f>IF(AND(Table1[[#This Row],[Spec Type2]]="N/A",Table1[[#This Row],[DUT Adj Read]]="N/A",Table1[[#This Row],[Std Adj Read]]="N/A"),"N/A",IF(Table1[[#This Row],[DUT Adj Read]]="N/A",IF(Table1[[#This Row],[Std Adj Read]]&gt;Table1[[#This Row],[Low Tol]],"Pass","Fail"),IF(Table1[[#This Row],[DUT Adj Read]]&gt;Table1[[#This Row],[Low Tol]],"Pass","Fail")))</f>
        <v>Pass</v>
      </c>
      <c r="AE382" s="1" t="str">
        <f>IF(AND(Table1[[#This Row],[Spec Type2]]="N/A",Table1[[#This Row],[DUT Adj Read]]="N/A",Table1[[#This Row],[Std Adj Read]]="N/A"),"N/A",IF(Table1[[#This Row],[DUT Adj Read]]="N/A",IF(Table1[[#This Row],[Std Adj Read]]&lt;Table1[[#This Row],[High Tol]],"Pass","Fail"),IF(Table1[[#This Row],[DUT Adj Read]]&lt;Table1[[#This Row],[High Tol]],"Pass","Fail")))</f>
        <v>Fail</v>
      </c>
      <c r="AF382" s="1" t="str">
        <f>IF(AND(Table1[[#This Row],[Spec Type2]]="N/A",Table1[[#This Row],[DUT Adj Read]]="N/A",Table1[[#This Row],[Std Adj Read]]="N/A"),"N/A",IF(Table1[[#This Row],[DUT Adj Read]]="N/A",IF(Table1[[#This Row],[Std Adj Read]]&gt;=Table1[[#This Row],[Low Tol]],"Pass","Fail"),IF(Table1[[#This Row],[DUT Adj Read]]&gt;=Table1[[#This Row],[Low Tol]],"Pass","Fail")))</f>
        <v>Pass</v>
      </c>
      <c r="AG382" s="1" t="str">
        <f>IF(AND(Table1[[#This Row],[Spec Type2]]="N/A",Table1[[#This Row],[DUT Adj Read]]="N/A",Table1[[#This Row],[Std Adj Read]]="N/A"),"N/A",IF(Table1[[#This Row],[DUT Adj Read]]="N/A",IF(Table1[[#This Row],[Std Adj Read]]&lt;=Table1[[#This Row],[High Tol]],"Pass","Fail"),IF(Table1[[#This Row],[DUT Adj Read]]&lt;=Table1[[#This Row],[High Tol]],"Pass","Fail")))</f>
        <v>Fail</v>
      </c>
      <c r="AH3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2" s="1" t="b">
        <v>0</v>
      </c>
      <c r="AN382" s="1" t="b">
        <v>0</v>
      </c>
      <c r="AO382" s="1" t="b">
        <v>0</v>
      </c>
    </row>
    <row r="383" spans="1:41" x14ac:dyDescent="0.25">
      <c r="A383" s="10"/>
      <c r="B383" s="10"/>
      <c r="C383" s="10"/>
      <c r="D383" s="10"/>
      <c r="E383" s="10"/>
      <c r="F383" s="10"/>
      <c r="G383" s="10"/>
      <c r="H383" s="10"/>
      <c r="I383" s="1" t="str">
        <f t="shared" si="15"/>
        <v/>
      </c>
      <c r="J383" s="1" t="s">
        <v>35</v>
      </c>
      <c r="K383" s="1" t="str">
        <f t="shared" si="16"/>
        <v/>
      </c>
      <c r="L383" s="1" t="str">
        <f t="shared" si="17"/>
        <v/>
      </c>
      <c r="M383" s="1">
        <f>IF(OR(Table1[[#This Row],[Std Nom]]="",Table1[[#This Row],[Std Read]]=""),0,Table1[[#This Row],[Std Nom]]-Table1[[#This Row],[Std Read]])</f>
        <v>0</v>
      </c>
      <c r="N383" s="1">
        <f>IF(Calculations!$F$5="ACCREDITED 17025 WITH UNCERTAINTIES",$N$10,0)</f>
        <v>0</v>
      </c>
      <c r="O383" s="1" t="str">
        <f>IFERROR(Table1[[#This Row],[Std Nom]]-(_xlfn.XLOOKUP(Table1[[#This Row],[Manufacturer]]&amp;" "&amp;Table1[[#This Row],[Model]],Table13[MFR &amp; MDL],Table13[Tolerance % CW ],"")/100*Table1[[#This Row],[Std Nom]]),"")</f>
        <v/>
      </c>
      <c r="P383" s="1" t="str">
        <f>IFERROR(Table1[[#This Row],[Std Nom]]+(_xlfn.XLOOKUP(Table1[[#This Row],[Manufacturer]]&amp;" "&amp;Table1[[#This Row],[Model]],Table13[MFR &amp; MDL],Table13[Tolerance % CW ],"")/100*Table1[[#This Row],[Std Nom]]),"")</f>
        <v/>
      </c>
      <c r="Q383" s="1" t="e">
        <f>Table1[[#This Row],[High Tol]]-Table1[[#This Row],[Low Tol]]</f>
        <v>#VALUE!</v>
      </c>
      <c r="R383" s="1">
        <f>2*Table1[[#This Row],[Std Error]]</f>
        <v>0</v>
      </c>
      <c r="S383" s="1" t="str">
        <f>IF(Table1[[#This Row],[High Tol]]="","N/A",IFERROR(ABS(Table1[[#This Row],[Tol Span]]/Table1[[#This Row],[Error Span]]),"N/A"))</f>
        <v>N/A</v>
      </c>
      <c r="T383" s="1" t="str">
        <f>IF(OR(Table1[[#This Row],[Low Tol]]="",Table1[[#This Row],[High Tol]]=""),"Needs Analysis",IF(Table1[[#This Row],[Ratio]]&gt;=4,"Not Significant",IF(Table1[[#This Row],[Ratio]]&gt;=2,"Semi-Significant","Significant")))</f>
        <v>Needs Analysis</v>
      </c>
      <c r="W383" s="1">
        <f>IF(Table1[[#This Row],[Cal Type]]&lt;&gt;"ACCREDITED 17025 WITH UNCERTAINTIES",0,"")</f>
        <v>0</v>
      </c>
      <c r="X383" s="1" t="str">
        <f>IF(Table1[[#This Row],[DUT Read]]="","N/A",Table1[[#This Row],[Std Error]]+Table1[[#This Row],[DUT Read]]+Table1[[#This Row],[DUT Ucty]])</f>
        <v>N/A</v>
      </c>
      <c r="Y383" s="1" t="str">
        <f>IF(Table1[[#This Row],[Std Read]]="","N/A",Table1[[#This Row],[Std Read]]+Table1[[#This Row],[Std Ucty]])</f>
        <v>N/A</v>
      </c>
      <c r="Z3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3" s="1" t="str">
        <f>IF(Table1[[#This Row],[Spec Type]]="","N/A",Table1[[#This Row],[Spec Type]])</f>
        <v>±</v>
      </c>
      <c r="AC383" s="1" t="str">
        <f>IF(Table1[[#This Row],[Spec Type2]]="N/A","N/A",IF(AND(Table1[[#This Row],[DUT Adj Read]]&gt;=Table1[[#This Row],[Low Tol]],Table1[[#This Row],[DUT Adj Read]]&lt;=Table1[[#This Row],[High Tol]]),"Pass","Fail"))</f>
        <v>Fail</v>
      </c>
      <c r="AD383" s="1" t="str">
        <f>IF(AND(Table1[[#This Row],[Spec Type2]]="N/A",Table1[[#This Row],[DUT Adj Read]]="N/A",Table1[[#This Row],[Std Adj Read]]="N/A"),"N/A",IF(Table1[[#This Row],[DUT Adj Read]]="N/A",IF(Table1[[#This Row],[Std Adj Read]]&gt;Table1[[#This Row],[Low Tol]],"Pass","Fail"),IF(Table1[[#This Row],[DUT Adj Read]]&gt;Table1[[#This Row],[Low Tol]],"Pass","Fail")))</f>
        <v>Pass</v>
      </c>
      <c r="AE383" s="1" t="str">
        <f>IF(AND(Table1[[#This Row],[Spec Type2]]="N/A",Table1[[#This Row],[DUT Adj Read]]="N/A",Table1[[#This Row],[Std Adj Read]]="N/A"),"N/A",IF(Table1[[#This Row],[DUT Adj Read]]="N/A",IF(Table1[[#This Row],[Std Adj Read]]&lt;Table1[[#This Row],[High Tol]],"Pass","Fail"),IF(Table1[[#This Row],[DUT Adj Read]]&lt;Table1[[#This Row],[High Tol]],"Pass","Fail")))</f>
        <v>Fail</v>
      </c>
      <c r="AF383" s="1" t="str">
        <f>IF(AND(Table1[[#This Row],[Spec Type2]]="N/A",Table1[[#This Row],[DUT Adj Read]]="N/A",Table1[[#This Row],[Std Adj Read]]="N/A"),"N/A",IF(Table1[[#This Row],[DUT Adj Read]]="N/A",IF(Table1[[#This Row],[Std Adj Read]]&gt;=Table1[[#This Row],[Low Tol]],"Pass","Fail"),IF(Table1[[#This Row],[DUT Adj Read]]&gt;=Table1[[#This Row],[Low Tol]],"Pass","Fail")))</f>
        <v>Pass</v>
      </c>
      <c r="AG383" s="1" t="str">
        <f>IF(AND(Table1[[#This Row],[Spec Type2]]="N/A",Table1[[#This Row],[DUT Adj Read]]="N/A",Table1[[#This Row],[Std Adj Read]]="N/A"),"N/A",IF(Table1[[#This Row],[DUT Adj Read]]="N/A",IF(Table1[[#This Row],[Std Adj Read]]&lt;=Table1[[#This Row],[High Tol]],"Pass","Fail"),IF(Table1[[#This Row],[DUT Adj Read]]&lt;=Table1[[#This Row],[High Tol]],"Pass","Fail")))</f>
        <v>Fail</v>
      </c>
      <c r="AH3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3" s="1" t="b">
        <v>0</v>
      </c>
      <c r="AN383" s="1" t="b">
        <v>0</v>
      </c>
      <c r="AO383" s="1" t="b">
        <v>0</v>
      </c>
    </row>
    <row r="384" spans="1:41" x14ac:dyDescent="0.25">
      <c r="A384" s="10"/>
      <c r="B384" s="10"/>
      <c r="C384" s="10"/>
      <c r="D384" s="10"/>
      <c r="E384" s="10"/>
      <c r="F384" s="10"/>
      <c r="G384" s="10"/>
      <c r="H384" s="10"/>
      <c r="I384" s="1" t="str">
        <f t="shared" si="15"/>
        <v/>
      </c>
      <c r="J384" s="1" t="s">
        <v>35</v>
      </c>
      <c r="K384" s="1" t="str">
        <f t="shared" si="16"/>
        <v/>
      </c>
      <c r="L384" s="1" t="str">
        <f t="shared" si="17"/>
        <v/>
      </c>
      <c r="M384" s="1">
        <f>IF(OR(Table1[[#This Row],[Std Nom]]="",Table1[[#This Row],[Std Read]]=""),0,Table1[[#This Row],[Std Nom]]-Table1[[#This Row],[Std Read]])</f>
        <v>0</v>
      </c>
      <c r="N384" s="1">
        <f>IF(Calculations!$F$5="ACCREDITED 17025 WITH UNCERTAINTIES",$N$10,0)</f>
        <v>0</v>
      </c>
      <c r="O384" s="1" t="str">
        <f>IFERROR(Table1[[#This Row],[Std Nom]]-(_xlfn.XLOOKUP(Table1[[#This Row],[Manufacturer]]&amp;" "&amp;Table1[[#This Row],[Model]],Table13[MFR &amp; MDL],Table13[Tolerance % CW ],"")/100*Table1[[#This Row],[Std Nom]]),"")</f>
        <v/>
      </c>
      <c r="P384" s="1" t="str">
        <f>IFERROR(Table1[[#This Row],[Std Nom]]+(_xlfn.XLOOKUP(Table1[[#This Row],[Manufacturer]]&amp;" "&amp;Table1[[#This Row],[Model]],Table13[MFR &amp; MDL],Table13[Tolerance % CW ],"")/100*Table1[[#This Row],[Std Nom]]),"")</f>
        <v/>
      </c>
      <c r="Q384" s="1" t="e">
        <f>Table1[[#This Row],[High Tol]]-Table1[[#This Row],[Low Tol]]</f>
        <v>#VALUE!</v>
      </c>
      <c r="R384" s="1">
        <f>2*Table1[[#This Row],[Std Error]]</f>
        <v>0</v>
      </c>
      <c r="S384" s="1" t="str">
        <f>IF(Table1[[#This Row],[High Tol]]="","N/A",IFERROR(ABS(Table1[[#This Row],[Tol Span]]/Table1[[#This Row],[Error Span]]),"N/A"))</f>
        <v>N/A</v>
      </c>
      <c r="T384" s="1" t="str">
        <f>IF(OR(Table1[[#This Row],[Low Tol]]="",Table1[[#This Row],[High Tol]]=""),"Needs Analysis",IF(Table1[[#This Row],[Ratio]]&gt;=4,"Not Significant",IF(Table1[[#This Row],[Ratio]]&gt;=2,"Semi-Significant","Significant")))</f>
        <v>Needs Analysis</v>
      </c>
      <c r="W384" s="1">
        <f>IF(Table1[[#This Row],[Cal Type]]&lt;&gt;"ACCREDITED 17025 WITH UNCERTAINTIES",0,"")</f>
        <v>0</v>
      </c>
      <c r="X384" s="1" t="str">
        <f>IF(Table1[[#This Row],[DUT Read]]="","N/A",Table1[[#This Row],[Std Error]]+Table1[[#This Row],[DUT Read]]+Table1[[#This Row],[DUT Ucty]])</f>
        <v>N/A</v>
      </c>
      <c r="Y384" s="1" t="str">
        <f>IF(Table1[[#This Row],[Std Read]]="","N/A",Table1[[#This Row],[Std Read]]+Table1[[#This Row],[Std Ucty]])</f>
        <v>N/A</v>
      </c>
      <c r="Z3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4" s="1" t="str">
        <f>IF(Table1[[#This Row],[Spec Type]]="","N/A",Table1[[#This Row],[Spec Type]])</f>
        <v>±</v>
      </c>
      <c r="AC384" s="1" t="str">
        <f>IF(Table1[[#This Row],[Spec Type2]]="N/A","N/A",IF(AND(Table1[[#This Row],[DUT Adj Read]]&gt;=Table1[[#This Row],[Low Tol]],Table1[[#This Row],[DUT Adj Read]]&lt;=Table1[[#This Row],[High Tol]]),"Pass","Fail"))</f>
        <v>Fail</v>
      </c>
      <c r="AD384" s="1" t="str">
        <f>IF(AND(Table1[[#This Row],[Spec Type2]]="N/A",Table1[[#This Row],[DUT Adj Read]]="N/A",Table1[[#This Row],[Std Adj Read]]="N/A"),"N/A",IF(Table1[[#This Row],[DUT Adj Read]]="N/A",IF(Table1[[#This Row],[Std Adj Read]]&gt;Table1[[#This Row],[Low Tol]],"Pass","Fail"),IF(Table1[[#This Row],[DUT Adj Read]]&gt;Table1[[#This Row],[Low Tol]],"Pass","Fail")))</f>
        <v>Pass</v>
      </c>
      <c r="AE384" s="1" t="str">
        <f>IF(AND(Table1[[#This Row],[Spec Type2]]="N/A",Table1[[#This Row],[DUT Adj Read]]="N/A",Table1[[#This Row],[Std Adj Read]]="N/A"),"N/A",IF(Table1[[#This Row],[DUT Adj Read]]="N/A",IF(Table1[[#This Row],[Std Adj Read]]&lt;Table1[[#This Row],[High Tol]],"Pass","Fail"),IF(Table1[[#This Row],[DUT Adj Read]]&lt;Table1[[#This Row],[High Tol]],"Pass","Fail")))</f>
        <v>Fail</v>
      </c>
      <c r="AF384" s="1" t="str">
        <f>IF(AND(Table1[[#This Row],[Spec Type2]]="N/A",Table1[[#This Row],[DUT Adj Read]]="N/A",Table1[[#This Row],[Std Adj Read]]="N/A"),"N/A",IF(Table1[[#This Row],[DUT Adj Read]]="N/A",IF(Table1[[#This Row],[Std Adj Read]]&gt;=Table1[[#This Row],[Low Tol]],"Pass","Fail"),IF(Table1[[#This Row],[DUT Adj Read]]&gt;=Table1[[#This Row],[Low Tol]],"Pass","Fail")))</f>
        <v>Pass</v>
      </c>
      <c r="AG384" s="1" t="str">
        <f>IF(AND(Table1[[#This Row],[Spec Type2]]="N/A",Table1[[#This Row],[DUT Adj Read]]="N/A",Table1[[#This Row],[Std Adj Read]]="N/A"),"N/A",IF(Table1[[#This Row],[DUT Adj Read]]="N/A",IF(Table1[[#This Row],[Std Adj Read]]&lt;=Table1[[#This Row],[High Tol]],"Pass","Fail"),IF(Table1[[#This Row],[DUT Adj Read]]&lt;=Table1[[#This Row],[High Tol]],"Pass","Fail")))</f>
        <v>Fail</v>
      </c>
      <c r="AH3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4" s="1" t="b">
        <v>0</v>
      </c>
      <c r="AN384" s="1" t="b">
        <v>0</v>
      </c>
      <c r="AO384" s="1" t="b">
        <v>0</v>
      </c>
    </row>
    <row r="385" spans="1:41" x14ac:dyDescent="0.25">
      <c r="A385" s="10"/>
      <c r="B385" s="10"/>
      <c r="C385" s="10"/>
      <c r="D385" s="10"/>
      <c r="E385" s="10"/>
      <c r="F385" s="10"/>
      <c r="G385" s="10"/>
      <c r="H385" s="10"/>
      <c r="I385" s="1" t="str">
        <f t="shared" si="15"/>
        <v/>
      </c>
      <c r="J385" s="1" t="s">
        <v>35</v>
      </c>
      <c r="K385" s="1" t="str">
        <f t="shared" si="16"/>
        <v/>
      </c>
      <c r="L385" s="1" t="str">
        <f t="shared" si="17"/>
        <v/>
      </c>
      <c r="M385" s="1">
        <f>IF(OR(Table1[[#This Row],[Std Nom]]="",Table1[[#This Row],[Std Read]]=""),0,Table1[[#This Row],[Std Nom]]-Table1[[#This Row],[Std Read]])</f>
        <v>0</v>
      </c>
      <c r="N385" s="1">
        <f>IF(Calculations!$F$5="ACCREDITED 17025 WITH UNCERTAINTIES",$N$10,0)</f>
        <v>0</v>
      </c>
      <c r="O385" s="1" t="str">
        <f>IFERROR(Table1[[#This Row],[Std Nom]]-(_xlfn.XLOOKUP(Table1[[#This Row],[Manufacturer]]&amp;" "&amp;Table1[[#This Row],[Model]],Table13[MFR &amp; MDL],Table13[Tolerance % CW ],"")/100*Table1[[#This Row],[Std Nom]]),"")</f>
        <v/>
      </c>
      <c r="P385" s="1" t="str">
        <f>IFERROR(Table1[[#This Row],[Std Nom]]+(_xlfn.XLOOKUP(Table1[[#This Row],[Manufacturer]]&amp;" "&amp;Table1[[#This Row],[Model]],Table13[MFR &amp; MDL],Table13[Tolerance % CW ],"")/100*Table1[[#This Row],[Std Nom]]),"")</f>
        <v/>
      </c>
      <c r="Q385" s="1" t="e">
        <f>Table1[[#This Row],[High Tol]]-Table1[[#This Row],[Low Tol]]</f>
        <v>#VALUE!</v>
      </c>
      <c r="R385" s="1">
        <f>2*Table1[[#This Row],[Std Error]]</f>
        <v>0</v>
      </c>
      <c r="S385" s="1" t="str">
        <f>IF(Table1[[#This Row],[High Tol]]="","N/A",IFERROR(ABS(Table1[[#This Row],[Tol Span]]/Table1[[#This Row],[Error Span]]),"N/A"))</f>
        <v>N/A</v>
      </c>
      <c r="T385" s="1" t="str">
        <f>IF(OR(Table1[[#This Row],[Low Tol]]="",Table1[[#This Row],[High Tol]]=""),"Needs Analysis",IF(Table1[[#This Row],[Ratio]]&gt;=4,"Not Significant",IF(Table1[[#This Row],[Ratio]]&gt;=2,"Semi-Significant","Significant")))</f>
        <v>Needs Analysis</v>
      </c>
      <c r="W385" s="1">
        <f>IF(Table1[[#This Row],[Cal Type]]&lt;&gt;"ACCREDITED 17025 WITH UNCERTAINTIES",0,"")</f>
        <v>0</v>
      </c>
      <c r="X385" s="1" t="str">
        <f>IF(Table1[[#This Row],[DUT Read]]="","N/A",Table1[[#This Row],[Std Error]]+Table1[[#This Row],[DUT Read]]+Table1[[#This Row],[DUT Ucty]])</f>
        <v>N/A</v>
      </c>
      <c r="Y385" s="1" t="str">
        <f>IF(Table1[[#This Row],[Std Read]]="","N/A",Table1[[#This Row],[Std Read]]+Table1[[#This Row],[Std Ucty]])</f>
        <v>N/A</v>
      </c>
      <c r="Z3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5" s="1" t="str">
        <f>IF(Table1[[#This Row],[Spec Type]]="","N/A",Table1[[#This Row],[Spec Type]])</f>
        <v>±</v>
      </c>
      <c r="AC385" s="1" t="str">
        <f>IF(Table1[[#This Row],[Spec Type2]]="N/A","N/A",IF(AND(Table1[[#This Row],[DUT Adj Read]]&gt;=Table1[[#This Row],[Low Tol]],Table1[[#This Row],[DUT Adj Read]]&lt;=Table1[[#This Row],[High Tol]]),"Pass","Fail"))</f>
        <v>Fail</v>
      </c>
      <c r="AD385" s="1" t="str">
        <f>IF(AND(Table1[[#This Row],[Spec Type2]]="N/A",Table1[[#This Row],[DUT Adj Read]]="N/A",Table1[[#This Row],[Std Adj Read]]="N/A"),"N/A",IF(Table1[[#This Row],[DUT Adj Read]]="N/A",IF(Table1[[#This Row],[Std Adj Read]]&gt;Table1[[#This Row],[Low Tol]],"Pass","Fail"),IF(Table1[[#This Row],[DUT Adj Read]]&gt;Table1[[#This Row],[Low Tol]],"Pass","Fail")))</f>
        <v>Pass</v>
      </c>
      <c r="AE385" s="1" t="str">
        <f>IF(AND(Table1[[#This Row],[Spec Type2]]="N/A",Table1[[#This Row],[DUT Adj Read]]="N/A",Table1[[#This Row],[Std Adj Read]]="N/A"),"N/A",IF(Table1[[#This Row],[DUT Adj Read]]="N/A",IF(Table1[[#This Row],[Std Adj Read]]&lt;Table1[[#This Row],[High Tol]],"Pass","Fail"),IF(Table1[[#This Row],[DUT Adj Read]]&lt;Table1[[#This Row],[High Tol]],"Pass","Fail")))</f>
        <v>Fail</v>
      </c>
      <c r="AF385" s="1" t="str">
        <f>IF(AND(Table1[[#This Row],[Spec Type2]]="N/A",Table1[[#This Row],[DUT Adj Read]]="N/A",Table1[[#This Row],[Std Adj Read]]="N/A"),"N/A",IF(Table1[[#This Row],[DUT Adj Read]]="N/A",IF(Table1[[#This Row],[Std Adj Read]]&gt;=Table1[[#This Row],[Low Tol]],"Pass","Fail"),IF(Table1[[#This Row],[DUT Adj Read]]&gt;=Table1[[#This Row],[Low Tol]],"Pass","Fail")))</f>
        <v>Pass</v>
      </c>
      <c r="AG385" s="1" t="str">
        <f>IF(AND(Table1[[#This Row],[Spec Type2]]="N/A",Table1[[#This Row],[DUT Adj Read]]="N/A",Table1[[#This Row],[Std Adj Read]]="N/A"),"N/A",IF(Table1[[#This Row],[DUT Adj Read]]="N/A",IF(Table1[[#This Row],[Std Adj Read]]&lt;=Table1[[#This Row],[High Tol]],"Pass","Fail"),IF(Table1[[#This Row],[DUT Adj Read]]&lt;=Table1[[#This Row],[High Tol]],"Pass","Fail")))</f>
        <v>Fail</v>
      </c>
      <c r="AH3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5" s="1" t="b">
        <v>0</v>
      </c>
      <c r="AN385" s="1" t="b">
        <v>0</v>
      </c>
      <c r="AO385" s="1" t="b">
        <v>0</v>
      </c>
    </row>
    <row r="386" spans="1:41" x14ac:dyDescent="0.25">
      <c r="A386" s="10"/>
      <c r="B386" s="10"/>
      <c r="C386" s="10"/>
      <c r="D386" s="10"/>
      <c r="E386" s="10"/>
      <c r="F386" s="10"/>
      <c r="G386" s="10"/>
      <c r="H386" s="10"/>
      <c r="I386" s="1" t="str">
        <f t="shared" si="15"/>
        <v/>
      </c>
      <c r="J386" s="1" t="s">
        <v>35</v>
      </c>
      <c r="K386" s="1" t="str">
        <f t="shared" si="16"/>
        <v/>
      </c>
      <c r="L386" s="1" t="str">
        <f t="shared" si="17"/>
        <v/>
      </c>
      <c r="M386" s="1">
        <f>IF(OR(Table1[[#This Row],[Std Nom]]="",Table1[[#This Row],[Std Read]]=""),0,Table1[[#This Row],[Std Nom]]-Table1[[#This Row],[Std Read]])</f>
        <v>0</v>
      </c>
      <c r="N386" s="1">
        <f>IF(Calculations!$F$5="ACCREDITED 17025 WITH UNCERTAINTIES",$N$10,0)</f>
        <v>0</v>
      </c>
      <c r="O386" s="1" t="str">
        <f>IFERROR(Table1[[#This Row],[Std Nom]]-(_xlfn.XLOOKUP(Table1[[#This Row],[Manufacturer]]&amp;" "&amp;Table1[[#This Row],[Model]],Table13[MFR &amp; MDL],Table13[Tolerance % CW ],"")/100*Table1[[#This Row],[Std Nom]]),"")</f>
        <v/>
      </c>
      <c r="P386" s="1" t="str">
        <f>IFERROR(Table1[[#This Row],[Std Nom]]+(_xlfn.XLOOKUP(Table1[[#This Row],[Manufacturer]]&amp;" "&amp;Table1[[#This Row],[Model]],Table13[MFR &amp; MDL],Table13[Tolerance % CW ],"")/100*Table1[[#This Row],[Std Nom]]),"")</f>
        <v/>
      </c>
      <c r="Q386" s="1" t="e">
        <f>Table1[[#This Row],[High Tol]]-Table1[[#This Row],[Low Tol]]</f>
        <v>#VALUE!</v>
      </c>
      <c r="R386" s="1">
        <f>2*Table1[[#This Row],[Std Error]]</f>
        <v>0</v>
      </c>
      <c r="S386" s="1" t="str">
        <f>IF(Table1[[#This Row],[High Tol]]="","N/A",IFERROR(ABS(Table1[[#This Row],[Tol Span]]/Table1[[#This Row],[Error Span]]),"N/A"))</f>
        <v>N/A</v>
      </c>
      <c r="T386" s="1" t="str">
        <f>IF(OR(Table1[[#This Row],[Low Tol]]="",Table1[[#This Row],[High Tol]]=""),"Needs Analysis",IF(Table1[[#This Row],[Ratio]]&gt;=4,"Not Significant",IF(Table1[[#This Row],[Ratio]]&gt;=2,"Semi-Significant","Significant")))</f>
        <v>Needs Analysis</v>
      </c>
      <c r="W386" s="1">
        <f>IF(Table1[[#This Row],[Cal Type]]&lt;&gt;"ACCREDITED 17025 WITH UNCERTAINTIES",0,"")</f>
        <v>0</v>
      </c>
      <c r="X386" s="1" t="str">
        <f>IF(Table1[[#This Row],[DUT Read]]="","N/A",Table1[[#This Row],[Std Error]]+Table1[[#This Row],[DUT Read]]+Table1[[#This Row],[DUT Ucty]])</f>
        <v>N/A</v>
      </c>
      <c r="Y386" s="1" t="str">
        <f>IF(Table1[[#This Row],[Std Read]]="","N/A",Table1[[#This Row],[Std Read]]+Table1[[#This Row],[Std Ucty]])</f>
        <v>N/A</v>
      </c>
      <c r="Z3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6" s="1" t="str">
        <f>IF(Table1[[#This Row],[Spec Type]]="","N/A",Table1[[#This Row],[Spec Type]])</f>
        <v>±</v>
      </c>
      <c r="AC386" s="1" t="str">
        <f>IF(Table1[[#This Row],[Spec Type2]]="N/A","N/A",IF(AND(Table1[[#This Row],[DUT Adj Read]]&gt;=Table1[[#This Row],[Low Tol]],Table1[[#This Row],[DUT Adj Read]]&lt;=Table1[[#This Row],[High Tol]]),"Pass","Fail"))</f>
        <v>Fail</v>
      </c>
      <c r="AD386" s="1" t="str">
        <f>IF(AND(Table1[[#This Row],[Spec Type2]]="N/A",Table1[[#This Row],[DUT Adj Read]]="N/A",Table1[[#This Row],[Std Adj Read]]="N/A"),"N/A",IF(Table1[[#This Row],[DUT Adj Read]]="N/A",IF(Table1[[#This Row],[Std Adj Read]]&gt;Table1[[#This Row],[Low Tol]],"Pass","Fail"),IF(Table1[[#This Row],[DUT Adj Read]]&gt;Table1[[#This Row],[Low Tol]],"Pass","Fail")))</f>
        <v>Pass</v>
      </c>
      <c r="AE386" s="1" t="str">
        <f>IF(AND(Table1[[#This Row],[Spec Type2]]="N/A",Table1[[#This Row],[DUT Adj Read]]="N/A",Table1[[#This Row],[Std Adj Read]]="N/A"),"N/A",IF(Table1[[#This Row],[DUT Adj Read]]="N/A",IF(Table1[[#This Row],[Std Adj Read]]&lt;Table1[[#This Row],[High Tol]],"Pass","Fail"),IF(Table1[[#This Row],[DUT Adj Read]]&lt;Table1[[#This Row],[High Tol]],"Pass","Fail")))</f>
        <v>Fail</v>
      </c>
      <c r="AF386" s="1" t="str">
        <f>IF(AND(Table1[[#This Row],[Spec Type2]]="N/A",Table1[[#This Row],[DUT Adj Read]]="N/A",Table1[[#This Row],[Std Adj Read]]="N/A"),"N/A",IF(Table1[[#This Row],[DUT Adj Read]]="N/A",IF(Table1[[#This Row],[Std Adj Read]]&gt;=Table1[[#This Row],[Low Tol]],"Pass","Fail"),IF(Table1[[#This Row],[DUT Adj Read]]&gt;=Table1[[#This Row],[Low Tol]],"Pass","Fail")))</f>
        <v>Pass</v>
      </c>
      <c r="AG386" s="1" t="str">
        <f>IF(AND(Table1[[#This Row],[Spec Type2]]="N/A",Table1[[#This Row],[DUT Adj Read]]="N/A",Table1[[#This Row],[Std Adj Read]]="N/A"),"N/A",IF(Table1[[#This Row],[DUT Adj Read]]="N/A",IF(Table1[[#This Row],[Std Adj Read]]&lt;=Table1[[#This Row],[High Tol]],"Pass","Fail"),IF(Table1[[#This Row],[DUT Adj Read]]&lt;=Table1[[#This Row],[High Tol]],"Pass","Fail")))</f>
        <v>Fail</v>
      </c>
      <c r="AH3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6" s="1" t="b">
        <v>0</v>
      </c>
      <c r="AN386" s="1" t="b">
        <v>0</v>
      </c>
      <c r="AO386" s="1" t="b">
        <v>0</v>
      </c>
    </row>
    <row r="387" spans="1:41" x14ac:dyDescent="0.25">
      <c r="A387" s="10"/>
      <c r="B387" s="10"/>
      <c r="C387" s="10"/>
      <c r="D387" s="10"/>
      <c r="E387" s="10"/>
      <c r="F387" s="10"/>
      <c r="G387" s="10"/>
      <c r="H387" s="10"/>
      <c r="I387" s="1" t="str">
        <f t="shared" si="15"/>
        <v/>
      </c>
      <c r="J387" s="1" t="s">
        <v>35</v>
      </c>
      <c r="K387" s="1" t="str">
        <f t="shared" si="16"/>
        <v/>
      </c>
      <c r="L387" s="1" t="str">
        <f t="shared" si="17"/>
        <v/>
      </c>
      <c r="M387" s="1">
        <f>IF(OR(Table1[[#This Row],[Std Nom]]="",Table1[[#This Row],[Std Read]]=""),0,Table1[[#This Row],[Std Nom]]-Table1[[#This Row],[Std Read]])</f>
        <v>0</v>
      </c>
      <c r="N387" s="1">
        <f>IF(Calculations!$F$5="ACCREDITED 17025 WITH UNCERTAINTIES",$N$10,0)</f>
        <v>0</v>
      </c>
      <c r="O387" s="1" t="str">
        <f>IFERROR(Table1[[#This Row],[Std Nom]]-(_xlfn.XLOOKUP(Table1[[#This Row],[Manufacturer]]&amp;" "&amp;Table1[[#This Row],[Model]],Table13[MFR &amp; MDL],Table13[Tolerance % CW ],"")/100*Table1[[#This Row],[Std Nom]]),"")</f>
        <v/>
      </c>
      <c r="P387" s="1" t="str">
        <f>IFERROR(Table1[[#This Row],[Std Nom]]+(_xlfn.XLOOKUP(Table1[[#This Row],[Manufacturer]]&amp;" "&amp;Table1[[#This Row],[Model]],Table13[MFR &amp; MDL],Table13[Tolerance % CW ],"")/100*Table1[[#This Row],[Std Nom]]),"")</f>
        <v/>
      </c>
      <c r="Q387" s="1" t="e">
        <f>Table1[[#This Row],[High Tol]]-Table1[[#This Row],[Low Tol]]</f>
        <v>#VALUE!</v>
      </c>
      <c r="R387" s="1">
        <f>2*Table1[[#This Row],[Std Error]]</f>
        <v>0</v>
      </c>
      <c r="S387" s="1" t="str">
        <f>IF(Table1[[#This Row],[High Tol]]="","N/A",IFERROR(ABS(Table1[[#This Row],[Tol Span]]/Table1[[#This Row],[Error Span]]),"N/A"))</f>
        <v>N/A</v>
      </c>
      <c r="T387" s="1" t="str">
        <f>IF(OR(Table1[[#This Row],[Low Tol]]="",Table1[[#This Row],[High Tol]]=""),"Needs Analysis",IF(Table1[[#This Row],[Ratio]]&gt;=4,"Not Significant",IF(Table1[[#This Row],[Ratio]]&gt;=2,"Semi-Significant","Significant")))</f>
        <v>Needs Analysis</v>
      </c>
      <c r="W387" s="1">
        <f>IF(Table1[[#This Row],[Cal Type]]&lt;&gt;"ACCREDITED 17025 WITH UNCERTAINTIES",0,"")</f>
        <v>0</v>
      </c>
      <c r="X387" s="1" t="str">
        <f>IF(Table1[[#This Row],[DUT Read]]="","N/A",Table1[[#This Row],[Std Error]]+Table1[[#This Row],[DUT Read]]+Table1[[#This Row],[DUT Ucty]])</f>
        <v>N/A</v>
      </c>
      <c r="Y387" s="1" t="str">
        <f>IF(Table1[[#This Row],[Std Read]]="","N/A",Table1[[#This Row],[Std Read]]+Table1[[#This Row],[Std Ucty]])</f>
        <v>N/A</v>
      </c>
      <c r="Z3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7" s="1" t="str">
        <f>IF(Table1[[#This Row],[Spec Type]]="","N/A",Table1[[#This Row],[Spec Type]])</f>
        <v>±</v>
      </c>
      <c r="AC387" s="1" t="str">
        <f>IF(Table1[[#This Row],[Spec Type2]]="N/A","N/A",IF(AND(Table1[[#This Row],[DUT Adj Read]]&gt;=Table1[[#This Row],[Low Tol]],Table1[[#This Row],[DUT Adj Read]]&lt;=Table1[[#This Row],[High Tol]]),"Pass","Fail"))</f>
        <v>Fail</v>
      </c>
      <c r="AD387" s="1" t="str">
        <f>IF(AND(Table1[[#This Row],[Spec Type2]]="N/A",Table1[[#This Row],[DUT Adj Read]]="N/A",Table1[[#This Row],[Std Adj Read]]="N/A"),"N/A",IF(Table1[[#This Row],[DUT Adj Read]]="N/A",IF(Table1[[#This Row],[Std Adj Read]]&gt;Table1[[#This Row],[Low Tol]],"Pass","Fail"),IF(Table1[[#This Row],[DUT Adj Read]]&gt;Table1[[#This Row],[Low Tol]],"Pass","Fail")))</f>
        <v>Pass</v>
      </c>
      <c r="AE387" s="1" t="str">
        <f>IF(AND(Table1[[#This Row],[Spec Type2]]="N/A",Table1[[#This Row],[DUT Adj Read]]="N/A",Table1[[#This Row],[Std Adj Read]]="N/A"),"N/A",IF(Table1[[#This Row],[DUT Adj Read]]="N/A",IF(Table1[[#This Row],[Std Adj Read]]&lt;Table1[[#This Row],[High Tol]],"Pass","Fail"),IF(Table1[[#This Row],[DUT Adj Read]]&lt;Table1[[#This Row],[High Tol]],"Pass","Fail")))</f>
        <v>Fail</v>
      </c>
      <c r="AF387" s="1" t="str">
        <f>IF(AND(Table1[[#This Row],[Spec Type2]]="N/A",Table1[[#This Row],[DUT Adj Read]]="N/A",Table1[[#This Row],[Std Adj Read]]="N/A"),"N/A",IF(Table1[[#This Row],[DUT Adj Read]]="N/A",IF(Table1[[#This Row],[Std Adj Read]]&gt;=Table1[[#This Row],[Low Tol]],"Pass","Fail"),IF(Table1[[#This Row],[DUT Adj Read]]&gt;=Table1[[#This Row],[Low Tol]],"Pass","Fail")))</f>
        <v>Pass</v>
      </c>
      <c r="AG387" s="1" t="str">
        <f>IF(AND(Table1[[#This Row],[Spec Type2]]="N/A",Table1[[#This Row],[DUT Adj Read]]="N/A",Table1[[#This Row],[Std Adj Read]]="N/A"),"N/A",IF(Table1[[#This Row],[DUT Adj Read]]="N/A",IF(Table1[[#This Row],[Std Adj Read]]&lt;=Table1[[#This Row],[High Tol]],"Pass","Fail"),IF(Table1[[#This Row],[DUT Adj Read]]&lt;=Table1[[#This Row],[High Tol]],"Pass","Fail")))</f>
        <v>Fail</v>
      </c>
      <c r="AH3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7" s="1" t="b">
        <v>0</v>
      </c>
      <c r="AN387" s="1" t="b">
        <v>0</v>
      </c>
      <c r="AO387" s="1" t="b">
        <v>0</v>
      </c>
    </row>
    <row r="388" spans="1:41" x14ac:dyDescent="0.25">
      <c r="A388" s="10"/>
      <c r="B388" s="10"/>
      <c r="C388" s="10"/>
      <c r="D388" s="10"/>
      <c r="E388" s="10"/>
      <c r="F388" s="10"/>
      <c r="G388" s="10"/>
      <c r="H388" s="10"/>
      <c r="I388" s="1" t="str">
        <f t="shared" si="15"/>
        <v/>
      </c>
      <c r="J388" s="1" t="s">
        <v>35</v>
      </c>
      <c r="K388" s="1" t="str">
        <f t="shared" si="16"/>
        <v/>
      </c>
      <c r="L388" s="1" t="str">
        <f t="shared" si="17"/>
        <v/>
      </c>
      <c r="M388" s="1">
        <f>IF(OR(Table1[[#This Row],[Std Nom]]="",Table1[[#This Row],[Std Read]]=""),0,Table1[[#This Row],[Std Nom]]-Table1[[#This Row],[Std Read]])</f>
        <v>0</v>
      </c>
      <c r="N388" s="1">
        <f>IF(Calculations!$F$5="ACCREDITED 17025 WITH UNCERTAINTIES",$N$10,0)</f>
        <v>0</v>
      </c>
      <c r="O388" s="1" t="str">
        <f>IFERROR(Table1[[#This Row],[Std Nom]]-(_xlfn.XLOOKUP(Table1[[#This Row],[Manufacturer]]&amp;" "&amp;Table1[[#This Row],[Model]],Table13[MFR &amp; MDL],Table13[Tolerance % CW ],"")/100*Table1[[#This Row],[Std Nom]]),"")</f>
        <v/>
      </c>
      <c r="P388" s="1" t="str">
        <f>IFERROR(Table1[[#This Row],[Std Nom]]+(_xlfn.XLOOKUP(Table1[[#This Row],[Manufacturer]]&amp;" "&amp;Table1[[#This Row],[Model]],Table13[MFR &amp; MDL],Table13[Tolerance % CW ],"")/100*Table1[[#This Row],[Std Nom]]),"")</f>
        <v/>
      </c>
      <c r="Q388" s="1" t="e">
        <f>Table1[[#This Row],[High Tol]]-Table1[[#This Row],[Low Tol]]</f>
        <v>#VALUE!</v>
      </c>
      <c r="R388" s="1">
        <f>2*Table1[[#This Row],[Std Error]]</f>
        <v>0</v>
      </c>
      <c r="S388" s="1" t="str">
        <f>IF(Table1[[#This Row],[High Tol]]="","N/A",IFERROR(ABS(Table1[[#This Row],[Tol Span]]/Table1[[#This Row],[Error Span]]),"N/A"))</f>
        <v>N/A</v>
      </c>
      <c r="T388" s="1" t="str">
        <f>IF(OR(Table1[[#This Row],[Low Tol]]="",Table1[[#This Row],[High Tol]]=""),"Needs Analysis",IF(Table1[[#This Row],[Ratio]]&gt;=4,"Not Significant",IF(Table1[[#This Row],[Ratio]]&gt;=2,"Semi-Significant","Significant")))</f>
        <v>Needs Analysis</v>
      </c>
      <c r="W388" s="1">
        <f>IF(Table1[[#This Row],[Cal Type]]&lt;&gt;"ACCREDITED 17025 WITH UNCERTAINTIES",0,"")</f>
        <v>0</v>
      </c>
      <c r="X388" s="1" t="str">
        <f>IF(Table1[[#This Row],[DUT Read]]="","N/A",Table1[[#This Row],[Std Error]]+Table1[[#This Row],[DUT Read]]+Table1[[#This Row],[DUT Ucty]])</f>
        <v>N/A</v>
      </c>
      <c r="Y388" s="1" t="str">
        <f>IF(Table1[[#This Row],[Std Read]]="","N/A",Table1[[#This Row],[Std Read]]+Table1[[#This Row],[Std Ucty]])</f>
        <v>N/A</v>
      </c>
      <c r="Z3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8" s="1" t="str">
        <f>IF(Table1[[#This Row],[Spec Type]]="","N/A",Table1[[#This Row],[Spec Type]])</f>
        <v>±</v>
      </c>
      <c r="AC388" s="1" t="str">
        <f>IF(Table1[[#This Row],[Spec Type2]]="N/A","N/A",IF(AND(Table1[[#This Row],[DUT Adj Read]]&gt;=Table1[[#This Row],[Low Tol]],Table1[[#This Row],[DUT Adj Read]]&lt;=Table1[[#This Row],[High Tol]]),"Pass","Fail"))</f>
        <v>Fail</v>
      </c>
      <c r="AD388" s="1" t="str">
        <f>IF(AND(Table1[[#This Row],[Spec Type2]]="N/A",Table1[[#This Row],[DUT Adj Read]]="N/A",Table1[[#This Row],[Std Adj Read]]="N/A"),"N/A",IF(Table1[[#This Row],[DUT Adj Read]]="N/A",IF(Table1[[#This Row],[Std Adj Read]]&gt;Table1[[#This Row],[Low Tol]],"Pass","Fail"),IF(Table1[[#This Row],[DUT Adj Read]]&gt;Table1[[#This Row],[Low Tol]],"Pass","Fail")))</f>
        <v>Pass</v>
      </c>
      <c r="AE388" s="1" t="str">
        <f>IF(AND(Table1[[#This Row],[Spec Type2]]="N/A",Table1[[#This Row],[DUT Adj Read]]="N/A",Table1[[#This Row],[Std Adj Read]]="N/A"),"N/A",IF(Table1[[#This Row],[DUT Adj Read]]="N/A",IF(Table1[[#This Row],[Std Adj Read]]&lt;Table1[[#This Row],[High Tol]],"Pass","Fail"),IF(Table1[[#This Row],[DUT Adj Read]]&lt;Table1[[#This Row],[High Tol]],"Pass","Fail")))</f>
        <v>Fail</v>
      </c>
      <c r="AF388" s="1" t="str">
        <f>IF(AND(Table1[[#This Row],[Spec Type2]]="N/A",Table1[[#This Row],[DUT Adj Read]]="N/A",Table1[[#This Row],[Std Adj Read]]="N/A"),"N/A",IF(Table1[[#This Row],[DUT Adj Read]]="N/A",IF(Table1[[#This Row],[Std Adj Read]]&gt;=Table1[[#This Row],[Low Tol]],"Pass","Fail"),IF(Table1[[#This Row],[DUT Adj Read]]&gt;=Table1[[#This Row],[Low Tol]],"Pass","Fail")))</f>
        <v>Pass</v>
      </c>
      <c r="AG388" s="1" t="str">
        <f>IF(AND(Table1[[#This Row],[Spec Type2]]="N/A",Table1[[#This Row],[DUT Adj Read]]="N/A",Table1[[#This Row],[Std Adj Read]]="N/A"),"N/A",IF(Table1[[#This Row],[DUT Adj Read]]="N/A",IF(Table1[[#This Row],[Std Adj Read]]&lt;=Table1[[#This Row],[High Tol]],"Pass","Fail"),IF(Table1[[#This Row],[DUT Adj Read]]&lt;=Table1[[#This Row],[High Tol]],"Pass","Fail")))</f>
        <v>Fail</v>
      </c>
      <c r="AH3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8" s="1" t="b">
        <v>0</v>
      </c>
      <c r="AN388" s="1" t="b">
        <v>0</v>
      </c>
      <c r="AO388" s="1" t="b">
        <v>0</v>
      </c>
    </row>
    <row r="389" spans="1:41" x14ac:dyDescent="0.25">
      <c r="A389" s="10"/>
      <c r="B389" s="10"/>
      <c r="C389" s="10"/>
      <c r="D389" s="10"/>
      <c r="E389" s="10"/>
      <c r="F389" s="10"/>
      <c r="G389" s="10"/>
      <c r="H389" s="10"/>
      <c r="I389" s="1" t="str">
        <f t="shared" si="15"/>
        <v/>
      </c>
      <c r="J389" s="1" t="s">
        <v>35</v>
      </c>
      <c r="K389" s="1" t="str">
        <f t="shared" si="16"/>
        <v/>
      </c>
      <c r="L389" s="1" t="str">
        <f t="shared" si="17"/>
        <v/>
      </c>
      <c r="M389" s="1">
        <f>IF(OR(Table1[[#This Row],[Std Nom]]="",Table1[[#This Row],[Std Read]]=""),0,Table1[[#This Row],[Std Nom]]-Table1[[#This Row],[Std Read]])</f>
        <v>0</v>
      </c>
      <c r="N389" s="1">
        <f>IF(Calculations!$F$5="ACCREDITED 17025 WITH UNCERTAINTIES",$N$10,0)</f>
        <v>0</v>
      </c>
      <c r="O389" s="1" t="str">
        <f>IFERROR(Table1[[#This Row],[Std Nom]]-(_xlfn.XLOOKUP(Table1[[#This Row],[Manufacturer]]&amp;" "&amp;Table1[[#This Row],[Model]],Table13[MFR &amp; MDL],Table13[Tolerance % CW ],"")/100*Table1[[#This Row],[Std Nom]]),"")</f>
        <v/>
      </c>
      <c r="P389" s="1" t="str">
        <f>IFERROR(Table1[[#This Row],[Std Nom]]+(_xlfn.XLOOKUP(Table1[[#This Row],[Manufacturer]]&amp;" "&amp;Table1[[#This Row],[Model]],Table13[MFR &amp; MDL],Table13[Tolerance % CW ],"")/100*Table1[[#This Row],[Std Nom]]),"")</f>
        <v/>
      </c>
      <c r="Q389" s="1" t="e">
        <f>Table1[[#This Row],[High Tol]]-Table1[[#This Row],[Low Tol]]</f>
        <v>#VALUE!</v>
      </c>
      <c r="R389" s="1">
        <f>2*Table1[[#This Row],[Std Error]]</f>
        <v>0</v>
      </c>
      <c r="S389" s="1" t="str">
        <f>IF(Table1[[#This Row],[High Tol]]="","N/A",IFERROR(ABS(Table1[[#This Row],[Tol Span]]/Table1[[#This Row],[Error Span]]),"N/A"))</f>
        <v>N/A</v>
      </c>
      <c r="T389" s="1" t="str">
        <f>IF(OR(Table1[[#This Row],[Low Tol]]="",Table1[[#This Row],[High Tol]]=""),"Needs Analysis",IF(Table1[[#This Row],[Ratio]]&gt;=4,"Not Significant",IF(Table1[[#This Row],[Ratio]]&gt;=2,"Semi-Significant","Significant")))</f>
        <v>Needs Analysis</v>
      </c>
      <c r="W389" s="1">
        <f>IF(Table1[[#This Row],[Cal Type]]&lt;&gt;"ACCREDITED 17025 WITH UNCERTAINTIES",0,"")</f>
        <v>0</v>
      </c>
      <c r="X389" s="1" t="str">
        <f>IF(Table1[[#This Row],[DUT Read]]="","N/A",Table1[[#This Row],[Std Error]]+Table1[[#This Row],[DUT Read]]+Table1[[#This Row],[DUT Ucty]])</f>
        <v>N/A</v>
      </c>
      <c r="Y389" s="1" t="str">
        <f>IF(Table1[[#This Row],[Std Read]]="","N/A",Table1[[#This Row],[Std Read]]+Table1[[#This Row],[Std Ucty]])</f>
        <v>N/A</v>
      </c>
      <c r="Z3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9" s="1" t="str">
        <f>IF(Table1[[#This Row],[Spec Type]]="","N/A",Table1[[#This Row],[Spec Type]])</f>
        <v>±</v>
      </c>
      <c r="AC389" s="1" t="str">
        <f>IF(Table1[[#This Row],[Spec Type2]]="N/A","N/A",IF(AND(Table1[[#This Row],[DUT Adj Read]]&gt;=Table1[[#This Row],[Low Tol]],Table1[[#This Row],[DUT Adj Read]]&lt;=Table1[[#This Row],[High Tol]]),"Pass","Fail"))</f>
        <v>Fail</v>
      </c>
      <c r="AD389" s="1" t="str">
        <f>IF(AND(Table1[[#This Row],[Spec Type2]]="N/A",Table1[[#This Row],[DUT Adj Read]]="N/A",Table1[[#This Row],[Std Adj Read]]="N/A"),"N/A",IF(Table1[[#This Row],[DUT Adj Read]]="N/A",IF(Table1[[#This Row],[Std Adj Read]]&gt;Table1[[#This Row],[Low Tol]],"Pass","Fail"),IF(Table1[[#This Row],[DUT Adj Read]]&gt;Table1[[#This Row],[Low Tol]],"Pass","Fail")))</f>
        <v>Pass</v>
      </c>
      <c r="AE389" s="1" t="str">
        <f>IF(AND(Table1[[#This Row],[Spec Type2]]="N/A",Table1[[#This Row],[DUT Adj Read]]="N/A",Table1[[#This Row],[Std Adj Read]]="N/A"),"N/A",IF(Table1[[#This Row],[DUT Adj Read]]="N/A",IF(Table1[[#This Row],[Std Adj Read]]&lt;Table1[[#This Row],[High Tol]],"Pass","Fail"),IF(Table1[[#This Row],[DUT Adj Read]]&lt;Table1[[#This Row],[High Tol]],"Pass","Fail")))</f>
        <v>Fail</v>
      </c>
      <c r="AF389" s="1" t="str">
        <f>IF(AND(Table1[[#This Row],[Spec Type2]]="N/A",Table1[[#This Row],[DUT Adj Read]]="N/A",Table1[[#This Row],[Std Adj Read]]="N/A"),"N/A",IF(Table1[[#This Row],[DUT Adj Read]]="N/A",IF(Table1[[#This Row],[Std Adj Read]]&gt;=Table1[[#This Row],[Low Tol]],"Pass","Fail"),IF(Table1[[#This Row],[DUT Adj Read]]&gt;=Table1[[#This Row],[Low Tol]],"Pass","Fail")))</f>
        <v>Pass</v>
      </c>
      <c r="AG389" s="1" t="str">
        <f>IF(AND(Table1[[#This Row],[Spec Type2]]="N/A",Table1[[#This Row],[DUT Adj Read]]="N/A",Table1[[#This Row],[Std Adj Read]]="N/A"),"N/A",IF(Table1[[#This Row],[DUT Adj Read]]="N/A",IF(Table1[[#This Row],[Std Adj Read]]&lt;=Table1[[#This Row],[High Tol]],"Pass","Fail"),IF(Table1[[#This Row],[DUT Adj Read]]&lt;=Table1[[#This Row],[High Tol]],"Pass","Fail")))</f>
        <v>Fail</v>
      </c>
      <c r="AH3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9" s="1" t="b">
        <v>0</v>
      </c>
      <c r="AN389" s="1" t="b">
        <v>0</v>
      </c>
      <c r="AO389" s="1" t="b">
        <v>0</v>
      </c>
    </row>
    <row r="390" spans="1:41" x14ac:dyDescent="0.25">
      <c r="A390" s="10"/>
      <c r="B390" s="10"/>
      <c r="C390" s="10"/>
      <c r="D390" s="10"/>
      <c r="E390" s="10"/>
      <c r="F390" s="10"/>
      <c r="G390" s="10"/>
      <c r="H390" s="10"/>
      <c r="I390" s="1" t="str">
        <f t="shared" si="15"/>
        <v/>
      </c>
      <c r="J390" s="1" t="s">
        <v>35</v>
      </c>
      <c r="K390" s="1" t="str">
        <f t="shared" si="16"/>
        <v/>
      </c>
      <c r="L390" s="1" t="str">
        <f t="shared" si="17"/>
        <v/>
      </c>
      <c r="M390" s="1">
        <f>IF(OR(Table1[[#This Row],[Std Nom]]="",Table1[[#This Row],[Std Read]]=""),0,Table1[[#This Row],[Std Nom]]-Table1[[#This Row],[Std Read]])</f>
        <v>0</v>
      </c>
      <c r="N390" s="1">
        <f>IF(Calculations!$F$5="ACCREDITED 17025 WITH UNCERTAINTIES",$N$10,0)</f>
        <v>0</v>
      </c>
      <c r="O390" s="1" t="str">
        <f>IFERROR(Table1[[#This Row],[Std Nom]]-(_xlfn.XLOOKUP(Table1[[#This Row],[Manufacturer]]&amp;" "&amp;Table1[[#This Row],[Model]],Table13[MFR &amp; MDL],Table13[Tolerance % CW ],"")/100*Table1[[#This Row],[Std Nom]]),"")</f>
        <v/>
      </c>
      <c r="P390" s="1" t="str">
        <f>IFERROR(Table1[[#This Row],[Std Nom]]+(_xlfn.XLOOKUP(Table1[[#This Row],[Manufacturer]]&amp;" "&amp;Table1[[#This Row],[Model]],Table13[MFR &amp; MDL],Table13[Tolerance % CW ],"")/100*Table1[[#This Row],[Std Nom]]),"")</f>
        <v/>
      </c>
      <c r="Q390" s="1" t="e">
        <f>Table1[[#This Row],[High Tol]]-Table1[[#This Row],[Low Tol]]</f>
        <v>#VALUE!</v>
      </c>
      <c r="R390" s="1">
        <f>2*Table1[[#This Row],[Std Error]]</f>
        <v>0</v>
      </c>
      <c r="S390" s="1" t="str">
        <f>IF(Table1[[#This Row],[High Tol]]="","N/A",IFERROR(ABS(Table1[[#This Row],[Tol Span]]/Table1[[#This Row],[Error Span]]),"N/A"))</f>
        <v>N/A</v>
      </c>
      <c r="T390" s="1" t="str">
        <f>IF(OR(Table1[[#This Row],[Low Tol]]="",Table1[[#This Row],[High Tol]]=""),"Needs Analysis",IF(Table1[[#This Row],[Ratio]]&gt;=4,"Not Significant",IF(Table1[[#This Row],[Ratio]]&gt;=2,"Semi-Significant","Significant")))</f>
        <v>Needs Analysis</v>
      </c>
      <c r="W390" s="1">
        <f>IF(Table1[[#This Row],[Cal Type]]&lt;&gt;"ACCREDITED 17025 WITH UNCERTAINTIES",0,"")</f>
        <v>0</v>
      </c>
      <c r="X390" s="1" t="str">
        <f>IF(Table1[[#This Row],[DUT Read]]="","N/A",Table1[[#This Row],[Std Error]]+Table1[[#This Row],[DUT Read]]+Table1[[#This Row],[DUT Ucty]])</f>
        <v>N/A</v>
      </c>
      <c r="Y390" s="1" t="str">
        <f>IF(Table1[[#This Row],[Std Read]]="","N/A",Table1[[#This Row],[Std Read]]+Table1[[#This Row],[Std Ucty]])</f>
        <v>N/A</v>
      </c>
      <c r="Z3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0" s="1" t="str">
        <f>IF(Table1[[#This Row],[Spec Type]]="","N/A",Table1[[#This Row],[Spec Type]])</f>
        <v>±</v>
      </c>
      <c r="AC390" s="1" t="str">
        <f>IF(Table1[[#This Row],[Spec Type2]]="N/A","N/A",IF(AND(Table1[[#This Row],[DUT Adj Read]]&gt;=Table1[[#This Row],[Low Tol]],Table1[[#This Row],[DUT Adj Read]]&lt;=Table1[[#This Row],[High Tol]]),"Pass","Fail"))</f>
        <v>Fail</v>
      </c>
      <c r="AD390" s="1" t="str">
        <f>IF(AND(Table1[[#This Row],[Spec Type2]]="N/A",Table1[[#This Row],[DUT Adj Read]]="N/A",Table1[[#This Row],[Std Adj Read]]="N/A"),"N/A",IF(Table1[[#This Row],[DUT Adj Read]]="N/A",IF(Table1[[#This Row],[Std Adj Read]]&gt;Table1[[#This Row],[Low Tol]],"Pass","Fail"),IF(Table1[[#This Row],[DUT Adj Read]]&gt;Table1[[#This Row],[Low Tol]],"Pass","Fail")))</f>
        <v>Pass</v>
      </c>
      <c r="AE390" s="1" t="str">
        <f>IF(AND(Table1[[#This Row],[Spec Type2]]="N/A",Table1[[#This Row],[DUT Adj Read]]="N/A",Table1[[#This Row],[Std Adj Read]]="N/A"),"N/A",IF(Table1[[#This Row],[DUT Adj Read]]="N/A",IF(Table1[[#This Row],[Std Adj Read]]&lt;Table1[[#This Row],[High Tol]],"Pass","Fail"),IF(Table1[[#This Row],[DUT Adj Read]]&lt;Table1[[#This Row],[High Tol]],"Pass","Fail")))</f>
        <v>Fail</v>
      </c>
      <c r="AF390" s="1" t="str">
        <f>IF(AND(Table1[[#This Row],[Spec Type2]]="N/A",Table1[[#This Row],[DUT Adj Read]]="N/A",Table1[[#This Row],[Std Adj Read]]="N/A"),"N/A",IF(Table1[[#This Row],[DUT Adj Read]]="N/A",IF(Table1[[#This Row],[Std Adj Read]]&gt;=Table1[[#This Row],[Low Tol]],"Pass","Fail"),IF(Table1[[#This Row],[DUT Adj Read]]&gt;=Table1[[#This Row],[Low Tol]],"Pass","Fail")))</f>
        <v>Pass</v>
      </c>
      <c r="AG390" s="1" t="str">
        <f>IF(AND(Table1[[#This Row],[Spec Type2]]="N/A",Table1[[#This Row],[DUT Adj Read]]="N/A",Table1[[#This Row],[Std Adj Read]]="N/A"),"N/A",IF(Table1[[#This Row],[DUT Adj Read]]="N/A",IF(Table1[[#This Row],[Std Adj Read]]&lt;=Table1[[#This Row],[High Tol]],"Pass","Fail"),IF(Table1[[#This Row],[DUT Adj Read]]&lt;=Table1[[#This Row],[High Tol]],"Pass","Fail")))</f>
        <v>Fail</v>
      </c>
      <c r="AH3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0" s="1" t="b">
        <v>0</v>
      </c>
      <c r="AN390" s="1" t="b">
        <v>0</v>
      </c>
      <c r="AO390" s="1" t="b">
        <v>0</v>
      </c>
    </row>
    <row r="391" spans="1:41" x14ac:dyDescent="0.25">
      <c r="A391" s="10"/>
      <c r="B391" s="10"/>
      <c r="C391" s="10"/>
      <c r="D391" s="10"/>
      <c r="E391" s="10"/>
      <c r="F391" s="10"/>
      <c r="G391" s="10"/>
      <c r="H391" s="10"/>
      <c r="I391" s="1" t="str">
        <f t="shared" si="15"/>
        <v/>
      </c>
      <c r="J391" s="1" t="s">
        <v>35</v>
      </c>
      <c r="K391" s="1" t="str">
        <f t="shared" si="16"/>
        <v/>
      </c>
      <c r="L391" s="1" t="str">
        <f t="shared" si="17"/>
        <v/>
      </c>
      <c r="M391" s="1">
        <f>IF(OR(Table1[[#This Row],[Std Nom]]="",Table1[[#This Row],[Std Read]]=""),0,Table1[[#This Row],[Std Nom]]-Table1[[#This Row],[Std Read]])</f>
        <v>0</v>
      </c>
      <c r="N391" s="1">
        <f>IF(Calculations!$F$5="ACCREDITED 17025 WITH UNCERTAINTIES",$N$10,0)</f>
        <v>0</v>
      </c>
      <c r="O391" s="1" t="str">
        <f>IFERROR(Table1[[#This Row],[Std Nom]]-(_xlfn.XLOOKUP(Table1[[#This Row],[Manufacturer]]&amp;" "&amp;Table1[[#This Row],[Model]],Table13[MFR &amp; MDL],Table13[Tolerance % CW ],"")/100*Table1[[#This Row],[Std Nom]]),"")</f>
        <v/>
      </c>
      <c r="P391" s="1" t="str">
        <f>IFERROR(Table1[[#This Row],[Std Nom]]+(_xlfn.XLOOKUP(Table1[[#This Row],[Manufacturer]]&amp;" "&amp;Table1[[#This Row],[Model]],Table13[MFR &amp; MDL],Table13[Tolerance % CW ],"")/100*Table1[[#This Row],[Std Nom]]),"")</f>
        <v/>
      </c>
      <c r="Q391" s="1" t="e">
        <f>Table1[[#This Row],[High Tol]]-Table1[[#This Row],[Low Tol]]</f>
        <v>#VALUE!</v>
      </c>
      <c r="R391" s="1">
        <f>2*Table1[[#This Row],[Std Error]]</f>
        <v>0</v>
      </c>
      <c r="S391" s="1" t="str">
        <f>IF(Table1[[#This Row],[High Tol]]="","N/A",IFERROR(ABS(Table1[[#This Row],[Tol Span]]/Table1[[#This Row],[Error Span]]),"N/A"))</f>
        <v>N/A</v>
      </c>
      <c r="T391" s="1" t="str">
        <f>IF(OR(Table1[[#This Row],[Low Tol]]="",Table1[[#This Row],[High Tol]]=""),"Needs Analysis",IF(Table1[[#This Row],[Ratio]]&gt;=4,"Not Significant",IF(Table1[[#This Row],[Ratio]]&gt;=2,"Semi-Significant","Significant")))</f>
        <v>Needs Analysis</v>
      </c>
      <c r="W391" s="1">
        <f>IF(Table1[[#This Row],[Cal Type]]&lt;&gt;"ACCREDITED 17025 WITH UNCERTAINTIES",0,"")</f>
        <v>0</v>
      </c>
      <c r="X391" s="1" t="str">
        <f>IF(Table1[[#This Row],[DUT Read]]="","N/A",Table1[[#This Row],[Std Error]]+Table1[[#This Row],[DUT Read]]+Table1[[#This Row],[DUT Ucty]])</f>
        <v>N/A</v>
      </c>
      <c r="Y391" s="1" t="str">
        <f>IF(Table1[[#This Row],[Std Read]]="","N/A",Table1[[#This Row],[Std Read]]+Table1[[#This Row],[Std Ucty]])</f>
        <v>N/A</v>
      </c>
      <c r="Z3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1" s="1" t="str">
        <f>IF(Table1[[#This Row],[Spec Type]]="","N/A",Table1[[#This Row],[Spec Type]])</f>
        <v>±</v>
      </c>
      <c r="AC391" s="1" t="str">
        <f>IF(Table1[[#This Row],[Spec Type2]]="N/A","N/A",IF(AND(Table1[[#This Row],[DUT Adj Read]]&gt;=Table1[[#This Row],[Low Tol]],Table1[[#This Row],[DUT Adj Read]]&lt;=Table1[[#This Row],[High Tol]]),"Pass","Fail"))</f>
        <v>Fail</v>
      </c>
      <c r="AD391" s="1" t="str">
        <f>IF(AND(Table1[[#This Row],[Spec Type2]]="N/A",Table1[[#This Row],[DUT Adj Read]]="N/A",Table1[[#This Row],[Std Adj Read]]="N/A"),"N/A",IF(Table1[[#This Row],[DUT Adj Read]]="N/A",IF(Table1[[#This Row],[Std Adj Read]]&gt;Table1[[#This Row],[Low Tol]],"Pass","Fail"),IF(Table1[[#This Row],[DUT Adj Read]]&gt;Table1[[#This Row],[Low Tol]],"Pass","Fail")))</f>
        <v>Pass</v>
      </c>
      <c r="AE391" s="1" t="str">
        <f>IF(AND(Table1[[#This Row],[Spec Type2]]="N/A",Table1[[#This Row],[DUT Adj Read]]="N/A",Table1[[#This Row],[Std Adj Read]]="N/A"),"N/A",IF(Table1[[#This Row],[DUT Adj Read]]="N/A",IF(Table1[[#This Row],[Std Adj Read]]&lt;Table1[[#This Row],[High Tol]],"Pass","Fail"),IF(Table1[[#This Row],[DUT Adj Read]]&lt;Table1[[#This Row],[High Tol]],"Pass","Fail")))</f>
        <v>Fail</v>
      </c>
      <c r="AF391" s="1" t="str">
        <f>IF(AND(Table1[[#This Row],[Spec Type2]]="N/A",Table1[[#This Row],[DUT Adj Read]]="N/A",Table1[[#This Row],[Std Adj Read]]="N/A"),"N/A",IF(Table1[[#This Row],[DUT Adj Read]]="N/A",IF(Table1[[#This Row],[Std Adj Read]]&gt;=Table1[[#This Row],[Low Tol]],"Pass","Fail"),IF(Table1[[#This Row],[DUT Adj Read]]&gt;=Table1[[#This Row],[Low Tol]],"Pass","Fail")))</f>
        <v>Pass</v>
      </c>
      <c r="AG391" s="1" t="str">
        <f>IF(AND(Table1[[#This Row],[Spec Type2]]="N/A",Table1[[#This Row],[DUT Adj Read]]="N/A",Table1[[#This Row],[Std Adj Read]]="N/A"),"N/A",IF(Table1[[#This Row],[DUT Adj Read]]="N/A",IF(Table1[[#This Row],[Std Adj Read]]&lt;=Table1[[#This Row],[High Tol]],"Pass","Fail"),IF(Table1[[#This Row],[DUT Adj Read]]&lt;=Table1[[#This Row],[High Tol]],"Pass","Fail")))</f>
        <v>Fail</v>
      </c>
      <c r="AH3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1" s="1" t="b">
        <v>0</v>
      </c>
      <c r="AN391" s="1" t="b">
        <v>0</v>
      </c>
      <c r="AO391" s="1" t="b">
        <v>0</v>
      </c>
    </row>
    <row r="392" spans="1:41" x14ac:dyDescent="0.25">
      <c r="A392" s="10"/>
      <c r="B392" s="10"/>
      <c r="C392" s="10"/>
      <c r="D392" s="10"/>
      <c r="E392" s="10"/>
      <c r="F392" s="10"/>
      <c r="G392" s="10"/>
      <c r="H392" s="10"/>
      <c r="I392" s="1" t="str">
        <f t="shared" si="15"/>
        <v/>
      </c>
      <c r="J392" s="1" t="s">
        <v>35</v>
      </c>
      <c r="K392" s="1" t="str">
        <f t="shared" si="16"/>
        <v/>
      </c>
      <c r="L392" s="1" t="str">
        <f t="shared" si="17"/>
        <v/>
      </c>
      <c r="M392" s="1">
        <f>IF(OR(Table1[[#This Row],[Std Nom]]="",Table1[[#This Row],[Std Read]]=""),0,Table1[[#This Row],[Std Nom]]-Table1[[#This Row],[Std Read]])</f>
        <v>0</v>
      </c>
      <c r="N392" s="1">
        <f>IF(Calculations!$F$5="ACCREDITED 17025 WITH UNCERTAINTIES",$N$10,0)</f>
        <v>0</v>
      </c>
      <c r="O392" s="1" t="str">
        <f>IFERROR(Table1[[#This Row],[Std Nom]]-(_xlfn.XLOOKUP(Table1[[#This Row],[Manufacturer]]&amp;" "&amp;Table1[[#This Row],[Model]],Table13[MFR &amp; MDL],Table13[Tolerance % CW ],"")/100*Table1[[#This Row],[Std Nom]]),"")</f>
        <v/>
      </c>
      <c r="P392" s="1" t="str">
        <f>IFERROR(Table1[[#This Row],[Std Nom]]+(_xlfn.XLOOKUP(Table1[[#This Row],[Manufacturer]]&amp;" "&amp;Table1[[#This Row],[Model]],Table13[MFR &amp; MDL],Table13[Tolerance % CW ],"")/100*Table1[[#This Row],[Std Nom]]),"")</f>
        <v/>
      </c>
      <c r="Q392" s="1" t="e">
        <f>Table1[[#This Row],[High Tol]]-Table1[[#This Row],[Low Tol]]</f>
        <v>#VALUE!</v>
      </c>
      <c r="R392" s="1">
        <f>2*Table1[[#This Row],[Std Error]]</f>
        <v>0</v>
      </c>
      <c r="S392" s="1" t="str">
        <f>IF(Table1[[#This Row],[High Tol]]="","N/A",IFERROR(ABS(Table1[[#This Row],[Tol Span]]/Table1[[#This Row],[Error Span]]),"N/A"))</f>
        <v>N/A</v>
      </c>
      <c r="T392" s="1" t="str">
        <f>IF(OR(Table1[[#This Row],[Low Tol]]="",Table1[[#This Row],[High Tol]]=""),"Needs Analysis",IF(Table1[[#This Row],[Ratio]]&gt;=4,"Not Significant",IF(Table1[[#This Row],[Ratio]]&gt;=2,"Semi-Significant","Significant")))</f>
        <v>Needs Analysis</v>
      </c>
      <c r="W392" s="1">
        <f>IF(Table1[[#This Row],[Cal Type]]&lt;&gt;"ACCREDITED 17025 WITH UNCERTAINTIES",0,"")</f>
        <v>0</v>
      </c>
      <c r="X392" s="1" t="str">
        <f>IF(Table1[[#This Row],[DUT Read]]="","N/A",Table1[[#This Row],[Std Error]]+Table1[[#This Row],[DUT Read]]+Table1[[#This Row],[DUT Ucty]])</f>
        <v>N/A</v>
      </c>
      <c r="Y392" s="1" t="str">
        <f>IF(Table1[[#This Row],[Std Read]]="","N/A",Table1[[#This Row],[Std Read]]+Table1[[#This Row],[Std Ucty]])</f>
        <v>N/A</v>
      </c>
      <c r="Z3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2" s="1" t="str">
        <f>IF(Table1[[#This Row],[Spec Type]]="","N/A",Table1[[#This Row],[Spec Type]])</f>
        <v>±</v>
      </c>
      <c r="AC392" s="1" t="str">
        <f>IF(Table1[[#This Row],[Spec Type2]]="N/A","N/A",IF(AND(Table1[[#This Row],[DUT Adj Read]]&gt;=Table1[[#This Row],[Low Tol]],Table1[[#This Row],[DUT Adj Read]]&lt;=Table1[[#This Row],[High Tol]]),"Pass","Fail"))</f>
        <v>Fail</v>
      </c>
      <c r="AD392" s="1" t="str">
        <f>IF(AND(Table1[[#This Row],[Spec Type2]]="N/A",Table1[[#This Row],[DUT Adj Read]]="N/A",Table1[[#This Row],[Std Adj Read]]="N/A"),"N/A",IF(Table1[[#This Row],[DUT Adj Read]]="N/A",IF(Table1[[#This Row],[Std Adj Read]]&gt;Table1[[#This Row],[Low Tol]],"Pass","Fail"),IF(Table1[[#This Row],[DUT Adj Read]]&gt;Table1[[#This Row],[Low Tol]],"Pass","Fail")))</f>
        <v>Pass</v>
      </c>
      <c r="AE392" s="1" t="str">
        <f>IF(AND(Table1[[#This Row],[Spec Type2]]="N/A",Table1[[#This Row],[DUT Adj Read]]="N/A",Table1[[#This Row],[Std Adj Read]]="N/A"),"N/A",IF(Table1[[#This Row],[DUT Adj Read]]="N/A",IF(Table1[[#This Row],[Std Adj Read]]&lt;Table1[[#This Row],[High Tol]],"Pass","Fail"),IF(Table1[[#This Row],[DUT Adj Read]]&lt;Table1[[#This Row],[High Tol]],"Pass","Fail")))</f>
        <v>Fail</v>
      </c>
      <c r="AF392" s="1" t="str">
        <f>IF(AND(Table1[[#This Row],[Spec Type2]]="N/A",Table1[[#This Row],[DUT Adj Read]]="N/A",Table1[[#This Row],[Std Adj Read]]="N/A"),"N/A",IF(Table1[[#This Row],[DUT Adj Read]]="N/A",IF(Table1[[#This Row],[Std Adj Read]]&gt;=Table1[[#This Row],[Low Tol]],"Pass","Fail"),IF(Table1[[#This Row],[DUT Adj Read]]&gt;=Table1[[#This Row],[Low Tol]],"Pass","Fail")))</f>
        <v>Pass</v>
      </c>
      <c r="AG392" s="1" t="str">
        <f>IF(AND(Table1[[#This Row],[Spec Type2]]="N/A",Table1[[#This Row],[DUT Adj Read]]="N/A",Table1[[#This Row],[Std Adj Read]]="N/A"),"N/A",IF(Table1[[#This Row],[DUT Adj Read]]="N/A",IF(Table1[[#This Row],[Std Adj Read]]&lt;=Table1[[#This Row],[High Tol]],"Pass","Fail"),IF(Table1[[#This Row],[DUT Adj Read]]&lt;=Table1[[#This Row],[High Tol]],"Pass","Fail")))</f>
        <v>Fail</v>
      </c>
      <c r="AH3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2" s="1" t="b">
        <v>0</v>
      </c>
      <c r="AN392" s="1" t="b">
        <v>0</v>
      </c>
      <c r="AO392" s="1" t="b">
        <v>0</v>
      </c>
    </row>
    <row r="393" spans="1:41" x14ac:dyDescent="0.25">
      <c r="A393" s="10"/>
      <c r="B393" s="10"/>
      <c r="C393" s="10"/>
      <c r="D393" s="10"/>
      <c r="E393" s="10"/>
      <c r="F393" s="10"/>
      <c r="G393" s="10"/>
      <c r="H393" s="10"/>
      <c r="I393" s="1" t="str">
        <f t="shared" si="15"/>
        <v/>
      </c>
      <c r="J393" s="1" t="s">
        <v>35</v>
      </c>
      <c r="K393" s="1" t="str">
        <f t="shared" si="16"/>
        <v/>
      </c>
      <c r="L393" s="1" t="str">
        <f t="shared" si="17"/>
        <v/>
      </c>
      <c r="M393" s="1">
        <f>IF(OR(Table1[[#This Row],[Std Nom]]="",Table1[[#This Row],[Std Read]]=""),0,Table1[[#This Row],[Std Nom]]-Table1[[#This Row],[Std Read]])</f>
        <v>0</v>
      </c>
      <c r="N393" s="1">
        <f>IF(Calculations!$F$5="ACCREDITED 17025 WITH UNCERTAINTIES",$N$10,0)</f>
        <v>0</v>
      </c>
      <c r="O393" s="1" t="str">
        <f>IFERROR(Table1[[#This Row],[Std Nom]]-(_xlfn.XLOOKUP(Table1[[#This Row],[Manufacturer]]&amp;" "&amp;Table1[[#This Row],[Model]],Table13[MFR &amp; MDL],Table13[Tolerance % CW ],"")/100*Table1[[#This Row],[Std Nom]]),"")</f>
        <v/>
      </c>
      <c r="P393" s="1" t="str">
        <f>IFERROR(Table1[[#This Row],[Std Nom]]+(_xlfn.XLOOKUP(Table1[[#This Row],[Manufacturer]]&amp;" "&amp;Table1[[#This Row],[Model]],Table13[MFR &amp; MDL],Table13[Tolerance % CW ],"")/100*Table1[[#This Row],[Std Nom]]),"")</f>
        <v/>
      </c>
      <c r="Q393" s="1" t="e">
        <f>Table1[[#This Row],[High Tol]]-Table1[[#This Row],[Low Tol]]</f>
        <v>#VALUE!</v>
      </c>
      <c r="R393" s="1">
        <f>2*Table1[[#This Row],[Std Error]]</f>
        <v>0</v>
      </c>
      <c r="S393" s="1" t="str">
        <f>IF(Table1[[#This Row],[High Tol]]="","N/A",IFERROR(ABS(Table1[[#This Row],[Tol Span]]/Table1[[#This Row],[Error Span]]),"N/A"))</f>
        <v>N/A</v>
      </c>
      <c r="T393" s="1" t="str">
        <f>IF(OR(Table1[[#This Row],[Low Tol]]="",Table1[[#This Row],[High Tol]]=""),"Needs Analysis",IF(Table1[[#This Row],[Ratio]]&gt;=4,"Not Significant",IF(Table1[[#This Row],[Ratio]]&gt;=2,"Semi-Significant","Significant")))</f>
        <v>Needs Analysis</v>
      </c>
      <c r="W393" s="1">
        <f>IF(Table1[[#This Row],[Cal Type]]&lt;&gt;"ACCREDITED 17025 WITH UNCERTAINTIES",0,"")</f>
        <v>0</v>
      </c>
      <c r="X393" s="1" t="str">
        <f>IF(Table1[[#This Row],[DUT Read]]="","N/A",Table1[[#This Row],[Std Error]]+Table1[[#This Row],[DUT Read]]+Table1[[#This Row],[DUT Ucty]])</f>
        <v>N/A</v>
      </c>
      <c r="Y393" s="1" t="str">
        <f>IF(Table1[[#This Row],[Std Read]]="","N/A",Table1[[#This Row],[Std Read]]+Table1[[#This Row],[Std Ucty]])</f>
        <v>N/A</v>
      </c>
      <c r="Z3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3" s="1" t="str">
        <f>IF(Table1[[#This Row],[Spec Type]]="","N/A",Table1[[#This Row],[Spec Type]])</f>
        <v>±</v>
      </c>
      <c r="AC393" s="1" t="str">
        <f>IF(Table1[[#This Row],[Spec Type2]]="N/A","N/A",IF(AND(Table1[[#This Row],[DUT Adj Read]]&gt;=Table1[[#This Row],[Low Tol]],Table1[[#This Row],[DUT Adj Read]]&lt;=Table1[[#This Row],[High Tol]]),"Pass","Fail"))</f>
        <v>Fail</v>
      </c>
      <c r="AD393" s="1" t="str">
        <f>IF(AND(Table1[[#This Row],[Spec Type2]]="N/A",Table1[[#This Row],[DUT Adj Read]]="N/A",Table1[[#This Row],[Std Adj Read]]="N/A"),"N/A",IF(Table1[[#This Row],[DUT Adj Read]]="N/A",IF(Table1[[#This Row],[Std Adj Read]]&gt;Table1[[#This Row],[Low Tol]],"Pass","Fail"),IF(Table1[[#This Row],[DUT Adj Read]]&gt;Table1[[#This Row],[Low Tol]],"Pass","Fail")))</f>
        <v>Pass</v>
      </c>
      <c r="AE393" s="1" t="str">
        <f>IF(AND(Table1[[#This Row],[Spec Type2]]="N/A",Table1[[#This Row],[DUT Adj Read]]="N/A",Table1[[#This Row],[Std Adj Read]]="N/A"),"N/A",IF(Table1[[#This Row],[DUT Adj Read]]="N/A",IF(Table1[[#This Row],[Std Adj Read]]&lt;Table1[[#This Row],[High Tol]],"Pass","Fail"),IF(Table1[[#This Row],[DUT Adj Read]]&lt;Table1[[#This Row],[High Tol]],"Pass","Fail")))</f>
        <v>Fail</v>
      </c>
      <c r="AF393" s="1" t="str">
        <f>IF(AND(Table1[[#This Row],[Spec Type2]]="N/A",Table1[[#This Row],[DUT Adj Read]]="N/A",Table1[[#This Row],[Std Adj Read]]="N/A"),"N/A",IF(Table1[[#This Row],[DUT Adj Read]]="N/A",IF(Table1[[#This Row],[Std Adj Read]]&gt;=Table1[[#This Row],[Low Tol]],"Pass","Fail"),IF(Table1[[#This Row],[DUT Adj Read]]&gt;=Table1[[#This Row],[Low Tol]],"Pass","Fail")))</f>
        <v>Pass</v>
      </c>
      <c r="AG393" s="1" t="str">
        <f>IF(AND(Table1[[#This Row],[Spec Type2]]="N/A",Table1[[#This Row],[DUT Adj Read]]="N/A",Table1[[#This Row],[Std Adj Read]]="N/A"),"N/A",IF(Table1[[#This Row],[DUT Adj Read]]="N/A",IF(Table1[[#This Row],[Std Adj Read]]&lt;=Table1[[#This Row],[High Tol]],"Pass","Fail"),IF(Table1[[#This Row],[DUT Adj Read]]&lt;=Table1[[#This Row],[High Tol]],"Pass","Fail")))</f>
        <v>Fail</v>
      </c>
      <c r="AH3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3" s="1" t="b">
        <v>0</v>
      </c>
      <c r="AN393" s="1" t="b">
        <v>0</v>
      </c>
      <c r="AO393" s="1" t="b">
        <v>0</v>
      </c>
    </row>
    <row r="394" spans="1:41" x14ac:dyDescent="0.25">
      <c r="A394" s="10"/>
      <c r="B394" s="10"/>
      <c r="C394" s="10"/>
      <c r="D394" s="10"/>
      <c r="E394" s="10"/>
      <c r="F394" s="10"/>
      <c r="G394" s="10"/>
      <c r="H394" s="10"/>
      <c r="I394" s="1" t="str">
        <f t="shared" si="15"/>
        <v/>
      </c>
      <c r="J394" s="1" t="s">
        <v>35</v>
      </c>
      <c r="K394" s="1" t="str">
        <f t="shared" si="16"/>
        <v/>
      </c>
      <c r="L394" s="1" t="str">
        <f t="shared" si="17"/>
        <v/>
      </c>
      <c r="M394" s="1">
        <f>IF(OR(Table1[[#This Row],[Std Nom]]="",Table1[[#This Row],[Std Read]]=""),0,Table1[[#This Row],[Std Nom]]-Table1[[#This Row],[Std Read]])</f>
        <v>0</v>
      </c>
      <c r="N394" s="1">
        <f>IF(Calculations!$F$5="ACCREDITED 17025 WITH UNCERTAINTIES",$N$10,0)</f>
        <v>0</v>
      </c>
      <c r="O394" s="1" t="str">
        <f>IFERROR(Table1[[#This Row],[Std Nom]]-(_xlfn.XLOOKUP(Table1[[#This Row],[Manufacturer]]&amp;" "&amp;Table1[[#This Row],[Model]],Table13[MFR &amp; MDL],Table13[Tolerance % CW ],"")/100*Table1[[#This Row],[Std Nom]]),"")</f>
        <v/>
      </c>
      <c r="P394" s="1" t="str">
        <f>IFERROR(Table1[[#This Row],[Std Nom]]+(_xlfn.XLOOKUP(Table1[[#This Row],[Manufacturer]]&amp;" "&amp;Table1[[#This Row],[Model]],Table13[MFR &amp; MDL],Table13[Tolerance % CW ],"")/100*Table1[[#This Row],[Std Nom]]),"")</f>
        <v/>
      </c>
      <c r="Q394" s="1" t="e">
        <f>Table1[[#This Row],[High Tol]]-Table1[[#This Row],[Low Tol]]</f>
        <v>#VALUE!</v>
      </c>
      <c r="R394" s="1">
        <f>2*Table1[[#This Row],[Std Error]]</f>
        <v>0</v>
      </c>
      <c r="S394" s="1" t="str">
        <f>IF(Table1[[#This Row],[High Tol]]="","N/A",IFERROR(ABS(Table1[[#This Row],[Tol Span]]/Table1[[#This Row],[Error Span]]),"N/A"))</f>
        <v>N/A</v>
      </c>
      <c r="T394" s="1" t="str">
        <f>IF(OR(Table1[[#This Row],[Low Tol]]="",Table1[[#This Row],[High Tol]]=""),"Needs Analysis",IF(Table1[[#This Row],[Ratio]]&gt;=4,"Not Significant",IF(Table1[[#This Row],[Ratio]]&gt;=2,"Semi-Significant","Significant")))</f>
        <v>Needs Analysis</v>
      </c>
      <c r="W394" s="1">
        <f>IF(Table1[[#This Row],[Cal Type]]&lt;&gt;"ACCREDITED 17025 WITH UNCERTAINTIES",0,"")</f>
        <v>0</v>
      </c>
      <c r="X394" s="1" t="str">
        <f>IF(Table1[[#This Row],[DUT Read]]="","N/A",Table1[[#This Row],[Std Error]]+Table1[[#This Row],[DUT Read]]+Table1[[#This Row],[DUT Ucty]])</f>
        <v>N/A</v>
      </c>
      <c r="Y394" s="1" t="str">
        <f>IF(Table1[[#This Row],[Std Read]]="","N/A",Table1[[#This Row],[Std Read]]+Table1[[#This Row],[Std Ucty]])</f>
        <v>N/A</v>
      </c>
      <c r="Z3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4" s="1" t="str">
        <f>IF(Table1[[#This Row],[Spec Type]]="","N/A",Table1[[#This Row],[Spec Type]])</f>
        <v>±</v>
      </c>
      <c r="AC394" s="1" t="str">
        <f>IF(Table1[[#This Row],[Spec Type2]]="N/A","N/A",IF(AND(Table1[[#This Row],[DUT Adj Read]]&gt;=Table1[[#This Row],[Low Tol]],Table1[[#This Row],[DUT Adj Read]]&lt;=Table1[[#This Row],[High Tol]]),"Pass","Fail"))</f>
        <v>Fail</v>
      </c>
      <c r="AD394" s="1" t="str">
        <f>IF(AND(Table1[[#This Row],[Spec Type2]]="N/A",Table1[[#This Row],[DUT Adj Read]]="N/A",Table1[[#This Row],[Std Adj Read]]="N/A"),"N/A",IF(Table1[[#This Row],[DUT Adj Read]]="N/A",IF(Table1[[#This Row],[Std Adj Read]]&gt;Table1[[#This Row],[Low Tol]],"Pass","Fail"),IF(Table1[[#This Row],[DUT Adj Read]]&gt;Table1[[#This Row],[Low Tol]],"Pass","Fail")))</f>
        <v>Pass</v>
      </c>
      <c r="AE394" s="1" t="str">
        <f>IF(AND(Table1[[#This Row],[Spec Type2]]="N/A",Table1[[#This Row],[DUT Adj Read]]="N/A",Table1[[#This Row],[Std Adj Read]]="N/A"),"N/A",IF(Table1[[#This Row],[DUT Adj Read]]="N/A",IF(Table1[[#This Row],[Std Adj Read]]&lt;Table1[[#This Row],[High Tol]],"Pass","Fail"),IF(Table1[[#This Row],[DUT Adj Read]]&lt;Table1[[#This Row],[High Tol]],"Pass","Fail")))</f>
        <v>Fail</v>
      </c>
      <c r="AF394" s="1" t="str">
        <f>IF(AND(Table1[[#This Row],[Spec Type2]]="N/A",Table1[[#This Row],[DUT Adj Read]]="N/A",Table1[[#This Row],[Std Adj Read]]="N/A"),"N/A",IF(Table1[[#This Row],[DUT Adj Read]]="N/A",IF(Table1[[#This Row],[Std Adj Read]]&gt;=Table1[[#This Row],[Low Tol]],"Pass","Fail"),IF(Table1[[#This Row],[DUT Adj Read]]&gt;=Table1[[#This Row],[Low Tol]],"Pass","Fail")))</f>
        <v>Pass</v>
      </c>
      <c r="AG394" s="1" t="str">
        <f>IF(AND(Table1[[#This Row],[Spec Type2]]="N/A",Table1[[#This Row],[DUT Adj Read]]="N/A",Table1[[#This Row],[Std Adj Read]]="N/A"),"N/A",IF(Table1[[#This Row],[DUT Adj Read]]="N/A",IF(Table1[[#This Row],[Std Adj Read]]&lt;=Table1[[#This Row],[High Tol]],"Pass","Fail"),IF(Table1[[#This Row],[DUT Adj Read]]&lt;=Table1[[#This Row],[High Tol]],"Pass","Fail")))</f>
        <v>Fail</v>
      </c>
      <c r="AH3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4" s="1" t="b">
        <v>0</v>
      </c>
      <c r="AN394" s="1" t="b">
        <v>0</v>
      </c>
      <c r="AO394" s="1" t="b">
        <v>0</v>
      </c>
    </row>
    <row r="395" spans="1:41" x14ac:dyDescent="0.25">
      <c r="A395" s="10"/>
      <c r="B395" s="10"/>
      <c r="C395" s="10"/>
      <c r="D395" s="10"/>
      <c r="E395" s="10"/>
      <c r="F395" s="10"/>
      <c r="G395" s="10"/>
      <c r="H395" s="10"/>
      <c r="I395" s="1" t="str">
        <f t="shared" ref="I395:I458" si="18">IF($I$10="","",$I$10)</f>
        <v/>
      </c>
      <c r="J395" s="1" t="s">
        <v>35</v>
      </c>
      <c r="K395" s="1" t="str">
        <f t="shared" ref="K395:K458" si="19">IF($K$10="","",$K$10)</f>
        <v/>
      </c>
      <c r="L395" s="1" t="str">
        <f t="shared" ref="L395:L458" si="20">IF($L$10="","",$L$10)</f>
        <v/>
      </c>
      <c r="M395" s="1">
        <f>IF(OR(Table1[[#This Row],[Std Nom]]="",Table1[[#This Row],[Std Read]]=""),0,Table1[[#This Row],[Std Nom]]-Table1[[#This Row],[Std Read]])</f>
        <v>0</v>
      </c>
      <c r="N395" s="1">
        <f>IF(Calculations!$F$5="ACCREDITED 17025 WITH UNCERTAINTIES",$N$10,0)</f>
        <v>0</v>
      </c>
      <c r="O395" s="1" t="str">
        <f>IFERROR(Table1[[#This Row],[Std Nom]]-(_xlfn.XLOOKUP(Table1[[#This Row],[Manufacturer]]&amp;" "&amp;Table1[[#This Row],[Model]],Table13[MFR &amp; MDL],Table13[Tolerance % CW ],"")/100*Table1[[#This Row],[Std Nom]]),"")</f>
        <v/>
      </c>
      <c r="P395" s="1" t="str">
        <f>IFERROR(Table1[[#This Row],[Std Nom]]+(_xlfn.XLOOKUP(Table1[[#This Row],[Manufacturer]]&amp;" "&amp;Table1[[#This Row],[Model]],Table13[MFR &amp; MDL],Table13[Tolerance % CW ],"")/100*Table1[[#This Row],[Std Nom]]),"")</f>
        <v/>
      </c>
      <c r="Q395" s="1" t="e">
        <f>Table1[[#This Row],[High Tol]]-Table1[[#This Row],[Low Tol]]</f>
        <v>#VALUE!</v>
      </c>
      <c r="R395" s="1">
        <f>2*Table1[[#This Row],[Std Error]]</f>
        <v>0</v>
      </c>
      <c r="S395" s="1" t="str">
        <f>IF(Table1[[#This Row],[High Tol]]="","N/A",IFERROR(ABS(Table1[[#This Row],[Tol Span]]/Table1[[#This Row],[Error Span]]),"N/A"))</f>
        <v>N/A</v>
      </c>
      <c r="T395" s="1" t="str">
        <f>IF(OR(Table1[[#This Row],[Low Tol]]="",Table1[[#This Row],[High Tol]]=""),"Needs Analysis",IF(Table1[[#This Row],[Ratio]]&gt;=4,"Not Significant",IF(Table1[[#This Row],[Ratio]]&gt;=2,"Semi-Significant","Significant")))</f>
        <v>Needs Analysis</v>
      </c>
      <c r="W395" s="1">
        <f>IF(Table1[[#This Row],[Cal Type]]&lt;&gt;"ACCREDITED 17025 WITH UNCERTAINTIES",0,"")</f>
        <v>0</v>
      </c>
      <c r="X395" s="1" t="str">
        <f>IF(Table1[[#This Row],[DUT Read]]="","N/A",Table1[[#This Row],[Std Error]]+Table1[[#This Row],[DUT Read]]+Table1[[#This Row],[DUT Ucty]])</f>
        <v>N/A</v>
      </c>
      <c r="Y395" s="1" t="str">
        <f>IF(Table1[[#This Row],[Std Read]]="","N/A",Table1[[#This Row],[Std Read]]+Table1[[#This Row],[Std Ucty]])</f>
        <v>N/A</v>
      </c>
      <c r="Z3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5" s="1" t="str">
        <f>IF(Table1[[#This Row],[Spec Type]]="","N/A",Table1[[#This Row],[Spec Type]])</f>
        <v>±</v>
      </c>
      <c r="AC395" s="1" t="str">
        <f>IF(Table1[[#This Row],[Spec Type2]]="N/A","N/A",IF(AND(Table1[[#This Row],[DUT Adj Read]]&gt;=Table1[[#This Row],[Low Tol]],Table1[[#This Row],[DUT Adj Read]]&lt;=Table1[[#This Row],[High Tol]]),"Pass","Fail"))</f>
        <v>Fail</v>
      </c>
      <c r="AD395" s="1" t="str">
        <f>IF(AND(Table1[[#This Row],[Spec Type2]]="N/A",Table1[[#This Row],[DUT Adj Read]]="N/A",Table1[[#This Row],[Std Adj Read]]="N/A"),"N/A",IF(Table1[[#This Row],[DUT Adj Read]]="N/A",IF(Table1[[#This Row],[Std Adj Read]]&gt;Table1[[#This Row],[Low Tol]],"Pass","Fail"),IF(Table1[[#This Row],[DUT Adj Read]]&gt;Table1[[#This Row],[Low Tol]],"Pass","Fail")))</f>
        <v>Pass</v>
      </c>
      <c r="AE395" s="1" t="str">
        <f>IF(AND(Table1[[#This Row],[Spec Type2]]="N/A",Table1[[#This Row],[DUT Adj Read]]="N/A",Table1[[#This Row],[Std Adj Read]]="N/A"),"N/A",IF(Table1[[#This Row],[DUT Adj Read]]="N/A",IF(Table1[[#This Row],[Std Adj Read]]&lt;Table1[[#This Row],[High Tol]],"Pass","Fail"),IF(Table1[[#This Row],[DUT Adj Read]]&lt;Table1[[#This Row],[High Tol]],"Pass","Fail")))</f>
        <v>Fail</v>
      </c>
      <c r="AF395" s="1" t="str">
        <f>IF(AND(Table1[[#This Row],[Spec Type2]]="N/A",Table1[[#This Row],[DUT Adj Read]]="N/A",Table1[[#This Row],[Std Adj Read]]="N/A"),"N/A",IF(Table1[[#This Row],[DUT Adj Read]]="N/A",IF(Table1[[#This Row],[Std Adj Read]]&gt;=Table1[[#This Row],[Low Tol]],"Pass","Fail"),IF(Table1[[#This Row],[DUT Adj Read]]&gt;=Table1[[#This Row],[Low Tol]],"Pass","Fail")))</f>
        <v>Pass</v>
      </c>
      <c r="AG395" s="1" t="str">
        <f>IF(AND(Table1[[#This Row],[Spec Type2]]="N/A",Table1[[#This Row],[DUT Adj Read]]="N/A",Table1[[#This Row],[Std Adj Read]]="N/A"),"N/A",IF(Table1[[#This Row],[DUT Adj Read]]="N/A",IF(Table1[[#This Row],[Std Adj Read]]&lt;=Table1[[#This Row],[High Tol]],"Pass","Fail"),IF(Table1[[#This Row],[DUT Adj Read]]&lt;=Table1[[#This Row],[High Tol]],"Pass","Fail")))</f>
        <v>Fail</v>
      </c>
      <c r="AH3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5" s="1" t="b">
        <v>0</v>
      </c>
      <c r="AN395" s="1" t="b">
        <v>0</v>
      </c>
      <c r="AO395" s="1" t="b">
        <v>0</v>
      </c>
    </row>
    <row r="396" spans="1:41" x14ac:dyDescent="0.25">
      <c r="A396" s="10"/>
      <c r="B396" s="10"/>
      <c r="C396" s="10"/>
      <c r="D396" s="10"/>
      <c r="E396" s="10"/>
      <c r="F396" s="10"/>
      <c r="G396" s="10"/>
      <c r="H396" s="10"/>
      <c r="I396" s="1" t="str">
        <f t="shared" si="18"/>
        <v/>
      </c>
      <c r="J396" s="1" t="s">
        <v>35</v>
      </c>
      <c r="K396" s="1" t="str">
        <f t="shared" si="19"/>
        <v/>
      </c>
      <c r="L396" s="1" t="str">
        <f t="shared" si="20"/>
        <v/>
      </c>
      <c r="M396" s="1">
        <f>IF(OR(Table1[[#This Row],[Std Nom]]="",Table1[[#This Row],[Std Read]]=""),0,Table1[[#This Row],[Std Nom]]-Table1[[#This Row],[Std Read]])</f>
        <v>0</v>
      </c>
      <c r="N396" s="1">
        <f>IF(Calculations!$F$5="ACCREDITED 17025 WITH UNCERTAINTIES",$N$10,0)</f>
        <v>0</v>
      </c>
      <c r="O396" s="1" t="str">
        <f>IFERROR(Table1[[#This Row],[Std Nom]]-(_xlfn.XLOOKUP(Table1[[#This Row],[Manufacturer]]&amp;" "&amp;Table1[[#This Row],[Model]],Table13[MFR &amp; MDL],Table13[Tolerance % CW ],"")/100*Table1[[#This Row],[Std Nom]]),"")</f>
        <v/>
      </c>
      <c r="P396" s="1" t="str">
        <f>IFERROR(Table1[[#This Row],[Std Nom]]+(_xlfn.XLOOKUP(Table1[[#This Row],[Manufacturer]]&amp;" "&amp;Table1[[#This Row],[Model]],Table13[MFR &amp; MDL],Table13[Tolerance % CW ],"")/100*Table1[[#This Row],[Std Nom]]),"")</f>
        <v/>
      </c>
      <c r="Q396" s="1" t="e">
        <f>Table1[[#This Row],[High Tol]]-Table1[[#This Row],[Low Tol]]</f>
        <v>#VALUE!</v>
      </c>
      <c r="R396" s="1">
        <f>2*Table1[[#This Row],[Std Error]]</f>
        <v>0</v>
      </c>
      <c r="S396" s="1" t="str">
        <f>IF(Table1[[#This Row],[High Tol]]="","N/A",IFERROR(ABS(Table1[[#This Row],[Tol Span]]/Table1[[#This Row],[Error Span]]),"N/A"))</f>
        <v>N/A</v>
      </c>
      <c r="T396" s="1" t="str">
        <f>IF(OR(Table1[[#This Row],[Low Tol]]="",Table1[[#This Row],[High Tol]]=""),"Needs Analysis",IF(Table1[[#This Row],[Ratio]]&gt;=4,"Not Significant",IF(Table1[[#This Row],[Ratio]]&gt;=2,"Semi-Significant","Significant")))</f>
        <v>Needs Analysis</v>
      </c>
      <c r="W396" s="1">
        <f>IF(Table1[[#This Row],[Cal Type]]&lt;&gt;"ACCREDITED 17025 WITH UNCERTAINTIES",0,"")</f>
        <v>0</v>
      </c>
      <c r="X396" s="1" t="str">
        <f>IF(Table1[[#This Row],[DUT Read]]="","N/A",Table1[[#This Row],[Std Error]]+Table1[[#This Row],[DUT Read]]+Table1[[#This Row],[DUT Ucty]])</f>
        <v>N/A</v>
      </c>
      <c r="Y396" s="1" t="str">
        <f>IF(Table1[[#This Row],[Std Read]]="","N/A",Table1[[#This Row],[Std Read]]+Table1[[#This Row],[Std Ucty]])</f>
        <v>N/A</v>
      </c>
      <c r="Z3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6" s="1" t="str">
        <f>IF(Table1[[#This Row],[Spec Type]]="","N/A",Table1[[#This Row],[Spec Type]])</f>
        <v>±</v>
      </c>
      <c r="AC396" s="1" t="str">
        <f>IF(Table1[[#This Row],[Spec Type2]]="N/A","N/A",IF(AND(Table1[[#This Row],[DUT Adj Read]]&gt;=Table1[[#This Row],[Low Tol]],Table1[[#This Row],[DUT Adj Read]]&lt;=Table1[[#This Row],[High Tol]]),"Pass","Fail"))</f>
        <v>Fail</v>
      </c>
      <c r="AD396" s="1" t="str">
        <f>IF(AND(Table1[[#This Row],[Spec Type2]]="N/A",Table1[[#This Row],[DUT Adj Read]]="N/A",Table1[[#This Row],[Std Adj Read]]="N/A"),"N/A",IF(Table1[[#This Row],[DUT Adj Read]]="N/A",IF(Table1[[#This Row],[Std Adj Read]]&gt;Table1[[#This Row],[Low Tol]],"Pass","Fail"),IF(Table1[[#This Row],[DUT Adj Read]]&gt;Table1[[#This Row],[Low Tol]],"Pass","Fail")))</f>
        <v>Pass</v>
      </c>
      <c r="AE396" s="1" t="str">
        <f>IF(AND(Table1[[#This Row],[Spec Type2]]="N/A",Table1[[#This Row],[DUT Adj Read]]="N/A",Table1[[#This Row],[Std Adj Read]]="N/A"),"N/A",IF(Table1[[#This Row],[DUT Adj Read]]="N/A",IF(Table1[[#This Row],[Std Adj Read]]&lt;Table1[[#This Row],[High Tol]],"Pass","Fail"),IF(Table1[[#This Row],[DUT Adj Read]]&lt;Table1[[#This Row],[High Tol]],"Pass","Fail")))</f>
        <v>Fail</v>
      </c>
      <c r="AF396" s="1" t="str">
        <f>IF(AND(Table1[[#This Row],[Spec Type2]]="N/A",Table1[[#This Row],[DUT Adj Read]]="N/A",Table1[[#This Row],[Std Adj Read]]="N/A"),"N/A",IF(Table1[[#This Row],[DUT Adj Read]]="N/A",IF(Table1[[#This Row],[Std Adj Read]]&gt;=Table1[[#This Row],[Low Tol]],"Pass","Fail"),IF(Table1[[#This Row],[DUT Adj Read]]&gt;=Table1[[#This Row],[Low Tol]],"Pass","Fail")))</f>
        <v>Pass</v>
      </c>
      <c r="AG396" s="1" t="str">
        <f>IF(AND(Table1[[#This Row],[Spec Type2]]="N/A",Table1[[#This Row],[DUT Adj Read]]="N/A",Table1[[#This Row],[Std Adj Read]]="N/A"),"N/A",IF(Table1[[#This Row],[DUT Adj Read]]="N/A",IF(Table1[[#This Row],[Std Adj Read]]&lt;=Table1[[#This Row],[High Tol]],"Pass","Fail"),IF(Table1[[#This Row],[DUT Adj Read]]&lt;=Table1[[#This Row],[High Tol]],"Pass","Fail")))</f>
        <v>Fail</v>
      </c>
      <c r="AH3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6" s="1" t="b">
        <v>0</v>
      </c>
      <c r="AN396" s="1" t="b">
        <v>0</v>
      </c>
      <c r="AO396" s="1" t="b">
        <v>0</v>
      </c>
    </row>
    <row r="397" spans="1:41" x14ac:dyDescent="0.25">
      <c r="A397" s="10"/>
      <c r="B397" s="10"/>
      <c r="C397" s="10"/>
      <c r="D397" s="10"/>
      <c r="E397" s="10"/>
      <c r="F397" s="10"/>
      <c r="G397" s="10"/>
      <c r="H397" s="10"/>
      <c r="I397" s="1" t="str">
        <f t="shared" si="18"/>
        <v/>
      </c>
      <c r="J397" s="1" t="s">
        <v>35</v>
      </c>
      <c r="K397" s="1" t="str">
        <f t="shared" si="19"/>
        <v/>
      </c>
      <c r="L397" s="1" t="str">
        <f t="shared" si="20"/>
        <v/>
      </c>
      <c r="M397" s="1">
        <f>IF(OR(Table1[[#This Row],[Std Nom]]="",Table1[[#This Row],[Std Read]]=""),0,Table1[[#This Row],[Std Nom]]-Table1[[#This Row],[Std Read]])</f>
        <v>0</v>
      </c>
      <c r="N397" s="1">
        <f>IF(Calculations!$F$5="ACCREDITED 17025 WITH UNCERTAINTIES",$N$10,0)</f>
        <v>0</v>
      </c>
      <c r="O397" s="1" t="str">
        <f>IFERROR(Table1[[#This Row],[Std Nom]]-(_xlfn.XLOOKUP(Table1[[#This Row],[Manufacturer]]&amp;" "&amp;Table1[[#This Row],[Model]],Table13[MFR &amp; MDL],Table13[Tolerance % CW ],"")/100*Table1[[#This Row],[Std Nom]]),"")</f>
        <v/>
      </c>
      <c r="P397" s="1" t="str">
        <f>IFERROR(Table1[[#This Row],[Std Nom]]+(_xlfn.XLOOKUP(Table1[[#This Row],[Manufacturer]]&amp;" "&amp;Table1[[#This Row],[Model]],Table13[MFR &amp; MDL],Table13[Tolerance % CW ],"")/100*Table1[[#This Row],[Std Nom]]),"")</f>
        <v/>
      </c>
      <c r="Q397" s="1" t="e">
        <f>Table1[[#This Row],[High Tol]]-Table1[[#This Row],[Low Tol]]</f>
        <v>#VALUE!</v>
      </c>
      <c r="R397" s="1">
        <f>2*Table1[[#This Row],[Std Error]]</f>
        <v>0</v>
      </c>
      <c r="S397" s="1" t="str">
        <f>IF(Table1[[#This Row],[High Tol]]="","N/A",IFERROR(ABS(Table1[[#This Row],[Tol Span]]/Table1[[#This Row],[Error Span]]),"N/A"))</f>
        <v>N/A</v>
      </c>
      <c r="T397" s="1" t="str">
        <f>IF(OR(Table1[[#This Row],[Low Tol]]="",Table1[[#This Row],[High Tol]]=""),"Needs Analysis",IF(Table1[[#This Row],[Ratio]]&gt;=4,"Not Significant",IF(Table1[[#This Row],[Ratio]]&gt;=2,"Semi-Significant","Significant")))</f>
        <v>Needs Analysis</v>
      </c>
      <c r="W397" s="1">
        <f>IF(Table1[[#This Row],[Cal Type]]&lt;&gt;"ACCREDITED 17025 WITH UNCERTAINTIES",0,"")</f>
        <v>0</v>
      </c>
      <c r="X397" s="1" t="str">
        <f>IF(Table1[[#This Row],[DUT Read]]="","N/A",Table1[[#This Row],[Std Error]]+Table1[[#This Row],[DUT Read]]+Table1[[#This Row],[DUT Ucty]])</f>
        <v>N/A</v>
      </c>
      <c r="Y397" s="1" t="str">
        <f>IF(Table1[[#This Row],[Std Read]]="","N/A",Table1[[#This Row],[Std Read]]+Table1[[#This Row],[Std Ucty]])</f>
        <v>N/A</v>
      </c>
      <c r="Z3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7" s="1" t="str">
        <f>IF(Table1[[#This Row],[Spec Type]]="","N/A",Table1[[#This Row],[Spec Type]])</f>
        <v>±</v>
      </c>
      <c r="AC397" s="1" t="str">
        <f>IF(Table1[[#This Row],[Spec Type2]]="N/A","N/A",IF(AND(Table1[[#This Row],[DUT Adj Read]]&gt;=Table1[[#This Row],[Low Tol]],Table1[[#This Row],[DUT Adj Read]]&lt;=Table1[[#This Row],[High Tol]]),"Pass","Fail"))</f>
        <v>Fail</v>
      </c>
      <c r="AD397" s="1" t="str">
        <f>IF(AND(Table1[[#This Row],[Spec Type2]]="N/A",Table1[[#This Row],[DUT Adj Read]]="N/A",Table1[[#This Row],[Std Adj Read]]="N/A"),"N/A",IF(Table1[[#This Row],[DUT Adj Read]]="N/A",IF(Table1[[#This Row],[Std Adj Read]]&gt;Table1[[#This Row],[Low Tol]],"Pass","Fail"),IF(Table1[[#This Row],[DUT Adj Read]]&gt;Table1[[#This Row],[Low Tol]],"Pass","Fail")))</f>
        <v>Pass</v>
      </c>
      <c r="AE397" s="1" t="str">
        <f>IF(AND(Table1[[#This Row],[Spec Type2]]="N/A",Table1[[#This Row],[DUT Adj Read]]="N/A",Table1[[#This Row],[Std Adj Read]]="N/A"),"N/A",IF(Table1[[#This Row],[DUT Adj Read]]="N/A",IF(Table1[[#This Row],[Std Adj Read]]&lt;Table1[[#This Row],[High Tol]],"Pass","Fail"),IF(Table1[[#This Row],[DUT Adj Read]]&lt;Table1[[#This Row],[High Tol]],"Pass","Fail")))</f>
        <v>Fail</v>
      </c>
      <c r="AF397" s="1" t="str">
        <f>IF(AND(Table1[[#This Row],[Spec Type2]]="N/A",Table1[[#This Row],[DUT Adj Read]]="N/A",Table1[[#This Row],[Std Adj Read]]="N/A"),"N/A",IF(Table1[[#This Row],[DUT Adj Read]]="N/A",IF(Table1[[#This Row],[Std Adj Read]]&gt;=Table1[[#This Row],[Low Tol]],"Pass","Fail"),IF(Table1[[#This Row],[DUT Adj Read]]&gt;=Table1[[#This Row],[Low Tol]],"Pass","Fail")))</f>
        <v>Pass</v>
      </c>
      <c r="AG397" s="1" t="str">
        <f>IF(AND(Table1[[#This Row],[Spec Type2]]="N/A",Table1[[#This Row],[DUT Adj Read]]="N/A",Table1[[#This Row],[Std Adj Read]]="N/A"),"N/A",IF(Table1[[#This Row],[DUT Adj Read]]="N/A",IF(Table1[[#This Row],[Std Adj Read]]&lt;=Table1[[#This Row],[High Tol]],"Pass","Fail"),IF(Table1[[#This Row],[DUT Adj Read]]&lt;=Table1[[#This Row],[High Tol]],"Pass","Fail")))</f>
        <v>Fail</v>
      </c>
      <c r="AH3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7" s="1" t="b">
        <v>0</v>
      </c>
      <c r="AN397" s="1" t="b">
        <v>0</v>
      </c>
      <c r="AO397" s="1" t="b">
        <v>0</v>
      </c>
    </row>
    <row r="398" spans="1:41" x14ac:dyDescent="0.25">
      <c r="A398" s="10"/>
      <c r="B398" s="10"/>
      <c r="C398" s="10"/>
      <c r="D398" s="10"/>
      <c r="E398" s="10"/>
      <c r="F398" s="10"/>
      <c r="G398" s="10"/>
      <c r="H398" s="10"/>
      <c r="I398" s="1" t="str">
        <f t="shared" si="18"/>
        <v/>
      </c>
      <c r="J398" s="1" t="s">
        <v>35</v>
      </c>
      <c r="K398" s="1" t="str">
        <f t="shared" si="19"/>
        <v/>
      </c>
      <c r="L398" s="1" t="str">
        <f t="shared" si="20"/>
        <v/>
      </c>
      <c r="M398" s="1">
        <f>IF(OR(Table1[[#This Row],[Std Nom]]="",Table1[[#This Row],[Std Read]]=""),0,Table1[[#This Row],[Std Nom]]-Table1[[#This Row],[Std Read]])</f>
        <v>0</v>
      </c>
      <c r="N398" s="1">
        <f>IF(Calculations!$F$5="ACCREDITED 17025 WITH UNCERTAINTIES",$N$10,0)</f>
        <v>0</v>
      </c>
      <c r="O398" s="1" t="str">
        <f>IFERROR(Table1[[#This Row],[Std Nom]]-(_xlfn.XLOOKUP(Table1[[#This Row],[Manufacturer]]&amp;" "&amp;Table1[[#This Row],[Model]],Table13[MFR &amp; MDL],Table13[Tolerance % CW ],"")/100*Table1[[#This Row],[Std Nom]]),"")</f>
        <v/>
      </c>
      <c r="P398" s="1" t="str">
        <f>IFERROR(Table1[[#This Row],[Std Nom]]+(_xlfn.XLOOKUP(Table1[[#This Row],[Manufacturer]]&amp;" "&amp;Table1[[#This Row],[Model]],Table13[MFR &amp; MDL],Table13[Tolerance % CW ],"")/100*Table1[[#This Row],[Std Nom]]),"")</f>
        <v/>
      </c>
      <c r="Q398" s="1" t="e">
        <f>Table1[[#This Row],[High Tol]]-Table1[[#This Row],[Low Tol]]</f>
        <v>#VALUE!</v>
      </c>
      <c r="R398" s="1">
        <f>2*Table1[[#This Row],[Std Error]]</f>
        <v>0</v>
      </c>
      <c r="S398" s="1" t="str">
        <f>IF(Table1[[#This Row],[High Tol]]="","N/A",IFERROR(ABS(Table1[[#This Row],[Tol Span]]/Table1[[#This Row],[Error Span]]),"N/A"))</f>
        <v>N/A</v>
      </c>
      <c r="T398" s="1" t="str">
        <f>IF(OR(Table1[[#This Row],[Low Tol]]="",Table1[[#This Row],[High Tol]]=""),"Needs Analysis",IF(Table1[[#This Row],[Ratio]]&gt;=4,"Not Significant",IF(Table1[[#This Row],[Ratio]]&gt;=2,"Semi-Significant","Significant")))</f>
        <v>Needs Analysis</v>
      </c>
      <c r="W398" s="1">
        <f>IF(Table1[[#This Row],[Cal Type]]&lt;&gt;"ACCREDITED 17025 WITH UNCERTAINTIES",0,"")</f>
        <v>0</v>
      </c>
      <c r="X398" s="1" t="str">
        <f>IF(Table1[[#This Row],[DUT Read]]="","N/A",Table1[[#This Row],[Std Error]]+Table1[[#This Row],[DUT Read]]+Table1[[#This Row],[DUT Ucty]])</f>
        <v>N/A</v>
      </c>
      <c r="Y398" s="1" t="str">
        <f>IF(Table1[[#This Row],[Std Read]]="","N/A",Table1[[#This Row],[Std Read]]+Table1[[#This Row],[Std Ucty]])</f>
        <v>N/A</v>
      </c>
      <c r="Z3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8" s="1" t="str">
        <f>IF(Table1[[#This Row],[Spec Type]]="","N/A",Table1[[#This Row],[Spec Type]])</f>
        <v>±</v>
      </c>
      <c r="AC398" s="1" t="str">
        <f>IF(Table1[[#This Row],[Spec Type2]]="N/A","N/A",IF(AND(Table1[[#This Row],[DUT Adj Read]]&gt;=Table1[[#This Row],[Low Tol]],Table1[[#This Row],[DUT Adj Read]]&lt;=Table1[[#This Row],[High Tol]]),"Pass","Fail"))</f>
        <v>Fail</v>
      </c>
      <c r="AD398" s="1" t="str">
        <f>IF(AND(Table1[[#This Row],[Spec Type2]]="N/A",Table1[[#This Row],[DUT Adj Read]]="N/A",Table1[[#This Row],[Std Adj Read]]="N/A"),"N/A",IF(Table1[[#This Row],[DUT Adj Read]]="N/A",IF(Table1[[#This Row],[Std Adj Read]]&gt;Table1[[#This Row],[Low Tol]],"Pass","Fail"),IF(Table1[[#This Row],[DUT Adj Read]]&gt;Table1[[#This Row],[Low Tol]],"Pass","Fail")))</f>
        <v>Pass</v>
      </c>
      <c r="AE398" s="1" t="str">
        <f>IF(AND(Table1[[#This Row],[Spec Type2]]="N/A",Table1[[#This Row],[DUT Adj Read]]="N/A",Table1[[#This Row],[Std Adj Read]]="N/A"),"N/A",IF(Table1[[#This Row],[DUT Adj Read]]="N/A",IF(Table1[[#This Row],[Std Adj Read]]&lt;Table1[[#This Row],[High Tol]],"Pass","Fail"),IF(Table1[[#This Row],[DUT Adj Read]]&lt;Table1[[#This Row],[High Tol]],"Pass","Fail")))</f>
        <v>Fail</v>
      </c>
      <c r="AF398" s="1" t="str">
        <f>IF(AND(Table1[[#This Row],[Spec Type2]]="N/A",Table1[[#This Row],[DUT Adj Read]]="N/A",Table1[[#This Row],[Std Adj Read]]="N/A"),"N/A",IF(Table1[[#This Row],[DUT Adj Read]]="N/A",IF(Table1[[#This Row],[Std Adj Read]]&gt;=Table1[[#This Row],[Low Tol]],"Pass","Fail"),IF(Table1[[#This Row],[DUT Adj Read]]&gt;=Table1[[#This Row],[Low Tol]],"Pass","Fail")))</f>
        <v>Pass</v>
      </c>
      <c r="AG398" s="1" t="str">
        <f>IF(AND(Table1[[#This Row],[Spec Type2]]="N/A",Table1[[#This Row],[DUT Adj Read]]="N/A",Table1[[#This Row],[Std Adj Read]]="N/A"),"N/A",IF(Table1[[#This Row],[DUT Adj Read]]="N/A",IF(Table1[[#This Row],[Std Adj Read]]&lt;=Table1[[#This Row],[High Tol]],"Pass","Fail"),IF(Table1[[#This Row],[DUT Adj Read]]&lt;=Table1[[#This Row],[High Tol]],"Pass","Fail")))</f>
        <v>Fail</v>
      </c>
      <c r="AH3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8" s="1" t="b">
        <v>0</v>
      </c>
      <c r="AN398" s="1" t="b">
        <v>0</v>
      </c>
      <c r="AO398" s="1" t="b">
        <v>0</v>
      </c>
    </row>
    <row r="399" spans="1:41" x14ac:dyDescent="0.25">
      <c r="A399" s="10"/>
      <c r="B399" s="10"/>
      <c r="C399" s="10"/>
      <c r="D399" s="10"/>
      <c r="E399" s="10"/>
      <c r="F399" s="10"/>
      <c r="G399" s="10"/>
      <c r="H399" s="10"/>
      <c r="I399" s="1" t="str">
        <f t="shared" si="18"/>
        <v/>
      </c>
      <c r="J399" s="1" t="s">
        <v>35</v>
      </c>
      <c r="K399" s="1" t="str">
        <f t="shared" si="19"/>
        <v/>
      </c>
      <c r="L399" s="1" t="str">
        <f t="shared" si="20"/>
        <v/>
      </c>
      <c r="M399" s="1">
        <f>IF(OR(Table1[[#This Row],[Std Nom]]="",Table1[[#This Row],[Std Read]]=""),0,Table1[[#This Row],[Std Nom]]-Table1[[#This Row],[Std Read]])</f>
        <v>0</v>
      </c>
      <c r="N399" s="1">
        <f>IF(Calculations!$F$5="ACCREDITED 17025 WITH UNCERTAINTIES",$N$10,0)</f>
        <v>0</v>
      </c>
      <c r="O399" s="1" t="str">
        <f>IFERROR(Table1[[#This Row],[Std Nom]]-(_xlfn.XLOOKUP(Table1[[#This Row],[Manufacturer]]&amp;" "&amp;Table1[[#This Row],[Model]],Table13[MFR &amp; MDL],Table13[Tolerance % CW ],"")/100*Table1[[#This Row],[Std Nom]]),"")</f>
        <v/>
      </c>
      <c r="P399" s="1" t="str">
        <f>IFERROR(Table1[[#This Row],[Std Nom]]+(_xlfn.XLOOKUP(Table1[[#This Row],[Manufacturer]]&amp;" "&amp;Table1[[#This Row],[Model]],Table13[MFR &amp; MDL],Table13[Tolerance % CW ],"")/100*Table1[[#This Row],[Std Nom]]),"")</f>
        <v/>
      </c>
      <c r="Q399" s="1" t="e">
        <f>Table1[[#This Row],[High Tol]]-Table1[[#This Row],[Low Tol]]</f>
        <v>#VALUE!</v>
      </c>
      <c r="R399" s="1">
        <f>2*Table1[[#This Row],[Std Error]]</f>
        <v>0</v>
      </c>
      <c r="S399" s="1" t="str">
        <f>IF(Table1[[#This Row],[High Tol]]="","N/A",IFERROR(ABS(Table1[[#This Row],[Tol Span]]/Table1[[#This Row],[Error Span]]),"N/A"))</f>
        <v>N/A</v>
      </c>
      <c r="T399" s="1" t="str">
        <f>IF(OR(Table1[[#This Row],[Low Tol]]="",Table1[[#This Row],[High Tol]]=""),"Needs Analysis",IF(Table1[[#This Row],[Ratio]]&gt;=4,"Not Significant",IF(Table1[[#This Row],[Ratio]]&gt;=2,"Semi-Significant","Significant")))</f>
        <v>Needs Analysis</v>
      </c>
      <c r="W399" s="1">
        <f>IF(Table1[[#This Row],[Cal Type]]&lt;&gt;"ACCREDITED 17025 WITH UNCERTAINTIES",0,"")</f>
        <v>0</v>
      </c>
      <c r="X399" s="1" t="str">
        <f>IF(Table1[[#This Row],[DUT Read]]="","N/A",Table1[[#This Row],[Std Error]]+Table1[[#This Row],[DUT Read]]+Table1[[#This Row],[DUT Ucty]])</f>
        <v>N/A</v>
      </c>
      <c r="Y399" s="1" t="str">
        <f>IF(Table1[[#This Row],[Std Read]]="","N/A",Table1[[#This Row],[Std Read]]+Table1[[#This Row],[Std Ucty]])</f>
        <v>N/A</v>
      </c>
      <c r="Z3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9" s="1" t="str">
        <f>IF(Table1[[#This Row],[Spec Type]]="","N/A",Table1[[#This Row],[Spec Type]])</f>
        <v>±</v>
      </c>
      <c r="AC399" s="1" t="str">
        <f>IF(Table1[[#This Row],[Spec Type2]]="N/A","N/A",IF(AND(Table1[[#This Row],[DUT Adj Read]]&gt;=Table1[[#This Row],[Low Tol]],Table1[[#This Row],[DUT Adj Read]]&lt;=Table1[[#This Row],[High Tol]]),"Pass","Fail"))</f>
        <v>Fail</v>
      </c>
      <c r="AD399" s="1" t="str">
        <f>IF(AND(Table1[[#This Row],[Spec Type2]]="N/A",Table1[[#This Row],[DUT Adj Read]]="N/A",Table1[[#This Row],[Std Adj Read]]="N/A"),"N/A",IF(Table1[[#This Row],[DUT Adj Read]]="N/A",IF(Table1[[#This Row],[Std Adj Read]]&gt;Table1[[#This Row],[Low Tol]],"Pass","Fail"),IF(Table1[[#This Row],[DUT Adj Read]]&gt;Table1[[#This Row],[Low Tol]],"Pass","Fail")))</f>
        <v>Pass</v>
      </c>
      <c r="AE399" s="1" t="str">
        <f>IF(AND(Table1[[#This Row],[Spec Type2]]="N/A",Table1[[#This Row],[DUT Adj Read]]="N/A",Table1[[#This Row],[Std Adj Read]]="N/A"),"N/A",IF(Table1[[#This Row],[DUT Adj Read]]="N/A",IF(Table1[[#This Row],[Std Adj Read]]&lt;Table1[[#This Row],[High Tol]],"Pass","Fail"),IF(Table1[[#This Row],[DUT Adj Read]]&lt;Table1[[#This Row],[High Tol]],"Pass","Fail")))</f>
        <v>Fail</v>
      </c>
      <c r="AF399" s="1" t="str">
        <f>IF(AND(Table1[[#This Row],[Spec Type2]]="N/A",Table1[[#This Row],[DUT Adj Read]]="N/A",Table1[[#This Row],[Std Adj Read]]="N/A"),"N/A",IF(Table1[[#This Row],[DUT Adj Read]]="N/A",IF(Table1[[#This Row],[Std Adj Read]]&gt;=Table1[[#This Row],[Low Tol]],"Pass","Fail"),IF(Table1[[#This Row],[DUT Adj Read]]&gt;=Table1[[#This Row],[Low Tol]],"Pass","Fail")))</f>
        <v>Pass</v>
      </c>
      <c r="AG399" s="1" t="str">
        <f>IF(AND(Table1[[#This Row],[Spec Type2]]="N/A",Table1[[#This Row],[DUT Adj Read]]="N/A",Table1[[#This Row],[Std Adj Read]]="N/A"),"N/A",IF(Table1[[#This Row],[DUT Adj Read]]="N/A",IF(Table1[[#This Row],[Std Adj Read]]&lt;=Table1[[#This Row],[High Tol]],"Pass","Fail"),IF(Table1[[#This Row],[DUT Adj Read]]&lt;=Table1[[#This Row],[High Tol]],"Pass","Fail")))</f>
        <v>Fail</v>
      </c>
      <c r="AH3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9" s="1" t="b">
        <v>0</v>
      </c>
      <c r="AN399" s="1" t="b">
        <v>0</v>
      </c>
      <c r="AO399" s="1" t="b">
        <v>0</v>
      </c>
    </row>
    <row r="400" spans="1:41" x14ac:dyDescent="0.25">
      <c r="A400" s="10"/>
      <c r="B400" s="10"/>
      <c r="C400" s="10"/>
      <c r="D400" s="10"/>
      <c r="E400" s="10"/>
      <c r="F400" s="10"/>
      <c r="G400" s="10"/>
      <c r="H400" s="10"/>
      <c r="I400" s="1" t="str">
        <f t="shared" si="18"/>
        <v/>
      </c>
      <c r="J400" s="1" t="s">
        <v>35</v>
      </c>
      <c r="K400" s="1" t="str">
        <f t="shared" si="19"/>
        <v/>
      </c>
      <c r="L400" s="1" t="str">
        <f t="shared" si="20"/>
        <v/>
      </c>
      <c r="M400" s="1">
        <f>IF(OR(Table1[[#This Row],[Std Nom]]="",Table1[[#This Row],[Std Read]]=""),0,Table1[[#This Row],[Std Nom]]-Table1[[#This Row],[Std Read]])</f>
        <v>0</v>
      </c>
      <c r="N400" s="1">
        <f>IF(Calculations!$F$5="ACCREDITED 17025 WITH UNCERTAINTIES",$N$10,0)</f>
        <v>0</v>
      </c>
      <c r="O400" s="1" t="str">
        <f>IFERROR(Table1[[#This Row],[Std Nom]]-(_xlfn.XLOOKUP(Table1[[#This Row],[Manufacturer]]&amp;" "&amp;Table1[[#This Row],[Model]],Table13[MFR &amp; MDL],Table13[Tolerance % CW ],"")/100*Table1[[#This Row],[Std Nom]]),"")</f>
        <v/>
      </c>
      <c r="P400" s="1" t="str">
        <f>IFERROR(Table1[[#This Row],[Std Nom]]+(_xlfn.XLOOKUP(Table1[[#This Row],[Manufacturer]]&amp;" "&amp;Table1[[#This Row],[Model]],Table13[MFR &amp; MDL],Table13[Tolerance % CW ],"")/100*Table1[[#This Row],[Std Nom]]),"")</f>
        <v/>
      </c>
      <c r="Q400" s="1" t="e">
        <f>Table1[[#This Row],[High Tol]]-Table1[[#This Row],[Low Tol]]</f>
        <v>#VALUE!</v>
      </c>
      <c r="R400" s="1">
        <f>2*Table1[[#This Row],[Std Error]]</f>
        <v>0</v>
      </c>
      <c r="S400" s="1" t="str">
        <f>IF(Table1[[#This Row],[High Tol]]="","N/A",IFERROR(ABS(Table1[[#This Row],[Tol Span]]/Table1[[#This Row],[Error Span]]),"N/A"))</f>
        <v>N/A</v>
      </c>
      <c r="T400" s="1" t="str">
        <f>IF(OR(Table1[[#This Row],[Low Tol]]="",Table1[[#This Row],[High Tol]]=""),"Needs Analysis",IF(Table1[[#This Row],[Ratio]]&gt;=4,"Not Significant",IF(Table1[[#This Row],[Ratio]]&gt;=2,"Semi-Significant","Significant")))</f>
        <v>Needs Analysis</v>
      </c>
      <c r="W400" s="1">
        <f>IF(Table1[[#This Row],[Cal Type]]&lt;&gt;"ACCREDITED 17025 WITH UNCERTAINTIES",0,"")</f>
        <v>0</v>
      </c>
      <c r="X400" s="1" t="str">
        <f>IF(Table1[[#This Row],[DUT Read]]="","N/A",Table1[[#This Row],[Std Error]]+Table1[[#This Row],[DUT Read]]+Table1[[#This Row],[DUT Ucty]])</f>
        <v>N/A</v>
      </c>
      <c r="Y400" s="1" t="str">
        <f>IF(Table1[[#This Row],[Std Read]]="","N/A",Table1[[#This Row],[Std Read]]+Table1[[#This Row],[Std Ucty]])</f>
        <v>N/A</v>
      </c>
      <c r="Z4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0" s="1" t="str">
        <f>IF(Table1[[#This Row],[Spec Type]]="","N/A",Table1[[#This Row],[Spec Type]])</f>
        <v>±</v>
      </c>
      <c r="AC400" s="1" t="str">
        <f>IF(Table1[[#This Row],[Spec Type2]]="N/A","N/A",IF(AND(Table1[[#This Row],[DUT Adj Read]]&gt;=Table1[[#This Row],[Low Tol]],Table1[[#This Row],[DUT Adj Read]]&lt;=Table1[[#This Row],[High Tol]]),"Pass","Fail"))</f>
        <v>Fail</v>
      </c>
      <c r="AD400" s="1" t="str">
        <f>IF(AND(Table1[[#This Row],[Spec Type2]]="N/A",Table1[[#This Row],[DUT Adj Read]]="N/A",Table1[[#This Row],[Std Adj Read]]="N/A"),"N/A",IF(Table1[[#This Row],[DUT Adj Read]]="N/A",IF(Table1[[#This Row],[Std Adj Read]]&gt;Table1[[#This Row],[Low Tol]],"Pass","Fail"),IF(Table1[[#This Row],[DUT Adj Read]]&gt;Table1[[#This Row],[Low Tol]],"Pass","Fail")))</f>
        <v>Pass</v>
      </c>
      <c r="AE400" s="1" t="str">
        <f>IF(AND(Table1[[#This Row],[Spec Type2]]="N/A",Table1[[#This Row],[DUT Adj Read]]="N/A",Table1[[#This Row],[Std Adj Read]]="N/A"),"N/A",IF(Table1[[#This Row],[DUT Adj Read]]="N/A",IF(Table1[[#This Row],[Std Adj Read]]&lt;Table1[[#This Row],[High Tol]],"Pass","Fail"),IF(Table1[[#This Row],[DUT Adj Read]]&lt;Table1[[#This Row],[High Tol]],"Pass","Fail")))</f>
        <v>Fail</v>
      </c>
      <c r="AF400" s="1" t="str">
        <f>IF(AND(Table1[[#This Row],[Spec Type2]]="N/A",Table1[[#This Row],[DUT Adj Read]]="N/A",Table1[[#This Row],[Std Adj Read]]="N/A"),"N/A",IF(Table1[[#This Row],[DUT Adj Read]]="N/A",IF(Table1[[#This Row],[Std Adj Read]]&gt;=Table1[[#This Row],[Low Tol]],"Pass","Fail"),IF(Table1[[#This Row],[DUT Adj Read]]&gt;=Table1[[#This Row],[Low Tol]],"Pass","Fail")))</f>
        <v>Pass</v>
      </c>
      <c r="AG400" s="1" t="str">
        <f>IF(AND(Table1[[#This Row],[Spec Type2]]="N/A",Table1[[#This Row],[DUT Adj Read]]="N/A",Table1[[#This Row],[Std Adj Read]]="N/A"),"N/A",IF(Table1[[#This Row],[DUT Adj Read]]="N/A",IF(Table1[[#This Row],[Std Adj Read]]&lt;=Table1[[#This Row],[High Tol]],"Pass","Fail"),IF(Table1[[#This Row],[DUT Adj Read]]&lt;=Table1[[#This Row],[High Tol]],"Pass","Fail")))</f>
        <v>Fail</v>
      </c>
      <c r="AH4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0" s="1" t="b">
        <v>0</v>
      </c>
      <c r="AN400" s="1" t="b">
        <v>0</v>
      </c>
      <c r="AO400" s="1" t="b">
        <v>0</v>
      </c>
    </row>
    <row r="401" spans="1:41" x14ac:dyDescent="0.25">
      <c r="A401" s="10"/>
      <c r="B401" s="10"/>
      <c r="C401" s="10"/>
      <c r="D401" s="10"/>
      <c r="E401" s="10"/>
      <c r="F401" s="10"/>
      <c r="G401" s="10"/>
      <c r="H401" s="10"/>
      <c r="I401" s="1" t="str">
        <f t="shared" si="18"/>
        <v/>
      </c>
      <c r="J401" s="1" t="s">
        <v>35</v>
      </c>
      <c r="K401" s="1" t="str">
        <f t="shared" si="19"/>
        <v/>
      </c>
      <c r="L401" s="1" t="str">
        <f t="shared" si="20"/>
        <v/>
      </c>
      <c r="M401" s="1">
        <f>IF(OR(Table1[[#This Row],[Std Nom]]="",Table1[[#This Row],[Std Read]]=""),0,Table1[[#This Row],[Std Nom]]-Table1[[#This Row],[Std Read]])</f>
        <v>0</v>
      </c>
      <c r="N401" s="1">
        <f>IF(Calculations!$F$5="ACCREDITED 17025 WITH UNCERTAINTIES",$N$10,0)</f>
        <v>0</v>
      </c>
      <c r="O401" s="1" t="str">
        <f>IFERROR(Table1[[#This Row],[Std Nom]]-(_xlfn.XLOOKUP(Table1[[#This Row],[Manufacturer]]&amp;" "&amp;Table1[[#This Row],[Model]],Table13[MFR &amp; MDL],Table13[Tolerance % CW ],"")/100*Table1[[#This Row],[Std Nom]]),"")</f>
        <v/>
      </c>
      <c r="P401" s="1" t="str">
        <f>IFERROR(Table1[[#This Row],[Std Nom]]+(_xlfn.XLOOKUP(Table1[[#This Row],[Manufacturer]]&amp;" "&amp;Table1[[#This Row],[Model]],Table13[MFR &amp; MDL],Table13[Tolerance % CW ],"")/100*Table1[[#This Row],[Std Nom]]),"")</f>
        <v/>
      </c>
      <c r="Q401" s="1" t="e">
        <f>Table1[[#This Row],[High Tol]]-Table1[[#This Row],[Low Tol]]</f>
        <v>#VALUE!</v>
      </c>
      <c r="R401" s="1">
        <f>2*Table1[[#This Row],[Std Error]]</f>
        <v>0</v>
      </c>
      <c r="S401" s="1" t="str">
        <f>IF(Table1[[#This Row],[High Tol]]="","N/A",IFERROR(ABS(Table1[[#This Row],[Tol Span]]/Table1[[#This Row],[Error Span]]),"N/A"))</f>
        <v>N/A</v>
      </c>
      <c r="T401" s="1" t="str">
        <f>IF(OR(Table1[[#This Row],[Low Tol]]="",Table1[[#This Row],[High Tol]]=""),"Needs Analysis",IF(Table1[[#This Row],[Ratio]]&gt;=4,"Not Significant",IF(Table1[[#This Row],[Ratio]]&gt;=2,"Semi-Significant","Significant")))</f>
        <v>Needs Analysis</v>
      </c>
      <c r="W401" s="1">
        <f>IF(Table1[[#This Row],[Cal Type]]&lt;&gt;"ACCREDITED 17025 WITH UNCERTAINTIES",0,"")</f>
        <v>0</v>
      </c>
      <c r="X401" s="1" t="str">
        <f>IF(Table1[[#This Row],[DUT Read]]="","N/A",Table1[[#This Row],[Std Error]]+Table1[[#This Row],[DUT Read]]+Table1[[#This Row],[DUT Ucty]])</f>
        <v>N/A</v>
      </c>
      <c r="Y401" s="1" t="str">
        <f>IF(Table1[[#This Row],[Std Read]]="","N/A",Table1[[#This Row],[Std Read]]+Table1[[#This Row],[Std Ucty]])</f>
        <v>N/A</v>
      </c>
      <c r="Z4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1" s="1" t="str">
        <f>IF(Table1[[#This Row],[Spec Type]]="","N/A",Table1[[#This Row],[Spec Type]])</f>
        <v>±</v>
      </c>
      <c r="AC401" s="1" t="str">
        <f>IF(Table1[[#This Row],[Spec Type2]]="N/A","N/A",IF(AND(Table1[[#This Row],[DUT Adj Read]]&gt;=Table1[[#This Row],[Low Tol]],Table1[[#This Row],[DUT Adj Read]]&lt;=Table1[[#This Row],[High Tol]]),"Pass","Fail"))</f>
        <v>Fail</v>
      </c>
      <c r="AD401" s="1" t="str">
        <f>IF(AND(Table1[[#This Row],[Spec Type2]]="N/A",Table1[[#This Row],[DUT Adj Read]]="N/A",Table1[[#This Row],[Std Adj Read]]="N/A"),"N/A",IF(Table1[[#This Row],[DUT Adj Read]]="N/A",IF(Table1[[#This Row],[Std Adj Read]]&gt;Table1[[#This Row],[Low Tol]],"Pass","Fail"),IF(Table1[[#This Row],[DUT Adj Read]]&gt;Table1[[#This Row],[Low Tol]],"Pass","Fail")))</f>
        <v>Pass</v>
      </c>
      <c r="AE401" s="1" t="str">
        <f>IF(AND(Table1[[#This Row],[Spec Type2]]="N/A",Table1[[#This Row],[DUT Adj Read]]="N/A",Table1[[#This Row],[Std Adj Read]]="N/A"),"N/A",IF(Table1[[#This Row],[DUT Adj Read]]="N/A",IF(Table1[[#This Row],[Std Adj Read]]&lt;Table1[[#This Row],[High Tol]],"Pass","Fail"),IF(Table1[[#This Row],[DUT Adj Read]]&lt;Table1[[#This Row],[High Tol]],"Pass","Fail")))</f>
        <v>Fail</v>
      </c>
      <c r="AF401" s="1" t="str">
        <f>IF(AND(Table1[[#This Row],[Spec Type2]]="N/A",Table1[[#This Row],[DUT Adj Read]]="N/A",Table1[[#This Row],[Std Adj Read]]="N/A"),"N/A",IF(Table1[[#This Row],[DUT Adj Read]]="N/A",IF(Table1[[#This Row],[Std Adj Read]]&gt;=Table1[[#This Row],[Low Tol]],"Pass","Fail"),IF(Table1[[#This Row],[DUT Adj Read]]&gt;=Table1[[#This Row],[Low Tol]],"Pass","Fail")))</f>
        <v>Pass</v>
      </c>
      <c r="AG401" s="1" t="str">
        <f>IF(AND(Table1[[#This Row],[Spec Type2]]="N/A",Table1[[#This Row],[DUT Adj Read]]="N/A",Table1[[#This Row],[Std Adj Read]]="N/A"),"N/A",IF(Table1[[#This Row],[DUT Adj Read]]="N/A",IF(Table1[[#This Row],[Std Adj Read]]&lt;=Table1[[#This Row],[High Tol]],"Pass","Fail"),IF(Table1[[#This Row],[DUT Adj Read]]&lt;=Table1[[#This Row],[High Tol]],"Pass","Fail")))</f>
        <v>Fail</v>
      </c>
      <c r="AH4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1" s="1" t="b">
        <v>0</v>
      </c>
      <c r="AN401" s="1" t="b">
        <v>0</v>
      </c>
      <c r="AO401" s="1" t="b">
        <v>0</v>
      </c>
    </row>
    <row r="402" spans="1:41" x14ac:dyDescent="0.25">
      <c r="A402" s="10"/>
      <c r="B402" s="10"/>
      <c r="C402" s="10"/>
      <c r="D402" s="10"/>
      <c r="E402" s="10"/>
      <c r="F402" s="10"/>
      <c r="G402" s="10"/>
      <c r="H402" s="10"/>
      <c r="I402" s="1" t="str">
        <f t="shared" si="18"/>
        <v/>
      </c>
      <c r="J402" s="1" t="s">
        <v>35</v>
      </c>
      <c r="K402" s="1" t="str">
        <f t="shared" si="19"/>
        <v/>
      </c>
      <c r="L402" s="1" t="str">
        <f t="shared" si="20"/>
        <v/>
      </c>
      <c r="M402" s="1">
        <f>IF(OR(Table1[[#This Row],[Std Nom]]="",Table1[[#This Row],[Std Read]]=""),0,Table1[[#This Row],[Std Nom]]-Table1[[#This Row],[Std Read]])</f>
        <v>0</v>
      </c>
      <c r="N402" s="1">
        <f>IF(Calculations!$F$5="ACCREDITED 17025 WITH UNCERTAINTIES",$N$10,0)</f>
        <v>0</v>
      </c>
      <c r="O402" s="1" t="str">
        <f>IFERROR(Table1[[#This Row],[Std Nom]]-(_xlfn.XLOOKUP(Table1[[#This Row],[Manufacturer]]&amp;" "&amp;Table1[[#This Row],[Model]],Table13[MFR &amp; MDL],Table13[Tolerance % CW ],"")/100*Table1[[#This Row],[Std Nom]]),"")</f>
        <v/>
      </c>
      <c r="P402" s="1" t="str">
        <f>IFERROR(Table1[[#This Row],[Std Nom]]+(_xlfn.XLOOKUP(Table1[[#This Row],[Manufacturer]]&amp;" "&amp;Table1[[#This Row],[Model]],Table13[MFR &amp; MDL],Table13[Tolerance % CW ],"")/100*Table1[[#This Row],[Std Nom]]),"")</f>
        <v/>
      </c>
      <c r="Q402" s="1" t="e">
        <f>Table1[[#This Row],[High Tol]]-Table1[[#This Row],[Low Tol]]</f>
        <v>#VALUE!</v>
      </c>
      <c r="R402" s="1">
        <f>2*Table1[[#This Row],[Std Error]]</f>
        <v>0</v>
      </c>
      <c r="S402" s="1" t="str">
        <f>IF(Table1[[#This Row],[High Tol]]="","N/A",IFERROR(ABS(Table1[[#This Row],[Tol Span]]/Table1[[#This Row],[Error Span]]),"N/A"))</f>
        <v>N/A</v>
      </c>
      <c r="T402" s="1" t="str">
        <f>IF(OR(Table1[[#This Row],[Low Tol]]="",Table1[[#This Row],[High Tol]]=""),"Needs Analysis",IF(Table1[[#This Row],[Ratio]]&gt;=4,"Not Significant",IF(Table1[[#This Row],[Ratio]]&gt;=2,"Semi-Significant","Significant")))</f>
        <v>Needs Analysis</v>
      </c>
      <c r="W402" s="1">
        <f>IF(Table1[[#This Row],[Cal Type]]&lt;&gt;"ACCREDITED 17025 WITH UNCERTAINTIES",0,"")</f>
        <v>0</v>
      </c>
      <c r="X402" s="1" t="str">
        <f>IF(Table1[[#This Row],[DUT Read]]="","N/A",Table1[[#This Row],[Std Error]]+Table1[[#This Row],[DUT Read]]+Table1[[#This Row],[DUT Ucty]])</f>
        <v>N/A</v>
      </c>
      <c r="Y402" s="1" t="str">
        <f>IF(Table1[[#This Row],[Std Read]]="","N/A",Table1[[#This Row],[Std Read]]+Table1[[#This Row],[Std Ucty]])</f>
        <v>N/A</v>
      </c>
      <c r="Z4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2" s="1" t="str">
        <f>IF(Table1[[#This Row],[Spec Type]]="","N/A",Table1[[#This Row],[Spec Type]])</f>
        <v>±</v>
      </c>
      <c r="AC402" s="1" t="str">
        <f>IF(Table1[[#This Row],[Spec Type2]]="N/A","N/A",IF(AND(Table1[[#This Row],[DUT Adj Read]]&gt;=Table1[[#This Row],[Low Tol]],Table1[[#This Row],[DUT Adj Read]]&lt;=Table1[[#This Row],[High Tol]]),"Pass","Fail"))</f>
        <v>Fail</v>
      </c>
      <c r="AD402" s="1" t="str">
        <f>IF(AND(Table1[[#This Row],[Spec Type2]]="N/A",Table1[[#This Row],[DUT Adj Read]]="N/A",Table1[[#This Row],[Std Adj Read]]="N/A"),"N/A",IF(Table1[[#This Row],[DUT Adj Read]]="N/A",IF(Table1[[#This Row],[Std Adj Read]]&gt;Table1[[#This Row],[Low Tol]],"Pass","Fail"),IF(Table1[[#This Row],[DUT Adj Read]]&gt;Table1[[#This Row],[Low Tol]],"Pass","Fail")))</f>
        <v>Pass</v>
      </c>
      <c r="AE402" s="1" t="str">
        <f>IF(AND(Table1[[#This Row],[Spec Type2]]="N/A",Table1[[#This Row],[DUT Adj Read]]="N/A",Table1[[#This Row],[Std Adj Read]]="N/A"),"N/A",IF(Table1[[#This Row],[DUT Adj Read]]="N/A",IF(Table1[[#This Row],[Std Adj Read]]&lt;Table1[[#This Row],[High Tol]],"Pass","Fail"),IF(Table1[[#This Row],[DUT Adj Read]]&lt;Table1[[#This Row],[High Tol]],"Pass","Fail")))</f>
        <v>Fail</v>
      </c>
      <c r="AF402" s="1" t="str">
        <f>IF(AND(Table1[[#This Row],[Spec Type2]]="N/A",Table1[[#This Row],[DUT Adj Read]]="N/A",Table1[[#This Row],[Std Adj Read]]="N/A"),"N/A",IF(Table1[[#This Row],[DUT Adj Read]]="N/A",IF(Table1[[#This Row],[Std Adj Read]]&gt;=Table1[[#This Row],[Low Tol]],"Pass","Fail"),IF(Table1[[#This Row],[DUT Adj Read]]&gt;=Table1[[#This Row],[Low Tol]],"Pass","Fail")))</f>
        <v>Pass</v>
      </c>
      <c r="AG402" s="1" t="str">
        <f>IF(AND(Table1[[#This Row],[Spec Type2]]="N/A",Table1[[#This Row],[DUT Adj Read]]="N/A",Table1[[#This Row],[Std Adj Read]]="N/A"),"N/A",IF(Table1[[#This Row],[DUT Adj Read]]="N/A",IF(Table1[[#This Row],[Std Adj Read]]&lt;=Table1[[#This Row],[High Tol]],"Pass","Fail"),IF(Table1[[#This Row],[DUT Adj Read]]&lt;=Table1[[#This Row],[High Tol]],"Pass","Fail")))</f>
        <v>Fail</v>
      </c>
      <c r="AH4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2" s="1" t="b">
        <v>0</v>
      </c>
      <c r="AN402" s="1" t="b">
        <v>0</v>
      </c>
      <c r="AO402" s="1" t="b">
        <v>0</v>
      </c>
    </row>
    <row r="403" spans="1:41" x14ac:dyDescent="0.25">
      <c r="A403" s="10"/>
      <c r="B403" s="10"/>
      <c r="C403" s="10"/>
      <c r="D403" s="10"/>
      <c r="E403" s="10"/>
      <c r="F403" s="10"/>
      <c r="G403" s="10"/>
      <c r="H403" s="10"/>
      <c r="I403" s="1" t="str">
        <f t="shared" si="18"/>
        <v/>
      </c>
      <c r="J403" s="1" t="s">
        <v>35</v>
      </c>
      <c r="K403" s="1" t="str">
        <f t="shared" si="19"/>
        <v/>
      </c>
      <c r="L403" s="1" t="str">
        <f t="shared" si="20"/>
        <v/>
      </c>
      <c r="M403" s="1">
        <f>IF(OR(Table1[[#This Row],[Std Nom]]="",Table1[[#This Row],[Std Read]]=""),0,Table1[[#This Row],[Std Nom]]-Table1[[#This Row],[Std Read]])</f>
        <v>0</v>
      </c>
      <c r="N403" s="1">
        <f>IF(Calculations!$F$5="ACCREDITED 17025 WITH UNCERTAINTIES",$N$10,0)</f>
        <v>0</v>
      </c>
      <c r="O403" s="1" t="str">
        <f>IFERROR(Table1[[#This Row],[Std Nom]]-(_xlfn.XLOOKUP(Table1[[#This Row],[Manufacturer]]&amp;" "&amp;Table1[[#This Row],[Model]],Table13[MFR &amp; MDL],Table13[Tolerance % CW ],"")/100*Table1[[#This Row],[Std Nom]]),"")</f>
        <v/>
      </c>
      <c r="P403" s="1" t="str">
        <f>IFERROR(Table1[[#This Row],[Std Nom]]+(_xlfn.XLOOKUP(Table1[[#This Row],[Manufacturer]]&amp;" "&amp;Table1[[#This Row],[Model]],Table13[MFR &amp; MDL],Table13[Tolerance % CW ],"")/100*Table1[[#This Row],[Std Nom]]),"")</f>
        <v/>
      </c>
      <c r="Q403" s="1" t="e">
        <f>Table1[[#This Row],[High Tol]]-Table1[[#This Row],[Low Tol]]</f>
        <v>#VALUE!</v>
      </c>
      <c r="R403" s="1">
        <f>2*Table1[[#This Row],[Std Error]]</f>
        <v>0</v>
      </c>
      <c r="S403" s="1" t="str">
        <f>IF(Table1[[#This Row],[High Tol]]="","N/A",IFERROR(ABS(Table1[[#This Row],[Tol Span]]/Table1[[#This Row],[Error Span]]),"N/A"))</f>
        <v>N/A</v>
      </c>
      <c r="T403" s="1" t="str">
        <f>IF(OR(Table1[[#This Row],[Low Tol]]="",Table1[[#This Row],[High Tol]]=""),"Needs Analysis",IF(Table1[[#This Row],[Ratio]]&gt;=4,"Not Significant",IF(Table1[[#This Row],[Ratio]]&gt;=2,"Semi-Significant","Significant")))</f>
        <v>Needs Analysis</v>
      </c>
      <c r="W403" s="1">
        <f>IF(Table1[[#This Row],[Cal Type]]&lt;&gt;"ACCREDITED 17025 WITH UNCERTAINTIES",0,"")</f>
        <v>0</v>
      </c>
      <c r="X403" s="1" t="str">
        <f>IF(Table1[[#This Row],[DUT Read]]="","N/A",Table1[[#This Row],[Std Error]]+Table1[[#This Row],[DUT Read]]+Table1[[#This Row],[DUT Ucty]])</f>
        <v>N/A</v>
      </c>
      <c r="Y403" s="1" t="str">
        <f>IF(Table1[[#This Row],[Std Read]]="","N/A",Table1[[#This Row],[Std Read]]+Table1[[#This Row],[Std Ucty]])</f>
        <v>N/A</v>
      </c>
      <c r="Z4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3" s="1" t="str">
        <f>IF(Table1[[#This Row],[Spec Type]]="","N/A",Table1[[#This Row],[Spec Type]])</f>
        <v>±</v>
      </c>
      <c r="AC403" s="1" t="str">
        <f>IF(Table1[[#This Row],[Spec Type2]]="N/A","N/A",IF(AND(Table1[[#This Row],[DUT Adj Read]]&gt;=Table1[[#This Row],[Low Tol]],Table1[[#This Row],[DUT Adj Read]]&lt;=Table1[[#This Row],[High Tol]]),"Pass","Fail"))</f>
        <v>Fail</v>
      </c>
      <c r="AD403" s="1" t="str">
        <f>IF(AND(Table1[[#This Row],[Spec Type2]]="N/A",Table1[[#This Row],[DUT Adj Read]]="N/A",Table1[[#This Row],[Std Adj Read]]="N/A"),"N/A",IF(Table1[[#This Row],[DUT Adj Read]]="N/A",IF(Table1[[#This Row],[Std Adj Read]]&gt;Table1[[#This Row],[Low Tol]],"Pass","Fail"),IF(Table1[[#This Row],[DUT Adj Read]]&gt;Table1[[#This Row],[Low Tol]],"Pass","Fail")))</f>
        <v>Pass</v>
      </c>
      <c r="AE403" s="1" t="str">
        <f>IF(AND(Table1[[#This Row],[Spec Type2]]="N/A",Table1[[#This Row],[DUT Adj Read]]="N/A",Table1[[#This Row],[Std Adj Read]]="N/A"),"N/A",IF(Table1[[#This Row],[DUT Adj Read]]="N/A",IF(Table1[[#This Row],[Std Adj Read]]&lt;Table1[[#This Row],[High Tol]],"Pass","Fail"),IF(Table1[[#This Row],[DUT Adj Read]]&lt;Table1[[#This Row],[High Tol]],"Pass","Fail")))</f>
        <v>Fail</v>
      </c>
      <c r="AF403" s="1" t="str">
        <f>IF(AND(Table1[[#This Row],[Spec Type2]]="N/A",Table1[[#This Row],[DUT Adj Read]]="N/A",Table1[[#This Row],[Std Adj Read]]="N/A"),"N/A",IF(Table1[[#This Row],[DUT Adj Read]]="N/A",IF(Table1[[#This Row],[Std Adj Read]]&gt;=Table1[[#This Row],[Low Tol]],"Pass","Fail"),IF(Table1[[#This Row],[DUT Adj Read]]&gt;=Table1[[#This Row],[Low Tol]],"Pass","Fail")))</f>
        <v>Pass</v>
      </c>
      <c r="AG403" s="1" t="str">
        <f>IF(AND(Table1[[#This Row],[Spec Type2]]="N/A",Table1[[#This Row],[DUT Adj Read]]="N/A",Table1[[#This Row],[Std Adj Read]]="N/A"),"N/A",IF(Table1[[#This Row],[DUT Adj Read]]="N/A",IF(Table1[[#This Row],[Std Adj Read]]&lt;=Table1[[#This Row],[High Tol]],"Pass","Fail"),IF(Table1[[#This Row],[DUT Adj Read]]&lt;=Table1[[#This Row],[High Tol]],"Pass","Fail")))</f>
        <v>Fail</v>
      </c>
      <c r="AH4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3" s="1" t="b">
        <v>0</v>
      </c>
      <c r="AN403" s="1" t="b">
        <v>0</v>
      </c>
      <c r="AO403" s="1" t="b">
        <v>0</v>
      </c>
    </row>
    <row r="404" spans="1:41" x14ac:dyDescent="0.25">
      <c r="A404" s="10"/>
      <c r="B404" s="10"/>
      <c r="C404" s="10"/>
      <c r="D404" s="10"/>
      <c r="E404" s="10"/>
      <c r="F404" s="10"/>
      <c r="G404" s="10"/>
      <c r="H404" s="10"/>
      <c r="I404" s="1" t="str">
        <f t="shared" si="18"/>
        <v/>
      </c>
      <c r="J404" s="1" t="s">
        <v>35</v>
      </c>
      <c r="K404" s="1" t="str">
        <f t="shared" si="19"/>
        <v/>
      </c>
      <c r="L404" s="1" t="str">
        <f t="shared" si="20"/>
        <v/>
      </c>
      <c r="M404" s="1">
        <f>IF(OR(Table1[[#This Row],[Std Nom]]="",Table1[[#This Row],[Std Read]]=""),0,Table1[[#This Row],[Std Nom]]-Table1[[#This Row],[Std Read]])</f>
        <v>0</v>
      </c>
      <c r="N404" s="1">
        <f>IF(Calculations!$F$5="ACCREDITED 17025 WITH UNCERTAINTIES",$N$10,0)</f>
        <v>0</v>
      </c>
      <c r="O404" s="1" t="str">
        <f>IFERROR(Table1[[#This Row],[Std Nom]]-(_xlfn.XLOOKUP(Table1[[#This Row],[Manufacturer]]&amp;" "&amp;Table1[[#This Row],[Model]],Table13[MFR &amp; MDL],Table13[Tolerance % CW ],"")/100*Table1[[#This Row],[Std Nom]]),"")</f>
        <v/>
      </c>
      <c r="P404" s="1" t="str">
        <f>IFERROR(Table1[[#This Row],[Std Nom]]+(_xlfn.XLOOKUP(Table1[[#This Row],[Manufacturer]]&amp;" "&amp;Table1[[#This Row],[Model]],Table13[MFR &amp; MDL],Table13[Tolerance % CW ],"")/100*Table1[[#This Row],[Std Nom]]),"")</f>
        <v/>
      </c>
      <c r="Q404" s="1" t="e">
        <f>Table1[[#This Row],[High Tol]]-Table1[[#This Row],[Low Tol]]</f>
        <v>#VALUE!</v>
      </c>
      <c r="R404" s="1">
        <f>2*Table1[[#This Row],[Std Error]]</f>
        <v>0</v>
      </c>
      <c r="S404" s="1" t="str">
        <f>IF(Table1[[#This Row],[High Tol]]="","N/A",IFERROR(ABS(Table1[[#This Row],[Tol Span]]/Table1[[#This Row],[Error Span]]),"N/A"))</f>
        <v>N/A</v>
      </c>
      <c r="T404" s="1" t="str">
        <f>IF(OR(Table1[[#This Row],[Low Tol]]="",Table1[[#This Row],[High Tol]]=""),"Needs Analysis",IF(Table1[[#This Row],[Ratio]]&gt;=4,"Not Significant",IF(Table1[[#This Row],[Ratio]]&gt;=2,"Semi-Significant","Significant")))</f>
        <v>Needs Analysis</v>
      </c>
      <c r="W404" s="1">
        <f>IF(Table1[[#This Row],[Cal Type]]&lt;&gt;"ACCREDITED 17025 WITH UNCERTAINTIES",0,"")</f>
        <v>0</v>
      </c>
      <c r="X404" s="1" t="str">
        <f>IF(Table1[[#This Row],[DUT Read]]="","N/A",Table1[[#This Row],[Std Error]]+Table1[[#This Row],[DUT Read]]+Table1[[#This Row],[DUT Ucty]])</f>
        <v>N/A</v>
      </c>
      <c r="Y404" s="1" t="str">
        <f>IF(Table1[[#This Row],[Std Read]]="","N/A",Table1[[#This Row],[Std Read]]+Table1[[#This Row],[Std Ucty]])</f>
        <v>N/A</v>
      </c>
      <c r="Z4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4" s="1" t="str">
        <f>IF(Table1[[#This Row],[Spec Type]]="","N/A",Table1[[#This Row],[Spec Type]])</f>
        <v>±</v>
      </c>
      <c r="AC404" s="1" t="str">
        <f>IF(Table1[[#This Row],[Spec Type2]]="N/A","N/A",IF(AND(Table1[[#This Row],[DUT Adj Read]]&gt;=Table1[[#This Row],[Low Tol]],Table1[[#This Row],[DUT Adj Read]]&lt;=Table1[[#This Row],[High Tol]]),"Pass","Fail"))</f>
        <v>Fail</v>
      </c>
      <c r="AD404" s="1" t="str">
        <f>IF(AND(Table1[[#This Row],[Spec Type2]]="N/A",Table1[[#This Row],[DUT Adj Read]]="N/A",Table1[[#This Row],[Std Adj Read]]="N/A"),"N/A",IF(Table1[[#This Row],[DUT Adj Read]]="N/A",IF(Table1[[#This Row],[Std Adj Read]]&gt;Table1[[#This Row],[Low Tol]],"Pass","Fail"),IF(Table1[[#This Row],[DUT Adj Read]]&gt;Table1[[#This Row],[Low Tol]],"Pass","Fail")))</f>
        <v>Pass</v>
      </c>
      <c r="AE404" s="1" t="str">
        <f>IF(AND(Table1[[#This Row],[Spec Type2]]="N/A",Table1[[#This Row],[DUT Adj Read]]="N/A",Table1[[#This Row],[Std Adj Read]]="N/A"),"N/A",IF(Table1[[#This Row],[DUT Adj Read]]="N/A",IF(Table1[[#This Row],[Std Adj Read]]&lt;Table1[[#This Row],[High Tol]],"Pass","Fail"),IF(Table1[[#This Row],[DUT Adj Read]]&lt;Table1[[#This Row],[High Tol]],"Pass","Fail")))</f>
        <v>Fail</v>
      </c>
      <c r="AF404" s="1" t="str">
        <f>IF(AND(Table1[[#This Row],[Spec Type2]]="N/A",Table1[[#This Row],[DUT Adj Read]]="N/A",Table1[[#This Row],[Std Adj Read]]="N/A"),"N/A",IF(Table1[[#This Row],[DUT Adj Read]]="N/A",IF(Table1[[#This Row],[Std Adj Read]]&gt;=Table1[[#This Row],[Low Tol]],"Pass","Fail"),IF(Table1[[#This Row],[DUT Adj Read]]&gt;=Table1[[#This Row],[Low Tol]],"Pass","Fail")))</f>
        <v>Pass</v>
      </c>
      <c r="AG404" s="1" t="str">
        <f>IF(AND(Table1[[#This Row],[Spec Type2]]="N/A",Table1[[#This Row],[DUT Adj Read]]="N/A",Table1[[#This Row],[Std Adj Read]]="N/A"),"N/A",IF(Table1[[#This Row],[DUT Adj Read]]="N/A",IF(Table1[[#This Row],[Std Adj Read]]&lt;=Table1[[#This Row],[High Tol]],"Pass","Fail"),IF(Table1[[#This Row],[DUT Adj Read]]&lt;=Table1[[#This Row],[High Tol]],"Pass","Fail")))</f>
        <v>Fail</v>
      </c>
      <c r="AH4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4" s="1" t="b">
        <v>0</v>
      </c>
      <c r="AN404" s="1" t="b">
        <v>0</v>
      </c>
      <c r="AO404" s="1" t="b">
        <v>0</v>
      </c>
    </row>
    <row r="405" spans="1:41" x14ac:dyDescent="0.25">
      <c r="A405" s="10"/>
      <c r="B405" s="10"/>
      <c r="C405" s="10"/>
      <c r="D405" s="10"/>
      <c r="E405" s="10"/>
      <c r="F405" s="10"/>
      <c r="G405" s="10"/>
      <c r="H405" s="10"/>
      <c r="I405" s="1" t="str">
        <f t="shared" si="18"/>
        <v/>
      </c>
      <c r="J405" s="1" t="s">
        <v>35</v>
      </c>
      <c r="K405" s="1" t="str">
        <f t="shared" si="19"/>
        <v/>
      </c>
      <c r="L405" s="1" t="str">
        <f t="shared" si="20"/>
        <v/>
      </c>
      <c r="M405" s="1">
        <f>IF(OR(Table1[[#This Row],[Std Nom]]="",Table1[[#This Row],[Std Read]]=""),0,Table1[[#This Row],[Std Nom]]-Table1[[#This Row],[Std Read]])</f>
        <v>0</v>
      </c>
      <c r="N405" s="1">
        <f>IF(Calculations!$F$5="ACCREDITED 17025 WITH UNCERTAINTIES",$N$10,0)</f>
        <v>0</v>
      </c>
      <c r="O405" s="1" t="str">
        <f>IFERROR(Table1[[#This Row],[Std Nom]]-(_xlfn.XLOOKUP(Table1[[#This Row],[Manufacturer]]&amp;" "&amp;Table1[[#This Row],[Model]],Table13[MFR &amp; MDL],Table13[Tolerance % CW ],"")/100*Table1[[#This Row],[Std Nom]]),"")</f>
        <v/>
      </c>
      <c r="P405" s="1" t="str">
        <f>IFERROR(Table1[[#This Row],[Std Nom]]+(_xlfn.XLOOKUP(Table1[[#This Row],[Manufacturer]]&amp;" "&amp;Table1[[#This Row],[Model]],Table13[MFR &amp; MDL],Table13[Tolerance % CW ],"")/100*Table1[[#This Row],[Std Nom]]),"")</f>
        <v/>
      </c>
      <c r="Q405" s="1" t="e">
        <f>Table1[[#This Row],[High Tol]]-Table1[[#This Row],[Low Tol]]</f>
        <v>#VALUE!</v>
      </c>
      <c r="R405" s="1">
        <f>2*Table1[[#This Row],[Std Error]]</f>
        <v>0</v>
      </c>
      <c r="S405" s="1" t="str">
        <f>IF(Table1[[#This Row],[High Tol]]="","N/A",IFERROR(ABS(Table1[[#This Row],[Tol Span]]/Table1[[#This Row],[Error Span]]),"N/A"))</f>
        <v>N/A</v>
      </c>
      <c r="T405" s="1" t="str">
        <f>IF(OR(Table1[[#This Row],[Low Tol]]="",Table1[[#This Row],[High Tol]]=""),"Needs Analysis",IF(Table1[[#This Row],[Ratio]]&gt;=4,"Not Significant",IF(Table1[[#This Row],[Ratio]]&gt;=2,"Semi-Significant","Significant")))</f>
        <v>Needs Analysis</v>
      </c>
      <c r="W405" s="1">
        <f>IF(Table1[[#This Row],[Cal Type]]&lt;&gt;"ACCREDITED 17025 WITH UNCERTAINTIES",0,"")</f>
        <v>0</v>
      </c>
      <c r="X405" s="1" t="str">
        <f>IF(Table1[[#This Row],[DUT Read]]="","N/A",Table1[[#This Row],[Std Error]]+Table1[[#This Row],[DUT Read]]+Table1[[#This Row],[DUT Ucty]])</f>
        <v>N/A</v>
      </c>
      <c r="Y405" s="1" t="str">
        <f>IF(Table1[[#This Row],[Std Read]]="","N/A",Table1[[#This Row],[Std Read]]+Table1[[#This Row],[Std Ucty]])</f>
        <v>N/A</v>
      </c>
      <c r="Z4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5" s="1" t="str">
        <f>IF(Table1[[#This Row],[Spec Type]]="","N/A",Table1[[#This Row],[Spec Type]])</f>
        <v>±</v>
      </c>
      <c r="AC405" s="1" t="str">
        <f>IF(Table1[[#This Row],[Spec Type2]]="N/A","N/A",IF(AND(Table1[[#This Row],[DUT Adj Read]]&gt;=Table1[[#This Row],[Low Tol]],Table1[[#This Row],[DUT Adj Read]]&lt;=Table1[[#This Row],[High Tol]]),"Pass","Fail"))</f>
        <v>Fail</v>
      </c>
      <c r="AD405" s="1" t="str">
        <f>IF(AND(Table1[[#This Row],[Spec Type2]]="N/A",Table1[[#This Row],[DUT Adj Read]]="N/A",Table1[[#This Row],[Std Adj Read]]="N/A"),"N/A",IF(Table1[[#This Row],[DUT Adj Read]]="N/A",IF(Table1[[#This Row],[Std Adj Read]]&gt;Table1[[#This Row],[Low Tol]],"Pass","Fail"),IF(Table1[[#This Row],[DUT Adj Read]]&gt;Table1[[#This Row],[Low Tol]],"Pass","Fail")))</f>
        <v>Pass</v>
      </c>
      <c r="AE405" s="1" t="str">
        <f>IF(AND(Table1[[#This Row],[Spec Type2]]="N/A",Table1[[#This Row],[DUT Adj Read]]="N/A",Table1[[#This Row],[Std Adj Read]]="N/A"),"N/A",IF(Table1[[#This Row],[DUT Adj Read]]="N/A",IF(Table1[[#This Row],[Std Adj Read]]&lt;Table1[[#This Row],[High Tol]],"Pass","Fail"),IF(Table1[[#This Row],[DUT Adj Read]]&lt;Table1[[#This Row],[High Tol]],"Pass","Fail")))</f>
        <v>Fail</v>
      </c>
      <c r="AF405" s="1" t="str">
        <f>IF(AND(Table1[[#This Row],[Spec Type2]]="N/A",Table1[[#This Row],[DUT Adj Read]]="N/A",Table1[[#This Row],[Std Adj Read]]="N/A"),"N/A",IF(Table1[[#This Row],[DUT Adj Read]]="N/A",IF(Table1[[#This Row],[Std Adj Read]]&gt;=Table1[[#This Row],[Low Tol]],"Pass","Fail"),IF(Table1[[#This Row],[DUT Adj Read]]&gt;=Table1[[#This Row],[Low Tol]],"Pass","Fail")))</f>
        <v>Pass</v>
      </c>
      <c r="AG405" s="1" t="str">
        <f>IF(AND(Table1[[#This Row],[Spec Type2]]="N/A",Table1[[#This Row],[DUT Adj Read]]="N/A",Table1[[#This Row],[Std Adj Read]]="N/A"),"N/A",IF(Table1[[#This Row],[DUT Adj Read]]="N/A",IF(Table1[[#This Row],[Std Adj Read]]&lt;=Table1[[#This Row],[High Tol]],"Pass","Fail"),IF(Table1[[#This Row],[DUT Adj Read]]&lt;=Table1[[#This Row],[High Tol]],"Pass","Fail")))</f>
        <v>Fail</v>
      </c>
      <c r="AH4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5" s="1" t="b">
        <v>0</v>
      </c>
      <c r="AN405" s="1" t="b">
        <v>0</v>
      </c>
      <c r="AO405" s="1" t="b">
        <v>0</v>
      </c>
    </row>
    <row r="406" spans="1:41" x14ac:dyDescent="0.25">
      <c r="A406" s="10"/>
      <c r="B406" s="10"/>
      <c r="C406" s="10"/>
      <c r="D406" s="10"/>
      <c r="E406" s="10"/>
      <c r="F406" s="10"/>
      <c r="G406" s="10"/>
      <c r="H406" s="10"/>
      <c r="I406" s="1" t="str">
        <f t="shared" si="18"/>
        <v/>
      </c>
      <c r="J406" s="1" t="s">
        <v>35</v>
      </c>
      <c r="K406" s="1" t="str">
        <f t="shared" si="19"/>
        <v/>
      </c>
      <c r="L406" s="1" t="str">
        <f t="shared" si="20"/>
        <v/>
      </c>
      <c r="M406" s="1">
        <f>IF(OR(Table1[[#This Row],[Std Nom]]="",Table1[[#This Row],[Std Read]]=""),0,Table1[[#This Row],[Std Nom]]-Table1[[#This Row],[Std Read]])</f>
        <v>0</v>
      </c>
      <c r="N406" s="1">
        <f>IF(Calculations!$F$5="ACCREDITED 17025 WITH UNCERTAINTIES",$N$10,0)</f>
        <v>0</v>
      </c>
      <c r="O406" s="1" t="str">
        <f>IFERROR(Table1[[#This Row],[Std Nom]]-(_xlfn.XLOOKUP(Table1[[#This Row],[Manufacturer]]&amp;" "&amp;Table1[[#This Row],[Model]],Table13[MFR &amp; MDL],Table13[Tolerance % CW ],"")/100*Table1[[#This Row],[Std Nom]]),"")</f>
        <v/>
      </c>
      <c r="P406" s="1" t="str">
        <f>IFERROR(Table1[[#This Row],[Std Nom]]+(_xlfn.XLOOKUP(Table1[[#This Row],[Manufacturer]]&amp;" "&amp;Table1[[#This Row],[Model]],Table13[MFR &amp; MDL],Table13[Tolerance % CW ],"")/100*Table1[[#This Row],[Std Nom]]),"")</f>
        <v/>
      </c>
      <c r="Q406" s="1" t="e">
        <f>Table1[[#This Row],[High Tol]]-Table1[[#This Row],[Low Tol]]</f>
        <v>#VALUE!</v>
      </c>
      <c r="R406" s="1">
        <f>2*Table1[[#This Row],[Std Error]]</f>
        <v>0</v>
      </c>
      <c r="S406" s="1" t="str">
        <f>IF(Table1[[#This Row],[High Tol]]="","N/A",IFERROR(ABS(Table1[[#This Row],[Tol Span]]/Table1[[#This Row],[Error Span]]),"N/A"))</f>
        <v>N/A</v>
      </c>
      <c r="T406" s="1" t="str">
        <f>IF(OR(Table1[[#This Row],[Low Tol]]="",Table1[[#This Row],[High Tol]]=""),"Needs Analysis",IF(Table1[[#This Row],[Ratio]]&gt;=4,"Not Significant",IF(Table1[[#This Row],[Ratio]]&gt;=2,"Semi-Significant","Significant")))</f>
        <v>Needs Analysis</v>
      </c>
      <c r="W406" s="1">
        <f>IF(Table1[[#This Row],[Cal Type]]&lt;&gt;"ACCREDITED 17025 WITH UNCERTAINTIES",0,"")</f>
        <v>0</v>
      </c>
      <c r="X406" s="1" t="str">
        <f>IF(Table1[[#This Row],[DUT Read]]="","N/A",Table1[[#This Row],[Std Error]]+Table1[[#This Row],[DUT Read]]+Table1[[#This Row],[DUT Ucty]])</f>
        <v>N/A</v>
      </c>
      <c r="Y406" s="1" t="str">
        <f>IF(Table1[[#This Row],[Std Read]]="","N/A",Table1[[#This Row],[Std Read]]+Table1[[#This Row],[Std Ucty]])</f>
        <v>N/A</v>
      </c>
      <c r="Z4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6" s="1" t="str">
        <f>IF(Table1[[#This Row],[Spec Type]]="","N/A",Table1[[#This Row],[Spec Type]])</f>
        <v>±</v>
      </c>
      <c r="AC406" s="1" t="str">
        <f>IF(Table1[[#This Row],[Spec Type2]]="N/A","N/A",IF(AND(Table1[[#This Row],[DUT Adj Read]]&gt;=Table1[[#This Row],[Low Tol]],Table1[[#This Row],[DUT Adj Read]]&lt;=Table1[[#This Row],[High Tol]]),"Pass","Fail"))</f>
        <v>Fail</v>
      </c>
      <c r="AD406" s="1" t="str">
        <f>IF(AND(Table1[[#This Row],[Spec Type2]]="N/A",Table1[[#This Row],[DUT Adj Read]]="N/A",Table1[[#This Row],[Std Adj Read]]="N/A"),"N/A",IF(Table1[[#This Row],[DUT Adj Read]]="N/A",IF(Table1[[#This Row],[Std Adj Read]]&gt;Table1[[#This Row],[Low Tol]],"Pass","Fail"),IF(Table1[[#This Row],[DUT Adj Read]]&gt;Table1[[#This Row],[Low Tol]],"Pass","Fail")))</f>
        <v>Pass</v>
      </c>
      <c r="AE406" s="1" t="str">
        <f>IF(AND(Table1[[#This Row],[Spec Type2]]="N/A",Table1[[#This Row],[DUT Adj Read]]="N/A",Table1[[#This Row],[Std Adj Read]]="N/A"),"N/A",IF(Table1[[#This Row],[DUT Adj Read]]="N/A",IF(Table1[[#This Row],[Std Adj Read]]&lt;Table1[[#This Row],[High Tol]],"Pass","Fail"),IF(Table1[[#This Row],[DUT Adj Read]]&lt;Table1[[#This Row],[High Tol]],"Pass","Fail")))</f>
        <v>Fail</v>
      </c>
      <c r="AF406" s="1" t="str">
        <f>IF(AND(Table1[[#This Row],[Spec Type2]]="N/A",Table1[[#This Row],[DUT Adj Read]]="N/A",Table1[[#This Row],[Std Adj Read]]="N/A"),"N/A",IF(Table1[[#This Row],[DUT Adj Read]]="N/A",IF(Table1[[#This Row],[Std Adj Read]]&gt;=Table1[[#This Row],[Low Tol]],"Pass","Fail"),IF(Table1[[#This Row],[DUT Adj Read]]&gt;=Table1[[#This Row],[Low Tol]],"Pass","Fail")))</f>
        <v>Pass</v>
      </c>
      <c r="AG406" s="1" t="str">
        <f>IF(AND(Table1[[#This Row],[Spec Type2]]="N/A",Table1[[#This Row],[DUT Adj Read]]="N/A",Table1[[#This Row],[Std Adj Read]]="N/A"),"N/A",IF(Table1[[#This Row],[DUT Adj Read]]="N/A",IF(Table1[[#This Row],[Std Adj Read]]&lt;=Table1[[#This Row],[High Tol]],"Pass","Fail"),IF(Table1[[#This Row],[DUT Adj Read]]&lt;=Table1[[#This Row],[High Tol]],"Pass","Fail")))</f>
        <v>Fail</v>
      </c>
      <c r="AH4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6" s="1" t="b">
        <v>0</v>
      </c>
      <c r="AN406" s="1" t="b">
        <v>0</v>
      </c>
      <c r="AO406" s="1" t="b">
        <v>0</v>
      </c>
    </row>
    <row r="407" spans="1:41" x14ac:dyDescent="0.25">
      <c r="A407" s="10"/>
      <c r="B407" s="10"/>
      <c r="C407" s="10"/>
      <c r="D407" s="10"/>
      <c r="E407" s="10"/>
      <c r="F407" s="10"/>
      <c r="G407" s="10"/>
      <c r="H407" s="10"/>
      <c r="I407" s="1" t="str">
        <f t="shared" si="18"/>
        <v/>
      </c>
      <c r="J407" s="1" t="s">
        <v>35</v>
      </c>
      <c r="K407" s="1" t="str">
        <f t="shared" si="19"/>
        <v/>
      </c>
      <c r="L407" s="1" t="str">
        <f t="shared" si="20"/>
        <v/>
      </c>
      <c r="M407" s="1">
        <f>IF(OR(Table1[[#This Row],[Std Nom]]="",Table1[[#This Row],[Std Read]]=""),0,Table1[[#This Row],[Std Nom]]-Table1[[#This Row],[Std Read]])</f>
        <v>0</v>
      </c>
      <c r="N407" s="1">
        <f>IF(Calculations!$F$5="ACCREDITED 17025 WITH UNCERTAINTIES",$N$10,0)</f>
        <v>0</v>
      </c>
      <c r="O407" s="1" t="str">
        <f>IFERROR(Table1[[#This Row],[Std Nom]]-(_xlfn.XLOOKUP(Table1[[#This Row],[Manufacturer]]&amp;" "&amp;Table1[[#This Row],[Model]],Table13[MFR &amp; MDL],Table13[Tolerance % CW ],"")/100*Table1[[#This Row],[Std Nom]]),"")</f>
        <v/>
      </c>
      <c r="P407" s="1" t="str">
        <f>IFERROR(Table1[[#This Row],[Std Nom]]+(_xlfn.XLOOKUP(Table1[[#This Row],[Manufacturer]]&amp;" "&amp;Table1[[#This Row],[Model]],Table13[MFR &amp; MDL],Table13[Tolerance % CW ],"")/100*Table1[[#This Row],[Std Nom]]),"")</f>
        <v/>
      </c>
      <c r="Q407" s="1" t="e">
        <f>Table1[[#This Row],[High Tol]]-Table1[[#This Row],[Low Tol]]</f>
        <v>#VALUE!</v>
      </c>
      <c r="R407" s="1">
        <f>2*Table1[[#This Row],[Std Error]]</f>
        <v>0</v>
      </c>
      <c r="S407" s="1" t="str">
        <f>IF(Table1[[#This Row],[High Tol]]="","N/A",IFERROR(ABS(Table1[[#This Row],[Tol Span]]/Table1[[#This Row],[Error Span]]),"N/A"))</f>
        <v>N/A</v>
      </c>
      <c r="T407" s="1" t="str">
        <f>IF(OR(Table1[[#This Row],[Low Tol]]="",Table1[[#This Row],[High Tol]]=""),"Needs Analysis",IF(Table1[[#This Row],[Ratio]]&gt;=4,"Not Significant",IF(Table1[[#This Row],[Ratio]]&gt;=2,"Semi-Significant","Significant")))</f>
        <v>Needs Analysis</v>
      </c>
      <c r="W407" s="1">
        <f>IF(Table1[[#This Row],[Cal Type]]&lt;&gt;"ACCREDITED 17025 WITH UNCERTAINTIES",0,"")</f>
        <v>0</v>
      </c>
      <c r="X407" s="1" t="str">
        <f>IF(Table1[[#This Row],[DUT Read]]="","N/A",Table1[[#This Row],[Std Error]]+Table1[[#This Row],[DUT Read]]+Table1[[#This Row],[DUT Ucty]])</f>
        <v>N/A</v>
      </c>
      <c r="Y407" s="1" t="str">
        <f>IF(Table1[[#This Row],[Std Read]]="","N/A",Table1[[#This Row],[Std Read]]+Table1[[#This Row],[Std Ucty]])</f>
        <v>N/A</v>
      </c>
      <c r="Z4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7" s="1" t="str">
        <f>IF(Table1[[#This Row],[Spec Type]]="","N/A",Table1[[#This Row],[Spec Type]])</f>
        <v>±</v>
      </c>
      <c r="AC407" s="1" t="str">
        <f>IF(Table1[[#This Row],[Spec Type2]]="N/A","N/A",IF(AND(Table1[[#This Row],[DUT Adj Read]]&gt;=Table1[[#This Row],[Low Tol]],Table1[[#This Row],[DUT Adj Read]]&lt;=Table1[[#This Row],[High Tol]]),"Pass","Fail"))</f>
        <v>Fail</v>
      </c>
      <c r="AD407" s="1" t="str">
        <f>IF(AND(Table1[[#This Row],[Spec Type2]]="N/A",Table1[[#This Row],[DUT Adj Read]]="N/A",Table1[[#This Row],[Std Adj Read]]="N/A"),"N/A",IF(Table1[[#This Row],[DUT Adj Read]]="N/A",IF(Table1[[#This Row],[Std Adj Read]]&gt;Table1[[#This Row],[Low Tol]],"Pass","Fail"),IF(Table1[[#This Row],[DUT Adj Read]]&gt;Table1[[#This Row],[Low Tol]],"Pass","Fail")))</f>
        <v>Pass</v>
      </c>
      <c r="AE407" s="1" t="str">
        <f>IF(AND(Table1[[#This Row],[Spec Type2]]="N/A",Table1[[#This Row],[DUT Adj Read]]="N/A",Table1[[#This Row],[Std Adj Read]]="N/A"),"N/A",IF(Table1[[#This Row],[DUT Adj Read]]="N/A",IF(Table1[[#This Row],[Std Adj Read]]&lt;Table1[[#This Row],[High Tol]],"Pass","Fail"),IF(Table1[[#This Row],[DUT Adj Read]]&lt;Table1[[#This Row],[High Tol]],"Pass","Fail")))</f>
        <v>Fail</v>
      </c>
      <c r="AF407" s="1" t="str">
        <f>IF(AND(Table1[[#This Row],[Spec Type2]]="N/A",Table1[[#This Row],[DUT Adj Read]]="N/A",Table1[[#This Row],[Std Adj Read]]="N/A"),"N/A",IF(Table1[[#This Row],[DUT Adj Read]]="N/A",IF(Table1[[#This Row],[Std Adj Read]]&gt;=Table1[[#This Row],[Low Tol]],"Pass","Fail"),IF(Table1[[#This Row],[DUT Adj Read]]&gt;=Table1[[#This Row],[Low Tol]],"Pass","Fail")))</f>
        <v>Pass</v>
      </c>
      <c r="AG407" s="1" t="str">
        <f>IF(AND(Table1[[#This Row],[Spec Type2]]="N/A",Table1[[#This Row],[DUT Adj Read]]="N/A",Table1[[#This Row],[Std Adj Read]]="N/A"),"N/A",IF(Table1[[#This Row],[DUT Adj Read]]="N/A",IF(Table1[[#This Row],[Std Adj Read]]&lt;=Table1[[#This Row],[High Tol]],"Pass","Fail"),IF(Table1[[#This Row],[DUT Adj Read]]&lt;=Table1[[#This Row],[High Tol]],"Pass","Fail")))</f>
        <v>Fail</v>
      </c>
      <c r="AH4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7" s="1" t="b">
        <v>0</v>
      </c>
      <c r="AN407" s="1" t="b">
        <v>0</v>
      </c>
      <c r="AO407" s="1" t="b">
        <v>0</v>
      </c>
    </row>
    <row r="408" spans="1:41" x14ac:dyDescent="0.25">
      <c r="A408" s="10"/>
      <c r="B408" s="10"/>
      <c r="C408" s="10"/>
      <c r="D408" s="10"/>
      <c r="E408" s="10"/>
      <c r="F408" s="10"/>
      <c r="G408" s="10"/>
      <c r="H408" s="10"/>
      <c r="I408" s="1" t="str">
        <f t="shared" si="18"/>
        <v/>
      </c>
      <c r="J408" s="1" t="s">
        <v>35</v>
      </c>
      <c r="K408" s="1" t="str">
        <f t="shared" si="19"/>
        <v/>
      </c>
      <c r="L408" s="1" t="str">
        <f t="shared" si="20"/>
        <v/>
      </c>
      <c r="M408" s="1">
        <f>IF(OR(Table1[[#This Row],[Std Nom]]="",Table1[[#This Row],[Std Read]]=""),0,Table1[[#This Row],[Std Nom]]-Table1[[#This Row],[Std Read]])</f>
        <v>0</v>
      </c>
      <c r="N408" s="1">
        <f>IF(Calculations!$F$5="ACCREDITED 17025 WITH UNCERTAINTIES",$N$10,0)</f>
        <v>0</v>
      </c>
      <c r="O408" s="1" t="str">
        <f>IFERROR(Table1[[#This Row],[Std Nom]]-(_xlfn.XLOOKUP(Table1[[#This Row],[Manufacturer]]&amp;" "&amp;Table1[[#This Row],[Model]],Table13[MFR &amp; MDL],Table13[Tolerance % CW ],"")/100*Table1[[#This Row],[Std Nom]]),"")</f>
        <v/>
      </c>
      <c r="P408" s="1" t="str">
        <f>IFERROR(Table1[[#This Row],[Std Nom]]+(_xlfn.XLOOKUP(Table1[[#This Row],[Manufacturer]]&amp;" "&amp;Table1[[#This Row],[Model]],Table13[MFR &amp; MDL],Table13[Tolerance % CW ],"")/100*Table1[[#This Row],[Std Nom]]),"")</f>
        <v/>
      </c>
      <c r="Q408" s="1" t="e">
        <f>Table1[[#This Row],[High Tol]]-Table1[[#This Row],[Low Tol]]</f>
        <v>#VALUE!</v>
      </c>
      <c r="R408" s="1">
        <f>2*Table1[[#This Row],[Std Error]]</f>
        <v>0</v>
      </c>
      <c r="S408" s="1" t="str">
        <f>IF(Table1[[#This Row],[High Tol]]="","N/A",IFERROR(ABS(Table1[[#This Row],[Tol Span]]/Table1[[#This Row],[Error Span]]),"N/A"))</f>
        <v>N/A</v>
      </c>
      <c r="T408" s="1" t="str">
        <f>IF(OR(Table1[[#This Row],[Low Tol]]="",Table1[[#This Row],[High Tol]]=""),"Needs Analysis",IF(Table1[[#This Row],[Ratio]]&gt;=4,"Not Significant",IF(Table1[[#This Row],[Ratio]]&gt;=2,"Semi-Significant","Significant")))</f>
        <v>Needs Analysis</v>
      </c>
      <c r="W408" s="1">
        <f>IF(Table1[[#This Row],[Cal Type]]&lt;&gt;"ACCREDITED 17025 WITH UNCERTAINTIES",0,"")</f>
        <v>0</v>
      </c>
      <c r="X408" s="1" t="str">
        <f>IF(Table1[[#This Row],[DUT Read]]="","N/A",Table1[[#This Row],[Std Error]]+Table1[[#This Row],[DUT Read]]+Table1[[#This Row],[DUT Ucty]])</f>
        <v>N/A</v>
      </c>
      <c r="Y408" s="1" t="str">
        <f>IF(Table1[[#This Row],[Std Read]]="","N/A",Table1[[#This Row],[Std Read]]+Table1[[#This Row],[Std Ucty]])</f>
        <v>N/A</v>
      </c>
      <c r="Z4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8" s="1" t="str">
        <f>IF(Table1[[#This Row],[Spec Type]]="","N/A",Table1[[#This Row],[Spec Type]])</f>
        <v>±</v>
      </c>
      <c r="AC408" s="1" t="str">
        <f>IF(Table1[[#This Row],[Spec Type2]]="N/A","N/A",IF(AND(Table1[[#This Row],[DUT Adj Read]]&gt;=Table1[[#This Row],[Low Tol]],Table1[[#This Row],[DUT Adj Read]]&lt;=Table1[[#This Row],[High Tol]]),"Pass","Fail"))</f>
        <v>Fail</v>
      </c>
      <c r="AD408" s="1" t="str">
        <f>IF(AND(Table1[[#This Row],[Spec Type2]]="N/A",Table1[[#This Row],[DUT Adj Read]]="N/A",Table1[[#This Row],[Std Adj Read]]="N/A"),"N/A",IF(Table1[[#This Row],[DUT Adj Read]]="N/A",IF(Table1[[#This Row],[Std Adj Read]]&gt;Table1[[#This Row],[Low Tol]],"Pass","Fail"),IF(Table1[[#This Row],[DUT Adj Read]]&gt;Table1[[#This Row],[Low Tol]],"Pass","Fail")))</f>
        <v>Pass</v>
      </c>
      <c r="AE408" s="1" t="str">
        <f>IF(AND(Table1[[#This Row],[Spec Type2]]="N/A",Table1[[#This Row],[DUT Adj Read]]="N/A",Table1[[#This Row],[Std Adj Read]]="N/A"),"N/A",IF(Table1[[#This Row],[DUT Adj Read]]="N/A",IF(Table1[[#This Row],[Std Adj Read]]&lt;Table1[[#This Row],[High Tol]],"Pass","Fail"),IF(Table1[[#This Row],[DUT Adj Read]]&lt;Table1[[#This Row],[High Tol]],"Pass","Fail")))</f>
        <v>Fail</v>
      </c>
      <c r="AF408" s="1" t="str">
        <f>IF(AND(Table1[[#This Row],[Spec Type2]]="N/A",Table1[[#This Row],[DUT Adj Read]]="N/A",Table1[[#This Row],[Std Adj Read]]="N/A"),"N/A",IF(Table1[[#This Row],[DUT Adj Read]]="N/A",IF(Table1[[#This Row],[Std Adj Read]]&gt;=Table1[[#This Row],[Low Tol]],"Pass","Fail"),IF(Table1[[#This Row],[DUT Adj Read]]&gt;=Table1[[#This Row],[Low Tol]],"Pass","Fail")))</f>
        <v>Pass</v>
      </c>
      <c r="AG408" s="1" t="str">
        <f>IF(AND(Table1[[#This Row],[Spec Type2]]="N/A",Table1[[#This Row],[DUT Adj Read]]="N/A",Table1[[#This Row],[Std Adj Read]]="N/A"),"N/A",IF(Table1[[#This Row],[DUT Adj Read]]="N/A",IF(Table1[[#This Row],[Std Adj Read]]&lt;=Table1[[#This Row],[High Tol]],"Pass","Fail"),IF(Table1[[#This Row],[DUT Adj Read]]&lt;=Table1[[#This Row],[High Tol]],"Pass","Fail")))</f>
        <v>Fail</v>
      </c>
      <c r="AH4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8" s="1" t="b">
        <v>0</v>
      </c>
      <c r="AN408" s="1" t="b">
        <v>0</v>
      </c>
      <c r="AO408" s="1" t="b">
        <v>0</v>
      </c>
    </row>
    <row r="409" spans="1:41" x14ac:dyDescent="0.25">
      <c r="A409" s="10"/>
      <c r="B409" s="10"/>
      <c r="C409" s="10"/>
      <c r="D409" s="10"/>
      <c r="E409" s="10"/>
      <c r="F409" s="10"/>
      <c r="G409" s="10"/>
      <c r="H409" s="10"/>
      <c r="I409" s="1" t="str">
        <f t="shared" si="18"/>
        <v/>
      </c>
      <c r="J409" s="1" t="s">
        <v>35</v>
      </c>
      <c r="K409" s="1" t="str">
        <f t="shared" si="19"/>
        <v/>
      </c>
      <c r="L409" s="1" t="str">
        <f t="shared" si="20"/>
        <v/>
      </c>
      <c r="M409" s="1">
        <f>IF(OR(Table1[[#This Row],[Std Nom]]="",Table1[[#This Row],[Std Read]]=""),0,Table1[[#This Row],[Std Nom]]-Table1[[#This Row],[Std Read]])</f>
        <v>0</v>
      </c>
      <c r="N409" s="1">
        <f>IF(Calculations!$F$5="ACCREDITED 17025 WITH UNCERTAINTIES",$N$10,0)</f>
        <v>0</v>
      </c>
      <c r="O409" s="1" t="str">
        <f>IFERROR(Table1[[#This Row],[Std Nom]]-(_xlfn.XLOOKUP(Table1[[#This Row],[Manufacturer]]&amp;" "&amp;Table1[[#This Row],[Model]],Table13[MFR &amp; MDL],Table13[Tolerance % CW ],"")/100*Table1[[#This Row],[Std Nom]]),"")</f>
        <v/>
      </c>
      <c r="P409" s="1" t="str">
        <f>IFERROR(Table1[[#This Row],[Std Nom]]+(_xlfn.XLOOKUP(Table1[[#This Row],[Manufacturer]]&amp;" "&amp;Table1[[#This Row],[Model]],Table13[MFR &amp; MDL],Table13[Tolerance % CW ],"")/100*Table1[[#This Row],[Std Nom]]),"")</f>
        <v/>
      </c>
      <c r="Q409" s="1" t="e">
        <f>Table1[[#This Row],[High Tol]]-Table1[[#This Row],[Low Tol]]</f>
        <v>#VALUE!</v>
      </c>
      <c r="R409" s="1">
        <f>2*Table1[[#This Row],[Std Error]]</f>
        <v>0</v>
      </c>
      <c r="S409" s="1" t="str">
        <f>IF(Table1[[#This Row],[High Tol]]="","N/A",IFERROR(ABS(Table1[[#This Row],[Tol Span]]/Table1[[#This Row],[Error Span]]),"N/A"))</f>
        <v>N/A</v>
      </c>
      <c r="T409" s="1" t="str">
        <f>IF(OR(Table1[[#This Row],[Low Tol]]="",Table1[[#This Row],[High Tol]]=""),"Needs Analysis",IF(Table1[[#This Row],[Ratio]]&gt;=4,"Not Significant",IF(Table1[[#This Row],[Ratio]]&gt;=2,"Semi-Significant","Significant")))</f>
        <v>Needs Analysis</v>
      </c>
      <c r="W409" s="1">
        <f>IF(Table1[[#This Row],[Cal Type]]&lt;&gt;"ACCREDITED 17025 WITH UNCERTAINTIES",0,"")</f>
        <v>0</v>
      </c>
      <c r="X409" s="1" t="str">
        <f>IF(Table1[[#This Row],[DUT Read]]="","N/A",Table1[[#This Row],[Std Error]]+Table1[[#This Row],[DUT Read]]+Table1[[#This Row],[DUT Ucty]])</f>
        <v>N/A</v>
      </c>
      <c r="Y409" s="1" t="str">
        <f>IF(Table1[[#This Row],[Std Read]]="","N/A",Table1[[#This Row],[Std Read]]+Table1[[#This Row],[Std Ucty]])</f>
        <v>N/A</v>
      </c>
      <c r="Z4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9" s="1" t="str">
        <f>IF(Table1[[#This Row],[Spec Type]]="","N/A",Table1[[#This Row],[Spec Type]])</f>
        <v>±</v>
      </c>
      <c r="AC409" s="1" t="str">
        <f>IF(Table1[[#This Row],[Spec Type2]]="N/A","N/A",IF(AND(Table1[[#This Row],[DUT Adj Read]]&gt;=Table1[[#This Row],[Low Tol]],Table1[[#This Row],[DUT Adj Read]]&lt;=Table1[[#This Row],[High Tol]]),"Pass","Fail"))</f>
        <v>Fail</v>
      </c>
      <c r="AD409" s="1" t="str">
        <f>IF(AND(Table1[[#This Row],[Spec Type2]]="N/A",Table1[[#This Row],[DUT Adj Read]]="N/A",Table1[[#This Row],[Std Adj Read]]="N/A"),"N/A",IF(Table1[[#This Row],[DUT Adj Read]]="N/A",IF(Table1[[#This Row],[Std Adj Read]]&gt;Table1[[#This Row],[Low Tol]],"Pass","Fail"),IF(Table1[[#This Row],[DUT Adj Read]]&gt;Table1[[#This Row],[Low Tol]],"Pass","Fail")))</f>
        <v>Pass</v>
      </c>
      <c r="AE409" s="1" t="str">
        <f>IF(AND(Table1[[#This Row],[Spec Type2]]="N/A",Table1[[#This Row],[DUT Adj Read]]="N/A",Table1[[#This Row],[Std Adj Read]]="N/A"),"N/A",IF(Table1[[#This Row],[DUT Adj Read]]="N/A",IF(Table1[[#This Row],[Std Adj Read]]&lt;Table1[[#This Row],[High Tol]],"Pass","Fail"),IF(Table1[[#This Row],[DUT Adj Read]]&lt;Table1[[#This Row],[High Tol]],"Pass","Fail")))</f>
        <v>Fail</v>
      </c>
      <c r="AF409" s="1" t="str">
        <f>IF(AND(Table1[[#This Row],[Spec Type2]]="N/A",Table1[[#This Row],[DUT Adj Read]]="N/A",Table1[[#This Row],[Std Adj Read]]="N/A"),"N/A",IF(Table1[[#This Row],[DUT Adj Read]]="N/A",IF(Table1[[#This Row],[Std Adj Read]]&gt;=Table1[[#This Row],[Low Tol]],"Pass","Fail"),IF(Table1[[#This Row],[DUT Adj Read]]&gt;=Table1[[#This Row],[Low Tol]],"Pass","Fail")))</f>
        <v>Pass</v>
      </c>
      <c r="AG409" s="1" t="str">
        <f>IF(AND(Table1[[#This Row],[Spec Type2]]="N/A",Table1[[#This Row],[DUT Adj Read]]="N/A",Table1[[#This Row],[Std Adj Read]]="N/A"),"N/A",IF(Table1[[#This Row],[DUT Adj Read]]="N/A",IF(Table1[[#This Row],[Std Adj Read]]&lt;=Table1[[#This Row],[High Tol]],"Pass","Fail"),IF(Table1[[#This Row],[DUT Adj Read]]&lt;=Table1[[#This Row],[High Tol]],"Pass","Fail")))</f>
        <v>Fail</v>
      </c>
      <c r="AH4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9" s="1" t="b">
        <v>0</v>
      </c>
      <c r="AN409" s="1" t="b">
        <v>0</v>
      </c>
      <c r="AO409" s="1" t="b">
        <v>0</v>
      </c>
    </row>
    <row r="410" spans="1:41" x14ac:dyDescent="0.25">
      <c r="A410" s="10"/>
      <c r="B410" s="10"/>
      <c r="C410" s="10"/>
      <c r="D410" s="10"/>
      <c r="E410" s="10"/>
      <c r="F410" s="10"/>
      <c r="G410" s="10"/>
      <c r="H410" s="10"/>
      <c r="I410" s="1" t="str">
        <f t="shared" si="18"/>
        <v/>
      </c>
      <c r="J410" s="1" t="s">
        <v>35</v>
      </c>
      <c r="K410" s="1" t="str">
        <f t="shared" si="19"/>
        <v/>
      </c>
      <c r="L410" s="1" t="str">
        <f t="shared" si="20"/>
        <v/>
      </c>
      <c r="M410" s="1">
        <f>IF(OR(Table1[[#This Row],[Std Nom]]="",Table1[[#This Row],[Std Read]]=""),0,Table1[[#This Row],[Std Nom]]-Table1[[#This Row],[Std Read]])</f>
        <v>0</v>
      </c>
      <c r="N410" s="1">
        <f>IF(Calculations!$F$5="ACCREDITED 17025 WITH UNCERTAINTIES",$N$10,0)</f>
        <v>0</v>
      </c>
      <c r="O410" s="1" t="str">
        <f>IFERROR(Table1[[#This Row],[Std Nom]]-(_xlfn.XLOOKUP(Table1[[#This Row],[Manufacturer]]&amp;" "&amp;Table1[[#This Row],[Model]],Table13[MFR &amp; MDL],Table13[Tolerance % CW ],"")/100*Table1[[#This Row],[Std Nom]]),"")</f>
        <v/>
      </c>
      <c r="P410" s="1" t="str">
        <f>IFERROR(Table1[[#This Row],[Std Nom]]+(_xlfn.XLOOKUP(Table1[[#This Row],[Manufacturer]]&amp;" "&amp;Table1[[#This Row],[Model]],Table13[MFR &amp; MDL],Table13[Tolerance % CW ],"")/100*Table1[[#This Row],[Std Nom]]),"")</f>
        <v/>
      </c>
      <c r="Q410" s="1" t="e">
        <f>Table1[[#This Row],[High Tol]]-Table1[[#This Row],[Low Tol]]</f>
        <v>#VALUE!</v>
      </c>
      <c r="R410" s="1">
        <f>2*Table1[[#This Row],[Std Error]]</f>
        <v>0</v>
      </c>
      <c r="S410" s="1" t="str">
        <f>IF(Table1[[#This Row],[High Tol]]="","N/A",IFERROR(ABS(Table1[[#This Row],[Tol Span]]/Table1[[#This Row],[Error Span]]),"N/A"))</f>
        <v>N/A</v>
      </c>
      <c r="T410" s="1" t="str">
        <f>IF(OR(Table1[[#This Row],[Low Tol]]="",Table1[[#This Row],[High Tol]]=""),"Needs Analysis",IF(Table1[[#This Row],[Ratio]]&gt;=4,"Not Significant",IF(Table1[[#This Row],[Ratio]]&gt;=2,"Semi-Significant","Significant")))</f>
        <v>Needs Analysis</v>
      </c>
      <c r="W410" s="1">
        <f>IF(Table1[[#This Row],[Cal Type]]&lt;&gt;"ACCREDITED 17025 WITH UNCERTAINTIES",0,"")</f>
        <v>0</v>
      </c>
      <c r="X410" s="1" t="str">
        <f>IF(Table1[[#This Row],[DUT Read]]="","N/A",Table1[[#This Row],[Std Error]]+Table1[[#This Row],[DUT Read]]+Table1[[#This Row],[DUT Ucty]])</f>
        <v>N/A</v>
      </c>
      <c r="Y410" s="1" t="str">
        <f>IF(Table1[[#This Row],[Std Read]]="","N/A",Table1[[#This Row],[Std Read]]+Table1[[#This Row],[Std Ucty]])</f>
        <v>N/A</v>
      </c>
      <c r="Z4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0" s="1" t="str">
        <f>IF(Table1[[#This Row],[Spec Type]]="","N/A",Table1[[#This Row],[Spec Type]])</f>
        <v>±</v>
      </c>
      <c r="AC410" s="1" t="str">
        <f>IF(Table1[[#This Row],[Spec Type2]]="N/A","N/A",IF(AND(Table1[[#This Row],[DUT Adj Read]]&gt;=Table1[[#This Row],[Low Tol]],Table1[[#This Row],[DUT Adj Read]]&lt;=Table1[[#This Row],[High Tol]]),"Pass","Fail"))</f>
        <v>Fail</v>
      </c>
      <c r="AD410" s="1" t="str">
        <f>IF(AND(Table1[[#This Row],[Spec Type2]]="N/A",Table1[[#This Row],[DUT Adj Read]]="N/A",Table1[[#This Row],[Std Adj Read]]="N/A"),"N/A",IF(Table1[[#This Row],[DUT Adj Read]]="N/A",IF(Table1[[#This Row],[Std Adj Read]]&gt;Table1[[#This Row],[Low Tol]],"Pass","Fail"),IF(Table1[[#This Row],[DUT Adj Read]]&gt;Table1[[#This Row],[Low Tol]],"Pass","Fail")))</f>
        <v>Pass</v>
      </c>
      <c r="AE410" s="1" t="str">
        <f>IF(AND(Table1[[#This Row],[Spec Type2]]="N/A",Table1[[#This Row],[DUT Adj Read]]="N/A",Table1[[#This Row],[Std Adj Read]]="N/A"),"N/A",IF(Table1[[#This Row],[DUT Adj Read]]="N/A",IF(Table1[[#This Row],[Std Adj Read]]&lt;Table1[[#This Row],[High Tol]],"Pass","Fail"),IF(Table1[[#This Row],[DUT Adj Read]]&lt;Table1[[#This Row],[High Tol]],"Pass","Fail")))</f>
        <v>Fail</v>
      </c>
      <c r="AF410" s="1" t="str">
        <f>IF(AND(Table1[[#This Row],[Spec Type2]]="N/A",Table1[[#This Row],[DUT Adj Read]]="N/A",Table1[[#This Row],[Std Adj Read]]="N/A"),"N/A",IF(Table1[[#This Row],[DUT Adj Read]]="N/A",IF(Table1[[#This Row],[Std Adj Read]]&gt;=Table1[[#This Row],[Low Tol]],"Pass","Fail"),IF(Table1[[#This Row],[DUT Adj Read]]&gt;=Table1[[#This Row],[Low Tol]],"Pass","Fail")))</f>
        <v>Pass</v>
      </c>
      <c r="AG410" s="1" t="str">
        <f>IF(AND(Table1[[#This Row],[Spec Type2]]="N/A",Table1[[#This Row],[DUT Adj Read]]="N/A",Table1[[#This Row],[Std Adj Read]]="N/A"),"N/A",IF(Table1[[#This Row],[DUT Adj Read]]="N/A",IF(Table1[[#This Row],[Std Adj Read]]&lt;=Table1[[#This Row],[High Tol]],"Pass","Fail"),IF(Table1[[#This Row],[DUT Adj Read]]&lt;=Table1[[#This Row],[High Tol]],"Pass","Fail")))</f>
        <v>Fail</v>
      </c>
      <c r="AH4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0" s="1" t="b">
        <v>0</v>
      </c>
      <c r="AN410" s="1" t="b">
        <v>0</v>
      </c>
      <c r="AO410" s="1" t="b">
        <v>0</v>
      </c>
    </row>
    <row r="411" spans="1:41" x14ac:dyDescent="0.25">
      <c r="A411" s="10"/>
      <c r="B411" s="10"/>
      <c r="C411" s="10"/>
      <c r="D411" s="10"/>
      <c r="E411" s="10"/>
      <c r="F411" s="10"/>
      <c r="G411" s="10"/>
      <c r="H411" s="10"/>
      <c r="I411" s="1" t="str">
        <f t="shared" si="18"/>
        <v/>
      </c>
      <c r="J411" s="1" t="s">
        <v>35</v>
      </c>
      <c r="K411" s="1" t="str">
        <f t="shared" si="19"/>
        <v/>
      </c>
      <c r="L411" s="1" t="str">
        <f t="shared" si="20"/>
        <v/>
      </c>
      <c r="M411" s="1">
        <f>IF(OR(Table1[[#This Row],[Std Nom]]="",Table1[[#This Row],[Std Read]]=""),0,Table1[[#This Row],[Std Nom]]-Table1[[#This Row],[Std Read]])</f>
        <v>0</v>
      </c>
      <c r="N411" s="1">
        <f>IF(Calculations!$F$5="ACCREDITED 17025 WITH UNCERTAINTIES",$N$10,0)</f>
        <v>0</v>
      </c>
      <c r="O411" s="1" t="str">
        <f>IFERROR(Table1[[#This Row],[Std Nom]]-(_xlfn.XLOOKUP(Table1[[#This Row],[Manufacturer]]&amp;" "&amp;Table1[[#This Row],[Model]],Table13[MFR &amp; MDL],Table13[Tolerance % CW ],"")/100*Table1[[#This Row],[Std Nom]]),"")</f>
        <v/>
      </c>
      <c r="P411" s="1" t="str">
        <f>IFERROR(Table1[[#This Row],[Std Nom]]+(_xlfn.XLOOKUP(Table1[[#This Row],[Manufacturer]]&amp;" "&amp;Table1[[#This Row],[Model]],Table13[MFR &amp; MDL],Table13[Tolerance % CW ],"")/100*Table1[[#This Row],[Std Nom]]),"")</f>
        <v/>
      </c>
      <c r="Q411" s="1" t="e">
        <f>Table1[[#This Row],[High Tol]]-Table1[[#This Row],[Low Tol]]</f>
        <v>#VALUE!</v>
      </c>
      <c r="R411" s="1">
        <f>2*Table1[[#This Row],[Std Error]]</f>
        <v>0</v>
      </c>
      <c r="S411" s="1" t="str">
        <f>IF(Table1[[#This Row],[High Tol]]="","N/A",IFERROR(ABS(Table1[[#This Row],[Tol Span]]/Table1[[#This Row],[Error Span]]),"N/A"))</f>
        <v>N/A</v>
      </c>
      <c r="T411" s="1" t="str">
        <f>IF(OR(Table1[[#This Row],[Low Tol]]="",Table1[[#This Row],[High Tol]]=""),"Needs Analysis",IF(Table1[[#This Row],[Ratio]]&gt;=4,"Not Significant",IF(Table1[[#This Row],[Ratio]]&gt;=2,"Semi-Significant","Significant")))</f>
        <v>Needs Analysis</v>
      </c>
      <c r="W411" s="1">
        <f>IF(Table1[[#This Row],[Cal Type]]&lt;&gt;"ACCREDITED 17025 WITH UNCERTAINTIES",0,"")</f>
        <v>0</v>
      </c>
      <c r="X411" s="1" t="str">
        <f>IF(Table1[[#This Row],[DUT Read]]="","N/A",Table1[[#This Row],[Std Error]]+Table1[[#This Row],[DUT Read]]+Table1[[#This Row],[DUT Ucty]])</f>
        <v>N/A</v>
      </c>
      <c r="Y411" s="1" t="str">
        <f>IF(Table1[[#This Row],[Std Read]]="","N/A",Table1[[#This Row],[Std Read]]+Table1[[#This Row],[Std Ucty]])</f>
        <v>N/A</v>
      </c>
      <c r="Z4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1" s="1" t="str">
        <f>IF(Table1[[#This Row],[Spec Type]]="","N/A",Table1[[#This Row],[Spec Type]])</f>
        <v>±</v>
      </c>
      <c r="AC411" s="1" t="str">
        <f>IF(Table1[[#This Row],[Spec Type2]]="N/A","N/A",IF(AND(Table1[[#This Row],[DUT Adj Read]]&gt;=Table1[[#This Row],[Low Tol]],Table1[[#This Row],[DUT Adj Read]]&lt;=Table1[[#This Row],[High Tol]]),"Pass","Fail"))</f>
        <v>Fail</v>
      </c>
      <c r="AD411" s="1" t="str">
        <f>IF(AND(Table1[[#This Row],[Spec Type2]]="N/A",Table1[[#This Row],[DUT Adj Read]]="N/A",Table1[[#This Row],[Std Adj Read]]="N/A"),"N/A",IF(Table1[[#This Row],[DUT Adj Read]]="N/A",IF(Table1[[#This Row],[Std Adj Read]]&gt;Table1[[#This Row],[Low Tol]],"Pass","Fail"),IF(Table1[[#This Row],[DUT Adj Read]]&gt;Table1[[#This Row],[Low Tol]],"Pass","Fail")))</f>
        <v>Pass</v>
      </c>
      <c r="AE411" s="1" t="str">
        <f>IF(AND(Table1[[#This Row],[Spec Type2]]="N/A",Table1[[#This Row],[DUT Adj Read]]="N/A",Table1[[#This Row],[Std Adj Read]]="N/A"),"N/A",IF(Table1[[#This Row],[DUT Adj Read]]="N/A",IF(Table1[[#This Row],[Std Adj Read]]&lt;Table1[[#This Row],[High Tol]],"Pass","Fail"),IF(Table1[[#This Row],[DUT Adj Read]]&lt;Table1[[#This Row],[High Tol]],"Pass","Fail")))</f>
        <v>Fail</v>
      </c>
      <c r="AF411" s="1" t="str">
        <f>IF(AND(Table1[[#This Row],[Spec Type2]]="N/A",Table1[[#This Row],[DUT Adj Read]]="N/A",Table1[[#This Row],[Std Adj Read]]="N/A"),"N/A",IF(Table1[[#This Row],[DUT Adj Read]]="N/A",IF(Table1[[#This Row],[Std Adj Read]]&gt;=Table1[[#This Row],[Low Tol]],"Pass","Fail"),IF(Table1[[#This Row],[DUT Adj Read]]&gt;=Table1[[#This Row],[Low Tol]],"Pass","Fail")))</f>
        <v>Pass</v>
      </c>
      <c r="AG411" s="1" t="str">
        <f>IF(AND(Table1[[#This Row],[Spec Type2]]="N/A",Table1[[#This Row],[DUT Adj Read]]="N/A",Table1[[#This Row],[Std Adj Read]]="N/A"),"N/A",IF(Table1[[#This Row],[DUT Adj Read]]="N/A",IF(Table1[[#This Row],[Std Adj Read]]&lt;=Table1[[#This Row],[High Tol]],"Pass","Fail"),IF(Table1[[#This Row],[DUT Adj Read]]&lt;=Table1[[#This Row],[High Tol]],"Pass","Fail")))</f>
        <v>Fail</v>
      </c>
      <c r="AH4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1" s="1" t="b">
        <v>0</v>
      </c>
      <c r="AN411" s="1" t="b">
        <v>0</v>
      </c>
      <c r="AO411" s="1" t="b">
        <v>0</v>
      </c>
    </row>
    <row r="412" spans="1:41" x14ac:dyDescent="0.25">
      <c r="A412" s="10"/>
      <c r="B412" s="10"/>
      <c r="C412" s="10"/>
      <c r="D412" s="10"/>
      <c r="E412" s="10"/>
      <c r="F412" s="10"/>
      <c r="G412" s="10"/>
      <c r="H412" s="10"/>
      <c r="I412" s="1" t="str">
        <f t="shared" si="18"/>
        <v/>
      </c>
      <c r="J412" s="1" t="s">
        <v>35</v>
      </c>
      <c r="K412" s="1" t="str">
        <f t="shared" si="19"/>
        <v/>
      </c>
      <c r="L412" s="1" t="str">
        <f t="shared" si="20"/>
        <v/>
      </c>
      <c r="M412" s="1">
        <f>IF(OR(Table1[[#This Row],[Std Nom]]="",Table1[[#This Row],[Std Read]]=""),0,Table1[[#This Row],[Std Nom]]-Table1[[#This Row],[Std Read]])</f>
        <v>0</v>
      </c>
      <c r="N412" s="1">
        <f>IF(Calculations!$F$5="ACCREDITED 17025 WITH UNCERTAINTIES",$N$10,0)</f>
        <v>0</v>
      </c>
      <c r="O412" s="1" t="str">
        <f>IFERROR(Table1[[#This Row],[Std Nom]]-(_xlfn.XLOOKUP(Table1[[#This Row],[Manufacturer]]&amp;" "&amp;Table1[[#This Row],[Model]],Table13[MFR &amp; MDL],Table13[Tolerance % CW ],"")/100*Table1[[#This Row],[Std Nom]]),"")</f>
        <v/>
      </c>
      <c r="P412" s="1" t="str">
        <f>IFERROR(Table1[[#This Row],[Std Nom]]+(_xlfn.XLOOKUP(Table1[[#This Row],[Manufacturer]]&amp;" "&amp;Table1[[#This Row],[Model]],Table13[MFR &amp; MDL],Table13[Tolerance % CW ],"")/100*Table1[[#This Row],[Std Nom]]),"")</f>
        <v/>
      </c>
      <c r="Q412" s="1" t="e">
        <f>Table1[[#This Row],[High Tol]]-Table1[[#This Row],[Low Tol]]</f>
        <v>#VALUE!</v>
      </c>
      <c r="R412" s="1">
        <f>2*Table1[[#This Row],[Std Error]]</f>
        <v>0</v>
      </c>
      <c r="S412" s="1" t="str">
        <f>IF(Table1[[#This Row],[High Tol]]="","N/A",IFERROR(ABS(Table1[[#This Row],[Tol Span]]/Table1[[#This Row],[Error Span]]),"N/A"))</f>
        <v>N/A</v>
      </c>
      <c r="T412" s="1" t="str">
        <f>IF(OR(Table1[[#This Row],[Low Tol]]="",Table1[[#This Row],[High Tol]]=""),"Needs Analysis",IF(Table1[[#This Row],[Ratio]]&gt;=4,"Not Significant",IF(Table1[[#This Row],[Ratio]]&gt;=2,"Semi-Significant","Significant")))</f>
        <v>Needs Analysis</v>
      </c>
      <c r="W412" s="1">
        <f>IF(Table1[[#This Row],[Cal Type]]&lt;&gt;"ACCREDITED 17025 WITH UNCERTAINTIES",0,"")</f>
        <v>0</v>
      </c>
      <c r="X412" s="1" t="str">
        <f>IF(Table1[[#This Row],[DUT Read]]="","N/A",Table1[[#This Row],[Std Error]]+Table1[[#This Row],[DUT Read]]+Table1[[#This Row],[DUT Ucty]])</f>
        <v>N/A</v>
      </c>
      <c r="Y412" s="1" t="str">
        <f>IF(Table1[[#This Row],[Std Read]]="","N/A",Table1[[#This Row],[Std Read]]+Table1[[#This Row],[Std Ucty]])</f>
        <v>N/A</v>
      </c>
      <c r="Z4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2" s="1" t="str">
        <f>IF(Table1[[#This Row],[Spec Type]]="","N/A",Table1[[#This Row],[Spec Type]])</f>
        <v>±</v>
      </c>
      <c r="AC412" s="1" t="str">
        <f>IF(Table1[[#This Row],[Spec Type2]]="N/A","N/A",IF(AND(Table1[[#This Row],[DUT Adj Read]]&gt;=Table1[[#This Row],[Low Tol]],Table1[[#This Row],[DUT Adj Read]]&lt;=Table1[[#This Row],[High Tol]]),"Pass","Fail"))</f>
        <v>Fail</v>
      </c>
      <c r="AD412" s="1" t="str">
        <f>IF(AND(Table1[[#This Row],[Spec Type2]]="N/A",Table1[[#This Row],[DUT Adj Read]]="N/A",Table1[[#This Row],[Std Adj Read]]="N/A"),"N/A",IF(Table1[[#This Row],[DUT Adj Read]]="N/A",IF(Table1[[#This Row],[Std Adj Read]]&gt;Table1[[#This Row],[Low Tol]],"Pass","Fail"),IF(Table1[[#This Row],[DUT Adj Read]]&gt;Table1[[#This Row],[Low Tol]],"Pass","Fail")))</f>
        <v>Pass</v>
      </c>
      <c r="AE412" s="1" t="str">
        <f>IF(AND(Table1[[#This Row],[Spec Type2]]="N/A",Table1[[#This Row],[DUT Adj Read]]="N/A",Table1[[#This Row],[Std Adj Read]]="N/A"),"N/A",IF(Table1[[#This Row],[DUT Adj Read]]="N/A",IF(Table1[[#This Row],[Std Adj Read]]&lt;Table1[[#This Row],[High Tol]],"Pass","Fail"),IF(Table1[[#This Row],[DUT Adj Read]]&lt;Table1[[#This Row],[High Tol]],"Pass","Fail")))</f>
        <v>Fail</v>
      </c>
      <c r="AF412" s="1" t="str">
        <f>IF(AND(Table1[[#This Row],[Spec Type2]]="N/A",Table1[[#This Row],[DUT Adj Read]]="N/A",Table1[[#This Row],[Std Adj Read]]="N/A"),"N/A",IF(Table1[[#This Row],[DUT Adj Read]]="N/A",IF(Table1[[#This Row],[Std Adj Read]]&gt;=Table1[[#This Row],[Low Tol]],"Pass","Fail"),IF(Table1[[#This Row],[DUT Adj Read]]&gt;=Table1[[#This Row],[Low Tol]],"Pass","Fail")))</f>
        <v>Pass</v>
      </c>
      <c r="AG412" s="1" t="str">
        <f>IF(AND(Table1[[#This Row],[Spec Type2]]="N/A",Table1[[#This Row],[DUT Adj Read]]="N/A",Table1[[#This Row],[Std Adj Read]]="N/A"),"N/A",IF(Table1[[#This Row],[DUT Adj Read]]="N/A",IF(Table1[[#This Row],[Std Adj Read]]&lt;=Table1[[#This Row],[High Tol]],"Pass","Fail"),IF(Table1[[#This Row],[DUT Adj Read]]&lt;=Table1[[#This Row],[High Tol]],"Pass","Fail")))</f>
        <v>Fail</v>
      </c>
      <c r="AH4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2" s="1" t="b">
        <v>0</v>
      </c>
      <c r="AN412" s="1" t="b">
        <v>0</v>
      </c>
      <c r="AO412" s="1" t="b">
        <v>0</v>
      </c>
    </row>
    <row r="413" spans="1:41" x14ac:dyDescent="0.25">
      <c r="A413" s="10"/>
      <c r="B413" s="10"/>
      <c r="C413" s="10"/>
      <c r="D413" s="10"/>
      <c r="E413" s="10"/>
      <c r="F413" s="10"/>
      <c r="G413" s="10"/>
      <c r="H413" s="10"/>
      <c r="I413" s="1" t="str">
        <f t="shared" si="18"/>
        <v/>
      </c>
      <c r="J413" s="1" t="s">
        <v>35</v>
      </c>
      <c r="K413" s="1" t="str">
        <f t="shared" si="19"/>
        <v/>
      </c>
      <c r="L413" s="1" t="str">
        <f t="shared" si="20"/>
        <v/>
      </c>
      <c r="M413" s="1">
        <f>IF(OR(Table1[[#This Row],[Std Nom]]="",Table1[[#This Row],[Std Read]]=""),0,Table1[[#This Row],[Std Nom]]-Table1[[#This Row],[Std Read]])</f>
        <v>0</v>
      </c>
      <c r="N413" s="1">
        <f>IF(Calculations!$F$5="ACCREDITED 17025 WITH UNCERTAINTIES",$N$10,0)</f>
        <v>0</v>
      </c>
      <c r="O413" s="1" t="str">
        <f>IFERROR(Table1[[#This Row],[Std Nom]]-(_xlfn.XLOOKUP(Table1[[#This Row],[Manufacturer]]&amp;" "&amp;Table1[[#This Row],[Model]],Table13[MFR &amp; MDL],Table13[Tolerance % CW ],"")/100*Table1[[#This Row],[Std Nom]]),"")</f>
        <v/>
      </c>
      <c r="P413" s="1" t="str">
        <f>IFERROR(Table1[[#This Row],[Std Nom]]+(_xlfn.XLOOKUP(Table1[[#This Row],[Manufacturer]]&amp;" "&amp;Table1[[#This Row],[Model]],Table13[MFR &amp; MDL],Table13[Tolerance % CW ],"")/100*Table1[[#This Row],[Std Nom]]),"")</f>
        <v/>
      </c>
      <c r="Q413" s="1" t="e">
        <f>Table1[[#This Row],[High Tol]]-Table1[[#This Row],[Low Tol]]</f>
        <v>#VALUE!</v>
      </c>
      <c r="R413" s="1">
        <f>2*Table1[[#This Row],[Std Error]]</f>
        <v>0</v>
      </c>
      <c r="S413" s="1" t="str">
        <f>IF(Table1[[#This Row],[High Tol]]="","N/A",IFERROR(ABS(Table1[[#This Row],[Tol Span]]/Table1[[#This Row],[Error Span]]),"N/A"))</f>
        <v>N/A</v>
      </c>
      <c r="T413" s="1" t="str">
        <f>IF(OR(Table1[[#This Row],[Low Tol]]="",Table1[[#This Row],[High Tol]]=""),"Needs Analysis",IF(Table1[[#This Row],[Ratio]]&gt;=4,"Not Significant",IF(Table1[[#This Row],[Ratio]]&gt;=2,"Semi-Significant","Significant")))</f>
        <v>Needs Analysis</v>
      </c>
      <c r="W413" s="1">
        <f>IF(Table1[[#This Row],[Cal Type]]&lt;&gt;"ACCREDITED 17025 WITH UNCERTAINTIES",0,"")</f>
        <v>0</v>
      </c>
      <c r="X413" s="1" t="str">
        <f>IF(Table1[[#This Row],[DUT Read]]="","N/A",Table1[[#This Row],[Std Error]]+Table1[[#This Row],[DUT Read]]+Table1[[#This Row],[DUT Ucty]])</f>
        <v>N/A</v>
      </c>
      <c r="Y413" s="1" t="str">
        <f>IF(Table1[[#This Row],[Std Read]]="","N/A",Table1[[#This Row],[Std Read]]+Table1[[#This Row],[Std Ucty]])</f>
        <v>N/A</v>
      </c>
      <c r="Z4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3" s="1" t="str">
        <f>IF(Table1[[#This Row],[Spec Type]]="","N/A",Table1[[#This Row],[Spec Type]])</f>
        <v>±</v>
      </c>
      <c r="AC413" s="1" t="str">
        <f>IF(Table1[[#This Row],[Spec Type2]]="N/A","N/A",IF(AND(Table1[[#This Row],[DUT Adj Read]]&gt;=Table1[[#This Row],[Low Tol]],Table1[[#This Row],[DUT Adj Read]]&lt;=Table1[[#This Row],[High Tol]]),"Pass","Fail"))</f>
        <v>Fail</v>
      </c>
      <c r="AD413" s="1" t="str">
        <f>IF(AND(Table1[[#This Row],[Spec Type2]]="N/A",Table1[[#This Row],[DUT Adj Read]]="N/A",Table1[[#This Row],[Std Adj Read]]="N/A"),"N/A",IF(Table1[[#This Row],[DUT Adj Read]]="N/A",IF(Table1[[#This Row],[Std Adj Read]]&gt;Table1[[#This Row],[Low Tol]],"Pass","Fail"),IF(Table1[[#This Row],[DUT Adj Read]]&gt;Table1[[#This Row],[Low Tol]],"Pass","Fail")))</f>
        <v>Pass</v>
      </c>
      <c r="AE413" s="1" t="str">
        <f>IF(AND(Table1[[#This Row],[Spec Type2]]="N/A",Table1[[#This Row],[DUT Adj Read]]="N/A",Table1[[#This Row],[Std Adj Read]]="N/A"),"N/A",IF(Table1[[#This Row],[DUT Adj Read]]="N/A",IF(Table1[[#This Row],[Std Adj Read]]&lt;Table1[[#This Row],[High Tol]],"Pass","Fail"),IF(Table1[[#This Row],[DUT Adj Read]]&lt;Table1[[#This Row],[High Tol]],"Pass","Fail")))</f>
        <v>Fail</v>
      </c>
      <c r="AF413" s="1" t="str">
        <f>IF(AND(Table1[[#This Row],[Spec Type2]]="N/A",Table1[[#This Row],[DUT Adj Read]]="N/A",Table1[[#This Row],[Std Adj Read]]="N/A"),"N/A",IF(Table1[[#This Row],[DUT Adj Read]]="N/A",IF(Table1[[#This Row],[Std Adj Read]]&gt;=Table1[[#This Row],[Low Tol]],"Pass","Fail"),IF(Table1[[#This Row],[DUT Adj Read]]&gt;=Table1[[#This Row],[Low Tol]],"Pass","Fail")))</f>
        <v>Pass</v>
      </c>
      <c r="AG413" s="1" t="str">
        <f>IF(AND(Table1[[#This Row],[Spec Type2]]="N/A",Table1[[#This Row],[DUT Adj Read]]="N/A",Table1[[#This Row],[Std Adj Read]]="N/A"),"N/A",IF(Table1[[#This Row],[DUT Adj Read]]="N/A",IF(Table1[[#This Row],[Std Adj Read]]&lt;=Table1[[#This Row],[High Tol]],"Pass","Fail"),IF(Table1[[#This Row],[DUT Adj Read]]&lt;=Table1[[#This Row],[High Tol]],"Pass","Fail")))</f>
        <v>Fail</v>
      </c>
      <c r="AH4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3" s="1" t="b">
        <v>0</v>
      </c>
      <c r="AN413" s="1" t="b">
        <v>0</v>
      </c>
      <c r="AO413" s="1" t="b">
        <v>0</v>
      </c>
    </row>
    <row r="414" spans="1:41" x14ac:dyDescent="0.25">
      <c r="A414" s="10"/>
      <c r="B414" s="10"/>
      <c r="C414" s="10"/>
      <c r="D414" s="10"/>
      <c r="E414" s="10"/>
      <c r="F414" s="10"/>
      <c r="G414" s="10"/>
      <c r="H414" s="10"/>
      <c r="I414" s="1" t="str">
        <f t="shared" si="18"/>
        <v/>
      </c>
      <c r="J414" s="1" t="s">
        <v>35</v>
      </c>
      <c r="K414" s="1" t="str">
        <f t="shared" si="19"/>
        <v/>
      </c>
      <c r="L414" s="1" t="str">
        <f t="shared" si="20"/>
        <v/>
      </c>
      <c r="M414" s="1">
        <f>IF(OR(Table1[[#This Row],[Std Nom]]="",Table1[[#This Row],[Std Read]]=""),0,Table1[[#This Row],[Std Nom]]-Table1[[#This Row],[Std Read]])</f>
        <v>0</v>
      </c>
      <c r="N414" s="1">
        <f>IF(Calculations!$F$5="ACCREDITED 17025 WITH UNCERTAINTIES",$N$10,0)</f>
        <v>0</v>
      </c>
      <c r="O414" s="1" t="str">
        <f>IFERROR(Table1[[#This Row],[Std Nom]]-(_xlfn.XLOOKUP(Table1[[#This Row],[Manufacturer]]&amp;" "&amp;Table1[[#This Row],[Model]],Table13[MFR &amp; MDL],Table13[Tolerance % CW ],"")/100*Table1[[#This Row],[Std Nom]]),"")</f>
        <v/>
      </c>
      <c r="P414" s="1" t="str">
        <f>IFERROR(Table1[[#This Row],[Std Nom]]+(_xlfn.XLOOKUP(Table1[[#This Row],[Manufacturer]]&amp;" "&amp;Table1[[#This Row],[Model]],Table13[MFR &amp; MDL],Table13[Tolerance % CW ],"")/100*Table1[[#This Row],[Std Nom]]),"")</f>
        <v/>
      </c>
      <c r="Q414" s="1" t="e">
        <f>Table1[[#This Row],[High Tol]]-Table1[[#This Row],[Low Tol]]</f>
        <v>#VALUE!</v>
      </c>
      <c r="R414" s="1">
        <f>2*Table1[[#This Row],[Std Error]]</f>
        <v>0</v>
      </c>
      <c r="S414" s="1" t="str">
        <f>IF(Table1[[#This Row],[High Tol]]="","N/A",IFERROR(ABS(Table1[[#This Row],[Tol Span]]/Table1[[#This Row],[Error Span]]),"N/A"))</f>
        <v>N/A</v>
      </c>
      <c r="T414" s="1" t="str">
        <f>IF(OR(Table1[[#This Row],[Low Tol]]="",Table1[[#This Row],[High Tol]]=""),"Needs Analysis",IF(Table1[[#This Row],[Ratio]]&gt;=4,"Not Significant",IF(Table1[[#This Row],[Ratio]]&gt;=2,"Semi-Significant","Significant")))</f>
        <v>Needs Analysis</v>
      </c>
      <c r="W414" s="1">
        <f>IF(Table1[[#This Row],[Cal Type]]&lt;&gt;"ACCREDITED 17025 WITH UNCERTAINTIES",0,"")</f>
        <v>0</v>
      </c>
      <c r="X414" s="1" t="str">
        <f>IF(Table1[[#This Row],[DUT Read]]="","N/A",Table1[[#This Row],[Std Error]]+Table1[[#This Row],[DUT Read]]+Table1[[#This Row],[DUT Ucty]])</f>
        <v>N/A</v>
      </c>
      <c r="Y414" s="1" t="str">
        <f>IF(Table1[[#This Row],[Std Read]]="","N/A",Table1[[#This Row],[Std Read]]+Table1[[#This Row],[Std Ucty]])</f>
        <v>N/A</v>
      </c>
      <c r="Z4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4" s="1" t="str">
        <f>IF(Table1[[#This Row],[Spec Type]]="","N/A",Table1[[#This Row],[Spec Type]])</f>
        <v>±</v>
      </c>
      <c r="AC414" s="1" t="str">
        <f>IF(Table1[[#This Row],[Spec Type2]]="N/A","N/A",IF(AND(Table1[[#This Row],[DUT Adj Read]]&gt;=Table1[[#This Row],[Low Tol]],Table1[[#This Row],[DUT Adj Read]]&lt;=Table1[[#This Row],[High Tol]]),"Pass","Fail"))</f>
        <v>Fail</v>
      </c>
      <c r="AD414" s="1" t="str">
        <f>IF(AND(Table1[[#This Row],[Spec Type2]]="N/A",Table1[[#This Row],[DUT Adj Read]]="N/A",Table1[[#This Row],[Std Adj Read]]="N/A"),"N/A",IF(Table1[[#This Row],[DUT Adj Read]]="N/A",IF(Table1[[#This Row],[Std Adj Read]]&gt;Table1[[#This Row],[Low Tol]],"Pass","Fail"),IF(Table1[[#This Row],[DUT Adj Read]]&gt;Table1[[#This Row],[Low Tol]],"Pass","Fail")))</f>
        <v>Pass</v>
      </c>
      <c r="AE414" s="1" t="str">
        <f>IF(AND(Table1[[#This Row],[Spec Type2]]="N/A",Table1[[#This Row],[DUT Adj Read]]="N/A",Table1[[#This Row],[Std Adj Read]]="N/A"),"N/A",IF(Table1[[#This Row],[DUT Adj Read]]="N/A",IF(Table1[[#This Row],[Std Adj Read]]&lt;Table1[[#This Row],[High Tol]],"Pass","Fail"),IF(Table1[[#This Row],[DUT Adj Read]]&lt;Table1[[#This Row],[High Tol]],"Pass","Fail")))</f>
        <v>Fail</v>
      </c>
      <c r="AF414" s="1" t="str">
        <f>IF(AND(Table1[[#This Row],[Spec Type2]]="N/A",Table1[[#This Row],[DUT Adj Read]]="N/A",Table1[[#This Row],[Std Adj Read]]="N/A"),"N/A",IF(Table1[[#This Row],[DUT Adj Read]]="N/A",IF(Table1[[#This Row],[Std Adj Read]]&gt;=Table1[[#This Row],[Low Tol]],"Pass","Fail"),IF(Table1[[#This Row],[DUT Adj Read]]&gt;=Table1[[#This Row],[Low Tol]],"Pass","Fail")))</f>
        <v>Pass</v>
      </c>
      <c r="AG414" s="1" t="str">
        <f>IF(AND(Table1[[#This Row],[Spec Type2]]="N/A",Table1[[#This Row],[DUT Adj Read]]="N/A",Table1[[#This Row],[Std Adj Read]]="N/A"),"N/A",IF(Table1[[#This Row],[DUT Adj Read]]="N/A",IF(Table1[[#This Row],[Std Adj Read]]&lt;=Table1[[#This Row],[High Tol]],"Pass","Fail"),IF(Table1[[#This Row],[DUT Adj Read]]&lt;=Table1[[#This Row],[High Tol]],"Pass","Fail")))</f>
        <v>Fail</v>
      </c>
      <c r="AH4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4" s="1" t="b">
        <v>0</v>
      </c>
      <c r="AN414" s="1" t="b">
        <v>0</v>
      </c>
      <c r="AO414" s="1" t="b">
        <v>0</v>
      </c>
    </row>
    <row r="415" spans="1:41" x14ac:dyDescent="0.25">
      <c r="A415" s="10"/>
      <c r="B415" s="10"/>
      <c r="C415" s="10"/>
      <c r="D415" s="10"/>
      <c r="E415" s="10"/>
      <c r="F415" s="10"/>
      <c r="G415" s="10"/>
      <c r="H415" s="10"/>
      <c r="I415" s="1" t="str">
        <f t="shared" si="18"/>
        <v/>
      </c>
      <c r="J415" s="1" t="s">
        <v>35</v>
      </c>
      <c r="K415" s="1" t="str">
        <f t="shared" si="19"/>
        <v/>
      </c>
      <c r="L415" s="1" t="str">
        <f t="shared" si="20"/>
        <v/>
      </c>
      <c r="M415" s="1">
        <f>IF(OR(Table1[[#This Row],[Std Nom]]="",Table1[[#This Row],[Std Read]]=""),0,Table1[[#This Row],[Std Nom]]-Table1[[#This Row],[Std Read]])</f>
        <v>0</v>
      </c>
      <c r="N415" s="1">
        <f>IF(Calculations!$F$5="ACCREDITED 17025 WITH UNCERTAINTIES",$N$10,0)</f>
        <v>0</v>
      </c>
      <c r="O415" s="1" t="str">
        <f>IFERROR(Table1[[#This Row],[Std Nom]]-(_xlfn.XLOOKUP(Table1[[#This Row],[Manufacturer]]&amp;" "&amp;Table1[[#This Row],[Model]],Table13[MFR &amp; MDL],Table13[Tolerance % CW ],"")/100*Table1[[#This Row],[Std Nom]]),"")</f>
        <v/>
      </c>
      <c r="P415" s="1" t="str">
        <f>IFERROR(Table1[[#This Row],[Std Nom]]+(_xlfn.XLOOKUP(Table1[[#This Row],[Manufacturer]]&amp;" "&amp;Table1[[#This Row],[Model]],Table13[MFR &amp; MDL],Table13[Tolerance % CW ],"")/100*Table1[[#This Row],[Std Nom]]),"")</f>
        <v/>
      </c>
      <c r="Q415" s="1" t="e">
        <f>Table1[[#This Row],[High Tol]]-Table1[[#This Row],[Low Tol]]</f>
        <v>#VALUE!</v>
      </c>
      <c r="R415" s="1">
        <f>2*Table1[[#This Row],[Std Error]]</f>
        <v>0</v>
      </c>
      <c r="S415" s="1" t="str">
        <f>IF(Table1[[#This Row],[High Tol]]="","N/A",IFERROR(ABS(Table1[[#This Row],[Tol Span]]/Table1[[#This Row],[Error Span]]),"N/A"))</f>
        <v>N/A</v>
      </c>
      <c r="T415" s="1" t="str">
        <f>IF(OR(Table1[[#This Row],[Low Tol]]="",Table1[[#This Row],[High Tol]]=""),"Needs Analysis",IF(Table1[[#This Row],[Ratio]]&gt;=4,"Not Significant",IF(Table1[[#This Row],[Ratio]]&gt;=2,"Semi-Significant","Significant")))</f>
        <v>Needs Analysis</v>
      </c>
      <c r="W415" s="1">
        <f>IF(Table1[[#This Row],[Cal Type]]&lt;&gt;"ACCREDITED 17025 WITH UNCERTAINTIES",0,"")</f>
        <v>0</v>
      </c>
      <c r="X415" s="1" t="str">
        <f>IF(Table1[[#This Row],[DUT Read]]="","N/A",Table1[[#This Row],[Std Error]]+Table1[[#This Row],[DUT Read]]+Table1[[#This Row],[DUT Ucty]])</f>
        <v>N/A</v>
      </c>
      <c r="Y415" s="1" t="str">
        <f>IF(Table1[[#This Row],[Std Read]]="","N/A",Table1[[#This Row],[Std Read]]+Table1[[#This Row],[Std Ucty]])</f>
        <v>N/A</v>
      </c>
      <c r="Z4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5" s="1" t="str">
        <f>IF(Table1[[#This Row],[Spec Type]]="","N/A",Table1[[#This Row],[Spec Type]])</f>
        <v>±</v>
      </c>
      <c r="AC415" s="1" t="str">
        <f>IF(Table1[[#This Row],[Spec Type2]]="N/A","N/A",IF(AND(Table1[[#This Row],[DUT Adj Read]]&gt;=Table1[[#This Row],[Low Tol]],Table1[[#This Row],[DUT Adj Read]]&lt;=Table1[[#This Row],[High Tol]]),"Pass","Fail"))</f>
        <v>Fail</v>
      </c>
      <c r="AD415" s="1" t="str">
        <f>IF(AND(Table1[[#This Row],[Spec Type2]]="N/A",Table1[[#This Row],[DUT Adj Read]]="N/A",Table1[[#This Row],[Std Adj Read]]="N/A"),"N/A",IF(Table1[[#This Row],[DUT Adj Read]]="N/A",IF(Table1[[#This Row],[Std Adj Read]]&gt;Table1[[#This Row],[Low Tol]],"Pass","Fail"),IF(Table1[[#This Row],[DUT Adj Read]]&gt;Table1[[#This Row],[Low Tol]],"Pass","Fail")))</f>
        <v>Pass</v>
      </c>
      <c r="AE415" s="1" t="str">
        <f>IF(AND(Table1[[#This Row],[Spec Type2]]="N/A",Table1[[#This Row],[DUT Adj Read]]="N/A",Table1[[#This Row],[Std Adj Read]]="N/A"),"N/A",IF(Table1[[#This Row],[DUT Adj Read]]="N/A",IF(Table1[[#This Row],[Std Adj Read]]&lt;Table1[[#This Row],[High Tol]],"Pass","Fail"),IF(Table1[[#This Row],[DUT Adj Read]]&lt;Table1[[#This Row],[High Tol]],"Pass","Fail")))</f>
        <v>Fail</v>
      </c>
      <c r="AF415" s="1" t="str">
        <f>IF(AND(Table1[[#This Row],[Spec Type2]]="N/A",Table1[[#This Row],[DUT Adj Read]]="N/A",Table1[[#This Row],[Std Adj Read]]="N/A"),"N/A",IF(Table1[[#This Row],[DUT Adj Read]]="N/A",IF(Table1[[#This Row],[Std Adj Read]]&gt;=Table1[[#This Row],[Low Tol]],"Pass","Fail"),IF(Table1[[#This Row],[DUT Adj Read]]&gt;=Table1[[#This Row],[Low Tol]],"Pass","Fail")))</f>
        <v>Pass</v>
      </c>
      <c r="AG415" s="1" t="str">
        <f>IF(AND(Table1[[#This Row],[Spec Type2]]="N/A",Table1[[#This Row],[DUT Adj Read]]="N/A",Table1[[#This Row],[Std Adj Read]]="N/A"),"N/A",IF(Table1[[#This Row],[DUT Adj Read]]="N/A",IF(Table1[[#This Row],[Std Adj Read]]&lt;=Table1[[#This Row],[High Tol]],"Pass","Fail"),IF(Table1[[#This Row],[DUT Adj Read]]&lt;=Table1[[#This Row],[High Tol]],"Pass","Fail")))</f>
        <v>Fail</v>
      </c>
      <c r="AH4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5" s="1" t="b">
        <v>0</v>
      </c>
      <c r="AN415" s="1" t="b">
        <v>0</v>
      </c>
      <c r="AO415" s="1" t="b">
        <v>0</v>
      </c>
    </row>
    <row r="416" spans="1:41" x14ac:dyDescent="0.25">
      <c r="A416" s="10"/>
      <c r="B416" s="10"/>
      <c r="C416" s="10"/>
      <c r="D416" s="10"/>
      <c r="E416" s="10"/>
      <c r="F416" s="10"/>
      <c r="G416" s="10"/>
      <c r="H416" s="10"/>
      <c r="I416" s="1" t="str">
        <f t="shared" si="18"/>
        <v/>
      </c>
      <c r="J416" s="1" t="s">
        <v>35</v>
      </c>
      <c r="K416" s="1" t="str">
        <f t="shared" si="19"/>
        <v/>
      </c>
      <c r="L416" s="1" t="str">
        <f t="shared" si="20"/>
        <v/>
      </c>
      <c r="M416" s="1">
        <f>IF(OR(Table1[[#This Row],[Std Nom]]="",Table1[[#This Row],[Std Read]]=""),0,Table1[[#This Row],[Std Nom]]-Table1[[#This Row],[Std Read]])</f>
        <v>0</v>
      </c>
      <c r="N416" s="1">
        <f>IF(Calculations!$F$5="ACCREDITED 17025 WITH UNCERTAINTIES",$N$10,0)</f>
        <v>0</v>
      </c>
      <c r="O416" s="1" t="str">
        <f>IFERROR(Table1[[#This Row],[Std Nom]]-(_xlfn.XLOOKUP(Table1[[#This Row],[Manufacturer]]&amp;" "&amp;Table1[[#This Row],[Model]],Table13[MFR &amp; MDL],Table13[Tolerance % CW ],"")/100*Table1[[#This Row],[Std Nom]]),"")</f>
        <v/>
      </c>
      <c r="P416" s="1" t="str">
        <f>IFERROR(Table1[[#This Row],[Std Nom]]+(_xlfn.XLOOKUP(Table1[[#This Row],[Manufacturer]]&amp;" "&amp;Table1[[#This Row],[Model]],Table13[MFR &amp; MDL],Table13[Tolerance % CW ],"")/100*Table1[[#This Row],[Std Nom]]),"")</f>
        <v/>
      </c>
      <c r="Q416" s="1" t="e">
        <f>Table1[[#This Row],[High Tol]]-Table1[[#This Row],[Low Tol]]</f>
        <v>#VALUE!</v>
      </c>
      <c r="R416" s="1">
        <f>2*Table1[[#This Row],[Std Error]]</f>
        <v>0</v>
      </c>
      <c r="S416" s="1" t="str">
        <f>IF(Table1[[#This Row],[High Tol]]="","N/A",IFERROR(ABS(Table1[[#This Row],[Tol Span]]/Table1[[#This Row],[Error Span]]),"N/A"))</f>
        <v>N/A</v>
      </c>
      <c r="T416" s="1" t="str">
        <f>IF(OR(Table1[[#This Row],[Low Tol]]="",Table1[[#This Row],[High Tol]]=""),"Needs Analysis",IF(Table1[[#This Row],[Ratio]]&gt;=4,"Not Significant",IF(Table1[[#This Row],[Ratio]]&gt;=2,"Semi-Significant","Significant")))</f>
        <v>Needs Analysis</v>
      </c>
      <c r="W416" s="1">
        <f>IF(Table1[[#This Row],[Cal Type]]&lt;&gt;"ACCREDITED 17025 WITH UNCERTAINTIES",0,"")</f>
        <v>0</v>
      </c>
      <c r="X416" s="1" t="str">
        <f>IF(Table1[[#This Row],[DUT Read]]="","N/A",Table1[[#This Row],[Std Error]]+Table1[[#This Row],[DUT Read]]+Table1[[#This Row],[DUT Ucty]])</f>
        <v>N/A</v>
      </c>
      <c r="Y416" s="1" t="str">
        <f>IF(Table1[[#This Row],[Std Read]]="","N/A",Table1[[#This Row],[Std Read]]+Table1[[#This Row],[Std Ucty]])</f>
        <v>N/A</v>
      </c>
      <c r="Z4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6" s="1" t="str">
        <f>IF(Table1[[#This Row],[Spec Type]]="","N/A",Table1[[#This Row],[Spec Type]])</f>
        <v>±</v>
      </c>
      <c r="AC416" s="1" t="str">
        <f>IF(Table1[[#This Row],[Spec Type2]]="N/A","N/A",IF(AND(Table1[[#This Row],[DUT Adj Read]]&gt;=Table1[[#This Row],[Low Tol]],Table1[[#This Row],[DUT Adj Read]]&lt;=Table1[[#This Row],[High Tol]]),"Pass","Fail"))</f>
        <v>Fail</v>
      </c>
      <c r="AD416" s="1" t="str">
        <f>IF(AND(Table1[[#This Row],[Spec Type2]]="N/A",Table1[[#This Row],[DUT Adj Read]]="N/A",Table1[[#This Row],[Std Adj Read]]="N/A"),"N/A",IF(Table1[[#This Row],[DUT Adj Read]]="N/A",IF(Table1[[#This Row],[Std Adj Read]]&gt;Table1[[#This Row],[Low Tol]],"Pass","Fail"),IF(Table1[[#This Row],[DUT Adj Read]]&gt;Table1[[#This Row],[Low Tol]],"Pass","Fail")))</f>
        <v>Pass</v>
      </c>
      <c r="AE416" s="1" t="str">
        <f>IF(AND(Table1[[#This Row],[Spec Type2]]="N/A",Table1[[#This Row],[DUT Adj Read]]="N/A",Table1[[#This Row],[Std Adj Read]]="N/A"),"N/A",IF(Table1[[#This Row],[DUT Adj Read]]="N/A",IF(Table1[[#This Row],[Std Adj Read]]&lt;Table1[[#This Row],[High Tol]],"Pass","Fail"),IF(Table1[[#This Row],[DUT Adj Read]]&lt;Table1[[#This Row],[High Tol]],"Pass","Fail")))</f>
        <v>Fail</v>
      </c>
      <c r="AF416" s="1" t="str">
        <f>IF(AND(Table1[[#This Row],[Spec Type2]]="N/A",Table1[[#This Row],[DUT Adj Read]]="N/A",Table1[[#This Row],[Std Adj Read]]="N/A"),"N/A",IF(Table1[[#This Row],[DUT Adj Read]]="N/A",IF(Table1[[#This Row],[Std Adj Read]]&gt;=Table1[[#This Row],[Low Tol]],"Pass","Fail"),IF(Table1[[#This Row],[DUT Adj Read]]&gt;=Table1[[#This Row],[Low Tol]],"Pass","Fail")))</f>
        <v>Pass</v>
      </c>
      <c r="AG416" s="1" t="str">
        <f>IF(AND(Table1[[#This Row],[Spec Type2]]="N/A",Table1[[#This Row],[DUT Adj Read]]="N/A",Table1[[#This Row],[Std Adj Read]]="N/A"),"N/A",IF(Table1[[#This Row],[DUT Adj Read]]="N/A",IF(Table1[[#This Row],[Std Adj Read]]&lt;=Table1[[#This Row],[High Tol]],"Pass","Fail"),IF(Table1[[#This Row],[DUT Adj Read]]&lt;=Table1[[#This Row],[High Tol]],"Pass","Fail")))</f>
        <v>Fail</v>
      </c>
      <c r="AH4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6" s="1" t="b">
        <v>0</v>
      </c>
      <c r="AN416" s="1" t="b">
        <v>0</v>
      </c>
      <c r="AO416" s="1" t="b">
        <v>0</v>
      </c>
    </row>
    <row r="417" spans="1:41" x14ac:dyDescent="0.25">
      <c r="A417" s="10"/>
      <c r="B417" s="10"/>
      <c r="C417" s="10"/>
      <c r="D417" s="10"/>
      <c r="E417" s="10"/>
      <c r="F417" s="10"/>
      <c r="G417" s="10"/>
      <c r="H417" s="10"/>
      <c r="I417" s="1" t="str">
        <f t="shared" si="18"/>
        <v/>
      </c>
      <c r="J417" s="1" t="s">
        <v>35</v>
      </c>
      <c r="K417" s="1" t="str">
        <f t="shared" si="19"/>
        <v/>
      </c>
      <c r="L417" s="1" t="str">
        <f t="shared" si="20"/>
        <v/>
      </c>
      <c r="M417" s="1">
        <f>IF(OR(Table1[[#This Row],[Std Nom]]="",Table1[[#This Row],[Std Read]]=""),0,Table1[[#This Row],[Std Nom]]-Table1[[#This Row],[Std Read]])</f>
        <v>0</v>
      </c>
      <c r="N417" s="1">
        <f>IF(Calculations!$F$5="ACCREDITED 17025 WITH UNCERTAINTIES",$N$10,0)</f>
        <v>0</v>
      </c>
      <c r="O417" s="1" t="str">
        <f>IFERROR(Table1[[#This Row],[Std Nom]]-(_xlfn.XLOOKUP(Table1[[#This Row],[Manufacturer]]&amp;" "&amp;Table1[[#This Row],[Model]],Table13[MFR &amp; MDL],Table13[Tolerance % CW ],"")/100*Table1[[#This Row],[Std Nom]]),"")</f>
        <v/>
      </c>
      <c r="P417" s="1" t="str">
        <f>IFERROR(Table1[[#This Row],[Std Nom]]+(_xlfn.XLOOKUP(Table1[[#This Row],[Manufacturer]]&amp;" "&amp;Table1[[#This Row],[Model]],Table13[MFR &amp; MDL],Table13[Tolerance % CW ],"")/100*Table1[[#This Row],[Std Nom]]),"")</f>
        <v/>
      </c>
      <c r="Q417" s="1" t="e">
        <f>Table1[[#This Row],[High Tol]]-Table1[[#This Row],[Low Tol]]</f>
        <v>#VALUE!</v>
      </c>
      <c r="R417" s="1">
        <f>2*Table1[[#This Row],[Std Error]]</f>
        <v>0</v>
      </c>
      <c r="S417" s="1" t="str">
        <f>IF(Table1[[#This Row],[High Tol]]="","N/A",IFERROR(ABS(Table1[[#This Row],[Tol Span]]/Table1[[#This Row],[Error Span]]),"N/A"))</f>
        <v>N/A</v>
      </c>
      <c r="T417" s="1" t="str">
        <f>IF(OR(Table1[[#This Row],[Low Tol]]="",Table1[[#This Row],[High Tol]]=""),"Needs Analysis",IF(Table1[[#This Row],[Ratio]]&gt;=4,"Not Significant",IF(Table1[[#This Row],[Ratio]]&gt;=2,"Semi-Significant","Significant")))</f>
        <v>Needs Analysis</v>
      </c>
      <c r="W417" s="1">
        <f>IF(Table1[[#This Row],[Cal Type]]&lt;&gt;"ACCREDITED 17025 WITH UNCERTAINTIES",0,"")</f>
        <v>0</v>
      </c>
      <c r="X417" s="1" t="str">
        <f>IF(Table1[[#This Row],[DUT Read]]="","N/A",Table1[[#This Row],[Std Error]]+Table1[[#This Row],[DUT Read]]+Table1[[#This Row],[DUT Ucty]])</f>
        <v>N/A</v>
      </c>
      <c r="Y417" s="1" t="str">
        <f>IF(Table1[[#This Row],[Std Read]]="","N/A",Table1[[#This Row],[Std Read]]+Table1[[#This Row],[Std Ucty]])</f>
        <v>N/A</v>
      </c>
      <c r="Z4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7" s="1" t="str">
        <f>IF(Table1[[#This Row],[Spec Type]]="","N/A",Table1[[#This Row],[Spec Type]])</f>
        <v>±</v>
      </c>
      <c r="AC417" s="1" t="str">
        <f>IF(Table1[[#This Row],[Spec Type2]]="N/A","N/A",IF(AND(Table1[[#This Row],[DUT Adj Read]]&gt;=Table1[[#This Row],[Low Tol]],Table1[[#This Row],[DUT Adj Read]]&lt;=Table1[[#This Row],[High Tol]]),"Pass","Fail"))</f>
        <v>Fail</v>
      </c>
      <c r="AD417" s="1" t="str">
        <f>IF(AND(Table1[[#This Row],[Spec Type2]]="N/A",Table1[[#This Row],[DUT Adj Read]]="N/A",Table1[[#This Row],[Std Adj Read]]="N/A"),"N/A",IF(Table1[[#This Row],[DUT Adj Read]]="N/A",IF(Table1[[#This Row],[Std Adj Read]]&gt;Table1[[#This Row],[Low Tol]],"Pass","Fail"),IF(Table1[[#This Row],[DUT Adj Read]]&gt;Table1[[#This Row],[Low Tol]],"Pass","Fail")))</f>
        <v>Pass</v>
      </c>
      <c r="AE417" s="1" t="str">
        <f>IF(AND(Table1[[#This Row],[Spec Type2]]="N/A",Table1[[#This Row],[DUT Adj Read]]="N/A",Table1[[#This Row],[Std Adj Read]]="N/A"),"N/A",IF(Table1[[#This Row],[DUT Adj Read]]="N/A",IF(Table1[[#This Row],[Std Adj Read]]&lt;Table1[[#This Row],[High Tol]],"Pass","Fail"),IF(Table1[[#This Row],[DUT Adj Read]]&lt;Table1[[#This Row],[High Tol]],"Pass","Fail")))</f>
        <v>Fail</v>
      </c>
      <c r="AF417" s="1" t="str">
        <f>IF(AND(Table1[[#This Row],[Spec Type2]]="N/A",Table1[[#This Row],[DUT Adj Read]]="N/A",Table1[[#This Row],[Std Adj Read]]="N/A"),"N/A",IF(Table1[[#This Row],[DUT Adj Read]]="N/A",IF(Table1[[#This Row],[Std Adj Read]]&gt;=Table1[[#This Row],[Low Tol]],"Pass","Fail"),IF(Table1[[#This Row],[DUT Adj Read]]&gt;=Table1[[#This Row],[Low Tol]],"Pass","Fail")))</f>
        <v>Pass</v>
      </c>
      <c r="AG417" s="1" t="str">
        <f>IF(AND(Table1[[#This Row],[Spec Type2]]="N/A",Table1[[#This Row],[DUT Adj Read]]="N/A",Table1[[#This Row],[Std Adj Read]]="N/A"),"N/A",IF(Table1[[#This Row],[DUT Adj Read]]="N/A",IF(Table1[[#This Row],[Std Adj Read]]&lt;=Table1[[#This Row],[High Tol]],"Pass","Fail"),IF(Table1[[#This Row],[DUT Adj Read]]&lt;=Table1[[#This Row],[High Tol]],"Pass","Fail")))</f>
        <v>Fail</v>
      </c>
      <c r="AH4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7" s="1" t="b">
        <v>0</v>
      </c>
      <c r="AN417" s="1" t="b">
        <v>0</v>
      </c>
      <c r="AO417" s="1" t="b">
        <v>0</v>
      </c>
    </row>
    <row r="418" spans="1:41" x14ac:dyDescent="0.25">
      <c r="A418" s="10"/>
      <c r="B418" s="10"/>
      <c r="C418" s="10"/>
      <c r="D418" s="10"/>
      <c r="E418" s="10"/>
      <c r="F418" s="10"/>
      <c r="G418" s="10"/>
      <c r="H418" s="10"/>
      <c r="I418" s="1" t="str">
        <f t="shared" si="18"/>
        <v/>
      </c>
      <c r="J418" s="1" t="s">
        <v>35</v>
      </c>
      <c r="K418" s="1" t="str">
        <f t="shared" si="19"/>
        <v/>
      </c>
      <c r="L418" s="1" t="str">
        <f t="shared" si="20"/>
        <v/>
      </c>
      <c r="M418" s="1">
        <f>IF(OR(Table1[[#This Row],[Std Nom]]="",Table1[[#This Row],[Std Read]]=""),0,Table1[[#This Row],[Std Nom]]-Table1[[#This Row],[Std Read]])</f>
        <v>0</v>
      </c>
      <c r="N418" s="1">
        <f>IF(Calculations!$F$5="ACCREDITED 17025 WITH UNCERTAINTIES",$N$10,0)</f>
        <v>0</v>
      </c>
      <c r="O418" s="1" t="str">
        <f>IFERROR(Table1[[#This Row],[Std Nom]]-(_xlfn.XLOOKUP(Table1[[#This Row],[Manufacturer]]&amp;" "&amp;Table1[[#This Row],[Model]],Table13[MFR &amp; MDL],Table13[Tolerance % CW ],"")/100*Table1[[#This Row],[Std Nom]]),"")</f>
        <v/>
      </c>
      <c r="P418" s="1" t="str">
        <f>IFERROR(Table1[[#This Row],[Std Nom]]+(_xlfn.XLOOKUP(Table1[[#This Row],[Manufacturer]]&amp;" "&amp;Table1[[#This Row],[Model]],Table13[MFR &amp; MDL],Table13[Tolerance % CW ],"")/100*Table1[[#This Row],[Std Nom]]),"")</f>
        <v/>
      </c>
      <c r="Q418" s="1" t="e">
        <f>Table1[[#This Row],[High Tol]]-Table1[[#This Row],[Low Tol]]</f>
        <v>#VALUE!</v>
      </c>
      <c r="R418" s="1">
        <f>2*Table1[[#This Row],[Std Error]]</f>
        <v>0</v>
      </c>
      <c r="S418" s="1" t="str">
        <f>IF(Table1[[#This Row],[High Tol]]="","N/A",IFERROR(ABS(Table1[[#This Row],[Tol Span]]/Table1[[#This Row],[Error Span]]),"N/A"))</f>
        <v>N/A</v>
      </c>
      <c r="T418" s="1" t="str">
        <f>IF(OR(Table1[[#This Row],[Low Tol]]="",Table1[[#This Row],[High Tol]]=""),"Needs Analysis",IF(Table1[[#This Row],[Ratio]]&gt;=4,"Not Significant",IF(Table1[[#This Row],[Ratio]]&gt;=2,"Semi-Significant","Significant")))</f>
        <v>Needs Analysis</v>
      </c>
      <c r="W418" s="1">
        <f>IF(Table1[[#This Row],[Cal Type]]&lt;&gt;"ACCREDITED 17025 WITH UNCERTAINTIES",0,"")</f>
        <v>0</v>
      </c>
      <c r="X418" s="1" t="str">
        <f>IF(Table1[[#This Row],[DUT Read]]="","N/A",Table1[[#This Row],[Std Error]]+Table1[[#This Row],[DUT Read]]+Table1[[#This Row],[DUT Ucty]])</f>
        <v>N/A</v>
      </c>
      <c r="Y418" s="1" t="str">
        <f>IF(Table1[[#This Row],[Std Read]]="","N/A",Table1[[#This Row],[Std Read]]+Table1[[#This Row],[Std Ucty]])</f>
        <v>N/A</v>
      </c>
      <c r="Z4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8" s="1" t="str">
        <f>IF(Table1[[#This Row],[Spec Type]]="","N/A",Table1[[#This Row],[Spec Type]])</f>
        <v>±</v>
      </c>
      <c r="AC418" s="1" t="str">
        <f>IF(Table1[[#This Row],[Spec Type2]]="N/A","N/A",IF(AND(Table1[[#This Row],[DUT Adj Read]]&gt;=Table1[[#This Row],[Low Tol]],Table1[[#This Row],[DUT Adj Read]]&lt;=Table1[[#This Row],[High Tol]]),"Pass","Fail"))</f>
        <v>Fail</v>
      </c>
      <c r="AD418" s="1" t="str">
        <f>IF(AND(Table1[[#This Row],[Spec Type2]]="N/A",Table1[[#This Row],[DUT Adj Read]]="N/A",Table1[[#This Row],[Std Adj Read]]="N/A"),"N/A",IF(Table1[[#This Row],[DUT Adj Read]]="N/A",IF(Table1[[#This Row],[Std Adj Read]]&gt;Table1[[#This Row],[Low Tol]],"Pass","Fail"),IF(Table1[[#This Row],[DUT Adj Read]]&gt;Table1[[#This Row],[Low Tol]],"Pass","Fail")))</f>
        <v>Pass</v>
      </c>
      <c r="AE418" s="1" t="str">
        <f>IF(AND(Table1[[#This Row],[Spec Type2]]="N/A",Table1[[#This Row],[DUT Adj Read]]="N/A",Table1[[#This Row],[Std Adj Read]]="N/A"),"N/A",IF(Table1[[#This Row],[DUT Adj Read]]="N/A",IF(Table1[[#This Row],[Std Adj Read]]&lt;Table1[[#This Row],[High Tol]],"Pass","Fail"),IF(Table1[[#This Row],[DUT Adj Read]]&lt;Table1[[#This Row],[High Tol]],"Pass","Fail")))</f>
        <v>Fail</v>
      </c>
      <c r="AF418" s="1" t="str">
        <f>IF(AND(Table1[[#This Row],[Spec Type2]]="N/A",Table1[[#This Row],[DUT Adj Read]]="N/A",Table1[[#This Row],[Std Adj Read]]="N/A"),"N/A",IF(Table1[[#This Row],[DUT Adj Read]]="N/A",IF(Table1[[#This Row],[Std Adj Read]]&gt;=Table1[[#This Row],[Low Tol]],"Pass","Fail"),IF(Table1[[#This Row],[DUT Adj Read]]&gt;=Table1[[#This Row],[Low Tol]],"Pass","Fail")))</f>
        <v>Pass</v>
      </c>
      <c r="AG418" s="1" t="str">
        <f>IF(AND(Table1[[#This Row],[Spec Type2]]="N/A",Table1[[#This Row],[DUT Adj Read]]="N/A",Table1[[#This Row],[Std Adj Read]]="N/A"),"N/A",IF(Table1[[#This Row],[DUT Adj Read]]="N/A",IF(Table1[[#This Row],[Std Adj Read]]&lt;=Table1[[#This Row],[High Tol]],"Pass","Fail"),IF(Table1[[#This Row],[DUT Adj Read]]&lt;=Table1[[#This Row],[High Tol]],"Pass","Fail")))</f>
        <v>Fail</v>
      </c>
      <c r="AH4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8" s="1" t="b">
        <v>0</v>
      </c>
      <c r="AN418" s="1" t="b">
        <v>0</v>
      </c>
      <c r="AO418" s="1" t="b">
        <v>0</v>
      </c>
    </row>
    <row r="419" spans="1:41" x14ac:dyDescent="0.25">
      <c r="A419" s="10"/>
      <c r="B419" s="10"/>
      <c r="C419" s="10"/>
      <c r="D419" s="10"/>
      <c r="E419" s="10"/>
      <c r="F419" s="10"/>
      <c r="G419" s="10"/>
      <c r="H419" s="10"/>
      <c r="I419" s="1" t="str">
        <f t="shared" si="18"/>
        <v/>
      </c>
      <c r="J419" s="1" t="s">
        <v>35</v>
      </c>
      <c r="K419" s="1" t="str">
        <f t="shared" si="19"/>
        <v/>
      </c>
      <c r="L419" s="1" t="str">
        <f t="shared" si="20"/>
        <v/>
      </c>
      <c r="M419" s="1">
        <f>IF(OR(Table1[[#This Row],[Std Nom]]="",Table1[[#This Row],[Std Read]]=""),0,Table1[[#This Row],[Std Nom]]-Table1[[#This Row],[Std Read]])</f>
        <v>0</v>
      </c>
      <c r="N419" s="1">
        <f>IF(Calculations!$F$5="ACCREDITED 17025 WITH UNCERTAINTIES",$N$10,0)</f>
        <v>0</v>
      </c>
      <c r="O419" s="1" t="str">
        <f>IFERROR(Table1[[#This Row],[Std Nom]]-(_xlfn.XLOOKUP(Table1[[#This Row],[Manufacturer]]&amp;" "&amp;Table1[[#This Row],[Model]],Table13[MFR &amp; MDL],Table13[Tolerance % CW ],"")/100*Table1[[#This Row],[Std Nom]]),"")</f>
        <v/>
      </c>
      <c r="P419" s="1" t="str">
        <f>IFERROR(Table1[[#This Row],[Std Nom]]+(_xlfn.XLOOKUP(Table1[[#This Row],[Manufacturer]]&amp;" "&amp;Table1[[#This Row],[Model]],Table13[MFR &amp; MDL],Table13[Tolerance % CW ],"")/100*Table1[[#This Row],[Std Nom]]),"")</f>
        <v/>
      </c>
      <c r="Q419" s="1" t="e">
        <f>Table1[[#This Row],[High Tol]]-Table1[[#This Row],[Low Tol]]</f>
        <v>#VALUE!</v>
      </c>
      <c r="R419" s="1">
        <f>2*Table1[[#This Row],[Std Error]]</f>
        <v>0</v>
      </c>
      <c r="S419" s="1" t="str">
        <f>IF(Table1[[#This Row],[High Tol]]="","N/A",IFERROR(ABS(Table1[[#This Row],[Tol Span]]/Table1[[#This Row],[Error Span]]),"N/A"))</f>
        <v>N/A</v>
      </c>
      <c r="T419" s="1" t="str">
        <f>IF(OR(Table1[[#This Row],[Low Tol]]="",Table1[[#This Row],[High Tol]]=""),"Needs Analysis",IF(Table1[[#This Row],[Ratio]]&gt;=4,"Not Significant",IF(Table1[[#This Row],[Ratio]]&gt;=2,"Semi-Significant","Significant")))</f>
        <v>Needs Analysis</v>
      </c>
      <c r="W419" s="1">
        <f>IF(Table1[[#This Row],[Cal Type]]&lt;&gt;"ACCREDITED 17025 WITH UNCERTAINTIES",0,"")</f>
        <v>0</v>
      </c>
      <c r="X419" s="1" t="str">
        <f>IF(Table1[[#This Row],[DUT Read]]="","N/A",Table1[[#This Row],[Std Error]]+Table1[[#This Row],[DUT Read]]+Table1[[#This Row],[DUT Ucty]])</f>
        <v>N/A</v>
      </c>
      <c r="Y419" s="1" t="str">
        <f>IF(Table1[[#This Row],[Std Read]]="","N/A",Table1[[#This Row],[Std Read]]+Table1[[#This Row],[Std Ucty]])</f>
        <v>N/A</v>
      </c>
      <c r="Z4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9" s="1" t="str">
        <f>IF(Table1[[#This Row],[Spec Type]]="","N/A",Table1[[#This Row],[Spec Type]])</f>
        <v>±</v>
      </c>
      <c r="AC419" s="1" t="str">
        <f>IF(Table1[[#This Row],[Spec Type2]]="N/A","N/A",IF(AND(Table1[[#This Row],[DUT Adj Read]]&gt;=Table1[[#This Row],[Low Tol]],Table1[[#This Row],[DUT Adj Read]]&lt;=Table1[[#This Row],[High Tol]]),"Pass","Fail"))</f>
        <v>Fail</v>
      </c>
      <c r="AD419" s="1" t="str">
        <f>IF(AND(Table1[[#This Row],[Spec Type2]]="N/A",Table1[[#This Row],[DUT Adj Read]]="N/A",Table1[[#This Row],[Std Adj Read]]="N/A"),"N/A",IF(Table1[[#This Row],[DUT Adj Read]]="N/A",IF(Table1[[#This Row],[Std Adj Read]]&gt;Table1[[#This Row],[Low Tol]],"Pass","Fail"),IF(Table1[[#This Row],[DUT Adj Read]]&gt;Table1[[#This Row],[Low Tol]],"Pass","Fail")))</f>
        <v>Pass</v>
      </c>
      <c r="AE419" s="1" t="str">
        <f>IF(AND(Table1[[#This Row],[Spec Type2]]="N/A",Table1[[#This Row],[DUT Adj Read]]="N/A",Table1[[#This Row],[Std Adj Read]]="N/A"),"N/A",IF(Table1[[#This Row],[DUT Adj Read]]="N/A",IF(Table1[[#This Row],[Std Adj Read]]&lt;Table1[[#This Row],[High Tol]],"Pass","Fail"),IF(Table1[[#This Row],[DUT Adj Read]]&lt;Table1[[#This Row],[High Tol]],"Pass","Fail")))</f>
        <v>Fail</v>
      </c>
      <c r="AF419" s="1" t="str">
        <f>IF(AND(Table1[[#This Row],[Spec Type2]]="N/A",Table1[[#This Row],[DUT Adj Read]]="N/A",Table1[[#This Row],[Std Adj Read]]="N/A"),"N/A",IF(Table1[[#This Row],[DUT Adj Read]]="N/A",IF(Table1[[#This Row],[Std Adj Read]]&gt;=Table1[[#This Row],[Low Tol]],"Pass","Fail"),IF(Table1[[#This Row],[DUT Adj Read]]&gt;=Table1[[#This Row],[Low Tol]],"Pass","Fail")))</f>
        <v>Pass</v>
      </c>
      <c r="AG419" s="1" t="str">
        <f>IF(AND(Table1[[#This Row],[Spec Type2]]="N/A",Table1[[#This Row],[DUT Adj Read]]="N/A",Table1[[#This Row],[Std Adj Read]]="N/A"),"N/A",IF(Table1[[#This Row],[DUT Adj Read]]="N/A",IF(Table1[[#This Row],[Std Adj Read]]&lt;=Table1[[#This Row],[High Tol]],"Pass","Fail"),IF(Table1[[#This Row],[DUT Adj Read]]&lt;=Table1[[#This Row],[High Tol]],"Pass","Fail")))</f>
        <v>Fail</v>
      </c>
      <c r="AH4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9" s="1" t="b">
        <v>0</v>
      </c>
      <c r="AN419" s="1" t="b">
        <v>0</v>
      </c>
      <c r="AO419" s="1" t="b">
        <v>0</v>
      </c>
    </row>
    <row r="420" spans="1:41" x14ac:dyDescent="0.25">
      <c r="A420" s="10"/>
      <c r="B420" s="10"/>
      <c r="C420" s="10"/>
      <c r="D420" s="10"/>
      <c r="E420" s="10"/>
      <c r="F420" s="10"/>
      <c r="G420" s="10"/>
      <c r="H420" s="10"/>
      <c r="I420" s="1" t="str">
        <f t="shared" si="18"/>
        <v/>
      </c>
      <c r="J420" s="1" t="s">
        <v>35</v>
      </c>
      <c r="K420" s="1" t="str">
        <f t="shared" si="19"/>
        <v/>
      </c>
      <c r="L420" s="1" t="str">
        <f t="shared" si="20"/>
        <v/>
      </c>
      <c r="M420" s="1">
        <f>IF(OR(Table1[[#This Row],[Std Nom]]="",Table1[[#This Row],[Std Read]]=""),0,Table1[[#This Row],[Std Nom]]-Table1[[#This Row],[Std Read]])</f>
        <v>0</v>
      </c>
      <c r="N420" s="1">
        <f>IF(Calculations!$F$5="ACCREDITED 17025 WITH UNCERTAINTIES",$N$10,0)</f>
        <v>0</v>
      </c>
      <c r="O420" s="1" t="str">
        <f>IFERROR(Table1[[#This Row],[Std Nom]]-(_xlfn.XLOOKUP(Table1[[#This Row],[Manufacturer]]&amp;" "&amp;Table1[[#This Row],[Model]],Table13[MFR &amp; MDL],Table13[Tolerance % CW ],"")/100*Table1[[#This Row],[Std Nom]]),"")</f>
        <v/>
      </c>
      <c r="P420" s="1" t="str">
        <f>IFERROR(Table1[[#This Row],[Std Nom]]+(_xlfn.XLOOKUP(Table1[[#This Row],[Manufacturer]]&amp;" "&amp;Table1[[#This Row],[Model]],Table13[MFR &amp; MDL],Table13[Tolerance % CW ],"")/100*Table1[[#This Row],[Std Nom]]),"")</f>
        <v/>
      </c>
      <c r="Q420" s="1" t="e">
        <f>Table1[[#This Row],[High Tol]]-Table1[[#This Row],[Low Tol]]</f>
        <v>#VALUE!</v>
      </c>
      <c r="R420" s="1">
        <f>2*Table1[[#This Row],[Std Error]]</f>
        <v>0</v>
      </c>
      <c r="S420" s="1" t="str">
        <f>IF(Table1[[#This Row],[High Tol]]="","N/A",IFERROR(ABS(Table1[[#This Row],[Tol Span]]/Table1[[#This Row],[Error Span]]),"N/A"))</f>
        <v>N/A</v>
      </c>
      <c r="T420" s="1" t="str">
        <f>IF(OR(Table1[[#This Row],[Low Tol]]="",Table1[[#This Row],[High Tol]]=""),"Needs Analysis",IF(Table1[[#This Row],[Ratio]]&gt;=4,"Not Significant",IF(Table1[[#This Row],[Ratio]]&gt;=2,"Semi-Significant","Significant")))</f>
        <v>Needs Analysis</v>
      </c>
      <c r="W420" s="1">
        <f>IF(Table1[[#This Row],[Cal Type]]&lt;&gt;"ACCREDITED 17025 WITH UNCERTAINTIES",0,"")</f>
        <v>0</v>
      </c>
      <c r="X420" s="1" t="str">
        <f>IF(Table1[[#This Row],[DUT Read]]="","N/A",Table1[[#This Row],[Std Error]]+Table1[[#This Row],[DUT Read]]+Table1[[#This Row],[DUT Ucty]])</f>
        <v>N/A</v>
      </c>
      <c r="Y420" s="1" t="str">
        <f>IF(Table1[[#This Row],[Std Read]]="","N/A",Table1[[#This Row],[Std Read]]+Table1[[#This Row],[Std Ucty]])</f>
        <v>N/A</v>
      </c>
      <c r="Z4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0" s="1" t="str">
        <f>IF(Table1[[#This Row],[Spec Type]]="","N/A",Table1[[#This Row],[Spec Type]])</f>
        <v>±</v>
      </c>
      <c r="AC420" s="1" t="str">
        <f>IF(Table1[[#This Row],[Spec Type2]]="N/A","N/A",IF(AND(Table1[[#This Row],[DUT Adj Read]]&gt;=Table1[[#This Row],[Low Tol]],Table1[[#This Row],[DUT Adj Read]]&lt;=Table1[[#This Row],[High Tol]]),"Pass","Fail"))</f>
        <v>Fail</v>
      </c>
      <c r="AD420" s="1" t="str">
        <f>IF(AND(Table1[[#This Row],[Spec Type2]]="N/A",Table1[[#This Row],[DUT Adj Read]]="N/A",Table1[[#This Row],[Std Adj Read]]="N/A"),"N/A",IF(Table1[[#This Row],[DUT Adj Read]]="N/A",IF(Table1[[#This Row],[Std Adj Read]]&gt;Table1[[#This Row],[Low Tol]],"Pass","Fail"),IF(Table1[[#This Row],[DUT Adj Read]]&gt;Table1[[#This Row],[Low Tol]],"Pass","Fail")))</f>
        <v>Pass</v>
      </c>
      <c r="AE420" s="1" t="str">
        <f>IF(AND(Table1[[#This Row],[Spec Type2]]="N/A",Table1[[#This Row],[DUT Adj Read]]="N/A",Table1[[#This Row],[Std Adj Read]]="N/A"),"N/A",IF(Table1[[#This Row],[DUT Adj Read]]="N/A",IF(Table1[[#This Row],[Std Adj Read]]&lt;Table1[[#This Row],[High Tol]],"Pass","Fail"),IF(Table1[[#This Row],[DUT Adj Read]]&lt;Table1[[#This Row],[High Tol]],"Pass","Fail")))</f>
        <v>Fail</v>
      </c>
      <c r="AF420" s="1" t="str">
        <f>IF(AND(Table1[[#This Row],[Spec Type2]]="N/A",Table1[[#This Row],[DUT Adj Read]]="N/A",Table1[[#This Row],[Std Adj Read]]="N/A"),"N/A",IF(Table1[[#This Row],[DUT Adj Read]]="N/A",IF(Table1[[#This Row],[Std Adj Read]]&gt;=Table1[[#This Row],[Low Tol]],"Pass","Fail"),IF(Table1[[#This Row],[DUT Adj Read]]&gt;=Table1[[#This Row],[Low Tol]],"Pass","Fail")))</f>
        <v>Pass</v>
      </c>
      <c r="AG420" s="1" t="str">
        <f>IF(AND(Table1[[#This Row],[Spec Type2]]="N/A",Table1[[#This Row],[DUT Adj Read]]="N/A",Table1[[#This Row],[Std Adj Read]]="N/A"),"N/A",IF(Table1[[#This Row],[DUT Adj Read]]="N/A",IF(Table1[[#This Row],[Std Adj Read]]&lt;=Table1[[#This Row],[High Tol]],"Pass","Fail"),IF(Table1[[#This Row],[DUT Adj Read]]&lt;=Table1[[#This Row],[High Tol]],"Pass","Fail")))</f>
        <v>Fail</v>
      </c>
      <c r="AH4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0" s="1" t="b">
        <v>0</v>
      </c>
      <c r="AN420" s="1" t="b">
        <v>0</v>
      </c>
      <c r="AO420" s="1" t="b">
        <v>0</v>
      </c>
    </row>
    <row r="421" spans="1:41" x14ac:dyDescent="0.25">
      <c r="A421" s="10"/>
      <c r="B421" s="10"/>
      <c r="C421" s="10"/>
      <c r="D421" s="10"/>
      <c r="E421" s="10"/>
      <c r="F421" s="10"/>
      <c r="G421" s="10"/>
      <c r="H421" s="10"/>
      <c r="I421" s="1" t="str">
        <f t="shared" si="18"/>
        <v/>
      </c>
      <c r="J421" s="1" t="s">
        <v>35</v>
      </c>
      <c r="K421" s="1" t="str">
        <f t="shared" si="19"/>
        <v/>
      </c>
      <c r="L421" s="1" t="str">
        <f t="shared" si="20"/>
        <v/>
      </c>
      <c r="M421" s="1">
        <f>IF(OR(Table1[[#This Row],[Std Nom]]="",Table1[[#This Row],[Std Read]]=""),0,Table1[[#This Row],[Std Nom]]-Table1[[#This Row],[Std Read]])</f>
        <v>0</v>
      </c>
      <c r="N421" s="1">
        <f>IF(Calculations!$F$5="ACCREDITED 17025 WITH UNCERTAINTIES",$N$10,0)</f>
        <v>0</v>
      </c>
      <c r="O421" s="1" t="str">
        <f>IFERROR(Table1[[#This Row],[Std Nom]]-(_xlfn.XLOOKUP(Table1[[#This Row],[Manufacturer]]&amp;" "&amp;Table1[[#This Row],[Model]],Table13[MFR &amp; MDL],Table13[Tolerance % CW ],"")/100*Table1[[#This Row],[Std Nom]]),"")</f>
        <v/>
      </c>
      <c r="P421" s="1" t="str">
        <f>IFERROR(Table1[[#This Row],[Std Nom]]+(_xlfn.XLOOKUP(Table1[[#This Row],[Manufacturer]]&amp;" "&amp;Table1[[#This Row],[Model]],Table13[MFR &amp; MDL],Table13[Tolerance % CW ],"")/100*Table1[[#This Row],[Std Nom]]),"")</f>
        <v/>
      </c>
      <c r="Q421" s="1" t="e">
        <f>Table1[[#This Row],[High Tol]]-Table1[[#This Row],[Low Tol]]</f>
        <v>#VALUE!</v>
      </c>
      <c r="R421" s="1">
        <f>2*Table1[[#This Row],[Std Error]]</f>
        <v>0</v>
      </c>
      <c r="S421" s="1" t="str">
        <f>IF(Table1[[#This Row],[High Tol]]="","N/A",IFERROR(ABS(Table1[[#This Row],[Tol Span]]/Table1[[#This Row],[Error Span]]),"N/A"))</f>
        <v>N/A</v>
      </c>
      <c r="T421" s="1" t="str">
        <f>IF(OR(Table1[[#This Row],[Low Tol]]="",Table1[[#This Row],[High Tol]]=""),"Needs Analysis",IF(Table1[[#This Row],[Ratio]]&gt;=4,"Not Significant",IF(Table1[[#This Row],[Ratio]]&gt;=2,"Semi-Significant","Significant")))</f>
        <v>Needs Analysis</v>
      </c>
      <c r="W421" s="1">
        <f>IF(Table1[[#This Row],[Cal Type]]&lt;&gt;"ACCREDITED 17025 WITH UNCERTAINTIES",0,"")</f>
        <v>0</v>
      </c>
      <c r="X421" s="1" t="str">
        <f>IF(Table1[[#This Row],[DUT Read]]="","N/A",Table1[[#This Row],[Std Error]]+Table1[[#This Row],[DUT Read]]+Table1[[#This Row],[DUT Ucty]])</f>
        <v>N/A</v>
      </c>
      <c r="Y421" s="1" t="str">
        <f>IF(Table1[[#This Row],[Std Read]]="","N/A",Table1[[#This Row],[Std Read]]+Table1[[#This Row],[Std Ucty]])</f>
        <v>N/A</v>
      </c>
      <c r="Z4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1" s="1" t="str">
        <f>IF(Table1[[#This Row],[Spec Type]]="","N/A",Table1[[#This Row],[Spec Type]])</f>
        <v>±</v>
      </c>
      <c r="AC421" s="1" t="str">
        <f>IF(Table1[[#This Row],[Spec Type2]]="N/A","N/A",IF(AND(Table1[[#This Row],[DUT Adj Read]]&gt;=Table1[[#This Row],[Low Tol]],Table1[[#This Row],[DUT Adj Read]]&lt;=Table1[[#This Row],[High Tol]]),"Pass","Fail"))</f>
        <v>Fail</v>
      </c>
      <c r="AD421" s="1" t="str">
        <f>IF(AND(Table1[[#This Row],[Spec Type2]]="N/A",Table1[[#This Row],[DUT Adj Read]]="N/A",Table1[[#This Row],[Std Adj Read]]="N/A"),"N/A",IF(Table1[[#This Row],[DUT Adj Read]]="N/A",IF(Table1[[#This Row],[Std Adj Read]]&gt;Table1[[#This Row],[Low Tol]],"Pass","Fail"),IF(Table1[[#This Row],[DUT Adj Read]]&gt;Table1[[#This Row],[Low Tol]],"Pass","Fail")))</f>
        <v>Pass</v>
      </c>
      <c r="AE421" s="1" t="str">
        <f>IF(AND(Table1[[#This Row],[Spec Type2]]="N/A",Table1[[#This Row],[DUT Adj Read]]="N/A",Table1[[#This Row],[Std Adj Read]]="N/A"),"N/A",IF(Table1[[#This Row],[DUT Adj Read]]="N/A",IF(Table1[[#This Row],[Std Adj Read]]&lt;Table1[[#This Row],[High Tol]],"Pass","Fail"),IF(Table1[[#This Row],[DUT Adj Read]]&lt;Table1[[#This Row],[High Tol]],"Pass","Fail")))</f>
        <v>Fail</v>
      </c>
      <c r="AF421" s="1" t="str">
        <f>IF(AND(Table1[[#This Row],[Spec Type2]]="N/A",Table1[[#This Row],[DUT Adj Read]]="N/A",Table1[[#This Row],[Std Adj Read]]="N/A"),"N/A",IF(Table1[[#This Row],[DUT Adj Read]]="N/A",IF(Table1[[#This Row],[Std Adj Read]]&gt;=Table1[[#This Row],[Low Tol]],"Pass","Fail"),IF(Table1[[#This Row],[DUT Adj Read]]&gt;=Table1[[#This Row],[Low Tol]],"Pass","Fail")))</f>
        <v>Pass</v>
      </c>
      <c r="AG421" s="1" t="str">
        <f>IF(AND(Table1[[#This Row],[Spec Type2]]="N/A",Table1[[#This Row],[DUT Adj Read]]="N/A",Table1[[#This Row],[Std Adj Read]]="N/A"),"N/A",IF(Table1[[#This Row],[DUT Adj Read]]="N/A",IF(Table1[[#This Row],[Std Adj Read]]&lt;=Table1[[#This Row],[High Tol]],"Pass","Fail"),IF(Table1[[#This Row],[DUT Adj Read]]&lt;=Table1[[#This Row],[High Tol]],"Pass","Fail")))</f>
        <v>Fail</v>
      </c>
      <c r="AH4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1" s="1" t="b">
        <v>0</v>
      </c>
      <c r="AN421" s="1" t="b">
        <v>0</v>
      </c>
      <c r="AO421" s="1" t="b">
        <v>0</v>
      </c>
    </row>
    <row r="422" spans="1:41" x14ac:dyDescent="0.25">
      <c r="A422" s="10"/>
      <c r="B422" s="10"/>
      <c r="C422" s="10"/>
      <c r="D422" s="10"/>
      <c r="E422" s="10"/>
      <c r="F422" s="10"/>
      <c r="G422" s="10"/>
      <c r="H422" s="10"/>
      <c r="I422" s="1" t="str">
        <f t="shared" si="18"/>
        <v/>
      </c>
      <c r="J422" s="1" t="s">
        <v>35</v>
      </c>
      <c r="K422" s="1" t="str">
        <f t="shared" si="19"/>
        <v/>
      </c>
      <c r="L422" s="1" t="str">
        <f t="shared" si="20"/>
        <v/>
      </c>
      <c r="M422" s="1">
        <f>IF(OR(Table1[[#This Row],[Std Nom]]="",Table1[[#This Row],[Std Read]]=""),0,Table1[[#This Row],[Std Nom]]-Table1[[#This Row],[Std Read]])</f>
        <v>0</v>
      </c>
      <c r="N422" s="1">
        <f>IF(Calculations!$F$5="ACCREDITED 17025 WITH UNCERTAINTIES",$N$10,0)</f>
        <v>0</v>
      </c>
      <c r="O422" s="1" t="str">
        <f>IFERROR(Table1[[#This Row],[Std Nom]]-(_xlfn.XLOOKUP(Table1[[#This Row],[Manufacturer]]&amp;" "&amp;Table1[[#This Row],[Model]],Table13[MFR &amp; MDL],Table13[Tolerance % CW ],"")/100*Table1[[#This Row],[Std Nom]]),"")</f>
        <v/>
      </c>
      <c r="P422" s="1" t="str">
        <f>IFERROR(Table1[[#This Row],[Std Nom]]+(_xlfn.XLOOKUP(Table1[[#This Row],[Manufacturer]]&amp;" "&amp;Table1[[#This Row],[Model]],Table13[MFR &amp; MDL],Table13[Tolerance % CW ],"")/100*Table1[[#This Row],[Std Nom]]),"")</f>
        <v/>
      </c>
      <c r="Q422" s="1" t="e">
        <f>Table1[[#This Row],[High Tol]]-Table1[[#This Row],[Low Tol]]</f>
        <v>#VALUE!</v>
      </c>
      <c r="R422" s="1">
        <f>2*Table1[[#This Row],[Std Error]]</f>
        <v>0</v>
      </c>
      <c r="S422" s="1" t="str">
        <f>IF(Table1[[#This Row],[High Tol]]="","N/A",IFERROR(ABS(Table1[[#This Row],[Tol Span]]/Table1[[#This Row],[Error Span]]),"N/A"))</f>
        <v>N/A</v>
      </c>
      <c r="T422" s="1" t="str">
        <f>IF(OR(Table1[[#This Row],[Low Tol]]="",Table1[[#This Row],[High Tol]]=""),"Needs Analysis",IF(Table1[[#This Row],[Ratio]]&gt;=4,"Not Significant",IF(Table1[[#This Row],[Ratio]]&gt;=2,"Semi-Significant","Significant")))</f>
        <v>Needs Analysis</v>
      </c>
      <c r="W422" s="1">
        <f>IF(Table1[[#This Row],[Cal Type]]&lt;&gt;"ACCREDITED 17025 WITH UNCERTAINTIES",0,"")</f>
        <v>0</v>
      </c>
      <c r="X422" s="1" t="str">
        <f>IF(Table1[[#This Row],[DUT Read]]="","N/A",Table1[[#This Row],[Std Error]]+Table1[[#This Row],[DUT Read]]+Table1[[#This Row],[DUT Ucty]])</f>
        <v>N/A</v>
      </c>
      <c r="Y422" s="1" t="str">
        <f>IF(Table1[[#This Row],[Std Read]]="","N/A",Table1[[#This Row],[Std Read]]+Table1[[#This Row],[Std Ucty]])</f>
        <v>N/A</v>
      </c>
      <c r="Z4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2" s="1" t="str">
        <f>IF(Table1[[#This Row],[Spec Type]]="","N/A",Table1[[#This Row],[Spec Type]])</f>
        <v>±</v>
      </c>
      <c r="AC422" s="1" t="str">
        <f>IF(Table1[[#This Row],[Spec Type2]]="N/A","N/A",IF(AND(Table1[[#This Row],[DUT Adj Read]]&gt;=Table1[[#This Row],[Low Tol]],Table1[[#This Row],[DUT Adj Read]]&lt;=Table1[[#This Row],[High Tol]]),"Pass","Fail"))</f>
        <v>Fail</v>
      </c>
      <c r="AD422" s="1" t="str">
        <f>IF(AND(Table1[[#This Row],[Spec Type2]]="N/A",Table1[[#This Row],[DUT Adj Read]]="N/A",Table1[[#This Row],[Std Adj Read]]="N/A"),"N/A",IF(Table1[[#This Row],[DUT Adj Read]]="N/A",IF(Table1[[#This Row],[Std Adj Read]]&gt;Table1[[#This Row],[Low Tol]],"Pass","Fail"),IF(Table1[[#This Row],[DUT Adj Read]]&gt;Table1[[#This Row],[Low Tol]],"Pass","Fail")))</f>
        <v>Pass</v>
      </c>
      <c r="AE422" s="1" t="str">
        <f>IF(AND(Table1[[#This Row],[Spec Type2]]="N/A",Table1[[#This Row],[DUT Adj Read]]="N/A",Table1[[#This Row],[Std Adj Read]]="N/A"),"N/A",IF(Table1[[#This Row],[DUT Adj Read]]="N/A",IF(Table1[[#This Row],[Std Adj Read]]&lt;Table1[[#This Row],[High Tol]],"Pass","Fail"),IF(Table1[[#This Row],[DUT Adj Read]]&lt;Table1[[#This Row],[High Tol]],"Pass","Fail")))</f>
        <v>Fail</v>
      </c>
      <c r="AF422" s="1" t="str">
        <f>IF(AND(Table1[[#This Row],[Spec Type2]]="N/A",Table1[[#This Row],[DUT Adj Read]]="N/A",Table1[[#This Row],[Std Adj Read]]="N/A"),"N/A",IF(Table1[[#This Row],[DUT Adj Read]]="N/A",IF(Table1[[#This Row],[Std Adj Read]]&gt;=Table1[[#This Row],[Low Tol]],"Pass","Fail"),IF(Table1[[#This Row],[DUT Adj Read]]&gt;=Table1[[#This Row],[Low Tol]],"Pass","Fail")))</f>
        <v>Pass</v>
      </c>
      <c r="AG422" s="1" t="str">
        <f>IF(AND(Table1[[#This Row],[Spec Type2]]="N/A",Table1[[#This Row],[DUT Adj Read]]="N/A",Table1[[#This Row],[Std Adj Read]]="N/A"),"N/A",IF(Table1[[#This Row],[DUT Adj Read]]="N/A",IF(Table1[[#This Row],[Std Adj Read]]&lt;=Table1[[#This Row],[High Tol]],"Pass","Fail"),IF(Table1[[#This Row],[DUT Adj Read]]&lt;=Table1[[#This Row],[High Tol]],"Pass","Fail")))</f>
        <v>Fail</v>
      </c>
      <c r="AH4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2" s="1" t="b">
        <v>0</v>
      </c>
      <c r="AN422" s="1" t="b">
        <v>0</v>
      </c>
      <c r="AO422" s="1" t="b">
        <v>0</v>
      </c>
    </row>
    <row r="423" spans="1:41" x14ac:dyDescent="0.25">
      <c r="A423" s="10"/>
      <c r="B423" s="10"/>
      <c r="C423" s="10"/>
      <c r="D423" s="10"/>
      <c r="E423" s="10"/>
      <c r="F423" s="10"/>
      <c r="G423" s="10"/>
      <c r="H423" s="10"/>
      <c r="I423" s="1" t="str">
        <f t="shared" si="18"/>
        <v/>
      </c>
      <c r="J423" s="1" t="s">
        <v>35</v>
      </c>
      <c r="K423" s="1" t="str">
        <f t="shared" si="19"/>
        <v/>
      </c>
      <c r="L423" s="1" t="str">
        <f t="shared" si="20"/>
        <v/>
      </c>
      <c r="M423" s="1">
        <f>IF(OR(Table1[[#This Row],[Std Nom]]="",Table1[[#This Row],[Std Read]]=""),0,Table1[[#This Row],[Std Nom]]-Table1[[#This Row],[Std Read]])</f>
        <v>0</v>
      </c>
      <c r="N423" s="1">
        <f>IF(Calculations!$F$5="ACCREDITED 17025 WITH UNCERTAINTIES",$N$10,0)</f>
        <v>0</v>
      </c>
      <c r="O423" s="1" t="str">
        <f>IFERROR(Table1[[#This Row],[Std Nom]]-(_xlfn.XLOOKUP(Table1[[#This Row],[Manufacturer]]&amp;" "&amp;Table1[[#This Row],[Model]],Table13[MFR &amp; MDL],Table13[Tolerance % CW ],"")/100*Table1[[#This Row],[Std Nom]]),"")</f>
        <v/>
      </c>
      <c r="P423" s="1" t="str">
        <f>IFERROR(Table1[[#This Row],[Std Nom]]+(_xlfn.XLOOKUP(Table1[[#This Row],[Manufacturer]]&amp;" "&amp;Table1[[#This Row],[Model]],Table13[MFR &amp; MDL],Table13[Tolerance % CW ],"")/100*Table1[[#This Row],[Std Nom]]),"")</f>
        <v/>
      </c>
      <c r="Q423" s="1" t="e">
        <f>Table1[[#This Row],[High Tol]]-Table1[[#This Row],[Low Tol]]</f>
        <v>#VALUE!</v>
      </c>
      <c r="R423" s="1">
        <f>2*Table1[[#This Row],[Std Error]]</f>
        <v>0</v>
      </c>
      <c r="S423" s="1" t="str">
        <f>IF(Table1[[#This Row],[High Tol]]="","N/A",IFERROR(ABS(Table1[[#This Row],[Tol Span]]/Table1[[#This Row],[Error Span]]),"N/A"))</f>
        <v>N/A</v>
      </c>
      <c r="T423" s="1" t="str">
        <f>IF(OR(Table1[[#This Row],[Low Tol]]="",Table1[[#This Row],[High Tol]]=""),"Needs Analysis",IF(Table1[[#This Row],[Ratio]]&gt;=4,"Not Significant",IF(Table1[[#This Row],[Ratio]]&gt;=2,"Semi-Significant","Significant")))</f>
        <v>Needs Analysis</v>
      </c>
      <c r="W423" s="1">
        <f>IF(Table1[[#This Row],[Cal Type]]&lt;&gt;"ACCREDITED 17025 WITH UNCERTAINTIES",0,"")</f>
        <v>0</v>
      </c>
      <c r="X423" s="1" t="str">
        <f>IF(Table1[[#This Row],[DUT Read]]="","N/A",Table1[[#This Row],[Std Error]]+Table1[[#This Row],[DUT Read]]+Table1[[#This Row],[DUT Ucty]])</f>
        <v>N/A</v>
      </c>
      <c r="Y423" s="1" t="str">
        <f>IF(Table1[[#This Row],[Std Read]]="","N/A",Table1[[#This Row],[Std Read]]+Table1[[#This Row],[Std Ucty]])</f>
        <v>N/A</v>
      </c>
      <c r="Z4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3" s="1" t="str">
        <f>IF(Table1[[#This Row],[Spec Type]]="","N/A",Table1[[#This Row],[Spec Type]])</f>
        <v>±</v>
      </c>
      <c r="AC423" s="1" t="str">
        <f>IF(Table1[[#This Row],[Spec Type2]]="N/A","N/A",IF(AND(Table1[[#This Row],[DUT Adj Read]]&gt;=Table1[[#This Row],[Low Tol]],Table1[[#This Row],[DUT Adj Read]]&lt;=Table1[[#This Row],[High Tol]]),"Pass","Fail"))</f>
        <v>Fail</v>
      </c>
      <c r="AD423" s="1" t="str">
        <f>IF(AND(Table1[[#This Row],[Spec Type2]]="N/A",Table1[[#This Row],[DUT Adj Read]]="N/A",Table1[[#This Row],[Std Adj Read]]="N/A"),"N/A",IF(Table1[[#This Row],[DUT Adj Read]]="N/A",IF(Table1[[#This Row],[Std Adj Read]]&gt;Table1[[#This Row],[Low Tol]],"Pass","Fail"),IF(Table1[[#This Row],[DUT Adj Read]]&gt;Table1[[#This Row],[Low Tol]],"Pass","Fail")))</f>
        <v>Pass</v>
      </c>
      <c r="AE423" s="1" t="str">
        <f>IF(AND(Table1[[#This Row],[Spec Type2]]="N/A",Table1[[#This Row],[DUT Adj Read]]="N/A",Table1[[#This Row],[Std Adj Read]]="N/A"),"N/A",IF(Table1[[#This Row],[DUT Adj Read]]="N/A",IF(Table1[[#This Row],[Std Adj Read]]&lt;Table1[[#This Row],[High Tol]],"Pass","Fail"),IF(Table1[[#This Row],[DUT Adj Read]]&lt;Table1[[#This Row],[High Tol]],"Pass","Fail")))</f>
        <v>Fail</v>
      </c>
      <c r="AF423" s="1" t="str">
        <f>IF(AND(Table1[[#This Row],[Spec Type2]]="N/A",Table1[[#This Row],[DUT Adj Read]]="N/A",Table1[[#This Row],[Std Adj Read]]="N/A"),"N/A",IF(Table1[[#This Row],[DUT Adj Read]]="N/A",IF(Table1[[#This Row],[Std Adj Read]]&gt;=Table1[[#This Row],[Low Tol]],"Pass","Fail"),IF(Table1[[#This Row],[DUT Adj Read]]&gt;=Table1[[#This Row],[Low Tol]],"Pass","Fail")))</f>
        <v>Pass</v>
      </c>
      <c r="AG423" s="1" t="str">
        <f>IF(AND(Table1[[#This Row],[Spec Type2]]="N/A",Table1[[#This Row],[DUT Adj Read]]="N/A",Table1[[#This Row],[Std Adj Read]]="N/A"),"N/A",IF(Table1[[#This Row],[DUT Adj Read]]="N/A",IF(Table1[[#This Row],[Std Adj Read]]&lt;=Table1[[#This Row],[High Tol]],"Pass","Fail"),IF(Table1[[#This Row],[DUT Adj Read]]&lt;=Table1[[#This Row],[High Tol]],"Pass","Fail")))</f>
        <v>Fail</v>
      </c>
      <c r="AH4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3" s="1" t="b">
        <v>0</v>
      </c>
      <c r="AN423" s="1" t="b">
        <v>0</v>
      </c>
      <c r="AO423" s="1" t="b">
        <v>0</v>
      </c>
    </row>
    <row r="424" spans="1:41" x14ac:dyDescent="0.25">
      <c r="A424" s="10"/>
      <c r="B424" s="10"/>
      <c r="C424" s="10"/>
      <c r="D424" s="10"/>
      <c r="E424" s="10"/>
      <c r="F424" s="10"/>
      <c r="G424" s="10"/>
      <c r="H424" s="10"/>
      <c r="I424" s="1" t="str">
        <f t="shared" si="18"/>
        <v/>
      </c>
      <c r="J424" s="1" t="s">
        <v>35</v>
      </c>
      <c r="K424" s="1" t="str">
        <f t="shared" si="19"/>
        <v/>
      </c>
      <c r="L424" s="1" t="str">
        <f t="shared" si="20"/>
        <v/>
      </c>
      <c r="M424" s="1">
        <f>IF(OR(Table1[[#This Row],[Std Nom]]="",Table1[[#This Row],[Std Read]]=""),0,Table1[[#This Row],[Std Nom]]-Table1[[#This Row],[Std Read]])</f>
        <v>0</v>
      </c>
      <c r="N424" s="1">
        <f>IF(Calculations!$F$5="ACCREDITED 17025 WITH UNCERTAINTIES",$N$10,0)</f>
        <v>0</v>
      </c>
      <c r="O424" s="1" t="str">
        <f>IFERROR(Table1[[#This Row],[Std Nom]]-(_xlfn.XLOOKUP(Table1[[#This Row],[Manufacturer]]&amp;" "&amp;Table1[[#This Row],[Model]],Table13[MFR &amp; MDL],Table13[Tolerance % CW ],"")/100*Table1[[#This Row],[Std Nom]]),"")</f>
        <v/>
      </c>
      <c r="P424" s="1" t="str">
        <f>IFERROR(Table1[[#This Row],[Std Nom]]+(_xlfn.XLOOKUP(Table1[[#This Row],[Manufacturer]]&amp;" "&amp;Table1[[#This Row],[Model]],Table13[MFR &amp; MDL],Table13[Tolerance % CW ],"")/100*Table1[[#This Row],[Std Nom]]),"")</f>
        <v/>
      </c>
      <c r="Q424" s="1" t="e">
        <f>Table1[[#This Row],[High Tol]]-Table1[[#This Row],[Low Tol]]</f>
        <v>#VALUE!</v>
      </c>
      <c r="R424" s="1">
        <f>2*Table1[[#This Row],[Std Error]]</f>
        <v>0</v>
      </c>
      <c r="S424" s="1" t="str">
        <f>IF(Table1[[#This Row],[High Tol]]="","N/A",IFERROR(ABS(Table1[[#This Row],[Tol Span]]/Table1[[#This Row],[Error Span]]),"N/A"))</f>
        <v>N/A</v>
      </c>
      <c r="T424" s="1" t="str">
        <f>IF(OR(Table1[[#This Row],[Low Tol]]="",Table1[[#This Row],[High Tol]]=""),"Needs Analysis",IF(Table1[[#This Row],[Ratio]]&gt;=4,"Not Significant",IF(Table1[[#This Row],[Ratio]]&gt;=2,"Semi-Significant","Significant")))</f>
        <v>Needs Analysis</v>
      </c>
      <c r="W424" s="1">
        <f>IF(Table1[[#This Row],[Cal Type]]&lt;&gt;"ACCREDITED 17025 WITH UNCERTAINTIES",0,"")</f>
        <v>0</v>
      </c>
      <c r="X424" s="1" t="str">
        <f>IF(Table1[[#This Row],[DUT Read]]="","N/A",Table1[[#This Row],[Std Error]]+Table1[[#This Row],[DUT Read]]+Table1[[#This Row],[DUT Ucty]])</f>
        <v>N/A</v>
      </c>
      <c r="Y424" s="1" t="str">
        <f>IF(Table1[[#This Row],[Std Read]]="","N/A",Table1[[#This Row],[Std Read]]+Table1[[#This Row],[Std Ucty]])</f>
        <v>N/A</v>
      </c>
      <c r="Z4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4" s="1" t="str">
        <f>IF(Table1[[#This Row],[Spec Type]]="","N/A",Table1[[#This Row],[Spec Type]])</f>
        <v>±</v>
      </c>
      <c r="AC424" s="1" t="str">
        <f>IF(Table1[[#This Row],[Spec Type2]]="N/A","N/A",IF(AND(Table1[[#This Row],[DUT Adj Read]]&gt;=Table1[[#This Row],[Low Tol]],Table1[[#This Row],[DUT Adj Read]]&lt;=Table1[[#This Row],[High Tol]]),"Pass","Fail"))</f>
        <v>Fail</v>
      </c>
      <c r="AD424" s="1" t="str">
        <f>IF(AND(Table1[[#This Row],[Spec Type2]]="N/A",Table1[[#This Row],[DUT Adj Read]]="N/A",Table1[[#This Row],[Std Adj Read]]="N/A"),"N/A",IF(Table1[[#This Row],[DUT Adj Read]]="N/A",IF(Table1[[#This Row],[Std Adj Read]]&gt;Table1[[#This Row],[Low Tol]],"Pass","Fail"),IF(Table1[[#This Row],[DUT Adj Read]]&gt;Table1[[#This Row],[Low Tol]],"Pass","Fail")))</f>
        <v>Pass</v>
      </c>
      <c r="AE424" s="1" t="str">
        <f>IF(AND(Table1[[#This Row],[Spec Type2]]="N/A",Table1[[#This Row],[DUT Adj Read]]="N/A",Table1[[#This Row],[Std Adj Read]]="N/A"),"N/A",IF(Table1[[#This Row],[DUT Adj Read]]="N/A",IF(Table1[[#This Row],[Std Adj Read]]&lt;Table1[[#This Row],[High Tol]],"Pass","Fail"),IF(Table1[[#This Row],[DUT Adj Read]]&lt;Table1[[#This Row],[High Tol]],"Pass","Fail")))</f>
        <v>Fail</v>
      </c>
      <c r="AF424" s="1" t="str">
        <f>IF(AND(Table1[[#This Row],[Spec Type2]]="N/A",Table1[[#This Row],[DUT Adj Read]]="N/A",Table1[[#This Row],[Std Adj Read]]="N/A"),"N/A",IF(Table1[[#This Row],[DUT Adj Read]]="N/A",IF(Table1[[#This Row],[Std Adj Read]]&gt;=Table1[[#This Row],[Low Tol]],"Pass","Fail"),IF(Table1[[#This Row],[DUT Adj Read]]&gt;=Table1[[#This Row],[Low Tol]],"Pass","Fail")))</f>
        <v>Pass</v>
      </c>
      <c r="AG424" s="1" t="str">
        <f>IF(AND(Table1[[#This Row],[Spec Type2]]="N/A",Table1[[#This Row],[DUT Adj Read]]="N/A",Table1[[#This Row],[Std Adj Read]]="N/A"),"N/A",IF(Table1[[#This Row],[DUT Adj Read]]="N/A",IF(Table1[[#This Row],[Std Adj Read]]&lt;=Table1[[#This Row],[High Tol]],"Pass","Fail"),IF(Table1[[#This Row],[DUT Adj Read]]&lt;=Table1[[#This Row],[High Tol]],"Pass","Fail")))</f>
        <v>Fail</v>
      </c>
      <c r="AH4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4" s="1" t="b">
        <v>0</v>
      </c>
      <c r="AN424" s="1" t="b">
        <v>0</v>
      </c>
      <c r="AO424" s="1" t="b">
        <v>0</v>
      </c>
    </row>
    <row r="425" spans="1:41" x14ac:dyDescent="0.25">
      <c r="A425" s="10"/>
      <c r="B425" s="10"/>
      <c r="C425" s="10"/>
      <c r="D425" s="10"/>
      <c r="E425" s="10"/>
      <c r="F425" s="10"/>
      <c r="G425" s="10"/>
      <c r="H425" s="10"/>
      <c r="I425" s="1" t="str">
        <f t="shared" si="18"/>
        <v/>
      </c>
      <c r="J425" s="1" t="s">
        <v>35</v>
      </c>
      <c r="K425" s="1" t="str">
        <f t="shared" si="19"/>
        <v/>
      </c>
      <c r="L425" s="1" t="str">
        <f t="shared" si="20"/>
        <v/>
      </c>
      <c r="M425" s="1">
        <f>IF(OR(Table1[[#This Row],[Std Nom]]="",Table1[[#This Row],[Std Read]]=""),0,Table1[[#This Row],[Std Nom]]-Table1[[#This Row],[Std Read]])</f>
        <v>0</v>
      </c>
      <c r="N425" s="1">
        <f>IF(Calculations!$F$5="ACCREDITED 17025 WITH UNCERTAINTIES",$N$10,0)</f>
        <v>0</v>
      </c>
      <c r="O425" s="1" t="str">
        <f>IFERROR(Table1[[#This Row],[Std Nom]]-(_xlfn.XLOOKUP(Table1[[#This Row],[Manufacturer]]&amp;" "&amp;Table1[[#This Row],[Model]],Table13[MFR &amp; MDL],Table13[Tolerance % CW ],"")/100*Table1[[#This Row],[Std Nom]]),"")</f>
        <v/>
      </c>
      <c r="P425" s="1" t="str">
        <f>IFERROR(Table1[[#This Row],[Std Nom]]+(_xlfn.XLOOKUP(Table1[[#This Row],[Manufacturer]]&amp;" "&amp;Table1[[#This Row],[Model]],Table13[MFR &amp; MDL],Table13[Tolerance % CW ],"")/100*Table1[[#This Row],[Std Nom]]),"")</f>
        <v/>
      </c>
      <c r="Q425" s="1" t="e">
        <f>Table1[[#This Row],[High Tol]]-Table1[[#This Row],[Low Tol]]</f>
        <v>#VALUE!</v>
      </c>
      <c r="R425" s="1">
        <f>2*Table1[[#This Row],[Std Error]]</f>
        <v>0</v>
      </c>
      <c r="S425" s="1" t="str">
        <f>IF(Table1[[#This Row],[High Tol]]="","N/A",IFERROR(ABS(Table1[[#This Row],[Tol Span]]/Table1[[#This Row],[Error Span]]),"N/A"))</f>
        <v>N/A</v>
      </c>
      <c r="T425" s="1" t="str">
        <f>IF(OR(Table1[[#This Row],[Low Tol]]="",Table1[[#This Row],[High Tol]]=""),"Needs Analysis",IF(Table1[[#This Row],[Ratio]]&gt;=4,"Not Significant",IF(Table1[[#This Row],[Ratio]]&gt;=2,"Semi-Significant","Significant")))</f>
        <v>Needs Analysis</v>
      </c>
      <c r="W425" s="1">
        <f>IF(Table1[[#This Row],[Cal Type]]&lt;&gt;"ACCREDITED 17025 WITH UNCERTAINTIES",0,"")</f>
        <v>0</v>
      </c>
      <c r="X425" s="1" t="str">
        <f>IF(Table1[[#This Row],[DUT Read]]="","N/A",Table1[[#This Row],[Std Error]]+Table1[[#This Row],[DUT Read]]+Table1[[#This Row],[DUT Ucty]])</f>
        <v>N/A</v>
      </c>
      <c r="Y425" s="1" t="str">
        <f>IF(Table1[[#This Row],[Std Read]]="","N/A",Table1[[#This Row],[Std Read]]+Table1[[#This Row],[Std Ucty]])</f>
        <v>N/A</v>
      </c>
      <c r="Z4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5" s="1" t="str">
        <f>IF(Table1[[#This Row],[Spec Type]]="","N/A",Table1[[#This Row],[Spec Type]])</f>
        <v>±</v>
      </c>
      <c r="AC425" s="1" t="str">
        <f>IF(Table1[[#This Row],[Spec Type2]]="N/A","N/A",IF(AND(Table1[[#This Row],[DUT Adj Read]]&gt;=Table1[[#This Row],[Low Tol]],Table1[[#This Row],[DUT Adj Read]]&lt;=Table1[[#This Row],[High Tol]]),"Pass","Fail"))</f>
        <v>Fail</v>
      </c>
      <c r="AD425" s="1" t="str">
        <f>IF(AND(Table1[[#This Row],[Spec Type2]]="N/A",Table1[[#This Row],[DUT Adj Read]]="N/A",Table1[[#This Row],[Std Adj Read]]="N/A"),"N/A",IF(Table1[[#This Row],[DUT Adj Read]]="N/A",IF(Table1[[#This Row],[Std Adj Read]]&gt;Table1[[#This Row],[Low Tol]],"Pass","Fail"),IF(Table1[[#This Row],[DUT Adj Read]]&gt;Table1[[#This Row],[Low Tol]],"Pass","Fail")))</f>
        <v>Pass</v>
      </c>
      <c r="AE425" s="1" t="str">
        <f>IF(AND(Table1[[#This Row],[Spec Type2]]="N/A",Table1[[#This Row],[DUT Adj Read]]="N/A",Table1[[#This Row],[Std Adj Read]]="N/A"),"N/A",IF(Table1[[#This Row],[DUT Adj Read]]="N/A",IF(Table1[[#This Row],[Std Adj Read]]&lt;Table1[[#This Row],[High Tol]],"Pass","Fail"),IF(Table1[[#This Row],[DUT Adj Read]]&lt;Table1[[#This Row],[High Tol]],"Pass","Fail")))</f>
        <v>Fail</v>
      </c>
      <c r="AF425" s="1" t="str">
        <f>IF(AND(Table1[[#This Row],[Spec Type2]]="N/A",Table1[[#This Row],[DUT Adj Read]]="N/A",Table1[[#This Row],[Std Adj Read]]="N/A"),"N/A",IF(Table1[[#This Row],[DUT Adj Read]]="N/A",IF(Table1[[#This Row],[Std Adj Read]]&gt;=Table1[[#This Row],[Low Tol]],"Pass","Fail"),IF(Table1[[#This Row],[DUT Adj Read]]&gt;=Table1[[#This Row],[Low Tol]],"Pass","Fail")))</f>
        <v>Pass</v>
      </c>
      <c r="AG425" s="1" t="str">
        <f>IF(AND(Table1[[#This Row],[Spec Type2]]="N/A",Table1[[#This Row],[DUT Adj Read]]="N/A",Table1[[#This Row],[Std Adj Read]]="N/A"),"N/A",IF(Table1[[#This Row],[DUT Adj Read]]="N/A",IF(Table1[[#This Row],[Std Adj Read]]&lt;=Table1[[#This Row],[High Tol]],"Pass","Fail"),IF(Table1[[#This Row],[DUT Adj Read]]&lt;=Table1[[#This Row],[High Tol]],"Pass","Fail")))</f>
        <v>Fail</v>
      </c>
      <c r="AH4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5" s="1" t="b">
        <v>0</v>
      </c>
      <c r="AN425" s="1" t="b">
        <v>0</v>
      </c>
      <c r="AO425" s="1" t="b">
        <v>0</v>
      </c>
    </row>
    <row r="426" spans="1:41" x14ac:dyDescent="0.25">
      <c r="A426" s="10"/>
      <c r="B426" s="10"/>
      <c r="C426" s="10"/>
      <c r="D426" s="10"/>
      <c r="E426" s="10"/>
      <c r="F426" s="10"/>
      <c r="G426" s="10"/>
      <c r="H426" s="10"/>
      <c r="I426" s="1" t="str">
        <f t="shared" si="18"/>
        <v/>
      </c>
      <c r="J426" s="1" t="s">
        <v>35</v>
      </c>
      <c r="K426" s="1" t="str">
        <f t="shared" si="19"/>
        <v/>
      </c>
      <c r="L426" s="1" t="str">
        <f t="shared" si="20"/>
        <v/>
      </c>
      <c r="M426" s="1">
        <f>IF(OR(Table1[[#This Row],[Std Nom]]="",Table1[[#This Row],[Std Read]]=""),0,Table1[[#This Row],[Std Nom]]-Table1[[#This Row],[Std Read]])</f>
        <v>0</v>
      </c>
      <c r="N426" s="1">
        <f>IF(Calculations!$F$5="ACCREDITED 17025 WITH UNCERTAINTIES",$N$10,0)</f>
        <v>0</v>
      </c>
      <c r="O426" s="1" t="str">
        <f>IFERROR(Table1[[#This Row],[Std Nom]]-(_xlfn.XLOOKUP(Table1[[#This Row],[Manufacturer]]&amp;" "&amp;Table1[[#This Row],[Model]],Table13[MFR &amp; MDL],Table13[Tolerance % CW ],"")/100*Table1[[#This Row],[Std Nom]]),"")</f>
        <v/>
      </c>
      <c r="P426" s="1" t="str">
        <f>IFERROR(Table1[[#This Row],[Std Nom]]+(_xlfn.XLOOKUP(Table1[[#This Row],[Manufacturer]]&amp;" "&amp;Table1[[#This Row],[Model]],Table13[MFR &amp; MDL],Table13[Tolerance % CW ],"")/100*Table1[[#This Row],[Std Nom]]),"")</f>
        <v/>
      </c>
      <c r="Q426" s="1" t="e">
        <f>Table1[[#This Row],[High Tol]]-Table1[[#This Row],[Low Tol]]</f>
        <v>#VALUE!</v>
      </c>
      <c r="R426" s="1">
        <f>2*Table1[[#This Row],[Std Error]]</f>
        <v>0</v>
      </c>
      <c r="S426" s="1" t="str">
        <f>IF(Table1[[#This Row],[High Tol]]="","N/A",IFERROR(ABS(Table1[[#This Row],[Tol Span]]/Table1[[#This Row],[Error Span]]),"N/A"))</f>
        <v>N/A</v>
      </c>
      <c r="T426" s="1" t="str">
        <f>IF(OR(Table1[[#This Row],[Low Tol]]="",Table1[[#This Row],[High Tol]]=""),"Needs Analysis",IF(Table1[[#This Row],[Ratio]]&gt;=4,"Not Significant",IF(Table1[[#This Row],[Ratio]]&gt;=2,"Semi-Significant","Significant")))</f>
        <v>Needs Analysis</v>
      </c>
      <c r="W426" s="1">
        <f>IF(Table1[[#This Row],[Cal Type]]&lt;&gt;"ACCREDITED 17025 WITH UNCERTAINTIES",0,"")</f>
        <v>0</v>
      </c>
      <c r="X426" s="1" t="str">
        <f>IF(Table1[[#This Row],[DUT Read]]="","N/A",Table1[[#This Row],[Std Error]]+Table1[[#This Row],[DUT Read]]+Table1[[#This Row],[DUT Ucty]])</f>
        <v>N/A</v>
      </c>
      <c r="Y426" s="1" t="str">
        <f>IF(Table1[[#This Row],[Std Read]]="","N/A",Table1[[#This Row],[Std Read]]+Table1[[#This Row],[Std Ucty]])</f>
        <v>N/A</v>
      </c>
      <c r="Z4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6" s="1" t="str">
        <f>IF(Table1[[#This Row],[Spec Type]]="","N/A",Table1[[#This Row],[Spec Type]])</f>
        <v>±</v>
      </c>
      <c r="AC426" s="1" t="str">
        <f>IF(Table1[[#This Row],[Spec Type2]]="N/A","N/A",IF(AND(Table1[[#This Row],[DUT Adj Read]]&gt;=Table1[[#This Row],[Low Tol]],Table1[[#This Row],[DUT Adj Read]]&lt;=Table1[[#This Row],[High Tol]]),"Pass","Fail"))</f>
        <v>Fail</v>
      </c>
      <c r="AD426" s="1" t="str">
        <f>IF(AND(Table1[[#This Row],[Spec Type2]]="N/A",Table1[[#This Row],[DUT Adj Read]]="N/A",Table1[[#This Row],[Std Adj Read]]="N/A"),"N/A",IF(Table1[[#This Row],[DUT Adj Read]]="N/A",IF(Table1[[#This Row],[Std Adj Read]]&gt;Table1[[#This Row],[Low Tol]],"Pass","Fail"),IF(Table1[[#This Row],[DUT Adj Read]]&gt;Table1[[#This Row],[Low Tol]],"Pass","Fail")))</f>
        <v>Pass</v>
      </c>
      <c r="AE426" s="1" t="str">
        <f>IF(AND(Table1[[#This Row],[Spec Type2]]="N/A",Table1[[#This Row],[DUT Adj Read]]="N/A",Table1[[#This Row],[Std Adj Read]]="N/A"),"N/A",IF(Table1[[#This Row],[DUT Adj Read]]="N/A",IF(Table1[[#This Row],[Std Adj Read]]&lt;Table1[[#This Row],[High Tol]],"Pass","Fail"),IF(Table1[[#This Row],[DUT Adj Read]]&lt;Table1[[#This Row],[High Tol]],"Pass","Fail")))</f>
        <v>Fail</v>
      </c>
      <c r="AF426" s="1" t="str">
        <f>IF(AND(Table1[[#This Row],[Spec Type2]]="N/A",Table1[[#This Row],[DUT Adj Read]]="N/A",Table1[[#This Row],[Std Adj Read]]="N/A"),"N/A",IF(Table1[[#This Row],[DUT Adj Read]]="N/A",IF(Table1[[#This Row],[Std Adj Read]]&gt;=Table1[[#This Row],[Low Tol]],"Pass","Fail"),IF(Table1[[#This Row],[DUT Adj Read]]&gt;=Table1[[#This Row],[Low Tol]],"Pass","Fail")))</f>
        <v>Pass</v>
      </c>
      <c r="AG426" s="1" t="str">
        <f>IF(AND(Table1[[#This Row],[Spec Type2]]="N/A",Table1[[#This Row],[DUT Adj Read]]="N/A",Table1[[#This Row],[Std Adj Read]]="N/A"),"N/A",IF(Table1[[#This Row],[DUT Adj Read]]="N/A",IF(Table1[[#This Row],[Std Adj Read]]&lt;=Table1[[#This Row],[High Tol]],"Pass","Fail"),IF(Table1[[#This Row],[DUT Adj Read]]&lt;=Table1[[#This Row],[High Tol]],"Pass","Fail")))</f>
        <v>Fail</v>
      </c>
      <c r="AH4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6" s="1" t="b">
        <v>0</v>
      </c>
      <c r="AN426" s="1" t="b">
        <v>0</v>
      </c>
      <c r="AO426" s="1" t="b">
        <v>0</v>
      </c>
    </row>
    <row r="427" spans="1:41" x14ac:dyDescent="0.25">
      <c r="A427" s="10"/>
      <c r="B427" s="10"/>
      <c r="C427" s="10"/>
      <c r="D427" s="10"/>
      <c r="E427" s="10"/>
      <c r="F427" s="10"/>
      <c r="G427" s="10"/>
      <c r="H427" s="10"/>
      <c r="I427" s="1" t="str">
        <f t="shared" si="18"/>
        <v/>
      </c>
      <c r="J427" s="1" t="s">
        <v>35</v>
      </c>
      <c r="K427" s="1" t="str">
        <f t="shared" si="19"/>
        <v/>
      </c>
      <c r="L427" s="1" t="str">
        <f t="shared" si="20"/>
        <v/>
      </c>
      <c r="M427" s="1">
        <f>IF(OR(Table1[[#This Row],[Std Nom]]="",Table1[[#This Row],[Std Read]]=""),0,Table1[[#This Row],[Std Nom]]-Table1[[#This Row],[Std Read]])</f>
        <v>0</v>
      </c>
      <c r="N427" s="1">
        <f>IF(Calculations!$F$5="ACCREDITED 17025 WITH UNCERTAINTIES",$N$10,0)</f>
        <v>0</v>
      </c>
      <c r="O427" s="1" t="str">
        <f>IFERROR(Table1[[#This Row],[Std Nom]]-(_xlfn.XLOOKUP(Table1[[#This Row],[Manufacturer]]&amp;" "&amp;Table1[[#This Row],[Model]],Table13[MFR &amp; MDL],Table13[Tolerance % CW ],"")/100*Table1[[#This Row],[Std Nom]]),"")</f>
        <v/>
      </c>
      <c r="P427" s="1" t="str">
        <f>IFERROR(Table1[[#This Row],[Std Nom]]+(_xlfn.XLOOKUP(Table1[[#This Row],[Manufacturer]]&amp;" "&amp;Table1[[#This Row],[Model]],Table13[MFR &amp; MDL],Table13[Tolerance % CW ],"")/100*Table1[[#This Row],[Std Nom]]),"")</f>
        <v/>
      </c>
      <c r="Q427" s="1" t="e">
        <f>Table1[[#This Row],[High Tol]]-Table1[[#This Row],[Low Tol]]</f>
        <v>#VALUE!</v>
      </c>
      <c r="R427" s="1">
        <f>2*Table1[[#This Row],[Std Error]]</f>
        <v>0</v>
      </c>
      <c r="S427" s="1" t="str">
        <f>IF(Table1[[#This Row],[High Tol]]="","N/A",IFERROR(ABS(Table1[[#This Row],[Tol Span]]/Table1[[#This Row],[Error Span]]),"N/A"))</f>
        <v>N/A</v>
      </c>
      <c r="T427" s="1" t="str">
        <f>IF(OR(Table1[[#This Row],[Low Tol]]="",Table1[[#This Row],[High Tol]]=""),"Needs Analysis",IF(Table1[[#This Row],[Ratio]]&gt;=4,"Not Significant",IF(Table1[[#This Row],[Ratio]]&gt;=2,"Semi-Significant","Significant")))</f>
        <v>Needs Analysis</v>
      </c>
      <c r="W427" s="1">
        <f>IF(Table1[[#This Row],[Cal Type]]&lt;&gt;"ACCREDITED 17025 WITH UNCERTAINTIES",0,"")</f>
        <v>0</v>
      </c>
      <c r="X427" s="1" t="str">
        <f>IF(Table1[[#This Row],[DUT Read]]="","N/A",Table1[[#This Row],[Std Error]]+Table1[[#This Row],[DUT Read]]+Table1[[#This Row],[DUT Ucty]])</f>
        <v>N/A</v>
      </c>
      <c r="Y427" s="1" t="str">
        <f>IF(Table1[[#This Row],[Std Read]]="","N/A",Table1[[#This Row],[Std Read]]+Table1[[#This Row],[Std Ucty]])</f>
        <v>N/A</v>
      </c>
      <c r="Z4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7" s="1" t="str">
        <f>IF(Table1[[#This Row],[Spec Type]]="","N/A",Table1[[#This Row],[Spec Type]])</f>
        <v>±</v>
      </c>
      <c r="AC427" s="1" t="str">
        <f>IF(Table1[[#This Row],[Spec Type2]]="N/A","N/A",IF(AND(Table1[[#This Row],[DUT Adj Read]]&gt;=Table1[[#This Row],[Low Tol]],Table1[[#This Row],[DUT Adj Read]]&lt;=Table1[[#This Row],[High Tol]]),"Pass","Fail"))</f>
        <v>Fail</v>
      </c>
      <c r="AD427" s="1" t="str">
        <f>IF(AND(Table1[[#This Row],[Spec Type2]]="N/A",Table1[[#This Row],[DUT Adj Read]]="N/A",Table1[[#This Row],[Std Adj Read]]="N/A"),"N/A",IF(Table1[[#This Row],[DUT Adj Read]]="N/A",IF(Table1[[#This Row],[Std Adj Read]]&gt;Table1[[#This Row],[Low Tol]],"Pass","Fail"),IF(Table1[[#This Row],[DUT Adj Read]]&gt;Table1[[#This Row],[Low Tol]],"Pass","Fail")))</f>
        <v>Pass</v>
      </c>
      <c r="AE427" s="1" t="str">
        <f>IF(AND(Table1[[#This Row],[Spec Type2]]="N/A",Table1[[#This Row],[DUT Adj Read]]="N/A",Table1[[#This Row],[Std Adj Read]]="N/A"),"N/A",IF(Table1[[#This Row],[DUT Adj Read]]="N/A",IF(Table1[[#This Row],[Std Adj Read]]&lt;Table1[[#This Row],[High Tol]],"Pass","Fail"),IF(Table1[[#This Row],[DUT Adj Read]]&lt;Table1[[#This Row],[High Tol]],"Pass","Fail")))</f>
        <v>Fail</v>
      </c>
      <c r="AF427" s="1" t="str">
        <f>IF(AND(Table1[[#This Row],[Spec Type2]]="N/A",Table1[[#This Row],[DUT Adj Read]]="N/A",Table1[[#This Row],[Std Adj Read]]="N/A"),"N/A",IF(Table1[[#This Row],[DUT Adj Read]]="N/A",IF(Table1[[#This Row],[Std Adj Read]]&gt;=Table1[[#This Row],[Low Tol]],"Pass","Fail"),IF(Table1[[#This Row],[DUT Adj Read]]&gt;=Table1[[#This Row],[Low Tol]],"Pass","Fail")))</f>
        <v>Pass</v>
      </c>
      <c r="AG427" s="1" t="str">
        <f>IF(AND(Table1[[#This Row],[Spec Type2]]="N/A",Table1[[#This Row],[DUT Adj Read]]="N/A",Table1[[#This Row],[Std Adj Read]]="N/A"),"N/A",IF(Table1[[#This Row],[DUT Adj Read]]="N/A",IF(Table1[[#This Row],[Std Adj Read]]&lt;=Table1[[#This Row],[High Tol]],"Pass","Fail"),IF(Table1[[#This Row],[DUT Adj Read]]&lt;=Table1[[#This Row],[High Tol]],"Pass","Fail")))</f>
        <v>Fail</v>
      </c>
      <c r="AH4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7" s="1" t="b">
        <v>0</v>
      </c>
      <c r="AN427" s="1" t="b">
        <v>0</v>
      </c>
      <c r="AO427" s="1" t="b">
        <v>0</v>
      </c>
    </row>
    <row r="428" spans="1:41" x14ac:dyDescent="0.25">
      <c r="A428" s="10"/>
      <c r="B428" s="10"/>
      <c r="C428" s="10"/>
      <c r="D428" s="10"/>
      <c r="E428" s="10"/>
      <c r="F428" s="10"/>
      <c r="G428" s="10"/>
      <c r="H428" s="10"/>
      <c r="I428" s="1" t="str">
        <f t="shared" si="18"/>
        <v/>
      </c>
      <c r="J428" s="1" t="s">
        <v>35</v>
      </c>
      <c r="K428" s="1" t="str">
        <f t="shared" si="19"/>
        <v/>
      </c>
      <c r="L428" s="1" t="str">
        <f t="shared" si="20"/>
        <v/>
      </c>
      <c r="M428" s="1">
        <f>IF(OR(Table1[[#This Row],[Std Nom]]="",Table1[[#This Row],[Std Read]]=""),0,Table1[[#This Row],[Std Nom]]-Table1[[#This Row],[Std Read]])</f>
        <v>0</v>
      </c>
      <c r="N428" s="1">
        <f>IF(Calculations!$F$5="ACCREDITED 17025 WITH UNCERTAINTIES",$N$10,0)</f>
        <v>0</v>
      </c>
      <c r="O428" s="1" t="str">
        <f>IFERROR(Table1[[#This Row],[Std Nom]]-(_xlfn.XLOOKUP(Table1[[#This Row],[Manufacturer]]&amp;" "&amp;Table1[[#This Row],[Model]],Table13[MFR &amp; MDL],Table13[Tolerance % CW ],"")/100*Table1[[#This Row],[Std Nom]]),"")</f>
        <v/>
      </c>
      <c r="P428" s="1" t="str">
        <f>IFERROR(Table1[[#This Row],[Std Nom]]+(_xlfn.XLOOKUP(Table1[[#This Row],[Manufacturer]]&amp;" "&amp;Table1[[#This Row],[Model]],Table13[MFR &amp; MDL],Table13[Tolerance % CW ],"")/100*Table1[[#This Row],[Std Nom]]),"")</f>
        <v/>
      </c>
      <c r="Q428" s="1" t="e">
        <f>Table1[[#This Row],[High Tol]]-Table1[[#This Row],[Low Tol]]</f>
        <v>#VALUE!</v>
      </c>
      <c r="R428" s="1">
        <f>2*Table1[[#This Row],[Std Error]]</f>
        <v>0</v>
      </c>
      <c r="S428" s="1" t="str">
        <f>IF(Table1[[#This Row],[High Tol]]="","N/A",IFERROR(ABS(Table1[[#This Row],[Tol Span]]/Table1[[#This Row],[Error Span]]),"N/A"))</f>
        <v>N/A</v>
      </c>
      <c r="T428" s="1" t="str">
        <f>IF(OR(Table1[[#This Row],[Low Tol]]="",Table1[[#This Row],[High Tol]]=""),"Needs Analysis",IF(Table1[[#This Row],[Ratio]]&gt;=4,"Not Significant",IF(Table1[[#This Row],[Ratio]]&gt;=2,"Semi-Significant","Significant")))</f>
        <v>Needs Analysis</v>
      </c>
      <c r="W428" s="1">
        <f>IF(Table1[[#This Row],[Cal Type]]&lt;&gt;"ACCREDITED 17025 WITH UNCERTAINTIES",0,"")</f>
        <v>0</v>
      </c>
      <c r="X428" s="1" t="str">
        <f>IF(Table1[[#This Row],[DUT Read]]="","N/A",Table1[[#This Row],[Std Error]]+Table1[[#This Row],[DUT Read]]+Table1[[#This Row],[DUT Ucty]])</f>
        <v>N/A</v>
      </c>
      <c r="Y428" s="1" t="str">
        <f>IF(Table1[[#This Row],[Std Read]]="","N/A",Table1[[#This Row],[Std Read]]+Table1[[#This Row],[Std Ucty]])</f>
        <v>N/A</v>
      </c>
      <c r="Z4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8" s="1" t="str">
        <f>IF(Table1[[#This Row],[Spec Type]]="","N/A",Table1[[#This Row],[Spec Type]])</f>
        <v>±</v>
      </c>
      <c r="AC428" s="1" t="str">
        <f>IF(Table1[[#This Row],[Spec Type2]]="N/A","N/A",IF(AND(Table1[[#This Row],[DUT Adj Read]]&gt;=Table1[[#This Row],[Low Tol]],Table1[[#This Row],[DUT Adj Read]]&lt;=Table1[[#This Row],[High Tol]]),"Pass","Fail"))</f>
        <v>Fail</v>
      </c>
      <c r="AD428" s="1" t="str">
        <f>IF(AND(Table1[[#This Row],[Spec Type2]]="N/A",Table1[[#This Row],[DUT Adj Read]]="N/A",Table1[[#This Row],[Std Adj Read]]="N/A"),"N/A",IF(Table1[[#This Row],[DUT Adj Read]]="N/A",IF(Table1[[#This Row],[Std Adj Read]]&gt;Table1[[#This Row],[Low Tol]],"Pass","Fail"),IF(Table1[[#This Row],[DUT Adj Read]]&gt;Table1[[#This Row],[Low Tol]],"Pass","Fail")))</f>
        <v>Pass</v>
      </c>
      <c r="AE428" s="1" t="str">
        <f>IF(AND(Table1[[#This Row],[Spec Type2]]="N/A",Table1[[#This Row],[DUT Adj Read]]="N/A",Table1[[#This Row],[Std Adj Read]]="N/A"),"N/A",IF(Table1[[#This Row],[DUT Adj Read]]="N/A",IF(Table1[[#This Row],[Std Adj Read]]&lt;Table1[[#This Row],[High Tol]],"Pass","Fail"),IF(Table1[[#This Row],[DUT Adj Read]]&lt;Table1[[#This Row],[High Tol]],"Pass","Fail")))</f>
        <v>Fail</v>
      </c>
      <c r="AF428" s="1" t="str">
        <f>IF(AND(Table1[[#This Row],[Spec Type2]]="N/A",Table1[[#This Row],[DUT Adj Read]]="N/A",Table1[[#This Row],[Std Adj Read]]="N/A"),"N/A",IF(Table1[[#This Row],[DUT Adj Read]]="N/A",IF(Table1[[#This Row],[Std Adj Read]]&gt;=Table1[[#This Row],[Low Tol]],"Pass","Fail"),IF(Table1[[#This Row],[DUT Adj Read]]&gt;=Table1[[#This Row],[Low Tol]],"Pass","Fail")))</f>
        <v>Pass</v>
      </c>
      <c r="AG428" s="1" t="str">
        <f>IF(AND(Table1[[#This Row],[Spec Type2]]="N/A",Table1[[#This Row],[DUT Adj Read]]="N/A",Table1[[#This Row],[Std Adj Read]]="N/A"),"N/A",IF(Table1[[#This Row],[DUT Adj Read]]="N/A",IF(Table1[[#This Row],[Std Adj Read]]&lt;=Table1[[#This Row],[High Tol]],"Pass","Fail"),IF(Table1[[#This Row],[DUT Adj Read]]&lt;=Table1[[#This Row],[High Tol]],"Pass","Fail")))</f>
        <v>Fail</v>
      </c>
      <c r="AH4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8" s="1" t="b">
        <v>0</v>
      </c>
      <c r="AN428" s="1" t="b">
        <v>0</v>
      </c>
      <c r="AO428" s="1" t="b">
        <v>0</v>
      </c>
    </row>
    <row r="429" spans="1:41" x14ac:dyDescent="0.25">
      <c r="A429" s="10"/>
      <c r="B429" s="10"/>
      <c r="C429" s="10"/>
      <c r="D429" s="10"/>
      <c r="E429" s="10"/>
      <c r="F429" s="10"/>
      <c r="G429" s="10"/>
      <c r="H429" s="10"/>
      <c r="I429" s="1" t="str">
        <f t="shared" si="18"/>
        <v/>
      </c>
      <c r="J429" s="1" t="s">
        <v>35</v>
      </c>
      <c r="K429" s="1" t="str">
        <f t="shared" si="19"/>
        <v/>
      </c>
      <c r="L429" s="1" t="str">
        <f t="shared" si="20"/>
        <v/>
      </c>
      <c r="M429" s="1">
        <f>IF(OR(Table1[[#This Row],[Std Nom]]="",Table1[[#This Row],[Std Read]]=""),0,Table1[[#This Row],[Std Nom]]-Table1[[#This Row],[Std Read]])</f>
        <v>0</v>
      </c>
      <c r="N429" s="1">
        <f>IF(Calculations!$F$5="ACCREDITED 17025 WITH UNCERTAINTIES",$N$10,0)</f>
        <v>0</v>
      </c>
      <c r="O429" s="1" t="str">
        <f>IFERROR(Table1[[#This Row],[Std Nom]]-(_xlfn.XLOOKUP(Table1[[#This Row],[Manufacturer]]&amp;" "&amp;Table1[[#This Row],[Model]],Table13[MFR &amp; MDL],Table13[Tolerance % CW ],"")/100*Table1[[#This Row],[Std Nom]]),"")</f>
        <v/>
      </c>
      <c r="P429" s="1" t="str">
        <f>IFERROR(Table1[[#This Row],[Std Nom]]+(_xlfn.XLOOKUP(Table1[[#This Row],[Manufacturer]]&amp;" "&amp;Table1[[#This Row],[Model]],Table13[MFR &amp; MDL],Table13[Tolerance % CW ],"")/100*Table1[[#This Row],[Std Nom]]),"")</f>
        <v/>
      </c>
      <c r="Q429" s="1" t="e">
        <f>Table1[[#This Row],[High Tol]]-Table1[[#This Row],[Low Tol]]</f>
        <v>#VALUE!</v>
      </c>
      <c r="R429" s="1">
        <f>2*Table1[[#This Row],[Std Error]]</f>
        <v>0</v>
      </c>
      <c r="S429" s="1" t="str">
        <f>IF(Table1[[#This Row],[High Tol]]="","N/A",IFERROR(ABS(Table1[[#This Row],[Tol Span]]/Table1[[#This Row],[Error Span]]),"N/A"))</f>
        <v>N/A</v>
      </c>
      <c r="T429" s="1" t="str">
        <f>IF(OR(Table1[[#This Row],[Low Tol]]="",Table1[[#This Row],[High Tol]]=""),"Needs Analysis",IF(Table1[[#This Row],[Ratio]]&gt;=4,"Not Significant",IF(Table1[[#This Row],[Ratio]]&gt;=2,"Semi-Significant","Significant")))</f>
        <v>Needs Analysis</v>
      </c>
      <c r="W429" s="1">
        <f>IF(Table1[[#This Row],[Cal Type]]&lt;&gt;"ACCREDITED 17025 WITH UNCERTAINTIES",0,"")</f>
        <v>0</v>
      </c>
      <c r="X429" s="1" t="str">
        <f>IF(Table1[[#This Row],[DUT Read]]="","N/A",Table1[[#This Row],[Std Error]]+Table1[[#This Row],[DUT Read]]+Table1[[#This Row],[DUT Ucty]])</f>
        <v>N/A</v>
      </c>
      <c r="Y429" s="1" t="str">
        <f>IF(Table1[[#This Row],[Std Read]]="","N/A",Table1[[#This Row],[Std Read]]+Table1[[#This Row],[Std Ucty]])</f>
        <v>N/A</v>
      </c>
      <c r="Z4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9" s="1" t="str">
        <f>IF(Table1[[#This Row],[Spec Type]]="","N/A",Table1[[#This Row],[Spec Type]])</f>
        <v>±</v>
      </c>
      <c r="AC429" s="1" t="str">
        <f>IF(Table1[[#This Row],[Spec Type2]]="N/A","N/A",IF(AND(Table1[[#This Row],[DUT Adj Read]]&gt;=Table1[[#This Row],[Low Tol]],Table1[[#This Row],[DUT Adj Read]]&lt;=Table1[[#This Row],[High Tol]]),"Pass","Fail"))</f>
        <v>Fail</v>
      </c>
      <c r="AD429" s="1" t="str">
        <f>IF(AND(Table1[[#This Row],[Spec Type2]]="N/A",Table1[[#This Row],[DUT Adj Read]]="N/A",Table1[[#This Row],[Std Adj Read]]="N/A"),"N/A",IF(Table1[[#This Row],[DUT Adj Read]]="N/A",IF(Table1[[#This Row],[Std Adj Read]]&gt;Table1[[#This Row],[Low Tol]],"Pass","Fail"),IF(Table1[[#This Row],[DUT Adj Read]]&gt;Table1[[#This Row],[Low Tol]],"Pass","Fail")))</f>
        <v>Pass</v>
      </c>
      <c r="AE429" s="1" t="str">
        <f>IF(AND(Table1[[#This Row],[Spec Type2]]="N/A",Table1[[#This Row],[DUT Adj Read]]="N/A",Table1[[#This Row],[Std Adj Read]]="N/A"),"N/A",IF(Table1[[#This Row],[DUT Adj Read]]="N/A",IF(Table1[[#This Row],[Std Adj Read]]&lt;Table1[[#This Row],[High Tol]],"Pass","Fail"),IF(Table1[[#This Row],[DUT Adj Read]]&lt;Table1[[#This Row],[High Tol]],"Pass","Fail")))</f>
        <v>Fail</v>
      </c>
      <c r="AF429" s="1" t="str">
        <f>IF(AND(Table1[[#This Row],[Spec Type2]]="N/A",Table1[[#This Row],[DUT Adj Read]]="N/A",Table1[[#This Row],[Std Adj Read]]="N/A"),"N/A",IF(Table1[[#This Row],[DUT Adj Read]]="N/A",IF(Table1[[#This Row],[Std Adj Read]]&gt;=Table1[[#This Row],[Low Tol]],"Pass","Fail"),IF(Table1[[#This Row],[DUT Adj Read]]&gt;=Table1[[#This Row],[Low Tol]],"Pass","Fail")))</f>
        <v>Pass</v>
      </c>
      <c r="AG429" s="1" t="str">
        <f>IF(AND(Table1[[#This Row],[Spec Type2]]="N/A",Table1[[#This Row],[DUT Adj Read]]="N/A",Table1[[#This Row],[Std Adj Read]]="N/A"),"N/A",IF(Table1[[#This Row],[DUT Adj Read]]="N/A",IF(Table1[[#This Row],[Std Adj Read]]&lt;=Table1[[#This Row],[High Tol]],"Pass","Fail"),IF(Table1[[#This Row],[DUT Adj Read]]&lt;=Table1[[#This Row],[High Tol]],"Pass","Fail")))</f>
        <v>Fail</v>
      </c>
      <c r="AH4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9" s="1" t="b">
        <v>0</v>
      </c>
      <c r="AN429" s="1" t="b">
        <v>0</v>
      </c>
      <c r="AO429" s="1" t="b">
        <v>0</v>
      </c>
    </row>
    <row r="430" spans="1:41" x14ac:dyDescent="0.25">
      <c r="A430" s="10"/>
      <c r="B430" s="10"/>
      <c r="C430" s="10"/>
      <c r="D430" s="10"/>
      <c r="E430" s="10"/>
      <c r="F430" s="10"/>
      <c r="G430" s="10"/>
      <c r="H430" s="10"/>
      <c r="I430" s="1" t="str">
        <f t="shared" si="18"/>
        <v/>
      </c>
      <c r="J430" s="1" t="s">
        <v>35</v>
      </c>
      <c r="K430" s="1" t="str">
        <f t="shared" si="19"/>
        <v/>
      </c>
      <c r="L430" s="1" t="str">
        <f t="shared" si="20"/>
        <v/>
      </c>
      <c r="M430" s="1">
        <f>IF(OR(Table1[[#This Row],[Std Nom]]="",Table1[[#This Row],[Std Read]]=""),0,Table1[[#This Row],[Std Nom]]-Table1[[#This Row],[Std Read]])</f>
        <v>0</v>
      </c>
      <c r="N430" s="1">
        <f>IF(Calculations!$F$5="ACCREDITED 17025 WITH UNCERTAINTIES",$N$10,0)</f>
        <v>0</v>
      </c>
      <c r="O430" s="1" t="str">
        <f>IFERROR(Table1[[#This Row],[Std Nom]]-(_xlfn.XLOOKUP(Table1[[#This Row],[Manufacturer]]&amp;" "&amp;Table1[[#This Row],[Model]],Table13[MFR &amp; MDL],Table13[Tolerance % CW ],"")/100*Table1[[#This Row],[Std Nom]]),"")</f>
        <v/>
      </c>
      <c r="P430" s="1" t="str">
        <f>IFERROR(Table1[[#This Row],[Std Nom]]+(_xlfn.XLOOKUP(Table1[[#This Row],[Manufacturer]]&amp;" "&amp;Table1[[#This Row],[Model]],Table13[MFR &amp; MDL],Table13[Tolerance % CW ],"")/100*Table1[[#This Row],[Std Nom]]),"")</f>
        <v/>
      </c>
      <c r="Q430" s="1" t="e">
        <f>Table1[[#This Row],[High Tol]]-Table1[[#This Row],[Low Tol]]</f>
        <v>#VALUE!</v>
      </c>
      <c r="R430" s="1">
        <f>2*Table1[[#This Row],[Std Error]]</f>
        <v>0</v>
      </c>
      <c r="S430" s="1" t="str">
        <f>IF(Table1[[#This Row],[High Tol]]="","N/A",IFERROR(ABS(Table1[[#This Row],[Tol Span]]/Table1[[#This Row],[Error Span]]),"N/A"))</f>
        <v>N/A</v>
      </c>
      <c r="T430" s="1" t="str">
        <f>IF(OR(Table1[[#This Row],[Low Tol]]="",Table1[[#This Row],[High Tol]]=""),"Needs Analysis",IF(Table1[[#This Row],[Ratio]]&gt;=4,"Not Significant",IF(Table1[[#This Row],[Ratio]]&gt;=2,"Semi-Significant","Significant")))</f>
        <v>Needs Analysis</v>
      </c>
      <c r="W430" s="1">
        <f>IF(Table1[[#This Row],[Cal Type]]&lt;&gt;"ACCREDITED 17025 WITH UNCERTAINTIES",0,"")</f>
        <v>0</v>
      </c>
      <c r="X430" s="1" t="str">
        <f>IF(Table1[[#This Row],[DUT Read]]="","N/A",Table1[[#This Row],[Std Error]]+Table1[[#This Row],[DUT Read]]+Table1[[#This Row],[DUT Ucty]])</f>
        <v>N/A</v>
      </c>
      <c r="Y430" s="1" t="str">
        <f>IF(Table1[[#This Row],[Std Read]]="","N/A",Table1[[#This Row],[Std Read]]+Table1[[#This Row],[Std Ucty]])</f>
        <v>N/A</v>
      </c>
      <c r="Z4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0" s="1" t="str">
        <f>IF(Table1[[#This Row],[Spec Type]]="","N/A",Table1[[#This Row],[Spec Type]])</f>
        <v>±</v>
      </c>
      <c r="AC430" s="1" t="str">
        <f>IF(Table1[[#This Row],[Spec Type2]]="N/A","N/A",IF(AND(Table1[[#This Row],[DUT Adj Read]]&gt;=Table1[[#This Row],[Low Tol]],Table1[[#This Row],[DUT Adj Read]]&lt;=Table1[[#This Row],[High Tol]]),"Pass","Fail"))</f>
        <v>Fail</v>
      </c>
      <c r="AD430" s="1" t="str">
        <f>IF(AND(Table1[[#This Row],[Spec Type2]]="N/A",Table1[[#This Row],[DUT Adj Read]]="N/A",Table1[[#This Row],[Std Adj Read]]="N/A"),"N/A",IF(Table1[[#This Row],[DUT Adj Read]]="N/A",IF(Table1[[#This Row],[Std Adj Read]]&gt;Table1[[#This Row],[Low Tol]],"Pass","Fail"),IF(Table1[[#This Row],[DUT Adj Read]]&gt;Table1[[#This Row],[Low Tol]],"Pass","Fail")))</f>
        <v>Pass</v>
      </c>
      <c r="AE430" s="1" t="str">
        <f>IF(AND(Table1[[#This Row],[Spec Type2]]="N/A",Table1[[#This Row],[DUT Adj Read]]="N/A",Table1[[#This Row],[Std Adj Read]]="N/A"),"N/A",IF(Table1[[#This Row],[DUT Adj Read]]="N/A",IF(Table1[[#This Row],[Std Adj Read]]&lt;Table1[[#This Row],[High Tol]],"Pass","Fail"),IF(Table1[[#This Row],[DUT Adj Read]]&lt;Table1[[#This Row],[High Tol]],"Pass","Fail")))</f>
        <v>Fail</v>
      </c>
      <c r="AF430" s="1" t="str">
        <f>IF(AND(Table1[[#This Row],[Spec Type2]]="N/A",Table1[[#This Row],[DUT Adj Read]]="N/A",Table1[[#This Row],[Std Adj Read]]="N/A"),"N/A",IF(Table1[[#This Row],[DUT Adj Read]]="N/A",IF(Table1[[#This Row],[Std Adj Read]]&gt;=Table1[[#This Row],[Low Tol]],"Pass","Fail"),IF(Table1[[#This Row],[DUT Adj Read]]&gt;=Table1[[#This Row],[Low Tol]],"Pass","Fail")))</f>
        <v>Pass</v>
      </c>
      <c r="AG430" s="1" t="str">
        <f>IF(AND(Table1[[#This Row],[Spec Type2]]="N/A",Table1[[#This Row],[DUT Adj Read]]="N/A",Table1[[#This Row],[Std Adj Read]]="N/A"),"N/A",IF(Table1[[#This Row],[DUT Adj Read]]="N/A",IF(Table1[[#This Row],[Std Adj Read]]&lt;=Table1[[#This Row],[High Tol]],"Pass","Fail"),IF(Table1[[#This Row],[DUT Adj Read]]&lt;=Table1[[#This Row],[High Tol]],"Pass","Fail")))</f>
        <v>Fail</v>
      </c>
      <c r="AH4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0" s="1" t="b">
        <v>0</v>
      </c>
      <c r="AN430" s="1" t="b">
        <v>0</v>
      </c>
      <c r="AO430" s="1" t="b">
        <v>0</v>
      </c>
    </row>
    <row r="431" spans="1:41" x14ac:dyDescent="0.25">
      <c r="A431" s="10"/>
      <c r="B431" s="10"/>
      <c r="C431" s="10"/>
      <c r="D431" s="10"/>
      <c r="E431" s="10"/>
      <c r="F431" s="10"/>
      <c r="G431" s="10"/>
      <c r="H431" s="10"/>
      <c r="I431" s="1" t="str">
        <f t="shared" si="18"/>
        <v/>
      </c>
      <c r="J431" s="1" t="s">
        <v>35</v>
      </c>
      <c r="K431" s="1" t="str">
        <f t="shared" si="19"/>
        <v/>
      </c>
      <c r="L431" s="1" t="str">
        <f t="shared" si="20"/>
        <v/>
      </c>
      <c r="M431" s="1">
        <f>IF(OR(Table1[[#This Row],[Std Nom]]="",Table1[[#This Row],[Std Read]]=""),0,Table1[[#This Row],[Std Nom]]-Table1[[#This Row],[Std Read]])</f>
        <v>0</v>
      </c>
      <c r="N431" s="1">
        <f>IF(Calculations!$F$5="ACCREDITED 17025 WITH UNCERTAINTIES",$N$10,0)</f>
        <v>0</v>
      </c>
      <c r="O431" s="1" t="str">
        <f>IFERROR(Table1[[#This Row],[Std Nom]]-(_xlfn.XLOOKUP(Table1[[#This Row],[Manufacturer]]&amp;" "&amp;Table1[[#This Row],[Model]],Table13[MFR &amp; MDL],Table13[Tolerance % CW ],"")/100*Table1[[#This Row],[Std Nom]]),"")</f>
        <v/>
      </c>
      <c r="P431" s="1" t="str">
        <f>IFERROR(Table1[[#This Row],[Std Nom]]+(_xlfn.XLOOKUP(Table1[[#This Row],[Manufacturer]]&amp;" "&amp;Table1[[#This Row],[Model]],Table13[MFR &amp; MDL],Table13[Tolerance % CW ],"")/100*Table1[[#This Row],[Std Nom]]),"")</f>
        <v/>
      </c>
      <c r="Q431" s="1" t="e">
        <f>Table1[[#This Row],[High Tol]]-Table1[[#This Row],[Low Tol]]</f>
        <v>#VALUE!</v>
      </c>
      <c r="R431" s="1">
        <f>2*Table1[[#This Row],[Std Error]]</f>
        <v>0</v>
      </c>
      <c r="S431" s="1" t="str">
        <f>IF(Table1[[#This Row],[High Tol]]="","N/A",IFERROR(ABS(Table1[[#This Row],[Tol Span]]/Table1[[#This Row],[Error Span]]),"N/A"))</f>
        <v>N/A</v>
      </c>
      <c r="T431" s="1" t="str">
        <f>IF(OR(Table1[[#This Row],[Low Tol]]="",Table1[[#This Row],[High Tol]]=""),"Needs Analysis",IF(Table1[[#This Row],[Ratio]]&gt;=4,"Not Significant",IF(Table1[[#This Row],[Ratio]]&gt;=2,"Semi-Significant","Significant")))</f>
        <v>Needs Analysis</v>
      </c>
      <c r="W431" s="1">
        <f>IF(Table1[[#This Row],[Cal Type]]&lt;&gt;"ACCREDITED 17025 WITH UNCERTAINTIES",0,"")</f>
        <v>0</v>
      </c>
      <c r="X431" s="1" t="str">
        <f>IF(Table1[[#This Row],[DUT Read]]="","N/A",Table1[[#This Row],[Std Error]]+Table1[[#This Row],[DUT Read]]+Table1[[#This Row],[DUT Ucty]])</f>
        <v>N/A</v>
      </c>
      <c r="Y431" s="1" t="str">
        <f>IF(Table1[[#This Row],[Std Read]]="","N/A",Table1[[#This Row],[Std Read]]+Table1[[#This Row],[Std Ucty]])</f>
        <v>N/A</v>
      </c>
      <c r="Z4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1" s="1" t="str">
        <f>IF(Table1[[#This Row],[Spec Type]]="","N/A",Table1[[#This Row],[Spec Type]])</f>
        <v>±</v>
      </c>
      <c r="AC431" s="1" t="str">
        <f>IF(Table1[[#This Row],[Spec Type2]]="N/A","N/A",IF(AND(Table1[[#This Row],[DUT Adj Read]]&gt;=Table1[[#This Row],[Low Tol]],Table1[[#This Row],[DUT Adj Read]]&lt;=Table1[[#This Row],[High Tol]]),"Pass","Fail"))</f>
        <v>Fail</v>
      </c>
      <c r="AD431" s="1" t="str">
        <f>IF(AND(Table1[[#This Row],[Spec Type2]]="N/A",Table1[[#This Row],[DUT Adj Read]]="N/A",Table1[[#This Row],[Std Adj Read]]="N/A"),"N/A",IF(Table1[[#This Row],[DUT Adj Read]]="N/A",IF(Table1[[#This Row],[Std Adj Read]]&gt;Table1[[#This Row],[Low Tol]],"Pass","Fail"),IF(Table1[[#This Row],[DUT Adj Read]]&gt;Table1[[#This Row],[Low Tol]],"Pass","Fail")))</f>
        <v>Pass</v>
      </c>
      <c r="AE431" s="1" t="str">
        <f>IF(AND(Table1[[#This Row],[Spec Type2]]="N/A",Table1[[#This Row],[DUT Adj Read]]="N/A",Table1[[#This Row],[Std Adj Read]]="N/A"),"N/A",IF(Table1[[#This Row],[DUT Adj Read]]="N/A",IF(Table1[[#This Row],[Std Adj Read]]&lt;Table1[[#This Row],[High Tol]],"Pass","Fail"),IF(Table1[[#This Row],[DUT Adj Read]]&lt;Table1[[#This Row],[High Tol]],"Pass","Fail")))</f>
        <v>Fail</v>
      </c>
      <c r="AF431" s="1" t="str">
        <f>IF(AND(Table1[[#This Row],[Spec Type2]]="N/A",Table1[[#This Row],[DUT Adj Read]]="N/A",Table1[[#This Row],[Std Adj Read]]="N/A"),"N/A",IF(Table1[[#This Row],[DUT Adj Read]]="N/A",IF(Table1[[#This Row],[Std Adj Read]]&gt;=Table1[[#This Row],[Low Tol]],"Pass","Fail"),IF(Table1[[#This Row],[DUT Adj Read]]&gt;=Table1[[#This Row],[Low Tol]],"Pass","Fail")))</f>
        <v>Pass</v>
      </c>
      <c r="AG431" s="1" t="str">
        <f>IF(AND(Table1[[#This Row],[Spec Type2]]="N/A",Table1[[#This Row],[DUT Adj Read]]="N/A",Table1[[#This Row],[Std Adj Read]]="N/A"),"N/A",IF(Table1[[#This Row],[DUT Adj Read]]="N/A",IF(Table1[[#This Row],[Std Adj Read]]&lt;=Table1[[#This Row],[High Tol]],"Pass","Fail"),IF(Table1[[#This Row],[DUT Adj Read]]&lt;=Table1[[#This Row],[High Tol]],"Pass","Fail")))</f>
        <v>Fail</v>
      </c>
      <c r="AH4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1" s="1" t="b">
        <v>0</v>
      </c>
      <c r="AN431" s="1" t="b">
        <v>0</v>
      </c>
      <c r="AO431" s="1" t="b">
        <v>0</v>
      </c>
    </row>
    <row r="432" spans="1:41" x14ac:dyDescent="0.25">
      <c r="A432" s="10"/>
      <c r="B432" s="10"/>
      <c r="C432" s="10"/>
      <c r="D432" s="10"/>
      <c r="E432" s="10"/>
      <c r="F432" s="10"/>
      <c r="G432" s="10"/>
      <c r="H432" s="10"/>
      <c r="I432" s="1" t="str">
        <f t="shared" si="18"/>
        <v/>
      </c>
      <c r="J432" s="1" t="s">
        <v>35</v>
      </c>
      <c r="K432" s="1" t="str">
        <f t="shared" si="19"/>
        <v/>
      </c>
      <c r="L432" s="1" t="str">
        <f t="shared" si="20"/>
        <v/>
      </c>
      <c r="M432" s="1">
        <f>IF(OR(Table1[[#This Row],[Std Nom]]="",Table1[[#This Row],[Std Read]]=""),0,Table1[[#This Row],[Std Nom]]-Table1[[#This Row],[Std Read]])</f>
        <v>0</v>
      </c>
      <c r="N432" s="1">
        <f>IF(Calculations!$F$5="ACCREDITED 17025 WITH UNCERTAINTIES",$N$10,0)</f>
        <v>0</v>
      </c>
      <c r="O432" s="1" t="str">
        <f>IFERROR(Table1[[#This Row],[Std Nom]]-(_xlfn.XLOOKUP(Table1[[#This Row],[Manufacturer]]&amp;" "&amp;Table1[[#This Row],[Model]],Table13[MFR &amp; MDL],Table13[Tolerance % CW ],"")/100*Table1[[#This Row],[Std Nom]]),"")</f>
        <v/>
      </c>
      <c r="P432" s="1" t="str">
        <f>IFERROR(Table1[[#This Row],[Std Nom]]+(_xlfn.XLOOKUP(Table1[[#This Row],[Manufacturer]]&amp;" "&amp;Table1[[#This Row],[Model]],Table13[MFR &amp; MDL],Table13[Tolerance % CW ],"")/100*Table1[[#This Row],[Std Nom]]),"")</f>
        <v/>
      </c>
      <c r="Q432" s="1" t="e">
        <f>Table1[[#This Row],[High Tol]]-Table1[[#This Row],[Low Tol]]</f>
        <v>#VALUE!</v>
      </c>
      <c r="R432" s="1">
        <f>2*Table1[[#This Row],[Std Error]]</f>
        <v>0</v>
      </c>
      <c r="S432" s="1" t="str">
        <f>IF(Table1[[#This Row],[High Tol]]="","N/A",IFERROR(ABS(Table1[[#This Row],[Tol Span]]/Table1[[#This Row],[Error Span]]),"N/A"))</f>
        <v>N/A</v>
      </c>
      <c r="T432" s="1" t="str">
        <f>IF(OR(Table1[[#This Row],[Low Tol]]="",Table1[[#This Row],[High Tol]]=""),"Needs Analysis",IF(Table1[[#This Row],[Ratio]]&gt;=4,"Not Significant",IF(Table1[[#This Row],[Ratio]]&gt;=2,"Semi-Significant","Significant")))</f>
        <v>Needs Analysis</v>
      </c>
      <c r="W432" s="1">
        <f>IF(Table1[[#This Row],[Cal Type]]&lt;&gt;"ACCREDITED 17025 WITH UNCERTAINTIES",0,"")</f>
        <v>0</v>
      </c>
      <c r="X432" s="1" t="str">
        <f>IF(Table1[[#This Row],[DUT Read]]="","N/A",Table1[[#This Row],[Std Error]]+Table1[[#This Row],[DUT Read]]+Table1[[#This Row],[DUT Ucty]])</f>
        <v>N/A</v>
      </c>
      <c r="Y432" s="1" t="str">
        <f>IF(Table1[[#This Row],[Std Read]]="","N/A",Table1[[#This Row],[Std Read]]+Table1[[#This Row],[Std Ucty]])</f>
        <v>N/A</v>
      </c>
      <c r="Z4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2" s="1" t="str">
        <f>IF(Table1[[#This Row],[Spec Type]]="","N/A",Table1[[#This Row],[Spec Type]])</f>
        <v>±</v>
      </c>
      <c r="AC432" s="1" t="str">
        <f>IF(Table1[[#This Row],[Spec Type2]]="N/A","N/A",IF(AND(Table1[[#This Row],[DUT Adj Read]]&gt;=Table1[[#This Row],[Low Tol]],Table1[[#This Row],[DUT Adj Read]]&lt;=Table1[[#This Row],[High Tol]]),"Pass","Fail"))</f>
        <v>Fail</v>
      </c>
      <c r="AD432" s="1" t="str">
        <f>IF(AND(Table1[[#This Row],[Spec Type2]]="N/A",Table1[[#This Row],[DUT Adj Read]]="N/A",Table1[[#This Row],[Std Adj Read]]="N/A"),"N/A",IF(Table1[[#This Row],[DUT Adj Read]]="N/A",IF(Table1[[#This Row],[Std Adj Read]]&gt;Table1[[#This Row],[Low Tol]],"Pass","Fail"),IF(Table1[[#This Row],[DUT Adj Read]]&gt;Table1[[#This Row],[Low Tol]],"Pass","Fail")))</f>
        <v>Pass</v>
      </c>
      <c r="AE432" s="1" t="str">
        <f>IF(AND(Table1[[#This Row],[Spec Type2]]="N/A",Table1[[#This Row],[DUT Adj Read]]="N/A",Table1[[#This Row],[Std Adj Read]]="N/A"),"N/A",IF(Table1[[#This Row],[DUT Adj Read]]="N/A",IF(Table1[[#This Row],[Std Adj Read]]&lt;Table1[[#This Row],[High Tol]],"Pass","Fail"),IF(Table1[[#This Row],[DUT Adj Read]]&lt;Table1[[#This Row],[High Tol]],"Pass","Fail")))</f>
        <v>Fail</v>
      </c>
      <c r="AF432" s="1" t="str">
        <f>IF(AND(Table1[[#This Row],[Spec Type2]]="N/A",Table1[[#This Row],[DUT Adj Read]]="N/A",Table1[[#This Row],[Std Adj Read]]="N/A"),"N/A",IF(Table1[[#This Row],[DUT Adj Read]]="N/A",IF(Table1[[#This Row],[Std Adj Read]]&gt;=Table1[[#This Row],[Low Tol]],"Pass","Fail"),IF(Table1[[#This Row],[DUT Adj Read]]&gt;=Table1[[#This Row],[Low Tol]],"Pass","Fail")))</f>
        <v>Pass</v>
      </c>
      <c r="AG432" s="1" t="str">
        <f>IF(AND(Table1[[#This Row],[Spec Type2]]="N/A",Table1[[#This Row],[DUT Adj Read]]="N/A",Table1[[#This Row],[Std Adj Read]]="N/A"),"N/A",IF(Table1[[#This Row],[DUT Adj Read]]="N/A",IF(Table1[[#This Row],[Std Adj Read]]&lt;=Table1[[#This Row],[High Tol]],"Pass","Fail"),IF(Table1[[#This Row],[DUT Adj Read]]&lt;=Table1[[#This Row],[High Tol]],"Pass","Fail")))</f>
        <v>Fail</v>
      </c>
      <c r="AH4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2" s="1" t="b">
        <v>0</v>
      </c>
      <c r="AN432" s="1" t="b">
        <v>0</v>
      </c>
      <c r="AO432" s="1" t="b">
        <v>0</v>
      </c>
    </row>
    <row r="433" spans="1:41" x14ac:dyDescent="0.25">
      <c r="A433" s="10"/>
      <c r="B433" s="10"/>
      <c r="C433" s="10"/>
      <c r="D433" s="10"/>
      <c r="E433" s="10"/>
      <c r="F433" s="10"/>
      <c r="G433" s="10"/>
      <c r="H433" s="10"/>
      <c r="I433" s="1" t="str">
        <f t="shared" si="18"/>
        <v/>
      </c>
      <c r="J433" s="1" t="s">
        <v>35</v>
      </c>
      <c r="K433" s="1" t="str">
        <f t="shared" si="19"/>
        <v/>
      </c>
      <c r="L433" s="1" t="str">
        <f t="shared" si="20"/>
        <v/>
      </c>
      <c r="M433" s="1">
        <f>IF(OR(Table1[[#This Row],[Std Nom]]="",Table1[[#This Row],[Std Read]]=""),0,Table1[[#This Row],[Std Nom]]-Table1[[#This Row],[Std Read]])</f>
        <v>0</v>
      </c>
      <c r="N433" s="1">
        <f>IF(Calculations!$F$5="ACCREDITED 17025 WITH UNCERTAINTIES",$N$10,0)</f>
        <v>0</v>
      </c>
      <c r="O433" s="1" t="str">
        <f>IFERROR(Table1[[#This Row],[Std Nom]]-(_xlfn.XLOOKUP(Table1[[#This Row],[Manufacturer]]&amp;" "&amp;Table1[[#This Row],[Model]],Table13[MFR &amp; MDL],Table13[Tolerance % CW ],"")/100*Table1[[#This Row],[Std Nom]]),"")</f>
        <v/>
      </c>
      <c r="P433" s="1" t="str">
        <f>IFERROR(Table1[[#This Row],[Std Nom]]+(_xlfn.XLOOKUP(Table1[[#This Row],[Manufacturer]]&amp;" "&amp;Table1[[#This Row],[Model]],Table13[MFR &amp; MDL],Table13[Tolerance % CW ],"")/100*Table1[[#This Row],[Std Nom]]),"")</f>
        <v/>
      </c>
      <c r="Q433" s="1" t="e">
        <f>Table1[[#This Row],[High Tol]]-Table1[[#This Row],[Low Tol]]</f>
        <v>#VALUE!</v>
      </c>
      <c r="R433" s="1">
        <f>2*Table1[[#This Row],[Std Error]]</f>
        <v>0</v>
      </c>
      <c r="S433" s="1" t="str">
        <f>IF(Table1[[#This Row],[High Tol]]="","N/A",IFERROR(ABS(Table1[[#This Row],[Tol Span]]/Table1[[#This Row],[Error Span]]),"N/A"))</f>
        <v>N/A</v>
      </c>
      <c r="T433" s="1" t="str">
        <f>IF(OR(Table1[[#This Row],[Low Tol]]="",Table1[[#This Row],[High Tol]]=""),"Needs Analysis",IF(Table1[[#This Row],[Ratio]]&gt;=4,"Not Significant",IF(Table1[[#This Row],[Ratio]]&gt;=2,"Semi-Significant","Significant")))</f>
        <v>Needs Analysis</v>
      </c>
      <c r="W433" s="1">
        <f>IF(Table1[[#This Row],[Cal Type]]&lt;&gt;"ACCREDITED 17025 WITH UNCERTAINTIES",0,"")</f>
        <v>0</v>
      </c>
      <c r="X433" s="1" t="str">
        <f>IF(Table1[[#This Row],[DUT Read]]="","N/A",Table1[[#This Row],[Std Error]]+Table1[[#This Row],[DUT Read]]+Table1[[#This Row],[DUT Ucty]])</f>
        <v>N/A</v>
      </c>
      <c r="Y433" s="1" t="str">
        <f>IF(Table1[[#This Row],[Std Read]]="","N/A",Table1[[#This Row],[Std Read]]+Table1[[#This Row],[Std Ucty]])</f>
        <v>N/A</v>
      </c>
      <c r="Z4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3" s="1" t="str">
        <f>IF(Table1[[#This Row],[Spec Type]]="","N/A",Table1[[#This Row],[Spec Type]])</f>
        <v>±</v>
      </c>
      <c r="AC433" s="1" t="str">
        <f>IF(Table1[[#This Row],[Spec Type2]]="N/A","N/A",IF(AND(Table1[[#This Row],[DUT Adj Read]]&gt;=Table1[[#This Row],[Low Tol]],Table1[[#This Row],[DUT Adj Read]]&lt;=Table1[[#This Row],[High Tol]]),"Pass","Fail"))</f>
        <v>Fail</v>
      </c>
      <c r="AD433" s="1" t="str">
        <f>IF(AND(Table1[[#This Row],[Spec Type2]]="N/A",Table1[[#This Row],[DUT Adj Read]]="N/A",Table1[[#This Row],[Std Adj Read]]="N/A"),"N/A",IF(Table1[[#This Row],[DUT Adj Read]]="N/A",IF(Table1[[#This Row],[Std Adj Read]]&gt;Table1[[#This Row],[Low Tol]],"Pass","Fail"),IF(Table1[[#This Row],[DUT Adj Read]]&gt;Table1[[#This Row],[Low Tol]],"Pass","Fail")))</f>
        <v>Pass</v>
      </c>
      <c r="AE433" s="1" t="str">
        <f>IF(AND(Table1[[#This Row],[Spec Type2]]="N/A",Table1[[#This Row],[DUT Adj Read]]="N/A",Table1[[#This Row],[Std Adj Read]]="N/A"),"N/A",IF(Table1[[#This Row],[DUT Adj Read]]="N/A",IF(Table1[[#This Row],[Std Adj Read]]&lt;Table1[[#This Row],[High Tol]],"Pass","Fail"),IF(Table1[[#This Row],[DUT Adj Read]]&lt;Table1[[#This Row],[High Tol]],"Pass","Fail")))</f>
        <v>Fail</v>
      </c>
      <c r="AF433" s="1" t="str">
        <f>IF(AND(Table1[[#This Row],[Spec Type2]]="N/A",Table1[[#This Row],[DUT Adj Read]]="N/A",Table1[[#This Row],[Std Adj Read]]="N/A"),"N/A",IF(Table1[[#This Row],[DUT Adj Read]]="N/A",IF(Table1[[#This Row],[Std Adj Read]]&gt;=Table1[[#This Row],[Low Tol]],"Pass","Fail"),IF(Table1[[#This Row],[DUT Adj Read]]&gt;=Table1[[#This Row],[Low Tol]],"Pass","Fail")))</f>
        <v>Pass</v>
      </c>
      <c r="AG433" s="1" t="str">
        <f>IF(AND(Table1[[#This Row],[Spec Type2]]="N/A",Table1[[#This Row],[DUT Adj Read]]="N/A",Table1[[#This Row],[Std Adj Read]]="N/A"),"N/A",IF(Table1[[#This Row],[DUT Adj Read]]="N/A",IF(Table1[[#This Row],[Std Adj Read]]&lt;=Table1[[#This Row],[High Tol]],"Pass","Fail"),IF(Table1[[#This Row],[DUT Adj Read]]&lt;=Table1[[#This Row],[High Tol]],"Pass","Fail")))</f>
        <v>Fail</v>
      </c>
      <c r="AH4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3" s="1" t="b">
        <v>0</v>
      </c>
      <c r="AN433" s="1" t="b">
        <v>0</v>
      </c>
      <c r="AO433" s="1" t="b">
        <v>0</v>
      </c>
    </row>
    <row r="434" spans="1:41" x14ac:dyDescent="0.25">
      <c r="A434" s="10"/>
      <c r="B434" s="10"/>
      <c r="C434" s="10"/>
      <c r="D434" s="10"/>
      <c r="E434" s="10"/>
      <c r="F434" s="10"/>
      <c r="G434" s="10"/>
      <c r="H434" s="10"/>
      <c r="I434" s="1" t="str">
        <f t="shared" si="18"/>
        <v/>
      </c>
      <c r="J434" s="1" t="s">
        <v>35</v>
      </c>
      <c r="K434" s="1" t="str">
        <f t="shared" si="19"/>
        <v/>
      </c>
      <c r="L434" s="1" t="str">
        <f t="shared" si="20"/>
        <v/>
      </c>
      <c r="M434" s="1">
        <f>IF(OR(Table1[[#This Row],[Std Nom]]="",Table1[[#This Row],[Std Read]]=""),0,Table1[[#This Row],[Std Nom]]-Table1[[#This Row],[Std Read]])</f>
        <v>0</v>
      </c>
      <c r="N434" s="1">
        <f>IF(Calculations!$F$5="ACCREDITED 17025 WITH UNCERTAINTIES",$N$10,0)</f>
        <v>0</v>
      </c>
      <c r="O434" s="1" t="str">
        <f>IFERROR(Table1[[#This Row],[Std Nom]]-(_xlfn.XLOOKUP(Table1[[#This Row],[Manufacturer]]&amp;" "&amp;Table1[[#This Row],[Model]],Table13[MFR &amp; MDL],Table13[Tolerance % CW ],"")/100*Table1[[#This Row],[Std Nom]]),"")</f>
        <v/>
      </c>
      <c r="P434" s="1" t="str">
        <f>IFERROR(Table1[[#This Row],[Std Nom]]+(_xlfn.XLOOKUP(Table1[[#This Row],[Manufacturer]]&amp;" "&amp;Table1[[#This Row],[Model]],Table13[MFR &amp; MDL],Table13[Tolerance % CW ],"")/100*Table1[[#This Row],[Std Nom]]),"")</f>
        <v/>
      </c>
      <c r="Q434" s="1" t="e">
        <f>Table1[[#This Row],[High Tol]]-Table1[[#This Row],[Low Tol]]</f>
        <v>#VALUE!</v>
      </c>
      <c r="R434" s="1">
        <f>2*Table1[[#This Row],[Std Error]]</f>
        <v>0</v>
      </c>
      <c r="S434" s="1" t="str">
        <f>IF(Table1[[#This Row],[High Tol]]="","N/A",IFERROR(ABS(Table1[[#This Row],[Tol Span]]/Table1[[#This Row],[Error Span]]),"N/A"))</f>
        <v>N/A</v>
      </c>
      <c r="T434" s="1" t="str">
        <f>IF(OR(Table1[[#This Row],[Low Tol]]="",Table1[[#This Row],[High Tol]]=""),"Needs Analysis",IF(Table1[[#This Row],[Ratio]]&gt;=4,"Not Significant",IF(Table1[[#This Row],[Ratio]]&gt;=2,"Semi-Significant","Significant")))</f>
        <v>Needs Analysis</v>
      </c>
      <c r="W434" s="1">
        <f>IF(Table1[[#This Row],[Cal Type]]&lt;&gt;"ACCREDITED 17025 WITH UNCERTAINTIES",0,"")</f>
        <v>0</v>
      </c>
      <c r="X434" s="1" t="str">
        <f>IF(Table1[[#This Row],[DUT Read]]="","N/A",Table1[[#This Row],[Std Error]]+Table1[[#This Row],[DUT Read]]+Table1[[#This Row],[DUT Ucty]])</f>
        <v>N/A</v>
      </c>
      <c r="Y434" s="1" t="str">
        <f>IF(Table1[[#This Row],[Std Read]]="","N/A",Table1[[#This Row],[Std Read]]+Table1[[#This Row],[Std Ucty]])</f>
        <v>N/A</v>
      </c>
      <c r="Z4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4" s="1" t="str">
        <f>IF(Table1[[#This Row],[Spec Type]]="","N/A",Table1[[#This Row],[Spec Type]])</f>
        <v>±</v>
      </c>
      <c r="AC434" s="1" t="str">
        <f>IF(Table1[[#This Row],[Spec Type2]]="N/A","N/A",IF(AND(Table1[[#This Row],[DUT Adj Read]]&gt;=Table1[[#This Row],[Low Tol]],Table1[[#This Row],[DUT Adj Read]]&lt;=Table1[[#This Row],[High Tol]]),"Pass","Fail"))</f>
        <v>Fail</v>
      </c>
      <c r="AD434" s="1" t="str">
        <f>IF(AND(Table1[[#This Row],[Spec Type2]]="N/A",Table1[[#This Row],[DUT Adj Read]]="N/A",Table1[[#This Row],[Std Adj Read]]="N/A"),"N/A",IF(Table1[[#This Row],[DUT Adj Read]]="N/A",IF(Table1[[#This Row],[Std Adj Read]]&gt;Table1[[#This Row],[Low Tol]],"Pass","Fail"),IF(Table1[[#This Row],[DUT Adj Read]]&gt;Table1[[#This Row],[Low Tol]],"Pass","Fail")))</f>
        <v>Pass</v>
      </c>
      <c r="AE434" s="1" t="str">
        <f>IF(AND(Table1[[#This Row],[Spec Type2]]="N/A",Table1[[#This Row],[DUT Adj Read]]="N/A",Table1[[#This Row],[Std Adj Read]]="N/A"),"N/A",IF(Table1[[#This Row],[DUT Adj Read]]="N/A",IF(Table1[[#This Row],[Std Adj Read]]&lt;Table1[[#This Row],[High Tol]],"Pass","Fail"),IF(Table1[[#This Row],[DUT Adj Read]]&lt;Table1[[#This Row],[High Tol]],"Pass","Fail")))</f>
        <v>Fail</v>
      </c>
      <c r="AF434" s="1" t="str">
        <f>IF(AND(Table1[[#This Row],[Spec Type2]]="N/A",Table1[[#This Row],[DUT Adj Read]]="N/A",Table1[[#This Row],[Std Adj Read]]="N/A"),"N/A",IF(Table1[[#This Row],[DUT Adj Read]]="N/A",IF(Table1[[#This Row],[Std Adj Read]]&gt;=Table1[[#This Row],[Low Tol]],"Pass","Fail"),IF(Table1[[#This Row],[DUT Adj Read]]&gt;=Table1[[#This Row],[Low Tol]],"Pass","Fail")))</f>
        <v>Pass</v>
      </c>
      <c r="AG434" s="1" t="str">
        <f>IF(AND(Table1[[#This Row],[Spec Type2]]="N/A",Table1[[#This Row],[DUT Adj Read]]="N/A",Table1[[#This Row],[Std Adj Read]]="N/A"),"N/A",IF(Table1[[#This Row],[DUT Adj Read]]="N/A",IF(Table1[[#This Row],[Std Adj Read]]&lt;=Table1[[#This Row],[High Tol]],"Pass","Fail"),IF(Table1[[#This Row],[DUT Adj Read]]&lt;=Table1[[#This Row],[High Tol]],"Pass","Fail")))</f>
        <v>Fail</v>
      </c>
      <c r="AH4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4" s="1" t="b">
        <v>0</v>
      </c>
      <c r="AN434" s="1" t="b">
        <v>0</v>
      </c>
      <c r="AO434" s="1" t="b">
        <v>0</v>
      </c>
    </row>
    <row r="435" spans="1:41" x14ac:dyDescent="0.25">
      <c r="A435" s="10"/>
      <c r="B435" s="10"/>
      <c r="C435" s="10"/>
      <c r="D435" s="10"/>
      <c r="E435" s="10"/>
      <c r="F435" s="10"/>
      <c r="G435" s="10"/>
      <c r="H435" s="10"/>
      <c r="I435" s="1" t="str">
        <f t="shared" si="18"/>
        <v/>
      </c>
      <c r="J435" s="1" t="s">
        <v>35</v>
      </c>
      <c r="K435" s="1" t="str">
        <f t="shared" si="19"/>
        <v/>
      </c>
      <c r="L435" s="1" t="str">
        <f t="shared" si="20"/>
        <v/>
      </c>
      <c r="M435" s="1">
        <f>IF(OR(Table1[[#This Row],[Std Nom]]="",Table1[[#This Row],[Std Read]]=""),0,Table1[[#This Row],[Std Nom]]-Table1[[#This Row],[Std Read]])</f>
        <v>0</v>
      </c>
      <c r="N435" s="1">
        <f>IF(Calculations!$F$5="ACCREDITED 17025 WITH UNCERTAINTIES",$N$10,0)</f>
        <v>0</v>
      </c>
      <c r="O435" s="1" t="str">
        <f>IFERROR(Table1[[#This Row],[Std Nom]]-(_xlfn.XLOOKUP(Table1[[#This Row],[Manufacturer]]&amp;" "&amp;Table1[[#This Row],[Model]],Table13[MFR &amp; MDL],Table13[Tolerance % CW ],"")/100*Table1[[#This Row],[Std Nom]]),"")</f>
        <v/>
      </c>
      <c r="P435" s="1" t="str">
        <f>IFERROR(Table1[[#This Row],[Std Nom]]+(_xlfn.XLOOKUP(Table1[[#This Row],[Manufacturer]]&amp;" "&amp;Table1[[#This Row],[Model]],Table13[MFR &amp; MDL],Table13[Tolerance % CW ],"")/100*Table1[[#This Row],[Std Nom]]),"")</f>
        <v/>
      </c>
      <c r="Q435" s="1" t="e">
        <f>Table1[[#This Row],[High Tol]]-Table1[[#This Row],[Low Tol]]</f>
        <v>#VALUE!</v>
      </c>
      <c r="R435" s="1">
        <f>2*Table1[[#This Row],[Std Error]]</f>
        <v>0</v>
      </c>
      <c r="S435" s="1" t="str">
        <f>IF(Table1[[#This Row],[High Tol]]="","N/A",IFERROR(ABS(Table1[[#This Row],[Tol Span]]/Table1[[#This Row],[Error Span]]),"N/A"))</f>
        <v>N/A</v>
      </c>
      <c r="T435" s="1" t="str">
        <f>IF(OR(Table1[[#This Row],[Low Tol]]="",Table1[[#This Row],[High Tol]]=""),"Needs Analysis",IF(Table1[[#This Row],[Ratio]]&gt;=4,"Not Significant",IF(Table1[[#This Row],[Ratio]]&gt;=2,"Semi-Significant","Significant")))</f>
        <v>Needs Analysis</v>
      </c>
      <c r="W435" s="1">
        <f>IF(Table1[[#This Row],[Cal Type]]&lt;&gt;"ACCREDITED 17025 WITH UNCERTAINTIES",0,"")</f>
        <v>0</v>
      </c>
      <c r="X435" s="1" t="str">
        <f>IF(Table1[[#This Row],[DUT Read]]="","N/A",Table1[[#This Row],[Std Error]]+Table1[[#This Row],[DUT Read]]+Table1[[#This Row],[DUT Ucty]])</f>
        <v>N/A</v>
      </c>
      <c r="Y435" s="1" t="str">
        <f>IF(Table1[[#This Row],[Std Read]]="","N/A",Table1[[#This Row],[Std Read]]+Table1[[#This Row],[Std Ucty]])</f>
        <v>N/A</v>
      </c>
      <c r="Z4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5" s="1" t="str">
        <f>IF(Table1[[#This Row],[Spec Type]]="","N/A",Table1[[#This Row],[Spec Type]])</f>
        <v>±</v>
      </c>
      <c r="AC435" s="1" t="str">
        <f>IF(Table1[[#This Row],[Spec Type2]]="N/A","N/A",IF(AND(Table1[[#This Row],[DUT Adj Read]]&gt;=Table1[[#This Row],[Low Tol]],Table1[[#This Row],[DUT Adj Read]]&lt;=Table1[[#This Row],[High Tol]]),"Pass","Fail"))</f>
        <v>Fail</v>
      </c>
      <c r="AD435" s="1" t="str">
        <f>IF(AND(Table1[[#This Row],[Spec Type2]]="N/A",Table1[[#This Row],[DUT Adj Read]]="N/A",Table1[[#This Row],[Std Adj Read]]="N/A"),"N/A",IF(Table1[[#This Row],[DUT Adj Read]]="N/A",IF(Table1[[#This Row],[Std Adj Read]]&gt;Table1[[#This Row],[Low Tol]],"Pass","Fail"),IF(Table1[[#This Row],[DUT Adj Read]]&gt;Table1[[#This Row],[Low Tol]],"Pass","Fail")))</f>
        <v>Pass</v>
      </c>
      <c r="AE435" s="1" t="str">
        <f>IF(AND(Table1[[#This Row],[Spec Type2]]="N/A",Table1[[#This Row],[DUT Adj Read]]="N/A",Table1[[#This Row],[Std Adj Read]]="N/A"),"N/A",IF(Table1[[#This Row],[DUT Adj Read]]="N/A",IF(Table1[[#This Row],[Std Adj Read]]&lt;Table1[[#This Row],[High Tol]],"Pass","Fail"),IF(Table1[[#This Row],[DUT Adj Read]]&lt;Table1[[#This Row],[High Tol]],"Pass","Fail")))</f>
        <v>Fail</v>
      </c>
      <c r="AF435" s="1" t="str">
        <f>IF(AND(Table1[[#This Row],[Spec Type2]]="N/A",Table1[[#This Row],[DUT Adj Read]]="N/A",Table1[[#This Row],[Std Adj Read]]="N/A"),"N/A",IF(Table1[[#This Row],[DUT Adj Read]]="N/A",IF(Table1[[#This Row],[Std Adj Read]]&gt;=Table1[[#This Row],[Low Tol]],"Pass","Fail"),IF(Table1[[#This Row],[DUT Adj Read]]&gt;=Table1[[#This Row],[Low Tol]],"Pass","Fail")))</f>
        <v>Pass</v>
      </c>
      <c r="AG435" s="1" t="str">
        <f>IF(AND(Table1[[#This Row],[Spec Type2]]="N/A",Table1[[#This Row],[DUT Adj Read]]="N/A",Table1[[#This Row],[Std Adj Read]]="N/A"),"N/A",IF(Table1[[#This Row],[DUT Adj Read]]="N/A",IF(Table1[[#This Row],[Std Adj Read]]&lt;=Table1[[#This Row],[High Tol]],"Pass","Fail"),IF(Table1[[#This Row],[DUT Adj Read]]&lt;=Table1[[#This Row],[High Tol]],"Pass","Fail")))</f>
        <v>Fail</v>
      </c>
      <c r="AH4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5" s="1" t="b">
        <v>0</v>
      </c>
      <c r="AN435" s="1" t="b">
        <v>0</v>
      </c>
      <c r="AO435" s="1" t="b">
        <v>0</v>
      </c>
    </row>
    <row r="436" spans="1:41" x14ac:dyDescent="0.25">
      <c r="A436" s="10"/>
      <c r="B436" s="10"/>
      <c r="C436" s="10"/>
      <c r="D436" s="10"/>
      <c r="E436" s="10"/>
      <c r="F436" s="10"/>
      <c r="G436" s="10"/>
      <c r="H436" s="10"/>
      <c r="I436" s="1" t="str">
        <f t="shared" si="18"/>
        <v/>
      </c>
      <c r="J436" s="1" t="s">
        <v>35</v>
      </c>
      <c r="K436" s="1" t="str">
        <f t="shared" si="19"/>
        <v/>
      </c>
      <c r="L436" s="1" t="str">
        <f t="shared" si="20"/>
        <v/>
      </c>
      <c r="M436" s="1">
        <f>IF(OR(Table1[[#This Row],[Std Nom]]="",Table1[[#This Row],[Std Read]]=""),0,Table1[[#This Row],[Std Nom]]-Table1[[#This Row],[Std Read]])</f>
        <v>0</v>
      </c>
      <c r="N436" s="1">
        <f>IF(Calculations!$F$5="ACCREDITED 17025 WITH UNCERTAINTIES",$N$10,0)</f>
        <v>0</v>
      </c>
      <c r="O436" s="1" t="str">
        <f>IFERROR(Table1[[#This Row],[Std Nom]]-(_xlfn.XLOOKUP(Table1[[#This Row],[Manufacturer]]&amp;" "&amp;Table1[[#This Row],[Model]],Table13[MFR &amp; MDL],Table13[Tolerance % CW ],"")/100*Table1[[#This Row],[Std Nom]]),"")</f>
        <v/>
      </c>
      <c r="P436" s="1" t="str">
        <f>IFERROR(Table1[[#This Row],[Std Nom]]+(_xlfn.XLOOKUP(Table1[[#This Row],[Manufacturer]]&amp;" "&amp;Table1[[#This Row],[Model]],Table13[MFR &amp; MDL],Table13[Tolerance % CW ],"")/100*Table1[[#This Row],[Std Nom]]),"")</f>
        <v/>
      </c>
      <c r="Q436" s="1" t="e">
        <f>Table1[[#This Row],[High Tol]]-Table1[[#This Row],[Low Tol]]</f>
        <v>#VALUE!</v>
      </c>
      <c r="R436" s="1">
        <f>2*Table1[[#This Row],[Std Error]]</f>
        <v>0</v>
      </c>
      <c r="S436" s="1" t="str">
        <f>IF(Table1[[#This Row],[High Tol]]="","N/A",IFERROR(ABS(Table1[[#This Row],[Tol Span]]/Table1[[#This Row],[Error Span]]),"N/A"))</f>
        <v>N/A</v>
      </c>
      <c r="T436" s="1" t="str">
        <f>IF(OR(Table1[[#This Row],[Low Tol]]="",Table1[[#This Row],[High Tol]]=""),"Needs Analysis",IF(Table1[[#This Row],[Ratio]]&gt;=4,"Not Significant",IF(Table1[[#This Row],[Ratio]]&gt;=2,"Semi-Significant","Significant")))</f>
        <v>Needs Analysis</v>
      </c>
      <c r="W436" s="1">
        <f>IF(Table1[[#This Row],[Cal Type]]&lt;&gt;"ACCREDITED 17025 WITH UNCERTAINTIES",0,"")</f>
        <v>0</v>
      </c>
      <c r="X436" s="1" t="str">
        <f>IF(Table1[[#This Row],[DUT Read]]="","N/A",Table1[[#This Row],[Std Error]]+Table1[[#This Row],[DUT Read]]+Table1[[#This Row],[DUT Ucty]])</f>
        <v>N/A</v>
      </c>
      <c r="Y436" s="1" t="str">
        <f>IF(Table1[[#This Row],[Std Read]]="","N/A",Table1[[#This Row],[Std Read]]+Table1[[#This Row],[Std Ucty]])</f>
        <v>N/A</v>
      </c>
      <c r="Z4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6" s="1" t="str">
        <f>IF(Table1[[#This Row],[Spec Type]]="","N/A",Table1[[#This Row],[Spec Type]])</f>
        <v>±</v>
      </c>
      <c r="AC436" s="1" t="str">
        <f>IF(Table1[[#This Row],[Spec Type2]]="N/A","N/A",IF(AND(Table1[[#This Row],[DUT Adj Read]]&gt;=Table1[[#This Row],[Low Tol]],Table1[[#This Row],[DUT Adj Read]]&lt;=Table1[[#This Row],[High Tol]]),"Pass","Fail"))</f>
        <v>Fail</v>
      </c>
      <c r="AD436" s="1" t="str">
        <f>IF(AND(Table1[[#This Row],[Spec Type2]]="N/A",Table1[[#This Row],[DUT Adj Read]]="N/A",Table1[[#This Row],[Std Adj Read]]="N/A"),"N/A",IF(Table1[[#This Row],[DUT Adj Read]]="N/A",IF(Table1[[#This Row],[Std Adj Read]]&gt;Table1[[#This Row],[Low Tol]],"Pass","Fail"),IF(Table1[[#This Row],[DUT Adj Read]]&gt;Table1[[#This Row],[Low Tol]],"Pass","Fail")))</f>
        <v>Pass</v>
      </c>
      <c r="AE436" s="1" t="str">
        <f>IF(AND(Table1[[#This Row],[Spec Type2]]="N/A",Table1[[#This Row],[DUT Adj Read]]="N/A",Table1[[#This Row],[Std Adj Read]]="N/A"),"N/A",IF(Table1[[#This Row],[DUT Adj Read]]="N/A",IF(Table1[[#This Row],[Std Adj Read]]&lt;Table1[[#This Row],[High Tol]],"Pass","Fail"),IF(Table1[[#This Row],[DUT Adj Read]]&lt;Table1[[#This Row],[High Tol]],"Pass","Fail")))</f>
        <v>Fail</v>
      </c>
      <c r="AF436" s="1" t="str">
        <f>IF(AND(Table1[[#This Row],[Spec Type2]]="N/A",Table1[[#This Row],[DUT Adj Read]]="N/A",Table1[[#This Row],[Std Adj Read]]="N/A"),"N/A",IF(Table1[[#This Row],[DUT Adj Read]]="N/A",IF(Table1[[#This Row],[Std Adj Read]]&gt;=Table1[[#This Row],[Low Tol]],"Pass","Fail"),IF(Table1[[#This Row],[DUT Adj Read]]&gt;=Table1[[#This Row],[Low Tol]],"Pass","Fail")))</f>
        <v>Pass</v>
      </c>
      <c r="AG436" s="1" t="str">
        <f>IF(AND(Table1[[#This Row],[Spec Type2]]="N/A",Table1[[#This Row],[DUT Adj Read]]="N/A",Table1[[#This Row],[Std Adj Read]]="N/A"),"N/A",IF(Table1[[#This Row],[DUT Adj Read]]="N/A",IF(Table1[[#This Row],[Std Adj Read]]&lt;=Table1[[#This Row],[High Tol]],"Pass","Fail"),IF(Table1[[#This Row],[DUT Adj Read]]&lt;=Table1[[#This Row],[High Tol]],"Pass","Fail")))</f>
        <v>Fail</v>
      </c>
      <c r="AH4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6" s="1" t="b">
        <v>0</v>
      </c>
      <c r="AN436" s="1" t="b">
        <v>0</v>
      </c>
      <c r="AO436" s="1" t="b">
        <v>0</v>
      </c>
    </row>
    <row r="437" spans="1:41" x14ac:dyDescent="0.25">
      <c r="A437" s="10"/>
      <c r="B437" s="10"/>
      <c r="C437" s="10"/>
      <c r="D437" s="10"/>
      <c r="E437" s="10"/>
      <c r="F437" s="10"/>
      <c r="G437" s="10"/>
      <c r="H437" s="10"/>
      <c r="I437" s="1" t="str">
        <f t="shared" si="18"/>
        <v/>
      </c>
      <c r="J437" s="1" t="s">
        <v>35</v>
      </c>
      <c r="K437" s="1" t="str">
        <f t="shared" si="19"/>
        <v/>
      </c>
      <c r="L437" s="1" t="str">
        <f t="shared" si="20"/>
        <v/>
      </c>
      <c r="M437" s="1">
        <f>IF(OR(Table1[[#This Row],[Std Nom]]="",Table1[[#This Row],[Std Read]]=""),0,Table1[[#This Row],[Std Nom]]-Table1[[#This Row],[Std Read]])</f>
        <v>0</v>
      </c>
      <c r="N437" s="1">
        <f>IF(Calculations!$F$5="ACCREDITED 17025 WITH UNCERTAINTIES",$N$10,0)</f>
        <v>0</v>
      </c>
      <c r="O437" s="1" t="str">
        <f>IFERROR(Table1[[#This Row],[Std Nom]]-(_xlfn.XLOOKUP(Table1[[#This Row],[Manufacturer]]&amp;" "&amp;Table1[[#This Row],[Model]],Table13[MFR &amp; MDL],Table13[Tolerance % CW ],"")/100*Table1[[#This Row],[Std Nom]]),"")</f>
        <v/>
      </c>
      <c r="P437" s="1" t="str">
        <f>IFERROR(Table1[[#This Row],[Std Nom]]+(_xlfn.XLOOKUP(Table1[[#This Row],[Manufacturer]]&amp;" "&amp;Table1[[#This Row],[Model]],Table13[MFR &amp; MDL],Table13[Tolerance % CW ],"")/100*Table1[[#This Row],[Std Nom]]),"")</f>
        <v/>
      </c>
      <c r="Q437" s="1" t="e">
        <f>Table1[[#This Row],[High Tol]]-Table1[[#This Row],[Low Tol]]</f>
        <v>#VALUE!</v>
      </c>
      <c r="R437" s="1">
        <f>2*Table1[[#This Row],[Std Error]]</f>
        <v>0</v>
      </c>
      <c r="S437" s="1" t="str">
        <f>IF(Table1[[#This Row],[High Tol]]="","N/A",IFERROR(ABS(Table1[[#This Row],[Tol Span]]/Table1[[#This Row],[Error Span]]),"N/A"))</f>
        <v>N/A</v>
      </c>
      <c r="T437" s="1" t="str">
        <f>IF(OR(Table1[[#This Row],[Low Tol]]="",Table1[[#This Row],[High Tol]]=""),"Needs Analysis",IF(Table1[[#This Row],[Ratio]]&gt;=4,"Not Significant",IF(Table1[[#This Row],[Ratio]]&gt;=2,"Semi-Significant","Significant")))</f>
        <v>Needs Analysis</v>
      </c>
      <c r="W437" s="1">
        <f>IF(Table1[[#This Row],[Cal Type]]&lt;&gt;"ACCREDITED 17025 WITH UNCERTAINTIES",0,"")</f>
        <v>0</v>
      </c>
      <c r="X437" s="1" t="str">
        <f>IF(Table1[[#This Row],[DUT Read]]="","N/A",Table1[[#This Row],[Std Error]]+Table1[[#This Row],[DUT Read]]+Table1[[#This Row],[DUT Ucty]])</f>
        <v>N/A</v>
      </c>
      <c r="Y437" s="1" t="str">
        <f>IF(Table1[[#This Row],[Std Read]]="","N/A",Table1[[#This Row],[Std Read]]+Table1[[#This Row],[Std Ucty]])</f>
        <v>N/A</v>
      </c>
      <c r="Z4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7" s="1" t="str">
        <f>IF(Table1[[#This Row],[Spec Type]]="","N/A",Table1[[#This Row],[Spec Type]])</f>
        <v>±</v>
      </c>
      <c r="AC437" s="1" t="str">
        <f>IF(Table1[[#This Row],[Spec Type2]]="N/A","N/A",IF(AND(Table1[[#This Row],[DUT Adj Read]]&gt;=Table1[[#This Row],[Low Tol]],Table1[[#This Row],[DUT Adj Read]]&lt;=Table1[[#This Row],[High Tol]]),"Pass","Fail"))</f>
        <v>Fail</v>
      </c>
      <c r="AD437" s="1" t="str">
        <f>IF(AND(Table1[[#This Row],[Spec Type2]]="N/A",Table1[[#This Row],[DUT Adj Read]]="N/A",Table1[[#This Row],[Std Adj Read]]="N/A"),"N/A",IF(Table1[[#This Row],[DUT Adj Read]]="N/A",IF(Table1[[#This Row],[Std Adj Read]]&gt;Table1[[#This Row],[Low Tol]],"Pass","Fail"),IF(Table1[[#This Row],[DUT Adj Read]]&gt;Table1[[#This Row],[Low Tol]],"Pass","Fail")))</f>
        <v>Pass</v>
      </c>
      <c r="AE437" s="1" t="str">
        <f>IF(AND(Table1[[#This Row],[Spec Type2]]="N/A",Table1[[#This Row],[DUT Adj Read]]="N/A",Table1[[#This Row],[Std Adj Read]]="N/A"),"N/A",IF(Table1[[#This Row],[DUT Adj Read]]="N/A",IF(Table1[[#This Row],[Std Adj Read]]&lt;Table1[[#This Row],[High Tol]],"Pass","Fail"),IF(Table1[[#This Row],[DUT Adj Read]]&lt;Table1[[#This Row],[High Tol]],"Pass","Fail")))</f>
        <v>Fail</v>
      </c>
      <c r="AF437" s="1" t="str">
        <f>IF(AND(Table1[[#This Row],[Spec Type2]]="N/A",Table1[[#This Row],[DUT Adj Read]]="N/A",Table1[[#This Row],[Std Adj Read]]="N/A"),"N/A",IF(Table1[[#This Row],[DUT Adj Read]]="N/A",IF(Table1[[#This Row],[Std Adj Read]]&gt;=Table1[[#This Row],[Low Tol]],"Pass","Fail"),IF(Table1[[#This Row],[DUT Adj Read]]&gt;=Table1[[#This Row],[Low Tol]],"Pass","Fail")))</f>
        <v>Pass</v>
      </c>
      <c r="AG437" s="1" t="str">
        <f>IF(AND(Table1[[#This Row],[Spec Type2]]="N/A",Table1[[#This Row],[DUT Adj Read]]="N/A",Table1[[#This Row],[Std Adj Read]]="N/A"),"N/A",IF(Table1[[#This Row],[DUT Adj Read]]="N/A",IF(Table1[[#This Row],[Std Adj Read]]&lt;=Table1[[#This Row],[High Tol]],"Pass","Fail"),IF(Table1[[#This Row],[DUT Adj Read]]&lt;=Table1[[#This Row],[High Tol]],"Pass","Fail")))</f>
        <v>Fail</v>
      </c>
      <c r="AH4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7" s="1" t="b">
        <v>0</v>
      </c>
      <c r="AN437" s="1" t="b">
        <v>0</v>
      </c>
      <c r="AO437" s="1" t="b">
        <v>0</v>
      </c>
    </row>
    <row r="438" spans="1:41" x14ac:dyDescent="0.25">
      <c r="A438" s="10"/>
      <c r="B438" s="10"/>
      <c r="C438" s="10"/>
      <c r="D438" s="10"/>
      <c r="E438" s="10"/>
      <c r="F438" s="10"/>
      <c r="G438" s="10"/>
      <c r="H438" s="10"/>
      <c r="I438" s="1" t="str">
        <f t="shared" si="18"/>
        <v/>
      </c>
      <c r="J438" s="1" t="s">
        <v>35</v>
      </c>
      <c r="K438" s="1" t="str">
        <f t="shared" si="19"/>
        <v/>
      </c>
      <c r="L438" s="1" t="str">
        <f t="shared" si="20"/>
        <v/>
      </c>
      <c r="M438" s="1">
        <f>IF(OR(Table1[[#This Row],[Std Nom]]="",Table1[[#This Row],[Std Read]]=""),0,Table1[[#This Row],[Std Nom]]-Table1[[#This Row],[Std Read]])</f>
        <v>0</v>
      </c>
      <c r="N438" s="1">
        <f>IF(Calculations!$F$5="ACCREDITED 17025 WITH UNCERTAINTIES",$N$10,0)</f>
        <v>0</v>
      </c>
      <c r="O438" s="1" t="str">
        <f>IFERROR(Table1[[#This Row],[Std Nom]]-(_xlfn.XLOOKUP(Table1[[#This Row],[Manufacturer]]&amp;" "&amp;Table1[[#This Row],[Model]],Table13[MFR &amp; MDL],Table13[Tolerance % CW ],"")/100*Table1[[#This Row],[Std Nom]]),"")</f>
        <v/>
      </c>
      <c r="P438" s="1" t="str">
        <f>IFERROR(Table1[[#This Row],[Std Nom]]+(_xlfn.XLOOKUP(Table1[[#This Row],[Manufacturer]]&amp;" "&amp;Table1[[#This Row],[Model]],Table13[MFR &amp; MDL],Table13[Tolerance % CW ],"")/100*Table1[[#This Row],[Std Nom]]),"")</f>
        <v/>
      </c>
      <c r="Q438" s="1" t="e">
        <f>Table1[[#This Row],[High Tol]]-Table1[[#This Row],[Low Tol]]</f>
        <v>#VALUE!</v>
      </c>
      <c r="R438" s="1">
        <f>2*Table1[[#This Row],[Std Error]]</f>
        <v>0</v>
      </c>
      <c r="S438" s="1" t="str">
        <f>IF(Table1[[#This Row],[High Tol]]="","N/A",IFERROR(ABS(Table1[[#This Row],[Tol Span]]/Table1[[#This Row],[Error Span]]),"N/A"))</f>
        <v>N/A</v>
      </c>
      <c r="T438" s="1" t="str">
        <f>IF(OR(Table1[[#This Row],[Low Tol]]="",Table1[[#This Row],[High Tol]]=""),"Needs Analysis",IF(Table1[[#This Row],[Ratio]]&gt;=4,"Not Significant",IF(Table1[[#This Row],[Ratio]]&gt;=2,"Semi-Significant","Significant")))</f>
        <v>Needs Analysis</v>
      </c>
      <c r="W438" s="1">
        <f>IF(Table1[[#This Row],[Cal Type]]&lt;&gt;"ACCREDITED 17025 WITH UNCERTAINTIES",0,"")</f>
        <v>0</v>
      </c>
      <c r="X438" s="1" t="str">
        <f>IF(Table1[[#This Row],[DUT Read]]="","N/A",Table1[[#This Row],[Std Error]]+Table1[[#This Row],[DUT Read]]+Table1[[#This Row],[DUT Ucty]])</f>
        <v>N/A</v>
      </c>
      <c r="Y438" s="1" t="str">
        <f>IF(Table1[[#This Row],[Std Read]]="","N/A",Table1[[#This Row],[Std Read]]+Table1[[#This Row],[Std Ucty]])</f>
        <v>N/A</v>
      </c>
      <c r="Z4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8" s="1" t="str">
        <f>IF(Table1[[#This Row],[Spec Type]]="","N/A",Table1[[#This Row],[Spec Type]])</f>
        <v>±</v>
      </c>
      <c r="AC438" s="1" t="str">
        <f>IF(Table1[[#This Row],[Spec Type2]]="N/A","N/A",IF(AND(Table1[[#This Row],[DUT Adj Read]]&gt;=Table1[[#This Row],[Low Tol]],Table1[[#This Row],[DUT Adj Read]]&lt;=Table1[[#This Row],[High Tol]]),"Pass","Fail"))</f>
        <v>Fail</v>
      </c>
      <c r="AD438" s="1" t="str">
        <f>IF(AND(Table1[[#This Row],[Spec Type2]]="N/A",Table1[[#This Row],[DUT Adj Read]]="N/A",Table1[[#This Row],[Std Adj Read]]="N/A"),"N/A",IF(Table1[[#This Row],[DUT Adj Read]]="N/A",IF(Table1[[#This Row],[Std Adj Read]]&gt;Table1[[#This Row],[Low Tol]],"Pass","Fail"),IF(Table1[[#This Row],[DUT Adj Read]]&gt;Table1[[#This Row],[Low Tol]],"Pass","Fail")))</f>
        <v>Pass</v>
      </c>
      <c r="AE438" s="1" t="str">
        <f>IF(AND(Table1[[#This Row],[Spec Type2]]="N/A",Table1[[#This Row],[DUT Adj Read]]="N/A",Table1[[#This Row],[Std Adj Read]]="N/A"),"N/A",IF(Table1[[#This Row],[DUT Adj Read]]="N/A",IF(Table1[[#This Row],[Std Adj Read]]&lt;Table1[[#This Row],[High Tol]],"Pass","Fail"),IF(Table1[[#This Row],[DUT Adj Read]]&lt;Table1[[#This Row],[High Tol]],"Pass","Fail")))</f>
        <v>Fail</v>
      </c>
      <c r="AF438" s="1" t="str">
        <f>IF(AND(Table1[[#This Row],[Spec Type2]]="N/A",Table1[[#This Row],[DUT Adj Read]]="N/A",Table1[[#This Row],[Std Adj Read]]="N/A"),"N/A",IF(Table1[[#This Row],[DUT Adj Read]]="N/A",IF(Table1[[#This Row],[Std Adj Read]]&gt;=Table1[[#This Row],[Low Tol]],"Pass","Fail"),IF(Table1[[#This Row],[DUT Adj Read]]&gt;=Table1[[#This Row],[Low Tol]],"Pass","Fail")))</f>
        <v>Pass</v>
      </c>
      <c r="AG438" s="1" t="str">
        <f>IF(AND(Table1[[#This Row],[Spec Type2]]="N/A",Table1[[#This Row],[DUT Adj Read]]="N/A",Table1[[#This Row],[Std Adj Read]]="N/A"),"N/A",IF(Table1[[#This Row],[DUT Adj Read]]="N/A",IF(Table1[[#This Row],[Std Adj Read]]&lt;=Table1[[#This Row],[High Tol]],"Pass","Fail"),IF(Table1[[#This Row],[DUT Adj Read]]&lt;=Table1[[#This Row],[High Tol]],"Pass","Fail")))</f>
        <v>Fail</v>
      </c>
      <c r="AH4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8" s="1" t="b">
        <v>0</v>
      </c>
      <c r="AN438" s="1" t="b">
        <v>0</v>
      </c>
      <c r="AO438" s="1" t="b">
        <v>0</v>
      </c>
    </row>
    <row r="439" spans="1:41" x14ac:dyDescent="0.25">
      <c r="A439" s="10"/>
      <c r="B439" s="10"/>
      <c r="C439" s="10"/>
      <c r="D439" s="10"/>
      <c r="E439" s="10"/>
      <c r="F439" s="10"/>
      <c r="G439" s="10"/>
      <c r="H439" s="10"/>
      <c r="I439" s="1" t="str">
        <f t="shared" si="18"/>
        <v/>
      </c>
      <c r="J439" s="1" t="s">
        <v>35</v>
      </c>
      <c r="K439" s="1" t="str">
        <f t="shared" si="19"/>
        <v/>
      </c>
      <c r="L439" s="1" t="str">
        <f t="shared" si="20"/>
        <v/>
      </c>
      <c r="M439" s="1">
        <f>IF(OR(Table1[[#This Row],[Std Nom]]="",Table1[[#This Row],[Std Read]]=""),0,Table1[[#This Row],[Std Nom]]-Table1[[#This Row],[Std Read]])</f>
        <v>0</v>
      </c>
      <c r="N439" s="1">
        <f>IF(Calculations!$F$5="ACCREDITED 17025 WITH UNCERTAINTIES",$N$10,0)</f>
        <v>0</v>
      </c>
      <c r="O439" s="1" t="str">
        <f>IFERROR(Table1[[#This Row],[Std Nom]]-(_xlfn.XLOOKUP(Table1[[#This Row],[Manufacturer]]&amp;" "&amp;Table1[[#This Row],[Model]],Table13[MFR &amp; MDL],Table13[Tolerance % CW ],"")/100*Table1[[#This Row],[Std Nom]]),"")</f>
        <v/>
      </c>
      <c r="P439" s="1" t="str">
        <f>IFERROR(Table1[[#This Row],[Std Nom]]+(_xlfn.XLOOKUP(Table1[[#This Row],[Manufacturer]]&amp;" "&amp;Table1[[#This Row],[Model]],Table13[MFR &amp; MDL],Table13[Tolerance % CW ],"")/100*Table1[[#This Row],[Std Nom]]),"")</f>
        <v/>
      </c>
      <c r="Q439" s="1" t="e">
        <f>Table1[[#This Row],[High Tol]]-Table1[[#This Row],[Low Tol]]</f>
        <v>#VALUE!</v>
      </c>
      <c r="R439" s="1">
        <f>2*Table1[[#This Row],[Std Error]]</f>
        <v>0</v>
      </c>
      <c r="S439" s="1" t="str">
        <f>IF(Table1[[#This Row],[High Tol]]="","N/A",IFERROR(ABS(Table1[[#This Row],[Tol Span]]/Table1[[#This Row],[Error Span]]),"N/A"))</f>
        <v>N/A</v>
      </c>
      <c r="T439" s="1" t="str">
        <f>IF(OR(Table1[[#This Row],[Low Tol]]="",Table1[[#This Row],[High Tol]]=""),"Needs Analysis",IF(Table1[[#This Row],[Ratio]]&gt;=4,"Not Significant",IF(Table1[[#This Row],[Ratio]]&gt;=2,"Semi-Significant","Significant")))</f>
        <v>Needs Analysis</v>
      </c>
      <c r="W439" s="1">
        <f>IF(Table1[[#This Row],[Cal Type]]&lt;&gt;"ACCREDITED 17025 WITH UNCERTAINTIES",0,"")</f>
        <v>0</v>
      </c>
      <c r="X439" s="1" t="str">
        <f>IF(Table1[[#This Row],[DUT Read]]="","N/A",Table1[[#This Row],[Std Error]]+Table1[[#This Row],[DUT Read]]+Table1[[#This Row],[DUT Ucty]])</f>
        <v>N/A</v>
      </c>
      <c r="Y439" s="1" t="str">
        <f>IF(Table1[[#This Row],[Std Read]]="","N/A",Table1[[#This Row],[Std Read]]+Table1[[#This Row],[Std Ucty]])</f>
        <v>N/A</v>
      </c>
      <c r="Z4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9" s="1" t="str">
        <f>IF(Table1[[#This Row],[Spec Type]]="","N/A",Table1[[#This Row],[Spec Type]])</f>
        <v>±</v>
      </c>
      <c r="AC439" s="1" t="str">
        <f>IF(Table1[[#This Row],[Spec Type2]]="N/A","N/A",IF(AND(Table1[[#This Row],[DUT Adj Read]]&gt;=Table1[[#This Row],[Low Tol]],Table1[[#This Row],[DUT Adj Read]]&lt;=Table1[[#This Row],[High Tol]]),"Pass","Fail"))</f>
        <v>Fail</v>
      </c>
      <c r="AD439" s="1" t="str">
        <f>IF(AND(Table1[[#This Row],[Spec Type2]]="N/A",Table1[[#This Row],[DUT Adj Read]]="N/A",Table1[[#This Row],[Std Adj Read]]="N/A"),"N/A",IF(Table1[[#This Row],[DUT Adj Read]]="N/A",IF(Table1[[#This Row],[Std Adj Read]]&gt;Table1[[#This Row],[Low Tol]],"Pass","Fail"),IF(Table1[[#This Row],[DUT Adj Read]]&gt;Table1[[#This Row],[Low Tol]],"Pass","Fail")))</f>
        <v>Pass</v>
      </c>
      <c r="AE439" s="1" t="str">
        <f>IF(AND(Table1[[#This Row],[Spec Type2]]="N/A",Table1[[#This Row],[DUT Adj Read]]="N/A",Table1[[#This Row],[Std Adj Read]]="N/A"),"N/A",IF(Table1[[#This Row],[DUT Adj Read]]="N/A",IF(Table1[[#This Row],[Std Adj Read]]&lt;Table1[[#This Row],[High Tol]],"Pass","Fail"),IF(Table1[[#This Row],[DUT Adj Read]]&lt;Table1[[#This Row],[High Tol]],"Pass","Fail")))</f>
        <v>Fail</v>
      </c>
      <c r="AF439" s="1" t="str">
        <f>IF(AND(Table1[[#This Row],[Spec Type2]]="N/A",Table1[[#This Row],[DUT Adj Read]]="N/A",Table1[[#This Row],[Std Adj Read]]="N/A"),"N/A",IF(Table1[[#This Row],[DUT Adj Read]]="N/A",IF(Table1[[#This Row],[Std Adj Read]]&gt;=Table1[[#This Row],[Low Tol]],"Pass","Fail"),IF(Table1[[#This Row],[DUT Adj Read]]&gt;=Table1[[#This Row],[Low Tol]],"Pass","Fail")))</f>
        <v>Pass</v>
      </c>
      <c r="AG439" s="1" t="str">
        <f>IF(AND(Table1[[#This Row],[Spec Type2]]="N/A",Table1[[#This Row],[DUT Adj Read]]="N/A",Table1[[#This Row],[Std Adj Read]]="N/A"),"N/A",IF(Table1[[#This Row],[DUT Adj Read]]="N/A",IF(Table1[[#This Row],[Std Adj Read]]&lt;=Table1[[#This Row],[High Tol]],"Pass","Fail"),IF(Table1[[#This Row],[DUT Adj Read]]&lt;=Table1[[#This Row],[High Tol]],"Pass","Fail")))</f>
        <v>Fail</v>
      </c>
      <c r="AH4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9" s="1" t="b">
        <v>0</v>
      </c>
      <c r="AN439" s="1" t="b">
        <v>0</v>
      </c>
      <c r="AO439" s="1" t="b">
        <v>0</v>
      </c>
    </row>
    <row r="440" spans="1:41" x14ac:dyDescent="0.25">
      <c r="A440" s="10"/>
      <c r="B440" s="10"/>
      <c r="C440" s="10"/>
      <c r="D440" s="10"/>
      <c r="E440" s="10"/>
      <c r="F440" s="10"/>
      <c r="G440" s="10"/>
      <c r="H440" s="10"/>
      <c r="I440" s="1" t="str">
        <f t="shared" si="18"/>
        <v/>
      </c>
      <c r="J440" s="1" t="s">
        <v>35</v>
      </c>
      <c r="K440" s="1" t="str">
        <f t="shared" si="19"/>
        <v/>
      </c>
      <c r="L440" s="1" t="str">
        <f t="shared" si="20"/>
        <v/>
      </c>
      <c r="M440" s="1">
        <f>IF(OR(Table1[[#This Row],[Std Nom]]="",Table1[[#This Row],[Std Read]]=""),0,Table1[[#This Row],[Std Nom]]-Table1[[#This Row],[Std Read]])</f>
        <v>0</v>
      </c>
      <c r="N440" s="1">
        <f>IF(Calculations!$F$5="ACCREDITED 17025 WITH UNCERTAINTIES",$N$10,0)</f>
        <v>0</v>
      </c>
      <c r="O440" s="1" t="str">
        <f>IFERROR(Table1[[#This Row],[Std Nom]]-(_xlfn.XLOOKUP(Table1[[#This Row],[Manufacturer]]&amp;" "&amp;Table1[[#This Row],[Model]],Table13[MFR &amp; MDL],Table13[Tolerance % CW ],"")/100*Table1[[#This Row],[Std Nom]]),"")</f>
        <v/>
      </c>
      <c r="P440" s="1" t="str">
        <f>IFERROR(Table1[[#This Row],[Std Nom]]+(_xlfn.XLOOKUP(Table1[[#This Row],[Manufacturer]]&amp;" "&amp;Table1[[#This Row],[Model]],Table13[MFR &amp; MDL],Table13[Tolerance % CW ],"")/100*Table1[[#This Row],[Std Nom]]),"")</f>
        <v/>
      </c>
      <c r="Q440" s="1" t="e">
        <f>Table1[[#This Row],[High Tol]]-Table1[[#This Row],[Low Tol]]</f>
        <v>#VALUE!</v>
      </c>
      <c r="R440" s="1">
        <f>2*Table1[[#This Row],[Std Error]]</f>
        <v>0</v>
      </c>
      <c r="S440" s="1" t="str">
        <f>IF(Table1[[#This Row],[High Tol]]="","N/A",IFERROR(ABS(Table1[[#This Row],[Tol Span]]/Table1[[#This Row],[Error Span]]),"N/A"))</f>
        <v>N/A</v>
      </c>
      <c r="T440" s="1" t="str">
        <f>IF(OR(Table1[[#This Row],[Low Tol]]="",Table1[[#This Row],[High Tol]]=""),"Needs Analysis",IF(Table1[[#This Row],[Ratio]]&gt;=4,"Not Significant",IF(Table1[[#This Row],[Ratio]]&gt;=2,"Semi-Significant","Significant")))</f>
        <v>Needs Analysis</v>
      </c>
      <c r="W440" s="1">
        <f>IF(Table1[[#This Row],[Cal Type]]&lt;&gt;"ACCREDITED 17025 WITH UNCERTAINTIES",0,"")</f>
        <v>0</v>
      </c>
      <c r="X440" s="1" t="str">
        <f>IF(Table1[[#This Row],[DUT Read]]="","N/A",Table1[[#This Row],[Std Error]]+Table1[[#This Row],[DUT Read]]+Table1[[#This Row],[DUT Ucty]])</f>
        <v>N/A</v>
      </c>
      <c r="Y440" s="1" t="str">
        <f>IF(Table1[[#This Row],[Std Read]]="","N/A",Table1[[#This Row],[Std Read]]+Table1[[#This Row],[Std Ucty]])</f>
        <v>N/A</v>
      </c>
      <c r="Z4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0" s="1" t="str">
        <f>IF(Table1[[#This Row],[Spec Type]]="","N/A",Table1[[#This Row],[Spec Type]])</f>
        <v>±</v>
      </c>
      <c r="AC440" s="1" t="str">
        <f>IF(Table1[[#This Row],[Spec Type2]]="N/A","N/A",IF(AND(Table1[[#This Row],[DUT Adj Read]]&gt;=Table1[[#This Row],[Low Tol]],Table1[[#This Row],[DUT Adj Read]]&lt;=Table1[[#This Row],[High Tol]]),"Pass","Fail"))</f>
        <v>Fail</v>
      </c>
      <c r="AD440" s="1" t="str">
        <f>IF(AND(Table1[[#This Row],[Spec Type2]]="N/A",Table1[[#This Row],[DUT Adj Read]]="N/A",Table1[[#This Row],[Std Adj Read]]="N/A"),"N/A",IF(Table1[[#This Row],[DUT Adj Read]]="N/A",IF(Table1[[#This Row],[Std Adj Read]]&gt;Table1[[#This Row],[Low Tol]],"Pass","Fail"),IF(Table1[[#This Row],[DUT Adj Read]]&gt;Table1[[#This Row],[Low Tol]],"Pass","Fail")))</f>
        <v>Pass</v>
      </c>
      <c r="AE440" s="1" t="str">
        <f>IF(AND(Table1[[#This Row],[Spec Type2]]="N/A",Table1[[#This Row],[DUT Adj Read]]="N/A",Table1[[#This Row],[Std Adj Read]]="N/A"),"N/A",IF(Table1[[#This Row],[DUT Adj Read]]="N/A",IF(Table1[[#This Row],[Std Adj Read]]&lt;Table1[[#This Row],[High Tol]],"Pass","Fail"),IF(Table1[[#This Row],[DUT Adj Read]]&lt;Table1[[#This Row],[High Tol]],"Pass","Fail")))</f>
        <v>Fail</v>
      </c>
      <c r="AF440" s="1" t="str">
        <f>IF(AND(Table1[[#This Row],[Spec Type2]]="N/A",Table1[[#This Row],[DUT Adj Read]]="N/A",Table1[[#This Row],[Std Adj Read]]="N/A"),"N/A",IF(Table1[[#This Row],[DUT Adj Read]]="N/A",IF(Table1[[#This Row],[Std Adj Read]]&gt;=Table1[[#This Row],[Low Tol]],"Pass","Fail"),IF(Table1[[#This Row],[DUT Adj Read]]&gt;=Table1[[#This Row],[Low Tol]],"Pass","Fail")))</f>
        <v>Pass</v>
      </c>
      <c r="AG440" s="1" t="str">
        <f>IF(AND(Table1[[#This Row],[Spec Type2]]="N/A",Table1[[#This Row],[DUT Adj Read]]="N/A",Table1[[#This Row],[Std Adj Read]]="N/A"),"N/A",IF(Table1[[#This Row],[DUT Adj Read]]="N/A",IF(Table1[[#This Row],[Std Adj Read]]&lt;=Table1[[#This Row],[High Tol]],"Pass","Fail"),IF(Table1[[#This Row],[DUT Adj Read]]&lt;=Table1[[#This Row],[High Tol]],"Pass","Fail")))</f>
        <v>Fail</v>
      </c>
      <c r="AH4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0" s="1" t="b">
        <v>0</v>
      </c>
      <c r="AN440" s="1" t="b">
        <v>0</v>
      </c>
      <c r="AO440" s="1" t="b">
        <v>0</v>
      </c>
    </row>
    <row r="441" spans="1:41" x14ac:dyDescent="0.25">
      <c r="A441" s="10"/>
      <c r="B441" s="10"/>
      <c r="C441" s="10"/>
      <c r="D441" s="10"/>
      <c r="E441" s="10"/>
      <c r="F441" s="10"/>
      <c r="G441" s="10"/>
      <c r="H441" s="10"/>
      <c r="I441" s="1" t="str">
        <f t="shared" si="18"/>
        <v/>
      </c>
      <c r="J441" s="1" t="s">
        <v>35</v>
      </c>
      <c r="K441" s="1" t="str">
        <f t="shared" si="19"/>
        <v/>
      </c>
      <c r="L441" s="1" t="str">
        <f t="shared" si="20"/>
        <v/>
      </c>
      <c r="M441" s="1">
        <f>IF(OR(Table1[[#This Row],[Std Nom]]="",Table1[[#This Row],[Std Read]]=""),0,Table1[[#This Row],[Std Nom]]-Table1[[#This Row],[Std Read]])</f>
        <v>0</v>
      </c>
      <c r="N441" s="1">
        <f>IF(Calculations!$F$5="ACCREDITED 17025 WITH UNCERTAINTIES",$N$10,0)</f>
        <v>0</v>
      </c>
      <c r="O441" s="1" t="str">
        <f>IFERROR(Table1[[#This Row],[Std Nom]]-(_xlfn.XLOOKUP(Table1[[#This Row],[Manufacturer]]&amp;" "&amp;Table1[[#This Row],[Model]],Table13[MFR &amp; MDL],Table13[Tolerance % CW ],"")/100*Table1[[#This Row],[Std Nom]]),"")</f>
        <v/>
      </c>
      <c r="P441" s="1" t="str">
        <f>IFERROR(Table1[[#This Row],[Std Nom]]+(_xlfn.XLOOKUP(Table1[[#This Row],[Manufacturer]]&amp;" "&amp;Table1[[#This Row],[Model]],Table13[MFR &amp; MDL],Table13[Tolerance % CW ],"")/100*Table1[[#This Row],[Std Nom]]),"")</f>
        <v/>
      </c>
      <c r="Q441" s="1" t="e">
        <f>Table1[[#This Row],[High Tol]]-Table1[[#This Row],[Low Tol]]</f>
        <v>#VALUE!</v>
      </c>
      <c r="R441" s="1">
        <f>2*Table1[[#This Row],[Std Error]]</f>
        <v>0</v>
      </c>
      <c r="S441" s="1" t="str">
        <f>IF(Table1[[#This Row],[High Tol]]="","N/A",IFERROR(ABS(Table1[[#This Row],[Tol Span]]/Table1[[#This Row],[Error Span]]),"N/A"))</f>
        <v>N/A</v>
      </c>
      <c r="T441" s="1" t="str">
        <f>IF(OR(Table1[[#This Row],[Low Tol]]="",Table1[[#This Row],[High Tol]]=""),"Needs Analysis",IF(Table1[[#This Row],[Ratio]]&gt;=4,"Not Significant",IF(Table1[[#This Row],[Ratio]]&gt;=2,"Semi-Significant","Significant")))</f>
        <v>Needs Analysis</v>
      </c>
      <c r="W441" s="1">
        <f>IF(Table1[[#This Row],[Cal Type]]&lt;&gt;"ACCREDITED 17025 WITH UNCERTAINTIES",0,"")</f>
        <v>0</v>
      </c>
      <c r="X441" s="1" t="str">
        <f>IF(Table1[[#This Row],[DUT Read]]="","N/A",Table1[[#This Row],[Std Error]]+Table1[[#This Row],[DUT Read]]+Table1[[#This Row],[DUT Ucty]])</f>
        <v>N/A</v>
      </c>
      <c r="Y441" s="1" t="str">
        <f>IF(Table1[[#This Row],[Std Read]]="","N/A",Table1[[#This Row],[Std Read]]+Table1[[#This Row],[Std Ucty]])</f>
        <v>N/A</v>
      </c>
      <c r="Z4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1" s="1" t="str">
        <f>IF(Table1[[#This Row],[Spec Type]]="","N/A",Table1[[#This Row],[Spec Type]])</f>
        <v>±</v>
      </c>
      <c r="AC441" s="1" t="str">
        <f>IF(Table1[[#This Row],[Spec Type2]]="N/A","N/A",IF(AND(Table1[[#This Row],[DUT Adj Read]]&gt;=Table1[[#This Row],[Low Tol]],Table1[[#This Row],[DUT Adj Read]]&lt;=Table1[[#This Row],[High Tol]]),"Pass","Fail"))</f>
        <v>Fail</v>
      </c>
      <c r="AD441" s="1" t="str">
        <f>IF(AND(Table1[[#This Row],[Spec Type2]]="N/A",Table1[[#This Row],[DUT Adj Read]]="N/A",Table1[[#This Row],[Std Adj Read]]="N/A"),"N/A",IF(Table1[[#This Row],[DUT Adj Read]]="N/A",IF(Table1[[#This Row],[Std Adj Read]]&gt;Table1[[#This Row],[Low Tol]],"Pass","Fail"),IF(Table1[[#This Row],[DUT Adj Read]]&gt;Table1[[#This Row],[Low Tol]],"Pass","Fail")))</f>
        <v>Pass</v>
      </c>
      <c r="AE441" s="1" t="str">
        <f>IF(AND(Table1[[#This Row],[Spec Type2]]="N/A",Table1[[#This Row],[DUT Adj Read]]="N/A",Table1[[#This Row],[Std Adj Read]]="N/A"),"N/A",IF(Table1[[#This Row],[DUT Adj Read]]="N/A",IF(Table1[[#This Row],[Std Adj Read]]&lt;Table1[[#This Row],[High Tol]],"Pass","Fail"),IF(Table1[[#This Row],[DUT Adj Read]]&lt;Table1[[#This Row],[High Tol]],"Pass","Fail")))</f>
        <v>Fail</v>
      </c>
      <c r="AF441" s="1" t="str">
        <f>IF(AND(Table1[[#This Row],[Spec Type2]]="N/A",Table1[[#This Row],[DUT Adj Read]]="N/A",Table1[[#This Row],[Std Adj Read]]="N/A"),"N/A",IF(Table1[[#This Row],[DUT Adj Read]]="N/A",IF(Table1[[#This Row],[Std Adj Read]]&gt;=Table1[[#This Row],[Low Tol]],"Pass","Fail"),IF(Table1[[#This Row],[DUT Adj Read]]&gt;=Table1[[#This Row],[Low Tol]],"Pass","Fail")))</f>
        <v>Pass</v>
      </c>
      <c r="AG441" s="1" t="str">
        <f>IF(AND(Table1[[#This Row],[Spec Type2]]="N/A",Table1[[#This Row],[DUT Adj Read]]="N/A",Table1[[#This Row],[Std Adj Read]]="N/A"),"N/A",IF(Table1[[#This Row],[DUT Adj Read]]="N/A",IF(Table1[[#This Row],[Std Adj Read]]&lt;=Table1[[#This Row],[High Tol]],"Pass","Fail"),IF(Table1[[#This Row],[DUT Adj Read]]&lt;=Table1[[#This Row],[High Tol]],"Pass","Fail")))</f>
        <v>Fail</v>
      </c>
      <c r="AH4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1" s="1" t="b">
        <v>0</v>
      </c>
      <c r="AN441" s="1" t="b">
        <v>0</v>
      </c>
      <c r="AO441" s="1" t="b">
        <v>0</v>
      </c>
    </row>
    <row r="442" spans="1:41" x14ac:dyDescent="0.25">
      <c r="A442" s="10"/>
      <c r="B442" s="10"/>
      <c r="C442" s="10"/>
      <c r="D442" s="10"/>
      <c r="E442" s="10"/>
      <c r="F442" s="10"/>
      <c r="G442" s="10"/>
      <c r="H442" s="10"/>
      <c r="I442" s="1" t="str">
        <f t="shared" si="18"/>
        <v/>
      </c>
      <c r="J442" s="1" t="s">
        <v>35</v>
      </c>
      <c r="K442" s="1" t="str">
        <f t="shared" si="19"/>
        <v/>
      </c>
      <c r="L442" s="1" t="str">
        <f t="shared" si="20"/>
        <v/>
      </c>
      <c r="M442" s="1">
        <f>IF(OR(Table1[[#This Row],[Std Nom]]="",Table1[[#This Row],[Std Read]]=""),0,Table1[[#This Row],[Std Nom]]-Table1[[#This Row],[Std Read]])</f>
        <v>0</v>
      </c>
      <c r="N442" s="1">
        <f>IF(Calculations!$F$5="ACCREDITED 17025 WITH UNCERTAINTIES",$N$10,0)</f>
        <v>0</v>
      </c>
      <c r="O442" s="1" t="str">
        <f>IFERROR(Table1[[#This Row],[Std Nom]]-(_xlfn.XLOOKUP(Table1[[#This Row],[Manufacturer]]&amp;" "&amp;Table1[[#This Row],[Model]],Table13[MFR &amp; MDL],Table13[Tolerance % CW ],"")/100*Table1[[#This Row],[Std Nom]]),"")</f>
        <v/>
      </c>
      <c r="P442" s="1" t="str">
        <f>IFERROR(Table1[[#This Row],[Std Nom]]+(_xlfn.XLOOKUP(Table1[[#This Row],[Manufacturer]]&amp;" "&amp;Table1[[#This Row],[Model]],Table13[MFR &amp; MDL],Table13[Tolerance % CW ],"")/100*Table1[[#This Row],[Std Nom]]),"")</f>
        <v/>
      </c>
      <c r="Q442" s="1" t="e">
        <f>Table1[[#This Row],[High Tol]]-Table1[[#This Row],[Low Tol]]</f>
        <v>#VALUE!</v>
      </c>
      <c r="R442" s="1">
        <f>2*Table1[[#This Row],[Std Error]]</f>
        <v>0</v>
      </c>
      <c r="S442" s="1" t="str">
        <f>IF(Table1[[#This Row],[High Tol]]="","N/A",IFERROR(ABS(Table1[[#This Row],[Tol Span]]/Table1[[#This Row],[Error Span]]),"N/A"))</f>
        <v>N/A</v>
      </c>
      <c r="T442" s="1" t="str">
        <f>IF(OR(Table1[[#This Row],[Low Tol]]="",Table1[[#This Row],[High Tol]]=""),"Needs Analysis",IF(Table1[[#This Row],[Ratio]]&gt;=4,"Not Significant",IF(Table1[[#This Row],[Ratio]]&gt;=2,"Semi-Significant","Significant")))</f>
        <v>Needs Analysis</v>
      </c>
      <c r="W442" s="1">
        <f>IF(Table1[[#This Row],[Cal Type]]&lt;&gt;"ACCREDITED 17025 WITH UNCERTAINTIES",0,"")</f>
        <v>0</v>
      </c>
      <c r="X442" s="1" t="str">
        <f>IF(Table1[[#This Row],[DUT Read]]="","N/A",Table1[[#This Row],[Std Error]]+Table1[[#This Row],[DUT Read]]+Table1[[#This Row],[DUT Ucty]])</f>
        <v>N/A</v>
      </c>
      <c r="Y442" s="1" t="str">
        <f>IF(Table1[[#This Row],[Std Read]]="","N/A",Table1[[#This Row],[Std Read]]+Table1[[#This Row],[Std Ucty]])</f>
        <v>N/A</v>
      </c>
      <c r="Z4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2" s="1" t="str">
        <f>IF(Table1[[#This Row],[Spec Type]]="","N/A",Table1[[#This Row],[Spec Type]])</f>
        <v>±</v>
      </c>
      <c r="AC442" s="1" t="str">
        <f>IF(Table1[[#This Row],[Spec Type2]]="N/A","N/A",IF(AND(Table1[[#This Row],[DUT Adj Read]]&gt;=Table1[[#This Row],[Low Tol]],Table1[[#This Row],[DUT Adj Read]]&lt;=Table1[[#This Row],[High Tol]]),"Pass","Fail"))</f>
        <v>Fail</v>
      </c>
      <c r="AD442" s="1" t="str">
        <f>IF(AND(Table1[[#This Row],[Spec Type2]]="N/A",Table1[[#This Row],[DUT Adj Read]]="N/A",Table1[[#This Row],[Std Adj Read]]="N/A"),"N/A",IF(Table1[[#This Row],[DUT Adj Read]]="N/A",IF(Table1[[#This Row],[Std Adj Read]]&gt;Table1[[#This Row],[Low Tol]],"Pass","Fail"),IF(Table1[[#This Row],[DUT Adj Read]]&gt;Table1[[#This Row],[Low Tol]],"Pass","Fail")))</f>
        <v>Pass</v>
      </c>
      <c r="AE442" s="1" t="str">
        <f>IF(AND(Table1[[#This Row],[Spec Type2]]="N/A",Table1[[#This Row],[DUT Adj Read]]="N/A",Table1[[#This Row],[Std Adj Read]]="N/A"),"N/A",IF(Table1[[#This Row],[DUT Adj Read]]="N/A",IF(Table1[[#This Row],[Std Adj Read]]&lt;Table1[[#This Row],[High Tol]],"Pass","Fail"),IF(Table1[[#This Row],[DUT Adj Read]]&lt;Table1[[#This Row],[High Tol]],"Pass","Fail")))</f>
        <v>Fail</v>
      </c>
      <c r="AF442" s="1" t="str">
        <f>IF(AND(Table1[[#This Row],[Spec Type2]]="N/A",Table1[[#This Row],[DUT Adj Read]]="N/A",Table1[[#This Row],[Std Adj Read]]="N/A"),"N/A",IF(Table1[[#This Row],[DUT Adj Read]]="N/A",IF(Table1[[#This Row],[Std Adj Read]]&gt;=Table1[[#This Row],[Low Tol]],"Pass","Fail"),IF(Table1[[#This Row],[DUT Adj Read]]&gt;=Table1[[#This Row],[Low Tol]],"Pass","Fail")))</f>
        <v>Pass</v>
      </c>
      <c r="AG442" s="1" t="str">
        <f>IF(AND(Table1[[#This Row],[Spec Type2]]="N/A",Table1[[#This Row],[DUT Adj Read]]="N/A",Table1[[#This Row],[Std Adj Read]]="N/A"),"N/A",IF(Table1[[#This Row],[DUT Adj Read]]="N/A",IF(Table1[[#This Row],[Std Adj Read]]&lt;=Table1[[#This Row],[High Tol]],"Pass","Fail"),IF(Table1[[#This Row],[DUT Adj Read]]&lt;=Table1[[#This Row],[High Tol]],"Pass","Fail")))</f>
        <v>Fail</v>
      </c>
      <c r="AH4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2" s="1" t="b">
        <v>0</v>
      </c>
      <c r="AN442" s="1" t="b">
        <v>0</v>
      </c>
      <c r="AO442" s="1" t="b">
        <v>0</v>
      </c>
    </row>
    <row r="443" spans="1:41" x14ac:dyDescent="0.25">
      <c r="A443" s="10"/>
      <c r="B443" s="10"/>
      <c r="C443" s="10"/>
      <c r="D443" s="10"/>
      <c r="E443" s="10"/>
      <c r="F443" s="10"/>
      <c r="G443" s="10"/>
      <c r="H443" s="10"/>
      <c r="I443" s="1" t="str">
        <f t="shared" si="18"/>
        <v/>
      </c>
      <c r="J443" s="1" t="s">
        <v>35</v>
      </c>
      <c r="K443" s="1" t="str">
        <f t="shared" si="19"/>
        <v/>
      </c>
      <c r="L443" s="1" t="str">
        <f t="shared" si="20"/>
        <v/>
      </c>
      <c r="M443" s="1">
        <f>IF(OR(Table1[[#This Row],[Std Nom]]="",Table1[[#This Row],[Std Read]]=""),0,Table1[[#This Row],[Std Nom]]-Table1[[#This Row],[Std Read]])</f>
        <v>0</v>
      </c>
      <c r="N443" s="1">
        <f>IF(Calculations!$F$5="ACCREDITED 17025 WITH UNCERTAINTIES",$N$10,0)</f>
        <v>0</v>
      </c>
      <c r="O443" s="1" t="str">
        <f>IFERROR(Table1[[#This Row],[Std Nom]]-(_xlfn.XLOOKUP(Table1[[#This Row],[Manufacturer]]&amp;" "&amp;Table1[[#This Row],[Model]],Table13[MFR &amp; MDL],Table13[Tolerance % CW ],"")/100*Table1[[#This Row],[Std Nom]]),"")</f>
        <v/>
      </c>
      <c r="P443" s="1" t="str">
        <f>IFERROR(Table1[[#This Row],[Std Nom]]+(_xlfn.XLOOKUP(Table1[[#This Row],[Manufacturer]]&amp;" "&amp;Table1[[#This Row],[Model]],Table13[MFR &amp; MDL],Table13[Tolerance % CW ],"")/100*Table1[[#This Row],[Std Nom]]),"")</f>
        <v/>
      </c>
      <c r="Q443" s="1" t="e">
        <f>Table1[[#This Row],[High Tol]]-Table1[[#This Row],[Low Tol]]</f>
        <v>#VALUE!</v>
      </c>
      <c r="R443" s="1">
        <f>2*Table1[[#This Row],[Std Error]]</f>
        <v>0</v>
      </c>
      <c r="S443" s="1" t="str">
        <f>IF(Table1[[#This Row],[High Tol]]="","N/A",IFERROR(ABS(Table1[[#This Row],[Tol Span]]/Table1[[#This Row],[Error Span]]),"N/A"))</f>
        <v>N/A</v>
      </c>
      <c r="T443" s="1" t="str">
        <f>IF(OR(Table1[[#This Row],[Low Tol]]="",Table1[[#This Row],[High Tol]]=""),"Needs Analysis",IF(Table1[[#This Row],[Ratio]]&gt;=4,"Not Significant",IF(Table1[[#This Row],[Ratio]]&gt;=2,"Semi-Significant","Significant")))</f>
        <v>Needs Analysis</v>
      </c>
      <c r="W443" s="1">
        <f>IF(Table1[[#This Row],[Cal Type]]&lt;&gt;"ACCREDITED 17025 WITH UNCERTAINTIES",0,"")</f>
        <v>0</v>
      </c>
      <c r="X443" s="1" t="str">
        <f>IF(Table1[[#This Row],[DUT Read]]="","N/A",Table1[[#This Row],[Std Error]]+Table1[[#This Row],[DUT Read]]+Table1[[#This Row],[DUT Ucty]])</f>
        <v>N/A</v>
      </c>
      <c r="Y443" s="1" t="str">
        <f>IF(Table1[[#This Row],[Std Read]]="","N/A",Table1[[#This Row],[Std Read]]+Table1[[#This Row],[Std Ucty]])</f>
        <v>N/A</v>
      </c>
      <c r="Z4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3" s="1" t="str">
        <f>IF(Table1[[#This Row],[Spec Type]]="","N/A",Table1[[#This Row],[Spec Type]])</f>
        <v>±</v>
      </c>
      <c r="AC443" s="1" t="str">
        <f>IF(Table1[[#This Row],[Spec Type2]]="N/A","N/A",IF(AND(Table1[[#This Row],[DUT Adj Read]]&gt;=Table1[[#This Row],[Low Tol]],Table1[[#This Row],[DUT Adj Read]]&lt;=Table1[[#This Row],[High Tol]]),"Pass","Fail"))</f>
        <v>Fail</v>
      </c>
      <c r="AD443" s="1" t="str">
        <f>IF(AND(Table1[[#This Row],[Spec Type2]]="N/A",Table1[[#This Row],[DUT Adj Read]]="N/A",Table1[[#This Row],[Std Adj Read]]="N/A"),"N/A",IF(Table1[[#This Row],[DUT Adj Read]]="N/A",IF(Table1[[#This Row],[Std Adj Read]]&gt;Table1[[#This Row],[Low Tol]],"Pass","Fail"),IF(Table1[[#This Row],[DUT Adj Read]]&gt;Table1[[#This Row],[Low Tol]],"Pass","Fail")))</f>
        <v>Pass</v>
      </c>
      <c r="AE443" s="1" t="str">
        <f>IF(AND(Table1[[#This Row],[Spec Type2]]="N/A",Table1[[#This Row],[DUT Adj Read]]="N/A",Table1[[#This Row],[Std Adj Read]]="N/A"),"N/A",IF(Table1[[#This Row],[DUT Adj Read]]="N/A",IF(Table1[[#This Row],[Std Adj Read]]&lt;Table1[[#This Row],[High Tol]],"Pass","Fail"),IF(Table1[[#This Row],[DUT Adj Read]]&lt;Table1[[#This Row],[High Tol]],"Pass","Fail")))</f>
        <v>Fail</v>
      </c>
      <c r="AF443" s="1" t="str">
        <f>IF(AND(Table1[[#This Row],[Spec Type2]]="N/A",Table1[[#This Row],[DUT Adj Read]]="N/A",Table1[[#This Row],[Std Adj Read]]="N/A"),"N/A",IF(Table1[[#This Row],[DUT Adj Read]]="N/A",IF(Table1[[#This Row],[Std Adj Read]]&gt;=Table1[[#This Row],[Low Tol]],"Pass","Fail"),IF(Table1[[#This Row],[DUT Adj Read]]&gt;=Table1[[#This Row],[Low Tol]],"Pass","Fail")))</f>
        <v>Pass</v>
      </c>
      <c r="AG443" s="1" t="str">
        <f>IF(AND(Table1[[#This Row],[Spec Type2]]="N/A",Table1[[#This Row],[DUT Adj Read]]="N/A",Table1[[#This Row],[Std Adj Read]]="N/A"),"N/A",IF(Table1[[#This Row],[DUT Adj Read]]="N/A",IF(Table1[[#This Row],[Std Adj Read]]&lt;=Table1[[#This Row],[High Tol]],"Pass","Fail"),IF(Table1[[#This Row],[DUT Adj Read]]&lt;=Table1[[#This Row],[High Tol]],"Pass","Fail")))</f>
        <v>Fail</v>
      </c>
      <c r="AH4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3" s="1" t="b">
        <v>0</v>
      </c>
      <c r="AN443" s="1" t="b">
        <v>0</v>
      </c>
      <c r="AO443" s="1" t="b">
        <v>0</v>
      </c>
    </row>
    <row r="444" spans="1:41" x14ac:dyDescent="0.25">
      <c r="A444" s="10"/>
      <c r="B444" s="10"/>
      <c r="C444" s="10"/>
      <c r="D444" s="10"/>
      <c r="E444" s="10"/>
      <c r="F444" s="10"/>
      <c r="G444" s="10"/>
      <c r="H444" s="10"/>
      <c r="I444" s="1" t="str">
        <f t="shared" si="18"/>
        <v/>
      </c>
      <c r="J444" s="1" t="s">
        <v>35</v>
      </c>
      <c r="K444" s="1" t="str">
        <f t="shared" si="19"/>
        <v/>
      </c>
      <c r="L444" s="1" t="str">
        <f t="shared" si="20"/>
        <v/>
      </c>
      <c r="M444" s="1">
        <f>IF(OR(Table1[[#This Row],[Std Nom]]="",Table1[[#This Row],[Std Read]]=""),0,Table1[[#This Row],[Std Nom]]-Table1[[#This Row],[Std Read]])</f>
        <v>0</v>
      </c>
      <c r="N444" s="1">
        <f>IF(Calculations!$F$5="ACCREDITED 17025 WITH UNCERTAINTIES",$N$10,0)</f>
        <v>0</v>
      </c>
      <c r="O444" s="1" t="str">
        <f>IFERROR(Table1[[#This Row],[Std Nom]]-(_xlfn.XLOOKUP(Table1[[#This Row],[Manufacturer]]&amp;" "&amp;Table1[[#This Row],[Model]],Table13[MFR &amp; MDL],Table13[Tolerance % CW ],"")/100*Table1[[#This Row],[Std Nom]]),"")</f>
        <v/>
      </c>
      <c r="P444" s="1" t="str">
        <f>IFERROR(Table1[[#This Row],[Std Nom]]+(_xlfn.XLOOKUP(Table1[[#This Row],[Manufacturer]]&amp;" "&amp;Table1[[#This Row],[Model]],Table13[MFR &amp; MDL],Table13[Tolerance % CW ],"")/100*Table1[[#This Row],[Std Nom]]),"")</f>
        <v/>
      </c>
      <c r="Q444" s="1" t="e">
        <f>Table1[[#This Row],[High Tol]]-Table1[[#This Row],[Low Tol]]</f>
        <v>#VALUE!</v>
      </c>
      <c r="R444" s="1">
        <f>2*Table1[[#This Row],[Std Error]]</f>
        <v>0</v>
      </c>
      <c r="S444" s="1" t="str">
        <f>IF(Table1[[#This Row],[High Tol]]="","N/A",IFERROR(ABS(Table1[[#This Row],[Tol Span]]/Table1[[#This Row],[Error Span]]),"N/A"))</f>
        <v>N/A</v>
      </c>
      <c r="T444" s="1" t="str">
        <f>IF(OR(Table1[[#This Row],[Low Tol]]="",Table1[[#This Row],[High Tol]]=""),"Needs Analysis",IF(Table1[[#This Row],[Ratio]]&gt;=4,"Not Significant",IF(Table1[[#This Row],[Ratio]]&gt;=2,"Semi-Significant","Significant")))</f>
        <v>Needs Analysis</v>
      </c>
      <c r="W444" s="1">
        <f>IF(Table1[[#This Row],[Cal Type]]&lt;&gt;"ACCREDITED 17025 WITH UNCERTAINTIES",0,"")</f>
        <v>0</v>
      </c>
      <c r="X444" s="1" t="str">
        <f>IF(Table1[[#This Row],[DUT Read]]="","N/A",Table1[[#This Row],[Std Error]]+Table1[[#This Row],[DUT Read]]+Table1[[#This Row],[DUT Ucty]])</f>
        <v>N/A</v>
      </c>
      <c r="Y444" s="1" t="str">
        <f>IF(Table1[[#This Row],[Std Read]]="","N/A",Table1[[#This Row],[Std Read]]+Table1[[#This Row],[Std Ucty]])</f>
        <v>N/A</v>
      </c>
      <c r="Z4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4" s="1" t="str">
        <f>IF(Table1[[#This Row],[Spec Type]]="","N/A",Table1[[#This Row],[Spec Type]])</f>
        <v>±</v>
      </c>
      <c r="AC444" s="1" t="str">
        <f>IF(Table1[[#This Row],[Spec Type2]]="N/A","N/A",IF(AND(Table1[[#This Row],[DUT Adj Read]]&gt;=Table1[[#This Row],[Low Tol]],Table1[[#This Row],[DUT Adj Read]]&lt;=Table1[[#This Row],[High Tol]]),"Pass","Fail"))</f>
        <v>Fail</v>
      </c>
      <c r="AD444" s="1" t="str">
        <f>IF(AND(Table1[[#This Row],[Spec Type2]]="N/A",Table1[[#This Row],[DUT Adj Read]]="N/A",Table1[[#This Row],[Std Adj Read]]="N/A"),"N/A",IF(Table1[[#This Row],[DUT Adj Read]]="N/A",IF(Table1[[#This Row],[Std Adj Read]]&gt;Table1[[#This Row],[Low Tol]],"Pass","Fail"),IF(Table1[[#This Row],[DUT Adj Read]]&gt;Table1[[#This Row],[Low Tol]],"Pass","Fail")))</f>
        <v>Pass</v>
      </c>
      <c r="AE444" s="1" t="str">
        <f>IF(AND(Table1[[#This Row],[Spec Type2]]="N/A",Table1[[#This Row],[DUT Adj Read]]="N/A",Table1[[#This Row],[Std Adj Read]]="N/A"),"N/A",IF(Table1[[#This Row],[DUT Adj Read]]="N/A",IF(Table1[[#This Row],[Std Adj Read]]&lt;Table1[[#This Row],[High Tol]],"Pass","Fail"),IF(Table1[[#This Row],[DUT Adj Read]]&lt;Table1[[#This Row],[High Tol]],"Pass","Fail")))</f>
        <v>Fail</v>
      </c>
      <c r="AF444" s="1" t="str">
        <f>IF(AND(Table1[[#This Row],[Spec Type2]]="N/A",Table1[[#This Row],[DUT Adj Read]]="N/A",Table1[[#This Row],[Std Adj Read]]="N/A"),"N/A",IF(Table1[[#This Row],[DUT Adj Read]]="N/A",IF(Table1[[#This Row],[Std Adj Read]]&gt;=Table1[[#This Row],[Low Tol]],"Pass","Fail"),IF(Table1[[#This Row],[DUT Adj Read]]&gt;=Table1[[#This Row],[Low Tol]],"Pass","Fail")))</f>
        <v>Pass</v>
      </c>
      <c r="AG444" s="1" t="str">
        <f>IF(AND(Table1[[#This Row],[Spec Type2]]="N/A",Table1[[#This Row],[DUT Adj Read]]="N/A",Table1[[#This Row],[Std Adj Read]]="N/A"),"N/A",IF(Table1[[#This Row],[DUT Adj Read]]="N/A",IF(Table1[[#This Row],[Std Adj Read]]&lt;=Table1[[#This Row],[High Tol]],"Pass","Fail"),IF(Table1[[#This Row],[DUT Adj Read]]&lt;=Table1[[#This Row],[High Tol]],"Pass","Fail")))</f>
        <v>Fail</v>
      </c>
      <c r="AH4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4" s="1" t="b">
        <v>0</v>
      </c>
      <c r="AN444" s="1" t="b">
        <v>0</v>
      </c>
      <c r="AO444" s="1" t="b">
        <v>0</v>
      </c>
    </row>
    <row r="445" spans="1:41" x14ac:dyDescent="0.25">
      <c r="A445" s="10"/>
      <c r="B445" s="10"/>
      <c r="C445" s="10"/>
      <c r="D445" s="10"/>
      <c r="E445" s="10"/>
      <c r="F445" s="10"/>
      <c r="G445" s="10"/>
      <c r="H445" s="10"/>
      <c r="I445" s="1" t="str">
        <f t="shared" si="18"/>
        <v/>
      </c>
      <c r="J445" s="1" t="s">
        <v>35</v>
      </c>
      <c r="K445" s="1" t="str">
        <f t="shared" si="19"/>
        <v/>
      </c>
      <c r="L445" s="1" t="str">
        <f t="shared" si="20"/>
        <v/>
      </c>
      <c r="M445" s="1">
        <f>IF(OR(Table1[[#This Row],[Std Nom]]="",Table1[[#This Row],[Std Read]]=""),0,Table1[[#This Row],[Std Nom]]-Table1[[#This Row],[Std Read]])</f>
        <v>0</v>
      </c>
      <c r="N445" s="1">
        <f>IF(Calculations!$F$5="ACCREDITED 17025 WITH UNCERTAINTIES",$N$10,0)</f>
        <v>0</v>
      </c>
      <c r="O445" s="1" t="str">
        <f>IFERROR(Table1[[#This Row],[Std Nom]]-(_xlfn.XLOOKUP(Table1[[#This Row],[Manufacturer]]&amp;" "&amp;Table1[[#This Row],[Model]],Table13[MFR &amp; MDL],Table13[Tolerance % CW ],"")/100*Table1[[#This Row],[Std Nom]]),"")</f>
        <v/>
      </c>
      <c r="P445" s="1" t="str">
        <f>IFERROR(Table1[[#This Row],[Std Nom]]+(_xlfn.XLOOKUP(Table1[[#This Row],[Manufacturer]]&amp;" "&amp;Table1[[#This Row],[Model]],Table13[MFR &amp; MDL],Table13[Tolerance % CW ],"")/100*Table1[[#This Row],[Std Nom]]),"")</f>
        <v/>
      </c>
      <c r="Q445" s="1" t="e">
        <f>Table1[[#This Row],[High Tol]]-Table1[[#This Row],[Low Tol]]</f>
        <v>#VALUE!</v>
      </c>
      <c r="R445" s="1">
        <f>2*Table1[[#This Row],[Std Error]]</f>
        <v>0</v>
      </c>
      <c r="S445" s="1" t="str">
        <f>IF(Table1[[#This Row],[High Tol]]="","N/A",IFERROR(ABS(Table1[[#This Row],[Tol Span]]/Table1[[#This Row],[Error Span]]),"N/A"))</f>
        <v>N/A</v>
      </c>
      <c r="T445" s="1" t="str">
        <f>IF(OR(Table1[[#This Row],[Low Tol]]="",Table1[[#This Row],[High Tol]]=""),"Needs Analysis",IF(Table1[[#This Row],[Ratio]]&gt;=4,"Not Significant",IF(Table1[[#This Row],[Ratio]]&gt;=2,"Semi-Significant","Significant")))</f>
        <v>Needs Analysis</v>
      </c>
      <c r="W445" s="1">
        <f>IF(Table1[[#This Row],[Cal Type]]&lt;&gt;"ACCREDITED 17025 WITH UNCERTAINTIES",0,"")</f>
        <v>0</v>
      </c>
      <c r="X445" s="1" t="str">
        <f>IF(Table1[[#This Row],[DUT Read]]="","N/A",Table1[[#This Row],[Std Error]]+Table1[[#This Row],[DUT Read]]+Table1[[#This Row],[DUT Ucty]])</f>
        <v>N/A</v>
      </c>
      <c r="Y445" s="1" t="str">
        <f>IF(Table1[[#This Row],[Std Read]]="","N/A",Table1[[#This Row],[Std Read]]+Table1[[#This Row],[Std Ucty]])</f>
        <v>N/A</v>
      </c>
      <c r="Z4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5" s="1" t="str">
        <f>IF(Table1[[#This Row],[Spec Type]]="","N/A",Table1[[#This Row],[Spec Type]])</f>
        <v>±</v>
      </c>
      <c r="AC445" s="1" t="str">
        <f>IF(Table1[[#This Row],[Spec Type2]]="N/A","N/A",IF(AND(Table1[[#This Row],[DUT Adj Read]]&gt;=Table1[[#This Row],[Low Tol]],Table1[[#This Row],[DUT Adj Read]]&lt;=Table1[[#This Row],[High Tol]]),"Pass","Fail"))</f>
        <v>Fail</v>
      </c>
      <c r="AD445" s="1" t="str">
        <f>IF(AND(Table1[[#This Row],[Spec Type2]]="N/A",Table1[[#This Row],[DUT Adj Read]]="N/A",Table1[[#This Row],[Std Adj Read]]="N/A"),"N/A",IF(Table1[[#This Row],[DUT Adj Read]]="N/A",IF(Table1[[#This Row],[Std Adj Read]]&gt;Table1[[#This Row],[Low Tol]],"Pass","Fail"),IF(Table1[[#This Row],[DUT Adj Read]]&gt;Table1[[#This Row],[Low Tol]],"Pass","Fail")))</f>
        <v>Pass</v>
      </c>
      <c r="AE445" s="1" t="str">
        <f>IF(AND(Table1[[#This Row],[Spec Type2]]="N/A",Table1[[#This Row],[DUT Adj Read]]="N/A",Table1[[#This Row],[Std Adj Read]]="N/A"),"N/A",IF(Table1[[#This Row],[DUT Adj Read]]="N/A",IF(Table1[[#This Row],[Std Adj Read]]&lt;Table1[[#This Row],[High Tol]],"Pass","Fail"),IF(Table1[[#This Row],[DUT Adj Read]]&lt;Table1[[#This Row],[High Tol]],"Pass","Fail")))</f>
        <v>Fail</v>
      </c>
      <c r="AF445" s="1" t="str">
        <f>IF(AND(Table1[[#This Row],[Spec Type2]]="N/A",Table1[[#This Row],[DUT Adj Read]]="N/A",Table1[[#This Row],[Std Adj Read]]="N/A"),"N/A",IF(Table1[[#This Row],[DUT Adj Read]]="N/A",IF(Table1[[#This Row],[Std Adj Read]]&gt;=Table1[[#This Row],[Low Tol]],"Pass","Fail"),IF(Table1[[#This Row],[DUT Adj Read]]&gt;=Table1[[#This Row],[Low Tol]],"Pass","Fail")))</f>
        <v>Pass</v>
      </c>
      <c r="AG445" s="1" t="str">
        <f>IF(AND(Table1[[#This Row],[Spec Type2]]="N/A",Table1[[#This Row],[DUT Adj Read]]="N/A",Table1[[#This Row],[Std Adj Read]]="N/A"),"N/A",IF(Table1[[#This Row],[DUT Adj Read]]="N/A",IF(Table1[[#This Row],[Std Adj Read]]&lt;=Table1[[#This Row],[High Tol]],"Pass","Fail"),IF(Table1[[#This Row],[DUT Adj Read]]&lt;=Table1[[#This Row],[High Tol]],"Pass","Fail")))</f>
        <v>Fail</v>
      </c>
      <c r="AH4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5" s="1" t="b">
        <v>0</v>
      </c>
      <c r="AN445" s="1" t="b">
        <v>0</v>
      </c>
      <c r="AO445" s="1" t="b">
        <v>0</v>
      </c>
    </row>
    <row r="446" spans="1:41" x14ac:dyDescent="0.25">
      <c r="A446" s="10"/>
      <c r="B446" s="10"/>
      <c r="C446" s="10"/>
      <c r="D446" s="10"/>
      <c r="E446" s="10"/>
      <c r="F446" s="10"/>
      <c r="G446" s="10"/>
      <c r="H446" s="10"/>
      <c r="I446" s="1" t="str">
        <f t="shared" si="18"/>
        <v/>
      </c>
      <c r="J446" s="1" t="s">
        <v>35</v>
      </c>
      <c r="K446" s="1" t="str">
        <f t="shared" si="19"/>
        <v/>
      </c>
      <c r="L446" s="1" t="str">
        <f t="shared" si="20"/>
        <v/>
      </c>
      <c r="M446" s="1">
        <f>IF(OR(Table1[[#This Row],[Std Nom]]="",Table1[[#This Row],[Std Read]]=""),0,Table1[[#This Row],[Std Nom]]-Table1[[#This Row],[Std Read]])</f>
        <v>0</v>
      </c>
      <c r="N446" s="1">
        <f>IF(Calculations!$F$5="ACCREDITED 17025 WITH UNCERTAINTIES",$N$10,0)</f>
        <v>0</v>
      </c>
      <c r="O446" s="1" t="str">
        <f>IFERROR(Table1[[#This Row],[Std Nom]]-(_xlfn.XLOOKUP(Table1[[#This Row],[Manufacturer]]&amp;" "&amp;Table1[[#This Row],[Model]],Table13[MFR &amp; MDL],Table13[Tolerance % CW ],"")/100*Table1[[#This Row],[Std Nom]]),"")</f>
        <v/>
      </c>
      <c r="P446" s="1" t="str">
        <f>IFERROR(Table1[[#This Row],[Std Nom]]+(_xlfn.XLOOKUP(Table1[[#This Row],[Manufacturer]]&amp;" "&amp;Table1[[#This Row],[Model]],Table13[MFR &amp; MDL],Table13[Tolerance % CW ],"")/100*Table1[[#This Row],[Std Nom]]),"")</f>
        <v/>
      </c>
      <c r="Q446" s="1" t="e">
        <f>Table1[[#This Row],[High Tol]]-Table1[[#This Row],[Low Tol]]</f>
        <v>#VALUE!</v>
      </c>
      <c r="R446" s="1">
        <f>2*Table1[[#This Row],[Std Error]]</f>
        <v>0</v>
      </c>
      <c r="S446" s="1" t="str">
        <f>IF(Table1[[#This Row],[High Tol]]="","N/A",IFERROR(ABS(Table1[[#This Row],[Tol Span]]/Table1[[#This Row],[Error Span]]),"N/A"))</f>
        <v>N/A</v>
      </c>
      <c r="T446" s="1" t="str">
        <f>IF(OR(Table1[[#This Row],[Low Tol]]="",Table1[[#This Row],[High Tol]]=""),"Needs Analysis",IF(Table1[[#This Row],[Ratio]]&gt;=4,"Not Significant",IF(Table1[[#This Row],[Ratio]]&gt;=2,"Semi-Significant","Significant")))</f>
        <v>Needs Analysis</v>
      </c>
      <c r="W446" s="1">
        <f>IF(Table1[[#This Row],[Cal Type]]&lt;&gt;"ACCREDITED 17025 WITH UNCERTAINTIES",0,"")</f>
        <v>0</v>
      </c>
      <c r="X446" s="1" t="str">
        <f>IF(Table1[[#This Row],[DUT Read]]="","N/A",Table1[[#This Row],[Std Error]]+Table1[[#This Row],[DUT Read]]+Table1[[#This Row],[DUT Ucty]])</f>
        <v>N/A</v>
      </c>
      <c r="Y446" s="1" t="str">
        <f>IF(Table1[[#This Row],[Std Read]]="","N/A",Table1[[#This Row],[Std Read]]+Table1[[#This Row],[Std Ucty]])</f>
        <v>N/A</v>
      </c>
      <c r="Z4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6" s="1" t="str">
        <f>IF(Table1[[#This Row],[Spec Type]]="","N/A",Table1[[#This Row],[Spec Type]])</f>
        <v>±</v>
      </c>
      <c r="AC446" s="1" t="str">
        <f>IF(Table1[[#This Row],[Spec Type2]]="N/A","N/A",IF(AND(Table1[[#This Row],[DUT Adj Read]]&gt;=Table1[[#This Row],[Low Tol]],Table1[[#This Row],[DUT Adj Read]]&lt;=Table1[[#This Row],[High Tol]]),"Pass","Fail"))</f>
        <v>Fail</v>
      </c>
      <c r="AD446" s="1" t="str">
        <f>IF(AND(Table1[[#This Row],[Spec Type2]]="N/A",Table1[[#This Row],[DUT Adj Read]]="N/A",Table1[[#This Row],[Std Adj Read]]="N/A"),"N/A",IF(Table1[[#This Row],[DUT Adj Read]]="N/A",IF(Table1[[#This Row],[Std Adj Read]]&gt;Table1[[#This Row],[Low Tol]],"Pass","Fail"),IF(Table1[[#This Row],[DUT Adj Read]]&gt;Table1[[#This Row],[Low Tol]],"Pass","Fail")))</f>
        <v>Pass</v>
      </c>
      <c r="AE446" s="1" t="str">
        <f>IF(AND(Table1[[#This Row],[Spec Type2]]="N/A",Table1[[#This Row],[DUT Adj Read]]="N/A",Table1[[#This Row],[Std Adj Read]]="N/A"),"N/A",IF(Table1[[#This Row],[DUT Adj Read]]="N/A",IF(Table1[[#This Row],[Std Adj Read]]&lt;Table1[[#This Row],[High Tol]],"Pass","Fail"),IF(Table1[[#This Row],[DUT Adj Read]]&lt;Table1[[#This Row],[High Tol]],"Pass","Fail")))</f>
        <v>Fail</v>
      </c>
      <c r="AF446" s="1" t="str">
        <f>IF(AND(Table1[[#This Row],[Spec Type2]]="N/A",Table1[[#This Row],[DUT Adj Read]]="N/A",Table1[[#This Row],[Std Adj Read]]="N/A"),"N/A",IF(Table1[[#This Row],[DUT Adj Read]]="N/A",IF(Table1[[#This Row],[Std Adj Read]]&gt;=Table1[[#This Row],[Low Tol]],"Pass","Fail"),IF(Table1[[#This Row],[DUT Adj Read]]&gt;=Table1[[#This Row],[Low Tol]],"Pass","Fail")))</f>
        <v>Pass</v>
      </c>
      <c r="AG446" s="1" t="str">
        <f>IF(AND(Table1[[#This Row],[Spec Type2]]="N/A",Table1[[#This Row],[DUT Adj Read]]="N/A",Table1[[#This Row],[Std Adj Read]]="N/A"),"N/A",IF(Table1[[#This Row],[DUT Adj Read]]="N/A",IF(Table1[[#This Row],[Std Adj Read]]&lt;=Table1[[#This Row],[High Tol]],"Pass","Fail"),IF(Table1[[#This Row],[DUT Adj Read]]&lt;=Table1[[#This Row],[High Tol]],"Pass","Fail")))</f>
        <v>Fail</v>
      </c>
      <c r="AH4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6" s="1" t="b">
        <v>0</v>
      </c>
      <c r="AN446" s="1" t="b">
        <v>0</v>
      </c>
      <c r="AO446" s="1" t="b">
        <v>0</v>
      </c>
    </row>
    <row r="447" spans="1:41" x14ac:dyDescent="0.25">
      <c r="A447" s="10"/>
      <c r="B447" s="10"/>
      <c r="C447" s="10"/>
      <c r="D447" s="10"/>
      <c r="E447" s="10"/>
      <c r="F447" s="10"/>
      <c r="G447" s="10"/>
      <c r="H447" s="10"/>
      <c r="I447" s="1" t="str">
        <f t="shared" si="18"/>
        <v/>
      </c>
      <c r="J447" s="1" t="s">
        <v>35</v>
      </c>
      <c r="K447" s="1" t="str">
        <f t="shared" si="19"/>
        <v/>
      </c>
      <c r="L447" s="1" t="str">
        <f t="shared" si="20"/>
        <v/>
      </c>
      <c r="M447" s="1">
        <f>IF(OR(Table1[[#This Row],[Std Nom]]="",Table1[[#This Row],[Std Read]]=""),0,Table1[[#This Row],[Std Nom]]-Table1[[#This Row],[Std Read]])</f>
        <v>0</v>
      </c>
      <c r="N447" s="1">
        <f>IF(Calculations!$F$5="ACCREDITED 17025 WITH UNCERTAINTIES",$N$10,0)</f>
        <v>0</v>
      </c>
      <c r="O447" s="1" t="str">
        <f>IFERROR(Table1[[#This Row],[Std Nom]]-(_xlfn.XLOOKUP(Table1[[#This Row],[Manufacturer]]&amp;" "&amp;Table1[[#This Row],[Model]],Table13[MFR &amp; MDL],Table13[Tolerance % CW ],"")/100*Table1[[#This Row],[Std Nom]]),"")</f>
        <v/>
      </c>
      <c r="P447" s="1" t="str">
        <f>IFERROR(Table1[[#This Row],[Std Nom]]+(_xlfn.XLOOKUP(Table1[[#This Row],[Manufacturer]]&amp;" "&amp;Table1[[#This Row],[Model]],Table13[MFR &amp; MDL],Table13[Tolerance % CW ],"")/100*Table1[[#This Row],[Std Nom]]),"")</f>
        <v/>
      </c>
      <c r="Q447" s="1" t="e">
        <f>Table1[[#This Row],[High Tol]]-Table1[[#This Row],[Low Tol]]</f>
        <v>#VALUE!</v>
      </c>
      <c r="R447" s="1">
        <f>2*Table1[[#This Row],[Std Error]]</f>
        <v>0</v>
      </c>
      <c r="S447" s="1" t="str">
        <f>IF(Table1[[#This Row],[High Tol]]="","N/A",IFERROR(ABS(Table1[[#This Row],[Tol Span]]/Table1[[#This Row],[Error Span]]),"N/A"))</f>
        <v>N/A</v>
      </c>
      <c r="T447" s="1" t="str">
        <f>IF(OR(Table1[[#This Row],[Low Tol]]="",Table1[[#This Row],[High Tol]]=""),"Needs Analysis",IF(Table1[[#This Row],[Ratio]]&gt;=4,"Not Significant",IF(Table1[[#This Row],[Ratio]]&gt;=2,"Semi-Significant","Significant")))</f>
        <v>Needs Analysis</v>
      </c>
      <c r="W447" s="1">
        <f>IF(Table1[[#This Row],[Cal Type]]&lt;&gt;"ACCREDITED 17025 WITH UNCERTAINTIES",0,"")</f>
        <v>0</v>
      </c>
      <c r="X447" s="1" t="str">
        <f>IF(Table1[[#This Row],[DUT Read]]="","N/A",Table1[[#This Row],[Std Error]]+Table1[[#This Row],[DUT Read]]+Table1[[#This Row],[DUT Ucty]])</f>
        <v>N/A</v>
      </c>
      <c r="Y447" s="1" t="str">
        <f>IF(Table1[[#This Row],[Std Read]]="","N/A",Table1[[#This Row],[Std Read]]+Table1[[#This Row],[Std Ucty]])</f>
        <v>N/A</v>
      </c>
      <c r="Z4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7" s="1" t="str">
        <f>IF(Table1[[#This Row],[Spec Type]]="","N/A",Table1[[#This Row],[Spec Type]])</f>
        <v>±</v>
      </c>
      <c r="AC447" s="1" t="str">
        <f>IF(Table1[[#This Row],[Spec Type2]]="N/A","N/A",IF(AND(Table1[[#This Row],[DUT Adj Read]]&gt;=Table1[[#This Row],[Low Tol]],Table1[[#This Row],[DUT Adj Read]]&lt;=Table1[[#This Row],[High Tol]]),"Pass","Fail"))</f>
        <v>Fail</v>
      </c>
      <c r="AD447" s="1" t="str">
        <f>IF(AND(Table1[[#This Row],[Spec Type2]]="N/A",Table1[[#This Row],[DUT Adj Read]]="N/A",Table1[[#This Row],[Std Adj Read]]="N/A"),"N/A",IF(Table1[[#This Row],[DUT Adj Read]]="N/A",IF(Table1[[#This Row],[Std Adj Read]]&gt;Table1[[#This Row],[Low Tol]],"Pass","Fail"),IF(Table1[[#This Row],[DUT Adj Read]]&gt;Table1[[#This Row],[Low Tol]],"Pass","Fail")))</f>
        <v>Pass</v>
      </c>
      <c r="AE447" s="1" t="str">
        <f>IF(AND(Table1[[#This Row],[Spec Type2]]="N/A",Table1[[#This Row],[DUT Adj Read]]="N/A",Table1[[#This Row],[Std Adj Read]]="N/A"),"N/A",IF(Table1[[#This Row],[DUT Adj Read]]="N/A",IF(Table1[[#This Row],[Std Adj Read]]&lt;Table1[[#This Row],[High Tol]],"Pass","Fail"),IF(Table1[[#This Row],[DUT Adj Read]]&lt;Table1[[#This Row],[High Tol]],"Pass","Fail")))</f>
        <v>Fail</v>
      </c>
      <c r="AF447" s="1" t="str">
        <f>IF(AND(Table1[[#This Row],[Spec Type2]]="N/A",Table1[[#This Row],[DUT Adj Read]]="N/A",Table1[[#This Row],[Std Adj Read]]="N/A"),"N/A",IF(Table1[[#This Row],[DUT Adj Read]]="N/A",IF(Table1[[#This Row],[Std Adj Read]]&gt;=Table1[[#This Row],[Low Tol]],"Pass","Fail"),IF(Table1[[#This Row],[DUT Adj Read]]&gt;=Table1[[#This Row],[Low Tol]],"Pass","Fail")))</f>
        <v>Pass</v>
      </c>
      <c r="AG447" s="1" t="str">
        <f>IF(AND(Table1[[#This Row],[Spec Type2]]="N/A",Table1[[#This Row],[DUT Adj Read]]="N/A",Table1[[#This Row],[Std Adj Read]]="N/A"),"N/A",IF(Table1[[#This Row],[DUT Adj Read]]="N/A",IF(Table1[[#This Row],[Std Adj Read]]&lt;=Table1[[#This Row],[High Tol]],"Pass","Fail"),IF(Table1[[#This Row],[DUT Adj Read]]&lt;=Table1[[#This Row],[High Tol]],"Pass","Fail")))</f>
        <v>Fail</v>
      </c>
      <c r="AH4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7" s="1" t="b">
        <v>0</v>
      </c>
      <c r="AN447" s="1" t="b">
        <v>0</v>
      </c>
      <c r="AO447" s="1" t="b">
        <v>0</v>
      </c>
    </row>
    <row r="448" spans="1:41" x14ac:dyDescent="0.25">
      <c r="A448" s="10"/>
      <c r="B448" s="10"/>
      <c r="C448" s="10"/>
      <c r="D448" s="10"/>
      <c r="E448" s="10"/>
      <c r="F448" s="10"/>
      <c r="G448" s="10"/>
      <c r="H448" s="10"/>
      <c r="I448" s="1" t="str">
        <f t="shared" si="18"/>
        <v/>
      </c>
      <c r="J448" s="1" t="s">
        <v>35</v>
      </c>
      <c r="K448" s="1" t="str">
        <f t="shared" si="19"/>
        <v/>
      </c>
      <c r="L448" s="1" t="str">
        <f t="shared" si="20"/>
        <v/>
      </c>
      <c r="M448" s="1">
        <f>IF(OR(Table1[[#This Row],[Std Nom]]="",Table1[[#This Row],[Std Read]]=""),0,Table1[[#This Row],[Std Nom]]-Table1[[#This Row],[Std Read]])</f>
        <v>0</v>
      </c>
      <c r="N448" s="1">
        <f>IF(Calculations!$F$5="ACCREDITED 17025 WITH UNCERTAINTIES",$N$10,0)</f>
        <v>0</v>
      </c>
      <c r="O448" s="1" t="str">
        <f>IFERROR(Table1[[#This Row],[Std Nom]]-(_xlfn.XLOOKUP(Table1[[#This Row],[Manufacturer]]&amp;" "&amp;Table1[[#This Row],[Model]],Table13[MFR &amp; MDL],Table13[Tolerance % CW ],"")/100*Table1[[#This Row],[Std Nom]]),"")</f>
        <v/>
      </c>
      <c r="P448" s="1" t="str">
        <f>IFERROR(Table1[[#This Row],[Std Nom]]+(_xlfn.XLOOKUP(Table1[[#This Row],[Manufacturer]]&amp;" "&amp;Table1[[#This Row],[Model]],Table13[MFR &amp; MDL],Table13[Tolerance % CW ],"")/100*Table1[[#This Row],[Std Nom]]),"")</f>
        <v/>
      </c>
      <c r="Q448" s="1" t="e">
        <f>Table1[[#This Row],[High Tol]]-Table1[[#This Row],[Low Tol]]</f>
        <v>#VALUE!</v>
      </c>
      <c r="R448" s="1">
        <f>2*Table1[[#This Row],[Std Error]]</f>
        <v>0</v>
      </c>
      <c r="S448" s="1" t="str">
        <f>IF(Table1[[#This Row],[High Tol]]="","N/A",IFERROR(ABS(Table1[[#This Row],[Tol Span]]/Table1[[#This Row],[Error Span]]),"N/A"))</f>
        <v>N/A</v>
      </c>
      <c r="T448" s="1" t="str">
        <f>IF(OR(Table1[[#This Row],[Low Tol]]="",Table1[[#This Row],[High Tol]]=""),"Needs Analysis",IF(Table1[[#This Row],[Ratio]]&gt;=4,"Not Significant",IF(Table1[[#This Row],[Ratio]]&gt;=2,"Semi-Significant","Significant")))</f>
        <v>Needs Analysis</v>
      </c>
      <c r="W448" s="1">
        <f>IF(Table1[[#This Row],[Cal Type]]&lt;&gt;"ACCREDITED 17025 WITH UNCERTAINTIES",0,"")</f>
        <v>0</v>
      </c>
      <c r="X448" s="1" t="str">
        <f>IF(Table1[[#This Row],[DUT Read]]="","N/A",Table1[[#This Row],[Std Error]]+Table1[[#This Row],[DUT Read]]+Table1[[#This Row],[DUT Ucty]])</f>
        <v>N/A</v>
      </c>
      <c r="Y448" s="1" t="str">
        <f>IF(Table1[[#This Row],[Std Read]]="","N/A",Table1[[#This Row],[Std Read]]+Table1[[#This Row],[Std Ucty]])</f>
        <v>N/A</v>
      </c>
      <c r="Z4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8" s="1" t="str">
        <f>IF(Table1[[#This Row],[Spec Type]]="","N/A",Table1[[#This Row],[Spec Type]])</f>
        <v>±</v>
      </c>
      <c r="AC448" s="1" t="str">
        <f>IF(Table1[[#This Row],[Spec Type2]]="N/A","N/A",IF(AND(Table1[[#This Row],[DUT Adj Read]]&gt;=Table1[[#This Row],[Low Tol]],Table1[[#This Row],[DUT Adj Read]]&lt;=Table1[[#This Row],[High Tol]]),"Pass","Fail"))</f>
        <v>Fail</v>
      </c>
      <c r="AD448" s="1" t="str">
        <f>IF(AND(Table1[[#This Row],[Spec Type2]]="N/A",Table1[[#This Row],[DUT Adj Read]]="N/A",Table1[[#This Row],[Std Adj Read]]="N/A"),"N/A",IF(Table1[[#This Row],[DUT Adj Read]]="N/A",IF(Table1[[#This Row],[Std Adj Read]]&gt;Table1[[#This Row],[Low Tol]],"Pass","Fail"),IF(Table1[[#This Row],[DUT Adj Read]]&gt;Table1[[#This Row],[Low Tol]],"Pass","Fail")))</f>
        <v>Pass</v>
      </c>
      <c r="AE448" s="1" t="str">
        <f>IF(AND(Table1[[#This Row],[Spec Type2]]="N/A",Table1[[#This Row],[DUT Adj Read]]="N/A",Table1[[#This Row],[Std Adj Read]]="N/A"),"N/A",IF(Table1[[#This Row],[DUT Adj Read]]="N/A",IF(Table1[[#This Row],[Std Adj Read]]&lt;Table1[[#This Row],[High Tol]],"Pass","Fail"),IF(Table1[[#This Row],[DUT Adj Read]]&lt;Table1[[#This Row],[High Tol]],"Pass","Fail")))</f>
        <v>Fail</v>
      </c>
      <c r="AF448" s="1" t="str">
        <f>IF(AND(Table1[[#This Row],[Spec Type2]]="N/A",Table1[[#This Row],[DUT Adj Read]]="N/A",Table1[[#This Row],[Std Adj Read]]="N/A"),"N/A",IF(Table1[[#This Row],[DUT Adj Read]]="N/A",IF(Table1[[#This Row],[Std Adj Read]]&gt;=Table1[[#This Row],[Low Tol]],"Pass","Fail"),IF(Table1[[#This Row],[DUT Adj Read]]&gt;=Table1[[#This Row],[Low Tol]],"Pass","Fail")))</f>
        <v>Pass</v>
      </c>
      <c r="AG448" s="1" t="str">
        <f>IF(AND(Table1[[#This Row],[Spec Type2]]="N/A",Table1[[#This Row],[DUT Adj Read]]="N/A",Table1[[#This Row],[Std Adj Read]]="N/A"),"N/A",IF(Table1[[#This Row],[DUT Adj Read]]="N/A",IF(Table1[[#This Row],[Std Adj Read]]&lt;=Table1[[#This Row],[High Tol]],"Pass","Fail"),IF(Table1[[#This Row],[DUT Adj Read]]&lt;=Table1[[#This Row],[High Tol]],"Pass","Fail")))</f>
        <v>Fail</v>
      </c>
      <c r="AH4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8" s="1" t="b">
        <v>0</v>
      </c>
      <c r="AN448" s="1" t="b">
        <v>0</v>
      </c>
      <c r="AO448" s="1" t="b">
        <v>0</v>
      </c>
    </row>
    <row r="449" spans="1:41" x14ac:dyDescent="0.25">
      <c r="A449" s="10"/>
      <c r="B449" s="10"/>
      <c r="C449" s="10"/>
      <c r="D449" s="10"/>
      <c r="E449" s="10"/>
      <c r="F449" s="10"/>
      <c r="G449" s="10"/>
      <c r="H449" s="10"/>
      <c r="I449" s="1" t="str">
        <f t="shared" si="18"/>
        <v/>
      </c>
      <c r="J449" s="1" t="s">
        <v>35</v>
      </c>
      <c r="K449" s="1" t="str">
        <f t="shared" si="19"/>
        <v/>
      </c>
      <c r="L449" s="1" t="str">
        <f t="shared" si="20"/>
        <v/>
      </c>
      <c r="M449" s="1">
        <f>IF(OR(Table1[[#This Row],[Std Nom]]="",Table1[[#This Row],[Std Read]]=""),0,Table1[[#This Row],[Std Nom]]-Table1[[#This Row],[Std Read]])</f>
        <v>0</v>
      </c>
      <c r="N449" s="1">
        <f>IF(Calculations!$F$5="ACCREDITED 17025 WITH UNCERTAINTIES",$N$10,0)</f>
        <v>0</v>
      </c>
      <c r="O449" s="1" t="str">
        <f>IFERROR(Table1[[#This Row],[Std Nom]]-(_xlfn.XLOOKUP(Table1[[#This Row],[Manufacturer]]&amp;" "&amp;Table1[[#This Row],[Model]],Table13[MFR &amp; MDL],Table13[Tolerance % CW ],"")/100*Table1[[#This Row],[Std Nom]]),"")</f>
        <v/>
      </c>
      <c r="P449" s="1" t="str">
        <f>IFERROR(Table1[[#This Row],[Std Nom]]+(_xlfn.XLOOKUP(Table1[[#This Row],[Manufacturer]]&amp;" "&amp;Table1[[#This Row],[Model]],Table13[MFR &amp; MDL],Table13[Tolerance % CW ],"")/100*Table1[[#This Row],[Std Nom]]),"")</f>
        <v/>
      </c>
      <c r="Q449" s="1" t="e">
        <f>Table1[[#This Row],[High Tol]]-Table1[[#This Row],[Low Tol]]</f>
        <v>#VALUE!</v>
      </c>
      <c r="R449" s="1">
        <f>2*Table1[[#This Row],[Std Error]]</f>
        <v>0</v>
      </c>
      <c r="S449" s="1" t="str">
        <f>IF(Table1[[#This Row],[High Tol]]="","N/A",IFERROR(ABS(Table1[[#This Row],[Tol Span]]/Table1[[#This Row],[Error Span]]),"N/A"))</f>
        <v>N/A</v>
      </c>
      <c r="T449" s="1" t="str">
        <f>IF(OR(Table1[[#This Row],[Low Tol]]="",Table1[[#This Row],[High Tol]]=""),"Needs Analysis",IF(Table1[[#This Row],[Ratio]]&gt;=4,"Not Significant",IF(Table1[[#This Row],[Ratio]]&gt;=2,"Semi-Significant","Significant")))</f>
        <v>Needs Analysis</v>
      </c>
      <c r="W449" s="1">
        <f>IF(Table1[[#This Row],[Cal Type]]&lt;&gt;"ACCREDITED 17025 WITH UNCERTAINTIES",0,"")</f>
        <v>0</v>
      </c>
      <c r="X449" s="1" t="str">
        <f>IF(Table1[[#This Row],[DUT Read]]="","N/A",Table1[[#This Row],[Std Error]]+Table1[[#This Row],[DUT Read]]+Table1[[#This Row],[DUT Ucty]])</f>
        <v>N/A</v>
      </c>
      <c r="Y449" s="1" t="str">
        <f>IF(Table1[[#This Row],[Std Read]]="","N/A",Table1[[#This Row],[Std Read]]+Table1[[#This Row],[Std Ucty]])</f>
        <v>N/A</v>
      </c>
      <c r="Z4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9" s="1" t="str">
        <f>IF(Table1[[#This Row],[Spec Type]]="","N/A",Table1[[#This Row],[Spec Type]])</f>
        <v>±</v>
      </c>
      <c r="AC449" s="1" t="str">
        <f>IF(Table1[[#This Row],[Spec Type2]]="N/A","N/A",IF(AND(Table1[[#This Row],[DUT Adj Read]]&gt;=Table1[[#This Row],[Low Tol]],Table1[[#This Row],[DUT Adj Read]]&lt;=Table1[[#This Row],[High Tol]]),"Pass","Fail"))</f>
        <v>Fail</v>
      </c>
      <c r="AD449" s="1" t="str">
        <f>IF(AND(Table1[[#This Row],[Spec Type2]]="N/A",Table1[[#This Row],[DUT Adj Read]]="N/A",Table1[[#This Row],[Std Adj Read]]="N/A"),"N/A",IF(Table1[[#This Row],[DUT Adj Read]]="N/A",IF(Table1[[#This Row],[Std Adj Read]]&gt;Table1[[#This Row],[Low Tol]],"Pass","Fail"),IF(Table1[[#This Row],[DUT Adj Read]]&gt;Table1[[#This Row],[Low Tol]],"Pass","Fail")))</f>
        <v>Pass</v>
      </c>
      <c r="AE449" s="1" t="str">
        <f>IF(AND(Table1[[#This Row],[Spec Type2]]="N/A",Table1[[#This Row],[DUT Adj Read]]="N/A",Table1[[#This Row],[Std Adj Read]]="N/A"),"N/A",IF(Table1[[#This Row],[DUT Adj Read]]="N/A",IF(Table1[[#This Row],[Std Adj Read]]&lt;Table1[[#This Row],[High Tol]],"Pass","Fail"),IF(Table1[[#This Row],[DUT Adj Read]]&lt;Table1[[#This Row],[High Tol]],"Pass","Fail")))</f>
        <v>Fail</v>
      </c>
      <c r="AF449" s="1" t="str">
        <f>IF(AND(Table1[[#This Row],[Spec Type2]]="N/A",Table1[[#This Row],[DUT Adj Read]]="N/A",Table1[[#This Row],[Std Adj Read]]="N/A"),"N/A",IF(Table1[[#This Row],[DUT Adj Read]]="N/A",IF(Table1[[#This Row],[Std Adj Read]]&gt;=Table1[[#This Row],[Low Tol]],"Pass","Fail"),IF(Table1[[#This Row],[DUT Adj Read]]&gt;=Table1[[#This Row],[Low Tol]],"Pass","Fail")))</f>
        <v>Pass</v>
      </c>
      <c r="AG449" s="1" t="str">
        <f>IF(AND(Table1[[#This Row],[Spec Type2]]="N/A",Table1[[#This Row],[DUT Adj Read]]="N/A",Table1[[#This Row],[Std Adj Read]]="N/A"),"N/A",IF(Table1[[#This Row],[DUT Adj Read]]="N/A",IF(Table1[[#This Row],[Std Adj Read]]&lt;=Table1[[#This Row],[High Tol]],"Pass","Fail"),IF(Table1[[#This Row],[DUT Adj Read]]&lt;=Table1[[#This Row],[High Tol]],"Pass","Fail")))</f>
        <v>Fail</v>
      </c>
      <c r="AH4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9" s="1" t="b">
        <v>0</v>
      </c>
      <c r="AN449" s="1" t="b">
        <v>0</v>
      </c>
      <c r="AO449" s="1" t="b">
        <v>0</v>
      </c>
    </row>
    <row r="450" spans="1:41" x14ac:dyDescent="0.25">
      <c r="A450" s="10"/>
      <c r="B450" s="10"/>
      <c r="C450" s="10"/>
      <c r="D450" s="10"/>
      <c r="E450" s="10"/>
      <c r="F450" s="10"/>
      <c r="G450" s="10"/>
      <c r="H450" s="10"/>
      <c r="I450" s="1" t="str">
        <f t="shared" si="18"/>
        <v/>
      </c>
      <c r="J450" s="1" t="s">
        <v>35</v>
      </c>
      <c r="K450" s="1" t="str">
        <f t="shared" si="19"/>
        <v/>
      </c>
      <c r="L450" s="1" t="str">
        <f t="shared" si="20"/>
        <v/>
      </c>
      <c r="M450" s="1">
        <f>IF(OR(Table1[[#This Row],[Std Nom]]="",Table1[[#This Row],[Std Read]]=""),0,Table1[[#This Row],[Std Nom]]-Table1[[#This Row],[Std Read]])</f>
        <v>0</v>
      </c>
      <c r="N450" s="1">
        <f>IF(Calculations!$F$5="ACCREDITED 17025 WITH UNCERTAINTIES",$N$10,0)</f>
        <v>0</v>
      </c>
      <c r="O450" s="1" t="str">
        <f>IFERROR(Table1[[#This Row],[Std Nom]]-(_xlfn.XLOOKUP(Table1[[#This Row],[Manufacturer]]&amp;" "&amp;Table1[[#This Row],[Model]],Table13[MFR &amp; MDL],Table13[Tolerance % CW ],"")/100*Table1[[#This Row],[Std Nom]]),"")</f>
        <v/>
      </c>
      <c r="P450" s="1" t="str">
        <f>IFERROR(Table1[[#This Row],[Std Nom]]+(_xlfn.XLOOKUP(Table1[[#This Row],[Manufacturer]]&amp;" "&amp;Table1[[#This Row],[Model]],Table13[MFR &amp; MDL],Table13[Tolerance % CW ],"")/100*Table1[[#This Row],[Std Nom]]),"")</f>
        <v/>
      </c>
      <c r="Q450" s="1" t="e">
        <f>Table1[[#This Row],[High Tol]]-Table1[[#This Row],[Low Tol]]</f>
        <v>#VALUE!</v>
      </c>
      <c r="R450" s="1">
        <f>2*Table1[[#This Row],[Std Error]]</f>
        <v>0</v>
      </c>
      <c r="S450" s="1" t="str">
        <f>IF(Table1[[#This Row],[High Tol]]="","N/A",IFERROR(ABS(Table1[[#This Row],[Tol Span]]/Table1[[#This Row],[Error Span]]),"N/A"))</f>
        <v>N/A</v>
      </c>
      <c r="T450" s="1" t="str">
        <f>IF(OR(Table1[[#This Row],[Low Tol]]="",Table1[[#This Row],[High Tol]]=""),"Needs Analysis",IF(Table1[[#This Row],[Ratio]]&gt;=4,"Not Significant",IF(Table1[[#This Row],[Ratio]]&gt;=2,"Semi-Significant","Significant")))</f>
        <v>Needs Analysis</v>
      </c>
      <c r="W450" s="1">
        <f>IF(Table1[[#This Row],[Cal Type]]&lt;&gt;"ACCREDITED 17025 WITH UNCERTAINTIES",0,"")</f>
        <v>0</v>
      </c>
      <c r="X450" s="1" t="str">
        <f>IF(Table1[[#This Row],[DUT Read]]="","N/A",Table1[[#This Row],[Std Error]]+Table1[[#This Row],[DUT Read]]+Table1[[#This Row],[DUT Ucty]])</f>
        <v>N/A</v>
      </c>
      <c r="Y450" s="1" t="str">
        <f>IF(Table1[[#This Row],[Std Read]]="","N/A",Table1[[#This Row],[Std Read]]+Table1[[#This Row],[Std Ucty]])</f>
        <v>N/A</v>
      </c>
      <c r="Z4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0" s="1" t="str">
        <f>IF(Table1[[#This Row],[Spec Type]]="","N/A",Table1[[#This Row],[Spec Type]])</f>
        <v>±</v>
      </c>
      <c r="AC450" s="1" t="str">
        <f>IF(Table1[[#This Row],[Spec Type2]]="N/A","N/A",IF(AND(Table1[[#This Row],[DUT Adj Read]]&gt;=Table1[[#This Row],[Low Tol]],Table1[[#This Row],[DUT Adj Read]]&lt;=Table1[[#This Row],[High Tol]]),"Pass","Fail"))</f>
        <v>Fail</v>
      </c>
      <c r="AD450" s="1" t="str">
        <f>IF(AND(Table1[[#This Row],[Spec Type2]]="N/A",Table1[[#This Row],[DUT Adj Read]]="N/A",Table1[[#This Row],[Std Adj Read]]="N/A"),"N/A",IF(Table1[[#This Row],[DUT Adj Read]]="N/A",IF(Table1[[#This Row],[Std Adj Read]]&gt;Table1[[#This Row],[Low Tol]],"Pass","Fail"),IF(Table1[[#This Row],[DUT Adj Read]]&gt;Table1[[#This Row],[Low Tol]],"Pass","Fail")))</f>
        <v>Pass</v>
      </c>
      <c r="AE450" s="1" t="str">
        <f>IF(AND(Table1[[#This Row],[Spec Type2]]="N/A",Table1[[#This Row],[DUT Adj Read]]="N/A",Table1[[#This Row],[Std Adj Read]]="N/A"),"N/A",IF(Table1[[#This Row],[DUT Adj Read]]="N/A",IF(Table1[[#This Row],[Std Adj Read]]&lt;Table1[[#This Row],[High Tol]],"Pass","Fail"),IF(Table1[[#This Row],[DUT Adj Read]]&lt;Table1[[#This Row],[High Tol]],"Pass","Fail")))</f>
        <v>Fail</v>
      </c>
      <c r="AF450" s="1" t="str">
        <f>IF(AND(Table1[[#This Row],[Spec Type2]]="N/A",Table1[[#This Row],[DUT Adj Read]]="N/A",Table1[[#This Row],[Std Adj Read]]="N/A"),"N/A",IF(Table1[[#This Row],[DUT Adj Read]]="N/A",IF(Table1[[#This Row],[Std Adj Read]]&gt;=Table1[[#This Row],[Low Tol]],"Pass","Fail"),IF(Table1[[#This Row],[DUT Adj Read]]&gt;=Table1[[#This Row],[Low Tol]],"Pass","Fail")))</f>
        <v>Pass</v>
      </c>
      <c r="AG450" s="1" t="str">
        <f>IF(AND(Table1[[#This Row],[Spec Type2]]="N/A",Table1[[#This Row],[DUT Adj Read]]="N/A",Table1[[#This Row],[Std Adj Read]]="N/A"),"N/A",IF(Table1[[#This Row],[DUT Adj Read]]="N/A",IF(Table1[[#This Row],[Std Adj Read]]&lt;=Table1[[#This Row],[High Tol]],"Pass","Fail"),IF(Table1[[#This Row],[DUT Adj Read]]&lt;=Table1[[#This Row],[High Tol]],"Pass","Fail")))</f>
        <v>Fail</v>
      </c>
      <c r="AH4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0" s="1" t="b">
        <v>0</v>
      </c>
      <c r="AN450" s="1" t="b">
        <v>0</v>
      </c>
      <c r="AO450" s="1" t="b">
        <v>0</v>
      </c>
    </row>
    <row r="451" spans="1:41" x14ac:dyDescent="0.25">
      <c r="A451" s="10"/>
      <c r="B451" s="10"/>
      <c r="C451" s="10"/>
      <c r="D451" s="10"/>
      <c r="E451" s="10"/>
      <c r="F451" s="10"/>
      <c r="G451" s="10"/>
      <c r="H451" s="10"/>
      <c r="I451" s="1" t="str">
        <f t="shared" si="18"/>
        <v/>
      </c>
      <c r="J451" s="1" t="s">
        <v>35</v>
      </c>
      <c r="K451" s="1" t="str">
        <f t="shared" si="19"/>
        <v/>
      </c>
      <c r="L451" s="1" t="str">
        <f t="shared" si="20"/>
        <v/>
      </c>
      <c r="M451" s="1">
        <f>IF(OR(Table1[[#This Row],[Std Nom]]="",Table1[[#This Row],[Std Read]]=""),0,Table1[[#This Row],[Std Nom]]-Table1[[#This Row],[Std Read]])</f>
        <v>0</v>
      </c>
      <c r="N451" s="1">
        <f>IF(Calculations!$F$5="ACCREDITED 17025 WITH UNCERTAINTIES",$N$10,0)</f>
        <v>0</v>
      </c>
      <c r="O451" s="1" t="str">
        <f>IFERROR(Table1[[#This Row],[Std Nom]]-(_xlfn.XLOOKUP(Table1[[#This Row],[Manufacturer]]&amp;" "&amp;Table1[[#This Row],[Model]],Table13[MFR &amp; MDL],Table13[Tolerance % CW ],"")/100*Table1[[#This Row],[Std Nom]]),"")</f>
        <v/>
      </c>
      <c r="P451" s="1" t="str">
        <f>IFERROR(Table1[[#This Row],[Std Nom]]+(_xlfn.XLOOKUP(Table1[[#This Row],[Manufacturer]]&amp;" "&amp;Table1[[#This Row],[Model]],Table13[MFR &amp; MDL],Table13[Tolerance % CW ],"")/100*Table1[[#This Row],[Std Nom]]),"")</f>
        <v/>
      </c>
      <c r="Q451" s="1" t="e">
        <f>Table1[[#This Row],[High Tol]]-Table1[[#This Row],[Low Tol]]</f>
        <v>#VALUE!</v>
      </c>
      <c r="R451" s="1">
        <f>2*Table1[[#This Row],[Std Error]]</f>
        <v>0</v>
      </c>
      <c r="S451" s="1" t="str">
        <f>IF(Table1[[#This Row],[High Tol]]="","N/A",IFERROR(ABS(Table1[[#This Row],[Tol Span]]/Table1[[#This Row],[Error Span]]),"N/A"))</f>
        <v>N/A</v>
      </c>
      <c r="T451" s="1" t="str">
        <f>IF(OR(Table1[[#This Row],[Low Tol]]="",Table1[[#This Row],[High Tol]]=""),"Needs Analysis",IF(Table1[[#This Row],[Ratio]]&gt;=4,"Not Significant",IF(Table1[[#This Row],[Ratio]]&gt;=2,"Semi-Significant","Significant")))</f>
        <v>Needs Analysis</v>
      </c>
      <c r="W451" s="1">
        <f>IF(Table1[[#This Row],[Cal Type]]&lt;&gt;"ACCREDITED 17025 WITH UNCERTAINTIES",0,"")</f>
        <v>0</v>
      </c>
      <c r="X451" s="1" t="str">
        <f>IF(Table1[[#This Row],[DUT Read]]="","N/A",Table1[[#This Row],[Std Error]]+Table1[[#This Row],[DUT Read]]+Table1[[#This Row],[DUT Ucty]])</f>
        <v>N/A</v>
      </c>
      <c r="Y451" s="1" t="str">
        <f>IF(Table1[[#This Row],[Std Read]]="","N/A",Table1[[#This Row],[Std Read]]+Table1[[#This Row],[Std Ucty]])</f>
        <v>N/A</v>
      </c>
      <c r="Z4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1" s="1" t="str">
        <f>IF(Table1[[#This Row],[Spec Type]]="","N/A",Table1[[#This Row],[Spec Type]])</f>
        <v>±</v>
      </c>
      <c r="AC451" s="1" t="str">
        <f>IF(Table1[[#This Row],[Spec Type2]]="N/A","N/A",IF(AND(Table1[[#This Row],[DUT Adj Read]]&gt;=Table1[[#This Row],[Low Tol]],Table1[[#This Row],[DUT Adj Read]]&lt;=Table1[[#This Row],[High Tol]]),"Pass","Fail"))</f>
        <v>Fail</v>
      </c>
      <c r="AD451" s="1" t="str">
        <f>IF(AND(Table1[[#This Row],[Spec Type2]]="N/A",Table1[[#This Row],[DUT Adj Read]]="N/A",Table1[[#This Row],[Std Adj Read]]="N/A"),"N/A",IF(Table1[[#This Row],[DUT Adj Read]]="N/A",IF(Table1[[#This Row],[Std Adj Read]]&gt;Table1[[#This Row],[Low Tol]],"Pass","Fail"),IF(Table1[[#This Row],[DUT Adj Read]]&gt;Table1[[#This Row],[Low Tol]],"Pass","Fail")))</f>
        <v>Pass</v>
      </c>
      <c r="AE451" s="1" t="str">
        <f>IF(AND(Table1[[#This Row],[Spec Type2]]="N/A",Table1[[#This Row],[DUT Adj Read]]="N/A",Table1[[#This Row],[Std Adj Read]]="N/A"),"N/A",IF(Table1[[#This Row],[DUT Adj Read]]="N/A",IF(Table1[[#This Row],[Std Adj Read]]&lt;Table1[[#This Row],[High Tol]],"Pass","Fail"),IF(Table1[[#This Row],[DUT Adj Read]]&lt;Table1[[#This Row],[High Tol]],"Pass","Fail")))</f>
        <v>Fail</v>
      </c>
      <c r="AF451" s="1" t="str">
        <f>IF(AND(Table1[[#This Row],[Spec Type2]]="N/A",Table1[[#This Row],[DUT Adj Read]]="N/A",Table1[[#This Row],[Std Adj Read]]="N/A"),"N/A",IF(Table1[[#This Row],[DUT Adj Read]]="N/A",IF(Table1[[#This Row],[Std Adj Read]]&gt;=Table1[[#This Row],[Low Tol]],"Pass","Fail"),IF(Table1[[#This Row],[DUT Adj Read]]&gt;=Table1[[#This Row],[Low Tol]],"Pass","Fail")))</f>
        <v>Pass</v>
      </c>
      <c r="AG451" s="1" t="str">
        <f>IF(AND(Table1[[#This Row],[Spec Type2]]="N/A",Table1[[#This Row],[DUT Adj Read]]="N/A",Table1[[#This Row],[Std Adj Read]]="N/A"),"N/A",IF(Table1[[#This Row],[DUT Adj Read]]="N/A",IF(Table1[[#This Row],[Std Adj Read]]&lt;=Table1[[#This Row],[High Tol]],"Pass","Fail"),IF(Table1[[#This Row],[DUT Adj Read]]&lt;=Table1[[#This Row],[High Tol]],"Pass","Fail")))</f>
        <v>Fail</v>
      </c>
      <c r="AH4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1" s="1" t="b">
        <v>0</v>
      </c>
      <c r="AN451" s="1" t="b">
        <v>0</v>
      </c>
      <c r="AO451" s="1" t="b">
        <v>0</v>
      </c>
    </row>
    <row r="452" spans="1:41" x14ac:dyDescent="0.25">
      <c r="A452" s="10"/>
      <c r="B452" s="10"/>
      <c r="C452" s="10"/>
      <c r="D452" s="10"/>
      <c r="E452" s="10"/>
      <c r="F452" s="10"/>
      <c r="G452" s="10"/>
      <c r="H452" s="10"/>
      <c r="I452" s="1" t="str">
        <f t="shared" si="18"/>
        <v/>
      </c>
      <c r="J452" s="1" t="s">
        <v>35</v>
      </c>
      <c r="K452" s="1" t="str">
        <f t="shared" si="19"/>
        <v/>
      </c>
      <c r="L452" s="1" t="str">
        <f t="shared" si="20"/>
        <v/>
      </c>
      <c r="M452" s="1">
        <f>IF(OR(Table1[[#This Row],[Std Nom]]="",Table1[[#This Row],[Std Read]]=""),0,Table1[[#This Row],[Std Nom]]-Table1[[#This Row],[Std Read]])</f>
        <v>0</v>
      </c>
      <c r="N452" s="1">
        <f>IF(Calculations!$F$5="ACCREDITED 17025 WITH UNCERTAINTIES",$N$10,0)</f>
        <v>0</v>
      </c>
      <c r="O452" s="1" t="str">
        <f>IFERROR(Table1[[#This Row],[Std Nom]]-(_xlfn.XLOOKUP(Table1[[#This Row],[Manufacturer]]&amp;" "&amp;Table1[[#This Row],[Model]],Table13[MFR &amp; MDL],Table13[Tolerance % CW ],"")/100*Table1[[#This Row],[Std Nom]]),"")</f>
        <v/>
      </c>
      <c r="P452" s="1" t="str">
        <f>IFERROR(Table1[[#This Row],[Std Nom]]+(_xlfn.XLOOKUP(Table1[[#This Row],[Manufacturer]]&amp;" "&amp;Table1[[#This Row],[Model]],Table13[MFR &amp; MDL],Table13[Tolerance % CW ],"")/100*Table1[[#This Row],[Std Nom]]),"")</f>
        <v/>
      </c>
      <c r="Q452" s="1" t="e">
        <f>Table1[[#This Row],[High Tol]]-Table1[[#This Row],[Low Tol]]</f>
        <v>#VALUE!</v>
      </c>
      <c r="R452" s="1">
        <f>2*Table1[[#This Row],[Std Error]]</f>
        <v>0</v>
      </c>
      <c r="S452" s="1" t="str">
        <f>IF(Table1[[#This Row],[High Tol]]="","N/A",IFERROR(ABS(Table1[[#This Row],[Tol Span]]/Table1[[#This Row],[Error Span]]),"N/A"))</f>
        <v>N/A</v>
      </c>
      <c r="T452" s="1" t="str">
        <f>IF(OR(Table1[[#This Row],[Low Tol]]="",Table1[[#This Row],[High Tol]]=""),"Needs Analysis",IF(Table1[[#This Row],[Ratio]]&gt;=4,"Not Significant",IF(Table1[[#This Row],[Ratio]]&gt;=2,"Semi-Significant","Significant")))</f>
        <v>Needs Analysis</v>
      </c>
      <c r="W452" s="1">
        <f>IF(Table1[[#This Row],[Cal Type]]&lt;&gt;"ACCREDITED 17025 WITH UNCERTAINTIES",0,"")</f>
        <v>0</v>
      </c>
      <c r="X452" s="1" t="str">
        <f>IF(Table1[[#This Row],[DUT Read]]="","N/A",Table1[[#This Row],[Std Error]]+Table1[[#This Row],[DUT Read]]+Table1[[#This Row],[DUT Ucty]])</f>
        <v>N/A</v>
      </c>
      <c r="Y452" s="1" t="str">
        <f>IF(Table1[[#This Row],[Std Read]]="","N/A",Table1[[#This Row],[Std Read]]+Table1[[#This Row],[Std Ucty]])</f>
        <v>N/A</v>
      </c>
      <c r="Z4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2" s="1" t="str">
        <f>IF(Table1[[#This Row],[Spec Type]]="","N/A",Table1[[#This Row],[Spec Type]])</f>
        <v>±</v>
      </c>
      <c r="AC452" s="1" t="str">
        <f>IF(Table1[[#This Row],[Spec Type2]]="N/A","N/A",IF(AND(Table1[[#This Row],[DUT Adj Read]]&gt;=Table1[[#This Row],[Low Tol]],Table1[[#This Row],[DUT Adj Read]]&lt;=Table1[[#This Row],[High Tol]]),"Pass","Fail"))</f>
        <v>Fail</v>
      </c>
      <c r="AD452" s="1" t="str">
        <f>IF(AND(Table1[[#This Row],[Spec Type2]]="N/A",Table1[[#This Row],[DUT Adj Read]]="N/A",Table1[[#This Row],[Std Adj Read]]="N/A"),"N/A",IF(Table1[[#This Row],[DUT Adj Read]]="N/A",IF(Table1[[#This Row],[Std Adj Read]]&gt;Table1[[#This Row],[Low Tol]],"Pass","Fail"),IF(Table1[[#This Row],[DUT Adj Read]]&gt;Table1[[#This Row],[Low Tol]],"Pass","Fail")))</f>
        <v>Pass</v>
      </c>
      <c r="AE452" s="1" t="str">
        <f>IF(AND(Table1[[#This Row],[Spec Type2]]="N/A",Table1[[#This Row],[DUT Adj Read]]="N/A",Table1[[#This Row],[Std Adj Read]]="N/A"),"N/A",IF(Table1[[#This Row],[DUT Adj Read]]="N/A",IF(Table1[[#This Row],[Std Adj Read]]&lt;Table1[[#This Row],[High Tol]],"Pass","Fail"),IF(Table1[[#This Row],[DUT Adj Read]]&lt;Table1[[#This Row],[High Tol]],"Pass","Fail")))</f>
        <v>Fail</v>
      </c>
      <c r="AF452" s="1" t="str">
        <f>IF(AND(Table1[[#This Row],[Spec Type2]]="N/A",Table1[[#This Row],[DUT Adj Read]]="N/A",Table1[[#This Row],[Std Adj Read]]="N/A"),"N/A",IF(Table1[[#This Row],[DUT Adj Read]]="N/A",IF(Table1[[#This Row],[Std Adj Read]]&gt;=Table1[[#This Row],[Low Tol]],"Pass","Fail"),IF(Table1[[#This Row],[DUT Adj Read]]&gt;=Table1[[#This Row],[Low Tol]],"Pass","Fail")))</f>
        <v>Pass</v>
      </c>
      <c r="AG452" s="1" t="str">
        <f>IF(AND(Table1[[#This Row],[Spec Type2]]="N/A",Table1[[#This Row],[DUT Adj Read]]="N/A",Table1[[#This Row],[Std Adj Read]]="N/A"),"N/A",IF(Table1[[#This Row],[DUT Adj Read]]="N/A",IF(Table1[[#This Row],[Std Adj Read]]&lt;=Table1[[#This Row],[High Tol]],"Pass","Fail"),IF(Table1[[#This Row],[DUT Adj Read]]&lt;=Table1[[#This Row],[High Tol]],"Pass","Fail")))</f>
        <v>Fail</v>
      </c>
      <c r="AH4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2" s="1" t="b">
        <v>0</v>
      </c>
      <c r="AN452" s="1" t="b">
        <v>0</v>
      </c>
      <c r="AO452" s="1" t="b">
        <v>0</v>
      </c>
    </row>
    <row r="453" spans="1:41" x14ac:dyDescent="0.25">
      <c r="A453" s="10"/>
      <c r="B453" s="10"/>
      <c r="C453" s="10"/>
      <c r="D453" s="10"/>
      <c r="E453" s="10"/>
      <c r="F453" s="10"/>
      <c r="G453" s="10"/>
      <c r="H453" s="10"/>
      <c r="I453" s="1" t="str">
        <f t="shared" si="18"/>
        <v/>
      </c>
      <c r="J453" s="1" t="s">
        <v>35</v>
      </c>
      <c r="K453" s="1" t="str">
        <f t="shared" si="19"/>
        <v/>
      </c>
      <c r="L453" s="1" t="str">
        <f t="shared" si="20"/>
        <v/>
      </c>
      <c r="M453" s="1">
        <f>IF(OR(Table1[[#This Row],[Std Nom]]="",Table1[[#This Row],[Std Read]]=""),0,Table1[[#This Row],[Std Nom]]-Table1[[#This Row],[Std Read]])</f>
        <v>0</v>
      </c>
      <c r="N453" s="1">
        <f>IF(Calculations!$F$5="ACCREDITED 17025 WITH UNCERTAINTIES",$N$10,0)</f>
        <v>0</v>
      </c>
      <c r="O453" s="1" t="str">
        <f>IFERROR(Table1[[#This Row],[Std Nom]]-(_xlfn.XLOOKUP(Table1[[#This Row],[Manufacturer]]&amp;" "&amp;Table1[[#This Row],[Model]],Table13[MFR &amp; MDL],Table13[Tolerance % CW ],"")/100*Table1[[#This Row],[Std Nom]]),"")</f>
        <v/>
      </c>
      <c r="P453" s="1" t="str">
        <f>IFERROR(Table1[[#This Row],[Std Nom]]+(_xlfn.XLOOKUP(Table1[[#This Row],[Manufacturer]]&amp;" "&amp;Table1[[#This Row],[Model]],Table13[MFR &amp; MDL],Table13[Tolerance % CW ],"")/100*Table1[[#This Row],[Std Nom]]),"")</f>
        <v/>
      </c>
      <c r="Q453" s="1" t="e">
        <f>Table1[[#This Row],[High Tol]]-Table1[[#This Row],[Low Tol]]</f>
        <v>#VALUE!</v>
      </c>
      <c r="R453" s="1">
        <f>2*Table1[[#This Row],[Std Error]]</f>
        <v>0</v>
      </c>
      <c r="S453" s="1" t="str">
        <f>IF(Table1[[#This Row],[High Tol]]="","N/A",IFERROR(ABS(Table1[[#This Row],[Tol Span]]/Table1[[#This Row],[Error Span]]),"N/A"))</f>
        <v>N/A</v>
      </c>
      <c r="T453" s="1" t="str">
        <f>IF(OR(Table1[[#This Row],[Low Tol]]="",Table1[[#This Row],[High Tol]]=""),"Needs Analysis",IF(Table1[[#This Row],[Ratio]]&gt;=4,"Not Significant",IF(Table1[[#This Row],[Ratio]]&gt;=2,"Semi-Significant","Significant")))</f>
        <v>Needs Analysis</v>
      </c>
      <c r="W453" s="1">
        <f>IF(Table1[[#This Row],[Cal Type]]&lt;&gt;"ACCREDITED 17025 WITH UNCERTAINTIES",0,"")</f>
        <v>0</v>
      </c>
      <c r="X453" s="1" t="str">
        <f>IF(Table1[[#This Row],[DUT Read]]="","N/A",Table1[[#This Row],[Std Error]]+Table1[[#This Row],[DUT Read]]+Table1[[#This Row],[DUT Ucty]])</f>
        <v>N/A</v>
      </c>
      <c r="Y453" s="1" t="str">
        <f>IF(Table1[[#This Row],[Std Read]]="","N/A",Table1[[#This Row],[Std Read]]+Table1[[#This Row],[Std Ucty]])</f>
        <v>N/A</v>
      </c>
      <c r="Z4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3" s="1" t="str">
        <f>IF(Table1[[#This Row],[Spec Type]]="","N/A",Table1[[#This Row],[Spec Type]])</f>
        <v>±</v>
      </c>
      <c r="AC453" s="1" t="str">
        <f>IF(Table1[[#This Row],[Spec Type2]]="N/A","N/A",IF(AND(Table1[[#This Row],[DUT Adj Read]]&gt;=Table1[[#This Row],[Low Tol]],Table1[[#This Row],[DUT Adj Read]]&lt;=Table1[[#This Row],[High Tol]]),"Pass","Fail"))</f>
        <v>Fail</v>
      </c>
      <c r="AD453" s="1" t="str">
        <f>IF(AND(Table1[[#This Row],[Spec Type2]]="N/A",Table1[[#This Row],[DUT Adj Read]]="N/A",Table1[[#This Row],[Std Adj Read]]="N/A"),"N/A",IF(Table1[[#This Row],[DUT Adj Read]]="N/A",IF(Table1[[#This Row],[Std Adj Read]]&gt;Table1[[#This Row],[Low Tol]],"Pass","Fail"),IF(Table1[[#This Row],[DUT Adj Read]]&gt;Table1[[#This Row],[Low Tol]],"Pass","Fail")))</f>
        <v>Pass</v>
      </c>
      <c r="AE453" s="1" t="str">
        <f>IF(AND(Table1[[#This Row],[Spec Type2]]="N/A",Table1[[#This Row],[DUT Adj Read]]="N/A",Table1[[#This Row],[Std Adj Read]]="N/A"),"N/A",IF(Table1[[#This Row],[DUT Adj Read]]="N/A",IF(Table1[[#This Row],[Std Adj Read]]&lt;Table1[[#This Row],[High Tol]],"Pass","Fail"),IF(Table1[[#This Row],[DUT Adj Read]]&lt;Table1[[#This Row],[High Tol]],"Pass","Fail")))</f>
        <v>Fail</v>
      </c>
      <c r="AF453" s="1" t="str">
        <f>IF(AND(Table1[[#This Row],[Spec Type2]]="N/A",Table1[[#This Row],[DUT Adj Read]]="N/A",Table1[[#This Row],[Std Adj Read]]="N/A"),"N/A",IF(Table1[[#This Row],[DUT Adj Read]]="N/A",IF(Table1[[#This Row],[Std Adj Read]]&gt;=Table1[[#This Row],[Low Tol]],"Pass","Fail"),IF(Table1[[#This Row],[DUT Adj Read]]&gt;=Table1[[#This Row],[Low Tol]],"Pass","Fail")))</f>
        <v>Pass</v>
      </c>
      <c r="AG453" s="1" t="str">
        <f>IF(AND(Table1[[#This Row],[Spec Type2]]="N/A",Table1[[#This Row],[DUT Adj Read]]="N/A",Table1[[#This Row],[Std Adj Read]]="N/A"),"N/A",IF(Table1[[#This Row],[DUT Adj Read]]="N/A",IF(Table1[[#This Row],[Std Adj Read]]&lt;=Table1[[#This Row],[High Tol]],"Pass","Fail"),IF(Table1[[#This Row],[DUT Adj Read]]&lt;=Table1[[#This Row],[High Tol]],"Pass","Fail")))</f>
        <v>Fail</v>
      </c>
      <c r="AH4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3" s="1" t="b">
        <v>0</v>
      </c>
      <c r="AN453" s="1" t="b">
        <v>0</v>
      </c>
      <c r="AO453" s="1" t="b">
        <v>0</v>
      </c>
    </row>
    <row r="454" spans="1:41" x14ac:dyDescent="0.25">
      <c r="A454" s="10"/>
      <c r="B454" s="10"/>
      <c r="C454" s="10"/>
      <c r="D454" s="10"/>
      <c r="E454" s="10"/>
      <c r="F454" s="10"/>
      <c r="G454" s="10"/>
      <c r="H454" s="10"/>
      <c r="I454" s="1" t="str">
        <f t="shared" si="18"/>
        <v/>
      </c>
      <c r="J454" s="1" t="s">
        <v>35</v>
      </c>
      <c r="K454" s="1" t="str">
        <f t="shared" si="19"/>
        <v/>
      </c>
      <c r="L454" s="1" t="str">
        <f t="shared" si="20"/>
        <v/>
      </c>
      <c r="M454" s="1">
        <f>IF(OR(Table1[[#This Row],[Std Nom]]="",Table1[[#This Row],[Std Read]]=""),0,Table1[[#This Row],[Std Nom]]-Table1[[#This Row],[Std Read]])</f>
        <v>0</v>
      </c>
      <c r="N454" s="1">
        <f>IF(Calculations!$F$5="ACCREDITED 17025 WITH UNCERTAINTIES",$N$10,0)</f>
        <v>0</v>
      </c>
      <c r="O454" s="1" t="str">
        <f>IFERROR(Table1[[#This Row],[Std Nom]]-(_xlfn.XLOOKUP(Table1[[#This Row],[Manufacturer]]&amp;" "&amp;Table1[[#This Row],[Model]],Table13[MFR &amp; MDL],Table13[Tolerance % CW ],"")/100*Table1[[#This Row],[Std Nom]]),"")</f>
        <v/>
      </c>
      <c r="P454" s="1" t="str">
        <f>IFERROR(Table1[[#This Row],[Std Nom]]+(_xlfn.XLOOKUP(Table1[[#This Row],[Manufacturer]]&amp;" "&amp;Table1[[#This Row],[Model]],Table13[MFR &amp; MDL],Table13[Tolerance % CW ],"")/100*Table1[[#This Row],[Std Nom]]),"")</f>
        <v/>
      </c>
      <c r="Q454" s="1" t="e">
        <f>Table1[[#This Row],[High Tol]]-Table1[[#This Row],[Low Tol]]</f>
        <v>#VALUE!</v>
      </c>
      <c r="R454" s="1">
        <f>2*Table1[[#This Row],[Std Error]]</f>
        <v>0</v>
      </c>
      <c r="S454" s="1" t="str">
        <f>IF(Table1[[#This Row],[High Tol]]="","N/A",IFERROR(ABS(Table1[[#This Row],[Tol Span]]/Table1[[#This Row],[Error Span]]),"N/A"))</f>
        <v>N/A</v>
      </c>
      <c r="T454" s="1" t="str">
        <f>IF(OR(Table1[[#This Row],[Low Tol]]="",Table1[[#This Row],[High Tol]]=""),"Needs Analysis",IF(Table1[[#This Row],[Ratio]]&gt;=4,"Not Significant",IF(Table1[[#This Row],[Ratio]]&gt;=2,"Semi-Significant","Significant")))</f>
        <v>Needs Analysis</v>
      </c>
      <c r="W454" s="1">
        <f>IF(Table1[[#This Row],[Cal Type]]&lt;&gt;"ACCREDITED 17025 WITH UNCERTAINTIES",0,"")</f>
        <v>0</v>
      </c>
      <c r="X454" s="1" t="str">
        <f>IF(Table1[[#This Row],[DUT Read]]="","N/A",Table1[[#This Row],[Std Error]]+Table1[[#This Row],[DUT Read]]+Table1[[#This Row],[DUT Ucty]])</f>
        <v>N/A</v>
      </c>
      <c r="Y454" s="1" t="str">
        <f>IF(Table1[[#This Row],[Std Read]]="","N/A",Table1[[#This Row],[Std Read]]+Table1[[#This Row],[Std Ucty]])</f>
        <v>N/A</v>
      </c>
      <c r="Z4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4" s="1" t="str">
        <f>IF(Table1[[#This Row],[Spec Type]]="","N/A",Table1[[#This Row],[Spec Type]])</f>
        <v>±</v>
      </c>
      <c r="AC454" s="1" t="str">
        <f>IF(Table1[[#This Row],[Spec Type2]]="N/A","N/A",IF(AND(Table1[[#This Row],[DUT Adj Read]]&gt;=Table1[[#This Row],[Low Tol]],Table1[[#This Row],[DUT Adj Read]]&lt;=Table1[[#This Row],[High Tol]]),"Pass","Fail"))</f>
        <v>Fail</v>
      </c>
      <c r="AD454" s="1" t="str">
        <f>IF(AND(Table1[[#This Row],[Spec Type2]]="N/A",Table1[[#This Row],[DUT Adj Read]]="N/A",Table1[[#This Row],[Std Adj Read]]="N/A"),"N/A",IF(Table1[[#This Row],[DUT Adj Read]]="N/A",IF(Table1[[#This Row],[Std Adj Read]]&gt;Table1[[#This Row],[Low Tol]],"Pass","Fail"),IF(Table1[[#This Row],[DUT Adj Read]]&gt;Table1[[#This Row],[Low Tol]],"Pass","Fail")))</f>
        <v>Pass</v>
      </c>
      <c r="AE454" s="1" t="str">
        <f>IF(AND(Table1[[#This Row],[Spec Type2]]="N/A",Table1[[#This Row],[DUT Adj Read]]="N/A",Table1[[#This Row],[Std Adj Read]]="N/A"),"N/A",IF(Table1[[#This Row],[DUT Adj Read]]="N/A",IF(Table1[[#This Row],[Std Adj Read]]&lt;Table1[[#This Row],[High Tol]],"Pass","Fail"),IF(Table1[[#This Row],[DUT Adj Read]]&lt;Table1[[#This Row],[High Tol]],"Pass","Fail")))</f>
        <v>Fail</v>
      </c>
      <c r="AF454" s="1" t="str">
        <f>IF(AND(Table1[[#This Row],[Spec Type2]]="N/A",Table1[[#This Row],[DUT Adj Read]]="N/A",Table1[[#This Row],[Std Adj Read]]="N/A"),"N/A",IF(Table1[[#This Row],[DUT Adj Read]]="N/A",IF(Table1[[#This Row],[Std Adj Read]]&gt;=Table1[[#This Row],[Low Tol]],"Pass","Fail"),IF(Table1[[#This Row],[DUT Adj Read]]&gt;=Table1[[#This Row],[Low Tol]],"Pass","Fail")))</f>
        <v>Pass</v>
      </c>
      <c r="AG454" s="1" t="str">
        <f>IF(AND(Table1[[#This Row],[Spec Type2]]="N/A",Table1[[#This Row],[DUT Adj Read]]="N/A",Table1[[#This Row],[Std Adj Read]]="N/A"),"N/A",IF(Table1[[#This Row],[DUT Adj Read]]="N/A",IF(Table1[[#This Row],[Std Adj Read]]&lt;=Table1[[#This Row],[High Tol]],"Pass","Fail"),IF(Table1[[#This Row],[DUT Adj Read]]&lt;=Table1[[#This Row],[High Tol]],"Pass","Fail")))</f>
        <v>Fail</v>
      </c>
      <c r="AH4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4" s="1" t="b">
        <v>0</v>
      </c>
      <c r="AN454" s="1" t="b">
        <v>0</v>
      </c>
      <c r="AO454" s="1" t="b">
        <v>0</v>
      </c>
    </row>
    <row r="455" spans="1:41" x14ac:dyDescent="0.25">
      <c r="A455" s="10"/>
      <c r="B455" s="10"/>
      <c r="C455" s="10"/>
      <c r="D455" s="10"/>
      <c r="E455" s="10"/>
      <c r="F455" s="10"/>
      <c r="G455" s="10"/>
      <c r="H455" s="10"/>
      <c r="I455" s="1" t="str">
        <f t="shared" si="18"/>
        <v/>
      </c>
      <c r="J455" s="1" t="s">
        <v>35</v>
      </c>
      <c r="K455" s="1" t="str">
        <f t="shared" si="19"/>
        <v/>
      </c>
      <c r="L455" s="1" t="str">
        <f t="shared" si="20"/>
        <v/>
      </c>
      <c r="M455" s="1">
        <f>IF(OR(Table1[[#This Row],[Std Nom]]="",Table1[[#This Row],[Std Read]]=""),0,Table1[[#This Row],[Std Nom]]-Table1[[#This Row],[Std Read]])</f>
        <v>0</v>
      </c>
      <c r="N455" s="1">
        <f>IF(Calculations!$F$5="ACCREDITED 17025 WITH UNCERTAINTIES",$N$10,0)</f>
        <v>0</v>
      </c>
      <c r="O455" s="1" t="str">
        <f>IFERROR(Table1[[#This Row],[Std Nom]]-(_xlfn.XLOOKUP(Table1[[#This Row],[Manufacturer]]&amp;" "&amp;Table1[[#This Row],[Model]],Table13[MFR &amp; MDL],Table13[Tolerance % CW ],"")/100*Table1[[#This Row],[Std Nom]]),"")</f>
        <v/>
      </c>
      <c r="P455" s="1" t="str">
        <f>IFERROR(Table1[[#This Row],[Std Nom]]+(_xlfn.XLOOKUP(Table1[[#This Row],[Manufacturer]]&amp;" "&amp;Table1[[#This Row],[Model]],Table13[MFR &amp; MDL],Table13[Tolerance % CW ],"")/100*Table1[[#This Row],[Std Nom]]),"")</f>
        <v/>
      </c>
      <c r="Q455" s="1" t="e">
        <f>Table1[[#This Row],[High Tol]]-Table1[[#This Row],[Low Tol]]</f>
        <v>#VALUE!</v>
      </c>
      <c r="R455" s="1">
        <f>2*Table1[[#This Row],[Std Error]]</f>
        <v>0</v>
      </c>
      <c r="S455" s="1" t="str">
        <f>IF(Table1[[#This Row],[High Tol]]="","N/A",IFERROR(ABS(Table1[[#This Row],[Tol Span]]/Table1[[#This Row],[Error Span]]),"N/A"))</f>
        <v>N/A</v>
      </c>
      <c r="T455" s="1" t="str">
        <f>IF(OR(Table1[[#This Row],[Low Tol]]="",Table1[[#This Row],[High Tol]]=""),"Needs Analysis",IF(Table1[[#This Row],[Ratio]]&gt;=4,"Not Significant",IF(Table1[[#This Row],[Ratio]]&gt;=2,"Semi-Significant","Significant")))</f>
        <v>Needs Analysis</v>
      </c>
      <c r="W455" s="1">
        <f>IF(Table1[[#This Row],[Cal Type]]&lt;&gt;"ACCREDITED 17025 WITH UNCERTAINTIES",0,"")</f>
        <v>0</v>
      </c>
      <c r="X455" s="1" t="str">
        <f>IF(Table1[[#This Row],[DUT Read]]="","N/A",Table1[[#This Row],[Std Error]]+Table1[[#This Row],[DUT Read]]+Table1[[#This Row],[DUT Ucty]])</f>
        <v>N/A</v>
      </c>
      <c r="Y455" s="1" t="str">
        <f>IF(Table1[[#This Row],[Std Read]]="","N/A",Table1[[#This Row],[Std Read]]+Table1[[#This Row],[Std Ucty]])</f>
        <v>N/A</v>
      </c>
      <c r="Z4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5" s="1" t="str">
        <f>IF(Table1[[#This Row],[Spec Type]]="","N/A",Table1[[#This Row],[Spec Type]])</f>
        <v>±</v>
      </c>
      <c r="AC455" s="1" t="str">
        <f>IF(Table1[[#This Row],[Spec Type2]]="N/A","N/A",IF(AND(Table1[[#This Row],[DUT Adj Read]]&gt;=Table1[[#This Row],[Low Tol]],Table1[[#This Row],[DUT Adj Read]]&lt;=Table1[[#This Row],[High Tol]]),"Pass","Fail"))</f>
        <v>Fail</v>
      </c>
      <c r="AD455" s="1" t="str">
        <f>IF(AND(Table1[[#This Row],[Spec Type2]]="N/A",Table1[[#This Row],[DUT Adj Read]]="N/A",Table1[[#This Row],[Std Adj Read]]="N/A"),"N/A",IF(Table1[[#This Row],[DUT Adj Read]]="N/A",IF(Table1[[#This Row],[Std Adj Read]]&gt;Table1[[#This Row],[Low Tol]],"Pass","Fail"),IF(Table1[[#This Row],[DUT Adj Read]]&gt;Table1[[#This Row],[Low Tol]],"Pass","Fail")))</f>
        <v>Pass</v>
      </c>
      <c r="AE455" s="1" t="str">
        <f>IF(AND(Table1[[#This Row],[Spec Type2]]="N/A",Table1[[#This Row],[DUT Adj Read]]="N/A",Table1[[#This Row],[Std Adj Read]]="N/A"),"N/A",IF(Table1[[#This Row],[DUT Adj Read]]="N/A",IF(Table1[[#This Row],[Std Adj Read]]&lt;Table1[[#This Row],[High Tol]],"Pass","Fail"),IF(Table1[[#This Row],[DUT Adj Read]]&lt;Table1[[#This Row],[High Tol]],"Pass","Fail")))</f>
        <v>Fail</v>
      </c>
      <c r="AF455" s="1" t="str">
        <f>IF(AND(Table1[[#This Row],[Spec Type2]]="N/A",Table1[[#This Row],[DUT Adj Read]]="N/A",Table1[[#This Row],[Std Adj Read]]="N/A"),"N/A",IF(Table1[[#This Row],[DUT Adj Read]]="N/A",IF(Table1[[#This Row],[Std Adj Read]]&gt;=Table1[[#This Row],[Low Tol]],"Pass","Fail"),IF(Table1[[#This Row],[DUT Adj Read]]&gt;=Table1[[#This Row],[Low Tol]],"Pass","Fail")))</f>
        <v>Pass</v>
      </c>
      <c r="AG455" s="1" t="str">
        <f>IF(AND(Table1[[#This Row],[Spec Type2]]="N/A",Table1[[#This Row],[DUT Adj Read]]="N/A",Table1[[#This Row],[Std Adj Read]]="N/A"),"N/A",IF(Table1[[#This Row],[DUT Adj Read]]="N/A",IF(Table1[[#This Row],[Std Adj Read]]&lt;=Table1[[#This Row],[High Tol]],"Pass","Fail"),IF(Table1[[#This Row],[DUT Adj Read]]&lt;=Table1[[#This Row],[High Tol]],"Pass","Fail")))</f>
        <v>Fail</v>
      </c>
      <c r="AH4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5" s="1" t="b">
        <v>0</v>
      </c>
      <c r="AN455" s="1" t="b">
        <v>0</v>
      </c>
      <c r="AO455" s="1" t="b">
        <v>0</v>
      </c>
    </row>
    <row r="456" spans="1:41" x14ac:dyDescent="0.25">
      <c r="A456" s="10"/>
      <c r="B456" s="10"/>
      <c r="C456" s="10"/>
      <c r="D456" s="10"/>
      <c r="E456" s="10"/>
      <c r="F456" s="10"/>
      <c r="G456" s="10"/>
      <c r="H456" s="10"/>
      <c r="I456" s="1" t="str">
        <f t="shared" si="18"/>
        <v/>
      </c>
      <c r="J456" s="1" t="s">
        <v>35</v>
      </c>
      <c r="K456" s="1" t="str">
        <f t="shared" si="19"/>
        <v/>
      </c>
      <c r="L456" s="1" t="str">
        <f t="shared" si="20"/>
        <v/>
      </c>
      <c r="M456" s="1">
        <f>IF(OR(Table1[[#This Row],[Std Nom]]="",Table1[[#This Row],[Std Read]]=""),0,Table1[[#This Row],[Std Nom]]-Table1[[#This Row],[Std Read]])</f>
        <v>0</v>
      </c>
      <c r="N456" s="1">
        <f>IF(Calculations!$F$5="ACCREDITED 17025 WITH UNCERTAINTIES",$N$10,0)</f>
        <v>0</v>
      </c>
      <c r="O456" s="1" t="str">
        <f>IFERROR(Table1[[#This Row],[Std Nom]]-(_xlfn.XLOOKUP(Table1[[#This Row],[Manufacturer]]&amp;" "&amp;Table1[[#This Row],[Model]],Table13[MFR &amp; MDL],Table13[Tolerance % CW ],"")/100*Table1[[#This Row],[Std Nom]]),"")</f>
        <v/>
      </c>
      <c r="P456" s="1" t="str">
        <f>IFERROR(Table1[[#This Row],[Std Nom]]+(_xlfn.XLOOKUP(Table1[[#This Row],[Manufacturer]]&amp;" "&amp;Table1[[#This Row],[Model]],Table13[MFR &amp; MDL],Table13[Tolerance % CW ],"")/100*Table1[[#This Row],[Std Nom]]),"")</f>
        <v/>
      </c>
      <c r="Q456" s="1" t="e">
        <f>Table1[[#This Row],[High Tol]]-Table1[[#This Row],[Low Tol]]</f>
        <v>#VALUE!</v>
      </c>
      <c r="R456" s="1">
        <f>2*Table1[[#This Row],[Std Error]]</f>
        <v>0</v>
      </c>
      <c r="S456" s="1" t="str">
        <f>IF(Table1[[#This Row],[High Tol]]="","N/A",IFERROR(ABS(Table1[[#This Row],[Tol Span]]/Table1[[#This Row],[Error Span]]),"N/A"))</f>
        <v>N/A</v>
      </c>
      <c r="T456" s="1" t="str">
        <f>IF(OR(Table1[[#This Row],[Low Tol]]="",Table1[[#This Row],[High Tol]]=""),"Needs Analysis",IF(Table1[[#This Row],[Ratio]]&gt;=4,"Not Significant",IF(Table1[[#This Row],[Ratio]]&gt;=2,"Semi-Significant","Significant")))</f>
        <v>Needs Analysis</v>
      </c>
      <c r="W456" s="1">
        <f>IF(Table1[[#This Row],[Cal Type]]&lt;&gt;"ACCREDITED 17025 WITH UNCERTAINTIES",0,"")</f>
        <v>0</v>
      </c>
      <c r="X456" s="1" t="str">
        <f>IF(Table1[[#This Row],[DUT Read]]="","N/A",Table1[[#This Row],[Std Error]]+Table1[[#This Row],[DUT Read]]+Table1[[#This Row],[DUT Ucty]])</f>
        <v>N/A</v>
      </c>
      <c r="Y456" s="1" t="str">
        <f>IF(Table1[[#This Row],[Std Read]]="","N/A",Table1[[#This Row],[Std Read]]+Table1[[#This Row],[Std Ucty]])</f>
        <v>N/A</v>
      </c>
      <c r="Z4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6" s="1" t="str">
        <f>IF(Table1[[#This Row],[Spec Type]]="","N/A",Table1[[#This Row],[Spec Type]])</f>
        <v>±</v>
      </c>
      <c r="AC456" s="1" t="str">
        <f>IF(Table1[[#This Row],[Spec Type2]]="N/A","N/A",IF(AND(Table1[[#This Row],[DUT Adj Read]]&gt;=Table1[[#This Row],[Low Tol]],Table1[[#This Row],[DUT Adj Read]]&lt;=Table1[[#This Row],[High Tol]]),"Pass","Fail"))</f>
        <v>Fail</v>
      </c>
      <c r="AD456" s="1" t="str">
        <f>IF(AND(Table1[[#This Row],[Spec Type2]]="N/A",Table1[[#This Row],[DUT Adj Read]]="N/A",Table1[[#This Row],[Std Adj Read]]="N/A"),"N/A",IF(Table1[[#This Row],[DUT Adj Read]]="N/A",IF(Table1[[#This Row],[Std Adj Read]]&gt;Table1[[#This Row],[Low Tol]],"Pass","Fail"),IF(Table1[[#This Row],[DUT Adj Read]]&gt;Table1[[#This Row],[Low Tol]],"Pass","Fail")))</f>
        <v>Pass</v>
      </c>
      <c r="AE456" s="1" t="str">
        <f>IF(AND(Table1[[#This Row],[Spec Type2]]="N/A",Table1[[#This Row],[DUT Adj Read]]="N/A",Table1[[#This Row],[Std Adj Read]]="N/A"),"N/A",IF(Table1[[#This Row],[DUT Adj Read]]="N/A",IF(Table1[[#This Row],[Std Adj Read]]&lt;Table1[[#This Row],[High Tol]],"Pass","Fail"),IF(Table1[[#This Row],[DUT Adj Read]]&lt;Table1[[#This Row],[High Tol]],"Pass","Fail")))</f>
        <v>Fail</v>
      </c>
      <c r="AF456" s="1" t="str">
        <f>IF(AND(Table1[[#This Row],[Spec Type2]]="N/A",Table1[[#This Row],[DUT Adj Read]]="N/A",Table1[[#This Row],[Std Adj Read]]="N/A"),"N/A",IF(Table1[[#This Row],[DUT Adj Read]]="N/A",IF(Table1[[#This Row],[Std Adj Read]]&gt;=Table1[[#This Row],[Low Tol]],"Pass","Fail"),IF(Table1[[#This Row],[DUT Adj Read]]&gt;=Table1[[#This Row],[Low Tol]],"Pass","Fail")))</f>
        <v>Pass</v>
      </c>
      <c r="AG456" s="1" t="str">
        <f>IF(AND(Table1[[#This Row],[Spec Type2]]="N/A",Table1[[#This Row],[DUT Adj Read]]="N/A",Table1[[#This Row],[Std Adj Read]]="N/A"),"N/A",IF(Table1[[#This Row],[DUT Adj Read]]="N/A",IF(Table1[[#This Row],[Std Adj Read]]&lt;=Table1[[#This Row],[High Tol]],"Pass","Fail"),IF(Table1[[#This Row],[DUT Adj Read]]&lt;=Table1[[#This Row],[High Tol]],"Pass","Fail")))</f>
        <v>Fail</v>
      </c>
      <c r="AH4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6" s="1" t="b">
        <v>0</v>
      </c>
      <c r="AN456" s="1" t="b">
        <v>0</v>
      </c>
      <c r="AO456" s="1" t="b">
        <v>0</v>
      </c>
    </row>
    <row r="457" spans="1:41" x14ac:dyDescent="0.25">
      <c r="A457" s="10"/>
      <c r="B457" s="10"/>
      <c r="C457" s="10"/>
      <c r="D457" s="10"/>
      <c r="E457" s="10"/>
      <c r="F457" s="10"/>
      <c r="G457" s="10"/>
      <c r="H457" s="10"/>
      <c r="I457" s="1" t="str">
        <f t="shared" si="18"/>
        <v/>
      </c>
      <c r="J457" s="1" t="s">
        <v>35</v>
      </c>
      <c r="K457" s="1" t="str">
        <f t="shared" si="19"/>
        <v/>
      </c>
      <c r="L457" s="1" t="str">
        <f t="shared" si="20"/>
        <v/>
      </c>
      <c r="M457" s="1">
        <f>IF(OR(Table1[[#This Row],[Std Nom]]="",Table1[[#This Row],[Std Read]]=""),0,Table1[[#This Row],[Std Nom]]-Table1[[#This Row],[Std Read]])</f>
        <v>0</v>
      </c>
      <c r="N457" s="1">
        <f>IF(Calculations!$F$5="ACCREDITED 17025 WITH UNCERTAINTIES",$N$10,0)</f>
        <v>0</v>
      </c>
      <c r="O457" s="1" t="str">
        <f>IFERROR(Table1[[#This Row],[Std Nom]]-(_xlfn.XLOOKUP(Table1[[#This Row],[Manufacturer]]&amp;" "&amp;Table1[[#This Row],[Model]],Table13[MFR &amp; MDL],Table13[Tolerance % CW ],"")/100*Table1[[#This Row],[Std Nom]]),"")</f>
        <v/>
      </c>
      <c r="P457" s="1" t="str">
        <f>IFERROR(Table1[[#This Row],[Std Nom]]+(_xlfn.XLOOKUP(Table1[[#This Row],[Manufacturer]]&amp;" "&amp;Table1[[#This Row],[Model]],Table13[MFR &amp; MDL],Table13[Tolerance % CW ],"")/100*Table1[[#This Row],[Std Nom]]),"")</f>
        <v/>
      </c>
      <c r="Q457" s="1" t="e">
        <f>Table1[[#This Row],[High Tol]]-Table1[[#This Row],[Low Tol]]</f>
        <v>#VALUE!</v>
      </c>
      <c r="R457" s="1">
        <f>2*Table1[[#This Row],[Std Error]]</f>
        <v>0</v>
      </c>
      <c r="S457" s="1" t="str">
        <f>IF(Table1[[#This Row],[High Tol]]="","N/A",IFERROR(ABS(Table1[[#This Row],[Tol Span]]/Table1[[#This Row],[Error Span]]),"N/A"))</f>
        <v>N/A</v>
      </c>
      <c r="T457" s="1" t="str">
        <f>IF(OR(Table1[[#This Row],[Low Tol]]="",Table1[[#This Row],[High Tol]]=""),"Needs Analysis",IF(Table1[[#This Row],[Ratio]]&gt;=4,"Not Significant",IF(Table1[[#This Row],[Ratio]]&gt;=2,"Semi-Significant","Significant")))</f>
        <v>Needs Analysis</v>
      </c>
      <c r="W457" s="1">
        <f>IF(Table1[[#This Row],[Cal Type]]&lt;&gt;"ACCREDITED 17025 WITH UNCERTAINTIES",0,"")</f>
        <v>0</v>
      </c>
      <c r="X457" s="1" t="str">
        <f>IF(Table1[[#This Row],[DUT Read]]="","N/A",Table1[[#This Row],[Std Error]]+Table1[[#This Row],[DUT Read]]+Table1[[#This Row],[DUT Ucty]])</f>
        <v>N/A</v>
      </c>
      <c r="Y457" s="1" t="str">
        <f>IF(Table1[[#This Row],[Std Read]]="","N/A",Table1[[#This Row],[Std Read]]+Table1[[#This Row],[Std Ucty]])</f>
        <v>N/A</v>
      </c>
      <c r="Z4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7" s="1" t="str">
        <f>IF(Table1[[#This Row],[Spec Type]]="","N/A",Table1[[#This Row],[Spec Type]])</f>
        <v>±</v>
      </c>
      <c r="AC457" s="1" t="str">
        <f>IF(Table1[[#This Row],[Spec Type2]]="N/A","N/A",IF(AND(Table1[[#This Row],[DUT Adj Read]]&gt;=Table1[[#This Row],[Low Tol]],Table1[[#This Row],[DUT Adj Read]]&lt;=Table1[[#This Row],[High Tol]]),"Pass","Fail"))</f>
        <v>Fail</v>
      </c>
      <c r="AD457" s="1" t="str">
        <f>IF(AND(Table1[[#This Row],[Spec Type2]]="N/A",Table1[[#This Row],[DUT Adj Read]]="N/A",Table1[[#This Row],[Std Adj Read]]="N/A"),"N/A",IF(Table1[[#This Row],[DUT Adj Read]]="N/A",IF(Table1[[#This Row],[Std Adj Read]]&gt;Table1[[#This Row],[Low Tol]],"Pass","Fail"),IF(Table1[[#This Row],[DUT Adj Read]]&gt;Table1[[#This Row],[Low Tol]],"Pass","Fail")))</f>
        <v>Pass</v>
      </c>
      <c r="AE457" s="1" t="str">
        <f>IF(AND(Table1[[#This Row],[Spec Type2]]="N/A",Table1[[#This Row],[DUT Adj Read]]="N/A",Table1[[#This Row],[Std Adj Read]]="N/A"),"N/A",IF(Table1[[#This Row],[DUT Adj Read]]="N/A",IF(Table1[[#This Row],[Std Adj Read]]&lt;Table1[[#This Row],[High Tol]],"Pass","Fail"),IF(Table1[[#This Row],[DUT Adj Read]]&lt;Table1[[#This Row],[High Tol]],"Pass","Fail")))</f>
        <v>Fail</v>
      </c>
      <c r="AF457" s="1" t="str">
        <f>IF(AND(Table1[[#This Row],[Spec Type2]]="N/A",Table1[[#This Row],[DUT Adj Read]]="N/A",Table1[[#This Row],[Std Adj Read]]="N/A"),"N/A",IF(Table1[[#This Row],[DUT Adj Read]]="N/A",IF(Table1[[#This Row],[Std Adj Read]]&gt;=Table1[[#This Row],[Low Tol]],"Pass","Fail"),IF(Table1[[#This Row],[DUT Adj Read]]&gt;=Table1[[#This Row],[Low Tol]],"Pass","Fail")))</f>
        <v>Pass</v>
      </c>
      <c r="AG457" s="1" t="str">
        <f>IF(AND(Table1[[#This Row],[Spec Type2]]="N/A",Table1[[#This Row],[DUT Adj Read]]="N/A",Table1[[#This Row],[Std Adj Read]]="N/A"),"N/A",IF(Table1[[#This Row],[DUT Adj Read]]="N/A",IF(Table1[[#This Row],[Std Adj Read]]&lt;=Table1[[#This Row],[High Tol]],"Pass","Fail"),IF(Table1[[#This Row],[DUT Adj Read]]&lt;=Table1[[#This Row],[High Tol]],"Pass","Fail")))</f>
        <v>Fail</v>
      </c>
      <c r="AH4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7" s="1" t="b">
        <v>0</v>
      </c>
      <c r="AN457" s="1" t="b">
        <v>0</v>
      </c>
      <c r="AO457" s="1" t="b">
        <v>0</v>
      </c>
    </row>
    <row r="458" spans="1:41" x14ac:dyDescent="0.25">
      <c r="A458" s="10"/>
      <c r="B458" s="10"/>
      <c r="C458" s="10"/>
      <c r="D458" s="10"/>
      <c r="E458" s="10"/>
      <c r="F458" s="10"/>
      <c r="G458" s="10"/>
      <c r="H458" s="10"/>
      <c r="I458" s="1" t="str">
        <f t="shared" si="18"/>
        <v/>
      </c>
      <c r="J458" s="1" t="s">
        <v>35</v>
      </c>
      <c r="K458" s="1" t="str">
        <f t="shared" si="19"/>
        <v/>
      </c>
      <c r="L458" s="1" t="str">
        <f t="shared" si="20"/>
        <v/>
      </c>
      <c r="M458" s="1">
        <f>IF(OR(Table1[[#This Row],[Std Nom]]="",Table1[[#This Row],[Std Read]]=""),0,Table1[[#This Row],[Std Nom]]-Table1[[#This Row],[Std Read]])</f>
        <v>0</v>
      </c>
      <c r="N458" s="1">
        <f>IF(Calculations!$F$5="ACCREDITED 17025 WITH UNCERTAINTIES",$N$10,0)</f>
        <v>0</v>
      </c>
      <c r="O458" s="1" t="str">
        <f>IFERROR(Table1[[#This Row],[Std Nom]]-(_xlfn.XLOOKUP(Table1[[#This Row],[Manufacturer]]&amp;" "&amp;Table1[[#This Row],[Model]],Table13[MFR &amp; MDL],Table13[Tolerance % CW ],"")/100*Table1[[#This Row],[Std Nom]]),"")</f>
        <v/>
      </c>
      <c r="P458" s="1" t="str">
        <f>IFERROR(Table1[[#This Row],[Std Nom]]+(_xlfn.XLOOKUP(Table1[[#This Row],[Manufacturer]]&amp;" "&amp;Table1[[#This Row],[Model]],Table13[MFR &amp; MDL],Table13[Tolerance % CW ],"")/100*Table1[[#This Row],[Std Nom]]),"")</f>
        <v/>
      </c>
      <c r="Q458" s="1" t="e">
        <f>Table1[[#This Row],[High Tol]]-Table1[[#This Row],[Low Tol]]</f>
        <v>#VALUE!</v>
      </c>
      <c r="R458" s="1">
        <f>2*Table1[[#This Row],[Std Error]]</f>
        <v>0</v>
      </c>
      <c r="S458" s="1" t="str">
        <f>IF(Table1[[#This Row],[High Tol]]="","N/A",IFERROR(ABS(Table1[[#This Row],[Tol Span]]/Table1[[#This Row],[Error Span]]),"N/A"))</f>
        <v>N/A</v>
      </c>
      <c r="T458" s="1" t="str">
        <f>IF(OR(Table1[[#This Row],[Low Tol]]="",Table1[[#This Row],[High Tol]]=""),"Needs Analysis",IF(Table1[[#This Row],[Ratio]]&gt;=4,"Not Significant",IF(Table1[[#This Row],[Ratio]]&gt;=2,"Semi-Significant","Significant")))</f>
        <v>Needs Analysis</v>
      </c>
      <c r="W458" s="1">
        <f>IF(Table1[[#This Row],[Cal Type]]&lt;&gt;"ACCREDITED 17025 WITH UNCERTAINTIES",0,"")</f>
        <v>0</v>
      </c>
      <c r="X458" s="1" t="str">
        <f>IF(Table1[[#This Row],[DUT Read]]="","N/A",Table1[[#This Row],[Std Error]]+Table1[[#This Row],[DUT Read]]+Table1[[#This Row],[DUT Ucty]])</f>
        <v>N/A</v>
      </c>
      <c r="Y458" s="1" t="str">
        <f>IF(Table1[[#This Row],[Std Read]]="","N/A",Table1[[#This Row],[Std Read]]+Table1[[#This Row],[Std Ucty]])</f>
        <v>N/A</v>
      </c>
      <c r="Z4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8" s="1" t="str">
        <f>IF(Table1[[#This Row],[Spec Type]]="","N/A",Table1[[#This Row],[Spec Type]])</f>
        <v>±</v>
      </c>
      <c r="AC458" s="1" t="str">
        <f>IF(Table1[[#This Row],[Spec Type2]]="N/A","N/A",IF(AND(Table1[[#This Row],[DUT Adj Read]]&gt;=Table1[[#This Row],[Low Tol]],Table1[[#This Row],[DUT Adj Read]]&lt;=Table1[[#This Row],[High Tol]]),"Pass","Fail"))</f>
        <v>Fail</v>
      </c>
      <c r="AD458" s="1" t="str">
        <f>IF(AND(Table1[[#This Row],[Spec Type2]]="N/A",Table1[[#This Row],[DUT Adj Read]]="N/A",Table1[[#This Row],[Std Adj Read]]="N/A"),"N/A",IF(Table1[[#This Row],[DUT Adj Read]]="N/A",IF(Table1[[#This Row],[Std Adj Read]]&gt;Table1[[#This Row],[Low Tol]],"Pass","Fail"),IF(Table1[[#This Row],[DUT Adj Read]]&gt;Table1[[#This Row],[Low Tol]],"Pass","Fail")))</f>
        <v>Pass</v>
      </c>
      <c r="AE458" s="1" t="str">
        <f>IF(AND(Table1[[#This Row],[Spec Type2]]="N/A",Table1[[#This Row],[DUT Adj Read]]="N/A",Table1[[#This Row],[Std Adj Read]]="N/A"),"N/A",IF(Table1[[#This Row],[DUT Adj Read]]="N/A",IF(Table1[[#This Row],[Std Adj Read]]&lt;Table1[[#This Row],[High Tol]],"Pass","Fail"),IF(Table1[[#This Row],[DUT Adj Read]]&lt;Table1[[#This Row],[High Tol]],"Pass","Fail")))</f>
        <v>Fail</v>
      </c>
      <c r="AF458" s="1" t="str">
        <f>IF(AND(Table1[[#This Row],[Spec Type2]]="N/A",Table1[[#This Row],[DUT Adj Read]]="N/A",Table1[[#This Row],[Std Adj Read]]="N/A"),"N/A",IF(Table1[[#This Row],[DUT Adj Read]]="N/A",IF(Table1[[#This Row],[Std Adj Read]]&gt;=Table1[[#This Row],[Low Tol]],"Pass","Fail"),IF(Table1[[#This Row],[DUT Adj Read]]&gt;=Table1[[#This Row],[Low Tol]],"Pass","Fail")))</f>
        <v>Pass</v>
      </c>
      <c r="AG458" s="1" t="str">
        <f>IF(AND(Table1[[#This Row],[Spec Type2]]="N/A",Table1[[#This Row],[DUT Adj Read]]="N/A",Table1[[#This Row],[Std Adj Read]]="N/A"),"N/A",IF(Table1[[#This Row],[DUT Adj Read]]="N/A",IF(Table1[[#This Row],[Std Adj Read]]&lt;=Table1[[#This Row],[High Tol]],"Pass","Fail"),IF(Table1[[#This Row],[DUT Adj Read]]&lt;=Table1[[#This Row],[High Tol]],"Pass","Fail")))</f>
        <v>Fail</v>
      </c>
      <c r="AH4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8" s="1" t="b">
        <v>0</v>
      </c>
      <c r="AN458" s="1" t="b">
        <v>0</v>
      </c>
      <c r="AO458" s="1" t="b">
        <v>0</v>
      </c>
    </row>
    <row r="459" spans="1:41" x14ac:dyDescent="0.25">
      <c r="A459" s="10"/>
      <c r="B459" s="10"/>
      <c r="C459" s="10"/>
      <c r="D459" s="10"/>
      <c r="E459" s="10"/>
      <c r="F459" s="10"/>
      <c r="G459" s="10"/>
      <c r="H459" s="10"/>
      <c r="I459" s="1" t="str">
        <f t="shared" ref="I459:I522" si="21">IF($I$10="","",$I$10)</f>
        <v/>
      </c>
      <c r="J459" s="1" t="s">
        <v>35</v>
      </c>
      <c r="K459" s="1" t="str">
        <f t="shared" ref="K459:K522" si="22">IF($K$10="","",$K$10)</f>
        <v/>
      </c>
      <c r="L459" s="1" t="str">
        <f t="shared" ref="L459:L522" si="23">IF($L$10="","",$L$10)</f>
        <v/>
      </c>
      <c r="M459" s="1">
        <f>IF(OR(Table1[[#This Row],[Std Nom]]="",Table1[[#This Row],[Std Read]]=""),0,Table1[[#This Row],[Std Nom]]-Table1[[#This Row],[Std Read]])</f>
        <v>0</v>
      </c>
      <c r="N459" s="1">
        <f>IF(Calculations!$F$5="ACCREDITED 17025 WITH UNCERTAINTIES",$N$10,0)</f>
        <v>0</v>
      </c>
      <c r="O459" s="1" t="str">
        <f>IFERROR(Table1[[#This Row],[Std Nom]]-(_xlfn.XLOOKUP(Table1[[#This Row],[Manufacturer]]&amp;" "&amp;Table1[[#This Row],[Model]],Table13[MFR &amp; MDL],Table13[Tolerance % CW ],"")/100*Table1[[#This Row],[Std Nom]]),"")</f>
        <v/>
      </c>
      <c r="P459" s="1" t="str">
        <f>IFERROR(Table1[[#This Row],[Std Nom]]+(_xlfn.XLOOKUP(Table1[[#This Row],[Manufacturer]]&amp;" "&amp;Table1[[#This Row],[Model]],Table13[MFR &amp; MDL],Table13[Tolerance % CW ],"")/100*Table1[[#This Row],[Std Nom]]),"")</f>
        <v/>
      </c>
      <c r="Q459" s="1" t="e">
        <f>Table1[[#This Row],[High Tol]]-Table1[[#This Row],[Low Tol]]</f>
        <v>#VALUE!</v>
      </c>
      <c r="R459" s="1">
        <f>2*Table1[[#This Row],[Std Error]]</f>
        <v>0</v>
      </c>
      <c r="S459" s="1" t="str">
        <f>IF(Table1[[#This Row],[High Tol]]="","N/A",IFERROR(ABS(Table1[[#This Row],[Tol Span]]/Table1[[#This Row],[Error Span]]),"N/A"))</f>
        <v>N/A</v>
      </c>
      <c r="T459" s="1" t="str">
        <f>IF(OR(Table1[[#This Row],[Low Tol]]="",Table1[[#This Row],[High Tol]]=""),"Needs Analysis",IF(Table1[[#This Row],[Ratio]]&gt;=4,"Not Significant",IF(Table1[[#This Row],[Ratio]]&gt;=2,"Semi-Significant","Significant")))</f>
        <v>Needs Analysis</v>
      </c>
      <c r="W459" s="1">
        <f>IF(Table1[[#This Row],[Cal Type]]&lt;&gt;"ACCREDITED 17025 WITH UNCERTAINTIES",0,"")</f>
        <v>0</v>
      </c>
      <c r="X459" s="1" t="str">
        <f>IF(Table1[[#This Row],[DUT Read]]="","N/A",Table1[[#This Row],[Std Error]]+Table1[[#This Row],[DUT Read]]+Table1[[#This Row],[DUT Ucty]])</f>
        <v>N/A</v>
      </c>
      <c r="Y459" s="1" t="str">
        <f>IF(Table1[[#This Row],[Std Read]]="","N/A",Table1[[#This Row],[Std Read]]+Table1[[#This Row],[Std Ucty]])</f>
        <v>N/A</v>
      </c>
      <c r="Z4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9" s="1" t="str">
        <f>IF(Table1[[#This Row],[Spec Type]]="","N/A",Table1[[#This Row],[Spec Type]])</f>
        <v>±</v>
      </c>
      <c r="AC459" s="1" t="str">
        <f>IF(Table1[[#This Row],[Spec Type2]]="N/A","N/A",IF(AND(Table1[[#This Row],[DUT Adj Read]]&gt;=Table1[[#This Row],[Low Tol]],Table1[[#This Row],[DUT Adj Read]]&lt;=Table1[[#This Row],[High Tol]]),"Pass","Fail"))</f>
        <v>Fail</v>
      </c>
      <c r="AD459" s="1" t="str">
        <f>IF(AND(Table1[[#This Row],[Spec Type2]]="N/A",Table1[[#This Row],[DUT Adj Read]]="N/A",Table1[[#This Row],[Std Adj Read]]="N/A"),"N/A",IF(Table1[[#This Row],[DUT Adj Read]]="N/A",IF(Table1[[#This Row],[Std Adj Read]]&gt;Table1[[#This Row],[Low Tol]],"Pass","Fail"),IF(Table1[[#This Row],[DUT Adj Read]]&gt;Table1[[#This Row],[Low Tol]],"Pass","Fail")))</f>
        <v>Pass</v>
      </c>
      <c r="AE459" s="1" t="str">
        <f>IF(AND(Table1[[#This Row],[Spec Type2]]="N/A",Table1[[#This Row],[DUT Adj Read]]="N/A",Table1[[#This Row],[Std Adj Read]]="N/A"),"N/A",IF(Table1[[#This Row],[DUT Adj Read]]="N/A",IF(Table1[[#This Row],[Std Adj Read]]&lt;Table1[[#This Row],[High Tol]],"Pass","Fail"),IF(Table1[[#This Row],[DUT Adj Read]]&lt;Table1[[#This Row],[High Tol]],"Pass","Fail")))</f>
        <v>Fail</v>
      </c>
      <c r="AF459" s="1" t="str">
        <f>IF(AND(Table1[[#This Row],[Spec Type2]]="N/A",Table1[[#This Row],[DUT Adj Read]]="N/A",Table1[[#This Row],[Std Adj Read]]="N/A"),"N/A",IF(Table1[[#This Row],[DUT Adj Read]]="N/A",IF(Table1[[#This Row],[Std Adj Read]]&gt;=Table1[[#This Row],[Low Tol]],"Pass","Fail"),IF(Table1[[#This Row],[DUT Adj Read]]&gt;=Table1[[#This Row],[Low Tol]],"Pass","Fail")))</f>
        <v>Pass</v>
      </c>
      <c r="AG459" s="1" t="str">
        <f>IF(AND(Table1[[#This Row],[Spec Type2]]="N/A",Table1[[#This Row],[DUT Adj Read]]="N/A",Table1[[#This Row],[Std Adj Read]]="N/A"),"N/A",IF(Table1[[#This Row],[DUT Adj Read]]="N/A",IF(Table1[[#This Row],[Std Adj Read]]&lt;=Table1[[#This Row],[High Tol]],"Pass","Fail"),IF(Table1[[#This Row],[DUT Adj Read]]&lt;=Table1[[#This Row],[High Tol]],"Pass","Fail")))</f>
        <v>Fail</v>
      </c>
      <c r="AH4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9" s="1" t="b">
        <v>0</v>
      </c>
      <c r="AN459" s="1" t="b">
        <v>0</v>
      </c>
      <c r="AO459" s="1" t="b">
        <v>0</v>
      </c>
    </row>
    <row r="460" spans="1:41" x14ac:dyDescent="0.25">
      <c r="A460" s="10"/>
      <c r="B460" s="10"/>
      <c r="C460" s="10"/>
      <c r="D460" s="10"/>
      <c r="E460" s="10"/>
      <c r="F460" s="10"/>
      <c r="G460" s="10"/>
      <c r="H460" s="10"/>
      <c r="I460" s="1" t="str">
        <f t="shared" si="21"/>
        <v/>
      </c>
      <c r="J460" s="1" t="s">
        <v>35</v>
      </c>
      <c r="K460" s="1" t="str">
        <f t="shared" si="22"/>
        <v/>
      </c>
      <c r="L460" s="1" t="str">
        <f t="shared" si="23"/>
        <v/>
      </c>
      <c r="M460" s="1">
        <f>IF(OR(Table1[[#This Row],[Std Nom]]="",Table1[[#This Row],[Std Read]]=""),0,Table1[[#This Row],[Std Nom]]-Table1[[#This Row],[Std Read]])</f>
        <v>0</v>
      </c>
      <c r="N460" s="1">
        <f>IF(Calculations!$F$5="ACCREDITED 17025 WITH UNCERTAINTIES",$N$10,0)</f>
        <v>0</v>
      </c>
      <c r="O460" s="1" t="str">
        <f>IFERROR(Table1[[#This Row],[Std Nom]]-(_xlfn.XLOOKUP(Table1[[#This Row],[Manufacturer]]&amp;" "&amp;Table1[[#This Row],[Model]],Table13[MFR &amp; MDL],Table13[Tolerance % CW ],"")/100*Table1[[#This Row],[Std Nom]]),"")</f>
        <v/>
      </c>
      <c r="P460" s="1" t="str">
        <f>IFERROR(Table1[[#This Row],[Std Nom]]+(_xlfn.XLOOKUP(Table1[[#This Row],[Manufacturer]]&amp;" "&amp;Table1[[#This Row],[Model]],Table13[MFR &amp; MDL],Table13[Tolerance % CW ],"")/100*Table1[[#This Row],[Std Nom]]),"")</f>
        <v/>
      </c>
      <c r="Q460" s="1" t="e">
        <f>Table1[[#This Row],[High Tol]]-Table1[[#This Row],[Low Tol]]</f>
        <v>#VALUE!</v>
      </c>
      <c r="R460" s="1">
        <f>2*Table1[[#This Row],[Std Error]]</f>
        <v>0</v>
      </c>
      <c r="S460" s="1" t="str">
        <f>IF(Table1[[#This Row],[High Tol]]="","N/A",IFERROR(ABS(Table1[[#This Row],[Tol Span]]/Table1[[#This Row],[Error Span]]),"N/A"))</f>
        <v>N/A</v>
      </c>
      <c r="T460" s="1" t="str">
        <f>IF(OR(Table1[[#This Row],[Low Tol]]="",Table1[[#This Row],[High Tol]]=""),"Needs Analysis",IF(Table1[[#This Row],[Ratio]]&gt;=4,"Not Significant",IF(Table1[[#This Row],[Ratio]]&gt;=2,"Semi-Significant","Significant")))</f>
        <v>Needs Analysis</v>
      </c>
      <c r="W460" s="1">
        <f>IF(Table1[[#This Row],[Cal Type]]&lt;&gt;"ACCREDITED 17025 WITH UNCERTAINTIES",0,"")</f>
        <v>0</v>
      </c>
      <c r="X460" s="1" t="str">
        <f>IF(Table1[[#This Row],[DUT Read]]="","N/A",Table1[[#This Row],[Std Error]]+Table1[[#This Row],[DUT Read]]+Table1[[#This Row],[DUT Ucty]])</f>
        <v>N/A</v>
      </c>
      <c r="Y460" s="1" t="str">
        <f>IF(Table1[[#This Row],[Std Read]]="","N/A",Table1[[#This Row],[Std Read]]+Table1[[#This Row],[Std Ucty]])</f>
        <v>N/A</v>
      </c>
      <c r="Z4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0" s="1" t="str">
        <f>IF(Table1[[#This Row],[Spec Type]]="","N/A",Table1[[#This Row],[Spec Type]])</f>
        <v>±</v>
      </c>
      <c r="AC460" s="1" t="str">
        <f>IF(Table1[[#This Row],[Spec Type2]]="N/A","N/A",IF(AND(Table1[[#This Row],[DUT Adj Read]]&gt;=Table1[[#This Row],[Low Tol]],Table1[[#This Row],[DUT Adj Read]]&lt;=Table1[[#This Row],[High Tol]]),"Pass","Fail"))</f>
        <v>Fail</v>
      </c>
      <c r="AD460" s="1" t="str">
        <f>IF(AND(Table1[[#This Row],[Spec Type2]]="N/A",Table1[[#This Row],[DUT Adj Read]]="N/A",Table1[[#This Row],[Std Adj Read]]="N/A"),"N/A",IF(Table1[[#This Row],[DUT Adj Read]]="N/A",IF(Table1[[#This Row],[Std Adj Read]]&gt;Table1[[#This Row],[Low Tol]],"Pass","Fail"),IF(Table1[[#This Row],[DUT Adj Read]]&gt;Table1[[#This Row],[Low Tol]],"Pass","Fail")))</f>
        <v>Pass</v>
      </c>
      <c r="AE460" s="1" t="str">
        <f>IF(AND(Table1[[#This Row],[Spec Type2]]="N/A",Table1[[#This Row],[DUT Adj Read]]="N/A",Table1[[#This Row],[Std Adj Read]]="N/A"),"N/A",IF(Table1[[#This Row],[DUT Adj Read]]="N/A",IF(Table1[[#This Row],[Std Adj Read]]&lt;Table1[[#This Row],[High Tol]],"Pass","Fail"),IF(Table1[[#This Row],[DUT Adj Read]]&lt;Table1[[#This Row],[High Tol]],"Pass","Fail")))</f>
        <v>Fail</v>
      </c>
      <c r="AF460" s="1" t="str">
        <f>IF(AND(Table1[[#This Row],[Spec Type2]]="N/A",Table1[[#This Row],[DUT Adj Read]]="N/A",Table1[[#This Row],[Std Adj Read]]="N/A"),"N/A",IF(Table1[[#This Row],[DUT Adj Read]]="N/A",IF(Table1[[#This Row],[Std Adj Read]]&gt;=Table1[[#This Row],[Low Tol]],"Pass","Fail"),IF(Table1[[#This Row],[DUT Adj Read]]&gt;=Table1[[#This Row],[Low Tol]],"Pass","Fail")))</f>
        <v>Pass</v>
      </c>
      <c r="AG460" s="1" t="str">
        <f>IF(AND(Table1[[#This Row],[Spec Type2]]="N/A",Table1[[#This Row],[DUT Adj Read]]="N/A",Table1[[#This Row],[Std Adj Read]]="N/A"),"N/A",IF(Table1[[#This Row],[DUT Adj Read]]="N/A",IF(Table1[[#This Row],[Std Adj Read]]&lt;=Table1[[#This Row],[High Tol]],"Pass","Fail"),IF(Table1[[#This Row],[DUT Adj Read]]&lt;=Table1[[#This Row],[High Tol]],"Pass","Fail")))</f>
        <v>Fail</v>
      </c>
      <c r="AH4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0" s="1" t="b">
        <v>0</v>
      </c>
      <c r="AN460" s="1" t="b">
        <v>0</v>
      </c>
      <c r="AO460" s="1" t="b">
        <v>0</v>
      </c>
    </row>
    <row r="461" spans="1:41" x14ac:dyDescent="0.25">
      <c r="A461" s="10"/>
      <c r="B461" s="10"/>
      <c r="C461" s="10"/>
      <c r="D461" s="10"/>
      <c r="E461" s="10"/>
      <c r="F461" s="10"/>
      <c r="G461" s="10"/>
      <c r="H461" s="10"/>
      <c r="I461" s="1" t="str">
        <f t="shared" si="21"/>
        <v/>
      </c>
      <c r="J461" s="1" t="s">
        <v>35</v>
      </c>
      <c r="K461" s="1" t="str">
        <f t="shared" si="22"/>
        <v/>
      </c>
      <c r="L461" s="1" t="str">
        <f t="shared" si="23"/>
        <v/>
      </c>
      <c r="M461" s="1">
        <f>IF(OR(Table1[[#This Row],[Std Nom]]="",Table1[[#This Row],[Std Read]]=""),0,Table1[[#This Row],[Std Nom]]-Table1[[#This Row],[Std Read]])</f>
        <v>0</v>
      </c>
      <c r="N461" s="1">
        <f>IF(Calculations!$F$5="ACCREDITED 17025 WITH UNCERTAINTIES",$N$10,0)</f>
        <v>0</v>
      </c>
      <c r="O461" s="1" t="str">
        <f>IFERROR(Table1[[#This Row],[Std Nom]]-(_xlfn.XLOOKUP(Table1[[#This Row],[Manufacturer]]&amp;" "&amp;Table1[[#This Row],[Model]],Table13[MFR &amp; MDL],Table13[Tolerance % CW ],"")/100*Table1[[#This Row],[Std Nom]]),"")</f>
        <v/>
      </c>
      <c r="P461" s="1" t="str">
        <f>IFERROR(Table1[[#This Row],[Std Nom]]+(_xlfn.XLOOKUP(Table1[[#This Row],[Manufacturer]]&amp;" "&amp;Table1[[#This Row],[Model]],Table13[MFR &amp; MDL],Table13[Tolerance % CW ],"")/100*Table1[[#This Row],[Std Nom]]),"")</f>
        <v/>
      </c>
      <c r="Q461" s="1" t="e">
        <f>Table1[[#This Row],[High Tol]]-Table1[[#This Row],[Low Tol]]</f>
        <v>#VALUE!</v>
      </c>
      <c r="R461" s="1">
        <f>2*Table1[[#This Row],[Std Error]]</f>
        <v>0</v>
      </c>
      <c r="S461" s="1" t="str">
        <f>IF(Table1[[#This Row],[High Tol]]="","N/A",IFERROR(ABS(Table1[[#This Row],[Tol Span]]/Table1[[#This Row],[Error Span]]),"N/A"))</f>
        <v>N/A</v>
      </c>
      <c r="T461" s="1" t="str">
        <f>IF(OR(Table1[[#This Row],[Low Tol]]="",Table1[[#This Row],[High Tol]]=""),"Needs Analysis",IF(Table1[[#This Row],[Ratio]]&gt;=4,"Not Significant",IF(Table1[[#This Row],[Ratio]]&gt;=2,"Semi-Significant","Significant")))</f>
        <v>Needs Analysis</v>
      </c>
      <c r="W461" s="1">
        <f>IF(Table1[[#This Row],[Cal Type]]&lt;&gt;"ACCREDITED 17025 WITH UNCERTAINTIES",0,"")</f>
        <v>0</v>
      </c>
      <c r="X461" s="1" t="str">
        <f>IF(Table1[[#This Row],[DUT Read]]="","N/A",Table1[[#This Row],[Std Error]]+Table1[[#This Row],[DUT Read]]+Table1[[#This Row],[DUT Ucty]])</f>
        <v>N/A</v>
      </c>
      <c r="Y461" s="1" t="str">
        <f>IF(Table1[[#This Row],[Std Read]]="","N/A",Table1[[#This Row],[Std Read]]+Table1[[#This Row],[Std Ucty]])</f>
        <v>N/A</v>
      </c>
      <c r="Z4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1" s="1" t="str">
        <f>IF(Table1[[#This Row],[Spec Type]]="","N/A",Table1[[#This Row],[Spec Type]])</f>
        <v>±</v>
      </c>
      <c r="AC461" s="1" t="str">
        <f>IF(Table1[[#This Row],[Spec Type2]]="N/A","N/A",IF(AND(Table1[[#This Row],[DUT Adj Read]]&gt;=Table1[[#This Row],[Low Tol]],Table1[[#This Row],[DUT Adj Read]]&lt;=Table1[[#This Row],[High Tol]]),"Pass","Fail"))</f>
        <v>Fail</v>
      </c>
      <c r="AD461" s="1" t="str">
        <f>IF(AND(Table1[[#This Row],[Spec Type2]]="N/A",Table1[[#This Row],[DUT Adj Read]]="N/A",Table1[[#This Row],[Std Adj Read]]="N/A"),"N/A",IF(Table1[[#This Row],[DUT Adj Read]]="N/A",IF(Table1[[#This Row],[Std Adj Read]]&gt;Table1[[#This Row],[Low Tol]],"Pass","Fail"),IF(Table1[[#This Row],[DUT Adj Read]]&gt;Table1[[#This Row],[Low Tol]],"Pass","Fail")))</f>
        <v>Pass</v>
      </c>
      <c r="AE461" s="1" t="str">
        <f>IF(AND(Table1[[#This Row],[Spec Type2]]="N/A",Table1[[#This Row],[DUT Adj Read]]="N/A",Table1[[#This Row],[Std Adj Read]]="N/A"),"N/A",IF(Table1[[#This Row],[DUT Adj Read]]="N/A",IF(Table1[[#This Row],[Std Adj Read]]&lt;Table1[[#This Row],[High Tol]],"Pass","Fail"),IF(Table1[[#This Row],[DUT Adj Read]]&lt;Table1[[#This Row],[High Tol]],"Pass","Fail")))</f>
        <v>Fail</v>
      </c>
      <c r="AF461" s="1" t="str">
        <f>IF(AND(Table1[[#This Row],[Spec Type2]]="N/A",Table1[[#This Row],[DUT Adj Read]]="N/A",Table1[[#This Row],[Std Adj Read]]="N/A"),"N/A",IF(Table1[[#This Row],[DUT Adj Read]]="N/A",IF(Table1[[#This Row],[Std Adj Read]]&gt;=Table1[[#This Row],[Low Tol]],"Pass","Fail"),IF(Table1[[#This Row],[DUT Adj Read]]&gt;=Table1[[#This Row],[Low Tol]],"Pass","Fail")))</f>
        <v>Pass</v>
      </c>
      <c r="AG461" s="1" t="str">
        <f>IF(AND(Table1[[#This Row],[Spec Type2]]="N/A",Table1[[#This Row],[DUT Adj Read]]="N/A",Table1[[#This Row],[Std Adj Read]]="N/A"),"N/A",IF(Table1[[#This Row],[DUT Adj Read]]="N/A",IF(Table1[[#This Row],[Std Adj Read]]&lt;=Table1[[#This Row],[High Tol]],"Pass","Fail"),IF(Table1[[#This Row],[DUT Adj Read]]&lt;=Table1[[#This Row],[High Tol]],"Pass","Fail")))</f>
        <v>Fail</v>
      </c>
      <c r="AH4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1" s="1" t="b">
        <v>0</v>
      </c>
      <c r="AN461" s="1" t="b">
        <v>0</v>
      </c>
      <c r="AO461" s="1" t="b">
        <v>0</v>
      </c>
    </row>
    <row r="462" spans="1:41" x14ac:dyDescent="0.25">
      <c r="A462" s="10"/>
      <c r="B462" s="10"/>
      <c r="C462" s="10"/>
      <c r="D462" s="10"/>
      <c r="E462" s="10"/>
      <c r="F462" s="10"/>
      <c r="G462" s="10"/>
      <c r="H462" s="10"/>
      <c r="I462" s="1" t="str">
        <f t="shared" si="21"/>
        <v/>
      </c>
      <c r="J462" s="1" t="s">
        <v>35</v>
      </c>
      <c r="K462" s="1" t="str">
        <f t="shared" si="22"/>
        <v/>
      </c>
      <c r="L462" s="1" t="str">
        <f t="shared" si="23"/>
        <v/>
      </c>
      <c r="M462" s="1">
        <f>IF(OR(Table1[[#This Row],[Std Nom]]="",Table1[[#This Row],[Std Read]]=""),0,Table1[[#This Row],[Std Nom]]-Table1[[#This Row],[Std Read]])</f>
        <v>0</v>
      </c>
      <c r="N462" s="1">
        <f>IF(Calculations!$F$5="ACCREDITED 17025 WITH UNCERTAINTIES",$N$10,0)</f>
        <v>0</v>
      </c>
      <c r="O462" s="1" t="str">
        <f>IFERROR(Table1[[#This Row],[Std Nom]]-(_xlfn.XLOOKUP(Table1[[#This Row],[Manufacturer]]&amp;" "&amp;Table1[[#This Row],[Model]],Table13[MFR &amp; MDL],Table13[Tolerance % CW ],"")/100*Table1[[#This Row],[Std Nom]]),"")</f>
        <v/>
      </c>
      <c r="P462" s="1" t="str">
        <f>IFERROR(Table1[[#This Row],[Std Nom]]+(_xlfn.XLOOKUP(Table1[[#This Row],[Manufacturer]]&amp;" "&amp;Table1[[#This Row],[Model]],Table13[MFR &amp; MDL],Table13[Tolerance % CW ],"")/100*Table1[[#This Row],[Std Nom]]),"")</f>
        <v/>
      </c>
      <c r="Q462" s="1" t="e">
        <f>Table1[[#This Row],[High Tol]]-Table1[[#This Row],[Low Tol]]</f>
        <v>#VALUE!</v>
      </c>
      <c r="R462" s="1">
        <f>2*Table1[[#This Row],[Std Error]]</f>
        <v>0</v>
      </c>
      <c r="S462" s="1" t="str">
        <f>IF(Table1[[#This Row],[High Tol]]="","N/A",IFERROR(ABS(Table1[[#This Row],[Tol Span]]/Table1[[#This Row],[Error Span]]),"N/A"))</f>
        <v>N/A</v>
      </c>
      <c r="T462" s="1" t="str">
        <f>IF(OR(Table1[[#This Row],[Low Tol]]="",Table1[[#This Row],[High Tol]]=""),"Needs Analysis",IF(Table1[[#This Row],[Ratio]]&gt;=4,"Not Significant",IF(Table1[[#This Row],[Ratio]]&gt;=2,"Semi-Significant","Significant")))</f>
        <v>Needs Analysis</v>
      </c>
      <c r="W462" s="1">
        <f>IF(Table1[[#This Row],[Cal Type]]&lt;&gt;"ACCREDITED 17025 WITH UNCERTAINTIES",0,"")</f>
        <v>0</v>
      </c>
      <c r="X462" s="1" t="str">
        <f>IF(Table1[[#This Row],[DUT Read]]="","N/A",Table1[[#This Row],[Std Error]]+Table1[[#This Row],[DUT Read]]+Table1[[#This Row],[DUT Ucty]])</f>
        <v>N/A</v>
      </c>
      <c r="Y462" s="1" t="str">
        <f>IF(Table1[[#This Row],[Std Read]]="","N/A",Table1[[#This Row],[Std Read]]+Table1[[#This Row],[Std Ucty]])</f>
        <v>N/A</v>
      </c>
      <c r="Z4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2" s="1" t="str">
        <f>IF(Table1[[#This Row],[Spec Type]]="","N/A",Table1[[#This Row],[Spec Type]])</f>
        <v>±</v>
      </c>
      <c r="AC462" s="1" t="str">
        <f>IF(Table1[[#This Row],[Spec Type2]]="N/A","N/A",IF(AND(Table1[[#This Row],[DUT Adj Read]]&gt;=Table1[[#This Row],[Low Tol]],Table1[[#This Row],[DUT Adj Read]]&lt;=Table1[[#This Row],[High Tol]]),"Pass","Fail"))</f>
        <v>Fail</v>
      </c>
      <c r="AD462" s="1" t="str">
        <f>IF(AND(Table1[[#This Row],[Spec Type2]]="N/A",Table1[[#This Row],[DUT Adj Read]]="N/A",Table1[[#This Row],[Std Adj Read]]="N/A"),"N/A",IF(Table1[[#This Row],[DUT Adj Read]]="N/A",IF(Table1[[#This Row],[Std Adj Read]]&gt;Table1[[#This Row],[Low Tol]],"Pass","Fail"),IF(Table1[[#This Row],[DUT Adj Read]]&gt;Table1[[#This Row],[Low Tol]],"Pass","Fail")))</f>
        <v>Pass</v>
      </c>
      <c r="AE462" s="1" t="str">
        <f>IF(AND(Table1[[#This Row],[Spec Type2]]="N/A",Table1[[#This Row],[DUT Adj Read]]="N/A",Table1[[#This Row],[Std Adj Read]]="N/A"),"N/A",IF(Table1[[#This Row],[DUT Adj Read]]="N/A",IF(Table1[[#This Row],[Std Adj Read]]&lt;Table1[[#This Row],[High Tol]],"Pass","Fail"),IF(Table1[[#This Row],[DUT Adj Read]]&lt;Table1[[#This Row],[High Tol]],"Pass","Fail")))</f>
        <v>Fail</v>
      </c>
      <c r="AF462" s="1" t="str">
        <f>IF(AND(Table1[[#This Row],[Spec Type2]]="N/A",Table1[[#This Row],[DUT Adj Read]]="N/A",Table1[[#This Row],[Std Adj Read]]="N/A"),"N/A",IF(Table1[[#This Row],[DUT Adj Read]]="N/A",IF(Table1[[#This Row],[Std Adj Read]]&gt;=Table1[[#This Row],[Low Tol]],"Pass","Fail"),IF(Table1[[#This Row],[DUT Adj Read]]&gt;=Table1[[#This Row],[Low Tol]],"Pass","Fail")))</f>
        <v>Pass</v>
      </c>
      <c r="AG462" s="1" t="str">
        <f>IF(AND(Table1[[#This Row],[Spec Type2]]="N/A",Table1[[#This Row],[DUT Adj Read]]="N/A",Table1[[#This Row],[Std Adj Read]]="N/A"),"N/A",IF(Table1[[#This Row],[DUT Adj Read]]="N/A",IF(Table1[[#This Row],[Std Adj Read]]&lt;=Table1[[#This Row],[High Tol]],"Pass","Fail"),IF(Table1[[#This Row],[DUT Adj Read]]&lt;=Table1[[#This Row],[High Tol]],"Pass","Fail")))</f>
        <v>Fail</v>
      </c>
      <c r="AH4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2" s="1" t="b">
        <v>0</v>
      </c>
      <c r="AN462" s="1" t="b">
        <v>0</v>
      </c>
      <c r="AO462" s="1" t="b">
        <v>0</v>
      </c>
    </row>
    <row r="463" spans="1:41" x14ac:dyDescent="0.25">
      <c r="A463" s="10"/>
      <c r="B463" s="10"/>
      <c r="C463" s="10"/>
      <c r="D463" s="10"/>
      <c r="E463" s="10"/>
      <c r="F463" s="10"/>
      <c r="G463" s="10"/>
      <c r="H463" s="10"/>
      <c r="I463" s="1" t="str">
        <f t="shared" si="21"/>
        <v/>
      </c>
      <c r="J463" s="1" t="s">
        <v>35</v>
      </c>
      <c r="K463" s="1" t="str">
        <f t="shared" si="22"/>
        <v/>
      </c>
      <c r="L463" s="1" t="str">
        <f t="shared" si="23"/>
        <v/>
      </c>
      <c r="M463" s="1">
        <f>IF(OR(Table1[[#This Row],[Std Nom]]="",Table1[[#This Row],[Std Read]]=""),0,Table1[[#This Row],[Std Nom]]-Table1[[#This Row],[Std Read]])</f>
        <v>0</v>
      </c>
      <c r="N463" s="1">
        <f>IF(Calculations!$F$5="ACCREDITED 17025 WITH UNCERTAINTIES",$N$10,0)</f>
        <v>0</v>
      </c>
      <c r="O463" s="1" t="str">
        <f>IFERROR(Table1[[#This Row],[Std Nom]]-(_xlfn.XLOOKUP(Table1[[#This Row],[Manufacturer]]&amp;" "&amp;Table1[[#This Row],[Model]],Table13[MFR &amp; MDL],Table13[Tolerance % CW ],"")/100*Table1[[#This Row],[Std Nom]]),"")</f>
        <v/>
      </c>
      <c r="P463" s="1" t="str">
        <f>IFERROR(Table1[[#This Row],[Std Nom]]+(_xlfn.XLOOKUP(Table1[[#This Row],[Manufacturer]]&amp;" "&amp;Table1[[#This Row],[Model]],Table13[MFR &amp; MDL],Table13[Tolerance % CW ],"")/100*Table1[[#This Row],[Std Nom]]),"")</f>
        <v/>
      </c>
      <c r="Q463" s="1" t="e">
        <f>Table1[[#This Row],[High Tol]]-Table1[[#This Row],[Low Tol]]</f>
        <v>#VALUE!</v>
      </c>
      <c r="R463" s="1">
        <f>2*Table1[[#This Row],[Std Error]]</f>
        <v>0</v>
      </c>
      <c r="S463" s="1" t="str">
        <f>IF(Table1[[#This Row],[High Tol]]="","N/A",IFERROR(ABS(Table1[[#This Row],[Tol Span]]/Table1[[#This Row],[Error Span]]),"N/A"))</f>
        <v>N/A</v>
      </c>
      <c r="T463" s="1" t="str">
        <f>IF(OR(Table1[[#This Row],[Low Tol]]="",Table1[[#This Row],[High Tol]]=""),"Needs Analysis",IF(Table1[[#This Row],[Ratio]]&gt;=4,"Not Significant",IF(Table1[[#This Row],[Ratio]]&gt;=2,"Semi-Significant","Significant")))</f>
        <v>Needs Analysis</v>
      </c>
      <c r="W463" s="1">
        <f>IF(Table1[[#This Row],[Cal Type]]&lt;&gt;"ACCREDITED 17025 WITH UNCERTAINTIES",0,"")</f>
        <v>0</v>
      </c>
      <c r="X463" s="1" t="str">
        <f>IF(Table1[[#This Row],[DUT Read]]="","N/A",Table1[[#This Row],[Std Error]]+Table1[[#This Row],[DUT Read]]+Table1[[#This Row],[DUT Ucty]])</f>
        <v>N/A</v>
      </c>
      <c r="Y463" s="1" t="str">
        <f>IF(Table1[[#This Row],[Std Read]]="","N/A",Table1[[#This Row],[Std Read]]+Table1[[#This Row],[Std Ucty]])</f>
        <v>N/A</v>
      </c>
      <c r="Z4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3" s="1" t="str">
        <f>IF(Table1[[#This Row],[Spec Type]]="","N/A",Table1[[#This Row],[Spec Type]])</f>
        <v>±</v>
      </c>
      <c r="AC463" s="1" t="str">
        <f>IF(Table1[[#This Row],[Spec Type2]]="N/A","N/A",IF(AND(Table1[[#This Row],[DUT Adj Read]]&gt;=Table1[[#This Row],[Low Tol]],Table1[[#This Row],[DUT Adj Read]]&lt;=Table1[[#This Row],[High Tol]]),"Pass","Fail"))</f>
        <v>Fail</v>
      </c>
      <c r="AD463" s="1" t="str">
        <f>IF(AND(Table1[[#This Row],[Spec Type2]]="N/A",Table1[[#This Row],[DUT Adj Read]]="N/A",Table1[[#This Row],[Std Adj Read]]="N/A"),"N/A",IF(Table1[[#This Row],[DUT Adj Read]]="N/A",IF(Table1[[#This Row],[Std Adj Read]]&gt;Table1[[#This Row],[Low Tol]],"Pass","Fail"),IF(Table1[[#This Row],[DUT Adj Read]]&gt;Table1[[#This Row],[Low Tol]],"Pass","Fail")))</f>
        <v>Pass</v>
      </c>
      <c r="AE463" s="1" t="str">
        <f>IF(AND(Table1[[#This Row],[Spec Type2]]="N/A",Table1[[#This Row],[DUT Adj Read]]="N/A",Table1[[#This Row],[Std Adj Read]]="N/A"),"N/A",IF(Table1[[#This Row],[DUT Adj Read]]="N/A",IF(Table1[[#This Row],[Std Adj Read]]&lt;Table1[[#This Row],[High Tol]],"Pass","Fail"),IF(Table1[[#This Row],[DUT Adj Read]]&lt;Table1[[#This Row],[High Tol]],"Pass","Fail")))</f>
        <v>Fail</v>
      </c>
      <c r="AF463" s="1" t="str">
        <f>IF(AND(Table1[[#This Row],[Spec Type2]]="N/A",Table1[[#This Row],[DUT Adj Read]]="N/A",Table1[[#This Row],[Std Adj Read]]="N/A"),"N/A",IF(Table1[[#This Row],[DUT Adj Read]]="N/A",IF(Table1[[#This Row],[Std Adj Read]]&gt;=Table1[[#This Row],[Low Tol]],"Pass","Fail"),IF(Table1[[#This Row],[DUT Adj Read]]&gt;=Table1[[#This Row],[Low Tol]],"Pass","Fail")))</f>
        <v>Pass</v>
      </c>
      <c r="AG463" s="1" t="str">
        <f>IF(AND(Table1[[#This Row],[Spec Type2]]="N/A",Table1[[#This Row],[DUT Adj Read]]="N/A",Table1[[#This Row],[Std Adj Read]]="N/A"),"N/A",IF(Table1[[#This Row],[DUT Adj Read]]="N/A",IF(Table1[[#This Row],[Std Adj Read]]&lt;=Table1[[#This Row],[High Tol]],"Pass","Fail"),IF(Table1[[#This Row],[DUT Adj Read]]&lt;=Table1[[#This Row],[High Tol]],"Pass","Fail")))</f>
        <v>Fail</v>
      </c>
      <c r="AH4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3" s="1" t="b">
        <v>0</v>
      </c>
      <c r="AN463" s="1" t="b">
        <v>0</v>
      </c>
      <c r="AO463" s="1" t="b">
        <v>0</v>
      </c>
    </row>
    <row r="464" spans="1:41" x14ac:dyDescent="0.25">
      <c r="A464" s="10"/>
      <c r="B464" s="10"/>
      <c r="C464" s="10"/>
      <c r="D464" s="10"/>
      <c r="E464" s="10"/>
      <c r="F464" s="10"/>
      <c r="G464" s="10"/>
      <c r="H464" s="10"/>
      <c r="I464" s="1" t="str">
        <f t="shared" si="21"/>
        <v/>
      </c>
      <c r="J464" s="1" t="s">
        <v>35</v>
      </c>
      <c r="K464" s="1" t="str">
        <f t="shared" si="22"/>
        <v/>
      </c>
      <c r="L464" s="1" t="str">
        <f t="shared" si="23"/>
        <v/>
      </c>
      <c r="M464" s="1">
        <f>IF(OR(Table1[[#This Row],[Std Nom]]="",Table1[[#This Row],[Std Read]]=""),0,Table1[[#This Row],[Std Nom]]-Table1[[#This Row],[Std Read]])</f>
        <v>0</v>
      </c>
      <c r="N464" s="1">
        <f>IF(Calculations!$F$5="ACCREDITED 17025 WITH UNCERTAINTIES",$N$10,0)</f>
        <v>0</v>
      </c>
      <c r="O464" s="1" t="str">
        <f>IFERROR(Table1[[#This Row],[Std Nom]]-(_xlfn.XLOOKUP(Table1[[#This Row],[Manufacturer]]&amp;" "&amp;Table1[[#This Row],[Model]],Table13[MFR &amp; MDL],Table13[Tolerance % CW ],"")/100*Table1[[#This Row],[Std Nom]]),"")</f>
        <v/>
      </c>
      <c r="P464" s="1" t="str">
        <f>IFERROR(Table1[[#This Row],[Std Nom]]+(_xlfn.XLOOKUP(Table1[[#This Row],[Manufacturer]]&amp;" "&amp;Table1[[#This Row],[Model]],Table13[MFR &amp; MDL],Table13[Tolerance % CW ],"")/100*Table1[[#This Row],[Std Nom]]),"")</f>
        <v/>
      </c>
      <c r="Q464" s="1" t="e">
        <f>Table1[[#This Row],[High Tol]]-Table1[[#This Row],[Low Tol]]</f>
        <v>#VALUE!</v>
      </c>
      <c r="R464" s="1">
        <f>2*Table1[[#This Row],[Std Error]]</f>
        <v>0</v>
      </c>
      <c r="S464" s="1" t="str">
        <f>IF(Table1[[#This Row],[High Tol]]="","N/A",IFERROR(ABS(Table1[[#This Row],[Tol Span]]/Table1[[#This Row],[Error Span]]),"N/A"))</f>
        <v>N/A</v>
      </c>
      <c r="T464" s="1" t="str">
        <f>IF(OR(Table1[[#This Row],[Low Tol]]="",Table1[[#This Row],[High Tol]]=""),"Needs Analysis",IF(Table1[[#This Row],[Ratio]]&gt;=4,"Not Significant",IF(Table1[[#This Row],[Ratio]]&gt;=2,"Semi-Significant","Significant")))</f>
        <v>Needs Analysis</v>
      </c>
      <c r="W464" s="1">
        <f>IF(Table1[[#This Row],[Cal Type]]&lt;&gt;"ACCREDITED 17025 WITH UNCERTAINTIES",0,"")</f>
        <v>0</v>
      </c>
      <c r="X464" s="1" t="str">
        <f>IF(Table1[[#This Row],[DUT Read]]="","N/A",Table1[[#This Row],[Std Error]]+Table1[[#This Row],[DUT Read]]+Table1[[#This Row],[DUT Ucty]])</f>
        <v>N/A</v>
      </c>
      <c r="Y464" s="1" t="str">
        <f>IF(Table1[[#This Row],[Std Read]]="","N/A",Table1[[#This Row],[Std Read]]+Table1[[#This Row],[Std Ucty]])</f>
        <v>N/A</v>
      </c>
      <c r="Z4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4" s="1" t="str">
        <f>IF(Table1[[#This Row],[Spec Type]]="","N/A",Table1[[#This Row],[Spec Type]])</f>
        <v>±</v>
      </c>
      <c r="AC464" s="1" t="str">
        <f>IF(Table1[[#This Row],[Spec Type2]]="N/A","N/A",IF(AND(Table1[[#This Row],[DUT Adj Read]]&gt;=Table1[[#This Row],[Low Tol]],Table1[[#This Row],[DUT Adj Read]]&lt;=Table1[[#This Row],[High Tol]]),"Pass","Fail"))</f>
        <v>Fail</v>
      </c>
      <c r="AD464" s="1" t="str">
        <f>IF(AND(Table1[[#This Row],[Spec Type2]]="N/A",Table1[[#This Row],[DUT Adj Read]]="N/A",Table1[[#This Row],[Std Adj Read]]="N/A"),"N/A",IF(Table1[[#This Row],[DUT Adj Read]]="N/A",IF(Table1[[#This Row],[Std Adj Read]]&gt;Table1[[#This Row],[Low Tol]],"Pass","Fail"),IF(Table1[[#This Row],[DUT Adj Read]]&gt;Table1[[#This Row],[Low Tol]],"Pass","Fail")))</f>
        <v>Pass</v>
      </c>
      <c r="AE464" s="1" t="str">
        <f>IF(AND(Table1[[#This Row],[Spec Type2]]="N/A",Table1[[#This Row],[DUT Adj Read]]="N/A",Table1[[#This Row],[Std Adj Read]]="N/A"),"N/A",IF(Table1[[#This Row],[DUT Adj Read]]="N/A",IF(Table1[[#This Row],[Std Adj Read]]&lt;Table1[[#This Row],[High Tol]],"Pass","Fail"),IF(Table1[[#This Row],[DUT Adj Read]]&lt;Table1[[#This Row],[High Tol]],"Pass","Fail")))</f>
        <v>Fail</v>
      </c>
      <c r="AF464" s="1" t="str">
        <f>IF(AND(Table1[[#This Row],[Spec Type2]]="N/A",Table1[[#This Row],[DUT Adj Read]]="N/A",Table1[[#This Row],[Std Adj Read]]="N/A"),"N/A",IF(Table1[[#This Row],[DUT Adj Read]]="N/A",IF(Table1[[#This Row],[Std Adj Read]]&gt;=Table1[[#This Row],[Low Tol]],"Pass","Fail"),IF(Table1[[#This Row],[DUT Adj Read]]&gt;=Table1[[#This Row],[Low Tol]],"Pass","Fail")))</f>
        <v>Pass</v>
      </c>
      <c r="AG464" s="1" t="str">
        <f>IF(AND(Table1[[#This Row],[Spec Type2]]="N/A",Table1[[#This Row],[DUT Adj Read]]="N/A",Table1[[#This Row],[Std Adj Read]]="N/A"),"N/A",IF(Table1[[#This Row],[DUT Adj Read]]="N/A",IF(Table1[[#This Row],[Std Adj Read]]&lt;=Table1[[#This Row],[High Tol]],"Pass","Fail"),IF(Table1[[#This Row],[DUT Adj Read]]&lt;=Table1[[#This Row],[High Tol]],"Pass","Fail")))</f>
        <v>Fail</v>
      </c>
      <c r="AH4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4" s="1" t="b">
        <v>0</v>
      </c>
      <c r="AN464" s="1" t="b">
        <v>0</v>
      </c>
      <c r="AO464" s="1" t="b">
        <v>0</v>
      </c>
    </row>
    <row r="465" spans="1:41" x14ac:dyDescent="0.25">
      <c r="A465" s="10"/>
      <c r="B465" s="10"/>
      <c r="C465" s="10"/>
      <c r="D465" s="10"/>
      <c r="E465" s="10"/>
      <c r="F465" s="10"/>
      <c r="G465" s="10"/>
      <c r="H465" s="10"/>
      <c r="I465" s="1" t="str">
        <f t="shared" si="21"/>
        <v/>
      </c>
      <c r="J465" s="1" t="s">
        <v>35</v>
      </c>
      <c r="K465" s="1" t="str">
        <f t="shared" si="22"/>
        <v/>
      </c>
      <c r="L465" s="1" t="str">
        <f t="shared" si="23"/>
        <v/>
      </c>
      <c r="M465" s="1">
        <f>IF(OR(Table1[[#This Row],[Std Nom]]="",Table1[[#This Row],[Std Read]]=""),0,Table1[[#This Row],[Std Nom]]-Table1[[#This Row],[Std Read]])</f>
        <v>0</v>
      </c>
      <c r="N465" s="1">
        <f>IF(Calculations!$F$5="ACCREDITED 17025 WITH UNCERTAINTIES",$N$10,0)</f>
        <v>0</v>
      </c>
      <c r="O465" s="1" t="str">
        <f>IFERROR(Table1[[#This Row],[Std Nom]]-(_xlfn.XLOOKUP(Table1[[#This Row],[Manufacturer]]&amp;" "&amp;Table1[[#This Row],[Model]],Table13[MFR &amp; MDL],Table13[Tolerance % CW ],"")/100*Table1[[#This Row],[Std Nom]]),"")</f>
        <v/>
      </c>
      <c r="P465" s="1" t="str">
        <f>IFERROR(Table1[[#This Row],[Std Nom]]+(_xlfn.XLOOKUP(Table1[[#This Row],[Manufacturer]]&amp;" "&amp;Table1[[#This Row],[Model]],Table13[MFR &amp; MDL],Table13[Tolerance % CW ],"")/100*Table1[[#This Row],[Std Nom]]),"")</f>
        <v/>
      </c>
      <c r="Q465" s="1" t="e">
        <f>Table1[[#This Row],[High Tol]]-Table1[[#This Row],[Low Tol]]</f>
        <v>#VALUE!</v>
      </c>
      <c r="R465" s="1">
        <f>2*Table1[[#This Row],[Std Error]]</f>
        <v>0</v>
      </c>
      <c r="S465" s="1" t="str">
        <f>IF(Table1[[#This Row],[High Tol]]="","N/A",IFERROR(ABS(Table1[[#This Row],[Tol Span]]/Table1[[#This Row],[Error Span]]),"N/A"))</f>
        <v>N/A</v>
      </c>
      <c r="T465" s="1" t="str">
        <f>IF(OR(Table1[[#This Row],[Low Tol]]="",Table1[[#This Row],[High Tol]]=""),"Needs Analysis",IF(Table1[[#This Row],[Ratio]]&gt;=4,"Not Significant",IF(Table1[[#This Row],[Ratio]]&gt;=2,"Semi-Significant","Significant")))</f>
        <v>Needs Analysis</v>
      </c>
      <c r="W465" s="1">
        <f>IF(Table1[[#This Row],[Cal Type]]&lt;&gt;"ACCREDITED 17025 WITH UNCERTAINTIES",0,"")</f>
        <v>0</v>
      </c>
      <c r="X465" s="1" t="str">
        <f>IF(Table1[[#This Row],[DUT Read]]="","N/A",Table1[[#This Row],[Std Error]]+Table1[[#This Row],[DUT Read]]+Table1[[#This Row],[DUT Ucty]])</f>
        <v>N/A</v>
      </c>
      <c r="Y465" s="1" t="str">
        <f>IF(Table1[[#This Row],[Std Read]]="","N/A",Table1[[#This Row],[Std Read]]+Table1[[#This Row],[Std Ucty]])</f>
        <v>N/A</v>
      </c>
      <c r="Z4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5" s="1" t="str">
        <f>IF(Table1[[#This Row],[Spec Type]]="","N/A",Table1[[#This Row],[Spec Type]])</f>
        <v>±</v>
      </c>
      <c r="AC465" s="1" t="str">
        <f>IF(Table1[[#This Row],[Spec Type2]]="N/A","N/A",IF(AND(Table1[[#This Row],[DUT Adj Read]]&gt;=Table1[[#This Row],[Low Tol]],Table1[[#This Row],[DUT Adj Read]]&lt;=Table1[[#This Row],[High Tol]]),"Pass","Fail"))</f>
        <v>Fail</v>
      </c>
      <c r="AD465" s="1" t="str">
        <f>IF(AND(Table1[[#This Row],[Spec Type2]]="N/A",Table1[[#This Row],[DUT Adj Read]]="N/A",Table1[[#This Row],[Std Adj Read]]="N/A"),"N/A",IF(Table1[[#This Row],[DUT Adj Read]]="N/A",IF(Table1[[#This Row],[Std Adj Read]]&gt;Table1[[#This Row],[Low Tol]],"Pass","Fail"),IF(Table1[[#This Row],[DUT Adj Read]]&gt;Table1[[#This Row],[Low Tol]],"Pass","Fail")))</f>
        <v>Pass</v>
      </c>
      <c r="AE465" s="1" t="str">
        <f>IF(AND(Table1[[#This Row],[Spec Type2]]="N/A",Table1[[#This Row],[DUT Adj Read]]="N/A",Table1[[#This Row],[Std Adj Read]]="N/A"),"N/A",IF(Table1[[#This Row],[DUT Adj Read]]="N/A",IF(Table1[[#This Row],[Std Adj Read]]&lt;Table1[[#This Row],[High Tol]],"Pass","Fail"),IF(Table1[[#This Row],[DUT Adj Read]]&lt;Table1[[#This Row],[High Tol]],"Pass","Fail")))</f>
        <v>Fail</v>
      </c>
      <c r="AF465" s="1" t="str">
        <f>IF(AND(Table1[[#This Row],[Spec Type2]]="N/A",Table1[[#This Row],[DUT Adj Read]]="N/A",Table1[[#This Row],[Std Adj Read]]="N/A"),"N/A",IF(Table1[[#This Row],[DUT Adj Read]]="N/A",IF(Table1[[#This Row],[Std Adj Read]]&gt;=Table1[[#This Row],[Low Tol]],"Pass","Fail"),IF(Table1[[#This Row],[DUT Adj Read]]&gt;=Table1[[#This Row],[Low Tol]],"Pass","Fail")))</f>
        <v>Pass</v>
      </c>
      <c r="AG465" s="1" t="str">
        <f>IF(AND(Table1[[#This Row],[Spec Type2]]="N/A",Table1[[#This Row],[DUT Adj Read]]="N/A",Table1[[#This Row],[Std Adj Read]]="N/A"),"N/A",IF(Table1[[#This Row],[DUT Adj Read]]="N/A",IF(Table1[[#This Row],[Std Adj Read]]&lt;=Table1[[#This Row],[High Tol]],"Pass","Fail"),IF(Table1[[#This Row],[DUT Adj Read]]&lt;=Table1[[#This Row],[High Tol]],"Pass","Fail")))</f>
        <v>Fail</v>
      </c>
      <c r="AH4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5" s="1" t="b">
        <v>0</v>
      </c>
      <c r="AN465" s="1" t="b">
        <v>0</v>
      </c>
      <c r="AO465" s="1" t="b">
        <v>0</v>
      </c>
    </row>
    <row r="466" spans="1:41" x14ac:dyDescent="0.25">
      <c r="A466" s="10"/>
      <c r="B466" s="10"/>
      <c r="C466" s="10"/>
      <c r="D466" s="10"/>
      <c r="E466" s="10"/>
      <c r="F466" s="10"/>
      <c r="G466" s="10"/>
      <c r="H466" s="10"/>
      <c r="I466" s="1" t="str">
        <f t="shared" si="21"/>
        <v/>
      </c>
      <c r="J466" s="1" t="s">
        <v>35</v>
      </c>
      <c r="K466" s="1" t="str">
        <f t="shared" si="22"/>
        <v/>
      </c>
      <c r="L466" s="1" t="str">
        <f t="shared" si="23"/>
        <v/>
      </c>
      <c r="M466" s="1">
        <f>IF(OR(Table1[[#This Row],[Std Nom]]="",Table1[[#This Row],[Std Read]]=""),0,Table1[[#This Row],[Std Nom]]-Table1[[#This Row],[Std Read]])</f>
        <v>0</v>
      </c>
      <c r="N466" s="1">
        <f>IF(Calculations!$F$5="ACCREDITED 17025 WITH UNCERTAINTIES",$N$10,0)</f>
        <v>0</v>
      </c>
      <c r="O466" s="1" t="str">
        <f>IFERROR(Table1[[#This Row],[Std Nom]]-(_xlfn.XLOOKUP(Table1[[#This Row],[Manufacturer]]&amp;" "&amp;Table1[[#This Row],[Model]],Table13[MFR &amp; MDL],Table13[Tolerance % CW ],"")/100*Table1[[#This Row],[Std Nom]]),"")</f>
        <v/>
      </c>
      <c r="P466" s="1" t="str">
        <f>IFERROR(Table1[[#This Row],[Std Nom]]+(_xlfn.XLOOKUP(Table1[[#This Row],[Manufacturer]]&amp;" "&amp;Table1[[#This Row],[Model]],Table13[MFR &amp; MDL],Table13[Tolerance % CW ],"")/100*Table1[[#This Row],[Std Nom]]),"")</f>
        <v/>
      </c>
      <c r="Q466" s="1" t="e">
        <f>Table1[[#This Row],[High Tol]]-Table1[[#This Row],[Low Tol]]</f>
        <v>#VALUE!</v>
      </c>
      <c r="R466" s="1">
        <f>2*Table1[[#This Row],[Std Error]]</f>
        <v>0</v>
      </c>
      <c r="S466" s="1" t="str">
        <f>IF(Table1[[#This Row],[High Tol]]="","N/A",IFERROR(ABS(Table1[[#This Row],[Tol Span]]/Table1[[#This Row],[Error Span]]),"N/A"))</f>
        <v>N/A</v>
      </c>
      <c r="T466" s="1" t="str">
        <f>IF(OR(Table1[[#This Row],[Low Tol]]="",Table1[[#This Row],[High Tol]]=""),"Needs Analysis",IF(Table1[[#This Row],[Ratio]]&gt;=4,"Not Significant",IF(Table1[[#This Row],[Ratio]]&gt;=2,"Semi-Significant","Significant")))</f>
        <v>Needs Analysis</v>
      </c>
      <c r="W466" s="1">
        <f>IF(Table1[[#This Row],[Cal Type]]&lt;&gt;"ACCREDITED 17025 WITH UNCERTAINTIES",0,"")</f>
        <v>0</v>
      </c>
      <c r="X466" s="1" t="str">
        <f>IF(Table1[[#This Row],[DUT Read]]="","N/A",Table1[[#This Row],[Std Error]]+Table1[[#This Row],[DUT Read]]+Table1[[#This Row],[DUT Ucty]])</f>
        <v>N/A</v>
      </c>
      <c r="Y466" s="1" t="str">
        <f>IF(Table1[[#This Row],[Std Read]]="","N/A",Table1[[#This Row],[Std Read]]+Table1[[#This Row],[Std Ucty]])</f>
        <v>N/A</v>
      </c>
      <c r="Z4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6" s="1" t="str">
        <f>IF(Table1[[#This Row],[Spec Type]]="","N/A",Table1[[#This Row],[Spec Type]])</f>
        <v>±</v>
      </c>
      <c r="AC466" s="1" t="str">
        <f>IF(Table1[[#This Row],[Spec Type2]]="N/A","N/A",IF(AND(Table1[[#This Row],[DUT Adj Read]]&gt;=Table1[[#This Row],[Low Tol]],Table1[[#This Row],[DUT Adj Read]]&lt;=Table1[[#This Row],[High Tol]]),"Pass","Fail"))</f>
        <v>Fail</v>
      </c>
      <c r="AD466" s="1" t="str">
        <f>IF(AND(Table1[[#This Row],[Spec Type2]]="N/A",Table1[[#This Row],[DUT Adj Read]]="N/A",Table1[[#This Row],[Std Adj Read]]="N/A"),"N/A",IF(Table1[[#This Row],[DUT Adj Read]]="N/A",IF(Table1[[#This Row],[Std Adj Read]]&gt;Table1[[#This Row],[Low Tol]],"Pass","Fail"),IF(Table1[[#This Row],[DUT Adj Read]]&gt;Table1[[#This Row],[Low Tol]],"Pass","Fail")))</f>
        <v>Pass</v>
      </c>
      <c r="AE466" s="1" t="str">
        <f>IF(AND(Table1[[#This Row],[Spec Type2]]="N/A",Table1[[#This Row],[DUT Adj Read]]="N/A",Table1[[#This Row],[Std Adj Read]]="N/A"),"N/A",IF(Table1[[#This Row],[DUT Adj Read]]="N/A",IF(Table1[[#This Row],[Std Adj Read]]&lt;Table1[[#This Row],[High Tol]],"Pass","Fail"),IF(Table1[[#This Row],[DUT Adj Read]]&lt;Table1[[#This Row],[High Tol]],"Pass","Fail")))</f>
        <v>Fail</v>
      </c>
      <c r="AF466" s="1" t="str">
        <f>IF(AND(Table1[[#This Row],[Spec Type2]]="N/A",Table1[[#This Row],[DUT Adj Read]]="N/A",Table1[[#This Row],[Std Adj Read]]="N/A"),"N/A",IF(Table1[[#This Row],[DUT Adj Read]]="N/A",IF(Table1[[#This Row],[Std Adj Read]]&gt;=Table1[[#This Row],[Low Tol]],"Pass","Fail"),IF(Table1[[#This Row],[DUT Adj Read]]&gt;=Table1[[#This Row],[Low Tol]],"Pass","Fail")))</f>
        <v>Pass</v>
      </c>
      <c r="AG466" s="1" t="str">
        <f>IF(AND(Table1[[#This Row],[Spec Type2]]="N/A",Table1[[#This Row],[DUT Adj Read]]="N/A",Table1[[#This Row],[Std Adj Read]]="N/A"),"N/A",IF(Table1[[#This Row],[DUT Adj Read]]="N/A",IF(Table1[[#This Row],[Std Adj Read]]&lt;=Table1[[#This Row],[High Tol]],"Pass","Fail"),IF(Table1[[#This Row],[DUT Adj Read]]&lt;=Table1[[#This Row],[High Tol]],"Pass","Fail")))</f>
        <v>Fail</v>
      </c>
      <c r="AH4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6" s="1" t="b">
        <v>0</v>
      </c>
      <c r="AN466" s="1" t="b">
        <v>0</v>
      </c>
      <c r="AO466" s="1" t="b">
        <v>0</v>
      </c>
    </row>
    <row r="467" spans="1:41" x14ac:dyDescent="0.25">
      <c r="A467" s="10"/>
      <c r="B467" s="10"/>
      <c r="C467" s="10"/>
      <c r="D467" s="10"/>
      <c r="E467" s="10"/>
      <c r="F467" s="10"/>
      <c r="G467" s="10"/>
      <c r="H467" s="10"/>
      <c r="I467" s="1" t="str">
        <f t="shared" si="21"/>
        <v/>
      </c>
      <c r="J467" s="1" t="s">
        <v>35</v>
      </c>
      <c r="K467" s="1" t="str">
        <f t="shared" si="22"/>
        <v/>
      </c>
      <c r="L467" s="1" t="str">
        <f t="shared" si="23"/>
        <v/>
      </c>
      <c r="M467" s="1">
        <f>IF(OR(Table1[[#This Row],[Std Nom]]="",Table1[[#This Row],[Std Read]]=""),0,Table1[[#This Row],[Std Nom]]-Table1[[#This Row],[Std Read]])</f>
        <v>0</v>
      </c>
      <c r="N467" s="1">
        <f>IF(Calculations!$F$5="ACCREDITED 17025 WITH UNCERTAINTIES",$N$10,0)</f>
        <v>0</v>
      </c>
      <c r="O467" s="1" t="str">
        <f>IFERROR(Table1[[#This Row],[Std Nom]]-(_xlfn.XLOOKUP(Table1[[#This Row],[Manufacturer]]&amp;" "&amp;Table1[[#This Row],[Model]],Table13[MFR &amp; MDL],Table13[Tolerance % CW ],"")/100*Table1[[#This Row],[Std Nom]]),"")</f>
        <v/>
      </c>
      <c r="P467" s="1" t="str">
        <f>IFERROR(Table1[[#This Row],[Std Nom]]+(_xlfn.XLOOKUP(Table1[[#This Row],[Manufacturer]]&amp;" "&amp;Table1[[#This Row],[Model]],Table13[MFR &amp; MDL],Table13[Tolerance % CW ],"")/100*Table1[[#This Row],[Std Nom]]),"")</f>
        <v/>
      </c>
      <c r="Q467" s="1" t="e">
        <f>Table1[[#This Row],[High Tol]]-Table1[[#This Row],[Low Tol]]</f>
        <v>#VALUE!</v>
      </c>
      <c r="R467" s="1">
        <f>2*Table1[[#This Row],[Std Error]]</f>
        <v>0</v>
      </c>
      <c r="S467" s="1" t="str">
        <f>IF(Table1[[#This Row],[High Tol]]="","N/A",IFERROR(ABS(Table1[[#This Row],[Tol Span]]/Table1[[#This Row],[Error Span]]),"N/A"))</f>
        <v>N/A</v>
      </c>
      <c r="T467" s="1" t="str">
        <f>IF(OR(Table1[[#This Row],[Low Tol]]="",Table1[[#This Row],[High Tol]]=""),"Needs Analysis",IF(Table1[[#This Row],[Ratio]]&gt;=4,"Not Significant",IF(Table1[[#This Row],[Ratio]]&gt;=2,"Semi-Significant","Significant")))</f>
        <v>Needs Analysis</v>
      </c>
      <c r="W467" s="1">
        <f>IF(Table1[[#This Row],[Cal Type]]&lt;&gt;"ACCREDITED 17025 WITH UNCERTAINTIES",0,"")</f>
        <v>0</v>
      </c>
      <c r="X467" s="1" t="str">
        <f>IF(Table1[[#This Row],[DUT Read]]="","N/A",Table1[[#This Row],[Std Error]]+Table1[[#This Row],[DUT Read]]+Table1[[#This Row],[DUT Ucty]])</f>
        <v>N/A</v>
      </c>
      <c r="Y467" s="1" t="str">
        <f>IF(Table1[[#This Row],[Std Read]]="","N/A",Table1[[#This Row],[Std Read]]+Table1[[#This Row],[Std Ucty]])</f>
        <v>N/A</v>
      </c>
      <c r="Z4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7" s="1" t="str">
        <f>IF(Table1[[#This Row],[Spec Type]]="","N/A",Table1[[#This Row],[Spec Type]])</f>
        <v>±</v>
      </c>
      <c r="AC467" s="1" t="str">
        <f>IF(Table1[[#This Row],[Spec Type2]]="N/A","N/A",IF(AND(Table1[[#This Row],[DUT Adj Read]]&gt;=Table1[[#This Row],[Low Tol]],Table1[[#This Row],[DUT Adj Read]]&lt;=Table1[[#This Row],[High Tol]]),"Pass","Fail"))</f>
        <v>Fail</v>
      </c>
      <c r="AD467" s="1" t="str">
        <f>IF(AND(Table1[[#This Row],[Spec Type2]]="N/A",Table1[[#This Row],[DUT Adj Read]]="N/A",Table1[[#This Row],[Std Adj Read]]="N/A"),"N/A",IF(Table1[[#This Row],[DUT Adj Read]]="N/A",IF(Table1[[#This Row],[Std Adj Read]]&gt;Table1[[#This Row],[Low Tol]],"Pass","Fail"),IF(Table1[[#This Row],[DUT Adj Read]]&gt;Table1[[#This Row],[Low Tol]],"Pass","Fail")))</f>
        <v>Pass</v>
      </c>
      <c r="AE467" s="1" t="str">
        <f>IF(AND(Table1[[#This Row],[Spec Type2]]="N/A",Table1[[#This Row],[DUT Adj Read]]="N/A",Table1[[#This Row],[Std Adj Read]]="N/A"),"N/A",IF(Table1[[#This Row],[DUT Adj Read]]="N/A",IF(Table1[[#This Row],[Std Adj Read]]&lt;Table1[[#This Row],[High Tol]],"Pass","Fail"),IF(Table1[[#This Row],[DUT Adj Read]]&lt;Table1[[#This Row],[High Tol]],"Pass","Fail")))</f>
        <v>Fail</v>
      </c>
      <c r="AF467" s="1" t="str">
        <f>IF(AND(Table1[[#This Row],[Spec Type2]]="N/A",Table1[[#This Row],[DUT Adj Read]]="N/A",Table1[[#This Row],[Std Adj Read]]="N/A"),"N/A",IF(Table1[[#This Row],[DUT Adj Read]]="N/A",IF(Table1[[#This Row],[Std Adj Read]]&gt;=Table1[[#This Row],[Low Tol]],"Pass","Fail"),IF(Table1[[#This Row],[DUT Adj Read]]&gt;=Table1[[#This Row],[Low Tol]],"Pass","Fail")))</f>
        <v>Pass</v>
      </c>
      <c r="AG467" s="1" t="str">
        <f>IF(AND(Table1[[#This Row],[Spec Type2]]="N/A",Table1[[#This Row],[DUT Adj Read]]="N/A",Table1[[#This Row],[Std Adj Read]]="N/A"),"N/A",IF(Table1[[#This Row],[DUT Adj Read]]="N/A",IF(Table1[[#This Row],[Std Adj Read]]&lt;=Table1[[#This Row],[High Tol]],"Pass","Fail"),IF(Table1[[#This Row],[DUT Adj Read]]&lt;=Table1[[#This Row],[High Tol]],"Pass","Fail")))</f>
        <v>Fail</v>
      </c>
      <c r="AH4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7" s="1" t="b">
        <v>0</v>
      </c>
      <c r="AN467" s="1" t="b">
        <v>0</v>
      </c>
      <c r="AO467" s="1" t="b">
        <v>0</v>
      </c>
    </row>
    <row r="468" spans="1:41" x14ac:dyDescent="0.25">
      <c r="A468" s="10"/>
      <c r="B468" s="10"/>
      <c r="C468" s="10"/>
      <c r="D468" s="10"/>
      <c r="E468" s="10"/>
      <c r="F468" s="10"/>
      <c r="G468" s="10"/>
      <c r="H468" s="10"/>
      <c r="I468" s="1" t="str">
        <f t="shared" si="21"/>
        <v/>
      </c>
      <c r="J468" s="1" t="s">
        <v>35</v>
      </c>
      <c r="K468" s="1" t="str">
        <f t="shared" si="22"/>
        <v/>
      </c>
      <c r="L468" s="1" t="str">
        <f t="shared" si="23"/>
        <v/>
      </c>
      <c r="M468" s="1">
        <f>IF(OR(Table1[[#This Row],[Std Nom]]="",Table1[[#This Row],[Std Read]]=""),0,Table1[[#This Row],[Std Nom]]-Table1[[#This Row],[Std Read]])</f>
        <v>0</v>
      </c>
      <c r="N468" s="1">
        <f>IF(Calculations!$F$5="ACCREDITED 17025 WITH UNCERTAINTIES",$N$10,0)</f>
        <v>0</v>
      </c>
      <c r="O468" s="1" t="str">
        <f>IFERROR(Table1[[#This Row],[Std Nom]]-(_xlfn.XLOOKUP(Table1[[#This Row],[Manufacturer]]&amp;" "&amp;Table1[[#This Row],[Model]],Table13[MFR &amp; MDL],Table13[Tolerance % CW ],"")/100*Table1[[#This Row],[Std Nom]]),"")</f>
        <v/>
      </c>
      <c r="P468" s="1" t="str">
        <f>IFERROR(Table1[[#This Row],[Std Nom]]+(_xlfn.XLOOKUP(Table1[[#This Row],[Manufacturer]]&amp;" "&amp;Table1[[#This Row],[Model]],Table13[MFR &amp; MDL],Table13[Tolerance % CW ],"")/100*Table1[[#This Row],[Std Nom]]),"")</f>
        <v/>
      </c>
      <c r="Q468" s="1" t="e">
        <f>Table1[[#This Row],[High Tol]]-Table1[[#This Row],[Low Tol]]</f>
        <v>#VALUE!</v>
      </c>
      <c r="R468" s="1">
        <f>2*Table1[[#This Row],[Std Error]]</f>
        <v>0</v>
      </c>
      <c r="S468" s="1" t="str">
        <f>IF(Table1[[#This Row],[High Tol]]="","N/A",IFERROR(ABS(Table1[[#This Row],[Tol Span]]/Table1[[#This Row],[Error Span]]),"N/A"))</f>
        <v>N/A</v>
      </c>
      <c r="T468" s="1" t="str">
        <f>IF(OR(Table1[[#This Row],[Low Tol]]="",Table1[[#This Row],[High Tol]]=""),"Needs Analysis",IF(Table1[[#This Row],[Ratio]]&gt;=4,"Not Significant",IF(Table1[[#This Row],[Ratio]]&gt;=2,"Semi-Significant","Significant")))</f>
        <v>Needs Analysis</v>
      </c>
      <c r="W468" s="1">
        <f>IF(Table1[[#This Row],[Cal Type]]&lt;&gt;"ACCREDITED 17025 WITH UNCERTAINTIES",0,"")</f>
        <v>0</v>
      </c>
      <c r="X468" s="1" t="str">
        <f>IF(Table1[[#This Row],[DUT Read]]="","N/A",Table1[[#This Row],[Std Error]]+Table1[[#This Row],[DUT Read]]+Table1[[#This Row],[DUT Ucty]])</f>
        <v>N/A</v>
      </c>
      <c r="Y468" s="1" t="str">
        <f>IF(Table1[[#This Row],[Std Read]]="","N/A",Table1[[#This Row],[Std Read]]+Table1[[#This Row],[Std Ucty]])</f>
        <v>N/A</v>
      </c>
      <c r="Z4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8" s="1" t="str">
        <f>IF(Table1[[#This Row],[Spec Type]]="","N/A",Table1[[#This Row],[Spec Type]])</f>
        <v>±</v>
      </c>
      <c r="AC468" s="1" t="str">
        <f>IF(Table1[[#This Row],[Spec Type2]]="N/A","N/A",IF(AND(Table1[[#This Row],[DUT Adj Read]]&gt;=Table1[[#This Row],[Low Tol]],Table1[[#This Row],[DUT Adj Read]]&lt;=Table1[[#This Row],[High Tol]]),"Pass","Fail"))</f>
        <v>Fail</v>
      </c>
      <c r="AD468" s="1" t="str">
        <f>IF(AND(Table1[[#This Row],[Spec Type2]]="N/A",Table1[[#This Row],[DUT Adj Read]]="N/A",Table1[[#This Row],[Std Adj Read]]="N/A"),"N/A",IF(Table1[[#This Row],[DUT Adj Read]]="N/A",IF(Table1[[#This Row],[Std Adj Read]]&gt;Table1[[#This Row],[Low Tol]],"Pass","Fail"),IF(Table1[[#This Row],[DUT Adj Read]]&gt;Table1[[#This Row],[Low Tol]],"Pass","Fail")))</f>
        <v>Pass</v>
      </c>
      <c r="AE468" s="1" t="str">
        <f>IF(AND(Table1[[#This Row],[Spec Type2]]="N/A",Table1[[#This Row],[DUT Adj Read]]="N/A",Table1[[#This Row],[Std Adj Read]]="N/A"),"N/A",IF(Table1[[#This Row],[DUT Adj Read]]="N/A",IF(Table1[[#This Row],[Std Adj Read]]&lt;Table1[[#This Row],[High Tol]],"Pass","Fail"),IF(Table1[[#This Row],[DUT Adj Read]]&lt;Table1[[#This Row],[High Tol]],"Pass","Fail")))</f>
        <v>Fail</v>
      </c>
      <c r="AF468" s="1" t="str">
        <f>IF(AND(Table1[[#This Row],[Spec Type2]]="N/A",Table1[[#This Row],[DUT Adj Read]]="N/A",Table1[[#This Row],[Std Adj Read]]="N/A"),"N/A",IF(Table1[[#This Row],[DUT Adj Read]]="N/A",IF(Table1[[#This Row],[Std Adj Read]]&gt;=Table1[[#This Row],[Low Tol]],"Pass","Fail"),IF(Table1[[#This Row],[DUT Adj Read]]&gt;=Table1[[#This Row],[Low Tol]],"Pass","Fail")))</f>
        <v>Pass</v>
      </c>
      <c r="AG468" s="1" t="str">
        <f>IF(AND(Table1[[#This Row],[Spec Type2]]="N/A",Table1[[#This Row],[DUT Adj Read]]="N/A",Table1[[#This Row],[Std Adj Read]]="N/A"),"N/A",IF(Table1[[#This Row],[DUT Adj Read]]="N/A",IF(Table1[[#This Row],[Std Adj Read]]&lt;=Table1[[#This Row],[High Tol]],"Pass","Fail"),IF(Table1[[#This Row],[DUT Adj Read]]&lt;=Table1[[#This Row],[High Tol]],"Pass","Fail")))</f>
        <v>Fail</v>
      </c>
      <c r="AH4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8" s="1" t="b">
        <v>0</v>
      </c>
      <c r="AN468" s="1" t="b">
        <v>0</v>
      </c>
      <c r="AO468" s="1" t="b">
        <v>0</v>
      </c>
    </row>
    <row r="469" spans="1:41" x14ac:dyDescent="0.25">
      <c r="A469" s="10"/>
      <c r="B469" s="10"/>
      <c r="C469" s="10"/>
      <c r="D469" s="10"/>
      <c r="E469" s="10"/>
      <c r="F469" s="10"/>
      <c r="G469" s="10"/>
      <c r="H469" s="10"/>
      <c r="I469" s="1" t="str">
        <f t="shared" si="21"/>
        <v/>
      </c>
      <c r="J469" s="1" t="s">
        <v>35</v>
      </c>
      <c r="K469" s="1" t="str">
        <f t="shared" si="22"/>
        <v/>
      </c>
      <c r="L469" s="1" t="str">
        <f t="shared" si="23"/>
        <v/>
      </c>
      <c r="M469" s="1">
        <f>IF(OR(Table1[[#This Row],[Std Nom]]="",Table1[[#This Row],[Std Read]]=""),0,Table1[[#This Row],[Std Nom]]-Table1[[#This Row],[Std Read]])</f>
        <v>0</v>
      </c>
      <c r="N469" s="1">
        <f>IF(Calculations!$F$5="ACCREDITED 17025 WITH UNCERTAINTIES",$N$10,0)</f>
        <v>0</v>
      </c>
      <c r="O469" s="1" t="str">
        <f>IFERROR(Table1[[#This Row],[Std Nom]]-(_xlfn.XLOOKUP(Table1[[#This Row],[Manufacturer]]&amp;" "&amp;Table1[[#This Row],[Model]],Table13[MFR &amp; MDL],Table13[Tolerance % CW ],"")/100*Table1[[#This Row],[Std Nom]]),"")</f>
        <v/>
      </c>
      <c r="P469" s="1" t="str">
        <f>IFERROR(Table1[[#This Row],[Std Nom]]+(_xlfn.XLOOKUP(Table1[[#This Row],[Manufacturer]]&amp;" "&amp;Table1[[#This Row],[Model]],Table13[MFR &amp; MDL],Table13[Tolerance % CW ],"")/100*Table1[[#This Row],[Std Nom]]),"")</f>
        <v/>
      </c>
      <c r="Q469" s="1" t="e">
        <f>Table1[[#This Row],[High Tol]]-Table1[[#This Row],[Low Tol]]</f>
        <v>#VALUE!</v>
      </c>
      <c r="R469" s="1">
        <f>2*Table1[[#This Row],[Std Error]]</f>
        <v>0</v>
      </c>
      <c r="S469" s="1" t="str">
        <f>IF(Table1[[#This Row],[High Tol]]="","N/A",IFERROR(ABS(Table1[[#This Row],[Tol Span]]/Table1[[#This Row],[Error Span]]),"N/A"))</f>
        <v>N/A</v>
      </c>
      <c r="T469" s="1" t="str">
        <f>IF(OR(Table1[[#This Row],[Low Tol]]="",Table1[[#This Row],[High Tol]]=""),"Needs Analysis",IF(Table1[[#This Row],[Ratio]]&gt;=4,"Not Significant",IF(Table1[[#This Row],[Ratio]]&gt;=2,"Semi-Significant","Significant")))</f>
        <v>Needs Analysis</v>
      </c>
      <c r="W469" s="1">
        <f>IF(Table1[[#This Row],[Cal Type]]&lt;&gt;"ACCREDITED 17025 WITH UNCERTAINTIES",0,"")</f>
        <v>0</v>
      </c>
      <c r="X469" s="1" t="str">
        <f>IF(Table1[[#This Row],[DUT Read]]="","N/A",Table1[[#This Row],[Std Error]]+Table1[[#This Row],[DUT Read]]+Table1[[#This Row],[DUT Ucty]])</f>
        <v>N/A</v>
      </c>
      <c r="Y469" s="1" t="str">
        <f>IF(Table1[[#This Row],[Std Read]]="","N/A",Table1[[#This Row],[Std Read]]+Table1[[#This Row],[Std Ucty]])</f>
        <v>N/A</v>
      </c>
      <c r="Z4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9" s="1" t="str">
        <f>IF(Table1[[#This Row],[Spec Type]]="","N/A",Table1[[#This Row],[Spec Type]])</f>
        <v>±</v>
      </c>
      <c r="AC469" s="1" t="str">
        <f>IF(Table1[[#This Row],[Spec Type2]]="N/A","N/A",IF(AND(Table1[[#This Row],[DUT Adj Read]]&gt;=Table1[[#This Row],[Low Tol]],Table1[[#This Row],[DUT Adj Read]]&lt;=Table1[[#This Row],[High Tol]]),"Pass","Fail"))</f>
        <v>Fail</v>
      </c>
      <c r="AD469" s="1" t="str">
        <f>IF(AND(Table1[[#This Row],[Spec Type2]]="N/A",Table1[[#This Row],[DUT Adj Read]]="N/A",Table1[[#This Row],[Std Adj Read]]="N/A"),"N/A",IF(Table1[[#This Row],[DUT Adj Read]]="N/A",IF(Table1[[#This Row],[Std Adj Read]]&gt;Table1[[#This Row],[Low Tol]],"Pass","Fail"),IF(Table1[[#This Row],[DUT Adj Read]]&gt;Table1[[#This Row],[Low Tol]],"Pass","Fail")))</f>
        <v>Pass</v>
      </c>
      <c r="AE469" s="1" t="str">
        <f>IF(AND(Table1[[#This Row],[Spec Type2]]="N/A",Table1[[#This Row],[DUT Adj Read]]="N/A",Table1[[#This Row],[Std Adj Read]]="N/A"),"N/A",IF(Table1[[#This Row],[DUT Adj Read]]="N/A",IF(Table1[[#This Row],[Std Adj Read]]&lt;Table1[[#This Row],[High Tol]],"Pass","Fail"),IF(Table1[[#This Row],[DUT Adj Read]]&lt;Table1[[#This Row],[High Tol]],"Pass","Fail")))</f>
        <v>Fail</v>
      </c>
      <c r="AF469" s="1" t="str">
        <f>IF(AND(Table1[[#This Row],[Spec Type2]]="N/A",Table1[[#This Row],[DUT Adj Read]]="N/A",Table1[[#This Row],[Std Adj Read]]="N/A"),"N/A",IF(Table1[[#This Row],[DUT Adj Read]]="N/A",IF(Table1[[#This Row],[Std Adj Read]]&gt;=Table1[[#This Row],[Low Tol]],"Pass","Fail"),IF(Table1[[#This Row],[DUT Adj Read]]&gt;=Table1[[#This Row],[Low Tol]],"Pass","Fail")))</f>
        <v>Pass</v>
      </c>
      <c r="AG469" s="1" t="str">
        <f>IF(AND(Table1[[#This Row],[Spec Type2]]="N/A",Table1[[#This Row],[DUT Adj Read]]="N/A",Table1[[#This Row],[Std Adj Read]]="N/A"),"N/A",IF(Table1[[#This Row],[DUT Adj Read]]="N/A",IF(Table1[[#This Row],[Std Adj Read]]&lt;=Table1[[#This Row],[High Tol]],"Pass","Fail"),IF(Table1[[#This Row],[DUT Adj Read]]&lt;=Table1[[#This Row],[High Tol]],"Pass","Fail")))</f>
        <v>Fail</v>
      </c>
      <c r="AH4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9" s="1" t="b">
        <v>0</v>
      </c>
      <c r="AN469" s="1" t="b">
        <v>0</v>
      </c>
      <c r="AO469" s="1" t="b">
        <v>0</v>
      </c>
    </row>
    <row r="470" spans="1:41" x14ac:dyDescent="0.25">
      <c r="A470" s="10"/>
      <c r="B470" s="10"/>
      <c r="C470" s="10"/>
      <c r="D470" s="10"/>
      <c r="E470" s="10"/>
      <c r="F470" s="10"/>
      <c r="G470" s="10"/>
      <c r="H470" s="10"/>
      <c r="I470" s="1" t="str">
        <f t="shared" si="21"/>
        <v/>
      </c>
      <c r="J470" s="1" t="s">
        <v>35</v>
      </c>
      <c r="K470" s="1" t="str">
        <f t="shared" si="22"/>
        <v/>
      </c>
      <c r="L470" s="1" t="str">
        <f t="shared" si="23"/>
        <v/>
      </c>
      <c r="M470" s="1">
        <f>IF(OR(Table1[[#This Row],[Std Nom]]="",Table1[[#This Row],[Std Read]]=""),0,Table1[[#This Row],[Std Nom]]-Table1[[#This Row],[Std Read]])</f>
        <v>0</v>
      </c>
      <c r="N470" s="1">
        <f>IF(Calculations!$F$5="ACCREDITED 17025 WITH UNCERTAINTIES",$N$10,0)</f>
        <v>0</v>
      </c>
      <c r="O470" s="1" t="str">
        <f>IFERROR(Table1[[#This Row],[Std Nom]]-(_xlfn.XLOOKUP(Table1[[#This Row],[Manufacturer]]&amp;" "&amp;Table1[[#This Row],[Model]],Table13[MFR &amp; MDL],Table13[Tolerance % CW ],"")/100*Table1[[#This Row],[Std Nom]]),"")</f>
        <v/>
      </c>
      <c r="P470" s="1" t="str">
        <f>IFERROR(Table1[[#This Row],[Std Nom]]+(_xlfn.XLOOKUP(Table1[[#This Row],[Manufacturer]]&amp;" "&amp;Table1[[#This Row],[Model]],Table13[MFR &amp; MDL],Table13[Tolerance % CW ],"")/100*Table1[[#This Row],[Std Nom]]),"")</f>
        <v/>
      </c>
      <c r="Q470" s="1" t="e">
        <f>Table1[[#This Row],[High Tol]]-Table1[[#This Row],[Low Tol]]</f>
        <v>#VALUE!</v>
      </c>
      <c r="R470" s="1">
        <f>2*Table1[[#This Row],[Std Error]]</f>
        <v>0</v>
      </c>
      <c r="S470" s="1" t="str">
        <f>IF(Table1[[#This Row],[High Tol]]="","N/A",IFERROR(ABS(Table1[[#This Row],[Tol Span]]/Table1[[#This Row],[Error Span]]),"N/A"))</f>
        <v>N/A</v>
      </c>
      <c r="T470" s="1" t="str">
        <f>IF(OR(Table1[[#This Row],[Low Tol]]="",Table1[[#This Row],[High Tol]]=""),"Needs Analysis",IF(Table1[[#This Row],[Ratio]]&gt;=4,"Not Significant",IF(Table1[[#This Row],[Ratio]]&gt;=2,"Semi-Significant","Significant")))</f>
        <v>Needs Analysis</v>
      </c>
      <c r="W470" s="1">
        <f>IF(Table1[[#This Row],[Cal Type]]&lt;&gt;"ACCREDITED 17025 WITH UNCERTAINTIES",0,"")</f>
        <v>0</v>
      </c>
      <c r="X470" s="1" t="str">
        <f>IF(Table1[[#This Row],[DUT Read]]="","N/A",Table1[[#This Row],[Std Error]]+Table1[[#This Row],[DUT Read]]+Table1[[#This Row],[DUT Ucty]])</f>
        <v>N/A</v>
      </c>
      <c r="Y470" s="1" t="str">
        <f>IF(Table1[[#This Row],[Std Read]]="","N/A",Table1[[#This Row],[Std Read]]+Table1[[#This Row],[Std Ucty]])</f>
        <v>N/A</v>
      </c>
      <c r="Z4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0" s="1" t="str">
        <f>IF(Table1[[#This Row],[Spec Type]]="","N/A",Table1[[#This Row],[Spec Type]])</f>
        <v>±</v>
      </c>
      <c r="AC470" s="1" t="str">
        <f>IF(Table1[[#This Row],[Spec Type2]]="N/A","N/A",IF(AND(Table1[[#This Row],[DUT Adj Read]]&gt;=Table1[[#This Row],[Low Tol]],Table1[[#This Row],[DUT Adj Read]]&lt;=Table1[[#This Row],[High Tol]]),"Pass","Fail"))</f>
        <v>Fail</v>
      </c>
      <c r="AD470" s="1" t="str">
        <f>IF(AND(Table1[[#This Row],[Spec Type2]]="N/A",Table1[[#This Row],[DUT Adj Read]]="N/A",Table1[[#This Row],[Std Adj Read]]="N/A"),"N/A",IF(Table1[[#This Row],[DUT Adj Read]]="N/A",IF(Table1[[#This Row],[Std Adj Read]]&gt;Table1[[#This Row],[Low Tol]],"Pass","Fail"),IF(Table1[[#This Row],[DUT Adj Read]]&gt;Table1[[#This Row],[Low Tol]],"Pass","Fail")))</f>
        <v>Pass</v>
      </c>
      <c r="AE470" s="1" t="str">
        <f>IF(AND(Table1[[#This Row],[Spec Type2]]="N/A",Table1[[#This Row],[DUT Adj Read]]="N/A",Table1[[#This Row],[Std Adj Read]]="N/A"),"N/A",IF(Table1[[#This Row],[DUT Adj Read]]="N/A",IF(Table1[[#This Row],[Std Adj Read]]&lt;Table1[[#This Row],[High Tol]],"Pass","Fail"),IF(Table1[[#This Row],[DUT Adj Read]]&lt;Table1[[#This Row],[High Tol]],"Pass","Fail")))</f>
        <v>Fail</v>
      </c>
      <c r="AF470" s="1" t="str">
        <f>IF(AND(Table1[[#This Row],[Spec Type2]]="N/A",Table1[[#This Row],[DUT Adj Read]]="N/A",Table1[[#This Row],[Std Adj Read]]="N/A"),"N/A",IF(Table1[[#This Row],[DUT Adj Read]]="N/A",IF(Table1[[#This Row],[Std Adj Read]]&gt;=Table1[[#This Row],[Low Tol]],"Pass","Fail"),IF(Table1[[#This Row],[DUT Adj Read]]&gt;=Table1[[#This Row],[Low Tol]],"Pass","Fail")))</f>
        <v>Pass</v>
      </c>
      <c r="AG470" s="1" t="str">
        <f>IF(AND(Table1[[#This Row],[Spec Type2]]="N/A",Table1[[#This Row],[DUT Adj Read]]="N/A",Table1[[#This Row],[Std Adj Read]]="N/A"),"N/A",IF(Table1[[#This Row],[DUT Adj Read]]="N/A",IF(Table1[[#This Row],[Std Adj Read]]&lt;=Table1[[#This Row],[High Tol]],"Pass","Fail"),IF(Table1[[#This Row],[DUT Adj Read]]&lt;=Table1[[#This Row],[High Tol]],"Pass","Fail")))</f>
        <v>Fail</v>
      </c>
      <c r="AH4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0" s="1" t="b">
        <v>0</v>
      </c>
      <c r="AN470" s="1" t="b">
        <v>0</v>
      </c>
      <c r="AO470" s="1" t="b">
        <v>0</v>
      </c>
    </row>
    <row r="471" spans="1:41" x14ac:dyDescent="0.25">
      <c r="A471" s="10"/>
      <c r="B471" s="10"/>
      <c r="C471" s="10"/>
      <c r="D471" s="10"/>
      <c r="E471" s="10"/>
      <c r="F471" s="10"/>
      <c r="G471" s="10"/>
      <c r="H471" s="10"/>
      <c r="I471" s="1" t="str">
        <f t="shared" si="21"/>
        <v/>
      </c>
      <c r="J471" s="1" t="s">
        <v>35</v>
      </c>
      <c r="K471" s="1" t="str">
        <f t="shared" si="22"/>
        <v/>
      </c>
      <c r="L471" s="1" t="str">
        <f t="shared" si="23"/>
        <v/>
      </c>
      <c r="M471" s="1">
        <f>IF(OR(Table1[[#This Row],[Std Nom]]="",Table1[[#This Row],[Std Read]]=""),0,Table1[[#This Row],[Std Nom]]-Table1[[#This Row],[Std Read]])</f>
        <v>0</v>
      </c>
      <c r="N471" s="1">
        <f>IF(Calculations!$F$5="ACCREDITED 17025 WITH UNCERTAINTIES",$N$10,0)</f>
        <v>0</v>
      </c>
      <c r="O471" s="1" t="str">
        <f>IFERROR(Table1[[#This Row],[Std Nom]]-(_xlfn.XLOOKUP(Table1[[#This Row],[Manufacturer]]&amp;" "&amp;Table1[[#This Row],[Model]],Table13[MFR &amp; MDL],Table13[Tolerance % CW ],"")/100*Table1[[#This Row],[Std Nom]]),"")</f>
        <v/>
      </c>
      <c r="P471" s="1" t="str">
        <f>IFERROR(Table1[[#This Row],[Std Nom]]+(_xlfn.XLOOKUP(Table1[[#This Row],[Manufacturer]]&amp;" "&amp;Table1[[#This Row],[Model]],Table13[MFR &amp; MDL],Table13[Tolerance % CW ],"")/100*Table1[[#This Row],[Std Nom]]),"")</f>
        <v/>
      </c>
      <c r="Q471" s="1" t="e">
        <f>Table1[[#This Row],[High Tol]]-Table1[[#This Row],[Low Tol]]</f>
        <v>#VALUE!</v>
      </c>
      <c r="R471" s="1">
        <f>2*Table1[[#This Row],[Std Error]]</f>
        <v>0</v>
      </c>
      <c r="S471" s="1" t="str">
        <f>IF(Table1[[#This Row],[High Tol]]="","N/A",IFERROR(ABS(Table1[[#This Row],[Tol Span]]/Table1[[#This Row],[Error Span]]),"N/A"))</f>
        <v>N/A</v>
      </c>
      <c r="T471" s="1" t="str">
        <f>IF(OR(Table1[[#This Row],[Low Tol]]="",Table1[[#This Row],[High Tol]]=""),"Needs Analysis",IF(Table1[[#This Row],[Ratio]]&gt;=4,"Not Significant",IF(Table1[[#This Row],[Ratio]]&gt;=2,"Semi-Significant","Significant")))</f>
        <v>Needs Analysis</v>
      </c>
      <c r="W471" s="1">
        <f>IF(Table1[[#This Row],[Cal Type]]&lt;&gt;"ACCREDITED 17025 WITH UNCERTAINTIES",0,"")</f>
        <v>0</v>
      </c>
      <c r="X471" s="1" t="str">
        <f>IF(Table1[[#This Row],[DUT Read]]="","N/A",Table1[[#This Row],[Std Error]]+Table1[[#This Row],[DUT Read]]+Table1[[#This Row],[DUT Ucty]])</f>
        <v>N/A</v>
      </c>
      <c r="Y471" s="1" t="str">
        <f>IF(Table1[[#This Row],[Std Read]]="","N/A",Table1[[#This Row],[Std Read]]+Table1[[#This Row],[Std Ucty]])</f>
        <v>N/A</v>
      </c>
      <c r="Z4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1" s="1" t="str">
        <f>IF(Table1[[#This Row],[Spec Type]]="","N/A",Table1[[#This Row],[Spec Type]])</f>
        <v>±</v>
      </c>
      <c r="AC471" s="1" t="str">
        <f>IF(Table1[[#This Row],[Spec Type2]]="N/A","N/A",IF(AND(Table1[[#This Row],[DUT Adj Read]]&gt;=Table1[[#This Row],[Low Tol]],Table1[[#This Row],[DUT Adj Read]]&lt;=Table1[[#This Row],[High Tol]]),"Pass","Fail"))</f>
        <v>Fail</v>
      </c>
      <c r="AD471" s="1" t="str">
        <f>IF(AND(Table1[[#This Row],[Spec Type2]]="N/A",Table1[[#This Row],[DUT Adj Read]]="N/A",Table1[[#This Row],[Std Adj Read]]="N/A"),"N/A",IF(Table1[[#This Row],[DUT Adj Read]]="N/A",IF(Table1[[#This Row],[Std Adj Read]]&gt;Table1[[#This Row],[Low Tol]],"Pass","Fail"),IF(Table1[[#This Row],[DUT Adj Read]]&gt;Table1[[#This Row],[Low Tol]],"Pass","Fail")))</f>
        <v>Pass</v>
      </c>
      <c r="AE471" s="1" t="str">
        <f>IF(AND(Table1[[#This Row],[Spec Type2]]="N/A",Table1[[#This Row],[DUT Adj Read]]="N/A",Table1[[#This Row],[Std Adj Read]]="N/A"),"N/A",IF(Table1[[#This Row],[DUT Adj Read]]="N/A",IF(Table1[[#This Row],[Std Adj Read]]&lt;Table1[[#This Row],[High Tol]],"Pass","Fail"),IF(Table1[[#This Row],[DUT Adj Read]]&lt;Table1[[#This Row],[High Tol]],"Pass","Fail")))</f>
        <v>Fail</v>
      </c>
      <c r="AF471" s="1" t="str">
        <f>IF(AND(Table1[[#This Row],[Spec Type2]]="N/A",Table1[[#This Row],[DUT Adj Read]]="N/A",Table1[[#This Row],[Std Adj Read]]="N/A"),"N/A",IF(Table1[[#This Row],[DUT Adj Read]]="N/A",IF(Table1[[#This Row],[Std Adj Read]]&gt;=Table1[[#This Row],[Low Tol]],"Pass","Fail"),IF(Table1[[#This Row],[DUT Adj Read]]&gt;=Table1[[#This Row],[Low Tol]],"Pass","Fail")))</f>
        <v>Pass</v>
      </c>
      <c r="AG471" s="1" t="str">
        <f>IF(AND(Table1[[#This Row],[Spec Type2]]="N/A",Table1[[#This Row],[DUT Adj Read]]="N/A",Table1[[#This Row],[Std Adj Read]]="N/A"),"N/A",IF(Table1[[#This Row],[DUT Adj Read]]="N/A",IF(Table1[[#This Row],[Std Adj Read]]&lt;=Table1[[#This Row],[High Tol]],"Pass","Fail"),IF(Table1[[#This Row],[DUT Adj Read]]&lt;=Table1[[#This Row],[High Tol]],"Pass","Fail")))</f>
        <v>Fail</v>
      </c>
      <c r="AH4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1" s="1" t="b">
        <v>0</v>
      </c>
      <c r="AN471" s="1" t="b">
        <v>0</v>
      </c>
      <c r="AO471" s="1" t="b">
        <v>0</v>
      </c>
    </row>
    <row r="472" spans="1:41" x14ac:dyDescent="0.25">
      <c r="A472" s="10"/>
      <c r="B472" s="10"/>
      <c r="C472" s="10"/>
      <c r="D472" s="10"/>
      <c r="E472" s="10"/>
      <c r="F472" s="10"/>
      <c r="G472" s="10"/>
      <c r="H472" s="10"/>
      <c r="I472" s="1" t="str">
        <f t="shared" si="21"/>
        <v/>
      </c>
      <c r="J472" s="1" t="s">
        <v>35</v>
      </c>
      <c r="K472" s="1" t="str">
        <f t="shared" si="22"/>
        <v/>
      </c>
      <c r="L472" s="1" t="str">
        <f t="shared" si="23"/>
        <v/>
      </c>
      <c r="M472" s="1">
        <f>IF(OR(Table1[[#This Row],[Std Nom]]="",Table1[[#This Row],[Std Read]]=""),0,Table1[[#This Row],[Std Nom]]-Table1[[#This Row],[Std Read]])</f>
        <v>0</v>
      </c>
      <c r="N472" s="1">
        <f>IF(Calculations!$F$5="ACCREDITED 17025 WITH UNCERTAINTIES",$N$10,0)</f>
        <v>0</v>
      </c>
      <c r="O472" s="1" t="str">
        <f>IFERROR(Table1[[#This Row],[Std Nom]]-(_xlfn.XLOOKUP(Table1[[#This Row],[Manufacturer]]&amp;" "&amp;Table1[[#This Row],[Model]],Table13[MFR &amp; MDL],Table13[Tolerance % CW ],"")/100*Table1[[#This Row],[Std Nom]]),"")</f>
        <v/>
      </c>
      <c r="P472" s="1" t="str">
        <f>IFERROR(Table1[[#This Row],[Std Nom]]+(_xlfn.XLOOKUP(Table1[[#This Row],[Manufacturer]]&amp;" "&amp;Table1[[#This Row],[Model]],Table13[MFR &amp; MDL],Table13[Tolerance % CW ],"")/100*Table1[[#This Row],[Std Nom]]),"")</f>
        <v/>
      </c>
      <c r="Q472" s="1" t="e">
        <f>Table1[[#This Row],[High Tol]]-Table1[[#This Row],[Low Tol]]</f>
        <v>#VALUE!</v>
      </c>
      <c r="R472" s="1">
        <f>2*Table1[[#This Row],[Std Error]]</f>
        <v>0</v>
      </c>
      <c r="S472" s="1" t="str">
        <f>IF(Table1[[#This Row],[High Tol]]="","N/A",IFERROR(ABS(Table1[[#This Row],[Tol Span]]/Table1[[#This Row],[Error Span]]),"N/A"))</f>
        <v>N/A</v>
      </c>
      <c r="T472" s="1" t="str">
        <f>IF(OR(Table1[[#This Row],[Low Tol]]="",Table1[[#This Row],[High Tol]]=""),"Needs Analysis",IF(Table1[[#This Row],[Ratio]]&gt;=4,"Not Significant",IF(Table1[[#This Row],[Ratio]]&gt;=2,"Semi-Significant","Significant")))</f>
        <v>Needs Analysis</v>
      </c>
      <c r="W472" s="1">
        <f>IF(Table1[[#This Row],[Cal Type]]&lt;&gt;"ACCREDITED 17025 WITH UNCERTAINTIES",0,"")</f>
        <v>0</v>
      </c>
      <c r="X472" s="1" t="str">
        <f>IF(Table1[[#This Row],[DUT Read]]="","N/A",Table1[[#This Row],[Std Error]]+Table1[[#This Row],[DUT Read]]+Table1[[#This Row],[DUT Ucty]])</f>
        <v>N/A</v>
      </c>
      <c r="Y472" s="1" t="str">
        <f>IF(Table1[[#This Row],[Std Read]]="","N/A",Table1[[#This Row],[Std Read]]+Table1[[#This Row],[Std Ucty]])</f>
        <v>N/A</v>
      </c>
      <c r="Z4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2" s="1" t="str">
        <f>IF(Table1[[#This Row],[Spec Type]]="","N/A",Table1[[#This Row],[Spec Type]])</f>
        <v>±</v>
      </c>
      <c r="AC472" s="1" t="str">
        <f>IF(Table1[[#This Row],[Spec Type2]]="N/A","N/A",IF(AND(Table1[[#This Row],[DUT Adj Read]]&gt;=Table1[[#This Row],[Low Tol]],Table1[[#This Row],[DUT Adj Read]]&lt;=Table1[[#This Row],[High Tol]]),"Pass","Fail"))</f>
        <v>Fail</v>
      </c>
      <c r="AD472" s="1" t="str">
        <f>IF(AND(Table1[[#This Row],[Spec Type2]]="N/A",Table1[[#This Row],[DUT Adj Read]]="N/A",Table1[[#This Row],[Std Adj Read]]="N/A"),"N/A",IF(Table1[[#This Row],[DUT Adj Read]]="N/A",IF(Table1[[#This Row],[Std Adj Read]]&gt;Table1[[#This Row],[Low Tol]],"Pass","Fail"),IF(Table1[[#This Row],[DUT Adj Read]]&gt;Table1[[#This Row],[Low Tol]],"Pass","Fail")))</f>
        <v>Pass</v>
      </c>
      <c r="AE472" s="1" t="str">
        <f>IF(AND(Table1[[#This Row],[Spec Type2]]="N/A",Table1[[#This Row],[DUT Adj Read]]="N/A",Table1[[#This Row],[Std Adj Read]]="N/A"),"N/A",IF(Table1[[#This Row],[DUT Adj Read]]="N/A",IF(Table1[[#This Row],[Std Adj Read]]&lt;Table1[[#This Row],[High Tol]],"Pass","Fail"),IF(Table1[[#This Row],[DUT Adj Read]]&lt;Table1[[#This Row],[High Tol]],"Pass","Fail")))</f>
        <v>Fail</v>
      </c>
      <c r="AF472" s="1" t="str">
        <f>IF(AND(Table1[[#This Row],[Spec Type2]]="N/A",Table1[[#This Row],[DUT Adj Read]]="N/A",Table1[[#This Row],[Std Adj Read]]="N/A"),"N/A",IF(Table1[[#This Row],[DUT Adj Read]]="N/A",IF(Table1[[#This Row],[Std Adj Read]]&gt;=Table1[[#This Row],[Low Tol]],"Pass","Fail"),IF(Table1[[#This Row],[DUT Adj Read]]&gt;=Table1[[#This Row],[Low Tol]],"Pass","Fail")))</f>
        <v>Pass</v>
      </c>
      <c r="AG472" s="1" t="str">
        <f>IF(AND(Table1[[#This Row],[Spec Type2]]="N/A",Table1[[#This Row],[DUT Adj Read]]="N/A",Table1[[#This Row],[Std Adj Read]]="N/A"),"N/A",IF(Table1[[#This Row],[DUT Adj Read]]="N/A",IF(Table1[[#This Row],[Std Adj Read]]&lt;=Table1[[#This Row],[High Tol]],"Pass","Fail"),IF(Table1[[#This Row],[DUT Adj Read]]&lt;=Table1[[#This Row],[High Tol]],"Pass","Fail")))</f>
        <v>Fail</v>
      </c>
      <c r="AH4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2" s="1" t="b">
        <v>0</v>
      </c>
      <c r="AN472" s="1" t="b">
        <v>0</v>
      </c>
      <c r="AO472" s="1" t="b">
        <v>0</v>
      </c>
    </row>
    <row r="473" spans="1:41" x14ac:dyDescent="0.25">
      <c r="A473" s="10"/>
      <c r="B473" s="10"/>
      <c r="C473" s="10"/>
      <c r="D473" s="10"/>
      <c r="E473" s="10"/>
      <c r="F473" s="10"/>
      <c r="G473" s="10"/>
      <c r="H473" s="10"/>
      <c r="I473" s="1" t="str">
        <f t="shared" si="21"/>
        <v/>
      </c>
      <c r="J473" s="1" t="s">
        <v>35</v>
      </c>
      <c r="K473" s="1" t="str">
        <f t="shared" si="22"/>
        <v/>
      </c>
      <c r="L473" s="1" t="str">
        <f t="shared" si="23"/>
        <v/>
      </c>
      <c r="M473" s="1">
        <f>IF(OR(Table1[[#This Row],[Std Nom]]="",Table1[[#This Row],[Std Read]]=""),0,Table1[[#This Row],[Std Nom]]-Table1[[#This Row],[Std Read]])</f>
        <v>0</v>
      </c>
      <c r="N473" s="1">
        <f>IF(Calculations!$F$5="ACCREDITED 17025 WITH UNCERTAINTIES",$N$10,0)</f>
        <v>0</v>
      </c>
      <c r="O473" s="1" t="str">
        <f>IFERROR(Table1[[#This Row],[Std Nom]]-(_xlfn.XLOOKUP(Table1[[#This Row],[Manufacturer]]&amp;" "&amp;Table1[[#This Row],[Model]],Table13[MFR &amp; MDL],Table13[Tolerance % CW ],"")/100*Table1[[#This Row],[Std Nom]]),"")</f>
        <v/>
      </c>
      <c r="P473" s="1" t="str">
        <f>IFERROR(Table1[[#This Row],[Std Nom]]+(_xlfn.XLOOKUP(Table1[[#This Row],[Manufacturer]]&amp;" "&amp;Table1[[#This Row],[Model]],Table13[MFR &amp; MDL],Table13[Tolerance % CW ],"")/100*Table1[[#This Row],[Std Nom]]),"")</f>
        <v/>
      </c>
      <c r="Q473" s="1" t="e">
        <f>Table1[[#This Row],[High Tol]]-Table1[[#This Row],[Low Tol]]</f>
        <v>#VALUE!</v>
      </c>
      <c r="R473" s="1">
        <f>2*Table1[[#This Row],[Std Error]]</f>
        <v>0</v>
      </c>
      <c r="S473" s="1" t="str">
        <f>IF(Table1[[#This Row],[High Tol]]="","N/A",IFERROR(ABS(Table1[[#This Row],[Tol Span]]/Table1[[#This Row],[Error Span]]),"N/A"))</f>
        <v>N/A</v>
      </c>
      <c r="T473" s="1" t="str">
        <f>IF(OR(Table1[[#This Row],[Low Tol]]="",Table1[[#This Row],[High Tol]]=""),"Needs Analysis",IF(Table1[[#This Row],[Ratio]]&gt;=4,"Not Significant",IF(Table1[[#This Row],[Ratio]]&gt;=2,"Semi-Significant","Significant")))</f>
        <v>Needs Analysis</v>
      </c>
      <c r="W473" s="1">
        <f>IF(Table1[[#This Row],[Cal Type]]&lt;&gt;"ACCREDITED 17025 WITH UNCERTAINTIES",0,"")</f>
        <v>0</v>
      </c>
      <c r="X473" s="1" t="str">
        <f>IF(Table1[[#This Row],[DUT Read]]="","N/A",Table1[[#This Row],[Std Error]]+Table1[[#This Row],[DUT Read]]+Table1[[#This Row],[DUT Ucty]])</f>
        <v>N/A</v>
      </c>
      <c r="Y473" s="1" t="str">
        <f>IF(Table1[[#This Row],[Std Read]]="","N/A",Table1[[#This Row],[Std Read]]+Table1[[#This Row],[Std Ucty]])</f>
        <v>N/A</v>
      </c>
      <c r="Z4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3" s="1" t="str">
        <f>IF(Table1[[#This Row],[Spec Type]]="","N/A",Table1[[#This Row],[Spec Type]])</f>
        <v>±</v>
      </c>
      <c r="AC473" s="1" t="str">
        <f>IF(Table1[[#This Row],[Spec Type2]]="N/A","N/A",IF(AND(Table1[[#This Row],[DUT Adj Read]]&gt;=Table1[[#This Row],[Low Tol]],Table1[[#This Row],[DUT Adj Read]]&lt;=Table1[[#This Row],[High Tol]]),"Pass","Fail"))</f>
        <v>Fail</v>
      </c>
      <c r="AD473" s="1" t="str">
        <f>IF(AND(Table1[[#This Row],[Spec Type2]]="N/A",Table1[[#This Row],[DUT Adj Read]]="N/A",Table1[[#This Row],[Std Adj Read]]="N/A"),"N/A",IF(Table1[[#This Row],[DUT Adj Read]]="N/A",IF(Table1[[#This Row],[Std Adj Read]]&gt;Table1[[#This Row],[Low Tol]],"Pass","Fail"),IF(Table1[[#This Row],[DUT Adj Read]]&gt;Table1[[#This Row],[Low Tol]],"Pass","Fail")))</f>
        <v>Pass</v>
      </c>
      <c r="AE473" s="1" t="str">
        <f>IF(AND(Table1[[#This Row],[Spec Type2]]="N/A",Table1[[#This Row],[DUT Adj Read]]="N/A",Table1[[#This Row],[Std Adj Read]]="N/A"),"N/A",IF(Table1[[#This Row],[DUT Adj Read]]="N/A",IF(Table1[[#This Row],[Std Adj Read]]&lt;Table1[[#This Row],[High Tol]],"Pass","Fail"),IF(Table1[[#This Row],[DUT Adj Read]]&lt;Table1[[#This Row],[High Tol]],"Pass","Fail")))</f>
        <v>Fail</v>
      </c>
      <c r="AF473" s="1" t="str">
        <f>IF(AND(Table1[[#This Row],[Spec Type2]]="N/A",Table1[[#This Row],[DUT Adj Read]]="N/A",Table1[[#This Row],[Std Adj Read]]="N/A"),"N/A",IF(Table1[[#This Row],[DUT Adj Read]]="N/A",IF(Table1[[#This Row],[Std Adj Read]]&gt;=Table1[[#This Row],[Low Tol]],"Pass","Fail"),IF(Table1[[#This Row],[DUT Adj Read]]&gt;=Table1[[#This Row],[Low Tol]],"Pass","Fail")))</f>
        <v>Pass</v>
      </c>
      <c r="AG473" s="1" t="str">
        <f>IF(AND(Table1[[#This Row],[Spec Type2]]="N/A",Table1[[#This Row],[DUT Adj Read]]="N/A",Table1[[#This Row],[Std Adj Read]]="N/A"),"N/A",IF(Table1[[#This Row],[DUT Adj Read]]="N/A",IF(Table1[[#This Row],[Std Adj Read]]&lt;=Table1[[#This Row],[High Tol]],"Pass","Fail"),IF(Table1[[#This Row],[DUT Adj Read]]&lt;=Table1[[#This Row],[High Tol]],"Pass","Fail")))</f>
        <v>Fail</v>
      </c>
      <c r="AH4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3" s="1" t="b">
        <v>0</v>
      </c>
      <c r="AN473" s="1" t="b">
        <v>0</v>
      </c>
      <c r="AO473" s="1" t="b">
        <v>0</v>
      </c>
    </row>
    <row r="474" spans="1:41" x14ac:dyDescent="0.25">
      <c r="A474" s="10"/>
      <c r="B474" s="10"/>
      <c r="C474" s="10"/>
      <c r="D474" s="10"/>
      <c r="E474" s="10"/>
      <c r="F474" s="10"/>
      <c r="G474" s="10"/>
      <c r="H474" s="10"/>
      <c r="I474" s="1" t="str">
        <f t="shared" si="21"/>
        <v/>
      </c>
      <c r="J474" s="1" t="s">
        <v>35</v>
      </c>
      <c r="K474" s="1" t="str">
        <f t="shared" si="22"/>
        <v/>
      </c>
      <c r="L474" s="1" t="str">
        <f t="shared" si="23"/>
        <v/>
      </c>
      <c r="M474" s="1">
        <f>IF(OR(Table1[[#This Row],[Std Nom]]="",Table1[[#This Row],[Std Read]]=""),0,Table1[[#This Row],[Std Nom]]-Table1[[#This Row],[Std Read]])</f>
        <v>0</v>
      </c>
      <c r="N474" s="1">
        <f>IF(Calculations!$F$5="ACCREDITED 17025 WITH UNCERTAINTIES",$N$10,0)</f>
        <v>0</v>
      </c>
      <c r="O474" s="1" t="str">
        <f>IFERROR(Table1[[#This Row],[Std Nom]]-(_xlfn.XLOOKUP(Table1[[#This Row],[Manufacturer]]&amp;" "&amp;Table1[[#This Row],[Model]],Table13[MFR &amp; MDL],Table13[Tolerance % CW ],"")/100*Table1[[#This Row],[Std Nom]]),"")</f>
        <v/>
      </c>
      <c r="P474" s="1" t="str">
        <f>IFERROR(Table1[[#This Row],[Std Nom]]+(_xlfn.XLOOKUP(Table1[[#This Row],[Manufacturer]]&amp;" "&amp;Table1[[#This Row],[Model]],Table13[MFR &amp; MDL],Table13[Tolerance % CW ],"")/100*Table1[[#This Row],[Std Nom]]),"")</f>
        <v/>
      </c>
      <c r="Q474" s="1" t="e">
        <f>Table1[[#This Row],[High Tol]]-Table1[[#This Row],[Low Tol]]</f>
        <v>#VALUE!</v>
      </c>
      <c r="R474" s="1">
        <f>2*Table1[[#This Row],[Std Error]]</f>
        <v>0</v>
      </c>
      <c r="S474" s="1" t="str">
        <f>IF(Table1[[#This Row],[High Tol]]="","N/A",IFERROR(ABS(Table1[[#This Row],[Tol Span]]/Table1[[#This Row],[Error Span]]),"N/A"))</f>
        <v>N/A</v>
      </c>
      <c r="T474" s="1" t="str">
        <f>IF(OR(Table1[[#This Row],[Low Tol]]="",Table1[[#This Row],[High Tol]]=""),"Needs Analysis",IF(Table1[[#This Row],[Ratio]]&gt;=4,"Not Significant",IF(Table1[[#This Row],[Ratio]]&gt;=2,"Semi-Significant","Significant")))</f>
        <v>Needs Analysis</v>
      </c>
      <c r="W474" s="1">
        <f>IF(Table1[[#This Row],[Cal Type]]&lt;&gt;"ACCREDITED 17025 WITH UNCERTAINTIES",0,"")</f>
        <v>0</v>
      </c>
      <c r="X474" s="1" t="str">
        <f>IF(Table1[[#This Row],[DUT Read]]="","N/A",Table1[[#This Row],[Std Error]]+Table1[[#This Row],[DUT Read]]+Table1[[#This Row],[DUT Ucty]])</f>
        <v>N/A</v>
      </c>
      <c r="Y474" s="1" t="str">
        <f>IF(Table1[[#This Row],[Std Read]]="","N/A",Table1[[#This Row],[Std Read]]+Table1[[#This Row],[Std Ucty]])</f>
        <v>N/A</v>
      </c>
      <c r="Z4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4" s="1" t="str">
        <f>IF(Table1[[#This Row],[Spec Type]]="","N/A",Table1[[#This Row],[Spec Type]])</f>
        <v>±</v>
      </c>
      <c r="AC474" s="1" t="str">
        <f>IF(Table1[[#This Row],[Spec Type2]]="N/A","N/A",IF(AND(Table1[[#This Row],[DUT Adj Read]]&gt;=Table1[[#This Row],[Low Tol]],Table1[[#This Row],[DUT Adj Read]]&lt;=Table1[[#This Row],[High Tol]]),"Pass","Fail"))</f>
        <v>Fail</v>
      </c>
      <c r="AD474" s="1" t="str">
        <f>IF(AND(Table1[[#This Row],[Spec Type2]]="N/A",Table1[[#This Row],[DUT Adj Read]]="N/A",Table1[[#This Row],[Std Adj Read]]="N/A"),"N/A",IF(Table1[[#This Row],[DUT Adj Read]]="N/A",IF(Table1[[#This Row],[Std Adj Read]]&gt;Table1[[#This Row],[Low Tol]],"Pass","Fail"),IF(Table1[[#This Row],[DUT Adj Read]]&gt;Table1[[#This Row],[Low Tol]],"Pass","Fail")))</f>
        <v>Pass</v>
      </c>
      <c r="AE474" s="1" t="str">
        <f>IF(AND(Table1[[#This Row],[Spec Type2]]="N/A",Table1[[#This Row],[DUT Adj Read]]="N/A",Table1[[#This Row],[Std Adj Read]]="N/A"),"N/A",IF(Table1[[#This Row],[DUT Adj Read]]="N/A",IF(Table1[[#This Row],[Std Adj Read]]&lt;Table1[[#This Row],[High Tol]],"Pass","Fail"),IF(Table1[[#This Row],[DUT Adj Read]]&lt;Table1[[#This Row],[High Tol]],"Pass","Fail")))</f>
        <v>Fail</v>
      </c>
      <c r="AF474" s="1" t="str">
        <f>IF(AND(Table1[[#This Row],[Spec Type2]]="N/A",Table1[[#This Row],[DUT Adj Read]]="N/A",Table1[[#This Row],[Std Adj Read]]="N/A"),"N/A",IF(Table1[[#This Row],[DUT Adj Read]]="N/A",IF(Table1[[#This Row],[Std Adj Read]]&gt;=Table1[[#This Row],[Low Tol]],"Pass","Fail"),IF(Table1[[#This Row],[DUT Adj Read]]&gt;=Table1[[#This Row],[Low Tol]],"Pass","Fail")))</f>
        <v>Pass</v>
      </c>
      <c r="AG474" s="1" t="str">
        <f>IF(AND(Table1[[#This Row],[Spec Type2]]="N/A",Table1[[#This Row],[DUT Adj Read]]="N/A",Table1[[#This Row],[Std Adj Read]]="N/A"),"N/A",IF(Table1[[#This Row],[DUT Adj Read]]="N/A",IF(Table1[[#This Row],[Std Adj Read]]&lt;=Table1[[#This Row],[High Tol]],"Pass","Fail"),IF(Table1[[#This Row],[DUT Adj Read]]&lt;=Table1[[#This Row],[High Tol]],"Pass","Fail")))</f>
        <v>Fail</v>
      </c>
      <c r="AH4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4" s="1" t="b">
        <v>0</v>
      </c>
      <c r="AN474" s="1" t="b">
        <v>0</v>
      </c>
      <c r="AO474" s="1" t="b">
        <v>0</v>
      </c>
    </row>
    <row r="475" spans="1:41" x14ac:dyDescent="0.25">
      <c r="A475" s="10"/>
      <c r="B475" s="10"/>
      <c r="C475" s="10"/>
      <c r="D475" s="10"/>
      <c r="E475" s="10"/>
      <c r="F475" s="10"/>
      <c r="G475" s="10"/>
      <c r="H475" s="10"/>
      <c r="I475" s="1" t="str">
        <f t="shared" si="21"/>
        <v/>
      </c>
      <c r="J475" s="1" t="s">
        <v>35</v>
      </c>
      <c r="K475" s="1" t="str">
        <f t="shared" si="22"/>
        <v/>
      </c>
      <c r="L475" s="1" t="str">
        <f t="shared" si="23"/>
        <v/>
      </c>
      <c r="M475" s="1">
        <f>IF(OR(Table1[[#This Row],[Std Nom]]="",Table1[[#This Row],[Std Read]]=""),0,Table1[[#This Row],[Std Nom]]-Table1[[#This Row],[Std Read]])</f>
        <v>0</v>
      </c>
      <c r="N475" s="1">
        <f>IF(Calculations!$F$5="ACCREDITED 17025 WITH UNCERTAINTIES",$N$10,0)</f>
        <v>0</v>
      </c>
      <c r="O475" s="1" t="str">
        <f>IFERROR(Table1[[#This Row],[Std Nom]]-(_xlfn.XLOOKUP(Table1[[#This Row],[Manufacturer]]&amp;" "&amp;Table1[[#This Row],[Model]],Table13[MFR &amp; MDL],Table13[Tolerance % CW ],"")/100*Table1[[#This Row],[Std Nom]]),"")</f>
        <v/>
      </c>
      <c r="P475" s="1" t="str">
        <f>IFERROR(Table1[[#This Row],[Std Nom]]+(_xlfn.XLOOKUP(Table1[[#This Row],[Manufacturer]]&amp;" "&amp;Table1[[#This Row],[Model]],Table13[MFR &amp; MDL],Table13[Tolerance % CW ],"")/100*Table1[[#This Row],[Std Nom]]),"")</f>
        <v/>
      </c>
      <c r="Q475" s="1" t="e">
        <f>Table1[[#This Row],[High Tol]]-Table1[[#This Row],[Low Tol]]</f>
        <v>#VALUE!</v>
      </c>
      <c r="R475" s="1">
        <f>2*Table1[[#This Row],[Std Error]]</f>
        <v>0</v>
      </c>
      <c r="S475" s="1" t="str">
        <f>IF(Table1[[#This Row],[High Tol]]="","N/A",IFERROR(ABS(Table1[[#This Row],[Tol Span]]/Table1[[#This Row],[Error Span]]),"N/A"))</f>
        <v>N/A</v>
      </c>
      <c r="T475" s="1" t="str">
        <f>IF(OR(Table1[[#This Row],[Low Tol]]="",Table1[[#This Row],[High Tol]]=""),"Needs Analysis",IF(Table1[[#This Row],[Ratio]]&gt;=4,"Not Significant",IF(Table1[[#This Row],[Ratio]]&gt;=2,"Semi-Significant","Significant")))</f>
        <v>Needs Analysis</v>
      </c>
      <c r="W475" s="1">
        <f>IF(Table1[[#This Row],[Cal Type]]&lt;&gt;"ACCREDITED 17025 WITH UNCERTAINTIES",0,"")</f>
        <v>0</v>
      </c>
      <c r="X475" s="1" t="str">
        <f>IF(Table1[[#This Row],[DUT Read]]="","N/A",Table1[[#This Row],[Std Error]]+Table1[[#This Row],[DUT Read]]+Table1[[#This Row],[DUT Ucty]])</f>
        <v>N/A</v>
      </c>
      <c r="Y475" s="1" t="str">
        <f>IF(Table1[[#This Row],[Std Read]]="","N/A",Table1[[#This Row],[Std Read]]+Table1[[#This Row],[Std Ucty]])</f>
        <v>N/A</v>
      </c>
      <c r="Z4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5" s="1" t="str">
        <f>IF(Table1[[#This Row],[Spec Type]]="","N/A",Table1[[#This Row],[Spec Type]])</f>
        <v>±</v>
      </c>
      <c r="AC475" s="1" t="str">
        <f>IF(Table1[[#This Row],[Spec Type2]]="N/A","N/A",IF(AND(Table1[[#This Row],[DUT Adj Read]]&gt;=Table1[[#This Row],[Low Tol]],Table1[[#This Row],[DUT Adj Read]]&lt;=Table1[[#This Row],[High Tol]]),"Pass","Fail"))</f>
        <v>Fail</v>
      </c>
      <c r="AD475" s="1" t="str">
        <f>IF(AND(Table1[[#This Row],[Spec Type2]]="N/A",Table1[[#This Row],[DUT Adj Read]]="N/A",Table1[[#This Row],[Std Adj Read]]="N/A"),"N/A",IF(Table1[[#This Row],[DUT Adj Read]]="N/A",IF(Table1[[#This Row],[Std Adj Read]]&gt;Table1[[#This Row],[Low Tol]],"Pass","Fail"),IF(Table1[[#This Row],[DUT Adj Read]]&gt;Table1[[#This Row],[Low Tol]],"Pass","Fail")))</f>
        <v>Pass</v>
      </c>
      <c r="AE475" s="1" t="str">
        <f>IF(AND(Table1[[#This Row],[Spec Type2]]="N/A",Table1[[#This Row],[DUT Adj Read]]="N/A",Table1[[#This Row],[Std Adj Read]]="N/A"),"N/A",IF(Table1[[#This Row],[DUT Adj Read]]="N/A",IF(Table1[[#This Row],[Std Adj Read]]&lt;Table1[[#This Row],[High Tol]],"Pass","Fail"),IF(Table1[[#This Row],[DUT Adj Read]]&lt;Table1[[#This Row],[High Tol]],"Pass","Fail")))</f>
        <v>Fail</v>
      </c>
      <c r="AF475" s="1" t="str">
        <f>IF(AND(Table1[[#This Row],[Spec Type2]]="N/A",Table1[[#This Row],[DUT Adj Read]]="N/A",Table1[[#This Row],[Std Adj Read]]="N/A"),"N/A",IF(Table1[[#This Row],[DUT Adj Read]]="N/A",IF(Table1[[#This Row],[Std Adj Read]]&gt;=Table1[[#This Row],[Low Tol]],"Pass","Fail"),IF(Table1[[#This Row],[DUT Adj Read]]&gt;=Table1[[#This Row],[Low Tol]],"Pass","Fail")))</f>
        <v>Pass</v>
      </c>
      <c r="AG475" s="1" t="str">
        <f>IF(AND(Table1[[#This Row],[Spec Type2]]="N/A",Table1[[#This Row],[DUT Adj Read]]="N/A",Table1[[#This Row],[Std Adj Read]]="N/A"),"N/A",IF(Table1[[#This Row],[DUT Adj Read]]="N/A",IF(Table1[[#This Row],[Std Adj Read]]&lt;=Table1[[#This Row],[High Tol]],"Pass","Fail"),IF(Table1[[#This Row],[DUT Adj Read]]&lt;=Table1[[#This Row],[High Tol]],"Pass","Fail")))</f>
        <v>Fail</v>
      </c>
      <c r="AH4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5" s="1" t="b">
        <v>0</v>
      </c>
      <c r="AN475" s="1" t="b">
        <v>0</v>
      </c>
      <c r="AO475" s="1" t="b">
        <v>0</v>
      </c>
    </row>
    <row r="476" spans="1:41" x14ac:dyDescent="0.25">
      <c r="A476" s="10"/>
      <c r="B476" s="10"/>
      <c r="C476" s="10"/>
      <c r="D476" s="10"/>
      <c r="E476" s="10"/>
      <c r="F476" s="10"/>
      <c r="G476" s="10"/>
      <c r="H476" s="10"/>
      <c r="I476" s="1" t="str">
        <f t="shared" si="21"/>
        <v/>
      </c>
      <c r="J476" s="1" t="s">
        <v>35</v>
      </c>
      <c r="K476" s="1" t="str">
        <f t="shared" si="22"/>
        <v/>
      </c>
      <c r="L476" s="1" t="str">
        <f t="shared" si="23"/>
        <v/>
      </c>
      <c r="M476" s="1">
        <f>IF(OR(Table1[[#This Row],[Std Nom]]="",Table1[[#This Row],[Std Read]]=""),0,Table1[[#This Row],[Std Nom]]-Table1[[#This Row],[Std Read]])</f>
        <v>0</v>
      </c>
      <c r="N476" s="1">
        <f>IF(Calculations!$F$5="ACCREDITED 17025 WITH UNCERTAINTIES",$N$10,0)</f>
        <v>0</v>
      </c>
      <c r="O476" s="1" t="str">
        <f>IFERROR(Table1[[#This Row],[Std Nom]]-(_xlfn.XLOOKUP(Table1[[#This Row],[Manufacturer]]&amp;" "&amp;Table1[[#This Row],[Model]],Table13[MFR &amp; MDL],Table13[Tolerance % CW ],"")/100*Table1[[#This Row],[Std Nom]]),"")</f>
        <v/>
      </c>
      <c r="P476" s="1" t="str">
        <f>IFERROR(Table1[[#This Row],[Std Nom]]+(_xlfn.XLOOKUP(Table1[[#This Row],[Manufacturer]]&amp;" "&amp;Table1[[#This Row],[Model]],Table13[MFR &amp; MDL],Table13[Tolerance % CW ],"")/100*Table1[[#This Row],[Std Nom]]),"")</f>
        <v/>
      </c>
      <c r="Q476" s="1" t="e">
        <f>Table1[[#This Row],[High Tol]]-Table1[[#This Row],[Low Tol]]</f>
        <v>#VALUE!</v>
      </c>
      <c r="R476" s="1">
        <f>2*Table1[[#This Row],[Std Error]]</f>
        <v>0</v>
      </c>
      <c r="S476" s="1" t="str">
        <f>IF(Table1[[#This Row],[High Tol]]="","N/A",IFERROR(ABS(Table1[[#This Row],[Tol Span]]/Table1[[#This Row],[Error Span]]),"N/A"))</f>
        <v>N/A</v>
      </c>
      <c r="T476" s="1" t="str">
        <f>IF(OR(Table1[[#This Row],[Low Tol]]="",Table1[[#This Row],[High Tol]]=""),"Needs Analysis",IF(Table1[[#This Row],[Ratio]]&gt;=4,"Not Significant",IF(Table1[[#This Row],[Ratio]]&gt;=2,"Semi-Significant","Significant")))</f>
        <v>Needs Analysis</v>
      </c>
      <c r="W476" s="1">
        <f>IF(Table1[[#This Row],[Cal Type]]&lt;&gt;"ACCREDITED 17025 WITH UNCERTAINTIES",0,"")</f>
        <v>0</v>
      </c>
      <c r="X476" s="1" t="str">
        <f>IF(Table1[[#This Row],[DUT Read]]="","N/A",Table1[[#This Row],[Std Error]]+Table1[[#This Row],[DUT Read]]+Table1[[#This Row],[DUT Ucty]])</f>
        <v>N/A</v>
      </c>
      <c r="Y476" s="1" t="str">
        <f>IF(Table1[[#This Row],[Std Read]]="","N/A",Table1[[#This Row],[Std Read]]+Table1[[#This Row],[Std Ucty]])</f>
        <v>N/A</v>
      </c>
      <c r="Z4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6" s="1" t="str">
        <f>IF(Table1[[#This Row],[Spec Type]]="","N/A",Table1[[#This Row],[Spec Type]])</f>
        <v>±</v>
      </c>
      <c r="AC476" s="1" t="str">
        <f>IF(Table1[[#This Row],[Spec Type2]]="N/A","N/A",IF(AND(Table1[[#This Row],[DUT Adj Read]]&gt;=Table1[[#This Row],[Low Tol]],Table1[[#This Row],[DUT Adj Read]]&lt;=Table1[[#This Row],[High Tol]]),"Pass","Fail"))</f>
        <v>Fail</v>
      </c>
      <c r="AD476" s="1" t="str">
        <f>IF(AND(Table1[[#This Row],[Spec Type2]]="N/A",Table1[[#This Row],[DUT Adj Read]]="N/A",Table1[[#This Row],[Std Adj Read]]="N/A"),"N/A",IF(Table1[[#This Row],[DUT Adj Read]]="N/A",IF(Table1[[#This Row],[Std Adj Read]]&gt;Table1[[#This Row],[Low Tol]],"Pass","Fail"),IF(Table1[[#This Row],[DUT Adj Read]]&gt;Table1[[#This Row],[Low Tol]],"Pass","Fail")))</f>
        <v>Pass</v>
      </c>
      <c r="AE476" s="1" t="str">
        <f>IF(AND(Table1[[#This Row],[Spec Type2]]="N/A",Table1[[#This Row],[DUT Adj Read]]="N/A",Table1[[#This Row],[Std Adj Read]]="N/A"),"N/A",IF(Table1[[#This Row],[DUT Adj Read]]="N/A",IF(Table1[[#This Row],[Std Adj Read]]&lt;Table1[[#This Row],[High Tol]],"Pass","Fail"),IF(Table1[[#This Row],[DUT Adj Read]]&lt;Table1[[#This Row],[High Tol]],"Pass","Fail")))</f>
        <v>Fail</v>
      </c>
      <c r="AF476" s="1" t="str">
        <f>IF(AND(Table1[[#This Row],[Spec Type2]]="N/A",Table1[[#This Row],[DUT Adj Read]]="N/A",Table1[[#This Row],[Std Adj Read]]="N/A"),"N/A",IF(Table1[[#This Row],[DUT Adj Read]]="N/A",IF(Table1[[#This Row],[Std Adj Read]]&gt;=Table1[[#This Row],[Low Tol]],"Pass","Fail"),IF(Table1[[#This Row],[DUT Adj Read]]&gt;=Table1[[#This Row],[Low Tol]],"Pass","Fail")))</f>
        <v>Pass</v>
      </c>
      <c r="AG476" s="1" t="str">
        <f>IF(AND(Table1[[#This Row],[Spec Type2]]="N/A",Table1[[#This Row],[DUT Adj Read]]="N/A",Table1[[#This Row],[Std Adj Read]]="N/A"),"N/A",IF(Table1[[#This Row],[DUT Adj Read]]="N/A",IF(Table1[[#This Row],[Std Adj Read]]&lt;=Table1[[#This Row],[High Tol]],"Pass","Fail"),IF(Table1[[#This Row],[DUT Adj Read]]&lt;=Table1[[#This Row],[High Tol]],"Pass","Fail")))</f>
        <v>Fail</v>
      </c>
      <c r="AH4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6" s="1" t="b">
        <v>0</v>
      </c>
      <c r="AN476" s="1" t="b">
        <v>0</v>
      </c>
      <c r="AO476" s="1" t="b">
        <v>0</v>
      </c>
    </row>
    <row r="477" spans="1:41" x14ac:dyDescent="0.25">
      <c r="A477" s="10"/>
      <c r="B477" s="10"/>
      <c r="C477" s="10"/>
      <c r="D477" s="10"/>
      <c r="E477" s="10"/>
      <c r="F477" s="10"/>
      <c r="G477" s="10"/>
      <c r="H477" s="10"/>
      <c r="I477" s="1" t="str">
        <f t="shared" si="21"/>
        <v/>
      </c>
      <c r="J477" s="1" t="s">
        <v>35</v>
      </c>
      <c r="K477" s="1" t="str">
        <f t="shared" si="22"/>
        <v/>
      </c>
      <c r="L477" s="1" t="str">
        <f t="shared" si="23"/>
        <v/>
      </c>
      <c r="M477" s="1">
        <f>IF(OR(Table1[[#This Row],[Std Nom]]="",Table1[[#This Row],[Std Read]]=""),0,Table1[[#This Row],[Std Nom]]-Table1[[#This Row],[Std Read]])</f>
        <v>0</v>
      </c>
      <c r="N477" s="1">
        <f>IF(Calculations!$F$5="ACCREDITED 17025 WITH UNCERTAINTIES",$N$10,0)</f>
        <v>0</v>
      </c>
      <c r="O477" s="1" t="str">
        <f>IFERROR(Table1[[#This Row],[Std Nom]]-(_xlfn.XLOOKUP(Table1[[#This Row],[Manufacturer]]&amp;" "&amp;Table1[[#This Row],[Model]],Table13[MFR &amp; MDL],Table13[Tolerance % CW ],"")/100*Table1[[#This Row],[Std Nom]]),"")</f>
        <v/>
      </c>
      <c r="P477" s="1" t="str">
        <f>IFERROR(Table1[[#This Row],[Std Nom]]+(_xlfn.XLOOKUP(Table1[[#This Row],[Manufacturer]]&amp;" "&amp;Table1[[#This Row],[Model]],Table13[MFR &amp; MDL],Table13[Tolerance % CW ],"")/100*Table1[[#This Row],[Std Nom]]),"")</f>
        <v/>
      </c>
      <c r="Q477" s="1" t="e">
        <f>Table1[[#This Row],[High Tol]]-Table1[[#This Row],[Low Tol]]</f>
        <v>#VALUE!</v>
      </c>
      <c r="R477" s="1">
        <f>2*Table1[[#This Row],[Std Error]]</f>
        <v>0</v>
      </c>
      <c r="S477" s="1" t="str">
        <f>IF(Table1[[#This Row],[High Tol]]="","N/A",IFERROR(ABS(Table1[[#This Row],[Tol Span]]/Table1[[#This Row],[Error Span]]),"N/A"))</f>
        <v>N/A</v>
      </c>
      <c r="T477" s="1" t="str">
        <f>IF(OR(Table1[[#This Row],[Low Tol]]="",Table1[[#This Row],[High Tol]]=""),"Needs Analysis",IF(Table1[[#This Row],[Ratio]]&gt;=4,"Not Significant",IF(Table1[[#This Row],[Ratio]]&gt;=2,"Semi-Significant","Significant")))</f>
        <v>Needs Analysis</v>
      </c>
      <c r="W477" s="1">
        <f>IF(Table1[[#This Row],[Cal Type]]&lt;&gt;"ACCREDITED 17025 WITH UNCERTAINTIES",0,"")</f>
        <v>0</v>
      </c>
      <c r="X477" s="1" t="str">
        <f>IF(Table1[[#This Row],[DUT Read]]="","N/A",Table1[[#This Row],[Std Error]]+Table1[[#This Row],[DUT Read]]+Table1[[#This Row],[DUT Ucty]])</f>
        <v>N/A</v>
      </c>
      <c r="Y477" s="1" t="str">
        <f>IF(Table1[[#This Row],[Std Read]]="","N/A",Table1[[#This Row],[Std Read]]+Table1[[#This Row],[Std Ucty]])</f>
        <v>N/A</v>
      </c>
      <c r="Z4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7" s="1" t="str">
        <f>IF(Table1[[#This Row],[Spec Type]]="","N/A",Table1[[#This Row],[Spec Type]])</f>
        <v>±</v>
      </c>
      <c r="AC477" s="1" t="str">
        <f>IF(Table1[[#This Row],[Spec Type2]]="N/A","N/A",IF(AND(Table1[[#This Row],[DUT Adj Read]]&gt;=Table1[[#This Row],[Low Tol]],Table1[[#This Row],[DUT Adj Read]]&lt;=Table1[[#This Row],[High Tol]]),"Pass","Fail"))</f>
        <v>Fail</v>
      </c>
      <c r="AD477" s="1" t="str">
        <f>IF(AND(Table1[[#This Row],[Spec Type2]]="N/A",Table1[[#This Row],[DUT Adj Read]]="N/A",Table1[[#This Row],[Std Adj Read]]="N/A"),"N/A",IF(Table1[[#This Row],[DUT Adj Read]]="N/A",IF(Table1[[#This Row],[Std Adj Read]]&gt;Table1[[#This Row],[Low Tol]],"Pass","Fail"),IF(Table1[[#This Row],[DUT Adj Read]]&gt;Table1[[#This Row],[Low Tol]],"Pass","Fail")))</f>
        <v>Pass</v>
      </c>
      <c r="AE477" s="1" t="str">
        <f>IF(AND(Table1[[#This Row],[Spec Type2]]="N/A",Table1[[#This Row],[DUT Adj Read]]="N/A",Table1[[#This Row],[Std Adj Read]]="N/A"),"N/A",IF(Table1[[#This Row],[DUT Adj Read]]="N/A",IF(Table1[[#This Row],[Std Adj Read]]&lt;Table1[[#This Row],[High Tol]],"Pass","Fail"),IF(Table1[[#This Row],[DUT Adj Read]]&lt;Table1[[#This Row],[High Tol]],"Pass","Fail")))</f>
        <v>Fail</v>
      </c>
      <c r="AF477" s="1" t="str">
        <f>IF(AND(Table1[[#This Row],[Spec Type2]]="N/A",Table1[[#This Row],[DUT Adj Read]]="N/A",Table1[[#This Row],[Std Adj Read]]="N/A"),"N/A",IF(Table1[[#This Row],[DUT Adj Read]]="N/A",IF(Table1[[#This Row],[Std Adj Read]]&gt;=Table1[[#This Row],[Low Tol]],"Pass","Fail"),IF(Table1[[#This Row],[DUT Adj Read]]&gt;=Table1[[#This Row],[Low Tol]],"Pass","Fail")))</f>
        <v>Pass</v>
      </c>
      <c r="AG477" s="1" t="str">
        <f>IF(AND(Table1[[#This Row],[Spec Type2]]="N/A",Table1[[#This Row],[DUT Adj Read]]="N/A",Table1[[#This Row],[Std Adj Read]]="N/A"),"N/A",IF(Table1[[#This Row],[DUT Adj Read]]="N/A",IF(Table1[[#This Row],[Std Adj Read]]&lt;=Table1[[#This Row],[High Tol]],"Pass","Fail"),IF(Table1[[#This Row],[DUT Adj Read]]&lt;=Table1[[#This Row],[High Tol]],"Pass","Fail")))</f>
        <v>Fail</v>
      </c>
      <c r="AH4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7" s="1" t="b">
        <v>0</v>
      </c>
      <c r="AN477" s="1" t="b">
        <v>0</v>
      </c>
      <c r="AO477" s="1" t="b">
        <v>0</v>
      </c>
    </row>
    <row r="478" spans="1:41" x14ac:dyDescent="0.25">
      <c r="A478" s="10"/>
      <c r="B478" s="10"/>
      <c r="C478" s="10"/>
      <c r="D478" s="10"/>
      <c r="E478" s="10"/>
      <c r="F478" s="10"/>
      <c r="G478" s="10"/>
      <c r="H478" s="10"/>
      <c r="I478" s="1" t="str">
        <f t="shared" si="21"/>
        <v/>
      </c>
      <c r="J478" s="1" t="s">
        <v>35</v>
      </c>
      <c r="K478" s="1" t="str">
        <f t="shared" si="22"/>
        <v/>
      </c>
      <c r="L478" s="1" t="str">
        <f t="shared" si="23"/>
        <v/>
      </c>
      <c r="M478" s="1">
        <f>IF(OR(Table1[[#This Row],[Std Nom]]="",Table1[[#This Row],[Std Read]]=""),0,Table1[[#This Row],[Std Nom]]-Table1[[#This Row],[Std Read]])</f>
        <v>0</v>
      </c>
      <c r="N478" s="1">
        <f>IF(Calculations!$F$5="ACCREDITED 17025 WITH UNCERTAINTIES",$N$10,0)</f>
        <v>0</v>
      </c>
      <c r="O478" s="1" t="str">
        <f>IFERROR(Table1[[#This Row],[Std Nom]]-(_xlfn.XLOOKUP(Table1[[#This Row],[Manufacturer]]&amp;" "&amp;Table1[[#This Row],[Model]],Table13[MFR &amp; MDL],Table13[Tolerance % CW ],"")/100*Table1[[#This Row],[Std Nom]]),"")</f>
        <v/>
      </c>
      <c r="P478" s="1" t="str">
        <f>IFERROR(Table1[[#This Row],[Std Nom]]+(_xlfn.XLOOKUP(Table1[[#This Row],[Manufacturer]]&amp;" "&amp;Table1[[#This Row],[Model]],Table13[MFR &amp; MDL],Table13[Tolerance % CW ],"")/100*Table1[[#This Row],[Std Nom]]),"")</f>
        <v/>
      </c>
      <c r="Q478" s="1" t="e">
        <f>Table1[[#This Row],[High Tol]]-Table1[[#This Row],[Low Tol]]</f>
        <v>#VALUE!</v>
      </c>
      <c r="R478" s="1">
        <f>2*Table1[[#This Row],[Std Error]]</f>
        <v>0</v>
      </c>
      <c r="S478" s="1" t="str">
        <f>IF(Table1[[#This Row],[High Tol]]="","N/A",IFERROR(ABS(Table1[[#This Row],[Tol Span]]/Table1[[#This Row],[Error Span]]),"N/A"))</f>
        <v>N/A</v>
      </c>
      <c r="T478" s="1" t="str">
        <f>IF(OR(Table1[[#This Row],[Low Tol]]="",Table1[[#This Row],[High Tol]]=""),"Needs Analysis",IF(Table1[[#This Row],[Ratio]]&gt;=4,"Not Significant",IF(Table1[[#This Row],[Ratio]]&gt;=2,"Semi-Significant","Significant")))</f>
        <v>Needs Analysis</v>
      </c>
      <c r="W478" s="1">
        <f>IF(Table1[[#This Row],[Cal Type]]&lt;&gt;"ACCREDITED 17025 WITH UNCERTAINTIES",0,"")</f>
        <v>0</v>
      </c>
      <c r="X478" s="1" t="str">
        <f>IF(Table1[[#This Row],[DUT Read]]="","N/A",Table1[[#This Row],[Std Error]]+Table1[[#This Row],[DUT Read]]+Table1[[#This Row],[DUT Ucty]])</f>
        <v>N/A</v>
      </c>
      <c r="Y478" s="1" t="str">
        <f>IF(Table1[[#This Row],[Std Read]]="","N/A",Table1[[#This Row],[Std Read]]+Table1[[#This Row],[Std Ucty]])</f>
        <v>N/A</v>
      </c>
      <c r="Z4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8" s="1" t="str">
        <f>IF(Table1[[#This Row],[Spec Type]]="","N/A",Table1[[#This Row],[Spec Type]])</f>
        <v>±</v>
      </c>
      <c r="AC478" s="1" t="str">
        <f>IF(Table1[[#This Row],[Spec Type2]]="N/A","N/A",IF(AND(Table1[[#This Row],[DUT Adj Read]]&gt;=Table1[[#This Row],[Low Tol]],Table1[[#This Row],[DUT Adj Read]]&lt;=Table1[[#This Row],[High Tol]]),"Pass","Fail"))</f>
        <v>Fail</v>
      </c>
      <c r="AD478" s="1" t="str">
        <f>IF(AND(Table1[[#This Row],[Spec Type2]]="N/A",Table1[[#This Row],[DUT Adj Read]]="N/A",Table1[[#This Row],[Std Adj Read]]="N/A"),"N/A",IF(Table1[[#This Row],[DUT Adj Read]]="N/A",IF(Table1[[#This Row],[Std Adj Read]]&gt;Table1[[#This Row],[Low Tol]],"Pass","Fail"),IF(Table1[[#This Row],[DUT Adj Read]]&gt;Table1[[#This Row],[Low Tol]],"Pass","Fail")))</f>
        <v>Pass</v>
      </c>
      <c r="AE478" s="1" t="str">
        <f>IF(AND(Table1[[#This Row],[Spec Type2]]="N/A",Table1[[#This Row],[DUT Adj Read]]="N/A",Table1[[#This Row],[Std Adj Read]]="N/A"),"N/A",IF(Table1[[#This Row],[DUT Adj Read]]="N/A",IF(Table1[[#This Row],[Std Adj Read]]&lt;Table1[[#This Row],[High Tol]],"Pass","Fail"),IF(Table1[[#This Row],[DUT Adj Read]]&lt;Table1[[#This Row],[High Tol]],"Pass","Fail")))</f>
        <v>Fail</v>
      </c>
      <c r="AF478" s="1" t="str">
        <f>IF(AND(Table1[[#This Row],[Spec Type2]]="N/A",Table1[[#This Row],[DUT Adj Read]]="N/A",Table1[[#This Row],[Std Adj Read]]="N/A"),"N/A",IF(Table1[[#This Row],[DUT Adj Read]]="N/A",IF(Table1[[#This Row],[Std Adj Read]]&gt;=Table1[[#This Row],[Low Tol]],"Pass","Fail"),IF(Table1[[#This Row],[DUT Adj Read]]&gt;=Table1[[#This Row],[Low Tol]],"Pass","Fail")))</f>
        <v>Pass</v>
      </c>
      <c r="AG478" s="1" t="str">
        <f>IF(AND(Table1[[#This Row],[Spec Type2]]="N/A",Table1[[#This Row],[DUT Adj Read]]="N/A",Table1[[#This Row],[Std Adj Read]]="N/A"),"N/A",IF(Table1[[#This Row],[DUT Adj Read]]="N/A",IF(Table1[[#This Row],[Std Adj Read]]&lt;=Table1[[#This Row],[High Tol]],"Pass","Fail"),IF(Table1[[#This Row],[DUT Adj Read]]&lt;=Table1[[#This Row],[High Tol]],"Pass","Fail")))</f>
        <v>Fail</v>
      </c>
      <c r="AH4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8" s="1" t="b">
        <v>0</v>
      </c>
      <c r="AN478" s="1" t="b">
        <v>0</v>
      </c>
      <c r="AO478" s="1" t="b">
        <v>0</v>
      </c>
    </row>
    <row r="479" spans="1:41" x14ac:dyDescent="0.25">
      <c r="A479" s="10"/>
      <c r="B479" s="10"/>
      <c r="C479" s="10"/>
      <c r="D479" s="10"/>
      <c r="E479" s="10"/>
      <c r="F479" s="10"/>
      <c r="G479" s="10"/>
      <c r="H479" s="10"/>
      <c r="I479" s="1" t="str">
        <f t="shared" si="21"/>
        <v/>
      </c>
      <c r="J479" s="1" t="s">
        <v>35</v>
      </c>
      <c r="K479" s="1" t="str">
        <f t="shared" si="22"/>
        <v/>
      </c>
      <c r="L479" s="1" t="str">
        <f t="shared" si="23"/>
        <v/>
      </c>
      <c r="M479" s="1">
        <f>IF(OR(Table1[[#This Row],[Std Nom]]="",Table1[[#This Row],[Std Read]]=""),0,Table1[[#This Row],[Std Nom]]-Table1[[#This Row],[Std Read]])</f>
        <v>0</v>
      </c>
      <c r="N479" s="1">
        <f>IF(Calculations!$F$5="ACCREDITED 17025 WITH UNCERTAINTIES",$N$10,0)</f>
        <v>0</v>
      </c>
      <c r="O479" s="1" t="str">
        <f>IFERROR(Table1[[#This Row],[Std Nom]]-(_xlfn.XLOOKUP(Table1[[#This Row],[Manufacturer]]&amp;" "&amp;Table1[[#This Row],[Model]],Table13[MFR &amp; MDL],Table13[Tolerance % CW ],"")/100*Table1[[#This Row],[Std Nom]]),"")</f>
        <v/>
      </c>
      <c r="P479" s="1" t="str">
        <f>IFERROR(Table1[[#This Row],[Std Nom]]+(_xlfn.XLOOKUP(Table1[[#This Row],[Manufacturer]]&amp;" "&amp;Table1[[#This Row],[Model]],Table13[MFR &amp; MDL],Table13[Tolerance % CW ],"")/100*Table1[[#This Row],[Std Nom]]),"")</f>
        <v/>
      </c>
      <c r="Q479" s="1" t="e">
        <f>Table1[[#This Row],[High Tol]]-Table1[[#This Row],[Low Tol]]</f>
        <v>#VALUE!</v>
      </c>
      <c r="R479" s="1">
        <f>2*Table1[[#This Row],[Std Error]]</f>
        <v>0</v>
      </c>
      <c r="S479" s="1" t="str">
        <f>IF(Table1[[#This Row],[High Tol]]="","N/A",IFERROR(ABS(Table1[[#This Row],[Tol Span]]/Table1[[#This Row],[Error Span]]),"N/A"))</f>
        <v>N/A</v>
      </c>
      <c r="T479" s="1" t="str">
        <f>IF(OR(Table1[[#This Row],[Low Tol]]="",Table1[[#This Row],[High Tol]]=""),"Needs Analysis",IF(Table1[[#This Row],[Ratio]]&gt;=4,"Not Significant",IF(Table1[[#This Row],[Ratio]]&gt;=2,"Semi-Significant","Significant")))</f>
        <v>Needs Analysis</v>
      </c>
      <c r="W479" s="1">
        <f>IF(Table1[[#This Row],[Cal Type]]&lt;&gt;"ACCREDITED 17025 WITH UNCERTAINTIES",0,"")</f>
        <v>0</v>
      </c>
      <c r="X479" s="1" t="str">
        <f>IF(Table1[[#This Row],[DUT Read]]="","N/A",Table1[[#This Row],[Std Error]]+Table1[[#This Row],[DUT Read]]+Table1[[#This Row],[DUT Ucty]])</f>
        <v>N/A</v>
      </c>
      <c r="Y479" s="1" t="str">
        <f>IF(Table1[[#This Row],[Std Read]]="","N/A",Table1[[#This Row],[Std Read]]+Table1[[#This Row],[Std Ucty]])</f>
        <v>N/A</v>
      </c>
      <c r="Z4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9" s="1" t="str">
        <f>IF(Table1[[#This Row],[Spec Type]]="","N/A",Table1[[#This Row],[Spec Type]])</f>
        <v>±</v>
      </c>
      <c r="AC479" s="1" t="str">
        <f>IF(Table1[[#This Row],[Spec Type2]]="N/A","N/A",IF(AND(Table1[[#This Row],[DUT Adj Read]]&gt;=Table1[[#This Row],[Low Tol]],Table1[[#This Row],[DUT Adj Read]]&lt;=Table1[[#This Row],[High Tol]]),"Pass","Fail"))</f>
        <v>Fail</v>
      </c>
      <c r="AD479" s="1" t="str">
        <f>IF(AND(Table1[[#This Row],[Spec Type2]]="N/A",Table1[[#This Row],[DUT Adj Read]]="N/A",Table1[[#This Row],[Std Adj Read]]="N/A"),"N/A",IF(Table1[[#This Row],[DUT Adj Read]]="N/A",IF(Table1[[#This Row],[Std Adj Read]]&gt;Table1[[#This Row],[Low Tol]],"Pass","Fail"),IF(Table1[[#This Row],[DUT Adj Read]]&gt;Table1[[#This Row],[Low Tol]],"Pass","Fail")))</f>
        <v>Pass</v>
      </c>
      <c r="AE479" s="1" t="str">
        <f>IF(AND(Table1[[#This Row],[Spec Type2]]="N/A",Table1[[#This Row],[DUT Adj Read]]="N/A",Table1[[#This Row],[Std Adj Read]]="N/A"),"N/A",IF(Table1[[#This Row],[DUT Adj Read]]="N/A",IF(Table1[[#This Row],[Std Adj Read]]&lt;Table1[[#This Row],[High Tol]],"Pass","Fail"),IF(Table1[[#This Row],[DUT Adj Read]]&lt;Table1[[#This Row],[High Tol]],"Pass","Fail")))</f>
        <v>Fail</v>
      </c>
      <c r="AF479" s="1" t="str">
        <f>IF(AND(Table1[[#This Row],[Spec Type2]]="N/A",Table1[[#This Row],[DUT Adj Read]]="N/A",Table1[[#This Row],[Std Adj Read]]="N/A"),"N/A",IF(Table1[[#This Row],[DUT Adj Read]]="N/A",IF(Table1[[#This Row],[Std Adj Read]]&gt;=Table1[[#This Row],[Low Tol]],"Pass","Fail"),IF(Table1[[#This Row],[DUT Adj Read]]&gt;=Table1[[#This Row],[Low Tol]],"Pass","Fail")))</f>
        <v>Pass</v>
      </c>
      <c r="AG479" s="1" t="str">
        <f>IF(AND(Table1[[#This Row],[Spec Type2]]="N/A",Table1[[#This Row],[DUT Adj Read]]="N/A",Table1[[#This Row],[Std Adj Read]]="N/A"),"N/A",IF(Table1[[#This Row],[DUT Adj Read]]="N/A",IF(Table1[[#This Row],[Std Adj Read]]&lt;=Table1[[#This Row],[High Tol]],"Pass","Fail"),IF(Table1[[#This Row],[DUT Adj Read]]&lt;=Table1[[#This Row],[High Tol]],"Pass","Fail")))</f>
        <v>Fail</v>
      </c>
      <c r="AH4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9" s="1" t="b">
        <v>0</v>
      </c>
      <c r="AN479" s="1" t="b">
        <v>0</v>
      </c>
      <c r="AO479" s="1" t="b">
        <v>0</v>
      </c>
    </row>
    <row r="480" spans="1:41" x14ac:dyDescent="0.25">
      <c r="A480" s="10"/>
      <c r="B480" s="10"/>
      <c r="C480" s="10"/>
      <c r="D480" s="10"/>
      <c r="E480" s="10"/>
      <c r="F480" s="10"/>
      <c r="G480" s="10"/>
      <c r="H480" s="10"/>
      <c r="I480" s="1" t="str">
        <f t="shared" si="21"/>
        <v/>
      </c>
      <c r="J480" s="1" t="s">
        <v>35</v>
      </c>
      <c r="K480" s="1" t="str">
        <f t="shared" si="22"/>
        <v/>
      </c>
      <c r="L480" s="1" t="str">
        <f t="shared" si="23"/>
        <v/>
      </c>
      <c r="M480" s="1">
        <f>IF(OR(Table1[[#This Row],[Std Nom]]="",Table1[[#This Row],[Std Read]]=""),0,Table1[[#This Row],[Std Nom]]-Table1[[#This Row],[Std Read]])</f>
        <v>0</v>
      </c>
      <c r="N480" s="1">
        <f>IF(Calculations!$F$5="ACCREDITED 17025 WITH UNCERTAINTIES",$N$10,0)</f>
        <v>0</v>
      </c>
      <c r="O480" s="1" t="str">
        <f>IFERROR(Table1[[#This Row],[Std Nom]]-(_xlfn.XLOOKUP(Table1[[#This Row],[Manufacturer]]&amp;" "&amp;Table1[[#This Row],[Model]],Table13[MFR &amp; MDL],Table13[Tolerance % CW ],"")/100*Table1[[#This Row],[Std Nom]]),"")</f>
        <v/>
      </c>
      <c r="P480" s="1" t="str">
        <f>IFERROR(Table1[[#This Row],[Std Nom]]+(_xlfn.XLOOKUP(Table1[[#This Row],[Manufacturer]]&amp;" "&amp;Table1[[#This Row],[Model]],Table13[MFR &amp; MDL],Table13[Tolerance % CW ],"")/100*Table1[[#This Row],[Std Nom]]),"")</f>
        <v/>
      </c>
      <c r="Q480" s="1" t="e">
        <f>Table1[[#This Row],[High Tol]]-Table1[[#This Row],[Low Tol]]</f>
        <v>#VALUE!</v>
      </c>
      <c r="R480" s="1">
        <f>2*Table1[[#This Row],[Std Error]]</f>
        <v>0</v>
      </c>
      <c r="S480" s="1" t="str">
        <f>IF(Table1[[#This Row],[High Tol]]="","N/A",IFERROR(ABS(Table1[[#This Row],[Tol Span]]/Table1[[#This Row],[Error Span]]),"N/A"))</f>
        <v>N/A</v>
      </c>
      <c r="T480" s="1" t="str">
        <f>IF(OR(Table1[[#This Row],[Low Tol]]="",Table1[[#This Row],[High Tol]]=""),"Needs Analysis",IF(Table1[[#This Row],[Ratio]]&gt;=4,"Not Significant",IF(Table1[[#This Row],[Ratio]]&gt;=2,"Semi-Significant","Significant")))</f>
        <v>Needs Analysis</v>
      </c>
      <c r="W480" s="1">
        <f>IF(Table1[[#This Row],[Cal Type]]&lt;&gt;"ACCREDITED 17025 WITH UNCERTAINTIES",0,"")</f>
        <v>0</v>
      </c>
      <c r="X480" s="1" t="str">
        <f>IF(Table1[[#This Row],[DUT Read]]="","N/A",Table1[[#This Row],[Std Error]]+Table1[[#This Row],[DUT Read]]+Table1[[#This Row],[DUT Ucty]])</f>
        <v>N/A</v>
      </c>
      <c r="Y480" s="1" t="str">
        <f>IF(Table1[[#This Row],[Std Read]]="","N/A",Table1[[#This Row],[Std Read]]+Table1[[#This Row],[Std Ucty]])</f>
        <v>N/A</v>
      </c>
      <c r="Z4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0" s="1" t="str">
        <f>IF(Table1[[#This Row],[Spec Type]]="","N/A",Table1[[#This Row],[Spec Type]])</f>
        <v>±</v>
      </c>
      <c r="AC480" s="1" t="str">
        <f>IF(Table1[[#This Row],[Spec Type2]]="N/A","N/A",IF(AND(Table1[[#This Row],[DUT Adj Read]]&gt;=Table1[[#This Row],[Low Tol]],Table1[[#This Row],[DUT Adj Read]]&lt;=Table1[[#This Row],[High Tol]]),"Pass","Fail"))</f>
        <v>Fail</v>
      </c>
      <c r="AD480" s="1" t="str">
        <f>IF(AND(Table1[[#This Row],[Spec Type2]]="N/A",Table1[[#This Row],[DUT Adj Read]]="N/A",Table1[[#This Row],[Std Adj Read]]="N/A"),"N/A",IF(Table1[[#This Row],[DUT Adj Read]]="N/A",IF(Table1[[#This Row],[Std Adj Read]]&gt;Table1[[#This Row],[Low Tol]],"Pass","Fail"),IF(Table1[[#This Row],[DUT Adj Read]]&gt;Table1[[#This Row],[Low Tol]],"Pass","Fail")))</f>
        <v>Pass</v>
      </c>
      <c r="AE480" s="1" t="str">
        <f>IF(AND(Table1[[#This Row],[Spec Type2]]="N/A",Table1[[#This Row],[DUT Adj Read]]="N/A",Table1[[#This Row],[Std Adj Read]]="N/A"),"N/A",IF(Table1[[#This Row],[DUT Adj Read]]="N/A",IF(Table1[[#This Row],[Std Adj Read]]&lt;Table1[[#This Row],[High Tol]],"Pass","Fail"),IF(Table1[[#This Row],[DUT Adj Read]]&lt;Table1[[#This Row],[High Tol]],"Pass","Fail")))</f>
        <v>Fail</v>
      </c>
      <c r="AF480" s="1" t="str">
        <f>IF(AND(Table1[[#This Row],[Spec Type2]]="N/A",Table1[[#This Row],[DUT Adj Read]]="N/A",Table1[[#This Row],[Std Adj Read]]="N/A"),"N/A",IF(Table1[[#This Row],[DUT Adj Read]]="N/A",IF(Table1[[#This Row],[Std Adj Read]]&gt;=Table1[[#This Row],[Low Tol]],"Pass","Fail"),IF(Table1[[#This Row],[DUT Adj Read]]&gt;=Table1[[#This Row],[Low Tol]],"Pass","Fail")))</f>
        <v>Pass</v>
      </c>
      <c r="AG480" s="1" t="str">
        <f>IF(AND(Table1[[#This Row],[Spec Type2]]="N/A",Table1[[#This Row],[DUT Adj Read]]="N/A",Table1[[#This Row],[Std Adj Read]]="N/A"),"N/A",IF(Table1[[#This Row],[DUT Adj Read]]="N/A",IF(Table1[[#This Row],[Std Adj Read]]&lt;=Table1[[#This Row],[High Tol]],"Pass","Fail"),IF(Table1[[#This Row],[DUT Adj Read]]&lt;=Table1[[#This Row],[High Tol]],"Pass","Fail")))</f>
        <v>Fail</v>
      </c>
      <c r="AH4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0" s="1" t="b">
        <v>0</v>
      </c>
      <c r="AN480" s="1" t="b">
        <v>0</v>
      </c>
      <c r="AO480" s="1" t="b">
        <v>0</v>
      </c>
    </row>
    <row r="481" spans="1:41" x14ac:dyDescent="0.25">
      <c r="A481" s="10"/>
      <c r="B481" s="10"/>
      <c r="C481" s="10"/>
      <c r="D481" s="10"/>
      <c r="E481" s="10"/>
      <c r="F481" s="10"/>
      <c r="G481" s="10"/>
      <c r="H481" s="10"/>
      <c r="I481" s="1" t="str">
        <f t="shared" si="21"/>
        <v/>
      </c>
      <c r="J481" s="1" t="s">
        <v>35</v>
      </c>
      <c r="K481" s="1" t="str">
        <f t="shared" si="22"/>
        <v/>
      </c>
      <c r="L481" s="1" t="str">
        <f t="shared" si="23"/>
        <v/>
      </c>
      <c r="M481" s="1">
        <f>IF(OR(Table1[[#This Row],[Std Nom]]="",Table1[[#This Row],[Std Read]]=""),0,Table1[[#This Row],[Std Nom]]-Table1[[#This Row],[Std Read]])</f>
        <v>0</v>
      </c>
      <c r="N481" s="1">
        <f>IF(Calculations!$F$5="ACCREDITED 17025 WITH UNCERTAINTIES",$N$10,0)</f>
        <v>0</v>
      </c>
      <c r="O481" s="1" t="str">
        <f>IFERROR(Table1[[#This Row],[Std Nom]]-(_xlfn.XLOOKUP(Table1[[#This Row],[Manufacturer]]&amp;" "&amp;Table1[[#This Row],[Model]],Table13[MFR &amp; MDL],Table13[Tolerance % CW ],"")/100*Table1[[#This Row],[Std Nom]]),"")</f>
        <v/>
      </c>
      <c r="P481" s="1" t="str">
        <f>IFERROR(Table1[[#This Row],[Std Nom]]+(_xlfn.XLOOKUP(Table1[[#This Row],[Manufacturer]]&amp;" "&amp;Table1[[#This Row],[Model]],Table13[MFR &amp; MDL],Table13[Tolerance % CW ],"")/100*Table1[[#This Row],[Std Nom]]),"")</f>
        <v/>
      </c>
      <c r="Q481" s="1" t="e">
        <f>Table1[[#This Row],[High Tol]]-Table1[[#This Row],[Low Tol]]</f>
        <v>#VALUE!</v>
      </c>
      <c r="R481" s="1">
        <f>2*Table1[[#This Row],[Std Error]]</f>
        <v>0</v>
      </c>
      <c r="S481" s="1" t="str">
        <f>IF(Table1[[#This Row],[High Tol]]="","N/A",IFERROR(ABS(Table1[[#This Row],[Tol Span]]/Table1[[#This Row],[Error Span]]),"N/A"))</f>
        <v>N/A</v>
      </c>
      <c r="T481" s="1" t="str">
        <f>IF(OR(Table1[[#This Row],[Low Tol]]="",Table1[[#This Row],[High Tol]]=""),"Needs Analysis",IF(Table1[[#This Row],[Ratio]]&gt;=4,"Not Significant",IF(Table1[[#This Row],[Ratio]]&gt;=2,"Semi-Significant","Significant")))</f>
        <v>Needs Analysis</v>
      </c>
      <c r="W481" s="1">
        <f>IF(Table1[[#This Row],[Cal Type]]&lt;&gt;"ACCREDITED 17025 WITH UNCERTAINTIES",0,"")</f>
        <v>0</v>
      </c>
      <c r="X481" s="1" t="str">
        <f>IF(Table1[[#This Row],[DUT Read]]="","N/A",Table1[[#This Row],[Std Error]]+Table1[[#This Row],[DUT Read]]+Table1[[#This Row],[DUT Ucty]])</f>
        <v>N/A</v>
      </c>
      <c r="Y481" s="1" t="str">
        <f>IF(Table1[[#This Row],[Std Read]]="","N/A",Table1[[#This Row],[Std Read]]+Table1[[#This Row],[Std Ucty]])</f>
        <v>N/A</v>
      </c>
      <c r="Z4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1" s="1" t="str">
        <f>IF(Table1[[#This Row],[Spec Type]]="","N/A",Table1[[#This Row],[Spec Type]])</f>
        <v>±</v>
      </c>
      <c r="AC481" s="1" t="str">
        <f>IF(Table1[[#This Row],[Spec Type2]]="N/A","N/A",IF(AND(Table1[[#This Row],[DUT Adj Read]]&gt;=Table1[[#This Row],[Low Tol]],Table1[[#This Row],[DUT Adj Read]]&lt;=Table1[[#This Row],[High Tol]]),"Pass","Fail"))</f>
        <v>Fail</v>
      </c>
      <c r="AD481" s="1" t="str">
        <f>IF(AND(Table1[[#This Row],[Spec Type2]]="N/A",Table1[[#This Row],[DUT Adj Read]]="N/A",Table1[[#This Row],[Std Adj Read]]="N/A"),"N/A",IF(Table1[[#This Row],[DUT Adj Read]]="N/A",IF(Table1[[#This Row],[Std Adj Read]]&gt;Table1[[#This Row],[Low Tol]],"Pass","Fail"),IF(Table1[[#This Row],[DUT Adj Read]]&gt;Table1[[#This Row],[Low Tol]],"Pass","Fail")))</f>
        <v>Pass</v>
      </c>
      <c r="AE481" s="1" t="str">
        <f>IF(AND(Table1[[#This Row],[Spec Type2]]="N/A",Table1[[#This Row],[DUT Adj Read]]="N/A",Table1[[#This Row],[Std Adj Read]]="N/A"),"N/A",IF(Table1[[#This Row],[DUT Adj Read]]="N/A",IF(Table1[[#This Row],[Std Adj Read]]&lt;Table1[[#This Row],[High Tol]],"Pass","Fail"),IF(Table1[[#This Row],[DUT Adj Read]]&lt;Table1[[#This Row],[High Tol]],"Pass","Fail")))</f>
        <v>Fail</v>
      </c>
      <c r="AF481" s="1" t="str">
        <f>IF(AND(Table1[[#This Row],[Spec Type2]]="N/A",Table1[[#This Row],[DUT Adj Read]]="N/A",Table1[[#This Row],[Std Adj Read]]="N/A"),"N/A",IF(Table1[[#This Row],[DUT Adj Read]]="N/A",IF(Table1[[#This Row],[Std Adj Read]]&gt;=Table1[[#This Row],[Low Tol]],"Pass","Fail"),IF(Table1[[#This Row],[DUT Adj Read]]&gt;=Table1[[#This Row],[Low Tol]],"Pass","Fail")))</f>
        <v>Pass</v>
      </c>
      <c r="AG481" s="1" t="str">
        <f>IF(AND(Table1[[#This Row],[Spec Type2]]="N/A",Table1[[#This Row],[DUT Adj Read]]="N/A",Table1[[#This Row],[Std Adj Read]]="N/A"),"N/A",IF(Table1[[#This Row],[DUT Adj Read]]="N/A",IF(Table1[[#This Row],[Std Adj Read]]&lt;=Table1[[#This Row],[High Tol]],"Pass","Fail"),IF(Table1[[#This Row],[DUT Adj Read]]&lt;=Table1[[#This Row],[High Tol]],"Pass","Fail")))</f>
        <v>Fail</v>
      </c>
      <c r="AH4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1" s="1" t="b">
        <v>0</v>
      </c>
      <c r="AN481" s="1" t="b">
        <v>0</v>
      </c>
      <c r="AO481" s="1" t="b">
        <v>0</v>
      </c>
    </row>
    <row r="482" spans="1:41" x14ac:dyDescent="0.25">
      <c r="A482" s="10"/>
      <c r="B482" s="10"/>
      <c r="C482" s="10"/>
      <c r="D482" s="10"/>
      <c r="E482" s="10"/>
      <c r="F482" s="10"/>
      <c r="G482" s="10"/>
      <c r="H482" s="10"/>
      <c r="I482" s="1" t="str">
        <f t="shared" si="21"/>
        <v/>
      </c>
      <c r="J482" s="1" t="s">
        <v>35</v>
      </c>
      <c r="K482" s="1" t="str">
        <f t="shared" si="22"/>
        <v/>
      </c>
      <c r="L482" s="1" t="str">
        <f t="shared" si="23"/>
        <v/>
      </c>
      <c r="M482" s="1">
        <f>IF(OR(Table1[[#This Row],[Std Nom]]="",Table1[[#This Row],[Std Read]]=""),0,Table1[[#This Row],[Std Nom]]-Table1[[#This Row],[Std Read]])</f>
        <v>0</v>
      </c>
      <c r="N482" s="1">
        <f>IF(Calculations!$F$5="ACCREDITED 17025 WITH UNCERTAINTIES",$N$10,0)</f>
        <v>0</v>
      </c>
      <c r="O482" s="1" t="str">
        <f>IFERROR(Table1[[#This Row],[Std Nom]]-(_xlfn.XLOOKUP(Table1[[#This Row],[Manufacturer]]&amp;" "&amp;Table1[[#This Row],[Model]],Table13[MFR &amp; MDL],Table13[Tolerance % CW ],"")/100*Table1[[#This Row],[Std Nom]]),"")</f>
        <v/>
      </c>
      <c r="P482" s="1" t="str">
        <f>IFERROR(Table1[[#This Row],[Std Nom]]+(_xlfn.XLOOKUP(Table1[[#This Row],[Manufacturer]]&amp;" "&amp;Table1[[#This Row],[Model]],Table13[MFR &amp; MDL],Table13[Tolerance % CW ],"")/100*Table1[[#This Row],[Std Nom]]),"")</f>
        <v/>
      </c>
      <c r="Q482" s="1" t="e">
        <f>Table1[[#This Row],[High Tol]]-Table1[[#This Row],[Low Tol]]</f>
        <v>#VALUE!</v>
      </c>
      <c r="R482" s="1">
        <f>2*Table1[[#This Row],[Std Error]]</f>
        <v>0</v>
      </c>
      <c r="S482" s="1" t="str">
        <f>IF(Table1[[#This Row],[High Tol]]="","N/A",IFERROR(ABS(Table1[[#This Row],[Tol Span]]/Table1[[#This Row],[Error Span]]),"N/A"))</f>
        <v>N/A</v>
      </c>
      <c r="T482" s="1" t="str">
        <f>IF(OR(Table1[[#This Row],[Low Tol]]="",Table1[[#This Row],[High Tol]]=""),"Needs Analysis",IF(Table1[[#This Row],[Ratio]]&gt;=4,"Not Significant",IF(Table1[[#This Row],[Ratio]]&gt;=2,"Semi-Significant","Significant")))</f>
        <v>Needs Analysis</v>
      </c>
      <c r="W482" s="1">
        <f>IF(Table1[[#This Row],[Cal Type]]&lt;&gt;"ACCREDITED 17025 WITH UNCERTAINTIES",0,"")</f>
        <v>0</v>
      </c>
      <c r="X482" s="1" t="str">
        <f>IF(Table1[[#This Row],[DUT Read]]="","N/A",Table1[[#This Row],[Std Error]]+Table1[[#This Row],[DUT Read]]+Table1[[#This Row],[DUT Ucty]])</f>
        <v>N/A</v>
      </c>
      <c r="Y482" s="1" t="str">
        <f>IF(Table1[[#This Row],[Std Read]]="","N/A",Table1[[#This Row],[Std Read]]+Table1[[#This Row],[Std Ucty]])</f>
        <v>N/A</v>
      </c>
      <c r="Z4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2" s="1" t="str">
        <f>IF(Table1[[#This Row],[Spec Type]]="","N/A",Table1[[#This Row],[Spec Type]])</f>
        <v>±</v>
      </c>
      <c r="AC482" s="1" t="str">
        <f>IF(Table1[[#This Row],[Spec Type2]]="N/A","N/A",IF(AND(Table1[[#This Row],[DUT Adj Read]]&gt;=Table1[[#This Row],[Low Tol]],Table1[[#This Row],[DUT Adj Read]]&lt;=Table1[[#This Row],[High Tol]]),"Pass","Fail"))</f>
        <v>Fail</v>
      </c>
      <c r="AD482" s="1" t="str">
        <f>IF(AND(Table1[[#This Row],[Spec Type2]]="N/A",Table1[[#This Row],[DUT Adj Read]]="N/A",Table1[[#This Row],[Std Adj Read]]="N/A"),"N/A",IF(Table1[[#This Row],[DUT Adj Read]]="N/A",IF(Table1[[#This Row],[Std Adj Read]]&gt;Table1[[#This Row],[Low Tol]],"Pass","Fail"),IF(Table1[[#This Row],[DUT Adj Read]]&gt;Table1[[#This Row],[Low Tol]],"Pass","Fail")))</f>
        <v>Pass</v>
      </c>
      <c r="AE482" s="1" t="str">
        <f>IF(AND(Table1[[#This Row],[Spec Type2]]="N/A",Table1[[#This Row],[DUT Adj Read]]="N/A",Table1[[#This Row],[Std Adj Read]]="N/A"),"N/A",IF(Table1[[#This Row],[DUT Adj Read]]="N/A",IF(Table1[[#This Row],[Std Adj Read]]&lt;Table1[[#This Row],[High Tol]],"Pass","Fail"),IF(Table1[[#This Row],[DUT Adj Read]]&lt;Table1[[#This Row],[High Tol]],"Pass","Fail")))</f>
        <v>Fail</v>
      </c>
      <c r="AF482" s="1" t="str">
        <f>IF(AND(Table1[[#This Row],[Spec Type2]]="N/A",Table1[[#This Row],[DUT Adj Read]]="N/A",Table1[[#This Row],[Std Adj Read]]="N/A"),"N/A",IF(Table1[[#This Row],[DUT Adj Read]]="N/A",IF(Table1[[#This Row],[Std Adj Read]]&gt;=Table1[[#This Row],[Low Tol]],"Pass","Fail"),IF(Table1[[#This Row],[DUT Adj Read]]&gt;=Table1[[#This Row],[Low Tol]],"Pass","Fail")))</f>
        <v>Pass</v>
      </c>
      <c r="AG482" s="1" t="str">
        <f>IF(AND(Table1[[#This Row],[Spec Type2]]="N/A",Table1[[#This Row],[DUT Adj Read]]="N/A",Table1[[#This Row],[Std Adj Read]]="N/A"),"N/A",IF(Table1[[#This Row],[DUT Adj Read]]="N/A",IF(Table1[[#This Row],[Std Adj Read]]&lt;=Table1[[#This Row],[High Tol]],"Pass","Fail"),IF(Table1[[#This Row],[DUT Adj Read]]&lt;=Table1[[#This Row],[High Tol]],"Pass","Fail")))</f>
        <v>Fail</v>
      </c>
      <c r="AH4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2" s="1" t="b">
        <v>0</v>
      </c>
      <c r="AN482" s="1" t="b">
        <v>0</v>
      </c>
      <c r="AO482" s="1" t="b">
        <v>0</v>
      </c>
    </row>
    <row r="483" spans="1:41" x14ac:dyDescent="0.25">
      <c r="A483" s="10"/>
      <c r="B483" s="10"/>
      <c r="C483" s="10"/>
      <c r="D483" s="10"/>
      <c r="E483" s="10"/>
      <c r="F483" s="10"/>
      <c r="G483" s="10"/>
      <c r="H483" s="10"/>
      <c r="I483" s="1" t="str">
        <f t="shared" si="21"/>
        <v/>
      </c>
      <c r="J483" s="1" t="s">
        <v>35</v>
      </c>
      <c r="K483" s="1" t="str">
        <f t="shared" si="22"/>
        <v/>
      </c>
      <c r="L483" s="1" t="str">
        <f t="shared" si="23"/>
        <v/>
      </c>
      <c r="M483" s="1">
        <f>IF(OR(Table1[[#This Row],[Std Nom]]="",Table1[[#This Row],[Std Read]]=""),0,Table1[[#This Row],[Std Nom]]-Table1[[#This Row],[Std Read]])</f>
        <v>0</v>
      </c>
      <c r="N483" s="1">
        <f>IF(Calculations!$F$5="ACCREDITED 17025 WITH UNCERTAINTIES",$N$10,0)</f>
        <v>0</v>
      </c>
      <c r="O483" s="1" t="str">
        <f>IFERROR(Table1[[#This Row],[Std Nom]]-(_xlfn.XLOOKUP(Table1[[#This Row],[Manufacturer]]&amp;" "&amp;Table1[[#This Row],[Model]],Table13[MFR &amp; MDL],Table13[Tolerance % CW ],"")/100*Table1[[#This Row],[Std Nom]]),"")</f>
        <v/>
      </c>
      <c r="P483" s="1" t="str">
        <f>IFERROR(Table1[[#This Row],[Std Nom]]+(_xlfn.XLOOKUP(Table1[[#This Row],[Manufacturer]]&amp;" "&amp;Table1[[#This Row],[Model]],Table13[MFR &amp; MDL],Table13[Tolerance % CW ],"")/100*Table1[[#This Row],[Std Nom]]),"")</f>
        <v/>
      </c>
      <c r="Q483" s="1" t="e">
        <f>Table1[[#This Row],[High Tol]]-Table1[[#This Row],[Low Tol]]</f>
        <v>#VALUE!</v>
      </c>
      <c r="R483" s="1">
        <f>2*Table1[[#This Row],[Std Error]]</f>
        <v>0</v>
      </c>
      <c r="S483" s="1" t="str">
        <f>IF(Table1[[#This Row],[High Tol]]="","N/A",IFERROR(ABS(Table1[[#This Row],[Tol Span]]/Table1[[#This Row],[Error Span]]),"N/A"))</f>
        <v>N/A</v>
      </c>
      <c r="T483" s="1" t="str">
        <f>IF(OR(Table1[[#This Row],[Low Tol]]="",Table1[[#This Row],[High Tol]]=""),"Needs Analysis",IF(Table1[[#This Row],[Ratio]]&gt;=4,"Not Significant",IF(Table1[[#This Row],[Ratio]]&gt;=2,"Semi-Significant","Significant")))</f>
        <v>Needs Analysis</v>
      </c>
      <c r="W483" s="1">
        <f>IF(Table1[[#This Row],[Cal Type]]&lt;&gt;"ACCREDITED 17025 WITH UNCERTAINTIES",0,"")</f>
        <v>0</v>
      </c>
      <c r="X483" s="1" t="str">
        <f>IF(Table1[[#This Row],[DUT Read]]="","N/A",Table1[[#This Row],[Std Error]]+Table1[[#This Row],[DUT Read]]+Table1[[#This Row],[DUT Ucty]])</f>
        <v>N/A</v>
      </c>
      <c r="Y483" s="1" t="str">
        <f>IF(Table1[[#This Row],[Std Read]]="","N/A",Table1[[#This Row],[Std Read]]+Table1[[#This Row],[Std Ucty]])</f>
        <v>N/A</v>
      </c>
      <c r="Z4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3" s="1" t="str">
        <f>IF(Table1[[#This Row],[Spec Type]]="","N/A",Table1[[#This Row],[Spec Type]])</f>
        <v>±</v>
      </c>
      <c r="AC483" s="1" t="str">
        <f>IF(Table1[[#This Row],[Spec Type2]]="N/A","N/A",IF(AND(Table1[[#This Row],[DUT Adj Read]]&gt;=Table1[[#This Row],[Low Tol]],Table1[[#This Row],[DUT Adj Read]]&lt;=Table1[[#This Row],[High Tol]]),"Pass","Fail"))</f>
        <v>Fail</v>
      </c>
      <c r="AD483" s="1" t="str">
        <f>IF(AND(Table1[[#This Row],[Spec Type2]]="N/A",Table1[[#This Row],[DUT Adj Read]]="N/A",Table1[[#This Row],[Std Adj Read]]="N/A"),"N/A",IF(Table1[[#This Row],[DUT Adj Read]]="N/A",IF(Table1[[#This Row],[Std Adj Read]]&gt;Table1[[#This Row],[Low Tol]],"Pass","Fail"),IF(Table1[[#This Row],[DUT Adj Read]]&gt;Table1[[#This Row],[Low Tol]],"Pass","Fail")))</f>
        <v>Pass</v>
      </c>
      <c r="AE483" s="1" t="str">
        <f>IF(AND(Table1[[#This Row],[Spec Type2]]="N/A",Table1[[#This Row],[DUT Adj Read]]="N/A",Table1[[#This Row],[Std Adj Read]]="N/A"),"N/A",IF(Table1[[#This Row],[DUT Adj Read]]="N/A",IF(Table1[[#This Row],[Std Adj Read]]&lt;Table1[[#This Row],[High Tol]],"Pass","Fail"),IF(Table1[[#This Row],[DUT Adj Read]]&lt;Table1[[#This Row],[High Tol]],"Pass","Fail")))</f>
        <v>Fail</v>
      </c>
      <c r="AF483" s="1" t="str">
        <f>IF(AND(Table1[[#This Row],[Spec Type2]]="N/A",Table1[[#This Row],[DUT Adj Read]]="N/A",Table1[[#This Row],[Std Adj Read]]="N/A"),"N/A",IF(Table1[[#This Row],[DUT Adj Read]]="N/A",IF(Table1[[#This Row],[Std Adj Read]]&gt;=Table1[[#This Row],[Low Tol]],"Pass","Fail"),IF(Table1[[#This Row],[DUT Adj Read]]&gt;=Table1[[#This Row],[Low Tol]],"Pass","Fail")))</f>
        <v>Pass</v>
      </c>
      <c r="AG483" s="1" t="str">
        <f>IF(AND(Table1[[#This Row],[Spec Type2]]="N/A",Table1[[#This Row],[DUT Adj Read]]="N/A",Table1[[#This Row],[Std Adj Read]]="N/A"),"N/A",IF(Table1[[#This Row],[DUT Adj Read]]="N/A",IF(Table1[[#This Row],[Std Adj Read]]&lt;=Table1[[#This Row],[High Tol]],"Pass","Fail"),IF(Table1[[#This Row],[DUT Adj Read]]&lt;=Table1[[#This Row],[High Tol]],"Pass","Fail")))</f>
        <v>Fail</v>
      </c>
      <c r="AH4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3" s="1" t="b">
        <v>0</v>
      </c>
      <c r="AN483" s="1" t="b">
        <v>0</v>
      </c>
      <c r="AO483" s="1" t="b">
        <v>0</v>
      </c>
    </row>
    <row r="484" spans="1:41" x14ac:dyDescent="0.25">
      <c r="A484" s="10"/>
      <c r="B484" s="10"/>
      <c r="C484" s="10"/>
      <c r="D484" s="10"/>
      <c r="E484" s="10"/>
      <c r="F484" s="10"/>
      <c r="G484" s="10"/>
      <c r="H484" s="10"/>
      <c r="I484" s="1" t="str">
        <f t="shared" si="21"/>
        <v/>
      </c>
      <c r="J484" s="1" t="s">
        <v>35</v>
      </c>
      <c r="K484" s="1" t="str">
        <f t="shared" si="22"/>
        <v/>
      </c>
      <c r="L484" s="1" t="str">
        <f t="shared" si="23"/>
        <v/>
      </c>
      <c r="M484" s="1">
        <f>IF(OR(Table1[[#This Row],[Std Nom]]="",Table1[[#This Row],[Std Read]]=""),0,Table1[[#This Row],[Std Nom]]-Table1[[#This Row],[Std Read]])</f>
        <v>0</v>
      </c>
      <c r="N484" s="1">
        <f>IF(Calculations!$F$5="ACCREDITED 17025 WITH UNCERTAINTIES",$N$10,0)</f>
        <v>0</v>
      </c>
      <c r="O484" s="1" t="str">
        <f>IFERROR(Table1[[#This Row],[Std Nom]]-(_xlfn.XLOOKUP(Table1[[#This Row],[Manufacturer]]&amp;" "&amp;Table1[[#This Row],[Model]],Table13[MFR &amp; MDL],Table13[Tolerance % CW ],"")/100*Table1[[#This Row],[Std Nom]]),"")</f>
        <v/>
      </c>
      <c r="P484" s="1" t="str">
        <f>IFERROR(Table1[[#This Row],[Std Nom]]+(_xlfn.XLOOKUP(Table1[[#This Row],[Manufacturer]]&amp;" "&amp;Table1[[#This Row],[Model]],Table13[MFR &amp; MDL],Table13[Tolerance % CW ],"")/100*Table1[[#This Row],[Std Nom]]),"")</f>
        <v/>
      </c>
      <c r="Q484" s="1" t="e">
        <f>Table1[[#This Row],[High Tol]]-Table1[[#This Row],[Low Tol]]</f>
        <v>#VALUE!</v>
      </c>
      <c r="R484" s="1">
        <f>2*Table1[[#This Row],[Std Error]]</f>
        <v>0</v>
      </c>
      <c r="S484" s="1" t="str">
        <f>IF(Table1[[#This Row],[High Tol]]="","N/A",IFERROR(ABS(Table1[[#This Row],[Tol Span]]/Table1[[#This Row],[Error Span]]),"N/A"))</f>
        <v>N/A</v>
      </c>
      <c r="T484" s="1" t="str">
        <f>IF(OR(Table1[[#This Row],[Low Tol]]="",Table1[[#This Row],[High Tol]]=""),"Needs Analysis",IF(Table1[[#This Row],[Ratio]]&gt;=4,"Not Significant",IF(Table1[[#This Row],[Ratio]]&gt;=2,"Semi-Significant","Significant")))</f>
        <v>Needs Analysis</v>
      </c>
      <c r="W484" s="1">
        <f>IF(Table1[[#This Row],[Cal Type]]&lt;&gt;"ACCREDITED 17025 WITH UNCERTAINTIES",0,"")</f>
        <v>0</v>
      </c>
      <c r="X484" s="1" t="str">
        <f>IF(Table1[[#This Row],[DUT Read]]="","N/A",Table1[[#This Row],[Std Error]]+Table1[[#This Row],[DUT Read]]+Table1[[#This Row],[DUT Ucty]])</f>
        <v>N/A</v>
      </c>
      <c r="Y484" s="1" t="str">
        <f>IF(Table1[[#This Row],[Std Read]]="","N/A",Table1[[#This Row],[Std Read]]+Table1[[#This Row],[Std Ucty]])</f>
        <v>N/A</v>
      </c>
      <c r="Z4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4" s="1" t="str">
        <f>IF(Table1[[#This Row],[Spec Type]]="","N/A",Table1[[#This Row],[Spec Type]])</f>
        <v>±</v>
      </c>
      <c r="AC484" s="1" t="str">
        <f>IF(Table1[[#This Row],[Spec Type2]]="N/A","N/A",IF(AND(Table1[[#This Row],[DUT Adj Read]]&gt;=Table1[[#This Row],[Low Tol]],Table1[[#This Row],[DUT Adj Read]]&lt;=Table1[[#This Row],[High Tol]]),"Pass","Fail"))</f>
        <v>Fail</v>
      </c>
      <c r="AD484" s="1" t="str">
        <f>IF(AND(Table1[[#This Row],[Spec Type2]]="N/A",Table1[[#This Row],[DUT Adj Read]]="N/A",Table1[[#This Row],[Std Adj Read]]="N/A"),"N/A",IF(Table1[[#This Row],[DUT Adj Read]]="N/A",IF(Table1[[#This Row],[Std Adj Read]]&gt;Table1[[#This Row],[Low Tol]],"Pass","Fail"),IF(Table1[[#This Row],[DUT Adj Read]]&gt;Table1[[#This Row],[Low Tol]],"Pass","Fail")))</f>
        <v>Pass</v>
      </c>
      <c r="AE484" s="1" t="str">
        <f>IF(AND(Table1[[#This Row],[Spec Type2]]="N/A",Table1[[#This Row],[DUT Adj Read]]="N/A",Table1[[#This Row],[Std Adj Read]]="N/A"),"N/A",IF(Table1[[#This Row],[DUT Adj Read]]="N/A",IF(Table1[[#This Row],[Std Adj Read]]&lt;Table1[[#This Row],[High Tol]],"Pass","Fail"),IF(Table1[[#This Row],[DUT Adj Read]]&lt;Table1[[#This Row],[High Tol]],"Pass","Fail")))</f>
        <v>Fail</v>
      </c>
      <c r="AF484" s="1" t="str">
        <f>IF(AND(Table1[[#This Row],[Spec Type2]]="N/A",Table1[[#This Row],[DUT Adj Read]]="N/A",Table1[[#This Row],[Std Adj Read]]="N/A"),"N/A",IF(Table1[[#This Row],[DUT Adj Read]]="N/A",IF(Table1[[#This Row],[Std Adj Read]]&gt;=Table1[[#This Row],[Low Tol]],"Pass","Fail"),IF(Table1[[#This Row],[DUT Adj Read]]&gt;=Table1[[#This Row],[Low Tol]],"Pass","Fail")))</f>
        <v>Pass</v>
      </c>
      <c r="AG484" s="1" t="str">
        <f>IF(AND(Table1[[#This Row],[Spec Type2]]="N/A",Table1[[#This Row],[DUT Adj Read]]="N/A",Table1[[#This Row],[Std Adj Read]]="N/A"),"N/A",IF(Table1[[#This Row],[DUT Adj Read]]="N/A",IF(Table1[[#This Row],[Std Adj Read]]&lt;=Table1[[#This Row],[High Tol]],"Pass","Fail"),IF(Table1[[#This Row],[DUT Adj Read]]&lt;=Table1[[#This Row],[High Tol]],"Pass","Fail")))</f>
        <v>Fail</v>
      </c>
      <c r="AH4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4" s="1" t="b">
        <v>0</v>
      </c>
      <c r="AN484" s="1" t="b">
        <v>0</v>
      </c>
      <c r="AO484" s="1" t="b">
        <v>0</v>
      </c>
    </row>
    <row r="485" spans="1:41" x14ac:dyDescent="0.25">
      <c r="A485" s="10"/>
      <c r="B485" s="10"/>
      <c r="C485" s="10"/>
      <c r="D485" s="10"/>
      <c r="E485" s="10"/>
      <c r="F485" s="10"/>
      <c r="G485" s="10"/>
      <c r="H485" s="10"/>
      <c r="I485" s="1" t="str">
        <f t="shared" si="21"/>
        <v/>
      </c>
      <c r="J485" s="1" t="s">
        <v>35</v>
      </c>
      <c r="K485" s="1" t="str">
        <f t="shared" si="22"/>
        <v/>
      </c>
      <c r="L485" s="1" t="str">
        <f t="shared" si="23"/>
        <v/>
      </c>
      <c r="M485" s="1">
        <f>IF(OR(Table1[[#This Row],[Std Nom]]="",Table1[[#This Row],[Std Read]]=""),0,Table1[[#This Row],[Std Nom]]-Table1[[#This Row],[Std Read]])</f>
        <v>0</v>
      </c>
      <c r="N485" s="1">
        <f>IF(Calculations!$F$5="ACCREDITED 17025 WITH UNCERTAINTIES",$N$10,0)</f>
        <v>0</v>
      </c>
      <c r="O485" s="1" t="str">
        <f>IFERROR(Table1[[#This Row],[Std Nom]]-(_xlfn.XLOOKUP(Table1[[#This Row],[Manufacturer]]&amp;" "&amp;Table1[[#This Row],[Model]],Table13[MFR &amp; MDL],Table13[Tolerance % CW ],"")/100*Table1[[#This Row],[Std Nom]]),"")</f>
        <v/>
      </c>
      <c r="P485" s="1" t="str">
        <f>IFERROR(Table1[[#This Row],[Std Nom]]+(_xlfn.XLOOKUP(Table1[[#This Row],[Manufacturer]]&amp;" "&amp;Table1[[#This Row],[Model]],Table13[MFR &amp; MDL],Table13[Tolerance % CW ],"")/100*Table1[[#This Row],[Std Nom]]),"")</f>
        <v/>
      </c>
      <c r="Q485" s="1" t="e">
        <f>Table1[[#This Row],[High Tol]]-Table1[[#This Row],[Low Tol]]</f>
        <v>#VALUE!</v>
      </c>
      <c r="R485" s="1">
        <f>2*Table1[[#This Row],[Std Error]]</f>
        <v>0</v>
      </c>
      <c r="S485" s="1" t="str">
        <f>IF(Table1[[#This Row],[High Tol]]="","N/A",IFERROR(ABS(Table1[[#This Row],[Tol Span]]/Table1[[#This Row],[Error Span]]),"N/A"))</f>
        <v>N/A</v>
      </c>
      <c r="T485" s="1" t="str">
        <f>IF(OR(Table1[[#This Row],[Low Tol]]="",Table1[[#This Row],[High Tol]]=""),"Needs Analysis",IF(Table1[[#This Row],[Ratio]]&gt;=4,"Not Significant",IF(Table1[[#This Row],[Ratio]]&gt;=2,"Semi-Significant","Significant")))</f>
        <v>Needs Analysis</v>
      </c>
      <c r="W485" s="1">
        <f>IF(Table1[[#This Row],[Cal Type]]&lt;&gt;"ACCREDITED 17025 WITH UNCERTAINTIES",0,"")</f>
        <v>0</v>
      </c>
      <c r="X485" s="1" t="str">
        <f>IF(Table1[[#This Row],[DUT Read]]="","N/A",Table1[[#This Row],[Std Error]]+Table1[[#This Row],[DUT Read]]+Table1[[#This Row],[DUT Ucty]])</f>
        <v>N/A</v>
      </c>
      <c r="Y485" s="1" t="str">
        <f>IF(Table1[[#This Row],[Std Read]]="","N/A",Table1[[#This Row],[Std Read]]+Table1[[#This Row],[Std Ucty]])</f>
        <v>N/A</v>
      </c>
      <c r="Z4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5" s="1" t="str">
        <f>IF(Table1[[#This Row],[Spec Type]]="","N/A",Table1[[#This Row],[Spec Type]])</f>
        <v>±</v>
      </c>
      <c r="AC485" s="1" t="str">
        <f>IF(Table1[[#This Row],[Spec Type2]]="N/A","N/A",IF(AND(Table1[[#This Row],[DUT Adj Read]]&gt;=Table1[[#This Row],[Low Tol]],Table1[[#This Row],[DUT Adj Read]]&lt;=Table1[[#This Row],[High Tol]]),"Pass","Fail"))</f>
        <v>Fail</v>
      </c>
      <c r="AD485" s="1" t="str">
        <f>IF(AND(Table1[[#This Row],[Spec Type2]]="N/A",Table1[[#This Row],[DUT Adj Read]]="N/A",Table1[[#This Row],[Std Adj Read]]="N/A"),"N/A",IF(Table1[[#This Row],[DUT Adj Read]]="N/A",IF(Table1[[#This Row],[Std Adj Read]]&gt;Table1[[#This Row],[Low Tol]],"Pass","Fail"),IF(Table1[[#This Row],[DUT Adj Read]]&gt;Table1[[#This Row],[Low Tol]],"Pass","Fail")))</f>
        <v>Pass</v>
      </c>
      <c r="AE485" s="1" t="str">
        <f>IF(AND(Table1[[#This Row],[Spec Type2]]="N/A",Table1[[#This Row],[DUT Adj Read]]="N/A",Table1[[#This Row],[Std Adj Read]]="N/A"),"N/A",IF(Table1[[#This Row],[DUT Adj Read]]="N/A",IF(Table1[[#This Row],[Std Adj Read]]&lt;Table1[[#This Row],[High Tol]],"Pass","Fail"),IF(Table1[[#This Row],[DUT Adj Read]]&lt;Table1[[#This Row],[High Tol]],"Pass","Fail")))</f>
        <v>Fail</v>
      </c>
      <c r="AF485" s="1" t="str">
        <f>IF(AND(Table1[[#This Row],[Spec Type2]]="N/A",Table1[[#This Row],[DUT Adj Read]]="N/A",Table1[[#This Row],[Std Adj Read]]="N/A"),"N/A",IF(Table1[[#This Row],[DUT Adj Read]]="N/A",IF(Table1[[#This Row],[Std Adj Read]]&gt;=Table1[[#This Row],[Low Tol]],"Pass","Fail"),IF(Table1[[#This Row],[DUT Adj Read]]&gt;=Table1[[#This Row],[Low Tol]],"Pass","Fail")))</f>
        <v>Pass</v>
      </c>
      <c r="AG485" s="1" t="str">
        <f>IF(AND(Table1[[#This Row],[Spec Type2]]="N/A",Table1[[#This Row],[DUT Adj Read]]="N/A",Table1[[#This Row],[Std Adj Read]]="N/A"),"N/A",IF(Table1[[#This Row],[DUT Adj Read]]="N/A",IF(Table1[[#This Row],[Std Adj Read]]&lt;=Table1[[#This Row],[High Tol]],"Pass","Fail"),IF(Table1[[#This Row],[DUT Adj Read]]&lt;=Table1[[#This Row],[High Tol]],"Pass","Fail")))</f>
        <v>Fail</v>
      </c>
      <c r="AH4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5" s="1" t="b">
        <v>0</v>
      </c>
      <c r="AN485" s="1" t="b">
        <v>0</v>
      </c>
      <c r="AO485" s="1" t="b">
        <v>0</v>
      </c>
    </row>
    <row r="486" spans="1:41" x14ac:dyDescent="0.25">
      <c r="A486" s="10"/>
      <c r="B486" s="10"/>
      <c r="C486" s="10"/>
      <c r="D486" s="10"/>
      <c r="E486" s="10"/>
      <c r="F486" s="10"/>
      <c r="G486" s="10"/>
      <c r="H486" s="10"/>
      <c r="I486" s="1" t="str">
        <f t="shared" si="21"/>
        <v/>
      </c>
      <c r="J486" s="1" t="s">
        <v>35</v>
      </c>
      <c r="K486" s="1" t="str">
        <f t="shared" si="22"/>
        <v/>
      </c>
      <c r="L486" s="1" t="str">
        <f t="shared" si="23"/>
        <v/>
      </c>
      <c r="M486" s="1">
        <f>IF(OR(Table1[[#This Row],[Std Nom]]="",Table1[[#This Row],[Std Read]]=""),0,Table1[[#This Row],[Std Nom]]-Table1[[#This Row],[Std Read]])</f>
        <v>0</v>
      </c>
      <c r="N486" s="1">
        <f>IF(Calculations!$F$5="ACCREDITED 17025 WITH UNCERTAINTIES",$N$10,0)</f>
        <v>0</v>
      </c>
      <c r="O486" s="1" t="str">
        <f>IFERROR(Table1[[#This Row],[Std Nom]]-(_xlfn.XLOOKUP(Table1[[#This Row],[Manufacturer]]&amp;" "&amp;Table1[[#This Row],[Model]],Table13[MFR &amp; MDL],Table13[Tolerance % CW ],"")/100*Table1[[#This Row],[Std Nom]]),"")</f>
        <v/>
      </c>
      <c r="P486" s="1" t="str">
        <f>IFERROR(Table1[[#This Row],[Std Nom]]+(_xlfn.XLOOKUP(Table1[[#This Row],[Manufacturer]]&amp;" "&amp;Table1[[#This Row],[Model]],Table13[MFR &amp; MDL],Table13[Tolerance % CW ],"")/100*Table1[[#This Row],[Std Nom]]),"")</f>
        <v/>
      </c>
      <c r="Q486" s="1" t="e">
        <f>Table1[[#This Row],[High Tol]]-Table1[[#This Row],[Low Tol]]</f>
        <v>#VALUE!</v>
      </c>
      <c r="R486" s="1">
        <f>2*Table1[[#This Row],[Std Error]]</f>
        <v>0</v>
      </c>
      <c r="S486" s="1" t="str">
        <f>IF(Table1[[#This Row],[High Tol]]="","N/A",IFERROR(ABS(Table1[[#This Row],[Tol Span]]/Table1[[#This Row],[Error Span]]),"N/A"))</f>
        <v>N/A</v>
      </c>
      <c r="T486" s="1" t="str">
        <f>IF(OR(Table1[[#This Row],[Low Tol]]="",Table1[[#This Row],[High Tol]]=""),"Needs Analysis",IF(Table1[[#This Row],[Ratio]]&gt;=4,"Not Significant",IF(Table1[[#This Row],[Ratio]]&gt;=2,"Semi-Significant","Significant")))</f>
        <v>Needs Analysis</v>
      </c>
      <c r="W486" s="1">
        <f>IF(Table1[[#This Row],[Cal Type]]&lt;&gt;"ACCREDITED 17025 WITH UNCERTAINTIES",0,"")</f>
        <v>0</v>
      </c>
      <c r="X486" s="1" t="str">
        <f>IF(Table1[[#This Row],[DUT Read]]="","N/A",Table1[[#This Row],[Std Error]]+Table1[[#This Row],[DUT Read]]+Table1[[#This Row],[DUT Ucty]])</f>
        <v>N/A</v>
      </c>
      <c r="Y486" s="1" t="str">
        <f>IF(Table1[[#This Row],[Std Read]]="","N/A",Table1[[#This Row],[Std Read]]+Table1[[#This Row],[Std Ucty]])</f>
        <v>N/A</v>
      </c>
      <c r="Z4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6" s="1" t="str">
        <f>IF(Table1[[#This Row],[Spec Type]]="","N/A",Table1[[#This Row],[Spec Type]])</f>
        <v>±</v>
      </c>
      <c r="AC486" s="1" t="str">
        <f>IF(Table1[[#This Row],[Spec Type2]]="N/A","N/A",IF(AND(Table1[[#This Row],[DUT Adj Read]]&gt;=Table1[[#This Row],[Low Tol]],Table1[[#This Row],[DUT Adj Read]]&lt;=Table1[[#This Row],[High Tol]]),"Pass","Fail"))</f>
        <v>Fail</v>
      </c>
      <c r="AD486" s="1" t="str">
        <f>IF(AND(Table1[[#This Row],[Spec Type2]]="N/A",Table1[[#This Row],[DUT Adj Read]]="N/A",Table1[[#This Row],[Std Adj Read]]="N/A"),"N/A",IF(Table1[[#This Row],[DUT Adj Read]]="N/A",IF(Table1[[#This Row],[Std Adj Read]]&gt;Table1[[#This Row],[Low Tol]],"Pass","Fail"),IF(Table1[[#This Row],[DUT Adj Read]]&gt;Table1[[#This Row],[Low Tol]],"Pass","Fail")))</f>
        <v>Pass</v>
      </c>
      <c r="AE486" s="1" t="str">
        <f>IF(AND(Table1[[#This Row],[Spec Type2]]="N/A",Table1[[#This Row],[DUT Adj Read]]="N/A",Table1[[#This Row],[Std Adj Read]]="N/A"),"N/A",IF(Table1[[#This Row],[DUT Adj Read]]="N/A",IF(Table1[[#This Row],[Std Adj Read]]&lt;Table1[[#This Row],[High Tol]],"Pass","Fail"),IF(Table1[[#This Row],[DUT Adj Read]]&lt;Table1[[#This Row],[High Tol]],"Pass","Fail")))</f>
        <v>Fail</v>
      </c>
      <c r="AF486" s="1" t="str">
        <f>IF(AND(Table1[[#This Row],[Spec Type2]]="N/A",Table1[[#This Row],[DUT Adj Read]]="N/A",Table1[[#This Row],[Std Adj Read]]="N/A"),"N/A",IF(Table1[[#This Row],[DUT Adj Read]]="N/A",IF(Table1[[#This Row],[Std Adj Read]]&gt;=Table1[[#This Row],[Low Tol]],"Pass","Fail"),IF(Table1[[#This Row],[DUT Adj Read]]&gt;=Table1[[#This Row],[Low Tol]],"Pass","Fail")))</f>
        <v>Pass</v>
      </c>
      <c r="AG486" s="1" t="str">
        <f>IF(AND(Table1[[#This Row],[Spec Type2]]="N/A",Table1[[#This Row],[DUT Adj Read]]="N/A",Table1[[#This Row],[Std Adj Read]]="N/A"),"N/A",IF(Table1[[#This Row],[DUT Adj Read]]="N/A",IF(Table1[[#This Row],[Std Adj Read]]&lt;=Table1[[#This Row],[High Tol]],"Pass","Fail"),IF(Table1[[#This Row],[DUT Adj Read]]&lt;=Table1[[#This Row],[High Tol]],"Pass","Fail")))</f>
        <v>Fail</v>
      </c>
      <c r="AH4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6" s="1" t="b">
        <v>0</v>
      </c>
      <c r="AN486" s="1" t="b">
        <v>0</v>
      </c>
      <c r="AO486" s="1" t="b">
        <v>0</v>
      </c>
    </row>
    <row r="487" spans="1:41" x14ac:dyDescent="0.25">
      <c r="A487" s="10"/>
      <c r="B487" s="10"/>
      <c r="C487" s="10"/>
      <c r="D487" s="10"/>
      <c r="E487" s="10"/>
      <c r="F487" s="10"/>
      <c r="G487" s="10"/>
      <c r="H487" s="10"/>
      <c r="I487" s="1" t="str">
        <f t="shared" si="21"/>
        <v/>
      </c>
      <c r="J487" s="1" t="s">
        <v>35</v>
      </c>
      <c r="K487" s="1" t="str">
        <f t="shared" si="22"/>
        <v/>
      </c>
      <c r="L487" s="1" t="str">
        <f t="shared" si="23"/>
        <v/>
      </c>
      <c r="M487" s="1">
        <f>IF(OR(Table1[[#This Row],[Std Nom]]="",Table1[[#This Row],[Std Read]]=""),0,Table1[[#This Row],[Std Nom]]-Table1[[#This Row],[Std Read]])</f>
        <v>0</v>
      </c>
      <c r="N487" s="1">
        <f>IF(Calculations!$F$5="ACCREDITED 17025 WITH UNCERTAINTIES",$N$10,0)</f>
        <v>0</v>
      </c>
      <c r="O487" s="1" t="str">
        <f>IFERROR(Table1[[#This Row],[Std Nom]]-(_xlfn.XLOOKUP(Table1[[#This Row],[Manufacturer]]&amp;" "&amp;Table1[[#This Row],[Model]],Table13[MFR &amp; MDL],Table13[Tolerance % CW ],"")/100*Table1[[#This Row],[Std Nom]]),"")</f>
        <v/>
      </c>
      <c r="P487" s="1" t="str">
        <f>IFERROR(Table1[[#This Row],[Std Nom]]+(_xlfn.XLOOKUP(Table1[[#This Row],[Manufacturer]]&amp;" "&amp;Table1[[#This Row],[Model]],Table13[MFR &amp; MDL],Table13[Tolerance % CW ],"")/100*Table1[[#This Row],[Std Nom]]),"")</f>
        <v/>
      </c>
      <c r="Q487" s="1" t="e">
        <f>Table1[[#This Row],[High Tol]]-Table1[[#This Row],[Low Tol]]</f>
        <v>#VALUE!</v>
      </c>
      <c r="R487" s="1">
        <f>2*Table1[[#This Row],[Std Error]]</f>
        <v>0</v>
      </c>
      <c r="S487" s="1" t="str">
        <f>IF(Table1[[#This Row],[High Tol]]="","N/A",IFERROR(ABS(Table1[[#This Row],[Tol Span]]/Table1[[#This Row],[Error Span]]),"N/A"))</f>
        <v>N/A</v>
      </c>
      <c r="T487" s="1" t="str">
        <f>IF(OR(Table1[[#This Row],[Low Tol]]="",Table1[[#This Row],[High Tol]]=""),"Needs Analysis",IF(Table1[[#This Row],[Ratio]]&gt;=4,"Not Significant",IF(Table1[[#This Row],[Ratio]]&gt;=2,"Semi-Significant","Significant")))</f>
        <v>Needs Analysis</v>
      </c>
      <c r="W487" s="1">
        <f>IF(Table1[[#This Row],[Cal Type]]&lt;&gt;"ACCREDITED 17025 WITH UNCERTAINTIES",0,"")</f>
        <v>0</v>
      </c>
      <c r="X487" s="1" t="str">
        <f>IF(Table1[[#This Row],[DUT Read]]="","N/A",Table1[[#This Row],[Std Error]]+Table1[[#This Row],[DUT Read]]+Table1[[#This Row],[DUT Ucty]])</f>
        <v>N/A</v>
      </c>
      <c r="Y487" s="1" t="str">
        <f>IF(Table1[[#This Row],[Std Read]]="","N/A",Table1[[#This Row],[Std Read]]+Table1[[#This Row],[Std Ucty]])</f>
        <v>N/A</v>
      </c>
      <c r="Z4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7" s="1" t="str">
        <f>IF(Table1[[#This Row],[Spec Type]]="","N/A",Table1[[#This Row],[Spec Type]])</f>
        <v>±</v>
      </c>
      <c r="AC487" s="1" t="str">
        <f>IF(Table1[[#This Row],[Spec Type2]]="N/A","N/A",IF(AND(Table1[[#This Row],[DUT Adj Read]]&gt;=Table1[[#This Row],[Low Tol]],Table1[[#This Row],[DUT Adj Read]]&lt;=Table1[[#This Row],[High Tol]]),"Pass","Fail"))</f>
        <v>Fail</v>
      </c>
      <c r="AD487" s="1" t="str">
        <f>IF(AND(Table1[[#This Row],[Spec Type2]]="N/A",Table1[[#This Row],[DUT Adj Read]]="N/A",Table1[[#This Row],[Std Adj Read]]="N/A"),"N/A",IF(Table1[[#This Row],[DUT Adj Read]]="N/A",IF(Table1[[#This Row],[Std Adj Read]]&gt;Table1[[#This Row],[Low Tol]],"Pass","Fail"),IF(Table1[[#This Row],[DUT Adj Read]]&gt;Table1[[#This Row],[Low Tol]],"Pass","Fail")))</f>
        <v>Pass</v>
      </c>
      <c r="AE487" s="1" t="str">
        <f>IF(AND(Table1[[#This Row],[Spec Type2]]="N/A",Table1[[#This Row],[DUT Adj Read]]="N/A",Table1[[#This Row],[Std Adj Read]]="N/A"),"N/A",IF(Table1[[#This Row],[DUT Adj Read]]="N/A",IF(Table1[[#This Row],[Std Adj Read]]&lt;Table1[[#This Row],[High Tol]],"Pass","Fail"),IF(Table1[[#This Row],[DUT Adj Read]]&lt;Table1[[#This Row],[High Tol]],"Pass","Fail")))</f>
        <v>Fail</v>
      </c>
      <c r="AF487" s="1" t="str">
        <f>IF(AND(Table1[[#This Row],[Spec Type2]]="N/A",Table1[[#This Row],[DUT Adj Read]]="N/A",Table1[[#This Row],[Std Adj Read]]="N/A"),"N/A",IF(Table1[[#This Row],[DUT Adj Read]]="N/A",IF(Table1[[#This Row],[Std Adj Read]]&gt;=Table1[[#This Row],[Low Tol]],"Pass","Fail"),IF(Table1[[#This Row],[DUT Adj Read]]&gt;=Table1[[#This Row],[Low Tol]],"Pass","Fail")))</f>
        <v>Pass</v>
      </c>
      <c r="AG487" s="1" t="str">
        <f>IF(AND(Table1[[#This Row],[Spec Type2]]="N/A",Table1[[#This Row],[DUT Adj Read]]="N/A",Table1[[#This Row],[Std Adj Read]]="N/A"),"N/A",IF(Table1[[#This Row],[DUT Adj Read]]="N/A",IF(Table1[[#This Row],[Std Adj Read]]&lt;=Table1[[#This Row],[High Tol]],"Pass","Fail"),IF(Table1[[#This Row],[DUT Adj Read]]&lt;=Table1[[#This Row],[High Tol]],"Pass","Fail")))</f>
        <v>Fail</v>
      </c>
      <c r="AH4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7" s="1" t="b">
        <v>0</v>
      </c>
      <c r="AN487" s="1" t="b">
        <v>0</v>
      </c>
      <c r="AO487" s="1" t="b">
        <v>0</v>
      </c>
    </row>
    <row r="488" spans="1:41" x14ac:dyDescent="0.25">
      <c r="A488" s="10"/>
      <c r="B488" s="10"/>
      <c r="C488" s="10"/>
      <c r="D488" s="10"/>
      <c r="E488" s="10"/>
      <c r="F488" s="10"/>
      <c r="G488" s="10"/>
      <c r="H488" s="10"/>
      <c r="I488" s="1" t="str">
        <f t="shared" si="21"/>
        <v/>
      </c>
      <c r="J488" s="1" t="s">
        <v>35</v>
      </c>
      <c r="K488" s="1" t="str">
        <f t="shared" si="22"/>
        <v/>
      </c>
      <c r="L488" s="1" t="str">
        <f t="shared" si="23"/>
        <v/>
      </c>
      <c r="M488" s="1">
        <f>IF(OR(Table1[[#This Row],[Std Nom]]="",Table1[[#This Row],[Std Read]]=""),0,Table1[[#This Row],[Std Nom]]-Table1[[#This Row],[Std Read]])</f>
        <v>0</v>
      </c>
      <c r="N488" s="1">
        <f>IF(Calculations!$F$5="ACCREDITED 17025 WITH UNCERTAINTIES",$N$10,0)</f>
        <v>0</v>
      </c>
      <c r="O488" s="1" t="str">
        <f>IFERROR(Table1[[#This Row],[Std Nom]]-(_xlfn.XLOOKUP(Table1[[#This Row],[Manufacturer]]&amp;" "&amp;Table1[[#This Row],[Model]],Table13[MFR &amp; MDL],Table13[Tolerance % CW ],"")/100*Table1[[#This Row],[Std Nom]]),"")</f>
        <v/>
      </c>
      <c r="P488" s="1" t="str">
        <f>IFERROR(Table1[[#This Row],[Std Nom]]+(_xlfn.XLOOKUP(Table1[[#This Row],[Manufacturer]]&amp;" "&amp;Table1[[#This Row],[Model]],Table13[MFR &amp; MDL],Table13[Tolerance % CW ],"")/100*Table1[[#This Row],[Std Nom]]),"")</f>
        <v/>
      </c>
      <c r="Q488" s="1" t="e">
        <f>Table1[[#This Row],[High Tol]]-Table1[[#This Row],[Low Tol]]</f>
        <v>#VALUE!</v>
      </c>
      <c r="R488" s="1">
        <f>2*Table1[[#This Row],[Std Error]]</f>
        <v>0</v>
      </c>
      <c r="S488" s="1" t="str">
        <f>IF(Table1[[#This Row],[High Tol]]="","N/A",IFERROR(ABS(Table1[[#This Row],[Tol Span]]/Table1[[#This Row],[Error Span]]),"N/A"))</f>
        <v>N/A</v>
      </c>
      <c r="T488" s="1" t="str">
        <f>IF(OR(Table1[[#This Row],[Low Tol]]="",Table1[[#This Row],[High Tol]]=""),"Needs Analysis",IF(Table1[[#This Row],[Ratio]]&gt;=4,"Not Significant",IF(Table1[[#This Row],[Ratio]]&gt;=2,"Semi-Significant","Significant")))</f>
        <v>Needs Analysis</v>
      </c>
      <c r="W488" s="1">
        <f>IF(Table1[[#This Row],[Cal Type]]&lt;&gt;"ACCREDITED 17025 WITH UNCERTAINTIES",0,"")</f>
        <v>0</v>
      </c>
      <c r="X488" s="1" t="str">
        <f>IF(Table1[[#This Row],[DUT Read]]="","N/A",Table1[[#This Row],[Std Error]]+Table1[[#This Row],[DUT Read]]+Table1[[#This Row],[DUT Ucty]])</f>
        <v>N/A</v>
      </c>
      <c r="Y488" s="1" t="str">
        <f>IF(Table1[[#This Row],[Std Read]]="","N/A",Table1[[#This Row],[Std Read]]+Table1[[#This Row],[Std Ucty]])</f>
        <v>N/A</v>
      </c>
      <c r="Z4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8" s="1" t="str">
        <f>IF(Table1[[#This Row],[Spec Type]]="","N/A",Table1[[#This Row],[Spec Type]])</f>
        <v>±</v>
      </c>
      <c r="AC488" s="1" t="str">
        <f>IF(Table1[[#This Row],[Spec Type2]]="N/A","N/A",IF(AND(Table1[[#This Row],[DUT Adj Read]]&gt;=Table1[[#This Row],[Low Tol]],Table1[[#This Row],[DUT Adj Read]]&lt;=Table1[[#This Row],[High Tol]]),"Pass","Fail"))</f>
        <v>Fail</v>
      </c>
      <c r="AD488" s="1" t="str">
        <f>IF(AND(Table1[[#This Row],[Spec Type2]]="N/A",Table1[[#This Row],[DUT Adj Read]]="N/A",Table1[[#This Row],[Std Adj Read]]="N/A"),"N/A",IF(Table1[[#This Row],[DUT Adj Read]]="N/A",IF(Table1[[#This Row],[Std Adj Read]]&gt;Table1[[#This Row],[Low Tol]],"Pass","Fail"),IF(Table1[[#This Row],[DUT Adj Read]]&gt;Table1[[#This Row],[Low Tol]],"Pass","Fail")))</f>
        <v>Pass</v>
      </c>
      <c r="AE488" s="1" t="str">
        <f>IF(AND(Table1[[#This Row],[Spec Type2]]="N/A",Table1[[#This Row],[DUT Adj Read]]="N/A",Table1[[#This Row],[Std Adj Read]]="N/A"),"N/A",IF(Table1[[#This Row],[DUT Adj Read]]="N/A",IF(Table1[[#This Row],[Std Adj Read]]&lt;Table1[[#This Row],[High Tol]],"Pass","Fail"),IF(Table1[[#This Row],[DUT Adj Read]]&lt;Table1[[#This Row],[High Tol]],"Pass","Fail")))</f>
        <v>Fail</v>
      </c>
      <c r="AF488" s="1" t="str">
        <f>IF(AND(Table1[[#This Row],[Spec Type2]]="N/A",Table1[[#This Row],[DUT Adj Read]]="N/A",Table1[[#This Row],[Std Adj Read]]="N/A"),"N/A",IF(Table1[[#This Row],[DUT Adj Read]]="N/A",IF(Table1[[#This Row],[Std Adj Read]]&gt;=Table1[[#This Row],[Low Tol]],"Pass","Fail"),IF(Table1[[#This Row],[DUT Adj Read]]&gt;=Table1[[#This Row],[Low Tol]],"Pass","Fail")))</f>
        <v>Pass</v>
      </c>
      <c r="AG488" s="1" t="str">
        <f>IF(AND(Table1[[#This Row],[Spec Type2]]="N/A",Table1[[#This Row],[DUT Adj Read]]="N/A",Table1[[#This Row],[Std Adj Read]]="N/A"),"N/A",IF(Table1[[#This Row],[DUT Adj Read]]="N/A",IF(Table1[[#This Row],[Std Adj Read]]&lt;=Table1[[#This Row],[High Tol]],"Pass","Fail"),IF(Table1[[#This Row],[DUT Adj Read]]&lt;=Table1[[#This Row],[High Tol]],"Pass","Fail")))</f>
        <v>Fail</v>
      </c>
      <c r="AH4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8" s="1" t="b">
        <v>0</v>
      </c>
      <c r="AN488" s="1" t="b">
        <v>0</v>
      </c>
      <c r="AO488" s="1" t="b">
        <v>0</v>
      </c>
    </row>
    <row r="489" spans="1:41" x14ac:dyDescent="0.25">
      <c r="A489" s="10"/>
      <c r="B489" s="10"/>
      <c r="C489" s="10"/>
      <c r="D489" s="10"/>
      <c r="E489" s="10"/>
      <c r="F489" s="10"/>
      <c r="G489" s="10"/>
      <c r="H489" s="10"/>
      <c r="I489" s="1" t="str">
        <f t="shared" si="21"/>
        <v/>
      </c>
      <c r="J489" s="1" t="s">
        <v>35</v>
      </c>
      <c r="K489" s="1" t="str">
        <f t="shared" si="22"/>
        <v/>
      </c>
      <c r="L489" s="1" t="str">
        <f t="shared" si="23"/>
        <v/>
      </c>
      <c r="M489" s="1">
        <f>IF(OR(Table1[[#This Row],[Std Nom]]="",Table1[[#This Row],[Std Read]]=""),0,Table1[[#This Row],[Std Nom]]-Table1[[#This Row],[Std Read]])</f>
        <v>0</v>
      </c>
      <c r="N489" s="1">
        <f>IF(Calculations!$F$5="ACCREDITED 17025 WITH UNCERTAINTIES",$N$10,0)</f>
        <v>0</v>
      </c>
      <c r="O489" s="1" t="str">
        <f>IFERROR(Table1[[#This Row],[Std Nom]]-(_xlfn.XLOOKUP(Table1[[#This Row],[Manufacturer]]&amp;" "&amp;Table1[[#This Row],[Model]],Table13[MFR &amp; MDL],Table13[Tolerance % CW ],"")/100*Table1[[#This Row],[Std Nom]]),"")</f>
        <v/>
      </c>
      <c r="P489" s="1" t="str">
        <f>IFERROR(Table1[[#This Row],[Std Nom]]+(_xlfn.XLOOKUP(Table1[[#This Row],[Manufacturer]]&amp;" "&amp;Table1[[#This Row],[Model]],Table13[MFR &amp; MDL],Table13[Tolerance % CW ],"")/100*Table1[[#This Row],[Std Nom]]),"")</f>
        <v/>
      </c>
      <c r="Q489" s="1" t="e">
        <f>Table1[[#This Row],[High Tol]]-Table1[[#This Row],[Low Tol]]</f>
        <v>#VALUE!</v>
      </c>
      <c r="R489" s="1">
        <f>2*Table1[[#This Row],[Std Error]]</f>
        <v>0</v>
      </c>
      <c r="S489" s="1" t="str">
        <f>IF(Table1[[#This Row],[High Tol]]="","N/A",IFERROR(ABS(Table1[[#This Row],[Tol Span]]/Table1[[#This Row],[Error Span]]),"N/A"))</f>
        <v>N/A</v>
      </c>
      <c r="T489" s="1" t="str">
        <f>IF(OR(Table1[[#This Row],[Low Tol]]="",Table1[[#This Row],[High Tol]]=""),"Needs Analysis",IF(Table1[[#This Row],[Ratio]]&gt;=4,"Not Significant",IF(Table1[[#This Row],[Ratio]]&gt;=2,"Semi-Significant","Significant")))</f>
        <v>Needs Analysis</v>
      </c>
      <c r="W489" s="1">
        <f>IF(Table1[[#This Row],[Cal Type]]&lt;&gt;"ACCREDITED 17025 WITH UNCERTAINTIES",0,"")</f>
        <v>0</v>
      </c>
      <c r="X489" s="1" t="str">
        <f>IF(Table1[[#This Row],[DUT Read]]="","N/A",Table1[[#This Row],[Std Error]]+Table1[[#This Row],[DUT Read]]+Table1[[#This Row],[DUT Ucty]])</f>
        <v>N/A</v>
      </c>
      <c r="Y489" s="1" t="str">
        <f>IF(Table1[[#This Row],[Std Read]]="","N/A",Table1[[#This Row],[Std Read]]+Table1[[#This Row],[Std Ucty]])</f>
        <v>N/A</v>
      </c>
      <c r="Z4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9" s="1" t="str">
        <f>IF(Table1[[#This Row],[Spec Type]]="","N/A",Table1[[#This Row],[Spec Type]])</f>
        <v>±</v>
      </c>
      <c r="AC489" s="1" t="str">
        <f>IF(Table1[[#This Row],[Spec Type2]]="N/A","N/A",IF(AND(Table1[[#This Row],[DUT Adj Read]]&gt;=Table1[[#This Row],[Low Tol]],Table1[[#This Row],[DUT Adj Read]]&lt;=Table1[[#This Row],[High Tol]]),"Pass","Fail"))</f>
        <v>Fail</v>
      </c>
      <c r="AD489" s="1" t="str">
        <f>IF(AND(Table1[[#This Row],[Spec Type2]]="N/A",Table1[[#This Row],[DUT Adj Read]]="N/A",Table1[[#This Row],[Std Adj Read]]="N/A"),"N/A",IF(Table1[[#This Row],[DUT Adj Read]]="N/A",IF(Table1[[#This Row],[Std Adj Read]]&gt;Table1[[#This Row],[Low Tol]],"Pass","Fail"),IF(Table1[[#This Row],[DUT Adj Read]]&gt;Table1[[#This Row],[Low Tol]],"Pass","Fail")))</f>
        <v>Pass</v>
      </c>
      <c r="AE489" s="1" t="str">
        <f>IF(AND(Table1[[#This Row],[Spec Type2]]="N/A",Table1[[#This Row],[DUT Adj Read]]="N/A",Table1[[#This Row],[Std Adj Read]]="N/A"),"N/A",IF(Table1[[#This Row],[DUT Adj Read]]="N/A",IF(Table1[[#This Row],[Std Adj Read]]&lt;Table1[[#This Row],[High Tol]],"Pass","Fail"),IF(Table1[[#This Row],[DUT Adj Read]]&lt;Table1[[#This Row],[High Tol]],"Pass","Fail")))</f>
        <v>Fail</v>
      </c>
      <c r="AF489" s="1" t="str">
        <f>IF(AND(Table1[[#This Row],[Spec Type2]]="N/A",Table1[[#This Row],[DUT Adj Read]]="N/A",Table1[[#This Row],[Std Adj Read]]="N/A"),"N/A",IF(Table1[[#This Row],[DUT Adj Read]]="N/A",IF(Table1[[#This Row],[Std Adj Read]]&gt;=Table1[[#This Row],[Low Tol]],"Pass","Fail"),IF(Table1[[#This Row],[DUT Adj Read]]&gt;=Table1[[#This Row],[Low Tol]],"Pass","Fail")))</f>
        <v>Pass</v>
      </c>
      <c r="AG489" s="1" t="str">
        <f>IF(AND(Table1[[#This Row],[Spec Type2]]="N/A",Table1[[#This Row],[DUT Adj Read]]="N/A",Table1[[#This Row],[Std Adj Read]]="N/A"),"N/A",IF(Table1[[#This Row],[DUT Adj Read]]="N/A",IF(Table1[[#This Row],[Std Adj Read]]&lt;=Table1[[#This Row],[High Tol]],"Pass","Fail"),IF(Table1[[#This Row],[DUT Adj Read]]&lt;=Table1[[#This Row],[High Tol]],"Pass","Fail")))</f>
        <v>Fail</v>
      </c>
      <c r="AH4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9" s="1" t="b">
        <v>0</v>
      </c>
      <c r="AN489" s="1" t="b">
        <v>0</v>
      </c>
      <c r="AO489" s="1" t="b">
        <v>0</v>
      </c>
    </row>
    <row r="490" spans="1:41" x14ac:dyDescent="0.25">
      <c r="A490" s="10"/>
      <c r="B490" s="10"/>
      <c r="C490" s="10"/>
      <c r="D490" s="10"/>
      <c r="E490" s="10"/>
      <c r="F490" s="10"/>
      <c r="G490" s="10"/>
      <c r="H490" s="10"/>
      <c r="I490" s="1" t="str">
        <f t="shared" si="21"/>
        <v/>
      </c>
      <c r="J490" s="1" t="s">
        <v>35</v>
      </c>
      <c r="K490" s="1" t="str">
        <f t="shared" si="22"/>
        <v/>
      </c>
      <c r="L490" s="1" t="str">
        <f t="shared" si="23"/>
        <v/>
      </c>
      <c r="M490" s="1">
        <f>IF(OR(Table1[[#This Row],[Std Nom]]="",Table1[[#This Row],[Std Read]]=""),0,Table1[[#This Row],[Std Nom]]-Table1[[#This Row],[Std Read]])</f>
        <v>0</v>
      </c>
      <c r="N490" s="1">
        <f>IF(Calculations!$F$5="ACCREDITED 17025 WITH UNCERTAINTIES",$N$10,0)</f>
        <v>0</v>
      </c>
      <c r="O490" s="1" t="str">
        <f>IFERROR(Table1[[#This Row],[Std Nom]]-(_xlfn.XLOOKUP(Table1[[#This Row],[Manufacturer]]&amp;" "&amp;Table1[[#This Row],[Model]],Table13[MFR &amp; MDL],Table13[Tolerance % CW ],"")/100*Table1[[#This Row],[Std Nom]]),"")</f>
        <v/>
      </c>
      <c r="P490" s="1" t="str">
        <f>IFERROR(Table1[[#This Row],[Std Nom]]+(_xlfn.XLOOKUP(Table1[[#This Row],[Manufacturer]]&amp;" "&amp;Table1[[#This Row],[Model]],Table13[MFR &amp; MDL],Table13[Tolerance % CW ],"")/100*Table1[[#This Row],[Std Nom]]),"")</f>
        <v/>
      </c>
      <c r="Q490" s="1" t="e">
        <f>Table1[[#This Row],[High Tol]]-Table1[[#This Row],[Low Tol]]</f>
        <v>#VALUE!</v>
      </c>
      <c r="R490" s="1">
        <f>2*Table1[[#This Row],[Std Error]]</f>
        <v>0</v>
      </c>
      <c r="S490" s="1" t="str">
        <f>IF(Table1[[#This Row],[High Tol]]="","N/A",IFERROR(ABS(Table1[[#This Row],[Tol Span]]/Table1[[#This Row],[Error Span]]),"N/A"))</f>
        <v>N/A</v>
      </c>
      <c r="T490" s="1" t="str">
        <f>IF(OR(Table1[[#This Row],[Low Tol]]="",Table1[[#This Row],[High Tol]]=""),"Needs Analysis",IF(Table1[[#This Row],[Ratio]]&gt;=4,"Not Significant",IF(Table1[[#This Row],[Ratio]]&gt;=2,"Semi-Significant","Significant")))</f>
        <v>Needs Analysis</v>
      </c>
      <c r="W490" s="1">
        <f>IF(Table1[[#This Row],[Cal Type]]&lt;&gt;"ACCREDITED 17025 WITH UNCERTAINTIES",0,"")</f>
        <v>0</v>
      </c>
      <c r="X490" s="1" t="str">
        <f>IF(Table1[[#This Row],[DUT Read]]="","N/A",Table1[[#This Row],[Std Error]]+Table1[[#This Row],[DUT Read]]+Table1[[#This Row],[DUT Ucty]])</f>
        <v>N/A</v>
      </c>
      <c r="Y490" s="1" t="str">
        <f>IF(Table1[[#This Row],[Std Read]]="","N/A",Table1[[#This Row],[Std Read]]+Table1[[#This Row],[Std Ucty]])</f>
        <v>N/A</v>
      </c>
      <c r="Z4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0" s="1" t="str">
        <f>IF(Table1[[#This Row],[Spec Type]]="","N/A",Table1[[#This Row],[Spec Type]])</f>
        <v>±</v>
      </c>
      <c r="AC490" s="1" t="str">
        <f>IF(Table1[[#This Row],[Spec Type2]]="N/A","N/A",IF(AND(Table1[[#This Row],[DUT Adj Read]]&gt;=Table1[[#This Row],[Low Tol]],Table1[[#This Row],[DUT Adj Read]]&lt;=Table1[[#This Row],[High Tol]]),"Pass","Fail"))</f>
        <v>Fail</v>
      </c>
      <c r="AD490" s="1" t="str">
        <f>IF(AND(Table1[[#This Row],[Spec Type2]]="N/A",Table1[[#This Row],[DUT Adj Read]]="N/A",Table1[[#This Row],[Std Adj Read]]="N/A"),"N/A",IF(Table1[[#This Row],[DUT Adj Read]]="N/A",IF(Table1[[#This Row],[Std Adj Read]]&gt;Table1[[#This Row],[Low Tol]],"Pass","Fail"),IF(Table1[[#This Row],[DUT Adj Read]]&gt;Table1[[#This Row],[Low Tol]],"Pass","Fail")))</f>
        <v>Pass</v>
      </c>
      <c r="AE490" s="1" t="str">
        <f>IF(AND(Table1[[#This Row],[Spec Type2]]="N/A",Table1[[#This Row],[DUT Adj Read]]="N/A",Table1[[#This Row],[Std Adj Read]]="N/A"),"N/A",IF(Table1[[#This Row],[DUT Adj Read]]="N/A",IF(Table1[[#This Row],[Std Adj Read]]&lt;Table1[[#This Row],[High Tol]],"Pass","Fail"),IF(Table1[[#This Row],[DUT Adj Read]]&lt;Table1[[#This Row],[High Tol]],"Pass","Fail")))</f>
        <v>Fail</v>
      </c>
      <c r="AF490" s="1" t="str">
        <f>IF(AND(Table1[[#This Row],[Spec Type2]]="N/A",Table1[[#This Row],[DUT Adj Read]]="N/A",Table1[[#This Row],[Std Adj Read]]="N/A"),"N/A",IF(Table1[[#This Row],[DUT Adj Read]]="N/A",IF(Table1[[#This Row],[Std Adj Read]]&gt;=Table1[[#This Row],[Low Tol]],"Pass","Fail"),IF(Table1[[#This Row],[DUT Adj Read]]&gt;=Table1[[#This Row],[Low Tol]],"Pass","Fail")))</f>
        <v>Pass</v>
      </c>
      <c r="AG490" s="1" t="str">
        <f>IF(AND(Table1[[#This Row],[Spec Type2]]="N/A",Table1[[#This Row],[DUT Adj Read]]="N/A",Table1[[#This Row],[Std Adj Read]]="N/A"),"N/A",IF(Table1[[#This Row],[DUT Adj Read]]="N/A",IF(Table1[[#This Row],[Std Adj Read]]&lt;=Table1[[#This Row],[High Tol]],"Pass","Fail"),IF(Table1[[#This Row],[DUT Adj Read]]&lt;=Table1[[#This Row],[High Tol]],"Pass","Fail")))</f>
        <v>Fail</v>
      </c>
      <c r="AH4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0" s="1" t="b">
        <v>0</v>
      </c>
      <c r="AN490" s="1" t="b">
        <v>0</v>
      </c>
      <c r="AO490" s="1" t="b">
        <v>0</v>
      </c>
    </row>
    <row r="491" spans="1:41" x14ac:dyDescent="0.25">
      <c r="A491" s="10"/>
      <c r="B491" s="10"/>
      <c r="C491" s="10"/>
      <c r="D491" s="10"/>
      <c r="E491" s="10"/>
      <c r="F491" s="10"/>
      <c r="G491" s="10"/>
      <c r="H491" s="10"/>
      <c r="I491" s="1" t="str">
        <f t="shared" si="21"/>
        <v/>
      </c>
      <c r="J491" s="1" t="s">
        <v>35</v>
      </c>
      <c r="K491" s="1" t="str">
        <f t="shared" si="22"/>
        <v/>
      </c>
      <c r="L491" s="1" t="str">
        <f t="shared" si="23"/>
        <v/>
      </c>
      <c r="M491" s="1">
        <f>IF(OR(Table1[[#This Row],[Std Nom]]="",Table1[[#This Row],[Std Read]]=""),0,Table1[[#This Row],[Std Nom]]-Table1[[#This Row],[Std Read]])</f>
        <v>0</v>
      </c>
      <c r="N491" s="1">
        <f>IF(Calculations!$F$5="ACCREDITED 17025 WITH UNCERTAINTIES",$N$10,0)</f>
        <v>0</v>
      </c>
      <c r="O491" s="1" t="str">
        <f>IFERROR(Table1[[#This Row],[Std Nom]]-(_xlfn.XLOOKUP(Table1[[#This Row],[Manufacturer]]&amp;" "&amp;Table1[[#This Row],[Model]],Table13[MFR &amp; MDL],Table13[Tolerance % CW ],"")/100*Table1[[#This Row],[Std Nom]]),"")</f>
        <v/>
      </c>
      <c r="P491" s="1" t="str">
        <f>IFERROR(Table1[[#This Row],[Std Nom]]+(_xlfn.XLOOKUP(Table1[[#This Row],[Manufacturer]]&amp;" "&amp;Table1[[#This Row],[Model]],Table13[MFR &amp; MDL],Table13[Tolerance % CW ],"")/100*Table1[[#This Row],[Std Nom]]),"")</f>
        <v/>
      </c>
      <c r="Q491" s="1" t="e">
        <f>Table1[[#This Row],[High Tol]]-Table1[[#This Row],[Low Tol]]</f>
        <v>#VALUE!</v>
      </c>
      <c r="R491" s="1">
        <f>2*Table1[[#This Row],[Std Error]]</f>
        <v>0</v>
      </c>
      <c r="S491" s="1" t="str">
        <f>IF(Table1[[#This Row],[High Tol]]="","N/A",IFERROR(ABS(Table1[[#This Row],[Tol Span]]/Table1[[#This Row],[Error Span]]),"N/A"))</f>
        <v>N/A</v>
      </c>
      <c r="T491" s="1" t="str">
        <f>IF(OR(Table1[[#This Row],[Low Tol]]="",Table1[[#This Row],[High Tol]]=""),"Needs Analysis",IF(Table1[[#This Row],[Ratio]]&gt;=4,"Not Significant",IF(Table1[[#This Row],[Ratio]]&gt;=2,"Semi-Significant","Significant")))</f>
        <v>Needs Analysis</v>
      </c>
      <c r="W491" s="1">
        <f>IF(Table1[[#This Row],[Cal Type]]&lt;&gt;"ACCREDITED 17025 WITH UNCERTAINTIES",0,"")</f>
        <v>0</v>
      </c>
      <c r="X491" s="1" t="str">
        <f>IF(Table1[[#This Row],[DUT Read]]="","N/A",Table1[[#This Row],[Std Error]]+Table1[[#This Row],[DUT Read]]+Table1[[#This Row],[DUT Ucty]])</f>
        <v>N/A</v>
      </c>
      <c r="Y491" s="1" t="str">
        <f>IF(Table1[[#This Row],[Std Read]]="","N/A",Table1[[#This Row],[Std Read]]+Table1[[#This Row],[Std Ucty]])</f>
        <v>N/A</v>
      </c>
      <c r="Z4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1" s="1" t="str">
        <f>IF(Table1[[#This Row],[Spec Type]]="","N/A",Table1[[#This Row],[Spec Type]])</f>
        <v>±</v>
      </c>
      <c r="AC491" s="1" t="str">
        <f>IF(Table1[[#This Row],[Spec Type2]]="N/A","N/A",IF(AND(Table1[[#This Row],[DUT Adj Read]]&gt;=Table1[[#This Row],[Low Tol]],Table1[[#This Row],[DUT Adj Read]]&lt;=Table1[[#This Row],[High Tol]]),"Pass","Fail"))</f>
        <v>Fail</v>
      </c>
      <c r="AD491" s="1" t="str">
        <f>IF(AND(Table1[[#This Row],[Spec Type2]]="N/A",Table1[[#This Row],[DUT Adj Read]]="N/A",Table1[[#This Row],[Std Adj Read]]="N/A"),"N/A",IF(Table1[[#This Row],[DUT Adj Read]]="N/A",IF(Table1[[#This Row],[Std Adj Read]]&gt;Table1[[#This Row],[Low Tol]],"Pass","Fail"),IF(Table1[[#This Row],[DUT Adj Read]]&gt;Table1[[#This Row],[Low Tol]],"Pass","Fail")))</f>
        <v>Pass</v>
      </c>
      <c r="AE491" s="1" t="str">
        <f>IF(AND(Table1[[#This Row],[Spec Type2]]="N/A",Table1[[#This Row],[DUT Adj Read]]="N/A",Table1[[#This Row],[Std Adj Read]]="N/A"),"N/A",IF(Table1[[#This Row],[DUT Adj Read]]="N/A",IF(Table1[[#This Row],[Std Adj Read]]&lt;Table1[[#This Row],[High Tol]],"Pass","Fail"),IF(Table1[[#This Row],[DUT Adj Read]]&lt;Table1[[#This Row],[High Tol]],"Pass","Fail")))</f>
        <v>Fail</v>
      </c>
      <c r="AF491" s="1" t="str">
        <f>IF(AND(Table1[[#This Row],[Spec Type2]]="N/A",Table1[[#This Row],[DUT Adj Read]]="N/A",Table1[[#This Row],[Std Adj Read]]="N/A"),"N/A",IF(Table1[[#This Row],[DUT Adj Read]]="N/A",IF(Table1[[#This Row],[Std Adj Read]]&gt;=Table1[[#This Row],[Low Tol]],"Pass","Fail"),IF(Table1[[#This Row],[DUT Adj Read]]&gt;=Table1[[#This Row],[Low Tol]],"Pass","Fail")))</f>
        <v>Pass</v>
      </c>
      <c r="AG491" s="1" t="str">
        <f>IF(AND(Table1[[#This Row],[Spec Type2]]="N/A",Table1[[#This Row],[DUT Adj Read]]="N/A",Table1[[#This Row],[Std Adj Read]]="N/A"),"N/A",IF(Table1[[#This Row],[DUT Adj Read]]="N/A",IF(Table1[[#This Row],[Std Adj Read]]&lt;=Table1[[#This Row],[High Tol]],"Pass","Fail"),IF(Table1[[#This Row],[DUT Adj Read]]&lt;=Table1[[#This Row],[High Tol]],"Pass","Fail")))</f>
        <v>Fail</v>
      </c>
      <c r="AH4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1" s="1" t="b">
        <v>0</v>
      </c>
      <c r="AN491" s="1" t="b">
        <v>0</v>
      </c>
      <c r="AO491" s="1" t="b">
        <v>0</v>
      </c>
    </row>
    <row r="492" spans="1:41" x14ac:dyDescent="0.25">
      <c r="A492" s="10"/>
      <c r="B492" s="10"/>
      <c r="C492" s="10"/>
      <c r="D492" s="10"/>
      <c r="E492" s="10"/>
      <c r="F492" s="10"/>
      <c r="G492" s="10"/>
      <c r="H492" s="10"/>
      <c r="I492" s="1" t="str">
        <f t="shared" si="21"/>
        <v/>
      </c>
      <c r="J492" s="1" t="s">
        <v>35</v>
      </c>
      <c r="K492" s="1" t="str">
        <f t="shared" si="22"/>
        <v/>
      </c>
      <c r="L492" s="1" t="str">
        <f t="shared" si="23"/>
        <v/>
      </c>
      <c r="M492" s="1">
        <f>IF(OR(Table1[[#This Row],[Std Nom]]="",Table1[[#This Row],[Std Read]]=""),0,Table1[[#This Row],[Std Nom]]-Table1[[#This Row],[Std Read]])</f>
        <v>0</v>
      </c>
      <c r="N492" s="1">
        <f>IF(Calculations!$F$5="ACCREDITED 17025 WITH UNCERTAINTIES",$N$10,0)</f>
        <v>0</v>
      </c>
      <c r="O492" s="1" t="str">
        <f>IFERROR(Table1[[#This Row],[Std Nom]]-(_xlfn.XLOOKUP(Table1[[#This Row],[Manufacturer]]&amp;" "&amp;Table1[[#This Row],[Model]],Table13[MFR &amp; MDL],Table13[Tolerance % CW ],"")/100*Table1[[#This Row],[Std Nom]]),"")</f>
        <v/>
      </c>
      <c r="P492" s="1" t="str">
        <f>IFERROR(Table1[[#This Row],[Std Nom]]+(_xlfn.XLOOKUP(Table1[[#This Row],[Manufacturer]]&amp;" "&amp;Table1[[#This Row],[Model]],Table13[MFR &amp; MDL],Table13[Tolerance % CW ],"")/100*Table1[[#This Row],[Std Nom]]),"")</f>
        <v/>
      </c>
      <c r="Q492" s="1" t="e">
        <f>Table1[[#This Row],[High Tol]]-Table1[[#This Row],[Low Tol]]</f>
        <v>#VALUE!</v>
      </c>
      <c r="R492" s="1">
        <f>2*Table1[[#This Row],[Std Error]]</f>
        <v>0</v>
      </c>
      <c r="S492" s="1" t="str">
        <f>IF(Table1[[#This Row],[High Tol]]="","N/A",IFERROR(ABS(Table1[[#This Row],[Tol Span]]/Table1[[#This Row],[Error Span]]),"N/A"))</f>
        <v>N/A</v>
      </c>
      <c r="T492" s="1" t="str">
        <f>IF(OR(Table1[[#This Row],[Low Tol]]="",Table1[[#This Row],[High Tol]]=""),"Needs Analysis",IF(Table1[[#This Row],[Ratio]]&gt;=4,"Not Significant",IF(Table1[[#This Row],[Ratio]]&gt;=2,"Semi-Significant","Significant")))</f>
        <v>Needs Analysis</v>
      </c>
      <c r="W492" s="1">
        <f>IF(Table1[[#This Row],[Cal Type]]&lt;&gt;"ACCREDITED 17025 WITH UNCERTAINTIES",0,"")</f>
        <v>0</v>
      </c>
      <c r="X492" s="1" t="str">
        <f>IF(Table1[[#This Row],[DUT Read]]="","N/A",Table1[[#This Row],[Std Error]]+Table1[[#This Row],[DUT Read]]+Table1[[#This Row],[DUT Ucty]])</f>
        <v>N/A</v>
      </c>
      <c r="Y492" s="1" t="str">
        <f>IF(Table1[[#This Row],[Std Read]]="","N/A",Table1[[#This Row],[Std Read]]+Table1[[#This Row],[Std Ucty]])</f>
        <v>N/A</v>
      </c>
      <c r="Z4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2" s="1" t="str">
        <f>IF(Table1[[#This Row],[Spec Type]]="","N/A",Table1[[#This Row],[Spec Type]])</f>
        <v>±</v>
      </c>
      <c r="AC492" s="1" t="str">
        <f>IF(Table1[[#This Row],[Spec Type2]]="N/A","N/A",IF(AND(Table1[[#This Row],[DUT Adj Read]]&gt;=Table1[[#This Row],[Low Tol]],Table1[[#This Row],[DUT Adj Read]]&lt;=Table1[[#This Row],[High Tol]]),"Pass","Fail"))</f>
        <v>Fail</v>
      </c>
      <c r="AD492" s="1" t="str">
        <f>IF(AND(Table1[[#This Row],[Spec Type2]]="N/A",Table1[[#This Row],[DUT Adj Read]]="N/A",Table1[[#This Row],[Std Adj Read]]="N/A"),"N/A",IF(Table1[[#This Row],[DUT Adj Read]]="N/A",IF(Table1[[#This Row],[Std Adj Read]]&gt;Table1[[#This Row],[Low Tol]],"Pass","Fail"),IF(Table1[[#This Row],[DUT Adj Read]]&gt;Table1[[#This Row],[Low Tol]],"Pass","Fail")))</f>
        <v>Pass</v>
      </c>
      <c r="AE492" s="1" t="str">
        <f>IF(AND(Table1[[#This Row],[Spec Type2]]="N/A",Table1[[#This Row],[DUT Adj Read]]="N/A",Table1[[#This Row],[Std Adj Read]]="N/A"),"N/A",IF(Table1[[#This Row],[DUT Adj Read]]="N/A",IF(Table1[[#This Row],[Std Adj Read]]&lt;Table1[[#This Row],[High Tol]],"Pass","Fail"),IF(Table1[[#This Row],[DUT Adj Read]]&lt;Table1[[#This Row],[High Tol]],"Pass","Fail")))</f>
        <v>Fail</v>
      </c>
      <c r="AF492" s="1" t="str">
        <f>IF(AND(Table1[[#This Row],[Spec Type2]]="N/A",Table1[[#This Row],[DUT Adj Read]]="N/A",Table1[[#This Row],[Std Adj Read]]="N/A"),"N/A",IF(Table1[[#This Row],[DUT Adj Read]]="N/A",IF(Table1[[#This Row],[Std Adj Read]]&gt;=Table1[[#This Row],[Low Tol]],"Pass","Fail"),IF(Table1[[#This Row],[DUT Adj Read]]&gt;=Table1[[#This Row],[Low Tol]],"Pass","Fail")))</f>
        <v>Pass</v>
      </c>
      <c r="AG492" s="1" t="str">
        <f>IF(AND(Table1[[#This Row],[Spec Type2]]="N/A",Table1[[#This Row],[DUT Adj Read]]="N/A",Table1[[#This Row],[Std Adj Read]]="N/A"),"N/A",IF(Table1[[#This Row],[DUT Adj Read]]="N/A",IF(Table1[[#This Row],[Std Adj Read]]&lt;=Table1[[#This Row],[High Tol]],"Pass","Fail"),IF(Table1[[#This Row],[DUT Adj Read]]&lt;=Table1[[#This Row],[High Tol]],"Pass","Fail")))</f>
        <v>Fail</v>
      </c>
      <c r="AH4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2" s="1" t="b">
        <v>0</v>
      </c>
      <c r="AN492" s="1" t="b">
        <v>0</v>
      </c>
      <c r="AO492" s="1" t="b">
        <v>0</v>
      </c>
    </row>
    <row r="493" spans="1:41" x14ac:dyDescent="0.25">
      <c r="A493" s="10"/>
      <c r="B493" s="10"/>
      <c r="C493" s="10"/>
      <c r="D493" s="10"/>
      <c r="E493" s="10"/>
      <c r="F493" s="10"/>
      <c r="G493" s="10"/>
      <c r="H493" s="10"/>
      <c r="I493" s="1" t="str">
        <f t="shared" si="21"/>
        <v/>
      </c>
      <c r="J493" s="1" t="s">
        <v>35</v>
      </c>
      <c r="K493" s="1" t="str">
        <f t="shared" si="22"/>
        <v/>
      </c>
      <c r="L493" s="1" t="str">
        <f t="shared" si="23"/>
        <v/>
      </c>
      <c r="M493" s="1">
        <f>IF(OR(Table1[[#This Row],[Std Nom]]="",Table1[[#This Row],[Std Read]]=""),0,Table1[[#This Row],[Std Nom]]-Table1[[#This Row],[Std Read]])</f>
        <v>0</v>
      </c>
      <c r="N493" s="1">
        <f>IF(Calculations!$F$5="ACCREDITED 17025 WITH UNCERTAINTIES",$N$10,0)</f>
        <v>0</v>
      </c>
      <c r="O493" s="1" t="str">
        <f>IFERROR(Table1[[#This Row],[Std Nom]]-(_xlfn.XLOOKUP(Table1[[#This Row],[Manufacturer]]&amp;" "&amp;Table1[[#This Row],[Model]],Table13[MFR &amp; MDL],Table13[Tolerance % CW ],"")/100*Table1[[#This Row],[Std Nom]]),"")</f>
        <v/>
      </c>
      <c r="P493" s="1" t="str">
        <f>IFERROR(Table1[[#This Row],[Std Nom]]+(_xlfn.XLOOKUP(Table1[[#This Row],[Manufacturer]]&amp;" "&amp;Table1[[#This Row],[Model]],Table13[MFR &amp; MDL],Table13[Tolerance % CW ],"")/100*Table1[[#This Row],[Std Nom]]),"")</f>
        <v/>
      </c>
      <c r="Q493" s="1" t="e">
        <f>Table1[[#This Row],[High Tol]]-Table1[[#This Row],[Low Tol]]</f>
        <v>#VALUE!</v>
      </c>
      <c r="R493" s="1">
        <f>2*Table1[[#This Row],[Std Error]]</f>
        <v>0</v>
      </c>
      <c r="S493" s="1" t="str">
        <f>IF(Table1[[#This Row],[High Tol]]="","N/A",IFERROR(ABS(Table1[[#This Row],[Tol Span]]/Table1[[#This Row],[Error Span]]),"N/A"))</f>
        <v>N/A</v>
      </c>
      <c r="T493" s="1" t="str">
        <f>IF(OR(Table1[[#This Row],[Low Tol]]="",Table1[[#This Row],[High Tol]]=""),"Needs Analysis",IF(Table1[[#This Row],[Ratio]]&gt;=4,"Not Significant",IF(Table1[[#This Row],[Ratio]]&gt;=2,"Semi-Significant","Significant")))</f>
        <v>Needs Analysis</v>
      </c>
      <c r="W493" s="1">
        <f>IF(Table1[[#This Row],[Cal Type]]&lt;&gt;"ACCREDITED 17025 WITH UNCERTAINTIES",0,"")</f>
        <v>0</v>
      </c>
      <c r="X493" s="1" t="str">
        <f>IF(Table1[[#This Row],[DUT Read]]="","N/A",Table1[[#This Row],[Std Error]]+Table1[[#This Row],[DUT Read]]+Table1[[#This Row],[DUT Ucty]])</f>
        <v>N/A</v>
      </c>
      <c r="Y493" s="1" t="str">
        <f>IF(Table1[[#This Row],[Std Read]]="","N/A",Table1[[#This Row],[Std Read]]+Table1[[#This Row],[Std Ucty]])</f>
        <v>N/A</v>
      </c>
      <c r="Z4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3" s="1" t="str">
        <f>IF(Table1[[#This Row],[Spec Type]]="","N/A",Table1[[#This Row],[Spec Type]])</f>
        <v>±</v>
      </c>
      <c r="AC493" s="1" t="str">
        <f>IF(Table1[[#This Row],[Spec Type2]]="N/A","N/A",IF(AND(Table1[[#This Row],[DUT Adj Read]]&gt;=Table1[[#This Row],[Low Tol]],Table1[[#This Row],[DUT Adj Read]]&lt;=Table1[[#This Row],[High Tol]]),"Pass","Fail"))</f>
        <v>Fail</v>
      </c>
      <c r="AD493" s="1" t="str">
        <f>IF(AND(Table1[[#This Row],[Spec Type2]]="N/A",Table1[[#This Row],[DUT Adj Read]]="N/A",Table1[[#This Row],[Std Adj Read]]="N/A"),"N/A",IF(Table1[[#This Row],[DUT Adj Read]]="N/A",IF(Table1[[#This Row],[Std Adj Read]]&gt;Table1[[#This Row],[Low Tol]],"Pass","Fail"),IF(Table1[[#This Row],[DUT Adj Read]]&gt;Table1[[#This Row],[Low Tol]],"Pass","Fail")))</f>
        <v>Pass</v>
      </c>
      <c r="AE493" s="1" t="str">
        <f>IF(AND(Table1[[#This Row],[Spec Type2]]="N/A",Table1[[#This Row],[DUT Adj Read]]="N/A",Table1[[#This Row],[Std Adj Read]]="N/A"),"N/A",IF(Table1[[#This Row],[DUT Adj Read]]="N/A",IF(Table1[[#This Row],[Std Adj Read]]&lt;Table1[[#This Row],[High Tol]],"Pass","Fail"),IF(Table1[[#This Row],[DUT Adj Read]]&lt;Table1[[#This Row],[High Tol]],"Pass","Fail")))</f>
        <v>Fail</v>
      </c>
      <c r="AF493" s="1" t="str">
        <f>IF(AND(Table1[[#This Row],[Spec Type2]]="N/A",Table1[[#This Row],[DUT Adj Read]]="N/A",Table1[[#This Row],[Std Adj Read]]="N/A"),"N/A",IF(Table1[[#This Row],[DUT Adj Read]]="N/A",IF(Table1[[#This Row],[Std Adj Read]]&gt;=Table1[[#This Row],[Low Tol]],"Pass","Fail"),IF(Table1[[#This Row],[DUT Adj Read]]&gt;=Table1[[#This Row],[Low Tol]],"Pass","Fail")))</f>
        <v>Pass</v>
      </c>
      <c r="AG493" s="1" t="str">
        <f>IF(AND(Table1[[#This Row],[Spec Type2]]="N/A",Table1[[#This Row],[DUT Adj Read]]="N/A",Table1[[#This Row],[Std Adj Read]]="N/A"),"N/A",IF(Table1[[#This Row],[DUT Adj Read]]="N/A",IF(Table1[[#This Row],[Std Adj Read]]&lt;=Table1[[#This Row],[High Tol]],"Pass","Fail"),IF(Table1[[#This Row],[DUT Adj Read]]&lt;=Table1[[#This Row],[High Tol]],"Pass","Fail")))</f>
        <v>Fail</v>
      </c>
      <c r="AH4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3" s="1" t="b">
        <v>0</v>
      </c>
      <c r="AN493" s="1" t="b">
        <v>0</v>
      </c>
      <c r="AO493" s="1" t="b">
        <v>0</v>
      </c>
    </row>
    <row r="494" spans="1:41" x14ac:dyDescent="0.25">
      <c r="A494" s="10"/>
      <c r="B494" s="10"/>
      <c r="C494" s="10"/>
      <c r="D494" s="10"/>
      <c r="E494" s="10"/>
      <c r="F494" s="10"/>
      <c r="G494" s="10"/>
      <c r="H494" s="10"/>
      <c r="I494" s="1" t="str">
        <f t="shared" si="21"/>
        <v/>
      </c>
      <c r="J494" s="1" t="s">
        <v>35</v>
      </c>
      <c r="K494" s="1" t="str">
        <f t="shared" si="22"/>
        <v/>
      </c>
      <c r="L494" s="1" t="str">
        <f t="shared" si="23"/>
        <v/>
      </c>
      <c r="M494" s="1">
        <f>IF(OR(Table1[[#This Row],[Std Nom]]="",Table1[[#This Row],[Std Read]]=""),0,Table1[[#This Row],[Std Nom]]-Table1[[#This Row],[Std Read]])</f>
        <v>0</v>
      </c>
      <c r="N494" s="1">
        <f>IF(Calculations!$F$5="ACCREDITED 17025 WITH UNCERTAINTIES",$N$10,0)</f>
        <v>0</v>
      </c>
      <c r="O494" s="1" t="str">
        <f>IFERROR(Table1[[#This Row],[Std Nom]]-(_xlfn.XLOOKUP(Table1[[#This Row],[Manufacturer]]&amp;" "&amp;Table1[[#This Row],[Model]],Table13[MFR &amp; MDL],Table13[Tolerance % CW ],"")/100*Table1[[#This Row],[Std Nom]]),"")</f>
        <v/>
      </c>
      <c r="P494" s="1" t="str">
        <f>IFERROR(Table1[[#This Row],[Std Nom]]+(_xlfn.XLOOKUP(Table1[[#This Row],[Manufacturer]]&amp;" "&amp;Table1[[#This Row],[Model]],Table13[MFR &amp; MDL],Table13[Tolerance % CW ],"")/100*Table1[[#This Row],[Std Nom]]),"")</f>
        <v/>
      </c>
      <c r="Q494" s="1" t="e">
        <f>Table1[[#This Row],[High Tol]]-Table1[[#This Row],[Low Tol]]</f>
        <v>#VALUE!</v>
      </c>
      <c r="R494" s="1">
        <f>2*Table1[[#This Row],[Std Error]]</f>
        <v>0</v>
      </c>
      <c r="S494" s="1" t="str">
        <f>IF(Table1[[#This Row],[High Tol]]="","N/A",IFERROR(ABS(Table1[[#This Row],[Tol Span]]/Table1[[#This Row],[Error Span]]),"N/A"))</f>
        <v>N/A</v>
      </c>
      <c r="T494" s="1" t="str">
        <f>IF(OR(Table1[[#This Row],[Low Tol]]="",Table1[[#This Row],[High Tol]]=""),"Needs Analysis",IF(Table1[[#This Row],[Ratio]]&gt;=4,"Not Significant",IF(Table1[[#This Row],[Ratio]]&gt;=2,"Semi-Significant","Significant")))</f>
        <v>Needs Analysis</v>
      </c>
      <c r="W494" s="1">
        <f>IF(Table1[[#This Row],[Cal Type]]&lt;&gt;"ACCREDITED 17025 WITH UNCERTAINTIES",0,"")</f>
        <v>0</v>
      </c>
      <c r="X494" s="1" t="str">
        <f>IF(Table1[[#This Row],[DUT Read]]="","N/A",Table1[[#This Row],[Std Error]]+Table1[[#This Row],[DUT Read]]+Table1[[#This Row],[DUT Ucty]])</f>
        <v>N/A</v>
      </c>
      <c r="Y494" s="1" t="str">
        <f>IF(Table1[[#This Row],[Std Read]]="","N/A",Table1[[#This Row],[Std Read]]+Table1[[#This Row],[Std Ucty]])</f>
        <v>N/A</v>
      </c>
      <c r="Z4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4" s="1" t="str">
        <f>IF(Table1[[#This Row],[Spec Type]]="","N/A",Table1[[#This Row],[Spec Type]])</f>
        <v>±</v>
      </c>
      <c r="AC494" s="1" t="str">
        <f>IF(Table1[[#This Row],[Spec Type2]]="N/A","N/A",IF(AND(Table1[[#This Row],[DUT Adj Read]]&gt;=Table1[[#This Row],[Low Tol]],Table1[[#This Row],[DUT Adj Read]]&lt;=Table1[[#This Row],[High Tol]]),"Pass","Fail"))</f>
        <v>Fail</v>
      </c>
      <c r="AD494" s="1" t="str">
        <f>IF(AND(Table1[[#This Row],[Spec Type2]]="N/A",Table1[[#This Row],[DUT Adj Read]]="N/A",Table1[[#This Row],[Std Adj Read]]="N/A"),"N/A",IF(Table1[[#This Row],[DUT Adj Read]]="N/A",IF(Table1[[#This Row],[Std Adj Read]]&gt;Table1[[#This Row],[Low Tol]],"Pass","Fail"),IF(Table1[[#This Row],[DUT Adj Read]]&gt;Table1[[#This Row],[Low Tol]],"Pass","Fail")))</f>
        <v>Pass</v>
      </c>
      <c r="AE494" s="1" t="str">
        <f>IF(AND(Table1[[#This Row],[Spec Type2]]="N/A",Table1[[#This Row],[DUT Adj Read]]="N/A",Table1[[#This Row],[Std Adj Read]]="N/A"),"N/A",IF(Table1[[#This Row],[DUT Adj Read]]="N/A",IF(Table1[[#This Row],[Std Adj Read]]&lt;Table1[[#This Row],[High Tol]],"Pass","Fail"),IF(Table1[[#This Row],[DUT Adj Read]]&lt;Table1[[#This Row],[High Tol]],"Pass","Fail")))</f>
        <v>Fail</v>
      </c>
      <c r="AF494" s="1" t="str">
        <f>IF(AND(Table1[[#This Row],[Spec Type2]]="N/A",Table1[[#This Row],[DUT Adj Read]]="N/A",Table1[[#This Row],[Std Adj Read]]="N/A"),"N/A",IF(Table1[[#This Row],[DUT Adj Read]]="N/A",IF(Table1[[#This Row],[Std Adj Read]]&gt;=Table1[[#This Row],[Low Tol]],"Pass","Fail"),IF(Table1[[#This Row],[DUT Adj Read]]&gt;=Table1[[#This Row],[Low Tol]],"Pass","Fail")))</f>
        <v>Pass</v>
      </c>
      <c r="AG494" s="1" t="str">
        <f>IF(AND(Table1[[#This Row],[Spec Type2]]="N/A",Table1[[#This Row],[DUT Adj Read]]="N/A",Table1[[#This Row],[Std Adj Read]]="N/A"),"N/A",IF(Table1[[#This Row],[DUT Adj Read]]="N/A",IF(Table1[[#This Row],[Std Adj Read]]&lt;=Table1[[#This Row],[High Tol]],"Pass","Fail"),IF(Table1[[#This Row],[DUT Adj Read]]&lt;=Table1[[#This Row],[High Tol]],"Pass","Fail")))</f>
        <v>Fail</v>
      </c>
      <c r="AH4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4" s="1" t="b">
        <v>0</v>
      </c>
      <c r="AN494" s="1" t="b">
        <v>0</v>
      </c>
      <c r="AO494" s="1" t="b">
        <v>0</v>
      </c>
    </row>
    <row r="495" spans="1:41" x14ac:dyDescent="0.25">
      <c r="A495" s="10"/>
      <c r="B495" s="10"/>
      <c r="C495" s="10"/>
      <c r="D495" s="10"/>
      <c r="E495" s="10"/>
      <c r="F495" s="10"/>
      <c r="G495" s="10"/>
      <c r="H495" s="10"/>
      <c r="I495" s="1" t="str">
        <f t="shared" si="21"/>
        <v/>
      </c>
      <c r="J495" s="1" t="s">
        <v>35</v>
      </c>
      <c r="K495" s="1" t="str">
        <f t="shared" si="22"/>
        <v/>
      </c>
      <c r="L495" s="1" t="str">
        <f t="shared" si="23"/>
        <v/>
      </c>
      <c r="M495" s="1">
        <f>IF(OR(Table1[[#This Row],[Std Nom]]="",Table1[[#This Row],[Std Read]]=""),0,Table1[[#This Row],[Std Nom]]-Table1[[#This Row],[Std Read]])</f>
        <v>0</v>
      </c>
      <c r="N495" s="1">
        <f>IF(Calculations!$F$5="ACCREDITED 17025 WITH UNCERTAINTIES",$N$10,0)</f>
        <v>0</v>
      </c>
      <c r="O495" s="1" t="str">
        <f>IFERROR(Table1[[#This Row],[Std Nom]]-(_xlfn.XLOOKUP(Table1[[#This Row],[Manufacturer]]&amp;" "&amp;Table1[[#This Row],[Model]],Table13[MFR &amp; MDL],Table13[Tolerance % CW ],"")/100*Table1[[#This Row],[Std Nom]]),"")</f>
        <v/>
      </c>
      <c r="P495" s="1" t="str">
        <f>IFERROR(Table1[[#This Row],[Std Nom]]+(_xlfn.XLOOKUP(Table1[[#This Row],[Manufacturer]]&amp;" "&amp;Table1[[#This Row],[Model]],Table13[MFR &amp; MDL],Table13[Tolerance % CW ],"")/100*Table1[[#This Row],[Std Nom]]),"")</f>
        <v/>
      </c>
      <c r="Q495" s="1" t="e">
        <f>Table1[[#This Row],[High Tol]]-Table1[[#This Row],[Low Tol]]</f>
        <v>#VALUE!</v>
      </c>
      <c r="R495" s="1">
        <f>2*Table1[[#This Row],[Std Error]]</f>
        <v>0</v>
      </c>
      <c r="S495" s="1" t="str">
        <f>IF(Table1[[#This Row],[High Tol]]="","N/A",IFERROR(ABS(Table1[[#This Row],[Tol Span]]/Table1[[#This Row],[Error Span]]),"N/A"))</f>
        <v>N/A</v>
      </c>
      <c r="T495" s="1" t="str">
        <f>IF(OR(Table1[[#This Row],[Low Tol]]="",Table1[[#This Row],[High Tol]]=""),"Needs Analysis",IF(Table1[[#This Row],[Ratio]]&gt;=4,"Not Significant",IF(Table1[[#This Row],[Ratio]]&gt;=2,"Semi-Significant","Significant")))</f>
        <v>Needs Analysis</v>
      </c>
      <c r="W495" s="1">
        <f>IF(Table1[[#This Row],[Cal Type]]&lt;&gt;"ACCREDITED 17025 WITH UNCERTAINTIES",0,"")</f>
        <v>0</v>
      </c>
      <c r="X495" s="1" t="str">
        <f>IF(Table1[[#This Row],[DUT Read]]="","N/A",Table1[[#This Row],[Std Error]]+Table1[[#This Row],[DUT Read]]+Table1[[#This Row],[DUT Ucty]])</f>
        <v>N/A</v>
      </c>
      <c r="Y495" s="1" t="str">
        <f>IF(Table1[[#This Row],[Std Read]]="","N/A",Table1[[#This Row],[Std Read]]+Table1[[#This Row],[Std Ucty]])</f>
        <v>N/A</v>
      </c>
      <c r="Z4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5" s="1" t="str">
        <f>IF(Table1[[#This Row],[Spec Type]]="","N/A",Table1[[#This Row],[Spec Type]])</f>
        <v>±</v>
      </c>
      <c r="AC495" s="1" t="str">
        <f>IF(Table1[[#This Row],[Spec Type2]]="N/A","N/A",IF(AND(Table1[[#This Row],[DUT Adj Read]]&gt;=Table1[[#This Row],[Low Tol]],Table1[[#This Row],[DUT Adj Read]]&lt;=Table1[[#This Row],[High Tol]]),"Pass","Fail"))</f>
        <v>Fail</v>
      </c>
      <c r="AD495" s="1" t="str">
        <f>IF(AND(Table1[[#This Row],[Spec Type2]]="N/A",Table1[[#This Row],[DUT Adj Read]]="N/A",Table1[[#This Row],[Std Adj Read]]="N/A"),"N/A",IF(Table1[[#This Row],[DUT Adj Read]]="N/A",IF(Table1[[#This Row],[Std Adj Read]]&gt;Table1[[#This Row],[Low Tol]],"Pass","Fail"),IF(Table1[[#This Row],[DUT Adj Read]]&gt;Table1[[#This Row],[Low Tol]],"Pass","Fail")))</f>
        <v>Pass</v>
      </c>
      <c r="AE495" s="1" t="str">
        <f>IF(AND(Table1[[#This Row],[Spec Type2]]="N/A",Table1[[#This Row],[DUT Adj Read]]="N/A",Table1[[#This Row],[Std Adj Read]]="N/A"),"N/A",IF(Table1[[#This Row],[DUT Adj Read]]="N/A",IF(Table1[[#This Row],[Std Adj Read]]&lt;Table1[[#This Row],[High Tol]],"Pass","Fail"),IF(Table1[[#This Row],[DUT Adj Read]]&lt;Table1[[#This Row],[High Tol]],"Pass","Fail")))</f>
        <v>Fail</v>
      </c>
      <c r="AF495" s="1" t="str">
        <f>IF(AND(Table1[[#This Row],[Spec Type2]]="N/A",Table1[[#This Row],[DUT Adj Read]]="N/A",Table1[[#This Row],[Std Adj Read]]="N/A"),"N/A",IF(Table1[[#This Row],[DUT Adj Read]]="N/A",IF(Table1[[#This Row],[Std Adj Read]]&gt;=Table1[[#This Row],[Low Tol]],"Pass","Fail"),IF(Table1[[#This Row],[DUT Adj Read]]&gt;=Table1[[#This Row],[Low Tol]],"Pass","Fail")))</f>
        <v>Pass</v>
      </c>
      <c r="AG495" s="1" t="str">
        <f>IF(AND(Table1[[#This Row],[Spec Type2]]="N/A",Table1[[#This Row],[DUT Adj Read]]="N/A",Table1[[#This Row],[Std Adj Read]]="N/A"),"N/A",IF(Table1[[#This Row],[DUT Adj Read]]="N/A",IF(Table1[[#This Row],[Std Adj Read]]&lt;=Table1[[#This Row],[High Tol]],"Pass","Fail"),IF(Table1[[#This Row],[DUT Adj Read]]&lt;=Table1[[#This Row],[High Tol]],"Pass","Fail")))</f>
        <v>Fail</v>
      </c>
      <c r="AH4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5" s="1" t="b">
        <v>0</v>
      </c>
      <c r="AN495" s="1" t="b">
        <v>0</v>
      </c>
      <c r="AO495" s="1" t="b">
        <v>0</v>
      </c>
    </row>
    <row r="496" spans="1:41" x14ac:dyDescent="0.25">
      <c r="A496" s="10"/>
      <c r="B496" s="10"/>
      <c r="C496" s="10"/>
      <c r="D496" s="10"/>
      <c r="E496" s="10"/>
      <c r="F496" s="10"/>
      <c r="G496" s="10"/>
      <c r="H496" s="10"/>
      <c r="I496" s="1" t="str">
        <f t="shared" si="21"/>
        <v/>
      </c>
      <c r="J496" s="1" t="s">
        <v>35</v>
      </c>
      <c r="K496" s="1" t="str">
        <f t="shared" si="22"/>
        <v/>
      </c>
      <c r="L496" s="1" t="str">
        <f t="shared" si="23"/>
        <v/>
      </c>
      <c r="M496" s="1">
        <f>IF(OR(Table1[[#This Row],[Std Nom]]="",Table1[[#This Row],[Std Read]]=""),0,Table1[[#This Row],[Std Nom]]-Table1[[#This Row],[Std Read]])</f>
        <v>0</v>
      </c>
      <c r="N496" s="1">
        <f>IF(Calculations!$F$5="ACCREDITED 17025 WITH UNCERTAINTIES",$N$10,0)</f>
        <v>0</v>
      </c>
      <c r="O496" s="1" t="str">
        <f>IFERROR(Table1[[#This Row],[Std Nom]]-(_xlfn.XLOOKUP(Table1[[#This Row],[Manufacturer]]&amp;" "&amp;Table1[[#This Row],[Model]],Table13[MFR &amp; MDL],Table13[Tolerance % CW ],"")/100*Table1[[#This Row],[Std Nom]]),"")</f>
        <v/>
      </c>
      <c r="P496" s="1" t="str">
        <f>IFERROR(Table1[[#This Row],[Std Nom]]+(_xlfn.XLOOKUP(Table1[[#This Row],[Manufacturer]]&amp;" "&amp;Table1[[#This Row],[Model]],Table13[MFR &amp; MDL],Table13[Tolerance % CW ],"")/100*Table1[[#This Row],[Std Nom]]),"")</f>
        <v/>
      </c>
      <c r="Q496" s="1" t="e">
        <f>Table1[[#This Row],[High Tol]]-Table1[[#This Row],[Low Tol]]</f>
        <v>#VALUE!</v>
      </c>
      <c r="R496" s="1">
        <f>2*Table1[[#This Row],[Std Error]]</f>
        <v>0</v>
      </c>
      <c r="S496" s="1" t="str">
        <f>IF(Table1[[#This Row],[High Tol]]="","N/A",IFERROR(ABS(Table1[[#This Row],[Tol Span]]/Table1[[#This Row],[Error Span]]),"N/A"))</f>
        <v>N/A</v>
      </c>
      <c r="T496" s="1" t="str">
        <f>IF(OR(Table1[[#This Row],[Low Tol]]="",Table1[[#This Row],[High Tol]]=""),"Needs Analysis",IF(Table1[[#This Row],[Ratio]]&gt;=4,"Not Significant",IF(Table1[[#This Row],[Ratio]]&gt;=2,"Semi-Significant","Significant")))</f>
        <v>Needs Analysis</v>
      </c>
      <c r="W496" s="1">
        <f>IF(Table1[[#This Row],[Cal Type]]&lt;&gt;"ACCREDITED 17025 WITH UNCERTAINTIES",0,"")</f>
        <v>0</v>
      </c>
      <c r="X496" s="1" t="str">
        <f>IF(Table1[[#This Row],[DUT Read]]="","N/A",Table1[[#This Row],[Std Error]]+Table1[[#This Row],[DUT Read]]+Table1[[#This Row],[DUT Ucty]])</f>
        <v>N/A</v>
      </c>
      <c r="Y496" s="1" t="str">
        <f>IF(Table1[[#This Row],[Std Read]]="","N/A",Table1[[#This Row],[Std Read]]+Table1[[#This Row],[Std Ucty]])</f>
        <v>N/A</v>
      </c>
      <c r="Z4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6" s="1" t="str">
        <f>IF(Table1[[#This Row],[Spec Type]]="","N/A",Table1[[#This Row],[Spec Type]])</f>
        <v>±</v>
      </c>
      <c r="AC496" s="1" t="str">
        <f>IF(Table1[[#This Row],[Spec Type2]]="N/A","N/A",IF(AND(Table1[[#This Row],[DUT Adj Read]]&gt;=Table1[[#This Row],[Low Tol]],Table1[[#This Row],[DUT Adj Read]]&lt;=Table1[[#This Row],[High Tol]]),"Pass","Fail"))</f>
        <v>Fail</v>
      </c>
      <c r="AD496" s="1" t="str">
        <f>IF(AND(Table1[[#This Row],[Spec Type2]]="N/A",Table1[[#This Row],[DUT Adj Read]]="N/A",Table1[[#This Row],[Std Adj Read]]="N/A"),"N/A",IF(Table1[[#This Row],[DUT Adj Read]]="N/A",IF(Table1[[#This Row],[Std Adj Read]]&gt;Table1[[#This Row],[Low Tol]],"Pass","Fail"),IF(Table1[[#This Row],[DUT Adj Read]]&gt;Table1[[#This Row],[Low Tol]],"Pass","Fail")))</f>
        <v>Pass</v>
      </c>
      <c r="AE496" s="1" t="str">
        <f>IF(AND(Table1[[#This Row],[Spec Type2]]="N/A",Table1[[#This Row],[DUT Adj Read]]="N/A",Table1[[#This Row],[Std Adj Read]]="N/A"),"N/A",IF(Table1[[#This Row],[DUT Adj Read]]="N/A",IF(Table1[[#This Row],[Std Adj Read]]&lt;Table1[[#This Row],[High Tol]],"Pass","Fail"),IF(Table1[[#This Row],[DUT Adj Read]]&lt;Table1[[#This Row],[High Tol]],"Pass","Fail")))</f>
        <v>Fail</v>
      </c>
      <c r="AF496" s="1" t="str">
        <f>IF(AND(Table1[[#This Row],[Spec Type2]]="N/A",Table1[[#This Row],[DUT Adj Read]]="N/A",Table1[[#This Row],[Std Adj Read]]="N/A"),"N/A",IF(Table1[[#This Row],[DUT Adj Read]]="N/A",IF(Table1[[#This Row],[Std Adj Read]]&gt;=Table1[[#This Row],[Low Tol]],"Pass","Fail"),IF(Table1[[#This Row],[DUT Adj Read]]&gt;=Table1[[#This Row],[Low Tol]],"Pass","Fail")))</f>
        <v>Pass</v>
      </c>
      <c r="AG496" s="1" t="str">
        <f>IF(AND(Table1[[#This Row],[Spec Type2]]="N/A",Table1[[#This Row],[DUT Adj Read]]="N/A",Table1[[#This Row],[Std Adj Read]]="N/A"),"N/A",IF(Table1[[#This Row],[DUT Adj Read]]="N/A",IF(Table1[[#This Row],[Std Adj Read]]&lt;=Table1[[#This Row],[High Tol]],"Pass","Fail"),IF(Table1[[#This Row],[DUT Adj Read]]&lt;=Table1[[#This Row],[High Tol]],"Pass","Fail")))</f>
        <v>Fail</v>
      </c>
      <c r="AH4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6" s="1" t="b">
        <v>0</v>
      </c>
      <c r="AN496" s="1" t="b">
        <v>0</v>
      </c>
      <c r="AO496" s="1" t="b">
        <v>0</v>
      </c>
    </row>
    <row r="497" spans="1:41" x14ac:dyDescent="0.25">
      <c r="A497" s="10"/>
      <c r="B497" s="10"/>
      <c r="C497" s="10"/>
      <c r="D497" s="10"/>
      <c r="E497" s="10"/>
      <c r="F497" s="10"/>
      <c r="G497" s="10"/>
      <c r="H497" s="10"/>
      <c r="I497" s="1" t="str">
        <f t="shared" si="21"/>
        <v/>
      </c>
      <c r="J497" s="1" t="s">
        <v>35</v>
      </c>
      <c r="K497" s="1" t="str">
        <f t="shared" si="22"/>
        <v/>
      </c>
      <c r="L497" s="1" t="str">
        <f t="shared" si="23"/>
        <v/>
      </c>
      <c r="M497" s="1">
        <f>IF(OR(Table1[[#This Row],[Std Nom]]="",Table1[[#This Row],[Std Read]]=""),0,Table1[[#This Row],[Std Nom]]-Table1[[#This Row],[Std Read]])</f>
        <v>0</v>
      </c>
      <c r="N497" s="1">
        <f>IF(Calculations!$F$5="ACCREDITED 17025 WITH UNCERTAINTIES",$N$10,0)</f>
        <v>0</v>
      </c>
      <c r="O497" s="1" t="str">
        <f>IFERROR(Table1[[#This Row],[Std Nom]]-(_xlfn.XLOOKUP(Table1[[#This Row],[Manufacturer]]&amp;" "&amp;Table1[[#This Row],[Model]],Table13[MFR &amp; MDL],Table13[Tolerance % CW ],"")/100*Table1[[#This Row],[Std Nom]]),"")</f>
        <v/>
      </c>
      <c r="P497" s="1" t="str">
        <f>IFERROR(Table1[[#This Row],[Std Nom]]+(_xlfn.XLOOKUP(Table1[[#This Row],[Manufacturer]]&amp;" "&amp;Table1[[#This Row],[Model]],Table13[MFR &amp; MDL],Table13[Tolerance % CW ],"")/100*Table1[[#This Row],[Std Nom]]),"")</f>
        <v/>
      </c>
      <c r="Q497" s="1" t="e">
        <f>Table1[[#This Row],[High Tol]]-Table1[[#This Row],[Low Tol]]</f>
        <v>#VALUE!</v>
      </c>
      <c r="R497" s="1">
        <f>2*Table1[[#This Row],[Std Error]]</f>
        <v>0</v>
      </c>
      <c r="S497" s="1" t="str">
        <f>IF(Table1[[#This Row],[High Tol]]="","N/A",IFERROR(ABS(Table1[[#This Row],[Tol Span]]/Table1[[#This Row],[Error Span]]),"N/A"))</f>
        <v>N/A</v>
      </c>
      <c r="T497" s="1" t="str">
        <f>IF(OR(Table1[[#This Row],[Low Tol]]="",Table1[[#This Row],[High Tol]]=""),"Needs Analysis",IF(Table1[[#This Row],[Ratio]]&gt;=4,"Not Significant",IF(Table1[[#This Row],[Ratio]]&gt;=2,"Semi-Significant","Significant")))</f>
        <v>Needs Analysis</v>
      </c>
      <c r="W497" s="1">
        <f>IF(Table1[[#This Row],[Cal Type]]&lt;&gt;"ACCREDITED 17025 WITH UNCERTAINTIES",0,"")</f>
        <v>0</v>
      </c>
      <c r="X497" s="1" t="str">
        <f>IF(Table1[[#This Row],[DUT Read]]="","N/A",Table1[[#This Row],[Std Error]]+Table1[[#This Row],[DUT Read]]+Table1[[#This Row],[DUT Ucty]])</f>
        <v>N/A</v>
      </c>
      <c r="Y497" s="1" t="str">
        <f>IF(Table1[[#This Row],[Std Read]]="","N/A",Table1[[#This Row],[Std Read]]+Table1[[#This Row],[Std Ucty]])</f>
        <v>N/A</v>
      </c>
      <c r="Z4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7" s="1" t="str">
        <f>IF(Table1[[#This Row],[Spec Type]]="","N/A",Table1[[#This Row],[Spec Type]])</f>
        <v>±</v>
      </c>
      <c r="AC497" s="1" t="str">
        <f>IF(Table1[[#This Row],[Spec Type2]]="N/A","N/A",IF(AND(Table1[[#This Row],[DUT Adj Read]]&gt;=Table1[[#This Row],[Low Tol]],Table1[[#This Row],[DUT Adj Read]]&lt;=Table1[[#This Row],[High Tol]]),"Pass","Fail"))</f>
        <v>Fail</v>
      </c>
      <c r="AD497" s="1" t="str">
        <f>IF(AND(Table1[[#This Row],[Spec Type2]]="N/A",Table1[[#This Row],[DUT Adj Read]]="N/A",Table1[[#This Row],[Std Adj Read]]="N/A"),"N/A",IF(Table1[[#This Row],[DUT Adj Read]]="N/A",IF(Table1[[#This Row],[Std Adj Read]]&gt;Table1[[#This Row],[Low Tol]],"Pass","Fail"),IF(Table1[[#This Row],[DUT Adj Read]]&gt;Table1[[#This Row],[Low Tol]],"Pass","Fail")))</f>
        <v>Pass</v>
      </c>
      <c r="AE497" s="1" t="str">
        <f>IF(AND(Table1[[#This Row],[Spec Type2]]="N/A",Table1[[#This Row],[DUT Adj Read]]="N/A",Table1[[#This Row],[Std Adj Read]]="N/A"),"N/A",IF(Table1[[#This Row],[DUT Adj Read]]="N/A",IF(Table1[[#This Row],[Std Adj Read]]&lt;Table1[[#This Row],[High Tol]],"Pass","Fail"),IF(Table1[[#This Row],[DUT Adj Read]]&lt;Table1[[#This Row],[High Tol]],"Pass","Fail")))</f>
        <v>Fail</v>
      </c>
      <c r="AF497" s="1" t="str">
        <f>IF(AND(Table1[[#This Row],[Spec Type2]]="N/A",Table1[[#This Row],[DUT Adj Read]]="N/A",Table1[[#This Row],[Std Adj Read]]="N/A"),"N/A",IF(Table1[[#This Row],[DUT Adj Read]]="N/A",IF(Table1[[#This Row],[Std Adj Read]]&gt;=Table1[[#This Row],[Low Tol]],"Pass","Fail"),IF(Table1[[#This Row],[DUT Adj Read]]&gt;=Table1[[#This Row],[Low Tol]],"Pass","Fail")))</f>
        <v>Pass</v>
      </c>
      <c r="AG497" s="1" t="str">
        <f>IF(AND(Table1[[#This Row],[Spec Type2]]="N/A",Table1[[#This Row],[DUT Adj Read]]="N/A",Table1[[#This Row],[Std Adj Read]]="N/A"),"N/A",IF(Table1[[#This Row],[DUT Adj Read]]="N/A",IF(Table1[[#This Row],[Std Adj Read]]&lt;=Table1[[#This Row],[High Tol]],"Pass","Fail"),IF(Table1[[#This Row],[DUT Adj Read]]&lt;=Table1[[#This Row],[High Tol]],"Pass","Fail")))</f>
        <v>Fail</v>
      </c>
      <c r="AH4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7" s="1" t="b">
        <v>0</v>
      </c>
      <c r="AN497" s="1" t="b">
        <v>0</v>
      </c>
      <c r="AO497" s="1" t="b">
        <v>0</v>
      </c>
    </row>
    <row r="498" spans="1:41" x14ac:dyDescent="0.25">
      <c r="A498" s="10"/>
      <c r="B498" s="10"/>
      <c r="C498" s="10"/>
      <c r="D498" s="10"/>
      <c r="E498" s="10"/>
      <c r="F498" s="10"/>
      <c r="G498" s="10"/>
      <c r="H498" s="10"/>
      <c r="I498" s="1" t="str">
        <f t="shared" si="21"/>
        <v/>
      </c>
      <c r="J498" s="1" t="s">
        <v>35</v>
      </c>
      <c r="K498" s="1" t="str">
        <f t="shared" si="22"/>
        <v/>
      </c>
      <c r="L498" s="1" t="str">
        <f t="shared" si="23"/>
        <v/>
      </c>
      <c r="M498" s="1">
        <f>IF(OR(Table1[[#This Row],[Std Nom]]="",Table1[[#This Row],[Std Read]]=""),0,Table1[[#This Row],[Std Nom]]-Table1[[#This Row],[Std Read]])</f>
        <v>0</v>
      </c>
      <c r="N498" s="1">
        <f>IF(Calculations!$F$5="ACCREDITED 17025 WITH UNCERTAINTIES",$N$10,0)</f>
        <v>0</v>
      </c>
      <c r="O498" s="1" t="str">
        <f>IFERROR(Table1[[#This Row],[Std Nom]]-(_xlfn.XLOOKUP(Table1[[#This Row],[Manufacturer]]&amp;" "&amp;Table1[[#This Row],[Model]],Table13[MFR &amp; MDL],Table13[Tolerance % CW ],"")/100*Table1[[#This Row],[Std Nom]]),"")</f>
        <v/>
      </c>
      <c r="P498" s="1" t="str">
        <f>IFERROR(Table1[[#This Row],[Std Nom]]+(_xlfn.XLOOKUP(Table1[[#This Row],[Manufacturer]]&amp;" "&amp;Table1[[#This Row],[Model]],Table13[MFR &amp; MDL],Table13[Tolerance % CW ],"")/100*Table1[[#This Row],[Std Nom]]),"")</f>
        <v/>
      </c>
      <c r="Q498" s="1" t="e">
        <f>Table1[[#This Row],[High Tol]]-Table1[[#This Row],[Low Tol]]</f>
        <v>#VALUE!</v>
      </c>
      <c r="R498" s="1">
        <f>2*Table1[[#This Row],[Std Error]]</f>
        <v>0</v>
      </c>
      <c r="S498" s="1" t="str">
        <f>IF(Table1[[#This Row],[High Tol]]="","N/A",IFERROR(ABS(Table1[[#This Row],[Tol Span]]/Table1[[#This Row],[Error Span]]),"N/A"))</f>
        <v>N/A</v>
      </c>
      <c r="T498" s="1" t="str">
        <f>IF(OR(Table1[[#This Row],[Low Tol]]="",Table1[[#This Row],[High Tol]]=""),"Needs Analysis",IF(Table1[[#This Row],[Ratio]]&gt;=4,"Not Significant",IF(Table1[[#This Row],[Ratio]]&gt;=2,"Semi-Significant","Significant")))</f>
        <v>Needs Analysis</v>
      </c>
      <c r="W498" s="1">
        <f>IF(Table1[[#This Row],[Cal Type]]&lt;&gt;"ACCREDITED 17025 WITH UNCERTAINTIES",0,"")</f>
        <v>0</v>
      </c>
      <c r="X498" s="1" t="str">
        <f>IF(Table1[[#This Row],[DUT Read]]="","N/A",Table1[[#This Row],[Std Error]]+Table1[[#This Row],[DUT Read]]+Table1[[#This Row],[DUT Ucty]])</f>
        <v>N/A</v>
      </c>
      <c r="Y498" s="1" t="str">
        <f>IF(Table1[[#This Row],[Std Read]]="","N/A",Table1[[#This Row],[Std Read]]+Table1[[#This Row],[Std Ucty]])</f>
        <v>N/A</v>
      </c>
      <c r="Z4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8" s="1" t="str">
        <f>IF(Table1[[#This Row],[Spec Type]]="","N/A",Table1[[#This Row],[Spec Type]])</f>
        <v>±</v>
      </c>
      <c r="AC498" s="1" t="str">
        <f>IF(Table1[[#This Row],[Spec Type2]]="N/A","N/A",IF(AND(Table1[[#This Row],[DUT Adj Read]]&gt;=Table1[[#This Row],[Low Tol]],Table1[[#This Row],[DUT Adj Read]]&lt;=Table1[[#This Row],[High Tol]]),"Pass","Fail"))</f>
        <v>Fail</v>
      </c>
      <c r="AD498" s="1" t="str">
        <f>IF(AND(Table1[[#This Row],[Spec Type2]]="N/A",Table1[[#This Row],[DUT Adj Read]]="N/A",Table1[[#This Row],[Std Adj Read]]="N/A"),"N/A",IF(Table1[[#This Row],[DUT Adj Read]]="N/A",IF(Table1[[#This Row],[Std Adj Read]]&gt;Table1[[#This Row],[Low Tol]],"Pass","Fail"),IF(Table1[[#This Row],[DUT Adj Read]]&gt;Table1[[#This Row],[Low Tol]],"Pass","Fail")))</f>
        <v>Pass</v>
      </c>
      <c r="AE498" s="1" t="str">
        <f>IF(AND(Table1[[#This Row],[Spec Type2]]="N/A",Table1[[#This Row],[DUT Adj Read]]="N/A",Table1[[#This Row],[Std Adj Read]]="N/A"),"N/A",IF(Table1[[#This Row],[DUT Adj Read]]="N/A",IF(Table1[[#This Row],[Std Adj Read]]&lt;Table1[[#This Row],[High Tol]],"Pass","Fail"),IF(Table1[[#This Row],[DUT Adj Read]]&lt;Table1[[#This Row],[High Tol]],"Pass","Fail")))</f>
        <v>Fail</v>
      </c>
      <c r="AF498" s="1" t="str">
        <f>IF(AND(Table1[[#This Row],[Spec Type2]]="N/A",Table1[[#This Row],[DUT Adj Read]]="N/A",Table1[[#This Row],[Std Adj Read]]="N/A"),"N/A",IF(Table1[[#This Row],[DUT Adj Read]]="N/A",IF(Table1[[#This Row],[Std Adj Read]]&gt;=Table1[[#This Row],[Low Tol]],"Pass","Fail"),IF(Table1[[#This Row],[DUT Adj Read]]&gt;=Table1[[#This Row],[Low Tol]],"Pass","Fail")))</f>
        <v>Pass</v>
      </c>
      <c r="AG498" s="1" t="str">
        <f>IF(AND(Table1[[#This Row],[Spec Type2]]="N/A",Table1[[#This Row],[DUT Adj Read]]="N/A",Table1[[#This Row],[Std Adj Read]]="N/A"),"N/A",IF(Table1[[#This Row],[DUT Adj Read]]="N/A",IF(Table1[[#This Row],[Std Adj Read]]&lt;=Table1[[#This Row],[High Tol]],"Pass","Fail"),IF(Table1[[#This Row],[DUT Adj Read]]&lt;=Table1[[#This Row],[High Tol]],"Pass","Fail")))</f>
        <v>Fail</v>
      </c>
      <c r="AH4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8" s="1" t="b">
        <v>0</v>
      </c>
      <c r="AN498" s="1" t="b">
        <v>0</v>
      </c>
      <c r="AO498" s="1" t="b">
        <v>0</v>
      </c>
    </row>
    <row r="499" spans="1:41" x14ac:dyDescent="0.25">
      <c r="A499" s="10"/>
      <c r="B499" s="10"/>
      <c r="C499" s="10"/>
      <c r="D499" s="10"/>
      <c r="E499" s="10"/>
      <c r="F499" s="10"/>
      <c r="G499" s="10"/>
      <c r="H499" s="10"/>
      <c r="I499" s="1" t="str">
        <f t="shared" si="21"/>
        <v/>
      </c>
      <c r="J499" s="1" t="s">
        <v>35</v>
      </c>
      <c r="K499" s="1" t="str">
        <f t="shared" si="22"/>
        <v/>
      </c>
      <c r="L499" s="1" t="str">
        <f t="shared" si="23"/>
        <v/>
      </c>
      <c r="M499" s="1">
        <f>IF(OR(Table1[[#This Row],[Std Nom]]="",Table1[[#This Row],[Std Read]]=""),0,Table1[[#This Row],[Std Nom]]-Table1[[#This Row],[Std Read]])</f>
        <v>0</v>
      </c>
      <c r="N499" s="1">
        <f>IF(Calculations!$F$5="ACCREDITED 17025 WITH UNCERTAINTIES",$N$10,0)</f>
        <v>0</v>
      </c>
      <c r="O499" s="1" t="str">
        <f>IFERROR(Table1[[#This Row],[Std Nom]]-(_xlfn.XLOOKUP(Table1[[#This Row],[Manufacturer]]&amp;" "&amp;Table1[[#This Row],[Model]],Table13[MFR &amp; MDL],Table13[Tolerance % CW ],"")/100*Table1[[#This Row],[Std Nom]]),"")</f>
        <v/>
      </c>
      <c r="P499" s="1" t="str">
        <f>IFERROR(Table1[[#This Row],[Std Nom]]+(_xlfn.XLOOKUP(Table1[[#This Row],[Manufacturer]]&amp;" "&amp;Table1[[#This Row],[Model]],Table13[MFR &amp; MDL],Table13[Tolerance % CW ],"")/100*Table1[[#This Row],[Std Nom]]),"")</f>
        <v/>
      </c>
      <c r="Q499" s="1" t="e">
        <f>Table1[[#This Row],[High Tol]]-Table1[[#This Row],[Low Tol]]</f>
        <v>#VALUE!</v>
      </c>
      <c r="R499" s="1">
        <f>2*Table1[[#This Row],[Std Error]]</f>
        <v>0</v>
      </c>
      <c r="S499" s="1" t="str">
        <f>IF(Table1[[#This Row],[High Tol]]="","N/A",IFERROR(ABS(Table1[[#This Row],[Tol Span]]/Table1[[#This Row],[Error Span]]),"N/A"))</f>
        <v>N/A</v>
      </c>
      <c r="T499" s="1" t="str">
        <f>IF(OR(Table1[[#This Row],[Low Tol]]="",Table1[[#This Row],[High Tol]]=""),"Needs Analysis",IF(Table1[[#This Row],[Ratio]]&gt;=4,"Not Significant",IF(Table1[[#This Row],[Ratio]]&gt;=2,"Semi-Significant","Significant")))</f>
        <v>Needs Analysis</v>
      </c>
      <c r="W499" s="1">
        <f>IF(Table1[[#This Row],[Cal Type]]&lt;&gt;"ACCREDITED 17025 WITH UNCERTAINTIES",0,"")</f>
        <v>0</v>
      </c>
      <c r="X499" s="1" t="str">
        <f>IF(Table1[[#This Row],[DUT Read]]="","N/A",Table1[[#This Row],[Std Error]]+Table1[[#This Row],[DUT Read]]+Table1[[#This Row],[DUT Ucty]])</f>
        <v>N/A</v>
      </c>
      <c r="Y499" s="1" t="str">
        <f>IF(Table1[[#This Row],[Std Read]]="","N/A",Table1[[#This Row],[Std Read]]+Table1[[#This Row],[Std Ucty]])</f>
        <v>N/A</v>
      </c>
      <c r="Z4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9" s="1" t="str">
        <f>IF(Table1[[#This Row],[Spec Type]]="","N/A",Table1[[#This Row],[Spec Type]])</f>
        <v>±</v>
      </c>
      <c r="AC499" s="1" t="str">
        <f>IF(Table1[[#This Row],[Spec Type2]]="N/A","N/A",IF(AND(Table1[[#This Row],[DUT Adj Read]]&gt;=Table1[[#This Row],[Low Tol]],Table1[[#This Row],[DUT Adj Read]]&lt;=Table1[[#This Row],[High Tol]]),"Pass","Fail"))</f>
        <v>Fail</v>
      </c>
      <c r="AD499" s="1" t="str">
        <f>IF(AND(Table1[[#This Row],[Spec Type2]]="N/A",Table1[[#This Row],[DUT Adj Read]]="N/A",Table1[[#This Row],[Std Adj Read]]="N/A"),"N/A",IF(Table1[[#This Row],[DUT Adj Read]]="N/A",IF(Table1[[#This Row],[Std Adj Read]]&gt;Table1[[#This Row],[Low Tol]],"Pass","Fail"),IF(Table1[[#This Row],[DUT Adj Read]]&gt;Table1[[#This Row],[Low Tol]],"Pass","Fail")))</f>
        <v>Pass</v>
      </c>
      <c r="AE499" s="1" t="str">
        <f>IF(AND(Table1[[#This Row],[Spec Type2]]="N/A",Table1[[#This Row],[DUT Adj Read]]="N/A",Table1[[#This Row],[Std Adj Read]]="N/A"),"N/A",IF(Table1[[#This Row],[DUT Adj Read]]="N/A",IF(Table1[[#This Row],[Std Adj Read]]&lt;Table1[[#This Row],[High Tol]],"Pass","Fail"),IF(Table1[[#This Row],[DUT Adj Read]]&lt;Table1[[#This Row],[High Tol]],"Pass","Fail")))</f>
        <v>Fail</v>
      </c>
      <c r="AF499" s="1" t="str">
        <f>IF(AND(Table1[[#This Row],[Spec Type2]]="N/A",Table1[[#This Row],[DUT Adj Read]]="N/A",Table1[[#This Row],[Std Adj Read]]="N/A"),"N/A",IF(Table1[[#This Row],[DUT Adj Read]]="N/A",IF(Table1[[#This Row],[Std Adj Read]]&gt;=Table1[[#This Row],[Low Tol]],"Pass","Fail"),IF(Table1[[#This Row],[DUT Adj Read]]&gt;=Table1[[#This Row],[Low Tol]],"Pass","Fail")))</f>
        <v>Pass</v>
      </c>
      <c r="AG499" s="1" t="str">
        <f>IF(AND(Table1[[#This Row],[Spec Type2]]="N/A",Table1[[#This Row],[DUT Adj Read]]="N/A",Table1[[#This Row],[Std Adj Read]]="N/A"),"N/A",IF(Table1[[#This Row],[DUT Adj Read]]="N/A",IF(Table1[[#This Row],[Std Adj Read]]&lt;=Table1[[#This Row],[High Tol]],"Pass","Fail"),IF(Table1[[#This Row],[DUT Adj Read]]&lt;=Table1[[#This Row],[High Tol]],"Pass","Fail")))</f>
        <v>Fail</v>
      </c>
      <c r="AH4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9" s="1" t="b">
        <v>0</v>
      </c>
      <c r="AN499" s="1" t="b">
        <v>0</v>
      </c>
      <c r="AO499" s="1" t="b">
        <v>0</v>
      </c>
    </row>
    <row r="500" spans="1:41" x14ac:dyDescent="0.25">
      <c r="A500" s="10"/>
      <c r="B500" s="10"/>
      <c r="C500" s="10"/>
      <c r="D500" s="10"/>
      <c r="E500" s="10"/>
      <c r="F500" s="10"/>
      <c r="G500" s="10"/>
      <c r="H500" s="10"/>
      <c r="I500" s="1" t="str">
        <f t="shared" si="21"/>
        <v/>
      </c>
      <c r="J500" s="1" t="s">
        <v>35</v>
      </c>
      <c r="K500" s="1" t="str">
        <f t="shared" si="22"/>
        <v/>
      </c>
      <c r="L500" s="1" t="str">
        <f t="shared" si="23"/>
        <v/>
      </c>
      <c r="M500" s="1">
        <f>IF(OR(Table1[[#This Row],[Std Nom]]="",Table1[[#This Row],[Std Read]]=""),0,Table1[[#This Row],[Std Nom]]-Table1[[#This Row],[Std Read]])</f>
        <v>0</v>
      </c>
      <c r="N500" s="1">
        <f>IF(Calculations!$F$5="ACCREDITED 17025 WITH UNCERTAINTIES",$N$10,0)</f>
        <v>0</v>
      </c>
      <c r="O500" s="1" t="str">
        <f>IFERROR(Table1[[#This Row],[Std Nom]]-(_xlfn.XLOOKUP(Table1[[#This Row],[Manufacturer]]&amp;" "&amp;Table1[[#This Row],[Model]],Table13[MFR &amp; MDL],Table13[Tolerance % CW ],"")/100*Table1[[#This Row],[Std Nom]]),"")</f>
        <v/>
      </c>
      <c r="P500" s="1" t="str">
        <f>IFERROR(Table1[[#This Row],[Std Nom]]+(_xlfn.XLOOKUP(Table1[[#This Row],[Manufacturer]]&amp;" "&amp;Table1[[#This Row],[Model]],Table13[MFR &amp; MDL],Table13[Tolerance % CW ],"")/100*Table1[[#This Row],[Std Nom]]),"")</f>
        <v/>
      </c>
      <c r="Q500" s="1" t="e">
        <f>Table1[[#This Row],[High Tol]]-Table1[[#This Row],[Low Tol]]</f>
        <v>#VALUE!</v>
      </c>
      <c r="R500" s="1">
        <f>2*Table1[[#This Row],[Std Error]]</f>
        <v>0</v>
      </c>
      <c r="S500" s="1" t="str">
        <f>IF(Table1[[#This Row],[High Tol]]="","N/A",IFERROR(ABS(Table1[[#This Row],[Tol Span]]/Table1[[#This Row],[Error Span]]),"N/A"))</f>
        <v>N/A</v>
      </c>
      <c r="T500" s="1" t="str">
        <f>IF(OR(Table1[[#This Row],[Low Tol]]="",Table1[[#This Row],[High Tol]]=""),"Needs Analysis",IF(Table1[[#This Row],[Ratio]]&gt;=4,"Not Significant",IF(Table1[[#This Row],[Ratio]]&gt;=2,"Semi-Significant","Significant")))</f>
        <v>Needs Analysis</v>
      </c>
      <c r="W500" s="1">
        <f>IF(Table1[[#This Row],[Cal Type]]&lt;&gt;"ACCREDITED 17025 WITH UNCERTAINTIES",0,"")</f>
        <v>0</v>
      </c>
      <c r="X500" s="1" t="str">
        <f>IF(Table1[[#This Row],[DUT Read]]="","N/A",Table1[[#This Row],[Std Error]]+Table1[[#This Row],[DUT Read]]+Table1[[#This Row],[DUT Ucty]])</f>
        <v>N/A</v>
      </c>
      <c r="Y500" s="1" t="str">
        <f>IF(Table1[[#This Row],[Std Read]]="","N/A",Table1[[#This Row],[Std Read]]+Table1[[#This Row],[Std Ucty]])</f>
        <v>N/A</v>
      </c>
      <c r="Z5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0" s="1" t="str">
        <f>IF(Table1[[#This Row],[Spec Type]]="","N/A",Table1[[#This Row],[Spec Type]])</f>
        <v>±</v>
      </c>
      <c r="AC500" s="1" t="str">
        <f>IF(Table1[[#This Row],[Spec Type2]]="N/A","N/A",IF(AND(Table1[[#This Row],[DUT Adj Read]]&gt;=Table1[[#This Row],[Low Tol]],Table1[[#This Row],[DUT Adj Read]]&lt;=Table1[[#This Row],[High Tol]]),"Pass","Fail"))</f>
        <v>Fail</v>
      </c>
      <c r="AD500" s="1" t="str">
        <f>IF(AND(Table1[[#This Row],[Spec Type2]]="N/A",Table1[[#This Row],[DUT Adj Read]]="N/A",Table1[[#This Row],[Std Adj Read]]="N/A"),"N/A",IF(Table1[[#This Row],[DUT Adj Read]]="N/A",IF(Table1[[#This Row],[Std Adj Read]]&gt;Table1[[#This Row],[Low Tol]],"Pass","Fail"),IF(Table1[[#This Row],[DUT Adj Read]]&gt;Table1[[#This Row],[Low Tol]],"Pass","Fail")))</f>
        <v>Pass</v>
      </c>
      <c r="AE500" s="1" t="str">
        <f>IF(AND(Table1[[#This Row],[Spec Type2]]="N/A",Table1[[#This Row],[DUT Adj Read]]="N/A",Table1[[#This Row],[Std Adj Read]]="N/A"),"N/A",IF(Table1[[#This Row],[DUT Adj Read]]="N/A",IF(Table1[[#This Row],[Std Adj Read]]&lt;Table1[[#This Row],[High Tol]],"Pass","Fail"),IF(Table1[[#This Row],[DUT Adj Read]]&lt;Table1[[#This Row],[High Tol]],"Pass","Fail")))</f>
        <v>Fail</v>
      </c>
      <c r="AF500" s="1" t="str">
        <f>IF(AND(Table1[[#This Row],[Spec Type2]]="N/A",Table1[[#This Row],[DUT Adj Read]]="N/A",Table1[[#This Row],[Std Adj Read]]="N/A"),"N/A",IF(Table1[[#This Row],[DUT Adj Read]]="N/A",IF(Table1[[#This Row],[Std Adj Read]]&gt;=Table1[[#This Row],[Low Tol]],"Pass","Fail"),IF(Table1[[#This Row],[DUT Adj Read]]&gt;=Table1[[#This Row],[Low Tol]],"Pass","Fail")))</f>
        <v>Pass</v>
      </c>
      <c r="AG500" s="1" t="str">
        <f>IF(AND(Table1[[#This Row],[Spec Type2]]="N/A",Table1[[#This Row],[DUT Adj Read]]="N/A",Table1[[#This Row],[Std Adj Read]]="N/A"),"N/A",IF(Table1[[#This Row],[DUT Adj Read]]="N/A",IF(Table1[[#This Row],[Std Adj Read]]&lt;=Table1[[#This Row],[High Tol]],"Pass","Fail"),IF(Table1[[#This Row],[DUT Adj Read]]&lt;=Table1[[#This Row],[High Tol]],"Pass","Fail")))</f>
        <v>Fail</v>
      </c>
      <c r="AH5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0" s="1" t="b">
        <v>0</v>
      </c>
      <c r="AN500" s="1" t="b">
        <v>0</v>
      </c>
      <c r="AO500" s="1" t="b">
        <v>0</v>
      </c>
    </row>
    <row r="501" spans="1:41" x14ac:dyDescent="0.25">
      <c r="A501" s="10"/>
      <c r="B501" s="10"/>
      <c r="C501" s="10"/>
      <c r="D501" s="10"/>
      <c r="E501" s="10"/>
      <c r="F501" s="10"/>
      <c r="G501" s="10"/>
      <c r="H501" s="10"/>
      <c r="I501" s="1" t="str">
        <f t="shared" si="21"/>
        <v/>
      </c>
      <c r="J501" s="1" t="s">
        <v>35</v>
      </c>
      <c r="K501" s="1" t="str">
        <f t="shared" si="22"/>
        <v/>
      </c>
      <c r="L501" s="1" t="str">
        <f t="shared" si="23"/>
        <v/>
      </c>
      <c r="M501" s="1">
        <f>IF(OR(Table1[[#This Row],[Std Nom]]="",Table1[[#This Row],[Std Read]]=""),0,Table1[[#This Row],[Std Nom]]-Table1[[#This Row],[Std Read]])</f>
        <v>0</v>
      </c>
      <c r="N501" s="1">
        <f>IF(Calculations!$F$5="ACCREDITED 17025 WITH UNCERTAINTIES",$N$10,0)</f>
        <v>0</v>
      </c>
      <c r="O501" s="1" t="str">
        <f>IFERROR(Table1[[#This Row],[Std Nom]]-(_xlfn.XLOOKUP(Table1[[#This Row],[Manufacturer]]&amp;" "&amp;Table1[[#This Row],[Model]],Table13[MFR &amp; MDL],Table13[Tolerance % CW ],"")/100*Table1[[#This Row],[Std Nom]]),"")</f>
        <v/>
      </c>
      <c r="P501" s="1" t="str">
        <f>IFERROR(Table1[[#This Row],[Std Nom]]+(_xlfn.XLOOKUP(Table1[[#This Row],[Manufacturer]]&amp;" "&amp;Table1[[#This Row],[Model]],Table13[MFR &amp; MDL],Table13[Tolerance % CW ],"")/100*Table1[[#This Row],[Std Nom]]),"")</f>
        <v/>
      </c>
      <c r="Q501" s="1" t="e">
        <f>Table1[[#This Row],[High Tol]]-Table1[[#This Row],[Low Tol]]</f>
        <v>#VALUE!</v>
      </c>
      <c r="R501" s="1">
        <f>2*Table1[[#This Row],[Std Error]]</f>
        <v>0</v>
      </c>
      <c r="S501" s="1" t="str">
        <f>IF(Table1[[#This Row],[High Tol]]="","N/A",IFERROR(ABS(Table1[[#This Row],[Tol Span]]/Table1[[#This Row],[Error Span]]),"N/A"))</f>
        <v>N/A</v>
      </c>
      <c r="T501" s="1" t="str">
        <f>IF(OR(Table1[[#This Row],[Low Tol]]="",Table1[[#This Row],[High Tol]]=""),"Needs Analysis",IF(Table1[[#This Row],[Ratio]]&gt;=4,"Not Significant",IF(Table1[[#This Row],[Ratio]]&gt;=2,"Semi-Significant","Significant")))</f>
        <v>Needs Analysis</v>
      </c>
      <c r="W501" s="1">
        <f>IF(Table1[[#This Row],[Cal Type]]&lt;&gt;"ACCREDITED 17025 WITH UNCERTAINTIES",0,"")</f>
        <v>0</v>
      </c>
      <c r="X501" s="1" t="str">
        <f>IF(Table1[[#This Row],[DUT Read]]="","N/A",Table1[[#This Row],[Std Error]]+Table1[[#This Row],[DUT Read]]+Table1[[#This Row],[DUT Ucty]])</f>
        <v>N/A</v>
      </c>
      <c r="Y501" s="1" t="str">
        <f>IF(Table1[[#This Row],[Std Read]]="","N/A",Table1[[#This Row],[Std Read]]+Table1[[#This Row],[Std Ucty]])</f>
        <v>N/A</v>
      </c>
      <c r="Z5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1" s="1" t="str">
        <f>IF(Table1[[#This Row],[Spec Type]]="","N/A",Table1[[#This Row],[Spec Type]])</f>
        <v>±</v>
      </c>
      <c r="AC501" s="1" t="str">
        <f>IF(Table1[[#This Row],[Spec Type2]]="N/A","N/A",IF(AND(Table1[[#This Row],[DUT Adj Read]]&gt;=Table1[[#This Row],[Low Tol]],Table1[[#This Row],[DUT Adj Read]]&lt;=Table1[[#This Row],[High Tol]]),"Pass","Fail"))</f>
        <v>Fail</v>
      </c>
      <c r="AD501" s="1" t="str">
        <f>IF(AND(Table1[[#This Row],[Spec Type2]]="N/A",Table1[[#This Row],[DUT Adj Read]]="N/A",Table1[[#This Row],[Std Adj Read]]="N/A"),"N/A",IF(Table1[[#This Row],[DUT Adj Read]]="N/A",IF(Table1[[#This Row],[Std Adj Read]]&gt;Table1[[#This Row],[Low Tol]],"Pass","Fail"),IF(Table1[[#This Row],[DUT Adj Read]]&gt;Table1[[#This Row],[Low Tol]],"Pass","Fail")))</f>
        <v>Pass</v>
      </c>
      <c r="AE501" s="1" t="str">
        <f>IF(AND(Table1[[#This Row],[Spec Type2]]="N/A",Table1[[#This Row],[DUT Adj Read]]="N/A",Table1[[#This Row],[Std Adj Read]]="N/A"),"N/A",IF(Table1[[#This Row],[DUT Adj Read]]="N/A",IF(Table1[[#This Row],[Std Adj Read]]&lt;Table1[[#This Row],[High Tol]],"Pass","Fail"),IF(Table1[[#This Row],[DUT Adj Read]]&lt;Table1[[#This Row],[High Tol]],"Pass","Fail")))</f>
        <v>Fail</v>
      </c>
      <c r="AF501" s="1" t="str">
        <f>IF(AND(Table1[[#This Row],[Spec Type2]]="N/A",Table1[[#This Row],[DUT Adj Read]]="N/A",Table1[[#This Row],[Std Adj Read]]="N/A"),"N/A",IF(Table1[[#This Row],[DUT Adj Read]]="N/A",IF(Table1[[#This Row],[Std Adj Read]]&gt;=Table1[[#This Row],[Low Tol]],"Pass","Fail"),IF(Table1[[#This Row],[DUT Adj Read]]&gt;=Table1[[#This Row],[Low Tol]],"Pass","Fail")))</f>
        <v>Pass</v>
      </c>
      <c r="AG501" s="1" t="str">
        <f>IF(AND(Table1[[#This Row],[Spec Type2]]="N/A",Table1[[#This Row],[DUT Adj Read]]="N/A",Table1[[#This Row],[Std Adj Read]]="N/A"),"N/A",IF(Table1[[#This Row],[DUT Adj Read]]="N/A",IF(Table1[[#This Row],[Std Adj Read]]&lt;=Table1[[#This Row],[High Tol]],"Pass","Fail"),IF(Table1[[#This Row],[DUT Adj Read]]&lt;=Table1[[#This Row],[High Tol]],"Pass","Fail")))</f>
        <v>Fail</v>
      </c>
      <c r="AH5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1" s="1" t="b">
        <v>0</v>
      </c>
      <c r="AN501" s="1" t="b">
        <v>0</v>
      </c>
      <c r="AO501" s="1" t="b">
        <v>0</v>
      </c>
    </row>
    <row r="502" spans="1:41" x14ac:dyDescent="0.25">
      <c r="A502" s="10"/>
      <c r="B502" s="10"/>
      <c r="C502" s="10"/>
      <c r="D502" s="10"/>
      <c r="E502" s="10"/>
      <c r="F502" s="10"/>
      <c r="G502" s="10"/>
      <c r="H502" s="10"/>
      <c r="I502" s="1" t="str">
        <f t="shared" si="21"/>
        <v/>
      </c>
      <c r="J502" s="1" t="s">
        <v>35</v>
      </c>
      <c r="K502" s="1" t="str">
        <f t="shared" si="22"/>
        <v/>
      </c>
      <c r="L502" s="1" t="str">
        <f t="shared" si="23"/>
        <v/>
      </c>
      <c r="M502" s="1">
        <f>IF(OR(Table1[[#This Row],[Std Nom]]="",Table1[[#This Row],[Std Read]]=""),0,Table1[[#This Row],[Std Nom]]-Table1[[#This Row],[Std Read]])</f>
        <v>0</v>
      </c>
      <c r="N502" s="1">
        <f>IF(Calculations!$F$5="ACCREDITED 17025 WITH UNCERTAINTIES",$N$10,0)</f>
        <v>0</v>
      </c>
      <c r="O502" s="1" t="str">
        <f>IFERROR(Table1[[#This Row],[Std Nom]]-(_xlfn.XLOOKUP(Table1[[#This Row],[Manufacturer]]&amp;" "&amp;Table1[[#This Row],[Model]],Table13[MFR &amp; MDL],Table13[Tolerance % CW ],"")/100*Table1[[#This Row],[Std Nom]]),"")</f>
        <v/>
      </c>
      <c r="P502" s="1" t="str">
        <f>IFERROR(Table1[[#This Row],[Std Nom]]+(_xlfn.XLOOKUP(Table1[[#This Row],[Manufacturer]]&amp;" "&amp;Table1[[#This Row],[Model]],Table13[MFR &amp; MDL],Table13[Tolerance % CW ],"")/100*Table1[[#This Row],[Std Nom]]),"")</f>
        <v/>
      </c>
      <c r="Q502" s="1" t="e">
        <f>Table1[[#This Row],[High Tol]]-Table1[[#This Row],[Low Tol]]</f>
        <v>#VALUE!</v>
      </c>
      <c r="R502" s="1">
        <f>2*Table1[[#This Row],[Std Error]]</f>
        <v>0</v>
      </c>
      <c r="S502" s="1" t="str">
        <f>IF(Table1[[#This Row],[High Tol]]="","N/A",IFERROR(ABS(Table1[[#This Row],[Tol Span]]/Table1[[#This Row],[Error Span]]),"N/A"))</f>
        <v>N/A</v>
      </c>
      <c r="T502" s="1" t="str">
        <f>IF(OR(Table1[[#This Row],[Low Tol]]="",Table1[[#This Row],[High Tol]]=""),"Needs Analysis",IF(Table1[[#This Row],[Ratio]]&gt;=4,"Not Significant",IF(Table1[[#This Row],[Ratio]]&gt;=2,"Semi-Significant","Significant")))</f>
        <v>Needs Analysis</v>
      </c>
      <c r="W502" s="1">
        <f>IF(Table1[[#This Row],[Cal Type]]&lt;&gt;"ACCREDITED 17025 WITH UNCERTAINTIES",0,"")</f>
        <v>0</v>
      </c>
      <c r="X502" s="1" t="str">
        <f>IF(Table1[[#This Row],[DUT Read]]="","N/A",Table1[[#This Row],[Std Error]]+Table1[[#This Row],[DUT Read]]+Table1[[#This Row],[DUT Ucty]])</f>
        <v>N/A</v>
      </c>
      <c r="Y502" s="1" t="str">
        <f>IF(Table1[[#This Row],[Std Read]]="","N/A",Table1[[#This Row],[Std Read]]+Table1[[#This Row],[Std Ucty]])</f>
        <v>N/A</v>
      </c>
      <c r="Z5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2" s="1" t="str">
        <f>IF(Table1[[#This Row],[Spec Type]]="","N/A",Table1[[#This Row],[Spec Type]])</f>
        <v>±</v>
      </c>
      <c r="AC502" s="1" t="str">
        <f>IF(Table1[[#This Row],[Spec Type2]]="N/A","N/A",IF(AND(Table1[[#This Row],[DUT Adj Read]]&gt;=Table1[[#This Row],[Low Tol]],Table1[[#This Row],[DUT Adj Read]]&lt;=Table1[[#This Row],[High Tol]]),"Pass","Fail"))</f>
        <v>Fail</v>
      </c>
      <c r="AD502" s="1" t="str">
        <f>IF(AND(Table1[[#This Row],[Spec Type2]]="N/A",Table1[[#This Row],[DUT Adj Read]]="N/A",Table1[[#This Row],[Std Adj Read]]="N/A"),"N/A",IF(Table1[[#This Row],[DUT Adj Read]]="N/A",IF(Table1[[#This Row],[Std Adj Read]]&gt;Table1[[#This Row],[Low Tol]],"Pass","Fail"),IF(Table1[[#This Row],[DUT Adj Read]]&gt;Table1[[#This Row],[Low Tol]],"Pass","Fail")))</f>
        <v>Pass</v>
      </c>
      <c r="AE502" s="1" t="str">
        <f>IF(AND(Table1[[#This Row],[Spec Type2]]="N/A",Table1[[#This Row],[DUT Adj Read]]="N/A",Table1[[#This Row],[Std Adj Read]]="N/A"),"N/A",IF(Table1[[#This Row],[DUT Adj Read]]="N/A",IF(Table1[[#This Row],[Std Adj Read]]&lt;Table1[[#This Row],[High Tol]],"Pass","Fail"),IF(Table1[[#This Row],[DUT Adj Read]]&lt;Table1[[#This Row],[High Tol]],"Pass","Fail")))</f>
        <v>Fail</v>
      </c>
      <c r="AF502" s="1" t="str">
        <f>IF(AND(Table1[[#This Row],[Spec Type2]]="N/A",Table1[[#This Row],[DUT Adj Read]]="N/A",Table1[[#This Row],[Std Adj Read]]="N/A"),"N/A",IF(Table1[[#This Row],[DUT Adj Read]]="N/A",IF(Table1[[#This Row],[Std Adj Read]]&gt;=Table1[[#This Row],[Low Tol]],"Pass","Fail"),IF(Table1[[#This Row],[DUT Adj Read]]&gt;=Table1[[#This Row],[Low Tol]],"Pass","Fail")))</f>
        <v>Pass</v>
      </c>
      <c r="AG502" s="1" t="str">
        <f>IF(AND(Table1[[#This Row],[Spec Type2]]="N/A",Table1[[#This Row],[DUT Adj Read]]="N/A",Table1[[#This Row],[Std Adj Read]]="N/A"),"N/A",IF(Table1[[#This Row],[DUT Adj Read]]="N/A",IF(Table1[[#This Row],[Std Adj Read]]&lt;=Table1[[#This Row],[High Tol]],"Pass","Fail"),IF(Table1[[#This Row],[DUT Adj Read]]&lt;=Table1[[#This Row],[High Tol]],"Pass","Fail")))</f>
        <v>Fail</v>
      </c>
      <c r="AH5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2" s="1" t="b">
        <v>0</v>
      </c>
      <c r="AN502" s="1" t="b">
        <v>0</v>
      </c>
      <c r="AO502" s="1" t="b">
        <v>0</v>
      </c>
    </row>
    <row r="503" spans="1:41" x14ac:dyDescent="0.25">
      <c r="A503" s="10"/>
      <c r="B503" s="10"/>
      <c r="C503" s="10"/>
      <c r="D503" s="10"/>
      <c r="E503" s="10"/>
      <c r="F503" s="10"/>
      <c r="G503" s="10"/>
      <c r="H503" s="10"/>
      <c r="I503" s="1" t="str">
        <f t="shared" si="21"/>
        <v/>
      </c>
      <c r="J503" s="1" t="s">
        <v>35</v>
      </c>
      <c r="K503" s="1" t="str">
        <f t="shared" si="22"/>
        <v/>
      </c>
      <c r="L503" s="1" t="str">
        <f t="shared" si="23"/>
        <v/>
      </c>
      <c r="M503" s="1">
        <f>IF(OR(Table1[[#This Row],[Std Nom]]="",Table1[[#This Row],[Std Read]]=""),0,Table1[[#This Row],[Std Nom]]-Table1[[#This Row],[Std Read]])</f>
        <v>0</v>
      </c>
      <c r="N503" s="1">
        <f>IF(Calculations!$F$5="ACCREDITED 17025 WITH UNCERTAINTIES",$N$10,0)</f>
        <v>0</v>
      </c>
      <c r="O503" s="1" t="str">
        <f>IFERROR(Table1[[#This Row],[Std Nom]]-(_xlfn.XLOOKUP(Table1[[#This Row],[Manufacturer]]&amp;" "&amp;Table1[[#This Row],[Model]],Table13[MFR &amp; MDL],Table13[Tolerance % CW ],"")/100*Table1[[#This Row],[Std Nom]]),"")</f>
        <v/>
      </c>
      <c r="P503" s="1" t="str">
        <f>IFERROR(Table1[[#This Row],[Std Nom]]+(_xlfn.XLOOKUP(Table1[[#This Row],[Manufacturer]]&amp;" "&amp;Table1[[#This Row],[Model]],Table13[MFR &amp; MDL],Table13[Tolerance % CW ],"")/100*Table1[[#This Row],[Std Nom]]),"")</f>
        <v/>
      </c>
      <c r="Q503" s="1" t="e">
        <f>Table1[[#This Row],[High Tol]]-Table1[[#This Row],[Low Tol]]</f>
        <v>#VALUE!</v>
      </c>
      <c r="R503" s="1">
        <f>2*Table1[[#This Row],[Std Error]]</f>
        <v>0</v>
      </c>
      <c r="S503" s="1" t="str">
        <f>IF(Table1[[#This Row],[High Tol]]="","N/A",IFERROR(ABS(Table1[[#This Row],[Tol Span]]/Table1[[#This Row],[Error Span]]),"N/A"))</f>
        <v>N/A</v>
      </c>
      <c r="T503" s="1" t="str">
        <f>IF(OR(Table1[[#This Row],[Low Tol]]="",Table1[[#This Row],[High Tol]]=""),"Needs Analysis",IF(Table1[[#This Row],[Ratio]]&gt;=4,"Not Significant",IF(Table1[[#This Row],[Ratio]]&gt;=2,"Semi-Significant","Significant")))</f>
        <v>Needs Analysis</v>
      </c>
      <c r="W503" s="1">
        <f>IF(Table1[[#This Row],[Cal Type]]&lt;&gt;"ACCREDITED 17025 WITH UNCERTAINTIES",0,"")</f>
        <v>0</v>
      </c>
      <c r="X503" s="1" t="str">
        <f>IF(Table1[[#This Row],[DUT Read]]="","N/A",Table1[[#This Row],[Std Error]]+Table1[[#This Row],[DUT Read]]+Table1[[#This Row],[DUT Ucty]])</f>
        <v>N/A</v>
      </c>
      <c r="Y503" s="1" t="str">
        <f>IF(Table1[[#This Row],[Std Read]]="","N/A",Table1[[#This Row],[Std Read]]+Table1[[#This Row],[Std Ucty]])</f>
        <v>N/A</v>
      </c>
      <c r="Z5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3" s="1" t="str">
        <f>IF(Table1[[#This Row],[Spec Type]]="","N/A",Table1[[#This Row],[Spec Type]])</f>
        <v>±</v>
      </c>
      <c r="AC503" s="1" t="str">
        <f>IF(Table1[[#This Row],[Spec Type2]]="N/A","N/A",IF(AND(Table1[[#This Row],[DUT Adj Read]]&gt;=Table1[[#This Row],[Low Tol]],Table1[[#This Row],[DUT Adj Read]]&lt;=Table1[[#This Row],[High Tol]]),"Pass","Fail"))</f>
        <v>Fail</v>
      </c>
      <c r="AD503" s="1" t="str">
        <f>IF(AND(Table1[[#This Row],[Spec Type2]]="N/A",Table1[[#This Row],[DUT Adj Read]]="N/A",Table1[[#This Row],[Std Adj Read]]="N/A"),"N/A",IF(Table1[[#This Row],[DUT Adj Read]]="N/A",IF(Table1[[#This Row],[Std Adj Read]]&gt;Table1[[#This Row],[Low Tol]],"Pass","Fail"),IF(Table1[[#This Row],[DUT Adj Read]]&gt;Table1[[#This Row],[Low Tol]],"Pass","Fail")))</f>
        <v>Pass</v>
      </c>
      <c r="AE503" s="1" t="str">
        <f>IF(AND(Table1[[#This Row],[Spec Type2]]="N/A",Table1[[#This Row],[DUT Adj Read]]="N/A",Table1[[#This Row],[Std Adj Read]]="N/A"),"N/A",IF(Table1[[#This Row],[DUT Adj Read]]="N/A",IF(Table1[[#This Row],[Std Adj Read]]&lt;Table1[[#This Row],[High Tol]],"Pass","Fail"),IF(Table1[[#This Row],[DUT Adj Read]]&lt;Table1[[#This Row],[High Tol]],"Pass","Fail")))</f>
        <v>Fail</v>
      </c>
      <c r="AF503" s="1" t="str">
        <f>IF(AND(Table1[[#This Row],[Spec Type2]]="N/A",Table1[[#This Row],[DUT Adj Read]]="N/A",Table1[[#This Row],[Std Adj Read]]="N/A"),"N/A",IF(Table1[[#This Row],[DUT Adj Read]]="N/A",IF(Table1[[#This Row],[Std Adj Read]]&gt;=Table1[[#This Row],[Low Tol]],"Pass","Fail"),IF(Table1[[#This Row],[DUT Adj Read]]&gt;=Table1[[#This Row],[Low Tol]],"Pass","Fail")))</f>
        <v>Pass</v>
      </c>
      <c r="AG503" s="1" t="str">
        <f>IF(AND(Table1[[#This Row],[Spec Type2]]="N/A",Table1[[#This Row],[DUT Adj Read]]="N/A",Table1[[#This Row],[Std Adj Read]]="N/A"),"N/A",IF(Table1[[#This Row],[DUT Adj Read]]="N/A",IF(Table1[[#This Row],[Std Adj Read]]&lt;=Table1[[#This Row],[High Tol]],"Pass","Fail"),IF(Table1[[#This Row],[DUT Adj Read]]&lt;=Table1[[#This Row],[High Tol]],"Pass","Fail")))</f>
        <v>Fail</v>
      </c>
      <c r="AH5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3" s="1" t="b">
        <v>0</v>
      </c>
      <c r="AN503" s="1" t="b">
        <v>0</v>
      </c>
      <c r="AO503" s="1" t="b">
        <v>0</v>
      </c>
    </row>
    <row r="504" spans="1:41" x14ac:dyDescent="0.25">
      <c r="A504" s="10"/>
      <c r="B504" s="10"/>
      <c r="C504" s="10"/>
      <c r="D504" s="10"/>
      <c r="E504" s="10"/>
      <c r="F504" s="10"/>
      <c r="G504" s="10"/>
      <c r="H504" s="10"/>
      <c r="I504" s="1" t="str">
        <f t="shared" si="21"/>
        <v/>
      </c>
      <c r="J504" s="1" t="s">
        <v>35</v>
      </c>
      <c r="K504" s="1" t="str">
        <f t="shared" si="22"/>
        <v/>
      </c>
      <c r="L504" s="1" t="str">
        <f t="shared" si="23"/>
        <v/>
      </c>
      <c r="M504" s="1">
        <f>IF(OR(Table1[[#This Row],[Std Nom]]="",Table1[[#This Row],[Std Read]]=""),0,Table1[[#This Row],[Std Nom]]-Table1[[#This Row],[Std Read]])</f>
        <v>0</v>
      </c>
      <c r="N504" s="1">
        <f>IF(Calculations!$F$5="ACCREDITED 17025 WITH UNCERTAINTIES",$N$10,0)</f>
        <v>0</v>
      </c>
      <c r="O504" s="1" t="str">
        <f>IFERROR(Table1[[#This Row],[Std Nom]]-(_xlfn.XLOOKUP(Table1[[#This Row],[Manufacturer]]&amp;" "&amp;Table1[[#This Row],[Model]],Table13[MFR &amp; MDL],Table13[Tolerance % CW ],"")/100*Table1[[#This Row],[Std Nom]]),"")</f>
        <v/>
      </c>
      <c r="P504" s="1" t="str">
        <f>IFERROR(Table1[[#This Row],[Std Nom]]+(_xlfn.XLOOKUP(Table1[[#This Row],[Manufacturer]]&amp;" "&amp;Table1[[#This Row],[Model]],Table13[MFR &amp; MDL],Table13[Tolerance % CW ],"")/100*Table1[[#This Row],[Std Nom]]),"")</f>
        <v/>
      </c>
      <c r="Q504" s="1" t="e">
        <f>Table1[[#This Row],[High Tol]]-Table1[[#This Row],[Low Tol]]</f>
        <v>#VALUE!</v>
      </c>
      <c r="R504" s="1">
        <f>2*Table1[[#This Row],[Std Error]]</f>
        <v>0</v>
      </c>
      <c r="S504" s="1" t="str">
        <f>IF(Table1[[#This Row],[High Tol]]="","N/A",IFERROR(ABS(Table1[[#This Row],[Tol Span]]/Table1[[#This Row],[Error Span]]),"N/A"))</f>
        <v>N/A</v>
      </c>
      <c r="T504" s="1" t="str">
        <f>IF(OR(Table1[[#This Row],[Low Tol]]="",Table1[[#This Row],[High Tol]]=""),"Needs Analysis",IF(Table1[[#This Row],[Ratio]]&gt;=4,"Not Significant",IF(Table1[[#This Row],[Ratio]]&gt;=2,"Semi-Significant","Significant")))</f>
        <v>Needs Analysis</v>
      </c>
      <c r="W504" s="1">
        <f>IF(Table1[[#This Row],[Cal Type]]&lt;&gt;"ACCREDITED 17025 WITH UNCERTAINTIES",0,"")</f>
        <v>0</v>
      </c>
      <c r="X504" s="1" t="str">
        <f>IF(Table1[[#This Row],[DUT Read]]="","N/A",Table1[[#This Row],[Std Error]]+Table1[[#This Row],[DUT Read]]+Table1[[#This Row],[DUT Ucty]])</f>
        <v>N/A</v>
      </c>
      <c r="Y504" s="1" t="str">
        <f>IF(Table1[[#This Row],[Std Read]]="","N/A",Table1[[#This Row],[Std Read]]+Table1[[#This Row],[Std Ucty]])</f>
        <v>N/A</v>
      </c>
      <c r="Z5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4" s="1" t="str">
        <f>IF(Table1[[#This Row],[Spec Type]]="","N/A",Table1[[#This Row],[Spec Type]])</f>
        <v>±</v>
      </c>
      <c r="AC504" s="1" t="str">
        <f>IF(Table1[[#This Row],[Spec Type2]]="N/A","N/A",IF(AND(Table1[[#This Row],[DUT Adj Read]]&gt;=Table1[[#This Row],[Low Tol]],Table1[[#This Row],[DUT Adj Read]]&lt;=Table1[[#This Row],[High Tol]]),"Pass","Fail"))</f>
        <v>Fail</v>
      </c>
      <c r="AD504" s="1" t="str">
        <f>IF(AND(Table1[[#This Row],[Spec Type2]]="N/A",Table1[[#This Row],[DUT Adj Read]]="N/A",Table1[[#This Row],[Std Adj Read]]="N/A"),"N/A",IF(Table1[[#This Row],[DUT Adj Read]]="N/A",IF(Table1[[#This Row],[Std Adj Read]]&gt;Table1[[#This Row],[Low Tol]],"Pass","Fail"),IF(Table1[[#This Row],[DUT Adj Read]]&gt;Table1[[#This Row],[Low Tol]],"Pass","Fail")))</f>
        <v>Pass</v>
      </c>
      <c r="AE504" s="1" t="str">
        <f>IF(AND(Table1[[#This Row],[Spec Type2]]="N/A",Table1[[#This Row],[DUT Adj Read]]="N/A",Table1[[#This Row],[Std Adj Read]]="N/A"),"N/A",IF(Table1[[#This Row],[DUT Adj Read]]="N/A",IF(Table1[[#This Row],[Std Adj Read]]&lt;Table1[[#This Row],[High Tol]],"Pass","Fail"),IF(Table1[[#This Row],[DUT Adj Read]]&lt;Table1[[#This Row],[High Tol]],"Pass","Fail")))</f>
        <v>Fail</v>
      </c>
      <c r="AF504" s="1" t="str">
        <f>IF(AND(Table1[[#This Row],[Spec Type2]]="N/A",Table1[[#This Row],[DUT Adj Read]]="N/A",Table1[[#This Row],[Std Adj Read]]="N/A"),"N/A",IF(Table1[[#This Row],[DUT Adj Read]]="N/A",IF(Table1[[#This Row],[Std Adj Read]]&gt;=Table1[[#This Row],[Low Tol]],"Pass","Fail"),IF(Table1[[#This Row],[DUT Adj Read]]&gt;=Table1[[#This Row],[Low Tol]],"Pass","Fail")))</f>
        <v>Pass</v>
      </c>
      <c r="AG504" s="1" t="str">
        <f>IF(AND(Table1[[#This Row],[Spec Type2]]="N/A",Table1[[#This Row],[DUT Adj Read]]="N/A",Table1[[#This Row],[Std Adj Read]]="N/A"),"N/A",IF(Table1[[#This Row],[DUT Adj Read]]="N/A",IF(Table1[[#This Row],[Std Adj Read]]&lt;=Table1[[#This Row],[High Tol]],"Pass","Fail"),IF(Table1[[#This Row],[DUT Adj Read]]&lt;=Table1[[#This Row],[High Tol]],"Pass","Fail")))</f>
        <v>Fail</v>
      </c>
      <c r="AH5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4" s="1" t="b">
        <v>0</v>
      </c>
      <c r="AN504" s="1" t="b">
        <v>0</v>
      </c>
      <c r="AO504" s="1" t="b">
        <v>0</v>
      </c>
    </row>
    <row r="505" spans="1:41" x14ac:dyDescent="0.25">
      <c r="A505" s="10"/>
      <c r="B505" s="10"/>
      <c r="C505" s="10"/>
      <c r="D505" s="10"/>
      <c r="E505" s="10"/>
      <c r="F505" s="10"/>
      <c r="G505" s="10"/>
      <c r="H505" s="10"/>
      <c r="I505" s="1" t="str">
        <f t="shared" si="21"/>
        <v/>
      </c>
      <c r="J505" s="1" t="s">
        <v>35</v>
      </c>
      <c r="K505" s="1" t="str">
        <f t="shared" si="22"/>
        <v/>
      </c>
      <c r="L505" s="1" t="str">
        <f t="shared" si="23"/>
        <v/>
      </c>
      <c r="M505" s="1">
        <f>IF(OR(Table1[[#This Row],[Std Nom]]="",Table1[[#This Row],[Std Read]]=""),0,Table1[[#This Row],[Std Nom]]-Table1[[#This Row],[Std Read]])</f>
        <v>0</v>
      </c>
      <c r="N505" s="1">
        <f>IF(Calculations!$F$5="ACCREDITED 17025 WITH UNCERTAINTIES",$N$10,0)</f>
        <v>0</v>
      </c>
      <c r="O505" s="1" t="str">
        <f>IFERROR(Table1[[#This Row],[Std Nom]]-(_xlfn.XLOOKUP(Table1[[#This Row],[Manufacturer]]&amp;" "&amp;Table1[[#This Row],[Model]],Table13[MFR &amp; MDL],Table13[Tolerance % CW ],"")/100*Table1[[#This Row],[Std Nom]]),"")</f>
        <v/>
      </c>
      <c r="P505" s="1" t="str">
        <f>IFERROR(Table1[[#This Row],[Std Nom]]+(_xlfn.XLOOKUP(Table1[[#This Row],[Manufacturer]]&amp;" "&amp;Table1[[#This Row],[Model]],Table13[MFR &amp; MDL],Table13[Tolerance % CW ],"")/100*Table1[[#This Row],[Std Nom]]),"")</f>
        <v/>
      </c>
      <c r="Q505" s="1" t="e">
        <f>Table1[[#This Row],[High Tol]]-Table1[[#This Row],[Low Tol]]</f>
        <v>#VALUE!</v>
      </c>
      <c r="R505" s="1">
        <f>2*Table1[[#This Row],[Std Error]]</f>
        <v>0</v>
      </c>
      <c r="S505" s="1" t="str">
        <f>IF(Table1[[#This Row],[High Tol]]="","N/A",IFERROR(ABS(Table1[[#This Row],[Tol Span]]/Table1[[#This Row],[Error Span]]),"N/A"))</f>
        <v>N/A</v>
      </c>
      <c r="T505" s="1" t="str">
        <f>IF(OR(Table1[[#This Row],[Low Tol]]="",Table1[[#This Row],[High Tol]]=""),"Needs Analysis",IF(Table1[[#This Row],[Ratio]]&gt;=4,"Not Significant",IF(Table1[[#This Row],[Ratio]]&gt;=2,"Semi-Significant","Significant")))</f>
        <v>Needs Analysis</v>
      </c>
      <c r="W505" s="1">
        <f>IF(Table1[[#This Row],[Cal Type]]&lt;&gt;"ACCREDITED 17025 WITH UNCERTAINTIES",0,"")</f>
        <v>0</v>
      </c>
      <c r="X505" s="1" t="str">
        <f>IF(Table1[[#This Row],[DUT Read]]="","N/A",Table1[[#This Row],[Std Error]]+Table1[[#This Row],[DUT Read]]+Table1[[#This Row],[DUT Ucty]])</f>
        <v>N/A</v>
      </c>
      <c r="Y505" s="1" t="str">
        <f>IF(Table1[[#This Row],[Std Read]]="","N/A",Table1[[#This Row],[Std Read]]+Table1[[#This Row],[Std Ucty]])</f>
        <v>N/A</v>
      </c>
      <c r="Z5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5" s="1" t="str">
        <f>IF(Table1[[#This Row],[Spec Type]]="","N/A",Table1[[#This Row],[Spec Type]])</f>
        <v>±</v>
      </c>
      <c r="AC505" s="1" t="str">
        <f>IF(Table1[[#This Row],[Spec Type2]]="N/A","N/A",IF(AND(Table1[[#This Row],[DUT Adj Read]]&gt;=Table1[[#This Row],[Low Tol]],Table1[[#This Row],[DUT Adj Read]]&lt;=Table1[[#This Row],[High Tol]]),"Pass","Fail"))</f>
        <v>Fail</v>
      </c>
      <c r="AD505" s="1" t="str">
        <f>IF(AND(Table1[[#This Row],[Spec Type2]]="N/A",Table1[[#This Row],[DUT Adj Read]]="N/A",Table1[[#This Row],[Std Adj Read]]="N/A"),"N/A",IF(Table1[[#This Row],[DUT Adj Read]]="N/A",IF(Table1[[#This Row],[Std Adj Read]]&gt;Table1[[#This Row],[Low Tol]],"Pass","Fail"),IF(Table1[[#This Row],[DUT Adj Read]]&gt;Table1[[#This Row],[Low Tol]],"Pass","Fail")))</f>
        <v>Pass</v>
      </c>
      <c r="AE505" s="1" t="str">
        <f>IF(AND(Table1[[#This Row],[Spec Type2]]="N/A",Table1[[#This Row],[DUT Adj Read]]="N/A",Table1[[#This Row],[Std Adj Read]]="N/A"),"N/A",IF(Table1[[#This Row],[DUT Adj Read]]="N/A",IF(Table1[[#This Row],[Std Adj Read]]&lt;Table1[[#This Row],[High Tol]],"Pass","Fail"),IF(Table1[[#This Row],[DUT Adj Read]]&lt;Table1[[#This Row],[High Tol]],"Pass","Fail")))</f>
        <v>Fail</v>
      </c>
      <c r="AF505" s="1" t="str">
        <f>IF(AND(Table1[[#This Row],[Spec Type2]]="N/A",Table1[[#This Row],[DUT Adj Read]]="N/A",Table1[[#This Row],[Std Adj Read]]="N/A"),"N/A",IF(Table1[[#This Row],[DUT Adj Read]]="N/A",IF(Table1[[#This Row],[Std Adj Read]]&gt;=Table1[[#This Row],[Low Tol]],"Pass","Fail"),IF(Table1[[#This Row],[DUT Adj Read]]&gt;=Table1[[#This Row],[Low Tol]],"Pass","Fail")))</f>
        <v>Pass</v>
      </c>
      <c r="AG505" s="1" t="str">
        <f>IF(AND(Table1[[#This Row],[Spec Type2]]="N/A",Table1[[#This Row],[DUT Adj Read]]="N/A",Table1[[#This Row],[Std Adj Read]]="N/A"),"N/A",IF(Table1[[#This Row],[DUT Adj Read]]="N/A",IF(Table1[[#This Row],[Std Adj Read]]&lt;=Table1[[#This Row],[High Tol]],"Pass","Fail"),IF(Table1[[#This Row],[DUT Adj Read]]&lt;=Table1[[#This Row],[High Tol]],"Pass","Fail")))</f>
        <v>Fail</v>
      </c>
      <c r="AH5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5" s="1" t="b">
        <v>0</v>
      </c>
      <c r="AN505" s="1" t="b">
        <v>0</v>
      </c>
      <c r="AO505" s="1" t="b">
        <v>0</v>
      </c>
    </row>
    <row r="506" spans="1:41" x14ac:dyDescent="0.25">
      <c r="A506" s="10"/>
      <c r="B506" s="10"/>
      <c r="C506" s="10"/>
      <c r="D506" s="10"/>
      <c r="E506" s="10"/>
      <c r="F506" s="10"/>
      <c r="G506" s="10"/>
      <c r="H506" s="10"/>
      <c r="I506" s="1" t="str">
        <f t="shared" si="21"/>
        <v/>
      </c>
      <c r="J506" s="1" t="s">
        <v>35</v>
      </c>
      <c r="K506" s="1" t="str">
        <f t="shared" si="22"/>
        <v/>
      </c>
      <c r="L506" s="1" t="str">
        <f t="shared" si="23"/>
        <v/>
      </c>
      <c r="M506" s="1">
        <f>IF(OR(Table1[[#This Row],[Std Nom]]="",Table1[[#This Row],[Std Read]]=""),0,Table1[[#This Row],[Std Nom]]-Table1[[#This Row],[Std Read]])</f>
        <v>0</v>
      </c>
      <c r="N506" s="1">
        <f>IF(Calculations!$F$5="ACCREDITED 17025 WITH UNCERTAINTIES",$N$10,0)</f>
        <v>0</v>
      </c>
      <c r="O506" s="1" t="str">
        <f>IFERROR(Table1[[#This Row],[Std Nom]]-(_xlfn.XLOOKUP(Table1[[#This Row],[Manufacturer]]&amp;" "&amp;Table1[[#This Row],[Model]],Table13[MFR &amp; MDL],Table13[Tolerance % CW ],"")/100*Table1[[#This Row],[Std Nom]]),"")</f>
        <v/>
      </c>
      <c r="P506" s="1" t="str">
        <f>IFERROR(Table1[[#This Row],[Std Nom]]+(_xlfn.XLOOKUP(Table1[[#This Row],[Manufacturer]]&amp;" "&amp;Table1[[#This Row],[Model]],Table13[MFR &amp; MDL],Table13[Tolerance % CW ],"")/100*Table1[[#This Row],[Std Nom]]),"")</f>
        <v/>
      </c>
      <c r="Q506" s="1" t="e">
        <f>Table1[[#This Row],[High Tol]]-Table1[[#This Row],[Low Tol]]</f>
        <v>#VALUE!</v>
      </c>
      <c r="R506" s="1">
        <f>2*Table1[[#This Row],[Std Error]]</f>
        <v>0</v>
      </c>
      <c r="S506" s="1" t="str">
        <f>IF(Table1[[#This Row],[High Tol]]="","N/A",IFERROR(ABS(Table1[[#This Row],[Tol Span]]/Table1[[#This Row],[Error Span]]),"N/A"))</f>
        <v>N/A</v>
      </c>
      <c r="T506" s="1" t="str">
        <f>IF(OR(Table1[[#This Row],[Low Tol]]="",Table1[[#This Row],[High Tol]]=""),"Needs Analysis",IF(Table1[[#This Row],[Ratio]]&gt;=4,"Not Significant",IF(Table1[[#This Row],[Ratio]]&gt;=2,"Semi-Significant","Significant")))</f>
        <v>Needs Analysis</v>
      </c>
      <c r="W506" s="1">
        <f>IF(Table1[[#This Row],[Cal Type]]&lt;&gt;"ACCREDITED 17025 WITH UNCERTAINTIES",0,"")</f>
        <v>0</v>
      </c>
      <c r="X506" s="1" t="str">
        <f>IF(Table1[[#This Row],[DUT Read]]="","N/A",Table1[[#This Row],[Std Error]]+Table1[[#This Row],[DUT Read]]+Table1[[#This Row],[DUT Ucty]])</f>
        <v>N/A</v>
      </c>
      <c r="Y506" s="1" t="str">
        <f>IF(Table1[[#This Row],[Std Read]]="","N/A",Table1[[#This Row],[Std Read]]+Table1[[#This Row],[Std Ucty]])</f>
        <v>N/A</v>
      </c>
      <c r="Z5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6" s="1" t="str">
        <f>IF(Table1[[#This Row],[Spec Type]]="","N/A",Table1[[#This Row],[Spec Type]])</f>
        <v>±</v>
      </c>
      <c r="AC506" s="1" t="str">
        <f>IF(Table1[[#This Row],[Spec Type2]]="N/A","N/A",IF(AND(Table1[[#This Row],[DUT Adj Read]]&gt;=Table1[[#This Row],[Low Tol]],Table1[[#This Row],[DUT Adj Read]]&lt;=Table1[[#This Row],[High Tol]]),"Pass","Fail"))</f>
        <v>Fail</v>
      </c>
      <c r="AD506" s="1" t="str">
        <f>IF(AND(Table1[[#This Row],[Spec Type2]]="N/A",Table1[[#This Row],[DUT Adj Read]]="N/A",Table1[[#This Row],[Std Adj Read]]="N/A"),"N/A",IF(Table1[[#This Row],[DUT Adj Read]]="N/A",IF(Table1[[#This Row],[Std Adj Read]]&gt;Table1[[#This Row],[Low Tol]],"Pass","Fail"),IF(Table1[[#This Row],[DUT Adj Read]]&gt;Table1[[#This Row],[Low Tol]],"Pass","Fail")))</f>
        <v>Pass</v>
      </c>
      <c r="AE506" s="1" t="str">
        <f>IF(AND(Table1[[#This Row],[Spec Type2]]="N/A",Table1[[#This Row],[DUT Adj Read]]="N/A",Table1[[#This Row],[Std Adj Read]]="N/A"),"N/A",IF(Table1[[#This Row],[DUT Adj Read]]="N/A",IF(Table1[[#This Row],[Std Adj Read]]&lt;Table1[[#This Row],[High Tol]],"Pass","Fail"),IF(Table1[[#This Row],[DUT Adj Read]]&lt;Table1[[#This Row],[High Tol]],"Pass","Fail")))</f>
        <v>Fail</v>
      </c>
      <c r="AF506" s="1" t="str">
        <f>IF(AND(Table1[[#This Row],[Spec Type2]]="N/A",Table1[[#This Row],[DUT Adj Read]]="N/A",Table1[[#This Row],[Std Adj Read]]="N/A"),"N/A",IF(Table1[[#This Row],[DUT Adj Read]]="N/A",IF(Table1[[#This Row],[Std Adj Read]]&gt;=Table1[[#This Row],[Low Tol]],"Pass","Fail"),IF(Table1[[#This Row],[DUT Adj Read]]&gt;=Table1[[#This Row],[Low Tol]],"Pass","Fail")))</f>
        <v>Pass</v>
      </c>
      <c r="AG506" s="1" t="str">
        <f>IF(AND(Table1[[#This Row],[Spec Type2]]="N/A",Table1[[#This Row],[DUT Adj Read]]="N/A",Table1[[#This Row],[Std Adj Read]]="N/A"),"N/A",IF(Table1[[#This Row],[DUT Adj Read]]="N/A",IF(Table1[[#This Row],[Std Adj Read]]&lt;=Table1[[#This Row],[High Tol]],"Pass","Fail"),IF(Table1[[#This Row],[DUT Adj Read]]&lt;=Table1[[#This Row],[High Tol]],"Pass","Fail")))</f>
        <v>Fail</v>
      </c>
      <c r="AH5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6" s="1" t="b">
        <v>0</v>
      </c>
      <c r="AN506" s="1" t="b">
        <v>0</v>
      </c>
      <c r="AO506" s="1" t="b">
        <v>0</v>
      </c>
    </row>
    <row r="507" spans="1:41" x14ac:dyDescent="0.25">
      <c r="A507" s="10"/>
      <c r="B507" s="10"/>
      <c r="C507" s="10"/>
      <c r="D507" s="10"/>
      <c r="E507" s="10"/>
      <c r="F507" s="10"/>
      <c r="G507" s="10"/>
      <c r="H507" s="10"/>
      <c r="I507" s="1" t="str">
        <f t="shared" si="21"/>
        <v/>
      </c>
      <c r="J507" s="1" t="s">
        <v>35</v>
      </c>
      <c r="K507" s="1" t="str">
        <f t="shared" si="22"/>
        <v/>
      </c>
      <c r="L507" s="1" t="str">
        <f t="shared" si="23"/>
        <v/>
      </c>
      <c r="M507" s="1">
        <f>IF(OR(Table1[[#This Row],[Std Nom]]="",Table1[[#This Row],[Std Read]]=""),0,Table1[[#This Row],[Std Nom]]-Table1[[#This Row],[Std Read]])</f>
        <v>0</v>
      </c>
      <c r="N507" s="1">
        <f>IF(Calculations!$F$5="ACCREDITED 17025 WITH UNCERTAINTIES",$N$10,0)</f>
        <v>0</v>
      </c>
      <c r="O507" s="1" t="str">
        <f>IFERROR(Table1[[#This Row],[Std Nom]]-(_xlfn.XLOOKUP(Table1[[#This Row],[Manufacturer]]&amp;" "&amp;Table1[[#This Row],[Model]],Table13[MFR &amp; MDL],Table13[Tolerance % CW ],"")/100*Table1[[#This Row],[Std Nom]]),"")</f>
        <v/>
      </c>
      <c r="P507" s="1" t="str">
        <f>IFERROR(Table1[[#This Row],[Std Nom]]+(_xlfn.XLOOKUP(Table1[[#This Row],[Manufacturer]]&amp;" "&amp;Table1[[#This Row],[Model]],Table13[MFR &amp; MDL],Table13[Tolerance % CW ],"")/100*Table1[[#This Row],[Std Nom]]),"")</f>
        <v/>
      </c>
      <c r="Q507" s="1" t="e">
        <f>Table1[[#This Row],[High Tol]]-Table1[[#This Row],[Low Tol]]</f>
        <v>#VALUE!</v>
      </c>
      <c r="R507" s="1">
        <f>2*Table1[[#This Row],[Std Error]]</f>
        <v>0</v>
      </c>
      <c r="S507" s="1" t="str">
        <f>IF(Table1[[#This Row],[High Tol]]="","N/A",IFERROR(ABS(Table1[[#This Row],[Tol Span]]/Table1[[#This Row],[Error Span]]),"N/A"))</f>
        <v>N/A</v>
      </c>
      <c r="T507" s="1" t="str">
        <f>IF(OR(Table1[[#This Row],[Low Tol]]="",Table1[[#This Row],[High Tol]]=""),"Needs Analysis",IF(Table1[[#This Row],[Ratio]]&gt;=4,"Not Significant",IF(Table1[[#This Row],[Ratio]]&gt;=2,"Semi-Significant","Significant")))</f>
        <v>Needs Analysis</v>
      </c>
      <c r="W507" s="1">
        <f>IF(Table1[[#This Row],[Cal Type]]&lt;&gt;"ACCREDITED 17025 WITH UNCERTAINTIES",0,"")</f>
        <v>0</v>
      </c>
      <c r="X507" s="1" t="str">
        <f>IF(Table1[[#This Row],[DUT Read]]="","N/A",Table1[[#This Row],[Std Error]]+Table1[[#This Row],[DUT Read]]+Table1[[#This Row],[DUT Ucty]])</f>
        <v>N/A</v>
      </c>
      <c r="Y507" s="1" t="str">
        <f>IF(Table1[[#This Row],[Std Read]]="","N/A",Table1[[#This Row],[Std Read]]+Table1[[#This Row],[Std Ucty]])</f>
        <v>N/A</v>
      </c>
      <c r="Z5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7" s="1" t="str">
        <f>IF(Table1[[#This Row],[Spec Type]]="","N/A",Table1[[#This Row],[Spec Type]])</f>
        <v>±</v>
      </c>
      <c r="AC507" s="1" t="str">
        <f>IF(Table1[[#This Row],[Spec Type2]]="N/A","N/A",IF(AND(Table1[[#This Row],[DUT Adj Read]]&gt;=Table1[[#This Row],[Low Tol]],Table1[[#This Row],[DUT Adj Read]]&lt;=Table1[[#This Row],[High Tol]]),"Pass","Fail"))</f>
        <v>Fail</v>
      </c>
      <c r="AD507" s="1" t="str">
        <f>IF(AND(Table1[[#This Row],[Spec Type2]]="N/A",Table1[[#This Row],[DUT Adj Read]]="N/A",Table1[[#This Row],[Std Adj Read]]="N/A"),"N/A",IF(Table1[[#This Row],[DUT Adj Read]]="N/A",IF(Table1[[#This Row],[Std Adj Read]]&gt;Table1[[#This Row],[Low Tol]],"Pass","Fail"),IF(Table1[[#This Row],[DUT Adj Read]]&gt;Table1[[#This Row],[Low Tol]],"Pass","Fail")))</f>
        <v>Pass</v>
      </c>
      <c r="AE507" s="1" t="str">
        <f>IF(AND(Table1[[#This Row],[Spec Type2]]="N/A",Table1[[#This Row],[DUT Adj Read]]="N/A",Table1[[#This Row],[Std Adj Read]]="N/A"),"N/A",IF(Table1[[#This Row],[DUT Adj Read]]="N/A",IF(Table1[[#This Row],[Std Adj Read]]&lt;Table1[[#This Row],[High Tol]],"Pass","Fail"),IF(Table1[[#This Row],[DUT Adj Read]]&lt;Table1[[#This Row],[High Tol]],"Pass","Fail")))</f>
        <v>Fail</v>
      </c>
      <c r="AF507" s="1" t="str">
        <f>IF(AND(Table1[[#This Row],[Spec Type2]]="N/A",Table1[[#This Row],[DUT Adj Read]]="N/A",Table1[[#This Row],[Std Adj Read]]="N/A"),"N/A",IF(Table1[[#This Row],[DUT Adj Read]]="N/A",IF(Table1[[#This Row],[Std Adj Read]]&gt;=Table1[[#This Row],[Low Tol]],"Pass","Fail"),IF(Table1[[#This Row],[DUT Adj Read]]&gt;=Table1[[#This Row],[Low Tol]],"Pass","Fail")))</f>
        <v>Pass</v>
      </c>
      <c r="AG507" s="1" t="str">
        <f>IF(AND(Table1[[#This Row],[Spec Type2]]="N/A",Table1[[#This Row],[DUT Adj Read]]="N/A",Table1[[#This Row],[Std Adj Read]]="N/A"),"N/A",IF(Table1[[#This Row],[DUT Adj Read]]="N/A",IF(Table1[[#This Row],[Std Adj Read]]&lt;=Table1[[#This Row],[High Tol]],"Pass","Fail"),IF(Table1[[#This Row],[DUT Adj Read]]&lt;=Table1[[#This Row],[High Tol]],"Pass","Fail")))</f>
        <v>Fail</v>
      </c>
      <c r="AH5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7" s="1" t="b">
        <v>0</v>
      </c>
      <c r="AN507" s="1" t="b">
        <v>0</v>
      </c>
      <c r="AO507" s="1" t="b">
        <v>0</v>
      </c>
    </row>
    <row r="508" spans="1:41" x14ac:dyDescent="0.25">
      <c r="A508" s="10"/>
      <c r="B508" s="10"/>
      <c r="C508" s="10"/>
      <c r="D508" s="10"/>
      <c r="E508" s="10"/>
      <c r="F508" s="10"/>
      <c r="G508" s="10"/>
      <c r="H508" s="10"/>
      <c r="I508" s="1" t="str">
        <f t="shared" si="21"/>
        <v/>
      </c>
      <c r="J508" s="1" t="s">
        <v>35</v>
      </c>
      <c r="K508" s="1" t="str">
        <f t="shared" si="22"/>
        <v/>
      </c>
      <c r="L508" s="1" t="str">
        <f t="shared" si="23"/>
        <v/>
      </c>
      <c r="M508" s="1">
        <f>IF(OR(Table1[[#This Row],[Std Nom]]="",Table1[[#This Row],[Std Read]]=""),0,Table1[[#This Row],[Std Nom]]-Table1[[#This Row],[Std Read]])</f>
        <v>0</v>
      </c>
      <c r="N508" s="1">
        <f>IF(Calculations!$F$5="ACCREDITED 17025 WITH UNCERTAINTIES",$N$10,0)</f>
        <v>0</v>
      </c>
      <c r="O508" s="1" t="str">
        <f>IFERROR(Table1[[#This Row],[Std Nom]]-(_xlfn.XLOOKUP(Table1[[#This Row],[Manufacturer]]&amp;" "&amp;Table1[[#This Row],[Model]],Table13[MFR &amp; MDL],Table13[Tolerance % CW ],"")/100*Table1[[#This Row],[Std Nom]]),"")</f>
        <v/>
      </c>
      <c r="P508" s="1" t="str">
        <f>IFERROR(Table1[[#This Row],[Std Nom]]+(_xlfn.XLOOKUP(Table1[[#This Row],[Manufacturer]]&amp;" "&amp;Table1[[#This Row],[Model]],Table13[MFR &amp; MDL],Table13[Tolerance % CW ],"")/100*Table1[[#This Row],[Std Nom]]),"")</f>
        <v/>
      </c>
      <c r="Q508" s="1" t="e">
        <f>Table1[[#This Row],[High Tol]]-Table1[[#This Row],[Low Tol]]</f>
        <v>#VALUE!</v>
      </c>
      <c r="R508" s="1">
        <f>2*Table1[[#This Row],[Std Error]]</f>
        <v>0</v>
      </c>
      <c r="S508" s="1" t="str">
        <f>IF(Table1[[#This Row],[High Tol]]="","N/A",IFERROR(ABS(Table1[[#This Row],[Tol Span]]/Table1[[#This Row],[Error Span]]),"N/A"))</f>
        <v>N/A</v>
      </c>
      <c r="T508" s="1" t="str">
        <f>IF(OR(Table1[[#This Row],[Low Tol]]="",Table1[[#This Row],[High Tol]]=""),"Needs Analysis",IF(Table1[[#This Row],[Ratio]]&gt;=4,"Not Significant",IF(Table1[[#This Row],[Ratio]]&gt;=2,"Semi-Significant","Significant")))</f>
        <v>Needs Analysis</v>
      </c>
      <c r="W508" s="1">
        <f>IF(Table1[[#This Row],[Cal Type]]&lt;&gt;"ACCREDITED 17025 WITH UNCERTAINTIES",0,"")</f>
        <v>0</v>
      </c>
      <c r="X508" s="1" t="str">
        <f>IF(Table1[[#This Row],[DUT Read]]="","N/A",Table1[[#This Row],[Std Error]]+Table1[[#This Row],[DUT Read]]+Table1[[#This Row],[DUT Ucty]])</f>
        <v>N/A</v>
      </c>
      <c r="Y508" s="1" t="str">
        <f>IF(Table1[[#This Row],[Std Read]]="","N/A",Table1[[#This Row],[Std Read]]+Table1[[#This Row],[Std Ucty]])</f>
        <v>N/A</v>
      </c>
      <c r="Z5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8" s="1" t="str">
        <f>IF(Table1[[#This Row],[Spec Type]]="","N/A",Table1[[#This Row],[Spec Type]])</f>
        <v>±</v>
      </c>
      <c r="AC508" s="1" t="str">
        <f>IF(Table1[[#This Row],[Spec Type2]]="N/A","N/A",IF(AND(Table1[[#This Row],[DUT Adj Read]]&gt;=Table1[[#This Row],[Low Tol]],Table1[[#This Row],[DUT Adj Read]]&lt;=Table1[[#This Row],[High Tol]]),"Pass","Fail"))</f>
        <v>Fail</v>
      </c>
      <c r="AD508" s="1" t="str">
        <f>IF(AND(Table1[[#This Row],[Spec Type2]]="N/A",Table1[[#This Row],[DUT Adj Read]]="N/A",Table1[[#This Row],[Std Adj Read]]="N/A"),"N/A",IF(Table1[[#This Row],[DUT Adj Read]]="N/A",IF(Table1[[#This Row],[Std Adj Read]]&gt;Table1[[#This Row],[Low Tol]],"Pass","Fail"),IF(Table1[[#This Row],[DUT Adj Read]]&gt;Table1[[#This Row],[Low Tol]],"Pass","Fail")))</f>
        <v>Pass</v>
      </c>
      <c r="AE508" s="1" t="str">
        <f>IF(AND(Table1[[#This Row],[Spec Type2]]="N/A",Table1[[#This Row],[DUT Adj Read]]="N/A",Table1[[#This Row],[Std Adj Read]]="N/A"),"N/A",IF(Table1[[#This Row],[DUT Adj Read]]="N/A",IF(Table1[[#This Row],[Std Adj Read]]&lt;Table1[[#This Row],[High Tol]],"Pass","Fail"),IF(Table1[[#This Row],[DUT Adj Read]]&lt;Table1[[#This Row],[High Tol]],"Pass","Fail")))</f>
        <v>Fail</v>
      </c>
      <c r="AF508" s="1" t="str">
        <f>IF(AND(Table1[[#This Row],[Spec Type2]]="N/A",Table1[[#This Row],[DUT Adj Read]]="N/A",Table1[[#This Row],[Std Adj Read]]="N/A"),"N/A",IF(Table1[[#This Row],[DUT Adj Read]]="N/A",IF(Table1[[#This Row],[Std Adj Read]]&gt;=Table1[[#This Row],[Low Tol]],"Pass","Fail"),IF(Table1[[#This Row],[DUT Adj Read]]&gt;=Table1[[#This Row],[Low Tol]],"Pass","Fail")))</f>
        <v>Pass</v>
      </c>
      <c r="AG508" s="1" t="str">
        <f>IF(AND(Table1[[#This Row],[Spec Type2]]="N/A",Table1[[#This Row],[DUT Adj Read]]="N/A",Table1[[#This Row],[Std Adj Read]]="N/A"),"N/A",IF(Table1[[#This Row],[DUT Adj Read]]="N/A",IF(Table1[[#This Row],[Std Adj Read]]&lt;=Table1[[#This Row],[High Tol]],"Pass","Fail"),IF(Table1[[#This Row],[DUT Adj Read]]&lt;=Table1[[#This Row],[High Tol]],"Pass","Fail")))</f>
        <v>Fail</v>
      </c>
      <c r="AH5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8" s="1" t="b">
        <v>0</v>
      </c>
      <c r="AN508" s="1" t="b">
        <v>0</v>
      </c>
      <c r="AO508" s="1" t="b">
        <v>0</v>
      </c>
    </row>
    <row r="509" spans="1:41" x14ac:dyDescent="0.25">
      <c r="A509" s="10"/>
      <c r="B509" s="10"/>
      <c r="C509" s="10"/>
      <c r="D509" s="10"/>
      <c r="E509" s="10"/>
      <c r="F509" s="10"/>
      <c r="G509" s="10"/>
      <c r="H509" s="10"/>
      <c r="I509" s="1" t="str">
        <f t="shared" si="21"/>
        <v/>
      </c>
      <c r="J509" s="1" t="s">
        <v>35</v>
      </c>
      <c r="K509" s="1" t="str">
        <f t="shared" si="22"/>
        <v/>
      </c>
      <c r="L509" s="1" t="str">
        <f t="shared" si="23"/>
        <v/>
      </c>
      <c r="M509" s="1">
        <f>IF(OR(Table1[[#This Row],[Std Nom]]="",Table1[[#This Row],[Std Read]]=""),0,Table1[[#This Row],[Std Nom]]-Table1[[#This Row],[Std Read]])</f>
        <v>0</v>
      </c>
      <c r="N509" s="1">
        <f>IF(Calculations!$F$5="ACCREDITED 17025 WITH UNCERTAINTIES",$N$10,0)</f>
        <v>0</v>
      </c>
      <c r="O509" s="1" t="str">
        <f>IFERROR(Table1[[#This Row],[Std Nom]]-(_xlfn.XLOOKUP(Table1[[#This Row],[Manufacturer]]&amp;" "&amp;Table1[[#This Row],[Model]],Table13[MFR &amp; MDL],Table13[Tolerance % CW ],"")/100*Table1[[#This Row],[Std Nom]]),"")</f>
        <v/>
      </c>
      <c r="P509" s="1" t="str">
        <f>IFERROR(Table1[[#This Row],[Std Nom]]+(_xlfn.XLOOKUP(Table1[[#This Row],[Manufacturer]]&amp;" "&amp;Table1[[#This Row],[Model]],Table13[MFR &amp; MDL],Table13[Tolerance % CW ],"")/100*Table1[[#This Row],[Std Nom]]),"")</f>
        <v/>
      </c>
      <c r="Q509" s="1" t="e">
        <f>Table1[[#This Row],[High Tol]]-Table1[[#This Row],[Low Tol]]</f>
        <v>#VALUE!</v>
      </c>
      <c r="R509" s="1">
        <f>2*Table1[[#This Row],[Std Error]]</f>
        <v>0</v>
      </c>
      <c r="S509" s="1" t="str">
        <f>IF(Table1[[#This Row],[High Tol]]="","N/A",IFERROR(ABS(Table1[[#This Row],[Tol Span]]/Table1[[#This Row],[Error Span]]),"N/A"))</f>
        <v>N/A</v>
      </c>
      <c r="T509" s="1" t="str">
        <f>IF(OR(Table1[[#This Row],[Low Tol]]="",Table1[[#This Row],[High Tol]]=""),"Needs Analysis",IF(Table1[[#This Row],[Ratio]]&gt;=4,"Not Significant",IF(Table1[[#This Row],[Ratio]]&gt;=2,"Semi-Significant","Significant")))</f>
        <v>Needs Analysis</v>
      </c>
      <c r="W509" s="1">
        <f>IF(Table1[[#This Row],[Cal Type]]&lt;&gt;"ACCREDITED 17025 WITH UNCERTAINTIES",0,"")</f>
        <v>0</v>
      </c>
      <c r="X509" s="1" t="str">
        <f>IF(Table1[[#This Row],[DUT Read]]="","N/A",Table1[[#This Row],[Std Error]]+Table1[[#This Row],[DUT Read]]+Table1[[#This Row],[DUT Ucty]])</f>
        <v>N/A</v>
      </c>
      <c r="Y509" s="1" t="str">
        <f>IF(Table1[[#This Row],[Std Read]]="","N/A",Table1[[#This Row],[Std Read]]+Table1[[#This Row],[Std Ucty]])</f>
        <v>N/A</v>
      </c>
      <c r="Z5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9" s="1" t="str">
        <f>IF(Table1[[#This Row],[Spec Type]]="","N/A",Table1[[#This Row],[Spec Type]])</f>
        <v>±</v>
      </c>
      <c r="AC509" s="1" t="str">
        <f>IF(Table1[[#This Row],[Spec Type2]]="N/A","N/A",IF(AND(Table1[[#This Row],[DUT Adj Read]]&gt;=Table1[[#This Row],[Low Tol]],Table1[[#This Row],[DUT Adj Read]]&lt;=Table1[[#This Row],[High Tol]]),"Pass","Fail"))</f>
        <v>Fail</v>
      </c>
      <c r="AD509" s="1" t="str">
        <f>IF(AND(Table1[[#This Row],[Spec Type2]]="N/A",Table1[[#This Row],[DUT Adj Read]]="N/A",Table1[[#This Row],[Std Adj Read]]="N/A"),"N/A",IF(Table1[[#This Row],[DUT Adj Read]]="N/A",IF(Table1[[#This Row],[Std Adj Read]]&gt;Table1[[#This Row],[Low Tol]],"Pass","Fail"),IF(Table1[[#This Row],[DUT Adj Read]]&gt;Table1[[#This Row],[Low Tol]],"Pass","Fail")))</f>
        <v>Pass</v>
      </c>
      <c r="AE509" s="1" t="str">
        <f>IF(AND(Table1[[#This Row],[Spec Type2]]="N/A",Table1[[#This Row],[DUT Adj Read]]="N/A",Table1[[#This Row],[Std Adj Read]]="N/A"),"N/A",IF(Table1[[#This Row],[DUT Adj Read]]="N/A",IF(Table1[[#This Row],[Std Adj Read]]&lt;Table1[[#This Row],[High Tol]],"Pass","Fail"),IF(Table1[[#This Row],[DUT Adj Read]]&lt;Table1[[#This Row],[High Tol]],"Pass","Fail")))</f>
        <v>Fail</v>
      </c>
      <c r="AF509" s="1" t="str">
        <f>IF(AND(Table1[[#This Row],[Spec Type2]]="N/A",Table1[[#This Row],[DUT Adj Read]]="N/A",Table1[[#This Row],[Std Adj Read]]="N/A"),"N/A",IF(Table1[[#This Row],[DUT Adj Read]]="N/A",IF(Table1[[#This Row],[Std Adj Read]]&gt;=Table1[[#This Row],[Low Tol]],"Pass","Fail"),IF(Table1[[#This Row],[DUT Adj Read]]&gt;=Table1[[#This Row],[Low Tol]],"Pass","Fail")))</f>
        <v>Pass</v>
      </c>
      <c r="AG509" s="1" t="str">
        <f>IF(AND(Table1[[#This Row],[Spec Type2]]="N/A",Table1[[#This Row],[DUT Adj Read]]="N/A",Table1[[#This Row],[Std Adj Read]]="N/A"),"N/A",IF(Table1[[#This Row],[DUT Adj Read]]="N/A",IF(Table1[[#This Row],[Std Adj Read]]&lt;=Table1[[#This Row],[High Tol]],"Pass","Fail"),IF(Table1[[#This Row],[DUT Adj Read]]&lt;=Table1[[#This Row],[High Tol]],"Pass","Fail")))</f>
        <v>Fail</v>
      </c>
      <c r="AH5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9" s="1" t="b">
        <v>0</v>
      </c>
      <c r="AN509" s="1" t="b">
        <v>0</v>
      </c>
      <c r="AO509" s="1" t="b">
        <v>0</v>
      </c>
    </row>
    <row r="510" spans="1:41" x14ac:dyDescent="0.25">
      <c r="A510" s="10"/>
      <c r="B510" s="10"/>
      <c r="C510" s="10"/>
      <c r="D510" s="10"/>
      <c r="E510" s="10"/>
      <c r="F510" s="10"/>
      <c r="G510" s="10"/>
      <c r="H510" s="10"/>
      <c r="I510" s="1" t="str">
        <f t="shared" si="21"/>
        <v/>
      </c>
      <c r="J510" s="1" t="s">
        <v>35</v>
      </c>
      <c r="K510" s="1" t="str">
        <f t="shared" si="22"/>
        <v/>
      </c>
      <c r="L510" s="1" t="str">
        <f t="shared" si="23"/>
        <v/>
      </c>
      <c r="M510" s="1">
        <f>IF(OR(Table1[[#This Row],[Std Nom]]="",Table1[[#This Row],[Std Read]]=""),0,Table1[[#This Row],[Std Nom]]-Table1[[#This Row],[Std Read]])</f>
        <v>0</v>
      </c>
      <c r="N510" s="1">
        <f>IF(Calculations!$F$5="ACCREDITED 17025 WITH UNCERTAINTIES",$N$10,0)</f>
        <v>0</v>
      </c>
      <c r="O510" s="1" t="str">
        <f>IFERROR(Table1[[#This Row],[Std Nom]]-(_xlfn.XLOOKUP(Table1[[#This Row],[Manufacturer]]&amp;" "&amp;Table1[[#This Row],[Model]],Table13[MFR &amp; MDL],Table13[Tolerance % CW ],"")/100*Table1[[#This Row],[Std Nom]]),"")</f>
        <v/>
      </c>
      <c r="P510" s="1" t="str">
        <f>IFERROR(Table1[[#This Row],[Std Nom]]+(_xlfn.XLOOKUP(Table1[[#This Row],[Manufacturer]]&amp;" "&amp;Table1[[#This Row],[Model]],Table13[MFR &amp; MDL],Table13[Tolerance % CW ],"")/100*Table1[[#This Row],[Std Nom]]),"")</f>
        <v/>
      </c>
      <c r="Q510" s="1" t="e">
        <f>Table1[[#This Row],[High Tol]]-Table1[[#This Row],[Low Tol]]</f>
        <v>#VALUE!</v>
      </c>
      <c r="R510" s="1">
        <f>2*Table1[[#This Row],[Std Error]]</f>
        <v>0</v>
      </c>
      <c r="S510" s="1" t="str">
        <f>IF(Table1[[#This Row],[High Tol]]="","N/A",IFERROR(ABS(Table1[[#This Row],[Tol Span]]/Table1[[#This Row],[Error Span]]),"N/A"))</f>
        <v>N/A</v>
      </c>
      <c r="T510" s="1" t="str">
        <f>IF(OR(Table1[[#This Row],[Low Tol]]="",Table1[[#This Row],[High Tol]]=""),"Needs Analysis",IF(Table1[[#This Row],[Ratio]]&gt;=4,"Not Significant",IF(Table1[[#This Row],[Ratio]]&gt;=2,"Semi-Significant","Significant")))</f>
        <v>Needs Analysis</v>
      </c>
      <c r="W510" s="1">
        <f>IF(Table1[[#This Row],[Cal Type]]&lt;&gt;"ACCREDITED 17025 WITH UNCERTAINTIES",0,"")</f>
        <v>0</v>
      </c>
      <c r="X510" s="1" t="str">
        <f>IF(Table1[[#This Row],[DUT Read]]="","N/A",Table1[[#This Row],[Std Error]]+Table1[[#This Row],[DUT Read]]+Table1[[#This Row],[DUT Ucty]])</f>
        <v>N/A</v>
      </c>
      <c r="Y510" s="1" t="str">
        <f>IF(Table1[[#This Row],[Std Read]]="","N/A",Table1[[#This Row],[Std Read]]+Table1[[#This Row],[Std Ucty]])</f>
        <v>N/A</v>
      </c>
      <c r="Z5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0" s="1" t="str">
        <f>IF(Table1[[#This Row],[Spec Type]]="","N/A",Table1[[#This Row],[Spec Type]])</f>
        <v>±</v>
      </c>
      <c r="AC510" s="1" t="str">
        <f>IF(Table1[[#This Row],[Spec Type2]]="N/A","N/A",IF(AND(Table1[[#This Row],[DUT Adj Read]]&gt;=Table1[[#This Row],[Low Tol]],Table1[[#This Row],[DUT Adj Read]]&lt;=Table1[[#This Row],[High Tol]]),"Pass","Fail"))</f>
        <v>Fail</v>
      </c>
      <c r="AD510" s="1" t="str">
        <f>IF(AND(Table1[[#This Row],[Spec Type2]]="N/A",Table1[[#This Row],[DUT Adj Read]]="N/A",Table1[[#This Row],[Std Adj Read]]="N/A"),"N/A",IF(Table1[[#This Row],[DUT Adj Read]]="N/A",IF(Table1[[#This Row],[Std Adj Read]]&gt;Table1[[#This Row],[Low Tol]],"Pass","Fail"),IF(Table1[[#This Row],[DUT Adj Read]]&gt;Table1[[#This Row],[Low Tol]],"Pass","Fail")))</f>
        <v>Pass</v>
      </c>
      <c r="AE510" s="1" t="str">
        <f>IF(AND(Table1[[#This Row],[Spec Type2]]="N/A",Table1[[#This Row],[DUT Adj Read]]="N/A",Table1[[#This Row],[Std Adj Read]]="N/A"),"N/A",IF(Table1[[#This Row],[DUT Adj Read]]="N/A",IF(Table1[[#This Row],[Std Adj Read]]&lt;Table1[[#This Row],[High Tol]],"Pass","Fail"),IF(Table1[[#This Row],[DUT Adj Read]]&lt;Table1[[#This Row],[High Tol]],"Pass","Fail")))</f>
        <v>Fail</v>
      </c>
      <c r="AF510" s="1" t="str">
        <f>IF(AND(Table1[[#This Row],[Spec Type2]]="N/A",Table1[[#This Row],[DUT Adj Read]]="N/A",Table1[[#This Row],[Std Adj Read]]="N/A"),"N/A",IF(Table1[[#This Row],[DUT Adj Read]]="N/A",IF(Table1[[#This Row],[Std Adj Read]]&gt;=Table1[[#This Row],[Low Tol]],"Pass","Fail"),IF(Table1[[#This Row],[DUT Adj Read]]&gt;=Table1[[#This Row],[Low Tol]],"Pass","Fail")))</f>
        <v>Pass</v>
      </c>
      <c r="AG510" s="1" t="str">
        <f>IF(AND(Table1[[#This Row],[Spec Type2]]="N/A",Table1[[#This Row],[DUT Adj Read]]="N/A",Table1[[#This Row],[Std Adj Read]]="N/A"),"N/A",IF(Table1[[#This Row],[DUT Adj Read]]="N/A",IF(Table1[[#This Row],[Std Adj Read]]&lt;=Table1[[#This Row],[High Tol]],"Pass","Fail"),IF(Table1[[#This Row],[DUT Adj Read]]&lt;=Table1[[#This Row],[High Tol]],"Pass","Fail")))</f>
        <v>Fail</v>
      </c>
      <c r="AH5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0" s="1" t="b">
        <v>0</v>
      </c>
      <c r="AN510" s="1" t="b">
        <v>0</v>
      </c>
      <c r="AO510" s="1" t="b">
        <v>0</v>
      </c>
    </row>
    <row r="511" spans="1:41" x14ac:dyDescent="0.25">
      <c r="A511" s="10"/>
      <c r="B511" s="10"/>
      <c r="C511" s="10"/>
      <c r="D511" s="10"/>
      <c r="E511" s="10"/>
      <c r="F511" s="10"/>
      <c r="G511" s="10"/>
      <c r="H511" s="10"/>
      <c r="I511" s="1" t="str">
        <f t="shared" si="21"/>
        <v/>
      </c>
      <c r="J511" s="1" t="s">
        <v>35</v>
      </c>
      <c r="K511" s="1" t="str">
        <f t="shared" si="22"/>
        <v/>
      </c>
      <c r="L511" s="1" t="str">
        <f t="shared" si="23"/>
        <v/>
      </c>
      <c r="M511" s="1">
        <f>IF(OR(Table1[[#This Row],[Std Nom]]="",Table1[[#This Row],[Std Read]]=""),0,Table1[[#This Row],[Std Nom]]-Table1[[#This Row],[Std Read]])</f>
        <v>0</v>
      </c>
      <c r="N511" s="1">
        <f>IF(Calculations!$F$5="ACCREDITED 17025 WITH UNCERTAINTIES",$N$10,0)</f>
        <v>0</v>
      </c>
      <c r="O511" s="1" t="str">
        <f>IFERROR(Table1[[#This Row],[Std Nom]]-(_xlfn.XLOOKUP(Table1[[#This Row],[Manufacturer]]&amp;" "&amp;Table1[[#This Row],[Model]],Table13[MFR &amp; MDL],Table13[Tolerance % CW ],"")/100*Table1[[#This Row],[Std Nom]]),"")</f>
        <v/>
      </c>
      <c r="P511" s="1" t="str">
        <f>IFERROR(Table1[[#This Row],[Std Nom]]+(_xlfn.XLOOKUP(Table1[[#This Row],[Manufacturer]]&amp;" "&amp;Table1[[#This Row],[Model]],Table13[MFR &amp; MDL],Table13[Tolerance % CW ],"")/100*Table1[[#This Row],[Std Nom]]),"")</f>
        <v/>
      </c>
      <c r="Q511" s="1" t="e">
        <f>Table1[[#This Row],[High Tol]]-Table1[[#This Row],[Low Tol]]</f>
        <v>#VALUE!</v>
      </c>
      <c r="R511" s="1">
        <f>2*Table1[[#This Row],[Std Error]]</f>
        <v>0</v>
      </c>
      <c r="S511" s="1" t="str">
        <f>IF(Table1[[#This Row],[High Tol]]="","N/A",IFERROR(ABS(Table1[[#This Row],[Tol Span]]/Table1[[#This Row],[Error Span]]),"N/A"))</f>
        <v>N/A</v>
      </c>
      <c r="T511" s="1" t="str">
        <f>IF(OR(Table1[[#This Row],[Low Tol]]="",Table1[[#This Row],[High Tol]]=""),"Needs Analysis",IF(Table1[[#This Row],[Ratio]]&gt;=4,"Not Significant",IF(Table1[[#This Row],[Ratio]]&gt;=2,"Semi-Significant","Significant")))</f>
        <v>Needs Analysis</v>
      </c>
      <c r="W511" s="1">
        <f>IF(Table1[[#This Row],[Cal Type]]&lt;&gt;"ACCREDITED 17025 WITH UNCERTAINTIES",0,"")</f>
        <v>0</v>
      </c>
      <c r="X511" s="1" t="str">
        <f>IF(Table1[[#This Row],[DUT Read]]="","N/A",Table1[[#This Row],[Std Error]]+Table1[[#This Row],[DUT Read]]+Table1[[#This Row],[DUT Ucty]])</f>
        <v>N/A</v>
      </c>
      <c r="Y511" s="1" t="str">
        <f>IF(Table1[[#This Row],[Std Read]]="","N/A",Table1[[#This Row],[Std Read]]+Table1[[#This Row],[Std Ucty]])</f>
        <v>N/A</v>
      </c>
      <c r="Z5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1" s="1" t="str">
        <f>IF(Table1[[#This Row],[Spec Type]]="","N/A",Table1[[#This Row],[Spec Type]])</f>
        <v>±</v>
      </c>
      <c r="AC511" s="1" t="str">
        <f>IF(Table1[[#This Row],[Spec Type2]]="N/A","N/A",IF(AND(Table1[[#This Row],[DUT Adj Read]]&gt;=Table1[[#This Row],[Low Tol]],Table1[[#This Row],[DUT Adj Read]]&lt;=Table1[[#This Row],[High Tol]]),"Pass","Fail"))</f>
        <v>Fail</v>
      </c>
      <c r="AD511" s="1" t="str">
        <f>IF(AND(Table1[[#This Row],[Spec Type2]]="N/A",Table1[[#This Row],[DUT Adj Read]]="N/A",Table1[[#This Row],[Std Adj Read]]="N/A"),"N/A",IF(Table1[[#This Row],[DUT Adj Read]]="N/A",IF(Table1[[#This Row],[Std Adj Read]]&gt;Table1[[#This Row],[Low Tol]],"Pass","Fail"),IF(Table1[[#This Row],[DUT Adj Read]]&gt;Table1[[#This Row],[Low Tol]],"Pass","Fail")))</f>
        <v>Pass</v>
      </c>
      <c r="AE511" s="1" t="str">
        <f>IF(AND(Table1[[#This Row],[Spec Type2]]="N/A",Table1[[#This Row],[DUT Adj Read]]="N/A",Table1[[#This Row],[Std Adj Read]]="N/A"),"N/A",IF(Table1[[#This Row],[DUT Adj Read]]="N/A",IF(Table1[[#This Row],[Std Adj Read]]&lt;Table1[[#This Row],[High Tol]],"Pass","Fail"),IF(Table1[[#This Row],[DUT Adj Read]]&lt;Table1[[#This Row],[High Tol]],"Pass","Fail")))</f>
        <v>Fail</v>
      </c>
      <c r="AF511" s="1" t="str">
        <f>IF(AND(Table1[[#This Row],[Spec Type2]]="N/A",Table1[[#This Row],[DUT Adj Read]]="N/A",Table1[[#This Row],[Std Adj Read]]="N/A"),"N/A",IF(Table1[[#This Row],[DUT Adj Read]]="N/A",IF(Table1[[#This Row],[Std Adj Read]]&gt;=Table1[[#This Row],[Low Tol]],"Pass","Fail"),IF(Table1[[#This Row],[DUT Adj Read]]&gt;=Table1[[#This Row],[Low Tol]],"Pass","Fail")))</f>
        <v>Pass</v>
      </c>
      <c r="AG511" s="1" t="str">
        <f>IF(AND(Table1[[#This Row],[Spec Type2]]="N/A",Table1[[#This Row],[DUT Adj Read]]="N/A",Table1[[#This Row],[Std Adj Read]]="N/A"),"N/A",IF(Table1[[#This Row],[DUT Adj Read]]="N/A",IF(Table1[[#This Row],[Std Adj Read]]&lt;=Table1[[#This Row],[High Tol]],"Pass","Fail"),IF(Table1[[#This Row],[DUT Adj Read]]&lt;=Table1[[#This Row],[High Tol]],"Pass","Fail")))</f>
        <v>Fail</v>
      </c>
      <c r="AH5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1" s="1" t="b">
        <v>0</v>
      </c>
      <c r="AN511" s="1" t="b">
        <v>0</v>
      </c>
      <c r="AO511" s="1" t="b">
        <v>0</v>
      </c>
    </row>
    <row r="512" spans="1:41" x14ac:dyDescent="0.25">
      <c r="A512" s="10"/>
      <c r="B512" s="10"/>
      <c r="C512" s="10"/>
      <c r="D512" s="10"/>
      <c r="E512" s="10"/>
      <c r="F512" s="10"/>
      <c r="G512" s="10"/>
      <c r="H512" s="10"/>
      <c r="I512" s="1" t="str">
        <f t="shared" si="21"/>
        <v/>
      </c>
      <c r="J512" s="1" t="s">
        <v>35</v>
      </c>
      <c r="K512" s="1" t="str">
        <f t="shared" si="22"/>
        <v/>
      </c>
      <c r="L512" s="1" t="str">
        <f t="shared" si="23"/>
        <v/>
      </c>
      <c r="M512" s="1">
        <f>IF(OR(Table1[[#This Row],[Std Nom]]="",Table1[[#This Row],[Std Read]]=""),0,Table1[[#This Row],[Std Nom]]-Table1[[#This Row],[Std Read]])</f>
        <v>0</v>
      </c>
      <c r="N512" s="1">
        <f>IF(Calculations!$F$5="ACCREDITED 17025 WITH UNCERTAINTIES",$N$10,0)</f>
        <v>0</v>
      </c>
      <c r="O512" s="1" t="str">
        <f>IFERROR(Table1[[#This Row],[Std Nom]]-(_xlfn.XLOOKUP(Table1[[#This Row],[Manufacturer]]&amp;" "&amp;Table1[[#This Row],[Model]],Table13[MFR &amp; MDL],Table13[Tolerance % CW ],"")/100*Table1[[#This Row],[Std Nom]]),"")</f>
        <v/>
      </c>
      <c r="P512" s="1" t="str">
        <f>IFERROR(Table1[[#This Row],[Std Nom]]+(_xlfn.XLOOKUP(Table1[[#This Row],[Manufacturer]]&amp;" "&amp;Table1[[#This Row],[Model]],Table13[MFR &amp; MDL],Table13[Tolerance % CW ],"")/100*Table1[[#This Row],[Std Nom]]),"")</f>
        <v/>
      </c>
      <c r="Q512" s="1" t="e">
        <f>Table1[[#This Row],[High Tol]]-Table1[[#This Row],[Low Tol]]</f>
        <v>#VALUE!</v>
      </c>
      <c r="R512" s="1">
        <f>2*Table1[[#This Row],[Std Error]]</f>
        <v>0</v>
      </c>
      <c r="S512" s="1" t="str">
        <f>IF(Table1[[#This Row],[High Tol]]="","N/A",IFERROR(ABS(Table1[[#This Row],[Tol Span]]/Table1[[#This Row],[Error Span]]),"N/A"))</f>
        <v>N/A</v>
      </c>
      <c r="T512" s="1" t="str">
        <f>IF(OR(Table1[[#This Row],[Low Tol]]="",Table1[[#This Row],[High Tol]]=""),"Needs Analysis",IF(Table1[[#This Row],[Ratio]]&gt;=4,"Not Significant",IF(Table1[[#This Row],[Ratio]]&gt;=2,"Semi-Significant","Significant")))</f>
        <v>Needs Analysis</v>
      </c>
      <c r="W512" s="1">
        <f>IF(Table1[[#This Row],[Cal Type]]&lt;&gt;"ACCREDITED 17025 WITH UNCERTAINTIES",0,"")</f>
        <v>0</v>
      </c>
      <c r="X512" s="1" t="str">
        <f>IF(Table1[[#This Row],[DUT Read]]="","N/A",Table1[[#This Row],[Std Error]]+Table1[[#This Row],[DUT Read]]+Table1[[#This Row],[DUT Ucty]])</f>
        <v>N/A</v>
      </c>
      <c r="Y512" s="1" t="str">
        <f>IF(Table1[[#This Row],[Std Read]]="","N/A",Table1[[#This Row],[Std Read]]+Table1[[#This Row],[Std Ucty]])</f>
        <v>N/A</v>
      </c>
      <c r="Z5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2" s="1" t="str">
        <f>IF(Table1[[#This Row],[Spec Type]]="","N/A",Table1[[#This Row],[Spec Type]])</f>
        <v>±</v>
      </c>
      <c r="AC512" s="1" t="str">
        <f>IF(Table1[[#This Row],[Spec Type2]]="N/A","N/A",IF(AND(Table1[[#This Row],[DUT Adj Read]]&gt;=Table1[[#This Row],[Low Tol]],Table1[[#This Row],[DUT Adj Read]]&lt;=Table1[[#This Row],[High Tol]]),"Pass","Fail"))</f>
        <v>Fail</v>
      </c>
      <c r="AD512" s="1" t="str">
        <f>IF(AND(Table1[[#This Row],[Spec Type2]]="N/A",Table1[[#This Row],[DUT Adj Read]]="N/A",Table1[[#This Row],[Std Adj Read]]="N/A"),"N/A",IF(Table1[[#This Row],[DUT Adj Read]]="N/A",IF(Table1[[#This Row],[Std Adj Read]]&gt;Table1[[#This Row],[Low Tol]],"Pass","Fail"),IF(Table1[[#This Row],[DUT Adj Read]]&gt;Table1[[#This Row],[Low Tol]],"Pass","Fail")))</f>
        <v>Pass</v>
      </c>
      <c r="AE512" s="1" t="str">
        <f>IF(AND(Table1[[#This Row],[Spec Type2]]="N/A",Table1[[#This Row],[DUT Adj Read]]="N/A",Table1[[#This Row],[Std Adj Read]]="N/A"),"N/A",IF(Table1[[#This Row],[DUT Adj Read]]="N/A",IF(Table1[[#This Row],[Std Adj Read]]&lt;Table1[[#This Row],[High Tol]],"Pass","Fail"),IF(Table1[[#This Row],[DUT Adj Read]]&lt;Table1[[#This Row],[High Tol]],"Pass","Fail")))</f>
        <v>Fail</v>
      </c>
      <c r="AF512" s="1" t="str">
        <f>IF(AND(Table1[[#This Row],[Spec Type2]]="N/A",Table1[[#This Row],[DUT Adj Read]]="N/A",Table1[[#This Row],[Std Adj Read]]="N/A"),"N/A",IF(Table1[[#This Row],[DUT Adj Read]]="N/A",IF(Table1[[#This Row],[Std Adj Read]]&gt;=Table1[[#This Row],[Low Tol]],"Pass","Fail"),IF(Table1[[#This Row],[DUT Adj Read]]&gt;=Table1[[#This Row],[Low Tol]],"Pass","Fail")))</f>
        <v>Pass</v>
      </c>
      <c r="AG512" s="1" t="str">
        <f>IF(AND(Table1[[#This Row],[Spec Type2]]="N/A",Table1[[#This Row],[DUT Adj Read]]="N/A",Table1[[#This Row],[Std Adj Read]]="N/A"),"N/A",IF(Table1[[#This Row],[DUT Adj Read]]="N/A",IF(Table1[[#This Row],[Std Adj Read]]&lt;=Table1[[#This Row],[High Tol]],"Pass","Fail"),IF(Table1[[#This Row],[DUT Adj Read]]&lt;=Table1[[#This Row],[High Tol]],"Pass","Fail")))</f>
        <v>Fail</v>
      </c>
      <c r="AH5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2" s="1" t="b">
        <v>0</v>
      </c>
      <c r="AN512" s="1" t="b">
        <v>0</v>
      </c>
      <c r="AO512" s="1" t="b">
        <v>0</v>
      </c>
    </row>
    <row r="513" spans="1:41" x14ac:dyDescent="0.25">
      <c r="A513" s="10"/>
      <c r="B513" s="10"/>
      <c r="C513" s="10"/>
      <c r="D513" s="10"/>
      <c r="E513" s="10"/>
      <c r="F513" s="10"/>
      <c r="G513" s="10"/>
      <c r="H513" s="10"/>
      <c r="I513" s="1" t="str">
        <f t="shared" si="21"/>
        <v/>
      </c>
      <c r="J513" s="1" t="s">
        <v>35</v>
      </c>
      <c r="K513" s="1" t="str">
        <f t="shared" si="22"/>
        <v/>
      </c>
      <c r="L513" s="1" t="str">
        <f t="shared" si="23"/>
        <v/>
      </c>
      <c r="M513" s="1">
        <f>IF(OR(Table1[[#This Row],[Std Nom]]="",Table1[[#This Row],[Std Read]]=""),0,Table1[[#This Row],[Std Nom]]-Table1[[#This Row],[Std Read]])</f>
        <v>0</v>
      </c>
      <c r="N513" s="1">
        <f>IF(Calculations!$F$5="ACCREDITED 17025 WITH UNCERTAINTIES",$N$10,0)</f>
        <v>0</v>
      </c>
      <c r="O513" s="1" t="str">
        <f>IFERROR(Table1[[#This Row],[Std Nom]]-(_xlfn.XLOOKUP(Table1[[#This Row],[Manufacturer]]&amp;" "&amp;Table1[[#This Row],[Model]],Table13[MFR &amp; MDL],Table13[Tolerance % CW ],"")/100*Table1[[#This Row],[Std Nom]]),"")</f>
        <v/>
      </c>
      <c r="P513" s="1" t="str">
        <f>IFERROR(Table1[[#This Row],[Std Nom]]+(_xlfn.XLOOKUP(Table1[[#This Row],[Manufacturer]]&amp;" "&amp;Table1[[#This Row],[Model]],Table13[MFR &amp; MDL],Table13[Tolerance % CW ],"")/100*Table1[[#This Row],[Std Nom]]),"")</f>
        <v/>
      </c>
      <c r="Q513" s="1" t="e">
        <f>Table1[[#This Row],[High Tol]]-Table1[[#This Row],[Low Tol]]</f>
        <v>#VALUE!</v>
      </c>
      <c r="R513" s="1">
        <f>2*Table1[[#This Row],[Std Error]]</f>
        <v>0</v>
      </c>
      <c r="S513" s="1" t="str">
        <f>IF(Table1[[#This Row],[High Tol]]="","N/A",IFERROR(ABS(Table1[[#This Row],[Tol Span]]/Table1[[#This Row],[Error Span]]),"N/A"))</f>
        <v>N/A</v>
      </c>
      <c r="T513" s="1" t="str">
        <f>IF(OR(Table1[[#This Row],[Low Tol]]="",Table1[[#This Row],[High Tol]]=""),"Needs Analysis",IF(Table1[[#This Row],[Ratio]]&gt;=4,"Not Significant",IF(Table1[[#This Row],[Ratio]]&gt;=2,"Semi-Significant","Significant")))</f>
        <v>Needs Analysis</v>
      </c>
      <c r="W513" s="1">
        <f>IF(Table1[[#This Row],[Cal Type]]&lt;&gt;"ACCREDITED 17025 WITH UNCERTAINTIES",0,"")</f>
        <v>0</v>
      </c>
      <c r="X513" s="1" t="str">
        <f>IF(Table1[[#This Row],[DUT Read]]="","N/A",Table1[[#This Row],[Std Error]]+Table1[[#This Row],[DUT Read]]+Table1[[#This Row],[DUT Ucty]])</f>
        <v>N/A</v>
      </c>
      <c r="Y513" s="1" t="str">
        <f>IF(Table1[[#This Row],[Std Read]]="","N/A",Table1[[#This Row],[Std Read]]+Table1[[#This Row],[Std Ucty]])</f>
        <v>N/A</v>
      </c>
      <c r="Z5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3" s="1" t="str">
        <f>IF(Table1[[#This Row],[Spec Type]]="","N/A",Table1[[#This Row],[Spec Type]])</f>
        <v>±</v>
      </c>
      <c r="AC513" s="1" t="str">
        <f>IF(Table1[[#This Row],[Spec Type2]]="N/A","N/A",IF(AND(Table1[[#This Row],[DUT Adj Read]]&gt;=Table1[[#This Row],[Low Tol]],Table1[[#This Row],[DUT Adj Read]]&lt;=Table1[[#This Row],[High Tol]]),"Pass","Fail"))</f>
        <v>Fail</v>
      </c>
      <c r="AD513" s="1" t="str">
        <f>IF(AND(Table1[[#This Row],[Spec Type2]]="N/A",Table1[[#This Row],[DUT Adj Read]]="N/A",Table1[[#This Row],[Std Adj Read]]="N/A"),"N/A",IF(Table1[[#This Row],[DUT Adj Read]]="N/A",IF(Table1[[#This Row],[Std Adj Read]]&gt;Table1[[#This Row],[Low Tol]],"Pass","Fail"),IF(Table1[[#This Row],[DUT Adj Read]]&gt;Table1[[#This Row],[Low Tol]],"Pass","Fail")))</f>
        <v>Pass</v>
      </c>
      <c r="AE513" s="1" t="str">
        <f>IF(AND(Table1[[#This Row],[Spec Type2]]="N/A",Table1[[#This Row],[DUT Adj Read]]="N/A",Table1[[#This Row],[Std Adj Read]]="N/A"),"N/A",IF(Table1[[#This Row],[DUT Adj Read]]="N/A",IF(Table1[[#This Row],[Std Adj Read]]&lt;Table1[[#This Row],[High Tol]],"Pass","Fail"),IF(Table1[[#This Row],[DUT Adj Read]]&lt;Table1[[#This Row],[High Tol]],"Pass","Fail")))</f>
        <v>Fail</v>
      </c>
      <c r="AF513" s="1" t="str">
        <f>IF(AND(Table1[[#This Row],[Spec Type2]]="N/A",Table1[[#This Row],[DUT Adj Read]]="N/A",Table1[[#This Row],[Std Adj Read]]="N/A"),"N/A",IF(Table1[[#This Row],[DUT Adj Read]]="N/A",IF(Table1[[#This Row],[Std Adj Read]]&gt;=Table1[[#This Row],[Low Tol]],"Pass","Fail"),IF(Table1[[#This Row],[DUT Adj Read]]&gt;=Table1[[#This Row],[Low Tol]],"Pass","Fail")))</f>
        <v>Pass</v>
      </c>
      <c r="AG513" s="1" t="str">
        <f>IF(AND(Table1[[#This Row],[Spec Type2]]="N/A",Table1[[#This Row],[DUT Adj Read]]="N/A",Table1[[#This Row],[Std Adj Read]]="N/A"),"N/A",IF(Table1[[#This Row],[DUT Adj Read]]="N/A",IF(Table1[[#This Row],[Std Adj Read]]&lt;=Table1[[#This Row],[High Tol]],"Pass","Fail"),IF(Table1[[#This Row],[DUT Adj Read]]&lt;=Table1[[#This Row],[High Tol]],"Pass","Fail")))</f>
        <v>Fail</v>
      </c>
      <c r="AH5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3" s="1" t="b">
        <v>0</v>
      </c>
      <c r="AN513" s="1" t="b">
        <v>0</v>
      </c>
      <c r="AO513" s="1" t="b">
        <v>0</v>
      </c>
    </row>
    <row r="514" spans="1:41" x14ac:dyDescent="0.25">
      <c r="A514" s="10"/>
      <c r="B514" s="10"/>
      <c r="C514" s="10"/>
      <c r="D514" s="10"/>
      <c r="E514" s="10"/>
      <c r="F514" s="10"/>
      <c r="G514" s="10"/>
      <c r="H514" s="10"/>
      <c r="I514" s="1" t="str">
        <f t="shared" si="21"/>
        <v/>
      </c>
      <c r="J514" s="1" t="s">
        <v>35</v>
      </c>
      <c r="K514" s="1" t="str">
        <f t="shared" si="22"/>
        <v/>
      </c>
      <c r="L514" s="1" t="str">
        <f t="shared" si="23"/>
        <v/>
      </c>
      <c r="M514" s="1">
        <f>IF(OR(Table1[[#This Row],[Std Nom]]="",Table1[[#This Row],[Std Read]]=""),0,Table1[[#This Row],[Std Nom]]-Table1[[#This Row],[Std Read]])</f>
        <v>0</v>
      </c>
      <c r="N514" s="1">
        <f>IF(Calculations!$F$5="ACCREDITED 17025 WITH UNCERTAINTIES",$N$10,0)</f>
        <v>0</v>
      </c>
      <c r="O514" s="1" t="str">
        <f>IFERROR(Table1[[#This Row],[Std Nom]]-(_xlfn.XLOOKUP(Table1[[#This Row],[Manufacturer]]&amp;" "&amp;Table1[[#This Row],[Model]],Table13[MFR &amp; MDL],Table13[Tolerance % CW ],"")/100*Table1[[#This Row],[Std Nom]]),"")</f>
        <v/>
      </c>
      <c r="P514" s="1" t="str">
        <f>IFERROR(Table1[[#This Row],[Std Nom]]+(_xlfn.XLOOKUP(Table1[[#This Row],[Manufacturer]]&amp;" "&amp;Table1[[#This Row],[Model]],Table13[MFR &amp; MDL],Table13[Tolerance % CW ],"")/100*Table1[[#This Row],[Std Nom]]),"")</f>
        <v/>
      </c>
      <c r="Q514" s="1" t="e">
        <f>Table1[[#This Row],[High Tol]]-Table1[[#This Row],[Low Tol]]</f>
        <v>#VALUE!</v>
      </c>
      <c r="R514" s="1">
        <f>2*Table1[[#This Row],[Std Error]]</f>
        <v>0</v>
      </c>
      <c r="S514" s="1" t="str">
        <f>IF(Table1[[#This Row],[High Tol]]="","N/A",IFERROR(ABS(Table1[[#This Row],[Tol Span]]/Table1[[#This Row],[Error Span]]),"N/A"))</f>
        <v>N/A</v>
      </c>
      <c r="T514" s="1" t="str">
        <f>IF(OR(Table1[[#This Row],[Low Tol]]="",Table1[[#This Row],[High Tol]]=""),"Needs Analysis",IF(Table1[[#This Row],[Ratio]]&gt;=4,"Not Significant",IF(Table1[[#This Row],[Ratio]]&gt;=2,"Semi-Significant","Significant")))</f>
        <v>Needs Analysis</v>
      </c>
      <c r="W514" s="1">
        <f>IF(Table1[[#This Row],[Cal Type]]&lt;&gt;"ACCREDITED 17025 WITH UNCERTAINTIES",0,"")</f>
        <v>0</v>
      </c>
      <c r="X514" s="1" t="str">
        <f>IF(Table1[[#This Row],[DUT Read]]="","N/A",Table1[[#This Row],[Std Error]]+Table1[[#This Row],[DUT Read]]+Table1[[#This Row],[DUT Ucty]])</f>
        <v>N/A</v>
      </c>
      <c r="Y514" s="1" t="str">
        <f>IF(Table1[[#This Row],[Std Read]]="","N/A",Table1[[#This Row],[Std Read]]+Table1[[#This Row],[Std Ucty]])</f>
        <v>N/A</v>
      </c>
      <c r="Z5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4" s="1" t="str">
        <f>IF(Table1[[#This Row],[Spec Type]]="","N/A",Table1[[#This Row],[Spec Type]])</f>
        <v>±</v>
      </c>
      <c r="AC514" s="1" t="str">
        <f>IF(Table1[[#This Row],[Spec Type2]]="N/A","N/A",IF(AND(Table1[[#This Row],[DUT Adj Read]]&gt;=Table1[[#This Row],[Low Tol]],Table1[[#This Row],[DUT Adj Read]]&lt;=Table1[[#This Row],[High Tol]]),"Pass","Fail"))</f>
        <v>Fail</v>
      </c>
      <c r="AD514" s="1" t="str">
        <f>IF(AND(Table1[[#This Row],[Spec Type2]]="N/A",Table1[[#This Row],[DUT Adj Read]]="N/A",Table1[[#This Row],[Std Adj Read]]="N/A"),"N/A",IF(Table1[[#This Row],[DUT Adj Read]]="N/A",IF(Table1[[#This Row],[Std Adj Read]]&gt;Table1[[#This Row],[Low Tol]],"Pass","Fail"),IF(Table1[[#This Row],[DUT Adj Read]]&gt;Table1[[#This Row],[Low Tol]],"Pass","Fail")))</f>
        <v>Pass</v>
      </c>
      <c r="AE514" s="1" t="str">
        <f>IF(AND(Table1[[#This Row],[Spec Type2]]="N/A",Table1[[#This Row],[DUT Adj Read]]="N/A",Table1[[#This Row],[Std Adj Read]]="N/A"),"N/A",IF(Table1[[#This Row],[DUT Adj Read]]="N/A",IF(Table1[[#This Row],[Std Adj Read]]&lt;Table1[[#This Row],[High Tol]],"Pass","Fail"),IF(Table1[[#This Row],[DUT Adj Read]]&lt;Table1[[#This Row],[High Tol]],"Pass","Fail")))</f>
        <v>Fail</v>
      </c>
      <c r="AF514" s="1" t="str">
        <f>IF(AND(Table1[[#This Row],[Spec Type2]]="N/A",Table1[[#This Row],[DUT Adj Read]]="N/A",Table1[[#This Row],[Std Adj Read]]="N/A"),"N/A",IF(Table1[[#This Row],[DUT Adj Read]]="N/A",IF(Table1[[#This Row],[Std Adj Read]]&gt;=Table1[[#This Row],[Low Tol]],"Pass","Fail"),IF(Table1[[#This Row],[DUT Adj Read]]&gt;=Table1[[#This Row],[Low Tol]],"Pass","Fail")))</f>
        <v>Pass</v>
      </c>
      <c r="AG514" s="1" t="str">
        <f>IF(AND(Table1[[#This Row],[Spec Type2]]="N/A",Table1[[#This Row],[DUT Adj Read]]="N/A",Table1[[#This Row],[Std Adj Read]]="N/A"),"N/A",IF(Table1[[#This Row],[DUT Adj Read]]="N/A",IF(Table1[[#This Row],[Std Adj Read]]&lt;=Table1[[#This Row],[High Tol]],"Pass","Fail"),IF(Table1[[#This Row],[DUT Adj Read]]&lt;=Table1[[#This Row],[High Tol]],"Pass","Fail")))</f>
        <v>Fail</v>
      </c>
      <c r="AH5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4" s="1" t="b">
        <v>0</v>
      </c>
      <c r="AN514" s="1" t="b">
        <v>0</v>
      </c>
      <c r="AO514" s="1" t="b">
        <v>0</v>
      </c>
    </row>
    <row r="515" spans="1:41" x14ac:dyDescent="0.25">
      <c r="A515" s="10"/>
      <c r="B515" s="10"/>
      <c r="C515" s="10"/>
      <c r="D515" s="10"/>
      <c r="E515" s="10"/>
      <c r="F515" s="10"/>
      <c r="G515" s="10"/>
      <c r="H515" s="10"/>
      <c r="I515" s="1" t="str">
        <f t="shared" si="21"/>
        <v/>
      </c>
      <c r="J515" s="1" t="s">
        <v>35</v>
      </c>
      <c r="K515" s="1" t="str">
        <f t="shared" si="22"/>
        <v/>
      </c>
      <c r="L515" s="1" t="str">
        <f t="shared" si="23"/>
        <v/>
      </c>
      <c r="M515" s="1">
        <f>IF(OR(Table1[[#This Row],[Std Nom]]="",Table1[[#This Row],[Std Read]]=""),0,Table1[[#This Row],[Std Nom]]-Table1[[#This Row],[Std Read]])</f>
        <v>0</v>
      </c>
      <c r="N515" s="1">
        <f>IF(Calculations!$F$5="ACCREDITED 17025 WITH UNCERTAINTIES",$N$10,0)</f>
        <v>0</v>
      </c>
      <c r="O515" s="1" t="str">
        <f>IFERROR(Table1[[#This Row],[Std Nom]]-(_xlfn.XLOOKUP(Table1[[#This Row],[Manufacturer]]&amp;" "&amp;Table1[[#This Row],[Model]],Table13[MFR &amp; MDL],Table13[Tolerance % CW ],"")/100*Table1[[#This Row],[Std Nom]]),"")</f>
        <v/>
      </c>
      <c r="P515" s="1" t="str">
        <f>IFERROR(Table1[[#This Row],[Std Nom]]+(_xlfn.XLOOKUP(Table1[[#This Row],[Manufacturer]]&amp;" "&amp;Table1[[#This Row],[Model]],Table13[MFR &amp; MDL],Table13[Tolerance % CW ],"")/100*Table1[[#This Row],[Std Nom]]),"")</f>
        <v/>
      </c>
      <c r="Q515" s="1" t="e">
        <f>Table1[[#This Row],[High Tol]]-Table1[[#This Row],[Low Tol]]</f>
        <v>#VALUE!</v>
      </c>
      <c r="R515" s="1">
        <f>2*Table1[[#This Row],[Std Error]]</f>
        <v>0</v>
      </c>
      <c r="S515" s="1" t="str">
        <f>IF(Table1[[#This Row],[High Tol]]="","N/A",IFERROR(ABS(Table1[[#This Row],[Tol Span]]/Table1[[#This Row],[Error Span]]),"N/A"))</f>
        <v>N/A</v>
      </c>
      <c r="T515" s="1" t="str">
        <f>IF(OR(Table1[[#This Row],[Low Tol]]="",Table1[[#This Row],[High Tol]]=""),"Needs Analysis",IF(Table1[[#This Row],[Ratio]]&gt;=4,"Not Significant",IF(Table1[[#This Row],[Ratio]]&gt;=2,"Semi-Significant","Significant")))</f>
        <v>Needs Analysis</v>
      </c>
      <c r="W515" s="1">
        <f>IF(Table1[[#This Row],[Cal Type]]&lt;&gt;"ACCREDITED 17025 WITH UNCERTAINTIES",0,"")</f>
        <v>0</v>
      </c>
      <c r="X515" s="1" t="str">
        <f>IF(Table1[[#This Row],[DUT Read]]="","N/A",Table1[[#This Row],[Std Error]]+Table1[[#This Row],[DUT Read]]+Table1[[#This Row],[DUT Ucty]])</f>
        <v>N/A</v>
      </c>
      <c r="Y515" s="1" t="str">
        <f>IF(Table1[[#This Row],[Std Read]]="","N/A",Table1[[#This Row],[Std Read]]+Table1[[#This Row],[Std Ucty]])</f>
        <v>N/A</v>
      </c>
      <c r="Z5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5" s="1" t="str">
        <f>IF(Table1[[#This Row],[Spec Type]]="","N/A",Table1[[#This Row],[Spec Type]])</f>
        <v>±</v>
      </c>
      <c r="AC515" s="1" t="str">
        <f>IF(Table1[[#This Row],[Spec Type2]]="N/A","N/A",IF(AND(Table1[[#This Row],[DUT Adj Read]]&gt;=Table1[[#This Row],[Low Tol]],Table1[[#This Row],[DUT Adj Read]]&lt;=Table1[[#This Row],[High Tol]]),"Pass","Fail"))</f>
        <v>Fail</v>
      </c>
      <c r="AD515" s="1" t="str">
        <f>IF(AND(Table1[[#This Row],[Spec Type2]]="N/A",Table1[[#This Row],[DUT Adj Read]]="N/A",Table1[[#This Row],[Std Adj Read]]="N/A"),"N/A",IF(Table1[[#This Row],[DUT Adj Read]]="N/A",IF(Table1[[#This Row],[Std Adj Read]]&gt;Table1[[#This Row],[Low Tol]],"Pass","Fail"),IF(Table1[[#This Row],[DUT Adj Read]]&gt;Table1[[#This Row],[Low Tol]],"Pass","Fail")))</f>
        <v>Pass</v>
      </c>
      <c r="AE515" s="1" t="str">
        <f>IF(AND(Table1[[#This Row],[Spec Type2]]="N/A",Table1[[#This Row],[DUT Adj Read]]="N/A",Table1[[#This Row],[Std Adj Read]]="N/A"),"N/A",IF(Table1[[#This Row],[DUT Adj Read]]="N/A",IF(Table1[[#This Row],[Std Adj Read]]&lt;Table1[[#This Row],[High Tol]],"Pass","Fail"),IF(Table1[[#This Row],[DUT Adj Read]]&lt;Table1[[#This Row],[High Tol]],"Pass","Fail")))</f>
        <v>Fail</v>
      </c>
      <c r="AF515" s="1" t="str">
        <f>IF(AND(Table1[[#This Row],[Spec Type2]]="N/A",Table1[[#This Row],[DUT Adj Read]]="N/A",Table1[[#This Row],[Std Adj Read]]="N/A"),"N/A",IF(Table1[[#This Row],[DUT Adj Read]]="N/A",IF(Table1[[#This Row],[Std Adj Read]]&gt;=Table1[[#This Row],[Low Tol]],"Pass","Fail"),IF(Table1[[#This Row],[DUT Adj Read]]&gt;=Table1[[#This Row],[Low Tol]],"Pass","Fail")))</f>
        <v>Pass</v>
      </c>
      <c r="AG515" s="1" t="str">
        <f>IF(AND(Table1[[#This Row],[Spec Type2]]="N/A",Table1[[#This Row],[DUT Adj Read]]="N/A",Table1[[#This Row],[Std Adj Read]]="N/A"),"N/A",IF(Table1[[#This Row],[DUT Adj Read]]="N/A",IF(Table1[[#This Row],[Std Adj Read]]&lt;=Table1[[#This Row],[High Tol]],"Pass","Fail"),IF(Table1[[#This Row],[DUT Adj Read]]&lt;=Table1[[#This Row],[High Tol]],"Pass","Fail")))</f>
        <v>Fail</v>
      </c>
      <c r="AH5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5" s="1" t="b">
        <v>0</v>
      </c>
      <c r="AN515" s="1" t="b">
        <v>0</v>
      </c>
      <c r="AO515" s="1" t="b">
        <v>0</v>
      </c>
    </row>
    <row r="516" spans="1:41" x14ac:dyDescent="0.25">
      <c r="A516" s="10"/>
      <c r="B516" s="10"/>
      <c r="C516" s="10"/>
      <c r="D516" s="10"/>
      <c r="E516" s="10"/>
      <c r="F516" s="10"/>
      <c r="G516" s="10"/>
      <c r="H516" s="10"/>
      <c r="I516" s="1" t="str">
        <f t="shared" si="21"/>
        <v/>
      </c>
      <c r="J516" s="1" t="s">
        <v>35</v>
      </c>
      <c r="K516" s="1" t="str">
        <f t="shared" si="22"/>
        <v/>
      </c>
      <c r="L516" s="1" t="str">
        <f t="shared" si="23"/>
        <v/>
      </c>
      <c r="M516" s="1">
        <f>IF(OR(Table1[[#This Row],[Std Nom]]="",Table1[[#This Row],[Std Read]]=""),0,Table1[[#This Row],[Std Nom]]-Table1[[#This Row],[Std Read]])</f>
        <v>0</v>
      </c>
      <c r="N516" s="1">
        <f>IF(Calculations!$F$5="ACCREDITED 17025 WITH UNCERTAINTIES",$N$10,0)</f>
        <v>0</v>
      </c>
      <c r="O516" s="1" t="str">
        <f>IFERROR(Table1[[#This Row],[Std Nom]]-(_xlfn.XLOOKUP(Table1[[#This Row],[Manufacturer]]&amp;" "&amp;Table1[[#This Row],[Model]],Table13[MFR &amp; MDL],Table13[Tolerance % CW ],"")/100*Table1[[#This Row],[Std Nom]]),"")</f>
        <v/>
      </c>
      <c r="P516" s="1" t="str">
        <f>IFERROR(Table1[[#This Row],[Std Nom]]+(_xlfn.XLOOKUP(Table1[[#This Row],[Manufacturer]]&amp;" "&amp;Table1[[#This Row],[Model]],Table13[MFR &amp; MDL],Table13[Tolerance % CW ],"")/100*Table1[[#This Row],[Std Nom]]),"")</f>
        <v/>
      </c>
      <c r="Q516" s="1" t="e">
        <f>Table1[[#This Row],[High Tol]]-Table1[[#This Row],[Low Tol]]</f>
        <v>#VALUE!</v>
      </c>
      <c r="R516" s="1">
        <f>2*Table1[[#This Row],[Std Error]]</f>
        <v>0</v>
      </c>
      <c r="S516" s="1" t="str">
        <f>IF(Table1[[#This Row],[High Tol]]="","N/A",IFERROR(ABS(Table1[[#This Row],[Tol Span]]/Table1[[#This Row],[Error Span]]),"N/A"))</f>
        <v>N/A</v>
      </c>
      <c r="T516" s="1" t="str">
        <f>IF(OR(Table1[[#This Row],[Low Tol]]="",Table1[[#This Row],[High Tol]]=""),"Needs Analysis",IF(Table1[[#This Row],[Ratio]]&gt;=4,"Not Significant",IF(Table1[[#This Row],[Ratio]]&gt;=2,"Semi-Significant","Significant")))</f>
        <v>Needs Analysis</v>
      </c>
      <c r="W516" s="1">
        <f>IF(Table1[[#This Row],[Cal Type]]&lt;&gt;"ACCREDITED 17025 WITH UNCERTAINTIES",0,"")</f>
        <v>0</v>
      </c>
      <c r="X516" s="1" t="str">
        <f>IF(Table1[[#This Row],[DUT Read]]="","N/A",Table1[[#This Row],[Std Error]]+Table1[[#This Row],[DUT Read]]+Table1[[#This Row],[DUT Ucty]])</f>
        <v>N/A</v>
      </c>
      <c r="Y516" s="1" t="str">
        <f>IF(Table1[[#This Row],[Std Read]]="","N/A",Table1[[#This Row],[Std Read]]+Table1[[#This Row],[Std Ucty]])</f>
        <v>N/A</v>
      </c>
      <c r="Z5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6" s="1" t="str">
        <f>IF(Table1[[#This Row],[Spec Type]]="","N/A",Table1[[#This Row],[Spec Type]])</f>
        <v>±</v>
      </c>
      <c r="AC516" s="1" t="str">
        <f>IF(Table1[[#This Row],[Spec Type2]]="N/A","N/A",IF(AND(Table1[[#This Row],[DUT Adj Read]]&gt;=Table1[[#This Row],[Low Tol]],Table1[[#This Row],[DUT Adj Read]]&lt;=Table1[[#This Row],[High Tol]]),"Pass","Fail"))</f>
        <v>Fail</v>
      </c>
      <c r="AD516" s="1" t="str">
        <f>IF(AND(Table1[[#This Row],[Spec Type2]]="N/A",Table1[[#This Row],[DUT Adj Read]]="N/A",Table1[[#This Row],[Std Adj Read]]="N/A"),"N/A",IF(Table1[[#This Row],[DUT Adj Read]]="N/A",IF(Table1[[#This Row],[Std Adj Read]]&gt;Table1[[#This Row],[Low Tol]],"Pass","Fail"),IF(Table1[[#This Row],[DUT Adj Read]]&gt;Table1[[#This Row],[Low Tol]],"Pass","Fail")))</f>
        <v>Pass</v>
      </c>
      <c r="AE516" s="1" t="str">
        <f>IF(AND(Table1[[#This Row],[Spec Type2]]="N/A",Table1[[#This Row],[DUT Adj Read]]="N/A",Table1[[#This Row],[Std Adj Read]]="N/A"),"N/A",IF(Table1[[#This Row],[DUT Adj Read]]="N/A",IF(Table1[[#This Row],[Std Adj Read]]&lt;Table1[[#This Row],[High Tol]],"Pass","Fail"),IF(Table1[[#This Row],[DUT Adj Read]]&lt;Table1[[#This Row],[High Tol]],"Pass","Fail")))</f>
        <v>Fail</v>
      </c>
      <c r="AF516" s="1" t="str">
        <f>IF(AND(Table1[[#This Row],[Spec Type2]]="N/A",Table1[[#This Row],[DUT Adj Read]]="N/A",Table1[[#This Row],[Std Adj Read]]="N/A"),"N/A",IF(Table1[[#This Row],[DUT Adj Read]]="N/A",IF(Table1[[#This Row],[Std Adj Read]]&gt;=Table1[[#This Row],[Low Tol]],"Pass","Fail"),IF(Table1[[#This Row],[DUT Adj Read]]&gt;=Table1[[#This Row],[Low Tol]],"Pass","Fail")))</f>
        <v>Pass</v>
      </c>
      <c r="AG516" s="1" t="str">
        <f>IF(AND(Table1[[#This Row],[Spec Type2]]="N/A",Table1[[#This Row],[DUT Adj Read]]="N/A",Table1[[#This Row],[Std Adj Read]]="N/A"),"N/A",IF(Table1[[#This Row],[DUT Adj Read]]="N/A",IF(Table1[[#This Row],[Std Adj Read]]&lt;=Table1[[#This Row],[High Tol]],"Pass","Fail"),IF(Table1[[#This Row],[DUT Adj Read]]&lt;=Table1[[#This Row],[High Tol]],"Pass","Fail")))</f>
        <v>Fail</v>
      </c>
      <c r="AH5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6" s="1" t="b">
        <v>0</v>
      </c>
      <c r="AN516" s="1" t="b">
        <v>0</v>
      </c>
      <c r="AO516" s="1" t="b">
        <v>0</v>
      </c>
    </row>
    <row r="517" spans="1:41" x14ac:dyDescent="0.25">
      <c r="A517" s="10"/>
      <c r="B517" s="10"/>
      <c r="C517" s="10"/>
      <c r="D517" s="10"/>
      <c r="E517" s="10"/>
      <c r="F517" s="10"/>
      <c r="G517" s="10"/>
      <c r="H517" s="10"/>
      <c r="I517" s="1" t="str">
        <f t="shared" si="21"/>
        <v/>
      </c>
      <c r="J517" s="1" t="s">
        <v>35</v>
      </c>
      <c r="K517" s="1" t="str">
        <f t="shared" si="22"/>
        <v/>
      </c>
      <c r="L517" s="1" t="str">
        <f t="shared" si="23"/>
        <v/>
      </c>
      <c r="M517" s="1">
        <f>IF(OR(Table1[[#This Row],[Std Nom]]="",Table1[[#This Row],[Std Read]]=""),0,Table1[[#This Row],[Std Nom]]-Table1[[#This Row],[Std Read]])</f>
        <v>0</v>
      </c>
      <c r="N517" s="1">
        <f>IF(Calculations!$F$5="ACCREDITED 17025 WITH UNCERTAINTIES",$N$10,0)</f>
        <v>0</v>
      </c>
      <c r="O517" s="1" t="str">
        <f>IFERROR(Table1[[#This Row],[Std Nom]]-(_xlfn.XLOOKUP(Table1[[#This Row],[Manufacturer]]&amp;" "&amp;Table1[[#This Row],[Model]],Table13[MFR &amp; MDL],Table13[Tolerance % CW ],"")/100*Table1[[#This Row],[Std Nom]]),"")</f>
        <v/>
      </c>
      <c r="P517" s="1" t="str">
        <f>IFERROR(Table1[[#This Row],[Std Nom]]+(_xlfn.XLOOKUP(Table1[[#This Row],[Manufacturer]]&amp;" "&amp;Table1[[#This Row],[Model]],Table13[MFR &amp; MDL],Table13[Tolerance % CW ],"")/100*Table1[[#This Row],[Std Nom]]),"")</f>
        <v/>
      </c>
      <c r="Q517" s="1" t="e">
        <f>Table1[[#This Row],[High Tol]]-Table1[[#This Row],[Low Tol]]</f>
        <v>#VALUE!</v>
      </c>
      <c r="R517" s="1">
        <f>2*Table1[[#This Row],[Std Error]]</f>
        <v>0</v>
      </c>
      <c r="S517" s="1" t="str">
        <f>IF(Table1[[#This Row],[High Tol]]="","N/A",IFERROR(ABS(Table1[[#This Row],[Tol Span]]/Table1[[#This Row],[Error Span]]),"N/A"))</f>
        <v>N/A</v>
      </c>
      <c r="T517" s="1" t="str">
        <f>IF(OR(Table1[[#This Row],[Low Tol]]="",Table1[[#This Row],[High Tol]]=""),"Needs Analysis",IF(Table1[[#This Row],[Ratio]]&gt;=4,"Not Significant",IF(Table1[[#This Row],[Ratio]]&gt;=2,"Semi-Significant","Significant")))</f>
        <v>Needs Analysis</v>
      </c>
      <c r="W517" s="1">
        <f>IF(Table1[[#This Row],[Cal Type]]&lt;&gt;"ACCREDITED 17025 WITH UNCERTAINTIES",0,"")</f>
        <v>0</v>
      </c>
      <c r="X517" s="1" t="str">
        <f>IF(Table1[[#This Row],[DUT Read]]="","N/A",Table1[[#This Row],[Std Error]]+Table1[[#This Row],[DUT Read]]+Table1[[#This Row],[DUT Ucty]])</f>
        <v>N/A</v>
      </c>
      <c r="Y517" s="1" t="str">
        <f>IF(Table1[[#This Row],[Std Read]]="","N/A",Table1[[#This Row],[Std Read]]+Table1[[#This Row],[Std Ucty]])</f>
        <v>N/A</v>
      </c>
      <c r="Z5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7" s="1" t="str">
        <f>IF(Table1[[#This Row],[Spec Type]]="","N/A",Table1[[#This Row],[Spec Type]])</f>
        <v>±</v>
      </c>
      <c r="AC517" s="1" t="str">
        <f>IF(Table1[[#This Row],[Spec Type2]]="N/A","N/A",IF(AND(Table1[[#This Row],[DUT Adj Read]]&gt;=Table1[[#This Row],[Low Tol]],Table1[[#This Row],[DUT Adj Read]]&lt;=Table1[[#This Row],[High Tol]]),"Pass","Fail"))</f>
        <v>Fail</v>
      </c>
      <c r="AD517" s="1" t="str">
        <f>IF(AND(Table1[[#This Row],[Spec Type2]]="N/A",Table1[[#This Row],[DUT Adj Read]]="N/A",Table1[[#This Row],[Std Adj Read]]="N/A"),"N/A",IF(Table1[[#This Row],[DUT Adj Read]]="N/A",IF(Table1[[#This Row],[Std Adj Read]]&gt;Table1[[#This Row],[Low Tol]],"Pass","Fail"),IF(Table1[[#This Row],[DUT Adj Read]]&gt;Table1[[#This Row],[Low Tol]],"Pass","Fail")))</f>
        <v>Pass</v>
      </c>
      <c r="AE517" s="1" t="str">
        <f>IF(AND(Table1[[#This Row],[Spec Type2]]="N/A",Table1[[#This Row],[DUT Adj Read]]="N/A",Table1[[#This Row],[Std Adj Read]]="N/A"),"N/A",IF(Table1[[#This Row],[DUT Adj Read]]="N/A",IF(Table1[[#This Row],[Std Adj Read]]&lt;Table1[[#This Row],[High Tol]],"Pass","Fail"),IF(Table1[[#This Row],[DUT Adj Read]]&lt;Table1[[#This Row],[High Tol]],"Pass","Fail")))</f>
        <v>Fail</v>
      </c>
      <c r="AF517" s="1" t="str">
        <f>IF(AND(Table1[[#This Row],[Spec Type2]]="N/A",Table1[[#This Row],[DUT Adj Read]]="N/A",Table1[[#This Row],[Std Adj Read]]="N/A"),"N/A",IF(Table1[[#This Row],[DUT Adj Read]]="N/A",IF(Table1[[#This Row],[Std Adj Read]]&gt;=Table1[[#This Row],[Low Tol]],"Pass","Fail"),IF(Table1[[#This Row],[DUT Adj Read]]&gt;=Table1[[#This Row],[Low Tol]],"Pass","Fail")))</f>
        <v>Pass</v>
      </c>
      <c r="AG517" s="1" t="str">
        <f>IF(AND(Table1[[#This Row],[Spec Type2]]="N/A",Table1[[#This Row],[DUT Adj Read]]="N/A",Table1[[#This Row],[Std Adj Read]]="N/A"),"N/A",IF(Table1[[#This Row],[DUT Adj Read]]="N/A",IF(Table1[[#This Row],[Std Adj Read]]&lt;=Table1[[#This Row],[High Tol]],"Pass","Fail"),IF(Table1[[#This Row],[DUT Adj Read]]&lt;=Table1[[#This Row],[High Tol]],"Pass","Fail")))</f>
        <v>Fail</v>
      </c>
      <c r="AH5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7" s="1" t="b">
        <v>0</v>
      </c>
      <c r="AN517" s="1" t="b">
        <v>0</v>
      </c>
      <c r="AO517" s="1" t="b">
        <v>0</v>
      </c>
    </row>
    <row r="518" spans="1:41" x14ac:dyDescent="0.25">
      <c r="A518" s="10"/>
      <c r="B518" s="10"/>
      <c r="C518" s="10"/>
      <c r="D518" s="10"/>
      <c r="E518" s="10"/>
      <c r="F518" s="10"/>
      <c r="G518" s="10"/>
      <c r="H518" s="10"/>
      <c r="I518" s="1" t="str">
        <f t="shared" si="21"/>
        <v/>
      </c>
      <c r="J518" s="1" t="s">
        <v>35</v>
      </c>
      <c r="K518" s="1" t="str">
        <f t="shared" si="22"/>
        <v/>
      </c>
      <c r="L518" s="1" t="str">
        <f t="shared" si="23"/>
        <v/>
      </c>
      <c r="M518" s="1">
        <f>IF(OR(Table1[[#This Row],[Std Nom]]="",Table1[[#This Row],[Std Read]]=""),0,Table1[[#This Row],[Std Nom]]-Table1[[#This Row],[Std Read]])</f>
        <v>0</v>
      </c>
      <c r="N518" s="1">
        <f>IF(Calculations!$F$5="ACCREDITED 17025 WITH UNCERTAINTIES",$N$10,0)</f>
        <v>0</v>
      </c>
      <c r="O518" s="1" t="str">
        <f>IFERROR(Table1[[#This Row],[Std Nom]]-(_xlfn.XLOOKUP(Table1[[#This Row],[Manufacturer]]&amp;" "&amp;Table1[[#This Row],[Model]],Table13[MFR &amp; MDL],Table13[Tolerance % CW ],"")/100*Table1[[#This Row],[Std Nom]]),"")</f>
        <v/>
      </c>
      <c r="P518" s="1" t="str">
        <f>IFERROR(Table1[[#This Row],[Std Nom]]+(_xlfn.XLOOKUP(Table1[[#This Row],[Manufacturer]]&amp;" "&amp;Table1[[#This Row],[Model]],Table13[MFR &amp; MDL],Table13[Tolerance % CW ],"")/100*Table1[[#This Row],[Std Nom]]),"")</f>
        <v/>
      </c>
      <c r="Q518" s="1" t="e">
        <f>Table1[[#This Row],[High Tol]]-Table1[[#This Row],[Low Tol]]</f>
        <v>#VALUE!</v>
      </c>
      <c r="R518" s="1">
        <f>2*Table1[[#This Row],[Std Error]]</f>
        <v>0</v>
      </c>
      <c r="S518" s="1" t="str">
        <f>IF(Table1[[#This Row],[High Tol]]="","N/A",IFERROR(ABS(Table1[[#This Row],[Tol Span]]/Table1[[#This Row],[Error Span]]),"N/A"))</f>
        <v>N/A</v>
      </c>
      <c r="T518" s="1" t="str">
        <f>IF(OR(Table1[[#This Row],[Low Tol]]="",Table1[[#This Row],[High Tol]]=""),"Needs Analysis",IF(Table1[[#This Row],[Ratio]]&gt;=4,"Not Significant",IF(Table1[[#This Row],[Ratio]]&gt;=2,"Semi-Significant","Significant")))</f>
        <v>Needs Analysis</v>
      </c>
      <c r="W518" s="1">
        <f>IF(Table1[[#This Row],[Cal Type]]&lt;&gt;"ACCREDITED 17025 WITH UNCERTAINTIES",0,"")</f>
        <v>0</v>
      </c>
      <c r="X518" s="1" t="str">
        <f>IF(Table1[[#This Row],[DUT Read]]="","N/A",Table1[[#This Row],[Std Error]]+Table1[[#This Row],[DUT Read]]+Table1[[#This Row],[DUT Ucty]])</f>
        <v>N/A</v>
      </c>
      <c r="Y518" s="1" t="str">
        <f>IF(Table1[[#This Row],[Std Read]]="","N/A",Table1[[#This Row],[Std Read]]+Table1[[#This Row],[Std Ucty]])</f>
        <v>N/A</v>
      </c>
      <c r="Z5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8" s="1" t="str">
        <f>IF(Table1[[#This Row],[Spec Type]]="","N/A",Table1[[#This Row],[Spec Type]])</f>
        <v>±</v>
      </c>
      <c r="AC518" s="1" t="str">
        <f>IF(Table1[[#This Row],[Spec Type2]]="N/A","N/A",IF(AND(Table1[[#This Row],[DUT Adj Read]]&gt;=Table1[[#This Row],[Low Tol]],Table1[[#This Row],[DUT Adj Read]]&lt;=Table1[[#This Row],[High Tol]]),"Pass","Fail"))</f>
        <v>Fail</v>
      </c>
      <c r="AD518" s="1" t="str">
        <f>IF(AND(Table1[[#This Row],[Spec Type2]]="N/A",Table1[[#This Row],[DUT Adj Read]]="N/A",Table1[[#This Row],[Std Adj Read]]="N/A"),"N/A",IF(Table1[[#This Row],[DUT Adj Read]]="N/A",IF(Table1[[#This Row],[Std Adj Read]]&gt;Table1[[#This Row],[Low Tol]],"Pass","Fail"),IF(Table1[[#This Row],[DUT Adj Read]]&gt;Table1[[#This Row],[Low Tol]],"Pass","Fail")))</f>
        <v>Pass</v>
      </c>
      <c r="AE518" s="1" t="str">
        <f>IF(AND(Table1[[#This Row],[Spec Type2]]="N/A",Table1[[#This Row],[DUT Adj Read]]="N/A",Table1[[#This Row],[Std Adj Read]]="N/A"),"N/A",IF(Table1[[#This Row],[DUT Adj Read]]="N/A",IF(Table1[[#This Row],[Std Adj Read]]&lt;Table1[[#This Row],[High Tol]],"Pass","Fail"),IF(Table1[[#This Row],[DUT Adj Read]]&lt;Table1[[#This Row],[High Tol]],"Pass","Fail")))</f>
        <v>Fail</v>
      </c>
      <c r="AF518" s="1" t="str">
        <f>IF(AND(Table1[[#This Row],[Spec Type2]]="N/A",Table1[[#This Row],[DUT Adj Read]]="N/A",Table1[[#This Row],[Std Adj Read]]="N/A"),"N/A",IF(Table1[[#This Row],[DUT Adj Read]]="N/A",IF(Table1[[#This Row],[Std Adj Read]]&gt;=Table1[[#This Row],[Low Tol]],"Pass","Fail"),IF(Table1[[#This Row],[DUT Adj Read]]&gt;=Table1[[#This Row],[Low Tol]],"Pass","Fail")))</f>
        <v>Pass</v>
      </c>
      <c r="AG518" s="1" t="str">
        <f>IF(AND(Table1[[#This Row],[Spec Type2]]="N/A",Table1[[#This Row],[DUT Adj Read]]="N/A",Table1[[#This Row],[Std Adj Read]]="N/A"),"N/A",IF(Table1[[#This Row],[DUT Adj Read]]="N/A",IF(Table1[[#This Row],[Std Adj Read]]&lt;=Table1[[#This Row],[High Tol]],"Pass","Fail"),IF(Table1[[#This Row],[DUT Adj Read]]&lt;=Table1[[#This Row],[High Tol]],"Pass","Fail")))</f>
        <v>Fail</v>
      </c>
      <c r="AH5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8" s="1" t="b">
        <v>0</v>
      </c>
      <c r="AN518" s="1" t="b">
        <v>0</v>
      </c>
      <c r="AO518" s="1" t="b">
        <v>0</v>
      </c>
    </row>
    <row r="519" spans="1:41" x14ac:dyDescent="0.25">
      <c r="A519" s="10"/>
      <c r="B519" s="10"/>
      <c r="C519" s="10"/>
      <c r="D519" s="10"/>
      <c r="E519" s="10"/>
      <c r="F519" s="10"/>
      <c r="G519" s="10"/>
      <c r="H519" s="10"/>
      <c r="I519" s="1" t="str">
        <f t="shared" si="21"/>
        <v/>
      </c>
      <c r="J519" s="1" t="s">
        <v>35</v>
      </c>
      <c r="K519" s="1" t="str">
        <f t="shared" si="22"/>
        <v/>
      </c>
      <c r="L519" s="1" t="str">
        <f t="shared" si="23"/>
        <v/>
      </c>
      <c r="M519" s="1">
        <f>IF(OR(Table1[[#This Row],[Std Nom]]="",Table1[[#This Row],[Std Read]]=""),0,Table1[[#This Row],[Std Nom]]-Table1[[#This Row],[Std Read]])</f>
        <v>0</v>
      </c>
      <c r="N519" s="1">
        <f>IF(Calculations!$F$5="ACCREDITED 17025 WITH UNCERTAINTIES",$N$10,0)</f>
        <v>0</v>
      </c>
      <c r="O519" s="1" t="str">
        <f>IFERROR(Table1[[#This Row],[Std Nom]]-(_xlfn.XLOOKUP(Table1[[#This Row],[Manufacturer]]&amp;" "&amp;Table1[[#This Row],[Model]],Table13[MFR &amp; MDL],Table13[Tolerance % CW ],"")/100*Table1[[#This Row],[Std Nom]]),"")</f>
        <v/>
      </c>
      <c r="P519" s="1" t="str">
        <f>IFERROR(Table1[[#This Row],[Std Nom]]+(_xlfn.XLOOKUP(Table1[[#This Row],[Manufacturer]]&amp;" "&amp;Table1[[#This Row],[Model]],Table13[MFR &amp; MDL],Table13[Tolerance % CW ],"")/100*Table1[[#This Row],[Std Nom]]),"")</f>
        <v/>
      </c>
      <c r="Q519" s="1" t="e">
        <f>Table1[[#This Row],[High Tol]]-Table1[[#This Row],[Low Tol]]</f>
        <v>#VALUE!</v>
      </c>
      <c r="R519" s="1">
        <f>2*Table1[[#This Row],[Std Error]]</f>
        <v>0</v>
      </c>
      <c r="S519" s="1" t="str">
        <f>IF(Table1[[#This Row],[High Tol]]="","N/A",IFERROR(ABS(Table1[[#This Row],[Tol Span]]/Table1[[#This Row],[Error Span]]),"N/A"))</f>
        <v>N/A</v>
      </c>
      <c r="T519" s="1" t="str">
        <f>IF(OR(Table1[[#This Row],[Low Tol]]="",Table1[[#This Row],[High Tol]]=""),"Needs Analysis",IF(Table1[[#This Row],[Ratio]]&gt;=4,"Not Significant",IF(Table1[[#This Row],[Ratio]]&gt;=2,"Semi-Significant","Significant")))</f>
        <v>Needs Analysis</v>
      </c>
      <c r="W519" s="1">
        <f>IF(Table1[[#This Row],[Cal Type]]&lt;&gt;"ACCREDITED 17025 WITH UNCERTAINTIES",0,"")</f>
        <v>0</v>
      </c>
      <c r="X519" s="1" t="str">
        <f>IF(Table1[[#This Row],[DUT Read]]="","N/A",Table1[[#This Row],[Std Error]]+Table1[[#This Row],[DUT Read]]+Table1[[#This Row],[DUT Ucty]])</f>
        <v>N/A</v>
      </c>
      <c r="Y519" s="1" t="str">
        <f>IF(Table1[[#This Row],[Std Read]]="","N/A",Table1[[#This Row],[Std Read]]+Table1[[#This Row],[Std Ucty]])</f>
        <v>N/A</v>
      </c>
      <c r="Z5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9" s="1" t="str">
        <f>IF(Table1[[#This Row],[Spec Type]]="","N/A",Table1[[#This Row],[Spec Type]])</f>
        <v>±</v>
      </c>
      <c r="AC519" s="1" t="str">
        <f>IF(Table1[[#This Row],[Spec Type2]]="N/A","N/A",IF(AND(Table1[[#This Row],[DUT Adj Read]]&gt;=Table1[[#This Row],[Low Tol]],Table1[[#This Row],[DUT Adj Read]]&lt;=Table1[[#This Row],[High Tol]]),"Pass","Fail"))</f>
        <v>Fail</v>
      </c>
      <c r="AD519" s="1" t="str">
        <f>IF(AND(Table1[[#This Row],[Spec Type2]]="N/A",Table1[[#This Row],[DUT Adj Read]]="N/A",Table1[[#This Row],[Std Adj Read]]="N/A"),"N/A",IF(Table1[[#This Row],[DUT Adj Read]]="N/A",IF(Table1[[#This Row],[Std Adj Read]]&gt;Table1[[#This Row],[Low Tol]],"Pass","Fail"),IF(Table1[[#This Row],[DUT Adj Read]]&gt;Table1[[#This Row],[Low Tol]],"Pass","Fail")))</f>
        <v>Pass</v>
      </c>
      <c r="AE519" s="1" t="str">
        <f>IF(AND(Table1[[#This Row],[Spec Type2]]="N/A",Table1[[#This Row],[DUT Adj Read]]="N/A",Table1[[#This Row],[Std Adj Read]]="N/A"),"N/A",IF(Table1[[#This Row],[DUT Adj Read]]="N/A",IF(Table1[[#This Row],[Std Adj Read]]&lt;Table1[[#This Row],[High Tol]],"Pass","Fail"),IF(Table1[[#This Row],[DUT Adj Read]]&lt;Table1[[#This Row],[High Tol]],"Pass","Fail")))</f>
        <v>Fail</v>
      </c>
      <c r="AF519" s="1" t="str">
        <f>IF(AND(Table1[[#This Row],[Spec Type2]]="N/A",Table1[[#This Row],[DUT Adj Read]]="N/A",Table1[[#This Row],[Std Adj Read]]="N/A"),"N/A",IF(Table1[[#This Row],[DUT Adj Read]]="N/A",IF(Table1[[#This Row],[Std Adj Read]]&gt;=Table1[[#This Row],[Low Tol]],"Pass","Fail"),IF(Table1[[#This Row],[DUT Adj Read]]&gt;=Table1[[#This Row],[Low Tol]],"Pass","Fail")))</f>
        <v>Pass</v>
      </c>
      <c r="AG519" s="1" t="str">
        <f>IF(AND(Table1[[#This Row],[Spec Type2]]="N/A",Table1[[#This Row],[DUT Adj Read]]="N/A",Table1[[#This Row],[Std Adj Read]]="N/A"),"N/A",IF(Table1[[#This Row],[DUT Adj Read]]="N/A",IF(Table1[[#This Row],[Std Adj Read]]&lt;=Table1[[#This Row],[High Tol]],"Pass","Fail"),IF(Table1[[#This Row],[DUT Adj Read]]&lt;=Table1[[#This Row],[High Tol]],"Pass","Fail")))</f>
        <v>Fail</v>
      </c>
      <c r="AH5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9" s="1" t="b">
        <v>0</v>
      </c>
      <c r="AN519" s="1" t="b">
        <v>0</v>
      </c>
      <c r="AO519" s="1" t="b">
        <v>0</v>
      </c>
    </row>
    <row r="520" spans="1:41" x14ac:dyDescent="0.25">
      <c r="A520" s="10"/>
      <c r="B520" s="10"/>
      <c r="C520" s="10"/>
      <c r="D520" s="10"/>
      <c r="E520" s="10"/>
      <c r="F520" s="10"/>
      <c r="G520" s="10"/>
      <c r="H520" s="10"/>
      <c r="I520" s="1" t="str">
        <f t="shared" si="21"/>
        <v/>
      </c>
      <c r="J520" s="1" t="s">
        <v>35</v>
      </c>
      <c r="K520" s="1" t="str">
        <f t="shared" si="22"/>
        <v/>
      </c>
      <c r="L520" s="1" t="str">
        <f t="shared" si="23"/>
        <v/>
      </c>
      <c r="M520" s="1">
        <f>IF(OR(Table1[[#This Row],[Std Nom]]="",Table1[[#This Row],[Std Read]]=""),0,Table1[[#This Row],[Std Nom]]-Table1[[#This Row],[Std Read]])</f>
        <v>0</v>
      </c>
      <c r="N520" s="1">
        <f>IF(Calculations!$F$5="ACCREDITED 17025 WITH UNCERTAINTIES",$N$10,0)</f>
        <v>0</v>
      </c>
      <c r="O520" s="1" t="str">
        <f>IFERROR(Table1[[#This Row],[Std Nom]]-(_xlfn.XLOOKUP(Table1[[#This Row],[Manufacturer]]&amp;" "&amp;Table1[[#This Row],[Model]],Table13[MFR &amp; MDL],Table13[Tolerance % CW ],"")/100*Table1[[#This Row],[Std Nom]]),"")</f>
        <v/>
      </c>
      <c r="P520" s="1" t="str">
        <f>IFERROR(Table1[[#This Row],[Std Nom]]+(_xlfn.XLOOKUP(Table1[[#This Row],[Manufacturer]]&amp;" "&amp;Table1[[#This Row],[Model]],Table13[MFR &amp; MDL],Table13[Tolerance % CW ],"")/100*Table1[[#This Row],[Std Nom]]),"")</f>
        <v/>
      </c>
      <c r="Q520" s="1" t="e">
        <f>Table1[[#This Row],[High Tol]]-Table1[[#This Row],[Low Tol]]</f>
        <v>#VALUE!</v>
      </c>
      <c r="R520" s="1">
        <f>2*Table1[[#This Row],[Std Error]]</f>
        <v>0</v>
      </c>
      <c r="S520" s="1" t="str">
        <f>IF(Table1[[#This Row],[High Tol]]="","N/A",IFERROR(ABS(Table1[[#This Row],[Tol Span]]/Table1[[#This Row],[Error Span]]),"N/A"))</f>
        <v>N/A</v>
      </c>
      <c r="T520" s="1" t="str">
        <f>IF(OR(Table1[[#This Row],[Low Tol]]="",Table1[[#This Row],[High Tol]]=""),"Needs Analysis",IF(Table1[[#This Row],[Ratio]]&gt;=4,"Not Significant",IF(Table1[[#This Row],[Ratio]]&gt;=2,"Semi-Significant","Significant")))</f>
        <v>Needs Analysis</v>
      </c>
      <c r="W520" s="1">
        <f>IF(Table1[[#This Row],[Cal Type]]&lt;&gt;"ACCREDITED 17025 WITH UNCERTAINTIES",0,"")</f>
        <v>0</v>
      </c>
      <c r="X520" s="1" t="str">
        <f>IF(Table1[[#This Row],[DUT Read]]="","N/A",Table1[[#This Row],[Std Error]]+Table1[[#This Row],[DUT Read]]+Table1[[#This Row],[DUT Ucty]])</f>
        <v>N/A</v>
      </c>
      <c r="Y520" s="1" t="str">
        <f>IF(Table1[[#This Row],[Std Read]]="","N/A",Table1[[#This Row],[Std Read]]+Table1[[#This Row],[Std Ucty]])</f>
        <v>N/A</v>
      </c>
      <c r="Z5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0" s="1" t="str">
        <f>IF(Table1[[#This Row],[Spec Type]]="","N/A",Table1[[#This Row],[Spec Type]])</f>
        <v>±</v>
      </c>
      <c r="AC520" s="1" t="str">
        <f>IF(Table1[[#This Row],[Spec Type2]]="N/A","N/A",IF(AND(Table1[[#This Row],[DUT Adj Read]]&gt;=Table1[[#This Row],[Low Tol]],Table1[[#This Row],[DUT Adj Read]]&lt;=Table1[[#This Row],[High Tol]]),"Pass","Fail"))</f>
        <v>Fail</v>
      </c>
      <c r="AD520" s="1" t="str">
        <f>IF(AND(Table1[[#This Row],[Spec Type2]]="N/A",Table1[[#This Row],[DUT Adj Read]]="N/A",Table1[[#This Row],[Std Adj Read]]="N/A"),"N/A",IF(Table1[[#This Row],[DUT Adj Read]]="N/A",IF(Table1[[#This Row],[Std Adj Read]]&gt;Table1[[#This Row],[Low Tol]],"Pass","Fail"),IF(Table1[[#This Row],[DUT Adj Read]]&gt;Table1[[#This Row],[Low Tol]],"Pass","Fail")))</f>
        <v>Pass</v>
      </c>
      <c r="AE520" s="1" t="str">
        <f>IF(AND(Table1[[#This Row],[Spec Type2]]="N/A",Table1[[#This Row],[DUT Adj Read]]="N/A",Table1[[#This Row],[Std Adj Read]]="N/A"),"N/A",IF(Table1[[#This Row],[DUT Adj Read]]="N/A",IF(Table1[[#This Row],[Std Adj Read]]&lt;Table1[[#This Row],[High Tol]],"Pass","Fail"),IF(Table1[[#This Row],[DUT Adj Read]]&lt;Table1[[#This Row],[High Tol]],"Pass","Fail")))</f>
        <v>Fail</v>
      </c>
      <c r="AF520" s="1" t="str">
        <f>IF(AND(Table1[[#This Row],[Spec Type2]]="N/A",Table1[[#This Row],[DUT Adj Read]]="N/A",Table1[[#This Row],[Std Adj Read]]="N/A"),"N/A",IF(Table1[[#This Row],[DUT Adj Read]]="N/A",IF(Table1[[#This Row],[Std Adj Read]]&gt;=Table1[[#This Row],[Low Tol]],"Pass","Fail"),IF(Table1[[#This Row],[DUT Adj Read]]&gt;=Table1[[#This Row],[Low Tol]],"Pass","Fail")))</f>
        <v>Pass</v>
      </c>
      <c r="AG520" s="1" t="str">
        <f>IF(AND(Table1[[#This Row],[Spec Type2]]="N/A",Table1[[#This Row],[DUT Adj Read]]="N/A",Table1[[#This Row],[Std Adj Read]]="N/A"),"N/A",IF(Table1[[#This Row],[DUT Adj Read]]="N/A",IF(Table1[[#This Row],[Std Adj Read]]&lt;=Table1[[#This Row],[High Tol]],"Pass","Fail"),IF(Table1[[#This Row],[DUT Adj Read]]&lt;=Table1[[#This Row],[High Tol]],"Pass","Fail")))</f>
        <v>Fail</v>
      </c>
      <c r="AH5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0" s="1" t="b">
        <v>0</v>
      </c>
      <c r="AN520" s="1" t="b">
        <v>0</v>
      </c>
      <c r="AO520" s="1" t="b">
        <v>0</v>
      </c>
    </row>
    <row r="521" spans="1:41" x14ac:dyDescent="0.25">
      <c r="A521" s="10"/>
      <c r="B521" s="10"/>
      <c r="C521" s="10"/>
      <c r="D521" s="10"/>
      <c r="E521" s="10"/>
      <c r="F521" s="10"/>
      <c r="G521" s="10"/>
      <c r="H521" s="10"/>
      <c r="I521" s="1" t="str">
        <f t="shared" si="21"/>
        <v/>
      </c>
      <c r="J521" s="1" t="s">
        <v>35</v>
      </c>
      <c r="K521" s="1" t="str">
        <f t="shared" si="22"/>
        <v/>
      </c>
      <c r="L521" s="1" t="str">
        <f t="shared" si="23"/>
        <v/>
      </c>
      <c r="M521" s="1">
        <f>IF(OR(Table1[[#This Row],[Std Nom]]="",Table1[[#This Row],[Std Read]]=""),0,Table1[[#This Row],[Std Nom]]-Table1[[#This Row],[Std Read]])</f>
        <v>0</v>
      </c>
      <c r="N521" s="1">
        <f>IF(Calculations!$F$5="ACCREDITED 17025 WITH UNCERTAINTIES",$N$10,0)</f>
        <v>0</v>
      </c>
      <c r="O521" s="1" t="str">
        <f>IFERROR(Table1[[#This Row],[Std Nom]]-(_xlfn.XLOOKUP(Table1[[#This Row],[Manufacturer]]&amp;" "&amp;Table1[[#This Row],[Model]],Table13[MFR &amp; MDL],Table13[Tolerance % CW ],"")/100*Table1[[#This Row],[Std Nom]]),"")</f>
        <v/>
      </c>
      <c r="P521" s="1" t="str">
        <f>IFERROR(Table1[[#This Row],[Std Nom]]+(_xlfn.XLOOKUP(Table1[[#This Row],[Manufacturer]]&amp;" "&amp;Table1[[#This Row],[Model]],Table13[MFR &amp; MDL],Table13[Tolerance % CW ],"")/100*Table1[[#This Row],[Std Nom]]),"")</f>
        <v/>
      </c>
      <c r="Q521" s="1" t="e">
        <f>Table1[[#This Row],[High Tol]]-Table1[[#This Row],[Low Tol]]</f>
        <v>#VALUE!</v>
      </c>
      <c r="R521" s="1">
        <f>2*Table1[[#This Row],[Std Error]]</f>
        <v>0</v>
      </c>
      <c r="S521" s="1" t="str">
        <f>IF(Table1[[#This Row],[High Tol]]="","N/A",IFERROR(ABS(Table1[[#This Row],[Tol Span]]/Table1[[#This Row],[Error Span]]),"N/A"))</f>
        <v>N/A</v>
      </c>
      <c r="T521" s="1" t="str">
        <f>IF(OR(Table1[[#This Row],[Low Tol]]="",Table1[[#This Row],[High Tol]]=""),"Needs Analysis",IF(Table1[[#This Row],[Ratio]]&gt;=4,"Not Significant",IF(Table1[[#This Row],[Ratio]]&gt;=2,"Semi-Significant","Significant")))</f>
        <v>Needs Analysis</v>
      </c>
      <c r="W521" s="1">
        <f>IF(Table1[[#This Row],[Cal Type]]&lt;&gt;"ACCREDITED 17025 WITH UNCERTAINTIES",0,"")</f>
        <v>0</v>
      </c>
      <c r="X521" s="1" t="str">
        <f>IF(Table1[[#This Row],[DUT Read]]="","N/A",Table1[[#This Row],[Std Error]]+Table1[[#This Row],[DUT Read]]+Table1[[#This Row],[DUT Ucty]])</f>
        <v>N/A</v>
      </c>
      <c r="Y521" s="1" t="str">
        <f>IF(Table1[[#This Row],[Std Read]]="","N/A",Table1[[#This Row],[Std Read]]+Table1[[#This Row],[Std Ucty]])</f>
        <v>N/A</v>
      </c>
      <c r="Z5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1" s="1" t="str">
        <f>IF(Table1[[#This Row],[Spec Type]]="","N/A",Table1[[#This Row],[Spec Type]])</f>
        <v>±</v>
      </c>
      <c r="AC521" s="1" t="str">
        <f>IF(Table1[[#This Row],[Spec Type2]]="N/A","N/A",IF(AND(Table1[[#This Row],[DUT Adj Read]]&gt;=Table1[[#This Row],[Low Tol]],Table1[[#This Row],[DUT Adj Read]]&lt;=Table1[[#This Row],[High Tol]]),"Pass","Fail"))</f>
        <v>Fail</v>
      </c>
      <c r="AD521" s="1" t="str">
        <f>IF(AND(Table1[[#This Row],[Spec Type2]]="N/A",Table1[[#This Row],[DUT Adj Read]]="N/A",Table1[[#This Row],[Std Adj Read]]="N/A"),"N/A",IF(Table1[[#This Row],[DUT Adj Read]]="N/A",IF(Table1[[#This Row],[Std Adj Read]]&gt;Table1[[#This Row],[Low Tol]],"Pass","Fail"),IF(Table1[[#This Row],[DUT Adj Read]]&gt;Table1[[#This Row],[Low Tol]],"Pass","Fail")))</f>
        <v>Pass</v>
      </c>
      <c r="AE521" s="1" t="str">
        <f>IF(AND(Table1[[#This Row],[Spec Type2]]="N/A",Table1[[#This Row],[DUT Adj Read]]="N/A",Table1[[#This Row],[Std Adj Read]]="N/A"),"N/A",IF(Table1[[#This Row],[DUT Adj Read]]="N/A",IF(Table1[[#This Row],[Std Adj Read]]&lt;Table1[[#This Row],[High Tol]],"Pass","Fail"),IF(Table1[[#This Row],[DUT Adj Read]]&lt;Table1[[#This Row],[High Tol]],"Pass","Fail")))</f>
        <v>Fail</v>
      </c>
      <c r="AF521" s="1" t="str">
        <f>IF(AND(Table1[[#This Row],[Spec Type2]]="N/A",Table1[[#This Row],[DUT Adj Read]]="N/A",Table1[[#This Row],[Std Adj Read]]="N/A"),"N/A",IF(Table1[[#This Row],[DUT Adj Read]]="N/A",IF(Table1[[#This Row],[Std Adj Read]]&gt;=Table1[[#This Row],[Low Tol]],"Pass","Fail"),IF(Table1[[#This Row],[DUT Adj Read]]&gt;=Table1[[#This Row],[Low Tol]],"Pass","Fail")))</f>
        <v>Pass</v>
      </c>
      <c r="AG521" s="1" t="str">
        <f>IF(AND(Table1[[#This Row],[Spec Type2]]="N/A",Table1[[#This Row],[DUT Adj Read]]="N/A",Table1[[#This Row],[Std Adj Read]]="N/A"),"N/A",IF(Table1[[#This Row],[DUT Adj Read]]="N/A",IF(Table1[[#This Row],[Std Adj Read]]&lt;=Table1[[#This Row],[High Tol]],"Pass","Fail"),IF(Table1[[#This Row],[DUT Adj Read]]&lt;=Table1[[#This Row],[High Tol]],"Pass","Fail")))</f>
        <v>Fail</v>
      </c>
      <c r="AH5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1" s="1" t="b">
        <v>0</v>
      </c>
      <c r="AN521" s="1" t="b">
        <v>0</v>
      </c>
      <c r="AO521" s="1" t="b">
        <v>0</v>
      </c>
    </row>
    <row r="522" spans="1:41" x14ac:dyDescent="0.25">
      <c r="A522" s="10"/>
      <c r="B522" s="10"/>
      <c r="C522" s="10"/>
      <c r="D522" s="10"/>
      <c r="E522" s="10"/>
      <c r="F522" s="10"/>
      <c r="G522" s="10"/>
      <c r="H522" s="10"/>
      <c r="I522" s="1" t="str">
        <f t="shared" si="21"/>
        <v/>
      </c>
      <c r="J522" s="1" t="s">
        <v>35</v>
      </c>
      <c r="K522" s="1" t="str">
        <f t="shared" si="22"/>
        <v/>
      </c>
      <c r="L522" s="1" t="str">
        <f t="shared" si="23"/>
        <v/>
      </c>
      <c r="M522" s="1">
        <f>IF(OR(Table1[[#This Row],[Std Nom]]="",Table1[[#This Row],[Std Read]]=""),0,Table1[[#This Row],[Std Nom]]-Table1[[#This Row],[Std Read]])</f>
        <v>0</v>
      </c>
      <c r="N522" s="1">
        <f>IF(Calculations!$F$5="ACCREDITED 17025 WITH UNCERTAINTIES",$N$10,0)</f>
        <v>0</v>
      </c>
      <c r="O522" s="1" t="str">
        <f>IFERROR(Table1[[#This Row],[Std Nom]]-(_xlfn.XLOOKUP(Table1[[#This Row],[Manufacturer]]&amp;" "&amp;Table1[[#This Row],[Model]],Table13[MFR &amp; MDL],Table13[Tolerance % CW ],"")/100*Table1[[#This Row],[Std Nom]]),"")</f>
        <v/>
      </c>
      <c r="P522" s="1" t="str">
        <f>IFERROR(Table1[[#This Row],[Std Nom]]+(_xlfn.XLOOKUP(Table1[[#This Row],[Manufacturer]]&amp;" "&amp;Table1[[#This Row],[Model]],Table13[MFR &amp; MDL],Table13[Tolerance % CW ],"")/100*Table1[[#This Row],[Std Nom]]),"")</f>
        <v/>
      </c>
      <c r="Q522" s="1" t="e">
        <f>Table1[[#This Row],[High Tol]]-Table1[[#This Row],[Low Tol]]</f>
        <v>#VALUE!</v>
      </c>
      <c r="R522" s="1">
        <f>2*Table1[[#This Row],[Std Error]]</f>
        <v>0</v>
      </c>
      <c r="S522" s="1" t="str">
        <f>IF(Table1[[#This Row],[High Tol]]="","N/A",IFERROR(ABS(Table1[[#This Row],[Tol Span]]/Table1[[#This Row],[Error Span]]),"N/A"))</f>
        <v>N/A</v>
      </c>
      <c r="T522" s="1" t="str">
        <f>IF(OR(Table1[[#This Row],[Low Tol]]="",Table1[[#This Row],[High Tol]]=""),"Needs Analysis",IF(Table1[[#This Row],[Ratio]]&gt;=4,"Not Significant",IF(Table1[[#This Row],[Ratio]]&gt;=2,"Semi-Significant","Significant")))</f>
        <v>Needs Analysis</v>
      </c>
      <c r="W522" s="1">
        <f>IF(Table1[[#This Row],[Cal Type]]&lt;&gt;"ACCREDITED 17025 WITH UNCERTAINTIES",0,"")</f>
        <v>0</v>
      </c>
      <c r="X522" s="1" t="str">
        <f>IF(Table1[[#This Row],[DUT Read]]="","N/A",Table1[[#This Row],[Std Error]]+Table1[[#This Row],[DUT Read]]+Table1[[#This Row],[DUT Ucty]])</f>
        <v>N/A</v>
      </c>
      <c r="Y522" s="1" t="str">
        <f>IF(Table1[[#This Row],[Std Read]]="","N/A",Table1[[#This Row],[Std Read]]+Table1[[#This Row],[Std Ucty]])</f>
        <v>N/A</v>
      </c>
      <c r="Z5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2" s="1" t="str">
        <f>IF(Table1[[#This Row],[Spec Type]]="","N/A",Table1[[#This Row],[Spec Type]])</f>
        <v>±</v>
      </c>
      <c r="AC522" s="1" t="str">
        <f>IF(Table1[[#This Row],[Spec Type2]]="N/A","N/A",IF(AND(Table1[[#This Row],[DUT Adj Read]]&gt;=Table1[[#This Row],[Low Tol]],Table1[[#This Row],[DUT Adj Read]]&lt;=Table1[[#This Row],[High Tol]]),"Pass","Fail"))</f>
        <v>Fail</v>
      </c>
      <c r="AD522" s="1" t="str">
        <f>IF(AND(Table1[[#This Row],[Spec Type2]]="N/A",Table1[[#This Row],[DUT Adj Read]]="N/A",Table1[[#This Row],[Std Adj Read]]="N/A"),"N/A",IF(Table1[[#This Row],[DUT Adj Read]]="N/A",IF(Table1[[#This Row],[Std Adj Read]]&gt;Table1[[#This Row],[Low Tol]],"Pass","Fail"),IF(Table1[[#This Row],[DUT Adj Read]]&gt;Table1[[#This Row],[Low Tol]],"Pass","Fail")))</f>
        <v>Pass</v>
      </c>
      <c r="AE522" s="1" t="str">
        <f>IF(AND(Table1[[#This Row],[Spec Type2]]="N/A",Table1[[#This Row],[DUT Adj Read]]="N/A",Table1[[#This Row],[Std Adj Read]]="N/A"),"N/A",IF(Table1[[#This Row],[DUT Adj Read]]="N/A",IF(Table1[[#This Row],[Std Adj Read]]&lt;Table1[[#This Row],[High Tol]],"Pass","Fail"),IF(Table1[[#This Row],[DUT Adj Read]]&lt;Table1[[#This Row],[High Tol]],"Pass","Fail")))</f>
        <v>Fail</v>
      </c>
      <c r="AF522" s="1" t="str">
        <f>IF(AND(Table1[[#This Row],[Spec Type2]]="N/A",Table1[[#This Row],[DUT Adj Read]]="N/A",Table1[[#This Row],[Std Adj Read]]="N/A"),"N/A",IF(Table1[[#This Row],[DUT Adj Read]]="N/A",IF(Table1[[#This Row],[Std Adj Read]]&gt;=Table1[[#This Row],[Low Tol]],"Pass","Fail"),IF(Table1[[#This Row],[DUT Adj Read]]&gt;=Table1[[#This Row],[Low Tol]],"Pass","Fail")))</f>
        <v>Pass</v>
      </c>
      <c r="AG522" s="1" t="str">
        <f>IF(AND(Table1[[#This Row],[Spec Type2]]="N/A",Table1[[#This Row],[DUT Adj Read]]="N/A",Table1[[#This Row],[Std Adj Read]]="N/A"),"N/A",IF(Table1[[#This Row],[DUT Adj Read]]="N/A",IF(Table1[[#This Row],[Std Adj Read]]&lt;=Table1[[#This Row],[High Tol]],"Pass","Fail"),IF(Table1[[#This Row],[DUT Adj Read]]&lt;=Table1[[#This Row],[High Tol]],"Pass","Fail")))</f>
        <v>Fail</v>
      </c>
      <c r="AH5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2" s="1" t="b">
        <v>0</v>
      </c>
      <c r="AN522" s="1" t="b">
        <v>0</v>
      </c>
      <c r="AO522" s="1" t="b">
        <v>0</v>
      </c>
    </row>
    <row r="523" spans="1:41" x14ac:dyDescent="0.25">
      <c r="A523" s="10"/>
      <c r="B523" s="10"/>
      <c r="C523" s="10"/>
      <c r="D523" s="10"/>
      <c r="E523" s="10"/>
      <c r="F523" s="10"/>
      <c r="G523" s="10"/>
      <c r="H523" s="10"/>
      <c r="I523" s="1" t="str">
        <f t="shared" ref="I523:I586" si="24">IF($I$10="","",$I$10)</f>
        <v/>
      </c>
      <c r="J523" s="1" t="s">
        <v>35</v>
      </c>
      <c r="K523" s="1" t="str">
        <f t="shared" ref="K523:K586" si="25">IF($K$10="","",$K$10)</f>
        <v/>
      </c>
      <c r="L523" s="1" t="str">
        <f t="shared" ref="L523:L586" si="26">IF($L$10="","",$L$10)</f>
        <v/>
      </c>
      <c r="M523" s="1">
        <f>IF(OR(Table1[[#This Row],[Std Nom]]="",Table1[[#This Row],[Std Read]]=""),0,Table1[[#This Row],[Std Nom]]-Table1[[#This Row],[Std Read]])</f>
        <v>0</v>
      </c>
      <c r="N523" s="1">
        <f>IF(Calculations!$F$5="ACCREDITED 17025 WITH UNCERTAINTIES",$N$10,0)</f>
        <v>0</v>
      </c>
      <c r="O523" s="1" t="str">
        <f>IFERROR(Table1[[#This Row],[Std Nom]]-(_xlfn.XLOOKUP(Table1[[#This Row],[Manufacturer]]&amp;" "&amp;Table1[[#This Row],[Model]],Table13[MFR &amp; MDL],Table13[Tolerance % CW ],"")/100*Table1[[#This Row],[Std Nom]]),"")</f>
        <v/>
      </c>
      <c r="P523" s="1" t="str">
        <f>IFERROR(Table1[[#This Row],[Std Nom]]+(_xlfn.XLOOKUP(Table1[[#This Row],[Manufacturer]]&amp;" "&amp;Table1[[#This Row],[Model]],Table13[MFR &amp; MDL],Table13[Tolerance % CW ],"")/100*Table1[[#This Row],[Std Nom]]),"")</f>
        <v/>
      </c>
      <c r="Q523" s="1" t="e">
        <f>Table1[[#This Row],[High Tol]]-Table1[[#This Row],[Low Tol]]</f>
        <v>#VALUE!</v>
      </c>
      <c r="R523" s="1">
        <f>2*Table1[[#This Row],[Std Error]]</f>
        <v>0</v>
      </c>
      <c r="S523" s="1" t="str">
        <f>IF(Table1[[#This Row],[High Tol]]="","N/A",IFERROR(ABS(Table1[[#This Row],[Tol Span]]/Table1[[#This Row],[Error Span]]),"N/A"))</f>
        <v>N/A</v>
      </c>
      <c r="T523" s="1" t="str">
        <f>IF(OR(Table1[[#This Row],[Low Tol]]="",Table1[[#This Row],[High Tol]]=""),"Needs Analysis",IF(Table1[[#This Row],[Ratio]]&gt;=4,"Not Significant",IF(Table1[[#This Row],[Ratio]]&gt;=2,"Semi-Significant","Significant")))</f>
        <v>Needs Analysis</v>
      </c>
      <c r="W523" s="1">
        <f>IF(Table1[[#This Row],[Cal Type]]&lt;&gt;"ACCREDITED 17025 WITH UNCERTAINTIES",0,"")</f>
        <v>0</v>
      </c>
      <c r="X523" s="1" t="str">
        <f>IF(Table1[[#This Row],[DUT Read]]="","N/A",Table1[[#This Row],[Std Error]]+Table1[[#This Row],[DUT Read]]+Table1[[#This Row],[DUT Ucty]])</f>
        <v>N/A</v>
      </c>
      <c r="Y523" s="1" t="str">
        <f>IF(Table1[[#This Row],[Std Read]]="","N/A",Table1[[#This Row],[Std Read]]+Table1[[#This Row],[Std Ucty]])</f>
        <v>N/A</v>
      </c>
      <c r="Z5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3" s="1" t="str">
        <f>IF(Table1[[#This Row],[Spec Type]]="","N/A",Table1[[#This Row],[Spec Type]])</f>
        <v>±</v>
      </c>
      <c r="AC523" s="1" t="str">
        <f>IF(Table1[[#This Row],[Spec Type2]]="N/A","N/A",IF(AND(Table1[[#This Row],[DUT Adj Read]]&gt;=Table1[[#This Row],[Low Tol]],Table1[[#This Row],[DUT Adj Read]]&lt;=Table1[[#This Row],[High Tol]]),"Pass","Fail"))</f>
        <v>Fail</v>
      </c>
      <c r="AD523" s="1" t="str">
        <f>IF(AND(Table1[[#This Row],[Spec Type2]]="N/A",Table1[[#This Row],[DUT Adj Read]]="N/A",Table1[[#This Row],[Std Adj Read]]="N/A"),"N/A",IF(Table1[[#This Row],[DUT Adj Read]]="N/A",IF(Table1[[#This Row],[Std Adj Read]]&gt;Table1[[#This Row],[Low Tol]],"Pass","Fail"),IF(Table1[[#This Row],[DUT Adj Read]]&gt;Table1[[#This Row],[Low Tol]],"Pass","Fail")))</f>
        <v>Pass</v>
      </c>
      <c r="AE523" s="1" t="str">
        <f>IF(AND(Table1[[#This Row],[Spec Type2]]="N/A",Table1[[#This Row],[DUT Adj Read]]="N/A",Table1[[#This Row],[Std Adj Read]]="N/A"),"N/A",IF(Table1[[#This Row],[DUT Adj Read]]="N/A",IF(Table1[[#This Row],[Std Adj Read]]&lt;Table1[[#This Row],[High Tol]],"Pass","Fail"),IF(Table1[[#This Row],[DUT Adj Read]]&lt;Table1[[#This Row],[High Tol]],"Pass","Fail")))</f>
        <v>Fail</v>
      </c>
      <c r="AF523" s="1" t="str">
        <f>IF(AND(Table1[[#This Row],[Spec Type2]]="N/A",Table1[[#This Row],[DUT Adj Read]]="N/A",Table1[[#This Row],[Std Adj Read]]="N/A"),"N/A",IF(Table1[[#This Row],[DUT Adj Read]]="N/A",IF(Table1[[#This Row],[Std Adj Read]]&gt;=Table1[[#This Row],[Low Tol]],"Pass","Fail"),IF(Table1[[#This Row],[DUT Adj Read]]&gt;=Table1[[#This Row],[Low Tol]],"Pass","Fail")))</f>
        <v>Pass</v>
      </c>
      <c r="AG523" s="1" t="str">
        <f>IF(AND(Table1[[#This Row],[Spec Type2]]="N/A",Table1[[#This Row],[DUT Adj Read]]="N/A",Table1[[#This Row],[Std Adj Read]]="N/A"),"N/A",IF(Table1[[#This Row],[DUT Adj Read]]="N/A",IF(Table1[[#This Row],[Std Adj Read]]&lt;=Table1[[#This Row],[High Tol]],"Pass","Fail"),IF(Table1[[#This Row],[DUT Adj Read]]&lt;=Table1[[#This Row],[High Tol]],"Pass","Fail")))</f>
        <v>Fail</v>
      </c>
      <c r="AH5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3" s="1" t="b">
        <v>0</v>
      </c>
      <c r="AN523" s="1" t="b">
        <v>0</v>
      </c>
      <c r="AO523" s="1" t="b">
        <v>0</v>
      </c>
    </row>
    <row r="524" spans="1:41" x14ac:dyDescent="0.25">
      <c r="A524" s="10"/>
      <c r="B524" s="10"/>
      <c r="C524" s="10"/>
      <c r="D524" s="10"/>
      <c r="E524" s="10"/>
      <c r="F524" s="10"/>
      <c r="G524" s="10"/>
      <c r="H524" s="10"/>
      <c r="I524" s="1" t="str">
        <f t="shared" si="24"/>
        <v/>
      </c>
      <c r="J524" s="1" t="s">
        <v>35</v>
      </c>
      <c r="K524" s="1" t="str">
        <f t="shared" si="25"/>
        <v/>
      </c>
      <c r="L524" s="1" t="str">
        <f t="shared" si="26"/>
        <v/>
      </c>
      <c r="M524" s="1">
        <f>IF(OR(Table1[[#This Row],[Std Nom]]="",Table1[[#This Row],[Std Read]]=""),0,Table1[[#This Row],[Std Nom]]-Table1[[#This Row],[Std Read]])</f>
        <v>0</v>
      </c>
      <c r="N524" s="1">
        <f>IF(Calculations!$F$5="ACCREDITED 17025 WITH UNCERTAINTIES",$N$10,0)</f>
        <v>0</v>
      </c>
      <c r="O524" s="1" t="str">
        <f>IFERROR(Table1[[#This Row],[Std Nom]]-(_xlfn.XLOOKUP(Table1[[#This Row],[Manufacturer]]&amp;" "&amp;Table1[[#This Row],[Model]],Table13[MFR &amp; MDL],Table13[Tolerance % CW ],"")/100*Table1[[#This Row],[Std Nom]]),"")</f>
        <v/>
      </c>
      <c r="P524" s="1" t="str">
        <f>IFERROR(Table1[[#This Row],[Std Nom]]+(_xlfn.XLOOKUP(Table1[[#This Row],[Manufacturer]]&amp;" "&amp;Table1[[#This Row],[Model]],Table13[MFR &amp; MDL],Table13[Tolerance % CW ],"")/100*Table1[[#This Row],[Std Nom]]),"")</f>
        <v/>
      </c>
      <c r="Q524" s="1" t="e">
        <f>Table1[[#This Row],[High Tol]]-Table1[[#This Row],[Low Tol]]</f>
        <v>#VALUE!</v>
      </c>
      <c r="R524" s="1">
        <f>2*Table1[[#This Row],[Std Error]]</f>
        <v>0</v>
      </c>
      <c r="S524" s="1" t="str">
        <f>IF(Table1[[#This Row],[High Tol]]="","N/A",IFERROR(ABS(Table1[[#This Row],[Tol Span]]/Table1[[#This Row],[Error Span]]),"N/A"))</f>
        <v>N/A</v>
      </c>
      <c r="T524" s="1" t="str">
        <f>IF(OR(Table1[[#This Row],[Low Tol]]="",Table1[[#This Row],[High Tol]]=""),"Needs Analysis",IF(Table1[[#This Row],[Ratio]]&gt;=4,"Not Significant",IF(Table1[[#This Row],[Ratio]]&gt;=2,"Semi-Significant","Significant")))</f>
        <v>Needs Analysis</v>
      </c>
      <c r="W524" s="1">
        <f>IF(Table1[[#This Row],[Cal Type]]&lt;&gt;"ACCREDITED 17025 WITH UNCERTAINTIES",0,"")</f>
        <v>0</v>
      </c>
      <c r="X524" s="1" t="str">
        <f>IF(Table1[[#This Row],[DUT Read]]="","N/A",Table1[[#This Row],[Std Error]]+Table1[[#This Row],[DUT Read]]+Table1[[#This Row],[DUT Ucty]])</f>
        <v>N/A</v>
      </c>
      <c r="Y524" s="1" t="str">
        <f>IF(Table1[[#This Row],[Std Read]]="","N/A",Table1[[#This Row],[Std Read]]+Table1[[#This Row],[Std Ucty]])</f>
        <v>N/A</v>
      </c>
      <c r="Z5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4" s="1" t="str">
        <f>IF(Table1[[#This Row],[Spec Type]]="","N/A",Table1[[#This Row],[Spec Type]])</f>
        <v>±</v>
      </c>
      <c r="AC524" s="1" t="str">
        <f>IF(Table1[[#This Row],[Spec Type2]]="N/A","N/A",IF(AND(Table1[[#This Row],[DUT Adj Read]]&gt;=Table1[[#This Row],[Low Tol]],Table1[[#This Row],[DUT Adj Read]]&lt;=Table1[[#This Row],[High Tol]]),"Pass","Fail"))</f>
        <v>Fail</v>
      </c>
      <c r="AD524" s="1" t="str">
        <f>IF(AND(Table1[[#This Row],[Spec Type2]]="N/A",Table1[[#This Row],[DUT Adj Read]]="N/A",Table1[[#This Row],[Std Adj Read]]="N/A"),"N/A",IF(Table1[[#This Row],[DUT Adj Read]]="N/A",IF(Table1[[#This Row],[Std Adj Read]]&gt;Table1[[#This Row],[Low Tol]],"Pass","Fail"),IF(Table1[[#This Row],[DUT Adj Read]]&gt;Table1[[#This Row],[Low Tol]],"Pass","Fail")))</f>
        <v>Pass</v>
      </c>
      <c r="AE524" s="1" t="str">
        <f>IF(AND(Table1[[#This Row],[Spec Type2]]="N/A",Table1[[#This Row],[DUT Adj Read]]="N/A",Table1[[#This Row],[Std Adj Read]]="N/A"),"N/A",IF(Table1[[#This Row],[DUT Adj Read]]="N/A",IF(Table1[[#This Row],[Std Adj Read]]&lt;Table1[[#This Row],[High Tol]],"Pass","Fail"),IF(Table1[[#This Row],[DUT Adj Read]]&lt;Table1[[#This Row],[High Tol]],"Pass","Fail")))</f>
        <v>Fail</v>
      </c>
      <c r="AF524" s="1" t="str">
        <f>IF(AND(Table1[[#This Row],[Spec Type2]]="N/A",Table1[[#This Row],[DUT Adj Read]]="N/A",Table1[[#This Row],[Std Adj Read]]="N/A"),"N/A",IF(Table1[[#This Row],[DUT Adj Read]]="N/A",IF(Table1[[#This Row],[Std Adj Read]]&gt;=Table1[[#This Row],[Low Tol]],"Pass","Fail"),IF(Table1[[#This Row],[DUT Adj Read]]&gt;=Table1[[#This Row],[Low Tol]],"Pass","Fail")))</f>
        <v>Pass</v>
      </c>
      <c r="AG524" s="1" t="str">
        <f>IF(AND(Table1[[#This Row],[Spec Type2]]="N/A",Table1[[#This Row],[DUT Adj Read]]="N/A",Table1[[#This Row],[Std Adj Read]]="N/A"),"N/A",IF(Table1[[#This Row],[DUT Adj Read]]="N/A",IF(Table1[[#This Row],[Std Adj Read]]&lt;=Table1[[#This Row],[High Tol]],"Pass","Fail"),IF(Table1[[#This Row],[DUT Adj Read]]&lt;=Table1[[#This Row],[High Tol]],"Pass","Fail")))</f>
        <v>Fail</v>
      </c>
      <c r="AH5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4" s="1" t="b">
        <v>0</v>
      </c>
      <c r="AN524" s="1" t="b">
        <v>0</v>
      </c>
      <c r="AO524" s="1" t="b">
        <v>0</v>
      </c>
    </row>
    <row r="525" spans="1:41" x14ac:dyDescent="0.25">
      <c r="A525" s="10"/>
      <c r="B525" s="10"/>
      <c r="C525" s="10"/>
      <c r="D525" s="10"/>
      <c r="E525" s="10"/>
      <c r="F525" s="10"/>
      <c r="G525" s="10"/>
      <c r="H525" s="10"/>
      <c r="I525" s="1" t="str">
        <f t="shared" si="24"/>
        <v/>
      </c>
      <c r="J525" s="1" t="s">
        <v>35</v>
      </c>
      <c r="K525" s="1" t="str">
        <f t="shared" si="25"/>
        <v/>
      </c>
      <c r="L525" s="1" t="str">
        <f t="shared" si="26"/>
        <v/>
      </c>
      <c r="M525" s="1">
        <f>IF(OR(Table1[[#This Row],[Std Nom]]="",Table1[[#This Row],[Std Read]]=""),0,Table1[[#This Row],[Std Nom]]-Table1[[#This Row],[Std Read]])</f>
        <v>0</v>
      </c>
      <c r="N525" s="1">
        <f>IF(Calculations!$F$5="ACCREDITED 17025 WITH UNCERTAINTIES",$N$10,0)</f>
        <v>0</v>
      </c>
      <c r="O525" s="1" t="str">
        <f>IFERROR(Table1[[#This Row],[Std Nom]]-(_xlfn.XLOOKUP(Table1[[#This Row],[Manufacturer]]&amp;" "&amp;Table1[[#This Row],[Model]],Table13[MFR &amp; MDL],Table13[Tolerance % CW ],"")/100*Table1[[#This Row],[Std Nom]]),"")</f>
        <v/>
      </c>
      <c r="P525" s="1" t="str">
        <f>IFERROR(Table1[[#This Row],[Std Nom]]+(_xlfn.XLOOKUP(Table1[[#This Row],[Manufacturer]]&amp;" "&amp;Table1[[#This Row],[Model]],Table13[MFR &amp; MDL],Table13[Tolerance % CW ],"")/100*Table1[[#This Row],[Std Nom]]),"")</f>
        <v/>
      </c>
      <c r="Q525" s="1" t="e">
        <f>Table1[[#This Row],[High Tol]]-Table1[[#This Row],[Low Tol]]</f>
        <v>#VALUE!</v>
      </c>
      <c r="R525" s="1">
        <f>2*Table1[[#This Row],[Std Error]]</f>
        <v>0</v>
      </c>
      <c r="S525" s="1" t="str">
        <f>IF(Table1[[#This Row],[High Tol]]="","N/A",IFERROR(ABS(Table1[[#This Row],[Tol Span]]/Table1[[#This Row],[Error Span]]),"N/A"))</f>
        <v>N/A</v>
      </c>
      <c r="T525" s="1" t="str">
        <f>IF(OR(Table1[[#This Row],[Low Tol]]="",Table1[[#This Row],[High Tol]]=""),"Needs Analysis",IF(Table1[[#This Row],[Ratio]]&gt;=4,"Not Significant",IF(Table1[[#This Row],[Ratio]]&gt;=2,"Semi-Significant","Significant")))</f>
        <v>Needs Analysis</v>
      </c>
      <c r="W525" s="1">
        <f>IF(Table1[[#This Row],[Cal Type]]&lt;&gt;"ACCREDITED 17025 WITH UNCERTAINTIES",0,"")</f>
        <v>0</v>
      </c>
      <c r="X525" s="1" t="str">
        <f>IF(Table1[[#This Row],[DUT Read]]="","N/A",Table1[[#This Row],[Std Error]]+Table1[[#This Row],[DUT Read]]+Table1[[#This Row],[DUT Ucty]])</f>
        <v>N/A</v>
      </c>
      <c r="Y525" s="1" t="str">
        <f>IF(Table1[[#This Row],[Std Read]]="","N/A",Table1[[#This Row],[Std Read]]+Table1[[#This Row],[Std Ucty]])</f>
        <v>N/A</v>
      </c>
      <c r="Z5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5" s="1" t="str">
        <f>IF(Table1[[#This Row],[Spec Type]]="","N/A",Table1[[#This Row],[Spec Type]])</f>
        <v>±</v>
      </c>
      <c r="AC525" s="1" t="str">
        <f>IF(Table1[[#This Row],[Spec Type2]]="N/A","N/A",IF(AND(Table1[[#This Row],[DUT Adj Read]]&gt;=Table1[[#This Row],[Low Tol]],Table1[[#This Row],[DUT Adj Read]]&lt;=Table1[[#This Row],[High Tol]]),"Pass","Fail"))</f>
        <v>Fail</v>
      </c>
      <c r="AD525" s="1" t="str">
        <f>IF(AND(Table1[[#This Row],[Spec Type2]]="N/A",Table1[[#This Row],[DUT Adj Read]]="N/A",Table1[[#This Row],[Std Adj Read]]="N/A"),"N/A",IF(Table1[[#This Row],[DUT Adj Read]]="N/A",IF(Table1[[#This Row],[Std Adj Read]]&gt;Table1[[#This Row],[Low Tol]],"Pass","Fail"),IF(Table1[[#This Row],[DUT Adj Read]]&gt;Table1[[#This Row],[Low Tol]],"Pass","Fail")))</f>
        <v>Pass</v>
      </c>
      <c r="AE525" s="1" t="str">
        <f>IF(AND(Table1[[#This Row],[Spec Type2]]="N/A",Table1[[#This Row],[DUT Adj Read]]="N/A",Table1[[#This Row],[Std Adj Read]]="N/A"),"N/A",IF(Table1[[#This Row],[DUT Adj Read]]="N/A",IF(Table1[[#This Row],[Std Adj Read]]&lt;Table1[[#This Row],[High Tol]],"Pass","Fail"),IF(Table1[[#This Row],[DUT Adj Read]]&lt;Table1[[#This Row],[High Tol]],"Pass","Fail")))</f>
        <v>Fail</v>
      </c>
      <c r="AF525" s="1" t="str">
        <f>IF(AND(Table1[[#This Row],[Spec Type2]]="N/A",Table1[[#This Row],[DUT Adj Read]]="N/A",Table1[[#This Row],[Std Adj Read]]="N/A"),"N/A",IF(Table1[[#This Row],[DUT Adj Read]]="N/A",IF(Table1[[#This Row],[Std Adj Read]]&gt;=Table1[[#This Row],[Low Tol]],"Pass","Fail"),IF(Table1[[#This Row],[DUT Adj Read]]&gt;=Table1[[#This Row],[Low Tol]],"Pass","Fail")))</f>
        <v>Pass</v>
      </c>
      <c r="AG525" s="1" t="str">
        <f>IF(AND(Table1[[#This Row],[Spec Type2]]="N/A",Table1[[#This Row],[DUT Adj Read]]="N/A",Table1[[#This Row],[Std Adj Read]]="N/A"),"N/A",IF(Table1[[#This Row],[DUT Adj Read]]="N/A",IF(Table1[[#This Row],[Std Adj Read]]&lt;=Table1[[#This Row],[High Tol]],"Pass","Fail"),IF(Table1[[#This Row],[DUT Adj Read]]&lt;=Table1[[#This Row],[High Tol]],"Pass","Fail")))</f>
        <v>Fail</v>
      </c>
      <c r="AH5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5" s="1" t="b">
        <v>0</v>
      </c>
      <c r="AN525" s="1" t="b">
        <v>0</v>
      </c>
      <c r="AO525" s="1" t="b">
        <v>0</v>
      </c>
    </row>
    <row r="526" spans="1:41" x14ac:dyDescent="0.25">
      <c r="A526" s="10"/>
      <c r="B526" s="10"/>
      <c r="C526" s="10"/>
      <c r="D526" s="10"/>
      <c r="E526" s="10"/>
      <c r="F526" s="10"/>
      <c r="G526" s="10"/>
      <c r="H526" s="10"/>
      <c r="I526" s="1" t="str">
        <f t="shared" si="24"/>
        <v/>
      </c>
      <c r="J526" s="1" t="s">
        <v>35</v>
      </c>
      <c r="K526" s="1" t="str">
        <f t="shared" si="25"/>
        <v/>
      </c>
      <c r="L526" s="1" t="str">
        <f t="shared" si="26"/>
        <v/>
      </c>
      <c r="M526" s="1">
        <f>IF(OR(Table1[[#This Row],[Std Nom]]="",Table1[[#This Row],[Std Read]]=""),0,Table1[[#This Row],[Std Nom]]-Table1[[#This Row],[Std Read]])</f>
        <v>0</v>
      </c>
      <c r="N526" s="1">
        <f>IF(Calculations!$F$5="ACCREDITED 17025 WITH UNCERTAINTIES",$N$10,0)</f>
        <v>0</v>
      </c>
      <c r="O526" s="1" t="str">
        <f>IFERROR(Table1[[#This Row],[Std Nom]]-(_xlfn.XLOOKUP(Table1[[#This Row],[Manufacturer]]&amp;" "&amp;Table1[[#This Row],[Model]],Table13[MFR &amp; MDL],Table13[Tolerance % CW ],"")/100*Table1[[#This Row],[Std Nom]]),"")</f>
        <v/>
      </c>
      <c r="P526" s="1" t="str">
        <f>IFERROR(Table1[[#This Row],[Std Nom]]+(_xlfn.XLOOKUP(Table1[[#This Row],[Manufacturer]]&amp;" "&amp;Table1[[#This Row],[Model]],Table13[MFR &amp; MDL],Table13[Tolerance % CW ],"")/100*Table1[[#This Row],[Std Nom]]),"")</f>
        <v/>
      </c>
      <c r="Q526" s="1" t="e">
        <f>Table1[[#This Row],[High Tol]]-Table1[[#This Row],[Low Tol]]</f>
        <v>#VALUE!</v>
      </c>
      <c r="R526" s="1">
        <f>2*Table1[[#This Row],[Std Error]]</f>
        <v>0</v>
      </c>
      <c r="S526" s="1" t="str">
        <f>IF(Table1[[#This Row],[High Tol]]="","N/A",IFERROR(ABS(Table1[[#This Row],[Tol Span]]/Table1[[#This Row],[Error Span]]),"N/A"))</f>
        <v>N/A</v>
      </c>
      <c r="T526" s="1" t="str">
        <f>IF(OR(Table1[[#This Row],[Low Tol]]="",Table1[[#This Row],[High Tol]]=""),"Needs Analysis",IF(Table1[[#This Row],[Ratio]]&gt;=4,"Not Significant",IF(Table1[[#This Row],[Ratio]]&gt;=2,"Semi-Significant","Significant")))</f>
        <v>Needs Analysis</v>
      </c>
      <c r="W526" s="1">
        <f>IF(Table1[[#This Row],[Cal Type]]&lt;&gt;"ACCREDITED 17025 WITH UNCERTAINTIES",0,"")</f>
        <v>0</v>
      </c>
      <c r="X526" s="1" t="str">
        <f>IF(Table1[[#This Row],[DUT Read]]="","N/A",Table1[[#This Row],[Std Error]]+Table1[[#This Row],[DUT Read]]+Table1[[#This Row],[DUT Ucty]])</f>
        <v>N/A</v>
      </c>
      <c r="Y526" s="1" t="str">
        <f>IF(Table1[[#This Row],[Std Read]]="","N/A",Table1[[#This Row],[Std Read]]+Table1[[#This Row],[Std Ucty]])</f>
        <v>N/A</v>
      </c>
      <c r="Z5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6" s="1" t="str">
        <f>IF(Table1[[#This Row],[Spec Type]]="","N/A",Table1[[#This Row],[Spec Type]])</f>
        <v>±</v>
      </c>
      <c r="AC526" s="1" t="str">
        <f>IF(Table1[[#This Row],[Spec Type2]]="N/A","N/A",IF(AND(Table1[[#This Row],[DUT Adj Read]]&gt;=Table1[[#This Row],[Low Tol]],Table1[[#This Row],[DUT Adj Read]]&lt;=Table1[[#This Row],[High Tol]]),"Pass","Fail"))</f>
        <v>Fail</v>
      </c>
      <c r="AD526" s="1" t="str">
        <f>IF(AND(Table1[[#This Row],[Spec Type2]]="N/A",Table1[[#This Row],[DUT Adj Read]]="N/A",Table1[[#This Row],[Std Adj Read]]="N/A"),"N/A",IF(Table1[[#This Row],[DUT Adj Read]]="N/A",IF(Table1[[#This Row],[Std Adj Read]]&gt;Table1[[#This Row],[Low Tol]],"Pass","Fail"),IF(Table1[[#This Row],[DUT Adj Read]]&gt;Table1[[#This Row],[Low Tol]],"Pass","Fail")))</f>
        <v>Pass</v>
      </c>
      <c r="AE526" s="1" t="str">
        <f>IF(AND(Table1[[#This Row],[Spec Type2]]="N/A",Table1[[#This Row],[DUT Adj Read]]="N/A",Table1[[#This Row],[Std Adj Read]]="N/A"),"N/A",IF(Table1[[#This Row],[DUT Adj Read]]="N/A",IF(Table1[[#This Row],[Std Adj Read]]&lt;Table1[[#This Row],[High Tol]],"Pass","Fail"),IF(Table1[[#This Row],[DUT Adj Read]]&lt;Table1[[#This Row],[High Tol]],"Pass","Fail")))</f>
        <v>Fail</v>
      </c>
      <c r="AF526" s="1" t="str">
        <f>IF(AND(Table1[[#This Row],[Spec Type2]]="N/A",Table1[[#This Row],[DUT Adj Read]]="N/A",Table1[[#This Row],[Std Adj Read]]="N/A"),"N/A",IF(Table1[[#This Row],[DUT Adj Read]]="N/A",IF(Table1[[#This Row],[Std Adj Read]]&gt;=Table1[[#This Row],[Low Tol]],"Pass","Fail"),IF(Table1[[#This Row],[DUT Adj Read]]&gt;=Table1[[#This Row],[Low Tol]],"Pass","Fail")))</f>
        <v>Pass</v>
      </c>
      <c r="AG526" s="1" t="str">
        <f>IF(AND(Table1[[#This Row],[Spec Type2]]="N/A",Table1[[#This Row],[DUT Adj Read]]="N/A",Table1[[#This Row],[Std Adj Read]]="N/A"),"N/A",IF(Table1[[#This Row],[DUT Adj Read]]="N/A",IF(Table1[[#This Row],[Std Adj Read]]&lt;=Table1[[#This Row],[High Tol]],"Pass","Fail"),IF(Table1[[#This Row],[DUT Adj Read]]&lt;=Table1[[#This Row],[High Tol]],"Pass","Fail")))</f>
        <v>Fail</v>
      </c>
      <c r="AH5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6" s="1" t="b">
        <v>0</v>
      </c>
      <c r="AN526" s="1" t="b">
        <v>0</v>
      </c>
      <c r="AO526" s="1" t="b">
        <v>0</v>
      </c>
    </row>
    <row r="527" spans="1:41" x14ac:dyDescent="0.25">
      <c r="A527" s="10"/>
      <c r="B527" s="10"/>
      <c r="C527" s="10"/>
      <c r="D527" s="10"/>
      <c r="E527" s="10"/>
      <c r="F527" s="10"/>
      <c r="G527" s="10"/>
      <c r="H527" s="10"/>
      <c r="I527" s="1" t="str">
        <f t="shared" si="24"/>
        <v/>
      </c>
      <c r="J527" s="1" t="s">
        <v>35</v>
      </c>
      <c r="K527" s="1" t="str">
        <f t="shared" si="25"/>
        <v/>
      </c>
      <c r="L527" s="1" t="str">
        <f t="shared" si="26"/>
        <v/>
      </c>
      <c r="M527" s="1">
        <f>IF(OR(Table1[[#This Row],[Std Nom]]="",Table1[[#This Row],[Std Read]]=""),0,Table1[[#This Row],[Std Nom]]-Table1[[#This Row],[Std Read]])</f>
        <v>0</v>
      </c>
      <c r="N527" s="1">
        <f>IF(Calculations!$F$5="ACCREDITED 17025 WITH UNCERTAINTIES",$N$10,0)</f>
        <v>0</v>
      </c>
      <c r="O527" s="1" t="str">
        <f>IFERROR(Table1[[#This Row],[Std Nom]]-(_xlfn.XLOOKUP(Table1[[#This Row],[Manufacturer]]&amp;" "&amp;Table1[[#This Row],[Model]],Table13[MFR &amp; MDL],Table13[Tolerance % CW ],"")/100*Table1[[#This Row],[Std Nom]]),"")</f>
        <v/>
      </c>
      <c r="P527" s="1" t="str">
        <f>IFERROR(Table1[[#This Row],[Std Nom]]+(_xlfn.XLOOKUP(Table1[[#This Row],[Manufacturer]]&amp;" "&amp;Table1[[#This Row],[Model]],Table13[MFR &amp; MDL],Table13[Tolerance % CW ],"")/100*Table1[[#This Row],[Std Nom]]),"")</f>
        <v/>
      </c>
      <c r="Q527" s="1" t="e">
        <f>Table1[[#This Row],[High Tol]]-Table1[[#This Row],[Low Tol]]</f>
        <v>#VALUE!</v>
      </c>
      <c r="R527" s="1">
        <f>2*Table1[[#This Row],[Std Error]]</f>
        <v>0</v>
      </c>
      <c r="S527" s="1" t="str">
        <f>IF(Table1[[#This Row],[High Tol]]="","N/A",IFERROR(ABS(Table1[[#This Row],[Tol Span]]/Table1[[#This Row],[Error Span]]),"N/A"))</f>
        <v>N/A</v>
      </c>
      <c r="T527" s="1" t="str">
        <f>IF(OR(Table1[[#This Row],[Low Tol]]="",Table1[[#This Row],[High Tol]]=""),"Needs Analysis",IF(Table1[[#This Row],[Ratio]]&gt;=4,"Not Significant",IF(Table1[[#This Row],[Ratio]]&gt;=2,"Semi-Significant","Significant")))</f>
        <v>Needs Analysis</v>
      </c>
      <c r="W527" s="1">
        <f>IF(Table1[[#This Row],[Cal Type]]&lt;&gt;"ACCREDITED 17025 WITH UNCERTAINTIES",0,"")</f>
        <v>0</v>
      </c>
      <c r="X527" s="1" t="str">
        <f>IF(Table1[[#This Row],[DUT Read]]="","N/A",Table1[[#This Row],[Std Error]]+Table1[[#This Row],[DUT Read]]+Table1[[#This Row],[DUT Ucty]])</f>
        <v>N/A</v>
      </c>
      <c r="Y527" s="1" t="str">
        <f>IF(Table1[[#This Row],[Std Read]]="","N/A",Table1[[#This Row],[Std Read]]+Table1[[#This Row],[Std Ucty]])</f>
        <v>N/A</v>
      </c>
      <c r="Z5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7" s="1" t="str">
        <f>IF(Table1[[#This Row],[Spec Type]]="","N/A",Table1[[#This Row],[Spec Type]])</f>
        <v>±</v>
      </c>
      <c r="AC527" s="1" t="str">
        <f>IF(Table1[[#This Row],[Spec Type2]]="N/A","N/A",IF(AND(Table1[[#This Row],[DUT Adj Read]]&gt;=Table1[[#This Row],[Low Tol]],Table1[[#This Row],[DUT Adj Read]]&lt;=Table1[[#This Row],[High Tol]]),"Pass","Fail"))</f>
        <v>Fail</v>
      </c>
      <c r="AD527" s="1" t="str">
        <f>IF(AND(Table1[[#This Row],[Spec Type2]]="N/A",Table1[[#This Row],[DUT Adj Read]]="N/A",Table1[[#This Row],[Std Adj Read]]="N/A"),"N/A",IF(Table1[[#This Row],[DUT Adj Read]]="N/A",IF(Table1[[#This Row],[Std Adj Read]]&gt;Table1[[#This Row],[Low Tol]],"Pass","Fail"),IF(Table1[[#This Row],[DUT Adj Read]]&gt;Table1[[#This Row],[Low Tol]],"Pass","Fail")))</f>
        <v>Pass</v>
      </c>
      <c r="AE527" s="1" t="str">
        <f>IF(AND(Table1[[#This Row],[Spec Type2]]="N/A",Table1[[#This Row],[DUT Adj Read]]="N/A",Table1[[#This Row],[Std Adj Read]]="N/A"),"N/A",IF(Table1[[#This Row],[DUT Adj Read]]="N/A",IF(Table1[[#This Row],[Std Adj Read]]&lt;Table1[[#This Row],[High Tol]],"Pass","Fail"),IF(Table1[[#This Row],[DUT Adj Read]]&lt;Table1[[#This Row],[High Tol]],"Pass","Fail")))</f>
        <v>Fail</v>
      </c>
      <c r="AF527" s="1" t="str">
        <f>IF(AND(Table1[[#This Row],[Spec Type2]]="N/A",Table1[[#This Row],[DUT Adj Read]]="N/A",Table1[[#This Row],[Std Adj Read]]="N/A"),"N/A",IF(Table1[[#This Row],[DUT Adj Read]]="N/A",IF(Table1[[#This Row],[Std Adj Read]]&gt;=Table1[[#This Row],[Low Tol]],"Pass","Fail"),IF(Table1[[#This Row],[DUT Adj Read]]&gt;=Table1[[#This Row],[Low Tol]],"Pass","Fail")))</f>
        <v>Pass</v>
      </c>
      <c r="AG527" s="1" t="str">
        <f>IF(AND(Table1[[#This Row],[Spec Type2]]="N/A",Table1[[#This Row],[DUT Adj Read]]="N/A",Table1[[#This Row],[Std Adj Read]]="N/A"),"N/A",IF(Table1[[#This Row],[DUT Adj Read]]="N/A",IF(Table1[[#This Row],[Std Adj Read]]&lt;=Table1[[#This Row],[High Tol]],"Pass","Fail"),IF(Table1[[#This Row],[DUT Adj Read]]&lt;=Table1[[#This Row],[High Tol]],"Pass","Fail")))</f>
        <v>Fail</v>
      </c>
      <c r="AH5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7" s="1" t="b">
        <v>0</v>
      </c>
      <c r="AN527" s="1" t="b">
        <v>0</v>
      </c>
      <c r="AO527" s="1" t="b">
        <v>0</v>
      </c>
    </row>
    <row r="528" spans="1:41" x14ac:dyDescent="0.25">
      <c r="A528" s="10"/>
      <c r="B528" s="10"/>
      <c r="C528" s="10"/>
      <c r="D528" s="10"/>
      <c r="E528" s="10"/>
      <c r="F528" s="10"/>
      <c r="G528" s="10"/>
      <c r="H528" s="10"/>
      <c r="I528" s="1" t="str">
        <f t="shared" si="24"/>
        <v/>
      </c>
      <c r="J528" s="1" t="s">
        <v>35</v>
      </c>
      <c r="K528" s="1" t="str">
        <f t="shared" si="25"/>
        <v/>
      </c>
      <c r="L528" s="1" t="str">
        <f t="shared" si="26"/>
        <v/>
      </c>
      <c r="M528" s="1">
        <f>IF(OR(Table1[[#This Row],[Std Nom]]="",Table1[[#This Row],[Std Read]]=""),0,Table1[[#This Row],[Std Nom]]-Table1[[#This Row],[Std Read]])</f>
        <v>0</v>
      </c>
      <c r="N528" s="1">
        <f>IF(Calculations!$F$5="ACCREDITED 17025 WITH UNCERTAINTIES",$N$10,0)</f>
        <v>0</v>
      </c>
      <c r="O528" s="1" t="str">
        <f>IFERROR(Table1[[#This Row],[Std Nom]]-(_xlfn.XLOOKUP(Table1[[#This Row],[Manufacturer]]&amp;" "&amp;Table1[[#This Row],[Model]],Table13[MFR &amp; MDL],Table13[Tolerance % CW ],"")/100*Table1[[#This Row],[Std Nom]]),"")</f>
        <v/>
      </c>
      <c r="P528" s="1" t="str">
        <f>IFERROR(Table1[[#This Row],[Std Nom]]+(_xlfn.XLOOKUP(Table1[[#This Row],[Manufacturer]]&amp;" "&amp;Table1[[#This Row],[Model]],Table13[MFR &amp; MDL],Table13[Tolerance % CW ],"")/100*Table1[[#This Row],[Std Nom]]),"")</f>
        <v/>
      </c>
      <c r="Q528" s="1" t="e">
        <f>Table1[[#This Row],[High Tol]]-Table1[[#This Row],[Low Tol]]</f>
        <v>#VALUE!</v>
      </c>
      <c r="R528" s="1">
        <f>2*Table1[[#This Row],[Std Error]]</f>
        <v>0</v>
      </c>
      <c r="S528" s="1" t="str">
        <f>IF(Table1[[#This Row],[High Tol]]="","N/A",IFERROR(ABS(Table1[[#This Row],[Tol Span]]/Table1[[#This Row],[Error Span]]),"N/A"))</f>
        <v>N/A</v>
      </c>
      <c r="T528" s="1" t="str">
        <f>IF(OR(Table1[[#This Row],[Low Tol]]="",Table1[[#This Row],[High Tol]]=""),"Needs Analysis",IF(Table1[[#This Row],[Ratio]]&gt;=4,"Not Significant",IF(Table1[[#This Row],[Ratio]]&gt;=2,"Semi-Significant","Significant")))</f>
        <v>Needs Analysis</v>
      </c>
      <c r="W528" s="1">
        <f>IF(Table1[[#This Row],[Cal Type]]&lt;&gt;"ACCREDITED 17025 WITH UNCERTAINTIES",0,"")</f>
        <v>0</v>
      </c>
      <c r="X528" s="1" t="str">
        <f>IF(Table1[[#This Row],[DUT Read]]="","N/A",Table1[[#This Row],[Std Error]]+Table1[[#This Row],[DUT Read]]+Table1[[#This Row],[DUT Ucty]])</f>
        <v>N/A</v>
      </c>
      <c r="Y528" s="1" t="str">
        <f>IF(Table1[[#This Row],[Std Read]]="","N/A",Table1[[#This Row],[Std Read]]+Table1[[#This Row],[Std Ucty]])</f>
        <v>N/A</v>
      </c>
      <c r="Z5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8" s="1" t="str">
        <f>IF(Table1[[#This Row],[Spec Type]]="","N/A",Table1[[#This Row],[Spec Type]])</f>
        <v>±</v>
      </c>
      <c r="AC528" s="1" t="str">
        <f>IF(Table1[[#This Row],[Spec Type2]]="N/A","N/A",IF(AND(Table1[[#This Row],[DUT Adj Read]]&gt;=Table1[[#This Row],[Low Tol]],Table1[[#This Row],[DUT Adj Read]]&lt;=Table1[[#This Row],[High Tol]]),"Pass","Fail"))</f>
        <v>Fail</v>
      </c>
      <c r="AD528" s="1" t="str">
        <f>IF(AND(Table1[[#This Row],[Spec Type2]]="N/A",Table1[[#This Row],[DUT Adj Read]]="N/A",Table1[[#This Row],[Std Adj Read]]="N/A"),"N/A",IF(Table1[[#This Row],[DUT Adj Read]]="N/A",IF(Table1[[#This Row],[Std Adj Read]]&gt;Table1[[#This Row],[Low Tol]],"Pass","Fail"),IF(Table1[[#This Row],[DUT Adj Read]]&gt;Table1[[#This Row],[Low Tol]],"Pass","Fail")))</f>
        <v>Pass</v>
      </c>
      <c r="AE528" s="1" t="str">
        <f>IF(AND(Table1[[#This Row],[Spec Type2]]="N/A",Table1[[#This Row],[DUT Adj Read]]="N/A",Table1[[#This Row],[Std Adj Read]]="N/A"),"N/A",IF(Table1[[#This Row],[DUT Adj Read]]="N/A",IF(Table1[[#This Row],[Std Adj Read]]&lt;Table1[[#This Row],[High Tol]],"Pass","Fail"),IF(Table1[[#This Row],[DUT Adj Read]]&lt;Table1[[#This Row],[High Tol]],"Pass","Fail")))</f>
        <v>Fail</v>
      </c>
      <c r="AF528" s="1" t="str">
        <f>IF(AND(Table1[[#This Row],[Spec Type2]]="N/A",Table1[[#This Row],[DUT Adj Read]]="N/A",Table1[[#This Row],[Std Adj Read]]="N/A"),"N/A",IF(Table1[[#This Row],[DUT Adj Read]]="N/A",IF(Table1[[#This Row],[Std Adj Read]]&gt;=Table1[[#This Row],[Low Tol]],"Pass","Fail"),IF(Table1[[#This Row],[DUT Adj Read]]&gt;=Table1[[#This Row],[Low Tol]],"Pass","Fail")))</f>
        <v>Pass</v>
      </c>
      <c r="AG528" s="1" t="str">
        <f>IF(AND(Table1[[#This Row],[Spec Type2]]="N/A",Table1[[#This Row],[DUT Adj Read]]="N/A",Table1[[#This Row],[Std Adj Read]]="N/A"),"N/A",IF(Table1[[#This Row],[DUT Adj Read]]="N/A",IF(Table1[[#This Row],[Std Adj Read]]&lt;=Table1[[#This Row],[High Tol]],"Pass","Fail"),IF(Table1[[#This Row],[DUT Adj Read]]&lt;=Table1[[#This Row],[High Tol]],"Pass","Fail")))</f>
        <v>Fail</v>
      </c>
      <c r="AH5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8" s="1" t="b">
        <v>0</v>
      </c>
      <c r="AN528" s="1" t="b">
        <v>0</v>
      </c>
      <c r="AO528" s="1" t="b">
        <v>0</v>
      </c>
    </row>
    <row r="529" spans="1:41" x14ac:dyDescent="0.25">
      <c r="A529" s="10"/>
      <c r="B529" s="10"/>
      <c r="C529" s="10"/>
      <c r="D529" s="10"/>
      <c r="E529" s="10"/>
      <c r="F529" s="10"/>
      <c r="G529" s="10"/>
      <c r="H529" s="10"/>
      <c r="I529" s="1" t="str">
        <f t="shared" si="24"/>
        <v/>
      </c>
      <c r="J529" s="1" t="s">
        <v>35</v>
      </c>
      <c r="K529" s="1" t="str">
        <f t="shared" si="25"/>
        <v/>
      </c>
      <c r="L529" s="1" t="str">
        <f t="shared" si="26"/>
        <v/>
      </c>
      <c r="M529" s="1">
        <f>IF(OR(Table1[[#This Row],[Std Nom]]="",Table1[[#This Row],[Std Read]]=""),0,Table1[[#This Row],[Std Nom]]-Table1[[#This Row],[Std Read]])</f>
        <v>0</v>
      </c>
      <c r="N529" s="1">
        <f>IF(Calculations!$F$5="ACCREDITED 17025 WITH UNCERTAINTIES",$N$10,0)</f>
        <v>0</v>
      </c>
      <c r="O529" s="1" t="str">
        <f>IFERROR(Table1[[#This Row],[Std Nom]]-(_xlfn.XLOOKUP(Table1[[#This Row],[Manufacturer]]&amp;" "&amp;Table1[[#This Row],[Model]],Table13[MFR &amp; MDL],Table13[Tolerance % CW ],"")/100*Table1[[#This Row],[Std Nom]]),"")</f>
        <v/>
      </c>
      <c r="P529" s="1" t="str">
        <f>IFERROR(Table1[[#This Row],[Std Nom]]+(_xlfn.XLOOKUP(Table1[[#This Row],[Manufacturer]]&amp;" "&amp;Table1[[#This Row],[Model]],Table13[MFR &amp; MDL],Table13[Tolerance % CW ],"")/100*Table1[[#This Row],[Std Nom]]),"")</f>
        <v/>
      </c>
      <c r="Q529" s="1" t="e">
        <f>Table1[[#This Row],[High Tol]]-Table1[[#This Row],[Low Tol]]</f>
        <v>#VALUE!</v>
      </c>
      <c r="R529" s="1">
        <f>2*Table1[[#This Row],[Std Error]]</f>
        <v>0</v>
      </c>
      <c r="S529" s="1" t="str">
        <f>IF(Table1[[#This Row],[High Tol]]="","N/A",IFERROR(ABS(Table1[[#This Row],[Tol Span]]/Table1[[#This Row],[Error Span]]),"N/A"))</f>
        <v>N/A</v>
      </c>
      <c r="T529" s="1" t="str">
        <f>IF(OR(Table1[[#This Row],[Low Tol]]="",Table1[[#This Row],[High Tol]]=""),"Needs Analysis",IF(Table1[[#This Row],[Ratio]]&gt;=4,"Not Significant",IF(Table1[[#This Row],[Ratio]]&gt;=2,"Semi-Significant","Significant")))</f>
        <v>Needs Analysis</v>
      </c>
      <c r="W529" s="1">
        <f>IF(Table1[[#This Row],[Cal Type]]&lt;&gt;"ACCREDITED 17025 WITH UNCERTAINTIES",0,"")</f>
        <v>0</v>
      </c>
      <c r="X529" s="1" t="str">
        <f>IF(Table1[[#This Row],[DUT Read]]="","N/A",Table1[[#This Row],[Std Error]]+Table1[[#This Row],[DUT Read]]+Table1[[#This Row],[DUT Ucty]])</f>
        <v>N/A</v>
      </c>
      <c r="Y529" s="1" t="str">
        <f>IF(Table1[[#This Row],[Std Read]]="","N/A",Table1[[#This Row],[Std Read]]+Table1[[#This Row],[Std Ucty]])</f>
        <v>N/A</v>
      </c>
      <c r="Z5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9" s="1" t="str">
        <f>IF(Table1[[#This Row],[Spec Type]]="","N/A",Table1[[#This Row],[Spec Type]])</f>
        <v>±</v>
      </c>
      <c r="AC529" s="1" t="str">
        <f>IF(Table1[[#This Row],[Spec Type2]]="N/A","N/A",IF(AND(Table1[[#This Row],[DUT Adj Read]]&gt;=Table1[[#This Row],[Low Tol]],Table1[[#This Row],[DUT Adj Read]]&lt;=Table1[[#This Row],[High Tol]]),"Pass","Fail"))</f>
        <v>Fail</v>
      </c>
      <c r="AD529" s="1" t="str">
        <f>IF(AND(Table1[[#This Row],[Spec Type2]]="N/A",Table1[[#This Row],[DUT Adj Read]]="N/A",Table1[[#This Row],[Std Adj Read]]="N/A"),"N/A",IF(Table1[[#This Row],[DUT Adj Read]]="N/A",IF(Table1[[#This Row],[Std Adj Read]]&gt;Table1[[#This Row],[Low Tol]],"Pass","Fail"),IF(Table1[[#This Row],[DUT Adj Read]]&gt;Table1[[#This Row],[Low Tol]],"Pass","Fail")))</f>
        <v>Pass</v>
      </c>
      <c r="AE529" s="1" t="str">
        <f>IF(AND(Table1[[#This Row],[Spec Type2]]="N/A",Table1[[#This Row],[DUT Adj Read]]="N/A",Table1[[#This Row],[Std Adj Read]]="N/A"),"N/A",IF(Table1[[#This Row],[DUT Adj Read]]="N/A",IF(Table1[[#This Row],[Std Adj Read]]&lt;Table1[[#This Row],[High Tol]],"Pass","Fail"),IF(Table1[[#This Row],[DUT Adj Read]]&lt;Table1[[#This Row],[High Tol]],"Pass","Fail")))</f>
        <v>Fail</v>
      </c>
      <c r="AF529" s="1" t="str">
        <f>IF(AND(Table1[[#This Row],[Spec Type2]]="N/A",Table1[[#This Row],[DUT Adj Read]]="N/A",Table1[[#This Row],[Std Adj Read]]="N/A"),"N/A",IF(Table1[[#This Row],[DUT Adj Read]]="N/A",IF(Table1[[#This Row],[Std Adj Read]]&gt;=Table1[[#This Row],[Low Tol]],"Pass","Fail"),IF(Table1[[#This Row],[DUT Adj Read]]&gt;=Table1[[#This Row],[Low Tol]],"Pass","Fail")))</f>
        <v>Pass</v>
      </c>
      <c r="AG529" s="1" t="str">
        <f>IF(AND(Table1[[#This Row],[Spec Type2]]="N/A",Table1[[#This Row],[DUT Adj Read]]="N/A",Table1[[#This Row],[Std Adj Read]]="N/A"),"N/A",IF(Table1[[#This Row],[DUT Adj Read]]="N/A",IF(Table1[[#This Row],[Std Adj Read]]&lt;=Table1[[#This Row],[High Tol]],"Pass","Fail"),IF(Table1[[#This Row],[DUT Adj Read]]&lt;=Table1[[#This Row],[High Tol]],"Pass","Fail")))</f>
        <v>Fail</v>
      </c>
      <c r="AH5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9" s="1" t="b">
        <v>0</v>
      </c>
      <c r="AN529" s="1" t="b">
        <v>0</v>
      </c>
      <c r="AO529" s="1" t="b">
        <v>0</v>
      </c>
    </row>
    <row r="530" spans="1:41" x14ac:dyDescent="0.25">
      <c r="A530" s="10"/>
      <c r="B530" s="10"/>
      <c r="C530" s="10"/>
      <c r="D530" s="10"/>
      <c r="E530" s="10"/>
      <c r="F530" s="10"/>
      <c r="G530" s="10"/>
      <c r="H530" s="10"/>
      <c r="I530" s="1" t="str">
        <f t="shared" si="24"/>
        <v/>
      </c>
      <c r="J530" s="1" t="s">
        <v>35</v>
      </c>
      <c r="K530" s="1" t="str">
        <f t="shared" si="25"/>
        <v/>
      </c>
      <c r="L530" s="1" t="str">
        <f t="shared" si="26"/>
        <v/>
      </c>
      <c r="M530" s="1">
        <f>IF(OR(Table1[[#This Row],[Std Nom]]="",Table1[[#This Row],[Std Read]]=""),0,Table1[[#This Row],[Std Nom]]-Table1[[#This Row],[Std Read]])</f>
        <v>0</v>
      </c>
      <c r="N530" s="1">
        <f>IF(Calculations!$F$5="ACCREDITED 17025 WITH UNCERTAINTIES",$N$10,0)</f>
        <v>0</v>
      </c>
      <c r="O530" s="1" t="str">
        <f>IFERROR(Table1[[#This Row],[Std Nom]]-(_xlfn.XLOOKUP(Table1[[#This Row],[Manufacturer]]&amp;" "&amp;Table1[[#This Row],[Model]],Table13[MFR &amp; MDL],Table13[Tolerance % CW ],"")/100*Table1[[#This Row],[Std Nom]]),"")</f>
        <v/>
      </c>
      <c r="P530" s="1" t="str">
        <f>IFERROR(Table1[[#This Row],[Std Nom]]+(_xlfn.XLOOKUP(Table1[[#This Row],[Manufacturer]]&amp;" "&amp;Table1[[#This Row],[Model]],Table13[MFR &amp; MDL],Table13[Tolerance % CW ],"")/100*Table1[[#This Row],[Std Nom]]),"")</f>
        <v/>
      </c>
      <c r="Q530" s="1" t="e">
        <f>Table1[[#This Row],[High Tol]]-Table1[[#This Row],[Low Tol]]</f>
        <v>#VALUE!</v>
      </c>
      <c r="R530" s="1">
        <f>2*Table1[[#This Row],[Std Error]]</f>
        <v>0</v>
      </c>
      <c r="S530" s="1" t="str">
        <f>IF(Table1[[#This Row],[High Tol]]="","N/A",IFERROR(ABS(Table1[[#This Row],[Tol Span]]/Table1[[#This Row],[Error Span]]),"N/A"))</f>
        <v>N/A</v>
      </c>
      <c r="T530" s="1" t="str">
        <f>IF(OR(Table1[[#This Row],[Low Tol]]="",Table1[[#This Row],[High Tol]]=""),"Needs Analysis",IF(Table1[[#This Row],[Ratio]]&gt;=4,"Not Significant",IF(Table1[[#This Row],[Ratio]]&gt;=2,"Semi-Significant","Significant")))</f>
        <v>Needs Analysis</v>
      </c>
      <c r="W530" s="1">
        <f>IF(Table1[[#This Row],[Cal Type]]&lt;&gt;"ACCREDITED 17025 WITH UNCERTAINTIES",0,"")</f>
        <v>0</v>
      </c>
      <c r="X530" s="1" t="str">
        <f>IF(Table1[[#This Row],[DUT Read]]="","N/A",Table1[[#This Row],[Std Error]]+Table1[[#This Row],[DUT Read]]+Table1[[#This Row],[DUT Ucty]])</f>
        <v>N/A</v>
      </c>
      <c r="Y530" s="1" t="str">
        <f>IF(Table1[[#This Row],[Std Read]]="","N/A",Table1[[#This Row],[Std Read]]+Table1[[#This Row],[Std Ucty]])</f>
        <v>N/A</v>
      </c>
      <c r="Z5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0" s="1" t="str">
        <f>IF(Table1[[#This Row],[Spec Type]]="","N/A",Table1[[#This Row],[Spec Type]])</f>
        <v>±</v>
      </c>
      <c r="AC530" s="1" t="str">
        <f>IF(Table1[[#This Row],[Spec Type2]]="N/A","N/A",IF(AND(Table1[[#This Row],[DUT Adj Read]]&gt;=Table1[[#This Row],[Low Tol]],Table1[[#This Row],[DUT Adj Read]]&lt;=Table1[[#This Row],[High Tol]]),"Pass","Fail"))</f>
        <v>Fail</v>
      </c>
      <c r="AD530" s="1" t="str">
        <f>IF(AND(Table1[[#This Row],[Spec Type2]]="N/A",Table1[[#This Row],[DUT Adj Read]]="N/A",Table1[[#This Row],[Std Adj Read]]="N/A"),"N/A",IF(Table1[[#This Row],[DUT Adj Read]]="N/A",IF(Table1[[#This Row],[Std Adj Read]]&gt;Table1[[#This Row],[Low Tol]],"Pass","Fail"),IF(Table1[[#This Row],[DUT Adj Read]]&gt;Table1[[#This Row],[Low Tol]],"Pass","Fail")))</f>
        <v>Pass</v>
      </c>
      <c r="AE530" s="1" t="str">
        <f>IF(AND(Table1[[#This Row],[Spec Type2]]="N/A",Table1[[#This Row],[DUT Adj Read]]="N/A",Table1[[#This Row],[Std Adj Read]]="N/A"),"N/A",IF(Table1[[#This Row],[DUT Adj Read]]="N/A",IF(Table1[[#This Row],[Std Adj Read]]&lt;Table1[[#This Row],[High Tol]],"Pass","Fail"),IF(Table1[[#This Row],[DUT Adj Read]]&lt;Table1[[#This Row],[High Tol]],"Pass","Fail")))</f>
        <v>Fail</v>
      </c>
      <c r="AF530" s="1" t="str">
        <f>IF(AND(Table1[[#This Row],[Spec Type2]]="N/A",Table1[[#This Row],[DUT Adj Read]]="N/A",Table1[[#This Row],[Std Adj Read]]="N/A"),"N/A",IF(Table1[[#This Row],[DUT Adj Read]]="N/A",IF(Table1[[#This Row],[Std Adj Read]]&gt;=Table1[[#This Row],[Low Tol]],"Pass","Fail"),IF(Table1[[#This Row],[DUT Adj Read]]&gt;=Table1[[#This Row],[Low Tol]],"Pass","Fail")))</f>
        <v>Pass</v>
      </c>
      <c r="AG530" s="1" t="str">
        <f>IF(AND(Table1[[#This Row],[Spec Type2]]="N/A",Table1[[#This Row],[DUT Adj Read]]="N/A",Table1[[#This Row],[Std Adj Read]]="N/A"),"N/A",IF(Table1[[#This Row],[DUT Adj Read]]="N/A",IF(Table1[[#This Row],[Std Adj Read]]&lt;=Table1[[#This Row],[High Tol]],"Pass","Fail"),IF(Table1[[#This Row],[DUT Adj Read]]&lt;=Table1[[#This Row],[High Tol]],"Pass","Fail")))</f>
        <v>Fail</v>
      </c>
      <c r="AH5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0" s="1" t="b">
        <v>0</v>
      </c>
      <c r="AN530" s="1" t="b">
        <v>0</v>
      </c>
      <c r="AO530" s="1" t="b">
        <v>0</v>
      </c>
    </row>
    <row r="531" spans="1:41" x14ac:dyDescent="0.25">
      <c r="A531" s="10"/>
      <c r="B531" s="10"/>
      <c r="C531" s="10"/>
      <c r="D531" s="10"/>
      <c r="E531" s="10"/>
      <c r="F531" s="10"/>
      <c r="G531" s="10"/>
      <c r="H531" s="10"/>
      <c r="I531" s="1" t="str">
        <f t="shared" si="24"/>
        <v/>
      </c>
      <c r="J531" s="1" t="s">
        <v>35</v>
      </c>
      <c r="K531" s="1" t="str">
        <f t="shared" si="25"/>
        <v/>
      </c>
      <c r="L531" s="1" t="str">
        <f t="shared" si="26"/>
        <v/>
      </c>
      <c r="M531" s="1">
        <f>IF(OR(Table1[[#This Row],[Std Nom]]="",Table1[[#This Row],[Std Read]]=""),0,Table1[[#This Row],[Std Nom]]-Table1[[#This Row],[Std Read]])</f>
        <v>0</v>
      </c>
      <c r="N531" s="1">
        <f>IF(Calculations!$F$5="ACCREDITED 17025 WITH UNCERTAINTIES",$N$10,0)</f>
        <v>0</v>
      </c>
      <c r="O531" s="1" t="str">
        <f>IFERROR(Table1[[#This Row],[Std Nom]]-(_xlfn.XLOOKUP(Table1[[#This Row],[Manufacturer]]&amp;" "&amp;Table1[[#This Row],[Model]],Table13[MFR &amp; MDL],Table13[Tolerance % CW ],"")/100*Table1[[#This Row],[Std Nom]]),"")</f>
        <v/>
      </c>
      <c r="P531" s="1" t="str">
        <f>IFERROR(Table1[[#This Row],[Std Nom]]+(_xlfn.XLOOKUP(Table1[[#This Row],[Manufacturer]]&amp;" "&amp;Table1[[#This Row],[Model]],Table13[MFR &amp; MDL],Table13[Tolerance % CW ],"")/100*Table1[[#This Row],[Std Nom]]),"")</f>
        <v/>
      </c>
      <c r="Q531" s="1" t="e">
        <f>Table1[[#This Row],[High Tol]]-Table1[[#This Row],[Low Tol]]</f>
        <v>#VALUE!</v>
      </c>
      <c r="R531" s="1">
        <f>2*Table1[[#This Row],[Std Error]]</f>
        <v>0</v>
      </c>
      <c r="S531" s="1" t="str">
        <f>IF(Table1[[#This Row],[High Tol]]="","N/A",IFERROR(ABS(Table1[[#This Row],[Tol Span]]/Table1[[#This Row],[Error Span]]),"N/A"))</f>
        <v>N/A</v>
      </c>
      <c r="T531" s="1" t="str">
        <f>IF(OR(Table1[[#This Row],[Low Tol]]="",Table1[[#This Row],[High Tol]]=""),"Needs Analysis",IF(Table1[[#This Row],[Ratio]]&gt;=4,"Not Significant",IF(Table1[[#This Row],[Ratio]]&gt;=2,"Semi-Significant","Significant")))</f>
        <v>Needs Analysis</v>
      </c>
      <c r="W531" s="1">
        <f>IF(Table1[[#This Row],[Cal Type]]&lt;&gt;"ACCREDITED 17025 WITH UNCERTAINTIES",0,"")</f>
        <v>0</v>
      </c>
      <c r="X531" s="1" t="str">
        <f>IF(Table1[[#This Row],[DUT Read]]="","N/A",Table1[[#This Row],[Std Error]]+Table1[[#This Row],[DUT Read]]+Table1[[#This Row],[DUT Ucty]])</f>
        <v>N/A</v>
      </c>
      <c r="Y531" s="1" t="str">
        <f>IF(Table1[[#This Row],[Std Read]]="","N/A",Table1[[#This Row],[Std Read]]+Table1[[#This Row],[Std Ucty]])</f>
        <v>N/A</v>
      </c>
      <c r="Z5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1" s="1" t="str">
        <f>IF(Table1[[#This Row],[Spec Type]]="","N/A",Table1[[#This Row],[Spec Type]])</f>
        <v>±</v>
      </c>
      <c r="AC531" s="1" t="str">
        <f>IF(Table1[[#This Row],[Spec Type2]]="N/A","N/A",IF(AND(Table1[[#This Row],[DUT Adj Read]]&gt;=Table1[[#This Row],[Low Tol]],Table1[[#This Row],[DUT Adj Read]]&lt;=Table1[[#This Row],[High Tol]]),"Pass","Fail"))</f>
        <v>Fail</v>
      </c>
      <c r="AD531" s="1" t="str">
        <f>IF(AND(Table1[[#This Row],[Spec Type2]]="N/A",Table1[[#This Row],[DUT Adj Read]]="N/A",Table1[[#This Row],[Std Adj Read]]="N/A"),"N/A",IF(Table1[[#This Row],[DUT Adj Read]]="N/A",IF(Table1[[#This Row],[Std Adj Read]]&gt;Table1[[#This Row],[Low Tol]],"Pass","Fail"),IF(Table1[[#This Row],[DUT Adj Read]]&gt;Table1[[#This Row],[Low Tol]],"Pass","Fail")))</f>
        <v>Pass</v>
      </c>
      <c r="AE531" s="1" t="str">
        <f>IF(AND(Table1[[#This Row],[Spec Type2]]="N/A",Table1[[#This Row],[DUT Adj Read]]="N/A",Table1[[#This Row],[Std Adj Read]]="N/A"),"N/A",IF(Table1[[#This Row],[DUT Adj Read]]="N/A",IF(Table1[[#This Row],[Std Adj Read]]&lt;Table1[[#This Row],[High Tol]],"Pass","Fail"),IF(Table1[[#This Row],[DUT Adj Read]]&lt;Table1[[#This Row],[High Tol]],"Pass","Fail")))</f>
        <v>Fail</v>
      </c>
      <c r="AF531" s="1" t="str">
        <f>IF(AND(Table1[[#This Row],[Spec Type2]]="N/A",Table1[[#This Row],[DUT Adj Read]]="N/A",Table1[[#This Row],[Std Adj Read]]="N/A"),"N/A",IF(Table1[[#This Row],[DUT Adj Read]]="N/A",IF(Table1[[#This Row],[Std Adj Read]]&gt;=Table1[[#This Row],[Low Tol]],"Pass","Fail"),IF(Table1[[#This Row],[DUT Adj Read]]&gt;=Table1[[#This Row],[Low Tol]],"Pass","Fail")))</f>
        <v>Pass</v>
      </c>
      <c r="AG531" s="1" t="str">
        <f>IF(AND(Table1[[#This Row],[Spec Type2]]="N/A",Table1[[#This Row],[DUT Adj Read]]="N/A",Table1[[#This Row],[Std Adj Read]]="N/A"),"N/A",IF(Table1[[#This Row],[DUT Adj Read]]="N/A",IF(Table1[[#This Row],[Std Adj Read]]&lt;=Table1[[#This Row],[High Tol]],"Pass","Fail"),IF(Table1[[#This Row],[DUT Adj Read]]&lt;=Table1[[#This Row],[High Tol]],"Pass","Fail")))</f>
        <v>Fail</v>
      </c>
      <c r="AH5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1" s="1" t="b">
        <v>0</v>
      </c>
      <c r="AN531" s="1" t="b">
        <v>0</v>
      </c>
      <c r="AO531" s="1" t="b">
        <v>0</v>
      </c>
    </row>
    <row r="532" spans="1:41" x14ac:dyDescent="0.25">
      <c r="A532" s="10"/>
      <c r="B532" s="10"/>
      <c r="C532" s="10"/>
      <c r="D532" s="10"/>
      <c r="E532" s="10"/>
      <c r="F532" s="10"/>
      <c r="G532" s="10"/>
      <c r="H532" s="10"/>
      <c r="I532" s="1" t="str">
        <f t="shared" si="24"/>
        <v/>
      </c>
      <c r="J532" s="1" t="s">
        <v>35</v>
      </c>
      <c r="K532" s="1" t="str">
        <f t="shared" si="25"/>
        <v/>
      </c>
      <c r="L532" s="1" t="str">
        <f t="shared" si="26"/>
        <v/>
      </c>
      <c r="M532" s="1">
        <f>IF(OR(Table1[[#This Row],[Std Nom]]="",Table1[[#This Row],[Std Read]]=""),0,Table1[[#This Row],[Std Nom]]-Table1[[#This Row],[Std Read]])</f>
        <v>0</v>
      </c>
      <c r="N532" s="1">
        <f>IF(Calculations!$F$5="ACCREDITED 17025 WITH UNCERTAINTIES",$N$10,0)</f>
        <v>0</v>
      </c>
      <c r="O532" s="1" t="str">
        <f>IFERROR(Table1[[#This Row],[Std Nom]]-(_xlfn.XLOOKUP(Table1[[#This Row],[Manufacturer]]&amp;" "&amp;Table1[[#This Row],[Model]],Table13[MFR &amp; MDL],Table13[Tolerance % CW ],"")/100*Table1[[#This Row],[Std Nom]]),"")</f>
        <v/>
      </c>
      <c r="P532" s="1" t="str">
        <f>IFERROR(Table1[[#This Row],[Std Nom]]+(_xlfn.XLOOKUP(Table1[[#This Row],[Manufacturer]]&amp;" "&amp;Table1[[#This Row],[Model]],Table13[MFR &amp; MDL],Table13[Tolerance % CW ],"")/100*Table1[[#This Row],[Std Nom]]),"")</f>
        <v/>
      </c>
      <c r="Q532" s="1" t="e">
        <f>Table1[[#This Row],[High Tol]]-Table1[[#This Row],[Low Tol]]</f>
        <v>#VALUE!</v>
      </c>
      <c r="R532" s="1">
        <f>2*Table1[[#This Row],[Std Error]]</f>
        <v>0</v>
      </c>
      <c r="S532" s="1" t="str">
        <f>IF(Table1[[#This Row],[High Tol]]="","N/A",IFERROR(ABS(Table1[[#This Row],[Tol Span]]/Table1[[#This Row],[Error Span]]),"N/A"))</f>
        <v>N/A</v>
      </c>
      <c r="T532" s="1" t="str">
        <f>IF(OR(Table1[[#This Row],[Low Tol]]="",Table1[[#This Row],[High Tol]]=""),"Needs Analysis",IF(Table1[[#This Row],[Ratio]]&gt;=4,"Not Significant",IF(Table1[[#This Row],[Ratio]]&gt;=2,"Semi-Significant","Significant")))</f>
        <v>Needs Analysis</v>
      </c>
      <c r="W532" s="1">
        <f>IF(Table1[[#This Row],[Cal Type]]&lt;&gt;"ACCREDITED 17025 WITH UNCERTAINTIES",0,"")</f>
        <v>0</v>
      </c>
      <c r="X532" s="1" t="str">
        <f>IF(Table1[[#This Row],[DUT Read]]="","N/A",Table1[[#This Row],[Std Error]]+Table1[[#This Row],[DUT Read]]+Table1[[#This Row],[DUT Ucty]])</f>
        <v>N/A</v>
      </c>
      <c r="Y532" s="1" t="str">
        <f>IF(Table1[[#This Row],[Std Read]]="","N/A",Table1[[#This Row],[Std Read]]+Table1[[#This Row],[Std Ucty]])</f>
        <v>N/A</v>
      </c>
      <c r="Z5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2" s="1" t="str">
        <f>IF(Table1[[#This Row],[Spec Type]]="","N/A",Table1[[#This Row],[Spec Type]])</f>
        <v>±</v>
      </c>
      <c r="AC532" s="1" t="str">
        <f>IF(Table1[[#This Row],[Spec Type2]]="N/A","N/A",IF(AND(Table1[[#This Row],[DUT Adj Read]]&gt;=Table1[[#This Row],[Low Tol]],Table1[[#This Row],[DUT Adj Read]]&lt;=Table1[[#This Row],[High Tol]]),"Pass","Fail"))</f>
        <v>Fail</v>
      </c>
      <c r="AD532" s="1" t="str">
        <f>IF(AND(Table1[[#This Row],[Spec Type2]]="N/A",Table1[[#This Row],[DUT Adj Read]]="N/A",Table1[[#This Row],[Std Adj Read]]="N/A"),"N/A",IF(Table1[[#This Row],[DUT Adj Read]]="N/A",IF(Table1[[#This Row],[Std Adj Read]]&gt;Table1[[#This Row],[Low Tol]],"Pass","Fail"),IF(Table1[[#This Row],[DUT Adj Read]]&gt;Table1[[#This Row],[Low Tol]],"Pass","Fail")))</f>
        <v>Pass</v>
      </c>
      <c r="AE532" s="1" t="str">
        <f>IF(AND(Table1[[#This Row],[Spec Type2]]="N/A",Table1[[#This Row],[DUT Adj Read]]="N/A",Table1[[#This Row],[Std Adj Read]]="N/A"),"N/A",IF(Table1[[#This Row],[DUT Adj Read]]="N/A",IF(Table1[[#This Row],[Std Adj Read]]&lt;Table1[[#This Row],[High Tol]],"Pass","Fail"),IF(Table1[[#This Row],[DUT Adj Read]]&lt;Table1[[#This Row],[High Tol]],"Pass","Fail")))</f>
        <v>Fail</v>
      </c>
      <c r="AF532" s="1" t="str">
        <f>IF(AND(Table1[[#This Row],[Spec Type2]]="N/A",Table1[[#This Row],[DUT Adj Read]]="N/A",Table1[[#This Row],[Std Adj Read]]="N/A"),"N/A",IF(Table1[[#This Row],[DUT Adj Read]]="N/A",IF(Table1[[#This Row],[Std Adj Read]]&gt;=Table1[[#This Row],[Low Tol]],"Pass","Fail"),IF(Table1[[#This Row],[DUT Adj Read]]&gt;=Table1[[#This Row],[Low Tol]],"Pass","Fail")))</f>
        <v>Pass</v>
      </c>
      <c r="AG532" s="1" t="str">
        <f>IF(AND(Table1[[#This Row],[Spec Type2]]="N/A",Table1[[#This Row],[DUT Adj Read]]="N/A",Table1[[#This Row],[Std Adj Read]]="N/A"),"N/A",IF(Table1[[#This Row],[DUT Adj Read]]="N/A",IF(Table1[[#This Row],[Std Adj Read]]&lt;=Table1[[#This Row],[High Tol]],"Pass","Fail"),IF(Table1[[#This Row],[DUT Adj Read]]&lt;=Table1[[#This Row],[High Tol]],"Pass","Fail")))</f>
        <v>Fail</v>
      </c>
      <c r="AH5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2" s="1" t="b">
        <v>0</v>
      </c>
      <c r="AN532" s="1" t="b">
        <v>0</v>
      </c>
      <c r="AO532" s="1" t="b">
        <v>0</v>
      </c>
    </row>
    <row r="533" spans="1:41" x14ac:dyDescent="0.25">
      <c r="A533" s="10"/>
      <c r="B533" s="10"/>
      <c r="C533" s="10"/>
      <c r="D533" s="10"/>
      <c r="E533" s="10"/>
      <c r="F533" s="10"/>
      <c r="G533" s="10"/>
      <c r="H533" s="10"/>
      <c r="I533" s="1" t="str">
        <f t="shared" si="24"/>
        <v/>
      </c>
      <c r="J533" s="1" t="s">
        <v>35</v>
      </c>
      <c r="K533" s="1" t="str">
        <f t="shared" si="25"/>
        <v/>
      </c>
      <c r="L533" s="1" t="str">
        <f t="shared" si="26"/>
        <v/>
      </c>
      <c r="M533" s="1">
        <f>IF(OR(Table1[[#This Row],[Std Nom]]="",Table1[[#This Row],[Std Read]]=""),0,Table1[[#This Row],[Std Nom]]-Table1[[#This Row],[Std Read]])</f>
        <v>0</v>
      </c>
      <c r="N533" s="1">
        <f>IF(Calculations!$F$5="ACCREDITED 17025 WITH UNCERTAINTIES",$N$10,0)</f>
        <v>0</v>
      </c>
      <c r="O533" s="1" t="str">
        <f>IFERROR(Table1[[#This Row],[Std Nom]]-(_xlfn.XLOOKUP(Table1[[#This Row],[Manufacturer]]&amp;" "&amp;Table1[[#This Row],[Model]],Table13[MFR &amp; MDL],Table13[Tolerance % CW ],"")/100*Table1[[#This Row],[Std Nom]]),"")</f>
        <v/>
      </c>
      <c r="P533" s="1" t="str">
        <f>IFERROR(Table1[[#This Row],[Std Nom]]+(_xlfn.XLOOKUP(Table1[[#This Row],[Manufacturer]]&amp;" "&amp;Table1[[#This Row],[Model]],Table13[MFR &amp; MDL],Table13[Tolerance % CW ],"")/100*Table1[[#This Row],[Std Nom]]),"")</f>
        <v/>
      </c>
      <c r="Q533" s="1" t="e">
        <f>Table1[[#This Row],[High Tol]]-Table1[[#This Row],[Low Tol]]</f>
        <v>#VALUE!</v>
      </c>
      <c r="R533" s="1">
        <f>2*Table1[[#This Row],[Std Error]]</f>
        <v>0</v>
      </c>
      <c r="S533" s="1" t="str">
        <f>IF(Table1[[#This Row],[High Tol]]="","N/A",IFERROR(ABS(Table1[[#This Row],[Tol Span]]/Table1[[#This Row],[Error Span]]),"N/A"))</f>
        <v>N/A</v>
      </c>
      <c r="T533" s="1" t="str">
        <f>IF(OR(Table1[[#This Row],[Low Tol]]="",Table1[[#This Row],[High Tol]]=""),"Needs Analysis",IF(Table1[[#This Row],[Ratio]]&gt;=4,"Not Significant",IF(Table1[[#This Row],[Ratio]]&gt;=2,"Semi-Significant","Significant")))</f>
        <v>Needs Analysis</v>
      </c>
      <c r="W533" s="1">
        <f>IF(Table1[[#This Row],[Cal Type]]&lt;&gt;"ACCREDITED 17025 WITH UNCERTAINTIES",0,"")</f>
        <v>0</v>
      </c>
      <c r="X533" s="1" t="str">
        <f>IF(Table1[[#This Row],[DUT Read]]="","N/A",Table1[[#This Row],[Std Error]]+Table1[[#This Row],[DUT Read]]+Table1[[#This Row],[DUT Ucty]])</f>
        <v>N/A</v>
      </c>
      <c r="Y533" s="1" t="str">
        <f>IF(Table1[[#This Row],[Std Read]]="","N/A",Table1[[#This Row],[Std Read]]+Table1[[#This Row],[Std Ucty]])</f>
        <v>N/A</v>
      </c>
      <c r="Z5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3" s="1" t="str">
        <f>IF(Table1[[#This Row],[Spec Type]]="","N/A",Table1[[#This Row],[Spec Type]])</f>
        <v>±</v>
      </c>
      <c r="AC533" s="1" t="str">
        <f>IF(Table1[[#This Row],[Spec Type2]]="N/A","N/A",IF(AND(Table1[[#This Row],[DUT Adj Read]]&gt;=Table1[[#This Row],[Low Tol]],Table1[[#This Row],[DUT Adj Read]]&lt;=Table1[[#This Row],[High Tol]]),"Pass","Fail"))</f>
        <v>Fail</v>
      </c>
      <c r="AD533" s="1" t="str">
        <f>IF(AND(Table1[[#This Row],[Spec Type2]]="N/A",Table1[[#This Row],[DUT Adj Read]]="N/A",Table1[[#This Row],[Std Adj Read]]="N/A"),"N/A",IF(Table1[[#This Row],[DUT Adj Read]]="N/A",IF(Table1[[#This Row],[Std Adj Read]]&gt;Table1[[#This Row],[Low Tol]],"Pass","Fail"),IF(Table1[[#This Row],[DUT Adj Read]]&gt;Table1[[#This Row],[Low Tol]],"Pass","Fail")))</f>
        <v>Pass</v>
      </c>
      <c r="AE533" s="1" t="str">
        <f>IF(AND(Table1[[#This Row],[Spec Type2]]="N/A",Table1[[#This Row],[DUT Adj Read]]="N/A",Table1[[#This Row],[Std Adj Read]]="N/A"),"N/A",IF(Table1[[#This Row],[DUT Adj Read]]="N/A",IF(Table1[[#This Row],[Std Adj Read]]&lt;Table1[[#This Row],[High Tol]],"Pass","Fail"),IF(Table1[[#This Row],[DUT Adj Read]]&lt;Table1[[#This Row],[High Tol]],"Pass","Fail")))</f>
        <v>Fail</v>
      </c>
      <c r="AF533" s="1" t="str">
        <f>IF(AND(Table1[[#This Row],[Spec Type2]]="N/A",Table1[[#This Row],[DUT Adj Read]]="N/A",Table1[[#This Row],[Std Adj Read]]="N/A"),"N/A",IF(Table1[[#This Row],[DUT Adj Read]]="N/A",IF(Table1[[#This Row],[Std Adj Read]]&gt;=Table1[[#This Row],[Low Tol]],"Pass","Fail"),IF(Table1[[#This Row],[DUT Adj Read]]&gt;=Table1[[#This Row],[Low Tol]],"Pass","Fail")))</f>
        <v>Pass</v>
      </c>
      <c r="AG533" s="1" t="str">
        <f>IF(AND(Table1[[#This Row],[Spec Type2]]="N/A",Table1[[#This Row],[DUT Adj Read]]="N/A",Table1[[#This Row],[Std Adj Read]]="N/A"),"N/A",IF(Table1[[#This Row],[DUT Adj Read]]="N/A",IF(Table1[[#This Row],[Std Adj Read]]&lt;=Table1[[#This Row],[High Tol]],"Pass","Fail"),IF(Table1[[#This Row],[DUT Adj Read]]&lt;=Table1[[#This Row],[High Tol]],"Pass","Fail")))</f>
        <v>Fail</v>
      </c>
      <c r="AH5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3" s="1" t="b">
        <v>0</v>
      </c>
      <c r="AN533" s="1" t="b">
        <v>0</v>
      </c>
      <c r="AO533" s="1" t="b">
        <v>0</v>
      </c>
    </row>
    <row r="534" spans="1:41" x14ac:dyDescent="0.25">
      <c r="A534" s="10"/>
      <c r="B534" s="10"/>
      <c r="C534" s="10"/>
      <c r="D534" s="10"/>
      <c r="E534" s="10"/>
      <c r="F534" s="10"/>
      <c r="G534" s="10"/>
      <c r="H534" s="10"/>
      <c r="I534" s="1" t="str">
        <f t="shared" si="24"/>
        <v/>
      </c>
      <c r="J534" s="1" t="s">
        <v>35</v>
      </c>
      <c r="K534" s="1" t="str">
        <f t="shared" si="25"/>
        <v/>
      </c>
      <c r="L534" s="1" t="str">
        <f t="shared" si="26"/>
        <v/>
      </c>
      <c r="M534" s="1">
        <f>IF(OR(Table1[[#This Row],[Std Nom]]="",Table1[[#This Row],[Std Read]]=""),0,Table1[[#This Row],[Std Nom]]-Table1[[#This Row],[Std Read]])</f>
        <v>0</v>
      </c>
      <c r="N534" s="1">
        <f>IF(Calculations!$F$5="ACCREDITED 17025 WITH UNCERTAINTIES",$N$10,0)</f>
        <v>0</v>
      </c>
      <c r="O534" s="1" t="str">
        <f>IFERROR(Table1[[#This Row],[Std Nom]]-(_xlfn.XLOOKUP(Table1[[#This Row],[Manufacturer]]&amp;" "&amp;Table1[[#This Row],[Model]],Table13[MFR &amp; MDL],Table13[Tolerance % CW ],"")/100*Table1[[#This Row],[Std Nom]]),"")</f>
        <v/>
      </c>
      <c r="P534" s="1" t="str">
        <f>IFERROR(Table1[[#This Row],[Std Nom]]+(_xlfn.XLOOKUP(Table1[[#This Row],[Manufacturer]]&amp;" "&amp;Table1[[#This Row],[Model]],Table13[MFR &amp; MDL],Table13[Tolerance % CW ],"")/100*Table1[[#This Row],[Std Nom]]),"")</f>
        <v/>
      </c>
      <c r="Q534" s="1" t="e">
        <f>Table1[[#This Row],[High Tol]]-Table1[[#This Row],[Low Tol]]</f>
        <v>#VALUE!</v>
      </c>
      <c r="R534" s="1">
        <f>2*Table1[[#This Row],[Std Error]]</f>
        <v>0</v>
      </c>
      <c r="S534" s="1" t="str">
        <f>IF(Table1[[#This Row],[High Tol]]="","N/A",IFERROR(ABS(Table1[[#This Row],[Tol Span]]/Table1[[#This Row],[Error Span]]),"N/A"))</f>
        <v>N/A</v>
      </c>
      <c r="T534" s="1" t="str">
        <f>IF(OR(Table1[[#This Row],[Low Tol]]="",Table1[[#This Row],[High Tol]]=""),"Needs Analysis",IF(Table1[[#This Row],[Ratio]]&gt;=4,"Not Significant",IF(Table1[[#This Row],[Ratio]]&gt;=2,"Semi-Significant","Significant")))</f>
        <v>Needs Analysis</v>
      </c>
      <c r="W534" s="1">
        <f>IF(Table1[[#This Row],[Cal Type]]&lt;&gt;"ACCREDITED 17025 WITH UNCERTAINTIES",0,"")</f>
        <v>0</v>
      </c>
      <c r="X534" s="1" t="str">
        <f>IF(Table1[[#This Row],[DUT Read]]="","N/A",Table1[[#This Row],[Std Error]]+Table1[[#This Row],[DUT Read]]+Table1[[#This Row],[DUT Ucty]])</f>
        <v>N/A</v>
      </c>
      <c r="Y534" s="1" t="str">
        <f>IF(Table1[[#This Row],[Std Read]]="","N/A",Table1[[#This Row],[Std Read]]+Table1[[#This Row],[Std Ucty]])</f>
        <v>N/A</v>
      </c>
      <c r="Z5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4" s="1" t="str">
        <f>IF(Table1[[#This Row],[Spec Type]]="","N/A",Table1[[#This Row],[Spec Type]])</f>
        <v>±</v>
      </c>
      <c r="AC534" s="1" t="str">
        <f>IF(Table1[[#This Row],[Spec Type2]]="N/A","N/A",IF(AND(Table1[[#This Row],[DUT Adj Read]]&gt;=Table1[[#This Row],[Low Tol]],Table1[[#This Row],[DUT Adj Read]]&lt;=Table1[[#This Row],[High Tol]]),"Pass","Fail"))</f>
        <v>Fail</v>
      </c>
      <c r="AD534" s="1" t="str">
        <f>IF(AND(Table1[[#This Row],[Spec Type2]]="N/A",Table1[[#This Row],[DUT Adj Read]]="N/A",Table1[[#This Row],[Std Adj Read]]="N/A"),"N/A",IF(Table1[[#This Row],[DUT Adj Read]]="N/A",IF(Table1[[#This Row],[Std Adj Read]]&gt;Table1[[#This Row],[Low Tol]],"Pass","Fail"),IF(Table1[[#This Row],[DUT Adj Read]]&gt;Table1[[#This Row],[Low Tol]],"Pass","Fail")))</f>
        <v>Pass</v>
      </c>
      <c r="AE534" s="1" t="str">
        <f>IF(AND(Table1[[#This Row],[Spec Type2]]="N/A",Table1[[#This Row],[DUT Adj Read]]="N/A",Table1[[#This Row],[Std Adj Read]]="N/A"),"N/A",IF(Table1[[#This Row],[DUT Adj Read]]="N/A",IF(Table1[[#This Row],[Std Adj Read]]&lt;Table1[[#This Row],[High Tol]],"Pass","Fail"),IF(Table1[[#This Row],[DUT Adj Read]]&lt;Table1[[#This Row],[High Tol]],"Pass","Fail")))</f>
        <v>Fail</v>
      </c>
      <c r="AF534" s="1" t="str">
        <f>IF(AND(Table1[[#This Row],[Spec Type2]]="N/A",Table1[[#This Row],[DUT Adj Read]]="N/A",Table1[[#This Row],[Std Adj Read]]="N/A"),"N/A",IF(Table1[[#This Row],[DUT Adj Read]]="N/A",IF(Table1[[#This Row],[Std Adj Read]]&gt;=Table1[[#This Row],[Low Tol]],"Pass","Fail"),IF(Table1[[#This Row],[DUT Adj Read]]&gt;=Table1[[#This Row],[Low Tol]],"Pass","Fail")))</f>
        <v>Pass</v>
      </c>
      <c r="AG534" s="1" t="str">
        <f>IF(AND(Table1[[#This Row],[Spec Type2]]="N/A",Table1[[#This Row],[DUT Adj Read]]="N/A",Table1[[#This Row],[Std Adj Read]]="N/A"),"N/A",IF(Table1[[#This Row],[DUT Adj Read]]="N/A",IF(Table1[[#This Row],[Std Adj Read]]&lt;=Table1[[#This Row],[High Tol]],"Pass","Fail"),IF(Table1[[#This Row],[DUT Adj Read]]&lt;=Table1[[#This Row],[High Tol]],"Pass","Fail")))</f>
        <v>Fail</v>
      </c>
      <c r="AH5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4" s="1" t="b">
        <v>0</v>
      </c>
      <c r="AN534" s="1" t="b">
        <v>0</v>
      </c>
      <c r="AO534" s="1" t="b">
        <v>0</v>
      </c>
    </row>
    <row r="535" spans="1:41" x14ac:dyDescent="0.25">
      <c r="A535" s="10"/>
      <c r="B535" s="10"/>
      <c r="C535" s="10"/>
      <c r="D535" s="10"/>
      <c r="E535" s="10"/>
      <c r="F535" s="10"/>
      <c r="G535" s="10"/>
      <c r="H535" s="10"/>
      <c r="I535" s="1" t="str">
        <f t="shared" si="24"/>
        <v/>
      </c>
      <c r="J535" s="1" t="s">
        <v>35</v>
      </c>
      <c r="K535" s="1" t="str">
        <f t="shared" si="25"/>
        <v/>
      </c>
      <c r="L535" s="1" t="str">
        <f t="shared" si="26"/>
        <v/>
      </c>
      <c r="M535" s="1">
        <f>IF(OR(Table1[[#This Row],[Std Nom]]="",Table1[[#This Row],[Std Read]]=""),0,Table1[[#This Row],[Std Nom]]-Table1[[#This Row],[Std Read]])</f>
        <v>0</v>
      </c>
      <c r="N535" s="1">
        <f>IF(Calculations!$F$5="ACCREDITED 17025 WITH UNCERTAINTIES",$N$10,0)</f>
        <v>0</v>
      </c>
      <c r="O535" s="1" t="str">
        <f>IFERROR(Table1[[#This Row],[Std Nom]]-(_xlfn.XLOOKUP(Table1[[#This Row],[Manufacturer]]&amp;" "&amp;Table1[[#This Row],[Model]],Table13[MFR &amp; MDL],Table13[Tolerance % CW ],"")/100*Table1[[#This Row],[Std Nom]]),"")</f>
        <v/>
      </c>
      <c r="P535" s="1" t="str">
        <f>IFERROR(Table1[[#This Row],[Std Nom]]+(_xlfn.XLOOKUP(Table1[[#This Row],[Manufacturer]]&amp;" "&amp;Table1[[#This Row],[Model]],Table13[MFR &amp; MDL],Table13[Tolerance % CW ],"")/100*Table1[[#This Row],[Std Nom]]),"")</f>
        <v/>
      </c>
      <c r="Q535" s="1" t="e">
        <f>Table1[[#This Row],[High Tol]]-Table1[[#This Row],[Low Tol]]</f>
        <v>#VALUE!</v>
      </c>
      <c r="R535" s="1">
        <f>2*Table1[[#This Row],[Std Error]]</f>
        <v>0</v>
      </c>
      <c r="S535" s="1" t="str">
        <f>IF(Table1[[#This Row],[High Tol]]="","N/A",IFERROR(ABS(Table1[[#This Row],[Tol Span]]/Table1[[#This Row],[Error Span]]),"N/A"))</f>
        <v>N/A</v>
      </c>
      <c r="T535" s="1" t="str">
        <f>IF(OR(Table1[[#This Row],[Low Tol]]="",Table1[[#This Row],[High Tol]]=""),"Needs Analysis",IF(Table1[[#This Row],[Ratio]]&gt;=4,"Not Significant",IF(Table1[[#This Row],[Ratio]]&gt;=2,"Semi-Significant","Significant")))</f>
        <v>Needs Analysis</v>
      </c>
      <c r="W535" s="1">
        <f>IF(Table1[[#This Row],[Cal Type]]&lt;&gt;"ACCREDITED 17025 WITH UNCERTAINTIES",0,"")</f>
        <v>0</v>
      </c>
      <c r="X535" s="1" t="str">
        <f>IF(Table1[[#This Row],[DUT Read]]="","N/A",Table1[[#This Row],[Std Error]]+Table1[[#This Row],[DUT Read]]+Table1[[#This Row],[DUT Ucty]])</f>
        <v>N/A</v>
      </c>
      <c r="Y535" s="1" t="str">
        <f>IF(Table1[[#This Row],[Std Read]]="","N/A",Table1[[#This Row],[Std Read]]+Table1[[#This Row],[Std Ucty]])</f>
        <v>N/A</v>
      </c>
      <c r="Z5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5" s="1" t="str">
        <f>IF(Table1[[#This Row],[Spec Type]]="","N/A",Table1[[#This Row],[Spec Type]])</f>
        <v>±</v>
      </c>
      <c r="AC535" s="1" t="str">
        <f>IF(Table1[[#This Row],[Spec Type2]]="N/A","N/A",IF(AND(Table1[[#This Row],[DUT Adj Read]]&gt;=Table1[[#This Row],[Low Tol]],Table1[[#This Row],[DUT Adj Read]]&lt;=Table1[[#This Row],[High Tol]]),"Pass","Fail"))</f>
        <v>Fail</v>
      </c>
      <c r="AD535" s="1" t="str">
        <f>IF(AND(Table1[[#This Row],[Spec Type2]]="N/A",Table1[[#This Row],[DUT Adj Read]]="N/A",Table1[[#This Row],[Std Adj Read]]="N/A"),"N/A",IF(Table1[[#This Row],[DUT Adj Read]]="N/A",IF(Table1[[#This Row],[Std Adj Read]]&gt;Table1[[#This Row],[Low Tol]],"Pass","Fail"),IF(Table1[[#This Row],[DUT Adj Read]]&gt;Table1[[#This Row],[Low Tol]],"Pass","Fail")))</f>
        <v>Pass</v>
      </c>
      <c r="AE535" s="1" t="str">
        <f>IF(AND(Table1[[#This Row],[Spec Type2]]="N/A",Table1[[#This Row],[DUT Adj Read]]="N/A",Table1[[#This Row],[Std Adj Read]]="N/A"),"N/A",IF(Table1[[#This Row],[DUT Adj Read]]="N/A",IF(Table1[[#This Row],[Std Adj Read]]&lt;Table1[[#This Row],[High Tol]],"Pass","Fail"),IF(Table1[[#This Row],[DUT Adj Read]]&lt;Table1[[#This Row],[High Tol]],"Pass","Fail")))</f>
        <v>Fail</v>
      </c>
      <c r="AF535" s="1" t="str">
        <f>IF(AND(Table1[[#This Row],[Spec Type2]]="N/A",Table1[[#This Row],[DUT Adj Read]]="N/A",Table1[[#This Row],[Std Adj Read]]="N/A"),"N/A",IF(Table1[[#This Row],[DUT Adj Read]]="N/A",IF(Table1[[#This Row],[Std Adj Read]]&gt;=Table1[[#This Row],[Low Tol]],"Pass","Fail"),IF(Table1[[#This Row],[DUT Adj Read]]&gt;=Table1[[#This Row],[Low Tol]],"Pass","Fail")))</f>
        <v>Pass</v>
      </c>
      <c r="AG535" s="1" t="str">
        <f>IF(AND(Table1[[#This Row],[Spec Type2]]="N/A",Table1[[#This Row],[DUT Adj Read]]="N/A",Table1[[#This Row],[Std Adj Read]]="N/A"),"N/A",IF(Table1[[#This Row],[DUT Adj Read]]="N/A",IF(Table1[[#This Row],[Std Adj Read]]&lt;=Table1[[#This Row],[High Tol]],"Pass","Fail"),IF(Table1[[#This Row],[DUT Adj Read]]&lt;=Table1[[#This Row],[High Tol]],"Pass","Fail")))</f>
        <v>Fail</v>
      </c>
      <c r="AH5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5" s="1" t="b">
        <v>0</v>
      </c>
      <c r="AN535" s="1" t="b">
        <v>0</v>
      </c>
      <c r="AO535" s="1" t="b">
        <v>0</v>
      </c>
    </row>
    <row r="536" spans="1:41" x14ac:dyDescent="0.25">
      <c r="A536" s="10"/>
      <c r="B536" s="10"/>
      <c r="C536" s="10"/>
      <c r="D536" s="10"/>
      <c r="E536" s="10"/>
      <c r="F536" s="10"/>
      <c r="G536" s="10"/>
      <c r="H536" s="10"/>
      <c r="I536" s="1" t="str">
        <f t="shared" si="24"/>
        <v/>
      </c>
      <c r="J536" s="1" t="s">
        <v>35</v>
      </c>
      <c r="K536" s="1" t="str">
        <f t="shared" si="25"/>
        <v/>
      </c>
      <c r="L536" s="1" t="str">
        <f t="shared" si="26"/>
        <v/>
      </c>
      <c r="M536" s="1">
        <f>IF(OR(Table1[[#This Row],[Std Nom]]="",Table1[[#This Row],[Std Read]]=""),0,Table1[[#This Row],[Std Nom]]-Table1[[#This Row],[Std Read]])</f>
        <v>0</v>
      </c>
      <c r="N536" s="1">
        <f>IF(Calculations!$F$5="ACCREDITED 17025 WITH UNCERTAINTIES",$N$10,0)</f>
        <v>0</v>
      </c>
      <c r="O536" s="1" t="str">
        <f>IFERROR(Table1[[#This Row],[Std Nom]]-(_xlfn.XLOOKUP(Table1[[#This Row],[Manufacturer]]&amp;" "&amp;Table1[[#This Row],[Model]],Table13[MFR &amp; MDL],Table13[Tolerance % CW ],"")/100*Table1[[#This Row],[Std Nom]]),"")</f>
        <v/>
      </c>
      <c r="P536" s="1" t="str">
        <f>IFERROR(Table1[[#This Row],[Std Nom]]+(_xlfn.XLOOKUP(Table1[[#This Row],[Manufacturer]]&amp;" "&amp;Table1[[#This Row],[Model]],Table13[MFR &amp; MDL],Table13[Tolerance % CW ],"")/100*Table1[[#This Row],[Std Nom]]),"")</f>
        <v/>
      </c>
      <c r="Q536" s="1" t="e">
        <f>Table1[[#This Row],[High Tol]]-Table1[[#This Row],[Low Tol]]</f>
        <v>#VALUE!</v>
      </c>
      <c r="R536" s="1">
        <f>2*Table1[[#This Row],[Std Error]]</f>
        <v>0</v>
      </c>
      <c r="S536" s="1" t="str">
        <f>IF(Table1[[#This Row],[High Tol]]="","N/A",IFERROR(ABS(Table1[[#This Row],[Tol Span]]/Table1[[#This Row],[Error Span]]),"N/A"))</f>
        <v>N/A</v>
      </c>
      <c r="T536" s="1" t="str">
        <f>IF(OR(Table1[[#This Row],[Low Tol]]="",Table1[[#This Row],[High Tol]]=""),"Needs Analysis",IF(Table1[[#This Row],[Ratio]]&gt;=4,"Not Significant",IF(Table1[[#This Row],[Ratio]]&gt;=2,"Semi-Significant","Significant")))</f>
        <v>Needs Analysis</v>
      </c>
      <c r="W536" s="1">
        <f>IF(Table1[[#This Row],[Cal Type]]&lt;&gt;"ACCREDITED 17025 WITH UNCERTAINTIES",0,"")</f>
        <v>0</v>
      </c>
      <c r="X536" s="1" t="str">
        <f>IF(Table1[[#This Row],[DUT Read]]="","N/A",Table1[[#This Row],[Std Error]]+Table1[[#This Row],[DUT Read]]+Table1[[#This Row],[DUT Ucty]])</f>
        <v>N/A</v>
      </c>
      <c r="Y536" s="1" t="str">
        <f>IF(Table1[[#This Row],[Std Read]]="","N/A",Table1[[#This Row],[Std Read]]+Table1[[#This Row],[Std Ucty]])</f>
        <v>N/A</v>
      </c>
      <c r="Z5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6" s="1" t="str">
        <f>IF(Table1[[#This Row],[Spec Type]]="","N/A",Table1[[#This Row],[Spec Type]])</f>
        <v>±</v>
      </c>
      <c r="AC536" s="1" t="str">
        <f>IF(Table1[[#This Row],[Spec Type2]]="N/A","N/A",IF(AND(Table1[[#This Row],[DUT Adj Read]]&gt;=Table1[[#This Row],[Low Tol]],Table1[[#This Row],[DUT Adj Read]]&lt;=Table1[[#This Row],[High Tol]]),"Pass","Fail"))</f>
        <v>Fail</v>
      </c>
      <c r="AD536" s="1" t="str">
        <f>IF(AND(Table1[[#This Row],[Spec Type2]]="N/A",Table1[[#This Row],[DUT Adj Read]]="N/A",Table1[[#This Row],[Std Adj Read]]="N/A"),"N/A",IF(Table1[[#This Row],[DUT Adj Read]]="N/A",IF(Table1[[#This Row],[Std Adj Read]]&gt;Table1[[#This Row],[Low Tol]],"Pass","Fail"),IF(Table1[[#This Row],[DUT Adj Read]]&gt;Table1[[#This Row],[Low Tol]],"Pass","Fail")))</f>
        <v>Pass</v>
      </c>
      <c r="AE536" s="1" t="str">
        <f>IF(AND(Table1[[#This Row],[Spec Type2]]="N/A",Table1[[#This Row],[DUT Adj Read]]="N/A",Table1[[#This Row],[Std Adj Read]]="N/A"),"N/A",IF(Table1[[#This Row],[DUT Adj Read]]="N/A",IF(Table1[[#This Row],[Std Adj Read]]&lt;Table1[[#This Row],[High Tol]],"Pass","Fail"),IF(Table1[[#This Row],[DUT Adj Read]]&lt;Table1[[#This Row],[High Tol]],"Pass","Fail")))</f>
        <v>Fail</v>
      </c>
      <c r="AF536" s="1" t="str">
        <f>IF(AND(Table1[[#This Row],[Spec Type2]]="N/A",Table1[[#This Row],[DUT Adj Read]]="N/A",Table1[[#This Row],[Std Adj Read]]="N/A"),"N/A",IF(Table1[[#This Row],[DUT Adj Read]]="N/A",IF(Table1[[#This Row],[Std Adj Read]]&gt;=Table1[[#This Row],[Low Tol]],"Pass","Fail"),IF(Table1[[#This Row],[DUT Adj Read]]&gt;=Table1[[#This Row],[Low Tol]],"Pass","Fail")))</f>
        <v>Pass</v>
      </c>
      <c r="AG536" s="1" t="str">
        <f>IF(AND(Table1[[#This Row],[Spec Type2]]="N/A",Table1[[#This Row],[DUT Adj Read]]="N/A",Table1[[#This Row],[Std Adj Read]]="N/A"),"N/A",IF(Table1[[#This Row],[DUT Adj Read]]="N/A",IF(Table1[[#This Row],[Std Adj Read]]&lt;=Table1[[#This Row],[High Tol]],"Pass","Fail"),IF(Table1[[#This Row],[DUT Adj Read]]&lt;=Table1[[#This Row],[High Tol]],"Pass","Fail")))</f>
        <v>Fail</v>
      </c>
      <c r="AH5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6" s="1" t="b">
        <v>0</v>
      </c>
      <c r="AN536" s="1" t="b">
        <v>0</v>
      </c>
      <c r="AO536" s="1" t="b">
        <v>0</v>
      </c>
    </row>
    <row r="537" spans="1:41" x14ac:dyDescent="0.25">
      <c r="A537" s="10"/>
      <c r="B537" s="10"/>
      <c r="C537" s="10"/>
      <c r="D537" s="10"/>
      <c r="E537" s="10"/>
      <c r="F537" s="10"/>
      <c r="G537" s="10"/>
      <c r="H537" s="10"/>
      <c r="I537" s="1" t="str">
        <f t="shared" si="24"/>
        <v/>
      </c>
      <c r="J537" s="1" t="s">
        <v>35</v>
      </c>
      <c r="K537" s="1" t="str">
        <f t="shared" si="25"/>
        <v/>
      </c>
      <c r="L537" s="1" t="str">
        <f t="shared" si="26"/>
        <v/>
      </c>
      <c r="M537" s="1">
        <f>IF(OR(Table1[[#This Row],[Std Nom]]="",Table1[[#This Row],[Std Read]]=""),0,Table1[[#This Row],[Std Nom]]-Table1[[#This Row],[Std Read]])</f>
        <v>0</v>
      </c>
      <c r="N537" s="1">
        <f>IF(Calculations!$F$5="ACCREDITED 17025 WITH UNCERTAINTIES",$N$10,0)</f>
        <v>0</v>
      </c>
      <c r="O537" s="1" t="str">
        <f>IFERROR(Table1[[#This Row],[Std Nom]]-(_xlfn.XLOOKUP(Table1[[#This Row],[Manufacturer]]&amp;" "&amp;Table1[[#This Row],[Model]],Table13[MFR &amp; MDL],Table13[Tolerance % CW ],"")/100*Table1[[#This Row],[Std Nom]]),"")</f>
        <v/>
      </c>
      <c r="P537" s="1" t="str">
        <f>IFERROR(Table1[[#This Row],[Std Nom]]+(_xlfn.XLOOKUP(Table1[[#This Row],[Manufacturer]]&amp;" "&amp;Table1[[#This Row],[Model]],Table13[MFR &amp; MDL],Table13[Tolerance % CW ],"")/100*Table1[[#This Row],[Std Nom]]),"")</f>
        <v/>
      </c>
      <c r="Q537" s="1" t="e">
        <f>Table1[[#This Row],[High Tol]]-Table1[[#This Row],[Low Tol]]</f>
        <v>#VALUE!</v>
      </c>
      <c r="R537" s="1">
        <f>2*Table1[[#This Row],[Std Error]]</f>
        <v>0</v>
      </c>
      <c r="S537" s="1" t="str">
        <f>IF(Table1[[#This Row],[High Tol]]="","N/A",IFERROR(ABS(Table1[[#This Row],[Tol Span]]/Table1[[#This Row],[Error Span]]),"N/A"))</f>
        <v>N/A</v>
      </c>
      <c r="T537" s="1" t="str">
        <f>IF(OR(Table1[[#This Row],[Low Tol]]="",Table1[[#This Row],[High Tol]]=""),"Needs Analysis",IF(Table1[[#This Row],[Ratio]]&gt;=4,"Not Significant",IF(Table1[[#This Row],[Ratio]]&gt;=2,"Semi-Significant","Significant")))</f>
        <v>Needs Analysis</v>
      </c>
      <c r="W537" s="1">
        <f>IF(Table1[[#This Row],[Cal Type]]&lt;&gt;"ACCREDITED 17025 WITH UNCERTAINTIES",0,"")</f>
        <v>0</v>
      </c>
      <c r="X537" s="1" t="str">
        <f>IF(Table1[[#This Row],[DUT Read]]="","N/A",Table1[[#This Row],[Std Error]]+Table1[[#This Row],[DUT Read]]+Table1[[#This Row],[DUT Ucty]])</f>
        <v>N/A</v>
      </c>
      <c r="Y537" s="1" t="str">
        <f>IF(Table1[[#This Row],[Std Read]]="","N/A",Table1[[#This Row],[Std Read]]+Table1[[#This Row],[Std Ucty]])</f>
        <v>N/A</v>
      </c>
      <c r="Z5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7" s="1" t="str">
        <f>IF(Table1[[#This Row],[Spec Type]]="","N/A",Table1[[#This Row],[Spec Type]])</f>
        <v>±</v>
      </c>
      <c r="AC537" s="1" t="str">
        <f>IF(Table1[[#This Row],[Spec Type2]]="N/A","N/A",IF(AND(Table1[[#This Row],[DUT Adj Read]]&gt;=Table1[[#This Row],[Low Tol]],Table1[[#This Row],[DUT Adj Read]]&lt;=Table1[[#This Row],[High Tol]]),"Pass","Fail"))</f>
        <v>Fail</v>
      </c>
      <c r="AD537" s="1" t="str">
        <f>IF(AND(Table1[[#This Row],[Spec Type2]]="N/A",Table1[[#This Row],[DUT Adj Read]]="N/A",Table1[[#This Row],[Std Adj Read]]="N/A"),"N/A",IF(Table1[[#This Row],[DUT Adj Read]]="N/A",IF(Table1[[#This Row],[Std Adj Read]]&gt;Table1[[#This Row],[Low Tol]],"Pass","Fail"),IF(Table1[[#This Row],[DUT Adj Read]]&gt;Table1[[#This Row],[Low Tol]],"Pass","Fail")))</f>
        <v>Pass</v>
      </c>
      <c r="AE537" s="1" t="str">
        <f>IF(AND(Table1[[#This Row],[Spec Type2]]="N/A",Table1[[#This Row],[DUT Adj Read]]="N/A",Table1[[#This Row],[Std Adj Read]]="N/A"),"N/A",IF(Table1[[#This Row],[DUT Adj Read]]="N/A",IF(Table1[[#This Row],[Std Adj Read]]&lt;Table1[[#This Row],[High Tol]],"Pass","Fail"),IF(Table1[[#This Row],[DUT Adj Read]]&lt;Table1[[#This Row],[High Tol]],"Pass","Fail")))</f>
        <v>Fail</v>
      </c>
      <c r="AF537" s="1" t="str">
        <f>IF(AND(Table1[[#This Row],[Spec Type2]]="N/A",Table1[[#This Row],[DUT Adj Read]]="N/A",Table1[[#This Row],[Std Adj Read]]="N/A"),"N/A",IF(Table1[[#This Row],[DUT Adj Read]]="N/A",IF(Table1[[#This Row],[Std Adj Read]]&gt;=Table1[[#This Row],[Low Tol]],"Pass","Fail"),IF(Table1[[#This Row],[DUT Adj Read]]&gt;=Table1[[#This Row],[Low Tol]],"Pass","Fail")))</f>
        <v>Pass</v>
      </c>
      <c r="AG537" s="1" t="str">
        <f>IF(AND(Table1[[#This Row],[Spec Type2]]="N/A",Table1[[#This Row],[DUT Adj Read]]="N/A",Table1[[#This Row],[Std Adj Read]]="N/A"),"N/A",IF(Table1[[#This Row],[DUT Adj Read]]="N/A",IF(Table1[[#This Row],[Std Adj Read]]&lt;=Table1[[#This Row],[High Tol]],"Pass","Fail"),IF(Table1[[#This Row],[DUT Adj Read]]&lt;=Table1[[#This Row],[High Tol]],"Pass","Fail")))</f>
        <v>Fail</v>
      </c>
      <c r="AH5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7" s="1" t="b">
        <v>0</v>
      </c>
      <c r="AN537" s="1" t="b">
        <v>0</v>
      </c>
      <c r="AO537" s="1" t="b">
        <v>0</v>
      </c>
    </row>
    <row r="538" spans="1:41" x14ac:dyDescent="0.25">
      <c r="A538" s="10"/>
      <c r="B538" s="10"/>
      <c r="C538" s="10"/>
      <c r="D538" s="10"/>
      <c r="E538" s="10"/>
      <c r="F538" s="10"/>
      <c r="G538" s="10"/>
      <c r="H538" s="10"/>
      <c r="I538" s="1" t="str">
        <f t="shared" si="24"/>
        <v/>
      </c>
      <c r="J538" s="1" t="s">
        <v>35</v>
      </c>
      <c r="K538" s="1" t="str">
        <f t="shared" si="25"/>
        <v/>
      </c>
      <c r="L538" s="1" t="str">
        <f t="shared" si="26"/>
        <v/>
      </c>
      <c r="M538" s="1">
        <f>IF(OR(Table1[[#This Row],[Std Nom]]="",Table1[[#This Row],[Std Read]]=""),0,Table1[[#This Row],[Std Nom]]-Table1[[#This Row],[Std Read]])</f>
        <v>0</v>
      </c>
      <c r="N538" s="1">
        <f>IF(Calculations!$F$5="ACCREDITED 17025 WITH UNCERTAINTIES",$N$10,0)</f>
        <v>0</v>
      </c>
      <c r="O538" s="1" t="str">
        <f>IFERROR(Table1[[#This Row],[Std Nom]]-(_xlfn.XLOOKUP(Table1[[#This Row],[Manufacturer]]&amp;" "&amp;Table1[[#This Row],[Model]],Table13[MFR &amp; MDL],Table13[Tolerance % CW ],"")/100*Table1[[#This Row],[Std Nom]]),"")</f>
        <v/>
      </c>
      <c r="P538" s="1" t="str">
        <f>IFERROR(Table1[[#This Row],[Std Nom]]+(_xlfn.XLOOKUP(Table1[[#This Row],[Manufacturer]]&amp;" "&amp;Table1[[#This Row],[Model]],Table13[MFR &amp; MDL],Table13[Tolerance % CW ],"")/100*Table1[[#This Row],[Std Nom]]),"")</f>
        <v/>
      </c>
      <c r="Q538" s="1" t="e">
        <f>Table1[[#This Row],[High Tol]]-Table1[[#This Row],[Low Tol]]</f>
        <v>#VALUE!</v>
      </c>
      <c r="R538" s="1">
        <f>2*Table1[[#This Row],[Std Error]]</f>
        <v>0</v>
      </c>
      <c r="S538" s="1" t="str">
        <f>IF(Table1[[#This Row],[High Tol]]="","N/A",IFERROR(ABS(Table1[[#This Row],[Tol Span]]/Table1[[#This Row],[Error Span]]),"N/A"))</f>
        <v>N/A</v>
      </c>
      <c r="T538" s="1" t="str">
        <f>IF(OR(Table1[[#This Row],[Low Tol]]="",Table1[[#This Row],[High Tol]]=""),"Needs Analysis",IF(Table1[[#This Row],[Ratio]]&gt;=4,"Not Significant",IF(Table1[[#This Row],[Ratio]]&gt;=2,"Semi-Significant","Significant")))</f>
        <v>Needs Analysis</v>
      </c>
      <c r="W538" s="1">
        <f>IF(Table1[[#This Row],[Cal Type]]&lt;&gt;"ACCREDITED 17025 WITH UNCERTAINTIES",0,"")</f>
        <v>0</v>
      </c>
      <c r="X538" s="1" t="str">
        <f>IF(Table1[[#This Row],[DUT Read]]="","N/A",Table1[[#This Row],[Std Error]]+Table1[[#This Row],[DUT Read]]+Table1[[#This Row],[DUT Ucty]])</f>
        <v>N/A</v>
      </c>
      <c r="Y538" s="1" t="str">
        <f>IF(Table1[[#This Row],[Std Read]]="","N/A",Table1[[#This Row],[Std Read]]+Table1[[#This Row],[Std Ucty]])</f>
        <v>N/A</v>
      </c>
      <c r="Z5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8" s="1" t="str">
        <f>IF(Table1[[#This Row],[Spec Type]]="","N/A",Table1[[#This Row],[Spec Type]])</f>
        <v>±</v>
      </c>
      <c r="AC538" s="1" t="str">
        <f>IF(Table1[[#This Row],[Spec Type2]]="N/A","N/A",IF(AND(Table1[[#This Row],[DUT Adj Read]]&gt;=Table1[[#This Row],[Low Tol]],Table1[[#This Row],[DUT Adj Read]]&lt;=Table1[[#This Row],[High Tol]]),"Pass","Fail"))</f>
        <v>Fail</v>
      </c>
      <c r="AD538" s="1" t="str">
        <f>IF(AND(Table1[[#This Row],[Spec Type2]]="N/A",Table1[[#This Row],[DUT Adj Read]]="N/A",Table1[[#This Row],[Std Adj Read]]="N/A"),"N/A",IF(Table1[[#This Row],[DUT Adj Read]]="N/A",IF(Table1[[#This Row],[Std Adj Read]]&gt;Table1[[#This Row],[Low Tol]],"Pass","Fail"),IF(Table1[[#This Row],[DUT Adj Read]]&gt;Table1[[#This Row],[Low Tol]],"Pass","Fail")))</f>
        <v>Pass</v>
      </c>
      <c r="AE538" s="1" t="str">
        <f>IF(AND(Table1[[#This Row],[Spec Type2]]="N/A",Table1[[#This Row],[DUT Adj Read]]="N/A",Table1[[#This Row],[Std Adj Read]]="N/A"),"N/A",IF(Table1[[#This Row],[DUT Adj Read]]="N/A",IF(Table1[[#This Row],[Std Adj Read]]&lt;Table1[[#This Row],[High Tol]],"Pass","Fail"),IF(Table1[[#This Row],[DUT Adj Read]]&lt;Table1[[#This Row],[High Tol]],"Pass","Fail")))</f>
        <v>Fail</v>
      </c>
      <c r="AF538" s="1" t="str">
        <f>IF(AND(Table1[[#This Row],[Spec Type2]]="N/A",Table1[[#This Row],[DUT Adj Read]]="N/A",Table1[[#This Row],[Std Adj Read]]="N/A"),"N/A",IF(Table1[[#This Row],[DUT Adj Read]]="N/A",IF(Table1[[#This Row],[Std Adj Read]]&gt;=Table1[[#This Row],[Low Tol]],"Pass","Fail"),IF(Table1[[#This Row],[DUT Adj Read]]&gt;=Table1[[#This Row],[Low Tol]],"Pass","Fail")))</f>
        <v>Pass</v>
      </c>
      <c r="AG538" s="1" t="str">
        <f>IF(AND(Table1[[#This Row],[Spec Type2]]="N/A",Table1[[#This Row],[DUT Adj Read]]="N/A",Table1[[#This Row],[Std Adj Read]]="N/A"),"N/A",IF(Table1[[#This Row],[DUT Adj Read]]="N/A",IF(Table1[[#This Row],[Std Adj Read]]&lt;=Table1[[#This Row],[High Tol]],"Pass","Fail"),IF(Table1[[#This Row],[DUT Adj Read]]&lt;=Table1[[#This Row],[High Tol]],"Pass","Fail")))</f>
        <v>Fail</v>
      </c>
      <c r="AH5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8" s="1" t="b">
        <v>0</v>
      </c>
      <c r="AN538" s="1" t="b">
        <v>0</v>
      </c>
      <c r="AO538" s="1" t="b">
        <v>0</v>
      </c>
    </row>
    <row r="539" spans="1:41" x14ac:dyDescent="0.25">
      <c r="A539" s="10"/>
      <c r="B539" s="10"/>
      <c r="C539" s="10"/>
      <c r="D539" s="10"/>
      <c r="E539" s="10"/>
      <c r="F539" s="10"/>
      <c r="G539" s="10"/>
      <c r="H539" s="10"/>
      <c r="I539" s="1" t="str">
        <f t="shared" si="24"/>
        <v/>
      </c>
      <c r="J539" s="1" t="s">
        <v>35</v>
      </c>
      <c r="K539" s="1" t="str">
        <f t="shared" si="25"/>
        <v/>
      </c>
      <c r="L539" s="1" t="str">
        <f t="shared" si="26"/>
        <v/>
      </c>
      <c r="M539" s="1">
        <f>IF(OR(Table1[[#This Row],[Std Nom]]="",Table1[[#This Row],[Std Read]]=""),0,Table1[[#This Row],[Std Nom]]-Table1[[#This Row],[Std Read]])</f>
        <v>0</v>
      </c>
      <c r="N539" s="1">
        <f>IF(Calculations!$F$5="ACCREDITED 17025 WITH UNCERTAINTIES",$N$10,0)</f>
        <v>0</v>
      </c>
      <c r="O539" s="1" t="str">
        <f>IFERROR(Table1[[#This Row],[Std Nom]]-(_xlfn.XLOOKUP(Table1[[#This Row],[Manufacturer]]&amp;" "&amp;Table1[[#This Row],[Model]],Table13[MFR &amp; MDL],Table13[Tolerance % CW ],"")/100*Table1[[#This Row],[Std Nom]]),"")</f>
        <v/>
      </c>
      <c r="P539" s="1" t="str">
        <f>IFERROR(Table1[[#This Row],[Std Nom]]+(_xlfn.XLOOKUP(Table1[[#This Row],[Manufacturer]]&amp;" "&amp;Table1[[#This Row],[Model]],Table13[MFR &amp; MDL],Table13[Tolerance % CW ],"")/100*Table1[[#This Row],[Std Nom]]),"")</f>
        <v/>
      </c>
      <c r="Q539" s="1" t="e">
        <f>Table1[[#This Row],[High Tol]]-Table1[[#This Row],[Low Tol]]</f>
        <v>#VALUE!</v>
      </c>
      <c r="R539" s="1">
        <f>2*Table1[[#This Row],[Std Error]]</f>
        <v>0</v>
      </c>
      <c r="S539" s="1" t="str">
        <f>IF(Table1[[#This Row],[High Tol]]="","N/A",IFERROR(ABS(Table1[[#This Row],[Tol Span]]/Table1[[#This Row],[Error Span]]),"N/A"))</f>
        <v>N/A</v>
      </c>
      <c r="T539" s="1" t="str">
        <f>IF(OR(Table1[[#This Row],[Low Tol]]="",Table1[[#This Row],[High Tol]]=""),"Needs Analysis",IF(Table1[[#This Row],[Ratio]]&gt;=4,"Not Significant",IF(Table1[[#This Row],[Ratio]]&gt;=2,"Semi-Significant","Significant")))</f>
        <v>Needs Analysis</v>
      </c>
      <c r="W539" s="1">
        <f>IF(Table1[[#This Row],[Cal Type]]&lt;&gt;"ACCREDITED 17025 WITH UNCERTAINTIES",0,"")</f>
        <v>0</v>
      </c>
      <c r="X539" s="1" t="str">
        <f>IF(Table1[[#This Row],[DUT Read]]="","N/A",Table1[[#This Row],[Std Error]]+Table1[[#This Row],[DUT Read]]+Table1[[#This Row],[DUT Ucty]])</f>
        <v>N/A</v>
      </c>
      <c r="Y539" s="1" t="str">
        <f>IF(Table1[[#This Row],[Std Read]]="","N/A",Table1[[#This Row],[Std Read]]+Table1[[#This Row],[Std Ucty]])</f>
        <v>N/A</v>
      </c>
      <c r="Z5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9" s="1" t="str">
        <f>IF(Table1[[#This Row],[Spec Type]]="","N/A",Table1[[#This Row],[Spec Type]])</f>
        <v>±</v>
      </c>
      <c r="AC539" s="1" t="str">
        <f>IF(Table1[[#This Row],[Spec Type2]]="N/A","N/A",IF(AND(Table1[[#This Row],[DUT Adj Read]]&gt;=Table1[[#This Row],[Low Tol]],Table1[[#This Row],[DUT Adj Read]]&lt;=Table1[[#This Row],[High Tol]]),"Pass","Fail"))</f>
        <v>Fail</v>
      </c>
      <c r="AD539" s="1" t="str">
        <f>IF(AND(Table1[[#This Row],[Spec Type2]]="N/A",Table1[[#This Row],[DUT Adj Read]]="N/A",Table1[[#This Row],[Std Adj Read]]="N/A"),"N/A",IF(Table1[[#This Row],[DUT Adj Read]]="N/A",IF(Table1[[#This Row],[Std Adj Read]]&gt;Table1[[#This Row],[Low Tol]],"Pass","Fail"),IF(Table1[[#This Row],[DUT Adj Read]]&gt;Table1[[#This Row],[Low Tol]],"Pass","Fail")))</f>
        <v>Pass</v>
      </c>
      <c r="AE539" s="1" t="str">
        <f>IF(AND(Table1[[#This Row],[Spec Type2]]="N/A",Table1[[#This Row],[DUT Adj Read]]="N/A",Table1[[#This Row],[Std Adj Read]]="N/A"),"N/A",IF(Table1[[#This Row],[DUT Adj Read]]="N/A",IF(Table1[[#This Row],[Std Adj Read]]&lt;Table1[[#This Row],[High Tol]],"Pass","Fail"),IF(Table1[[#This Row],[DUT Adj Read]]&lt;Table1[[#This Row],[High Tol]],"Pass","Fail")))</f>
        <v>Fail</v>
      </c>
      <c r="AF539" s="1" t="str">
        <f>IF(AND(Table1[[#This Row],[Spec Type2]]="N/A",Table1[[#This Row],[DUT Adj Read]]="N/A",Table1[[#This Row],[Std Adj Read]]="N/A"),"N/A",IF(Table1[[#This Row],[DUT Adj Read]]="N/A",IF(Table1[[#This Row],[Std Adj Read]]&gt;=Table1[[#This Row],[Low Tol]],"Pass","Fail"),IF(Table1[[#This Row],[DUT Adj Read]]&gt;=Table1[[#This Row],[Low Tol]],"Pass","Fail")))</f>
        <v>Pass</v>
      </c>
      <c r="AG539" s="1" t="str">
        <f>IF(AND(Table1[[#This Row],[Spec Type2]]="N/A",Table1[[#This Row],[DUT Adj Read]]="N/A",Table1[[#This Row],[Std Adj Read]]="N/A"),"N/A",IF(Table1[[#This Row],[DUT Adj Read]]="N/A",IF(Table1[[#This Row],[Std Adj Read]]&lt;=Table1[[#This Row],[High Tol]],"Pass","Fail"),IF(Table1[[#This Row],[DUT Adj Read]]&lt;=Table1[[#This Row],[High Tol]],"Pass","Fail")))</f>
        <v>Fail</v>
      </c>
      <c r="AH5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9" s="1" t="b">
        <v>0</v>
      </c>
      <c r="AN539" s="1" t="b">
        <v>0</v>
      </c>
      <c r="AO539" s="1" t="b">
        <v>0</v>
      </c>
    </row>
    <row r="540" spans="1:41" x14ac:dyDescent="0.25">
      <c r="A540" s="10"/>
      <c r="B540" s="10"/>
      <c r="C540" s="10"/>
      <c r="D540" s="10"/>
      <c r="E540" s="10"/>
      <c r="F540" s="10"/>
      <c r="G540" s="10"/>
      <c r="H540" s="10"/>
      <c r="I540" s="1" t="str">
        <f t="shared" si="24"/>
        <v/>
      </c>
      <c r="J540" s="1" t="s">
        <v>35</v>
      </c>
      <c r="K540" s="1" t="str">
        <f t="shared" si="25"/>
        <v/>
      </c>
      <c r="L540" s="1" t="str">
        <f t="shared" si="26"/>
        <v/>
      </c>
      <c r="M540" s="1">
        <f>IF(OR(Table1[[#This Row],[Std Nom]]="",Table1[[#This Row],[Std Read]]=""),0,Table1[[#This Row],[Std Nom]]-Table1[[#This Row],[Std Read]])</f>
        <v>0</v>
      </c>
      <c r="N540" s="1">
        <f>IF(Calculations!$F$5="ACCREDITED 17025 WITH UNCERTAINTIES",$N$10,0)</f>
        <v>0</v>
      </c>
      <c r="O540" s="1" t="str">
        <f>IFERROR(Table1[[#This Row],[Std Nom]]-(_xlfn.XLOOKUP(Table1[[#This Row],[Manufacturer]]&amp;" "&amp;Table1[[#This Row],[Model]],Table13[MFR &amp; MDL],Table13[Tolerance % CW ],"")/100*Table1[[#This Row],[Std Nom]]),"")</f>
        <v/>
      </c>
      <c r="P540" s="1" t="str">
        <f>IFERROR(Table1[[#This Row],[Std Nom]]+(_xlfn.XLOOKUP(Table1[[#This Row],[Manufacturer]]&amp;" "&amp;Table1[[#This Row],[Model]],Table13[MFR &amp; MDL],Table13[Tolerance % CW ],"")/100*Table1[[#This Row],[Std Nom]]),"")</f>
        <v/>
      </c>
      <c r="Q540" s="1" t="e">
        <f>Table1[[#This Row],[High Tol]]-Table1[[#This Row],[Low Tol]]</f>
        <v>#VALUE!</v>
      </c>
      <c r="R540" s="1">
        <f>2*Table1[[#This Row],[Std Error]]</f>
        <v>0</v>
      </c>
      <c r="S540" s="1" t="str">
        <f>IF(Table1[[#This Row],[High Tol]]="","N/A",IFERROR(ABS(Table1[[#This Row],[Tol Span]]/Table1[[#This Row],[Error Span]]),"N/A"))</f>
        <v>N/A</v>
      </c>
      <c r="T540" s="1" t="str">
        <f>IF(OR(Table1[[#This Row],[Low Tol]]="",Table1[[#This Row],[High Tol]]=""),"Needs Analysis",IF(Table1[[#This Row],[Ratio]]&gt;=4,"Not Significant",IF(Table1[[#This Row],[Ratio]]&gt;=2,"Semi-Significant","Significant")))</f>
        <v>Needs Analysis</v>
      </c>
      <c r="W540" s="1">
        <f>IF(Table1[[#This Row],[Cal Type]]&lt;&gt;"ACCREDITED 17025 WITH UNCERTAINTIES",0,"")</f>
        <v>0</v>
      </c>
      <c r="X540" s="1" t="str">
        <f>IF(Table1[[#This Row],[DUT Read]]="","N/A",Table1[[#This Row],[Std Error]]+Table1[[#This Row],[DUT Read]]+Table1[[#This Row],[DUT Ucty]])</f>
        <v>N/A</v>
      </c>
      <c r="Y540" s="1" t="str">
        <f>IF(Table1[[#This Row],[Std Read]]="","N/A",Table1[[#This Row],[Std Read]]+Table1[[#This Row],[Std Ucty]])</f>
        <v>N/A</v>
      </c>
      <c r="Z5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0" s="1" t="str">
        <f>IF(Table1[[#This Row],[Spec Type]]="","N/A",Table1[[#This Row],[Spec Type]])</f>
        <v>±</v>
      </c>
      <c r="AC540" s="1" t="str">
        <f>IF(Table1[[#This Row],[Spec Type2]]="N/A","N/A",IF(AND(Table1[[#This Row],[DUT Adj Read]]&gt;=Table1[[#This Row],[Low Tol]],Table1[[#This Row],[DUT Adj Read]]&lt;=Table1[[#This Row],[High Tol]]),"Pass","Fail"))</f>
        <v>Fail</v>
      </c>
      <c r="AD540" s="1" t="str">
        <f>IF(AND(Table1[[#This Row],[Spec Type2]]="N/A",Table1[[#This Row],[DUT Adj Read]]="N/A",Table1[[#This Row],[Std Adj Read]]="N/A"),"N/A",IF(Table1[[#This Row],[DUT Adj Read]]="N/A",IF(Table1[[#This Row],[Std Adj Read]]&gt;Table1[[#This Row],[Low Tol]],"Pass","Fail"),IF(Table1[[#This Row],[DUT Adj Read]]&gt;Table1[[#This Row],[Low Tol]],"Pass","Fail")))</f>
        <v>Pass</v>
      </c>
      <c r="AE540" s="1" t="str">
        <f>IF(AND(Table1[[#This Row],[Spec Type2]]="N/A",Table1[[#This Row],[DUT Adj Read]]="N/A",Table1[[#This Row],[Std Adj Read]]="N/A"),"N/A",IF(Table1[[#This Row],[DUT Adj Read]]="N/A",IF(Table1[[#This Row],[Std Adj Read]]&lt;Table1[[#This Row],[High Tol]],"Pass","Fail"),IF(Table1[[#This Row],[DUT Adj Read]]&lt;Table1[[#This Row],[High Tol]],"Pass","Fail")))</f>
        <v>Fail</v>
      </c>
      <c r="AF540" s="1" t="str">
        <f>IF(AND(Table1[[#This Row],[Spec Type2]]="N/A",Table1[[#This Row],[DUT Adj Read]]="N/A",Table1[[#This Row],[Std Adj Read]]="N/A"),"N/A",IF(Table1[[#This Row],[DUT Adj Read]]="N/A",IF(Table1[[#This Row],[Std Adj Read]]&gt;=Table1[[#This Row],[Low Tol]],"Pass","Fail"),IF(Table1[[#This Row],[DUT Adj Read]]&gt;=Table1[[#This Row],[Low Tol]],"Pass","Fail")))</f>
        <v>Pass</v>
      </c>
      <c r="AG540" s="1" t="str">
        <f>IF(AND(Table1[[#This Row],[Spec Type2]]="N/A",Table1[[#This Row],[DUT Adj Read]]="N/A",Table1[[#This Row],[Std Adj Read]]="N/A"),"N/A",IF(Table1[[#This Row],[DUT Adj Read]]="N/A",IF(Table1[[#This Row],[Std Adj Read]]&lt;=Table1[[#This Row],[High Tol]],"Pass","Fail"),IF(Table1[[#This Row],[DUT Adj Read]]&lt;=Table1[[#This Row],[High Tol]],"Pass","Fail")))</f>
        <v>Fail</v>
      </c>
      <c r="AH5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0" s="1" t="b">
        <v>0</v>
      </c>
      <c r="AN540" s="1" t="b">
        <v>0</v>
      </c>
      <c r="AO540" s="1" t="b">
        <v>0</v>
      </c>
    </row>
    <row r="541" spans="1:41" x14ac:dyDescent="0.25">
      <c r="A541" s="10"/>
      <c r="B541" s="10"/>
      <c r="C541" s="10"/>
      <c r="D541" s="10"/>
      <c r="E541" s="10"/>
      <c r="F541" s="10"/>
      <c r="G541" s="10"/>
      <c r="H541" s="10"/>
      <c r="I541" s="1" t="str">
        <f t="shared" si="24"/>
        <v/>
      </c>
      <c r="J541" s="1" t="s">
        <v>35</v>
      </c>
      <c r="K541" s="1" t="str">
        <f t="shared" si="25"/>
        <v/>
      </c>
      <c r="L541" s="1" t="str">
        <f t="shared" si="26"/>
        <v/>
      </c>
      <c r="M541" s="1">
        <f>IF(OR(Table1[[#This Row],[Std Nom]]="",Table1[[#This Row],[Std Read]]=""),0,Table1[[#This Row],[Std Nom]]-Table1[[#This Row],[Std Read]])</f>
        <v>0</v>
      </c>
      <c r="N541" s="1">
        <f>IF(Calculations!$F$5="ACCREDITED 17025 WITH UNCERTAINTIES",$N$10,0)</f>
        <v>0</v>
      </c>
      <c r="O541" s="1" t="str">
        <f>IFERROR(Table1[[#This Row],[Std Nom]]-(_xlfn.XLOOKUP(Table1[[#This Row],[Manufacturer]]&amp;" "&amp;Table1[[#This Row],[Model]],Table13[MFR &amp; MDL],Table13[Tolerance % CW ],"")/100*Table1[[#This Row],[Std Nom]]),"")</f>
        <v/>
      </c>
      <c r="P541" s="1" t="str">
        <f>IFERROR(Table1[[#This Row],[Std Nom]]+(_xlfn.XLOOKUP(Table1[[#This Row],[Manufacturer]]&amp;" "&amp;Table1[[#This Row],[Model]],Table13[MFR &amp; MDL],Table13[Tolerance % CW ],"")/100*Table1[[#This Row],[Std Nom]]),"")</f>
        <v/>
      </c>
      <c r="Q541" s="1" t="e">
        <f>Table1[[#This Row],[High Tol]]-Table1[[#This Row],[Low Tol]]</f>
        <v>#VALUE!</v>
      </c>
      <c r="R541" s="1">
        <f>2*Table1[[#This Row],[Std Error]]</f>
        <v>0</v>
      </c>
      <c r="S541" s="1" t="str">
        <f>IF(Table1[[#This Row],[High Tol]]="","N/A",IFERROR(ABS(Table1[[#This Row],[Tol Span]]/Table1[[#This Row],[Error Span]]),"N/A"))</f>
        <v>N/A</v>
      </c>
      <c r="T541" s="1" t="str">
        <f>IF(OR(Table1[[#This Row],[Low Tol]]="",Table1[[#This Row],[High Tol]]=""),"Needs Analysis",IF(Table1[[#This Row],[Ratio]]&gt;=4,"Not Significant",IF(Table1[[#This Row],[Ratio]]&gt;=2,"Semi-Significant","Significant")))</f>
        <v>Needs Analysis</v>
      </c>
      <c r="W541" s="1">
        <f>IF(Table1[[#This Row],[Cal Type]]&lt;&gt;"ACCREDITED 17025 WITH UNCERTAINTIES",0,"")</f>
        <v>0</v>
      </c>
      <c r="X541" s="1" t="str">
        <f>IF(Table1[[#This Row],[DUT Read]]="","N/A",Table1[[#This Row],[Std Error]]+Table1[[#This Row],[DUT Read]]+Table1[[#This Row],[DUT Ucty]])</f>
        <v>N/A</v>
      </c>
      <c r="Y541" s="1" t="str">
        <f>IF(Table1[[#This Row],[Std Read]]="","N/A",Table1[[#This Row],[Std Read]]+Table1[[#This Row],[Std Ucty]])</f>
        <v>N/A</v>
      </c>
      <c r="Z5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1" s="1" t="str">
        <f>IF(Table1[[#This Row],[Spec Type]]="","N/A",Table1[[#This Row],[Spec Type]])</f>
        <v>±</v>
      </c>
      <c r="AC541" s="1" t="str">
        <f>IF(Table1[[#This Row],[Spec Type2]]="N/A","N/A",IF(AND(Table1[[#This Row],[DUT Adj Read]]&gt;=Table1[[#This Row],[Low Tol]],Table1[[#This Row],[DUT Adj Read]]&lt;=Table1[[#This Row],[High Tol]]),"Pass","Fail"))</f>
        <v>Fail</v>
      </c>
      <c r="AD541" s="1" t="str">
        <f>IF(AND(Table1[[#This Row],[Spec Type2]]="N/A",Table1[[#This Row],[DUT Adj Read]]="N/A",Table1[[#This Row],[Std Adj Read]]="N/A"),"N/A",IF(Table1[[#This Row],[DUT Adj Read]]="N/A",IF(Table1[[#This Row],[Std Adj Read]]&gt;Table1[[#This Row],[Low Tol]],"Pass","Fail"),IF(Table1[[#This Row],[DUT Adj Read]]&gt;Table1[[#This Row],[Low Tol]],"Pass","Fail")))</f>
        <v>Pass</v>
      </c>
      <c r="AE541" s="1" t="str">
        <f>IF(AND(Table1[[#This Row],[Spec Type2]]="N/A",Table1[[#This Row],[DUT Adj Read]]="N/A",Table1[[#This Row],[Std Adj Read]]="N/A"),"N/A",IF(Table1[[#This Row],[DUT Adj Read]]="N/A",IF(Table1[[#This Row],[Std Adj Read]]&lt;Table1[[#This Row],[High Tol]],"Pass","Fail"),IF(Table1[[#This Row],[DUT Adj Read]]&lt;Table1[[#This Row],[High Tol]],"Pass","Fail")))</f>
        <v>Fail</v>
      </c>
      <c r="AF541" s="1" t="str">
        <f>IF(AND(Table1[[#This Row],[Spec Type2]]="N/A",Table1[[#This Row],[DUT Adj Read]]="N/A",Table1[[#This Row],[Std Adj Read]]="N/A"),"N/A",IF(Table1[[#This Row],[DUT Adj Read]]="N/A",IF(Table1[[#This Row],[Std Adj Read]]&gt;=Table1[[#This Row],[Low Tol]],"Pass","Fail"),IF(Table1[[#This Row],[DUT Adj Read]]&gt;=Table1[[#This Row],[Low Tol]],"Pass","Fail")))</f>
        <v>Pass</v>
      </c>
      <c r="AG541" s="1" t="str">
        <f>IF(AND(Table1[[#This Row],[Spec Type2]]="N/A",Table1[[#This Row],[DUT Adj Read]]="N/A",Table1[[#This Row],[Std Adj Read]]="N/A"),"N/A",IF(Table1[[#This Row],[DUT Adj Read]]="N/A",IF(Table1[[#This Row],[Std Adj Read]]&lt;=Table1[[#This Row],[High Tol]],"Pass","Fail"),IF(Table1[[#This Row],[DUT Adj Read]]&lt;=Table1[[#This Row],[High Tol]],"Pass","Fail")))</f>
        <v>Fail</v>
      </c>
      <c r="AH5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1" s="1" t="b">
        <v>0</v>
      </c>
      <c r="AN541" s="1" t="b">
        <v>0</v>
      </c>
      <c r="AO541" s="1" t="b">
        <v>0</v>
      </c>
    </row>
    <row r="542" spans="1:41" x14ac:dyDescent="0.25">
      <c r="A542" s="10"/>
      <c r="B542" s="10"/>
      <c r="C542" s="10"/>
      <c r="D542" s="10"/>
      <c r="E542" s="10"/>
      <c r="F542" s="10"/>
      <c r="G542" s="10"/>
      <c r="H542" s="10"/>
      <c r="I542" s="1" t="str">
        <f t="shared" si="24"/>
        <v/>
      </c>
      <c r="J542" s="1" t="s">
        <v>35</v>
      </c>
      <c r="K542" s="1" t="str">
        <f t="shared" si="25"/>
        <v/>
      </c>
      <c r="L542" s="1" t="str">
        <f t="shared" si="26"/>
        <v/>
      </c>
      <c r="M542" s="1">
        <f>IF(OR(Table1[[#This Row],[Std Nom]]="",Table1[[#This Row],[Std Read]]=""),0,Table1[[#This Row],[Std Nom]]-Table1[[#This Row],[Std Read]])</f>
        <v>0</v>
      </c>
      <c r="N542" s="1">
        <f>IF(Calculations!$F$5="ACCREDITED 17025 WITH UNCERTAINTIES",$N$10,0)</f>
        <v>0</v>
      </c>
      <c r="O542" s="1" t="str">
        <f>IFERROR(Table1[[#This Row],[Std Nom]]-(_xlfn.XLOOKUP(Table1[[#This Row],[Manufacturer]]&amp;" "&amp;Table1[[#This Row],[Model]],Table13[MFR &amp; MDL],Table13[Tolerance % CW ],"")/100*Table1[[#This Row],[Std Nom]]),"")</f>
        <v/>
      </c>
      <c r="P542" s="1" t="str">
        <f>IFERROR(Table1[[#This Row],[Std Nom]]+(_xlfn.XLOOKUP(Table1[[#This Row],[Manufacturer]]&amp;" "&amp;Table1[[#This Row],[Model]],Table13[MFR &amp; MDL],Table13[Tolerance % CW ],"")/100*Table1[[#This Row],[Std Nom]]),"")</f>
        <v/>
      </c>
      <c r="Q542" s="1" t="e">
        <f>Table1[[#This Row],[High Tol]]-Table1[[#This Row],[Low Tol]]</f>
        <v>#VALUE!</v>
      </c>
      <c r="R542" s="1">
        <f>2*Table1[[#This Row],[Std Error]]</f>
        <v>0</v>
      </c>
      <c r="S542" s="1" t="str">
        <f>IF(Table1[[#This Row],[High Tol]]="","N/A",IFERROR(ABS(Table1[[#This Row],[Tol Span]]/Table1[[#This Row],[Error Span]]),"N/A"))</f>
        <v>N/A</v>
      </c>
      <c r="T542" s="1" t="str">
        <f>IF(OR(Table1[[#This Row],[Low Tol]]="",Table1[[#This Row],[High Tol]]=""),"Needs Analysis",IF(Table1[[#This Row],[Ratio]]&gt;=4,"Not Significant",IF(Table1[[#This Row],[Ratio]]&gt;=2,"Semi-Significant","Significant")))</f>
        <v>Needs Analysis</v>
      </c>
      <c r="W542" s="1">
        <f>IF(Table1[[#This Row],[Cal Type]]&lt;&gt;"ACCREDITED 17025 WITH UNCERTAINTIES",0,"")</f>
        <v>0</v>
      </c>
      <c r="X542" s="1" t="str">
        <f>IF(Table1[[#This Row],[DUT Read]]="","N/A",Table1[[#This Row],[Std Error]]+Table1[[#This Row],[DUT Read]]+Table1[[#This Row],[DUT Ucty]])</f>
        <v>N/A</v>
      </c>
      <c r="Y542" s="1" t="str">
        <f>IF(Table1[[#This Row],[Std Read]]="","N/A",Table1[[#This Row],[Std Read]]+Table1[[#This Row],[Std Ucty]])</f>
        <v>N/A</v>
      </c>
      <c r="Z5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2" s="1" t="str">
        <f>IF(Table1[[#This Row],[Spec Type]]="","N/A",Table1[[#This Row],[Spec Type]])</f>
        <v>±</v>
      </c>
      <c r="AC542" s="1" t="str">
        <f>IF(Table1[[#This Row],[Spec Type2]]="N/A","N/A",IF(AND(Table1[[#This Row],[DUT Adj Read]]&gt;=Table1[[#This Row],[Low Tol]],Table1[[#This Row],[DUT Adj Read]]&lt;=Table1[[#This Row],[High Tol]]),"Pass","Fail"))</f>
        <v>Fail</v>
      </c>
      <c r="AD542" s="1" t="str">
        <f>IF(AND(Table1[[#This Row],[Spec Type2]]="N/A",Table1[[#This Row],[DUT Adj Read]]="N/A",Table1[[#This Row],[Std Adj Read]]="N/A"),"N/A",IF(Table1[[#This Row],[DUT Adj Read]]="N/A",IF(Table1[[#This Row],[Std Adj Read]]&gt;Table1[[#This Row],[Low Tol]],"Pass","Fail"),IF(Table1[[#This Row],[DUT Adj Read]]&gt;Table1[[#This Row],[Low Tol]],"Pass","Fail")))</f>
        <v>Pass</v>
      </c>
      <c r="AE542" s="1" t="str">
        <f>IF(AND(Table1[[#This Row],[Spec Type2]]="N/A",Table1[[#This Row],[DUT Adj Read]]="N/A",Table1[[#This Row],[Std Adj Read]]="N/A"),"N/A",IF(Table1[[#This Row],[DUT Adj Read]]="N/A",IF(Table1[[#This Row],[Std Adj Read]]&lt;Table1[[#This Row],[High Tol]],"Pass","Fail"),IF(Table1[[#This Row],[DUT Adj Read]]&lt;Table1[[#This Row],[High Tol]],"Pass","Fail")))</f>
        <v>Fail</v>
      </c>
      <c r="AF542" s="1" t="str">
        <f>IF(AND(Table1[[#This Row],[Spec Type2]]="N/A",Table1[[#This Row],[DUT Adj Read]]="N/A",Table1[[#This Row],[Std Adj Read]]="N/A"),"N/A",IF(Table1[[#This Row],[DUT Adj Read]]="N/A",IF(Table1[[#This Row],[Std Adj Read]]&gt;=Table1[[#This Row],[Low Tol]],"Pass","Fail"),IF(Table1[[#This Row],[DUT Adj Read]]&gt;=Table1[[#This Row],[Low Tol]],"Pass","Fail")))</f>
        <v>Pass</v>
      </c>
      <c r="AG542" s="1" t="str">
        <f>IF(AND(Table1[[#This Row],[Spec Type2]]="N/A",Table1[[#This Row],[DUT Adj Read]]="N/A",Table1[[#This Row],[Std Adj Read]]="N/A"),"N/A",IF(Table1[[#This Row],[DUT Adj Read]]="N/A",IF(Table1[[#This Row],[Std Adj Read]]&lt;=Table1[[#This Row],[High Tol]],"Pass","Fail"),IF(Table1[[#This Row],[DUT Adj Read]]&lt;=Table1[[#This Row],[High Tol]],"Pass","Fail")))</f>
        <v>Fail</v>
      </c>
      <c r="AH5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2" s="1" t="b">
        <v>0</v>
      </c>
      <c r="AN542" s="1" t="b">
        <v>0</v>
      </c>
      <c r="AO542" s="1" t="b">
        <v>0</v>
      </c>
    </row>
    <row r="543" spans="1:41" x14ac:dyDescent="0.25">
      <c r="A543" s="10"/>
      <c r="B543" s="10"/>
      <c r="C543" s="10"/>
      <c r="D543" s="10"/>
      <c r="E543" s="10"/>
      <c r="F543" s="10"/>
      <c r="G543" s="10"/>
      <c r="H543" s="10"/>
      <c r="I543" s="1" t="str">
        <f t="shared" si="24"/>
        <v/>
      </c>
      <c r="J543" s="1" t="s">
        <v>35</v>
      </c>
      <c r="K543" s="1" t="str">
        <f t="shared" si="25"/>
        <v/>
      </c>
      <c r="L543" s="1" t="str">
        <f t="shared" si="26"/>
        <v/>
      </c>
      <c r="M543" s="1">
        <f>IF(OR(Table1[[#This Row],[Std Nom]]="",Table1[[#This Row],[Std Read]]=""),0,Table1[[#This Row],[Std Nom]]-Table1[[#This Row],[Std Read]])</f>
        <v>0</v>
      </c>
      <c r="N543" s="1">
        <f>IF(Calculations!$F$5="ACCREDITED 17025 WITH UNCERTAINTIES",$N$10,0)</f>
        <v>0</v>
      </c>
      <c r="O543" s="1" t="str">
        <f>IFERROR(Table1[[#This Row],[Std Nom]]-(_xlfn.XLOOKUP(Table1[[#This Row],[Manufacturer]]&amp;" "&amp;Table1[[#This Row],[Model]],Table13[MFR &amp; MDL],Table13[Tolerance % CW ],"")/100*Table1[[#This Row],[Std Nom]]),"")</f>
        <v/>
      </c>
      <c r="P543" s="1" t="str">
        <f>IFERROR(Table1[[#This Row],[Std Nom]]+(_xlfn.XLOOKUP(Table1[[#This Row],[Manufacturer]]&amp;" "&amp;Table1[[#This Row],[Model]],Table13[MFR &amp; MDL],Table13[Tolerance % CW ],"")/100*Table1[[#This Row],[Std Nom]]),"")</f>
        <v/>
      </c>
      <c r="Q543" s="1" t="e">
        <f>Table1[[#This Row],[High Tol]]-Table1[[#This Row],[Low Tol]]</f>
        <v>#VALUE!</v>
      </c>
      <c r="R543" s="1">
        <f>2*Table1[[#This Row],[Std Error]]</f>
        <v>0</v>
      </c>
      <c r="S543" s="1" t="str">
        <f>IF(Table1[[#This Row],[High Tol]]="","N/A",IFERROR(ABS(Table1[[#This Row],[Tol Span]]/Table1[[#This Row],[Error Span]]),"N/A"))</f>
        <v>N/A</v>
      </c>
      <c r="T543" s="1" t="str">
        <f>IF(OR(Table1[[#This Row],[Low Tol]]="",Table1[[#This Row],[High Tol]]=""),"Needs Analysis",IF(Table1[[#This Row],[Ratio]]&gt;=4,"Not Significant",IF(Table1[[#This Row],[Ratio]]&gt;=2,"Semi-Significant","Significant")))</f>
        <v>Needs Analysis</v>
      </c>
      <c r="W543" s="1">
        <f>IF(Table1[[#This Row],[Cal Type]]&lt;&gt;"ACCREDITED 17025 WITH UNCERTAINTIES",0,"")</f>
        <v>0</v>
      </c>
      <c r="X543" s="1" t="str">
        <f>IF(Table1[[#This Row],[DUT Read]]="","N/A",Table1[[#This Row],[Std Error]]+Table1[[#This Row],[DUT Read]]+Table1[[#This Row],[DUT Ucty]])</f>
        <v>N/A</v>
      </c>
      <c r="Y543" s="1" t="str">
        <f>IF(Table1[[#This Row],[Std Read]]="","N/A",Table1[[#This Row],[Std Read]]+Table1[[#This Row],[Std Ucty]])</f>
        <v>N/A</v>
      </c>
      <c r="Z5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3" s="1" t="str">
        <f>IF(Table1[[#This Row],[Spec Type]]="","N/A",Table1[[#This Row],[Spec Type]])</f>
        <v>±</v>
      </c>
      <c r="AC543" s="1" t="str">
        <f>IF(Table1[[#This Row],[Spec Type2]]="N/A","N/A",IF(AND(Table1[[#This Row],[DUT Adj Read]]&gt;=Table1[[#This Row],[Low Tol]],Table1[[#This Row],[DUT Adj Read]]&lt;=Table1[[#This Row],[High Tol]]),"Pass","Fail"))</f>
        <v>Fail</v>
      </c>
      <c r="AD543" s="1" t="str">
        <f>IF(AND(Table1[[#This Row],[Spec Type2]]="N/A",Table1[[#This Row],[DUT Adj Read]]="N/A",Table1[[#This Row],[Std Adj Read]]="N/A"),"N/A",IF(Table1[[#This Row],[DUT Adj Read]]="N/A",IF(Table1[[#This Row],[Std Adj Read]]&gt;Table1[[#This Row],[Low Tol]],"Pass","Fail"),IF(Table1[[#This Row],[DUT Adj Read]]&gt;Table1[[#This Row],[Low Tol]],"Pass","Fail")))</f>
        <v>Pass</v>
      </c>
      <c r="AE543" s="1" t="str">
        <f>IF(AND(Table1[[#This Row],[Spec Type2]]="N/A",Table1[[#This Row],[DUT Adj Read]]="N/A",Table1[[#This Row],[Std Adj Read]]="N/A"),"N/A",IF(Table1[[#This Row],[DUT Adj Read]]="N/A",IF(Table1[[#This Row],[Std Adj Read]]&lt;Table1[[#This Row],[High Tol]],"Pass","Fail"),IF(Table1[[#This Row],[DUT Adj Read]]&lt;Table1[[#This Row],[High Tol]],"Pass","Fail")))</f>
        <v>Fail</v>
      </c>
      <c r="AF543" s="1" t="str">
        <f>IF(AND(Table1[[#This Row],[Spec Type2]]="N/A",Table1[[#This Row],[DUT Adj Read]]="N/A",Table1[[#This Row],[Std Adj Read]]="N/A"),"N/A",IF(Table1[[#This Row],[DUT Adj Read]]="N/A",IF(Table1[[#This Row],[Std Adj Read]]&gt;=Table1[[#This Row],[Low Tol]],"Pass","Fail"),IF(Table1[[#This Row],[DUT Adj Read]]&gt;=Table1[[#This Row],[Low Tol]],"Pass","Fail")))</f>
        <v>Pass</v>
      </c>
      <c r="AG543" s="1" t="str">
        <f>IF(AND(Table1[[#This Row],[Spec Type2]]="N/A",Table1[[#This Row],[DUT Adj Read]]="N/A",Table1[[#This Row],[Std Adj Read]]="N/A"),"N/A",IF(Table1[[#This Row],[DUT Adj Read]]="N/A",IF(Table1[[#This Row],[Std Adj Read]]&lt;=Table1[[#This Row],[High Tol]],"Pass","Fail"),IF(Table1[[#This Row],[DUT Adj Read]]&lt;=Table1[[#This Row],[High Tol]],"Pass","Fail")))</f>
        <v>Fail</v>
      </c>
      <c r="AH5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3" s="1" t="b">
        <v>0</v>
      </c>
      <c r="AN543" s="1" t="b">
        <v>0</v>
      </c>
      <c r="AO543" s="1" t="b">
        <v>0</v>
      </c>
    </row>
    <row r="544" spans="1:41" x14ac:dyDescent="0.25">
      <c r="A544" s="10"/>
      <c r="B544" s="10"/>
      <c r="C544" s="10"/>
      <c r="D544" s="10"/>
      <c r="E544" s="10"/>
      <c r="F544" s="10"/>
      <c r="G544" s="10"/>
      <c r="H544" s="10"/>
      <c r="I544" s="1" t="str">
        <f t="shared" si="24"/>
        <v/>
      </c>
      <c r="J544" s="1" t="s">
        <v>35</v>
      </c>
      <c r="K544" s="1" t="str">
        <f t="shared" si="25"/>
        <v/>
      </c>
      <c r="L544" s="1" t="str">
        <f t="shared" si="26"/>
        <v/>
      </c>
      <c r="M544" s="1">
        <f>IF(OR(Table1[[#This Row],[Std Nom]]="",Table1[[#This Row],[Std Read]]=""),0,Table1[[#This Row],[Std Nom]]-Table1[[#This Row],[Std Read]])</f>
        <v>0</v>
      </c>
      <c r="N544" s="1">
        <f>IF(Calculations!$F$5="ACCREDITED 17025 WITH UNCERTAINTIES",$N$10,0)</f>
        <v>0</v>
      </c>
      <c r="O544" s="1" t="str">
        <f>IFERROR(Table1[[#This Row],[Std Nom]]-(_xlfn.XLOOKUP(Table1[[#This Row],[Manufacturer]]&amp;" "&amp;Table1[[#This Row],[Model]],Table13[MFR &amp; MDL],Table13[Tolerance % CW ],"")/100*Table1[[#This Row],[Std Nom]]),"")</f>
        <v/>
      </c>
      <c r="P544" s="1" t="str">
        <f>IFERROR(Table1[[#This Row],[Std Nom]]+(_xlfn.XLOOKUP(Table1[[#This Row],[Manufacturer]]&amp;" "&amp;Table1[[#This Row],[Model]],Table13[MFR &amp; MDL],Table13[Tolerance % CW ],"")/100*Table1[[#This Row],[Std Nom]]),"")</f>
        <v/>
      </c>
      <c r="Q544" s="1" t="e">
        <f>Table1[[#This Row],[High Tol]]-Table1[[#This Row],[Low Tol]]</f>
        <v>#VALUE!</v>
      </c>
      <c r="R544" s="1">
        <f>2*Table1[[#This Row],[Std Error]]</f>
        <v>0</v>
      </c>
      <c r="S544" s="1" t="str">
        <f>IF(Table1[[#This Row],[High Tol]]="","N/A",IFERROR(ABS(Table1[[#This Row],[Tol Span]]/Table1[[#This Row],[Error Span]]),"N/A"))</f>
        <v>N/A</v>
      </c>
      <c r="T544" s="1" t="str">
        <f>IF(OR(Table1[[#This Row],[Low Tol]]="",Table1[[#This Row],[High Tol]]=""),"Needs Analysis",IF(Table1[[#This Row],[Ratio]]&gt;=4,"Not Significant",IF(Table1[[#This Row],[Ratio]]&gt;=2,"Semi-Significant","Significant")))</f>
        <v>Needs Analysis</v>
      </c>
      <c r="W544" s="1">
        <f>IF(Table1[[#This Row],[Cal Type]]&lt;&gt;"ACCREDITED 17025 WITH UNCERTAINTIES",0,"")</f>
        <v>0</v>
      </c>
      <c r="X544" s="1" t="str">
        <f>IF(Table1[[#This Row],[DUT Read]]="","N/A",Table1[[#This Row],[Std Error]]+Table1[[#This Row],[DUT Read]]+Table1[[#This Row],[DUT Ucty]])</f>
        <v>N/A</v>
      </c>
      <c r="Y544" s="1" t="str">
        <f>IF(Table1[[#This Row],[Std Read]]="","N/A",Table1[[#This Row],[Std Read]]+Table1[[#This Row],[Std Ucty]])</f>
        <v>N/A</v>
      </c>
      <c r="Z5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4" s="1" t="str">
        <f>IF(Table1[[#This Row],[Spec Type]]="","N/A",Table1[[#This Row],[Spec Type]])</f>
        <v>±</v>
      </c>
      <c r="AC544" s="1" t="str">
        <f>IF(Table1[[#This Row],[Spec Type2]]="N/A","N/A",IF(AND(Table1[[#This Row],[DUT Adj Read]]&gt;=Table1[[#This Row],[Low Tol]],Table1[[#This Row],[DUT Adj Read]]&lt;=Table1[[#This Row],[High Tol]]),"Pass","Fail"))</f>
        <v>Fail</v>
      </c>
      <c r="AD544" s="1" t="str">
        <f>IF(AND(Table1[[#This Row],[Spec Type2]]="N/A",Table1[[#This Row],[DUT Adj Read]]="N/A",Table1[[#This Row],[Std Adj Read]]="N/A"),"N/A",IF(Table1[[#This Row],[DUT Adj Read]]="N/A",IF(Table1[[#This Row],[Std Adj Read]]&gt;Table1[[#This Row],[Low Tol]],"Pass","Fail"),IF(Table1[[#This Row],[DUT Adj Read]]&gt;Table1[[#This Row],[Low Tol]],"Pass","Fail")))</f>
        <v>Pass</v>
      </c>
      <c r="AE544" s="1" t="str">
        <f>IF(AND(Table1[[#This Row],[Spec Type2]]="N/A",Table1[[#This Row],[DUT Adj Read]]="N/A",Table1[[#This Row],[Std Adj Read]]="N/A"),"N/A",IF(Table1[[#This Row],[DUT Adj Read]]="N/A",IF(Table1[[#This Row],[Std Adj Read]]&lt;Table1[[#This Row],[High Tol]],"Pass","Fail"),IF(Table1[[#This Row],[DUT Adj Read]]&lt;Table1[[#This Row],[High Tol]],"Pass","Fail")))</f>
        <v>Fail</v>
      </c>
      <c r="AF544" s="1" t="str">
        <f>IF(AND(Table1[[#This Row],[Spec Type2]]="N/A",Table1[[#This Row],[DUT Adj Read]]="N/A",Table1[[#This Row],[Std Adj Read]]="N/A"),"N/A",IF(Table1[[#This Row],[DUT Adj Read]]="N/A",IF(Table1[[#This Row],[Std Adj Read]]&gt;=Table1[[#This Row],[Low Tol]],"Pass","Fail"),IF(Table1[[#This Row],[DUT Adj Read]]&gt;=Table1[[#This Row],[Low Tol]],"Pass","Fail")))</f>
        <v>Pass</v>
      </c>
      <c r="AG544" s="1" t="str">
        <f>IF(AND(Table1[[#This Row],[Spec Type2]]="N/A",Table1[[#This Row],[DUT Adj Read]]="N/A",Table1[[#This Row],[Std Adj Read]]="N/A"),"N/A",IF(Table1[[#This Row],[DUT Adj Read]]="N/A",IF(Table1[[#This Row],[Std Adj Read]]&lt;=Table1[[#This Row],[High Tol]],"Pass","Fail"),IF(Table1[[#This Row],[DUT Adj Read]]&lt;=Table1[[#This Row],[High Tol]],"Pass","Fail")))</f>
        <v>Fail</v>
      </c>
      <c r="AH5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4" s="1" t="b">
        <v>0</v>
      </c>
      <c r="AN544" s="1" t="b">
        <v>0</v>
      </c>
      <c r="AO544" s="1" t="b">
        <v>0</v>
      </c>
    </row>
    <row r="545" spans="1:41" x14ac:dyDescent="0.25">
      <c r="A545" s="10"/>
      <c r="B545" s="10"/>
      <c r="C545" s="10"/>
      <c r="D545" s="10"/>
      <c r="E545" s="10"/>
      <c r="F545" s="10"/>
      <c r="G545" s="10"/>
      <c r="H545" s="10"/>
      <c r="I545" s="1" t="str">
        <f t="shared" si="24"/>
        <v/>
      </c>
      <c r="J545" s="1" t="s">
        <v>35</v>
      </c>
      <c r="K545" s="1" t="str">
        <f t="shared" si="25"/>
        <v/>
      </c>
      <c r="L545" s="1" t="str">
        <f t="shared" si="26"/>
        <v/>
      </c>
      <c r="M545" s="1">
        <f>IF(OR(Table1[[#This Row],[Std Nom]]="",Table1[[#This Row],[Std Read]]=""),0,Table1[[#This Row],[Std Nom]]-Table1[[#This Row],[Std Read]])</f>
        <v>0</v>
      </c>
      <c r="N545" s="1">
        <f>IF(Calculations!$F$5="ACCREDITED 17025 WITH UNCERTAINTIES",$N$10,0)</f>
        <v>0</v>
      </c>
      <c r="O545" s="1" t="str">
        <f>IFERROR(Table1[[#This Row],[Std Nom]]-(_xlfn.XLOOKUP(Table1[[#This Row],[Manufacturer]]&amp;" "&amp;Table1[[#This Row],[Model]],Table13[MFR &amp; MDL],Table13[Tolerance % CW ],"")/100*Table1[[#This Row],[Std Nom]]),"")</f>
        <v/>
      </c>
      <c r="P545" s="1" t="str">
        <f>IFERROR(Table1[[#This Row],[Std Nom]]+(_xlfn.XLOOKUP(Table1[[#This Row],[Manufacturer]]&amp;" "&amp;Table1[[#This Row],[Model]],Table13[MFR &amp; MDL],Table13[Tolerance % CW ],"")/100*Table1[[#This Row],[Std Nom]]),"")</f>
        <v/>
      </c>
      <c r="Q545" s="1" t="e">
        <f>Table1[[#This Row],[High Tol]]-Table1[[#This Row],[Low Tol]]</f>
        <v>#VALUE!</v>
      </c>
      <c r="R545" s="1">
        <f>2*Table1[[#This Row],[Std Error]]</f>
        <v>0</v>
      </c>
      <c r="S545" s="1" t="str">
        <f>IF(Table1[[#This Row],[High Tol]]="","N/A",IFERROR(ABS(Table1[[#This Row],[Tol Span]]/Table1[[#This Row],[Error Span]]),"N/A"))</f>
        <v>N/A</v>
      </c>
      <c r="T545" s="1" t="str">
        <f>IF(OR(Table1[[#This Row],[Low Tol]]="",Table1[[#This Row],[High Tol]]=""),"Needs Analysis",IF(Table1[[#This Row],[Ratio]]&gt;=4,"Not Significant",IF(Table1[[#This Row],[Ratio]]&gt;=2,"Semi-Significant","Significant")))</f>
        <v>Needs Analysis</v>
      </c>
      <c r="W545" s="1">
        <f>IF(Table1[[#This Row],[Cal Type]]&lt;&gt;"ACCREDITED 17025 WITH UNCERTAINTIES",0,"")</f>
        <v>0</v>
      </c>
      <c r="X545" s="1" t="str">
        <f>IF(Table1[[#This Row],[DUT Read]]="","N/A",Table1[[#This Row],[Std Error]]+Table1[[#This Row],[DUT Read]]+Table1[[#This Row],[DUT Ucty]])</f>
        <v>N/A</v>
      </c>
      <c r="Y545" s="1" t="str">
        <f>IF(Table1[[#This Row],[Std Read]]="","N/A",Table1[[#This Row],[Std Read]]+Table1[[#This Row],[Std Ucty]])</f>
        <v>N/A</v>
      </c>
      <c r="Z5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5" s="1" t="str">
        <f>IF(Table1[[#This Row],[Spec Type]]="","N/A",Table1[[#This Row],[Spec Type]])</f>
        <v>±</v>
      </c>
      <c r="AC545" s="1" t="str">
        <f>IF(Table1[[#This Row],[Spec Type2]]="N/A","N/A",IF(AND(Table1[[#This Row],[DUT Adj Read]]&gt;=Table1[[#This Row],[Low Tol]],Table1[[#This Row],[DUT Adj Read]]&lt;=Table1[[#This Row],[High Tol]]),"Pass","Fail"))</f>
        <v>Fail</v>
      </c>
      <c r="AD545" s="1" t="str">
        <f>IF(AND(Table1[[#This Row],[Spec Type2]]="N/A",Table1[[#This Row],[DUT Adj Read]]="N/A",Table1[[#This Row],[Std Adj Read]]="N/A"),"N/A",IF(Table1[[#This Row],[DUT Adj Read]]="N/A",IF(Table1[[#This Row],[Std Adj Read]]&gt;Table1[[#This Row],[Low Tol]],"Pass","Fail"),IF(Table1[[#This Row],[DUT Adj Read]]&gt;Table1[[#This Row],[Low Tol]],"Pass","Fail")))</f>
        <v>Pass</v>
      </c>
      <c r="AE545" s="1" t="str">
        <f>IF(AND(Table1[[#This Row],[Spec Type2]]="N/A",Table1[[#This Row],[DUT Adj Read]]="N/A",Table1[[#This Row],[Std Adj Read]]="N/A"),"N/A",IF(Table1[[#This Row],[DUT Adj Read]]="N/A",IF(Table1[[#This Row],[Std Adj Read]]&lt;Table1[[#This Row],[High Tol]],"Pass","Fail"),IF(Table1[[#This Row],[DUT Adj Read]]&lt;Table1[[#This Row],[High Tol]],"Pass","Fail")))</f>
        <v>Fail</v>
      </c>
      <c r="AF545" s="1" t="str">
        <f>IF(AND(Table1[[#This Row],[Spec Type2]]="N/A",Table1[[#This Row],[DUT Adj Read]]="N/A",Table1[[#This Row],[Std Adj Read]]="N/A"),"N/A",IF(Table1[[#This Row],[DUT Adj Read]]="N/A",IF(Table1[[#This Row],[Std Adj Read]]&gt;=Table1[[#This Row],[Low Tol]],"Pass","Fail"),IF(Table1[[#This Row],[DUT Adj Read]]&gt;=Table1[[#This Row],[Low Tol]],"Pass","Fail")))</f>
        <v>Pass</v>
      </c>
      <c r="AG545" s="1" t="str">
        <f>IF(AND(Table1[[#This Row],[Spec Type2]]="N/A",Table1[[#This Row],[DUT Adj Read]]="N/A",Table1[[#This Row],[Std Adj Read]]="N/A"),"N/A",IF(Table1[[#This Row],[DUT Adj Read]]="N/A",IF(Table1[[#This Row],[Std Adj Read]]&lt;=Table1[[#This Row],[High Tol]],"Pass","Fail"),IF(Table1[[#This Row],[DUT Adj Read]]&lt;=Table1[[#This Row],[High Tol]],"Pass","Fail")))</f>
        <v>Fail</v>
      </c>
      <c r="AH5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5" s="1" t="b">
        <v>0</v>
      </c>
      <c r="AN545" s="1" t="b">
        <v>0</v>
      </c>
      <c r="AO545" s="1" t="b">
        <v>0</v>
      </c>
    </row>
    <row r="546" spans="1:41" x14ac:dyDescent="0.25">
      <c r="A546" s="10"/>
      <c r="B546" s="10"/>
      <c r="C546" s="10"/>
      <c r="D546" s="10"/>
      <c r="E546" s="10"/>
      <c r="F546" s="10"/>
      <c r="G546" s="10"/>
      <c r="H546" s="10"/>
      <c r="I546" s="1" t="str">
        <f t="shared" si="24"/>
        <v/>
      </c>
      <c r="J546" s="1" t="s">
        <v>35</v>
      </c>
      <c r="K546" s="1" t="str">
        <f t="shared" si="25"/>
        <v/>
      </c>
      <c r="L546" s="1" t="str">
        <f t="shared" si="26"/>
        <v/>
      </c>
      <c r="M546" s="1">
        <f>IF(OR(Table1[[#This Row],[Std Nom]]="",Table1[[#This Row],[Std Read]]=""),0,Table1[[#This Row],[Std Nom]]-Table1[[#This Row],[Std Read]])</f>
        <v>0</v>
      </c>
      <c r="N546" s="1">
        <f>IF(Calculations!$F$5="ACCREDITED 17025 WITH UNCERTAINTIES",$N$10,0)</f>
        <v>0</v>
      </c>
      <c r="O546" s="1" t="str">
        <f>IFERROR(Table1[[#This Row],[Std Nom]]-(_xlfn.XLOOKUP(Table1[[#This Row],[Manufacturer]]&amp;" "&amp;Table1[[#This Row],[Model]],Table13[MFR &amp; MDL],Table13[Tolerance % CW ],"")/100*Table1[[#This Row],[Std Nom]]),"")</f>
        <v/>
      </c>
      <c r="P546" s="1" t="str">
        <f>IFERROR(Table1[[#This Row],[Std Nom]]+(_xlfn.XLOOKUP(Table1[[#This Row],[Manufacturer]]&amp;" "&amp;Table1[[#This Row],[Model]],Table13[MFR &amp; MDL],Table13[Tolerance % CW ],"")/100*Table1[[#This Row],[Std Nom]]),"")</f>
        <v/>
      </c>
      <c r="Q546" s="1" t="e">
        <f>Table1[[#This Row],[High Tol]]-Table1[[#This Row],[Low Tol]]</f>
        <v>#VALUE!</v>
      </c>
      <c r="R546" s="1">
        <f>2*Table1[[#This Row],[Std Error]]</f>
        <v>0</v>
      </c>
      <c r="S546" s="1" t="str">
        <f>IF(Table1[[#This Row],[High Tol]]="","N/A",IFERROR(ABS(Table1[[#This Row],[Tol Span]]/Table1[[#This Row],[Error Span]]),"N/A"))</f>
        <v>N/A</v>
      </c>
      <c r="T546" s="1" t="str">
        <f>IF(OR(Table1[[#This Row],[Low Tol]]="",Table1[[#This Row],[High Tol]]=""),"Needs Analysis",IF(Table1[[#This Row],[Ratio]]&gt;=4,"Not Significant",IF(Table1[[#This Row],[Ratio]]&gt;=2,"Semi-Significant","Significant")))</f>
        <v>Needs Analysis</v>
      </c>
      <c r="W546" s="1">
        <f>IF(Table1[[#This Row],[Cal Type]]&lt;&gt;"ACCREDITED 17025 WITH UNCERTAINTIES",0,"")</f>
        <v>0</v>
      </c>
      <c r="X546" s="1" t="str">
        <f>IF(Table1[[#This Row],[DUT Read]]="","N/A",Table1[[#This Row],[Std Error]]+Table1[[#This Row],[DUT Read]]+Table1[[#This Row],[DUT Ucty]])</f>
        <v>N/A</v>
      </c>
      <c r="Y546" s="1" t="str">
        <f>IF(Table1[[#This Row],[Std Read]]="","N/A",Table1[[#This Row],[Std Read]]+Table1[[#This Row],[Std Ucty]])</f>
        <v>N/A</v>
      </c>
      <c r="Z5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6" s="1" t="str">
        <f>IF(Table1[[#This Row],[Spec Type]]="","N/A",Table1[[#This Row],[Spec Type]])</f>
        <v>±</v>
      </c>
      <c r="AC546" s="1" t="str">
        <f>IF(Table1[[#This Row],[Spec Type2]]="N/A","N/A",IF(AND(Table1[[#This Row],[DUT Adj Read]]&gt;=Table1[[#This Row],[Low Tol]],Table1[[#This Row],[DUT Adj Read]]&lt;=Table1[[#This Row],[High Tol]]),"Pass","Fail"))</f>
        <v>Fail</v>
      </c>
      <c r="AD546" s="1" t="str">
        <f>IF(AND(Table1[[#This Row],[Spec Type2]]="N/A",Table1[[#This Row],[DUT Adj Read]]="N/A",Table1[[#This Row],[Std Adj Read]]="N/A"),"N/A",IF(Table1[[#This Row],[DUT Adj Read]]="N/A",IF(Table1[[#This Row],[Std Adj Read]]&gt;Table1[[#This Row],[Low Tol]],"Pass","Fail"),IF(Table1[[#This Row],[DUT Adj Read]]&gt;Table1[[#This Row],[Low Tol]],"Pass","Fail")))</f>
        <v>Pass</v>
      </c>
      <c r="AE546" s="1" t="str">
        <f>IF(AND(Table1[[#This Row],[Spec Type2]]="N/A",Table1[[#This Row],[DUT Adj Read]]="N/A",Table1[[#This Row],[Std Adj Read]]="N/A"),"N/A",IF(Table1[[#This Row],[DUT Adj Read]]="N/A",IF(Table1[[#This Row],[Std Adj Read]]&lt;Table1[[#This Row],[High Tol]],"Pass","Fail"),IF(Table1[[#This Row],[DUT Adj Read]]&lt;Table1[[#This Row],[High Tol]],"Pass","Fail")))</f>
        <v>Fail</v>
      </c>
      <c r="AF546" s="1" t="str">
        <f>IF(AND(Table1[[#This Row],[Spec Type2]]="N/A",Table1[[#This Row],[DUT Adj Read]]="N/A",Table1[[#This Row],[Std Adj Read]]="N/A"),"N/A",IF(Table1[[#This Row],[DUT Adj Read]]="N/A",IF(Table1[[#This Row],[Std Adj Read]]&gt;=Table1[[#This Row],[Low Tol]],"Pass","Fail"),IF(Table1[[#This Row],[DUT Adj Read]]&gt;=Table1[[#This Row],[Low Tol]],"Pass","Fail")))</f>
        <v>Pass</v>
      </c>
      <c r="AG546" s="1" t="str">
        <f>IF(AND(Table1[[#This Row],[Spec Type2]]="N/A",Table1[[#This Row],[DUT Adj Read]]="N/A",Table1[[#This Row],[Std Adj Read]]="N/A"),"N/A",IF(Table1[[#This Row],[DUT Adj Read]]="N/A",IF(Table1[[#This Row],[Std Adj Read]]&lt;=Table1[[#This Row],[High Tol]],"Pass","Fail"),IF(Table1[[#This Row],[DUT Adj Read]]&lt;=Table1[[#This Row],[High Tol]],"Pass","Fail")))</f>
        <v>Fail</v>
      </c>
      <c r="AH5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6" s="1" t="b">
        <v>0</v>
      </c>
      <c r="AN546" s="1" t="b">
        <v>0</v>
      </c>
      <c r="AO546" s="1" t="b">
        <v>0</v>
      </c>
    </row>
    <row r="547" spans="1:41" x14ac:dyDescent="0.25">
      <c r="A547" s="10"/>
      <c r="B547" s="10"/>
      <c r="C547" s="10"/>
      <c r="D547" s="10"/>
      <c r="E547" s="10"/>
      <c r="F547" s="10"/>
      <c r="G547" s="10"/>
      <c r="H547" s="10"/>
      <c r="I547" s="1" t="str">
        <f t="shared" si="24"/>
        <v/>
      </c>
      <c r="J547" s="1" t="s">
        <v>35</v>
      </c>
      <c r="K547" s="1" t="str">
        <f t="shared" si="25"/>
        <v/>
      </c>
      <c r="L547" s="1" t="str">
        <f t="shared" si="26"/>
        <v/>
      </c>
      <c r="M547" s="1">
        <f>IF(OR(Table1[[#This Row],[Std Nom]]="",Table1[[#This Row],[Std Read]]=""),0,Table1[[#This Row],[Std Nom]]-Table1[[#This Row],[Std Read]])</f>
        <v>0</v>
      </c>
      <c r="N547" s="1">
        <f>IF(Calculations!$F$5="ACCREDITED 17025 WITH UNCERTAINTIES",$N$10,0)</f>
        <v>0</v>
      </c>
      <c r="O547" s="1" t="str">
        <f>IFERROR(Table1[[#This Row],[Std Nom]]-(_xlfn.XLOOKUP(Table1[[#This Row],[Manufacturer]]&amp;" "&amp;Table1[[#This Row],[Model]],Table13[MFR &amp; MDL],Table13[Tolerance % CW ],"")/100*Table1[[#This Row],[Std Nom]]),"")</f>
        <v/>
      </c>
      <c r="P547" s="1" t="str">
        <f>IFERROR(Table1[[#This Row],[Std Nom]]+(_xlfn.XLOOKUP(Table1[[#This Row],[Manufacturer]]&amp;" "&amp;Table1[[#This Row],[Model]],Table13[MFR &amp; MDL],Table13[Tolerance % CW ],"")/100*Table1[[#This Row],[Std Nom]]),"")</f>
        <v/>
      </c>
      <c r="Q547" s="1" t="e">
        <f>Table1[[#This Row],[High Tol]]-Table1[[#This Row],[Low Tol]]</f>
        <v>#VALUE!</v>
      </c>
      <c r="R547" s="1">
        <f>2*Table1[[#This Row],[Std Error]]</f>
        <v>0</v>
      </c>
      <c r="S547" s="1" t="str">
        <f>IF(Table1[[#This Row],[High Tol]]="","N/A",IFERROR(ABS(Table1[[#This Row],[Tol Span]]/Table1[[#This Row],[Error Span]]),"N/A"))</f>
        <v>N/A</v>
      </c>
      <c r="T547" s="1" t="str">
        <f>IF(OR(Table1[[#This Row],[Low Tol]]="",Table1[[#This Row],[High Tol]]=""),"Needs Analysis",IF(Table1[[#This Row],[Ratio]]&gt;=4,"Not Significant",IF(Table1[[#This Row],[Ratio]]&gt;=2,"Semi-Significant","Significant")))</f>
        <v>Needs Analysis</v>
      </c>
      <c r="W547" s="1">
        <f>IF(Table1[[#This Row],[Cal Type]]&lt;&gt;"ACCREDITED 17025 WITH UNCERTAINTIES",0,"")</f>
        <v>0</v>
      </c>
      <c r="X547" s="1" t="str">
        <f>IF(Table1[[#This Row],[DUT Read]]="","N/A",Table1[[#This Row],[Std Error]]+Table1[[#This Row],[DUT Read]]+Table1[[#This Row],[DUT Ucty]])</f>
        <v>N/A</v>
      </c>
      <c r="Y547" s="1" t="str">
        <f>IF(Table1[[#This Row],[Std Read]]="","N/A",Table1[[#This Row],[Std Read]]+Table1[[#This Row],[Std Ucty]])</f>
        <v>N/A</v>
      </c>
      <c r="Z5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7" s="1" t="str">
        <f>IF(Table1[[#This Row],[Spec Type]]="","N/A",Table1[[#This Row],[Spec Type]])</f>
        <v>±</v>
      </c>
      <c r="AC547" s="1" t="str">
        <f>IF(Table1[[#This Row],[Spec Type2]]="N/A","N/A",IF(AND(Table1[[#This Row],[DUT Adj Read]]&gt;=Table1[[#This Row],[Low Tol]],Table1[[#This Row],[DUT Adj Read]]&lt;=Table1[[#This Row],[High Tol]]),"Pass","Fail"))</f>
        <v>Fail</v>
      </c>
      <c r="AD547" s="1" t="str">
        <f>IF(AND(Table1[[#This Row],[Spec Type2]]="N/A",Table1[[#This Row],[DUT Adj Read]]="N/A",Table1[[#This Row],[Std Adj Read]]="N/A"),"N/A",IF(Table1[[#This Row],[DUT Adj Read]]="N/A",IF(Table1[[#This Row],[Std Adj Read]]&gt;Table1[[#This Row],[Low Tol]],"Pass","Fail"),IF(Table1[[#This Row],[DUT Adj Read]]&gt;Table1[[#This Row],[Low Tol]],"Pass","Fail")))</f>
        <v>Pass</v>
      </c>
      <c r="AE547" s="1" t="str">
        <f>IF(AND(Table1[[#This Row],[Spec Type2]]="N/A",Table1[[#This Row],[DUT Adj Read]]="N/A",Table1[[#This Row],[Std Adj Read]]="N/A"),"N/A",IF(Table1[[#This Row],[DUT Adj Read]]="N/A",IF(Table1[[#This Row],[Std Adj Read]]&lt;Table1[[#This Row],[High Tol]],"Pass","Fail"),IF(Table1[[#This Row],[DUT Adj Read]]&lt;Table1[[#This Row],[High Tol]],"Pass","Fail")))</f>
        <v>Fail</v>
      </c>
      <c r="AF547" s="1" t="str">
        <f>IF(AND(Table1[[#This Row],[Spec Type2]]="N/A",Table1[[#This Row],[DUT Adj Read]]="N/A",Table1[[#This Row],[Std Adj Read]]="N/A"),"N/A",IF(Table1[[#This Row],[DUT Adj Read]]="N/A",IF(Table1[[#This Row],[Std Adj Read]]&gt;=Table1[[#This Row],[Low Tol]],"Pass","Fail"),IF(Table1[[#This Row],[DUT Adj Read]]&gt;=Table1[[#This Row],[Low Tol]],"Pass","Fail")))</f>
        <v>Pass</v>
      </c>
      <c r="AG547" s="1" t="str">
        <f>IF(AND(Table1[[#This Row],[Spec Type2]]="N/A",Table1[[#This Row],[DUT Adj Read]]="N/A",Table1[[#This Row],[Std Adj Read]]="N/A"),"N/A",IF(Table1[[#This Row],[DUT Adj Read]]="N/A",IF(Table1[[#This Row],[Std Adj Read]]&lt;=Table1[[#This Row],[High Tol]],"Pass","Fail"),IF(Table1[[#This Row],[DUT Adj Read]]&lt;=Table1[[#This Row],[High Tol]],"Pass","Fail")))</f>
        <v>Fail</v>
      </c>
      <c r="AH5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7" s="1" t="b">
        <v>0</v>
      </c>
      <c r="AN547" s="1" t="b">
        <v>0</v>
      </c>
      <c r="AO547" s="1" t="b">
        <v>0</v>
      </c>
    </row>
    <row r="548" spans="1:41" x14ac:dyDescent="0.25">
      <c r="A548" s="10"/>
      <c r="B548" s="10"/>
      <c r="C548" s="10"/>
      <c r="D548" s="10"/>
      <c r="E548" s="10"/>
      <c r="F548" s="10"/>
      <c r="G548" s="10"/>
      <c r="H548" s="10"/>
      <c r="I548" s="1" t="str">
        <f t="shared" si="24"/>
        <v/>
      </c>
      <c r="J548" s="1" t="s">
        <v>35</v>
      </c>
      <c r="K548" s="1" t="str">
        <f t="shared" si="25"/>
        <v/>
      </c>
      <c r="L548" s="1" t="str">
        <f t="shared" si="26"/>
        <v/>
      </c>
      <c r="M548" s="1">
        <f>IF(OR(Table1[[#This Row],[Std Nom]]="",Table1[[#This Row],[Std Read]]=""),0,Table1[[#This Row],[Std Nom]]-Table1[[#This Row],[Std Read]])</f>
        <v>0</v>
      </c>
      <c r="N548" s="1">
        <f>IF(Calculations!$F$5="ACCREDITED 17025 WITH UNCERTAINTIES",$N$10,0)</f>
        <v>0</v>
      </c>
      <c r="O548" s="1" t="str">
        <f>IFERROR(Table1[[#This Row],[Std Nom]]-(_xlfn.XLOOKUP(Table1[[#This Row],[Manufacturer]]&amp;" "&amp;Table1[[#This Row],[Model]],Table13[MFR &amp; MDL],Table13[Tolerance % CW ],"")/100*Table1[[#This Row],[Std Nom]]),"")</f>
        <v/>
      </c>
      <c r="P548" s="1" t="str">
        <f>IFERROR(Table1[[#This Row],[Std Nom]]+(_xlfn.XLOOKUP(Table1[[#This Row],[Manufacturer]]&amp;" "&amp;Table1[[#This Row],[Model]],Table13[MFR &amp; MDL],Table13[Tolerance % CW ],"")/100*Table1[[#This Row],[Std Nom]]),"")</f>
        <v/>
      </c>
      <c r="Q548" s="1" t="e">
        <f>Table1[[#This Row],[High Tol]]-Table1[[#This Row],[Low Tol]]</f>
        <v>#VALUE!</v>
      </c>
      <c r="R548" s="1">
        <f>2*Table1[[#This Row],[Std Error]]</f>
        <v>0</v>
      </c>
      <c r="S548" s="1" t="str">
        <f>IF(Table1[[#This Row],[High Tol]]="","N/A",IFERROR(ABS(Table1[[#This Row],[Tol Span]]/Table1[[#This Row],[Error Span]]),"N/A"))</f>
        <v>N/A</v>
      </c>
      <c r="T548" s="1" t="str">
        <f>IF(OR(Table1[[#This Row],[Low Tol]]="",Table1[[#This Row],[High Tol]]=""),"Needs Analysis",IF(Table1[[#This Row],[Ratio]]&gt;=4,"Not Significant",IF(Table1[[#This Row],[Ratio]]&gt;=2,"Semi-Significant","Significant")))</f>
        <v>Needs Analysis</v>
      </c>
      <c r="W548" s="1">
        <f>IF(Table1[[#This Row],[Cal Type]]&lt;&gt;"ACCREDITED 17025 WITH UNCERTAINTIES",0,"")</f>
        <v>0</v>
      </c>
      <c r="X548" s="1" t="str">
        <f>IF(Table1[[#This Row],[DUT Read]]="","N/A",Table1[[#This Row],[Std Error]]+Table1[[#This Row],[DUT Read]]+Table1[[#This Row],[DUT Ucty]])</f>
        <v>N/A</v>
      </c>
      <c r="Y548" s="1" t="str">
        <f>IF(Table1[[#This Row],[Std Read]]="","N/A",Table1[[#This Row],[Std Read]]+Table1[[#This Row],[Std Ucty]])</f>
        <v>N/A</v>
      </c>
      <c r="Z5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8" s="1" t="str">
        <f>IF(Table1[[#This Row],[Spec Type]]="","N/A",Table1[[#This Row],[Spec Type]])</f>
        <v>±</v>
      </c>
      <c r="AC548" s="1" t="str">
        <f>IF(Table1[[#This Row],[Spec Type2]]="N/A","N/A",IF(AND(Table1[[#This Row],[DUT Adj Read]]&gt;=Table1[[#This Row],[Low Tol]],Table1[[#This Row],[DUT Adj Read]]&lt;=Table1[[#This Row],[High Tol]]),"Pass","Fail"))</f>
        <v>Fail</v>
      </c>
      <c r="AD548" s="1" t="str">
        <f>IF(AND(Table1[[#This Row],[Spec Type2]]="N/A",Table1[[#This Row],[DUT Adj Read]]="N/A",Table1[[#This Row],[Std Adj Read]]="N/A"),"N/A",IF(Table1[[#This Row],[DUT Adj Read]]="N/A",IF(Table1[[#This Row],[Std Adj Read]]&gt;Table1[[#This Row],[Low Tol]],"Pass","Fail"),IF(Table1[[#This Row],[DUT Adj Read]]&gt;Table1[[#This Row],[Low Tol]],"Pass","Fail")))</f>
        <v>Pass</v>
      </c>
      <c r="AE548" s="1" t="str">
        <f>IF(AND(Table1[[#This Row],[Spec Type2]]="N/A",Table1[[#This Row],[DUT Adj Read]]="N/A",Table1[[#This Row],[Std Adj Read]]="N/A"),"N/A",IF(Table1[[#This Row],[DUT Adj Read]]="N/A",IF(Table1[[#This Row],[Std Adj Read]]&lt;Table1[[#This Row],[High Tol]],"Pass","Fail"),IF(Table1[[#This Row],[DUT Adj Read]]&lt;Table1[[#This Row],[High Tol]],"Pass","Fail")))</f>
        <v>Fail</v>
      </c>
      <c r="AF548" s="1" t="str">
        <f>IF(AND(Table1[[#This Row],[Spec Type2]]="N/A",Table1[[#This Row],[DUT Adj Read]]="N/A",Table1[[#This Row],[Std Adj Read]]="N/A"),"N/A",IF(Table1[[#This Row],[DUT Adj Read]]="N/A",IF(Table1[[#This Row],[Std Adj Read]]&gt;=Table1[[#This Row],[Low Tol]],"Pass","Fail"),IF(Table1[[#This Row],[DUT Adj Read]]&gt;=Table1[[#This Row],[Low Tol]],"Pass","Fail")))</f>
        <v>Pass</v>
      </c>
      <c r="AG548" s="1" t="str">
        <f>IF(AND(Table1[[#This Row],[Spec Type2]]="N/A",Table1[[#This Row],[DUT Adj Read]]="N/A",Table1[[#This Row],[Std Adj Read]]="N/A"),"N/A",IF(Table1[[#This Row],[DUT Adj Read]]="N/A",IF(Table1[[#This Row],[Std Adj Read]]&lt;=Table1[[#This Row],[High Tol]],"Pass","Fail"),IF(Table1[[#This Row],[DUT Adj Read]]&lt;=Table1[[#This Row],[High Tol]],"Pass","Fail")))</f>
        <v>Fail</v>
      </c>
      <c r="AH5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8" s="1" t="b">
        <v>0</v>
      </c>
      <c r="AN548" s="1" t="b">
        <v>0</v>
      </c>
      <c r="AO548" s="1" t="b">
        <v>0</v>
      </c>
    </row>
    <row r="549" spans="1:41" x14ac:dyDescent="0.25">
      <c r="A549" s="10"/>
      <c r="B549" s="10"/>
      <c r="C549" s="10"/>
      <c r="D549" s="10"/>
      <c r="E549" s="10"/>
      <c r="F549" s="10"/>
      <c r="G549" s="10"/>
      <c r="H549" s="10"/>
      <c r="I549" s="1" t="str">
        <f t="shared" si="24"/>
        <v/>
      </c>
      <c r="J549" s="1" t="s">
        <v>35</v>
      </c>
      <c r="K549" s="1" t="str">
        <f t="shared" si="25"/>
        <v/>
      </c>
      <c r="L549" s="1" t="str">
        <f t="shared" si="26"/>
        <v/>
      </c>
      <c r="M549" s="1">
        <f>IF(OR(Table1[[#This Row],[Std Nom]]="",Table1[[#This Row],[Std Read]]=""),0,Table1[[#This Row],[Std Nom]]-Table1[[#This Row],[Std Read]])</f>
        <v>0</v>
      </c>
      <c r="N549" s="1">
        <f>IF(Calculations!$F$5="ACCREDITED 17025 WITH UNCERTAINTIES",$N$10,0)</f>
        <v>0</v>
      </c>
      <c r="O549" s="1" t="str">
        <f>IFERROR(Table1[[#This Row],[Std Nom]]-(_xlfn.XLOOKUP(Table1[[#This Row],[Manufacturer]]&amp;" "&amp;Table1[[#This Row],[Model]],Table13[MFR &amp; MDL],Table13[Tolerance % CW ],"")/100*Table1[[#This Row],[Std Nom]]),"")</f>
        <v/>
      </c>
      <c r="P549" s="1" t="str">
        <f>IFERROR(Table1[[#This Row],[Std Nom]]+(_xlfn.XLOOKUP(Table1[[#This Row],[Manufacturer]]&amp;" "&amp;Table1[[#This Row],[Model]],Table13[MFR &amp; MDL],Table13[Tolerance % CW ],"")/100*Table1[[#This Row],[Std Nom]]),"")</f>
        <v/>
      </c>
      <c r="Q549" s="1" t="e">
        <f>Table1[[#This Row],[High Tol]]-Table1[[#This Row],[Low Tol]]</f>
        <v>#VALUE!</v>
      </c>
      <c r="R549" s="1">
        <f>2*Table1[[#This Row],[Std Error]]</f>
        <v>0</v>
      </c>
      <c r="S549" s="1" t="str">
        <f>IF(Table1[[#This Row],[High Tol]]="","N/A",IFERROR(ABS(Table1[[#This Row],[Tol Span]]/Table1[[#This Row],[Error Span]]),"N/A"))</f>
        <v>N/A</v>
      </c>
      <c r="T549" s="1" t="str">
        <f>IF(OR(Table1[[#This Row],[Low Tol]]="",Table1[[#This Row],[High Tol]]=""),"Needs Analysis",IF(Table1[[#This Row],[Ratio]]&gt;=4,"Not Significant",IF(Table1[[#This Row],[Ratio]]&gt;=2,"Semi-Significant","Significant")))</f>
        <v>Needs Analysis</v>
      </c>
      <c r="W549" s="1">
        <f>IF(Table1[[#This Row],[Cal Type]]&lt;&gt;"ACCREDITED 17025 WITH UNCERTAINTIES",0,"")</f>
        <v>0</v>
      </c>
      <c r="X549" s="1" t="str">
        <f>IF(Table1[[#This Row],[DUT Read]]="","N/A",Table1[[#This Row],[Std Error]]+Table1[[#This Row],[DUT Read]]+Table1[[#This Row],[DUT Ucty]])</f>
        <v>N/A</v>
      </c>
      <c r="Y549" s="1" t="str">
        <f>IF(Table1[[#This Row],[Std Read]]="","N/A",Table1[[#This Row],[Std Read]]+Table1[[#This Row],[Std Ucty]])</f>
        <v>N/A</v>
      </c>
      <c r="Z5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9" s="1" t="str">
        <f>IF(Table1[[#This Row],[Spec Type]]="","N/A",Table1[[#This Row],[Spec Type]])</f>
        <v>±</v>
      </c>
      <c r="AC549" s="1" t="str">
        <f>IF(Table1[[#This Row],[Spec Type2]]="N/A","N/A",IF(AND(Table1[[#This Row],[DUT Adj Read]]&gt;=Table1[[#This Row],[Low Tol]],Table1[[#This Row],[DUT Adj Read]]&lt;=Table1[[#This Row],[High Tol]]),"Pass","Fail"))</f>
        <v>Fail</v>
      </c>
      <c r="AD549" s="1" t="str">
        <f>IF(AND(Table1[[#This Row],[Spec Type2]]="N/A",Table1[[#This Row],[DUT Adj Read]]="N/A",Table1[[#This Row],[Std Adj Read]]="N/A"),"N/A",IF(Table1[[#This Row],[DUT Adj Read]]="N/A",IF(Table1[[#This Row],[Std Adj Read]]&gt;Table1[[#This Row],[Low Tol]],"Pass","Fail"),IF(Table1[[#This Row],[DUT Adj Read]]&gt;Table1[[#This Row],[Low Tol]],"Pass","Fail")))</f>
        <v>Pass</v>
      </c>
      <c r="AE549" s="1" t="str">
        <f>IF(AND(Table1[[#This Row],[Spec Type2]]="N/A",Table1[[#This Row],[DUT Adj Read]]="N/A",Table1[[#This Row],[Std Adj Read]]="N/A"),"N/A",IF(Table1[[#This Row],[DUT Adj Read]]="N/A",IF(Table1[[#This Row],[Std Adj Read]]&lt;Table1[[#This Row],[High Tol]],"Pass","Fail"),IF(Table1[[#This Row],[DUT Adj Read]]&lt;Table1[[#This Row],[High Tol]],"Pass","Fail")))</f>
        <v>Fail</v>
      </c>
      <c r="AF549" s="1" t="str">
        <f>IF(AND(Table1[[#This Row],[Spec Type2]]="N/A",Table1[[#This Row],[DUT Adj Read]]="N/A",Table1[[#This Row],[Std Adj Read]]="N/A"),"N/A",IF(Table1[[#This Row],[DUT Adj Read]]="N/A",IF(Table1[[#This Row],[Std Adj Read]]&gt;=Table1[[#This Row],[Low Tol]],"Pass","Fail"),IF(Table1[[#This Row],[DUT Adj Read]]&gt;=Table1[[#This Row],[Low Tol]],"Pass","Fail")))</f>
        <v>Pass</v>
      </c>
      <c r="AG549" s="1" t="str">
        <f>IF(AND(Table1[[#This Row],[Spec Type2]]="N/A",Table1[[#This Row],[DUT Adj Read]]="N/A",Table1[[#This Row],[Std Adj Read]]="N/A"),"N/A",IF(Table1[[#This Row],[DUT Adj Read]]="N/A",IF(Table1[[#This Row],[Std Adj Read]]&lt;=Table1[[#This Row],[High Tol]],"Pass","Fail"),IF(Table1[[#This Row],[DUT Adj Read]]&lt;=Table1[[#This Row],[High Tol]],"Pass","Fail")))</f>
        <v>Fail</v>
      </c>
      <c r="AH5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9" s="1" t="b">
        <v>0</v>
      </c>
      <c r="AN549" s="1" t="b">
        <v>0</v>
      </c>
      <c r="AO549" s="1" t="b">
        <v>0</v>
      </c>
    </row>
    <row r="550" spans="1:41" x14ac:dyDescent="0.25">
      <c r="A550" s="10"/>
      <c r="B550" s="10"/>
      <c r="C550" s="10"/>
      <c r="D550" s="10"/>
      <c r="E550" s="10"/>
      <c r="F550" s="10"/>
      <c r="G550" s="10"/>
      <c r="H550" s="10"/>
      <c r="I550" s="1" t="str">
        <f t="shared" si="24"/>
        <v/>
      </c>
      <c r="J550" s="1" t="s">
        <v>35</v>
      </c>
      <c r="K550" s="1" t="str">
        <f t="shared" si="25"/>
        <v/>
      </c>
      <c r="L550" s="1" t="str">
        <f t="shared" si="26"/>
        <v/>
      </c>
      <c r="M550" s="1">
        <f>IF(OR(Table1[[#This Row],[Std Nom]]="",Table1[[#This Row],[Std Read]]=""),0,Table1[[#This Row],[Std Nom]]-Table1[[#This Row],[Std Read]])</f>
        <v>0</v>
      </c>
      <c r="N550" s="1">
        <f>IF(Calculations!$F$5="ACCREDITED 17025 WITH UNCERTAINTIES",$N$10,0)</f>
        <v>0</v>
      </c>
      <c r="O550" s="1" t="str">
        <f>IFERROR(Table1[[#This Row],[Std Nom]]-(_xlfn.XLOOKUP(Table1[[#This Row],[Manufacturer]]&amp;" "&amp;Table1[[#This Row],[Model]],Table13[MFR &amp; MDL],Table13[Tolerance % CW ],"")/100*Table1[[#This Row],[Std Nom]]),"")</f>
        <v/>
      </c>
      <c r="P550" s="1" t="str">
        <f>IFERROR(Table1[[#This Row],[Std Nom]]+(_xlfn.XLOOKUP(Table1[[#This Row],[Manufacturer]]&amp;" "&amp;Table1[[#This Row],[Model]],Table13[MFR &amp; MDL],Table13[Tolerance % CW ],"")/100*Table1[[#This Row],[Std Nom]]),"")</f>
        <v/>
      </c>
      <c r="Q550" s="1" t="e">
        <f>Table1[[#This Row],[High Tol]]-Table1[[#This Row],[Low Tol]]</f>
        <v>#VALUE!</v>
      </c>
      <c r="R550" s="1">
        <f>2*Table1[[#This Row],[Std Error]]</f>
        <v>0</v>
      </c>
      <c r="S550" s="1" t="str">
        <f>IF(Table1[[#This Row],[High Tol]]="","N/A",IFERROR(ABS(Table1[[#This Row],[Tol Span]]/Table1[[#This Row],[Error Span]]),"N/A"))</f>
        <v>N/A</v>
      </c>
      <c r="T550" s="1" t="str">
        <f>IF(OR(Table1[[#This Row],[Low Tol]]="",Table1[[#This Row],[High Tol]]=""),"Needs Analysis",IF(Table1[[#This Row],[Ratio]]&gt;=4,"Not Significant",IF(Table1[[#This Row],[Ratio]]&gt;=2,"Semi-Significant","Significant")))</f>
        <v>Needs Analysis</v>
      </c>
      <c r="W550" s="1">
        <f>IF(Table1[[#This Row],[Cal Type]]&lt;&gt;"ACCREDITED 17025 WITH UNCERTAINTIES",0,"")</f>
        <v>0</v>
      </c>
      <c r="X550" s="1" t="str">
        <f>IF(Table1[[#This Row],[DUT Read]]="","N/A",Table1[[#This Row],[Std Error]]+Table1[[#This Row],[DUT Read]]+Table1[[#This Row],[DUT Ucty]])</f>
        <v>N/A</v>
      </c>
      <c r="Y550" s="1" t="str">
        <f>IF(Table1[[#This Row],[Std Read]]="","N/A",Table1[[#This Row],[Std Read]]+Table1[[#This Row],[Std Ucty]])</f>
        <v>N/A</v>
      </c>
      <c r="Z5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0" s="1" t="str">
        <f>IF(Table1[[#This Row],[Spec Type]]="","N/A",Table1[[#This Row],[Spec Type]])</f>
        <v>±</v>
      </c>
      <c r="AC550" s="1" t="str">
        <f>IF(Table1[[#This Row],[Spec Type2]]="N/A","N/A",IF(AND(Table1[[#This Row],[DUT Adj Read]]&gt;=Table1[[#This Row],[Low Tol]],Table1[[#This Row],[DUT Adj Read]]&lt;=Table1[[#This Row],[High Tol]]),"Pass","Fail"))</f>
        <v>Fail</v>
      </c>
      <c r="AD550" s="1" t="str">
        <f>IF(AND(Table1[[#This Row],[Spec Type2]]="N/A",Table1[[#This Row],[DUT Adj Read]]="N/A",Table1[[#This Row],[Std Adj Read]]="N/A"),"N/A",IF(Table1[[#This Row],[DUT Adj Read]]="N/A",IF(Table1[[#This Row],[Std Adj Read]]&gt;Table1[[#This Row],[Low Tol]],"Pass","Fail"),IF(Table1[[#This Row],[DUT Adj Read]]&gt;Table1[[#This Row],[Low Tol]],"Pass","Fail")))</f>
        <v>Pass</v>
      </c>
      <c r="AE550" s="1" t="str">
        <f>IF(AND(Table1[[#This Row],[Spec Type2]]="N/A",Table1[[#This Row],[DUT Adj Read]]="N/A",Table1[[#This Row],[Std Adj Read]]="N/A"),"N/A",IF(Table1[[#This Row],[DUT Adj Read]]="N/A",IF(Table1[[#This Row],[Std Adj Read]]&lt;Table1[[#This Row],[High Tol]],"Pass","Fail"),IF(Table1[[#This Row],[DUT Adj Read]]&lt;Table1[[#This Row],[High Tol]],"Pass","Fail")))</f>
        <v>Fail</v>
      </c>
      <c r="AF550" s="1" t="str">
        <f>IF(AND(Table1[[#This Row],[Spec Type2]]="N/A",Table1[[#This Row],[DUT Adj Read]]="N/A",Table1[[#This Row],[Std Adj Read]]="N/A"),"N/A",IF(Table1[[#This Row],[DUT Adj Read]]="N/A",IF(Table1[[#This Row],[Std Adj Read]]&gt;=Table1[[#This Row],[Low Tol]],"Pass","Fail"),IF(Table1[[#This Row],[DUT Adj Read]]&gt;=Table1[[#This Row],[Low Tol]],"Pass","Fail")))</f>
        <v>Pass</v>
      </c>
      <c r="AG550" s="1" t="str">
        <f>IF(AND(Table1[[#This Row],[Spec Type2]]="N/A",Table1[[#This Row],[DUT Adj Read]]="N/A",Table1[[#This Row],[Std Adj Read]]="N/A"),"N/A",IF(Table1[[#This Row],[DUT Adj Read]]="N/A",IF(Table1[[#This Row],[Std Adj Read]]&lt;=Table1[[#This Row],[High Tol]],"Pass","Fail"),IF(Table1[[#This Row],[DUT Adj Read]]&lt;=Table1[[#This Row],[High Tol]],"Pass","Fail")))</f>
        <v>Fail</v>
      </c>
      <c r="AH5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0" s="1" t="b">
        <v>0</v>
      </c>
      <c r="AN550" s="1" t="b">
        <v>0</v>
      </c>
      <c r="AO550" s="1" t="b">
        <v>0</v>
      </c>
    </row>
    <row r="551" spans="1:41" x14ac:dyDescent="0.25">
      <c r="A551" s="10"/>
      <c r="B551" s="10"/>
      <c r="C551" s="10"/>
      <c r="D551" s="10"/>
      <c r="E551" s="10"/>
      <c r="F551" s="10"/>
      <c r="G551" s="10"/>
      <c r="H551" s="10"/>
      <c r="I551" s="1" t="str">
        <f t="shared" si="24"/>
        <v/>
      </c>
      <c r="J551" s="1" t="s">
        <v>35</v>
      </c>
      <c r="K551" s="1" t="str">
        <f t="shared" si="25"/>
        <v/>
      </c>
      <c r="L551" s="1" t="str">
        <f t="shared" si="26"/>
        <v/>
      </c>
      <c r="M551" s="1">
        <f>IF(OR(Table1[[#This Row],[Std Nom]]="",Table1[[#This Row],[Std Read]]=""),0,Table1[[#This Row],[Std Nom]]-Table1[[#This Row],[Std Read]])</f>
        <v>0</v>
      </c>
      <c r="N551" s="1">
        <f>IF(Calculations!$F$5="ACCREDITED 17025 WITH UNCERTAINTIES",$N$10,0)</f>
        <v>0</v>
      </c>
      <c r="O551" s="1" t="str">
        <f>IFERROR(Table1[[#This Row],[Std Nom]]-(_xlfn.XLOOKUP(Table1[[#This Row],[Manufacturer]]&amp;" "&amp;Table1[[#This Row],[Model]],Table13[MFR &amp; MDL],Table13[Tolerance % CW ],"")/100*Table1[[#This Row],[Std Nom]]),"")</f>
        <v/>
      </c>
      <c r="P551" s="1" t="str">
        <f>IFERROR(Table1[[#This Row],[Std Nom]]+(_xlfn.XLOOKUP(Table1[[#This Row],[Manufacturer]]&amp;" "&amp;Table1[[#This Row],[Model]],Table13[MFR &amp; MDL],Table13[Tolerance % CW ],"")/100*Table1[[#This Row],[Std Nom]]),"")</f>
        <v/>
      </c>
      <c r="Q551" s="1" t="e">
        <f>Table1[[#This Row],[High Tol]]-Table1[[#This Row],[Low Tol]]</f>
        <v>#VALUE!</v>
      </c>
      <c r="R551" s="1">
        <f>2*Table1[[#This Row],[Std Error]]</f>
        <v>0</v>
      </c>
      <c r="S551" s="1" t="str">
        <f>IF(Table1[[#This Row],[High Tol]]="","N/A",IFERROR(ABS(Table1[[#This Row],[Tol Span]]/Table1[[#This Row],[Error Span]]),"N/A"))</f>
        <v>N/A</v>
      </c>
      <c r="T551" s="1" t="str">
        <f>IF(OR(Table1[[#This Row],[Low Tol]]="",Table1[[#This Row],[High Tol]]=""),"Needs Analysis",IF(Table1[[#This Row],[Ratio]]&gt;=4,"Not Significant",IF(Table1[[#This Row],[Ratio]]&gt;=2,"Semi-Significant","Significant")))</f>
        <v>Needs Analysis</v>
      </c>
      <c r="W551" s="1">
        <f>IF(Table1[[#This Row],[Cal Type]]&lt;&gt;"ACCREDITED 17025 WITH UNCERTAINTIES",0,"")</f>
        <v>0</v>
      </c>
      <c r="X551" s="1" t="str">
        <f>IF(Table1[[#This Row],[DUT Read]]="","N/A",Table1[[#This Row],[Std Error]]+Table1[[#This Row],[DUT Read]]+Table1[[#This Row],[DUT Ucty]])</f>
        <v>N/A</v>
      </c>
      <c r="Y551" s="1" t="str">
        <f>IF(Table1[[#This Row],[Std Read]]="","N/A",Table1[[#This Row],[Std Read]]+Table1[[#This Row],[Std Ucty]])</f>
        <v>N/A</v>
      </c>
      <c r="Z5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1" s="1" t="str">
        <f>IF(Table1[[#This Row],[Spec Type]]="","N/A",Table1[[#This Row],[Spec Type]])</f>
        <v>±</v>
      </c>
      <c r="AC551" s="1" t="str">
        <f>IF(Table1[[#This Row],[Spec Type2]]="N/A","N/A",IF(AND(Table1[[#This Row],[DUT Adj Read]]&gt;=Table1[[#This Row],[Low Tol]],Table1[[#This Row],[DUT Adj Read]]&lt;=Table1[[#This Row],[High Tol]]),"Pass","Fail"))</f>
        <v>Fail</v>
      </c>
      <c r="AD551" s="1" t="str">
        <f>IF(AND(Table1[[#This Row],[Spec Type2]]="N/A",Table1[[#This Row],[DUT Adj Read]]="N/A",Table1[[#This Row],[Std Adj Read]]="N/A"),"N/A",IF(Table1[[#This Row],[DUT Adj Read]]="N/A",IF(Table1[[#This Row],[Std Adj Read]]&gt;Table1[[#This Row],[Low Tol]],"Pass","Fail"),IF(Table1[[#This Row],[DUT Adj Read]]&gt;Table1[[#This Row],[Low Tol]],"Pass","Fail")))</f>
        <v>Pass</v>
      </c>
      <c r="AE551" s="1" t="str">
        <f>IF(AND(Table1[[#This Row],[Spec Type2]]="N/A",Table1[[#This Row],[DUT Adj Read]]="N/A",Table1[[#This Row],[Std Adj Read]]="N/A"),"N/A",IF(Table1[[#This Row],[DUT Adj Read]]="N/A",IF(Table1[[#This Row],[Std Adj Read]]&lt;Table1[[#This Row],[High Tol]],"Pass","Fail"),IF(Table1[[#This Row],[DUT Adj Read]]&lt;Table1[[#This Row],[High Tol]],"Pass","Fail")))</f>
        <v>Fail</v>
      </c>
      <c r="AF551" s="1" t="str">
        <f>IF(AND(Table1[[#This Row],[Spec Type2]]="N/A",Table1[[#This Row],[DUT Adj Read]]="N/A",Table1[[#This Row],[Std Adj Read]]="N/A"),"N/A",IF(Table1[[#This Row],[DUT Adj Read]]="N/A",IF(Table1[[#This Row],[Std Adj Read]]&gt;=Table1[[#This Row],[Low Tol]],"Pass","Fail"),IF(Table1[[#This Row],[DUT Adj Read]]&gt;=Table1[[#This Row],[Low Tol]],"Pass","Fail")))</f>
        <v>Pass</v>
      </c>
      <c r="AG551" s="1" t="str">
        <f>IF(AND(Table1[[#This Row],[Spec Type2]]="N/A",Table1[[#This Row],[DUT Adj Read]]="N/A",Table1[[#This Row],[Std Adj Read]]="N/A"),"N/A",IF(Table1[[#This Row],[DUT Adj Read]]="N/A",IF(Table1[[#This Row],[Std Adj Read]]&lt;=Table1[[#This Row],[High Tol]],"Pass","Fail"),IF(Table1[[#This Row],[DUT Adj Read]]&lt;=Table1[[#This Row],[High Tol]],"Pass","Fail")))</f>
        <v>Fail</v>
      </c>
      <c r="AH5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1" s="1" t="b">
        <v>0</v>
      </c>
      <c r="AN551" s="1" t="b">
        <v>0</v>
      </c>
      <c r="AO551" s="1" t="b">
        <v>0</v>
      </c>
    </row>
    <row r="552" spans="1:41" x14ac:dyDescent="0.25">
      <c r="A552" s="10"/>
      <c r="B552" s="10"/>
      <c r="C552" s="10"/>
      <c r="D552" s="10"/>
      <c r="E552" s="10"/>
      <c r="F552" s="10"/>
      <c r="G552" s="10"/>
      <c r="H552" s="10"/>
      <c r="I552" s="1" t="str">
        <f t="shared" si="24"/>
        <v/>
      </c>
      <c r="J552" s="1" t="s">
        <v>35</v>
      </c>
      <c r="K552" s="1" t="str">
        <f t="shared" si="25"/>
        <v/>
      </c>
      <c r="L552" s="1" t="str">
        <f t="shared" si="26"/>
        <v/>
      </c>
      <c r="M552" s="1">
        <f>IF(OR(Table1[[#This Row],[Std Nom]]="",Table1[[#This Row],[Std Read]]=""),0,Table1[[#This Row],[Std Nom]]-Table1[[#This Row],[Std Read]])</f>
        <v>0</v>
      </c>
      <c r="N552" s="1">
        <f>IF(Calculations!$F$5="ACCREDITED 17025 WITH UNCERTAINTIES",$N$10,0)</f>
        <v>0</v>
      </c>
      <c r="O552" s="1" t="str">
        <f>IFERROR(Table1[[#This Row],[Std Nom]]-(_xlfn.XLOOKUP(Table1[[#This Row],[Manufacturer]]&amp;" "&amp;Table1[[#This Row],[Model]],Table13[MFR &amp; MDL],Table13[Tolerance % CW ],"")/100*Table1[[#This Row],[Std Nom]]),"")</f>
        <v/>
      </c>
      <c r="P552" s="1" t="str">
        <f>IFERROR(Table1[[#This Row],[Std Nom]]+(_xlfn.XLOOKUP(Table1[[#This Row],[Manufacturer]]&amp;" "&amp;Table1[[#This Row],[Model]],Table13[MFR &amp; MDL],Table13[Tolerance % CW ],"")/100*Table1[[#This Row],[Std Nom]]),"")</f>
        <v/>
      </c>
      <c r="Q552" s="1" t="e">
        <f>Table1[[#This Row],[High Tol]]-Table1[[#This Row],[Low Tol]]</f>
        <v>#VALUE!</v>
      </c>
      <c r="R552" s="1">
        <f>2*Table1[[#This Row],[Std Error]]</f>
        <v>0</v>
      </c>
      <c r="S552" s="1" t="str">
        <f>IF(Table1[[#This Row],[High Tol]]="","N/A",IFERROR(ABS(Table1[[#This Row],[Tol Span]]/Table1[[#This Row],[Error Span]]),"N/A"))</f>
        <v>N/A</v>
      </c>
      <c r="T552" s="1" t="str">
        <f>IF(OR(Table1[[#This Row],[Low Tol]]="",Table1[[#This Row],[High Tol]]=""),"Needs Analysis",IF(Table1[[#This Row],[Ratio]]&gt;=4,"Not Significant",IF(Table1[[#This Row],[Ratio]]&gt;=2,"Semi-Significant","Significant")))</f>
        <v>Needs Analysis</v>
      </c>
      <c r="W552" s="1">
        <f>IF(Table1[[#This Row],[Cal Type]]&lt;&gt;"ACCREDITED 17025 WITH UNCERTAINTIES",0,"")</f>
        <v>0</v>
      </c>
      <c r="X552" s="1" t="str">
        <f>IF(Table1[[#This Row],[DUT Read]]="","N/A",Table1[[#This Row],[Std Error]]+Table1[[#This Row],[DUT Read]]+Table1[[#This Row],[DUT Ucty]])</f>
        <v>N/A</v>
      </c>
      <c r="Y552" s="1" t="str">
        <f>IF(Table1[[#This Row],[Std Read]]="","N/A",Table1[[#This Row],[Std Read]]+Table1[[#This Row],[Std Ucty]])</f>
        <v>N/A</v>
      </c>
      <c r="Z5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2" s="1" t="str">
        <f>IF(Table1[[#This Row],[Spec Type]]="","N/A",Table1[[#This Row],[Spec Type]])</f>
        <v>±</v>
      </c>
      <c r="AC552" s="1" t="str">
        <f>IF(Table1[[#This Row],[Spec Type2]]="N/A","N/A",IF(AND(Table1[[#This Row],[DUT Adj Read]]&gt;=Table1[[#This Row],[Low Tol]],Table1[[#This Row],[DUT Adj Read]]&lt;=Table1[[#This Row],[High Tol]]),"Pass","Fail"))</f>
        <v>Fail</v>
      </c>
      <c r="AD552" s="1" t="str">
        <f>IF(AND(Table1[[#This Row],[Spec Type2]]="N/A",Table1[[#This Row],[DUT Adj Read]]="N/A",Table1[[#This Row],[Std Adj Read]]="N/A"),"N/A",IF(Table1[[#This Row],[DUT Adj Read]]="N/A",IF(Table1[[#This Row],[Std Adj Read]]&gt;Table1[[#This Row],[Low Tol]],"Pass","Fail"),IF(Table1[[#This Row],[DUT Adj Read]]&gt;Table1[[#This Row],[Low Tol]],"Pass","Fail")))</f>
        <v>Pass</v>
      </c>
      <c r="AE552" s="1" t="str">
        <f>IF(AND(Table1[[#This Row],[Spec Type2]]="N/A",Table1[[#This Row],[DUT Adj Read]]="N/A",Table1[[#This Row],[Std Adj Read]]="N/A"),"N/A",IF(Table1[[#This Row],[DUT Adj Read]]="N/A",IF(Table1[[#This Row],[Std Adj Read]]&lt;Table1[[#This Row],[High Tol]],"Pass","Fail"),IF(Table1[[#This Row],[DUT Adj Read]]&lt;Table1[[#This Row],[High Tol]],"Pass","Fail")))</f>
        <v>Fail</v>
      </c>
      <c r="AF552" s="1" t="str">
        <f>IF(AND(Table1[[#This Row],[Spec Type2]]="N/A",Table1[[#This Row],[DUT Adj Read]]="N/A",Table1[[#This Row],[Std Adj Read]]="N/A"),"N/A",IF(Table1[[#This Row],[DUT Adj Read]]="N/A",IF(Table1[[#This Row],[Std Adj Read]]&gt;=Table1[[#This Row],[Low Tol]],"Pass","Fail"),IF(Table1[[#This Row],[DUT Adj Read]]&gt;=Table1[[#This Row],[Low Tol]],"Pass","Fail")))</f>
        <v>Pass</v>
      </c>
      <c r="AG552" s="1" t="str">
        <f>IF(AND(Table1[[#This Row],[Spec Type2]]="N/A",Table1[[#This Row],[DUT Adj Read]]="N/A",Table1[[#This Row],[Std Adj Read]]="N/A"),"N/A",IF(Table1[[#This Row],[DUT Adj Read]]="N/A",IF(Table1[[#This Row],[Std Adj Read]]&lt;=Table1[[#This Row],[High Tol]],"Pass","Fail"),IF(Table1[[#This Row],[DUT Adj Read]]&lt;=Table1[[#This Row],[High Tol]],"Pass","Fail")))</f>
        <v>Fail</v>
      </c>
      <c r="AH5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2" s="1" t="b">
        <v>0</v>
      </c>
      <c r="AN552" s="1" t="b">
        <v>0</v>
      </c>
      <c r="AO552" s="1" t="b">
        <v>0</v>
      </c>
    </row>
    <row r="553" spans="1:41" x14ac:dyDescent="0.25">
      <c r="A553" s="10"/>
      <c r="B553" s="10"/>
      <c r="C553" s="10"/>
      <c r="D553" s="10"/>
      <c r="E553" s="10"/>
      <c r="F553" s="10"/>
      <c r="G553" s="10"/>
      <c r="H553" s="10"/>
      <c r="I553" s="1" t="str">
        <f t="shared" si="24"/>
        <v/>
      </c>
      <c r="J553" s="1" t="s">
        <v>35</v>
      </c>
      <c r="K553" s="1" t="str">
        <f t="shared" si="25"/>
        <v/>
      </c>
      <c r="L553" s="1" t="str">
        <f t="shared" si="26"/>
        <v/>
      </c>
      <c r="M553" s="1">
        <f>IF(OR(Table1[[#This Row],[Std Nom]]="",Table1[[#This Row],[Std Read]]=""),0,Table1[[#This Row],[Std Nom]]-Table1[[#This Row],[Std Read]])</f>
        <v>0</v>
      </c>
      <c r="N553" s="1">
        <f>IF(Calculations!$F$5="ACCREDITED 17025 WITH UNCERTAINTIES",$N$10,0)</f>
        <v>0</v>
      </c>
      <c r="O553" s="1" t="str">
        <f>IFERROR(Table1[[#This Row],[Std Nom]]-(_xlfn.XLOOKUP(Table1[[#This Row],[Manufacturer]]&amp;" "&amp;Table1[[#This Row],[Model]],Table13[MFR &amp; MDL],Table13[Tolerance % CW ],"")/100*Table1[[#This Row],[Std Nom]]),"")</f>
        <v/>
      </c>
      <c r="P553" s="1" t="str">
        <f>IFERROR(Table1[[#This Row],[Std Nom]]+(_xlfn.XLOOKUP(Table1[[#This Row],[Manufacturer]]&amp;" "&amp;Table1[[#This Row],[Model]],Table13[MFR &amp; MDL],Table13[Tolerance % CW ],"")/100*Table1[[#This Row],[Std Nom]]),"")</f>
        <v/>
      </c>
      <c r="Q553" s="1" t="e">
        <f>Table1[[#This Row],[High Tol]]-Table1[[#This Row],[Low Tol]]</f>
        <v>#VALUE!</v>
      </c>
      <c r="R553" s="1">
        <f>2*Table1[[#This Row],[Std Error]]</f>
        <v>0</v>
      </c>
      <c r="S553" s="1" t="str">
        <f>IF(Table1[[#This Row],[High Tol]]="","N/A",IFERROR(ABS(Table1[[#This Row],[Tol Span]]/Table1[[#This Row],[Error Span]]),"N/A"))</f>
        <v>N/A</v>
      </c>
      <c r="T553" s="1" t="str">
        <f>IF(OR(Table1[[#This Row],[Low Tol]]="",Table1[[#This Row],[High Tol]]=""),"Needs Analysis",IF(Table1[[#This Row],[Ratio]]&gt;=4,"Not Significant",IF(Table1[[#This Row],[Ratio]]&gt;=2,"Semi-Significant","Significant")))</f>
        <v>Needs Analysis</v>
      </c>
      <c r="W553" s="1">
        <f>IF(Table1[[#This Row],[Cal Type]]&lt;&gt;"ACCREDITED 17025 WITH UNCERTAINTIES",0,"")</f>
        <v>0</v>
      </c>
      <c r="X553" s="1" t="str">
        <f>IF(Table1[[#This Row],[DUT Read]]="","N/A",Table1[[#This Row],[Std Error]]+Table1[[#This Row],[DUT Read]]+Table1[[#This Row],[DUT Ucty]])</f>
        <v>N/A</v>
      </c>
      <c r="Y553" s="1" t="str">
        <f>IF(Table1[[#This Row],[Std Read]]="","N/A",Table1[[#This Row],[Std Read]]+Table1[[#This Row],[Std Ucty]])</f>
        <v>N/A</v>
      </c>
      <c r="Z5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3" s="1" t="str">
        <f>IF(Table1[[#This Row],[Spec Type]]="","N/A",Table1[[#This Row],[Spec Type]])</f>
        <v>±</v>
      </c>
      <c r="AC553" s="1" t="str">
        <f>IF(Table1[[#This Row],[Spec Type2]]="N/A","N/A",IF(AND(Table1[[#This Row],[DUT Adj Read]]&gt;=Table1[[#This Row],[Low Tol]],Table1[[#This Row],[DUT Adj Read]]&lt;=Table1[[#This Row],[High Tol]]),"Pass","Fail"))</f>
        <v>Fail</v>
      </c>
      <c r="AD553" s="1" t="str">
        <f>IF(AND(Table1[[#This Row],[Spec Type2]]="N/A",Table1[[#This Row],[DUT Adj Read]]="N/A",Table1[[#This Row],[Std Adj Read]]="N/A"),"N/A",IF(Table1[[#This Row],[DUT Adj Read]]="N/A",IF(Table1[[#This Row],[Std Adj Read]]&gt;Table1[[#This Row],[Low Tol]],"Pass","Fail"),IF(Table1[[#This Row],[DUT Adj Read]]&gt;Table1[[#This Row],[Low Tol]],"Pass","Fail")))</f>
        <v>Pass</v>
      </c>
      <c r="AE553" s="1" t="str">
        <f>IF(AND(Table1[[#This Row],[Spec Type2]]="N/A",Table1[[#This Row],[DUT Adj Read]]="N/A",Table1[[#This Row],[Std Adj Read]]="N/A"),"N/A",IF(Table1[[#This Row],[DUT Adj Read]]="N/A",IF(Table1[[#This Row],[Std Adj Read]]&lt;Table1[[#This Row],[High Tol]],"Pass","Fail"),IF(Table1[[#This Row],[DUT Adj Read]]&lt;Table1[[#This Row],[High Tol]],"Pass","Fail")))</f>
        <v>Fail</v>
      </c>
      <c r="AF553" s="1" t="str">
        <f>IF(AND(Table1[[#This Row],[Spec Type2]]="N/A",Table1[[#This Row],[DUT Adj Read]]="N/A",Table1[[#This Row],[Std Adj Read]]="N/A"),"N/A",IF(Table1[[#This Row],[DUT Adj Read]]="N/A",IF(Table1[[#This Row],[Std Adj Read]]&gt;=Table1[[#This Row],[Low Tol]],"Pass","Fail"),IF(Table1[[#This Row],[DUT Adj Read]]&gt;=Table1[[#This Row],[Low Tol]],"Pass","Fail")))</f>
        <v>Pass</v>
      </c>
      <c r="AG553" s="1" t="str">
        <f>IF(AND(Table1[[#This Row],[Spec Type2]]="N/A",Table1[[#This Row],[DUT Adj Read]]="N/A",Table1[[#This Row],[Std Adj Read]]="N/A"),"N/A",IF(Table1[[#This Row],[DUT Adj Read]]="N/A",IF(Table1[[#This Row],[Std Adj Read]]&lt;=Table1[[#This Row],[High Tol]],"Pass","Fail"),IF(Table1[[#This Row],[DUT Adj Read]]&lt;=Table1[[#This Row],[High Tol]],"Pass","Fail")))</f>
        <v>Fail</v>
      </c>
      <c r="AH5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3" s="1" t="b">
        <v>0</v>
      </c>
      <c r="AN553" s="1" t="b">
        <v>0</v>
      </c>
      <c r="AO553" s="1" t="b">
        <v>0</v>
      </c>
    </row>
    <row r="554" spans="1:41" x14ac:dyDescent="0.25">
      <c r="A554" s="10"/>
      <c r="B554" s="10"/>
      <c r="C554" s="10"/>
      <c r="D554" s="10"/>
      <c r="E554" s="10"/>
      <c r="F554" s="10"/>
      <c r="G554" s="10"/>
      <c r="H554" s="10"/>
      <c r="I554" s="1" t="str">
        <f t="shared" si="24"/>
        <v/>
      </c>
      <c r="J554" s="1" t="s">
        <v>35</v>
      </c>
      <c r="K554" s="1" t="str">
        <f t="shared" si="25"/>
        <v/>
      </c>
      <c r="L554" s="1" t="str">
        <f t="shared" si="26"/>
        <v/>
      </c>
      <c r="M554" s="1">
        <f>IF(OR(Table1[[#This Row],[Std Nom]]="",Table1[[#This Row],[Std Read]]=""),0,Table1[[#This Row],[Std Nom]]-Table1[[#This Row],[Std Read]])</f>
        <v>0</v>
      </c>
      <c r="N554" s="1">
        <f>IF(Calculations!$F$5="ACCREDITED 17025 WITH UNCERTAINTIES",$N$10,0)</f>
        <v>0</v>
      </c>
      <c r="O554" s="1" t="str">
        <f>IFERROR(Table1[[#This Row],[Std Nom]]-(_xlfn.XLOOKUP(Table1[[#This Row],[Manufacturer]]&amp;" "&amp;Table1[[#This Row],[Model]],Table13[MFR &amp; MDL],Table13[Tolerance % CW ],"")/100*Table1[[#This Row],[Std Nom]]),"")</f>
        <v/>
      </c>
      <c r="P554" s="1" t="str">
        <f>IFERROR(Table1[[#This Row],[Std Nom]]+(_xlfn.XLOOKUP(Table1[[#This Row],[Manufacturer]]&amp;" "&amp;Table1[[#This Row],[Model]],Table13[MFR &amp; MDL],Table13[Tolerance % CW ],"")/100*Table1[[#This Row],[Std Nom]]),"")</f>
        <v/>
      </c>
      <c r="Q554" s="1" t="e">
        <f>Table1[[#This Row],[High Tol]]-Table1[[#This Row],[Low Tol]]</f>
        <v>#VALUE!</v>
      </c>
      <c r="R554" s="1">
        <f>2*Table1[[#This Row],[Std Error]]</f>
        <v>0</v>
      </c>
      <c r="S554" s="1" t="str">
        <f>IF(Table1[[#This Row],[High Tol]]="","N/A",IFERROR(ABS(Table1[[#This Row],[Tol Span]]/Table1[[#This Row],[Error Span]]),"N/A"))</f>
        <v>N/A</v>
      </c>
      <c r="T554" s="1" t="str">
        <f>IF(OR(Table1[[#This Row],[Low Tol]]="",Table1[[#This Row],[High Tol]]=""),"Needs Analysis",IF(Table1[[#This Row],[Ratio]]&gt;=4,"Not Significant",IF(Table1[[#This Row],[Ratio]]&gt;=2,"Semi-Significant","Significant")))</f>
        <v>Needs Analysis</v>
      </c>
      <c r="W554" s="1">
        <f>IF(Table1[[#This Row],[Cal Type]]&lt;&gt;"ACCREDITED 17025 WITH UNCERTAINTIES",0,"")</f>
        <v>0</v>
      </c>
      <c r="X554" s="1" t="str">
        <f>IF(Table1[[#This Row],[DUT Read]]="","N/A",Table1[[#This Row],[Std Error]]+Table1[[#This Row],[DUT Read]]+Table1[[#This Row],[DUT Ucty]])</f>
        <v>N/A</v>
      </c>
      <c r="Y554" s="1" t="str">
        <f>IF(Table1[[#This Row],[Std Read]]="","N/A",Table1[[#This Row],[Std Read]]+Table1[[#This Row],[Std Ucty]])</f>
        <v>N/A</v>
      </c>
      <c r="Z5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4" s="1" t="str">
        <f>IF(Table1[[#This Row],[Spec Type]]="","N/A",Table1[[#This Row],[Spec Type]])</f>
        <v>±</v>
      </c>
      <c r="AC554" s="1" t="str">
        <f>IF(Table1[[#This Row],[Spec Type2]]="N/A","N/A",IF(AND(Table1[[#This Row],[DUT Adj Read]]&gt;=Table1[[#This Row],[Low Tol]],Table1[[#This Row],[DUT Adj Read]]&lt;=Table1[[#This Row],[High Tol]]),"Pass","Fail"))</f>
        <v>Fail</v>
      </c>
      <c r="AD554" s="1" t="str">
        <f>IF(AND(Table1[[#This Row],[Spec Type2]]="N/A",Table1[[#This Row],[DUT Adj Read]]="N/A",Table1[[#This Row],[Std Adj Read]]="N/A"),"N/A",IF(Table1[[#This Row],[DUT Adj Read]]="N/A",IF(Table1[[#This Row],[Std Adj Read]]&gt;Table1[[#This Row],[Low Tol]],"Pass","Fail"),IF(Table1[[#This Row],[DUT Adj Read]]&gt;Table1[[#This Row],[Low Tol]],"Pass","Fail")))</f>
        <v>Pass</v>
      </c>
      <c r="AE554" s="1" t="str">
        <f>IF(AND(Table1[[#This Row],[Spec Type2]]="N/A",Table1[[#This Row],[DUT Adj Read]]="N/A",Table1[[#This Row],[Std Adj Read]]="N/A"),"N/A",IF(Table1[[#This Row],[DUT Adj Read]]="N/A",IF(Table1[[#This Row],[Std Adj Read]]&lt;Table1[[#This Row],[High Tol]],"Pass","Fail"),IF(Table1[[#This Row],[DUT Adj Read]]&lt;Table1[[#This Row],[High Tol]],"Pass","Fail")))</f>
        <v>Fail</v>
      </c>
      <c r="AF554" s="1" t="str">
        <f>IF(AND(Table1[[#This Row],[Spec Type2]]="N/A",Table1[[#This Row],[DUT Adj Read]]="N/A",Table1[[#This Row],[Std Adj Read]]="N/A"),"N/A",IF(Table1[[#This Row],[DUT Adj Read]]="N/A",IF(Table1[[#This Row],[Std Adj Read]]&gt;=Table1[[#This Row],[Low Tol]],"Pass","Fail"),IF(Table1[[#This Row],[DUT Adj Read]]&gt;=Table1[[#This Row],[Low Tol]],"Pass","Fail")))</f>
        <v>Pass</v>
      </c>
      <c r="AG554" s="1" t="str">
        <f>IF(AND(Table1[[#This Row],[Spec Type2]]="N/A",Table1[[#This Row],[DUT Adj Read]]="N/A",Table1[[#This Row],[Std Adj Read]]="N/A"),"N/A",IF(Table1[[#This Row],[DUT Adj Read]]="N/A",IF(Table1[[#This Row],[Std Adj Read]]&lt;=Table1[[#This Row],[High Tol]],"Pass","Fail"),IF(Table1[[#This Row],[DUT Adj Read]]&lt;=Table1[[#This Row],[High Tol]],"Pass","Fail")))</f>
        <v>Fail</v>
      </c>
      <c r="AH5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4" s="1" t="b">
        <v>0</v>
      </c>
      <c r="AN554" s="1" t="b">
        <v>0</v>
      </c>
      <c r="AO554" s="1" t="b">
        <v>0</v>
      </c>
    </row>
    <row r="555" spans="1:41" x14ac:dyDescent="0.25">
      <c r="A555" s="10"/>
      <c r="B555" s="10"/>
      <c r="C555" s="10"/>
      <c r="D555" s="10"/>
      <c r="E555" s="10"/>
      <c r="F555" s="10"/>
      <c r="G555" s="10"/>
      <c r="H555" s="10"/>
      <c r="I555" s="1" t="str">
        <f t="shared" si="24"/>
        <v/>
      </c>
      <c r="J555" s="1" t="s">
        <v>35</v>
      </c>
      <c r="K555" s="1" t="str">
        <f t="shared" si="25"/>
        <v/>
      </c>
      <c r="L555" s="1" t="str">
        <f t="shared" si="26"/>
        <v/>
      </c>
      <c r="M555" s="1">
        <f>IF(OR(Table1[[#This Row],[Std Nom]]="",Table1[[#This Row],[Std Read]]=""),0,Table1[[#This Row],[Std Nom]]-Table1[[#This Row],[Std Read]])</f>
        <v>0</v>
      </c>
      <c r="N555" s="1">
        <f>IF(Calculations!$F$5="ACCREDITED 17025 WITH UNCERTAINTIES",$N$10,0)</f>
        <v>0</v>
      </c>
      <c r="O555" s="1" t="str">
        <f>IFERROR(Table1[[#This Row],[Std Nom]]-(_xlfn.XLOOKUP(Table1[[#This Row],[Manufacturer]]&amp;" "&amp;Table1[[#This Row],[Model]],Table13[MFR &amp; MDL],Table13[Tolerance % CW ],"")/100*Table1[[#This Row],[Std Nom]]),"")</f>
        <v/>
      </c>
      <c r="P555" s="1" t="str">
        <f>IFERROR(Table1[[#This Row],[Std Nom]]+(_xlfn.XLOOKUP(Table1[[#This Row],[Manufacturer]]&amp;" "&amp;Table1[[#This Row],[Model]],Table13[MFR &amp; MDL],Table13[Tolerance % CW ],"")/100*Table1[[#This Row],[Std Nom]]),"")</f>
        <v/>
      </c>
      <c r="Q555" s="1" t="e">
        <f>Table1[[#This Row],[High Tol]]-Table1[[#This Row],[Low Tol]]</f>
        <v>#VALUE!</v>
      </c>
      <c r="R555" s="1">
        <f>2*Table1[[#This Row],[Std Error]]</f>
        <v>0</v>
      </c>
      <c r="S555" s="1" t="str">
        <f>IF(Table1[[#This Row],[High Tol]]="","N/A",IFERROR(ABS(Table1[[#This Row],[Tol Span]]/Table1[[#This Row],[Error Span]]),"N/A"))</f>
        <v>N/A</v>
      </c>
      <c r="T555" s="1" t="str">
        <f>IF(OR(Table1[[#This Row],[Low Tol]]="",Table1[[#This Row],[High Tol]]=""),"Needs Analysis",IF(Table1[[#This Row],[Ratio]]&gt;=4,"Not Significant",IF(Table1[[#This Row],[Ratio]]&gt;=2,"Semi-Significant","Significant")))</f>
        <v>Needs Analysis</v>
      </c>
      <c r="W555" s="1">
        <f>IF(Table1[[#This Row],[Cal Type]]&lt;&gt;"ACCREDITED 17025 WITH UNCERTAINTIES",0,"")</f>
        <v>0</v>
      </c>
      <c r="X555" s="1" t="str">
        <f>IF(Table1[[#This Row],[DUT Read]]="","N/A",Table1[[#This Row],[Std Error]]+Table1[[#This Row],[DUT Read]]+Table1[[#This Row],[DUT Ucty]])</f>
        <v>N/A</v>
      </c>
      <c r="Y555" s="1" t="str">
        <f>IF(Table1[[#This Row],[Std Read]]="","N/A",Table1[[#This Row],[Std Read]]+Table1[[#This Row],[Std Ucty]])</f>
        <v>N/A</v>
      </c>
      <c r="Z5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5" s="1" t="str">
        <f>IF(Table1[[#This Row],[Spec Type]]="","N/A",Table1[[#This Row],[Spec Type]])</f>
        <v>±</v>
      </c>
      <c r="AC555" s="1" t="str">
        <f>IF(Table1[[#This Row],[Spec Type2]]="N/A","N/A",IF(AND(Table1[[#This Row],[DUT Adj Read]]&gt;=Table1[[#This Row],[Low Tol]],Table1[[#This Row],[DUT Adj Read]]&lt;=Table1[[#This Row],[High Tol]]),"Pass","Fail"))</f>
        <v>Fail</v>
      </c>
      <c r="AD555" s="1" t="str">
        <f>IF(AND(Table1[[#This Row],[Spec Type2]]="N/A",Table1[[#This Row],[DUT Adj Read]]="N/A",Table1[[#This Row],[Std Adj Read]]="N/A"),"N/A",IF(Table1[[#This Row],[DUT Adj Read]]="N/A",IF(Table1[[#This Row],[Std Adj Read]]&gt;Table1[[#This Row],[Low Tol]],"Pass","Fail"),IF(Table1[[#This Row],[DUT Adj Read]]&gt;Table1[[#This Row],[Low Tol]],"Pass","Fail")))</f>
        <v>Pass</v>
      </c>
      <c r="AE555" s="1" t="str">
        <f>IF(AND(Table1[[#This Row],[Spec Type2]]="N/A",Table1[[#This Row],[DUT Adj Read]]="N/A",Table1[[#This Row],[Std Adj Read]]="N/A"),"N/A",IF(Table1[[#This Row],[DUT Adj Read]]="N/A",IF(Table1[[#This Row],[Std Adj Read]]&lt;Table1[[#This Row],[High Tol]],"Pass","Fail"),IF(Table1[[#This Row],[DUT Adj Read]]&lt;Table1[[#This Row],[High Tol]],"Pass","Fail")))</f>
        <v>Fail</v>
      </c>
      <c r="AF555" s="1" t="str">
        <f>IF(AND(Table1[[#This Row],[Spec Type2]]="N/A",Table1[[#This Row],[DUT Adj Read]]="N/A",Table1[[#This Row],[Std Adj Read]]="N/A"),"N/A",IF(Table1[[#This Row],[DUT Adj Read]]="N/A",IF(Table1[[#This Row],[Std Adj Read]]&gt;=Table1[[#This Row],[Low Tol]],"Pass","Fail"),IF(Table1[[#This Row],[DUT Adj Read]]&gt;=Table1[[#This Row],[Low Tol]],"Pass","Fail")))</f>
        <v>Pass</v>
      </c>
      <c r="AG555" s="1" t="str">
        <f>IF(AND(Table1[[#This Row],[Spec Type2]]="N/A",Table1[[#This Row],[DUT Adj Read]]="N/A",Table1[[#This Row],[Std Adj Read]]="N/A"),"N/A",IF(Table1[[#This Row],[DUT Adj Read]]="N/A",IF(Table1[[#This Row],[Std Adj Read]]&lt;=Table1[[#This Row],[High Tol]],"Pass","Fail"),IF(Table1[[#This Row],[DUT Adj Read]]&lt;=Table1[[#This Row],[High Tol]],"Pass","Fail")))</f>
        <v>Fail</v>
      </c>
      <c r="AH5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5" s="1" t="b">
        <v>0</v>
      </c>
      <c r="AN555" s="1" t="b">
        <v>0</v>
      </c>
      <c r="AO555" s="1" t="b">
        <v>0</v>
      </c>
    </row>
    <row r="556" spans="1:41" x14ac:dyDescent="0.25">
      <c r="A556" s="10"/>
      <c r="B556" s="10"/>
      <c r="C556" s="10"/>
      <c r="D556" s="10"/>
      <c r="E556" s="10"/>
      <c r="F556" s="10"/>
      <c r="G556" s="10"/>
      <c r="H556" s="10"/>
      <c r="I556" s="1" t="str">
        <f t="shared" si="24"/>
        <v/>
      </c>
      <c r="J556" s="1" t="s">
        <v>35</v>
      </c>
      <c r="K556" s="1" t="str">
        <f t="shared" si="25"/>
        <v/>
      </c>
      <c r="L556" s="1" t="str">
        <f t="shared" si="26"/>
        <v/>
      </c>
      <c r="M556" s="1">
        <f>IF(OR(Table1[[#This Row],[Std Nom]]="",Table1[[#This Row],[Std Read]]=""),0,Table1[[#This Row],[Std Nom]]-Table1[[#This Row],[Std Read]])</f>
        <v>0</v>
      </c>
      <c r="N556" s="1">
        <f>IF(Calculations!$F$5="ACCREDITED 17025 WITH UNCERTAINTIES",$N$10,0)</f>
        <v>0</v>
      </c>
      <c r="O556" s="1" t="str">
        <f>IFERROR(Table1[[#This Row],[Std Nom]]-(_xlfn.XLOOKUP(Table1[[#This Row],[Manufacturer]]&amp;" "&amp;Table1[[#This Row],[Model]],Table13[MFR &amp; MDL],Table13[Tolerance % CW ],"")/100*Table1[[#This Row],[Std Nom]]),"")</f>
        <v/>
      </c>
      <c r="P556" s="1" t="str">
        <f>IFERROR(Table1[[#This Row],[Std Nom]]+(_xlfn.XLOOKUP(Table1[[#This Row],[Manufacturer]]&amp;" "&amp;Table1[[#This Row],[Model]],Table13[MFR &amp; MDL],Table13[Tolerance % CW ],"")/100*Table1[[#This Row],[Std Nom]]),"")</f>
        <v/>
      </c>
      <c r="Q556" s="1" t="e">
        <f>Table1[[#This Row],[High Tol]]-Table1[[#This Row],[Low Tol]]</f>
        <v>#VALUE!</v>
      </c>
      <c r="R556" s="1">
        <f>2*Table1[[#This Row],[Std Error]]</f>
        <v>0</v>
      </c>
      <c r="S556" s="1" t="str">
        <f>IF(Table1[[#This Row],[High Tol]]="","N/A",IFERROR(ABS(Table1[[#This Row],[Tol Span]]/Table1[[#This Row],[Error Span]]),"N/A"))</f>
        <v>N/A</v>
      </c>
      <c r="T556" s="1" t="str">
        <f>IF(OR(Table1[[#This Row],[Low Tol]]="",Table1[[#This Row],[High Tol]]=""),"Needs Analysis",IF(Table1[[#This Row],[Ratio]]&gt;=4,"Not Significant",IF(Table1[[#This Row],[Ratio]]&gt;=2,"Semi-Significant","Significant")))</f>
        <v>Needs Analysis</v>
      </c>
      <c r="W556" s="1">
        <f>IF(Table1[[#This Row],[Cal Type]]&lt;&gt;"ACCREDITED 17025 WITH UNCERTAINTIES",0,"")</f>
        <v>0</v>
      </c>
      <c r="X556" s="1" t="str">
        <f>IF(Table1[[#This Row],[DUT Read]]="","N/A",Table1[[#This Row],[Std Error]]+Table1[[#This Row],[DUT Read]]+Table1[[#This Row],[DUT Ucty]])</f>
        <v>N/A</v>
      </c>
      <c r="Y556" s="1" t="str">
        <f>IF(Table1[[#This Row],[Std Read]]="","N/A",Table1[[#This Row],[Std Read]]+Table1[[#This Row],[Std Ucty]])</f>
        <v>N/A</v>
      </c>
      <c r="Z5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6" s="1" t="str">
        <f>IF(Table1[[#This Row],[Spec Type]]="","N/A",Table1[[#This Row],[Spec Type]])</f>
        <v>±</v>
      </c>
      <c r="AC556" s="1" t="str">
        <f>IF(Table1[[#This Row],[Spec Type2]]="N/A","N/A",IF(AND(Table1[[#This Row],[DUT Adj Read]]&gt;=Table1[[#This Row],[Low Tol]],Table1[[#This Row],[DUT Adj Read]]&lt;=Table1[[#This Row],[High Tol]]),"Pass","Fail"))</f>
        <v>Fail</v>
      </c>
      <c r="AD556" s="1" t="str">
        <f>IF(AND(Table1[[#This Row],[Spec Type2]]="N/A",Table1[[#This Row],[DUT Adj Read]]="N/A",Table1[[#This Row],[Std Adj Read]]="N/A"),"N/A",IF(Table1[[#This Row],[DUT Adj Read]]="N/A",IF(Table1[[#This Row],[Std Adj Read]]&gt;Table1[[#This Row],[Low Tol]],"Pass","Fail"),IF(Table1[[#This Row],[DUT Adj Read]]&gt;Table1[[#This Row],[Low Tol]],"Pass","Fail")))</f>
        <v>Pass</v>
      </c>
      <c r="AE556" s="1" t="str">
        <f>IF(AND(Table1[[#This Row],[Spec Type2]]="N/A",Table1[[#This Row],[DUT Adj Read]]="N/A",Table1[[#This Row],[Std Adj Read]]="N/A"),"N/A",IF(Table1[[#This Row],[DUT Adj Read]]="N/A",IF(Table1[[#This Row],[Std Adj Read]]&lt;Table1[[#This Row],[High Tol]],"Pass","Fail"),IF(Table1[[#This Row],[DUT Adj Read]]&lt;Table1[[#This Row],[High Tol]],"Pass","Fail")))</f>
        <v>Fail</v>
      </c>
      <c r="AF556" s="1" t="str">
        <f>IF(AND(Table1[[#This Row],[Spec Type2]]="N/A",Table1[[#This Row],[DUT Adj Read]]="N/A",Table1[[#This Row],[Std Adj Read]]="N/A"),"N/A",IF(Table1[[#This Row],[DUT Adj Read]]="N/A",IF(Table1[[#This Row],[Std Adj Read]]&gt;=Table1[[#This Row],[Low Tol]],"Pass","Fail"),IF(Table1[[#This Row],[DUT Adj Read]]&gt;=Table1[[#This Row],[Low Tol]],"Pass","Fail")))</f>
        <v>Pass</v>
      </c>
      <c r="AG556" s="1" t="str">
        <f>IF(AND(Table1[[#This Row],[Spec Type2]]="N/A",Table1[[#This Row],[DUT Adj Read]]="N/A",Table1[[#This Row],[Std Adj Read]]="N/A"),"N/A",IF(Table1[[#This Row],[DUT Adj Read]]="N/A",IF(Table1[[#This Row],[Std Adj Read]]&lt;=Table1[[#This Row],[High Tol]],"Pass","Fail"),IF(Table1[[#This Row],[DUT Adj Read]]&lt;=Table1[[#This Row],[High Tol]],"Pass","Fail")))</f>
        <v>Fail</v>
      </c>
      <c r="AH5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6" s="1" t="b">
        <v>0</v>
      </c>
      <c r="AN556" s="1" t="b">
        <v>0</v>
      </c>
      <c r="AO556" s="1" t="b">
        <v>0</v>
      </c>
    </row>
    <row r="557" spans="1:41" x14ac:dyDescent="0.25">
      <c r="A557" s="10"/>
      <c r="B557" s="10"/>
      <c r="C557" s="10"/>
      <c r="D557" s="10"/>
      <c r="E557" s="10"/>
      <c r="F557" s="10"/>
      <c r="G557" s="10"/>
      <c r="H557" s="10"/>
      <c r="I557" s="1" t="str">
        <f t="shared" si="24"/>
        <v/>
      </c>
      <c r="J557" s="1" t="s">
        <v>35</v>
      </c>
      <c r="K557" s="1" t="str">
        <f t="shared" si="25"/>
        <v/>
      </c>
      <c r="L557" s="1" t="str">
        <f t="shared" si="26"/>
        <v/>
      </c>
      <c r="M557" s="1">
        <f>IF(OR(Table1[[#This Row],[Std Nom]]="",Table1[[#This Row],[Std Read]]=""),0,Table1[[#This Row],[Std Nom]]-Table1[[#This Row],[Std Read]])</f>
        <v>0</v>
      </c>
      <c r="N557" s="1">
        <f>IF(Calculations!$F$5="ACCREDITED 17025 WITH UNCERTAINTIES",$N$10,0)</f>
        <v>0</v>
      </c>
      <c r="O557" s="1" t="str">
        <f>IFERROR(Table1[[#This Row],[Std Nom]]-(_xlfn.XLOOKUP(Table1[[#This Row],[Manufacturer]]&amp;" "&amp;Table1[[#This Row],[Model]],Table13[MFR &amp; MDL],Table13[Tolerance % CW ],"")/100*Table1[[#This Row],[Std Nom]]),"")</f>
        <v/>
      </c>
      <c r="P557" s="1" t="str">
        <f>IFERROR(Table1[[#This Row],[Std Nom]]+(_xlfn.XLOOKUP(Table1[[#This Row],[Manufacturer]]&amp;" "&amp;Table1[[#This Row],[Model]],Table13[MFR &amp; MDL],Table13[Tolerance % CW ],"")/100*Table1[[#This Row],[Std Nom]]),"")</f>
        <v/>
      </c>
      <c r="Q557" s="1" t="e">
        <f>Table1[[#This Row],[High Tol]]-Table1[[#This Row],[Low Tol]]</f>
        <v>#VALUE!</v>
      </c>
      <c r="R557" s="1">
        <f>2*Table1[[#This Row],[Std Error]]</f>
        <v>0</v>
      </c>
      <c r="S557" s="1" t="str">
        <f>IF(Table1[[#This Row],[High Tol]]="","N/A",IFERROR(ABS(Table1[[#This Row],[Tol Span]]/Table1[[#This Row],[Error Span]]),"N/A"))</f>
        <v>N/A</v>
      </c>
      <c r="T557" s="1" t="str">
        <f>IF(OR(Table1[[#This Row],[Low Tol]]="",Table1[[#This Row],[High Tol]]=""),"Needs Analysis",IF(Table1[[#This Row],[Ratio]]&gt;=4,"Not Significant",IF(Table1[[#This Row],[Ratio]]&gt;=2,"Semi-Significant","Significant")))</f>
        <v>Needs Analysis</v>
      </c>
      <c r="W557" s="1">
        <f>IF(Table1[[#This Row],[Cal Type]]&lt;&gt;"ACCREDITED 17025 WITH UNCERTAINTIES",0,"")</f>
        <v>0</v>
      </c>
      <c r="X557" s="1" t="str">
        <f>IF(Table1[[#This Row],[DUT Read]]="","N/A",Table1[[#This Row],[Std Error]]+Table1[[#This Row],[DUT Read]]+Table1[[#This Row],[DUT Ucty]])</f>
        <v>N/A</v>
      </c>
      <c r="Y557" s="1" t="str">
        <f>IF(Table1[[#This Row],[Std Read]]="","N/A",Table1[[#This Row],[Std Read]]+Table1[[#This Row],[Std Ucty]])</f>
        <v>N/A</v>
      </c>
      <c r="Z5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7" s="1" t="str">
        <f>IF(Table1[[#This Row],[Spec Type]]="","N/A",Table1[[#This Row],[Spec Type]])</f>
        <v>±</v>
      </c>
      <c r="AC557" s="1" t="str">
        <f>IF(Table1[[#This Row],[Spec Type2]]="N/A","N/A",IF(AND(Table1[[#This Row],[DUT Adj Read]]&gt;=Table1[[#This Row],[Low Tol]],Table1[[#This Row],[DUT Adj Read]]&lt;=Table1[[#This Row],[High Tol]]),"Pass","Fail"))</f>
        <v>Fail</v>
      </c>
      <c r="AD557" s="1" t="str">
        <f>IF(AND(Table1[[#This Row],[Spec Type2]]="N/A",Table1[[#This Row],[DUT Adj Read]]="N/A",Table1[[#This Row],[Std Adj Read]]="N/A"),"N/A",IF(Table1[[#This Row],[DUT Adj Read]]="N/A",IF(Table1[[#This Row],[Std Adj Read]]&gt;Table1[[#This Row],[Low Tol]],"Pass","Fail"),IF(Table1[[#This Row],[DUT Adj Read]]&gt;Table1[[#This Row],[Low Tol]],"Pass","Fail")))</f>
        <v>Pass</v>
      </c>
      <c r="AE557" s="1" t="str">
        <f>IF(AND(Table1[[#This Row],[Spec Type2]]="N/A",Table1[[#This Row],[DUT Adj Read]]="N/A",Table1[[#This Row],[Std Adj Read]]="N/A"),"N/A",IF(Table1[[#This Row],[DUT Adj Read]]="N/A",IF(Table1[[#This Row],[Std Adj Read]]&lt;Table1[[#This Row],[High Tol]],"Pass","Fail"),IF(Table1[[#This Row],[DUT Adj Read]]&lt;Table1[[#This Row],[High Tol]],"Pass","Fail")))</f>
        <v>Fail</v>
      </c>
      <c r="AF557" s="1" t="str">
        <f>IF(AND(Table1[[#This Row],[Spec Type2]]="N/A",Table1[[#This Row],[DUT Adj Read]]="N/A",Table1[[#This Row],[Std Adj Read]]="N/A"),"N/A",IF(Table1[[#This Row],[DUT Adj Read]]="N/A",IF(Table1[[#This Row],[Std Adj Read]]&gt;=Table1[[#This Row],[Low Tol]],"Pass","Fail"),IF(Table1[[#This Row],[DUT Adj Read]]&gt;=Table1[[#This Row],[Low Tol]],"Pass","Fail")))</f>
        <v>Pass</v>
      </c>
      <c r="AG557" s="1" t="str">
        <f>IF(AND(Table1[[#This Row],[Spec Type2]]="N/A",Table1[[#This Row],[DUT Adj Read]]="N/A",Table1[[#This Row],[Std Adj Read]]="N/A"),"N/A",IF(Table1[[#This Row],[DUT Adj Read]]="N/A",IF(Table1[[#This Row],[Std Adj Read]]&lt;=Table1[[#This Row],[High Tol]],"Pass","Fail"),IF(Table1[[#This Row],[DUT Adj Read]]&lt;=Table1[[#This Row],[High Tol]],"Pass","Fail")))</f>
        <v>Fail</v>
      </c>
      <c r="AH5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7" s="1" t="b">
        <v>0</v>
      </c>
      <c r="AN557" s="1" t="b">
        <v>0</v>
      </c>
      <c r="AO557" s="1" t="b">
        <v>0</v>
      </c>
    </row>
    <row r="558" spans="1:41" x14ac:dyDescent="0.25">
      <c r="A558" s="10"/>
      <c r="B558" s="10"/>
      <c r="C558" s="10"/>
      <c r="D558" s="10"/>
      <c r="E558" s="10"/>
      <c r="F558" s="10"/>
      <c r="G558" s="10"/>
      <c r="H558" s="10"/>
      <c r="I558" s="1" t="str">
        <f t="shared" si="24"/>
        <v/>
      </c>
      <c r="J558" s="1" t="s">
        <v>35</v>
      </c>
      <c r="K558" s="1" t="str">
        <f t="shared" si="25"/>
        <v/>
      </c>
      <c r="L558" s="1" t="str">
        <f t="shared" si="26"/>
        <v/>
      </c>
      <c r="M558" s="1">
        <f>IF(OR(Table1[[#This Row],[Std Nom]]="",Table1[[#This Row],[Std Read]]=""),0,Table1[[#This Row],[Std Nom]]-Table1[[#This Row],[Std Read]])</f>
        <v>0</v>
      </c>
      <c r="N558" s="1">
        <f>IF(Calculations!$F$5="ACCREDITED 17025 WITH UNCERTAINTIES",$N$10,0)</f>
        <v>0</v>
      </c>
      <c r="O558" s="1" t="str">
        <f>IFERROR(Table1[[#This Row],[Std Nom]]-(_xlfn.XLOOKUP(Table1[[#This Row],[Manufacturer]]&amp;" "&amp;Table1[[#This Row],[Model]],Table13[MFR &amp; MDL],Table13[Tolerance % CW ],"")/100*Table1[[#This Row],[Std Nom]]),"")</f>
        <v/>
      </c>
      <c r="P558" s="1" t="str">
        <f>IFERROR(Table1[[#This Row],[Std Nom]]+(_xlfn.XLOOKUP(Table1[[#This Row],[Manufacturer]]&amp;" "&amp;Table1[[#This Row],[Model]],Table13[MFR &amp; MDL],Table13[Tolerance % CW ],"")/100*Table1[[#This Row],[Std Nom]]),"")</f>
        <v/>
      </c>
      <c r="Q558" s="1" t="e">
        <f>Table1[[#This Row],[High Tol]]-Table1[[#This Row],[Low Tol]]</f>
        <v>#VALUE!</v>
      </c>
      <c r="R558" s="1">
        <f>2*Table1[[#This Row],[Std Error]]</f>
        <v>0</v>
      </c>
      <c r="S558" s="1" t="str">
        <f>IF(Table1[[#This Row],[High Tol]]="","N/A",IFERROR(ABS(Table1[[#This Row],[Tol Span]]/Table1[[#This Row],[Error Span]]),"N/A"))</f>
        <v>N/A</v>
      </c>
      <c r="T558" s="1" t="str">
        <f>IF(OR(Table1[[#This Row],[Low Tol]]="",Table1[[#This Row],[High Tol]]=""),"Needs Analysis",IF(Table1[[#This Row],[Ratio]]&gt;=4,"Not Significant",IF(Table1[[#This Row],[Ratio]]&gt;=2,"Semi-Significant","Significant")))</f>
        <v>Needs Analysis</v>
      </c>
      <c r="W558" s="1">
        <f>IF(Table1[[#This Row],[Cal Type]]&lt;&gt;"ACCREDITED 17025 WITH UNCERTAINTIES",0,"")</f>
        <v>0</v>
      </c>
      <c r="X558" s="1" t="str">
        <f>IF(Table1[[#This Row],[DUT Read]]="","N/A",Table1[[#This Row],[Std Error]]+Table1[[#This Row],[DUT Read]]+Table1[[#This Row],[DUT Ucty]])</f>
        <v>N/A</v>
      </c>
      <c r="Y558" s="1" t="str">
        <f>IF(Table1[[#This Row],[Std Read]]="","N/A",Table1[[#This Row],[Std Read]]+Table1[[#This Row],[Std Ucty]])</f>
        <v>N/A</v>
      </c>
      <c r="Z5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8" s="1" t="str">
        <f>IF(Table1[[#This Row],[Spec Type]]="","N/A",Table1[[#This Row],[Spec Type]])</f>
        <v>±</v>
      </c>
      <c r="AC558" s="1" t="str">
        <f>IF(Table1[[#This Row],[Spec Type2]]="N/A","N/A",IF(AND(Table1[[#This Row],[DUT Adj Read]]&gt;=Table1[[#This Row],[Low Tol]],Table1[[#This Row],[DUT Adj Read]]&lt;=Table1[[#This Row],[High Tol]]),"Pass","Fail"))</f>
        <v>Fail</v>
      </c>
      <c r="AD558" s="1" t="str">
        <f>IF(AND(Table1[[#This Row],[Spec Type2]]="N/A",Table1[[#This Row],[DUT Adj Read]]="N/A",Table1[[#This Row],[Std Adj Read]]="N/A"),"N/A",IF(Table1[[#This Row],[DUT Adj Read]]="N/A",IF(Table1[[#This Row],[Std Adj Read]]&gt;Table1[[#This Row],[Low Tol]],"Pass","Fail"),IF(Table1[[#This Row],[DUT Adj Read]]&gt;Table1[[#This Row],[Low Tol]],"Pass","Fail")))</f>
        <v>Pass</v>
      </c>
      <c r="AE558" s="1" t="str">
        <f>IF(AND(Table1[[#This Row],[Spec Type2]]="N/A",Table1[[#This Row],[DUT Adj Read]]="N/A",Table1[[#This Row],[Std Adj Read]]="N/A"),"N/A",IF(Table1[[#This Row],[DUT Adj Read]]="N/A",IF(Table1[[#This Row],[Std Adj Read]]&lt;Table1[[#This Row],[High Tol]],"Pass","Fail"),IF(Table1[[#This Row],[DUT Adj Read]]&lt;Table1[[#This Row],[High Tol]],"Pass","Fail")))</f>
        <v>Fail</v>
      </c>
      <c r="AF558" s="1" t="str">
        <f>IF(AND(Table1[[#This Row],[Spec Type2]]="N/A",Table1[[#This Row],[DUT Adj Read]]="N/A",Table1[[#This Row],[Std Adj Read]]="N/A"),"N/A",IF(Table1[[#This Row],[DUT Adj Read]]="N/A",IF(Table1[[#This Row],[Std Adj Read]]&gt;=Table1[[#This Row],[Low Tol]],"Pass","Fail"),IF(Table1[[#This Row],[DUT Adj Read]]&gt;=Table1[[#This Row],[Low Tol]],"Pass","Fail")))</f>
        <v>Pass</v>
      </c>
      <c r="AG558" s="1" t="str">
        <f>IF(AND(Table1[[#This Row],[Spec Type2]]="N/A",Table1[[#This Row],[DUT Adj Read]]="N/A",Table1[[#This Row],[Std Adj Read]]="N/A"),"N/A",IF(Table1[[#This Row],[DUT Adj Read]]="N/A",IF(Table1[[#This Row],[Std Adj Read]]&lt;=Table1[[#This Row],[High Tol]],"Pass","Fail"),IF(Table1[[#This Row],[DUT Adj Read]]&lt;=Table1[[#This Row],[High Tol]],"Pass","Fail")))</f>
        <v>Fail</v>
      </c>
      <c r="AH5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8" s="1" t="b">
        <v>0</v>
      </c>
      <c r="AN558" s="1" t="b">
        <v>0</v>
      </c>
      <c r="AO558" s="1" t="b">
        <v>0</v>
      </c>
    </row>
    <row r="559" spans="1:41" x14ac:dyDescent="0.25">
      <c r="A559" s="10"/>
      <c r="B559" s="10"/>
      <c r="C559" s="10"/>
      <c r="D559" s="10"/>
      <c r="E559" s="10"/>
      <c r="F559" s="10"/>
      <c r="G559" s="10"/>
      <c r="H559" s="10"/>
      <c r="I559" s="1" t="str">
        <f t="shared" si="24"/>
        <v/>
      </c>
      <c r="J559" s="1" t="s">
        <v>35</v>
      </c>
      <c r="K559" s="1" t="str">
        <f t="shared" si="25"/>
        <v/>
      </c>
      <c r="L559" s="1" t="str">
        <f t="shared" si="26"/>
        <v/>
      </c>
      <c r="M559" s="1">
        <f>IF(OR(Table1[[#This Row],[Std Nom]]="",Table1[[#This Row],[Std Read]]=""),0,Table1[[#This Row],[Std Nom]]-Table1[[#This Row],[Std Read]])</f>
        <v>0</v>
      </c>
      <c r="N559" s="1">
        <f>IF(Calculations!$F$5="ACCREDITED 17025 WITH UNCERTAINTIES",$N$10,0)</f>
        <v>0</v>
      </c>
      <c r="O559" s="1" t="str">
        <f>IFERROR(Table1[[#This Row],[Std Nom]]-(_xlfn.XLOOKUP(Table1[[#This Row],[Manufacturer]]&amp;" "&amp;Table1[[#This Row],[Model]],Table13[MFR &amp; MDL],Table13[Tolerance % CW ],"")/100*Table1[[#This Row],[Std Nom]]),"")</f>
        <v/>
      </c>
      <c r="P559" s="1" t="str">
        <f>IFERROR(Table1[[#This Row],[Std Nom]]+(_xlfn.XLOOKUP(Table1[[#This Row],[Manufacturer]]&amp;" "&amp;Table1[[#This Row],[Model]],Table13[MFR &amp; MDL],Table13[Tolerance % CW ],"")/100*Table1[[#This Row],[Std Nom]]),"")</f>
        <v/>
      </c>
      <c r="Q559" s="1" t="e">
        <f>Table1[[#This Row],[High Tol]]-Table1[[#This Row],[Low Tol]]</f>
        <v>#VALUE!</v>
      </c>
      <c r="R559" s="1">
        <f>2*Table1[[#This Row],[Std Error]]</f>
        <v>0</v>
      </c>
      <c r="S559" s="1" t="str">
        <f>IF(Table1[[#This Row],[High Tol]]="","N/A",IFERROR(ABS(Table1[[#This Row],[Tol Span]]/Table1[[#This Row],[Error Span]]),"N/A"))</f>
        <v>N/A</v>
      </c>
      <c r="T559" s="1" t="str">
        <f>IF(OR(Table1[[#This Row],[Low Tol]]="",Table1[[#This Row],[High Tol]]=""),"Needs Analysis",IF(Table1[[#This Row],[Ratio]]&gt;=4,"Not Significant",IF(Table1[[#This Row],[Ratio]]&gt;=2,"Semi-Significant","Significant")))</f>
        <v>Needs Analysis</v>
      </c>
      <c r="W559" s="1">
        <f>IF(Table1[[#This Row],[Cal Type]]&lt;&gt;"ACCREDITED 17025 WITH UNCERTAINTIES",0,"")</f>
        <v>0</v>
      </c>
      <c r="X559" s="1" t="str">
        <f>IF(Table1[[#This Row],[DUT Read]]="","N/A",Table1[[#This Row],[Std Error]]+Table1[[#This Row],[DUT Read]]+Table1[[#This Row],[DUT Ucty]])</f>
        <v>N/A</v>
      </c>
      <c r="Y559" s="1" t="str">
        <f>IF(Table1[[#This Row],[Std Read]]="","N/A",Table1[[#This Row],[Std Read]]+Table1[[#This Row],[Std Ucty]])</f>
        <v>N/A</v>
      </c>
      <c r="Z5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9" s="1" t="str">
        <f>IF(Table1[[#This Row],[Spec Type]]="","N/A",Table1[[#This Row],[Spec Type]])</f>
        <v>±</v>
      </c>
      <c r="AC559" s="1" t="str">
        <f>IF(Table1[[#This Row],[Spec Type2]]="N/A","N/A",IF(AND(Table1[[#This Row],[DUT Adj Read]]&gt;=Table1[[#This Row],[Low Tol]],Table1[[#This Row],[DUT Adj Read]]&lt;=Table1[[#This Row],[High Tol]]),"Pass","Fail"))</f>
        <v>Fail</v>
      </c>
      <c r="AD559" s="1" t="str">
        <f>IF(AND(Table1[[#This Row],[Spec Type2]]="N/A",Table1[[#This Row],[DUT Adj Read]]="N/A",Table1[[#This Row],[Std Adj Read]]="N/A"),"N/A",IF(Table1[[#This Row],[DUT Adj Read]]="N/A",IF(Table1[[#This Row],[Std Adj Read]]&gt;Table1[[#This Row],[Low Tol]],"Pass","Fail"),IF(Table1[[#This Row],[DUT Adj Read]]&gt;Table1[[#This Row],[Low Tol]],"Pass","Fail")))</f>
        <v>Pass</v>
      </c>
      <c r="AE559" s="1" t="str">
        <f>IF(AND(Table1[[#This Row],[Spec Type2]]="N/A",Table1[[#This Row],[DUT Adj Read]]="N/A",Table1[[#This Row],[Std Adj Read]]="N/A"),"N/A",IF(Table1[[#This Row],[DUT Adj Read]]="N/A",IF(Table1[[#This Row],[Std Adj Read]]&lt;Table1[[#This Row],[High Tol]],"Pass","Fail"),IF(Table1[[#This Row],[DUT Adj Read]]&lt;Table1[[#This Row],[High Tol]],"Pass","Fail")))</f>
        <v>Fail</v>
      </c>
      <c r="AF559" s="1" t="str">
        <f>IF(AND(Table1[[#This Row],[Spec Type2]]="N/A",Table1[[#This Row],[DUT Adj Read]]="N/A",Table1[[#This Row],[Std Adj Read]]="N/A"),"N/A",IF(Table1[[#This Row],[DUT Adj Read]]="N/A",IF(Table1[[#This Row],[Std Adj Read]]&gt;=Table1[[#This Row],[Low Tol]],"Pass","Fail"),IF(Table1[[#This Row],[DUT Adj Read]]&gt;=Table1[[#This Row],[Low Tol]],"Pass","Fail")))</f>
        <v>Pass</v>
      </c>
      <c r="AG559" s="1" t="str">
        <f>IF(AND(Table1[[#This Row],[Spec Type2]]="N/A",Table1[[#This Row],[DUT Adj Read]]="N/A",Table1[[#This Row],[Std Adj Read]]="N/A"),"N/A",IF(Table1[[#This Row],[DUT Adj Read]]="N/A",IF(Table1[[#This Row],[Std Adj Read]]&lt;=Table1[[#This Row],[High Tol]],"Pass","Fail"),IF(Table1[[#This Row],[DUT Adj Read]]&lt;=Table1[[#This Row],[High Tol]],"Pass","Fail")))</f>
        <v>Fail</v>
      </c>
      <c r="AH5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9" s="1" t="b">
        <v>0</v>
      </c>
      <c r="AN559" s="1" t="b">
        <v>0</v>
      </c>
      <c r="AO559" s="1" t="b">
        <v>0</v>
      </c>
    </row>
    <row r="560" spans="1:41" x14ac:dyDescent="0.25">
      <c r="A560" s="10"/>
      <c r="B560" s="10"/>
      <c r="C560" s="10"/>
      <c r="D560" s="10"/>
      <c r="E560" s="10"/>
      <c r="F560" s="10"/>
      <c r="G560" s="10"/>
      <c r="H560" s="10"/>
      <c r="I560" s="1" t="str">
        <f t="shared" si="24"/>
        <v/>
      </c>
      <c r="J560" s="1" t="s">
        <v>35</v>
      </c>
      <c r="K560" s="1" t="str">
        <f t="shared" si="25"/>
        <v/>
      </c>
      <c r="L560" s="1" t="str">
        <f t="shared" si="26"/>
        <v/>
      </c>
      <c r="M560" s="1">
        <f>IF(OR(Table1[[#This Row],[Std Nom]]="",Table1[[#This Row],[Std Read]]=""),0,Table1[[#This Row],[Std Nom]]-Table1[[#This Row],[Std Read]])</f>
        <v>0</v>
      </c>
      <c r="N560" s="1">
        <f>IF(Calculations!$F$5="ACCREDITED 17025 WITH UNCERTAINTIES",$N$10,0)</f>
        <v>0</v>
      </c>
      <c r="O560" s="1" t="str">
        <f>IFERROR(Table1[[#This Row],[Std Nom]]-(_xlfn.XLOOKUP(Table1[[#This Row],[Manufacturer]]&amp;" "&amp;Table1[[#This Row],[Model]],Table13[MFR &amp; MDL],Table13[Tolerance % CW ],"")/100*Table1[[#This Row],[Std Nom]]),"")</f>
        <v/>
      </c>
      <c r="P560" s="1" t="str">
        <f>IFERROR(Table1[[#This Row],[Std Nom]]+(_xlfn.XLOOKUP(Table1[[#This Row],[Manufacturer]]&amp;" "&amp;Table1[[#This Row],[Model]],Table13[MFR &amp; MDL],Table13[Tolerance % CW ],"")/100*Table1[[#This Row],[Std Nom]]),"")</f>
        <v/>
      </c>
      <c r="Q560" s="1" t="e">
        <f>Table1[[#This Row],[High Tol]]-Table1[[#This Row],[Low Tol]]</f>
        <v>#VALUE!</v>
      </c>
      <c r="R560" s="1">
        <f>2*Table1[[#This Row],[Std Error]]</f>
        <v>0</v>
      </c>
      <c r="S560" s="1" t="str">
        <f>IF(Table1[[#This Row],[High Tol]]="","N/A",IFERROR(ABS(Table1[[#This Row],[Tol Span]]/Table1[[#This Row],[Error Span]]),"N/A"))</f>
        <v>N/A</v>
      </c>
      <c r="T560" s="1" t="str">
        <f>IF(OR(Table1[[#This Row],[Low Tol]]="",Table1[[#This Row],[High Tol]]=""),"Needs Analysis",IF(Table1[[#This Row],[Ratio]]&gt;=4,"Not Significant",IF(Table1[[#This Row],[Ratio]]&gt;=2,"Semi-Significant","Significant")))</f>
        <v>Needs Analysis</v>
      </c>
      <c r="W560" s="1">
        <f>IF(Table1[[#This Row],[Cal Type]]&lt;&gt;"ACCREDITED 17025 WITH UNCERTAINTIES",0,"")</f>
        <v>0</v>
      </c>
      <c r="X560" s="1" t="str">
        <f>IF(Table1[[#This Row],[DUT Read]]="","N/A",Table1[[#This Row],[Std Error]]+Table1[[#This Row],[DUT Read]]+Table1[[#This Row],[DUT Ucty]])</f>
        <v>N/A</v>
      </c>
      <c r="Y560" s="1" t="str">
        <f>IF(Table1[[#This Row],[Std Read]]="","N/A",Table1[[#This Row],[Std Read]]+Table1[[#This Row],[Std Ucty]])</f>
        <v>N/A</v>
      </c>
      <c r="Z5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0" s="1" t="str">
        <f>IF(Table1[[#This Row],[Spec Type]]="","N/A",Table1[[#This Row],[Spec Type]])</f>
        <v>±</v>
      </c>
      <c r="AC560" s="1" t="str">
        <f>IF(Table1[[#This Row],[Spec Type2]]="N/A","N/A",IF(AND(Table1[[#This Row],[DUT Adj Read]]&gt;=Table1[[#This Row],[Low Tol]],Table1[[#This Row],[DUT Adj Read]]&lt;=Table1[[#This Row],[High Tol]]),"Pass","Fail"))</f>
        <v>Fail</v>
      </c>
      <c r="AD560" s="1" t="str">
        <f>IF(AND(Table1[[#This Row],[Spec Type2]]="N/A",Table1[[#This Row],[DUT Adj Read]]="N/A",Table1[[#This Row],[Std Adj Read]]="N/A"),"N/A",IF(Table1[[#This Row],[DUT Adj Read]]="N/A",IF(Table1[[#This Row],[Std Adj Read]]&gt;Table1[[#This Row],[Low Tol]],"Pass","Fail"),IF(Table1[[#This Row],[DUT Adj Read]]&gt;Table1[[#This Row],[Low Tol]],"Pass","Fail")))</f>
        <v>Pass</v>
      </c>
      <c r="AE560" s="1" t="str">
        <f>IF(AND(Table1[[#This Row],[Spec Type2]]="N/A",Table1[[#This Row],[DUT Adj Read]]="N/A",Table1[[#This Row],[Std Adj Read]]="N/A"),"N/A",IF(Table1[[#This Row],[DUT Adj Read]]="N/A",IF(Table1[[#This Row],[Std Adj Read]]&lt;Table1[[#This Row],[High Tol]],"Pass","Fail"),IF(Table1[[#This Row],[DUT Adj Read]]&lt;Table1[[#This Row],[High Tol]],"Pass","Fail")))</f>
        <v>Fail</v>
      </c>
      <c r="AF560" s="1" t="str">
        <f>IF(AND(Table1[[#This Row],[Spec Type2]]="N/A",Table1[[#This Row],[DUT Adj Read]]="N/A",Table1[[#This Row],[Std Adj Read]]="N/A"),"N/A",IF(Table1[[#This Row],[DUT Adj Read]]="N/A",IF(Table1[[#This Row],[Std Adj Read]]&gt;=Table1[[#This Row],[Low Tol]],"Pass","Fail"),IF(Table1[[#This Row],[DUT Adj Read]]&gt;=Table1[[#This Row],[Low Tol]],"Pass","Fail")))</f>
        <v>Pass</v>
      </c>
      <c r="AG560" s="1" t="str">
        <f>IF(AND(Table1[[#This Row],[Spec Type2]]="N/A",Table1[[#This Row],[DUT Adj Read]]="N/A",Table1[[#This Row],[Std Adj Read]]="N/A"),"N/A",IF(Table1[[#This Row],[DUT Adj Read]]="N/A",IF(Table1[[#This Row],[Std Adj Read]]&lt;=Table1[[#This Row],[High Tol]],"Pass","Fail"),IF(Table1[[#This Row],[DUT Adj Read]]&lt;=Table1[[#This Row],[High Tol]],"Pass","Fail")))</f>
        <v>Fail</v>
      </c>
      <c r="AH5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0" s="1" t="b">
        <v>0</v>
      </c>
      <c r="AN560" s="1" t="b">
        <v>0</v>
      </c>
      <c r="AO560" s="1" t="b">
        <v>0</v>
      </c>
    </row>
    <row r="561" spans="1:41" x14ac:dyDescent="0.25">
      <c r="A561" s="10"/>
      <c r="B561" s="10"/>
      <c r="C561" s="10"/>
      <c r="D561" s="10"/>
      <c r="E561" s="10"/>
      <c r="F561" s="10"/>
      <c r="G561" s="10"/>
      <c r="H561" s="10"/>
      <c r="I561" s="1" t="str">
        <f t="shared" si="24"/>
        <v/>
      </c>
      <c r="J561" s="1" t="s">
        <v>35</v>
      </c>
      <c r="K561" s="1" t="str">
        <f t="shared" si="25"/>
        <v/>
      </c>
      <c r="L561" s="1" t="str">
        <f t="shared" si="26"/>
        <v/>
      </c>
      <c r="M561" s="1">
        <f>IF(OR(Table1[[#This Row],[Std Nom]]="",Table1[[#This Row],[Std Read]]=""),0,Table1[[#This Row],[Std Nom]]-Table1[[#This Row],[Std Read]])</f>
        <v>0</v>
      </c>
      <c r="N561" s="1">
        <f>IF(Calculations!$F$5="ACCREDITED 17025 WITH UNCERTAINTIES",$N$10,0)</f>
        <v>0</v>
      </c>
      <c r="O561" s="1" t="str">
        <f>IFERROR(Table1[[#This Row],[Std Nom]]-(_xlfn.XLOOKUP(Table1[[#This Row],[Manufacturer]]&amp;" "&amp;Table1[[#This Row],[Model]],Table13[MFR &amp; MDL],Table13[Tolerance % CW ],"")/100*Table1[[#This Row],[Std Nom]]),"")</f>
        <v/>
      </c>
      <c r="P561" s="1" t="str">
        <f>IFERROR(Table1[[#This Row],[Std Nom]]+(_xlfn.XLOOKUP(Table1[[#This Row],[Manufacturer]]&amp;" "&amp;Table1[[#This Row],[Model]],Table13[MFR &amp; MDL],Table13[Tolerance % CW ],"")/100*Table1[[#This Row],[Std Nom]]),"")</f>
        <v/>
      </c>
      <c r="Q561" s="1" t="e">
        <f>Table1[[#This Row],[High Tol]]-Table1[[#This Row],[Low Tol]]</f>
        <v>#VALUE!</v>
      </c>
      <c r="R561" s="1">
        <f>2*Table1[[#This Row],[Std Error]]</f>
        <v>0</v>
      </c>
      <c r="S561" s="1" t="str">
        <f>IF(Table1[[#This Row],[High Tol]]="","N/A",IFERROR(ABS(Table1[[#This Row],[Tol Span]]/Table1[[#This Row],[Error Span]]),"N/A"))</f>
        <v>N/A</v>
      </c>
      <c r="T561" s="1" t="str">
        <f>IF(OR(Table1[[#This Row],[Low Tol]]="",Table1[[#This Row],[High Tol]]=""),"Needs Analysis",IF(Table1[[#This Row],[Ratio]]&gt;=4,"Not Significant",IF(Table1[[#This Row],[Ratio]]&gt;=2,"Semi-Significant","Significant")))</f>
        <v>Needs Analysis</v>
      </c>
      <c r="W561" s="1">
        <f>IF(Table1[[#This Row],[Cal Type]]&lt;&gt;"ACCREDITED 17025 WITH UNCERTAINTIES",0,"")</f>
        <v>0</v>
      </c>
      <c r="X561" s="1" t="str">
        <f>IF(Table1[[#This Row],[DUT Read]]="","N/A",Table1[[#This Row],[Std Error]]+Table1[[#This Row],[DUT Read]]+Table1[[#This Row],[DUT Ucty]])</f>
        <v>N/A</v>
      </c>
      <c r="Y561" s="1" t="str">
        <f>IF(Table1[[#This Row],[Std Read]]="","N/A",Table1[[#This Row],[Std Read]]+Table1[[#This Row],[Std Ucty]])</f>
        <v>N/A</v>
      </c>
      <c r="Z5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1" s="1" t="str">
        <f>IF(Table1[[#This Row],[Spec Type]]="","N/A",Table1[[#This Row],[Spec Type]])</f>
        <v>±</v>
      </c>
      <c r="AC561" s="1" t="str">
        <f>IF(Table1[[#This Row],[Spec Type2]]="N/A","N/A",IF(AND(Table1[[#This Row],[DUT Adj Read]]&gt;=Table1[[#This Row],[Low Tol]],Table1[[#This Row],[DUT Adj Read]]&lt;=Table1[[#This Row],[High Tol]]),"Pass","Fail"))</f>
        <v>Fail</v>
      </c>
      <c r="AD561" s="1" t="str">
        <f>IF(AND(Table1[[#This Row],[Spec Type2]]="N/A",Table1[[#This Row],[DUT Adj Read]]="N/A",Table1[[#This Row],[Std Adj Read]]="N/A"),"N/A",IF(Table1[[#This Row],[DUT Adj Read]]="N/A",IF(Table1[[#This Row],[Std Adj Read]]&gt;Table1[[#This Row],[Low Tol]],"Pass","Fail"),IF(Table1[[#This Row],[DUT Adj Read]]&gt;Table1[[#This Row],[Low Tol]],"Pass","Fail")))</f>
        <v>Pass</v>
      </c>
      <c r="AE561" s="1" t="str">
        <f>IF(AND(Table1[[#This Row],[Spec Type2]]="N/A",Table1[[#This Row],[DUT Adj Read]]="N/A",Table1[[#This Row],[Std Adj Read]]="N/A"),"N/A",IF(Table1[[#This Row],[DUT Adj Read]]="N/A",IF(Table1[[#This Row],[Std Adj Read]]&lt;Table1[[#This Row],[High Tol]],"Pass","Fail"),IF(Table1[[#This Row],[DUT Adj Read]]&lt;Table1[[#This Row],[High Tol]],"Pass","Fail")))</f>
        <v>Fail</v>
      </c>
      <c r="AF561" s="1" t="str">
        <f>IF(AND(Table1[[#This Row],[Spec Type2]]="N/A",Table1[[#This Row],[DUT Adj Read]]="N/A",Table1[[#This Row],[Std Adj Read]]="N/A"),"N/A",IF(Table1[[#This Row],[DUT Adj Read]]="N/A",IF(Table1[[#This Row],[Std Adj Read]]&gt;=Table1[[#This Row],[Low Tol]],"Pass","Fail"),IF(Table1[[#This Row],[DUT Adj Read]]&gt;=Table1[[#This Row],[Low Tol]],"Pass","Fail")))</f>
        <v>Pass</v>
      </c>
      <c r="AG561" s="1" t="str">
        <f>IF(AND(Table1[[#This Row],[Spec Type2]]="N/A",Table1[[#This Row],[DUT Adj Read]]="N/A",Table1[[#This Row],[Std Adj Read]]="N/A"),"N/A",IF(Table1[[#This Row],[DUT Adj Read]]="N/A",IF(Table1[[#This Row],[Std Adj Read]]&lt;=Table1[[#This Row],[High Tol]],"Pass","Fail"),IF(Table1[[#This Row],[DUT Adj Read]]&lt;=Table1[[#This Row],[High Tol]],"Pass","Fail")))</f>
        <v>Fail</v>
      </c>
      <c r="AH5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1" s="1" t="b">
        <v>0</v>
      </c>
      <c r="AN561" s="1" t="b">
        <v>0</v>
      </c>
      <c r="AO561" s="1" t="b">
        <v>0</v>
      </c>
    </row>
    <row r="562" spans="1:41" x14ac:dyDescent="0.25">
      <c r="A562" s="10"/>
      <c r="B562" s="10"/>
      <c r="C562" s="10"/>
      <c r="D562" s="10"/>
      <c r="E562" s="10"/>
      <c r="F562" s="10"/>
      <c r="G562" s="10"/>
      <c r="H562" s="10"/>
      <c r="I562" s="1" t="str">
        <f t="shared" si="24"/>
        <v/>
      </c>
      <c r="J562" s="1" t="s">
        <v>35</v>
      </c>
      <c r="K562" s="1" t="str">
        <f t="shared" si="25"/>
        <v/>
      </c>
      <c r="L562" s="1" t="str">
        <f t="shared" si="26"/>
        <v/>
      </c>
      <c r="M562" s="1">
        <f>IF(OR(Table1[[#This Row],[Std Nom]]="",Table1[[#This Row],[Std Read]]=""),0,Table1[[#This Row],[Std Nom]]-Table1[[#This Row],[Std Read]])</f>
        <v>0</v>
      </c>
      <c r="N562" s="1">
        <f>IF(Calculations!$F$5="ACCREDITED 17025 WITH UNCERTAINTIES",$N$10,0)</f>
        <v>0</v>
      </c>
      <c r="O562" s="1" t="str">
        <f>IFERROR(Table1[[#This Row],[Std Nom]]-(_xlfn.XLOOKUP(Table1[[#This Row],[Manufacturer]]&amp;" "&amp;Table1[[#This Row],[Model]],Table13[MFR &amp; MDL],Table13[Tolerance % CW ],"")/100*Table1[[#This Row],[Std Nom]]),"")</f>
        <v/>
      </c>
      <c r="P562" s="1" t="str">
        <f>IFERROR(Table1[[#This Row],[Std Nom]]+(_xlfn.XLOOKUP(Table1[[#This Row],[Manufacturer]]&amp;" "&amp;Table1[[#This Row],[Model]],Table13[MFR &amp; MDL],Table13[Tolerance % CW ],"")/100*Table1[[#This Row],[Std Nom]]),"")</f>
        <v/>
      </c>
      <c r="Q562" s="1" t="e">
        <f>Table1[[#This Row],[High Tol]]-Table1[[#This Row],[Low Tol]]</f>
        <v>#VALUE!</v>
      </c>
      <c r="R562" s="1">
        <f>2*Table1[[#This Row],[Std Error]]</f>
        <v>0</v>
      </c>
      <c r="S562" s="1" t="str">
        <f>IF(Table1[[#This Row],[High Tol]]="","N/A",IFERROR(ABS(Table1[[#This Row],[Tol Span]]/Table1[[#This Row],[Error Span]]),"N/A"))</f>
        <v>N/A</v>
      </c>
      <c r="T562" s="1" t="str">
        <f>IF(OR(Table1[[#This Row],[Low Tol]]="",Table1[[#This Row],[High Tol]]=""),"Needs Analysis",IF(Table1[[#This Row],[Ratio]]&gt;=4,"Not Significant",IF(Table1[[#This Row],[Ratio]]&gt;=2,"Semi-Significant","Significant")))</f>
        <v>Needs Analysis</v>
      </c>
      <c r="W562" s="1">
        <f>IF(Table1[[#This Row],[Cal Type]]&lt;&gt;"ACCREDITED 17025 WITH UNCERTAINTIES",0,"")</f>
        <v>0</v>
      </c>
      <c r="X562" s="1" t="str">
        <f>IF(Table1[[#This Row],[DUT Read]]="","N/A",Table1[[#This Row],[Std Error]]+Table1[[#This Row],[DUT Read]]+Table1[[#This Row],[DUT Ucty]])</f>
        <v>N/A</v>
      </c>
      <c r="Y562" s="1" t="str">
        <f>IF(Table1[[#This Row],[Std Read]]="","N/A",Table1[[#This Row],[Std Read]]+Table1[[#This Row],[Std Ucty]])</f>
        <v>N/A</v>
      </c>
      <c r="Z5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2" s="1" t="str">
        <f>IF(Table1[[#This Row],[Spec Type]]="","N/A",Table1[[#This Row],[Spec Type]])</f>
        <v>±</v>
      </c>
      <c r="AC562" s="1" t="str">
        <f>IF(Table1[[#This Row],[Spec Type2]]="N/A","N/A",IF(AND(Table1[[#This Row],[DUT Adj Read]]&gt;=Table1[[#This Row],[Low Tol]],Table1[[#This Row],[DUT Adj Read]]&lt;=Table1[[#This Row],[High Tol]]),"Pass","Fail"))</f>
        <v>Fail</v>
      </c>
      <c r="AD562" s="1" t="str">
        <f>IF(AND(Table1[[#This Row],[Spec Type2]]="N/A",Table1[[#This Row],[DUT Adj Read]]="N/A",Table1[[#This Row],[Std Adj Read]]="N/A"),"N/A",IF(Table1[[#This Row],[DUT Adj Read]]="N/A",IF(Table1[[#This Row],[Std Adj Read]]&gt;Table1[[#This Row],[Low Tol]],"Pass","Fail"),IF(Table1[[#This Row],[DUT Adj Read]]&gt;Table1[[#This Row],[Low Tol]],"Pass","Fail")))</f>
        <v>Pass</v>
      </c>
      <c r="AE562" s="1" t="str">
        <f>IF(AND(Table1[[#This Row],[Spec Type2]]="N/A",Table1[[#This Row],[DUT Adj Read]]="N/A",Table1[[#This Row],[Std Adj Read]]="N/A"),"N/A",IF(Table1[[#This Row],[DUT Adj Read]]="N/A",IF(Table1[[#This Row],[Std Adj Read]]&lt;Table1[[#This Row],[High Tol]],"Pass","Fail"),IF(Table1[[#This Row],[DUT Adj Read]]&lt;Table1[[#This Row],[High Tol]],"Pass","Fail")))</f>
        <v>Fail</v>
      </c>
      <c r="AF562" s="1" t="str">
        <f>IF(AND(Table1[[#This Row],[Spec Type2]]="N/A",Table1[[#This Row],[DUT Adj Read]]="N/A",Table1[[#This Row],[Std Adj Read]]="N/A"),"N/A",IF(Table1[[#This Row],[DUT Adj Read]]="N/A",IF(Table1[[#This Row],[Std Adj Read]]&gt;=Table1[[#This Row],[Low Tol]],"Pass","Fail"),IF(Table1[[#This Row],[DUT Adj Read]]&gt;=Table1[[#This Row],[Low Tol]],"Pass","Fail")))</f>
        <v>Pass</v>
      </c>
      <c r="AG562" s="1" t="str">
        <f>IF(AND(Table1[[#This Row],[Spec Type2]]="N/A",Table1[[#This Row],[DUT Adj Read]]="N/A",Table1[[#This Row],[Std Adj Read]]="N/A"),"N/A",IF(Table1[[#This Row],[DUT Adj Read]]="N/A",IF(Table1[[#This Row],[Std Adj Read]]&lt;=Table1[[#This Row],[High Tol]],"Pass","Fail"),IF(Table1[[#This Row],[DUT Adj Read]]&lt;=Table1[[#This Row],[High Tol]],"Pass","Fail")))</f>
        <v>Fail</v>
      </c>
      <c r="AH5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2" s="1" t="b">
        <v>0</v>
      </c>
      <c r="AN562" s="1" t="b">
        <v>0</v>
      </c>
      <c r="AO562" s="1" t="b">
        <v>0</v>
      </c>
    </row>
    <row r="563" spans="1:41" x14ac:dyDescent="0.25">
      <c r="A563" s="10"/>
      <c r="B563" s="10"/>
      <c r="C563" s="10"/>
      <c r="D563" s="10"/>
      <c r="E563" s="10"/>
      <c r="F563" s="10"/>
      <c r="G563" s="10"/>
      <c r="H563" s="10"/>
      <c r="I563" s="1" t="str">
        <f t="shared" si="24"/>
        <v/>
      </c>
      <c r="J563" s="1" t="s">
        <v>35</v>
      </c>
      <c r="K563" s="1" t="str">
        <f t="shared" si="25"/>
        <v/>
      </c>
      <c r="L563" s="1" t="str">
        <f t="shared" si="26"/>
        <v/>
      </c>
      <c r="M563" s="1">
        <f>IF(OR(Table1[[#This Row],[Std Nom]]="",Table1[[#This Row],[Std Read]]=""),0,Table1[[#This Row],[Std Nom]]-Table1[[#This Row],[Std Read]])</f>
        <v>0</v>
      </c>
      <c r="N563" s="1">
        <f>IF(Calculations!$F$5="ACCREDITED 17025 WITH UNCERTAINTIES",$N$10,0)</f>
        <v>0</v>
      </c>
      <c r="O563" s="1" t="str">
        <f>IFERROR(Table1[[#This Row],[Std Nom]]-(_xlfn.XLOOKUP(Table1[[#This Row],[Manufacturer]]&amp;" "&amp;Table1[[#This Row],[Model]],Table13[MFR &amp; MDL],Table13[Tolerance % CW ],"")/100*Table1[[#This Row],[Std Nom]]),"")</f>
        <v/>
      </c>
      <c r="P563" s="1" t="str">
        <f>IFERROR(Table1[[#This Row],[Std Nom]]+(_xlfn.XLOOKUP(Table1[[#This Row],[Manufacturer]]&amp;" "&amp;Table1[[#This Row],[Model]],Table13[MFR &amp; MDL],Table13[Tolerance % CW ],"")/100*Table1[[#This Row],[Std Nom]]),"")</f>
        <v/>
      </c>
      <c r="Q563" s="1" t="e">
        <f>Table1[[#This Row],[High Tol]]-Table1[[#This Row],[Low Tol]]</f>
        <v>#VALUE!</v>
      </c>
      <c r="R563" s="1">
        <f>2*Table1[[#This Row],[Std Error]]</f>
        <v>0</v>
      </c>
      <c r="S563" s="1" t="str">
        <f>IF(Table1[[#This Row],[High Tol]]="","N/A",IFERROR(ABS(Table1[[#This Row],[Tol Span]]/Table1[[#This Row],[Error Span]]),"N/A"))</f>
        <v>N/A</v>
      </c>
      <c r="T563" s="1" t="str">
        <f>IF(OR(Table1[[#This Row],[Low Tol]]="",Table1[[#This Row],[High Tol]]=""),"Needs Analysis",IF(Table1[[#This Row],[Ratio]]&gt;=4,"Not Significant",IF(Table1[[#This Row],[Ratio]]&gt;=2,"Semi-Significant","Significant")))</f>
        <v>Needs Analysis</v>
      </c>
      <c r="W563" s="1">
        <f>IF(Table1[[#This Row],[Cal Type]]&lt;&gt;"ACCREDITED 17025 WITH UNCERTAINTIES",0,"")</f>
        <v>0</v>
      </c>
      <c r="X563" s="1" t="str">
        <f>IF(Table1[[#This Row],[DUT Read]]="","N/A",Table1[[#This Row],[Std Error]]+Table1[[#This Row],[DUT Read]]+Table1[[#This Row],[DUT Ucty]])</f>
        <v>N/A</v>
      </c>
      <c r="Y563" s="1" t="str">
        <f>IF(Table1[[#This Row],[Std Read]]="","N/A",Table1[[#This Row],[Std Read]]+Table1[[#This Row],[Std Ucty]])</f>
        <v>N/A</v>
      </c>
      <c r="Z5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3" s="1" t="str">
        <f>IF(Table1[[#This Row],[Spec Type]]="","N/A",Table1[[#This Row],[Spec Type]])</f>
        <v>±</v>
      </c>
      <c r="AC563" s="1" t="str">
        <f>IF(Table1[[#This Row],[Spec Type2]]="N/A","N/A",IF(AND(Table1[[#This Row],[DUT Adj Read]]&gt;=Table1[[#This Row],[Low Tol]],Table1[[#This Row],[DUT Adj Read]]&lt;=Table1[[#This Row],[High Tol]]),"Pass","Fail"))</f>
        <v>Fail</v>
      </c>
      <c r="AD563" s="1" t="str">
        <f>IF(AND(Table1[[#This Row],[Spec Type2]]="N/A",Table1[[#This Row],[DUT Adj Read]]="N/A",Table1[[#This Row],[Std Adj Read]]="N/A"),"N/A",IF(Table1[[#This Row],[DUT Adj Read]]="N/A",IF(Table1[[#This Row],[Std Adj Read]]&gt;Table1[[#This Row],[Low Tol]],"Pass","Fail"),IF(Table1[[#This Row],[DUT Adj Read]]&gt;Table1[[#This Row],[Low Tol]],"Pass","Fail")))</f>
        <v>Pass</v>
      </c>
      <c r="AE563" s="1" t="str">
        <f>IF(AND(Table1[[#This Row],[Spec Type2]]="N/A",Table1[[#This Row],[DUT Adj Read]]="N/A",Table1[[#This Row],[Std Adj Read]]="N/A"),"N/A",IF(Table1[[#This Row],[DUT Adj Read]]="N/A",IF(Table1[[#This Row],[Std Adj Read]]&lt;Table1[[#This Row],[High Tol]],"Pass","Fail"),IF(Table1[[#This Row],[DUT Adj Read]]&lt;Table1[[#This Row],[High Tol]],"Pass","Fail")))</f>
        <v>Fail</v>
      </c>
      <c r="AF563" s="1" t="str">
        <f>IF(AND(Table1[[#This Row],[Spec Type2]]="N/A",Table1[[#This Row],[DUT Adj Read]]="N/A",Table1[[#This Row],[Std Adj Read]]="N/A"),"N/A",IF(Table1[[#This Row],[DUT Adj Read]]="N/A",IF(Table1[[#This Row],[Std Adj Read]]&gt;=Table1[[#This Row],[Low Tol]],"Pass","Fail"),IF(Table1[[#This Row],[DUT Adj Read]]&gt;=Table1[[#This Row],[Low Tol]],"Pass","Fail")))</f>
        <v>Pass</v>
      </c>
      <c r="AG563" s="1" t="str">
        <f>IF(AND(Table1[[#This Row],[Spec Type2]]="N/A",Table1[[#This Row],[DUT Adj Read]]="N/A",Table1[[#This Row],[Std Adj Read]]="N/A"),"N/A",IF(Table1[[#This Row],[DUT Adj Read]]="N/A",IF(Table1[[#This Row],[Std Adj Read]]&lt;=Table1[[#This Row],[High Tol]],"Pass","Fail"),IF(Table1[[#This Row],[DUT Adj Read]]&lt;=Table1[[#This Row],[High Tol]],"Pass","Fail")))</f>
        <v>Fail</v>
      </c>
      <c r="AH5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3" s="1" t="b">
        <v>0</v>
      </c>
      <c r="AN563" s="1" t="b">
        <v>0</v>
      </c>
      <c r="AO563" s="1" t="b">
        <v>0</v>
      </c>
    </row>
    <row r="564" spans="1:41" x14ac:dyDescent="0.25">
      <c r="A564" s="10"/>
      <c r="B564" s="10"/>
      <c r="C564" s="10"/>
      <c r="D564" s="10"/>
      <c r="E564" s="10"/>
      <c r="F564" s="10"/>
      <c r="G564" s="10"/>
      <c r="H564" s="10"/>
      <c r="I564" s="1" t="str">
        <f t="shared" si="24"/>
        <v/>
      </c>
      <c r="J564" s="1" t="s">
        <v>35</v>
      </c>
      <c r="K564" s="1" t="str">
        <f t="shared" si="25"/>
        <v/>
      </c>
      <c r="L564" s="1" t="str">
        <f t="shared" si="26"/>
        <v/>
      </c>
      <c r="M564" s="1">
        <f>IF(OR(Table1[[#This Row],[Std Nom]]="",Table1[[#This Row],[Std Read]]=""),0,Table1[[#This Row],[Std Nom]]-Table1[[#This Row],[Std Read]])</f>
        <v>0</v>
      </c>
      <c r="N564" s="1">
        <f>IF(Calculations!$F$5="ACCREDITED 17025 WITH UNCERTAINTIES",$N$10,0)</f>
        <v>0</v>
      </c>
      <c r="O564" s="1" t="str">
        <f>IFERROR(Table1[[#This Row],[Std Nom]]-(_xlfn.XLOOKUP(Table1[[#This Row],[Manufacturer]]&amp;" "&amp;Table1[[#This Row],[Model]],Table13[MFR &amp; MDL],Table13[Tolerance % CW ],"")/100*Table1[[#This Row],[Std Nom]]),"")</f>
        <v/>
      </c>
      <c r="P564" s="1" t="str">
        <f>IFERROR(Table1[[#This Row],[Std Nom]]+(_xlfn.XLOOKUP(Table1[[#This Row],[Manufacturer]]&amp;" "&amp;Table1[[#This Row],[Model]],Table13[MFR &amp; MDL],Table13[Tolerance % CW ],"")/100*Table1[[#This Row],[Std Nom]]),"")</f>
        <v/>
      </c>
      <c r="Q564" s="1" t="e">
        <f>Table1[[#This Row],[High Tol]]-Table1[[#This Row],[Low Tol]]</f>
        <v>#VALUE!</v>
      </c>
      <c r="R564" s="1">
        <f>2*Table1[[#This Row],[Std Error]]</f>
        <v>0</v>
      </c>
      <c r="S564" s="1" t="str">
        <f>IF(Table1[[#This Row],[High Tol]]="","N/A",IFERROR(ABS(Table1[[#This Row],[Tol Span]]/Table1[[#This Row],[Error Span]]),"N/A"))</f>
        <v>N/A</v>
      </c>
      <c r="T564" s="1" t="str">
        <f>IF(OR(Table1[[#This Row],[Low Tol]]="",Table1[[#This Row],[High Tol]]=""),"Needs Analysis",IF(Table1[[#This Row],[Ratio]]&gt;=4,"Not Significant",IF(Table1[[#This Row],[Ratio]]&gt;=2,"Semi-Significant","Significant")))</f>
        <v>Needs Analysis</v>
      </c>
      <c r="W564" s="1">
        <f>IF(Table1[[#This Row],[Cal Type]]&lt;&gt;"ACCREDITED 17025 WITH UNCERTAINTIES",0,"")</f>
        <v>0</v>
      </c>
      <c r="X564" s="1" t="str">
        <f>IF(Table1[[#This Row],[DUT Read]]="","N/A",Table1[[#This Row],[Std Error]]+Table1[[#This Row],[DUT Read]]+Table1[[#This Row],[DUT Ucty]])</f>
        <v>N/A</v>
      </c>
      <c r="Y564" s="1" t="str">
        <f>IF(Table1[[#This Row],[Std Read]]="","N/A",Table1[[#This Row],[Std Read]]+Table1[[#This Row],[Std Ucty]])</f>
        <v>N/A</v>
      </c>
      <c r="Z5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4" s="1" t="str">
        <f>IF(Table1[[#This Row],[Spec Type]]="","N/A",Table1[[#This Row],[Spec Type]])</f>
        <v>±</v>
      </c>
      <c r="AC564" s="1" t="str">
        <f>IF(Table1[[#This Row],[Spec Type2]]="N/A","N/A",IF(AND(Table1[[#This Row],[DUT Adj Read]]&gt;=Table1[[#This Row],[Low Tol]],Table1[[#This Row],[DUT Adj Read]]&lt;=Table1[[#This Row],[High Tol]]),"Pass","Fail"))</f>
        <v>Fail</v>
      </c>
      <c r="AD564" s="1" t="str">
        <f>IF(AND(Table1[[#This Row],[Spec Type2]]="N/A",Table1[[#This Row],[DUT Adj Read]]="N/A",Table1[[#This Row],[Std Adj Read]]="N/A"),"N/A",IF(Table1[[#This Row],[DUT Adj Read]]="N/A",IF(Table1[[#This Row],[Std Adj Read]]&gt;Table1[[#This Row],[Low Tol]],"Pass","Fail"),IF(Table1[[#This Row],[DUT Adj Read]]&gt;Table1[[#This Row],[Low Tol]],"Pass","Fail")))</f>
        <v>Pass</v>
      </c>
      <c r="AE564" s="1" t="str">
        <f>IF(AND(Table1[[#This Row],[Spec Type2]]="N/A",Table1[[#This Row],[DUT Adj Read]]="N/A",Table1[[#This Row],[Std Adj Read]]="N/A"),"N/A",IF(Table1[[#This Row],[DUT Adj Read]]="N/A",IF(Table1[[#This Row],[Std Adj Read]]&lt;Table1[[#This Row],[High Tol]],"Pass","Fail"),IF(Table1[[#This Row],[DUT Adj Read]]&lt;Table1[[#This Row],[High Tol]],"Pass","Fail")))</f>
        <v>Fail</v>
      </c>
      <c r="AF564" s="1" t="str">
        <f>IF(AND(Table1[[#This Row],[Spec Type2]]="N/A",Table1[[#This Row],[DUT Adj Read]]="N/A",Table1[[#This Row],[Std Adj Read]]="N/A"),"N/A",IF(Table1[[#This Row],[DUT Adj Read]]="N/A",IF(Table1[[#This Row],[Std Adj Read]]&gt;=Table1[[#This Row],[Low Tol]],"Pass","Fail"),IF(Table1[[#This Row],[DUT Adj Read]]&gt;=Table1[[#This Row],[Low Tol]],"Pass","Fail")))</f>
        <v>Pass</v>
      </c>
      <c r="AG564" s="1" t="str">
        <f>IF(AND(Table1[[#This Row],[Spec Type2]]="N/A",Table1[[#This Row],[DUT Adj Read]]="N/A",Table1[[#This Row],[Std Adj Read]]="N/A"),"N/A",IF(Table1[[#This Row],[DUT Adj Read]]="N/A",IF(Table1[[#This Row],[Std Adj Read]]&lt;=Table1[[#This Row],[High Tol]],"Pass","Fail"),IF(Table1[[#This Row],[DUT Adj Read]]&lt;=Table1[[#This Row],[High Tol]],"Pass","Fail")))</f>
        <v>Fail</v>
      </c>
      <c r="AH5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4" s="1" t="b">
        <v>0</v>
      </c>
      <c r="AN564" s="1" t="b">
        <v>0</v>
      </c>
      <c r="AO564" s="1" t="b">
        <v>0</v>
      </c>
    </row>
    <row r="565" spans="1:41" x14ac:dyDescent="0.25">
      <c r="A565" s="10"/>
      <c r="B565" s="10"/>
      <c r="C565" s="10"/>
      <c r="D565" s="10"/>
      <c r="E565" s="10"/>
      <c r="F565" s="10"/>
      <c r="G565" s="10"/>
      <c r="H565" s="10"/>
      <c r="I565" s="1" t="str">
        <f t="shared" si="24"/>
        <v/>
      </c>
      <c r="J565" s="1" t="s">
        <v>35</v>
      </c>
      <c r="K565" s="1" t="str">
        <f t="shared" si="25"/>
        <v/>
      </c>
      <c r="L565" s="1" t="str">
        <f t="shared" si="26"/>
        <v/>
      </c>
      <c r="M565" s="1">
        <f>IF(OR(Table1[[#This Row],[Std Nom]]="",Table1[[#This Row],[Std Read]]=""),0,Table1[[#This Row],[Std Nom]]-Table1[[#This Row],[Std Read]])</f>
        <v>0</v>
      </c>
      <c r="N565" s="1">
        <f>IF(Calculations!$F$5="ACCREDITED 17025 WITH UNCERTAINTIES",$N$10,0)</f>
        <v>0</v>
      </c>
      <c r="O565" s="1" t="str">
        <f>IFERROR(Table1[[#This Row],[Std Nom]]-(_xlfn.XLOOKUP(Table1[[#This Row],[Manufacturer]]&amp;" "&amp;Table1[[#This Row],[Model]],Table13[MFR &amp; MDL],Table13[Tolerance % CW ],"")/100*Table1[[#This Row],[Std Nom]]),"")</f>
        <v/>
      </c>
      <c r="P565" s="1" t="str">
        <f>IFERROR(Table1[[#This Row],[Std Nom]]+(_xlfn.XLOOKUP(Table1[[#This Row],[Manufacturer]]&amp;" "&amp;Table1[[#This Row],[Model]],Table13[MFR &amp; MDL],Table13[Tolerance % CW ],"")/100*Table1[[#This Row],[Std Nom]]),"")</f>
        <v/>
      </c>
      <c r="Q565" s="1" t="e">
        <f>Table1[[#This Row],[High Tol]]-Table1[[#This Row],[Low Tol]]</f>
        <v>#VALUE!</v>
      </c>
      <c r="R565" s="1">
        <f>2*Table1[[#This Row],[Std Error]]</f>
        <v>0</v>
      </c>
      <c r="S565" s="1" t="str">
        <f>IF(Table1[[#This Row],[High Tol]]="","N/A",IFERROR(ABS(Table1[[#This Row],[Tol Span]]/Table1[[#This Row],[Error Span]]),"N/A"))</f>
        <v>N/A</v>
      </c>
      <c r="T565" s="1" t="str">
        <f>IF(OR(Table1[[#This Row],[Low Tol]]="",Table1[[#This Row],[High Tol]]=""),"Needs Analysis",IF(Table1[[#This Row],[Ratio]]&gt;=4,"Not Significant",IF(Table1[[#This Row],[Ratio]]&gt;=2,"Semi-Significant","Significant")))</f>
        <v>Needs Analysis</v>
      </c>
      <c r="W565" s="1">
        <f>IF(Table1[[#This Row],[Cal Type]]&lt;&gt;"ACCREDITED 17025 WITH UNCERTAINTIES",0,"")</f>
        <v>0</v>
      </c>
      <c r="X565" s="1" t="str">
        <f>IF(Table1[[#This Row],[DUT Read]]="","N/A",Table1[[#This Row],[Std Error]]+Table1[[#This Row],[DUT Read]]+Table1[[#This Row],[DUT Ucty]])</f>
        <v>N/A</v>
      </c>
      <c r="Y565" s="1" t="str">
        <f>IF(Table1[[#This Row],[Std Read]]="","N/A",Table1[[#This Row],[Std Read]]+Table1[[#This Row],[Std Ucty]])</f>
        <v>N/A</v>
      </c>
      <c r="Z5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5" s="1" t="str">
        <f>IF(Table1[[#This Row],[Spec Type]]="","N/A",Table1[[#This Row],[Spec Type]])</f>
        <v>±</v>
      </c>
      <c r="AC565" s="1" t="str">
        <f>IF(Table1[[#This Row],[Spec Type2]]="N/A","N/A",IF(AND(Table1[[#This Row],[DUT Adj Read]]&gt;=Table1[[#This Row],[Low Tol]],Table1[[#This Row],[DUT Adj Read]]&lt;=Table1[[#This Row],[High Tol]]),"Pass","Fail"))</f>
        <v>Fail</v>
      </c>
      <c r="AD565" s="1" t="str">
        <f>IF(AND(Table1[[#This Row],[Spec Type2]]="N/A",Table1[[#This Row],[DUT Adj Read]]="N/A",Table1[[#This Row],[Std Adj Read]]="N/A"),"N/A",IF(Table1[[#This Row],[DUT Adj Read]]="N/A",IF(Table1[[#This Row],[Std Adj Read]]&gt;Table1[[#This Row],[Low Tol]],"Pass","Fail"),IF(Table1[[#This Row],[DUT Adj Read]]&gt;Table1[[#This Row],[Low Tol]],"Pass","Fail")))</f>
        <v>Pass</v>
      </c>
      <c r="AE565" s="1" t="str">
        <f>IF(AND(Table1[[#This Row],[Spec Type2]]="N/A",Table1[[#This Row],[DUT Adj Read]]="N/A",Table1[[#This Row],[Std Adj Read]]="N/A"),"N/A",IF(Table1[[#This Row],[DUT Adj Read]]="N/A",IF(Table1[[#This Row],[Std Adj Read]]&lt;Table1[[#This Row],[High Tol]],"Pass","Fail"),IF(Table1[[#This Row],[DUT Adj Read]]&lt;Table1[[#This Row],[High Tol]],"Pass","Fail")))</f>
        <v>Fail</v>
      </c>
      <c r="AF565" s="1" t="str">
        <f>IF(AND(Table1[[#This Row],[Spec Type2]]="N/A",Table1[[#This Row],[DUT Adj Read]]="N/A",Table1[[#This Row],[Std Adj Read]]="N/A"),"N/A",IF(Table1[[#This Row],[DUT Adj Read]]="N/A",IF(Table1[[#This Row],[Std Adj Read]]&gt;=Table1[[#This Row],[Low Tol]],"Pass","Fail"),IF(Table1[[#This Row],[DUT Adj Read]]&gt;=Table1[[#This Row],[Low Tol]],"Pass","Fail")))</f>
        <v>Pass</v>
      </c>
      <c r="AG565" s="1" t="str">
        <f>IF(AND(Table1[[#This Row],[Spec Type2]]="N/A",Table1[[#This Row],[DUT Adj Read]]="N/A",Table1[[#This Row],[Std Adj Read]]="N/A"),"N/A",IF(Table1[[#This Row],[DUT Adj Read]]="N/A",IF(Table1[[#This Row],[Std Adj Read]]&lt;=Table1[[#This Row],[High Tol]],"Pass","Fail"),IF(Table1[[#This Row],[DUT Adj Read]]&lt;=Table1[[#This Row],[High Tol]],"Pass","Fail")))</f>
        <v>Fail</v>
      </c>
      <c r="AH5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5" s="1" t="b">
        <v>0</v>
      </c>
      <c r="AN565" s="1" t="b">
        <v>0</v>
      </c>
      <c r="AO565" s="1" t="b">
        <v>0</v>
      </c>
    </row>
    <row r="566" spans="1:41" x14ac:dyDescent="0.25">
      <c r="A566" s="10"/>
      <c r="B566" s="10"/>
      <c r="C566" s="10"/>
      <c r="D566" s="10"/>
      <c r="E566" s="10"/>
      <c r="F566" s="10"/>
      <c r="G566" s="10"/>
      <c r="H566" s="10"/>
      <c r="I566" s="1" t="str">
        <f t="shared" si="24"/>
        <v/>
      </c>
      <c r="J566" s="1" t="s">
        <v>35</v>
      </c>
      <c r="K566" s="1" t="str">
        <f t="shared" si="25"/>
        <v/>
      </c>
      <c r="L566" s="1" t="str">
        <f t="shared" si="26"/>
        <v/>
      </c>
      <c r="M566" s="1">
        <f>IF(OR(Table1[[#This Row],[Std Nom]]="",Table1[[#This Row],[Std Read]]=""),0,Table1[[#This Row],[Std Nom]]-Table1[[#This Row],[Std Read]])</f>
        <v>0</v>
      </c>
      <c r="N566" s="1">
        <f>IF(Calculations!$F$5="ACCREDITED 17025 WITH UNCERTAINTIES",$N$10,0)</f>
        <v>0</v>
      </c>
      <c r="O566" s="1" t="str">
        <f>IFERROR(Table1[[#This Row],[Std Nom]]-(_xlfn.XLOOKUP(Table1[[#This Row],[Manufacturer]]&amp;" "&amp;Table1[[#This Row],[Model]],Table13[MFR &amp; MDL],Table13[Tolerance % CW ],"")/100*Table1[[#This Row],[Std Nom]]),"")</f>
        <v/>
      </c>
      <c r="P566" s="1" t="str">
        <f>IFERROR(Table1[[#This Row],[Std Nom]]+(_xlfn.XLOOKUP(Table1[[#This Row],[Manufacturer]]&amp;" "&amp;Table1[[#This Row],[Model]],Table13[MFR &amp; MDL],Table13[Tolerance % CW ],"")/100*Table1[[#This Row],[Std Nom]]),"")</f>
        <v/>
      </c>
      <c r="Q566" s="1" t="e">
        <f>Table1[[#This Row],[High Tol]]-Table1[[#This Row],[Low Tol]]</f>
        <v>#VALUE!</v>
      </c>
      <c r="R566" s="1">
        <f>2*Table1[[#This Row],[Std Error]]</f>
        <v>0</v>
      </c>
      <c r="S566" s="1" t="str">
        <f>IF(Table1[[#This Row],[High Tol]]="","N/A",IFERROR(ABS(Table1[[#This Row],[Tol Span]]/Table1[[#This Row],[Error Span]]),"N/A"))</f>
        <v>N/A</v>
      </c>
      <c r="T566" s="1" t="str">
        <f>IF(OR(Table1[[#This Row],[Low Tol]]="",Table1[[#This Row],[High Tol]]=""),"Needs Analysis",IF(Table1[[#This Row],[Ratio]]&gt;=4,"Not Significant",IF(Table1[[#This Row],[Ratio]]&gt;=2,"Semi-Significant","Significant")))</f>
        <v>Needs Analysis</v>
      </c>
      <c r="W566" s="1">
        <f>IF(Table1[[#This Row],[Cal Type]]&lt;&gt;"ACCREDITED 17025 WITH UNCERTAINTIES",0,"")</f>
        <v>0</v>
      </c>
      <c r="X566" s="1" t="str">
        <f>IF(Table1[[#This Row],[DUT Read]]="","N/A",Table1[[#This Row],[Std Error]]+Table1[[#This Row],[DUT Read]]+Table1[[#This Row],[DUT Ucty]])</f>
        <v>N/A</v>
      </c>
      <c r="Y566" s="1" t="str">
        <f>IF(Table1[[#This Row],[Std Read]]="","N/A",Table1[[#This Row],[Std Read]]+Table1[[#This Row],[Std Ucty]])</f>
        <v>N/A</v>
      </c>
      <c r="Z5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6" s="1" t="str">
        <f>IF(Table1[[#This Row],[Spec Type]]="","N/A",Table1[[#This Row],[Spec Type]])</f>
        <v>±</v>
      </c>
      <c r="AC566" s="1" t="str">
        <f>IF(Table1[[#This Row],[Spec Type2]]="N/A","N/A",IF(AND(Table1[[#This Row],[DUT Adj Read]]&gt;=Table1[[#This Row],[Low Tol]],Table1[[#This Row],[DUT Adj Read]]&lt;=Table1[[#This Row],[High Tol]]),"Pass","Fail"))</f>
        <v>Fail</v>
      </c>
      <c r="AD566" s="1" t="str">
        <f>IF(AND(Table1[[#This Row],[Spec Type2]]="N/A",Table1[[#This Row],[DUT Adj Read]]="N/A",Table1[[#This Row],[Std Adj Read]]="N/A"),"N/A",IF(Table1[[#This Row],[DUT Adj Read]]="N/A",IF(Table1[[#This Row],[Std Adj Read]]&gt;Table1[[#This Row],[Low Tol]],"Pass","Fail"),IF(Table1[[#This Row],[DUT Adj Read]]&gt;Table1[[#This Row],[Low Tol]],"Pass","Fail")))</f>
        <v>Pass</v>
      </c>
      <c r="AE566" s="1" t="str">
        <f>IF(AND(Table1[[#This Row],[Spec Type2]]="N/A",Table1[[#This Row],[DUT Adj Read]]="N/A",Table1[[#This Row],[Std Adj Read]]="N/A"),"N/A",IF(Table1[[#This Row],[DUT Adj Read]]="N/A",IF(Table1[[#This Row],[Std Adj Read]]&lt;Table1[[#This Row],[High Tol]],"Pass","Fail"),IF(Table1[[#This Row],[DUT Adj Read]]&lt;Table1[[#This Row],[High Tol]],"Pass","Fail")))</f>
        <v>Fail</v>
      </c>
      <c r="AF566" s="1" t="str">
        <f>IF(AND(Table1[[#This Row],[Spec Type2]]="N/A",Table1[[#This Row],[DUT Adj Read]]="N/A",Table1[[#This Row],[Std Adj Read]]="N/A"),"N/A",IF(Table1[[#This Row],[DUT Adj Read]]="N/A",IF(Table1[[#This Row],[Std Adj Read]]&gt;=Table1[[#This Row],[Low Tol]],"Pass","Fail"),IF(Table1[[#This Row],[DUT Adj Read]]&gt;=Table1[[#This Row],[Low Tol]],"Pass","Fail")))</f>
        <v>Pass</v>
      </c>
      <c r="AG566" s="1" t="str">
        <f>IF(AND(Table1[[#This Row],[Spec Type2]]="N/A",Table1[[#This Row],[DUT Adj Read]]="N/A",Table1[[#This Row],[Std Adj Read]]="N/A"),"N/A",IF(Table1[[#This Row],[DUT Adj Read]]="N/A",IF(Table1[[#This Row],[Std Adj Read]]&lt;=Table1[[#This Row],[High Tol]],"Pass","Fail"),IF(Table1[[#This Row],[DUT Adj Read]]&lt;=Table1[[#This Row],[High Tol]],"Pass","Fail")))</f>
        <v>Fail</v>
      </c>
      <c r="AH5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6" s="1" t="b">
        <v>0</v>
      </c>
      <c r="AN566" s="1" t="b">
        <v>0</v>
      </c>
      <c r="AO566" s="1" t="b">
        <v>0</v>
      </c>
    </row>
    <row r="567" spans="1:41" x14ac:dyDescent="0.25">
      <c r="A567" s="10"/>
      <c r="B567" s="10"/>
      <c r="C567" s="10"/>
      <c r="D567" s="10"/>
      <c r="E567" s="10"/>
      <c r="F567" s="10"/>
      <c r="G567" s="10"/>
      <c r="H567" s="10"/>
      <c r="I567" s="1" t="str">
        <f t="shared" si="24"/>
        <v/>
      </c>
      <c r="J567" s="1" t="s">
        <v>35</v>
      </c>
      <c r="K567" s="1" t="str">
        <f t="shared" si="25"/>
        <v/>
      </c>
      <c r="L567" s="1" t="str">
        <f t="shared" si="26"/>
        <v/>
      </c>
      <c r="M567" s="1">
        <f>IF(OR(Table1[[#This Row],[Std Nom]]="",Table1[[#This Row],[Std Read]]=""),0,Table1[[#This Row],[Std Nom]]-Table1[[#This Row],[Std Read]])</f>
        <v>0</v>
      </c>
      <c r="N567" s="1">
        <f>IF(Calculations!$F$5="ACCREDITED 17025 WITH UNCERTAINTIES",$N$10,0)</f>
        <v>0</v>
      </c>
      <c r="O567" s="1" t="str">
        <f>IFERROR(Table1[[#This Row],[Std Nom]]-(_xlfn.XLOOKUP(Table1[[#This Row],[Manufacturer]]&amp;" "&amp;Table1[[#This Row],[Model]],Table13[MFR &amp; MDL],Table13[Tolerance % CW ],"")/100*Table1[[#This Row],[Std Nom]]),"")</f>
        <v/>
      </c>
      <c r="P567" s="1" t="str">
        <f>IFERROR(Table1[[#This Row],[Std Nom]]+(_xlfn.XLOOKUP(Table1[[#This Row],[Manufacturer]]&amp;" "&amp;Table1[[#This Row],[Model]],Table13[MFR &amp; MDL],Table13[Tolerance % CW ],"")/100*Table1[[#This Row],[Std Nom]]),"")</f>
        <v/>
      </c>
      <c r="Q567" s="1" t="e">
        <f>Table1[[#This Row],[High Tol]]-Table1[[#This Row],[Low Tol]]</f>
        <v>#VALUE!</v>
      </c>
      <c r="R567" s="1">
        <f>2*Table1[[#This Row],[Std Error]]</f>
        <v>0</v>
      </c>
      <c r="S567" s="1" t="str">
        <f>IF(Table1[[#This Row],[High Tol]]="","N/A",IFERROR(ABS(Table1[[#This Row],[Tol Span]]/Table1[[#This Row],[Error Span]]),"N/A"))</f>
        <v>N/A</v>
      </c>
      <c r="T567" s="1" t="str">
        <f>IF(OR(Table1[[#This Row],[Low Tol]]="",Table1[[#This Row],[High Tol]]=""),"Needs Analysis",IF(Table1[[#This Row],[Ratio]]&gt;=4,"Not Significant",IF(Table1[[#This Row],[Ratio]]&gt;=2,"Semi-Significant","Significant")))</f>
        <v>Needs Analysis</v>
      </c>
      <c r="W567" s="1">
        <f>IF(Table1[[#This Row],[Cal Type]]&lt;&gt;"ACCREDITED 17025 WITH UNCERTAINTIES",0,"")</f>
        <v>0</v>
      </c>
      <c r="X567" s="1" t="str">
        <f>IF(Table1[[#This Row],[DUT Read]]="","N/A",Table1[[#This Row],[Std Error]]+Table1[[#This Row],[DUT Read]]+Table1[[#This Row],[DUT Ucty]])</f>
        <v>N/A</v>
      </c>
      <c r="Y567" s="1" t="str">
        <f>IF(Table1[[#This Row],[Std Read]]="","N/A",Table1[[#This Row],[Std Read]]+Table1[[#This Row],[Std Ucty]])</f>
        <v>N/A</v>
      </c>
      <c r="Z5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7" s="1" t="str">
        <f>IF(Table1[[#This Row],[Spec Type]]="","N/A",Table1[[#This Row],[Spec Type]])</f>
        <v>±</v>
      </c>
      <c r="AC567" s="1" t="str">
        <f>IF(Table1[[#This Row],[Spec Type2]]="N/A","N/A",IF(AND(Table1[[#This Row],[DUT Adj Read]]&gt;=Table1[[#This Row],[Low Tol]],Table1[[#This Row],[DUT Adj Read]]&lt;=Table1[[#This Row],[High Tol]]),"Pass","Fail"))</f>
        <v>Fail</v>
      </c>
      <c r="AD567" s="1" t="str">
        <f>IF(AND(Table1[[#This Row],[Spec Type2]]="N/A",Table1[[#This Row],[DUT Adj Read]]="N/A",Table1[[#This Row],[Std Adj Read]]="N/A"),"N/A",IF(Table1[[#This Row],[DUT Adj Read]]="N/A",IF(Table1[[#This Row],[Std Adj Read]]&gt;Table1[[#This Row],[Low Tol]],"Pass","Fail"),IF(Table1[[#This Row],[DUT Adj Read]]&gt;Table1[[#This Row],[Low Tol]],"Pass","Fail")))</f>
        <v>Pass</v>
      </c>
      <c r="AE567" s="1" t="str">
        <f>IF(AND(Table1[[#This Row],[Spec Type2]]="N/A",Table1[[#This Row],[DUT Adj Read]]="N/A",Table1[[#This Row],[Std Adj Read]]="N/A"),"N/A",IF(Table1[[#This Row],[DUT Adj Read]]="N/A",IF(Table1[[#This Row],[Std Adj Read]]&lt;Table1[[#This Row],[High Tol]],"Pass","Fail"),IF(Table1[[#This Row],[DUT Adj Read]]&lt;Table1[[#This Row],[High Tol]],"Pass","Fail")))</f>
        <v>Fail</v>
      </c>
      <c r="AF567" s="1" t="str">
        <f>IF(AND(Table1[[#This Row],[Spec Type2]]="N/A",Table1[[#This Row],[DUT Adj Read]]="N/A",Table1[[#This Row],[Std Adj Read]]="N/A"),"N/A",IF(Table1[[#This Row],[DUT Adj Read]]="N/A",IF(Table1[[#This Row],[Std Adj Read]]&gt;=Table1[[#This Row],[Low Tol]],"Pass","Fail"),IF(Table1[[#This Row],[DUT Adj Read]]&gt;=Table1[[#This Row],[Low Tol]],"Pass","Fail")))</f>
        <v>Pass</v>
      </c>
      <c r="AG567" s="1" t="str">
        <f>IF(AND(Table1[[#This Row],[Spec Type2]]="N/A",Table1[[#This Row],[DUT Adj Read]]="N/A",Table1[[#This Row],[Std Adj Read]]="N/A"),"N/A",IF(Table1[[#This Row],[DUT Adj Read]]="N/A",IF(Table1[[#This Row],[Std Adj Read]]&lt;=Table1[[#This Row],[High Tol]],"Pass","Fail"),IF(Table1[[#This Row],[DUT Adj Read]]&lt;=Table1[[#This Row],[High Tol]],"Pass","Fail")))</f>
        <v>Fail</v>
      </c>
      <c r="AH5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7" s="1" t="b">
        <v>0</v>
      </c>
      <c r="AN567" s="1" t="b">
        <v>0</v>
      </c>
      <c r="AO567" s="1" t="b">
        <v>0</v>
      </c>
    </row>
    <row r="568" spans="1:41" x14ac:dyDescent="0.25">
      <c r="A568" s="10"/>
      <c r="B568" s="10"/>
      <c r="C568" s="10"/>
      <c r="D568" s="10"/>
      <c r="E568" s="10"/>
      <c r="F568" s="10"/>
      <c r="G568" s="10"/>
      <c r="H568" s="10"/>
      <c r="I568" s="1" t="str">
        <f t="shared" si="24"/>
        <v/>
      </c>
      <c r="J568" s="1" t="s">
        <v>35</v>
      </c>
      <c r="K568" s="1" t="str">
        <f t="shared" si="25"/>
        <v/>
      </c>
      <c r="L568" s="1" t="str">
        <f t="shared" si="26"/>
        <v/>
      </c>
      <c r="M568" s="1">
        <f>IF(OR(Table1[[#This Row],[Std Nom]]="",Table1[[#This Row],[Std Read]]=""),0,Table1[[#This Row],[Std Nom]]-Table1[[#This Row],[Std Read]])</f>
        <v>0</v>
      </c>
      <c r="N568" s="1">
        <f>IF(Calculations!$F$5="ACCREDITED 17025 WITH UNCERTAINTIES",$N$10,0)</f>
        <v>0</v>
      </c>
      <c r="O568" s="1" t="str">
        <f>IFERROR(Table1[[#This Row],[Std Nom]]-(_xlfn.XLOOKUP(Table1[[#This Row],[Manufacturer]]&amp;" "&amp;Table1[[#This Row],[Model]],Table13[MFR &amp; MDL],Table13[Tolerance % CW ],"")/100*Table1[[#This Row],[Std Nom]]),"")</f>
        <v/>
      </c>
      <c r="P568" s="1" t="str">
        <f>IFERROR(Table1[[#This Row],[Std Nom]]+(_xlfn.XLOOKUP(Table1[[#This Row],[Manufacturer]]&amp;" "&amp;Table1[[#This Row],[Model]],Table13[MFR &amp; MDL],Table13[Tolerance % CW ],"")/100*Table1[[#This Row],[Std Nom]]),"")</f>
        <v/>
      </c>
      <c r="Q568" s="1" t="e">
        <f>Table1[[#This Row],[High Tol]]-Table1[[#This Row],[Low Tol]]</f>
        <v>#VALUE!</v>
      </c>
      <c r="R568" s="1">
        <f>2*Table1[[#This Row],[Std Error]]</f>
        <v>0</v>
      </c>
      <c r="S568" s="1" t="str">
        <f>IF(Table1[[#This Row],[High Tol]]="","N/A",IFERROR(ABS(Table1[[#This Row],[Tol Span]]/Table1[[#This Row],[Error Span]]),"N/A"))</f>
        <v>N/A</v>
      </c>
      <c r="T568" s="1" t="str">
        <f>IF(OR(Table1[[#This Row],[Low Tol]]="",Table1[[#This Row],[High Tol]]=""),"Needs Analysis",IF(Table1[[#This Row],[Ratio]]&gt;=4,"Not Significant",IF(Table1[[#This Row],[Ratio]]&gt;=2,"Semi-Significant","Significant")))</f>
        <v>Needs Analysis</v>
      </c>
      <c r="W568" s="1">
        <f>IF(Table1[[#This Row],[Cal Type]]&lt;&gt;"ACCREDITED 17025 WITH UNCERTAINTIES",0,"")</f>
        <v>0</v>
      </c>
      <c r="X568" s="1" t="str">
        <f>IF(Table1[[#This Row],[DUT Read]]="","N/A",Table1[[#This Row],[Std Error]]+Table1[[#This Row],[DUT Read]]+Table1[[#This Row],[DUT Ucty]])</f>
        <v>N/A</v>
      </c>
      <c r="Y568" s="1" t="str">
        <f>IF(Table1[[#This Row],[Std Read]]="","N/A",Table1[[#This Row],[Std Read]]+Table1[[#This Row],[Std Ucty]])</f>
        <v>N/A</v>
      </c>
      <c r="Z5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8" s="1" t="str">
        <f>IF(Table1[[#This Row],[Spec Type]]="","N/A",Table1[[#This Row],[Spec Type]])</f>
        <v>±</v>
      </c>
      <c r="AC568" s="1" t="str">
        <f>IF(Table1[[#This Row],[Spec Type2]]="N/A","N/A",IF(AND(Table1[[#This Row],[DUT Adj Read]]&gt;=Table1[[#This Row],[Low Tol]],Table1[[#This Row],[DUT Adj Read]]&lt;=Table1[[#This Row],[High Tol]]),"Pass","Fail"))</f>
        <v>Fail</v>
      </c>
      <c r="AD568" s="1" t="str">
        <f>IF(AND(Table1[[#This Row],[Spec Type2]]="N/A",Table1[[#This Row],[DUT Adj Read]]="N/A",Table1[[#This Row],[Std Adj Read]]="N/A"),"N/A",IF(Table1[[#This Row],[DUT Adj Read]]="N/A",IF(Table1[[#This Row],[Std Adj Read]]&gt;Table1[[#This Row],[Low Tol]],"Pass","Fail"),IF(Table1[[#This Row],[DUT Adj Read]]&gt;Table1[[#This Row],[Low Tol]],"Pass","Fail")))</f>
        <v>Pass</v>
      </c>
      <c r="AE568" s="1" t="str">
        <f>IF(AND(Table1[[#This Row],[Spec Type2]]="N/A",Table1[[#This Row],[DUT Adj Read]]="N/A",Table1[[#This Row],[Std Adj Read]]="N/A"),"N/A",IF(Table1[[#This Row],[DUT Adj Read]]="N/A",IF(Table1[[#This Row],[Std Adj Read]]&lt;Table1[[#This Row],[High Tol]],"Pass","Fail"),IF(Table1[[#This Row],[DUT Adj Read]]&lt;Table1[[#This Row],[High Tol]],"Pass","Fail")))</f>
        <v>Fail</v>
      </c>
      <c r="AF568" s="1" t="str">
        <f>IF(AND(Table1[[#This Row],[Spec Type2]]="N/A",Table1[[#This Row],[DUT Adj Read]]="N/A",Table1[[#This Row],[Std Adj Read]]="N/A"),"N/A",IF(Table1[[#This Row],[DUT Adj Read]]="N/A",IF(Table1[[#This Row],[Std Adj Read]]&gt;=Table1[[#This Row],[Low Tol]],"Pass","Fail"),IF(Table1[[#This Row],[DUT Adj Read]]&gt;=Table1[[#This Row],[Low Tol]],"Pass","Fail")))</f>
        <v>Pass</v>
      </c>
      <c r="AG568" s="1" t="str">
        <f>IF(AND(Table1[[#This Row],[Spec Type2]]="N/A",Table1[[#This Row],[DUT Adj Read]]="N/A",Table1[[#This Row],[Std Adj Read]]="N/A"),"N/A",IF(Table1[[#This Row],[DUT Adj Read]]="N/A",IF(Table1[[#This Row],[Std Adj Read]]&lt;=Table1[[#This Row],[High Tol]],"Pass","Fail"),IF(Table1[[#This Row],[DUT Adj Read]]&lt;=Table1[[#This Row],[High Tol]],"Pass","Fail")))</f>
        <v>Fail</v>
      </c>
      <c r="AH5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8" s="1" t="b">
        <v>0</v>
      </c>
      <c r="AN568" s="1" t="b">
        <v>0</v>
      </c>
      <c r="AO568" s="1" t="b">
        <v>0</v>
      </c>
    </row>
    <row r="569" spans="1:41" x14ac:dyDescent="0.25">
      <c r="A569" s="10"/>
      <c r="B569" s="10"/>
      <c r="C569" s="10"/>
      <c r="D569" s="10"/>
      <c r="E569" s="10"/>
      <c r="F569" s="10"/>
      <c r="G569" s="10"/>
      <c r="H569" s="10"/>
      <c r="I569" s="1" t="str">
        <f t="shared" si="24"/>
        <v/>
      </c>
      <c r="J569" s="1" t="s">
        <v>35</v>
      </c>
      <c r="K569" s="1" t="str">
        <f t="shared" si="25"/>
        <v/>
      </c>
      <c r="L569" s="1" t="str">
        <f t="shared" si="26"/>
        <v/>
      </c>
      <c r="M569" s="1">
        <f>IF(OR(Table1[[#This Row],[Std Nom]]="",Table1[[#This Row],[Std Read]]=""),0,Table1[[#This Row],[Std Nom]]-Table1[[#This Row],[Std Read]])</f>
        <v>0</v>
      </c>
      <c r="N569" s="1">
        <f>IF(Calculations!$F$5="ACCREDITED 17025 WITH UNCERTAINTIES",$N$10,0)</f>
        <v>0</v>
      </c>
      <c r="O569" s="1" t="str">
        <f>IFERROR(Table1[[#This Row],[Std Nom]]-(_xlfn.XLOOKUP(Table1[[#This Row],[Manufacturer]]&amp;" "&amp;Table1[[#This Row],[Model]],Table13[MFR &amp; MDL],Table13[Tolerance % CW ],"")/100*Table1[[#This Row],[Std Nom]]),"")</f>
        <v/>
      </c>
      <c r="P569" s="1" t="str">
        <f>IFERROR(Table1[[#This Row],[Std Nom]]+(_xlfn.XLOOKUP(Table1[[#This Row],[Manufacturer]]&amp;" "&amp;Table1[[#This Row],[Model]],Table13[MFR &amp; MDL],Table13[Tolerance % CW ],"")/100*Table1[[#This Row],[Std Nom]]),"")</f>
        <v/>
      </c>
      <c r="Q569" s="1" t="e">
        <f>Table1[[#This Row],[High Tol]]-Table1[[#This Row],[Low Tol]]</f>
        <v>#VALUE!</v>
      </c>
      <c r="R569" s="1">
        <f>2*Table1[[#This Row],[Std Error]]</f>
        <v>0</v>
      </c>
      <c r="S569" s="1" t="str">
        <f>IF(Table1[[#This Row],[High Tol]]="","N/A",IFERROR(ABS(Table1[[#This Row],[Tol Span]]/Table1[[#This Row],[Error Span]]),"N/A"))</f>
        <v>N/A</v>
      </c>
      <c r="T569" s="1" t="str">
        <f>IF(OR(Table1[[#This Row],[Low Tol]]="",Table1[[#This Row],[High Tol]]=""),"Needs Analysis",IF(Table1[[#This Row],[Ratio]]&gt;=4,"Not Significant",IF(Table1[[#This Row],[Ratio]]&gt;=2,"Semi-Significant","Significant")))</f>
        <v>Needs Analysis</v>
      </c>
      <c r="W569" s="1">
        <f>IF(Table1[[#This Row],[Cal Type]]&lt;&gt;"ACCREDITED 17025 WITH UNCERTAINTIES",0,"")</f>
        <v>0</v>
      </c>
      <c r="X569" s="1" t="str">
        <f>IF(Table1[[#This Row],[DUT Read]]="","N/A",Table1[[#This Row],[Std Error]]+Table1[[#This Row],[DUT Read]]+Table1[[#This Row],[DUT Ucty]])</f>
        <v>N/A</v>
      </c>
      <c r="Y569" s="1" t="str">
        <f>IF(Table1[[#This Row],[Std Read]]="","N/A",Table1[[#This Row],[Std Read]]+Table1[[#This Row],[Std Ucty]])</f>
        <v>N/A</v>
      </c>
      <c r="Z5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9" s="1" t="str">
        <f>IF(Table1[[#This Row],[Spec Type]]="","N/A",Table1[[#This Row],[Spec Type]])</f>
        <v>±</v>
      </c>
      <c r="AC569" s="1" t="str">
        <f>IF(Table1[[#This Row],[Spec Type2]]="N/A","N/A",IF(AND(Table1[[#This Row],[DUT Adj Read]]&gt;=Table1[[#This Row],[Low Tol]],Table1[[#This Row],[DUT Adj Read]]&lt;=Table1[[#This Row],[High Tol]]),"Pass","Fail"))</f>
        <v>Fail</v>
      </c>
      <c r="AD569" s="1" t="str">
        <f>IF(AND(Table1[[#This Row],[Spec Type2]]="N/A",Table1[[#This Row],[DUT Adj Read]]="N/A",Table1[[#This Row],[Std Adj Read]]="N/A"),"N/A",IF(Table1[[#This Row],[DUT Adj Read]]="N/A",IF(Table1[[#This Row],[Std Adj Read]]&gt;Table1[[#This Row],[Low Tol]],"Pass","Fail"),IF(Table1[[#This Row],[DUT Adj Read]]&gt;Table1[[#This Row],[Low Tol]],"Pass","Fail")))</f>
        <v>Pass</v>
      </c>
      <c r="AE569" s="1" t="str">
        <f>IF(AND(Table1[[#This Row],[Spec Type2]]="N/A",Table1[[#This Row],[DUT Adj Read]]="N/A",Table1[[#This Row],[Std Adj Read]]="N/A"),"N/A",IF(Table1[[#This Row],[DUT Adj Read]]="N/A",IF(Table1[[#This Row],[Std Adj Read]]&lt;Table1[[#This Row],[High Tol]],"Pass","Fail"),IF(Table1[[#This Row],[DUT Adj Read]]&lt;Table1[[#This Row],[High Tol]],"Pass","Fail")))</f>
        <v>Fail</v>
      </c>
      <c r="AF569" s="1" t="str">
        <f>IF(AND(Table1[[#This Row],[Spec Type2]]="N/A",Table1[[#This Row],[DUT Adj Read]]="N/A",Table1[[#This Row],[Std Adj Read]]="N/A"),"N/A",IF(Table1[[#This Row],[DUT Adj Read]]="N/A",IF(Table1[[#This Row],[Std Adj Read]]&gt;=Table1[[#This Row],[Low Tol]],"Pass","Fail"),IF(Table1[[#This Row],[DUT Adj Read]]&gt;=Table1[[#This Row],[Low Tol]],"Pass","Fail")))</f>
        <v>Pass</v>
      </c>
      <c r="AG569" s="1" t="str">
        <f>IF(AND(Table1[[#This Row],[Spec Type2]]="N/A",Table1[[#This Row],[DUT Adj Read]]="N/A",Table1[[#This Row],[Std Adj Read]]="N/A"),"N/A",IF(Table1[[#This Row],[DUT Adj Read]]="N/A",IF(Table1[[#This Row],[Std Adj Read]]&lt;=Table1[[#This Row],[High Tol]],"Pass","Fail"),IF(Table1[[#This Row],[DUT Adj Read]]&lt;=Table1[[#This Row],[High Tol]],"Pass","Fail")))</f>
        <v>Fail</v>
      </c>
      <c r="AH5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9" s="1" t="b">
        <v>0</v>
      </c>
      <c r="AN569" s="1" t="b">
        <v>0</v>
      </c>
      <c r="AO569" s="1" t="b">
        <v>0</v>
      </c>
    </row>
    <row r="570" spans="1:41" x14ac:dyDescent="0.25">
      <c r="A570" s="10"/>
      <c r="B570" s="10"/>
      <c r="C570" s="10"/>
      <c r="D570" s="10"/>
      <c r="E570" s="10"/>
      <c r="F570" s="10"/>
      <c r="G570" s="10"/>
      <c r="H570" s="10"/>
      <c r="I570" s="1" t="str">
        <f t="shared" si="24"/>
        <v/>
      </c>
      <c r="J570" s="1" t="s">
        <v>35</v>
      </c>
      <c r="K570" s="1" t="str">
        <f t="shared" si="25"/>
        <v/>
      </c>
      <c r="L570" s="1" t="str">
        <f t="shared" si="26"/>
        <v/>
      </c>
      <c r="M570" s="1">
        <f>IF(OR(Table1[[#This Row],[Std Nom]]="",Table1[[#This Row],[Std Read]]=""),0,Table1[[#This Row],[Std Nom]]-Table1[[#This Row],[Std Read]])</f>
        <v>0</v>
      </c>
      <c r="N570" s="1">
        <f>IF(Calculations!$F$5="ACCREDITED 17025 WITH UNCERTAINTIES",$N$10,0)</f>
        <v>0</v>
      </c>
      <c r="O570" s="1" t="str">
        <f>IFERROR(Table1[[#This Row],[Std Nom]]-(_xlfn.XLOOKUP(Table1[[#This Row],[Manufacturer]]&amp;" "&amp;Table1[[#This Row],[Model]],Table13[MFR &amp; MDL],Table13[Tolerance % CW ],"")/100*Table1[[#This Row],[Std Nom]]),"")</f>
        <v/>
      </c>
      <c r="P570" s="1" t="str">
        <f>IFERROR(Table1[[#This Row],[Std Nom]]+(_xlfn.XLOOKUP(Table1[[#This Row],[Manufacturer]]&amp;" "&amp;Table1[[#This Row],[Model]],Table13[MFR &amp; MDL],Table13[Tolerance % CW ],"")/100*Table1[[#This Row],[Std Nom]]),"")</f>
        <v/>
      </c>
      <c r="Q570" s="1" t="e">
        <f>Table1[[#This Row],[High Tol]]-Table1[[#This Row],[Low Tol]]</f>
        <v>#VALUE!</v>
      </c>
      <c r="R570" s="1">
        <f>2*Table1[[#This Row],[Std Error]]</f>
        <v>0</v>
      </c>
      <c r="S570" s="1" t="str">
        <f>IF(Table1[[#This Row],[High Tol]]="","N/A",IFERROR(ABS(Table1[[#This Row],[Tol Span]]/Table1[[#This Row],[Error Span]]),"N/A"))</f>
        <v>N/A</v>
      </c>
      <c r="T570" s="1" t="str">
        <f>IF(OR(Table1[[#This Row],[Low Tol]]="",Table1[[#This Row],[High Tol]]=""),"Needs Analysis",IF(Table1[[#This Row],[Ratio]]&gt;=4,"Not Significant",IF(Table1[[#This Row],[Ratio]]&gt;=2,"Semi-Significant","Significant")))</f>
        <v>Needs Analysis</v>
      </c>
      <c r="W570" s="1">
        <f>IF(Table1[[#This Row],[Cal Type]]&lt;&gt;"ACCREDITED 17025 WITH UNCERTAINTIES",0,"")</f>
        <v>0</v>
      </c>
      <c r="X570" s="1" t="str">
        <f>IF(Table1[[#This Row],[DUT Read]]="","N/A",Table1[[#This Row],[Std Error]]+Table1[[#This Row],[DUT Read]]+Table1[[#This Row],[DUT Ucty]])</f>
        <v>N/A</v>
      </c>
      <c r="Y570" s="1" t="str">
        <f>IF(Table1[[#This Row],[Std Read]]="","N/A",Table1[[#This Row],[Std Read]]+Table1[[#This Row],[Std Ucty]])</f>
        <v>N/A</v>
      </c>
      <c r="Z5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0" s="1" t="str">
        <f>IF(Table1[[#This Row],[Spec Type]]="","N/A",Table1[[#This Row],[Spec Type]])</f>
        <v>±</v>
      </c>
      <c r="AC570" s="1" t="str">
        <f>IF(Table1[[#This Row],[Spec Type2]]="N/A","N/A",IF(AND(Table1[[#This Row],[DUT Adj Read]]&gt;=Table1[[#This Row],[Low Tol]],Table1[[#This Row],[DUT Adj Read]]&lt;=Table1[[#This Row],[High Tol]]),"Pass","Fail"))</f>
        <v>Fail</v>
      </c>
      <c r="AD570" s="1" t="str">
        <f>IF(AND(Table1[[#This Row],[Spec Type2]]="N/A",Table1[[#This Row],[DUT Adj Read]]="N/A",Table1[[#This Row],[Std Adj Read]]="N/A"),"N/A",IF(Table1[[#This Row],[DUT Adj Read]]="N/A",IF(Table1[[#This Row],[Std Adj Read]]&gt;Table1[[#This Row],[Low Tol]],"Pass","Fail"),IF(Table1[[#This Row],[DUT Adj Read]]&gt;Table1[[#This Row],[Low Tol]],"Pass","Fail")))</f>
        <v>Pass</v>
      </c>
      <c r="AE570" s="1" t="str">
        <f>IF(AND(Table1[[#This Row],[Spec Type2]]="N/A",Table1[[#This Row],[DUT Adj Read]]="N/A",Table1[[#This Row],[Std Adj Read]]="N/A"),"N/A",IF(Table1[[#This Row],[DUT Adj Read]]="N/A",IF(Table1[[#This Row],[Std Adj Read]]&lt;Table1[[#This Row],[High Tol]],"Pass","Fail"),IF(Table1[[#This Row],[DUT Adj Read]]&lt;Table1[[#This Row],[High Tol]],"Pass","Fail")))</f>
        <v>Fail</v>
      </c>
      <c r="AF570" s="1" t="str">
        <f>IF(AND(Table1[[#This Row],[Spec Type2]]="N/A",Table1[[#This Row],[DUT Adj Read]]="N/A",Table1[[#This Row],[Std Adj Read]]="N/A"),"N/A",IF(Table1[[#This Row],[DUT Adj Read]]="N/A",IF(Table1[[#This Row],[Std Adj Read]]&gt;=Table1[[#This Row],[Low Tol]],"Pass","Fail"),IF(Table1[[#This Row],[DUT Adj Read]]&gt;=Table1[[#This Row],[Low Tol]],"Pass","Fail")))</f>
        <v>Pass</v>
      </c>
      <c r="AG570" s="1" t="str">
        <f>IF(AND(Table1[[#This Row],[Spec Type2]]="N/A",Table1[[#This Row],[DUT Adj Read]]="N/A",Table1[[#This Row],[Std Adj Read]]="N/A"),"N/A",IF(Table1[[#This Row],[DUT Adj Read]]="N/A",IF(Table1[[#This Row],[Std Adj Read]]&lt;=Table1[[#This Row],[High Tol]],"Pass","Fail"),IF(Table1[[#This Row],[DUT Adj Read]]&lt;=Table1[[#This Row],[High Tol]],"Pass","Fail")))</f>
        <v>Fail</v>
      </c>
      <c r="AH5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0" s="1" t="b">
        <v>0</v>
      </c>
      <c r="AN570" s="1" t="b">
        <v>0</v>
      </c>
      <c r="AO570" s="1" t="b">
        <v>0</v>
      </c>
    </row>
    <row r="571" spans="1:41" x14ac:dyDescent="0.25">
      <c r="A571" s="10"/>
      <c r="B571" s="10"/>
      <c r="C571" s="10"/>
      <c r="D571" s="10"/>
      <c r="E571" s="10"/>
      <c r="F571" s="10"/>
      <c r="G571" s="10"/>
      <c r="H571" s="10"/>
      <c r="I571" s="1" t="str">
        <f t="shared" si="24"/>
        <v/>
      </c>
      <c r="J571" s="1" t="s">
        <v>35</v>
      </c>
      <c r="K571" s="1" t="str">
        <f t="shared" si="25"/>
        <v/>
      </c>
      <c r="L571" s="1" t="str">
        <f t="shared" si="26"/>
        <v/>
      </c>
      <c r="M571" s="1">
        <f>IF(OR(Table1[[#This Row],[Std Nom]]="",Table1[[#This Row],[Std Read]]=""),0,Table1[[#This Row],[Std Nom]]-Table1[[#This Row],[Std Read]])</f>
        <v>0</v>
      </c>
      <c r="N571" s="1">
        <f>IF(Calculations!$F$5="ACCREDITED 17025 WITH UNCERTAINTIES",$N$10,0)</f>
        <v>0</v>
      </c>
      <c r="O571" s="1" t="str">
        <f>IFERROR(Table1[[#This Row],[Std Nom]]-(_xlfn.XLOOKUP(Table1[[#This Row],[Manufacturer]]&amp;" "&amp;Table1[[#This Row],[Model]],Table13[MFR &amp; MDL],Table13[Tolerance % CW ],"")/100*Table1[[#This Row],[Std Nom]]),"")</f>
        <v/>
      </c>
      <c r="P571" s="1" t="str">
        <f>IFERROR(Table1[[#This Row],[Std Nom]]+(_xlfn.XLOOKUP(Table1[[#This Row],[Manufacturer]]&amp;" "&amp;Table1[[#This Row],[Model]],Table13[MFR &amp; MDL],Table13[Tolerance % CW ],"")/100*Table1[[#This Row],[Std Nom]]),"")</f>
        <v/>
      </c>
      <c r="Q571" s="1" t="e">
        <f>Table1[[#This Row],[High Tol]]-Table1[[#This Row],[Low Tol]]</f>
        <v>#VALUE!</v>
      </c>
      <c r="R571" s="1">
        <f>2*Table1[[#This Row],[Std Error]]</f>
        <v>0</v>
      </c>
      <c r="S571" s="1" t="str">
        <f>IF(Table1[[#This Row],[High Tol]]="","N/A",IFERROR(ABS(Table1[[#This Row],[Tol Span]]/Table1[[#This Row],[Error Span]]),"N/A"))</f>
        <v>N/A</v>
      </c>
      <c r="T571" s="1" t="str">
        <f>IF(OR(Table1[[#This Row],[Low Tol]]="",Table1[[#This Row],[High Tol]]=""),"Needs Analysis",IF(Table1[[#This Row],[Ratio]]&gt;=4,"Not Significant",IF(Table1[[#This Row],[Ratio]]&gt;=2,"Semi-Significant","Significant")))</f>
        <v>Needs Analysis</v>
      </c>
      <c r="W571" s="1">
        <f>IF(Table1[[#This Row],[Cal Type]]&lt;&gt;"ACCREDITED 17025 WITH UNCERTAINTIES",0,"")</f>
        <v>0</v>
      </c>
      <c r="X571" s="1" t="str">
        <f>IF(Table1[[#This Row],[DUT Read]]="","N/A",Table1[[#This Row],[Std Error]]+Table1[[#This Row],[DUT Read]]+Table1[[#This Row],[DUT Ucty]])</f>
        <v>N/A</v>
      </c>
      <c r="Y571" s="1" t="str">
        <f>IF(Table1[[#This Row],[Std Read]]="","N/A",Table1[[#This Row],[Std Read]]+Table1[[#This Row],[Std Ucty]])</f>
        <v>N/A</v>
      </c>
      <c r="Z5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1" s="1" t="str">
        <f>IF(Table1[[#This Row],[Spec Type]]="","N/A",Table1[[#This Row],[Spec Type]])</f>
        <v>±</v>
      </c>
      <c r="AC571" s="1" t="str">
        <f>IF(Table1[[#This Row],[Spec Type2]]="N/A","N/A",IF(AND(Table1[[#This Row],[DUT Adj Read]]&gt;=Table1[[#This Row],[Low Tol]],Table1[[#This Row],[DUT Adj Read]]&lt;=Table1[[#This Row],[High Tol]]),"Pass","Fail"))</f>
        <v>Fail</v>
      </c>
      <c r="AD571" s="1" t="str">
        <f>IF(AND(Table1[[#This Row],[Spec Type2]]="N/A",Table1[[#This Row],[DUT Adj Read]]="N/A",Table1[[#This Row],[Std Adj Read]]="N/A"),"N/A",IF(Table1[[#This Row],[DUT Adj Read]]="N/A",IF(Table1[[#This Row],[Std Adj Read]]&gt;Table1[[#This Row],[Low Tol]],"Pass","Fail"),IF(Table1[[#This Row],[DUT Adj Read]]&gt;Table1[[#This Row],[Low Tol]],"Pass","Fail")))</f>
        <v>Pass</v>
      </c>
      <c r="AE571" s="1" t="str">
        <f>IF(AND(Table1[[#This Row],[Spec Type2]]="N/A",Table1[[#This Row],[DUT Adj Read]]="N/A",Table1[[#This Row],[Std Adj Read]]="N/A"),"N/A",IF(Table1[[#This Row],[DUT Adj Read]]="N/A",IF(Table1[[#This Row],[Std Adj Read]]&lt;Table1[[#This Row],[High Tol]],"Pass","Fail"),IF(Table1[[#This Row],[DUT Adj Read]]&lt;Table1[[#This Row],[High Tol]],"Pass","Fail")))</f>
        <v>Fail</v>
      </c>
      <c r="AF571" s="1" t="str">
        <f>IF(AND(Table1[[#This Row],[Spec Type2]]="N/A",Table1[[#This Row],[DUT Adj Read]]="N/A",Table1[[#This Row],[Std Adj Read]]="N/A"),"N/A",IF(Table1[[#This Row],[DUT Adj Read]]="N/A",IF(Table1[[#This Row],[Std Adj Read]]&gt;=Table1[[#This Row],[Low Tol]],"Pass","Fail"),IF(Table1[[#This Row],[DUT Adj Read]]&gt;=Table1[[#This Row],[Low Tol]],"Pass","Fail")))</f>
        <v>Pass</v>
      </c>
      <c r="AG571" s="1" t="str">
        <f>IF(AND(Table1[[#This Row],[Spec Type2]]="N/A",Table1[[#This Row],[DUT Adj Read]]="N/A",Table1[[#This Row],[Std Adj Read]]="N/A"),"N/A",IF(Table1[[#This Row],[DUT Adj Read]]="N/A",IF(Table1[[#This Row],[Std Adj Read]]&lt;=Table1[[#This Row],[High Tol]],"Pass","Fail"),IF(Table1[[#This Row],[DUT Adj Read]]&lt;=Table1[[#This Row],[High Tol]],"Pass","Fail")))</f>
        <v>Fail</v>
      </c>
      <c r="AH5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1" s="1" t="b">
        <v>0</v>
      </c>
      <c r="AN571" s="1" t="b">
        <v>0</v>
      </c>
      <c r="AO571" s="1" t="b">
        <v>0</v>
      </c>
    </row>
    <row r="572" spans="1:41" x14ac:dyDescent="0.25">
      <c r="A572" s="10"/>
      <c r="B572" s="10"/>
      <c r="C572" s="10"/>
      <c r="D572" s="10"/>
      <c r="E572" s="10"/>
      <c r="F572" s="10"/>
      <c r="G572" s="10"/>
      <c r="H572" s="10"/>
      <c r="I572" s="1" t="str">
        <f t="shared" si="24"/>
        <v/>
      </c>
      <c r="J572" s="1" t="s">
        <v>35</v>
      </c>
      <c r="K572" s="1" t="str">
        <f t="shared" si="25"/>
        <v/>
      </c>
      <c r="L572" s="1" t="str">
        <f t="shared" si="26"/>
        <v/>
      </c>
      <c r="M572" s="1">
        <f>IF(OR(Table1[[#This Row],[Std Nom]]="",Table1[[#This Row],[Std Read]]=""),0,Table1[[#This Row],[Std Nom]]-Table1[[#This Row],[Std Read]])</f>
        <v>0</v>
      </c>
      <c r="N572" s="1">
        <f>IF(Calculations!$F$5="ACCREDITED 17025 WITH UNCERTAINTIES",$N$10,0)</f>
        <v>0</v>
      </c>
      <c r="O572" s="1" t="str">
        <f>IFERROR(Table1[[#This Row],[Std Nom]]-(_xlfn.XLOOKUP(Table1[[#This Row],[Manufacturer]]&amp;" "&amp;Table1[[#This Row],[Model]],Table13[MFR &amp; MDL],Table13[Tolerance % CW ],"")/100*Table1[[#This Row],[Std Nom]]),"")</f>
        <v/>
      </c>
      <c r="P572" s="1" t="str">
        <f>IFERROR(Table1[[#This Row],[Std Nom]]+(_xlfn.XLOOKUP(Table1[[#This Row],[Manufacturer]]&amp;" "&amp;Table1[[#This Row],[Model]],Table13[MFR &amp; MDL],Table13[Tolerance % CW ],"")/100*Table1[[#This Row],[Std Nom]]),"")</f>
        <v/>
      </c>
      <c r="Q572" s="1" t="e">
        <f>Table1[[#This Row],[High Tol]]-Table1[[#This Row],[Low Tol]]</f>
        <v>#VALUE!</v>
      </c>
      <c r="R572" s="1">
        <f>2*Table1[[#This Row],[Std Error]]</f>
        <v>0</v>
      </c>
      <c r="S572" s="1" t="str">
        <f>IF(Table1[[#This Row],[High Tol]]="","N/A",IFERROR(ABS(Table1[[#This Row],[Tol Span]]/Table1[[#This Row],[Error Span]]),"N/A"))</f>
        <v>N/A</v>
      </c>
      <c r="T572" s="1" t="str">
        <f>IF(OR(Table1[[#This Row],[Low Tol]]="",Table1[[#This Row],[High Tol]]=""),"Needs Analysis",IF(Table1[[#This Row],[Ratio]]&gt;=4,"Not Significant",IF(Table1[[#This Row],[Ratio]]&gt;=2,"Semi-Significant","Significant")))</f>
        <v>Needs Analysis</v>
      </c>
      <c r="W572" s="1">
        <f>IF(Table1[[#This Row],[Cal Type]]&lt;&gt;"ACCREDITED 17025 WITH UNCERTAINTIES",0,"")</f>
        <v>0</v>
      </c>
      <c r="X572" s="1" t="str">
        <f>IF(Table1[[#This Row],[DUT Read]]="","N/A",Table1[[#This Row],[Std Error]]+Table1[[#This Row],[DUT Read]]+Table1[[#This Row],[DUT Ucty]])</f>
        <v>N/A</v>
      </c>
      <c r="Y572" s="1" t="str">
        <f>IF(Table1[[#This Row],[Std Read]]="","N/A",Table1[[#This Row],[Std Read]]+Table1[[#This Row],[Std Ucty]])</f>
        <v>N/A</v>
      </c>
      <c r="Z5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2" s="1" t="str">
        <f>IF(Table1[[#This Row],[Spec Type]]="","N/A",Table1[[#This Row],[Spec Type]])</f>
        <v>±</v>
      </c>
      <c r="AC572" s="1" t="str">
        <f>IF(Table1[[#This Row],[Spec Type2]]="N/A","N/A",IF(AND(Table1[[#This Row],[DUT Adj Read]]&gt;=Table1[[#This Row],[Low Tol]],Table1[[#This Row],[DUT Adj Read]]&lt;=Table1[[#This Row],[High Tol]]),"Pass","Fail"))</f>
        <v>Fail</v>
      </c>
      <c r="AD572" s="1" t="str">
        <f>IF(AND(Table1[[#This Row],[Spec Type2]]="N/A",Table1[[#This Row],[DUT Adj Read]]="N/A",Table1[[#This Row],[Std Adj Read]]="N/A"),"N/A",IF(Table1[[#This Row],[DUT Adj Read]]="N/A",IF(Table1[[#This Row],[Std Adj Read]]&gt;Table1[[#This Row],[Low Tol]],"Pass","Fail"),IF(Table1[[#This Row],[DUT Adj Read]]&gt;Table1[[#This Row],[Low Tol]],"Pass","Fail")))</f>
        <v>Pass</v>
      </c>
      <c r="AE572" s="1" t="str">
        <f>IF(AND(Table1[[#This Row],[Spec Type2]]="N/A",Table1[[#This Row],[DUT Adj Read]]="N/A",Table1[[#This Row],[Std Adj Read]]="N/A"),"N/A",IF(Table1[[#This Row],[DUT Adj Read]]="N/A",IF(Table1[[#This Row],[Std Adj Read]]&lt;Table1[[#This Row],[High Tol]],"Pass","Fail"),IF(Table1[[#This Row],[DUT Adj Read]]&lt;Table1[[#This Row],[High Tol]],"Pass","Fail")))</f>
        <v>Fail</v>
      </c>
      <c r="AF572" s="1" t="str">
        <f>IF(AND(Table1[[#This Row],[Spec Type2]]="N/A",Table1[[#This Row],[DUT Adj Read]]="N/A",Table1[[#This Row],[Std Adj Read]]="N/A"),"N/A",IF(Table1[[#This Row],[DUT Adj Read]]="N/A",IF(Table1[[#This Row],[Std Adj Read]]&gt;=Table1[[#This Row],[Low Tol]],"Pass","Fail"),IF(Table1[[#This Row],[DUT Adj Read]]&gt;=Table1[[#This Row],[Low Tol]],"Pass","Fail")))</f>
        <v>Pass</v>
      </c>
      <c r="AG572" s="1" t="str">
        <f>IF(AND(Table1[[#This Row],[Spec Type2]]="N/A",Table1[[#This Row],[DUT Adj Read]]="N/A",Table1[[#This Row],[Std Adj Read]]="N/A"),"N/A",IF(Table1[[#This Row],[DUT Adj Read]]="N/A",IF(Table1[[#This Row],[Std Adj Read]]&lt;=Table1[[#This Row],[High Tol]],"Pass","Fail"),IF(Table1[[#This Row],[DUT Adj Read]]&lt;=Table1[[#This Row],[High Tol]],"Pass","Fail")))</f>
        <v>Fail</v>
      </c>
      <c r="AH5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2" s="1" t="b">
        <v>0</v>
      </c>
      <c r="AN572" s="1" t="b">
        <v>0</v>
      </c>
      <c r="AO572" s="1" t="b">
        <v>0</v>
      </c>
    </row>
    <row r="573" spans="1:41" x14ac:dyDescent="0.25">
      <c r="A573" s="10"/>
      <c r="B573" s="10"/>
      <c r="C573" s="10"/>
      <c r="D573" s="10"/>
      <c r="E573" s="10"/>
      <c r="F573" s="10"/>
      <c r="G573" s="10"/>
      <c r="H573" s="10"/>
      <c r="I573" s="1" t="str">
        <f t="shared" si="24"/>
        <v/>
      </c>
      <c r="J573" s="1" t="s">
        <v>35</v>
      </c>
      <c r="K573" s="1" t="str">
        <f t="shared" si="25"/>
        <v/>
      </c>
      <c r="L573" s="1" t="str">
        <f t="shared" si="26"/>
        <v/>
      </c>
      <c r="M573" s="1">
        <f>IF(OR(Table1[[#This Row],[Std Nom]]="",Table1[[#This Row],[Std Read]]=""),0,Table1[[#This Row],[Std Nom]]-Table1[[#This Row],[Std Read]])</f>
        <v>0</v>
      </c>
      <c r="N573" s="1">
        <f>IF(Calculations!$F$5="ACCREDITED 17025 WITH UNCERTAINTIES",$N$10,0)</f>
        <v>0</v>
      </c>
      <c r="O573" s="1" t="str">
        <f>IFERROR(Table1[[#This Row],[Std Nom]]-(_xlfn.XLOOKUP(Table1[[#This Row],[Manufacturer]]&amp;" "&amp;Table1[[#This Row],[Model]],Table13[MFR &amp; MDL],Table13[Tolerance % CW ],"")/100*Table1[[#This Row],[Std Nom]]),"")</f>
        <v/>
      </c>
      <c r="P573" s="1" t="str">
        <f>IFERROR(Table1[[#This Row],[Std Nom]]+(_xlfn.XLOOKUP(Table1[[#This Row],[Manufacturer]]&amp;" "&amp;Table1[[#This Row],[Model]],Table13[MFR &amp; MDL],Table13[Tolerance % CW ],"")/100*Table1[[#This Row],[Std Nom]]),"")</f>
        <v/>
      </c>
      <c r="Q573" s="1" t="e">
        <f>Table1[[#This Row],[High Tol]]-Table1[[#This Row],[Low Tol]]</f>
        <v>#VALUE!</v>
      </c>
      <c r="R573" s="1">
        <f>2*Table1[[#This Row],[Std Error]]</f>
        <v>0</v>
      </c>
      <c r="S573" s="1" t="str">
        <f>IF(Table1[[#This Row],[High Tol]]="","N/A",IFERROR(ABS(Table1[[#This Row],[Tol Span]]/Table1[[#This Row],[Error Span]]),"N/A"))</f>
        <v>N/A</v>
      </c>
      <c r="T573" s="1" t="str">
        <f>IF(OR(Table1[[#This Row],[Low Tol]]="",Table1[[#This Row],[High Tol]]=""),"Needs Analysis",IF(Table1[[#This Row],[Ratio]]&gt;=4,"Not Significant",IF(Table1[[#This Row],[Ratio]]&gt;=2,"Semi-Significant","Significant")))</f>
        <v>Needs Analysis</v>
      </c>
      <c r="W573" s="1">
        <f>IF(Table1[[#This Row],[Cal Type]]&lt;&gt;"ACCREDITED 17025 WITH UNCERTAINTIES",0,"")</f>
        <v>0</v>
      </c>
      <c r="X573" s="1" t="str">
        <f>IF(Table1[[#This Row],[DUT Read]]="","N/A",Table1[[#This Row],[Std Error]]+Table1[[#This Row],[DUT Read]]+Table1[[#This Row],[DUT Ucty]])</f>
        <v>N/A</v>
      </c>
      <c r="Y573" s="1" t="str">
        <f>IF(Table1[[#This Row],[Std Read]]="","N/A",Table1[[#This Row],[Std Read]]+Table1[[#This Row],[Std Ucty]])</f>
        <v>N/A</v>
      </c>
      <c r="Z5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3" s="1" t="str">
        <f>IF(Table1[[#This Row],[Spec Type]]="","N/A",Table1[[#This Row],[Spec Type]])</f>
        <v>±</v>
      </c>
      <c r="AC573" s="1" t="str">
        <f>IF(Table1[[#This Row],[Spec Type2]]="N/A","N/A",IF(AND(Table1[[#This Row],[DUT Adj Read]]&gt;=Table1[[#This Row],[Low Tol]],Table1[[#This Row],[DUT Adj Read]]&lt;=Table1[[#This Row],[High Tol]]),"Pass","Fail"))</f>
        <v>Fail</v>
      </c>
      <c r="AD573" s="1" t="str">
        <f>IF(AND(Table1[[#This Row],[Spec Type2]]="N/A",Table1[[#This Row],[DUT Adj Read]]="N/A",Table1[[#This Row],[Std Adj Read]]="N/A"),"N/A",IF(Table1[[#This Row],[DUT Adj Read]]="N/A",IF(Table1[[#This Row],[Std Adj Read]]&gt;Table1[[#This Row],[Low Tol]],"Pass","Fail"),IF(Table1[[#This Row],[DUT Adj Read]]&gt;Table1[[#This Row],[Low Tol]],"Pass","Fail")))</f>
        <v>Pass</v>
      </c>
      <c r="AE573" s="1" t="str">
        <f>IF(AND(Table1[[#This Row],[Spec Type2]]="N/A",Table1[[#This Row],[DUT Adj Read]]="N/A",Table1[[#This Row],[Std Adj Read]]="N/A"),"N/A",IF(Table1[[#This Row],[DUT Adj Read]]="N/A",IF(Table1[[#This Row],[Std Adj Read]]&lt;Table1[[#This Row],[High Tol]],"Pass","Fail"),IF(Table1[[#This Row],[DUT Adj Read]]&lt;Table1[[#This Row],[High Tol]],"Pass","Fail")))</f>
        <v>Fail</v>
      </c>
      <c r="AF573" s="1" t="str">
        <f>IF(AND(Table1[[#This Row],[Spec Type2]]="N/A",Table1[[#This Row],[DUT Adj Read]]="N/A",Table1[[#This Row],[Std Adj Read]]="N/A"),"N/A",IF(Table1[[#This Row],[DUT Adj Read]]="N/A",IF(Table1[[#This Row],[Std Adj Read]]&gt;=Table1[[#This Row],[Low Tol]],"Pass","Fail"),IF(Table1[[#This Row],[DUT Adj Read]]&gt;=Table1[[#This Row],[Low Tol]],"Pass","Fail")))</f>
        <v>Pass</v>
      </c>
      <c r="AG573" s="1" t="str">
        <f>IF(AND(Table1[[#This Row],[Spec Type2]]="N/A",Table1[[#This Row],[DUT Adj Read]]="N/A",Table1[[#This Row],[Std Adj Read]]="N/A"),"N/A",IF(Table1[[#This Row],[DUT Adj Read]]="N/A",IF(Table1[[#This Row],[Std Adj Read]]&lt;=Table1[[#This Row],[High Tol]],"Pass","Fail"),IF(Table1[[#This Row],[DUT Adj Read]]&lt;=Table1[[#This Row],[High Tol]],"Pass","Fail")))</f>
        <v>Fail</v>
      </c>
      <c r="AH5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3" s="1" t="b">
        <v>0</v>
      </c>
      <c r="AN573" s="1" t="b">
        <v>0</v>
      </c>
      <c r="AO573" s="1" t="b">
        <v>0</v>
      </c>
    </row>
    <row r="574" spans="1:41" x14ac:dyDescent="0.25">
      <c r="A574" s="10"/>
      <c r="B574" s="10"/>
      <c r="C574" s="10"/>
      <c r="D574" s="10"/>
      <c r="E574" s="10"/>
      <c r="F574" s="10"/>
      <c r="G574" s="10"/>
      <c r="H574" s="10"/>
      <c r="I574" s="1" t="str">
        <f t="shared" si="24"/>
        <v/>
      </c>
      <c r="J574" s="1" t="s">
        <v>35</v>
      </c>
      <c r="K574" s="1" t="str">
        <f t="shared" si="25"/>
        <v/>
      </c>
      <c r="L574" s="1" t="str">
        <f t="shared" si="26"/>
        <v/>
      </c>
      <c r="M574" s="1">
        <f>IF(OR(Table1[[#This Row],[Std Nom]]="",Table1[[#This Row],[Std Read]]=""),0,Table1[[#This Row],[Std Nom]]-Table1[[#This Row],[Std Read]])</f>
        <v>0</v>
      </c>
      <c r="N574" s="1">
        <f>IF(Calculations!$F$5="ACCREDITED 17025 WITH UNCERTAINTIES",$N$10,0)</f>
        <v>0</v>
      </c>
      <c r="O574" s="1" t="str">
        <f>IFERROR(Table1[[#This Row],[Std Nom]]-(_xlfn.XLOOKUP(Table1[[#This Row],[Manufacturer]]&amp;" "&amp;Table1[[#This Row],[Model]],Table13[MFR &amp; MDL],Table13[Tolerance % CW ],"")/100*Table1[[#This Row],[Std Nom]]),"")</f>
        <v/>
      </c>
      <c r="P574" s="1" t="str">
        <f>IFERROR(Table1[[#This Row],[Std Nom]]+(_xlfn.XLOOKUP(Table1[[#This Row],[Manufacturer]]&amp;" "&amp;Table1[[#This Row],[Model]],Table13[MFR &amp; MDL],Table13[Tolerance % CW ],"")/100*Table1[[#This Row],[Std Nom]]),"")</f>
        <v/>
      </c>
      <c r="Q574" s="1" t="e">
        <f>Table1[[#This Row],[High Tol]]-Table1[[#This Row],[Low Tol]]</f>
        <v>#VALUE!</v>
      </c>
      <c r="R574" s="1">
        <f>2*Table1[[#This Row],[Std Error]]</f>
        <v>0</v>
      </c>
      <c r="S574" s="1" t="str">
        <f>IF(Table1[[#This Row],[High Tol]]="","N/A",IFERROR(ABS(Table1[[#This Row],[Tol Span]]/Table1[[#This Row],[Error Span]]),"N/A"))</f>
        <v>N/A</v>
      </c>
      <c r="T574" s="1" t="str">
        <f>IF(OR(Table1[[#This Row],[Low Tol]]="",Table1[[#This Row],[High Tol]]=""),"Needs Analysis",IF(Table1[[#This Row],[Ratio]]&gt;=4,"Not Significant",IF(Table1[[#This Row],[Ratio]]&gt;=2,"Semi-Significant","Significant")))</f>
        <v>Needs Analysis</v>
      </c>
      <c r="W574" s="1">
        <f>IF(Table1[[#This Row],[Cal Type]]&lt;&gt;"ACCREDITED 17025 WITH UNCERTAINTIES",0,"")</f>
        <v>0</v>
      </c>
      <c r="X574" s="1" t="str">
        <f>IF(Table1[[#This Row],[DUT Read]]="","N/A",Table1[[#This Row],[Std Error]]+Table1[[#This Row],[DUT Read]]+Table1[[#This Row],[DUT Ucty]])</f>
        <v>N/A</v>
      </c>
      <c r="Y574" s="1" t="str">
        <f>IF(Table1[[#This Row],[Std Read]]="","N/A",Table1[[#This Row],[Std Read]]+Table1[[#This Row],[Std Ucty]])</f>
        <v>N/A</v>
      </c>
      <c r="Z5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4" s="1" t="str">
        <f>IF(Table1[[#This Row],[Spec Type]]="","N/A",Table1[[#This Row],[Spec Type]])</f>
        <v>±</v>
      </c>
      <c r="AC574" s="1" t="str">
        <f>IF(Table1[[#This Row],[Spec Type2]]="N/A","N/A",IF(AND(Table1[[#This Row],[DUT Adj Read]]&gt;=Table1[[#This Row],[Low Tol]],Table1[[#This Row],[DUT Adj Read]]&lt;=Table1[[#This Row],[High Tol]]),"Pass","Fail"))</f>
        <v>Fail</v>
      </c>
      <c r="AD574" s="1" t="str">
        <f>IF(AND(Table1[[#This Row],[Spec Type2]]="N/A",Table1[[#This Row],[DUT Adj Read]]="N/A",Table1[[#This Row],[Std Adj Read]]="N/A"),"N/A",IF(Table1[[#This Row],[DUT Adj Read]]="N/A",IF(Table1[[#This Row],[Std Adj Read]]&gt;Table1[[#This Row],[Low Tol]],"Pass","Fail"),IF(Table1[[#This Row],[DUT Adj Read]]&gt;Table1[[#This Row],[Low Tol]],"Pass","Fail")))</f>
        <v>Pass</v>
      </c>
      <c r="AE574" s="1" t="str">
        <f>IF(AND(Table1[[#This Row],[Spec Type2]]="N/A",Table1[[#This Row],[DUT Adj Read]]="N/A",Table1[[#This Row],[Std Adj Read]]="N/A"),"N/A",IF(Table1[[#This Row],[DUT Adj Read]]="N/A",IF(Table1[[#This Row],[Std Adj Read]]&lt;Table1[[#This Row],[High Tol]],"Pass","Fail"),IF(Table1[[#This Row],[DUT Adj Read]]&lt;Table1[[#This Row],[High Tol]],"Pass","Fail")))</f>
        <v>Fail</v>
      </c>
      <c r="AF574" s="1" t="str">
        <f>IF(AND(Table1[[#This Row],[Spec Type2]]="N/A",Table1[[#This Row],[DUT Adj Read]]="N/A",Table1[[#This Row],[Std Adj Read]]="N/A"),"N/A",IF(Table1[[#This Row],[DUT Adj Read]]="N/A",IF(Table1[[#This Row],[Std Adj Read]]&gt;=Table1[[#This Row],[Low Tol]],"Pass","Fail"),IF(Table1[[#This Row],[DUT Adj Read]]&gt;=Table1[[#This Row],[Low Tol]],"Pass","Fail")))</f>
        <v>Pass</v>
      </c>
      <c r="AG574" s="1" t="str">
        <f>IF(AND(Table1[[#This Row],[Spec Type2]]="N/A",Table1[[#This Row],[DUT Adj Read]]="N/A",Table1[[#This Row],[Std Adj Read]]="N/A"),"N/A",IF(Table1[[#This Row],[DUT Adj Read]]="N/A",IF(Table1[[#This Row],[Std Adj Read]]&lt;=Table1[[#This Row],[High Tol]],"Pass","Fail"),IF(Table1[[#This Row],[DUT Adj Read]]&lt;=Table1[[#This Row],[High Tol]],"Pass","Fail")))</f>
        <v>Fail</v>
      </c>
      <c r="AH5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4" s="1" t="b">
        <v>0</v>
      </c>
      <c r="AN574" s="1" t="b">
        <v>0</v>
      </c>
      <c r="AO574" s="1" t="b">
        <v>0</v>
      </c>
    </row>
    <row r="575" spans="1:41" x14ac:dyDescent="0.25">
      <c r="A575" s="10"/>
      <c r="B575" s="10"/>
      <c r="C575" s="10"/>
      <c r="D575" s="10"/>
      <c r="E575" s="10"/>
      <c r="F575" s="10"/>
      <c r="G575" s="10"/>
      <c r="H575" s="10"/>
      <c r="I575" s="1" t="str">
        <f t="shared" si="24"/>
        <v/>
      </c>
      <c r="J575" s="1" t="s">
        <v>35</v>
      </c>
      <c r="K575" s="1" t="str">
        <f t="shared" si="25"/>
        <v/>
      </c>
      <c r="L575" s="1" t="str">
        <f t="shared" si="26"/>
        <v/>
      </c>
      <c r="M575" s="1">
        <f>IF(OR(Table1[[#This Row],[Std Nom]]="",Table1[[#This Row],[Std Read]]=""),0,Table1[[#This Row],[Std Nom]]-Table1[[#This Row],[Std Read]])</f>
        <v>0</v>
      </c>
      <c r="N575" s="1">
        <f>IF(Calculations!$F$5="ACCREDITED 17025 WITH UNCERTAINTIES",$N$10,0)</f>
        <v>0</v>
      </c>
      <c r="O575" s="1" t="str">
        <f>IFERROR(Table1[[#This Row],[Std Nom]]-(_xlfn.XLOOKUP(Table1[[#This Row],[Manufacturer]]&amp;" "&amp;Table1[[#This Row],[Model]],Table13[MFR &amp; MDL],Table13[Tolerance % CW ],"")/100*Table1[[#This Row],[Std Nom]]),"")</f>
        <v/>
      </c>
      <c r="P575" s="1" t="str">
        <f>IFERROR(Table1[[#This Row],[Std Nom]]+(_xlfn.XLOOKUP(Table1[[#This Row],[Manufacturer]]&amp;" "&amp;Table1[[#This Row],[Model]],Table13[MFR &amp; MDL],Table13[Tolerance % CW ],"")/100*Table1[[#This Row],[Std Nom]]),"")</f>
        <v/>
      </c>
      <c r="Q575" s="1" t="e">
        <f>Table1[[#This Row],[High Tol]]-Table1[[#This Row],[Low Tol]]</f>
        <v>#VALUE!</v>
      </c>
      <c r="R575" s="1">
        <f>2*Table1[[#This Row],[Std Error]]</f>
        <v>0</v>
      </c>
      <c r="S575" s="1" t="str">
        <f>IF(Table1[[#This Row],[High Tol]]="","N/A",IFERROR(ABS(Table1[[#This Row],[Tol Span]]/Table1[[#This Row],[Error Span]]),"N/A"))</f>
        <v>N/A</v>
      </c>
      <c r="T575" s="1" t="str">
        <f>IF(OR(Table1[[#This Row],[Low Tol]]="",Table1[[#This Row],[High Tol]]=""),"Needs Analysis",IF(Table1[[#This Row],[Ratio]]&gt;=4,"Not Significant",IF(Table1[[#This Row],[Ratio]]&gt;=2,"Semi-Significant","Significant")))</f>
        <v>Needs Analysis</v>
      </c>
      <c r="W575" s="1">
        <f>IF(Table1[[#This Row],[Cal Type]]&lt;&gt;"ACCREDITED 17025 WITH UNCERTAINTIES",0,"")</f>
        <v>0</v>
      </c>
      <c r="X575" s="1" t="str">
        <f>IF(Table1[[#This Row],[DUT Read]]="","N/A",Table1[[#This Row],[Std Error]]+Table1[[#This Row],[DUT Read]]+Table1[[#This Row],[DUT Ucty]])</f>
        <v>N/A</v>
      </c>
      <c r="Y575" s="1" t="str">
        <f>IF(Table1[[#This Row],[Std Read]]="","N/A",Table1[[#This Row],[Std Read]]+Table1[[#This Row],[Std Ucty]])</f>
        <v>N/A</v>
      </c>
      <c r="Z5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5" s="1" t="str">
        <f>IF(Table1[[#This Row],[Spec Type]]="","N/A",Table1[[#This Row],[Spec Type]])</f>
        <v>±</v>
      </c>
      <c r="AC575" s="1" t="str">
        <f>IF(Table1[[#This Row],[Spec Type2]]="N/A","N/A",IF(AND(Table1[[#This Row],[DUT Adj Read]]&gt;=Table1[[#This Row],[Low Tol]],Table1[[#This Row],[DUT Adj Read]]&lt;=Table1[[#This Row],[High Tol]]),"Pass","Fail"))</f>
        <v>Fail</v>
      </c>
      <c r="AD575" s="1" t="str">
        <f>IF(AND(Table1[[#This Row],[Spec Type2]]="N/A",Table1[[#This Row],[DUT Adj Read]]="N/A",Table1[[#This Row],[Std Adj Read]]="N/A"),"N/A",IF(Table1[[#This Row],[DUT Adj Read]]="N/A",IF(Table1[[#This Row],[Std Adj Read]]&gt;Table1[[#This Row],[Low Tol]],"Pass","Fail"),IF(Table1[[#This Row],[DUT Adj Read]]&gt;Table1[[#This Row],[Low Tol]],"Pass","Fail")))</f>
        <v>Pass</v>
      </c>
      <c r="AE575" s="1" t="str">
        <f>IF(AND(Table1[[#This Row],[Spec Type2]]="N/A",Table1[[#This Row],[DUT Adj Read]]="N/A",Table1[[#This Row],[Std Adj Read]]="N/A"),"N/A",IF(Table1[[#This Row],[DUT Adj Read]]="N/A",IF(Table1[[#This Row],[Std Adj Read]]&lt;Table1[[#This Row],[High Tol]],"Pass","Fail"),IF(Table1[[#This Row],[DUT Adj Read]]&lt;Table1[[#This Row],[High Tol]],"Pass","Fail")))</f>
        <v>Fail</v>
      </c>
      <c r="AF575" s="1" t="str">
        <f>IF(AND(Table1[[#This Row],[Spec Type2]]="N/A",Table1[[#This Row],[DUT Adj Read]]="N/A",Table1[[#This Row],[Std Adj Read]]="N/A"),"N/A",IF(Table1[[#This Row],[DUT Adj Read]]="N/A",IF(Table1[[#This Row],[Std Adj Read]]&gt;=Table1[[#This Row],[Low Tol]],"Pass","Fail"),IF(Table1[[#This Row],[DUT Adj Read]]&gt;=Table1[[#This Row],[Low Tol]],"Pass","Fail")))</f>
        <v>Pass</v>
      </c>
      <c r="AG575" s="1" t="str">
        <f>IF(AND(Table1[[#This Row],[Spec Type2]]="N/A",Table1[[#This Row],[DUT Adj Read]]="N/A",Table1[[#This Row],[Std Adj Read]]="N/A"),"N/A",IF(Table1[[#This Row],[DUT Adj Read]]="N/A",IF(Table1[[#This Row],[Std Adj Read]]&lt;=Table1[[#This Row],[High Tol]],"Pass","Fail"),IF(Table1[[#This Row],[DUT Adj Read]]&lt;=Table1[[#This Row],[High Tol]],"Pass","Fail")))</f>
        <v>Fail</v>
      </c>
      <c r="AH5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5" s="1" t="b">
        <v>0</v>
      </c>
      <c r="AN575" s="1" t="b">
        <v>0</v>
      </c>
      <c r="AO575" s="1" t="b">
        <v>0</v>
      </c>
    </row>
    <row r="576" spans="1:41" x14ac:dyDescent="0.25">
      <c r="A576" s="10"/>
      <c r="B576" s="10"/>
      <c r="C576" s="10"/>
      <c r="D576" s="10"/>
      <c r="E576" s="10"/>
      <c r="F576" s="10"/>
      <c r="G576" s="10"/>
      <c r="H576" s="10"/>
      <c r="I576" s="1" t="str">
        <f t="shared" si="24"/>
        <v/>
      </c>
      <c r="J576" s="1" t="s">
        <v>35</v>
      </c>
      <c r="K576" s="1" t="str">
        <f t="shared" si="25"/>
        <v/>
      </c>
      <c r="L576" s="1" t="str">
        <f t="shared" si="26"/>
        <v/>
      </c>
      <c r="M576" s="1">
        <f>IF(OR(Table1[[#This Row],[Std Nom]]="",Table1[[#This Row],[Std Read]]=""),0,Table1[[#This Row],[Std Nom]]-Table1[[#This Row],[Std Read]])</f>
        <v>0</v>
      </c>
      <c r="N576" s="1">
        <f>IF(Calculations!$F$5="ACCREDITED 17025 WITH UNCERTAINTIES",$N$10,0)</f>
        <v>0</v>
      </c>
      <c r="O576" s="1" t="str">
        <f>IFERROR(Table1[[#This Row],[Std Nom]]-(_xlfn.XLOOKUP(Table1[[#This Row],[Manufacturer]]&amp;" "&amp;Table1[[#This Row],[Model]],Table13[MFR &amp; MDL],Table13[Tolerance % CW ],"")/100*Table1[[#This Row],[Std Nom]]),"")</f>
        <v/>
      </c>
      <c r="P576" s="1" t="str">
        <f>IFERROR(Table1[[#This Row],[Std Nom]]+(_xlfn.XLOOKUP(Table1[[#This Row],[Manufacturer]]&amp;" "&amp;Table1[[#This Row],[Model]],Table13[MFR &amp; MDL],Table13[Tolerance % CW ],"")/100*Table1[[#This Row],[Std Nom]]),"")</f>
        <v/>
      </c>
      <c r="Q576" s="1" t="e">
        <f>Table1[[#This Row],[High Tol]]-Table1[[#This Row],[Low Tol]]</f>
        <v>#VALUE!</v>
      </c>
      <c r="R576" s="1">
        <f>2*Table1[[#This Row],[Std Error]]</f>
        <v>0</v>
      </c>
      <c r="S576" s="1" t="str">
        <f>IF(Table1[[#This Row],[High Tol]]="","N/A",IFERROR(ABS(Table1[[#This Row],[Tol Span]]/Table1[[#This Row],[Error Span]]),"N/A"))</f>
        <v>N/A</v>
      </c>
      <c r="T576" s="1" t="str">
        <f>IF(OR(Table1[[#This Row],[Low Tol]]="",Table1[[#This Row],[High Tol]]=""),"Needs Analysis",IF(Table1[[#This Row],[Ratio]]&gt;=4,"Not Significant",IF(Table1[[#This Row],[Ratio]]&gt;=2,"Semi-Significant","Significant")))</f>
        <v>Needs Analysis</v>
      </c>
      <c r="W576" s="1">
        <f>IF(Table1[[#This Row],[Cal Type]]&lt;&gt;"ACCREDITED 17025 WITH UNCERTAINTIES",0,"")</f>
        <v>0</v>
      </c>
      <c r="X576" s="1" t="str">
        <f>IF(Table1[[#This Row],[DUT Read]]="","N/A",Table1[[#This Row],[Std Error]]+Table1[[#This Row],[DUT Read]]+Table1[[#This Row],[DUT Ucty]])</f>
        <v>N/A</v>
      </c>
      <c r="Y576" s="1" t="str">
        <f>IF(Table1[[#This Row],[Std Read]]="","N/A",Table1[[#This Row],[Std Read]]+Table1[[#This Row],[Std Ucty]])</f>
        <v>N/A</v>
      </c>
      <c r="Z5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6" s="1" t="str">
        <f>IF(Table1[[#This Row],[Spec Type]]="","N/A",Table1[[#This Row],[Spec Type]])</f>
        <v>±</v>
      </c>
      <c r="AC576" s="1" t="str">
        <f>IF(Table1[[#This Row],[Spec Type2]]="N/A","N/A",IF(AND(Table1[[#This Row],[DUT Adj Read]]&gt;=Table1[[#This Row],[Low Tol]],Table1[[#This Row],[DUT Adj Read]]&lt;=Table1[[#This Row],[High Tol]]),"Pass","Fail"))</f>
        <v>Fail</v>
      </c>
      <c r="AD576" s="1" t="str">
        <f>IF(AND(Table1[[#This Row],[Spec Type2]]="N/A",Table1[[#This Row],[DUT Adj Read]]="N/A",Table1[[#This Row],[Std Adj Read]]="N/A"),"N/A",IF(Table1[[#This Row],[DUT Adj Read]]="N/A",IF(Table1[[#This Row],[Std Adj Read]]&gt;Table1[[#This Row],[Low Tol]],"Pass","Fail"),IF(Table1[[#This Row],[DUT Adj Read]]&gt;Table1[[#This Row],[Low Tol]],"Pass","Fail")))</f>
        <v>Pass</v>
      </c>
      <c r="AE576" s="1" t="str">
        <f>IF(AND(Table1[[#This Row],[Spec Type2]]="N/A",Table1[[#This Row],[DUT Adj Read]]="N/A",Table1[[#This Row],[Std Adj Read]]="N/A"),"N/A",IF(Table1[[#This Row],[DUT Adj Read]]="N/A",IF(Table1[[#This Row],[Std Adj Read]]&lt;Table1[[#This Row],[High Tol]],"Pass","Fail"),IF(Table1[[#This Row],[DUT Adj Read]]&lt;Table1[[#This Row],[High Tol]],"Pass","Fail")))</f>
        <v>Fail</v>
      </c>
      <c r="AF576" s="1" t="str">
        <f>IF(AND(Table1[[#This Row],[Spec Type2]]="N/A",Table1[[#This Row],[DUT Adj Read]]="N/A",Table1[[#This Row],[Std Adj Read]]="N/A"),"N/A",IF(Table1[[#This Row],[DUT Adj Read]]="N/A",IF(Table1[[#This Row],[Std Adj Read]]&gt;=Table1[[#This Row],[Low Tol]],"Pass","Fail"),IF(Table1[[#This Row],[DUT Adj Read]]&gt;=Table1[[#This Row],[Low Tol]],"Pass","Fail")))</f>
        <v>Pass</v>
      </c>
      <c r="AG576" s="1" t="str">
        <f>IF(AND(Table1[[#This Row],[Spec Type2]]="N/A",Table1[[#This Row],[DUT Adj Read]]="N/A",Table1[[#This Row],[Std Adj Read]]="N/A"),"N/A",IF(Table1[[#This Row],[DUT Adj Read]]="N/A",IF(Table1[[#This Row],[Std Adj Read]]&lt;=Table1[[#This Row],[High Tol]],"Pass","Fail"),IF(Table1[[#This Row],[DUT Adj Read]]&lt;=Table1[[#This Row],[High Tol]],"Pass","Fail")))</f>
        <v>Fail</v>
      </c>
      <c r="AH5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6" s="1" t="b">
        <v>0</v>
      </c>
      <c r="AN576" s="1" t="b">
        <v>0</v>
      </c>
      <c r="AO576" s="1" t="b">
        <v>0</v>
      </c>
    </row>
    <row r="577" spans="1:41" x14ac:dyDescent="0.25">
      <c r="A577" s="10"/>
      <c r="B577" s="10"/>
      <c r="C577" s="10"/>
      <c r="D577" s="10"/>
      <c r="E577" s="10"/>
      <c r="F577" s="10"/>
      <c r="G577" s="10"/>
      <c r="H577" s="10"/>
      <c r="I577" s="1" t="str">
        <f t="shared" si="24"/>
        <v/>
      </c>
      <c r="J577" s="1" t="s">
        <v>35</v>
      </c>
      <c r="K577" s="1" t="str">
        <f t="shared" si="25"/>
        <v/>
      </c>
      <c r="L577" s="1" t="str">
        <f t="shared" si="26"/>
        <v/>
      </c>
      <c r="M577" s="1">
        <f>IF(OR(Table1[[#This Row],[Std Nom]]="",Table1[[#This Row],[Std Read]]=""),0,Table1[[#This Row],[Std Nom]]-Table1[[#This Row],[Std Read]])</f>
        <v>0</v>
      </c>
      <c r="N577" s="1">
        <f>IF(Calculations!$F$5="ACCREDITED 17025 WITH UNCERTAINTIES",$N$10,0)</f>
        <v>0</v>
      </c>
      <c r="O577" s="1" t="str">
        <f>IFERROR(Table1[[#This Row],[Std Nom]]-(_xlfn.XLOOKUP(Table1[[#This Row],[Manufacturer]]&amp;" "&amp;Table1[[#This Row],[Model]],Table13[MFR &amp; MDL],Table13[Tolerance % CW ],"")/100*Table1[[#This Row],[Std Nom]]),"")</f>
        <v/>
      </c>
      <c r="P577" s="1" t="str">
        <f>IFERROR(Table1[[#This Row],[Std Nom]]+(_xlfn.XLOOKUP(Table1[[#This Row],[Manufacturer]]&amp;" "&amp;Table1[[#This Row],[Model]],Table13[MFR &amp; MDL],Table13[Tolerance % CW ],"")/100*Table1[[#This Row],[Std Nom]]),"")</f>
        <v/>
      </c>
      <c r="Q577" s="1" t="e">
        <f>Table1[[#This Row],[High Tol]]-Table1[[#This Row],[Low Tol]]</f>
        <v>#VALUE!</v>
      </c>
      <c r="R577" s="1">
        <f>2*Table1[[#This Row],[Std Error]]</f>
        <v>0</v>
      </c>
      <c r="S577" s="1" t="str">
        <f>IF(Table1[[#This Row],[High Tol]]="","N/A",IFERROR(ABS(Table1[[#This Row],[Tol Span]]/Table1[[#This Row],[Error Span]]),"N/A"))</f>
        <v>N/A</v>
      </c>
      <c r="T577" s="1" t="str">
        <f>IF(OR(Table1[[#This Row],[Low Tol]]="",Table1[[#This Row],[High Tol]]=""),"Needs Analysis",IF(Table1[[#This Row],[Ratio]]&gt;=4,"Not Significant",IF(Table1[[#This Row],[Ratio]]&gt;=2,"Semi-Significant","Significant")))</f>
        <v>Needs Analysis</v>
      </c>
      <c r="W577" s="1">
        <f>IF(Table1[[#This Row],[Cal Type]]&lt;&gt;"ACCREDITED 17025 WITH UNCERTAINTIES",0,"")</f>
        <v>0</v>
      </c>
      <c r="X577" s="1" t="str">
        <f>IF(Table1[[#This Row],[DUT Read]]="","N/A",Table1[[#This Row],[Std Error]]+Table1[[#This Row],[DUT Read]]+Table1[[#This Row],[DUT Ucty]])</f>
        <v>N/A</v>
      </c>
      <c r="Y577" s="1" t="str">
        <f>IF(Table1[[#This Row],[Std Read]]="","N/A",Table1[[#This Row],[Std Read]]+Table1[[#This Row],[Std Ucty]])</f>
        <v>N/A</v>
      </c>
      <c r="Z5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7" s="1" t="str">
        <f>IF(Table1[[#This Row],[Spec Type]]="","N/A",Table1[[#This Row],[Spec Type]])</f>
        <v>±</v>
      </c>
      <c r="AC577" s="1" t="str">
        <f>IF(Table1[[#This Row],[Spec Type2]]="N/A","N/A",IF(AND(Table1[[#This Row],[DUT Adj Read]]&gt;=Table1[[#This Row],[Low Tol]],Table1[[#This Row],[DUT Adj Read]]&lt;=Table1[[#This Row],[High Tol]]),"Pass","Fail"))</f>
        <v>Fail</v>
      </c>
      <c r="AD577" s="1" t="str">
        <f>IF(AND(Table1[[#This Row],[Spec Type2]]="N/A",Table1[[#This Row],[DUT Adj Read]]="N/A",Table1[[#This Row],[Std Adj Read]]="N/A"),"N/A",IF(Table1[[#This Row],[DUT Adj Read]]="N/A",IF(Table1[[#This Row],[Std Adj Read]]&gt;Table1[[#This Row],[Low Tol]],"Pass","Fail"),IF(Table1[[#This Row],[DUT Adj Read]]&gt;Table1[[#This Row],[Low Tol]],"Pass","Fail")))</f>
        <v>Pass</v>
      </c>
      <c r="AE577" s="1" t="str">
        <f>IF(AND(Table1[[#This Row],[Spec Type2]]="N/A",Table1[[#This Row],[DUT Adj Read]]="N/A",Table1[[#This Row],[Std Adj Read]]="N/A"),"N/A",IF(Table1[[#This Row],[DUT Adj Read]]="N/A",IF(Table1[[#This Row],[Std Adj Read]]&lt;Table1[[#This Row],[High Tol]],"Pass","Fail"),IF(Table1[[#This Row],[DUT Adj Read]]&lt;Table1[[#This Row],[High Tol]],"Pass","Fail")))</f>
        <v>Fail</v>
      </c>
      <c r="AF577" s="1" t="str">
        <f>IF(AND(Table1[[#This Row],[Spec Type2]]="N/A",Table1[[#This Row],[DUT Adj Read]]="N/A",Table1[[#This Row],[Std Adj Read]]="N/A"),"N/A",IF(Table1[[#This Row],[DUT Adj Read]]="N/A",IF(Table1[[#This Row],[Std Adj Read]]&gt;=Table1[[#This Row],[Low Tol]],"Pass","Fail"),IF(Table1[[#This Row],[DUT Adj Read]]&gt;=Table1[[#This Row],[Low Tol]],"Pass","Fail")))</f>
        <v>Pass</v>
      </c>
      <c r="AG577" s="1" t="str">
        <f>IF(AND(Table1[[#This Row],[Spec Type2]]="N/A",Table1[[#This Row],[DUT Adj Read]]="N/A",Table1[[#This Row],[Std Adj Read]]="N/A"),"N/A",IF(Table1[[#This Row],[DUT Adj Read]]="N/A",IF(Table1[[#This Row],[Std Adj Read]]&lt;=Table1[[#This Row],[High Tol]],"Pass","Fail"),IF(Table1[[#This Row],[DUT Adj Read]]&lt;=Table1[[#This Row],[High Tol]],"Pass","Fail")))</f>
        <v>Fail</v>
      </c>
      <c r="AH5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7" s="1" t="b">
        <v>0</v>
      </c>
      <c r="AN577" s="1" t="b">
        <v>0</v>
      </c>
      <c r="AO577" s="1" t="b">
        <v>0</v>
      </c>
    </row>
    <row r="578" spans="1:41" x14ac:dyDescent="0.25">
      <c r="A578" s="10"/>
      <c r="B578" s="10"/>
      <c r="C578" s="10"/>
      <c r="D578" s="10"/>
      <c r="E578" s="10"/>
      <c r="F578" s="10"/>
      <c r="G578" s="10"/>
      <c r="H578" s="10"/>
      <c r="I578" s="1" t="str">
        <f t="shared" si="24"/>
        <v/>
      </c>
      <c r="J578" s="1" t="s">
        <v>35</v>
      </c>
      <c r="K578" s="1" t="str">
        <f t="shared" si="25"/>
        <v/>
      </c>
      <c r="L578" s="1" t="str">
        <f t="shared" si="26"/>
        <v/>
      </c>
      <c r="M578" s="1">
        <f>IF(OR(Table1[[#This Row],[Std Nom]]="",Table1[[#This Row],[Std Read]]=""),0,Table1[[#This Row],[Std Nom]]-Table1[[#This Row],[Std Read]])</f>
        <v>0</v>
      </c>
      <c r="N578" s="1">
        <f>IF(Calculations!$F$5="ACCREDITED 17025 WITH UNCERTAINTIES",$N$10,0)</f>
        <v>0</v>
      </c>
      <c r="O578" s="1" t="str">
        <f>IFERROR(Table1[[#This Row],[Std Nom]]-(_xlfn.XLOOKUP(Table1[[#This Row],[Manufacturer]]&amp;" "&amp;Table1[[#This Row],[Model]],Table13[MFR &amp; MDL],Table13[Tolerance % CW ],"")/100*Table1[[#This Row],[Std Nom]]),"")</f>
        <v/>
      </c>
      <c r="P578" s="1" t="str">
        <f>IFERROR(Table1[[#This Row],[Std Nom]]+(_xlfn.XLOOKUP(Table1[[#This Row],[Manufacturer]]&amp;" "&amp;Table1[[#This Row],[Model]],Table13[MFR &amp; MDL],Table13[Tolerance % CW ],"")/100*Table1[[#This Row],[Std Nom]]),"")</f>
        <v/>
      </c>
      <c r="Q578" s="1" t="e">
        <f>Table1[[#This Row],[High Tol]]-Table1[[#This Row],[Low Tol]]</f>
        <v>#VALUE!</v>
      </c>
      <c r="R578" s="1">
        <f>2*Table1[[#This Row],[Std Error]]</f>
        <v>0</v>
      </c>
      <c r="S578" s="1" t="str">
        <f>IF(Table1[[#This Row],[High Tol]]="","N/A",IFERROR(ABS(Table1[[#This Row],[Tol Span]]/Table1[[#This Row],[Error Span]]),"N/A"))</f>
        <v>N/A</v>
      </c>
      <c r="T578" s="1" t="str">
        <f>IF(OR(Table1[[#This Row],[Low Tol]]="",Table1[[#This Row],[High Tol]]=""),"Needs Analysis",IF(Table1[[#This Row],[Ratio]]&gt;=4,"Not Significant",IF(Table1[[#This Row],[Ratio]]&gt;=2,"Semi-Significant","Significant")))</f>
        <v>Needs Analysis</v>
      </c>
      <c r="W578" s="1">
        <f>IF(Table1[[#This Row],[Cal Type]]&lt;&gt;"ACCREDITED 17025 WITH UNCERTAINTIES",0,"")</f>
        <v>0</v>
      </c>
      <c r="X578" s="1" t="str">
        <f>IF(Table1[[#This Row],[DUT Read]]="","N/A",Table1[[#This Row],[Std Error]]+Table1[[#This Row],[DUT Read]]+Table1[[#This Row],[DUT Ucty]])</f>
        <v>N/A</v>
      </c>
      <c r="Y578" s="1" t="str">
        <f>IF(Table1[[#This Row],[Std Read]]="","N/A",Table1[[#This Row],[Std Read]]+Table1[[#This Row],[Std Ucty]])</f>
        <v>N/A</v>
      </c>
      <c r="Z5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8" s="1" t="str">
        <f>IF(Table1[[#This Row],[Spec Type]]="","N/A",Table1[[#This Row],[Spec Type]])</f>
        <v>±</v>
      </c>
      <c r="AC578" s="1" t="str">
        <f>IF(Table1[[#This Row],[Spec Type2]]="N/A","N/A",IF(AND(Table1[[#This Row],[DUT Adj Read]]&gt;=Table1[[#This Row],[Low Tol]],Table1[[#This Row],[DUT Adj Read]]&lt;=Table1[[#This Row],[High Tol]]),"Pass","Fail"))</f>
        <v>Fail</v>
      </c>
      <c r="AD578" s="1" t="str">
        <f>IF(AND(Table1[[#This Row],[Spec Type2]]="N/A",Table1[[#This Row],[DUT Adj Read]]="N/A",Table1[[#This Row],[Std Adj Read]]="N/A"),"N/A",IF(Table1[[#This Row],[DUT Adj Read]]="N/A",IF(Table1[[#This Row],[Std Adj Read]]&gt;Table1[[#This Row],[Low Tol]],"Pass","Fail"),IF(Table1[[#This Row],[DUT Adj Read]]&gt;Table1[[#This Row],[Low Tol]],"Pass","Fail")))</f>
        <v>Pass</v>
      </c>
      <c r="AE578" s="1" t="str">
        <f>IF(AND(Table1[[#This Row],[Spec Type2]]="N/A",Table1[[#This Row],[DUT Adj Read]]="N/A",Table1[[#This Row],[Std Adj Read]]="N/A"),"N/A",IF(Table1[[#This Row],[DUT Adj Read]]="N/A",IF(Table1[[#This Row],[Std Adj Read]]&lt;Table1[[#This Row],[High Tol]],"Pass","Fail"),IF(Table1[[#This Row],[DUT Adj Read]]&lt;Table1[[#This Row],[High Tol]],"Pass","Fail")))</f>
        <v>Fail</v>
      </c>
      <c r="AF578" s="1" t="str">
        <f>IF(AND(Table1[[#This Row],[Spec Type2]]="N/A",Table1[[#This Row],[DUT Adj Read]]="N/A",Table1[[#This Row],[Std Adj Read]]="N/A"),"N/A",IF(Table1[[#This Row],[DUT Adj Read]]="N/A",IF(Table1[[#This Row],[Std Adj Read]]&gt;=Table1[[#This Row],[Low Tol]],"Pass","Fail"),IF(Table1[[#This Row],[DUT Adj Read]]&gt;=Table1[[#This Row],[Low Tol]],"Pass","Fail")))</f>
        <v>Pass</v>
      </c>
      <c r="AG578" s="1" t="str">
        <f>IF(AND(Table1[[#This Row],[Spec Type2]]="N/A",Table1[[#This Row],[DUT Adj Read]]="N/A",Table1[[#This Row],[Std Adj Read]]="N/A"),"N/A",IF(Table1[[#This Row],[DUT Adj Read]]="N/A",IF(Table1[[#This Row],[Std Adj Read]]&lt;=Table1[[#This Row],[High Tol]],"Pass","Fail"),IF(Table1[[#This Row],[DUT Adj Read]]&lt;=Table1[[#This Row],[High Tol]],"Pass","Fail")))</f>
        <v>Fail</v>
      </c>
      <c r="AH5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8" s="1" t="b">
        <v>0</v>
      </c>
      <c r="AN578" s="1" t="b">
        <v>0</v>
      </c>
      <c r="AO578" s="1" t="b">
        <v>0</v>
      </c>
    </row>
    <row r="579" spans="1:41" x14ac:dyDescent="0.25">
      <c r="A579" s="10"/>
      <c r="B579" s="10"/>
      <c r="C579" s="10"/>
      <c r="D579" s="10"/>
      <c r="E579" s="10"/>
      <c r="F579" s="10"/>
      <c r="G579" s="10"/>
      <c r="H579" s="10"/>
      <c r="I579" s="1" t="str">
        <f t="shared" si="24"/>
        <v/>
      </c>
      <c r="J579" s="1" t="s">
        <v>35</v>
      </c>
      <c r="K579" s="1" t="str">
        <f t="shared" si="25"/>
        <v/>
      </c>
      <c r="L579" s="1" t="str">
        <f t="shared" si="26"/>
        <v/>
      </c>
      <c r="M579" s="1">
        <f>IF(OR(Table1[[#This Row],[Std Nom]]="",Table1[[#This Row],[Std Read]]=""),0,Table1[[#This Row],[Std Nom]]-Table1[[#This Row],[Std Read]])</f>
        <v>0</v>
      </c>
      <c r="N579" s="1">
        <f>IF(Calculations!$F$5="ACCREDITED 17025 WITH UNCERTAINTIES",$N$10,0)</f>
        <v>0</v>
      </c>
      <c r="O579" s="1" t="str">
        <f>IFERROR(Table1[[#This Row],[Std Nom]]-(_xlfn.XLOOKUP(Table1[[#This Row],[Manufacturer]]&amp;" "&amp;Table1[[#This Row],[Model]],Table13[MFR &amp; MDL],Table13[Tolerance % CW ],"")/100*Table1[[#This Row],[Std Nom]]),"")</f>
        <v/>
      </c>
      <c r="P579" s="1" t="str">
        <f>IFERROR(Table1[[#This Row],[Std Nom]]+(_xlfn.XLOOKUP(Table1[[#This Row],[Manufacturer]]&amp;" "&amp;Table1[[#This Row],[Model]],Table13[MFR &amp; MDL],Table13[Tolerance % CW ],"")/100*Table1[[#This Row],[Std Nom]]),"")</f>
        <v/>
      </c>
      <c r="Q579" s="1" t="e">
        <f>Table1[[#This Row],[High Tol]]-Table1[[#This Row],[Low Tol]]</f>
        <v>#VALUE!</v>
      </c>
      <c r="R579" s="1">
        <f>2*Table1[[#This Row],[Std Error]]</f>
        <v>0</v>
      </c>
      <c r="S579" s="1" t="str">
        <f>IF(Table1[[#This Row],[High Tol]]="","N/A",IFERROR(ABS(Table1[[#This Row],[Tol Span]]/Table1[[#This Row],[Error Span]]),"N/A"))</f>
        <v>N/A</v>
      </c>
      <c r="T579" s="1" t="str">
        <f>IF(OR(Table1[[#This Row],[Low Tol]]="",Table1[[#This Row],[High Tol]]=""),"Needs Analysis",IF(Table1[[#This Row],[Ratio]]&gt;=4,"Not Significant",IF(Table1[[#This Row],[Ratio]]&gt;=2,"Semi-Significant","Significant")))</f>
        <v>Needs Analysis</v>
      </c>
      <c r="W579" s="1">
        <f>IF(Table1[[#This Row],[Cal Type]]&lt;&gt;"ACCREDITED 17025 WITH UNCERTAINTIES",0,"")</f>
        <v>0</v>
      </c>
      <c r="X579" s="1" t="str">
        <f>IF(Table1[[#This Row],[DUT Read]]="","N/A",Table1[[#This Row],[Std Error]]+Table1[[#This Row],[DUT Read]]+Table1[[#This Row],[DUT Ucty]])</f>
        <v>N/A</v>
      </c>
      <c r="Y579" s="1" t="str">
        <f>IF(Table1[[#This Row],[Std Read]]="","N/A",Table1[[#This Row],[Std Read]]+Table1[[#This Row],[Std Ucty]])</f>
        <v>N/A</v>
      </c>
      <c r="Z5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9" s="1" t="str">
        <f>IF(Table1[[#This Row],[Spec Type]]="","N/A",Table1[[#This Row],[Spec Type]])</f>
        <v>±</v>
      </c>
      <c r="AC579" s="1" t="str">
        <f>IF(Table1[[#This Row],[Spec Type2]]="N/A","N/A",IF(AND(Table1[[#This Row],[DUT Adj Read]]&gt;=Table1[[#This Row],[Low Tol]],Table1[[#This Row],[DUT Adj Read]]&lt;=Table1[[#This Row],[High Tol]]),"Pass","Fail"))</f>
        <v>Fail</v>
      </c>
      <c r="AD579" s="1" t="str">
        <f>IF(AND(Table1[[#This Row],[Spec Type2]]="N/A",Table1[[#This Row],[DUT Adj Read]]="N/A",Table1[[#This Row],[Std Adj Read]]="N/A"),"N/A",IF(Table1[[#This Row],[DUT Adj Read]]="N/A",IF(Table1[[#This Row],[Std Adj Read]]&gt;Table1[[#This Row],[Low Tol]],"Pass","Fail"),IF(Table1[[#This Row],[DUT Adj Read]]&gt;Table1[[#This Row],[Low Tol]],"Pass","Fail")))</f>
        <v>Pass</v>
      </c>
      <c r="AE579" s="1" t="str">
        <f>IF(AND(Table1[[#This Row],[Spec Type2]]="N/A",Table1[[#This Row],[DUT Adj Read]]="N/A",Table1[[#This Row],[Std Adj Read]]="N/A"),"N/A",IF(Table1[[#This Row],[DUT Adj Read]]="N/A",IF(Table1[[#This Row],[Std Adj Read]]&lt;Table1[[#This Row],[High Tol]],"Pass","Fail"),IF(Table1[[#This Row],[DUT Adj Read]]&lt;Table1[[#This Row],[High Tol]],"Pass","Fail")))</f>
        <v>Fail</v>
      </c>
      <c r="AF579" s="1" t="str">
        <f>IF(AND(Table1[[#This Row],[Spec Type2]]="N/A",Table1[[#This Row],[DUT Adj Read]]="N/A",Table1[[#This Row],[Std Adj Read]]="N/A"),"N/A",IF(Table1[[#This Row],[DUT Adj Read]]="N/A",IF(Table1[[#This Row],[Std Adj Read]]&gt;=Table1[[#This Row],[Low Tol]],"Pass","Fail"),IF(Table1[[#This Row],[DUT Adj Read]]&gt;=Table1[[#This Row],[Low Tol]],"Pass","Fail")))</f>
        <v>Pass</v>
      </c>
      <c r="AG579" s="1" t="str">
        <f>IF(AND(Table1[[#This Row],[Spec Type2]]="N/A",Table1[[#This Row],[DUT Adj Read]]="N/A",Table1[[#This Row],[Std Adj Read]]="N/A"),"N/A",IF(Table1[[#This Row],[DUT Adj Read]]="N/A",IF(Table1[[#This Row],[Std Adj Read]]&lt;=Table1[[#This Row],[High Tol]],"Pass","Fail"),IF(Table1[[#This Row],[DUT Adj Read]]&lt;=Table1[[#This Row],[High Tol]],"Pass","Fail")))</f>
        <v>Fail</v>
      </c>
      <c r="AH5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9" s="1" t="b">
        <v>0</v>
      </c>
      <c r="AN579" s="1" t="b">
        <v>0</v>
      </c>
      <c r="AO579" s="1" t="b">
        <v>0</v>
      </c>
    </row>
    <row r="580" spans="1:41" x14ac:dyDescent="0.25">
      <c r="A580" s="10"/>
      <c r="B580" s="10"/>
      <c r="C580" s="10"/>
      <c r="D580" s="10"/>
      <c r="E580" s="10"/>
      <c r="F580" s="10"/>
      <c r="G580" s="10"/>
      <c r="H580" s="10"/>
      <c r="I580" s="1" t="str">
        <f t="shared" si="24"/>
        <v/>
      </c>
      <c r="J580" s="1" t="s">
        <v>35</v>
      </c>
      <c r="K580" s="1" t="str">
        <f t="shared" si="25"/>
        <v/>
      </c>
      <c r="L580" s="1" t="str">
        <f t="shared" si="26"/>
        <v/>
      </c>
      <c r="M580" s="1">
        <f>IF(OR(Table1[[#This Row],[Std Nom]]="",Table1[[#This Row],[Std Read]]=""),0,Table1[[#This Row],[Std Nom]]-Table1[[#This Row],[Std Read]])</f>
        <v>0</v>
      </c>
      <c r="N580" s="1">
        <f>IF(Calculations!$F$5="ACCREDITED 17025 WITH UNCERTAINTIES",$N$10,0)</f>
        <v>0</v>
      </c>
      <c r="O580" s="1" t="str">
        <f>IFERROR(Table1[[#This Row],[Std Nom]]-(_xlfn.XLOOKUP(Table1[[#This Row],[Manufacturer]]&amp;" "&amp;Table1[[#This Row],[Model]],Table13[MFR &amp; MDL],Table13[Tolerance % CW ],"")/100*Table1[[#This Row],[Std Nom]]),"")</f>
        <v/>
      </c>
      <c r="P580" s="1" t="str">
        <f>IFERROR(Table1[[#This Row],[Std Nom]]+(_xlfn.XLOOKUP(Table1[[#This Row],[Manufacturer]]&amp;" "&amp;Table1[[#This Row],[Model]],Table13[MFR &amp; MDL],Table13[Tolerance % CW ],"")/100*Table1[[#This Row],[Std Nom]]),"")</f>
        <v/>
      </c>
      <c r="Q580" s="1" t="e">
        <f>Table1[[#This Row],[High Tol]]-Table1[[#This Row],[Low Tol]]</f>
        <v>#VALUE!</v>
      </c>
      <c r="R580" s="1">
        <f>2*Table1[[#This Row],[Std Error]]</f>
        <v>0</v>
      </c>
      <c r="S580" s="1" t="str">
        <f>IF(Table1[[#This Row],[High Tol]]="","N/A",IFERROR(ABS(Table1[[#This Row],[Tol Span]]/Table1[[#This Row],[Error Span]]),"N/A"))</f>
        <v>N/A</v>
      </c>
      <c r="T580" s="1" t="str">
        <f>IF(OR(Table1[[#This Row],[Low Tol]]="",Table1[[#This Row],[High Tol]]=""),"Needs Analysis",IF(Table1[[#This Row],[Ratio]]&gt;=4,"Not Significant",IF(Table1[[#This Row],[Ratio]]&gt;=2,"Semi-Significant","Significant")))</f>
        <v>Needs Analysis</v>
      </c>
      <c r="W580" s="1">
        <f>IF(Table1[[#This Row],[Cal Type]]&lt;&gt;"ACCREDITED 17025 WITH UNCERTAINTIES",0,"")</f>
        <v>0</v>
      </c>
      <c r="X580" s="1" t="str">
        <f>IF(Table1[[#This Row],[DUT Read]]="","N/A",Table1[[#This Row],[Std Error]]+Table1[[#This Row],[DUT Read]]+Table1[[#This Row],[DUT Ucty]])</f>
        <v>N/A</v>
      </c>
      <c r="Y580" s="1" t="str">
        <f>IF(Table1[[#This Row],[Std Read]]="","N/A",Table1[[#This Row],[Std Read]]+Table1[[#This Row],[Std Ucty]])</f>
        <v>N/A</v>
      </c>
      <c r="Z5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0" s="1" t="str">
        <f>IF(Table1[[#This Row],[Spec Type]]="","N/A",Table1[[#This Row],[Spec Type]])</f>
        <v>±</v>
      </c>
      <c r="AC580" s="1" t="str">
        <f>IF(Table1[[#This Row],[Spec Type2]]="N/A","N/A",IF(AND(Table1[[#This Row],[DUT Adj Read]]&gt;=Table1[[#This Row],[Low Tol]],Table1[[#This Row],[DUT Adj Read]]&lt;=Table1[[#This Row],[High Tol]]),"Pass","Fail"))</f>
        <v>Fail</v>
      </c>
      <c r="AD580" s="1" t="str">
        <f>IF(AND(Table1[[#This Row],[Spec Type2]]="N/A",Table1[[#This Row],[DUT Adj Read]]="N/A",Table1[[#This Row],[Std Adj Read]]="N/A"),"N/A",IF(Table1[[#This Row],[DUT Adj Read]]="N/A",IF(Table1[[#This Row],[Std Adj Read]]&gt;Table1[[#This Row],[Low Tol]],"Pass","Fail"),IF(Table1[[#This Row],[DUT Adj Read]]&gt;Table1[[#This Row],[Low Tol]],"Pass","Fail")))</f>
        <v>Pass</v>
      </c>
      <c r="AE580" s="1" t="str">
        <f>IF(AND(Table1[[#This Row],[Spec Type2]]="N/A",Table1[[#This Row],[DUT Adj Read]]="N/A",Table1[[#This Row],[Std Adj Read]]="N/A"),"N/A",IF(Table1[[#This Row],[DUT Adj Read]]="N/A",IF(Table1[[#This Row],[Std Adj Read]]&lt;Table1[[#This Row],[High Tol]],"Pass","Fail"),IF(Table1[[#This Row],[DUT Adj Read]]&lt;Table1[[#This Row],[High Tol]],"Pass","Fail")))</f>
        <v>Fail</v>
      </c>
      <c r="AF580" s="1" t="str">
        <f>IF(AND(Table1[[#This Row],[Spec Type2]]="N/A",Table1[[#This Row],[DUT Adj Read]]="N/A",Table1[[#This Row],[Std Adj Read]]="N/A"),"N/A",IF(Table1[[#This Row],[DUT Adj Read]]="N/A",IF(Table1[[#This Row],[Std Adj Read]]&gt;=Table1[[#This Row],[Low Tol]],"Pass","Fail"),IF(Table1[[#This Row],[DUT Adj Read]]&gt;=Table1[[#This Row],[Low Tol]],"Pass","Fail")))</f>
        <v>Pass</v>
      </c>
      <c r="AG580" s="1" t="str">
        <f>IF(AND(Table1[[#This Row],[Spec Type2]]="N/A",Table1[[#This Row],[DUT Adj Read]]="N/A",Table1[[#This Row],[Std Adj Read]]="N/A"),"N/A",IF(Table1[[#This Row],[DUT Adj Read]]="N/A",IF(Table1[[#This Row],[Std Adj Read]]&lt;=Table1[[#This Row],[High Tol]],"Pass","Fail"),IF(Table1[[#This Row],[DUT Adj Read]]&lt;=Table1[[#This Row],[High Tol]],"Pass","Fail")))</f>
        <v>Fail</v>
      </c>
      <c r="AH5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0" s="1" t="b">
        <v>0</v>
      </c>
      <c r="AN580" s="1" t="b">
        <v>0</v>
      </c>
      <c r="AO580" s="1" t="b">
        <v>0</v>
      </c>
    </row>
    <row r="581" spans="1:41" x14ac:dyDescent="0.25">
      <c r="A581" s="10"/>
      <c r="B581" s="10"/>
      <c r="C581" s="10"/>
      <c r="D581" s="10"/>
      <c r="E581" s="10"/>
      <c r="F581" s="10"/>
      <c r="G581" s="10"/>
      <c r="H581" s="10"/>
      <c r="I581" s="1" t="str">
        <f t="shared" si="24"/>
        <v/>
      </c>
      <c r="J581" s="1" t="s">
        <v>35</v>
      </c>
      <c r="K581" s="1" t="str">
        <f t="shared" si="25"/>
        <v/>
      </c>
      <c r="L581" s="1" t="str">
        <f t="shared" si="26"/>
        <v/>
      </c>
      <c r="M581" s="1">
        <f>IF(OR(Table1[[#This Row],[Std Nom]]="",Table1[[#This Row],[Std Read]]=""),0,Table1[[#This Row],[Std Nom]]-Table1[[#This Row],[Std Read]])</f>
        <v>0</v>
      </c>
      <c r="N581" s="1">
        <f>IF(Calculations!$F$5="ACCREDITED 17025 WITH UNCERTAINTIES",$N$10,0)</f>
        <v>0</v>
      </c>
      <c r="O581" s="1" t="str">
        <f>IFERROR(Table1[[#This Row],[Std Nom]]-(_xlfn.XLOOKUP(Table1[[#This Row],[Manufacturer]]&amp;" "&amp;Table1[[#This Row],[Model]],Table13[MFR &amp; MDL],Table13[Tolerance % CW ],"")/100*Table1[[#This Row],[Std Nom]]),"")</f>
        <v/>
      </c>
      <c r="P581" s="1" t="str">
        <f>IFERROR(Table1[[#This Row],[Std Nom]]+(_xlfn.XLOOKUP(Table1[[#This Row],[Manufacturer]]&amp;" "&amp;Table1[[#This Row],[Model]],Table13[MFR &amp; MDL],Table13[Tolerance % CW ],"")/100*Table1[[#This Row],[Std Nom]]),"")</f>
        <v/>
      </c>
      <c r="Q581" s="1" t="e">
        <f>Table1[[#This Row],[High Tol]]-Table1[[#This Row],[Low Tol]]</f>
        <v>#VALUE!</v>
      </c>
      <c r="R581" s="1">
        <f>2*Table1[[#This Row],[Std Error]]</f>
        <v>0</v>
      </c>
      <c r="S581" s="1" t="str">
        <f>IF(Table1[[#This Row],[High Tol]]="","N/A",IFERROR(ABS(Table1[[#This Row],[Tol Span]]/Table1[[#This Row],[Error Span]]),"N/A"))</f>
        <v>N/A</v>
      </c>
      <c r="T581" s="1" t="str">
        <f>IF(OR(Table1[[#This Row],[Low Tol]]="",Table1[[#This Row],[High Tol]]=""),"Needs Analysis",IF(Table1[[#This Row],[Ratio]]&gt;=4,"Not Significant",IF(Table1[[#This Row],[Ratio]]&gt;=2,"Semi-Significant","Significant")))</f>
        <v>Needs Analysis</v>
      </c>
      <c r="W581" s="1">
        <f>IF(Table1[[#This Row],[Cal Type]]&lt;&gt;"ACCREDITED 17025 WITH UNCERTAINTIES",0,"")</f>
        <v>0</v>
      </c>
      <c r="X581" s="1" t="str">
        <f>IF(Table1[[#This Row],[DUT Read]]="","N/A",Table1[[#This Row],[Std Error]]+Table1[[#This Row],[DUT Read]]+Table1[[#This Row],[DUT Ucty]])</f>
        <v>N/A</v>
      </c>
      <c r="Y581" s="1" t="str">
        <f>IF(Table1[[#This Row],[Std Read]]="","N/A",Table1[[#This Row],[Std Read]]+Table1[[#This Row],[Std Ucty]])</f>
        <v>N/A</v>
      </c>
      <c r="Z5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1" s="1" t="str">
        <f>IF(Table1[[#This Row],[Spec Type]]="","N/A",Table1[[#This Row],[Spec Type]])</f>
        <v>±</v>
      </c>
      <c r="AC581" s="1" t="str">
        <f>IF(Table1[[#This Row],[Spec Type2]]="N/A","N/A",IF(AND(Table1[[#This Row],[DUT Adj Read]]&gt;=Table1[[#This Row],[Low Tol]],Table1[[#This Row],[DUT Adj Read]]&lt;=Table1[[#This Row],[High Tol]]),"Pass","Fail"))</f>
        <v>Fail</v>
      </c>
      <c r="AD581" s="1" t="str">
        <f>IF(AND(Table1[[#This Row],[Spec Type2]]="N/A",Table1[[#This Row],[DUT Adj Read]]="N/A",Table1[[#This Row],[Std Adj Read]]="N/A"),"N/A",IF(Table1[[#This Row],[DUT Adj Read]]="N/A",IF(Table1[[#This Row],[Std Adj Read]]&gt;Table1[[#This Row],[Low Tol]],"Pass","Fail"),IF(Table1[[#This Row],[DUT Adj Read]]&gt;Table1[[#This Row],[Low Tol]],"Pass","Fail")))</f>
        <v>Pass</v>
      </c>
      <c r="AE581" s="1" t="str">
        <f>IF(AND(Table1[[#This Row],[Spec Type2]]="N/A",Table1[[#This Row],[DUT Adj Read]]="N/A",Table1[[#This Row],[Std Adj Read]]="N/A"),"N/A",IF(Table1[[#This Row],[DUT Adj Read]]="N/A",IF(Table1[[#This Row],[Std Adj Read]]&lt;Table1[[#This Row],[High Tol]],"Pass","Fail"),IF(Table1[[#This Row],[DUT Adj Read]]&lt;Table1[[#This Row],[High Tol]],"Pass","Fail")))</f>
        <v>Fail</v>
      </c>
      <c r="AF581" s="1" t="str">
        <f>IF(AND(Table1[[#This Row],[Spec Type2]]="N/A",Table1[[#This Row],[DUT Adj Read]]="N/A",Table1[[#This Row],[Std Adj Read]]="N/A"),"N/A",IF(Table1[[#This Row],[DUT Adj Read]]="N/A",IF(Table1[[#This Row],[Std Adj Read]]&gt;=Table1[[#This Row],[Low Tol]],"Pass","Fail"),IF(Table1[[#This Row],[DUT Adj Read]]&gt;=Table1[[#This Row],[Low Tol]],"Pass","Fail")))</f>
        <v>Pass</v>
      </c>
      <c r="AG581" s="1" t="str">
        <f>IF(AND(Table1[[#This Row],[Spec Type2]]="N/A",Table1[[#This Row],[DUT Adj Read]]="N/A",Table1[[#This Row],[Std Adj Read]]="N/A"),"N/A",IF(Table1[[#This Row],[DUT Adj Read]]="N/A",IF(Table1[[#This Row],[Std Adj Read]]&lt;=Table1[[#This Row],[High Tol]],"Pass","Fail"),IF(Table1[[#This Row],[DUT Adj Read]]&lt;=Table1[[#This Row],[High Tol]],"Pass","Fail")))</f>
        <v>Fail</v>
      </c>
      <c r="AH5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1" s="1" t="b">
        <v>0</v>
      </c>
      <c r="AN581" s="1" t="b">
        <v>0</v>
      </c>
      <c r="AO581" s="1" t="b">
        <v>0</v>
      </c>
    </row>
    <row r="582" spans="1:41" x14ac:dyDescent="0.25">
      <c r="A582" s="10"/>
      <c r="B582" s="10"/>
      <c r="C582" s="10"/>
      <c r="D582" s="10"/>
      <c r="E582" s="10"/>
      <c r="F582" s="10"/>
      <c r="G582" s="10"/>
      <c r="H582" s="10"/>
      <c r="I582" s="1" t="str">
        <f t="shared" si="24"/>
        <v/>
      </c>
      <c r="J582" s="1" t="s">
        <v>35</v>
      </c>
      <c r="K582" s="1" t="str">
        <f t="shared" si="25"/>
        <v/>
      </c>
      <c r="L582" s="1" t="str">
        <f t="shared" si="26"/>
        <v/>
      </c>
      <c r="M582" s="1">
        <f>IF(OR(Table1[[#This Row],[Std Nom]]="",Table1[[#This Row],[Std Read]]=""),0,Table1[[#This Row],[Std Nom]]-Table1[[#This Row],[Std Read]])</f>
        <v>0</v>
      </c>
      <c r="N582" s="1">
        <f>IF(Calculations!$F$5="ACCREDITED 17025 WITH UNCERTAINTIES",$N$10,0)</f>
        <v>0</v>
      </c>
      <c r="O582" s="1" t="str">
        <f>IFERROR(Table1[[#This Row],[Std Nom]]-(_xlfn.XLOOKUP(Table1[[#This Row],[Manufacturer]]&amp;" "&amp;Table1[[#This Row],[Model]],Table13[MFR &amp; MDL],Table13[Tolerance % CW ],"")/100*Table1[[#This Row],[Std Nom]]),"")</f>
        <v/>
      </c>
      <c r="P582" s="1" t="str">
        <f>IFERROR(Table1[[#This Row],[Std Nom]]+(_xlfn.XLOOKUP(Table1[[#This Row],[Manufacturer]]&amp;" "&amp;Table1[[#This Row],[Model]],Table13[MFR &amp; MDL],Table13[Tolerance % CW ],"")/100*Table1[[#This Row],[Std Nom]]),"")</f>
        <v/>
      </c>
      <c r="Q582" s="1" t="e">
        <f>Table1[[#This Row],[High Tol]]-Table1[[#This Row],[Low Tol]]</f>
        <v>#VALUE!</v>
      </c>
      <c r="R582" s="1">
        <f>2*Table1[[#This Row],[Std Error]]</f>
        <v>0</v>
      </c>
      <c r="S582" s="1" t="str">
        <f>IF(Table1[[#This Row],[High Tol]]="","N/A",IFERROR(ABS(Table1[[#This Row],[Tol Span]]/Table1[[#This Row],[Error Span]]),"N/A"))</f>
        <v>N/A</v>
      </c>
      <c r="T582" s="1" t="str">
        <f>IF(OR(Table1[[#This Row],[Low Tol]]="",Table1[[#This Row],[High Tol]]=""),"Needs Analysis",IF(Table1[[#This Row],[Ratio]]&gt;=4,"Not Significant",IF(Table1[[#This Row],[Ratio]]&gt;=2,"Semi-Significant","Significant")))</f>
        <v>Needs Analysis</v>
      </c>
      <c r="W582" s="1">
        <f>IF(Table1[[#This Row],[Cal Type]]&lt;&gt;"ACCREDITED 17025 WITH UNCERTAINTIES",0,"")</f>
        <v>0</v>
      </c>
      <c r="X582" s="1" t="str">
        <f>IF(Table1[[#This Row],[DUT Read]]="","N/A",Table1[[#This Row],[Std Error]]+Table1[[#This Row],[DUT Read]]+Table1[[#This Row],[DUT Ucty]])</f>
        <v>N/A</v>
      </c>
      <c r="Y582" s="1" t="str">
        <f>IF(Table1[[#This Row],[Std Read]]="","N/A",Table1[[#This Row],[Std Read]]+Table1[[#This Row],[Std Ucty]])</f>
        <v>N/A</v>
      </c>
      <c r="Z5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2" s="1" t="str">
        <f>IF(Table1[[#This Row],[Spec Type]]="","N/A",Table1[[#This Row],[Spec Type]])</f>
        <v>±</v>
      </c>
      <c r="AC582" s="1" t="str">
        <f>IF(Table1[[#This Row],[Spec Type2]]="N/A","N/A",IF(AND(Table1[[#This Row],[DUT Adj Read]]&gt;=Table1[[#This Row],[Low Tol]],Table1[[#This Row],[DUT Adj Read]]&lt;=Table1[[#This Row],[High Tol]]),"Pass","Fail"))</f>
        <v>Fail</v>
      </c>
      <c r="AD582" s="1" t="str">
        <f>IF(AND(Table1[[#This Row],[Spec Type2]]="N/A",Table1[[#This Row],[DUT Adj Read]]="N/A",Table1[[#This Row],[Std Adj Read]]="N/A"),"N/A",IF(Table1[[#This Row],[DUT Adj Read]]="N/A",IF(Table1[[#This Row],[Std Adj Read]]&gt;Table1[[#This Row],[Low Tol]],"Pass","Fail"),IF(Table1[[#This Row],[DUT Adj Read]]&gt;Table1[[#This Row],[Low Tol]],"Pass","Fail")))</f>
        <v>Pass</v>
      </c>
      <c r="AE582" s="1" t="str">
        <f>IF(AND(Table1[[#This Row],[Spec Type2]]="N/A",Table1[[#This Row],[DUT Adj Read]]="N/A",Table1[[#This Row],[Std Adj Read]]="N/A"),"N/A",IF(Table1[[#This Row],[DUT Adj Read]]="N/A",IF(Table1[[#This Row],[Std Adj Read]]&lt;Table1[[#This Row],[High Tol]],"Pass","Fail"),IF(Table1[[#This Row],[DUT Adj Read]]&lt;Table1[[#This Row],[High Tol]],"Pass","Fail")))</f>
        <v>Fail</v>
      </c>
      <c r="AF582" s="1" t="str">
        <f>IF(AND(Table1[[#This Row],[Spec Type2]]="N/A",Table1[[#This Row],[DUT Adj Read]]="N/A",Table1[[#This Row],[Std Adj Read]]="N/A"),"N/A",IF(Table1[[#This Row],[DUT Adj Read]]="N/A",IF(Table1[[#This Row],[Std Adj Read]]&gt;=Table1[[#This Row],[Low Tol]],"Pass","Fail"),IF(Table1[[#This Row],[DUT Adj Read]]&gt;=Table1[[#This Row],[Low Tol]],"Pass","Fail")))</f>
        <v>Pass</v>
      </c>
      <c r="AG582" s="1" t="str">
        <f>IF(AND(Table1[[#This Row],[Spec Type2]]="N/A",Table1[[#This Row],[DUT Adj Read]]="N/A",Table1[[#This Row],[Std Adj Read]]="N/A"),"N/A",IF(Table1[[#This Row],[DUT Adj Read]]="N/A",IF(Table1[[#This Row],[Std Adj Read]]&lt;=Table1[[#This Row],[High Tol]],"Pass","Fail"),IF(Table1[[#This Row],[DUT Adj Read]]&lt;=Table1[[#This Row],[High Tol]],"Pass","Fail")))</f>
        <v>Fail</v>
      </c>
      <c r="AH5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2" s="1" t="b">
        <v>0</v>
      </c>
      <c r="AN582" s="1" t="b">
        <v>0</v>
      </c>
      <c r="AO582" s="1" t="b">
        <v>0</v>
      </c>
    </row>
    <row r="583" spans="1:41" x14ac:dyDescent="0.25">
      <c r="A583" s="10"/>
      <c r="B583" s="10"/>
      <c r="C583" s="10"/>
      <c r="D583" s="10"/>
      <c r="E583" s="10"/>
      <c r="F583" s="10"/>
      <c r="G583" s="10"/>
      <c r="H583" s="10"/>
      <c r="I583" s="1" t="str">
        <f t="shared" si="24"/>
        <v/>
      </c>
      <c r="J583" s="1" t="s">
        <v>35</v>
      </c>
      <c r="K583" s="1" t="str">
        <f t="shared" si="25"/>
        <v/>
      </c>
      <c r="L583" s="1" t="str">
        <f t="shared" si="26"/>
        <v/>
      </c>
      <c r="M583" s="1">
        <f>IF(OR(Table1[[#This Row],[Std Nom]]="",Table1[[#This Row],[Std Read]]=""),0,Table1[[#This Row],[Std Nom]]-Table1[[#This Row],[Std Read]])</f>
        <v>0</v>
      </c>
      <c r="N583" s="1">
        <f>IF(Calculations!$F$5="ACCREDITED 17025 WITH UNCERTAINTIES",$N$10,0)</f>
        <v>0</v>
      </c>
      <c r="O583" s="1" t="str">
        <f>IFERROR(Table1[[#This Row],[Std Nom]]-(_xlfn.XLOOKUP(Table1[[#This Row],[Manufacturer]]&amp;" "&amp;Table1[[#This Row],[Model]],Table13[MFR &amp; MDL],Table13[Tolerance % CW ],"")/100*Table1[[#This Row],[Std Nom]]),"")</f>
        <v/>
      </c>
      <c r="P583" s="1" t="str">
        <f>IFERROR(Table1[[#This Row],[Std Nom]]+(_xlfn.XLOOKUP(Table1[[#This Row],[Manufacturer]]&amp;" "&amp;Table1[[#This Row],[Model]],Table13[MFR &amp; MDL],Table13[Tolerance % CW ],"")/100*Table1[[#This Row],[Std Nom]]),"")</f>
        <v/>
      </c>
      <c r="Q583" s="1" t="e">
        <f>Table1[[#This Row],[High Tol]]-Table1[[#This Row],[Low Tol]]</f>
        <v>#VALUE!</v>
      </c>
      <c r="R583" s="1">
        <f>2*Table1[[#This Row],[Std Error]]</f>
        <v>0</v>
      </c>
      <c r="S583" s="1" t="str">
        <f>IF(Table1[[#This Row],[High Tol]]="","N/A",IFERROR(ABS(Table1[[#This Row],[Tol Span]]/Table1[[#This Row],[Error Span]]),"N/A"))</f>
        <v>N/A</v>
      </c>
      <c r="T583" s="1" t="str">
        <f>IF(OR(Table1[[#This Row],[Low Tol]]="",Table1[[#This Row],[High Tol]]=""),"Needs Analysis",IF(Table1[[#This Row],[Ratio]]&gt;=4,"Not Significant",IF(Table1[[#This Row],[Ratio]]&gt;=2,"Semi-Significant","Significant")))</f>
        <v>Needs Analysis</v>
      </c>
      <c r="W583" s="1">
        <f>IF(Table1[[#This Row],[Cal Type]]&lt;&gt;"ACCREDITED 17025 WITH UNCERTAINTIES",0,"")</f>
        <v>0</v>
      </c>
      <c r="X583" s="1" t="str">
        <f>IF(Table1[[#This Row],[DUT Read]]="","N/A",Table1[[#This Row],[Std Error]]+Table1[[#This Row],[DUT Read]]+Table1[[#This Row],[DUT Ucty]])</f>
        <v>N/A</v>
      </c>
      <c r="Y583" s="1" t="str">
        <f>IF(Table1[[#This Row],[Std Read]]="","N/A",Table1[[#This Row],[Std Read]]+Table1[[#This Row],[Std Ucty]])</f>
        <v>N/A</v>
      </c>
      <c r="Z5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3" s="1" t="str">
        <f>IF(Table1[[#This Row],[Spec Type]]="","N/A",Table1[[#This Row],[Spec Type]])</f>
        <v>±</v>
      </c>
      <c r="AC583" s="1" t="str">
        <f>IF(Table1[[#This Row],[Spec Type2]]="N/A","N/A",IF(AND(Table1[[#This Row],[DUT Adj Read]]&gt;=Table1[[#This Row],[Low Tol]],Table1[[#This Row],[DUT Adj Read]]&lt;=Table1[[#This Row],[High Tol]]),"Pass","Fail"))</f>
        <v>Fail</v>
      </c>
      <c r="AD583" s="1" t="str">
        <f>IF(AND(Table1[[#This Row],[Spec Type2]]="N/A",Table1[[#This Row],[DUT Adj Read]]="N/A",Table1[[#This Row],[Std Adj Read]]="N/A"),"N/A",IF(Table1[[#This Row],[DUT Adj Read]]="N/A",IF(Table1[[#This Row],[Std Adj Read]]&gt;Table1[[#This Row],[Low Tol]],"Pass","Fail"),IF(Table1[[#This Row],[DUT Adj Read]]&gt;Table1[[#This Row],[Low Tol]],"Pass","Fail")))</f>
        <v>Pass</v>
      </c>
      <c r="AE583" s="1" t="str">
        <f>IF(AND(Table1[[#This Row],[Spec Type2]]="N/A",Table1[[#This Row],[DUT Adj Read]]="N/A",Table1[[#This Row],[Std Adj Read]]="N/A"),"N/A",IF(Table1[[#This Row],[DUT Adj Read]]="N/A",IF(Table1[[#This Row],[Std Adj Read]]&lt;Table1[[#This Row],[High Tol]],"Pass","Fail"),IF(Table1[[#This Row],[DUT Adj Read]]&lt;Table1[[#This Row],[High Tol]],"Pass","Fail")))</f>
        <v>Fail</v>
      </c>
      <c r="AF583" s="1" t="str">
        <f>IF(AND(Table1[[#This Row],[Spec Type2]]="N/A",Table1[[#This Row],[DUT Adj Read]]="N/A",Table1[[#This Row],[Std Adj Read]]="N/A"),"N/A",IF(Table1[[#This Row],[DUT Adj Read]]="N/A",IF(Table1[[#This Row],[Std Adj Read]]&gt;=Table1[[#This Row],[Low Tol]],"Pass","Fail"),IF(Table1[[#This Row],[DUT Adj Read]]&gt;=Table1[[#This Row],[Low Tol]],"Pass","Fail")))</f>
        <v>Pass</v>
      </c>
      <c r="AG583" s="1" t="str">
        <f>IF(AND(Table1[[#This Row],[Spec Type2]]="N/A",Table1[[#This Row],[DUT Adj Read]]="N/A",Table1[[#This Row],[Std Adj Read]]="N/A"),"N/A",IF(Table1[[#This Row],[DUT Adj Read]]="N/A",IF(Table1[[#This Row],[Std Adj Read]]&lt;=Table1[[#This Row],[High Tol]],"Pass","Fail"),IF(Table1[[#This Row],[DUT Adj Read]]&lt;=Table1[[#This Row],[High Tol]],"Pass","Fail")))</f>
        <v>Fail</v>
      </c>
      <c r="AH5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3" s="1" t="b">
        <v>0</v>
      </c>
      <c r="AN583" s="1" t="b">
        <v>0</v>
      </c>
      <c r="AO583" s="1" t="b">
        <v>0</v>
      </c>
    </row>
    <row r="584" spans="1:41" x14ac:dyDescent="0.25">
      <c r="A584" s="10"/>
      <c r="B584" s="10"/>
      <c r="C584" s="10"/>
      <c r="D584" s="10"/>
      <c r="E584" s="10"/>
      <c r="F584" s="10"/>
      <c r="G584" s="10"/>
      <c r="H584" s="10"/>
      <c r="I584" s="1" t="str">
        <f t="shared" si="24"/>
        <v/>
      </c>
      <c r="J584" s="1" t="s">
        <v>35</v>
      </c>
      <c r="K584" s="1" t="str">
        <f t="shared" si="25"/>
        <v/>
      </c>
      <c r="L584" s="1" t="str">
        <f t="shared" si="26"/>
        <v/>
      </c>
      <c r="M584" s="1">
        <f>IF(OR(Table1[[#This Row],[Std Nom]]="",Table1[[#This Row],[Std Read]]=""),0,Table1[[#This Row],[Std Nom]]-Table1[[#This Row],[Std Read]])</f>
        <v>0</v>
      </c>
      <c r="N584" s="1">
        <f>IF(Calculations!$F$5="ACCREDITED 17025 WITH UNCERTAINTIES",$N$10,0)</f>
        <v>0</v>
      </c>
      <c r="O584" s="1" t="str">
        <f>IFERROR(Table1[[#This Row],[Std Nom]]-(_xlfn.XLOOKUP(Table1[[#This Row],[Manufacturer]]&amp;" "&amp;Table1[[#This Row],[Model]],Table13[MFR &amp; MDL],Table13[Tolerance % CW ],"")/100*Table1[[#This Row],[Std Nom]]),"")</f>
        <v/>
      </c>
      <c r="P584" s="1" t="str">
        <f>IFERROR(Table1[[#This Row],[Std Nom]]+(_xlfn.XLOOKUP(Table1[[#This Row],[Manufacturer]]&amp;" "&amp;Table1[[#This Row],[Model]],Table13[MFR &amp; MDL],Table13[Tolerance % CW ],"")/100*Table1[[#This Row],[Std Nom]]),"")</f>
        <v/>
      </c>
      <c r="Q584" s="1" t="e">
        <f>Table1[[#This Row],[High Tol]]-Table1[[#This Row],[Low Tol]]</f>
        <v>#VALUE!</v>
      </c>
      <c r="R584" s="1">
        <f>2*Table1[[#This Row],[Std Error]]</f>
        <v>0</v>
      </c>
      <c r="S584" s="1" t="str">
        <f>IF(Table1[[#This Row],[High Tol]]="","N/A",IFERROR(ABS(Table1[[#This Row],[Tol Span]]/Table1[[#This Row],[Error Span]]),"N/A"))</f>
        <v>N/A</v>
      </c>
      <c r="T584" s="1" t="str">
        <f>IF(OR(Table1[[#This Row],[Low Tol]]="",Table1[[#This Row],[High Tol]]=""),"Needs Analysis",IF(Table1[[#This Row],[Ratio]]&gt;=4,"Not Significant",IF(Table1[[#This Row],[Ratio]]&gt;=2,"Semi-Significant","Significant")))</f>
        <v>Needs Analysis</v>
      </c>
      <c r="W584" s="1">
        <f>IF(Table1[[#This Row],[Cal Type]]&lt;&gt;"ACCREDITED 17025 WITH UNCERTAINTIES",0,"")</f>
        <v>0</v>
      </c>
      <c r="X584" s="1" t="str">
        <f>IF(Table1[[#This Row],[DUT Read]]="","N/A",Table1[[#This Row],[Std Error]]+Table1[[#This Row],[DUT Read]]+Table1[[#This Row],[DUT Ucty]])</f>
        <v>N/A</v>
      </c>
      <c r="Y584" s="1" t="str">
        <f>IF(Table1[[#This Row],[Std Read]]="","N/A",Table1[[#This Row],[Std Read]]+Table1[[#This Row],[Std Ucty]])</f>
        <v>N/A</v>
      </c>
      <c r="Z5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4" s="1" t="str">
        <f>IF(Table1[[#This Row],[Spec Type]]="","N/A",Table1[[#This Row],[Spec Type]])</f>
        <v>±</v>
      </c>
      <c r="AC584" s="1" t="str">
        <f>IF(Table1[[#This Row],[Spec Type2]]="N/A","N/A",IF(AND(Table1[[#This Row],[DUT Adj Read]]&gt;=Table1[[#This Row],[Low Tol]],Table1[[#This Row],[DUT Adj Read]]&lt;=Table1[[#This Row],[High Tol]]),"Pass","Fail"))</f>
        <v>Fail</v>
      </c>
      <c r="AD584" s="1" t="str">
        <f>IF(AND(Table1[[#This Row],[Spec Type2]]="N/A",Table1[[#This Row],[DUT Adj Read]]="N/A",Table1[[#This Row],[Std Adj Read]]="N/A"),"N/A",IF(Table1[[#This Row],[DUT Adj Read]]="N/A",IF(Table1[[#This Row],[Std Adj Read]]&gt;Table1[[#This Row],[Low Tol]],"Pass","Fail"),IF(Table1[[#This Row],[DUT Adj Read]]&gt;Table1[[#This Row],[Low Tol]],"Pass","Fail")))</f>
        <v>Pass</v>
      </c>
      <c r="AE584" s="1" t="str">
        <f>IF(AND(Table1[[#This Row],[Spec Type2]]="N/A",Table1[[#This Row],[DUT Adj Read]]="N/A",Table1[[#This Row],[Std Adj Read]]="N/A"),"N/A",IF(Table1[[#This Row],[DUT Adj Read]]="N/A",IF(Table1[[#This Row],[Std Adj Read]]&lt;Table1[[#This Row],[High Tol]],"Pass","Fail"),IF(Table1[[#This Row],[DUT Adj Read]]&lt;Table1[[#This Row],[High Tol]],"Pass","Fail")))</f>
        <v>Fail</v>
      </c>
      <c r="AF584" s="1" t="str">
        <f>IF(AND(Table1[[#This Row],[Spec Type2]]="N/A",Table1[[#This Row],[DUT Adj Read]]="N/A",Table1[[#This Row],[Std Adj Read]]="N/A"),"N/A",IF(Table1[[#This Row],[DUT Adj Read]]="N/A",IF(Table1[[#This Row],[Std Adj Read]]&gt;=Table1[[#This Row],[Low Tol]],"Pass","Fail"),IF(Table1[[#This Row],[DUT Adj Read]]&gt;=Table1[[#This Row],[Low Tol]],"Pass","Fail")))</f>
        <v>Pass</v>
      </c>
      <c r="AG584" s="1" t="str">
        <f>IF(AND(Table1[[#This Row],[Spec Type2]]="N/A",Table1[[#This Row],[DUT Adj Read]]="N/A",Table1[[#This Row],[Std Adj Read]]="N/A"),"N/A",IF(Table1[[#This Row],[DUT Adj Read]]="N/A",IF(Table1[[#This Row],[Std Adj Read]]&lt;=Table1[[#This Row],[High Tol]],"Pass","Fail"),IF(Table1[[#This Row],[DUT Adj Read]]&lt;=Table1[[#This Row],[High Tol]],"Pass","Fail")))</f>
        <v>Fail</v>
      </c>
      <c r="AH5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4" s="1" t="b">
        <v>0</v>
      </c>
      <c r="AN584" s="1" t="b">
        <v>0</v>
      </c>
      <c r="AO584" s="1" t="b">
        <v>0</v>
      </c>
    </row>
    <row r="585" spans="1:41" x14ac:dyDescent="0.25">
      <c r="A585" s="10"/>
      <c r="B585" s="10"/>
      <c r="C585" s="10"/>
      <c r="D585" s="10"/>
      <c r="E585" s="10"/>
      <c r="F585" s="10"/>
      <c r="G585" s="10"/>
      <c r="H585" s="10"/>
      <c r="I585" s="1" t="str">
        <f t="shared" si="24"/>
        <v/>
      </c>
      <c r="J585" s="1" t="s">
        <v>35</v>
      </c>
      <c r="K585" s="1" t="str">
        <f t="shared" si="25"/>
        <v/>
      </c>
      <c r="L585" s="1" t="str">
        <f t="shared" si="26"/>
        <v/>
      </c>
      <c r="M585" s="1">
        <f>IF(OR(Table1[[#This Row],[Std Nom]]="",Table1[[#This Row],[Std Read]]=""),0,Table1[[#This Row],[Std Nom]]-Table1[[#This Row],[Std Read]])</f>
        <v>0</v>
      </c>
      <c r="N585" s="1">
        <f>IF(Calculations!$F$5="ACCREDITED 17025 WITH UNCERTAINTIES",$N$10,0)</f>
        <v>0</v>
      </c>
      <c r="O585" s="1" t="str">
        <f>IFERROR(Table1[[#This Row],[Std Nom]]-(_xlfn.XLOOKUP(Table1[[#This Row],[Manufacturer]]&amp;" "&amp;Table1[[#This Row],[Model]],Table13[MFR &amp; MDL],Table13[Tolerance % CW ],"")/100*Table1[[#This Row],[Std Nom]]),"")</f>
        <v/>
      </c>
      <c r="P585" s="1" t="str">
        <f>IFERROR(Table1[[#This Row],[Std Nom]]+(_xlfn.XLOOKUP(Table1[[#This Row],[Manufacturer]]&amp;" "&amp;Table1[[#This Row],[Model]],Table13[MFR &amp; MDL],Table13[Tolerance % CW ],"")/100*Table1[[#This Row],[Std Nom]]),"")</f>
        <v/>
      </c>
      <c r="Q585" s="1" t="e">
        <f>Table1[[#This Row],[High Tol]]-Table1[[#This Row],[Low Tol]]</f>
        <v>#VALUE!</v>
      </c>
      <c r="R585" s="1">
        <f>2*Table1[[#This Row],[Std Error]]</f>
        <v>0</v>
      </c>
      <c r="S585" s="1" t="str">
        <f>IF(Table1[[#This Row],[High Tol]]="","N/A",IFERROR(ABS(Table1[[#This Row],[Tol Span]]/Table1[[#This Row],[Error Span]]),"N/A"))</f>
        <v>N/A</v>
      </c>
      <c r="T585" s="1" t="str">
        <f>IF(OR(Table1[[#This Row],[Low Tol]]="",Table1[[#This Row],[High Tol]]=""),"Needs Analysis",IF(Table1[[#This Row],[Ratio]]&gt;=4,"Not Significant",IF(Table1[[#This Row],[Ratio]]&gt;=2,"Semi-Significant","Significant")))</f>
        <v>Needs Analysis</v>
      </c>
      <c r="W585" s="1">
        <f>IF(Table1[[#This Row],[Cal Type]]&lt;&gt;"ACCREDITED 17025 WITH UNCERTAINTIES",0,"")</f>
        <v>0</v>
      </c>
      <c r="X585" s="1" t="str">
        <f>IF(Table1[[#This Row],[DUT Read]]="","N/A",Table1[[#This Row],[Std Error]]+Table1[[#This Row],[DUT Read]]+Table1[[#This Row],[DUT Ucty]])</f>
        <v>N/A</v>
      </c>
      <c r="Y585" s="1" t="str">
        <f>IF(Table1[[#This Row],[Std Read]]="","N/A",Table1[[#This Row],[Std Read]]+Table1[[#This Row],[Std Ucty]])</f>
        <v>N/A</v>
      </c>
      <c r="Z5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5" s="1" t="str">
        <f>IF(Table1[[#This Row],[Spec Type]]="","N/A",Table1[[#This Row],[Spec Type]])</f>
        <v>±</v>
      </c>
      <c r="AC585" s="1" t="str">
        <f>IF(Table1[[#This Row],[Spec Type2]]="N/A","N/A",IF(AND(Table1[[#This Row],[DUT Adj Read]]&gt;=Table1[[#This Row],[Low Tol]],Table1[[#This Row],[DUT Adj Read]]&lt;=Table1[[#This Row],[High Tol]]),"Pass","Fail"))</f>
        <v>Fail</v>
      </c>
      <c r="AD585" s="1" t="str">
        <f>IF(AND(Table1[[#This Row],[Spec Type2]]="N/A",Table1[[#This Row],[DUT Adj Read]]="N/A",Table1[[#This Row],[Std Adj Read]]="N/A"),"N/A",IF(Table1[[#This Row],[DUT Adj Read]]="N/A",IF(Table1[[#This Row],[Std Adj Read]]&gt;Table1[[#This Row],[Low Tol]],"Pass","Fail"),IF(Table1[[#This Row],[DUT Adj Read]]&gt;Table1[[#This Row],[Low Tol]],"Pass","Fail")))</f>
        <v>Pass</v>
      </c>
      <c r="AE585" s="1" t="str">
        <f>IF(AND(Table1[[#This Row],[Spec Type2]]="N/A",Table1[[#This Row],[DUT Adj Read]]="N/A",Table1[[#This Row],[Std Adj Read]]="N/A"),"N/A",IF(Table1[[#This Row],[DUT Adj Read]]="N/A",IF(Table1[[#This Row],[Std Adj Read]]&lt;Table1[[#This Row],[High Tol]],"Pass","Fail"),IF(Table1[[#This Row],[DUT Adj Read]]&lt;Table1[[#This Row],[High Tol]],"Pass","Fail")))</f>
        <v>Fail</v>
      </c>
      <c r="AF585" s="1" t="str">
        <f>IF(AND(Table1[[#This Row],[Spec Type2]]="N/A",Table1[[#This Row],[DUT Adj Read]]="N/A",Table1[[#This Row],[Std Adj Read]]="N/A"),"N/A",IF(Table1[[#This Row],[DUT Adj Read]]="N/A",IF(Table1[[#This Row],[Std Adj Read]]&gt;=Table1[[#This Row],[Low Tol]],"Pass","Fail"),IF(Table1[[#This Row],[DUT Adj Read]]&gt;=Table1[[#This Row],[Low Tol]],"Pass","Fail")))</f>
        <v>Pass</v>
      </c>
      <c r="AG585" s="1" t="str">
        <f>IF(AND(Table1[[#This Row],[Spec Type2]]="N/A",Table1[[#This Row],[DUT Adj Read]]="N/A",Table1[[#This Row],[Std Adj Read]]="N/A"),"N/A",IF(Table1[[#This Row],[DUT Adj Read]]="N/A",IF(Table1[[#This Row],[Std Adj Read]]&lt;=Table1[[#This Row],[High Tol]],"Pass","Fail"),IF(Table1[[#This Row],[DUT Adj Read]]&lt;=Table1[[#This Row],[High Tol]],"Pass","Fail")))</f>
        <v>Fail</v>
      </c>
      <c r="AH5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5" s="1" t="b">
        <v>0</v>
      </c>
      <c r="AN585" s="1" t="b">
        <v>0</v>
      </c>
      <c r="AO585" s="1" t="b">
        <v>0</v>
      </c>
    </row>
    <row r="586" spans="1:41" x14ac:dyDescent="0.25">
      <c r="A586" s="10"/>
      <c r="B586" s="10"/>
      <c r="C586" s="10"/>
      <c r="D586" s="10"/>
      <c r="E586" s="10"/>
      <c r="F586" s="10"/>
      <c r="G586" s="10"/>
      <c r="H586" s="10"/>
      <c r="I586" s="1" t="str">
        <f t="shared" si="24"/>
        <v/>
      </c>
      <c r="J586" s="1" t="s">
        <v>35</v>
      </c>
      <c r="K586" s="1" t="str">
        <f t="shared" si="25"/>
        <v/>
      </c>
      <c r="L586" s="1" t="str">
        <f t="shared" si="26"/>
        <v/>
      </c>
      <c r="M586" s="1">
        <f>IF(OR(Table1[[#This Row],[Std Nom]]="",Table1[[#This Row],[Std Read]]=""),0,Table1[[#This Row],[Std Nom]]-Table1[[#This Row],[Std Read]])</f>
        <v>0</v>
      </c>
      <c r="N586" s="1">
        <f>IF(Calculations!$F$5="ACCREDITED 17025 WITH UNCERTAINTIES",$N$10,0)</f>
        <v>0</v>
      </c>
      <c r="O586" s="1" t="str">
        <f>IFERROR(Table1[[#This Row],[Std Nom]]-(_xlfn.XLOOKUP(Table1[[#This Row],[Manufacturer]]&amp;" "&amp;Table1[[#This Row],[Model]],Table13[MFR &amp; MDL],Table13[Tolerance % CW ],"")/100*Table1[[#This Row],[Std Nom]]),"")</f>
        <v/>
      </c>
      <c r="P586" s="1" t="str">
        <f>IFERROR(Table1[[#This Row],[Std Nom]]+(_xlfn.XLOOKUP(Table1[[#This Row],[Manufacturer]]&amp;" "&amp;Table1[[#This Row],[Model]],Table13[MFR &amp; MDL],Table13[Tolerance % CW ],"")/100*Table1[[#This Row],[Std Nom]]),"")</f>
        <v/>
      </c>
      <c r="Q586" s="1" t="e">
        <f>Table1[[#This Row],[High Tol]]-Table1[[#This Row],[Low Tol]]</f>
        <v>#VALUE!</v>
      </c>
      <c r="R586" s="1">
        <f>2*Table1[[#This Row],[Std Error]]</f>
        <v>0</v>
      </c>
      <c r="S586" s="1" t="str">
        <f>IF(Table1[[#This Row],[High Tol]]="","N/A",IFERROR(ABS(Table1[[#This Row],[Tol Span]]/Table1[[#This Row],[Error Span]]),"N/A"))</f>
        <v>N/A</v>
      </c>
      <c r="T586" s="1" t="str">
        <f>IF(OR(Table1[[#This Row],[Low Tol]]="",Table1[[#This Row],[High Tol]]=""),"Needs Analysis",IF(Table1[[#This Row],[Ratio]]&gt;=4,"Not Significant",IF(Table1[[#This Row],[Ratio]]&gt;=2,"Semi-Significant","Significant")))</f>
        <v>Needs Analysis</v>
      </c>
      <c r="W586" s="1">
        <f>IF(Table1[[#This Row],[Cal Type]]&lt;&gt;"ACCREDITED 17025 WITH UNCERTAINTIES",0,"")</f>
        <v>0</v>
      </c>
      <c r="X586" s="1" t="str">
        <f>IF(Table1[[#This Row],[DUT Read]]="","N/A",Table1[[#This Row],[Std Error]]+Table1[[#This Row],[DUT Read]]+Table1[[#This Row],[DUT Ucty]])</f>
        <v>N/A</v>
      </c>
      <c r="Y586" s="1" t="str">
        <f>IF(Table1[[#This Row],[Std Read]]="","N/A",Table1[[#This Row],[Std Read]]+Table1[[#This Row],[Std Ucty]])</f>
        <v>N/A</v>
      </c>
      <c r="Z5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6" s="1" t="str">
        <f>IF(Table1[[#This Row],[Spec Type]]="","N/A",Table1[[#This Row],[Spec Type]])</f>
        <v>±</v>
      </c>
      <c r="AC586" s="1" t="str">
        <f>IF(Table1[[#This Row],[Spec Type2]]="N/A","N/A",IF(AND(Table1[[#This Row],[DUT Adj Read]]&gt;=Table1[[#This Row],[Low Tol]],Table1[[#This Row],[DUT Adj Read]]&lt;=Table1[[#This Row],[High Tol]]),"Pass","Fail"))</f>
        <v>Fail</v>
      </c>
      <c r="AD586" s="1" t="str">
        <f>IF(AND(Table1[[#This Row],[Spec Type2]]="N/A",Table1[[#This Row],[DUT Adj Read]]="N/A",Table1[[#This Row],[Std Adj Read]]="N/A"),"N/A",IF(Table1[[#This Row],[DUT Adj Read]]="N/A",IF(Table1[[#This Row],[Std Adj Read]]&gt;Table1[[#This Row],[Low Tol]],"Pass","Fail"),IF(Table1[[#This Row],[DUT Adj Read]]&gt;Table1[[#This Row],[Low Tol]],"Pass","Fail")))</f>
        <v>Pass</v>
      </c>
      <c r="AE586" s="1" t="str">
        <f>IF(AND(Table1[[#This Row],[Spec Type2]]="N/A",Table1[[#This Row],[DUT Adj Read]]="N/A",Table1[[#This Row],[Std Adj Read]]="N/A"),"N/A",IF(Table1[[#This Row],[DUT Adj Read]]="N/A",IF(Table1[[#This Row],[Std Adj Read]]&lt;Table1[[#This Row],[High Tol]],"Pass","Fail"),IF(Table1[[#This Row],[DUT Adj Read]]&lt;Table1[[#This Row],[High Tol]],"Pass","Fail")))</f>
        <v>Fail</v>
      </c>
      <c r="AF586" s="1" t="str">
        <f>IF(AND(Table1[[#This Row],[Spec Type2]]="N/A",Table1[[#This Row],[DUT Adj Read]]="N/A",Table1[[#This Row],[Std Adj Read]]="N/A"),"N/A",IF(Table1[[#This Row],[DUT Adj Read]]="N/A",IF(Table1[[#This Row],[Std Adj Read]]&gt;=Table1[[#This Row],[Low Tol]],"Pass","Fail"),IF(Table1[[#This Row],[DUT Adj Read]]&gt;=Table1[[#This Row],[Low Tol]],"Pass","Fail")))</f>
        <v>Pass</v>
      </c>
      <c r="AG586" s="1" t="str">
        <f>IF(AND(Table1[[#This Row],[Spec Type2]]="N/A",Table1[[#This Row],[DUT Adj Read]]="N/A",Table1[[#This Row],[Std Adj Read]]="N/A"),"N/A",IF(Table1[[#This Row],[DUT Adj Read]]="N/A",IF(Table1[[#This Row],[Std Adj Read]]&lt;=Table1[[#This Row],[High Tol]],"Pass","Fail"),IF(Table1[[#This Row],[DUT Adj Read]]&lt;=Table1[[#This Row],[High Tol]],"Pass","Fail")))</f>
        <v>Fail</v>
      </c>
      <c r="AH5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6" s="1" t="b">
        <v>0</v>
      </c>
      <c r="AN586" s="1" t="b">
        <v>0</v>
      </c>
      <c r="AO586" s="1" t="b">
        <v>0</v>
      </c>
    </row>
    <row r="587" spans="1:41" x14ac:dyDescent="0.25">
      <c r="A587" s="10"/>
      <c r="B587" s="10"/>
      <c r="C587" s="10"/>
      <c r="D587" s="10"/>
      <c r="E587" s="10"/>
      <c r="F587" s="10"/>
      <c r="G587" s="10"/>
      <c r="H587" s="10"/>
      <c r="I587" s="1" t="str">
        <f t="shared" ref="I587:I650" si="27">IF($I$10="","",$I$10)</f>
        <v/>
      </c>
      <c r="J587" s="1" t="s">
        <v>35</v>
      </c>
      <c r="K587" s="1" t="str">
        <f t="shared" ref="K587:K650" si="28">IF($K$10="","",$K$10)</f>
        <v/>
      </c>
      <c r="L587" s="1" t="str">
        <f t="shared" ref="L587:L650" si="29">IF($L$10="","",$L$10)</f>
        <v/>
      </c>
      <c r="M587" s="1">
        <f>IF(OR(Table1[[#This Row],[Std Nom]]="",Table1[[#This Row],[Std Read]]=""),0,Table1[[#This Row],[Std Nom]]-Table1[[#This Row],[Std Read]])</f>
        <v>0</v>
      </c>
      <c r="N587" s="1">
        <f>IF(Calculations!$F$5="ACCREDITED 17025 WITH UNCERTAINTIES",$N$10,0)</f>
        <v>0</v>
      </c>
      <c r="O587" s="1" t="str">
        <f>IFERROR(Table1[[#This Row],[Std Nom]]-(_xlfn.XLOOKUP(Table1[[#This Row],[Manufacturer]]&amp;" "&amp;Table1[[#This Row],[Model]],Table13[MFR &amp; MDL],Table13[Tolerance % CW ],"")/100*Table1[[#This Row],[Std Nom]]),"")</f>
        <v/>
      </c>
      <c r="P587" s="1" t="str">
        <f>IFERROR(Table1[[#This Row],[Std Nom]]+(_xlfn.XLOOKUP(Table1[[#This Row],[Manufacturer]]&amp;" "&amp;Table1[[#This Row],[Model]],Table13[MFR &amp; MDL],Table13[Tolerance % CW ],"")/100*Table1[[#This Row],[Std Nom]]),"")</f>
        <v/>
      </c>
      <c r="Q587" s="1" t="e">
        <f>Table1[[#This Row],[High Tol]]-Table1[[#This Row],[Low Tol]]</f>
        <v>#VALUE!</v>
      </c>
      <c r="R587" s="1">
        <f>2*Table1[[#This Row],[Std Error]]</f>
        <v>0</v>
      </c>
      <c r="S587" s="1" t="str">
        <f>IF(Table1[[#This Row],[High Tol]]="","N/A",IFERROR(ABS(Table1[[#This Row],[Tol Span]]/Table1[[#This Row],[Error Span]]),"N/A"))</f>
        <v>N/A</v>
      </c>
      <c r="T587" s="1" t="str">
        <f>IF(OR(Table1[[#This Row],[Low Tol]]="",Table1[[#This Row],[High Tol]]=""),"Needs Analysis",IF(Table1[[#This Row],[Ratio]]&gt;=4,"Not Significant",IF(Table1[[#This Row],[Ratio]]&gt;=2,"Semi-Significant","Significant")))</f>
        <v>Needs Analysis</v>
      </c>
      <c r="W587" s="1">
        <f>IF(Table1[[#This Row],[Cal Type]]&lt;&gt;"ACCREDITED 17025 WITH UNCERTAINTIES",0,"")</f>
        <v>0</v>
      </c>
      <c r="X587" s="1" t="str">
        <f>IF(Table1[[#This Row],[DUT Read]]="","N/A",Table1[[#This Row],[Std Error]]+Table1[[#This Row],[DUT Read]]+Table1[[#This Row],[DUT Ucty]])</f>
        <v>N/A</v>
      </c>
      <c r="Y587" s="1" t="str">
        <f>IF(Table1[[#This Row],[Std Read]]="","N/A",Table1[[#This Row],[Std Read]]+Table1[[#This Row],[Std Ucty]])</f>
        <v>N/A</v>
      </c>
      <c r="Z5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7" s="1" t="str">
        <f>IF(Table1[[#This Row],[Spec Type]]="","N/A",Table1[[#This Row],[Spec Type]])</f>
        <v>±</v>
      </c>
      <c r="AC587" s="1" t="str">
        <f>IF(Table1[[#This Row],[Spec Type2]]="N/A","N/A",IF(AND(Table1[[#This Row],[DUT Adj Read]]&gt;=Table1[[#This Row],[Low Tol]],Table1[[#This Row],[DUT Adj Read]]&lt;=Table1[[#This Row],[High Tol]]),"Pass","Fail"))</f>
        <v>Fail</v>
      </c>
      <c r="AD587" s="1" t="str">
        <f>IF(AND(Table1[[#This Row],[Spec Type2]]="N/A",Table1[[#This Row],[DUT Adj Read]]="N/A",Table1[[#This Row],[Std Adj Read]]="N/A"),"N/A",IF(Table1[[#This Row],[DUT Adj Read]]="N/A",IF(Table1[[#This Row],[Std Adj Read]]&gt;Table1[[#This Row],[Low Tol]],"Pass","Fail"),IF(Table1[[#This Row],[DUT Adj Read]]&gt;Table1[[#This Row],[Low Tol]],"Pass","Fail")))</f>
        <v>Pass</v>
      </c>
      <c r="AE587" s="1" t="str">
        <f>IF(AND(Table1[[#This Row],[Spec Type2]]="N/A",Table1[[#This Row],[DUT Adj Read]]="N/A",Table1[[#This Row],[Std Adj Read]]="N/A"),"N/A",IF(Table1[[#This Row],[DUT Adj Read]]="N/A",IF(Table1[[#This Row],[Std Adj Read]]&lt;Table1[[#This Row],[High Tol]],"Pass","Fail"),IF(Table1[[#This Row],[DUT Adj Read]]&lt;Table1[[#This Row],[High Tol]],"Pass","Fail")))</f>
        <v>Fail</v>
      </c>
      <c r="AF587" s="1" t="str">
        <f>IF(AND(Table1[[#This Row],[Spec Type2]]="N/A",Table1[[#This Row],[DUT Adj Read]]="N/A",Table1[[#This Row],[Std Adj Read]]="N/A"),"N/A",IF(Table1[[#This Row],[DUT Adj Read]]="N/A",IF(Table1[[#This Row],[Std Adj Read]]&gt;=Table1[[#This Row],[Low Tol]],"Pass","Fail"),IF(Table1[[#This Row],[DUT Adj Read]]&gt;=Table1[[#This Row],[Low Tol]],"Pass","Fail")))</f>
        <v>Pass</v>
      </c>
      <c r="AG587" s="1" t="str">
        <f>IF(AND(Table1[[#This Row],[Spec Type2]]="N/A",Table1[[#This Row],[DUT Adj Read]]="N/A",Table1[[#This Row],[Std Adj Read]]="N/A"),"N/A",IF(Table1[[#This Row],[DUT Adj Read]]="N/A",IF(Table1[[#This Row],[Std Adj Read]]&lt;=Table1[[#This Row],[High Tol]],"Pass","Fail"),IF(Table1[[#This Row],[DUT Adj Read]]&lt;=Table1[[#This Row],[High Tol]],"Pass","Fail")))</f>
        <v>Fail</v>
      </c>
      <c r="AH5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7" s="1" t="b">
        <v>0</v>
      </c>
      <c r="AN587" s="1" t="b">
        <v>0</v>
      </c>
      <c r="AO587" s="1" t="b">
        <v>0</v>
      </c>
    </row>
    <row r="588" spans="1:41" x14ac:dyDescent="0.25">
      <c r="A588" s="10"/>
      <c r="B588" s="10"/>
      <c r="C588" s="10"/>
      <c r="D588" s="10"/>
      <c r="E588" s="10"/>
      <c r="F588" s="10"/>
      <c r="G588" s="10"/>
      <c r="H588" s="10"/>
      <c r="I588" s="1" t="str">
        <f t="shared" si="27"/>
        <v/>
      </c>
      <c r="J588" s="1" t="s">
        <v>35</v>
      </c>
      <c r="K588" s="1" t="str">
        <f t="shared" si="28"/>
        <v/>
      </c>
      <c r="L588" s="1" t="str">
        <f t="shared" si="29"/>
        <v/>
      </c>
      <c r="M588" s="1">
        <f>IF(OR(Table1[[#This Row],[Std Nom]]="",Table1[[#This Row],[Std Read]]=""),0,Table1[[#This Row],[Std Nom]]-Table1[[#This Row],[Std Read]])</f>
        <v>0</v>
      </c>
      <c r="N588" s="1">
        <f>IF(Calculations!$F$5="ACCREDITED 17025 WITH UNCERTAINTIES",$N$10,0)</f>
        <v>0</v>
      </c>
      <c r="O588" s="1" t="str">
        <f>IFERROR(Table1[[#This Row],[Std Nom]]-(_xlfn.XLOOKUP(Table1[[#This Row],[Manufacturer]]&amp;" "&amp;Table1[[#This Row],[Model]],Table13[MFR &amp; MDL],Table13[Tolerance % CW ],"")/100*Table1[[#This Row],[Std Nom]]),"")</f>
        <v/>
      </c>
      <c r="P588" s="1" t="str">
        <f>IFERROR(Table1[[#This Row],[Std Nom]]+(_xlfn.XLOOKUP(Table1[[#This Row],[Manufacturer]]&amp;" "&amp;Table1[[#This Row],[Model]],Table13[MFR &amp; MDL],Table13[Tolerance % CW ],"")/100*Table1[[#This Row],[Std Nom]]),"")</f>
        <v/>
      </c>
      <c r="Q588" s="1" t="e">
        <f>Table1[[#This Row],[High Tol]]-Table1[[#This Row],[Low Tol]]</f>
        <v>#VALUE!</v>
      </c>
      <c r="R588" s="1">
        <f>2*Table1[[#This Row],[Std Error]]</f>
        <v>0</v>
      </c>
      <c r="S588" s="1" t="str">
        <f>IF(Table1[[#This Row],[High Tol]]="","N/A",IFERROR(ABS(Table1[[#This Row],[Tol Span]]/Table1[[#This Row],[Error Span]]),"N/A"))</f>
        <v>N/A</v>
      </c>
      <c r="T588" s="1" t="str">
        <f>IF(OR(Table1[[#This Row],[Low Tol]]="",Table1[[#This Row],[High Tol]]=""),"Needs Analysis",IF(Table1[[#This Row],[Ratio]]&gt;=4,"Not Significant",IF(Table1[[#This Row],[Ratio]]&gt;=2,"Semi-Significant","Significant")))</f>
        <v>Needs Analysis</v>
      </c>
      <c r="W588" s="1">
        <f>IF(Table1[[#This Row],[Cal Type]]&lt;&gt;"ACCREDITED 17025 WITH UNCERTAINTIES",0,"")</f>
        <v>0</v>
      </c>
      <c r="X588" s="1" t="str">
        <f>IF(Table1[[#This Row],[DUT Read]]="","N/A",Table1[[#This Row],[Std Error]]+Table1[[#This Row],[DUT Read]]+Table1[[#This Row],[DUT Ucty]])</f>
        <v>N/A</v>
      </c>
      <c r="Y588" s="1" t="str">
        <f>IF(Table1[[#This Row],[Std Read]]="","N/A",Table1[[#This Row],[Std Read]]+Table1[[#This Row],[Std Ucty]])</f>
        <v>N/A</v>
      </c>
      <c r="Z5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8" s="1" t="str">
        <f>IF(Table1[[#This Row],[Spec Type]]="","N/A",Table1[[#This Row],[Spec Type]])</f>
        <v>±</v>
      </c>
      <c r="AC588" s="1" t="str">
        <f>IF(Table1[[#This Row],[Spec Type2]]="N/A","N/A",IF(AND(Table1[[#This Row],[DUT Adj Read]]&gt;=Table1[[#This Row],[Low Tol]],Table1[[#This Row],[DUT Adj Read]]&lt;=Table1[[#This Row],[High Tol]]),"Pass","Fail"))</f>
        <v>Fail</v>
      </c>
      <c r="AD588" s="1" t="str">
        <f>IF(AND(Table1[[#This Row],[Spec Type2]]="N/A",Table1[[#This Row],[DUT Adj Read]]="N/A",Table1[[#This Row],[Std Adj Read]]="N/A"),"N/A",IF(Table1[[#This Row],[DUT Adj Read]]="N/A",IF(Table1[[#This Row],[Std Adj Read]]&gt;Table1[[#This Row],[Low Tol]],"Pass","Fail"),IF(Table1[[#This Row],[DUT Adj Read]]&gt;Table1[[#This Row],[Low Tol]],"Pass","Fail")))</f>
        <v>Pass</v>
      </c>
      <c r="AE588" s="1" t="str">
        <f>IF(AND(Table1[[#This Row],[Spec Type2]]="N/A",Table1[[#This Row],[DUT Adj Read]]="N/A",Table1[[#This Row],[Std Adj Read]]="N/A"),"N/A",IF(Table1[[#This Row],[DUT Adj Read]]="N/A",IF(Table1[[#This Row],[Std Adj Read]]&lt;Table1[[#This Row],[High Tol]],"Pass","Fail"),IF(Table1[[#This Row],[DUT Adj Read]]&lt;Table1[[#This Row],[High Tol]],"Pass","Fail")))</f>
        <v>Fail</v>
      </c>
      <c r="AF588" s="1" t="str">
        <f>IF(AND(Table1[[#This Row],[Spec Type2]]="N/A",Table1[[#This Row],[DUT Adj Read]]="N/A",Table1[[#This Row],[Std Adj Read]]="N/A"),"N/A",IF(Table1[[#This Row],[DUT Adj Read]]="N/A",IF(Table1[[#This Row],[Std Adj Read]]&gt;=Table1[[#This Row],[Low Tol]],"Pass","Fail"),IF(Table1[[#This Row],[DUT Adj Read]]&gt;=Table1[[#This Row],[Low Tol]],"Pass","Fail")))</f>
        <v>Pass</v>
      </c>
      <c r="AG588" s="1" t="str">
        <f>IF(AND(Table1[[#This Row],[Spec Type2]]="N/A",Table1[[#This Row],[DUT Adj Read]]="N/A",Table1[[#This Row],[Std Adj Read]]="N/A"),"N/A",IF(Table1[[#This Row],[DUT Adj Read]]="N/A",IF(Table1[[#This Row],[Std Adj Read]]&lt;=Table1[[#This Row],[High Tol]],"Pass","Fail"),IF(Table1[[#This Row],[DUT Adj Read]]&lt;=Table1[[#This Row],[High Tol]],"Pass","Fail")))</f>
        <v>Fail</v>
      </c>
      <c r="AH5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8" s="1" t="b">
        <v>0</v>
      </c>
      <c r="AN588" s="1" t="b">
        <v>0</v>
      </c>
      <c r="AO588" s="1" t="b">
        <v>0</v>
      </c>
    </row>
    <row r="589" spans="1:41" x14ac:dyDescent="0.25">
      <c r="A589" s="10"/>
      <c r="B589" s="10"/>
      <c r="C589" s="10"/>
      <c r="D589" s="10"/>
      <c r="E589" s="10"/>
      <c r="F589" s="10"/>
      <c r="G589" s="10"/>
      <c r="H589" s="10"/>
      <c r="I589" s="1" t="str">
        <f t="shared" si="27"/>
        <v/>
      </c>
      <c r="J589" s="1" t="s">
        <v>35</v>
      </c>
      <c r="K589" s="1" t="str">
        <f t="shared" si="28"/>
        <v/>
      </c>
      <c r="L589" s="1" t="str">
        <f t="shared" si="29"/>
        <v/>
      </c>
      <c r="M589" s="1">
        <f>IF(OR(Table1[[#This Row],[Std Nom]]="",Table1[[#This Row],[Std Read]]=""),0,Table1[[#This Row],[Std Nom]]-Table1[[#This Row],[Std Read]])</f>
        <v>0</v>
      </c>
      <c r="N589" s="1">
        <f>IF(Calculations!$F$5="ACCREDITED 17025 WITH UNCERTAINTIES",$N$10,0)</f>
        <v>0</v>
      </c>
      <c r="O589" s="1" t="str">
        <f>IFERROR(Table1[[#This Row],[Std Nom]]-(_xlfn.XLOOKUP(Table1[[#This Row],[Manufacturer]]&amp;" "&amp;Table1[[#This Row],[Model]],Table13[MFR &amp; MDL],Table13[Tolerance % CW ],"")/100*Table1[[#This Row],[Std Nom]]),"")</f>
        <v/>
      </c>
      <c r="P589" s="1" t="str">
        <f>IFERROR(Table1[[#This Row],[Std Nom]]+(_xlfn.XLOOKUP(Table1[[#This Row],[Manufacturer]]&amp;" "&amp;Table1[[#This Row],[Model]],Table13[MFR &amp; MDL],Table13[Tolerance % CW ],"")/100*Table1[[#This Row],[Std Nom]]),"")</f>
        <v/>
      </c>
      <c r="Q589" s="1" t="e">
        <f>Table1[[#This Row],[High Tol]]-Table1[[#This Row],[Low Tol]]</f>
        <v>#VALUE!</v>
      </c>
      <c r="R589" s="1">
        <f>2*Table1[[#This Row],[Std Error]]</f>
        <v>0</v>
      </c>
      <c r="S589" s="1" t="str">
        <f>IF(Table1[[#This Row],[High Tol]]="","N/A",IFERROR(ABS(Table1[[#This Row],[Tol Span]]/Table1[[#This Row],[Error Span]]),"N/A"))</f>
        <v>N/A</v>
      </c>
      <c r="T589" s="1" t="str">
        <f>IF(OR(Table1[[#This Row],[Low Tol]]="",Table1[[#This Row],[High Tol]]=""),"Needs Analysis",IF(Table1[[#This Row],[Ratio]]&gt;=4,"Not Significant",IF(Table1[[#This Row],[Ratio]]&gt;=2,"Semi-Significant","Significant")))</f>
        <v>Needs Analysis</v>
      </c>
      <c r="W589" s="1">
        <f>IF(Table1[[#This Row],[Cal Type]]&lt;&gt;"ACCREDITED 17025 WITH UNCERTAINTIES",0,"")</f>
        <v>0</v>
      </c>
      <c r="X589" s="1" t="str">
        <f>IF(Table1[[#This Row],[DUT Read]]="","N/A",Table1[[#This Row],[Std Error]]+Table1[[#This Row],[DUT Read]]+Table1[[#This Row],[DUT Ucty]])</f>
        <v>N/A</v>
      </c>
      <c r="Y589" s="1" t="str">
        <f>IF(Table1[[#This Row],[Std Read]]="","N/A",Table1[[#This Row],[Std Read]]+Table1[[#This Row],[Std Ucty]])</f>
        <v>N/A</v>
      </c>
      <c r="Z5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9" s="1" t="str">
        <f>IF(Table1[[#This Row],[Spec Type]]="","N/A",Table1[[#This Row],[Spec Type]])</f>
        <v>±</v>
      </c>
      <c r="AC589" s="1" t="str">
        <f>IF(Table1[[#This Row],[Spec Type2]]="N/A","N/A",IF(AND(Table1[[#This Row],[DUT Adj Read]]&gt;=Table1[[#This Row],[Low Tol]],Table1[[#This Row],[DUT Adj Read]]&lt;=Table1[[#This Row],[High Tol]]),"Pass","Fail"))</f>
        <v>Fail</v>
      </c>
      <c r="AD589" s="1" t="str">
        <f>IF(AND(Table1[[#This Row],[Spec Type2]]="N/A",Table1[[#This Row],[DUT Adj Read]]="N/A",Table1[[#This Row],[Std Adj Read]]="N/A"),"N/A",IF(Table1[[#This Row],[DUT Adj Read]]="N/A",IF(Table1[[#This Row],[Std Adj Read]]&gt;Table1[[#This Row],[Low Tol]],"Pass","Fail"),IF(Table1[[#This Row],[DUT Adj Read]]&gt;Table1[[#This Row],[Low Tol]],"Pass","Fail")))</f>
        <v>Pass</v>
      </c>
      <c r="AE589" s="1" t="str">
        <f>IF(AND(Table1[[#This Row],[Spec Type2]]="N/A",Table1[[#This Row],[DUT Adj Read]]="N/A",Table1[[#This Row],[Std Adj Read]]="N/A"),"N/A",IF(Table1[[#This Row],[DUT Adj Read]]="N/A",IF(Table1[[#This Row],[Std Adj Read]]&lt;Table1[[#This Row],[High Tol]],"Pass","Fail"),IF(Table1[[#This Row],[DUT Adj Read]]&lt;Table1[[#This Row],[High Tol]],"Pass","Fail")))</f>
        <v>Fail</v>
      </c>
      <c r="AF589" s="1" t="str">
        <f>IF(AND(Table1[[#This Row],[Spec Type2]]="N/A",Table1[[#This Row],[DUT Adj Read]]="N/A",Table1[[#This Row],[Std Adj Read]]="N/A"),"N/A",IF(Table1[[#This Row],[DUT Adj Read]]="N/A",IF(Table1[[#This Row],[Std Adj Read]]&gt;=Table1[[#This Row],[Low Tol]],"Pass","Fail"),IF(Table1[[#This Row],[DUT Adj Read]]&gt;=Table1[[#This Row],[Low Tol]],"Pass","Fail")))</f>
        <v>Pass</v>
      </c>
      <c r="AG589" s="1" t="str">
        <f>IF(AND(Table1[[#This Row],[Spec Type2]]="N/A",Table1[[#This Row],[DUT Adj Read]]="N/A",Table1[[#This Row],[Std Adj Read]]="N/A"),"N/A",IF(Table1[[#This Row],[DUT Adj Read]]="N/A",IF(Table1[[#This Row],[Std Adj Read]]&lt;=Table1[[#This Row],[High Tol]],"Pass","Fail"),IF(Table1[[#This Row],[DUT Adj Read]]&lt;=Table1[[#This Row],[High Tol]],"Pass","Fail")))</f>
        <v>Fail</v>
      </c>
      <c r="AH5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9" s="1" t="b">
        <v>0</v>
      </c>
      <c r="AN589" s="1" t="b">
        <v>0</v>
      </c>
      <c r="AO589" s="1" t="b">
        <v>0</v>
      </c>
    </row>
    <row r="590" spans="1:41" x14ac:dyDescent="0.25">
      <c r="A590" s="10"/>
      <c r="B590" s="10"/>
      <c r="C590" s="10"/>
      <c r="D590" s="10"/>
      <c r="E590" s="10"/>
      <c r="F590" s="10"/>
      <c r="G590" s="10"/>
      <c r="H590" s="10"/>
      <c r="I590" s="1" t="str">
        <f t="shared" si="27"/>
        <v/>
      </c>
      <c r="J590" s="1" t="s">
        <v>35</v>
      </c>
      <c r="K590" s="1" t="str">
        <f t="shared" si="28"/>
        <v/>
      </c>
      <c r="L590" s="1" t="str">
        <f t="shared" si="29"/>
        <v/>
      </c>
      <c r="M590" s="1">
        <f>IF(OR(Table1[[#This Row],[Std Nom]]="",Table1[[#This Row],[Std Read]]=""),0,Table1[[#This Row],[Std Nom]]-Table1[[#This Row],[Std Read]])</f>
        <v>0</v>
      </c>
      <c r="N590" s="1">
        <f>IF(Calculations!$F$5="ACCREDITED 17025 WITH UNCERTAINTIES",$N$10,0)</f>
        <v>0</v>
      </c>
      <c r="O590" s="1" t="str">
        <f>IFERROR(Table1[[#This Row],[Std Nom]]-(_xlfn.XLOOKUP(Table1[[#This Row],[Manufacturer]]&amp;" "&amp;Table1[[#This Row],[Model]],Table13[MFR &amp; MDL],Table13[Tolerance % CW ],"")/100*Table1[[#This Row],[Std Nom]]),"")</f>
        <v/>
      </c>
      <c r="P590" s="1" t="str">
        <f>IFERROR(Table1[[#This Row],[Std Nom]]+(_xlfn.XLOOKUP(Table1[[#This Row],[Manufacturer]]&amp;" "&amp;Table1[[#This Row],[Model]],Table13[MFR &amp; MDL],Table13[Tolerance % CW ],"")/100*Table1[[#This Row],[Std Nom]]),"")</f>
        <v/>
      </c>
      <c r="Q590" s="1" t="e">
        <f>Table1[[#This Row],[High Tol]]-Table1[[#This Row],[Low Tol]]</f>
        <v>#VALUE!</v>
      </c>
      <c r="R590" s="1">
        <f>2*Table1[[#This Row],[Std Error]]</f>
        <v>0</v>
      </c>
      <c r="S590" s="1" t="str">
        <f>IF(Table1[[#This Row],[High Tol]]="","N/A",IFERROR(ABS(Table1[[#This Row],[Tol Span]]/Table1[[#This Row],[Error Span]]),"N/A"))</f>
        <v>N/A</v>
      </c>
      <c r="T590" s="1" t="str">
        <f>IF(OR(Table1[[#This Row],[Low Tol]]="",Table1[[#This Row],[High Tol]]=""),"Needs Analysis",IF(Table1[[#This Row],[Ratio]]&gt;=4,"Not Significant",IF(Table1[[#This Row],[Ratio]]&gt;=2,"Semi-Significant","Significant")))</f>
        <v>Needs Analysis</v>
      </c>
      <c r="W590" s="1">
        <f>IF(Table1[[#This Row],[Cal Type]]&lt;&gt;"ACCREDITED 17025 WITH UNCERTAINTIES",0,"")</f>
        <v>0</v>
      </c>
      <c r="X590" s="1" t="str">
        <f>IF(Table1[[#This Row],[DUT Read]]="","N/A",Table1[[#This Row],[Std Error]]+Table1[[#This Row],[DUT Read]]+Table1[[#This Row],[DUT Ucty]])</f>
        <v>N/A</v>
      </c>
      <c r="Y590" s="1" t="str">
        <f>IF(Table1[[#This Row],[Std Read]]="","N/A",Table1[[#This Row],[Std Read]]+Table1[[#This Row],[Std Ucty]])</f>
        <v>N/A</v>
      </c>
      <c r="Z5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0" s="1" t="str">
        <f>IF(Table1[[#This Row],[Spec Type]]="","N/A",Table1[[#This Row],[Spec Type]])</f>
        <v>±</v>
      </c>
      <c r="AC590" s="1" t="str">
        <f>IF(Table1[[#This Row],[Spec Type2]]="N/A","N/A",IF(AND(Table1[[#This Row],[DUT Adj Read]]&gt;=Table1[[#This Row],[Low Tol]],Table1[[#This Row],[DUT Adj Read]]&lt;=Table1[[#This Row],[High Tol]]),"Pass","Fail"))</f>
        <v>Fail</v>
      </c>
      <c r="AD590" s="1" t="str">
        <f>IF(AND(Table1[[#This Row],[Spec Type2]]="N/A",Table1[[#This Row],[DUT Adj Read]]="N/A",Table1[[#This Row],[Std Adj Read]]="N/A"),"N/A",IF(Table1[[#This Row],[DUT Adj Read]]="N/A",IF(Table1[[#This Row],[Std Adj Read]]&gt;Table1[[#This Row],[Low Tol]],"Pass","Fail"),IF(Table1[[#This Row],[DUT Adj Read]]&gt;Table1[[#This Row],[Low Tol]],"Pass","Fail")))</f>
        <v>Pass</v>
      </c>
      <c r="AE590" s="1" t="str">
        <f>IF(AND(Table1[[#This Row],[Spec Type2]]="N/A",Table1[[#This Row],[DUT Adj Read]]="N/A",Table1[[#This Row],[Std Adj Read]]="N/A"),"N/A",IF(Table1[[#This Row],[DUT Adj Read]]="N/A",IF(Table1[[#This Row],[Std Adj Read]]&lt;Table1[[#This Row],[High Tol]],"Pass","Fail"),IF(Table1[[#This Row],[DUT Adj Read]]&lt;Table1[[#This Row],[High Tol]],"Pass","Fail")))</f>
        <v>Fail</v>
      </c>
      <c r="AF590" s="1" t="str">
        <f>IF(AND(Table1[[#This Row],[Spec Type2]]="N/A",Table1[[#This Row],[DUT Adj Read]]="N/A",Table1[[#This Row],[Std Adj Read]]="N/A"),"N/A",IF(Table1[[#This Row],[DUT Adj Read]]="N/A",IF(Table1[[#This Row],[Std Adj Read]]&gt;=Table1[[#This Row],[Low Tol]],"Pass","Fail"),IF(Table1[[#This Row],[DUT Adj Read]]&gt;=Table1[[#This Row],[Low Tol]],"Pass","Fail")))</f>
        <v>Pass</v>
      </c>
      <c r="AG590" s="1" t="str">
        <f>IF(AND(Table1[[#This Row],[Spec Type2]]="N/A",Table1[[#This Row],[DUT Adj Read]]="N/A",Table1[[#This Row],[Std Adj Read]]="N/A"),"N/A",IF(Table1[[#This Row],[DUT Adj Read]]="N/A",IF(Table1[[#This Row],[Std Adj Read]]&lt;=Table1[[#This Row],[High Tol]],"Pass","Fail"),IF(Table1[[#This Row],[DUT Adj Read]]&lt;=Table1[[#This Row],[High Tol]],"Pass","Fail")))</f>
        <v>Fail</v>
      </c>
      <c r="AH5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0" s="1" t="b">
        <v>0</v>
      </c>
      <c r="AN590" s="1" t="b">
        <v>0</v>
      </c>
      <c r="AO590" s="1" t="b">
        <v>0</v>
      </c>
    </row>
    <row r="591" spans="1:41" x14ac:dyDescent="0.25">
      <c r="A591" s="10"/>
      <c r="B591" s="10"/>
      <c r="C591" s="10"/>
      <c r="D591" s="10"/>
      <c r="E591" s="10"/>
      <c r="F591" s="10"/>
      <c r="G591" s="10"/>
      <c r="H591" s="10"/>
      <c r="I591" s="1" t="str">
        <f t="shared" si="27"/>
        <v/>
      </c>
      <c r="J591" s="1" t="s">
        <v>35</v>
      </c>
      <c r="K591" s="1" t="str">
        <f t="shared" si="28"/>
        <v/>
      </c>
      <c r="L591" s="1" t="str">
        <f t="shared" si="29"/>
        <v/>
      </c>
      <c r="M591" s="1">
        <f>IF(OR(Table1[[#This Row],[Std Nom]]="",Table1[[#This Row],[Std Read]]=""),0,Table1[[#This Row],[Std Nom]]-Table1[[#This Row],[Std Read]])</f>
        <v>0</v>
      </c>
      <c r="N591" s="1">
        <f>IF(Calculations!$F$5="ACCREDITED 17025 WITH UNCERTAINTIES",$N$10,0)</f>
        <v>0</v>
      </c>
      <c r="O591" s="1" t="str">
        <f>IFERROR(Table1[[#This Row],[Std Nom]]-(_xlfn.XLOOKUP(Table1[[#This Row],[Manufacturer]]&amp;" "&amp;Table1[[#This Row],[Model]],Table13[MFR &amp; MDL],Table13[Tolerance % CW ],"")/100*Table1[[#This Row],[Std Nom]]),"")</f>
        <v/>
      </c>
      <c r="P591" s="1" t="str">
        <f>IFERROR(Table1[[#This Row],[Std Nom]]+(_xlfn.XLOOKUP(Table1[[#This Row],[Manufacturer]]&amp;" "&amp;Table1[[#This Row],[Model]],Table13[MFR &amp; MDL],Table13[Tolerance % CW ],"")/100*Table1[[#This Row],[Std Nom]]),"")</f>
        <v/>
      </c>
      <c r="Q591" s="1" t="e">
        <f>Table1[[#This Row],[High Tol]]-Table1[[#This Row],[Low Tol]]</f>
        <v>#VALUE!</v>
      </c>
      <c r="R591" s="1">
        <f>2*Table1[[#This Row],[Std Error]]</f>
        <v>0</v>
      </c>
      <c r="S591" s="1" t="str">
        <f>IF(Table1[[#This Row],[High Tol]]="","N/A",IFERROR(ABS(Table1[[#This Row],[Tol Span]]/Table1[[#This Row],[Error Span]]),"N/A"))</f>
        <v>N/A</v>
      </c>
      <c r="T591" s="1" t="str">
        <f>IF(OR(Table1[[#This Row],[Low Tol]]="",Table1[[#This Row],[High Tol]]=""),"Needs Analysis",IF(Table1[[#This Row],[Ratio]]&gt;=4,"Not Significant",IF(Table1[[#This Row],[Ratio]]&gt;=2,"Semi-Significant","Significant")))</f>
        <v>Needs Analysis</v>
      </c>
      <c r="W591" s="1">
        <f>IF(Table1[[#This Row],[Cal Type]]&lt;&gt;"ACCREDITED 17025 WITH UNCERTAINTIES",0,"")</f>
        <v>0</v>
      </c>
      <c r="X591" s="1" t="str">
        <f>IF(Table1[[#This Row],[DUT Read]]="","N/A",Table1[[#This Row],[Std Error]]+Table1[[#This Row],[DUT Read]]+Table1[[#This Row],[DUT Ucty]])</f>
        <v>N/A</v>
      </c>
      <c r="Y591" s="1" t="str">
        <f>IF(Table1[[#This Row],[Std Read]]="","N/A",Table1[[#This Row],[Std Read]]+Table1[[#This Row],[Std Ucty]])</f>
        <v>N/A</v>
      </c>
      <c r="Z5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1" s="1" t="str">
        <f>IF(Table1[[#This Row],[Spec Type]]="","N/A",Table1[[#This Row],[Spec Type]])</f>
        <v>±</v>
      </c>
      <c r="AC591" s="1" t="str">
        <f>IF(Table1[[#This Row],[Spec Type2]]="N/A","N/A",IF(AND(Table1[[#This Row],[DUT Adj Read]]&gt;=Table1[[#This Row],[Low Tol]],Table1[[#This Row],[DUT Adj Read]]&lt;=Table1[[#This Row],[High Tol]]),"Pass","Fail"))</f>
        <v>Fail</v>
      </c>
      <c r="AD591" s="1" t="str">
        <f>IF(AND(Table1[[#This Row],[Spec Type2]]="N/A",Table1[[#This Row],[DUT Adj Read]]="N/A",Table1[[#This Row],[Std Adj Read]]="N/A"),"N/A",IF(Table1[[#This Row],[DUT Adj Read]]="N/A",IF(Table1[[#This Row],[Std Adj Read]]&gt;Table1[[#This Row],[Low Tol]],"Pass","Fail"),IF(Table1[[#This Row],[DUT Adj Read]]&gt;Table1[[#This Row],[Low Tol]],"Pass","Fail")))</f>
        <v>Pass</v>
      </c>
      <c r="AE591" s="1" t="str">
        <f>IF(AND(Table1[[#This Row],[Spec Type2]]="N/A",Table1[[#This Row],[DUT Adj Read]]="N/A",Table1[[#This Row],[Std Adj Read]]="N/A"),"N/A",IF(Table1[[#This Row],[DUT Adj Read]]="N/A",IF(Table1[[#This Row],[Std Adj Read]]&lt;Table1[[#This Row],[High Tol]],"Pass","Fail"),IF(Table1[[#This Row],[DUT Adj Read]]&lt;Table1[[#This Row],[High Tol]],"Pass","Fail")))</f>
        <v>Fail</v>
      </c>
      <c r="AF591" s="1" t="str">
        <f>IF(AND(Table1[[#This Row],[Spec Type2]]="N/A",Table1[[#This Row],[DUT Adj Read]]="N/A",Table1[[#This Row],[Std Adj Read]]="N/A"),"N/A",IF(Table1[[#This Row],[DUT Adj Read]]="N/A",IF(Table1[[#This Row],[Std Adj Read]]&gt;=Table1[[#This Row],[Low Tol]],"Pass","Fail"),IF(Table1[[#This Row],[DUT Adj Read]]&gt;=Table1[[#This Row],[Low Tol]],"Pass","Fail")))</f>
        <v>Pass</v>
      </c>
      <c r="AG591" s="1" t="str">
        <f>IF(AND(Table1[[#This Row],[Spec Type2]]="N/A",Table1[[#This Row],[DUT Adj Read]]="N/A",Table1[[#This Row],[Std Adj Read]]="N/A"),"N/A",IF(Table1[[#This Row],[DUT Adj Read]]="N/A",IF(Table1[[#This Row],[Std Adj Read]]&lt;=Table1[[#This Row],[High Tol]],"Pass","Fail"),IF(Table1[[#This Row],[DUT Adj Read]]&lt;=Table1[[#This Row],[High Tol]],"Pass","Fail")))</f>
        <v>Fail</v>
      </c>
      <c r="AH5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1" s="1" t="b">
        <v>0</v>
      </c>
      <c r="AN591" s="1" t="b">
        <v>0</v>
      </c>
      <c r="AO591" s="1" t="b">
        <v>0</v>
      </c>
    </row>
    <row r="592" spans="1:41" x14ac:dyDescent="0.25">
      <c r="A592" s="10"/>
      <c r="B592" s="10"/>
      <c r="C592" s="10"/>
      <c r="D592" s="10"/>
      <c r="E592" s="10"/>
      <c r="F592" s="10"/>
      <c r="G592" s="10"/>
      <c r="H592" s="10"/>
      <c r="I592" s="1" t="str">
        <f t="shared" si="27"/>
        <v/>
      </c>
      <c r="J592" s="1" t="s">
        <v>35</v>
      </c>
      <c r="K592" s="1" t="str">
        <f t="shared" si="28"/>
        <v/>
      </c>
      <c r="L592" s="1" t="str">
        <f t="shared" si="29"/>
        <v/>
      </c>
      <c r="M592" s="1">
        <f>IF(OR(Table1[[#This Row],[Std Nom]]="",Table1[[#This Row],[Std Read]]=""),0,Table1[[#This Row],[Std Nom]]-Table1[[#This Row],[Std Read]])</f>
        <v>0</v>
      </c>
      <c r="N592" s="1">
        <f>IF(Calculations!$F$5="ACCREDITED 17025 WITH UNCERTAINTIES",$N$10,0)</f>
        <v>0</v>
      </c>
      <c r="O592" s="1" t="str">
        <f>IFERROR(Table1[[#This Row],[Std Nom]]-(_xlfn.XLOOKUP(Table1[[#This Row],[Manufacturer]]&amp;" "&amp;Table1[[#This Row],[Model]],Table13[MFR &amp; MDL],Table13[Tolerance % CW ],"")/100*Table1[[#This Row],[Std Nom]]),"")</f>
        <v/>
      </c>
      <c r="P592" s="1" t="str">
        <f>IFERROR(Table1[[#This Row],[Std Nom]]+(_xlfn.XLOOKUP(Table1[[#This Row],[Manufacturer]]&amp;" "&amp;Table1[[#This Row],[Model]],Table13[MFR &amp; MDL],Table13[Tolerance % CW ],"")/100*Table1[[#This Row],[Std Nom]]),"")</f>
        <v/>
      </c>
      <c r="Q592" s="1" t="e">
        <f>Table1[[#This Row],[High Tol]]-Table1[[#This Row],[Low Tol]]</f>
        <v>#VALUE!</v>
      </c>
      <c r="R592" s="1">
        <f>2*Table1[[#This Row],[Std Error]]</f>
        <v>0</v>
      </c>
      <c r="S592" s="1" t="str">
        <f>IF(Table1[[#This Row],[High Tol]]="","N/A",IFERROR(ABS(Table1[[#This Row],[Tol Span]]/Table1[[#This Row],[Error Span]]),"N/A"))</f>
        <v>N/A</v>
      </c>
      <c r="T592" s="1" t="str">
        <f>IF(OR(Table1[[#This Row],[Low Tol]]="",Table1[[#This Row],[High Tol]]=""),"Needs Analysis",IF(Table1[[#This Row],[Ratio]]&gt;=4,"Not Significant",IF(Table1[[#This Row],[Ratio]]&gt;=2,"Semi-Significant","Significant")))</f>
        <v>Needs Analysis</v>
      </c>
      <c r="W592" s="1">
        <f>IF(Table1[[#This Row],[Cal Type]]&lt;&gt;"ACCREDITED 17025 WITH UNCERTAINTIES",0,"")</f>
        <v>0</v>
      </c>
      <c r="X592" s="1" t="str">
        <f>IF(Table1[[#This Row],[DUT Read]]="","N/A",Table1[[#This Row],[Std Error]]+Table1[[#This Row],[DUT Read]]+Table1[[#This Row],[DUT Ucty]])</f>
        <v>N/A</v>
      </c>
      <c r="Y592" s="1" t="str">
        <f>IF(Table1[[#This Row],[Std Read]]="","N/A",Table1[[#This Row],[Std Read]]+Table1[[#This Row],[Std Ucty]])</f>
        <v>N/A</v>
      </c>
      <c r="Z5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2" s="1" t="str">
        <f>IF(Table1[[#This Row],[Spec Type]]="","N/A",Table1[[#This Row],[Spec Type]])</f>
        <v>±</v>
      </c>
      <c r="AC592" s="1" t="str">
        <f>IF(Table1[[#This Row],[Spec Type2]]="N/A","N/A",IF(AND(Table1[[#This Row],[DUT Adj Read]]&gt;=Table1[[#This Row],[Low Tol]],Table1[[#This Row],[DUT Adj Read]]&lt;=Table1[[#This Row],[High Tol]]),"Pass","Fail"))</f>
        <v>Fail</v>
      </c>
      <c r="AD592" s="1" t="str">
        <f>IF(AND(Table1[[#This Row],[Spec Type2]]="N/A",Table1[[#This Row],[DUT Adj Read]]="N/A",Table1[[#This Row],[Std Adj Read]]="N/A"),"N/A",IF(Table1[[#This Row],[DUT Adj Read]]="N/A",IF(Table1[[#This Row],[Std Adj Read]]&gt;Table1[[#This Row],[Low Tol]],"Pass","Fail"),IF(Table1[[#This Row],[DUT Adj Read]]&gt;Table1[[#This Row],[Low Tol]],"Pass","Fail")))</f>
        <v>Pass</v>
      </c>
      <c r="AE592" s="1" t="str">
        <f>IF(AND(Table1[[#This Row],[Spec Type2]]="N/A",Table1[[#This Row],[DUT Adj Read]]="N/A",Table1[[#This Row],[Std Adj Read]]="N/A"),"N/A",IF(Table1[[#This Row],[DUT Adj Read]]="N/A",IF(Table1[[#This Row],[Std Adj Read]]&lt;Table1[[#This Row],[High Tol]],"Pass","Fail"),IF(Table1[[#This Row],[DUT Adj Read]]&lt;Table1[[#This Row],[High Tol]],"Pass","Fail")))</f>
        <v>Fail</v>
      </c>
      <c r="AF592" s="1" t="str">
        <f>IF(AND(Table1[[#This Row],[Spec Type2]]="N/A",Table1[[#This Row],[DUT Adj Read]]="N/A",Table1[[#This Row],[Std Adj Read]]="N/A"),"N/A",IF(Table1[[#This Row],[DUT Adj Read]]="N/A",IF(Table1[[#This Row],[Std Adj Read]]&gt;=Table1[[#This Row],[Low Tol]],"Pass","Fail"),IF(Table1[[#This Row],[DUT Adj Read]]&gt;=Table1[[#This Row],[Low Tol]],"Pass","Fail")))</f>
        <v>Pass</v>
      </c>
      <c r="AG592" s="1" t="str">
        <f>IF(AND(Table1[[#This Row],[Spec Type2]]="N/A",Table1[[#This Row],[DUT Adj Read]]="N/A",Table1[[#This Row],[Std Adj Read]]="N/A"),"N/A",IF(Table1[[#This Row],[DUT Adj Read]]="N/A",IF(Table1[[#This Row],[Std Adj Read]]&lt;=Table1[[#This Row],[High Tol]],"Pass","Fail"),IF(Table1[[#This Row],[DUT Adj Read]]&lt;=Table1[[#This Row],[High Tol]],"Pass","Fail")))</f>
        <v>Fail</v>
      </c>
      <c r="AH5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2" s="1" t="b">
        <v>0</v>
      </c>
      <c r="AN592" s="1" t="b">
        <v>0</v>
      </c>
      <c r="AO592" s="1" t="b">
        <v>0</v>
      </c>
    </row>
    <row r="593" spans="1:41" x14ac:dyDescent="0.25">
      <c r="A593" s="10"/>
      <c r="B593" s="10"/>
      <c r="C593" s="10"/>
      <c r="D593" s="10"/>
      <c r="E593" s="10"/>
      <c r="F593" s="10"/>
      <c r="G593" s="10"/>
      <c r="H593" s="10"/>
      <c r="I593" s="1" t="str">
        <f t="shared" si="27"/>
        <v/>
      </c>
      <c r="J593" s="1" t="s">
        <v>35</v>
      </c>
      <c r="K593" s="1" t="str">
        <f t="shared" si="28"/>
        <v/>
      </c>
      <c r="L593" s="1" t="str">
        <f t="shared" si="29"/>
        <v/>
      </c>
      <c r="M593" s="1">
        <f>IF(OR(Table1[[#This Row],[Std Nom]]="",Table1[[#This Row],[Std Read]]=""),0,Table1[[#This Row],[Std Nom]]-Table1[[#This Row],[Std Read]])</f>
        <v>0</v>
      </c>
      <c r="N593" s="1">
        <f>IF(Calculations!$F$5="ACCREDITED 17025 WITH UNCERTAINTIES",$N$10,0)</f>
        <v>0</v>
      </c>
      <c r="O593" s="1" t="str">
        <f>IFERROR(Table1[[#This Row],[Std Nom]]-(_xlfn.XLOOKUP(Table1[[#This Row],[Manufacturer]]&amp;" "&amp;Table1[[#This Row],[Model]],Table13[MFR &amp; MDL],Table13[Tolerance % CW ],"")/100*Table1[[#This Row],[Std Nom]]),"")</f>
        <v/>
      </c>
      <c r="P593" s="1" t="str">
        <f>IFERROR(Table1[[#This Row],[Std Nom]]+(_xlfn.XLOOKUP(Table1[[#This Row],[Manufacturer]]&amp;" "&amp;Table1[[#This Row],[Model]],Table13[MFR &amp; MDL],Table13[Tolerance % CW ],"")/100*Table1[[#This Row],[Std Nom]]),"")</f>
        <v/>
      </c>
      <c r="Q593" s="1" t="e">
        <f>Table1[[#This Row],[High Tol]]-Table1[[#This Row],[Low Tol]]</f>
        <v>#VALUE!</v>
      </c>
      <c r="R593" s="1">
        <f>2*Table1[[#This Row],[Std Error]]</f>
        <v>0</v>
      </c>
      <c r="S593" s="1" t="str">
        <f>IF(Table1[[#This Row],[High Tol]]="","N/A",IFERROR(ABS(Table1[[#This Row],[Tol Span]]/Table1[[#This Row],[Error Span]]),"N/A"))</f>
        <v>N/A</v>
      </c>
      <c r="T593" s="1" t="str">
        <f>IF(OR(Table1[[#This Row],[Low Tol]]="",Table1[[#This Row],[High Tol]]=""),"Needs Analysis",IF(Table1[[#This Row],[Ratio]]&gt;=4,"Not Significant",IF(Table1[[#This Row],[Ratio]]&gt;=2,"Semi-Significant","Significant")))</f>
        <v>Needs Analysis</v>
      </c>
      <c r="W593" s="1">
        <f>IF(Table1[[#This Row],[Cal Type]]&lt;&gt;"ACCREDITED 17025 WITH UNCERTAINTIES",0,"")</f>
        <v>0</v>
      </c>
      <c r="X593" s="1" t="str">
        <f>IF(Table1[[#This Row],[DUT Read]]="","N/A",Table1[[#This Row],[Std Error]]+Table1[[#This Row],[DUT Read]]+Table1[[#This Row],[DUT Ucty]])</f>
        <v>N/A</v>
      </c>
      <c r="Y593" s="1" t="str">
        <f>IF(Table1[[#This Row],[Std Read]]="","N/A",Table1[[#This Row],[Std Read]]+Table1[[#This Row],[Std Ucty]])</f>
        <v>N/A</v>
      </c>
      <c r="Z5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3" s="1" t="str">
        <f>IF(Table1[[#This Row],[Spec Type]]="","N/A",Table1[[#This Row],[Spec Type]])</f>
        <v>±</v>
      </c>
      <c r="AC593" s="1" t="str">
        <f>IF(Table1[[#This Row],[Spec Type2]]="N/A","N/A",IF(AND(Table1[[#This Row],[DUT Adj Read]]&gt;=Table1[[#This Row],[Low Tol]],Table1[[#This Row],[DUT Adj Read]]&lt;=Table1[[#This Row],[High Tol]]),"Pass","Fail"))</f>
        <v>Fail</v>
      </c>
      <c r="AD593" s="1" t="str">
        <f>IF(AND(Table1[[#This Row],[Spec Type2]]="N/A",Table1[[#This Row],[DUT Adj Read]]="N/A",Table1[[#This Row],[Std Adj Read]]="N/A"),"N/A",IF(Table1[[#This Row],[DUT Adj Read]]="N/A",IF(Table1[[#This Row],[Std Adj Read]]&gt;Table1[[#This Row],[Low Tol]],"Pass","Fail"),IF(Table1[[#This Row],[DUT Adj Read]]&gt;Table1[[#This Row],[Low Tol]],"Pass","Fail")))</f>
        <v>Pass</v>
      </c>
      <c r="AE593" s="1" t="str">
        <f>IF(AND(Table1[[#This Row],[Spec Type2]]="N/A",Table1[[#This Row],[DUT Adj Read]]="N/A",Table1[[#This Row],[Std Adj Read]]="N/A"),"N/A",IF(Table1[[#This Row],[DUT Adj Read]]="N/A",IF(Table1[[#This Row],[Std Adj Read]]&lt;Table1[[#This Row],[High Tol]],"Pass","Fail"),IF(Table1[[#This Row],[DUT Adj Read]]&lt;Table1[[#This Row],[High Tol]],"Pass","Fail")))</f>
        <v>Fail</v>
      </c>
      <c r="AF593" s="1" t="str">
        <f>IF(AND(Table1[[#This Row],[Spec Type2]]="N/A",Table1[[#This Row],[DUT Adj Read]]="N/A",Table1[[#This Row],[Std Adj Read]]="N/A"),"N/A",IF(Table1[[#This Row],[DUT Adj Read]]="N/A",IF(Table1[[#This Row],[Std Adj Read]]&gt;=Table1[[#This Row],[Low Tol]],"Pass","Fail"),IF(Table1[[#This Row],[DUT Adj Read]]&gt;=Table1[[#This Row],[Low Tol]],"Pass","Fail")))</f>
        <v>Pass</v>
      </c>
      <c r="AG593" s="1" t="str">
        <f>IF(AND(Table1[[#This Row],[Spec Type2]]="N/A",Table1[[#This Row],[DUT Adj Read]]="N/A",Table1[[#This Row],[Std Adj Read]]="N/A"),"N/A",IF(Table1[[#This Row],[DUT Adj Read]]="N/A",IF(Table1[[#This Row],[Std Adj Read]]&lt;=Table1[[#This Row],[High Tol]],"Pass","Fail"),IF(Table1[[#This Row],[DUT Adj Read]]&lt;=Table1[[#This Row],[High Tol]],"Pass","Fail")))</f>
        <v>Fail</v>
      </c>
      <c r="AH5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3" s="1" t="b">
        <v>0</v>
      </c>
      <c r="AN593" s="1" t="b">
        <v>0</v>
      </c>
      <c r="AO593" s="1" t="b">
        <v>0</v>
      </c>
    </row>
    <row r="594" spans="1:41" x14ac:dyDescent="0.25">
      <c r="A594" s="10"/>
      <c r="B594" s="10"/>
      <c r="C594" s="10"/>
      <c r="D594" s="10"/>
      <c r="E594" s="10"/>
      <c r="F594" s="10"/>
      <c r="G594" s="10"/>
      <c r="H594" s="10"/>
      <c r="I594" s="1" t="str">
        <f t="shared" si="27"/>
        <v/>
      </c>
      <c r="J594" s="1" t="s">
        <v>35</v>
      </c>
      <c r="K594" s="1" t="str">
        <f t="shared" si="28"/>
        <v/>
      </c>
      <c r="L594" s="1" t="str">
        <f t="shared" si="29"/>
        <v/>
      </c>
      <c r="M594" s="1">
        <f>IF(OR(Table1[[#This Row],[Std Nom]]="",Table1[[#This Row],[Std Read]]=""),0,Table1[[#This Row],[Std Nom]]-Table1[[#This Row],[Std Read]])</f>
        <v>0</v>
      </c>
      <c r="N594" s="1">
        <f>IF(Calculations!$F$5="ACCREDITED 17025 WITH UNCERTAINTIES",$N$10,0)</f>
        <v>0</v>
      </c>
      <c r="O594" s="1" t="str">
        <f>IFERROR(Table1[[#This Row],[Std Nom]]-(_xlfn.XLOOKUP(Table1[[#This Row],[Manufacturer]]&amp;" "&amp;Table1[[#This Row],[Model]],Table13[MFR &amp; MDL],Table13[Tolerance % CW ],"")/100*Table1[[#This Row],[Std Nom]]),"")</f>
        <v/>
      </c>
      <c r="P594" s="1" t="str">
        <f>IFERROR(Table1[[#This Row],[Std Nom]]+(_xlfn.XLOOKUP(Table1[[#This Row],[Manufacturer]]&amp;" "&amp;Table1[[#This Row],[Model]],Table13[MFR &amp; MDL],Table13[Tolerance % CW ],"")/100*Table1[[#This Row],[Std Nom]]),"")</f>
        <v/>
      </c>
      <c r="Q594" s="1" t="e">
        <f>Table1[[#This Row],[High Tol]]-Table1[[#This Row],[Low Tol]]</f>
        <v>#VALUE!</v>
      </c>
      <c r="R594" s="1">
        <f>2*Table1[[#This Row],[Std Error]]</f>
        <v>0</v>
      </c>
      <c r="S594" s="1" t="str">
        <f>IF(Table1[[#This Row],[High Tol]]="","N/A",IFERROR(ABS(Table1[[#This Row],[Tol Span]]/Table1[[#This Row],[Error Span]]),"N/A"))</f>
        <v>N/A</v>
      </c>
      <c r="T594" s="1" t="str">
        <f>IF(OR(Table1[[#This Row],[Low Tol]]="",Table1[[#This Row],[High Tol]]=""),"Needs Analysis",IF(Table1[[#This Row],[Ratio]]&gt;=4,"Not Significant",IF(Table1[[#This Row],[Ratio]]&gt;=2,"Semi-Significant","Significant")))</f>
        <v>Needs Analysis</v>
      </c>
      <c r="W594" s="1">
        <f>IF(Table1[[#This Row],[Cal Type]]&lt;&gt;"ACCREDITED 17025 WITH UNCERTAINTIES",0,"")</f>
        <v>0</v>
      </c>
      <c r="X594" s="1" t="str">
        <f>IF(Table1[[#This Row],[DUT Read]]="","N/A",Table1[[#This Row],[Std Error]]+Table1[[#This Row],[DUT Read]]+Table1[[#This Row],[DUT Ucty]])</f>
        <v>N/A</v>
      </c>
      <c r="Y594" s="1" t="str">
        <f>IF(Table1[[#This Row],[Std Read]]="","N/A",Table1[[#This Row],[Std Read]]+Table1[[#This Row],[Std Ucty]])</f>
        <v>N/A</v>
      </c>
      <c r="Z5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4" s="1" t="str">
        <f>IF(Table1[[#This Row],[Spec Type]]="","N/A",Table1[[#This Row],[Spec Type]])</f>
        <v>±</v>
      </c>
      <c r="AC594" s="1" t="str">
        <f>IF(Table1[[#This Row],[Spec Type2]]="N/A","N/A",IF(AND(Table1[[#This Row],[DUT Adj Read]]&gt;=Table1[[#This Row],[Low Tol]],Table1[[#This Row],[DUT Adj Read]]&lt;=Table1[[#This Row],[High Tol]]),"Pass","Fail"))</f>
        <v>Fail</v>
      </c>
      <c r="AD594" s="1" t="str">
        <f>IF(AND(Table1[[#This Row],[Spec Type2]]="N/A",Table1[[#This Row],[DUT Adj Read]]="N/A",Table1[[#This Row],[Std Adj Read]]="N/A"),"N/A",IF(Table1[[#This Row],[DUT Adj Read]]="N/A",IF(Table1[[#This Row],[Std Adj Read]]&gt;Table1[[#This Row],[Low Tol]],"Pass","Fail"),IF(Table1[[#This Row],[DUT Adj Read]]&gt;Table1[[#This Row],[Low Tol]],"Pass","Fail")))</f>
        <v>Pass</v>
      </c>
      <c r="AE594" s="1" t="str">
        <f>IF(AND(Table1[[#This Row],[Spec Type2]]="N/A",Table1[[#This Row],[DUT Adj Read]]="N/A",Table1[[#This Row],[Std Adj Read]]="N/A"),"N/A",IF(Table1[[#This Row],[DUT Adj Read]]="N/A",IF(Table1[[#This Row],[Std Adj Read]]&lt;Table1[[#This Row],[High Tol]],"Pass","Fail"),IF(Table1[[#This Row],[DUT Adj Read]]&lt;Table1[[#This Row],[High Tol]],"Pass","Fail")))</f>
        <v>Fail</v>
      </c>
      <c r="AF594" s="1" t="str">
        <f>IF(AND(Table1[[#This Row],[Spec Type2]]="N/A",Table1[[#This Row],[DUT Adj Read]]="N/A",Table1[[#This Row],[Std Adj Read]]="N/A"),"N/A",IF(Table1[[#This Row],[DUT Adj Read]]="N/A",IF(Table1[[#This Row],[Std Adj Read]]&gt;=Table1[[#This Row],[Low Tol]],"Pass","Fail"),IF(Table1[[#This Row],[DUT Adj Read]]&gt;=Table1[[#This Row],[Low Tol]],"Pass","Fail")))</f>
        <v>Pass</v>
      </c>
      <c r="AG594" s="1" t="str">
        <f>IF(AND(Table1[[#This Row],[Spec Type2]]="N/A",Table1[[#This Row],[DUT Adj Read]]="N/A",Table1[[#This Row],[Std Adj Read]]="N/A"),"N/A",IF(Table1[[#This Row],[DUT Adj Read]]="N/A",IF(Table1[[#This Row],[Std Adj Read]]&lt;=Table1[[#This Row],[High Tol]],"Pass","Fail"),IF(Table1[[#This Row],[DUT Adj Read]]&lt;=Table1[[#This Row],[High Tol]],"Pass","Fail")))</f>
        <v>Fail</v>
      </c>
      <c r="AH5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4" s="1" t="b">
        <v>0</v>
      </c>
      <c r="AN594" s="1" t="b">
        <v>0</v>
      </c>
      <c r="AO594" s="1" t="b">
        <v>0</v>
      </c>
    </row>
    <row r="595" spans="1:41" x14ac:dyDescent="0.25">
      <c r="A595" s="10"/>
      <c r="B595" s="10"/>
      <c r="C595" s="10"/>
      <c r="D595" s="10"/>
      <c r="E595" s="10"/>
      <c r="F595" s="10"/>
      <c r="G595" s="10"/>
      <c r="H595" s="10"/>
      <c r="I595" s="1" t="str">
        <f t="shared" si="27"/>
        <v/>
      </c>
      <c r="J595" s="1" t="s">
        <v>35</v>
      </c>
      <c r="K595" s="1" t="str">
        <f t="shared" si="28"/>
        <v/>
      </c>
      <c r="L595" s="1" t="str">
        <f t="shared" si="29"/>
        <v/>
      </c>
      <c r="M595" s="1">
        <f>IF(OR(Table1[[#This Row],[Std Nom]]="",Table1[[#This Row],[Std Read]]=""),0,Table1[[#This Row],[Std Nom]]-Table1[[#This Row],[Std Read]])</f>
        <v>0</v>
      </c>
      <c r="N595" s="1">
        <f>IF(Calculations!$F$5="ACCREDITED 17025 WITH UNCERTAINTIES",$N$10,0)</f>
        <v>0</v>
      </c>
      <c r="O595" s="1" t="str">
        <f>IFERROR(Table1[[#This Row],[Std Nom]]-(_xlfn.XLOOKUP(Table1[[#This Row],[Manufacturer]]&amp;" "&amp;Table1[[#This Row],[Model]],Table13[MFR &amp; MDL],Table13[Tolerance % CW ],"")/100*Table1[[#This Row],[Std Nom]]),"")</f>
        <v/>
      </c>
      <c r="P595" s="1" t="str">
        <f>IFERROR(Table1[[#This Row],[Std Nom]]+(_xlfn.XLOOKUP(Table1[[#This Row],[Manufacturer]]&amp;" "&amp;Table1[[#This Row],[Model]],Table13[MFR &amp; MDL],Table13[Tolerance % CW ],"")/100*Table1[[#This Row],[Std Nom]]),"")</f>
        <v/>
      </c>
      <c r="Q595" s="1" t="e">
        <f>Table1[[#This Row],[High Tol]]-Table1[[#This Row],[Low Tol]]</f>
        <v>#VALUE!</v>
      </c>
      <c r="R595" s="1">
        <f>2*Table1[[#This Row],[Std Error]]</f>
        <v>0</v>
      </c>
      <c r="S595" s="1" t="str">
        <f>IF(Table1[[#This Row],[High Tol]]="","N/A",IFERROR(ABS(Table1[[#This Row],[Tol Span]]/Table1[[#This Row],[Error Span]]),"N/A"))</f>
        <v>N/A</v>
      </c>
      <c r="T595" s="1" t="str">
        <f>IF(OR(Table1[[#This Row],[Low Tol]]="",Table1[[#This Row],[High Tol]]=""),"Needs Analysis",IF(Table1[[#This Row],[Ratio]]&gt;=4,"Not Significant",IF(Table1[[#This Row],[Ratio]]&gt;=2,"Semi-Significant","Significant")))</f>
        <v>Needs Analysis</v>
      </c>
      <c r="W595" s="1">
        <f>IF(Table1[[#This Row],[Cal Type]]&lt;&gt;"ACCREDITED 17025 WITH UNCERTAINTIES",0,"")</f>
        <v>0</v>
      </c>
      <c r="X595" s="1" t="str">
        <f>IF(Table1[[#This Row],[DUT Read]]="","N/A",Table1[[#This Row],[Std Error]]+Table1[[#This Row],[DUT Read]]+Table1[[#This Row],[DUT Ucty]])</f>
        <v>N/A</v>
      </c>
      <c r="Y595" s="1" t="str">
        <f>IF(Table1[[#This Row],[Std Read]]="","N/A",Table1[[#This Row],[Std Read]]+Table1[[#This Row],[Std Ucty]])</f>
        <v>N/A</v>
      </c>
      <c r="Z5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5" s="1" t="str">
        <f>IF(Table1[[#This Row],[Spec Type]]="","N/A",Table1[[#This Row],[Spec Type]])</f>
        <v>±</v>
      </c>
      <c r="AC595" s="1" t="str">
        <f>IF(Table1[[#This Row],[Spec Type2]]="N/A","N/A",IF(AND(Table1[[#This Row],[DUT Adj Read]]&gt;=Table1[[#This Row],[Low Tol]],Table1[[#This Row],[DUT Adj Read]]&lt;=Table1[[#This Row],[High Tol]]),"Pass","Fail"))</f>
        <v>Fail</v>
      </c>
      <c r="AD595" s="1" t="str">
        <f>IF(AND(Table1[[#This Row],[Spec Type2]]="N/A",Table1[[#This Row],[DUT Adj Read]]="N/A",Table1[[#This Row],[Std Adj Read]]="N/A"),"N/A",IF(Table1[[#This Row],[DUT Adj Read]]="N/A",IF(Table1[[#This Row],[Std Adj Read]]&gt;Table1[[#This Row],[Low Tol]],"Pass","Fail"),IF(Table1[[#This Row],[DUT Adj Read]]&gt;Table1[[#This Row],[Low Tol]],"Pass","Fail")))</f>
        <v>Pass</v>
      </c>
      <c r="AE595" s="1" t="str">
        <f>IF(AND(Table1[[#This Row],[Spec Type2]]="N/A",Table1[[#This Row],[DUT Adj Read]]="N/A",Table1[[#This Row],[Std Adj Read]]="N/A"),"N/A",IF(Table1[[#This Row],[DUT Adj Read]]="N/A",IF(Table1[[#This Row],[Std Adj Read]]&lt;Table1[[#This Row],[High Tol]],"Pass","Fail"),IF(Table1[[#This Row],[DUT Adj Read]]&lt;Table1[[#This Row],[High Tol]],"Pass","Fail")))</f>
        <v>Fail</v>
      </c>
      <c r="AF595" s="1" t="str">
        <f>IF(AND(Table1[[#This Row],[Spec Type2]]="N/A",Table1[[#This Row],[DUT Adj Read]]="N/A",Table1[[#This Row],[Std Adj Read]]="N/A"),"N/A",IF(Table1[[#This Row],[DUT Adj Read]]="N/A",IF(Table1[[#This Row],[Std Adj Read]]&gt;=Table1[[#This Row],[Low Tol]],"Pass","Fail"),IF(Table1[[#This Row],[DUT Adj Read]]&gt;=Table1[[#This Row],[Low Tol]],"Pass","Fail")))</f>
        <v>Pass</v>
      </c>
      <c r="AG595" s="1" t="str">
        <f>IF(AND(Table1[[#This Row],[Spec Type2]]="N/A",Table1[[#This Row],[DUT Adj Read]]="N/A",Table1[[#This Row],[Std Adj Read]]="N/A"),"N/A",IF(Table1[[#This Row],[DUT Adj Read]]="N/A",IF(Table1[[#This Row],[Std Adj Read]]&lt;=Table1[[#This Row],[High Tol]],"Pass","Fail"),IF(Table1[[#This Row],[DUT Adj Read]]&lt;=Table1[[#This Row],[High Tol]],"Pass","Fail")))</f>
        <v>Fail</v>
      </c>
      <c r="AH5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5" s="1" t="b">
        <v>0</v>
      </c>
      <c r="AN595" s="1" t="b">
        <v>0</v>
      </c>
      <c r="AO595" s="1" t="b">
        <v>0</v>
      </c>
    </row>
    <row r="596" spans="1:41" x14ac:dyDescent="0.25">
      <c r="A596" s="10"/>
      <c r="B596" s="10"/>
      <c r="C596" s="10"/>
      <c r="D596" s="10"/>
      <c r="E596" s="10"/>
      <c r="F596" s="10"/>
      <c r="G596" s="10"/>
      <c r="H596" s="10"/>
      <c r="I596" s="1" t="str">
        <f t="shared" si="27"/>
        <v/>
      </c>
      <c r="J596" s="1" t="s">
        <v>35</v>
      </c>
      <c r="K596" s="1" t="str">
        <f t="shared" si="28"/>
        <v/>
      </c>
      <c r="L596" s="1" t="str">
        <f t="shared" si="29"/>
        <v/>
      </c>
      <c r="M596" s="1">
        <f>IF(OR(Table1[[#This Row],[Std Nom]]="",Table1[[#This Row],[Std Read]]=""),0,Table1[[#This Row],[Std Nom]]-Table1[[#This Row],[Std Read]])</f>
        <v>0</v>
      </c>
      <c r="N596" s="1">
        <f>IF(Calculations!$F$5="ACCREDITED 17025 WITH UNCERTAINTIES",$N$10,0)</f>
        <v>0</v>
      </c>
      <c r="O596" s="1" t="str">
        <f>IFERROR(Table1[[#This Row],[Std Nom]]-(_xlfn.XLOOKUP(Table1[[#This Row],[Manufacturer]]&amp;" "&amp;Table1[[#This Row],[Model]],Table13[MFR &amp; MDL],Table13[Tolerance % CW ],"")/100*Table1[[#This Row],[Std Nom]]),"")</f>
        <v/>
      </c>
      <c r="P596" s="1" t="str">
        <f>IFERROR(Table1[[#This Row],[Std Nom]]+(_xlfn.XLOOKUP(Table1[[#This Row],[Manufacturer]]&amp;" "&amp;Table1[[#This Row],[Model]],Table13[MFR &amp; MDL],Table13[Tolerance % CW ],"")/100*Table1[[#This Row],[Std Nom]]),"")</f>
        <v/>
      </c>
      <c r="Q596" s="1" t="e">
        <f>Table1[[#This Row],[High Tol]]-Table1[[#This Row],[Low Tol]]</f>
        <v>#VALUE!</v>
      </c>
      <c r="R596" s="1">
        <f>2*Table1[[#This Row],[Std Error]]</f>
        <v>0</v>
      </c>
      <c r="S596" s="1" t="str">
        <f>IF(Table1[[#This Row],[High Tol]]="","N/A",IFERROR(ABS(Table1[[#This Row],[Tol Span]]/Table1[[#This Row],[Error Span]]),"N/A"))</f>
        <v>N/A</v>
      </c>
      <c r="T596" s="1" t="str">
        <f>IF(OR(Table1[[#This Row],[Low Tol]]="",Table1[[#This Row],[High Tol]]=""),"Needs Analysis",IF(Table1[[#This Row],[Ratio]]&gt;=4,"Not Significant",IF(Table1[[#This Row],[Ratio]]&gt;=2,"Semi-Significant","Significant")))</f>
        <v>Needs Analysis</v>
      </c>
      <c r="W596" s="1">
        <f>IF(Table1[[#This Row],[Cal Type]]&lt;&gt;"ACCREDITED 17025 WITH UNCERTAINTIES",0,"")</f>
        <v>0</v>
      </c>
      <c r="X596" s="1" t="str">
        <f>IF(Table1[[#This Row],[DUT Read]]="","N/A",Table1[[#This Row],[Std Error]]+Table1[[#This Row],[DUT Read]]+Table1[[#This Row],[DUT Ucty]])</f>
        <v>N/A</v>
      </c>
      <c r="Y596" s="1" t="str">
        <f>IF(Table1[[#This Row],[Std Read]]="","N/A",Table1[[#This Row],[Std Read]]+Table1[[#This Row],[Std Ucty]])</f>
        <v>N/A</v>
      </c>
      <c r="Z5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6" s="1" t="str">
        <f>IF(Table1[[#This Row],[Spec Type]]="","N/A",Table1[[#This Row],[Spec Type]])</f>
        <v>±</v>
      </c>
      <c r="AC596" s="1" t="str">
        <f>IF(Table1[[#This Row],[Spec Type2]]="N/A","N/A",IF(AND(Table1[[#This Row],[DUT Adj Read]]&gt;=Table1[[#This Row],[Low Tol]],Table1[[#This Row],[DUT Adj Read]]&lt;=Table1[[#This Row],[High Tol]]),"Pass","Fail"))</f>
        <v>Fail</v>
      </c>
      <c r="AD596" s="1" t="str">
        <f>IF(AND(Table1[[#This Row],[Spec Type2]]="N/A",Table1[[#This Row],[DUT Adj Read]]="N/A",Table1[[#This Row],[Std Adj Read]]="N/A"),"N/A",IF(Table1[[#This Row],[DUT Adj Read]]="N/A",IF(Table1[[#This Row],[Std Adj Read]]&gt;Table1[[#This Row],[Low Tol]],"Pass","Fail"),IF(Table1[[#This Row],[DUT Adj Read]]&gt;Table1[[#This Row],[Low Tol]],"Pass","Fail")))</f>
        <v>Pass</v>
      </c>
      <c r="AE596" s="1" t="str">
        <f>IF(AND(Table1[[#This Row],[Spec Type2]]="N/A",Table1[[#This Row],[DUT Adj Read]]="N/A",Table1[[#This Row],[Std Adj Read]]="N/A"),"N/A",IF(Table1[[#This Row],[DUT Adj Read]]="N/A",IF(Table1[[#This Row],[Std Adj Read]]&lt;Table1[[#This Row],[High Tol]],"Pass","Fail"),IF(Table1[[#This Row],[DUT Adj Read]]&lt;Table1[[#This Row],[High Tol]],"Pass","Fail")))</f>
        <v>Fail</v>
      </c>
      <c r="AF596" s="1" t="str">
        <f>IF(AND(Table1[[#This Row],[Spec Type2]]="N/A",Table1[[#This Row],[DUT Adj Read]]="N/A",Table1[[#This Row],[Std Adj Read]]="N/A"),"N/A",IF(Table1[[#This Row],[DUT Adj Read]]="N/A",IF(Table1[[#This Row],[Std Adj Read]]&gt;=Table1[[#This Row],[Low Tol]],"Pass","Fail"),IF(Table1[[#This Row],[DUT Adj Read]]&gt;=Table1[[#This Row],[Low Tol]],"Pass","Fail")))</f>
        <v>Pass</v>
      </c>
      <c r="AG596" s="1" t="str">
        <f>IF(AND(Table1[[#This Row],[Spec Type2]]="N/A",Table1[[#This Row],[DUT Adj Read]]="N/A",Table1[[#This Row],[Std Adj Read]]="N/A"),"N/A",IF(Table1[[#This Row],[DUT Adj Read]]="N/A",IF(Table1[[#This Row],[Std Adj Read]]&lt;=Table1[[#This Row],[High Tol]],"Pass","Fail"),IF(Table1[[#This Row],[DUT Adj Read]]&lt;=Table1[[#This Row],[High Tol]],"Pass","Fail")))</f>
        <v>Fail</v>
      </c>
      <c r="AH5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6" s="1" t="b">
        <v>0</v>
      </c>
      <c r="AN596" s="1" t="b">
        <v>0</v>
      </c>
      <c r="AO596" s="1" t="b">
        <v>0</v>
      </c>
    </row>
    <row r="597" spans="1:41" x14ac:dyDescent="0.25">
      <c r="A597" s="10"/>
      <c r="B597" s="10"/>
      <c r="C597" s="10"/>
      <c r="D597" s="10"/>
      <c r="E597" s="10"/>
      <c r="F597" s="10"/>
      <c r="G597" s="10"/>
      <c r="H597" s="10"/>
      <c r="I597" s="1" t="str">
        <f t="shared" si="27"/>
        <v/>
      </c>
      <c r="J597" s="1" t="s">
        <v>35</v>
      </c>
      <c r="K597" s="1" t="str">
        <f t="shared" si="28"/>
        <v/>
      </c>
      <c r="L597" s="1" t="str">
        <f t="shared" si="29"/>
        <v/>
      </c>
      <c r="M597" s="1">
        <f>IF(OR(Table1[[#This Row],[Std Nom]]="",Table1[[#This Row],[Std Read]]=""),0,Table1[[#This Row],[Std Nom]]-Table1[[#This Row],[Std Read]])</f>
        <v>0</v>
      </c>
      <c r="N597" s="1">
        <f>IF(Calculations!$F$5="ACCREDITED 17025 WITH UNCERTAINTIES",$N$10,0)</f>
        <v>0</v>
      </c>
      <c r="O597" s="1" t="str">
        <f>IFERROR(Table1[[#This Row],[Std Nom]]-(_xlfn.XLOOKUP(Table1[[#This Row],[Manufacturer]]&amp;" "&amp;Table1[[#This Row],[Model]],Table13[MFR &amp; MDL],Table13[Tolerance % CW ],"")/100*Table1[[#This Row],[Std Nom]]),"")</f>
        <v/>
      </c>
      <c r="P597" s="1" t="str">
        <f>IFERROR(Table1[[#This Row],[Std Nom]]+(_xlfn.XLOOKUP(Table1[[#This Row],[Manufacturer]]&amp;" "&amp;Table1[[#This Row],[Model]],Table13[MFR &amp; MDL],Table13[Tolerance % CW ],"")/100*Table1[[#This Row],[Std Nom]]),"")</f>
        <v/>
      </c>
      <c r="Q597" s="1" t="e">
        <f>Table1[[#This Row],[High Tol]]-Table1[[#This Row],[Low Tol]]</f>
        <v>#VALUE!</v>
      </c>
      <c r="R597" s="1">
        <f>2*Table1[[#This Row],[Std Error]]</f>
        <v>0</v>
      </c>
      <c r="S597" s="1" t="str">
        <f>IF(Table1[[#This Row],[High Tol]]="","N/A",IFERROR(ABS(Table1[[#This Row],[Tol Span]]/Table1[[#This Row],[Error Span]]),"N/A"))</f>
        <v>N/A</v>
      </c>
      <c r="T597" s="1" t="str">
        <f>IF(OR(Table1[[#This Row],[Low Tol]]="",Table1[[#This Row],[High Tol]]=""),"Needs Analysis",IF(Table1[[#This Row],[Ratio]]&gt;=4,"Not Significant",IF(Table1[[#This Row],[Ratio]]&gt;=2,"Semi-Significant","Significant")))</f>
        <v>Needs Analysis</v>
      </c>
      <c r="W597" s="1">
        <f>IF(Table1[[#This Row],[Cal Type]]&lt;&gt;"ACCREDITED 17025 WITH UNCERTAINTIES",0,"")</f>
        <v>0</v>
      </c>
      <c r="X597" s="1" t="str">
        <f>IF(Table1[[#This Row],[DUT Read]]="","N/A",Table1[[#This Row],[Std Error]]+Table1[[#This Row],[DUT Read]]+Table1[[#This Row],[DUT Ucty]])</f>
        <v>N/A</v>
      </c>
      <c r="Y597" s="1" t="str">
        <f>IF(Table1[[#This Row],[Std Read]]="","N/A",Table1[[#This Row],[Std Read]]+Table1[[#This Row],[Std Ucty]])</f>
        <v>N/A</v>
      </c>
      <c r="Z5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7" s="1" t="str">
        <f>IF(Table1[[#This Row],[Spec Type]]="","N/A",Table1[[#This Row],[Spec Type]])</f>
        <v>±</v>
      </c>
      <c r="AC597" s="1" t="str">
        <f>IF(Table1[[#This Row],[Spec Type2]]="N/A","N/A",IF(AND(Table1[[#This Row],[DUT Adj Read]]&gt;=Table1[[#This Row],[Low Tol]],Table1[[#This Row],[DUT Adj Read]]&lt;=Table1[[#This Row],[High Tol]]),"Pass","Fail"))</f>
        <v>Fail</v>
      </c>
      <c r="AD597" s="1" t="str">
        <f>IF(AND(Table1[[#This Row],[Spec Type2]]="N/A",Table1[[#This Row],[DUT Adj Read]]="N/A",Table1[[#This Row],[Std Adj Read]]="N/A"),"N/A",IF(Table1[[#This Row],[DUT Adj Read]]="N/A",IF(Table1[[#This Row],[Std Adj Read]]&gt;Table1[[#This Row],[Low Tol]],"Pass","Fail"),IF(Table1[[#This Row],[DUT Adj Read]]&gt;Table1[[#This Row],[Low Tol]],"Pass","Fail")))</f>
        <v>Pass</v>
      </c>
      <c r="AE597" s="1" t="str">
        <f>IF(AND(Table1[[#This Row],[Spec Type2]]="N/A",Table1[[#This Row],[DUT Adj Read]]="N/A",Table1[[#This Row],[Std Adj Read]]="N/A"),"N/A",IF(Table1[[#This Row],[DUT Adj Read]]="N/A",IF(Table1[[#This Row],[Std Adj Read]]&lt;Table1[[#This Row],[High Tol]],"Pass","Fail"),IF(Table1[[#This Row],[DUT Adj Read]]&lt;Table1[[#This Row],[High Tol]],"Pass","Fail")))</f>
        <v>Fail</v>
      </c>
      <c r="AF597" s="1" t="str">
        <f>IF(AND(Table1[[#This Row],[Spec Type2]]="N/A",Table1[[#This Row],[DUT Adj Read]]="N/A",Table1[[#This Row],[Std Adj Read]]="N/A"),"N/A",IF(Table1[[#This Row],[DUT Adj Read]]="N/A",IF(Table1[[#This Row],[Std Adj Read]]&gt;=Table1[[#This Row],[Low Tol]],"Pass","Fail"),IF(Table1[[#This Row],[DUT Adj Read]]&gt;=Table1[[#This Row],[Low Tol]],"Pass","Fail")))</f>
        <v>Pass</v>
      </c>
      <c r="AG597" s="1" t="str">
        <f>IF(AND(Table1[[#This Row],[Spec Type2]]="N/A",Table1[[#This Row],[DUT Adj Read]]="N/A",Table1[[#This Row],[Std Adj Read]]="N/A"),"N/A",IF(Table1[[#This Row],[DUT Adj Read]]="N/A",IF(Table1[[#This Row],[Std Adj Read]]&lt;=Table1[[#This Row],[High Tol]],"Pass","Fail"),IF(Table1[[#This Row],[DUT Adj Read]]&lt;=Table1[[#This Row],[High Tol]],"Pass","Fail")))</f>
        <v>Fail</v>
      </c>
      <c r="AH5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7" s="1" t="b">
        <v>0</v>
      </c>
      <c r="AN597" s="1" t="b">
        <v>0</v>
      </c>
      <c r="AO597" s="1" t="b">
        <v>0</v>
      </c>
    </row>
    <row r="598" spans="1:41" x14ac:dyDescent="0.25">
      <c r="A598" s="10"/>
      <c r="B598" s="10"/>
      <c r="C598" s="10"/>
      <c r="D598" s="10"/>
      <c r="E598" s="10"/>
      <c r="F598" s="10"/>
      <c r="G598" s="10"/>
      <c r="H598" s="10"/>
      <c r="I598" s="1" t="str">
        <f t="shared" si="27"/>
        <v/>
      </c>
      <c r="J598" s="1" t="s">
        <v>35</v>
      </c>
      <c r="K598" s="1" t="str">
        <f t="shared" si="28"/>
        <v/>
      </c>
      <c r="L598" s="1" t="str">
        <f t="shared" si="29"/>
        <v/>
      </c>
      <c r="M598" s="1">
        <f>IF(OR(Table1[[#This Row],[Std Nom]]="",Table1[[#This Row],[Std Read]]=""),0,Table1[[#This Row],[Std Nom]]-Table1[[#This Row],[Std Read]])</f>
        <v>0</v>
      </c>
      <c r="N598" s="1">
        <f>IF(Calculations!$F$5="ACCREDITED 17025 WITH UNCERTAINTIES",$N$10,0)</f>
        <v>0</v>
      </c>
      <c r="O598" s="1" t="str">
        <f>IFERROR(Table1[[#This Row],[Std Nom]]-(_xlfn.XLOOKUP(Table1[[#This Row],[Manufacturer]]&amp;" "&amp;Table1[[#This Row],[Model]],Table13[MFR &amp; MDL],Table13[Tolerance % CW ],"")/100*Table1[[#This Row],[Std Nom]]),"")</f>
        <v/>
      </c>
      <c r="P598" s="1" t="str">
        <f>IFERROR(Table1[[#This Row],[Std Nom]]+(_xlfn.XLOOKUP(Table1[[#This Row],[Manufacturer]]&amp;" "&amp;Table1[[#This Row],[Model]],Table13[MFR &amp; MDL],Table13[Tolerance % CW ],"")/100*Table1[[#This Row],[Std Nom]]),"")</f>
        <v/>
      </c>
      <c r="Q598" s="1" t="e">
        <f>Table1[[#This Row],[High Tol]]-Table1[[#This Row],[Low Tol]]</f>
        <v>#VALUE!</v>
      </c>
      <c r="R598" s="1">
        <f>2*Table1[[#This Row],[Std Error]]</f>
        <v>0</v>
      </c>
      <c r="S598" s="1" t="str">
        <f>IF(Table1[[#This Row],[High Tol]]="","N/A",IFERROR(ABS(Table1[[#This Row],[Tol Span]]/Table1[[#This Row],[Error Span]]),"N/A"))</f>
        <v>N/A</v>
      </c>
      <c r="T598" s="1" t="str">
        <f>IF(OR(Table1[[#This Row],[Low Tol]]="",Table1[[#This Row],[High Tol]]=""),"Needs Analysis",IF(Table1[[#This Row],[Ratio]]&gt;=4,"Not Significant",IF(Table1[[#This Row],[Ratio]]&gt;=2,"Semi-Significant","Significant")))</f>
        <v>Needs Analysis</v>
      </c>
      <c r="W598" s="1">
        <f>IF(Table1[[#This Row],[Cal Type]]&lt;&gt;"ACCREDITED 17025 WITH UNCERTAINTIES",0,"")</f>
        <v>0</v>
      </c>
      <c r="X598" s="1" t="str">
        <f>IF(Table1[[#This Row],[DUT Read]]="","N/A",Table1[[#This Row],[Std Error]]+Table1[[#This Row],[DUT Read]]+Table1[[#This Row],[DUT Ucty]])</f>
        <v>N/A</v>
      </c>
      <c r="Y598" s="1" t="str">
        <f>IF(Table1[[#This Row],[Std Read]]="","N/A",Table1[[#This Row],[Std Read]]+Table1[[#This Row],[Std Ucty]])</f>
        <v>N/A</v>
      </c>
      <c r="Z5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8" s="1" t="str">
        <f>IF(Table1[[#This Row],[Spec Type]]="","N/A",Table1[[#This Row],[Spec Type]])</f>
        <v>±</v>
      </c>
      <c r="AC598" s="1" t="str">
        <f>IF(Table1[[#This Row],[Spec Type2]]="N/A","N/A",IF(AND(Table1[[#This Row],[DUT Adj Read]]&gt;=Table1[[#This Row],[Low Tol]],Table1[[#This Row],[DUT Adj Read]]&lt;=Table1[[#This Row],[High Tol]]),"Pass","Fail"))</f>
        <v>Fail</v>
      </c>
      <c r="AD598" s="1" t="str">
        <f>IF(AND(Table1[[#This Row],[Spec Type2]]="N/A",Table1[[#This Row],[DUT Adj Read]]="N/A",Table1[[#This Row],[Std Adj Read]]="N/A"),"N/A",IF(Table1[[#This Row],[DUT Adj Read]]="N/A",IF(Table1[[#This Row],[Std Adj Read]]&gt;Table1[[#This Row],[Low Tol]],"Pass","Fail"),IF(Table1[[#This Row],[DUT Adj Read]]&gt;Table1[[#This Row],[Low Tol]],"Pass","Fail")))</f>
        <v>Pass</v>
      </c>
      <c r="AE598" s="1" t="str">
        <f>IF(AND(Table1[[#This Row],[Spec Type2]]="N/A",Table1[[#This Row],[DUT Adj Read]]="N/A",Table1[[#This Row],[Std Adj Read]]="N/A"),"N/A",IF(Table1[[#This Row],[DUT Adj Read]]="N/A",IF(Table1[[#This Row],[Std Adj Read]]&lt;Table1[[#This Row],[High Tol]],"Pass","Fail"),IF(Table1[[#This Row],[DUT Adj Read]]&lt;Table1[[#This Row],[High Tol]],"Pass","Fail")))</f>
        <v>Fail</v>
      </c>
      <c r="AF598" s="1" t="str">
        <f>IF(AND(Table1[[#This Row],[Spec Type2]]="N/A",Table1[[#This Row],[DUT Adj Read]]="N/A",Table1[[#This Row],[Std Adj Read]]="N/A"),"N/A",IF(Table1[[#This Row],[DUT Adj Read]]="N/A",IF(Table1[[#This Row],[Std Adj Read]]&gt;=Table1[[#This Row],[Low Tol]],"Pass","Fail"),IF(Table1[[#This Row],[DUT Adj Read]]&gt;=Table1[[#This Row],[Low Tol]],"Pass","Fail")))</f>
        <v>Pass</v>
      </c>
      <c r="AG598" s="1" t="str">
        <f>IF(AND(Table1[[#This Row],[Spec Type2]]="N/A",Table1[[#This Row],[DUT Adj Read]]="N/A",Table1[[#This Row],[Std Adj Read]]="N/A"),"N/A",IF(Table1[[#This Row],[DUT Adj Read]]="N/A",IF(Table1[[#This Row],[Std Adj Read]]&lt;=Table1[[#This Row],[High Tol]],"Pass","Fail"),IF(Table1[[#This Row],[DUT Adj Read]]&lt;=Table1[[#This Row],[High Tol]],"Pass","Fail")))</f>
        <v>Fail</v>
      </c>
      <c r="AH5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8" s="1" t="b">
        <v>0</v>
      </c>
      <c r="AN598" s="1" t="b">
        <v>0</v>
      </c>
      <c r="AO598" s="1" t="b">
        <v>0</v>
      </c>
    </row>
    <row r="599" spans="1:41" x14ac:dyDescent="0.25">
      <c r="A599" s="10"/>
      <c r="B599" s="10"/>
      <c r="C599" s="10"/>
      <c r="D599" s="10"/>
      <c r="E599" s="10"/>
      <c r="F599" s="10"/>
      <c r="G599" s="10"/>
      <c r="H599" s="10"/>
      <c r="I599" s="1" t="str">
        <f t="shared" si="27"/>
        <v/>
      </c>
      <c r="J599" s="1" t="s">
        <v>35</v>
      </c>
      <c r="K599" s="1" t="str">
        <f t="shared" si="28"/>
        <v/>
      </c>
      <c r="L599" s="1" t="str">
        <f t="shared" si="29"/>
        <v/>
      </c>
      <c r="M599" s="1">
        <f>IF(OR(Table1[[#This Row],[Std Nom]]="",Table1[[#This Row],[Std Read]]=""),0,Table1[[#This Row],[Std Nom]]-Table1[[#This Row],[Std Read]])</f>
        <v>0</v>
      </c>
      <c r="N599" s="1">
        <f>IF(Calculations!$F$5="ACCREDITED 17025 WITH UNCERTAINTIES",$N$10,0)</f>
        <v>0</v>
      </c>
      <c r="O599" s="1" t="str">
        <f>IFERROR(Table1[[#This Row],[Std Nom]]-(_xlfn.XLOOKUP(Table1[[#This Row],[Manufacturer]]&amp;" "&amp;Table1[[#This Row],[Model]],Table13[MFR &amp; MDL],Table13[Tolerance % CW ],"")/100*Table1[[#This Row],[Std Nom]]),"")</f>
        <v/>
      </c>
      <c r="P599" s="1" t="str">
        <f>IFERROR(Table1[[#This Row],[Std Nom]]+(_xlfn.XLOOKUP(Table1[[#This Row],[Manufacturer]]&amp;" "&amp;Table1[[#This Row],[Model]],Table13[MFR &amp; MDL],Table13[Tolerance % CW ],"")/100*Table1[[#This Row],[Std Nom]]),"")</f>
        <v/>
      </c>
      <c r="Q599" s="1" t="e">
        <f>Table1[[#This Row],[High Tol]]-Table1[[#This Row],[Low Tol]]</f>
        <v>#VALUE!</v>
      </c>
      <c r="R599" s="1">
        <f>2*Table1[[#This Row],[Std Error]]</f>
        <v>0</v>
      </c>
      <c r="S599" s="1" t="str">
        <f>IF(Table1[[#This Row],[High Tol]]="","N/A",IFERROR(ABS(Table1[[#This Row],[Tol Span]]/Table1[[#This Row],[Error Span]]),"N/A"))</f>
        <v>N/A</v>
      </c>
      <c r="T599" s="1" t="str">
        <f>IF(OR(Table1[[#This Row],[Low Tol]]="",Table1[[#This Row],[High Tol]]=""),"Needs Analysis",IF(Table1[[#This Row],[Ratio]]&gt;=4,"Not Significant",IF(Table1[[#This Row],[Ratio]]&gt;=2,"Semi-Significant","Significant")))</f>
        <v>Needs Analysis</v>
      </c>
      <c r="W599" s="1">
        <f>IF(Table1[[#This Row],[Cal Type]]&lt;&gt;"ACCREDITED 17025 WITH UNCERTAINTIES",0,"")</f>
        <v>0</v>
      </c>
      <c r="X599" s="1" t="str">
        <f>IF(Table1[[#This Row],[DUT Read]]="","N/A",Table1[[#This Row],[Std Error]]+Table1[[#This Row],[DUT Read]]+Table1[[#This Row],[DUT Ucty]])</f>
        <v>N/A</v>
      </c>
      <c r="Y599" s="1" t="str">
        <f>IF(Table1[[#This Row],[Std Read]]="","N/A",Table1[[#This Row],[Std Read]]+Table1[[#This Row],[Std Ucty]])</f>
        <v>N/A</v>
      </c>
      <c r="Z5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9" s="1" t="str">
        <f>IF(Table1[[#This Row],[Spec Type]]="","N/A",Table1[[#This Row],[Spec Type]])</f>
        <v>±</v>
      </c>
      <c r="AC599" s="1" t="str">
        <f>IF(Table1[[#This Row],[Spec Type2]]="N/A","N/A",IF(AND(Table1[[#This Row],[DUT Adj Read]]&gt;=Table1[[#This Row],[Low Tol]],Table1[[#This Row],[DUT Adj Read]]&lt;=Table1[[#This Row],[High Tol]]),"Pass","Fail"))</f>
        <v>Fail</v>
      </c>
      <c r="AD599" s="1" t="str">
        <f>IF(AND(Table1[[#This Row],[Spec Type2]]="N/A",Table1[[#This Row],[DUT Adj Read]]="N/A",Table1[[#This Row],[Std Adj Read]]="N/A"),"N/A",IF(Table1[[#This Row],[DUT Adj Read]]="N/A",IF(Table1[[#This Row],[Std Adj Read]]&gt;Table1[[#This Row],[Low Tol]],"Pass","Fail"),IF(Table1[[#This Row],[DUT Adj Read]]&gt;Table1[[#This Row],[Low Tol]],"Pass","Fail")))</f>
        <v>Pass</v>
      </c>
      <c r="AE599" s="1" t="str">
        <f>IF(AND(Table1[[#This Row],[Spec Type2]]="N/A",Table1[[#This Row],[DUT Adj Read]]="N/A",Table1[[#This Row],[Std Adj Read]]="N/A"),"N/A",IF(Table1[[#This Row],[DUT Adj Read]]="N/A",IF(Table1[[#This Row],[Std Adj Read]]&lt;Table1[[#This Row],[High Tol]],"Pass","Fail"),IF(Table1[[#This Row],[DUT Adj Read]]&lt;Table1[[#This Row],[High Tol]],"Pass","Fail")))</f>
        <v>Fail</v>
      </c>
      <c r="AF599" s="1" t="str">
        <f>IF(AND(Table1[[#This Row],[Spec Type2]]="N/A",Table1[[#This Row],[DUT Adj Read]]="N/A",Table1[[#This Row],[Std Adj Read]]="N/A"),"N/A",IF(Table1[[#This Row],[DUT Adj Read]]="N/A",IF(Table1[[#This Row],[Std Adj Read]]&gt;=Table1[[#This Row],[Low Tol]],"Pass","Fail"),IF(Table1[[#This Row],[DUT Adj Read]]&gt;=Table1[[#This Row],[Low Tol]],"Pass","Fail")))</f>
        <v>Pass</v>
      </c>
      <c r="AG599" s="1" t="str">
        <f>IF(AND(Table1[[#This Row],[Spec Type2]]="N/A",Table1[[#This Row],[DUT Adj Read]]="N/A",Table1[[#This Row],[Std Adj Read]]="N/A"),"N/A",IF(Table1[[#This Row],[DUT Adj Read]]="N/A",IF(Table1[[#This Row],[Std Adj Read]]&lt;=Table1[[#This Row],[High Tol]],"Pass","Fail"),IF(Table1[[#This Row],[DUT Adj Read]]&lt;=Table1[[#This Row],[High Tol]],"Pass","Fail")))</f>
        <v>Fail</v>
      </c>
      <c r="AH5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9" s="1" t="b">
        <v>0</v>
      </c>
      <c r="AN599" s="1" t="b">
        <v>0</v>
      </c>
      <c r="AO599" s="1" t="b">
        <v>0</v>
      </c>
    </row>
    <row r="600" spans="1:41" x14ac:dyDescent="0.25">
      <c r="A600" s="10"/>
      <c r="B600" s="10"/>
      <c r="C600" s="10"/>
      <c r="D600" s="10"/>
      <c r="E600" s="10"/>
      <c r="F600" s="10"/>
      <c r="G600" s="10"/>
      <c r="H600" s="10"/>
      <c r="I600" s="1" t="str">
        <f t="shared" si="27"/>
        <v/>
      </c>
      <c r="J600" s="1" t="s">
        <v>35</v>
      </c>
      <c r="K600" s="1" t="str">
        <f t="shared" si="28"/>
        <v/>
      </c>
      <c r="L600" s="1" t="str">
        <f t="shared" si="29"/>
        <v/>
      </c>
      <c r="M600" s="1">
        <f>IF(OR(Table1[[#This Row],[Std Nom]]="",Table1[[#This Row],[Std Read]]=""),0,Table1[[#This Row],[Std Nom]]-Table1[[#This Row],[Std Read]])</f>
        <v>0</v>
      </c>
      <c r="N600" s="1">
        <f>IF(Calculations!$F$5="ACCREDITED 17025 WITH UNCERTAINTIES",$N$10,0)</f>
        <v>0</v>
      </c>
      <c r="O600" s="1" t="str">
        <f>IFERROR(Table1[[#This Row],[Std Nom]]-(_xlfn.XLOOKUP(Table1[[#This Row],[Manufacturer]]&amp;" "&amp;Table1[[#This Row],[Model]],Table13[MFR &amp; MDL],Table13[Tolerance % CW ],"")/100*Table1[[#This Row],[Std Nom]]),"")</f>
        <v/>
      </c>
      <c r="P600" s="1" t="str">
        <f>IFERROR(Table1[[#This Row],[Std Nom]]+(_xlfn.XLOOKUP(Table1[[#This Row],[Manufacturer]]&amp;" "&amp;Table1[[#This Row],[Model]],Table13[MFR &amp; MDL],Table13[Tolerance % CW ],"")/100*Table1[[#This Row],[Std Nom]]),"")</f>
        <v/>
      </c>
      <c r="Q600" s="1" t="e">
        <f>Table1[[#This Row],[High Tol]]-Table1[[#This Row],[Low Tol]]</f>
        <v>#VALUE!</v>
      </c>
      <c r="R600" s="1">
        <f>2*Table1[[#This Row],[Std Error]]</f>
        <v>0</v>
      </c>
      <c r="S600" s="1" t="str">
        <f>IF(Table1[[#This Row],[High Tol]]="","N/A",IFERROR(ABS(Table1[[#This Row],[Tol Span]]/Table1[[#This Row],[Error Span]]),"N/A"))</f>
        <v>N/A</v>
      </c>
      <c r="T600" s="1" t="str">
        <f>IF(OR(Table1[[#This Row],[Low Tol]]="",Table1[[#This Row],[High Tol]]=""),"Needs Analysis",IF(Table1[[#This Row],[Ratio]]&gt;=4,"Not Significant",IF(Table1[[#This Row],[Ratio]]&gt;=2,"Semi-Significant","Significant")))</f>
        <v>Needs Analysis</v>
      </c>
      <c r="W600" s="1">
        <f>IF(Table1[[#This Row],[Cal Type]]&lt;&gt;"ACCREDITED 17025 WITH UNCERTAINTIES",0,"")</f>
        <v>0</v>
      </c>
      <c r="X600" s="1" t="str">
        <f>IF(Table1[[#This Row],[DUT Read]]="","N/A",Table1[[#This Row],[Std Error]]+Table1[[#This Row],[DUT Read]]+Table1[[#This Row],[DUT Ucty]])</f>
        <v>N/A</v>
      </c>
      <c r="Y600" s="1" t="str">
        <f>IF(Table1[[#This Row],[Std Read]]="","N/A",Table1[[#This Row],[Std Read]]+Table1[[#This Row],[Std Ucty]])</f>
        <v>N/A</v>
      </c>
      <c r="Z6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0" s="1" t="str">
        <f>IF(Table1[[#This Row],[Spec Type]]="","N/A",Table1[[#This Row],[Spec Type]])</f>
        <v>±</v>
      </c>
      <c r="AC600" s="1" t="str">
        <f>IF(Table1[[#This Row],[Spec Type2]]="N/A","N/A",IF(AND(Table1[[#This Row],[DUT Adj Read]]&gt;=Table1[[#This Row],[Low Tol]],Table1[[#This Row],[DUT Adj Read]]&lt;=Table1[[#This Row],[High Tol]]),"Pass","Fail"))</f>
        <v>Fail</v>
      </c>
      <c r="AD600" s="1" t="str">
        <f>IF(AND(Table1[[#This Row],[Spec Type2]]="N/A",Table1[[#This Row],[DUT Adj Read]]="N/A",Table1[[#This Row],[Std Adj Read]]="N/A"),"N/A",IF(Table1[[#This Row],[DUT Adj Read]]="N/A",IF(Table1[[#This Row],[Std Adj Read]]&gt;Table1[[#This Row],[Low Tol]],"Pass","Fail"),IF(Table1[[#This Row],[DUT Adj Read]]&gt;Table1[[#This Row],[Low Tol]],"Pass","Fail")))</f>
        <v>Pass</v>
      </c>
      <c r="AE600" s="1" t="str">
        <f>IF(AND(Table1[[#This Row],[Spec Type2]]="N/A",Table1[[#This Row],[DUT Adj Read]]="N/A",Table1[[#This Row],[Std Adj Read]]="N/A"),"N/A",IF(Table1[[#This Row],[DUT Adj Read]]="N/A",IF(Table1[[#This Row],[Std Adj Read]]&lt;Table1[[#This Row],[High Tol]],"Pass","Fail"),IF(Table1[[#This Row],[DUT Adj Read]]&lt;Table1[[#This Row],[High Tol]],"Pass","Fail")))</f>
        <v>Fail</v>
      </c>
      <c r="AF600" s="1" t="str">
        <f>IF(AND(Table1[[#This Row],[Spec Type2]]="N/A",Table1[[#This Row],[DUT Adj Read]]="N/A",Table1[[#This Row],[Std Adj Read]]="N/A"),"N/A",IF(Table1[[#This Row],[DUT Adj Read]]="N/A",IF(Table1[[#This Row],[Std Adj Read]]&gt;=Table1[[#This Row],[Low Tol]],"Pass","Fail"),IF(Table1[[#This Row],[DUT Adj Read]]&gt;=Table1[[#This Row],[Low Tol]],"Pass","Fail")))</f>
        <v>Pass</v>
      </c>
      <c r="AG600" s="1" t="str">
        <f>IF(AND(Table1[[#This Row],[Spec Type2]]="N/A",Table1[[#This Row],[DUT Adj Read]]="N/A",Table1[[#This Row],[Std Adj Read]]="N/A"),"N/A",IF(Table1[[#This Row],[DUT Adj Read]]="N/A",IF(Table1[[#This Row],[Std Adj Read]]&lt;=Table1[[#This Row],[High Tol]],"Pass","Fail"),IF(Table1[[#This Row],[DUT Adj Read]]&lt;=Table1[[#This Row],[High Tol]],"Pass","Fail")))</f>
        <v>Fail</v>
      </c>
      <c r="AH6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0" s="1" t="b">
        <v>0</v>
      </c>
      <c r="AN600" s="1" t="b">
        <v>0</v>
      </c>
      <c r="AO600" s="1" t="b">
        <v>0</v>
      </c>
    </row>
    <row r="601" spans="1:41" x14ac:dyDescent="0.25">
      <c r="A601" s="10"/>
      <c r="B601" s="10"/>
      <c r="C601" s="10"/>
      <c r="D601" s="10"/>
      <c r="E601" s="10"/>
      <c r="F601" s="10"/>
      <c r="G601" s="10"/>
      <c r="H601" s="10"/>
      <c r="I601" s="1" t="str">
        <f t="shared" si="27"/>
        <v/>
      </c>
      <c r="J601" s="1" t="s">
        <v>35</v>
      </c>
      <c r="K601" s="1" t="str">
        <f t="shared" si="28"/>
        <v/>
      </c>
      <c r="L601" s="1" t="str">
        <f t="shared" si="29"/>
        <v/>
      </c>
      <c r="M601" s="1">
        <f>IF(OR(Table1[[#This Row],[Std Nom]]="",Table1[[#This Row],[Std Read]]=""),0,Table1[[#This Row],[Std Nom]]-Table1[[#This Row],[Std Read]])</f>
        <v>0</v>
      </c>
      <c r="N601" s="1">
        <f>IF(Calculations!$F$5="ACCREDITED 17025 WITH UNCERTAINTIES",$N$10,0)</f>
        <v>0</v>
      </c>
      <c r="O601" s="1" t="str">
        <f>IFERROR(Table1[[#This Row],[Std Nom]]-(_xlfn.XLOOKUP(Table1[[#This Row],[Manufacturer]]&amp;" "&amp;Table1[[#This Row],[Model]],Table13[MFR &amp; MDL],Table13[Tolerance % CW ],"")/100*Table1[[#This Row],[Std Nom]]),"")</f>
        <v/>
      </c>
      <c r="P601" s="1" t="str">
        <f>IFERROR(Table1[[#This Row],[Std Nom]]+(_xlfn.XLOOKUP(Table1[[#This Row],[Manufacturer]]&amp;" "&amp;Table1[[#This Row],[Model]],Table13[MFR &amp; MDL],Table13[Tolerance % CW ],"")/100*Table1[[#This Row],[Std Nom]]),"")</f>
        <v/>
      </c>
      <c r="Q601" s="1" t="e">
        <f>Table1[[#This Row],[High Tol]]-Table1[[#This Row],[Low Tol]]</f>
        <v>#VALUE!</v>
      </c>
      <c r="R601" s="1">
        <f>2*Table1[[#This Row],[Std Error]]</f>
        <v>0</v>
      </c>
      <c r="S601" s="1" t="str">
        <f>IF(Table1[[#This Row],[High Tol]]="","N/A",IFERROR(ABS(Table1[[#This Row],[Tol Span]]/Table1[[#This Row],[Error Span]]),"N/A"))</f>
        <v>N/A</v>
      </c>
      <c r="T601" s="1" t="str">
        <f>IF(OR(Table1[[#This Row],[Low Tol]]="",Table1[[#This Row],[High Tol]]=""),"Needs Analysis",IF(Table1[[#This Row],[Ratio]]&gt;=4,"Not Significant",IF(Table1[[#This Row],[Ratio]]&gt;=2,"Semi-Significant","Significant")))</f>
        <v>Needs Analysis</v>
      </c>
      <c r="W601" s="1">
        <f>IF(Table1[[#This Row],[Cal Type]]&lt;&gt;"ACCREDITED 17025 WITH UNCERTAINTIES",0,"")</f>
        <v>0</v>
      </c>
      <c r="X601" s="1" t="str">
        <f>IF(Table1[[#This Row],[DUT Read]]="","N/A",Table1[[#This Row],[Std Error]]+Table1[[#This Row],[DUT Read]]+Table1[[#This Row],[DUT Ucty]])</f>
        <v>N/A</v>
      </c>
      <c r="Y601" s="1" t="str">
        <f>IF(Table1[[#This Row],[Std Read]]="","N/A",Table1[[#This Row],[Std Read]]+Table1[[#This Row],[Std Ucty]])</f>
        <v>N/A</v>
      </c>
      <c r="Z6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1" s="1" t="str">
        <f>IF(Table1[[#This Row],[Spec Type]]="","N/A",Table1[[#This Row],[Spec Type]])</f>
        <v>±</v>
      </c>
      <c r="AC601" s="1" t="str">
        <f>IF(Table1[[#This Row],[Spec Type2]]="N/A","N/A",IF(AND(Table1[[#This Row],[DUT Adj Read]]&gt;=Table1[[#This Row],[Low Tol]],Table1[[#This Row],[DUT Adj Read]]&lt;=Table1[[#This Row],[High Tol]]),"Pass","Fail"))</f>
        <v>Fail</v>
      </c>
      <c r="AD601" s="1" t="str">
        <f>IF(AND(Table1[[#This Row],[Spec Type2]]="N/A",Table1[[#This Row],[DUT Adj Read]]="N/A",Table1[[#This Row],[Std Adj Read]]="N/A"),"N/A",IF(Table1[[#This Row],[DUT Adj Read]]="N/A",IF(Table1[[#This Row],[Std Adj Read]]&gt;Table1[[#This Row],[Low Tol]],"Pass","Fail"),IF(Table1[[#This Row],[DUT Adj Read]]&gt;Table1[[#This Row],[Low Tol]],"Pass","Fail")))</f>
        <v>Pass</v>
      </c>
      <c r="AE601" s="1" t="str">
        <f>IF(AND(Table1[[#This Row],[Spec Type2]]="N/A",Table1[[#This Row],[DUT Adj Read]]="N/A",Table1[[#This Row],[Std Adj Read]]="N/A"),"N/A",IF(Table1[[#This Row],[DUT Adj Read]]="N/A",IF(Table1[[#This Row],[Std Adj Read]]&lt;Table1[[#This Row],[High Tol]],"Pass","Fail"),IF(Table1[[#This Row],[DUT Adj Read]]&lt;Table1[[#This Row],[High Tol]],"Pass","Fail")))</f>
        <v>Fail</v>
      </c>
      <c r="AF601" s="1" t="str">
        <f>IF(AND(Table1[[#This Row],[Spec Type2]]="N/A",Table1[[#This Row],[DUT Adj Read]]="N/A",Table1[[#This Row],[Std Adj Read]]="N/A"),"N/A",IF(Table1[[#This Row],[DUT Adj Read]]="N/A",IF(Table1[[#This Row],[Std Adj Read]]&gt;=Table1[[#This Row],[Low Tol]],"Pass","Fail"),IF(Table1[[#This Row],[DUT Adj Read]]&gt;=Table1[[#This Row],[Low Tol]],"Pass","Fail")))</f>
        <v>Pass</v>
      </c>
      <c r="AG601" s="1" t="str">
        <f>IF(AND(Table1[[#This Row],[Spec Type2]]="N/A",Table1[[#This Row],[DUT Adj Read]]="N/A",Table1[[#This Row],[Std Adj Read]]="N/A"),"N/A",IF(Table1[[#This Row],[DUT Adj Read]]="N/A",IF(Table1[[#This Row],[Std Adj Read]]&lt;=Table1[[#This Row],[High Tol]],"Pass","Fail"),IF(Table1[[#This Row],[DUT Adj Read]]&lt;=Table1[[#This Row],[High Tol]],"Pass","Fail")))</f>
        <v>Fail</v>
      </c>
      <c r="AH6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1" s="1" t="b">
        <v>0</v>
      </c>
      <c r="AN601" s="1" t="b">
        <v>0</v>
      </c>
      <c r="AO601" s="1" t="b">
        <v>0</v>
      </c>
    </row>
    <row r="602" spans="1:41" x14ac:dyDescent="0.25">
      <c r="A602" s="10"/>
      <c r="B602" s="10"/>
      <c r="C602" s="10"/>
      <c r="D602" s="10"/>
      <c r="E602" s="10"/>
      <c r="F602" s="10"/>
      <c r="G602" s="10"/>
      <c r="H602" s="10"/>
      <c r="I602" s="1" t="str">
        <f t="shared" si="27"/>
        <v/>
      </c>
      <c r="J602" s="1" t="s">
        <v>35</v>
      </c>
      <c r="K602" s="1" t="str">
        <f t="shared" si="28"/>
        <v/>
      </c>
      <c r="L602" s="1" t="str">
        <f t="shared" si="29"/>
        <v/>
      </c>
      <c r="M602" s="1">
        <f>IF(OR(Table1[[#This Row],[Std Nom]]="",Table1[[#This Row],[Std Read]]=""),0,Table1[[#This Row],[Std Nom]]-Table1[[#This Row],[Std Read]])</f>
        <v>0</v>
      </c>
      <c r="N602" s="1">
        <f>IF(Calculations!$F$5="ACCREDITED 17025 WITH UNCERTAINTIES",$N$10,0)</f>
        <v>0</v>
      </c>
      <c r="O602" s="1" t="str">
        <f>IFERROR(Table1[[#This Row],[Std Nom]]-(_xlfn.XLOOKUP(Table1[[#This Row],[Manufacturer]]&amp;" "&amp;Table1[[#This Row],[Model]],Table13[MFR &amp; MDL],Table13[Tolerance % CW ],"")/100*Table1[[#This Row],[Std Nom]]),"")</f>
        <v/>
      </c>
      <c r="P602" s="1" t="str">
        <f>IFERROR(Table1[[#This Row],[Std Nom]]+(_xlfn.XLOOKUP(Table1[[#This Row],[Manufacturer]]&amp;" "&amp;Table1[[#This Row],[Model]],Table13[MFR &amp; MDL],Table13[Tolerance % CW ],"")/100*Table1[[#This Row],[Std Nom]]),"")</f>
        <v/>
      </c>
      <c r="Q602" s="1" t="e">
        <f>Table1[[#This Row],[High Tol]]-Table1[[#This Row],[Low Tol]]</f>
        <v>#VALUE!</v>
      </c>
      <c r="R602" s="1">
        <f>2*Table1[[#This Row],[Std Error]]</f>
        <v>0</v>
      </c>
      <c r="S602" s="1" t="str">
        <f>IF(Table1[[#This Row],[High Tol]]="","N/A",IFERROR(ABS(Table1[[#This Row],[Tol Span]]/Table1[[#This Row],[Error Span]]),"N/A"))</f>
        <v>N/A</v>
      </c>
      <c r="T602" s="1" t="str">
        <f>IF(OR(Table1[[#This Row],[Low Tol]]="",Table1[[#This Row],[High Tol]]=""),"Needs Analysis",IF(Table1[[#This Row],[Ratio]]&gt;=4,"Not Significant",IF(Table1[[#This Row],[Ratio]]&gt;=2,"Semi-Significant","Significant")))</f>
        <v>Needs Analysis</v>
      </c>
      <c r="W602" s="1">
        <f>IF(Table1[[#This Row],[Cal Type]]&lt;&gt;"ACCREDITED 17025 WITH UNCERTAINTIES",0,"")</f>
        <v>0</v>
      </c>
      <c r="X602" s="1" t="str">
        <f>IF(Table1[[#This Row],[DUT Read]]="","N/A",Table1[[#This Row],[Std Error]]+Table1[[#This Row],[DUT Read]]+Table1[[#This Row],[DUT Ucty]])</f>
        <v>N/A</v>
      </c>
      <c r="Y602" s="1" t="str">
        <f>IF(Table1[[#This Row],[Std Read]]="","N/A",Table1[[#This Row],[Std Read]]+Table1[[#This Row],[Std Ucty]])</f>
        <v>N/A</v>
      </c>
      <c r="Z6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2" s="1" t="str">
        <f>IF(Table1[[#This Row],[Spec Type]]="","N/A",Table1[[#This Row],[Spec Type]])</f>
        <v>±</v>
      </c>
      <c r="AC602" s="1" t="str">
        <f>IF(Table1[[#This Row],[Spec Type2]]="N/A","N/A",IF(AND(Table1[[#This Row],[DUT Adj Read]]&gt;=Table1[[#This Row],[Low Tol]],Table1[[#This Row],[DUT Adj Read]]&lt;=Table1[[#This Row],[High Tol]]),"Pass","Fail"))</f>
        <v>Fail</v>
      </c>
      <c r="AD602" s="1" t="str">
        <f>IF(AND(Table1[[#This Row],[Spec Type2]]="N/A",Table1[[#This Row],[DUT Adj Read]]="N/A",Table1[[#This Row],[Std Adj Read]]="N/A"),"N/A",IF(Table1[[#This Row],[DUT Adj Read]]="N/A",IF(Table1[[#This Row],[Std Adj Read]]&gt;Table1[[#This Row],[Low Tol]],"Pass","Fail"),IF(Table1[[#This Row],[DUT Adj Read]]&gt;Table1[[#This Row],[Low Tol]],"Pass","Fail")))</f>
        <v>Pass</v>
      </c>
      <c r="AE602" s="1" t="str">
        <f>IF(AND(Table1[[#This Row],[Spec Type2]]="N/A",Table1[[#This Row],[DUT Adj Read]]="N/A",Table1[[#This Row],[Std Adj Read]]="N/A"),"N/A",IF(Table1[[#This Row],[DUT Adj Read]]="N/A",IF(Table1[[#This Row],[Std Adj Read]]&lt;Table1[[#This Row],[High Tol]],"Pass","Fail"),IF(Table1[[#This Row],[DUT Adj Read]]&lt;Table1[[#This Row],[High Tol]],"Pass","Fail")))</f>
        <v>Fail</v>
      </c>
      <c r="AF602" s="1" t="str">
        <f>IF(AND(Table1[[#This Row],[Spec Type2]]="N/A",Table1[[#This Row],[DUT Adj Read]]="N/A",Table1[[#This Row],[Std Adj Read]]="N/A"),"N/A",IF(Table1[[#This Row],[DUT Adj Read]]="N/A",IF(Table1[[#This Row],[Std Adj Read]]&gt;=Table1[[#This Row],[Low Tol]],"Pass","Fail"),IF(Table1[[#This Row],[DUT Adj Read]]&gt;=Table1[[#This Row],[Low Tol]],"Pass","Fail")))</f>
        <v>Pass</v>
      </c>
      <c r="AG602" s="1" t="str">
        <f>IF(AND(Table1[[#This Row],[Spec Type2]]="N/A",Table1[[#This Row],[DUT Adj Read]]="N/A",Table1[[#This Row],[Std Adj Read]]="N/A"),"N/A",IF(Table1[[#This Row],[DUT Adj Read]]="N/A",IF(Table1[[#This Row],[Std Adj Read]]&lt;=Table1[[#This Row],[High Tol]],"Pass","Fail"),IF(Table1[[#This Row],[DUT Adj Read]]&lt;=Table1[[#This Row],[High Tol]],"Pass","Fail")))</f>
        <v>Fail</v>
      </c>
      <c r="AH6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2" s="1" t="b">
        <v>0</v>
      </c>
      <c r="AN602" s="1" t="b">
        <v>0</v>
      </c>
      <c r="AO602" s="1" t="b">
        <v>0</v>
      </c>
    </row>
    <row r="603" spans="1:41" x14ac:dyDescent="0.25">
      <c r="A603" s="10"/>
      <c r="B603" s="10"/>
      <c r="C603" s="10"/>
      <c r="D603" s="10"/>
      <c r="E603" s="10"/>
      <c r="F603" s="10"/>
      <c r="G603" s="10"/>
      <c r="H603" s="10"/>
      <c r="I603" s="1" t="str">
        <f t="shared" si="27"/>
        <v/>
      </c>
      <c r="J603" s="1" t="s">
        <v>35</v>
      </c>
      <c r="K603" s="1" t="str">
        <f t="shared" si="28"/>
        <v/>
      </c>
      <c r="L603" s="1" t="str">
        <f t="shared" si="29"/>
        <v/>
      </c>
      <c r="M603" s="1">
        <f>IF(OR(Table1[[#This Row],[Std Nom]]="",Table1[[#This Row],[Std Read]]=""),0,Table1[[#This Row],[Std Nom]]-Table1[[#This Row],[Std Read]])</f>
        <v>0</v>
      </c>
      <c r="N603" s="1">
        <f>IF(Calculations!$F$5="ACCREDITED 17025 WITH UNCERTAINTIES",$N$10,0)</f>
        <v>0</v>
      </c>
      <c r="O603" s="1" t="str">
        <f>IFERROR(Table1[[#This Row],[Std Nom]]-(_xlfn.XLOOKUP(Table1[[#This Row],[Manufacturer]]&amp;" "&amp;Table1[[#This Row],[Model]],Table13[MFR &amp; MDL],Table13[Tolerance % CW ],"")/100*Table1[[#This Row],[Std Nom]]),"")</f>
        <v/>
      </c>
      <c r="P603" s="1" t="str">
        <f>IFERROR(Table1[[#This Row],[Std Nom]]+(_xlfn.XLOOKUP(Table1[[#This Row],[Manufacturer]]&amp;" "&amp;Table1[[#This Row],[Model]],Table13[MFR &amp; MDL],Table13[Tolerance % CW ],"")/100*Table1[[#This Row],[Std Nom]]),"")</f>
        <v/>
      </c>
      <c r="Q603" s="1" t="e">
        <f>Table1[[#This Row],[High Tol]]-Table1[[#This Row],[Low Tol]]</f>
        <v>#VALUE!</v>
      </c>
      <c r="R603" s="1">
        <f>2*Table1[[#This Row],[Std Error]]</f>
        <v>0</v>
      </c>
      <c r="S603" s="1" t="str">
        <f>IF(Table1[[#This Row],[High Tol]]="","N/A",IFERROR(ABS(Table1[[#This Row],[Tol Span]]/Table1[[#This Row],[Error Span]]),"N/A"))</f>
        <v>N/A</v>
      </c>
      <c r="T603" s="1" t="str">
        <f>IF(OR(Table1[[#This Row],[Low Tol]]="",Table1[[#This Row],[High Tol]]=""),"Needs Analysis",IF(Table1[[#This Row],[Ratio]]&gt;=4,"Not Significant",IF(Table1[[#This Row],[Ratio]]&gt;=2,"Semi-Significant","Significant")))</f>
        <v>Needs Analysis</v>
      </c>
      <c r="W603" s="1">
        <f>IF(Table1[[#This Row],[Cal Type]]&lt;&gt;"ACCREDITED 17025 WITH UNCERTAINTIES",0,"")</f>
        <v>0</v>
      </c>
      <c r="X603" s="1" t="str">
        <f>IF(Table1[[#This Row],[DUT Read]]="","N/A",Table1[[#This Row],[Std Error]]+Table1[[#This Row],[DUT Read]]+Table1[[#This Row],[DUT Ucty]])</f>
        <v>N/A</v>
      </c>
      <c r="Y603" s="1" t="str">
        <f>IF(Table1[[#This Row],[Std Read]]="","N/A",Table1[[#This Row],[Std Read]]+Table1[[#This Row],[Std Ucty]])</f>
        <v>N/A</v>
      </c>
      <c r="Z6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3" s="1" t="str">
        <f>IF(Table1[[#This Row],[Spec Type]]="","N/A",Table1[[#This Row],[Spec Type]])</f>
        <v>±</v>
      </c>
      <c r="AC603" s="1" t="str">
        <f>IF(Table1[[#This Row],[Spec Type2]]="N/A","N/A",IF(AND(Table1[[#This Row],[DUT Adj Read]]&gt;=Table1[[#This Row],[Low Tol]],Table1[[#This Row],[DUT Adj Read]]&lt;=Table1[[#This Row],[High Tol]]),"Pass","Fail"))</f>
        <v>Fail</v>
      </c>
      <c r="AD603" s="1" t="str">
        <f>IF(AND(Table1[[#This Row],[Spec Type2]]="N/A",Table1[[#This Row],[DUT Adj Read]]="N/A",Table1[[#This Row],[Std Adj Read]]="N/A"),"N/A",IF(Table1[[#This Row],[DUT Adj Read]]="N/A",IF(Table1[[#This Row],[Std Adj Read]]&gt;Table1[[#This Row],[Low Tol]],"Pass","Fail"),IF(Table1[[#This Row],[DUT Adj Read]]&gt;Table1[[#This Row],[Low Tol]],"Pass","Fail")))</f>
        <v>Pass</v>
      </c>
      <c r="AE603" s="1" t="str">
        <f>IF(AND(Table1[[#This Row],[Spec Type2]]="N/A",Table1[[#This Row],[DUT Adj Read]]="N/A",Table1[[#This Row],[Std Adj Read]]="N/A"),"N/A",IF(Table1[[#This Row],[DUT Adj Read]]="N/A",IF(Table1[[#This Row],[Std Adj Read]]&lt;Table1[[#This Row],[High Tol]],"Pass","Fail"),IF(Table1[[#This Row],[DUT Adj Read]]&lt;Table1[[#This Row],[High Tol]],"Pass","Fail")))</f>
        <v>Fail</v>
      </c>
      <c r="AF603" s="1" t="str">
        <f>IF(AND(Table1[[#This Row],[Spec Type2]]="N/A",Table1[[#This Row],[DUT Adj Read]]="N/A",Table1[[#This Row],[Std Adj Read]]="N/A"),"N/A",IF(Table1[[#This Row],[DUT Adj Read]]="N/A",IF(Table1[[#This Row],[Std Adj Read]]&gt;=Table1[[#This Row],[Low Tol]],"Pass","Fail"),IF(Table1[[#This Row],[DUT Adj Read]]&gt;=Table1[[#This Row],[Low Tol]],"Pass","Fail")))</f>
        <v>Pass</v>
      </c>
      <c r="AG603" s="1" t="str">
        <f>IF(AND(Table1[[#This Row],[Spec Type2]]="N/A",Table1[[#This Row],[DUT Adj Read]]="N/A",Table1[[#This Row],[Std Adj Read]]="N/A"),"N/A",IF(Table1[[#This Row],[DUT Adj Read]]="N/A",IF(Table1[[#This Row],[Std Adj Read]]&lt;=Table1[[#This Row],[High Tol]],"Pass","Fail"),IF(Table1[[#This Row],[DUT Adj Read]]&lt;=Table1[[#This Row],[High Tol]],"Pass","Fail")))</f>
        <v>Fail</v>
      </c>
      <c r="AH6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3" s="1" t="b">
        <v>0</v>
      </c>
      <c r="AN603" s="1" t="b">
        <v>0</v>
      </c>
      <c r="AO603" s="1" t="b">
        <v>0</v>
      </c>
    </row>
    <row r="604" spans="1:41" x14ac:dyDescent="0.25">
      <c r="A604" s="10"/>
      <c r="B604" s="10"/>
      <c r="C604" s="10"/>
      <c r="D604" s="10"/>
      <c r="E604" s="10"/>
      <c r="F604" s="10"/>
      <c r="G604" s="10"/>
      <c r="H604" s="10"/>
      <c r="I604" s="1" t="str">
        <f t="shared" si="27"/>
        <v/>
      </c>
      <c r="J604" s="1" t="s">
        <v>35</v>
      </c>
      <c r="K604" s="1" t="str">
        <f t="shared" si="28"/>
        <v/>
      </c>
      <c r="L604" s="1" t="str">
        <f t="shared" si="29"/>
        <v/>
      </c>
      <c r="M604" s="1">
        <f>IF(OR(Table1[[#This Row],[Std Nom]]="",Table1[[#This Row],[Std Read]]=""),0,Table1[[#This Row],[Std Nom]]-Table1[[#This Row],[Std Read]])</f>
        <v>0</v>
      </c>
      <c r="N604" s="1">
        <f>IF(Calculations!$F$5="ACCREDITED 17025 WITH UNCERTAINTIES",$N$10,0)</f>
        <v>0</v>
      </c>
      <c r="O604" s="1" t="str">
        <f>IFERROR(Table1[[#This Row],[Std Nom]]-(_xlfn.XLOOKUP(Table1[[#This Row],[Manufacturer]]&amp;" "&amp;Table1[[#This Row],[Model]],Table13[MFR &amp; MDL],Table13[Tolerance % CW ],"")/100*Table1[[#This Row],[Std Nom]]),"")</f>
        <v/>
      </c>
      <c r="P604" s="1" t="str">
        <f>IFERROR(Table1[[#This Row],[Std Nom]]+(_xlfn.XLOOKUP(Table1[[#This Row],[Manufacturer]]&amp;" "&amp;Table1[[#This Row],[Model]],Table13[MFR &amp; MDL],Table13[Tolerance % CW ],"")/100*Table1[[#This Row],[Std Nom]]),"")</f>
        <v/>
      </c>
      <c r="Q604" s="1" t="e">
        <f>Table1[[#This Row],[High Tol]]-Table1[[#This Row],[Low Tol]]</f>
        <v>#VALUE!</v>
      </c>
      <c r="R604" s="1">
        <f>2*Table1[[#This Row],[Std Error]]</f>
        <v>0</v>
      </c>
      <c r="S604" s="1" t="str">
        <f>IF(Table1[[#This Row],[High Tol]]="","N/A",IFERROR(ABS(Table1[[#This Row],[Tol Span]]/Table1[[#This Row],[Error Span]]),"N/A"))</f>
        <v>N/A</v>
      </c>
      <c r="T604" s="1" t="str">
        <f>IF(OR(Table1[[#This Row],[Low Tol]]="",Table1[[#This Row],[High Tol]]=""),"Needs Analysis",IF(Table1[[#This Row],[Ratio]]&gt;=4,"Not Significant",IF(Table1[[#This Row],[Ratio]]&gt;=2,"Semi-Significant","Significant")))</f>
        <v>Needs Analysis</v>
      </c>
      <c r="W604" s="1">
        <f>IF(Table1[[#This Row],[Cal Type]]&lt;&gt;"ACCREDITED 17025 WITH UNCERTAINTIES",0,"")</f>
        <v>0</v>
      </c>
      <c r="X604" s="1" t="str">
        <f>IF(Table1[[#This Row],[DUT Read]]="","N/A",Table1[[#This Row],[Std Error]]+Table1[[#This Row],[DUT Read]]+Table1[[#This Row],[DUT Ucty]])</f>
        <v>N/A</v>
      </c>
      <c r="Y604" s="1" t="str">
        <f>IF(Table1[[#This Row],[Std Read]]="","N/A",Table1[[#This Row],[Std Read]]+Table1[[#This Row],[Std Ucty]])</f>
        <v>N/A</v>
      </c>
      <c r="Z6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4" s="1" t="str">
        <f>IF(Table1[[#This Row],[Spec Type]]="","N/A",Table1[[#This Row],[Spec Type]])</f>
        <v>±</v>
      </c>
      <c r="AC604" s="1" t="str">
        <f>IF(Table1[[#This Row],[Spec Type2]]="N/A","N/A",IF(AND(Table1[[#This Row],[DUT Adj Read]]&gt;=Table1[[#This Row],[Low Tol]],Table1[[#This Row],[DUT Adj Read]]&lt;=Table1[[#This Row],[High Tol]]),"Pass","Fail"))</f>
        <v>Fail</v>
      </c>
      <c r="AD604" s="1" t="str">
        <f>IF(AND(Table1[[#This Row],[Spec Type2]]="N/A",Table1[[#This Row],[DUT Adj Read]]="N/A",Table1[[#This Row],[Std Adj Read]]="N/A"),"N/A",IF(Table1[[#This Row],[DUT Adj Read]]="N/A",IF(Table1[[#This Row],[Std Adj Read]]&gt;Table1[[#This Row],[Low Tol]],"Pass","Fail"),IF(Table1[[#This Row],[DUT Adj Read]]&gt;Table1[[#This Row],[Low Tol]],"Pass","Fail")))</f>
        <v>Pass</v>
      </c>
      <c r="AE604" s="1" t="str">
        <f>IF(AND(Table1[[#This Row],[Spec Type2]]="N/A",Table1[[#This Row],[DUT Adj Read]]="N/A",Table1[[#This Row],[Std Adj Read]]="N/A"),"N/A",IF(Table1[[#This Row],[DUT Adj Read]]="N/A",IF(Table1[[#This Row],[Std Adj Read]]&lt;Table1[[#This Row],[High Tol]],"Pass","Fail"),IF(Table1[[#This Row],[DUT Adj Read]]&lt;Table1[[#This Row],[High Tol]],"Pass","Fail")))</f>
        <v>Fail</v>
      </c>
      <c r="AF604" s="1" t="str">
        <f>IF(AND(Table1[[#This Row],[Spec Type2]]="N/A",Table1[[#This Row],[DUT Adj Read]]="N/A",Table1[[#This Row],[Std Adj Read]]="N/A"),"N/A",IF(Table1[[#This Row],[DUT Adj Read]]="N/A",IF(Table1[[#This Row],[Std Adj Read]]&gt;=Table1[[#This Row],[Low Tol]],"Pass","Fail"),IF(Table1[[#This Row],[DUT Adj Read]]&gt;=Table1[[#This Row],[Low Tol]],"Pass","Fail")))</f>
        <v>Pass</v>
      </c>
      <c r="AG604" s="1" t="str">
        <f>IF(AND(Table1[[#This Row],[Spec Type2]]="N/A",Table1[[#This Row],[DUT Adj Read]]="N/A",Table1[[#This Row],[Std Adj Read]]="N/A"),"N/A",IF(Table1[[#This Row],[DUT Adj Read]]="N/A",IF(Table1[[#This Row],[Std Adj Read]]&lt;=Table1[[#This Row],[High Tol]],"Pass","Fail"),IF(Table1[[#This Row],[DUT Adj Read]]&lt;=Table1[[#This Row],[High Tol]],"Pass","Fail")))</f>
        <v>Fail</v>
      </c>
      <c r="AH6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4" s="1" t="b">
        <v>0</v>
      </c>
      <c r="AN604" s="1" t="b">
        <v>0</v>
      </c>
      <c r="AO604" s="1" t="b">
        <v>0</v>
      </c>
    </row>
    <row r="605" spans="1:41" x14ac:dyDescent="0.25">
      <c r="A605" s="10"/>
      <c r="B605" s="10"/>
      <c r="C605" s="10"/>
      <c r="D605" s="10"/>
      <c r="E605" s="10"/>
      <c r="F605" s="10"/>
      <c r="G605" s="10"/>
      <c r="H605" s="10"/>
      <c r="I605" s="1" t="str">
        <f t="shared" si="27"/>
        <v/>
      </c>
      <c r="J605" s="1" t="s">
        <v>35</v>
      </c>
      <c r="K605" s="1" t="str">
        <f t="shared" si="28"/>
        <v/>
      </c>
      <c r="L605" s="1" t="str">
        <f t="shared" si="29"/>
        <v/>
      </c>
      <c r="M605" s="1">
        <f>IF(OR(Table1[[#This Row],[Std Nom]]="",Table1[[#This Row],[Std Read]]=""),0,Table1[[#This Row],[Std Nom]]-Table1[[#This Row],[Std Read]])</f>
        <v>0</v>
      </c>
      <c r="N605" s="1">
        <f>IF(Calculations!$F$5="ACCREDITED 17025 WITH UNCERTAINTIES",$N$10,0)</f>
        <v>0</v>
      </c>
      <c r="O605" s="1" t="str">
        <f>IFERROR(Table1[[#This Row],[Std Nom]]-(_xlfn.XLOOKUP(Table1[[#This Row],[Manufacturer]]&amp;" "&amp;Table1[[#This Row],[Model]],Table13[MFR &amp; MDL],Table13[Tolerance % CW ],"")/100*Table1[[#This Row],[Std Nom]]),"")</f>
        <v/>
      </c>
      <c r="P605" s="1" t="str">
        <f>IFERROR(Table1[[#This Row],[Std Nom]]+(_xlfn.XLOOKUP(Table1[[#This Row],[Manufacturer]]&amp;" "&amp;Table1[[#This Row],[Model]],Table13[MFR &amp; MDL],Table13[Tolerance % CW ],"")/100*Table1[[#This Row],[Std Nom]]),"")</f>
        <v/>
      </c>
      <c r="Q605" s="1" t="e">
        <f>Table1[[#This Row],[High Tol]]-Table1[[#This Row],[Low Tol]]</f>
        <v>#VALUE!</v>
      </c>
      <c r="R605" s="1">
        <f>2*Table1[[#This Row],[Std Error]]</f>
        <v>0</v>
      </c>
      <c r="S605" s="1" t="str">
        <f>IF(Table1[[#This Row],[High Tol]]="","N/A",IFERROR(ABS(Table1[[#This Row],[Tol Span]]/Table1[[#This Row],[Error Span]]),"N/A"))</f>
        <v>N/A</v>
      </c>
      <c r="T605" s="1" t="str">
        <f>IF(OR(Table1[[#This Row],[Low Tol]]="",Table1[[#This Row],[High Tol]]=""),"Needs Analysis",IF(Table1[[#This Row],[Ratio]]&gt;=4,"Not Significant",IF(Table1[[#This Row],[Ratio]]&gt;=2,"Semi-Significant","Significant")))</f>
        <v>Needs Analysis</v>
      </c>
      <c r="W605" s="1">
        <f>IF(Table1[[#This Row],[Cal Type]]&lt;&gt;"ACCREDITED 17025 WITH UNCERTAINTIES",0,"")</f>
        <v>0</v>
      </c>
      <c r="X605" s="1" t="str">
        <f>IF(Table1[[#This Row],[DUT Read]]="","N/A",Table1[[#This Row],[Std Error]]+Table1[[#This Row],[DUT Read]]+Table1[[#This Row],[DUT Ucty]])</f>
        <v>N/A</v>
      </c>
      <c r="Y605" s="1" t="str">
        <f>IF(Table1[[#This Row],[Std Read]]="","N/A",Table1[[#This Row],[Std Read]]+Table1[[#This Row],[Std Ucty]])</f>
        <v>N/A</v>
      </c>
      <c r="Z6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5" s="1" t="str">
        <f>IF(Table1[[#This Row],[Spec Type]]="","N/A",Table1[[#This Row],[Spec Type]])</f>
        <v>±</v>
      </c>
      <c r="AC605" s="1" t="str">
        <f>IF(Table1[[#This Row],[Spec Type2]]="N/A","N/A",IF(AND(Table1[[#This Row],[DUT Adj Read]]&gt;=Table1[[#This Row],[Low Tol]],Table1[[#This Row],[DUT Adj Read]]&lt;=Table1[[#This Row],[High Tol]]),"Pass","Fail"))</f>
        <v>Fail</v>
      </c>
      <c r="AD605" s="1" t="str">
        <f>IF(AND(Table1[[#This Row],[Spec Type2]]="N/A",Table1[[#This Row],[DUT Adj Read]]="N/A",Table1[[#This Row],[Std Adj Read]]="N/A"),"N/A",IF(Table1[[#This Row],[DUT Adj Read]]="N/A",IF(Table1[[#This Row],[Std Adj Read]]&gt;Table1[[#This Row],[Low Tol]],"Pass","Fail"),IF(Table1[[#This Row],[DUT Adj Read]]&gt;Table1[[#This Row],[Low Tol]],"Pass","Fail")))</f>
        <v>Pass</v>
      </c>
      <c r="AE605" s="1" t="str">
        <f>IF(AND(Table1[[#This Row],[Spec Type2]]="N/A",Table1[[#This Row],[DUT Adj Read]]="N/A",Table1[[#This Row],[Std Adj Read]]="N/A"),"N/A",IF(Table1[[#This Row],[DUT Adj Read]]="N/A",IF(Table1[[#This Row],[Std Adj Read]]&lt;Table1[[#This Row],[High Tol]],"Pass","Fail"),IF(Table1[[#This Row],[DUT Adj Read]]&lt;Table1[[#This Row],[High Tol]],"Pass","Fail")))</f>
        <v>Fail</v>
      </c>
      <c r="AF605" s="1" t="str">
        <f>IF(AND(Table1[[#This Row],[Spec Type2]]="N/A",Table1[[#This Row],[DUT Adj Read]]="N/A",Table1[[#This Row],[Std Adj Read]]="N/A"),"N/A",IF(Table1[[#This Row],[DUT Adj Read]]="N/A",IF(Table1[[#This Row],[Std Adj Read]]&gt;=Table1[[#This Row],[Low Tol]],"Pass","Fail"),IF(Table1[[#This Row],[DUT Adj Read]]&gt;=Table1[[#This Row],[Low Tol]],"Pass","Fail")))</f>
        <v>Pass</v>
      </c>
      <c r="AG605" s="1" t="str">
        <f>IF(AND(Table1[[#This Row],[Spec Type2]]="N/A",Table1[[#This Row],[DUT Adj Read]]="N/A",Table1[[#This Row],[Std Adj Read]]="N/A"),"N/A",IF(Table1[[#This Row],[DUT Adj Read]]="N/A",IF(Table1[[#This Row],[Std Adj Read]]&lt;=Table1[[#This Row],[High Tol]],"Pass","Fail"),IF(Table1[[#This Row],[DUT Adj Read]]&lt;=Table1[[#This Row],[High Tol]],"Pass","Fail")))</f>
        <v>Fail</v>
      </c>
      <c r="AH6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5" s="1" t="b">
        <v>0</v>
      </c>
      <c r="AN605" s="1" t="b">
        <v>0</v>
      </c>
      <c r="AO605" s="1" t="b">
        <v>0</v>
      </c>
    </row>
    <row r="606" spans="1:41" x14ac:dyDescent="0.25">
      <c r="A606" s="10"/>
      <c r="B606" s="10"/>
      <c r="C606" s="10"/>
      <c r="D606" s="10"/>
      <c r="E606" s="10"/>
      <c r="F606" s="10"/>
      <c r="G606" s="10"/>
      <c r="H606" s="10"/>
      <c r="I606" s="1" t="str">
        <f t="shared" si="27"/>
        <v/>
      </c>
      <c r="J606" s="1" t="s">
        <v>35</v>
      </c>
      <c r="K606" s="1" t="str">
        <f t="shared" si="28"/>
        <v/>
      </c>
      <c r="L606" s="1" t="str">
        <f t="shared" si="29"/>
        <v/>
      </c>
      <c r="M606" s="1">
        <f>IF(OR(Table1[[#This Row],[Std Nom]]="",Table1[[#This Row],[Std Read]]=""),0,Table1[[#This Row],[Std Nom]]-Table1[[#This Row],[Std Read]])</f>
        <v>0</v>
      </c>
      <c r="N606" s="1">
        <f>IF(Calculations!$F$5="ACCREDITED 17025 WITH UNCERTAINTIES",$N$10,0)</f>
        <v>0</v>
      </c>
      <c r="O606" s="1" t="str">
        <f>IFERROR(Table1[[#This Row],[Std Nom]]-(_xlfn.XLOOKUP(Table1[[#This Row],[Manufacturer]]&amp;" "&amp;Table1[[#This Row],[Model]],Table13[MFR &amp; MDL],Table13[Tolerance % CW ],"")/100*Table1[[#This Row],[Std Nom]]),"")</f>
        <v/>
      </c>
      <c r="P606" s="1" t="str">
        <f>IFERROR(Table1[[#This Row],[Std Nom]]+(_xlfn.XLOOKUP(Table1[[#This Row],[Manufacturer]]&amp;" "&amp;Table1[[#This Row],[Model]],Table13[MFR &amp; MDL],Table13[Tolerance % CW ],"")/100*Table1[[#This Row],[Std Nom]]),"")</f>
        <v/>
      </c>
      <c r="Q606" s="1" t="e">
        <f>Table1[[#This Row],[High Tol]]-Table1[[#This Row],[Low Tol]]</f>
        <v>#VALUE!</v>
      </c>
      <c r="R606" s="1">
        <f>2*Table1[[#This Row],[Std Error]]</f>
        <v>0</v>
      </c>
      <c r="S606" s="1" t="str">
        <f>IF(Table1[[#This Row],[High Tol]]="","N/A",IFERROR(ABS(Table1[[#This Row],[Tol Span]]/Table1[[#This Row],[Error Span]]),"N/A"))</f>
        <v>N/A</v>
      </c>
      <c r="T606" s="1" t="str">
        <f>IF(OR(Table1[[#This Row],[Low Tol]]="",Table1[[#This Row],[High Tol]]=""),"Needs Analysis",IF(Table1[[#This Row],[Ratio]]&gt;=4,"Not Significant",IF(Table1[[#This Row],[Ratio]]&gt;=2,"Semi-Significant","Significant")))</f>
        <v>Needs Analysis</v>
      </c>
      <c r="W606" s="1">
        <f>IF(Table1[[#This Row],[Cal Type]]&lt;&gt;"ACCREDITED 17025 WITH UNCERTAINTIES",0,"")</f>
        <v>0</v>
      </c>
      <c r="X606" s="1" t="str">
        <f>IF(Table1[[#This Row],[DUT Read]]="","N/A",Table1[[#This Row],[Std Error]]+Table1[[#This Row],[DUT Read]]+Table1[[#This Row],[DUT Ucty]])</f>
        <v>N/A</v>
      </c>
      <c r="Y606" s="1" t="str">
        <f>IF(Table1[[#This Row],[Std Read]]="","N/A",Table1[[#This Row],[Std Read]]+Table1[[#This Row],[Std Ucty]])</f>
        <v>N/A</v>
      </c>
      <c r="Z6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6" s="1" t="str">
        <f>IF(Table1[[#This Row],[Spec Type]]="","N/A",Table1[[#This Row],[Spec Type]])</f>
        <v>±</v>
      </c>
      <c r="AC606" s="1" t="str">
        <f>IF(Table1[[#This Row],[Spec Type2]]="N/A","N/A",IF(AND(Table1[[#This Row],[DUT Adj Read]]&gt;=Table1[[#This Row],[Low Tol]],Table1[[#This Row],[DUT Adj Read]]&lt;=Table1[[#This Row],[High Tol]]),"Pass","Fail"))</f>
        <v>Fail</v>
      </c>
      <c r="AD606" s="1" t="str">
        <f>IF(AND(Table1[[#This Row],[Spec Type2]]="N/A",Table1[[#This Row],[DUT Adj Read]]="N/A",Table1[[#This Row],[Std Adj Read]]="N/A"),"N/A",IF(Table1[[#This Row],[DUT Adj Read]]="N/A",IF(Table1[[#This Row],[Std Adj Read]]&gt;Table1[[#This Row],[Low Tol]],"Pass","Fail"),IF(Table1[[#This Row],[DUT Adj Read]]&gt;Table1[[#This Row],[Low Tol]],"Pass","Fail")))</f>
        <v>Pass</v>
      </c>
      <c r="AE606" s="1" t="str">
        <f>IF(AND(Table1[[#This Row],[Spec Type2]]="N/A",Table1[[#This Row],[DUT Adj Read]]="N/A",Table1[[#This Row],[Std Adj Read]]="N/A"),"N/A",IF(Table1[[#This Row],[DUT Adj Read]]="N/A",IF(Table1[[#This Row],[Std Adj Read]]&lt;Table1[[#This Row],[High Tol]],"Pass","Fail"),IF(Table1[[#This Row],[DUT Adj Read]]&lt;Table1[[#This Row],[High Tol]],"Pass","Fail")))</f>
        <v>Fail</v>
      </c>
      <c r="AF606" s="1" t="str">
        <f>IF(AND(Table1[[#This Row],[Spec Type2]]="N/A",Table1[[#This Row],[DUT Adj Read]]="N/A",Table1[[#This Row],[Std Adj Read]]="N/A"),"N/A",IF(Table1[[#This Row],[DUT Adj Read]]="N/A",IF(Table1[[#This Row],[Std Adj Read]]&gt;=Table1[[#This Row],[Low Tol]],"Pass","Fail"),IF(Table1[[#This Row],[DUT Adj Read]]&gt;=Table1[[#This Row],[Low Tol]],"Pass","Fail")))</f>
        <v>Pass</v>
      </c>
      <c r="AG606" s="1" t="str">
        <f>IF(AND(Table1[[#This Row],[Spec Type2]]="N/A",Table1[[#This Row],[DUT Adj Read]]="N/A",Table1[[#This Row],[Std Adj Read]]="N/A"),"N/A",IF(Table1[[#This Row],[DUT Adj Read]]="N/A",IF(Table1[[#This Row],[Std Adj Read]]&lt;=Table1[[#This Row],[High Tol]],"Pass","Fail"),IF(Table1[[#This Row],[DUT Adj Read]]&lt;=Table1[[#This Row],[High Tol]],"Pass","Fail")))</f>
        <v>Fail</v>
      </c>
      <c r="AH6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6" s="1" t="b">
        <v>0</v>
      </c>
      <c r="AN606" s="1" t="b">
        <v>0</v>
      </c>
      <c r="AO606" s="1" t="b">
        <v>0</v>
      </c>
    </row>
    <row r="607" spans="1:41" x14ac:dyDescent="0.25">
      <c r="A607" s="10"/>
      <c r="B607" s="10"/>
      <c r="C607" s="10"/>
      <c r="D607" s="10"/>
      <c r="E607" s="10"/>
      <c r="F607" s="10"/>
      <c r="G607" s="10"/>
      <c r="H607" s="10"/>
      <c r="I607" s="1" t="str">
        <f t="shared" si="27"/>
        <v/>
      </c>
      <c r="J607" s="1" t="s">
        <v>35</v>
      </c>
      <c r="K607" s="1" t="str">
        <f t="shared" si="28"/>
        <v/>
      </c>
      <c r="L607" s="1" t="str">
        <f t="shared" si="29"/>
        <v/>
      </c>
      <c r="M607" s="1">
        <f>IF(OR(Table1[[#This Row],[Std Nom]]="",Table1[[#This Row],[Std Read]]=""),0,Table1[[#This Row],[Std Nom]]-Table1[[#This Row],[Std Read]])</f>
        <v>0</v>
      </c>
      <c r="N607" s="1">
        <f>IF(Calculations!$F$5="ACCREDITED 17025 WITH UNCERTAINTIES",$N$10,0)</f>
        <v>0</v>
      </c>
      <c r="O607" s="1" t="str">
        <f>IFERROR(Table1[[#This Row],[Std Nom]]-(_xlfn.XLOOKUP(Table1[[#This Row],[Manufacturer]]&amp;" "&amp;Table1[[#This Row],[Model]],Table13[MFR &amp; MDL],Table13[Tolerance % CW ],"")/100*Table1[[#This Row],[Std Nom]]),"")</f>
        <v/>
      </c>
      <c r="P607" s="1" t="str">
        <f>IFERROR(Table1[[#This Row],[Std Nom]]+(_xlfn.XLOOKUP(Table1[[#This Row],[Manufacturer]]&amp;" "&amp;Table1[[#This Row],[Model]],Table13[MFR &amp; MDL],Table13[Tolerance % CW ],"")/100*Table1[[#This Row],[Std Nom]]),"")</f>
        <v/>
      </c>
      <c r="Q607" s="1" t="e">
        <f>Table1[[#This Row],[High Tol]]-Table1[[#This Row],[Low Tol]]</f>
        <v>#VALUE!</v>
      </c>
      <c r="R607" s="1">
        <f>2*Table1[[#This Row],[Std Error]]</f>
        <v>0</v>
      </c>
      <c r="S607" s="1" t="str">
        <f>IF(Table1[[#This Row],[High Tol]]="","N/A",IFERROR(ABS(Table1[[#This Row],[Tol Span]]/Table1[[#This Row],[Error Span]]),"N/A"))</f>
        <v>N/A</v>
      </c>
      <c r="T607" s="1" t="str">
        <f>IF(OR(Table1[[#This Row],[Low Tol]]="",Table1[[#This Row],[High Tol]]=""),"Needs Analysis",IF(Table1[[#This Row],[Ratio]]&gt;=4,"Not Significant",IF(Table1[[#This Row],[Ratio]]&gt;=2,"Semi-Significant","Significant")))</f>
        <v>Needs Analysis</v>
      </c>
      <c r="W607" s="1">
        <f>IF(Table1[[#This Row],[Cal Type]]&lt;&gt;"ACCREDITED 17025 WITH UNCERTAINTIES",0,"")</f>
        <v>0</v>
      </c>
      <c r="X607" s="1" t="str">
        <f>IF(Table1[[#This Row],[DUT Read]]="","N/A",Table1[[#This Row],[Std Error]]+Table1[[#This Row],[DUT Read]]+Table1[[#This Row],[DUT Ucty]])</f>
        <v>N/A</v>
      </c>
      <c r="Y607" s="1" t="str">
        <f>IF(Table1[[#This Row],[Std Read]]="","N/A",Table1[[#This Row],[Std Read]]+Table1[[#This Row],[Std Ucty]])</f>
        <v>N/A</v>
      </c>
      <c r="Z6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7" s="1" t="str">
        <f>IF(Table1[[#This Row],[Spec Type]]="","N/A",Table1[[#This Row],[Spec Type]])</f>
        <v>±</v>
      </c>
      <c r="AC607" s="1" t="str">
        <f>IF(Table1[[#This Row],[Spec Type2]]="N/A","N/A",IF(AND(Table1[[#This Row],[DUT Adj Read]]&gt;=Table1[[#This Row],[Low Tol]],Table1[[#This Row],[DUT Adj Read]]&lt;=Table1[[#This Row],[High Tol]]),"Pass","Fail"))</f>
        <v>Fail</v>
      </c>
      <c r="AD607" s="1" t="str">
        <f>IF(AND(Table1[[#This Row],[Spec Type2]]="N/A",Table1[[#This Row],[DUT Adj Read]]="N/A",Table1[[#This Row],[Std Adj Read]]="N/A"),"N/A",IF(Table1[[#This Row],[DUT Adj Read]]="N/A",IF(Table1[[#This Row],[Std Adj Read]]&gt;Table1[[#This Row],[Low Tol]],"Pass","Fail"),IF(Table1[[#This Row],[DUT Adj Read]]&gt;Table1[[#This Row],[Low Tol]],"Pass","Fail")))</f>
        <v>Pass</v>
      </c>
      <c r="AE607" s="1" t="str">
        <f>IF(AND(Table1[[#This Row],[Spec Type2]]="N/A",Table1[[#This Row],[DUT Adj Read]]="N/A",Table1[[#This Row],[Std Adj Read]]="N/A"),"N/A",IF(Table1[[#This Row],[DUT Adj Read]]="N/A",IF(Table1[[#This Row],[Std Adj Read]]&lt;Table1[[#This Row],[High Tol]],"Pass","Fail"),IF(Table1[[#This Row],[DUT Adj Read]]&lt;Table1[[#This Row],[High Tol]],"Pass","Fail")))</f>
        <v>Fail</v>
      </c>
      <c r="AF607" s="1" t="str">
        <f>IF(AND(Table1[[#This Row],[Spec Type2]]="N/A",Table1[[#This Row],[DUT Adj Read]]="N/A",Table1[[#This Row],[Std Adj Read]]="N/A"),"N/A",IF(Table1[[#This Row],[DUT Adj Read]]="N/A",IF(Table1[[#This Row],[Std Adj Read]]&gt;=Table1[[#This Row],[Low Tol]],"Pass","Fail"),IF(Table1[[#This Row],[DUT Adj Read]]&gt;=Table1[[#This Row],[Low Tol]],"Pass","Fail")))</f>
        <v>Pass</v>
      </c>
      <c r="AG607" s="1" t="str">
        <f>IF(AND(Table1[[#This Row],[Spec Type2]]="N/A",Table1[[#This Row],[DUT Adj Read]]="N/A",Table1[[#This Row],[Std Adj Read]]="N/A"),"N/A",IF(Table1[[#This Row],[DUT Adj Read]]="N/A",IF(Table1[[#This Row],[Std Adj Read]]&lt;=Table1[[#This Row],[High Tol]],"Pass","Fail"),IF(Table1[[#This Row],[DUT Adj Read]]&lt;=Table1[[#This Row],[High Tol]],"Pass","Fail")))</f>
        <v>Fail</v>
      </c>
      <c r="AH6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7" s="1" t="b">
        <v>0</v>
      </c>
      <c r="AN607" s="1" t="b">
        <v>0</v>
      </c>
      <c r="AO607" s="1" t="b">
        <v>0</v>
      </c>
    </row>
    <row r="608" spans="1:41" x14ac:dyDescent="0.25">
      <c r="A608" s="10"/>
      <c r="B608" s="10"/>
      <c r="C608" s="10"/>
      <c r="D608" s="10"/>
      <c r="E608" s="10"/>
      <c r="F608" s="10"/>
      <c r="G608" s="10"/>
      <c r="H608" s="10"/>
      <c r="I608" s="1" t="str">
        <f t="shared" si="27"/>
        <v/>
      </c>
      <c r="J608" s="1" t="s">
        <v>35</v>
      </c>
      <c r="K608" s="1" t="str">
        <f t="shared" si="28"/>
        <v/>
      </c>
      <c r="L608" s="1" t="str">
        <f t="shared" si="29"/>
        <v/>
      </c>
      <c r="M608" s="1">
        <f>IF(OR(Table1[[#This Row],[Std Nom]]="",Table1[[#This Row],[Std Read]]=""),0,Table1[[#This Row],[Std Nom]]-Table1[[#This Row],[Std Read]])</f>
        <v>0</v>
      </c>
      <c r="N608" s="1">
        <f>IF(Calculations!$F$5="ACCREDITED 17025 WITH UNCERTAINTIES",$N$10,0)</f>
        <v>0</v>
      </c>
      <c r="O608" s="1" t="str">
        <f>IFERROR(Table1[[#This Row],[Std Nom]]-(_xlfn.XLOOKUP(Table1[[#This Row],[Manufacturer]]&amp;" "&amp;Table1[[#This Row],[Model]],Table13[MFR &amp; MDL],Table13[Tolerance % CW ],"")/100*Table1[[#This Row],[Std Nom]]),"")</f>
        <v/>
      </c>
      <c r="P608" s="1" t="str">
        <f>IFERROR(Table1[[#This Row],[Std Nom]]+(_xlfn.XLOOKUP(Table1[[#This Row],[Manufacturer]]&amp;" "&amp;Table1[[#This Row],[Model]],Table13[MFR &amp; MDL],Table13[Tolerance % CW ],"")/100*Table1[[#This Row],[Std Nom]]),"")</f>
        <v/>
      </c>
      <c r="Q608" s="1" t="e">
        <f>Table1[[#This Row],[High Tol]]-Table1[[#This Row],[Low Tol]]</f>
        <v>#VALUE!</v>
      </c>
      <c r="R608" s="1">
        <f>2*Table1[[#This Row],[Std Error]]</f>
        <v>0</v>
      </c>
      <c r="S608" s="1" t="str">
        <f>IF(Table1[[#This Row],[High Tol]]="","N/A",IFERROR(ABS(Table1[[#This Row],[Tol Span]]/Table1[[#This Row],[Error Span]]),"N/A"))</f>
        <v>N/A</v>
      </c>
      <c r="T608" s="1" t="str">
        <f>IF(OR(Table1[[#This Row],[Low Tol]]="",Table1[[#This Row],[High Tol]]=""),"Needs Analysis",IF(Table1[[#This Row],[Ratio]]&gt;=4,"Not Significant",IF(Table1[[#This Row],[Ratio]]&gt;=2,"Semi-Significant","Significant")))</f>
        <v>Needs Analysis</v>
      </c>
      <c r="W608" s="1">
        <f>IF(Table1[[#This Row],[Cal Type]]&lt;&gt;"ACCREDITED 17025 WITH UNCERTAINTIES",0,"")</f>
        <v>0</v>
      </c>
      <c r="X608" s="1" t="str">
        <f>IF(Table1[[#This Row],[DUT Read]]="","N/A",Table1[[#This Row],[Std Error]]+Table1[[#This Row],[DUT Read]]+Table1[[#This Row],[DUT Ucty]])</f>
        <v>N/A</v>
      </c>
      <c r="Y608" s="1" t="str">
        <f>IF(Table1[[#This Row],[Std Read]]="","N/A",Table1[[#This Row],[Std Read]]+Table1[[#This Row],[Std Ucty]])</f>
        <v>N/A</v>
      </c>
      <c r="Z6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8" s="1" t="str">
        <f>IF(Table1[[#This Row],[Spec Type]]="","N/A",Table1[[#This Row],[Spec Type]])</f>
        <v>±</v>
      </c>
      <c r="AC608" s="1" t="str">
        <f>IF(Table1[[#This Row],[Spec Type2]]="N/A","N/A",IF(AND(Table1[[#This Row],[DUT Adj Read]]&gt;=Table1[[#This Row],[Low Tol]],Table1[[#This Row],[DUT Adj Read]]&lt;=Table1[[#This Row],[High Tol]]),"Pass","Fail"))</f>
        <v>Fail</v>
      </c>
      <c r="AD608" s="1" t="str">
        <f>IF(AND(Table1[[#This Row],[Spec Type2]]="N/A",Table1[[#This Row],[DUT Adj Read]]="N/A",Table1[[#This Row],[Std Adj Read]]="N/A"),"N/A",IF(Table1[[#This Row],[DUT Adj Read]]="N/A",IF(Table1[[#This Row],[Std Adj Read]]&gt;Table1[[#This Row],[Low Tol]],"Pass","Fail"),IF(Table1[[#This Row],[DUT Adj Read]]&gt;Table1[[#This Row],[Low Tol]],"Pass","Fail")))</f>
        <v>Pass</v>
      </c>
      <c r="AE608" s="1" t="str">
        <f>IF(AND(Table1[[#This Row],[Spec Type2]]="N/A",Table1[[#This Row],[DUT Adj Read]]="N/A",Table1[[#This Row],[Std Adj Read]]="N/A"),"N/A",IF(Table1[[#This Row],[DUT Adj Read]]="N/A",IF(Table1[[#This Row],[Std Adj Read]]&lt;Table1[[#This Row],[High Tol]],"Pass","Fail"),IF(Table1[[#This Row],[DUT Adj Read]]&lt;Table1[[#This Row],[High Tol]],"Pass","Fail")))</f>
        <v>Fail</v>
      </c>
      <c r="AF608" s="1" t="str">
        <f>IF(AND(Table1[[#This Row],[Spec Type2]]="N/A",Table1[[#This Row],[DUT Adj Read]]="N/A",Table1[[#This Row],[Std Adj Read]]="N/A"),"N/A",IF(Table1[[#This Row],[DUT Adj Read]]="N/A",IF(Table1[[#This Row],[Std Adj Read]]&gt;=Table1[[#This Row],[Low Tol]],"Pass","Fail"),IF(Table1[[#This Row],[DUT Adj Read]]&gt;=Table1[[#This Row],[Low Tol]],"Pass","Fail")))</f>
        <v>Pass</v>
      </c>
      <c r="AG608" s="1" t="str">
        <f>IF(AND(Table1[[#This Row],[Spec Type2]]="N/A",Table1[[#This Row],[DUT Adj Read]]="N/A",Table1[[#This Row],[Std Adj Read]]="N/A"),"N/A",IF(Table1[[#This Row],[DUT Adj Read]]="N/A",IF(Table1[[#This Row],[Std Adj Read]]&lt;=Table1[[#This Row],[High Tol]],"Pass","Fail"),IF(Table1[[#This Row],[DUT Adj Read]]&lt;=Table1[[#This Row],[High Tol]],"Pass","Fail")))</f>
        <v>Fail</v>
      </c>
      <c r="AH6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8" s="1" t="b">
        <v>0</v>
      </c>
      <c r="AN608" s="1" t="b">
        <v>0</v>
      </c>
      <c r="AO608" s="1" t="b">
        <v>0</v>
      </c>
    </row>
    <row r="609" spans="1:41" x14ac:dyDescent="0.25">
      <c r="A609" s="10"/>
      <c r="B609" s="10"/>
      <c r="C609" s="10"/>
      <c r="D609" s="10"/>
      <c r="E609" s="10"/>
      <c r="F609" s="10"/>
      <c r="G609" s="10"/>
      <c r="H609" s="10"/>
      <c r="I609" s="1" t="str">
        <f t="shared" si="27"/>
        <v/>
      </c>
      <c r="J609" s="1" t="s">
        <v>35</v>
      </c>
      <c r="K609" s="1" t="str">
        <f t="shared" si="28"/>
        <v/>
      </c>
      <c r="L609" s="1" t="str">
        <f t="shared" si="29"/>
        <v/>
      </c>
      <c r="M609" s="1">
        <f>IF(OR(Table1[[#This Row],[Std Nom]]="",Table1[[#This Row],[Std Read]]=""),0,Table1[[#This Row],[Std Nom]]-Table1[[#This Row],[Std Read]])</f>
        <v>0</v>
      </c>
      <c r="N609" s="1">
        <f>IF(Calculations!$F$5="ACCREDITED 17025 WITH UNCERTAINTIES",$N$10,0)</f>
        <v>0</v>
      </c>
      <c r="O609" s="1" t="str">
        <f>IFERROR(Table1[[#This Row],[Std Nom]]-(_xlfn.XLOOKUP(Table1[[#This Row],[Manufacturer]]&amp;" "&amp;Table1[[#This Row],[Model]],Table13[MFR &amp; MDL],Table13[Tolerance % CW ],"")/100*Table1[[#This Row],[Std Nom]]),"")</f>
        <v/>
      </c>
      <c r="P609" s="1" t="str">
        <f>IFERROR(Table1[[#This Row],[Std Nom]]+(_xlfn.XLOOKUP(Table1[[#This Row],[Manufacturer]]&amp;" "&amp;Table1[[#This Row],[Model]],Table13[MFR &amp; MDL],Table13[Tolerance % CW ],"")/100*Table1[[#This Row],[Std Nom]]),"")</f>
        <v/>
      </c>
      <c r="Q609" s="1" t="e">
        <f>Table1[[#This Row],[High Tol]]-Table1[[#This Row],[Low Tol]]</f>
        <v>#VALUE!</v>
      </c>
      <c r="R609" s="1">
        <f>2*Table1[[#This Row],[Std Error]]</f>
        <v>0</v>
      </c>
      <c r="S609" s="1" t="str">
        <f>IF(Table1[[#This Row],[High Tol]]="","N/A",IFERROR(ABS(Table1[[#This Row],[Tol Span]]/Table1[[#This Row],[Error Span]]),"N/A"))</f>
        <v>N/A</v>
      </c>
      <c r="T609" s="1" t="str">
        <f>IF(OR(Table1[[#This Row],[Low Tol]]="",Table1[[#This Row],[High Tol]]=""),"Needs Analysis",IF(Table1[[#This Row],[Ratio]]&gt;=4,"Not Significant",IF(Table1[[#This Row],[Ratio]]&gt;=2,"Semi-Significant","Significant")))</f>
        <v>Needs Analysis</v>
      </c>
      <c r="W609" s="1">
        <f>IF(Table1[[#This Row],[Cal Type]]&lt;&gt;"ACCREDITED 17025 WITH UNCERTAINTIES",0,"")</f>
        <v>0</v>
      </c>
      <c r="X609" s="1" t="str">
        <f>IF(Table1[[#This Row],[DUT Read]]="","N/A",Table1[[#This Row],[Std Error]]+Table1[[#This Row],[DUT Read]]+Table1[[#This Row],[DUT Ucty]])</f>
        <v>N/A</v>
      </c>
      <c r="Y609" s="1" t="str">
        <f>IF(Table1[[#This Row],[Std Read]]="","N/A",Table1[[#This Row],[Std Read]]+Table1[[#This Row],[Std Ucty]])</f>
        <v>N/A</v>
      </c>
      <c r="Z6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9" s="1" t="str">
        <f>IF(Table1[[#This Row],[Spec Type]]="","N/A",Table1[[#This Row],[Spec Type]])</f>
        <v>±</v>
      </c>
      <c r="AC609" s="1" t="str">
        <f>IF(Table1[[#This Row],[Spec Type2]]="N/A","N/A",IF(AND(Table1[[#This Row],[DUT Adj Read]]&gt;=Table1[[#This Row],[Low Tol]],Table1[[#This Row],[DUT Adj Read]]&lt;=Table1[[#This Row],[High Tol]]),"Pass","Fail"))</f>
        <v>Fail</v>
      </c>
      <c r="AD609" s="1" t="str">
        <f>IF(AND(Table1[[#This Row],[Spec Type2]]="N/A",Table1[[#This Row],[DUT Adj Read]]="N/A",Table1[[#This Row],[Std Adj Read]]="N/A"),"N/A",IF(Table1[[#This Row],[DUT Adj Read]]="N/A",IF(Table1[[#This Row],[Std Adj Read]]&gt;Table1[[#This Row],[Low Tol]],"Pass","Fail"),IF(Table1[[#This Row],[DUT Adj Read]]&gt;Table1[[#This Row],[Low Tol]],"Pass","Fail")))</f>
        <v>Pass</v>
      </c>
      <c r="AE609" s="1" t="str">
        <f>IF(AND(Table1[[#This Row],[Spec Type2]]="N/A",Table1[[#This Row],[DUT Adj Read]]="N/A",Table1[[#This Row],[Std Adj Read]]="N/A"),"N/A",IF(Table1[[#This Row],[DUT Adj Read]]="N/A",IF(Table1[[#This Row],[Std Adj Read]]&lt;Table1[[#This Row],[High Tol]],"Pass","Fail"),IF(Table1[[#This Row],[DUT Adj Read]]&lt;Table1[[#This Row],[High Tol]],"Pass","Fail")))</f>
        <v>Fail</v>
      </c>
      <c r="AF609" s="1" t="str">
        <f>IF(AND(Table1[[#This Row],[Spec Type2]]="N/A",Table1[[#This Row],[DUT Adj Read]]="N/A",Table1[[#This Row],[Std Adj Read]]="N/A"),"N/A",IF(Table1[[#This Row],[DUT Adj Read]]="N/A",IF(Table1[[#This Row],[Std Adj Read]]&gt;=Table1[[#This Row],[Low Tol]],"Pass","Fail"),IF(Table1[[#This Row],[DUT Adj Read]]&gt;=Table1[[#This Row],[Low Tol]],"Pass","Fail")))</f>
        <v>Pass</v>
      </c>
      <c r="AG609" s="1" t="str">
        <f>IF(AND(Table1[[#This Row],[Spec Type2]]="N/A",Table1[[#This Row],[DUT Adj Read]]="N/A",Table1[[#This Row],[Std Adj Read]]="N/A"),"N/A",IF(Table1[[#This Row],[DUT Adj Read]]="N/A",IF(Table1[[#This Row],[Std Adj Read]]&lt;=Table1[[#This Row],[High Tol]],"Pass","Fail"),IF(Table1[[#This Row],[DUT Adj Read]]&lt;=Table1[[#This Row],[High Tol]],"Pass","Fail")))</f>
        <v>Fail</v>
      </c>
      <c r="AH6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9" s="1" t="b">
        <v>0</v>
      </c>
      <c r="AN609" s="1" t="b">
        <v>0</v>
      </c>
      <c r="AO609" s="1" t="b">
        <v>0</v>
      </c>
    </row>
    <row r="610" spans="1:41" x14ac:dyDescent="0.25">
      <c r="A610" s="10"/>
      <c r="B610" s="10"/>
      <c r="C610" s="10"/>
      <c r="D610" s="10"/>
      <c r="E610" s="10"/>
      <c r="F610" s="10"/>
      <c r="G610" s="10"/>
      <c r="H610" s="10"/>
      <c r="I610" s="1" t="str">
        <f t="shared" si="27"/>
        <v/>
      </c>
      <c r="J610" s="1" t="s">
        <v>35</v>
      </c>
      <c r="K610" s="1" t="str">
        <f t="shared" si="28"/>
        <v/>
      </c>
      <c r="L610" s="1" t="str">
        <f t="shared" si="29"/>
        <v/>
      </c>
      <c r="M610" s="1">
        <f>IF(OR(Table1[[#This Row],[Std Nom]]="",Table1[[#This Row],[Std Read]]=""),0,Table1[[#This Row],[Std Nom]]-Table1[[#This Row],[Std Read]])</f>
        <v>0</v>
      </c>
      <c r="N610" s="1">
        <f>IF(Calculations!$F$5="ACCREDITED 17025 WITH UNCERTAINTIES",$N$10,0)</f>
        <v>0</v>
      </c>
      <c r="O610" s="1" t="str">
        <f>IFERROR(Table1[[#This Row],[Std Nom]]-(_xlfn.XLOOKUP(Table1[[#This Row],[Manufacturer]]&amp;" "&amp;Table1[[#This Row],[Model]],Table13[MFR &amp; MDL],Table13[Tolerance % CW ],"")/100*Table1[[#This Row],[Std Nom]]),"")</f>
        <v/>
      </c>
      <c r="P610" s="1" t="str">
        <f>IFERROR(Table1[[#This Row],[Std Nom]]+(_xlfn.XLOOKUP(Table1[[#This Row],[Manufacturer]]&amp;" "&amp;Table1[[#This Row],[Model]],Table13[MFR &amp; MDL],Table13[Tolerance % CW ],"")/100*Table1[[#This Row],[Std Nom]]),"")</f>
        <v/>
      </c>
      <c r="Q610" s="1" t="e">
        <f>Table1[[#This Row],[High Tol]]-Table1[[#This Row],[Low Tol]]</f>
        <v>#VALUE!</v>
      </c>
      <c r="R610" s="1">
        <f>2*Table1[[#This Row],[Std Error]]</f>
        <v>0</v>
      </c>
      <c r="S610" s="1" t="str">
        <f>IF(Table1[[#This Row],[High Tol]]="","N/A",IFERROR(ABS(Table1[[#This Row],[Tol Span]]/Table1[[#This Row],[Error Span]]),"N/A"))</f>
        <v>N/A</v>
      </c>
      <c r="T610" s="1" t="str">
        <f>IF(OR(Table1[[#This Row],[Low Tol]]="",Table1[[#This Row],[High Tol]]=""),"Needs Analysis",IF(Table1[[#This Row],[Ratio]]&gt;=4,"Not Significant",IF(Table1[[#This Row],[Ratio]]&gt;=2,"Semi-Significant","Significant")))</f>
        <v>Needs Analysis</v>
      </c>
      <c r="W610" s="1">
        <f>IF(Table1[[#This Row],[Cal Type]]&lt;&gt;"ACCREDITED 17025 WITH UNCERTAINTIES",0,"")</f>
        <v>0</v>
      </c>
      <c r="X610" s="1" t="str">
        <f>IF(Table1[[#This Row],[DUT Read]]="","N/A",Table1[[#This Row],[Std Error]]+Table1[[#This Row],[DUT Read]]+Table1[[#This Row],[DUT Ucty]])</f>
        <v>N/A</v>
      </c>
      <c r="Y610" s="1" t="str">
        <f>IF(Table1[[#This Row],[Std Read]]="","N/A",Table1[[#This Row],[Std Read]]+Table1[[#This Row],[Std Ucty]])</f>
        <v>N/A</v>
      </c>
      <c r="Z6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0" s="1" t="str">
        <f>IF(Table1[[#This Row],[Spec Type]]="","N/A",Table1[[#This Row],[Spec Type]])</f>
        <v>±</v>
      </c>
      <c r="AC610" s="1" t="str">
        <f>IF(Table1[[#This Row],[Spec Type2]]="N/A","N/A",IF(AND(Table1[[#This Row],[DUT Adj Read]]&gt;=Table1[[#This Row],[Low Tol]],Table1[[#This Row],[DUT Adj Read]]&lt;=Table1[[#This Row],[High Tol]]),"Pass","Fail"))</f>
        <v>Fail</v>
      </c>
      <c r="AD610" s="1" t="str">
        <f>IF(AND(Table1[[#This Row],[Spec Type2]]="N/A",Table1[[#This Row],[DUT Adj Read]]="N/A",Table1[[#This Row],[Std Adj Read]]="N/A"),"N/A",IF(Table1[[#This Row],[DUT Adj Read]]="N/A",IF(Table1[[#This Row],[Std Adj Read]]&gt;Table1[[#This Row],[Low Tol]],"Pass","Fail"),IF(Table1[[#This Row],[DUT Adj Read]]&gt;Table1[[#This Row],[Low Tol]],"Pass","Fail")))</f>
        <v>Pass</v>
      </c>
      <c r="AE610" s="1" t="str">
        <f>IF(AND(Table1[[#This Row],[Spec Type2]]="N/A",Table1[[#This Row],[DUT Adj Read]]="N/A",Table1[[#This Row],[Std Adj Read]]="N/A"),"N/A",IF(Table1[[#This Row],[DUT Adj Read]]="N/A",IF(Table1[[#This Row],[Std Adj Read]]&lt;Table1[[#This Row],[High Tol]],"Pass","Fail"),IF(Table1[[#This Row],[DUT Adj Read]]&lt;Table1[[#This Row],[High Tol]],"Pass","Fail")))</f>
        <v>Fail</v>
      </c>
      <c r="AF610" s="1" t="str">
        <f>IF(AND(Table1[[#This Row],[Spec Type2]]="N/A",Table1[[#This Row],[DUT Adj Read]]="N/A",Table1[[#This Row],[Std Adj Read]]="N/A"),"N/A",IF(Table1[[#This Row],[DUT Adj Read]]="N/A",IF(Table1[[#This Row],[Std Adj Read]]&gt;=Table1[[#This Row],[Low Tol]],"Pass","Fail"),IF(Table1[[#This Row],[DUT Adj Read]]&gt;=Table1[[#This Row],[Low Tol]],"Pass","Fail")))</f>
        <v>Pass</v>
      </c>
      <c r="AG610" s="1" t="str">
        <f>IF(AND(Table1[[#This Row],[Spec Type2]]="N/A",Table1[[#This Row],[DUT Adj Read]]="N/A",Table1[[#This Row],[Std Adj Read]]="N/A"),"N/A",IF(Table1[[#This Row],[DUT Adj Read]]="N/A",IF(Table1[[#This Row],[Std Adj Read]]&lt;=Table1[[#This Row],[High Tol]],"Pass","Fail"),IF(Table1[[#This Row],[DUT Adj Read]]&lt;=Table1[[#This Row],[High Tol]],"Pass","Fail")))</f>
        <v>Fail</v>
      </c>
      <c r="AH6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0" s="1" t="b">
        <v>0</v>
      </c>
      <c r="AN610" s="1" t="b">
        <v>0</v>
      </c>
      <c r="AO610" s="1" t="b">
        <v>0</v>
      </c>
    </row>
    <row r="611" spans="1:41" x14ac:dyDescent="0.25">
      <c r="A611" s="10"/>
      <c r="B611" s="10"/>
      <c r="C611" s="10"/>
      <c r="D611" s="10"/>
      <c r="E611" s="10"/>
      <c r="F611" s="10"/>
      <c r="G611" s="10"/>
      <c r="H611" s="10"/>
      <c r="I611" s="1" t="str">
        <f t="shared" si="27"/>
        <v/>
      </c>
      <c r="J611" s="1" t="s">
        <v>35</v>
      </c>
      <c r="K611" s="1" t="str">
        <f t="shared" si="28"/>
        <v/>
      </c>
      <c r="L611" s="1" t="str">
        <f t="shared" si="29"/>
        <v/>
      </c>
      <c r="M611" s="1">
        <f>IF(OR(Table1[[#This Row],[Std Nom]]="",Table1[[#This Row],[Std Read]]=""),0,Table1[[#This Row],[Std Nom]]-Table1[[#This Row],[Std Read]])</f>
        <v>0</v>
      </c>
      <c r="N611" s="1">
        <f>IF(Calculations!$F$5="ACCREDITED 17025 WITH UNCERTAINTIES",$N$10,0)</f>
        <v>0</v>
      </c>
      <c r="O611" s="1" t="str">
        <f>IFERROR(Table1[[#This Row],[Std Nom]]-(_xlfn.XLOOKUP(Table1[[#This Row],[Manufacturer]]&amp;" "&amp;Table1[[#This Row],[Model]],Table13[MFR &amp; MDL],Table13[Tolerance % CW ],"")/100*Table1[[#This Row],[Std Nom]]),"")</f>
        <v/>
      </c>
      <c r="P611" s="1" t="str">
        <f>IFERROR(Table1[[#This Row],[Std Nom]]+(_xlfn.XLOOKUP(Table1[[#This Row],[Manufacturer]]&amp;" "&amp;Table1[[#This Row],[Model]],Table13[MFR &amp; MDL],Table13[Tolerance % CW ],"")/100*Table1[[#This Row],[Std Nom]]),"")</f>
        <v/>
      </c>
      <c r="Q611" s="1" t="e">
        <f>Table1[[#This Row],[High Tol]]-Table1[[#This Row],[Low Tol]]</f>
        <v>#VALUE!</v>
      </c>
      <c r="R611" s="1">
        <f>2*Table1[[#This Row],[Std Error]]</f>
        <v>0</v>
      </c>
      <c r="S611" s="1" t="str">
        <f>IF(Table1[[#This Row],[High Tol]]="","N/A",IFERROR(ABS(Table1[[#This Row],[Tol Span]]/Table1[[#This Row],[Error Span]]),"N/A"))</f>
        <v>N/A</v>
      </c>
      <c r="T611" s="1" t="str">
        <f>IF(OR(Table1[[#This Row],[Low Tol]]="",Table1[[#This Row],[High Tol]]=""),"Needs Analysis",IF(Table1[[#This Row],[Ratio]]&gt;=4,"Not Significant",IF(Table1[[#This Row],[Ratio]]&gt;=2,"Semi-Significant","Significant")))</f>
        <v>Needs Analysis</v>
      </c>
      <c r="W611" s="1">
        <f>IF(Table1[[#This Row],[Cal Type]]&lt;&gt;"ACCREDITED 17025 WITH UNCERTAINTIES",0,"")</f>
        <v>0</v>
      </c>
      <c r="X611" s="1" t="str">
        <f>IF(Table1[[#This Row],[DUT Read]]="","N/A",Table1[[#This Row],[Std Error]]+Table1[[#This Row],[DUT Read]]+Table1[[#This Row],[DUT Ucty]])</f>
        <v>N/A</v>
      </c>
      <c r="Y611" s="1" t="str">
        <f>IF(Table1[[#This Row],[Std Read]]="","N/A",Table1[[#This Row],[Std Read]]+Table1[[#This Row],[Std Ucty]])</f>
        <v>N/A</v>
      </c>
      <c r="Z6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1" s="1" t="str">
        <f>IF(Table1[[#This Row],[Spec Type]]="","N/A",Table1[[#This Row],[Spec Type]])</f>
        <v>±</v>
      </c>
      <c r="AC611" s="1" t="str">
        <f>IF(Table1[[#This Row],[Spec Type2]]="N/A","N/A",IF(AND(Table1[[#This Row],[DUT Adj Read]]&gt;=Table1[[#This Row],[Low Tol]],Table1[[#This Row],[DUT Adj Read]]&lt;=Table1[[#This Row],[High Tol]]),"Pass","Fail"))</f>
        <v>Fail</v>
      </c>
      <c r="AD611" s="1" t="str">
        <f>IF(AND(Table1[[#This Row],[Spec Type2]]="N/A",Table1[[#This Row],[DUT Adj Read]]="N/A",Table1[[#This Row],[Std Adj Read]]="N/A"),"N/A",IF(Table1[[#This Row],[DUT Adj Read]]="N/A",IF(Table1[[#This Row],[Std Adj Read]]&gt;Table1[[#This Row],[Low Tol]],"Pass","Fail"),IF(Table1[[#This Row],[DUT Adj Read]]&gt;Table1[[#This Row],[Low Tol]],"Pass","Fail")))</f>
        <v>Pass</v>
      </c>
      <c r="AE611" s="1" t="str">
        <f>IF(AND(Table1[[#This Row],[Spec Type2]]="N/A",Table1[[#This Row],[DUT Adj Read]]="N/A",Table1[[#This Row],[Std Adj Read]]="N/A"),"N/A",IF(Table1[[#This Row],[DUT Adj Read]]="N/A",IF(Table1[[#This Row],[Std Adj Read]]&lt;Table1[[#This Row],[High Tol]],"Pass","Fail"),IF(Table1[[#This Row],[DUT Adj Read]]&lt;Table1[[#This Row],[High Tol]],"Pass","Fail")))</f>
        <v>Fail</v>
      </c>
      <c r="AF611" s="1" t="str">
        <f>IF(AND(Table1[[#This Row],[Spec Type2]]="N/A",Table1[[#This Row],[DUT Adj Read]]="N/A",Table1[[#This Row],[Std Adj Read]]="N/A"),"N/A",IF(Table1[[#This Row],[DUT Adj Read]]="N/A",IF(Table1[[#This Row],[Std Adj Read]]&gt;=Table1[[#This Row],[Low Tol]],"Pass","Fail"),IF(Table1[[#This Row],[DUT Adj Read]]&gt;=Table1[[#This Row],[Low Tol]],"Pass","Fail")))</f>
        <v>Pass</v>
      </c>
      <c r="AG611" s="1" t="str">
        <f>IF(AND(Table1[[#This Row],[Spec Type2]]="N/A",Table1[[#This Row],[DUT Adj Read]]="N/A",Table1[[#This Row],[Std Adj Read]]="N/A"),"N/A",IF(Table1[[#This Row],[DUT Adj Read]]="N/A",IF(Table1[[#This Row],[Std Adj Read]]&lt;=Table1[[#This Row],[High Tol]],"Pass","Fail"),IF(Table1[[#This Row],[DUT Adj Read]]&lt;=Table1[[#This Row],[High Tol]],"Pass","Fail")))</f>
        <v>Fail</v>
      </c>
      <c r="AH6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1" s="1" t="b">
        <v>0</v>
      </c>
      <c r="AN611" s="1" t="b">
        <v>0</v>
      </c>
      <c r="AO611" s="1" t="b">
        <v>0</v>
      </c>
    </row>
    <row r="612" spans="1:41" x14ac:dyDescent="0.25">
      <c r="A612" s="10"/>
      <c r="B612" s="10"/>
      <c r="C612" s="10"/>
      <c r="D612" s="10"/>
      <c r="E612" s="10"/>
      <c r="F612" s="10"/>
      <c r="G612" s="10"/>
      <c r="H612" s="10"/>
      <c r="I612" s="1" t="str">
        <f t="shared" si="27"/>
        <v/>
      </c>
      <c r="J612" s="1" t="s">
        <v>35</v>
      </c>
      <c r="K612" s="1" t="str">
        <f t="shared" si="28"/>
        <v/>
      </c>
      <c r="L612" s="1" t="str">
        <f t="shared" si="29"/>
        <v/>
      </c>
      <c r="M612" s="1">
        <f>IF(OR(Table1[[#This Row],[Std Nom]]="",Table1[[#This Row],[Std Read]]=""),0,Table1[[#This Row],[Std Nom]]-Table1[[#This Row],[Std Read]])</f>
        <v>0</v>
      </c>
      <c r="N612" s="1">
        <f>IF(Calculations!$F$5="ACCREDITED 17025 WITH UNCERTAINTIES",$N$10,0)</f>
        <v>0</v>
      </c>
      <c r="O612" s="1" t="str">
        <f>IFERROR(Table1[[#This Row],[Std Nom]]-(_xlfn.XLOOKUP(Table1[[#This Row],[Manufacturer]]&amp;" "&amp;Table1[[#This Row],[Model]],Table13[MFR &amp; MDL],Table13[Tolerance % CW ],"")/100*Table1[[#This Row],[Std Nom]]),"")</f>
        <v/>
      </c>
      <c r="P612" s="1" t="str">
        <f>IFERROR(Table1[[#This Row],[Std Nom]]+(_xlfn.XLOOKUP(Table1[[#This Row],[Manufacturer]]&amp;" "&amp;Table1[[#This Row],[Model]],Table13[MFR &amp; MDL],Table13[Tolerance % CW ],"")/100*Table1[[#This Row],[Std Nom]]),"")</f>
        <v/>
      </c>
      <c r="Q612" s="1" t="e">
        <f>Table1[[#This Row],[High Tol]]-Table1[[#This Row],[Low Tol]]</f>
        <v>#VALUE!</v>
      </c>
      <c r="R612" s="1">
        <f>2*Table1[[#This Row],[Std Error]]</f>
        <v>0</v>
      </c>
      <c r="S612" s="1" t="str">
        <f>IF(Table1[[#This Row],[High Tol]]="","N/A",IFERROR(ABS(Table1[[#This Row],[Tol Span]]/Table1[[#This Row],[Error Span]]),"N/A"))</f>
        <v>N/A</v>
      </c>
      <c r="T612" s="1" t="str">
        <f>IF(OR(Table1[[#This Row],[Low Tol]]="",Table1[[#This Row],[High Tol]]=""),"Needs Analysis",IF(Table1[[#This Row],[Ratio]]&gt;=4,"Not Significant",IF(Table1[[#This Row],[Ratio]]&gt;=2,"Semi-Significant","Significant")))</f>
        <v>Needs Analysis</v>
      </c>
      <c r="W612" s="1">
        <f>IF(Table1[[#This Row],[Cal Type]]&lt;&gt;"ACCREDITED 17025 WITH UNCERTAINTIES",0,"")</f>
        <v>0</v>
      </c>
      <c r="X612" s="1" t="str">
        <f>IF(Table1[[#This Row],[DUT Read]]="","N/A",Table1[[#This Row],[Std Error]]+Table1[[#This Row],[DUT Read]]+Table1[[#This Row],[DUT Ucty]])</f>
        <v>N/A</v>
      </c>
      <c r="Y612" s="1" t="str">
        <f>IF(Table1[[#This Row],[Std Read]]="","N/A",Table1[[#This Row],[Std Read]]+Table1[[#This Row],[Std Ucty]])</f>
        <v>N/A</v>
      </c>
      <c r="Z6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2" s="1" t="str">
        <f>IF(Table1[[#This Row],[Spec Type]]="","N/A",Table1[[#This Row],[Spec Type]])</f>
        <v>±</v>
      </c>
      <c r="AC612" s="1" t="str">
        <f>IF(Table1[[#This Row],[Spec Type2]]="N/A","N/A",IF(AND(Table1[[#This Row],[DUT Adj Read]]&gt;=Table1[[#This Row],[Low Tol]],Table1[[#This Row],[DUT Adj Read]]&lt;=Table1[[#This Row],[High Tol]]),"Pass","Fail"))</f>
        <v>Fail</v>
      </c>
      <c r="AD612" s="1" t="str">
        <f>IF(AND(Table1[[#This Row],[Spec Type2]]="N/A",Table1[[#This Row],[DUT Adj Read]]="N/A",Table1[[#This Row],[Std Adj Read]]="N/A"),"N/A",IF(Table1[[#This Row],[DUT Adj Read]]="N/A",IF(Table1[[#This Row],[Std Adj Read]]&gt;Table1[[#This Row],[Low Tol]],"Pass","Fail"),IF(Table1[[#This Row],[DUT Adj Read]]&gt;Table1[[#This Row],[Low Tol]],"Pass","Fail")))</f>
        <v>Pass</v>
      </c>
      <c r="AE612" s="1" t="str">
        <f>IF(AND(Table1[[#This Row],[Spec Type2]]="N/A",Table1[[#This Row],[DUT Adj Read]]="N/A",Table1[[#This Row],[Std Adj Read]]="N/A"),"N/A",IF(Table1[[#This Row],[DUT Adj Read]]="N/A",IF(Table1[[#This Row],[Std Adj Read]]&lt;Table1[[#This Row],[High Tol]],"Pass","Fail"),IF(Table1[[#This Row],[DUT Adj Read]]&lt;Table1[[#This Row],[High Tol]],"Pass","Fail")))</f>
        <v>Fail</v>
      </c>
      <c r="AF612" s="1" t="str">
        <f>IF(AND(Table1[[#This Row],[Spec Type2]]="N/A",Table1[[#This Row],[DUT Adj Read]]="N/A",Table1[[#This Row],[Std Adj Read]]="N/A"),"N/A",IF(Table1[[#This Row],[DUT Adj Read]]="N/A",IF(Table1[[#This Row],[Std Adj Read]]&gt;=Table1[[#This Row],[Low Tol]],"Pass","Fail"),IF(Table1[[#This Row],[DUT Adj Read]]&gt;=Table1[[#This Row],[Low Tol]],"Pass","Fail")))</f>
        <v>Pass</v>
      </c>
      <c r="AG612" s="1" t="str">
        <f>IF(AND(Table1[[#This Row],[Spec Type2]]="N/A",Table1[[#This Row],[DUT Adj Read]]="N/A",Table1[[#This Row],[Std Adj Read]]="N/A"),"N/A",IF(Table1[[#This Row],[DUT Adj Read]]="N/A",IF(Table1[[#This Row],[Std Adj Read]]&lt;=Table1[[#This Row],[High Tol]],"Pass","Fail"),IF(Table1[[#This Row],[DUT Adj Read]]&lt;=Table1[[#This Row],[High Tol]],"Pass","Fail")))</f>
        <v>Fail</v>
      </c>
      <c r="AH6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2" s="1" t="b">
        <v>0</v>
      </c>
      <c r="AN612" s="1" t="b">
        <v>0</v>
      </c>
      <c r="AO612" s="1" t="b">
        <v>0</v>
      </c>
    </row>
    <row r="613" spans="1:41" x14ac:dyDescent="0.25">
      <c r="A613" s="10"/>
      <c r="B613" s="10"/>
      <c r="C613" s="10"/>
      <c r="D613" s="10"/>
      <c r="E613" s="10"/>
      <c r="F613" s="10"/>
      <c r="G613" s="10"/>
      <c r="H613" s="10"/>
      <c r="I613" s="1" t="str">
        <f t="shared" si="27"/>
        <v/>
      </c>
      <c r="J613" s="1" t="s">
        <v>35</v>
      </c>
      <c r="K613" s="1" t="str">
        <f t="shared" si="28"/>
        <v/>
      </c>
      <c r="L613" s="1" t="str">
        <f t="shared" si="29"/>
        <v/>
      </c>
      <c r="M613" s="1">
        <f>IF(OR(Table1[[#This Row],[Std Nom]]="",Table1[[#This Row],[Std Read]]=""),0,Table1[[#This Row],[Std Nom]]-Table1[[#This Row],[Std Read]])</f>
        <v>0</v>
      </c>
      <c r="N613" s="1">
        <f>IF(Calculations!$F$5="ACCREDITED 17025 WITH UNCERTAINTIES",$N$10,0)</f>
        <v>0</v>
      </c>
      <c r="O613" s="1" t="str">
        <f>IFERROR(Table1[[#This Row],[Std Nom]]-(_xlfn.XLOOKUP(Table1[[#This Row],[Manufacturer]]&amp;" "&amp;Table1[[#This Row],[Model]],Table13[MFR &amp; MDL],Table13[Tolerance % CW ],"")/100*Table1[[#This Row],[Std Nom]]),"")</f>
        <v/>
      </c>
      <c r="P613" s="1" t="str">
        <f>IFERROR(Table1[[#This Row],[Std Nom]]+(_xlfn.XLOOKUP(Table1[[#This Row],[Manufacturer]]&amp;" "&amp;Table1[[#This Row],[Model]],Table13[MFR &amp; MDL],Table13[Tolerance % CW ],"")/100*Table1[[#This Row],[Std Nom]]),"")</f>
        <v/>
      </c>
      <c r="Q613" s="1" t="e">
        <f>Table1[[#This Row],[High Tol]]-Table1[[#This Row],[Low Tol]]</f>
        <v>#VALUE!</v>
      </c>
      <c r="R613" s="1">
        <f>2*Table1[[#This Row],[Std Error]]</f>
        <v>0</v>
      </c>
      <c r="S613" s="1" t="str">
        <f>IF(Table1[[#This Row],[High Tol]]="","N/A",IFERROR(ABS(Table1[[#This Row],[Tol Span]]/Table1[[#This Row],[Error Span]]),"N/A"))</f>
        <v>N/A</v>
      </c>
      <c r="T613" s="1" t="str">
        <f>IF(OR(Table1[[#This Row],[Low Tol]]="",Table1[[#This Row],[High Tol]]=""),"Needs Analysis",IF(Table1[[#This Row],[Ratio]]&gt;=4,"Not Significant",IF(Table1[[#This Row],[Ratio]]&gt;=2,"Semi-Significant","Significant")))</f>
        <v>Needs Analysis</v>
      </c>
      <c r="W613" s="1">
        <f>IF(Table1[[#This Row],[Cal Type]]&lt;&gt;"ACCREDITED 17025 WITH UNCERTAINTIES",0,"")</f>
        <v>0</v>
      </c>
      <c r="X613" s="1" t="str">
        <f>IF(Table1[[#This Row],[DUT Read]]="","N/A",Table1[[#This Row],[Std Error]]+Table1[[#This Row],[DUT Read]]+Table1[[#This Row],[DUT Ucty]])</f>
        <v>N/A</v>
      </c>
      <c r="Y613" s="1" t="str">
        <f>IF(Table1[[#This Row],[Std Read]]="","N/A",Table1[[#This Row],[Std Read]]+Table1[[#This Row],[Std Ucty]])</f>
        <v>N/A</v>
      </c>
      <c r="Z6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3" s="1" t="str">
        <f>IF(Table1[[#This Row],[Spec Type]]="","N/A",Table1[[#This Row],[Spec Type]])</f>
        <v>±</v>
      </c>
      <c r="AC613" s="1" t="str">
        <f>IF(Table1[[#This Row],[Spec Type2]]="N/A","N/A",IF(AND(Table1[[#This Row],[DUT Adj Read]]&gt;=Table1[[#This Row],[Low Tol]],Table1[[#This Row],[DUT Adj Read]]&lt;=Table1[[#This Row],[High Tol]]),"Pass","Fail"))</f>
        <v>Fail</v>
      </c>
      <c r="AD613" s="1" t="str">
        <f>IF(AND(Table1[[#This Row],[Spec Type2]]="N/A",Table1[[#This Row],[DUT Adj Read]]="N/A",Table1[[#This Row],[Std Adj Read]]="N/A"),"N/A",IF(Table1[[#This Row],[DUT Adj Read]]="N/A",IF(Table1[[#This Row],[Std Adj Read]]&gt;Table1[[#This Row],[Low Tol]],"Pass","Fail"),IF(Table1[[#This Row],[DUT Adj Read]]&gt;Table1[[#This Row],[Low Tol]],"Pass","Fail")))</f>
        <v>Pass</v>
      </c>
      <c r="AE613" s="1" t="str">
        <f>IF(AND(Table1[[#This Row],[Spec Type2]]="N/A",Table1[[#This Row],[DUT Adj Read]]="N/A",Table1[[#This Row],[Std Adj Read]]="N/A"),"N/A",IF(Table1[[#This Row],[DUT Adj Read]]="N/A",IF(Table1[[#This Row],[Std Adj Read]]&lt;Table1[[#This Row],[High Tol]],"Pass","Fail"),IF(Table1[[#This Row],[DUT Adj Read]]&lt;Table1[[#This Row],[High Tol]],"Pass","Fail")))</f>
        <v>Fail</v>
      </c>
      <c r="AF613" s="1" t="str">
        <f>IF(AND(Table1[[#This Row],[Spec Type2]]="N/A",Table1[[#This Row],[DUT Adj Read]]="N/A",Table1[[#This Row],[Std Adj Read]]="N/A"),"N/A",IF(Table1[[#This Row],[DUT Adj Read]]="N/A",IF(Table1[[#This Row],[Std Adj Read]]&gt;=Table1[[#This Row],[Low Tol]],"Pass","Fail"),IF(Table1[[#This Row],[DUT Adj Read]]&gt;=Table1[[#This Row],[Low Tol]],"Pass","Fail")))</f>
        <v>Pass</v>
      </c>
      <c r="AG613" s="1" t="str">
        <f>IF(AND(Table1[[#This Row],[Spec Type2]]="N/A",Table1[[#This Row],[DUT Adj Read]]="N/A",Table1[[#This Row],[Std Adj Read]]="N/A"),"N/A",IF(Table1[[#This Row],[DUT Adj Read]]="N/A",IF(Table1[[#This Row],[Std Adj Read]]&lt;=Table1[[#This Row],[High Tol]],"Pass","Fail"),IF(Table1[[#This Row],[DUT Adj Read]]&lt;=Table1[[#This Row],[High Tol]],"Pass","Fail")))</f>
        <v>Fail</v>
      </c>
      <c r="AH6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3" s="1" t="b">
        <v>0</v>
      </c>
      <c r="AN613" s="1" t="b">
        <v>0</v>
      </c>
      <c r="AO613" s="1" t="b">
        <v>0</v>
      </c>
    </row>
    <row r="614" spans="1:41" x14ac:dyDescent="0.25">
      <c r="A614" s="10"/>
      <c r="B614" s="10"/>
      <c r="C614" s="10"/>
      <c r="D614" s="10"/>
      <c r="E614" s="10"/>
      <c r="F614" s="10"/>
      <c r="G614" s="10"/>
      <c r="H614" s="10"/>
      <c r="I614" s="1" t="str">
        <f t="shared" si="27"/>
        <v/>
      </c>
      <c r="J614" s="1" t="s">
        <v>35</v>
      </c>
      <c r="K614" s="1" t="str">
        <f t="shared" si="28"/>
        <v/>
      </c>
      <c r="L614" s="1" t="str">
        <f t="shared" si="29"/>
        <v/>
      </c>
      <c r="M614" s="1">
        <f>IF(OR(Table1[[#This Row],[Std Nom]]="",Table1[[#This Row],[Std Read]]=""),0,Table1[[#This Row],[Std Nom]]-Table1[[#This Row],[Std Read]])</f>
        <v>0</v>
      </c>
      <c r="N614" s="1">
        <f>IF(Calculations!$F$5="ACCREDITED 17025 WITH UNCERTAINTIES",$N$10,0)</f>
        <v>0</v>
      </c>
      <c r="O614" s="1" t="str">
        <f>IFERROR(Table1[[#This Row],[Std Nom]]-(_xlfn.XLOOKUP(Table1[[#This Row],[Manufacturer]]&amp;" "&amp;Table1[[#This Row],[Model]],Table13[MFR &amp; MDL],Table13[Tolerance % CW ],"")/100*Table1[[#This Row],[Std Nom]]),"")</f>
        <v/>
      </c>
      <c r="P614" s="1" t="str">
        <f>IFERROR(Table1[[#This Row],[Std Nom]]+(_xlfn.XLOOKUP(Table1[[#This Row],[Manufacturer]]&amp;" "&amp;Table1[[#This Row],[Model]],Table13[MFR &amp; MDL],Table13[Tolerance % CW ],"")/100*Table1[[#This Row],[Std Nom]]),"")</f>
        <v/>
      </c>
      <c r="Q614" s="1" t="e">
        <f>Table1[[#This Row],[High Tol]]-Table1[[#This Row],[Low Tol]]</f>
        <v>#VALUE!</v>
      </c>
      <c r="R614" s="1">
        <f>2*Table1[[#This Row],[Std Error]]</f>
        <v>0</v>
      </c>
      <c r="S614" s="1" t="str">
        <f>IF(Table1[[#This Row],[High Tol]]="","N/A",IFERROR(ABS(Table1[[#This Row],[Tol Span]]/Table1[[#This Row],[Error Span]]),"N/A"))</f>
        <v>N/A</v>
      </c>
      <c r="T614" s="1" t="str">
        <f>IF(OR(Table1[[#This Row],[Low Tol]]="",Table1[[#This Row],[High Tol]]=""),"Needs Analysis",IF(Table1[[#This Row],[Ratio]]&gt;=4,"Not Significant",IF(Table1[[#This Row],[Ratio]]&gt;=2,"Semi-Significant","Significant")))</f>
        <v>Needs Analysis</v>
      </c>
      <c r="W614" s="1">
        <f>IF(Table1[[#This Row],[Cal Type]]&lt;&gt;"ACCREDITED 17025 WITH UNCERTAINTIES",0,"")</f>
        <v>0</v>
      </c>
      <c r="X614" s="1" t="str">
        <f>IF(Table1[[#This Row],[DUT Read]]="","N/A",Table1[[#This Row],[Std Error]]+Table1[[#This Row],[DUT Read]]+Table1[[#This Row],[DUT Ucty]])</f>
        <v>N/A</v>
      </c>
      <c r="Y614" s="1" t="str">
        <f>IF(Table1[[#This Row],[Std Read]]="","N/A",Table1[[#This Row],[Std Read]]+Table1[[#This Row],[Std Ucty]])</f>
        <v>N/A</v>
      </c>
      <c r="Z6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4" s="1" t="str">
        <f>IF(Table1[[#This Row],[Spec Type]]="","N/A",Table1[[#This Row],[Spec Type]])</f>
        <v>±</v>
      </c>
      <c r="AC614" s="1" t="str">
        <f>IF(Table1[[#This Row],[Spec Type2]]="N/A","N/A",IF(AND(Table1[[#This Row],[DUT Adj Read]]&gt;=Table1[[#This Row],[Low Tol]],Table1[[#This Row],[DUT Adj Read]]&lt;=Table1[[#This Row],[High Tol]]),"Pass","Fail"))</f>
        <v>Fail</v>
      </c>
      <c r="AD614" s="1" t="str">
        <f>IF(AND(Table1[[#This Row],[Spec Type2]]="N/A",Table1[[#This Row],[DUT Adj Read]]="N/A",Table1[[#This Row],[Std Adj Read]]="N/A"),"N/A",IF(Table1[[#This Row],[DUT Adj Read]]="N/A",IF(Table1[[#This Row],[Std Adj Read]]&gt;Table1[[#This Row],[Low Tol]],"Pass","Fail"),IF(Table1[[#This Row],[DUT Adj Read]]&gt;Table1[[#This Row],[Low Tol]],"Pass","Fail")))</f>
        <v>Pass</v>
      </c>
      <c r="AE614" s="1" t="str">
        <f>IF(AND(Table1[[#This Row],[Spec Type2]]="N/A",Table1[[#This Row],[DUT Adj Read]]="N/A",Table1[[#This Row],[Std Adj Read]]="N/A"),"N/A",IF(Table1[[#This Row],[DUT Adj Read]]="N/A",IF(Table1[[#This Row],[Std Adj Read]]&lt;Table1[[#This Row],[High Tol]],"Pass","Fail"),IF(Table1[[#This Row],[DUT Adj Read]]&lt;Table1[[#This Row],[High Tol]],"Pass","Fail")))</f>
        <v>Fail</v>
      </c>
      <c r="AF614" s="1" t="str">
        <f>IF(AND(Table1[[#This Row],[Spec Type2]]="N/A",Table1[[#This Row],[DUT Adj Read]]="N/A",Table1[[#This Row],[Std Adj Read]]="N/A"),"N/A",IF(Table1[[#This Row],[DUT Adj Read]]="N/A",IF(Table1[[#This Row],[Std Adj Read]]&gt;=Table1[[#This Row],[Low Tol]],"Pass","Fail"),IF(Table1[[#This Row],[DUT Adj Read]]&gt;=Table1[[#This Row],[Low Tol]],"Pass","Fail")))</f>
        <v>Pass</v>
      </c>
      <c r="AG614" s="1" t="str">
        <f>IF(AND(Table1[[#This Row],[Spec Type2]]="N/A",Table1[[#This Row],[DUT Adj Read]]="N/A",Table1[[#This Row],[Std Adj Read]]="N/A"),"N/A",IF(Table1[[#This Row],[DUT Adj Read]]="N/A",IF(Table1[[#This Row],[Std Adj Read]]&lt;=Table1[[#This Row],[High Tol]],"Pass","Fail"),IF(Table1[[#This Row],[DUT Adj Read]]&lt;=Table1[[#This Row],[High Tol]],"Pass","Fail")))</f>
        <v>Fail</v>
      </c>
      <c r="AH6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4" s="1" t="b">
        <v>0</v>
      </c>
      <c r="AN614" s="1" t="b">
        <v>0</v>
      </c>
      <c r="AO614" s="1" t="b">
        <v>0</v>
      </c>
    </row>
    <row r="615" spans="1:41" x14ac:dyDescent="0.25">
      <c r="A615" s="10"/>
      <c r="B615" s="10"/>
      <c r="C615" s="10"/>
      <c r="D615" s="10"/>
      <c r="E615" s="10"/>
      <c r="F615" s="10"/>
      <c r="G615" s="10"/>
      <c r="H615" s="10"/>
      <c r="I615" s="1" t="str">
        <f t="shared" si="27"/>
        <v/>
      </c>
      <c r="J615" s="1" t="s">
        <v>35</v>
      </c>
      <c r="K615" s="1" t="str">
        <f t="shared" si="28"/>
        <v/>
      </c>
      <c r="L615" s="1" t="str">
        <f t="shared" si="29"/>
        <v/>
      </c>
      <c r="M615" s="1">
        <f>IF(OR(Table1[[#This Row],[Std Nom]]="",Table1[[#This Row],[Std Read]]=""),0,Table1[[#This Row],[Std Nom]]-Table1[[#This Row],[Std Read]])</f>
        <v>0</v>
      </c>
      <c r="N615" s="1">
        <f>IF(Calculations!$F$5="ACCREDITED 17025 WITH UNCERTAINTIES",$N$10,0)</f>
        <v>0</v>
      </c>
      <c r="O615" s="1" t="str">
        <f>IFERROR(Table1[[#This Row],[Std Nom]]-(_xlfn.XLOOKUP(Table1[[#This Row],[Manufacturer]]&amp;" "&amp;Table1[[#This Row],[Model]],Table13[MFR &amp; MDL],Table13[Tolerance % CW ],"")/100*Table1[[#This Row],[Std Nom]]),"")</f>
        <v/>
      </c>
      <c r="P615" s="1" t="str">
        <f>IFERROR(Table1[[#This Row],[Std Nom]]+(_xlfn.XLOOKUP(Table1[[#This Row],[Manufacturer]]&amp;" "&amp;Table1[[#This Row],[Model]],Table13[MFR &amp; MDL],Table13[Tolerance % CW ],"")/100*Table1[[#This Row],[Std Nom]]),"")</f>
        <v/>
      </c>
      <c r="Q615" s="1" t="e">
        <f>Table1[[#This Row],[High Tol]]-Table1[[#This Row],[Low Tol]]</f>
        <v>#VALUE!</v>
      </c>
      <c r="R615" s="1">
        <f>2*Table1[[#This Row],[Std Error]]</f>
        <v>0</v>
      </c>
      <c r="S615" s="1" t="str">
        <f>IF(Table1[[#This Row],[High Tol]]="","N/A",IFERROR(ABS(Table1[[#This Row],[Tol Span]]/Table1[[#This Row],[Error Span]]),"N/A"))</f>
        <v>N/A</v>
      </c>
      <c r="T615" s="1" t="str">
        <f>IF(OR(Table1[[#This Row],[Low Tol]]="",Table1[[#This Row],[High Tol]]=""),"Needs Analysis",IF(Table1[[#This Row],[Ratio]]&gt;=4,"Not Significant",IF(Table1[[#This Row],[Ratio]]&gt;=2,"Semi-Significant","Significant")))</f>
        <v>Needs Analysis</v>
      </c>
      <c r="W615" s="1">
        <f>IF(Table1[[#This Row],[Cal Type]]&lt;&gt;"ACCREDITED 17025 WITH UNCERTAINTIES",0,"")</f>
        <v>0</v>
      </c>
      <c r="X615" s="1" t="str">
        <f>IF(Table1[[#This Row],[DUT Read]]="","N/A",Table1[[#This Row],[Std Error]]+Table1[[#This Row],[DUT Read]]+Table1[[#This Row],[DUT Ucty]])</f>
        <v>N/A</v>
      </c>
      <c r="Y615" s="1" t="str">
        <f>IF(Table1[[#This Row],[Std Read]]="","N/A",Table1[[#This Row],[Std Read]]+Table1[[#This Row],[Std Ucty]])</f>
        <v>N/A</v>
      </c>
      <c r="Z6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5" s="1" t="str">
        <f>IF(Table1[[#This Row],[Spec Type]]="","N/A",Table1[[#This Row],[Spec Type]])</f>
        <v>±</v>
      </c>
      <c r="AC615" s="1" t="str">
        <f>IF(Table1[[#This Row],[Spec Type2]]="N/A","N/A",IF(AND(Table1[[#This Row],[DUT Adj Read]]&gt;=Table1[[#This Row],[Low Tol]],Table1[[#This Row],[DUT Adj Read]]&lt;=Table1[[#This Row],[High Tol]]),"Pass","Fail"))</f>
        <v>Fail</v>
      </c>
      <c r="AD615" s="1" t="str">
        <f>IF(AND(Table1[[#This Row],[Spec Type2]]="N/A",Table1[[#This Row],[DUT Adj Read]]="N/A",Table1[[#This Row],[Std Adj Read]]="N/A"),"N/A",IF(Table1[[#This Row],[DUT Adj Read]]="N/A",IF(Table1[[#This Row],[Std Adj Read]]&gt;Table1[[#This Row],[Low Tol]],"Pass","Fail"),IF(Table1[[#This Row],[DUT Adj Read]]&gt;Table1[[#This Row],[Low Tol]],"Pass","Fail")))</f>
        <v>Pass</v>
      </c>
      <c r="AE615" s="1" t="str">
        <f>IF(AND(Table1[[#This Row],[Spec Type2]]="N/A",Table1[[#This Row],[DUT Adj Read]]="N/A",Table1[[#This Row],[Std Adj Read]]="N/A"),"N/A",IF(Table1[[#This Row],[DUT Adj Read]]="N/A",IF(Table1[[#This Row],[Std Adj Read]]&lt;Table1[[#This Row],[High Tol]],"Pass","Fail"),IF(Table1[[#This Row],[DUT Adj Read]]&lt;Table1[[#This Row],[High Tol]],"Pass","Fail")))</f>
        <v>Fail</v>
      </c>
      <c r="AF615" s="1" t="str">
        <f>IF(AND(Table1[[#This Row],[Spec Type2]]="N/A",Table1[[#This Row],[DUT Adj Read]]="N/A",Table1[[#This Row],[Std Adj Read]]="N/A"),"N/A",IF(Table1[[#This Row],[DUT Adj Read]]="N/A",IF(Table1[[#This Row],[Std Adj Read]]&gt;=Table1[[#This Row],[Low Tol]],"Pass","Fail"),IF(Table1[[#This Row],[DUT Adj Read]]&gt;=Table1[[#This Row],[Low Tol]],"Pass","Fail")))</f>
        <v>Pass</v>
      </c>
      <c r="AG615" s="1" t="str">
        <f>IF(AND(Table1[[#This Row],[Spec Type2]]="N/A",Table1[[#This Row],[DUT Adj Read]]="N/A",Table1[[#This Row],[Std Adj Read]]="N/A"),"N/A",IF(Table1[[#This Row],[DUT Adj Read]]="N/A",IF(Table1[[#This Row],[Std Adj Read]]&lt;=Table1[[#This Row],[High Tol]],"Pass","Fail"),IF(Table1[[#This Row],[DUT Adj Read]]&lt;=Table1[[#This Row],[High Tol]],"Pass","Fail")))</f>
        <v>Fail</v>
      </c>
      <c r="AH6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5" s="1" t="b">
        <v>0</v>
      </c>
      <c r="AN615" s="1" t="b">
        <v>0</v>
      </c>
      <c r="AO615" s="1" t="b">
        <v>0</v>
      </c>
    </row>
    <row r="616" spans="1:41" x14ac:dyDescent="0.25">
      <c r="A616" s="10"/>
      <c r="B616" s="10"/>
      <c r="C616" s="10"/>
      <c r="D616" s="10"/>
      <c r="E616" s="10"/>
      <c r="F616" s="10"/>
      <c r="G616" s="10"/>
      <c r="H616" s="10"/>
      <c r="I616" s="1" t="str">
        <f t="shared" si="27"/>
        <v/>
      </c>
      <c r="J616" s="1" t="s">
        <v>35</v>
      </c>
      <c r="K616" s="1" t="str">
        <f t="shared" si="28"/>
        <v/>
      </c>
      <c r="L616" s="1" t="str">
        <f t="shared" si="29"/>
        <v/>
      </c>
      <c r="M616" s="1">
        <f>IF(OR(Table1[[#This Row],[Std Nom]]="",Table1[[#This Row],[Std Read]]=""),0,Table1[[#This Row],[Std Nom]]-Table1[[#This Row],[Std Read]])</f>
        <v>0</v>
      </c>
      <c r="N616" s="1">
        <f>IF(Calculations!$F$5="ACCREDITED 17025 WITH UNCERTAINTIES",$N$10,0)</f>
        <v>0</v>
      </c>
      <c r="O616" s="1" t="str">
        <f>IFERROR(Table1[[#This Row],[Std Nom]]-(_xlfn.XLOOKUP(Table1[[#This Row],[Manufacturer]]&amp;" "&amp;Table1[[#This Row],[Model]],Table13[MFR &amp; MDL],Table13[Tolerance % CW ],"")/100*Table1[[#This Row],[Std Nom]]),"")</f>
        <v/>
      </c>
      <c r="P616" s="1" t="str">
        <f>IFERROR(Table1[[#This Row],[Std Nom]]+(_xlfn.XLOOKUP(Table1[[#This Row],[Manufacturer]]&amp;" "&amp;Table1[[#This Row],[Model]],Table13[MFR &amp; MDL],Table13[Tolerance % CW ],"")/100*Table1[[#This Row],[Std Nom]]),"")</f>
        <v/>
      </c>
      <c r="Q616" s="1" t="e">
        <f>Table1[[#This Row],[High Tol]]-Table1[[#This Row],[Low Tol]]</f>
        <v>#VALUE!</v>
      </c>
      <c r="R616" s="1">
        <f>2*Table1[[#This Row],[Std Error]]</f>
        <v>0</v>
      </c>
      <c r="S616" s="1" t="str">
        <f>IF(Table1[[#This Row],[High Tol]]="","N/A",IFERROR(ABS(Table1[[#This Row],[Tol Span]]/Table1[[#This Row],[Error Span]]),"N/A"))</f>
        <v>N/A</v>
      </c>
      <c r="T616" s="1" t="str">
        <f>IF(OR(Table1[[#This Row],[Low Tol]]="",Table1[[#This Row],[High Tol]]=""),"Needs Analysis",IF(Table1[[#This Row],[Ratio]]&gt;=4,"Not Significant",IF(Table1[[#This Row],[Ratio]]&gt;=2,"Semi-Significant","Significant")))</f>
        <v>Needs Analysis</v>
      </c>
      <c r="W616" s="1">
        <f>IF(Table1[[#This Row],[Cal Type]]&lt;&gt;"ACCREDITED 17025 WITH UNCERTAINTIES",0,"")</f>
        <v>0</v>
      </c>
      <c r="X616" s="1" t="str">
        <f>IF(Table1[[#This Row],[DUT Read]]="","N/A",Table1[[#This Row],[Std Error]]+Table1[[#This Row],[DUT Read]]+Table1[[#This Row],[DUT Ucty]])</f>
        <v>N/A</v>
      </c>
      <c r="Y616" s="1" t="str">
        <f>IF(Table1[[#This Row],[Std Read]]="","N/A",Table1[[#This Row],[Std Read]]+Table1[[#This Row],[Std Ucty]])</f>
        <v>N/A</v>
      </c>
      <c r="Z6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6" s="1" t="str">
        <f>IF(Table1[[#This Row],[Spec Type]]="","N/A",Table1[[#This Row],[Spec Type]])</f>
        <v>±</v>
      </c>
      <c r="AC616" s="1" t="str">
        <f>IF(Table1[[#This Row],[Spec Type2]]="N/A","N/A",IF(AND(Table1[[#This Row],[DUT Adj Read]]&gt;=Table1[[#This Row],[Low Tol]],Table1[[#This Row],[DUT Adj Read]]&lt;=Table1[[#This Row],[High Tol]]),"Pass","Fail"))</f>
        <v>Fail</v>
      </c>
      <c r="AD616" s="1" t="str">
        <f>IF(AND(Table1[[#This Row],[Spec Type2]]="N/A",Table1[[#This Row],[DUT Adj Read]]="N/A",Table1[[#This Row],[Std Adj Read]]="N/A"),"N/A",IF(Table1[[#This Row],[DUT Adj Read]]="N/A",IF(Table1[[#This Row],[Std Adj Read]]&gt;Table1[[#This Row],[Low Tol]],"Pass","Fail"),IF(Table1[[#This Row],[DUT Adj Read]]&gt;Table1[[#This Row],[Low Tol]],"Pass","Fail")))</f>
        <v>Pass</v>
      </c>
      <c r="AE616" s="1" t="str">
        <f>IF(AND(Table1[[#This Row],[Spec Type2]]="N/A",Table1[[#This Row],[DUT Adj Read]]="N/A",Table1[[#This Row],[Std Adj Read]]="N/A"),"N/A",IF(Table1[[#This Row],[DUT Adj Read]]="N/A",IF(Table1[[#This Row],[Std Adj Read]]&lt;Table1[[#This Row],[High Tol]],"Pass","Fail"),IF(Table1[[#This Row],[DUT Adj Read]]&lt;Table1[[#This Row],[High Tol]],"Pass","Fail")))</f>
        <v>Fail</v>
      </c>
      <c r="AF616" s="1" t="str">
        <f>IF(AND(Table1[[#This Row],[Spec Type2]]="N/A",Table1[[#This Row],[DUT Adj Read]]="N/A",Table1[[#This Row],[Std Adj Read]]="N/A"),"N/A",IF(Table1[[#This Row],[DUT Adj Read]]="N/A",IF(Table1[[#This Row],[Std Adj Read]]&gt;=Table1[[#This Row],[Low Tol]],"Pass","Fail"),IF(Table1[[#This Row],[DUT Adj Read]]&gt;=Table1[[#This Row],[Low Tol]],"Pass","Fail")))</f>
        <v>Pass</v>
      </c>
      <c r="AG616" s="1" t="str">
        <f>IF(AND(Table1[[#This Row],[Spec Type2]]="N/A",Table1[[#This Row],[DUT Adj Read]]="N/A",Table1[[#This Row],[Std Adj Read]]="N/A"),"N/A",IF(Table1[[#This Row],[DUT Adj Read]]="N/A",IF(Table1[[#This Row],[Std Adj Read]]&lt;=Table1[[#This Row],[High Tol]],"Pass","Fail"),IF(Table1[[#This Row],[DUT Adj Read]]&lt;=Table1[[#This Row],[High Tol]],"Pass","Fail")))</f>
        <v>Fail</v>
      </c>
      <c r="AH6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6" s="1" t="b">
        <v>0</v>
      </c>
      <c r="AN616" s="1" t="b">
        <v>0</v>
      </c>
      <c r="AO616" s="1" t="b">
        <v>0</v>
      </c>
    </row>
    <row r="617" spans="1:41" x14ac:dyDescent="0.25">
      <c r="A617" s="10"/>
      <c r="B617" s="10"/>
      <c r="C617" s="10"/>
      <c r="D617" s="10"/>
      <c r="E617" s="10"/>
      <c r="F617" s="10"/>
      <c r="G617" s="10"/>
      <c r="H617" s="10"/>
      <c r="I617" s="1" t="str">
        <f t="shared" si="27"/>
        <v/>
      </c>
      <c r="J617" s="1" t="s">
        <v>35</v>
      </c>
      <c r="K617" s="1" t="str">
        <f t="shared" si="28"/>
        <v/>
      </c>
      <c r="L617" s="1" t="str">
        <f t="shared" si="29"/>
        <v/>
      </c>
      <c r="M617" s="1">
        <f>IF(OR(Table1[[#This Row],[Std Nom]]="",Table1[[#This Row],[Std Read]]=""),0,Table1[[#This Row],[Std Nom]]-Table1[[#This Row],[Std Read]])</f>
        <v>0</v>
      </c>
      <c r="N617" s="1">
        <f>IF(Calculations!$F$5="ACCREDITED 17025 WITH UNCERTAINTIES",$N$10,0)</f>
        <v>0</v>
      </c>
      <c r="O617" s="1" t="str">
        <f>IFERROR(Table1[[#This Row],[Std Nom]]-(_xlfn.XLOOKUP(Table1[[#This Row],[Manufacturer]]&amp;" "&amp;Table1[[#This Row],[Model]],Table13[MFR &amp; MDL],Table13[Tolerance % CW ],"")/100*Table1[[#This Row],[Std Nom]]),"")</f>
        <v/>
      </c>
      <c r="P617" s="1" t="str">
        <f>IFERROR(Table1[[#This Row],[Std Nom]]+(_xlfn.XLOOKUP(Table1[[#This Row],[Manufacturer]]&amp;" "&amp;Table1[[#This Row],[Model]],Table13[MFR &amp; MDL],Table13[Tolerance % CW ],"")/100*Table1[[#This Row],[Std Nom]]),"")</f>
        <v/>
      </c>
      <c r="Q617" s="1" t="e">
        <f>Table1[[#This Row],[High Tol]]-Table1[[#This Row],[Low Tol]]</f>
        <v>#VALUE!</v>
      </c>
      <c r="R617" s="1">
        <f>2*Table1[[#This Row],[Std Error]]</f>
        <v>0</v>
      </c>
      <c r="S617" s="1" t="str">
        <f>IF(Table1[[#This Row],[High Tol]]="","N/A",IFERROR(ABS(Table1[[#This Row],[Tol Span]]/Table1[[#This Row],[Error Span]]),"N/A"))</f>
        <v>N/A</v>
      </c>
      <c r="T617" s="1" t="str">
        <f>IF(OR(Table1[[#This Row],[Low Tol]]="",Table1[[#This Row],[High Tol]]=""),"Needs Analysis",IF(Table1[[#This Row],[Ratio]]&gt;=4,"Not Significant",IF(Table1[[#This Row],[Ratio]]&gt;=2,"Semi-Significant","Significant")))</f>
        <v>Needs Analysis</v>
      </c>
      <c r="W617" s="1">
        <f>IF(Table1[[#This Row],[Cal Type]]&lt;&gt;"ACCREDITED 17025 WITH UNCERTAINTIES",0,"")</f>
        <v>0</v>
      </c>
      <c r="X617" s="1" t="str">
        <f>IF(Table1[[#This Row],[DUT Read]]="","N/A",Table1[[#This Row],[Std Error]]+Table1[[#This Row],[DUT Read]]+Table1[[#This Row],[DUT Ucty]])</f>
        <v>N/A</v>
      </c>
      <c r="Y617" s="1" t="str">
        <f>IF(Table1[[#This Row],[Std Read]]="","N/A",Table1[[#This Row],[Std Read]]+Table1[[#This Row],[Std Ucty]])</f>
        <v>N/A</v>
      </c>
      <c r="Z6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7" s="1" t="str">
        <f>IF(Table1[[#This Row],[Spec Type]]="","N/A",Table1[[#This Row],[Spec Type]])</f>
        <v>±</v>
      </c>
      <c r="AC617" s="1" t="str">
        <f>IF(Table1[[#This Row],[Spec Type2]]="N/A","N/A",IF(AND(Table1[[#This Row],[DUT Adj Read]]&gt;=Table1[[#This Row],[Low Tol]],Table1[[#This Row],[DUT Adj Read]]&lt;=Table1[[#This Row],[High Tol]]),"Pass","Fail"))</f>
        <v>Fail</v>
      </c>
      <c r="AD617" s="1" t="str">
        <f>IF(AND(Table1[[#This Row],[Spec Type2]]="N/A",Table1[[#This Row],[DUT Adj Read]]="N/A",Table1[[#This Row],[Std Adj Read]]="N/A"),"N/A",IF(Table1[[#This Row],[DUT Adj Read]]="N/A",IF(Table1[[#This Row],[Std Adj Read]]&gt;Table1[[#This Row],[Low Tol]],"Pass","Fail"),IF(Table1[[#This Row],[DUT Adj Read]]&gt;Table1[[#This Row],[Low Tol]],"Pass","Fail")))</f>
        <v>Pass</v>
      </c>
      <c r="AE617" s="1" t="str">
        <f>IF(AND(Table1[[#This Row],[Spec Type2]]="N/A",Table1[[#This Row],[DUT Adj Read]]="N/A",Table1[[#This Row],[Std Adj Read]]="N/A"),"N/A",IF(Table1[[#This Row],[DUT Adj Read]]="N/A",IF(Table1[[#This Row],[Std Adj Read]]&lt;Table1[[#This Row],[High Tol]],"Pass","Fail"),IF(Table1[[#This Row],[DUT Adj Read]]&lt;Table1[[#This Row],[High Tol]],"Pass","Fail")))</f>
        <v>Fail</v>
      </c>
      <c r="AF617" s="1" t="str">
        <f>IF(AND(Table1[[#This Row],[Spec Type2]]="N/A",Table1[[#This Row],[DUT Adj Read]]="N/A",Table1[[#This Row],[Std Adj Read]]="N/A"),"N/A",IF(Table1[[#This Row],[DUT Adj Read]]="N/A",IF(Table1[[#This Row],[Std Adj Read]]&gt;=Table1[[#This Row],[Low Tol]],"Pass","Fail"),IF(Table1[[#This Row],[DUT Adj Read]]&gt;=Table1[[#This Row],[Low Tol]],"Pass","Fail")))</f>
        <v>Pass</v>
      </c>
      <c r="AG617" s="1" t="str">
        <f>IF(AND(Table1[[#This Row],[Spec Type2]]="N/A",Table1[[#This Row],[DUT Adj Read]]="N/A",Table1[[#This Row],[Std Adj Read]]="N/A"),"N/A",IF(Table1[[#This Row],[DUT Adj Read]]="N/A",IF(Table1[[#This Row],[Std Adj Read]]&lt;=Table1[[#This Row],[High Tol]],"Pass","Fail"),IF(Table1[[#This Row],[DUT Adj Read]]&lt;=Table1[[#This Row],[High Tol]],"Pass","Fail")))</f>
        <v>Fail</v>
      </c>
      <c r="AH6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7" s="1" t="b">
        <v>0</v>
      </c>
      <c r="AN617" s="1" t="b">
        <v>0</v>
      </c>
      <c r="AO617" s="1" t="b">
        <v>0</v>
      </c>
    </row>
    <row r="618" spans="1:41" x14ac:dyDescent="0.25">
      <c r="A618" s="10"/>
      <c r="B618" s="10"/>
      <c r="C618" s="10"/>
      <c r="D618" s="10"/>
      <c r="E618" s="10"/>
      <c r="F618" s="10"/>
      <c r="G618" s="10"/>
      <c r="H618" s="10"/>
      <c r="I618" s="1" t="str">
        <f t="shared" si="27"/>
        <v/>
      </c>
      <c r="J618" s="1" t="s">
        <v>35</v>
      </c>
      <c r="K618" s="1" t="str">
        <f t="shared" si="28"/>
        <v/>
      </c>
      <c r="L618" s="1" t="str">
        <f t="shared" si="29"/>
        <v/>
      </c>
      <c r="M618" s="1">
        <f>IF(OR(Table1[[#This Row],[Std Nom]]="",Table1[[#This Row],[Std Read]]=""),0,Table1[[#This Row],[Std Nom]]-Table1[[#This Row],[Std Read]])</f>
        <v>0</v>
      </c>
      <c r="N618" s="1">
        <f>IF(Calculations!$F$5="ACCREDITED 17025 WITH UNCERTAINTIES",$N$10,0)</f>
        <v>0</v>
      </c>
      <c r="O618" s="1" t="str">
        <f>IFERROR(Table1[[#This Row],[Std Nom]]-(_xlfn.XLOOKUP(Table1[[#This Row],[Manufacturer]]&amp;" "&amp;Table1[[#This Row],[Model]],Table13[MFR &amp; MDL],Table13[Tolerance % CW ],"")/100*Table1[[#This Row],[Std Nom]]),"")</f>
        <v/>
      </c>
      <c r="P618" s="1" t="str">
        <f>IFERROR(Table1[[#This Row],[Std Nom]]+(_xlfn.XLOOKUP(Table1[[#This Row],[Manufacturer]]&amp;" "&amp;Table1[[#This Row],[Model]],Table13[MFR &amp; MDL],Table13[Tolerance % CW ],"")/100*Table1[[#This Row],[Std Nom]]),"")</f>
        <v/>
      </c>
      <c r="Q618" s="1" t="e">
        <f>Table1[[#This Row],[High Tol]]-Table1[[#This Row],[Low Tol]]</f>
        <v>#VALUE!</v>
      </c>
      <c r="R618" s="1">
        <f>2*Table1[[#This Row],[Std Error]]</f>
        <v>0</v>
      </c>
      <c r="S618" s="1" t="str">
        <f>IF(Table1[[#This Row],[High Tol]]="","N/A",IFERROR(ABS(Table1[[#This Row],[Tol Span]]/Table1[[#This Row],[Error Span]]),"N/A"))</f>
        <v>N/A</v>
      </c>
      <c r="T618" s="1" t="str">
        <f>IF(OR(Table1[[#This Row],[Low Tol]]="",Table1[[#This Row],[High Tol]]=""),"Needs Analysis",IF(Table1[[#This Row],[Ratio]]&gt;=4,"Not Significant",IF(Table1[[#This Row],[Ratio]]&gt;=2,"Semi-Significant","Significant")))</f>
        <v>Needs Analysis</v>
      </c>
      <c r="W618" s="1">
        <f>IF(Table1[[#This Row],[Cal Type]]&lt;&gt;"ACCREDITED 17025 WITH UNCERTAINTIES",0,"")</f>
        <v>0</v>
      </c>
      <c r="X618" s="1" t="str">
        <f>IF(Table1[[#This Row],[DUT Read]]="","N/A",Table1[[#This Row],[Std Error]]+Table1[[#This Row],[DUT Read]]+Table1[[#This Row],[DUT Ucty]])</f>
        <v>N/A</v>
      </c>
      <c r="Y618" s="1" t="str">
        <f>IF(Table1[[#This Row],[Std Read]]="","N/A",Table1[[#This Row],[Std Read]]+Table1[[#This Row],[Std Ucty]])</f>
        <v>N/A</v>
      </c>
      <c r="Z6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8" s="1" t="str">
        <f>IF(Table1[[#This Row],[Spec Type]]="","N/A",Table1[[#This Row],[Spec Type]])</f>
        <v>±</v>
      </c>
      <c r="AC618" s="1" t="str">
        <f>IF(Table1[[#This Row],[Spec Type2]]="N/A","N/A",IF(AND(Table1[[#This Row],[DUT Adj Read]]&gt;=Table1[[#This Row],[Low Tol]],Table1[[#This Row],[DUT Adj Read]]&lt;=Table1[[#This Row],[High Tol]]),"Pass","Fail"))</f>
        <v>Fail</v>
      </c>
      <c r="AD618" s="1" t="str">
        <f>IF(AND(Table1[[#This Row],[Spec Type2]]="N/A",Table1[[#This Row],[DUT Adj Read]]="N/A",Table1[[#This Row],[Std Adj Read]]="N/A"),"N/A",IF(Table1[[#This Row],[DUT Adj Read]]="N/A",IF(Table1[[#This Row],[Std Adj Read]]&gt;Table1[[#This Row],[Low Tol]],"Pass","Fail"),IF(Table1[[#This Row],[DUT Adj Read]]&gt;Table1[[#This Row],[Low Tol]],"Pass","Fail")))</f>
        <v>Pass</v>
      </c>
      <c r="AE618" s="1" t="str">
        <f>IF(AND(Table1[[#This Row],[Spec Type2]]="N/A",Table1[[#This Row],[DUT Adj Read]]="N/A",Table1[[#This Row],[Std Adj Read]]="N/A"),"N/A",IF(Table1[[#This Row],[DUT Adj Read]]="N/A",IF(Table1[[#This Row],[Std Adj Read]]&lt;Table1[[#This Row],[High Tol]],"Pass","Fail"),IF(Table1[[#This Row],[DUT Adj Read]]&lt;Table1[[#This Row],[High Tol]],"Pass","Fail")))</f>
        <v>Fail</v>
      </c>
      <c r="AF618" s="1" t="str">
        <f>IF(AND(Table1[[#This Row],[Spec Type2]]="N/A",Table1[[#This Row],[DUT Adj Read]]="N/A",Table1[[#This Row],[Std Adj Read]]="N/A"),"N/A",IF(Table1[[#This Row],[DUT Adj Read]]="N/A",IF(Table1[[#This Row],[Std Adj Read]]&gt;=Table1[[#This Row],[Low Tol]],"Pass","Fail"),IF(Table1[[#This Row],[DUT Adj Read]]&gt;=Table1[[#This Row],[Low Tol]],"Pass","Fail")))</f>
        <v>Pass</v>
      </c>
      <c r="AG618" s="1" t="str">
        <f>IF(AND(Table1[[#This Row],[Spec Type2]]="N/A",Table1[[#This Row],[DUT Adj Read]]="N/A",Table1[[#This Row],[Std Adj Read]]="N/A"),"N/A",IF(Table1[[#This Row],[DUT Adj Read]]="N/A",IF(Table1[[#This Row],[Std Adj Read]]&lt;=Table1[[#This Row],[High Tol]],"Pass","Fail"),IF(Table1[[#This Row],[DUT Adj Read]]&lt;=Table1[[#This Row],[High Tol]],"Pass","Fail")))</f>
        <v>Fail</v>
      </c>
      <c r="AH6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8" s="1" t="b">
        <v>0</v>
      </c>
      <c r="AN618" s="1" t="b">
        <v>0</v>
      </c>
      <c r="AO618" s="1" t="b">
        <v>0</v>
      </c>
    </row>
    <row r="619" spans="1:41" x14ac:dyDescent="0.25">
      <c r="A619" s="10"/>
      <c r="B619" s="10"/>
      <c r="C619" s="10"/>
      <c r="D619" s="10"/>
      <c r="E619" s="10"/>
      <c r="F619" s="10"/>
      <c r="G619" s="10"/>
      <c r="H619" s="10"/>
      <c r="I619" s="1" t="str">
        <f t="shared" si="27"/>
        <v/>
      </c>
      <c r="J619" s="1" t="s">
        <v>35</v>
      </c>
      <c r="K619" s="1" t="str">
        <f t="shared" si="28"/>
        <v/>
      </c>
      <c r="L619" s="1" t="str">
        <f t="shared" si="29"/>
        <v/>
      </c>
      <c r="M619" s="1">
        <f>IF(OR(Table1[[#This Row],[Std Nom]]="",Table1[[#This Row],[Std Read]]=""),0,Table1[[#This Row],[Std Nom]]-Table1[[#This Row],[Std Read]])</f>
        <v>0</v>
      </c>
      <c r="N619" s="1">
        <f>IF(Calculations!$F$5="ACCREDITED 17025 WITH UNCERTAINTIES",$N$10,0)</f>
        <v>0</v>
      </c>
      <c r="O619" s="1" t="str">
        <f>IFERROR(Table1[[#This Row],[Std Nom]]-(_xlfn.XLOOKUP(Table1[[#This Row],[Manufacturer]]&amp;" "&amp;Table1[[#This Row],[Model]],Table13[MFR &amp; MDL],Table13[Tolerance % CW ],"")/100*Table1[[#This Row],[Std Nom]]),"")</f>
        <v/>
      </c>
      <c r="P619" s="1" t="str">
        <f>IFERROR(Table1[[#This Row],[Std Nom]]+(_xlfn.XLOOKUP(Table1[[#This Row],[Manufacturer]]&amp;" "&amp;Table1[[#This Row],[Model]],Table13[MFR &amp; MDL],Table13[Tolerance % CW ],"")/100*Table1[[#This Row],[Std Nom]]),"")</f>
        <v/>
      </c>
      <c r="Q619" s="1" t="e">
        <f>Table1[[#This Row],[High Tol]]-Table1[[#This Row],[Low Tol]]</f>
        <v>#VALUE!</v>
      </c>
      <c r="R619" s="1">
        <f>2*Table1[[#This Row],[Std Error]]</f>
        <v>0</v>
      </c>
      <c r="S619" s="1" t="str">
        <f>IF(Table1[[#This Row],[High Tol]]="","N/A",IFERROR(ABS(Table1[[#This Row],[Tol Span]]/Table1[[#This Row],[Error Span]]),"N/A"))</f>
        <v>N/A</v>
      </c>
      <c r="T619" s="1" t="str">
        <f>IF(OR(Table1[[#This Row],[Low Tol]]="",Table1[[#This Row],[High Tol]]=""),"Needs Analysis",IF(Table1[[#This Row],[Ratio]]&gt;=4,"Not Significant",IF(Table1[[#This Row],[Ratio]]&gt;=2,"Semi-Significant","Significant")))</f>
        <v>Needs Analysis</v>
      </c>
      <c r="W619" s="1">
        <f>IF(Table1[[#This Row],[Cal Type]]&lt;&gt;"ACCREDITED 17025 WITH UNCERTAINTIES",0,"")</f>
        <v>0</v>
      </c>
      <c r="X619" s="1" t="str">
        <f>IF(Table1[[#This Row],[DUT Read]]="","N/A",Table1[[#This Row],[Std Error]]+Table1[[#This Row],[DUT Read]]+Table1[[#This Row],[DUT Ucty]])</f>
        <v>N/A</v>
      </c>
      <c r="Y619" s="1" t="str">
        <f>IF(Table1[[#This Row],[Std Read]]="","N/A",Table1[[#This Row],[Std Read]]+Table1[[#This Row],[Std Ucty]])</f>
        <v>N/A</v>
      </c>
      <c r="Z6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9" s="1" t="str">
        <f>IF(Table1[[#This Row],[Spec Type]]="","N/A",Table1[[#This Row],[Spec Type]])</f>
        <v>±</v>
      </c>
      <c r="AC619" s="1" t="str">
        <f>IF(Table1[[#This Row],[Spec Type2]]="N/A","N/A",IF(AND(Table1[[#This Row],[DUT Adj Read]]&gt;=Table1[[#This Row],[Low Tol]],Table1[[#This Row],[DUT Adj Read]]&lt;=Table1[[#This Row],[High Tol]]),"Pass","Fail"))</f>
        <v>Fail</v>
      </c>
      <c r="AD619" s="1" t="str">
        <f>IF(AND(Table1[[#This Row],[Spec Type2]]="N/A",Table1[[#This Row],[DUT Adj Read]]="N/A",Table1[[#This Row],[Std Adj Read]]="N/A"),"N/A",IF(Table1[[#This Row],[DUT Adj Read]]="N/A",IF(Table1[[#This Row],[Std Adj Read]]&gt;Table1[[#This Row],[Low Tol]],"Pass","Fail"),IF(Table1[[#This Row],[DUT Adj Read]]&gt;Table1[[#This Row],[Low Tol]],"Pass","Fail")))</f>
        <v>Pass</v>
      </c>
      <c r="AE619" s="1" t="str">
        <f>IF(AND(Table1[[#This Row],[Spec Type2]]="N/A",Table1[[#This Row],[DUT Adj Read]]="N/A",Table1[[#This Row],[Std Adj Read]]="N/A"),"N/A",IF(Table1[[#This Row],[DUT Adj Read]]="N/A",IF(Table1[[#This Row],[Std Adj Read]]&lt;Table1[[#This Row],[High Tol]],"Pass","Fail"),IF(Table1[[#This Row],[DUT Adj Read]]&lt;Table1[[#This Row],[High Tol]],"Pass","Fail")))</f>
        <v>Fail</v>
      </c>
      <c r="AF619" s="1" t="str">
        <f>IF(AND(Table1[[#This Row],[Spec Type2]]="N/A",Table1[[#This Row],[DUT Adj Read]]="N/A",Table1[[#This Row],[Std Adj Read]]="N/A"),"N/A",IF(Table1[[#This Row],[DUT Adj Read]]="N/A",IF(Table1[[#This Row],[Std Adj Read]]&gt;=Table1[[#This Row],[Low Tol]],"Pass","Fail"),IF(Table1[[#This Row],[DUT Adj Read]]&gt;=Table1[[#This Row],[Low Tol]],"Pass","Fail")))</f>
        <v>Pass</v>
      </c>
      <c r="AG619" s="1" t="str">
        <f>IF(AND(Table1[[#This Row],[Spec Type2]]="N/A",Table1[[#This Row],[DUT Adj Read]]="N/A",Table1[[#This Row],[Std Adj Read]]="N/A"),"N/A",IF(Table1[[#This Row],[DUT Adj Read]]="N/A",IF(Table1[[#This Row],[Std Adj Read]]&lt;=Table1[[#This Row],[High Tol]],"Pass","Fail"),IF(Table1[[#This Row],[DUT Adj Read]]&lt;=Table1[[#This Row],[High Tol]],"Pass","Fail")))</f>
        <v>Fail</v>
      </c>
      <c r="AH6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9" s="1" t="b">
        <v>0</v>
      </c>
      <c r="AN619" s="1" t="b">
        <v>0</v>
      </c>
      <c r="AO619" s="1" t="b">
        <v>0</v>
      </c>
    </row>
    <row r="620" spans="1:41" x14ac:dyDescent="0.25">
      <c r="A620" s="10"/>
      <c r="B620" s="10"/>
      <c r="C620" s="10"/>
      <c r="D620" s="10"/>
      <c r="E620" s="10"/>
      <c r="F620" s="10"/>
      <c r="G620" s="10"/>
      <c r="H620" s="10"/>
      <c r="I620" s="1" t="str">
        <f t="shared" si="27"/>
        <v/>
      </c>
      <c r="J620" s="1" t="s">
        <v>35</v>
      </c>
      <c r="K620" s="1" t="str">
        <f t="shared" si="28"/>
        <v/>
      </c>
      <c r="L620" s="1" t="str">
        <f t="shared" si="29"/>
        <v/>
      </c>
      <c r="M620" s="1">
        <f>IF(OR(Table1[[#This Row],[Std Nom]]="",Table1[[#This Row],[Std Read]]=""),0,Table1[[#This Row],[Std Nom]]-Table1[[#This Row],[Std Read]])</f>
        <v>0</v>
      </c>
      <c r="N620" s="1">
        <f>IF(Calculations!$F$5="ACCREDITED 17025 WITH UNCERTAINTIES",$N$10,0)</f>
        <v>0</v>
      </c>
      <c r="O620" s="1" t="str">
        <f>IFERROR(Table1[[#This Row],[Std Nom]]-(_xlfn.XLOOKUP(Table1[[#This Row],[Manufacturer]]&amp;" "&amp;Table1[[#This Row],[Model]],Table13[MFR &amp; MDL],Table13[Tolerance % CW ],"")/100*Table1[[#This Row],[Std Nom]]),"")</f>
        <v/>
      </c>
      <c r="P620" s="1" t="str">
        <f>IFERROR(Table1[[#This Row],[Std Nom]]+(_xlfn.XLOOKUP(Table1[[#This Row],[Manufacturer]]&amp;" "&amp;Table1[[#This Row],[Model]],Table13[MFR &amp; MDL],Table13[Tolerance % CW ],"")/100*Table1[[#This Row],[Std Nom]]),"")</f>
        <v/>
      </c>
      <c r="Q620" s="1" t="e">
        <f>Table1[[#This Row],[High Tol]]-Table1[[#This Row],[Low Tol]]</f>
        <v>#VALUE!</v>
      </c>
      <c r="R620" s="1">
        <f>2*Table1[[#This Row],[Std Error]]</f>
        <v>0</v>
      </c>
      <c r="S620" s="1" t="str">
        <f>IF(Table1[[#This Row],[High Tol]]="","N/A",IFERROR(ABS(Table1[[#This Row],[Tol Span]]/Table1[[#This Row],[Error Span]]),"N/A"))</f>
        <v>N/A</v>
      </c>
      <c r="T620" s="1" t="str">
        <f>IF(OR(Table1[[#This Row],[Low Tol]]="",Table1[[#This Row],[High Tol]]=""),"Needs Analysis",IF(Table1[[#This Row],[Ratio]]&gt;=4,"Not Significant",IF(Table1[[#This Row],[Ratio]]&gt;=2,"Semi-Significant","Significant")))</f>
        <v>Needs Analysis</v>
      </c>
      <c r="W620" s="1">
        <f>IF(Table1[[#This Row],[Cal Type]]&lt;&gt;"ACCREDITED 17025 WITH UNCERTAINTIES",0,"")</f>
        <v>0</v>
      </c>
      <c r="X620" s="1" t="str">
        <f>IF(Table1[[#This Row],[DUT Read]]="","N/A",Table1[[#This Row],[Std Error]]+Table1[[#This Row],[DUT Read]]+Table1[[#This Row],[DUT Ucty]])</f>
        <v>N/A</v>
      </c>
      <c r="Y620" s="1" t="str">
        <f>IF(Table1[[#This Row],[Std Read]]="","N/A",Table1[[#This Row],[Std Read]]+Table1[[#This Row],[Std Ucty]])</f>
        <v>N/A</v>
      </c>
      <c r="Z6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0" s="1" t="str">
        <f>IF(Table1[[#This Row],[Spec Type]]="","N/A",Table1[[#This Row],[Spec Type]])</f>
        <v>±</v>
      </c>
      <c r="AC620" s="1" t="str">
        <f>IF(Table1[[#This Row],[Spec Type2]]="N/A","N/A",IF(AND(Table1[[#This Row],[DUT Adj Read]]&gt;=Table1[[#This Row],[Low Tol]],Table1[[#This Row],[DUT Adj Read]]&lt;=Table1[[#This Row],[High Tol]]),"Pass","Fail"))</f>
        <v>Fail</v>
      </c>
      <c r="AD620" s="1" t="str">
        <f>IF(AND(Table1[[#This Row],[Spec Type2]]="N/A",Table1[[#This Row],[DUT Adj Read]]="N/A",Table1[[#This Row],[Std Adj Read]]="N/A"),"N/A",IF(Table1[[#This Row],[DUT Adj Read]]="N/A",IF(Table1[[#This Row],[Std Adj Read]]&gt;Table1[[#This Row],[Low Tol]],"Pass","Fail"),IF(Table1[[#This Row],[DUT Adj Read]]&gt;Table1[[#This Row],[Low Tol]],"Pass","Fail")))</f>
        <v>Pass</v>
      </c>
      <c r="AE620" s="1" t="str">
        <f>IF(AND(Table1[[#This Row],[Spec Type2]]="N/A",Table1[[#This Row],[DUT Adj Read]]="N/A",Table1[[#This Row],[Std Adj Read]]="N/A"),"N/A",IF(Table1[[#This Row],[DUT Adj Read]]="N/A",IF(Table1[[#This Row],[Std Adj Read]]&lt;Table1[[#This Row],[High Tol]],"Pass","Fail"),IF(Table1[[#This Row],[DUT Adj Read]]&lt;Table1[[#This Row],[High Tol]],"Pass","Fail")))</f>
        <v>Fail</v>
      </c>
      <c r="AF620" s="1" t="str">
        <f>IF(AND(Table1[[#This Row],[Spec Type2]]="N/A",Table1[[#This Row],[DUT Adj Read]]="N/A",Table1[[#This Row],[Std Adj Read]]="N/A"),"N/A",IF(Table1[[#This Row],[DUT Adj Read]]="N/A",IF(Table1[[#This Row],[Std Adj Read]]&gt;=Table1[[#This Row],[Low Tol]],"Pass","Fail"),IF(Table1[[#This Row],[DUT Adj Read]]&gt;=Table1[[#This Row],[Low Tol]],"Pass","Fail")))</f>
        <v>Pass</v>
      </c>
      <c r="AG620" s="1" t="str">
        <f>IF(AND(Table1[[#This Row],[Spec Type2]]="N/A",Table1[[#This Row],[DUT Adj Read]]="N/A",Table1[[#This Row],[Std Adj Read]]="N/A"),"N/A",IF(Table1[[#This Row],[DUT Adj Read]]="N/A",IF(Table1[[#This Row],[Std Adj Read]]&lt;=Table1[[#This Row],[High Tol]],"Pass","Fail"),IF(Table1[[#This Row],[DUT Adj Read]]&lt;=Table1[[#This Row],[High Tol]],"Pass","Fail")))</f>
        <v>Fail</v>
      </c>
      <c r="AH6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0" s="1" t="b">
        <v>0</v>
      </c>
      <c r="AN620" s="1" t="b">
        <v>0</v>
      </c>
      <c r="AO620" s="1" t="b">
        <v>0</v>
      </c>
    </row>
    <row r="621" spans="1:41" x14ac:dyDescent="0.25">
      <c r="A621" s="10"/>
      <c r="B621" s="10"/>
      <c r="C621" s="10"/>
      <c r="D621" s="10"/>
      <c r="E621" s="10"/>
      <c r="F621" s="10"/>
      <c r="G621" s="10"/>
      <c r="H621" s="10"/>
      <c r="I621" s="1" t="str">
        <f t="shared" si="27"/>
        <v/>
      </c>
      <c r="J621" s="1" t="s">
        <v>35</v>
      </c>
      <c r="K621" s="1" t="str">
        <f t="shared" si="28"/>
        <v/>
      </c>
      <c r="L621" s="1" t="str">
        <f t="shared" si="29"/>
        <v/>
      </c>
      <c r="M621" s="1">
        <f>IF(OR(Table1[[#This Row],[Std Nom]]="",Table1[[#This Row],[Std Read]]=""),0,Table1[[#This Row],[Std Nom]]-Table1[[#This Row],[Std Read]])</f>
        <v>0</v>
      </c>
      <c r="N621" s="1">
        <f>IF(Calculations!$F$5="ACCREDITED 17025 WITH UNCERTAINTIES",$N$10,0)</f>
        <v>0</v>
      </c>
      <c r="O621" s="1" t="str">
        <f>IFERROR(Table1[[#This Row],[Std Nom]]-(_xlfn.XLOOKUP(Table1[[#This Row],[Manufacturer]]&amp;" "&amp;Table1[[#This Row],[Model]],Table13[MFR &amp; MDL],Table13[Tolerance % CW ],"")/100*Table1[[#This Row],[Std Nom]]),"")</f>
        <v/>
      </c>
      <c r="P621" s="1" t="str">
        <f>IFERROR(Table1[[#This Row],[Std Nom]]+(_xlfn.XLOOKUP(Table1[[#This Row],[Manufacturer]]&amp;" "&amp;Table1[[#This Row],[Model]],Table13[MFR &amp; MDL],Table13[Tolerance % CW ],"")/100*Table1[[#This Row],[Std Nom]]),"")</f>
        <v/>
      </c>
      <c r="Q621" s="1" t="e">
        <f>Table1[[#This Row],[High Tol]]-Table1[[#This Row],[Low Tol]]</f>
        <v>#VALUE!</v>
      </c>
      <c r="R621" s="1">
        <f>2*Table1[[#This Row],[Std Error]]</f>
        <v>0</v>
      </c>
      <c r="S621" s="1" t="str">
        <f>IF(Table1[[#This Row],[High Tol]]="","N/A",IFERROR(ABS(Table1[[#This Row],[Tol Span]]/Table1[[#This Row],[Error Span]]),"N/A"))</f>
        <v>N/A</v>
      </c>
      <c r="T621" s="1" t="str">
        <f>IF(OR(Table1[[#This Row],[Low Tol]]="",Table1[[#This Row],[High Tol]]=""),"Needs Analysis",IF(Table1[[#This Row],[Ratio]]&gt;=4,"Not Significant",IF(Table1[[#This Row],[Ratio]]&gt;=2,"Semi-Significant","Significant")))</f>
        <v>Needs Analysis</v>
      </c>
      <c r="W621" s="1">
        <f>IF(Table1[[#This Row],[Cal Type]]&lt;&gt;"ACCREDITED 17025 WITH UNCERTAINTIES",0,"")</f>
        <v>0</v>
      </c>
      <c r="X621" s="1" t="str">
        <f>IF(Table1[[#This Row],[DUT Read]]="","N/A",Table1[[#This Row],[Std Error]]+Table1[[#This Row],[DUT Read]]+Table1[[#This Row],[DUT Ucty]])</f>
        <v>N/A</v>
      </c>
      <c r="Y621" s="1" t="str">
        <f>IF(Table1[[#This Row],[Std Read]]="","N/A",Table1[[#This Row],[Std Read]]+Table1[[#This Row],[Std Ucty]])</f>
        <v>N/A</v>
      </c>
      <c r="Z6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1" s="1" t="str">
        <f>IF(Table1[[#This Row],[Spec Type]]="","N/A",Table1[[#This Row],[Spec Type]])</f>
        <v>±</v>
      </c>
      <c r="AC621" s="1" t="str">
        <f>IF(Table1[[#This Row],[Spec Type2]]="N/A","N/A",IF(AND(Table1[[#This Row],[DUT Adj Read]]&gt;=Table1[[#This Row],[Low Tol]],Table1[[#This Row],[DUT Adj Read]]&lt;=Table1[[#This Row],[High Tol]]),"Pass","Fail"))</f>
        <v>Fail</v>
      </c>
      <c r="AD621" s="1" t="str">
        <f>IF(AND(Table1[[#This Row],[Spec Type2]]="N/A",Table1[[#This Row],[DUT Adj Read]]="N/A",Table1[[#This Row],[Std Adj Read]]="N/A"),"N/A",IF(Table1[[#This Row],[DUT Adj Read]]="N/A",IF(Table1[[#This Row],[Std Adj Read]]&gt;Table1[[#This Row],[Low Tol]],"Pass","Fail"),IF(Table1[[#This Row],[DUT Adj Read]]&gt;Table1[[#This Row],[Low Tol]],"Pass","Fail")))</f>
        <v>Pass</v>
      </c>
      <c r="AE621" s="1" t="str">
        <f>IF(AND(Table1[[#This Row],[Spec Type2]]="N/A",Table1[[#This Row],[DUT Adj Read]]="N/A",Table1[[#This Row],[Std Adj Read]]="N/A"),"N/A",IF(Table1[[#This Row],[DUT Adj Read]]="N/A",IF(Table1[[#This Row],[Std Adj Read]]&lt;Table1[[#This Row],[High Tol]],"Pass","Fail"),IF(Table1[[#This Row],[DUT Adj Read]]&lt;Table1[[#This Row],[High Tol]],"Pass","Fail")))</f>
        <v>Fail</v>
      </c>
      <c r="AF621" s="1" t="str">
        <f>IF(AND(Table1[[#This Row],[Spec Type2]]="N/A",Table1[[#This Row],[DUT Adj Read]]="N/A",Table1[[#This Row],[Std Adj Read]]="N/A"),"N/A",IF(Table1[[#This Row],[DUT Adj Read]]="N/A",IF(Table1[[#This Row],[Std Adj Read]]&gt;=Table1[[#This Row],[Low Tol]],"Pass","Fail"),IF(Table1[[#This Row],[DUT Adj Read]]&gt;=Table1[[#This Row],[Low Tol]],"Pass","Fail")))</f>
        <v>Pass</v>
      </c>
      <c r="AG621" s="1" t="str">
        <f>IF(AND(Table1[[#This Row],[Spec Type2]]="N/A",Table1[[#This Row],[DUT Adj Read]]="N/A",Table1[[#This Row],[Std Adj Read]]="N/A"),"N/A",IF(Table1[[#This Row],[DUT Adj Read]]="N/A",IF(Table1[[#This Row],[Std Adj Read]]&lt;=Table1[[#This Row],[High Tol]],"Pass","Fail"),IF(Table1[[#This Row],[DUT Adj Read]]&lt;=Table1[[#This Row],[High Tol]],"Pass","Fail")))</f>
        <v>Fail</v>
      </c>
      <c r="AH6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1" s="1" t="b">
        <v>0</v>
      </c>
      <c r="AN621" s="1" t="b">
        <v>0</v>
      </c>
      <c r="AO621" s="1" t="b">
        <v>0</v>
      </c>
    </row>
    <row r="622" spans="1:41" x14ac:dyDescent="0.25">
      <c r="A622" s="10"/>
      <c r="B622" s="10"/>
      <c r="C622" s="10"/>
      <c r="D622" s="10"/>
      <c r="E622" s="10"/>
      <c r="F622" s="10"/>
      <c r="G622" s="10"/>
      <c r="H622" s="10"/>
      <c r="I622" s="1" t="str">
        <f t="shared" si="27"/>
        <v/>
      </c>
      <c r="J622" s="1" t="s">
        <v>35</v>
      </c>
      <c r="K622" s="1" t="str">
        <f t="shared" si="28"/>
        <v/>
      </c>
      <c r="L622" s="1" t="str">
        <f t="shared" si="29"/>
        <v/>
      </c>
      <c r="M622" s="1">
        <f>IF(OR(Table1[[#This Row],[Std Nom]]="",Table1[[#This Row],[Std Read]]=""),0,Table1[[#This Row],[Std Nom]]-Table1[[#This Row],[Std Read]])</f>
        <v>0</v>
      </c>
      <c r="N622" s="1">
        <f>IF(Calculations!$F$5="ACCREDITED 17025 WITH UNCERTAINTIES",$N$10,0)</f>
        <v>0</v>
      </c>
      <c r="O622" s="1" t="str">
        <f>IFERROR(Table1[[#This Row],[Std Nom]]-(_xlfn.XLOOKUP(Table1[[#This Row],[Manufacturer]]&amp;" "&amp;Table1[[#This Row],[Model]],Table13[MFR &amp; MDL],Table13[Tolerance % CW ],"")/100*Table1[[#This Row],[Std Nom]]),"")</f>
        <v/>
      </c>
      <c r="P622" s="1" t="str">
        <f>IFERROR(Table1[[#This Row],[Std Nom]]+(_xlfn.XLOOKUP(Table1[[#This Row],[Manufacturer]]&amp;" "&amp;Table1[[#This Row],[Model]],Table13[MFR &amp; MDL],Table13[Tolerance % CW ],"")/100*Table1[[#This Row],[Std Nom]]),"")</f>
        <v/>
      </c>
      <c r="Q622" s="1" t="e">
        <f>Table1[[#This Row],[High Tol]]-Table1[[#This Row],[Low Tol]]</f>
        <v>#VALUE!</v>
      </c>
      <c r="R622" s="1">
        <f>2*Table1[[#This Row],[Std Error]]</f>
        <v>0</v>
      </c>
      <c r="S622" s="1" t="str">
        <f>IF(Table1[[#This Row],[High Tol]]="","N/A",IFERROR(ABS(Table1[[#This Row],[Tol Span]]/Table1[[#This Row],[Error Span]]),"N/A"))</f>
        <v>N/A</v>
      </c>
      <c r="T622" s="1" t="str">
        <f>IF(OR(Table1[[#This Row],[Low Tol]]="",Table1[[#This Row],[High Tol]]=""),"Needs Analysis",IF(Table1[[#This Row],[Ratio]]&gt;=4,"Not Significant",IF(Table1[[#This Row],[Ratio]]&gt;=2,"Semi-Significant","Significant")))</f>
        <v>Needs Analysis</v>
      </c>
      <c r="W622" s="1">
        <f>IF(Table1[[#This Row],[Cal Type]]&lt;&gt;"ACCREDITED 17025 WITH UNCERTAINTIES",0,"")</f>
        <v>0</v>
      </c>
      <c r="X622" s="1" t="str">
        <f>IF(Table1[[#This Row],[DUT Read]]="","N/A",Table1[[#This Row],[Std Error]]+Table1[[#This Row],[DUT Read]]+Table1[[#This Row],[DUT Ucty]])</f>
        <v>N/A</v>
      </c>
      <c r="Y622" s="1" t="str">
        <f>IF(Table1[[#This Row],[Std Read]]="","N/A",Table1[[#This Row],[Std Read]]+Table1[[#This Row],[Std Ucty]])</f>
        <v>N/A</v>
      </c>
      <c r="Z6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2" s="1" t="str">
        <f>IF(Table1[[#This Row],[Spec Type]]="","N/A",Table1[[#This Row],[Spec Type]])</f>
        <v>±</v>
      </c>
      <c r="AC622" s="1" t="str">
        <f>IF(Table1[[#This Row],[Spec Type2]]="N/A","N/A",IF(AND(Table1[[#This Row],[DUT Adj Read]]&gt;=Table1[[#This Row],[Low Tol]],Table1[[#This Row],[DUT Adj Read]]&lt;=Table1[[#This Row],[High Tol]]),"Pass","Fail"))</f>
        <v>Fail</v>
      </c>
      <c r="AD622" s="1" t="str">
        <f>IF(AND(Table1[[#This Row],[Spec Type2]]="N/A",Table1[[#This Row],[DUT Adj Read]]="N/A",Table1[[#This Row],[Std Adj Read]]="N/A"),"N/A",IF(Table1[[#This Row],[DUT Adj Read]]="N/A",IF(Table1[[#This Row],[Std Adj Read]]&gt;Table1[[#This Row],[Low Tol]],"Pass","Fail"),IF(Table1[[#This Row],[DUT Adj Read]]&gt;Table1[[#This Row],[Low Tol]],"Pass","Fail")))</f>
        <v>Pass</v>
      </c>
      <c r="AE622" s="1" t="str">
        <f>IF(AND(Table1[[#This Row],[Spec Type2]]="N/A",Table1[[#This Row],[DUT Adj Read]]="N/A",Table1[[#This Row],[Std Adj Read]]="N/A"),"N/A",IF(Table1[[#This Row],[DUT Adj Read]]="N/A",IF(Table1[[#This Row],[Std Adj Read]]&lt;Table1[[#This Row],[High Tol]],"Pass","Fail"),IF(Table1[[#This Row],[DUT Adj Read]]&lt;Table1[[#This Row],[High Tol]],"Pass","Fail")))</f>
        <v>Fail</v>
      </c>
      <c r="AF622" s="1" t="str">
        <f>IF(AND(Table1[[#This Row],[Spec Type2]]="N/A",Table1[[#This Row],[DUT Adj Read]]="N/A",Table1[[#This Row],[Std Adj Read]]="N/A"),"N/A",IF(Table1[[#This Row],[DUT Adj Read]]="N/A",IF(Table1[[#This Row],[Std Adj Read]]&gt;=Table1[[#This Row],[Low Tol]],"Pass","Fail"),IF(Table1[[#This Row],[DUT Adj Read]]&gt;=Table1[[#This Row],[Low Tol]],"Pass","Fail")))</f>
        <v>Pass</v>
      </c>
      <c r="AG622" s="1" t="str">
        <f>IF(AND(Table1[[#This Row],[Spec Type2]]="N/A",Table1[[#This Row],[DUT Adj Read]]="N/A",Table1[[#This Row],[Std Adj Read]]="N/A"),"N/A",IF(Table1[[#This Row],[DUT Adj Read]]="N/A",IF(Table1[[#This Row],[Std Adj Read]]&lt;=Table1[[#This Row],[High Tol]],"Pass","Fail"),IF(Table1[[#This Row],[DUT Adj Read]]&lt;=Table1[[#This Row],[High Tol]],"Pass","Fail")))</f>
        <v>Fail</v>
      </c>
      <c r="AH6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2" s="1" t="b">
        <v>0</v>
      </c>
      <c r="AN622" s="1" t="b">
        <v>0</v>
      </c>
      <c r="AO622" s="1" t="b">
        <v>0</v>
      </c>
    </row>
    <row r="623" spans="1:41" x14ac:dyDescent="0.25">
      <c r="A623" s="10"/>
      <c r="B623" s="10"/>
      <c r="C623" s="10"/>
      <c r="D623" s="10"/>
      <c r="E623" s="10"/>
      <c r="F623" s="10"/>
      <c r="G623" s="10"/>
      <c r="H623" s="10"/>
      <c r="I623" s="1" t="str">
        <f t="shared" si="27"/>
        <v/>
      </c>
      <c r="J623" s="1" t="s">
        <v>35</v>
      </c>
      <c r="K623" s="1" t="str">
        <f t="shared" si="28"/>
        <v/>
      </c>
      <c r="L623" s="1" t="str">
        <f t="shared" si="29"/>
        <v/>
      </c>
      <c r="M623" s="1">
        <f>IF(OR(Table1[[#This Row],[Std Nom]]="",Table1[[#This Row],[Std Read]]=""),0,Table1[[#This Row],[Std Nom]]-Table1[[#This Row],[Std Read]])</f>
        <v>0</v>
      </c>
      <c r="N623" s="1">
        <f>IF(Calculations!$F$5="ACCREDITED 17025 WITH UNCERTAINTIES",$N$10,0)</f>
        <v>0</v>
      </c>
      <c r="O623" s="1" t="str">
        <f>IFERROR(Table1[[#This Row],[Std Nom]]-(_xlfn.XLOOKUP(Table1[[#This Row],[Manufacturer]]&amp;" "&amp;Table1[[#This Row],[Model]],Table13[MFR &amp; MDL],Table13[Tolerance % CW ],"")/100*Table1[[#This Row],[Std Nom]]),"")</f>
        <v/>
      </c>
      <c r="P623" s="1" t="str">
        <f>IFERROR(Table1[[#This Row],[Std Nom]]+(_xlfn.XLOOKUP(Table1[[#This Row],[Manufacturer]]&amp;" "&amp;Table1[[#This Row],[Model]],Table13[MFR &amp; MDL],Table13[Tolerance % CW ],"")/100*Table1[[#This Row],[Std Nom]]),"")</f>
        <v/>
      </c>
      <c r="Q623" s="1" t="e">
        <f>Table1[[#This Row],[High Tol]]-Table1[[#This Row],[Low Tol]]</f>
        <v>#VALUE!</v>
      </c>
      <c r="R623" s="1">
        <f>2*Table1[[#This Row],[Std Error]]</f>
        <v>0</v>
      </c>
      <c r="S623" s="1" t="str">
        <f>IF(Table1[[#This Row],[High Tol]]="","N/A",IFERROR(ABS(Table1[[#This Row],[Tol Span]]/Table1[[#This Row],[Error Span]]),"N/A"))</f>
        <v>N/A</v>
      </c>
      <c r="T623" s="1" t="str">
        <f>IF(OR(Table1[[#This Row],[Low Tol]]="",Table1[[#This Row],[High Tol]]=""),"Needs Analysis",IF(Table1[[#This Row],[Ratio]]&gt;=4,"Not Significant",IF(Table1[[#This Row],[Ratio]]&gt;=2,"Semi-Significant","Significant")))</f>
        <v>Needs Analysis</v>
      </c>
      <c r="W623" s="1">
        <f>IF(Table1[[#This Row],[Cal Type]]&lt;&gt;"ACCREDITED 17025 WITH UNCERTAINTIES",0,"")</f>
        <v>0</v>
      </c>
      <c r="X623" s="1" t="str">
        <f>IF(Table1[[#This Row],[DUT Read]]="","N/A",Table1[[#This Row],[Std Error]]+Table1[[#This Row],[DUT Read]]+Table1[[#This Row],[DUT Ucty]])</f>
        <v>N/A</v>
      </c>
      <c r="Y623" s="1" t="str">
        <f>IF(Table1[[#This Row],[Std Read]]="","N/A",Table1[[#This Row],[Std Read]]+Table1[[#This Row],[Std Ucty]])</f>
        <v>N/A</v>
      </c>
      <c r="Z6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3" s="1" t="str">
        <f>IF(Table1[[#This Row],[Spec Type]]="","N/A",Table1[[#This Row],[Spec Type]])</f>
        <v>±</v>
      </c>
      <c r="AC623" s="1" t="str">
        <f>IF(Table1[[#This Row],[Spec Type2]]="N/A","N/A",IF(AND(Table1[[#This Row],[DUT Adj Read]]&gt;=Table1[[#This Row],[Low Tol]],Table1[[#This Row],[DUT Adj Read]]&lt;=Table1[[#This Row],[High Tol]]),"Pass","Fail"))</f>
        <v>Fail</v>
      </c>
      <c r="AD623" s="1" t="str">
        <f>IF(AND(Table1[[#This Row],[Spec Type2]]="N/A",Table1[[#This Row],[DUT Adj Read]]="N/A",Table1[[#This Row],[Std Adj Read]]="N/A"),"N/A",IF(Table1[[#This Row],[DUT Adj Read]]="N/A",IF(Table1[[#This Row],[Std Adj Read]]&gt;Table1[[#This Row],[Low Tol]],"Pass","Fail"),IF(Table1[[#This Row],[DUT Adj Read]]&gt;Table1[[#This Row],[Low Tol]],"Pass","Fail")))</f>
        <v>Pass</v>
      </c>
      <c r="AE623" s="1" t="str">
        <f>IF(AND(Table1[[#This Row],[Spec Type2]]="N/A",Table1[[#This Row],[DUT Adj Read]]="N/A",Table1[[#This Row],[Std Adj Read]]="N/A"),"N/A",IF(Table1[[#This Row],[DUT Adj Read]]="N/A",IF(Table1[[#This Row],[Std Adj Read]]&lt;Table1[[#This Row],[High Tol]],"Pass","Fail"),IF(Table1[[#This Row],[DUT Adj Read]]&lt;Table1[[#This Row],[High Tol]],"Pass","Fail")))</f>
        <v>Fail</v>
      </c>
      <c r="AF623" s="1" t="str">
        <f>IF(AND(Table1[[#This Row],[Spec Type2]]="N/A",Table1[[#This Row],[DUT Adj Read]]="N/A",Table1[[#This Row],[Std Adj Read]]="N/A"),"N/A",IF(Table1[[#This Row],[DUT Adj Read]]="N/A",IF(Table1[[#This Row],[Std Adj Read]]&gt;=Table1[[#This Row],[Low Tol]],"Pass","Fail"),IF(Table1[[#This Row],[DUT Adj Read]]&gt;=Table1[[#This Row],[Low Tol]],"Pass","Fail")))</f>
        <v>Pass</v>
      </c>
      <c r="AG623" s="1" t="str">
        <f>IF(AND(Table1[[#This Row],[Spec Type2]]="N/A",Table1[[#This Row],[DUT Adj Read]]="N/A",Table1[[#This Row],[Std Adj Read]]="N/A"),"N/A",IF(Table1[[#This Row],[DUT Adj Read]]="N/A",IF(Table1[[#This Row],[Std Adj Read]]&lt;=Table1[[#This Row],[High Tol]],"Pass","Fail"),IF(Table1[[#This Row],[DUT Adj Read]]&lt;=Table1[[#This Row],[High Tol]],"Pass","Fail")))</f>
        <v>Fail</v>
      </c>
      <c r="AH6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3" s="1" t="b">
        <v>0</v>
      </c>
      <c r="AN623" s="1" t="b">
        <v>0</v>
      </c>
      <c r="AO623" s="1" t="b">
        <v>0</v>
      </c>
    </row>
    <row r="624" spans="1:41" x14ac:dyDescent="0.25">
      <c r="A624" s="10"/>
      <c r="B624" s="10"/>
      <c r="C624" s="10"/>
      <c r="D624" s="10"/>
      <c r="E624" s="10"/>
      <c r="F624" s="10"/>
      <c r="G624" s="10"/>
      <c r="H624" s="10"/>
      <c r="I624" s="1" t="str">
        <f t="shared" si="27"/>
        <v/>
      </c>
      <c r="J624" s="1" t="s">
        <v>35</v>
      </c>
      <c r="K624" s="1" t="str">
        <f t="shared" si="28"/>
        <v/>
      </c>
      <c r="L624" s="1" t="str">
        <f t="shared" si="29"/>
        <v/>
      </c>
      <c r="M624" s="1">
        <f>IF(OR(Table1[[#This Row],[Std Nom]]="",Table1[[#This Row],[Std Read]]=""),0,Table1[[#This Row],[Std Nom]]-Table1[[#This Row],[Std Read]])</f>
        <v>0</v>
      </c>
      <c r="N624" s="1">
        <f>IF(Calculations!$F$5="ACCREDITED 17025 WITH UNCERTAINTIES",$N$10,0)</f>
        <v>0</v>
      </c>
      <c r="O624" s="1" t="str">
        <f>IFERROR(Table1[[#This Row],[Std Nom]]-(_xlfn.XLOOKUP(Table1[[#This Row],[Manufacturer]]&amp;" "&amp;Table1[[#This Row],[Model]],Table13[MFR &amp; MDL],Table13[Tolerance % CW ],"")/100*Table1[[#This Row],[Std Nom]]),"")</f>
        <v/>
      </c>
      <c r="P624" s="1" t="str">
        <f>IFERROR(Table1[[#This Row],[Std Nom]]+(_xlfn.XLOOKUP(Table1[[#This Row],[Manufacturer]]&amp;" "&amp;Table1[[#This Row],[Model]],Table13[MFR &amp; MDL],Table13[Tolerance % CW ],"")/100*Table1[[#This Row],[Std Nom]]),"")</f>
        <v/>
      </c>
      <c r="Q624" s="1" t="e">
        <f>Table1[[#This Row],[High Tol]]-Table1[[#This Row],[Low Tol]]</f>
        <v>#VALUE!</v>
      </c>
      <c r="R624" s="1">
        <f>2*Table1[[#This Row],[Std Error]]</f>
        <v>0</v>
      </c>
      <c r="S624" s="1" t="str">
        <f>IF(Table1[[#This Row],[High Tol]]="","N/A",IFERROR(ABS(Table1[[#This Row],[Tol Span]]/Table1[[#This Row],[Error Span]]),"N/A"))</f>
        <v>N/A</v>
      </c>
      <c r="T624" s="1" t="str">
        <f>IF(OR(Table1[[#This Row],[Low Tol]]="",Table1[[#This Row],[High Tol]]=""),"Needs Analysis",IF(Table1[[#This Row],[Ratio]]&gt;=4,"Not Significant",IF(Table1[[#This Row],[Ratio]]&gt;=2,"Semi-Significant","Significant")))</f>
        <v>Needs Analysis</v>
      </c>
      <c r="W624" s="1">
        <f>IF(Table1[[#This Row],[Cal Type]]&lt;&gt;"ACCREDITED 17025 WITH UNCERTAINTIES",0,"")</f>
        <v>0</v>
      </c>
      <c r="X624" s="1" t="str">
        <f>IF(Table1[[#This Row],[DUT Read]]="","N/A",Table1[[#This Row],[Std Error]]+Table1[[#This Row],[DUT Read]]+Table1[[#This Row],[DUT Ucty]])</f>
        <v>N/A</v>
      </c>
      <c r="Y624" s="1" t="str">
        <f>IF(Table1[[#This Row],[Std Read]]="","N/A",Table1[[#This Row],[Std Read]]+Table1[[#This Row],[Std Ucty]])</f>
        <v>N/A</v>
      </c>
      <c r="Z6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4" s="1" t="str">
        <f>IF(Table1[[#This Row],[Spec Type]]="","N/A",Table1[[#This Row],[Spec Type]])</f>
        <v>±</v>
      </c>
      <c r="AC624" s="1" t="str">
        <f>IF(Table1[[#This Row],[Spec Type2]]="N/A","N/A",IF(AND(Table1[[#This Row],[DUT Adj Read]]&gt;=Table1[[#This Row],[Low Tol]],Table1[[#This Row],[DUT Adj Read]]&lt;=Table1[[#This Row],[High Tol]]),"Pass","Fail"))</f>
        <v>Fail</v>
      </c>
      <c r="AD624" s="1" t="str">
        <f>IF(AND(Table1[[#This Row],[Spec Type2]]="N/A",Table1[[#This Row],[DUT Adj Read]]="N/A",Table1[[#This Row],[Std Adj Read]]="N/A"),"N/A",IF(Table1[[#This Row],[DUT Adj Read]]="N/A",IF(Table1[[#This Row],[Std Adj Read]]&gt;Table1[[#This Row],[Low Tol]],"Pass","Fail"),IF(Table1[[#This Row],[DUT Adj Read]]&gt;Table1[[#This Row],[Low Tol]],"Pass","Fail")))</f>
        <v>Pass</v>
      </c>
      <c r="AE624" s="1" t="str">
        <f>IF(AND(Table1[[#This Row],[Spec Type2]]="N/A",Table1[[#This Row],[DUT Adj Read]]="N/A",Table1[[#This Row],[Std Adj Read]]="N/A"),"N/A",IF(Table1[[#This Row],[DUT Adj Read]]="N/A",IF(Table1[[#This Row],[Std Adj Read]]&lt;Table1[[#This Row],[High Tol]],"Pass","Fail"),IF(Table1[[#This Row],[DUT Adj Read]]&lt;Table1[[#This Row],[High Tol]],"Pass","Fail")))</f>
        <v>Fail</v>
      </c>
      <c r="AF624" s="1" t="str">
        <f>IF(AND(Table1[[#This Row],[Spec Type2]]="N/A",Table1[[#This Row],[DUT Adj Read]]="N/A",Table1[[#This Row],[Std Adj Read]]="N/A"),"N/A",IF(Table1[[#This Row],[DUT Adj Read]]="N/A",IF(Table1[[#This Row],[Std Adj Read]]&gt;=Table1[[#This Row],[Low Tol]],"Pass","Fail"),IF(Table1[[#This Row],[DUT Adj Read]]&gt;=Table1[[#This Row],[Low Tol]],"Pass","Fail")))</f>
        <v>Pass</v>
      </c>
      <c r="AG624" s="1" t="str">
        <f>IF(AND(Table1[[#This Row],[Spec Type2]]="N/A",Table1[[#This Row],[DUT Adj Read]]="N/A",Table1[[#This Row],[Std Adj Read]]="N/A"),"N/A",IF(Table1[[#This Row],[DUT Adj Read]]="N/A",IF(Table1[[#This Row],[Std Adj Read]]&lt;=Table1[[#This Row],[High Tol]],"Pass","Fail"),IF(Table1[[#This Row],[DUT Adj Read]]&lt;=Table1[[#This Row],[High Tol]],"Pass","Fail")))</f>
        <v>Fail</v>
      </c>
      <c r="AH6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4" s="1" t="b">
        <v>0</v>
      </c>
      <c r="AN624" s="1" t="b">
        <v>0</v>
      </c>
      <c r="AO624" s="1" t="b">
        <v>0</v>
      </c>
    </row>
    <row r="625" spans="1:41" x14ac:dyDescent="0.25">
      <c r="A625" s="10"/>
      <c r="B625" s="10"/>
      <c r="C625" s="10"/>
      <c r="D625" s="10"/>
      <c r="E625" s="10"/>
      <c r="F625" s="10"/>
      <c r="G625" s="10"/>
      <c r="H625" s="10"/>
      <c r="I625" s="1" t="str">
        <f t="shared" si="27"/>
        <v/>
      </c>
      <c r="J625" s="1" t="s">
        <v>35</v>
      </c>
      <c r="K625" s="1" t="str">
        <f t="shared" si="28"/>
        <v/>
      </c>
      <c r="L625" s="1" t="str">
        <f t="shared" si="29"/>
        <v/>
      </c>
      <c r="M625" s="1">
        <f>IF(OR(Table1[[#This Row],[Std Nom]]="",Table1[[#This Row],[Std Read]]=""),0,Table1[[#This Row],[Std Nom]]-Table1[[#This Row],[Std Read]])</f>
        <v>0</v>
      </c>
      <c r="N625" s="1">
        <f>IF(Calculations!$F$5="ACCREDITED 17025 WITH UNCERTAINTIES",$N$10,0)</f>
        <v>0</v>
      </c>
      <c r="O625" s="1" t="str">
        <f>IFERROR(Table1[[#This Row],[Std Nom]]-(_xlfn.XLOOKUP(Table1[[#This Row],[Manufacturer]]&amp;" "&amp;Table1[[#This Row],[Model]],Table13[MFR &amp; MDL],Table13[Tolerance % CW ],"")/100*Table1[[#This Row],[Std Nom]]),"")</f>
        <v/>
      </c>
      <c r="P625" s="1" t="str">
        <f>IFERROR(Table1[[#This Row],[Std Nom]]+(_xlfn.XLOOKUP(Table1[[#This Row],[Manufacturer]]&amp;" "&amp;Table1[[#This Row],[Model]],Table13[MFR &amp; MDL],Table13[Tolerance % CW ],"")/100*Table1[[#This Row],[Std Nom]]),"")</f>
        <v/>
      </c>
      <c r="Q625" s="1" t="e">
        <f>Table1[[#This Row],[High Tol]]-Table1[[#This Row],[Low Tol]]</f>
        <v>#VALUE!</v>
      </c>
      <c r="R625" s="1">
        <f>2*Table1[[#This Row],[Std Error]]</f>
        <v>0</v>
      </c>
      <c r="S625" s="1" t="str">
        <f>IF(Table1[[#This Row],[High Tol]]="","N/A",IFERROR(ABS(Table1[[#This Row],[Tol Span]]/Table1[[#This Row],[Error Span]]),"N/A"))</f>
        <v>N/A</v>
      </c>
      <c r="T625" s="1" t="str">
        <f>IF(OR(Table1[[#This Row],[Low Tol]]="",Table1[[#This Row],[High Tol]]=""),"Needs Analysis",IF(Table1[[#This Row],[Ratio]]&gt;=4,"Not Significant",IF(Table1[[#This Row],[Ratio]]&gt;=2,"Semi-Significant","Significant")))</f>
        <v>Needs Analysis</v>
      </c>
      <c r="W625" s="1">
        <f>IF(Table1[[#This Row],[Cal Type]]&lt;&gt;"ACCREDITED 17025 WITH UNCERTAINTIES",0,"")</f>
        <v>0</v>
      </c>
      <c r="X625" s="1" t="str">
        <f>IF(Table1[[#This Row],[DUT Read]]="","N/A",Table1[[#This Row],[Std Error]]+Table1[[#This Row],[DUT Read]]+Table1[[#This Row],[DUT Ucty]])</f>
        <v>N/A</v>
      </c>
      <c r="Y625" s="1" t="str">
        <f>IF(Table1[[#This Row],[Std Read]]="","N/A",Table1[[#This Row],[Std Read]]+Table1[[#This Row],[Std Ucty]])</f>
        <v>N/A</v>
      </c>
      <c r="Z6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5" s="1" t="str">
        <f>IF(Table1[[#This Row],[Spec Type]]="","N/A",Table1[[#This Row],[Spec Type]])</f>
        <v>±</v>
      </c>
      <c r="AC625" s="1" t="str">
        <f>IF(Table1[[#This Row],[Spec Type2]]="N/A","N/A",IF(AND(Table1[[#This Row],[DUT Adj Read]]&gt;=Table1[[#This Row],[Low Tol]],Table1[[#This Row],[DUT Adj Read]]&lt;=Table1[[#This Row],[High Tol]]),"Pass","Fail"))</f>
        <v>Fail</v>
      </c>
      <c r="AD625" s="1" t="str">
        <f>IF(AND(Table1[[#This Row],[Spec Type2]]="N/A",Table1[[#This Row],[DUT Adj Read]]="N/A",Table1[[#This Row],[Std Adj Read]]="N/A"),"N/A",IF(Table1[[#This Row],[DUT Adj Read]]="N/A",IF(Table1[[#This Row],[Std Adj Read]]&gt;Table1[[#This Row],[Low Tol]],"Pass","Fail"),IF(Table1[[#This Row],[DUT Adj Read]]&gt;Table1[[#This Row],[Low Tol]],"Pass","Fail")))</f>
        <v>Pass</v>
      </c>
      <c r="AE625" s="1" t="str">
        <f>IF(AND(Table1[[#This Row],[Spec Type2]]="N/A",Table1[[#This Row],[DUT Adj Read]]="N/A",Table1[[#This Row],[Std Adj Read]]="N/A"),"N/A",IF(Table1[[#This Row],[DUT Adj Read]]="N/A",IF(Table1[[#This Row],[Std Adj Read]]&lt;Table1[[#This Row],[High Tol]],"Pass","Fail"),IF(Table1[[#This Row],[DUT Adj Read]]&lt;Table1[[#This Row],[High Tol]],"Pass","Fail")))</f>
        <v>Fail</v>
      </c>
      <c r="AF625" s="1" t="str">
        <f>IF(AND(Table1[[#This Row],[Spec Type2]]="N/A",Table1[[#This Row],[DUT Adj Read]]="N/A",Table1[[#This Row],[Std Adj Read]]="N/A"),"N/A",IF(Table1[[#This Row],[DUT Adj Read]]="N/A",IF(Table1[[#This Row],[Std Adj Read]]&gt;=Table1[[#This Row],[Low Tol]],"Pass","Fail"),IF(Table1[[#This Row],[DUT Adj Read]]&gt;=Table1[[#This Row],[Low Tol]],"Pass","Fail")))</f>
        <v>Pass</v>
      </c>
      <c r="AG625" s="1" t="str">
        <f>IF(AND(Table1[[#This Row],[Spec Type2]]="N/A",Table1[[#This Row],[DUT Adj Read]]="N/A",Table1[[#This Row],[Std Adj Read]]="N/A"),"N/A",IF(Table1[[#This Row],[DUT Adj Read]]="N/A",IF(Table1[[#This Row],[Std Adj Read]]&lt;=Table1[[#This Row],[High Tol]],"Pass","Fail"),IF(Table1[[#This Row],[DUT Adj Read]]&lt;=Table1[[#This Row],[High Tol]],"Pass","Fail")))</f>
        <v>Fail</v>
      </c>
      <c r="AH6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5" s="1" t="b">
        <v>0</v>
      </c>
      <c r="AN625" s="1" t="b">
        <v>0</v>
      </c>
      <c r="AO625" s="1" t="b">
        <v>0</v>
      </c>
    </row>
    <row r="626" spans="1:41" x14ac:dyDescent="0.25">
      <c r="A626" s="10"/>
      <c r="B626" s="10"/>
      <c r="C626" s="10"/>
      <c r="D626" s="10"/>
      <c r="E626" s="10"/>
      <c r="F626" s="10"/>
      <c r="G626" s="10"/>
      <c r="H626" s="10"/>
      <c r="I626" s="1" t="str">
        <f t="shared" si="27"/>
        <v/>
      </c>
      <c r="J626" s="1" t="s">
        <v>35</v>
      </c>
      <c r="K626" s="1" t="str">
        <f t="shared" si="28"/>
        <v/>
      </c>
      <c r="L626" s="1" t="str">
        <f t="shared" si="29"/>
        <v/>
      </c>
      <c r="M626" s="1">
        <f>IF(OR(Table1[[#This Row],[Std Nom]]="",Table1[[#This Row],[Std Read]]=""),0,Table1[[#This Row],[Std Nom]]-Table1[[#This Row],[Std Read]])</f>
        <v>0</v>
      </c>
      <c r="N626" s="1">
        <f>IF(Calculations!$F$5="ACCREDITED 17025 WITH UNCERTAINTIES",$N$10,0)</f>
        <v>0</v>
      </c>
      <c r="O626" s="1" t="str">
        <f>IFERROR(Table1[[#This Row],[Std Nom]]-(_xlfn.XLOOKUP(Table1[[#This Row],[Manufacturer]]&amp;" "&amp;Table1[[#This Row],[Model]],Table13[MFR &amp; MDL],Table13[Tolerance % CW ],"")/100*Table1[[#This Row],[Std Nom]]),"")</f>
        <v/>
      </c>
      <c r="P626" s="1" t="str">
        <f>IFERROR(Table1[[#This Row],[Std Nom]]+(_xlfn.XLOOKUP(Table1[[#This Row],[Manufacturer]]&amp;" "&amp;Table1[[#This Row],[Model]],Table13[MFR &amp; MDL],Table13[Tolerance % CW ],"")/100*Table1[[#This Row],[Std Nom]]),"")</f>
        <v/>
      </c>
      <c r="Q626" s="1" t="e">
        <f>Table1[[#This Row],[High Tol]]-Table1[[#This Row],[Low Tol]]</f>
        <v>#VALUE!</v>
      </c>
      <c r="R626" s="1">
        <f>2*Table1[[#This Row],[Std Error]]</f>
        <v>0</v>
      </c>
      <c r="S626" s="1" t="str">
        <f>IF(Table1[[#This Row],[High Tol]]="","N/A",IFERROR(ABS(Table1[[#This Row],[Tol Span]]/Table1[[#This Row],[Error Span]]),"N/A"))</f>
        <v>N/A</v>
      </c>
      <c r="T626" s="1" t="str">
        <f>IF(OR(Table1[[#This Row],[Low Tol]]="",Table1[[#This Row],[High Tol]]=""),"Needs Analysis",IF(Table1[[#This Row],[Ratio]]&gt;=4,"Not Significant",IF(Table1[[#This Row],[Ratio]]&gt;=2,"Semi-Significant","Significant")))</f>
        <v>Needs Analysis</v>
      </c>
      <c r="W626" s="1">
        <f>IF(Table1[[#This Row],[Cal Type]]&lt;&gt;"ACCREDITED 17025 WITH UNCERTAINTIES",0,"")</f>
        <v>0</v>
      </c>
      <c r="X626" s="1" t="str">
        <f>IF(Table1[[#This Row],[DUT Read]]="","N/A",Table1[[#This Row],[Std Error]]+Table1[[#This Row],[DUT Read]]+Table1[[#This Row],[DUT Ucty]])</f>
        <v>N/A</v>
      </c>
      <c r="Y626" s="1" t="str">
        <f>IF(Table1[[#This Row],[Std Read]]="","N/A",Table1[[#This Row],[Std Read]]+Table1[[#This Row],[Std Ucty]])</f>
        <v>N/A</v>
      </c>
      <c r="Z6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6" s="1" t="str">
        <f>IF(Table1[[#This Row],[Spec Type]]="","N/A",Table1[[#This Row],[Spec Type]])</f>
        <v>±</v>
      </c>
      <c r="AC626" s="1" t="str">
        <f>IF(Table1[[#This Row],[Spec Type2]]="N/A","N/A",IF(AND(Table1[[#This Row],[DUT Adj Read]]&gt;=Table1[[#This Row],[Low Tol]],Table1[[#This Row],[DUT Adj Read]]&lt;=Table1[[#This Row],[High Tol]]),"Pass","Fail"))</f>
        <v>Fail</v>
      </c>
      <c r="AD626" s="1" t="str">
        <f>IF(AND(Table1[[#This Row],[Spec Type2]]="N/A",Table1[[#This Row],[DUT Adj Read]]="N/A",Table1[[#This Row],[Std Adj Read]]="N/A"),"N/A",IF(Table1[[#This Row],[DUT Adj Read]]="N/A",IF(Table1[[#This Row],[Std Adj Read]]&gt;Table1[[#This Row],[Low Tol]],"Pass","Fail"),IF(Table1[[#This Row],[DUT Adj Read]]&gt;Table1[[#This Row],[Low Tol]],"Pass","Fail")))</f>
        <v>Pass</v>
      </c>
      <c r="AE626" s="1" t="str">
        <f>IF(AND(Table1[[#This Row],[Spec Type2]]="N/A",Table1[[#This Row],[DUT Adj Read]]="N/A",Table1[[#This Row],[Std Adj Read]]="N/A"),"N/A",IF(Table1[[#This Row],[DUT Adj Read]]="N/A",IF(Table1[[#This Row],[Std Adj Read]]&lt;Table1[[#This Row],[High Tol]],"Pass","Fail"),IF(Table1[[#This Row],[DUT Adj Read]]&lt;Table1[[#This Row],[High Tol]],"Pass","Fail")))</f>
        <v>Fail</v>
      </c>
      <c r="AF626" s="1" t="str">
        <f>IF(AND(Table1[[#This Row],[Spec Type2]]="N/A",Table1[[#This Row],[DUT Adj Read]]="N/A",Table1[[#This Row],[Std Adj Read]]="N/A"),"N/A",IF(Table1[[#This Row],[DUT Adj Read]]="N/A",IF(Table1[[#This Row],[Std Adj Read]]&gt;=Table1[[#This Row],[Low Tol]],"Pass","Fail"),IF(Table1[[#This Row],[DUT Adj Read]]&gt;=Table1[[#This Row],[Low Tol]],"Pass","Fail")))</f>
        <v>Pass</v>
      </c>
      <c r="AG626" s="1" t="str">
        <f>IF(AND(Table1[[#This Row],[Spec Type2]]="N/A",Table1[[#This Row],[DUT Adj Read]]="N/A",Table1[[#This Row],[Std Adj Read]]="N/A"),"N/A",IF(Table1[[#This Row],[DUT Adj Read]]="N/A",IF(Table1[[#This Row],[Std Adj Read]]&lt;=Table1[[#This Row],[High Tol]],"Pass","Fail"),IF(Table1[[#This Row],[DUT Adj Read]]&lt;=Table1[[#This Row],[High Tol]],"Pass","Fail")))</f>
        <v>Fail</v>
      </c>
      <c r="AH6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6" s="1" t="b">
        <v>0</v>
      </c>
      <c r="AN626" s="1" t="b">
        <v>0</v>
      </c>
      <c r="AO626" s="1" t="b">
        <v>0</v>
      </c>
    </row>
    <row r="627" spans="1:41" x14ac:dyDescent="0.25">
      <c r="A627" s="10"/>
      <c r="B627" s="10"/>
      <c r="C627" s="10"/>
      <c r="D627" s="10"/>
      <c r="E627" s="10"/>
      <c r="F627" s="10"/>
      <c r="G627" s="10"/>
      <c r="H627" s="10"/>
      <c r="I627" s="1" t="str">
        <f t="shared" si="27"/>
        <v/>
      </c>
      <c r="J627" s="1" t="s">
        <v>35</v>
      </c>
      <c r="K627" s="1" t="str">
        <f t="shared" si="28"/>
        <v/>
      </c>
      <c r="L627" s="1" t="str">
        <f t="shared" si="29"/>
        <v/>
      </c>
      <c r="M627" s="1">
        <f>IF(OR(Table1[[#This Row],[Std Nom]]="",Table1[[#This Row],[Std Read]]=""),0,Table1[[#This Row],[Std Nom]]-Table1[[#This Row],[Std Read]])</f>
        <v>0</v>
      </c>
      <c r="N627" s="1">
        <f>IF(Calculations!$F$5="ACCREDITED 17025 WITH UNCERTAINTIES",$N$10,0)</f>
        <v>0</v>
      </c>
      <c r="O627" s="1" t="str">
        <f>IFERROR(Table1[[#This Row],[Std Nom]]-(_xlfn.XLOOKUP(Table1[[#This Row],[Manufacturer]]&amp;" "&amp;Table1[[#This Row],[Model]],Table13[MFR &amp; MDL],Table13[Tolerance % CW ],"")/100*Table1[[#This Row],[Std Nom]]),"")</f>
        <v/>
      </c>
      <c r="P627" s="1" t="str">
        <f>IFERROR(Table1[[#This Row],[Std Nom]]+(_xlfn.XLOOKUP(Table1[[#This Row],[Manufacturer]]&amp;" "&amp;Table1[[#This Row],[Model]],Table13[MFR &amp; MDL],Table13[Tolerance % CW ],"")/100*Table1[[#This Row],[Std Nom]]),"")</f>
        <v/>
      </c>
      <c r="Q627" s="1" t="e">
        <f>Table1[[#This Row],[High Tol]]-Table1[[#This Row],[Low Tol]]</f>
        <v>#VALUE!</v>
      </c>
      <c r="R627" s="1">
        <f>2*Table1[[#This Row],[Std Error]]</f>
        <v>0</v>
      </c>
      <c r="S627" s="1" t="str">
        <f>IF(Table1[[#This Row],[High Tol]]="","N/A",IFERROR(ABS(Table1[[#This Row],[Tol Span]]/Table1[[#This Row],[Error Span]]),"N/A"))</f>
        <v>N/A</v>
      </c>
      <c r="T627" s="1" t="str">
        <f>IF(OR(Table1[[#This Row],[Low Tol]]="",Table1[[#This Row],[High Tol]]=""),"Needs Analysis",IF(Table1[[#This Row],[Ratio]]&gt;=4,"Not Significant",IF(Table1[[#This Row],[Ratio]]&gt;=2,"Semi-Significant","Significant")))</f>
        <v>Needs Analysis</v>
      </c>
      <c r="W627" s="1">
        <f>IF(Table1[[#This Row],[Cal Type]]&lt;&gt;"ACCREDITED 17025 WITH UNCERTAINTIES",0,"")</f>
        <v>0</v>
      </c>
      <c r="X627" s="1" t="str">
        <f>IF(Table1[[#This Row],[DUT Read]]="","N/A",Table1[[#This Row],[Std Error]]+Table1[[#This Row],[DUT Read]]+Table1[[#This Row],[DUT Ucty]])</f>
        <v>N/A</v>
      </c>
      <c r="Y627" s="1" t="str">
        <f>IF(Table1[[#This Row],[Std Read]]="","N/A",Table1[[#This Row],[Std Read]]+Table1[[#This Row],[Std Ucty]])</f>
        <v>N/A</v>
      </c>
      <c r="Z6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7" s="1" t="str">
        <f>IF(Table1[[#This Row],[Spec Type]]="","N/A",Table1[[#This Row],[Spec Type]])</f>
        <v>±</v>
      </c>
      <c r="AC627" s="1" t="str">
        <f>IF(Table1[[#This Row],[Spec Type2]]="N/A","N/A",IF(AND(Table1[[#This Row],[DUT Adj Read]]&gt;=Table1[[#This Row],[Low Tol]],Table1[[#This Row],[DUT Adj Read]]&lt;=Table1[[#This Row],[High Tol]]),"Pass","Fail"))</f>
        <v>Fail</v>
      </c>
      <c r="AD627" s="1" t="str">
        <f>IF(AND(Table1[[#This Row],[Spec Type2]]="N/A",Table1[[#This Row],[DUT Adj Read]]="N/A",Table1[[#This Row],[Std Adj Read]]="N/A"),"N/A",IF(Table1[[#This Row],[DUT Adj Read]]="N/A",IF(Table1[[#This Row],[Std Adj Read]]&gt;Table1[[#This Row],[Low Tol]],"Pass","Fail"),IF(Table1[[#This Row],[DUT Adj Read]]&gt;Table1[[#This Row],[Low Tol]],"Pass","Fail")))</f>
        <v>Pass</v>
      </c>
      <c r="AE627" s="1" t="str">
        <f>IF(AND(Table1[[#This Row],[Spec Type2]]="N/A",Table1[[#This Row],[DUT Adj Read]]="N/A",Table1[[#This Row],[Std Adj Read]]="N/A"),"N/A",IF(Table1[[#This Row],[DUT Adj Read]]="N/A",IF(Table1[[#This Row],[Std Adj Read]]&lt;Table1[[#This Row],[High Tol]],"Pass","Fail"),IF(Table1[[#This Row],[DUT Adj Read]]&lt;Table1[[#This Row],[High Tol]],"Pass","Fail")))</f>
        <v>Fail</v>
      </c>
      <c r="AF627" s="1" t="str">
        <f>IF(AND(Table1[[#This Row],[Spec Type2]]="N/A",Table1[[#This Row],[DUT Adj Read]]="N/A",Table1[[#This Row],[Std Adj Read]]="N/A"),"N/A",IF(Table1[[#This Row],[DUT Adj Read]]="N/A",IF(Table1[[#This Row],[Std Adj Read]]&gt;=Table1[[#This Row],[Low Tol]],"Pass","Fail"),IF(Table1[[#This Row],[DUT Adj Read]]&gt;=Table1[[#This Row],[Low Tol]],"Pass","Fail")))</f>
        <v>Pass</v>
      </c>
      <c r="AG627" s="1" t="str">
        <f>IF(AND(Table1[[#This Row],[Spec Type2]]="N/A",Table1[[#This Row],[DUT Adj Read]]="N/A",Table1[[#This Row],[Std Adj Read]]="N/A"),"N/A",IF(Table1[[#This Row],[DUT Adj Read]]="N/A",IF(Table1[[#This Row],[Std Adj Read]]&lt;=Table1[[#This Row],[High Tol]],"Pass","Fail"),IF(Table1[[#This Row],[DUT Adj Read]]&lt;=Table1[[#This Row],[High Tol]],"Pass","Fail")))</f>
        <v>Fail</v>
      </c>
      <c r="AH6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7" s="1" t="b">
        <v>0</v>
      </c>
      <c r="AN627" s="1" t="b">
        <v>0</v>
      </c>
      <c r="AO627" s="1" t="b">
        <v>0</v>
      </c>
    </row>
    <row r="628" spans="1:41" x14ac:dyDescent="0.25">
      <c r="A628" s="10"/>
      <c r="B628" s="10"/>
      <c r="C628" s="10"/>
      <c r="D628" s="10"/>
      <c r="E628" s="10"/>
      <c r="F628" s="10"/>
      <c r="G628" s="10"/>
      <c r="H628" s="10"/>
      <c r="I628" s="1" t="str">
        <f t="shared" si="27"/>
        <v/>
      </c>
      <c r="J628" s="1" t="s">
        <v>35</v>
      </c>
      <c r="K628" s="1" t="str">
        <f t="shared" si="28"/>
        <v/>
      </c>
      <c r="L628" s="1" t="str">
        <f t="shared" si="29"/>
        <v/>
      </c>
      <c r="M628" s="1">
        <f>IF(OR(Table1[[#This Row],[Std Nom]]="",Table1[[#This Row],[Std Read]]=""),0,Table1[[#This Row],[Std Nom]]-Table1[[#This Row],[Std Read]])</f>
        <v>0</v>
      </c>
      <c r="N628" s="1">
        <f>IF(Calculations!$F$5="ACCREDITED 17025 WITH UNCERTAINTIES",$N$10,0)</f>
        <v>0</v>
      </c>
      <c r="O628" s="1" t="str">
        <f>IFERROR(Table1[[#This Row],[Std Nom]]-(_xlfn.XLOOKUP(Table1[[#This Row],[Manufacturer]]&amp;" "&amp;Table1[[#This Row],[Model]],Table13[MFR &amp; MDL],Table13[Tolerance % CW ],"")/100*Table1[[#This Row],[Std Nom]]),"")</f>
        <v/>
      </c>
      <c r="P628" s="1" t="str">
        <f>IFERROR(Table1[[#This Row],[Std Nom]]+(_xlfn.XLOOKUP(Table1[[#This Row],[Manufacturer]]&amp;" "&amp;Table1[[#This Row],[Model]],Table13[MFR &amp; MDL],Table13[Tolerance % CW ],"")/100*Table1[[#This Row],[Std Nom]]),"")</f>
        <v/>
      </c>
      <c r="Q628" s="1" t="e">
        <f>Table1[[#This Row],[High Tol]]-Table1[[#This Row],[Low Tol]]</f>
        <v>#VALUE!</v>
      </c>
      <c r="R628" s="1">
        <f>2*Table1[[#This Row],[Std Error]]</f>
        <v>0</v>
      </c>
      <c r="S628" s="1" t="str">
        <f>IF(Table1[[#This Row],[High Tol]]="","N/A",IFERROR(ABS(Table1[[#This Row],[Tol Span]]/Table1[[#This Row],[Error Span]]),"N/A"))</f>
        <v>N/A</v>
      </c>
      <c r="T628" s="1" t="str">
        <f>IF(OR(Table1[[#This Row],[Low Tol]]="",Table1[[#This Row],[High Tol]]=""),"Needs Analysis",IF(Table1[[#This Row],[Ratio]]&gt;=4,"Not Significant",IF(Table1[[#This Row],[Ratio]]&gt;=2,"Semi-Significant","Significant")))</f>
        <v>Needs Analysis</v>
      </c>
      <c r="W628" s="1">
        <f>IF(Table1[[#This Row],[Cal Type]]&lt;&gt;"ACCREDITED 17025 WITH UNCERTAINTIES",0,"")</f>
        <v>0</v>
      </c>
      <c r="X628" s="1" t="str">
        <f>IF(Table1[[#This Row],[DUT Read]]="","N/A",Table1[[#This Row],[Std Error]]+Table1[[#This Row],[DUT Read]]+Table1[[#This Row],[DUT Ucty]])</f>
        <v>N/A</v>
      </c>
      <c r="Y628" s="1" t="str">
        <f>IF(Table1[[#This Row],[Std Read]]="","N/A",Table1[[#This Row],[Std Read]]+Table1[[#This Row],[Std Ucty]])</f>
        <v>N/A</v>
      </c>
      <c r="Z6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8" s="1" t="str">
        <f>IF(Table1[[#This Row],[Spec Type]]="","N/A",Table1[[#This Row],[Spec Type]])</f>
        <v>±</v>
      </c>
      <c r="AC628" s="1" t="str">
        <f>IF(Table1[[#This Row],[Spec Type2]]="N/A","N/A",IF(AND(Table1[[#This Row],[DUT Adj Read]]&gt;=Table1[[#This Row],[Low Tol]],Table1[[#This Row],[DUT Adj Read]]&lt;=Table1[[#This Row],[High Tol]]),"Pass","Fail"))</f>
        <v>Fail</v>
      </c>
      <c r="AD628" s="1" t="str">
        <f>IF(AND(Table1[[#This Row],[Spec Type2]]="N/A",Table1[[#This Row],[DUT Adj Read]]="N/A",Table1[[#This Row],[Std Adj Read]]="N/A"),"N/A",IF(Table1[[#This Row],[DUT Adj Read]]="N/A",IF(Table1[[#This Row],[Std Adj Read]]&gt;Table1[[#This Row],[Low Tol]],"Pass","Fail"),IF(Table1[[#This Row],[DUT Adj Read]]&gt;Table1[[#This Row],[Low Tol]],"Pass","Fail")))</f>
        <v>Pass</v>
      </c>
      <c r="AE628" s="1" t="str">
        <f>IF(AND(Table1[[#This Row],[Spec Type2]]="N/A",Table1[[#This Row],[DUT Adj Read]]="N/A",Table1[[#This Row],[Std Adj Read]]="N/A"),"N/A",IF(Table1[[#This Row],[DUT Adj Read]]="N/A",IF(Table1[[#This Row],[Std Adj Read]]&lt;Table1[[#This Row],[High Tol]],"Pass","Fail"),IF(Table1[[#This Row],[DUT Adj Read]]&lt;Table1[[#This Row],[High Tol]],"Pass","Fail")))</f>
        <v>Fail</v>
      </c>
      <c r="AF628" s="1" t="str">
        <f>IF(AND(Table1[[#This Row],[Spec Type2]]="N/A",Table1[[#This Row],[DUT Adj Read]]="N/A",Table1[[#This Row],[Std Adj Read]]="N/A"),"N/A",IF(Table1[[#This Row],[DUT Adj Read]]="N/A",IF(Table1[[#This Row],[Std Adj Read]]&gt;=Table1[[#This Row],[Low Tol]],"Pass","Fail"),IF(Table1[[#This Row],[DUT Adj Read]]&gt;=Table1[[#This Row],[Low Tol]],"Pass","Fail")))</f>
        <v>Pass</v>
      </c>
      <c r="AG628" s="1" t="str">
        <f>IF(AND(Table1[[#This Row],[Spec Type2]]="N/A",Table1[[#This Row],[DUT Adj Read]]="N/A",Table1[[#This Row],[Std Adj Read]]="N/A"),"N/A",IF(Table1[[#This Row],[DUT Adj Read]]="N/A",IF(Table1[[#This Row],[Std Adj Read]]&lt;=Table1[[#This Row],[High Tol]],"Pass","Fail"),IF(Table1[[#This Row],[DUT Adj Read]]&lt;=Table1[[#This Row],[High Tol]],"Pass","Fail")))</f>
        <v>Fail</v>
      </c>
      <c r="AH6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8" s="1" t="b">
        <v>0</v>
      </c>
      <c r="AN628" s="1" t="b">
        <v>0</v>
      </c>
      <c r="AO628" s="1" t="b">
        <v>0</v>
      </c>
    </row>
    <row r="629" spans="1:41" x14ac:dyDescent="0.25">
      <c r="A629" s="10"/>
      <c r="B629" s="10"/>
      <c r="C629" s="10"/>
      <c r="D629" s="10"/>
      <c r="E629" s="10"/>
      <c r="F629" s="10"/>
      <c r="G629" s="10"/>
      <c r="H629" s="10"/>
      <c r="I629" s="1" t="str">
        <f t="shared" si="27"/>
        <v/>
      </c>
      <c r="J629" s="1" t="s">
        <v>35</v>
      </c>
      <c r="K629" s="1" t="str">
        <f t="shared" si="28"/>
        <v/>
      </c>
      <c r="L629" s="1" t="str">
        <f t="shared" si="29"/>
        <v/>
      </c>
      <c r="M629" s="1">
        <f>IF(OR(Table1[[#This Row],[Std Nom]]="",Table1[[#This Row],[Std Read]]=""),0,Table1[[#This Row],[Std Nom]]-Table1[[#This Row],[Std Read]])</f>
        <v>0</v>
      </c>
      <c r="N629" s="1">
        <f>IF(Calculations!$F$5="ACCREDITED 17025 WITH UNCERTAINTIES",$N$10,0)</f>
        <v>0</v>
      </c>
      <c r="O629" s="1" t="str">
        <f>IFERROR(Table1[[#This Row],[Std Nom]]-(_xlfn.XLOOKUP(Table1[[#This Row],[Manufacturer]]&amp;" "&amp;Table1[[#This Row],[Model]],Table13[MFR &amp; MDL],Table13[Tolerance % CW ],"")/100*Table1[[#This Row],[Std Nom]]),"")</f>
        <v/>
      </c>
      <c r="P629" s="1" t="str">
        <f>IFERROR(Table1[[#This Row],[Std Nom]]+(_xlfn.XLOOKUP(Table1[[#This Row],[Manufacturer]]&amp;" "&amp;Table1[[#This Row],[Model]],Table13[MFR &amp; MDL],Table13[Tolerance % CW ],"")/100*Table1[[#This Row],[Std Nom]]),"")</f>
        <v/>
      </c>
      <c r="Q629" s="1" t="e">
        <f>Table1[[#This Row],[High Tol]]-Table1[[#This Row],[Low Tol]]</f>
        <v>#VALUE!</v>
      </c>
      <c r="R629" s="1">
        <f>2*Table1[[#This Row],[Std Error]]</f>
        <v>0</v>
      </c>
      <c r="S629" s="1" t="str">
        <f>IF(Table1[[#This Row],[High Tol]]="","N/A",IFERROR(ABS(Table1[[#This Row],[Tol Span]]/Table1[[#This Row],[Error Span]]),"N/A"))</f>
        <v>N/A</v>
      </c>
      <c r="T629" s="1" t="str">
        <f>IF(OR(Table1[[#This Row],[Low Tol]]="",Table1[[#This Row],[High Tol]]=""),"Needs Analysis",IF(Table1[[#This Row],[Ratio]]&gt;=4,"Not Significant",IF(Table1[[#This Row],[Ratio]]&gt;=2,"Semi-Significant","Significant")))</f>
        <v>Needs Analysis</v>
      </c>
      <c r="W629" s="1">
        <f>IF(Table1[[#This Row],[Cal Type]]&lt;&gt;"ACCREDITED 17025 WITH UNCERTAINTIES",0,"")</f>
        <v>0</v>
      </c>
      <c r="X629" s="1" t="str">
        <f>IF(Table1[[#This Row],[DUT Read]]="","N/A",Table1[[#This Row],[Std Error]]+Table1[[#This Row],[DUT Read]]+Table1[[#This Row],[DUT Ucty]])</f>
        <v>N/A</v>
      </c>
      <c r="Y629" s="1" t="str">
        <f>IF(Table1[[#This Row],[Std Read]]="","N/A",Table1[[#This Row],[Std Read]]+Table1[[#This Row],[Std Ucty]])</f>
        <v>N/A</v>
      </c>
      <c r="Z6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9" s="1" t="str">
        <f>IF(Table1[[#This Row],[Spec Type]]="","N/A",Table1[[#This Row],[Spec Type]])</f>
        <v>±</v>
      </c>
      <c r="AC629" s="1" t="str">
        <f>IF(Table1[[#This Row],[Spec Type2]]="N/A","N/A",IF(AND(Table1[[#This Row],[DUT Adj Read]]&gt;=Table1[[#This Row],[Low Tol]],Table1[[#This Row],[DUT Adj Read]]&lt;=Table1[[#This Row],[High Tol]]),"Pass","Fail"))</f>
        <v>Fail</v>
      </c>
      <c r="AD629" s="1" t="str">
        <f>IF(AND(Table1[[#This Row],[Spec Type2]]="N/A",Table1[[#This Row],[DUT Adj Read]]="N/A",Table1[[#This Row],[Std Adj Read]]="N/A"),"N/A",IF(Table1[[#This Row],[DUT Adj Read]]="N/A",IF(Table1[[#This Row],[Std Adj Read]]&gt;Table1[[#This Row],[Low Tol]],"Pass","Fail"),IF(Table1[[#This Row],[DUT Adj Read]]&gt;Table1[[#This Row],[Low Tol]],"Pass","Fail")))</f>
        <v>Pass</v>
      </c>
      <c r="AE629" s="1" t="str">
        <f>IF(AND(Table1[[#This Row],[Spec Type2]]="N/A",Table1[[#This Row],[DUT Adj Read]]="N/A",Table1[[#This Row],[Std Adj Read]]="N/A"),"N/A",IF(Table1[[#This Row],[DUT Adj Read]]="N/A",IF(Table1[[#This Row],[Std Adj Read]]&lt;Table1[[#This Row],[High Tol]],"Pass","Fail"),IF(Table1[[#This Row],[DUT Adj Read]]&lt;Table1[[#This Row],[High Tol]],"Pass","Fail")))</f>
        <v>Fail</v>
      </c>
      <c r="AF629" s="1" t="str">
        <f>IF(AND(Table1[[#This Row],[Spec Type2]]="N/A",Table1[[#This Row],[DUT Adj Read]]="N/A",Table1[[#This Row],[Std Adj Read]]="N/A"),"N/A",IF(Table1[[#This Row],[DUT Adj Read]]="N/A",IF(Table1[[#This Row],[Std Adj Read]]&gt;=Table1[[#This Row],[Low Tol]],"Pass","Fail"),IF(Table1[[#This Row],[DUT Adj Read]]&gt;=Table1[[#This Row],[Low Tol]],"Pass","Fail")))</f>
        <v>Pass</v>
      </c>
      <c r="AG629" s="1" t="str">
        <f>IF(AND(Table1[[#This Row],[Spec Type2]]="N/A",Table1[[#This Row],[DUT Adj Read]]="N/A",Table1[[#This Row],[Std Adj Read]]="N/A"),"N/A",IF(Table1[[#This Row],[DUT Adj Read]]="N/A",IF(Table1[[#This Row],[Std Adj Read]]&lt;=Table1[[#This Row],[High Tol]],"Pass","Fail"),IF(Table1[[#This Row],[DUT Adj Read]]&lt;=Table1[[#This Row],[High Tol]],"Pass","Fail")))</f>
        <v>Fail</v>
      </c>
      <c r="AH6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9" s="1" t="b">
        <v>0</v>
      </c>
      <c r="AN629" s="1" t="b">
        <v>0</v>
      </c>
      <c r="AO629" s="1" t="b">
        <v>0</v>
      </c>
    </row>
    <row r="630" spans="1:41" x14ac:dyDescent="0.25">
      <c r="A630" s="10"/>
      <c r="B630" s="10"/>
      <c r="C630" s="10"/>
      <c r="D630" s="10"/>
      <c r="E630" s="10"/>
      <c r="F630" s="10"/>
      <c r="G630" s="10"/>
      <c r="H630" s="10"/>
      <c r="I630" s="1" t="str">
        <f t="shared" si="27"/>
        <v/>
      </c>
      <c r="J630" s="1" t="s">
        <v>35</v>
      </c>
      <c r="K630" s="1" t="str">
        <f t="shared" si="28"/>
        <v/>
      </c>
      <c r="L630" s="1" t="str">
        <f t="shared" si="29"/>
        <v/>
      </c>
      <c r="M630" s="1">
        <f>IF(OR(Table1[[#This Row],[Std Nom]]="",Table1[[#This Row],[Std Read]]=""),0,Table1[[#This Row],[Std Nom]]-Table1[[#This Row],[Std Read]])</f>
        <v>0</v>
      </c>
      <c r="N630" s="1">
        <f>IF(Calculations!$F$5="ACCREDITED 17025 WITH UNCERTAINTIES",$N$10,0)</f>
        <v>0</v>
      </c>
      <c r="O630" s="1" t="str">
        <f>IFERROR(Table1[[#This Row],[Std Nom]]-(_xlfn.XLOOKUP(Table1[[#This Row],[Manufacturer]]&amp;" "&amp;Table1[[#This Row],[Model]],Table13[MFR &amp; MDL],Table13[Tolerance % CW ],"")/100*Table1[[#This Row],[Std Nom]]),"")</f>
        <v/>
      </c>
      <c r="P630" s="1" t="str">
        <f>IFERROR(Table1[[#This Row],[Std Nom]]+(_xlfn.XLOOKUP(Table1[[#This Row],[Manufacturer]]&amp;" "&amp;Table1[[#This Row],[Model]],Table13[MFR &amp; MDL],Table13[Tolerance % CW ],"")/100*Table1[[#This Row],[Std Nom]]),"")</f>
        <v/>
      </c>
      <c r="Q630" s="1" t="e">
        <f>Table1[[#This Row],[High Tol]]-Table1[[#This Row],[Low Tol]]</f>
        <v>#VALUE!</v>
      </c>
      <c r="R630" s="1">
        <f>2*Table1[[#This Row],[Std Error]]</f>
        <v>0</v>
      </c>
      <c r="S630" s="1" t="str">
        <f>IF(Table1[[#This Row],[High Tol]]="","N/A",IFERROR(ABS(Table1[[#This Row],[Tol Span]]/Table1[[#This Row],[Error Span]]),"N/A"))</f>
        <v>N/A</v>
      </c>
      <c r="T630" s="1" t="str">
        <f>IF(OR(Table1[[#This Row],[Low Tol]]="",Table1[[#This Row],[High Tol]]=""),"Needs Analysis",IF(Table1[[#This Row],[Ratio]]&gt;=4,"Not Significant",IF(Table1[[#This Row],[Ratio]]&gt;=2,"Semi-Significant","Significant")))</f>
        <v>Needs Analysis</v>
      </c>
      <c r="W630" s="1">
        <f>IF(Table1[[#This Row],[Cal Type]]&lt;&gt;"ACCREDITED 17025 WITH UNCERTAINTIES",0,"")</f>
        <v>0</v>
      </c>
      <c r="X630" s="1" t="str">
        <f>IF(Table1[[#This Row],[DUT Read]]="","N/A",Table1[[#This Row],[Std Error]]+Table1[[#This Row],[DUT Read]]+Table1[[#This Row],[DUT Ucty]])</f>
        <v>N/A</v>
      </c>
      <c r="Y630" s="1" t="str">
        <f>IF(Table1[[#This Row],[Std Read]]="","N/A",Table1[[#This Row],[Std Read]]+Table1[[#This Row],[Std Ucty]])</f>
        <v>N/A</v>
      </c>
      <c r="Z6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0" s="1" t="str">
        <f>IF(Table1[[#This Row],[Spec Type]]="","N/A",Table1[[#This Row],[Spec Type]])</f>
        <v>±</v>
      </c>
      <c r="AC630" s="1" t="str">
        <f>IF(Table1[[#This Row],[Spec Type2]]="N/A","N/A",IF(AND(Table1[[#This Row],[DUT Adj Read]]&gt;=Table1[[#This Row],[Low Tol]],Table1[[#This Row],[DUT Adj Read]]&lt;=Table1[[#This Row],[High Tol]]),"Pass","Fail"))</f>
        <v>Fail</v>
      </c>
      <c r="AD630" s="1" t="str">
        <f>IF(AND(Table1[[#This Row],[Spec Type2]]="N/A",Table1[[#This Row],[DUT Adj Read]]="N/A",Table1[[#This Row],[Std Adj Read]]="N/A"),"N/A",IF(Table1[[#This Row],[DUT Adj Read]]="N/A",IF(Table1[[#This Row],[Std Adj Read]]&gt;Table1[[#This Row],[Low Tol]],"Pass","Fail"),IF(Table1[[#This Row],[DUT Adj Read]]&gt;Table1[[#This Row],[Low Tol]],"Pass","Fail")))</f>
        <v>Pass</v>
      </c>
      <c r="AE630" s="1" t="str">
        <f>IF(AND(Table1[[#This Row],[Spec Type2]]="N/A",Table1[[#This Row],[DUT Adj Read]]="N/A",Table1[[#This Row],[Std Adj Read]]="N/A"),"N/A",IF(Table1[[#This Row],[DUT Adj Read]]="N/A",IF(Table1[[#This Row],[Std Adj Read]]&lt;Table1[[#This Row],[High Tol]],"Pass","Fail"),IF(Table1[[#This Row],[DUT Adj Read]]&lt;Table1[[#This Row],[High Tol]],"Pass","Fail")))</f>
        <v>Fail</v>
      </c>
      <c r="AF630" s="1" t="str">
        <f>IF(AND(Table1[[#This Row],[Spec Type2]]="N/A",Table1[[#This Row],[DUT Adj Read]]="N/A",Table1[[#This Row],[Std Adj Read]]="N/A"),"N/A",IF(Table1[[#This Row],[DUT Adj Read]]="N/A",IF(Table1[[#This Row],[Std Adj Read]]&gt;=Table1[[#This Row],[Low Tol]],"Pass","Fail"),IF(Table1[[#This Row],[DUT Adj Read]]&gt;=Table1[[#This Row],[Low Tol]],"Pass","Fail")))</f>
        <v>Pass</v>
      </c>
      <c r="AG630" s="1" t="str">
        <f>IF(AND(Table1[[#This Row],[Spec Type2]]="N/A",Table1[[#This Row],[DUT Adj Read]]="N/A",Table1[[#This Row],[Std Adj Read]]="N/A"),"N/A",IF(Table1[[#This Row],[DUT Adj Read]]="N/A",IF(Table1[[#This Row],[Std Adj Read]]&lt;=Table1[[#This Row],[High Tol]],"Pass","Fail"),IF(Table1[[#This Row],[DUT Adj Read]]&lt;=Table1[[#This Row],[High Tol]],"Pass","Fail")))</f>
        <v>Fail</v>
      </c>
      <c r="AH6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0" s="1" t="b">
        <v>0</v>
      </c>
      <c r="AN630" s="1" t="b">
        <v>0</v>
      </c>
      <c r="AO630" s="1" t="b">
        <v>0</v>
      </c>
    </row>
    <row r="631" spans="1:41" x14ac:dyDescent="0.25">
      <c r="A631" s="10"/>
      <c r="B631" s="10"/>
      <c r="C631" s="10"/>
      <c r="D631" s="10"/>
      <c r="E631" s="10"/>
      <c r="F631" s="10"/>
      <c r="G631" s="10"/>
      <c r="H631" s="10"/>
      <c r="I631" s="1" t="str">
        <f t="shared" si="27"/>
        <v/>
      </c>
      <c r="J631" s="1" t="s">
        <v>35</v>
      </c>
      <c r="K631" s="1" t="str">
        <f t="shared" si="28"/>
        <v/>
      </c>
      <c r="L631" s="1" t="str">
        <f t="shared" si="29"/>
        <v/>
      </c>
      <c r="M631" s="1">
        <f>IF(OR(Table1[[#This Row],[Std Nom]]="",Table1[[#This Row],[Std Read]]=""),0,Table1[[#This Row],[Std Nom]]-Table1[[#This Row],[Std Read]])</f>
        <v>0</v>
      </c>
      <c r="N631" s="1">
        <f>IF(Calculations!$F$5="ACCREDITED 17025 WITH UNCERTAINTIES",$N$10,0)</f>
        <v>0</v>
      </c>
      <c r="O631" s="1" t="str">
        <f>IFERROR(Table1[[#This Row],[Std Nom]]-(_xlfn.XLOOKUP(Table1[[#This Row],[Manufacturer]]&amp;" "&amp;Table1[[#This Row],[Model]],Table13[MFR &amp; MDL],Table13[Tolerance % CW ],"")/100*Table1[[#This Row],[Std Nom]]),"")</f>
        <v/>
      </c>
      <c r="P631" s="1" t="str">
        <f>IFERROR(Table1[[#This Row],[Std Nom]]+(_xlfn.XLOOKUP(Table1[[#This Row],[Manufacturer]]&amp;" "&amp;Table1[[#This Row],[Model]],Table13[MFR &amp; MDL],Table13[Tolerance % CW ],"")/100*Table1[[#This Row],[Std Nom]]),"")</f>
        <v/>
      </c>
      <c r="Q631" s="1" t="e">
        <f>Table1[[#This Row],[High Tol]]-Table1[[#This Row],[Low Tol]]</f>
        <v>#VALUE!</v>
      </c>
      <c r="R631" s="1">
        <f>2*Table1[[#This Row],[Std Error]]</f>
        <v>0</v>
      </c>
      <c r="S631" s="1" t="str">
        <f>IF(Table1[[#This Row],[High Tol]]="","N/A",IFERROR(ABS(Table1[[#This Row],[Tol Span]]/Table1[[#This Row],[Error Span]]),"N/A"))</f>
        <v>N/A</v>
      </c>
      <c r="T631" s="1" t="str">
        <f>IF(OR(Table1[[#This Row],[Low Tol]]="",Table1[[#This Row],[High Tol]]=""),"Needs Analysis",IF(Table1[[#This Row],[Ratio]]&gt;=4,"Not Significant",IF(Table1[[#This Row],[Ratio]]&gt;=2,"Semi-Significant","Significant")))</f>
        <v>Needs Analysis</v>
      </c>
      <c r="W631" s="1">
        <f>IF(Table1[[#This Row],[Cal Type]]&lt;&gt;"ACCREDITED 17025 WITH UNCERTAINTIES",0,"")</f>
        <v>0</v>
      </c>
      <c r="X631" s="1" t="str">
        <f>IF(Table1[[#This Row],[DUT Read]]="","N/A",Table1[[#This Row],[Std Error]]+Table1[[#This Row],[DUT Read]]+Table1[[#This Row],[DUT Ucty]])</f>
        <v>N/A</v>
      </c>
      <c r="Y631" s="1" t="str">
        <f>IF(Table1[[#This Row],[Std Read]]="","N/A",Table1[[#This Row],[Std Read]]+Table1[[#This Row],[Std Ucty]])</f>
        <v>N/A</v>
      </c>
      <c r="Z6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1" s="1" t="str">
        <f>IF(Table1[[#This Row],[Spec Type]]="","N/A",Table1[[#This Row],[Spec Type]])</f>
        <v>±</v>
      </c>
      <c r="AC631" s="1" t="str">
        <f>IF(Table1[[#This Row],[Spec Type2]]="N/A","N/A",IF(AND(Table1[[#This Row],[DUT Adj Read]]&gt;=Table1[[#This Row],[Low Tol]],Table1[[#This Row],[DUT Adj Read]]&lt;=Table1[[#This Row],[High Tol]]),"Pass","Fail"))</f>
        <v>Fail</v>
      </c>
      <c r="AD631" s="1" t="str">
        <f>IF(AND(Table1[[#This Row],[Spec Type2]]="N/A",Table1[[#This Row],[DUT Adj Read]]="N/A",Table1[[#This Row],[Std Adj Read]]="N/A"),"N/A",IF(Table1[[#This Row],[DUT Adj Read]]="N/A",IF(Table1[[#This Row],[Std Adj Read]]&gt;Table1[[#This Row],[Low Tol]],"Pass","Fail"),IF(Table1[[#This Row],[DUT Adj Read]]&gt;Table1[[#This Row],[Low Tol]],"Pass","Fail")))</f>
        <v>Pass</v>
      </c>
      <c r="AE631" s="1" t="str">
        <f>IF(AND(Table1[[#This Row],[Spec Type2]]="N/A",Table1[[#This Row],[DUT Adj Read]]="N/A",Table1[[#This Row],[Std Adj Read]]="N/A"),"N/A",IF(Table1[[#This Row],[DUT Adj Read]]="N/A",IF(Table1[[#This Row],[Std Adj Read]]&lt;Table1[[#This Row],[High Tol]],"Pass","Fail"),IF(Table1[[#This Row],[DUT Adj Read]]&lt;Table1[[#This Row],[High Tol]],"Pass","Fail")))</f>
        <v>Fail</v>
      </c>
      <c r="AF631" s="1" t="str">
        <f>IF(AND(Table1[[#This Row],[Spec Type2]]="N/A",Table1[[#This Row],[DUT Adj Read]]="N/A",Table1[[#This Row],[Std Adj Read]]="N/A"),"N/A",IF(Table1[[#This Row],[DUT Adj Read]]="N/A",IF(Table1[[#This Row],[Std Adj Read]]&gt;=Table1[[#This Row],[Low Tol]],"Pass","Fail"),IF(Table1[[#This Row],[DUT Adj Read]]&gt;=Table1[[#This Row],[Low Tol]],"Pass","Fail")))</f>
        <v>Pass</v>
      </c>
      <c r="AG631" s="1" t="str">
        <f>IF(AND(Table1[[#This Row],[Spec Type2]]="N/A",Table1[[#This Row],[DUT Adj Read]]="N/A",Table1[[#This Row],[Std Adj Read]]="N/A"),"N/A",IF(Table1[[#This Row],[DUT Adj Read]]="N/A",IF(Table1[[#This Row],[Std Adj Read]]&lt;=Table1[[#This Row],[High Tol]],"Pass","Fail"),IF(Table1[[#This Row],[DUT Adj Read]]&lt;=Table1[[#This Row],[High Tol]],"Pass","Fail")))</f>
        <v>Fail</v>
      </c>
      <c r="AH6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1" s="1" t="b">
        <v>0</v>
      </c>
      <c r="AN631" s="1" t="b">
        <v>0</v>
      </c>
      <c r="AO631" s="1" t="b">
        <v>0</v>
      </c>
    </row>
    <row r="632" spans="1:41" x14ac:dyDescent="0.25">
      <c r="A632" s="10"/>
      <c r="B632" s="10"/>
      <c r="C632" s="10"/>
      <c r="D632" s="10"/>
      <c r="E632" s="10"/>
      <c r="F632" s="10"/>
      <c r="G632" s="10"/>
      <c r="H632" s="10"/>
      <c r="I632" s="1" t="str">
        <f t="shared" si="27"/>
        <v/>
      </c>
      <c r="J632" s="1" t="s">
        <v>35</v>
      </c>
      <c r="K632" s="1" t="str">
        <f t="shared" si="28"/>
        <v/>
      </c>
      <c r="L632" s="1" t="str">
        <f t="shared" si="29"/>
        <v/>
      </c>
      <c r="M632" s="1">
        <f>IF(OR(Table1[[#This Row],[Std Nom]]="",Table1[[#This Row],[Std Read]]=""),0,Table1[[#This Row],[Std Nom]]-Table1[[#This Row],[Std Read]])</f>
        <v>0</v>
      </c>
      <c r="N632" s="1">
        <f>IF(Calculations!$F$5="ACCREDITED 17025 WITH UNCERTAINTIES",$N$10,0)</f>
        <v>0</v>
      </c>
      <c r="O632" s="1" t="str">
        <f>IFERROR(Table1[[#This Row],[Std Nom]]-(_xlfn.XLOOKUP(Table1[[#This Row],[Manufacturer]]&amp;" "&amp;Table1[[#This Row],[Model]],Table13[MFR &amp; MDL],Table13[Tolerance % CW ],"")/100*Table1[[#This Row],[Std Nom]]),"")</f>
        <v/>
      </c>
      <c r="P632" s="1" t="str">
        <f>IFERROR(Table1[[#This Row],[Std Nom]]+(_xlfn.XLOOKUP(Table1[[#This Row],[Manufacturer]]&amp;" "&amp;Table1[[#This Row],[Model]],Table13[MFR &amp; MDL],Table13[Tolerance % CW ],"")/100*Table1[[#This Row],[Std Nom]]),"")</f>
        <v/>
      </c>
      <c r="Q632" s="1" t="e">
        <f>Table1[[#This Row],[High Tol]]-Table1[[#This Row],[Low Tol]]</f>
        <v>#VALUE!</v>
      </c>
      <c r="R632" s="1">
        <f>2*Table1[[#This Row],[Std Error]]</f>
        <v>0</v>
      </c>
      <c r="S632" s="1" t="str">
        <f>IF(Table1[[#This Row],[High Tol]]="","N/A",IFERROR(ABS(Table1[[#This Row],[Tol Span]]/Table1[[#This Row],[Error Span]]),"N/A"))</f>
        <v>N/A</v>
      </c>
      <c r="T632" s="1" t="str">
        <f>IF(OR(Table1[[#This Row],[Low Tol]]="",Table1[[#This Row],[High Tol]]=""),"Needs Analysis",IF(Table1[[#This Row],[Ratio]]&gt;=4,"Not Significant",IF(Table1[[#This Row],[Ratio]]&gt;=2,"Semi-Significant","Significant")))</f>
        <v>Needs Analysis</v>
      </c>
      <c r="W632" s="1">
        <f>IF(Table1[[#This Row],[Cal Type]]&lt;&gt;"ACCREDITED 17025 WITH UNCERTAINTIES",0,"")</f>
        <v>0</v>
      </c>
      <c r="X632" s="1" t="str">
        <f>IF(Table1[[#This Row],[DUT Read]]="","N/A",Table1[[#This Row],[Std Error]]+Table1[[#This Row],[DUT Read]]+Table1[[#This Row],[DUT Ucty]])</f>
        <v>N/A</v>
      </c>
      <c r="Y632" s="1" t="str">
        <f>IF(Table1[[#This Row],[Std Read]]="","N/A",Table1[[#This Row],[Std Read]]+Table1[[#This Row],[Std Ucty]])</f>
        <v>N/A</v>
      </c>
      <c r="Z6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2" s="1" t="str">
        <f>IF(Table1[[#This Row],[Spec Type]]="","N/A",Table1[[#This Row],[Spec Type]])</f>
        <v>±</v>
      </c>
      <c r="AC632" s="1" t="str">
        <f>IF(Table1[[#This Row],[Spec Type2]]="N/A","N/A",IF(AND(Table1[[#This Row],[DUT Adj Read]]&gt;=Table1[[#This Row],[Low Tol]],Table1[[#This Row],[DUT Adj Read]]&lt;=Table1[[#This Row],[High Tol]]),"Pass","Fail"))</f>
        <v>Fail</v>
      </c>
      <c r="AD632" s="1" t="str">
        <f>IF(AND(Table1[[#This Row],[Spec Type2]]="N/A",Table1[[#This Row],[DUT Adj Read]]="N/A",Table1[[#This Row],[Std Adj Read]]="N/A"),"N/A",IF(Table1[[#This Row],[DUT Adj Read]]="N/A",IF(Table1[[#This Row],[Std Adj Read]]&gt;Table1[[#This Row],[Low Tol]],"Pass","Fail"),IF(Table1[[#This Row],[DUT Adj Read]]&gt;Table1[[#This Row],[Low Tol]],"Pass","Fail")))</f>
        <v>Pass</v>
      </c>
      <c r="AE632" s="1" t="str">
        <f>IF(AND(Table1[[#This Row],[Spec Type2]]="N/A",Table1[[#This Row],[DUT Adj Read]]="N/A",Table1[[#This Row],[Std Adj Read]]="N/A"),"N/A",IF(Table1[[#This Row],[DUT Adj Read]]="N/A",IF(Table1[[#This Row],[Std Adj Read]]&lt;Table1[[#This Row],[High Tol]],"Pass","Fail"),IF(Table1[[#This Row],[DUT Adj Read]]&lt;Table1[[#This Row],[High Tol]],"Pass","Fail")))</f>
        <v>Fail</v>
      </c>
      <c r="AF632" s="1" t="str">
        <f>IF(AND(Table1[[#This Row],[Spec Type2]]="N/A",Table1[[#This Row],[DUT Adj Read]]="N/A",Table1[[#This Row],[Std Adj Read]]="N/A"),"N/A",IF(Table1[[#This Row],[DUT Adj Read]]="N/A",IF(Table1[[#This Row],[Std Adj Read]]&gt;=Table1[[#This Row],[Low Tol]],"Pass","Fail"),IF(Table1[[#This Row],[DUT Adj Read]]&gt;=Table1[[#This Row],[Low Tol]],"Pass","Fail")))</f>
        <v>Pass</v>
      </c>
      <c r="AG632" s="1" t="str">
        <f>IF(AND(Table1[[#This Row],[Spec Type2]]="N/A",Table1[[#This Row],[DUT Adj Read]]="N/A",Table1[[#This Row],[Std Adj Read]]="N/A"),"N/A",IF(Table1[[#This Row],[DUT Adj Read]]="N/A",IF(Table1[[#This Row],[Std Adj Read]]&lt;=Table1[[#This Row],[High Tol]],"Pass","Fail"),IF(Table1[[#This Row],[DUT Adj Read]]&lt;=Table1[[#This Row],[High Tol]],"Pass","Fail")))</f>
        <v>Fail</v>
      </c>
      <c r="AH6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2" s="1" t="b">
        <v>0</v>
      </c>
      <c r="AN632" s="1" t="b">
        <v>0</v>
      </c>
      <c r="AO632" s="1" t="b">
        <v>0</v>
      </c>
    </row>
    <row r="633" spans="1:41" x14ac:dyDescent="0.25">
      <c r="A633" s="10"/>
      <c r="B633" s="10"/>
      <c r="C633" s="10"/>
      <c r="D633" s="10"/>
      <c r="E633" s="10"/>
      <c r="F633" s="10"/>
      <c r="G633" s="10"/>
      <c r="H633" s="10"/>
      <c r="I633" s="1" t="str">
        <f t="shared" si="27"/>
        <v/>
      </c>
      <c r="J633" s="1" t="s">
        <v>35</v>
      </c>
      <c r="K633" s="1" t="str">
        <f t="shared" si="28"/>
        <v/>
      </c>
      <c r="L633" s="1" t="str">
        <f t="shared" si="29"/>
        <v/>
      </c>
      <c r="M633" s="1">
        <f>IF(OR(Table1[[#This Row],[Std Nom]]="",Table1[[#This Row],[Std Read]]=""),0,Table1[[#This Row],[Std Nom]]-Table1[[#This Row],[Std Read]])</f>
        <v>0</v>
      </c>
      <c r="N633" s="1">
        <f>IF(Calculations!$F$5="ACCREDITED 17025 WITH UNCERTAINTIES",$N$10,0)</f>
        <v>0</v>
      </c>
      <c r="O633" s="1" t="str">
        <f>IFERROR(Table1[[#This Row],[Std Nom]]-(_xlfn.XLOOKUP(Table1[[#This Row],[Manufacturer]]&amp;" "&amp;Table1[[#This Row],[Model]],Table13[MFR &amp; MDL],Table13[Tolerance % CW ],"")/100*Table1[[#This Row],[Std Nom]]),"")</f>
        <v/>
      </c>
      <c r="P633" s="1" t="str">
        <f>IFERROR(Table1[[#This Row],[Std Nom]]+(_xlfn.XLOOKUP(Table1[[#This Row],[Manufacturer]]&amp;" "&amp;Table1[[#This Row],[Model]],Table13[MFR &amp; MDL],Table13[Tolerance % CW ],"")/100*Table1[[#This Row],[Std Nom]]),"")</f>
        <v/>
      </c>
      <c r="Q633" s="1" t="e">
        <f>Table1[[#This Row],[High Tol]]-Table1[[#This Row],[Low Tol]]</f>
        <v>#VALUE!</v>
      </c>
      <c r="R633" s="1">
        <f>2*Table1[[#This Row],[Std Error]]</f>
        <v>0</v>
      </c>
      <c r="S633" s="1" t="str">
        <f>IF(Table1[[#This Row],[High Tol]]="","N/A",IFERROR(ABS(Table1[[#This Row],[Tol Span]]/Table1[[#This Row],[Error Span]]),"N/A"))</f>
        <v>N/A</v>
      </c>
      <c r="T633" s="1" t="str">
        <f>IF(OR(Table1[[#This Row],[Low Tol]]="",Table1[[#This Row],[High Tol]]=""),"Needs Analysis",IF(Table1[[#This Row],[Ratio]]&gt;=4,"Not Significant",IF(Table1[[#This Row],[Ratio]]&gt;=2,"Semi-Significant","Significant")))</f>
        <v>Needs Analysis</v>
      </c>
      <c r="W633" s="1">
        <f>IF(Table1[[#This Row],[Cal Type]]&lt;&gt;"ACCREDITED 17025 WITH UNCERTAINTIES",0,"")</f>
        <v>0</v>
      </c>
      <c r="X633" s="1" t="str">
        <f>IF(Table1[[#This Row],[DUT Read]]="","N/A",Table1[[#This Row],[Std Error]]+Table1[[#This Row],[DUT Read]]+Table1[[#This Row],[DUT Ucty]])</f>
        <v>N/A</v>
      </c>
      <c r="Y633" s="1" t="str">
        <f>IF(Table1[[#This Row],[Std Read]]="","N/A",Table1[[#This Row],[Std Read]]+Table1[[#This Row],[Std Ucty]])</f>
        <v>N/A</v>
      </c>
      <c r="Z6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3" s="1" t="str">
        <f>IF(Table1[[#This Row],[Spec Type]]="","N/A",Table1[[#This Row],[Spec Type]])</f>
        <v>±</v>
      </c>
      <c r="AC633" s="1" t="str">
        <f>IF(Table1[[#This Row],[Spec Type2]]="N/A","N/A",IF(AND(Table1[[#This Row],[DUT Adj Read]]&gt;=Table1[[#This Row],[Low Tol]],Table1[[#This Row],[DUT Adj Read]]&lt;=Table1[[#This Row],[High Tol]]),"Pass","Fail"))</f>
        <v>Fail</v>
      </c>
      <c r="AD633" s="1" t="str">
        <f>IF(AND(Table1[[#This Row],[Spec Type2]]="N/A",Table1[[#This Row],[DUT Adj Read]]="N/A",Table1[[#This Row],[Std Adj Read]]="N/A"),"N/A",IF(Table1[[#This Row],[DUT Adj Read]]="N/A",IF(Table1[[#This Row],[Std Adj Read]]&gt;Table1[[#This Row],[Low Tol]],"Pass","Fail"),IF(Table1[[#This Row],[DUT Adj Read]]&gt;Table1[[#This Row],[Low Tol]],"Pass","Fail")))</f>
        <v>Pass</v>
      </c>
      <c r="AE633" s="1" t="str">
        <f>IF(AND(Table1[[#This Row],[Spec Type2]]="N/A",Table1[[#This Row],[DUT Adj Read]]="N/A",Table1[[#This Row],[Std Adj Read]]="N/A"),"N/A",IF(Table1[[#This Row],[DUT Adj Read]]="N/A",IF(Table1[[#This Row],[Std Adj Read]]&lt;Table1[[#This Row],[High Tol]],"Pass","Fail"),IF(Table1[[#This Row],[DUT Adj Read]]&lt;Table1[[#This Row],[High Tol]],"Pass","Fail")))</f>
        <v>Fail</v>
      </c>
      <c r="AF633" s="1" t="str">
        <f>IF(AND(Table1[[#This Row],[Spec Type2]]="N/A",Table1[[#This Row],[DUT Adj Read]]="N/A",Table1[[#This Row],[Std Adj Read]]="N/A"),"N/A",IF(Table1[[#This Row],[DUT Adj Read]]="N/A",IF(Table1[[#This Row],[Std Adj Read]]&gt;=Table1[[#This Row],[Low Tol]],"Pass","Fail"),IF(Table1[[#This Row],[DUT Adj Read]]&gt;=Table1[[#This Row],[Low Tol]],"Pass","Fail")))</f>
        <v>Pass</v>
      </c>
      <c r="AG633" s="1" t="str">
        <f>IF(AND(Table1[[#This Row],[Spec Type2]]="N/A",Table1[[#This Row],[DUT Adj Read]]="N/A",Table1[[#This Row],[Std Adj Read]]="N/A"),"N/A",IF(Table1[[#This Row],[DUT Adj Read]]="N/A",IF(Table1[[#This Row],[Std Adj Read]]&lt;=Table1[[#This Row],[High Tol]],"Pass","Fail"),IF(Table1[[#This Row],[DUT Adj Read]]&lt;=Table1[[#This Row],[High Tol]],"Pass","Fail")))</f>
        <v>Fail</v>
      </c>
      <c r="AH6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3" s="1" t="b">
        <v>0</v>
      </c>
      <c r="AN633" s="1" t="b">
        <v>0</v>
      </c>
      <c r="AO633" s="1" t="b">
        <v>0</v>
      </c>
    </row>
    <row r="634" spans="1:41" x14ac:dyDescent="0.25">
      <c r="A634" s="10"/>
      <c r="B634" s="10"/>
      <c r="C634" s="10"/>
      <c r="D634" s="10"/>
      <c r="E634" s="10"/>
      <c r="F634" s="10"/>
      <c r="G634" s="10"/>
      <c r="H634" s="10"/>
      <c r="I634" s="1" t="str">
        <f t="shared" si="27"/>
        <v/>
      </c>
      <c r="J634" s="1" t="s">
        <v>35</v>
      </c>
      <c r="K634" s="1" t="str">
        <f t="shared" si="28"/>
        <v/>
      </c>
      <c r="L634" s="1" t="str">
        <f t="shared" si="29"/>
        <v/>
      </c>
      <c r="M634" s="1">
        <f>IF(OR(Table1[[#This Row],[Std Nom]]="",Table1[[#This Row],[Std Read]]=""),0,Table1[[#This Row],[Std Nom]]-Table1[[#This Row],[Std Read]])</f>
        <v>0</v>
      </c>
      <c r="N634" s="1">
        <f>IF(Calculations!$F$5="ACCREDITED 17025 WITH UNCERTAINTIES",$N$10,0)</f>
        <v>0</v>
      </c>
      <c r="O634" s="1" t="str">
        <f>IFERROR(Table1[[#This Row],[Std Nom]]-(_xlfn.XLOOKUP(Table1[[#This Row],[Manufacturer]]&amp;" "&amp;Table1[[#This Row],[Model]],Table13[MFR &amp; MDL],Table13[Tolerance % CW ],"")/100*Table1[[#This Row],[Std Nom]]),"")</f>
        <v/>
      </c>
      <c r="P634" s="1" t="str">
        <f>IFERROR(Table1[[#This Row],[Std Nom]]+(_xlfn.XLOOKUP(Table1[[#This Row],[Manufacturer]]&amp;" "&amp;Table1[[#This Row],[Model]],Table13[MFR &amp; MDL],Table13[Tolerance % CW ],"")/100*Table1[[#This Row],[Std Nom]]),"")</f>
        <v/>
      </c>
      <c r="Q634" s="1" t="e">
        <f>Table1[[#This Row],[High Tol]]-Table1[[#This Row],[Low Tol]]</f>
        <v>#VALUE!</v>
      </c>
      <c r="R634" s="1">
        <f>2*Table1[[#This Row],[Std Error]]</f>
        <v>0</v>
      </c>
      <c r="S634" s="1" t="str">
        <f>IF(Table1[[#This Row],[High Tol]]="","N/A",IFERROR(ABS(Table1[[#This Row],[Tol Span]]/Table1[[#This Row],[Error Span]]),"N/A"))</f>
        <v>N/A</v>
      </c>
      <c r="T634" s="1" t="str">
        <f>IF(OR(Table1[[#This Row],[Low Tol]]="",Table1[[#This Row],[High Tol]]=""),"Needs Analysis",IF(Table1[[#This Row],[Ratio]]&gt;=4,"Not Significant",IF(Table1[[#This Row],[Ratio]]&gt;=2,"Semi-Significant","Significant")))</f>
        <v>Needs Analysis</v>
      </c>
      <c r="W634" s="1">
        <f>IF(Table1[[#This Row],[Cal Type]]&lt;&gt;"ACCREDITED 17025 WITH UNCERTAINTIES",0,"")</f>
        <v>0</v>
      </c>
      <c r="X634" s="1" t="str">
        <f>IF(Table1[[#This Row],[DUT Read]]="","N/A",Table1[[#This Row],[Std Error]]+Table1[[#This Row],[DUT Read]]+Table1[[#This Row],[DUT Ucty]])</f>
        <v>N/A</v>
      </c>
      <c r="Y634" s="1" t="str">
        <f>IF(Table1[[#This Row],[Std Read]]="","N/A",Table1[[#This Row],[Std Read]]+Table1[[#This Row],[Std Ucty]])</f>
        <v>N/A</v>
      </c>
      <c r="Z6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4" s="1" t="str">
        <f>IF(Table1[[#This Row],[Spec Type]]="","N/A",Table1[[#This Row],[Spec Type]])</f>
        <v>±</v>
      </c>
      <c r="AC634" s="1" t="str">
        <f>IF(Table1[[#This Row],[Spec Type2]]="N/A","N/A",IF(AND(Table1[[#This Row],[DUT Adj Read]]&gt;=Table1[[#This Row],[Low Tol]],Table1[[#This Row],[DUT Adj Read]]&lt;=Table1[[#This Row],[High Tol]]),"Pass","Fail"))</f>
        <v>Fail</v>
      </c>
      <c r="AD634" s="1" t="str">
        <f>IF(AND(Table1[[#This Row],[Spec Type2]]="N/A",Table1[[#This Row],[DUT Adj Read]]="N/A",Table1[[#This Row],[Std Adj Read]]="N/A"),"N/A",IF(Table1[[#This Row],[DUT Adj Read]]="N/A",IF(Table1[[#This Row],[Std Adj Read]]&gt;Table1[[#This Row],[Low Tol]],"Pass","Fail"),IF(Table1[[#This Row],[DUT Adj Read]]&gt;Table1[[#This Row],[Low Tol]],"Pass","Fail")))</f>
        <v>Pass</v>
      </c>
      <c r="AE634" s="1" t="str">
        <f>IF(AND(Table1[[#This Row],[Spec Type2]]="N/A",Table1[[#This Row],[DUT Adj Read]]="N/A",Table1[[#This Row],[Std Adj Read]]="N/A"),"N/A",IF(Table1[[#This Row],[DUT Adj Read]]="N/A",IF(Table1[[#This Row],[Std Adj Read]]&lt;Table1[[#This Row],[High Tol]],"Pass","Fail"),IF(Table1[[#This Row],[DUT Adj Read]]&lt;Table1[[#This Row],[High Tol]],"Pass","Fail")))</f>
        <v>Fail</v>
      </c>
      <c r="AF634" s="1" t="str">
        <f>IF(AND(Table1[[#This Row],[Spec Type2]]="N/A",Table1[[#This Row],[DUT Adj Read]]="N/A",Table1[[#This Row],[Std Adj Read]]="N/A"),"N/A",IF(Table1[[#This Row],[DUT Adj Read]]="N/A",IF(Table1[[#This Row],[Std Adj Read]]&gt;=Table1[[#This Row],[Low Tol]],"Pass","Fail"),IF(Table1[[#This Row],[DUT Adj Read]]&gt;=Table1[[#This Row],[Low Tol]],"Pass","Fail")))</f>
        <v>Pass</v>
      </c>
      <c r="AG634" s="1" t="str">
        <f>IF(AND(Table1[[#This Row],[Spec Type2]]="N/A",Table1[[#This Row],[DUT Adj Read]]="N/A",Table1[[#This Row],[Std Adj Read]]="N/A"),"N/A",IF(Table1[[#This Row],[DUT Adj Read]]="N/A",IF(Table1[[#This Row],[Std Adj Read]]&lt;=Table1[[#This Row],[High Tol]],"Pass","Fail"),IF(Table1[[#This Row],[DUT Adj Read]]&lt;=Table1[[#This Row],[High Tol]],"Pass","Fail")))</f>
        <v>Fail</v>
      </c>
      <c r="AH6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4" s="1" t="b">
        <v>0</v>
      </c>
      <c r="AN634" s="1" t="b">
        <v>0</v>
      </c>
      <c r="AO634" s="1" t="b">
        <v>0</v>
      </c>
    </row>
    <row r="635" spans="1:41" x14ac:dyDescent="0.25">
      <c r="A635" s="10"/>
      <c r="B635" s="10"/>
      <c r="C635" s="10"/>
      <c r="D635" s="10"/>
      <c r="E635" s="10"/>
      <c r="F635" s="10"/>
      <c r="G635" s="10"/>
      <c r="H635" s="10"/>
      <c r="I635" s="1" t="str">
        <f t="shared" si="27"/>
        <v/>
      </c>
      <c r="J635" s="1" t="s">
        <v>35</v>
      </c>
      <c r="K635" s="1" t="str">
        <f t="shared" si="28"/>
        <v/>
      </c>
      <c r="L635" s="1" t="str">
        <f t="shared" si="29"/>
        <v/>
      </c>
      <c r="M635" s="1">
        <f>IF(OR(Table1[[#This Row],[Std Nom]]="",Table1[[#This Row],[Std Read]]=""),0,Table1[[#This Row],[Std Nom]]-Table1[[#This Row],[Std Read]])</f>
        <v>0</v>
      </c>
      <c r="N635" s="1">
        <f>IF(Calculations!$F$5="ACCREDITED 17025 WITH UNCERTAINTIES",$N$10,0)</f>
        <v>0</v>
      </c>
      <c r="O635" s="1" t="str">
        <f>IFERROR(Table1[[#This Row],[Std Nom]]-(_xlfn.XLOOKUP(Table1[[#This Row],[Manufacturer]]&amp;" "&amp;Table1[[#This Row],[Model]],Table13[MFR &amp; MDL],Table13[Tolerance % CW ],"")/100*Table1[[#This Row],[Std Nom]]),"")</f>
        <v/>
      </c>
      <c r="P635" s="1" t="str">
        <f>IFERROR(Table1[[#This Row],[Std Nom]]+(_xlfn.XLOOKUP(Table1[[#This Row],[Manufacturer]]&amp;" "&amp;Table1[[#This Row],[Model]],Table13[MFR &amp; MDL],Table13[Tolerance % CW ],"")/100*Table1[[#This Row],[Std Nom]]),"")</f>
        <v/>
      </c>
      <c r="Q635" s="1" t="e">
        <f>Table1[[#This Row],[High Tol]]-Table1[[#This Row],[Low Tol]]</f>
        <v>#VALUE!</v>
      </c>
      <c r="R635" s="1">
        <f>2*Table1[[#This Row],[Std Error]]</f>
        <v>0</v>
      </c>
      <c r="S635" s="1" t="str">
        <f>IF(Table1[[#This Row],[High Tol]]="","N/A",IFERROR(ABS(Table1[[#This Row],[Tol Span]]/Table1[[#This Row],[Error Span]]),"N/A"))</f>
        <v>N/A</v>
      </c>
      <c r="T635" s="1" t="str">
        <f>IF(OR(Table1[[#This Row],[Low Tol]]="",Table1[[#This Row],[High Tol]]=""),"Needs Analysis",IF(Table1[[#This Row],[Ratio]]&gt;=4,"Not Significant",IF(Table1[[#This Row],[Ratio]]&gt;=2,"Semi-Significant","Significant")))</f>
        <v>Needs Analysis</v>
      </c>
      <c r="W635" s="1">
        <f>IF(Table1[[#This Row],[Cal Type]]&lt;&gt;"ACCREDITED 17025 WITH UNCERTAINTIES",0,"")</f>
        <v>0</v>
      </c>
      <c r="X635" s="1" t="str">
        <f>IF(Table1[[#This Row],[DUT Read]]="","N/A",Table1[[#This Row],[Std Error]]+Table1[[#This Row],[DUT Read]]+Table1[[#This Row],[DUT Ucty]])</f>
        <v>N/A</v>
      </c>
      <c r="Y635" s="1" t="str">
        <f>IF(Table1[[#This Row],[Std Read]]="","N/A",Table1[[#This Row],[Std Read]]+Table1[[#This Row],[Std Ucty]])</f>
        <v>N/A</v>
      </c>
      <c r="Z6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5" s="1" t="str">
        <f>IF(Table1[[#This Row],[Spec Type]]="","N/A",Table1[[#This Row],[Spec Type]])</f>
        <v>±</v>
      </c>
      <c r="AC635" s="1" t="str">
        <f>IF(Table1[[#This Row],[Spec Type2]]="N/A","N/A",IF(AND(Table1[[#This Row],[DUT Adj Read]]&gt;=Table1[[#This Row],[Low Tol]],Table1[[#This Row],[DUT Adj Read]]&lt;=Table1[[#This Row],[High Tol]]),"Pass","Fail"))</f>
        <v>Fail</v>
      </c>
      <c r="AD635" s="1" t="str">
        <f>IF(AND(Table1[[#This Row],[Spec Type2]]="N/A",Table1[[#This Row],[DUT Adj Read]]="N/A",Table1[[#This Row],[Std Adj Read]]="N/A"),"N/A",IF(Table1[[#This Row],[DUT Adj Read]]="N/A",IF(Table1[[#This Row],[Std Adj Read]]&gt;Table1[[#This Row],[Low Tol]],"Pass","Fail"),IF(Table1[[#This Row],[DUT Adj Read]]&gt;Table1[[#This Row],[Low Tol]],"Pass","Fail")))</f>
        <v>Pass</v>
      </c>
      <c r="AE635" s="1" t="str">
        <f>IF(AND(Table1[[#This Row],[Spec Type2]]="N/A",Table1[[#This Row],[DUT Adj Read]]="N/A",Table1[[#This Row],[Std Adj Read]]="N/A"),"N/A",IF(Table1[[#This Row],[DUT Adj Read]]="N/A",IF(Table1[[#This Row],[Std Adj Read]]&lt;Table1[[#This Row],[High Tol]],"Pass","Fail"),IF(Table1[[#This Row],[DUT Adj Read]]&lt;Table1[[#This Row],[High Tol]],"Pass","Fail")))</f>
        <v>Fail</v>
      </c>
      <c r="AF635" s="1" t="str">
        <f>IF(AND(Table1[[#This Row],[Spec Type2]]="N/A",Table1[[#This Row],[DUT Adj Read]]="N/A",Table1[[#This Row],[Std Adj Read]]="N/A"),"N/A",IF(Table1[[#This Row],[DUT Adj Read]]="N/A",IF(Table1[[#This Row],[Std Adj Read]]&gt;=Table1[[#This Row],[Low Tol]],"Pass","Fail"),IF(Table1[[#This Row],[DUT Adj Read]]&gt;=Table1[[#This Row],[Low Tol]],"Pass","Fail")))</f>
        <v>Pass</v>
      </c>
      <c r="AG635" s="1" t="str">
        <f>IF(AND(Table1[[#This Row],[Spec Type2]]="N/A",Table1[[#This Row],[DUT Adj Read]]="N/A",Table1[[#This Row],[Std Adj Read]]="N/A"),"N/A",IF(Table1[[#This Row],[DUT Adj Read]]="N/A",IF(Table1[[#This Row],[Std Adj Read]]&lt;=Table1[[#This Row],[High Tol]],"Pass","Fail"),IF(Table1[[#This Row],[DUT Adj Read]]&lt;=Table1[[#This Row],[High Tol]],"Pass","Fail")))</f>
        <v>Fail</v>
      </c>
      <c r="AH6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5" s="1" t="b">
        <v>0</v>
      </c>
      <c r="AN635" s="1" t="b">
        <v>0</v>
      </c>
      <c r="AO635" s="1" t="b">
        <v>0</v>
      </c>
    </row>
    <row r="636" spans="1:41" x14ac:dyDescent="0.25">
      <c r="A636" s="10"/>
      <c r="B636" s="10"/>
      <c r="C636" s="10"/>
      <c r="D636" s="10"/>
      <c r="E636" s="10"/>
      <c r="F636" s="10"/>
      <c r="G636" s="10"/>
      <c r="H636" s="10"/>
      <c r="I636" s="1" t="str">
        <f t="shared" si="27"/>
        <v/>
      </c>
      <c r="J636" s="1" t="s">
        <v>35</v>
      </c>
      <c r="K636" s="1" t="str">
        <f t="shared" si="28"/>
        <v/>
      </c>
      <c r="L636" s="1" t="str">
        <f t="shared" si="29"/>
        <v/>
      </c>
      <c r="M636" s="1">
        <f>IF(OR(Table1[[#This Row],[Std Nom]]="",Table1[[#This Row],[Std Read]]=""),0,Table1[[#This Row],[Std Nom]]-Table1[[#This Row],[Std Read]])</f>
        <v>0</v>
      </c>
      <c r="N636" s="1">
        <f>IF(Calculations!$F$5="ACCREDITED 17025 WITH UNCERTAINTIES",$N$10,0)</f>
        <v>0</v>
      </c>
      <c r="O636" s="1" t="str">
        <f>IFERROR(Table1[[#This Row],[Std Nom]]-(_xlfn.XLOOKUP(Table1[[#This Row],[Manufacturer]]&amp;" "&amp;Table1[[#This Row],[Model]],Table13[MFR &amp; MDL],Table13[Tolerance % CW ],"")/100*Table1[[#This Row],[Std Nom]]),"")</f>
        <v/>
      </c>
      <c r="P636" s="1" t="str">
        <f>IFERROR(Table1[[#This Row],[Std Nom]]+(_xlfn.XLOOKUP(Table1[[#This Row],[Manufacturer]]&amp;" "&amp;Table1[[#This Row],[Model]],Table13[MFR &amp; MDL],Table13[Tolerance % CW ],"")/100*Table1[[#This Row],[Std Nom]]),"")</f>
        <v/>
      </c>
      <c r="Q636" s="1" t="e">
        <f>Table1[[#This Row],[High Tol]]-Table1[[#This Row],[Low Tol]]</f>
        <v>#VALUE!</v>
      </c>
      <c r="R636" s="1">
        <f>2*Table1[[#This Row],[Std Error]]</f>
        <v>0</v>
      </c>
      <c r="S636" s="1" t="str">
        <f>IF(Table1[[#This Row],[High Tol]]="","N/A",IFERROR(ABS(Table1[[#This Row],[Tol Span]]/Table1[[#This Row],[Error Span]]),"N/A"))</f>
        <v>N/A</v>
      </c>
      <c r="T636" s="1" t="str">
        <f>IF(OR(Table1[[#This Row],[Low Tol]]="",Table1[[#This Row],[High Tol]]=""),"Needs Analysis",IF(Table1[[#This Row],[Ratio]]&gt;=4,"Not Significant",IF(Table1[[#This Row],[Ratio]]&gt;=2,"Semi-Significant","Significant")))</f>
        <v>Needs Analysis</v>
      </c>
      <c r="W636" s="1">
        <f>IF(Table1[[#This Row],[Cal Type]]&lt;&gt;"ACCREDITED 17025 WITH UNCERTAINTIES",0,"")</f>
        <v>0</v>
      </c>
      <c r="X636" s="1" t="str">
        <f>IF(Table1[[#This Row],[DUT Read]]="","N/A",Table1[[#This Row],[Std Error]]+Table1[[#This Row],[DUT Read]]+Table1[[#This Row],[DUT Ucty]])</f>
        <v>N/A</v>
      </c>
      <c r="Y636" s="1" t="str">
        <f>IF(Table1[[#This Row],[Std Read]]="","N/A",Table1[[#This Row],[Std Read]]+Table1[[#This Row],[Std Ucty]])</f>
        <v>N/A</v>
      </c>
      <c r="Z6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6" s="1" t="str">
        <f>IF(Table1[[#This Row],[Spec Type]]="","N/A",Table1[[#This Row],[Spec Type]])</f>
        <v>±</v>
      </c>
      <c r="AC636" s="1" t="str">
        <f>IF(Table1[[#This Row],[Spec Type2]]="N/A","N/A",IF(AND(Table1[[#This Row],[DUT Adj Read]]&gt;=Table1[[#This Row],[Low Tol]],Table1[[#This Row],[DUT Adj Read]]&lt;=Table1[[#This Row],[High Tol]]),"Pass","Fail"))</f>
        <v>Fail</v>
      </c>
      <c r="AD636" s="1" t="str">
        <f>IF(AND(Table1[[#This Row],[Spec Type2]]="N/A",Table1[[#This Row],[DUT Adj Read]]="N/A",Table1[[#This Row],[Std Adj Read]]="N/A"),"N/A",IF(Table1[[#This Row],[DUT Adj Read]]="N/A",IF(Table1[[#This Row],[Std Adj Read]]&gt;Table1[[#This Row],[Low Tol]],"Pass","Fail"),IF(Table1[[#This Row],[DUT Adj Read]]&gt;Table1[[#This Row],[Low Tol]],"Pass","Fail")))</f>
        <v>Pass</v>
      </c>
      <c r="AE636" s="1" t="str">
        <f>IF(AND(Table1[[#This Row],[Spec Type2]]="N/A",Table1[[#This Row],[DUT Adj Read]]="N/A",Table1[[#This Row],[Std Adj Read]]="N/A"),"N/A",IF(Table1[[#This Row],[DUT Adj Read]]="N/A",IF(Table1[[#This Row],[Std Adj Read]]&lt;Table1[[#This Row],[High Tol]],"Pass","Fail"),IF(Table1[[#This Row],[DUT Adj Read]]&lt;Table1[[#This Row],[High Tol]],"Pass","Fail")))</f>
        <v>Fail</v>
      </c>
      <c r="AF636" s="1" t="str">
        <f>IF(AND(Table1[[#This Row],[Spec Type2]]="N/A",Table1[[#This Row],[DUT Adj Read]]="N/A",Table1[[#This Row],[Std Adj Read]]="N/A"),"N/A",IF(Table1[[#This Row],[DUT Adj Read]]="N/A",IF(Table1[[#This Row],[Std Adj Read]]&gt;=Table1[[#This Row],[Low Tol]],"Pass","Fail"),IF(Table1[[#This Row],[DUT Adj Read]]&gt;=Table1[[#This Row],[Low Tol]],"Pass","Fail")))</f>
        <v>Pass</v>
      </c>
      <c r="AG636" s="1" t="str">
        <f>IF(AND(Table1[[#This Row],[Spec Type2]]="N/A",Table1[[#This Row],[DUT Adj Read]]="N/A",Table1[[#This Row],[Std Adj Read]]="N/A"),"N/A",IF(Table1[[#This Row],[DUT Adj Read]]="N/A",IF(Table1[[#This Row],[Std Adj Read]]&lt;=Table1[[#This Row],[High Tol]],"Pass","Fail"),IF(Table1[[#This Row],[DUT Adj Read]]&lt;=Table1[[#This Row],[High Tol]],"Pass","Fail")))</f>
        <v>Fail</v>
      </c>
      <c r="AH6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6" s="1" t="b">
        <v>0</v>
      </c>
      <c r="AN636" s="1" t="b">
        <v>0</v>
      </c>
      <c r="AO636" s="1" t="b">
        <v>0</v>
      </c>
    </row>
    <row r="637" spans="1:41" x14ac:dyDescent="0.25">
      <c r="A637" s="10"/>
      <c r="B637" s="10"/>
      <c r="C637" s="10"/>
      <c r="D637" s="10"/>
      <c r="E637" s="10"/>
      <c r="F637" s="10"/>
      <c r="G637" s="10"/>
      <c r="H637" s="10"/>
      <c r="I637" s="1" t="str">
        <f t="shared" si="27"/>
        <v/>
      </c>
      <c r="J637" s="1" t="s">
        <v>35</v>
      </c>
      <c r="K637" s="1" t="str">
        <f t="shared" si="28"/>
        <v/>
      </c>
      <c r="L637" s="1" t="str">
        <f t="shared" si="29"/>
        <v/>
      </c>
      <c r="M637" s="1">
        <f>IF(OR(Table1[[#This Row],[Std Nom]]="",Table1[[#This Row],[Std Read]]=""),0,Table1[[#This Row],[Std Nom]]-Table1[[#This Row],[Std Read]])</f>
        <v>0</v>
      </c>
      <c r="N637" s="1">
        <f>IF(Calculations!$F$5="ACCREDITED 17025 WITH UNCERTAINTIES",$N$10,0)</f>
        <v>0</v>
      </c>
      <c r="O637" s="1" t="str">
        <f>IFERROR(Table1[[#This Row],[Std Nom]]-(_xlfn.XLOOKUP(Table1[[#This Row],[Manufacturer]]&amp;" "&amp;Table1[[#This Row],[Model]],Table13[MFR &amp; MDL],Table13[Tolerance % CW ],"")/100*Table1[[#This Row],[Std Nom]]),"")</f>
        <v/>
      </c>
      <c r="P637" s="1" t="str">
        <f>IFERROR(Table1[[#This Row],[Std Nom]]+(_xlfn.XLOOKUP(Table1[[#This Row],[Manufacturer]]&amp;" "&amp;Table1[[#This Row],[Model]],Table13[MFR &amp; MDL],Table13[Tolerance % CW ],"")/100*Table1[[#This Row],[Std Nom]]),"")</f>
        <v/>
      </c>
      <c r="Q637" s="1" t="e">
        <f>Table1[[#This Row],[High Tol]]-Table1[[#This Row],[Low Tol]]</f>
        <v>#VALUE!</v>
      </c>
      <c r="R637" s="1">
        <f>2*Table1[[#This Row],[Std Error]]</f>
        <v>0</v>
      </c>
      <c r="S637" s="1" t="str">
        <f>IF(Table1[[#This Row],[High Tol]]="","N/A",IFERROR(ABS(Table1[[#This Row],[Tol Span]]/Table1[[#This Row],[Error Span]]),"N/A"))</f>
        <v>N/A</v>
      </c>
      <c r="T637" s="1" t="str">
        <f>IF(OR(Table1[[#This Row],[Low Tol]]="",Table1[[#This Row],[High Tol]]=""),"Needs Analysis",IF(Table1[[#This Row],[Ratio]]&gt;=4,"Not Significant",IF(Table1[[#This Row],[Ratio]]&gt;=2,"Semi-Significant","Significant")))</f>
        <v>Needs Analysis</v>
      </c>
      <c r="W637" s="1">
        <f>IF(Table1[[#This Row],[Cal Type]]&lt;&gt;"ACCREDITED 17025 WITH UNCERTAINTIES",0,"")</f>
        <v>0</v>
      </c>
      <c r="X637" s="1" t="str">
        <f>IF(Table1[[#This Row],[DUT Read]]="","N/A",Table1[[#This Row],[Std Error]]+Table1[[#This Row],[DUT Read]]+Table1[[#This Row],[DUT Ucty]])</f>
        <v>N/A</v>
      </c>
      <c r="Y637" s="1" t="str">
        <f>IF(Table1[[#This Row],[Std Read]]="","N/A",Table1[[#This Row],[Std Read]]+Table1[[#This Row],[Std Ucty]])</f>
        <v>N/A</v>
      </c>
      <c r="Z6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7" s="1" t="str">
        <f>IF(Table1[[#This Row],[Spec Type]]="","N/A",Table1[[#This Row],[Spec Type]])</f>
        <v>±</v>
      </c>
      <c r="AC637" s="1" t="str">
        <f>IF(Table1[[#This Row],[Spec Type2]]="N/A","N/A",IF(AND(Table1[[#This Row],[DUT Adj Read]]&gt;=Table1[[#This Row],[Low Tol]],Table1[[#This Row],[DUT Adj Read]]&lt;=Table1[[#This Row],[High Tol]]),"Pass","Fail"))</f>
        <v>Fail</v>
      </c>
      <c r="AD637" s="1" t="str">
        <f>IF(AND(Table1[[#This Row],[Spec Type2]]="N/A",Table1[[#This Row],[DUT Adj Read]]="N/A",Table1[[#This Row],[Std Adj Read]]="N/A"),"N/A",IF(Table1[[#This Row],[DUT Adj Read]]="N/A",IF(Table1[[#This Row],[Std Adj Read]]&gt;Table1[[#This Row],[Low Tol]],"Pass","Fail"),IF(Table1[[#This Row],[DUT Adj Read]]&gt;Table1[[#This Row],[Low Tol]],"Pass","Fail")))</f>
        <v>Pass</v>
      </c>
      <c r="AE637" s="1" t="str">
        <f>IF(AND(Table1[[#This Row],[Spec Type2]]="N/A",Table1[[#This Row],[DUT Adj Read]]="N/A",Table1[[#This Row],[Std Adj Read]]="N/A"),"N/A",IF(Table1[[#This Row],[DUT Adj Read]]="N/A",IF(Table1[[#This Row],[Std Adj Read]]&lt;Table1[[#This Row],[High Tol]],"Pass","Fail"),IF(Table1[[#This Row],[DUT Adj Read]]&lt;Table1[[#This Row],[High Tol]],"Pass","Fail")))</f>
        <v>Fail</v>
      </c>
      <c r="AF637" s="1" t="str">
        <f>IF(AND(Table1[[#This Row],[Spec Type2]]="N/A",Table1[[#This Row],[DUT Adj Read]]="N/A",Table1[[#This Row],[Std Adj Read]]="N/A"),"N/A",IF(Table1[[#This Row],[DUT Adj Read]]="N/A",IF(Table1[[#This Row],[Std Adj Read]]&gt;=Table1[[#This Row],[Low Tol]],"Pass","Fail"),IF(Table1[[#This Row],[DUT Adj Read]]&gt;=Table1[[#This Row],[Low Tol]],"Pass","Fail")))</f>
        <v>Pass</v>
      </c>
      <c r="AG637" s="1" t="str">
        <f>IF(AND(Table1[[#This Row],[Spec Type2]]="N/A",Table1[[#This Row],[DUT Adj Read]]="N/A",Table1[[#This Row],[Std Adj Read]]="N/A"),"N/A",IF(Table1[[#This Row],[DUT Adj Read]]="N/A",IF(Table1[[#This Row],[Std Adj Read]]&lt;=Table1[[#This Row],[High Tol]],"Pass","Fail"),IF(Table1[[#This Row],[DUT Adj Read]]&lt;=Table1[[#This Row],[High Tol]],"Pass","Fail")))</f>
        <v>Fail</v>
      </c>
      <c r="AH6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7" s="1" t="b">
        <v>0</v>
      </c>
      <c r="AN637" s="1" t="b">
        <v>0</v>
      </c>
      <c r="AO637" s="1" t="b">
        <v>0</v>
      </c>
    </row>
    <row r="638" spans="1:41" x14ac:dyDescent="0.25">
      <c r="A638" s="10"/>
      <c r="B638" s="10"/>
      <c r="C638" s="10"/>
      <c r="D638" s="10"/>
      <c r="E638" s="10"/>
      <c r="F638" s="10"/>
      <c r="G638" s="10"/>
      <c r="H638" s="10"/>
      <c r="I638" s="1" t="str">
        <f t="shared" si="27"/>
        <v/>
      </c>
      <c r="J638" s="1" t="s">
        <v>35</v>
      </c>
      <c r="K638" s="1" t="str">
        <f t="shared" si="28"/>
        <v/>
      </c>
      <c r="L638" s="1" t="str">
        <f t="shared" si="29"/>
        <v/>
      </c>
      <c r="M638" s="1">
        <f>IF(OR(Table1[[#This Row],[Std Nom]]="",Table1[[#This Row],[Std Read]]=""),0,Table1[[#This Row],[Std Nom]]-Table1[[#This Row],[Std Read]])</f>
        <v>0</v>
      </c>
      <c r="N638" s="1">
        <f>IF(Calculations!$F$5="ACCREDITED 17025 WITH UNCERTAINTIES",$N$10,0)</f>
        <v>0</v>
      </c>
      <c r="O638" s="1" t="str">
        <f>IFERROR(Table1[[#This Row],[Std Nom]]-(_xlfn.XLOOKUP(Table1[[#This Row],[Manufacturer]]&amp;" "&amp;Table1[[#This Row],[Model]],Table13[MFR &amp; MDL],Table13[Tolerance % CW ],"")/100*Table1[[#This Row],[Std Nom]]),"")</f>
        <v/>
      </c>
      <c r="P638" s="1" t="str">
        <f>IFERROR(Table1[[#This Row],[Std Nom]]+(_xlfn.XLOOKUP(Table1[[#This Row],[Manufacturer]]&amp;" "&amp;Table1[[#This Row],[Model]],Table13[MFR &amp; MDL],Table13[Tolerance % CW ],"")/100*Table1[[#This Row],[Std Nom]]),"")</f>
        <v/>
      </c>
      <c r="Q638" s="1" t="e">
        <f>Table1[[#This Row],[High Tol]]-Table1[[#This Row],[Low Tol]]</f>
        <v>#VALUE!</v>
      </c>
      <c r="R638" s="1">
        <f>2*Table1[[#This Row],[Std Error]]</f>
        <v>0</v>
      </c>
      <c r="S638" s="1" t="str">
        <f>IF(Table1[[#This Row],[High Tol]]="","N/A",IFERROR(ABS(Table1[[#This Row],[Tol Span]]/Table1[[#This Row],[Error Span]]),"N/A"))</f>
        <v>N/A</v>
      </c>
      <c r="T638" s="1" t="str">
        <f>IF(OR(Table1[[#This Row],[Low Tol]]="",Table1[[#This Row],[High Tol]]=""),"Needs Analysis",IF(Table1[[#This Row],[Ratio]]&gt;=4,"Not Significant",IF(Table1[[#This Row],[Ratio]]&gt;=2,"Semi-Significant","Significant")))</f>
        <v>Needs Analysis</v>
      </c>
      <c r="W638" s="1">
        <f>IF(Table1[[#This Row],[Cal Type]]&lt;&gt;"ACCREDITED 17025 WITH UNCERTAINTIES",0,"")</f>
        <v>0</v>
      </c>
      <c r="X638" s="1" t="str">
        <f>IF(Table1[[#This Row],[DUT Read]]="","N/A",Table1[[#This Row],[Std Error]]+Table1[[#This Row],[DUT Read]]+Table1[[#This Row],[DUT Ucty]])</f>
        <v>N/A</v>
      </c>
      <c r="Y638" s="1" t="str">
        <f>IF(Table1[[#This Row],[Std Read]]="","N/A",Table1[[#This Row],[Std Read]]+Table1[[#This Row],[Std Ucty]])</f>
        <v>N/A</v>
      </c>
      <c r="Z6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8" s="1" t="str">
        <f>IF(Table1[[#This Row],[Spec Type]]="","N/A",Table1[[#This Row],[Spec Type]])</f>
        <v>±</v>
      </c>
      <c r="AC638" s="1" t="str">
        <f>IF(Table1[[#This Row],[Spec Type2]]="N/A","N/A",IF(AND(Table1[[#This Row],[DUT Adj Read]]&gt;=Table1[[#This Row],[Low Tol]],Table1[[#This Row],[DUT Adj Read]]&lt;=Table1[[#This Row],[High Tol]]),"Pass","Fail"))</f>
        <v>Fail</v>
      </c>
      <c r="AD638" s="1" t="str">
        <f>IF(AND(Table1[[#This Row],[Spec Type2]]="N/A",Table1[[#This Row],[DUT Adj Read]]="N/A",Table1[[#This Row],[Std Adj Read]]="N/A"),"N/A",IF(Table1[[#This Row],[DUT Adj Read]]="N/A",IF(Table1[[#This Row],[Std Adj Read]]&gt;Table1[[#This Row],[Low Tol]],"Pass","Fail"),IF(Table1[[#This Row],[DUT Adj Read]]&gt;Table1[[#This Row],[Low Tol]],"Pass","Fail")))</f>
        <v>Pass</v>
      </c>
      <c r="AE638" s="1" t="str">
        <f>IF(AND(Table1[[#This Row],[Spec Type2]]="N/A",Table1[[#This Row],[DUT Adj Read]]="N/A",Table1[[#This Row],[Std Adj Read]]="N/A"),"N/A",IF(Table1[[#This Row],[DUT Adj Read]]="N/A",IF(Table1[[#This Row],[Std Adj Read]]&lt;Table1[[#This Row],[High Tol]],"Pass","Fail"),IF(Table1[[#This Row],[DUT Adj Read]]&lt;Table1[[#This Row],[High Tol]],"Pass","Fail")))</f>
        <v>Fail</v>
      </c>
      <c r="AF638" s="1" t="str">
        <f>IF(AND(Table1[[#This Row],[Spec Type2]]="N/A",Table1[[#This Row],[DUT Adj Read]]="N/A",Table1[[#This Row],[Std Adj Read]]="N/A"),"N/A",IF(Table1[[#This Row],[DUT Adj Read]]="N/A",IF(Table1[[#This Row],[Std Adj Read]]&gt;=Table1[[#This Row],[Low Tol]],"Pass","Fail"),IF(Table1[[#This Row],[DUT Adj Read]]&gt;=Table1[[#This Row],[Low Tol]],"Pass","Fail")))</f>
        <v>Pass</v>
      </c>
      <c r="AG638" s="1" t="str">
        <f>IF(AND(Table1[[#This Row],[Spec Type2]]="N/A",Table1[[#This Row],[DUT Adj Read]]="N/A",Table1[[#This Row],[Std Adj Read]]="N/A"),"N/A",IF(Table1[[#This Row],[DUT Adj Read]]="N/A",IF(Table1[[#This Row],[Std Adj Read]]&lt;=Table1[[#This Row],[High Tol]],"Pass","Fail"),IF(Table1[[#This Row],[DUT Adj Read]]&lt;=Table1[[#This Row],[High Tol]],"Pass","Fail")))</f>
        <v>Fail</v>
      </c>
      <c r="AH6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8" s="1" t="b">
        <v>0</v>
      </c>
      <c r="AN638" s="1" t="b">
        <v>0</v>
      </c>
      <c r="AO638" s="1" t="b">
        <v>0</v>
      </c>
    </row>
    <row r="639" spans="1:41" x14ac:dyDescent="0.25">
      <c r="A639" s="10"/>
      <c r="B639" s="10"/>
      <c r="C639" s="10"/>
      <c r="D639" s="10"/>
      <c r="E639" s="10"/>
      <c r="F639" s="10"/>
      <c r="G639" s="10"/>
      <c r="H639" s="10"/>
      <c r="I639" s="1" t="str">
        <f t="shared" si="27"/>
        <v/>
      </c>
      <c r="J639" s="1" t="s">
        <v>35</v>
      </c>
      <c r="K639" s="1" t="str">
        <f t="shared" si="28"/>
        <v/>
      </c>
      <c r="L639" s="1" t="str">
        <f t="shared" si="29"/>
        <v/>
      </c>
      <c r="M639" s="1">
        <f>IF(OR(Table1[[#This Row],[Std Nom]]="",Table1[[#This Row],[Std Read]]=""),0,Table1[[#This Row],[Std Nom]]-Table1[[#This Row],[Std Read]])</f>
        <v>0</v>
      </c>
      <c r="N639" s="1">
        <f>IF(Calculations!$F$5="ACCREDITED 17025 WITH UNCERTAINTIES",$N$10,0)</f>
        <v>0</v>
      </c>
      <c r="O639" s="1" t="str">
        <f>IFERROR(Table1[[#This Row],[Std Nom]]-(_xlfn.XLOOKUP(Table1[[#This Row],[Manufacturer]]&amp;" "&amp;Table1[[#This Row],[Model]],Table13[MFR &amp; MDL],Table13[Tolerance % CW ],"")/100*Table1[[#This Row],[Std Nom]]),"")</f>
        <v/>
      </c>
      <c r="P639" s="1" t="str">
        <f>IFERROR(Table1[[#This Row],[Std Nom]]+(_xlfn.XLOOKUP(Table1[[#This Row],[Manufacturer]]&amp;" "&amp;Table1[[#This Row],[Model]],Table13[MFR &amp; MDL],Table13[Tolerance % CW ],"")/100*Table1[[#This Row],[Std Nom]]),"")</f>
        <v/>
      </c>
      <c r="Q639" s="1" t="e">
        <f>Table1[[#This Row],[High Tol]]-Table1[[#This Row],[Low Tol]]</f>
        <v>#VALUE!</v>
      </c>
      <c r="R639" s="1">
        <f>2*Table1[[#This Row],[Std Error]]</f>
        <v>0</v>
      </c>
      <c r="S639" s="1" t="str">
        <f>IF(Table1[[#This Row],[High Tol]]="","N/A",IFERROR(ABS(Table1[[#This Row],[Tol Span]]/Table1[[#This Row],[Error Span]]),"N/A"))</f>
        <v>N/A</v>
      </c>
      <c r="T639" s="1" t="str">
        <f>IF(OR(Table1[[#This Row],[Low Tol]]="",Table1[[#This Row],[High Tol]]=""),"Needs Analysis",IF(Table1[[#This Row],[Ratio]]&gt;=4,"Not Significant",IF(Table1[[#This Row],[Ratio]]&gt;=2,"Semi-Significant","Significant")))</f>
        <v>Needs Analysis</v>
      </c>
      <c r="W639" s="1">
        <f>IF(Table1[[#This Row],[Cal Type]]&lt;&gt;"ACCREDITED 17025 WITH UNCERTAINTIES",0,"")</f>
        <v>0</v>
      </c>
      <c r="X639" s="1" t="str">
        <f>IF(Table1[[#This Row],[DUT Read]]="","N/A",Table1[[#This Row],[Std Error]]+Table1[[#This Row],[DUT Read]]+Table1[[#This Row],[DUT Ucty]])</f>
        <v>N/A</v>
      </c>
      <c r="Y639" s="1" t="str">
        <f>IF(Table1[[#This Row],[Std Read]]="","N/A",Table1[[#This Row],[Std Read]]+Table1[[#This Row],[Std Ucty]])</f>
        <v>N/A</v>
      </c>
      <c r="Z6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9" s="1" t="str">
        <f>IF(Table1[[#This Row],[Spec Type]]="","N/A",Table1[[#This Row],[Spec Type]])</f>
        <v>±</v>
      </c>
      <c r="AC639" s="1" t="str">
        <f>IF(Table1[[#This Row],[Spec Type2]]="N/A","N/A",IF(AND(Table1[[#This Row],[DUT Adj Read]]&gt;=Table1[[#This Row],[Low Tol]],Table1[[#This Row],[DUT Adj Read]]&lt;=Table1[[#This Row],[High Tol]]),"Pass","Fail"))</f>
        <v>Fail</v>
      </c>
      <c r="AD639" s="1" t="str">
        <f>IF(AND(Table1[[#This Row],[Spec Type2]]="N/A",Table1[[#This Row],[DUT Adj Read]]="N/A",Table1[[#This Row],[Std Adj Read]]="N/A"),"N/A",IF(Table1[[#This Row],[DUT Adj Read]]="N/A",IF(Table1[[#This Row],[Std Adj Read]]&gt;Table1[[#This Row],[Low Tol]],"Pass","Fail"),IF(Table1[[#This Row],[DUT Adj Read]]&gt;Table1[[#This Row],[Low Tol]],"Pass","Fail")))</f>
        <v>Pass</v>
      </c>
      <c r="AE639" s="1" t="str">
        <f>IF(AND(Table1[[#This Row],[Spec Type2]]="N/A",Table1[[#This Row],[DUT Adj Read]]="N/A",Table1[[#This Row],[Std Adj Read]]="N/A"),"N/A",IF(Table1[[#This Row],[DUT Adj Read]]="N/A",IF(Table1[[#This Row],[Std Adj Read]]&lt;Table1[[#This Row],[High Tol]],"Pass","Fail"),IF(Table1[[#This Row],[DUT Adj Read]]&lt;Table1[[#This Row],[High Tol]],"Pass","Fail")))</f>
        <v>Fail</v>
      </c>
      <c r="AF639" s="1" t="str">
        <f>IF(AND(Table1[[#This Row],[Spec Type2]]="N/A",Table1[[#This Row],[DUT Adj Read]]="N/A",Table1[[#This Row],[Std Adj Read]]="N/A"),"N/A",IF(Table1[[#This Row],[DUT Adj Read]]="N/A",IF(Table1[[#This Row],[Std Adj Read]]&gt;=Table1[[#This Row],[Low Tol]],"Pass","Fail"),IF(Table1[[#This Row],[DUT Adj Read]]&gt;=Table1[[#This Row],[Low Tol]],"Pass","Fail")))</f>
        <v>Pass</v>
      </c>
      <c r="AG639" s="1" t="str">
        <f>IF(AND(Table1[[#This Row],[Spec Type2]]="N/A",Table1[[#This Row],[DUT Adj Read]]="N/A",Table1[[#This Row],[Std Adj Read]]="N/A"),"N/A",IF(Table1[[#This Row],[DUT Adj Read]]="N/A",IF(Table1[[#This Row],[Std Adj Read]]&lt;=Table1[[#This Row],[High Tol]],"Pass","Fail"),IF(Table1[[#This Row],[DUT Adj Read]]&lt;=Table1[[#This Row],[High Tol]],"Pass","Fail")))</f>
        <v>Fail</v>
      </c>
      <c r="AH6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9" s="1" t="b">
        <v>0</v>
      </c>
      <c r="AN639" s="1" t="b">
        <v>0</v>
      </c>
      <c r="AO639" s="1" t="b">
        <v>0</v>
      </c>
    </row>
    <row r="640" spans="1:41" x14ac:dyDescent="0.25">
      <c r="A640" s="10"/>
      <c r="B640" s="10"/>
      <c r="C640" s="10"/>
      <c r="D640" s="10"/>
      <c r="E640" s="10"/>
      <c r="F640" s="10"/>
      <c r="G640" s="10"/>
      <c r="H640" s="10"/>
      <c r="I640" s="1" t="str">
        <f t="shared" si="27"/>
        <v/>
      </c>
      <c r="J640" s="1" t="s">
        <v>35</v>
      </c>
      <c r="K640" s="1" t="str">
        <f t="shared" si="28"/>
        <v/>
      </c>
      <c r="L640" s="1" t="str">
        <f t="shared" si="29"/>
        <v/>
      </c>
      <c r="M640" s="1">
        <f>IF(OR(Table1[[#This Row],[Std Nom]]="",Table1[[#This Row],[Std Read]]=""),0,Table1[[#This Row],[Std Nom]]-Table1[[#This Row],[Std Read]])</f>
        <v>0</v>
      </c>
      <c r="N640" s="1">
        <f>IF(Calculations!$F$5="ACCREDITED 17025 WITH UNCERTAINTIES",$N$10,0)</f>
        <v>0</v>
      </c>
      <c r="O640" s="1" t="str">
        <f>IFERROR(Table1[[#This Row],[Std Nom]]-(_xlfn.XLOOKUP(Table1[[#This Row],[Manufacturer]]&amp;" "&amp;Table1[[#This Row],[Model]],Table13[MFR &amp; MDL],Table13[Tolerance % CW ],"")/100*Table1[[#This Row],[Std Nom]]),"")</f>
        <v/>
      </c>
      <c r="P640" s="1" t="str">
        <f>IFERROR(Table1[[#This Row],[Std Nom]]+(_xlfn.XLOOKUP(Table1[[#This Row],[Manufacturer]]&amp;" "&amp;Table1[[#This Row],[Model]],Table13[MFR &amp; MDL],Table13[Tolerance % CW ],"")/100*Table1[[#This Row],[Std Nom]]),"")</f>
        <v/>
      </c>
      <c r="Q640" s="1" t="e">
        <f>Table1[[#This Row],[High Tol]]-Table1[[#This Row],[Low Tol]]</f>
        <v>#VALUE!</v>
      </c>
      <c r="R640" s="1">
        <f>2*Table1[[#This Row],[Std Error]]</f>
        <v>0</v>
      </c>
      <c r="S640" s="1" t="str">
        <f>IF(Table1[[#This Row],[High Tol]]="","N/A",IFERROR(ABS(Table1[[#This Row],[Tol Span]]/Table1[[#This Row],[Error Span]]),"N/A"))</f>
        <v>N/A</v>
      </c>
      <c r="T640" s="1" t="str">
        <f>IF(OR(Table1[[#This Row],[Low Tol]]="",Table1[[#This Row],[High Tol]]=""),"Needs Analysis",IF(Table1[[#This Row],[Ratio]]&gt;=4,"Not Significant",IF(Table1[[#This Row],[Ratio]]&gt;=2,"Semi-Significant","Significant")))</f>
        <v>Needs Analysis</v>
      </c>
      <c r="W640" s="1">
        <f>IF(Table1[[#This Row],[Cal Type]]&lt;&gt;"ACCREDITED 17025 WITH UNCERTAINTIES",0,"")</f>
        <v>0</v>
      </c>
      <c r="X640" s="1" t="str">
        <f>IF(Table1[[#This Row],[DUT Read]]="","N/A",Table1[[#This Row],[Std Error]]+Table1[[#This Row],[DUT Read]]+Table1[[#This Row],[DUT Ucty]])</f>
        <v>N/A</v>
      </c>
      <c r="Y640" s="1" t="str">
        <f>IF(Table1[[#This Row],[Std Read]]="","N/A",Table1[[#This Row],[Std Read]]+Table1[[#This Row],[Std Ucty]])</f>
        <v>N/A</v>
      </c>
      <c r="Z6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0" s="1" t="str">
        <f>IF(Table1[[#This Row],[Spec Type]]="","N/A",Table1[[#This Row],[Spec Type]])</f>
        <v>±</v>
      </c>
      <c r="AC640" s="1" t="str">
        <f>IF(Table1[[#This Row],[Spec Type2]]="N/A","N/A",IF(AND(Table1[[#This Row],[DUT Adj Read]]&gt;=Table1[[#This Row],[Low Tol]],Table1[[#This Row],[DUT Adj Read]]&lt;=Table1[[#This Row],[High Tol]]),"Pass","Fail"))</f>
        <v>Fail</v>
      </c>
      <c r="AD640" s="1" t="str">
        <f>IF(AND(Table1[[#This Row],[Spec Type2]]="N/A",Table1[[#This Row],[DUT Adj Read]]="N/A",Table1[[#This Row],[Std Adj Read]]="N/A"),"N/A",IF(Table1[[#This Row],[DUT Adj Read]]="N/A",IF(Table1[[#This Row],[Std Adj Read]]&gt;Table1[[#This Row],[Low Tol]],"Pass","Fail"),IF(Table1[[#This Row],[DUT Adj Read]]&gt;Table1[[#This Row],[Low Tol]],"Pass","Fail")))</f>
        <v>Pass</v>
      </c>
      <c r="AE640" s="1" t="str">
        <f>IF(AND(Table1[[#This Row],[Spec Type2]]="N/A",Table1[[#This Row],[DUT Adj Read]]="N/A",Table1[[#This Row],[Std Adj Read]]="N/A"),"N/A",IF(Table1[[#This Row],[DUT Adj Read]]="N/A",IF(Table1[[#This Row],[Std Adj Read]]&lt;Table1[[#This Row],[High Tol]],"Pass","Fail"),IF(Table1[[#This Row],[DUT Adj Read]]&lt;Table1[[#This Row],[High Tol]],"Pass","Fail")))</f>
        <v>Fail</v>
      </c>
      <c r="AF640" s="1" t="str">
        <f>IF(AND(Table1[[#This Row],[Spec Type2]]="N/A",Table1[[#This Row],[DUT Adj Read]]="N/A",Table1[[#This Row],[Std Adj Read]]="N/A"),"N/A",IF(Table1[[#This Row],[DUT Adj Read]]="N/A",IF(Table1[[#This Row],[Std Adj Read]]&gt;=Table1[[#This Row],[Low Tol]],"Pass","Fail"),IF(Table1[[#This Row],[DUT Adj Read]]&gt;=Table1[[#This Row],[Low Tol]],"Pass","Fail")))</f>
        <v>Pass</v>
      </c>
      <c r="AG640" s="1" t="str">
        <f>IF(AND(Table1[[#This Row],[Spec Type2]]="N/A",Table1[[#This Row],[DUT Adj Read]]="N/A",Table1[[#This Row],[Std Adj Read]]="N/A"),"N/A",IF(Table1[[#This Row],[DUT Adj Read]]="N/A",IF(Table1[[#This Row],[Std Adj Read]]&lt;=Table1[[#This Row],[High Tol]],"Pass","Fail"),IF(Table1[[#This Row],[DUT Adj Read]]&lt;=Table1[[#This Row],[High Tol]],"Pass","Fail")))</f>
        <v>Fail</v>
      </c>
      <c r="AH6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0" s="1" t="b">
        <v>0</v>
      </c>
      <c r="AN640" s="1" t="b">
        <v>0</v>
      </c>
      <c r="AO640" s="1" t="b">
        <v>0</v>
      </c>
    </row>
    <row r="641" spans="1:41" x14ac:dyDescent="0.25">
      <c r="A641" s="10"/>
      <c r="B641" s="10"/>
      <c r="C641" s="10"/>
      <c r="D641" s="10"/>
      <c r="E641" s="10"/>
      <c r="F641" s="10"/>
      <c r="G641" s="10"/>
      <c r="H641" s="10"/>
      <c r="I641" s="1" t="str">
        <f t="shared" si="27"/>
        <v/>
      </c>
      <c r="J641" s="1" t="s">
        <v>35</v>
      </c>
      <c r="K641" s="1" t="str">
        <f t="shared" si="28"/>
        <v/>
      </c>
      <c r="L641" s="1" t="str">
        <f t="shared" si="29"/>
        <v/>
      </c>
      <c r="M641" s="1">
        <f>IF(OR(Table1[[#This Row],[Std Nom]]="",Table1[[#This Row],[Std Read]]=""),0,Table1[[#This Row],[Std Nom]]-Table1[[#This Row],[Std Read]])</f>
        <v>0</v>
      </c>
      <c r="N641" s="1">
        <f>IF(Calculations!$F$5="ACCREDITED 17025 WITH UNCERTAINTIES",$N$10,0)</f>
        <v>0</v>
      </c>
      <c r="O641" s="1" t="str">
        <f>IFERROR(Table1[[#This Row],[Std Nom]]-(_xlfn.XLOOKUP(Table1[[#This Row],[Manufacturer]]&amp;" "&amp;Table1[[#This Row],[Model]],Table13[MFR &amp; MDL],Table13[Tolerance % CW ],"")/100*Table1[[#This Row],[Std Nom]]),"")</f>
        <v/>
      </c>
      <c r="P641" s="1" t="str">
        <f>IFERROR(Table1[[#This Row],[Std Nom]]+(_xlfn.XLOOKUP(Table1[[#This Row],[Manufacturer]]&amp;" "&amp;Table1[[#This Row],[Model]],Table13[MFR &amp; MDL],Table13[Tolerance % CW ],"")/100*Table1[[#This Row],[Std Nom]]),"")</f>
        <v/>
      </c>
      <c r="Q641" s="1" t="e">
        <f>Table1[[#This Row],[High Tol]]-Table1[[#This Row],[Low Tol]]</f>
        <v>#VALUE!</v>
      </c>
      <c r="R641" s="1">
        <f>2*Table1[[#This Row],[Std Error]]</f>
        <v>0</v>
      </c>
      <c r="S641" s="1" t="str">
        <f>IF(Table1[[#This Row],[High Tol]]="","N/A",IFERROR(ABS(Table1[[#This Row],[Tol Span]]/Table1[[#This Row],[Error Span]]),"N/A"))</f>
        <v>N/A</v>
      </c>
      <c r="T641" s="1" t="str">
        <f>IF(OR(Table1[[#This Row],[Low Tol]]="",Table1[[#This Row],[High Tol]]=""),"Needs Analysis",IF(Table1[[#This Row],[Ratio]]&gt;=4,"Not Significant",IF(Table1[[#This Row],[Ratio]]&gt;=2,"Semi-Significant","Significant")))</f>
        <v>Needs Analysis</v>
      </c>
      <c r="W641" s="1">
        <f>IF(Table1[[#This Row],[Cal Type]]&lt;&gt;"ACCREDITED 17025 WITH UNCERTAINTIES",0,"")</f>
        <v>0</v>
      </c>
      <c r="X641" s="1" t="str">
        <f>IF(Table1[[#This Row],[DUT Read]]="","N/A",Table1[[#This Row],[Std Error]]+Table1[[#This Row],[DUT Read]]+Table1[[#This Row],[DUT Ucty]])</f>
        <v>N/A</v>
      </c>
      <c r="Y641" s="1" t="str">
        <f>IF(Table1[[#This Row],[Std Read]]="","N/A",Table1[[#This Row],[Std Read]]+Table1[[#This Row],[Std Ucty]])</f>
        <v>N/A</v>
      </c>
      <c r="Z6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1" s="1" t="str">
        <f>IF(Table1[[#This Row],[Spec Type]]="","N/A",Table1[[#This Row],[Spec Type]])</f>
        <v>±</v>
      </c>
      <c r="AC641" s="1" t="str">
        <f>IF(Table1[[#This Row],[Spec Type2]]="N/A","N/A",IF(AND(Table1[[#This Row],[DUT Adj Read]]&gt;=Table1[[#This Row],[Low Tol]],Table1[[#This Row],[DUT Adj Read]]&lt;=Table1[[#This Row],[High Tol]]),"Pass","Fail"))</f>
        <v>Fail</v>
      </c>
      <c r="AD641" s="1" t="str">
        <f>IF(AND(Table1[[#This Row],[Spec Type2]]="N/A",Table1[[#This Row],[DUT Adj Read]]="N/A",Table1[[#This Row],[Std Adj Read]]="N/A"),"N/A",IF(Table1[[#This Row],[DUT Adj Read]]="N/A",IF(Table1[[#This Row],[Std Adj Read]]&gt;Table1[[#This Row],[Low Tol]],"Pass","Fail"),IF(Table1[[#This Row],[DUT Adj Read]]&gt;Table1[[#This Row],[Low Tol]],"Pass","Fail")))</f>
        <v>Pass</v>
      </c>
      <c r="AE641" s="1" t="str">
        <f>IF(AND(Table1[[#This Row],[Spec Type2]]="N/A",Table1[[#This Row],[DUT Adj Read]]="N/A",Table1[[#This Row],[Std Adj Read]]="N/A"),"N/A",IF(Table1[[#This Row],[DUT Adj Read]]="N/A",IF(Table1[[#This Row],[Std Adj Read]]&lt;Table1[[#This Row],[High Tol]],"Pass","Fail"),IF(Table1[[#This Row],[DUT Adj Read]]&lt;Table1[[#This Row],[High Tol]],"Pass","Fail")))</f>
        <v>Fail</v>
      </c>
      <c r="AF641" s="1" t="str">
        <f>IF(AND(Table1[[#This Row],[Spec Type2]]="N/A",Table1[[#This Row],[DUT Adj Read]]="N/A",Table1[[#This Row],[Std Adj Read]]="N/A"),"N/A",IF(Table1[[#This Row],[DUT Adj Read]]="N/A",IF(Table1[[#This Row],[Std Adj Read]]&gt;=Table1[[#This Row],[Low Tol]],"Pass","Fail"),IF(Table1[[#This Row],[DUT Adj Read]]&gt;=Table1[[#This Row],[Low Tol]],"Pass","Fail")))</f>
        <v>Pass</v>
      </c>
      <c r="AG641" s="1" t="str">
        <f>IF(AND(Table1[[#This Row],[Spec Type2]]="N/A",Table1[[#This Row],[DUT Adj Read]]="N/A",Table1[[#This Row],[Std Adj Read]]="N/A"),"N/A",IF(Table1[[#This Row],[DUT Adj Read]]="N/A",IF(Table1[[#This Row],[Std Adj Read]]&lt;=Table1[[#This Row],[High Tol]],"Pass","Fail"),IF(Table1[[#This Row],[DUT Adj Read]]&lt;=Table1[[#This Row],[High Tol]],"Pass","Fail")))</f>
        <v>Fail</v>
      </c>
      <c r="AH6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1" s="1" t="b">
        <v>0</v>
      </c>
      <c r="AN641" s="1" t="b">
        <v>0</v>
      </c>
      <c r="AO641" s="1" t="b">
        <v>0</v>
      </c>
    </row>
    <row r="642" spans="1:41" x14ac:dyDescent="0.25">
      <c r="A642" s="10"/>
      <c r="B642" s="10"/>
      <c r="C642" s="10"/>
      <c r="D642" s="10"/>
      <c r="E642" s="10"/>
      <c r="F642" s="10"/>
      <c r="G642" s="10"/>
      <c r="H642" s="10"/>
      <c r="I642" s="1" t="str">
        <f t="shared" si="27"/>
        <v/>
      </c>
      <c r="J642" s="1" t="s">
        <v>35</v>
      </c>
      <c r="K642" s="1" t="str">
        <f t="shared" si="28"/>
        <v/>
      </c>
      <c r="L642" s="1" t="str">
        <f t="shared" si="29"/>
        <v/>
      </c>
      <c r="M642" s="1">
        <f>IF(OR(Table1[[#This Row],[Std Nom]]="",Table1[[#This Row],[Std Read]]=""),0,Table1[[#This Row],[Std Nom]]-Table1[[#This Row],[Std Read]])</f>
        <v>0</v>
      </c>
      <c r="N642" s="1">
        <f>IF(Calculations!$F$5="ACCREDITED 17025 WITH UNCERTAINTIES",$N$10,0)</f>
        <v>0</v>
      </c>
      <c r="O642" s="1" t="str">
        <f>IFERROR(Table1[[#This Row],[Std Nom]]-(_xlfn.XLOOKUP(Table1[[#This Row],[Manufacturer]]&amp;" "&amp;Table1[[#This Row],[Model]],Table13[MFR &amp; MDL],Table13[Tolerance % CW ],"")/100*Table1[[#This Row],[Std Nom]]),"")</f>
        <v/>
      </c>
      <c r="P642" s="1" t="str">
        <f>IFERROR(Table1[[#This Row],[Std Nom]]+(_xlfn.XLOOKUP(Table1[[#This Row],[Manufacturer]]&amp;" "&amp;Table1[[#This Row],[Model]],Table13[MFR &amp; MDL],Table13[Tolerance % CW ],"")/100*Table1[[#This Row],[Std Nom]]),"")</f>
        <v/>
      </c>
      <c r="Q642" s="1" t="e">
        <f>Table1[[#This Row],[High Tol]]-Table1[[#This Row],[Low Tol]]</f>
        <v>#VALUE!</v>
      </c>
      <c r="R642" s="1">
        <f>2*Table1[[#This Row],[Std Error]]</f>
        <v>0</v>
      </c>
      <c r="S642" s="1" t="str">
        <f>IF(Table1[[#This Row],[High Tol]]="","N/A",IFERROR(ABS(Table1[[#This Row],[Tol Span]]/Table1[[#This Row],[Error Span]]),"N/A"))</f>
        <v>N/A</v>
      </c>
      <c r="T642" s="1" t="str">
        <f>IF(OR(Table1[[#This Row],[Low Tol]]="",Table1[[#This Row],[High Tol]]=""),"Needs Analysis",IF(Table1[[#This Row],[Ratio]]&gt;=4,"Not Significant",IF(Table1[[#This Row],[Ratio]]&gt;=2,"Semi-Significant","Significant")))</f>
        <v>Needs Analysis</v>
      </c>
      <c r="W642" s="1">
        <f>IF(Table1[[#This Row],[Cal Type]]&lt;&gt;"ACCREDITED 17025 WITH UNCERTAINTIES",0,"")</f>
        <v>0</v>
      </c>
      <c r="X642" s="1" t="str">
        <f>IF(Table1[[#This Row],[DUT Read]]="","N/A",Table1[[#This Row],[Std Error]]+Table1[[#This Row],[DUT Read]]+Table1[[#This Row],[DUT Ucty]])</f>
        <v>N/A</v>
      </c>
      <c r="Y642" s="1" t="str">
        <f>IF(Table1[[#This Row],[Std Read]]="","N/A",Table1[[#This Row],[Std Read]]+Table1[[#This Row],[Std Ucty]])</f>
        <v>N/A</v>
      </c>
      <c r="Z6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2" s="1" t="str">
        <f>IF(Table1[[#This Row],[Spec Type]]="","N/A",Table1[[#This Row],[Spec Type]])</f>
        <v>±</v>
      </c>
      <c r="AC642" s="1" t="str">
        <f>IF(Table1[[#This Row],[Spec Type2]]="N/A","N/A",IF(AND(Table1[[#This Row],[DUT Adj Read]]&gt;=Table1[[#This Row],[Low Tol]],Table1[[#This Row],[DUT Adj Read]]&lt;=Table1[[#This Row],[High Tol]]),"Pass","Fail"))</f>
        <v>Fail</v>
      </c>
      <c r="AD642" s="1" t="str">
        <f>IF(AND(Table1[[#This Row],[Spec Type2]]="N/A",Table1[[#This Row],[DUT Adj Read]]="N/A",Table1[[#This Row],[Std Adj Read]]="N/A"),"N/A",IF(Table1[[#This Row],[DUT Adj Read]]="N/A",IF(Table1[[#This Row],[Std Adj Read]]&gt;Table1[[#This Row],[Low Tol]],"Pass","Fail"),IF(Table1[[#This Row],[DUT Adj Read]]&gt;Table1[[#This Row],[Low Tol]],"Pass","Fail")))</f>
        <v>Pass</v>
      </c>
      <c r="AE642" s="1" t="str">
        <f>IF(AND(Table1[[#This Row],[Spec Type2]]="N/A",Table1[[#This Row],[DUT Adj Read]]="N/A",Table1[[#This Row],[Std Adj Read]]="N/A"),"N/A",IF(Table1[[#This Row],[DUT Adj Read]]="N/A",IF(Table1[[#This Row],[Std Adj Read]]&lt;Table1[[#This Row],[High Tol]],"Pass","Fail"),IF(Table1[[#This Row],[DUT Adj Read]]&lt;Table1[[#This Row],[High Tol]],"Pass","Fail")))</f>
        <v>Fail</v>
      </c>
      <c r="AF642" s="1" t="str">
        <f>IF(AND(Table1[[#This Row],[Spec Type2]]="N/A",Table1[[#This Row],[DUT Adj Read]]="N/A",Table1[[#This Row],[Std Adj Read]]="N/A"),"N/A",IF(Table1[[#This Row],[DUT Adj Read]]="N/A",IF(Table1[[#This Row],[Std Adj Read]]&gt;=Table1[[#This Row],[Low Tol]],"Pass","Fail"),IF(Table1[[#This Row],[DUT Adj Read]]&gt;=Table1[[#This Row],[Low Tol]],"Pass","Fail")))</f>
        <v>Pass</v>
      </c>
      <c r="AG642" s="1" t="str">
        <f>IF(AND(Table1[[#This Row],[Spec Type2]]="N/A",Table1[[#This Row],[DUT Adj Read]]="N/A",Table1[[#This Row],[Std Adj Read]]="N/A"),"N/A",IF(Table1[[#This Row],[DUT Adj Read]]="N/A",IF(Table1[[#This Row],[Std Adj Read]]&lt;=Table1[[#This Row],[High Tol]],"Pass","Fail"),IF(Table1[[#This Row],[DUT Adj Read]]&lt;=Table1[[#This Row],[High Tol]],"Pass","Fail")))</f>
        <v>Fail</v>
      </c>
      <c r="AH6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2" s="1" t="b">
        <v>0</v>
      </c>
      <c r="AN642" s="1" t="b">
        <v>0</v>
      </c>
      <c r="AO642" s="1" t="b">
        <v>0</v>
      </c>
    </row>
    <row r="643" spans="1:41" x14ac:dyDescent="0.25">
      <c r="A643" s="10"/>
      <c r="B643" s="10"/>
      <c r="C643" s="10"/>
      <c r="D643" s="10"/>
      <c r="E643" s="10"/>
      <c r="F643" s="10"/>
      <c r="G643" s="10"/>
      <c r="H643" s="10"/>
      <c r="I643" s="1" t="str">
        <f t="shared" si="27"/>
        <v/>
      </c>
      <c r="J643" s="1" t="s">
        <v>35</v>
      </c>
      <c r="K643" s="1" t="str">
        <f t="shared" si="28"/>
        <v/>
      </c>
      <c r="L643" s="1" t="str">
        <f t="shared" si="29"/>
        <v/>
      </c>
      <c r="M643" s="1">
        <f>IF(OR(Table1[[#This Row],[Std Nom]]="",Table1[[#This Row],[Std Read]]=""),0,Table1[[#This Row],[Std Nom]]-Table1[[#This Row],[Std Read]])</f>
        <v>0</v>
      </c>
      <c r="N643" s="1">
        <f>IF(Calculations!$F$5="ACCREDITED 17025 WITH UNCERTAINTIES",$N$10,0)</f>
        <v>0</v>
      </c>
      <c r="O643" s="1" t="str">
        <f>IFERROR(Table1[[#This Row],[Std Nom]]-(_xlfn.XLOOKUP(Table1[[#This Row],[Manufacturer]]&amp;" "&amp;Table1[[#This Row],[Model]],Table13[MFR &amp; MDL],Table13[Tolerance % CW ],"")/100*Table1[[#This Row],[Std Nom]]),"")</f>
        <v/>
      </c>
      <c r="P643" s="1" t="str">
        <f>IFERROR(Table1[[#This Row],[Std Nom]]+(_xlfn.XLOOKUP(Table1[[#This Row],[Manufacturer]]&amp;" "&amp;Table1[[#This Row],[Model]],Table13[MFR &amp; MDL],Table13[Tolerance % CW ],"")/100*Table1[[#This Row],[Std Nom]]),"")</f>
        <v/>
      </c>
      <c r="Q643" s="1" t="e">
        <f>Table1[[#This Row],[High Tol]]-Table1[[#This Row],[Low Tol]]</f>
        <v>#VALUE!</v>
      </c>
      <c r="R643" s="1">
        <f>2*Table1[[#This Row],[Std Error]]</f>
        <v>0</v>
      </c>
      <c r="S643" s="1" t="str">
        <f>IF(Table1[[#This Row],[High Tol]]="","N/A",IFERROR(ABS(Table1[[#This Row],[Tol Span]]/Table1[[#This Row],[Error Span]]),"N/A"))</f>
        <v>N/A</v>
      </c>
      <c r="T643" s="1" t="str">
        <f>IF(OR(Table1[[#This Row],[Low Tol]]="",Table1[[#This Row],[High Tol]]=""),"Needs Analysis",IF(Table1[[#This Row],[Ratio]]&gt;=4,"Not Significant",IF(Table1[[#This Row],[Ratio]]&gt;=2,"Semi-Significant","Significant")))</f>
        <v>Needs Analysis</v>
      </c>
      <c r="W643" s="1">
        <f>IF(Table1[[#This Row],[Cal Type]]&lt;&gt;"ACCREDITED 17025 WITH UNCERTAINTIES",0,"")</f>
        <v>0</v>
      </c>
      <c r="X643" s="1" t="str">
        <f>IF(Table1[[#This Row],[DUT Read]]="","N/A",Table1[[#This Row],[Std Error]]+Table1[[#This Row],[DUT Read]]+Table1[[#This Row],[DUT Ucty]])</f>
        <v>N/A</v>
      </c>
      <c r="Y643" s="1" t="str">
        <f>IF(Table1[[#This Row],[Std Read]]="","N/A",Table1[[#This Row],[Std Read]]+Table1[[#This Row],[Std Ucty]])</f>
        <v>N/A</v>
      </c>
      <c r="Z6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3" s="1" t="str">
        <f>IF(Table1[[#This Row],[Spec Type]]="","N/A",Table1[[#This Row],[Spec Type]])</f>
        <v>±</v>
      </c>
      <c r="AC643" s="1" t="str">
        <f>IF(Table1[[#This Row],[Spec Type2]]="N/A","N/A",IF(AND(Table1[[#This Row],[DUT Adj Read]]&gt;=Table1[[#This Row],[Low Tol]],Table1[[#This Row],[DUT Adj Read]]&lt;=Table1[[#This Row],[High Tol]]),"Pass","Fail"))</f>
        <v>Fail</v>
      </c>
      <c r="AD643" s="1" t="str">
        <f>IF(AND(Table1[[#This Row],[Spec Type2]]="N/A",Table1[[#This Row],[DUT Adj Read]]="N/A",Table1[[#This Row],[Std Adj Read]]="N/A"),"N/A",IF(Table1[[#This Row],[DUT Adj Read]]="N/A",IF(Table1[[#This Row],[Std Adj Read]]&gt;Table1[[#This Row],[Low Tol]],"Pass","Fail"),IF(Table1[[#This Row],[DUT Adj Read]]&gt;Table1[[#This Row],[Low Tol]],"Pass","Fail")))</f>
        <v>Pass</v>
      </c>
      <c r="AE643" s="1" t="str">
        <f>IF(AND(Table1[[#This Row],[Spec Type2]]="N/A",Table1[[#This Row],[DUT Adj Read]]="N/A",Table1[[#This Row],[Std Adj Read]]="N/A"),"N/A",IF(Table1[[#This Row],[DUT Adj Read]]="N/A",IF(Table1[[#This Row],[Std Adj Read]]&lt;Table1[[#This Row],[High Tol]],"Pass","Fail"),IF(Table1[[#This Row],[DUT Adj Read]]&lt;Table1[[#This Row],[High Tol]],"Pass","Fail")))</f>
        <v>Fail</v>
      </c>
      <c r="AF643" s="1" t="str">
        <f>IF(AND(Table1[[#This Row],[Spec Type2]]="N/A",Table1[[#This Row],[DUT Adj Read]]="N/A",Table1[[#This Row],[Std Adj Read]]="N/A"),"N/A",IF(Table1[[#This Row],[DUT Adj Read]]="N/A",IF(Table1[[#This Row],[Std Adj Read]]&gt;=Table1[[#This Row],[Low Tol]],"Pass","Fail"),IF(Table1[[#This Row],[DUT Adj Read]]&gt;=Table1[[#This Row],[Low Tol]],"Pass","Fail")))</f>
        <v>Pass</v>
      </c>
      <c r="AG643" s="1" t="str">
        <f>IF(AND(Table1[[#This Row],[Spec Type2]]="N/A",Table1[[#This Row],[DUT Adj Read]]="N/A",Table1[[#This Row],[Std Adj Read]]="N/A"),"N/A",IF(Table1[[#This Row],[DUT Adj Read]]="N/A",IF(Table1[[#This Row],[Std Adj Read]]&lt;=Table1[[#This Row],[High Tol]],"Pass","Fail"),IF(Table1[[#This Row],[DUT Adj Read]]&lt;=Table1[[#This Row],[High Tol]],"Pass","Fail")))</f>
        <v>Fail</v>
      </c>
      <c r="AH6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3" s="1" t="b">
        <v>0</v>
      </c>
      <c r="AN643" s="1" t="b">
        <v>0</v>
      </c>
      <c r="AO643" s="1" t="b">
        <v>0</v>
      </c>
    </row>
    <row r="644" spans="1:41" x14ac:dyDescent="0.25">
      <c r="A644" s="10"/>
      <c r="B644" s="10"/>
      <c r="C644" s="10"/>
      <c r="D644" s="10"/>
      <c r="E644" s="10"/>
      <c r="F644" s="10"/>
      <c r="G644" s="10"/>
      <c r="H644" s="10"/>
      <c r="I644" s="1" t="str">
        <f t="shared" si="27"/>
        <v/>
      </c>
      <c r="J644" s="1" t="s">
        <v>35</v>
      </c>
      <c r="K644" s="1" t="str">
        <f t="shared" si="28"/>
        <v/>
      </c>
      <c r="L644" s="1" t="str">
        <f t="shared" si="29"/>
        <v/>
      </c>
      <c r="M644" s="1">
        <f>IF(OR(Table1[[#This Row],[Std Nom]]="",Table1[[#This Row],[Std Read]]=""),0,Table1[[#This Row],[Std Nom]]-Table1[[#This Row],[Std Read]])</f>
        <v>0</v>
      </c>
      <c r="N644" s="1">
        <f>IF(Calculations!$F$5="ACCREDITED 17025 WITH UNCERTAINTIES",$N$10,0)</f>
        <v>0</v>
      </c>
      <c r="O644" s="1" t="str">
        <f>IFERROR(Table1[[#This Row],[Std Nom]]-(_xlfn.XLOOKUP(Table1[[#This Row],[Manufacturer]]&amp;" "&amp;Table1[[#This Row],[Model]],Table13[MFR &amp; MDL],Table13[Tolerance % CW ],"")/100*Table1[[#This Row],[Std Nom]]),"")</f>
        <v/>
      </c>
      <c r="P644" s="1" t="str">
        <f>IFERROR(Table1[[#This Row],[Std Nom]]+(_xlfn.XLOOKUP(Table1[[#This Row],[Manufacturer]]&amp;" "&amp;Table1[[#This Row],[Model]],Table13[MFR &amp; MDL],Table13[Tolerance % CW ],"")/100*Table1[[#This Row],[Std Nom]]),"")</f>
        <v/>
      </c>
      <c r="Q644" s="1" t="e">
        <f>Table1[[#This Row],[High Tol]]-Table1[[#This Row],[Low Tol]]</f>
        <v>#VALUE!</v>
      </c>
      <c r="R644" s="1">
        <f>2*Table1[[#This Row],[Std Error]]</f>
        <v>0</v>
      </c>
      <c r="S644" s="1" t="str">
        <f>IF(Table1[[#This Row],[High Tol]]="","N/A",IFERROR(ABS(Table1[[#This Row],[Tol Span]]/Table1[[#This Row],[Error Span]]),"N/A"))</f>
        <v>N/A</v>
      </c>
      <c r="T644" s="1" t="str">
        <f>IF(OR(Table1[[#This Row],[Low Tol]]="",Table1[[#This Row],[High Tol]]=""),"Needs Analysis",IF(Table1[[#This Row],[Ratio]]&gt;=4,"Not Significant",IF(Table1[[#This Row],[Ratio]]&gt;=2,"Semi-Significant","Significant")))</f>
        <v>Needs Analysis</v>
      </c>
      <c r="W644" s="1">
        <f>IF(Table1[[#This Row],[Cal Type]]&lt;&gt;"ACCREDITED 17025 WITH UNCERTAINTIES",0,"")</f>
        <v>0</v>
      </c>
      <c r="X644" s="1" t="str">
        <f>IF(Table1[[#This Row],[DUT Read]]="","N/A",Table1[[#This Row],[Std Error]]+Table1[[#This Row],[DUT Read]]+Table1[[#This Row],[DUT Ucty]])</f>
        <v>N/A</v>
      </c>
      <c r="Y644" s="1" t="str">
        <f>IF(Table1[[#This Row],[Std Read]]="","N/A",Table1[[#This Row],[Std Read]]+Table1[[#This Row],[Std Ucty]])</f>
        <v>N/A</v>
      </c>
      <c r="Z6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4" s="1" t="str">
        <f>IF(Table1[[#This Row],[Spec Type]]="","N/A",Table1[[#This Row],[Spec Type]])</f>
        <v>±</v>
      </c>
      <c r="AC644" s="1" t="str">
        <f>IF(Table1[[#This Row],[Spec Type2]]="N/A","N/A",IF(AND(Table1[[#This Row],[DUT Adj Read]]&gt;=Table1[[#This Row],[Low Tol]],Table1[[#This Row],[DUT Adj Read]]&lt;=Table1[[#This Row],[High Tol]]),"Pass","Fail"))</f>
        <v>Fail</v>
      </c>
      <c r="AD644" s="1" t="str">
        <f>IF(AND(Table1[[#This Row],[Spec Type2]]="N/A",Table1[[#This Row],[DUT Adj Read]]="N/A",Table1[[#This Row],[Std Adj Read]]="N/A"),"N/A",IF(Table1[[#This Row],[DUT Adj Read]]="N/A",IF(Table1[[#This Row],[Std Adj Read]]&gt;Table1[[#This Row],[Low Tol]],"Pass","Fail"),IF(Table1[[#This Row],[DUT Adj Read]]&gt;Table1[[#This Row],[Low Tol]],"Pass","Fail")))</f>
        <v>Pass</v>
      </c>
      <c r="AE644" s="1" t="str">
        <f>IF(AND(Table1[[#This Row],[Spec Type2]]="N/A",Table1[[#This Row],[DUT Adj Read]]="N/A",Table1[[#This Row],[Std Adj Read]]="N/A"),"N/A",IF(Table1[[#This Row],[DUT Adj Read]]="N/A",IF(Table1[[#This Row],[Std Adj Read]]&lt;Table1[[#This Row],[High Tol]],"Pass","Fail"),IF(Table1[[#This Row],[DUT Adj Read]]&lt;Table1[[#This Row],[High Tol]],"Pass","Fail")))</f>
        <v>Fail</v>
      </c>
      <c r="AF644" s="1" t="str">
        <f>IF(AND(Table1[[#This Row],[Spec Type2]]="N/A",Table1[[#This Row],[DUT Adj Read]]="N/A",Table1[[#This Row],[Std Adj Read]]="N/A"),"N/A",IF(Table1[[#This Row],[DUT Adj Read]]="N/A",IF(Table1[[#This Row],[Std Adj Read]]&gt;=Table1[[#This Row],[Low Tol]],"Pass","Fail"),IF(Table1[[#This Row],[DUT Adj Read]]&gt;=Table1[[#This Row],[Low Tol]],"Pass","Fail")))</f>
        <v>Pass</v>
      </c>
      <c r="AG644" s="1" t="str">
        <f>IF(AND(Table1[[#This Row],[Spec Type2]]="N/A",Table1[[#This Row],[DUT Adj Read]]="N/A",Table1[[#This Row],[Std Adj Read]]="N/A"),"N/A",IF(Table1[[#This Row],[DUT Adj Read]]="N/A",IF(Table1[[#This Row],[Std Adj Read]]&lt;=Table1[[#This Row],[High Tol]],"Pass","Fail"),IF(Table1[[#This Row],[DUT Adj Read]]&lt;=Table1[[#This Row],[High Tol]],"Pass","Fail")))</f>
        <v>Fail</v>
      </c>
      <c r="AH6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4" s="1" t="b">
        <v>0</v>
      </c>
      <c r="AN644" s="1" t="b">
        <v>0</v>
      </c>
      <c r="AO644" s="1" t="b">
        <v>0</v>
      </c>
    </row>
    <row r="645" spans="1:41" x14ac:dyDescent="0.25">
      <c r="A645" s="10"/>
      <c r="B645" s="10"/>
      <c r="C645" s="10"/>
      <c r="D645" s="10"/>
      <c r="E645" s="10"/>
      <c r="F645" s="10"/>
      <c r="G645" s="10"/>
      <c r="H645" s="10"/>
      <c r="I645" s="1" t="str">
        <f t="shared" si="27"/>
        <v/>
      </c>
      <c r="J645" s="1" t="s">
        <v>35</v>
      </c>
      <c r="K645" s="1" t="str">
        <f t="shared" si="28"/>
        <v/>
      </c>
      <c r="L645" s="1" t="str">
        <f t="shared" si="29"/>
        <v/>
      </c>
      <c r="M645" s="1">
        <f>IF(OR(Table1[[#This Row],[Std Nom]]="",Table1[[#This Row],[Std Read]]=""),0,Table1[[#This Row],[Std Nom]]-Table1[[#This Row],[Std Read]])</f>
        <v>0</v>
      </c>
      <c r="N645" s="1">
        <f>IF(Calculations!$F$5="ACCREDITED 17025 WITH UNCERTAINTIES",$N$10,0)</f>
        <v>0</v>
      </c>
      <c r="O645" s="1" t="str">
        <f>IFERROR(Table1[[#This Row],[Std Nom]]-(_xlfn.XLOOKUP(Table1[[#This Row],[Manufacturer]]&amp;" "&amp;Table1[[#This Row],[Model]],Table13[MFR &amp; MDL],Table13[Tolerance % CW ],"")/100*Table1[[#This Row],[Std Nom]]),"")</f>
        <v/>
      </c>
      <c r="P645" s="1" t="str">
        <f>IFERROR(Table1[[#This Row],[Std Nom]]+(_xlfn.XLOOKUP(Table1[[#This Row],[Manufacturer]]&amp;" "&amp;Table1[[#This Row],[Model]],Table13[MFR &amp; MDL],Table13[Tolerance % CW ],"")/100*Table1[[#This Row],[Std Nom]]),"")</f>
        <v/>
      </c>
      <c r="Q645" s="1" t="e">
        <f>Table1[[#This Row],[High Tol]]-Table1[[#This Row],[Low Tol]]</f>
        <v>#VALUE!</v>
      </c>
      <c r="R645" s="1">
        <f>2*Table1[[#This Row],[Std Error]]</f>
        <v>0</v>
      </c>
      <c r="S645" s="1" t="str">
        <f>IF(Table1[[#This Row],[High Tol]]="","N/A",IFERROR(ABS(Table1[[#This Row],[Tol Span]]/Table1[[#This Row],[Error Span]]),"N/A"))</f>
        <v>N/A</v>
      </c>
      <c r="T645" s="1" t="str">
        <f>IF(OR(Table1[[#This Row],[Low Tol]]="",Table1[[#This Row],[High Tol]]=""),"Needs Analysis",IF(Table1[[#This Row],[Ratio]]&gt;=4,"Not Significant",IF(Table1[[#This Row],[Ratio]]&gt;=2,"Semi-Significant","Significant")))</f>
        <v>Needs Analysis</v>
      </c>
      <c r="W645" s="1">
        <f>IF(Table1[[#This Row],[Cal Type]]&lt;&gt;"ACCREDITED 17025 WITH UNCERTAINTIES",0,"")</f>
        <v>0</v>
      </c>
      <c r="X645" s="1" t="str">
        <f>IF(Table1[[#This Row],[DUT Read]]="","N/A",Table1[[#This Row],[Std Error]]+Table1[[#This Row],[DUT Read]]+Table1[[#This Row],[DUT Ucty]])</f>
        <v>N/A</v>
      </c>
      <c r="Y645" s="1" t="str">
        <f>IF(Table1[[#This Row],[Std Read]]="","N/A",Table1[[#This Row],[Std Read]]+Table1[[#This Row],[Std Ucty]])</f>
        <v>N/A</v>
      </c>
      <c r="Z6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5" s="1" t="str">
        <f>IF(Table1[[#This Row],[Spec Type]]="","N/A",Table1[[#This Row],[Spec Type]])</f>
        <v>±</v>
      </c>
      <c r="AC645" s="1" t="str">
        <f>IF(Table1[[#This Row],[Spec Type2]]="N/A","N/A",IF(AND(Table1[[#This Row],[DUT Adj Read]]&gt;=Table1[[#This Row],[Low Tol]],Table1[[#This Row],[DUT Adj Read]]&lt;=Table1[[#This Row],[High Tol]]),"Pass","Fail"))</f>
        <v>Fail</v>
      </c>
      <c r="AD645" s="1" t="str">
        <f>IF(AND(Table1[[#This Row],[Spec Type2]]="N/A",Table1[[#This Row],[DUT Adj Read]]="N/A",Table1[[#This Row],[Std Adj Read]]="N/A"),"N/A",IF(Table1[[#This Row],[DUT Adj Read]]="N/A",IF(Table1[[#This Row],[Std Adj Read]]&gt;Table1[[#This Row],[Low Tol]],"Pass","Fail"),IF(Table1[[#This Row],[DUT Adj Read]]&gt;Table1[[#This Row],[Low Tol]],"Pass","Fail")))</f>
        <v>Pass</v>
      </c>
      <c r="AE645" s="1" t="str">
        <f>IF(AND(Table1[[#This Row],[Spec Type2]]="N/A",Table1[[#This Row],[DUT Adj Read]]="N/A",Table1[[#This Row],[Std Adj Read]]="N/A"),"N/A",IF(Table1[[#This Row],[DUT Adj Read]]="N/A",IF(Table1[[#This Row],[Std Adj Read]]&lt;Table1[[#This Row],[High Tol]],"Pass","Fail"),IF(Table1[[#This Row],[DUT Adj Read]]&lt;Table1[[#This Row],[High Tol]],"Pass","Fail")))</f>
        <v>Fail</v>
      </c>
      <c r="AF645" s="1" t="str">
        <f>IF(AND(Table1[[#This Row],[Spec Type2]]="N/A",Table1[[#This Row],[DUT Adj Read]]="N/A",Table1[[#This Row],[Std Adj Read]]="N/A"),"N/A",IF(Table1[[#This Row],[DUT Adj Read]]="N/A",IF(Table1[[#This Row],[Std Adj Read]]&gt;=Table1[[#This Row],[Low Tol]],"Pass","Fail"),IF(Table1[[#This Row],[DUT Adj Read]]&gt;=Table1[[#This Row],[Low Tol]],"Pass","Fail")))</f>
        <v>Pass</v>
      </c>
      <c r="AG645" s="1" t="str">
        <f>IF(AND(Table1[[#This Row],[Spec Type2]]="N/A",Table1[[#This Row],[DUT Adj Read]]="N/A",Table1[[#This Row],[Std Adj Read]]="N/A"),"N/A",IF(Table1[[#This Row],[DUT Adj Read]]="N/A",IF(Table1[[#This Row],[Std Adj Read]]&lt;=Table1[[#This Row],[High Tol]],"Pass","Fail"),IF(Table1[[#This Row],[DUT Adj Read]]&lt;=Table1[[#This Row],[High Tol]],"Pass","Fail")))</f>
        <v>Fail</v>
      </c>
      <c r="AH6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5" s="1" t="b">
        <v>0</v>
      </c>
      <c r="AN645" s="1" t="b">
        <v>0</v>
      </c>
      <c r="AO645" s="1" t="b">
        <v>0</v>
      </c>
    </row>
    <row r="646" spans="1:41" x14ac:dyDescent="0.25">
      <c r="A646" s="10"/>
      <c r="B646" s="10"/>
      <c r="C646" s="10"/>
      <c r="D646" s="10"/>
      <c r="E646" s="10"/>
      <c r="F646" s="10"/>
      <c r="G646" s="10"/>
      <c r="H646" s="10"/>
      <c r="I646" s="1" t="str">
        <f t="shared" si="27"/>
        <v/>
      </c>
      <c r="J646" s="1" t="s">
        <v>35</v>
      </c>
      <c r="K646" s="1" t="str">
        <f t="shared" si="28"/>
        <v/>
      </c>
      <c r="L646" s="1" t="str">
        <f t="shared" si="29"/>
        <v/>
      </c>
      <c r="M646" s="1">
        <f>IF(OR(Table1[[#This Row],[Std Nom]]="",Table1[[#This Row],[Std Read]]=""),0,Table1[[#This Row],[Std Nom]]-Table1[[#This Row],[Std Read]])</f>
        <v>0</v>
      </c>
      <c r="N646" s="1">
        <f>IF(Calculations!$F$5="ACCREDITED 17025 WITH UNCERTAINTIES",$N$10,0)</f>
        <v>0</v>
      </c>
      <c r="O646" s="1" t="str">
        <f>IFERROR(Table1[[#This Row],[Std Nom]]-(_xlfn.XLOOKUP(Table1[[#This Row],[Manufacturer]]&amp;" "&amp;Table1[[#This Row],[Model]],Table13[MFR &amp; MDL],Table13[Tolerance % CW ],"")/100*Table1[[#This Row],[Std Nom]]),"")</f>
        <v/>
      </c>
      <c r="P646" s="1" t="str">
        <f>IFERROR(Table1[[#This Row],[Std Nom]]+(_xlfn.XLOOKUP(Table1[[#This Row],[Manufacturer]]&amp;" "&amp;Table1[[#This Row],[Model]],Table13[MFR &amp; MDL],Table13[Tolerance % CW ],"")/100*Table1[[#This Row],[Std Nom]]),"")</f>
        <v/>
      </c>
      <c r="Q646" s="1" t="e">
        <f>Table1[[#This Row],[High Tol]]-Table1[[#This Row],[Low Tol]]</f>
        <v>#VALUE!</v>
      </c>
      <c r="R646" s="1">
        <f>2*Table1[[#This Row],[Std Error]]</f>
        <v>0</v>
      </c>
      <c r="S646" s="1" t="str">
        <f>IF(Table1[[#This Row],[High Tol]]="","N/A",IFERROR(ABS(Table1[[#This Row],[Tol Span]]/Table1[[#This Row],[Error Span]]),"N/A"))</f>
        <v>N/A</v>
      </c>
      <c r="T646" s="1" t="str">
        <f>IF(OR(Table1[[#This Row],[Low Tol]]="",Table1[[#This Row],[High Tol]]=""),"Needs Analysis",IF(Table1[[#This Row],[Ratio]]&gt;=4,"Not Significant",IF(Table1[[#This Row],[Ratio]]&gt;=2,"Semi-Significant","Significant")))</f>
        <v>Needs Analysis</v>
      </c>
      <c r="W646" s="1">
        <f>IF(Table1[[#This Row],[Cal Type]]&lt;&gt;"ACCREDITED 17025 WITH UNCERTAINTIES",0,"")</f>
        <v>0</v>
      </c>
      <c r="X646" s="1" t="str">
        <f>IF(Table1[[#This Row],[DUT Read]]="","N/A",Table1[[#This Row],[Std Error]]+Table1[[#This Row],[DUT Read]]+Table1[[#This Row],[DUT Ucty]])</f>
        <v>N/A</v>
      </c>
      <c r="Y646" s="1" t="str">
        <f>IF(Table1[[#This Row],[Std Read]]="","N/A",Table1[[#This Row],[Std Read]]+Table1[[#This Row],[Std Ucty]])</f>
        <v>N/A</v>
      </c>
      <c r="Z6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6" s="1" t="str">
        <f>IF(Table1[[#This Row],[Spec Type]]="","N/A",Table1[[#This Row],[Spec Type]])</f>
        <v>±</v>
      </c>
      <c r="AC646" s="1" t="str">
        <f>IF(Table1[[#This Row],[Spec Type2]]="N/A","N/A",IF(AND(Table1[[#This Row],[DUT Adj Read]]&gt;=Table1[[#This Row],[Low Tol]],Table1[[#This Row],[DUT Adj Read]]&lt;=Table1[[#This Row],[High Tol]]),"Pass","Fail"))</f>
        <v>Fail</v>
      </c>
      <c r="AD646" s="1" t="str">
        <f>IF(AND(Table1[[#This Row],[Spec Type2]]="N/A",Table1[[#This Row],[DUT Adj Read]]="N/A",Table1[[#This Row],[Std Adj Read]]="N/A"),"N/A",IF(Table1[[#This Row],[DUT Adj Read]]="N/A",IF(Table1[[#This Row],[Std Adj Read]]&gt;Table1[[#This Row],[Low Tol]],"Pass","Fail"),IF(Table1[[#This Row],[DUT Adj Read]]&gt;Table1[[#This Row],[Low Tol]],"Pass","Fail")))</f>
        <v>Pass</v>
      </c>
      <c r="AE646" s="1" t="str">
        <f>IF(AND(Table1[[#This Row],[Spec Type2]]="N/A",Table1[[#This Row],[DUT Adj Read]]="N/A",Table1[[#This Row],[Std Adj Read]]="N/A"),"N/A",IF(Table1[[#This Row],[DUT Adj Read]]="N/A",IF(Table1[[#This Row],[Std Adj Read]]&lt;Table1[[#This Row],[High Tol]],"Pass","Fail"),IF(Table1[[#This Row],[DUT Adj Read]]&lt;Table1[[#This Row],[High Tol]],"Pass","Fail")))</f>
        <v>Fail</v>
      </c>
      <c r="AF646" s="1" t="str">
        <f>IF(AND(Table1[[#This Row],[Spec Type2]]="N/A",Table1[[#This Row],[DUT Adj Read]]="N/A",Table1[[#This Row],[Std Adj Read]]="N/A"),"N/A",IF(Table1[[#This Row],[DUT Adj Read]]="N/A",IF(Table1[[#This Row],[Std Adj Read]]&gt;=Table1[[#This Row],[Low Tol]],"Pass","Fail"),IF(Table1[[#This Row],[DUT Adj Read]]&gt;=Table1[[#This Row],[Low Tol]],"Pass","Fail")))</f>
        <v>Pass</v>
      </c>
      <c r="AG646" s="1" t="str">
        <f>IF(AND(Table1[[#This Row],[Spec Type2]]="N/A",Table1[[#This Row],[DUT Adj Read]]="N/A",Table1[[#This Row],[Std Adj Read]]="N/A"),"N/A",IF(Table1[[#This Row],[DUT Adj Read]]="N/A",IF(Table1[[#This Row],[Std Adj Read]]&lt;=Table1[[#This Row],[High Tol]],"Pass","Fail"),IF(Table1[[#This Row],[DUT Adj Read]]&lt;=Table1[[#This Row],[High Tol]],"Pass","Fail")))</f>
        <v>Fail</v>
      </c>
      <c r="AH6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6" s="1" t="b">
        <v>0</v>
      </c>
      <c r="AN646" s="1" t="b">
        <v>0</v>
      </c>
      <c r="AO646" s="1" t="b">
        <v>0</v>
      </c>
    </row>
    <row r="647" spans="1:41" x14ac:dyDescent="0.25">
      <c r="A647" s="10"/>
      <c r="B647" s="10"/>
      <c r="C647" s="10"/>
      <c r="D647" s="10"/>
      <c r="E647" s="10"/>
      <c r="F647" s="10"/>
      <c r="G647" s="10"/>
      <c r="H647" s="10"/>
      <c r="I647" s="1" t="str">
        <f t="shared" si="27"/>
        <v/>
      </c>
      <c r="J647" s="1" t="s">
        <v>35</v>
      </c>
      <c r="K647" s="1" t="str">
        <f t="shared" si="28"/>
        <v/>
      </c>
      <c r="L647" s="1" t="str">
        <f t="shared" si="29"/>
        <v/>
      </c>
      <c r="M647" s="1">
        <f>IF(OR(Table1[[#This Row],[Std Nom]]="",Table1[[#This Row],[Std Read]]=""),0,Table1[[#This Row],[Std Nom]]-Table1[[#This Row],[Std Read]])</f>
        <v>0</v>
      </c>
      <c r="N647" s="1">
        <f>IF(Calculations!$F$5="ACCREDITED 17025 WITH UNCERTAINTIES",$N$10,0)</f>
        <v>0</v>
      </c>
      <c r="O647" s="1" t="str">
        <f>IFERROR(Table1[[#This Row],[Std Nom]]-(_xlfn.XLOOKUP(Table1[[#This Row],[Manufacturer]]&amp;" "&amp;Table1[[#This Row],[Model]],Table13[MFR &amp; MDL],Table13[Tolerance % CW ],"")/100*Table1[[#This Row],[Std Nom]]),"")</f>
        <v/>
      </c>
      <c r="P647" s="1" t="str">
        <f>IFERROR(Table1[[#This Row],[Std Nom]]+(_xlfn.XLOOKUP(Table1[[#This Row],[Manufacturer]]&amp;" "&amp;Table1[[#This Row],[Model]],Table13[MFR &amp; MDL],Table13[Tolerance % CW ],"")/100*Table1[[#This Row],[Std Nom]]),"")</f>
        <v/>
      </c>
      <c r="Q647" s="1" t="e">
        <f>Table1[[#This Row],[High Tol]]-Table1[[#This Row],[Low Tol]]</f>
        <v>#VALUE!</v>
      </c>
      <c r="R647" s="1">
        <f>2*Table1[[#This Row],[Std Error]]</f>
        <v>0</v>
      </c>
      <c r="S647" s="1" t="str">
        <f>IF(Table1[[#This Row],[High Tol]]="","N/A",IFERROR(ABS(Table1[[#This Row],[Tol Span]]/Table1[[#This Row],[Error Span]]),"N/A"))</f>
        <v>N/A</v>
      </c>
      <c r="T647" s="1" t="str">
        <f>IF(OR(Table1[[#This Row],[Low Tol]]="",Table1[[#This Row],[High Tol]]=""),"Needs Analysis",IF(Table1[[#This Row],[Ratio]]&gt;=4,"Not Significant",IF(Table1[[#This Row],[Ratio]]&gt;=2,"Semi-Significant","Significant")))</f>
        <v>Needs Analysis</v>
      </c>
      <c r="W647" s="1">
        <f>IF(Table1[[#This Row],[Cal Type]]&lt;&gt;"ACCREDITED 17025 WITH UNCERTAINTIES",0,"")</f>
        <v>0</v>
      </c>
      <c r="X647" s="1" t="str">
        <f>IF(Table1[[#This Row],[DUT Read]]="","N/A",Table1[[#This Row],[Std Error]]+Table1[[#This Row],[DUT Read]]+Table1[[#This Row],[DUT Ucty]])</f>
        <v>N/A</v>
      </c>
      <c r="Y647" s="1" t="str">
        <f>IF(Table1[[#This Row],[Std Read]]="","N/A",Table1[[#This Row],[Std Read]]+Table1[[#This Row],[Std Ucty]])</f>
        <v>N/A</v>
      </c>
      <c r="Z6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7" s="1" t="str">
        <f>IF(Table1[[#This Row],[Spec Type]]="","N/A",Table1[[#This Row],[Spec Type]])</f>
        <v>±</v>
      </c>
      <c r="AC647" s="1" t="str">
        <f>IF(Table1[[#This Row],[Spec Type2]]="N/A","N/A",IF(AND(Table1[[#This Row],[DUT Adj Read]]&gt;=Table1[[#This Row],[Low Tol]],Table1[[#This Row],[DUT Adj Read]]&lt;=Table1[[#This Row],[High Tol]]),"Pass","Fail"))</f>
        <v>Fail</v>
      </c>
      <c r="AD647" s="1" t="str">
        <f>IF(AND(Table1[[#This Row],[Spec Type2]]="N/A",Table1[[#This Row],[DUT Adj Read]]="N/A",Table1[[#This Row],[Std Adj Read]]="N/A"),"N/A",IF(Table1[[#This Row],[DUT Adj Read]]="N/A",IF(Table1[[#This Row],[Std Adj Read]]&gt;Table1[[#This Row],[Low Tol]],"Pass","Fail"),IF(Table1[[#This Row],[DUT Adj Read]]&gt;Table1[[#This Row],[Low Tol]],"Pass","Fail")))</f>
        <v>Pass</v>
      </c>
      <c r="AE647" s="1" t="str">
        <f>IF(AND(Table1[[#This Row],[Spec Type2]]="N/A",Table1[[#This Row],[DUT Adj Read]]="N/A",Table1[[#This Row],[Std Adj Read]]="N/A"),"N/A",IF(Table1[[#This Row],[DUT Adj Read]]="N/A",IF(Table1[[#This Row],[Std Adj Read]]&lt;Table1[[#This Row],[High Tol]],"Pass","Fail"),IF(Table1[[#This Row],[DUT Adj Read]]&lt;Table1[[#This Row],[High Tol]],"Pass","Fail")))</f>
        <v>Fail</v>
      </c>
      <c r="AF647" s="1" t="str">
        <f>IF(AND(Table1[[#This Row],[Spec Type2]]="N/A",Table1[[#This Row],[DUT Adj Read]]="N/A",Table1[[#This Row],[Std Adj Read]]="N/A"),"N/A",IF(Table1[[#This Row],[DUT Adj Read]]="N/A",IF(Table1[[#This Row],[Std Adj Read]]&gt;=Table1[[#This Row],[Low Tol]],"Pass","Fail"),IF(Table1[[#This Row],[DUT Adj Read]]&gt;=Table1[[#This Row],[Low Tol]],"Pass","Fail")))</f>
        <v>Pass</v>
      </c>
      <c r="AG647" s="1" t="str">
        <f>IF(AND(Table1[[#This Row],[Spec Type2]]="N/A",Table1[[#This Row],[DUT Adj Read]]="N/A",Table1[[#This Row],[Std Adj Read]]="N/A"),"N/A",IF(Table1[[#This Row],[DUT Adj Read]]="N/A",IF(Table1[[#This Row],[Std Adj Read]]&lt;=Table1[[#This Row],[High Tol]],"Pass","Fail"),IF(Table1[[#This Row],[DUT Adj Read]]&lt;=Table1[[#This Row],[High Tol]],"Pass","Fail")))</f>
        <v>Fail</v>
      </c>
      <c r="AH6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7" s="1" t="b">
        <v>0</v>
      </c>
      <c r="AN647" s="1" t="b">
        <v>0</v>
      </c>
      <c r="AO647" s="1" t="b">
        <v>0</v>
      </c>
    </row>
    <row r="648" spans="1:41" x14ac:dyDescent="0.25">
      <c r="A648" s="10"/>
      <c r="B648" s="10"/>
      <c r="C648" s="10"/>
      <c r="D648" s="10"/>
      <c r="E648" s="10"/>
      <c r="F648" s="10"/>
      <c r="G648" s="10"/>
      <c r="H648" s="10"/>
      <c r="I648" s="1" t="str">
        <f t="shared" si="27"/>
        <v/>
      </c>
      <c r="J648" s="1" t="s">
        <v>35</v>
      </c>
      <c r="K648" s="1" t="str">
        <f t="shared" si="28"/>
        <v/>
      </c>
      <c r="L648" s="1" t="str">
        <f t="shared" si="29"/>
        <v/>
      </c>
      <c r="M648" s="1">
        <f>IF(OR(Table1[[#This Row],[Std Nom]]="",Table1[[#This Row],[Std Read]]=""),0,Table1[[#This Row],[Std Nom]]-Table1[[#This Row],[Std Read]])</f>
        <v>0</v>
      </c>
      <c r="N648" s="1">
        <f>IF(Calculations!$F$5="ACCREDITED 17025 WITH UNCERTAINTIES",$N$10,0)</f>
        <v>0</v>
      </c>
      <c r="O648" s="1" t="str">
        <f>IFERROR(Table1[[#This Row],[Std Nom]]-(_xlfn.XLOOKUP(Table1[[#This Row],[Manufacturer]]&amp;" "&amp;Table1[[#This Row],[Model]],Table13[MFR &amp; MDL],Table13[Tolerance % CW ],"")/100*Table1[[#This Row],[Std Nom]]),"")</f>
        <v/>
      </c>
      <c r="P648" s="1" t="str">
        <f>IFERROR(Table1[[#This Row],[Std Nom]]+(_xlfn.XLOOKUP(Table1[[#This Row],[Manufacturer]]&amp;" "&amp;Table1[[#This Row],[Model]],Table13[MFR &amp; MDL],Table13[Tolerance % CW ],"")/100*Table1[[#This Row],[Std Nom]]),"")</f>
        <v/>
      </c>
      <c r="Q648" s="1" t="e">
        <f>Table1[[#This Row],[High Tol]]-Table1[[#This Row],[Low Tol]]</f>
        <v>#VALUE!</v>
      </c>
      <c r="R648" s="1">
        <f>2*Table1[[#This Row],[Std Error]]</f>
        <v>0</v>
      </c>
      <c r="S648" s="1" t="str">
        <f>IF(Table1[[#This Row],[High Tol]]="","N/A",IFERROR(ABS(Table1[[#This Row],[Tol Span]]/Table1[[#This Row],[Error Span]]),"N/A"))</f>
        <v>N/A</v>
      </c>
      <c r="T648" s="1" t="str">
        <f>IF(OR(Table1[[#This Row],[Low Tol]]="",Table1[[#This Row],[High Tol]]=""),"Needs Analysis",IF(Table1[[#This Row],[Ratio]]&gt;=4,"Not Significant",IF(Table1[[#This Row],[Ratio]]&gt;=2,"Semi-Significant","Significant")))</f>
        <v>Needs Analysis</v>
      </c>
      <c r="W648" s="1">
        <f>IF(Table1[[#This Row],[Cal Type]]&lt;&gt;"ACCREDITED 17025 WITH UNCERTAINTIES",0,"")</f>
        <v>0</v>
      </c>
      <c r="X648" s="1" t="str">
        <f>IF(Table1[[#This Row],[DUT Read]]="","N/A",Table1[[#This Row],[Std Error]]+Table1[[#This Row],[DUT Read]]+Table1[[#This Row],[DUT Ucty]])</f>
        <v>N/A</v>
      </c>
      <c r="Y648" s="1" t="str">
        <f>IF(Table1[[#This Row],[Std Read]]="","N/A",Table1[[#This Row],[Std Read]]+Table1[[#This Row],[Std Ucty]])</f>
        <v>N/A</v>
      </c>
      <c r="Z6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8" s="1" t="str">
        <f>IF(Table1[[#This Row],[Spec Type]]="","N/A",Table1[[#This Row],[Spec Type]])</f>
        <v>±</v>
      </c>
      <c r="AC648" s="1" t="str">
        <f>IF(Table1[[#This Row],[Spec Type2]]="N/A","N/A",IF(AND(Table1[[#This Row],[DUT Adj Read]]&gt;=Table1[[#This Row],[Low Tol]],Table1[[#This Row],[DUT Adj Read]]&lt;=Table1[[#This Row],[High Tol]]),"Pass","Fail"))</f>
        <v>Fail</v>
      </c>
      <c r="AD648" s="1" t="str">
        <f>IF(AND(Table1[[#This Row],[Spec Type2]]="N/A",Table1[[#This Row],[DUT Adj Read]]="N/A",Table1[[#This Row],[Std Adj Read]]="N/A"),"N/A",IF(Table1[[#This Row],[DUT Adj Read]]="N/A",IF(Table1[[#This Row],[Std Adj Read]]&gt;Table1[[#This Row],[Low Tol]],"Pass","Fail"),IF(Table1[[#This Row],[DUT Adj Read]]&gt;Table1[[#This Row],[Low Tol]],"Pass","Fail")))</f>
        <v>Pass</v>
      </c>
      <c r="AE648" s="1" t="str">
        <f>IF(AND(Table1[[#This Row],[Spec Type2]]="N/A",Table1[[#This Row],[DUT Adj Read]]="N/A",Table1[[#This Row],[Std Adj Read]]="N/A"),"N/A",IF(Table1[[#This Row],[DUT Adj Read]]="N/A",IF(Table1[[#This Row],[Std Adj Read]]&lt;Table1[[#This Row],[High Tol]],"Pass","Fail"),IF(Table1[[#This Row],[DUT Adj Read]]&lt;Table1[[#This Row],[High Tol]],"Pass","Fail")))</f>
        <v>Fail</v>
      </c>
      <c r="AF648" s="1" t="str">
        <f>IF(AND(Table1[[#This Row],[Spec Type2]]="N/A",Table1[[#This Row],[DUT Adj Read]]="N/A",Table1[[#This Row],[Std Adj Read]]="N/A"),"N/A",IF(Table1[[#This Row],[DUT Adj Read]]="N/A",IF(Table1[[#This Row],[Std Adj Read]]&gt;=Table1[[#This Row],[Low Tol]],"Pass","Fail"),IF(Table1[[#This Row],[DUT Adj Read]]&gt;=Table1[[#This Row],[Low Tol]],"Pass","Fail")))</f>
        <v>Pass</v>
      </c>
      <c r="AG648" s="1" t="str">
        <f>IF(AND(Table1[[#This Row],[Spec Type2]]="N/A",Table1[[#This Row],[DUT Adj Read]]="N/A",Table1[[#This Row],[Std Adj Read]]="N/A"),"N/A",IF(Table1[[#This Row],[DUT Adj Read]]="N/A",IF(Table1[[#This Row],[Std Adj Read]]&lt;=Table1[[#This Row],[High Tol]],"Pass","Fail"),IF(Table1[[#This Row],[DUT Adj Read]]&lt;=Table1[[#This Row],[High Tol]],"Pass","Fail")))</f>
        <v>Fail</v>
      </c>
      <c r="AH6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8" s="1" t="b">
        <v>0</v>
      </c>
      <c r="AN648" s="1" t="b">
        <v>0</v>
      </c>
      <c r="AO648" s="1" t="b">
        <v>0</v>
      </c>
    </row>
    <row r="649" spans="1:41" x14ac:dyDescent="0.25">
      <c r="A649" s="10"/>
      <c r="B649" s="10"/>
      <c r="C649" s="10"/>
      <c r="D649" s="10"/>
      <c r="E649" s="10"/>
      <c r="F649" s="10"/>
      <c r="G649" s="10"/>
      <c r="H649" s="10"/>
      <c r="I649" s="1" t="str">
        <f t="shared" si="27"/>
        <v/>
      </c>
      <c r="J649" s="1" t="s">
        <v>35</v>
      </c>
      <c r="K649" s="1" t="str">
        <f t="shared" si="28"/>
        <v/>
      </c>
      <c r="L649" s="1" t="str">
        <f t="shared" si="29"/>
        <v/>
      </c>
      <c r="M649" s="1">
        <f>IF(OR(Table1[[#This Row],[Std Nom]]="",Table1[[#This Row],[Std Read]]=""),0,Table1[[#This Row],[Std Nom]]-Table1[[#This Row],[Std Read]])</f>
        <v>0</v>
      </c>
      <c r="N649" s="1">
        <f>IF(Calculations!$F$5="ACCREDITED 17025 WITH UNCERTAINTIES",$N$10,0)</f>
        <v>0</v>
      </c>
      <c r="O649" s="1" t="str">
        <f>IFERROR(Table1[[#This Row],[Std Nom]]-(_xlfn.XLOOKUP(Table1[[#This Row],[Manufacturer]]&amp;" "&amp;Table1[[#This Row],[Model]],Table13[MFR &amp; MDL],Table13[Tolerance % CW ],"")/100*Table1[[#This Row],[Std Nom]]),"")</f>
        <v/>
      </c>
      <c r="P649" s="1" t="str">
        <f>IFERROR(Table1[[#This Row],[Std Nom]]+(_xlfn.XLOOKUP(Table1[[#This Row],[Manufacturer]]&amp;" "&amp;Table1[[#This Row],[Model]],Table13[MFR &amp; MDL],Table13[Tolerance % CW ],"")/100*Table1[[#This Row],[Std Nom]]),"")</f>
        <v/>
      </c>
      <c r="Q649" s="1" t="e">
        <f>Table1[[#This Row],[High Tol]]-Table1[[#This Row],[Low Tol]]</f>
        <v>#VALUE!</v>
      </c>
      <c r="R649" s="1">
        <f>2*Table1[[#This Row],[Std Error]]</f>
        <v>0</v>
      </c>
      <c r="S649" s="1" t="str">
        <f>IF(Table1[[#This Row],[High Tol]]="","N/A",IFERROR(ABS(Table1[[#This Row],[Tol Span]]/Table1[[#This Row],[Error Span]]),"N/A"))</f>
        <v>N/A</v>
      </c>
      <c r="T649" s="1" t="str">
        <f>IF(OR(Table1[[#This Row],[Low Tol]]="",Table1[[#This Row],[High Tol]]=""),"Needs Analysis",IF(Table1[[#This Row],[Ratio]]&gt;=4,"Not Significant",IF(Table1[[#This Row],[Ratio]]&gt;=2,"Semi-Significant","Significant")))</f>
        <v>Needs Analysis</v>
      </c>
      <c r="W649" s="1">
        <f>IF(Table1[[#This Row],[Cal Type]]&lt;&gt;"ACCREDITED 17025 WITH UNCERTAINTIES",0,"")</f>
        <v>0</v>
      </c>
      <c r="X649" s="1" t="str">
        <f>IF(Table1[[#This Row],[DUT Read]]="","N/A",Table1[[#This Row],[Std Error]]+Table1[[#This Row],[DUT Read]]+Table1[[#This Row],[DUT Ucty]])</f>
        <v>N/A</v>
      </c>
      <c r="Y649" s="1" t="str">
        <f>IF(Table1[[#This Row],[Std Read]]="","N/A",Table1[[#This Row],[Std Read]]+Table1[[#This Row],[Std Ucty]])</f>
        <v>N/A</v>
      </c>
      <c r="Z6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9" s="1" t="str">
        <f>IF(Table1[[#This Row],[Spec Type]]="","N/A",Table1[[#This Row],[Spec Type]])</f>
        <v>±</v>
      </c>
      <c r="AC649" s="1" t="str">
        <f>IF(Table1[[#This Row],[Spec Type2]]="N/A","N/A",IF(AND(Table1[[#This Row],[DUT Adj Read]]&gt;=Table1[[#This Row],[Low Tol]],Table1[[#This Row],[DUT Adj Read]]&lt;=Table1[[#This Row],[High Tol]]),"Pass","Fail"))</f>
        <v>Fail</v>
      </c>
      <c r="AD649" s="1" t="str">
        <f>IF(AND(Table1[[#This Row],[Spec Type2]]="N/A",Table1[[#This Row],[DUT Adj Read]]="N/A",Table1[[#This Row],[Std Adj Read]]="N/A"),"N/A",IF(Table1[[#This Row],[DUT Adj Read]]="N/A",IF(Table1[[#This Row],[Std Adj Read]]&gt;Table1[[#This Row],[Low Tol]],"Pass","Fail"),IF(Table1[[#This Row],[DUT Adj Read]]&gt;Table1[[#This Row],[Low Tol]],"Pass","Fail")))</f>
        <v>Pass</v>
      </c>
      <c r="AE649" s="1" t="str">
        <f>IF(AND(Table1[[#This Row],[Spec Type2]]="N/A",Table1[[#This Row],[DUT Adj Read]]="N/A",Table1[[#This Row],[Std Adj Read]]="N/A"),"N/A",IF(Table1[[#This Row],[DUT Adj Read]]="N/A",IF(Table1[[#This Row],[Std Adj Read]]&lt;Table1[[#This Row],[High Tol]],"Pass","Fail"),IF(Table1[[#This Row],[DUT Adj Read]]&lt;Table1[[#This Row],[High Tol]],"Pass","Fail")))</f>
        <v>Fail</v>
      </c>
      <c r="AF649" s="1" t="str">
        <f>IF(AND(Table1[[#This Row],[Spec Type2]]="N/A",Table1[[#This Row],[DUT Adj Read]]="N/A",Table1[[#This Row],[Std Adj Read]]="N/A"),"N/A",IF(Table1[[#This Row],[DUT Adj Read]]="N/A",IF(Table1[[#This Row],[Std Adj Read]]&gt;=Table1[[#This Row],[Low Tol]],"Pass","Fail"),IF(Table1[[#This Row],[DUT Adj Read]]&gt;=Table1[[#This Row],[Low Tol]],"Pass","Fail")))</f>
        <v>Pass</v>
      </c>
      <c r="AG649" s="1" t="str">
        <f>IF(AND(Table1[[#This Row],[Spec Type2]]="N/A",Table1[[#This Row],[DUT Adj Read]]="N/A",Table1[[#This Row],[Std Adj Read]]="N/A"),"N/A",IF(Table1[[#This Row],[DUT Adj Read]]="N/A",IF(Table1[[#This Row],[Std Adj Read]]&lt;=Table1[[#This Row],[High Tol]],"Pass","Fail"),IF(Table1[[#This Row],[DUT Adj Read]]&lt;=Table1[[#This Row],[High Tol]],"Pass","Fail")))</f>
        <v>Fail</v>
      </c>
      <c r="AH6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9" s="1" t="b">
        <v>0</v>
      </c>
      <c r="AN649" s="1" t="b">
        <v>0</v>
      </c>
      <c r="AO649" s="1" t="b">
        <v>0</v>
      </c>
    </row>
    <row r="650" spans="1:41" x14ac:dyDescent="0.25">
      <c r="A650" s="10"/>
      <c r="B650" s="10"/>
      <c r="C650" s="10"/>
      <c r="D650" s="10"/>
      <c r="E650" s="10"/>
      <c r="F650" s="10"/>
      <c r="G650" s="10"/>
      <c r="H650" s="10"/>
      <c r="I650" s="1" t="str">
        <f t="shared" si="27"/>
        <v/>
      </c>
      <c r="J650" s="1" t="s">
        <v>35</v>
      </c>
      <c r="K650" s="1" t="str">
        <f t="shared" si="28"/>
        <v/>
      </c>
      <c r="L650" s="1" t="str">
        <f t="shared" si="29"/>
        <v/>
      </c>
      <c r="M650" s="1">
        <f>IF(OR(Table1[[#This Row],[Std Nom]]="",Table1[[#This Row],[Std Read]]=""),0,Table1[[#This Row],[Std Nom]]-Table1[[#This Row],[Std Read]])</f>
        <v>0</v>
      </c>
      <c r="N650" s="1">
        <f>IF(Calculations!$F$5="ACCREDITED 17025 WITH UNCERTAINTIES",$N$10,0)</f>
        <v>0</v>
      </c>
      <c r="O650" s="1" t="str">
        <f>IFERROR(Table1[[#This Row],[Std Nom]]-(_xlfn.XLOOKUP(Table1[[#This Row],[Manufacturer]]&amp;" "&amp;Table1[[#This Row],[Model]],Table13[MFR &amp; MDL],Table13[Tolerance % CW ],"")/100*Table1[[#This Row],[Std Nom]]),"")</f>
        <v/>
      </c>
      <c r="P650" s="1" t="str">
        <f>IFERROR(Table1[[#This Row],[Std Nom]]+(_xlfn.XLOOKUP(Table1[[#This Row],[Manufacturer]]&amp;" "&amp;Table1[[#This Row],[Model]],Table13[MFR &amp; MDL],Table13[Tolerance % CW ],"")/100*Table1[[#This Row],[Std Nom]]),"")</f>
        <v/>
      </c>
      <c r="Q650" s="1" t="e">
        <f>Table1[[#This Row],[High Tol]]-Table1[[#This Row],[Low Tol]]</f>
        <v>#VALUE!</v>
      </c>
      <c r="R650" s="1">
        <f>2*Table1[[#This Row],[Std Error]]</f>
        <v>0</v>
      </c>
      <c r="S650" s="1" t="str">
        <f>IF(Table1[[#This Row],[High Tol]]="","N/A",IFERROR(ABS(Table1[[#This Row],[Tol Span]]/Table1[[#This Row],[Error Span]]),"N/A"))</f>
        <v>N/A</v>
      </c>
      <c r="T650" s="1" t="str">
        <f>IF(OR(Table1[[#This Row],[Low Tol]]="",Table1[[#This Row],[High Tol]]=""),"Needs Analysis",IF(Table1[[#This Row],[Ratio]]&gt;=4,"Not Significant",IF(Table1[[#This Row],[Ratio]]&gt;=2,"Semi-Significant","Significant")))</f>
        <v>Needs Analysis</v>
      </c>
      <c r="W650" s="1">
        <f>IF(Table1[[#This Row],[Cal Type]]&lt;&gt;"ACCREDITED 17025 WITH UNCERTAINTIES",0,"")</f>
        <v>0</v>
      </c>
      <c r="X650" s="1" t="str">
        <f>IF(Table1[[#This Row],[DUT Read]]="","N/A",Table1[[#This Row],[Std Error]]+Table1[[#This Row],[DUT Read]]+Table1[[#This Row],[DUT Ucty]])</f>
        <v>N/A</v>
      </c>
      <c r="Y650" s="1" t="str">
        <f>IF(Table1[[#This Row],[Std Read]]="","N/A",Table1[[#This Row],[Std Read]]+Table1[[#This Row],[Std Ucty]])</f>
        <v>N/A</v>
      </c>
      <c r="Z6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0" s="1" t="str">
        <f>IF(Table1[[#This Row],[Spec Type]]="","N/A",Table1[[#This Row],[Spec Type]])</f>
        <v>±</v>
      </c>
      <c r="AC650" s="1" t="str">
        <f>IF(Table1[[#This Row],[Spec Type2]]="N/A","N/A",IF(AND(Table1[[#This Row],[DUT Adj Read]]&gt;=Table1[[#This Row],[Low Tol]],Table1[[#This Row],[DUT Adj Read]]&lt;=Table1[[#This Row],[High Tol]]),"Pass","Fail"))</f>
        <v>Fail</v>
      </c>
      <c r="AD650" s="1" t="str">
        <f>IF(AND(Table1[[#This Row],[Spec Type2]]="N/A",Table1[[#This Row],[DUT Adj Read]]="N/A",Table1[[#This Row],[Std Adj Read]]="N/A"),"N/A",IF(Table1[[#This Row],[DUT Adj Read]]="N/A",IF(Table1[[#This Row],[Std Adj Read]]&gt;Table1[[#This Row],[Low Tol]],"Pass","Fail"),IF(Table1[[#This Row],[DUT Adj Read]]&gt;Table1[[#This Row],[Low Tol]],"Pass","Fail")))</f>
        <v>Pass</v>
      </c>
      <c r="AE650" s="1" t="str">
        <f>IF(AND(Table1[[#This Row],[Spec Type2]]="N/A",Table1[[#This Row],[DUT Adj Read]]="N/A",Table1[[#This Row],[Std Adj Read]]="N/A"),"N/A",IF(Table1[[#This Row],[DUT Adj Read]]="N/A",IF(Table1[[#This Row],[Std Adj Read]]&lt;Table1[[#This Row],[High Tol]],"Pass","Fail"),IF(Table1[[#This Row],[DUT Adj Read]]&lt;Table1[[#This Row],[High Tol]],"Pass","Fail")))</f>
        <v>Fail</v>
      </c>
      <c r="AF650" s="1" t="str">
        <f>IF(AND(Table1[[#This Row],[Spec Type2]]="N/A",Table1[[#This Row],[DUT Adj Read]]="N/A",Table1[[#This Row],[Std Adj Read]]="N/A"),"N/A",IF(Table1[[#This Row],[DUT Adj Read]]="N/A",IF(Table1[[#This Row],[Std Adj Read]]&gt;=Table1[[#This Row],[Low Tol]],"Pass","Fail"),IF(Table1[[#This Row],[DUT Adj Read]]&gt;=Table1[[#This Row],[Low Tol]],"Pass","Fail")))</f>
        <v>Pass</v>
      </c>
      <c r="AG650" s="1" t="str">
        <f>IF(AND(Table1[[#This Row],[Spec Type2]]="N/A",Table1[[#This Row],[DUT Adj Read]]="N/A",Table1[[#This Row],[Std Adj Read]]="N/A"),"N/A",IF(Table1[[#This Row],[DUT Adj Read]]="N/A",IF(Table1[[#This Row],[Std Adj Read]]&lt;=Table1[[#This Row],[High Tol]],"Pass","Fail"),IF(Table1[[#This Row],[DUT Adj Read]]&lt;=Table1[[#This Row],[High Tol]],"Pass","Fail")))</f>
        <v>Fail</v>
      </c>
      <c r="AH6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0" s="1" t="b">
        <v>0</v>
      </c>
      <c r="AN650" s="1" t="b">
        <v>0</v>
      </c>
      <c r="AO650" s="1" t="b">
        <v>0</v>
      </c>
    </row>
    <row r="651" spans="1:41" x14ac:dyDescent="0.25">
      <c r="A651" s="10"/>
      <c r="B651" s="10"/>
      <c r="C651" s="10"/>
      <c r="D651" s="10"/>
      <c r="E651" s="10"/>
      <c r="F651" s="10"/>
      <c r="G651" s="10"/>
      <c r="H651" s="10"/>
      <c r="I651" s="1" t="str">
        <f t="shared" ref="I651:I714" si="30">IF($I$10="","",$I$10)</f>
        <v/>
      </c>
      <c r="J651" s="1" t="s">
        <v>35</v>
      </c>
      <c r="K651" s="1" t="str">
        <f t="shared" ref="K651:K714" si="31">IF($K$10="","",$K$10)</f>
        <v/>
      </c>
      <c r="L651" s="1" t="str">
        <f t="shared" ref="L651:L714" si="32">IF($L$10="","",$L$10)</f>
        <v/>
      </c>
      <c r="M651" s="1">
        <f>IF(OR(Table1[[#This Row],[Std Nom]]="",Table1[[#This Row],[Std Read]]=""),0,Table1[[#This Row],[Std Nom]]-Table1[[#This Row],[Std Read]])</f>
        <v>0</v>
      </c>
      <c r="N651" s="1">
        <f>IF(Calculations!$F$5="ACCREDITED 17025 WITH UNCERTAINTIES",$N$10,0)</f>
        <v>0</v>
      </c>
      <c r="O651" s="1" t="str">
        <f>IFERROR(Table1[[#This Row],[Std Nom]]-(_xlfn.XLOOKUP(Table1[[#This Row],[Manufacturer]]&amp;" "&amp;Table1[[#This Row],[Model]],Table13[MFR &amp; MDL],Table13[Tolerance % CW ],"")/100*Table1[[#This Row],[Std Nom]]),"")</f>
        <v/>
      </c>
      <c r="P651" s="1" t="str">
        <f>IFERROR(Table1[[#This Row],[Std Nom]]+(_xlfn.XLOOKUP(Table1[[#This Row],[Manufacturer]]&amp;" "&amp;Table1[[#This Row],[Model]],Table13[MFR &amp; MDL],Table13[Tolerance % CW ],"")/100*Table1[[#This Row],[Std Nom]]),"")</f>
        <v/>
      </c>
      <c r="Q651" s="1" t="e">
        <f>Table1[[#This Row],[High Tol]]-Table1[[#This Row],[Low Tol]]</f>
        <v>#VALUE!</v>
      </c>
      <c r="R651" s="1">
        <f>2*Table1[[#This Row],[Std Error]]</f>
        <v>0</v>
      </c>
      <c r="S651" s="1" t="str">
        <f>IF(Table1[[#This Row],[High Tol]]="","N/A",IFERROR(ABS(Table1[[#This Row],[Tol Span]]/Table1[[#This Row],[Error Span]]),"N/A"))</f>
        <v>N/A</v>
      </c>
      <c r="T651" s="1" t="str">
        <f>IF(OR(Table1[[#This Row],[Low Tol]]="",Table1[[#This Row],[High Tol]]=""),"Needs Analysis",IF(Table1[[#This Row],[Ratio]]&gt;=4,"Not Significant",IF(Table1[[#This Row],[Ratio]]&gt;=2,"Semi-Significant","Significant")))</f>
        <v>Needs Analysis</v>
      </c>
      <c r="W651" s="1">
        <f>IF(Table1[[#This Row],[Cal Type]]&lt;&gt;"ACCREDITED 17025 WITH UNCERTAINTIES",0,"")</f>
        <v>0</v>
      </c>
      <c r="X651" s="1" t="str">
        <f>IF(Table1[[#This Row],[DUT Read]]="","N/A",Table1[[#This Row],[Std Error]]+Table1[[#This Row],[DUT Read]]+Table1[[#This Row],[DUT Ucty]])</f>
        <v>N/A</v>
      </c>
      <c r="Y651" s="1" t="str">
        <f>IF(Table1[[#This Row],[Std Read]]="","N/A",Table1[[#This Row],[Std Read]]+Table1[[#This Row],[Std Ucty]])</f>
        <v>N/A</v>
      </c>
      <c r="Z6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1" s="1" t="str">
        <f>IF(Table1[[#This Row],[Spec Type]]="","N/A",Table1[[#This Row],[Spec Type]])</f>
        <v>±</v>
      </c>
      <c r="AC651" s="1" t="str">
        <f>IF(Table1[[#This Row],[Spec Type2]]="N/A","N/A",IF(AND(Table1[[#This Row],[DUT Adj Read]]&gt;=Table1[[#This Row],[Low Tol]],Table1[[#This Row],[DUT Adj Read]]&lt;=Table1[[#This Row],[High Tol]]),"Pass","Fail"))</f>
        <v>Fail</v>
      </c>
      <c r="AD651" s="1" t="str">
        <f>IF(AND(Table1[[#This Row],[Spec Type2]]="N/A",Table1[[#This Row],[DUT Adj Read]]="N/A",Table1[[#This Row],[Std Adj Read]]="N/A"),"N/A",IF(Table1[[#This Row],[DUT Adj Read]]="N/A",IF(Table1[[#This Row],[Std Adj Read]]&gt;Table1[[#This Row],[Low Tol]],"Pass","Fail"),IF(Table1[[#This Row],[DUT Adj Read]]&gt;Table1[[#This Row],[Low Tol]],"Pass","Fail")))</f>
        <v>Pass</v>
      </c>
      <c r="AE651" s="1" t="str">
        <f>IF(AND(Table1[[#This Row],[Spec Type2]]="N/A",Table1[[#This Row],[DUT Adj Read]]="N/A",Table1[[#This Row],[Std Adj Read]]="N/A"),"N/A",IF(Table1[[#This Row],[DUT Adj Read]]="N/A",IF(Table1[[#This Row],[Std Adj Read]]&lt;Table1[[#This Row],[High Tol]],"Pass","Fail"),IF(Table1[[#This Row],[DUT Adj Read]]&lt;Table1[[#This Row],[High Tol]],"Pass","Fail")))</f>
        <v>Fail</v>
      </c>
      <c r="AF651" s="1" t="str">
        <f>IF(AND(Table1[[#This Row],[Spec Type2]]="N/A",Table1[[#This Row],[DUT Adj Read]]="N/A",Table1[[#This Row],[Std Adj Read]]="N/A"),"N/A",IF(Table1[[#This Row],[DUT Adj Read]]="N/A",IF(Table1[[#This Row],[Std Adj Read]]&gt;=Table1[[#This Row],[Low Tol]],"Pass","Fail"),IF(Table1[[#This Row],[DUT Adj Read]]&gt;=Table1[[#This Row],[Low Tol]],"Pass","Fail")))</f>
        <v>Pass</v>
      </c>
      <c r="AG651" s="1" t="str">
        <f>IF(AND(Table1[[#This Row],[Spec Type2]]="N/A",Table1[[#This Row],[DUT Adj Read]]="N/A",Table1[[#This Row],[Std Adj Read]]="N/A"),"N/A",IF(Table1[[#This Row],[DUT Adj Read]]="N/A",IF(Table1[[#This Row],[Std Adj Read]]&lt;=Table1[[#This Row],[High Tol]],"Pass","Fail"),IF(Table1[[#This Row],[DUT Adj Read]]&lt;=Table1[[#This Row],[High Tol]],"Pass","Fail")))</f>
        <v>Fail</v>
      </c>
      <c r="AH6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1" s="1" t="b">
        <v>0</v>
      </c>
      <c r="AN651" s="1" t="b">
        <v>0</v>
      </c>
      <c r="AO651" s="1" t="b">
        <v>0</v>
      </c>
    </row>
    <row r="652" spans="1:41" x14ac:dyDescent="0.25">
      <c r="A652" s="10"/>
      <c r="B652" s="10"/>
      <c r="C652" s="10"/>
      <c r="D652" s="10"/>
      <c r="E652" s="10"/>
      <c r="F652" s="10"/>
      <c r="G652" s="10"/>
      <c r="H652" s="10"/>
      <c r="I652" s="1" t="str">
        <f t="shared" si="30"/>
        <v/>
      </c>
      <c r="J652" s="1" t="s">
        <v>35</v>
      </c>
      <c r="K652" s="1" t="str">
        <f t="shared" si="31"/>
        <v/>
      </c>
      <c r="L652" s="1" t="str">
        <f t="shared" si="32"/>
        <v/>
      </c>
      <c r="M652" s="1">
        <f>IF(OR(Table1[[#This Row],[Std Nom]]="",Table1[[#This Row],[Std Read]]=""),0,Table1[[#This Row],[Std Nom]]-Table1[[#This Row],[Std Read]])</f>
        <v>0</v>
      </c>
      <c r="N652" s="1">
        <f>IF(Calculations!$F$5="ACCREDITED 17025 WITH UNCERTAINTIES",$N$10,0)</f>
        <v>0</v>
      </c>
      <c r="O652" s="1" t="str">
        <f>IFERROR(Table1[[#This Row],[Std Nom]]-(_xlfn.XLOOKUP(Table1[[#This Row],[Manufacturer]]&amp;" "&amp;Table1[[#This Row],[Model]],Table13[MFR &amp; MDL],Table13[Tolerance % CW ],"")/100*Table1[[#This Row],[Std Nom]]),"")</f>
        <v/>
      </c>
      <c r="P652" s="1" t="str">
        <f>IFERROR(Table1[[#This Row],[Std Nom]]+(_xlfn.XLOOKUP(Table1[[#This Row],[Manufacturer]]&amp;" "&amp;Table1[[#This Row],[Model]],Table13[MFR &amp; MDL],Table13[Tolerance % CW ],"")/100*Table1[[#This Row],[Std Nom]]),"")</f>
        <v/>
      </c>
      <c r="Q652" s="1" t="e">
        <f>Table1[[#This Row],[High Tol]]-Table1[[#This Row],[Low Tol]]</f>
        <v>#VALUE!</v>
      </c>
      <c r="R652" s="1">
        <f>2*Table1[[#This Row],[Std Error]]</f>
        <v>0</v>
      </c>
      <c r="S652" s="1" t="str">
        <f>IF(Table1[[#This Row],[High Tol]]="","N/A",IFERROR(ABS(Table1[[#This Row],[Tol Span]]/Table1[[#This Row],[Error Span]]),"N/A"))</f>
        <v>N/A</v>
      </c>
      <c r="T652" s="1" t="str">
        <f>IF(OR(Table1[[#This Row],[Low Tol]]="",Table1[[#This Row],[High Tol]]=""),"Needs Analysis",IF(Table1[[#This Row],[Ratio]]&gt;=4,"Not Significant",IF(Table1[[#This Row],[Ratio]]&gt;=2,"Semi-Significant","Significant")))</f>
        <v>Needs Analysis</v>
      </c>
      <c r="W652" s="1">
        <f>IF(Table1[[#This Row],[Cal Type]]&lt;&gt;"ACCREDITED 17025 WITH UNCERTAINTIES",0,"")</f>
        <v>0</v>
      </c>
      <c r="X652" s="1" t="str">
        <f>IF(Table1[[#This Row],[DUT Read]]="","N/A",Table1[[#This Row],[Std Error]]+Table1[[#This Row],[DUT Read]]+Table1[[#This Row],[DUT Ucty]])</f>
        <v>N/A</v>
      </c>
      <c r="Y652" s="1" t="str">
        <f>IF(Table1[[#This Row],[Std Read]]="","N/A",Table1[[#This Row],[Std Read]]+Table1[[#This Row],[Std Ucty]])</f>
        <v>N/A</v>
      </c>
      <c r="Z6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2" s="1" t="str">
        <f>IF(Table1[[#This Row],[Spec Type]]="","N/A",Table1[[#This Row],[Spec Type]])</f>
        <v>±</v>
      </c>
      <c r="AC652" s="1" t="str">
        <f>IF(Table1[[#This Row],[Spec Type2]]="N/A","N/A",IF(AND(Table1[[#This Row],[DUT Adj Read]]&gt;=Table1[[#This Row],[Low Tol]],Table1[[#This Row],[DUT Adj Read]]&lt;=Table1[[#This Row],[High Tol]]),"Pass","Fail"))</f>
        <v>Fail</v>
      </c>
      <c r="AD652" s="1" t="str">
        <f>IF(AND(Table1[[#This Row],[Spec Type2]]="N/A",Table1[[#This Row],[DUT Adj Read]]="N/A",Table1[[#This Row],[Std Adj Read]]="N/A"),"N/A",IF(Table1[[#This Row],[DUT Adj Read]]="N/A",IF(Table1[[#This Row],[Std Adj Read]]&gt;Table1[[#This Row],[Low Tol]],"Pass","Fail"),IF(Table1[[#This Row],[DUT Adj Read]]&gt;Table1[[#This Row],[Low Tol]],"Pass","Fail")))</f>
        <v>Pass</v>
      </c>
      <c r="AE652" s="1" t="str">
        <f>IF(AND(Table1[[#This Row],[Spec Type2]]="N/A",Table1[[#This Row],[DUT Adj Read]]="N/A",Table1[[#This Row],[Std Adj Read]]="N/A"),"N/A",IF(Table1[[#This Row],[DUT Adj Read]]="N/A",IF(Table1[[#This Row],[Std Adj Read]]&lt;Table1[[#This Row],[High Tol]],"Pass","Fail"),IF(Table1[[#This Row],[DUT Adj Read]]&lt;Table1[[#This Row],[High Tol]],"Pass","Fail")))</f>
        <v>Fail</v>
      </c>
      <c r="AF652" s="1" t="str">
        <f>IF(AND(Table1[[#This Row],[Spec Type2]]="N/A",Table1[[#This Row],[DUT Adj Read]]="N/A",Table1[[#This Row],[Std Adj Read]]="N/A"),"N/A",IF(Table1[[#This Row],[DUT Adj Read]]="N/A",IF(Table1[[#This Row],[Std Adj Read]]&gt;=Table1[[#This Row],[Low Tol]],"Pass","Fail"),IF(Table1[[#This Row],[DUT Adj Read]]&gt;=Table1[[#This Row],[Low Tol]],"Pass","Fail")))</f>
        <v>Pass</v>
      </c>
      <c r="AG652" s="1" t="str">
        <f>IF(AND(Table1[[#This Row],[Spec Type2]]="N/A",Table1[[#This Row],[DUT Adj Read]]="N/A",Table1[[#This Row],[Std Adj Read]]="N/A"),"N/A",IF(Table1[[#This Row],[DUT Adj Read]]="N/A",IF(Table1[[#This Row],[Std Adj Read]]&lt;=Table1[[#This Row],[High Tol]],"Pass","Fail"),IF(Table1[[#This Row],[DUT Adj Read]]&lt;=Table1[[#This Row],[High Tol]],"Pass","Fail")))</f>
        <v>Fail</v>
      </c>
      <c r="AH6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2" s="1" t="b">
        <v>0</v>
      </c>
      <c r="AN652" s="1" t="b">
        <v>0</v>
      </c>
      <c r="AO652" s="1" t="b">
        <v>0</v>
      </c>
    </row>
    <row r="653" spans="1:41" x14ac:dyDescent="0.25">
      <c r="A653" s="10"/>
      <c r="B653" s="10"/>
      <c r="C653" s="10"/>
      <c r="D653" s="10"/>
      <c r="E653" s="10"/>
      <c r="F653" s="10"/>
      <c r="G653" s="10"/>
      <c r="H653" s="10"/>
      <c r="I653" s="1" t="str">
        <f t="shared" si="30"/>
        <v/>
      </c>
      <c r="J653" s="1" t="s">
        <v>35</v>
      </c>
      <c r="K653" s="1" t="str">
        <f t="shared" si="31"/>
        <v/>
      </c>
      <c r="L653" s="1" t="str">
        <f t="shared" si="32"/>
        <v/>
      </c>
      <c r="M653" s="1">
        <f>IF(OR(Table1[[#This Row],[Std Nom]]="",Table1[[#This Row],[Std Read]]=""),0,Table1[[#This Row],[Std Nom]]-Table1[[#This Row],[Std Read]])</f>
        <v>0</v>
      </c>
      <c r="N653" s="1">
        <f>IF(Calculations!$F$5="ACCREDITED 17025 WITH UNCERTAINTIES",$N$10,0)</f>
        <v>0</v>
      </c>
      <c r="O653" s="1" t="str">
        <f>IFERROR(Table1[[#This Row],[Std Nom]]-(_xlfn.XLOOKUP(Table1[[#This Row],[Manufacturer]]&amp;" "&amp;Table1[[#This Row],[Model]],Table13[MFR &amp; MDL],Table13[Tolerance % CW ],"")/100*Table1[[#This Row],[Std Nom]]),"")</f>
        <v/>
      </c>
      <c r="P653" s="1" t="str">
        <f>IFERROR(Table1[[#This Row],[Std Nom]]+(_xlfn.XLOOKUP(Table1[[#This Row],[Manufacturer]]&amp;" "&amp;Table1[[#This Row],[Model]],Table13[MFR &amp; MDL],Table13[Tolerance % CW ],"")/100*Table1[[#This Row],[Std Nom]]),"")</f>
        <v/>
      </c>
      <c r="Q653" s="1" t="e">
        <f>Table1[[#This Row],[High Tol]]-Table1[[#This Row],[Low Tol]]</f>
        <v>#VALUE!</v>
      </c>
      <c r="R653" s="1">
        <f>2*Table1[[#This Row],[Std Error]]</f>
        <v>0</v>
      </c>
      <c r="S653" s="1" t="str">
        <f>IF(Table1[[#This Row],[High Tol]]="","N/A",IFERROR(ABS(Table1[[#This Row],[Tol Span]]/Table1[[#This Row],[Error Span]]),"N/A"))</f>
        <v>N/A</v>
      </c>
      <c r="T653" s="1" t="str">
        <f>IF(OR(Table1[[#This Row],[Low Tol]]="",Table1[[#This Row],[High Tol]]=""),"Needs Analysis",IF(Table1[[#This Row],[Ratio]]&gt;=4,"Not Significant",IF(Table1[[#This Row],[Ratio]]&gt;=2,"Semi-Significant","Significant")))</f>
        <v>Needs Analysis</v>
      </c>
      <c r="W653" s="1">
        <f>IF(Table1[[#This Row],[Cal Type]]&lt;&gt;"ACCREDITED 17025 WITH UNCERTAINTIES",0,"")</f>
        <v>0</v>
      </c>
      <c r="X653" s="1" t="str">
        <f>IF(Table1[[#This Row],[DUT Read]]="","N/A",Table1[[#This Row],[Std Error]]+Table1[[#This Row],[DUT Read]]+Table1[[#This Row],[DUT Ucty]])</f>
        <v>N/A</v>
      </c>
      <c r="Y653" s="1" t="str">
        <f>IF(Table1[[#This Row],[Std Read]]="","N/A",Table1[[#This Row],[Std Read]]+Table1[[#This Row],[Std Ucty]])</f>
        <v>N/A</v>
      </c>
      <c r="Z6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3" s="1" t="str">
        <f>IF(Table1[[#This Row],[Spec Type]]="","N/A",Table1[[#This Row],[Spec Type]])</f>
        <v>±</v>
      </c>
      <c r="AC653" s="1" t="str">
        <f>IF(Table1[[#This Row],[Spec Type2]]="N/A","N/A",IF(AND(Table1[[#This Row],[DUT Adj Read]]&gt;=Table1[[#This Row],[Low Tol]],Table1[[#This Row],[DUT Adj Read]]&lt;=Table1[[#This Row],[High Tol]]),"Pass","Fail"))</f>
        <v>Fail</v>
      </c>
      <c r="AD653" s="1" t="str">
        <f>IF(AND(Table1[[#This Row],[Spec Type2]]="N/A",Table1[[#This Row],[DUT Adj Read]]="N/A",Table1[[#This Row],[Std Adj Read]]="N/A"),"N/A",IF(Table1[[#This Row],[DUT Adj Read]]="N/A",IF(Table1[[#This Row],[Std Adj Read]]&gt;Table1[[#This Row],[Low Tol]],"Pass","Fail"),IF(Table1[[#This Row],[DUT Adj Read]]&gt;Table1[[#This Row],[Low Tol]],"Pass","Fail")))</f>
        <v>Pass</v>
      </c>
      <c r="AE653" s="1" t="str">
        <f>IF(AND(Table1[[#This Row],[Spec Type2]]="N/A",Table1[[#This Row],[DUT Adj Read]]="N/A",Table1[[#This Row],[Std Adj Read]]="N/A"),"N/A",IF(Table1[[#This Row],[DUT Adj Read]]="N/A",IF(Table1[[#This Row],[Std Adj Read]]&lt;Table1[[#This Row],[High Tol]],"Pass","Fail"),IF(Table1[[#This Row],[DUT Adj Read]]&lt;Table1[[#This Row],[High Tol]],"Pass","Fail")))</f>
        <v>Fail</v>
      </c>
      <c r="AF653" s="1" t="str">
        <f>IF(AND(Table1[[#This Row],[Spec Type2]]="N/A",Table1[[#This Row],[DUT Adj Read]]="N/A",Table1[[#This Row],[Std Adj Read]]="N/A"),"N/A",IF(Table1[[#This Row],[DUT Adj Read]]="N/A",IF(Table1[[#This Row],[Std Adj Read]]&gt;=Table1[[#This Row],[Low Tol]],"Pass","Fail"),IF(Table1[[#This Row],[DUT Adj Read]]&gt;=Table1[[#This Row],[Low Tol]],"Pass","Fail")))</f>
        <v>Pass</v>
      </c>
      <c r="AG653" s="1" t="str">
        <f>IF(AND(Table1[[#This Row],[Spec Type2]]="N/A",Table1[[#This Row],[DUT Adj Read]]="N/A",Table1[[#This Row],[Std Adj Read]]="N/A"),"N/A",IF(Table1[[#This Row],[DUT Adj Read]]="N/A",IF(Table1[[#This Row],[Std Adj Read]]&lt;=Table1[[#This Row],[High Tol]],"Pass","Fail"),IF(Table1[[#This Row],[DUT Adj Read]]&lt;=Table1[[#This Row],[High Tol]],"Pass","Fail")))</f>
        <v>Fail</v>
      </c>
      <c r="AH6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3" s="1" t="b">
        <v>0</v>
      </c>
      <c r="AN653" s="1" t="b">
        <v>0</v>
      </c>
      <c r="AO653" s="1" t="b">
        <v>0</v>
      </c>
    </row>
    <row r="654" spans="1:41" x14ac:dyDescent="0.25">
      <c r="A654" s="10"/>
      <c r="B654" s="10"/>
      <c r="C654" s="10"/>
      <c r="D654" s="10"/>
      <c r="E654" s="10"/>
      <c r="F654" s="10"/>
      <c r="G654" s="10"/>
      <c r="H654" s="10"/>
      <c r="I654" s="1" t="str">
        <f t="shared" si="30"/>
        <v/>
      </c>
      <c r="J654" s="1" t="s">
        <v>35</v>
      </c>
      <c r="K654" s="1" t="str">
        <f t="shared" si="31"/>
        <v/>
      </c>
      <c r="L654" s="1" t="str">
        <f t="shared" si="32"/>
        <v/>
      </c>
      <c r="M654" s="1">
        <f>IF(OR(Table1[[#This Row],[Std Nom]]="",Table1[[#This Row],[Std Read]]=""),0,Table1[[#This Row],[Std Nom]]-Table1[[#This Row],[Std Read]])</f>
        <v>0</v>
      </c>
      <c r="N654" s="1">
        <f>IF(Calculations!$F$5="ACCREDITED 17025 WITH UNCERTAINTIES",$N$10,0)</f>
        <v>0</v>
      </c>
      <c r="O654" s="1" t="str">
        <f>IFERROR(Table1[[#This Row],[Std Nom]]-(_xlfn.XLOOKUP(Table1[[#This Row],[Manufacturer]]&amp;" "&amp;Table1[[#This Row],[Model]],Table13[MFR &amp; MDL],Table13[Tolerance % CW ],"")/100*Table1[[#This Row],[Std Nom]]),"")</f>
        <v/>
      </c>
      <c r="P654" s="1" t="str">
        <f>IFERROR(Table1[[#This Row],[Std Nom]]+(_xlfn.XLOOKUP(Table1[[#This Row],[Manufacturer]]&amp;" "&amp;Table1[[#This Row],[Model]],Table13[MFR &amp; MDL],Table13[Tolerance % CW ],"")/100*Table1[[#This Row],[Std Nom]]),"")</f>
        <v/>
      </c>
      <c r="Q654" s="1" t="e">
        <f>Table1[[#This Row],[High Tol]]-Table1[[#This Row],[Low Tol]]</f>
        <v>#VALUE!</v>
      </c>
      <c r="R654" s="1">
        <f>2*Table1[[#This Row],[Std Error]]</f>
        <v>0</v>
      </c>
      <c r="S654" s="1" t="str">
        <f>IF(Table1[[#This Row],[High Tol]]="","N/A",IFERROR(ABS(Table1[[#This Row],[Tol Span]]/Table1[[#This Row],[Error Span]]),"N/A"))</f>
        <v>N/A</v>
      </c>
      <c r="T654" s="1" t="str">
        <f>IF(OR(Table1[[#This Row],[Low Tol]]="",Table1[[#This Row],[High Tol]]=""),"Needs Analysis",IF(Table1[[#This Row],[Ratio]]&gt;=4,"Not Significant",IF(Table1[[#This Row],[Ratio]]&gt;=2,"Semi-Significant","Significant")))</f>
        <v>Needs Analysis</v>
      </c>
      <c r="W654" s="1">
        <f>IF(Table1[[#This Row],[Cal Type]]&lt;&gt;"ACCREDITED 17025 WITH UNCERTAINTIES",0,"")</f>
        <v>0</v>
      </c>
      <c r="X654" s="1" t="str">
        <f>IF(Table1[[#This Row],[DUT Read]]="","N/A",Table1[[#This Row],[Std Error]]+Table1[[#This Row],[DUT Read]]+Table1[[#This Row],[DUT Ucty]])</f>
        <v>N/A</v>
      </c>
      <c r="Y654" s="1" t="str">
        <f>IF(Table1[[#This Row],[Std Read]]="","N/A",Table1[[#This Row],[Std Read]]+Table1[[#This Row],[Std Ucty]])</f>
        <v>N/A</v>
      </c>
      <c r="Z6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4" s="1" t="str">
        <f>IF(Table1[[#This Row],[Spec Type]]="","N/A",Table1[[#This Row],[Spec Type]])</f>
        <v>±</v>
      </c>
      <c r="AC654" s="1" t="str">
        <f>IF(Table1[[#This Row],[Spec Type2]]="N/A","N/A",IF(AND(Table1[[#This Row],[DUT Adj Read]]&gt;=Table1[[#This Row],[Low Tol]],Table1[[#This Row],[DUT Adj Read]]&lt;=Table1[[#This Row],[High Tol]]),"Pass","Fail"))</f>
        <v>Fail</v>
      </c>
      <c r="AD654" s="1" t="str">
        <f>IF(AND(Table1[[#This Row],[Spec Type2]]="N/A",Table1[[#This Row],[DUT Adj Read]]="N/A",Table1[[#This Row],[Std Adj Read]]="N/A"),"N/A",IF(Table1[[#This Row],[DUT Adj Read]]="N/A",IF(Table1[[#This Row],[Std Adj Read]]&gt;Table1[[#This Row],[Low Tol]],"Pass","Fail"),IF(Table1[[#This Row],[DUT Adj Read]]&gt;Table1[[#This Row],[Low Tol]],"Pass","Fail")))</f>
        <v>Pass</v>
      </c>
      <c r="AE654" s="1" t="str">
        <f>IF(AND(Table1[[#This Row],[Spec Type2]]="N/A",Table1[[#This Row],[DUT Adj Read]]="N/A",Table1[[#This Row],[Std Adj Read]]="N/A"),"N/A",IF(Table1[[#This Row],[DUT Adj Read]]="N/A",IF(Table1[[#This Row],[Std Adj Read]]&lt;Table1[[#This Row],[High Tol]],"Pass","Fail"),IF(Table1[[#This Row],[DUT Adj Read]]&lt;Table1[[#This Row],[High Tol]],"Pass","Fail")))</f>
        <v>Fail</v>
      </c>
      <c r="AF654" s="1" t="str">
        <f>IF(AND(Table1[[#This Row],[Spec Type2]]="N/A",Table1[[#This Row],[DUT Adj Read]]="N/A",Table1[[#This Row],[Std Adj Read]]="N/A"),"N/A",IF(Table1[[#This Row],[DUT Adj Read]]="N/A",IF(Table1[[#This Row],[Std Adj Read]]&gt;=Table1[[#This Row],[Low Tol]],"Pass","Fail"),IF(Table1[[#This Row],[DUT Adj Read]]&gt;=Table1[[#This Row],[Low Tol]],"Pass","Fail")))</f>
        <v>Pass</v>
      </c>
      <c r="AG654" s="1" t="str">
        <f>IF(AND(Table1[[#This Row],[Spec Type2]]="N/A",Table1[[#This Row],[DUT Adj Read]]="N/A",Table1[[#This Row],[Std Adj Read]]="N/A"),"N/A",IF(Table1[[#This Row],[DUT Adj Read]]="N/A",IF(Table1[[#This Row],[Std Adj Read]]&lt;=Table1[[#This Row],[High Tol]],"Pass","Fail"),IF(Table1[[#This Row],[DUT Adj Read]]&lt;=Table1[[#This Row],[High Tol]],"Pass","Fail")))</f>
        <v>Fail</v>
      </c>
      <c r="AH6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4" s="1" t="b">
        <v>0</v>
      </c>
      <c r="AN654" s="1" t="b">
        <v>0</v>
      </c>
      <c r="AO654" s="1" t="b">
        <v>0</v>
      </c>
    </row>
    <row r="655" spans="1:41" x14ac:dyDescent="0.25">
      <c r="A655" s="10"/>
      <c r="B655" s="10"/>
      <c r="C655" s="10"/>
      <c r="D655" s="10"/>
      <c r="E655" s="10"/>
      <c r="F655" s="10"/>
      <c r="G655" s="10"/>
      <c r="H655" s="10"/>
      <c r="I655" s="1" t="str">
        <f t="shared" si="30"/>
        <v/>
      </c>
      <c r="J655" s="1" t="s">
        <v>35</v>
      </c>
      <c r="K655" s="1" t="str">
        <f t="shared" si="31"/>
        <v/>
      </c>
      <c r="L655" s="1" t="str">
        <f t="shared" si="32"/>
        <v/>
      </c>
      <c r="M655" s="1">
        <f>IF(OR(Table1[[#This Row],[Std Nom]]="",Table1[[#This Row],[Std Read]]=""),0,Table1[[#This Row],[Std Nom]]-Table1[[#This Row],[Std Read]])</f>
        <v>0</v>
      </c>
      <c r="N655" s="1">
        <f>IF(Calculations!$F$5="ACCREDITED 17025 WITH UNCERTAINTIES",$N$10,0)</f>
        <v>0</v>
      </c>
      <c r="O655" s="1" t="str">
        <f>IFERROR(Table1[[#This Row],[Std Nom]]-(_xlfn.XLOOKUP(Table1[[#This Row],[Manufacturer]]&amp;" "&amp;Table1[[#This Row],[Model]],Table13[MFR &amp; MDL],Table13[Tolerance % CW ],"")/100*Table1[[#This Row],[Std Nom]]),"")</f>
        <v/>
      </c>
      <c r="P655" s="1" t="str">
        <f>IFERROR(Table1[[#This Row],[Std Nom]]+(_xlfn.XLOOKUP(Table1[[#This Row],[Manufacturer]]&amp;" "&amp;Table1[[#This Row],[Model]],Table13[MFR &amp; MDL],Table13[Tolerance % CW ],"")/100*Table1[[#This Row],[Std Nom]]),"")</f>
        <v/>
      </c>
      <c r="Q655" s="1" t="e">
        <f>Table1[[#This Row],[High Tol]]-Table1[[#This Row],[Low Tol]]</f>
        <v>#VALUE!</v>
      </c>
      <c r="R655" s="1">
        <f>2*Table1[[#This Row],[Std Error]]</f>
        <v>0</v>
      </c>
      <c r="S655" s="1" t="str">
        <f>IF(Table1[[#This Row],[High Tol]]="","N/A",IFERROR(ABS(Table1[[#This Row],[Tol Span]]/Table1[[#This Row],[Error Span]]),"N/A"))</f>
        <v>N/A</v>
      </c>
      <c r="T655" s="1" t="str">
        <f>IF(OR(Table1[[#This Row],[Low Tol]]="",Table1[[#This Row],[High Tol]]=""),"Needs Analysis",IF(Table1[[#This Row],[Ratio]]&gt;=4,"Not Significant",IF(Table1[[#This Row],[Ratio]]&gt;=2,"Semi-Significant","Significant")))</f>
        <v>Needs Analysis</v>
      </c>
      <c r="W655" s="1">
        <f>IF(Table1[[#This Row],[Cal Type]]&lt;&gt;"ACCREDITED 17025 WITH UNCERTAINTIES",0,"")</f>
        <v>0</v>
      </c>
      <c r="X655" s="1" t="str">
        <f>IF(Table1[[#This Row],[DUT Read]]="","N/A",Table1[[#This Row],[Std Error]]+Table1[[#This Row],[DUT Read]]+Table1[[#This Row],[DUT Ucty]])</f>
        <v>N/A</v>
      </c>
      <c r="Y655" s="1" t="str">
        <f>IF(Table1[[#This Row],[Std Read]]="","N/A",Table1[[#This Row],[Std Read]]+Table1[[#This Row],[Std Ucty]])</f>
        <v>N/A</v>
      </c>
      <c r="Z6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5" s="1" t="str">
        <f>IF(Table1[[#This Row],[Spec Type]]="","N/A",Table1[[#This Row],[Spec Type]])</f>
        <v>±</v>
      </c>
      <c r="AC655" s="1" t="str">
        <f>IF(Table1[[#This Row],[Spec Type2]]="N/A","N/A",IF(AND(Table1[[#This Row],[DUT Adj Read]]&gt;=Table1[[#This Row],[Low Tol]],Table1[[#This Row],[DUT Adj Read]]&lt;=Table1[[#This Row],[High Tol]]),"Pass","Fail"))</f>
        <v>Fail</v>
      </c>
      <c r="AD655" s="1" t="str">
        <f>IF(AND(Table1[[#This Row],[Spec Type2]]="N/A",Table1[[#This Row],[DUT Adj Read]]="N/A",Table1[[#This Row],[Std Adj Read]]="N/A"),"N/A",IF(Table1[[#This Row],[DUT Adj Read]]="N/A",IF(Table1[[#This Row],[Std Adj Read]]&gt;Table1[[#This Row],[Low Tol]],"Pass","Fail"),IF(Table1[[#This Row],[DUT Adj Read]]&gt;Table1[[#This Row],[Low Tol]],"Pass","Fail")))</f>
        <v>Pass</v>
      </c>
      <c r="AE655" s="1" t="str">
        <f>IF(AND(Table1[[#This Row],[Spec Type2]]="N/A",Table1[[#This Row],[DUT Adj Read]]="N/A",Table1[[#This Row],[Std Adj Read]]="N/A"),"N/A",IF(Table1[[#This Row],[DUT Adj Read]]="N/A",IF(Table1[[#This Row],[Std Adj Read]]&lt;Table1[[#This Row],[High Tol]],"Pass","Fail"),IF(Table1[[#This Row],[DUT Adj Read]]&lt;Table1[[#This Row],[High Tol]],"Pass","Fail")))</f>
        <v>Fail</v>
      </c>
      <c r="AF655" s="1" t="str">
        <f>IF(AND(Table1[[#This Row],[Spec Type2]]="N/A",Table1[[#This Row],[DUT Adj Read]]="N/A",Table1[[#This Row],[Std Adj Read]]="N/A"),"N/A",IF(Table1[[#This Row],[DUT Adj Read]]="N/A",IF(Table1[[#This Row],[Std Adj Read]]&gt;=Table1[[#This Row],[Low Tol]],"Pass","Fail"),IF(Table1[[#This Row],[DUT Adj Read]]&gt;=Table1[[#This Row],[Low Tol]],"Pass","Fail")))</f>
        <v>Pass</v>
      </c>
      <c r="AG655" s="1" t="str">
        <f>IF(AND(Table1[[#This Row],[Spec Type2]]="N/A",Table1[[#This Row],[DUT Adj Read]]="N/A",Table1[[#This Row],[Std Adj Read]]="N/A"),"N/A",IF(Table1[[#This Row],[DUT Adj Read]]="N/A",IF(Table1[[#This Row],[Std Adj Read]]&lt;=Table1[[#This Row],[High Tol]],"Pass","Fail"),IF(Table1[[#This Row],[DUT Adj Read]]&lt;=Table1[[#This Row],[High Tol]],"Pass","Fail")))</f>
        <v>Fail</v>
      </c>
      <c r="AH6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5" s="1" t="b">
        <v>0</v>
      </c>
      <c r="AN655" s="1" t="b">
        <v>0</v>
      </c>
      <c r="AO655" s="1" t="b">
        <v>0</v>
      </c>
    </row>
    <row r="656" spans="1:41" x14ac:dyDescent="0.25">
      <c r="A656" s="10"/>
      <c r="B656" s="10"/>
      <c r="C656" s="10"/>
      <c r="D656" s="10"/>
      <c r="E656" s="10"/>
      <c r="F656" s="10"/>
      <c r="G656" s="10"/>
      <c r="H656" s="10"/>
      <c r="I656" s="1" t="str">
        <f t="shared" si="30"/>
        <v/>
      </c>
      <c r="J656" s="1" t="s">
        <v>35</v>
      </c>
      <c r="K656" s="1" t="str">
        <f t="shared" si="31"/>
        <v/>
      </c>
      <c r="L656" s="1" t="str">
        <f t="shared" si="32"/>
        <v/>
      </c>
      <c r="M656" s="1">
        <f>IF(OR(Table1[[#This Row],[Std Nom]]="",Table1[[#This Row],[Std Read]]=""),0,Table1[[#This Row],[Std Nom]]-Table1[[#This Row],[Std Read]])</f>
        <v>0</v>
      </c>
      <c r="N656" s="1">
        <f>IF(Calculations!$F$5="ACCREDITED 17025 WITH UNCERTAINTIES",$N$10,0)</f>
        <v>0</v>
      </c>
      <c r="O656" s="1" t="str">
        <f>IFERROR(Table1[[#This Row],[Std Nom]]-(_xlfn.XLOOKUP(Table1[[#This Row],[Manufacturer]]&amp;" "&amp;Table1[[#This Row],[Model]],Table13[MFR &amp; MDL],Table13[Tolerance % CW ],"")/100*Table1[[#This Row],[Std Nom]]),"")</f>
        <v/>
      </c>
      <c r="P656" s="1" t="str">
        <f>IFERROR(Table1[[#This Row],[Std Nom]]+(_xlfn.XLOOKUP(Table1[[#This Row],[Manufacturer]]&amp;" "&amp;Table1[[#This Row],[Model]],Table13[MFR &amp; MDL],Table13[Tolerance % CW ],"")/100*Table1[[#This Row],[Std Nom]]),"")</f>
        <v/>
      </c>
      <c r="Q656" s="1" t="e">
        <f>Table1[[#This Row],[High Tol]]-Table1[[#This Row],[Low Tol]]</f>
        <v>#VALUE!</v>
      </c>
      <c r="R656" s="1">
        <f>2*Table1[[#This Row],[Std Error]]</f>
        <v>0</v>
      </c>
      <c r="S656" s="1" t="str">
        <f>IF(Table1[[#This Row],[High Tol]]="","N/A",IFERROR(ABS(Table1[[#This Row],[Tol Span]]/Table1[[#This Row],[Error Span]]),"N/A"))</f>
        <v>N/A</v>
      </c>
      <c r="T656" s="1" t="str">
        <f>IF(OR(Table1[[#This Row],[Low Tol]]="",Table1[[#This Row],[High Tol]]=""),"Needs Analysis",IF(Table1[[#This Row],[Ratio]]&gt;=4,"Not Significant",IF(Table1[[#This Row],[Ratio]]&gt;=2,"Semi-Significant","Significant")))</f>
        <v>Needs Analysis</v>
      </c>
      <c r="W656" s="1">
        <f>IF(Table1[[#This Row],[Cal Type]]&lt;&gt;"ACCREDITED 17025 WITH UNCERTAINTIES",0,"")</f>
        <v>0</v>
      </c>
      <c r="X656" s="1" t="str">
        <f>IF(Table1[[#This Row],[DUT Read]]="","N/A",Table1[[#This Row],[Std Error]]+Table1[[#This Row],[DUT Read]]+Table1[[#This Row],[DUT Ucty]])</f>
        <v>N/A</v>
      </c>
      <c r="Y656" s="1" t="str">
        <f>IF(Table1[[#This Row],[Std Read]]="","N/A",Table1[[#This Row],[Std Read]]+Table1[[#This Row],[Std Ucty]])</f>
        <v>N/A</v>
      </c>
      <c r="Z6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6" s="1" t="str">
        <f>IF(Table1[[#This Row],[Spec Type]]="","N/A",Table1[[#This Row],[Spec Type]])</f>
        <v>±</v>
      </c>
      <c r="AC656" s="1" t="str">
        <f>IF(Table1[[#This Row],[Spec Type2]]="N/A","N/A",IF(AND(Table1[[#This Row],[DUT Adj Read]]&gt;=Table1[[#This Row],[Low Tol]],Table1[[#This Row],[DUT Adj Read]]&lt;=Table1[[#This Row],[High Tol]]),"Pass","Fail"))</f>
        <v>Fail</v>
      </c>
      <c r="AD656" s="1" t="str">
        <f>IF(AND(Table1[[#This Row],[Spec Type2]]="N/A",Table1[[#This Row],[DUT Adj Read]]="N/A",Table1[[#This Row],[Std Adj Read]]="N/A"),"N/A",IF(Table1[[#This Row],[DUT Adj Read]]="N/A",IF(Table1[[#This Row],[Std Adj Read]]&gt;Table1[[#This Row],[Low Tol]],"Pass","Fail"),IF(Table1[[#This Row],[DUT Adj Read]]&gt;Table1[[#This Row],[Low Tol]],"Pass","Fail")))</f>
        <v>Pass</v>
      </c>
      <c r="AE656" s="1" t="str">
        <f>IF(AND(Table1[[#This Row],[Spec Type2]]="N/A",Table1[[#This Row],[DUT Adj Read]]="N/A",Table1[[#This Row],[Std Adj Read]]="N/A"),"N/A",IF(Table1[[#This Row],[DUT Adj Read]]="N/A",IF(Table1[[#This Row],[Std Adj Read]]&lt;Table1[[#This Row],[High Tol]],"Pass","Fail"),IF(Table1[[#This Row],[DUT Adj Read]]&lt;Table1[[#This Row],[High Tol]],"Pass","Fail")))</f>
        <v>Fail</v>
      </c>
      <c r="AF656" s="1" t="str">
        <f>IF(AND(Table1[[#This Row],[Spec Type2]]="N/A",Table1[[#This Row],[DUT Adj Read]]="N/A",Table1[[#This Row],[Std Adj Read]]="N/A"),"N/A",IF(Table1[[#This Row],[DUT Adj Read]]="N/A",IF(Table1[[#This Row],[Std Adj Read]]&gt;=Table1[[#This Row],[Low Tol]],"Pass","Fail"),IF(Table1[[#This Row],[DUT Adj Read]]&gt;=Table1[[#This Row],[Low Tol]],"Pass","Fail")))</f>
        <v>Pass</v>
      </c>
      <c r="AG656" s="1" t="str">
        <f>IF(AND(Table1[[#This Row],[Spec Type2]]="N/A",Table1[[#This Row],[DUT Adj Read]]="N/A",Table1[[#This Row],[Std Adj Read]]="N/A"),"N/A",IF(Table1[[#This Row],[DUT Adj Read]]="N/A",IF(Table1[[#This Row],[Std Adj Read]]&lt;=Table1[[#This Row],[High Tol]],"Pass","Fail"),IF(Table1[[#This Row],[DUT Adj Read]]&lt;=Table1[[#This Row],[High Tol]],"Pass","Fail")))</f>
        <v>Fail</v>
      </c>
      <c r="AH6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6" s="1" t="b">
        <v>0</v>
      </c>
      <c r="AN656" s="1" t="b">
        <v>0</v>
      </c>
      <c r="AO656" s="1" t="b">
        <v>0</v>
      </c>
    </row>
    <row r="657" spans="1:41" x14ac:dyDescent="0.25">
      <c r="A657" s="10"/>
      <c r="B657" s="10"/>
      <c r="C657" s="10"/>
      <c r="D657" s="10"/>
      <c r="E657" s="10"/>
      <c r="F657" s="10"/>
      <c r="G657" s="10"/>
      <c r="H657" s="10"/>
      <c r="I657" s="1" t="str">
        <f t="shared" si="30"/>
        <v/>
      </c>
      <c r="J657" s="1" t="s">
        <v>35</v>
      </c>
      <c r="K657" s="1" t="str">
        <f t="shared" si="31"/>
        <v/>
      </c>
      <c r="L657" s="1" t="str">
        <f t="shared" si="32"/>
        <v/>
      </c>
      <c r="M657" s="1">
        <f>IF(OR(Table1[[#This Row],[Std Nom]]="",Table1[[#This Row],[Std Read]]=""),0,Table1[[#This Row],[Std Nom]]-Table1[[#This Row],[Std Read]])</f>
        <v>0</v>
      </c>
      <c r="N657" s="1">
        <f>IF(Calculations!$F$5="ACCREDITED 17025 WITH UNCERTAINTIES",$N$10,0)</f>
        <v>0</v>
      </c>
      <c r="O657" s="1" t="str">
        <f>IFERROR(Table1[[#This Row],[Std Nom]]-(_xlfn.XLOOKUP(Table1[[#This Row],[Manufacturer]]&amp;" "&amp;Table1[[#This Row],[Model]],Table13[MFR &amp; MDL],Table13[Tolerance % CW ],"")/100*Table1[[#This Row],[Std Nom]]),"")</f>
        <v/>
      </c>
      <c r="P657" s="1" t="str">
        <f>IFERROR(Table1[[#This Row],[Std Nom]]+(_xlfn.XLOOKUP(Table1[[#This Row],[Manufacturer]]&amp;" "&amp;Table1[[#This Row],[Model]],Table13[MFR &amp; MDL],Table13[Tolerance % CW ],"")/100*Table1[[#This Row],[Std Nom]]),"")</f>
        <v/>
      </c>
      <c r="Q657" s="1" t="e">
        <f>Table1[[#This Row],[High Tol]]-Table1[[#This Row],[Low Tol]]</f>
        <v>#VALUE!</v>
      </c>
      <c r="R657" s="1">
        <f>2*Table1[[#This Row],[Std Error]]</f>
        <v>0</v>
      </c>
      <c r="S657" s="1" t="str">
        <f>IF(Table1[[#This Row],[High Tol]]="","N/A",IFERROR(ABS(Table1[[#This Row],[Tol Span]]/Table1[[#This Row],[Error Span]]),"N/A"))</f>
        <v>N/A</v>
      </c>
      <c r="T657" s="1" t="str">
        <f>IF(OR(Table1[[#This Row],[Low Tol]]="",Table1[[#This Row],[High Tol]]=""),"Needs Analysis",IF(Table1[[#This Row],[Ratio]]&gt;=4,"Not Significant",IF(Table1[[#This Row],[Ratio]]&gt;=2,"Semi-Significant","Significant")))</f>
        <v>Needs Analysis</v>
      </c>
      <c r="W657" s="1">
        <f>IF(Table1[[#This Row],[Cal Type]]&lt;&gt;"ACCREDITED 17025 WITH UNCERTAINTIES",0,"")</f>
        <v>0</v>
      </c>
      <c r="X657" s="1" t="str">
        <f>IF(Table1[[#This Row],[DUT Read]]="","N/A",Table1[[#This Row],[Std Error]]+Table1[[#This Row],[DUT Read]]+Table1[[#This Row],[DUT Ucty]])</f>
        <v>N/A</v>
      </c>
      <c r="Y657" s="1" t="str">
        <f>IF(Table1[[#This Row],[Std Read]]="","N/A",Table1[[#This Row],[Std Read]]+Table1[[#This Row],[Std Ucty]])</f>
        <v>N/A</v>
      </c>
      <c r="Z6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7" s="1" t="str">
        <f>IF(Table1[[#This Row],[Spec Type]]="","N/A",Table1[[#This Row],[Spec Type]])</f>
        <v>±</v>
      </c>
      <c r="AC657" s="1" t="str">
        <f>IF(Table1[[#This Row],[Spec Type2]]="N/A","N/A",IF(AND(Table1[[#This Row],[DUT Adj Read]]&gt;=Table1[[#This Row],[Low Tol]],Table1[[#This Row],[DUT Adj Read]]&lt;=Table1[[#This Row],[High Tol]]),"Pass","Fail"))</f>
        <v>Fail</v>
      </c>
      <c r="AD657" s="1" t="str">
        <f>IF(AND(Table1[[#This Row],[Spec Type2]]="N/A",Table1[[#This Row],[DUT Adj Read]]="N/A",Table1[[#This Row],[Std Adj Read]]="N/A"),"N/A",IF(Table1[[#This Row],[DUT Adj Read]]="N/A",IF(Table1[[#This Row],[Std Adj Read]]&gt;Table1[[#This Row],[Low Tol]],"Pass","Fail"),IF(Table1[[#This Row],[DUT Adj Read]]&gt;Table1[[#This Row],[Low Tol]],"Pass","Fail")))</f>
        <v>Pass</v>
      </c>
      <c r="AE657" s="1" t="str">
        <f>IF(AND(Table1[[#This Row],[Spec Type2]]="N/A",Table1[[#This Row],[DUT Adj Read]]="N/A",Table1[[#This Row],[Std Adj Read]]="N/A"),"N/A",IF(Table1[[#This Row],[DUT Adj Read]]="N/A",IF(Table1[[#This Row],[Std Adj Read]]&lt;Table1[[#This Row],[High Tol]],"Pass","Fail"),IF(Table1[[#This Row],[DUT Adj Read]]&lt;Table1[[#This Row],[High Tol]],"Pass","Fail")))</f>
        <v>Fail</v>
      </c>
      <c r="AF657" s="1" t="str">
        <f>IF(AND(Table1[[#This Row],[Spec Type2]]="N/A",Table1[[#This Row],[DUT Adj Read]]="N/A",Table1[[#This Row],[Std Adj Read]]="N/A"),"N/A",IF(Table1[[#This Row],[DUT Adj Read]]="N/A",IF(Table1[[#This Row],[Std Adj Read]]&gt;=Table1[[#This Row],[Low Tol]],"Pass","Fail"),IF(Table1[[#This Row],[DUT Adj Read]]&gt;=Table1[[#This Row],[Low Tol]],"Pass","Fail")))</f>
        <v>Pass</v>
      </c>
      <c r="AG657" s="1" t="str">
        <f>IF(AND(Table1[[#This Row],[Spec Type2]]="N/A",Table1[[#This Row],[DUT Adj Read]]="N/A",Table1[[#This Row],[Std Adj Read]]="N/A"),"N/A",IF(Table1[[#This Row],[DUT Adj Read]]="N/A",IF(Table1[[#This Row],[Std Adj Read]]&lt;=Table1[[#This Row],[High Tol]],"Pass","Fail"),IF(Table1[[#This Row],[DUT Adj Read]]&lt;=Table1[[#This Row],[High Tol]],"Pass","Fail")))</f>
        <v>Fail</v>
      </c>
      <c r="AH6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7" s="1" t="b">
        <v>0</v>
      </c>
      <c r="AN657" s="1" t="b">
        <v>0</v>
      </c>
      <c r="AO657" s="1" t="b">
        <v>0</v>
      </c>
    </row>
    <row r="658" spans="1:41" x14ac:dyDescent="0.25">
      <c r="A658" s="10"/>
      <c r="B658" s="10"/>
      <c r="C658" s="10"/>
      <c r="D658" s="10"/>
      <c r="E658" s="10"/>
      <c r="F658" s="10"/>
      <c r="G658" s="10"/>
      <c r="H658" s="10"/>
      <c r="I658" s="1" t="str">
        <f t="shared" si="30"/>
        <v/>
      </c>
      <c r="J658" s="1" t="s">
        <v>35</v>
      </c>
      <c r="K658" s="1" t="str">
        <f t="shared" si="31"/>
        <v/>
      </c>
      <c r="L658" s="1" t="str">
        <f t="shared" si="32"/>
        <v/>
      </c>
      <c r="M658" s="1">
        <f>IF(OR(Table1[[#This Row],[Std Nom]]="",Table1[[#This Row],[Std Read]]=""),0,Table1[[#This Row],[Std Nom]]-Table1[[#This Row],[Std Read]])</f>
        <v>0</v>
      </c>
      <c r="N658" s="1">
        <f>IF(Calculations!$F$5="ACCREDITED 17025 WITH UNCERTAINTIES",$N$10,0)</f>
        <v>0</v>
      </c>
      <c r="O658" s="1" t="str">
        <f>IFERROR(Table1[[#This Row],[Std Nom]]-(_xlfn.XLOOKUP(Table1[[#This Row],[Manufacturer]]&amp;" "&amp;Table1[[#This Row],[Model]],Table13[MFR &amp; MDL],Table13[Tolerance % CW ],"")/100*Table1[[#This Row],[Std Nom]]),"")</f>
        <v/>
      </c>
      <c r="P658" s="1" t="str">
        <f>IFERROR(Table1[[#This Row],[Std Nom]]+(_xlfn.XLOOKUP(Table1[[#This Row],[Manufacturer]]&amp;" "&amp;Table1[[#This Row],[Model]],Table13[MFR &amp; MDL],Table13[Tolerance % CW ],"")/100*Table1[[#This Row],[Std Nom]]),"")</f>
        <v/>
      </c>
      <c r="Q658" s="1" t="e">
        <f>Table1[[#This Row],[High Tol]]-Table1[[#This Row],[Low Tol]]</f>
        <v>#VALUE!</v>
      </c>
      <c r="R658" s="1">
        <f>2*Table1[[#This Row],[Std Error]]</f>
        <v>0</v>
      </c>
      <c r="S658" s="1" t="str">
        <f>IF(Table1[[#This Row],[High Tol]]="","N/A",IFERROR(ABS(Table1[[#This Row],[Tol Span]]/Table1[[#This Row],[Error Span]]),"N/A"))</f>
        <v>N/A</v>
      </c>
      <c r="T658" s="1" t="str">
        <f>IF(OR(Table1[[#This Row],[Low Tol]]="",Table1[[#This Row],[High Tol]]=""),"Needs Analysis",IF(Table1[[#This Row],[Ratio]]&gt;=4,"Not Significant",IF(Table1[[#This Row],[Ratio]]&gt;=2,"Semi-Significant","Significant")))</f>
        <v>Needs Analysis</v>
      </c>
      <c r="W658" s="1">
        <f>IF(Table1[[#This Row],[Cal Type]]&lt;&gt;"ACCREDITED 17025 WITH UNCERTAINTIES",0,"")</f>
        <v>0</v>
      </c>
      <c r="X658" s="1" t="str">
        <f>IF(Table1[[#This Row],[DUT Read]]="","N/A",Table1[[#This Row],[Std Error]]+Table1[[#This Row],[DUT Read]]+Table1[[#This Row],[DUT Ucty]])</f>
        <v>N/A</v>
      </c>
      <c r="Y658" s="1" t="str">
        <f>IF(Table1[[#This Row],[Std Read]]="","N/A",Table1[[#This Row],[Std Read]]+Table1[[#This Row],[Std Ucty]])</f>
        <v>N/A</v>
      </c>
      <c r="Z6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8" s="1" t="str">
        <f>IF(Table1[[#This Row],[Spec Type]]="","N/A",Table1[[#This Row],[Spec Type]])</f>
        <v>±</v>
      </c>
      <c r="AC658" s="1" t="str">
        <f>IF(Table1[[#This Row],[Spec Type2]]="N/A","N/A",IF(AND(Table1[[#This Row],[DUT Adj Read]]&gt;=Table1[[#This Row],[Low Tol]],Table1[[#This Row],[DUT Adj Read]]&lt;=Table1[[#This Row],[High Tol]]),"Pass","Fail"))</f>
        <v>Fail</v>
      </c>
      <c r="AD658" s="1" t="str">
        <f>IF(AND(Table1[[#This Row],[Spec Type2]]="N/A",Table1[[#This Row],[DUT Adj Read]]="N/A",Table1[[#This Row],[Std Adj Read]]="N/A"),"N/A",IF(Table1[[#This Row],[DUT Adj Read]]="N/A",IF(Table1[[#This Row],[Std Adj Read]]&gt;Table1[[#This Row],[Low Tol]],"Pass","Fail"),IF(Table1[[#This Row],[DUT Adj Read]]&gt;Table1[[#This Row],[Low Tol]],"Pass","Fail")))</f>
        <v>Pass</v>
      </c>
      <c r="AE658" s="1" t="str">
        <f>IF(AND(Table1[[#This Row],[Spec Type2]]="N/A",Table1[[#This Row],[DUT Adj Read]]="N/A",Table1[[#This Row],[Std Adj Read]]="N/A"),"N/A",IF(Table1[[#This Row],[DUT Adj Read]]="N/A",IF(Table1[[#This Row],[Std Adj Read]]&lt;Table1[[#This Row],[High Tol]],"Pass","Fail"),IF(Table1[[#This Row],[DUT Adj Read]]&lt;Table1[[#This Row],[High Tol]],"Pass","Fail")))</f>
        <v>Fail</v>
      </c>
      <c r="AF658" s="1" t="str">
        <f>IF(AND(Table1[[#This Row],[Spec Type2]]="N/A",Table1[[#This Row],[DUT Adj Read]]="N/A",Table1[[#This Row],[Std Adj Read]]="N/A"),"N/A",IF(Table1[[#This Row],[DUT Adj Read]]="N/A",IF(Table1[[#This Row],[Std Adj Read]]&gt;=Table1[[#This Row],[Low Tol]],"Pass","Fail"),IF(Table1[[#This Row],[DUT Adj Read]]&gt;=Table1[[#This Row],[Low Tol]],"Pass","Fail")))</f>
        <v>Pass</v>
      </c>
      <c r="AG658" s="1" t="str">
        <f>IF(AND(Table1[[#This Row],[Spec Type2]]="N/A",Table1[[#This Row],[DUT Adj Read]]="N/A",Table1[[#This Row],[Std Adj Read]]="N/A"),"N/A",IF(Table1[[#This Row],[DUT Adj Read]]="N/A",IF(Table1[[#This Row],[Std Adj Read]]&lt;=Table1[[#This Row],[High Tol]],"Pass","Fail"),IF(Table1[[#This Row],[DUT Adj Read]]&lt;=Table1[[#This Row],[High Tol]],"Pass","Fail")))</f>
        <v>Fail</v>
      </c>
      <c r="AH6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8" s="1" t="b">
        <v>0</v>
      </c>
      <c r="AN658" s="1" t="b">
        <v>0</v>
      </c>
      <c r="AO658" s="1" t="b">
        <v>0</v>
      </c>
    </row>
    <row r="659" spans="1:41" x14ac:dyDescent="0.25">
      <c r="A659" s="10"/>
      <c r="B659" s="10"/>
      <c r="C659" s="10"/>
      <c r="D659" s="10"/>
      <c r="E659" s="10"/>
      <c r="F659" s="10"/>
      <c r="G659" s="10"/>
      <c r="H659" s="10"/>
      <c r="I659" s="1" t="str">
        <f t="shared" si="30"/>
        <v/>
      </c>
      <c r="J659" s="1" t="s">
        <v>35</v>
      </c>
      <c r="K659" s="1" t="str">
        <f t="shared" si="31"/>
        <v/>
      </c>
      <c r="L659" s="1" t="str">
        <f t="shared" si="32"/>
        <v/>
      </c>
      <c r="M659" s="1">
        <f>IF(OR(Table1[[#This Row],[Std Nom]]="",Table1[[#This Row],[Std Read]]=""),0,Table1[[#This Row],[Std Nom]]-Table1[[#This Row],[Std Read]])</f>
        <v>0</v>
      </c>
      <c r="N659" s="1">
        <f>IF(Calculations!$F$5="ACCREDITED 17025 WITH UNCERTAINTIES",$N$10,0)</f>
        <v>0</v>
      </c>
      <c r="O659" s="1" t="str">
        <f>IFERROR(Table1[[#This Row],[Std Nom]]-(_xlfn.XLOOKUP(Table1[[#This Row],[Manufacturer]]&amp;" "&amp;Table1[[#This Row],[Model]],Table13[MFR &amp; MDL],Table13[Tolerance % CW ],"")/100*Table1[[#This Row],[Std Nom]]),"")</f>
        <v/>
      </c>
      <c r="P659" s="1" t="str">
        <f>IFERROR(Table1[[#This Row],[Std Nom]]+(_xlfn.XLOOKUP(Table1[[#This Row],[Manufacturer]]&amp;" "&amp;Table1[[#This Row],[Model]],Table13[MFR &amp; MDL],Table13[Tolerance % CW ],"")/100*Table1[[#This Row],[Std Nom]]),"")</f>
        <v/>
      </c>
      <c r="Q659" s="1" t="e">
        <f>Table1[[#This Row],[High Tol]]-Table1[[#This Row],[Low Tol]]</f>
        <v>#VALUE!</v>
      </c>
      <c r="R659" s="1">
        <f>2*Table1[[#This Row],[Std Error]]</f>
        <v>0</v>
      </c>
      <c r="S659" s="1" t="str">
        <f>IF(Table1[[#This Row],[High Tol]]="","N/A",IFERROR(ABS(Table1[[#This Row],[Tol Span]]/Table1[[#This Row],[Error Span]]),"N/A"))</f>
        <v>N/A</v>
      </c>
      <c r="T659" s="1" t="str">
        <f>IF(OR(Table1[[#This Row],[Low Tol]]="",Table1[[#This Row],[High Tol]]=""),"Needs Analysis",IF(Table1[[#This Row],[Ratio]]&gt;=4,"Not Significant",IF(Table1[[#This Row],[Ratio]]&gt;=2,"Semi-Significant","Significant")))</f>
        <v>Needs Analysis</v>
      </c>
      <c r="W659" s="1">
        <f>IF(Table1[[#This Row],[Cal Type]]&lt;&gt;"ACCREDITED 17025 WITH UNCERTAINTIES",0,"")</f>
        <v>0</v>
      </c>
      <c r="X659" s="1" t="str">
        <f>IF(Table1[[#This Row],[DUT Read]]="","N/A",Table1[[#This Row],[Std Error]]+Table1[[#This Row],[DUT Read]]+Table1[[#This Row],[DUT Ucty]])</f>
        <v>N/A</v>
      </c>
      <c r="Y659" s="1" t="str">
        <f>IF(Table1[[#This Row],[Std Read]]="","N/A",Table1[[#This Row],[Std Read]]+Table1[[#This Row],[Std Ucty]])</f>
        <v>N/A</v>
      </c>
      <c r="Z6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9" s="1" t="str">
        <f>IF(Table1[[#This Row],[Spec Type]]="","N/A",Table1[[#This Row],[Spec Type]])</f>
        <v>±</v>
      </c>
      <c r="AC659" s="1" t="str">
        <f>IF(Table1[[#This Row],[Spec Type2]]="N/A","N/A",IF(AND(Table1[[#This Row],[DUT Adj Read]]&gt;=Table1[[#This Row],[Low Tol]],Table1[[#This Row],[DUT Adj Read]]&lt;=Table1[[#This Row],[High Tol]]),"Pass","Fail"))</f>
        <v>Fail</v>
      </c>
      <c r="AD659" s="1" t="str">
        <f>IF(AND(Table1[[#This Row],[Spec Type2]]="N/A",Table1[[#This Row],[DUT Adj Read]]="N/A",Table1[[#This Row],[Std Adj Read]]="N/A"),"N/A",IF(Table1[[#This Row],[DUT Adj Read]]="N/A",IF(Table1[[#This Row],[Std Adj Read]]&gt;Table1[[#This Row],[Low Tol]],"Pass","Fail"),IF(Table1[[#This Row],[DUT Adj Read]]&gt;Table1[[#This Row],[Low Tol]],"Pass","Fail")))</f>
        <v>Pass</v>
      </c>
      <c r="AE659" s="1" t="str">
        <f>IF(AND(Table1[[#This Row],[Spec Type2]]="N/A",Table1[[#This Row],[DUT Adj Read]]="N/A",Table1[[#This Row],[Std Adj Read]]="N/A"),"N/A",IF(Table1[[#This Row],[DUT Adj Read]]="N/A",IF(Table1[[#This Row],[Std Adj Read]]&lt;Table1[[#This Row],[High Tol]],"Pass","Fail"),IF(Table1[[#This Row],[DUT Adj Read]]&lt;Table1[[#This Row],[High Tol]],"Pass","Fail")))</f>
        <v>Fail</v>
      </c>
      <c r="AF659" s="1" t="str">
        <f>IF(AND(Table1[[#This Row],[Spec Type2]]="N/A",Table1[[#This Row],[DUT Adj Read]]="N/A",Table1[[#This Row],[Std Adj Read]]="N/A"),"N/A",IF(Table1[[#This Row],[DUT Adj Read]]="N/A",IF(Table1[[#This Row],[Std Adj Read]]&gt;=Table1[[#This Row],[Low Tol]],"Pass","Fail"),IF(Table1[[#This Row],[DUT Adj Read]]&gt;=Table1[[#This Row],[Low Tol]],"Pass","Fail")))</f>
        <v>Pass</v>
      </c>
      <c r="AG659" s="1" t="str">
        <f>IF(AND(Table1[[#This Row],[Spec Type2]]="N/A",Table1[[#This Row],[DUT Adj Read]]="N/A",Table1[[#This Row],[Std Adj Read]]="N/A"),"N/A",IF(Table1[[#This Row],[DUT Adj Read]]="N/A",IF(Table1[[#This Row],[Std Adj Read]]&lt;=Table1[[#This Row],[High Tol]],"Pass","Fail"),IF(Table1[[#This Row],[DUT Adj Read]]&lt;=Table1[[#This Row],[High Tol]],"Pass","Fail")))</f>
        <v>Fail</v>
      </c>
      <c r="AH6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9" s="1" t="b">
        <v>0</v>
      </c>
      <c r="AN659" s="1" t="b">
        <v>0</v>
      </c>
      <c r="AO659" s="1" t="b">
        <v>0</v>
      </c>
    </row>
    <row r="660" spans="1:41" x14ac:dyDescent="0.25">
      <c r="A660" s="10"/>
      <c r="B660" s="10"/>
      <c r="C660" s="10"/>
      <c r="D660" s="10"/>
      <c r="E660" s="10"/>
      <c r="F660" s="10"/>
      <c r="G660" s="10"/>
      <c r="H660" s="10"/>
      <c r="I660" s="1" t="str">
        <f t="shared" si="30"/>
        <v/>
      </c>
      <c r="J660" s="1" t="s">
        <v>35</v>
      </c>
      <c r="K660" s="1" t="str">
        <f t="shared" si="31"/>
        <v/>
      </c>
      <c r="L660" s="1" t="str">
        <f t="shared" si="32"/>
        <v/>
      </c>
      <c r="M660" s="1">
        <f>IF(OR(Table1[[#This Row],[Std Nom]]="",Table1[[#This Row],[Std Read]]=""),0,Table1[[#This Row],[Std Nom]]-Table1[[#This Row],[Std Read]])</f>
        <v>0</v>
      </c>
      <c r="N660" s="1">
        <f>IF(Calculations!$F$5="ACCREDITED 17025 WITH UNCERTAINTIES",$N$10,0)</f>
        <v>0</v>
      </c>
      <c r="O660" s="1" t="str">
        <f>IFERROR(Table1[[#This Row],[Std Nom]]-(_xlfn.XLOOKUP(Table1[[#This Row],[Manufacturer]]&amp;" "&amp;Table1[[#This Row],[Model]],Table13[MFR &amp; MDL],Table13[Tolerance % CW ],"")/100*Table1[[#This Row],[Std Nom]]),"")</f>
        <v/>
      </c>
      <c r="P660" s="1" t="str">
        <f>IFERROR(Table1[[#This Row],[Std Nom]]+(_xlfn.XLOOKUP(Table1[[#This Row],[Manufacturer]]&amp;" "&amp;Table1[[#This Row],[Model]],Table13[MFR &amp; MDL],Table13[Tolerance % CW ],"")/100*Table1[[#This Row],[Std Nom]]),"")</f>
        <v/>
      </c>
      <c r="Q660" s="1" t="e">
        <f>Table1[[#This Row],[High Tol]]-Table1[[#This Row],[Low Tol]]</f>
        <v>#VALUE!</v>
      </c>
      <c r="R660" s="1">
        <f>2*Table1[[#This Row],[Std Error]]</f>
        <v>0</v>
      </c>
      <c r="S660" s="1" t="str">
        <f>IF(Table1[[#This Row],[High Tol]]="","N/A",IFERROR(ABS(Table1[[#This Row],[Tol Span]]/Table1[[#This Row],[Error Span]]),"N/A"))</f>
        <v>N/A</v>
      </c>
      <c r="T660" s="1" t="str">
        <f>IF(OR(Table1[[#This Row],[Low Tol]]="",Table1[[#This Row],[High Tol]]=""),"Needs Analysis",IF(Table1[[#This Row],[Ratio]]&gt;=4,"Not Significant",IF(Table1[[#This Row],[Ratio]]&gt;=2,"Semi-Significant","Significant")))</f>
        <v>Needs Analysis</v>
      </c>
      <c r="W660" s="1">
        <f>IF(Table1[[#This Row],[Cal Type]]&lt;&gt;"ACCREDITED 17025 WITH UNCERTAINTIES",0,"")</f>
        <v>0</v>
      </c>
      <c r="X660" s="1" t="str">
        <f>IF(Table1[[#This Row],[DUT Read]]="","N/A",Table1[[#This Row],[Std Error]]+Table1[[#This Row],[DUT Read]]+Table1[[#This Row],[DUT Ucty]])</f>
        <v>N/A</v>
      </c>
      <c r="Y660" s="1" t="str">
        <f>IF(Table1[[#This Row],[Std Read]]="","N/A",Table1[[#This Row],[Std Read]]+Table1[[#This Row],[Std Ucty]])</f>
        <v>N/A</v>
      </c>
      <c r="Z6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0" s="1" t="str">
        <f>IF(Table1[[#This Row],[Spec Type]]="","N/A",Table1[[#This Row],[Spec Type]])</f>
        <v>±</v>
      </c>
      <c r="AC660" s="1" t="str">
        <f>IF(Table1[[#This Row],[Spec Type2]]="N/A","N/A",IF(AND(Table1[[#This Row],[DUT Adj Read]]&gt;=Table1[[#This Row],[Low Tol]],Table1[[#This Row],[DUT Adj Read]]&lt;=Table1[[#This Row],[High Tol]]),"Pass","Fail"))</f>
        <v>Fail</v>
      </c>
      <c r="AD660" s="1" t="str">
        <f>IF(AND(Table1[[#This Row],[Spec Type2]]="N/A",Table1[[#This Row],[DUT Adj Read]]="N/A",Table1[[#This Row],[Std Adj Read]]="N/A"),"N/A",IF(Table1[[#This Row],[DUT Adj Read]]="N/A",IF(Table1[[#This Row],[Std Adj Read]]&gt;Table1[[#This Row],[Low Tol]],"Pass","Fail"),IF(Table1[[#This Row],[DUT Adj Read]]&gt;Table1[[#This Row],[Low Tol]],"Pass","Fail")))</f>
        <v>Pass</v>
      </c>
      <c r="AE660" s="1" t="str">
        <f>IF(AND(Table1[[#This Row],[Spec Type2]]="N/A",Table1[[#This Row],[DUT Adj Read]]="N/A",Table1[[#This Row],[Std Adj Read]]="N/A"),"N/A",IF(Table1[[#This Row],[DUT Adj Read]]="N/A",IF(Table1[[#This Row],[Std Adj Read]]&lt;Table1[[#This Row],[High Tol]],"Pass","Fail"),IF(Table1[[#This Row],[DUT Adj Read]]&lt;Table1[[#This Row],[High Tol]],"Pass","Fail")))</f>
        <v>Fail</v>
      </c>
      <c r="AF660" s="1" t="str">
        <f>IF(AND(Table1[[#This Row],[Spec Type2]]="N/A",Table1[[#This Row],[DUT Adj Read]]="N/A",Table1[[#This Row],[Std Adj Read]]="N/A"),"N/A",IF(Table1[[#This Row],[DUT Adj Read]]="N/A",IF(Table1[[#This Row],[Std Adj Read]]&gt;=Table1[[#This Row],[Low Tol]],"Pass","Fail"),IF(Table1[[#This Row],[DUT Adj Read]]&gt;=Table1[[#This Row],[Low Tol]],"Pass","Fail")))</f>
        <v>Pass</v>
      </c>
      <c r="AG660" s="1" t="str">
        <f>IF(AND(Table1[[#This Row],[Spec Type2]]="N/A",Table1[[#This Row],[DUT Adj Read]]="N/A",Table1[[#This Row],[Std Adj Read]]="N/A"),"N/A",IF(Table1[[#This Row],[DUT Adj Read]]="N/A",IF(Table1[[#This Row],[Std Adj Read]]&lt;=Table1[[#This Row],[High Tol]],"Pass","Fail"),IF(Table1[[#This Row],[DUT Adj Read]]&lt;=Table1[[#This Row],[High Tol]],"Pass","Fail")))</f>
        <v>Fail</v>
      </c>
      <c r="AH6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0" s="1" t="b">
        <v>0</v>
      </c>
      <c r="AN660" s="1" t="b">
        <v>0</v>
      </c>
      <c r="AO660" s="1" t="b">
        <v>0</v>
      </c>
    </row>
    <row r="661" spans="1:41" x14ac:dyDescent="0.25">
      <c r="A661" s="10"/>
      <c r="B661" s="10"/>
      <c r="C661" s="10"/>
      <c r="D661" s="10"/>
      <c r="E661" s="10"/>
      <c r="F661" s="10"/>
      <c r="G661" s="10"/>
      <c r="H661" s="10"/>
      <c r="I661" s="1" t="str">
        <f t="shared" si="30"/>
        <v/>
      </c>
      <c r="J661" s="1" t="s">
        <v>35</v>
      </c>
      <c r="K661" s="1" t="str">
        <f t="shared" si="31"/>
        <v/>
      </c>
      <c r="L661" s="1" t="str">
        <f t="shared" si="32"/>
        <v/>
      </c>
      <c r="M661" s="1">
        <f>IF(OR(Table1[[#This Row],[Std Nom]]="",Table1[[#This Row],[Std Read]]=""),0,Table1[[#This Row],[Std Nom]]-Table1[[#This Row],[Std Read]])</f>
        <v>0</v>
      </c>
      <c r="N661" s="1">
        <f>IF(Calculations!$F$5="ACCREDITED 17025 WITH UNCERTAINTIES",$N$10,0)</f>
        <v>0</v>
      </c>
      <c r="O661" s="1" t="str">
        <f>IFERROR(Table1[[#This Row],[Std Nom]]-(_xlfn.XLOOKUP(Table1[[#This Row],[Manufacturer]]&amp;" "&amp;Table1[[#This Row],[Model]],Table13[MFR &amp; MDL],Table13[Tolerance % CW ],"")/100*Table1[[#This Row],[Std Nom]]),"")</f>
        <v/>
      </c>
      <c r="P661" s="1" t="str">
        <f>IFERROR(Table1[[#This Row],[Std Nom]]+(_xlfn.XLOOKUP(Table1[[#This Row],[Manufacturer]]&amp;" "&amp;Table1[[#This Row],[Model]],Table13[MFR &amp; MDL],Table13[Tolerance % CW ],"")/100*Table1[[#This Row],[Std Nom]]),"")</f>
        <v/>
      </c>
      <c r="Q661" s="1" t="e">
        <f>Table1[[#This Row],[High Tol]]-Table1[[#This Row],[Low Tol]]</f>
        <v>#VALUE!</v>
      </c>
      <c r="R661" s="1">
        <f>2*Table1[[#This Row],[Std Error]]</f>
        <v>0</v>
      </c>
      <c r="S661" s="1" t="str">
        <f>IF(Table1[[#This Row],[High Tol]]="","N/A",IFERROR(ABS(Table1[[#This Row],[Tol Span]]/Table1[[#This Row],[Error Span]]),"N/A"))</f>
        <v>N/A</v>
      </c>
      <c r="T661" s="1" t="str">
        <f>IF(OR(Table1[[#This Row],[Low Tol]]="",Table1[[#This Row],[High Tol]]=""),"Needs Analysis",IF(Table1[[#This Row],[Ratio]]&gt;=4,"Not Significant",IF(Table1[[#This Row],[Ratio]]&gt;=2,"Semi-Significant","Significant")))</f>
        <v>Needs Analysis</v>
      </c>
      <c r="W661" s="1">
        <f>IF(Table1[[#This Row],[Cal Type]]&lt;&gt;"ACCREDITED 17025 WITH UNCERTAINTIES",0,"")</f>
        <v>0</v>
      </c>
      <c r="X661" s="1" t="str">
        <f>IF(Table1[[#This Row],[DUT Read]]="","N/A",Table1[[#This Row],[Std Error]]+Table1[[#This Row],[DUT Read]]+Table1[[#This Row],[DUT Ucty]])</f>
        <v>N/A</v>
      </c>
      <c r="Y661" s="1" t="str">
        <f>IF(Table1[[#This Row],[Std Read]]="","N/A",Table1[[#This Row],[Std Read]]+Table1[[#This Row],[Std Ucty]])</f>
        <v>N/A</v>
      </c>
      <c r="Z6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1" s="1" t="str">
        <f>IF(Table1[[#This Row],[Spec Type]]="","N/A",Table1[[#This Row],[Spec Type]])</f>
        <v>±</v>
      </c>
      <c r="AC661" s="1" t="str">
        <f>IF(Table1[[#This Row],[Spec Type2]]="N/A","N/A",IF(AND(Table1[[#This Row],[DUT Adj Read]]&gt;=Table1[[#This Row],[Low Tol]],Table1[[#This Row],[DUT Adj Read]]&lt;=Table1[[#This Row],[High Tol]]),"Pass","Fail"))</f>
        <v>Fail</v>
      </c>
      <c r="AD661" s="1" t="str">
        <f>IF(AND(Table1[[#This Row],[Spec Type2]]="N/A",Table1[[#This Row],[DUT Adj Read]]="N/A",Table1[[#This Row],[Std Adj Read]]="N/A"),"N/A",IF(Table1[[#This Row],[DUT Adj Read]]="N/A",IF(Table1[[#This Row],[Std Adj Read]]&gt;Table1[[#This Row],[Low Tol]],"Pass","Fail"),IF(Table1[[#This Row],[DUT Adj Read]]&gt;Table1[[#This Row],[Low Tol]],"Pass","Fail")))</f>
        <v>Pass</v>
      </c>
      <c r="AE661" s="1" t="str">
        <f>IF(AND(Table1[[#This Row],[Spec Type2]]="N/A",Table1[[#This Row],[DUT Adj Read]]="N/A",Table1[[#This Row],[Std Adj Read]]="N/A"),"N/A",IF(Table1[[#This Row],[DUT Adj Read]]="N/A",IF(Table1[[#This Row],[Std Adj Read]]&lt;Table1[[#This Row],[High Tol]],"Pass","Fail"),IF(Table1[[#This Row],[DUT Adj Read]]&lt;Table1[[#This Row],[High Tol]],"Pass","Fail")))</f>
        <v>Fail</v>
      </c>
      <c r="AF661" s="1" t="str">
        <f>IF(AND(Table1[[#This Row],[Spec Type2]]="N/A",Table1[[#This Row],[DUT Adj Read]]="N/A",Table1[[#This Row],[Std Adj Read]]="N/A"),"N/A",IF(Table1[[#This Row],[DUT Adj Read]]="N/A",IF(Table1[[#This Row],[Std Adj Read]]&gt;=Table1[[#This Row],[Low Tol]],"Pass","Fail"),IF(Table1[[#This Row],[DUT Adj Read]]&gt;=Table1[[#This Row],[Low Tol]],"Pass","Fail")))</f>
        <v>Pass</v>
      </c>
      <c r="AG661" s="1" t="str">
        <f>IF(AND(Table1[[#This Row],[Spec Type2]]="N/A",Table1[[#This Row],[DUT Adj Read]]="N/A",Table1[[#This Row],[Std Adj Read]]="N/A"),"N/A",IF(Table1[[#This Row],[DUT Adj Read]]="N/A",IF(Table1[[#This Row],[Std Adj Read]]&lt;=Table1[[#This Row],[High Tol]],"Pass","Fail"),IF(Table1[[#This Row],[DUT Adj Read]]&lt;=Table1[[#This Row],[High Tol]],"Pass","Fail")))</f>
        <v>Fail</v>
      </c>
      <c r="AH6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1" s="1" t="b">
        <v>0</v>
      </c>
      <c r="AN661" s="1" t="b">
        <v>0</v>
      </c>
      <c r="AO661" s="1" t="b">
        <v>0</v>
      </c>
    </row>
    <row r="662" spans="1:41" x14ac:dyDescent="0.25">
      <c r="A662" s="10"/>
      <c r="B662" s="10"/>
      <c r="C662" s="10"/>
      <c r="D662" s="10"/>
      <c r="E662" s="10"/>
      <c r="F662" s="10"/>
      <c r="G662" s="10"/>
      <c r="H662" s="10"/>
      <c r="I662" s="1" t="str">
        <f t="shared" si="30"/>
        <v/>
      </c>
      <c r="J662" s="1" t="s">
        <v>35</v>
      </c>
      <c r="K662" s="1" t="str">
        <f t="shared" si="31"/>
        <v/>
      </c>
      <c r="L662" s="1" t="str">
        <f t="shared" si="32"/>
        <v/>
      </c>
      <c r="M662" s="1">
        <f>IF(OR(Table1[[#This Row],[Std Nom]]="",Table1[[#This Row],[Std Read]]=""),0,Table1[[#This Row],[Std Nom]]-Table1[[#This Row],[Std Read]])</f>
        <v>0</v>
      </c>
      <c r="N662" s="1">
        <f>IF(Calculations!$F$5="ACCREDITED 17025 WITH UNCERTAINTIES",$N$10,0)</f>
        <v>0</v>
      </c>
      <c r="O662" s="1" t="str">
        <f>IFERROR(Table1[[#This Row],[Std Nom]]-(_xlfn.XLOOKUP(Table1[[#This Row],[Manufacturer]]&amp;" "&amp;Table1[[#This Row],[Model]],Table13[MFR &amp; MDL],Table13[Tolerance % CW ],"")/100*Table1[[#This Row],[Std Nom]]),"")</f>
        <v/>
      </c>
      <c r="P662" s="1" t="str">
        <f>IFERROR(Table1[[#This Row],[Std Nom]]+(_xlfn.XLOOKUP(Table1[[#This Row],[Manufacturer]]&amp;" "&amp;Table1[[#This Row],[Model]],Table13[MFR &amp; MDL],Table13[Tolerance % CW ],"")/100*Table1[[#This Row],[Std Nom]]),"")</f>
        <v/>
      </c>
      <c r="Q662" s="1" t="e">
        <f>Table1[[#This Row],[High Tol]]-Table1[[#This Row],[Low Tol]]</f>
        <v>#VALUE!</v>
      </c>
      <c r="R662" s="1">
        <f>2*Table1[[#This Row],[Std Error]]</f>
        <v>0</v>
      </c>
      <c r="S662" s="1" t="str">
        <f>IF(Table1[[#This Row],[High Tol]]="","N/A",IFERROR(ABS(Table1[[#This Row],[Tol Span]]/Table1[[#This Row],[Error Span]]),"N/A"))</f>
        <v>N/A</v>
      </c>
      <c r="T662" s="1" t="str">
        <f>IF(OR(Table1[[#This Row],[Low Tol]]="",Table1[[#This Row],[High Tol]]=""),"Needs Analysis",IF(Table1[[#This Row],[Ratio]]&gt;=4,"Not Significant",IF(Table1[[#This Row],[Ratio]]&gt;=2,"Semi-Significant","Significant")))</f>
        <v>Needs Analysis</v>
      </c>
      <c r="W662" s="1">
        <f>IF(Table1[[#This Row],[Cal Type]]&lt;&gt;"ACCREDITED 17025 WITH UNCERTAINTIES",0,"")</f>
        <v>0</v>
      </c>
      <c r="X662" s="1" t="str">
        <f>IF(Table1[[#This Row],[DUT Read]]="","N/A",Table1[[#This Row],[Std Error]]+Table1[[#This Row],[DUT Read]]+Table1[[#This Row],[DUT Ucty]])</f>
        <v>N/A</v>
      </c>
      <c r="Y662" s="1" t="str">
        <f>IF(Table1[[#This Row],[Std Read]]="","N/A",Table1[[#This Row],[Std Read]]+Table1[[#This Row],[Std Ucty]])</f>
        <v>N/A</v>
      </c>
      <c r="Z6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2" s="1" t="str">
        <f>IF(Table1[[#This Row],[Spec Type]]="","N/A",Table1[[#This Row],[Spec Type]])</f>
        <v>±</v>
      </c>
      <c r="AC662" s="1" t="str">
        <f>IF(Table1[[#This Row],[Spec Type2]]="N/A","N/A",IF(AND(Table1[[#This Row],[DUT Adj Read]]&gt;=Table1[[#This Row],[Low Tol]],Table1[[#This Row],[DUT Adj Read]]&lt;=Table1[[#This Row],[High Tol]]),"Pass","Fail"))</f>
        <v>Fail</v>
      </c>
      <c r="AD662" s="1" t="str">
        <f>IF(AND(Table1[[#This Row],[Spec Type2]]="N/A",Table1[[#This Row],[DUT Adj Read]]="N/A",Table1[[#This Row],[Std Adj Read]]="N/A"),"N/A",IF(Table1[[#This Row],[DUT Adj Read]]="N/A",IF(Table1[[#This Row],[Std Adj Read]]&gt;Table1[[#This Row],[Low Tol]],"Pass","Fail"),IF(Table1[[#This Row],[DUT Adj Read]]&gt;Table1[[#This Row],[Low Tol]],"Pass","Fail")))</f>
        <v>Pass</v>
      </c>
      <c r="AE662" s="1" t="str">
        <f>IF(AND(Table1[[#This Row],[Spec Type2]]="N/A",Table1[[#This Row],[DUT Adj Read]]="N/A",Table1[[#This Row],[Std Adj Read]]="N/A"),"N/A",IF(Table1[[#This Row],[DUT Adj Read]]="N/A",IF(Table1[[#This Row],[Std Adj Read]]&lt;Table1[[#This Row],[High Tol]],"Pass","Fail"),IF(Table1[[#This Row],[DUT Adj Read]]&lt;Table1[[#This Row],[High Tol]],"Pass","Fail")))</f>
        <v>Fail</v>
      </c>
      <c r="AF662" s="1" t="str">
        <f>IF(AND(Table1[[#This Row],[Spec Type2]]="N/A",Table1[[#This Row],[DUT Adj Read]]="N/A",Table1[[#This Row],[Std Adj Read]]="N/A"),"N/A",IF(Table1[[#This Row],[DUT Adj Read]]="N/A",IF(Table1[[#This Row],[Std Adj Read]]&gt;=Table1[[#This Row],[Low Tol]],"Pass","Fail"),IF(Table1[[#This Row],[DUT Adj Read]]&gt;=Table1[[#This Row],[Low Tol]],"Pass","Fail")))</f>
        <v>Pass</v>
      </c>
      <c r="AG662" s="1" t="str">
        <f>IF(AND(Table1[[#This Row],[Spec Type2]]="N/A",Table1[[#This Row],[DUT Adj Read]]="N/A",Table1[[#This Row],[Std Adj Read]]="N/A"),"N/A",IF(Table1[[#This Row],[DUT Adj Read]]="N/A",IF(Table1[[#This Row],[Std Adj Read]]&lt;=Table1[[#This Row],[High Tol]],"Pass","Fail"),IF(Table1[[#This Row],[DUT Adj Read]]&lt;=Table1[[#This Row],[High Tol]],"Pass","Fail")))</f>
        <v>Fail</v>
      </c>
      <c r="AH6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2" s="1" t="b">
        <v>0</v>
      </c>
      <c r="AN662" s="1" t="b">
        <v>0</v>
      </c>
      <c r="AO662" s="1" t="b">
        <v>0</v>
      </c>
    </row>
    <row r="663" spans="1:41" x14ac:dyDescent="0.25">
      <c r="A663" s="10"/>
      <c r="B663" s="10"/>
      <c r="C663" s="10"/>
      <c r="D663" s="10"/>
      <c r="E663" s="10"/>
      <c r="F663" s="10"/>
      <c r="G663" s="10"/>
      <c r="H663" s="10"/>
      <c r="I663" s="1" t="str">
        <f t="shared" si="30"/>
        <v/>
      </c>
      <c r="J663" s="1" t="s">
        <v>35</v>
      </c>
      <c r="K663" s="1" t="str">
        <f t="shared" si="31"/>
        <v/>
      </c>
      <c r="L663" s="1" t="str">
        <f t="shared" si="32"/>
        <v/>
      </c>
      <c r="M663" s="1">
        <f>IF(OR(Table1[[#This Row],[Std Nom]]="",Table1[[#This Row],[Std Read]]=""),0,Table1[[#This Row],[Std Nom]]-Table1[[#This Row],[Std Read]])</f>
        <v>0</v>
      </c>
      <c r="N663" s="1">
        <f>IF(Calculations!$F$5="ACCREDITED 17025 WITH UNCERTAINTIES",$N$10,0)</f>
        <v>0</v>
      </c>
      <c r="O663" s="1" t="str">
        <f>IFERROR(Table1[[#This Row],[Std Nom]]-(_xlfn.XLOOKUP(Table1[[#This Row],[Manufacturer]]&amp;" "&amp;Table1[[#This Row],[Model]],Table13[MFR &amp; MDL],Table13[Tolerance % CW ],"")/100*Table1[[#This Row],[Std Nom]]),"")</f>
        <v/>
      </c>
      <c r="P663" s="1" t="str">
        <f>IFERROR(Table1[[#This Row],[Std Nom]]+(_xlfn.XLOOKUP(Table1[[#This Row],[Manufacturer]]&amp;" "&amp;Table1[[#This Row],[Model]],Table13[MFR &amp; MDL],Table13[Tolerance % CW ],"")/100*Table1[[#This Row],[Std Nom]]),"")</f>
        <v/>
      </c>
      <c r="Q663" s="1" t="e">
        <f>Table1[[#This Row],[High Tol]]-Table1[[#This Row],[Low Tol]]</f>
        <v>#VALUE!</v>
      </c>
      <c r="R663" s="1">
        <f>2*Table1[[#This Row],[Std Error]]</f>
        <v>0</v>
      </c>
      <c r="S663" s="1" t="str">
        <f>IF(Table1[[#This Row],[High Tol]]="","N/A",IFERROR(ABS(Table1[[#This Row],[Tol Span]]/Table1[[#This Row],[Error Span]]),"N/A"))</f>
        <v>N/A</v>
      </c>
      <c r="T663" s="1" t="str">
        <f>IF(OR(Table1[[#This Row],[Low Tol]]="",Table1[[#This Row],[High Tol]]=""),"Needs Analysis",IF(Table1[[#This Row],[Ratio]]&gt;=4,"Not Significant",IF(Table1[[#This Row],[Ratio]]&gt;=2,"Semi-Significant","Significant")))</f>
        <v>Needs Analysis</v>
      </c>
      <c r="W663" s="1">
        <f>IF(Table1[[#This Row],[Cal Type]]&lt;&gt;"ACCREDITED 17025 WITH UNCERTAINTIES",0,"")</f>
        <v>0</v>
      </c>
      <c r="X663" s="1" t="str">
        <f>IF(Table1[[#This Row],[DUT Read]]="","N/A",Table1[[#This Row],[Std Error]]+Table1[[#This Row],[DUT Read]]+Table1[[#This Row],[DUT Ucty]])</f>
        <v>N/A</v>
      </c>
      <c r="Y663" s="1" t="str">
        <f>IF(Table1[[#This Row],[Std Read]]="","N/A",Table1[[#This Row],[Std Read]]+Table1[[#This Row],[Std Ucty]])</f>
        <v>N/A</v>
      </c>
      <c r="Z6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3" s="1" t="str">
        <f>IF(Table1[[#This Row],[Spec Type]]="","N/A",Table1[[#This Row],[Spec Type]])</f>
        <v>±</v>
      </c>
      <c r="AC663" s="1" t="str">
        <f>IF(Table1[[#This Row],[Spec Type2]]="N/A","N/A",IF(AND(Table1[[#This Row],[DUT Adj Read]]&gt;=Table1[[#This Row],[Low Tol]],Table1[[#This Row],[DUT Adj Read]]&lt;=Table1[[#This Row],[High Tol]]),"Pass","Fail"))</f>
        <v>Fail</v>
      </c>
      <c r="AD663" s="1" t="str">
        <f>IF(AND(Table1[[#This Row],[Spec Type2]]="N/A",Table1[[#This Row],[DUT Adj Read]]="N/A",Table1[[#This Row],[Std Adj Read]]="N/A"),"N/A",IF(Table1[[#This Row],[DUT Adj Read]]="N/A",IF(Table1[[#This Row],[Std Adj Read]]&gt;Table1[[#This Row],[Low Tol]],"Pass","Fail"),IF(Table1[[#This Row],[DUT Adj Read]]&gt;Table1[[#This Row],[Low Tol]],"Pass","Fail")))</f>
        <v>Pass</v>
      </c>
      <c r="AE663" s="1" t="str">
        <f>IF(AND(Table1[[#This Row],[Spec Type2]]="N/A",Table1[[#This Row],[DUT Adj Read]]="N/A",Table1[[#This Row],[Std Adj Read]]="N/A"),"N/A",IF(Table1[[#This Row],[DUT Adj Read]]="N/A",IF(Table1[[#This Row],[Std Adj Read]]&lt;Table1[[#This Row],[High Tol]],"Pass","Fail"),IF(Table1[[#This Row],[DUT Adj Read]]&lt;Table1[[#This Row],[High Tol]],"Pass","Fail")))</f>
        <v>Fail</v>
      </c>
      <c r="AF663" s="1" t="str">
        <f>IF(AND(Table1[[#This Row],[Spec Type2]]="N/A",Table1[[#This Row],[DUT Adj Read]]="N/A",Table1[[#This Row],[Std Adj Read]]="N/A"),"N/A",IF(Table1[[#This Row],[DUT Adj Read]]="N/A",IF(Table1[[#This Row],[Std Adj Read]]&gt;=Table1[[#This Row],[Low Tol]],"Pass","Fail"),IF(Table1[[#This Row],[DUT Adj Read]]&gt;=Table1[[#This Row],[Low Tol]],"Pass","Fail")))</f>
        <v>Pass</v>
      </c>
      <c r="AG663" s="1" t="str">
        <f>IF(AND(Table1[[#This Row],[Spec Type2]]="N/A",Table1[[#This Row],[DUT Adj Read]]="N/A",Table1[[#This Row],[Std Adj Read]]="N/A"),"N/A",IF(Table1[[#This Row],[DUT Adj Read]]="N/A",IF(Table1[[#This Row],[Std Adj Read]]&lt;=Table1[[#This Row],[High Tol]],"Pass","Fail"),IF(Table1[[#This Row],[DUT Adj Read]]&lt;=Table1[[#This Row],[High Tol]],"Pass","Fail")))</f>
        <v>Fail</v>
      </c>
      <c r="AH6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3" s="1" t="b">
        <v>0</v>
      </c>
      <c r="AN663" s="1" t="b">
        <v>0</v>
      </c>
      <c r="AO663" s="1" t="b">
        <v>0</v>
      </c>
    </row>
    <row r="664" spans="1:41" x14ac:dyDescent="0.25">
      <c r="A664" s="10"/>
      <c r="B664" s="10"/>
      <c r="C664" s="10"/>
      <c r="D664" s="10"/>
      <c r="E664" s="10"/>
      <c r="F664" s="10"/>
      <c r="G664" s="10"/>
      <c r="H664" s="10"/>
      <c r="I664" s="1" t="str">
        <f t="shared" si="30"/>
        <v/>
      </c>
      <c r="J664" s="1" t="s">
        <v>35</v>
      </c>
      <c r="K664" s="1" t="str">
        <f t="shared" si="31"/>
        <v/>
      </c>
      <c r="L664" s="1" t="str">
        <f t="shared" si="32"/>
        <v/>
      </c>
      <c r="M664" s="1">
        <f>IF(OR(Table1[[#This Row],[Std Nom]]="",Table1[[#This Row],[Std Read]]=""),0,Table1[[#This Row],[Std Nom]]-Table1[[#This Row],[Std Read]])</f>
        <v>0</v>
      </c>
      <c r="N664" s="1">
        <f>IF(Calculations!$F$5="ACCREDITED 17025 WITH UNCERTAINTIES",$N$10,0)</f>
        <v>0</v>
      </c>
      <c r="O664" s="1" t="str">
        <f>IFERROR(Table1[[#This Row],[Std Nom]]-(_xlfn.XLOOKUP(Table1[[#This Row],[Manufacturer]]&amp;" "&amp;Table1[[#This Row],[Model]],Table13[MFR &amp; MDL],Table13[Tolerance % CW ],"")/100*Table1[[#This Row],[Std Nom]]),"")</f>
        <v/>
      </c>
      <c r="P664" s="1" t="str">
        <f>IFERROR(Table1[[#This Row],[Std Nom]]+(_xlfn.XLOOKUP(Table1[[#This Row],[Manufacturer]]&amp;" "&amp;Table1[[#This Row],[Model]],Table13[MFR &amp; MDL],Table13[Tolerance % CW ],"")/100*Table1[[#This Row],[Std Nom]]),"")</f>
        <v/>
      </c>
      <c r="Q664" s="1" t="e">
        <f>Table1[[#This Row],[High Tol]]-Table1[[#This Row],[Low Tol]]</f>
        <v>#VALUE!</v>
      </c>
      <c r="R664" s="1">
        <f>2*Table1[[#This Row],[Std Error]]</f>
        <v>0</v>
      </c>
      <c r="S664" s="1" t="str">
        <f>IF(Table1[[#This Row],[High Tol]]="","N/A",IFERROR(ABS(Table1[[#This Row],[Tol Span]]/Table1[[#This Row],[Error Span]]),"N/A"))</f>
        <v>N/A</v>
      </c>
      <c r="T664" s="1" t="str">
        <f>IF(OR(Table1[[#This Row],[Low Tol]]="",Table1[[#This Row],[High Tol]]=""),"Needs Analysis",IF(Table1[[#This Row],[Ratio]]&gt;=4,"Not Significant",IF(Table1[[#This Row],[Ratio]]&gt;=2,"Semi-Significant","Significant")))</f>
        <v>Needs Analysis</v>
      </c>
      <c r="W664" s="1">
        <f>IF(Table1[[#This Row],[Cal Type]]&lt;&gt;"ACCREDITED 17025 WITH UNCERTAINTIES",0,"")</f>
        <v>0</v>
      </c>
      <c r="X664" s="1" t="str">
        <f>IF(Table1[[#This Row],[DUT Read]]="","N/A",Table1[[#This Row],[Std Error]]+Table1[[#This Row],[DUT Read]]+Table1[[#This Row],[DUT Ucty]])</f>
        <v>N/A</v>
      </c>
      <c r="Y664" s="1" t="str">
        <f>IF(Table1[[#This Row],[Std Read]]="","N/A",Table1[[#This Row],[Std Read]]+Table1[[#This Row],[Std Ucty]])</f>
        <v>N/A</v>
      </c>
      <c r="Z6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4" s="1" t="str">
        <f>IF(Table1[[#This Row],[Spec Type]]="","N/A",Table1[[#This Row],[Spec Type]])</f>
        <v>±</v>
      </c>
      <c r="AC664" s="1" t="str">
        <f>IF(Table1[[#This Row],[Spec Type2]]="N/A","N/A",IF(AND(Table1[[#This Row],[DUT Adj Read]]&gt;=Table1[[#This Row],[Low Tol]],Table1[[#This Row],[DUT Adj Read]]&lt;=Table1[[#This Row],[High Tol]]),"Pass","Fail"))</f>
        <v>Fail</v>
      </c>
      <c r="AD664" s="1" t="str">
        <f>IF(AND(Table1[[#This Row],[Spec Type2]]="N/A",Table1[[#This Row],[DUT Adj Read]]="N/A",Table1[[#This Row],[Std Adj Read]]="N/A"),"N/A",IF(Table1[[#This Row],[DUT Adj Read]]="N/A",IF(Table1[[#This Row],[Std Adj Read]]&gt;Table1[[#This Row],[Low Tol]],"Pass","Fail"),IF(Table1[[#This Row],[DUT Adj Read]]&gt;Table1[[#This Row],[Low Tol]],"Pass","Fail")))</f>
        <v>Pass</v>
      </c>
      <c r="AE664" s="1" t="str">
        <f>IF(AND(Table1[[#This Row],[Spec Type2]]="N/A",Table1[[#This Row],[DUT Adj Read]]="N/A",Table1[[#This Row],[Std Adj Read]]="N/A"),"N/A",IF(Table1[[#This Row],[DUT Adj Read]]="N/A",IF(Table1[[#This Row],[Std Adj Read]]&lt;Table1[[#This Row],[High Tol]],"Pass","Fail"),IF(Table1[[#This Row],[DUT Adj Read]]&lt;Table1[[#This Row],[High Tol]],"Pass","Fail")))</f>
        <v>Fail</v>
      </c>
      <c r="AF664" s="1" t="str">
        <f>IF(AND(Table1[[#This Row],[Spec Type2]]="N/A",Table1[[#This Row],[DUT Adj Read]]="N/A",Table1[[#This Row],[Std Adj Read]]="N/A"),"N/A",IF(Table1[[#This Row],[DUT Adj Read]]="N/A",IF(Table1[[#This Row],[Std Adj Read]]&gt;=Table1[[#This Row],[Low Tol]],"Pass","Fail"),IF(Table1[[#This Row],[DUT Adj Read]]&gt;=Table1[[#This Row],[Low Tol]],"Pass","Fail")))</f>
        <v>Pass</v>
      </c>
      <c r="AG664" s="1" t="str">
        <f>IF(AND(Table1[[#This Row],[Spec Type2]]="N/A",Table1[[#This Row],[DUT Adj Read]]="N/A",Table1[[#This Row],[Std Adj Read]]="N/A"),"N/A",IF(Table1[[#This Row],[DUT Adj Read]]="N/A",IF(Table1[[#This Row],[Std Adj Read]]&lt;=Table1[[#This Row],[High Tol]],"Pass","Fail"),IF(Table1[[#This Row],[DUT Adj Read]]&lt;=Table1[[#This Row],[High Tol]],"Pass","Fail")))</f>
        <v>Fail</v>
      </c>
      <c r="AH6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4" s="1" t="b">
        <v>0</v>
      </c>
      <c r="AN664" s="1" t="b">
        <v>0</v>
      </c>
      <c r="AO664" s="1" t="b">
        <v>0</v>
      </c>
    </row>
    <row r="665" spans="1:41" x14ac:dyDescent="0.25">
      <c r="A665" s="10"/>
      <c r="B665" s="10"/>
      <c r="C665" s="10"/>
      <c r="D665" s="10"/>
      <c r="E665" s="10"/>
      <c r="F665" s="10"/>
      <c r="G665" s="10"/>
      <c r="H665" s="10"/>
      <c r="I665" s="1" t="str">
        <f t="shared" si="30"/>
        <v/>
      </c>
      <c r="J665" s="1" t="s">
        <v>35</v>
      </c>
      <c r="K665" s="1" t="str">
        <f t="shared" si="31"/>
        <v/>
      </c>
      <c r="L665" s="1" t="str">
        <f t="shared" si="32"/>
        <v/>
      </c>
      <c r="M665" s="1">
        <f>IF(OR(Table1[[#This Row],[Std Nom]]="",Table1[[#This Row],[Std Read]]=""),0,Table1[[#This Row],[Std Nom]]-Table1[[#This Row],[Std Read]])</f>
        <v>0</v>
      </c>
      <c r="N665" s="1">
        <f>IF(Calculations!$F$5="ACCREDITED 17025 WITH UNCERTAINTIES",$N$10,0)</f>
        <v>0</v>
      </c>
      <c r="O665" s="1" t="str">
        <f>IFERROR(Table1[[#This Row],[Std Nom]]-(_xlfn.XLOOKUP(Table1[[#This Row],[Manufacturer]]&amp;" "&amp;Table1[[#This Row],[Model]],Table13[MFR &amp; MDL],Table13[Tolerance % CW ],"")/100*Table1[[#This Row],[Std Nom]]),"")</f>
        <v/>
      </c>
      <c r="P665" s="1" t="str">
        <f>IFERROR(Table1[[#This Row],[Std Nom]]+(_xlfn.XLOOKUP(Table1[[#This Row],[Manufacturer]]&amp;" "&amp;Table1[[#This Row],[Model]],Table13[MFR &amp; MDL],Table13[Tolerance % CW ],"")/100*Table1[[#This Row],[Std Nom]]),"")</f>
        <v/>
      </c>
      <c r="Q665" s="1" t="e">
        <f>Table1[[#This Row],[High Tol]]-Table1[[#This Row],[Low Tol]]</f>
        <v>#VALUE!</v>
      </c>
      <c r="R665" s="1">
        <f>2*Table1[[#This Row],[Std Error]]</f>
        <v>0</v>
      </c>
      <c r="S665" s="1" t="str">
        <f>IF(Table1[[#This Row],[High Tol]]="","N/A",IFERROR(ABS(Table1[[#This Row],[Tol Span]]/Table1[[#This Row],[Error Span]]),"N/A"))</f>
        <v>N/A</v>
      </c>
      <c r="T665" s="1" t="str">
        <f>IF(OR(Table1[[#This Row],[Low Tol]]="",Table1[[#This Row],[High Tol]]=""),"Needs Analysis",IF(Table1[[#This Row],[Ratio]]&gt;=4,"Not Significant",IF(Table1[[#This Row],[Ratio]]&gt;=2,"Semi-Significant","Significant")))</f>
        <v>Needs Analysis</v>
      </c>
      <c r="W665" s="1">
        <f>IF(Table1[[#This Row],[Cal Type]]&lt;&gt;"ACCREDITED 17025 WITH UNCERTAINTIES",0,"")</f>
        <v>0</v>
      </c>
      <c r="X665" s="1" t="str">
        <f>IF(Table1[[#This Row],[DUT Read]]="","N/A",Table1[[#This Row],[Std Error]]+Table1[[#This Row],[DUT Read]]+Table1[[#This Row],[DUT Ucty]])</f>
        <v>N/A</v>
      </c>
      <c r="Y665" s="1" t="str">
        <f>IF(Table1[[#This Row],[Std Read]]="","N/A",Table1[[#This Row],[Std Read]]+Table1[[#This Row],[Std Ucty]])</f>
        <v>N/A</v>
      </c>
      <c r="Z6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5" s="1" t="str">
        <f>IF(Table1[[#This Row],[Spec Type]]="","N/A",Table1[[#This Row],[Spec Type]])</f>
        <v>±</v>
      </c>
      <c r="AC665" s="1" t="str">
        <f>IF(Table1[[#This Row],[Spec Type2]]="N/A","N/A",IF(AND(Table1[[#This Row],[DUT Adj Read]]&gt;=Table1[[#This Row],[Low Tol]],Table1[[#This Row],[DUT Adj Read]]&lt;=Table1[[#This Row],[High Tol]]),"Pass","Fail"))</f>
        <v>Fail</v>
      </c>
      <c r="AD665" s="1" t="str">
        <f>IF(AND(Table1[[#This Row],[Spec Type2]]="N/A",Table1[[#This Row],[DUT Adj Read]]="N/A",Table1[[#This Row],[Std Adj Read]]="N/A"),"N/A",IF(Table1[[#This Row],[DUT Adj Read]]="N/A",IF(Table1[[#This Row],[Std Adj Read]]&gt;Table1[[#This Row],[Low Tol]],"Pass","Fail"),IF(Table1[[#This Row],[DUT Adj Read]]&gt;Table1[[#This Row],[Low Tol]],"Pass","Fail")))</f>
        <v>Pass</v>
      </c>
      <c r="AE665" s="1" t="str">
        <f>IF(AND(Table1[[#This Row],[Spec Type2]]="N/A",Table1[[#This Row],[DUT Adj Read]]="N/A",Table1[[#This Row],[Std Adj Read]]="N/A"),"N/A",IF(Table1[[#This Row],[DUT Adj Read]]="N/A",IF(Table1[[#This Row],[Std Adj Read]]&lt;Table1[[#This Row],[High Tol]],"Pass","Fail"),IF(Table1[[#This Row],[DUT Adj Read]]&lt;Table1[[#This Row],[High Tol]],"Pass","Fail")))</f>
        <v>Fail</v>
      </c>
      <c r="AF665" s="1" t="str">
        <f>IF(AND(Table1[[#This Row],[Spec Type2]]="N/A",Table1[[#This Row],[DUT Adj Read]]="N/A",Table1[[#This Row],[Std Adj Read]]="N/A"),"N/A",IF(Table1[[#This Row],[DUT Adj Read]]="N/A",IF(Table1[[#This Row],[Std Adj Read]]&gt;=Table1[[#This Row],[Low Tol]],"Pass","Fail"),IF(Table1[[#This Row],[DUT Adj Read]]&gt;=Table1[[#This Row],[Low Tol]],"Pass","Fail")))</f>
        <v>Pass</v>
      </c>
      <c r="AG665" s="1" t="str">
        <f>IF(AND(Table1[[#This Row],[Spec Type2]]="N/A",Table1[[#This Row],[DUT Adj Read]]="N/A",Table1[[#This Row],[Std Adj Read]]="N/A"),"N/A",IF(Table1[[#This Row],[DUT Adj Read]]="N/A",IF(Table1[[#This Row],[Std Adj Read]]&lt;=Table1[[#This Row],[High Tol]],"Pass","Fail"),IF(Table1[[#This Row],[DUT Adj Read]]&lt;=Table1[[#This Row],[High Tol]],"Pass","Fail")))</f>
        <v>Fail</v>
      </c>
      <c r="AH6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5" s="1" t="b">
        <v>0</v>
      </c>
      <c r="AN665" s="1" t="b">
        <v>0</v>
      </c>
      <c r="AO665" s="1" t="b">
        <v>0</v>
      </c>
    </row>
    <row r="666" spans="1:41" x14ac:dyDescent="0.25">
      <c r="A666" s="10"/>
      <c r="B666" s="10"/>
      <c r="C666" s="10"/>
      <c r="D666" s="10"/>
      <c r="E666" s="10"/>
      <c r="F666" s="10"/>
      <c r="G666" s="10"/>
      <c r="H666" s="10"/>
      <c r="I666" s="1" t="str">
        <f t="shared" si="30"/>
        <v/>
      </c>
      <c r="J666" s="1" t="s">
        <v>35</v>
      </c>
      <c r="K666" s="1" t="str">
        <f t="shared" si="31"/>
        <v/>
      </c>
      <c r="L666" s="1" t="str">
        <f t="shared" si="32"/>
        <v/>
      </c>
      <c r="M666" s="1">
        <f>IF(OR(Table1[[#This Row],[Std Nom]]="",Table1[[#This Row],[Std Read]]=""),0,Table1[[#This Row],[Std Nom]]-Table1[[#This Row],[Std Read]])</f>
        <v>0</v>
      </c>
      <c r="N666" s="1">
        <f>IF(Calculations!$F$5="ACCREDITED 17025 WITH UNCERTAINTIES",$N$10,0)</f>
        <v>0</v>
      </c>
      <c r="O666" s="1" t="str">
        <f>IFERROR(Table1[[#This Row],[Std Nom]]-(_xlfn.XLOOKUP(Table1[[#This Row],[Manufacturer]]&amp;" "&amp;Table1[[#This Row],[Model]],Table13[MFR &amp; MDL],Table13[Tolerance % CW ],"")/100*Table1[[#This Row],[Std Nom]]),"")</f>
        <v/>
      </c>
      <c r="P666" s="1" t="str">
        <f>IFERROR(Table1[[#This Row],[Std Nom]]+(_xlfn.XLOOKUP(Table1[[#This Row],[Manufacturer]]&amp;" "&amp;Table1[[#This Row],[Model]],Table13[MFR &amp; MDL],Table13[Tolerance % CW ],"")/100*Table1[[#This Row],[Std Nom]]),"")</f>
        <v/>
      </c>
      <c r="Q666" s="1" t="e">
        <f>Table1[[#This Row],[High Tol]]-Table1[[#This Row],[Low Tol]]</f>
        <v>#VALUE!</v>
      </c>
      <c r="R666" s="1">
        <f>2*Table1[[#This Row],[Std Error]]</f>
        <v>0</v>
      </c>
      <c r="S666" s="1" t="str">
        <f>IF(Table1[[#This Row],[High Tol]]="","N/A",IFERROR(ABS(Table1[[#This Row],[Tol Span]]/Table1[[#This Row],[Error Span]]),"N/A"))</f>
        <v>N/A</v>
      </c>
      <c r="T666" s="1" t="str">
        <f>IF(OR(Table1[[#This Row],[Low Tol]]="",Table1[[#This Row],[High Tol]]=""),"Needs Analysis",IF(Table1[[#This Row],[Ratio]]&gt;=4,"Not Significant",IF(Table1[[#This Row],[Ratio]]&gt;=2,"Semi-Significant","Significant")))</f>
        <v>Needs Analysis</v>
      </c>
      <c r="W666" s="1">
        <f>IF(Table1[[#This Row],[Cal Type]]&lt;&gt;"ACCREDITED 17025 WITH UNCERTAINTIES",0,"")</f>
        <v>0</v>
      </c>
      <c r="X666" s="1" t="str">
        <f>IF(Table1[[#This Row],[DUT Read]]="","N/A",Table1[[#This Row],[Std Error]]+Table1[[#This Row],[DUT Read]]+Table1[[#This Row],[DUT Ucty]])</f>
        <v>N/A</v>
      </c>
      <c r="Y666" s="1" t="str">
        <f>IF(Table1[[#This Row],[Std Read]]="","N/A",Table1[[#This Row],[Std Read]]+Table1[[#This Row],[Std Ucty]])</f>
        <v>N/A</v>
      </c>
      <c r="Z6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6" s="1" t="str">
        <f>IF(Table1[[#This Row],[Spec Type]]="","N/A",Table1[[#This Row],[Spec Type]])</f>
        <v>±</v>
      </c>
      <c r="AC666" s="1" t="str">
        <f>IF(Table1[[#This Row],[Spec Type2]]="N/A","N/A",IF(AND(Table1[[#This Row],[DUT Adj Read]]&gt;=Table1[[#This Row],[Low Tol]],Table1[[#This Row],[DUT Adj Read]]&lt;=Table1[[#This Row],[High Tol]]),"Pass","Fail"))</f>
        <v>Fail</v>
      </c>
      <c r="AD666" s="1" t="str">
        <f>IF(AND(Table1[[#This Row],[Spec Type2]]="N/A",Table1[[#This Row],[DUT Adj Read]]="N/A",Table1[[#This Row],[Std Adj Read]]="N/A"),"N/A",IF(Table1[[#This Row],[DUT Adj Read]]="N/A",IF(Table1[[#This Row],[Std Adj Read]]&gt;Table1[[#This Row],[Low Tol]],"Pass","Fail"),IF(Table1[[#This Row],[DUT Adj Read]]&gt;Table1[[#This Row],[Low Tol]],"Pass","Fail")))</f>
        <v>Pass</v>
      </c>
      <c r="AE666" s="1" t="str">
        <f>IF(AND(Table1[[#This Row],[Spec Type2]]="N/A",Table1[[#This Row],[DUT Adj Read]]="N/A",Table1[[#This Row],[Std Adj Read]]="N/A"),"N/A",IF(Table1[[#This Row],[DUT Adj Read]]="N/A",IF(Table1[[#This Row],[Std Adj Read]]&lt;Table1[[#This Row],[High Tol]],"Pass","Fail"),IF(Table1[[#This Row],[DUT Adj Read]]&lt;Table1[[#This Row],[High Tol]],"Pass","Fail")))</f>
        <v>Fail</v>
      </c>
      <c r="AF666" s="1" t="str">
        <f>IF(AND(Table1[[#This Row],[Spec Type2]]="N/A",Table1[[#This Row],[DUT Adj Read]]="N/A",Table1[[#This Row],[Std Adj Read]]="N/A"),"N/A",IF(Table1[[#This Row],[DUT Adj Read]]="N/A",IF(Table1[[#This Row],[Std Adj Read]]&gt;=Table1[[#This Row],[Low Tol]],"Pass","Fail"),IF(Table1[[#This Row],[DUT Adj Read]]&gt;=Table1[[#This Row],[Low Tol]],"Pass","Fail")))</f>
        <v>Pass</v>
      </c>
      <c r="AG666" s="1" t="str">
        <f>IF(AND(Table1[[#This Row],[Spec Type2]]="N/A",Table1[[#This Row],[DUT Adj Read]]="N/A",Table1[[#This Row],[Std Adj Read]]="N/A"),"N/A",IF(Table1[[#This Row],[DUT Adj Read]]="N/A",IF(Table1[[#This Row],[Std Adj Read]]&lt;=Table1[[#This Row],[High Tol]],"Pass","Fail"),IF(Table1[[#This Row],[DUT Adj Read]]&lt;=Table1[[#This Row],[High Tol]],"Pass","Fail")))</f>
        <v>Fail</v>
      </c>
      <c r="AH6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6" s="1" t="b">
        <v>0</v>
      </c>
      <c r="AN666" s="1" t="b">
        <v>0</v>
      </c>
      <c r="AO666" s="1" t="b">
        <v>0</v>
      </c>
    </row>
    <row r="667" spans="1:41" x14ac:dyDescent="0.25">
      <c r="A667" s="10"/>
      <c r="B667" s="10"/>
      <c r="C667" s="10"/>
      <c r="D667" s="10"/>
      <c r="E667" s="10"/>
      <c r="F667" s="10"/>
      <c r="G667" s="10"/>
      <c r="H667" s="10"/>
      <c r="I667" s="1" t="str">
        <f t="shared" si="30"/>
        <v/>
      </c>
      <c r="J667" s="1" t="s">
        <v>35</v>
      </c>
      <c r="K667" s="1" t="str">
        <f t="shared" si="31"/>
        <v/>
      </c>
      <c r="L667" s="1" t="str">
        <f t="shared" si="32"/>
        <v/>
      </c>
      <c r="M667" s="1">
        <f>IF(OR(Table1[[#This Row],[Std Nom]]="",Table1[[#This Row],[Std Read]]=""),0,Table1[[#This Row],[Std Nom]]-Table1[[#This Row],[Std Read]])</f>
        <v>0</v>
      </c>
      <c r="N667" s="1">
        <f>IF(Calculations!$F$5="ACCREDITED 17025 WITH UNCERTAINTIES",$N$10,0)</f>
        <v>0</v>
      </c>
      <c r="O667" s="1" t="str">
        <f>IFERROR(Table1[[#This Row],[Std Nom]]-(_xlfn.XLOOKUP(Table1[[#This Row],[Manufacturer]]&amp;" "&amp;Table1[[#This Row],[Model]],Table13[MFR &amp; MDL],Table13[Tolerance % CW ],"")/100*Table1[[#This Row],[Std Nom]]),"")</f>
        <v/>
      </c>
      <c r="P667" s="1" t="str">
        <f>IFERROR(Table1[[#This Row],[Std Nom]]+(_xlfn.XLOOKUP(Table1[[#This Row],[Manufacturer]]&amp;" "&amp;Table1[[#This Row],[Model]],Table13[MFR &amp; MDL],Table13[Tolerance % CW ],"")/100*Table1[[#This Row],[Std Nom]]),"")</f>
        <v/>
      </c>
      <c r="Q667" s="1" t="e">
        <f>Table1[[#This Row],[High Tol]]-Table1[[#This Row],[Low Tol]]</f>
        <v>#VALUE!</v>
      </c>
      <c r="R667" s="1">
        <f>2*Table1[[#This Row],[Std Error]]</f>
        <v>0</v>
      </c>
      <c r="S667" s="1" t="str">
        <f>IF(Table1[[#This Row],[High Tol]]="","N/A",IFERROR(ABS(Table1[[#This Row],[Tol Span]]/Table1[[#This Row],[Error Span]]),"N/A"))</f>
        <v>N/A</v>
      </c>
      <c r="T667" s="1" t="str">
        <f>IF(OR(Table1[[#This Row],[Low Tol]]="",Table1[[#This Row],[High Tol]]=""),"Needs Analysis",IF(Table1[[#This Row],[Ratio]]&gt;=4,"Not Significant",IF(Table1[[#This Row],[Ratio]]&gt;=2,"Semi-Significant","Significant")))</f>
        <v>Needs Analysis</v>
      </c>
      <c r="W667" s="1">
        <f>IF(Table1[[#This Row],[Cal Type]]&lt;&gt;"ACCREDITED 17025 WITH UNCERTAINTIES",0,"")</f>
        <v>0</v>
      </c>
      <c r="X667" s="1" t="str">
        <f>IF(Table1[[#This Row],[DUT Read]]="","N/A",Table1[[#This Row],[Std Error]]+Table1[[#This Row],[DUT Read]]+Table1[[#This Row],[DUT Ucty]])</f>
        <v>N/A</v>
      </c>
      <c r="Y667" s="1" t="str">
        <f>IF(Table1[[#This Row],[Std Read]]="","N/A",Table1[[#This Row],[Std Read]]+Table1[[#This Row],[Std Ucty]])</f>
        <v>N/A</v>
      </c>
      <c r="Z6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7" s="1" t="str">
        <f>IF(Table1[[#This Row],[Spec Type]]="","N/A",Table1[[#This Row],[Spec Type]])</f>
        <v>±</v>
      </c>
      <c r="AC667" s="1" t="str">
        <f>IF(Table1[[#This Row],[Spec Type2]]="N/A","N/A",IF(AND(Table1[[#This Row],[DUT Adj Read]]&gt;=Table1[[#This Row],[Low Tol]],Table1[[#This Row],[DUT Adj Read]]&lt;=Table1[[#This Row],[High Tol]]),"Pass","Fail"))</f>
        <v>Fail</v>
      </c>
      <c r="AD667" s="1" t="str">
        <f>IF(AND(Table1[[#This Row],[Spec Type2]]="N/A",Table1[[#This Row],[DUT Adj Read]]="N/A",Table1[[#This Row],[Std Adj Read]]="N/A"),"N/A",IF(Table1[[#This Row],[DUT Adj Read]]="N/A",IF(Table1[[#This Row],[Std Adj Read]]&gt;Table1[[#This Row],[Low Tol]],"Pass","Fail"),IF(Table1[[#This Row],[DUT Adj Read]]&gt;Table1[[#This Row],[Low Tol]],"Pass","Fail")))</f>
        <v>Pass</v>
      </c>
      <c r="AE667" s="1" t="str">
        <f>IF(AND(Table1[[#This Row],[Spec Type2]]="N/A",Table1[[#This Row],[DUT Adj Read]]="N/A",Table1[[#This Row],[Std Adj Read]]="N/A"),"N/A",IF(Table1[[#This Row],[DUT Adj Read]]="N/A",IF(Table1[[#This Row],[Std Adj Read]]&lt;Table1[[#This Row],[High Tol]],"Pass","Fail"),IF(Table1[[#This Row],[DUT Adj Read]]&lt;Table1[[#This Row],[High Tol]],"Pass","Fail")))</f>
        <v>Fail</v>
      </c>
      <c r="AF667" s="1" t="str">
        <f>IF(AND(Table1[[#This Row],[Spec Type2]]="N/A",Table1[[#This Row],[DUT Adj Read]]="N/A",Table1[[#This Row],[Std Adj Read]]="N/A"),"N/A",IF(Table1[[#This Row],[DUT Adj Read]]="N/A",IF(Table1[[#This Row],[Std Adj Read]]&gt;=Table1[[#This Row],[Low Tol]],"Pass","Fail"),IF(Table1[[#This Row],[DUT Adj Read]]&gt;=Table1[[#This Row],[Low Tol]],"Pass","Fail")))</f>
        <v>Pass</v>
      </c>
      <c r="AG667" s="1" t="str">
        <f>IF(AND(Table1[[#This Row],[Spec Type2]]="N/A",Table1[[#This Row],[DUT Adj Read]]="N/A",Table1[[#This Row],[Std Adj Read]]="N/A"),"N/A",IF(Table1[[#This Row],[DUT Adj Read]]="N/A",IF(Table1[[#This Row],[Std Adj Read]]&lt;=Table1[[#This Row],[High Tol]],"Pass","Fail"),IF(Table1[[#This Row],[DUT Adj Read]]&lt;=Table1[[#This Row],[High Tol]],"Pass","Fail")))</f>
        <v>Fail</v>
      </c>
      <c r="AH6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7" s="1" t="b">
        <v>0</v>
      </c>
      <c r="AN667" s="1" t="b">
        <v>0</v>
      </c>
      <c r="AO667" s="1" t="b">
        <v>0</v>
      </c>
    </row>
    <row r="668" spans="1:41" x14ac:dyDescent="0.25">
      <c r="A668" s="10"/>
      <c r="B668" s="10"/>
      <c r="C668" s="10"/>
      <c r="D668" s="10"/>
      <c r="E668" s="10"/>
      <c r="F668" s="10"/>
      <c r="G668" s="10"/>
      <c r="H668" s="10"/>
      <c r="I668" s="1" t="str">
        <f t="shared" si="30"/>
        <v/>
      </c>
      <c r="J668" s="1" t="s">
        <v>35</v>
      </c>
      <c r="K668" s="1" t="str">
        <f t="shared" si="31"/>
        <v/>
      </c>
      <c r="L668" s="1" t="str">
        <f t="shared" si="32"/>
        <v/>
      </c>
      <c r="M668" s="1">
        <f>IF(OR(Table1[[#This Row],[Std Nom]]="",Table1[[#This Row],[Std Read]]=""),0,Table1[[#This Row],[Std Nom]]-Table1[[#This Row],[Std Read]])</f>
        <v>0</v>
      </c>
      <c r="N668" s="1">
        <f>IF(Calculations!$F$5="ACCREDITED 17025 WITH UNCERTAINTIES",$N$10,0)</f>
        <v>0</v>
      </c>
      <c r="O668" s="1" t="str">
        <f>IFERROR(Table1[[#This Row],[Std Nom]]-(_xlfn.XLOOKUP(Table1[[#This Row],[Manufacturer]]&amp;" "&amp;Table1[[#This Row],[Model]],Table13[MFR &amp; MDL],Table13[Tolerance % CW ],"")/100*Table1[[#This Row],[Std Nom]]),"")</f>
        <v/>
      </c>
      <c r="P668" s="1" t="str">
        <f>IFERROR(Table1[[#This Row],[Std Nom]]+(_xlfn.XLOOKUP(Table1[[#This Row],[Manufacturer]]&amp;" "&amp;Table1[[#This Row],[Model]],Table13[MFR &amp; MDL],Table13[Tolerance % CW ],"")/100*Table1[[#This Row],[Std Nom]]),"")</f>
        <v/>
      </c>
      <c r="Q668" s="1" t="e">
        <f>Table1[[#This Row],[High Tol]]-Table1[[#This Row],[Low Tol]]</f>
        <v>#VALUE!</v>
      </c>
      <c r="R668" s="1">
        <f>2*Table1[[#This Row],[Std Error]]</f>
        <v>0</v>
      </c>
      <c r="S668" s="1" t="str">
        <f>IF(Table1[[#This Row],[High Tol]]="","N/A",IFERROR(ABS(Table1[[#This Row],[Tol Span]]/Table1[[#This Row],[Error Span]]),"N/A"))</f>
        <v>N/A</v>
      </c>
      <c r="T668" s="1" t="str">
        <f>IF(OR(Table1[[#This Row],[Low Tol]]="",Table1[[#This Row],[High Tol]]=""),"Needs Analysis",IF(Table1[[#This Row],[Ratio]]&gt;=4,"Not Significant",IF(Table1[[#This Row],[Ratio]]&gt;=2,"Semi-Significant","Significant")))</f>
        <v>Needs Analysis</v>
      </c>
      <c r="W668" s="1">
        <f>IF(Table1[[#This Row],[Cal Type]]&lt;&gt;"ACCREDITED 17025 WITH UNCERTAINTIES",0,"")</f>
        <v>0</v>
      </c>
      <c r="X668" s="1" t="str">
        <f>IF(Table1[[#This Row],[DUT Read]]="","N/A",Table1[[#This Row],[Std Error]]+Table1[[#This Row],[DUT Read]]+Table1[[#This Row],[DUT Ucty]])</f>
        <v>N/A</v>
      </c>
      <c r="Y668" s="1" t="str">
        <f>IF(Table1[[#This Row],[Std Read]]="","N/A",Table1[[#This Row],[Std Read]]+Table1[[#This Row],[Std Ucty]])</f>
        <v>N/A</v>
      </c>
      <c r="Z6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8" s="1" t="str">
        <f>IF(Table1[[#This Row],[Spec Type]]="","N/A",Table1[[#This Row],[Spec Type]])</f>
        <v>±</v>
      </c>
      <c r="AC668" s="1" t="str">
        <f>IF(Table1[[#This Row],[Spec Type2]]="N/A","N/A",IF(AND(Table1[[#This Row],[DUT Adj Read]]&gt;=Table1[[#This Row],[Low Tol]],Table1[[#This Row],[DUT Adj Read]]&lt;=Table1[[#This Row],[High Tol]]),"Pass","Fail"))</f>
        <v>Fail</v>
      </c>
      <c r="AD668" s="1" t="str">
        <f>IF(AND(Table1[[#This Row],[Spec Type2]]="N/A",Table1[[#This Row],[DUT Adj Read]]="N/A",Table1[[#This Row],[Std Adj Read]]="N/A"),"N/A",IF(Table1[[#This Row],[DUT Adj Read]]="N/A",IF(Table1[[#This Row],[Std Adj Read]]&gt;Table1[[#This Row],[Low Tol]],"Pass","Fail"),IF(Table1[[#This Row],[DUT Adj Read]]&gt;Table1[[#This Row],[Low Tol]],"Pass","Fail")))</f>
        <v>Pass</v>
      </c>
      <c r="AE668" s="1" t="str">
        <f>IF(AND(Table1[[#This Row],[Spec Type2]]="N/A",Table1[[#This Row],[DUT Adj Read]]="N/A",Table1[[#This Row],[Std Adj Read]]="N/A"),"N/A",IF(Table1[[#This Row],[DUT Adj Read]]="N/A",IF(Table1[[#This Row],[Std Adj Read]]&lt;Table1[[#This Row],[High Tol]],"Pass","Fail"),IF(Table1[[#This Row],[DUT Adj Read]]&lt;Table1[[#This Row],[High Tol]],"Pass","Fail")))</f>
        <v>Fail</v>
      </c>
      <c r="AF668" s="1" t="str">
        <f>IF(AND(Table1[[#This Row],[Spec Type2]]="N/A",Table1[[#This Row],[DUT Adj Read]]="N/A",Table1[[#This Row],[Std Adj Read]]="N/A"),"N/A",IF(Table1[[#This Row],[DUT Adj Read]]="N/A",IF(Table1[[#This Row],[Std Adj Read]]&gt;=Table1[[#This Row],[Low Tol]],"Pass","Fail"),IF(Table1[[#This Row],[DUT Adj Read]]&gt;=Table1[[#This Row],[Low Tol]],"Pass","Fail")))</f>
        <v>Pass</v>
      </c>
      <c r="AG668" s="1" t="str">
        <f>IF(AND(Table1[[#This Row],[Spec Type2]]="N/A",Table1[[#This Row],[DUT Adj Read]]="N/A",Table1[[#This Row],[Std Adj Read]]="N/A"),"N/A",IF(Table1[[#This Row],[DUT Adj Read]]="N/A",IF(Table1[[#This Row],[Std Adj Read]]&lt;=Table1[[#This Row],[High Tol]],"Pass","Fail"),IF(Table1[[#This Row],[DUT Adj Read]]&lt;=Table1[[#This Row],[High Tol]],"Pass","Fail")))</f>
        <v>Fail</v>
      </c>
      <c r="AH6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8" s="1" t="b">
        <v>0</v>
      </c>
      <c r="AN668" s="1" t="b">
        <v>0</v>
      </c>
      <c r="AO668" s="1" t="b">
        <v>0</v>
      </c>
    </row>
    <row r="669" spans="1:41" x14ac:dyDescent="0.25">
      <c r="A669" s="10"/>
      <c r="B669" s="10"/>
      <c r="C669" s="10"/>
      <c r="D669" s="10"/>
      <c r="E669" s="10"/>
      <c r="F669" s="10"/>
      <c r="G669" s="10"/>
      <c r="H669" s="10"/>
      <c r="I669" s="1" t="str">
        <f t="shared" si="30"/>
        <v/>
      </c>
      <c r="J669" s="1" t="s">
        <v>35</v>
      </c>
      <c r="K669" s="1" t="str">
        <f t="shared" si="31"/>
        <v/>
      </c>
      <c r="L669" s="1" t="str">
        <f t="shared" si="32"/>
        <v/>
      </c>
      <c r="M669" s="1">
        <f>IF(OR(Table1[[#This Row],[Std Nom]]="",Table1[[#This Row],[Std Read]]=""),0,Table1[[#This Row],[Std Nom]]-Table1[[#This Row],[Std Read]])</f>
        <v>0</v>
      </c>
      <c r="N669" s="1">
        <f>IF(Calculations!$F$5="ACCREDITED 17025 WITH UNCERTAINTIES",$N$10,0)</f>
        <v>0</v>
      </c>
      <c r="O669" s="1" t="str">
        <f>IFERROR(Table1[[#This Row],[Std Nom]]-(_xlfn.XLOOKUP(Table1[[#This Row],[Manufacturer]]&amp;" "&amp;Table1[[#This Row],[Model]],Table13[MFR &amp; MDL],Table13[Tolerance % CW ],"")/100*Table1[[#This Row],[Std Nom]]),"")</f>
        <v/>
      </c>
      <c r="P669" s="1" t="str">
        <f>IFERROR(Table1[[#This Row],[Std Nom]]+(_xlfn.XLOOKUP(Table1[[#This Row],[Manufacturer]]&amp;" "&amp;Table1[[#This Row],[Model]],Table13[MFR &amp; MDL],Table13[Tolerance % CW ],"")/100*Table1[[#This Row],[Std Nom]]),"")</f>
        <v/>
      </c>
      <c r="Q669" s="1" t="e">
        <f>Table1[[#This Row],[High Tol]]-Table1[[#This Row],[Low Tol]]</f>
        <v>#VALUE!</v>
      </c>
      <c r="R669" s="1">
        <f>2*Table1[[#This Row],[Std Error]]</f>
        <v>0</v>
      </c>
      <c r="S669" s="1" t="str">
        <f>IF(Table1[[#This Row],[High Tol]]="","N/A",IFERROR(ABS(Table1[[#This Row],[Tol Span]]/Table1[[#This Row],[Error Span]]),"N/A"))</f>
        <v>N/A</v>
      </c>
      <c r="T669" s="1" t="str">
        <f>IF(OR(Table1[[#This Row],[Low Tol]]="",Table1[[#This Row],[High Tol]]=""),"Needs Analysis",IF(Table1[[#This Row],[Ratio]]&gt;=4,"Not Significant",IF(Table1[[#This Row],[Ratio]]&gt;=2,"Semi-Significant","Significant")))</f>
        <v>Needs Analysis</v>
      </c>
      <c r="W669" s="1">
        <f>IF(Table1[[#This Row],[Cal Type]]&lt;&gt;"ACCREDITED 17025 WITH UNCERTAINTIES",0,"")</f>
        <v>0</v>
      </c>
      <c r="X669" s="1" t="str">
        <f>IF(Table1[[#This Row],[DUT Read]]="","N/A",Table1[[#This Row],[Std Error]]+Table1[[#This Row],[DUT Read]]+Table1[[#This Row],[DUT Ucty]])</f>
        <v>N/A</v>
      </c>
      <c r="Y669" s="1" t="str">
        <f>IF(Table1[[#This Row],[Std Read]]="","N/A",Table1[[#This Row],[Std Read]]+Table1[[#This Row],[Std Ucty]])</f>
        <v>N/A</v>
      </c>
      <c r="Z6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9" s="1" t="str">
        <f>IF(Table1[[#This Row],[Spec Type]]="","N/A",Table1[[#This Row],[Spec Type]])</f>
        <v>±</v>
      </c>
      <c r="AC669" s="1" t="str">
        <f>IF(Table1[[#This Row],[Spec Type2]]="N/A","N/A",IF(AND(Table1[[#This Row],[DUT Adj Read]]&gt;=Table1[[#This Row],[Low Tol]],Table1[[#This Row],[DUT Adj Read]]&lt;=Table1[[#This Row],[High Tol]]),"Pass","Fail"))</f>
        <v>Fail</v>
      </c>
      <c r="AD669" s="1" t="str">
        <f>IF(AND(Table1[[#This Row],[Spec Type2]]="N/A",Table1[[#This Row],[DUT Adj Read]]="N/A",Table1[[#This Row],[Std Adj Read]]="N/A"),"N/A",IF(Table1[[#This Row],[DUT Adj Read]]="N/A",IF(Table1[[#This Row],[Std Adj Read]]&gt;Table1[[#This Row],[Low Tol]],"Pass","Fail"),IF(Table1[[#This Row],[DUT Adj Read]]&gt;Table1[[#This Row],[Low Tol]],"Pass","Fail")))</f>
        <v>Pass</v>
      </c>
      <c r="AE669" s="1" t="str">
        <f>IF(AND(Table1[[#This Row],[Spec Type2]]="N/A",Table1[[#This Row],[DUT Adj Read]]="N/A",Table1[[#This Row],[Std Adj Read]]="N/A"),"N/A",IF(Table1[[#This Row],[DUT Adj Read]]="N/A",IF(Table1[[#This Row],[Std Adj Read]]&lt;Table1[[#This Row],[High Tol]],"Pass","Fail"),IF(Table1[[#This Row],[DUT Adj Read]]&lt;Table1[[#This Row],[High Tol]],"Pass","Fail")))</f>
        <v>Fail</v>
      </c>
      <c r="AF669" s="1" t="str">
        <f>IF(AND(Table1[[#This Row],[Spec Type2]]="N/A",Table1[[#This Row],[DUT Adj Read]]="N/A",Table1[[#This Row],[Std Adj Read]]="N/A"),"N/A",IF(Table1[[#This Row],[DUT Adj Read]]="N/A",IF(Table1[[#This Row],[Std Adj Read]]&gt;=Table1[[#This Row],[Low Tol]],"Pass","Fail"),IF(Table1[[#This Row],[DUT Adj Read]]&gt;=Table1[[#This Row],[Low Tol]],"Pass","Fail")))</f>
        <v>Pass</v>
      </c>
      <c r="AG669" s="1" t="str">
        <f>IF(AND(Table1[[#This Row],[Spec Type2]]="N/A",Table1[[#This Row],[DUT Adj Read]]="N/A",Table1[[#This Row],[Std Adj Read]]="N/A"),"N/A",IF(Table1[[#This Row],[DUT Adj Read]]="N/A",IF(Table1[[#This Row],[Std Adj Read]]&lt;=Table1[[#This Row],[High Tol]],"Pass","Fail"),IF(Table1[[#This Row],[DUT Adj Read]]&lt;=Table1[[#This Row],[High Tol]],"Pass","Fail")))</f>
        <v>Fail</v>
      </c>
      <c r="AH6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9" s="1" t="b">
        <v>0</v>
      </c>
      <c r="AN669" s="1" t="b">
        <v>0</v>
      </c>
      <c r="AO669" s="1" t="b">
        <v>0</v>
      </c>
    </row>
    <row r="670" spans="1:41" x14ac:dyDescent="0.25">
      <c r="A670" s="10"/>
      <c r="B670" s="10"/>
      <c r="C670" s="10"/>
      <c r="D670" s="10"/>
      <c r="E670" s="10"/>
      <c r="F670" s="10"/>
      <c r="G670" s="10"/>
      <c r="H670" s="10"/>
      <c r="I670" s="1" t="str">
        <f t="shared" si="30"/>
        <v/>
      </c>
      <c r="J670" s="1" t="s">
        <v>35</v>
      </c>
      <c r="K670" s="1" t="str">
        <f t="shared" si="31"/>
        <v/>
      </c>
      <c r="L670" s="1" t="str">
        <f t="shared" si="32"/>
        <v/>
      </c>
      <c r="M670" s="1">
        <f>IF(OR(Table1[[#This Row],[Std Nom]]="",Table1[[#This Row],[Std Read]]=""),0,Table1[[#This Row],[Std Nom]]-Table1[[#This Row],[Std Read]])</f>
        <v>0</v>
      </c>
      <c r="N670" s="1">
        <f>IF(Calculations!$F$5="ACCREDITED 17025 WITH UNCERTAINTIES",$N$10,0)</f>
        <v>0</v>
      </c>
      <c r="O670" s="1" t="str">
        <f>IFERROR(Table1[[#This Row],[Std Nom]]-(_xlfn.XLOOKUP(Table1[[#This Row],[Manufacturer]]&amp;" "&amp;Table1[[#This Row],[Model]],Table13[MFR &amp; MDL],Table13[Tolerance % CW ],"")/100*Table1[[#This Row],[Std Nom]]),"")</f>
        <v/>
      </c>
      <c r="P670" s="1" t="str">
        <f>IFERROR(Table1[[#This Row],[Std Nom]]+(_xlfn.XLOOKUP(Table1[[#This Row],[Manufacturer]]&amp;" "&amp;Table1[[#This Row],[Model]],Table13[MFR &amp; MDL],Table13[Tolerance % CW ],"")/100*Table1[[#This Row],[Std Nom]]),"")</f>
        <v/>
      </c>
      <c r="Q670" s="1" t="e">
        <f>Table1[[#This Row],[High Tol]]-Table1[[#This Row],[Low Tol]]</f>
        <v>#VALUE!</v>
      </c>
      <c r="R670" s="1">
        <f>2*Table1[[#This Row],[Std Error]]</f>
        <v>0</v>
      </c>
      <c r="S670" s="1" t="str">
        <f>IF(Table1[[#This Row],[High Tol]]="","N/A",IFERROR(ABS(Table1[[#This Row],[Tol Span]]/Table1[[#This Row],[Error Span]]),"N/A"))</f>
        <v>N/A</v>
      </c>
      <c r="T670" s="1" t="str">
        <f>IF(OR(Table1[[#This Row],[Low Tol]]="",Table1[[#This Row],[High Tol]]=""),"Needs Analysis",IF(Table1[[#This Row],[Ratio]]&gt;=4,"Not Significant",IF(Table1[[#This Row],[Ratio]]&gt;=2,"Semi-Significant","Significant")))</f>
        <v>Needs Analysis</v>
      </c>
      <c r="W670" s="1">
        <f>IF(Table1[[#This Row],[Cal Type]]&lt;&gt;"ACCREDITED 17025 WITH UNCERTAINTIES",0,"")</f>
        <v>0</v>
      </c>
      <c r="X670" s="1" t="str">
        <f>IF(Table1[[#This Row],[DUT Read]]="","N/A",Table1[[#This Row],[Std Error]]+Table1[[#This Row],[DUT Read]]+Table1[[#This Row],[DUT Ucty]])</f>
        <v>N/A</v>
      </c>
      <c r="Y670" s="1" t="str">
        <f>IF(Table1[[#This Row],[Std Read]]="","N/A",Table1[[#This Row],[Std Read]]+Table1[[#This Row],[Std Ucty]])</f>
        <v>N/A</v>
      </c>
      <c r="Z6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0" s="1" t="str">
        <f>IF(Table1[[#This Row],[Spec Type]]="","N/A",Table1[[#This Row],[Spec Type]])</f>
        <v>±</v>
      </c>
      <c r="AC670" s="1" t="str">
        <f>IF(Table1[[#This Row],[Spec Type2]]="N/A","N/A",IF(AND(Table1[[#This Row],[DUT Adj Read]]&gt;=Table1[[#This Row],[Low Tol]],Table1[[#This Row],[DUT Adj Read]]&lt;=Table1[[#This Row],[High Tol]]),"Pass","Fail"))</f>
        <v>Fail</v>
      </c>
      <c r="AD670" s="1" t="str">
        <f>IF(AND(Table1[[#This Row],[Spec Type2]]="N/A",Table1[[#This Row],[DUT Adj Read]]="N/A",Table1[[#This Row],[Std Adj Read]]="N/A"),"N/A",IF(Table1[[#This Row],[DUT Adj Read]]="N/A",IF(Table1[[#This Row],[Std Adj Read]]&gt;Table1[[#This Row],[Low Tol]],"Pass","Fail"),IF(Table1[[#This Row],[DUT Adj Read]]&gt;Table1[[#This Row],[Low Tol]],"Pass","Fail")))</f>
        <v>Pass</v>
      </c>
      <c r="AE670" s="1" t="str">
        <f>IF(AND(Table1[[#This Row],[Spec Type2]]="N/A",Table1[[#This Row],[DUT Adj Read]]="N/A",Table1[[#This Row],[Std Adj Read]]="N/A"),"N/A",IF(Table1[[#This Row],[DUT Adj Read]]="N/A",IF(Table1[[#This Row],[Std Adj Read]]&lt;Table1[[#This Row],[High Tol]],"Pass","Fail"),IF(Table1[[#This Row],[DUT Adj Read]]&lt;Table1[[#This Row],[High Tol]],"Pass","Fail")))</f>
        <v>Fail</v>
      </c>
      <c r="AF670" s="1" t="str">
        <f>IF(AND(Table1[[#This Row],[Spec Type2]]="N/A",Table1[[#This Row],[DUT Adj Read]]="N/A",Table1[[#This Row],[Std Adj Read]]="N/A"),"N/A",IF(Table1[[#This Row],[DUT Adj Read]]="N/A",IF(Table1[[#This Row],[Std Adj Read]]&gt;=Table1[[#This Row],[Low Tol]],"Pass","Fail"),IF(Table1[[#This Row],[DUT Adj Read]]&gt;=Table1[[#This Row],[Low Tol]],"Pass","Fail")))</f>
        <v>Pass</v>
      </c>
      <c r="AG670" s="1" t="str">
        <f>IF(AND(Table1[[#This Row],[Spec Type2]]="N/A",Table1[[#This Row],[DUT Adj Read]]="N/A",Table1[[#This Row],[Std Adj Read]]="N/A"),"N/A",IF(Table1[[#This Row],[DUT Adj Read]]="N/A",IF(Table1[[#This Row],[Std Adj Read]]&lt;=Table1[[#This Row],[High Tol]],"Pass","Fail"),IF(Table1[[#This Row],[DUT Adj Read]]&lt;=Table1[[#This Row],[High Tol]],"Pass","Fail")))</f>
        <v>Fail</v>
      </c>
      <c r="AH6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0" s="1" t="b">
        <v>0</v>
      </c>
      <c r="AN670" s="1" t="b">
        <v>0</v>
      </c>
      <c r="AO670" s="1" t="b">
        <v>0</v>
      </c>
    </row>
    <row r="671" spans="1:41" x14ac:dyDescent="0.25">
      <c r="A671" s="10"/>
      <c r="B671" s="10"/>
      <c r="C671" s="10"/>
      <c r="D671" s="10"/>
      <c r="E671" s="10"/>
      <c r="F671" s="10"/>
      <c r="G671" s="10"/>
      <c r="H671" s="10"/>
      <c r="I671" s="1" t="str">
        <f t="shared" si="30"/>
        <v/>
      </c>
      <c r="J671" s="1" t="s">
        <v>35</v>
      </c>
      <c r="K671" s="1" t="str">
        <f t="shared" si="31"/>
        <v/>
      </c>
      <c r="L671" s="1" t="str">
        <f t="shared" si="32"/>
        <v/>
      </c>
      <c r="M671" s="1">
        <f>IF(OR(Table1[[#This Row],[Std Nom]]="",Table1[[#This Row],[Std Read]]=""),0,Table1[[#This Row],[Std Nom]]-Table1[[#This Row],[Std Read]])</f>
        <v>0</v>
      </c>
      <c r="N671" s="1">
        <f>IF(Calculations!$F$5="ACCREDITED 17025 WITH UNCERTAINTIES",$N$10,0)</f>
        <v>0</v>
      </c>
      <c r="O671" s="1" t="str">
        <f>IFERROR(Table1[[#This Row],[Std Nom]]-(_xlfn.XLOOKUP(Table1[[#This Row],[Manufacturer]]&amp;" "&amp;Table1[[#This Row],[Model]],Table13[MFR &amp; MDL],Table13[Tolerance % CW ],"")/100*Table1[[#This Row],[Std Nom]]),"")</f>
        <v/>
      </c>
      <c r="P671" s="1" t="str">
        <f>IFERROR(Table1[[#This Row],[Std Nom]]+(_xlfn.XLOOKUP(Table1[[#This Row],[Manufacturer]]&amp;" "&amp;Table1[[#This Row],[Model]],Table13[MFR &amp; MDL],Table13[Tolerance % CW ],"")/100*Table1[[#This Row],[Std Nom]]),"")</f>
        <v/>
      </c>
      <c r="Q671" s="1" t="e">
        <f>Table1[[#This Row],[High Tol]]-Table1[[#This Row],[Low Tol]]</f>
        <v>#VALUE!</v>
      </c>
      <c r="R671" s="1">
        <f>2*Table1[[#This Row],[Std Error]]</f>
        <v>0</v>
      </c>
      <c r="S671" s="1" t="str">
        <f>IF(Table1[[#This Row],[High Tol]]="","N/A",IFERROR(ABS(Table1[[#This Row],[Tol Span]]/Table1[[#This Row],[Error Span]]),"N/A"))</f>
        <v>N/A</v>
      </c>
      <c r="T671" s="1" t="str">
        <f>IF(OR(Table1[[#This Row],[Low Tol]]="",Table1[[#This Row],[High Tol]]=""),"Needs Analysis",IF(Table1[[#This Row],[Ratio]]&gt;=4,"Not Significant",IF(Table1[[#This Row],[Ratio]]&gt;=2,"Semi-Significant","Significant")))</f>
        <v>Needs Analysis</v>
      </c>
      <c r="W671" s="1">
        <f>IF(Table1[[#This Row],[Cal Type]]&lt;&gt;"ACCREDITED 17025 WITH UNCERTAINTIES",0,"")</f>
        <v>0</v>
      </c>
      <c r="X671" s="1" t="str">
        <f>IF(Table1[[#This Row],[DUT Read]]="","N/A",Table1[[#This Row],[Std Error]]+Table1[[#This Row],[DUT Read]]+Table1[[#This Row],[DUT Ucty]])</f>
        <v>N/A</v>
      </c>
      <c r="Y671" s="1" t="str">
        <f>IF(Table1[[#This Row],[Std Read]]="","N/A",Table1[[#This Row],[Std Read]]+Table1[[#This Row],[Std Ucty]])</f>
        <v>N/A</v>
      </c>
      <c r="Z6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1" s="1" t="str">
        <f>IF(Table1[[#This Row],[Spec Type]]="","N/A",Table1[[#This Row],[Spec Type]])</f>
        <v>±</v>
      </c>
      <c r="AC671" s="1" t="str">
        <f>IF(Table1[[#This Row],[Spec Type2]]="N/A","N/A",IF(AND(Table1[[#This Row],[DUT Adj Read]]&gt;=Table1[[#This Row],[Low Tol]],Table1[[#This Row],[DUT Adj Read]]&lt;=Table1[[#This Row],[High Tol]]),"Pass","Fail"))</f>
        <v>Fail</v>
      </c>
      <c r="AD671" s="1" t="str">
        <f>IF(AND(Table1[[#This Row],[Spec Type2]]="N/A",Table1[[#This Row],[DUT Adj Read]]="N/A",Table1[[#This Row],[Std Adj Read]]="N/A"),"N/A",IF(Table1[[#This Row],[DUT Adj Read]]="N/A",IF(Table1[[#This Row],[Std Adj Read]]&gt;Table1[[#This Row],[Low Tol]],"Pass","Fail"),IF(Table1[[#This Row],[DUT Adj Read]]&gt;Table1[[#This Row],[Low Tol]],"Pass","Fail")))</f>
        <v>Pass</v>
      </c>
      <c r="AE671" s="1" t="str">
        <f>IF(AND(Table1[[#This Row],[Spec Type2]]="N/A",Table1[[#This Row],[DUT Adj Read]]="N/A",Table1[[#This Row],[Std Adj Read]]="N/A"),"N/A",IF(Table1[[#This Row],[DUT Adj Read]]="N/A",IF(Table1[[#This Row],[Std Adj Read]]&lt;Table1[[#This Row],[High Tol]],"Pass","Fail"),IF(Table1[[#This Row],[DUT Adj Read]]&lt;Table1[[#This Row],[High Tol]],"Pass","Fail")))</f>
        <v>Fail</v>
      </c>
      <c r="AF671" s="1" t="str">
        <f>IF(AND(Table1[[#This Row],[Spec Type2]]="N/A",Table1[[#This Row],[DUT Adj Read]]="N/A",Table1[[#This Row],[Std Adj Read]]="N/A"),"N/A",IF(Table1[[#This Row],[DUT Adj Read]]="N/A",IF(Table1[[#This Row],[Std Adj Read]]&gt;=Table1[[#This Row],[Low Tol]],"Pass","Fail"),IF(Table1[[#This Row],[DUT Adj Read]]&gt;=Table1[[#This Row],[Low Tol]],"Pass","Fail")))</f>
        <v>Pass</v>
      </c>
      <c r="AG671" s="1" t="str">
        <f>IF(AND(Table1[[#This Row],[Spec Type2]]="N/A",Table1[[#This Row],[DUT Adj Read]]="N/A",Table1[[#This Row],[Std Adj Read]]="N/A"),"N/A",IF(Table1[[#This Row],[DUT Adj Read]]="N/A",IF(Table1[[#This Row],[Std Adj Read]]&lt;=Table1[[#This Row],[High Tol]],"Pass","Fail"),IF(Table1[[#This Row],[DUT Adj Read]]&lt;=Table1[[#This Row],[High Tol]],"Pass","Fail")))</f>
        <v>Fail</v>
      </c>
      <c r="AH6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1" s="1" t="b">
        <v>0</v>
      </c>
      <c r="AN671" s="1" t="b">
        <v>0</v>
      </c>
      <c r="AO671" s="1" t="b">
        <v>0</v>
      </c>
    </row>
    <row r="672" spans="1:41" x14ac:dyDescent="0.25">
      <c r="A672" s="10"/>
      <c r="B672" s="10"/>
      <c r="C672" s="10"/>
      <c r="D672" s="10"/>
      <c r="E672" s="10"/>
      <c r="F672" s="10"/>
      <c r="G672" s="10"/>
      <c r="H672" s="10"/>
      <c r="I672" s="1" t="str">
        <f t="shared" si="30"/>
        <v/>
      </c>
      <c r="J672" s="1" t="s">
        <v>35</v>
      </c>
      <c r="K672" s="1" t="str">
        <f t="shared" si="31"/>
        <v/>
      </c>
      <c r="L672" s="1" t="str">
        <f t="shared" si="32"/>
        <v/>
      </c>
      <c r="M672" s="1">
        <f>IF(OR(Table1[[#This Row],[Std Nom]]="",Table1[[#This Row],[Std Read]]=""),0,Table1[[#This Row],[Std Nom]]-Table1[[#This Row],[Std Read]])</f>
        <v>0</v>
      </c>
      <c r="N672" s="1">
        <f>IF(Calculations!$F$5="ACCREDITED 17025 WITH UNCERTAINTIES",$N$10,0)</f>
        <v>0</v>
      </c>
      <c r="O672" s="1" t="str">
        <f>IFERROR(Table1[[#This Row],[Std Nom]]-(_xlfn.XLOOKUP(Table1[[#This Row],[Manufacturer]]&amp;" "&amp;Table1[[#This Row],[Model]],Table13[MFR &amp; MDL],Table13[Tolerance % CW ],"")/100*Table1[[#This Row],[Std Nom]]),"")</f>
        <v/>
      </c>
      <c r="P672" s="1" t="str">
        <f>IFERROR(Table1[[#This Row],[Std Nom]]+(_xlfn.XLOOKUP(Table1[[#This Row],[Manufacturer]]&amp;" "&amp;Table1[[#This Row],[Model]],Table13[MFR &amp; MDL],Table13[Tolerance % CW ],"")/100*Table1[[#This Row],[Std Nom]]),"")</f>
        <v/>
      </c>
      <c r="Q672" s="1" t="e">
        <f>Table1[[#This Row],[High Tol]]-Table1[[#This Row],[Low Tol]]</f>
        <v>#VALUE!</v>
      </c>
      <c r="R672" s="1">
        <f>2*Table1[[#This Row],[Std Error]]</f>
        <v>0</v>
      </c>
      <c r="S672" s="1" t="str">
        <f>IF(Table1[[#This Row],[High Tol]]="","N/A",IFERROR(ABS(Table1[[#This Row],[Tol Span]]/Table1[[#This Row],[Error Span]]),"N/A"))</f>
        <v>N/A</v>
      </c>
      <c r="T672" s="1" t="str">
        <f>IF(OR(Table1[[#This Row],[Low Tol]]="",Table1[[#This Row],[High Tol]]=""),"Needs Analysis",IF(Table1[[#This Row],[Ratio]]&gt;=4,"Not Significant",IF(Table1[[#This Row],[Ratio]]&gt;=2,"Semi-Significant","Significant")))</f>
        <v>Needs Analysis</v>
      </c>
      <c r="W672" s="1">
        <f>IF(Table1[[#This Row],[Cal Type]]&lt;&gt;"ACCREDITED 17025 WITH UNCERTAINTIES",0,"")</f>
        <v>0</v>
      </c>
      <c r="X672" s="1" t="str">
        <f>IF(Table1[[#This Row],[DUT Read]]="","N/A",Table1[[#This Row],[Std Error]]+Table1[[#This Row],[DUT Read]]+Table1[[#This Row],[DUT Ucty]])</f>
        <v>N/A</v>
      </c>
      <c r="Y672" s="1" t="str">
        <f>IF(Table1[[#This Row],[Std Read]]="","N/A",Table1[[#This Row],[Std Read]]+Table1[[#This Row],[Std Ucty]])</f>
        <v>N/A</v>
      </c>
      <c r="Z6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2" s="1" t="str">
        <f>IF(Table1[[#This Row],[Spec Type]]="","N/A",Table1[[#This Row],[Spec Type]])</f>
        <v>±</v>
      </c>
      <c r="AC672" s="1" t="str">
        <f>IF(Table1[[#This Row],[Spec Type2]]="N/A","N/A",IF(AND(Table1[[#This Row],[DUT Adj Read]]&gt;=Table1[[#This Row],[Low Tol]],Table1[[#This Row],[DUT Adj Read]]&lt;=Table1[[#This Row],[High Tol]]),"Pass","Fail"))</f>
        <v>Fail</v>
      </c>
      <c r="AD672" s="1" t="str">
        <f>IF(AND(Table1[[#This Row],[Spec Type2]]="N/A",Table1[[#This Row],[DUT Adj Read]]="N/A",Table1[[#This Row],[Std Adj Read]]="N/A"),"N/A",IF(Table1[[#This Row],[DUT Adj Read]]="N/A",IF(Table1[[#This Row],[Std Adj Read]]&gt;Table1[[#This Row],[Low Tol]],"Pass","Fail"),IF(Table1[[#This Row],[DUT Adj Read]]&gt;Table1[[#This Row],[Low Tol]],"Pass","Fail")))</f>
        <v>Pass</v>
      </c>
      <c r="AE672" s="1" t="str">
        <f>IF(AND(Table1[[#This Row],[Spec Type2]]="N/A",Table1[[#This Row],[DUT Adj Read]]="N/A",Table1[[#This Row],[Std Adj Read]]="N/A"),"N/A",IF(Table1[[#This Row],[DUT Adj Read]]="N/A",IF(Table1[[#This Row],[Std Adj Read]]&lt;Table1[[#This Row],[High Tol]],"Pass","Fail"),IF(Table1[[#This Row],[DUT Adj Read]]&lt;Table1[[#This Row],[High Tol]],"Pass","Fail")))</f>
        <v>Fail</v>
      </c>
      <c r="AF672" s="1" t="str">
        <f>IF(AND(Table1[[#This Row],[Spec Type2]]="N/A",Table1[[#This Row],[DUT Adj Read]]="N/A",Table1[[#This Row],[Std Adj Read]]="N/A"),"N/A",IF(Table1[[#This Row],[DUT Adj Read]]="N/A",IF(Table1[[#This Row],[Std Adj Read]]&gt;=Table1[[#This Row],[Low Tol]],"Pass","Fail"),IF(Table1[[#This Row],[DUT Adj Read]]&gt;=Table1[[#This Row],[Low Tol]],"Pass","Fail")))</f>
        <v>Pass</v>
      </c>
      <c r="AG672" s="1" t="str">
        <f>IF(AND(Table1[[#This Row],[Spec Type2]]="N/A",Table1[[#This Row],[DUT Adj Read]]="N/A",Table1[[#This Row],[Std Adj Read]]="N/A"),"N/A",IF(Table1[[#This Row],[DUT Adj Read]]="N/A",IF(Table1[[#This Row],[Std Adj Read]]&lt;=Table1[[#This Row],[High Tol]],"Pass","Fail"),IF(Table1[[#This Row],[DUT Adj Read]]&lt;=Table1[[#This Row],[High Tol]],"Pass","Fail")))</f>
        <v>Fail</v>
      </c>
      <c r="AH6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2" s="1" t="b">
        <v>0</v>
      </c>
      <c r="AN672" s="1" t="b">
        <v>0</v>
      </c>
      <c r="AO672" s="1" t="b">
        <v>0</v>
      </c>
    </row>
    <row r="673" spans="1:41" x14ac:dyDescent="0.25">
      <c r="A673" s="10"/>
      <c r="B673" s="10"/>
      <c r="C673" s="10"/>
      <c r="D673" s="10"/>
      <c r="E673" s="10"/>
      <c r="F673" s="10"/>
      <c r="G673" s="10"/>
      <c r="H673" s="10"/>
      <c r="I673" s="1" t="str">
        <f t="shared" si="30"/>
        <v/>
      </c>
      <c r="J673" s="1" t="s">
        <v>35</v>
      </c>
      <c r="K673" s="1" t="str">
        <f t="shared" si="31"/>
        <v/>
      </c>
      <c r="L673" s="1" t="str">
        <f t="shared" si="32"/>
        <v/>
      </c>
      <c r="M673" s="1">
        <f>IF(OR(Table1[[#This Row],[Std Nom]]="",Table1[[#This Row],[Std Read]]=""),0,Table1[[#This Row],[Std Nom]]-Table1[[#This Row],[Std Read]])</f>
        <v>0</v>
      </c>
      <c r="N673" s="1">
        <f>IF(Calculations!$F$5="ACCREDITED 17025 WITH UNCERTAINTIES",$N$10,0)</f>
        <v>0</v>
      </c>
      <c r="O673" s="1" t="str">
        <f>IFERROR(Table1[[#This Row],[Std Nom]]-(_xlfn.XLOOKUP(Table1[[#This Row],[Manufacturer]]&amp;" "&amp;Table1[[#This Row],[Model]],Table13[MFR &amp; MDL],Table13[Tolerance % CW ],"")/100*Table1[[#This Row],[Std Nom]]),"")</f>
        <v/>
      </c>
      <c r="P673" s="1" t="str">
        <f>IFERROR(Table1[[#This Row],[Std Nom]]+(_xlfn.XLOOKUP(Table1[[#This Row],[Manufacturer]]&amp;" "&amp;Table1[[#This Row],[Model]],Table13[MFR &amp; MDL],Table13[Tolerance % CW ],"")/100*Table1[[#This Row],[Std Nom]]),"")</f>
        <v/>
      </c>
      <c r="Q673" s="1" t="e">
        <f>Table1[[#This Row],[High Tol]]-Table1[[#This Row],[Low Tol]]</f>
        <v>#VALUE!</v>
      </c>
      <c r="R673" s="1">
        <f>2*Table1[[#This Row],[Std Error]]</f>
        <v>0</v>
      </c>
      <c r="S673" s="1" t="str">
        <f>IF(Table1[[#This Row],[High Tol]]="","N/A",IFERROR(ABS(Table1[[#This Row],[Tol Span]]/Table1[[#This Row],[Error Span]]),"N/A"))</f>
        <v>N/A</v>
      </c>
      <c r="T673" s="1" t="str">
        <f>IF(OR(Table1[[#This Row],[Low Tol]]="",Table1[[#This Row],[High Tol]]=""),"Needs Analysis",IF(Table1[[#This Row],[Ratio]]&gt;=4,"Not Significant",IF(Table1[[#This Row],[Ratio]]&gt;=2,"Semi-Significant","Significant")))</f>
        <v>Needs Analysis</v>
      </c>
      <c r="W673" s="1">
        <f>IF(Table1[[#This Row],[Cal Type]]&lt;&gt;"ACCREDITED 17025 WITH UNCERTAINTIES",0,"")</f>
        <v>0</v>
      </c>
      <c r="X673" s="1" t="str">
        <f>IF(Table1[[#This Row],[DUT Read]]="","N/A",Table1[[#This Row],[Std Error]]+Table1[[#This Row],[DUT Read]]+Table1[[#This Row],[DUT Ucty]])</f>
        <v>N/A</v>
      </c>
      <c r="Y673" s="1" t="str">
        <f>IF(Table1[[#This Row],[Std Read]]="","N/A",Table1[[#This Row],[Std Read]]+Table1[[#This Row],[Std Ucty]])</f>
        <v>N/A</v>
      </c>
      <c r="Z6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3" s="1" t="str">
        <f>IF(Table1[[#This Row],[Spec Type]]="","N/A",Table1[[#This Row],[Spec Type]])</f>
        <v>±</v>
      </c>
      <c r="AC673" s="1" t="str">
        <f>IF(Table1[[#This Row],[Spec Type2]]="N/A","N/A",IF(AND(Table1[[#This Row],[DUT Adj Read]]&gt;=Table1[[#This Row],[Low Tol]],Table1[[#This Row],[DUT Adj Read]]&lt;=Table1[[#This Row],[High Tol]]),"Pass","Fail"))</f>
        <v>Fail</v>
      </c>
      <c r="AD673" s="1" t="str">
        <f>IF(AND(Table1[[#This Row],[Spec Type2]]="N/A",Table1[[#This Row],[DUT Adj Read]]="N/A",Table1[[#This Row],[Std Adj Read]]="N/A"),"N/A",IF(Table1[[#This Row],[DUT Adj Read]]="N/A",IF(Table1[[#This Row],[Std Adj Read]]&gt;Table1[[#This Row],[Low Tol]],"Pass","Fail"),IF(Table1[[#This Row],[DUT Adj Read]]&gt;Table1[[#This Row],[Low Tol]],"Pass","Fail")))</f>
        <v>Pass</v>
      </c>
      <c r="AE673" s="1" t="str">
        <f>IF(AND(Table1[[#This Row],[Spec Type2]]="N/A",Table1[[#This Row],[DUT Adj Read]]="N/A",Table1[[#This Row],[Std Adj Read]]="N/A"),"N/A",IF(Table1[[#This Row],[DUT Adj Read]]="N/A",IF(Table1[[#This Row],[Std Adj Read]]&lt;Table1[[#This Row],[High Tol]],"Pass","Fail"),IF(Table1[[#This Row],[DUT Adj Read]]&lt;Table1[[#This Row],[High Tol]],"Pass","Fail")))</f>
        <v>Fail</v>
      </c>
      <c r="AF673" s="1" t="str">
        <f>IF(AND(Table1[[#This Row],[Spec Type2]]="N/A",Table1[[#This Row],[DUT Adj Read]]="N/A",Table1[[#This Row],[Std Adj Read]]="N/A"),"N/A",IF(Table1[[#This Row],[DUT Adj Read]]="N/A",IF(Table1[[#This Row],[Std Adj Read]]&gt;=Table1[[#This Row],[Low Tol]],"Pass","Fail"),IF(Table1[[#This Row],[DUT Adj Read]]&gt;=Table1[[#This Row],[Low Tol]],"Pass","Fail")))</f>
        <v>Pass</v>
      </c>
      <c r="AG673" s="1" t="str">
        <f>IF(AND(Table1[[#This Row],[Spec Type2]]="N/A",Table1[[#This Row],[DUT Adj Read]]="N/A",Table1[[#This Row],[Std Adj Read]]="N/A"),"N/A",IF(Table1[[#This Row],[DUT Adj Read]]="N/A",IF(Table1[[#This Row],[Std Adj Read]]&lt;=Table1[[#This Row],[High Tol]],"Pass","Fail"),IF(Table1[[#This Row],[DUT Adj Read]]&lt;=Table1[[#This Row],[High Tol]],"Pass","Fail")))</f>
        <v>Fail</v>
      </c>
      <c r="AH6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3" s="1" t="b">
        <v>0</v>
      </c>
      <c r="AN673" s="1" t="b">
        <v>0</v>
      </c>
      <c r="AO673" s="1" t="b">
        <v>0</v>
      </c>
    </row>
    <row r="674" spans="1:41" x14ac:dyDescent="0.25">
      <c r="A674" s="10"/>
      <c r="B674" s="10"/>
      <c r="C674" s="10"/>
      <c r="D674" s="10"/>
      <c r="E674" s="10"/>
      <c r="F674" s="10"/>
      <c r="G674" s="10"/>
      <c r="H674" s="10"/>
      <c r="I674" s="1" t="str">
        <f t="shared" si="30"/>
        <v/>
      </c>
      <c r="J674" s="1" t="s">
        <v>35</v>
      </c>
      <c r="K674" s="1" t="str">
        <f t="shared" si="31"/>
        <v/>
      </c>
      <c r="L674" s="1" t="str">
        <f t="shared" si="32"/>
        <v/>
      </c>
      <c r="M674" s="1">
        <f>IF(OR(Table1[[#This Row],[Std Nom]]="",Table1[[#This Row],[Std Read]]=""),0,Table1[[#This Row],[Std Nom]]-Table1[[#This Row],[Std Read]])</f>
        <v>0</v>
      </c>
      <c r="N674" s="1">
        <f>IF(Calculations!$F$5="ACCREDITED 17025 WITH UNCERTAINTIES",$N$10,0)</f>
        <v>0</v>
      </c>
      <c r="O674" s="1" t="str">
        <f>IFERROR(Table1[[#This Row],[Std Nom]]-(_xlfn.XLOOKUP(Table1[[#This Row],[Manufacturer]]&amp;" "&amp;Table1[[#This Row],[Model]],Table13[MFR &amp; MDL],Table13[Tolerance % CW ],"")/100*Table1[[#This Row],[Std Nom]]),"")</f>
        <v/>
      </c>
      <c r="P674" s="1" t="str">
        <f>IFERROR(Table1[[#This Row],[Std Nom]]+(_xlfn.XLOOKUP(Table1[[#This Row],[Manufacturer]]&amp;" "&amp;Table1[[#This Row],[Model]],Table13[MFR &amp; MDL],Table13[Tolerance % CW ],"")/100*Table1[[#This Row],[Std Nom]]),"")</f>
        <v/>
      </c>
      <c r="Q674" s="1" t="e">
        <f>Table1[[#This Row],[High Tol]]-Table1[[#This Row],[Low Tol]]</f>
        <v>#VALUE!</v>
      </c>
      <c r="R674" s="1">
        <f>2*Table1[[#This Row],[Std Error]]</f>
        <v>0</v>
      </c>
      <c r="S674" s="1" t="str">
        <f>IF(Table1[[#This Row],[High Tol]]="","N/A",IFERROR(ABS(Table1[[#This Row],[Tol Span]]/Table1[[#This Row],[Error Span]]),"N/A"))</f>
        <v>N/A</v>
      </c>
      <c r="T674" s="1" t="str">
        <f>IF(OR(Table1[[#This Row],[Low Tol]]="",Table1[[#This Row],[High Tol]]=""),"Needs Analysis",IF(Table1[[#This Row],[Ratio]]&gt;=4,"Not Significant",IF(Table1[[#This Row],[Ratio]]&gt;=2,"Semi-Significant","Significant")))</f>
        <v>Needs Analysis</v>
      </c>
      <c r="W674" s="1">
        <f>IF(Table1[[#This Row],[Cal Type]]&lt;&gt;"ACCREDITED 17025 WITH UNCERTAINTIES",0,"")</f>
        <v>0</v>
      </c>
      <c r="X674" s="1" t="str">
        <f>IF(Table1[[#This Row],[DUT Read]]="","N/A",Table1[[#This Row],[Std Error]]+Table1[[#This Row],[DUT Read]]+Table1[[#This Row],[DUT Ucty]])</f>
        <v>N/A</v>
      </c>
      <c r="Y674" s="1" t="str">
        <f>IF(Table1[[#This Row],[Std Read]]="","N/A",Table1[[#This Row],[Std Read]]+Table1[[#This Row],[Std Ucty]])</f>
        <v>N/A</v>
      </c>
      <c r="Z6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4" s="1" t="str">
        <f>IF(Table1[[#This Row],[Spec Type]]="","N/A",Table1[[#This Row],[Spec Type]])</f>
        <v>±</v>
      </c>
      <c r="AC674" s="1" t="str">
        <f>IF(Table1[[#This Row],[Spec Type2]]="N/A","N/A",IF(AND(Table1[[#This Row],[DUT Adj Read]]&gt;=Table1[[#This Row],[Low Tol]],Table1[[#This Row],[DUT Adj Read]]&lt;=Table1[[#This Row],[High Tol]]),"Pass","Fail"))</f>
        <v>Fail</v>
      </c>
      <c r="AD674" s="1" t="str">
        <f>IF(AND(Table1[[#This Row],[Spec Type2]]="N/A",Table1[[#This Row],[DUT Adj Read]]="N/A",Table1[[#This Row],[Std Adj Read]]="N/A"),"N/A",IF(Table1[[#This Row],[DUT Adj Read]]="N/A",IF(Table1[[#This Row],[Std Adj Read]]&gt;Table1[[#This Row],[Low Tol]],"Pass","Fail"),IF(Table1[[#This Row],[DUT Adj Read]]&gt;Table1[[#This Row],[Low Tol]],"Pass","Fail")))</f>
        <v>Pass</v>
      </c>
      <c r="AE674" s="1" t="str">
        <f>IF(AND(Table1[[#This Row],[Spec Type2]]="N/A",Table1[[#This Row],[DUT Adj Read]]="N/A",Table1[[#This Row],[Std Adj Read]]="N/A"),"N/A",IF(Table1[[#This Row],[DUT Adj Read]]="N/A",IF(Table1[[#This Row],[Std Adj Read]]&lt;Table1[[#This Row],[High Tol]],"Pass","Fail"),IF(Table1[[#This Row],[DUT Adj Read]]&lt;Table1[[#This Row],[High Tol]],"Pass","Fail")))</f>
        <v>Fail</v>
      </c>
      <c r="AF674" s="1" t="str">
        <f>IF(AND(Table1[[#This Row],[Spec Type2]]="N/A",Table1[[#This Row],[DUT Adj Read]]="N/A",Table1[[#This Row],[Std Adj Read]]="N/A"),"N/A",IF(Table1[[#This Row],[DUT Adj Read]]="N/A",IF(Table1[[#This Row],[Std Adj Read]]&gt;=Table1[[#This Row],[Low Tol]],"Pass","Fail"),IF(Table1[[#This Row],[DUT Adj Read]]&gt;=Table1[[#This Row],[Low Tol]],"Pass","Fail")))</f>
        <v>Pass</v>
      </c>
      <c r="AG674" s="1" t="str">
        <f>IF(AND(Table1[[#This Row],[Spec Type2]]="N/A",Table1[[#This Row],[DUT Adj Read]]="N/A",Table1[[#This Row],[Std Adj Read]]="N/A"),"N/A",IF(Table1[[#This Row],[DUT Adj Read]]="N/A",IF(Table1[[#This Row],[Std Adj Read]]&lt;=Table1[[#This Row],[High Tol]],"Pass","Fail"),IF(Table1[[#This Row],[DUT Adj Read]]&lt;=Table1[[#This Row],[High Tol]],"Pass","Fail")))</f>
        <v>Fail</v>
      </c>
      <c r="AH6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4" s="1" t="b">
        <v>0</v>
      </c>
      <c r="AN674" s="1" t="b">
        <v>0</v>
      </c>
      <c r="AO674" s="1" t="b">
        <v>0</v>
      </c>
    </row>
    <row r="675" spans="1:41" x14ac:dyDescent="0.25">
      <c r="A675" s="10"/>
      <c r="B675" s="10"/>
      <c r="C675" s="10"/>
      <c r="D675" s="10"/>
      <c r="E675" s="10"/>
      <c r="F675" s="10"/>
      <c r="G675" s="10"/>
      <c r="H675" s="10"/>
      <c r="I675" s="1" t="str">
        <f t="shared" si="30"/>
        <v/>
      </c>
      <c r="J675" s="1" t="s">
        <v>35</v>
      </c>
      <c r="K675" s="1" t="str">
        <f t="shared" si="31"/>
        <v/>
      </c>
      <c r="L675" s="1" t="str">
        <f t="shared" si="32"/>
        <v/>
      </c>
      <c r="M675" s="1">
        <f>IF(OR(Table1[[#This Row],[Std Nom]]="",Table1[[#This Row],[Std Read]]=""),0,Table1[[#This Row],[Std Nom]]-Table1[[#This Row],[Std Read]])</f>
        <v>0</v>
      </c>
      <c r="N675" s="1">
        <f>IF(Calculations!$F$5="ACCREDITED 17025 WITH UNCERTAINTIES",$N$10,0)</f>
        <v>0</v>
      </c>
      <c r="O675" s="1" t="str">
        <f>IFERROR(Table1[[#This Row],[Std Nom]]-(_xlfn.XLOOKUP(Table1[[#This Row],[Manufacturer]]&amp;" "&amp;Table1[[#This Row],[Model]],Table13[MFR &amp; MDL],Table13[Tolerance % CW ],"")/100*Table1[[#This Row],[Std Nom]]),"")</f>
        <v/>
      </c>
      <c r="P675" s="1" t="str">
        <f>IFERROR(Table1[[#This Row],[Std Nom]]+(_xlfn.XLOOKUP(Table1[[#This Row],[Manufacturer]]&amp;" "&amp;Table1[[#This Row],[Model]],Table13[MFR &amp; MDL],Table13[Tolerance % CW ],"")/100*Table1[[#This Row],[Std Nom]]),"")</f>
        <v/>
      </c>
      <c r="Q675" s="1" t="e">
        <f>Table1[[#This Row],[High Tol]]-Table1[[#This Row],[Low Tol]]</f>
        <v>#VALUE!</v>
      </c>
      <c r="R675" s="1">
        <f>2*Table1[[#This Row],[Std Error]]</f>
        <v>0</v>
      </c>
      <c r="S675" s="1" t="str">
        <f>IF(Table1[[#This Row],[High Tol]]="","N/A",IFERROR(ABS(Table1[[#This Row],[Tol Span]]/Table1[[#This Row],[Error Span]]),"N/A"))</f>
        <v>N/A</v>
      </c>
      <c r="T675" s="1" t="str">
        <f>IF(OR(Table1[[#This Row],[Low Tol]]="",Table1[[#This Row],[High Tol]]=""),"Needs Analysis",IF(Table1[[#This Row],[Ratio]]&gt;=4,"Not Significant",IF(Table1[[#This Row],[Ratio]]&gt;=2,"Semi-Significant","Significant")))</f>
        <v>Needs Analysis</v>
      </c>
      <c r="W675" s="1">
        <f>IF(Table1[[#This Row],[Cal Type]]&lt;&gt;"ACCREDITED 17025 WITH UNCERTAINTIES",0,"")</f>
        <v>0</v>
      </c>
      <c r="X675" s="1" t="str">
        <f>IF(Table1[[#This Row],[DUT Read]]="","N/A",Table1[[#This Row],[Std Error]]+Table1[[#This Row],[DUT Read]]+Table1[[#This Row],[DUT Ucty]])</f>
        <v>N/A</v>
      </c>
      <c r="Y675" s="1" t="str">
        <f>IF(Table1[[#This Row],[Std Read]]="","N/A",Table1[[#This Row],[Std Read]]+Table1[[#This Row],[Std Ucty]])</f>
        <v>N/A</v>
      </c>
      <c r="Z6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5" s="1" t="str">
        <f>IF(Table1[[#This Row],[Spec Type]]="","N/A",Table1[[#This Row],[Spec Type]])</f>
        <v>±</v>
      </c>
      <c r="AC675" s="1" t="str">
        <f>IF(Table1[[#This Row],[Spec Type2]]="N/A","N/A",IF(AND(Table1[[#This Row],[DUT Adj Read]]&gt;=Table1[[#This Row],[Low Tol]],Table1[[#This Row],[DUT Adj Read]]&lt;=Table1[[#This Row],[High Tol]]),"Pass","Fail"))</f>
        <v>Fail</v>
      </c>
      <c r="AD675" s="1" t="str">
        <f>IF(AND(Table1[[#This Row],[Spec Type2]]="N/A",Table1[[#This Row],[DUT Adj Read]]="N/A",Table1[[#This Row],[Std Adj Read]]="N/A"),"N/A",IF(Table1[[#This Row],[DUT Adj Read]]="N/A",IF(Table1[[#This Row],[Std Adj Read]]&gt;Table1[[#This Row],[Low Tol]],"Pass","Fail"),IF(Table1[[#This Row],[DUT Adj Read]]&gt;Table1[[#This Row],[Low Tol]],"Pass","Fail")))</f>
        <v>Pass</v>
      </c>
      <c r="AE675" s="1" t="str">
        <f>IF(AND(Table1[[#This Row],[Spec Type2]]="N/A",Table1[[#This Row],[DUT Adj Read]]="N/A",Table1[[#This Row],[Std Adj Read]]="N/A"),"N/A",IF(Table1[[#This Row],[DUT Adj Read]]="N/A",IF(Table1[[#This Row],[Std Adj Read]]&lt;Table1[[#This Row],[High Tol]],"Pass","Fail"),IF(Table1[[#This Row],[DUT Adj Read]]&lt;Table1[[#This Row],[High Tol]],"Pass","Fail")))</f>
        <v>Fail</v>
      </c>
      <c r="AF675" s="1" t="str">
        <f>IF(AND(Table1[[#This Row],[Spec Type2]]="N/A",Table1[[#This Row],[DUT Adj Read]]="N/A",Table1[[#This Row],[Std Adj Read]]="N/A"),"N/A",IF(Table1[[#This Row],[DUT Adj Read]]="N/A",IF(Table1[[#This Row],[Std Adj Read]]&gt;=Table1[[#This Row],[Low Tol]],"Pass","Fail"),IF(Table1[[#This Row],[DUT Adj Read]]&gt;=Table1[[#This Row],[Low Tol]],"Pass","Fail")))</f>
        <v>Pass</v>
      </c>
      <c r="AG675" s="1" t="str">
        <f>IF(AND(Table1[[#This Row],[Spec Type2]]="N/A",Table1[[#This Row],[DUT Adj Read]]="N/A",Table1[[#This Row],[Std Adj Read]]="N/A"),"N/A",IF(Table1[[#This Row],[DUT Adj Read]]="N/A",IF(Table1[[#This Row],[Std Adj Read]]&lt;=Table1[[#This Row],[High Tol]],"Pass","Fail"),IF(Table1[[#This Row],[DUT Adj Read]]&lt;=Table1[[#This Row],[High Tol]],"Pass","Fail")))</f>
        <v>Fail</v>
      </c>
      <c r="AH6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5" s="1" t="b">
        <v>0</v>
      </c>
      <c r="AN675" s="1" t="b">
        <v>0</v>
      </c>
      <c r="AO675" s="1" t="b">
        <v>0</v>
      </c>
    </row>
    <row r="676" spans="1:41" x14ac:dyDescent="0.25">
      <c r="A676" s="10"/>
      <c r="B676" s="10"/>
      <c r="C676" s="10"/>
      <c r="D676" s="10"/>
      <c r="E676" s="10"/>
      <c r="F676" s="10"/>
      <c r="G676" s="10"/>
      <c r="H676" s="10"/>
      <c r="I676" s="1" t="str">
        <f t="shared" si="30"/>
        <v/>
      </c>
      <c r="J676" s="1" t="s">
        <v>35</v>
      </c>
      <c r="K676" s="1" t="str">
        <f t="shared" si="31"/>
        <v/>
      </c>
      <c r="L676" s="1" t="str">
        <f t="shared" si="32"/>
        <v/>
      </c>
      <c r="M676" s="1">
        <f>IF(OR(Table1[[#This Row],[Std Nom]]="",Table1[[#This Row],[Std Read]]=""),0,Table1[[#This Row],[Std Nom]]-Table1[[#This Row],[Std Read]])</f>
        <v>0</v>
      </c>
      <c r="N676" s="1">
        <f>IF(Calculations!$F$5="ACCREDITED 17025 WITH UNCERTAINTIES",$N$10,0)</f>
        <v>0</v>
      </c>
      <c r="O676" s="1" t="str">
        <f>IFERROR(Table1[[#This Row],[Std Nom]]-(_xlfn.XLOOKUP(Table1[[#This Row],[Manufacturer]]&amp;" "&amp;Table1[[#This Row],[Model]],Table13[MFR &amp; MDL],Table13[Tolerance % CW ],"")/100*Table1[[#This Row],[Std Nom]]),"")</f>
        <v/>
      </c>
      <c r="P676" s="1" t="str">
        <f>IFERROR(Table1[[#This Row],[Std Nom]]+(_xlfn.XLOOKUP(Table1[[#This Row],[Manufacturer]]&amp;" "&amp;Table1[[#This Row],[Model]],Table13[MFR &amp; MDL],Table13[Tolerance % CW ],"")/100*Table1[[#This Row],[Std Nom]]),"")</f>
        <v/>
      </c>
      <c r="Q676" s="1" t="e">
        <f>Table1[[#This Row],[High Tol]]-Table1[[#This Row],[Low Tol]]</f>
        <v>#VALUE!</v>
      </c>
      <c r="R676" s="1">
        <f>2*Table1[[#This Row],[Std Error]]</f>
        <v>0</v>
      </c>
      <c r="S676" s="1" t="str">
        <f>IF(Table1[[#This Row],[High Tol]]="","N/A",IFERROR(ABS(Table1[[#This Row],[Tol Span]]/Table1[[#This Row],[Error Span]]),"N/A"))</f>
        <v>N/A</v>
      </c>
      <c r="T676" s="1" t="str">
        <f>IF(OR(Table1[[#This Row],[Low Tol]]="",Table1[[#This Row],[High Tol]]=""),"Needs Analysis",IF(Table1[[#This Row],[Ratio]]&gt;=4,"Not Significant",IF(Table1[[#This Row],[Ratio]]&gt;=2,"Semi-Significant","Significant")))</f>
        <v>Needs Analysis</v>
      </c>
      <c r="W676" s="1">
        <f>IF(Table1[[#This Row],[Cal Type]]&lt;&gt;"ACCREDITED 17025 WITH UNCERTAINTIES",0,"")</f>
        <v>0</v>
      </c>
      <c r="X676" s="1" t="str">
        <f>IF(Table1[[#This Row],[DUT Read]]="","N/A",Table1[[#This Row],[Std Error]]+Table1[[#This Row],[DUT Read]]+Table1[[#This Row],[DUT Ucty]])</f>
        <v>N/A</v>
      </c>
      <c r="Y676" s="1" t="str">
        <f>IF(Table1[[#This Row],[Std Read]]="","N/A",Table1[[#This Row],[Std Read]]+Table1[[#This Row],[Std Ucty]])</f>
        <v>N/A</v>
      </c>
      <c r="Z6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6" s="1" t="str">
        <f>IF(Table1[[#This Row],[Spec Type]]="","N/A",Table1[[#This Row],[Spec Type]])</f>
        <v>±</v>
      </c>
      <c r="AC676" s="1" t="str">
        <f>IF(Table1[[#This Row],[Spec Type2]]="N/A","N/A",IF(AND(Table1[[#This Row],[DUT Adj Read]]&gt;=Table1[[#This Row],[Low Tol]],Table1[[#This Row],[DUT Adj Read]]&lt;=Table1[[#This Row],[High Tol]]),"Pass","Fail"))</f>
        <v>Fail</v>
      </c>
      <c r="AD676" s="1" t="str">
        <f>IF(AND(Table1[[#This Row],[Spec Type2]]="N/A",Table1[[#This Row],[DUT Adj Read]]="N/A",Table1[[#This Row],[Std Adj Read]]="N/A"),"N/A",IF(Table1[[#This Row],[DUT Adj Read]]="N/A",IF(Table1[[#This Row],[Std Adj Read]]&gt;Table1[[#This Row],[Low Tol]],"Pass","Fail"),IF(Table1[[#This Row],[DUT Adj Read]]&gt;Table1[[#This Row],[Low Tol]],"Pass","Fail")))</f>
        <v>Pass</v>
      </c>
      <c r="AE676" s="1" t="str">
        <f>IF(AND(Table1[[#This Row],[Spec Type2]]="N/A",Table1[[#This Row],[DUT Adj Read]]="N/A",Table1[[#This Row],[Std Adj Read]]="N/A"),"N/A",IF(Table1[[#This Row],[DUT Adj Read]]="N/A",IF(Table1[[#This Row],[Std Adj Read]]&lt;Table1[[#This Row],[High Tol]],"Pass","Fail"),IF(Table1[[#This Row],[DUT Adj Read]]&lt;Table1[[#This Row],[High Tol]],"Pass","Fail")))</f>
        <v>Fail</v>
      </c>
      <c r="AF676" s="1" t="str">
        <f>IF(AND(Table1[[#This Row],[Spec Type2]]="N/A",Table1[[#This Row],[DUT Adj Read]]="N/A",Table1[[#This Row],[Std Adj Read]]="N/A"),"N/A",IF(Table1[[#This Row],[DUT Adj Read]]="N/A",IF(Table1[[#This Row],[Std Adj Read]]&gt;=Table1[[#This Row],[Low Tol]],"Pass","Fail"),IF(Table1[[#This Row],[DUT Adj Read]]&gt;=Table1[[#This Row],[Low Tol]],"Pass","Fail")))</f>
        <v>Pass</v>
      </c>
      <c r="AG676" s="1" t="str">
        <f>IF(AND(Table1[[#This Row],[Spec Type2]]="N/A",Table1[[#This Row],[DUT Adj Read]]="N/A",Table1[[#This Row],[Std Adj Read]]="N/A"),"N/A",IF(Table1[[#This Row],[DUT Adj Read]]="N/A",IF(Table1[[#This Row],[Std Adj Read]]&lt;=Table1[[#This Row],[High Tol]],"Pass","Fail"),IF(Table1[[#This Row],[DUT Adj Read]]&lt;=Table1[[#This Row],[High Tol]],"Pass","Fail")))</f>
        <v>Fail</v>
      </c>
      <c r="AH6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6" s="1" t="b">
        <v>0</v>
      </c>
      <c r="AN676" s="1" t="b">
        <v>0</v>
      </c>
      <c r="AO676" s="1" t="b">
        <v>0</v>
      </c>
    </row>
    <row r="677" spans="1:41" x14ac:dyDescent="0.25">
      <c r="A677" s="10"/>
      <c r="B677" s="10"/>
      <c r="C677" s="10"/>
      <c r="D677" s="10"/>
      <c r="E677" s="10"/>
      <c r="F677" s="10"/>
      <c r="G677" s="10"/>
      <c r="H677" s="10"/>
      <c r="I677" s="1" t="str">
        <f t="shared" si="30"/>
        <v/>
      </c>
      <c r="J677" s="1" t="s">
        <v>35</v>
      </c>
      <c r="K677" s="1" t="str">
        <f t="shared" si="31"/>
        <v/>
      </c>
      <c r="L677" s="1" t="str">
        <f t="shared" si="32"/>
        <v/>
      </c>
      <c r="M677" s="1">
        <f>IF(OR(Table1[[#This Row],[Std Nom]]="",Table1[[#This Row],[Std Read]]=""),0,Table1[[#This Row],[Std Nom]]-Table1[[#This Row],[Std Read]])</f>
        <v>0</v>
      </c>
      <c r="N677" s="1">
        <f>IF(Calculations!$F$5="ACCREDITED 17025 WITH UNCERTAINTIES",$N$10,0)</f>
        <v>0</v>
      </c>
      <c r="O677" s="1" t="str">
        <f>IFERROR(Table1[[#This Row],[Std Nom]]-(_xlfn.XLOOKUP(Table1[[#This Row],[Manufacturer]]&amp;" "&amp;Table1[[#This Row],[Model]],Table13[MFR &amp; MDL],Table13[Tolerance % CW ],"")/100*Table1[[#This Row],[Std Nom]]),"")</f>
        <v/>
      </c>
      <c r="P677" s="1" t="str">
        <f>IFERROR(Table1[[#This Row],[Std Nom]]+(_xlfn.XLOOKUP(Table1[[#This Row],[Manufacturer]]&amp;" "&amp;Table1[[#This Row],[Model]],Table13[MFR &amp; MDL],Table13[Tolerance % CW ],"")/100*Table1[[#This Row],[Std Nom]]),"")</f>
        <v/>
      </c>
      <c r="Q677" s="1" t="e">
        <f>Table1[[#This Row],[High Tol]]-Table1[[#This Row],[Low Tol]]</f>
        <v>#VALUE!</v>
      </c>
      <c r="R677" s="1">
        <f>2*Table1[[#This Row],[Std Error]]</f>
        <v>0</v>
      </c>
      <c r="S677" s="1" t="str">
        <f>IF(Table1[[#This Row],[High Tol]]="","N/A",IFERROR(ABS(Table1[[#This Row],[Tol Span]]/Table1[[#This Row],[Error Span]]),"N/A"))</f>
        <v>N/A</v>
      </c>
      <c r="T677" s="1" t="str">
        <f>IF(OR(Table1[[#This Row],[Low Tol]]="",Table1[[#This Row],[High Tol]]=""),"Needs Analysis",IF(Table1[[#This Row],[Ratio]]&gt;=4,"Not Significant",IF(Table1[[#This Row],[Ratio]]&gt;=2,"Semi-Significant","Significant")))</f>
        <v>Needs Analysis</v>
      </c>
      <c r="W677" s="1">
        <f>IF(Table1[[#This Row],[Cal Type]]&lt;&gt;"ACCREDITED 17025 WITH UNCERTAINTIES",0,"")</f>
        <v>0</v>
      </c>
      <c r="X677" s="1" t="str">
        <f>IF(Table1[[#This Row],[DUT Read]]="","N/A",Table1[[#This Row],[Std Error]]+Table1[[#This Row],[DUT Read]]+Table1[[#This Row],[DUT Ucty]])</f>
        <v>N/A</v>
      </c>
      <c r="Y677" s="1" t="str">
        <f>IF(Table1[[#This Row],[Std Read]]="","N/A",Table1[[#This Row],[Std Read]]+Table1[[#This Row],[Std Ucty]])</f>
        <v>N/A</v>
      </c>
      <c r="Z6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7" s="1" t="str">
        <f>IF(Table1[[#This Row],[Spec Type]]="","N/A",Table1[[#This Row],[Spec Type]])</f>
        <v>±</v>
      </c>
      <c r="AC677" s="1" t="str">
        <f>IF(Table1[[#This Row],[Spec Type2]]="N/A","N/A",IF(AND(Table1[[#This Row],[DUT Adj Read]]&gt;=Table1[[#This Row],[Low Tol]],Table1[[#This Row],[DUT Adj Read]]&lt;=Table1[[#This Row],[High Tol]]),"Pass","Fail"))</f>
        <v>Fail</v>
      </c>
      <c r="AD677" s="1" t="str">
        <f>IF(AND(Table1[[#This Row],[Spec Type2]]="N/A",Table1[[#This Row],[DUT Adj Read]]="N/A",Table1[[#This Row],[Std Adj Read]]="N/A"),"N/A",IF(Table1[[#This Row],[DUT Adj Read]]="N/A",IF(Table1[[#This Row],[Std Adj Read]]&gt;Table1[[#This Row],[Low Tol]],"Pass","Fail"),IF(Table1[[#This Row],[DUT Adj Read]]&gt;Table1[[#This Row],[Low Tol]],"Pass","Fail")))</f>
        <v>Pass</v>
      </c>
      <c r="AE677" s="1" t="str">
        <f>IF(AND(Table1[[#This Row],[Spec Type2]]="N/A",Table1[[#This Row],[DUT Adj Read]]="N/A",Table1[[#This Row],[Std Adj Read]]="N/A"),"N/A",IF(Table1[[#This Row],[DUT Adj Read]]="N/A",IF(Table1[[#This Row],[Std Adj Read]]&lt;Table1[[#This Row],[High Tol]],"Pass","Fail"),IF(Table1[[#This Row],[DUT Adj Read]]&lt;Table1[[#This Row],[High Tol]],"Pass","Fail")))</f>
        <v>Fail</v>
      </c>
      <c r="AF677" s="1" t="str">
        <f>IF(AND(Table1[[#This Row],[Spec Type2]]="N/A",Table1[[#This Row],[DUT Adj Read]]="N/A",Table1[[#This Row],[Std Adj Read]]="N/A"),"N/A",IF(Table1[[#This Row],[DUT Adj Read]]="N/A",IF(Table1[[#This Row],[Std Adj Read]]&gt;=Table1[[#This Row],[Low Tol]],"Pass","Fail"),IF(Table1[[#This Row],[DUT Adj Read]]&gt;=Table1[[#This Row],[Low Tol]],"Pass","Fail")))</f>
        <v>Pass</v>
      </c>
      <c r="AG677" s="1" t="str">
        <f>IF(AND(Table1[[#This Row],[Spec Type2]]="N/A",Table1[[#This Row],[DUT Adj Read]]="N/A",Table1[[#This Row],[Std Adj Read]]="N/A"),"N/A",IF(Table1[[#This Row],[DUT Adj Read]]="N/A",IF(Table1[[#This Row],[Std Adj Read]]&lt;=Table1[[#This Row],[High Tol]],"Pass","Fail"),IF(Table1[[#This Row],[DUT Adj Read]]&lt;=Table1[[#This Row],[High Tol]],"Pass","Fail")))</f>
        <v>Fail</v>
      </c>
      <c r="AH6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7" s="1" t="b">
        <v>0</v>
      </c>
      <c r="AN677" s="1" t="b">
        <v>0</v>
      </c>
      <c r="AO677" s="1" t="b">
        <v>0</v>
      </c>
    </row>
    <row r="678" spans="1:41" x14ac:dyDescent="0.25">
      <c r="A678" s="10"/>
      <c r="B678" s="10"/>
      <c r="C678" s="10"/>
      <c r="D678" s="10"/>
      <c r="E678" s="10"/>
      <c r="F678" s="10"/>
      <c r="G678" s="10"/>
      <c r="H678" s="10"/>
      <c r="I678" s="1" t="str">
        <f t="shared" si="30"/>
        <v/>
      </c>
      <c r="J678" s="1" t="s">
        <v>35</v>
      </c>
      <c r="K678" s="1" t="str">
        <f t="shared" si="31"/>
        <v/>
      </c>
      <c r="L678" s="1" t="str">
        <f t="shared" si="32"/>
        <v/>
      </c>
      <c r="M678" s="1">
        <f>IF(OR(Table1[[#This Row],[Std Nom]]="",Table1[[#This Row],[Std Read]]=""),0,Table1[[#This Row],[Std Nom]]-Table1[[#This Row],[Std Read]])</f>
        <v>0</v>
      </c>
      <c r="N678" s="1">
        <f>IF(Calculations!$F$5="ACCREDITED 17025 WITH UNCERTAINTIES",$N$10,0)</f>
        <v>0</v>
      </c>
      <c r="O678" s="1" t="str">
        <f>IFERROR(Table1[[#This Row],[Std Nom]]-(_xlfn.XLOOKUP(Table1[[#This Row],[Manufacturer]]&amp;" "&amp;Table1[[#This Row],[Model]],Table13[MFR &amp; MDL],Table13[Tolerance % CW ],"")/100*Table1[[#This Row],[Std Nom]]),"")</f>
        <v/>
      </c>
      <c r="P678" s="1" t="str">
        <f>IFERROR(Table1[[#This Row],[Std Nom]]+(_xlfn.XLOOKUP(Table1[[#This Row],[Manufacturer]]&amp;" "&amp;Table1[[#This Row],[Model]],Table13[MFR &amp; MDL],Table13[Tolerance % CW ],"")/100*Table1[[#This Row],[Std Nom]]),"")</f>
        <v/>
      </c>
      <c r="Q678" s="1" t="e">
        <f>Table1[[#This Row],[High Tol]]-Table1[[#This Row],[Low Tol]]</f>
        <v>#VALUE!</v>
      </c>
      <c r="R678" s="1">
        <f>2*Table1[[#This Row],[Std Error]]</f>
        <v>0</v>
      </c>
      <c r="S678" s="1" t="str">
        <f>IF(Table1[[#This Row],[High Tol]]="","N/A",IFERROR(ABS(Table1[[#This Row],[Tol Span]]/Table1[[#This Row],[Error Span]]),"N/A"))</f>
        <v>N/A</v>
      </c>
      <c r="T678" s="1" t="str">
        <f>IF(OR(Table1[[#This Row],[Low Tol]]="",Table1[[#This Row],[High Tol]]=""),"Needs Analysis",IF(Table1[[#This Row],[Ratio]]&gt;=4,"Not Significant",IF(Table1[[#This Row],[Ratio]]&gt;=2,"Semi-Significant","Significant")))</f>
        <v>Needs Analysis</v>
      </c>
      <c r="W678" s="1">
        <f>IF(Table1[[#This Row],[Cal Type]]&lt;&gt;"ACCREDITED 17025 WITH UNCERTAINTIES",0,"")</f>
        <v>0</v>
      </c>
      <c r="X678" s="1" t="str">
        <f>IF(Table1[[#This Row],[DUT Read]]="","N/A",Table1[[#This Row],[Std Error]]+Table1[[#This Row],[DUT Read]]+Table1[[#This Row],[DUT Ucty]])</f>
        <v>N/A</v>
      </c>
      <c r="Y678" s="1" t="str">
        <f>IF(Table1[[#This Row],[Std Read]]="","N/A",Table1[[#This Row],[Std Read]]+Table1[[#This Row],[Std Ucty]])</f>
        <v>N/A</v>
      </c>
      <c r="Z6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8" s="1" t="str">
        <f>IF(Table1[[#This Row],[Spec Type]]="","N/A",Table1[[#This Row],[Spec Type]])</f>
        <v>±</v>
      </c>
      <c r="AC678" s="1" t="str">
        <f>IF(Table1[[#This Row],[Spec Type2]]="N/A","N/A",IF(AND(Table1[[#This Row],[DUT Adj Read]]&gt;=Table1[[#This Row],[Low Tol]],Table1[[#This Row],[DUT Adj Read]]&lt;=Table1[[#This Row],[High Tol]]),"Pass","Fail"))</f>
        <v>Fail</v>
      </c>
      <c r="AD678" s="1" t="str">
        <f>IF(AND(Table1[[#This Row],[Spec Type2]]="N/A",Table1[[#This Row],[DUT Adj Read]]="N/A",Table1[[#This Row],[Std Adj Read]]="N/A"),"N/A",IF(Table1[[#This Row],[DUT Adj Read]]="N/A",IF(Table1[[#This Row],[Std Adj Read]]&gt;Table1[[#This Row],[Low Tol]],"Pass","Fail"),IF(Table1[[#This Row],[DUT Adj Read]]&gt;Table1[[#This Row],[Low Tol]],"Pass","Fail")))</f>
        <v>Pass</v>
      </c>
      <c r="AE678" s="1" t="str">
        <f>IF(AND(Table1[[#This Row],[Spec Type2]]="N/A",Table1[[#This Row],[DUT Adj Read]]="N/A",Table1[[#This Row],[Std Adj Read]]="N/A"),"N/A",IF(Table1[[#This Row],[DUT Adj Read]]="N/A",IF(Table1[[#This Row],[Std Adj Read]]&lt;Table1[[#This Row],[High Tol]],"Pass","Fail"),IF(Table1[[#This Row],[DUT Adj Read]]&lt;Table1[[#This Row],[High Tol]],"Pass","Fail")))</f>
        <v>Fail</v>
      </c>
      <c r="AF678" s="1" t="str">
        <f>IF(AND(Table1[[#This Row],[Spec Type2]]="N/A",Table1[[#This Row],[DUT Adj Read]]="N/A",Table1[[#This Row],[Std Adj Read]]="N/A"),"N/A",IF(Table1[[#This Row],[DUT Adj Read]]="N/A",IF(Table1[[#This Row],[Std Adj Read]]&gt;=Table1[[#This Row],[Low Tol]],"Pass","Fail"),IF(Table1[[#This Row],[DUT Adj Read]]&gt;=Table1[[#This Row],[Low Tol]],"Pass","Fail")))</f>
        <v>Pass</v>
      </c>
      <c r="AG678" s="1" t="str">
        <f>IF(AND(Table1[[#This Row],[Spec Type2]]="N/A",Table1[[#This Row],[DUT Adj Read]]="N/A",Table1[[#This Row],[Std Adj Read]]="N/A"),"N/A",IF(Table1[[#This Row],[DUT Adj Read]]="N/A",IF(Table1[[#This Row],[Std Adj Read]]&lt;=Table1[[#This Row],[High Tol]],"Pass","Fail"),IF(Table1[[#This Row],[DUT Adj Read]]&lt;=Table1[[#This Row],[High Tol]],"Pass","Fail")))</f>
        <v>Fail</v>
      </c>
      <c r="AH6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8" s="1" t="b">
        <v>0</v>
      </c>
      <c r="AN678" s="1" t="b">
        <v>0</v>
      </c>
      <c r="AO678" s="1" t="b">
        <v>0</v>
      </c>
    </row>
    <row r="679" spans="1:41" x14ac:dyDescent="0.25">
      <c r="A679" s="10"/>
      <c r="B679" s="10"/>
      <c r="C679" s="10"/>
      <c r="D679" s="10"/>
      <c r="E679" s="10"/>
      <c r="F679" s="10"/>
      <c r="G679" s="10"/>
      <c r="H679" s="10"/>
      <c r="I679" s="1" t="str">
        <f t="shared" si="30"/>
        <v/>
      </c>
      <c r="J679" s="1" t="s">
        <v>35</v>
      </c>
      <c r="K679" s="1" t="str">
        <f t="shared" si="31"/>
        <v/>
      </c>
      <c r="L679" s="1" t="str">
        <f t="shared" si="32"/>
        <v/>
      </c>
      <c r="M679" s="1">
        <f>IF(OR(Table1[[#This Row],[Std Nom]]="",Table1[[#This Row],[Std Read]]=""),0,Table1[[#This Row],[Std Nom]]-Table1[[#This Row],[Std Read]])</f>
        <v>0</v>
      </c>
      <c r="N679" s="1">
        <f>IF(Calculations!$F$5="ACCREDITED 17025 WITH UNCERTAINTIES",$N$10,0)</f>
        <v>0</v>
      </c>
      <c r="O679" s="1" t="str">
        <f>IFERROR(Table1[[#This Row],[Std Nom]]-(_xlfn.XLOOKUP(Table1[[#This Row],[Manufacturer]]&amp;" "&amp;Table1[[#This Row],[Model]],Table13[MFR &amp; MDL],Table13[Tolerance % CW ],"")/100*Table1[[#This Row],[Std Nom]]),"")</f>
        <v/>
      </c>
      <c r="P679" s="1" t="str">
        <f>IFERROR(Table1[[#This Row],[Std Nom]]+(_xlfn.XLOOKUP(Table1[[#This Row],[Manufacturer]]&amp;" "&amp;Table1[[#This Row],[Model]],Table13[MFR &amp; MDL],Table13[Tolerance % CW ],"")/100*Table1[[#This Row],[Std Nom]]),"")</f>
        <v/>
      </c>
      <c r="Q679" s="1" t="e">
        <f>Table1[[#This Row],[High Tol]]-Table1[[#This Row],[Low Tol]]</f>
        <v>#VALUE!</v>
      </c>
      <c r="R679" s="1">
        <f>2*Table1[[#This Row],[Std Error]]</f>
        <v>0</v>
      </c>
      <c r="S679" s="1" t="str">
        <f>IF(Table1[[#This Row],[High Tol]]="","N/A",IFERROR(ABS(Table1[[#This Row],[Tol Span]]/Table1[[#This Row],[Error Span]]),"N/A"))</f>
        <v>N/A</v>
      </c>
      <c r="T679" s="1" t="str">
        <f>IF(OR(Table1[[#This Row],[Low Tol]]="",Table1[[#This Row],[High Tol]]=""),"Needs Analysis",IF(Table1[[#This Row],[Ratio]]&gt;=4,"Not Significant",IF(Table1[[#This Row],[Ratio]]&gt;=2,"Semi-Significant","Significant")))</f>
        <v>Needs Analysis</v>
      </c>
      <c r="W679" s="1">
        <f>IF(Table1[[#This Row],[Cal Type]]&lt;&gt;"ACCREDITED 17025 WITH UNCERTAINTIES",0,"")</f>
        <v>0</v>
      </c>
      <c r="X679" s="1" t="str">
        <f>IF(Table1[[#This Row],[DUT Read]]="","N/A",Table1[[#This Row],[Std Error]]+Table1[[#This Row],[DUT Read]]+Table1[[#This Row],[DUT Ucty]])</f>
        <v>N/A</v>
      </c>
      <c r="Y679" s="1" t="str">
        <f>IF(Table1[[#This Row],[Std Read]]="","N/A",Table1[[#This Row],[Std Read]]+Table1[[#This Row],[Std Ucty]])</f>
        <v>N/A</v>
      </c>
      <c r="Z6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9" s="1" t="str">
        <f>IF(Table1[[#This Row],[Spec Type]]="","N/A",Table1[[#This Row],[Spec Type]])</f>
        <v>±</v>
      </c>
      <c r="AC679" s="1" t="str">
        <f>IF(Table1[[#This Row],[Spec Type2]]="N/A","N/A",IF(AND(Table1[[#This Row],[DUT Adj Read]]&gt;=Table1[[#This Row],[Low Tol]],Table1[[#This Row],[DUT Adj Read]]&lt;=Table1[[#This Row],[High Tol]]),"Pass","Fail"))</f>
        <v>Fail</v>
      </c>
      <c r="AD679" s="1" t="str">
        <f>IF(AND(Table1[[#This Row],[Spec Type2]]="N/A",Table1[[#This Row],[DUT Adj Read]]="N/A",Table1[[#This Row],[Std Adj Read]]="N/A"),"N/A",IF(Table1[[#This Row],[DUT Adj Read]]="N/A",IF(Table1[[#This Row],[Std Adj Read]]&gt;Table1[[#This Row],[Low Tol]],"Pass","Fail"),IF(Table1[[#This Row],[DUT Adj Read]]&gt;Table1[[#This Row],[Low Tol]],"Pass","Fail")))</f>
        <v>Pass</v>
      </c>
      <c r="AE679" s="1" t="str">
        <f>IF(AND(Table1[[#This Row],[Spec Type2]]="N/A",Table1[[#This Row],[DUT Adj Read]]="N/A",Table1[[#This Row],[Std Adj Read]]="N/A"),"N/A",IF(Table1[[#This Row],[DUT Adj Read]]="N/A",IF(Table1[[#This Row],[Std Adj Read]]&lt;Table1[[#This Row],[High Tol]],"Pass","Fail"),IF(Table1[[#This Row],[DUT Adj Read]]&lt;Table1[[#This Row],[High Tol]],"Pass","Fail")))</f>
        <v>Fail</v>
      </c>
      <c r="AF679" s="1" t="str">
        <f>IF(AND(Table1[[#This Row],[Spec Type2]]="N/A",Table1[[#This Row],[DUT Adj Read]]="N/A",Table1[[#This Row],[Std Adj Read]]="N/A"),"N/A",IF(Table1[[#This Row],[DUT Adj Read]]="N/A",IF(Table1[[#This Row],[Std Adj Read]]&gt;=Table1[[#This Row],[Low Tol]],"Pass","Fail"),IF(Table1[[#This Row],[DUT Adj Read]]&gt;=Table1[[#This Row],[Low Tol]],"Pass","Fail")))</f>
        <v>Pass</v>
      </c>
      <c r="AG679" s="1" t="str">
        <f>IF(AND(Table1[[#This Row],[Spec Type2]]="N/A",Table1[[#This Row],[DUT Adj Read]]="N/A",Table1[[#This Row],[Std Adj Read]]="N/A"),"N/A",IF(Table1[[#This Row],[DUT Adj Read]]="N/A",IF(Table1[[#This Row],[Std Adj Read]]&lt;=Table1[[#This Row],[High Tol]],"Pass","Fail"),IF(Table1[[#This Row],[DUT Adj Read]]&lt;=Table1[[#This Row],[High Tol]],"Pass","Fail")))</f>
        <v>Fail</v>
      </c>
      <c r="AH6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9" s="1" t="b">
        <v>0</v>
      </c>
      <c r="AN679" s="1" t="b">
        <v>0</v>
      </c>
      <c r="AO679" s="1" t="b">
        <v>0</v>
      </c>
    </row>
    <row r="680" spans="1:41" x14ac:dyDescent="0.25">
      <c r="A680" s="10"/>
      <c r="B680" s="10"/>
      <c r="C680" s="10"/>
      <c r="D680" s="10"/>
      <c r="E680" s="10"/>
      <c r="F680" s="10"/>
      <c r="G680" s="10"/>
      <c r="H680" s="10"/>
      <c r="I680" s="1" t="str">
        <f t="shared" si="30"/>
        <v/>
      </c>
      <c r="J680" s="1" t="s">
        <v>35</v>
      </c>
      <c r="K680" s="1" t="str">
        <f t="shared" si="31"/>
        <v/>
      </c>
      <c r="L680" s="1" t="str">
        <f t="shared" si="32"/>
        <v/>
      </c>
      <c r="M680" s="1">
        <f>IF(OR(Table1[[#This Row],[Std Nom]]="",Table1[[#This Row],[Std Read]]=""),0,Table1[[#This Row],[Std Nom]]-Table1[[#This Row],[Std Read]])</f>
        <v>0</v>
      </c>
      <c r="N680" s="1">
        <f>IF(Calculations!$F$5="ACCREDITED 17025 WITH UNCERTAINTIES",$N$10,0)</f>
        <v>0</v>
      </c>
      <c r="O680" s="1" t="str">
        <f>IFERROR(Table1[[#This Row],[Std Nom]]-(_xlfn.XLOOKUP(Table1[[#This Row],[Manufacturer]]&amp;" "&amp;Table1[[#This Row],[Model]],Table13[MFR &amp; MDL],Table13[Tolerance % CW ],"")/100*Table1[[#This Row],[Std Nom]]),"")</f>
        <v/>
      </c>
      <c r="P680" s="1" t="str">
        <f>IFERROR(Table1[[#This Row],[Std Nom]]+(_xlfn.XLOOKUP(Table1[[#This Row],[Manufacturer]]&amp;" "&amp;Table1[[#This Row],[Model]],Table13[MFR &amp; MDL],Table13[Tolerance % CW ],"")/100*Table1[[#This Row],[Std Nom]]),"")</f>
        <v/>
      </c>
      <c r="Q680" s="1" t="e">
        <f>Table1[[#This Row],[High Tol]]-Table1[[#This Row],[Low Tol]]</f>
        <v>#VALUE!</v>
      </c>
      <c r="R680" s="1">
        <f>2*Table1[[#This Row],[Std Error]]</f>
        <v>0</v>
      </c>
      <c r="S680" s="1" t="str">
        <f>IF(Table1[[#This Row],[High Tol]]="","N/A",IFERROR(ABS(Table1[[#This Row],[Tol Span]]/Table1[[#This Row],[Error Span]]),"N/A"))</f>
        <v>N/A</v>
      </c>
      <c r="T680" s="1" t="str">
        <f>IF(OR(Table1[[#This Row],[Low Tol]]="",Table1[[#This Row],[High Tol]]=""),"Needs Analysis",IF(Table1[[#This Row],[Ratio]]&gt;=4,"Not Significant",IF(Table1[[#This Row],[Ratio]]&gt;=2,"Semi-Significant","Significant")))</f>
        <v>Needs Analysis</v>
      </c>
      <c r="W680" s="1">
        <f>IF(Table1[[#This Row],[Cal Type]]&lt;&gt;"ACCREDITED 17025 WITH UNCERTAINTIES",0,"")</f>
        <v>0</v>
      </c>
      <c r="X680" s="1" t="str">
        <f>IF(Table1[[#This Row],[DUT Read]]="","N/A",Table1[[#This Row],[Std Error]]+Table1[[#This Row],[DUT Read]]+Table1[[#This Row],[DUT Ucty]])</f>
        <v>N/A</v>
      </c>
      <c r="Y680" s="1" t="str">
        <f>IF(Table1[[#This Row],[Std Read]]="","N/A",Table1[[#This Row],[Std Read]]+Table1[[#This Row],[Std Ucty]])</f>
        <v>N/A</v>
      </c>
      <c r="Z6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0" s="1" t="str">
        <f>IF(Table1[[#This Row],[Spec Type]]="","N/A",Table1[[#This Row],[Spec Type]])</f>
        <v>±</v>
      </c>
      <c r="AC680" s="1" t="str">
        <f>IF(Table1[[#This Row],[Spec Type2]]="N/A","N/A",IF(AND(Table1[[#This Row],[DUT Adj Read]]&gt;=Table1[[#This Row],[Low Tol]],Table1[[#This Row],[DUT Adj Read]]&lt;=Table1[[#This Row],[High Tol]]),"Pass","Fail"))</f>
        <v>Fail</v>
      </c>
      <c r="AD680" s="1" t="str">
        <f>IF(AND(Table1[[#This Row],[Spec Type2]]="N/A",Table1[[#This Row],[DUT Adj Read]]="N/A",Table1[[#This Row],[Std Adj Read]]="N/A"),"N/A",IF(Table1[[#This Row],[DUT Adj Read]]="N/A",IF(Table1[[#This Row],[Std Adj Read]]&gt;Table1[[#This Row],[Low Tol]],"Pass","Fail"),IF(Table1[[#This Row],[DUT Adj Read]]&gt;Table1[[#This Row],[Low Tol]],"Pass","Fail")))</f>
        <v>Pass</v>
      </c>
      <c r="AE680" s="1" t="str">
        <f>IF(AND(Table1[[#This Row],[Spec Type2]]="N/A",Table1[[#This Row],[DUT Adj Read]]="N/A",Table1[[#This Row],[Std Adj Read]]="N/A"),"N/A",IF(Table1[[#This Row],[DUT Adj Read]]="N/A",IF(Table1[[#This Row],[Std Adj Read]]&lt;Table1[[#This Row],[High Tol]],"Pass","Fail"),IF(Table1[[#This Row],[DUT Adj Read]]&lt;Table1[[#This Row],[High Tol]],"Pass","Fail")))</f>
        <v>Fail</v>
      </c>
      <c r="AF680" s="1" t="str">
        <f>IF(AND(Table1[[#This Row],[Spec Type2]]="N/A",Table1[[#This Row],[DUT Adj Read]]="N/A",Table1[[#This Row],[Std Adj Read]]="N/A"),"N/A",IF(Table1[[#This Row],[DUT Adj Read]]="N/A",IF(Table1[[#This Row],[Std Adj Read]]&gt;=Table1[[#This Row],[Low Tol]],"Pass","Fail"),IF(Table1[[#This Row],[DUT Adj Read]]&gt;=Table1[[#This Row],[Low Tol]],"Pass","Fail")))</f>
        <v>Pass</v>
      </c>
      <c r="AG680" s="1" t="str">
        <f>IF(AND(Table1[[#This Row],[Spec Type2]]="N/A",Table1[[#This Row],[DUT Adj Read]]="N/A",Table1[[#This Row],[Std Adj Read]]="N/A"),"N/A",IF(Table1[[#This Row],[DUT Adj Read]]="N/A",IF(Table1[[#This Row],[Std Adj Read]]&lt;=Table1[[#This Row],[High Tol]],"Pass","Fail"),IF(Table1[[#This Row],[DUT Adj Read]]&lt;=Table1[[#This Row],[High Tol]],"Pass","Fail")))</f>
        <v>Fail</v>
      </c>
      <c r="AH6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0" s="1" t="b">
        <v>0</v>
      </c>
      <c r="AN680" s="1" t="b">
        <v>0</v>
      </c>
      <c r="AO680" s="1" t="b">
        <v>0</v>
      </c>
    </row>
    <row r="681" spans="1:41" x14ac:dyDescent="0.25">
      <c r="A681" s="10"/>
      <c r="B681" s="10"/>
      <c r="C681" s="10"/>
      <c r="D681" s="10"/>
      <c r="E681" s="10"/>
      <c r="F681" s="10"/>
      <c r="G681" s="10"/>
      <c r="H681" s="10"/>
      <c r="I681" s="1" t="str">
        <f t="shared" si="30"/>
        <v/>
      </c>
      <c r="J681" s="1" t="s">
        <v>35</v>
      </c>
      <c r="K681" s="1" t="str">
        <f t="shared" si="31"/>
        <v/>
      </c>
      <c r="L681" s="1" t="str">
        <f t="shared" si="32"/>
        <v/>
      </c>
      <c r="M681" s="1">
        <f>IF(OR(Table1[[#This Row],[Std Nom]]="",Table1[[#This Row],[Std Read]]=""),0,Table1[[#This Row],[Std Nom]]-Table1[[#This Row],[Std Read]])</f>
        <v>0</v>
      </c>
      <c r="N681" s="1">
        <f>IF(Calculations!$F$5="ACCREDITED 17025 WITH UNCERTAINTIES",$N$10,0)</f>
        <v>0</v>
      </c>
      <c r="O681" s="1" t="str">
        <f>IFERROR(Table1[[#This Row],[Std Nom]]-(_xlfn.XLOOKUP(Table1[[#This Row],[Manufacturer]]&amp;" "&amp;Table1[[#This Row],[Model]],Table13[MFR &amp; MDL],Table13[Tolerance % CW ],"")/100*Table1[[#This Row],[Std Nom]]),"")</f>
        <v/>
      </c>
      <c r="P681" s="1" t="str">
        <f>IFERROR(Table1[[#This Row],[Std Nom]]+(_xlfn.XLOOKUP(Table1[[#This Row],[Manufacturer]]&amp;" "&amp;Table1[[#This Row],[Model]],Table13[MFR &amp; MDL],Table13[Tolerance % CW ],"")/100*Table1[[#This Row],[Std Nom]]),"")</f>
        <v/>
      </c>
      <c r="Q681" s="1" t="e">
        <f>Table1[[#This Row],[High Tol]]-Table1[[#This Row],[Low Tol]]</f>
        <v>#VALUE!</v>
      </c>
      <c r="R681" s="1">
        <f>2*Table1[[#This Row],[Std Error]]</f>
        <v>0</v>
      </c>
      <c r="S681" s="1" t="str">
        <f>IF(Table1[[#This Row],[High Tol]]="","N/A",IFERROR(ABS(Table1[[#This Row],[Tol Span]]/Table1[[#This Row],[Error Span]]),"N/A"))</f>
        <v>N/A</v>
      </c>
      <c r="T681" s="1" t="str">
        <f>IF(OR(Table1[[#This Row],[Low Tol]]="",Table1[[#This Row],[High Tol]]=""),"Needs Analysis",IF(Table1[[#This Row],[Ratio]]&gt;=4,"Not Significant",IF(Table1[[#This Row],[Ratio]]&gt;=2,"Semi-Significant","Significant")))</f>
        <v>Needs Analysis</v>
      </c>
      <c r="W681" s="1">
        <f>IF(Table1[[#This Row],[Cal Type]]&lt;&gt;"ACCREDITED 17025 WITH UNCERTAINTIES",0,"")</f>
        <v>0</v>
      </c>
      <c r="X681" s="1" t="str">
        <f>IF(Table1[[#This Row],[DUT Read]]="","N/A",Table1[[#This Row],[Std Error]]+Table1[[#This Row],[DUT Read]]+Table1[[#This Row],[DUT Ucty]])</f>
        <v>N/A</v>
      </c>
      <c r="Y681" s="1" t="str">
        <f>IF(Table1[[#This Row],[Std Read]]="","N/A",Table1[[#This Row],[Std Read]]+Table1[[#This Row],[Std Ucty]])</f>
        <v>N/A</v>
      </c>
      <c r="Z6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1" s="1" t="str">
        <f>IF(Table1[[#This Row],[Spec Type]]="","N/A",Table1[[#This Row],[Spec Type]])</f>
        <v>±</v>
      </c>
      <c r="AC681" s="1" t="str">
        <f>IF(Table1[[#This Row],[Spec Type2]]="N/A","N/A",IF(AND(Table1[[#This Row],[DUT Adj Read]]&gt;=Table1[[#This Row],[Low Tol]],Table1[[#This Row],[DUT Adj Read]]&lt;=Table1[[#This Row],[High Tol]]),"Pass","Fail"))</f>
        <v>Fail</v>
      </c>
      <c r="AD681" s="1" t="str">
        <f>IF(AND(Table1[[#This Row],[Spec Type2]]="N/A",Table1[[#This Row],[DUT Adj Read]]="N/A",Table1[[#This Row],[Std Adj Read]]="N/A"),"N/A",IF(Table1[[#This Row],[DUT Adj Read]]="N/A",IF(Table1[[#This Row],[Std Adj Read]]&gt;Table1[[#This Row],[Low Tol]],"Pass","Fail"),IF(Table1[[#This Row],[DUT Adj Read]]&gt;Table1[[#This Row],[Low Tol]],"Pass","Fail")))</f>
        <v>Pass</v>
      </c>
      <c r="AE681" s="1" t="str">
        <f>IF(AND(Table1[[#This Row],[Spec Type2]]="N/A",Table1[[#This Row],[DUT Adj Read]]="N/A",Table1[[#This Row],[Std Adj Read]]="N/A"),"N/A",IF(Table1[[#This Row],[DUT Adj Read]]="N/A",IF(Table1[[#This Row],[Std Adj Read]]&lt;Table1[[#This Row],[High Tol]],"Pass","Fail"),IF(Table1[[#This Row],[DUT Adj Read]]&lt;Table1[[#This Row],[High Tol]],"Pass","Fail")))</f>
        <v>Fail</v>
      </c>
      <c r="AF681" s="1" t="str">
        <f>IF(AND(Table1[[#This Row],[Spec Type2]]="N/A",Table1[[#This Row],[DUT Adj Read]]="N/A",Table1[[#This Row],[Std Adj Read]]="N/A"),"N/A",IF(Table1[[#This Row],[DUT Adj Read]]="N/A",IF(Table1[[#This Row],[Std Adj Read]]&gt;=Table1[[#This Row],[Low Tol]],"Pass","Fail"),IF(Table1[[#This Row],[DUT Adj Read]]&gt;=Table1[[#This Row],[Low Tol]],"Pass","Fail")))</f>
        <v>Pass</v>
      </c>
      <c r="AG681" s="1" t="str">
        <f>IF(AND(Table1[[#This Row],[Spec Type2]]="N/A",Table1[[#This Row],[DUT Adj Read]]="N/A",Table1[[#This Row],[Std Adj Read]]="N/A"),"N/A",IF(Table1[[#This Row],[DUT Adj Read]]="N/A",IF(Table1[[#This Row],[Std Adj Read]]&lt;=Table1[[#This Row],[High Tol]],"Pass","Fail"),IF(Table1[[#This Row],[DUT Adj Read]]&lt;=Table1[[#This Row],[High Tol]],"Pass","Fail")))</f>
        <v>Fail</v>
      </c>
      <c r="AH6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1" s="1" t="b">
        <v>0</v>
      </c>
      <c r="AN681" s="1" t="b">
        <v>0</v>
      </c>
      <c r="AO681" s="1" t="b">
        <v>0</v>
      </c>
    </row>
    <row r="682" spans="1:41" x14ac:dyDescent="0.25">
      <c r="A682" s="10"/>
      <c r="B682" s="10"/>
      <c r="C682" s="10"/>
      <c r="D682" s="10"/>
      <c r="E682" s="10"/>
      <c r="F682" s="10"/>
      <c r="G682" s="10"/>
      <c r="H682" s="10"/>
      <c r="I682" s="1" t="str">
        <f t="shared" si="30"/>
        <v/>
      </c>
      <c r="J682" s="1" t="s">
        <v>35</v>
      </c>
      <c r="K682" s="1" t="str">
        <f t="shared" si="31"/>
        <v/>
      </c>
      <c r="L682" s="1" t="str">
        <f t="shared" si="32"/>
        <v/>
      </c>
      <c r="M682" s="1">
        <f>IF(OR(Table1[[#This Row],[Std Nom]]="",Table1[[#This Row],[Std Read]]=""),0,Table1[[#This Row],[Std Nom]]-Table1[[#This Row],[Std Read]])</f>
        <v>0</v>
      </c>
      <c r="N682" s="1">
        <f>IF(Calculations!$F$5="ACCREDITED 17025 WITH UNCERTAINTIES",$N$10,0)</f>
        <v>0</v>
      </c>
      <c r="O682" s="1" t="str">
        <f>IFERROR(Table1[[#This Row],[Std Nom]]-(_xlfn.XLOOKUP(Table1[[#This Row],[Manufacturer]]&amp;" "&amp;Table1[[#This Row],[Model]],Table13[MFR &amp; MDL],Table13[Tolerance % CW ],"")/100*Table1[[#This Row],[Std Nom]]),"")</f>
        <v/>
      </c>
      <c r="P682" s="1" t="str">
        <f>IFERROR(Table1[[#This Row],[Std Nom]]+(_xlfn.XLOOKUP(Table1[[#This Row],[Manufacturer]]&amp;" "&amp;Table1[[#This Row],[Model]],Table13[MFR &amp; MDL],Table13[Tolerance % CW ],"")/100*Table1[[#This Row],[Std Nom]]),"")</f>
        <v/>
      </c>
      <c r="Q682" s="1" t="e">
        <f>Table1[[#This Row],[High Tol]]-Table1[[#This Row],[Low Tol]]</f>
        <v>#VALUE!</v>
      </c>
      <c r="R682" s="1">
        <f>2*Table1[[#This Row],[Std Error]]</f>
        <v>0</v>
      </c>
      <c r="S682" s="1" t="str">
        <f>IF(Table1[[#This Row],[High Tol]]="","N/A",IFERROR(ABS(Table1[[#This Row],[Tol Span]]/Table1[[#This Row],[Error Span]]),"N/A"))</f>
        <v>N/A</v>
      </c>
      <c r="T682" s="1" t="str">
        <f>IF(OR(Table1[[#This Row],[Low Tol]]="",Table1[[#This Row],[High Tol]]=""),"Needs Analysis",IF(Table1[[#This Row],[Ratio]]&gt;=4,"Not Significant",IF(Table1[[#This Row],[Ratio]]&gt;=2,"Semi-Significant","Significant")))</f>
        <v>Needs Analysis</v>
      </c>
      <c r="W682" s="1">
        <f>IF(Table1[[#This Row],[Cal Type]]&lt;&gt;"ACCREDITED 17025 WITH UNCERTAINTIES",0,"")</f>
        <v>0</v>
      </c>
      <c r="X682" s="1" t="str">
        <f>IF(Table1[[#This Row],[DUT Read]]="","N/A",Table1[[#This Row],[Std Error]]+Table1[[#This Row],[DUT Read]]+Table1[[#This Row],[DUT Ucty]])</f>
        <v>N/A</v>
      </c>
      <c r="Y682" s="1" t="str">
        <f>IF(Table1[[#This Row],[Std Read]]="","N/A",Table1[[#This Row],[Std Read]]+Table1[[#This Row],[Std Ucty]])</f>
        <v>N/A</v>
      </c>
      <c r="Z6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2" s="1" t="str">
        <f>IF(Table1[[#This Row],[Spec Type]]="","N/A",Table1[[#This Row],[Spec Type]])</f>
        <v>±</v>
      </c>
      <c r="AC682" s="1" t="str">
        <f>IF(Table1[[#This Row],[Spec Type2]]="N/A","N/A",IF(AND(Table1[[#This Row],[DUT Adj Read]]&gt;=Table1[[#This Row],[Low Tol]],Table1[[#This Row],[DUT Adj Read]]&lt;=Table1[[#This Row],[High Tol]]),"Pass","Fail"))</f>
        <v>Fail</v>
      </c>
      <c r="AD682" s="1" t="str">
        <f>IF(AND(Table1[[#This Row],[Spec Type2]]="N/A",Table1[[#This Row],[DUT Adj Read]]="N/A",Table1[[#This Row],[Std Adj Read]]="N/A"),"N/A",IF(Table1[[#This Row],[DUT Adj Read]]="N/A",IF(Table1[[#This Row],[Std Adj Read]]&gt;Table1[[#This Row],[Low Tol]],"Pass","Fail"),IF(Table1[[#This Row],[DUT Adj Read]]&gt;Table1[[#This Row],[Low Tol]],"Pass","Fail")))</f>
        <v>Pass</v>
      </c>
      <c r="AE682" s="1" t="str">
        <f>IF(AND(Table1[[#This Row],[Spec Type2]]="N/A",Table1[[#This Row],[DUT Adj Read]]="N/A",Table1[[#This Row],[Std Adj Read]]="N/A"),"N/A",IF(Table1[[#This Row],[DUT Adj Read]]="N/A",IF(Table1[[#This Row],[Std Adj Read]]&lt;Table1[[#This Row],[High Tol]],"Pass","Fail"),IF(Table1[[#This Row],[DUT Adj Read]]&lt;Table1[[#This Row],[High Tol]],"Pass","Fail")))</f>
        <v>Fail</v>
      </c>
      <c r="AF682" s="1" t="str">
        <f>IF(AND(Table1[[#This Row],[Spec Type2]]="N/A",Table1[[#This Row],[DUT Adj Read]]="N/A",Table1[[#This Row],[Std Adj Read]]="N/A"),"N/A",IF(Table1[[#This Row],[DUT Adj Read]]="N/A",IF(Table1[[#This Row],[Std Adj Read]]&gt;=Table1[[#This Row],[Low Tol]],"Pass","Fail"),IF(Table1[[#This Row],[DUT Adj Read]]&gt;=Table1[[#This Row],[Low Tol]],"Pass","Fail")))</f>
        <v>Pass</v>
      </c>
      <c r="AG682" s="1" t="str">
        <f>IF(AND(Table1[[#This Row],[Spec Type2]]="N/A",Table1[[#This Row],[DUT Adj Read]]="N/A",Table1[[#This Row],[Std Adj Read]]="N/A"),"N/A",IF(Table1[[#This Row],[DUT Adj Read]]="N/A",IF(Table1[[#This Row],[Std Adj Read]]&lt;=Table1[[#This Row],[High Tol]],"Pass","Fail"),IF(Table1[[#This Row],[DUT Adj Read]]&lt;=Table1[[#This Row],[High Tol]],"Pass","Fail")))</f>
        <v>Fail</v>
      </c>
      <c r="AH6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2" s="1" t="b">
        <v>0</v>
      </c>
      <c r="AN682" s="1" t="b">
        <v>0</v>
      </c>
      <c r="AO682" s="1" t="b">
        <v>0</v>
      </c>
    </row>
    <row r="683" spans="1:41" x14ac:dyDescent="0.25">
      <c r="A683" s="10"/>
      <c r="B683" s="10"/>
      <c r="C683" s="10"/>
      <c r="D683" s="10"/>
      <c r="E683" s="10"/>
      <c r="F683" s="10"/>
      <c r="G683" s="10"/>
      <c r="H683" s="10"/>
      <c r="I683" s="1" t="str">
        <f t="shared" si="30"/>
        <v/>
      </c>
      <c r="J683" s="1" t="s">
        <v>35</v>
      </c>
      <c r="K683" s="1" t="str">
        <f t="shared" si="31"/>
        <v/>
      </c>
      <c r="L683" s="1" t="str">
        <f t="shared" si="32"/>
        <v/>
      </c>
      <c r="M683" s="1">
        <f>IF(OR(Table1[[#This Row],[Std Nom]]="",Table1[[#This Row],[Std Read]]=""),0,Table1[[#This Row],[Std Nom]]-Table1[[#This Row],[Std Read]])</f>
        <v>0</v>
      </c>
      <c r="N683" s="1">
        <f>IF(Calculations!$F$5="ACCREDITED 17025 WITH UNCERTAINTIES",$N$10,0)</f>
        <v>0</v>
      </c>
      <c r="O683" s="1" t="str">
        <f>IFERROR(Table1[[#This Row],[Std Nom]]-(_xlfn.XLOOKUP(Table1[[#This Row],[Manufacturer]]&amp;" "&amp;Table1[[#This Row],[Model]],Table13[MFR &amp; MDL],Table13[Tolerance % CW ],"")/100*Table1[[#This Row],[Std Nom]]),"")</f>
        <v/>
      </c>
      <c r="P683" s="1" t="str">
        <f>IFERROR(Table1[[#This Row],[Std Nom]]+(_xlfn.XLOOKUP(Table1[[#This Row],[Manufacturer]]&amp;" "&amp;Table1[[#This Row],[Model]],Table13[MFR &amp; MDL],Table13[Tolerance % CW ],"")/100*Table1[[#This Row],[Std Nom]]),"")</f>
        <v/>
      </c>
      <c r="Q683" s="1" t="e">
        <f>Table1[[#This Row],[High Tol]]-Table1[[#This Row],[Low Tol]]</f>
        <v>#VALUE!</v>
      </c>
      <c r="R683" s="1">
        <f>2*Table1[[#This Row],[Std Error]]</f>
        <v>0</v>
      </c>
      <c r="S683" s="1" t="str">
        <f>IF(Table1[[#This Row],[High Tol]]="","N/A",IFERROR(ABS(Table1[[#This Row],[Tol Span]]/Table1[[#This Row],[Error Span]]),"N/A"))</f>
        <v>N/A</v>
      </c>
      <c r="T683" s="1" t="str">
        <f>IF(OR(Table1[[#This Row],[Low Tol]]="",Table1[[#This Row],[High Tol]]=""),"Needs Analysis",IF(Table1[[#This Row],[Ratio]]&gt;=4,"Not Significant",IF(Table1[[#This Row],[Ratio]]&gt;=2,"Semi-Significant","Significant")))</f>
        <v>Needs Analysis</v>
      </c>
      <c r="W683" s="1">
        <f>IF(Table1[[#This Row],[Cal Type]]&lt;&gt;"ACCREDITED 17025 WITH UNCERTAINTIES",0,"")</f>
        <v>0</v>
      </c>
      <c r="X683" s="1" t="str">
        <f>IF(Table1[[#This Row],[DUT Read]]="","N/A",Table1[[#This Row],[Std Error]]+Table1[[#This Row],[DUT Read]]+Table1[[#This Row],[DUT Ucty]])</f>
        <v>N/A</v>
      </c>
      <c r="Y683" s="1" t="str">
        <f>IF(Table1[[#This Row],[Std Read]]="","N/A",Table1[[#This Row],[Std Read]]+Table1[[#This Row],[Std Ucty]])</f>
        <v>N/A</v>
      </c>
      <c r="Z6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3" s="1" t="str">
        <f>IF(Table1[[#This Row],[Spec Type]]="","N/A",Table1[[#This Row],[Spec Type]])</f>
        <v>±</v>
      </c>
      <c r="AC683" s="1" t="str">
        <f>IF(Table1[[#This Row],[Spec Type2]]="N/A","N/A",IF(AND(Table1[[#This Row],[DUT Adj Read]]&gt;=Table1[[#This Row],[Low Tol]],Table1[[#This Row],[DUT Adj Read]]&lt;=Table1[[#This Row],[High Tol]]),"Pass","Fail"))</f>
        <v>Fail</v>
      </c>
      <c r="AD683" s="1" t="str">
        <f>IF(AND(Table1[[#This Row],[Spec Type2]]="N/A",Table1[[#This Row],[DUT Adj Read]]="N/A",Table1[[#This Row],[Std Adj Read]]="N/A"),"N/A",IF(Table1[[#This Row],[DUT Adj Read]]="N/A",IF(Table1[[#This Row],[Std Adj Read]]&gt;Table1[[#This Row],[Low Tol]],"Pass","Fail"),IF(Table1[[#This Row],[DUT Adj Read]]&gt;Table1[[#This Row],[Low Tol]],"Pass","Fail")))</f>
        <v>Pass</v>
      </c>
      <c r="AE683" s="1" t="str">
        <f>IF(AND(Table1[[#This Row],[Spec Type2]]="N/A",Table1[[#This Row],[DUT Adj Read]]="N/A",Table1[[#This Row],[Std Adj Read]]="N/A"),"N/A",IF(Table1[[#This Row],[DUT Adj Read]]="N/A",IF(Table1[[#This Row],[Std Adj Read]]&lt;Table1[[#This Row],[High Tol]],"Pass","Fail"),IF(Table1[[#This Row],[DUT Adj Read]]&lt;Table1[[#This Row],[High Tol]],"Pass","Fail")))</f>
        <v>Fail</v>
      </c>
      <c r="AF683" s="1" t="str">
        <f>IF(AND(Table1[[#This Row],[Spec Type2]]="N/A",Table1[[#This Row],[DUT Adj Read]]="N/A",Table1[[#This Row],[Std Adj Read]]="N/A"),"N/A",IF(Table1[[#This Row],[DUT Adj Read]]="N/A",IF(Table1[[#This Row],[Std Adj Read]]&gt;=Table1[[#This Row],[Low Tol]],"Pass","Fail"),IF(Table1[[#This Row],[DUT Adj Read]]&gt;=Table1[[#This Row],[Low Tol]],"Pass","Fail")))</f>
        <v>Pass</v>
      </c>
      <c r="AG683" s="1" t="str">
        <f>IF(AND(Table1[[#This Row],[Spec Type2]]="N/A",Table1[[#This Row],[DUT Adj Read]]="N/A",Table1[[#This Row],[Std Adj Read]]="N/A"),"N/A",IF(Table1[[#This Row],[DUT Adj Read]]="N/A",IF(Table1[[#This Row],[Std Adj Read]]&lt;=Table1[[#This Row],[High Tol]],"Pass","Fail"),IF(Table1[[#This Row],[DUT Adj Read]]&lt;=Table1[[#This Row],[High Tol]],"Pass","Fail")))</f>
        <v>Fail</v>
      </c>
      <c r="AH6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3" s="1" t="b">
        <v>0</v>
      </c>
      <c r="AN683" s="1" t="b">
        <v>0</v>
      </c>
      <c r="AO683" s="1" t="b">
        <v>0</v>
      </c>
    </row>
    <row r="684" spans="1:41" x14ac:dyDescent="0.25">
      <c r="A684" s="10"/>
      <c r="B684" s="10"/>
      <c r="C684" s="10"/>
      <c r="D684" s="10"/>
      <c r="E684" s="10"/>
      <c r="F684" s="10"/>
      <c r="G684" s="10"/>
      <c r="H684" s="10"/>
      <c r="I684" s="1" t="str">
        <f t="shared" si="30"/>
        <v/>
      </c>
      <c r="J684" s="1" t="s">
        <v>35</v>
      </c>
      <c r="K684" s="1" t="str">
        <f t="shared" si="31"/>
        <v/>
      </c>
      <c r="L684" s="1" t="str">
        <f t="shared" si="32"/>
        <v/>
      </c>
      <c r="M684" s="1">
        <f>IF(OR(Table1[[#This Row],[Std Nom]]="",Table1[[#This Row],[Std Read]]=""),0,Table1[[#This Row],[Std Nom]]-Table1[[#This Row],[Std Read]])</f>
        <v>0</v>
      </c>
      <c r="N684" s="1">
        <f>IF(Calculations!$F$5="ACCREDITED 17025 WITH UNCERTAINTIES",$N$10,0)</f>
        <v>0</v>
      </c>
      <c r="O684" s="1" t="str">
        <f>IFERROR(Table1[[#This Row],[Std Nom]]-(_xlfn.XLOOKUP(Table1[[#This Row],[Manufacturer]]&amp;" "&amp;Table1[[#This Row],[Model]],Table13[MFR &amp; MDL],Table13[Tolerance % CW ],"")/100*Table1[[#This Row],[Std Nom]]),"")</f>
        <v/>
      </c>
      <c r="P684" s="1" t="str">
        <f>IFERROR(Table1[[#This Row],[Std Nom]]+(_xlfn.XLOOKUP(Table1[[#This Row],[Manufacturer]]&amp;" "&amp;Table1[[#This Row],[Model]],Table13[MFR &amp; MDL],Table13[Tolerance % CW ],"")/100*Table1[[#This Row],[Std Nom]]),"")</f>
        <v/>
      </c>
      <c r="Q684" s="1" t="e">
        <f>Table1[[#This Row],[High Tol]]-Table1[[#This Row],[Low Tol]]</f>
        <v>#VALUE!</v>
      </c>
      <c r="R684" s="1">
        <f>2*Table1[[#This Row],[Std Error]]</f>
        <v>0</v>
      </c>
      <c r="S684" s="1" t="str">
        <f>IF(Table1[[#This Row],[High Tol]]="","N/A",IFERROR(ABS(Table1[[#This Row],[Tol Span]]/Table1[[#This Row],[Error Span]]),"N/A"))</f>
        <v>N/A</v>
      </c>
      <c r="T684" s="1" t="str">
        <f>IF(OR(Table1[[#This Row],[Low Tol]]="",Table1[[#This Row],[High Tol]]=""),"Needs Analysis",IF(Table1[[#This Row],[Ratio]]&gt;=4,"Not Significant",IF(Table1[[#This Row],[Ratio]]&gt;=2,"Semi-Significant","Significant")))</f>
        <v>Needs Analysis</v>
      </c>
      <c r="W684" s="1">
        <f>IF(Table1[[#This Row],[Cal Type]]&lt;&gt;"ACCREDITED 17025 WITH UNCERTAINTIES",0,"")</f>
        <v>0</v>
      </c>
      <c r="X684" s="1" t="str">
        <f>IF(Table1[[#This Row],[DUT Read]]="","N/A",Table1[[#This Row],[Std Error]]+Table1[[#This Row],[DUT Read]]+Table1[[#This Row],[DUT Ucty]])</f>
        <v>N/A</v>
      </c>
      <c r="Y684" s="1" t="str">
        <f>IF(Table1[[#This Row],[Std Read]]="","N/A",Table1[[#This Row],[Std Read]]+Table1[[#This Row],[Std Ucty]])</f>
        <v>N/A</v>
      </c>
      <c r="Z6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4" s="1" t="str">
        <f>IF(Table1[[#This Row],[Spec Type]]="","N/A",Table1[[#This Row],[Spec Type]])</f>
        <v>±</v>
      </c>
      <c r="AC684" s="1" t="str">
        <f>IF(Table1[[#This Row],[Spec Type2]]="N/A","N/A",IF(AND(Table1[[#This Row],[DUT Adj Read]]&gt;=Table1[[#This Row],[Low Tol]],Table1[[#This Row],[DUT Adj Read]]&lt;=Table1[[#This Row],[High Tol]]),"Pass","Fail"))</f>
        <v>Fail</v>
      </c>
      <c r="AD684" s="1" t="str">
        <f>IF(AND(Table1[[#This Row],[Spec Type2]]="N/A",Table1[[#This Row],[DUT Adj Read]]="N/A",Table1[[#This Row],[Std Adj Read]]="N/A"),"N/A",IF(Table1[[#This Row],[DUT Adj Read]]="N/A",IF(Table1[[#This Row],[Std Adj Read]]&gt;Table1[[#This Row],[Low Tol]],"Pass","Fail"),IF(Table1[[#This Row],[DUT Adj Read]]&gt;Table1[[#This Row],[Low Tol]],"Pass","Fail")))</f>
        <v>Pass</v>
      </c>
      <c r="AE684" s="1" t="str">
        <f>IF(AND(Table1[[#This Row],[Spec Type2]]="N/A",Table1[[#This Row],[DUT Adj Read]]="N/A",Table1[[#This Row],[Std Adj Read]]="N/A"),"N/A",IF(Table1[[#This Row],[DUT Adj Read]]="N/A",IF(Table1[[#This Row],[Std Adj Read]]&lt;Table1[[#This Row],[High Tol]],"Pass","Fail"),IF(Table1[[#This Row],[DUT Adj Read]]&lt;Table1[[#This Row],[High Tol]],"Pass","Fail")))</f>
        <v>Fail</v>
      </c>
      <c r="AF684" s="1" t="str">
        <f>IF(AND(Table1[[#This Row],[Spec Type2]]="N/A",Table1[[#This Row],[DUT Adj Read]]="N/A",Table1[[#This Row],[Std Adj Read]]="N/A"),"N/A",IF(Table1[[#This Row],[DUT Adj Read]]="N/A",IF(Table1[[#This Row],[Std Adj Read]]&gt;=Table1[[#This Row],[Low Tol]],"Pass","Fail"),IF(Table1[[#This Row],[DUT Adj Read]]&gt;=Table1[[#This Row],[Low Tol]],"Pass","Fail")))</f>
        <v>Pass</v>
      </c>
      <c r="AG684" s="1" t="str">
        <f>IF(AND(Table1[[#This Row],[Spec Type2]]="N/A",Table1[[#This Row],[DUT Adj Read]]="N/A",Table1[[#This Row],[Std Adj Read]]="N/A"),"N/A",IF(Table1[[#This Row],[DUT Adj Read]]="N/A",IF(Table1[[#This Row],[Std Adj Read]]&lt;=Table1[[#This Row],[High Tol]],"Pass","Fail"),IF(Table1[[#This Row],[DUT Adj Read]]&lt;=Table1[[#This Row],[High Tol]],"Pass","Fail")))</f>
        <v>Fail</v>
      </c>
      <c r="AH6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4" s="1" t="b">
        <v>0</v>
      </c>
      <c r="AN684" s="1" t="b">
        <v>0</v>
      </c>
      <c r="AO684" s="1" t="b">
        <v>0</v>
      </c>
    </row>
    <row r="685" spans="1:41" x14ac:dyDescent="0.25">
      <c r="A685" s="10"/>
      <c r="B685" s="10"/>
      <c r="C685" s="10"/>
      <c r="D685" s="10"/>
      <c r="E685" s="10"/>
      <c r="F685" s="10"/>
      <c r="G685" s="10"/>
      <c r="H685" s="10"/>
      <c r="I685" s="1" t="str">
        <f t="shared" si="30"/>
        <v/>
      </c>
      <c r="J685" s="1" t="s">
        <v>35</v>
      </c>
      <c r="K685" s="1" t="str">
        <f t="shared" si="31"/>
        <v/>
      </c>
      <c r="L685" s="1" t="str">
        <f t="shared" si="32"/>
        <v/>
      </c>
      <c r="M685" s="1">
        <f>IF(OR(Table1[[#This Row],[Std Nom]]="",Table1[[#This Row],[Std Read]]=""),0,Table1[[#This Row],[Std Nom]]-Table1[[#This Row],[Std Read]])</f>
        <v>0</v>
      </c>
      <c r="N685" s="1">
        <f>IF(Calculations!$F$5="ACCREDITED 17025 WITH UNCERTAINTIES",$N$10,0)</f>
        <v>0</v>
      </c>
      <c r="O685" s="1" t="str">
        <f>IFERROR(Table1[[#This Row],[Std Nom]]-(_xlfn.XLOOKUP(Table1[[#This Row],[Manufacturer]]&amp;" "&amp;Table1[[#This Row],[Model]],Table13[MFR &amp; MDL],Table13[Tolerance % CW ],"")/100*Table1[[#This Row],[Std Nom]]),"")</f>
        <v/>
      </c>
      <c r="P685" s="1" t="str">
        <f>IFERROR(Table1[[#This Row],[Std Nom]]+(_xlfn.XLOOKUP(Table1[[#This Row],[Manufacturer]]&amp;" "&amp;Table1[[#This Row],[Model]],Table13[MFR &amp; MDL],Table13[Tolerance % CW ],"")/100*Table1[[#This Row],[Std Nom]]),"")</f>
        <v/>
      </c>
      <c r="Q685" s="1" t="e">
        <f>Table1[[#This Row],[High Tol]]-Table1[[#This Row],[Low Tol]]</f>
        <v>#VALUE!</v>
      </c>
      <c r="R685" s="1">
        <f>2*Table1[[#This Row],[Std Error]]</f>
        <v>0</v>
      </c>
      <c r="S685" s="1" t="str">
        <f>IF(Table1[[#This Row],[High Tol]]="","N/A",IFERROR(ABS(Table1[[#This Row],[Tol Span]]/Table1[[#This Row],[Error Span]]),"N/A"))</f>
        <v>N/A</v>
      </c>
      <c r="T685" s="1" t="str">
        <f>IF(OR(Table1[[#This Row],[Low Tol]]="",Table1[[#This Row],[High Tol]]=""),"Needs Analysis",IF(Table1[[#This Row],[Ratio]]&gt;=4,"Not Significant",IF(Table1[[#This Row],[Ratio]]&gt;=2,"Semi-Significant","Significant")))</f>
        <v>Needs Analysis</v>
      </c>
      <c r="W685" s="1">
        <f>IF(Table1[[#This Row],[Cal Type]]&lt;&gt;"ACCREDITED 17025 WITH UNCERTAINTIES",0,"")</f>
        <v>0</v>
      </c>
      <c r="X685" s="1" t="str">
        <f>IF(Table1[[#This Row],[DUT Read]]="","N/A",Table1[[#This Row],[Std Error]]+Table1[[#This Row],[DUT Read]]+Table1[[#This Row],[DUT Ucty]])</f>
        <v>N/A</v>
      </c>
      <c r="Y685" s="1" t="str">
        <f>IF(Table1[[#This Row],[Std Read]]="","N/A",Table1[[#This Row],[Std Read]]+Table1[[#This Row],[Std Ucty]])</f>
        <v>N/A</v>
      </c>
      <c r="Z6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5" s="1" t="str">
        <f>IF(Table1[[#This Row],[Spec Type]]="","N/A",Table1[[#This Row],[Spec Type]])</f>
        <v>±</v>
      </c>
      <c r="AC685" s="1" t="str">
        <f>IF(Table1[[#This Row],[Spec Type2]]="N/A","N/A",IF(AND(Table1[[#This Row],[DUT Adj Read]]&gt;=Table1[[#This Row],[Low Tol]],Table1[[#This Row],[DUT Adj Read]]&lt;=Table1[[#This Row],[High Tol]]),"Pass","Fail"))</f>
        <v>Fail</v>
      </c>
      <c r="AD685" s="1" t="str">
        <f>IF(AND(Table1[[#This Row],[Spec Type2]]="N/A",Table1[[#This Row],[DUT Adj Read]]="N/A",Table1[[#This Row],[Std Adj Read]]="N/A"),"N/A",IF(Table1[[#This Row],[DUT Adj Read]]="N/A",IF(Table1[[#This Row],[Std Adj Read]]&gt;Table1[[#This Row],[Low Tol]],"Pass","Fail"),IF(Table1[[#This Row],[DUT Adj Read]]&gt;Table1[[#This Row],[Low Tol]],"Pass","Fail")))</f>
        <v>Pass</v>
      </c>
      <c r="AE685" s="1" t="str">
        <f>IF(AND(Table1[[#This Row],[Spec Type2]]="N/A",Table1[[#This Row],[DUT Adj Read]]="N/A",Table1[[#This Row],[Std Adj Read]]="N/A"),"N/A",IF(Table1[[#This Row],[DUT Adj Read]]="N/A",IF(Table1[[#This Row],[Std Adj Read]]&lt;Table1[[#This Row],[High Tol]],"Pass","Fail"),IF(Table1[[#This Row],[DUT Adj Read]]&lt;Table1[[#This Row],[High Tol]],"Pass","Fail")))</f>
        <v>Fail</v>
      </c>
      <c r="AF685" s="1" t="str">
        <f>IF(AND(Table1[[#This Row],[Spec Type2]]="N/A",Table1[[#This Row],[DUT Adj Read]]="N/A",Table1[[#This Row],[Std Adj Read]]="N/A"),"N/A",IF(Table1[[#This Row],[DUT Adj Read]]="N/A",IF(Table1[[#This Row],[Std Adj Read]]&gt;=Table1[[#This Row],[Low Tol]],"Pass","Fail"),IF(Table1[[#This Row],[DUT Adj Read]]&gt;=Table1[[#This Row],[Low Tol]],"Pass","Fail")))</f>
        <v>Pass</v>
      </c>
      <c r="AG685" s="1" t="str">
        <f>IF(AND(Table1[[#This Row],[Spec Type2]]="N/A",Table1[[#This Row],[DUT Adj Read]]="N/A",Table1[[#This Row],[Std Adj Read]]="N/A"),"N/A",IF(Table1[[#This Row],[DUT Adj Read]]="N/A",IF(Table1[[#This Row],[Std Adj Read]]&lt;=Table1[[#This Row],[High Tol]],"Pass","Fail"),IF(Table1[[#This Row],[DUT Adj Read]]&lt;=Table1[[#This Row],[High Tol]],"Pass","Fail")))</f>
        <v>Fail</v>
      </c>
      <c r="AH6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5" s="1" t="b">
        <v>0</v>
      </c>
      <c r="AN685" s="1" t="b">
        <v>0</v>
      </c>
      <c r="AO685" s="1" t="b">
        <v>0</v>
      </c>
    </row>
    <row r="686" spans="1:41" x14ac:dyDescent="0.25">
      <c r="A686" s="10"/>
      <c r="B686" s="10"/>
      <c r="C686" s="10"/>
      <c r="D686" s="10"/>
      <c r="E686" s="10"/>
      <c r="F686" s="10"/>
      <c r="G686" s="10"/>
      <c r="H686" s="10"/>
      <c r="I686" s="1" t="str">
        <f t="shared" si="30"/>
        <v/>
      </c>
      <c r="J686" s="1" t="s">
        <v>35</v>
      </c>
      <c r="K686" s="1" t="str">
        <f t="shared" si="31"/>
        <v/>
      </c>
      <c r="L686" s="1" t="str">
        <f t="shared" si="32"/>
        <v/>
      </c>
      <c r="M686" s="1">
        <f>IF(OR(Table1[[#This Row],[Std Nom]]="",Table1[[#This Row],[Std Read]]=""),0,Table1[[#This Row],[Std Nom]]-Table1[[#This Row],[Std Read]])</f>
        <v>0</v>
      </c>
      <c r="N686" s="1">
        <f>IF(Calculations!$F$5="ACCREDITED 17025 WITH UNCERTAINTIES",$N$10,0)</f>
        <v>0</v>
      </c>
      <c r="O686" s="1" t="str">
        <f>IFERROR(Table1[[#This Row],[Std Nom]]-(_xlfn.XLOOKUP(Table1[[#This Row],[Manufacturer]]&amp;" "&amp;Table1[[#This Row],[Model]],Table13[MFR &amp; MDL],Table13[Tolerance % CW ],"")/100*Table1[[#This Row],[Std Nom]]),"")</f>
        <v/>
      </c>
      <c r="P686" s="1" t="str">
        <f>IFERROR(Table1[[#This Row],[Std Nom]]+(_xlfn.XLOOKUP(Table1[[#This Row],[Manufacturer]]&amp;" "&amp;Table1[[#This Row],[Model]],Table13[MFR &amp; MDL],Table13[Tolerance % CW ],"")/100*Table1[[#This Row],[Std Nom]]),"")</f>
        <v/>
      </c>
      <c r="Q686" s="1" t="e">
        <f>Table1[[#This Row],[High Tol]]-Table1[[#This Row],[Low Tol]]</f>
        <v>#VALUE!</v>
      </c>
      <c r="R686" s="1">
        <f>2*Table1[[#This Row],[Std Error]]</f>
        <v>0</v>
      </c>
      <c r="S686" s="1" t="str">
        <f>IF(Table1[[#This Row],[High Tol]]="","N/A",IFERROR(ABS(Table1[[#This Row],[Tol Span]]/Table1[[#This Row],[Error Span]]),"N/A"))</f>
        <v>N/A</v>
      </c>
      <c r="T686" s="1" t="str">
        <f>IF(OR(Table1[[#This Row],[Low Tol]]="",Table1[[#This Row],[High Tol]]=""),"Needs Analysis",IF(Table1[[#This Row],[Ratio]]&gt;=4,"Not Significant",IF(Table1[[#This Row],[Ratio]]&gt;=2,"Semi-Significant","Significant")))</f>
        <v>Needs Analysis</v>
      </c>
      <c r="W686" s="1">
        <f>IF(Table1[[#This Row],[Cal Type]]&lt;&gt;"ACCREDITED 17025 WITH UNCERTAINTIES",0,"")</f>
        <v>0</v>
      </c>
      <c r="X686" s="1" t="str">
        <f>IF(Table1[[#This Row],[DUT Read]]="","N/A",Table1[[#This Row],[Std Error]]+Table1[[#This Row],[DUT Read]]+Table1[[#This Row],[DUT Ucty]])</f>
        <v>N/A</v>
      </c>
      <c r="Y686" s="1" t="str">
        <f>IF(Table1[[#This Row],[Std Read]]="","N/A",Table1[[#This Row],[Std Read]]+Table1[[#This Row],[Std Ucty]])</f>
        <v>N/A</v>
      </c>
      <c r="Z6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6" s="1" t="str">
        <f>IF(Table1[[#This Row],[Spec Type]]="","N/A",Table1[[#This Row],[Spec Type]])</f>
        <v>±</v>
      </c>
      <c r="AC686" s="1" t="str">
        <f>IF(Table1[[#This Row],[Spec Type2]]="N/A","N/A",IF(AND(Table1[[#This Row],[DUT Adj Read]]&gt;=Table1[[#This Row],[Low Tol]],Table1[[#This Row],[DUT Adj Read]]&lt;=Table1[[#This Row],[High Tol]]),"Pass","Fail"))</f>
        <v>Fail</v>
      </c>
      <c r="AD686" s="1" t="str">
        <f>IF(AND(Table1[[#This Row],[Spec Type2]]="N/A",Table1[[#This Row],[DUT Adj Read]]="N/A",Table1[[#This Row],[Std Adj Read]]="N/A"),"N/A",IF(Table1[[#This Row],[DUT Adj Read]]="N/A",IF(Table1[[#This Row],[Std Adj Read]]&gt;Table1[[#This Row],[Low Tol]],"Pass","Fail"),IF(Table1[[#This Row],[DUT Adj Read]]&gt;Table1[[#This Row],[Low Tol]],"Pass","Fail")))</f>
        <v>Pass</v>
      </c>
      <c r="AE686" s="1" t="str">
        <f>IF(AND(Table1[[#This Row],[Spec Type2]]="N/A",Table1[[#This Row],[DUT Adj Read]]="N/A",Table1[[#This Row],[Std Adj Read]]="N/A"),"N/A",IF(Table1[[#This Row],[DUT Adj Read]]="N/A",IF(Table1[[#This Row],[Std Adj Read]]&lt;Table1[[#This Row],[High Tol]],"Pass","Fail"),IF(Table1[[#This Row],[DUT Adj Read]]&lt;Table1[[#This Row],[High Tol]],"Pass","Fail")))</f>
        <v>Fail</v>
      </c>
      <c r="AF686" s="1" t="str">
        <f>IF(AND(Table1[[#This Row],[Spec Type2]]="N/A",Table1[[#This Row],[DUT Adj Read]]="N/A",Table1[[#This Row],[Std Adj Read]]="N/A"),"N/A",IF(Table1[[#This Row],[DUT Adj Read]]="N/A",IF(Table1[[#This Row],[Std Adj Read]]&gt;=Table1[[#This Row],[Low Tol]],"Pass","Fail"),IF(Table1[[#This Row],[DUT Adj Read]]&gt;=Table1[[#This Row],[Low Tol]],"Pass","Fail")))</f>
        <v>Pass</v>
      </c>
      <c r="AG686" s="1" t="str">
        <f>IF(AND(Table1[[#This Row],[Spec Type2]]="N/A",Table1[[#This Row],[DUT Adj Read]]="N/A",Table1[[#This Row],[Std Adj Read]]="N/A"),"N/A",IF(Table1[[#This Row],[DUT Adj Read]]="N/A",IF(Table1[[#This Row],[Std Adj Read]]&lt;=Table1[[#This Row],[High Tol]],"Pass","Fail"),IF(Table1[[#This Row],[DUT Adj Read]]&lt;=Table1[[#This Row],[High Tol]],"Pass","Fail")))</f>
        <v>Fail</v>
      </c>
      <c r="AH6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6" s="1" t="b">
        <v>0</v>
      </c>
      <c r="AN686" s="1" t="b">
        <v>0</v>
      </c>
      <c r="AO686" s="1" t="b">
        <v>0</v>
      </c>
    </row>
    <row r="687" spans="1:41" x14ac:dyDescent="0.25">
      <c r="A687" s="10"/>
      <c r="B687" s="10"/>
      <c r="C687" s="10"/>
      <c r="D687" s="10"/>
      <c r="E687" s="10"/>
      <c r="F687" s="10"/>
      <c r="G687" s="10"/>
      <c r="H687" s="10"/>
      <c r="I687" s="1" t="str">
        <f t="shared" si="30"/>
        <v/>
      </c>
      <c r="J687" s="1" t="s">
        <v>35</v>
      </c>
      <c r="K687" s="1" t="str">
        <f t="shared" si="31"/>
        <v/>
      </c>
      <c r="L687" s="1" t="str">
        <f t="shared" si="32"/>
        <v/>
      </c>
      <c r="M687" s="1">
        <f>IF(OR(Table1[[#This Row],[Std Nom]]="",Table1[[#This Row],[Std Read]]=""),0,Table1[[#This Row],[Std Nom]]-Table1[[#This Row],[Std Read]])</f>
        <v>0</v>
      </c>
      <c r="N687" s="1">
        <f>IF(Calculations!$F$5="ACCREDITED 17025 WITH UNCERTAINTIES",$N$10,0)</f>
        <v>0</v>
      </c>
      <c r="O687" s="1" t="str">
        <f>IFERROR(Table1[[#This Row],[Std Nom]]-(_xlfn.XLOOKUP(Table1[[#This Row],[Manufacturer]]&amp;" "&amp;Table1[[#This Row],[Model]],Table13[MFR &amp; MDL],Table13[Tolerance % CW ],"")/100*Table1[[#This Row],[Std Nom]]),"")</f>
        <v/>
      </c>
      <c r="P687" s="1" t="str">
        <f>IFERROR(Table1[[#This Row],[Std Nom]]+(_xlfn.XLOOKUP(Table1[[#This Row],[Manufacturer]]&amp;" "&amp;Table1[[#This Row],[Model]],Table13[MFR &amp; MDL],Table13[Tolerance % CW ],"")/100*Table1[[#This Row],[Std Nom]]),"")</f>
        <v/>
      </c>
      <c r="Q687" s="1" t="e">
        <f>Table1[[#This Row],[High Tol]]-Table1[[#This Row],[Low Tol]]</f>
        <v>#VALUE!</v>
      </c>
      <c r="R687" s="1">
        <f>2*Table1[[#This Row],[Std Error]]</f>
        <v>0</v>
      </c>
      <c r="S687" s="1" t="str">
        <f>IF(Table1[[#This Row],[High Tol]]="","N/A",IFERROR(ABS(Table1[[#This Row],[Tol Span]]/Table1[[#This Row],[Error Span]]),"N/A"))</f>
        <v>N/A</v>
      </c>
      <c r="T687" s="1" t="str">
        <f>IF(OR(Table1[[#This Row],[Low Tol]]="",Table1[[#This Row],[High Tol]]=""),"Needs Analysis",IF(Table1[[#This Row],[Ratio]]&gt;=4,"Not Significant",IF(Table1[[#This Row],[Ratio]]&gt;=2,"Semi-Significant","Significant")))</f>
        <v>Needs Analysis</v>
      </c>
      <c r="W687" s="1">
        <f>IF(Table1[[#This Row],[Cal Type]]&lt;&gt;"ACCREDITED 17025 WITH UNCERTAINTIES",0,"")</f>
        <v>0</v>
      </c>
      <c r="X687" s="1" t="str">
        <f>IF(Table1[[#This Row],[DUT Read]]="","N/A",Table1[[#This Row],[Std Error]]+Table1[[#This Row],[DUT Read]]+Table1[[#This Row],[DUT Ucty]])</f>
        <v>N/A</v>
      </c>
      <c r="Y687" s="1" t="str">
        <f>IF(Table1[[#This Row],[Std Read]]="","N/A",Table1[[#This Row],[Std Read]]+Table1[[#This Row],[Std Ucty]])</f>
        <v>N/A</v>
      </c>
      <c r="Z6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7" s="1" t="str">
        <f>IF(Table1[[#This Row],[Spec Type]]="","N/A",Table1[[#This Row],[Spec Type]])</f>
        <v>±</v>
      </c>
      <c r="AC687" s="1" t="str">
        <f>IF(Table1[[#This Row],[Spec Type2]]="N/A","N/A",IF(AND(Table1[[#This Row],[DUT Adj Read]]&gt;=Table1[[#This Row],[Low Tol]],Table1[[#This Row],[DUT Adj Read]]&lt;=Table1[[#This Row],[High Tol]]),"Pass","Fail"))</f>
        <v>Fail</v>
      </c>
      <c r="AD687" s="1" t="str">
        <f>IF(AND(Table1[[#This Row],[Spec Type2]]="N/A",Table1[[#This Row],[DUT Adj Read]]="N/A",Table1[[#This Row],[Std Adj Read]]="N/A"),"N/A",IF(Table1[[#This Row],[DUT Adj Read]]="N/A",IF(Table1[[#This Row],[Std Adj Read]]&gt;Table1[[#This Row],[Low Tol]],"Pass","Fail"),IF(Table1[[#This Row],[DUT Adj Read]]&gt;Table1[[#This Row],[Low Tol]],"Pass","Fail")))</f>
        <v>Pass</v>
      </c>
      <c r="AE687" s="1" t="str">
        <f>IF(AND(Table1[[#This Row],[Spec Type2]]="N/A",Table1[[#This Row],[DUT Adj Read]]="N/A",Table1[[#This Row],[Std Adj Read]]="N/A"),"N/A",IF(Table1[[#This Row],[DUT Adj Read]]="N/A",IF(Table1[[#This Row],[Std Adj Read]]&lt;Table1[[#This Row],[High Tol]],"Pass","Fail"),IF(Table1[[#This Row],[DUT Adj Read]]&lt;Table1[[#This Row],[High Tol]],"Pass","Fail")))</f>
        <v>Fail</v>
      </c>
      <c r="AF687" s="1" t="str">
        <f>IF(AND(Table1[[#This Row],[Spec Type2]]="N/A",Table1[[#This Row],[DUT Adj Read]]="N/A",Table1[[#This Row],[Std Adj Read]]="N/A"),"N/A",IF(Table1[[#This Row],[DUT Adj Read]]="N/A",IF(Table1[[#This Row],[Std Adj Read]]&gt;=Table1[[#This Row],[Low Tol]],"Pass","Fail"),IF(Table1[[#This Row],[DUT Adj Read]]&gt;=Table1[[#This Row],[Low Tol]],"Pass","Fail")))</f>
        <v>Pass</v>
      </c>
      <c r="AG687" s="1" t="str">
        <f>IF(AND(Table1[[#This Row],[Spec Type2]]="N/A",Table1[[#This Row],[DUT Adj Read]]="N/A",Table1[[#This Row],[Std Adj Read]]="N/A"),"N/A",IF(Table1[[#This Row],[DUT Adj Read]]="N/A",IF(Table1[[#This Row],[Std Adj Read]]&lt;=Table1[[#This Row],[High Tol]],"Pass","Fail"),IF(Table1[[#This Row],[DUT Adj Read]]&lt;=Table1[[#This Row],[High Tol]],"Pass","Fail")))</f>
        <v>Fail</v>
      </c>
      <c r="AH6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7" s="1" t="b">
        <v>0</v>
      </c>
      <c r="AN687" s="1" t="b">
        <v>0</v>
      </c>
      <c r="AO687" s="1" t="b">
        <v>0</v>
      </c>
    </row>
    <row r="688" spans="1:41" x14ac:dyDescent="0.25">
      <c r="A688" s="10"/>
      <c r="B688" s="10"/>
      <c r="C688" s="10"/>
      <c r="D688" s="10"/>
      <c r="E688" s="10"/>
      <c r="F688" s="10"/>
      <c r="G688" s="10"/>
      <c r="H688" s="10"/>
      <c r="I688" s="1" t="str">
        <f t="shared" si="30"/>
        <v/>
      </c>
      <c r="J688" s="1" t="s">
        <v>35</v>
      </c>
      <c r="K688" s="1" t="str">
        <f t="shared" si="31"/>
        <v/>
      </c>
      <c r="L688" s="1" t="str">
        <f t="shared" si="32"/>
        <v/>
      </c>
      <c r="M688" s="1">
        <f>IF(OR(Table1[[#This Row],[Std Nom]]="",Table1[[#This Row],[Std Read]]=""),0,Table1[[#This Row],[Std Nom]]-Table1[[#This Row],[Std Read]])</f>
        <v>0</v>
      </c>
      <c r="N688" s="1">
        <f>IF(Calculations!$F$5="ACCREDITED 17025 WITH UNCERTAINTIES",$N$10,0)</f>
        <v>0</v>
      </c>
      <c r="O688" s="1" t="str">
        <f>IFERROR(Table1[[#This Row],[Std Nom]]-(_xlfn.XLOOKUP(Table1[[#This Row],[Manufacturer]]&amp;" "&amp;Table1[[#This Row],[Model]],Table13[MFR &amp; MDL],Table13[Tolerance % CW ],"")/100*Table1[[#This Row],[Std Nom]]),"")</f>
        <v/>
      </c>
      <c r="P688" s="1" t="str">
        <f>IFERROR(Table1[[#This Row],[Std Nom]]+(_xlfn.XLOOKUP(Table1[[#This Row],[Manufacturer]]&amp;" "&amp;Table1[[#This Row],[Model]],Table13[MFR &amp; MDL],Table13[Tolerance % CW ],"")/100*Table1[[#This Row],[Std Nom]]),"")</f>
        <v/>
      </c>
      <c r="Q688" s="1" t="e">
        <f>Table1[[#This Row],[High Tol]]-Table1[[#This Row],[Low Tol]]</f>
        <v>#VALUE!</v>
      </c>
      <c r="R688" s="1">
        <f>2*Table1[[#This Row],[Std Error]]</f>
        <v>0</v>
      </c>
      <c r="S688" s="1" t="str">
        <f>IF(Table1[[#This Row],[High Tol]]="","N/A",IFERROR(ABS(Table1[[#This Row],[Tol Span]]/Table1[[#This Row],[Error Span]]),"N/A"))</f>
        <v>N/A</v>
      </c>
      <c r="T688" s="1" t="str">
        <f>IF(OR(Table1[[#This Row],[Low Tol]]="",Table1[[#This Row],[High Tol]]=""),"Needs Analysis",IF(Table1[[#This Row],[Ratio]]&gt;=4,"Not Significant",IF(Table1[[#This Row],[Ratio]]&gt;=2,"Semi-Significant","Significant")))</f>
        <v>Needs Analysis</v>
      </c>
      <c r="W688" s="1">
        <f>IF(Table1[[#This Row],[Cal Type]]&lt;&gt;"ACCREDITED 17025 WITH UNCERTAINTIES",0,"")</f>
        <v>0</v>
      </c>
      <c r="X688" s="1" t="str">
        <f>IF(Table1[[#This Row],[DUT Read]]="","N/A",Table1[[#This Row],[Std Error]]+Table1[[#This Row],[DUT Read]]+Table1[[#This Row],[DUT Ucty]])</f>
        <v>N/A</v>
      </c>
      <c r="Y688" s="1" t="str">
        <f>IF(Table1[[#This Row],[Std Read]]="","N/A",Table1[[#This Row],[Std Read]]+Table1[[#This Row],[Std Ucty]])</f>
        <v>N/A</v>
      </c>
      <c r="Z6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8" s="1" t="str">
        <f>IF(Table1[[#This Row],[Spec Type]]="","N/A",Table1[[#This Row],[Spec Type]])</f>
        <v>±</v>
      </c>
      <c r="AC688" s="1" t="str">
        <f>IF(Table1[[#This Row],[Spec Type2]]="N/A","N/A",IF(AND(Table1[[#This Row],[DUT Adj Read]]&gt;=Table1[[#This Row],[Low Tol]],Table1[[#This Row],[DUT Adj Read]]&lt;=Table1[[#This Row],[High Tol]]),"Pass","Fail"))</f>
        <v>Fail</v>
      </c>
      <c r="AD688" s="1" t="str">
        <f>IF(AND(Table1[[#This Row],[Spec Type2]]="N/A",Table1[[#This Row],[DUT Adj Read]]="N/A",Table1[[#This Row],[Std Adj Read]]="N/A"),"N/A",IF(Table1[[#This Row],[DUT Adj Read]]="N/A",IF(Table1[[#This Row],[Std Adj Read]]&gt;Table1[[#This Row],[Low Tol]],"Pass","Fail"),IF(Table1[[#This Row],[DUT Adj Read]]&gt;Table1[[#This Row],[Low Tol]],"Pass","Fail")))</f>
        <v>Pass</v>
      </c>
      <c r="AE688" s="1" t="str">
        <f>IF(AND(Table1[[#This Row],[Spec Type2]]="N/A",Table1[[#This Row],[DUT Adj Read]]="N/A",Table1[[#This Row],[Std Adj Read]]="N/A"),"N/A",IF(Table1[[#This Row],[DUT Adj Read]]="N/A",IF(Table1[[#This Row],[Std Adj Read]]&lt;Table1[[#This Row],[High Tol]],"Pass","Fail"),IF(Table1[[#This Row],[DUT Adj Read]]&lt;Table1[[#This Row],[High Tol]],"Pass","Fail")))</f>
        <v>Fail</v>
      </c>
      <c r="AF688" s="1" t="str">
        <f>IF(AND(Table1[[#This Row],[Spec Type2]]="N/A",Table1[[#This Row],[DUT Adj Read]]="N/A",Table1[[#This Row],[Std Adj Read]]="N/A"),"N/A",IF(Table1[[#This Row],[DUT Adj Read]]="N/A",IF(Table1[[#This Row],[Std Adj Read]]&gt;=Table1[[#This Row],[Low Tol]],"Pass","Fail"),IF(Table1[[#This Row],[DUT Adj Read]]&gt;=Table1[[#This Row],[Low Tol]],"Pass","Fail")))</f>
        <v>Pass</v>
      </c>
      <c r="AG688" s="1" t="str">
        <f>IF(AND(Table1[[#This Row],[Spec Type2]]="N/A",Table1[[#This Row],[DUT Adj Read]]="N/A",Table1[[#This Row],[Std Adj Read]]="N/A"),"N/A",IF(Table1[[#This Row],[DUT Adj Read]]="N/A",IF(Table1[[#This Row],[Std Adj Read]]&lt;=Table1[[#This Row],[High Tol]],"Pass","Fail"),IF(Table1[[#This Row],[DUT Adj Read]]&lt;=Table1[[#This Row],[High Tol]],"Pass","Fail")))</f>
        <v>Fail</v>
      </c>
      <c r="AH6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8" s="1" t="b">
        <v>0</v>
      </c>
      <c r="AN688" s="1" t="b">
        <v>0</v>
      </c>
      <c r="AO688" s="1" t="b">
        <v>0</v>
      </c>
    </row>
    <row r="689" spans="1:41" x14ac:dyDescent="0.25">
      <c r="A689" s="10"/>
      <c r="B689" s="10"/>
      <c r="C689" s="10"/>
      <c r="D689" s="10"/>
      <c r="E689" s="10"/>
      <c r="F689" s="10"/>
      <c r="G689" s="10"/>
      <c r="H689" s="10"/>
      <c r="I689" s="1" t="str">
        <f t="shared" si="30"/>
        <v/>
      </c>
      <c r="J689" s="1" t="s">
        <v>35</v>
      </c>
      <c r="K689" s="1" t="str">
        <f t="shared" si="31"/>
        <v/>
      </c>
      <c r="L689" s="1" t="str">
        <f t="shared" si="32"/>
        <v/>
      </c>
      <c r="M689" s="1">
        <f>IF(OR(Table1[[#This Row],[Std Nom]]="",Table1[[#This Row],[Std Read]]=""),0,Table1[[#This Row],[Std Nom]]-Table1[[#This Row],[Std Read]])</f>
        <v>0</v>
      </c>
      <c r="N689" s="1">
        <f>IF(Calculations!$F$5="ACCREDITED 17025 WITH UNCERTAINTIES",$N$10,0)</f>
        <v>0</v>
      </c>
      <c r="O689" s="1" t="str">
        <f>IFERROR(Table1[[#This Row],[Std Nom]]-(_xlfn.XLOOKUP(Table1[[#This Row],[Manufacturer]]&amp;" "&amp;Table1[[#This Row],[Model]],Table13[MFR &amp; MDL],Table13[Tolerance % CW ],"")/100*Table1[[#This Row],[Std Nom]]),"")</f>
        <v/>
      </c>
      <c r="P689" s="1" t="str">
        <f>IFERROR(Table1[[#This Row],[Std Nom]]+(_xlfn.XLOOKUP(Table1[[#This Row],[Manufacturer]]&amp;" "&amp;Table1[[#This Row],[Model]],Table13[MFR &amp; MDL],Table13[Tolerance % CW ],"")/100*Table1[[#This Row],[Std Nom]]),"")</f>
        <v/>
      </c>
      <c r="Q689" s="1" t="e">
        <f>Table1[[#This Row],[High Tol]]-Table1[[#This Row],[Low Tol]]</f>
        <v>#VALUE!</v>
      </c>
      <c r="R689" s="1">
        <f>2*Table1[[#This Row],[Std Error]]</f>
        <v>0</v>
      </c>
      <c r="S689" s="1" t="str">
        <f>IF(Table1[[#This Row],[High Tol]]="","N/A",IFERROR(ABS(Table1[[#This Row],[Tol Span]]/Table1[[#This Row],[Error Span]]),"N/A"))</f>
        <v>N/A</v>
      </c>
      <c r="T689" s="1" t="str">
        <f>IF(OR(Table1[[#This Row],[Low Tol]]="",Table1[[#This Row],[High Tol]]=""),"Needs Analysis",IF(Table1[[#This Row],[Ratio]]&gt;=4,"Not Significant",IF(Table1[[#This Row],[Ratio]]&gt;=2,"Semi-Significant","Significant")))</f>
        <v>Needs Analysis</v>
      </c>
      <c r="W689" s="1">
        <f>IF(Table1[[#This Row],[Cal Type]]&lt;&gt;"ACCREDITED 17025 WITH UNCERTAINTIES",0,"")</f>
        <v>0</v>
      </c>
      <c r="X689" s="1" t="str">
        <f>IF(Table1[[#This Row],[DUT Read]]="","N/A",Table1[[#This Row],[Std Error]]+Table1[[#This Row],[DUT Read]]+Table1[[#This Row],[DUT Ucty]])</f>
        <v>N/A</v>
      </c>
      <c r="Y689" s="1" t="str">
        <f>IF(Table1[[#This Row],[Std Read]]="","N/A",Table1[[#This Row],[Std Read]]+Table1[[#This Row],[Std Ucty]])</f>
        <v>N/A</v>
      </c>
      <c r="Z6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9" s="1" t="str">
        <f>IF(Table1[[#This Row],[Spec Type]]="","N/A",Table1[[#This Row],[Spec Type]])</f>
        <v>±</v>
      </c>
      <c r="AC689" s="1" t="str">
        <f>IF(Table1[[#This Row],[Spec Type2]]="N/A","N/A",IF(AND(Table1[[#This Row],[DUT Adj Read]]&gt;=Table1[[#This Row],[Low Tol]],Table1[[#This Row],[DUT Adj Read]]&lt;=Table1[[#This Row],[High Tol]]),"Pass","Fail"))</f>
        <v>Fail</v>
      </c>
      <c r="AD689" s="1" t="str">
        <f>IF(AND(Table1[[#This Row],[Spec Type2]]="N/A",Table1[[#This Row],[DUT Adj Read]]="N/A",Table1[[#This Row],[Std Adj Read]]="N/A"),"N/A",IF(Table1[[#This Row],[DUT Adj Read]]="N/A",IF(Table1[[#This Row],[Std Adj Read]]&gt;Table1[[#This Row],[Low Tol]],"Pass","Fail"),IF(Table1[[#This Row],[DUT Adj Read]]&gt;Table1[[#This Row],[Low Tol]],"Pass","Fail")))</f>
        <v>Pass</v>
      </c>
      <c r="AE689" s="1" t="str">
        <f>IF(AND(Table1[[#This Row],[Spec Type2]]="N/A",Table1[[#This Row],[DUT Adj Read]]="N/A",Table1[[#This Row],[Std Adj Read]]="N/A"),"N/A",IF(Table1[[#This Row],[DUT Adj Read]]="N/A",IF(Table1[[#This Row],[Std Adj Read]]&lt;Table1[[#This Row],[High Tol]],"Pass","Fail"),IF(Table1[[#This Row],[DUT Adj Read]]&lt;Table1[[#This Row],[High Tol]],"Pass","Fail")))</f>
        <v>Fail</v>
      </c>
      <c r="AF689" s="1" t="str">
        <f>IF(AND(Table1[[#This Row],[Spec Type2]]="N/A",Table1[[#This Row],[DUT Adj Read]]="N/A",Table1[[#This Row],[Std Adj Read]]="N/A"),"N/A",IF(Table1[[#This Row],[DUT Adj Read]]="N/A",IF(Table1[[#This Row],[Std Adj Read]]&gt;=Table1[[#This Row],[Low Tol]],"Pass","Fail"),IF(Table1[[#This Row],[DUT Adj Read]]&gt;=Table1[[#This Row],[Low Tol]],"Pass","Fail")))</f>
        <v>Pass</v>
      </c>
      <c r="AG689" s="1" t="str">
        <f>IF(AND(Table1[[#This Row],[Spec Type2]]="N/A",Table1[[#This Row],[DUT Adj Read]]="N/A",Table1[[#This Row],[Std Adj Read]]="N/A"),"N/A",IF(Table1[[#This Row],[DUT Adj Read]]="N/A",IF(Table1[[#This Row],[Std Adj Read]]&lt;=Table1[[#This Row],[High Tol]],"Pass","Fail"),IF(Table1[[#This Row],[DUT Adj Read]]&lt;=Table1[[#This Row],[High Tol]],"Pass","Fail")))</f>
        <v>Fail</v>
      </c>
      <c r="AH6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9" s="1" t="b">
        <v>0</v>
      </c>
      <c r="AN689" s="1" t="b">
        <v>0</v>
      </c>
      <c r="AO689" s="1" t="b">
        <v>0</v>
      </c>
    </row>
    <row r="690" spans="1:41" x14ac:dyDescent="0.25">
      <c r="A690" s="10"/>
      <c r="B690" s="10"/>
      <c r="C690" s="10"/>
      <c r="D690" s="10"/>
      <c r="E690" s="10"/>
      <c r="F690" s="10"/>
      <c r="G690" s="10"/>
      <c r="H690" s="10"/>
      <c r="I690" s="1" t="str">
        <f t="shared" si="30"/>
        <v/>
      </c>
      <c r="J690" s="1" t="s">
        <v>35</v>
      </c>
      <c r="K690" s="1" t="str">
        <f t="shared" si="31"/>
        <v/>
      </c>
      <c r="L690" s="1" t="str">
        <f t="shared" si="32"/>
        <v/>
      </c>
      <c r="M690" s="1">
        <f>IF(OR(Table1[[#This Row],[Std Nom]]="",Table1[[#This Row],[Std Read]]=""),0,Table1[[#This Row],[Std Nom]]-Table1[[#This Row],[Std Read]])</f>
        <v>0</v>
      </c>
      <c r="N690" s="1">
        <f>IF(Calculations!$F$5="ACCREDITED 17025 WITH UNCERTAINTIES",$N$10,0)</f>
        <v>0</v>
      </c>
      <c r="O690" s="1" t="str">
        <f>IFERROR(Table1[[#This Row],[Std Nom]]-(_xlfn.XLOOKUP(Table1[[#This Row],[Manufacturer]]&amp;" "&amp;Table1[[#This Row],[Model]],Table13[MFR &amp; MDL],Table13[Tolerance % CW ],"")/100*Table1[[#This Row],[Std Nom]]),"")</f>
        <v/>
      </c>
      <c r="P690" s="1" t="str">
        <f>IFERROR(Table1[[#This Row],[Std Nom]]+(_xlfn.XLOOKUP(Table1[[#This Row],[Manufacturer]]&amp;" "&amp;Table1[[#This Row],[Model]],Table13[MFR &amp; MDL],Table13[Tolerance % CW ],"")/100*Table1[[#This Row],[Std Nom]]),"")</f>
        <v/>
      </c>
      <c r="Q690" s="1" t="e">
        <f>Table1[[#This Row],[High Tol]]-Table1[[#This Row],[Low Tol]]</f>
        <v>#VALUE!</v>
      </c>
      <c r="R690" s="1">
        <f>2*Table1[[#This Row],[Std Error]]</f>
        <v>0</v>
      </c>
      <c r="S690" s="1" t="str">
        <f>IF(Table1[[#This Row],[High Tol]]="","N/A",IFERROR(ABS(Table1[[#This Row],[Tol Span]]/Table1[[#This Row],[Error Span]]),"N/A"))</f>
        <v>N/A</v>
      </c>
      <c r="T690" s="1" t="str">
        <f>IF(OR(Table1[[#This Row],[Low Tol]]="",Table1[[#This Row],[High Tol]]=""),"Needs Analysis",IF(Table1[[#This Row],[Ratio]]&gt;=4,"Not Significant",IF(Table1[[#This Row],[Ratio]]&gt;=2,"Semi-Significant","Significant")))</f>
        <v>Needs Analysis</v>
      </c>
      <c r="W690" s="1">
        <f>IF(Table1[[#This Row],[Cal Type]]&lt;&gt;"ACCREDITED 17025 WITH UNCERTAINTIES",0,"")</f>
        <v>0</v>
      </c>
      <c r="X690" s="1" t="str">
        <f>IF(Table1[[#This Row],[DUT Read]]="","N/A",Table1[[#This Row],[Std Error]]+Table1[[#This Row],[DUT Read]]+Table1[[#This Row],[DUT Ucty]])</f>
        <v>N/A</v>
      </c>
      <c r="Y690" s="1" t="str">
        <f>IF(Table1[[#This Row],[Std Read]]="","N/A",Table1[[#This Row],[Std Read]]+Table1[[#This Row],[Std Ucty]])</f>
        <v>N/A</v>
      </c>
      <c r="Z6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0" s="1" t="str">
        <f>IF(Table1[[#This Row],[Spec Type]]="","N/A",Table1[[#This Row],[Spec Type]])</f>
        <v>±</v>
      </c>
      <c r="AC690" s="1" t="str">
        <f>IF(Table1[[#This Row],[Spec Type2]]="N/A","N/A",IF(AND(Table1[[#This Row],[DUT Adj Read]]&gt;=Table1[[#This Row],[Low Tol]],Table1[[#This Row],[DUT Adj Read]]&lt;=Table1[[#This Row],[High Tol]]),"Pass","Fail"))</f>
        <v>Fail</v>
      </c>
      <c r="AD690" s="1" t="str">
        <f>IF(AND(Table1[[#This Row],[Spec Type2]]="N/A",Table1[[#This Row],[DUT Adj Read]]="N/A",Table1[[#This Row],[Std Adj Read]]="N/A"),"N/A",IF(Table1[[#This Row],[DUT Adj Read]]="N/A",IF(Table1[[#This Row],[Std Adj Read]]&gt;Table1[[#This Row],[Low Tol]],"Pass","Fail"),IF(Table1[[#This Row],[DUT Adj Read]]&gt;Table1[[#This Row],[Low Tol]],"Pass","Fail")))</f>
        <v>Pass</v>
      </c>
      <c r="AE690" s="1" t="str">
        <f>IF(AND(Table1[[#This Row],[Spec Type2]]="N/A",Table1[[#This Row],[DUT Adj Read]]="N/A",Table1[[#This Row],[Std Adj Read]]="N/A"),"N/A",IF(Table1[[#This Row],[DUT Adj Read]]="N/A",IF(Table1[[#This Row],[Std Adj Read]]&lt;Table1[[#This Row],[High Tol]],"Pass","Fail"),IF(Table1[[#This Row],[DUT Adj Read]]&lt;Table1[[#This Row],[High Tol]],"Pass","Fail")))</f>
        <v>Fail</v>
      </c>
      <c r="AF690" s="1" t="str">
        <f>IF(AND(Table1[[#This Row],[Spec Type2]]="N/A",Table1[[#This Row],[DUT Adj Read]]="N/A",Table1[[#This Row],[Std Adj Read]]="N/A"),"N/A",IF(Table1[[#This Row],[DUT Adj Read]]="N/A",IF(Table1[[#This Row],[Std Adj Read]]&gt;=Table1[[#This Row],[Low Tol]],"Pass","Fail"),IF(Table1[[#This Row],[DUT Adj Read]]&gt;=Table1[[#This Row],[Low Tol]],"Pass","Fail")))</f>
        <v>Pass</v>
      </c>
      <c r="AG690" s="1" t="str">
        <f>IF(AND(Table1[[#This Row],[Spec Type2]]="N/A",Table1[[#This Row],[DUT Adj Read]]="N/A",Table1[[#This Row],[Std Adj Read]]="N/A"),"N/A",IF(Table1[[#This Row],[DUT Adj Read]]="N/A",IF(Table1[[#This Row],[Std Adj Read]]&lt;=Table1[[#This Row],[High Tol]],"Pass","Fail"),IF(Table1[[#This Row],[DUT Adj Read]]&lt;=Table1[[#This Row],[High Tol]],"Pass","Fail")))</f>
        <v>Fail</v>
      </c>
      <c r="AH6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0" s="1" t="b">
        <v>0</v>
      </c>
      <c r="AN690" s="1" t="b">
        <v>0</v>
      </c>
      <c r="AO690" s="1" t="b">
        <v>0</v>
      </c>
    </row>
    <row r="691" spans="1:41" x14ac:dyDescent="0.25">
      <c r="A691" s="10"/>
      <c r="B691" s="10"/>
      <c r="C691" s="10"/>
      <c r="D691" s="10"/>
      <c r="E691" s="10"/>
      <c r="F691" s="10"/>
      <c r="G691" s="10"/>
      <c r="H691" s="10"/>
      <c r="I691" s="1" t="str">
        <f t="shared" si="30"/>
        <v/>
      </c>
      <c r="J691" s="1" t="s">
        <v>35</v>
      </c>
      <c r="K691" s="1" t="str">
        <f t="shared" si="31"/>
        <v/>
      </c>
      <c r="L691" s="1" t="str">
        <f t="shared" si="32"/>
        <v/>
      </c>
      <c r="M691" s="1">
        <f>IF(OR(Table1[[#This Row],[Std Nom]]="",Table1[[#This Row],[Std Read]]=""),0,Table1[[#This Row],[Std Nom]]-Table1[[#This Row],[Std Read]])</f>
        <v>0</v>
      </c>
      <c r="N691" s="1">
        <f>IF(Calculations!$F$5="ACCREDITED 17025 WITH UNCERTAINTIES",$N$10,0)</f>
        <v>0</v>
      </c>
      <c r="O691" s="1" t="str">
        <f>IFERROR(Table1[[#This Row],[Std Nom]]-(_xlfn.XLOOKUP(Table1[[#This Row],[Manufacturer]]&amp;" "&amp;Table1[[#This Row],[Model]],Table13[MFR &amp; MDL],Table13[Tolerance % CW ],"")/100*Table1[[#This Row],[Std Nom]]),"")</f>
        <v/>
      </c>
      <c r="P691" s="1" t="str">
        <f>IFERROR(Table1[[#This Row],[Std Nom]]+(_xlfn.XLOOKUP(Table1[[#This Row],[Manufacturer]]&amp;" "&amp;Table1[[#This Row],[Model]],Table13[MFR &amp; MDL],Table13[Tolerance % CW ],"")/100*Table1[[#This Row],[Std Nom]]),"")</f>
        <v/>
      </c>
      <c r="Q691" s="1" t="e">
        <f>Table1[[#This Row],[High Tol]]-Table1[[#This Row],[Low Tol]]</f>
        <v>#VALUE!</v>
      </c>
      <c r="R691" s="1">
        <f>2*Table1[[#This Row],[Std Error]]</f>
        <v>0</v>
      </c>
      <c r="S691" s="1" t="str">
        <f>IF(Table1[[#This Row],[High Tol]]="","N/A",IFERROR(ABS(Table1[[#This Row],[Tol Span]]/Table1[[#This Row],[Error Span]]),"N/A"))</f>
        <v>N/A</v>
      </c>
      <c r="T691" s="1" t="str">
        <f>IF(OR(Table1[[#This Row],[Low Tol]]="",Table1[[#This Row],[High Tol]]=""),"Needs Analysis",IF(Table1[[#This Row],[Ratio]]&gt;=4,"Not Significant",IF(Table1[[#This Row],[Ratio]]&gt;=2,"Semi-Significant","Significant")))</f>
        <v>Needs Analysis</v>
      </c>
      <c r="W691" s="1">
        <f>IF(Table1[[#This Row],[Cal Type]]&lt;&gt;"ACCREDITED 17025 WITH UNCERTAINTIES",0,"")</f>
        <v>0</v>
      </c>
      <c r="X691" s="1" t="str">
        <f>IF(Table1[[#This Row],[DUT Read]]="","N/A",Table1[[#This Row],[Std Error]]+Table1[[#This Row],[DUT Read]]+Table1[[#This Row],[DUT Ucty]])</f>
        <v>N/A</v>
      </c>
      <c r="Y691" s="1" t="str">
        <f>IF(Table1[[#This Row],[Std Read]]="","N/A",Table1[[#This Row],[Std Read]]+Table1[[#This Row],[Std Ucty]])</f>
        <v>N/A</v>
      </c>
      <c r="Z6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1" s="1" t="str">
        <f>IF(Table1[[#This Row],[Spec Type]]="","N/A",Table1[[#This Row],[Spec Type]])</f>
        <v>±</v>
      </c>
      <c r="AC691" s="1" t="str">
        <f>IF(Table1[[#This Row],[Spec Type2]]="N/A","N/A",IF(AND(Table1[[#This Row],[DUT Adj Read]]&gt;=Table1[[#This Row],[Low Tol]],Table1[[#This Row],[DUT Adj Read]]&lt;=Table1[[#This Row],[High Tol]]),"Pass","Fail"))</f>
        <v>Fail</v>
      </c>
      <c r="AD691" s="1" t="str">
        <f>IF(AND(Table1[[#This Row],[Spec Type2]]="N/A",Table1[[#This Row],[DUT Adj Read]]="N/A",Table1[[#This Row],[Std Adj Read]]="N/A"),"N/A",IF(Table1[[#This Row],[DUT Adj Read]]="N/A",IF(Table1[[#This Row],[Std Adj Read]]&gt;Table1[[#This Row],[Low Tol]],"Pass","Fail"),IF(Table1[[#This Row],[DUT Adj Read]]&gt;Table1[[#This Row],[Low Tol]],"Pass","Fail")))</f>
        <v>Pass</v>
      </c>
      <c r="AE691" s="1" t="str">
        <f>IF(AND(Table1[[#This Row],[Spec Type2]]="N/A",Table1[[#This Row],[DUT Adj Read]]="N/A",Table1[[#This Row],[Std Adj Read]]="N/A"),"N/A",IF(Table1[[#This Row],[DUT Adj Read]]="N/A",IF(Table1[[#This Row],[Std Adj Read]]&lt;Table1[[#This Row],[High Tol]],"Pass","Fail"),IF(Table1[[#This Row],[DUT Adj Read]]&lt;Table1[[#This Row],[High Tol]],"Pass","Fail")))</f>
        <v>Fail</v>
      </c>
      <c r="AF691" s="1" t="str">
        <f>IF(AND(Table1[[#This Row],[Spec Type2]]="N/A",Table1[[#This Row],[DUT Adj Read]]="N/A",Table1[[#This Row],[Std Adj Read]]="N/A"),"N/A",IF(Table1[[#This Row],[DUT Adj Read]]="N/A",IF(Table1[[#This Row],[Std Adj Read]]&gt;=Table1[[#This Row],[Low Tol]],"Pass","Fail"),IF(Table1[[#This Row],[DUT Adj Read]]&gt;=Table1[[#This Row],[Low Tol]],"Pass","Fail")))</f>
        <v>Pass</v>
      </c>
      <c r="AG691" s="1" t="str">
        <f>IF(AND(Table1[[#This Row],[Spec Type2]]="N/A",Table1[[#This Row],[DUT Adj Read]]="N/A",Table1[[#This Row],[Std Adj Read]]="N/A"),"N/A",IF(Table1[[#This Row],[DUT Adj Read]]="N/A",IF(Table1[[#This Row],[Std Adj Read]]&lt;=Table1[[#This Row],[High Tol]],"Pass","Fail"),IF(Table1[[#This Row],[DUT Adj Read]]&lt;=Table1[[#This Row],[High Tol]],"Pass","Fail")))</f>
        <v>Fail</v>
      </c>
      <c r="AH6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1" s="1" t="b">
        <v>0</v>
      </c>
      <c r="AN691" s="1" t="b">
        <v>0</v>
      </c>
      <c r="AO691" s="1" t="b">
        <v>0</v>
      </c>
    </row>
    <row r="692" spans="1:41" x14ac:dyDescent="0.25">
      <c r="A692" s="10"/>
      <c r="B692" s="10"/>
      <c r="C692" s="10"/>
      <c r="D692" s="10"/>
      <c r="E692" s="10"/>
      <c r="F692" s="10"/>
      <c r="G692" s="10"/>
      <c r="H692" s="10"/>
      <c r="I692" s="1" t="str">
        <f t="shared" si="30"/>
        <v/>
      </c>
      <c r="J692" s="1" t="s">
        <v>35</v>
      </c>
      <c r="K692" s="1" t="str">
        <f t="shared" si="31"/>
        <v/>
      </c>
      <c r="L692" s="1" t="str">
        <f t="shared" si="32"/>
        <v/>
      </c>
      <c r="M692" s="1">
        <f>IF(OR(Table1[[#This Row],[Std Nom]]="",Table1[[#This Row],[Std Read]]=""),0,Table1[[#This Row],[Std Nom]]-Table1[[#This Row],[Std Read]])</f>
        <v>0</v>
      </c>
      <c r="N692" s="1">
        <f>IF(Calculations!$F$5="ACCREDITED 17025 WITH UNCERTAINTIES",$N$10,0)</f>
        <v>0</v>
      </c>
      <c r="O692" s="1" t="str">
        <f>IFERROR(Table1[[#This Row],[Std Nom]]-(_xlfn.XLOOKUP(Table1[[#This Row],[Manufacturer]]&amp;" "&amp;Table1[[#This Row],[Model]],Table13[MFR &amp; MDL],Table13[Tolerance % CW ],"")/100*Table1[[#This Row],[Std Nom]]),"")</f>
        <v/>
      </c>
      <c r="P692" s="1" t="str">
        <f>IFERROR(Table1[[#This Row],[Std Nom]]+(_xlfn.XLOOKUP(Table1[[#This Row],[Manufacturer]]&amp;" "&amp;Table1[[#This Row],[Model]],Table13[MFR &amp; MDL],Table13[Tolerance % CW ],"")/100*Table1[[#This Row],[Std Nom]]),"")</f>
        <v/>
      </c>
      <c r="Q692" s="1" t="e">
        <f>Table1[[#This Row],[High Tol]]-Table1[[#This Row],[Low Tol]]</f>
        <v>#VALUE!</v>
      </c>
      <c r="R692" s="1">
        <f>2*Table1[[#This Row],[Std Error]]</f>
        <v>0</v>
      </c>
      <c r="S692" s="1" t="str">
        <f>IF(Table1[[#This Row],[High Tol]]="","N/A",IFERROR(ABS(Table1[[#This Row],[Tol Span]]/Table1[[#This Row],[Error Span]]),"N/A"))</f>
        <v>N/A</v>
      </c>
      <c r="T692" s="1" t="str">
        <f>IF(OR(Table1[[#This Row],[Low Tol]]="",Table1[[#This Row],[High Tol]]=""),"Needs Analysis",IF(Table1[[#This Row],[Ratio]]&gt;=4,"Not Significant",IF(Table1[[#This Row],[Ratio]]&gt;=2,"Semi-Significant","Significant")))</f>
        <v>Needs Analysis</v>
      </c>
      <c r="W692" s="1">
        <f>IF(Table1[[#This Row],[Cal Type]]&lt;&gt;"ACCREDITED 17025 WITH UNCERTAINTIES",0,"")</f>
        <v>0</v>
      </c>
      <c r="X692" s="1" t="str">
        <f>IF(Table1[[#This Row],[DUT Read]]="","N/A",Table1[[#This Row],[Std Error]]+Table1[[#This Row],[DUT Read]]+Table1[[#This Row],[DUT Ucty]])</f>
        <v>N/A</v>
      </c>
      <c r="Y692" s="1" t="str">
        <f>IF(Table1[[#This Row],[Std Read]]="","N/A",Table1[[#This Row],[Std Read]]+Table1[[#This Row],[Std Ucty]])</f>
        <v>N/A</v>
      </c>
      <c r="Z6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2" s="1" t="str">
        <f>IF(Table1[[#This Row],[Spec Type]]="","N/A",Table1[[#This Row],[Spec Type]])</f>
        <v>±</v>
      </c>
      <c r="AC692" s="1" t="str">
        <f>IF(Table1[[#This Row],[Spec Type2]]="N/A","N/A",IF(AND(Table1[[#This Row],[DUT Adj Read]]&gt;=Table1[[#This Row],[Low Tol]],Table1[[#This Row],[DUT Adj Read]]&lt;=Table1[[#This Row],[High Tol]]),"Pass","Fail"))</f>
        <v>Fail</v>
      </c>
      <c r="AD692" s="1" t="str">
        <f>IF(AND(Table1[[#This Row],[Spec Type2]]="N/A",Table1[[#This Row],[DUT Adj Read]]="N/A",Table1[[#This Row],[Std Adj Read]]="N/A"),"N/A",IF(Table1[[#This Row],[DUT Adj Read]]="N/A",IF(Table1[[#This Row],[Std Adj Read]]&gt;Table1[[#This Row],[Low Tol]],"Pass","Fail"),IF(Table1[[#This Row],[DUT Adj Read]]&gt;Table1[[#This Row],[Low Tol]],"Pass","Fail")))</f>
        <v>Pass</v>
      </c>
      <c r="AE692" s="1" t="str">
        <f>IF(AND(Table1[[#This Row],[Spec Type2]]="N/A",Table1[[#This Row],[DUT Adj Read]]="N/A",Table1[[#This Row],[Std Adj Read]]="N/A"),"N/A",IF(Table1[[#This Row],[DUT Adj Read]]="N/A",IF(Table1[[#This Row],[Std Adj Read]]&lt;Table1[[#This Row],[High Tol]],"Pass","Fail"),IF(Table1[[#This Row],[DUT Adj Read]]&lt;Table1[[#This Row],[High Tol]],"Pass","Fail")))</f>
        <v>Fail</v>
      </c>
      <c r="AF692" s="1" t="str">
        <f>IF(AND(Table1[[#This Row],[Spec Type2]]="N/A",Table1[[#This Row],[DUT Adj Read]]="N/A",Table1[[#This Row],[Std Adj Read]]="N/A"),"N/A",IF(Table1[[#This Row],[DUT Adj Read]]="N/A",IF(Table1[[#This Row],[Std Adj Read]]&gt;=Table1[[#This Row],[Low Tol]],"Pass","Fail"),IF(Table1[[#This Row],[DUT Adj Read]]&gt;=Table1[[#This Row],[Low Tol]],"Pass","Fail")))</f>
        <v>Pass</v>
      </c>
      <c r="AG692" s="1" t="str">
        <f>IF(AND(Table1[[#This Row],[Spec Type2]]="N/A",Table1[[#This Row],[DUT Adj Read]]="N/A",Table1[[#This Row],[Std Adj Read]]="N/A"),"N/A",IF(Table1[[#This Row],[DUT Adj Read]]="N/A",IF(Table1[[#This Row],[Std Adj Read]]&lt;=Table1[[#This Row],[High Tol]],"Pass","Fail"),IF(Table1[[#This Row],[DUT Adj Read]]&lt;=Table1[[#This Row],[High Tol]],"Pass","Fail")))</f>
        <v>Fail</v>
      </c>
      <c r="AH6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2" s="1" t="b">
        <v>0</v>
      </c>
      <c r="AN692" s="1" t="b">
        <v>0</v>
      </c>
      <c r="AO692" s="1" t="b">
        <v>0</v>
      </c>
    </row>
    <row r="693" spans="1:41" x14ac:dyDescent="0.25">
      <c r="A693" s="10"/>
      <c r="B693" s="10"/>
      <c r="C693" s="10"/>
      <c r="D693" s="10"/>
      <c r="E693" s="10"/>
      <c r="F693" s="10"/>
      <c r="G693" s="10"/>
      <c r="H693" s="10"/>
      <c r="I693" s="1" t="str">
        <f t="shared" si="30"/>
        <v/>
      </c>
      <c r="J693" s="1" t="s">
        <v>35</v>
      </c>
      <c r="K693" s="1" t="str">
        <f t="shared" si="31"/>
        <v/>
      </c>
      <c r="L693" s="1" t="str">
        <f t="shared" si="32"/>
        <v/>
      </c>
      <c r="M693" s="1">
        <f>IF(OR(Table1[[#This Row],[Std Nom]]="",Table1[[#This Row],[Std Read]]=""),0,Table1[[#This Row],[Std Nom]]-Table1[[#This Row],[Std Read]])</f>
        <v>0</v>
      </c>
      <c r="N693" s="1">
        <f>IF(Calculations!$F$5="ACCREDITED 17025 WITH UNCERTAINTIES",$N$10,0)</f>
        <v>0</v>
      </c>
      <c r="O693" s="1" t="str">
        <f>IFERROR(Table1[[#This Row],[Std Nom]]-(_xlfn.XLOOKUP(Table1[[#This Row],[Manufacturer]]&amp;" "&amp;Table1[[#This Row],[Model]],Table13[MFR &amp; MDL],Table13[Tolerance % CW ],"")/100*Table1[[#This Row],[Std Nom]]),"")</f>
        <v/>
      </c>
      <c r="P693" s="1" t="str">
        <f>IFERROR(Table1[[#This Row],[Std Nom]]+(_xlfn.XLOOKUP(Table1[[#This Row],[Manufacturer]]&amp;" "&amp;Table1[[#This Row],[Model]],Table13[MFR &amp; MDL],Table13[Tolerance % CW ],"")/100*Table1[[#This Row],[Std Nom]]),"")</f>
        <v/>
      </c>
      <c r="Q693" s="1" t="e">
        <f>Table1[[#This Row],[High Tol]]-Table1[[#This Row],[Low Tol]]</f>
        <v>#VALUE!</v>
      </c>
      <c r="R693" s="1">
        <f>2*Table1[[#This Row],[Std Error]]</f>
        <v>0</v>
      </c>
      <c r="S693" s="1" t="str">
        <f>IF(Table1[[#This Row],[High Tol]]="","N/A",IFERROR(ABS(Table1[[#This Row],[Tol Span]]/Table1[[#This Row],[Error Span]]),"N/A"))</f>
        <v>N/A</v>
      </c>
      <c r="T693" s="1" t="str">
        <f>IF(OR(Table1[[#This Row],[Low Tol]]="",Table1[[#This Row],[High Tol]]=""),"Needs Analysis",IF(Table1[[#This Row],[Ratio]]&gt;=4,"Not Significant",IF(Table1[[#This Row],[Ratio]]&gt;=2,"Semi-Significant","Significant")))</f>
        <v>Needs Analysis</v>
      </c>
      <c r="W693" s="1">
        <f>IF(Table1[[#This Row],[Cal Type]]&lt;&gt;"ACCREDITED 17025 WITH UNCERTAINTIES",0,"")</f>
        <v>0</v>
      </c>
      <c r="X693" s="1" t="str">
        <f>IF(Table1[[#This Row],[DUT Read]]="","N/A",Table1[[#This Row],[Std Error]]+Table1[[#This Row],[DUT Read]]+Table1[[#This Row],[DUT Ucty]])</f>
        <v>N/A</v>
      </c>
      <c r="Y693" s="1" t="str">
        <f>IF(Table1[[#This Row],[Std Read]]="","N/A",Table1[[#This Row],[Std Read]]+Table1[[#This Row],[Std Ucty]])</f>
        <v>N/A</v>
      </c>
      <c r="Z6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3" s="1" t="str">
        <f>IF(Table1[[#This Row],[Spec Type]]="","N/A",Table1[[#This Row],[Spec Type]])</f>
        <v>±</v>
      </c>
      <c r="AC693" s="1" t="str">
        <f>IF(Table1[[#This Row],[Spec Type2]]="N/A","N/A",IF(AND(Table1[[#This Row],[DUT Adj Read]]&gt;=Table1[[#This Row],[Low Tol]],Table1[[#This Row],[DUT Adj Read]]&lt;=Table1[[#This Row],[High Tol]]),"Pass","Fail"))</f>
        <v>Fail</v>
      </c>
      <c r="AD693" s="1" t="str">
        <f>IF(AND(Table1[[#This Row],[Spec Type2]]="N/A",Table1[[#This Row],[DUT Adj Read]]="N/A",Table1[[#This Row],[Std Adj Read]]="N/A"),"N/A",IF(Table1[[#This Row],[DUT Adj Read]]="N/A",IF(Table1[[#This Row],[Std Adj Read]]&gt;Table1[[#This Row],[Low Tol]],"Pass","Fail"),IF(Table1[[#This Row],[DUT Adj Read]]&gt;Table1[[#This Row],[Low Tol]],"Pass","Fail")))</f>
        <v>Pass</v>
      </c>
      <c r="AE693" s="1" t="str">
        <f>IF(AND(Table1[[#This Row],[Spec Type2]]="N/A",Table1[[#This Row],[DUT Adj Read]]="N/A",Table1[[#This Row],[Std Adj Read]]="N/A"),"N/A",IF(Table1[[#This Row],[DUT Adj Read]]="N/A",IF(Table1[[#This Row],[Std Adj Read]]&lt;Table1[[#This Row],[High Tol]],"Pass","Fail"),IF(Table1[[#This Row],[DUT Adj Read]]&lt;Table1[[#This Row],[High Tol]],"Pass","Fail")))</f>
        <v>Fail</v>
      </c>
      <c r="AF693" s="1" t="str">
        <f>IF(AND(Table1[[#This Row],[Spec Type2]]="N/A",Table1[[#This Row],[DUT Adj Read]]="N/A",Table1[[#This Row],[Std Adj Read]]="N/A"),"N/A",IF(Table1[[#This Row],[DUT Adj Read]]="N/A",IF(Table1[[#This Row],[Std Adj Read]]&gt;=Table1[[#This Row],[Low Tol]],"Pass","Fail"),IF(Table1[[#This Row],[DUT Adj Read]]&gt;=Table1[[#This Row],[Low Tol]],"Pass","Fail")))</f>
        <v>Pass</v>
      </c>
      <c r="AG693" s="1" t="str">
        <f>IF(AND(Table1[[#This Row],[Spec Type2]]="N/A",Table1[[#This Row],[DUT Adj Read]]="N/A",Table1[[#This Row],[Std Adj Read]]="N/A"),"N/A",IF(Table1[[#This Row],[DUT Adj Read]]="N/A",IF(Table1[[#This Row],[Std Adj Read]]&lt;=Table1[[#This Row],[High Tol]],"Pass","Fail"),IF(Table1[[#This Row],[DUT Adj Read]]&lt;=Table1[[#This Row],[High Tol]],"Pass","Fail")))</f>
        <v>Fail</v>
      </c>
      <c r="AH6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3" s="1" t="b">
        <v>0</v>
      </c>
      <c r="AN693" s="1" t="b">
        <v>0</v>
      </c>
      <c r="AO693" s="1" t="b">
        <v>0</v>
      </c>
    </row>
    <row r="694" spans="1:41" x14ac:dyDescent="0.25">
      <c r="A694" s="10"/>
      <c r="B694" s="10"/>
      <c r="C694" s="10"/>
      <c r="D694" s="10"/>
      <c r="E694" s="10"/>
      <c r="F694" s="10"/>
      <c r="G694" s="10"/>
      <c r="H694" s="10"/>
      <c r="I694" s="1" t="str">
        <f t="shared" si="30"/>
        <v/>
      </c>
      <c r="J694" s="1" t="s">
        <v>35</v>
      </c>
      <c r="K694" s="1" t="str">
        <f t="shared" si="31"/>
        <v/>
      </c>
      <c r="L694" s="1" t="str">
        <f t="shared" si="32"/>
        <v/>
      </c>
      <c r="M694" s="1">
        <f>IF(OR(Table1[[#This Row],[Std Nom]]="",Table1[[#This Row],[Std Read]]=""),0,Table1[[#This Row],[Std Nom]]-Table1[[#This Row],[Std Read]])</f>
        <v>0</v>
      </c>
      <c r="N694" s="1">
        <f>IF(Calculations!$F$5="ACCREDITED 17025 WITH UNCERTAINTIES",$N$10,0)</f>
        <v>0</v>
      </c>
      <c r="O694" s="1" t="str">
        <f>IFERROR(Table1[[#This Row],[Std Nom]]-(_xlfn.XLOOKUP(Table1[[#This Row],[Manufacturer]]&amp;" "&amp;Table1[[#This Row],[Model]],Table13[MFR &amp; MDL],Table13[Tolerance % CW ],"")/100*Table1[[#This Row],[Std Nom]]),"")</f>
        <v/>
      </c>
      <c r="P694" s="1" t="str">
        <f>IFERROR(Table1[[#This Row],[Std Nom]]+(_xlfn.XLOOKUP(Table1[[#This Row],[Manufacturer]]&amp;" "&amp;Table1[[#This Row],[Model]],Table13[MFR &amp; MDL],Table13[Tolerance % CW ],"")/100*Table1[[#This Row],[Std Nom]]),"")</f>
        <v/>
      </c>
      <c r="Q694" s="1" t="e">
        <f>Table1[[#This Row],[High Tol]]-Table1[[#This Row],[Low Tol]]</f>
        <v>#VALUE!</v>
      </c>
      <c r="R694" s="1">
        <f>2*Table1[[#This Row],[Std Error]]</f>
        <v>0</v>
      </c>
      <c r="S694" s="1" t="str">
        <f>IF(Table1[[#This Row],[High Tol]]="","N/A",IFERROR(ABS(Table1[[#This Row],[Tol Span]]/Table1[[#This Row],[Error Span]]),"N/A"))</f>
        <v>N/A</v>
      </c>
      <c r="T694" s="1" t="str">
        <f>IF(OR(Table1[[#This Row],[Low Tol]]="",Table1[[#This Row],[High Tol]]=""),"Needs Analysis",IF(Table1[[#This Row],[Ratio]]&gt;=4,"Not Significant",IF(Table1[[#This Row],[Ratio]]&gt;=2,"Semi-Significant","Significant")))</f>
        <v>Needs Analysis</v>
      </c>
      <c r="W694" s="1">
        <f>IF(Table1[[#This Row],[Cal Type]]&lt;&gt;"ACCREDITED 17025 WITH UNCERTAINTIES",0,"")</f>
        <v>0</v>
      </c>
      <c r="X694" s="1" t="str">
        <f>IF(Table1[[#This Row],[DUT Read]]="","N/A",Table1[[#This Row],[Std Error]]+Table1[[#This Row],[DUT Read]]+Table1[[#This Row],[DUT Ucty]])</f>
        <v>N/A</v>
      </c>
      <c r="Y694" s="1" t="str">
        <f>IF(Table1[[#This Row],[Std Read]]="","N/A",Table1[[#This Row],[Std Read]]+Table1[[#This Row],[Std Ucty]])</f>
        <v>N/A</v>
      </c>
      <c r="Z6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4" s="1" t="str">
        <f>IF(Table1[[#This Row],[Spec Type]]="","N/A",Table1[[#This Row],[Spec Type]])</f>
        <v>±</v>
      </c>
      <c r="AC694" s="1" t="str">
        <f>IF(Table1[[#This Row],[Spec Type2]]="N/A","N/A",IF(AND(Table1[[#This Row],[DUT Adj Read]]&gt;=Table1[[#This Row],[Low Tol]],Table1[[#This Row],[DUT Adj Read]]&lt;=Table1[[#This Row],[High Tol]]),"Pass","Fail"))</f>
        <v>Fail</v>
      </c>
      <c r="AD694" s="1" t="str">
        <f>IF(AND(Table1[[#This Row],[Spec Type2]]="N/A",Table1[[#This Row],[DUT Adj Read]]="N/A",Table1[[#This Row],[Std Adj Read]]="N/A"),"N/A",IF(Table1[[#This Row],[DUT Adj Read]]="N/A",IF(Table1[[#This Row],[Std Adj Read]]&gt;Table1[[#This Row],[Low Tol]],"Pass","Fail"),IF(Table1[[#This Row],[DUT Adj Read]]&gt;Table1[[#This Row],[Low Tol]],"Pass","Fail")))</f>
        <v>Pass</v>
      </c>
      <c r="AE694" s="1" t="str">
        <f>IF(AND(Table1[[#This Row],[Spec Type2]]="N/A",Table1[[#This Row],[DUT Adj Read]]="N/A",Table1[[#This Row],[Std Adj Read]]="N/A"),"N/A",IF(Table1[[#This Row],[DUT Adj Read]]="N/A",IF(Table1[[#This Row],[Std Adj Read]]&lt;Table1[[#This Row],[High Tol]],"Pass","Fail"),IF(Table1[[#This Row],[DUT Adj Read]]&lt;Table1[[#This Row],[High Tol]],"Pass","Fail")))</f>
        <v>Fail</v>
      </c>
      <c r="AF694" s="1" t="str">
        <f>IF(AND(Table1[[#This Row],[Spec Type2]]="N/A",Table1[[#This Row],[DUT Adj Read]]="N/A",Table1[[#This Row],[Std Adj Read]]="N/A"),"N/A",IF(Table1[[#This Row],[DUT Adj Read]]="N/A",IF(Table1[[#This Row],[Std Adj Read]]&gt;=Table1[[#This Row],[Low Tol]],"Pass","Fail"),IF(Table1[[#This Row],[DUT Adj Read]]&gt;=Table1[[#This Row],[Low Tol]],"Pass","Fail")))</f>
        <v>Pass</v>
      </c>
      <c r="AG694" s="1" t="str">
        <f>IF(AND(Table1[[#This Row],[Spec Type2]]="N/A",Table1[[#This Row],[DUT Adj Read]]="N/A",Table1[[#This Row],[Std Adj Read]]="N/A"),"N/A",IF(Table1[[#This Row],[DUT Adj Read]]="N/A",IF(Table1[[#This Row],[Std Adj Read]]&lt;=Table1[[#This Row],[High Tol]],"Pass","Fail"),IF(Table1[[#This Row],[DUT Adj Read]]&lt;=Table1[[#This Row],[High Tol]],"Pass","Fail")))</f>
        <v>Fail</v>
      </c>
      <c r="AH6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4" s="1" t="b">
        <v>0</v>
      </c>
      <c r="AN694" s="1" t="b">
        <v>0</v>
      </c>
      <c r="AO694" s="1" t="b">
        <v>0</v>
      </c>
    </row>
    <row r="695" spans="1:41" x14ac:dyDescent="0.25">
      <c r="A695" s="10"/>
      <c r="B695" s="10"/>
      <c r="C695" s="10"/>
      <c r="D695" s="10"/>
      <c r="E695" s="10"/>
      <c r="F695" s="10"/>
      <c r="G695" s="10"/>
      <c r="H695" s="10"/>
      <c r="I695" s="1" t="str">
        <f t="shared" si="30"/>
        <v/>
      </c>
      <c r="J695" s="1" t="s">
        <v>35</v>
      </c>
      <c r="K695" s="1" t="str">
        <f t="shared" si="31"/>
        <v/>
      </c>
      <c r="L695" s="1" t="str">
        <f t="shared" si="32"/>
        <v/>
      </c>
      <c r="M695" s="1">
        <f>IF(OR(Table1[[#This Row],[Std Nom]]="",Table1[[#This Row],[Std Read]]=""),0,Table1[[#This Row],[Std Nom]]-Table1[[#This Row],[Std Read]])</f>
        <v>0</v>
      </c>
      <c r="N695" s="1">
        <f>IF(Calculations!$F$5="ACCREDITED 17025 WITH UNCERTAINTIES",$N$10,0)</f>
        <v>0</v>
      </c>
      <c r="O695" s="1" t="str">
        <f>IFERROR(Table1[[#This Row],[Std Nom]]-(_xlfn.XLOOKUP(Table1[[#This Row],[Manufacturer]]&amp;" "&amp;Table1[[#This Row],[Model]],Table13[MFR &amp; MDL],Table13[Tolerance % CW ],"")/100*Table1[[#This Row],[Std Nom]]),"")</f>
        <v/>
      </c>
      <c r="P695" s="1" t="str">
        <f>IFERROR(Table1[[#This Row],[Std Nom]]+(_xlfn.XLOOKUP(Table1[[#This Row],[Manufacturer]]&amp;" "&amp;Table1[[#This Row],[Model]],Table13[MFR &amp; MDL],Table13[Tolerance % CW ],"")/100*Table1[[#This Row],[Std Nom]]),"")</f>
        <v/>
      </c>
      <c r="Q695" s="1" t="e">
        <f>Table1[[#This Row],[High Tol]]-Table1[[#This Row],[Low Tol]]</f>
        <v>#VALUE!</v>
      </c>
      <c r="R695" s="1">
        <f>2*Table1[[#This Row],[Std Error]]</f>
        <v>0</v>
      </c>
      <c r="S695" s="1" t="str">
        <f>IF(Table1[[#This Row],[High Tol]]="","N/A",IFERROR(ABS(Table1[[#This Row],[Tol Span]]/Table1[[#This Row],[Error Span]]),"N/A"))</f>
        <v>N/A</v>
      </c>
      <c r="T695" s="1" t="str">
        <f>IF(OR(Table1[[#This Row],[Low Tol]]="",Table1[[#This Row],[High Tol]]=""),"Needs Analysis",IF(Table1[[#This Row],[Ratio]]&gt;=4,"Not Significant",IF(Table1[[#This Row],[Ratio]]&gt;=2,"Semi-Significant","Significant")))</f>
        <v>Needs Analysis</v>
      </c>
      <c r="W695" s="1">
        <f>IF(Table1[[#This Row],[Cal Type]]&lt;&gt;"ACCREDITED 17025 WITH UNCERTAINTIES",0,"")</f>
        <v>0</v>
      </c>
      <c r="X695" s="1" t="str">
        <f>IF(Table1[[#This Row],[DUT Read]]="","N/A",Table1[[#This Row],[Std Error]]+Table1[[#This Row],[DUT Read]]+Table1[[#This Row],[DUT Ucty]])</f>
        <v>N/A</v>
      </c>
      <c r="Y695" s="1" t="str">
        <f>IF(Table1[[#This Row],[Std Read]]="","N/A",Table1[[#This Row],[Std Read]]+Table1[[#This Row],[Std Ucty]])</f>
        <v>N/A</v>
      </c>
      <c r="Z6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5" s="1" t="str">
        <f>IF(Table1[[#This Row],[Spec Type]]="","N/A",Table1[[#This Row],[Spec Type]])</f>
        <v>±</v>
      </c>
      <c r="AC695" s="1" t="str">
        <f>IF(Table1[[#This Row],[Spec Type2]]="N/A","N/A",IF(AND(Table1[[#This Row],[DUT Adj Read]]&gt;=Table1[[#This Row],[Low Tol]],Table1[[#This Row],[DUT Adj Read]]&lt;=Table1[[#This Row],[High Tol]]),"Pass","Fail"))</f>
        <v>Fail</v>
      </c>
      <c r="AD695" s="1" t="str">
        <f>IF(AND(Table1[[#This Row],[Spec Type2]]="N/A",Table1[[#This Row],[DUT Adj Read]]="N/A",Table1[[#This Row],[Std Adj Read]]="N/A"),"N/A",IF(Table1[[#This Row],[DUT Adj Read]]="N/A",IF(Table1[[#This Row],[Std Adj Read]]&gt;Table1[[#This Row],[Low Tol]],"Pass","Fail"),IF(Table1[[#This Row],[DUT Adj Read]]&gt;Table1[[#This Row],[Low Tol]],"Pass","Fail")))</f>
        <v>Pass</v>
      </c>
      <c r="AE695" s="1" t="str">
        <f>IF(AND(Table1[[#This Row],[Spec Type2]]="N/A",Table1[[#This Row],[DUT Adj Read]]="N/A",Table1[[#This Row],[Std Adj Read]]="N/A"),"N/A",IF(Table1[[#This Row],[DUT Adj Read]]="N/A",IF(Table1[[#This Row],[Std Adj Read]]&lt;Table1[[#This Row],[High Tol]],"Pass","Fail"),IF(Table1[[#This Row],[DUT Adj Read]]&lt;Table1[[#This Row],[High Tol]],"Pass","Fail")))</f>
        <v>Fail</v>
      </c>
      <c r="AF695" s="1" t="str">
        <f>IF(AND(Table1[[#This Row],[Spec Type2]]="N/A",Table1[[#This Row],[DUT Adj Read]]="N/A",Table1[[#This Row],[Std Adj Read]]="N/A"),"N/A",IF(Table1[[#This Row],[DUT Adj Read]]="N/A",IF(Table1[[#This Row],[Std Adj Read]]&gt;=Table1[[#This Row],[Low Tol]],"Pass","Fail"),IF(Table1[[#This Row],[DUT Adj Read]]&gt;=Table1[[#This Row],[Low Tol]],"Pass","Fail")))</f>
        <v>Pass</v>
      </c>
      <c r="AG695" s="1" t="str">
        <f>IF(AND(Table1[[#This Row],[Spec Type2]]="N/A",Table1[[#This Row],[DUT Adj Read]]="N/A",Table1[[#This Row],[Std Adj Read]]="N/A"),"N/A",IF(Table1[[#This Row],[DUT Adj Read]]="N/A",IF(Table1[[#This Row],[Std Adj Read]]&lt;=Table1[[#This Row],[High Tol]],"Pass","Fail"),IF(Table1[[#This Row],[DUT Adj Read]]&lt;=Table1[[#This Row],[High Tol]],"Pass","Fail")))</f>
        <v>Fail</v>
      </c>
      <c r="AH6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5" s="1" t="b">
        <v>0</v>
      </c>
      <c r="AN695" s="1" t="b">
        <v>0</v>
      </c>
      <c r="AO695" s="1" t="b">
        <v>0</v>
      </c>
    </row>
    <row r="696" spans="1:41" x14ac:dyDescent="0.25">
      <c r="A696" s="10"/>
      <c r="B696" s="10"/>
      <c r="C696" s="10"/>
      <c r="D696" s="10"/>
      <c r="E696" s="10"/>
      <c r="F696" s="10"/>
      <c r="G696" s="10"/>
      <c r="H696" s="10"/>
      <c r="I696" s="1" t="str">
        <f t="shared" si="30"/>
        <v/>
      </c>
      <c r="J696" s="1" t="s">
        <v>35</v>
      </c>
      <c r="K696" s="1" t="str">
        <f t="shared" si="31"/>
        <v/>
      </c>
      <c r="L696" s="1" t="str">
        <f t="shared" si="32"/>
        <v/>
      </c>
      <c r="M696" s="1">
        <f>IF(OR(Table1[[#This Row],[Std Nom]]="",Table1[[#This Row],[Std Read]]=""),0,Table1[[#This Row],[Std Nom]]-Table1[[#This Row],[Std Read]])</f>
        <v>0</v>
      </c>
      <c r="N696" s="1">
        <f>IF(Calculations!$F$5="ACCREDITED 17025 WITH UNCERTAINTIES",$N$10,0)</f>
        <v>0</v>
      </c>
      <c r="O696" s="1" t="str">
        <f>IFERROR(Table1[[#This Row],[Std Nom]]-(_xlfn.XLOOKUP(Table1[[#This Row],[Manufacturer]]&amp;" "&amp;Table1[[#This Row],[Model]],Table13[MFR &amp; MDL],Table13[Tolerance % CW ],"")/100*Table1[[#This Row],[Std Nom]]),"")</f>
        <v/>
      </c>
      <c r="P696" s="1" t="str">
        <f>IFERROR(Table1[[#This Row],[Std Nom]]+(_xlfn.XLOOKUP(Table1[[#This Row],[Manufacturer]]&amp;" "&amp;Table1[[#This Row],[Model]],Table13[MFR &amp; MDL],Table13[Tolerance % CW ],"")/100*Table1[[#This Row],[Std Nom]]),"")</f>
        <v/>
      </c>
      <c r="Q696" s="1" t="e">
        <f>Table1[[#This Row],[High Tol]]-Table1[[#This Row],[Low Tol]]</f>
        <v>#VALUE!</v>
      </c>
      <c r="R696" s="1">
        <f>2*Table1[[#This Row],[Std Error]]</f>
        <v>0</v>
      </c>
      <c r="S696" s="1" t="str">
        <f>IF(Table1[[#This Row],[High Tol]]="","N/A",IFERROR(ABS(Table1[[#This Row],[Tol Span]]/Table1[[#This Row],[Error Span]]),"N/A"))</f>
        <v>N/A</v>
      </c>
      <c r="T696" s="1" t="str">
        <f>IF(OR(Table1[[#This Row],[Low Tol]]="",Table1[[#This Row],[High Tol]]=""),"Needs Analysis",IF(Table1[[#This Row],[Ratio]]&gt;=4,"Not Significant",IF(Table1[[#This Row],[Ratio]]&gt;=2,"Semi-Significant","Significant")))</f>
        <v>Needs Analysis</v>
      </c>
      <c r="W696" s="1">
        <f>IF(Table1[[#This Row],[Cal Type]]&lt;&gt;"ACCREDITED 17025 WITH UNCERTAINTIES",0,"")</f>
        <v>0</v>
      </c>
      <c r="X696" s="1" t="str">
        <f>IF(Table1[[#This Row],[DUT Read]]="","N/A",Table1[[#This Row],[Std Error]]+Table1[[#This Row],[DUT Read]]+Table1[[#This Row],[DUT Ucty]])</f>
        <v>N/A</v>
      </c>
      <c r="Y696" s="1" t="str">
        <f>IF(Table1[[#This Row],[Std Read]]="","N/A",Table1[[#This Row],[Std Read]]+Table1[[#This Row],[Std Ucty]])</f>
        <v>N/A</v>
      </c>
      <c r="Z6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6" s="1" t="str">
        <f>IF(Table1[[#This Row],[Spec Type]]="","N/A",Table1[[#This Row],[Spec Type]])</f>
        <v>±</v>
      </c>
      <c r="AC696" s="1" t="str">
        <f>IF(Table1[[#This Row],[Spec Type2]]="N/A","N/A",IF(AND(Table1[[#This Row],[DUT Adj Read]]&gt;=Table1[[#This Row],[Low Tol]],Table1[[#This Row],[DUT Adj Read]]&lt;=Table1[[#This Row],[High Tol]]),"Pass","Fail"))</f>
        <v>Fail</v>
      </c>
      <c r="AD696" s="1" t="str">
        <f>IF(AND(Table1[[#This Row],[Spec Type2]]="N/A",Table1[[#This Row],[DUT Adj Read]]="N/A",Table1[[#This Row],[Std Adj Read]]="N/A"),"N/A",IF(Table1[[#This Row],[DUT Adj Read]]="N/A",IF(Table1[[#This Row],[Std Adj Read]]&gt;Table1[[#This Row],[Low Tol]],"Pass","Fail"),IF(Table1[[#This Row],[DUT Adj Read]]&gt;Table1[[#This Row],[Low Tol]],"Pass","Fail")))</f>
        <v>Pass</v>
      </c>
      <c r="AE696" s="1" t="str">
        <f>IF(AND(Table1[[#This Row],[Spec Type2]]="N/A",Table1[[#This Row],[DUT Adj Read]]="N/A",Table1[[#This Row],[Std Adj Read]]="N/A"),"N/A",IF(Table1[[#This Row],[DUT Adj Read]]="N/A",IF(Table1[[#This Row],[Std Adj Read]]&lt;Table1[[#This Row],[High Tol]],"Pass","Fail"),IF(Table1[[#This Row],[DUT Adj Read]]&lt;Table1[[#This Row],[High Tol]],"Pass","Fail")))</f>
        <v>Fail</v>
      </c>
      <c r="AF696" s="1" t="str">
        <f>IF(AND(Table1[[#This Row],[Spec Type2]]="N/A",Table1[[#This Row],[DUT Adj Read]]="N/A",Table1[[#This Row],[Std Adj Read]]="N/A"),"N/A",IF(Table1[[#This Row],[DUT Adj Read]]="N/A",IF(Table1[[#This Row],[Std Adj Read]]&gt;=Table1[[#This Row],[Low Tol]],"Pass","Fail"),IF(Table1[[#This Row],[DUT Adj Read]]&gt;=Table1[[#This Row],[Low Tol]],"Pass","Fail")))</f>
        <v>Pass</v>
      </c>
      <c r="AG696" s="1" t="str">
        <f>IF(AND(Table1[[#This Row],[Spec Type2]]="N/A",Table1[[#This Row],[DUT Adj Read]]="N/A",Table1[[#This Row],[Std Adj Read]]="N/A"),"N/A",IF(Table1[[#This Row],[DUT Adj Read]]="N/A",IF(Table1[[#This Row],[Std Adj Read]]&lt;=Table1[[#This Row],[High Tol]],"Pass","Fail"),IF(Table1[[#This Row],[DUT Adj Read]]&lt;=Table1[[#This Row],[High Tol]],"Pass","Fail")))</f>
        <v>Fail</v>
      </c>
      <c r="AH6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6" s="1" t="b">
        <v>0</v>
      </c>
      <c r="AN696" s="1" t="b">
        <v>0</v>
      </c>
      <c r="AO696" s="1" t="b">
        <v>0</v>
      </c>
    </row>
    <row r="697" spans="1:41" x14ac:dyDescent="0.25">
      <c r="A697" s="10"/>
      <c r="B697" s="10"/>
      <c r="C697" s="10"/>
      <c r="D697" s="10"/>
      <c r="E697" s="10"/>
      <c r="F697" s="10"/>
      <c r="G697" s="10"/>
      <c r="H697" s="10"/>
      <c r="I697" s="1" t="str">
        <f t="shared" si="30"/>
        <v/>
      </c>
      <c r="J697" s="1" t="s">
        <v>35</v>
      </c>
      <c r="K697" s="1" t="str">
        <f t="shared" si="31"/>
        <v/>
      </c>
      <c r="L697" s="1" t="str">
        <f t="shared" si="32"/>
        <v/>
      </c>
      <c r="M697" s="1">
        <f>IF(OR(Table1[[#This Row],[Std Nom]]="",Table1[[#This Row],[Std Read]]=""),0,Table1[[#This Row],[Std Nom]]-Table1[[#This Row],[Std Read]])</f>
        <v>0</v>
      </c>
      <c r="N697" s="1">
        <f>IF(Calculations!$F$5="ACCREDITED 17025 WITH UNCERTAINTIES",$N$10,0)</f>
        <v>0</v>
      </c>
      <c r="O697" s="1" t="str">
        <f>IFERROR(Table1[[#This Row],[Std Nom]]-(_xlfn.XLOOKUP(Table1[[#This Row],[Manufacturer]]&amp;" "&amp;Table1[[#This Row],[Model]],Table13[MFR &amp; MDL],Table13[Tolerance % CW ],"")/100*Table1[[#This Row],[Std Nom]]),"")</f>
        <v/>
      </c>
      <c r="P697" s="1" t="str">
        <f>IFERROR(Table1[[#This Row],[Std Nom]]+(_xlfn.XLOOKUP(Table1[[#This Row],[Manufacturer]]&amp;" "&amp;Table1[[#This Row],[Model]],Table13[MFR &amp; MDL],Table13[Tolerance % CW ],"")/100*Table1[[#This Row],[Std Nom]]),"")</f>
        <v/>
      </c>
      <c r="Q697" s="1" t="e">
        <f>Table1[[#This Row],[High Tol]]-Table1[[#This Row],[Low Tol]]</f>
        <v>#VALUE!</v>
      </c>
      <c r="R697" s="1">
        <f>2*Table1[[#This Row],[Std Error]]</f>
        <v>0</v>
      </c>
      <c r="S697" s="1" t="str">
        <f>IF(Table1[[#This Row],[High Tol]]="","N/A",IFERROR(ABS(Table1[[#This Row],[Tol Span]]/Table1[[#This Row],[Error Span]]),"N/A"))</f>
        <v>N/A</v>
      </c>
      <c r="T697" s="1" t="str">
        <f>IF(OR(Table1[[#This Row],[Low Tol]]="",Table1[[#This Row],[High Tol]]=""),"Needs Analysis",IF(Table1[[#This Row],[Ratio]]&gt;=4,"Not Significant",IF(Table1[[#This Row],[Ratio]]&gt;=2,"Semi-Significant","Significant")))</f>
        <v>Needs Analysis</v>
      </c>
      <c r="W697" s="1">
        <f>IF(Table1[[#This Row],[Cal Type]]&lt;&gt;"ACCREDITED 17025 WITH UNCERTAINTIES",0,"")</f>
        <v>0</v>
      </c>
      <c r="X697" s="1" t="str">
        <f>IF(Table1[[#This Row],[DUT Read]]="","N/A",Table1[[#This Row],[Std Error]]+Table1[[#This Row],[DUT Read]]+Table1[[#This Row],[DUT Ucty]])</f>
        <v>N/A</v>
      </c>
      <c r="Y697" s="1" t="str">
        <f>IF(Table1[[#This Row],[Std Read]]="","N/A",Table1[[#This Row],[Std Read]]+Table1[[#This Row],[Std Ucty]])</f>
        <v>N/A</v>
      </c>
      <c r="Z6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7" s="1" t="str">
        <f>IF(Table1[[#This Row],[Spec Type]]="","N/A",Table1[[#This Row],[Spec Type]])</f>
        <v>±</v>
      </c>
      <c r="AC697" s="1" t="str">
        <f>IF(Table1[[#This Row],[Spec Type2]]="N/A","N/A",IF(AND(Table1[[#This Row],[DUT Adj Read]]&gt;=Table1[[#This Row],[Low Tol]],Table1[[#This Row],[DUT Adj Read]]&lt;=Table1[[#This Row],[High Tol]]),"Pass","Fail"))</f>
        <v>Fail</v>
      </c>
      <c r="AD697" s="1" t="str">
        <f>IF(AND(Table1[[#This Row],[Spec Type2]]="N/A",Table1[[#This Row],[DUT Adj Read]]="N/A",Table1[[#This Row],[Std Adj Read]]="N/A"),"N/A",IF(Table1[[#This Row],[DUT Adj Read]]="N/A",IF(Table1[[#This Row],[Std Adj Read]]&gt;Table1[[#This Row],[Low Tol]],"Pass","Fail"),IF(Table1[[#This Row],[DUT Adj Read]]&gt;Table1[[#This Row],[Low Tol]],"Pass","Fail")))</f>
        <v>Pass</v>
      </c>
      <c r="AE697" s="1" t="str">
        <f>IF(AND(Table1[[#This Row],[Spec Type2]]="N/A",Table1[[#This Row],[DUT Adj Read]]="N/A",Table1[[#This Row],[Std Adj Read]]="N/A"),"N/A",IF(Table1[[#This Row],[DUT Adj Read]]="N/A",IF(Table1[[#This Row],[Std Adj Read]]&lt;Table1[[#This Row],[High Tol]],"Pass","Fail"),IF(Table1[[#This Row],[DUT Adj Read]]&lt;Table1[[#This Row],[High Tol]],"Pass","Fail")))</f>
        <v>Fail</v>
      </c>
      <c r="AF697" s="1" t="str">
        <f>IF(AND(Table1[[#This Row],[Spec Type2]]="N/A",Table1[[#This Row],[DUT Adj Read]]="N/A",Table1[[#This Row],[Std Adj Read]]="N/A"),"N/A",IF(Table1[[#This Row],[DUT Adj Read]]="N/A",IF(Table1[[#This Row],[Std Adj Read]]&gt;=Table1[[#This Row],[Low Tol]],"Pass","Fail"),IF(Table1[[#This Row],[DUT Adj Read]]&gt;=Table1[[#This Row],[Low Tol]],"Pass","Fail")))</f>
        <v>Pass</v>
      </c>
      <c r="AG697" s="1" t="str">
        <f>IF(AND(Table1[[#This Row],[Spec Type2]]="N/A",Table1[[#This Row],[DUT Adj Read]]="N/A",Table1[[#This Row],[Std Adj Read]]="N/A"),"N/A",IF(Table1[[#This Row],[DUT Adj Read]]="N/A",IF(Table1[[#This Row],[Std Adj Read]]&lt;=Table1[[#This Row],[High Tol]],"Pass","Fail"),IF(Table1[[#This Row],[DUT Adj Read]]&lt;=Table1[[#This Row],[High Tol]],"Pass","Fail")))</f>
        <v>Fail</v>
      </c>
      <c r="AH6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7" s="1" t="b">
        <v>0</v>
      </c>
      <c r="AN697" s="1" t="b">
        <v>0</v>
      </c>
      <c r="AO697" s="1" t="b">
        <v>0</v>
      </c>
    </row>
    <row r="698" spans="1:41" x14ac:dyDescent="0.25">
      <c r="A698" s="10"/>
      <c r="B698" s="10"/>
      <c r="C698" s="10"/>
      <c r="D698" s="10"/>
      <c r="E698" s="10"/>
      <c r="F698" s="10"/>
      <c r="G698" s="10"/>
      <c r="H698" s="10"/>
      <c r="I698" s="1" t="str">
        <f t="shared" si="30"/>
        <v/>
      </c>
      <c r="J698" s="1" t="s">
        <v>35</v>
      </c>
      <c r="K698" s="1" t="str">
        <f t="shared" si="31"/>
        <v/>
      </c>
      <c r="L698" s="1" t="str">
        <f t="shared" si="32"/>
        <v/>
      </c>
      <c r="M698" s="1">
        <f>IF(OR(Table1[[#This Row],[Std Nom]]="",Table1[[#This Row],[Std Read]]=""),0,Table1[[#This Row],[Std Nom]]-Table1[[#This Row],[Std Read]])</f>
        <v>0</v>
      </c>
      <c r="N698" s="1">
        <f>IF(Calculations!$F$5="ACCREDITED 17025 WITH UNCERTAINTIES",$N$10,0)</f>
        <v>0</v>
      </c>
      <c r="O698" s="1" t="str">
        <f>IFERROR(Table1[[#This Row],[Std Nom]]-(_xlfn.XLOOKUP(Table1[[#This Row],[Manufacturer]]&amp;" "&amp;Table1[[#This Row],[Model]],Table13[MFR &amp; MDL],Table13[Tolerance % CW ],"")/100*Table1[[#This Row],[Std Nom]]),"")</f>
        <v/>
      </c>
      <c r="P698" s="1" t="str">
        <f>IFERROR(Table1[[#This Row],[Std Nom]]+(_xlfn.XLOOKUP(Table1[[#This Row],[Manufacturer]]&amp;" "&amp;Table1[[#This Row],[Model]],Table13[MFR &amp; MDL],Table13[Tolerance % CW ],"")/100*Table1[[#This Row],[Std Nom]]),"")</f>
        <v/>
      </c>
      <c r="Q698" s="1" t="e">
        <f>Table1[[#This Row],[High Tol]]-Table1[[#This Row],[Low Tol]]</f>
        <v>#VALUE!</v>
      </c>
      <c r="R698" s="1">
        <f>2*Table1[[#This Row],[Std Error]]</f>
        <v>0</v>
      </c>
      <c r="S698" s="1" t="str">
        <f>IF(Table1[[#This Row],[High Tol]]="","N/A",IFERROR(ABS(Table1[[#This Row],[Tol Span]]/Table1[[#This Row],[Error Span]]),"N/A"))</f>
        <v>N/A</v>
      </c>
      <c r="T698" s="1" t="str">
        <f>IF(OR(Table1[[#This Row],[Low Tol]]="",Table1[[#This Row],[High Tol]]=""),"Needs Analysis",IF(Table1[[#This Row],[Ratio]]&gt;=4,"Not Significant",IF(Table1[[#This Row],[Ratio]]&gt;=2,"Semi-Significant","Significant")))</f>
        <v>Needs Analysis</v>
      </c>
      <c r="W698" s="1">
        <f>IF(Table1[[#This Row],[Cal Type]]&lt;&gt;"ACCREDITED 17025 WITH UNCERTAINTIES",0,"")</f>
        <v>0</v>
      </c>
      <c r="X698" s="1" t="str">
        <f>IF(Table1[[#This Row],[DUT Read]]="","N/A",Table1[[#This Row],[Std Error]]+Table1[[#This Row],[DUT Read]]+Table1[[#This Row],[DUT Ucty]])</f>
        <v>N/A</v>
      </c>
      <c r="Y698" s="1" t="str">
        <f>IF(Table1[[#This Row],[Std Read]]="","N/A",Table1[[#This Row],[Std Read]]+Table1[[#This Row],[Std Ucty]])</f>
        <v>N/A</v>
      </c>
      <c r="Z6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8" s="1" t="str">
        <f>IF(Table1[[#This Row],[Spec Type]]="","N/A",Table1[[#This Row],[Spec Type]])</f>
        <v>±</v>
      </c>
      <c r="AC698" s="1" t="str">
        <f>IF(Table1[[#This Row],[Spec Type2]]="N/A","N/A",IF(AND(Table1[[#This Row],[DUT Adj Read]]&gt;=Table1[[#This Row],[Low Tol]],Table1[[#This Row],[DUT Adj Read]]&lt;=Table1[[#This Row],[High Tol]]),"Pass","Fail"))</f>
        <v>Fail</v>
      </c>
      <c r="AD698" s="1" t="str">
        <f>IF(AND(Table1[[#This Row],[Spec Type2]]="N/A",Table1[[#This Row],[DUT Adj Read]]="N/A",Table1[[#This Row],[Std Adj Read]]="N/A"),"N/A",IF(Table1[[#This Row],[DUT Adj Read]]="N/A",IF(Table1[[#This Row],[Std Adj Read]]&gt;Table1[[#This Row],[Low Tol]],"Pass","Fail"),IF(Table1[[#This Row],[DUT Adj Read]]&gt;Table1[[#This Row],[Low Tol]],"Pass","Fail")))</f>
        <v>Pass</v>
      </c>
      <c r="AE698" s="1" t="str">
        <f>IF(AND(Table1[[#This Row],[Spec Type2]]="N/A",Table1[[#This Row],[DUT Adj Read]]="N/A",Table1[[#This Row],[Std Adj Read]]="N/A"),"N/A",IF(Table1[[#This Row],[DUT Adj Read]]="N/A",IF(Table1[[#This Row],[Std Adj Read]]&lt;Table1[[#This Row],[High Tol]],"Pass","Fail"),IF(Table1[[#This Row],[DUT Adj Read]]&lt;Table1[[#This Row],[High Tol]],"Pass","Fail")))</f>
        <v>Fail</v>
      </c>
      <c r="AF698" s="1" t="str">
        <f>IF(AND(Table1[[#This Row],[Spec Type2]]="N/A",Table1[[#This Row],[DUT Adj Read]]="N/A",Table1[[#This Row],[Std Adj Read]]="N/A"),"N/A",IF(Table1[[#This Row],[DUT Adj Read]]="N/A",IF(Table1[[#This Row],[Std Adj Read]]&gt;=Table1[[#This Row],[Low Tol]],"Pass","Fail"),IF(Table1[[#This Row],[DUT Adj Read]]&gt;=Table1[[#This Row],[Low Tol]],"Pass","Fail")))</f>
        <v>Pass</v>
      </c>
      <c r="AG698" s="1" t="str">
        <f>IF(AND(Table1[[#This Row],[Spec Type2]]="N/A",Table1[[#This Row],[DUT Adj Read]]="N/A",Table1[[#This Row],[Std Adj Read]]="N/A"),"N/A",IF(Table1[[#This Row],[DUT Adj Read]]="N/A",IF(Table1[[#This Row],[Std Adj Read]]&lt;=Table1[[#This Row],[High Tol]],"Pass","Fail"),IF(Table1[[#This Row],[DUT Adj Read]]&lt;=Table1[[#This Row],[High Tol]],"Pass","Fail")))</f>
        <v>Fail</v>
      </c>
      <c r="AH6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8" s="1" t="b">
        <v>0</v>
      </c>
      <c r="AN698" s="1" t="b">
        <v>0</v>
      </c>
      <c r="AO698" s="1" t="b">
        <v>0</v>
      </c>
    </row>
    <row r="699" spans="1:41" x14ac:dyDescent="0.25">
      <c r="A699" s="10"/>
      <c r="B699" s="10"/>
      <c r="C699" s="10"/>
      <c r="D699" s="10"/>
      <c r="E699" s="10"/>
      <c r="F699" s="10"/>
      <c r="G699" s="10"/>
      <c r="H699" s="10"/>
      <c r="I699" s="1" t="str">
        <f t="shared" si="30"/>
        <v/>
      </c>
      <c r="J699" s="1" t="s">
        <v>35</v>
      </c>
      <c r="K699" s="1" t="str">
        <f t="shared" si="31"/>
        <v/>
      </c>
      <c r="L699" s="1" t="str">
        <f t="shared" si="32"/>
        <v/>
      </c>
      <c r="M699" s="1">
        <f>IF(OR(Table1[[#This Row],[Std Nom]]="",Table1[[#This Row],[Std Read]]=""),0,Table1[[#This Row],[Std Nom]]-Table1[[#This Row],[Std Read]])</f>
        <v>0</v>
      </c>
      <c r="N699" s="1">
        <f>IF(Calculations!$F$5="ACCREDITED 17025 WITH UNCERTAINTIES",$N$10,0)</f>
        <v>0</v>
      </c>
      <c r="O699" s="1" t="str">
        <f>IFERROR(Table1[[#This Row],[Std Nom]]-(_xlfn.XLOOKUP(Table1[[#This Row],[Manufacturer]]&amp;" "&amp;Table1[[#This Row],[Model]],Table13[MFR &amp; MDL],Table13[Tolerance % CW ],"")/100*Table1[[#This Row],[Std Nom]]),"")</f>
        <v/>
      </c>
      <c r="P699" s="1" t="str">
        <f>IFERROR(Table1[[#This Row],[Std Nom]]+(_xlfn.XLOOKUP(Table1[[#This Row],[Manufacturer]]&amp;" "&amp;Table1[[#This Row],[Model]],Table13[MFR &amp; MDL],Table13[Tolerance % CW ],"")/100*Table1[[#This Row],[Std Nom]]),"")</f>
        <v/>
      </c>
      <c r="Q699" s="1" t="e">
        <f>Table1[[#This Row],[High Tol]]-Table1[[#This Row],[Low Tol]]</f>
        <v>#VALUE!</v>
      </c>
      <c r="R699" s="1">
        <f>2*Table1[[#This Row],[Std Error]]</f>
        <v>0</v>
      </c>
      <c r="S699" s="1" t="str">
        <f>IF(Table1[[#This Row],[High Tol]]="","N/A",IFERROR(ABS(Table1[[#This Row],[Tol Span]]/Table1[[#This Row],[Error Span]]),"N/A"))</f>
        <v>N/A</v>
      </c>
      <c r="T699" s="1" t="str">
        <f>IF(OR(Table1[[#This Row],[Low Tol]]="",Table1[[#This Row],[High Tol]]=""),"Needs Analysis",IF(Table1[[#This Row],[Ratio]]&gt;=4,"Not Significant",IF(Table1[[#This Row],[Ratio]]&gt;=2,"Semi-Significant","Significant")))</f>
        <v>Needs Analysis</v>
      </c>
      <c r="W699" s="1">
        <f>IF(Table1[[#This Row],[Cal Type]]&lt;&gt;"ACCREDITED 17025 WITH UNCERTAINTIES",0,"")</f>
        <v>0</v>
      </c>
      <c r="X699" s="1" t="str">
        <f>IF(Table1[[#This Row],[DUT Read]]="","N/A",Table1[[#This Row],[Std Error]]+Table1[[#This Row],[DUT Read]]+Table1[[#This Row],[DUT Ucty]])</f>
        <v>N/A</v>
      </c>
      <c r="Y699" s="1" t="str">
        <f>IF(Table1[[#This Row],[Std Read]]="","N/A",Table1[[#This Row],[Std Read]]+Table1[[#This Row],[Std Ucty]])</f>
        <v>N/A</v>
      </c>
      <c r="Z6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9" s="1" t="str">
        <f>IF(Table1[[#This Row],[Spec Type]]="","N/A",Table1[[#This Row],[Spec Type]])</f>
        <v>±</v>
      </c>
      <c r="AC699" s="1" t="str">
        <f>IF(Table1[[#This Row],[Spec Type2]]="N/A","N/A",IF(AND(Table1[[#This Row],[DUT Adj Read]]&gt;=Table1[[#This Row],[Low Tol]],Table1[[#This Row],[DUT Adj Read]]&lt;=Table1[[#This Row],[High Tol]]),"Pass","Fail"))</f>
        <v>Fail</v>
      </c>
      <c r="AD699" s="1" t="str">
        <f>IF(AND(Table1[[#This Row],[Spec Type2]]="N/A",Table1[[#This Row],[DUT Adj Read]]="N/A",Table1[[#This Row],[Std Adj Read]]="N/A"),"N/A",IF(Table1[[#This Row],[DUT Adj Read]]="N/A",IF(Table1[[#This Row],[Std Adj Read]]&gt;Table1[[#This Row],[Low Tol]],"Pass","Fail"),IF(Table1[[#This Row],[DUT Adj Read]]&gt;Table1[[#This Row],[Low Tol]],"Pass","Fail")))</f>
        <v>Pass</v>
      </c>
      <c r="AE699" s="1" t="str">
        <f>IF(AND(Table1[[#This Row],[Spec Type2]]="N/A",Table1[[#This Row],[DUT Adj Read]]="N/A",Table1[[#This Row],[Std Adj Read]]="N/A"),"N/A",IF(Table1[[#This Row],[DUT Adj Read]]="N/A",IF(Table1[[#This Row],[Std Adj Read]]&lt;Table1[[#This Row],[High Tol]],"Pass","Fail"),IF(Table1[[#This Row],[DUT Adj Read]]&lt;Table1[[#This Row],[High Tol]],"Pass","Fail")))</f>
        <v>Fail</v>
      </c>
      <c r="AF699" s="1" t="str">
        <f>IF(AND(Table1[[#This Row],[Spec Type2]]="N/A",Table1[[#This Row],[DUT Adj Read]]="N/A",Table1[[#This Row],[Std Adj Read]]="N/A"),"N/A",IF(Table1[[#This Row],[DUT Adj Read]]="N/A",IF(Table1[[#This Row],[Std Adj Read]]&gt;=Table1[[#This Row],[Low Tol]],"Pass","Fail"),IF(Table1[[#This Row],[DUT Adj Read]]&gt;=Table1[[#This Row],[Low Tol]],"Pass","Fail")))</f>
        <v>Pass</v>
      </c>
      <c r="AG699" s="1" t="str">
        <f>IF(AND(Table1[[#This Row],[Spec Type2]]="N/A",Table1[[#This Row],[DUT Adj Read]]="N/A",Table1[[#This Row],[Std Adj Read]]="N/A"),"N/A",IF(Table1[[#This Row],[DUT Adj Read]]="N/A",IF(Table1[[#This Row],[Std Adj Read]]&lt;=Table1[[#This Row],[High Tol]],"Pass","Fail"),IF(Table1[[#This Row],[DUT Adj Read]]&lt;=Table1[[#This Row],[High Tol]],"Pass","Fail")))</f>
        <v>Fail</v>
      </c>
      <c r="AH6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9" s="1" t="b">
        <v>0</v>
      </c>
      <c r="AN699" s="1" t="b">
        <v>0</v>
      </c>
      <c r="AO699" s="1" t="b">
        <v>0</v>
      </c>
    </row>
    <row r="700" spans="1:41" x14ac:dyDescent="0.25">
      <c r="A700" s="10"/>
      <c r="B700" s="10"/>
      <c r="C700" s="10"/>
      <c r="D700" s="10"/>
      <c r="E700" s="10"/>
      <c r="F700" s="10"/>
      <c r="G700" s="10"/>
      <c r="H700" s="10"/>
      <c r="I700" s="1" t="str">
        <f t="shared" si="30"/>
        <v/>
      </c>
      <c r="J700" s="1" t="s">
        <v>35</v>
      </c>
      <c r="K700" s="1" t="str">
        <f t="shared" si="31"/>
        <v/>
      </c>
      <c r="L700" s="1" t="str">
        <f t="shared" si="32"/>
        <v/>
      </c>
      <c r="M700" s="1">
        <f>IF(OR(Table1[[#This Row],[Std Nom]]="",Table1[[#This Row],[Std Read]]=""),0,Table1[[#This Row],[Std Nom]]-Table1[[#This Row],[Std Read]])</f>
        <v>0</v>
      </c>
      <c r="N700" s="1">
        <f>IF(Calculations!$F$5="ACCREDITED 17025 WITH UNCERTAINTIES",$N$10,0)</f>
        <v>0</v>
      </c>
      <c r="O700" s="1" t="str">
        <f>IFERROR(Table1[[#This Row],[Std Nom]]-(_xlfn.XLOOKUP(Table1[[#This Row],[Manufacturer]]&amp;" "&amp;Table1[[#This Row],[Model]],Table13[MFR &amp; MDL],Table13[Tolerance % CW ],"")/100*Table1[[#This Row],[Std Nom]]),"")</f>
        <v/>
      </c>
      <c r="P700" s="1" t="str">
        <f>IFERROR(Table1[[#This Row],[Std Nom]]+(_xlfn.XLOOKUP(Table1[[#This Row],[Manufacturer]]&amp;" "&amp;Table1[[#This Row],[Model]],Table13[MFR &amp; MDL],Table13[Tolerance % CW ],"")/100*Table1[[#This Row],[Std Nom]]),"")</f>
        <v/>
      </c>
      <c r="Q700" s="1" t="e">
        <f>Table1[[#This Row],[High Tol]]-Table1[[#This Row],[Low Tol]]</f>
        <v>#VALUE!</v>
      </c>
      <c r="R700" s="1">
        <f>2*Table1[[#This Row],[Std Error]]</f>
        <v>0</v>
      </c>
      <c r="S700" s="1" t="str">
        <f>IF(Table1[[#This Row],[High Tol]]="","N/A",IFERROR(ABS(Table1[[#This Row],[Tol Span]]/Table1[[#This Row],[Error Span]]),"N/A"))</f>
        <v>N/A</v>
      </c>
      <c r="T700" s="1" t="str">
        <f>IF(OR(Table1[[#This Row],[Low Tol]]="",Table1[[#This Row],[High Tol]]=""),"Needs Analysis",IF(Table1[[#This Row],[Ratio]]&gt;=4,"Not Significant",IF(Table1[[#This Row],[Ratio]]&gt;=2,"Semi-Significant","Significant")))</f>
        <v>Needs Analysis</v>
      </c>
      <c r="W700" s="1">
        <f>IF(Table1[[#This Row],[Cal Type]]&lt;&gt;"ACCREDITED 17025 WITH UNCERTAINTIES",0,"")</f>
        <v>0</v>
      </c>
      <c r="X700" s="1" t="str">
        <f>IF(Table1[[#This Row],[DUT Read]]="","N/A",Table1[[#This Row],[Std Error]]+Table1[[#This Row],[DUT Read]]+Table1[[#This Row],[DUT Ucty]])</f>
        <v>N/A</v>
      </c>
      <c r="Y700" s="1" t="str">
        <f>IF(Table1[[#This Row],[Std Read]]="","N/A",Table1[[#This Row],[Std Read]]+Table1[[#This Row],[Std Ucty]])</f>
        <v>N/A</v>
      </c>
      <c r="Z7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0" s="1" t="str">
        <f>IF(Table1[[#This Row],[Spec Type]]="","N/A",Table1[[#This Row],[Spec Type]])</f>
        <v>±</v>
      </c>
      <c r="AC700" s="1" t="str">
        <f>IF(Table1[[#This Row],[Spec Type2]]="N/A","N/A",IF(AND(Table1[[#This Row],[DUT Adj Read]]&gt;=Table1[[#This Row],[Low Tol]],Table1[[#This Row],[DUT Adj Read]]&lt;=Table1[[#This Row],[High Tol]]),"Pass","Fail"))</f>
        <v>Fail</v>
      </c>
      <c r="AD700" s="1" t="str">
        <f>IF(AND(Table1[[#This Row],[Spec Type2]]="N/A",Table1[[#This Row],[DUT Adj Read]]="N/A",Table1[[#This Row],[Std Adj Read]]="N/A"),"N/A",IF(Table1[[#This Row],[DUT Adj Read]]="N/A",IF(Table1[[#This Row],[Std Adj Read]]&gt;Table1[[#This Row],[Low Tol]],"Pass","Fail"),IF(Table1[[#This Row],[DUT Adj Read]]&gt;Table1[[#This Row],[Low Tol]],"Pass","Fail")))</f>
        <v>Pass</v>
      </c>
      <c r="AE700" s="1" t="str">
        <f>IF(AND(Table1[[#This Row],[Spec Type2]]="N/A",Table1[[#This Row],[DUT Adj Read]]="N/A",Table1[[#This Row],[Std Adj Read]]="N/A"),"N/A",IF(Table1[[#This Row],[DUT Adj Read]]="N/A",IF(Table1[[#This Row],[Std Adj Read]]&lt;Table1[[#This Row],[High Tol]],"Pass","Fail"),IF(Table1[[#This Row],[DUT Adj Read]]&lt;Table1[[#This Row],[High Tol]],"Pass","Fail")))</f>
        <v>Fail</v>
      </c>
      <c r="AF700" s="1" t="str">
        <f>IF(AND(Table1[[#This Row],[Spec Type2]]="N/A",Table1[[#This Row],[DUT Adj Read]]="N/A",Table1[[#This Row],[Std Adj Read]]="N/A"),"N/A",IF(Table1[[#This Row],[DUT Adj Read]]="N/A",IF(Table1[[#This Row],[Std Adj Read]]&gt;=Table1[[#This Row],[Low Tol]],"Pass","Fail"),IF(Table1[[#This Row],[DUT Adj Read]]&gt;=Table1[[#This Row],[Low Tol]],"Pass","Fail")))</f>
        <v>Pass</v>
      </c>
      <c r="AG700" s="1" t="str">
        <f>IF(AND(Table1[[#This Row],[Spec Type2]]="N/A",Table1[[#This Row],[DUT Adj Read]]="N/A",Table1[[#This Row],[Std Adj Read]]="N/A"),"N/A",IF(Table1[[#This Row],[DUT Adj Read]]="N/A",IF(Table1[[#This Row],[Std Adj Read]]&lt;=Table1[[#This Row],[High Tol]],"Pass","Fail"),IF(Table1[[#This Row],[DUT Adj Read]]&lt;=Table1[[#This Row],[High Tol]],"Pass","Fail")))</f>
        <v>Fail</v>
      </c>
      <c r="AH7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0" s="1" t="b">
        <v>0</v>
      </c>
      <c r="AN700" s="1" t="b">
        <v>0</v>
      </c>
      <c r="AO700" s="1" t="b">
        <v>0</v>
      </c>
    </row>
    <row r="701" spans="1:41" x14ac:dyDescent="0.25">
      <c r="A701" s="10"/>
      <c r="B701" s="10"/>
      <c r="C701" s="10"/>
      <c r="D701" s="10"/>
      <c r="E701" s="10"/>
      <c r="F701" s="10"/>
      <c r="G701" s="10"/>
      <c r="H701" s="10"/>
      <c r="I701" s="1" t="str">
        <f t="shared" si="30"/>
        <v/>
      </c>
      <c r="J701" s="1" t="s">
        <v>35</v>
      </c>
      <c r="K701" s="1" t="str">
        <f t="shared" si="31"/>
        <v/>
      </c>
      <c r="L701" s="1" t="str">
        <f t="shared" si="32"/>
        <v/>
      </c>
      <c r="M701" s="1">
        <f>IF(OR(Table1[[#This Row],[Std Nom]]="",Table1[[#This Row],[Std Read]]=""),0,Table1[[#This Row],[Std Nom]]-Table1[[#This Row],[Std Read]])</f>
        <v>0</v>
      </c>
      <c r="N701" s="1">
        <f>IF(Calculations!$F$5="ACCREDITED 17025 WITH UNCERTAINTIES",$N$10,0)</f>
        <v>0</v>
      </c>
      <c r="O701" s="1" t="str">
        <f>IFERROR(Table1[[#This Row],[Std Nom]]-(_xlfn.XLOOKUP(Table1[[#This Row],[Manufacturer]]&amp;" "&amp;Table1[[#This Row],[Model]],Table13[MFR &amp; MDL],Table13[Tolerance % CW ],"")/100*Table1[[#This Row],[Std Nom]]),"")</f>
        <v/>
      </c>
      <c r="P701" s="1" t="str">
        <f>IFERROR(Table1[[#This Row],[Std Nom]]+(_xlfn.XLOOKUP(Table1[[#This Row],[Manufacturer]]&amp;" "&amp;Table1[[#This Row],[Model]],Table13[MFR &amp; MDL],Table13[Tolerance % CW ],"")/100*Table1[[#This Row],[Std Nom]]),"")</f>
        <v/>
      </c>
      <c r="Q701" s="1" t="e">
        <f>Table1[[#This Row],[High Tol]]-Table1[[#This Row],[Low Tol]]</f>
        <v>#VALUE!</v>
      </c>
      <c r="R701" s="1">
        <f>2*Table1[[#This Row],[Std Error]]</f>
        <v>0</v>
      </c>
      <c r="S701" s="1" t="str">
        <f>IF(Table1[[#This Row],[High Tol]]="","N/A",IFERROR(ABS(Table1[[#This Row],[Tol Span]]/Table1[[#This Row],[Error Span]]),"N/A"))</f>
        <v>N/A</v>
      </c>
      <c r="T701" s="1" t="str">
        <f>IF(OR(Table1[[#This Row],[Low Tol]]="",Table1[[#This Row],[High Tol]]=""),"Needs Analysis",IF(Table1[[#This Row],[Ratio]]&gt;=4,"Not Significant",IF(Table1[[#This Row],[Ratio]]&gt;=2,"Semi-Significant","Significant")))</f>
        <v>Needs Analysis</v>
      </c>
      <c r="W701" s="1">
        <f>IF(Table1[[#This Row],[Cal Type]]&lt;&gt;"ACCREDITED 17025 WITH UNCERTAINTIES",0,"")</f>
        <v>0</v>
      </c>
      <c r="X701" s="1" t="str">
        <f>IF(Table1[[#This Row],[DUT Read]]="","N/A",Table1[[#This Row],[Std Error]]+Table1[[#This Row],[DUT Read]]+Table1[[#This Row],[DUT Ucty]])</f>
        <v>N/A</v>
      </c>
      <c r="Y701" s="1" t="str">
        <f>IF(Table1[[#This Row],[Std Read]]="","N/A",Table1[[#This Row],[Std Read]]+Table1[[#This Row],[Std Ucty]])</f>
        <v>N/A</v>
      </c>
      <c r="Z7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1" s="1" t="str">
        <f>IF(Table1[[#This Row],[Spec Type]]="","N/A",Table1[[#This Row],[Spec Type]])</f>
        <v>±</v>
      </c>
      <c r="AC701" s="1" t="str">
        <f>IF(Table1[[#This Row],[Spec Type2]]="N/A","N/A",IF(AND(Table1[[#This Row],[DUT Adj Read]]&gt;=Table1[[#This Row],[Low Tol]],Table1[[#This Row],[DUT Adj Read]]&lt;=Table1[[#This Row],[High Tol]]),"Pass","Fail"))</f>
        <v>Fail</v>
      </c>
      <c r="AD701" s="1" t="str">
        <f>IF(AND(Table1[[#This Row],[Spec Type2]]="N/A",Table1[[#This Row],[DUT Adj Read]]="N/A",Table1[[#This Row],[Std Adj Read]]="N/A"),"N/A",IF(Table1[[#This Row],[DUT Adj Read]]="N/A",IF(Table1[[#This Row],[Std Adj Read]]&gt;Table1[[#This Row],[Low Tol]],"Pass","Fail"),IF(Table1[[#This Row],[DUT Adj Read]]&gt;Table1[[#This Row],[Low Tol]],"Pass","Fail")))</f>
        <v>Pass</v>
      </c>
      <c r="AE701" s="1" t="str">
        <f>IF(AND(Table1[[#This Row],[Spec Type2]]="N/A",Table1[[#This Row],[DUT Adj Read]]="N/A",Table1[[#This Row],[Std Adj Read]]="N/A"),"N/A",IF(Table1[[#This Row],[DUT Adj Read]]="N/A",IF(Table1[[#This Row],[Std Adj Read]]&lt;Table1[[#This Row],[High Tol]],"Pass","Fail"),IF(Table1[[#This Row],[DUT Adj Read]]&lt;Table1[[#This Row],[High Tol]],"Pass","Fail")))</f>
        <v>Fail</v>
      </c>
      <c r="AF701" s="1" t="str">
        <f>IF(AND(Table1[[#This Row],[Spec Type2]]="N/A",Table1[[#This Row],[DUT Adj Read]]="N/A",Table1[[#This Row],[Std Adj Read]]="N/A"),"N/A",IF(Table1[[#This Row],[DUT Adj Read]]="N/A",IF(Table1[[#This Row],[Std Adj Read]]&gt;=Table1[[#This Row],[Low Tol]],"Pass","Fail"),IF(Table1[[#This Row],[DUT Adj Read]]&gt;=Table1[[#This Row],[Low Tol]],"Pass","Fail")))</f>
        <v>Pass</v>
      </c>
      <c r="AG701" s="1" t="str">
        <f>IF(AND(Table1[[#This Row],[Spec Type2]]="N/A",Table1[[#This Row],[DUT Adj Read]]="N/A",Table1[[#This Row],[Std Adj Read]]="N/A"),"N/A",IF(Table1[[#This Row],[DUT Adj Read]]="N/A",IF(Table1[[#This Row],[Std Adj Read]]&lt;=Table1[[#This Row],[High Tol]],"Pass","Fail"),IF(Table1[[#This Row],[DUT Adj Read]]&lt;=Table1[[#This Row],[High Tol]],"Pass","Fail")))</f>
        <v>Fail</v>
      </c>
      <c r="AH7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1" s="1" t="b">
        <v>0</v>
      </c>
      <c r="AN701" s="1" t="b">
        <v>0</v>
      </c>
      <c r="AO701" s="1" t="b">
        <v>0</v>
      </c>
    </row>
    <row r="702" spans="1:41" x14ac:dyDescent="0.25">
      <c r="A702" s="10"/>
      <c r="B702" s="10"/>
      <c r="C702" s="10"/>
      <c r="D702" s="10"/>
      <c r="E702" s="10"/>
      <c r="F702" s="10"/>
      <c r="G702" s="10"/>
      <c r="H702" s="10"/>
      <c r="I702" s="1" t="str">
        <f t="shared" si="30"/>
        <v/>
      </c>
      <c r="J702" s="1" t="s">
        <v>35</v>
      </c>
      <c r="K702" s="1" t="str">
        <f t="shared" si="31"/>
        <v/>
      </c>
      <c r="L702" s="1" t="str">
        <f t="shared" si="32"/>
        <v/>
      </c>
      <c r="M702" s="1">
        <f>IF(OR(Table1[[#This Row],[Std Nom]]="",Table1[[#This Row],[Std Read]]=""),0,Table1[[#This Row],[Std Nom]]-Table1[[#This Row],[Std Read]])</f>
        <v>0</v>
      </c>
      <c r="N702" s="1">
        <f>IF(Calculations!$F$5="ACCREDITED 17025 WITH UNCERTAINTIES",$N$10,0)</f>
        <v>0</v>
      </c>
      <c r="O702" s="1" t="str">
        <f>IFERROR(Table1[[#This Row],[Std Nom]]-(_xlfn.XLOOKUP(Table1[[#This Row],[Manufacturer]]&amp;" "&amp;Table1[[#This Row],[Model]],Table13[MFR &amp; MDL],Table13[Tolerance % CW ],"")/100*Table1[[#This Row],[Std Nom]]),"")</f>
        <v/>
      </c>
      <c r="P702" s="1" t="str">
        <f>IFERROR(Table1[[#This Row],[Std Nom]]+(_xlfn.XLOOKUP(Table1[[#This Row],[Manufacturer]]&amp;" "&amp;Table1[[#This Row],[Model]],Table13[MFR &amp; MDL],Table13[Tolerance % CW ],"")/100*Table1[[#This Row],[Std Nom]]),"")</f>
        <v/>
      </c>
      <c r="Q702" s="1" t="e">
        <f>Table1[[#This Row],[High Tol]]-Table1[[#This Row],[Low Tol]]</f>
        <v>#VALUE!</v>
      </c>
      <c r="R702" s="1">
        <f>2*Table1[[#This Row],[Std Error]]</f>
        <v>0</v>
      </c>
      <c r="S702" s="1" t="str">
        <f>IF(Table1[[#This Row],[High Tol]]="","N/A",IFERROR(ABS(Table1[[#This Row],[Tol Span]]/Table1[[#This Row],[Error Span]]),"N/A"))</f>
        <v>N/A</v>
      </c>
      <c r="T702" s="1" t="str">
        <f>IF(OR(Table1[[#This Row],[Low Tol]]="",Table1[[#This Row],[High Tol]]=""),"Needs Analysis",IF(Table1[[#This Row],[Ratio]]&gt;=4,"Not Significant",IF(Table1[[#This Row],[Ratio]]&gt;=2,"Semi-Significant","Significant")))</f>
        <v>Needs Analysis</v>
      </c>
      <c r="W702" s="1">
        <f>IF(Table1[[#This Row],[Cal Type]]&lt;&gt;"ACCREDITED 17025 WITH UNCERTAINTIES",0,"")</f>
        <v>0</v>
      </c>
      <c r="X702" s="1" t="str">
        <f>IF(Table1[[#This Row],[DUT Read]]="","N/A",Table1[[#This Row],[Std Error]]+Table1[[#This Row],[DUT Read]]+Table1[[#This Row],[DUT Ucty]])</f>
        <v>N/A</v>
      </c>
      <c r="Y702" s="1" t="str">
        <f>IF(Table1[[#This Row],[Std Read]]="","N/A",Table1[[#This Row],[Std Read]]+Table1[[#This Row],[Std Ucty]])</f>
        <v>N/A</v>
      </c>
      <c r="Z7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2" s="1" t="str">
        <f>IF(Table1[[#This Row],[Spec Type]]="","N/A",Table1[[#This Row],[Spec Type]])</f>
        <v>±</v>
      </c>
      <c r="AC702" s="1" t="str">
        <f>IF(Table1[[#This Row],[Spec Type2]]="N/A","N/A",IF(AND(Table1[[#This Row],[DUT Adj Read]]&gt;=Table1[[#This Row],[Low Tol]],Table1[[#This Row],[DUT Adj Read]]&lt;=Table1[[#This Row],[High Tol]]),"Pass","Fail"))</f>
        <v>Fail</v>
      </c>
      <c r="AD702" s="1" t="str">
        <f>IF(AND(Table1[[#This Row],[Spec Type2]]="N/A",Table1[[#This Row],[DUT Adj Read]]="N/A",Table1[[#This Row],[Std Adj Read]]="N/A"),"N/A",IF(Table1[[#This Row],[DUT Adj Read]]="N/A",IF(Table1[[#This Row],[Std Adj Read]]&gt;Table1[[#This Row],[Low Tol]],"Pass","Fail"),IF(Table1[[#This Row],[DUT Adj Read]]&gt;Table1[[#This Row],[Low Tol]],"Pass","Fail")))</f>
        <v>Pass</v>
      </c>
      <c r="AE702" s="1" t="str">
        <f>IF(AND(Table1[[#This Row],[Spec Type2]]="N/A",Table1[[#This Row],[DUT Adj Read]]="N/A",Table1[[#This Row],[Std Adj Read]]="N/A"),"N/A",IF(Table1[[#This Row],[DUT Adj Read]]="N/A",IF(Table1[[#This Row],[Std Adj Read]]&lt;Table1[[#This Row],[High Tol]],"Pass","Fail"),IF(Table1[[#This Row],[DUT Adj Read]]&lt;Table1[[#This Row],[High Tol]],"Pass","Fail")))</f>
        <v>Fail</v>
      </c>
      <c r="AF702" s="1" t="str">
        <f>IF(AND(Table1[[#This Row],[Spec Type2]]="N/A",Table1[[#This Row],[DUT Adj Read]]="N/A",Table1[[#This Row],[Std Adj Read]]="N/A"),"N/A",IF(Table1[[#This Row],[DUT Adj Read]]="N/A",IF(Table1[[#This Row],[Std Adj Read]]&gt;=Table1[[#This Row],[Low Tol]],"Pass","Fail"),IF(Table1[[#This Row],[DUT Adj Read]]&gt;=Table1[[#This Row],[Low Tol]],"Pass","Fail")))</f>
        <v>Pass</v>
      </c>
      <c r="AG702" s="1" t="str">
        <f>IF(AND(Table1[[#This Row],[Spec Type2]]="N/A",Table1[[#This Row],[DUT Adj Read]]="N/A",Table1[[#This Row],[Std Adj Read]]="N/A"),"N/A",IF(Table1[[#This Row],[DUT Adj Read]]="N/A",IF(Table1[[#This Row],[Std Adj Read]]&lt;=Table1[[#This Row],[High Tol]],"Pass","Fail"),IF(Table1[[#This Row],[DUT Adj Read]]&lt;=Table1[[#This Row],[High Tol]],"Pass","Fail")))</f>
        <v>Fail</v>
      </c>
      <c r="AH7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2" s="1" t="b">
        <v>0</v>
      </c>
      <c r="AN702" s="1" t="b">
        <v>0</v>
      </c>
      <c r="AO702" s="1" t="b">
        <v>0</v>
      </c>
    </row>
    <row r="703" spans="1:41" x14ac:dyDescent="0.25">
      <c r="A703" s="10"/>
      <c r="B703" s="10"/>
      <c r="C703" s="10"/>
      <c r="D703" s="10"/>
      <c r="E703" s="10"/>
      <c r="F703" s="10"/>
      <c r="G703" s="10"/>
      <c r="H703" s="10"/>
      <c r="I703" s="1" t="str">
        <f t="shared" si="30"/>
        <v/>
      </c>
      <c r="J703" s="1" t="s">
        <v>35</v>
      </c>
      <c r="K703" s="1" t="str">
        <f t="shared" si="31"/>
        <v/>
      </c>
      <c r="L703" s="1" t="str">
        <f t="shared" si="32"/>
        <v/>
      </c>
      <c r="M703" s="1">
        <f>IF(OR(Table1[[#This Row],[Std Nom]]="",Table1[[#This Row],[Std Read]]=""),0,Table1[[#This Row],[Std Nom]]-Table1[[#This Row],[Std Read]])</f>
        <v>0</v>
      </c>
      <c r="N703" s="1">
        <f>IF(Calculations!$F$5="ACCREDITED 17025 WITH UNCERTAINTIES",$N$10,0)</f>
        <v>0</v>
      </c>
      <c r="O703" s="1" t="str">
        <f>IFERROR(Table1[[#This Row],[Std Nom]]-(_xlfn.XLOOKUP(Table1[[#This Row],[Manufacturer]]&amp;" "&amp;Table1[[#This Row],[Model]],Table13[MFR &amp; MDL],Table13[Tolerance % CW ],"")/100*Table1[[#This Row],[Std Nom]]),"")</f>
        <v/>
      </c>
      <c r="P703" s="1" t="str">
        <f>IFERROR(Table1[[#This Row],[Std Nom]]+(_xlfn.XLOOKUP(Table1[[#This Row],[Manufacturer]]&amp;" "&amp;Table1[[#This Row],[Model]],Table13[MFR &amp; MDL],Table13[Tolerance % CW ],"")/100*Table1[[#This Row],[Std Nom]]),"")</f>
        <v/>
      </c>
      <c r="Q703" s="1" t="e">
        <f>Table1[[#This Row],[High Tol]]-Table1[[#This Row],[Low Tol]]</f>
        <v>#VALUE!</v>
      </c>
      <c r="R703" s="1">
        <f>2*Table1[[#This Row],[Std Error]]</f>
        <v>0</v>
      </c>
      <c r="S703" s="1" t="str">
        <f>IF(Table1[[#This Row],[High Tol]]="","N/A",IFERROR(ABS(Table1[[#This Row],[Tol Span]]/Table1[[#This Row],[Error Span]]),"N/A"))</f>
        <v>N/A</v>
      </c>
      <c r="T703" s="1" t="str">
        <f>IF(OR(Table1[[#This Row],[Low Tol]]="",Table1[[#This Row],[High Tol]]=""),"Needs Analysis",IF(Table1[[#This Row],[Ratio]]&gt;=4,"Not Significant",IF(Table1[[#This Row],[Ratio]]&gt;=2,"Semi-Significant","Significant")))</f>
        <v>Needs Analysis</v>
      </c>
      <c r="W703" s="1">
        <f>IF(Table1[[#This Row],[Cal Type]]&lt;&gt;"ACCREDITED 17025 WITH UNCERTAINTIES",0,"")</f>
        <v>0</v>
      </c>
      <c r="X703" s="1" t="str">
        <f>IF(Table1[[#This Row],[DUT Read]]="","N/A",Table1[[#This Row],[Std Error]]+Table1[[#This Row],[DUT Read]]+Table1[[#This Row],[DUT Ucty]])</f>
        <v>N/A</v>
      </c>
      <c r="Y703" s="1" t="str">
        <f>IF(Table1[[#This Row],[Std Read]]="","N/A",Table1[[#This Row],[Std Read]]+Table1[[#This Row],[Std Ucty]])</f>
        <v>N/A</v>
      </c>
      <c r="Z7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3" s="1" t="str">
        <f>IF(Table1[[#This Row],[Spec Type]]="","N/A",Table1[[#This Row],[Spec Type]])</f>
        <v>±</v>
      </c>
      <c r="AC703" s="1" t="str">
        <f>IF(Table1[[#This Row],[Spec Type2]]="N/A","N/A",IF(AND(Table1[[#This Row],[DUT Adj Read]]&gt;=Table1[[#This Row],[Low Tol]],Table1[[#This Row],[DUT Adj Read]]&lt;=Table1[[#This Row],[High Tol]]),"Pass","Fail"))</f>
        <v>Fail</v>
      </c>
      <c r="AD703" s="1" t="str">
        <f>IF(AND(Table1[[#This Row],[Spec Type2]]="N/A",Table1[[#This Row],[DUT Adj Read]]="N/A",Table1[[#This Row],[Std Adj Read]]="N/A"),"N/A",IF(Table1[[#This Row],[DUT Adj Read]]="N/A",IF(Table1[[#This Row],[Std Adj Read]]&gt;Table1[[#This Row],[Low Tol]],"Pass","Fail"),IF(Table1[[#This Row],[DUT Adj Read]]&gt;Table1[[#This Row],[Low Tol]],"Pass","Fail")))</f>
        <v>Pass</v>
      </c>
      <c r="AE703" s="1" t="str">
        <f>IF(AND(Table1[[#This Row],[Spec Type2]]="N/A",Table1[[#This Row],[DUT Adj Read]]="N/A",Table1[[#This Row],[Std Adj Read]]="N/A"),"N/A",IF(Table1[[#This Row],[DUT Adj Read]]="N/A",IF(Table1[[#This Row],[Std Adj Read]]&lt;Table1[[#This Row],[High Tol]],"Pass","Fail"),IF(Table1[[#This Row],[DUT Adj Read]]&lt;Table1[[#This Row],[High Tol]],"Pass","Fail")))</f>
        <v>Fail</v>
      </c>
      <c r="AF703" s="1" t="str">
        <f>IF(AND(Table1[[#This Row],[Spec Type2]]="N/A",Table1[[#This Row],[DUT Adj Read]]="N/A",Table1[[#This Row],[Std Adj Read]]="N/A"),"N/A",IF(Table1[[#This Row],[DUT Adj Read]]="N/A",IF(Table1[[#This Row],[Std Adj Read]]&gt;=Table1[[#This Row],[Low Tol]],"Pass","Fail"),IF(Table1[[#This Row],[DUT Adj Read]]&gt;=Table1[[#This Row],[Low Tol]],"Pass","Fail")))</f>
        <v>Pass</v>
      </c>
      <c r="AG703" s="1" t="str">
        <f>IF(AND(Table1[[#This Row],[Spec Type2]]="N/A",Table1[[#This Row],[DUT Adj Read]]="N/A",Table1[[#This Row],[Std Adj Read]]="N/A"),"N/A",IF(Table1[[#This Row],[DUT Adj Read]]="N/A",IF(Table1[[#This Row],[Std Adj Read]]&lt;=Table1[[#This Row],[High Tol]],"Pass","Fail"),IF(Table1[[#This Row],[DUT Adj Read]]&lt;=Table1[[#This Row],[High Tol]],"Pass","Fail")))</f>
        <v>Fail</v>
      </c>
      <c r="AH7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3" s="1" t="b">
        <v>0</v>
      </c>
      <c r="AN703" s="1" t="b">
        <v>0</v>
      </c>
      <c r="AO703" s="1" t="b">
        <v>0</v>
      </c>
    </row>
    <row r="704" spans="1:41" x14ac:dyDescent="0.25">
      <c r="A704" s="10"/>
      <c r="B704" s="10"/>
      <c r="C704" s="10"/>
      <c r="D704" s="10"/>
      <c r="E704" s="10"/>
      <c r="F704" s="10"/>
      <c r="G704" s="10"/>
      <c r="H704" s="10"/>
      <c r="I704" s="1" t="str">
        <f t="shared" si="30"/>
        <v/>
      </c>
      <c r="J704" s="1" t="s">
        <v>35</v>
      </c>
      <c r="K704" s="1" t="str">
        <f t="shared" si="31"/>
        <v/>
      </c>
      <c r="L704" s="1" t="str">
        <f t="shared" si="32"/>
        <v/>
      </c>
      <c r="M704" s="1">
        <f>IF(OR(Table1[[#This Row],[Std Nom]]="",Table1[[#This Row],[Std Read]]=""),0,Table1[[#This Row],[Std Nom]]-Table1[[#This Row],[Std Read]])</f>
        <v>0</v>
      </c>
      <c r="N704" s="1">
        <f>IF(Calculations!$F$5="ACCREDITED 17025 WITH UNCERTAINTIES",$N$10,0)</f>
        <v>0</v>
      </c>
      <c r="O704" s="1" t="str">
        <f>IFERROR(Table1[[#This Row],[Std Nom]]-(_xlfn.XLOOKUP(Table1[[#This Row],[Manufacturer]]&amp;" "&amp;Table1[[#This Row],[Model]],Table13[MFR &amp; MDL],Table13[Tolerance % CW ],"")/100*Table1[[#This Row],[Std Nom]]),"")</f>
        <v/>
      </c>
      <c r="P704" s="1" t="str">
        <f>IFERROR(Table1[[#This Row],[Std Nom]]+(_xlfn.XLOOKUP(Table1[[#This Row],[Manufacturer]]&amp;" "&amp;Table1[[#This Row],[Model]],Table13[MFR &amp; MDL],Table13[Tolerance % CW ],"")/100*Table1[[#This Row],[Std Nom]]),"")</f>
        <v/>
      </c>
      <c r="Q704" s="1" t="e">
        <f>Table1[[#This Row],[High Tol]]-Table1[[#This Row],[Low Tol]]</f>
        <v>#VALUE!</v>
      </c>
      <c r="R704" s="1">
        <f>2*Table1[[#This Row],[Std Error]]</f>
        <v>0</v>
      </c>
      <c r="S704" s="1" t="str">
        <f>IF(Table1[[#This Row],[High Tol]]="","N/A",IFERROR(ABS(Table1[[#This Row],[Tol Span]]/Table1[[#This Row],[Error Span]]),"N/A"))</f>
        <v>N/A</v>
      </c>
      <c r="T704" s="1" t="str">
        <f>IF(OR(Table1[[#This Row],[Low Tol]]="",Table1[[#This Row],[High Tol]]=""),"Needs Analysis",IF(Table1[[#This Row],[Ratio]]&gt;=4,"Not Significant",IF(Table1[[#This Row],[Ratio]]&gt;=2,"Semi-Significant","Significant")))</f>
        <v>Needs Analysis</v>
      </c>
      <c r="W704" s="1">
        <f>IF(Table1[[#This Row],[Cal Type]]&lt;&gt;"ACCREDITED 17025 WITH UNCERTAINTIES",0,"")</f>
        <v>0</v>
      </c>
      <c r="X704" s="1" t="str">
        <f>IF(Table1[[#This Row],[DUT Read]]="","N/A",Table1[[#This Row],[Std Error]]+Table1[[#This Row],[DUT Read]]+Table1[[#This Row],[DUT Ucty]])</f>
        <v>N/A</v>
      </c>
      <c r="Y704" s="1" t="str">
        <f>IF(Table1[[#This Row],[Std Read]]="","N/A",Table1[[#This Row],[Std Read]]+Table1[[#This Row],[Std Ucty]])</f>
        <v>N/A</v>
      </c>
      <c r="Z7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4" s="1" t="str">
        <f>IF(Table1[[#This Row],[Spec Type]]="","N/A",Table1[[#This Row],[Spec Type]])</f>
        <v>±</v>
      </c>
      <c r="AC704" s="1" t="str">
        <f>IF(Table1[[#This Row],[Spec Type2]]="N/A","N/A",IF(AND(Table1[[#This Row],[DUT Adj Read]]&gt;=Table1[[#This Row],[Low Tol]],Table1[[#This Row],[DUT Adj Read]]&lt;=Table1[[#This Row],[High Tol]]),"Pass","Fail"))</f>
        <v>Fail</v>
      </c>
      <c r="AD704" s="1" t="str">
        <f>IF(AND(Table1[[#This Row],[Spec Type2]]="N/A",Table1[[#This Row],[DUT Adj Read]]="N/A",Table1[[#This Row],[Std Adj Read]]="N/A"),"N/A",IF(Table1[[#This Row],[DUT Adj Read]]="N/A",IF(Table1[[#This Row],[Std Adj Read]]&gt;Table1[[#This Row],[Low Tol]],"Pass","Fail"),IF(Table1[[#This Row],[DUT Adj Read]]&gt;Table1[[#This Row],[Low Tol]],"Pass","Fail")))</f>
        <v>Pass</v>
      </c>
      <c r="AE704" s="1" t="str">
        <f>IF(AND(Table1[[#This Row],[Spec Type2]]="N/A",Table1[[#This Row],[DUT Adj Read]]="N/A",Table1[[#This Row],[Std Adj Read]]="N/A"),"N/A",IF(Table1[[#This Row],[DUT Adj Read]]="N/A",IF(Table1[[#This Row],[Std Adj Read]]&lt;Table1[[#This Row],[High Tol]],"Pass","Fail"),IF(Table1[[#This Row],[DUT Adj Read]]&lt;Table1[[#This Row],[High Tol]],"Pass","Fail")))</f>
        <v>Fail</v>
      </c>
      <c r="AF704" s="1" t="str">
        <f>IF(AND(Table1[[#This Row],[Spec Type2]]="N/A",Table1[[#This Row],[DUT Adj Read]]="N/A",Table1[[#This Row],[Std Adj Read]]="N/A"),"N/A",IF(Table1[[#This Row],[DUT Adj Read]]="N/A",IF(Table1[[#This Row],[Std Adj Read]]&gt;=Table1[[#This Row],[Low Tol]],"Pass","Fail"),IF(Table1[[#This Row],[DUT Adj Read]]&gt;=Table1[[#This Row],[Low Tol]],"Pass","Fail")))</f>
        <v>Pass</v>
      </c>
      <c r="AG704" s="1" t="str">
        <f>IF(AND(Table1[[#This Row],[Spec Type2]]="N/A",Table1[[#This Row],[DUT Adj Read]]="N/A",Table1[[#This Row],[Std Adj Read]]="N/A"),"N/A",IF(Table1[[#This Row],[DUT Adj Read]]="N/A",IF(Table1[[#This Row],[Std Adj Read]]&lt;=Table1[[#This Row],[High Tol]],"Pass","Fail"),IF(Table1[[#This Row],[DUT Adj Read]]&lt;=Table1[[#This Row],[High Tol]],"Pass","Fail")))</f>
        <v>Fail</v>
      </c>
      <c r="AH7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4" s="1" t="b">
        <v>0</v>
      </c>
      <c r="AN704" s="1" t="b">
        <v>0</v>
      </c>
      <c r="AO704" s="1" t="b">
        <v>0</v>
      </c>
    </row>
    <row r="705" spans="1:41" x14ac:dyDescent="0.25">
      <c r="A705" s="10"/>
      <c r="B705" s="10"/>
      <c r="C705" s="10"/>
      <c r="D705" s="10"/>
      <c r="E705" s="10"/>
      <c r="F705" s="10"/>
      <c r="G705" s="10"/>
      <c r="H705" s="10"/>
      <c r="I705" s="1" t="str">
        <f t="shared" si="30"/>
        <v/>
      </c>
      <c r="J705" s="1" t="s">
        <v>35</v>
      </c>
      <c r="K705" s="1" t="str">
        <f t="shared" si="31"/>
        <v/>
      </c>
      <c r="L705" s="1" t="str">
        <f t="shared" si="32"/>
        <v/>
      </c>
      <c r="M705" s="1">
        <f>IF(OR(Table1[[#This Row],[Std Nom]]="",Table1[[#This Row],[Std Read]]=""),0,Table1[[#This Row],[Std Nom]]-Table1[[#This Row],[Std Read]])</f>
        <v>0</v>
      </c>
      <c r="N705" s="1">
        <f>IF(Calculations!$F$5="ACCREDITED 17025 WITH UNCERTAINTIES",$N$10,0)</f>
        <v>0</v>
      </c>
      <c r="O705" s="1" t="str">
        <f>IFERROR(Table1[[#This Row],[Std Nom]]-(_xlfn.XLOOKUP(Table1[[#This Row],[Manufacturer]]&amp;" "&amp;Table1[[#This Row],[Model]],Table13[MFR &amp; MDL],Table13[Tolerance % CW ],"")/100*Table1[[#This Row],[Std Nom]]),"")</f>
        <v/>
      </c>
      <c r="P705" s="1" t="str">
        <f>IFERROR(Table1[[#This Row],[Std Nom]]+(_xlfn.XLOOKUP(Table1[[#This Row],[Manufacturer]]&amp;" "&amp;Table1[[#This Row],[Model]],Table13[MFR &amp; MDL],Table13[Tolerance % CW ],"")/100*Table1[[#This Row],[Std Nom]]),"")</f>
        <v/>
      </c>
      <c r="Q705" s="1" t="e">
        <f>Table1[[#This Row],[High Tol]]-Table1[[#This Row],[Low Tol]]</f>
        <v>#VALUE!</v>
      </c>
      <c r="R705" s="1">
        <f>2*Table1[[#This Row],[Std Error]]</f>
        <v>0</v>
      </c>
      <c r="S705" s="1" t="str">
        <f>IF(Table1[[#This Row],[High Tol]]="","N/A",IFERROR(ABS(Table1[[#This Row],[Tol Span]]/Table1[[#This Row],[Error Span]]),"N/A"))</f>
        <v>N/A</v>
      </c>
      <c r="T705" s="1" t="str">
        <f>IF(OR(Table1[[#This Row],[Low Tol]]="",Table1[[#This Row],[High Tol]]=""),"Needs Analysis",IF(Table1[[#This Row],[Ratio]]&gt;=4,"Not Significant",IF(Table1[[#This Row],[Ratio]]&gt;=2,"Semi-Significant","Significant")))</f>
        <v>Needs Analysis</v>
      </c>
      <c r="W705" s="1">
        <f>IF(Table1[[#This Row],[Cal Type]]&lt;&gt;"ACCREDITED 17025 WITH UNCERTAINTIES",0,"")</f>
        <v>0</v>
      </c>
      <c r="X705" s="1" t="str">
        <f>IF(Table1[[#This Row],[DUT Read]]="","N/A",Table1[[#This Row],[Std Error]]+Table1[[#This Row],[DUT Read]]+Table1[[#This Row],[DUT Ucty]])</f>
        <v>N/A</v>
      </c>
      <c r="Y705" s="1" t="str">
        <f>IF(Table1[[#This Row],[Std Read]]="","N/A",Table1[[#This Row],[Std Read]]+Table1[[#This Row],[Std Ucty]])</f>
        <v>N/A</v>
      </c>
      <c r="Z7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5" s="1" t="str">
        <f>IF(Table1[[#This Row],[Spec Type]]="","N/A",Table1[[#This Row],[Spec Type]])</f>
        <v>±</v>
      </c>
      <c r="AC705" s="1" t="str">
        <f>IF(Table1[[#This Row],[Spec Type2]]="N/A","N/A",IF(AND(Table1[[#This Row],[DUT Adj Read]]&gt;=Table1[[#This Row],[Low Tol]],Table1[[#This Row],[DUT Adj Read]]&lt;=Table1[[#This Row],[High Tol]]),"Pass","Fail"))</f>
        <v>Fail</v>
      </c>
      <c r="AD705" s="1" t="str">
        <f>IF(AND(Table1[[#This Row],[Spec Type2]]="N/A",Table1[[#This Row],[DUT Adj Read]]="N/A",Table1[[#This Row],[Std Adj Read]]="N/A"),"N/A",IF(Table1[[#This Row],[DUT Adj Read]]="N/A",IF(Table1[[#This Row],[Std Adj Read]]&gt;Table1[[#This Row],[Low Tol]],"Pass","Fail"),IF(Table1[[#This Row],[DUT Adj Read]]&gt;Table1[[#This Row],[Low Tol]],"Pass","Fail")))</f>
        <v>Pass</v>
      </c>
      <c r="AE705" s="1" t="str">
        <f>IF(AND(Table1[[#This Row],[Spec Type2]]="N/A",Table1[[#This Row],[DUT Adj Read]]="N/A",Table1[[#This Row],[Std Adj Read]]="N/A"),"N/A",IF(Table1[[#This Row],[DUT Adj Read]]="N/A",IF(Table1[[#This Row],[Std Adj Read]]&lt;Table1[[#This Row],[High Tol]],"Pass","Fail"),IF(Table1[[#This Row],[DUT Adj Read]]&lt;Table1[[#This Row],[High Tol]],"Pass","Fail")))</f>
        <v>Fail</v>
      </c>
      <c r="AF705" s="1" t="str">
        <f>IF(AND(Table1[[#This Row],[Spec Type2]]="N/A",Table1[[#This Row],[DUT Adj Read]]="N/A",Table1[[#This Row],[Std Adj Read]]="N/A"),"N/A",IF(Table1[[#This Row],[DUT Adj Read]]="N/A",IF(Table1[[#This Row],[Std Adj Read]]&gt;=Table1[[#This Row],[Low Tol]],"Pass","Fail"),IF(Table1[[#This Row],[DUT Adj Read]]&gt;=Table1[[#This Row],[Low Tol]],"Pass","Fail")))</f>
        <v>Pass</v>
      </c>
      <c r="AG705" s="1" t="str">
        <f>IF(AND(Table1[[#This Row],[Spec Type2]]="N/A",Table1[[#This Row],[DUT Adj Read]]="N/A",Table1[[#This Row],[Std Adj Read]]="N/A"),"N/A",IF(Table1[[#This Row],[DUT Adj Read]]="N/A",IF(Table1[[#This Row],[Std Adj Read]]&lt;=Table1[[#This Row],[High Tol]],"Pass","Fail"),IF(Table1[[#This Row],[DUT Adj Read]]&lt;=Table1[[#This Row],[High Tol]],"Pass","Fail")))</f>
        <v>Fail</v>
      </c>
      <c r="AH7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5" s="1" t="b">
        <v>0</v>
      </c>
      <c r="AN705" s="1" t="b">
        <v>0</v>
      </c>
      <c r="AO705" s="1" t="b">
        <v>0</v>
      </c>
    </row>
    <row r="706" spans="1:41" x14ac:dyDescent="0.25">
      <c r="A706" s="10"/>
      <c r="B706" s="10"/>
      <c r="C706" s="10"/>
      <c r="D706" s="10"/>
      <c r="E706" s="10"/>
      <c r="F706" s="10"/>
      <c r="G706" s="10"/>
      <c r="H706" s="10"/>
      <c r="I706" s="1" t="str">
        <f t="shared" si="30"/>
        <v/>
      </c>
      <c r="J706" s="1" t="s">
        <v>35</v>
      </c>
      <c r="K706" s="1" t="str">
        <f t="shared" si="31"/>
        <v/>
      </c>
      <c r="L706" s="1" t="str">
        <f t="shared" si="32"/>
        <v/>
      </c>
      <c r="M706" s="1">
        <f>IF(OR(Table1[[#This Row],[Std Nom]]="",Table1[[#This Row],[Std Read]]=""),0,Table1[[#This Row],[Std Nom]]-Table1[[#This Row],[Std Read]])</f>
        <v>0</v>
      </c>
      <c r="N706" s="1">
        <f>IF(Calculations!$F$5="ACCREDITED 17025 WITH UNCERTAINTIES",$N$10,0)</f>
        <v>0</v>
      </c>
      <c r="O706" s="1" t="str">
        <f>IFERROR(Table1[[#This Row],[Std Nom]]-(_xlfn.XLOOKUP(Table1[[#This Row],[Manufacturer]]&amp;" "&amp;Table1[[#This Row],[Model]],Table13[MFR &amp; MDL],Table13[Tolerance % CW ],"")/100*Table1[[#This Row],[Std Nom]]),"")</f>
        <v/>
      </c>
      <c r="P706" s="1" t="str">
        <f>IFERROR(Table1[[#This Row],[Std Nom]]+(_xlfn.XLOOKUP(Table1[[#This Row],[Manufacturer]]&amp;" "&amp;Table1[[#This Row],[Model]],Table13[MFR &amp; MDL],Table13[Tolerance % CW ],"")/100*Table1[[#This Row],[Std Nom]]),"")</f>
        <v/>
      </c>
      <c r="Q706" s="1" t="e">
        <f>Table1[[#This Row],[High Tol]]-Table1[[#This Row],[Low Tol]]</f>
        <v>#VALUE!</v>
      </c>
      <c r="R706" s="1">
        <f>2*Table1[[#This Row],[Std Error]]</f>
        <v>0</v>
      </c>
      <c r="S706" s="1" t="str">
        <f>IF(Table1[[#This Row],[High Tol]]="","N/A",IFERROR(ABS(Table1[[#This Row],[Tol Span]]/Table1[[#This Row],[Error Span]]),"N/A"))</f>
        <v>N/A</v>
      </c>
      <c r="T706" s="1" t="str">
        <f>IF(OR(Table1[[#This Row],[Low Tol]]="",Table1[[#This Row],[High Tol]]=""),"Needs Analysis",IF(Table1[[#This Row],[Ratio]]&gt;=4,"Not Significant",IF(Table1[[#This Row],[Ratio]]&gt;=2,"Semi-Significant","Significant")))</f>
        <v>Needs Analysis</v>
      </c>
      <c r="W706" s="1">
        <f>IF(Table1[[#This Row],[Cal Type]]&lt;&gt;"ACCREDITED 17025 WITH UNCERTAINTIES",0,"")</f>
        <v>0</v>
      </c>
      <c r="X706" s="1" t="str">
        <f>IF(Table1[[#This Row],[DUT Read]]="","N/A",Table1[[#This Row],[Std Error]]+Table1[[#This Row],[DUT Read]]+Table1[[#This Row],[DUT Ucty]])</f>
        <v>N/A</v>
      </c>
      <c r="Y706" s="1" t="str">
        <f>IF(Table1[[#This Row],[Std Read]]="","N/A",Table1[[#This Row],[Std Read]]+Table1[[#This Row],[Std Ucty]])</f>
        <v>N/A</v>
      </c>
      <c r="Z7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6" s="1" t="str">
        <f>IF(Table1[[#This Row],[Spec Type]]="","N/A",Table1[[#This Row],[Spec Type]])</f>
        <v>±</v>
      </c>
      <c r="AC706" s="1" t="str">
        <f>IF(Table1[[#This Row],[Spec Type2]]="N/A","N/A",IF(AND(Table1[[#This Row],[DUT Adj Read]]&gt;=Table1[[#This Row],[Low Tol]],Table1[[#This Row],[DUT Adj Read]]&lt;=Table1[[#This Row],[High Tol]]),"Pass","Fail"))</f>
        <v>Fail</v>
      </c>
      <c r="AD706" s="1" t="str">
        <f>IF(AND(Table1[[#This Row],[Spec Type2]]="N/A",Table1[[#This Row],[DUT Adj Read]]="N/A",Table1[[#This Row],[Std Adj Read]]="N/A"),"N/A",IF(Table1[[#This Row],[DUT Adj Read]]="N/A",IF(Table1[[#This Row],[Std Adj Read]]&gt;Table1[[#This Row],[Low Tol]],"Pass","Fail"),IF(Table1[[#This Row],[DUT Adj Read]]&gt;Table1[[#This Row],[Low Tol]],"Pass","Fail")))</f>
        <v>Pass</v>
      </c>
      <c r="AE706" s="1" t="str">
        <f>IF(AND(Table1[[#This Row],[Spec Type2]]="N/A",Table1[[#This Row],[DUT Adj Read]]="N/A",Table1[[#This Row],[Std Adj Read]]="N/A"),"N/A",IF(Table1[[#This Row],[DUT Adj Read]]="N/A",IF(Table1[[#This Row],[Std Adj Read]]&lt;Table1[[#This Row],[High Tol]],"Pass","Fail"),IF(Table1[[#This Row],[DUT Adj Read]]&lt;Table1[[#This Row],[High Tol]],"Pass","Fail")))</f>
        <v>Fail</v>
      </c>
      <c r="AF706" s="1" t="str">
        <f>IF(AND(Table1[[#This Row],[Spec Type2]]="N/A",Table1[[#This Row],[DUT Adj Read]]="N/A",Table1[[#This Row],[Std Adj Read]]="N/A"),"N/A",IF(Table1[[#This Row],[DUT Adj Read]]="N/A",IF(Table1[[#This Row],[Std Adj Read]]&gt;=Table1[[#This Row],[Low Tol]],"Pass","Fail"),IF(Table1[[#This Row],[DUT Adj Read]]&gt;=Table1[[#This Row],[Low Tol]],"Pass","Fail")))</f>
        <v>Pass</v>
      </c>
      <c r="AG706" s="1" t="str">
        <f>IF(AND(Table1[[#This Row],[Spec Type2]]="N/A",Table1[[#This Row],[DUT Adj Read]]="N/A",Table1[[#This Row],[Std Adj Read]]="N/A"),"N/A",IF(Table1[[#This Row],[DUT Adj Read]]="N/A",IF(Table1[[#This Row],[Std Adj Read]]&lt;=Table1[[#This Row],[High Tol]],"Pass","Fail"),IF(Table1[[#This Row],[DUT Adj Read]]&lt;=Table1[[#This Row],[High Tol]],"Pass","Fail")))</f>
        <v>Fail</v>
      </c>
      <c r="AH7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6" s="1" t="b">
        <v>0</v>
      </c>
      <c r="AN706" s="1" t="b">
        <v>0</v>
      </c>
      <c r="AO706" s="1" t="b">
        <v>0</v>
      </c>
    </row>
    <row r="707" spans="1:41" x14ac:dyDescent="0.25">
      <c r="A707" s="10"/>
      <c r="B707" s="10"/>
      <c r="C707" s="10"/>
      <c r="D707" s="10"/>
      <c r="E707" s="10"/>
      <c r="F707" s="10"/>
      <c r="G707" s="10"/>
      <c r="H707" s="10"/>
      <c r="I707" s="1" t="str">
        <f t="shared" si="30"/>
        <v/>
      </c>
      <c r="J707" s="1" t="s">
        <v>35</v>
      </c>
      <c r="K707" s="1" t="str">
        <f t="shared" si="31"/>
        <v/>
      </c>
      <c r="L707" s="1" t="str">
        <f t="shared" si="32"/>
        <v/>
      </c>
      <c r="M707" s="1">
        <f>IF(OR(Table1[[#This Row],[Std Nom]]="",Table1[[#This Row],[Std Read]]=""),0,Table1[[#This Row],[Std Nom]]-Table1[[#This Row],[Std Read]])</f>
        <v>0</v>
      </c>
      <c r="N707" s="1">
        <f>IF(Calculations!$F$5="ACCREDITED 17025 WITH UNCERTAINTIES",$N$10,0)</f>
        <v>0</v>
      </c>
      <c r="O707" s="1" t="str">
        <f>IFERROR(Table1[[#This Row],[Std Nom]]-(_xlfn.XLOOKUP(Table1[[#This Row],[Manufacturer]]&amp;" "&amp;Table1[[#This Row],[Model]],Table13[MFR &amp; MDL],Table13[Tolerance % CW ],"")/100*Table1[[#This Row],[Std Nom]]),"")</f>
        <v/>
      </c>
      <c r="P707" s="1" t="str">
        <f>IFERROR(Table1[[#This Row],[Std Nom]]+(_xlfn.XLOOKUP(Table1[[#This Row],[Manufacturer]]&amp;" "&amp;Table1[[#This Row],[Model]],Table13[MFR &amp; MDL],Table13[Tolerance % CW ],"")/100*Table1[[#This Row],[Std Nom]]),"")</f>
        <v/>
      </c>
      <c r="Q707" s="1" t="e">
        <f>Table1[[#This Row],[High Tol]]-Table1[[#This Row],[Low Tol]]</f>
        <v>#VALUE!</v>
      </c>
      <c r="R707" s="1">
        <f>2*Table1[[#This Row],[Std Error]]</f>
        <v>0</v>
      </c>
      <c r="S707" s="1" t="str">
        <f>IF(Table1[[#This Row],[High Tol]]="","N/A",IFERROR(ABS(Table1[[#This Row],[Tol Span]]/Table1[[#This Row],[Error Span]]),"N/A"))</f>
        <v>N/A</v>
      </c>
      <c r="T707" s="1" t="str">
        <f>IF(OR(Table1[[#This Row],[Low Tol]]="",Table1[[#This Row],[High Tol]]=""),"Needs Analysis",IF(Table1[[#This Row],[Ratio]]&gt;=4,"Not Significant",IF(Table1[[#This Row],[Ratio]]&gt;=2,"Semi-Significant","Significant")))</f>
        <v>Needs Analysis</v>
      </c>
      <c r="W707" s="1">
        <f>IF(Table1[[#This Row],[Cal Type]]&lt;&gt;"ACCREDITED 17025 WITH UNCERTAINTIES",0,"")</f>
        <v>0</v>
      </c>
      <c r="X707" s="1" t="str">
        <f>IF(Table1[[#This Row],[DUT Read]]="","N/A",Table1[[#This Row],[Std Error]]+Table1[[#This Row],[DUT Read]]+Table1[[#This Row],[DUT Ucty]])</f>
        <v>N/A</v>
      </c>
      <c r="Y707" s="1" t="str">
        <f>IF(Table1[[#This Row],[Std Read]]="","N/A",Table1[[#This Row],[Std Read]]+Table1[[#This Row],[Std Ucty]])</f>
        <v>N/A</v>
      </c>
      <c r="Z7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7" s="1" t="str">
        <f>IF(Table1[[#This Row],[Spec Type]]="","N/A",Table1[[#This Row],[Spec Type]])</f>
        <v>±</v>
      </c>
      <c r="AC707" s="1" t="str">
        <f>IF(Table1[[#This Row],[Spec Type2]]="N/A","N/A",IF(AND(Table1[[#This Row],[DUT Adj Read]]&gt;=Table1[[#This Row],[Low Tol]],Table1[[#This Row],[DUT Adj Read]]&lt;=Table1[[#This Row],[High Tol]]),"Pass","Fail"))</f>
        <v>Fail</v>
      </c>
      <c r="AD707" s="1" t="str">
        <f>IF(AND(Table1[[#This Row],[Spec Type2]]="N/A",Table1[[#This Row],[DUT Adj Read]]="N/A",Table1[[#This Row],[Std Adj Read]]="N/A"),"N/A",IF(Table1[[#This Row],[DUT Adj Read]]="N/A",IF(Table1[[#This Row],[Std Adj Read]]&gt;Table1[[#This Row],[Low Tol]],"Pass","Fail"),IF(Table1[[#This Row],[DUT Adj Read]]&gt;Table1[[#This Row],[Low Tol]],"Pass","Fail")))</f>
        <v>Pass</v>
      </c>
      <c r="AE707" s="1" t="str">
        <f>IF(AND(Table1[[#This Row],[Spec Type2]]="N/A",Table1[[#This Row],[DUT Adj Read]]="N/A",Table1[[#This Row],[Std Adj Read]]="N/A"),"N/A",IF(Table1[[#This Row],[DUT Adj Read]]="N/A",IF(Table1[[#This Row],[Std Adj Read]]&lt;Table1[[#This Row],[High Tol]],"Pass","Fail"),IF(Table1[[#This Row],[DUT Adj Read]]&lt;Table1[[#This Row],[High Tol]],"Pass","Fail")))</f>
        <v>Fail</v>
      </c>
      <c r="AF707" s="1" t="str">
        <f>IF(AND(Table1[[#This Row],[Spec Type2]]="N/A",Table1[[#This Row],[DUT Adj Read]]="N/A",Table1[[#This Row],[Std Adj Read]]="N/A"),"N/A",IF(Table1[[#This Row],[DUT Adj Read]]="N/A",IF(Table1[[#This Row],[Std Adj Read]]&gt;=Table1[[#This Row],[Low Tol]],"Pass","Fail"),IF(Table1[[#This Row],[DUT Adj Read]]&gt;=Table1[[#This Row],[Low Tol]],"Pass","Fail")))</f>
        <v>Pass</v>
      </c>
      <c r="AG707" s="1" t="str">
        <f>IF(AND(Table1[[#This Row],[Spec Type2]]="N/A",Table1[[#This Row],[DUT Adj Read]]="N/A",Table1[[#This Row],[Std Adj Read]]="N/A"),"N/A",IF(Table1[[#This Row],[DUT Adj Read]]="N/A",IF(Table1[[#This Row],[Std Adj Read]]&lt;=Table1[[#This Row],[High Tol]],"Pass","Fail"),IF(Table1[[#This Row],[DUT Adj Read]]&lt;=Table1[[#This Row],[High Tol]],"Pass","Fail")))</f>
        <v>Fail</v>
      </c>
      <c r="AH7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7" s="1" t="b">
        <v>0</v>
      </c>
      <c r="AN707" s="1" t="b">
        <v>0</v>
      </c>
      <c r="AO707" s="1" t="b">
        <v>0</v>
      </c>
    </row>
    <row r="708" spans="1:41" x14ac:dyDescent="0.25">
      <c r="A708" s="10"/>
      <c r="B708" s="10"/>
      <c r="C708" s="10"/>
      <c r="D708" s="10"/>
      <c r="E708" s="10"/>
      <c r="F708" s="10"/>
      <c r="G708" s="10"/>
      <c r="H708" s="10"/>
      <c r="I708" s="1" t="str">
        <f t="shared" si="30"/>
        <v/>
      </c>
      <c r="J708" s="1" t="s">
        <v>35</v>
      </c>
      <c r="K708" s="1" t="str">
        <f t="shared" si="31"/>
        <v/>
      </c>
      <c r="L708" s="1" t="str">
        <f t="shared" si="32"/>
        <v/>
      </c>
      <c r="M708" s="1">
        <f>IF(OR(Table1[[#This Row],[Std Nom]]="",Table1[[#This Row],[Std Read]]=""),0,Table1[[#This Row],[Std Nom]]-Table1[[#This Row],[Std Read]])</f>
        <v>0</v>
      </c>
      <c r="N708" s="1">
        <f>IF(Calculations!$F$5="ACCREDITED 17025 WITH UNCERTAINTIES",$N$10,0)</f>
        <v>0</v>
      </c>
      <c r="O708" s="1" t="str">
        <f>IFERROR(Table1[[#This Row],[Std Nom]]-(_xlfn.XLOOKUP(Table1[[#This Row],[Manufacturer]]&amp;" "&amp;Table1[[#This Row],[Model]],Table13[MFR &amp; MDL],Table13[Tolerance % CW ],"")/100*Table1[[#This Row],[Std Nom]]),"")</f>
        <v/>
      </c>
      <c r="P708" s="1" t="str">
        <f>IFERROR(Table1[[#This Row],[Std Nom]]+(_xlfn.XLOOKUP(Table1[[#This Row],[Manufacturer]]&amp;" "&amp;Table1[[#This Row],[Model]],Table13[MFR &amp; MDL],Table13[Tolerance % CW ],"")/100*Table1[[#This Row],[Std Nom]]),"")</f>
        <v/>
      </c>
      <c r="Q708" s="1" t="e">
        <f>Table1[[#This Row],[High Tol]]-Table1[[#This Row],[Low Tol]]</f>
        <v>#VALUE!</v>
      </c>
      <c r="R708" s="1">
        <f>2*Table1[[#This Row],[Std Error]]</f>
        <v>0</v>
      </c>
      <c r="S708" s="1" t="str">
        <f>IF(Table1[[#This Row],[High Tol]]="","N/A",IFERROR(ABS(Table1[[#This Row],[Tol Span]]/Table1[[#This Row],[Error Span]]),"N/A"))</f>
        <v>N/A</v>
      </c>
      <c r="T708" s="1" t="str">
        <f>IF(OR(Table1[[#This Row],[Low Tol]]="",Table1[[#This Row],[High Tol]]=""),"Needs Analysis",IF(Table1[[#This Row],[Ratio]]&gt;=4,"Not Significant",IF(Table1[[#This Row],[Ratio]]&gt;=2,"Semi-Significant","Significant")))</f>
        <v>Needs Analysis</v>
      </c>
      <c r="W708" s="1">
        <f>IF(Table1[[#This Row],[Cal Type]]&lt;&gt;"ACCREDITED 17025 WITH UNCERTAINTIES",0,"")</f>
        <v>0</v>
      </c>
      <c r="X708" s="1" t="str">
        <f>IF(Table1[[#This Row],[DUT Read]]="","N/A",Table1[[#This Row],[Std Error]]+Table1[[#This Row],[DUT Read]]+Table1[[#This Row],[DUT Ucty]])</f>
        <v>N/A</v>
      </c>
      <c r="Y708" s="1" t="str">
        <f>IF(Table1[[#This Row],[Std Read]]="","N/A",Table1[[#This Row],[Std Read]]+Table1[[#This Row],[Std Ucty]])</f>
        <v>N/A</v>
      </c>
      <c r="Z7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8" s="1" t="str">
        <f>IF(Table1[[#This Row],[Spec Type]]="","N/A",Table1[[#This Row],[Spec Type]])</f>
        <v>±</v>
      </c>
      <c r="AC708" s="1" t="str">
        <f>IF(Table1[[#This Row],[Spec Type2]]="N/A","N/A",IF(AND(Table1[[#This Row],[DUT Adj Read]]&gt;=Table1[[#This Row],[Low Tol]],Table1[[#This Row],[DUT Adj Read]]&lt;=Table1[[#This Row],[High Tol]]),"Pass","Fail"))</f>
        <v>Fail</v>
      </c>
      <c r="AD708" s="1" t="str">
        <f>IF(AND(Table1[[#This Row],[Spec Type2]]="N/A",Table1[[#This Row],[DUT Adj Read]]="N/A",Table1[[#This Row],[Std Adj Read]]="N/A"),"N/A",IF(Table1[[#This Row],[DUT Adj Read]]="N/A",IF(Table1[[#This Row],[Std Adj Read]]&gt;Table1[[#This Row],[Low Tol]],"Pass","Fail"),IF(Table1[[#This Row],[DUT Adj Read]]&gt;Table1[[#This Row],[Low Tol]],"Pass","Fail")))</f>
        <v>Pass</v>
      </c>
      <c r="AE708" s="1" t="str">
        <f>IF(AND(Table1[[#This Row],[Spec Type2]]="N/A",Table1[[#This Row],[DUT Adj Read]]="N/A",Table1[[#This Row],[Std Adj Read]]="N/A"),"N/A",IF(Table1[[#This Row],[DUT Adj Read]]="N/A",IF(Table1[[#This Row],[Std Adj Read]]&lt;Table1[[#This Row],[High Tol]],"Pass","Fail"),IF(Table1[[#This Row],[DUT Adj Read]]&lt;Table1[[#This Row],[High Tol]],"Pass","Fail")))</f>
        <v>Fail</v>
      </c>
      <c r="AF708" s="1" t="str">
        <f>IF(AND(Table1[[#This Row],[Spec Type2]]="N/A",Table1[[#This Row],[DUT Adj Read]]="N/A",Table1[[#This Row],[Std Adj Read]]="N/A"),"N/A",IF(Table1[[#This Row],[DUT Adj Read]]="N/A",IF(Table1[[#This Row],[Std Adj Read]]&gt;=Table1[[#This Row],[Low Tol]],"Pass","Fail"),IF(Table1[[#This Row],[DUT Adj Read]]&gt;=Table1[[#This Row],[Low Tol]],"Pass","Fail")))</f>
        <v>Pass</v>
      </c>
      <c r="AG708" s="1" t="str">
        <f>IF(AND(Table1[[#This Row],[Spec Type2]]="N/A",Table1[[#This Row],[DUT Adj Read]]="N/A",Table1[[#This Row],[Std Adj Read]]="N/A"),"N/A",IF(Table1[[#This Row],[DUT Adj Read]]="N/A",IF(Table1[[#This Row],[Std Adj Read]]&lt;=Table1[[#This Row],[High Tol]],"Pass","Fail"),IF(Table1[[#This Row],[DUT Adj Read]]&lt;=Table1[[#This Row],[High Tol]],"Pass","Fail")))</f>
        <v>Fail</v>
      </c>
      <c r="AH7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8" s="1" t="b">
        <v>0</v>
      </c>
      <c r="AN708" s="1" t="b">
        <v>0</v>
      </c>
      <c r="AO708" s="1" t="b">
        <v>0</v>
      </c>
    </row>
    <row r="709" spans="1:41" x14ac:dyDescent="0.25">
      <c r="A709" s="10"/>
      <c r="B709" s="10"/>
      <c r="C709" s="10"/>
      <c r="D709" s="10"/>
      <c r="E709" s="10"/>
      <c r="F709" s="10"/>
      <c r="G709" s="10"/>
      <c r="H709" s="10"/>
      <c r="I709" s="1" t="str">
        <f t="shared" si="30"/>
        <v/>
      </c>
      <c r="J709" s="1" t="s">
        <v>35</v>
      </c>
      <c r="K709" s="1" t="str">
        <f t="shared" si="31"/>
        <v/>
      </c>
      <c r="L709" s="1" t="str">
        <f t="shared" si="32"/>
        <v/>
      </c>
      <c r="M709" s="1">
        <f>IF(OR(Table1[[#This Row],[Std Nom]]="",Table1[[#This Row],[Std Read]]=""),0,Table1[[#This Row],[Std Nom]]-Table1[[#This Row],[Std Read]])</f>
        <v>0</v>
      </c>
      <c r="N709" s="1">
        <f>IF(Calculations!$F$5="ACCREDITED 17025 WITH UNCERTAINTIES",$N$10,0)</f>
        <v>0</v>
      </c>
      <c r="O709" s="1" t="str">
        <f>IFERROR(Table1[[#This Row],[Std Nom]]-(_xlfn.XLOOKUP(Table1[[#This Row],[Manufacturer]]&amp;" "&amp;Table1[[#This Row],[Model]],Table13[MFR &amp; MDL],Table13[Tolerance % CW ],"")/100*Table1[[#This Row],[Std Nom]]),"")</f>
        <v/>
      </c>
      <c r="P709" s="1" t="str">
        <f>IFERROR(Table1[[#This Row],[Std Nom]]+(_xlfn.XLOOKUP(Table1[[#This Row],[Manufacturer]]&amp;" "&amp;Table1[[#This Row],[Model]],Table13[MFR &amp; MDL],Table13[Tolerance % CW ],"")/100*Table1[[#This Row],[Std Nom]]),"")</f>
        <v/>
      </c>
      <c r="Q709" s="1" t="e">
        <f>Table1[[#This Row],[High Tol]]-Table1[[#This Row],[Low Tol]]</f>
        <v>#VALUE!</v>
      </c>
      <c r="R709" s="1">
        <f>2*Table1[[#This Row],[Std Error]]</f>
        <v>0</v>
      </c>
      <c r="S709" s="1" t="str">
        <f>IF(Table1[[#This Row],[High Tol]]="","N/A",IFERROR(ABS(Table1[[#This Row],[Tol Span]]/Table1[[#This Row],[Error Span]]),"N/A"))</f>
        <v>N/A</v>
      </c>
      <c r="T709" s="1" t="str">
        <f>IF(OR(Table1[[#This Row],[Low Tol]]="",Table1[[#This Row],[High Tol]]=""),"Needs Analysis",IF(Table1[[#This Row],[Ratio]]&gt;=4,"Not Significant",IF(Table1[[#This Row],[Ratio]]&gt;=2,"Semi-Significant","Significant")))</f>
        <v>Needs Analysis</v>
      </c>
      <c r="W709" s="1">
        <f>IF(Table1[[#This Row],[Cal Type]]&lt;&gt;"ACCREDITED 17025 WITH UNCERTAINTIES",0,"")</f>
        <v>0</v>
      </c>
      <c r="X709" s="1" t="str">
        <f>IF(Table1[[#This Row],[DUT Read]]="","N/A",Table1[[#This Row],[Std Error]]+Table1[[#This Row],[DUT Read]]+Table1[[#This Row],[DUT Ucty]])</f>
        <v>N/A</v>
      </c>
      <c r="Y709" s="1" t="str">
        <f>IF(Table1[[#This Row],[Std Read]]="","N/A",Table1[[#This Row],[Std Read]]+Table1[[#This Row],[Std Ucty]])</f>
        <v>N/A</v>
      </c>
      <c r="Z7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9" s="1" t="str">
        <f>IF(Table1[[#This Row],[Spec Type]]="","N/A",Table1[[#This Row],[Spec Type]])</f>
        <v>±</v>
      </c>
      <c r="AC709" s="1" t="str">
        <f>IF(Table1[[#This Row],[Spec Type2]]="N/A","N/A",IF(AND(Table1[[#This Row],[DUT Adj Read]]&gt;=Table1[[#This Row],[Low Tol]],Table1[[#This Row],[DUT Adj Read]]&lt;=Table1[[#This Row],[High Tol]]),"Pass","Fail"))</f>
        <v>Fail</v>
      </c>
      <c r="AD709" s="1" t="str">
        <f>IF(AND(Table1[[#This Row],[Spec Type2]]="N/A",Table1[[#This Row],[DUT Adj Read]]="N/A",Table1[[#This Row],[Std Adj Read]]="N/A"),"N/A",IF(Table1[[#This Row],[DUT Adj Read]]="N/A",IF(Table1[[#This Row],[Std Adj Read]]&gt;Table1[[#This Row],[Low Tol]],"Pass","Fail"),IF(Table1[[#This Row],[DUT Adj Read]]&gt;Table1[[#This Row],[Low Tol]],"Pass","Fail")))</f>
        <v>Pass</v>
      </c>
      <c r="AE709" s="1" t="str">
        <f>IF(AND(Table1[[#This Row],[Spec Type2]]="N/A",Table1[[#This Row],[DUT Adj Read]]="N/A",Table1[[#This Row],[Std Adj Read]]="N/A"),"N/A",IF(Table1[[#This Row],[DUT Adj Read]]="N/A",IF(Table1[[#This Row],[Std Adj Read]]&lt;Table1[[#This Row],[High Tol]],"Pass","Fail"),IF(Table1[[#This Row],[DUT Adj Read]]&lt;Table1[[#This Row],[High Tol]],"Pass","Fail")))</f>
        <v>Fail</v>
      </c>
      <c r="AF709" s="1" t="str">
        <f>IF(AND(Table1[[#This Row],[Spec Type2]]="N/A",Table1[[#This Row],[DUT Adj Read]]="N/A",Table1[[#This Row],[Std Adj Read]]="N/A"),"N/A",IF(Table1[[#This Row],[DUT Adj Read]]="N/A",IF(Table1[[#This Row],[Std Adj Read]]&gt;=Table1[[#This Row],[Low Tol]],"Pass","Fail"),IF(Table1[[#This Row],[DUT Adj Read]]&gt;=Table1[[#This Row],[Low Tol]],"Pass","Fail")))</f>
        <v>Pass</v>
      </c>
      <c r="AG709" s="1" t="str">
        <f>IF(AND(Table1[[#This Row],[Spec Type2]]="N/A",Table1[[#This Row],[DUT Adj Read]]="N/A",Table1[[#This Row],[Std Adj Read]]="N/A"),"N/A",IF(Table1[[#This Row],[DUT Adj Read]]="N/A",IF(Table1[[#This Row],[Std Adj Read]]&lt;=Table1[[#This Row],[High Tol]],"Pass","Fail"),IF(Table1[[#This Row],[DUT Adj Read]]&lt;=Table1[[#This Row],[High Tol]],"Pass","Fail")))</f>
        <v>Fail</v>
      </c>
      <c r="AH7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9" s="1" t="b">
        <v>0</v>
      </c>
      <c r="AN709" s="1" t="b">
        <v>0</v>
      </c>
      <c r="AO709" s="1" t="b">
        <v>0</v>
      </c>
    </row>
    <row r="710" spans="1:41" x14ac:dyDescent="0.25">
      <c r="A710" s="10"/>
      <c r="B710" s="10"/>
      <c r="C710" s="10"/>
      <c r="D710" s="10"/>
      <c r="E710" s="10"/>
      <c r="F710" s="10"/>
      <c r="G710" s="10"/>
      <c r="H710" s="10"/>
      <c r="I710" s="1" t="str">
        <f t="shared" si="30"/>
        <v/>
      </c>
      <c r="J710" s="1" t="s">
        <v>35</v>
      </c>
      <c r="K710" s="1" t="str">
        <f t="shared" si="31"/>
        <v/>
      </c>
      <c r="L710" s="1" t="str">
        <f t="shared" si="32"/>
        <v/>
      </c>
      <c r="M710" s="1">
        <f>IF(OR(Table1[[#This Row],[Std Nom]]="",Table1[[#This Row],[Std Read]]=""),0,Table1[[#This Row],[Std Nom]]-Table1[[#This Row],[Std Read]])</f>
        <v>0</v>
      </c>
      <c r="N710" s="1">
        <f>IF(Calculations!$F$5="ACCREDITED 17025 WITH UNCERTAINTIES",$N$10,0)</f>
        <v>0</v>
      </c>
      <c r="O710" s="1" t="str">
        <f>IFERROR(Table1[[#This Row],[Std Nom]]-(_xlfn.XLOOKUP(Table1[[#This Row],[Manufacturer]]&amp;" "&amp;Table1[[#This Row],[Model]],Table13[MFR &amp; MDL],Table13[Tolerance % CW ],"")/100*Table1[[#This Row],[Std Nom]]),"")</f>
        <v/>
      </c>
      <c r="P710" s="1" t="str">
        <f>IFERROR(Table1[[#This Row],[Std Nom]]+(_xlfn.XLOOKUP(Table1[[#This Row],[Manufacturer]]&amp;" "&amp;Table1[[#This Row],[Model]],Table13[MFR &amp; MDL],Table13[Tolerance % CW ],"")/100*Table1[[#This Row],[Std Nom]]),"")</f>
        <v/>
      </c>
      <c r="Q710" s="1" t="e">
        <f>Table1[[#This Row],[High Tol]]-Table1[[#This Row],[Low Tol]]</f>
        <v>#VALUE!</v>
      </c>
      <c r="R710" s="1">
        <f>2*Table1[[#This Row],[Std Error]]</f>
        <v>0</v>
      </c>
      <c r="S710" s="1" t="str">
        <f>IF(Table1[[#This Row],[High Tol]]="","N/A",IFERROR(ABS(Table1[[#This Row],[Tol Span]]/Table1[[#This Row],[Error Span]]),"N/A"))</f>
        <v>N/A</v>
      </c>
      <c r="T710" s="1" t="str">
        <f>IF(OR(Table1[[#This Row],[Low Tol]]="",Table1[[#This Row],[High Tol]]=""),"Needs Analysis",IF(Table1[[#This Row],[Ratio]]&gt;=4,"Not Significant",IF(Table1[[#This Row],[Ratio]]&gt;=2,"Semi-Significant","Significant")))</f>
        <v>Needs Analysis</v>
      </c>
      <c r="W710" s="1">
        <f>IF(Table1[[#This Row],[Cal Type]]&lt;&gt;"ACCREDITED 17025 WITH UNCERTAINTIES",0,"")</f>
        <v>0</v>
      </c>
      <c r="X710" s="1" t="str">
        <f>IF(Table1[[#This Row],[DUT Read]]="","N/A",Table1[[#This Row],[Std Error]]+Table1[[#This Row],[DUT Read]]+Table1[[#This Row],[DUT Ucty]])</f>
        <v>N/A</v>
      </c>
      <c r="Y710" s="1" t="str">
        <f>IF(Table1[[#This Row],[Std Read]]="","N/A",Table1[[#This Row],[Std Read]]+Table1[[#This Row],[Std Ucty]])</f>
        <v>N/A</v>
      </c>
      <c r="Z7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0" s="1" t="str">
        <f>IF(Table1[[#This Row],[Spec Type]]="","N/A",Table1[[#This Row],[Spec Type]])</f>
        <v>±</v>
      </c>
      <c r="AC710" s="1" t="str">
        <f>IF(Table1[[#This Row],[Spec Type2]]="N/A","N/A",IF(AND(Table1[[#This Row],[DUT Adj Read]]&gt;=Table1[[#This Row],[Low Tol]],Table1[[#This Row],[DUT Adj Read]]&lt;=Table1[[#This Row],[High Tol]]),"Pass","Fail"))</f>
        <v>Fail</v>
      </c>
      <c r="AD710" s="1" t="str">
        <f>IF(AND(Table1[[#This Row],[Spec Type2]]="N/A",Table1[[#This Row],[DUT Adj Read]]="N/A",Table1[[#This Row],[Std Adj Read]]="N/A"),"N/A",IF(Table1[[#This Row],[DUT Adj Read]]="N/A",IF(Table1[[#This Row],[Std Adj Read]]&gt;Table1[[#This Row],[Low Tol]],"Pass","Fail"),IF(Table1[[#This Row],[DUT Adj Read]]&gt;Table1[[#This Row],[Low Tol]],"Pass","Fail")))</f>
        <v>Pass</v>
      </c>
      <c r="AE710" s="1" t="str">
        <f>IF(AND(Table1[[#This Row],[Spec Type2]]="N/A",Table1[[#This Row],[DUT Adj Read]]="N/A",Table1[[#This Row],[Std Adj Read]]="N/A"),"N/A",IF(Table1[[#This Row],[DUT Adj Read]]="N/A",IF(Table1[[#This Row],[Std Adj Read]]&lt;Table1[[#This Row],[High Tol]],"Pass","Fail"),IF(Table1[[#This Row],[DUT Adj Read]]&lt;Table1[[#This Row],[High Tol]],"Pass","Fail")))</f>
        <v>Fail</v>
      </c>
      <c r="AF710" s="1" t="str">
        <f>IF(AND(Table1[[#This Row],[Spec Type2]]="N/A",Table1[[#This Row],[DUT Adj Read]]="N/A",Table1[[#This Row],[Std Adj Read]]="N/A"),"N/A",IF(Table1[[#This Row],[DUT Adj Read]]="N/A",IF(Table1[[#This Row],[Std Adj Read]]&gt;=Table1[[#This Row],[Low Tol]],"Pass","Fail"),IF(Table1[[#This Row],[DUT Adj Read]]&gt;=Table1[[#This Row],[Low Tol]],"Pass","Fail")))</f>
        <v>Pass</v>
      </c>
      <c r="AG710" s="1" t="str">
        <f>IF(AND(Table1[[#This Row],[Spec Type2]]="N/A",Table1[[#This Row],[DUT Adj Read]]="N/A",Table1[[#This Row],[Std Adj Read]]="N/A"),"N/A",IF(Table1[[#This Row],[DUT Adj Read]]="N/A",IF(Table1[[#This Row],[Std Adj Read]]&lt;=Table1[[#This Row],[High Tol]],"Pass","Fail"),IF(Table1[[#This Row],[DUT Adj Read]]&lt;=Table1[[#This Row],[High Tol]],"Pass","Fail")))</f>
        <v>Fail</v>
      </c>
      <c r="AH7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0" s="1" t="b">
        <v>0</v>
      </c>
      <c r="AN710" s="1" t="b">
        <v>0</v>
      </c>
      <c r="AO710" s="1" t="b">
        <v>0</v>
      </c>
    </row>
    <row r="711" spans="1:41" x14ac:dyDescent="0.25">
      <c r="A711" s="10"/>
      <c r="B711" s="10"/>
      <c r="C711" s="10"/>
      <c r="D711" s="10"/>
      <c r="E711" s="10"/>
      <c r="F711" s="10"/>
      <c r="G711" s="10"/>
      <c r="H711" s="10"/>
      <c r="I711" s="1" t="str">
        <f t="shared" si="30"/>
        <v/>
      </c>
      <c r="J711" s="1" t="s">
        <v>35</v>
      </c>
      <c r="K711" s="1" t="str">
        <f t="shared" si="31"/>
        <v/>
      </c>
      <c r="L711" s="1" t="str">
        <f t="shared" si="32"/>
        <v/>
      </c>
      <c r="M711" s="1">
        <f>IF(OR(Table1[[#This Row],[Std Nom]]="",Table1[[#This Row],[Std Read]]=""),0,Table1[[#This Row],[Std Nom]]-Table1[[#This Row],[Std Read]])</f>
        <v>0</v>
      </c>
      <c r="N711" s="1">
        <f>IF(Calculations!$F$5="ACCREDITED 17025 WITH UNCERTAINTIES",$N$10,0)</f>
        <v>0</v>
      </c>
      <c r="O711" s="1" t="str">
        <f>IFERROR(Table1[[#This Row],[Std Nom]]-(_xlfn.XLOOKUP(Table1[[#This Row],[Manufacturer]]&amp;" "&amp;Table1[[#This Row],[Model]],Table13[MFR &amp; MDL],Table13[Tolerance % CW ],"")/100*Table1[[#This Row],[Std Nom]]),"")</f>
        <v/>
      </c>
      <c r="P711" s="1" t="str">
        <f>IFERROR(Table1[[#This Row],[Std Nom]]+(_xlfn.XLOOKUP(Table1[[#This Row],[Manufacturer]]&amp;" "&amp;Table1[[#This Row],[Model]],Table13[MFR &amp; MDL],Table13[Tolerance % CW ],"")/100*Table1[[#This Row],[Std Nom]]),"")</f>
        <v/>
      </c>
      <c r="Q711" s="1" t="e">
        <f>Table1[[#This Row],[High Tol]]-Table1[[#This Row],[Low Tol]]</f>
        <v>#VALUE!</v>
      </c>
      <c r="R711" s="1">
        <f>2*Table1[[#This Row],[Std Error]]</f>
        <v>0</v>
      </c>
      <c r="S711" s="1" t="str">
        <f>IF(Table1[[#This Row],[High Tol]]="","N/A",IFERROR(ABS(Table1[[#This Row],[Tol Span]]/Table1[[#This Row],[Error Span]]),"N/A"))</f>
        <v>N/A</v>
      </c>
      <c r="T711" s="1" t="str">
        <f>IF(OR(Table1[[#This Row],[Low Tol]]="",Table1[[#This Row],[High Tol]]=""),"Needs Analysis",IF(Table1[[#This Row],[Ratio]]&gt;=4,"Not Significant",IF(Table1[[#This Row],[Ratio]]&gt;=2,"Semi-Significant","Significant")))</f>
        <v>Needs Analysis</v>
      </c>
      <c r="W711" s="1">
        <f>IF(Table1[[#This Row],[Cal Type]]&lt;&gt;"ACCREDITED 17025 WITH UNCERTAINTIES",0,"")</f>
        <v>0</v>
      </c>
      <c r="X711" s="1" t="str">
        <f>IF(Table1[[#This Row],[DUT Read]]="","N/A",Table1[[#This Row],[Std Error]]+Table1[[#This Row],[DUT Read]]+Table1[[#This Row],[DUT Ucty]])</f>
        <v>N/A</v>
      </c>
      <c r="Y711" s="1" t="str">
        <f>IF(Table1[[#This Row],[Std Read]]="","N/A",Table1[[#This Row],[Std Read]]+Table1[[#This Row],[Std Ucty]])</f>
        <v>N/A</v>
      </c>
      <c r="Z7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1" s="1" t="str">
        <f>IF(Table1[[#This Row],[Spec Type]]="","N/A",Table1[[#This Row],[Spec Type]])</f>
        <v>±</v>
      </c>
      <c r="AC711" s="1" t="str">
        <f>IF(Table1[[#This Row],[Spec Type2]]="N/A","N/A",IF(AND(Table1[[#This Row],[DUT Adj Read]]&gt;=Table1[[#This Row],[Low Tol]],Table1[[#This Row],[DUT Adj Read]]&lt;=Table1[[#This Row],[High Tol]]),"Pass","Fail"))</f>
        <v>Fail</v>
      </c>
      <c r="AD711" s="1" t="str">
        <f>IF(AND(Table1[[#This Row],[Spec Type2]]="N/A",Table1[[#This Row],[DUT Adj Read]]="N/A",Table1[[#This Row],[Std Adj Read]]="N/A"),"N/A",IF(Table1[[#This Row],[DUT Adj Read]]="N/A",IF(Table1[[#This Row],[Std Adj Read]]&gt;Table1[[#This Row],[Low Tol]],"Pass","Fail"),IF(Table1[[#This Row],[DUT Adj Read]]&gt;Table1[[#This Row],[Low Tol]],"Pass","Fail")))</f>
        <v>Pass</v>
      </c>
      <c r="AE711" s="1" t="str">
        <f>IF(AND(Table1[[#This Row],[Spec Type2]]="N/A",Table1[[#This Row],[DUT Adj Read]]="N/A",Table1[[#This Row],[Std Adj Read]]="N/A"),"N/A",IF(Table1[[#This Row],[DUT Adj Read]]="N/A",IF(Table1[[#This Row],[Std Adj Read]]&lt;Table1[[#This Row],[High Tol]],"Pass","Fail"),IF(Table1[[#This Row],[DUT Adj Read]]&lt;Table1[[#This Row],[High Tol]],"Pass","Fail")))</f>
        <v>Fail</v>
      </c>
      <c r="AF711" s="1" t="str">
        <f>IF(AND(Table1[[#This Row],[Spec Type2]]="N/A",Table1[[#This Row],[DUT Adj Read]]="N/A",Table1[[#This Row],[Std Adj Read]]="N/A"),"N/A",IF(Table1[[#This Row],[DUT Adj Read]]="N/A",IF(Table1[[#This Row],[Std Adj Read]]&gt;=Table1[[#This Row],[Low Tol]],"Pass","Fail"),IF(Table1[[#This Row],[DUT Adj Read]]&gt;=Table1[[#This Row],[Low Tol]],"Pass","Fail")))</f>
        <v>Pass</v>
      </c>
      <c r="AG711" s="1" t="str">
        <f>IF(AND(Table1[[#This Row],[Spec Type2]]="N/A",Table1[[#This Row],[DUT Adj Read]]="N/A",Table1[[#This Row],[Std Adj Read]]="N/A"),"N/A",IF(Table1[[#This Row],[DUT Adj Read]]="N/A",IF(Table1[[#This Row],[Std Adj Read]]&lt;=Table1[[#This Row],[High Tol]],"Pass","Fail"),IF(Table1[[#This Row],[DUT Adj Read]]&lt;=Table1[[#This Row],[High Tol]],"Pass","Fail")))</f>
        <v>Fail</v>
      </c>
      <c r="AH7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1" s="1" t="b">
        <v>0</v>
      </c>
      <c r="AN711" s="1" t="b">
        <v>0</v>
      </c>
      <c r="AO711" s="1" t="b">
        <v>0</v>
      </c>
    </row>
    <row r="712" spans="1:41" x14ac:dyDescent="0.25">
      <c r="A712" s="10"/>
      <c r="B712" s="10"/>
      <c r="C712" s="10"/>
      <c r="D712" s="10"/>
      <c r="E712" s="10"/>
      <c r="F712" s="10"/>
      <c r="G712" s="10"/>
      <c r="H712" s="10"/>
      <c r="I712" s="1" t="str">
        <f t="shared" si="30"/>
        <v/>
      </c>
      <c r="J712" s="1" t="s">
        <v>35</v>
      </c>
      <c r="K712" s="1" t="str">
        <f t="shared" si="31"/>
        <v/>
      </c>
      <c r="L712" s="1" t="str">
        <f t="shared" si="32"/>
        <v/>
      </c>
      <c r="M712" s="1">
        <f>IF(OR(Table1[[#This Row],[Std Nom]]="",Table1[[#This Row],[Std Read]]=""),0,Table1[[#This Row],[Std Nom]]-Table1[[#This Row],[Std Read]])</f>
        <v>0</v>
      </c>
      <c r="N712" s="1">
        <f>IF(Calculations!$F$5="ACCREDITED 17025 WITH UNCERTAINTIES",$N$10,0)</f>
        <v>0</v>
      </c>
      <c r="O712" s="1" t="str">
        <f>IFERROR(Table1[[#This Row],[Std Nom]]-(_xlfn.XLOOKUP(Table1[[#This Row],[Manufacturer]]&amp;" "&amp;Table1[[#This Row],[Model]],Table13[MFR &amp; MDL],Table13[Tolerance % CW ],"")/100*Table1[[#This Row],[Std Nom]]),"")</f>
        <v/>
      </c>
      <c r="P712" s="1" t="str">
        <f>IFERROR(Table1[[#This Row],[Std Nom]]+(_xlfn.XLOOKUP(Table1[[#This Row],[Manufacturer]]&amp;" "&amp;Table1[[#This Row],[Model]],Table13[MFR &amp; MDL],Table13[Tolerance % CW ],"")/100*Table1[[#This Row],[Std Nom]]),"")</f>
        <v/>
      </c>
      <c r="Q712" s="1" t="e">
        <f>Table1[[#This Row],[High Tol]]-Table1[[#This Row],[Low Tol]]</f>
        <v>#VALUE!</v>
      </c>
      <c r="R712" s="1">
        <f>2*Table1[[#This Row],[Std Error]]</f>
        <v>0</v>
      </c>
      <c r="S712" s="1" t="str">
        <f>IF(Table1[[#This Row],[High Tol]]="","N/A",IFERROR(ABS(Table1[[#This Row],[Tol Span]]/Table1[[#This Row],[Error Span]]),"N/A"))</f>
        <v>N/A</v>
      </c>
      <c r="T712" s="1" t="str">
        <f>IF(OR(Table1[[#This Row],[Low Tol]]="",Table1[[#This Row],[High Tol]]=""),"Needs Analysis",IF(Table1[[#This Row],[Ratio]]&gt;=4,"Not Significant",IF(Table1[[#This Row],[Ratio]]&gt;=2,"Semi-Significant","Significant")))</f>
        <v>Needs Analysis</v>
      </c>
      <c r="W712" s="1">
        <f>IF(Table1[[#This Row],[Cal Type]]&lt;&gt;"ACCREDITED 17025 WITH UNCERTAINTIES",0,"")</f>
        <v>0</v>
      </c>
      <c r="X712" s="1" t="str">
        <f>IF(Table1[[#This Row],[DUT Read]]="","N/A",Table1[[#This Row],[Std Error]]+Table1[[#This Row],[DUT Read]]+Table1[[#This Row],[DUT Ucty]])</f>
        <v>N/A</v>
      </c>
      <c r="Y712" s="1" t="str">
        <f>IF(Table1[[#This Row],[Std Read]]="","N/A",Table1[[#This Row],[Std Read]]+Table1[[#This Row],[Std Ucty]])</f>
        <v>N/A</v>
      </c>
      <c r="Z7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2" s="1" t="str">
        <f>IF(Table1[[#This Row],[Spec Type]]="","N/A",Table1[[#This Row],[Spec Type]])</f>
        <v>±</v>
      </c>
      <c r="AC712" s="1" t="str">
        <f>IF(Table1[[#This Row],[Spec Type2]]="N/A","N/A",IF(AND(Table1[[#This Row],[DUT Adj Read]]&gt;=Table1[[#This Row],[Low Tol]],Table1[[#This Row],[DUT Adj Read]]&lt;=Table1[[#This Row],[High Tol]]),"Pass","Fail"))</f>
        <v>Fail</v>
      </c>
      <c r="AD712" s="1" t="str">
        <f>IF(AND(Table1[[#This Row],[Spec Type2]]="N/A",Table1[[#This Row],[DUT Adj Read]]="N/A",Table1[[#This Row],[Std Adj Read]]="N/A"),"N/A",IF(Table1[[#This Row],[DUT Adj Read]]="N/A",IF(Table1[[#This Row],[Std Adj Read]]&gt;Table1[[#This Row],[Low Tol]],"Pass","Fail"),IF(Table1[[#This Row],[DUT Adj Read]]&gt;Table1[[#This Row],[Low Tol]],"Pass","Fail")))</f>
        <v>Pass</v>
      </c>
      <c r="AE712" s="1" t="str">
        <f>IF(AND(Table1[[#This Row],[Spec Type2]]="N/A",Table1[[#This Row],[DUT Adj Read]]="N/A",Table1[[#This Row],[Std Adj Read]]="N/A"),"N/A",IF(Table1[[#This Row],[DUT Adj Read]]="N/A",IF(Table1[[#This Row],[Std Adj Read]]&lt;Table1[[#This Row],[High Tol]],"Pass","Fail"),IF(Table1[[#This Row],[DUT Adj Read]]&lt;Table1[[#This Row],[High Tol]],"Pass","Fail")))</f>
        <v>Fail</v>
      </c>
      <c r="AF712" s="1" t="str">
        <f>IF(AND(Table1[[#This Row],[Spec Type2]]="N/A",Table1[[#This Row],[DUT Adj Read]]="N/A",Table1[[#This Row],[Std Adj Read]]="N/A"),"N/A",IF(Table1[[#This Row],[DUT Adj Read]]="N/A",IF(Table1[[#This Row],[Std Adj Read]]&gt;=Table1[[#This Row],[Low Tol]],"Pass","Fail"),IF(Table1[[#This Row],[DUT Adj Read]]&gt;=Table1[[#This Row],[Low Tol]],"Pass","Fail")))</f>
        <v>Pass</v>
      </c>
      <c r="AG712" s="1" t="str">
        <f>IF(AND(Table1[[#This Row],[Spec Type2]]="N/A",Table1[[#This Row],[DUT Adj Read]]="N/A",Table1[[#This Row],[Std Adj Read]]="N/A"),"N/A",IF(Table1[[#This Row],[DUT Adj Read]]="N/A",IF(Table1[[#This Row],[Std Adj Read]]&lt;=Table1[[#This Row],[High Tol]],"Pass","Fail"),IF(Table1[[#This Row],[DUT Adj Read]]&lt;=Table1[[#This Row],[High Tol]],"Pass","Fail")))</f>
        <v>Fail</v>
      </c>
      <c r="AH7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2" s="1" t="b">
        <v>0</v>
      </c>
      <c r="AN712" s="1" t="b">
        <v>0</v>
      </c>
      <c r="AO712" s="1" t="b">
        <v>0</v>
      </c>
    </row>
    <row r="713" spans="1:41" x14ac:dyDescent="0.25">
      <c r="A713" s="10"/>
      <c r="B713" s="10"/>
      <c r="C713" s="10"/>
      <c r="D713" s="10"/>
      <c r="E713" s="10"/>
      <c r="F713" s="10"/>
      <c r="G713" s="10"/>
      <c r="H713" s="10"/>
      <c r="I713" s="1" t="str">
        <f t="shared" si="30"/>
        <v/>
      </c>
      <c r="J713" s="1" t="s">
        <v>35</v>
      </c>
      <c r="K713" s="1" t="str">
        <f t="shared" si="31"/>
        <v/>
      </c>
      <c r="L713" s="1" t="str">
        <f t="shared" si="32"/>
        <v/>
      </c>
      <c r="M713" s="1">
        <f>IF(OR(Table1[[#This Row],[Std Nom]]="",Table1[[#This Row],[Std Read]]=""),0,Table1[[#This Row],[Std Nom]]-Table1[[#This Row],[Std Read]])</f>
        <v>0</v>
      </c>
      <c r="N713" s="1">
        <f>IF(Calculations!$F$5="ACCREDITED 17025 WITH UNCERTAINTIES",$N$10,0)</f>
        <v>0</v>
      </c>
      <c r="O713" s="1" t="str">
        <f>IFERROR(Table1[[#This Row],[Std Nom]]-(_xlfn.XLOOKUP(Table1[[#This Row],[Manufacturer]]&amp;" "&amp;Table1[[#This Row],[Model]],Table13[MFR &amp; MDL],Table13[Tolerance % CW ],"")/100*Table1[[#This Row],[Std Nom]]),"")</f>
        <v/>
      </c>
      <c r="P713" s="1" t="str">
        <f>IFERROR(Table1[[#This Row],[Std Nom]]+(_xlfn.XLOOKUP(Table1[[#This Row],[Manufacturer]]&amp;" "&amp;Table1[[#This Row],[Model]],Table13[MFR &amp; MDL],Table13[Tolerance % CW ],"")/100*Table1[[#This Row],[Std Nom]]),"")</f>
        <v/>
      </c>
      <c r="Q713" s="1" t="e">
        <f>Table1[[#This Row],[High Tol]]-Table1[[#This Row],[Low Tol]]</f>
        <v>#VALUE!</v>
      </c>
      <c r="R713" s="1">
        <f>2*Table1[[#This Row],[Std Error]]</f>
        <v>0</v>
      </c>
      <c r="S713" s="1" t="str">
        <f>IF(Table1[[#This Row],[High Tol]]="","N/A",IFERROR(ABS(Table1[[#This Row],[Tol Span]]/Table1[[#This Row],[Error Span]]),"N/A"))</f>
        <v>N/A</v>
      </c>
      <c r="T713" s="1" t="str">
        <f>IF(OR(Table1[[#This Row],[Low Tol]]="",Table1[[#This Row],[High Tol]]=""),"Needs Analysis",IF(Table1[[#This Row],[Ratio]]&gt;=4,"Not Significant",IF(Table1[[#This Row],[Ratio]]&gt;=2,"Semi-Significant","Significant")))</f>
        <v>Needs Analysis</v>
      </c>
      <c r="W713" s="1">
        <f>IF(Table1[[#This Row],[Cal Type]]&lt;&gt;"ACCREDITED 17025 WITH UNCERTAINTIES",0,"")</f>
        <v>0</v>
      </c>
      <c r="X713" s="1" t="str">
        <f>IF(Table1[[#This Row],[DUT Read]]="","N/A",Table1[[#This Row],[Std Error]]+Table1[[#This Row],[DUT Read]]+Table1[[#This Row],[DUT Ucty]])</f>
        <v>N/A</v>
      </c>
      <c r="Y713" s="1" t="str">
        <f>IF(Table1[[#This Row],[Std Read]]="","N/A",Table1[[#This Row],[Std Read]]+Table1[[#This Row],[Std Ucty]])</f>
        <v>N/A</v>
      </c>
      <c r="Z7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3" s="1" t="str">
        <f>IF(Table1[[#This Row],[Spec Type]]="","N/A",Table1[[#This Row],[Spec Type]])</f>
        <v>±</v>
      </c>
      <c r="AC713" s="1" t="str">
        <f>IF(Table1[[#This Row],[Spec Type2]]="N/A","N/A",IF(AND(Table1[[#This Row],[DUT Adj Read]]&gt;=Table1[[#This Row],[Low Tol]],Table1[[#This Row],[DUT Adj Read]]&lt;=Table1[[#This Row],[High Tol]]),"Pass","Fail"))</f>
        <v>Fail</v>
      </c>
      <c r="AD713" s="1" t="str">
        <f>IF(AND(Table1[[#This Row],[Spec Type2]]="N/A",Table1[[#This Row],[DUT Adj Read]]="N/A",Table1[[#This Row],[Std Adj Read]]="N/A"),"N/A",IF(Table1[[#This Row],[DUT Adj Read]]="N/A",IF(Table1[[#This Row],[Std Adj Read]]&gt;Table1[[#This Row],[Low Tol]],"Pass","Fail"),IF(Table1[[#This Row],[DUT Adj Read]]&gt;Table1[[#This Row],[Low Tol]],"Pass","Fail")))</f>
        <v>Pass</v>
      </c>
      <c r="AE713" s="1" t="str">
        <f>IF(AND(Table1[[#This Row],[Spec Type2]]="N/A",Table1[[#This Row],[DUT Adj Read]]="N/A",Table1[[#This Row],[Std Adj Read]]="N/A"),"N/A",IF(Table1[[#This Row],[DUT Adj Read]]="N/A",IF(Table1[[#This Row],[Std Adj Read]]&lt;Table1[[#This Row],[High Tol]],"Pass","Fail"),IF(Table1[[#This Row],[DUT Adj Read]]&lt;Table1[[#This Row],[High Tol]],"Pass","Fail")))</f>
        <v>Fail</v>
      </c>
      <c r="AF713" s="1" t="str">
        <f>IF(AND(Table1[[#This Row],[Spec Type2]]="N/A",Table1[[#This Row],[DUT Adj Read]]="N/A",Table1[[#This Row],[Std Adj Read]]="N/A"),"N/A",IF(Table1[[#This Row],[DUT Adj Read]]="N/A",IF(Table1[[#This Row],[Std Adj Read]]&gt;=Table1[[#This Row],[Low Tol]],"Pass","Fail"),IF(Table1[[#This Row],[DUT Adj Read]]&gt;=Table1[[#This Row],[Low Tol]],"Pass","Fail")))</f>
        <v>Pass</v>
      </c>
      <c r="AG713" s="1" t="str">
        <f>IF(AND(Table1[[#This Row],[Spec Type2]]="N/A",Table1[[#This Row],[DUT Adj Read]]="N/A",Table1[[#This Row],[Std Adj Read]]="N/A"),"N/A",IF(Table1[[#This Row],[DUT Adj Read]]="N/A",IF(Table1[[#This Row],[Std Adj Read]]&lt;=Table1[[#This Row],[High Tol]],"Pass","Fail"),IF(Table1[[#This Row],[DUT Adj Read]]&lt;=Table1[[#This Row],[High Tol]],"Pass","Fail")))</f>
        <v>Fail</v>
      </c>
      <c r="AH7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3" s="1" t="b">
        <v>0</v>
      </c>
      <c r="AN713" s="1" t="b">
        <v>0</v>
      </c>
      <c r="AO713" s="1" t="b">
        <v>0</v>
      </c>
    </row>
    <row r="714" spans="1:41" x14ac:dyDescent="0.25">
      <c r="A714" s="10"/>
      <c r="B714" s="10"/>
      <c r="C714" s="10"/>
      <c r="D714" s="10"/>
      <c r="E714" s="10"/>
      <c r="F714" s="10"/>
      <c r="G714" s="10"/>
      <c r="H714" s="10"/>
      <c r="I714" s="1" t="str">
        <f t="shared" si="30"/>
        <v/>
      </c>
      <c r="J714" s="1" t="s">
        <v>35</v>
      </c>
      <c r="K714" s="1" t="str">
        <f t="shared" si="31"/>
        <v/>
      </c>
      <c r="L714" s="1" t="str">
        <f t="shared" si="32"/>
        <v/>
      </c>
      <c r="M714" s="1">
        <f>IF(OR(Table1[[#This Row],[Std Nom]]="",Table1[[#This Row],[Std Read]]=""),0,Table1[[#This Row],[Std Nom]]-Table1[[#This Row],[Std Read]])</f>
        <v>0</v>
      </c>
      <c r="N714" s="1">
        <f>IF(Calculations!$F$5="ACCREDITED 17025 WITH UNCERTAINTIES",$N$10,0)</f>
        <v>0</v>
      </c>
      <c r="O714" s="1" t="str">
        <f>IFERROR(Table1[[#This Row],[Std Nom]]-(_xlfn.XLOOKUP(Table1[[#This Row],[Manufacturer]]&amp;" "&amp;Table1[[#This Row],[Model]],Table13[MFR &amp; MDL],Table13[Tolerance % CW ],"")/100*Table1[[#This Row],[Std Nom]]),"")</f>
        <v/>
      </c>
      <c r="P714" s="1" t="str">
        <f>IFERROR(Table1[[#This Row],[Std Nom]]+(_xlfn.XLOOKUP(Table1[[#This Row],[Manufacturer]]&amp;" "&amp;Table1[[#This Row],[Model]],Table13[MFR &amp; MDL],Table13[Tolerance % CW ],"")/100*Table1[[#This Row],[Std Nom]]),"")</f>
        <v/>
      </c>
      <c r="Q714" s="1" t="e">
        <f>Table1[[#This Row],[High Tol]]-Table1[[#This Row],[Low Tol]]</f>
        <v>#VALUE!</v>
      </c>
      <c r="R714" s="1">
        <f>2*Table1[[#This Row],[Std Error]]</f>
        <v>0</v>
      </c>
      <c r="S714" s="1" t="str">
        <f>IF(Table1[[#This Row],[High Tol]]="","N/A",IFERROR(ABS(Table1[[#This Row],[Tol Span]]/Table1[[#This Row],[Error Span]]),"N/A"))</f>
        <v>N/A</v>
      </c>
      <c r="T714" s="1" t="str">
        <f>IF(OR(Table1[[#This Row],[Low Tol]]="",Table1[[#This Row],[High Tol]]=""),"Needs Analysis",IF(Table1[[#This Row],[Ratio]]&gt;=4,"Not Significant",IF(Table1[[#This Row],[Ratio]]&gt;=2,"Semi-Significant","Significant")))</f>
        <v>Needs Analysis</v>
      </c>
      <c r="W714" s="1">
        <f>IF(Table1[[#This Row],[Cal Type]]&lt;&gt;"ACCREDITED 17025 WITH UNCERTAINTIES",0,"")</f>
        <v>0</v>
      </c>
      <c r="X714" s="1" t="str">
        <f>IF(Table1[[#This Row],[DUT Read]]="","N/A",Table1[[#This Row],[Std Error]]+Table1[[#This Row],[DUT Read]]+Table1[[#This Row],[DUT Ucty]])</f>
        <v>N/A</v>
      </c>
      <c r="Y714" s="1" t="str">
        <f>IF(Table1[[#This Row],[Std Read]]="","N/A",Table1[[#This Row],[Std Read]]+Table1[[#This Row],[Std Ucty]])</f>
        <v>N/A</v>
      </c>
      <c r="Z7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4" s="1" t="str">
        <f>IF(Table1[[#This Row],[Spec Type]]="","N/A",Table1[[#This Row],[Spec Type]])</f>
        <v>±</v>
      </c>
      <c r="AC714" s="1" t="str">
        <f>IF(Table1[[#This Row],[Spec Type2]]="N/A","N/A",IF(AND(Table1[[#This Row],[DUT Adj Read]]&gt;=Table1[[#This Row],[Low Tol]],Table1[[#This Row],[DUT Adj Read]]&lt;=Table1[[#This Row],[High Tol]]),"Pass","Fail"))</f>
        <v>Fail</v>
      </c>
      <c r="AD714" s="1" t="str">
        <f>IF(AND(Table1[[#This Row],[Spec Type2]]="N/A",Table1[[#This Row],[DUT Adj Read]]="N/A",Table1[[#This Row],[Std Adj Read]]="N/A"),"N/A",IF(Table1[[#This Row],[DUT Adj Read]]="N/A",IF(Table1[[#This Row],[Std Adj Read]]&gt;Table1[[#This Row],[Low Tol]],"Pass","Fail"),IF(Table1[[#This Row],[DUT Adj Read]]&gt;Table1[[#This Row],[Low Tol]],"Pass","Fail")))</f>
        <v>Pass</v>
      </c>
      <c r="AE714" s="1" t="str">
        <f>IF(AND(Table1[[#This Row],[Spec Type2]]="N/A",Table1[[#This Row],[DUT Adj Read]]="N/A",Table1[[#This Row],[Std Adj Read]]="N/A"),"N/A",IF(Table1[[#This Row],[DUT Adj Read]]="N/A",IF(Table1[[#This Row],[Std Adj Read]]&lt;Table1[[#This Row],[High Tol]],"Pass","Fail"),IF(Table1[[#This Row],[DUT Adj Read]]&lt;Table1[[#This Row],[High Tol]],"Pass","Fail")))</f>
        <v>Fail</v>
      </c>
      <c r="AF714" s="1" t="str">
        <f>IF(AND(Table1[[#This Row],[Spec Type2]]="N/A",Table1[[#This Row],[DUT Adj Read]]="N/A",Table1[[#This Row],[Std Adj Read]]="N/A"),"N/A",IF(Table1[[#This Row],[DUT Adj Read]]="N/A",IF(Table1[[#This Row],[Std Adj Read]]&gt;=Table1[[#This Row],[Low Tol]],"Pass","Fail"),IF(Table1[[#This Row],[DUT Adj Read]]&gt;=Table1[[#This Row],[Low Tol]],"Pass","Fail")))</f>
        <v>Pass</v>
      </c>
      <c r="AG714" s="1" t="str">
        <f>IF(AND(Table1[[#This Row],[Spec Type2]]="N/A",Table1[[#This Row],[DUT Adj Read]]="N/A",Table1[[#This Row],[Std Adj Read]]="N/A"),"N/A",IF(Table1[[#This Row],[DUT Adj Read]]="N/A",IF(Table1[[#This Row],[Std Adj Read]]&lt;=Table1[[#This Row],[High Tol]],"Pass","Fail"),IF(Table1[[#This Row],[DUT Adj Read]]&lt;=Table1[[#This Row],[High Tol]],"Pass","Fail")))</f>
        <v>Fail</v>
      </c>
      <c r="AH7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4" s="1" t="b">
        <v>0</v>
      </c>
      <c r="AN714" s="1" t="b">
        <v>0</v>
      </c>
      <c r="AO714" s="1" t="b">
        <v>0</v>
      </c>
    </row>
    <row r="715" spans="1:41" x14ac:dyDescent="0.25">
      <c r="A715" s="10"/>
      <c r="B715" s="10"/>
      <c r="C715" s="10"/>
      <c r="D715" s="10"/>
      <c r="E715" s="10"/>
      <c r="F715" s="10"/>
      <c r="G715" s="10"/>
      <c r="H715" s="10"/>
      <c r="I715" s="1" t="str">
        <f t="shared" ref="I715:I778" si="33">IF($I$10="","",$I$10)</f>
        <v/>
      </c>
      <c r="J715" s="1" t="s">
        <v>35</v>
      </c>
      <c r="K715" s="1" t="str">
        <f t="shared" ref="K715:K778" si="34">IF($K$10="","",$K$10)</f>
        <v/>
      </c>
      <c r="L715" s="1" t="str">
        <f t="shared" ref="L715:L778" si="35">IF($L$10="","",$L$10)</f>
        <v/>
      </c>
      <c r="M715" s="1">
        <f>IF(OR(Table1[[#This Row],[Std Nom]]="",Table1[[#This Row],[Std Read]]=""),0,Table1[[#This Row],[Std Nom]]-Table1[[#This Row],[Std Read]])</f>
        <v>0</v>
      </c>
      <c r="N715" s="1">
        <f>IF(Calculations!$F$5="ACCREDITED 17025 WITH UNCERTAINTIES",$N$10,0)</f>
        <v>0</v>
      </c>
      <c r="O715" s="1" t="str">
        <f>IFERROR(Table1[[#This Row],[Std Nom]]-(_xlfn.XLOOKUP(Table1[[#This Row],[Manufacturer]]&amp;" "&amp;Table1[[#This Row],[Model]],Table13[MFR &amp; MDL],Table13[Tolerance % CW ],"")/100*Table1[[#This Row],[Std Nom]]),"")</f>
        <v/>
      </c>
      <c r="P715" s="1" t="str">
        <f>IFERROR(Table1[[#This Row],[Std Nom]]+(_xlfn.XLOOKUP(Table1[[#This Row],[Manufacturer]]&amp;" "&amp;Table1[[#This Row],[Model]],Table13[MFR &amp; MDL],Table13[Tolerance % CW ],"")/100*Table1[[#This Row],[Std Nom]]),"")</f>
        <v/>
      </c>
      <c r="Q715" s="1" t="e">
        <f>Table1[[#This Row],[High Tol]]-Table1[[#This Row],[Low Tol]]</f>
        <v>#VALUE!</v>
      </c>
      <c r="R715" s="1">
        <f>2*Table1[[#This Row],[Std Error]]</f>
        <v>0</v>
      </c>
      <c r="S715" s="1" t="str">
        <f>IF(Table1[[#This Row],[High Tol]]="","N/A",IFERROR(ABS(Table1[[#This Row],[Tol Span]]/Table1[[#This Row],[Error Span]]),"N/A"))</f>
        <v>N/A</v>
      </c>
      <c r="T715" s="1" t="str">
        <f>IF(OR(Table1[[#This Row],[Low Tol]]="",Table1[[#This Row],[High Tol]]=""),"Needs Analysis",IF(Table1[[#This Row],[Ratio]]&gt;=4,"Not Significant",IF(Table1[[#This Row],[Ratio]]&gt;=2,"Semi-Significant","Significant")))</f>
        <v>Needs Analysis</v>
      </c>
      <c r="W715" s="1">
        <f>IF(Table1[[#This Row],[Cal Type]]&lt;&gt;"ACCREDITED 17025 WITH UNCERTAINTIES",0,"")</f>
        <v>0</v>
      </c>
      <c r="X715" s="1" t="str">
        <f>IF(Table1[[#This Row],[DUT Read]]="","N/A",Table1[[#This Row],[Std Error]]+Table1[[#This Row],[DUT Read]]+Table1[[#This Row],[DUT Ucty]])</f>
        <v>N/A</v>
      </c>
      <c r="Y715" s="1" t="str">
        <f>IF(Table1[[#This Row],[Std Read]]="","N/A",Table1[[#This Row],[Std Read]]+Table1[[#This Row],[Std Ucty]])</f>
        <v>N/A</v>
      </c>
      <c r="Z7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5" s="1" t="str">
        <f>IF(Table1[[#This Row],[Spec Type]]="","N/A",Table1[[#This Row],[Spec Type]])</f>
        <v>±</v>
      </c>
      <c r="AC715" s="1" t="str">
        <f>IF(Table1[[#This Row],[Spec Type2]]="N/A","N/A",IF(AND(Table1[[#This Row],[DUT Adj Read]]&gt;=Table1[[#This Row],[Low Tol]],Table1[[#This Row],[DUT Adj Read]]&lt;=Table1[[#This Row],[High Tol]]),"Pass","Fail"))</f>
        <v>Fail</v>
      </c>
      <c r="AD715" s="1" t="str">
        <f>IF(AND(Table1[[#This Row],[Spec Type2]]="N/A",Table1[[#This Row],[DUT Adj Read]]="N/A",Table1[[#This Row],[Std Adj Read]]="N/A"),"N/A",IF(Table1[[#This Row],[DUT Adj Read]]="N/A",IF(Table1[[#This Row],[Std Adj Read]]&gt;Table1[[#This Row],[Low Tol]],"Pass","Fail"),IF(Table1[[#This Row],[DUT Adj Read]]&gt;Table1[[#This Row],[Low Tol]],"Pass","Fail")))</f>
        <v>Pass</v>
      </c>
      <c r="AE715" s="1" t="str">
        <f>IF(AND(Table1[[#This Row],[Spec Type2]]="N/A",Table1[[#This Row],[DUT Adj Read]]="N/A",Table1[[#This Row],[Std Adj Read]]="N/A"),"N/A",IF(Table1[[#This Row],[DUT Adj Read]]="N/A",IF(Table1[[#This Row],[Std Adj Read]]&lt;Table1[[#This Row],[High Tol]],"Pass","Fail"),IF(Table1[[#This Row],[DUT Adj Read]]&lt;Table1[[#This Row],[High Tol]],"Pass","Fail")))</f>
        <v>Fail</v>
      </c>
      <c r="AF715" s="1" t="str">
        <f>IF(AND(Table1[[#This Row],[Spec Type2]]="N/A",Table1[[#This Row],[DUT Adj Read]]="N/A",Table1[[#This Row],[Std Adj Read]]="N/A"),"N/A",IF(Table1[[#This Row],[DUT Adj Read]]="N/A",IF(Table1[[#This Row],[Std Adj Read]]&gt;=Table1[[#This Row],[Low Tol]],"Pass","Fail"),IF(Table1[[#This Row],[DUT Adj Read]]&gt;=Table1[[#This Row],[Low Tol]],"Pass","Fail")))</f>
        <v>Pass</v>
      </c>
      <c r="AG715" s="1" t="str">
        <f>IF(AND(Table1[[#This Row],[Spec Type2]]="N/A",Table1[[#This Row],[DUT Adj Read]]="N/A",Table1[[#This Row],[Std Adj Read]]="N/A"),"N/A",IF(Table1[[#This Row],[DUT Adj Read]]="N/A",IF(Table1[[#This Row],[Std Adj Read]]&lt;=Table1[[#This Row],[High Tol]],"Pass","Fail"),IF(Table1[[#This Row],[DUT Adj Read]]&lt;=Table1[[#This Row],[High Tol]],"Pass","Fail")))</f>
        <v>Fail</v>
      </c>
      <c r="AH7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5" s="1" t="b">
        <v>0</v>
      </c>
      <c r="AN715" s="1" t="b">
        <v>0</v>
      </c>
      <c r="AO715" s="1" t="b">
        <v>0</v>
      </c>
    </row>
    <row r="716" spans="1:41" x14ac:dyDescent="0.25">
      <c r="A716" s="10"/>
      <c r="B716" s="10"/>
      <c r="C716" s="10"/>
      <c r="D716" s="10"/>
      <c r="E716" s="10"/>
      <c r="F716" s="10"/>
      <c r="G716" s="10"/>
      <c r="H716" s="10"/>
      <c r="I716" s="1" t="str">
        <f t="shared" si="33"/>
        <v/>
      </c>
      <c r="J716" s="1" t="s">
        <v>35</v>
      </c>
      <c r="K716" s="1" t="str">
        <f t="shared" si="34"/>
        <v/>
      </c>
      <c r="L716" s="1" t="str">
        <f t="shared" si="35"/>
        <v/>
      </c>
      <c r="M716" s="1">
        <f>IF(OR(Table1[[#This Row],[Std Nom]]="",Table1[[#This Row],[Std Read]]=""),0,Table1[[#This Row],[Std Nom]]-Table1[[#This Row],[Std Read]])</f>
        <v>0</v>
      </c>
      <c r="N716" s="1">
        <f>IF(Calculations!$F$5="ACCREDITED 17025 WITH UNCERTAINTIES",$N$10,0)</f>
        <v>0</v>
      </c>
      <c r="O716" s="1" t="str">
        <f>IFERROR(Table1[[#This Row],[Std Nom]]-(_xlfn.XLOOKUP(Table1[[#This Row],[Manufacturer]]&amp;" "&amp;Table1[[#This Row],[Model]],Table13[MFR &amp; MDL],Table13[Tolerance % CW ],"")/100*Table1[[#This Row],[Std Nom]]),"")</f>
        <v/>
      </c>
      <c r="P716" s="1" t="str">
        <f>IFERROR(Table1[[#This Row],[Std Nom]]+(_xlfn.XLOOKUP(Table1[[#This Row],[Manufacturer]]&amp;" "&amp;Table1[[#This Row],[Model]],Table13[MFR &amp; MDL],Table13[Tolerance % CW ],"")/100*Table1[[#This Row],[Std Nom]]),"")</f>
        <v/>
      </c>
      <c r="Q716" s="1" t="e">
        <f>Table1[[#This Row],[High Tol]]-Table1[[#This Row],[Low Tol]]</f>
        <v>#VALUE!</v>
      </c>
      <c r="R716" s="1">
        <f>2*Table1[[#This Row],[Std Error]]</f>
        <v>0</v>
      </c>
      <c r="S716" s="1" t="str">
        <f>IF(Table1[[#This Row],[High Tol]]="","N/A",IFERROR(ABS(Table1[[#This Row],[Tol Span]]/Table1[[#This Row],[Error Span]]),"N/A"))</f>
        <v>N/A</v>
      </c>
      <c r="T716" s="1" t="str">
        <f>IF(OR(Table1[[#This Row],[Low Tol]]="",Table1[[#This Row],[High Tol]]=""),"Needs Analysis",IF(Table1[[#This Row],[Ratio]]&gt;=4,"Not Significant",IF(Table1[[#This Row],[Ratio]]&gt;=2,"Semi-Significant","Significant")))</f>
        <v>Needs Analysis</v>
      </c>
      <c r="W716" s="1">
        <f>IF(Table1[[#This Row],[Cal Type]]&lt;&gt;"ACCREDITED 17025 WITH UNCERTAINTIES",0,"")</f>
        <v>0</v>
      </c>
      <c r="X716" s="1" t="str">
        <f>IF(Table1[[#This Row],[DUT Read]]="","N/A",Table1[[#This Row],[Std Error]]+Table1[[#This Row],[DUT Read]]+Table1[[#This Row],[DUT Ucty]])</f>
        <v>N/A</v>
      </c>
      <c r="Y716" s="1" t="str">
        <f>IF(Table1[[#This Row],[Std Read]]="","N/A",Table1[[#This Row],[Std Read]]+Table1[[#This Row],[Std Ucty]])</f>
        <v>N/A</v>
      </c>
      <c r="Z7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6" s="1" t="str">
        <f>IF(Table1[[#This Row],[Spec Type]]="","N/A",Table1[[#This Row],[Spec Type]])</f>
        <v>±</v>
      </c>
      <c r="AC716" s="1" t="str">
        <f>IF(Table1[[#This Row],[Spec Type2]]="N/A","N/A",IF(AND(Table1[[#This Row],[DUT Adj Read]]&gt;=Table1[[#This Row],[Low Tol]],Table1[[#This Row],[DUT Adj Read]]&lt;=Table1[[#This Row],[High Tol]]),"Pass","Fail"))</f>
        <v>Fail</v>
      </c>
      <c r="AD716" s="1" t="str">
        <f>IF(AND(Table1[[#This Row],[Spec Type2]]="N/A",Table1[[#This Row],[DUT Adj Read]]="N/A",Table1[[#This Row],[Std Adj Read]]="N/A"),"N/A",IF(Table1[[#This Row],[DUT Adj Read]]="N/A",IF(Table1[[#This Row],[Std Adj Read]]&gt;Table1[[#This Row],[Low Tol]],"Pass","Fail"),IF(Table1[[#This Row],[DUT Adj Read]]&gt;Table1[[#This Row],[Low Tol]],"Pass","Fail")))</f>
        <v>Pass</v>
      </c>
      <c r="AE716" s="1" t="str">
        <f>IF(AND(Table1[[#This Row],[Spec Type2]]="N/A",Table1[[#This Row],[DUT Adj Read]]="N/A",Table1[[#This Row],[Std Adj Read]]="N/A"),"N/A",IF(Table1[[#This Row],[DUT Adj Read]]="N/A",IF(Table1[[#This Row],[Std Adj Read]]&lt;Table1[[#This Row],[High Tol]],"Pass","Fail"),IF(Table1[[#This Row],[DUT Adj Read]]&lt;Table1[[#This Row],[High Tol]],"Pass","Fail")))</f>
        <v>Fail</v>
      </c>
      <c r="AF716" s="1" t="str">
        <f>IF(AND(Table1[[#This Row],[Spec Type2]]="N/A",Table1[[#This Row],[DUT Adj Read]]="N/A",Table1[[#This Row],[Std Adj Read]]="N/A"),"N/A",IF(Table1[[#This Row],[DUT Adj Read]]="N/A",IF(Table1[[#This Row],[Std Adj Read]]&gt;=Table1[[#This Row],[Low Tol]],"Pass","Fail"),IF(Table1[[#This Row],[DUT Adj Read]]&gt;=Table1[[#This Row],[Low Tol]],"Pass","Fail")))</f>
        <v>Pass</v>
      </c>
      <c r="AG716" s="1" t="str">
        <f>IF(AND(Table1[[#This Row],[Spec Type2]]="N/A",Table1[[#This Row],[DUT Adj Read]]="N/A",Table1[[#This Row],[Std Adj Read]]="N/A"),"N/A",IF(Table1[[#This Row],[DUT Adj Read]]="N/A",IF(Table1[[#This Row],[Std Adj Read]]&lt;=Table1[[#This Row],[High Tol]],"Pass","Fail"),IF(Table1[[#This Row],[DUT Adj Read]]&lt;=Table1[[#This Row],[High Tol]],"Pass","Fail")))</f>
        <v>Fail</v>
      </c>
      <c r="AH7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6" s="1" t="b">
        <v>0</v>
      </c>
      <c r="AN716" s="1" t="b">
        <v>0</v>
      </c>
      <c r="AO716" s="1" t="b">
        <v>0</v>
      </c>
    </row>
    <row r="717" spans="1:41" x14ac:dyDescent="0.25">
      <c r="A717" s="10"/>
      <c r="B717" s="10"/>
      <c r="C717" s="10"/>
      <c r="D717" s="10"/>
      <c r="E717" s="10"/>
      <c r="F717" s="10"/>
      <c r="G717" s="10"/>
      <c r="H717" s="10"/>
      <c r="I717" s="1" t="str">
        <f t="shared" si="33"/>
        <v/>
      </c>
      <c r="J717" s="1" t="s">
        <v>35</v>
      </c>
      <c r="K717" s="1" t="str">
        <f t="shared" si="34"/>
        <v/>
      </c>
      <c r="L717" s="1" t="str">
        <f t="shared" si="35"/>
        <v/>
      </c>
      <c r="M717" s="1">
        <f>IF(OR(Table1[[#This Row],[Std Nom]]="",Table1[[#This Row],[Std Read]]=""),0,Table1[[#This Row],[Std Nom]]-Table1[[#This Row],[Std Read]])</f>
        <v>0</v>
      </c>
      <c r="N717" s="1">
        <f>IF(Calculations!$F$5="ACCREDITED 17025 WITH UNCERTAINTIES",$N$10,0)</f>
        <v>0</v>
      </c>
      <c r="O717" s="1" t="str">
        <f>IFERROR(Table1[[#This Row],[Std Nom]]-(_xlfn.XLOOKUP(Table1[[#This Row],[Manufacturer]]&amp;" "&amp;Table1[[#This Row],[Model]],Table13[MFR &amp; MDL],Table13[Tolerance % CW ],"")/100*Table1[[#This Row],[Std Nom]]),"")</f>
        <v/>
      </c>
      <c r="P717" s="1" t="str">
        <f>IFERROR(Table1[[#This Row],[Std Nom]]+(_xlfn.XLOOKUP(Table1[[#This Row],[Manufacturer]]&amp;" "&amp;Table1[[#This Row],[Model]],Table13[MFR &amp; MDL],Table13[Tolerance % CW ],"")/100*Table1[[#This Row],[Std Nom]]),"")</f>
        <v/>
      </c>
      <c r="Q717" s="1" t="e">
        <f>Table1[[#This Row],[High Tol]]-Table1[[#This Row],[Low Tol]]</f>
        <v>#VALUE!</v>
      </c>
      <c r="R717" s="1">
        <f>2*Table1[[#This Row],[Std Error]]</f>
        <v>0</v>
      </c>
      <c r="S717" s="1" t="str">
        <f>IF(Table1[[#This Row],[High Tol]]="","N/A",IFERROR(ABS(Table1[[#This Row],[Tol Span]]/Table1[[#This Row],[Error Span]]),"N/A"))</f>
        <v>N/A</v>
      </c>
      <c r="T717" s="1" t="str">
        <f>IF(OR(Table1[[#This Row],[Low Tol]]="",Table1[[#This Row],[High Tol]]=""),"Needs Analysis",IF(Table1[[#This Row],[Ratio]]&gt;=4,"Not Significant",IF(Table1[[#This Row],[Ratio]]&gt;=2,"Semi-Significant","Significant")))</f>
        <v>Needs Analysis</v>
      </c>
      <c r="W717" s="1">
        <f>IF(Table1[[#This Row],[Cal Type]]&lt;&gt;"ACCREDITED 17025 WITH UNCERTAINTIES",0,"")</f>
        <v>0</v>
      </c>
      <c r="X717" s="1" t="str">
        <f>IF(Table1[[#This Row],[DUT Read]]="","N/A",Table1[[#This Row],[Std Error]]+Table1[[#This Row],[DUT Read]]+Table1[[#This Row],[DUT Ucty]])</f>
        <v>N/A</v>
      </c>
      <c r="Y717" s="1" t="str">
        <f>IF(Table1[[#This Row],[Std Read]]="","N/A",Table1[[#This Row],[Std Read]]+Table1[[#This Row],[Std Ucty]])</f>
        <v>N/A</v>
      </c>
      <c r="Z7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7" s="1" t="str">
        <f>IF(Table1[[#This Row],[Spec Type]]="","N/A",Table1[[#This Row],[Spec Type]])</f>
        <v>±</v>
      </c>
      <c r="AC717" s="1" t="str">
        <f>IF(Table1[[#This Row],[Spec Type2]]="N/A","N/A",IF(AND(Table1[[#This Row],[DUT Adj Read]]&gt;=Table1[[#This Row],[Low Tol]],Table1[[#This Row],[DUT Adj Read]]&lt;=Table1[[#This Row],[High Tol]]),"Pass","Fail"))</f>
        <v>Fail</v>
      </c>
      <c r="AD717" s="1" t="str">
        <f>IF(AND(Table1[[#This Row],[Spec Type2]]="N/A",Table1[[#This Row],[DUT Adj Read]]="N/A",Table1[[#This Row],[Std Adj Read]]="N/A"),"N/A",IF(Table1[[#This Row],[DUT Adj Read]]="N/A",IF(Table1[[#This Row],[Std Adj Read]]&gt;Table1[[#This Row],[Low Tol]],"Pass","Fail"),IF(Table1[[#This Row],[DUT Adj Read]]&gt;Table1[[#This Row],[Low Tol]],"Pass","Fail")))</f>
        <v>Pass</v>
      </c>
      <c r="AE717" s="1" t="str">
        <f>IF(AND(Table1[[#This Row],[Spec Type2]]="N/A",Table1[[#This Row],[DUT Adj Read]]="N/A",Table1[[#This Row],[Std Adj Read]]="N/A"),"N/A",IF(Table1[[#This Row],[DUT Adj Read]]="N/A",IF(Table1[[#This Row],[Std Adj Read]]&lt;Table1[[#This Row],[High Tol]],"Pass","Fail"),IF(Table1[[#This Row],[DUT Adj Read]]&lt;Table1[[#This Row],[High Tol]],"Pass","Fail")))</f>
        <v>Fail</v>
      </c>
      <c r="AF717" s="1" t="str">
        <f>IF(AND(Table1[[#This Row],[Spec Type2]]="N/A",Table1[[#This Row],[DUT Adj Read]]="N/A",Table1[[#This Row],[Std Adj Read]]="N/A"),"N/A",IF(Table1[[#This Row],[DUT Adj Read]]="N/A",IF(Table1[[#This Row],[Std Adj Read]]&gt;=Table1[[#This Row],[Low Tol]],"Pass","Fail"),IF(Table1[[#This Row],[DUT Adj Read]]&gt;=Table1[[#This Row],[Low Tol]],"Pass","Fail")))</f>
        <v>Pass</v>
      </c>
      <c r="AG717" s="1" t="str">
        <f>IF(AND(Table1[[#This Row],[Spec Type2]]="N/A",Table1[[#This Row],[DUT Adj Read]]="N/A",Table1[[#This Row],[Std Adj Read]]="N/A"),"N/A",IF(Table1[[#This Row],[DUT Adj Read]]="N/A",IF(Table1[[#This Row],[Std Adj Read]]&lt;=Table1[[#This Row],[High Tol]],"Pass","Fail"),IF(Table1[[#This Row],[DUT Adj Read]]&lt;=Table1[[#This Row],[High Tol]],"Pass","Fail")))</f>
        <v>Fail</v>
      </c>
      <c r="AH7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7" s="1" t="b">
        <v>0</v>
      </c>
      <c r="AN717" s="1" t="b">
        <v>0</v>
      </c>
      <c r="AO717" s="1" t="b">
        <v>0</v>
      </c>
    </row>
    <row r="718" spans="1:41" x14ac:dyDescent="0.25">
      <c r="A718" s="10"/>
      <c r="B718" s="10"/>
      <c r="C718" s="10"/>
      <c r="D718" s="10"/>
      <c r="E718" s="10"/>
      <c r="F718" s="10"/>
      <c r="G718" s="10"/>
      <c r="H718" s="10"/>
      <c r="I718" s="1" t="str">
        <f t="shared" si="33"/>
        <v/>
      </c>
      <c r="J718" s="1" t="s">
        <v>35</v>
      </c>
      <c r="K718" s="1" t="str">
        <f t="shared" si="34"/>
        <v/>
      </c>
      <c r="L718" s="1" t="str">
        <f t="shared" si="35"/>
        <v/>
      </c>
      <c r="M718" s="1">
        <f>IF(OR(Table1[[#This Row],[Std Nom]]="",Table1[[#This Row],[Std Read]]=""),0,Table1[[#This Row],[Std Nom]]-Table1[[#This Row],[Std Read]])</f>
        <v>0</v>
      </c>
      <c r="N718" s="1">
        <f>IF(Calculations!$F$5="ACCREDITED 17025 WITH UNCERTAINTIES",$N$10,0)</f>
        <v>0</v>
      </c>
      <c r="O718" s="1" t="str">
        <f>IFERROR(Table1[[#This Row],[Std Nom]]-(_xlfn.XLOOKUP(Table1[[#This Row],[Manufacturer]]&amp;" "&amp;Table1[[#This Row],[Model]],Table13[MFR &amp; MDL],Table13[Tolerance % CW ],"")/100*Table1[[#This Row],[Std Nom]]),"")</f>
        <v/>
      </c>
      <c r="P718" s="1" t="str">
        <f>IFERROR(Table1[[#This Row],[Std Nom]]+(_xlfn.XLOOKUP(Table1[[#This Row],[Manufacturer]]&amp;" "&amp;Table1[[#This Row],[Model]],Table13[MFR &amp; MDL],Table13[Tolerance % CW ],"")/100*Table1[[#This Row],[Std Nom]]),"")</f>
        <v/>
      </c>
      <c r="Q718" s="1" t="e">
        <f>Table1[[#This Row],[High Tol]]-Table1[[#This Row],[Low Tol]]</f>
        <v>#VALUE!</v>
      </c>
      <c r="R718" s="1">
        <f>2*Table1[[#This Row],[Std Error]]</f>
        <v>0</v>
      </c>
      <c r="S718" s="1" t="str">
        <f>IF(Table1[[#This Row],[High Tol]]="","N/A",IFERROR(ABS(Table1[[#This Row],[Tol Span]]/Table1[[#This Row],[Error Span]]),"N/A"))</f>
        <v>N/A</v>
      </c>
      <c r="T718" s="1" t="str">
        <f>IF(OR(Table1[[#This Row],[Low Tol]]="",Table1[[#This Row],[High Tol]]=""),"Needs Analysis",IF(Table1[[#This Row],[Ratio]]&gt;=4,"Not Significant",IF(Table1[[#This Row],[Ratio]]&gt;=2,"Semi-Significant","Significant")))</f>
        <v>Needs Analysis</v>
      </c>
      <c r="W718" s="1">
        <f>IF(Table1[[#This Row],[Cal Type]]&lt;&gt;"ACCREDITED 17025 WITH UNCERTAINTIES",0,"")</f>
        <v>0</v>
      </c>
      <c r="X718" s="1" t="str">
        <f>IF(Table1[[#This Row],[DUT Read]]="","N/A",Table1[[#This Row],[Std Error]]+Table1[[#This Row],[DUT Read]]+Table1[[#This Row],[DUT Ucty]])</f>
        <v>N/A</v>
      </c>
      <c r="Y718" s="1" t="str">
        <f>IF(Table1[[#This Row],[Std Read]]="","N/A",Table1[[#This Row],[Std Read]]+Table1[[#This Row],[Std Ucty]])</f>
        <v>N/A</v>
      </c>
      <c r="Z7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8" s="1" t="str">
        <f>IF(Table1[[#This Row],[Spec Type]]="","N/A",Table1[[#This Row],[Spec Type]])</f>
        <v>±</v>
      </c>
      <c r="AC718" s="1" t="str">
        <f>IF(Table1[[#This Row],[Spec Type2]]="N/A","N/A",IF(AND(Table1[[#This Row],[DUT Adj Read]]&gt;=Table1[[#This Row],[Low Tol]],Table1[[#This Row],[DUT Adj Read]]&lt;=Table1[[#This Row],[High Tol]]),"Pass","Fail"))</f>
        <v>Fail</v>
      </c>
      <c r="AD718" s="1" t="str">
        <f>IF(AND(Table1[[#This Row],[Spec Type2]]="N/A",Table1[[#This Row],[DUT Adj Read]]="N/A",Table1[[#This Row],[Std Adj Read]]="N/A"),"N/A",IF(Table1[[#This Row],[DUT Adj Read]]="N/A",IF(Table1[[#This Row],[Std Adj Read]]&gt;Table1[[#This Row],[Low Tol]],"Pass","Fail"),IF(Table1[[#This Row],[DUT Adj Read]]&gt;Table1[[#This Row],[Low Tol]],"Pass","Fail")))</f>
        <v>Pass</v>
      </c>
      <c r="AE718" s="1" t="str">
        <f>IF(AND(Table1[[#This Row],[Spec Type2]]="N/A",Table1[[#This Row],[DUT Adj Read]]="N/A",Table1[[#This Row],[Std Adj Read]]="N/A"),"N/A",IF(Table1[[#This Row],[DUT Adj Read]]="N/A",IF(Table1[[#This Row],[Std Adj Read]]&lt;Table1[[#This Row],[High Tol]],"Pass","Fail"),IF(Table1[[#This Row],[DUT Adj Read]]&lt;Table1[[#This Row],[High Tol]],"Pass","Fail")))</f>
        <v>Fail</v>
      </c>
      <c r="AF718" s="1" t="str">
        <f>IF(AND(Table1[[#This Row],[Spec Type2]]="N/A",Table1[[#This Row],[DUT Adj Read]]="N/A",Table1[[#This Row],[Std Adj Read]]="N/A"),"N/A",IF(Table1[[#This Row],[DUT Adj Read]]="N/A",IF(Table1[[#This Row],[Std Adj Read]]&gt;=Table1[[#This Row],[Low Tol]],"Pass","Fail"),IF(Table1[[#This Row],[DUT Adj Read]]&gt;=Table1[[#This Row],[Low Tol]],"Pass","Fail")))</f>
        <v>Pass</v>
      </c>
      <c r="AG718" s="1" t="str">
        <f>IF(AND(Table1[[#This Row],[Spec Type2]]="N/A",Table1[[#This Row],[DUT Adj Read]]="N/A",Table1[[#This Row],[Std Adj Read]]="N/A"),"N/A",IF(Table1[[#This Row],[DUT Adj Read]]="N/A",IF(Table1[[#This Row],[Std Adj Read]]&lt;=Table1[[#This Row],[High Tol]],"Pass","Fail"),IF(Table1[[#This Row],[DUT Adj Read]]&lt;=Table1[[#This Row],[High Tol]],"Pass","Fail")))</f>
        <v>Fail</v>
      </c>
      <c r="AH7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8" s="1" t="b">
        <v>0</v>
      </c>
      <c r="AN718" s="1" t="b">
        <v>0</v>
      </c>
      <c r="AO718" s="1" t="b">
        <v>0</v>
      </c>
    </row>
    <row r="719" spans="1:41" x14ac:dyDescent="0.25">
      <c r="A719" s="10"/>
      <c r="B719" s="10"/>
      <c r="C719" s="10"/>
      <c r="D719" s="10"/>
      <c r="E719" s="10"/>
      <c r="F719" s="10"/>
      <c r="G719" s="10"/>
      <c r="H719" s="10"/>
      <c r="I719" s="1" t="str">
        <f t="shared" si="33"/>
        <v/>
      </c>
      <c r="J719" s="1" t="s">
        <v>35</v>
      </c>
      <c r="K719" s="1" t="str">
        <f t="shared" si="34"/>
        <v/>
      </c>
      <c r="L719" s="1" t="str">
        <f t="shared" si="35"/>
        <v/>
      </c>
      <c r="M719" s="1">
        <f>IF(OR(Table1[[#This Row],[Std Nom]]="",Table1[[#This Row],[Std Read]]=""),0,Table1[[#This Row],[Std Nom]]-Table1[[#This Row],[Std Read]])</f>
        <v>0</v>
      </c>
      <c r="N719" s="1">
        <f>IF(Calculations!$F$5="ACCREDITED 17025 WITH UNCERTAINTIES",$N$10,0)</f>
        <v>0</v>
      </c>
      <c r="O719" s="1" t="str">
        <f>IFERROR(Table1[[#This Row],[Std Nom]]-(_xlfn.XLOOKUP(Table1[[#This Row],[Manufacturer]]&amp;" "&amp;Table1[[#This Row],[Model]],Table13[MFR &amp; MDL],Table13[Tolerance % CW ],"")/100*Table1[[#This Row],[Std Nom]]),"")</f>
        <v/>
      </c>
      <c r="P719" s="1" t="str">
        <f>IFERROR(Table1[[#This Row],[Std Nom]]+(_xlfn.XLOOKUP(Table1[[#This Row],[Manufacturer]]&amp;" "&amp;Table1[[#This Row],[Model]],Table13[MFR &amp; MDL],Table13[Tolerance % CW ],"")/100*Table1[[#This Row],[Std Nom]]),"")</f>
        <v/>
      </c>
      <c r="Q719" s="1" t="e">
        <f>Table1[[#This Row],[High Tol]]-Table1[[#This Row],[Low Tol]]</f>
        <v>#VALUE!</v>
      </c>
      <c r="R719" s="1">
        <f>2*Table1[[#This Row],[Std Error]]</f>
        <v>0</v>
      </c>
      <c r="S719" s="1" t="str">
        <f>IF(Table1[[#This Row],[High Tol]]="","N/A",IFERROR(ABS(Table1[[#This Row],[Tol Span]]/Table1[[#This Row],[Error Span]]),"N/A"))</f>
        <v>N/A</v>
      </c>
      <c r="T719" s="1" t="str">
        <f>IF(OR(Table1[[#This Row],[Low Tol]]="",Table1[[#This Row],[High Tol]]=""),"Needs Analysis",IF(Table1[[#This Row],[Ratio]]&gt;=4,"Not Significant",IF(Table1[[#This Row],[Ratio]]&gt;=2,"Semi-Significant","Significant")))</f>
        <v>Needs Analysis</v>
      </c>
      <c r="W719" s="1">
        <f>IF(Table1[[#This Row],[Cal Type]]&lt;&gt;"ACCREDITED 17025 WITH UNCERTAINTIES",0,"")</f>
        <v>0</v>
      </c>
      <c r="X719" s="1" t="str">
        <f>IF(Table1[[#This Row],[DUT Read]]="","N/A",Table1[[#This Row],[Std Error]]+Table1[[#This Row],[DUT Read]]+Table1[[#This Row],[DUT Ucty]])</f>
        <v>N/A</v>
      </c>
      <c r="Y719" s="1" t="str">
        <f>IF(Table1[[#This Row],[Std Read]]="","N/A",Table1[[#This Row],[Std Read]]+Table1[[#This Row],[Std Ucty]])</f>
        <v>N/A</v>
      </c>
      <c r="Z7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9" s="1" t="str">
        <f>IF(Table1[[#This Row],[Spec Type]]="","N/A",Table1[[#This Row],[Spec Type]])</f>
        <v>±</v>
      </c>
      <c r="AC719" s="1" t="str">
        <f>IF(Table1[[#This Row],[Spec Type2]]="N/A","N/A",IF(AND(Table1[[#This Row],[DUT Adj Read]]&gt;=Table1[[#This Row],[Low Tol]],Table1[[#This Row],[DUT Adj Read]]&lt;=Table1[[#This Row],[High Tol]]),"Pass","Fail"))</f>
        <v>Fail</v>
      </c>
      <c r="AD719" s="1" t="str">
        <f>IF(AND(Table1[[#This Row],[Spec Type2]]="N/A",Table1[[#This Row],[DUT Adj Read]]="N/A",Table1[[#This Row],[Std Adj Read]]="N/A"),"N/A",IF(Table1[[#This Row],[DUT Adj Read]]="N/A",IF(Table1[[#This Row],[Std Adj Read]]&gt;Table1[[#This Row],[Low Tol]],"Pass","Fail"),IF(Table1[[#This Row],[DUT Adj Read]]&gt;Table1[[#This Row],[Low Tol]],"Pass","Fail")))</f>
        <v>Pass</v>
      </c>
      <c r="AE719" s="1" t="str">
        <f>IF(AND(Table1[[#This Row],[Spec Type2]]="N/A",Table1[[#This Row],[DUT Adj Read]]="N/A",Table1[[#This Row],[Std Adj Read]]="N/A"),"N/A",IF(Table1[[#This Row],[DUT Adj Read]]="N/A",IF(Table1[[#This Row],[Std Adj Read]]&lt;Table1[[#This Row],[High Tol]],"Pass","Fail"),IF(Table1[[#This Row],[DUT Adj Read]]&lt;Table1[[#This Row],[High Tol]],"Pass","Fail")))</f>
        <v>Fail</v>
      </c>
      <c r="AF719" s="1" t="str">
        <f>IF(AND(Table1[[#This Row],[Spec Type2]]="N/A",Table1[[#This Row],[DUT Adj Read]]="N/A",Table1[[#This Row],[Std Adj Read]]="N/A"),"N/A",IF(Table1[[#This Row],[DUT Adj Read]]="N/A",IF(Table1[[#This Row],[Std Adj Read]]&gt;=Table1[[#This Row],[Low Tol]],"Pass","Fail"),IF(Table1[[#This Row],[DUT Adj Read]]&gt;=Table1[[#This Row],[Low Tol]],"Pass","Fail")))</f>
        <v>Pass</v>
      </c>
      <c r="AG719" s="1" t="str">
        <f>IF(AND(Table1[[#This Row],[Spec Type2]]="N/A",Table1[[#This Row],[DUT Adj Read]]="N/A",Table1[[#This Row],[Std Adj Read]]="N/A"),"N/A",IF(Table1[[#This Row],[DUT Adj Read]]="N/A",IF(Table1[[#This Row],[Std Adj Read]]&lt;=Table1[[#This Row],[High Tol]],"Pass","Fail"),IF(Table1[[#This Row],[DUT Adj Read]]&lt;=Table1[[#This Row],[High Tol]],"Pass","Fail")))</f>
        <v>Fail</v>
      </c>
      <c r="AH7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9" s="1" t="b">
        <v>0</v>
      </c>
      <c r="AN719" s="1" t="b">
        <v>0</v>
      </c>
      <c r="AO719" s="1" t="b">
        <v>0</v>
      </c>
    </row>
    <row r="720" spans="1:41" x14ac:dyDescent="0.25">
      <c r="A720" s="10"/>
      <c r="B720" s="10"/>
      <c r="C720" s="10"/>
      <c r="D720" s="10"/>
      <c r="E720" s="10"/>
      <c r="F720" s="10"/>
      <c r="G720" s="10"/>
      <c r="H720" s="10"/>
      <c r="I720" s="1" t="str">
        <f t="shared" si="33"/>
        <v/>
      </c>
      <c r="J720" s="1" t="s">
        <v>35</v>
      </c>
      <c r="K720" s="1" t="str">
        <f t="shared" si="34"/>
        <v/>
      </c>
      <c r="L720" s="1" t="str">
        <f t="shared" si="35"/>
        <v/>
      </c>
      <c r="M720" s="1">
        <f>IF(OR(Table1[[#This Row],[Std Nom]]="",Table1[[#This Row],[Std Read]]=""),0,Table1[[#This Row],[Std Nom]]-Table1[[#This Row],[Std Read]])</f>
        <v>0</v>
      </c>
      <c r="N720" s="1">
        <f>IF(Calculations!$F$5="ACCREDITED 17025 WITH UNCERTAINTIES",$N$10,0)</f>
        <v>0</v>
      </c>
      <c r="O720" s="1" t="str">
        <f>IFERROR(Table1[[#This Row],[Std Nom]]-(_xlfn.XLOOKUP(Table1[[#This Row],[Manufacturer]]&amp;" "&amp;Table1[[#This Row],[Model]],Table13[MFR &amp; MDL],Table13[Tolerance % CW ],"")/100*Table1[[#This Row],[Std Nom]]),"")</f>
        <v/>
      </c>
      <c r="P720" s="1" t="str">
        <f>IFERROR(Table1[[#This Row],[Std Nom]]+(_xlfn.XLOOKUP(Table1[[#This Row],[Manufacturer]]&amp;" "&amp;Table1[[#This Row],[Model]],Table13[MFR &amp; MDL],Table13[Tolerance % CW ],"")/100*Table1[[#This Row],[Std Nom]]),"")</f>
        <v/>
      </c>
      <c r="Q720" s="1" t="e">
        <f>Table1[[#This Row],[High Tol]]-Table1[[#This Row],[Low Tol]]</f>
        <v>#VALUE!</v>
      </c>
      <c r="R720" s="1">
        <f>2*Table1[[#This Row],[Std Error]]</f>
        <v>0</v>
      </c>
      <c r="S720" s="1" t="str">
        <f>IF(Table1[[#This Row],[High Tol]]="","N/A",IFERROR(ABS(Table1[[#This Row],[Tol Span]]/Table1[[#This Row],[Error Span]]),"N/A"))</f>
        <v>N/A</v>
      </c>
      <c r="T720" s="1" t="str">
        <f>IF(OR(Table1[[#This Row],[Low Tol]]="",Table1[[#This Row],[High Tol]]=""),"Needs Analysis",IF(Table1[[#This Row],[Ratio]]&gt;=4,"Not Significant",IF(Table1[[#This Row],[Ratio]]&gt;=2,"Semi-Significant","Significant")))</f>
        <v>Needs Analysis</v>
      </c>
      <c r="W720" s="1">
        <f>IF(Table1[[#This Row],[Cal Type]]&lt;&gt;"ACCREDITED 17025 WITH UNCERTAINTIES",0,"")</f>
        <v>0</v>
      </c>
      <c r="X720" s="1" t="str">
        <f>IF(Table1[[#This Row],[DUT Read]]="","N/A",Table1[[#This Row],[Std Error]]+Table1[[#This Row],[DUT Read]]+Table1[[#This Row],[DUT Ucty]])</f>
        <v>N/A</v>
      </c>
      <c r="Y720" s="1" t="str">
        <f>IF(Table1[[#This Row],[Std Read]]="","N/A",Table1[[#This Row],[Std Read]]+Table1[[#This Row],[Std Ucty]])</f>
        <v>N/A</v>
      </c>
      <c r="Z7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0" s="1" t="str">
        <f>IF(Table1[[#This Row],[Spec Type]]="","N/A",Table1[[#This Row],[Spec Type]])</f>
        <v>±</v>
      </c>
      <c r="AC720" s="1" t="str">
        <f>IF(Table1[[#This Row],[Spec Type2]]="N/A","N/A",IF(AND(Table1[[#This Row],[DUT Adj Read]]&gt;=Table1[[#This Row],[Low Tol]],Table1[[#This Row],[DUT Adj Read]]&lt;=Table1[[#This Row],[High Tol]]),"Pass","Fail"))</f>
        <v>Fail</v>
      </c>
      <c r="AD720" s="1" t="str">
        <f>IF(AND(Table1[[#This Row],[Spec Type2]]="N/A",Table1[[#This Row],[DUT Adj Read]]="N/A",Table1[[#This Row],[Std Adj Read]]="N/A"),"N/A",IF(Table1[[#This Row],[DUT Adj Read]]="N/A",IF(Table1[[#This Row],[Std Adj Read]]&gt;Table1[[#This Row],[Low Tol]],"Pass","Fail"),IF(Table1[[#This Row],[DUT Adj Read]]&gt;Table1[[#This Row],[Low Tol]],"Pass","Fail")))</f>
        <v>Pass</v>
      </c>
      <c r="AE720" s="1" t="str">
        <f>IF(AND(Table1[[#This Row],[Spec Type2]]="N/A",Table1[[#This Row],[DUT Adj Read]]="N/A",Table1[[#This Row],[Std Adj Read]]="N/A"),"N/A",IF(Table1[[#This Row],[DUT Adj Read]]="N/A",IF(Table1[[#This Row],[Std Adj Read]]&lt;Table1[[#This Row],[High Tol]],"Pass","Fail"),IF(Table1[[#This Row],[DUT Adj Read]]&lt;Table1[[#This Row],[High Tol]],"Pass","Fail")))</f>
        <v>Fail</v>
      </c>
      <c r="AF720" s="1" t="str">
        <f>IF(AND(Table1[[#This Row],[Spec Type2]]="N/A",Table1[[#This Row],[DUT Adj Read]]="N/A",Table1[[#This Row],[Std Adj Read]]="N/A"),"N/A",IF(Table1[[#This Row],[DUT Adj Read]]="N/A",IF(Table1[[#This Row],[Std Adj Read]]&gt;=Table1[[#This Row],[Low Tol]],"Pass","Fail"),IF(Table1[[#This Row],[DUT Adj Read]]&gt;=Table1[[#This Row],[Low Tol]],"Pass","Fail")))</f>
        <v>Pass</v>
      </c>
      <c r="AG720" s="1" t="str">
        <f>IF(AND(Table1[[#This Row],[Spec Type2]]="N/A",Table1[[#This Row],[DUT Adj Read]]="N/A",Table1[[#This Row],[Std Adj Read]]="N/A"),"N/A",IF(Table1[[#This Row],[DUT Adj Read]]="N/A",IF(Table1[[#This Row],[Std Adj Read]]&lt;=Table1[[#This Row],[High Tol]],"Pass","Fail"),IF(Table1[[#This Row],[DUT Adj Read]]&lt;=Table1[[#This Row],[High Tol]],"Pass","Fail")))</f>
        <v>Fail</v>
      </c>
      <c r="AH7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0" s="1" t="b">
        <v>0</v>
      </c>
      <c r="AN720" s="1" t="b">
        <v>0</v>
      </c>
      <c r="AO720" s="1" t="b">
        <v>0</v>
      </c>
    </row>
    <row r="721" spans="1:41" x14ac:dyDescent="0.25">
      <c r="A721" s="10"/>
      <c r="B721" s="10"/>
      <c r="C721" s="10"/>
      <c r="D721" s="10"/>
      <c r="E721" s="10"/>
      <c r="F721" s="10"/>
      <c r="G721" s="10"/>
      <c r="H721" s="10"/>
      <c r="I721" s="1" t="str">
        <f t="shared" si="33"/>
        <v/>
      </c>
      <c r="J721" s="1" t="s">
        <v>35</v>
      </c>
      <c r="K721" s="1" t="str">
        <f t="shared" si="34"/>
        <v/>
      </c>
      <c r="L721" s="1" t="str">
        <f t="shared" si="35"/>
        <v/>
      </c>
      <c r="M721" s="1">
        <f>IF(OR(Table1[[#This Row],[Std Nom]]="",Table1[[#This Row],[Std Read]]=""),0,Table1[[#This Row],[Std Nom]]-Table1[[#This Row],[Std Read]])</f>
        <v>0</v>
      </c>
      <c r="N721" s="1">
        <f>IF(Calculations!$F$5="ACCREDITED 17025 WITH UNCERTAINTIES",$N$10,0)</f>
        <v>0</v>
      </c>
      <c r="O721" s="1" t="str">
        <f>IFERROR(Table1[[#This Row],[Std Nom]]-(_xlfn.XLOOKUP(Table1[[#This Row],[Manufacturer]]&amp;" "&amp;Table1[[#This Row],[Model]],Table13[MFR &amp; MDL],Table13[Tolerance % CW ],"")/100*Table1[[#This Row],[Std Nom]]),"")</f>
        <v/>
      </c>
      <c r="P721" s="1" t="str">
        <f>IFERROR(Table1[[#This Row],[Std Nom]]+(_xlfn.XLOOKUP(Table1[[#This Row],[Manufacturer]]&amp;" "&amp;Table1[[#This Row],[Model]],Table13[MFR &amp; MDL],Table13[Tolerance % CW ],"")/100*Table1[[#This Row],[Std Nom]]),"")</f>
        <v/>
      </c>
      <c r="Q721" s="1" t="e">
        <f>Table1[[#This Row],[High Tol]]-Table1[[#This Row],[Low Tol]]</f>
        <v>#VALUE!</v>
      </c>
      <c r="R721" s="1">
        <f>2*Table1[[#This Row],[Std Error]]</f>
        <v>0</v>
      </c>
      <c r="S721" s="1" t="str">
        <f>IF(Table1[[#This Row],[High Tol]]="","N/A",IFERROR(ABS(Table1[[#This Row],[Tol Span]]/Table1[[#This Row],[Error Span]]),"N/A"))</f>
        <v>N/A</v>
      </c>
      <c r="T721" s="1" t="str">
        <f>IF(OR(Table1[[#This Row],[Low Tol]]="",Table1[[#This Row],[High Tol]]=""),"Needs Analysis",IF(Table1[[#This Row],[Ratio]]&gt;=4,"Not Significant",IF(Table1[[#This Row],[Ratio]]&gt;=2,"Semi-Significant","Significant")))</f>
        <v>Needs Analysis</v>
      </c>
      <c r="W721" s="1">
        <f>IF(Table1[[#This Row],[Cal Type]]&lt;&gt;"ACCREDITED 17025 WITH UNCERTAINTIES",0,"")</f>
        <v>0</v>
      </c>
      <c r="X721" s="1" t="str">
        <f>IF(Table1[[#This Row],[DUT Read]]="","N/A",Table1[[#This Row],[Std Error]]+Table1[[#This Row],[DUT Read]]+Table1[[#This Row],[DUT Ucty]])</f>
        <v>N/A</v>
      </c>
      <c r="Y721" s="1" t="str">
        <f>IF(Table1[[#This Row],[Std Read]]="","N/A",Table1[[#This Row],[Std Read]]+Table1[[#This Row],[Std Ucty]])</f>
        <v>N/A</v>
      </c>
      <c r="Z7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1" s="1" t="str">
        <f>IF(Table1[[#This Row],[Spec Type]]="","N/A",Table1[[#This Row],[Spec Type]])</f>
        <v>±</v>
      </c>
      <c r="AC721" s="1" t="str">
        <f>IF(Table1[[#This Row],[Spec Type2]]="N/A","N/A",IF(AND(Table1[[#This Row],[DUT Adj Read]]&gt;=Table1[[#This Row],[Low Tol]],Table1[[#This Row],[DUT Adj Read]]&lt;=Table1[[#This Row],[High Tol]]),"Pass","Fail"))</f>
        <v>Fail</v>
      </c>
      <c r="AD721" s="1" t="str">
        <f>IF(AND(Table1[[#This Row],[Spec Type2]]="N/A",Table1[[#This Row],[DUT Adj Read]]="N/A",Table1[[#This Row],[Std Adj Read]]="N/A"),"N/A",IF(Table1[[#This Row],[DUT Adj Read]]="N/A",IF(Table1[[#This Row],[Std Adj Read]]&gt;Table1[[#This Row],[Low Tol]],"Pass","Fail"),IF(Table1[[#This Row],[DUT Adj Read]]&gt;Table1[[#This Row],[Low Tol]],"Pass","Fail")))</f>
        <v>Pass</v>
      </c>
      <c r="AE721" s="1" t="str">
        <f>IF(AND(Table1[[#This Row],[Spec Type2]]="N/A",Table1[[#This Row],[DUT Adj Read]]="N/A",Table1[[#This Row],[Std Adj Read]]="N/A"),"N/A",IF(Table1[[#This Row],[DUT Adj Read]]="N/A",IF(Table1[[#This Row],[Std Adj Read]]&lt;Table1[[#This Row],[High Tol]],"Pass","Fail"),IF(Table1[[#This Row],[DUT Adj Read]]&lt;Table1[[#This Row],[High Tol]],"Pass","Fail")))</f>
        <v>Fail</v>
      </c>
      <c r="AF721" s="1" t="str">
        <f>IF(AND(Table1[[#This Row],[Spec Type2]]="N/A",Table1[[#This Row],[DUT Adj Read]]="N/A",Table1[[#This Row],[Std Adj Read]]="N/A"),"N/A",IF(Table1[[#This Row],[DUT Adj Read]]="N/A",IF(Table1[[#This Row],[Std Adj Read]]&gt;=Table1[[#This Row],[Low Tol]],"Pass","Fail"),IF(Table1[[#This Row],[DUT Adj Read]]&gt;=Table1[[#This Row],[Low Tol]],"Pass","Fail")))</f>
        <v>Pass</v>
      </c>
      <c r="AG721" s="1" t="str">
        <f>IF(AND(Table1[[#This Row],[Spec Type2]]="N/A",Table1[[#This Row],[DUT Adj Read]]="N/A",Table1[[#This Row],[Std Adj Read]]="N/A"),"N/A",IF(Table1[[#This Row],[DUT Adj Read]]="N/A",IF(Table1[[#This Row],[Std Adj Read]]&lt;=Table1[[#This Row],[High Tol]],"Pass","Fail"),IF(Table1[[#This Row],[DUT Adj Read]]&lt;=Table1[[#This Row],[High Tol]],"Pass","Fail")))</f>
        <v>Fail</v>
      </c>
      <c r="AH7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1" s="1" t="b">
        <v>0</v>
      </c>
      <c r="AN721" s="1" t="b">
        <v>0</v>
      </c>
      <c r="AO721" s="1" t="b">
        <v>0</v>
      </c>
    </row>
    <row r="722" spans="1:41" x14ac:dyDescent="0.25">
      <c r="A722" s="10"/>
      <c r="B722" s="10"/>
      <c r="C722" s="10"/>
      <c r="D722" s="10"/>
      <c r="E722" s="10"/>
      <c r="F722" s="10"/>
      <c r="G722" s="10"/>
      <c r="H722" s="10"/>
      <c r="I722" s="1" t="str">
        <f t="shared" si="33"/>
        <v/>
      </c>
      <c r="J722" s="1" t="s">
        <v>35</v>
      </c>
      <c r="K722" s="1" t="str">
        <f t="shared" si="34"/>
        <v/>
      </c>
      <c r="L722" s="1" t="str">
        <f t="shared" si="35"/>
        <v/>
      </c>
      <c r="M722" s="1">
        <f>IF(OR(Table1[[#This Row],[Std Nom]]="",Table1[[#This Row],[Std Read]]=""),0,Table1[[#This Row],[Std Nom]]-Table1[[#This Row],[Std Read]])</f>
        <v>0</v>
      </c>
      <c r="N722" s="1">
        <f>IF(Calculations!$F$5="ACCREDITED 17025 WITH UNCERTAINTIES",$N$10,0)</f>
        <v>0</v>
      </c>
      <c r="O722" s="1" t="str">
        <f>IFERROR(Table1[[#This Row],[Std Nom]]-(_xlfn.XLOOKUP(Table1[[#This Row],[Manufacturer]]&amp;" "&amp;Table1[[#This Row],[Model]],Table13[MFR &amp; MDL],Table13[Tolerance % CW ],"")/100*Table1[[#This Row],[Std Nom]]),"")</f>
        <v/>
      </c>
      <c r="P722" s="1" t="str">
        <f>IFERROR(Table1[[#This Row],[Std Nom]]+(_xlfn.XLOOKUP(Table1[[#This Row],[Manufacturer]]&amp;" "&amp;Table1[[#This Row],[Model]],Table13[MFR &amp; MDL],Table13[Tolerance % CW ],"")/100*Table1[[#This Row],[Std Nom]]),"")</f>
        <v/>
      </c>
      <c r="Q722" s="1" t="e">
        <f>Table1[[#This Row],[High Tol]]-Table1[[#This Row],[Low Tol]]</f>
        <v>#VALUE!</v>
      </c>
      <c r="R722" s="1">
        <f>2*Table1[[#This Row],[Std Error]]</f>
        <v>0</v>
      </c>
      <c r="S722" s="1" t="str">
        <f>IF(Table1[[#This Row],[High Tol]]="","N/A",IFERROR(ABS(Table1[[#This Row],[Tol Span]]/Table1[[#This Row],[Error Span]]),"N/A"))</f>
        <v>N/A</v>
      </c>
      <c r="T722" s="1" t="str">
        <f>IF(OR(Table1[[#This Row],[Low Tol]]="",Table1[[#This Row],[High Tol]]=""),"Needs Analysis",IF(Table1[[#This Row],[Ratio]]&gt;=4,"Not Significant",IF(Table1[[#This Row],[Ratio]]&gt;=2,"Semi-Significant","Significant")))</f>
        <v>Needs Analysis</v>
      </c>
      <c r="W722" s="1">
        <f>IF(Table1[[#This Row],[Cal Type]]&lt;&gt;"ACCREDITED 17025 WITH UNCERTAINTIES",0,"")</f>
        <v>0</v>
      </c>
      <c r="X722" s="1" t="str">
        <f>IF(Table1[[#This Row],[DUT Read]]="","N/A",Table1[[#This Row],[Std Error]]+Table1[[#This Row],[DUT Read]]+Table1[[#This Row],[DUT Ucty]])</f>
        <v>N/A</v>
      </c>
      <c r="Y722" s="1" t="str">
        <f>IF(Table1[[#This Row],[Std Read]]="","N/A",Table1[[#This Row],[Std Read]]+Table1[[#This Row],[Std Ucty]])</f>
        <v>N/A</v>
      </c>
      <c r="Z7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2" s="1" t="str">
        <f>IF(Table1[[#This Row],[Spec Type]]="","N/A",Table1[[#This Row],[Spec Type]])</f>
        <v>±</v>
      </c>
      <c r="AC722" s="1" t="str">
        <f>IF(Table1[[#This Row],[Spec Type2]]="N/A","N/A",IF(AND(Table1[[#This Row],[DUT Adj Read]]&gt;=Table1[[#This Row],[Low Tol]],Table1[[#This Row],[DUT Adj Read]]&lt;=Table1[[#This Row],[High Tol]]),"Pass","Fail"))</f>
        <v>Fail</v>
      </c>
      <c r="AD722" s="1" t="str">
        <f>IF(AND(Table1[[#This Row],[Spec Type2]]="N/A",Table1[[#This Row],[DUT Adj Read]]="N/A",Table1[[#This Row],[Std Adj Read]]="N/A"),"N/A",IF(Table1[[#This Row],[DUT Adj Read]]="N/A",IF(Table1[[#This Row],[Std Adj Read]]&gt;Table1[[#This Row],[Low Tol]],"Pass","Fail"),IF(Table1[[#This Row],[DUT Adj Read]]&gt;Table1[[#This Row],[Low Tol]],"Pass","Fail")))</f>
        <v>Pass</v>
      </c>
      <c r="AE722" s="1" t="str">
        <f>IF(AND(Table1[[#This Row],[Spec Type2]]="N/A",Table1[[#This Row],[DUT Adj Read]]="N/A",Table1[[#This Row],[Std Adj Read]]="N/A"),"N/A",IF(Table1[[#This Row],[DUT Adj Read]]="N/A",IF(Table1[[#This Row],[Std Adj Read]]&lt;Table1[[#This Row],[High Tol]],"Pass","Fail"),IF(Table1[[#This Row],[DUT Adj Read]]&lt;Table1[[#This Row],[High Tol]],"Pass","Fail")))</f>
        <v>Fail</v>
      </c>
      <c r="AF722" s="1" t="str">
        <f>IF(AND(Table1[[#This Row],[Spec Type2]]="N/A",Table1[[#This Row],[DUT Adj Read]]="N/A",Table1[[#This Row],[Std Adj Read]]="N/A"),"N/A",IF(Table1[[#This Row],[DUT Adj Read]]="N/A",IF(Table1[[#This Row],[Std Adj Read]]&gt;=Table1[[#This Row],[Low Tol]],"Pass","Fail"),IF(Table1[[#This Row],[DUT Adj Read]]&gt;=Table1[[#This Row],[Low Tol]],"Pass","Fail")))</f>
        <v>Pass</v>
      </c>
      <c r="AG722" s="1" t="str">
        <f>IF(AND(Table1[[#This Row],[Spec Type2]]="N/A",Table1[[#This Row],[DUT Adj Read]]="N/A",Table1[[#This Row],[Std Adj Read]]="N/A"),"N/A",IF(Table1[[#This Row],[DUT Adj Read]]="N/A",IF(Table1[[#This Row],[Std Adj Read]]&lt;=Table1[[#This Row],[High Tol]],"Pass","Fail"),IF(Table1[[#This Row],[DUT Adj Read]]&lt;=Table1[[#This Row],[High Tol]],"Pass","Fail")))</f>
        <v>Fail</v>
      </c>
      <c r="AH7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2" s="1" t="b">
        <v>0</v>
      </c>
      <c r="AN722" s="1" t="b">
        <v>0</v>
      </c>
      <c r="AO722" s="1" t="b">
        <v>0</v>
      </c>
    </row>
    <row r="723" spans="1:41" x14ac:dyDescent="0.25">
      <c r="A723" s="10"/>
      <c r="B723" s="10"/>
      <c r="C723" s="10"/>
      <c r="D723" s="10"/>
      <c r="E723" s="10"/>
      <c r="F723" s="10"/>
      <c r="G723" s="10"/>
      <c r="H723" s="10"/>
      <c r="I723" s="1" t="str">
        <f t="shared" si="33"/>
        <v/>
      </c>
      <c r="J723" s="1" t="s">
        <v>35</v>
      </c>
      <c r="K723" s="1" t="str">
        <f t="shared" si="34"/>
        <v/>
      </c>
      <c r="L723" s="1" t="str">
        <f t="shared" si="35"/>
        <v/>
      </c>
      <c r="M723" s="1">
        <f>IF(OR(Table1[[#This Row],[Std Nom]]="",Table1[[#This Row],[Std Read]]=""),0,Table1[[#This Row],[Std Nom]]-Table1[[#This Row],[Std Read]])</f>
        <v>0</v>
      </c>
      <c r="N723" s="1">
        <f>IF(Calculations!$F$5="ACCREDITED 17025 WITH UNCERTAINTIES",$N$10,0)</f>
        <v>0</v>
      </c>
      <c r="O723" s="1" t="str">
        <f>IFERROR(Table1[[#This Row],[Std Nom]]-(_xlfn.XLOOKUP(Table1[[#This Row],[Manufacturer]]&amp;" "&amp;Table1[[#This Row],[Model]],Table13[MFR &amp; MDL],Table13[Tolerance % CW ],"")/100*Table1[[#This Row],[Std Nom]]),"")</f>
        <v/>
      </c>
      <c r="P723" s="1" t="str">
        <f>IFERROR(Table1[[#This Row],[Std Nom]]+(_xlfn.XLOOKUP(Table1[[#This Row],[Manufacturer]]&amp;" "&amp;Table1[[#This Row],[Model]],Table13[MFR &amp; MDL],Table13[Tolerance % CW ],"")/100*Table1[[#This Row],[Std Nom]]),"")</f>
        <v/>
      </c>
      <c r="Q723" s="1" t="e">
        <f>Table1[[#This Row],[High Tol]]-Table1[[#This Row],[Low Tol]]</f>
        <v>#VALUE!</v>
      </c>
      <c r="R723" s="1">
        <f>2*Table1[[#This Row],[Std Error]]</f>
        <v>0</v>
      </c>
      <c r="S723" s="1" t="str">
        <f>IF(Table1[[#This Row],[High Tol]]="","N/A",IFERROR(ABS(Table1[[#This Row],[Tol Span]]/Table1[[#This Row],[Error Span]]),"N/A"))</f>
        <v>N/A</v>
      </c>
      <c r="T723" s="1" t="str">
        <f>IF(OR(Table1[[#This Row],[Low Tol]]="",Table1[[#This Row],[High Tol]]=""),"Needs Analysis",IF(Table1[[#This Row],[Ratio]]&gt;=4,"Not Significant",IF(Table1[[#This Row],[Ratio]]&gt;=2,"Semi-Significant","Significant")))</f>
        <v>Needs Analysis</v>
      </c>
      <c r="W723" s="1">
        <f>IF(Table1[[#This Row],[Cal Type]]&lt;&gt;"ACCREDITED 17025 WITH UNCERTAINTIES",0,"")</f>
        <v>0</v>
      </c>
      <c r="X723" s="1" t="str">
        <f>IF(Table1[[#This Row],[DUT Read]]="","N/A",Table1[[#This Row],[Std Error]]+Table1[[#This Row],[DUT Read]]+Table1[[#This Row],[DUT Ucty]])</f>
        <v>N/A</v>
      </c>
      <c r="Y723" s="1" t="str">
        <f>IF(Table1[[#This Row],[Std Read]]="","N/A",Table1[[#This Row],[Std Read]]+Table1[[#This Row],[Std Ucty]])</f>
        <v>N/A</v>
      </c>
      <c r="Z7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3" s="1" t="str">
        <f>IF(Table1[[#This Row],[Spec Type]]="","N/A",Table1[[#This Row],[Spec Type]])</f>
        <v>±</v>
      </c>
      <c r="AC723" s="1" t="str">
        <f>IF(Table1[[#This Row],[Spec Type2]]="N/A","N/A",IF(AND(Table1[[#This Row],[DUT Adj Read]]&gt;=Table1[[#This Row],[Low Tol]],Table1[[#This Row],[DUT Adj Read]]&lt;=Table1[[#This Row],[High Tol]]),"Pass","Fail"))</f>
        <v>Fail</v>
      </c>
      <c r="AD723" s="1" t="str">
        <f>IF(AND(Table1[[#This Row],[Spec Type2]]="N/A",Table1[[#This Row],[DUT Adj Read]]="N/A",Table1[[#This Row],[Std Adj Read]]="N/A"),"N/A",IF(Table1[[#This Row],[DUT Adj Read]]="N/A",IF(Table1[[#This Row],[Std Adj Read]]&gt;Table1[[#This Row],[Low Tol]],"Pass","Fail"),IF(Table1[[#This Row],[DUT Adj Read]]&gt;Table1[[#This Row],[Low Tol]],"Pass","Fail")))</f>
        <v>Pass</v>
      </c>
      <c r="AE723" s="1" t="str">
        <f>IF(AND(Table1[[#This Row],[Spec Type2]]="N/A",Table1[[#This Row],[DUT Adj Read]]="N/A",Table1[[#This Row],[Std Adj Read]]="N/A"),"N/A",IF(Table1[[#This Row],[DUT Adj Read]]="N/A",IF(Table1[[#This Row],[Std Adj Read]]&lt;Table1[[#This Row],[High Tol]],"Pass","Fail"),IF(Table1[[#This Row],[DUT Adj Read]]&lt;Table1[[#This Row],[High Tol]],"Pass","Fail")))</f>
        <v>Fail</v>
      </c>
      <c r="AF723" s="1" t="str">
        <f>IF(AND(Table1[[#This Row],[Spec Type2]]="N/A",Table1[[#This Row],[DUT Adj Read]]="N/A",Table1[[#This Row],[Std Adj Read]]="N/A"),"N/A",IF(Table1[[#This Row],[DUT Adj Read]]="N/A",IF(Table1[[#This Row],[Std Adj Read]]&gt;=Table1[[#This Row],[Low Tol]],"Pass","Fail"),IF(Table1[[#This Row],[DUT Adj Read]]&gt;=Table1[[#This Row],[Low Tol]],"Pass","Fail")))</f>
        <v>Pass</v>
      </c>
      <c r="AG723" s="1" t="str">
        <f>IF(AND(Table1[[#This Row],[Spec Type2]]="N/A",Table1[[#This Row],[DUT Adj Read]]="N/A",Table1[[#This Row],[Std Adj Read]]="N/A"),"N/A",IF(Table1[[#This Row],[DUT Adj Read]]="N/A",IF(Table1[[#This Row],[Std Adj Read]]&lt;=Table1[[#This Row],[High Tol]],"Pass","Fail"),IF(Table1[[#This Row],[DUT Adj Read]]&lt;=Table1[[#This Row],[High Tol]],"Pass","Fail")))</f>
        <v>Fail</v>
      </c>
      <c r="AH7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3" s="1" t="b">
        <v>0</v>
      </c>
      <c r="AN723" s="1" t="b">
        <v>0</v>
      </c>
      <c r="AO723" s="1" t="b">
        <v>0</v>
      </c>
    </row>
    <row r="724" spans="1:41" x14ac:dyDescent="0.25">
      <c r="A724" s="10"/>
      <c r="B724" s="10"/>
      <c r="C724" s="10"/>
      <c r="D724" s="10"/>
      <c r="E724" s="10"/>
      <c r="F724" s="10"/>
      <c r="G724" s="10"/>
      <c r="H724" s="10"/>
      <c r="I724" s="1" t="str">
        <f t="shared" si="33"/>
        <v/>
      </c>
      <c r="J724" s="1" t="s">
        <v>35</v>
      </c>
      <c r="K724" s="1" t="str">
        <f t="shared" si="34"/>
        <v/>
      </c>
      <c r="L724" s="1" t="str">
        <f t="shared" si="35"/>
        <v/>
      </c>
      <c r="M724" s="1">
        <f>IF(OR(Table1[[#This Row],[Std Nom]]="",Table1[[#This Row],[Std Read]]=""),0,Table1[[#This Row],[Std Nom]]-Table1[[#This Row],[Std Read]])</f>
        <v>0</v>
      </c>
      <c r="N724" s="1">
        <f>IF(Calculations!$F$5="ACCREDITED 17025 WITH UNCERTAINTIES",$N$10,0)</f>
        <v>0</v>
      </c>
      <c r="O724" s="1" t="str">
        <f>IFERROR(Table1[[#This Row],[Std Nom]]-(_xlfn.XLOOKUP(Table1[[#This Row],[Manufacturer]]&amp;" "&amp;Table1[[#This Row],[Model]],Table13[MFR &amp; MDL],Table13[Tolerance % CW ],"")/100*Table1[[#This Row],[Std Nom]]),"")</f>
        <v/>
      </c>
      <c r="P724" s="1" t="str">
        <f>IFERROR(Table1[[#This Row],[Std Nom]]+(_xlfn.XLOOKUP(Table1[[#This Row],[Manufacturer]]&amp;" "&amp;Table1[[#This Row],[Model]],Table13[MFR &amp; MDL],Table13[Tolerance % CW ],"")/100*Table1[[#This Row],[Std Nom]]),"")</f>
        <v/>
      </c>
      <c r="Q724" s="1" t="e">
        <f>Table1[[#This Row],[High Tol]]-Table1[[#This Row],[Low Tol]]</f>
        <v>#VALUE!</v>
      </c>
      <c r="R724" s="1">
        <f>2*Table1[[#This Row],[Std Error]]</f>
        <v>0</v>
      </c>
      <c r="S724" s="1" t="str">
        <f>IF(Table1[[#This Row],[High Tol]]="","N/A",IFERROR(ABS(Table1[[#This Row],[Tol Span]]/Table1[[#This Row],[Error Span]]),"N/A"))</f>
        <v>N/A</v>
      </c>
      <c r="T724" s="1" t="str">
        <f>IF(OR(Table1[[#This Row],[Low Tol]]="",Table1[[#This Row],[High Tol]]=""),"Needs Analysis",IF(Table1[[#This Row],[Ratio]]&gt;=4,"Not Significant",IF(Table1[[#This Row],[Ratio]]&gt;=2,"Semi-Significant","Significant")))</f>
        <v>Needs Analysis</v>
      </c>
      <c r="W724" s="1">
        <f>IF(Table1[[#This Row],[Cal Type]]&lt;&gt;"ACCREDITED 17025 WITH UNCERTAINTIES",0,"")</f>
        <v>0</v>
      </c>
      <c r="X724" s="1" t="str">
        <f>IF(Table1[[#This Row],[DUT Read]]="","N/A",Table1[[#This Row],[Std Error]]+Table1[[#This Row],[DUT Read]]+Table1[[#This Row],[DUT Ucty]])</f>
        <v>N/A</v>
      </c>
      <c r="Y724" s="1" t="str">
        <f>IF(Table1[[#This Row],[Std Read]]="","N/A",Table1[[#This Row],[Std Read]]+Table1[[#This Row],[Std Ucty]])</f>
        <v>N/A</v>
      </c>
      <c r="Z7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4" s="1" t="str">
        <f>IF(Table1[[#This Row],[Spec Type]]="","N/A",Table1[[#This Row],[Spec Type]])</f>
        <v>±</v>
      </c>
      <c r="AC724" s="1" t="str">
        <f>IF(Table1[[#This Row],[Spec Type2]]="N/A","N/A",IF(AND(Table1[[#This Row],[DUT Adj Read]]&gt;=Table1[[#This Row],[Low Tol]],Table1[[#This Row],[DUT Adj Read]]&lt;=Table1[[#This Row],[High Tol]]),"Pass","Fail"))</f>
        <v>Fail</v>
      </c>
      <c r="AD724" s="1" t="str">
        <f>IF(AND(Table1[[#This Row],[Spec Type2]]="N/A",Table1[[#This Row],[DUT Adj Read]]="N/A",Table1[[#This Row],[Std Adj Read]]="N/A"),"N/A",IF(Table1[[#This Row],[DUT Adj Read]]="N/A",IF(Table1[[#This Row],[Std Adj Read]]&gt;Table1[[#This Row],[Low Tol]],"Pass","Fail"),IF(Table1[[#This Row],[DUT Adj Read]]&gt;Table1[[#This Row],[Low Tol]],"Pass","Fail")))</f>
        <v>Pass</v>
      </c>
      <c r="AE724" s="1" t="str">
        <f>IF(AND(Table1[[#This Row],[Spec Type2]]="N/A",Table1[[#This Row],[DUT Adj Read]]="N/A",Table1[[#This Row],[Std Adj Read]]="N/A"),"N/A",IF(Table1[[#This Row],[DUT Adj Read]]="N/A",IF(Table1[[#This Row],[Std Adj Read]]&lt;Table1[[#This Row],[High Tol]],"Pass","Fail"),IF(Table1[[#This Row],[DUT Adj Read]]&lt;Table1[[#This Row],[High Tol]],"Pass","Fail")))</f>
        <v>Fail</v>
      </c>
      <c r="AF724" s="1" t="str">
        <f>IF(AND(Table1[[#This Row],[Spec Type2]]="N/A",Table1[[#This Row],[DUT Adj Read]]="N/A",Table1[[#This Row],[Std Adj Read]]="N/A"),"N/A",IF(Table1[[#This Row],[DUT Adj Read]]="N/A",IF(Table1[[#This Row],[Std Adj Read]]&gt;=Table1[[#This Row],[Low Tol]],"Pass","Fail"),IF(Table1[[#This Row],[DUT Adj Read]]&gt;=Table1[[#This Row],[Low Tol]],"Pass","Fail")))</f>
        <v>Pass</v>
      </c>
      <c r="AG724" s="1" t="str">
        <f>IF(AND(Table1[[#This Row],[Spec Type2]]="N/A",Table1[[#This Row],[DUT Adj Read]]="N/A",Table1[[#This Row],[Std Adj Read]]="N/A"),"N/A",IF(Table1[[#This Row],[DUT Adj Read]]="N/A",IF(Table1[[#This Row],[Std Adj Read]]&lt;=Table1[[#This Row],[High Tol]],"Pass","Fail"),IF(Table1[[#This Row],[DUT Adj Read]]&lt;=Table1[[#This Row],[High Tol]],"Pass","Fail")))</f>
        <v>Fail</v>
      </c>
      <c r="AH7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4" s="1" t="b">
        <v>0</v>
      </c>
      <c r="AN724" s="1" t="b">
        <v>0</v>
      </c>
      <c r="AO724" s="1" t="b">
        <v>0</v>
      </c>
    </row>
    <row r="725" spans="1:41" x14ac:dyDescent="0.25">
      <c r="A725" s="10"/>
      <c r="B725" s="10"/>
      <c r="C725" s="10"/>
      <c r="D725" s="10"/>
      <c r="E725" s="10"/>
      <c r="F725" s="10"/>
      <c r="G725" s="10"/>
      <c r="H725" s="10"/>
      <c r="I725" s="1" t="str">
        <f t="shared" si="33"/>
        <v/>
      </c>
      <c r="J725" s="1" t="s">
        <v>35</v>
      </c>
      <c r="K725" s="1" t="str">
        <f t="shared" si="34"/>
        <v/>
      </c>
      <c r="L725" s="1" t="str">
        <f t="shared" si="35"/>
        <v/>
      </c>
      <c r="M725" s="1">
        <f>IF(OR(Table1[[#This Row],[Std Nom]]="",Table1[[#This Row],[Std Read]]=""),0,Table1[[#This Row],[Std Nom]]-Table1[[#This Row],[Std Read]])</f>
        <v>0</v>
      </c>
      <c r="N725" s="1">
        <f>IF(Calculations!$F$5="ACCREDITED 17025 WITH UNCERTAINTIES",$N$10,0)</f>
        <v>0</v>
      </c>
      <c r="O725" s="1" t="str">
        <f>IFERROR(Table1[[#This Row],[Std Nom]]-(_xlfn.XLOOKUP(Table1[[#This Row],[Manufacturer]]&amp;" "&amp;Table1[[#This Row],[Model]],Table13[MFR &amp; MDL],Table13[Tolerance % CW ],"")/100*Table1[[#This Row],[Std Nom]]),"")</f>
        <v/>
      </c>
      <c r="P725" s="1" t="str">
        <f>IFERROR(Table1[[#This Row],[Std Nom]]+(_xlfn.XLOOKUP(Table1[[#This Row],[Manufacturer]]&amp;" "&amp;Table1[[#This Row],[Model]],Table13[MFR &amp; MDL],Table13[Tolerance % CW ],"")/100*Table1[[#This Row],[Std Nom]]),"")</f>
        <v/>
      </c>
      <c r="Q725" s="1" t="e">
        <f>Table1[[#This Row],[High Tol]]-Table1[[#This Row],[Low Tol]]</f>
        <v>#VALUE!</v>
      </c>
      <c r="R725" s="1">
        <f>2*Table1[[#This Row],[Std Error]]</f>
        <v>0</v>
      </c>
      <c r="S725" s="1" t="str">
        <f>IF(Table1[[#This Row],[High Tol]]="","N/A",IFERROR(ABS(Table1[[#This Row],[Tol Span]]/Table1[[#This Row],[Error Span]]),"N/A"))</f>
        <v>N/A</v>
      </c>
      <c r="T725" s="1" t="str">
        <f>IF(OR(Table1[[#This Row],[Low Tol]]="",Table1[[#This Row],[High Tol]]=""),"Needs Analysis",IF(Table1[[#This Row],[Ratio]]&gt;=4,"Not Significant",IF(Table1[[#This Row],[Ratio]]&gt;=2,"Semi-Significant","Significant")))</f>
        <v>Needs Analysis</v>
      </c>
      <c r="W725" s="1">
        <f>IF(Table1[[#This Row],[Cal Type]]&lt;&gt;"ACCREDITED 17025 WITH UNCERTAINTIES",0,"")</f>
        <v>0</v>
      </c>
      <c r="X725" s="1" t="str">
        <f>IF(Table1[[#This Row],[DUT Read]]="","N/A",Table1[[#This Row],[Std Error]]+Table1[[#This Row],[DUT Read]]+Table1[[#This Row],[DUT Ucty]])</f>
        <v>N/A</v>
      </c>
      <c r="Y725" s="1" t="str">
        <f>IF(Table1[[#This Row],[Std Read]]="","N/A",Table1[[#This Row],[Std Read]]+Table1[[#This Row],[Std Ucty]])</f>
        <v>N/A</v>
      </c>
      <c r="Z7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5" s="1" t="str">
        <f>IF(Table1[[#This Row],[Spec Type]]="","N/A",Table1[[#This Row],[Spec Type]])</f>
        <v>±</v>
      </c>
      <c r="AC725" s="1" t="str">
        <f>IF(Table1[[#This Row],[Spec Type2]]="N/A","N/A",IF(AND(Table1[[#This Row],[DUT Adj Read]]&gt;=Table1[[#This Row],[Low Tol]],Table1[[#This Row],[DUT Adj Read]]&lt;=Table1[[#This Row],[High Tol]]),"Pass","Fail"))</f>
        <v>Fail</v>
      </c>
      <c r="AD725" s="1" t="str">
        <f>IF(AND(Table1[[#This Row],[Spec Type2]]="N/A",Table1[[#This Row],[DUT Adj Read]]="N/A",Table1[[#This Row],[Std Adj Read]]="N/A"),"N/A",IF(Table1[[#This Row],[DUT Adj Read]]="N/A",IF(Table1[[#This Row],[Std Adj Read]]&gt;Table1[[#This Row],[Low Tol]],"Pass","Fail"),IF(Table1[[#This Row],[DUT Adj Read]]&gt;Table1[[#This Row],[Low Tol]],"Pass","Fail")))</f>
        <v>Pass</v>
      </c>
      <c r="AE725" s="1" t="str">
        <f>IF(AND(Table1[[#This Row],[Spec Type2]]="N/A",Table1[[#This Row],[DUT Adj Read]]="N/A",Table1[[#This Row],[Std Adj Read]]="N/A"),"N/A",IF(Table1[[#This Row],[DUT Adj Read]]="N/A",IF(Table1[[#This Row],[Std Adj Read]]&lt;Table1[[#This Row],[High Tol]],"Pass","Fail"),IF(Table1[[#This Row],[DUT Adj Read]]&lt;Table1[[#This Row],[High Tol]],"Pass","Fail")))</f>
        <v>Fail</v>
      </c>
      <c r="AF725" s="1" t="str">
        <f>IF(AND(Table1[[#This Row],[Spec Type2]]="N/A",Table1[[#This Row],[DUT Adj Read]]="N/A",Table1[[#This Row],[Std Adj Read]]="N/A"),"N/A",IF(Table1[[#This Row],[DUT Adj Read]]="N/A",IF(Table1[[#This Row],[Std Adj Read]]&gt;=Table1[[#This Row],[Low Tol]],"Pass","Fail"),IF(Table1[[#This Row],[DUT Adj Read]]&gt;=Table1[[#This Row],[Low Tol]],"Pass","Fail")))</f>
        <v>Pass</v>
      </c>
      <c r="AG725" s="1" t="str">
        <f>IF(AND(Table1[[#This Row],[Spec Type2]]="N/A",Table1[[#This Row],[DUT Adj Read]]="N/A",Table1[[#This Row],[Std Adj Read]]="N/A"),"N/A",IF(Table1[[#This Row],[DUT Adj Read]]="N/A",IF(Table1[[#This Row],[Std Adj Read]]&lt;=Table1[[#This Row],[High Tol]],"Pass","Fail"),IF(Table1[[#This Row],[DUT Adj Read]]&lt;=Table1[[#This Row],[High Tol]],"Pass","Fail")))</f>
        <v>Fail</v>
      </c>
      <c r="AH7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5" s="1" t="b">
        <v>0</v>
      </c>
      <c r="AN725" s="1" t="b">
        <v>0</v>
      </c>
      <c r="AO725" s="1" t="b">
        <v>0</v>
      </c>
    </row>
    <row r="726" spans="1:41" x14ac:dyDescent="0.25">
      <c r="A726" s="10"/>
      <c r="B726" s="10"/>
      <c r="C726" s="10"/>
      <c r="D726" s="10"/>
      <c r="E726" s="10"/>
      <c r="F726" s="10"/>
      <c r="G726" s="10"/>
      <c r="H726" s="10"/>
      <c r="I726" s="1" t="str">
        <f t="shared" si="33"/>
        <v/>
      </c>
      <c r="J726" s="1" t="s">
        <v>35</v>
      </c>
      <c r="K726" s="1" t="str">
        <f t="shared" si="34"/>
        <v/>
      </c>
      <c r="L726" s="1" t="str">
        <f t="shared" si="35"/>
        <v/>
      </c>
      <c r="M726" s="1">
        <f>IF(OR(Table1[[#This Row],[Std Nom]]="",Table1[[#This Row],[Std Read]]=""),0,Table1[[#This Row],[Std Nom]]-Table1[[#This Row],[Std Read]])</f>
        <v>0</v>
      </c>
      <c r="N726" s="1">
        <f>IF(Calculations!$F$5="ACCREDITED 17025 WITH UNCERTAINTIES",$N$10,0)</f>
        <v>0</v>
      </c>
      <c r="O726" s="1" t="str">
        <f>IFERROR(Table1[[#This Row],[Std Nom]]-(_xlfn.XLOOKUP(Table1[[#This Row],[Manufacturer]]&amp;" "&amp;Table1[[#This Row],[Model]],Table13[MFR &amp; MDL],Table13[Tolerance % CW ],"")/100*Table1[[#This Row],[Std Nom]]),"")</f>
        <v/>
      </c>
      <c r="P726" s="1" t="str">
        <f>IFERROR(Table1[[#This Row],[Std Nom]]+(_xlfn.XLOOKUP(Table1[[#This Row],[Manufacturer]]&amp;" "&amp;Table1[[#This Row],[Model]],Table13[MFR &amp; MDL],Table13[Tolerance % CW ],"")/100*Table1[[#This Row],[Std Nom]]),"")</f>
        <v/>
      </c>
      <c r="Q726" s="1" t="e">
        <f>Table1[[#This Row],[High Tol]]-Table1[[#This Row],[Low Tol]]</f>
        <v>#VALUE!</v>
      </c>
      <c r="R726" s="1">
        <f>2*Table1[[#This Row],[Std Error]]</f>
        <v>0</v>
      </c>
      <c r="S726" s="1" t="str">
        <f>IF(Table1[[#This Row],[High Tol]]="","N/A",IFERROR(ABS(Table1[[#This Row],[Tol Span]]/Table1[[#This Row],[Error Span]]),"N/A"))</f>
        <v>N/A</v>
      </c>
      <c r="T726" s="1" t="str">
        <f>IF(OR(Table1[[#This Row],[Low Tol]]="",Table1[[#This Row],[High Tol]]=""),"Needs Analysis",IF(Table1[[#This Row],[Ratio]]&gt;=4,"Not Significant",IF(Table1[[#This Row],[Ratio]]&gt;=2,"Semi-Significant","Significant")))</f>
        <v>Needs Analysis</v>
      </c>
      <c r="W726" s="1">
        <f>IF(Table1[[#This Row],[Cal Type]]&lt;&gt;"ACCREDITED 17025 WITH UNCERTAINTIES",0,"")</f>
        <v>0</v>
      </c>
      <c r="X726" s="1" t="str">
        <f>IF(Table1[[#This Row],[DUT Read]]="","N/A",Table1[[#This Row],[Std Error]]+Table1[[#This Row],[DUT Read]]+Table1[[#This Row],[DUT Ucty]])</f>
        <v>N/A</v>
      </c>
      <c r="Y726" s="1" t="str">
        <f>IF(Table1[[#This Row],[Std Read]]="","N/A",Table1[[#This Row],[Std Read]]+Table1[[#This Row],[Std Ucty]])</f>
        <v>N/A</v>
      </c>
      <c r="Z7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6" s="1" t="str">
        <f>IF(Table1[[#This Row],[Spec Type]]="","N/A",Table1[[#This Row],[Spec Type]])</f>
        <v>±</v>
      </c>
      <c r="AC726" s="1" t="str">
        <f>IF(Table1[[#This Row],[Spec Type2]]="N/A","N/A",IF(AND(Table1[[#This Row],[DUT Adj Read]]&gt;=Table1[[#This Row],[Low Tol]],Table1[[#This Row],[DUT Adj Read]]&lt;=Table1[[#This Row],[High Tol]]),"Pass","Fail"))</f>
        <v>Fail</v>
      </c>
      <c r="AD726" s="1" t="str">
        <f>IF(AND(Table1[[#This Row],[Spec Type2]]="N/A",Table1[[#This Row],[DUT Adj Read]]="N/A",Table1[[#This Row],[Std Adj Read]]="N/A"),"N/A",IF(Table1[[#This Row],[DUT Adj Read]]="N/A",IF(Table1[[#This Row],[Std Adj Read]]&gt;Table1[[#This Row],[Low Tol]],"Pass","Fail"),IF(Table1[[#This Row],[DUT Adj Read]]&gt;Table1[[#This Row],[Low Tol]],"Pass","Fail")))</f>
        <v>Pass</v>
      </c>
      <c r="AE726" s="1" t="str">
        <f>IF(AND(Table1[[#This Row],[Spec Type2]]="N/A",Table1[[#This Row],[DUT Adj Read]]="N/A",Table1[[#This Row],[Std Adj Read]]="N/A"),"N/A",IF(Table1[[#This Row],[DUT Adj Read]]="N/A",IF(Table1[[#This Row],[Std Adj Read]]&lt;Table1[[#This Row],[High Tol]],"Pass","Fail"),IF(Table1[[#This Row],[DUT Adj Read]]&lt;Table1[[#This Row],[High Tol]],"Pass","Fail")))</f>
        <v>Fail</v>
      </c>
      <c r="AF726" s="1" t="str">
        <f>IF(AND(Table1[[#This Row],[Spec Type2]]="N/A",Table1[[#This Row],[DUT Adj Read]]="N/A",Table1[[#This Row],[Std Adj Read]]="N/A"),"N/A",IF(Table1[[#This Row],[DUT Adj Read]]="N/A",IF(Table1[[#This Row],[Std Adj Read]]&gt;=Table1[[#This Row],[Low Tol]],"Pass","Fail"),IF(Table1[[#This Row],[DUT Adj Read]]&gt;=Table1[[#This Row],[Low Tol]],"Pass","Fail")))</f>
        <v>Pass</v>
      </c>
      <c r="AG726" s="1" t="str">
        <f>IF(AND(Table1[[#This Row],[Spec Type2]]="N/A",Table1[[#This Row],[DUT Adj Read]]="N/A",Table1[[#This Row],[Std Adj Read]]="N/A"),"N/A",IF(Table1[[#This Row],[DUT Adj Read]]="N/A",IF(Table1[[#This Row],[Std Adj Read]]&lt;=Table1[[#This Row],[High Tol]],"Pass","Fail"),IF(Table1[[#This Row],[DUT Adj Read]]&lt;=Table1[[#This Row],[High Tol]],"Pass","Fail")))</f>
        <v>Fail</v>
      </c>
      <c r="AH7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6" s="1" t="b">
        <v>0</v>
      </c>
      <c r="AN726" s="1" t="b">
        <v>0</v>
      </c>
      <c r="AO726" s="1" t="b">
        <v>0</v>
      </c>
    </row>
    <row r="727" spans="1:41" x14ac:dyDescent="0.25">
      <c r="A727" s="10"/>
      <c r="B727" s="10"/>
      <c r="C727" s="10"/>
      <c r="D727" s="10"/>
      <c r="E727" s="10"/>
      <c r="F727" s="10"/>
      <c r="G727" s="10"/>
      <c r="H727" s="10"/>
      <c r="I727" s="1" t="str">
        <f t="shared" si="33"/>
        <v/>
      </c>
      <c r="J727" s="1" t="s">
        <v>35</v>
      </c>
      <c r="K727" s="1" t="str">
        <f t="shared" si="34"/>
        <v/>
      </c>
      <c r="L727" s="1" t="str">
        <f t="shared" si="35"/>
        <v/>
      </c>
      <c r="M727" s="1">
        <f>IF(OR(Table1[[#This Row],[Std Nom]]="",Table1[[#This Row],[Std Read]]=""),0,Table1[[#This Row],[Std Nom]]-Table1[[#This Row],[Std Read]])</f>
        <v>0</v>
      </c>
      <c r="N727" s="1">
        <f>IF(Calculations!$F$5="ACCREDITED 17025 WITH UNCERTAINTIES",$N$10,0)</f>
        <v>0</v>
      </c>
      <c r="O727" s="1" t="str">
        <f>IFERROR(Table1[[#This Row],[Std Nom]]-(_xlfn.XLOOKUP(Table1[[#This Row],[Manufacturer]]&amp;" "&amp;Table1[[#This Row],[Model]],Table13[MFR &amp; MDL],Table13[Tolerance % CW ],"")/100*Table1[[#This Row],[Std Nom]]),"")</f>
        <v/>
      </c>
      <c r="P727" s="1" t="str">
        <f>IFERROR(Table1[[#This Row],[Std Nom]]+(_xlfn.XLOOKUP(Table1[[#This Row],[Manufacturer]]&amp;" "&amp;Table1[[#This Row],[Model]],Table13[MFR &amp; MDL],Table13[Tolerance % CW ],"")/100*Table1[[#This Row],[Std Nom]]),"")</f>
        <v/>
      </c>
      <c r="Q727" s="1" t="e">
        <f>Table1[[#This Row],[High Tol]]-Table1[[#This Row],[Low Tol]]</f>
        <v>#VALUE!</v>
      </c>
      <c r="R727" s="1">
        <f>2*Table1[[#This Row],[Std Error]]</f>
        <v>0</v>
      </c>
      <c r="S727" s="1" t="str">
        <f>IF(Table1[[#This Row],[High Tol]]="","N/A",IFERROR(ABS(Table1[[#This Row],[Tol Span]]/Table1[[#This Row],[Error Span]]),"N/A"))</f>
        <v>N/A</v>
      </c>
      <c r="T727" s="1" t="str">
        <f>IF(OR(Table1[[#This Row],[Low Tol]]="",Table1[[#This Row],[High Tol]]=""),"Needs Analysis",IF(Table1[[#This Row],[Ratio]]&gt;=4,"Not Significant",IF(Table1[[#This Row],[Ratio]]&gt;=2,"Semi-Significant","Significant")))</f>
        <v>Needs Analysis</v>
      </c>
      <c r="W727" s="1">
        <f>IF(Table1[[#This Row],[Cal Type]]&lt;&gt;"ACCREDITED 17025 WITH UNCERTAINTIES",0,"")</f>
        <v>0</v>
      </c>
      <c r="X727" s="1" t="str">
        <f>IF(Table1[[#This Row],[DUT Read]]="","N/A",Table1[[#This Row],[Std Error]]+Table1[[#This Row],[DUT Read]]+Table1[[#This Row],[DUT Ucty]])</f>
        <v>N/A</v>
      </c>
      <c r="Y727" s="1" t="str">
        <f>IF(Table1[[#This Row],[Std Read]]="","N/A",Table1[[#This Row],[Std Read]]+Table1[[#This Row],[Std Ucty]])</f>
        <v>N/A</v>
      </c>
      <c r="Z7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7" s="1" t="str">
        <f>IF(Table1[[#This Row],[Spec Type]]="","N/A",Table1[[#This Row],[Spec Type]])</f>
        <v>±</v>
      </c>
      <c r="AC727" s="1" t="str">
        <f>IF(Table1[[#This Row],[Spec Type2]]="N/A","N/A",IF(AND(Table1[[#This Row],[DUT Adj Read]]&gt;=Table1[[#This Row],[Low Tol]],Table1[[#This Row],[DUT Adj Read]]&lt;=Table1[[#This Row],[High Tol]]),"Pass","Fail"))</f>
        <v>Fail</v>
      </c>
      <c r="AD727" s="1" t="str">
        <f>IF(AND(Table1[[#This Row],[Spec Type2]]="N/A",Table1[[#This Row],[DUT Adj Read]]="N/A",Table1[[#This Row],[Std Adj Read]]="N/A"),"N/A",IF(Table1[[#This Row],[DUT Adj Read]]="N/A",IF(Table1[[#This Row],[Std Adj Read]]&gt;Table1[[#This Row],[Low Tol]],"Pass","Fail"),IF(Table1[[#This Row],[DUT Adj Read]]&gt;Table1[[#This Row],[Low Tol]],"Pass","Fail")))</f>
        <v>Pass</v>
      </c>
      <c r="AE727" s="1" t="str">
        <f>IF(AND(Table1[[#This Row],[Spec Type2]]="N/A",Table1[[#This Row],[DUT Adj Read]]="N/A",Table1[[#This Row],[Std Adj Read]]="N/A"),"N/A",IF(Table1[[#This Row],[DUT Adj Read]]="N/A",IF(Table1[[#This Row],[Std Adj Read]]&lt;Table1[[#This Row],[High Tol]],"Pass","Fail"),IF(Table1[[#This Row],[DUT Adj Read]]&lt;Table1[[#This Row],[High Tol]],"Pass","Fail")))</f>
        <v>Fail</v>
      </c>
      <c r="AF727" s="1" t="str">
        <f>IF(AND(Table1[[#This Row],[Spec Type2]]="N/A",Table1[[#This Row],[DUT Adj Read]]="N/A",Table1[[#This Row],[Std Adj Read]]="N/A"),"N/A",IF(Table1[[#This Row],[DUT Adj Read]]="N/A",IF(Table1[[#This Row],[Std Adj Read]]&gt;=Table1[[#This Row],[Low Tol]],"Pass","Fail"),IF(Table1[[#This Row],[DUT Adj Read]]&gt;=Table1[[#This Row],[Low Tol]],"Pass","Fail")))</f>
        <v>Pass</v>
      </c>
      <c r="AG727" s="1" t="str">
        <f>IF(AND(Table1[[#This Row],[Spec Type2]]="N/A",Table1[[#This Row],[DUT Adj Read]]="N/A",Table1[[#This Row],[Std Adj Read]]="N/A"),"N/A",IF(Table1[[#This Row],[DUT Adj Read]]="N/A",IF(Table1[[#This Row],[Std Adj Read]]&lt;=Table1[[#This Row],[High Tol]],"Pass","Fail"),IF(Table1[[#This Row],[DUT Adj Read]]&lt;=Table1[[#This Row],[High Tol]],"Pass","Fail")))</f>
        <v>Fail</v>
      </c>
      <c r="AH7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7" s="1" t="b">
        <v>0</v>
      </c>
      <c r="AN727" s="1" t="b">
        <v>0</v>
      </c>
      <c r="AO727" s="1" t="b">
        <v>0</v>
      </c>
    </row>
    <row r="728" spans="1:41" x14ac:dyDescent="0.25">
      <c r="A728" s="10"/>
      <c r="B728" s="10"/>
      <c r="C728" s="10"/>
      <c r="D728" s="10"/>
      <c r="E728" s="10"/>
      <c r="F728" s="10"/>
      <c r="G728" s="10"/>
      <c r="H728" s="10"/>
      <c r="I728" s="1" t="str">
        <f t="shared" si="33"/>
        <v/>
      </c>
      <c r="J728" s="1" t="s">
        <v>35</v>
      </c>
      <c r="K728" s="1" t="str">
        <f t="shared" si="34"/>
        <v/>
      </c>
      <c r="L728" s="1" t="str">
        <f t="shared" si="35"/>
        <v/>
      </c>
      <c r="M728" s="1">
        <f>IF(OR(Table1[[#This Row],[Std Nom]]="",Table1[[#This Row],[Std Read]]=""),0,Table1[[#This Row],[Std Nom]]-Table1[[#This Row],[Std Read]])</f>
        <v>0</v>
      </c>
      <c r="N728" s="1">
        <f>IF(Calculations!$F$5="ACCREDITED 17025 WITH UNCERTAINTIES",$N$10,0)</f>
        <v>0</v>
      </c>
      <c r="O728" s="1" t="str">
        <f>IFERROR(Table1[[#This Row],[Std Nom]]-(_xlfn.XLOOKUP(Table1[[#This Row],[Manufacturer]]&amp;" "&amp;Table1[[#This Row],[Model]],Table13[MFR &amp; MDL],Table13[Tolerance % CW ],"")/100*Table1[[#This Row],[Std Nom]]),"")</f>
        <v/>
      </c>
      <c r="P728" s="1" t="str">
        <f>IFERROR(Table1[[#This Row],[Std Nom]]+(_xlfn.XLOOKUP(Table1[[#This Row],[Manufacturer]]&amp;" "&amp;Table1[[#This Row],[Model]],Table13[MFR &amp; MDL],Table13[Tolerance % CW ],"")/100*Table1[[#This Row],[Std Nom]]),"")</f>
        <v/>
      </c>
      <c r="Q728" s="1" t="e">
        <f>Table1[[#This Row],[High Tol]]-Table1[[#This Row],[Low Tol]]</f>
        <v>#VALUE!</v>
      </c>
      <c r="R728" s="1">
        <f>2*Table1[[#This Row],[Std Error]]</f>
        <v>0</v>
      </c>
      <c r="S728" s="1" t="str">
        <f>IF(Table1[[#This Row],[High Tol]]="","N/A",IFERROR(ABS(Table1[[#This Row],[Tol Span]]/Table1[[#This Row],[Error Span]]),"N/A"))</f>
        <v>N/A</v>
      </c>
      <c r="T728" s="1" t="str">
        <f>IF(OR(Table1[[#This Row],[Low Tol]]="",Table1[[#This Row],[High Tol]]=""),"Needs Analysis",IF(Table1[[#This Row],[Ratio]]&gt;=4,"Not Significant",IF(Table1[[#This Row],[Ratio]]&gt;=2,"Semi-Significant","Significant")))</f>
        <v>Needs Analysis</v>
      </c>
      <c r="W728" s="1">
        <f>IF(Table1[[#This Row],[Cal Type]]&lt;&gt;"ACCREDITED 17025 WITH UNCERTAINTIES",0,"")</f>
        <v>0</v>
      </c>
      <c r="X728" s="1" t="str">
        <f>IF(Table1[[#This Row],[DUT Read]]="","N/A",Table1[[#This Row],[Std Error]]+Table1[[#This Row],[DUT Read]]+Table1[[#This Row],[DUT Ucty]])</f>
        <v>N/A</v>
      </c>
      <c r="Y728" s="1" t="str">
        <f>IF(Table1[[#This Row],[Std Read]]="","N/A",Table1[[#This Row],[Std Read]]+Table1[[#This Row],[Std Ucty]])</f>
        <v>N/A</v>
      </c>
      <c r="Z7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8" s="1" t="str">
        <f>IF(Table1[[#This Row],[Spec Type]]="","N/A",Table1[[#This Row],[Spec Type]])</f>
        <v>±</v>
      </c>
      <c r="AC728" s="1" t="str">
        <f>IF(Table1[[#This Row],[Spec Type2]]="N/A","N/A",IF(AND(Table1[[#This Row],[DUT Adj Read]]&gt;=Table1[[#This Row],[Low Tol]],Table1[[#This Row],[DUT Adj Read]]&lt;=Table1[[#This Row],[High Tol]]),"Pass","Fail"))</f>
        <v>Fail</v>
      </c>
      <c r="AD728" s="1" t="str">
        <f>IF(AND(Table1[[#This Row],[Spec Type2]]="N/A",Table1[[#This Row],[DUT Adj Read]]="N/A",Table1[[#This Row],[Std Adj Read]]="N/A"),"N/A",IF(Table1[[#This Row],[DUT Adj Read]]="N/A",IF(Table1[[#This Row],[Std Adj Read]]&gt;Table1[[#This Row],[Low Tol]],"Pass","Fail"),IF(Table1[[#This Row],[DUT Adj Read]]&gt;Table1[[#This Row],[Low Tol]],"Pass","Fail")))</f>
        <v>Pass</v>
      </c>
      <c r="AE728" s="1" t="str">
        <f>IF(AND(Table1[[#This Row],[Spec Type2]]="N/A",Table1[[#This Row],[DUT Adj Read]]="N/A",Table1[[#This Row],[Std Adj Read]]="N/A"),"N/A",IF(Table1[[#This Row],[DUT Adj Read]]="N/A",IF(Table1[[#This Row],[Std Adj Read]]&lt;Table1[[#This Row],[High Tol]],"Pass","Fail"),IF(Table1[[#This Row],[DUT Adj Read]]&lt;Table1[[#This Row],[High Tol]],"Pass","Fail")))</f>
        <v>Fail</v>
      </c>
      <c r="AF728" s="1" t="str">
        <f>IF(AND(Table1[[#This Row],[Spec Type2]]="N/A",Table1[[#This Row],[DUT Adj Read]]="N/A",Table1[[#This Row],[Std Adj Read]]="N/A"),"N/A",IF(Table1[[#This Row],[DUT Adj Read]]="N/A",IF(Table1[[#This Row],[Std Adj Read]]&gt;=Table1[[#This Row],[Low Tol]],"Pass","Fail"),IF(Table1[[#This Row],[DUT Adj Read]]&gt;=Table1[[#This Row],[Low Tol]],"Pass","Fail")))</f>
        <v>Pass</v>
      </c>
      <c r="AG728" s="1" t="str">
        <f>IF(AND(Table1[[#This Row],[Spec Type2]]="N/A",Table1[[#This Row],[DUT Adj Read]]="N/A",Table1[[#This Row],[Std Adj Read]]="N/A"),"N/A",IF(Table1[[#This Row],[DUT Adj Read]]="N/A",IF(Table1[[#This Row],[Std Adj Read]]&lt;=Table1[[#This Row],[High Tol]],"Pass","Fail"),IF(Table1[[#This Row],[DUT Adj Read]]&lt;=Table1[[#This Row],[High Tol]],"Pass","Fail")))</f>
        <v>Fail</v>
      </c>
      <c r="AH7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8" s="1" t="b">
        <v>0</v>
      </c>
      <c r="AN728" s="1" t="b">
        <v>0</v>
      </c>
      <c r="AO728" s="1" t="b">
        <v>0</v>
      </c>
    </row>
    <row r="729" spans="1:41" x14ac:dyDescent="0.25">
      <c r="A729" s="10"/>
      <c r="B729" s="10"/>
      <c r="C729" s="10"/>
      <c r="D729" s="10"/>
      <c r="E729" s="10"/>
      <c r="F729" s="10"/>
      <c r="G729" s="10"/>
      <c r="H729" s="10"/>
      <c r="I729" s="1" t="str">
        <f t="shared" si="33"/>
        <v/>
      </c>
      <c r="J729" s="1" t="s">
        <v>35</v>
      </c>
      <c r="K729" s="1" t="str">
        <f t="shared" si="34"/>
        <v/>
      </c>
      <c r="L729" s="1" t="str">
        <f t="shared" si="35"/>
        <v/>
      </c>
      <c r="M729" s="1">
        <f>IF(OR(Table1[[#This Row],[Std Nom]]="",Table1[[#This Row],[Std Read]]=""),0,Table1[[#This Row],[Std Nom]]-Table1[[#This Row],[Std Read]])</f>
        <v>0</v>
      </c>
      <c r="N729" s="1">
        <f>IF(Calculations!$F$5="ACCREDITED 17025 WITH UNCERTAINTIES",$N$10,0)</f>
        <v>0</v>
      </c>
      <c r="O729" s="1" t="str">
        <f>IFERROR(Table1[[#This Row],[Std Nom]]-(_xlfn.XLOOKUP(Table1[[#This Row],[Manufacturer]]&amp;" "&amp;Table1[[#This Row],[Model]],Table13[MFR &amp; MDL],Table13[Tolerance % CW ],"")/100*Table1[[#This Row],[Std Nom]]),"")</f>
        <v/>
      </c>
      <c r="P729" s="1" t="str">
        <f>IFERROR(Table1[[#This Row],[Std Nom]]+(_xlfn.XLOOKUP(Table1[[#This Row],[Manufacturer]]&amp;" "&amp;Table1[[#This Row],[Model]],Table13[MFR &amp; MDL],Table13[Tolerance % CW ],"")/100*Table1[[#This Row],[Std Nom]]),"")</f>
        <v/>
      </c>
      <c r="Q729" s="1" t="e">
        <f>Table1[[#This Row],[High Tol]]-Table1[[#This Row],[Low Tol]]</f>
        <v>#VALUE!</v>
      </c>
      <c r="R729" s="1">
        <f>2*Table1[[#This Row],[Std Error]]</f>
        <v>0</v>
      </c>
      <c r="S729" s="1" t="str">
        <f>IF(Table1[[#This Row],[High Tol]]="","N/A",IFERROR(ABS(Table1[[#This Row],[Tol Span]]/Table1[[#This Row],[Error Span]]),"N/A"))</f>
        <v>N/A</v>
      </c>
      <c r="T729" s="1" t="str">
        <f>IF(OR(Table1[[#This Row],[Low Tol]]="",Table1[[#This Row],[High Tol]]=""),"Needs Analysis",IF(Table1[[#This Row],[Ratio]]&gt;=4,"Not Significant",IF(Table1[[#This Row],[Ratio]]&gt;=2,"Semi-Significant","Significant")))</f>
        <v>Needs Analysis</v>
      </c>
      <c r="W729" s="1">
        <f>IF(Table1[[#This Row],[Cal Type]]&lt;&gt;"ACCREDITED 17025 WITH UNCERTAINTIES",0,"")</f>
        <v>0</v>
      </c>
      <c r="X729" s="1" t="str">
        <f>IF(Table1[[#This Row],[DUT Read]]="","N/A",Table1[[#This Row],[Std Error]]+Table1[[#This Row],[DUT Read]]+Table1[[#This Row],[DUT Ucty]])</f>
        <v>N/A</v>
      </c>
      <c r="Y729" s="1" t="str">
        <f>IF(Table1[[#This Row],[Std Read]]="","N/A",Table1[[#This Row],[Std Read]]+Table1[[#This Row],[Std Ucty]])</f>
        <v>N/A</v>
      </c>
      <c r="Z7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9" s="1" t="str">
        <f>IF(Table1[[#This Row],[Spec Type]]="","N/A",Table1[[#This Row],[Spec Type]])</f>
        <v>±</v>
      </c>
      <c r="AC729" s="1" t="str">
        <f>IF(Table1[[#This Row],[Spec Type2]]="N/A","N/A",IF(AND(Table1[[#This Row],[DUT Adj Read]]&gt;=Table1[[#This Row],[Low Tol]],Table1[[#This Row],[DUT Adj Read]]&lt;=Table1[[#This Row],[High Tol]]),"Pass","Fail"))</f>
        <v>Fail</v>
      </c>
      <c r="AD729" s="1" t="str">
        <f>IF(AND(Table1[[#This Row],[Spec Type2]]="N/A",Table1[[#This Row],[DUT Adj Read]]="N/A",Table1[[#This Row],[Std Adj Read]]="N/A"),"N/A",IF(Table1[[#This Row],[DUT Adj Read]]="N/A",IF(Table1[[#This Row],[Std Adj Read]]&gt;Table1[[#This Row],[Low Tol]],"Pass","Fail"),IF(Table1[[#This Row],[DUT Adj Read]]&gt;Table1[[#This Row],[Low Tol]],"Pass","Fail")))</f>
        <v>Pass</v>
      </c>
      <c r="AE729" s="1" t="str">
        <f>IF(AND(Table1[[#This Row],[Spec Type2]]="N/A",Table1[[#This Row],[DUT Adj Read]]="N/A",Table1[[#This Row],[Std Adj Read]]="N/A"),"N/A",IF(Table1[[#This Row],[DUT Adj Read]]="N/A",IF(Table1[[#This Row],[Std Adj Read]]&lt;Table1[[#This Row],[High Tol]],"Pass","Fail"),IF(Table1[[#This Row],[DUT Adj Read]]&lt;Table1[[#This Row],[High Tol]],"Pass","Fail")))</f>
        <v>Fail</v>
      </c>
      <c r="AF729" s="1" t="str">
        <f>IF(AND(Table1[[#This Row],[Spec Type2]]="N/A",Table1[[#This Row],[DUT Adj Read]]="N/A",Table1[[#This Row],[Std Adj Read]]="N/A"),"N/A",IF(Table1[[#This Row],[DUT Adj Read]]="N/A",IF(Table1[[#This Row],[Std Adj Read]]&gt;=Table1[[#This Row],[Low Tol]],"Pass","Fail"),IF(Table1[[#This Row],[DUT Adj Read]]&gt;=Table1[[#This Row],[Low Tol]],"Pass","Fail")))</f>
        <v>Pass</v>
      </c>
      <c r="AG729" s="1" t="str">
        <f>IF(AND(Table1[[#This Row],[Spec Type2]]="N/A",Table1[[#This Row],[DUT Adj Read]]="N/A",Table1[[#This Row],[Std Adj Read]]="N/A"),"N/A",IF(Table1[[#This Row],[DUT Adj Read]]="N/A",IF(Table1[[#This Row],[Std Adj Read]]&lt;=Table1[[#This Row],[High Tol]],"Pass","Fail"),IF(Table1[[#This Row],[DUT Adj Read]]&lt;=Table1[[#This Row],[High Tol]],"Pass","Fail")))</f>
        <v>Fail</v>
      </c>
      <c r="AH7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9" s="1" t="b">
        <v>0</v>
      </c>
      <c r="AN729" s="1" t="b">
        <v>0</v>
      </c>
      <c r="AO729" s="1" t="b">
        <v>0</v>
      </c>
    </row>
    <row r="730" spans="1:41" x14ac:dyDescent="0.25">
      <c r="A730" s="10"/>
      <c r="B730" s="10"/>
      <c r="C730" s="10"/>
      <c r="D730" s="10"/>
      <c r="E730" s="10"/>
      <c r="F730" s="10"/>
      <c r="G730" s="10"/>
      <c r="H730" s="10"/>
      <c r="I730" s="1" t="str">
        <f t="shared" si="33"/>
        <v/>
      </c>
      <c r="J730" s="1" t="s">
        <v>35</v>
      </c>
      <c r="K730" s="1" t="str">
        <f t="shared" si="34"/>
        <v/>
      </c>
      <c r="L730" s="1" t="str">
        <f t="shared" si="35"/>
        <v/>
      </c>
      <c r="M730" s="1">
        <f>IF(OR(Table1[[#This Row],[Std Nom]]="",Table1[[#This Row],[Std Read]]=""),0,Table1[[#This Row],[Std Nom]]-Table1[[#This Row],[Std Read]])</f>
        <v>0</v>
      </c>
      <c r="N730" s="1">
        <f>IF(Calculations!$F$5="ACCREDITED 17025 WITH UNCERTAINTIES",$N$10,0)</f>
        <v>0</v>
      </c>
      <c r="O730" s="1" t="str">
        <f>IFERROR(Table1[[#This Row],[Std Nom]]-(_xlfn.XLOOKUP(Table1[[#This Row],[Manufacturer]]&amp;" "&amp;Table1[[#This Row],[Model]],Table13[MFR &amp; MDL],Table13[Tolerance % CW ],"")/100*Table1[[#This Row],[Std Nom]]),"")</f>
        <v/>
      </c>
      <c r="P730" s="1" t="str">
        <f>IFERROR(Table1[[#This Row],[Std Nom]]+(_xlfn.XLOOKUP(Table1[[#This Row],[Manufacturer]]&amp;" "&amp;Table1[[#This Row],[Model]],Table13[MFR &amp; MDL],Table13[Tolerance % CW ],"")/100*Table1[[#This Row],[Std Nom]]),"")</f>
        <v/>
      </c>
      <c r="Q730" s="1" t="e">
        <f>Table1[[#This Row],[High Tol]]-Table1[[#This Row],[Low Tol]]</f>
        <v>#VALUE!</v>
      </c>
      <c r="R730" s="1">
        <f>2*Table1[[#This Row],[Std Error]]</f>
        <v>0</v>
      </c>
      <c r="S730" s="1" t="str">
        <f>IF(Table1[[#This Row],[High Tol]]="","N/A",IFERROR(ABS(Table1[[#This Row],[Tol Span]]/Table1[[#This Row],[Error Span]]),"N/A"))</f>
        <v>N/A</v>
      </c>
      <c r="T730" s="1" t="str">
        <f>IF(OR(Table1[[#This Row],[Low Tol]]="",Table1[[#This Row],[High Tol]]=""),"Needs Analysis",IF(Table1[[#This Row],[Ratio]]&gt;=4,"Not Significant",IF(Table1[[#This Row],[Ratio]]&gt;=2,"Semi-Significant","Significant")))</f>
        <v>Needs Analysis</v>
      </c>
      <c r="W730" s="1">
        <f>IF(Table1[[#This Row],[Cal Type]]&lt;&gt;"ACCREDITED 17025 WITH UNCERTAINTIES",0,"")</f>
        <v>0</v>
      </c>
      <c r="X730" s="1" t="str">
        <f>IF(Table1[[#This Row],[DUT Read]]="","N/A",Table1[[#This Row],[Std Error]]+Table1[[#This Row],[DUT Read]]+Table1[[#This Row],[DUT Ucty]])</f>
        <v>N/A</v>
      </c>
      <c r="Y730" s="1" t="str">
        <f>IF(Table1[[#This Row],[Std Read]]="","N/A",Table1[[#This Row],[Std Read]]+Table1[[#This Row],[Std Ucty]])</f>
        <v>N/A</v>
      </c>
      <c r="Z7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0" s="1" t="str">
        <f>IF(Table1[[#This Row],[Spec Type]]="","N/A",Table1[[#This Row],[Spec Type]])</f>
        <v>±</v>
      </c>
      <c r="AC730" s="1" t="str">
        <f>IF(Table1[[#This Row],[Spec Type2]]="N/A","N/A",IF(AND(Table1[[#This Row],[DUT Adj Read]]&gt;=Table1[[#This Row],[Low Tol]],Table1[[#This Row],[DUT Adj Read]]&lt;=Table1[[#This Row],[High Tol]]),"Pass","Fail"))</f>
        <v>Fail</v>
      </c>
      <c r="AD730" s="1" t="str">
        <f>IF(AND(Table1[[#This Row],[Spec Type2]]="N/A",Table1[[#This Row],[DUT Adj Read]]="N/A",Table1[[#This Row],[Std Adj Read]]="N/A"),"N/A",IF(Table1[[#This Row],[DUT Adj Read]]="N/A",IF(Table1[[#This Row],[Std Adj Read]]&gt;Table1[[#This Row],[Low Tol]],"Pass","Fail"),IF(Table1[[#This Row],[DUT Adj Read]]&gt;Table1[[#This Row],[Low Tol]],"Pass","Fail")))</f>
        <v>Pass</v>
      </c>
      <c r="AE730" s="1" t="str">
        <f>IF(AND(Table1[[#This Row],[Spec Type2]]="N/A",Table1[[#This Row],[DUT Adj Read]]="N/A",Table1[[#This Row],[Std Adj Read]]="N/A"),"N/A",IF(Table1[[#This Row],[DUT Adj Read]]="N/A",IF(Table1[[#This Row],[Std Adj Read]]&lt;Table1[[#This Row],[High Tol]],"Pass","Fail"),IF(Table1[[#This Row],[DUT Adj Read]]&lt;Table1[[#This Row],[High Tol]],"Pass","Fail")))</f>
        <v>Fail</v>
      </c>
      <c r="AF730" s="1" t="str">
        <f>IF(AND(Table1[[#This Row],[Spec Type2]]="N/A",Table1[[#This Row],[DUT Adj Read]]="N/A",Table1[[#This Row],[Std Adj Read]]="N/A"),"N/A",IF(Table1[[#This Row],[DUT Adj Read]]="N/A",IF(Table1[[#This Row],[Std Adj Read]]&gt;=Table1[[#This Row],[Low Tol]],"Pass","Fail"),IF(Table1[[#This Row],[DUT Adj Read]]&gt;=Table1[[#This Row],[Low Tol]],"Pass","Fail")))</f>
        <v>Pass</v>
      </c>
      <c r="AG730" s="1" t="str">
        <f>IF(AND(Table1[[#This Row],[Spec Type2]]="N/A",Table1[[#This Row],[DUT Adj Read]]="N/A",Table1[[#This Row],[Std Adj Read]]="N/A"),"N/A",IF(Table1[[#This Row],[DUT Adj Read]]="N/A",IF(Table1[[#This Row],[Std Adj Read]]&lt;=Table1[[#This Row],[High Tol]],"Pass","Fail"),IF(Table1[[#This Row],[DUT Adj Read]]&lt;=Table1[[#This Row],[High Tol]],"Pass","Fail")))</f>
        <v>Fail</v>
      </c>
      <c r="AH7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0" s="1" t="b">
        <v>0</v>
      </c>
      <c r="AN730" s="1" t="b">
        <v>0</v>
      </c>
      <c r="AO730" s="1" t="b">
        <v>0</v>
      </c>
    </row>
    <row r="731" spans="1:41" x14ac:dyDescent="0.25">
      <c r="A731" s="10"/>
      <c r="B731" s="10"/>
      <c r="C731" s="10"/>
      <c r="D731" s="10"/>
      <c r="E731" s="10"/>
      <c r="F731" s="10"/>
      <c r="G731" s="10"/>
      <c r="H731" s="10"/>
      <c r="I731" s="1" t="str">
        <f t="shared" si="33"/>
        <v/>
      </c>
      <c r="J731" s="1" t="s">
        <v>35</v>
      </c>
      <c r="K731" s="1" t="str">
        <f t="shared" si="34"/>
        <v/>
      </c>
      <c r="L731" s="1" t="str">
        <f t="shared" si="35"/>
        <v/>
      </c>
      <c r="M731" s="1">
        <f>IF(OR(Table1[[#This Row],[Std Nom]]="",Table1[[#This Row],[Std Read]]=""),0,Table1[[#This Row],[Std Nom]]-Table1[[#This Row],[Std Read]])</f>
        <v>0</v>
      </c>
      <c r="N731" s="1">
        <f>IF(Calculations!$F$5="ACCREDITED 17025 WITH UNCERTAINTIES",$N$10,0)</f>
        <v>0</v>
      </c>
      <c r="O731" s="1" t="str">
        <f>IFERROR(Table1[[#This Row],[Std Nom]]-(_xlfn.XLOOKUP(Table1[[#This Row],[Manufacturer]]&amp;" "&amp;Table1[[#This Row],[Model]],Table13[MFR &amp; MDL],Table13[Tolerance % CW ],"")/100*Table1[[#This Row],[Std Nom]]),"")</f>
        <v/>
      </c>
      <c r="P731" s="1" t="str">
        <f>IFERROR(Table1[[#This Row],[Std Nom]]+(_xlfn.XLOOKUP(Table1[[#This Row],[Manufacturer]]&amp;" "&amp;Table1[[#This Row],[Model]],Table13[MFR &amp; MDL],Table13[Tolerance % CW ],"")/100*Table1[[#This Row],[Std Nom]]),"")</f>
        <v/>
      </c>
      <c r="Q731" s="1" t="e">
        <f>Table1[[#This Row],[High Tol]]-Table1[[#This Row],[Low Tol]]</f>
        <v>#VALUE!</v>
      </c>
      <c r="R731" s="1">
        <f>2*Table1[[#This Row],[Std Error]]</f>
        <v>0</v>
      </c>
      <c r="S731" s="1" t="str">
        <f>IF(Table1[[#This Row],[High Tol]]="","N/A",IFERROR(ABS(Table1[[#This Row],[Tol Span]]/Table1[[#This Row],[Error Span]]),"N/A"))</f>
        <v>N/A</v>
      </c>
      <c r="T731" s="1" t="str">
        <f>IF(OR(Table1[[#This Row],[Low Tol]]="",Table1[[#This Row],[High Tol]]=""),"Needs Analysis",IF(Table1[[#This Row],[Ratio]]&gt;=4,"Not Significant",IF(Table1[[#This Row],[Ratio]]&gt;=2,"Semi-Significant","Significant")))</f>
        <v>Needs Analysis</v>
      </c>
      <c r="W731" s="1">
        <f>IF(Table1[[#This Row],[Cal Type]]&lt;&gt;"ACCREDITED 17025 WITH UNCERTAINTIES",0,"")</f>
        <v>0</v>
      </c>
      <c r="X731" s="1" t="str">
        <f>IF(Table1[[#This Row],[DUT Read]]="","N/A",Table1[[#This Row],[Std Error]]+Table1[[#This Row],[DUT Read]]+Table1[[#This Row],[DUT Ucty]])</f>
        <v>N/A</v>
      </c>
      <c r="Y731" s="1" t="str">
        <f>IF(Table1[[#This Row],[Std Read]]="","N/A",Table1[[#This Row],[Std Read]]+Table1[[#This Row],[Std Ucty]])</f>
        <v>N/A</v>
      </c>
      <c r="Z7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1" s="1" t="str">
        <f>IF(Table1[[#This Row],[Spec Type]]="","N/A",Table1[[#This Row],[Spec Type]])</f>
        <v>±</v>
      </c>
      <c r="AC731" s="1" t="str">
        <f>IF(Table1[[#This Row],[Spec Type2]]="N/A","N/A",IF(AND(Table1[[#This Row],[DUT Adj Read]]&gt;=Table1[[#This Row],[Low Tol]],Table1[[#This Row],[DUT Adj Read]]&lt;=Table1[[#This Row],[High Tol]]),"Pass","Fail"))</f>
        <v>Fail</v>
      </c>
      <c r="AD731" s="1" t="str">
        <f>IF(AND(Table1[[#This Row],[Spec Type2]]="N/A",Table1[[#This Row],[DUT Adj Read]]="N/A",Table1[[#This Row],[Std Adj Read]]="N/A"),"N/A",IF(Table1[[#This Row],[DUT Adj Read]]="N/A",IF(Table1[[#This Row],[Std Adj Read]]&gt;Table1[[#This Row],[Low Tol]],"Pass","Fail"),IF(Table1[[#This Row],[DUT Adj Read]]&gt;Table1[[#This Row],[Low Tol]],"Pass","Fail")))</f>
        <v>Pass</v>
      </c>
      <c r="AE731" s="1" t="str">
        <f>IF(AND(Table1[[#This Row],[Spec Type2]]="N/A",Table1[[#This Row],[DUT Adj Read]]="N/A",Table1[[#This Row],[Std Adj Read]]="N/A"),"N/A",IF(Table1[[#This Row],[DUT Adj Read]]="N/A",IF(Table1[[#This Row],[Std Adj Read]]&lt;Table1[[#This Row],[High Tol]],"Pass","Fail"),IF(Table1[[#This Row],[DUT Adj Read]]&lt;Table1[[#This Row],[High Tol]],"Pass","Fail")))</f>
        <v>Fail</v>
      </c>
      <c r="AF731" s="1" t="str">
        <f>IF(AND(Table1[[#This Row],[Spec Type2]]="N/A",Table1[[#This Row],[DUT Adj Read]]="N/A",Table1[[#This Row],[Std Adj Read]]="N/A"),"N/A",IF(Table1[[#This Row],[DUT Adj Read]]="N/A",IF(Table1[[#This Row],[Std Adj Read]]&gt;=Table1[[#This Row],[Low Tol]],"Pass","Fail"),IF(Table1[[#This Row],[DUT Adj Read]]&gt;=Table1[[#This Row],[Low Tol]],"Pass","Fail")))</f>
        <v>Pass</v>
      </c>
      <c r="AG731" s="1" t="str">
        <f>IF(AND(Table1[[#This Row],[Spec Type2]]="N/A",Table1[[#This Row],[DUT Adj Read]]="N/A",Table1[[#This Row],[Std Adj Read]]="N/A"),"N/A",IF(Table1[[#This Row],[DUT Adj Read]]="N/A",IF(Table1[[#This Row],[Std Adj Read]]&lt;=Table1[[#This Row],[High Tol]],"Pass","Fail"),IF(Table1[[#This Row],[DUT Adj Read]]&lt;=Table1[[#This Row],[High Tol]],"Pass","Fail")))</f>
        <v>Fail</v>
      </c>
      <c r="AH7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1" s="1" t="b">
        <v>0</v>
      </c>
      <c r="AN731" s="1" t="b">
        <v>0</v>
      </c>
      <c r="AO731" s="1" t="b">
        <v>0</v>
      </c>
    </row>
    <row r="732" spans="1:41" x14ac:dyDescent="0.25">
      <c r="A732" s="10"/>
      <c r="B732" s="10"/>
      <c r="C732" s="10"/>
      <c r="D732" s="10"/>
      <c r="E732" s="10"/>
      <c r="F732" s="10"/>
      <c r="G732" s="10"/>
      <c r="H732" s="10"/>
      <c r="I732" s="1" t="str">
        <f t="shared" si="33"/>
        <v/>
      </c>
      <c r="J732" s="1" t="s">
        <v>35</v>
      </c>
      <c r="K732" s="1" t="str">
        <f t="shared" si="34"/>
        <v/>
      </c>
      <c r="L732" s="1" t="str">
        <f t="shared" si="35"/>
        <v/>
      </c>
      <c r="M732" s="1">
        <f>IF(OR(Table1[[#This Row],[Std Nom]]="",Table1[[#This Row],[Std Read]]=""),0,Table1[[#This Row],[Std Nom]]-Table1[[#This Row],[Std Read]])</f>
        <v>0</v>
      </c>
      <c r="N732" s="1">
        <f>IF(Calculations!$F$5="ACCREDITED 17025 WITH UNCERTAINTIES",$N$10,0)</f>
        <v>0</v>
      </c>
      <c r="O732" s="1" t="str">
        <f>IFERROR(Table1[[#This Row],[Std Nom]]-(_xlfn.XLOOKUP(Table1[[#This Row],[Manufacturer]]&amp;" "&amp;Table1[[#This Row],[Model]],Table13[MFR &amp; MDL],Table13[Tolerance % CW ],"")/100*Table1[[#This Row],[Std Nom]]),"")</f>
        <v/>
      </c>
      <c r="P732" s="1" t="str">
        <f>IFERROR(Table1[[#This Row],[Std Nom]]+(_xlfn.XLOOKUP(Table1[[#This Row],[Manufacturer]]&amp;" "&amp;Table1[[#This Row],[Model]],Table13[MFR &amp; MDL],Table13[Tolerance % CW ],"")/100*Table1[[#This Row],[Std Nom]]),"")</f>
        <v/>
      </c>
      <c r="Q732" s="1" t="e">
        <f>Table1[[#This Row],[High Tol]]-Table1[[#This Row],[Low Tol]]</f>
        <v>#VALUE!</v>
      </c>
      <c r="R732" s="1">
        <f>2*Table1[[#This Row],[Std Error]]</f>
        <v>0</v>
      </c>
      <c r="S732" s="1" t="str">
        <f>IF(Table1[[#This Row],[High Tol]]="","N/A",IFERROR(ABS(Table1[[#This Row],[Tol Span]]/Table1[[#This Row],[Error Span]]),"N/A"))</f>
        <v>N/A</v>
      </c>
      <c r="T732" s="1" t="str">
        <f>IF(OR(Table1[[#This Row],[Low Tol]]="",Table1[[#This Row],[High Tol]]=""),"Needs Analysis",IF(Table1[[#This Row],[Ratio]]&gt;=4,"Not Significant",IF(Table1[[#This Row],[Ratio]]&gt;=2,"Semi-Significant","Significant")))</f>
        <v>Needs Analysis</v>
      </c>
      <c r="W732" s="1">
        <f>IF(Table1[[#This Row],[Cal Type]]&lt;&gt;"ACCREDITED 17025 WITH UNCERTAINTIES",0,"")</f>
        <v>0</v>
      </c>
      <c r="X732" s="1" t="str">
        <f>IF(Table1[[#This Row],[DUT Read]]="","N/A",Table1[[#This Row],[Std Error]]+Table1[[#This Row],[DUT Read]]+Table1[[#This Row],[DUT Ucty]])</f>
        <v>N/A</v>
      </c>
      <c r="Y732" s="1" t="str">
        <f>IF(Table1[[#This Row],[Std Read]]="","N/A",Table1[[#This Row],[Std Read]]+Table1[[#This Row],[Std Ucty]])</f>
        <v>N/A</v>
      </c>
      <c r="Z7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2" s="1" t="str">
        <f>IF(Table1[[#This Row],[Spec Type]]="","N/A",Table1[[#This Row],[Spec Type]])</f>
        <v>±</v>
      </c>
      <c r="AC732" s="1" t="str">
        <f>IF(Table1[[#This Row],[Spec Type2]]="N/A","N/A",IF(AND(Table1[[#This Row],[DUT Adj Read]]&gt;=Table1[[#This Row],[Low Tol]],Table1[[#This Row],[DUT Adj Read]]&lt;=Table1[[#This Row],[High Tol]]),"Pass","Fail"))</f>
        <v>Fail</v>
      </c>
      <c r="AD732" s="1" t="str">
        <f>IF(AND(Table1[[#This Row],[Spec Type2]]="N/A",Table1[[#This Row],[DUT Adj Read]]="N/A",Table1[[#This Row],[Std Adj Read]]="N/A"),"N/A",IF(Table1[[#This Row],[DUT Adj Read]]="N/A",IF(Table1[[#This Row],[Std Adj Read]]&gt;Table1[[#This Row],[Low Tol]],"Pass","Fail"),IF(Table1[[#This Row],[DUT Adj Read]]&gt;Table1[[#This Row],[Low Tol]],"Pass","Fail")))</f>
        <v>Pass</v>
      </c>
      <c r="AE732" s="1" t="str">
        <f>IF(AND(Table1[[#This Row],[Spec Type2]]="N/A",Table1[[#This Row],[DUT Adj Read]]="N/A",Table1[[#This Row],[Std Adj Read]]="N/A"),"N/A",IF(Table1[[#This Row],[DUT Adj Read]]="N/A",IF(Table1[[#This Row],[Std Adj Read]]&lt;Table1[[#This Row],[High Tol]],"Pass","Fail"),IF(Table1[[#This Row],[DUT Adj Read]]&lt;Table1[[#This Row],[High Tol]],"Pass","Fail")))</f>
        <v>Fail</v>
      </c>
      <c r="AF732" s="1" t="str">
        <f>IF(AND(Table1[[#This Row],[Spec Type2]]="N/A",Table1[[#This Row],[DUT Adj Read]]="N/A",Table1[[#This Row],[Std Adj Read]]="N/A"),"N/A",IF(Table1[[#This Row],[DUT Adj Read]]="N/A",IF(Table1[[#This Row],[Std Adj Read]]&gt;=Table1[[#This Row],[Low Tol]],"Pass","Fail"),IF(Table1[[#This Row],[DUT Adj Read]]&gt;=Table1[[#This Row],[Low Tol]],"Pass","Fail")))</f>
        <v>Pass</v>
      </c>
      <c r="AG732" s="1" t="str">
        <f>IF(AND(Table1[[#This Row],[Spec Type2]]="N/A",Table1[[#This Row],[DUT Adj Read]]="N/A",Table1[[#This Row],[Std Adj Read]]="N/A"),"N/A",IF(Table1[[#This Row],[DUT Adj Read]]="N/A",IF(Table1[[#This Row],[Std Adj Read]]&lt;=Table1[[#This Row],[High Tol]],"Pass","Fail"),IF(Table1[[#This Row],[DUT Adj Read]]&lt;=Table1[[#This Row],[High Tol]],"Pass","Fail")))</f>
        <v>Fail</v>
      </c>
      <c r="AH7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2" s="1" t="b">
        <v>0</v>
      </c>
      <c r="AN732" s="1" t="b">
        <v>0</v>
      </c>
      <c r="AO732" s="1" t="b">
        <v>0</v>
      </c>
    </row>
    <row r="733" spans="1:41" x14ac:dyDescent="0.25">
      <c r="A733" s="10"/>
      <c r="B733" s="10"/>
      <c r="C733" s="10"/>
      <c r="D733" s="10"/>
      <c r="E733" s="10"/>
      <c r="F733" s="10"/>
      <c r="G733" s="10"/>
      <c r="H733" s="10"/>
      <c r="I733" s="1" t="str">
        <f t="shared" si="33"/>
        <v/>
      </c>
      <c r="J733" s="1" t="s">
        <v>35</v>
      </c>
      <c r="K733" s="1" t="str">
        <f t="shared" si="34"/>
        <v/>
      </c>
      <c r="L733" s="1" t="str">
        <f t="shared" si="35"/>
        <v/>
      </c>
      <c r="M733" s="1">
        <f>IF(OR(Table1[[#This Row],[Std Nom]]="",Table1[[#This Row],[Std Read]]=""),0,Table1[[#This Row],[Std Nom]]-Table1[[#This Row],[Std Read]])</f>
        <v>0</v>
      </c>
      <c r="N733" s="1">
        <f>IF(Calculations!$F$5="ACCREDITED 17025 WITH UNCERTAINTIES",$N$10,0)</f>
        <v>0</v>
      </c>
      <c r="O733" s="1" t="str">
        <f>IFERROR(Table1[[#This Row],[Std Nom]]-(_xlfn.XLOOKUP(Table1[[#This Row],[Manufacturer]]&amp;" "&amp;Table1[[#This Row],[Model]],Table13[MFR &amp; MDL],Table13[Tolerance % CW ],"")/100*Table1[[#This Row],[Std Nom]]),"")</f>
        <v/>
      </c>
      <c r="P733" s="1" t="str">
        <f>IFERROR(Table1[[#This Row],[Std Nom]]+(_xlfn.XLOOKUP(Table1[[#This Row],[Manufacturer]]&amp;" "&amp;Table1[[#This Row],[Model]],Table13[MFR &amp; MDL],Table13[Tolerance % CW ],"")/100*Table1[[#This Row],[Std Nom]]),"")</f>
        <v/>
      </c>
      <c r="Q733" s="1" t="e">
        <f>Table1[[#This Row],[High Tol]]-Table1[[#This Row],[Low Tol]]</f>
        <v>#VALUE!</v>
      </c>
      <c r="R733" s="1">
        <f>2*Table1[[#This Row],[Std Error]]</f>
        <v>0</v>
      </c>
      <c r="S733" s="1" t="str">
        <f>IF(Table1[[#This Row],[High Tol]]="","N/A",IFERROR(ABS(Table1[[#This Row],[Tol Span]]/Table1[[#This Row],[Error Span]]),"N/A"))</f>
        <v>N/A</v>
      </c>
      <c r="T733" s="1" t="str">
        <f>IF(OR(Table1[[#This Row],[Low Tol]]="",Table1[[#This Row],[High Tol]]=""),"Needs Analysis",IF(Table1[[#This Row],[Ratio]]&gt;=4,"Not Significant",IF(Table1[[#This Row],[Ratio]]&gt;=2,"Semi-Significant","Significant")))</f>
        <v>Needs Analysis</v>
      </c>
      <c r="W733" s="1">
        <f>IF(Table1[[#This Row],[Cal Type]]&lt;&gt;"ACCREDITED 17025 WITH UNCERTAINTIES",0,"")</f>
        <v>0</v>
      </c>
      <c r="X733" s="1" t="str">
        <f>IF(Table1[[#This Row],[DUT Read]]="","N/A",Table1[[#This Row],[Std Error]]+Table1[[#This Row],[DUT Read]]+Table1[[#This Row],[DUT Ucty]])</f>
        <v>N/A</v>
      </c>
      <c r="Y733" s="1" t="str">
        <f>IF(Table1[[#This Row],[Std Read]]="","N/A",Table1[[#This Row],[Std Read]]+Table1[[#This Row],[Std Ucty]])</f>
        <v>N/A</v>
      </c>
      <c r="Z7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3" s="1" t="str">
        <f>IF(Table1[[#This Row],[Spec Type]]="","N/A",Table1[[#This Row],[Spec Type]])</f>
        <v>±</v>
      </c>
      <c r="AC733" s="1" t="str">
        <f>IF(Table1[[#This Row],[Spec Type2]]="N/A","N/A",IF(AND(Table1[[#This Row],[DUT Adj Read]]&gt;=Table1[[#This Row],[Low Tol]],Table1[[#This Row],[DUT Adj Read]]&lt;=Table1[[#This Row],[High Tol]]),"Pass","Fail"))</f>
        <v>Fail</v>
      </c>
      <c r="AD733" s="1" t="str">
        <f>IF(AND(Table1[[#This Row],[Spec Type2]]="N/A",Table1[[#This Row],[DUT Adj Read]]="N/A",Table1[[#This Row],[Std Adj Read]]="N/A"),"N/A",IF(Table1[[#This Row],[DUT Adj Read]]="N/A",IF(Table1[[#This Row],[Std Adj Read]]&gt;Table1[[#This Row],[Low Tol]],"Pass","Fail"),IF(Table1[[#This Row],[DUT Adj Read]]&gt;Table1[[#This Row],[Low Tol]],"Pass","Fail")))</f>
        <v>Pass</v>
      </c>
      <c r="AE733" s="1" t="str">
        <f>IF(AND(Table1[[#This Row],[Spec Type2]]="N/A",Table1[[#This Row],[DUT Adj Read]]="N/A",Table1[[#This Row],[Std Adj Read]]="N/A"),"N/A",IF(Table1[[#This Row],[DUT Adj Read]]="N/A",IF(Table1[[#This Row],[Std Adj Read]]&lt;Table1[[#This Row],[High Tol]],"Pass","Fail"),IF(Table1[[#This Row],[DUT Adj Read]]&lt;Table1[[#This Row],[High Tol]],"Pass","Fail")))</f>
        <v>Fail</v>
      </c>
      <c r="AF733" s="1" t="str">
        <f>IF(AND(Table1[[#This Row],[Spec Type2]]="N/A",Table1[[#This Row],[DUT Adj Read]]="N/A",Table1[[#This Row],[Std Adj Read]]="N/A"),"N/A",IF(Table1[[#This Row],[DUT Adj Read]]="N/A",IF(Table1[[#This Row],[Std Adj Read]]&gt;=Table1[[#This Row],[Low Tol]],"Pass","Fail"),IF(Table1[[#This Row],[DUT Adj Read]]&gt;=Table1[[#This Row],[Low Tol]],"Pass","Fail")))</f>
        <v>Pass</v>
      </c>
      <c r="AG733" s="1" t="str">
        <f>IF(AND(Table1[[#This Row],[Spec Type2]]="N/A",Table1[[#This Row],[DUT Adj Read]]="N/A",Table1[[#This Row],[Std Adj Read]]="N/A"),"N/A",IF(Table1[[#This Row],[DUT Adj Read]]="N/A",IF(Table1[[#This Row],[Std Adj Read]]&lt;=Table1[[#This Row],[High Tol]],"Pass","Fail"),IF(Table1[[#This Row],[DUT Adj Read]]&lt;=Table1[[#This Row],[High Tol]],"Pass","Fail")))</f>
        <v>Fail</v>
      </c>
      <c r="AH7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3" s="1" t="b">
        <v>0</v>
      </c>
      <c r="AN733" s="1" t="b">
        <v>0</v>
      </c>
      <c r="AO733" s="1" t="b">
        <v>0</v>
      </c>
    </row>
    <row r="734" spans="1:41" x14ac:dyDescent="0.25">
      <c r="A734" s="10"/>
      <c r="B734" s="10"/>
      <c r="C734" s="10"/>
      <c r="D734" s="10"/>
      <c r="E734" s="10"/>
      <c r="F734" s="10"/>
      <c r="G734" s="10"/>
      <c r="H734" s="10"/>
      <c r="I734" s="1" t="str">
        <f t="shared" si="33"/>
        <v/>
      </c>
      <c r="J734" s="1" t="s">
        <v>35</v>
      </c>
      <c r="K734" s="1" t="str">
        <f t="shared" si="34"/>
        <v/>
      </c>
      <c r="L734" s="1" t="str">
        <f t="shared" si="35"/>
        <v/>
      </c>
      <c r="M734" s="1">
        <f>IF(OR(Table1[[#This Row],[Std Nom]]="",Table1[[#This Row],[Std Read]]=""),0,Table1[[#This Row],[Std Nom]]-Table1[[#This Row],[Std Read]])</f>
        <v>0</v>
      </c>
      <c r="N734" s="1">
        <f>IF(Calculations!$F$5="ACCREDITED 17025 WITH UNCERTAINTIES",$N$10,0)</f>
        <v>0</v>
      </c>
      <c r="O734" s="1" t="str">
        <f>IFERROR(Table1[[#This Row],[Std Nom]]-(_xlfn.XLOOKUP(Table1[[#This Row],[Manufacturer]]&amp;" "&amp;Table1[[#This Row],[Model]],Table13[MFR &amp; MDL],Table13[Tolerance % CW ],"")/100*Table1[[#This Row],[Std Nom]]),"")</f>
        <v/>
      </c>
      <c r="P734" s="1" t="str">
        <f>IFERROR(Table1[[#This Row],[Std Nom]]+(_xlfn.XLOOKUP(Table1[[#This Row],[Manufacturer]]&amp;" "&amp;Table1[[#This Row],[Model]],Table13[MFR &amp; MDL],Table13[Tolerance % CW ],"")/100*Table1[[#This Row],[Std Nom]]),"")</f>
        <v/>
      </c>
      <c r="Q734" s="1" t="e">
        <f>Table1[[#This Row],[High Tol]]-Table1[[#This Row],[Low Tol]]</f>
        <v>#VALUE!</v>
      </c>
      <c r="R734" s="1">
        <f>2*Table1[[#This Row],[Std Error]]</f>
        <v>0</v>
      </c>
      <c r="S734" s="1" t="str">
        <f>IF(Table1[[#This Row],[High Tol]]="","N/A",IFERROR(ABS(Table1[[#This Row],[Tol Span]]/Table1[[#This Row],[Error Span]]),"N/A"))</f>
        <v>N/A</v>
      </c>
      <c r="T734" s="1" t="str">
        <f>IF(OR(Table1[[#This Row],[Low Tol]]="",Table1[[#This Row],[High Tol]]=""),"Needs Analysis",IF(Table1[[#This Row],[Ratio]]&gt;=4,"Not Significant",IF(Table1[[#This Row],[Ratio]]&gt;=2,"Semi-Significant","Significant")))</f>
        <v>Needs Analysis</v>
      </c>
      <c r="W734" s="1">
        <f>IF(Table1[[#This Row],[Cal Type]]&lt;&gt;"ACCREDITED 17025 WITH UNCERTAINTIES",0,"")</f>
        <v>0</v>
      </c>
      <c r="X734" s="1" t="str">
        <f>IF(Table1[[#This Row],[DUT Read]]="","N/A",Table1[[#This Row],[Std Error]]+Table1[[#This Row],[DUT Read]]+Table1[[#This Row],[DUT Ucty]])</f>
        <v>N/A</v>
      </c>
      <c r="Y734" s="1" t="str">
        <f>IF(Table1[[#This Row],[Std Read]]="","N/A",Table1[[#This Row],[Std Read]]+Table1[[#This Row],[Std Ucty]])</f>
        <v>N/A</v>
      </c>
      <c r="Z7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4" s="1" t="str">
        <f>IF(Table1[[#This Row],[Spec Type]]="","N/A",Table1[[#This Row],[Spec Type]])</f>
        <v>±</v>
      </c>
      <c r="AC734" s="1" t="str">
        <f>IF(Table1[[#This Row],[Spec Type2]]="N/A","N/A",IF(AND(Table1[[#This Row],[DUT Adj Read]]&gt;=Table1[[#This Row],[Low Tol]],Table1[[#This Row],[DUT Adj Read]]&lt;=Table1[[#This Row],[High Tol]]),"Pass","Fail"))</f>
        <v>Fail</v>
      </c>
      <c r="AD734" s="1" t="str">
        <f>IF(AND(Table1[[#This Row],[Spec Type2]]="N/A",Table1[[#This Row],[DUT Adj Read]]="N/A",Table1[[#This Row],[Std Adj Read]]="N/A"),"N/A",IF(Table1[[#This Row],[DUT Adj Read]]="N/A",IF(Table1[[#This Row],[Std Adj Read]]&gt;Table1[[#This Row],[Low Tol]],"Pass","Fail"),IF(Table1[[#This Row],[DUT Adj Read]]&gt;Table1[[#This Row],[Low Tol]],"Pass","Fail")))</f>
        <v>Pass</v>
      </c>
      <c r="AE734" s="1" t="str">
        <f>IF(AND(Table1[[#This Row],[Spec Type2]]="N/A",Table1[[#This Row],[DUT Adj Read]]="N/A",Table1[[#This Row],[Std Adj Read]]="N/A"),"N/A",IF(Table1[[#This Row],[DUT Adj Read]]="N/A",IF(Table1[[#This Row],[Std Adj Read]]&lt;Table1[[#This Row],[High Tol]],"Pass","Fail"),IF(Table1[[#This Row],[DUT Adj Read]]&lt;Table1[[#This Row],[High Tol]],"Pass","Fail")))</f>
        <v>Fail</v>
      </c>
      <c r="AF734" s="1" t="str">
        <f>IF(AND(Table1[[#This Row],[Spec Type2]]="N/A",Table1[[#This Row],[DUT Adj Read]]="N/A",Table1[[#This Row],[Std Adj Read]]="N/A"),"N/A",IF(Table1[[#This Row],[DUT Adj Read]]="N/A",IF(Table1[[#This Row],[Std Adj Read]]&gt;=Table1[[#This Row],[Low Tol]],"Pass","Fail"),IF(Table1[[#This Row],[DUT Adj Read]]&gt;=Table1[[#This Row],[Low Tol]],"Pass","Fail")))</f>
        <v>Pass</v>
      </c>
      <c r="AG734" s="1" t="str">
        <f>IF(AND(Table1[[#This Row],[Spec Type2]]="N/A",Table1[[#This Row],[DUT Adj Read]]="N/A",Table1[[#This Row],[Std Adj Read]]="N/A"),"N/A",IF(Table1[[#This Row],[DUT Adj Read]]="N/A",IF(Table1[[#This Row],[Std Adj Read]]&lt;=Table1[[#This Row],[High Tol]],"Pass","Fail"),IF(Table1[[#This Row],[DUT Adj Read]]&lt;=Table1[[#This Row],[High Tol]],"Pass","Fail")))</f>
        <v>Fail</v>
      </c>
      <c r="AH7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4" s="1" t="b">
        <v>0</v>
      </c>
      <c r="AN734" s="1" t="b">
        <v>0</v>
      </c>
      <c r="AO734" s="1" t="b">
        <v>0</v>
      </c>
    </row>
    <row r="735" spans="1:41" x14ac:dyDescent="0.25">
      <c r="A735" s="10"/>
      <c r="B735" s="10"/>
      <c r="C735" s="10"/>
      <c r="D735" s="10"/>
      <c r="E735" s="10"/>
      <c r="F735" s="10"/>
      <c r="G735" s="10"/>
      <c r="H735" s="10"/>
      <c r="I735" s="1" t="str">
        <f t="shared" si="33"/>
        <v/>
      </c>
      <c r="J735" s="1" t="s">
        <v>35</v>
      </c>
      <c r="K735" s="1" t="str">
        <f t="shared" si="34"/>
        <v/>
      </c>
      <c r="L735" s="1" t="str">
        <f t="shared" si="35"/>
        <v/>
      </c>
      <c r="M735" s="1">
        <f>IF(OR(Table1[[#This Row],[Std Nom]]="",Table1[[#This Row],[Std Read]]=""),0,Table1[[#This Row],[Std Nom]]-Table1[[#This Row],[Std Read]])</f>
        <v>0</v>
      </c>
      <c r="N735" s="1">
        <f>IF(Calculations!$F$5="ACCREDITED 17025 WITH UNCERTAINTIES",$N$10,0)</f>
        <v>0</v>
      </c>
      <c r="O735" s="1" t="str">
        <f>IFERROR(Table1[[#This Row],[Std Nom]]-(_xlfn.XLOOKUP(Table1[[#This Row],[Manufacturer]]&amp;" "&amp;Table1[[#This Row],[Model]],Table13[MFR &amp; MDL],Table13[Tolerance % CW ],"")/100*Table1[[#This Row],[Std Nom]]),"")</f>
        <v/>
      </c>
      <c r="P735" s="1" t="str">
        <f>IFERROR(Table1[[#This Row],[Std Nom]]+(_xlfn.XLOOKUP(Table1[[#This Row],[Manufacturer]]&amp;" "&amp;Table1[[#This Row],[Model]],Table13[MFR &amp; MDL],Table13[Tolerance % CW ],"")/100*Table1[[#This Row],[Std Nom]]),"")</f>
        <v/>
      </c>
      <c r="Q735" s="1" t="e">
        <f>Table1[[#This Row],[High Tol]]-Table1[[#This Row],[Low Tol]]</f>
        <v>#VALUE!</v>
      </c>
      <c r="R735" s="1">
        <f>2*Table1[[#This Row],[Std Error]]</f>
        <v>0</v>
      </c>
      <c r="S735" s="1" t="str">
        <f>IF(Table1[[#This Row],[High Tol]]="","N/A",IFERROR(ABS(Table1[[#This Row],[Tol Span]]/Table1[[#This Row],[Error Span]]),"N/A"))</f>
        <v>N/A</v>
      </c>
      <c r="T735" s="1" t="str">
        <f>IF(OR(Table1[[#This Row],[Low Tol]]="",Table1[[#This Row],[High Tol]]=""),"Needs Analysis",IF(Table1[[#This Row],[Ratio]]&gt;=4,"Not Significant",IF(Table1[[#This Row],[Ratio]]&gt;=2,"Semi-Significant","Significant")))</f>
        <v>Needs Analysis</v>
      </c>
      <c r="W735" s="1">
        <f>IF(Table1[[#This Row],[Cal Type]]&lt;&gt;"ACCREDITED 17025 WITH UNCERTAINTIES",0,"")</f>
        <v>0</v>
      </c>
      <c r="X735" s="1" t="str">
        <f>IF(Table1[[#This Row],[DUT Read]]="","N/A",Table1[[#This Row],[Std Error]]+Table1[[#This Row],[DUT Read]]+Table1[[#This Row],[DUT Ucty]])</f>
        <v>N/A</v>
      </c>
      <c r="Y735" s="1" t="str">
        <f>IF(Table1[[#This Row],[Std Read]]="","N/A",Table1[[#This Row],[Std Read]]+Table1[[#This Row],[Std Ucty]])</f>
        <v>N/A</v>
      </c>
      <c r="Z7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5" s="1" t="str">
        <f>IF(Table1[[#This Row],[Spec Type]]="","N/A",Table1[[#This Row],[Spec Type]])</f>
        <v>±</v>
      </c>
      <c r="AC735" s="1" t="str">
        <f>IF(Table1[[#This Row],[Spec Type2]]="N/A","N/A",IF(AND(Table1[[#This Row],[DUT Adj Read]]&gt;=Table1[[#This Row],[Low Tol]],Table1[[#This Row],[DUT Adj Read]]&lt;=Table1[[#This Row],[High Tol]]),"Pass","Fail"))</f>
        <v>Fail</v>
      </c>
      <c r="AD735" s="1" t="str">
        <f>IF(AND(Table1[[#This Row],[Spec Type2]]="N/A",Table1[[#This Row],[DUT Adj Read]]="N/A",Table1[[#This Row],[Std Adj Read]]="N/A"),"N/A",IF(Table1[[#This Row],[DUT Adj Read]]="N/A",IF(Table1[[#This Row],[Std Adj Read]]&gt;Table1[[#This Row],[Low Tol]],"Pass","Fail"),IF(Table1[[#This Row],[DUT Adj Read]]&gt;Table1[[#This Row],[Low Tol]],"Pass","Fail")))</f>
        <v>Pass</v>
      </c>
      <c r="AE735" s="1" t="str">
        <f>IF(AND(Table1[[#This Row],[Spec Type2]]="N/A",Table1[[#This Row],[DUT Adj Read]]="N/A",Table1[[#This Row],[Std Adj Read]]="N/A"),"N/A",IF(Table1[[#This Row],[DUT Adj Read]]="N/A",IF(Table1[[#This Row],[Std Adj Read]]&lt;Table1[[#This Row],[High Tol]],"Pass","Fail"),IF(Table1[[#This Row],[DUT Adj Read]]&lt;Table1[[#This Row],[High Tol]],"Pass","Fail")))</f>
        <v>Fail</v>
      </c>
      <c r="AF735" s="1" t="str">
        <f>IF(AND(Table1[[#This Row],[Spec Type2]]="N/A",Table1[[#This Row],[DUT Adj Read]]="N/A",Table1[[#This Row],[Std Adj Read]]="N/A"),"N/A",IF(Table1[[#This Row],[DUT Adj Read]]="N/A",IF(Table1[[#This Row],[Std Adj Read]]&gt;=Table1[[#This Row],[Low Tol]],"Pass","Fail"),IF(Table1[[#This Row],[DUT Adj Read]]&gt;=Table1[[#This Row],[Low Tol]],"Pass","Fail")))</f>
        <v>Pass</v>
      </c>
      <c r="AG735" s="1" t="str">
        <f>IF(AND(Table1[[#This Row],[Spec Type2]]="N/A",Table1[[#This Row],[DUT Adj Read]]="N/A",Table1[[#This Row],[Std Adj Read]]="N/A"),"N/A",IF(Table1[[#This Row],[DUT Adj Read]]="N/A",IF(Table1[[#This Row],[Std Adj Read]]&lt;=Table1[[#This Row],[High Tol]],"Pass","Fail"),IF(Table1[[#This Row],[DUT Adj Read]]&lt;=Table1[[#This Row],[High Tol]],"Pass","Fail")))</f>
        <v>Fail</v>
      </c>
      <c r="AH7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5" s="1" t="b">
        <v>0</v>
      </c>
      <c r="AN735" s="1" t="b">
        <v>0</v>
      </c>
      <c r="AO735" s="1" t="b">
        <v>0</v>
      </c>
    </row>
    <row r="736" spans="1:41" x14ac:dyDescent="0.25">
      <c r="A736" s="10"/>
      <c r="B736" s="10"/>
      <c r="C736" s="10"/>
      <c r="D736" s="10"/>
      <c r="E736" s="10"/>
      <c r="F736" s="10"/>
      <c r="G736" s="10"/>
      <c r="H736" s="10"/>
      <c r="I736" s="1" t="str">
        <f t="shared" si="33"/>
        <v/>
      </c>
      <c r="J736" s="1" t="s">
        <v>35</v>
      </c>
      <c r="K736" s="1" t="str">
        <f t="shared" si="34"/>
        <v/>
      </c>
      <c r="L736" s="1" t="str">
        <f t="shared" si="35"/>
        <v/>
      </c>
      <c r="M736" s="1">
        <f>IF(OR(Table1[[#This Row],[Std Nom]]="",Table1[[#This Row],[Std Read]]=""),0,Table1[[#This Row],[Std Nom]]-Table1[[#This Row],[Std Read]])</f>
        <v>0</v>
      </c>
      <c r="N736" s="1">
        <f>IF(Calculations!$F$5="ACCREDITED 17025 WITH UNCERTAINTIES",$N$10,0)</f>
        <v>0</v>
      </c>
      <c r="O736" s="1" t="str">
        <f>IFERROR(Table1[[#This Row],[Std Nom]]-(_xlfn.XLOOKUP(Table1[[#This Row],[Manufacturer]]&amp;" "&amp;Table1[[#This Row],[Model]],Table13[MFR &amp; MDL],Table13[Tolerance % CW ],"")/100*Table1[[#This Row],[Std Nom]]),"")</f>
        <v/>
      </c>
      <c r="P736" s="1" t="str">
        <f>IFERROR(Table1[[#This Row],[Std Nom]]+(_xlfn.XLOOKUP(Table1[[#This Row],[Manufacturer]]&amp;" "&amp;Table1[[#This Row],[Model]],Table13[MFR &amp; MDL],Table13[Tolerance % CW ],"")/100*Table1[[#This Row],[Std Nom]]),"")</f>
        <v/>
      </c>
      <c r="Q736" s="1" t="e">
        <f>Table1[[#This Row],[High Tol]]-Table1[[#This Row],[Low Tol]]</f>
        <v>#VALUE!</v>
      </c>
      <c r="R736" s="1">
        <f>2*Table1[[#This Row],[Std Error]]</f>
        <v>0</v>
      </c>
      <c r="S736" s="1" t="str">
        <f>IF(Table1[[#This Row],[High Tol]]="","N/A",IFERROR(ABS(Table1[[#This Row],[Tol Span]]/Table1[[#This Row],[Error Span]]),"N/A"))</f>
        <v>N/A</v>
      </c>
      <c r="T736" s="1" t="str">
        <f>IF(OR(Table1[[#This Row],[Low Tol]]="",Table1[[#This Row],[High Tol]]=""),"Needs Analysis",IF(Table1[[#This Row],[Ratio]]&gt;=4,"Not Significant",IF(Table1[[#This Row],[Ratio]]&gt;=2,"Semi-Significant","Significant")))</f>
        <v>Needs Analysis</v>
      </c>
      <c r="W736" s="1">
        <f>IF(Table1[[#This Row],[Cal Type]]&lt;&gt;"ACCREDITED 17025 WITH UNCERTAINTIES",0,"")</f>
        <v>0</v>
      </c>
      <c r="X736" s="1" t="str">
        <f>IF(Table1[[#This Row],[DUT Read]]="","N/A",Table1[[#This Row],[Std Error]]+Table1[[#This Row],[DUT Read]]+Table1[[#This Row],[DUT Ucty]])</f>
        <v>N/A</v>
      </c>
      <c r="Y736" s="1" t="str">
        <f>IF(Table1[[#This Row],[Std Read]]="","N/A",Table1[[#This Row],[Std Read]]+Table1[[#This Row],[Std Ucty]])</f>
        <v>N/A</v>
      </c>
      <c r="Z7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6" s="1" t="str">
        <f>IF(Table1[[#This Row],[Spec Type]]="","N/A",Table1[[#This Row],[Spec Type]])</f>
        <v>±</v>
      </c>
      <c r="AC736" s="1" t="str">
        <f>IF(Table1[[#This Row],[Spec Type2]]="N/A","N/A",IF(AND(Table1[[#This Row],[DUT Adj Read]]&gt;=Table1[[#This Row],[Low Tol]],Table1[[#This Row],[DUT Adj Read]]&lt;=Table1[[#This Row],[High Tol]]),"Pass","Fail"))</f>
        <v>Fail</v>
      </c>
      <c r="AD736" s="1" t="str">
        <f>IF(AND(Table1[[#This Row],[Spec Type2]]="N/A",Table1[[#This Row],[DUT Adj Read]]="N/A",Table1[[#This Row],[Std Adj Read]]="N/A"),"N/A",IF(Table1[[#This Row],[DUT Adj Read]]="N/A",IF(Table1[[#This Row],[Std Adj Read]]&gt;Table1[[#This Row],[Low Tol]],"Pass","Fail"),IF(Table1[[#This Row],[DUT Adj Read]]&gt;Table1[[#This Row],[Low Tol]],"Pass","Fail")))</f>
        <v>Pass</v>
      </c>
      <c r="AE736" s="1" t="str">
        <f>IF(AND(Table1[[#This Row],[Spec Type2]]="N/A",Table1[[#This Row],[DUT Adj Read]]="N/A",Table1[[#This Row],[Std Adj Read]]="N/A"),"N/A",IF(Table1[[#This Row],[DUT Adj Read]]="N/A",IF(Table1[[#This Row],[Std Adj Read]]&lt;Table1[[#This Row],[High Tol]],"Pass","Fail"),IF(Table1[[#This Row],[DUT Adj Read]]&lt;Table1[[#This Row],[High Tol]],"Pass","Fail")))</f>
        <v>Fail</v>
      </c>
      <c r="AF736" s="1" t="str">
        <f>IF(AND(Table1[[#This Row],[Spec Type2]]="N/A",Table1[[#This Row],[DUT Adj Read]]="N/A",Table1[[#This Row],[Std Adj Read]]="N/A"),"N/A",IF(Table1[[#This Row],[DUT Adj Read]]="N/A",IF(Table1[[#This Row],[Std Adj Read]]&gt;=Table1[[#This Row],[Low Tol]],"Pass","Fail"),IF(Table1[[#This Row],[DUT Adj Read]]&gt;=Table1[[#This Row],[Low Tol]],"Pass","Fail")))</f>
        <v>Pass</v>
      </c>
      <c r="AG736" s="1" t="str">
        <f>IF(AND(Table1[[#This Row],[Spec Type2]]="N/A",Table1[[#This Row],[DUT Adj Read]]="N/A",Table1[[#This Row],[Std Adj Read]]="N/A"),"N/A",IF(Table1[[#This Row],[DUT Adj Read]]="N/A",IF(Table1[[#This Row],[Std Adj Read]]&lt;=Table1[[#This Row],[High Tol]],"Pass","Fail"),IF(Table1[[#This Row],[DUT Adj Read]]&lt;=Table1[[#This Row],[High Tol]],"Pass","Fail")))</f>
        <v>Fail</v>
      </c>
      <c r="AH7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6" s="1" t="b">
        <v>0</v>
      </c>
      <c r="AN736" s="1" t="b">
        <v>0</v>
      </c>
      <c r="AO736" s="1" t="b">
        <v>0</v>
      </c>
    </row>
    <row r="737" spans="1:41" x14ac:dyDescent="0.25">
      <c r="A737" s="10"/>
      <c r="B737" s="10"/>
      <c r="C737" s="10"/>
      <c r="D737" s="10"/>
      <c r="E737" s="10"/>
      <c r="F737" s="10"/>
      <c r="G737" s="10"/>
      <c r="H737" s="10"/>
      <c r="I737" s="1" t="str">
        <f t="shared" si="33"/>
        <v/>
      </c>
      <c r="J737" s="1" t="s">
        <v>35</v>
      </c>
      <c r="K737" s="1" t="str">
        <f t="shared" si="34"/>
        <v/>
      </c>
      <c r="L737" s="1" t="str">
        <f t="shared" si="35"/>
        <v/>
      </c>
      <c r="M737" s="1">
        <f>IF(OR(Table1[[#This Row],[Std Nom]]="",Table1[[#This Row],[Std Read]]=""),0,Table1[[#This Row],[Std Nom]]-Table1[[#This Row],[Std Read]])</f>
        <v>0</v>
      </c>
      <c r="N737" s="1">
        <f>IF(Calculations!$F$5="ACCREDITED 17025 WITH UNCERTAINTIES",$N$10,0)</f>
        <v>0</v>
      </c>
      <c r="O737" s="1" t="str">
        <f>IFERROR(Table1[[#This Row],[Std Nom]]-(_xlfn.XLOOKUP(Table1[[#This Row],[Manufacturer]]&amp;" "&amp;Table1[[#This Row],[Model]],Table13[MFR &amp; MDL],Table13[Tolerance % CW ],"")/100*Table1[[#This Row],[Std Nom]]),"")</f>
        <v/>
      </c>
      <c r="P737" s="1" t="str">
        <f>IFERROR(Table1[[#This Row],[Std Nom]]+(_xlfn.XLOOKUP(Table1[[#This Row],[Manufacturer]]&amp;" "&amp;Table1[[#This Row],[Model]],Table13[MFR &amp; MDL],Table13[Tolerance % CW ],"")/100*Table1[[#This Row],[Std Nom]]),"")</f>
        <v/>
      </c>
      <c r="Q737" s="1" t="e">
        <f>Table1[[#This Row],[High Tol]]-Table1[[#This Row],[Low Tol]]</f>
        <v>#VALUE!</v>
      </c>
      <c r="R737" s="1">
        <f>2*Table1[[#This Row],[Std Error]]</f>
        <v>0</v>
      </c>
      <c r="S737" s="1" t="str">
        <f>IF(Table1[[#This Row],[High Tol]]="","N/A",IFERROR(ABS(Table1[[#This Row],[Tol Span]]/Table1[[#This Row],[Error Span]]),"N/A"))</f>
        <v>N/A</v>
      </c>
      <c r="T737" s="1" t="str">
        <f>IF(OR(Table1[[#This Row],[Low Tol]]="",Table1[[#This Row],[High Tol]]=""),"Needs Analysis",IF(Table1[[#This Row],[Ratio]]&gt;=4,"Not Significant",IF(Table1[[#This Row],[Ratio]]&gt;=2,"Semi-Significant","Significant")))</f>
        <v>Needs Analysis</v>
      </c>
      <c r="W737" s="1">
        <f>IF(Table1[[#This Row],[Cal Type]]&lt;&gt;"ACCREDITED 17025 WITH UNCERTAINTIES",0,"")</f>
        <v>0</v>
      </c>
      <c r="X737" s="1" t="str">
        <f>IF(Table1[[#This Row],[DUT Read]]="","N/A",Table1[[#This Row],[Std Error]]+Table1[[#This Row],[DUT Read]]+Table1[[#This Row],[DUT Ucty]])</f>
        <v>N/A</v>
      </c>
      <c r="Y737" s="1" t="str">
        <f>IF(Table1[[#This Row],[Std Read]]="","N/A",Table1[[#This Row],[Std Read]]+Table1[[#This Row],[Std Ucty]])</f>
        <v>N/A</v>
      </c>
      <c r="Z7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7" s="1" t="str">
        <f>IF(Table1[[#This Row],[Spec Type]]="","N/A",Table1[[#This Row],[Spec Type]])</f>
        <v>±</v>
      </c>
      <c r="AC737" s="1" t="str">
        <f>IF(Table1[[#This Row],[Spec Type2]]="N/A","N/A",IF(AND(Table1[[#This Row],[DUT Adj Read]]&gt;=Table1[[#This Row],[Low Tol]],Table1[[#This Row],[DUT Adj Read]]&lt;=Table1[[#This Row],[High Tol]]),"Pass","Fail"))</f>
        <v>Fail</v>
      </c>
      <c r="AD737" s="1" t="str">
        <f>IF(AND(Table1[[#This Row],[Spec Type2]]="N/A",Table1[[#This Row],[DUT Adj Read]]="N/A",Table1[[#This Row],[Std Adj Read]]="N/A"),"N/A",IF(Table1[[#This Row],[DUT Adj Read]]="N/A",IF(Table1[[#This Row],[Std Adj Read]]&gt;Table1[[#This Row],[Low Tol]],"Pass","Fail"),IF(Table1[[#This Row],[DUT Adj Read]]&gt;Table1[[#This Row],[Low Tol]],"Pass","Fail")))</f>
        <v>Pass</v>
      </c>
      <c r="AE737" s="1" t="str">
        <f>IF(AND(Table1[[#This Row],[Spec Type2]]="N/A",Table1[[#This Row],[DUT Adj Read]]="N/A",Table1[[#This Row],[Std Adj Read]]="N/A"),"N/A",IF(Table1[[#This Row],[DUT Adj Read]]="N/A",IF(Table1[[#This Row],[Std Adj Read]]&lt;Table1[[#This Row],[High Tol]],"Pass","Fail"),IF(Table1[[#This Row],[DUT Adj Read]]&lt;Table1[[#This Row],[High Tol]],"Pass","Fail")))</f>
        <v>Fail</v>
      </c>
      <c r="AF737" s="1" t="str">
        <f>IF(AND(Table1[[#This Row],[Spec Type2]]="N/A",Table1[[#This Row],[DUT Adj Read]]="N/A",Table1[[#This Row],[Std Adj Read]]="N/A"),"N/A",IF(Table1[[#This Row],[DUT Adj Read]]="N/A",IF(Table1[[#This Row],[Std Adj Read]]&gt;=Table1[[#This Row],[Low Tol]],"Pass","Fail"),IF(Table1[[#This Row],[DUT Adj Read]]&gt;=Table1[[#This Row],[Low Tol]],"Pass","Fail")))</f>
        <v>Pass</v>
      </c>
      <c r="AG737" s="1" t="str">
        <f>IF(AND(Table1[[#This Row],[Spec Type2]]="N/A",Table1[[#This Row],[DUT Adj Read]]="N/A",Table1[[#This Row],[Std Adj Read]]="N/A"),"N/A",IF(Table1[[#This Row],[DUT Adj Read]]="N/A",IF(Table1[[#This Row],[Std Adj Read]]&lt;=Table1[[#This Row],[High Tol]],"Pass","Fail"),IF(Table1[[#This Row],[DUT Adj Read]]&lt;=Table1[[#This Row],[High Tol]],"Pass","Fail")))</f>
        <v>Fail</v>
      </c>
      <c r="AH7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7" s="1" t="b">
        <v>0</v>
      </c>
      <c r="AN737" s="1" t="b">
        <v>0</v>
      </c>
      <c r="AO737" s="1" t="b">
        <v>0</v>
      </c>
    </row>
    <row r="738" spans="1:41" x14ac:dyDescent="0.25">
      <c r="A738" s="10"/>
      <c r="B738" s="10"/>
      <c r="C738" s="10"/>
      <c r="D738" s="10"/>
      <c r="E738" s="10"/>
      <c r="F738" s="10"/>
      <c r="G738" s="10"/>
      <c r="H738" s="10"/>
      <c r="I738" s="1" t="str">
        <f t="shared" si="33"/>
        <v/>
      </c>
      <c r="J738" s="1" t="s">
        <v>35</v>
      </c>
      <c r="K738" s="1" t="str">
        <f t="shared" si="34"/>
        <v/>
      </c>
      <c r="L738" s="1" t="str">
        <f t="shared" si="35"/>
        <v/>
      </c>
      <c r="M738" s="1">
        <f>IF(OR(Table1[[#This Row],[Std Nom]]="",Table1[[#This Row],[Std Read]]=""),0,Table1[[#This Row],[Std Nom]]-Table1[[#This Row],[Std Read]])</f>
        <v>0</v>
      </c>
      <c r="N738" s="1">
        <f>IF(Calculations!$F$5="ACCREDITED 17025 WITH UNCERTAINTIES",$N$10,0)</f>
        <v>0</v>
      </c>
      <c r="O738" s="1" t="str">
        <f>IFERROR(Table1[[#This Row],[Std Nom]]-(_xlfn.XLOOKUP(Table1[[#This Row],[Manufacturer]]&amp;" "&amp;Table1[[#This Row],[Model]],Table13[MFR &amp; MDL],Table13[Tolerance % CW ],"")/100*Table1[[#This Row],[Std Nom]]),"")</f>
        <v/>
      </c>
      <c r="P738" s="1" t="str">
        <f>IFERROR(Table1[[#This Row],[Std Nom]]+(_xlfn.XLOOKUP(Table1[[#This Row],[Manufacturer]]&amp;" "&amp;Table1[[#This Row],[Model]],Table13[MFR &amp; MDL],Table13[Tolerance % CW ],"")/100*Table1[[#This Row],[Std Nom]]),"")</f>
        <v/>
      </c>
      <c r="Q738" s="1" t="e">
        <f>Table1[[#This Row],[High Tol]]-Table1[[#This Row],[Low Tol]]</f>
        <v>#VALUE!</v>
      </c>
      <c r="R738" s="1">
        <f>2*Table1[[#This Row],[Std Error]]</f>
        <v>0</v>
      </c>
      <c r="S738" s="1" t="str">
        <f>IF(Table1[[#This Row],[High Tol]]="","N/A",IFERROR(ABS(Table1[[#This Row],[Tol Span]]/Table1[[#This Row],[Error Span]]),"N/A"))</f>
        <v>N/A</v>
      </c>
      <c r="T738" s="1" t="str">
        <f>IF(OR(Table1[[#This Row],[Low Tol]]="",Table1[[#This Row],[High Tol]]=""),"Needs Analysis",IF(Table1[[#This Row],[Ratio]]&gt;=4,"Not Significant",IF(Table1[[#This Row],[Ratio]]&gt;=2,"Semi-Significant","Significant")))</f>
        <v>Needs Analysis</v>
      </c>
      <c r="W738" s="1">
        <f>IF(Table1[[#This Row],[Cal Type]]&lt;&gt;"ACCREDITED 17025 WITH UNCERTAINTIES",0,"")</f>
        <v>0</v>
      </c>
      <c r="X738" s="1" t="str">
        <f>IF(Table1[[#This Row],[DUT Read]]="","N/A",Table1[[#This Row],[Std Error]]+Table1[[#This Row],[DUT Read]]+Table1[[#This Row],[DUT Ucty]])</f>
        <v>N/A</v>
      </c>
      <c r="Y738" s="1" t="str">
        <f>IF(Table1[[#This Row],[Std Read]]="","N/A",Table1[[#This Row],[Std Read]]+Table1[[#This Row],[Std Ucty]])</f>
        <v>N/A</v>
      </c>
      <c r="Z7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8" s="1" t="str">
        <f>IF(Table1[[#This Row],[Spec Type]]="","N/A",Table1[[#This Row],[Spec Type]])</f>
        <v>±</v>
      </c>
      <c r="AC738" s="1" t="str">
        <f>IF(Table1[[#This Row],[Spec Type2]]="N/A","N/A",IF(AND(Table1[[#This Row],[DUT Adj Read]]&gt;=Table1[[#This Row],[Low Tol]],Table1[[#This Row],[DUT Adj Read]]&lt;=Table1[[#This Row],[High Tol]]),"Pass","Fail"))</f>
        <v>Fail</v>
      </c>
      <c r="AD738" s="1" t="str">
        <f>IF(AND(Table1[[#This Row],[Spec Type2]]="N/A",Table1[[#This Row],[DUT Adj Read]]="N/A",Table1[[#This Row],[Std Adj Read]]="N/A"),"N/A",IF(Table1[[#This Row],[DUT Adj Read]]="N/A",IF(Table1[[#This Row],[Std Adj Read]]&gt;Table1[[#This Row],[Low Tol]],"Pass","Fail"),IF(Table1[[#This Row],[DUT Adj Read]]&gt;Table1[[#This Row],[Low Tol]],"Pass","Fail")))</f>
        <v>Pass</v>
      </c>
      <c r="AE738" s="1" t="str">
        <f>IF(AND(Table1[[#This Row],[Spec Type2]]="N/A",Table1[[#This Row],[DUT Adj Read]]="N/A",Table1[[#This Row],[Std Adj Read]]="N/A"),"N/A",IF(Table1[[#This Row],[DUT Adj Read]]="N/A",IF(Table1[[#This Row],[Std Adj Read]]&lt;Table1[[#This Row],[High Tol]],"Pass","Fail"),IF(Table1[[#This Row],[DUT Adj Read]]&lt;Table1[[#This Row],[High Tol]],"Pass","Fail")))</f>
        <v>Fail</v>
      </c>
      <c r="AF738" s="1" t="str">
        <f>IF(AND(Table1[[#This Row],[Spec Type2]]="N/A",Table1[[#This Row],[DUT Adj Read]]="N/A",Table1[[#This Row],[Std Adj Read]]="N/A"),"N/A",IF(Table1[[#This Row],[DUT Adj Read]]="N/A",IF(Table1[[#This Row],[Std Adj Read]]&gt;=Table1[[#This Row],[Low Tol]],"Pass","Fail"),IF(Table1[[#This Row],[DUT Adj Read]]&gt;=Table1[[#This Row],[Low Tol]],"Pass","Fail")))</f>
        <v>Pass</v>
      </c>
      <c r="AG738" s="1" t="str">
        <f>IF(AND(Table1[[#This Row],[Spec Type2]]="N/A",Table1[[#This Row],[DUT Adj Read]]="N/A",Table1[[#This Row],[Std Adj Read]]="N/A"),"N/A",IF(Table1[[#This Row],[DUT Adj Read]]="N/A",IF(Table1[[#This Row],[Std Adj Read]]&lt;=Table1[[#This Row],[High Tol]],"Pass","Fail"),IF(Table1[[#This Row],[DUT Adj Read]]&lt;=Table1[[#This Row],[High Tol]],"Pass","Fail")))</f>
        <v>Fail</v>
      </c>
      <c r="AH7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8" s="1" t="b">
        <v>0</v>
      </c>
      <c r="AN738" s="1" t="b">
        <v>0</v>
      </c>
      <c r="AO738" s="1" t="b">
        <v>0</v>
      </c>
    </row>
    <row r="739" spans="1:41" x14ac:dyDescent="0.25">
      <c r="A739" s="10"/>
      <c r="B739" s="10"/>
      <c r="C739" s="10"/>
      <c r="D739" s="10"/>
      <c r="E739" s="10"/>
      <c r="F739" s="10"/>
      <c r="G739" s="10"/>
      <c r="H739" s="10"/>
      <c r="I739" s="1" t="str">
        <f t="shared" si="33"/>
        <v/>
      </c>
      <c r="J739" s="1" t="s">
        <v>35</v>
      </c>
      <c r="K739" s="1" t="str">
        <f t="shared" si="34"/>
        <v/>
      </c>
      <c r="L739" s="1" t="str">
        <f t="shared" si="35"/>
        <v/>
      </c>
      <c r="M739" s="1">
        <f>IF(OR(Table1[[#This Row],[Std Nom]]="",Table1[[#This Row],[Std Read]]=""),0,Table1[[#This Row],[Std Nom]]-Table1[[#This Row],[Std Read]])</f>
        <v>0</v>
      </c>
      <c r="N739" s="1">
        <f>IF(Calculations!$F$5="ACCREDITED 17025 WITH UNCERTAINTIES",$N$10,0)</f>
        <v>0</v>
      </c>
      <c r="O739" s="1" t="str">
        <f>IFERROR(Table1[[#This Row],[Std Nom]]-(_xlfn.XLOOKUP(Table1[[#This Row],[Manufacturer]]&amp;" "&amp;Table1[[#This Row],[Model]],Table13[MFR &amp; MDL],Table13[Tolerance % CW ],"")/100*Table1[[#This Row],[Std Nom]]),"")</f>
        <v/>
      </c>
      <c r="P739" s="1" t="str">
        <f>IFERROR(Table1[[#This Row],[Std Nom]]+(_xlfn.XLOOKUP(Table1[[#This Row],[Manufacturer]]&amp;" "&amp;Table1[[#This Row],[Model]],Table13[MFR &amp; MDL],Table13[Tolerance % CW ],"")/100*Table1[[#This Row],[Std Nom]]),"")</f>
        <v/>
      </c>
      <c r="Q739" s="1" t="e">
        <f>Table1[[#This Row],[High Tol]]-Table1[[#This Row],[Low Tol]]</f>
        <v>#VALUE!</v>
      </c>
      <c r="R739" s="1">
        <f>2*Table1[[#This Row],[Std Error]]</f>
        <v>0</v>
      </c>
      <c r="S739" s="1" t="str">
        <f>IF(Table1[[#This Row],[High Tol]]="","N/A",IFERROR(ABS(Table1[[#This Row],[Tol Span]]/Table1[[#This Row],[Error Span]]),"N/A"))</f>
        <v>N/A</v>
      </c>
      <c r="T739" s="1" t="str">
        <f>IF(OR(Table1[[#This Row],[Low Tol]]="",Table1[[#This Row],[High Tol]]=""),"Needs Analysis",IF(Table1[[#This Row],[Ratio]]&gt;=4,"Not Significant",IF(Table1[[#This Row],[Ratio]]&gt;=2,"Semi-Significant","Significant")))</f>
        <v>Needs Analysis</v>
      </c>
      <c r="W739" s="1">
        <f>IF(Table1[[#This Row],[Cal Type]]&lt;&gt;"ACCREDITED 17025 WITH UNCERTAINTIES",0,"")</f>
        <v>0</v>
      </c>
      <c r="X739" s="1" t="str">
        <f>IF(Table1[[#This Row],[DUT Read]]="","N/A",Table1[[#This Row],[Std Error]]+Table1[[#This Row],[DUT Read]]+Table1[[#This Row],[DUT Ucty]])</f>
        <v>N/A</v>
      </c>
      <c r="Y739" s="1" t="str">
        <f>IF(Table1[[#This Row],[Std Read]]="","N/A",Table1[[#This Row],[Std Read]]+Table1[[#This Row],[Std Ucty]])</f>
        <v>N/A</v>
      </c>
      <c r="Z7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9" s="1" t="str">
        <f>IF(Table1[[#This Row],[Spec Type]]="","N/A",Table1[[#This Row],[Spec Type]])</f>
        <v>±</v>
      </c>
      <c r="AC739" s="1" t="str">
        <f>IF(Table1[[#This Row],[Spec Type2]]="N/A","N/A",IF(AND(Table1[[#This Row],[DUT Adj Read]]&gt;=Table1[[#This Row],[Low Tol]],Table1[[#This Row],[DUT Adj Read]]&lt;=Table1[[#This Row],[High Tol]]),"Pass","Fail"))</f>
        <v>Fail</v>
      </c>
      <c r="AD739" s="1" t="str">
        <f>IF(AND(Table1[[#This Row],[Spec Type2]]="N/A",Table1[[#This Row],[DUT Adj Read]]="N/A",Table1[[#This Row],[Std Adj Read]]="N/A"),"N/A",IF(Table1[[#This Row],[DUT Adj Read]]="N/A",IF(Table1[[#This Row],[Std Adj Read]]&gt;Table1[[#This Row],[Low Tol]],"Pass","Fail"),IF(Table1[[#This Row],[DUT Adj Read]]&gt;Table1[[#This Row],[Low Tol]],"Pass","Fail")))</f>
        <v>Pass</v>
      </c>
      <c r="AE739" s="1" t="str">
        <f>IF(AND(Table1[[#This Row],[Spec Type2]]="N/A",Table1[[#This Row],[DUT Adj Read]]="N/A",Table1[[#This Row],[Std Adj Read]]="N/A"),"N/A",IF(Table1[[#This Row],[DUT Adj Read]]="N/A",IF(Table1[[#This Row],[Std Adj Read]]&lt;Table1[[#This Row],[High Tol]],"Pass","Fail"),IF(Table1[[#This Row],[DUT Adj Read]]&lt;Table1[[#This Row],[High Tol]],"Pass","Fail")))</f>
        <v>Fail</v>
      </c>
      <c r="AF739" s="1" t="str">
        <f>IF(AND(Table1[[#This Row],[Spec Type2]]="N/A",Table1[[#This Row],[DUT Adj Read]]="N/A",Table1[[#This Row],[Std Adj Read]]="N/A"),"N/A",IF(Table1[[#This Row],[DUT Adj Read]]="N/A",IF(Table1[[#This Row],[Std Adj Read]]&gt;=Table1[[#This Row],[Low Tol]],"Pass","Fail"),IF(Table1[[#This Row],[DUT Adj Read]]&gt;=Table1[[#This Row],[Low Tol]],"Pass","Fail")))</f>
        <v>Pass</v>
      </c>
      <c r="AG739" s="1" t="str">
        <f>IF(AND(Table1[[#This Row],[Spec Type2]]="N/A",Table1[[#This Row],[DUT Adj Read]]="N/A",Table1[[#This Row],[Std Adj Read]]="N/A"),"N/A",IF(Table1[[#This Row],[DUT Adj Read]]="N/A",IF(Table1[[#This Row],[Std Adj Read]]&lt;=Table1[[#This Row],[High Tol]],"Pass","Fail"),IF(Table1[[#This Row],[DUT Adj Read]]&lt;=Table1[[#This Row],[High Tol]],"Pass","Fail")))</f>
        <v>Fail</v>
      </c>
      <c r="AH7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9" s="1" t="b">
        <v>0</v>
      </c>
      <c r="AN739" s="1" t="b">
        <v>0</v>
      </c>
      <c r="AO739" s="1" t="b">
        <v>0</v>
      </c>
    </row>
    <row r="740" spans="1:41" x14ac:dyDescent="0.25">
      <c r="A740" s="10"/>
      <c r="B740" s="10"/>
      <c r="C740" s="10"/>
      <c r="D740" s="10"/>
      <c r="E740" s="10"/>
      <c r="F740" s="10"/>
      <c r="G740" s="10"/>
      <c r="H740" s="10"/>
      <c r="I740" s="1" t="str">
        <f t="shared" si="33"/>
        <v/>
      </c>
      <c r="J740" s="1" t="s">
        <v>35</v>
      </c>
      <c r="K740" s="1" t="str">
        <f t="shared" si="34"/>
        <v/>
      </c>
      <c r="L740" s="1" t="str">
        <f t="shared" si="35"/>
        <v/>
      </c>
      <c r="M740" s="1">
        <f>IF(OR(Table1[[#This Row],[Std Nom]]="",Table1[[#This Row],[Std Read]]=""),0,Table1[[#This Row],[Std Nom]]-Table1[[#This Row],[Std Read]])</f>
        <v>0</v>
      </c>
      <c r="N740" s="1">
        <f>IF(Calculations!$F$5="ACCREDITED 17025 WITH UNCERTAINTIES",$N$10,0)</f>
        <v>0</v>
      </c>
      <c r="O740" s="1" t="str">
        <f>IFERROR(Table1[[#This Row],[Std Nom]]-(_xlfn.XLOOKUP(Table1[[#This Row],[Manufacturer]]&amp;" "&amp;Table1[[#This Row],[Model]],Table13[MFR &amp; MDL],Table13[Tolerance % CW ],"")/100*Table1[[#This Row],[Std Nom]]),"")</f>
        <v/>
      </c>
      <c r="P740" s="1" t="str">
        <f>IFERROR(Table1[[#This Row],[Std Nom]]+(_xlfn.XLOOKUP(Table1[[#This Row],[Manufacturer]]&amp;" "&amp;Table1[[#This Row],[Model]],Table13[MFR &amp; MDL],Table13[Tolerance % CW ],"")/100*Table1[[#This Row],[Std Nom]]),"")</f>
        <v/>
      </c>
      <c r="Q740" s="1" t="e">
        <f>Table1[[#This Row],[High Tol]]-Table1[[#This Row],[Low Tol]]</f>
        <v>#VALUE!</v>
      </c>
      <c r="R740" s="1">
        <f>2*Table1[[#This Row],[Std Error]]</f>
        <v>0</v>
      </c>
      <c r="S740" s="1" t="str">
        <f>IF(Table1[[#This Row],[High Tol]]="","N/A",IFERROR(ABS(Table1[[#This Row],[Tol Span]]/Table1[[#This Row],[Error Span]]),"N/A"))</f>
        <v>N/A</v>
      </c>
      <c r="T740" s="1" t="str">
        <f>IF(OR(Table1[[#This Row],[Low Tol]]="",Table1[[#This Row],[High Tol]]=""),"Needs Analysis",IF(Table1[[#This Row],[Ratio]]&gt;=4,"Not Significant",IF(Table1[[#This Row],[Ratio]]&gt;=2,"Semi-Significant","Significant")))</f>
        <v>Needs Analysis</v>
      </c>
      <c r="W740" s="1">
        <f>IF(Table1[[#This Row],[Cal Type]]&lt;&gt;"ACCREDITED 17025 WITH UNCERTAINTIES",0,"")</f>
        <v>0</v>
      </c>
      <c r="X740" s="1" t="str">
        <f>IF(Table1[[#This Row],[DUT Read]]="","N/A",Table1[[#This Row],[Std Error]]+Table1[[#This Row],[DUT Read]]+Table1[[#This Row],[DUT Ucty]])</f>
        <v>N/A</v>
      </c>
      <c r="Y740" s="1" t="str">
        <f>IF(Table1[[#This Row],[Std Read]]="","N/A",Table1[[#This Row],[Std Read]]+Table1[[#This Row],[Std Ucty]])</f>
        <v>N/A</v>
      </c>
      <c r="Z7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0" s="1" t="str">
        <f>IF(Table1[[#This Row],[Spec Type]]="","N/A",Table1[[#This Row],[Spec Type]])</f>
        <v>±</v>
      </c>
      <c r="AC740" s="1" t="str">
        <f>IF(Table1[[#This Row],[Spec Type2]]="N/A","N/A",IF(AND(Table1[[#This Row],[DUT Adj Read]]&gt;=Table1[[#This Row],[Low Tol]],Table1[[#This Row],[DUT Adj Read]]&lt;=Table1[[#This Row],[High Tol]]),"Pass","Fail"))</f>
        <v>Fail</v>
      </c>
      <c r="AD740" s="1" t="str">
        <f>IF(AND(Table1[[#This Row],[Spec Type2]]="N/A",Table1[[#This Row],[DUT Adj Read]]="N/A",Table1[[#This Row],[Std Adj Read]]="N/A"),"N/A",IF(Table1[[#This Row],[DUT Adj Read]]="N/A",IF(Table1[[#This Row],[Std Adj Read]]&gt;Table1[[#This Row],[Low Tol]],"Pass","Fail"),IF(Table1[[#This Row],[DUT Adj Read]]&gt;Table1[[#This Row],[Low Tol]],"Pass","Fail")))</f>
        <v>Pass</v>
      </c>
      <c r="AE740" s="1" t="str">
        <f>IF(AND(Table1[[#This Row],[Spec Type2]]="N/A",Table1[[#This Row],[DUT Adj Read]]="N/A",Table1[[#This Row],[Std Adj Read]]="N/A"),"N/A",IF(Table1[[#This Row],[DUT Adj Read]]="N/A",IF(Table1[[#This Row],[Std Adj Read]]&lt;Table1[[#This Row],[High Tol]],"Pass","Fail"),IF(Table1[[#This Row],[DUT Adj Read]]&lt;Table1[[#This Row],[High Tol]],"Pass","Fail")))</f>
        <v>Fail</v>
      </c>
      <c r="AF740" s="1" t="str">
        <f>IF(AND(Table1[[#This Row],[Spec Type2]]="N/A",Table1[[#This Row],[DUT Adj Read]]="N/A",Table1[[#This Row],[Std Adj Read]]="N/A"),"N/A",IF(Table1[[#This Row],[DUT Adj Read]]="N/A",IF(Table1[[#This Row],[Std Adj Read]]&gt;=Table1[[#This Row],[Low Tol]],"Pass","Fail"),IF(Table1[[#This Row],[DUT Adj Read]]&gt;=Table1[[#This Row],[Low Tol]],"Pass","Fail")))</f>
        <v>Pass</v>
      </c>
      <c r="AG740" s="1" t="str">
        <f>IF(AND(Table1[[#This Row],[Spec Type2]]="N/A",Table1[[#This Row],[DUT Adj Read]]="N/A",Table1[[#This Row],[Std Adj Read]]="N/A"),"N/A",IF(Table1[[#This Row],[DUT Adj Read]]="N/A",IF(Table1[[#This Row],[Std Adj Read]]&lt;=Table1[[#This Row],[High Tol]],"Pass","Fail"),IF(Table1[[#This Row],[DUT Adj Read]]&lt;=Table1[[#This Row],[High Tol]],"Pass","Fail")))</f>
        <v>Fail</v>
      </c>
      <c r="AH7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0" s="1" t="b">
        <v>0</v>
      </c>
      <c r="AN740" s="1" t="b">
        <v>0</v>
      </c>
      <c r="AO740" s="1" t="b">
        <v>0</v>
      </c>
    </row>
    <row r="741" spans="1:41" x14ac:dyDescent="0.25">
      <c r="A741" s="10"/>
      <c r="B741" s="10"/>
      <c r="C741" s="10"/>
      <c r="D741" s="10"/>
      <c r="E741" s="10"/>
      <c r="F741" s="10"/>
      <c r="G741" s="10"/>
      <c r="H741" s="10"/>
      <c r="I741" s="1" t="str">
        <f t="shared" si="33"/>
        <v/>
      </c>
      <c r="J741" s="1" t="s">
        <v>35</v>
      </c>
      <c r="K741" s="1" t="str">
        <f t="shared" si="34"/>
        <v/>
      </c>
      <c r="L741" s="1" t="str">
        <f t="shared" si="35"/>
        <v/>
      </c>
      <c r="M741" s="1">
        <f>IF(OR(Table1[[#This Row],[Std Nom]]="",Table1[[#This Row],[Std Read]]=""),0,Table1[[#This Row],[Std Nom]]-Table1[[#This Row],[Std Read]])</f>
        <v>0</v>
      </c>
      <c r="N741" s="1">
        <f>IF(Calculations!$F$5="ACCREDITED 17025 WITH UNCERTAINTIES",$N$10,0)</f>
        <v>0</v>
      </c>
      <c r="O741" s="1" t="str">
        <f>IFERROR(Table1[[#This Row],[Std Nom]]-(_xlfn.XLOOKUP(Table1[[#This Row],[Manufacturer]]&amp;" "&amp;Table1[[#This Row],[Model]],Table13[MFR &amp; MDL],Table13[Tolerance % CW ],"")/100*Table1[[#This Row],[Std Nom]]),"")</f>
        <v/>
      </c>
      <c r="P741" s="1" t="str">
        <f>IFERROR(Table1[[#This Row],[Std Nom]]+(_xlfn.XLOOKUP(Table1[[#This Row],[Manufacturer]]&amp;" "&amp;Table1[[#This Row],[Model]],Table13[MFR &amp; MDL],Table13[Tolerance % CW ],"")/100*Table1[[#This Row],[Std Nom]]),"")</f>
        <v/>
      </c>
      <c r="Q741" s="1" t="e">
        <f>Table1[[#This Row],[High Tol]]-Table1[[#This Row],[Low Tol]]</f>
        <v>#VALUE!</v>
      </c>
      <c r="R741" s="1">
        <f>2*Table1[[#This Row],[Std Error]]</f>
        <v>0</v>
      </c>
      <c r="S741" s="1" t="str">
        <f>IF(Table1[[#This Row],[High Tol]]="","N/A",IFERROR(ABS(Table1[[#This Row],[Tol Span]]/Table1[[#This Row],[Error Span]]),"N/A"))</f>
        <v>N/A</v>
      </c>
      <c r="T741" s="1" t="str">
        <f>IF(OR(Table1[[#This Row],[Low Tol]]="",Table1[[#This Row],[High Tol]]=""),"Needs Analysis",IF(Table1[[#This Row],[Ratio]]&gt;=4,"Not Significant",IF(Table1[[#This Row],[Ratio]]&gt;=2,"Semi-Significant","Significant")))</f>
        <v>Needs Analysis</v>
      </c>
      <c r="W741" s="1">
        <f>IF(Table1[[#This Row],[Cal Type]]&lt;&gt;"ACCREDITED 17025 WITH UNCERTAINTIES",0,"")</f>
        <v>0</v>
      </c>
      <c r="X741" s="1" t="str">
        <f>IF(Table1[[#This Row],[DUT Read]]="","N/A",Table1[[#This Row],[Std Error]]+Table1[[#This Row],[DUT Read]]+Table1[[#This Row],[DUT Ucty]])</f>
        <v>N/A</v>
      </c>
      <c r="Y741" s="1" t="str">
        <f>IF(Table1[[#This Row],[Std Read]]="","N/A",Table1[[#This Row],[Std Read]]+Table1[[#This Row],[Std Ucty]])</f>
        <v>N/A</v>
      </c>
      <c r="Z7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1" s="1" t="str">
        <f>IF(Table1[[#This Row],[Spec Type]]="","N/A",Table1[[#This Row],[Spec Type]])</f>
        <v>±</v>
      </c>
      <c r="AC741" s="1" t="str">
        <f>IF(Table1[[#This Row],[Spec Type2]]="N/A","N/A",IF(AND(Table1[[#This Row],[DUT Adj Read]]&gt;=Table1[[#This Row],[Low Tol]],Table1[[#This Row],[DUT Adj Read]]&lt;=Table1[[#This Row],[High Tol]]),"Pass","Fail"))</f>
        <v>Fail</v>
      </c>
      <c r="AD741" s="1" t="str">
        <f>IF(AND(Table1[[#This Row],[Spec Type2]]="N/A",Table1[[#This Row],[DUT Adj Read]]="N/A",Table1[[#This Row],[Std Adj Read]]="N/A"),"N/A",IF(Table1[[#This Row],[DUT Adj Read]]="N/A",IF(Table1[[#This Row],[Std Adj Read]]&gt;Table1[[#This Row],[Low Tol]],"Pass","Fail"),IF(Table1[[#This Row],[DUT Adj Read]]&gt;Table1[[#This Row],[Low Tol]],"Pass","Fail")))</f>
        <v>Pass</v>
      </c>
      <c r="AE741" s="1" t="str">
        <f>IF(AND(Table1[[#This Row],[Spec Type2]]="N/A",Table1[[#This Row],[DUT Adj Read]]="N/A",Table1[[#This Row],[Std Adj Read]]="N/A"),"N/A",IF(Table1[[#This Row],[DUT Adj Read]]="N/A",IF(Table1[[#This Row],[Std Adj Read]]&lt;Table1[[#This Row],[High Tol]],"Pass","Fail"),IF(Table1[[#This Row],[DUT Adj Read]]&lt;Table1[[#This Row],[High Tol]],"Pass","Fail")))</f>
        <v>Fail</v>
      </c>
      <c r="AF741" s="1" t="str">
        <f>IF(AND(Table1[[#This Row],[Spec Type2]]="N/A",Table1[[#This Row],[DUT Adj Read]]="N/A",Table1[[#This Row],[Std Adj Read]]="N/A"),"N/A",IF(Table1[[#This Row],[DUT Adj Read]]="N/A",IF(Table1[[#This Row],[Std Adj Read]]&gt;=Table1[[#This Row],[Low Tol]],"Pass","Fail"),IF(Table1[[#This Row],[DUT Adj Read]]&gt;=Table1[[#This Row],[Low Tol]],"Pass","Fail")))</f>
        <v>Pass</v>
      </c>
      <c r="AG741" s="1" t="str">
        <f>IF(AND(Table1[[#This Row],[Spec Type2]]="N/A",Table1[[#This Row],[DUT Adj Read]]="N/A",Table1[[#This Row],[Std Adj Read]]="N/A"),"N/A",IF(Table1[[#This Row],[DUT Adj Read]]="N/A",IF(Table1[[#This Row],[Std Adj Read]]&lt;=Table1[[#This Row],[High Tol]],"Pass","Fail"),IF(Table1[[#This Row],[DUT Adj Read]]&lt;=Table1[[#This Row],[High Tol]],"Pass","Fail")))</f>
        <v>Fail</v>
      </c>
      <c r="AH7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1" s="1" t="b">
        <v>0</v>
      </c>
      <c r="AN741" s="1" t="b">
        <v>0</v>
      </c>
      <c r="AO741" s="1" t="b">
        <v>0</v>
      </c>
    </row>
    <row r="742" spans="1:41" x14ac:dyDescent="0.25">
      <c r="A742" s="10"/>
      <c r="B742" s="10"/>
      <c r="C742" s="10"/>
      <c r="D742" s="10"/>
      <c r="E742" s="10"/>
      <c r="F742" s="10"/>
      <c r="G742" s="10"/>
      <c r="H742" s="10"/>
      <c r="I742" s="1" t="str">
        <f t="shared" si="33"/>
        <v/>
      </c>
      <c r="J742" s="1" t="s">
        <v>35</v>
      </c>
      <c r="K742" s="1" t="str">
        <f t="shared" si="34"/>
        <v/>
      </c>
      <c r="L742" s="1" t="str">
        <f t="shared" si="35"/>
        <v/>
      </c>
      <c r="M742" s="1">
        <f>IF(OR(Table1[[#This Row],[Std Nom]]="",Table1[[#This Row],[Std Read]]=""),0,Table1[[#This Row],[Std Nom]]-Table1[[#This Row],[Std Read]])</f>
        <v>0</v>
      </c>
      <c r="N742" s="1">
        <f>IF(Calculations!$F$5="ACCREDITED 17025 WITH UNCERTAINTIES",$N$10,0)</f>
        <v>0</v>
      </c>
      <c r="O742" s="1" t="str">
        <f>IFERROR(Table1[[#This Row],[Std Nom]]-(_xlfn.XLOOKUP(Table1[[#This Row],[Manufacturer]]&amp;" "&amp;Table1[[#This Row],[Model]],Table13[MFR &amp; MDL],Table13[Tolerance % CW ],"")/100*Table1[[#This Row],[Std Nom]]),"")</f>
        <v/>
      </c>
      <c r="P742" s="1" t="str">
        <f>IFERROR(Table1[[#This Row],[Std Nom]]+(_xlfn.XLOOKUP(Table1[[#This Row],[Manufacturer]]&amp;" "&amp;Table1[[#This Row],[Model]],Table13[MFR &amp; MDL],Table13[Tolerance % CW ],"")/100*Table1[[#This Row],[Std Nom]]),"")</f>
        <v/>
      </c>
      <c r="Q742" s="1" t="e">
        <f>Table1[[#This Row],[High Tol]]-Table1[[#This Row],[Low Tol]]</f>
        <v>#VALUE!</v>
      </c>
      <c r="R742" s="1">
        <f>2*Table1[[#This Row],[Std Error]]</f>
        <v>0</v>
      </c>
      <c r="S742" s="1" t="str">
        <f>IF(Table1[[#This Row],[High Tol]]="","N/A",IFERROR(ABS(Table1[[#This Row],[Tol Span]]/Table1[[#This Row],[Error Span]]),"N/A"))</f>
        <v>N/A</v>
      </c>
      <c r="T742" s="1" t="str">
        <f>IF(OR(Table1[[#This Row],[Low Tol]]="",Table1[[#This Row],[High Tol]]=""),"Needs Analysis",IF(Table1[[#This Row],[Ratio]]&gt;=4,"Not Significant",IF(Table1[[#This Row],[Ratio]]&gt;=2,"Semi-Significant","Significant")))</f>
        <v>Needs Analysis</v>
      </c>
      <c r="W742" s="1">
        <f>IF(Table1[[#This Row],[Cal Type]]&lt;&gt;"ACCREDITED 17025 WITH UNCERTAINTIES",0,"")</f>
        <v>0</v>
      </c>
      <c r="X742" s="1" t="str">
        <f>IF(Table1[[#This Row],[DUT Read]]="","N/A",Table1[[#This Row],[Std Error]]+Table1[[#This Row],[DUT Read]]+Table1[[#This Row],[DUT Ucty]])</f>
        <v>N/A</v>
      </c>
      <c r="Y742" s="1" t="str">
        <f>IF(Table1[[#This Row],[Std Read]]="","N/A",Table1[[#This Row],[Std Read]]+Table1[[#This Row],[Std Ucty]])</f>
        <v>N/A</v>
      </c>
      <c r="Z7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2" s="1" t="str">
        <f>IF(Table1[[#This Row],[Spec Type]]="","N/A",Table1[[#This Row],[Spec Type]])</f>
        <v>±</v>
      </c>
      <c r="AC742" s="1" t="str">
        <f>IF(Table1[[#This Row],[Spec Type2]]="N/A","N/A",IF(AND(Table1[[#This Row],[DUT Adj Read]]&gt;=Table1[[#This Row],[Low Tol]],Table1[[#This Row],[DUT Adj Read]]&lt;=Table1[[#This Row],[High Tol]]),"Pass","Fail"))</f>
        <v>Fail</v>
      </c>
      <c r="AD742" s="1" t="str">
        <f>IF(AND(Table1[[#This Row],[Spec Type2]]="N/A",Table1[[#This Row],[DUT Adj Read]]="N/A",Table1[[#This Row],[Std Adj Read]]="N/A"),"N/A",IF(Table1[[#This Row],[DUT Adj Read]]="N/A",IF(Table1[[#This Row],[Std Adj Read]]&gt;Table1[[#This Row],[Low Tol]],"Pass","Fail"),IF(Table1[[#This Row],[DUT Adj Read]]&gt;Table1[[#This Row],[Low Tol]],"Pass","Fail")))</f>
        <v>Pass</v>
      </c>
      <c r="AE742" s="1" t="str">
        <f>IF(AND(Table1[[#This Row],[Spec Type2]]="N/A",Table1[[#This Row],[DUT Adj Read]]="N/A",Table1[[#This Row],[Std Adj Read]]="N/A"),"N/A",IF(Table1[[#This Row],[DUT Adj Read]]="N/A",IF(Table1[[#This Row],[Std Adj Read]]&lt;Table1[[#This Row],[High Tol]],"Pass","Fail"),IF(Table1[[#This Row],[DUT Adj Read]]&lt;Table1[[#This Row],[High Tol]],"Pass","Fail")))</f>
        <v>Fail</v>
      </c>
      <c r="AF742" s="1" t="str">
        <f>IF(AND(Table1[[#This Row],[Spec Type2]]="N/A",Table1[[#This Row],[DUT Adj Read]]="N/A",Table1[[#This Row],[Std Adj Read]]="N/A"),"N/A",IF(Table1[[#This Row],[DUT Adj Read]]="N/A",IF(Table1[[#This Row],[Std Adj Read]]&gt;=Table1[[#This Row],[Low Tol]],"Pass","Fail"),IF(Table1[[#This Row],[DUT Adj Read]]&gt;=Table1[[#This Row],[Low Tol]],"Pass","Fail")))</f>
        <v>Pass</v>
      </c>
      <c r="AG742" s="1" t="str">
        <f>IF(AND(Table1[[#This Row],[Spec Type2]]="N/A",Table1[[#This Row],[DUT Adj Read]]="N/A",Table1[[#This Row],[Std Adj Read]]="N/A"),"N/A",IF(Table1[[#This Row],[DUT Adj Read]]="N/A",IF(Table1[[#This Row],[Std Adj Read]]&lt;=Table1[[#This Row],[High Tol]],"Pass","Fail"),IF(Table1[[#This Row],[DUT Adj Read]]&lt;=Table1[[#This Row],[High Tol]],"Pass","Fail")))</f>
        <v>Fail</v>
      </c>
      <c r="AH7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2" s="1" t="b">
        <v>0</v>
      </c>
      <c r="AN742" s="1" t="b">
        <v>0</v>
      </c>
      <c r="AO742" s="1" t="b">
        <v>0</v>
      </c>
    </row>
    <row r="743" spans="1:41" x14ac:dyDescent="0.25">
      <c r="A743" s="10"/>
      <c r="B743" s="10"/>
      <c r="C743" s="10"/>
      <c r="D743" s="10"/>
      <c r="E743" s="10"/>
      <c r="F743" s="10"/>
      <c r="G743" s="10"/>
      <c r="H743" s="10"/>
      <c r="I743" s="1" t="str">
        <f t="shared" si="33"/>
        <v/>
      </c>
      <c r="J743" s="1" t="s">
        <v>35</v>
      </c>
      <c r="K743" s="1" t="str">
        <f t="shared" si="34"/>
        <v/>
      </c>
      <c r="L743" s="1" t="str">
        <f t="shared" si="35"/>
        <v/>
      </c>
      <c r="M743" s="1">
        <f>IF(OR(Table1[[#This Row],[Std Nom]]="",Table1[[#This Row],[Std Read]]=""),0,Table1[[#This Row],[Std Nom]]-Table1[[#This Row],[Std Read]])</f>
        <v>0</v>
      </c>
      <c r="N743" s="1">
        <f>IF(Calculations!$F$5="ACCREDITED 17025 WITH UNCERTAINTIES",$N$10,0)</f>
        <v>0</v>
      </c>
      <c r="O743" s="1" t="str">
        <f>IFERROR(Table1[[#This Row],[Std Nom]]-(_xlfn.XLOOKUP(Table1[[#This Row],[Manufacturer]]&amp;" "&amp;Table1[[#This Row],[Model]],Table13[MFR &amp; MDL],Table13[Tolerance % CW ],"")/100*Table1[[#This Row],[Std Nom]]),"")</f>
        <v/>
      </c>
      <c r="P743" s="1" t="str">
        <f>IFERROR(Table1[[#This Row],[Std Nom]]+(_xlfn.XLOOKUP(Table1[[#This Row],[Manufacturer]]&amp;" "&amp;Table1[[#This Row],[Model]],Table13[MFR &amp; MDL],Table13[Tolerance % CW ],"")/100*Table1[[#This Row],[Std Nom]]),"")</f>
        <v/>
      </c>
      <c r="Q743" s="1" t="e">
        <f>Table1[[#This Row],[High Tol]]-Table1[[#This Row],[Low Tol]]</f>
        <v>#VALUE!</v>
      </c>
      <c r="R743" s="1">
        <f>2*Table1[[#This Row],[Std Error]]</f>
        <v>0</v>
      </c>
      <c r="S743" s="1" t="str">
        <f>IF(Table1[[#This Row],[High Tol]]="","N/A",IFERROR(ABS(Table1[[#This Row],[Tol Span]]/Table1[[#This Row],[Error Span]]),"N/A"))</f>
        <v>N/A</v>
      </c>
      <c r="T743" s="1" t="str">
        <f>IF(OR(Table1[[#This Row],[Low Tol]]="",Table1[[#This Row],[High Tol]]=""),"Needs Analysis",IF(Table1[[#This Row],[Ratio]]&gt;=4,"Not Significant",IF(Table1[[#This Row],[Ratio]]&gt;=2,"Semi-Significant","Significant")))</f>
        <v>Needs Analysis</v>
      </c>
      <c r="W743" s="1">
        <f>IF(Table1[[#This Row],[Cal Type]]&lt;&gt;"ACCREDITED 17025 WITH UNCERTAINTIES",0,"")</f>
        <v>0</v>
      </c>
      <c r="X743" s="1" t="str">
        <f>IF(Table1[[#This Row],[DUT Read]]="","N/A",Table1[[#This Row],[Std Error]]+Table1[[#This Row],[DUT Read]]+Table1[[#This Row],[DUT Ucty]])</f>
        <v>N/A</v>
      </c>
      <c r="Y743" s="1" t="str">
        <f>IF(Table1[[#This Row],[Std Read]]="","N/A",Table1[[#This Row],[Std Read]]+Table1[[#This Row],[Std Ucty]])</f>
        <v>N/A</v>
      </c>
      <c r="Z7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3" s="1" t="str">
        <f>IF(Table1[[#This Row],[Spec Type]]="","N/A",Table1[[#This Row],[Spec Type]])</f>
        <v>±</v>
      </c>
      <c r="AC743" s="1" t="str">
        <f>IF(Table1[[#This Row],[Spec Type2]]="N/A","N/A",IF(AND(Table1[[#This Row],[DUT Adj Read]]&gt;=Table1[[#This Row],[Low Tol]],Table1[[#This Row],[DUT Adj Read]]&lt;=Table1[[#This Row],[High Tol]]),"Pass","Fail"))</f>
        <v>Fail</v>
      </c>
      <c r="AD743" s="1" t="str">
        <f>IF(AND(Table1[[#This Row],[Spec Type2]]="N/A",Table1[[#This Row],[DUT Adj Read]]="N/A",Table1[[#This Row],[Std Adj Read]]="N/A"),"N/A",IF(Table1[[#This Row],[DUT Adj Read]]="N/A",IF(Table1[[#This Row],[Std Adj Read]]&gt;Table1[[#This Row],[Low Tol]],"Pass","Fail"),IF(Table1[[#This Row],[DUT Adj Read]]&gt;Table1[[#This Row],[Low Tol]],"Pass","Fail")))</f>
        <v>Pass</v>
      </c>
      <c r="AE743" s="1" t="str">
        <f>IF(AND(Table1[[#This Row],[Spec Type2]]="N/A",Table1[[#This Row],[DUT Adj Read]]="N/A",Table1[[#This Row],[Std Adj Read]]="N/A"),"N/A",IF(Table1[[#This Row],[DUT Adj Read]]="N/A",IF(Table1[[#This Row],[Std Adj Read]]&lt;Table1[[#This Row],[High Tol]],"Pass","Fail"),IF(Table1[[#This Row],[DUT Adj Read]]&lt;Table1[[#This Row],[High Tol]],"Pass","Fail")))</f>
        <v>Fail</v>
      </c>
      <c r="AF743" s="1" t="str">
        <f>IF(AND(Table1[[#This Row],[Spec Type2]]="N/A",Table1[[#This Row],[DUT Adj Read]]="N/A",Table1[[#This Row],[Std Adj Read]]="N/A"),"N/A",IF(Table1[[#This Row],[DUT Adj Read]]="N/A",IF(Table1[[#This Row],[Std Adj Read]]&gt;=Table1[[#This Row],[Low Tol]],"Pass","Fail"),IF(Table1[[#This Row],[DUT Adj Read]]&gt;=Table1[[#This Row],[Low Tol]],"Pass","Fail")))</f>
        <v>Pass</v>
      </c>
      <c r="AG743" s="1" t="str">
        <f>IF(AND(Table1[[#This Row],[Spec Type2]]="N/A",Table1[[#This Row],[DUT Adj Read]]="N/A",Table1[[#This Row],[Std Adj Read]]="N/A"),"N/A",IF(Table1[[#This Row],[DUT Adj Read]]="N/A",IF(Table1[[#This Row],[Std Adj Read]]&lt;=Table1[[#This Row],[High Tol]],"Pass","Fail"),IF(Table1[[#This Row],[DUT Adj Read]]&lt;=Table1[[#This Row],[High Tol]],"Pass","Fail")))</f>
        <v>Fail</v>
      </c>
      <c r="AH7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3" s="1" t="b">
        <v>0</v>
      </c>
      <c r="AN743" s="1" t="b">
        <v>0</v>
      </c>
      <c r="AO743" s="1" t="b">
        <v>0</v>
      </c>
    </row>
    <row r="744" spans="1:41" x14ac:dyDescent="0.25">
      <c r="A744" s="10"/>
      <c r="B744" s="10"/>
      <c r="C744" s="10"/>
      <c r="D744" s="10"/>
      <c r="E744" s="10"/>
      <c r="F744" s="10"/>
      <c r="G744" s="10"/>
      <c r="H744" s="10"/>
      <c r="I744" s="1" t="str">
        <f t="shared" si="33"/>
        <v/>
      </c>
      <c r="J744" s="1" t="s">
        <v>35</v>
      </c>
      <c r="K744" s="1" t="str">
        <f t="shared" si="34"/>
        <v/>
      </c>
      <c r="L744" s="1" t="str">
        <f t="shared" si="35"/>
        <v/>
      </c>
      <c r="M744" s="1">
        <f>IF(OR(Table1[[#This Row],[Std Nom]]="",Table1[[#This Row],[Std Read]]=""),0,Table1[[#This Row],[Std Nom]]-Table1[[#This Row],[Std Read]])</f>
        <v>0</v>
      </c>
      <c r="N744" s="1">
        <f>IF(Calculations!$F$5="ACCREDITED 17025 WITH UNCERTAINTIES",$N$10,0)</f>
        <v>0</v>
      </c>
      <c r="O744" s="1" t="str">
        <f>IFERROR(Table1[[#This Row],[Std Nom]]-(_xlfn.XLOOKUP(Table1[[#This Row],[Manufacturer]]&amp;" "&amp;Table1[[#This Row],[Model]],Table13[MFR &amp; MDL],Table13[Tolerance % CW ],"")/100*Table1[[#This Row],[Std Nom]]),"")</f>
        <v/>
      </c>
      <c r="P744" s="1" t="str">
        <f>IFERROR(Table1[[#This Row],[Std Nom]]+(_xlfn.XLOOKUP(Table1[[#This Row],[Manufacturer]]&amp;" "&amp;Table1[[#This Row],[Model]],Table13[MFR &amp; MDL],Table13[Tolerance % CW ],"")/100*Table1[[#This Row],[Std Nom]]),"")</f>
        <v/>
      </c>
      <c r="Q744" s="1" t="e">
        <f>Table1[[#This Row],[High Tol]]-Table1[[#This Row],[Low Tol]]</f>
        <v>#VALUE!</v>
      </c>
      <c r="R744" s="1">
        <f>2*Table1[[#This Row],[Std Error]]</f>
        <v>0</v>
      </c>
      <c r="S744" s="1" t="str">
        <f>IF(Table1[[#This Row],[High Tol]]="","N/A",IFERROR(ABS(Table1[[#This Row],[Tol Span]]/Table1[[#This Row],[Error Span]]),"N/A"))</f>
        <v>N/A</v>
      </c>
      <c r="T744" s="1" t="str">
        <f>IF(OR(Table1[[#This Row],[Low Tol]]="",Table1[[#This Row],[High Tol]]=""),"Needs Analysis",IF(Table1[[#This Row],[Ratio]]&gt;=4,"Not Significant",IF(Table1[[#This Row],[Ratio]]&gt;=2,"Semi-Significant","Significant")))</f>
        <v>Needs Analysis</v>
      </c>
      <c r="W744" s="1">
        <f>IF(Table1[[#This Row],[Cal Type]]&lt;&gt;"ACCREDITED 17025 WITH UNCERTAINTIES",0,"")</f>
        <v>0</v>
      </c>
      <c r="X744" s="1" t="str">
        <f>IF(Table1[[#This Row],[DUT Read]]="","N/A",Table1[[#This Row],[Std Error]]+Table1[[#This Row],[DUT Read]]+Table1[[#This Row],[DUT Ucty]])</f>
        <v>N/A</v>
      </c>
      <c r="Y744" s="1" t="str">
        <f>IF(Table1[[#This Row],[Std Read]]="","N/A",Table1[[#This Row],[Std Read]]+Table1[[#This Row],[Std Ucty]])</f>
        <v>N/A</v>
      </c>
      <c r="Z7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4" s="1" t="str">
        <f>IF(Table1[[#This Row],[Spec Type]]="","N/A",Table1[[#This Row],[Spec Type]])</f>
        <v>±</v>
      </c>
      <c r="AC744" s="1" t="str">
        <f>IF(Table1[[#This Row],[Spec Type2]]="N/A","N/A",IF(AND(Table1[[#This Row],[DUT Adj Read]]&gt;=Table1[[#This Row],[Low Tol]],Table1[[#This Row],[DUT Adj Read]]&lt;=Table1[[#This Row],[High Tol]]),"Pass","Fail"))</f>
        <v>Fail</v>
      </c>
      <c r="AD744" s="1" t="str">
        <f>IF(AND(Table1[[#This Row],[Spec Type2]]="N/A",Table1[[#This Row],[DUT Adj Read]]="N/A",Table1[[#This Row],[Std Adj Read]]="N/A"),"N/A",IF(Table1[[#This Row],[DUT Adj Read]]="N/A",IF(Table1[[#This Row],[Std Adj Read]]&gt;Table1[[#This Row],[Low Tol]],"Pass","Fail"),IF(Table1[[#This Row],[DUT Adj Read]]&gt;Table1[[#This Row],[Low Tol]],"Pass","Fail")))</f>
        <v>Pass</v>
      </c>
      <c r="AE744" s="1" t="str">
        <f>IF(AND(Table1[[#This Row],[Spec Type2]]="N/A",Table1[[#This Row],[DUT Adj Read]]="N/A",Table1[[#This Row],[Std Adj Read]]="N/A"),"N/A",IF(Table1[[#This Row],[DUT Adj Read]]="N/A",IF(Table1[[#This Row],[Std Adj Read]]&lt;Table1[[#This Row],[High Tol]],"Pass","Fail"),IF(Table1[[#This Row],[DUT Adj Read]]&lt;Table1[[#This Row],[High Tol]],"Pass","Fail")))</f>
        <v>Fail</v>
      </c>
      <c r="AF744" s="1" t="str">
        <f>IF(AND(Table1[[#This Row],[Spec Type2]]="N/A",Table1[[#This Row],[DUT Adj Read]]="N/A",Table1[[#This Row],[Std Adj Read]]="N/A"),"N/A",IF(Table1[[#This Row],[DUT Adj Read]]="N/A",IF(Table1[[#This Row],[Std Adj Read]]&gt;=Table1[[#This Row],[Low Tol]],"Pass","Fail"),IF(Table1[[#This Row],[DUT Adj Read]]&gt;=Table1[[#This Row],[Low Tol]],"Pass","Fail")))</f>
        <v>Pass</v>
      </c>
      <c r="AG744" s="1" t="str">
        <f>IF(AND(Table1[[#This Row],[Spec Type2]]="N/A",Table1[[#This Row],[DUT Adj Read]]="N/A",Table1[[#This Row],[Std Adj Read]]="N/A"),"N/A",IF(Table1[[#This Row],[DUT Adj Read]]="N/A",IF(Table1[[#This Row],[Std Adj Read]]&lt;=Table1[[#This Row],[High Tol]],"Pass","Fail"),IF(Table1[[#This Row],[DUT Adj Read]]&lt;=Table1[[#This Row],[High Tol]],"Pass","Fail")))</f>
        <v>Fail</v>
      </c>
      <c r="AH7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4" s="1" t="b">
        <v>0</v>
      </c>
      <c r="AN744" s="1" t="b">
        <v>0</v>
      </c>
      <c r="AO744" s="1" t="b">
        <v>0</v>
      </c>
    </row>
    <row r="745" spans="1:41" x14ac:dyDescent="0.25">
      <c r="A745" s="10"/>
      <c r="B745" s="10"/>
      <c r="C745" s="10"/>
      <c r="D745" s="10"/>
      <c r="E745" s="10"/>
      <c r="F745" s="10"/>
      <c r="G745" s="10"/>
      <c r="H745" s="10"/>
      <c r="I745" s="1" t="str">
        <f t="shared" si="33"/>
        <v/>
      </c>
      <c r="J745" s="1" t="s">
        <v>35</v>
      </c>
      <c r="K745" s="1" t="str">
        <f t="shared" si="34"/>
        <v/>
      </c>
      <c r="L745" s="1" t="str">
        <f t="shared" si="35"/>
        <v/>
      </c>
      <c r="M745" s="1">
        <f>IF(OR(Table1[[#This Row],[Std Nom]]="",Table1[[#This Row],[Std Read]]=""),0,Table1[[#This Row],[Std Nom]]-Table1[[#This Row],[Std Read]])</f>
        <v>0</v>
      </c>
      <c r="N745" s="1">
        <f>IF(Calculations!$F$5="ACCREDITED 17025 WITH UNCERTAINTIES",$N$10,0)</f>
        <v>0</v>
      </c>
      <c r="O745" s="1" t="str">
        <f>IFERROR(Table1[[#This Row],[Std Nom]]-(_xlfn.XLOOKUP(Table1[[#This Row],[Manufacturer]]&amp;" "&amp;Table1[[#This Row],[Model]],Table13[MFR &amp; MDL],Table13[Tolerance % CW ],"")/100*Table1[[#This Row],[Std Nom]]),"")</f>
        <v/>
      </c>
      <c r="P745" s="1" t="str">
        <f>IFERROR(Table1[[#This Row],[Std Nom]]+(_xlfn.XLOOKUP(Table1[[#This Row],[Manufacturer]]&amp;" "&amp;Table1[[#This Row],[Model]],Table13[MFR &amp; MDL],Table13[Tolerance % CW ],"")/100*Table1[[#This Row],[Std Nom]]),"")</f>
        <v/>
      </c>
      <c r="Q745" s="1" t="e">
        <f>Table1[[#This Row],[High Tol]]-Table1[[#This Row],[Low Tol]]</f>
        <v>#VALUE!</v>
      </c>
      <c r="R745" s="1">
        <f>2*Table1[[#This Row],[Std Error]]</f>
        <v>0</v>
      </c>
      <c r="S745" s="1" t="str">
        <f>IF(Table1[[#This Row],[High Tol]]="","N/A",IFERROR(ABS(Table1[[#This Row],[Tol Span]]/Table1[[#This Row],[Error Span]]),"N/A"))</f>
        <v>N/A</v>
      </c>
      <c r="T745" s="1" t="str">
        <f>IF(OR(Table1[[#This Row],[Low Tol]]="",Table1[[#This Row],[High Tol]]=""),"Needs Analysis",IF(Table1[[#This Row],[Ratio]]&gt;=4,"Not Significant",IF(Table1[[#This Row],[Ratio]]&gt;=2,"Semi-Significant","Significant")))</f>
        <v>Needs Analysis</v>
      </c>
      <c r="W745" s="1">
        <f>IF(Table1[[#This Row],[Cal Type]]&lt;&gt;"ACCREDITED 17025 WITH UNCERTAINTIES",0,"")</f>
        <v>0</v>
      </c>
      <c r="X745" s="1" t="str">
        <f>IF(Table1[[#This Row],[DUT Read]]="","N/A",Table1[[#This Row],[Std Error]]+Table1[[#This Row],[DUT Read]]+Table1[[#This Row],[DUT Ucty]])</f>
        <v>N/A</v>
      </c>
      <c r="Y745" s="1" t="str">
        <f>IF(Table1[[#This Row],[Std Read]]="","N/A",Table1[[#This Row],[Std Read]]+Table1[[#This Row],[Std Ucty]])</f>
        <v>N/A</v>
      </c>
      <c r="Z7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5" s="1" t="str">
        <f>IF(Table1[[#This Row],[Spec Type]]="","N/A",Table1[[#This Row],[Spec Type]])</f>
        <v>±</v>
      </c>
      <c r="AC745" s="1" t="str">
        <f>IF(Table1[[#This Row],[Spec Type2]]="N/A","N/A",IF(AND(Table1[[#This Row],[DUT Adj Read]]&gt;=Table1[[#This Row],[Low Tol]],Table1[[#This Row],[DUT Adj Read]]&lt;=Table1[[#This Row],[High Tol]]),"Pass","Fail"))</f>
        <v>Fail</v>
      </c>
      <c r="AD745" s="1" t="str">
        <f>IF(AND(Table1[[#This Row],[Spec Type2]]="N/A",Table1[[#This Row],[DUT Adj Read]]="N/A",Table1[[#This Row],[Std Adj Read]]="N/A"),"N/A",IF(Table1[[#This Row],[DUT Adj Read]]="N/A",IF(Table1[[#This Row],[Std Adj Read]]&gt;Table1[[#This Row],[Low Tol]],"Pass","Fail"),IF(Table1[[#This Row],[DUT Adj Read]]&gt;Table1[[#This Row],[Low Tol]],"Pass","Fail")))</f>
        <v>Pass</v>
      </c>
      <c r="AE745" s="1" t="str">
        <f>IF(AND(Table1[[#This Row],[Spec Type2]]="N/A",Table1[[#This Row],[DUT Adj Read]]="N/A",Table1[[#This Row],[Std Adj Read]]="N/A"),"N/A",IF(Table1[[#This Row],[DUT Adj Read]]="N/A",IF(Table1[[#This Row],[Std Adj Read]]&lt;Table1[[#This Row],[High Tol]],"Pass","Fail"),IF(Table1[[#This Row],[DUT Adj Read]]&lt;Table1[[#This Row],[High Tol]],"Pass","Fail")))</f>
        <v>Fail</v>
      </c>
      <c r="AF745" s="1" t="str">
        <f>IF(AND(Table1[[#This Row],[Spec Type2]]="N/A",Table1[[#This Row],[DUT Adj Read]]="N/A",Table1[[#This Row],[Std Adj Read]]="N/A"),"N/A",IF(Table1[[#This Row],[DUT Adj Read]]="N/A",IF(Table1[[#This Row],[Std Adj Read]]&gt;=Table1[[#This Row],[Low Tol]],"Pass","Fail"),IF(Table1[[#This Row],[DUT Adj Read]]&gt;=Table1[[#This Row],[Low Tol]],"Pass","Fail")))</f>
        <v>Pass</v>
      </c>
      <c r="AG745" s="1" t="str">
        <f>IF(AND(Table1[[#This Row],[Spec Type2]]="N/A",Table1[[#This Row],[DUT Adj Read]]="N/A",Table1[[#This Row],[Std Adj Read]]="N/A"),"N/A",IF(Table1[[#This Row],[DUT Adj Read]]="N/A",IF(Table1[[#This Row],[Std Adj Read]]&lt;=Table1[[#This Row],[High Tol]],"Pass","Fail"),IF(Table1[[#This Row],[DUT Adj Read]]&lt;=Table1[[#This Row],[High Tol]],"Pass","Fail")))</f>
        <v>Fail</v>
      </c>
      <c r="AH7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5" s="1" t="b">
        <v>0</v>
      </c>
      <c r="AN745" s="1" t="b">
        <v>0</v>
      </c>
      <c r="AO745" s="1" t="b">
        <v>0</v>
      </c>
    </row>
    <row r="746" spans="1:41" x14ac:dyDescent="0.25">
      <c r="A746" s="10"/>
      <c r="B746" s="10"/>
      <c r="C746" s="10"/>
      <c r="D746" s="10"/>
      <c r="E746" s="10"/>
      <c r="F746" s="10"/>
      <c r="G746" s="10"/>
      <c r="H746" s="10"/>
      <c r="I746" s="1" t="str">
        <f t="shared" si="33"/>
        <v/>
      </c>
      <c r="J746" s="1" t="s">
        <v>35</v>
      </c>
      <c r="K746" s="1" t="str">
        <f t="shared" si="34"/>
        <v/>
      </c>
      <c r="L746" s="1" t="str">
        <f t="shared" si="35"/>
        <v/>
      </c>
      <c r="M746" s="1">
        <f>IF(OR(Table1[[#This Row],[Std Nom]]="",Table1[[#This Row],[Std Read]]=""),0,Table1[[#This Row],[Std Nom]]-Table1[[#This Row],[Std Read]])</f>
        <v>0</v>
      </c>
      <c r="N746" s="1">
        <f>IF(Calculations!$F$5="ACCREDITED 17025 WITH UNCERTAINTIES",$N$10,0)</f>
        <v>0</v>
      </c>
      <c r="O746" s="1" t="str">
        <f>IFERROR(Table1[[#This Row],[Std Nom]]-(_xlfn.XLOOKUP(Table1[[#This Row],[Manufacturer]]&amp;" "&amp;Table1[[#This Row],[Model]],Table13[MFR &amp; MDL],Table13[Tolerance % CW ],"")/100*Table1[[#This Row],[Std Nom]]),"")</f>
        <v/>
      </c>
      <c r="P746" s="1" t="str">
        <f>IFERROR(Table1[[#This Row],[Std Nom]]+(_xlfn.XLOOKUP(Table1[[#This Row],[Manufacturer]]&amp;" "&amp;Table1[[#This Row],[Model]],Table13[MFR &amp; MDL],Table13[Tolerance % CW ],"")/100*Table1[[#This Row],[Std Nom]]),"")</f>
        <v/>
      </c>
      <c r="Q746" s="1" t="e">
        <f>Table1[[#This Row],[High Tol]]-Table1[[#This Row],[Low Tol]]</f>
        <v>#VALUE!</v>
      </c>
      <c r="R746" s="1">
        <f>2*Table1[[#This Row],[Std Error]]</f>
        <v>0</v>
      </c>
      <c r="S746" s="1" t="str">
        <f>IF(Table1[[#This Row],[High Tol]]="","N/A",IFERROR(ABS(Table1[[#This Row],[Tol Span]]/Table1[[#This Row],[Error Span]]),"N/A"))</f>
        <v>N/A</v>
      </c>
      <c r="T746" s="1" t="str">
        <f>IF(OR(Table1[[#This Row],[Low Tol]]="",Table1[[#This Row],[High Tol]]=""),"Needs Analysis",IF(Table1[[#This Row],[Ratio]]&gt;=4,"Not Significant",IF(Table1[[#This Row],[Ratio]]&gt;=2,"Semi-Significant","Significant")))</f>
        <v>Needs Analysis</v>
      </c>
      <c r="W746" s="1">
        <f>IF(Table1[[#This Row],[Cal Type]]&lt;&gt;"ACCREDITED 17025 WITH UNCERTAINTIES",0,"")</f>
        <v>0</v>
      </c>
      <c r="X746" s="1" t="str">
        <f>IF(Table1[[#This Row],[DUT Read]]="","N/A",Table1[[#This Row],[Std Error]]+Table1[[#This Row],[DUT Read]]+Table1[[#This Row],[DUT Ucty]])</f>
        <v>N/A</v>
      </c>
      <c r="Y746" s="1" t="str">
        <f>IF(Table1[[#This Row],[Std Read]]="","N/A",Table1[[#This Row],[Std Read]]+Table1[[#This Row],[Std Ucty]])</f>
        <v>N/A</v>
      </c>
      <c r="Z7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6" s="1" t="str">
        <f>IF(Table1[[#This Row],[Spec Type]]="","N/A",Table1[[#This Row],[Spec Type]])</f>
        <v>±</v>
      </c>
      <c r="AC746" s="1" t="str">
        <f>IF(Table1[[#This Row],[Spec Type2]]="N/A","N/A",IF(AND(Table1[[#This Row],[DUT Adj Read]]&gt;=Table1[[#This Row],[Low Tol]],Table1[[#This Row],[DUT Adj Read]]&lt;=Table1[[#This Row],[High Tol]]),"Pass","Fail"))</f>
        <v>Fail</v>
      </c>
      <c r="AD746" s="1" t="str">
        <f>IF(AND(Table1[[#This Row],[Spec Type2]]="N/A",Table1[[#This Row],[DUT Adj Read]]="N/A",Table1[[#This Row],[Std Adj Read]]="N/A"),"N/A",IF(Table1[[#This Row],[DUT Adj Read]]="N/A",IF(Table1[[#This Row],[Std Adj Read]]&gt;Table1[[#This Row],[Low Tol]],"Pass","Fail"),IF(Table1[[#This Row],[DUT Adj Read]]&gt;Table1[[#This Row],[Low Tol]],"Pass","Fail")))</f>
        <v>Pass</v>
      </c>
      <c r="AE746" s="1" t="str">
        <f>IF(AND(Table1[[#This Row],[Spec Type2]]="N/A",Table1[[#This Row],[DUT Adj Read]]="N/A",Table1[[#This Row],[Std Adj Read]]="N/A"),"N/A",IF(Table1[[#This Row],[DUT Adj Read]]="N/A",IF(Table1[[#This Row],[Std Adj Read]]&lt;Table1[[#This Row],[High Tol]],"Pass","Fail"),IF(Table1[[#This Row],[DUT Adj Read]]&lt;Table1[[#This Row],[High Tol]],"Pass","Fail")))</f>
        <v>Fail</v>
      </c>
      <c r="AF746" s="1" t="str">
        <f>IF(AND(Table1[[#This Row],[Spec Type2]]="N/A",Table1[[#This Row],[DUT Adj Read]]="N/A",Table1[[#This Row],[Std Adj Read]]="N/A"),"N/A",IF(Table1[[#This Row],[DUT Adj Read]]="N/A",IF(Table1[[#This Row],[Std Adj Read]]&gt;=Table1[[#This Row],[Low Tol]],"Pass","Fail"),IF(Table1[[#This Row],[DUT Adj Read]]&gt;=Table1[[#This Row],[Low Tol]],"Pass","Fail")))</f>
        <v>Pass</v>
      </c>
      <c r="AG746" s="1" t="str">
        <f>IF(AND(Table1[[#This Row],[Spec Type2]]="N/A",Table1[[#This Row],[DUT Adj Read]]="N/A",Table1[[#This Row],[Std Adj Read]]="N/A"),"N/A",IF(Table1[[#This Row],[DUT Adj Read]]="N/A",IF(Table1[[#This Row],[Std Adj Read]]&lt;=Table1[[#This Row],[High Tol]],"Pass","Fail"),IF(Table1[[#This Row],[DUT Adj Read]]&lt;=Table1[[#This Row],[High Tol]],"Pass","Fail")))</f>
        <v>Fail</v>
      </c>
      <c r="AH7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6" s="1" t="b">
        <v>0</v>
      </c>
      <c r="AN746" s="1" t="b">
        <v>0</v>
      </c>
      <c r="AO746" s="1" t="b">
        <v>0</v>
      </c>
    </row>
    <row r="747" spans="1:41" x14ac:dyDescent="0.25">
      <c r="A747" s="10"/>
      <c r="B747" s="10"/>
      <c r="C747" s="10"/>
      <c r="D747" s="10"/>
      <c r="E747" s="10"/>
      <c r="F747" s="10"/>
      <c r="G747" s="10"/>
      <c r="H747" s="10"/>
      <c r="I747" s="1" t="str">
        <f t="shared" si="33"/>
        <v/>
      </c>
      <c r="J747" s="1" t="s">
        <v>35</v>
      </c>
      <c r="K747" s="1" t="str">
        <f t="shared" si="34"/>
        <v/>
      </c>
      <c r="L747" s="1" t="str">
        <f t="shared" si="35"/>
        <v/>
      </c>
      <c r="M747" s="1">
        <f>IF(OR(Table1[[#This Row],[Std Nom]]="",Table1[[#This Row],[Std Read]]=""),0,Table1[[#This Row],[Std Nom]]-Table1[[#This Row],[Std Read]])</f>
        <v>0</v>
      </c>
      <c r="N747" s="1">
        <f>IF(Calculations!$F$5="ACCREDITED 17025 WITH UNCERTAINTIES",$N$10,0)</f>
        <v>0</v>
      </c>
      <c r="O747" s="1" t="str">
        <f>IFERROR(Table1[[#This Row],[Std Nom]]-(_xlfn.XLOOKUP(Table1[[#This Row],[Manufacturer]]&amp;" "&amp;Table1[[#This Row],[Model]],Table13[MFR &amp; MDL],Table13[Tolerance % CW ],"")/100*Table1[[#This Row],[Std Nom]]),"")</f>
        <v/>
      </c>
      <c r="P747" s="1" t="str">
        <f>IFERROR(Table1[[#This Row],[Std Nom]]+(_xlfn.XLOOKUP(Table1[[#This Row],[Manufacturer]]&amp;" "&amp;Table1[[#This Row],[Model]],Table13[MFR &amp; MDL],Table13[Tolerance % CW ],"")/100*Table1[[#This Row],[Std Nom]]),"")</f>
        <v/>
      </c>
      <c r="Q747" s="1" t="e">
        <f>Table1[[#This Row],[High Tol]]-Table1[[#This Row],[Low Tol]]</f>
        <v>#VALUE!</v>
      </c>
      <c r="R747" s="1">
        <f>2*Table1[[#This Row],[Std Error]]</f>
        <v>0</v>
      </c>
      <c r="S747" s="1" t="str">
        <f>IF(Table1[[#This Row],[High Tol]]="","N/A",IFERROR(ABS(Table1[[#This Row],[Tol Span]]/Table1[[#This Row],[Error Span]]),"N/A"))</f>
        <v>N/A</v>
      </c>
      <c r="T747" s="1" t="str">
        <f>IF(OR(Table1[[#This Row],[Low Tol]]="",Table1[[#This Row],[High Tol]]=""),"Needs Analysis",IF(Table1[[#This Row],[Ratio]]&gt;=4,"Not Significant",IF(Table1[[#This Row],[Ratio]]&gt;=2,"Semi-Significant","Significant")))</f>
        <v>Needs Analysis</v>
      </c>
      <c r="W747" s="1">
        <f>IF(Table1[[#This Row],[Cal Type]]&lt;&gt;"ACCREDITED 17025 WITH UNCERTAINTIES",0,"")</f>
        <v>0</v>
      </c>
      <c r="X747" s="1" t="str">
        <f>IF(Table1[[#This Row],[DUT Read]]="","N/A",Table1[[#This Row],[Std Error]]+Table1[[#This Row],[DUT Read]]+Table1[[#This Row],[DUT Ucty]])</f>
        <v>N/A</v>
      </c>
      <c r="Y747" s="1" t="str">
        <f>IF(Table1[[#This Row],[Std Read]]="","N/A",Table1[[#This Row],[Std Read]]+Table1[[#This Row],[Std Ucty]])</f>
        <v>N/A</v>
      </c>
      <c r="Z7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7" s="1" t="str">
        <f>IF(Table1[[#This Row],[Spec Type]]="","N/A",Table1[[#This Row],[Spec Type]])</f>
        <v>±</v>
      </c>
      <c r="AC747" s="1" t="str">
        <f>IF(Table1[[#This Row],[Spec Type2]]="N/A","N/A",IF(AND(Table1[[#This Row],[DUT Adj Read]]&gt;=Table1[[#This Row],[Low Tol]],Table1[[#This Row],[DUT Adj Read]]&lt;=Table1[[#This Row],[High Tol]]),"Pass","Fail"))</f>
        <v>Fail</v>
      </c>
      <c r="AD747" s="1" t="str">
        <f>IF(AND(Table1[[#This Row],[Spec Type2]]="N/A",Table1[[#This Row],[DUT Adj Read]]="N/A",Table1[[#This Row],[Std Adj Read]]="N/A"),"N/A",IF(Table1[[#This Row],[DUT Adj Read]]="N/A",IF(Table1[[#This Row],[Std Adj Read]]&gt;Table1[[#This Row],[Low Tol]],"Pass","Fail"),IF(Table1[[#This Row],[DUT Adj Read]]&gt;Table1[[#This Row],[Low Tol]],"Pass","Fail")))</f>
        <v>Pass</v>
      </c>
      <c r="AE747" s="1" t="str">
        <f>IF(AND(Table1[[#This Row],[Spec Type2]]="N/A",Table1[[#This Row],[DUT Adj Read]]="N/A",Table1[[#This Row],[Std Adj Read]]="N/A"),"N/A",IF(Table1[[#This Row],[DUT Adj Read]]="N/A",IF(Table1[[#This Row],[Std Adj Read]]&lt;Table1[[#This Row],[High Tol]],"Pass","Fail"),IF(Table1[[#This Row],[DUT Adj Read]]&lt;Table1[[#This Row],[High Tol]],"Pass","Fail")))</f>
        <v>Fail</v>
      </c>
      <c r="AF747" s="1" t="str">
        <f>IF(AND(Table1[[#This Row],[Spec Type2]]="N/A",Table1[[#This Row],[DUT Adj Read]]="N/A",Table1[[#This Row],[Std Adj Read]]="N/A"),"N/A",IF(Table1[[#This Row],[DUT Adj Read]]="N/A",IF(Table1[[#This Row],[Std Adj Read]]&gt;=Table1[[#This Row],[Low Tol]],"Pass","Fail"),IF(Table1[[#This Row],[DUT Adj Read]]&gt;=Table1[[#This Row],[Low Tol]],"Pass","Fail")))</f>
        <v>Pass</v>
      </c>
      <c r="AG747" s="1" t="str">
        <f>IF(AND(Table1[[#This Row],[Spec Type2]]="N/A",Table1[[#This Row],[DUT Adj Read]]="N/A",Table1[[#This Row],[Std Adj Read]]="N/A"),"N/A",IF(Table1[[#This Row],[DUT Adj Read]]="N/A",IF(Table1[[#This Row],[Std Adj Read]]&lt;=Table1[[#This Row],[High Tol]],"Pass","Fail"),IF(Table1[[#This Row],[DUT Adj Read]]&lt;=Table1[[#This Row],[High Tol]],"Pass","Fail")))</f>
        <v>Fail</v>
      </c>
      <c r="AH7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7" s="1" t="b">
        <v>0</v>
      </c>
      <c r="AN747" s="1" t="b">
        <v>0</v>
      </c>
      <c r="AO747" s="1" t="b">
        <v>0</v>
      </c>
    </row>
    <row r="748" spans="1:41" x14ac:dyDescent="0.25">
      <c r="A748" s="10"/>
      <c r="B748" s="10"/>
      <c r="C748" s="10"/>
      <c r="D748" s="10"/>
      <c r="E748" s="10"/>
      <c r="F748" s="10"/>
      <c r="G748" s="10"/>
      <c r="H748" s="10"/>
      <c r="I748" s="1" t="str">
        <f t="shared" si="33"/>
        <v/>
      </c>
      <c r="J748" s="1" t="s">
        <v>35</v>
      </c>
      <c r="K748" s="1" t="str">
        <f t="shared" si="34"/>
        <v/>
      </c>
      <c r="L748" s="1" t="str">
        <f t="shared" si="35"/>
        <v/>
      </c>
      <c r="M748" s="1">
        <f>IF(OR(Table1[[#This Row],[Std Nom]]="",Table1[[#This Row],[Std Read]]=""),0,Table1[[#This Row],[Std Nom]]-Table1[[#This Row],[Std Read]])</f>
        <v>0</v>
      </c>
      <c r="N748" s="1">
        <f>IF(Calculations!$F$5="ACCREDITED 17025 WITH UNCERTAINTIES",$N$10,0)</f>
        <v>0</v>
      </c>
      <c r="O748" s="1" t="str">
        <f>IFERROR(Table1[[#This Row],[Std Nom]]-(_xlfn.XLOOKUP(Table1[[#This Row],[Manufacturer]]&amp;" "&amp;Table1[[#This Row],[Model]],Table13[MFR &amp; MDL],Table13[Tolerance % CW ],"")/100*Table1[[#This Row],[Std Nom]]),"")</f>
        <v/>
      </c>
      <c r="P748" s="1" t="str">
        <f>IFERROR(Table1[[#This Row],[Std Nom]]+(_xlfn.XLOOKUP(Table1[[#This Row],[Manufacturer]]&amp;" "&amp;Table1[[#This Row],[Model]],Table13[MFR &amp; MDL],Table13[Tolerance % CW ],"")/100*Table1[[#This Row],[Std Nom]]),"")</f>
        <v/>
      </c>
      <c r="Q748" s="1" t="e">
        <f>Table1[[#This Row],[High Tol]]-Table1[[#This Row],[Low Tol]]</f>
        <v>#VALUE!</v>
      </c>
      <c r="R748" s="1">
        <f>2*Table1[[#This Row],[Std Error]]</f>
        <v>0</v>
      </c>
      <c r="S748" s="1" t="str">
        <f>IF(Table1[[#This Row],[High Tol]]="","N/A",IFERROR(ABS(Table1[[#This Row],[Tol Span]]/Table1[[#This Row],[Error Span]]),"N/A"))</f>
        <v>N/A</v>
      </c>
      <c r="T748" s="1" t="str">
        <f>IF(OR(Table1[[#This Row],[Low Tol]]="",Table1[[#This Row],[High Tol]]=""),"Needs Analysis",IF(Table1[[#This Row],[Ratio]]&gt;=4,"Not Significant",IF(Table1[[#This Row],[Ratio]]&gt;=2,"Semi-Significant","Significant")))</f>
        <v>Needs Analysis</v>
      </c>
      <c r="W748" s="1">
        <f>IF(Table1[[#This Row],[Cal Type]]&lt;&gt;"ACCREDITED 17025 WITH UNCERTAINTIES",0,"")</f>
        <v>0</v>
      </c>
      <c r="X748" s="1" t="str">
        <f>IF(Table1[[#This Row],[DUT Read]]="","N/A",Table1[[#This Row],[Std Error]]+Table1[[#This Row],[DUT Read]]+Table1[[#This Row],[DUT Ucty]])</f>
        <v>N/A</v>
      </c>
      <c r="Y748" s="1" t="str">
        <f>IF(Table1[[#This Row],[Std Read]]="","N/A",Table1[[#This Row],[Std Read]]+Table1[[#This Row],[Std Ucty]])</f>
        <v>N/A</v>
      </c>
      <c r="Z7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8" s="1" t="str">
        <f>IF(Table1[[#This Row],[Spec Type]]="","N/A",Table1[[#This Row],[Spec Type]])</f>
        <v>±</v>
      </c>
      <c r="AC748" s="1" t="str">
        <f>IF(Table1[[#This Row],[Spec Type2]]="N/A","N/A",IF(AND(Table1[[#This Row],[DUT Adj Read]]&gt;=Table1[[#This Row],[Low Tol]],Table1[[#This Row],[DUT Adj Read]]&lt;=Table1[[#This Row],[High Tol]]),"Pass","Fail"))</f>
        <v>Fail</v>
      </c>
      <c r="AD748" s="1" t="str">
        <f>IF(AND(Table1[[#This Row],[Spec Type2]]="N/A",Table1[[#This Row],[DUT Adj Read]]="N/A",Table1[[#This Row],[Std Adj Read]]="N/A"),"N/A",IF(Table1[[#This Row],[DUT Adj Read]]="N/A",IF(Table1[[#This Row],[Std Adj Read]]&gt;Table1[[#This Row],[Low Tol]],"Pass","Fail"),IF(Table1[[#This Row],[DUT Adj Read]]&gt;Table1[[#This Row],[Low Tol]],"Pass","Fail")))</f>
        <v>Pass</v>
      </c>
      <c r="AE748" s="1" t="str">
        <f>IF(AND(Table1[[#This Row],[Spec Type2]]="N/A",Table1[[#This Row],[DUT Adj Read]]="N/A",Table1[[#This Row],[Std Adj Read]]="N/A"),"N/A",IF(Table1[[#This Row],[DUT Adj Read]]="N/A",IF(Table1[[#This Row],[Std Adj Read]]&lt;Table1[[#This Row],[High Tol]],"Pass","Fail"),IF(Table1[[#This Row],[DUT Adj Read]]&lt;Table1[[#This Row],[High Tol]],"Pass","Fail")))</f>
        <v>Fail</v>
      </c>
      <c r="AF748" s="1" t="str">
        <f>IF(AND(Table1[[#This Row],[Spec Type2]]="N/A",Table1[[#This Row],[DUT Adj Read]]="N/A",Table1[[#This Row],[Std Adj Read]]="N/A"),"N/A",IF(Table1[[#This Row],[DUT Adj Read]]="N/A",IF(Table1[[#This Row],[Std Adj Read]]&gt;=Table1[[#This Row],[Low Tol]],"Pass","Fail"),IF(Table1[[#This Row],[DUT Adj Read]]&gt;=Table1[[#This Row],[Low Tol]],"Pass","Fail")))</f>
        <v>Pass</v>
      </c>
      <c r="AG748" s="1" t="str">
        <f>IF(AND(Table1[[#This Row],[Spec Type2]]="N/A",Table1[[#This Row],[DUT Adj Read]]="N/A",Table1[[#This Row],[Std Adj Read]]="N/A"),"N/A",IF(Table1[[#This Row],[DUT Adj Read]]="N/A",IF(Table1[[#This Row],[Std Adj Read]]&lt;=Table1[[#This Row],[High Tol]],"Pass","Fail"),IF(Table1[[#This Row],[DUT Adj Read]]&lt;=Table1[[#This Row],[High Tol]],"Pass","Fail")))</f>
        <v>Fail</v>
      </c>
      <c r="AH7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8" s="1" t="b">
        <v>0</v>
      </c>
      <c r="AN748" s="1" t="b">
        <v>0</v>
      </c>
      <c r="AO748" s="1" t="b">
        <v>0</v>
      </c>
    </row>
    <row r="749" spans="1:41" x14ac:dyDescent="0.25">
      <c r="A749" s="10"/>
      <c r="B749" s="10"/>
      <c r="C749" s="10"/>
      <c r="D749" s="10"/>
      <c r="E749" s="10"/>
      <c r="F749" s="10"/>
      <c r="G749" s="10"/>
      <c r="H749" s="10"/>
      <c r="I749" s="1" t="str">
        <f t="shared" si="33"/>
        <v/>
      </c>
      <c r="J749" s="1" t="s">
        <v>35</v>
      </c>
      <c r="K749" s="1" t="str">
        <f t="shared" si="34"/>
        <v/>
      </c>
      <c r="L749" s="1" t="str">
        <f t="shared" si="35"/>
        <v/>
      </c>
      <c r="M749" s="1">
        <f>IF(OR(Table1[[#This Row],[Std Nom]]="",Table1[[#This Row],[Std Read]]=""),0,Table1[[#This Row],[Std Nom]]-Table1[[#This Row],[Std Read]])</f>
        <v>0</v>
      </c>
      <c r="N749" s="1">
        <f>IF(Calculations!$F$5="ACCREDITED 17025 WITH UNCERTAINTIES",$N$10,0)</f>
        <v>0</v>
      </c>
      <c r="O749" s="1" t="str">
        <f>IFERROR(Table1[[#This Row],[Std Nom]]-(_xlfn.XLOOKUP(Table1[[#This Row],[Manufacturer]]&amp;" "&amp;Table1[[#This Row],[Model]],Table13[MFR &amp; MDL],Table13[Tolerance % CW ],"")/100*Table1[[#This Row],[Std Nom]]),"")</f>
        <v/>
      </c>
      <c r="P749" s="1" t="str">
        <f>IFERROR(Table1[[#This Row],[Std Nom]]+(_xlfn.XLOOKUP(Table1[[#This Row],[Manufacturer]]&amp;" "&amp;Table1[[#This Row],[Model]],Table13[MFR &amp; MDL],Table13[Tolerance % CW ],"")/100*Table1[[#This Row],[Std Nom]]),"")</f>
        <v/>
      </c>
      <c r="Q749" s="1" t="e">
        <f>Table1[[#This Row],[High Tol]]-Table1[[#This Row],[Low Tol]]</f>
        <v>#VALUE!</v>
      </c>
      <c r="R749" s="1">
        <f>2*Table1[[#This Row],[Std Error]]</f>
        <v>0</v>
      </c>
      <c r="S749" s="1" t="str">
        <f>IF(Table1[[#This Row],[High Tol]]="","N/A",IFERROR(ABS(Table1[[#This Row],[Tol Span]]/Table1[[#This Row],[Error Span]]),"N/A"))</f>
        <v>N/A</v>
      </c>
      <c r="T749" s="1" t="str">
        <f>IF(OR(Table1[[#This Row],[Low Tol]]="",Table1[[#This Row],[High Tol]]=""),"Needs Analysis",IF(Table1[[#This Row],[Ratio]]&gt;=4,"Not Significant",IF(Table1[[#This Row],[Ratio]]&gt;=2,"Semi-Significant","Significant")))</f>
        <v>Needs Analysis</v>
      </c>
      <c r="W749" s="1">
        <f>IF(Table1[[#This Row],[Cal Type]]&lt;&gt;"ACCREDITED 17025 WITH UNCERTAINTIES",0,"")</f>
        <v>0</v>
      </c>
      <c r="X749" s="1" t="str">
        <f>IF(Table1[[#This Row],[DUT Read]]="","N/A",Table1[[#This Row],[Std Error]]+Table1[[#This Row],[DUT Read]]+Table1[[#This Row],[DUT Ucty]])</f>
        <v>N/A</v>
      </c>
      <c r="Y749" s="1" t="str">
        <f>IF(Table1[[#This Row],[Std Read]]="","N/A",Table1[[#This Row],[Std Read]]+Table1[[#This Row],[Std Ucty]])</f>
        <v>N/A</v>
      </c>
      <c r="Z7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9" s="1" t="str">
        <f>IF(Table1[[#This Row],[Spec Type]]="","N/A",Table1[[#This Row],[Spec Type]])</f>
        <v>±</v>
      </c>
      <c r="AC749" s="1" t="str">
        <f>IF(Table1[[#This Row],[Spec Type2]]="N/A","N/A",IF(AND(Table1[[#This Row],[DUT Adj Read]]&gt;=Table1[[#This Row],[Low Tol]],Table1[[#This Row],[DUT Adj Read]]&lt;=Table1[[#This Row],[High Tol]]),"Pass","Fail"))</f>
        <v>Fail</v>
      </c>
      <c r="AD749" s="1" t="str">
        <f>IF(AND(Table1[[#This Row],[Spec Type2]]="N/A",Table1[[#This Row],[DUT Adj Read]]="N/A",Table1[[#This Row],[Std Adj Read]]="N/A"),"N/A",IF(Table1[[#This Row],[DUT Adj Read]]="N/A",IF(Table1[[#This Row],[Std Adj Read]]&gt;Table1[[#This Row],[Low Tol]],"Pass","Fail"),IF(Table1[[#This Row],[DUT Adj Read]]&gt;Table1[[#This Row],[Low Tol]],"Pass","Fail")))</f>
        <v>Pass</v>
      </c>
      <c r="AE749" s="1" t="str">
        <f>IF(AND(Table1[[#This Row],[Spec Type2]]="N/A",Table1[[#This Row],[DUT Adj Read]]="N/A",Table1[[#This Row],[Std Adj Read]]="N/A"),"N/A",IF(Table1[[#This Row],[DUT Adj Read]]="N/A",IF(Table1[[#This Row],[Std Adj Read]]&lt;Table1[[#This Row],[High Tol]],"Pass","Fail"),IF(Table1[[#This Row],[DUT Adj Read]]&lt;Table1[[#This Row],[High Tol]],"Pass","Fail")))</f>
        <v>Fail</v>
      </c>
      <c r="AF749" s="1" t="str">
        <f>IF(AND(Table1[[#This Row],[Spec Type2]]="N/A",Table1[[#This Row],[DUT Adj Read]]="N/A",Table1[[#This Row],[Std Adj Read]]="N/A"),"N/A",IF(Table1[[#This Row],[DUT Adj Read]]="N/A",IF(Table1[[#This Row],[Std Adj Read]]&gt;=Table1[[#This Row],[Low Tol]],"Pass","Fail"),IF(Table1[[#This Row],[DUT Adj Read]]&gt;=Table1[[#This Row],[Low Tol]],"Pass","Fail")))</f>
        <v>Pass</v>
      </c>
      <c r="AG749" s="1" t="str">
        <f>IF(AND(Table1[[#This Row],[Spec Type2]]="N/A",Table1[[#This Row],[DUT Adj Read]]="N/A",Table1[[#This Row],[Std Adj Read]]="N/A"),"N/A",IF(Table1[[#This Row],[DUT Adj Read]]="N/A",IF(Table1[[#This Row],[Std Adj Read]]&lt;=Table1[[#This Row],[High Tol]],"Pass","Fail"),IF(Table1[[#This Row],[DUT Adj Read]]&lt;=Table1[[#This Row],[High Tol]],"Pass","Fail")))</f>
        <v>Fail</v>
      </c>
      <c r="AH7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9" s="1" t="b">
        <v>0</v>
      </c>
      <c r="AN749" s="1" t="b">
        <v>0</v>
      </c>
      <c r="AO749" s="1" t="b">
        <v>0</v>
      </c>
    </row>
    <row r="750" spans="1:41" x14ac:dyDescent="0.25">
      <c r="A750" s="10"/>
      <c r="B750" s="10"/>
      <c r="C750" s="10"/>
      <c r="D750" s="10"/>
      <c r="E750" s="10"/>
      <c r="F750" s="10"/>
      <c r="G750" s="10"/>
      <c r="H750" s="10"/>
      <c r="I750" s="1" t="str">
        <f t="shared" si="33"/>
        <v/>
      </c>
      <c r="J750" s="1" t="s">
        <v>35</v>
      </c>
      <c r="K750" s="1" t="str">
        <f t="shared" si="34"/>
        <v/>
      </c>
      <c r="L750" s="1" t="str">
        <f t="shared" si="35"/>
        <v/>
      </c>
      <c r="M750" s="1">
        <f>IF(OR(Table1[[#This Row],[Std Nom]]="",Table1[[#This Row],[Std Read]]=""),0,Table1[[#This Row],[Std Nom]]-Table1[[#This Row],[Std Read]])</f>
        <v>0</v>
      </c>
      <c r="N750" s="1">
        <f>IF(Calculations!$F$5="ACCREDITED 17025 WITH UNCERTAINTIES",$N$10,0)</f>
        <v>0</v>
      </c>
      <c r="O750" s="1" t="str">
        <f>IFERROR(Table1[[#This Row],[Std Nom]]-(_xlfn.XLOOKUP(Table1[[#This Row],[Manufacturer]]&amp;" "&amp;Table1[[#This Row],[Model]],Table13[MFR &amp; MDL],Table13[Tolerance % CW ],"")/100*Table1[[#This Row],[Std Nom]]),"")</f>
        <v/>
      </c>
      <c r="P750" s="1" t="str">
        <f>IFERROR(Table1[[#This Row],[Std Nom]]+(_xlfn.XLOOKUP(Table1[[#This Row],[Manufacturer]]&amp;" "&amp;Table1[[#This Row],[Model]],Table13[MFR &amp; MDL],Table13[Tolerance % CW ],"")/100*Table1[[#This Row],[Std Nom]]),"")</f>
        <v/>
      </c>
      <c r="Q750" s="1" t="e">
        <f>Table1[[#This Row],[High Tol]]-Table1[[#This Row],[Low Tol]]</f>
        <v>#VALUE!</v>
      </c>
      <c r="R750" s="1">
        <f>2*Table1[[#This Row],[Std Error]]</f>
        <v>0</v>
      </c>
      <c r="S750" s="1" t="str">
        <f>IF(Table1[[#This Row],[High Tol]]="","N/A",IFERROR(ABS(Table1[[#This Row],[Tol Span]]/Table1[[#This Row],[Error Span]]),"N/A"))</f>
        <v>N/A</v>
      </c>
      <c r="T750" s="1" t="str">
        <f>IF(OR(Table1[[#This Row],[Low Tol]]="",Table1[[#This Row],[High Tol]]=""),"Needs Analysis",IF(Table1[[#This Row],[Ratio]]&gt;=4,"Not Significant",IF(Table1[[#This Row],[Ratio]]&gt;=2,"Semi-Significant","Significant")))</f>
        <v>Needs Analysis</v>
      </c>
      <c r="W750" s="1">
        <f>IF(Table1[[#This Row],[Cal Type]]&lt;&gt;"ACCREDITED 17025 WITH UNCERTAINTIES",0,"")</f>
        <v>0</v>
      </c>
      <c r="X750" s="1" t="str">
        <f>IF(Table1[[#This Row],[DUT Read]]="","N/A",Table1[[#This Row],[Std Error]]+Table1[[#This Row],[DUT Read]]+Table1[[#This Row],[DUT Ucty]])</f>
        <v>N/A</v>
      </c>
      <c r="Y750" s="1" t="str">
        <f>IF(Table1[[#This Row],[Std Read]]="","N/A",Table1[[#This Row],[Std Read]]+Table1[[#This Row],[Std Ucty]])</f>
        <v>N/A</v>
      </c>
      <c r="Z7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0" s="1" t="str">
        <f>IF(Table1[[#This Row],[Spec Type]]="","N/A",Table1[[#This Row],[Spec Type]])</f>
        <v>±</v>
      </c>
      <c r="AC750" s="1" t="str">
        <f>IF(Table1[[#This Row],[Spec Type2]]="N/A","N/A",IF(AND(Table1[[#This Row],[DUT Adj Read]]&gt;=Table1[[#This Row],[Low Tol]],Table1[[#This Row],[DUT Adj Read]]&lt;=Table1[[#This Row],[High Tol]]),"Pass","Fail"))</f>
        <v>Fail</v>
      </c>
      <c r="AD750" s="1" t="str">
        <f>IF(AND(Table1[[#This Row],[Spec Type2]]="N/A",Table1[[#This Row],[DUT Adj Read]]="N/A",Table1[[#This Row],[Std Adj Read]]="N/A"),"N/A",IF(Table1[[#This Row],[DUT Adj Read]]="N/A",IF(Table1[[#This Row],[Std Adj Read]]&gt;Table1[[#This Row],[Low Tol]],"Pass","Fail"),IF(Table1[[#This Row],[DUT Adj Read]]&gt;Table1[[#This Row],[Low Tol]],"Pass","Fail")))</f>
        <v>Pass</v>
      </c>
      <c r="AE750" s="1" t="str">
        <f>IF(AND(Table1[[#This Row],[Spec Type2]]="N/A",Table1[[#This Row],[DUT Adj Read]]="N/A",Table1[[#This Row],[Std Adj Read]]="N/A"),"N/A",IF(Table1[[#This Row],[DUT Adj Read]]="N/A",IF(Table1[[#This Row],[Std Adj Read]]&lt;Table1[[#This Row],[High Tol]],"Pass","Fail"),IF(Table1[[#This Row],[DUT Adj Read]]&lt;Table1[[#This Row],[High Tol]],"Pass","Fail")))</f>
        <v>Fail</v>
      </c>
      <c r="AF750" s="1" t="str">
        <f>IF(AND(Table1[[#This Row],[Spec Type2]]="N/A",Table1[[#This Row],[DUT Adj Read]]="N/A",Table1[[#This Row],[Std Adj Read]]="N/A"),"N/A",IF(Table1[[#This Row],[DUT Adj Read]]="N/A",IF(Table1[[#This Row],[Std Adj Read]]&gt;=Table1[[#This Row],[Low Tol]],"Pass","Fail"),IF(Table1[[#This Row],[DUT Adj Read]]&gt;=Table1[[#This Row],[Low Tol]],"Pass","Fail")))</f>
        <v>Pass</v>
      </c>
      <c r="AG750" s="1" t="str">
        <f>IF(AND(Table1[[#This Row],[Spec Type2]]="N/A",Table1[[#This Row],[DUT Adj Read]]="N/A",Table1[[#This Row],[Std Adj Read]]="N/A"),"N/A",IF(Table1[[#This Row],[DUT Adj Read]]="N/A",IF(Table1[[#This Row],[Std Adj Read]]&lt;=Table1[[#This Row],[High Tol]],"Pass","Fail"),IF(Table1[[#This Row],[DUT Adj Read]]&lt;=Table1[[#This Row],[High Tol]],"Pass","Fail")))</f>
        <v>Fail</v>
      </c>
      <c r="AH7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0" s="1" t="b">
        <v>0</v>
      </c>
      <c r="AN750" s="1" t="b">
        <v>0</v>
      </c>
      <c r="AO750" s="1" t="b">
        <v>0</v>
      </c>
    </row>
    <row r="751" spans="1:41" x14ac:dyDescent="0.25">
      <c r="A751" s="10"/>
      <c r="B751" s="10"/>
      <c r="C751" s="10"/>
      <c r="D751" s="10"/>
      <c r="E751" s="10"/>
      <c r="F751" s="10"/>
      <c r="G751" s="10"/>
      <c r="H751" s="10"/>
      <c r="I751" s="1" t="str">
        <f t="shared" si="33"/>
        <v/>
      </c>
      <c r="J751" s="1" t="s">
        <v>35</v>
      </c>
      <c r="K751" s="1" t="str">
        <f t="shared" si="34"/>
        <v/>
      </c>
      <c r="L751" s="1" t="str">
        <f t="shared" si="35"/>
        <v/>
      </c>
      <c r="M751" s="1">
        <f>IF(OR(Table1[[#This Row],[Std Nom]]="",Table1[[#This Row],[Std Read]]=""),0,Table1[[#This Row],[Std Nom]]-Table1[[#This Row],[Std Read]])</f>
        <v>0</v>
      </c>
      <c r="N751" s="1">
        <f>IF(Calculations!$F$5="ACCREDITED 17025 WITH UNCERTAINTIES",$N$10,0)</f>
        <v>0</v>
      </c>
      <c r="O751" s="1" t="str">
        <f>IFERROR(Table1[[#This Row],[Std Nom]]-(_xlfn.XLOOKUP(Table1[[#This Row],[Manufacturer]]&amp;" "&amp;Table1[[#This Row],[Model]],Table13[MFR &amp; MDL],Table13[Tolerance % CW ],"")/100*Table1[[#This Row],[Std Nom]]),"")</f>
        <v/>
      </c>
      <c r="P751" s="1" t="str">
        <f>IFERROR(Table1[[#This Row],[Std Nom]]+(_xlfn.XLOOKUP(Table1[[#This Row],[Manufacturer]]&amp;" "&amp;Table1[[#This Row],[Model]],Table13[MFR &amp; MDL],Table13[Tolerance % CW ],"")/100*Table1[[#This Row],[Std Nom]]),"")</f>
        <v/>
      </c>
      <c r="Q751" s="1" t="e">
        <f>Table1[[#This Row],[High Tol]]-Table1[[#This Row],[Low Tol]]</f>
        <v>#VALUE!</v>
      </c>
      <c r="R751" s="1">
        <f>2*Table1[[#This Row],[Std Error]]</f>
        <v>0</v>
      </c>
      <c r="S751" s="1" t="str">
        <f>IF(Table1[[#This Row],[High Tol]]="","N/A",IFERROR(ABS(Table1[[#This Row],[Tol Span]]/Table1[[#This Row],[Error Span]]),"N/A"))</f>
        <v>N/A</v>
      </c>
      <c r="T751" s="1" t="str">
        <f>IF(OR(Table1[[#This Row],[Low Tol]]="",Table1[[#This Row],[High Tol]]=""),"Needs Analysis",IF(Table1[[#This Row],[Ratio]]&gt;=4,"Not Significant",IF(Table1[[#This Row],[Ratio]]&gt;=2,"Semi-Significant","Significant")))</f>
        <v>Needs Analysis</v>
      </c>
      <c r="W751" s="1">
        <f>IF(Table1[[#This Row],[Cal Type]]&lt;&gt;"ACCREDITED 17025 WITH UNCERTAINTIES",0,"")</f>
        <v>0</v>
      </c>
      <c r="X751" s="1" t="str">
        <f>IF(Table1[[#This Row],[DUT Read]]="","N/A",Table1[[#This Row],[Std Error]]+Table1[[#This Row],[DUT Read]]+Table1[[#This Row],[DUT Ucty]])</f>
        <v>N/A</v>
      </c>
      <c r="Y751" s="1" t="str">
        <f>IF(Table1[[#This Row],[Std Read]]="","N/A",Table1[[#This Row],[Std Read]]+Table1[[#This Row],[Std Ucty]])</f>
        <v>N/A</v>
      </c>
      <c r="Z7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1" s="1" t="str">
        <f>IF(Table1[[#This Row],[Spec Type]]="","N/A",Table1[[#This Row],[Spec Type]])</f>
        <v>±</v>
      </c>
      <c r="AC751" s="1" t="str">
        <f>IF(Table1[[#This Row],[Spec Type2]]="N/A","N/A",IF(AND(Table1[[#This Row],[DUT Adj Read]]&gt;=Table1[[#This Row],[Low Tol]],Table1[[#This Row],[DUT Adj Read]]&lt;=Table1[[#This Row],[High Tol]]),"Pass","Fail"))</f>
        <v>Fail</v>
      </c>
      <c r="AD751" s="1" t="str">
        <f>IF(AND(Table1[[#This Row],[Spec Type2]]="N/A",Table1[[#This Row],[DUT Adj Read]]="N/A",Table1[[#This Row],[Std Adj Read]]="N/A"),"N/A",IF(Table1[[#This Row],[DUT Adj Read]]="N/A",IF(Table1[[#This Row],[Std Adj Read]]&gt;Table1[[#This Row],[Low Tol]],"Pass","Fail"),IF(Table1[[#This Row],[DUT Adj Read]]&gt;Table1[[#This Row],[Low Tol]],"Pass","Fail")))</f>
        <v>Pass</v>
      </c>
      <c r="AE751" s="1" t="str">
        <f>IF(AND(Table1[[#This Row],[Spec Type2]]="N/A",Table1[[#This Row],[DUT Adj Read]]="N/A",Table1[[#This Row],[Std Adj Read]]="N/A"),"N/A",IF(Table1[[#This Row],[DUT Adj Read]]="N/A",IF(Table1[[#This Row],[Std Adj Read]]&lt;Table1[[#This Row],[High Tol]],"Pass","Fail"),IF(Table1[[#This Row],[DUT Adj Read]]&lt;Table1[[#This Row],[High Tol]],"Pass","Fail")))</f>
        <v>Fail</v>
      </c>
      <c r="AF751" s="1" t="str">
        <f>IF(AND(Table1[[#This Row],[Spec Type2]]="N/A",Table1[[#This Row],[DUT Adj Read]]="N/A",Table1[[#This Row],[Std Adj Read]]="N/A"),"N/A",IF(Table1[[#This Row],[DUT Adj Read]]="N/A",IF(Table1[[#This Row],[Std Adj Read]]&gt;=Table1[[#This Row],[Low Tol]],"Pass","Fail"),IF(Table1[[#This Row],[DUT Adj Read]]&gt;=Table1[[#This Row],[Low Tol]],"Pass","Fail")))</f>
        <v>Pass</v>
      </c>
      <c r="AG751" s="1" t="str">
        <f>IF(AND(Table1[[#This Row],[Spec Type2]]="N/A",Table1[[#This Row],[DUT Adj Read]]="N/A",Table1[[#This Row],[Std Adj Read]]="N/A"),"N/A",IF(Table1[[#This Row],[DUT Adj Read]]="N/A",IF(Table1[[#This Row],[Std Adj Read]]&lt;=Table1[[#This Row],[High Tol]],"Pass","Fail"),IF(Table1[[#This Row],[DUT Adj Read]]&lt;=Table1[[#This Row],[High Tol]],"Pass","Fail")))</f>
        <v>Fail</v>
      </c>
      <c r="AH7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1" s="1" t="b">
        <v>0</v>
      </c>
      <c r="AN751" s="1" t="b">
        <v>0</v>
      </c>
      <c r="AO751" s="1" t="b">
        <v>0</v>
      </c>
    </row>
    <row r="752" spans="1:41" x14ac:dyDescent="0.25">
      <c r="A752" s="10"/>
      <c r="B752" s="10"/>
      <c r="C752" s="10"/>
      <c r="D752" s="10"/>
      <c r="E752" s="10"/>
      <c r="F752" s="10"/>
      <c r="G752" s="10"/>
      <c r="H752" s="10"/>
      <c r="I752" s="1" t="str">
        <f t="shared" si="33"/>
        <v/>
      </c>
      <c r="J752" s="1" t="s">
        <v>35</v>
      </c>
      <c r="K752" s="1" t="str">
        <f t="shared" si="34"/>
        <v/>
      </c>
      <c r="L752" s="1" t="str">
        <f t="shared" si="35"/>
        <v/>
      </c>
      <c r="M752" s="1">
        <f>IF(OR(Table1[[#This Row],[Std Nom]]="",Table1[[#This Row],[Std Read]]=""),0,Table1[[#This Row],[Std Nom]]-Table1[[#This Row],[Std Read]])</f>
        <v>0</v>
      </c>
      <c r="N752" s="1">
        <f>IF(Calculations!$F$5="ACCREDITED 17025 WITH UNCERTAINTIES",$N$10,0)</f>
        <v>0</v>
      </c>
      <c r="O752" s="1" t="str">
        <f>IFERROR(Table1[[#This Row],[Std Nom]]-(_xlfn.XLOOKUP(Table1[[#This Row],[Manufacturer]]&amp;" "&amp;Table1[[#This Row],[Model]],Table13[MFR &amp; MDL],Table13[Tolerance % CW ],"")/100*Table1[[#This Row],[Std Nom]]),"")</f>
        <v/>
      </c>
      <c r="P752" s="1" t="str">
        <f>IFERROR(Table1[[#This Row],[Std Nom]]+(_xlfn.XLOOKUP(Table1[[#This Row],[Manufacturer]]&amp;" "&amp;Table1[[#This Row],[Model]],Table13[MFR &amp; MDL],Table13[Tolerance % CW ],"")/100*Table1[[#This Row],[Std Nom]]),"")</f>
        <v/>
      </c>
      <c r="Q752" s="1" t="e">
        <f>Table1[[#This Row],[High Tol]]-Table1[[#This Row],[Low Tol]]</f>
        <v>#VALUE!</v>
      </c>
      <c r="R752" s="1">
        <f>2*Table1[[#This Row],[Std Error]]</f>
        <v>0</v>
      </c>
      <c r="S752" s="1" t="str">
        <f>IF(Table1[[#This Row],[High Tol]]="","N/A",IFERROR(ABS(Table1[[#This Row],[Tol Span]]/Table1[[#This Row],[Error Span]]),"N/A"))</f>
        <v>N/A</v>
      </c>
      <c r="T752" s="1" t="str">
        <f>IF(OR(Table1[[#This Row],[Low Tol]]="",Table1[[#This Row],[High Tol]]=""),"Needs Analysis",IF(Table1[[#This Row],[Ratio]]&gt;=4,"Not Significant",IF(Table1[[#This Row],[Ratio]]&gt;=2,"Semi-Significant","Significant")))</f>
        <v>Needs Analysis</v>
      </c>
      <c r="W752" s="1">
        <f>IF(Table1[[#This Row],[Cal Type]]&lt;&gt;"ACCREDITED 17025 WITH UNCERTAINTIES",0,"")</f>
        <v>0</v>
      </c>
      <c r="X752" s="1" t="str">
        <f>IF(Table1[[#This Row],[DUT Read]]="","N/A",Table1[[#This Row],[Std Error]]+Table1[[#This Row],[DUT Read]]+Table1[[#This Row],[DUT Ucty]])</f>
        <v>N/A</v>
      </c>
      <c r="Y752" s="1" t="str">
        <f>IF(Table1[[#This Row],[Std Read]]="","N/A",Table1[[#This Row],[Std Read]]+Table1[[#This Row],[Std Ucty]])</f>
        <v>N/A</v>
      </c>
      <c r="Z7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2" s="1" t="str">
        <f>IF(Table1[[#This Row],[Spec Type]]="","N/A",Table1[[#This Row],[Spec Type]])</f>
        <v>±</v>
      </c>
      <c r="AC752" s="1" t="str">
        <f>IF(Table1[[#This Row],[Spec Type2]]="N/A","N/A",IF(AND(Table1[[#This Row],[DUT Adj Read]]&gt;=Table1[[#This Row],[Low Tol]],Table1[[#This Row],[DUT Adj Read]]&lt;=Table1[[#This Row],[High Tol]]),"Pass","Fail"))</f>
        <v>Fail</v>
      </c>
      <c r="AD752" s="1" t="str">
        <f>IF(AND(Table1[[#This Row],[Spec Type2]]="N/A",Table1[[#This Row],[DUT Adj Read]]="N/A",Table1[[#This Row],[Std Adj Read]]="N/A"),"N/A",IF(Table1[[#This Row],[DUT Adj Read]]="N/A",IF(Table1[[#This Row],[Std Adj Read]]&gt;Table1[[#This Row],[Low Tol]],"Pass","Fail"),IF(Table1[[#This Row],[DUT Adj Read]]&gt;Table1[[#This Row],[Low Tol]],"Pass","Fail")))</f>
        <v>Pass</v>
      </c>
      <c r="AE752" s="1" t="str">
        <f>IF(AND(Table1[[#This Row],[Spec Type2]]="N/A",Table1[[#This Row],[DUT Adj Read]]="N/A",Table1[[#This Row],[Std Adj Read]]="N/A"),"N/A",IF(Table1[[#This Row],[DUT Adj Read]]="N/A",IF(Table1[[#This Row],[Std Adj Read]]&lt;Table1[[#This Row],[High Tol]],"Pass","Fail"),IF(Table1[[#This Row],[DUT Adj Read]]&lt;Table1[[#This Row],[High Tol]],"Pass","Fail")))</f>
        <v>Fail</v>
      </c>
      <c r="AF752" s="1" t="str">
        <f>IF(AND(Table1[[#This Row],[Spec Type2]]="N/A",Table1[[#This Row],[DUT Adj Read]]="N/A",Table1[[#This Row],[Std Adj Read]]="N/A"),"N/A",IF(Table1[[#This Row],[DUT Adj Read]]="N/A",IF(Table1[[#This Row],[Std Adj Read]]&gt;=Table1[[#This Row],[Low Tol]],"Pass","Fail"),IF(Table1[[#This Row],[DUT Adj Read]]&gt;=Table1[[#This Row],[Low Tol]],"Pass","Fail")))</f>
        <v>Pass</v>
      </c>
      <c r="AG752" s="1" t="str">
        <f>IF(AND(Table1[[#This Row],[Spec Type2]]="N/A",Table1[[#This Row],[DUT Adj Read]]="N/A",Table1[[#This Row],[Std Adj Read]]="N/A"),"N/A",IF(Table1[[#This Row],[DUT Adj Read]]="N/A",IF(Table1[[#This Row],[Std Adj Read]]&lt;=Table1[[#This Row],[High Tol]],"Pass","Fail"),IF(Table1[[#This Row],[DUT Adj Read]]&lt;=Table1[[#This Row],[High Tol]],"Pass","Fail")))</f>
        <v>Fail</v>
      </c>
      <c r="AH7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2" s="1" t="b">
        <v>0</v>
      </c>
      <c r="AN752" s="1" t="b">
        <v>0</v>
      </c>
      <c r="AO752" s="1" t="b">
        <v>0</v>
      </c>
    </row>
    <row r="753" spans="1:41" x14ac:dyDescent="0.25">
      <c r="A753" s="10"/>
      <c r="B753" s="10"/>
      <c r="C753" s="10"/>
      <c r="D753" s="10"/>
      <c r="E753" s="10"/>
      <c r="F753" s="10"/>
      <c r="G753" s="10"/>
      <c r="H753" s="10"/>
      <c r="I753" s="1" t="str">
        <f t="shared" si="33"/>
        <v/>
      </c>
      <c r="J753" s="1" t="s">
        <v>35</v>
      </c>
      <c r="K753" s="1" t="str">
        <f t="shared" si="34"/>
        <v/>
      </c>
      <c r="L753" s="1" t="str">
        <f t="shared" si="35"/>
        <v/>
      </c>
      <c r="M753" s="1">
        <f>IF(OR(Table1[[#This Row],[Std Nom]]="",Table1[[#This Row],[Std Read]]=""),0,Table1[[#This Row],[Std Nom]]-Table1[[#This Row],[Std Read]])</f>
        <v>0</v>
      </c>
      <c r="N753" s="1">
        <f>IF(Calculations!$F$5="ACCREDITED 17025 WITH UNCERTAINTIES",$N$10,0)</f>
        <v>0</v>
      </c>
      <c r="O753" s="1" t="str">
        <f>IFERROR(Table1[[#This Row],[Std Nom]]-(_xlfn.XLOOKUP(Table1[[#This Row],[Manufacturer]]&amp;" "&amp;Table1[[#This Row],[Model]],Table13[MFR &amp; MDL],Table13[Tolerance % CW ],"")/100*Table1[[#This Row],[Std Nom]]),"")</f>
        <v/>
      </c>
      <c r="P753" s="1" t="str">
        <f>IFERROR(Table1[[#This Row],[Std Nom]]+(_xlfn.XLOOKUP(Table1[[#This Row],[Manufacturer]]&amp;" "&amp;Table1[[#This Row],[Model]],Table13[MFR &amp; MDL],Table13[Tolerance % CW ],"")/100*Table1[[#This Row],[Std Nom]]),"")</f>
        <v/>
      </c>
      <c r="Q753" s="1" t="e">
        <f>Table1[[#This Row],[High Tol]]-Table1[[#This Row],[Low Tol]]</f>
        <v>#VALUE!</v>
      </c>
      <c r="R753" s="1">
        <f>2*Table1[[#This Row],[Std Error]]</f>
        <v>0</v>
      </c>
      <c r="S753" s="1" t="str">
        <f>IF(Table1[[#This Row],[High Tol]]="","N/A",IFERROR(ABS(Table1[[#This Row],[Tol Span]]/Table1[[#This Row],[Error Span]]),"N/A"))</f>
        <v>N/A</v>
      </c>
      <c r="T753" s="1" t="str">
        <f>IF(OR(Table1[[#This Row],[Low Tol]]="",Table1[[#This Row],[High Tol]]=""),"Needs Analysis",IF(Table1[[#This Row],[Ratio]]&gt;=4,"Not Significant",IF(Table1[[#This Row],[Ratio]]&gt;=2,"Semi-Significant","Significant")))</f>
        <v>Needs Analysis</v>
      </c>
      <c r="W753" s="1">
        <f>IF(Table1[[#This Row],[Cal Type]]&lt;&gt;"ACCREDITED 17025 WITH UNCERTAINTIES",0,"")</f>
        <v>0</v>
      </c>
      <c r="X753" s="1" t="str">
        <f>IF(Table1[[#This Row],[DUT Read]]="","N/A",Table1[[#This Row],[Std Error]]+Table1[[#This Row],[DUT Read]]+Table1[[#This Row],[DUT Ucty]])</f>
        <v>N/A</v>
      </c>
      <c r="Y753" s="1" t="str">
        <f>IF(Table1[[#This Row],[Std Read]]="","N/A",Table1[[#This Row],[Std Read]]+Table1[[#This Row],[Std Ucty]])</f>
        <v>N/A</v>
      </c>
      <c r="Z7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3" s="1" t="str">
        <f>IF(Table1[[#This Row],[Spec Type]]="","N/A",Table1[[#This Row],[Spec Type]])</f>
        <v>±</v>
      </c>
      <c r="AC753" s="1" t="str">
        <f>IF(Table1[[#This Row],[Spec Type2]]="N/A","N/A",IF(AND(Table1[[#This Row],[DUT Adj Read]]&gt;=Table1[[#This Row],[Low Tol]],Table1[[#This Row],[DUT Adj Read]]&lt;=Table1[[#This Row],[High Tol]]),"Pass","Fail"))</f>
        <v>Fail</v>
      </c>
      <c r="AD753" s="1" t="str">
        <f>IF(AND(Table1[[#This Row],[Spec Type2]]="N/A",Table1[[#This Row],[DUT Adj Read]]="N/A",Table1[[#This Row],[Std Adj Read]]="N/A"),"N/A",IF(Table1[[#This Row],[DUT Adj Read]]="N/A",IF(Table1[[#This Row],[Std Adj Read]]&gt;Table1[[#This Row],[Low Tol]],"Pass","Fail"),IF(Table1[[#This Row],[DUT Adj Read]]&gt;Table1[[#This Row],[Low Tol]],"Pass","Fail")))</f>
        <v>Pass</v>
      </c>
      <c r="AE753" s="1" t="str">
        <f>IF(AND(Table1[[#This Row],[Spec Type2]]="N/A",Table1[[#This Row],[DUT Adj Read]]="N/A",Table1[[#This Row],[Std Adj Read]]="N/A"),"N/A",IF(Table1[[#This Row],[DUT Adj Read]]="N/A",IF(Table1[[#This Row],[Std Adj Read]]&lt;Table1[[#This Row],[High Tol]],"Pass","Fail"),IF(Table1[[#This Row],[DUT Adj Read]]&lt;Table1[[#This Row],[High Tol]],"Pass","Fail")))</f>
        <v>Fail</v>
      </c>
      <c r="AF753" s="1" t="str">
        <f>IF(AND(Table1[[#This Row],[Spec Type2]]="N/A",Table1[[#This Row],[DUT Adj Read]]="N/A",Table1[[#This Row],[Std Adj Read]]="N/A"),"N/A",IF(Table1[[#This Row],[DUT Adj Read]]="N/A",IF(Table1[[#This Row],[Std Adj Read]]&gt;=Table1[[#This Row],[Low Tol]],"Pass","Fail"),IF(Table1[[#This Row],[DUT Adj Read]]&gt;=Table1[[#This Row],[Low Tol]],"Pass","Fail")))</f>
        <v>Pass</v>
      </c>
      <c r="AG753" s="1" t="str">
        <f>IF(AND(Table1[[#This Row],[Spec Type2]]="N/A",Table1[[#This Row],[DUT Adj Read]]="N/A",Table1[[#This Row],[Std Adj Read]]="N/A"),"N/A",IF(Table1[[#This Row],[DUT Adj Read]]="N/A",IF(Table1[[#This Row],[Std Adj Read]]&lt;=Table1[[#This Row],[High Tol]],"Pass","Fail"),IF(Table1[[#This Row],[DUT Adj Read]]&lt;=Table1[[#This Row],[High Tol]],"Pass","Fail")))</f>
        <v>Fail</v>
      </c>
      <c r="AH7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3" s="1" t="b">
        <v>0</v>
      </c>
      <c r="AN753" s="1" t="b">
        <v>0</v>
      </c>
      <c r="AO753" s="1" t="b">
        <v>0</v>
      </c>
    </row>
    <row r="754" spans="1:41" x14ac:dyDescent="0.25">
      <c r="A754" s="10"/>
      <c r="B754" s="10"/>
      <c r="C754" s="10"/>
      <c r="D754" s="10"/>
      <c r="E754" s="10"/>
      <c r="F754" s="10"/>
      <c r="G754" s="10"/>
      <c r="H754" s="10"/>
      <c r="I754" s="1" t="str">
        <f t="shared" si="33"/>
        <v/>
      </c>
      <c r="J754" s="1" t="s">
        <v>35</v>
      </c>
      <c r="K754" s="1" t="str">
        <f t="shared" si="34"/>
        <v/>
      </c>
      <c r="L754" s="1" t="str">
        <f t="shared" si="35"/>
        <v/>
      </c>
      <c r="M754" s="1">
        <f>IF(OR(Table1[[#This Row],[Std Nom]]="",Table1[[#This Row],[Std Read]]=""),0,Table1[[#This Row],[Std Nom]]-Table1[[#This Row],[Std Read]])</f>
        <v>0</v>
      </c>
      <c r="N754" s="1">
        <f>IF(Calculations!$F$5="ACCREDITED 17025 WITH UNCERTAINTIES",$N$10,0)</f>
        <v>0</v>
      </c>
      <c r="O754" s="1" t="str">
        <f>IFERROR(Table1[[#This Row],[Std Nom]]-(_xlfn.XLOOKUP(Table1[[#This Row],[Manufacturer]]&amp;" "&amp;Table1[[#This Row],[Model]],Table13[MFR &amp; MDL],Table13[Tolerance % CW ],"")/100*Table1[[#This Row],[Std Nom]]),"")</f>
        <v/>
      </c>
      <c r="P754" s="1" t="str">
        <f>IFERROR(Table1[[#This Row],[Std Nom]]+(_xlfn.XLOOKUP(Table1[[#This Row],[Manufacturer]]&amp;" "&amp;Table1[[#This Row],[Model]],Table13[MFR &amp; MDL],Table13[Tolerance % CW ],"")/100*Table1[[#This Row],[Std Nom]]),"")</f>
        <v/>
      </c>
      <c r="Q754" s="1" t="e">
        <f>Table1[[#This Row],[High Tol]]-Table1[[#This Row],[Low Tol]]</f>
        <v>#VALUE!</v>
      </c>
      <c r="R754" s="1">
        <f>2*Table1[[#This Row],[Std Error]]</f>
        <v>0</v>
      </c>
      <c r="S754" s="1" t="str">
        <f>IF(Table1[[#This Row],[High Tol]]="","N/A",IFERROR(ABS(Table1[[#This Row],[Tol Span]]/Table1[[#This Row],[Error Span]]),"N/A"))</f>
        <v>N/A</v>
      </c>
      <c r="T754" s="1" t="str">
        <f>IF(OR(Table1[[#This Row],[Low Tol]]="",Table1[[#This Row],[High Tol]]=""),"Needs Analysis",IF(Table1[[#This Row],[Ratio]]&gt;=4,"Not Significant",IF(Table1[[#This Row],[Ratio]]&gt;=2,"Semi-Significant","Significant")))</f>
        <v>Needs Analysis</v>
      </c>
      <c r="W754" s="1">
        <f>IF(Table1[[#This Row],[Cal Type]]&lt;&gt;"ACCREDITED 17025 WITH UNCERTAINTIES",0,"")</f>
        <v>0</v>
      </c>
      <c r="X754" s="1" t="str">
        <f>IF(Table1[[#This Row],[DUT Read]]="","N/A",Table1[[#This Row],[Std Error]]+Table1[[#This Row],[DUT Read]]+Table1[[#This Row],[DUT Ucty]])</f>
        <v>N/A</v>
      </c>
      <c r="Y754" s="1" t="str">
        <f>IF(Table1[[#This Row],[Std Read]]="","N/A",Table1[[#This Row],[Std Read]]+Table1[[#This Row],[Std Ucty]])</f>
        <v>N/A</v>
      </c>
      <c r="Z7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4" s="1" t="str">
        <f>IF(Table1[[#This Row],[Spec Type]]="","N/A",Table1[[#This Row],[Spec Type]])</f>
        <v>±</v>
      </c>
      <c r="AC754" s="1" t="str">
        <f>IF(Table1[[#This Row],[Spec Type2]]="N/A","N/A",IF(AND(Table1[[#This Row],[DUT Adj Read]]&gt;=Table1[[#This Row],[Low Tol]],Table1[[#This Row],[DUT Adj Read]]&lt;=Table1[[#This Row],[High Tol]]),"Pass","Fail"))</f>
        <v>Fail</v>
      </c>
      <c r="AD754" s="1" t="str">
        <f>IF(AND(Table1[[#This Row],[Spec Type2]]="N/A",Table1[[#This Row],[DUT Adj Read]]="N/A",Table1[[#This Row],[Std Adj Read]]="N/A"),"N/A",IF(Table1[[#This Row],[DUT Adj Read]]="N/A",IF(Table1[[#This Row],[Std Adj Read]]&gt;Table1[[#This Row],[Low Tol]],"Pass","Fail"),IF(Table1[[#This Row],[DUT Adj Read]]&gt;Table1[[#This Row],[Low Tol]],"Pass","Fail")))</f>
        <v>Pass</v>
      </c>
      <c r="AE754" s="1" t="str">
        <f>IF(AND(Table1[[#This Row],[Spec Type2]]="N/A",Table1[[#This Row],[DUT Adj Read]]="N/A",Table1[[#This Row],[Std Adj Read]]="N/A"),"N/A",IF(Table1[[#This Row],[DUT Adj Read]]="N/A",IF(Table1[[#This Row],[Std Adj Read]]&lt;Table1[[#This Row],[High Tol]],"Pass","Fail"),IF(Table1[[#This Row],[DUT Adj Read]]&lt;Table1[[#This Row],[High Tol]],"Pass","Fail")))</f>
        <v>Fail</v>
      </c>
      <c r="AF754" s="1" t="str">
        <f>IF(AND(Table1[[#This Row],[Spec Type2]]="N/A",Table1[[#This Row],[DUT Adj Read]]="N/A",Table1[[#This Row],[Std Adj Read]]="N/A"),"N/A",IF(Table1[[#This Row],[DUT Adj Read]]="N/A",IF(Table1[[#This Row],[Std Adj Read]]&gt;=Table1[[#This Row],[Low Tol]],"Pass","Fail"),IF(Table1[[#This Row],[DUT Adj Read]]&gt;=Table1[[#This Row],[Low Tol]],"Pass","Fail")))</f>
        <v>Pass</v>
      </c>
      <c r="AG754" s="1" t="str">
        <f>IF(AND(Table1[[#This Row],[Spec Type2]]="N/A",Table1[[#This Row],[DUT Adj Read]]="N/A",Table1[[#This Row],[Std Adj Read]]="N/A"),"N/A",IF(Table1[[#This Row],[DUT Adj Read]]="N/A",IF(Table1[[#This Row],[Std Adj Read]]&lt;=Table1[[#This Row],[High Tol]],"Pass","Fail"),IF(Table1[[#This Row],[DUT Adj Read]]&lt;=Table1[[#This Row],[High Tol]],"Pass","Fail")))</f>
        <v>Fail</v>
      </c>
      <c r="AH7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4" s="1" t="b">
        <v>0</v>
      </c>
      <c r="AN754" s="1" t="b">
        <v>0</v>
      </c>
      <c r="AO754" s="1" t="b">
        <v>0</v>
      </c>
    </row>
    <row r="755" spans="1:41" x14ac:dyDescent="0.25">
      <c r="A755" s="10"/>
      <c r="B755" s="10"/>
      <c r="C755" s="10"/>
      <c r="D755" s="10"/>
      <c r="E755" s="10"/>
      <c r="F755" s="10"/>
      <c r="G755" s="10"/>
      <c r="H755" s="10"/>
      <c r="I755" s="1" t="str">
        <f t="shared" si="33"/>
        <v/>
      </c>
      <c r="J755" s="1" t="s">
        <v>35</v>
      </c>
      <c r="K755" s="1" t="str">
        <f t="shared" si="34"/>
        <v/>
      </c>
      <c r="L755" s="1" t="str">
        <f t="shared" si="35"/>
        <v/>
      </c>
      <c r="M755" s="1">
        <f>IF(OR(Table1[[#This Row],[Std Nom]]="",Table1[[#This Row],[Std Read]]=""),0,Table1[[#This Row],[Std Nom]]-Table1[[#This Row],[Std Read]])</f>
        <v>0</v>
      </c>
      <c r="N755" s="1">
        <f>IF(Calculations!$F$5="ACCREDITED 17025 WITH UNCERTAINTIES",$N$10,0)</f>
        <v>0</v>
      </c>
      <c r="O755" s="1" t="str">
        <f>IFERROR(Table1[[#This Row],[Std Nom]]-(_xlfn.XLOOKUP(Table1[[#This Row],[Manufacturer]]&amp;" "&amp;Table1[[#This Row],[Model]],Table13[MFR &amp; MDL],Table13[Tolerance % CW ],"")/100*Table1[[#This Row],[Std Nom]]),"")</f>
        <v/>
      </c>
      <c r="P755" s="1" t="str">
        <f>IFERROR(Table1[[#This Row],[Std Nom]]+(_xlfn.XLOOKUP(Table1[[#This Row],[Manufacturer]]&amp;" "&amp;Table1[[#This Row],[Model]],Table13[MFR &amp; MDL],Table13[Tolerance % CW ],"")/100*Table1[[#This Row],[Std Nom]]),"")</f>
        <v/>
      </c>
      <c r="Q755" s="1" t="e">
        <f>Table1[[#This Row],[High Tol]]-Table1[[#This Row],[Low Tol]]</f>
        <v>#VALUE!</v>
      </c>
      <c r="R755" s="1">
        <f>2*Table1[[#This Row],[Std Error]]</f>
        <v>0</v>
      </c>
      <c r="S755" s="1" t="str">
        <f>IF(Table1[[#This Row],[High Tol]]="","N/A",IFERROR(ABS(Table1[[#This Row],[Tol Span]]/Table1[[#This Row],[Error Span]]),"N/A"))</f>
        <v>N/A</v>
      </c>
      <c r="T755" s="1" t="str">
        <f>IF(OR(Table1[[#This Row],[Low Tol]]="",Table1[[#This Row],[High Tol]]=""),"Needs Analysis",IF(Table1[[#This Row],[Ratio]]&gt;=4,"Not Significant",IF(Table1[[#This Row],[Ratio]]&gt;=2,"Semi-Significant","Significant")))</f>
        <v>Needs Analysis</v>
      </c>
      <c r="W755" s="1">
        <f>IF(Table1[[#This Row],[Cal Type]]&lt;&gt;"ACCREDITED 17025 WITH UNCERTAINTIES",0,"")</f>
        <v>0</v>
      </c>
      <c r="X755" s="1" t="str">
        <f>IF(Table1[[#This Row],[DUT Read]]="","N/A",Table1[[#This Row],[Std Error]]+Table1[[#This Row],[DUT Read]]+Table1[[#This Row],[DUT Ucty]])</f>
        <v>N/A</v>
      </c>
      <c r="Y755" s="1" t="str">
        <f>IF(Table1[[#This Row],[Std Read]]="","N/A",Table1[[#This Row],[Std Read]]+Table1[[#This Row],[Std Ucty]])</f>
        <v>N/A</v>
      </c>
      <c r="Z7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5" s="1" t="str">
        <f>IF(Table1[[#This Row],[Spec Type]]="","N/A",Table1[[#This Row],[Spec Type]])</f>
        <v>±</v>
      </c>
      <c r="AC755" s="1" t="str">
        <f>IF(Table1[[#This Row],[Spec Type2]]="N/A","N/A",IF(AND(Table1[[#This Row],[DUT Adj Read]]&gt;=Table1[[#This Row],[Low Tol]],Table1[[#This Row],[DUT Adj Read]]&lt;=Table1[[#This Row],[High Tol]]),"Pass","Fail"))</f>
        <v>Fail</v>
      </c>
      <c r="AD755" s="1" t="str">
        <f>IF(AND(Table1[[#This Row],[Spec Type2]]="N/A",Table1[[#This Row],[DUT Adj Read]]="N/A",Table1[[#This Row],[Std Adj Read]]="N/A"),"N/A",IF(Table1[[#This Row],[DUT Adj Read]]="N/A",IF(Table1[[#This Row],[Std Adj Read]]&gt;Table1[[#This Row],[Low Tol]],"Pass","Fail"),IF(Table1[[#This Row],[DUT Adj Read]]&gt;Table1[[#This Row],[Low Tol]],"Pass","Fail")))</f>
        <v>Pass</v>
      </c>
      <c r="AE755" s="1" t="str">
        <f>IF(AND(Table1[[#This Row],[Spec Type2]]="N/A",Table1[[#This Row],[DUT Adj Read]]="N/A",Table1[[#This Row],[Std Adj Read]]="N/A"),"N/A",IF(Table1[[#This Row],[DUT Adj Read]]="N/A",IF(Table1[[#This Row],[Std Adj Read]]&lt;Table1[[#This Row],[High Tol]],"Pass","Fail"),IF(Table1[[#This Row],[DUT Adj Read]]&lt;Table1[[#This Row],[High Tol]],"Pass","Fail")))</f>
        <v>Fail</v>
      </c>
      <c r="AF755" s="1" t="str">
        <f>IF(AND(Table1[[#This Row],[Spec Type2]]="N/A",Table1[[#This Row],[DUT Adj Read]]="N/A",Table1[[#This Row],[Std Adj Read]]="N/A"),"N/A",IF(Table1[[#This Row],[DUT Adj Read]]="N/A",IF(Table1[[#This Row],[Std Adj Read]]&gt;=Table1[[#This Row],[Low Tol]],"Pass","Fail"),IF(Table1[[#This Row],[DUT Adj Read]]&gt;=Table1[[#This Row],[Low Tol]],"Pass","Fail")))</f>
        <v>Pass</v>
      </c>
      <c r="AG755" s="1" t="str">
        <f>IF(AND(Table1[[#This Row],[Spec Type2]]="N/A",Table1[[#This Row],[DUT Adj Read]]="N/A",Table1[[#This Row],[Std Adj Read]]="N/A"),"N/A",IF(Table1[[#This Row],[DUT Adj Read]]="N/A",IF(Table1[[#This Row],[Std Adj Read]]&lt;=Table1[[#This Row],[High Tol]],"Pass","Fail"),IF(Table1[[#This Row],[DUT Adj Read]]&lt;=Table1[[#This Row],[High Tol]],"Pass","Fail")))</f>
        <v>Fail</v>
      </c>
      <c r="AH7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5" s="1" t="b">
        <v>0</v>
      </c>
      <c r="AN755" s="1" t="b">
        <v>0</v>
      </c>
      <c r="AO755" s="1" t="b">
        <v>0</v>
      </c>
    </row>
    <row r="756" spans="1:41" x14ac:dyDescent="0.25">
      <c r="A756" s="10"/>
      <c r="B756" s="10"/>
      <c r="C756" s="10"/>
      <c r="D756" s="10"/>
      <c r="E756" s="10"/>
      <c r="F756" s="10"/>
      <c r="G756" s="10"/>
      <c r="H756" s="10"/>
      <c r="I756" s="1" t="str">
        <f t="shared" si="33"/>
        <v/>
      </c>
      <c r="J756" s="1" t="s">
        <v>35</v>
      </c>
      <c r="K756" s="1" t="str">
        <f t="shared" si="34"/>
        <v/>
      </c>
      <c r="L756" s="1" t="str">
        <f t="shared" si="35"/>
        <v/>
      </c>
      <c r="M756" s="1">
        <f>IF(OR(Table1[[#This Row],[Std Nom]]="",Table1[[#This Row],[Std Read]]=""),0,Table1[[#This Row],[Std Nom]]-Table1[[#This Row],[Std Read]])</f>
        <v>0</v>
      </c>
      <c r="N756" s="1">
        <f>IF(Calculations!$F$5="ACCREDITED 17025 WITH UNCERTAINTIES",$N$10,0)</f>
        <v>0</v>
      </c>
      <c r="O756" s="1" t="str">
        <f>IFERROR(Table1[[#This Row],[Std Nom]]-(_xlfn.XLOOKUP(Table1[[#This Row],[Manufacturer]]&amp;" "&amp;Table1[[#This Row],[Model]],Table13[MFR &amp; MDL],Table13[Tolerance % CW ],"")/100*Table1[[#This Row],[Std Nom]]),"")</f>
        <v/>
      </c>
      <c r="P756" s="1" t="str">
        <f>IFERROR(Table1[[#This Row],[Std Nom]]+(_xlfn.XLOOKUP(Table1[[#This Row],[Manufacturer]]&amp;" "&amp;Table1[[#This Row],[Model]],Table13[MFR &amp; MDL],Table13[Tolerance % CW ],"")/100*Table1[[#This Row],[Std Nom]]),"")</f>
        <v/>
      </c>
      <c r="Q756" s="1" t="e">
        <f>Table1[[#This Row],[High Tol]]-Table1[[#This Row],[Low Tol]]</f>
        <v>#VALUE!</v>
      </c>
      <c r="R756" s="1">
        <f>2*Table1[[#This Row],[Std Error]]</f>
        <v>0</v>
      </c>
      <c r="S756" s="1" t="str">
        <f>IF(Table1[[#This Row],[High Tol]]="","N/A",IFERROR(ABS(Table1[[#This Row],[Tol Span]]/Table1[[#This Row],[Error Span]]),"N/A"))</f>
        <v>N/A</v>
      </c>
      <c r="T756" s="1" t="str">
        <f>IF(OR(Table1[[#This Row],[Low Tol]]="",Table1[[#This Row],[High Tol]]=""),"Needs Analysis",IF(Table1[[#This Row],[Ratio]]&gt;=4,"Not Significant",IF(Table1[[#This Row],[Ratio]]&gt;=2,"Semi-Significant","Significant")))</f>
        <v>Needs Analysis</v>
      </c>
      <c r="W756" s="1">
        <f>IF(Table1[[#This Row],[Cal Type]]&lt;&gt;"ACCREDITED 17025 WITH UNCERTAINTIES",0,"")</f>
        <v>0</v>
      </c>
      <c r="X756" s="1" t="str">
        <f>IF(Table1[[#This Row],[DUT Read]]="","N/A",Table1[[#This Row],[Std Error]]+Table1[[#This Row],[DUT Read]]+Table1[[#This Row],[DUT Ucty]])</f>
        <v>N/A</v>
      </c>
      <c r="Y756" s="1" t="str">
        <f>IF(Table1[[#This Row],[Std Read]]="","N/A",Table1[[#This Row],[Std Read]]+Table1[[#This Row],[Std Ucty]])</f>
        <v>N/A</v>
      </c>
      <c r="Z7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6" s="1" t="str">
        <f>IF(Table1[[#This Row],[Spec Type]]="","N/A",Table1[[#This Row],[Spec Type]])</f>
        <v>±</v>
      </c>
      <c r="AC756" s="1" t="str">
        <f>IF(Table1[[#This Row],[Spec Type2]]="N/A","N/A",IF(AND(Table1[[#This Row],[DUT Adj Read]]&gt;=Table1[[#This Row],[Low Tol]],Table1[[#This Row],[DUT Adj Read]]&lt;=Table1[[#This Row],[High Tol]]),"Pass","Fail"))</f>
        <v>Fail</v>
      </c>
      <c r="AD756" s="1" t="str">
        <f>IF(AND(Table1[[#This Row],[Spec Type2]]="N/A",Table1[[#This Row],[DUT Adj Read]]="N/A",Table1[[#This Row],[Std Adj Read]]="N/A"),"N/A",IF(Table1[[#This Row],[DUT Adj Read]]="N/A",IF(Table1[[#This Row],[Std Adj Read]]&gt;Table1[[#This Row],[Low Tol]],"Pass","Fail"),IF(Table1[[#This Row],[DUT Adj Read]]&gt;Table1[[#This Row],[Low Tol]],"Pass","Fail")))</f>
        <v>Pass</v>
      </c>
      <c r="AE756" s="1" t="str">
        <f>IF(AND(Table1[[#This Row],[Spec Type2]]="N/A",Table1[[#This Row],[DUT Adj Read]]="N/A",Table1[[#This Row],[Std Adj Read]]="N/A"),"N/A",IF(Table1[[#This Row],[DUT Adj Read]]="N/A",IF(Table1[[#This Row],[Std Adj Read]]&lt;Table1[[#This Row],[High Tol]],"Pass","Fail"),IF(Table1[[#This Row],[DUT Adj Read]]&lt;Table1[[#This Row],[High Tol]],"Pass","Fail")))</f>
        <v>Fail</v>
      </c>
      <c r="AF756" s="1" t="str">
        <f>IF(AND(Table1[[#This Row],[Spec Type2]]="N/A",Table1[[#This Row],[DUT Adj Read]]="N/A",Table1[[#This Row],[Std Adj Read]]="N/A"),"N/A",IF(Table1[[#This Row],[DUT Adj Read]]="N/A",IF(Table1[[#This Row],[Std Adj Read]]&gt;=Table1[[#This Row],[Low Tol]],"Pass","Fail"),IF(Table1[[#This Row],[DUT Adj Read]]&gt;=Table1[[#This Row],[Low Tol]],"Pass","Fail")))</f>
        <v>Pass</v>
      </c>
      <c r="AG756" s="1" t="str">
        <f>IF(AND(Table1[[#This Row],[Spec Type2]]="N/A",Table1[[#This Row],[DUT Adj Read]]="N/A",Table1[[#This Row],[Std Adj Read]]="N/A"),"N/A",IF(Table1[[#This Row],[DUT Adj Read]]="N/A",IF(Table1[[#This Row],[Std Adj Read]]&lt;=Table1[[#This Row],[High Tol]],"Pass","Fail"),IF(Table1[[#This Row],[DUT Adj Read]]&lt;=Table1[[#This Row],[High Tol]],"Pass","Fail")))</f>
        <v>Fail</v>
      </c>
      <c r="AH7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6" s="1" t="b">
        <v>0</v>
      </c>
      <c r="AN756" s="1" t="b">
        <v>0</v>
      </c>
      <c r="AO756" s="1" t="b">
        <v>0</v>
      </c>
    </row>
    <row r="757" spans="1:41" x14ac:dyDescent="0.25">
      <c r="A757" s="10"/>
      <c r="B757" s="10"/>
      <c r="C757" s="10"/>
      <c r="D757" s="10"/>
      <c r="E757" s="10"/>
      <c r="F757" s="10"/>
      <c r="G757" s="10"/>
      <c r="H757" s="10"/>
      <c r="I757" s="1" t="str">
        <f t="shared" si="33"/>
        <v/>
      </c>
      <c r="J757" s="1" t="s">
        <v>35</v>
      </c>
      <c r="K757" s="1" t="str">
        <f t="shared" si="34"/>
        <v/>
      </c>
      <c r="L757" s="1" t="str">
        <f t="shared" si="35"/>
        <v/>
      </c>
      <c r="M757" s="1">
        <f>IF(OR(Table1[[#This Row],[Std Nom]]="",Table1[[#This Row],[Std Read]]=""),0,Table1[[#This Row],[Std Nom]]-Table1[[#This Row],[Std Read]])</f>
        <v>0</v>
      </c>
      <c r="N757" s="1">
        <f>IF(Calculations!$F$5="ACCREDITED 17025 WITH UNCERTAINTIES",$N$10,0)</f>
        <v>0</v>
      </c>
      <c r="O757" s="1" t="str">
        <f>IFERROR(Table1[[#This Row],[Std Nom]]-(_xlfn.XLOOKUP(Table1[[#This Row],[Manufacturer]]&amp;" "&amp;Table1[[#This Row],[Model]],Table13[MFR &amp; MDL],Table13[Tolerance % CW ],"")/100*Table1[[#This Row],[Std Nom]]),"")</f>
        <v/>
      </c>
      <c r="P757" s="1" t="str">
        <f>IFERROR(Table1[[#This Row],[Std Nom]]+(_xlfn.XLOOKUP(Table1[[#This Row],[Manufacturer]]&amp;" "&amp;Table1[[#This Row],[Model]],Table13[MFR &amp; MDL],Table13[Tolerance % CW ],"")/100*Table1[[#This Row],[Std Nom]]),"")</f>
        <v/>
      </c>
      <c r="Q757" s="1" t="e">
        <f>Table1[[#This Row],[High Tol]]-Table1[[#This Row],[Low Tol]]</f>
        <v>#VALUE!</v>
      </c>
      <c r="R757" s="1">
        <f>2*Table1[[#This Row],[Std Error]]</f>
        <v>0</v>
      </c>
      <c r="S757" s="1" t="str">
        <f>IF(Table1[[#This Row],[High Tol]]="","N/A",IFERROR(ABS(Table1[[#This Row],[Tol Span]]/Table1[[#This Row],[Error Span]]),"N/A"))</f>
        <v>N/A</v>
      </c>
      <c r="T757" s="1" t="str">
        <f>IF(OR(Table1[[#This Row],[Low Tol]]="",Table1[[#This Row],[High Tol]]=""),"Needs Analysis",IF(Table1[[#This Row],[Ratio]]&gt;=4,"Not Significant",IF(Table1[[#This Row],[Ratio]]&gt;=2,"Semi-Significant","Significant")))</f>
        <v>Needs Analysis</v>
      </c>
      <c r="W757" s="1">
        <f>IF(Table1[[#This Row],[Cal Type]]&lt;&gt;"ACCREDITED 17025 WITH UNCERTAINTIES",0,"")</f>
        <v>0</v>
      </c>
      <c r="X757" s="1" t="str">
        <f>IF(Table1[[#This Row],[DUT Read]]="","N/A",Table1[[#This Row],[Std Error]]+Table1[[#This Row],[DUT Read]]+Table1[[#This Row],[DUT Ucty]])</f>
        <v>N/A</v>
      </c>
      <c r="Y757" s="1" t="str">
        <f>IF(Table1[[#This Row],[Std Read]]="","N/A",Table1[[#This Row],[Std Read]]+Table1[[#This Row],[Std Ucty]])</f>
        <v>N/A</v>
      </c>
      <c r="Z7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7" s="1" t="str">
        <f>IF(Table1[[#This Row],[Spec Type]]="","N/A",Table1[[#This Row],[Spec Type]])</f>
        <v>±</v>
      </c>
      <c r="AC757" s="1" t="str">
        <f>IF(Table1[[#This Row],[Spec Type2]]="N/A","N/A",IF(AND(Table1[[#This Row],[DUT Adj Read]]&gt;=Table1[[#This Row],[Low Tol]],Table1[[#This Row],[DUT Adj Read]]&lt;=Table1[[#This Row],[High Tol]]),"Pass","Fail"))</f>
        <v>Fail</v>
      </c>
      <c r="AD757" s="1" t="str">
        <f>IF(AND(Table1[[#This Row],[Spec Type2]]="N/A",Table1[[#This Row],[DUT Adj Read]]="N/A",Table1[[#This Row],[Std Adj Read]]="N/A"),"N/A",IF(Table1[[#This Row],[DUT Adj Read]]="N/A",IF(Table1[[#This Row],[Std Adj Read]]&gt;Table1[[#This Row],[Low Tol]],"Pass","Fail"),IF(Table1[[#This Row],[DUT Adj Read]]&gt;Table1[[#This Row],[Low Tol]],"Pass","Fail")))</f>
        <v>Pass</v>
      </c>
      <c r="AE757" s="1" t="str">
        <f>IF(AND(Table1[[#This Row],[Spec Type2]]="N/A",Table1[[#This Row],[DUT Adj Read]]="N/A",Table1[[#This Row],[Std Adj Read]]="N/A"),"N/A",IF(Table1[[#This Row],[DUT Adj Read]]="N/A",IF(Table1[[#This Row],[Std Adj Read]]&lt;Table1[[#This Row],[High Tol]],"Pass","Fail"),IF(Table1[[#This Row],[DUT Adj Read]]&lt;Table1[[#This Row],[High Tol]],"Pass","Fail")))</f>
        <v>Fail</v>
      </c>
      <c r="AF757" s="1" t="str">
        <f>IF(AND(Table1[[#This Row],[Spec Type2]]="N/A",Table1[[#This Row],[DUT Adj Read]]="N/A",Table1[[#This Row],[Std Adj Read]]="N/A"),"N/A",IF(Table1[[#This Row],[DUT Adj Read]]="N/A",IF(Table1[[#This Row],[Std Adj Read]]&gt;=Table1[[#This Row],[Low Tol]],"Pass","Fail"),IF(Table1[[#This Row],[DUT Adj Read]]&gt;=Table1[[#This Row],[Low Tol]],"Pass","Fail")))</f>
        <v>Pass</v>
      </c>
      <c r="AG757" s="1" t="str">
        <f>IF(AND(Table1[[#This Row],[Spec Type2]]="N/A",Table1[[#This Row],[DUT Adj Read]]="N/A",Table1[[#This Row],[Std Adj Read]]="N/A"),"N/A",IF(Table1[[#This Row],[DUT Adj Read]]="N/A",IF(Table1[[#This Row],[Std Adj Read]]&lt;=Table1[[#This Row],[High Tol]],"Pass","Fail"),IF(Table1[[#This Row],[DUT Adj Read]]&lt;=Table1[[#This Row],[High Tol]],"Pass","Fail")))</f>
        <v>Fail</v>
      </c>
      <c r="AH7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7" s="1" t="b">
        <v>0</v>
      </c>
      <c r="AN757" s="1" t="b">
        <v>0</v>
      </c>
      <c r="AO757" s="1" t="b">
        <v>0</v>
      </c>
    </row>
    <row r="758" spans="1:41" x14ac:dyDescent="0.25">
      <c r="A758" s="10"/>
      <c r="B758" s="10"/>
      <c r="C758" s="10"/>
      <c r="D758" s="10"/>
      <c r="E758" s="10"/>
      <c r="F758" s="10"/>
      <c r="G758" s="10"/>
      <c r="H758" s="10"/>
      <c r="I758" s="1" t="str">
        <f t="shared" si="33"/>
        <v/>
      </c>
      <c r="J758" s="1" t="s">
        <v>35</v>
      </c>
      <c r="K758" s="1" t="str">
        <f t="shared" si="34"/>
        <v/>
      </c>
      <c r="L758" s="1" t="str">
        <f t="shared" si="35"/>
        <v/>
      </c>
      <c r="M758" s="1">
        <f>IF(OR(Table1[[#This Row],[Std Nom]]="",Table1[[#This Row],[Std Read]]=""),0,Table1[[#This Row],[Std Nom]]-Table1[[#This Row],[Std Read]])</f>
        <v>0</v>
      </c>
      <c r="N758" s="1">
        <f>IF(Calculations!$F$5="ACCREDITED 17025 WITH UNCERTAINTIES",$N$10,0)</f>
        <v>0</v>
      </c>
      <c r="O758" s="1" t="str">
        <f>IFERROR(Table1[[#This Row],[Std Nom]]-(_xlfn.XLOOKUP(Table1[[#This Row],[Manufacturer]]&amp;" "&amp;Table1[[#This Row],[Model]],Table13[MFR &amp; MDL],Table13[Tolerance % CW ],"")/100*Table1[[#This Row],[Std Nom]]),"")</f>
        <v/>
      </c>
      <c r="P758" s="1" t="str">
        <f>IFERROR(Table1[[#This Row],[Std Nom]]+(_xlfn.XLOOKUP(Table1[[#This Row],[Manufacturer]]&amp;" "&amp;Table1[[#This Row],[Model]],Table13[MFR &amp; MDL],Table13[Tolerance % CW ],"")/100*Table1[[#This Row],[Std Nom]]),"")</f>
        <v/>
      </c>
      <c r="Q758" s="1" t="e">
        <f>Table1[[#This Row],[High Tol]]-Table1[[#This Row],[Low Tol]]</f>
        <v>#VALUE!</v>
      </c>
      <c r="R758" s="1">
        <f>2*Table1[[#This Row],[Std Error]]</f>
        <v>0</v>
      </c>
      <c r="S758" s="1" t="str">
        <f>IF(Table1[[#This Row],[High Tol]]="","N/A",IFERROR(ABS(Table1[[#This Row],[Tol Span]]/Table1[[#This Row],[Error Span]]),"N/A"))</f>
        <v>N/A</v>
      </c>
      <c r="T758" s="1" t="str">
        <f>IF(OR(Table1[[#This Row],[Low Tol]]="",Table1[[#This Row],[High Tol]]=""),"Needs Analysis",IF(Table1[[#This Row],[Ratio]]&gt;=4,"Not Significant",IF(Table1[[#This Row],[Ratio]]&gt;=2,"Semi-Significant","Significant")))</f>
        <v>Needs Analysis</v>
      </c>
      <c r="W758" s="1">
        <f>IF(Table1[[#This Row],[Cal Type]]&lt;&gt;"ACCREDITED 17025 WITH UNCERTAINTIES",0,"")</f>
        <v>0</v>
      </c>
      <c r="X758" s="1" t="str">
        <f>IF(Table1[[#This Row],[DUT Read]]="","N/A",Table1[[#This Row],[Std Error]]+Table1[[#This Row],[DUT Read]]+Table1[[#This Row],[DUT Ucty]])</f>
        <v>N/A</v>
      </c>
      <c r="Y758" s="1" t="str">
        <f>IF(Table1[[#This Row],[Std Read]]="","N/A",Table1[[#This Row],[Std Read]]+Table1[[#This Row],[Std Ucty]])</f>
        <v>N/A</v>
      </c>
      <c r="Z7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8" s="1" t="str">
        <f>IF(Table1[[#This Row],[Spec Type]]="","N/A",Table1[[#This Row],[Spec Type]])</f>
        <v>±</v>
      </c>
      <c r="AC758" s="1" t="str">
        <f>IF(Table1[[#This Row],[Spec Type2]]="N/A","N/A",IF(AND(Table1[[#This Row],[DUT Adj Read]]&gt;=Table1[[#This Row],[Low Tol]],Table1[[#This Row],[DUT Adj Read]]&lt;=Table1[[#This Row],[High Tol]]),"Pass","Fail"))</f>
        <v>Fail</v>
      </c>
      <c r="AD758" s="1" t="str">
        <f>IF(AND(Table1[[#This Row],[Spec Type2]]="N/A",Table1[[#This Row],[DUT Adj Read]]="N/A",Table1[[#This Row],[Std Adj Read]]="N/A"),"N/A",IF(Table1[[#This Row],[DUT Adj Read]]="N/A",IF(Table1[[#This Row],[Std Adj Read]]&gt;Table1[[#This Row],[Low Tol]],"Pass","Fail"),IF(Table1[[#This Row],[DUT Adj Read]]&gt;Table1[[#This Row],[Low Tol]],"Pass","Fail")))</f>
        <v>Pass</v>
      </c>
      <c r="AE758" s="1" t="str">
        <f>IF(AND(Table1[[#This Row],[Spec Type2]]="N/A",Table1[[#This Row],[DUT Adj Read]]="N/A",Table1[[#This Row],[Std Adj Read]]="N/A"),"N/A",IF(Table1[[#This Row],[DUT Adj Read]]="N/A",IF(Table1[[#This Row],[Std Adj Read]]&lt;Table1[[#This Row],[High Tol]],"Pass","Fail"),IF(Table1[[#This Row],[DUT Adj Read]]&lt;Table1[[#This Row],[High Tol]],"Pass","Fail")))</f>
        <v>Fail</v>
      </c>
      <c r="AF758" s="1" t="str">
        <f>IF(AND(Table1[[#This Row],[Spec Type2]]="N/A",Table1[[#This Row],[DUT Adj Read]]="N/A",Table1[[#This Row],[Std Adj Read]]="N/A"),"N/A",IF(Table1[[#This Row],[DUT Adj Read]]="N/A",IF(Table1[[#This Row],[Std Adj Read]]&gt;=Table1[[#This Row],[Low Tol]],"Pass","Fail"),IF(Table1[[#This Row],[DUT Adj Read]]&gt;=Table1[[#This Row],[Low Tol]],"Pass","Fail")))</f>
        <v>Pass</v>
      </c>
      <c r="AG758" s="1" t="str">
        <f>IF(AND(Table1[[#This Row],[Spec Type2]]="N/A",Table1[[#This Row],[DUT Adj Read]]="N/A",Table1[[#This Row],[Std Adj Read]]="N/A"),"N/A",IF(Table1[[#This Row],[DUT Adj Read]]="N/A",IF(Table1[[#This Row],[Std Adj Read]]&lt;=Table1[[#This Row],[High Tol]],"Pass","Fail"),IF(Table1[[#This Row],[DUT Adj Read]]&lt;=Table1[[#This Row],[High Tol]],"Pass","Fail")))</f>
        <v>Fail</v>
      </c>
      <c r="AH7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8" s="1" t="b">
        <v>0</v>
      </c>
      <c r="AN758" s="1" t="b">
        <v>0</v>
      </c>
      <c r="AO758" s="1" t="b">
        <v>0</v>
      </c>
    </row>
    <row r="759" spans="1:41" x14ac:dyDescent="0.25">
      <c r="A759" s="10"/>
      <c r="B759" s="10"/>
      <c r="C759" s="10"/>
      <c r="D759" s="10"/>
      <c r="E759" s="10"/>
      <c r="F759" s="10"/>
      <c r="G759" s="10"/>
      <c r="H759" s="10"/>
      <c r="I759" s="1" t="str">
        <f t="shared" si="33"/>
        <v/>
      </c>
      <c r="J759" s="1" t="s">
        <v>35</v>
      </c>
      <c r="K759" s="1" t="str">
        <f t="shared" si="34"/>
        <v/>
      </c>
      <c r="L759" s="1" t="str">
        <f t="shared" si="35"/>
        <v/>
      </c>
      <c r="M759" s="1">
        <f>IF(OR(Table1[[#This Row],[Std Nom]]="",Table1[[#This Row],[Std Read]]=""),0,Table1[[#This Row],[Std Nom]]-Table1[[#This Row],[Std Read]])</f>
        <v>0</v>
      </c>
      <c r="N759" s="1">
        <f>IF(Calculations!$F$5="ACCREDITED 17025 WITH UNCERTAINTIES",$N$10,0)</f>
        <v>0</v>
      </c>
      <c r="O759" s="1" t="str">
        <f>IFERROR(Table1[[#This Row],[Std Nom]]-(_xlfn.XLOOKUP(Table1[[#This Row],[Manufacturer]]&amp;" "&amp;Table1[[#This Row],[Model]],Table13[MFR &amp; MDL],Table13[Tolerance % CW ],"")/100*Table1[[#This Row],[Std Nom]]),"")</f>
        <v/>
      </c>
      <c r="P759" s="1" t="str">
        <f>IFERROR(Table1[[#This Row],[Std Nom]]+(_xlfn.XLOOKUP(Table1[[#This Row],[Manufacturer]]&amp;" "&amp;Table1[[#This Row],[Model]],Table13[MFR &amp; MDL],Table13[Tolerance % CW ],"")/100*Table1[[#This Row],[Std Nom]]),"")</f>
        <v/>
      </c>
      <c r="Q759" s="1" t="e">
        <f>Table1[[#This Row],[High Tol]]-Table1[[#This Row],[Low Tol]]</f>
        <v>#VALUE!</v>
      </c>
      <c r="R759" s="1">
        <f>2*Table1[[#This Row],[Std Error]]</f>
        <v>0</v>
      </c>
      <c r="S759" s="1" t="str">
        <f>IF(Table1[[#This Row],[High Tol]]="","N/A",IFERROR(ABS(Table1[[#This Row],[Tol Span]]/Table1[[#This Row],[Error Span]]),"N/A"))</f>
        <v>N/A</v>
      </c>
      <c r="T759" s="1" t="str">
        <f>IF(OR(Table1[[#This Row],[Low Tol]]="",Table1[[#This Row],[High Tol]]=""),"Needs Analysis",IF(Table1[[#This Row],[Ratio]]&gt;=4,"Not Significant",IF(Table1[[#This Row],[Ratio]]&gt;=2,"Semi-Significant","Significant")))</f>
        <v>Needs Analysis</v>
      </c>
      <c r="W759" s="1">
        <f>IF(Table1[[#This Row],[Cal Type]]&lt;&gt;"ACCREDITED 17025 WITH UNCERTAINTIES",0,"")</f>
        <v>0</v>
      </c>
      <c r="X759" s="1" t="str">
        <f>IF(Table1[[#This Row],[DUT Read]]="","N/A",Table1[[#This Row],[Std Error]]+Table1[[#This Row],[DUT Read]]+Table1[[#This Row],[DUT Ucty]])</f>
        <v>N/A</v>
      </c>
      <c r="Y759" s="1" t="str">
        <f>IF(Table1[[#This Row],[Std Read]]="","N/A",Table1[[#This Row],[Std Read]]+Table1[[#This Row],[Std Ucty]])</f>
        <v>N/A</v>
      </c>
      <c r="Z7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9" s="1" t="str">
        <f>IF(Table1[[#This Row],[Spec Type]]="","N/A",Table1[[#This Row],[Spec Type]])</f>
        <v>±</v>
      </c>
      <c r="AC759" s="1" t="str">
        <f>IF(Table1[[#This Row],[Spec Type2]]="N/A","N/A",IF(AND(Table1[[#This Row],[DUT Adj Read]]&gt;=Table1[[#This Row],[Low Tol]],Table1[[#This Row],[DUT Adj Read]]&lt;=Table1[[#This Row],[High Tol]]),"Pass","Fail"))</f>
        <v>Fail</v>
      </c>
      <c r="AD759" s="1" t="str">
        <f>IF(AND(Table1[[#This Row],[Spec Type2]]="N/A",Table1[[#This Row],[DUT Adj Read]]="N/A",Table1[[#This Row],[Std Adj Read]]="N/A"),"N/A",IF(Table1[[#This Row],[DUT Adj Read]]="N/A",IF(Table1[[#This Row],[Std Adj Read]]&gt;Table1[[#This Row],[Low Tol]],"Pass","Fail"),IF(Table1[[#This Row],[DUT Adj Read]]&gt;Table1[[#This Row],[Low Tol]],"Pass","Fail")))</f>
        <v>Pass</v>
      </c>
      <c r="AE759" s="1" t="str">
        <f>IF(AND(Table1[[#This Row],[Spec Type2]]="N/A",Table1[[#This Row],[DUT Adj Read]]="N/A",Table1[[#This Row],[Std Adj Read]]="N/A"),"N/A",IF(Table1[[#This Row],[DUT Adj Read]]="N/A",IF(Table1[[#This Row],[Std Adj Read]]&lt;Table1[[#This Row],[High Tol]],"Pass","Fail"),IF(Table1[[#This Row],[DUT Adj Read]]&lt;Table1[[#This Row],[High Tol]],"Pass","Fail")))</f>
        <v>Fail</v>
      </c>
      <c r="AF759" s="1" t="str">
        <f>IF(AND(Table1[[#This Row],[Spec Type2]]="N/A",Table1[[#This Row],[DUT Adj Read]]="N/A",Table1[[#This Row],[Std Adj Read]]="N/A"),"N/A",IF(Table1[[#This Row],[DUT Adj Read]]="N/A",IF(Table1[[#This Row],[Std Adj Read]]&gt;=Table1[[#This Row],[Low Tol]],"Pass","Fail"),IF(Table1[[#This Row],[DUT Adj Read]]&gt;=Table1[[#This Row],[Low Tol]],"Pass","Fail")))</f>
        <v>Pass</v>
      </c>
      <c r="AG759" s="1" t="str">
        <f>IF(AND(Table1[[#This Row],[Spec Type2]]="N/A",Table1[[#This Row],[DUT Adj Read]]="N/A",Table1[[#This Row],[Std Adj Read]]="N/A"),"N/A",IF(Table1[[#This Row],[DUT Adj Read]]="N/A",IF(Table1[[#This Row],[Std Adj Read]]&lt;=Table1[[#This Row],[High Tol]],"Pass","Fail"),IF(Table1[[#This Row],[DUT Adj Read]]&lt;=Table1[[#This Row],[High Tol]],"Pass","Fail")))</f>
        <v>Fail</v>
      </c>
      <c r="AH7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9" s="1" t="b">
        <v>0</v>
      </c>
      <c r="AN759" s="1" t="b">
        <v>0</v>
      </c>
      <c r="AO759" s="1" t="b">
        <v>0</v>
      </c>
    </row>
    <row r="760" spans="1:41" x14ac:dyDescent="0.25">
      <c r="A760" s="10"/>
      <c r="B760" s="10"/>
      <c r="C760" s="10"/>
      <c r="D760" s="10"/>
      <c r="E760" s="10"/>
      <c r="F760" s="10"/>
      <c r="G760" s="10"/>
      <c r="H760" s="10"/>
      <c r="I760" s="1" t="str">
        <f t="shared" si="33"/>
        <v/>
      </c>
      <c r="J760" s="1" t="s">
        <v>35</v>
      </c>
      <c r="K760" s="1" t="str">
        <f t="shared" si="34"/>
        <v/>
      </c>
      <c r="L760" s="1" t="str">
        <f t="shared" si="35"/>
        <v/>
      </c>
      <c r="M760" s="1">
        <f>IF(OR(Table1[[#This Row],[Std Nom]]="",Table1[[#This Row],[Std Read]]=""),0,Table1[[#This Row],[Std Nom]]-Table1[[#This Row],[Std Read]])</f>
        <v>0</v>
      </c>
      <c r="N760" s="1">
        <f>IF(Calculations!$F$5="ACCREDITED 17025 WITH UNCERTAINTIES",$N$10,0)</f>
        <v>0</v>
      </c>
      <c r="O760" s="1" t="str">
        <f>IFERROR(Table1[[#This Row],[Std Nom]]-(_xlfn.XLOOKUP(Table1[[#This Row],[Manufacturer]]&amp;" "&amp;Table1[[#This Row],[Model]],Table13[MFR &amp; MDL],Table13[Tolerance % CW ],"")/100*Table1[[#This Row],[Std Nom]]),"")</f>
        <v/>
      </c>
      <c r="P760" s="1" t="str">
        <f>IFERROR(Table1[[#This Row],[Std Nom]]+(_xlfn.XLOOKUP(Table1[[#This Row],[Manufacturer]]&amp;" "&amp;Table1[[#This Row],[Model]],Table13[MFR &amp; MDL],Table13[Tolerance % CW ],"")/100*Table1[[#This Row],[Std Nom]]),"")</f>
        <v/>
      </c>
      <c r="Q760" s="1" t="e">
        <f>Table1[[#This Row],[High Tol]]-Table1[[#This Row],[Low Tol]]</f>
        <v>#VALUE!</v>
      </c>
      <c r="R760" s="1">
        <f>2*Table1[[#This Row],[Std Error]]</f>
        <v>0</v>
      </c>
      <c r="S760" s="1" t="str">
        <f>IF(Table1[[#This Row],[High Tol]]="","N/A",IFERROR(ABS(Table1[[#This Row],[Tol Span]]/Table1[[#This Row],[Error Span]]),"N/A"))</f>
        <v>N/A</v>
      </c>
      <c r="T760" s="1" t="str">
        <f>IF(OR(Table1[[#This Row],[Low Tol]]="",Table1[[#This Row],[High Tol]]=""),"Needs Analysis",IF(Table1[[#This Row],[Ratio]]&gt;=4,"Not Significant",IF(Table1[[#This Row],[Ratio]]&gt;=2,"Semi-Significant","Significant")))</f>
        <v>Needs Analysis</v>
      </c>
      <c r="W760" s="1">
        <f>IF(Table1[[#This Row],[Cal Type]]&lt;&gt;"ACCREDITED 17025 WITH UNCERTAINTIES",0,"")</f>
        <v>0</v>
      </c>
      <c r="X760" s="1" t="str">
        <f>IF(Table1[[#This Row],[DUT Read]]="","N/A",Table1[[#This Row],[Std Error]]+Table1[[#This Row],[DUT Read]]+Table1[[#This Row],[DUT Ucty]])</f>
        <v>N/A</v>
      </c>
      <c r="Y760" s="1" t="str">
        <f>IF(Table1[[#This Row],[Std Read]]="","N/A",Table1[[#This Row],[Std Read]]+Table1[[#This Row],[Std Ucty]])</f>
        <v>N/A</v>
      </c>
      <c r="Z7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0" s="1" t="str">
        <f>IF(Table1[[#This Row],[Spec Type]]="","N/A",Table1[[#This Row],[Spec Type]])</f>
        <v>±</v>
      </c>
      <c r="AC760" s="1" t="str">
        <f>IF(Table1[[#This Row],[Spec Type2]]="N/A","N/A",IF(AND(Table1[[#This Row],[DUT Adj Read]]&gt;=Table1[[#This Row],[Low Tol]],Table1[[#This Row],[DUT Adj Read]]&lt;=Table1[[#This Row],[High Tol]]),"Pass","Fail"))</f>
        <v>Fail</v>
      </c>
      <c r="AD760" s="1" t="str">
        <f>IF(AND(Table1[[#This Row],[Spec Type2]]="N/A",Table1[[#This Row],[DUT Adj Read]]="N/A",Table1[[#This Row],[Std Adj Read]]="N/A"),"N/A",IF(Table1[[#This Row],[DUT Adj Read]]="N/A",IF(Table1[[#This Row],[Std Adj Read]]&gt;Table1[[#This Row],[Low Tol]],"Pass","Fail"),IF(Table1[[#This Row],[DUT Adj Read]]&gt;Table1[[#This Row],[Low Tol]],"Pass","Fail")))</f>
        <v>Pass</v>
      </c>
      <c r="AE760" s="1" t="str">
        <f>IF(AND(Table1[[#This Row],[Spec Type2]]="N/A",Table1[[#This Row],[DUT Adj Read]]="N/A",Table1[[#This Row],[Std Adj Read]]="N/A"),"N/A",IF(Table1[[#This Row],[DUT Adj Read]]="N/A",IF(Table1[[#This Row],[Std Adj Read]]&lt;Table1[[#This Row],[High Tol]],"Pass","Fail"),IF(Table1[[#This Row],[DUT Adj Read]]&lt;Table1[[#This Row],[High Tol]],"Pass","Fail")))</f>
        <v>Fail</v>
      </c>
      <c r="AF760" s="1" t="str">
        <f>IF(AND(Table1[[#This Row],[Spec Type2]]="N/A",Table1[[#This Row],[DUT Adj Read]]="N/A",Table1[[#This Row],[Std Adj Read]]="N/A"),"N/A",IF(Table1[[#This Row],[DUT Adj Read]]="N/A",IF(Table1[[#This Row],[Std Adj Read]]&gt;=Table1[[#This Row],[Low Tol]],"Pass","Fail"),IF(Table1[[#This Row],[DUT Adj Read]]&gt;=Table1[[#This Row],[Low Tol]],"Pass","Fail")))</f>
        <v>Pass</v>
      </c>
      <c r="AG760" s="1" t="str">
        <f>IF(AND(Table1[[#This Row],[Spec Type2]]="N/A",Table1[[#This Row],[DUT Adj Read]]="N/A",Table1[[#This Row],[Std Adj Read]]="N/A"),"N/A",IF(Table1[[#This Row],[DUT Adj Read]]="N/A",IF(Table1[[#This Row],[Std Adj Read]]&lt;=Table1[[#This Row],[High Tol]],"Pass","Fail"),IF(Table1[[#This Row],[DUT Adj Read]]&lt;=Table1[[#This Row],[High Tol]],"Pass","Fail")))</f>
        <v>Fail</v>
      </c>
      <c r="AH7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0" s="1" t="b">
        <v>0</v>
      </c>
      <c r="AN760" s="1" t="b">
        <v>0</v>
      </c>
      <c r="AO760" s="1" t="b">
        <v>0</v>
      </c>
    </row>
    <row r="761" spans="1:41" x14ac:dyDescent="0.25">
      <c r="A761" s="10"/>
      <c r="B761" s="10"/>
      <c r="C761" s="10"/>
      <c r="D761" s="10"/>
      <c r="E761" s="10"/>
      <c r="F761" s="10"/>
      <c r="G761" s="10"/>
      <c r="H761" s="10"/>
      <c r="I761" s="1" t="str">
        <f t="shared" si="33"/>
        <v/>
      </c>
      <c r="J761" s="1" t="s">
        <v>35</v>
      </c>
      <c r="K761" s="1" t="str">
        <f t="shared" si="34"/>
        <v/>
      </c>
      <c r="L761" s="1" t="str">
        <f t="shared" si="35"/>
        <v/>
      </c>
      <c r="M761" s="1">
        <f>IF(OR(Table1[[#This Row],[Std Nom]]="",Table1[[#This Row],[Std Read]]=""),0,Table1[[#This Row],[Std Nom]]-Table1[[#This Row],[Std Read]])</f>
        <v>0</v>
      </c>
      <c r="N761" s="1">
        <f>IF(Calculations!$F$5="ACCREDITED 17025 WITH UNCERTAINTIES",$N$10,0)</f>
        <v>0</v>
      </c>
      <c r="O761" s="1" t="str">
        <f>IFERROR(Table1[[#This Row],[Std Nom]]-(_xlfn.XLOOKUP(Table1[[#This Row],[Manufacturer]]&amp;" "&amp;Table1[[#This Row],[Model]],Table13[MFR &amp; MDL],Table13[Tolerance % CW ],"")/100*Table1[[#This Row],[Std Nom]]),"")</f>
        <v/>
      </c>
      <c r="P761" s="1" t="str">
        <f>IFERROR(Table1[[#This Row],[Std Nom]]+(_xlfn.XLOOKUP(Table1[[#This Row],[Manufacturer]]&amp;" "&amp;Table1[[#This Row],[Model]],Table13[MFR &amp; MDL],Table13[Tolerance % CW ],"")/100*Table1[[#This Row],[Std Nom]]),"")</f>
        <v/>
      </c>
      <c r="Q761" s="1" t="e">
        <f>Table1[[#This Row],[High Tol]]-Table1[[#This Row],[Low Tol]]</f>
        <v>#VALUE!</v>
      </c>
      <c r="R761" s="1">
        <f>2*Table1[[#This Row],[Std Error]]</f>
        <v>0</v>
      </c>
      <c r="S761" s="1" t="str">
        <f>IF(Table1[[#This Row],[High Tol]]="","N/A",IFERROR(ABS(Table1[[#This Row],[Tol Span]]/Table1[[#This Row],[Error Span]]),"N/A"))</f>
        <v>N/A</v>
      </c>
      <c r="T761" s="1" t="str">
        <f>IF(OR(Table1[[#This Row],[Low Tol]]="",Table1[[#This Row],[High Tol]]=""),"Needs Analysis",IF(Table1[[#This Row],[Ratio]]&gt;=4,"Not Significant",IF(Table1[[#This Row],[Ratio]]&gt;=2,"Semi-Significant","Significant")))</f>
        <v>Needs Analysis</v>
      </c>
      <c r="W761" s="1">
        <f>IF(Table1[[#This Row],[Cal Type]]&lt;&gt;"ACCREDITED 17025 WITH UNCERTAINTIES",0,"")</f>
        <v>0</v>
      </c>
      <c r="X761" s="1" t="str">
        <f>IF(Table1[[#This Row],[DUT Read]]="","N/A",Table1[[#This Row],[Std Error]]+Table1[[#This Row],[DUT Read]]+Table1[[#This Row],[DUT Ucty]])</f>
        <v>N/A</v>
      </c>
      <c r="Y761" s="1" t="str">
        <f>IF(Table1[[#This Row],[Std Read]]="","N/A",Table1[[#This Row],[Std Read]]+Table1[[#This Row],[Std Ucty]])</f>
        <v>N/A</v>
      </c>
      <c r="Z7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1" s="1" t="str">
        <f>IF(Table1[[#This Row],[Spec Type]]="","N/A",Table1[[#This Row],[Spec Type]])</f>
        <v>±</v>
      </c>
      <c r="AC761" s="1" t="str">
        <f>IF(Table1[[#This Row],[Spec Type2]]="N/A","N/A",IF(AND(Table1[[#This Row],[DUT Adj Read]]&gt;=Table1[[#This Row],[Low Tol]],Table1[[#This Row],[DUT Adj Read]]&lt;=Table1[[#This Row],[High Tol]]),"Pass","Fail"))</f>
        <v>Fail</v>
      </c>
      <c r="AD761" s="1" t="str">
        <f>IF(AND(Table1[[#This Row],[Spec Type2]]="N/A",Table1[[#This Row],[DUT Adj Read]]="N/A",Table1[[#This Row],[Std Adj Read]]="N/A"),"N/A",IF(Table1[[#This Row],[DUT Adj Read]]="N/A",IF(Table1[[#This Row],[Std Adj Read]]&gt;Table1[[#This Row],[Low Tol]],"Pass","Fail"),IF(Table1[[#This Row],[DUT Adj Read]]&gt;Table1[[#This Row],[Low Tol]],"Pass","Fail")))</f>
        <v>Pass</v>
      </c>
      <c r="AE761" s="1" t="str">
        <f>IF(AND(Table1[[#This Row],[Spec Type2]]="N/A",Table1[[#This Row],[DUT Adj Read]]="N/A",Table1[[#This Row],[Std Adj Read]]="N/A"),"N/A",IF(Table1[[#This Row],[DUT Adj Read]]="N/A",IF(Table1[[#This Row],[Std Adj Read]]&lt;Table1[[#This Row],[High Tol]],"Pass","Fail"),IF(Table1[[#This Row],[DUT Adj Read]]&lt;Table1[[#This Row],[High Tol]],"Pass","Fail")))</f>
        <v>Fail</v>
      </c>
      <c r="AF761" s="1" t="str">
        <f>IF(AND(Table1[[#This Row],[Spec Type2]]="N/A",Table1[[#This Row],[DUT Adj Read]]="N/A",Table1[[#This Row],[Std Adj Read]]="N/A"),"N/A",IF(Table1[[#This Row],[DUT Adj Read]]="N/A",IF(Table1[[#This Row],[Std Adj Read]]&gt;=Table1[[#This Row],[Low Tol]],"Pass","Fail"),IF(Table1[[#This Row],[DUT Adj Read]]&gt;=Table1[[#This Row],[Low Tol]],"Pass","Fail")))</f>
        <v>Pass</v>
      </c>
      <c r="AG761" s="1" t="str">
        <f>IF(AND(Table1[[#This Row],[Spec Type2]]="N/A",Table1[[#This Row],[DUT Adj Read]]="N/A",Table1[[#This Row],[Std Adj Read]]="N/A"),"N/A",IF(Table1[[#This Row],[DUT Adj Read]]="N/A",IF(Table1[[#This Row],[Std Adj Read]]&lt;=Table1[[#This Row],[High Tol]],"Pass","Fail"),IF(Table1[[#This Row],[DUT Adj Read]]&lt;=Table1[[#This Row],[High Tol]],"Pass","Fail")))</f>
        <v>Fail</v>
      </c>
      <c r="AH7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1" s="1" t="b">
        <v>0</v>
      </c>
      <c r="AN761" s="1" t="b">
        <v>0</v>
      </c>
      <c r="AO761" s="1" t="b">
        <v>0</v>
      </c>
    </row>
    <row r="762" spans="1:41" x14ac:dyDescent="0.25">
      <c r="A762" s="10"/>
      <c r="B762" s="10"/>
      <c r="C762" s="10"/>
      <c r="D762" s="10"/>
      <c r="E762" s="10"/>
      <c r="F762" s="10"/>
      <c r="G762" s="10"/>
      <c r="H762" s="10"/>
      <c r="I762" s="1" t="str">
        <f t="shared" si="33"/>
        <v/>
      </c>
      <c r="J762" s="1" t="s">
        <v>35</v>
      </c>
      <c r="K762" s="1" t="str">
        <f t="shared" si="34"/>
        <v/>
      </c>
      <c r="L762" s="1" t="str">
        <f t="shared" si="35"/>
        <v/>
      </c>
      <c r="M762" s="1">
        <f>IF(OR(Table1[[#This Row],[Std Nom]]="",Table1[[#This Row],[Std Read]]=""),0,Table1[[#This Row],[Std Nom]]-Table1[[#This Row],[Std Read]])</f>
        <v>0</v>
      </c>
      <c r="N762" s="1">
        <f>IF(Calculations!$F$5="ACCREDITED 17025 WITH UNCERTAINTIES",$N$10,0)</f>
        <v>0</v>
      </c>
      <c r="O762" s="1" t="str">
        <f>IFERROR(Table1[[#This Row],[Std Nom]]-(_xlfn.XLOOKUP(Table1[[#This Row],[Manufacturer]]&amp;" "&amp;Table1[[#This Row],[Model]],Table13[MFR &amp; MDL],Table13[Tolerance % CW ],"")/100*Table1[[#This Row],[Std Nom]]),"")</f>
        <v/>
      </c>
      <c r="P762" s="1" t="str">
        <f>IFERROR(Table1[[#This Row],[Std Nom]]+(_xlfn.XLOOKUP(Table1[[#This Row],[Manufacturer]]&amp;" "&amp;Table1[[#This Row],[Model]],Table13[MFR &amp; MDL],Table13[Tolerance % CW ],"")/100*Table1[[#This Row],[Std Nom]]),"")</f>
        <v/>
      </c>
      <c r="Q762" s="1" t="e">
        <f>Table1[[#This Row],[High Tol]]-Table1[[#This Row],[Low Tol]]</f>
        <v>#VALUE!</v>
      </c>
      <c r="R762" s="1">
        <f>2*Table1[[#This Row],[Std Error]]</f>
        <v>0</v>
      </c>
      <c r="S762" s="1" t="str">
        <f>IF(Table1[[#This Row],[High Tol]]="","N/A",IFERROR(ABS(Table1[[#This Row],[Tol Span]]/Table1[[#This Row],[Error Span]]),"N/A"))</f>
        <v>N/A</v>
      </c>
      <c r="T762" s="1" t="str">
        <f>IF(OR(Table1[[#This Row],[Low Tol]]="",Table1[[#This Row],[High Tol]]=""),"Needs Analysis",IF(Table1[[#This Row],[Ratio]]&gt;=4,"Not Significant",IF(Table1[[#This Row],[Ratio]]&gt;=2,"Semi-Significant","Significant")))</f>
        <v>Needs Analysis</v>
      </c>
      <c r="W762" s="1">
        <f>IF(Table1[[#This Row],[Cal Type]]&lt;&gt;"ACCREDITED 17025 WITH UNCERTAINTIES",0,"")</f>
        <v>0</v>
      </c>
      <c r="X762" s="1" t="str">
        <f>IF(Table1[[#This Row],[DUT Read]]="","N/A",Table1[[#This Row],[Std Error]]+Table1[[#This Row],[DUT Read]]+Table1[[#This Row],[DUT Ucty]])</f>
        <v>N/A</v>
      </c>
      <c r="Y762" s="1" t="str">
        <f>IF(Table1[[#This Row],[Std Read]]="","N/A",Table1[[#This Row],[Std Read]]+Table1[[#This Row],[Std Ucty]])</f>
        <v>N/A</v>
      </c>
      <c r="Z7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2" s="1" t="str">
        <f>IF(Table1[[#This Row],[Spec Type]]="","N/A",Table1[[#This Row],[Spec Type]])</f>
        <v>±</v>
      </c>
      <c r="AC762" s="1" t="str">
        <f>IF(Table1[[#This Row],[Spec Type2]]="N/A","N/A",IF(AND(Table1[[#This Row],[DUT Adj Read]]&gt;=Table1[[#This Row],[Low Tol]],Table1[[#This Row],[DUT Adj Read]]&lt;=Table1[[#This Row],[High Tol]]),"Pass","Fail"))</f>
        <v>Fail</v>
      </c>
      <c r="AD762" s="1" t="str">
        <f>IF(AND(Table1[[#This Row],[Spec Type2]]="N/A",Table1[[#This Row],[DUT Adj Read]]="N/A",Table1[[#This Row],[Std Adj Read]]="N/A"),"N/A",IF(Table1[[#This Row],[DUT Adj Read]]="N/A",IF(Table1[[#This Row],[Std Adj Read]]&gt;Table1[[#This Row],[Low Tol]],"Pass","Fail"),IF(Table1[[#This Row],[DUT Adj Read]]&gt;Table1[[#This Row],[Low Tol]],"Pass","Fail")))</f>
        <v>Pass</v>
      </c>
      <c r="AE762" s="1" t="str">
        <f>IF(AND(Table1[[#This Row],[Spec Type2]]="N/A",Table1[[#This Row],[DUT Adj Read]]="N/A",Table1[[#This Row],[Std Adj Read]]="N/A"),"N/A",IF(Table1[[#This Row],[DUT Adj Read]]="N/A",IF(Table1[[#This Row],[Std Adj Read]]&lt;Table1[[#This Row],[High Tol]],"Pass","Fail"),IF(Table1[[#This Row],[DUT Adj Read]]&lt;Table1[[#This Row],[High Tol]],"Pass","Fail")))</f>
        <v>Fail</v>
      </c>
      <c r="AF762" s="1" t="str">
        <f>IF(AND(Table1[[#This Row],[Spec Type2]]="N/A",Table1[[#This Row],[DUT Adj Read]]="N/A",Table1[[#This Row],[Std Adj Read]]="N/A"),"N/A",IF(Table1[[#This Row],[DUT Adj Read]]="N/A",IF(Table1[[#This Row],[Std Adj Read]]&gt;=Table1[[#This Row],[Low Tol]],"Pass","Fail"),IF(Table1[[#This Row],[DUT Adj Read]]&gt;=Table1[[#This Row],[Low Tol]],"Pass","Fail")))</f>
        <v>Pass</v>
      </c>
      <c r="AG762" s="1" t="str">
        <f>IF(AND(Table1[[#This Row],[Spec Type2]]="N/A",Table1[[#This Row],[DUT Adj Read]]="N/A",Table1[[#This Row],[Std Adj Read]]="N/A"),"N/A",IF(Table1[[#This Row],[DUT Adj Read]]="N/A",IF(Table1[[#This Row],[Std Adj Read]]&lt;=Table1[[#This Row],[High Tol]],"Pass","Fail"),IF(Table1[[#This Row],[DUT Adj Read]]&lt;=Table1[[#This Row],[High Tol]],"Pass","Fail")))</f>
        <v>Fail</v>
      </c>
      <c r="AH7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2" s="1" t="b">
        <v>0</v>
      </c>
      <c r="AN762" s="1" t="b">
        <v>0</v>
      </c>
      <c r="AO762" s="1" t="b">
        <v>0</v>
      </c>
    </row>
    <row r="763" spans="1:41" x14ac:dyDescent="0.25">
      <c r="A763" s="10"/>
      <c r="B763" s="10"/>
      <c r="C763" s="10"/>
      <c r="D763" s="10"/>
      <c r="E763" s="10"/>
      <c r="F763" s="10"/>
      <c r="G763" s="10"/>
      <c r="H763" s="10"/>
      <c r="I763" s="1" t="str">
        <f t="shared" si="33"/>
        <v/>
      </c>
      <c r="J763" s="1" t="s">
        <v>35</v>
      </c>
      <c r="K763" s="1" t="str">
        <f t="shared" si="34"/>
        <v/>
      </c>
      <c r="L763" s="1" t="str">
        <f t="shared" si="35"/>
        <v/>
      </c>
      <c r="M763" s="1">
        <f>IF(OR(Table1[[#This Row],[Std Nom]]="",Table1[[#This Row],[Std Read]]=""),0,Table1[[#This Row],[Std Nom]]-Table1[[#This Row],[Std Read]])</f>
        <v>0</v>
      </c>
      <c r="N763" s="1">
        <f>IF(Calculations!$F$5="ACCREDITED 17025 WITH UNCERTAINTIES",$N$10,0)</f>
        <v>0</v>
      </c>
      <c r="O763" s="1" t="str">
        <f>IFERROR(Table1[[#This Row],[Std Nom]]-(_xlfn.XLOOKUP(Table1[[#This Row],[Manufacturer]]&amp;" "&amp;Table1[[#This Row],[Model]],Table13[MFR &amp; MDL],Table13[Tolerance % CW ],"")/100*Table1[[#This Row],[Std Nom]]),"")</f>
        <v/>
      </c>
      <c r="P763" s="1" t="str">
        <f>IFERROR(Table1[[#This Row],[Std Nom]]+(_xlfn.XLOOKUP(Table1[[#This Row],[Manufacturer]]&amp;" "&amp;Table1[[#This Row],[Model]],Table13[MFR &amp; MDL],Table13[Tolerance % CW ],"")/100*Table1[[#This Row],[Std Nom]]),"")</f>
        <v/>
      </c>
      <c r="Q763" s="1" t="e">
        <f>Table1[[#This Row],[High Tol]]-Table1[[#This Row],[Low Tol]]</f>
        <v>#VALUE!</v>
      </c>
      <c r="R763" s="1">
        <f>2*Table1[[#This Row],[Std Error]]</f>
        <v>0</v>
      </c>
      <c r="S763" s="1" t="str">
        <f>IF(Table1[[#This Row],[High Tol]]="","N/A",IFERROR(ABS(Table1[[#This Row],[Tol Span]]/Table1[[#This Row],[Error Span]]),"N/A"))</f>
        <v>N/A</v>
      </c>
      <c r="T763" s="1" t="str">
        <f>IF(OR(Table1[[#This Row],[Low Tol]]="",Table1[[#This Row],[High Tol]]=""),"Needs Analysis",IF(Table1[[#This Row],[Ratio]]&gt;=4,"Not Significant",IF(Table1[[#This Row],[Ratio]]&gt;=2,"Semi-Significant","Significant")))</f>
        <v>Needs Analysis</v>
      </c>
      <c r="W763" s="1">
        <f>IF(Table1[[#This Row],[Cal Type]]&lt;&gt;"ACCREDITED 17025 WITH UNCERTAINTIES",0,"")</f>
        <v>0</v>
      </c>
      <c r="X763" s="1" t="str">
        <f>IF(Table1[[#This Row],[DUT Read]]="","N/A",Table1[[#This Row],[Std Error]]+Table1[[#This Row],[DUT Read]]+Table1[[#This Row],[DUT Ucty]])</f>
        <v>N/A</v>
      </c>
      <c r="Y763" s="1" t="str">
        <f>IF(Table1[[#This Row],[Std Read]]="","N/A",Table1[[#This Row],[Std Read]]+Table1[[#This Row],[Std Ucty]])</f>
        <v>N/A</v>
      </c>
      <c r="Z7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3" s="1" t="str">
        <f>IF(Table1[[#This Row],[Spec Type]]="","N/A",Table1[[#This Row],[Spec Type]])</f>
        <v>±</v>
      </c>
      <c r="AC763" s="1" t="str">
        <f>IF(Table1[[#This Row],[Spec Type2]]="N/A","N/A",IF(AND(Table1[[#This Row],[DUT Adj Read]]&gt;=Table1[[#This Row],[Low Tol]],Table1[[#This Row],[DUT Adj Read]]&lt;=Table1[[#This Row],[High Tol]]),"Pass","Fail"))</f>
        <v>Fail</v>
      </c>
      <c r="AD763" s="1" t="str">
        <f>IF(AND(Table1[[#This Row],[Spec Type2]]="N/A",Table1[[#This Row],[DUT Adj Read]]="N/A",Table1[[#This Row],[Std Adj Read]]="N/A"),"N/A",IF(Table1[[#This Row],[DUT Adj Read]]="N/A",IF(Table1[[#This Row],[Std Adj Read]]&gt;Table1[[#This Row],[Low Tol]],"Pass","Fail"),IF(Table1[[#This Row],[DUT Adj Read]]&gt;Table1[[#This Row],[Low Tol]],"Pass","Fail")))</f>
        <v>Pass</v>
      </c>
      <c r="AE763" s="1" t="str">
        <f>IF(AND(Table1[[#This Row],[Spec Type2]]="N/A",Table1[[#This Row],[DUT Adj Read]]="N/A",Table1[[#This Row],[Std Adj Read]]="N/A"),"N/A",IF(Table1[[#This Row],[DUT Adj Read]]="N/A",IF(Table1[[#This Row],[Std Adj Read]]&lt;Table1[[#This Row],[High Tol]],"Pass","Fail"),IF(Table1[[#This Row],[DUT Adj Read]]&lt;Table1[[#This Row],[High Tol]],"Pass","Fail")))</f>
        <v>Fail</v>
      </c>
      <c r="AF763" s="1" t="str">
        <f>IF(AND(Table1[[#This Row],[Spec Type2]]="N/A",Table1[[#This Row],[DUT Adj Read]]="N/A",Table1[[#This Row],[Std Adj Read]]="N/A"),"N/A",IF(Table1[[#This Row],[DUT Adj Read]]="N/A",IF(Table1[[#This Row],[Std Adj Read]]&gt;=Table1[[#This Row],[Low Tol]],"Pass","Fail"),IF(Table1[[#This Row],[DUT Adj Read]]&gt;=Table1[[#This Row],[Low Tol]],"Pass","Fail")))</f>
        <v>Pass</v>
      </c>
      <c r="AG763" s="1" t="str">
        <f>IF(AND(Table1[[#This Row],[Spec Type2]]="N/A",Table1[[#This Row],[DUT Adj Read]]="N/A",Table1[[#This Row],[Std Adj Read]]="N/A"),"N/A",IF(Table1[[#This Row],[DUT Adj Read]]="N/A",IF(Table1[[#This Row],[Std Adj Read]]&lt;=Table1[[#This Row],[High Tol]],"Pass","Fail"),IF(Table1[[#This Row],[DUT Adj Read]]&lt;=Table1[[#This Row],[High Tol]],"Pass","Fail")))</f>
        <v>Fail</v>
      </c>
      <c r="AH7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3" s="1" t="b">
        <v>0</v>
      </c>
      <c r="AN763" s="1" t="b">
        <v>0</v>
      </c>
      <c r="AO763" s="1" t="b">
        <v>0</v>
      </c>
    </row>
    <row r="764" spans="1:41" x14ac:dyDescent="0.25">
      <c r="A764" s="10"/>
      <c r="B764" s="10"/>
      <c r="C764" s="10"/>
      <c r="D764" s="10"/>
      <c r="E764" s="10"/>
      <c r="F764" s="10"/>
      <c r="G764" s="10"/>
      <c r="H764" s="10"/>
      <c r="I764" s="1" t="str">
        <f t="shared" si="33"/>
        <v/>
      </c>
      <c r="J764" s="1" t="s">
        <v>35</v>
      </c>
      <c r="K764" s="1" t="str">
        <f t="shared" si="34"/>
        <v/>
      </c>
      <c r="L764" s="1" t="str">
        <f t="shared" si="35"/>
        <v/>
      </c>
      <c r="M764" s="1">
        <f>IF(OR(Table1[[#This Row],[Std Nom]]="",Table1[[#This Row],[Std Read]]=""),0,Table1[[#This Row],[Std Nom]]-Table1[[#This Row],[Std Read]])</f>
        <v>0</v>
      </c>
      <c r="N764" s="1">
        <f>IF(Calculations!$F$5="ACCREDITED 17025 WITH UNCERTAINTIES",$N$10,0)</f>
        <v>0</v>
      </c>
      <c r="O764" s="1" t="str">
        <f>IFERROR(Table1[[#This Row],[Std Nom]]-(_xlfn.XLOOKUP(Table1[[#This Row],[Manufacturer]]&amp;" "&amp;Table1[[#This Row],[Model]],Table13[MFR &amp; MDL],Table13[Tolerance % CW ],"")/100*Table1[[#This Row],[Std Nom]]),"")</f>
        <v/>
      </c>
      <c r="P764" s="1" t="str">
        <f>IFERROR(Table1[[#This Row],[Std Nom]]+(_xlfn.XLOOKUP(Table1[[#This Row],[Manufacturer]]&amp;" "&amp;Table1[[#This Row],[Model]],Table13[MFR &amp; MDL],Table13[Tolerance % CW ],"")/100*Table1[[#This Row],[Std Nom]]),"")</f>
        <v/>
      </c>
      <c r="Q764" s="1" t="e">
        <f>Table1[[#This Row],[High Tol]]-Table1[[#This Row],[Low Tol]]</f>
        <v>#VALUE!</v>
      </c>
      <c r="R764" s="1">
        <f>2*Table1[[#This Row],[Std Error]]</f>
        <v>0</v>
      </c>
      <c r="S764" s="1" t="str">
        <f>IF(Table1[[#This Row],[High Tol]]="","N/A",IFERROR(ABS(Table1[[#This Row],[Tol Span]]/Table1[[#This Row],[Error Span]]),"N/A"))</f>
        <v>N/A</v>
      </c>
      <c r="T764" s="1" t="str">
        <f>IF(OR(Table1[[#This Row],[Low Tol]]="",Table1[[#This Row],[High Tol]]=""),"Needs Analysis",IF(Table1[[#This Row],[Ratio]]&gt;=4,"Not Significant",IF(Table1[[#This Row],[Ratio]]&gt;=2,"Semi-Significant","Significant")))</f>
        <v>Needs Analysis</v>
      </c>
      <c r="W764" s="1">
        <f>IF(Table1[[#This Row],[Cal Type]]&lt;&gt;"ACCREDITED 17025 WITH UNCERTAINTIES",0,"")</f>
        <v>0</v>
      </c>
      <c r="X764" s="1" t="str">
        <f>IF(Table1[[#This Row],[DUT Read]]="","N/A",Table1[[#This Row],[Std Error]]+Table1[[#This Row],[DUT Read]]+Table1[[#This Row],[DUT Ucty]])</f>
        <v>N/A</v>
      </c>
      <c r="Y764" s="1" t="str">
        <f>IF(Table1[[#This Row],[Std Read]]="","N/A",Table1[[#This Row],[Std Read]]+Table1[[#This Row],[Std Ucty]])</f>
        <v>N/A</v>
      </c>
      <c r="Z7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4" s="1" t="str">
        <f>IF(Table1[[#This Row],[Spec Type]]="","N/A",Table1[[#This Row],[Spec Type]])</f>
        <v>±</v>
      </c>
      <c r="AC764" s="1" t="str">
        <f>IF(Table1[[#This Row],[Spec Type2]]="N/A","N/A",IF(AND(Table1[[#This Row],[DUT Adj Read]]&gt;=Table1[[#This Row],[Low Tol]],Table1[[#This Row],[DUT Adj Read]]&lt;=Table1[[#This Row],[High Tol]]),"Pass","Fail"))</f>
        <v>Fail</v>
      </c>
      <c r="AD764" s="1" t="str">
        <f>IF(AND(Table1[[#This Row],[Spec Type2]]="N/A",Table1[[#This Row],[DUT Adj Read]]="N/A",Table1[[#This Row],[Std Adj Read]]="N/A"),"N/A",IF(Table1[[#This Row],[DUT Adj Read]]="N/A",IF(Table1[[#This Row],[Std Adj Read]]&gt;Table1[[#This Row],[Low Tol]],"Pass","Fail"),IF(Table1[[#This Row],[DUT Adj Read]]&gt;Table1[[#This Row],[Low Tol]],"Pass","Fail")))</f>
        <v>Pass</v>
      </c>
      <c r="AE764" s="1" t="str">
        <f>IF(AND(Table1[[#This Row],[Spec Type2]]="N/A",Table1[[#This Row],[DUT Adj Read]]="N/A",Table1[[#This Row],[Std Adj Read]]="N/A"),"N/A",IF(Table1[[#This Row],[DUT Adj Read]]="N/A",IF(Table1[[#This Row],[Std Adj Read]]&lt;Table1[[#This Row],[High Tol]],"Pass","Fail"),IF(Table1[[#This Row],[DUT Adj Read]]&lt;Table1[[#This Row],[High Tol]],"Pass","Fail")))</f>
        <v>Fail</v>
      </c>
      <c r="AF764" s="1" t="str">
        <f>IF(AND(Table1[[#This Row],[Spec Type2]]="N/A",Table1[[#This Row],[DUT Adj Read]]="N/A",Table1[[#This Row],[Std Adj Read]]="N/A"),"N/A",IF(Table1[[#This Row],[DUT Adj Read]]="N/A",IF(Table1[[#This Row],[Std Adj Read]]&gt;=Table1[[#This Row],[Low Tol]],"Pass","Fail"),IF(Table1[[#This Row],[DUT Adj Read]]&gt;=Table1[[#This Row],[Low Tol]],"Pass","Fail")))</f>
        <v>Pass</v>
      </c>
      <c r="AG764" s="1" t="str">
        <f>IF(AND(Table1[[#This Row],[Spec Type2]]="N/A",Table1[[#This Row],[DUT Adj Read]]="N/A",Table1[[#This Row],[Std Adj Read]]="N/A"),"N/A",IF(Table1[[#This Row],[DUT Adj Read]]="N/A",IF(Table1[[#This Row],[Std Adj Read]]&lt;=Table1[[#This Row],[High Tol]],"Pass","Fail"),IF(Table1[[#This Row],[DUT Adj Read]]&lt;=Table1[[#This Row],[High Tol]],"Pass","Fail")))</f>
        <v>Fail</v>
      </c>
      <c r="AH7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4" s="1" t="b">
        <v>0</v>
      </c>
      <c r="AN764" s="1" t="b">
        <v>0</v>
      </c>
      <c r="AO764" s="1" t="b">
        <v>0</v>
      </c>
    </row>
    <row r="765" spans="1:41" x14ac:dyDescent="0.25">
      <c r="A765" s="10"/>
      <c r="B765" s="10"/>
      <c r="C765" s="10"/>
      <c r="D765" s="10"/>
      <c r="E765" s="10"/>
      <c r="F765" s="10"/>
      <c r="G765" s="10"/>
      <c r="H765" s="10"/>
      <c r="I765" s="1" t="str">
        <f t="shared" si="33"/>
        <v/>
      </c>
      <c r="J765" s="1" t="s">
        <v>35</v>
      </c>
      <c r="K765" s="1" t="str">
        <f t="shared" si="34"/>
        <v/>
      </c>
      <c r="L765" s="1" t="str">
        <f t="shared" si="35"/>
        <v/>
      </c>
      <c r="M765" s="1">
        <f>IF(OR(Table1[[#This Row],[Std Nom]]="",Table1[[#This Row],[Std Read]]=""),0,Table1[[#This Row],[Std Nom]]-Table1[[#This Row],[Std Read]])</f>
        <v>0</v>
      </c>
      <c r="N765" s="1">
        <f>IF(Calculations!$F$5="ACCREDITED 17025 WITH UNCERTAINTIES",$N$10,0)</f>
        <v>0</v>
      </c>
      <c r="O765" s="1" t="str">
        <f>IFERROR(Table1[[#This Row],[Std Nom]]-(_xlfn.XLOOKUP(Table1[[#This Row],[Manufacturer]]&amp;" "&amp;Table1[[#This Row],[Model]],Table13[MFR &amp; MDL],Table13[Tolerance % CW ],"")/100*Table1[[#This Row],[Std Nom]]),"")</f>
        <v/>
      </c>
      <c r="P765" s="1" t="str">
        <f>IFERROR(Table1[[#This Row],[Std Nom]]+(_xlfn.XLOOKUP(Table1[[#This Row],[Manufacturer]]&amp;" "&amp;Table1[[#This Row],[Model]],Table13[MFR &amp; MDL],Table13[Tolerance % CW ],"")/100*Table1[[#This Row],[Std Nom]]),"")</f>
        <v/>
      </c>
      <c r="Q765" s="1" t="e">
        <f>Table1[[#This Row],[High Tol]]-Table1[[#This Row],[Low Tol]]</f>
        <v>#VALUE!</v>
      </c>
      <c r="R765" s="1">
        <f>2*Table1[[#This Row],[Std Error]]</f>
        <v>0</v>
      </c>
      <c r="S765" s="1" t="str">
        <f>IF(Table1[[#This Row],[High Tol]]="","N/A",IFERROR(ABS(Table1[[#This Row],[Tol Span]]/Table1[[#This Row],[Error Span]]),"N/A"))</f>
        <v>N/A</v>
      </c>
      <c r="T765" s="1" t="str">
        <f>IF(OR(Table1[[#This Row],[Low Tol]]="",Table1[[#This Row],[High Tol]]=""),"Needs Analysis",IF(Table1[[#This Row],[Ratio]]&gt;=4,"Not Significant",IF(Table1[[#This Row],[Ratio]]&gt;=2,"Semi-Significant","Significant")))</f>
        <v>Needs Analysis</v>
      </c>
      <c r="W765" s="1">
        <f>IF(Table1[[#This Row],[Cal Type]]&lt;&gt;"ACCREDITED 17025 WITH UNCERTAINTIES",0,"")</f>
        <v>0</v>
      </c>
      <c r="X765" s="1" t="str">
        <f>IF(Table1[[#This Row],[DUT Read]]="","N/A",Table1[[#This Row],[Std Error]]+Table1[[#This Row],[DUT Read]]+Table1[[#This Row],[DUT Ucty]])</f>
        <v>N/A</v>
      </c>
      <c r="Y765" s="1" t="str">
        <f>IF(Table1[[#This Row],[Std Read]]="","N/A",Table1[[#This Row],[Std Read]]+Table1[[#This Row],[Std Ucty]])</f>
        <v>N/A</v>
      </c>
      <c r="Z7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5" s="1" t="str">
        <f>IF(Table1[[#This Row],[Spec Type]]="","N/A",Table1[[#This Row],[Spec Type]])</f>
        <v>±</v>
      </c>
      <c r="AC765" s="1" t="str">
        <f>IF(Table1[[#This Row],[Spec Type2]]="N/A","N/A",IF(AND(Table1[[#This Row],[DUT Adj Read]]&gt;=Table1[[#This Row],[Low Tol]],Table1[[#This Row],[DUT Adj Read]]&lt;=Table1[[#This Row],[High Tol]]),"Pass","Fail"))</f>
        <v>Fail</v>
      </c>
      <c r="AD765" s="1" t="str">
        <f>IF(AND(Table1[[#This Row],[Spec Type2]]="N/A",Table1[[#This Row],[DUT Adj Read]]="N/A",Table1[[#This Row],[Std Adj Read]]="N/A"),"N/A",IF(Table1[[#This Row],[DUT Adj Read]]="N/A",IF(Table1[[#This Row],[Std Adj Read]]&gt;Table1[[#This Row],[Low Tol]],"Pass","Fail"),IF(Table1[[#This Row],[DUT Adj Read]]&gt;Table1[[#This Row],[Low Tol]],"Pass","Fail")))</f>
        <v>Pass</v>
      </c>
      <c r="AE765" s="1" t="str">
        <f>IF(AND(Table1[[#This Row],[Spec Type2]]="N/A",Table1[[#This Row],[DUT Adj Read]]="N/A",Table1[[#This Row],[Std Adj Read]]="N/A"),"N/A",IF(Table1[[#This Row],[DUT Adj Read]]="N/A",IF(Table1[[#This Row],[Std Adj Read]]&lt;Table1[[#This Row],[High Tol]],"Pass","Fail"),IF(Table1[[#This Row],[DUT Adj Read]]&lt;Table1[[#This Row],[High Tol]],"Pass","Fail")))</f>
        <v>Fail</v>
      </c>
      <c r="AF765" s="1" t="str">
        <f>IF(AND(Table1[[#This Row],[Spec Type2]]="N/A",Table1[[#This Row],[DUT Adj Read]]="N/A",Table1[[#This Row],[Std Adj Read]]="N/A"),"N/A",IF(Table1[[#This Row],[DUT Adj Read]]="N/A",IF(Table1[[#This Row],[Std Adj Read]]&gt;=Table1[[#This Row],[Low Tol]],"Pass","Fail"),IF(Table1[[#This Row],[DUT Adj Read]]&gt;=Table1[[#This Row],[Low Tol]],"Pass","Fail")))</f>
        <v>Pass</v>
      </c>
      <c r="AG765" s="1" t="str">
        <f>IF(AND(Table1[[#This Row],[Spec Type2]]="N/A",Table1[[#This Row],[DUT Adj Read]]="N/A",Table1[[#This Row],[Std Adj Read]]="N/A"),"N/A",IF(Table1[[#This Row],[DUT Adj Read]]="N/A",IF(Table1[[#This Row],[Std Adj Read]]&lt;=Table1[[#This Row],[High Tol]],"Pass","Fail"),IF(Table1[[#This Row],[DUT Adj Read]]&lt;=Table1[[#This Row],[High Tol]],"Pass","Fail")))</f>
        <v>Fail</v>
      </c>
      <c r="AH7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5" s="1" t="b">
        <v>0</v>
      </c>
      <c r="AN765" s="1" t="b">
        <v>0</v>
      </c>
      <c r="AO765" s="1" t="b">
        <v>0</v>
      </c>
    </row>
    <row r="766" spans="1:41" x14ac:dyDescent="0.25">
      <c r="A766" s="10"/>
      <c r="B766" s="10"/>
      <c r="C766" s="10"/>
      <c r="D766" s="10"/>
      <c r="E766" s="10"/>
      <c r="F766" s="10"/>
      <c r="G766" s="10"/>
      <c r="H766" s="10"/>
      <c r="I766" s="1" t="str">
        <f t="shared" si="33"/>
        <v/>
      </c>
      <c r="J766" s="1" t="s">
        <v>35</v>
      </c>
      <c r="K766" s="1" t="str">
        <f t="shared" si="34"/>
        <v/>
      </c>
      <c r="L766" s="1" t="str">
        <f t="shared" si="35"/>
        <v/>
      </c>
      <c r="M766" s="1">
        <f>IF(OR(Table1[[#This Row],[Std Nom]]="",Table1[[#This Row],[Std Read]]=""),0,Table1[[#This Row],[Std Nom]]-Table1[[#This Row],[Std Read]])</f>
        <v>0</v>
      </c>
      <c r="N766" s="1">
        <f>IF(Calculations!$F$5="ACCREDITED 17025 WITH UNCERTAINTIES",$N$10,0)</f>
        <v>0</v>
      </c>
      <c r="O766" s="1" t="str">
        <f>IFERROR(Table1[[#This Row],[Std Nom]]-(_xlfn.XLOOKUP(Table1[[#This Row],[Manufacturer]]&amp;" "&amp;Table1[[#This Row],[Model]],Table13[MFR &amp; MDL],Table13[Tolerance % CW ],"")/100*Table1[[#This Row],[Std Nom]]),"")</f>
        <v/>
      </c>
      <c r="P766" s="1" t="str">
        <f>IFERROR(Table1[[#This Row],[Std Nom]]+(_xlfn.XLOOKUP(Table1[[#This Row],[Manufacturer]]&amp;" "&amp;Table1[[#This Row],[Model]],Table13[MFR &amp; MDL],Table13[Tolerance % CW ],"")/100*Table1[[#This Row],[Std Nom]]),"")</f>
        <v/>
      </c>
      <c r="Q766" s="1" t="e">
        <f>Table1[[#This Row],[High Tol]]-Table1[[#This Row],[Low Tol]]</f>
        <v>#VALUE!</v>
      </c>
      <c r="R766" s="1">
        <f>2*Table1[[#This Row],[Std Error]]</f>
        <v>0</v>
      </c>
      <c r="S766" s="1" t="str">
        <f>IF(Table1[[#This Row],[High Tol]]="","N/A",IFERROR(ABS(Table1[[#This Row],[Tol Span]]/Table1[[#This Row],[Error Span]]),"N/A"))</f>
        <v>N/A</v>
      </c>
      <c r="T766" s="1" t="str">
        <f>IF(OR(Table1[[#This Row],[Low Tol]]="",Table1[[#This Row],[High Tol]]=""),"Needs Analysis",IF(Table1[[#This Row],[Ratio]]&gt;=4,"Not Significant",IF(Table1[[#This Row],[Ratio]]&gt;=2,"Semi-Significant","Significant")))</f>
        <v>Needs Analysis</v>
      </c>
      <c r="W766" s="1">
        <f>IF(Table1[[#This Row],[Cal Type]]&lt;&gt;"ACCREDITED 17025 WITH UNCERTAINTIES",0,"")</f>
        <v>0</v>
      </c>
      <c r="X766" s="1" t="str">
        <f>IF(Table1[[#This Row],[DUT Read]]="","N/A",Table1[[#This Row],[Std Error]]+Table1[[#This Row],[DUT Read]]+Table1[[#This Row],[DUT Ucty]])</f>
        <v>N/A</v>
      </c>
      <c r="Y766" s="1" t="str">
        <f>IF(Table1[[#This Row],[Std Read]]="","N/A",Table1[[#This Row],[Std Read]]+Table1[[#This Row],[Std Ucty]])</f>
        <v>N/A</v>
      </c>
      <c r="Z7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6" s="1" t="str">
        <f>IF(Table1[[#This Row],[Spec Type]]="","N/A",Table1[[#This Row],[Spec Type]])</f>
        <v>±</v>
      </c>
      <c r="AC766" s="1" t="str">
        <f>IF(Table1[[#This Row],[Spec Type2]]="N/A","N/A",IF(AND(Table1[[#This Row],[DUT Adj Read]]&gt;=Table1[[#This Row],[Low Tol]],Table1[[#This Row],[DUT Adj Read]]&lt;=Table1[[#This Row],[High Tol]]),"Pass","Fail"))</f>
        <v>Fail</v>
      </c>
      <c r="AD766" s="1" t="str">
        <f>IF(AND(Table1[[#This Row],[Spec Type2]]="N/A",Table1[[#This Row],[DUT Adj Read]]="N/A",Table1[[#This Row],[Std Adj Read]]="N/A"),"N/A",IF(Table1[[#This Row],[DUT Adj Read]]="N/A",IF(Table1[[#This Row],[Std Adj Read]]&gt;Table1[[#This Row],[Low Tol]],"Pass","Fail"),IF(Table1[[#This Row],[DUT Adj Read]]&gt;Table1[[#This Row],[Low Tol]],"Pass","Fail")))</f>
        <v>Pass</v>
      </c>
      <c r="AE766" s="1" t="str">
        <f>IF(AND(Table1[[#This Row],[Spec Type2]]="N/A",Table1[[#This Row],[DUT Adj Read]]="N/A",Table1[[#This Row],[Std Adj Read]]="N/A"),"N/A",IF(Table1[[#This Row],[DUT Adj Read]]="N/A",IF(Table1[[#This Row],[Std Adj Read]]&lt;Table1[[#This Row],[High Tol]],"Pass","Fail"),IF(Table1[[#This Row],[DUT Adj Read]]&lt;Table1[[#This Row],[High Tol]],"Pass","Fail")))</f>
        <v>Fail</v>
      </c>
      <c r="AF766" s="1" t="str">
        <f>IF(AND(Table1[[#This Row],[Spec Type2]]="N/A",Table1[[#This Row],[DUT Adj Read]]="N/A",Table1[[#This Row],[Std Adj Read]]="N/A"),"N/A",IF(Table1[[#This Row],[DUT Adj Read]]="N/A",IF(Table1[[#This Row],[Std Adj Read]]&gt;=Table1[[#This Row],[Low Tol]],"Pass","Fail"),IF(Table1[[#This Row],[DUT Adj Read]]&gt;=Table1[[#This Row],[Low Tol]],"Pass","Fail")))</f>
        <v>Pass</v>
      </c>
      <c r="AG766" s="1" t="str">
        <f>IF(AND(Table1[[#This Row],[Spec Type2]]="N/A",Table1[[#This Row],[DUT Adj Read]]="N/A",Table1[[#This Row],[Std Adj Read]]="N/A"),"N/A",IF(Table1[[#This Row],[DUT Adj Read]]="N/A",IF(Table1[[#This Row],[Std Adj Read]]&lt;=Table1[[#This Row],[High Tol]],"Pass","Fail"),IF(Table1[[#This Row],[DUT Adj Read]]&lt;=Table1[[#This Row],[High Tol]],"Pass","Fail")))</f>
        <v>Fail</v>
      </c>
      <c r="AH7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6" s="1" t="b">
        <v>0</v>
      </c>
      <c r="AN766" s="1" t="b">
        <v>0</v>
      </c>
      <c r="AO766" s="1" t="b">
        <v>0</v>
      </c>
    </row>
    <row r="767" spans="1:41" x14ac:dyDescent="0.25">
      <c r="A767" s="10"/>
      <c r="B767" s="10"/>
      <c r="C767" s="10"/>
      <c r="D767" s="10"/>
      <c r="E767" s="10"/>
      <c r="F767" s="10"/>
      <c r="G767" s="10"/>
      <c r="H767" s="10"/>
      <c r="I767" s="1" t="str">
        <f t="shared" si="33"/>
        <v/>
      </c>
      <c r="J767" s="1" t="s">
        <v>35</v>
      </c>
      <c r="K767" s="1" t="str">
        <f t="shared" si="34"/>
        <v/>
      </c>
      <c r="L767" s="1" t="str">
        <f t="shared" si="35"/>
        <v/>
      </c>
      <c r="M767" s="1">
        <f>IF(OR(Table1[[#This Row],[Std Nom]]="",Table1[[#This Row],[Std Read]]=""),0,Table1[[#This Row],[Std Nom]]-Table1[[#This Row],[Std Read]])</f>
        <v>0</v>
      </c>
      <c r="N767" s="1">
        <f>IF(Calculations!$F$5="ACCREDITED 17025 WITH UNCERTAINTIES",$N$10,0)</f>
        <v>0</v>
      </c>
      <c r="O767" s="1" t="str">
        <f>IFERROR(Table1[[#This Row],[Std Nom]]-(_xlfn.XLOOKUP(Table1[[#This Row],[Manufacturer]]&amp;" "&amp;Table1[[#This Row],[Model]],Table13[MFR &amp; MDL],Table13[Tolerance % CW ],"")/100*Table1[[#This Row],[Std Nom]]),"")</f>
        <v/>
      </c>
      <c r="P767" s="1" t="str">
        <f>IFERROR(Table1[[#This Row],[Std Nom]]+(_xlfn.XLOOKUP(Table1[[#This Row],[Manufacturer]]&amp;" "&amp;Table1[[#This Row],[Model]],Table13[MFR &amp; MDL],Table13[Tolerance % CW ],"")/100*Table1[[#This Row],[Std Nom]]),"")</f>
        <v/>
      </c>
      <c r="Q767" s="1" t="e">
        <f>Table1[[#This Row],[High Tol]]-Table1[[#This Row],[Low Tol]]</f>
        <v>#VALUE!</v>
      </c>
      <c r="R767" s="1">
        <f>2*Table1[[#This Row],[Std Error]]</f>
        <v>0</v>
      </c>
      <c r="S767" s="1" t="str">
        <f>IF(Table1[[#This Row],[High Tol]]="","N/A",IFERROR(ABS(Table1[[#This Row],[Tol Span]]/Table1[[#This Row],[Error Span]]),"N/A"))</f>
        <v>N/A</v>
      </c>
      <c r="T767" s="1" t="str">
        <f>IF(OR(Table1[[#This Row],[Low Tol]]="",Table1[[#This Row],[High Tol]]=""),"Needs Analysis",IF(Table1[[#This Row],[Ratio]]&gt;=4,"Not Significant",IF(Table1[[#This Row],[Ratio]]&gt;=2,"Semi-Significant","Significant")))</f>
        <v>Needs Analysis</v>
      </c>
      <c r="W767" s="1">
        <f>IF(Table1[[#This Row],[Cal Type]]&lt;&gt;"ACCREDITED 17025 WITH UNCERTAINTIES",0,"")</f>
        <v>0</v>
      </c>
      <c r="X767" s="1" t="str">
        <f>IF(Table1[[#This Row],[DUT Read]]="","N/A",Table1[[#This Row],[Std Error]]+Table1[[#This Row],[DUT Read]]+Table1[[#This Row],[DUT Ucty]])</f>
        <v>N/A</v>
      </c>
      <c r="Y767" s="1" t="str">
        <f>IF(Table1[[#This Row],[Std Read]]="","N/A",Table1[[#This Row],[Std Read]]+Table1[[#This Row],[Std Ucty]])</f>
        <v>N/A</v>
      </c>
      <c r="Z7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7" s="1" t="str">
        <f>IF(Table1[[#This Row],[Spec Type]]="","N/A",Table1[[#This Row],[Spec Type]])</f>
        <v>±</v>
      </c>
      <c r="AC767" s="1" t="str">
        <f>IF(Table1[[#This Row],[Spec Type2]]="N/A","N/A",IF(AND(Table1[[#This Row],[DUT Adj Read]]&gt;=Table1[[#This Row],[Low Tol]],Table1[[#This Row],[DUT Adj Read]]&lt;=Table1[[#This Row],[High Tol]]),"Pass","Fail"))</f>
        <v>Fail</v>
      </c>
      <c r="AD767" s="1" t="str">
        <f>IF(AND(Table1[[#This Row],[Spec Type2]]="N/A",Table1[[#This Row],[DUT Adj Read]]="N/A",Table1[[#This Row],[Std Adj Read]]="N/A"),"N/A",IF(Table1[[#This Row],[DUT Adj Read]]="N/A",IF(Table1[[#This Row],[Std Adj Read]]&gt;Table1[[#This Row],[Low Tol]],"Pass","Fail"),IF(Table1[[#This Row],[DUT Adj Read]]&gt;Table1[[#This Row],[Low Tol]],"Pass","Fail")))</f>
        <v>Pass</v>
      </c>
      <c r="AE767" s="1" t="str">
        <f>IF(AND(Table1[[#This Row],[Spec Type2]]="N/A",Table1[[#This Row],[DUT Adj Read]]="N/A",Table1[[#This Row],[Std Adj Read]]="N/A"),"N/A",IF(Table1[[#This Row],[DUT Adj Read]]="N/A",IF(Table1[[#This Row],[Std Adj Read]]&lt;Table1[[#This Row],[High Tol]],"Pass","Fail"),IF(Table1[[#This Row],[DUT Adj Read]]&lt;Table1[[#This Row],[High Tol]],"Pass","Fail")))</f>
        <v>Fail</v>
      </c>
      <c r="AF767" s="1" t="str">
        <f>IF(AND(Table1[[#This Row],[Spec Type2]]="N/A",Table1[[#This Row],[DUT Adj Read]]="N/A",Table1[[#This Row],[Std Adj Read]]="N/A"),"N/A",IF(Table1[[#This Row],[DUT Adj Read]]="N/A",IF(Table1[[#This Row],[Std Adj Read]]&gt;=Table1[[#This Row],[Low Tol]],"Pass","Fail"),IF(Table1[[#This Row],[DUT Adj Read]]&gt;=Table1[[#This Row],[Low Tol]],"Pass","Fail")))</f>
        <v>Pass</v>
      </c>
      <c r="AG767" s="1" t="str">
        <f>IF(AND(Table1[[#This Row],[Spec Type2]]="N/A",Table1[[#This Row],[DUT Adj Read]]="N/A",Table1[[#This Row],[Std Adj Read]]="N/A"),"N/A",IF(Table1[[#This Row],[DUT Adj Read]]="N/A",IF(Table1[[#This Row],[Std Adj Read]]&lt;=Table1[[#This Row],[High Tol]],"Pass","Fail"),IF(Table1[[#This Row],[DUT Adj Read]]&lt;=Table1[[#This Row],[High Tol]],"Pass","Fail")))</f>
        <v>Fail</v>
      </c>
      <c r="AH7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7" s="1" t="b">
        <v>0</v>
      </c>
      <c r="AN767" s="1" t="b">
        <v>0</v>
      </c>
      <c r="AO767" s="1" t="b">
        <v>0</v>
      </c>
    </row>
    <row r="768" spans="1:41" x14ac:dyDescent="0.25">
      <c r="A768" s="10"/>
      <c r="B768" s="10"/>
      <c r="C768" s="10"/>
      <c r="D768" s="10"/>
      <c r="E768" s="10"/>
      <c r="F768" s="10"/>
      <c r="G768" s="10"/>
      <c r="H768" s="10"/>
      <c r="I768" s="1" t="str">
        <f t="shared" si="33"/>
        <v/>
      </c>
      <c r="J768" s="1" t="s">
        <v>35</v>
      </c>
      <c r="K768" s="1" t="str">
        <f t="shared" si="34"/>
        <v/>
      </c>
      <c r="L768" s="1" t="str">
        <f t="shared" si="35"/>
        <v/>
      </c>
      <c r="M768" s="1">
        <f>IF(OR(Table1[[#This Row],[Std Nom]]="",Table1[[#This Row],[Std Read]]=""),0,Table1[[#This Row],[Std Nom]]-Table1[[#This Row],[Std Read]])</f>
        <v>0</v>
      </c>
      <c r="N768" s="1">
        <f>IF(Calculations!$F$5="ACCREDITED 17025 WITH UNCERTAINTIES",$N$10,0)</f>
        <v>0</v>
      </c>
      <c r="O768" s="1" t="str">
        <f>IFERROR(Table1[[#This Row],[Std Nom]]-(_xlfn.XLOOKUP(Table1[[#This Row],[Manufacturer]]&amp;" "&amp;Table1[[#This Row],[Model]],Table13[MFR &amp; MDL],Table13[Tolerance % CW ],"")/100*Table1[[#This Row],[Std Nom]]),"")</f>
        <v/>
      </c>
      <c r="P768" s="1" t="str">
        <f>IFERROR(Table1[[#This Row],[Std Nom]]+(_xlfn.XLOOKUP(Table1[[#This Row],[Manufacturer]]&amp;" "&amp;Table1[[#This Row],[Model]],Table13[MFR &amp; MDL],Table13[Tolerance % CW ],"")/100*Table1[[#This Row],[Std Nom]]),"")</f>
        <v/>
      </c>
      <c r="Q768" s="1" t="e">
        <f>Table1[[#This Row],[High Tol]]-Table1[[#This Row],[Low Tol]]</f>
        <v>#VALUE!</v>
      </c>
      <c r="R768" s="1">
        <f>2*Table1[[#This Row],[Std Error]]</f>
        <v>0</v>
      </c>
      <c r="S768" s="1" t="str">
        <f>IF(Table1[[#This Row],[High Tol]]="","N/A",IFERROR(ABS(Table1[[#This Row],[Tol Span]]/Table1[[#This Row],[Error Span]]),"N/A"))</f>
        <v>N/A</v>
      </c>
      <c r="T768" s="1" t="str">
        <f>IF(OR(Table1[[#This Row],[Low Tol]]="",Table1[[#This Row],[High Tol]]=""),"Needs Analysis",IF(Table1[[#This Row],[Ratio]]&gt;=4,"Not Significant",IF(Table1[[#This Row],[Ratio]]&gt;=2,"Semi-Significant","Significant")))</f>
        <v>Needs Analysis</v>
      </c>
      <c r="W768" s="1">
        <f>IF(Table1[[#This Row],[Cal Type]]&lt;&gt;"ACCREDITED 17025 WITH UNCERTAINTIES",0,"")</f>
        <v>0</v>
      </c>
      <c r="X768" s="1" t="str">
        <f>IF(Table1[[#This Row],[DUT Read]]="","N/A",Table1[[#This Row],[Std Error]]+Table1[[#This Row],[DUT Read]]+Table1[[#This Row],[DUT Ucty]])</f>
        <v>N/A</v>
      </c>
      <c r="Y768" s="1" t="str">
        <f>IF(Table1[[#This Row],[Std Read]]="","N/A",Table1[[#This Row],[Std Read]]+Table1[[#This Row],[Std Ucty]])</f>
        <v>N/A</v>
      </c>
      <c r="Z7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8" s="1" t="str">
        <f>IF(Table1[[#This Row],[Spec Type]]="","N/A",Table1[[#This Row],[Spec Type]])</f>
        <v>±</v>
      </c>
      <c r="AC768" s="1" t="str">
        <f>IF(Table1[[#This Row],[Spec Type2]]="N/A","N/A",IF(AND(Table1[[#This Row],[DUT Adj Read]]&gt;=Table1[[#This Row],[Low Tol]],Table1[[#This Row],[DUT Adj Read]]&lt;=Table1[[#This Row],[High Tol]]),"Pass","Fail"))</f>
        <v>Fail</v>
      </c>
      <c r="AD768" s="1" t="str">
        <f>IF(AND(Table1[[#This Row],[Spec Type2]]="N/A",Table1[[#This Row],[DUT Adj Read]]="N/A",Table1[[#This Row],[Std Adj Read]]="N/A"),"N/A",IF(Table1[[#This Row],[DUT Adj Read]]="N/A",IF(Table1[[#This Row],[Std Adj Read]]&gt;Table1[[#This Row],[Low Tol]],"Pass","Fail"),IF(Table1[[#This Row],[DUT Adj Read]]&gt;Table1[[#This Row],[Low Tol]],"Pass","Fail")))</f>
        <v>Pass</v>
      </c>
      <c r="AE768" s="1" t="str">
        <f>IF(AND(Table1[[#This Row],[Spec Type2]]="N/A",Table1[[#This Row],[DUT Adj Read]]="N/A",Table1[[#This Row],[Std Adj Read]]="N/A"),"N/A",IF(Table1[[#This Row],[DUT Adj Read]]="N/A",IF(Table1[[#This Row],[Std Adj Read]]&lt;Table1[[#This Row],[High Tol]],"Pass","Fail"),IF(Table1[[#This Row],[DUT Adj Read]]&lt;Table1[[#This Row],[High Tol]],"Pass","Fail")))</f>
        <v>Fail</v>
      </c>
      <c r="AF768" s="1" t="str">
        <f>IF(AND(Table1[[#This Row],[Spec Type2]]="N/A",Table1[[#This Row],[DUT Adj Read]]="N/A",Table1[[#This Row],[Std Adj Read]]="N/A"),"N/A",IF(Table1[[#This Row],[DUT Adj Read]]="N/A",IF(Table1[[#This Row],[Std Adj Read]]&gt;=Table1[[#This Row],[Low Tol]],"Pass","Fail"),IF(Table1[[#This Row],[DUT Adj Read]]&gt;=Table1[[#This Row],[Low Tol]],"Pass","Fail")))</f>
        <v>Pass</v>
      </c>
      <c r="AG768" s="1" t="str">
        <f>IF(AND(Table1[[#This Row],[Spec Type2]]="N/A",Table1[[#This Row],[DUT Adj Read]]="N/A",Table1[[#This Row],[Std Adj Read]]="N/A"),"N/A",IF(Table1[[#This Row],[DUT Adj Read]]="N/A",IF(Table1[[#This Row],[Std Adj Read]]&lt;=Table1[[#This Row],[High Tol]],"Pass","Fail"),IF(Table1[[#This Row],[DUT Adj Read]]&lt;=Table1[[#This Row],[High Tol]],"Pass","Fail")))</f>
        <v>Fail</v>
      </c>
      <c r="AH7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8" s="1" t="b">
        <v>0</v>
      </c>
      <c r="AN768" s="1" t="b">
        <v>0</v>
      </c>
      <c r="AO768" s="1" t="b">
        <v>0</v>
      </c>
    </row>
    <row r="769" spans="1:41" x14ac:dyDescent="0.25">
      <c r="A769" s="10"/>
      <c r="B769" s="10"/>
      <c r="C769" s="10"/>
      <c r="D769" s="10"/>
      <c r="E769" s="10"/>
      <c r="F769" s="10"/>
      <c r="G769" s="10"/>
      <c r="H769" s="10"/>
      <c r="I769" s="1" t="str">
        <f t="shared" si="33"/>
        <v/>
      </c>
      <c r="J769" s="1" t="s">
        <v>35</v>
      </c>
      <c r="K769" s="1" t="str">
        <f t="shared" si="34"/>
        <v/>
      </c>
      <c r="L769" s="1" t="str">
        <f t="shared" si="35"/>
        <v/>
      </c>
      <c r="M769" s="1">
        <f>IF(OR(Table1[[#This Row],[Std Nom]]="",Table1[[#This Row],[Std Read]]=""),0,Table1[[#This Row],[Std Nom]]-Table1[[#This Row],[Std Read]])</f>
        <v>0</v>
      </c>
      <c r="N769" s="1">
        <f>IF(Calculations!$F$5="ACCREDITED 17025 WITH UNCERTAINTIES",$N$10,0)</f>
        <v>0</v>
      </c>
      <c r="O769" s="1" t="str">
        <f>IFERROR(Table1[[#This Row],[Std Nom]]-(_xlfn.XLOOKUP(Table1[[#This Row],[Manufacturer]]&amp;" "&amp;Table1[[#This Row],[Model]],Table13[MFR &amp; MDL],Table13[Tolerance % CW ],"")/100*Table1[[#This Row],[Std Nom]]),"")</f>
        <v/>
      </c>
      <c r="P769" s="1" t="str">
        <f>IFERROR(Table1[[#This Row],[Std Nom]]+(_xlfn.XLOOKUP(Table1[[#This Row],[Manufacturer]]&amp;" "&amp;Table1[[#This Row],[Model]],Table13[MFR &amp; MDL],Table13[Tolerance % CW ],"")/100*Table1[[#This Row],[Std Nom]]),"")</f>
        <v/>
      </c>
      <c r="Q769" s="1" t="e">
        <f>Table1[[#This Row],[High Tol]]-Table1[[#This Row],[Low Tol]]</f>
        <v>#VALUE!</v>
      </c>
      <c r="R769" s="1">
        <f>2*Table1[[#This Row],[Std Error]]</f>
        <v>0</v>
      </c>
      <c r="S769" s="1" t="str">
        <f>IF(Table1[[#This Row],[High Tol]]="","N/A",IFERROR(ABS(Table1[[#This Row],[Tol Span]]/Table1[[#This Row],[Error Span]]),"N/A"))</f>
        <v>N/A</v>
      </c>
      <c r="T769" s="1" t="str">
        <f>IF(OR(Table1[[#This Row],[Low Tol]]="",Table1[[#This Row],[High Tol]]=""),"Needs Analysis",IF(Table1[[#This Row],[Ratio]]&gt;=4,"Not Significant",IF(Table1[[#This Row],[Ratio]]&gt;=2,"Semi-Significant","Significant")))</f>
        <v>Needs Analysis</v>
      </c>
      <c r="W769" s="1">
        <f>IF(Table1[[#This Row],[Cal Type]]&lt;&gt;"ACCREDITED 17025 WITH UNCERTAINTIES",0,"")</f>
        <v>0</v>
      </c>
      <c r="X769" s="1" t="str">
        <f>IF(Table1[[#This Row],[DUT Read]]="","N/A",Table1[[#This Row],[Std Error]]+Table1[[#This Row],[DUT Read]]+Table1[[#This Row],[DUT Ucty]])</f>
        <v>N/A</v>
      </c>
      <c r="Y769" s="1" t="str">
        <f>IF(Table1[[#This Row],[Std Read]]="","N/A",Table1[[#This Row],[Std Read]]+Table1[[#This Row],[Std Ucty]])</f>
        <v>N/A</v>
      </c>
      <c r="Z7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9" s="1" t="str">
        <f>IF(Table1[[#This Row],[Spec Type]]="","N/A",Table1[[#This Row],[Spec Type]])</f>
        <v>±</v>
      </c>
      <c r="AC769" s="1" t="str">
        <f>IF(Table1[[#This Row],[Spec Type2]]="N/A","N/A",IF(AND(Table1[[#This Row],[DUT Adj Read]]&gt;=Table1[[#This Row],[Low Tol]],Table1[[#This Row],[DUT Adj Read]]&lt;=Table1[[#This Row],[High Tol]]),"Pass","Fail"))</f>
        <v>Fail</v>
      </c>
      <c r="AD769" s="1" t="str">
        <f>IF(AND(Table1[[#This Row],[Spec Type2]]="N/A",Table1[[#This Row],[DUT Adj Read]]="N/A",Table1[[#This Row],[Std Adj Read]]="N/A"),"N/A",IF(Table1[[#This Row],[DUT Adj Read]]="N/A",IF(Table1[[#This Row],[Std Adj Read]]&gt;Table1[[#This Row],[Low Tol]],"Pass","Fail"),IF(Table1[[#This Row],[DUT Adj Read]]&gt;Table1[[#This Row],[Low Tol]],"Pass","Fail")))</f>
        <v>Pass</v>
      </c>
      <c r="AE769" s="1" t="str">
        <f>IF(AND(Table1[[#This Row],[Spec Type2]]="N/A",Table1[[#This Row],[DUT Adj Read]]="N/A",Table1[[#This Row],[Std Adj Read]]="N/A"),"N/A",IF(Table1[[#This Row],[DUT Adj Read]]="N/A",IF(Table1[[#This Row],[Std Adj Read]]&lt;Table1[[#This Row],[High Tol]],"Pass","Fail"),IF(Table1[[#This Row],[DUT Adj Read]]&lt;Table1[[#This Row],[High Tol]],"Pass","Fail")))</f>
        <v>Fail</v>
      </c>
      <c r="AF769" s="1" t="str">
        <f>IF(AND(Table1[[#This Row],[Spec Type2]]="N/A",Table1[[#This Row],[DUT Adj Read]]="N/A",Table1[[#This Row],[Std Adj Read]]="N/A"),"N/A",IF(Table1[[#This Row],[DUT Adj Read]]="N/A",IF(Table1[[#This Row],[Std Adj Read]]&gt;=Table1[[#This Row],[Low Tol]],"Pass","Fail"),IF(Table1[[#This Row],[DUT Adj Read]]&gt;=Table1[[#This Row],[Low Tol]],"Pass","Fail")))</f>
        <v>Pass</v>
      </c>
      <c r="AG769" s="1" t="str">
        <f>IF(AND(Table1[[#This Row],[Spec Type2]]="N/A",Table1[[#This Row],[DUT Adj Read]]="N/A",Table1[[#This Row],[Std Adj Read]]="N/A"),"N/A",IF(Table1[[#This Row],[DUT Adj Read]]="N/A",IF(Table1[[#This Row],[Std Adj Read]]&lt;=Table1[[#This Row],[High Tol]],"Pass","Fail"),IF(Table1[[#This Row],[DUT Adj Read]]&lt;=Table1[[#This Row],[High Tol]],"Pass","Fail")))</f>
        <v>Fail</v>
      </c>
      <c r="AH7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9" s="1" t="b">
        <v>0</v>
      </c>
      <c r="AN769" s="1" t="b">
        <v>0</v>
      </c>
      <c r="AO769" s="1" t="b">
        <v>0</v>
      </c>
    </row>
    <row r="770" spans="1:41" x14ac:dyDescent="0.25">
      <c r="A770" s="10"/>
      <c r="B770" s="10"/>
      <c r="C770" s="10"/>
      <c r="D770" s="10"/>
      <c r="E770" s="10"/>
      <c r="F770" s="10"/>
      <c r="G770" s="10"/>
      <c r="H770" s="10"/>
      <c r="I770" s="1" t="str">
        <f t="shared" si="33"/>
        <v/>
      </c>
      <c r="J770" s="1" t="s">
        <v>35</v>
      </c>
      <c r="K770" s="1" t="str">
        <f t="shared" si="34"/>
        <v/>
      </c>
      <c r="L770" s="1" t="str">
        <f t="shared" si="35"/>
        <v/>
      </c>
      <c r="M770" s="1">
        <f>IF(OR(Table1[[#This Row],[Std Nom]]="",Table1[[#This Row],[Std Read]]=""),0,Table1[[#This Row],[Std Nom]]-Table1[[#This Row],[Std Read]])</f>
        <v>0</v>
      </c>
      <c r="N770" s="1">
        <f>IF(Calculations!$F$5="ACCREDITED 17025 WITH UNCERTAINTIES",$N$10,0)</f>
        <v>0</v>
      </c>
      <c r="O770" s="1" t="str">
        <f>IFERROR(Table1[[#This Row],[Std Nom]]-(_xlfn.XLOOKUP(Table1[[#This Row],[Manufacturer]]&amp;" "&amp;Table1[[#This Row],[Model]],Table13[MFR &amp; MDL],Table13[Tolerance % CW ],"")/100*Table1[[#This Row],[Std Nom]]),"")</f>
        <v/>
      </c>
      <c r="P770" s="1" t="str">
        <f>IFERROR(Table1[[#This Row],[Std Nom]]+(_xlfn.XLOOKUP(Table1[[#This Row],[Manufacturer]]&amp;" "&amp;Table1[[#This Row],[Model]],Table13[MFR &amp; MDL],Table13[Tolerance % CW ],"")/100*Table1[[#This Row],[Std Nom]]),"")</f>
        <v/>
      </c>
      <c r="Q770" s="1" t="e">
        <f>Table1[[#This Row],[High Tol]]-Table1[[#This Row],[Low Tol]]</f>
        <v>#VALUE!</v>
      </c>
      <c r="R770" s="1">
        <f>2*Table1[[#This Row],[Std Error]]</f>
        <v>0</v>
      </c>
      <c r="S770" s="1" t="str">
        <f>IF(Table1[[#This Row],[High Tol]]="","N/A",IFERROR(ABS(Table1[[#This Row],[Tol Span]]/Table1[[#This Row],[Error Span]]),"N/A"))</f>
        <v>N/A</v>
      </c>
      <c r="T770" s="1" t="str">
        <f>IF(OR(Table1[[#This Row],[Low Tol]]="",Table1[[#This Row],[High Tol]]=""),"Needs Analysis",IF(Table1[[#This Row],[Ratio]]&gt;=4,"Not Significant",IF(Table1[[#This Row],[Ratio]]&gt;=2,"Semi-Significant","Significant")))</f>
        <v>Needs Analysis</v>
      </c>
      <c r="W770" s="1">
        <f>IF(Table1[[#This Row],[Cal Type]]&lt;&gt;"ACCREDITED 17025 WITH UNCERTAINTIES",0,"")</f>
        <v>0</v>
      </c>
      <c r="X770" s="1" t="str">
        <f>IF(Table1[[#This Row],[DUT Read]]="","N/A",Table1[[#This Row],[Std Error]]+Table1[[#This Row],[DUT Read]]+Table1[[#This Row],[DUT Ucty]])</f>
        <v>N/A</v>
      </c>
      <c r="Y770" s="1" t="str">
        <f>IF(Table1[[#This Row],[Std Read]]="","N/A",Table1[[#This Row],[Std Read]]+Table1[[#This Row],[Std Ucty]])</f>
        <v>N/A</v>
      </c>
      <c r="Z7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0" s="1" t="str">
        <f>IF(Table1[[#This Row],[Spec Type]]="","N/A",Table1[[#This Row],[Spec Type]])</f>
        <v>±</v>
      </c>
      <c r="AC770" s="1" t="str">
        <f>IF(Table1[[#This Row],[Spec Type2]]="N/A","N/A",IF(AND(Table1[[#This Row],[DUT Adj Read]]&gt;=Table1[[#This Row],[Low Tol]],Table1[[#This Row],[DUT Adj Read]]&lt;=Table1[[#This Row],[High Tol]]),"Pass","Fail"))</f>
        <v>Fail</v>
      </c>
      <c r="AD770" s="1" t="str">
        <f>IF(AND(Table1[[#This Row],[Spec Type2]]="N/A",Table1[[#This Row],[DUT Adj Read]]="N/A",Table1[[#This Row],[Std Adj Read]]="N/A"),"N/A",IF(Table1[[#This Row],[DUT Adj Read]]="N/A",IF(Table1[[#This Row],[Std Adj Read]]&gt;Table1[[#This Row],[Low Tol]],"Pass","Fail"),IF(Table1[[#This Row],[DUT Adj Read]]&gt;Table1[[#This Row],[Low Tol]],"Pass","Fail")))</f>
        <v>Pass</v>
      </c>
      <c r="AE770" s="1" t="str">
        <f>IF(AND(Table1[[#This Row],[Spec Type2]]="N/A",Table1[[#This Row],[DUT Adj Read]]="N/A",Table1[[#This Row],[Std Adj Read]]="N/A"),"N/A",IF(Table1[[#This Row],[DUT Adj Read]]="N/A",IF(Table1[[#This Row],[Std Adj Read]]&lt;Table1[[#This Row],[High Tol]],"Pass","Fail"),IF(Table1[[#This Row],[DUT Adj Read]]&lt;Table1[[#This Row],[High Tol]],"Pass","Fail")))</f>
        <v>Fail</v>
      </c>
      <c r="AF770" s="1" t="str">
        <f>IF(AND(Table1[[#This Row],[Spec Type2]]="N/A",Table1[[#This Row],[DUT Adj Read]]="N/A",Table1[[#This Row],[Std Adj Read]]="N/A"),"N/A",IF(Table1[[#This Row],[DUT Adj Read]]="N/A",IF(Table1[[#This Row],[Std Adj Read]]&gt;=Table1[[#This Row],[Low Tol]],"Pass","Fail"),IF(Table1[[#This Row],[DUT Adj Read]]&gt;=Table1[[#This Row],[Low Tol]],"Pass","Fail")))</f>
        <v>Pass</v>
      </c>
      <c r="AG770" s="1" t="str">
        <f>IF(AND(Table1[[#This Row],[Spec Type2]]="N/A",Table1[[#This Row],[DUT Adj Read]]="N/A",Table1[[#This Row],[Std Adj Read]]="N/A"),"N/A",IF(Table1[[#This Row],[DUT Adj Read]]="N/A",IF(Table1[[#This Row],[Std Adj Read]]&lt;=Table1[[#This Row],[High Tol]],"Pass","Fail"),IF(Table1[[#This Row],[DUT Adj Read]]&lt;=Table1[[#This Row],[High Tol]],"Pass","Fail")))</f>
        <v>Fail</v>
      </c>
      <c r="AH7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0" s="1" t="b">
        <v>0</v>
      </c>
      <c r="AN770" s="1" t="b">
        <v>0</v>
      </c>
      <c r="AO770" s="1" t="b">
        <v>0</v>
      </c>
    </row>
    <row r="771" spans="1:41" x14ac:dyDescent="0.25">
      <c r="A771" s="10"/>
      <c r="B771" s="10"/>
      <c r="C771" s="10"/>
      <c r="D771" s="10"/>
      <c r="E771" s="10"/>
      <c r="F771" s="10"/>
      <c r="G771" s="10"/>
      <c r="H771" s="10"/>
      <c r="I771" s="1" t="str">
        <f t="shared" si="33"/>
        <v/>
      </c>
      <c r="J771" s="1" t="s">
        <v>35</v>
      </c>
      <c r="K771" s="1" t="str">
        <f t="shared" si="34"/>
        <v/>
      </c>
      <c r="L771" s="1" t="str">
        <f t="shared" si="35"/>
        <v/>
      </c>
      <c r="M771" s="1">
        <f>IF(OR(Table1[[#This Row],[Std Nom]]="",Table1[[#This Row],[Std Read]]=""),0,Table1[[#This Row],[Std Nom]]-Table1[[#This Row],[Std Read]])</f>
        <v>0</v>
      </c>
      <c r="N771" s="1">
        <f>IF(Calculations!$F$5="ACCREDITED 17025 WITH UNCERTAINTIES",$N$10,0)</f>
        <v>0</v>
      </c>
      <c r="O771" s="1" t="str">
        <f>IFERROR(Table1[[#This Row],[Std Nom]]-(_xlfn.XLOOKUP(Table1[[#This Row],[Manufacturer]]&amp;" "&amp;Table1[[#This Row],[Model]],Table13[MFR &amp; MDL],Table13[Tolerance % CW ],"")/100*Table1[[#This Row],[Std Nom]]),"")</f>
        <v/>
      </c>
      <c r="P771" s="1" t="str">
        <f>IFERROR(Table1[[#This Row],[Std Nom]]+(_xlfn.XLOOKUP(Table1[[#This Row],[Manufacturer]]&amp;" "&amp;Table1[[#This Row],[Model]],Table13[MFR &amp; MDL],Table13[Tolerance % CW ],"")/100*Table1[[#This Row],[Std Nom]]),"")</f>
        <v/>
      </c>
      <c r="Q771" s="1" t="e">
        <f>Table1[[#This Row],[High Tol]]-Table1[[#This Row],[Low Tol]]</f>
        <v>#VALUE!</v>
      </c>
      <c r="R771" s="1">
        <f>2*Table1[[#This Row],[Std Error]]</f>
        <v>0</v>
      </c>
      <c r="S771" s="1" t="str">
        <f>IF(Table1[[#This Row],[High Tol]]="","N/A",IFERROR(ABS(Table1[[#This Row],[Tol Span]]/Table1[[#This Row],[Error Span]]),"N/A"))</f>
        <v>N/A</v>
      </c>
      <c r="T771" s="1" t="str">
        <f>IF(OR(Table1[[#This Row],[Low Tol]]="",Table1[[#This Row],[High Tol]]=""),"Needs Analysis",IF(Table1[[#This Row],[Ratio]]&gt;=4,"Not Significant",IF(Table1[[#This Row],[Ratio]]&gt;=2,"Semi-Significant","Significant")))</f>
        <v>Needs Analysis</v>
      </c>
      <c r="W771" s="1">
        <f>IF(Table1[[#This Row],[Cal Type]]&lt;&gt;"ACCREDITED 17025 WITH UNCERTAINTIES",0,"")</f>
        <v>0</v>
      </c>
      <c r="X771" s="1" t="str">
        <f>IF(Table1[[#This Row],[DUT Read]]="","N/A",Table1[[#This Row],[Std Error]]+Table1[[#This Row],[DUT Read]]+Table1[[#This Row],[DUT Ucty]])</f>
        <v>N/A</v>
      </c>
      <c r="Y771" s="1" t="str">
        <f>IF(Table1[[#This Row],[Std Read]]="","N/A",Table1[[#This Row],[Std Read]]+Table1[[#This Row],[Std Ucty]])</f>
        <v>N/A</v>
      </c>
      <c r="Z7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1" s="1" t="str">
        <f>IF(Table1[[#This Row],[Spec Type]]="","N/A",Table1[[#This Row],[Spec Type]])</f>
        <v>±</v>
      </c>
      <c r="AC771" s="1" t="str">
        <f>IF(Table1[[#This Row],[Spec Type2]]="N/A","N/A",IF(AND(Table1[[#This Row],[DUT Adj Read]]&gt;=Table1[[#This Row],[Low Tol]],Table1[[#This Row],[DUT Adj Read]]&lt;=Table1[[#This Row],[High Tol]]),"Pass","Fail"))</f>
        <v>Fail</v>
      </c>
      <c r="AD771" s="1" t="str">
        <f>IF(AND(Table1[[#This Row],[Spec Type2]]="N/A",Table1[[#This Row],[DUT Adj Read]]="N/A",Table1[[#This Row],[Std Adj Read]]="N/A"),"N/A",IF(Table1[[#This Row],[DUT Adj Read]]="N/A",IF(Table1[[#This Row],[Std Adj Read]]&gt;Table1[[#This Row],[Low Tol]],"Pass","Fail"),IF(Table1[[#This Row],[DUT Adj Read]]&gt;Table1[[#This Row],[Low Tol]],"Pass","Fail")))</f>
        <v>Pass</v>
      </c>
      <c r="AE771" s="1" t="str">
        <f>IF(AND(Table1[[#This Row],[Spec Type2]]="N/A",Table1[[#This Row],[DUT Adj Read]]="N/A",Table1[[#This Row],[Std Adj Read]]="N/A"),"N/A",IF(Table1[[#This Row],[DUT Adj Read]]="N/A",IF(Table1[[#This Row],[Std Adj Read]]&lt;Table1[[#This Row],[High Tol]],"Pass","Fail"),IF(Table1[[#This Row],[DUT Adj Read]]&lt;Table1[[#This Row],[High Tol]],"Pass","Fail")))</f>
        <v>Fail</v>
      </c>
      <c r="AF771" s="1" t="str">
        <f>IF(AND(Table1[[#This Row],[Spec Type2]]="N/A",Table1[[#This Row],[DUT Adj Read]]="N/A",Table1[[#This Row],[Std Adj Read]]="N/A"),"N/A",IF(Table1[[#This Row],[DUT Adj Read]]="N/A",IF(Table1[[#This Row],[Std Adj Read]]&gt;=Table1[[#This Row],[Low Tol]],"Pass","Fail"),IF(Table1[[#This Row],[DUT Adj Read]]&gt;=Table1[[#This Row],[Low Tol]],"Pass","Fail")))</f>
        <v>Pass</v>
      </c>
      <c r="AG771" s="1" t="str">
        <f>IF(AND(Table1[[#This Row],[Spec Type2]]="N/A",Table1[[#This Row],[DUT Adj Read]]="N/A",Table1[[#This Row],[Std Adj Read]]="N/A"),"N/A",IF(Table1[[#This Row],[DUT Adj Read]]="N/A",IF(Table1[[#This Row],[Std Adj Read]]&lt;=Table1[[#This Row],[High Tol]],"Pass","Fail"),IF(Table1[[#This Row],[DUT Adj Read]]&lt;=Table1[[#This Row],[High Tol]],"Pass","Fail")))</f>
        <v>Fail</v>
      </c>
      <c r="AH7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1" s="1" t="b">
        <v>0</v>
      </c>
      <c r="AN771" s="1" t="b">
        <v>0</v>
      </c>
      <c r="AO771" s="1" t="b">
        <v>0</v>
      </c>
    </row>
    <row r="772" spans="1:41" x14ac:dyDescent="0.25">
      <c r="A772" s="10"/>
      <c r="B772" s="10"/>
      <c r="C772" s="10"/>
      <c r="D772" s="10"/>
      <c r="E772" s="10"/>
      <c r="F772" s="10"/>
      <c r="G772" s="10"/>
      <c r="H772" s="10"/>
      <c r="I772" s="1" t="str">
        <f t="shared" si="33"/>
        <v/>
      </c>
      <c r="J772" s="1" t="s">
        <v>35</v>
      </c>
      <c r="K772" s="1" t="str">
        <f t="shared" si="34"/>
        <v/>
      </c>
      <c r="L772" s="1" t="str">
        <f t="shared" si="35"/>
        <v/>
      </c>
      <c r="M772" s="1">
        <f>IF(OR(Table1[[#This Row],[Std Nom]]="",Table1[[#This Row],[Std Read]]=""),0,Table1[[#This Row],[Std Nom]]-Table1[[#This Row],[Std Read]])</f>
        <v>0</v>
      </c>
      <c r="N772" s="1">
        <f>IF(Calculations!$F$5="ACCREDITED 17025 WITH UNCERTAINTIES",$N$10,0)</f>
        <v>0</v>
      </c>
      <c r="O772" s="1" t="str">
        <f>IFERROR(Table1[[#This Row],[Std Nom]]-(_xlfn.XLOOKUP(Table1[[#This Row],[Manufacturer]]&amp;" "&amp;Table1[[#This Row],[Model]],Table13[MFR &amp; MDL],Table13[Tolerance % CW ],"")/100*Table1[[#This Row],[Std Nom]]),"")</f>
        <v/>
      </c>
      <c r="P772" s="1" t="str">
        <f>IFERROR(Table1[[#This Row],[Std Nom]]+(_xlfn.XLOOKUP(Table1[[#This Row],[Manufacturer]]&amp;" "&amp;Table1[[#This Row],[Model]],Table13[MFR &amp; MDL],Table13[Tolerance % CW ],"")/100*Table1[[#This Row],[Std Nom]]),"")</f>
        <v/>
      </c>
      <c r="Q772" s="1" t="e">
        <f>Table1[[#This Row],[High Tol]]-Table1[[#This Row],[Low Tol]]</f>
        <v>#VALUE!</v>
      </c>
      <c r="R772" s="1">
        <f>2*Table1[[#This Row],[Std Error]]</f>
        <v>0</v>
      </c>
      <c r="S772" s="1" t="str">
        <f>IF(Table1[[#This Row],[High Tol]]="","N/A",IFERROR(ABS(Table1[[#This Row],[Tol Span]]/Table1[[#This Row],[Error Span]]),"N/A"))</f>
        <v>N/A</v>
      </c>
      <c r="T772" s="1" t="str">
        <f>IF(OR(Table1[[#This Row],[Low Tol]]="",Table1[[#This Row],[High Tol]]=""),"Needs Analysis",IF(Table1[[#This Row],[Ratio]]&gt;=4,"Not Significant",IF(Table1[[#This Row],[Ratio]]&gt;=2,"Semi-Significant","Significant")))</f>
        <v>Needs Analysis</v>
      </c>
      <c r="W772" s="1">
        <f>IF(Table1[[#This Row],[Cal Type]]&lt;&gt;"ACCREDITED 17025 WITH UNCERTAINTIES",0,"")</f>
        <v>0</v>
      </c>
      <c r="X772" s="1" t="str">
        <f>IF(Table1[[#This Row],[DUT Read]]="","N/A",Table1[[#This Row],[Std Error]]+Table1[[#This Row],[DUT Read]]+Table1[[#This Row],[DUT Ucty]])</f>
        <v>N/A</v>
      </c>
      <c r="Y772" s="1" t="str">
        <f>IF(Table1[[#This Row],[Std Read]]="","N/A",Table1[[#This Row],[Std Read]]+Table1[[#This Row],[Std Ucty]])</f>
        <v>N/A</v>
      </c>
      <c r="Z7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2" s="1" t="str">
        <f>IF(Table1[[#This Row],[Spec Type]]="","N/A",Table1[[#This Row],[Spec Type]])</f>
        <v>±</v>
      </c>
      <c r="AC772" s="1" t="str">
        <f>IF(Table1[[#This Row],[Spec Type2]]="N/A","N/A",IF(AND(Table1[[#This Row],[DUT Adj Read]]&gt;=Table1[[#This Row],[Low Tol]],Table1[[#This Row],[DUT Adj Read]]&lt;=Table1[[#This Row],[High Tol]]),"Pass","Fail"))</f>
        <v>Fail</v>
      </c>
      <c r="AD772" s="1" t="str">
        <f>IF(AND(Table1[[#This Row],[Spec Type2]]="N/A",Table1[[#This Row],[DUT Adj Read]]="N/A",Table1[[#This Row],[Std Adj Read]]="N/A"),"N/A",IF(Table1[[#This Row],[DUT Adj Read]]="N/A",IF(Table1[[#This Row],[Std Adj Read]]&gt;Table1[[#This Row],[Low Tol]],"Pass","Fail"),IF(Table1[[#This Row],[DUT Adj Read]]&gt;Table1[[#This Row],[Low Tol]],"Pass","Fail")))</f>
        <v>Pass</v>
      </c>
      <c r="AE772" s="1" t="str">
        <f>IF(AND(Table1[[#This Row],[Spec Type2]]="N/A",Table1[[#This Row],[DUT Adj Read]]="N/A",Table1[[#This Row],[Std Adj Read]]="N/A"),"N/A",IF(Table1[[#This Row],[DUT Adj Read]]="N/A",IF(Table1[[#This Row],[Std Adj Read]]&lt;Table1[[#This Row],[High Tol]],"Pass","Fail"),IF(Table1[[#This Row],[DUT Adj Read]]&lt;Table1[[#This Row],[High Tol]],"Pass","Fail")))</f>
        <v>Fail</v>
      </c>
      <c r="AF772" s="1" t="str">
        <f>IF(AND(Table1[[#This Row],[Spec Type2]]="N/A",Table1[[#This Row],[DUT Adj Read]]="N/A",Table1[[#This Row],[Std Adj Read]]="N/A"),"N/A",IF(Table1[[#This Row],[DUT Adj Read]]="N/A",IF(Table1[[#This Row],[Std Adj Read]]&gt;=Table1[[#This Row],[Low Tol]],"Pass","Fail"),IF(Table1[[#This Row],[DUT Adj Read]]&gt;=Table1[[#This Row],[Low Tol]],"Pass","Fail")))</f>
        <v>Pass</v>
      </c>
      <c r="AG772" s="1" t="str">
        <f>IF(AND(Table1[[#This Row],[Spec Type2]]="N/A",Table1[[#This Row],[DUT Adj Read]]="N/A",Table1[[#This Row],[Std Adj Read]]="N/A"),"N/A",IF(Table1[[#This Row],[DUT Adj Read]]="N/A",IF(Table1[[#This Row],[Std Adj Read]]&lt;=Table1[[#This Row],[High Tol]],"Pass","Fail"),IF(Table1[[#This Row],[DUT Adj Read]]&lt;=Table1[[#This Row],[High Tol]],"Pass","Fail")))</f>
        <v>Fail</v>
      </c>
      <c r="AH7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2" s="1" t="b">
        <v>0</v>
      </c>
      <c r="AN772" s="1" t="b">
        <v>0</v>
      </c>
      <c r="AO772" s="1" t="b">
        <v>0</v>
      </c>
    </row>
    <row r="773" spans="1:41" x14ac:dyDescent="0.25">
      <c r="A773" s="10"/>
      <c r="B773" s="10"/>
      <c r="C773" s="10"/>
      <c r="D773" s="10"/>
      <c r="E773" s="10"/>
      <c r="F773" s="10"/>
      <c r="G773" s="10"/>
      <c r="H773" s="10"/>
      <c r="I773" s="1" t="str">
        <f t="shared" si="33"/>
        <v/>
      </c>
      <c r="J773" s="1" t="s">
        <v>35</v>
      </c>
      <c r="K773" s="1" t="str">
        <f t="shared" si="34"/>
        <v/>
      </c>
      <c r="L773" s="1" t="str">
        <f t="shared" si="35"/>
        <v/>
      </c>
      <c r="M773" s="1">
        <f>IF(OR(Table1[[#This Row],[Std Nom]]="",Table1[[#This Row],[Std Read]]=""),0,Table1[[#This Row],[Std Nom]]-Table1[[#This Row],[Std Read]])</f>
        <v>0</v>
      </c>
      <c r="N773" s="1">
        <f>IF(Calculations!$F$5="ACCREDITED 17025 WITH UNCERTAINTIES",$N$10,0)</f>
        <v>0</v>
      </c>
      <c r="O773" s="1" t="str">
        <f>IFERROR(Table1[[#This Row],[Std Nom]]-(_xlfn.XLOOKUP(Table1[[#This Row],[Manufacturer]]&amp;" "&amp;Table1[[#This Row],[Model]],Table13[MFR &amp; MDL],Table13[Tolerance % CW ],"")/100*Table1[[#This Row],[Std Nom]]),"")</f>
        <v/>
      </c>
      <c r="P773" s="1" t="str">
        <f>IFERROR(Table1[[#This Row],[Std Nom]]+(_xlfn.XLOOKUP(Table1[[#This Row],[Manufacturer]]&amp;" "&amp;Table1[[#This Row],[Model]],Table13[MFR &amp; MDL],Table13[Tolerance % CW ],"")/100*Table1[[#This Row],[Std Nom]]),"")</f>
        <v/>
      </c>
      <c r="Q773" s="1" t="e">
        <f>Table1[[#This Row],[High Tol]]-Table1[[#This Row],[Low Tol]]</f>
        <v>#VALUE!</v>
      </c>
      <c r="R773" s="1">
        <f>2*Table1[[#This Row],[Std Error]]</f>
        <v>0</v>
      </c>
      <c r="S773" s="1" t="str">
        <f>IF(Table1[[#This Row],[High Tol]]="","N/A",IFERROR(ABS(Table1[[#This Row],[Tol Span]]/Table1[[#This Row],[Error Span]]),"N/A"))</f>
        <v>N/A</v>
      </c>
      <c r="T773" s="1" t="str">
        <f>IF(OR(Table1[[#This Row],[Low Tol]]="",Table1[[#This Row],[High Tol]]=""),"Needs Analysis",IF(Table1[[#This Row],[Ratio]]&gt;=4,"Not Significant",IF(Table1[[#This Row],[Ratio]]&gt;=2,"Semi-Significant","Significant")))</f>
        <v>Needs Analysis</v>
      </c>
      <c r="W773" s="1">
        <f>IF(Table1[[#This Row],[Cal Type]]&lt;&gt;"ACCREDITED 17025 WITH UNCERTAINTIES",0,"")</f>
        <v>0</v>
      </c>
      <c r="X773" s="1" t="str">
        <f>IF(Table1[[#This Row],[DUT Read]]="","N/A",Table1[[#This Row],[Std Error]]+Table1[[#This Row],[DUT Read]]+Table1[[#This Row],[DUT Ucty]])</f>
        <v>N/A</v>
      </c>
      <c r="Y773" s="1" t="str">
        <f>IF(Table1[[#This Row],[Std Read]]="","N/A",Table1[[#This Row],[Std Read]]+Table1[[#This Row],[Std Ucty]])</f>
        <v>N/A</v>
      </c>
      <c r="Z7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3" s="1" t="str">
        <f>IF(Table1[[#This Row],[Spec Type]]="","N/A",Table1[[#This Row],[Spec Type]])</f>
        <v>±</v>
      </c>
      <c r="AC773" s="1" t="str">
        <f>IF(Table1[[#This Row],[Spec Type2]]="N/A","N/A",IF(AND(Table1[[#This Row],[DUT Adj Read]]&gt;=Table1[[#This Row],[Low Tol]],Table1[[#This Row],[DUT Adj Read]]&lt;=Table1[[#This Row],[High Tol]]),"Pass","Fail"))</f>
        <v>Fail</v>
      </c>
      <c r="AD773" s="1" t="str">
        <f>IF(AND(Table1[[#This Row],[Spec Type2]]="N/A",Table1[[#This Row],[DUT Adj Read]]="N/A",Table1[[#This Row],[Std Adj Read]]="N/A"),"N/A",IF(Table1[[#This Row],[DUT Adj Read]]="N/A",IF(Table1[[#This Row],[Std Adj Read]]&gt;Table1[[#This Row],[Low Tol]],"Pass","Fail"),IF(Table1[[#This Row],[DUT Adj Read]]&gt;Table1[[#This Row],[Low Tol]],"Pass","Fail")))</f>
        <v>Pass</v>
      </c>
      <c r="AE773" s="1" t="str">
        <f>IF(AND(Table1[[#This Row],[Spec Type2]]="N/A",Table1[[#This Row],[DUT Adj Read]]="N/A",Table1[[#This Row],[Std Adj Read]]="N/A"),"N/A",IF(Table1[[#This Row],[DUT Adj Read]]="N/A",IF(Table1[[#This Row],[Std Adj Read]]&lt;Table1[[#This Row],[High Tol]],"Pass","Fail"),IF(Table1[[#This Row],[DUT Adj Read]]&lt;Table1[[#This Row],[High Tol]],"Pass","Fail")))</f>
        <v>Fail</v>
      </c>
      <c r="AF773" s="1" t="str">
        <f>IF(AND(Table1[[#This Row],[Spec Type2]]="N/A",Table1[[#This Row],[DUT Adj Read]]="N/A",Table1[[#This Row],[Std Adj Read]]="N/A"),"N/A",IF(Table1[[#This Row],[DUT Adj Read]]="N/A",IF(Table1[[#This Row],[Std Adj Read]]&gt;=Table1[[#This Row],[Low Tol]],"Pass","Fail"),IF(Table1[[#This Row],[DUT Adj Read]]&gt;=Table1[[#This Row],[Low Tol]],"Pass","Fail")))</f>
        <v>Pass</v>
      </c>
      <c r="AG773" s="1" t="str">
        <f>IF(AND(Table1[[#This Row],[Spec Type2]]="N/A",Table1[[#This Row],[DUT Adj Read]]="N/A",Table1[[#This Row],[Std Adj Read]]="N/A"),"N/A",IF(Table1[[#This Row],[DUT Adj Read]]="N/A",IF(Table1[[#This Row],[Std Adj Read]]&lt;=Table1[[#This Row],[High Tol]],"Pass","Fail"),IF(Table1[[#This Row],[DUT Adj Read]]&lt;=Table1[[#This Row],[High Tol]],"Pass","Fail")))</f>
        <v>Fail</v>
      </c>
      <c r="AH7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3" s="1" t="b">
        <v>0</v>
      </c>
      <c r="AN773" s="1" t="b">
        <v>0</v>
      </c>
      <c r="AO773" s="1" t="b">
        <v>0</v>
      </c>
    </row>
    <row r="774" spans="1:41" x14ac:dyDescent="0.25">
      <c r="A774" s="10"/>
      <c r="B774" s="10"/>
      <c r="C774" s="10"/>
      <c r="D774" s="10"/>
      <c r="E774" s="10"/>
      <c r="F774" s="10"/>
      <c r="G774" s="10"/>
      <c r="H774" s="10"/>
      <c r="I774" s="1" t="str">
        <f t="shared" si="33"/>
        <v/>
      </c>
      <c r="J774" s="1" t="s">
        <v>35</v>
      </c>
      <c r="K774" s="1" t="str">
        <f t="shared" si="34"/>
        <v/>
      </c>
      <c r="L774" s="1" t="str">
        <f t="shared" si="35"/>
        <v/>
      </c>
      <c r="M774" s="1">
        <f>IF(OR(Table1[[#This Row],[Std Nom]]="",Table1[[#This Row],[Std Read]]=""),0,Table1[[#This Row],[Std Nom]]-Table1[[#This Row],[Std Read]])</f>
        <v>0</v>
      </c>
      <c r="N774" s="1">
        <f>IF(Calculations!$F$5="ACCREDITED 17025 WITH UNCERTAINTIES",$N$10,0)</f>
        <v>0</v>
      </c>
      <c r="O774" s="1" t="str">
        <f>IFERROR(Table1[[#This Row],[Std Nom]]-(_xlfn.XLOOKUP(Table1[[#This Row],[Manufacturer]]&amp;" "&amp;Table1[[#This Row],[Model]],Table13[MFR &amp; MDL],Table13[Tolerance % CW ],"")/100*Table1[[#This Row],[Std Nom]]),"")</f>
        <v/>
      </c>
      <c r="P774" s="1" t="str">
        <f>IFERROR(Table1[[#This Row],[Std Nom]]+(_xlfn.XLOOKUP(Table1[[#This Row],[Manufacturer]]&amp;" "&amp;Table1[[#This Row],[Model]],Table13[MFR &amp; MDL],Table13[Tolerance % CW ],"")/100*Table1[[#This Row],[Std Nom]]),"")</f>
        <v/>
      </c>
      <c r="Q774" s="1" t="e">
        <f>Table1[[#This Row],[High Tol]]-Table1[[#This Row],[Low Tol]]</f>
        <v>#VALUE!</v>
      </c>
      <c r="R774" s="1">
        <f>2*Table1[[#This Row],[Std Error]]</f>
        <v>0</v>
      </c>
      <c r="S774" s="1" t="str">
        <f>IF(Table1[[#This Row],[High Tol]]="","N/A",IFERROR(ABS(Table1[[#This Row],[Tol Span]]/Table1[[#This Row],[Error Span]]),"N/A"))</f>
        <v>N/A</v>
      </c>
      <c r="T774" s="1" t="str">
        <f>IF(OR(Table1[[#This Row],[Low Tol]]="",Table1[[#This Row],[High Tol]]=""),"Needs Analysis",IF(Table1[[#This Row],[Ratio]]&gt;=4,"Not Significant",IF(Table1[[#This Row],[Ratio]]&gt;=2,"Semi-Significant","Significant")))</f>
        <v>Needs Analysis</v>
      </c>
      <c r="W774" s="1">
        <f>IF(Table1[[#This Row],[Cal Type]]&lt;&gt;"ACCREDITED 17025 WITH UNCERTAINTIES",0,"")</f>
        <v>0</v>
      </c>
      <c r="X774" s="1" t="str">
        <f>IF(Table1[[#This Row],[DUT Read]]="","N/A",Table1[[#This Row],[Std Error]]+Table1[[#This Row],[DUT Read]]+Table1[[#This Row],[DUT Ucty]])</f>
        <v>N/A</v>
      </c>
      <c r="Y774" s="1" t="str">
        <f>IF(Table1[[#This Row],[Std Read]]="","N/A",Table1[[#This Row],[Std Read]]+Table1[[#This Row],[Std Ucty]])</f>
        <v>N/A</v>
      </c>
      <c r="Z7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4" s="1" t="str">
        <f>IF(Table1[[#This Row],[Spec Type]]="","N/A",Table1[[#This Row],[Spec Type]])</f>
        <v>±</v>
      </c>
      <c r="AC774" s="1" t="str">
        <f>IF(Table1[[#This Row],[Spec Type2]]="N/A","N/A",IF(AND(Table1[[#This Row],[DUT Adj Read]]&gt;=Table1[[#This Row],[Low Tol]],Table1[[#This Row],[DUT Adj Read]]&lt;=Table1[[#This Row],[High Tol]]),"Pass","Fail"))</f>
        <v>Fail</v>
      </c>
      <c r="AD774" s="1" t="str">
        <f>IF(AND(Table1[[#This Row],[Spec Type2]]="N/A",Table1[[#This Row],[DUT Adj Read]]="N/A",Table1[[#This Row],[Std Adj Read]]="N/A"),"N/A",IF(Table1[[#This Row],[DUT Adj Read]]="N/A",IF(Table1[[#This Row],[Std Adj Read]]&gt;Table1[[#This Row],[Low Tol]],"Pass","Fail"),IF(Table1[[#This Row],[DUT Adj Read]]&gt;Table1[[#This Row],[Low Tol]],"Pass","Fail")))</f>
        <v>Pass</v>
      </c>
      <c r="AE774" s="1" t="str">
        <f>IF(AND(Table1[[#This Row],[Spec Type2]]="N/A",Table1[[#This Row],[DUT Adj Read]]="N/A",Table1[[#This Row],[Std Adj Read]]="N/A"),"N/A",IF(Table1[[#This Row],[DUT Adj Read]]="N/A",IF(Table1[[#This Row],[Std Adj Read]]&lt;Table1[[#This Row],[High Tol]],"Pass","Fail"),IF(Table1[[#This Row],[DUT Adj Read]]&lt;Table1[[#This Row],[High Tol]],"Pass","Fail")))</f>
        <v>Fail</v>
      </c>
      <c r="AF774" s="1" t="str">
        <f>IF(AND(Table1[[#This Row],[Spec Type2]]="N/A",Table1[[#This Row],[DUT Adj Read]]="N/A",Table1[[#This Row],[Std Adj Read]]="N/A"),"N/A",IF(Table1[[#This Row],[DUT Adj Read]]="N/A",IF(Table1[[#This Row],[Std Adj Read]]&gt;=Table1[[#This Row],[Low Tol]],"Pass","Fail"),IF(Table1[[#This Row],[DUT Adj Read]]&gt;=Table1[[#This Row],[Low Tol]],"Pass","Fail")))</f>
        <v>Pass</v>
      </c>
      <c r="AG774" s="1" t="str">
        <f>IF(AND(Table1[[#This Row],[Spec Type2]]="N/A",Table1[[#This Row],[DUT Adj Read]]="N/A",Table1[[#This Row],[Std Adj Read]]="N/A"),"N/A",IF(Table1[[#This Row],[DUT Adj Read]]="N/A",IF(Table1[[#This Row],[Std Adj Read]]&lt;=Table1[[#This Row],[High Tol]],"Pass","Fail"),IF(Table1[[#This Row],[DUT Adj Read]]&lt;=Table1[[#This Row],[High Tol]],"Pass","Fail")))</f>
        <v>Fail</v>
      </c>
      <c r="AH7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4" s="1" t="b">
        <v>0</v>
      </c>
      <c r="AN774" s="1" t="b">
        <v>0</v>
      </c>
      <c r="AO774" s="1" t="b">
        <v>0</v>
      </c>
    </row>
    <row r="775" spans="1:41" x14ac:dyDescent="0.25">
      <c r="A775" s="10"/>
      <c r="B775" s="10"/>
      <c r="C775" s="10"/>
      <c r="D775" s="10"/>
      <c r="E775" s="10"/>
      <c r="F775" s="10"/>
      <c r="G775" s="10"/>
      <c r="H775" s="10"/>
      <c r="I775" s="1" t="str">
        <f t="shared" si="33"/>
        <v/>
      </c>
      <c r="J775" s="1" t="s">
        <v>35</v>
      </c>
      <c r="K775" s="1" t="str">
        <f t="shared" si="34"/>
        <v/>
      </c>
      <c r="L775" s="1" t="str">
        <f t="shared" si="35"/>
        <v/>
      </c>
      <c r="M775" s="1">
        <f>IF(OR(Table1[[#This Row],[Std Nom]]="",Table1[[#This Row],[Std Read]]=""),0,Table1[[#This Row],[Std Nom]]-Table1[[#This Row],[Std Read]])</f>
        <v>0</v>
      </c>
      <c r="N775" s="1">
        <f>IF(Calculations!$F$5="ACCREDITED 17025 WITH UNCERTAINTIES",$N$10,0)</f>
        <v>0</v>
      </c>
      <c r="O775" s="1" t="str">
        <f>IFERROR(Table1[[#This Row],[Std Nom]]-(_xlfn.XLOOKUP(Table1[[#This Row],[Manufacturer]]&amp;" "&amp;Table1[[#This Row],[Model]],Table13[MFR &amp; MDL],Table13[Tolerance % CW ],"")/100*Table1[[#This Row],[Std Nom]]),"")</f>
        <v/>
      </c>
      <c r="P775" s="1" t="str">
        <f>IFERROR(Table1[[#This Row],[Std Nom]]+(_xlfn.XLOOKUP(Table1[[#This Row],[Manufacturer]]&amp;" "&amp;Table1[[#This Row],[Model]],Table13[MFR &amp; MDL],Table13[Tolerance % CW ],"")/100*Table1[[#This Row],[Std Nom]]),"")</f>
        <v/>
      </c>
      <c r="Q775" s="1" t="e">
        <f>Table1[[#This Row],[High Tol]]-Table1[[#This Row],[Low Tol]]</f>
        <v>#VALUE!</v>
      </c>
      <c r="R775" s="1">
        <f>2*Table1[[#This Row],[Std Error]]</f>
        <v>0</v>
      </c>
      <c r="S775" s="1" t="str">
        <f>IF(Table1[[#This Row],[High Tol]]="","N/A",IFERROR(ABS(Table1[[#This Row],[Tol Span]]/Table1[[#This Row],[Error Span]]),"N/A"))</f>
        <v>N/A</v>
      </c>
      <c r="T775" s="1" t="str">
        <f>IF(OR(Table1[[#This Row],[Low Tol]]="",Table1[[#This Row],[High Tol]]=""),"Needs Analysis",IF(Table1[[#This Row],[Ratio]]&gt;=4,"Not Significant",IF(Table1[[#This Row],[Ratio]]&gt;=2,"Semi-Significant","Significant")))</f>
        <v>Needs Analysis</v>
      </c>
      <c r="W775" s="1">
        <f>IF(Table1[[#This Row],[Cal Type]]&lt;&gt;"ACCREDITED 17025 WITH UNCERTAINTIES",0,"")</f>
        <v>0</v>
      </c>
      <c r="X775" s="1" t="str">
        <f>IF(Table1[[#This Row],[DUT Read]]="","N/A",Table1[[#This Row],[Std Error]]+Table1[[#This Row],[DUT Read]]+Table1[[#This Row],[DUT Ucty]])</f>
        <v>N/A</v>
      </c>
      <c r="Y775" s="1" t="str">
        <f>IF(Table1[[#This Row],[Std Read]]="","N/A",Table1[[#This Row],[Std Read]]+Table1[[#This Row],[Std Ucty]])</f>
        <v>N/A</v>
      </c>
      <c r="Z7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5" s="1" t="str">
        <f>IF(Table1[[#This Row],[Spec Type]]="","N/A",Table1[[#This Row],[Spec Type]])</f>
        <v>±</v>
      </c>
      <c r="AC775" s="1" t="str">
        <f>IF(Table1[[#This Row],[Spec Type2]]="N/A","N/A",IF(AND(Table1[[#This Row],[DUT Adj Read]]&gt;=Table1[[#This Row],[Low Tol]],Table1[[#This Row],[DUT Adj Read]]&lt;=Table1[[#This Row],[High Tol]]),"Pass","Fail"))</f>
        <v>Fail</v>
      </c>
      <c r="AD775" s="1" t="str">
        <f>IF(AND(Table1[[#This Row],[Spec Type2]]="N/A",Table1[[#This Row],[DUT Adj Read]]="N/A",Table1[[#This Row],[Std Adj Read]]="N/A"),"N/A",IF(Table1[[#This Row],[DUT Adj Read]]="N/A",IF(Table1[[#This Row],[Std Adj Read]]&gt;Table1[[#This Row],[Low Tol]],"Pass","Fail"),IF(Table1[[#This Row],[DUT Adj Read]]&gt;Table1[[#This Row],[Low Tol]],"Pass","Fail")))</f>
        <v>Pass</v>
      </c>
      <c r="AE775" s="1" t="str">
        <f>IF(AND(Table1[[#This Row],[Spec Type2]]="N/A",Table1[[#This Row],[DUT Adj Read]]="N/A",Table1[[#This Row],[Std Adj Read]]="N/A"),"N/A",IF(Table1[[#This Row],[DUT Adj Read]]="N/A",IF(Table1[[#This Row],[Std Adj Read]]&lt;Table1[[#This Row],[High Tol]],"Pass","Fail"),IF(Table1[[#This Row],[DUT Adj Read]]&lt;Table1[[#This Row],[High Tol]],"Pass","Fail")))</f>
        <v>Fail</v>
      </c>
      <c r="AF775" s="1" t="str">
        <f>IF(AND(Table1[[#This Row],[Spec Type2]]="N/A",Table1[[#This Row],[DUT Adj Read]]="N/A",Table1[[#This Row],[Std Adj Read]]="N/A"),"N/A",IF(Table1[[#This Row],[DUT Adj Read]]="N/A",IF(Table1[[#This Row],[Std Adj Read]]&gt;=Table1[[#This Row],[Low Tol]],"Pass","Fail"),IF(Table1[[#This Row],[DUT Adj Read]]&gt;=Table1[[#This Row],[Low Tol]],"Pass","Fail")))</f>
        <v>Pass</v>
      </c>
      <c r="AG775" s="1" t="str">
        <f>IF(AND(Table1[[#This Row],[Spec Type2]]="N/A",Table1[[#This Row],[DUT Adj Read]]="N/A",Table1[[#This Row],[Std Adj Read]]="N/A"),"N/A",IF(Table1[[#This Row],[DUT Adj Read]]="N/A",IF(Table1[[#This Row],[Std Adj Read]]&lt;=Table1[[#This Row],[High Tol]],"Pass","Fail"),IF(Table1[[#This Row],[DUT Adj Read]]&lt;=Table1[[#This Row],[High Tol]],"Pass","Fail")))</f>
        <v>Fail</v>
      </c>
      <c r="AH7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5" s="1" t="b">
        <v>0</v>
      </c>
      <c r="AN775" s="1" t="b">
        <v>0</v>
      </c>
      <c r="AO775" s="1" t="b">
        <v>0</v>
      </c>
    </row>
    <row r="776" spans="1:41" x14ac:dyDescent="0.25">
      <c r="A776" s="10"/>
      <c r="B776" s="10"/>
      <c r="C776" s="10"/>
      <c r="D776" s="10"/>
      <c r="E776" s="10"/>
      <c r="F776" s="10"/>
      <c r="G776" s="10"/>
      <c r="H776" s="10"/>
      <c r="I776" s="1" t="str">
        <f t="shared" si="33"/>
        <v/>
      </c>
      <c r="J776" s="1" t="s">
        <v>35</v>
      </c>
      <c r="K776" s="1" t="str">
        <f t="shared" si="34"/>
        <v/>
      </c>
      <c r="L776" s="1" t="str">
        <f t="shared" si="35"/>
        <v/>
      </c>
      <c r="M776" s="1">
        <f>IF(OR(Table1[[#This Row],[Std Nom]]="",Table1[[#This Row],[Std Read]]=""),0,Table1[[#This Row],[Std Nom]]-Table1[[#This Row],[Std Read]])</f>
        <v>0</v>
      </c>
      <c r="N776" s="1">
        <f>IF(Calculations!$F$5="ACCREDITED 17025 WITH UNCERTAINTIES",$N$10,0)</f>
        <v>0</v>
      </c>
      <c r="O776" s="1" t="str">
        <f>IFERROR(Table1[[#This Row],[Std Nom]]-(_xlfn.XLOOKUP(Table1[[#This Row],[Manufacturer]]&amp;" "&amp;Table1[[#This Row],[Model]],Table13[MFR &amp; MDL],Table13[Tolerance % CW ],"")/100*Table1[[#This Row],[Std Nom]]),"")</f>
        <v/>
      </c>
      <c r="P776" s="1" t="str">
        <f>IFERROR(Table1[[#This Row],[Std Nom]]+(_xlfn.XLOOKUP(Table1[[#This Row],[Manufacturer]]&amp;" "&amp;Table1[[#This Row],[Model]],Table13[MFR &amp; MDL],Table13[Tolerance % CW ],"")/100*Table1[[#This Row],[Std Nom]]),"")</f>
        <v/>
      </c>
      <c r="Q776" s="1" t="e">
        <f>Table1[[#This Row],[High Tol]]-Table1[[#This Row],[Low Tol]]</f>
        <v>#VALUE!</v>
      </c>
      <c r="R776" s="1">
        <f>2*Table1[[#This Row],[Std Error]]</f>
        <v>0</v>
      </c>
      <c r="S776" s="1" t="str">
        <f>IF(Table1[[#This Row],[High Tol]]="","N/A",IFERROR(ABS(Table1[[#This Row],[Tol Span]]/Table1[[#This Row],[Error Span]]),"N/A"))</f>
        <v>N/A</v>
      </c>
      <c r="T776" s="1" t="str">
        <f>IF(OR(Table1[[#This Row],[Low Tol]]="",Table1[[#This Row],[High Tol]]=""),"Needs Analysis",IF(Table1[[#This Row],[Ratio]]&gt;=4,"Not Significant",IF(Table1[[#This Row],[Ratio]]&gt;=2,"Semi-Significant","Significant")))</f>
        <v>Needs Analysis</v>
      </c>
      <c r="W776" s="1">
        <f>IF(Table1[[#This Row],[Cal Type]]&lt;&gt;"ACCREDITED 17025 WITH UNCERTAINTIES",0,"")</f>
        <v>0</v>
      </c>
      <c r="X776" s="1" t="str">
        <f>IF(Table1[[#This Row],[DUT Read]]="","N/A",Table1[[#This Row],[Std Error]]+Table1[[#This Row],[DUT Read]]+Table1[[#This Row],[DUT Ucty]])</f>
        <v>N/A</v>
      </c>
      <c r="Y776" s="1" t="str">
        <f>IF(Table1[[#This Row],[Std Read]]="","N/A",Table1[[#This Row],[Std Read]]+Table1[[#This Row],[Std Ucty]])</f>
        <v>N/A</v>
      </c>
      <c r="Z7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6" s="1" t="str">
        <f>IF(Table1[[#This Row],[Spec Type]]="","N/A",Table1[[#This Row],[Spec Type]])</f>
        <v>±</v>
      </c>
      <c r="AC776" s="1" t="str">
        <f>IF(Table1[[#This Row],[Spec Type2]]="N/A","N/A",IF(AND(Table1[[#This Row],[DUT Adj Read]]&gt;=Table1[[#This Row],[Low Tol]],Table1[[#This Row],[DUT Adj Read]]&lt;=Table1[[#This Row],[High Tol]]),"Pass","Fail"))</f>
        <v>Fail</v>
      </c>
      <c r="AD776" s="1" t="str">
        <f>IF(AND(Table1[[#This Row],[Spec Type2]]="N/A",Table1[[#This Row],[DUT Adj Read]]="N/A",Table1[[#This Row],[Std Adj Read]]="N/A"),"N/A",IF(Table1[[#This Row],[DUT Adj Read]]="N/A",IF(Table1[[#This Row],[Std Adj Read]]&gt;Table1[[#This Row],[Low Tol]],"Pass","Fail"),IF(Table1[[#This Row],[DUT Adj Read]]&gt;Table1[[#This Row],[Low Tol]],"Pass","Fail")))</f>
        <v>Pass</v>
      </c>
      <c r="AE776" s="1" t="str">
        <f>IF(AND(Table1[[#This Row],[Spec Type2]]="N/A",Table1[[#This Row],[DUT Adj Read]]="N/A",Table1[[#This Row],[Std Adj Read]]="N/A"),"N/A",IF(Table1[[#This Row],[DUT Adj Read]]="N/A",IF(Table1[[#This Row],[Std Adj Read]]&lt;Table1[[#This Row],[High Tol]],"Pass","Fail"),IF(Table1[[#This Row],[DUT Adj Read]]&lt;Table1[[#This Row],[High Tol]],"Pass","Fail")))</f>
        <v>Fail</v>
      </c>
      <c r="AF776" s="1" t="str">
        <f>IF(AND(Table1[[#This Row],[Spec Type2]]="N/A",Table1[[#This Row],[DUT Adj Read]]="N/A",Table1[[#This Row],[Std Adj Read]]="N/A"),"N/A",IF(Table1[[#This Row],[DUT Adj Read]]="N/A",IF(Table1[[#This Row],[Std Adj Read]]&gt;=Table1[[#This Row],[Low Tol]],"Pass","Fail"),IF(Table1[[#This Row],[DUT Adj Read]]&gt;=Table1[[#This Row],[Low Tol]],"Pass","Fail")))</f>
        <v>Pass</v>
      </c>
      <c r="AG776" s="1" t="str">
        <f>IF(AND(Table1[[#This Row],[Spec Type2]]="N/A",Table1[[#This Row],[DUT Adj Read]]="N/A",Table1[[#This Row],[Std Adj Read]]="N/A"),"N/A",IF(Table1[[#This Row],[DUT Adj Read]]="N/A",IF(Table1[[#This Row],[Std Adj Read]]&lt;=Table1[[#This Row],[High Tol]],"Pass","Fail"),IF(Table1[[#This Row],[DUT Adj Read]]&lt;=Table1[[#This Row],[High Tol]],"Pass","Fail")))</f>
        <v>Fail</v>
      </c>
      <c r="AH7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6" s="1" t="b">
        <v>0</v>
      </c>
      <c r="AN776" s="1" t="b">
        <v>0</v>
      </c>
      <c r="AO776" s="1" t="b">
        <v>0</v>
      </c>
    </row>
    <row r="777" spans="1:41" x14ac:dyDescent="0.25">
      <c r="A777" s="10"/>
      <c r="B777" s="10"/>
      <c r="C777" s="10"/>
      <c r="D777" s="10"/>
      <c r="E777" s="10"/>
      <c r="F777" s="10"/>
      <c r="G777" s="10"/>
      <c r="H777" s="10"/>
      <c r="I777" s="1" t="str">
        <f t="shared" si="33"/>
        <v/>
      </c>
      <c r="J777" s="1" t="s">
        <v>35</v>
      </c>
      <c r="K777" s="1" t="str">
        <f t="shared" si="34"/>
        <v/>
      </c>
      <c r="L777" s="1" t="str">
        <f t="shared" si="35"/>
        <v/>
      </c>
      <c r="M777" s="1">
        <f>IF(OR(Table1[[#This Row],[Std Nom]]="",Table1[[#This Row],[Std Read]]=""),0,Table1[[#This Row],[Std Nom]]-Table1[[#This Row],[Std Read]])</f>
        <v>0</v>
      </c>
      <c r="N777" s="1">
        <f>IF(Calculations!$F$5="ACCREDITED 17025 WITH UNCERTAINTIES",$N$10,0)</f>
        <v>0</v>
      </c>
      <c r="O777" s="1" t="str">
        <f>IFERROR(Table1[[#This Row],[Std Nom]]-(_xlfn.XLOOKUP(Table1[[#This Row],[Manufacturer]]&amp;" "&amp;Table1[[#This Row],[Model]],Table13[MFR &amp; MDL],Table13[Tolerance % CW ],"")/100*Table1[[#This Row],[Std Nom]]),"")</f>
        <v/>
      </c>
      <c r="P777" s="1" t="str">
        <f>IFERROR(Table1[[#This Row],[Std Nom]]+(_xlfn.XLOOKUP(Table1[[#This Row],[Manufacturer]]&amp;" "&amp;Table1[[#This Row],[Model]],Table13[MFR &amp; MDL],Table13[Tolerance % CW ],"")/100*Table1[[#This Row],[Std Nom]]),"")</f>
        <v/>
      </c>
      <c r="Q777" s="1" t="e">
        <f>Table1[[#This Row],[High Tol]]-Table1[[#This Row],[Low Tol]]</f>
        <v>#VALUE!</v>
      </c>
      <c r="R777" s="1">
        <f>2*Table1[[#This Row],[Std Error]]</f>
        <v>0</v>
      </c>
      <c r="S777" s="1" t="str">
        <f>IF(Table1[[#This Row],[High Tol]]="","N/A",IFERROR(ABS(Table1[[#This Row],[Tol Span]]/Table1[[#This Row],[Error Span]]),"N/A"))</f>
        <v>N/A</v>
      </c>
      <c r="T777" s="1" t="str">
        <f>IF(OR(Table1[[#This Row],[Low Tol]]="",Table1[[#This Row],[High Tol]]=""),"Needs Analysis",IF(Table1[[#This Row],[Ratio]]&gt;=4,"Not Significant",IF(Table1[[#This Row],[Ratio]]&gt;=2,"Semi-Significant","Significant")))</f>
        <v>Needs Analysis</v>
      </c>
      <c r="W777" s="1">
        <f>IF(Table1[[#This Row],[Cal Type]]&lt;&gt;"ACCREDITED 17025 WITH UNCERTAINTIES",0,"")</f>
        <v>0</v>
      </c>
      <c r="X777" s="1" t="str">
        <f>IF(Table1[[#This Row],[DUT Read]]="","N/A",Table1[[#This Row],[Std Error]]+Table1[[#This Row],[DUT Read]]+Table1[[#This Row],[DUT Ucty]])</f>
        <v>N/A</v>
      </c>
      <c r="Y777" s="1" t="str">
        <f>IF(Table1[[#This Row],[Std Read]]="","N/A",Table1[[#This Row],[Std Read]]+Table1[[#This Row],[Std Ucty]])</f>
        <v>N/A</v>
      </c>
      <c r="Z7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7" s="1" t="str">
        <f>IF(Table1[[#This Row],[Spec Type]]="","N/A",Table1[[#This Row],[Spec Type]])</f>
        <v>±</v>
      </c>
      <c r="AC777" s="1" t="str">
        <f>IF(Table1[[#This Row],[Spec Type2]]="N/A","N/A",IF(AND(Table1[[#This Row],[DUT Adj Read]]&gt;=Table1[[#This Row],[Low Tol]],Table1[[#This Row],[DUT Adj Read]]&lt;=Table1[[#This Row],[High Tol]]),"Pass","Fail"))</f>
        <v>Fail</v>
      </c>
      <c r="AD777" s="1" t="str">
        <f>IF(AND(Table1[[#This Row],[Spec Type2]]="N/A",Table1[[#This Row],[DUT Adj Read]]="N/A",Table1[[#This Row],[Std Adj Read]]="N/A"),"N/A",IF(Table1[[#This Row],[DUT Adj Read]]="N/A",IF(Table1[[#This Row],[Std Adj Read]]&gt;Table1[[#This Row],[Low Tol]],"Pass","Fail"),IF(Table1[[#This Row],[DUT Adj Read]]&gt;Table1[[#This Row],[Low Tol]],"Pass","Fail")))</f>
        <v>Pass</v>
      </c>
      <c r="AE777" s="1" t="str">
        <f>IF(AND(Table1[[#This Row],[Spec Type2]]="N/A",Table1[[#This Row],[DUT Adj Read]]="N/A",Table1[[#This Row],[Std Adj Read]]="N/A"),"N/A",IF(Table1[[#This Row],[DUT Adj Read]]="N/A",IF(Table1[[#This Row],[Std Adj Read]]&lt;Table1[[#This Row],[High Tol]],"Pass","Fail"),IF(Table1[[#This Row],[DUT Adj Read]]&lt;Table1[[#This Row],[High Tol]],"Pass","Fail")))</f>
        <v>Fail</v>
      </c>
      <c r="AF777" s="1" t="str">
        <f>IF(AND(Table1[[#This Row],[Spec Type2]]="N/A",Table1[[#This Row],[DUT Adj Read]]="N/A",Table1[[#This Row],[Std Adj Read]]="N/A"),"N/A",IF(Table1[[#This Row],[DUT Adj Read]]="N/A",IF(Table1[[#This Row],[Std Adj Read]]&gt;=Table1[[#This Row],[Low Tol]],"Pass","Fail"),IF(Table1[[#This Row],[DUT Adj Read]]&gt;=Table1[[#This Row],[Low Tol]],"Pass","Fail")))</f>
        <v>Pass</v>
      </c>
      <c r="AG777" s="1" t="str">
        <f>IF(AND(Table1[[#This Row],[Spec Type2]]="N/A",Table1[[#This Row],[DUT Adj Read]]="N/A",Table1[[#This Row],[Std Adj Read]]="N/A"),"N/A",IF(Table1[[#This Row],[DUT Adj Read]]="N/A",IF(Table1[[#This Row],[Std Adj Read]]&lt;=Table1[[#This Row],[High Tol]],"Pass","Fail"),IF(Table1[[#This Row],[DUT Adj Read]]&lt;=Table1[[#This Row],[High Tol]],"Pass","Fail")))</f>
        <v>Fail</v>
      </c>
      <c r="AH7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7" s="1" t="b">
        <v>0</v>
      </c>
      <c r="AN777" s="1" t="b">
        <v>0</v>
      </c>
      <c r="AO777" s="1" t="b">
        <v>0</v>
      </c>
    </row>
    <row r="778" spans="1:41" x14ac:dyDescent="0.25">
      <c r="A778" s="10"/>
      <c r="B778" s="10"/>
      <c r="C778" s="10"/>
      <c r="D778" s="10"/>
      <c r="E778" s="10"/>
      <c r="F778" s="10"/>
      <c r="G778" s="10"/>
      <c r="H778" s="10"/>
      <c r="I778" s="1" t="str">
        <f t="shared" si="33"/>
        <v/>
      </c>
      <c r="J778" s="1" t="s">
        <v>35</v>
      </c>
      <c r="K778" s="1" t="str">
        <f t="shared" si="34"/>
        <v/>
      </c>
      <c r="L778" s="1" t="str">
        <f t="shared" si="35"/>
        <v/>
      </c>
      <c r="M778" s="1">
        <f>IF(OR(Table1[[#This Row],[Std Nom]]="",Table1[[#This Row],[Std Read]]=""),0,Table1[[#This Row],[Std Nom]]-Table1[[#This Row],[Std Read]])</f>
        <v>0</v>
      </c>
      <c r="N778" s="1">
        <f>IF(Calculations!$F$5="ACCREDITED 17025 WITH UNCERTAINTIES",$N$10,0)</f>
        <v>0</v>
      </c>
      <c r="O778" s="1" t="str">
        <f>IFERROR(Table1[[#This Row],[Std Nom]]-(_xlfn.XLOOKUP(Table1[[#This Row],[Manufacturer]]&amp;" "&amp;Table1[[#This Row],[Model]],Table13[MFR &amp; MDL],Table13[Tolerance % CW ],"")/100*Table1[[#This Row],[Std Nom]]),"")</f>
        <v/>
      </c>
      <c r="P778" s="1" t="str">
        <f>IFERROR(Table1[[#This Row],[Std Nom]]+(_xlfn.XLOOKUP(Table1[[#This Row],[Manufacturer]]&amp;" "&amp;Table1[[#This Row],[Model]],Table13[MFR &amp; MDL],Table13[Tolerance % CW ],"")/100*Table1[[#This Row],[Std Nom]]),"")</f>
        <v/>
      </c>
      <c r="Q778" s="1" t="e">
        <f>Table1[[#This Row],[High Tol]]-Table1[[#This Row],[Low Tol]]</f>
        <v>#VALUE!</v>
      </c>
      <c r="R778" s="1">
        <f>2*Table1[[#This Row],[Std Error]]</f>
        <v>0</v>
      </c>
      <c r="S778" s="1" t="str">
        <f>IF(Table1[[#This Row],[High Tol]]="","N/A",IFERROR(ABS(Table1[[#This Row],[Tol Span]]/Table1[[#This Row],[Error Span]]),"N/A"))</f>
        <v>N/A</v>
      </c>
      <c r="T778" s="1" t="str">
        <f>IF(OR(Table1[[#This Row],[Low Tol]]="",Table1[[#This Row],[High Tol]]=""),"Needs Analysis",IF(Table1[[#This Row],[Ratio]]&gt;=4,"Not Significant",IF(Table1[[#This Row],[Ratio]]&gt;=2,"Semi-Significant","Significant")))</f>
        <v>Needs Analysis</v>
      </c>
      <c r="W778" s="1">
        <f>IF(Table1[[#This Row],[Cal Type]]&lt;&gt;"ACCREDITED 17025 WITH UNCERTAINTIES",0,"")</f>
        <v>0</v>
      </c>
      <c r="X778" s="1" t="str">
        <f>IF(Table1[[#This Row],[DUT Read]]="","N/A",Table1[[#This Row],[Std Error]]+Table1[[#This Row],[DUT Read]]+Table1[[#This Row],[DUT Ucty]])</f>
        <v>N/A</v>
      </c>
      <c r="Y778" s="1" t="str">
        <f>IF(Table1[[#This Row],[Std Read]]="","N/A",Table1[[#This Row],[Std Read]]+Table1[[#This Row],[Std Ucty]])</f>
        <v>N/A</v>
      </c>
      <c r="Z7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8" s="1" t="str">
        <f>IF(Table1[[#This Row],[Spec Type]]="","N/A",Table1[[#This Row],[Spec Type]])</f>
        <v>±</v>
      </c>
      <c r="AC778" s="1" t="str">
        <f>IF(Table1[[#This Row],[Spec Type2]]="N/A","N/A",IF(AND(Table1[[#This Row],[DUT Adj Read]]&gt;=Table1[[#This Row],[Low Tol]],Table1[[#This Row],[DUT Adj Read]]&lt;=Table1[[#This Row],[High Tol]]),"Pass","Fail"))</f>
        <v>Fail</v>
      </c>
      <c r="AD778" s="1" t="str">
        <f>IF(AND(Table1[[#This Row],[Spec Type2]]="N/A",Table1[[#This Row],[DUT Adj Read]]="N/A",Table1[[#This Row],[Std Adj Read]]="N/A"),"N/A",IF(Table1[[#This Row],[DUT Adj Read]]="N/A",IF(Table1[[#This Row],[Std Adj Read]]&gt;Table1[[#This Row],[Low Tol]],"Pass","Fail"),IF(Table1[[#This Row],[DUT Adj Read]]&gt;Table1[[#This Row],[Low Tol]],"Pass","Fail")))</f>
        <v>Pass</v>
      </c>
      <c r="AE778" s="1" t="str">
        <f>IF(AND(Table1[[#This Row],[Spec Type2]]="N/A",Table1[[#This Row],[DUT Adj Read]]="N/A",Table1[[#This Row],[Std Adj Read]]="N/A"),"N/A",IF(Table1[[#This Row],[DUT Adj Read]]="N/A",IF(Table1[[#This Row],[Std Adj Read]]&lt;Table1[[#This Row],[High Tol]],"Pass","Fail"),IF(Table1[[#This Row],[DUT Adj Read]]&lt;Table1[[#This Row],[High Tol]],"Pass","Fail")))</f>
        <v>Fail</v>
      </c>
      <c r="AF778" s="1" t="str">
        <f>IF(AND(Table1[[#This Row],[Spec Type2]]="N/A",Table1[[#This Row],[DUT Adj Read]]="N/A",Table1[[#This Row],[Std Adj Read]]="N/A"),"N/A",IF(Table1[[#This Row],[DUT Adj Read]]="N/A",IF(Table1[[#This Row],[Std Adj Read]]&gt;=Table1[[#This Row],[Low Tol]],"Pass","Fail"),IF(Table1[[#This Row],[DUT Adj Read]]&gt;=Table1[[#This Row],[Low Tol]],"Pass","Fail")))</f>
        <v>Pass</v>
      </c>
      <c r="AG778" s="1" t="str">
        <f>IF(AND(Table1[[#This Row],[Spec Type2]]="N/A",Table1[[#This Row],[DUT Adj Read]]="N/A",Table1[[#This Row],[Std Adj Read]]="N/A"),"N/A",IF(Table1[[#This Row],[DUT Adj Read]]="N/A",IF(Table1[[#This Row],[Std Adj Read]]&lt;=Table1[[#This Row],[High Tol]],"Pass","Fail"),IF(Table1[[#This Row],[DUT Adj Read]]&lt;=Table1[[#This Row],[High Tol]],"Pass","Fail")))</f>
        <v>Fail</v>
      </c>
      <c r="AH7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8" s="1" t="b">
        <v>0</v>
      </c>
      <c r="AN778" s="1" t="b">
        <v>0</v>
      </c>
      <c r="AO778" s="1" t="b">
        <v>0</v>
      </c>
    </row>
    <row r="779" spans="1:41" x14ac:dyDescent="0.25">
      <c r="A779" s="10"/>
      <c r="B779" s="10"/>
      <c r="C779" s="10"/>
      <c r="D779" s="10"/>
      <c r="E779" s="10"/>
      <c r="F779" s="10"/>
      <c r="G779" s="10"/>
      <c r="H779" s="10"/>
      <c r="I779" s="1" t="str">
        <f t="shared" ref="I779:I842" si="36">IF($I$10="","",$I$10)</f>
        <v/>
      </c>
      <c r="J779" s="1" t="s">
        <v>35</v>
      </c>
      <c r="K779" s="1" t="str">
        <f t="shared" ref="K779:K842" si="37">IF($K$10="","",$K$10)</f>
        <v/>
      </c>
      <c r="L779" s="1" t="str">
        <f t="shared" ref="L779:L842" si="38">IF($L$10="","",$L$10)</f>
        <v/>
      </c>
      <c r="M779" s="1">
        <f>IF(OR(Table1[[#This Row],[Std Nom]]="",Table1[[#This Row],[Std Read]]=""),0,Table1[[#This Row],[Std Nom]]-Table1[[#This Row],[Std Read]])</f>
        <v>0</v>
      </c>
      <c r="N779" s="1">
        <f>IF(Calculations!$F$5="ACCREDITED 17025 WITH UNCERTAINTIES",$N$10,0)</f>
        <v>0</v>
      </c>
      <c r="O779" s="1" t="str">
        <f>IFERROR(Table1[[#This Row],[Std Nom]]-(_xlfn.XLOOKUP(Table1[[#This Row],[Manufacturer]]&amp;" "&amp;Table1[[#This Row],[Model]],Table13[MFR &amp; MDL],Table13[Tolerance % CW ],"")/100*Table1[[#This Row],[Std Nom]]),"")</f>
        <v/>
      </c>
      <c r="P779" s="1" t="str">
        <f>IFERROR(Table1[[#This Row],[Std Nom]]+(_xlfn.XLOOKUP(Table1[[#This Row],[Manufacturer]]&amp;" "&amp;Table1[[#This Row],[Model]],Table13[MFR &amp; MDL],Table13[Tolerance % CW ],"")/100*Table1[[#This Row],[Std Nom]]),"")</f>
        <v/>
      </c>
      <c r="Q779" s="1" t="e">
        <f>Table1[[#This Row],[High Tol]]-Table1[[#This Row],[Low Tol]]</f>
        <v>#VALUE!</v>
      </c>
      <c r="R779" s="1">
        <f>2*Table1[[#This Row],[Std Error]]</f>
        <v>0</v>
      </c>
      <c r="S779" s="1" t="str">
        <f>IF(Table1[[#This Row],[High Tol]]="","N/A",IFERROR(ABS(Table1[[#This Row],[Tol Span]]/Table1[[#This Row],[Error Span]]),"N/A"))</f>
        <v>N/A</v>
      </c>
      <c r="T779" s="1" t="str">
        <f>IF(OR(Table1[[#This Row],[Low Tol]]="",Table1[[#This Row],[High Tol]]=""),"Needs Analysis",IF(Table1[[#This Row],[Ratio]]&gt;=4,"Not Significant",IF(Table1[[#This Row],[Ratio]]&gt;=2,"Semi-Significant","Significant")))</f>
        <v>Needs Analysis</v>
      </c>
      <c r="W779" s="1">
        <f>IF(Table1[[#This Row],[Cal Type]]&lt;&gt;"ACCREDITED 17025 WITH UNCERTAINTIES",0,"")</f>
        <v>0</v>
      </c>
      <c r="X779" s="1" t="str">
        <f>IF(Table1[[#This Row],[DUT Read]]="","N/A",Table1[[#This Row],[Std Error]]+Table1[[#This Row],[DUT Read]]+Table1[[#This Row],[DUT Ucty]])</f>
        <v>N/A</v>
      </c>
      <c r="Y779" s="1" t="str">
        <f>IF(Table1[[#This Row],[Std Read]]="","N/A",Table1[[#This Row],[Std Read]]+Table1[[#This Row],[Std Ucty]])</f>
        <v>N/A</v>
      </c>
      <c r="Z7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9" s="1" t="str">
        <f>IF(Table1[[#This Row],[Spec Type]]="","N/A",Table1[[#This Row],[Spec Type]])</f>
        <v>±</v>
      </c>
      <c r="AC779" s="1" t="str">
        <f>IF(Table1[[#This Row],[Spec Type2]]="N/A","N/A",IF(AND(Table1[[#This Row],[DUT Adj Read]]&gt;=Table1[[#This Row],[Low Tol]],Table1[[#This Row],[DUT Adj Read]]&lt;=Table1[[#This Row],[High Tol]]),"Pass","Fail"))</f>
        <v>Fail</v>
      </c>
      <c r="AD779" s="1" t="str">
        <f>IF(AND(Table1[[#This Row],[Spec Type2]]="N/A",Table1[[#This Row],[DUT Adj Read]]="N/A",Table1[[#This Row],[Std Adj Read]]="N/A"),"N/A",IF(Table1[[#This Row],[DUT Adj Read]]="N/A",IF(Table1[[#This Row],[Std Adj Read]]&gt;Table1[[#This Row],[Low Tol]],"Pass","Fail"),IF(Table1[[#This Row],[DUT Adj Read]]&gt;Table1[[#This Row],[Low Tol]],"Pass","Fail")))</f>
        <v>Pass</v>
      </c>
      <c r="AE779" s="1" t="str">
        <f>IF(AND(Table1[[#This Row],[Spec Type2]]="N/A",Table1[[#This Row],[DUT Adj Read]]="N/A",Table1[[#This Row],[Std Adj Read]]="N/A"),"N/A",IF(Table1[[#This Row],[DUT Adj Read]]="N/A",IF(Table1[[#This Row],[Std Adj Read]]&lt;Table1[[#This Row],[High Tol]],"Pass","Fail"),IF(Table1[[#This Row],[DUT Adj Read]]&lt;Table1[[#This Row],[High Tol]],"Pass","Fail")))</f>
        <v>Fail</v>
      </c>
      <c r="AF779" s="1" t="str">
        <f>IF(AND(Table1[[#This Row],[Spec Type2]]="N/A",Table1[[#This Row],[DUT Adj Read]]="N/A",Table1[[#This Row],[Std Adj Read]]="N/A"),"N/A",IF(Table1[[#This Row],[DUT Adj Read]]="N/A",IF(Table1[[#This Row],[Std Adj Read]]&gt;=Table1[[#This Row],[Low Tol]],"Pass","Fail"),IF(Table1[[#This Row],[DUT Adj Read]]&gt;=Table1[[#This Row],[Low Tol]],"Pass","Fail")))</f>
        <v>Pass</v>
      </c>
      <c r="AG779" s="1" t="str">
        <f>IF(AND(Table1[[#This Row],[Spec Type2]]="N/A",Table1[[#This Row],[DUT Adj Read]]="N/A",Table1[[#This Row],[Std Adj Read]]="N/A"),"N/A",IF(Table1[[#This Row],[DUT Adj Read]]="N/A",IF(Table1[[#This Row],[Std Adj Read]]&lt;=Table1[[#This Row],[High Tol]],"Pass","Fail"),IF(Table1[[#This Row],[DUT Adj Read]]&lt;=Table1[[#This Row],[High Tol]],"Pass","Fail")))</f>
        <v>Fail</v>
      </c>
      <c r="AH7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9" s="1" t="b">
        <v>0</v>
      </c>
      <c r="AN779" s="1" t="b">
        <v>0</v>
      </c>
      <c r="AO779" s="1" t="b">
        <v>0</v>
      </c>
    </row>
    <row r="780" spans="1:41" x14ac:dyDescent="0.25">
      <c r="A780" s="10"/>
      <c r="B780" s="10"/>
      <c r="C780" s="10"/>
      <c r="D780" s="10"/>
      <c r="E780" s="10"/>
      <c r="F780" s="10"/>
      <c r="G780" s="10"/>
      <c r="H780" s="10"/>
      <c r="I780" s="1" t="str">
        <f t="shared" si="36"/>
        <v/>
      </c>
      <c r="J780" s="1" t="s">
        <v>35</v>
      </c>
      <c r="K780" s="1" t="str">
        <f t="shared" si="37"/>
        <v/>
      </c>
      <c r="L780" s="1" t="str">
        <f t="shared" si="38"/>
        <v/>
      </c>
      <c r="M780" s="1">
        <f>IF(OR(Table1[[#This Row],[Std Nom]]="",Table1[[#This Row],[Std Read]]=""),0,Table1[[#This Row],[Std Nom]]-Table1[[#This Row],[Std Read]])</f>
        <v>0</v>
      </c>
      <c r="N780" s="1">
        <f>IF(Calculations!$F$5="ACCREDITED 17025 WITH UNCERTAINTIES",$N$10,0)</f>
        <v>0</v>
      </c>
      <c r="O780" s="1" t="str">
        <f>IFERROR(Table1[[#This Row],[Std Nom]]-(_xlfn.XLOOKUP(Table1[[#This Row],[Manufacturer]]&amp;" "&amp;Table1[[#This Row],[Model]],Table13[MFR &amp; MDL],Table13[Tolerance % CW ],"")/100*Table1[[#This Row],[Std Nom]]),"")</f>
        <v/>
      </c>
      <c r="P780" s="1" t="str">
        <f>IFERROR(Table1[[#This Row],[Std Nom]]+(_xlfn.XLOOKUP(Table1[[#This Row],[Manufacturer]]&amp;" "&amp;Table1[[#This Row],[Model]],Table13[MFR &amp; MDL],Table13[Tolerance % CW ],"")/100*Table1[[#This Row],[Std Nom]]),"")</f>
        <v/>
      </c>
      <c r="Q780" s="1" t="e">
        <f>Table1[[#This Row],[High Tol]]-Table1[[#This Row],[Low Tol]]</f>
        <v>#VALUE!</v>
      </c>
      <c r="R780" s="1">
        <f>2*Table1[[#This Row],[Std Error]]</f>
        <v>0</v>
      </c>
      <c r="S780" s="1" t="str">
        <f>IF(Table1[[#This Row],[High Tol]]="","N/A",IFERROR(ABS(Table1[[#This Row],[Tol Span]]/Table1[[#This Row],[Error Span]]),"N/A"))</f>
        <v>N/A</v>
      </c>
      <c r="T780" s="1" t="str">
        <f>IF(OR(Table1[[#This Row],[Low Tol]]="",Table1[[#This Row],[High Tol]]=""),"Needs Analysis",IF(Table1[[#This Row],[Ratio]]&gt;=4,"Not Significant",IF(Table1[[#This Row],[Ratio]]&gt;=2,"Semi-Significant","Significant")))</f>
        <v>Needs Analysis</v>
      </c>
      <c r="W780" s="1">
        <f>IF(Table1[[#This Row],[Cal Type]]&lt;&gt;"ACCREDITED 17025 WITH UNCERTAINTIES",0,"")</f>
        <v>0</v>
      </c>
      <c r="X780" s="1" t="str">
        <f>IF(Table1[[#This Row],[DUT Read]]="","N/A",Table1[[#This Row],[Std Error]]+Table1[[#This Row],[DUT Read]]+Table1[[#This Row],[DUT Ucty]])</f>
        <v>N/A</v>
      </c>
      <c r="Y780" s="1" t="str">
        <f>IF(Table1[[#This Row],[Std Read]]="","N/A",Table1[[#This Row],[Std Read]]+Table1[[#This Row],[Std Ucty]])</f>
        <v>N/A</v>
      </c>
      <c r="Z7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0" s="1" t="str">
        <f>IF(Table1[[#This Row],[Spec Type]]="","N/A",Table1[[#This Row],[Spec Type]])</f>
        <v>±</v>
      </c>
      <c r="AC780" s="1" t="str">
        <f>IF(Table1[[#This Row],[Spec Type2]]="N/A","N/A",IF(AND(Table1[[#This Row],[DUT Adj Read]]&gt;=Table1[[#This Row],[Low Tol]],Table1[[#This Row],[DUT Adj Read]]&lt;=Table1[[#This Row],[High Tol]]),"Pass","Fail"))</f>
        <v>Fail</v>
      </c>
      <c r="AD780" s="1" t="str">
        <f>IF(AND(Table1[[#This Row],[Spec Type2]]="N/A",Table1[[#This Row],[DUT Adj Read]]="N/A",Table1[[#This Row],[Std Adj Read]]="N/A"),"N/A",IF(Table1[[#This Row],[DUT Adj Read]]="N/A",IF(Table1[[#This Row],[Std Adj Read]]&gt;Table1[[#This Row],[Low Tol]],"Pass","Fail"),IF(Table1[[#This Row],[DUT Adj Read]]&gt;Table1[[#This Row],[Low Tol]],"Pass","Fail")))</f>
        <v>Pass</v>
      </c>
      <c r="AE780" s="1" t="str">
        <f>IF(AND(Table1[[#This Row],[Spec Type2]]="N/A",Table1[[#This Row],[DUT Adj Read]]="N/A",Table1[[#This Row],[Std Adj Read]]="N/A"),"N/A",IF(Table1[[#This Row],[DUT Adj Read]]="N/A",IF(Table1[[#This Row],[Std Adj Read]]&lt;Table1[[#This Row],[High Tol]],"Pass","Fail"),IF(Table1[[#This Row],[DUT Adj Read]]&lt;Table1[[#This Row],[High Tol]],"Pass","Fail")))</f>
        <v>Fail</v>
      </c>
      <c r="AF780" s="1" t="str">
        <f>IF(AND(Table1[[#This Row],[Spec Type2]]="N/A",Table1[[#This Row],[DUT Adj Read]]="N/A",Table1[[#This Row],[Std Adj Read]]="N/A"),"N/A",IF(Table1[[#This Row],[DUT Adj Read]]="N/A",IF(Table1[[#This Row],[Std Adj Read]]&gt;=Table1[[#This Row],[Low Tol]],"Pass","Fail"),IF(Table1[[#This Row],[DUT Adj Read]]&gt;=Table1[[#This Row],[Low Tol]],"Pass","Fail")))</f>
        <v>Pass</v>
      </c>
      <c r="AG780" s="1" t="str">
        <f>IF(AND(Table1[[#This Row],[Spec Type2]]="N/A",Table1[[#This Row],[DUT Adj Read]]="N/A",Table1[[#This Row],[Std Adj Read]]="N/A"),"N/A",IF(Table1[[#This Row],[DUT Adj Read]]="N/A",IF(Table1[[#This Row],[Std Adj Read]]&lt;=Table1[[#This Row],[High Tol]],"Pass","Fail"),IF(Table1[[#This Row],[DUT Adj Read]]&lt;=Table1[[#This Row],[High Tol]],"Pass","Fail")))</f>
        <v>Fail</v>
      </c>
      <c r="AH7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0" s="1" t="b">
        <v>0</v>
      </c>
      <c r="AN780" s="1" t="b">
        <v>0</v>
      </c>
      <c r="AO780" s="1" t="b">
        <v>0</v>
      </c>
    </row>
    <row r="781" spans="1:41" x14ac:dyDescent="0.25">
      <c r="A781" s="10"/>
      <c r="B781" s="10"/>
      <c r="C781" s="10"/>
      <c r="D781" s="10"/>
      <c r="E781" s="10"/>
      <c r="F781" s="10"/>
      <c r="G781" s="10"/>
      <c r="H781" s="10"/>
      <c r="I781" s="1" t="str">
        <f t="shared" si="36"/>
        <v/>
      </c>
      <c r="J781" s="1" t="s">
        <v>35</v>
      </c>
      <c r="K781" s="1" t="str">
        <f t="shared" si="37"/>
        <v/>
      </c>
      <c r="L781" s="1" t="str">
        <f t="shared" si="38"/>
        <v/>
      </c>
      <c r="M781" s="1">
        <f>IF(OR(Table1[[#This Row],[Std Nom]]="",Table1[[#This Row],[Std Read]]=""),0,Table1[[#This Row],[Std Nom]]-Table1[[#This Row],[Std Read]])</f>
        <v>0</v>
      </c>
      <c r="N781" s="1">
        <f>IF(Calculations!$F$5="ACCREDITED 17025 WITH UNCERTAINTIES",$N$10,0)</f>
        <v>0</v>
      </c>
      <c r="O781" s="1" t="str">
        <f>IFERROR(Table1[[#This Row],[Std Nom]]-(_xlfn.XLOOKUP(Table1[[#This Row],[Manufacturer]]&amp;" "&amp;Table1[[#This Row],[Model]],Table13[MFR &amp; MDL],Table13[Tolerance % CW ],"")/100*Table1[[#This Row],[Std Nom]]),"")</f>
        <v/>
      </c>
      <c r="P781" s="1" t="str">
        <f>IFERROR(Table1[[#This Row],[Std Nom]]+(_xlfn.XLOOKUP(Table1[[#This Row],[Manufacturer]]&amp;" "&amp;Table1[[#This Row],[Model]],Table13[MFR &amp; MDL],Table13[Tolerance % CW ],"")/100*Table1[[#This Row],[Std Nom]]),"")</f>
        <v/>
      </c>
      <c r="Q781" s="1" t="e">
        <f>Table1[[#This Row],[High Tol]]-Table1[[#This Row],[Low Tol]]</f>
        <v>#VALUE!</v>
      </c>
      <c r="R781" s="1">
        <f>2*Table1[[#This Row],[Std Error]]</f>
        <v>0</v>
      </c>
      <c r="S781" s="1" t="str">
        <f>IF(Table1[[#This Row],[High Tol]]="","N/A",IFERROR(ABS(Table1[[#This Row],[Tol Span]]/Table1[[#This Row],[Error Span]]),"N/A"))</f>
        <v>N/A</v>
      </c>
      <c r="T781" s="1" t="str">
        <f>IF(OR(Table1[[#This Row],[Low Tol]]="",Table1[[#This Row],[High Tol]]=""),"Needs Analysis",IF(Table1[[#This Row],[Ratio]]&gt;=4,"Not Significant",IF(Table1[[#This Row],[Ratio]]&gt;=2,"Semi-Significant","Significant")))</f>
        <v>Needs Analysis</v>
      </c>
      <c r="W781" s="1">
        <f>IF(Table1[[#This Row],[Cal Type]]&lt;&gt;"ACCREDITED 17025 WITH UNCERTAINTIES",0,"")</f>
        <v>0</v>
      </c>
      <c r="X781" s="1" t="str">
        <f>IF(Table1[[#This Row],[DUT Read]]="","N/A",Table1[[#This Row],[Std Error]]+Table1[[#This Row],[DUT Read]]+Table1[[#This Row],[DUT Ucty]])</f>
        <v>N/A</v>
      </c>
      <c r="Y781" s="1" t="str">
        <f>IF(Table1[[#This Row],[Std Read]]="","N/A",Table1[[#This Row],[Std Read]]+Table1[[#This Row],[Std Ucty]])</f>
        <v>N/A</v>
      </c>
      <c r="Z7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1" s="1" t="str">
        <f>IF(Table1[[#This Row],[Spec Type]]="","N/A",Table1[[#This Row],[Spec Type]])</f>
        <v>±</v>
      </c>
      <c r="AC781" s="1" t="str">
        <f>IF(Table1[[#This Row],[Spec Type2]]="N/A","N/A",IF(AND(Table1[[#This Row],[DUT Adj Read]]&gt;=Table1[[#This Row],[Low Tol]],Table1[[#This Row],[DUT Adj Read]]&lt;=Table1[[#This Row],[High Tol]]),"Pass","Fail"))</f>
        <v>Fail</v>
      </c>
      <c r="AD781" s="1" t="str">
        <f>IF(AND(Table1[[#This Row],[Spec Type2]]="N/A",Table1[[#This Row],[DUT Adj Read]]="N/A",Table1[[#This Row],[Std Adj Read]]="N/A"),"N/A",IF(Table1[[#This Row],[DUT Adj Read]]="N/A",IF(Table1[[#This Row],[Std Adj Read]]&gt;Table1[[#This Row],[Low Tol]],"Pass","Fail"),IF(Table1[[#This Row],[DUT Adj Read]]&gt;Table1[[#This Row],[Low Tol]],"Pass","Fail")))</f>
        <v>Pass</v>
      </c>
      <c r="AE781" s="1" t="str">
        <f>IF(AND(Table1[[#This Row],[Spec Type2]]="N/A",Table1[[#This Row],[DUT Adj Read]]="N/A",Table1[[#This Row],[Std Adj Read]]="N/A"),"N/A",IF(Table1[[#This Row],[DUT Adj Read]]="N/A",IF(Table1[[#This Row],[Std Adj Read]]&lt;Table1[[#This Row],[High Tol]],"Pass","Fail"),IF(Table1[[#This Row],[DUT Adj Read]]&lt;Table1[[#This Row],[High Tol]],"Pass","Fail")))</f>
        <v>Fail</v>
      </c>
      <c r="AF781" s="1" t="str">
        <f>IF(AND(Table1[[#This Row],[Spec Type2]]="N/A",Table1[[#This Row],[DUT Adj Read]]="N/A",Table1[[#This Row],[Std Adj Read]]="N/A"),"N/A",IF(Table1[[#This Row],[DUT Adj Read]]="N/A",IF(Table1[[#This Row],[Std Adj Read]]&gt;=Table1[[#This Row],[Low Tol]],"Pass","Fail"),IF(Table1[[#This Row],[DUT Adj Read]]&gt;=Table1[[#This Row],[Low Tol]],"Pass","Fail")))</f>
        <v>Pass</v>
      </c>
      <c r="AG781" s="1" t="str">
        <f>IF(AND(Table1[[#This Row],[Spec Type2]]="N/A",Table1[[#This Row],[DUT Adj Read]]="N/A",Table1[[#This Row],[Std Adj Read]]="N/A"),"N/A",IF(Table1[[#This Row],[DUT Adj Read]]="N/A",IF(Table1[[#This Row],[Std Adj Read]]&lt;=Table1[[#This Row],[High Tol]],"Pass","Fail"),IF(Table1[[#This Row],[DUT Adj Read]]&lt;=Table1[[#This Row],[High Tol]],"Pass","Fail")))</f>
        <v>Fail</v>
      </c>
      <c r="AH7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1" s="1" t="b">
        <v>0</v>
      </c>
      <c r="AN781" s="1" t="b">
        <v>0</v>
      </c>
      <c r="AO781" s="1" t="b">
        <v>0</v>
      </c>
    </row>
    <row r="782" spans="1:41" x14ac:dyDescent="0.25">
      <c r="A782" s="10"/>
      <c r="B782" s="10"/>
      <c r="C782" s="10"/>
      <c r="D782" s="10"/>
      <c r="E782" s="10"/>
      <c r="F782" s="10"/>
      <c r="G782" s="10"/>
      <c r="H782" s="10"/>
      <c r="I782" s="1" t="str">
        <f t="shared" si="36"/>
        <v/>
      </c>
      <c r="J782" s="1" t="s">
        <v>35</v>
      </c>
      <c r="K782" s="1" t="str">
        <f t="shared" si="37"/>
        <v/>
      </c>
      <c r="L782" s="1" t="str">
        <f t="shared" si="38"/>
        <v/>
      </c>
      <c r="M782" s="1">
        <f>IF(OR(Table1[[#This Row],[Std Nom]]="",Table1[[#This Row],[Std Read]]=""),0,Table1[[#This Row],[Std Nom]]-Table1[[#This Row],[Std Read]])</f>
        <v>0</v>
      </c>
      <c r="N782" s="1">
        <f>IF(Calculations!$F$5="ACCREDITED 17025 WITH UNCERTAINTIES",$N$10,0)</f>
        <v>0</v>
      </c>
      <c r="O782" s="1" t="str">
        <f>IFERROR(Table1[[#This Row],[Std Nom]]-(_xlfn.XLOOKUP(Table1[[#This Row],[Manufacturer]]&amp;" "&amp;Table1[[#This Row],[Model]],Table13[MFR &amp; MDL],Table13[Tolerance % CW ],"")/100*Table1[[#This Row],[Std Nom]]),"")</f>
        <v/>
      </c>
      <c r="P782" s="1" t="str">
        <f>IFERROR(Table1[[#This Row],[Std Nom]]+(_xlfn.XLOOKUP(Table1[[#This Row],[Manufacturer]]&amp;" "&amp;Table1[[#This Row],[Model]],Table13[MFR &amp; MDL],Table13[Tolerance % CW ],"")/100*Table1[[#This Row],[Std Nom]]),"")</f>
        <v/>
      </c>
      <c r="Q782" s="1" t="e">
        <f>Table1[[#This Row],[High Tol]]-Table1[[#This Row],[Low Tol]]</f>
        <v>#VALUE!</v>
      </c>
      <c r="R782" s="1">
        <f>2*Table1[[#This Row],[Std Error]]</f>
        <v>0</v>
      </c>
      <c r="S782" s="1" t="str">
        <f>IF(Table1[[#This Row],[High Tol]]="","N/A",IFERROR(ABS(Table1[[#This Row],[Tol Span]]/Table1[[#This Row],[Error Span]]),"N/A"))</f>
        <v>N/A</v>
      </c>
      <c r="T782" s="1" t="str">
        <f>IF(OR(Table1[[#This Row],[Low Tol]]="",Table1[[#This Row],[High Tol]]=""),"Needs Analysis",IF(Table1[[#This Row],[Ratio]]&gt;=4,"Not Significant",IF(Table1[[#This Row],[Ratio]]&gt;=2,"Semi-Significant","Significant")))</f>
        <v>Needs Analysis</v>
      </c>
      <c r="W782" s="1">
        <f>IF(Table1[[#This Row],[Cal Type]]&lt;&gt;"ACCREDITED 17025 WITH UNCERTAINTIES",0,"")</f>
        <v>0</v>
      </c>
      <c r="X782" s="1" t="str">
        <f>IF(Table1[[#This Row],[DUT Read]]="","N/A",Table1[[#This Row],[Std Error]]+Table1[[#This Row],[DUT Read]]+Table1[[#This Row],[DUT Ucty]])</f>
        <v>N/A</v>
      </c>
      <c r="Y782" s="1" t="str">
        <f>IF(Table1[[#This Row],[Std Read]]="","N/A",Table1[[#This Row],[Std Read]]+Table1[[#This Row],[Std Ucty]])</f>
        <v>N/A</v>
      </c>
      <c r="Z7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2" s="1" t="str">
        <f>IF(Table1[[#This Row],[Spec Type]]="","N/A",Table1[[#This Row],[Spec Type]])</f>
        <v>±</v>
      </c>
      <c r="AC782" s="1" t="str">
        <f>IF(Table1[[#This Row],[Spec Type2]]="N/A","N/A",IF(AND(Table1[[#This Row],[DUT Adj Read]]&gt;=Table1[[#This Row],[Low Tol]],Table1[[#This Row],[DUT Adj Read]]&lt;=Table1[[#This Row],[High Tol]]),"Pass","Fail"))</f>
        <v>Fail</v>
      </c>
      <c r="AD782" s="1" t="str">
        <f>IF(AND(Table1[[#This Row],[Spec Type2]]="N/A",Table1[[#This Row],[DUT Adj Read]]="N/A",Table1[[#This Row],[Std Adj Read]]="N/A"),"N/A",IF(Table1[[#This Row],[DUT Adj Read]]="N/A",IF(Table1[[#This Row],[Std Adj Read]]&gt;Table1[[#This Row],[Low Tol]],"Pass","Fail"),IF(Table1[[#This Row],[DUT Adj Read]]&gt;Table1[[#This Row],[Low Tol]],"Pass","Fail")))</f>
        <v>Pass</v>
      </c>
      <c r="AE782" s="1" t="str">
        <f>IF(AND(Table1[[#This Row],[Spec Type2]]="N/A",Table1[[#This Row],[DUT Adj Read]]="N/A",Table1[[#This Row],[Std Adj Read]]="N/A"),"N/A",IF(Table1[[#This Row],[DUT Adj Read]]="N/A",IF(Table1[[#This Row],[Std Adj Read]]&lt;Table1[[#This Row],[High Tol]],"Pass","Fail"),IF(Table1[[#This Row],[DUT Adj Read]]&lt;Table1[[#This Row],[High Tol]],"Pass","Fail")))</f>
        <v>Fail</v>
      </c>
      <c r="AF782" s="1" t="str">
        <f>IF(AND(Table1[[#This Row],[Spec Type2]]="N/A",Table1[[#This Row],[DUT Adj Read]]="N/A",Table1[[#This Row],[Std Adj Read]]="N/A"),"N/A",IF(Table1[[#This Row],[DUT Adj Read]]="N/A",IF(Table1[[#This Row],[Std Adj Read]]&gt;=Table1[[#This Row],[Low Tol]],"Pass","Fail"),IF(Table1[[#This Row],[DUT Adj Read]]&gt;=Table1[[#This Row],[Low Tol]],"Pass","Fail")))</f>
        <v>Pass</v>
      </c>
      <c r="AG782" s="1" t="str">
        <f>IF(AND(Table1[[#This Row],[Spec Type2]]="N/A",Table1[[#This Row],[DUT Adj Read]]="N/A",Table1[[#This Row],[Std Adj Read]]="N/A"),"N/A",IF(Table1[[#This Row],[DUT Adj Read]]="N/A",IF(Table1[[#This Row],[Std Adj Read]]&lt;=Table1[[#This Row],[High Tol]],"Pass","Fail"),IF(Table1[[#This Row],[DUT Adj Read]]&lt;=Table1[[#This Row],[High Tol]],"Pass","Fail")))</f>
        <v>Fail</v>
      </c>
      <c r="AH7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2" s="1" t="b">
        <v>0</v>
      </c>
      <c r="AN782" s="1" t="b">
        <v>0</v>
      </c>
      <c r="AO782" s="1" t="b">
        <v>0</v>
      </c>
    </row>
    <row r="783" spans="1:41" x14ac:dyDescent="0.25">
      <c r="A783" s="10"/>
      <c r="B783" s="10"/>
      <c r="C783" s="10"/>
      <c r="D783" s="10"/>
      <c r="E783" s="10"/>
      <c r="F783" s="10"/>
      <c r="G783" s="10"/>
      <c r="H783" s="10"/>
      <c r="I783" s="1" t="str">
        <f t="shared" si="36"/>
        <v/>
      </c>
      <c r="J783" s="1" t="s">
        <v>35</v>
      </c>
      <c r="K783" s="1" t="str">
        <f t="shared" si="37"/>
        <v/>
      </c>
      <c r="L783" s="1" t="str">
        <f t="shared" si="38"/>
        <v/>
      </c>
      <c r="M783" s="1">
        <f>IF(OR(Table1[[#This Row],[Std Nom]]="",Table1[[#This Row],[Std Read]]=""),0,Table1[[#This Row],[Std Nom]]-Table1[[#This Row],[Std Read]])</f>
        <v>0</v>
      </c>
      <c r="N783" s="1">
        <f>IF(Calculations!$F$5="ACCREDITED 17025 WITH UNCERTAINTIES",$N$10,0)</f>
        <v>0</v>
      </c>
      <c r="O783" s="1" t="str">
        <f>IFERROR(Table1[[#This Row],[Std Nom]]-(_xlfn.XLOOKUP(Table1[[#This Row],[Manufacturer]]&amp;" "&amp;Table1[[#This Row],[Model]],Table13[MFR &amp; MDL],Table13[Tolerance % CW ],"")/100*Table1[[#This Row],[Std Nom]]),"")</f>
        <v/>
      </c>
      <c r="P783" s="1" t="str">
        <f>IFERROR(Table1[[#This Row],[Std Nom]]+(_xlfn.XLOOKUP(Table1[[#This Row],[Manufacturer]]&amp;" "&amp;Table1[[#This Row],[Model]],Table13[MFR &amp; MDL],Table13[Tolerance % CW ],"")/100*Table1[[#This Row],[Std Nom]]),"")</f>
        <v/>
      </c>
      <c r="Q783" s="1" t="e">
        <f>Table1[[#This Row],[High Tol]]-Table1[[#This Row],[Low Tol]]</f>
        <v>#VALUE!</v>
      </c>
      <c r="R783" s="1">
        <f>2*Table1[[#This Row],[Std Error]]</f>
        <v>0</v>
      </c>
      <c r="S783" s="1" t="str">
        <f>IF(Table1[[#This Row],[High Tol]]="","N/A",IFERROR(ABS(Table1[[#This Row],[Tol Span]]/Table1[[#This Row],[Error Span]]),"N/A"))</f>
        <v>N/A</v>
      </c>
      <c r="T783" s="1" t="str">
        <f>IF(OR(Table1[[#This Row],[Low Tol]]="",Table1[[#This Row],[High Tol]]=""),"Needs Analysis",IF(Table1[[#This Row],[Ratio]]&gt;=4,"Not Significant",IF(Table1[[#This Row],[Ratio]]&gt;=2,"Semi-Significant","Significant")))</f>
        <v>Needs Analysis</v>
      </c>
      <c r="W783" s="1">
        <f>IF(Table1[[#This Row],[Cal Type]]&lt;&gt;"ACCREDITED 17025 WITH UNCERTAINTIES",0,"")</f>
        <v>0</v>
      </c>
      <c r="X783" s="1" t="str">
        <f>IF(Table1[[#This Row],[DUT Read]]="","N/A",Table1[[#This Row],[Std Error]]+Table1[[#This Row],[DUT Read]]+Table1[[#This Row],[DUT Ucty]])</f>
        <v>N/A</v>
      </c>
      <c r="Y783" s="1" t="str">
        <f>IF(Table1[[#This Row],[Std Read]]="","N/A",Table1[[#This Row],[Std Read]]+Table1[[#This Row],[Std Ucty]])</f>
        <v>N/A</v>
      </c>
      <c r="Z7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3" s="1" t="str">
        <f>IF(Table1[[#This Row],[Spec Type]]="","N/A",Table1[[#This Row],[Spec Type]])</f>
        <v>±</v>
      </c>
      <c r="AC783" s="1" t="str">
        <f>IF(Table1[[#This Row],[Spec Type2]]="N/A","N/A",IF(AND(Table1[[#This Row],[DUT Adj Read]]&gt;=Table1[[#This Row],[Low Tol]],Table1[[#This Row],[DUT Adj Read]]&lt;=Table1[[#This Row],[High Tol]]),"Pass","Fail"))</f>
        <v>Fail</v>
      </c>
      <c r="AD783" s="1" t="str">
        <f>IF(AND(Table1[[#This Row],[Spec Type2]]="N/A",Table1[[#This Row],[DUT Adj Read]]="N/A",Table1[[#This Row],[Std Adj Read]]="N/A"),"N/A",IF(Table1[[#This Row],[DUT Adj Read]]="N/A",IF(Table1[[#This Row],[Std Adj Read]]&gt;Table1[[#This Row],[Low Tol]],"Pass","Fail"),IF(Table1[[#This Row],[DUT Adj Read]]&gt;Table1[[#This Row],[Low Tol]],"Pass","Fail")))</f>
        <v>Pass</v>
      </c>
      <c r="AE783" s="1" t="str">
        <f>IF(AND(Table1[[#This Row],[Spec Type2]]="N/A",Table1[[#This Row],[DUT Adj Read]]="N/A",Table1[[#This Row],[Std Adj Read]]="N/A"),"N/A",IF(Table1[[#This Row],[DUT Adj Read]]="N/A",IF(Table1[[#This Row],[Std Adj Read]]&lt;Table1[[#This Row],[High Tol]],"Pass","Fail"),IF(Table1[[#This Row],[DUT Adj Read]]&lt;Table1[[#This Row],[High Tol]],"Pass","Fail")))</f>
        <v>Fail</v>
      </c>
      <c r="AF783" s="1" t="str">
        <f>IF(AND(Table1[[#This Row],[Spec Type2]]="N/A",Table1[[#This Row],[DUT Adj Read]]="N/A",Table1[[#This Row],[Std Adj Read]]="N/A"),"N/A",IF(Table1[[#This Row],[DUT Adj Read]]="N/A",IF(Table1[[#This Row],[Std Adj Read]]&gt;=Table1[[#This Row],[Low Tol]],"Pass","Fail"),IF(Table1[[#This Row],[DUT Adj Read]]&gt;=Table1[[#This Row],[Low Tol]],"Pass","Fail")))</f>
        <v>Pass</v>
      </c>
      <c r="AG783" s="1" t="str">
        <f>IF(AND(Table1[[#This Row],[Spec Type2]]="N/A",Table1[[#This Row],[DUT Adj Read]]="N/A",Table1[[#This Row],[Std Adj Read]]="N/A"),"N/A",IF(Table1[[#This Row],[DUT Adj Read]]="N/A",IF(Table1[[#This Row],[Std Adj Read]]&lt;=Table1[[#This Row],[High Tol]],"Pass","Fail"),IF(Table1[[#This Row],[DUT Adj Read]]&lt;=Table1[[#This Row],[High Tol]],"Pass","Fail")))</f>
        <v>Fail</v>
      </c>
      <c r="AH7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3" s="1" t="b">
        <v>0</v>
      </c>
      <c r="AN783" s="1" t="b">
        <v>0</v>
      </c>
      <c r="AO783" s="1" t="b">
        <v>0</v>
      </c>
    </row>
    <row r="784" spans="1:41" x14ac:dyDescent="0.25">
      <c r="A784" s="10"/>
      <c r="B784" s="10"/>
      <c r="C784" s="10"/>
      <c r="D784" s="10"/>
      <c r="E784" s="10"/>
      <c r="F784" s="10"/>
      <c r="G784" s="10"/>
      <c r="H784" s="10"/>
      <c r="I784" s="1" t="str">
        <f t="shared" si="36"/>
        <v/>
      </c>
      <c r="J784" s="1" t="s">
        <v>35</v>
      </c>
      <c r="K784" s="1" t="str">
        <f t="shared" si="37"/>
        <v/>
      </c>
      <c r="L784" s="1" t="str">
        <f t="shared" si="38"/>
        <v/>
      </c>
      <c r="M784" s="1">
        <f>IF(OR(Table1[[#This Row],[Std Nom]]="",Table1[[#This Row],[Std Read]]=""),0,Table1[[#This Row],[Std Nom]]-Table1[[#This Row],[Std Read]])</f>
        <v>0</v>
      </c>
      <c r="N784" s="1">
        <f>IF(Calculations!$F$5="ACCREDITED 17025 WITH UNCERTAINTIES",$N$10,0)</f>
        <v>0</v>
      </c>
      <c r="O784" s="1" t="str">
        <f>IFERROR(Table1[[#This Row],[Std Nom]]-(_xlfn.XLOOKUP(Table1[[#This Row],[Manufacturer]]&amp;" "&amp;Table1[[#This Row],[Model]],Table13[MFR &amp; MDL],Table13[Tolerance % CW ],"")/100*Table1[[#This Row],[Std Nom]]),"")</f>
        <v/>
      </c>
      <c r="P784" s="1" t="str">
        <f>IFERROR(Table1[[#This Row],[Std Nom]]+(_xlfn.XLOOKUP(Table1[[#This Row],[Manufacturer]]&amp;" "&amp;Table1[[#This Row],[Model]],Table13[MFR &amp; MDL],Table13[Tolerance % CW ],"")/100*Table1[[#This Row],[Std Nom]]),"")</f>
        <v/>
      </c>
      <c r="Q784" s="1" t="e">
        <f>Table1[[#This Row],[High Tol]]-Table1[[#This Row],[Low Tol]]</f>
        <v>#VALUE!</v>
      </c>
      <c r="R784" s="1">
        <f>2*Table1[[#This Row],[Std Error]]</f>
        <v>0</v>
      </c>
      <c r="S784" s="1" t="str">
        <f>IF(Table1[[#This Row],[High Tol]]="","N/A",IFERROR(ABS(Table1[[#This Row],[Tol Span]]/Table1[[#This Row],[Error Span]]),"N/A"))</f>
        <v>N/A</v>
      </c>
      <c r="T784" s="1" t="str">
        <f>IF(OR(Table1[[#This Row],[Low Tol]]="",Table1[[#This Row],[High Tol]]=""),"Needs Analysis",IF(Table1[[#This Row],[Ratio]]&gt;=4,"Not Significant",IF(Table1[[#This Row],[Ratio]]&gt;=2,"Semi-Significant","Significant")))</f>
        <v>Needs Analysis</v>
      </c>
      <c r="W784" s="1">
        <f>IF(Table1[[#This Row],[Cal Type]]&lt;&gt;"ACCREDITED 17025 WITH UNCERTAINTIES",0,"")</f>
        <v>0</v>
      </c>
      <c r="X784" s="1" t="str">
        <f>IF(Table1[[#This Row],[DUT Read]]="","N/A",Table1[[#This Row],[Std Error]]+Table1[[#This Row],[DUT Read]]+Table1[[#This Row],[DUT Ucty]])</f>
        <v>N/A</v>
      </c>
      <c r="Y784" s="1" t="str">
        <f>IF(Table1[[#This Row],[Std Read]]="","N/A",Table1[[#This Row],[Std Read]]+Table1[[#This Row],[Std Ucty]])</f>
        <v>N/A</v>
      </c>
      <c r="Z7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4" s="1" t="str">
        <f>IF(Table1[[#This Row],[Spec Type]]="","N/A",Table1[[#This Row],[Spec Type]])</f>
        <v>±</v>
      </c>
      <c r="AC784" s="1" t="str">
        <f>IF(Table1[[#This Row],[Spec Type2]]="N/A","N/A",IF(AND(Table1[[#This Row],[DUT Adj Read]]&gt;=Table1[[#This Row],[Low Tol]],Table1[[#This Row],[DUT Adj Read]]&lt;=Table1[[#This Row],[High Tol]]),"Pass","Fail"))</f>
        <v>Fail</v>
      </c>
      <c r="AD784" s="1" t="str">
        <f>IF(AND(Table1[[#This Row],[Spec Type2]]="N/A",Table1[[#This Row],[DUT Adj Read]]="N/A",Table1[[#This Row],[Std Adj Read]]="N/A"),"N/A",IF(Table1[[#This Row],[DUT Adj Read]]="N/A",IF(Table1[[#This Row],[Std Adj Read]]&gt;Table1[[#This Row],[Low Tol]],"Pass","Fail"),IF(Table1[[#This Row],[DUT Adj Read]]&gt;Table1[[#This Row],[Low Tol]],"Pass","Fail")))</f>
        <v>Pass</v>
      </c>
      <c r="AE784" s="1" t="str">
        <f>IF(AND(Table1[[#This Row],[Spec Type2]]="N/A",Table1[[#This Row],[DUT Adj Read]]="N/A",Table1[[#This Row],[Std Adj Read]]="N/A"),"N/A",IF(Table1[[#This Row],[DUT Adj Read]]="N/A",IF(Table1[[#This Row],[Std Adj Read]]&lt;Table1[[#This Row],[High Tol]],"Pass","Fail"),IF(Table1[[#This Row],[DUT Adj Read]]&lt;Table1[[#This Row],[High Tol]],"Pass","Fail")))</f>
        <v>Fail</v>
      </c>
      <c r="AF784" s="1" t="str">
        <f>IF(AND(Table1[[#This Row],[Spec Type2]]="N/A",Table1[[#This Row],[DUT Adj Read]]="N/A",Table1[[#This Row],[Std Adj Read]]="N/A"),"N/A",IF(Table1[[#This Row],[DUT Adj Read]]="N/A",IF(Table1[[#This Row],[Std Adj Read]]&gt;=Table1[[#This Row],[Low Tol]],"Pass","Fail"),IF(Table1[[#This Row],[DUT Adj Read]]&gt;=Table1[[#This Row],[Low Tol]],"Pass","Fail")))</f>
        <v>Pass</v>
      </c>
      <c r="AG784" s="1" t="str">
        <f>IF(AND(Table1[[#This Row],[Spec Type2]]="N/A",Table1[[#This Row],[DUT Adj Read]]="N/A",Table1[[#This Row],[Std Adj Read]]="N/A"),"N/A",IF(Table1[[#This Row],[DUT Adj Read]]="N/A",IF(Table1[[#This Row],[Std Adj Read]]&lt;=Table1[[#This Row],[High Tol]],"Pass","Fail"),IF(Table1[[#This Row],[DUT Adj Read]]&lt;=Table1[[#This Row],[High Tol]],"Pass","Fail")))</f>
        <v>Fail</v>
      </c>
      <c r="AH7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4" s="1" t="b">
        <v>0</v>
      </c>
      <c r="AN784" s="1" t="b">
        <v>0</v>
      </c>
      <c r="AO784" s="1" t="b">
        <v>0</v>
      </c>
    </row>
    <row r="785" spans="1:41" x14ac:dyDescent="0.25">
      <c r="A785" s="10"/>
      <c r="B785" s="10"/>
      <c r="C785" s="10"/>
      <c r="D785" s="10"/>
      <c r="E785" s="10"/>
      <c r="F785" s="10"/>
      <c r="G785" s="10"/>
      <c r="H785" s="10"/>
      <c r="I785" s="1" t="str">
        <f t="shared" si="36"/>
        <v/>
      </c>
      <c r="J785" s="1" t="s">
        <v>35</v>
      </c>
      <c r="K785" s="1" t="str">
        <f t="shared" si="37"/>
        <v/>
      </c>
      <c r="L785" s="1" t="str">
        <f t="shared" si="38"/>
        <v/>
      </c>
      <c r="M785" s="1">
        <f>IF(OR(Table1[[#This Row],[Std Nom]]="",Table1[[#This Row],[Std Read]]=""),0,Table1[[#This Row],[Std Nom]]-Table1[[#This Row],[Std Read]])</f>
        <v>0</v>
      </c>
      <c r="N785" s="1">
        <f>IF(Calculations!$F$5="ACCREDITED 17025 WITH UNCERTAINTIES",$N$10,0)</f>
        <v>0</v>
      </c>
      <c r="O785" s="1" t="str">
        <f>IFERROR(Table1[[#This Row],[Std Nom]]-(_xlfn.XLOOKUP(Table1[[#This Row],[Manufacturer]]&amp;" "&amp;Table1[[#This Row],[Model]],Table13[MFR &amp; MDL],Table13[Tolerance % CW ],"")/100*Table1[[#This Row],[Std Nom]]),"")</f>
        <v/>
      </c>
      <c r="P785" s="1" t="str">
        <f>IFERROR(Table1[[#This Row],[Std Nom]]+(_xlfn.XLOOKUP(Table1[[#This Row],[Manufacturer]]&amp;" "&amp;Table1[[#This Row],[Model]],Table13[MFR &amp; MDL],Table13[Tolerance % CW ],"")/100*Table1[[#This Row],[Std Nom]]),"")</f>
        <v/>
      </c>
      <c r="Q785" s="1" t="e">
        <f>Table1[[#This Row],[High Tol]]-Table1[[#This Row],[Low Tol]]</f>
        <v>#VALUE!</v>
      </c>
      <c r="R785" s="1">
        <f>2*Table1[[#This Row],[Std Error]]</f>
        <v>0</v>
      </c>
      <c r="S785" s="1" t="str">
        <f>IF(Table1[[#This Row],[High Tol]]="","N/A",IFERROR(ABS(Table1[[#This Row],[Tol Span]]/Table1[[#This Row],[Error Span]]),"N/A"))</f>
        <v>N/A</v>
      </c>
      <c r="T785" s="1" t="str">
        <f>IF(OR(Table1[[#This Row],[Low Tol]]="",Table1[[#This Row],[High Tol]]=""),"Needs Analysis",IF(Table1[[#This Row],[Ratio]]&gt;=4,"Not Significant",IF(Table1[[#This Row],[Ratio]]&gt;=2,"Semi-Significant","Significant")))</f>
        <v>Needs Analysis</v>
      </c>
      <c r="W785" s="1">
        <f>IF(Table1[[#This Row],[Cal Type]]&lt;&gt;"ACCREDITED 17025 WITH UNCERTAINTIES",0,"")</f>
        <v>0</v>
      </c>
      <c r="X785" s="1" t="str">
        <f>IF(Table1[[#This Row],[DUT Read]]="","N/A",Table1[[#This Row],[Std Error]]+Table1[[#This Row],[DUT Read]]+Table1[[#This Row],[DUT Ucty]])</f>
        <v>N/A</v>
      </c>
      <c r="Y785" s="1" t="str">
        <f>IF(Table1[[#This Row],[Std Read]]="","N/A",Table1[[#This Row],[Std Read]]+Table1[[#This Row],[Std Ucty]])</f>
        <v>N/A</v>
      </c>
      <c r="Z7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5" s="1" t="str">
        <f>IF(Table1[[#This Row],[Spec Type]]="","N/A",Table1[[#This Row],[Spec Type]])</f>
        <v>±</v>
      </c>
      <c r="AC785" s="1" t="str">
        <f>IF(Table1[[#This Row],[Spec Type2]]="N/A","N/A",IF(AND(Table1[[#This Row],[DUT Adj Read]]&gt;=Table1[[#This Row],[Low Tol]],Table1[[#This Row],[DUT Adj Read]]&lt;=Table1[[#This Row],[High Tol]]),"Pass","Fail"))</f>
        <v>Fail</v>
      </c>
      <c r="AD785" s="1" t="str">
        <f>IF(AND(Table1[[#This Row],[Spec Type2]]="N/A",Table1[[#This Row],[DUT Adj Read]]="N/A",Table1[[#This Row],[Std Adj Read]]="N/A"),"N/A",IF(Table1[[#This Row],[DUT Adj Read]]="N/A",IF(Table1[[#This Row],[Std Adj Read]]&gt;Table1[[#This Row],[Low Tol]],"Pass","Fail"),IF(Table1[[#This Row],[DUT Adj Read]]&gt;Table1[[#This Row],[Low Tol]],"Pass","Fail")))</f>
        <v>Pass</v>
      </c>
      <c r="AE785" s="1" t="str">
        <f>IF(AND(Table1[[#This Row],[Spec Type2]]="N/A",Table1[[#This Row],[DUT Adj Read]]="N/A",Table1[[#This Row],[Std Adj Read]]="N/A"),"N/A",IF(Table1[[#This Row],[DUT Adj Read]]="N/A",IF(Table1[[#This Row],[Std Adj Read]]&lt;Table1[[#This Row],[High Tol]],"Pass","Fail"),IF(Table1[[#This Row],[DUT Adj Read]]&lt;Table1[[#This Row],[High Tol]],"Pass","Fail")))</f>
        <v>Fail</v>
      </c>
      <c r="AF785" s="1" t="str">
        <f>IF(AND(Table1[[#This Row],[Spec Type2]]="N/A",Table1[[#This Row],[DUT Adj Read]]="N/A",Table1[[#This Row],[Std Adj Read]]="N/A"),"N/A",IF(Table1[[#This Row],[DUT Adj Read]]="N/A",IF(Table1[[#This Row],[Std Adj Read]]&gt;=Table1[[#This Row],[Low Tol]],"Pass","Fail"),IF(Table1[[#This Row],[DUT Adj Read]]&gt;=Table1[[#This Row],[Low Tol]],"Pass","Fail")))</f>
        <v>Pass</v>
      </c>
      <c r="AG785" s="1" t="str">
        <f>IF(AND(Table1[[#This Row],[Spec Type2]]="N/A",Table1[[#This Row],[DUT Adj Read]]="N/A",Table1[[#This Row],[Std Adj Read]]="N/A"),"N/A",IF(Table1[[#This Row],[DUT Adj Read]]="N/A",IF(Table1[[#This Row],[Std Adj Read]]&lt;=Table1[[#This Row],[High Tol]],"Pass","Fail"),IF(Table1[[#This Row],[DUT Adj Read]]&lt;=Table1[[#This Row],[High Tol]],"Pass","Fail")))</f>
        <v>Fail</v>
      </c>
      <c r="AH7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5" s="1" t="b">
        <v>0</v>
      </c>
      <c r="AN785" s="1" t="b">
        <v>0</v>
      </c>
      <c r="AO785" s="1" t="b">
        <v>0</v>
      </c>
    </row>
    <row r="786" spans="1:41" x14ac:dyDescent="0.25">
      <c r="A786" s="10"/>
      <c r="B786" s="10"/>
      <c r="C786" s="10"/>
      <c r="D786" s="10"/>
      <c r="E786" s="10"/>
      <c r="F786" s="10"/>
      <c r="G786" s="10"/>
      <c r="H786" s="10"/>
      <c r="I786" s="1" t="str">
        <f t="shared" si="36"/>
        <v/>
      </c>
      <c r="J786" s="1" t="s">
        <v>35</v>
      </c>
      <c r="K786" s="1" t="str">
        <f t="shared" si="37"/>
        <v/>
      </c>
      <c r="L786" s="1" t="str">
        <f t="shared" si="38"/>
        <v/>
      </c>
      <c r="M786" s="1">
        <f>IF(OR(Table1[[#This Row],[Std Nom]]="",Table1[[#This Row],[Std Read]]=""),0,Table1[[#This Row],[Std Nom]]-Table1[[#This Row],[Std Read]])</f>
        <v>0</v>
      </c>
      <c r="N786" s="1">
        <f>IF(Calculations!$F$5="ACCREDITED 17025 WITH UNCERTAINTIES",$N$10,0)</f>
        <v>0</v>
      </c>
      <c r="O786" s="1" t="str">
        <f>IFERROR(Table1[[#This Row],[Std Nom]]-(_xlfn.XLOOKUP(Table1[[#This Row],[Manufacturer]]&amp;" "&amp;Table1[[#This Row],[Model]],Table13[MFR &amp; MDL],Table13[Tolerance % CW ],"")/100*Table1[[#This Row],[Std Nom]]),"")</f>
        <v/>
      </c>
      <c r="P786" s="1" t="str">
        <f>IFERROR(Table1[[#This Row],[Std Nom]]+(_xlfn.XLOOKUP(Table1[[#This Row],[Manufacturer]]&amp;" "&amp;Table1[[#This Row],[Model]],Table13[MFR &amp; MDL],Table13[Tolerance % CW ],"")/100*Table1[[#This Row],[Std Nom]]),"")</f>
        <v/>
      </c>
      <c r="Q786" s="1" t="e">
        <f>Table1[[#This Row],[High Tol]]-Table1[[#This Row],[Low Tol]]</f>
        <v>#VALUE!</v>
      </c>
      <c r="R786" s="1">
        <f>2*Table1[[#This Row],[Std Error]]</f>
        <v>0</v>
      </c>
      <c r="S786" s="1" t="str">
        <f>IF(Table1[[#This Row],[High Tol]]="","N/A",IFERROR(ABS(Table1[[#This Row],[Tol Span]]/Table1[[#This Row],[Error Span]]),"N/A"))</f>
        <v>N/A</v>
      </c>
      <c r="T786" s="1" t="str">
        <f>IF(OR(Table1[[#This Row],[Low Tol]]="",Table1[[#This Row],[High Tol]]=""),"Needs Analysis",IF(Table1[[#This Row],[Ratio]]&gt;=4,"Not Significant",IF(Table1[[#This Row],[Ratio]]&gt;=2,"Semi-Significant","Significant")))</f>
        <v>Needs Analysis</v>
      </c>
      <c r="W786" s="1">
        <f>IF(Table1[[#This Row],[Cal Type]]&lt;&gt;"ACCREDITED 17025 WITH UNCERTAINTIES",0,"")</f>
        <v>0</v>
      </c>
      <c r="X786" s="1" t="str">
        <f>IF(Table1[[#This Row],[DUT Read]]="","N/A",Table1[[#This Row],[Std Error]]+Table1[[#This Row],[DUT Read]]+Table1[[#This Row],[DUT Ucty]])</f>
        <v>N/A</v>
      </c>
      <c r="Y786" s="1" t="str">
        <f>IF(Table1[[#This Row],[Std Read]]="","N/A",Table1[[#This Row],[Std Read]]+Table1[[#This Row],[Std Ucty]])</f>
        <v>N/A</v>
      </c>
      <c r="Z7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6" s="1" t="str">
        <f>IF(Table1[[#This Row],[Spec Type]]="","N/A",Table1[[#This Row],[Spec Type]])</f>
        <v>±</v>
      </c>
      <c r="AC786" s="1" t="str">
        <f>IF(Table1[[#This Row],[Spec Type2]]="N/A","N/A",IF(AND(Table1[[#This Row],[DUT Adj Read]]&gt;=Table1[[#This Row],[Low Tol]],Table1[[#This Row],[DUT Adj Read]]&lt;=Table1[[#This Row],[High Tol]]),"Pass","Fail"))</f>
        <v>Fail</v>
      </c>
      <c r="AD786" s="1" t="str">
        <f>IF(AND(Table1[[#This Row],[Spec Type2]]="N/A",Table1[[#This Row],[DUT Adj Read]]="N/A",Table1[[#This Row],[Std Adj Read]]="N/A"),"N/A",IF(Table1[[#This Row],[DUT Adj Read]]="N/A",IF(Table1[[#This Row],[Std Adj Read]]&gt;Table1[[#This Row],[Low Tol]],"Pass","Fail"),IF(Table1[[#This Row],[DUT Adj Read]]&gt;Table1[[#This Row],[Low Tol]],"Pass","Fail")))</f>
        <v>Pass</v>
      </c>
      <c r="AE786" s="1" t="str">
        <f>IF(AND(Table1[[#This Row],[Spec Type2]]="N/A",Table1[[#This Row],[DUT Adj Read]]="N/A",Table1[[#This Row],[Std Adj Read]]="N/A"),"N/A",IF(Table1[[#This Row],[DUT Adj Read]]="N/A",IF(Table1[[#This Row],[Std Adj Read]]&lt;Table1[[#This Row],[High Tol]],"Pass","Fail"),IF(Table1[[#This Row],[DUT Adj Read]]&lt;Table1[[#This Row],[High Tol]],"Pass","Fail")))</f>
        <v>Fail</v>
      </c>
      <c r="AF786" s="1" t="str">
        <f>IF(AND(Table1[[#This Row],[Spec Type2]]="N/A",Table1[[#This Row],[DUT Adj Read]]="N/A",Table1[[#This Row],[Std Adj Read]]="N/A"),"N/A",IF(Table1[[#This Row],[DUT Adj Read]]="N/A",IF(Table1[[#This Row],[Std Adj Read]]&gt;=Table1[[#This Row],[Low Tol]],"Pass","Fail"),IF(Table1[[#This Row],[DUT Adj Read]]&gt;=Table1[[#This Row],[Low Tol]],"Pass","Fail")))</f>
        <v>Pass</v>
      </c>
      <c r="AG786" s="1" t="str">
        <f>IF(AND(Table1[[#This Row],[Spec Type2]]="N/A",Table1[[#This Row],[DUT Adj Read]]="N/A",Table1[[#This Row],[Std Adj Read]]="N/A"),"N/A",IF(Table1[[#This Row],[DUT Adj Read]]="N/A",IF(Table1[[#This Row],[Std Adj Read]]&lt;=Table1[[#This Row],[High Tol]],"Pass","Fail"),IF(Table1[[#This Row],[DUT Adj Read]]&lt;=Table1[[#This Row],[High Tol]],"Pass","Fail")))</f>
        <v>Fail</v>
      </c>
      <c r="AH7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6" s="1" t="b">
        <v>0</v>
      </c>
      <c r="AN786" s="1" t="b">
        <v>0</v>
      </c>
      <c r="AO786" s="1" t="b">
        <v>0</v>
      </c>
    </row>
    <row r="787" spans="1:41" x14ac:dyDescent="0.25">
      <c r="A787" s="10"/>
      <c r="B787" s="10"/>
      <c r="C787" s="10"/>
      <c r="D787" s="10"/>
      <c r="E787" s="10"/>
      <c r="F787" s="10"/>
      <c r="G787" s="10"/>
      <c r="H787" s="10"/>
      <c r="I787" s="1" t="str">
        <f t="shared" si="36"/>
        <v/>
      </c>
      <c r="J787" s="1" t="s">
        <v>35</v>
      </c>
      <c r="K787" s="1" t="str">
        <f t="shared" si="37"/>
        <v/>
      </c>
      <c r="L787" s="1" t="str">
        <f t="shared" si="38"/>
        <v/>
      </c>
      <c r="M787" s="1">
        <f>IF(OR(Table1[[#This Row],[Std Nom]]="",Table1[[#This Row],[Std Read]]=""),0,Table1[[#This Row],[Std Nom]]-Table1[[#This Row],[Std Read]])</f>
        <v>0</v>
      </c>
      <c r="N787" s="1">
        <f>IF(Calculations!$F$5="ACCREDITED 17025 WITH UNCERTAINTIES",$N$10,0)</f>
        <v>0</v>
      </c>
      <c r="O787" s="1" t="str">
        <f>IFERROR(Table1[[#This Row],[Std Nom]]-(_xlfn.XLOOKUP(Table1[[#This Row],[Manufacturer]]&amp;" "&amp;Table1[[#This Row],[Model]],Table13[MFR &amp; MDL],Table13[Tolerance % CW ],"")/100*Table1[[#This Row],[Std Nom]]),"")</f>
        <v/>
      </c>
      <c r="P787" s="1" t="str">
        <f>IFERROR(Table1[[#This Row],[Std Nom]]+(_xlfn.XLOOKUP(Table1[[#This Row],[Manufacturer]]&amp;" "&amp;Table1[[#This Row],[Model]],Table13[MFR &amp; MDL],Table13[Tolerance % CW ],"")/100*Table1[[#This Row],[Std Nom]]),"")</f>
        <v/>
      </c>
      <c r="Q787" s="1" t="e">
        <f>Table1[[#This Row],[High Tol]]-Table1[[#This Row],[Low Tol]]</f>
        <v>#VALUE!</v>
      </c>
      <c r="R787" s="1">
        <f>2*Table1[[#This Row],[Std Error]]</f>
        <v>0</v>
      </c>
      <c r="S787" s="1" t="str">
        <f>IF(Table1[[#This Row],[High Tol]]="","N/A",IFERROR(ABS(Table1[[#This Row],[Tol Span]]/Table1[[#This Row],[Error Span]]),"N/A"))</f>
        <v>N/A</v>
      </c>
      <c r="T787" s="1" t="str">
        <f>IF(OR(Table1[[#This Row],[Low Tol]]="",Table1[[#This Row],[High Tol]]=""),"Needs Analysis",IF(Table1[[#This Row],[Ratio]]&gt;=4,"Not Significant",IF(Table1[[#This Row],[Ratio]]&gt;=2,"Semi-Significant","Significant")))</f>
        <v>Needs Analysis</v>
      </c>
      <c r="W787" s="1">
        <f>IF(Table1[[#This Row],[Cal Type]]&lt;&gt;"ACCREDITED 17025 WITH UNCERTAINTIES",0,"")</f>
        <v>0</v>
      </c>
      <c r="X787" s="1" t="str">
        <f>IF(Table1[[#This Row],[DUT Read]]="","N/A",Table1[[#This Row],[Std Error]]+Table1[[#This Row],[DUT Read]]+Table1[[#This Row],[DUT Ucty]])</f>
        <v>N/A</v>
      </c>
      <c r="Y787" s="1" t="str">
        <f>IF(Table1[[#This Row],[Std Read]]="","N/A",Table1[[#This Row],[Std Read]]+Table1[[#This Row],[Std Ucty]])</f>
        <v>N/A</v>
      </c>
      <c r="Z7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7" s="1" t="str">
        <f>IF(Table1[[#This Row],[Spec Type]]="","N/A",Table1[[#This Row],[Spec Type]])</f>
        <v>±</v>
      </c>
      <c r="AC787" s="1" t="str">
        <f>IF(Table1[[#This Row],[Spec Type2]]="N/A","N/A",IF(AND(Table1[[#This Row],[DUT Adj Read]]&gt;=Table1[[#This Row],[Low Tol]],Table1[[#This Row],[DUT Adj Read]]&lt;=Table1[[#This Row],[High Tol]]),"Pass","Fail"))</f>
        <v>Fail</v>
      </c>
      <c r="AD787" s="1" t="str">
        <f>IF(AND(Table1[[#This Row],[Spec Type2]]="N/A",Table1[[#This Row],[DUT Adj Read]]="N/A",Table1[[#This Row],[Std Adj Read]]="N/A"),"N/A",IF(Table1[[#This Row],[DUT Adj Read]]="N/A",IF(Table1[[#This Row],[Std Adj Read]]&gt;Table1[[#This Row],[Low Tol]],"Pass","Fail"),IF(Table1[[#This Row],[DUT Adj Read]]&gt;Table1[[#This Row],[Low Tol]],"Pass","Fail")))</f>
        <v>Pass</v>
      </c>
      <c r="AE787" s="1" t="str">
        <f>IF(AND(Table1[[#This Row],[Spec Type2]]="N/A",Table1[[#This Row],[DUT Adj Read]]="N/A",Table1[[#This Row],[Std Adj Read]]="N/A"),"N/A",IF(Table1[[#This Row],[DUT Adj Read]]="N/A",IF(Table1[[#This Row],[Std Adj Read]]&lt;Table1[[#This Row],[High Tol]],"Pass","Fail"),IF(Table1[[#This Row],[DUT Adj Read]]&lt;Table1[[#This Row],[High Tol]],"Pass","Fail")))</f>
        <v>Fail</v>
      </c>
      <c r="AF787" s="1" t="str">
        <f>IF(AND(Table1[[#This Row],[Spec Type2]]="N/A",Table1[[#This Row],[DUT Adj Read]]="N/A",Table1[[#This Row],[Std Adj Read]]="N/A"),"N/A",IF(Table1[[#This Row],[DUT Adj Read]]="N/A",IF(Table1[[#This Row],[Std Adj Read]]&gt;=Table1[[#This Row],[Low Tol]],"Pass","Fail"),IF(Table1[[#This Row],[DUT Adj Read]]&gt;=Table1[[#This Row],[Low Tol]],"Pass","Fail")))</f>
        <v>Pass</v>
      </c>
      <c r="AG787" s="1" t="str">
        <f>IF(AND(Table1[[#This Row],[Spec Type2]]="N/A",Table1[[#This Row],[DUT Adj Read]]="N/A",Table1[[#This Row],[Std Adj Read]]="N/A"),"N/A",IF(Table1[[#This Row],[DUT Adj Read]]="N/A",IF(Table1[[#This Row],[Std Adj Read]]&lt;=Table1[[#This Row],[High Tol]],"Pass","Fail"),IF(Table1[[#This Row],[DUT Adj Read]]&lt;=Table1[[#This Row],[High Tol]],"Pass","Fail")))</f>
        <v>Fail</v>
      </c>
      <c r="AH7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7" s="1" t="b">
        <v>0</v>
      </c>
      <c r="AN787" s="1" t="b">
        <v>0</v>
      </c>
      <c r="AO787" s="1" t="b">
        <v>0</v>
      </c>
    </row>
    <row r="788" spans="1:41" x14ac:dyDescent="0.25">
      <c r="A788" s="10"/>
      <c r="B788" s="10"/>
      <c r="C788" s="10"/>
      <c r="D788" s="10"/>
      <c r="E788" s="10"/>
      <c r="F788" s="10"/>
      <c r="G788" s="10"/>
      <c r="H788" s="10"/>
      <c r="I788" s="1" t="str">
        <f t="shared" si="36"/>
        <v/>
      </c>
      <c r="J788" s="1" t="s">
        <v>35</v>
      </c>
      <c r="K788" s="1" t="str">
        <f t="shared" si="37"/>
        <v/>
      </c>
      <c r="L788" s="1" t="str">
        <f t="shared" si="38"/>
        <v/>
      </c>
      <c r="M788" s="1">
        <f>IF(OR(Table1[[#This Row],[Std Nom]]="",Table1[[#This Row],[Std Read]]=""),0,Table1[[#This Row],[Std Nom]]-Table1[[#This Row],[Std Read]])</f>
        <v>0</v>
      </c>
      <c r="N788" s="1">
        <f>IF(Calculations!$F$5="ACCREDITED 17025 WITH UNCERTAINTIES",$N$10,0)</f>
        <v>0</v>
      </c>
      <c r="O788" s="1" t="str">
        <f>IFERROR(Table1[[#This Row],[Std Nom]]-(_xlfn.XLOOKUP(Table1[[#This Row],[Manufacturer]]&amp;" "&amp;Table1[[#This Row],[Model]],Table13[MFR &amp; MDL],Table13[Tolerance % CW ],"")/100*Table1[[#This Row],[Std Nom]]),"")</f>
        <v/>
      </c>
      <c r="P788" s="1" t="str">
        <f>IFERROR(Table1[[#This Row],[Std Nom]]+(_xlfn.XLOOKUP(Table1[[#This Row],[Manufacturer]]&amp;" "&amp;Table1[[#This Row],[Model]],Table13[MFR &amp; MDL],Table13[Tolerance % CW ],"")/100*Table1[[#This Row],[Std Nom]]),"")</f>
        <v/>
      </c>
      <c r="Q788" s="1" t="e">
        <f>Table1[[#This Row],[High Tol]]-Table1[[#This Row],[Low Tol]]</f>
        <v>#VALUE!</v>
      </c>
      <c r="R788" s="1">
        <f>2*Table1[[#This Row],[Std Error]]</f>
        <v>0</v>
      </c>
      <c r="S788" s="1" t="str">
        <f>IF(Table1[[#This Row],[High Tol]]="","N/A",IFERROR(ABS(Table1[[#This Row],[Tol Span]]/Table1[[#This Row],[Error Span]]),"N/A"))</f>
        <v>N/A</v>
      </c>
      <c r="T788" s="1" t="str">
        <f>IF(OR(Table1[[#This Row],[Low Tol]]="",Table1[[#This Row],[High Tol]]=""),"Needs Analysis",IF(Table1[[#This Row],[Ratio]]&gt;=4,"Not Significant",IF(Table1[[#This Row],[Ratio]]&gt;=2,"Semi-Significant","Significant")))</f>
        <v>Needs Analysis</v>
      </c>
      <c r="W788" s="1">
        <f>IF(Table1[[#This Row],[Cal Type]]&lt;&gt;"ACCREDITED 17025 WITH UNCERTAINTIES",0,"")</f>
        <v>0</v>
      </c>
      <c r="X788" s="1" t="str">
        <f>IF(Table1[[#This Row],[DUT Read]]="","N/A",Table1[[#This Row],[Std Error]]+Table1[[#This Row],[DUT Read]]+Table1[[#This Row],[DUT Ucty]])</f>
        <v>N/A</v>
      </c>
      <c r="Y788" s="1" t="str">
        <f>IF(Table1[[#This Row],[Std Read]]="","N/A",Table1[[#This Row],[Std Read]]+Table1[[#This Row],[Std Ucty]])</f>
        <v>N/A</v>
      </c>
      <c r="Z7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8" s="1" t="str">
        <f>IF(Table1[[#This Row],[Spec Type]]="","N/A",Table1[[#This Row],[Spec Type]])</f>
        <v>±</v>
      </c>
      <c r="AC788" s="1" t="str">
        <f>IF(Table1[[#This Row],[Spec Type2]]="N/A","N/A",IF(AND(Table1[[#This Row],[DUT Adj Read]]&gt;=Table1[[#This Row],[Low Tol]],Table1[[#This Row],[DUT Adj Read]]&lt;=Table1[[#This Row],[High Tol]]),"Pass","Fail"))</f>
        <v>Fail</v>
      </c>
      <c r="AD788" s="1" t="str">
        <f>IF(AND(Table1[[#This Row],[Spec Type2]]="N/A",Table1[[#This Row],[DUT Adj Read]]="N/A",Table1[[#This Row],[Std Adj Read]]="N/A"),"N/A",IF(Table1[[#This Row],[DUT Adj Read]]="N/A",IF(Table1[[#This Row],[Std Adj Read]]&gt;Table1[[#This Row],[Low Tol]],"Pass","Fail"),IF(Table1[[#This Row],[DUT Adj Read]]&gt;Table1[[#This Row],[Low Tol]],"Pass","Fail")))</f>
        <v>Pass</v>
      </c>
      <c r="AE788" s="1" t="str">
        <f>IF(AND(Table1[[#This Row],[Spec Type2]]="N/A",Table1[[#This Row],[DUT Adj Read]]="N/A",Table1[[#This Row],[Std Adj Read]]="N/A"),"N/A",IF(Table1[[#This Row],[DUT Adj Read]]="N/A",IF(Table1[[#This Row],[Std Adj Read]]&lt;Table1[[#This Row],[High Tol]],"Pass","Fail"),IF(Table1[[#This Row],[DUT Adj Read]]&lt;Table1[[#This Row],[High Tol]],"Pass","Fail")))</f>
        <v>Fail</v>
      </c>
      <c r="AF788" s="1" t="str">
        <f>IF(AND(Table1[[#This Row],[Spec Type2]]="N/A",Table1[[#This Row],[DUT Adj Read]]="N/A",Table1[[#This Row],[Std Adj Read]]="N/A"),"N/A",IF(Table1[[#This Row],[DUT Adj Read]]="N/A",IF(Table1[[#This Row],[Std Adj Read]]&gt;=Table1[[#This Row],[Low Tol]],"Pass","Fail"),IF(Table1[[#This Row],[DUT Adj Read]]&gt;=Table1[[#This Row],[Low Tol]],"Pass","Fail")))</f>
        <v>Pass</v>
      </c>
      <c r="AG788" s="1" t="str">
        <f>IF(AND(Table1[[#This Row],[Spec Type2]]="N/A",Table1[[#This Row],[DUT Adj Read]]="N/A",Table1[[#This Row],[Std Adj Read]]="N/A"),"N/A",IF(Table1[[#This Row],[DUT Adj Read]]="N/A",IF(Table1[[#This Row],[Std Adj Read]]&lt;=Table1[[#This Row],[High Tol]],"Pass","Fail"),IF(Table1[[#This Row],[DUT Adj Read]]&lt;=Table1[[#This Row],[High Tol]],"Pass","Fail")))</f>
        <v>Fail</v>
      </c>
      <c r="AH7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8" s="1" t="b">
        <v>0</v>
      </c>
      <c r="AN788" s="1" t="b">
        <v>0</v>
      </c>
      <c r="AO788" s="1" t="b">
        <v>0</v>
      </c>
    </row>
    <row r="789" spans="1:41" x14ac:dyDescent="0.25">
      <c r="A789" s="10"/>
      <c r="B789" s="10"/>
      <c r="C789" s="10"/>
      <c r="D789" s="10"/>
      <c r="E789" s="10"/>
      <c r="F789" s="10"/>
      <c r="G789" s="10"/>
      <c r="H789" s="10"/>
      <c r="I789" s="1" t="str">
        <f t="shared" si="36"/>
        <v/>
      </c>
      <c r="J789" s="1" t="s">
        <v>35</v>
      </c>
      <c r="K789" s="1" t="str">
        <f t="shared" si="37"/>
        <v/>
      </c>
      <c r="L789" s="1" t="str">
        <f t="shared" si="38"/>
        <v/>
      </c>
      <c r="M789" s="1">
        <f>IF(OR(Table1[[#This Row],[Std Nom]]="",Table1[[#This Row],[Std Read]]=""),0,Table1[[#This Row],[Std Nom]]-Table1[[#This Row],[Std Read]])</f>
        <v>0</v>
      </c>
      <c r="N789" s="1">
        <f>IF(Calculations!$F$5="ACCREDITED 17025 WITH UNCERTAINTIES",$N$10,0)</f>
        <v>0</v>
      </c>
      <c r="O789" s="1" t="str">
        <f>IFERROR(Table1[[#This Row],[Std Nom]]-(_xlfn.XLOOKUP(Table1[[#This Row],[Manufacturer]]&amp;" "&amp;Table1[[#This Row],[Model]],Table13[MFR &amp; MDL],Table13[Tolerance % CW ],"")/100*Table1[[#This Row],[Std Nom]]),"")</f>
        <v/>
      </c>
      <c r="P789" s="1" t="str">
        <f>IFERROR(Table1[[#This Row],[Std Nom]]+(_xlfn.XLOOKUP(Table1[[#This Row],[Manufacturer]]&amp;" "&amp;Table1[[#This Row],[Model]],Table13[MFR &amp; MDL],Table13[Tolerance % CW ],"")/100*Table1[[#This Row],[Std Nom]]),"")</f>
        <v/>
      </c>
      <c r="Q789" s="1" t="e">
        <f>Table1[[#This Row],[High Tol]]-Table1[[#This Row],[Low Tol]]</f>
        <v>#VALUE!</v>
      </c>
      <c r="R789" s="1">
        <f>2*Table1[[#This Row],[Std Error]]</f>
        <v>0</v>
      </c>
      <c r="S789" s="1" t="str">
        <f>IF(Table1[[#This Row],[High Tol]]="","N/A",IFERROR(ABS(Table1[[#This Row],[Tol Span]]/Table1[[#This Row],[Error Span]]),"N/A"))</f>
        <v>N/A</v>
      </c>
      <c r="T789" s="1" t="str">
        <f>IF(OR(Table1[[#This Row],[Low Tol]]="",Table1[[#This Row],[High Tol]]=""),"Needs Analysis",IF(Table1[[#This Row],[Ratio]]&gt;=4,"Not Significant",IF(Table1[[#This Row],[Ratio]]&gt;=2,"Semi-Significant","Significant")))</f>
        <v>Needs Analysis</v>
      </c>
      <c r="W789" s="1">
        <f>IF(Table1[[#This Row],[Cal Type]]&lt;&gt;"ACCREDITED 17025 WITH UNCERTAINTIES",0,"")</f>
        <v>0</v>
      </c>
      <c r="X789" s="1" t="str">
        <f>IF(Table1[[#This Row],[DUT Read]]="","N/A",Table1[[#This Row],[Std Error]]+Table1[[#This Row],[DUT Read]]+Table1[[#This Row],[DUT Ucty]])</f>
        <v>N/A</v>
      </c>
      <c r="Y789" s="1" t="str">
        <f>IF(Table1[[#This Row],[Std Read]]="","N/A",Table1[[#This Row],[Std Read]]+Table1[[#This Row],[Std Ucty]])</f>
        <v>N/A</v>
      </c>
      <c r="Z7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9" s="1" t="str">
        <f>IF(Table1[[#This Row],[Spec Type]]="","N/A",Table1[[#This Row],[Spec Type]])</f>
        <v>±</v>
      </c>
      <c r="AC789" s="1" t="str">
        <f>IF(Table1[[#This Row],[Spec Type2]]="N/A","N/A",IF(AND(Table1[[#This Row],[DUT Adj Read]]&gt;=Table1[[#This Row],[Low Tol]],Table1[[#This Row],[DUT Adj Read]]&lt;=Table1[[#This Row],[High Tol]]),"Pass","Fail"))</f>
        <v>Fail</v>
      </c>
      <c r="AD789" s="1" t="str">
        <f>IF(AND(Table1[[#This Row],[Spec Type2]]="N/A",Table1[[#This Row],[DUT Adj Read]]="N/A",Table1[[#This Row],[Std Adj Read]]="N/A"),"N/A",IF(Table1[[#This Row],[DUT Adj Read]]="N/A",IF(Table1[[#This Row],[Std Adj Read]]&gt;Table1[[#This Row],[Low Tol]],"Pass","Fail"),IF(Table1[[#This Row],[DUT Adj Read]]&gt;Table1[[#This Row],[Low Tol]],"Pass","Fail")))</f>
        <v>Pass</v>
      </c>
      <c r="AE789" s="1" t="str">
        <f>IF(AND(Table1[[#This Row],[Spec Type2]]="N/A",Table1[[#This Row],[DUT Adj Read]]="N/A",Table1[[#This Row],[Std Adj Read]]="N/A"),"N/A",IF(Table1[[#This Row],[DUT Adj Read]]="N/A",IF(Table1[[#This Row],[Std Adj Read]]&lt;Table1[[#This Row],[High Tol]],"Pass","Fail"),IF(Table1[[#This Row],[DUT Adj Read]]&lt;Table1[[#This Row],[High Tol]],"Pass","Fail")))</f>
        <v>Fail</v>
      </c>
      <c r="AF789" s="1" t="str">
        <f>IF(AND(Table1[[#This Row],[Spec Type2]]="N/A",Table1[[#This Row],[DUT Adj Read]]="N/A",Table1[[#This Row],[Std Adj Read]]="N/A"),"N/A",IF(Table1[[#This Row],[DUT Adj Read]]="N/A",IF(Table1[[#This Row],[Std Adj Read]]&gt;=Table1[[#This Row],[Low Tol]],"Pass","Fail"),IF(Table1[[#This Row],[DUT Adj Read]]&gt;=Table1[[#This Row],[Low Tol]],"Pass","Fail")))</f>
        <v>Pass</v>
      </c>
      <c r="AG789" s="1" t="str">
        <f>IF(AND(Table1[[#This Row],[Spec Type2]]="N/A",Table1[[#This Row],[DUT Adj Read]]="N/A",Table1[[#This Row],[Std Adj Read]]="N/A"),"N/A",IF(Table1[[#This Row],[DUT Adj Read]]="N/A",IF(Table1[[#This Row],[Std Adj Read]]&lt;=Table1[[#This Row],[High Tol]],"Pass","Fail"),IF(Table1[[#This Row],[DUT Adj Read]]&lt;=Table1[[#This Row],[High Tol]],"Pass","Fail")))</f>
        <v>Fail</v>
      </c>
      <c r="AH7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9" s="1" t="b">
        <v>0</v>
      </c>
      <c r="AN789" s="1" t="b">
        <v>0</v>
      </c>
      <c r="AO789" s="1" t="b">
        <v>0</v>
      </c>
    </row>
    <row r="790" spans="1:41" x14ac:dyDescent="0.25">
      <c r="A790" s="10"/>
      <c r="B790" s="10"/>
      <c r="C790" s="10"/>
      <c r="D790" s="10"/>
      <c r="E790" s="10"/>
      <c r="F790" s="10"/>
      <c r="G790" s="10"/>
      <c r="H790" s="10"/>
      <c r="I790" s="1" t="str">
        <f t="shared" si="36"/>
        <v/>
      </c>
      <c r="J790" s="1" t="s">
        <v>35</v>
      </c>
      <c r="K790" s="1" t="str">
        <f t="shared" si="37"/>
        <v/>
      </c>
      <c r="L790" s="1" t="str">
        <f t="shared" si="38"/>
        <v/>
      </c>
      <c r="M790" s="1">
        <f>IF(OR(Table1[[#This Row],[Std Nom]]="",Table1[[#This Row],[Std Read]]=""),0,Table1[[#This Row],[Std Nom]]-Table1[[#This Row],[Std Read]])</f>
        <v>0</v>
      </c>
      <c r="N790" s="1">
        <f>IF(Calculations!$F$5="ACCREDITED 17025 WITH UNCERTAINTIES",$N$10,0)</f>
        <v>0</v>
      </c>
      <c r="O790" s="1" t="str">
        <f>IFERROR(Table1[[#This Row],[Std Nom]]-(_xlfn.XLOOKUP(Table1[[#This Row],[Manufacturer]]&amp;" "&amp;Table1[[#This Row],[Model]],Table13[MFR &amp; MDL],Table13[Tolerance % CW ],"")/100*Table1[[#This Row],[Std Nom]]),"")</f>
        <v/>
      </c>
      <c r="P790" s="1" t="str">
        <f>IFERROR(Table1[[#This Row],[Std Nom]]+(_xlfn.XLOOKUP(Table1[[#This Row],[Manufacturer]]&amp;" "&amp;Table1[[#This Row],[Model]],Table13[MFR &amp; MDL],Table13[Tolerance % CW ],"")/100*Table1[[#This Row],[Std Nom]]),"")</f>
        <v/>
      </c>
      <c r="Q790" s="1" t="e">
        <f>Table1[[#This Row],[High Tol]]-Table1[[#This Row],[Low Tol]]</f>
        <v>#VALUE!</v>
      </c>
      <c r="R790" s="1">
        <f>2*Table1[[#This Row],[Std Error]]</f>
        <v>0</v>
      </c>
      <c r="S790" s="1" t="str">
        <f>IF(Table1[[#This Row],[High Tol]]="","N/A",IFERROR(ABS(Table1[[#This Row],[Tol Span]]/Table1[[#This Row],[Error Span]]),"N/A"))</f>
        <v>N/A</v>
      </c>
      <c r="T790" s="1" t="str">
        <f>IF(OR(Table1[[#This Row],[Low Tol]]="",Table1[[#This Row],[High Tol]]=""),"Needs Analysis",IF(Table1[[#This Row],[Ratio]]&gt;=4,"Not Significant",IF(Table1[[#This Row],[Ratio]]&gt;=2,"Semi-Significant","Significant")))</f>
        <v>Needs Analysis</v>
      </c>
      <c r="W790" s="1">
        <f>IF(Table1[[#This Row],[Cal Type]]&lt;&gt;"ACCREDITED 17025 WITH UNCERTAINTIES",0,"")</f>
        <v>0</v>
      </c>
      <c r="X790" s="1" t="str">
        <f>IF(Table1[[#This Row],[DUT Read]]="","N/A",Table1[[#This Row],[Std Error]]+Table1[[#This Row],[DUT Read]]+Table1[[#This Row],[DUT Ucty]])</f>
        <v>N/A</v>
      </c>
      <c r="Y790" s="1" t="str">
        <f>IF(Table1[[#This Row],[Std Read]]="","N/A",Table1[[#This Row],[Std Read]]+Table1[[#This Row],[Std Ucty]])</f>
        <v>N/A</v>
      </c>
      <c r="Z7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0" s="1" t="str">
        <f>IF(Table1[[#This Row],[Spec Type]]="","N/A",Table1[[#This Row],[Spec Type]])</f>
        <v>±</v>
      </c>
      <c r="AC790" s="1" t="str">
        <f>IF(Table1[[#This Row],[Spec Type2]]="N/A","N/A",IF(AND(Table1[[#This Row],[DUT Adj Read]]&gt;=Table1[[#This Row],[Low Tol]],Table1[[#This Row],[DUT Adj Read]]&lt;=Table1[[#This Row],[High Tol]]),"Pass","Fail"))</f>
        <v>Fail</v>
      </c>
      <c r="AD790" s="1" t="str">
        <f>IF(AND(Table1[[#This Row],[Spec Type2]]="N/A",Table1[[#This Row],[DUT Adj Read]]="N/A",Table1[[#This Row],[Std Adj Read]]="N/A"),"N/A",IF(Table1[[#This Row],[DUT Adj Read]]="N/A",IF(Table1[[#This Row],[Std Adj Read]]&gt;Table1[[#This Row],[Low Tol]],"Pass","Fail"),IF(Table1[[#This Row],[DUT Adj Read]]&gt;Table1[[#This Row],[Low Tol]],"Pass","Fail")))</f>
        <v>Pass</v>
      </c>
      <c r="AE790" s="1" t="str">
        <f>IF(AND(Table1[[#This Row],[Spec Type2]]="N/A",Table1[[#This Row],[DUT Adj Read]]="N/A",Table1[[#This Row],[Std Adj Read]]="N/A"),"N/A",IF(Table1[[#This Row],[DUT Adj Read]]="N/A",IF(Table1[[#This Row],[Std Adj Read]]&lt;Table1[[#This Row],[High Tol]],"Pass","Fail"),IF(Table1[[#This Row],[DUT Adj Read]]&lt;Table1[[#This Row],[High Tol]],"Pass","Fail")))</f>
        <v>Fail</v>
      </c>
      <c r="AF790" s="1" t="str">
        <f>IF(AND(Table1[[#This Row],[Spec Type2]]="N/A",Table1[[#This Row],[DUT Adj Read]]="N/A",Table1[[#This Row],[Std Adj Read]]="N/A"),"N/A",IF(Table1[[#This Row],[DUT Adj Read]]="N/A",IF(Table1[[#This Row],[Std Adj Read]]&gt;=Table1[[#This Row],[Low Tol]],"Pass","Fail"),IF(Table1[[#This Row],[DUT Adj Read]]&gt;=Table1[[#This Row],[Low Tol]],"Pass","Fail")))</f>
        <v>Pass</v>
      </c>
      <c r="AG790" s="1" t="str">
        <f>IF(AND(Table1[[#This Row],[Spec Type2]]="N/A",Table1[[#This Row],[DUT Adj Read]]="N/A",Table1[[#This Row],[Std Adj Read]]="N/A"),"N/A",IF(Table1[[#This Row],[DUT Adj Read]]="N/A",IF(Table1[[#This Row],[Std Adj Read]]&lt;=Table1[[#This Row],[High Tol]],"Pass","Fail"),IF(Table1[[#This Row],[DUT Adj Read]]&lt;=Table1[[#This Row],[High Tol]],"Pass","Fail")))</f>
        <v>Fail</v>
      </c>
      <c r="AH7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0" s="1" t="b">
        <v>0</v>
      </c>
      <c r="AN790" s="1" t="b">
        <v>0</v>
      </c>
      <c r="AO790" s="1" t="b">
        <v>0</v>
      </c>
    </row>
    <row r="791" spans="1:41" x14ac:dyDescent="0.25">
      <c r="A791" s="10"/>
      <c r="B791" s="10"/>
      <c r="C791" s="10"/>
      <c r="D791" s="10"/>
      <c r="E791" s="10"/>
      <c r="F791" s="10"/>
      <c r="G791" s="10"/>
      <c r="H791" s="10"/>
      <c r="I791" s="1" t="str">
        <f t="shared" si="36"/>
        <v/>
      </c>
      <c r="J791" s="1" t="s">
        <v>35</v>
      </c>
      <c r="K791" s="1" t="str">
        <f t="shared" si="37"/>
        <v/>
      </c>
      <c r="L791" s="1" t="str">
        <f t="shared" si="38"/>
        <v/>
      </c>
      <c r="M791" s="1">
        <f>IF(OR(Table1[[#This Row],[Std Nom]]="",Table1[[#This Row],[Std Read]]=""),0,Table1[[#This Row],[Std Nom]]-Table1[[#This Row],[Std Read]])</f>
        <v>0</v>
      </c>
      <c r="N791" s="1">
        <f>IF(Calculations!$F$5="ACCREDITED 17025 WITH UNCERTAINTIES",$N$10,0)</f>
        <v>0</v>
      </c>
      <c r="O791" s="1" t="str">
        <f>IFERROR(Table1[[#This Row],[Std Nom]]-(_xlfn.XLOOKUP(Table1[[#This Row],[Manufacturer]]&amp;" "&amp;Table1[[#This Row],[Model]],Table13[MFR &amp; MDL],Table13[Tolerance % CW ],"")/100*Table1[[#This Row],[Std Nom]]),"")</f>
        <v/>
      </c>
      <c r="P791" s="1" t="str">
        <f>IFERROR(Table1[[#This Row],[Std Nom]]+(_xlfn.XLOOKUP(Table1[[#This Row],[Manufacturer]]&amp;" "&amp;Table1[[#This Row],[Model]],Table13[MFR &amp; MDL],Table13[Tolerance % CW ],"")/100*Table1[[#This Row],[Std Nom]]),"")</f>
        <v/>
      </c>
      <c r="Q791" s="1" t="e">
        <f>Table1[[#This Row],[High Tol]]-Table1[[#This Row],[Low Tol]]</f>
        <v>#VALUE!</v>
      </c>
      <c r="R791" s="1">
        <f>2*Table1[[#This Row],[Std Error]]</f>
        <v>0</v>
      </c>
      <c r="S791" s="1" t="str">
        <f>IF(Table1[[#This Row],[High Tol]]="","N/A",IFERROR(ABS(Table1[[#This Row],[Tol Span]]/Table1[[#This Row],[Error Span]]),"N/A"))</f>
        <v>N/A</v>
      </c>
      <c r="T791" s="1" t="str">
        <f>IF(OR(Table1[[#This Row],[Low Tol]]="",Table1[[#This Row],[High Tol]]=""),"Needs Analysis",IF(Table1[[#This Row],[Ratio]]&gt;=4,"Not Significant",IF(Table1[[#This Row],[Ratio]]&gt;=2,"Semi-Significant","Significant")))</f>
        <v>Needs Analysis</v>
      </c>
      <c r="W791" s="1">
        <f>IF(Table1[[#This Row],[Cal Type]]&lt;&gt;"ACCREDITED 17025 WITH UNCERTAINTIES",0,"")</f>
        <v>0</v>
      </c>
      <c r="X791" s="1" t="str">
        <f>IF(Table1[[#This Row],[DUT Read]]="","N/A",Table1[[#This Row],[Std Error]]+Table1[[#This Row],[DUT Read]]+Table1[[#This Row],[DUT Ucty]])</f>
        <v>N/A</v>
      </c>
      <c r="Y791" s="1" t="str">
        <f>IF(Table1[[#This Row],[Std Read]]="","N/A",Table1[[#This Row],[Std Read]]+Table1[[#This Row],[Std Ucty]])</f>
        <v>N/A</v>
      </c>
      <c r="Z7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1" s="1" t="str">
        <f>IF(Table1[[#This Row],[Spec Type]]="","N/A",Table1[[#This Row],[Spec Type]])</f>
        <v>±</v>
      </c>
      <c r="AC791" s="1" t="str">
        <f>IF(Table1[[#This Row],[Spec Type2]]="N/A","N/A",IF(AND(Table1[[#This Row],[DUT Adj Read]]&gt;=Table1[[#This Row],[Low Tol]],Table1[[#This Row],[DUT Adj Read]]&lt;=Table1[[#This Row],[High Tol]]),"Pass","Fail"))</f>
        <v>Fail</v>
      </c>
      <c r="AD791" s="1" t="str">
        <f>IF(AND(Table1[[#This Row],[Spec Type2]]="N/A",Table1[[#This Row],[DUT Adj Read]]="N/A",Table1[[#This Row],[Std Adj Read]]="N/A"),"N/A",IF(Table1[[#This Row],[DUT Adj Read]]="N/A",IF(Table1[[#This Row],[Std Adj Read]]&gt;Table1[[#This Row],[Low Tol]],"Pass","Fail"),IF(Table1[[#This Row],[DUT Adj Read]]&gt;Table1[[#This Row],[Low Tol]],"Pass","Fail")))</f>
        <v>Pass</v>
      </c>
      <c r="AE791" s="1" t="str">
        <f>IF(AND(Table1[[#This Row],[Spec Type2]]="N/A",Table1[[#This Row],[DUT Adj Read]]="N/A",Table1[[#This Row],[Std Adj Read]]="N/A"),"N/A",IF(Table1[[#This Row],[DUT Adj Read]]="N/A",IF(Table1[[#This Row],[Std Adj Read]]&lt;Table1[[#This Row],[High Tol]],"Pass","Fail"),IF(Table1[[#This Row],[DUT Adj Read]]&lt;Table1[[#This Row],[High Tol]],"Pass","Fail")))</f>
        <v>Fail</v>
      </c>
      <c r="AF791" s="1" t="str">
        <f>IF(AND(Table1[[#This Row],[Spec Type2]]="N/A",Table1[[#This Row],[DUT Adj Read]]="N/A",Table1[[#This Row],[Std Adj Read]]="N/A"),"N/A",IF(Table1[[#This Row],[DUT Adj Read]]="N/A",IF(Table1[[#This Row],[Std Adj Read]]&gt;=Table1[[#This Row],[Low Tol]],"Pass","Fail"),IF(Table1[[#This Row],[DUT Adj Read]]&gt;=Table1[[#This Row],[Low Tol]],"Pass","Fail")))</f>
        <v>Pass</v>
      </c>
      <c r="AG791" s="1" t="str">
        <f>IF(AND(Table1[[#This Row],[Spec Type2]]="N/A",Table1[[#This Row],[DUT Adj Read]]="N/A",Table1[[#This Row],[Std Adj Read]]="N/A"),"N/A",IF(Table1[[#This Row],[DUT Adj Read]]="N/A",IF(Table1[[#This Row],[Std Adj Read]]&lt;=Table1[[#This Row],[High Tol]],"Pass","Fail"),IF(Table1[[#This Row],[DUT Adj Read]]&lt;=Table1[[#This Row],[High Tol]],"Pass","Fail")))</f>
        <v>Fail</v>
      </c>
      <c r="AH7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1" s="1" t="b">
        <v>0</v>
      </c>
      <c r="AN791" s="1" t="b">
        <v>0</v>
      </c>
      <c r="AO791" s="1" t="b">
        <v>0</v>
      </c>
    </row>
    <row r="792" spans="1:41" x14ac:dyDescent="0.25">
      <c r="A792" s="10"/>
      <c r="B792" s="10"/>
      <c r="C792" s="10"/>
      <c r="D792" s="10"/>
      <c r="E792" s="10"/>
      <c r="F792" s="10"/>
      <c r="G792" s="10"/>
      <c r="H792" s="10"/>
      <c r="I792" s="1" t="str">
        <f t="shared" si="36"/>
        <v/>
      </c>
      <c r="J792" s="1" t="s">
        <v>35</v>
      </c>
      <c r="K792" s="1" t="str">
        <f t="shared" si="37"/>
        <v/>
      </c>
      <c r="L792" s="1" t="str">
        <f t="shared" si="38"/>
        <v/>
      </c>
      <c r="M792" s="1">
        <f>IF(OR(Table1[[#This Row],[Std Nom]]="",Table1[[#This Row],[Std Read]]=""),0,Table1[[#This Row],[Std Nom]]-Table1[[#This Row],[Std Read]])</f>
        <v>0</v>
      </c>
      <c r="N792" s="1">
        <f>IF(Calculations!$F$5="ACCREDITED 17025 WITH UNCERTAINTIES",$N$10,0)</f>
        <v>0</v>
      </c>
      <c r="O792" s="1" t="str">
        <f>IFERROR(Table1[[#This Row],[Std Nom]]-(_xlfn.XLOOKUP(Table1[[#This Row],[Manufacturer]]&amp;" "&amp;Table1[[#This Row],[Model]],Table13[MFR &amp; MDL],Table13[Tolerance % CW ],"")/100*Table1[[#This Row],[Std Nom]]),"")</f>
        <v/>
      </c>
      <c r="P792" s="1" t="str">
        <f>IFERROR(Table1[[#This Row],[Std Nom]]+(_xlfn.XLOOKUP(Table1[[#This Row],[Manufacturer]]&amp;" "&amp;Table1[[#This Row],[Model]],Table13[MFR &amp; MDL],Table13[Tolerance % CW ],"")/100*Table1[[#This Row],[Std Nom]]),"")</f>
        <v/>
      </c>
      <c r="Q792" s="1" t="e">
        <f>Table1[[#This Row],[High Tol]]-Table1[[#This Row],[Low Tol]]</f>
        <v>#VALUE!</v>
      </c>
      <c r="R792" s="1">
        <f>2*Table1[[#This Row],[Std Error]]</f>
        <v>0</v>
      </c>
      <c r="S792" s="1" t="str">
        <f>IF(Table1[[#This Row],[High Tol]]="","N/A",IFERROR(ABS(Table1[[#This Row],[Tol Span]]/Table1[[#This Row],[Error Span]]),"N/A"))</f>
        <v>N/A</v>
      </c>
      <c r="T792" s="1" t="str">
        <f>IF(OR(Table1[[#This Row],[Low Tol]]="",Table1[[#This Row],[High Tol]]=""),"Needs Analysis",IF(Table1[[#This Row],[Ratio]]&gt;=4,"Not Significant",IF(Table1[[#This Row],[Ratio]]&gt;=2,"Semi-Significant","Significant")))</f>
        <v>Needs Analysis</v>
      </c>
      <c r="W792" s="1">
        <f>IF(Table1[[#This Row],[Cal Type]]&lt;&gt;"ACCREDITED 17025 WITH UNCERTAINTIES",0,"")</f>
        <v>0</v>
      </c>
      <c r="X792" s="1" t="str">
        <f>IF(Table1[[#This Row],[DUT Read]]="","N/A",Table1[[#This Row],[Std Error]]+Table1[[#This Row],[DUT Read]]+Table1[[#This Row],[DUT Ucty]])</f>
        <v>N/A</v>
      </c>
      <c r="Y792" s="1" t="str">
        <f>IF(Table1[[#This Row],[Std Read]]="","N/A",Table1[[#This Row],[Std Read]]+Table1[[#This Row],[Std Ucty]])</f>
        <v>N/A</v>
      </c>
      <c r="Z7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2" s="1" t="str">
        <f>IF(Table1[[#This Row],[Spec Type]]="","N/A",Table1[[#This Row],[Spec Type]])</f>
        <v>±</v>
      </c>
      <c r="AC792" s="1" t="str">
        <f>IF(Table1[[#This Row],[Spec Type2]]="N/A","N/A",IF(AND(Table1[[#This Row],[DUT Adj Read]]&gt;=Table1[[#This Row],[Low Tol]],Table1[[#This Row],[DUT Adj Read]]&lt;=Table1[[#This Row],[High Tol]]),"Pass","Fail"))</f>
        <v>Fail</v>
      </c>
      <c r="AD792" s="1" t="str">
        <f>IF(AND(Table1[[#This Row],[Spec Type2]]="N/A",Table1[[#This Row],[DUT Adj Read]]="N/A",Table1[[#This Row],[Std Adj Read]]="N/A"),"N/A",IF(Table1[[#This Row],[DUT Adj Read]]="N/A",IF(Table1[[#This Row],[Std Adj Read]]&gt;Table1[[#This Row],[Low Tol]],"Pass","Fail"),IF(Table1[[#This Row],[DUT Adj Read]]&gt;Table1[[#This Row],[Low Tol]],"Pass","Fail")))</f>
        <v>Pass</v>
      </c>
      <c r="AE792" s="1" t="str">
        <f>IF(AND(Table1[[#This Row],[Spec Type2]]="N/A",Table1[[#This Row],[DUT Adj Read]]="N/A",Table1[[#This Row],[Std Adj Read]]="N/A"),"N/A",IF(Table1[[#This Row],[DUT Adj Read]]="N/A",IF(Table1[[#This Row],[Std Adj Read]]&lt;Table1[[#This Row],[High Tol]],"Pass","Fail"),IF(Table1[[#This Row],[DUT Adj Read]]&lt;Table1[[#This Row],[High Tol]],"Pass","Fail")))</f>
        <v>Fail</v>
      </c>
      <c r="AF792" s="1" t="str">
        <f>IF(AND(Table1[[#This Row],[Spec Type2]]="N/A",Table1[[#This Row],[DUT Adj Read]]="N/A",Table1[[#This Row],[Std Adj Read]]="N/A"),"N/A",IF(Table1[[#This Row],[DUT Adj Read]]="N/A",IF(Table1[[#This Row],[Std Adj Read]]&gt;=Table1[[#This Row],[Low Tol]],"Pass","Fail"),IF(Table1[[#This Row],[DUT Adj Read]]&gt;=Table1[[#This Row],[Low Tol]],"Pass","Fail")))</f>
        <v>Pass</v>
      </c>
      <c r="AG792" s="1" t="str">
        <f>IF(AND(Table1[[#This Row],[Spec Type2]]="N/A",Table1[[#This Row],[DUT Adj Read]]="N/A",Table1[[#This Row],[Std Adj Read]]="N/A"),"N/A",IF(Table1[[#This Row],[DUT Adj Read]]="N/A",IF(Table1[[#This Row],[Std Adj Read]]&lt;=Table1[[#This Row],[High Tol]],"Pass","Fail"),IF(Table1[[#This Row],[DUT Adj Read]]&lt;=Table1[[#This Row],[High Tol]],"Pass","Fail")))</f>
        <v>Fail</v>
      </c>
      <c r="AH7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2" s="1" t="b">
        <v>0</v>
      </c>
      <c r="AN792" s="1" t="b">
        <v>0</v>
      </c>
      <c r="AO792" s="1" t="b">
        <v>0</v>
      </c>
    </row>
    <row r="793" spans="1:41" x14ac:dyDescent="0.25">
      <c r="A793" s="10"/>
      <c r="B793" s="10"/>
      <c r="C793" s="10"/>
      <c r="D793" s="10"/>
      <c r="E793" s="10"/>
      <c r="F793" s="10"/>
      <c r="G793" s="10"/>
      <c r="H793" s="10"/>
      <c r="I793" s="1" t="str">
        <f t="shared" si="36"/>
        <v/>
      </c>
      <c r="J793" s="1" t="s">
        <v>35</v>
      </c>
      <c r="K793" s="1" t="str">
        <f t="shared" si="37"/>
        <v/>
      </c>
      <c r="L793" s="1" t="str">
        <f t="shared" si="38"/>
        <v/>
      </c>
      <c r="M793" s="1">
        <f>IF(OR(Table1[[#This Row],[Std Nom]]="",Table1[[#This Row],[Std Read]]=""),0,Table1[[#This Row],[Std Nom]]-Table1[[#This Row],[Std Read]])</f>
        <v>0</v>
      </c>
      <c r="N793" s="1">
        <f>IF(Calculations!$F$5="ACCREDITED 17025 WITH UNCERTAINTIES",$N$10,0)</f>
        <v>0</v>
      </c>
      <c r="O793" s="1" t="str">
        <f>IFERROR(Table1[[#This Row],[Std Nom]]-(_xlfn.XLOOKUP(Table1[[#This Row],[Manufacturer]]&amp;" "&amp;Table1[[#This Row],[Model]],Table13[MFR &amp; MDL],Table13[Tolerance % CW ],"")/100*Table1[[#This Row],[Std Nom]]),"")</f>
        <v/>
      </c>
      <c r="P793" s="1" t="str">
        <f>IFERROR(Table1[[#This Row],[Std Nom]]+(_xlfn.XLOOKUP(Table1[[#This Row],[Manufacturer]]&amp;" "&amp;Table1[[#This Row],[Model]],Table13[MFR &amp; MDL],Table13[Tolerance % CW ],"")/100*Table1[[#This Row],[Std Nom]]),"")</f>
        <v/>
      </c>
      <c r="Q793" s="1" t="e">
        <f>Table1[[#This Row],[High Tol]]-Table1[[#This Row],[Low Tol]]</f>
        <v>#VALUE!</v>
      </c>
      <c r="R793" s="1">
        <f>2*Table1[[#This Row],[Std Error]]</f>
        <v>0</v>
      </c>
      <c r="S793" s="1" t="str">
        <f>IF(Table1[[#This Row],[High Tol]]="","N/A",IFERROR(ABS(Table1[[#This Row],[Tol Span]]/Table1[[#This Row],[Error Span]]),"N/A"))</f>
        <v>N/A</v>
      </c>
      <c r="T793" s="1" t="str">
        <f>IF(OR(Table1[[#This Row],[Low Tol]]="",Table1[[#This Row],[High Tol]]=""),"Needs Analysis",IF(Table1[[#This Row],[Ratio]]&gt;=4,"Not Significant",IF(Table1[[#This Row],[Ratio]]&gt;=2,"Semi-Significant","Significant")))</f>
        <v>Needs Analysis</v>
      </c>
      <c r="W793" s="1">
        <f>IF(Table1[[#This Row],[Cal Type]]&lt;&gt;"ACCREDITED 17025 WITH UNCERTAINTIES",0,"")</f>
        <v>0</v>
      </c>
      <c r="X793" s="1" t="str">
        <f>IF(Table1[[#This Row],[DUT Read]]="","N/A",Table1[[#This Row],[Std Error]]+Table1[[#This Row],[DUT Read]]+Table1[[#This Row],[DUT Ucty]])</f>
        <v>N/A</v>
      </c>
      <c r="Y793" s="1" t="str">
        <f>IF(Table1[[#This Row],[Std Read]]="","N/A",Table1[[#This Row],[Std Read]]+Table1[[#This Row],[Std Ucty]])</f>
        <v>N/A</v>
      </c>
      <c r="Z7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3" s="1" t="str">
        <f>IF(Table1[[#This Row],[Spec Type]]="","N/A",Table1[[#This Row],[Spec Type]])</f>
        <v>±</v>
      </c>
      <c r="AC793" s="1" t="str">
        <f>IF(Table1[[#This Row],[Spec Type2]]="N/A","N/A",IF(AND(Table1[[#This Row],[DUT Adj Read]]&gt;=Table1[[#This Row],[Low Tol]],Table1[[#This Row],[DUT Adj Read]]&lt;=Table1[[#This Row],[High Tol]]),"Pass","Fail"))</f>
        <v>Fail</v>
      </c>
      <c r="AD793" s="1" t="str">
        <f>IF(AND(Table1[[#This Row],[Spec Type2]]="N/A",Table1[[#This Row],[DUT Adj Read]]="N/A",Table1[[#This Row],[Std Adj Read]]="N/A"),"N/A",IF(Table1[[#This Row],[DUT Adj Read]]="N/A",IF(Table1[[#This Row],[Std Adj Read]]&gt;Table1[[#This Row],[Low Tol]],"Pass","Fail"),IF(Table1[[#This Row],[DUT Adj Read]]&gt;Table1[[#This Row],[Low Tol]],"Pass","Fail")))</f>
        <v>Pass</v>
      </c>
      <c r="AE793" s="1" t="str">
        <f>IF(AND(Table1[[#This Row],[Spec Type2]]="N/A",Table1[[#This Row],[DUT Adj Read]]="N/A",Table1[[#This Row],[Std Adj Read]]="N/A"),"N/A",IF(Table1[[#This Row],[DUT Adj Read]]="N/A",IF(Table1[[#This Row],[Std Adj Read]]&lt;Table1[[#This Row],[High Tol]],"Pass","Fail"),IF(Table1[[#This Row],[DUT Adj Read]]&lt;Table1[[#This Row],[High Tol]],"Pass","Fail")))</f>
        <v>Fail</v>
      </c>
      <c r="AF793" s="1" t="str">
        <f>IF(AND(Table1[[#This Row],[Spec Type2]]="N/A",Table1[[#This Row],[DUT Adj Read]]="N/A",Table1[[#This Row],[Std Adj Read]]="N/A"),"N/A",IF(Table1[[#This Row],[DUT Adj Read]]="N/A",IF(Table1[[#This Row],[Std Adj Read]]&gt;=Table1[[#This Row],[Low Tol]],"Pass","Fail"),IF(Table1[[#This Row],[DUT Adj Read]]&gt;=Table1[[#This Row],[Low Tol]],"Pass","Fail")))</f>
        <v>Pass</v>
      </c>
      <c r="AG793" s="1" t="str">
        <f>IF(AND(Table1[[#This Row],[Spec Type2]]="N/A",Table1[[#This Row],[DUT Adj Read]]="N/A",Table1[[#This Row],[Std Adj Read]]="N/A"),"N/A",IF(Table1[[#This Row],[DUT Adj Read]]="N/A",IF(Table1[[#This Row],[Std Adj Read]]&lt;=Table1[[#This Row],[High Tol]],"Pass","Fail"),IF(Table1[[#This Row],[DUT Adj Read]]&lt;=Table1[[#This Row],[High Tol]],"Pass","Fail")))</f>
        <v>Fail</v>
      </c>
      <c r="AH7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3" s="1" t="b">
        <v>0</v>
      </c>
      <c r="AN793" s="1" t="b">
        <v>0</v>
      </c>
      <c r="AO793" s="1" t="b">
        <v>0</v>
      </c>
    </row>
    <row r="794" spans="1:41" x14ac:dyDescent="0.25">
      <c r="A794" s="10"/>
      <c r="B794" s="10"/>
      <c r="C794" s="10"/>
      <c r="D794" s="10"/>
      <c r="E794" s="10"/>
      <c r="F794" s="10"/>
      <c r="G794" s="10"/>
      <c r="H794" s="10"/>
      <c r="I794" s="1" t="str">
        <f t="shared" si="36"/>
        <v/>
      </c>
      <c r="J794" s="1" t="s">
        <v>35</v>
      </c>
      <c r="K794" s="1" t="str">
        <f t="shared" si="37"/>
        <v/>
      </c>
      <c r="L794" s="1" t="str">
        <f t="shared" si="38"/>
        <v/>
      </c>
      <c r="M794" s="1">
        <f>IF(OR(Table1[[#This Row],[Std Nom]]="",Table1[[#This Row],[Std Read]]=""),0,Table1[[#This Row],[Std Nom]]-Table1[[#This Row],[Std Read]])</f>
        <v>0</v>
      </c>
      <c r="N794" s="1">
        <f>IF(Calculations!$F$5="ACCREDITED 17025 WITH UNCERTAINTIES",$N$10,0)</f>
        <v>0</v>
      </c>
      <c r="O794" s="1" t="str">
        <f>IFERROR(Table1[[#This Row],[Std Nom]]-(_xlfn.XLOOKUP(Table1[[#This Row],[Manufacturer]]&amp;" "&amp;Table1[[#This Row],[Model]],Table13[MFR &amp; MDL],Table13[Tolerance % CW ],"")/100*Table1[[#This Row],[Std Nom]]),"")</f>
        <v/>
      </c>
      <c r="P794" s="1" t="str">
        <f>IFERROR(Table1[[#This Row],[Std Nom]]+(_xlfn.XLOOKUP(Table1[[#This Row],[Manufacturer]]&amp;" "&amp;Table1[[#This Row],[Model]],Table13[MFR &amp; MDL],Table13[Tolerance % CW ],"")/100*Table1[[#This Row],[Std Nom]]),"")</f>
        <v/>
      </c>
      <c r="Q794" s="1" t="e">
        <f>Table1[[#This Row],[High Tol]]-Table1[[#This Row],[Low Tol]]</f>
        <v>#VALUE!</v>
      </c>
      <c r="R794" s="1">
        <f>2*Table1[[#This Row],[Std Error]]</f>
        <v>0</v>
      </c>
      <c r="S794" s="1" t="str">
        <f>IF(Table1[[#This Row],[High Tol]]="","N/A",IFERROR(ABS(Table1[[#This Row],[Tol Span]]/Table1[[#This Row],[Error Span]]),"N/A"))</f>
        <v>N/A</v>
      </c>
      <c r="T794" s="1" t="str">
        <f>IF(OR(Table1[[#This Row],[Low Tol]]="",Table1[[#This Row],[High Tol]]=""),"Needs Analysis",IF(Table1[[#This Row],[Ratio]]&gt;=4,"Not Significant",IF(Table1[[#This Row],[Ratio]]&gt;=2,"Semi-Significant","Significant")))</f>
        <v>Needs Analysis</v>
      </c>
      <c r="W794" s="1">
        <f>IF(Table1[[#This Row],[Cal Type]]&lt;&gt;"ACCREDITED 17025 WITH UNCERTAINTIES",0,"")</f>
        <v>0</v>
      </c>
      <c r="X794" s="1" t="str">
        <f>IF(Table1[[#This Row],[DUT Read]]="","N/A",Table1[[#This Row],[Std Error]]+Table1[[#This Row],[DUT Read]]+Table1[[#This Row],[DUT Ucty]])</f>
        <v>N/A</v>
      </c>
      <c r="Y794" s="1" t="str">
        <f>IF(Table1[[#This Row],[Std Read]]="","N/A",Table1[[#This Row],[Std Read]]+Table1[[#This Row],[Std Ucty]])</f>
        <v>N/A</v>
      </c>
      <c r="Z7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4" s="1" t="str">
        <f>IF(Table1[[#This Row],[Spec Type]]="","N/A",Table1[[#This Row],[Spec Type]])</f>
        <v>±</v>
      </c>
      <c r="AC794" s="1" t="str">
        <f>IF(Table1[[#This Row],[Spec Type2]]="N/A","N/A",IF(AND(Table1[[#This Row],[DUT Adj Read]]&gt;=Table1[[#This Row],[Low Tol]],Table1[[#This Row],[DUT Adj Read]]&lt;=Table1[[#This Row],[High Tol]]),"Pass","Fail"))</f>
        <v>Fail</v>
      </c>
      <c r="AD794" s="1" t="str">
        <f>IF(AND(Table1[[#This Row],[Spec Type2]]="N/A",Table1[[#This Row],[DUT Adj Read]]="N/A",Table1[[#This Row],[Std Adj Read]]="N/A"),"N/A",IF(Table1[[#This Row],[DUT Adj Read]]="N/A",IF(Table1[[#This Row],[Std Adj Read]]&gt;Table1[[#This Row],[Low Tol]],"Pass","Fail"),IF(Table1[[#This Row],[DUT Adj Read]]&gt;Table1[[#This Row],[Low Tol]],"Pass","Fail")))</f>
        <v>Pass</v>
      </c>
      <c r="AE794" s="1" t="str">
        <f>IF(AND(Table1[[#This Row],[Spec Type2]]="N/A",Table1[[#This Row],[DUT Adj Read]]="N/A",Table1[[#This Row],[Std Adj Read]]="N/A"),"N/A",IF(Table1[[#This Row],[DUT Adj Read]]="N/A",IF(Table1[[#This Row],[Std Adj Read]]&lt;Table1[[#This Row],[High Tol]],"Pass","Fail"),IF(Table1[[#This Row],[DUT Adj Read]]&lt;Table1[[#This Row],[High Tol]],"Pass","Fail")))</f>
        <v>Fail</v>
      </c>
      <c r="AF794" s="1" t="str">
        <f>IF(AND(Table1[[#This Row],[Spec Type2]]="N/A",Table1[[#This Row],[DUT Adj Read]]="N/A",Table1[[#This Row],[Std Adj Read]]="N/A"),"N/A",IF(Table1[[#This Row],[DUT Adj Read]]="N/A",IF(Table1[[#This Row],[Std Adj Read]]&gt;=Table1[[#This Row],[Low Tol]],"Pass","Fail"),IF(Table1[[#This Row],[DUT Adj Read]]&gt;=Table1[[#This Row],[Low Tol]],"Pass","Fail")))</f>
        <v>Pass</v>
      </c>
      <c r="AG794" s="1" t="str">
        <f>IF(AND(Table1[[#This Row],[Spec Type2]]="N/A",Table1[[#This Row],[DUT Adj Read]]="N/A",Table1[[#This Row],[Std Adj Read]]="N/A"),"N/A",IF(Table1[[#This Row],[DUT Adj Read]]="N/A",IF(Table1[[#This Row],[Std Adj Read]]&lt;=Table1[[#This Row],[High Tol]],"Pass","Fail"),IF(Table1[[#This Row],[DUT Adj Read]]&lt;=Table1[[#This Row],[High Tol]],"Pass","Fail")))</f>
        <v>Fail</v>
      </c>
      <c r="AH7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4" s="1" t="b">
        <v>0</v>
      </c>
      <c r="AN794" s="1" t="b">
        <v>0</v>
      </c>
      <c r="AO794" s="1" t="b">
        <v>0</v>
      </c>
    </row>
    <row r="795" spans="1:41" x14ac:dyDescent="0.25">
      <c r="A795" s="10"/>
      <c r="B795" s="10"/>
      <c r="C795" s="10"/>
      <c r="D795" s="10"/>
      <c r="E795" s="10"/>
      <c r="F795" s="10"/>
      <c r="G795" s="10"/>
      <c r="H795" s="10"/>
      <c r="I795" s="1" t="str">
        <f t="shared" si="36"/>
        <v/>
      </c>
      <c r="J795" s="1" t="s">
        <v>35</v>
      </c>
      <c r="K795" s="1" t="str">
        <f t="shared" si="37"/>
        <v/>
      </c>
      <c r="L795" s="1" t="str">
        <f t="shared" si="38"/>
        <v/>
      </c>
      <c r="M795" s="1">
        <f>IF(OR(Table1[[#This Row],[Std Nom]]="",Table1[[#This Row],[Std Read]]=""),0,Table1[[#This Row],[Std Nom]]-Table1[[#This Row],[Std Read]])</f>
        <v>0</v>
      </c>
      <c r="N795" s="1">
        <f>IF(Calculations!$F$5="ACCREDITED 17025 WITH UNCERTAINTIES",$N$10,0)</f>
        <v>0</v>
      </c>
      <c r="O795" s="1" t="str">
        <f>IFERROR(Table1[[#This Row],[Std Nom]]-(_xlfn.XLOOKUP(Table1[[#This Row],[Manufacturer]]&amp;" "&amp;Table1[[#This Row],[Model]],Table13[MFR &amp; MDL],Table13[Tolerance % CW ],"")/100*Table1[[#This Row],[Std Nom]]),"")</f>
        <v/>
      </c>
      <c r="P795" s="1" t="str">
        <f>IFERROR(Table1[[#This Row],[Std Nom]]+(_xlfn.XLOOKUP(Table1[[#This Row],[Manufacturer]]&amp;" "&amp;Table1[[#This Row],[Model]],Table13[MFR &amp; MDL],Table13[Tolerance % CW ],"")/100*Table1[[#This Row],[Std Nom]]),"")</f>
        <v/>
      </c>
      <c r="Q795" s="1" t="e">
        <f>Table1[[#This Row],[High Tol]]-Table1[[#This Row],[Low Tol]]</f>
        <v>#VALUE!</v>
      </c>
      <c r="R795" s="1">
        <f>2*Table1[[#This Row],[Std Error]]</f>
        <v>0</v>
      </c>
      <c r="S795" s="1" t="str">
        <f>IF(Table1[[#This Row],[High Tol]]="","N/A",IFERROR(ABS(Table1[[#This Row],[Tol Span]]/Table1[[#This Row],[Error Span]]),"N/A"))</f>
        <v>N/A</v>
      </c>
      <c r="T795" s="1" t="str">
        <f>IF(OR(Table1[[#This Row],[Low Tol]]="",Table1[[#This Row],[High Tol]]=""),"Needs Analysis",IF(Table1[[#This Row],[Ratio]]&gt;=4,"Not Significant",IF(Table1[[#This Row],[Ratio]]&gt;=2,"Semi-Significant","Significant")))</f>
        <v>Needs Analysis</v>
      </c>
      <c r="W795" s="1">
        <f>IF(Table1[[#This Row],[Cal Type]]&lt;&gt;"ACCREDITED 17025 WITH UNCERTAINTIES",0,"")</f>
        <v>0</v>
      </c>
      <c r="X795" s="1" t="str">
        <f>IF(Table1[[#This Row],[DUT Read]]="","N/A",Table1[[#This Row],[Std Error]]+Table1[[#This Row],[DUT Read]]+Table1[[#This Row],[DUT Ucty]])</f>
        <v>N/A</v>
      </c>
      <c r="Y795" s="1" t="str">
        <f>IF(Table1[[#This Row],[Std Read]]="","N/A",Table1[[#This Row],[Std Read]]+Table1[[#This Row],[Std Ucty]])</f>
        <v>N/A</v>
      </c>
      <c r="Z7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5" s="1" t="str">
        <f>IF(Table1[[#This Row],[Spec Type]]="","N/A",Table1[[#This Row],[Spec Type]])</f>
        <v>±</v>
      </c>
      <c r="AC795" s="1" t="str">
        <f>IF(Table1[[#This Row],[Spec Type2]]="N/A","N/A",IF(AND(Table1[[#This Row],[DUT Adj Read]]&gt;=Table1[[#This Row],[Low Tol]],Table1[[#This Row],[DUT Adj Read]]&lt;=Table1[[#This Row],[High Tol]]),"Pass","Fail"))</f>
        <v>Fail</v>
      </c>
      <c r="AD795" s="1" t="str">
        <f>IF(AND(Table1[[#This Row],[Spec Type2]]="N/A",Table1[[#This Row],[DUT Adj Read]]="N/A",Table1[[#This Row],[Std Adj Read]]="N/A"),"N/A",IF(Table1[[#This Row],[DUT Adj Read]]="N/A",IF(Table1[[#This Row],[Std Adj Read]]&gt;Table1[[#This Row],[Low Tol]],"Pass","Fail"),IF(Table1[[#This Row],[DUT Adj Read]]&gt;Table1[[#This Row],[Low Tol]],"Pass","Fail")))</f>
        <v>Pass</v>
      </c>
      <c r="AE795" s="1" t="str">
        <f>IF(AND(Table1[[#This Row],[Spec Type2]]="N/A",Table1[[#This Row],[DUT Adj Read]]="N/A",Table1[[#This Row],[Std Adj Read]]="N/A"),"N/A",IF(Table1[[#This Row],[DUT Adj Read]]="N/A",IF(Table1[[#This Row],[Std Adj Read]]&lt;Table1[[#This Row],[High Tol]],"Pass","Fail"),IF(Table1[[#This Row],[DUT Adj Read]]&lt;Table1[[#This Row],[High Tol]],"Pass","Fail")))</f>
        <v>Fail</v>
      </c>
      <c r="AF795" s="1" t="str">
        <f>IF(AND(Table1[[#This Row],[Spec Type2]]="N/A",Table1[[#This Row],[DUT Adj Read]]="N/A",Table1[[#This Row],[Std Adj Read]]="N/A"),"N/A",IF(Table1[[#This Row],[DUT Adj Read]]="N/A",IF(Table1[[#This Row],[Std Adj Read]]&gt;=Table1[[#This Row],[Low Tol]],"Pass","Fail"),IF(Table1[[#This Row],[DUT Adj Read]]&gt;=Table1[[#This Row],[Low Tol]],"Pass","Fail")))</f>
        <v>Pass</v>
      </c>
      <c r="AG795" s="1" t="str">
        <f>IF(AND(Table1[[#This Row],[Spec Type2]]="N/A",Table1[[#This Row],[DUT Adj Read]]="N/A",Table1[[#This Row],[Std Adj Read]]="N/A"),"N/A",IF(Table1[[#This Row],[DUT Adj Read]]="N/A",IF(Table1[[#This Row],[Std Adj Read]]&lt;=Table1[[#This Row],[High Tol]],"Pass","Fail"),IF(Table1[[#This Row],[DUT Adj Read]]&lt;=Table1[[#This Row],[High Tol]],"Pass","Fail")))</f>
        <v>Fail</v>
      </c>
      <c r="AH7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5" s="1" t="b">
        <v>0</v>
      </c>
      <c r="AN795" s="1" t="b">
        <v>0</v>
      </c>
      <c r="AO795" s="1" t="b">
        <v>0</v>
      </c>
    </row>
    <row r="796" spans="1:41" x14ac:dyDescent="0.25">
      <c r="A796" s="10"/>
      <c r="B796" s="10"/>
      <c r="C796" s="10"/>
      <c r="D796" s="10"/>
      <c r="E796" s="10"/>
      <c r="F796" s="10"/>
      <c r="G796" s="10"/>
      <c r="H796" s="10"/>
      <c r="I796" s="1" t="str">
        <f t="shared" si="36"/>
        <v/>
      </c>
      <c r="J796" s="1" t="s">
        <v>35</v>
      </c>
      <c r="K796" s="1" t="str">
        <f t="shared" si="37"/>
        <v/>
      </c>
      <c r="L796" s="1" t="str">
        <f t="shared" si="38"/>
        <v/>
      </c>
      <c r="M796" s="1">
        <f>IF(OR(Table1[[#This Row],[Std Nom]]="",Table1[[#This Row],[Std Read]]=""),0,Table1[[#This Row],[Std Nom]]-Table1[[#This Row],[Std Read]])</f>
        <v>0</v>
      </c>
      <c r="N796" s="1">
        <f>IF(Calculations!$F$5="ACCREDITED 17025 WITH UNCERTAINTIES",$N$10,0)</f>
        <v>0</v>
      </c>
      <c r="O796" s="1" t="str">
        <f>IFERROR(Table1[[#This Row],[Std Nom]]-(_xlfn.XLOOKUP(Table1[[#This Row],[Manufacturer]]&amp;" "&amp;Table1[[#This Row],[Model]],Table13[MFR &amp; MDL],Table13[Tolerance % CW ],"")/100*Table1[[#This Row],[Std Nom]]),"")</f>
        <v/>
      </c>
      <c r="P796" s="1" t="str">
        <f>IFERROR(Table1[[#This Row],[Std Nom]]+(_xlfn.XLOOKUP(Table1[[#This Row],[Manufacturer]]&amp;" "&amp;Table1[[#This Row],[Model]],Table13[MFR &amp; MDL],Table13[Tolerance % CW ],"")/100*Table1[[#This Row],[Std Nom]]),"")</f>
        <v/>
      </c>
      <c r="Q796" s="1" t="e">
        <f>Table1[[#This Row],[High Tol]]-Table1[[#This Row],[Low Tol]]</f>
        <v>#VALUE!</v>
      </c>
      <c r="R796" s="1">
        <f>2*Table1[[#This Row],[Std Error]]</f>
        <v>0</v>
      </c>
      <c r="S796" s="1" t="str">
        <f>IF(Table1[[#This Row],[High Tol]]="","N/A",IFERROR(ABS(Table1[[#This Row],[Tol Span]]/Table1[[#This Row],[Error Span]]),"N/A"))</f>
        <v>N/A</v>
      </c>
      <c r="T796" s="1" t="str">
        <f>IF(OR(Table1[[#This Row],[Low Tol]]="",Table1[[#This Row],[High Tol]]=""),"Needs Analysis",IF(Table1[[#This Row],[Ratio]]&gt;=4,"Not Significant",IF(Table1[[#This Row],[Ratio]]&gt;=2,"Semi-Significant","Significant")))</f>
        <v>Needs Analysis</v>
      </c>
      <c r="W796" s="1">
        <f>IF(Table1[[#This Row],[Cal Type]]&lt;&gt;"ACCREDITED 17025 WITH UNCERTAINTIES",0,"")</f>
        <v>0</v>
      </c>
      <c r="X796" s="1" t="str">
        <f>IF(Table1[[#This Row],[DUT Read]]="","N/A",Table1[[#This Row],[Std Error]]+Table1[[#This Row],[DUT Read]]+Table1[[#This Row],[DUT Ucty]])</f>
        <v>N/A</v>
      </c>
      <c r="Y796" s="1" t="str">
        <f>IF(Table1[[#This Row],[Std Read]]="","N/A",Table1[[#This Row],[Std Read]]+Table1[[#This Row],[Std Ucty]])</f>
        <v>N/A</v>
      </c>
      <c r="Z7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6" s="1" t="str">
        <f>IF(Table1[[#This Row],[Spec Type]]="","N/A",Table1[[#This Row],[Spec Type]])</f>
        <v>±</v>
      </c>
      <c r="AC796" s="1" t="str">
        <f>IF(Table1[[#This Row],[Spec Type2]]="N/A","N/A",IF(AND(Table1[[#This Row],[DUT Adj Read]]&gt;=Table1[[#This Row],[Low Tol]],Table1[[#This Row],[DUT Adj Read]]&lt;=Table1[[#This Row],[High Tol]]),"Pass","Fail"))</f>
        <v>Fail</v>
      </c>
      <c r="AD796" s="1" t="str">
        <f>IF(AND(Table1[[#This Row],[Spec Type2]]="N/A",Table1[[#This Row],[DUT Adj Read]]="N/A",Table1[[#This Row],[Std Adj Read]]="N/A"),"N/A",IF(Table1[[#This Row],[DUT Adj Read]]="N/A",IF(Table1[[#This Row],[Std Adj Read]]&gt;Table1[[#This Row],[Low Tol]],"Pass","Fail"),IF(Table1[[#This Row],[DUT Adj Read]]&gt;Table1[[#This Row],[Low Tol]],"Pass","Fail")))</f>
        <v>Pass</v>
      </c>
      <c r="AE796" s="1" t="str">
        <f>IF(AND(Table1[[#This Row],[Spec Type2]]="N/A",Table1[[#This Row],[DUT Adj Read]]="N/A",Table1[[#This Row],[Std Adj Read]]="N/A"),"N/A",IF(Table1[[#This Row],[DUT Adj Read]]="N/A",IF(Table1[[#This Row],[Std Adj Read]]&lt;Table1[[#This Row],[High Tol]],"Pass","Fail"),IF(Table1[[#This Row],[DUT Adj Read]]&lt;Table1[[#This Row],[High Tol]],"Pass","Fail")))</f>
        <v>Fail</v>
      </c>
      <c r="AF796" s="1" t="str">
        <f>IF(AND(Table1[[#This Row],[Spec Type2]]="N/A",Table1[[#This Row],[DUT Adj Read]]="N/A",Table1[[#This Row],[Std Adj Read]]="N/A"),"N/A",IF(Table1[[#This Row],[DUT Adj Read]]="N/A",IF(Table1[[#This Row],[Std Adj Read]]&gt;=Table1[[#This Row],[Low Tol]],"Pass","Fail"),IF(Table1[[#This Row],[DUT Adj Read]]&gt;=Table1[[#This Row],[Low Tol]],"Pass","Fail")))</f>
        <v>Pass</v>
      </c>
      <c r="AG796" s="1" t="str">
        <f>IF(AND(Table1[[#This Row],[Spec Type2]]="N/A",Table1[[#This Row],[DUT Adj Read]]="N/A",Table1[[#This Row],[Std Adj Read]]="N/A"),"N/A",IF(Table1[[#This Row],[DUT Adj Read]]="N/A",IF(Table1[[#This Row],[Std Adj Read]]&lt;=Table1[[#This Row],[High Tol]],"Pass","Fail"),IF(Table1[[#This Row],[DUT Adj Read]]&lt;=Table1[[#This Row],[High Tol]],"Pass","Fail")))</f>
        <v>Fail</v>
      </c>
      <c r="AH7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6" s="1" t="b">
        <v>0</v>
      </c>
      <c r="AN796" s="1" t="b">
        <v>0</v>
      </c>
      <c r="AO796" s="1" t="b">
        <v>0</v>
      </c>
    </row>
    <row r="797" spans="1:41" x14ac:dyDescent="0.25">
      <c r="A797" s="10"/>
      <c r="B797" s="10"/>
      <c r="C797" s="10"/>
      <c r="D797" s="10"/>
      <c r="E797" s="10"/>
      <c r="F797" s="10"/>
      <c r="G797" s="10"/>
      <c r="H797" s="10"/>
      <c r="I797" s="1" t="str">
        <f t="shared" si="36"/>
        <v/>
      </c>
      <c r="J797" s="1" t="s">
        <v>35</v>
      </c>
      <c r="K797" s="1" t="str">
        <f t="shared" si="37"/>
        <v/>
      </c>
      <c r="L797" s="1" t="str">
        <f t="shared" si="38"/>
        <v/>
      </c>
      <c r="M797" s="1">
        <f>IF(OR(Table1[[#This Row],[Std Nom]]="",Table1[[#This Row],[Std Read]]=""),0,Table1[[#This Row],[Std Nom]]-Table1[[#This Row],[Std Read]])</f>
        <v>0</v>
      </c>
      <c r="N797" s="1">
        <f>IF(Calculations!$F$5="ACCREDITED 17025 WITH UNCERTAINTIES",$N$10,0)</f>
        <v>0</v>
      </c>
      <c r="O797" s="1" t="str">
        <f>IFERROR(Table1[[#This Row],[Std Nom]]-(_xlfn.XLOOKUP(Table1[[#This Row],[Manufacturer]]&amp;" "&amp;Table1[[#This Row],[Model]],Table13[MFR &amp; MDL],Table13[Tolerance % CW ],"")/100*Table1[[#This Row],[Std Nom]]),"")</f>
        <v/>
      </c>
      <c r="P797" s="1" t="str">
        <f>IFERROR(Table1[[#This Row],[Std Nom]]+(_xlfn.XLOOKUP(Table1[[#This Row],[Manufacturer]]&amp;" "&amp;Table1[[#This Row],[Model]],Table13[MFR &amp; MDL],Table13[Tolerance % CW ],"")/100*Table1[[#This Row],[Std Nom]]),"")</f>
        <v/>
      </c>
      <c r="Q797" s="1" t="e">
        <f>Table1[[#This Row],[High Tol]]-Table1[[#This Row],[Low Tol]]</f>
        <v>#VALUE!</v>
      </c>
      <c r="R797" s="1">
        <f>2*Table1[[#This Row],[Std Error]]</f>
        <v>0</v>
      </c>
      <c r="S797" s="1" t="str">
        <f>IF(Table1[[#This Row],[High Tol]]="","N/A",IFERROR(ABS(Table1[[#This Row],[Tol Span]]/Table1[[#This Row],[Error Span]]),"N/A"))</f>
        <v>N/A</v>
      </c>
      <c r="T797" s="1" t="str">
        <f>IF(OR(Table1[[#This Row],[Low Tol]]="",Table1[[#This Row],[High Tol]]=""),"Needs Analysis",IF(Table1[[#This Row],[Ratio]]&gt;=4,"Not Significant",IF(Table1[[#This Row],[Ratio]]&gt;=2,"Semi-Significant","Significant")))</f>
        <v>Needs Analysis</v>
      </c>
      <c r="W797" s="1">
        <f>IF(Table1[[#This Row],[Cal Type]]&lt;&gt;"ACCREDITED 17025 WITH UNCERTAINTIES",0,"")</f>
        <v>0</v>
      </c>
      <c r="X797" s="1" t="str">
        <f>IF(Table1[[#This Row],[DUT Read]]="","N/A",Table1[[#This Row],[Std Error]]+Table1[[#This Row],[DUT Read]]+Table1[[#This Row],[DUT Ucty]])</f>
        <v>N/A</v>
      </c>
      <c r="Y797" s="1" t="str">
        <f>IF(Table1[[#This Row],[Std Read]]="","N/A",Table1[[#This Row],[Std Read]]+Table1[[#This Row],[Std Ucty]])</f>
        <v>N/A</v>
      </c>
      <c r="Z7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7" s="1" t="str">
        <f>IF(Table1[[#This Row],[Spec Type]]="","N/A",Table1[[#This Row],[Spec Type]])</f>
        <v>±</v>
      </c>
      <c r="AC797" s="1" t="str">
        <f>IF(Table1[[#This Row],[Spec Type2]]="N/A","N/A",IF(AND(Table1[[#This Row],[DUT Adj Read]]&gt;=Table1[[#This Row],[Low Tol]],Table1[[#This Row],[DUT Adj Read]]&lt;=Table1[[#This Row],[High Tol]]),"Pass","Fail"))</f>
        <v>Fail</v>
      </c>
      <c r="AD797" s="1" t="str">
        <f>IF(AND(Table1[[#This Row],[Spec Type2]]="N/A",Table1[[#This Row],[DUT Adj Read]]="N/A",Table1[[#This Row],[Std Adj Read]]="N/A"),"N/A",IF(Table1[[#This Row],[DUT Adj Read]]="N/A",IF(Table1[[#This Row],[Std Adj Read]]&gt;Table1[[#This Row],[Low Tol]],"Pass","Fail"),IF(Table1[[#This Row],[DUT Adj Read]]&gt;Table1[[#This Row],[Low Tol]],"Pass","Fail")))</f>
        <v>Pass</v>
      </c>
      <c r="AE797" s="1" t="str">
        <f>IF(AND(Table1[[#This Row],[Spec Type2]]="N/A",Table1[[#This Row],[DUT Adj Read]]="N/A",Table1[[#This Row],[Std Adj Read]]="N/A"),"N/A",IF(Table1[[#This Row],[DUT Adj Read]]="N/A",IF(Table1[[#This Row],[Std Adj Read]]&lt;Table1[[#This Row],[High Tol]],"Pass","Fail"),IF(Table1[[#This Row],[DUT Adj Read]]&lt;Table1[[#This Row],[High Tol]],"Pass","Fail")))</f>
        <v>Fail</v>
      </c>
      <c r="AF797" s="1" t="str">
        <f>IF(AND(Table1[[#This Row],[Spec Type2]]="N/A",Table1[[#This Row],[DUT Adj Read]]="N/A",Table1[[#This Row],[Std Adj Read]]="N/A"),"N/A",IF(Table1[[#This Row],[DUT Adj Read]]="N/A",IF(Table1[[#This Row],[Std Adj Read]]&gt;=Table1[[#This Row],[Low Tol]],"Pass","Fail"),IF(Table1[[#This Row],[DUT Adj Read]]&gt;=Table1[[#This Row],[Low Tol]],"Pass","Fail")))</f>
        <v>Pass</v>
      </c>
      <c r="AG797" s="1" t="str">
        <f>IF(AND(Table1[[#This Row],[Spec Type2]]="N/A",Table1[[#This Row],[DUT Adj Read]]="N/A",Table1[[#This Row],[Std Adj Read]]="N/A"),"N/A",IF(Table1[[#This Row],[DUT Adj Read]]="N/A",IF(Table1[[#This Row],[Std Adj Read]]&lt;=Table1[[#This Row],[High Tol]],"Pass","Fail"),IF(Table1[[#This Row],[DUT Adj Read]]&lt;=Table1[[#This Row],[High Tol]],"Pass","Fail")))</f>
        <v>Fail</v>
      </c>
      <c r="AH7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7" s="1" t="b">
        <v>0</v>
      </c>
      <c r="AN797" s="1" t="b">
        <v>0</v>
      </c>
      <c r="AO797" s="1" t="b">
        <v>0</v>
      </c>
    </row>
    <row r="798" spans="1:41" x14ac:dyDescent="0.25">
      <c r="A798" s="10"/>
      <c r="B798" s="10"/>
      <c r="C798" s="10"/>
      <c r="D798" s="10"/>
      <c r="E798" s="10"/>
      <c r="F798" s="10"/>
      <c r="G798" s="10"/>
      <c r="H798" s="10"/>
      <c r="I798" s="1" t="str">
        <f t="shared" si="36"/>
        <v/>
      </c>
      <c r="J798" s="1" t="s">
        <v>35</v>
      </c>
      <c r="K798" s="1" t="str">
        <f t="shared" si="37"/>
        <v/>
      </c>
      <c r="L798" s="1" t="str">
        <f t="shared" si="38"/>
        <v/>
      </c>
      <c r="M798" s="1">
        <f>IF(OR(Table1[[#This Row],[Std Nom]]="",Table1[[#This Row],[Std Read]]=""),0,Table1[[#This Row],[Std Nom]]-Table1[[#This Row],[Std Read]])</f>
        <v>0</v>
      </c>
      <c r="N798" s="1">
        <f>IF(Calculations!$F$5="ACCREDITED 17025 WITH UNCERTAINTIES",$N$10,0)</f>
        <v>0</v>
      </c>
      <c r="O798" s="1" t="str">
        <f>IFERROR(Table1[[#This Row],[Std Nom]]-(_xlfn.XLOOKUP(Table1[[#This Row],[Manufacturer]]&amp;" "&amp;Table1[[#This Row],[Model]],Table13[MFR &amp; MDL],Table13[Tolerance % CW ],"")/100*Table1[[#This Row],[Std Nom]]),"")</f>
        <v/>
      </c>
      <c r="P798" s="1" t="str">
        <f>IFERROR(Table1[[#This Row],[Std Nom]]+(_xlfn.XLOOKUP(Table1[[#This Row],[Manufacturer]]&amp;" "&amp;Table1[[#This Row],[Model]],Table13[MFR &amp; MDL],Table13[Tolerance % CW ],"")/100*Table1[[#This Row],[Std Nom]]),"")</f>
        <v/>
      </c>
      <c r="Q798" s="1" t="e">
        <f>Table1[[#This Row],[High Tol]]-Table1[[#This Row],[Low Tol]]</f>
        <v>#VALUE!</v>
      </c>
      <c r="R798" s="1">
        <f>2*Table1[[#This Row],[Std Error]]</f>
        <v>0</v>
      </c>
      <c r="S798" s="1" t="str">
        <f>IF(Table1[[#This Row],[High Tol]]="","N/A",IFERROR(ABS(Table1[[#This Row],[Tol Span]]/Table1[[#This Row],[Error Span]]),"N/A"))</f>
        <v>N/A</v>
      </c>
      <c r="T798" s="1" t="str">
        <f>IF(OR(Table1[[#This Row],[Low Tol]]="",Table1[[#This Row],[High Tol]]=""),"Needs Analysis",IF(Table1[[#This Row],[Ratio]]&gt;=4,"Not Significant",IF(Table1[[#This Row],[Ratio]]&gt;=2,"Semi-Significant","Significant")))</f>
        <v>Needs Analysis</v>
      </c>
      <c r="W798" s="1">
        <f>IF(Table1[[#This Row],[Cal Type]]&lt;&gt;"ACCREDITED 17025 WITH UNCERTAINTIES",0,"")</f>
        <v>0</v>
      </c>
      <c r="X798" s="1" t="str">
        <f>IF(Table1[[#This Row],[DUT Read]]="","N/A",Table1[[#This Row],[Std Error]]+Table1[[#This Row],[DUT Read]]+Table1[[#This Row],[DUT Ucty]])</f>
        <v>N/A</v>
      </c>
      <c r="Y798" s="1" t="str">
        <f>IF(Table1[[#This Row],[Std Read]]="","N/A",Table1[[#This Row],[Std Read]]+Table1[[#This Row],[Std Ucty]])</f>
        <v>N/A</v>
      </c>
      <c r="Z7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8" s="1" t="str">
        <f>IF(Table1[[#This Row],[Spec Type]]="","N/A",Table1[[#This Row],[Spec Type]])</f>
        <v>±</v>
      </c>
      <c r="AC798" s="1" t="str">
        <f>IF(Table1[[#This Row],[Spec Type2]]="N/A","N/A",IF(AND(Table1[[#This Row],[DUT Adj Read]]&gt;=Table1[[#This Row],[Low Tol]],Table1[[#This Row],[DUT Adj Read]]&lt;=Table1[[#This Row],[High Tol]]),"Pass","Fail"))</f>
        <v>Fail</v>
      </c>
      <c r="AD798" s="1" t="str">
        <f>IF(AND(Table1[[#This Row],[Spec Type2]]="N/A",Table1[[#This Row],[DUT Adj Read]]="N/A",Table1[[#This Row],[Std Adj Read]]="N/A"),"N/A",IF(Table1[[#This Row],[DUT Adj Read]]="N/A",IF(Table1[[#This Row],[Std Adj Read]]&gt;Table1[[#This Row],[Low Tol]],"Pass","Fail"),IF(Table1[[#This Row],[DUT Adj Read]]&gt;Table1[[#This Row],[Low Tol]],"Pass","Fail")))</f>
        <v>Pass</v>
      </c>
      <c r="AE798" s="1" t="str">
        <f>IF(AND(Table1[[#This Row],[Spec Type2]]="N/A",Table1[[#This Row],[DUT Adj Read]]="N/A",Table1[[#This Row],[Std Adj Read]]="N/A"),"N/A",IF(Table1[[#This Row],[DUT Adj Read]]="N/A",IF(Table1[[#This Row],[Std Adj Read]]&lt;Table1[[#This Row],[High Tol]],"Pass","Fail"),IF(Table1[[#This Row],[DUT Adj Read]]&lt;Table1[[#This Row],[High Tol]],"Pass","Fail")))</f>
        <v>Fail</v>
      </c>
      <c r="AF798" s="1" t="str">
        <f>IF(AND(Table1[[#This Row],[Spec Type2]]="N/A",Table1[[#This Row],[DUT Adj Read]]="N/A",Table1[[#This Row],[Std Adj Read]]="N/A"),"N/A",IF(Table1[[#This Row],[DUT Adj Read]]="N/A",IF(Table1[[#This Row],[Std Adj Read]]&gt;=Table1[[#This Row],[Low Tol]],"Pass","Fail"),IF(Table1[[#This Row],[DUT Adj Read]]&gt;=Table1[[#This Row],[Low Tol]],"Pass","Fail")))</f>
        <v>Pass</v>
      </c>
      <c r="AG798" s="1" t="str">
        <f>IF(AND(Table1[[#This Row],[Spec Type2]]="N/A",Table1[[#This Row],[DUT Adj Read]]="N/A",Table1[[#This Row],[Std Adj Read]]="N/A"),"N/A",IF(Table1[[#This Row],[DUT Adj Read]]="N/A",IF(Table1[[#This Row],[Std Adj Read]]&lt;=Table1[[#This Row],[High Tol]],"Pass","Fail"),IF(Table1[[#This Row],[DUT Adj Read]]&lt;=Table1[[#This Row],[High Tol]],"Pass","Fail")))</f>
        <v>Fail</v>
      </c>
      <c r="AH7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8" s="1" t="b">
        <v>0</v>
      </c>
      <c r="AN798" s="1" t="b">
        <v>0</v>
      </c>
      <c r="AO798" s="1" t="b">
        <v>0</v>
      </c>
    </row>
    <row r="799" spans="1:41" x14ac:dyDescent="0.25">
      <c r="A799" s="10"/>
      <c r="B799" s="10"/>
      <c r="C799" s="10"/>
      <c r="D799" s="10"/>
      <c r="E799" s="10"/>
      <c r="F799" s="10"/>
      <c r="G799" s="10"/>
      <c r="H799" s="10"/>
      <c r="I799" s="1" t="str">
        <f t="shared" si="36"/>
        <v/>
      </c>
      <c r="J799" s="1" t="s">
        <v>35</v>
      </c>
      <c r="K799" s="1" t="str">
        <f t="shared" si="37"/>
        <v/>
      </c>
      <c r="L799" s="1" t="str">
        <f t="shared" si="38"/>
        <v/>
      </c>
      <c r="M799" s="1">
        <f>IF(OR(Table1[[#This Row],[Std Nom]]="",Table1[[#This Row],[Std Read]]=""),0,Table1[[#This Row],[Std Nom]]-Table1[[#This Row],[Std Read]])</f>
        <v>0</v>
      </c>
      <c r="N799" s="1">
        <f>IF(Calculations!$F$5="ACCREDITED 17025 WITH UNCERTAINTIES",$N$10,0)</f>
        <v>0</v>
      </c>
      <c r="O799" s="1" t="str">
        <f>IFERROR(Table1[[#This Row],[Std Nom]]-(_xlfn.XLOOKUP(Table1[[#This Row],[Manufacturer]]&amp;" "&amp;Table1[[#This Row],[Model]],Table13[MFR &amp; MDL],Table13[Tolerance % CW ],"")/100*Table1[[#This Row],[Std Nom]]),"")</f>
        <v/>
      </c>
      <c r="P799" s="1" t="str">
        <f>IFERROR(Table1[[#This Row],[Std Nom]]+(_xlfn.XLOOKUP(Table1[[#This Row],[Manufacturer]]&amp;" "&amp;Table1[[#This Row],[Model]],Table13[MFR &amp; MDL],Table13[Tolerance % CW ],"")/100*Table1[[#This Row],[Std Nom]]),"")</f>
        <v/>
      </c>
      <c r="Q799" s="1" t="e">
        <f>Table1[[#This Row],[High Tol]]-Table1[[#This Row],[Low Tol]]</f>
        <v>#VALUE!</v>
      </c>
      <c r="R799" s="1">
        <f>2*Table1[[#This Row],[Std Error]]</f>
        <v>0</v>
      </c>
      <c r="S799" s="1" t="str">
        <f>IF(Table1[[#This Row],[High Tol]]="","N/A",IFERROR(ABS(Table1[[#This Row],[Tol Span]]/Table1[[#This Row],[Error Span]]),"N/A"))</f>
        <v>N/A</v>
      </c>
      <c r="T799" s="1" t="str">
        <f>IF(OR(Table1[[#This Row],[Low Tol]]="",Table1[[#This Row],[High Tol]]=""),"Needs Analysis",IF(Table1[[#This Row],[Ratio]]&gt;=4,"Not Significant",IF(Table1[[#This Row],[Ratio]]&gt;=2,"Semi-Significant","Significant")))</f>
        <v>Needs Analysis</v>
      </c>
      <c r="W799" s="1">
        <f>IF(Table1[[#This Row],[Cal Type]]&lt;&gt;"ACCREDITED 17025 WITH UNCERTAINTIES",0,"")</f>
        <v>0</v>
      </c>
      <c r="X799" s="1" t="str">
        <f>IF(Table1[[#This Row],[DUT Read]]="","N/A",Table1[[#This Row],[Std Error]]+Table1[[#This Row],[DUT Read]]+Table1[[#This Row],[DUT Ucty]])</f>
        <v>N/A</v>
      </c>
      <c r="Y799" s="1" t="str">
        <f>IF(Table1[[#This Row],[Std Read]]="","N/A",Table1[[#This Row],[Std Read]]+Table1[[#This Row],[Std Ucty]])</f>
        <v>N/A</v>
      </c>
      <c r="Z7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9" s="1" t="str">
        <f>IF(Table1[[#This Row],[Spec Type]]="","N/A",Table1[[#This Row],[Spec Type]])</f>
        <v>±</v>
      </c>
      <c r="AC799" s="1" t="str">
        <f>IF(Table1[[#This Row],[Spec Type2]]="N/A","N/A",IF(AND(Table1[[#This Row],[DUT Adj Read]]&gt;=Table1[[#This Row],[Low Tol]],Table1[[#This Row],[DUT Adj Read]]&lt;=Table1[[#This Row],[High Tol]]),"Pass","Fail"))</f>
        <v>Fail</v>
      </c>
      <c r="AD799" s="1" t="str">
        <f>IF(AND(Table1[[#This Row],[Spec Type2]]="N/A",Table1[[#This Row],[DUT Adj Read]]="N/A",Table1[[#This Row],[Std Adj Read]]="N/A"),"N/A",IF(Table1[[#This Row],[DUT Adj Read]]="N/A",IF(Table1[[#This Row],[Std Adj Read]]&gt;Table1[[#This Row],[Low Tol]],"Pass","Fail"),IF(Table1[[#This Row],[DUT Adj Read]]&gt;Table1[[#This Row],[Low Tol]],"Pass","Fail")))</f>
        <v>Pass</v>
      </c>
      <c r="AE799" s="1" t="str">
        <f>IF(AND(Table1[[#This Row],[Spec Type2]]="N/A",Table1[[#This Row],[DUT Adj Read]]="N/A",Table1[[#This Row],[Std Adj Read]]="N/A"),"N/A",IF(Table1[[#This Row],[DUT Adj Read]]="N/A",IF(Table1[[#This Row],[Std Adj Read]]&lt;Table1[[#This Row],[High Tol]],"Pass","Fail"),IF(Table1[[#This Row],[DUT Adj Read]]&lt;Table1[[#This Row],[High Tol]],"Pass","Fail")))</f>
        <v>Fail</v>
      </c>
      <c r="AF799" s="1" t="str">
        <f>IF(AND(Table1[[#This Row],[Spec Type2]]="N/A",Table1[[#This Row],[DUT Adj Read]]="N/A",Table1[[#This Row],[Std Adj Read]]="N/A"),"N/A",IF(Table1[[#This Row],[DUT Adj Read]]="N/A",IF(Table1[[#This Row],[Std Adj Read]]&gt;=Table1[[#This Row],[Low Tol]],"Pass","Fail"),IF(Table1[[#This Row],[DUT Adj Read]]&gt;=Table1[[#This Row],[Low Tol]],"Pass","Fail")))</f>
        <v>Pass</v>
      </c>
      <c r="AG799" s="1" t="str">
        <f>IF(AND(Table1[[#This Row],[Spec Type2]]="N/A",Table1[[#This Row],[DUT Adj Read]]="N/A",Table1[[#This Row],[Std Adj Read]]="N/A"),"N/A",IF(Table1[[#This Row],[DUT Adj Read]]="N/A",IF(Table1[[#This Row],[Std Adj Read]]&lt;=Table1[[#This Row],[High Tol]],"Pass","Fail"),IF(Table1[[#This Row],[DUT Adj Read]]&lt;=Table1[[#This Row],[High Tol]],"Pass","Fail")))</f>
        <v>Fail</v>
      </c>
      <c r="AH7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9" s="1" t="b">
        <v>0</v>
      </c>
      <c r="AN799" s="1" t="b">
        <v>0</v>
      </c>
      <c r="AO799" s="1" t="b">
        <v>0</v>
      </c>
    </row>
    <row r="800" spans="1:41" x14ac:dyDescent="0.25">
      <c r="A800" s="10"/>
      <c r="B800" s="10"/>
      <c r="C800" s="10"/>
      <c r="D800" s="10"/>
      <c r="E800" s="10"/>
      <c r="F800" s="10"/>
      <c r="G800" s="10"/>
      <c r="H800" s="10"/>
      <c r="I800" s="1" t="str">
        <f t="shared" si="36"/>
        <v/>
      </c>
      <c r="J800" s="1" t="s">
        <v>35</v>
      </c>
      <c r="K800" s="1" t="str">
        <f t="shared" si="37"/>
        <v/>
      </c>
      <c r="L800" s="1" t="str">
        <f t="shared" si="38"/>
        <v/>
      </c>
      <c r="M800" s="1">
        <f>IF(OR(Table1[[#This Row],[Std Nom]]="",Table1[[#This Row],[Std Read]]=""),0,Table1[[#This Row],[Std Nom]]-Table1[[#This Row],[Std Read]])</f>
        <v>0</v>
      </c>
      <c r="N800" s="1">
        <f>IF(Calculations!$F$5="ACCREDITED 17025 WITH UNCERTAINTIES",$N$10,0)</f>
        <v>0</v>
      </c>
      <c r="O800" s="1" t="str">
        <f>IFERROR(Table1[[#This Row],[Std Nom]]-(_xlfn.XLOOKUP(Table1[[#This Row],[Manufacturer]]&amp;" "&amp;Table1[[#This Row],[Model]],Table13[MFR &amp; MDL],Table13[Tolerance % CW ],"")/100*Table1[[#This Row],[Std Nom]]),"")</f>
        <v/>
      </c>
      <c r="P800" s="1" t="str">
        <f>IFERROR(Table1[[#This Row],[Std Nom]]+(_xlfn.XLOOKUP(Table1[[#This Row],[Manufacturer]]&amp;" "&amp;Table1[[#This Row],[Model]],Table13[MFR &amp; MDL],Table13[Tolerance % CW ],"")/100*Table1[[#This Row],[Std Nom]]),"")</f>
        <v/>
      </c>
      <c r="Q800" s="1" t="e">
        <f>Table1[[#This Row],[High Tol]]-Table1[[#This Row],[Low Tol]]</f>
        <v>#VALUE!</v>
      </c>
      <c r="R800" s="1">
        <f>2*Table1[[#This Row],[Std Error]]</f>
        <v>0</v>
      </c>
      <c r="S800" s="1" t="str">
        <f>IF(Table1[[#This Row],[High Tol]]="","N/A",IFERROR(ABS(Table1[[#This Row],[Tol Span]]/Table1[[#This Row],[Error Span]]),"N/A"))</f>
        <v>N/A</v>
      </c>
      <c r="T800" s="1" t="str">
        <f>IF(OR(Table1[[#This Row],[Low Tol]]="",Table1[[#This Row],[High Tol]]=""),"Needs Analysis",IF(Table1[[#This Row],[Ratio]]&gt;=4,"Not Significant",IF(Table1[[#This Row],[Ratio]]&gt;=2,"Semi-Significant","Significant")))</f>
        <v>Needs Analysis</v>
      </c>
      <c r="W800" s="1">
        <f>IF(Table1[[#This Row],[Cal Type]]&lt;&gt;"ACCREDITED 17025 WITH UNCERTAINTIES",0,"")</f>
        <v>0</v>
      </c>
      <c r="X800" s="1" t="str">
        <f>IF(Table1[[#This Row],[DUT Read]]="","N/A",Table1[[#This Row],[Std Error]]+Table1[[#This Row],[DUT Read]]+Table1[[#This Row],[DUT Ucty]])</f>
        <v>N/A</v>
      </c>
      <c r="Y800" s="1" t="str">
        <f>IF(Table1[[#This Row],[Std Read]]="","N/A",Table1[[#This Row],[Std Read]]+Table1[[#This Row],[Std Ucty]])</f>
        <v>N/A</v>
      </c>
      <c r="Z8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0" s="1" t="str">
        <f>IF(Table1[[#This Row],[Spec Type]]="","N/A",Table1[[#This Row],[Spec Type]])</f>
        <v>±</v>
      </c>
      <c r="AC800" s="1" t="str">
        <f>IF(Table1[[#This Row],[Spec Type2]]="N/A","N/A",IF(AND(Table1[[#This Row],[DUT Adj Read]]&gt;=Table1[[#This Row],[Low Tol]],Table1[[#This Row],[DUT Adj Read]]&lt;=Table1[[#This Row],[High Tol]]),"Pass","Fail"))</f>
        <v>Fail</v>
      </c>
      <c r="AD800" s="1" t="str">
        <f>IF(AND(Table1[[#This Row],[Spec Type2]]="N/A",Table1[[#This Row],[DUT Adj Read]]="N/A",Table1[[#This Row],[Std Adj Read]]="N/A"),"N/A",IF(Table1[[#This Row],[DUT Adj Read]]="N/A",IF(Table1[[#This Row],[Std Adj Read]]&gt;Table1[[#This Row],[Low Tol]],"Pass","Fail"),IF(Table1[[#This Row],[DUT Adj Read]]&gt;Table1[[#This Row],[Low Tol]],"Pass","Fail")))</f>
        <v>Pass</v>
      </c>
      <c r="AE800" s="1" t="str">
        <f>IF(AND(Table1[[#This Row],[Spec Type2]]="N/A",Table1[[#This Row],[DUT Adj Read]]="N/A",Table1[[#This Row],[Std Adj Read]]="N/A"),"N/A",IF(Table1[[#This Row],[DUT Adj Read]]="N/A",IF(Table1[[#This Row],[Std Adj Read]]&lt;Table1[[#This Row],[High Tol]],"Pass","Fail"),IF(Table1[[#This Row],[DUT Adj Read]]&lt;Table1[[#This Row],[High Tol]],"Pass","Fail")))</f>
        <v>Fail</v>
      </c>
      <c r="AF800" s="1" t="str">
        <f>IF(AND(Table1[[#This Row],[Spec Type2]]="N/A",Table1[[#This Row],[DUT Adj Read]]="N/A",Table1[[#This Row],[Std Adj Read]]="N/A"),"N/A",IF(Table1[[#This Row],[DUT Adj Read]]="N/A",IF(Table1[[#This Row],[Std Adj Read]]&gt;=Table1[[#This Row],[Low Tol]],"Pass","Fail"),IF(Table1[[#This Row],[DUT Adj Read]]&gt;=Table1[[#This Row],[Low Tol]],"Pass","Fail")))</f>
        <v>Pass</v>
      </c>
      <c r="AG800" s="1" t="str">
        <f>IF(AND(Table1[[#This Row],[Spec Type2]]="N/A",Table1[[#This Row],[DUT Adj Read]]="N/A",Table1[[#This Row],[Std Adj Read]]="N/A"),"N/A",IF(Table1[[#This Row],[DUT Adj Read]]="N/A",IF(Table1[[#This Row],[Std Adj Read]]&lt;=Table1[[#This Row],[High Tol]],"Pass","Fail"),IF(Table1[[#This Row],[DUT Adj Read]]&lt;=Table1[[#This Row],[High Tol]],"Pass","Fail")))</f>
        <v>Fail</v>
      </c>
      <c r="AH8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0" s="1" t="b">
        <v>0</v>
      </c>
      <c r="AN800" s="1" t="b">
        <v>0</v>
      </c>
      <c r="AO800" s="1" t="b">
        <v>0</v>
      </c>
    </row>
    <row r="801" spans="1:41" x14ac:dyDescent="0.25">
      <c r="A801" s="10"/>
      <c r="B801" s="10"/>
      <c r="C801" s="10"/>
      <c r="D801" s="10"/>
      <c r="E801" s="10"/>
      <c r="F801" s="10"/>
      <c r="G801" s="10"/>
      <c r="H801" s="10"/>
      <c r="I801" s="1" t="str">
        <f t="shared" si="36"/>
        <v/>
      </c>
      <c r="J801" s="1" t="s">
        <v>35</v>
      </c>
      <c r="K801" s="1" t="str">
        <f t="shared" si="37"/>
        <v/>
      </c>
      <c r="L801" s="1" t="str">
        <f t="shared" si="38"/>
        <v/>
      </c>
      <c r="M801" s="1">
        <f>IF(OR(Table1[[#This Row],[Std Nom]]="",Table1[[#This Row],[Std Read]]=""),0,Table1[[#This Row],[Std Nom]]-Table1[[#This Row],[Std Read]])</f>
        <v>0</v>
      </c>
      <c r="N801" s="1">
        <f>IF(Calculations!$F$5="ACCREDITED 17025 WITH UNCERTAINTIES",$N$10,0)</f>
        <v>0</v>
      </c>
      <c r="O801" s="1" t="str">
        <f>IFERROR(Table1[[#This Row],[Std Nom]]-(_xlfn.XLOOKUP(Table1[[#This Row],[Manufacturer]]&amp;" "&amp;Table1[[#This Row],[Model]],Table13[MFR &amp; MDL],Table13[Tolerance % CW ],"")/100*Table1[[#This Row],[Std Nom]]),"")</f>
        <v/>
      </c>
      <c r="P801" s="1" t="str">
        <f>IFERROR(Table1[[#This Row],[Std Nom]]+(_xlfn.XLOOKUP(Table1[[#This Row],[Manufacturer]]&amp;" "&amp;Table1[[#This Row],[Model]],Table13[MFR &amp; MDL],Table13[Tolerance % CW ],"")/100*Table1[[#This Row],[Std Nom]]),"")</f>
        <v/>
      </c>
      <c r="Q801" s="1" t="e">
        <f>Table1[[#This Row],[High Tol]]-Table1[[#This Row],[Low Tol]]</f>
        <v>#VALUE!</v>
      </c>
      <c r="R801" s="1">
        <f>2*Table1[[#This Row],[Std Error]]</f>
        <v>0</v>
      </c>
      <c r="S801" s="1" t="str">
        <f>IF(Table1[[#This Row],[High Tol]]="","N/A",IFERROR(ABS(Table1[[#This Row],[Tol Span]]/Table1[[#This Row],[Error Span]]),"N/A"))</f>
        <v>N/A</v>
      </c>
      <c r="T801" s="1" t="str">
        <f>IF(OR(Table1[[#This Row],[Low Tol]]="",Table1[[#This Row],[High Tol]]=""),"Needs Analysis",IF(Table1[[#This Row],[Ratio]]&gt;=4,"Not Significant",IF(Table1[[#This Row],[Ratio]]&gt;=2,"Semi-Significant","Significant")))</f>
        <v>Needs Analysis</v>
      </c>
      <c r="W801" s="1">
        <f>IF(Table1[[#This Row],[Cal Type]]&lt;&gt;"ACCREDITED 17025 WITH UNCERTAINTIES",0,"")</f>
        <v>0</v>
      </c>
      <c r="X801" s="1" t="str">
        <f>IF(Table1[[#This Row],[DUT Read]]="","N/A",Table1[[#This Row],[Std Error]]+Table1[[#This Row],[DUT Read]]+Table1[[#This Row],[DUT Ucty]])</f>
        <v>N/A</v>
      </c>
      <c r="Y801" s="1" t="str">
        <f>IF(Table1[[#This Row],[Std Read]]="","N/A",Table1[[#This Row],[Std Read]]+Table1[[#This Row],[Std Ucty]])</f>
        <v>N/A</v>
      </c>
      <c r="Z8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1" s="1" t="str">
        <f>IF(Table1[[#This Row],[Spec Type]]="","N/A",Table1[[#This Row],[Spec Type]])</f>
        <v>±</v>
      </c>
      <c r="AC801" s="1" t="str">
        <f>IF(Table1[[#This Row],[Spec Type2]]="N/A","N/A",IF(AND(Table1[[#This Row],[DUT Adj Read]]&gt;=Table1[[#This Row],[Low Tol]],Table1[[#This Row],[DUT Adj Read]]&lt;=Table1[[#This Row],[High Tol]]),"Pass","Fail"))</f>
        <v>Fail</v>
      </c>
      <c r="AD801" s="1" t="str">
        <f>IF(AND(Table1[[#This Row],[Spec Type2]]="N/A",Table1[[#This Row],[DUT Adj Read]]="N/A",Table1[[#This Row],[Std Adj Read]]="N/A"),"N/A",IF(Table1[[#This Row],[DUT Adj Read]]="N/A",IF(Table1[[#This Row],[Std Adj Read]]&gt;Table1[[#This Row],[Low Tol]],"Pass","Fail"),IF(Table1[[#This Row],[DUT Adj Read]]&gt;Table1[[#This Row],[Low Tol]],"Pass","Fail")))</f>
        <v>Pass</v>
      </c>
      <c r="AE801" s="1" t="str">
        <f>IF(AND(Table1[[#This Row],[Spec Type2]]="N/A",Table1[[#This Row],[DUT Adj Read]]="N/A",Table1[[#This Row],[Std Adj Read]]="N/A"),"N/A",IF(Table1[[#This Row],[DUT Adj Read]]="N/A",IF(Table1[[#This Row],[Std Adj Read]]&lt;Table1[[#This Row],[High Tol]],"Pass","Fail"),IF(Table1[[#This Row],[DUT Adj Read]]&lt;Table1[[#This Row],[High Tol]],"Pass","Fail")))</f>
        <v>Fail</v>
      </c>
      <c r="AF801" s="1" t="str">
        <f>IF(AND(Table1[[#This Row],[Spec Type2]]="N/A",Table1[[#This Row],[DUT Adj Read]]="N/A",Table1[[#This Row],[Std Adj Read]]="N/A"),"N/A",IF(Table1[[#This Row],[DUT Adj Read]]="N/A",IF(Table1[[#This Row],[Std Adj Read]]&gt;=Table1[[#This Row],[Low Tol]],"Pass","Fail"),IF(Table1[[#This Row],[DUT Adj Read]]&gt;=Table1[[#This Row],[Low Tol]],"Pass","Fail")))</f>
        <v>Pass</v>
      </c>
      <c r="AG801" s="1" t="str">
        <f>IF(AND(Table1[[#This Row],[Spec Type2]]="N/A",Table1[[#This Row],[DUT Adj Read]]="N/A",Table1[[#This Row],[Std Adj Read]]="N/A"),"N/A",IF(Table1[[#This Row],[DUT Adj Read]]="N/A",IF(Table1[[#This Row],[Std Adj Read]]&lt;=Table1[[#This Row],[High Tol]],"Pass","Fail"),IF(Table1[[#This Row],[DUT Adj Read]]&lt;=Table1[[#This Row],[High Tol]],"Pass","Fail")))</f>
        <v>Fail</v>
      </c>
      <c r="AH8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1" s="1" t="b">
        <v>0</v>
      </c>
      <c r="AN801" s="1" t="b">
        <v>0</v>
      </c>
      <c r="AO801" s="1" t="b">
        <v>0</v>
      </c>
    </row>
    <row r="802" spans="1:41" x14ac:dyDescent="0.25">
      <c r="A802" s="10"/>
      <c r="B802" s="10"/>
      <c r="C802" s="10"/>
      <c r="D802" s="10"/>
      <c r="E802" s="10"/>
      <c r="F802" s="10"/>
      <c r="G802" s="10"/>
      <c r="H802" s="10"/>
      <c r="I802" s="1" t="str">
        <f t="shared" si="36"/>
        <v/>
      </c>
      <c r="J802" s="1" t="s">
        <v>35</v>
      </c>
      <c r="K802" s="1" t="str">
        <f t="shared" si="37"/>
        <v/>
      </c>
      <c r="L802" s="1" t="str">
        <f t="shared" si="38"/>
        <v/>
      </c>
      <c r="M802" s="1">
        <f>IF(OR(Table1[[#This Row],[Std Nom]]="",Table1[[#This Row],[Std Read]]=""),0,Table1[[#This Row],[Std Nom]]-Table1[[#This Row],[Std Read]])</f>
        <v>0</v>
      </c>
      <c r="N802" s="1">
        <f>IF(Calculations!$F$5="ACCREDITED 17025 WITH UNCERTAINTIES",$N$10,0)</f>
        <v>0</v>
      </c>
      <c r="O802" s="1" t="str">
        <f>IFERROR(Table1[[#This Row],[Std Nom]]-(_xlfn.XLOOKUP(Table1[[#This Row],[Manufacturer]]&amp;" "&amp;Table1[[#This Row],[Model]],Table13[MFR &amp; MDL],Table13[Tolerance % CW ],"")/100*Table1[[#This Row],[Std Nom]]),"")</f>
        <v/>
      </c>
      <c r="P802" s="1" t="str">
        <f>IFERROR(Table1[[#This Row],[Std Nom]]+(_xlfn.XLOOKUP(Table1[[#This Row],[Manufacturer]]&amp;" "&amp;Table1[[#This Row],[Model]],Table13[MFR &amp; MDL],Table13[Tolerance % CW ],"")/100*Table1[[#This Row],[Std Nom]]),"")</f>
        <v/>
      </c>
      <c r="Q802" s="1" t="e">
        <f>Table1[[#This Row],[High Tol]]-Table1[[#This Row],[Low Tol]]</f>
        <v>#VALUE!</v>
      </c>
      <c r="R802" s="1">
        <f>2*Table1[[#This Row],[Std Error]]</f>
        <v>0</v>
      </c>
      <c r="S802" s="1" t="str">
        <f>IF(Table1[[#This Row],[High Tol]]="","N/A",IFERROR(ABS(Table1[[#This Row],[Tol Span]]/Table1[[#This Row],[Error Span]]),"N/A"))</f>
        <v>N/A</v>
      </c>
      <c r="T802" s="1" t="str">
        <f>IF(OR(Table1[[#This Row],[Low Tol]]="",Table1[[#This Row],[High Tol]]=""),"Needs Analysis",IF(Table1[[#This Row],[Ratio]]&gt;=4,"Not Significant",IF(Table1[[#This Row],[Ratio]]&gt;=2,"Semi-Significant","Significant")))</f>
        <v>Needs Analysis</v>
      </c>
      <c r="W802" s="1">
        <f>IF(Table1[[#This Row],[Cal Type]]&lt;&gt;"ACCREDITED 17025 WITH UNCERTAINTIES",0,"")</f>
        <v>0</v>
      </c>
      <c r="X802" s="1" t="str">
        <f>IF(Table1[[#This Row],[DUT Read]]="","N/A",Table1[[#This Row],[Std Error]]+Table1[[#This Row],[DUT Read]]+Table1[[#This Row],[DUT Ucty]])</f>
        <v>N/A</v>
      </c>
      <c r="Y802" s="1" t="str">
        <f>IF(Table1[[#This Row],[Std Read]]="","N/A",Table1[[#This Row],[Std Read]]+Table1[[#This Row],[Std Ucty]])</f>
        <v>N/A</v>
      </c>
      <c r="Z8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2" s="1" t="str">
        <f>IF(Table1[[#This Row],[Spec Type]]="","N/A",Table1[[#This Row],[Spec Type]])</f>
        <v>±</v>
      </c>
      <c r="AC802" s="1" t="str">
        <f>IF(Table1[[#This Row],[Spec Type2]]="N/A","N/A",IF(AND(Table1[[#This Row],[DUT Adj Read]]&gt;=Table1[[#This Row],[Low Tol]],Table1[[#This Row],[DUT Adj Read]]&lt;=Table1[[#This Row],[High Tol]]),"Pass","Fail"))</f>
        <v>Fail</v>
      </c>
      <c r="AD802" s="1" t="str">
        <f>IF(AND(Table1[[#This Row],[Spec Type2]]="N/A",Table1[[#This Row],[DUT Adj Read]]="N/A",Table1[[#This Row],[Std Adj Read]]="N/A"),"N/A",IF(Table1[[#This Row],[DUT Adj Read]]="N/A",IF(Table1[[#This Row],[Std Adj Read]]&gt;Table1[[#This Row],[Low Tol]],"Pass","Fail"),IF(Table1[[#This Row],[DUT Adj Read]]&gt;Table1[[#This Row],[Low Tol]],"Pass","Fail")))</f>
        <v>Pass</v>
      </c>
      <c r="AE802" s="1" t="str">
        <f>IF(AND(Table1[[#This Row],[Spec Type2]]="N/A",Table1[[#This Row],[DUT Adj Read]]="N/A",Table1[[#This Row],[Std Adj Read]]="N/A"),"N/A",IF(Table1[[#This Row],[DUT Adj Read]]="N/A",IF(Table1[[#This Row],[Std Adj Read]]&lt;Table1[[#This Row],[High Tol]],"Pass","Fail"),IF(Table1[[#This Row],[DUT Adj Read]]&lt;Table1[[#This Row],[High Tol]],"Pass","Fail")))</f>
        <v>Fail</v>
      </c>
      <c r="AF802" s="1" t="str">
        <f>IF(AND(Table1[[#This Row],[Spec Type2]]="N/A",Table1[[#This Row],[DUT Adj Read]]="N/A",Table1[[#This Row],[Std Adj Read]]="N/A"),"N/A",IF(Table1[[#This Row],[DUT Adj Read]]="N/A",IF(Table1[[#This Row],[Std Adj Read]]&gt;=Table1[[#This Row],[Low Tol]],"Pass","Fail"),IF(Table1[[#This Row],[DUT Adj Read]]&gt;=Table1[[#This Row],[Low Tol]],"Pass","Fail")))</f>
        <v>Pass</v>
      </c>
      <c r="AG802" s="1" t="str">
        <f>IF(AND(Table1[[#This Row],[Spec Type2]]="N/A",Table1[[#This Row],[DUT Adj Read]]="N/A",Table1[[#This Row],[Std Adj Read]]="N/A"),"N/A",IF(Table1[[#This Row],[DUT Adj Read]]="N/A",IF(Table1[[#This Row],[Std Adj Read]]&lt;=Table1[[#This Row],[High Tol]],"Pass","Fail"),IF(Table1[[#This Row],[DUT Adj Read]]&lt;=Table1[[#This Row],[High Tol]],"Pass","Fail")))</f>
        <v>Fail</v>
      </c>
      <c r="AH8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2" s="1" t="b">
        <v>0</v>
      </c>
      <c r="AN802" s="1" t="b">
        <v>0</v>
      </c>
      <c r="AO802" s="1" t="b">
        <v>0</v>
      </c>
    </row>
    <row r="803" spans="1:41" x14ac:dyDescent="0.25">
      <c r="A803" s="10"/>
      <c r="B803" s="10"/>
      <c r="C803" s="10"/>
      <c r="D803" s="10"/>
      <c r="E803" s="10"/>
      <c r="F803" s="10"/>
      <c r="G803" s="10"/>
      <c r="H803" s="10"/>
      <c r="I803" s="1" t="str">
        <f t="shared" si="36"/>
        <v/>
      </c>
      <c r="J803" s="1" t="s">
        <v>35</v>
      </c>
      <c r="K803" s="1" t="str">
        <f t="shared" si="37"/>
        <v/>
      </c>
      <c r="L803" s="1" t="str">
        <f t="shared" si="38"/>
        <v/>
      </c>
      <c r="M803" s="1">
        <f>IF(OR(Table1[[#This Row],[Std Nom]]="",Table1[[#This Row],[Std Read]]=""),0,Table1[[#This Row],[Std Nom]]-Table1[[#This Row],[Std Read]])</f>
        <v>0</v>
      </c>
      <c r="N803" s="1">
        <f>IF(Calculations!$F$5="ACCREDITED 17025 WITH UNCERTAINTIES",$N$10,0)</f>
        <v>0</v>
      </c>
      <c r="O803" s="1" t="str">
        <f>IFERROR(Table1[[#This Row],[Std Nom]]-(_xlfn.XLOOKUP(Table1[[#This Row],[Manufacturer]]&amp;" "&amp;Table1[[#This Row],[Model]],Table13[MFR &amp; MDL],Table13[Tolerance % CW ],"")/100*Table1[[#This Row],[Std Nom]]),"")</f>
        <v/>
      </c>
      <c r="P803" s="1" t="str">
        <f>IFERROR(Table1[[#This Row],[Std Nom]]+(_xlfn.XLOOKUP(Table1[[#This Row],[Manufacturer]]&amp;" "&amp;Table1[[#This Row],[Model]],Table13[MFR &amp; MDL],Table13[Tolerance % CW ],"")/100*Table1[[#This Row],[Std Nom]]),"")</f>
        <v/>
      </c>
      <c r="Q803" s="1" t="e">
        <f>Table1[[#This Row],[High Tol]]-Table1[[#This Row],[Low Tol]]</f>
        <v>#VALUE!</v>
      </c>
      <c r="R803" s="1">
        <f>2*Table1[[#This Row],[Std Error]]</f>
        <v>0</v>
      </c>
      <c r="S803" s="1" t="str">
        <f>IF(Table1[[#This Row],[High Tol]]="","N/A",IFERROR(ABS(Table1[[#This Row],[Tol Span]]/Table1[[#This Row],[Error Span]]),"N/A"))</f>
        <v>N/A</v>
      </c>
      <c r="T803" s="1" t="str">
        <f>IF(OR(Table1[[#This Row],[Low Tol]]="",Table1[[#This Row],[High Tol]]=""),"Needs Analysis",IF(Table1[[#This Row],[Ratio]]&gt;=4,"Not Significant",IF(Table1[[#This Row],[Ratio]]&gt;=2,"Semi-Significant","Significant")))</f>
        <v>Needs Analysis</v>
      </c>
      <c r="W803" s="1">
        <f>IF(Table1[[#This Row],[Cal Type]]&lt;&gt;"ACCREDITED 17025 WITH UNCERTAINTIES",0,"")</f>
        <v>0</v>
      </c>
      <c r="X803" s="1" t="str">
        <f>IF(Table1[[#This Row],[DUT Read]]="","N/A",Table1[[#This Row],[Std Error]]+Table1[[#This Row],[DUT Read]]+Table1[[#This Row],[DUT Ucty]])</f>
        <v>N/A</v>
      </c>
      <c r="Y803" s="1" t="str">
        <f>IF(Table1[[#This Row],[Std Read]]="","N/A",Table1[[#This Row],[Std Read]]+Table1[[#This Row],[Std Ucty]])</f>
        <v>N/A</v>
      </c>
      <c r="Z8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3" s="1" t="str">
        <f>IF(Table1[[#This Row],[Spec Type]]="","N/A",Table1[[#This Row],[Spec Type]])</f>
        <v>±</v>
      </c>
      <c r="AC803" s="1" t="str">
        <f>IF(Table1[[#This Row],[Spec Type2]]="N/A","N/A",IF(AND(Table1[[#This Row],[DUT Adj Read]]&gt;=Table1[[#This Row],[Low Tol]],Table1[[#This Row],[DUT Adj Read]]&lt;=Table1[[#This Row],[High Tol]]),"Pass","Fail"))</f>
        <v>Fail</v>
      </c>
      <c r="AD803" s="1" t="str">
        <f>IF(AND(Table1[[#This Row],[Spec Type2]]="N/A",Table1[[#This Row],[DUT Adj Read]]="N/A",Table1[[#This Row],[Std Adj Read]]="N/A"),"N/A",IF(Table1[[#This Row],[DUT Adj Read]]="N/A",IF(Table1[[#This Row],[Std Adj Read]]&gt;Table1[[#This Row],[Low Tol]],"Pass","Fail"),IF(Table1[[#This Row],[DUT Adj Read]]&gt;Table1[[#This Row],[Low Tol]],"Pass","Fail")))</f>
        <v>Pass</v>
      </c>
      <c r="AE803" s="1" t="str">
        <f>IF(AND(Table1[[#This Row],[Spec Type2]]="N/A",Table1[[#This Row],[DUT Adj Read]]="N/A",Table1[[#This Row],[Std Adj Read]]="N/A"),"N/A",IF(Table1[[#This Row],[DUT Adj Read]]="N/A",IF(Table1[[#This Row],[Std Adj Read]]&lt;Table1[[#This Row],[High Tol]],"Pass","Fail"),IF(Table1[[#This Row],[DUT Adj Read]]&lt;Table1[[#This Row],[High Tol]],"Pass","Fail")))</f>
        <v>Fail</v>
      </c>
      <c r="AF803" s="1" t="str">
        <f>IF(AND(Table1[[#This Row],[Spec Type2]]="N/A",Table1[[#This Row],[DUT Adj Read]]="N/A",Table1[[#This Row],[Std Adj Read]]="N/A"),"N/A",IF(Table1[[#This Row],[DUT Adj Read]]="N/A",IF(Table1[[#This Row],[Std Adj Read]]&gt;=Table1[[#This Row],[Low Tol]],"Pass","Fail"),IF(Table1[[#This Row],[DUT Adj Read]]&gt;=Table1[[#This Row],[Low Tol]],"Pass","Fail")))</f>
        <v>Pass</v>
      </c>
      <c r="AG803" s="1" t="str">
        <f>IF(AND(Table1[[#This Row],[Spec Type2]]="N/A",Table1[[#This Row],[DUT Adj Read]]="N/A",Table1[[#This Row],[Std Adj Read]]="N/A"),"N/A",IF(Table1[[#This Row],[DUT Adj Read]]="N/A",IF(Table1[[#This Row],[Std Adj Read]]&lt;=Table1[[#This Row],[High Tol]],"Pass","Fail"),IF(Table1[[#This Row],[DUT Adj Read]]&lt;=Table1[[#This Row],[High Tol]],"Pass","Fail")))</f>
        <v>Fail</v>
      </c>
      <c r="AH8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3" s="1" t="b">
        <v>0</v>
      </c>
      <c r="AN803" s="1" t="b">
        <v>0</v>
      </c>
      <c r="AO803" s="1" t="b">
        <v>0</v>
      </c>
    </row>
    <row r="804" spans="1:41" x14ac:dyDescent="0.25">
      <c r="A804" s="10"/>
      <c r="B804" s="10"/>
      <c r="C804" s="10"/>
      <c r="D804" s="10"/>
      <c r="E804" s="10"/>
      <c r="F804" s="10"/>
      <c r="G804" s="10"/>
      <c r="H804" s="10"/>
      <c r="I804" s="1" t="str">
        <f t="shared" si="36"/>
        <v/>
      </c>
      <c r="J804" s="1" t="s">
        <v>35</v>
      </c>
      <c r="K804" s="1" t="str">
        <f t="shared" si="37"/>
        <v/>
      </c>
      <c r="L804" s="1" t="str">
        <f t="shared" si="38"/>
        <v/>
      </c>
      <c r="M804" s="1">
        <f>IF(OR(Table1[[#This Row],[Std Nom]]="",Table1[[#This Row],[Std Read]]=""),0,Table1[[#This Row],[Std Nom]]-Table1[[#This Row],[Std Read]])</f>
        <v>0</v>
      </c>
      <c r="N804" s="1">
        <f>IF(Calculations!$F$5="ACCREDITED 17025 WITH UNCERTAINTIES",$N$10,0)</f>
        <v>0</v>
      </c>
      <c r="O804" s="1" t="str">
        <f>IFERROR(Table1[[#This Row],[Std Nom]]-(_xlfn.XLOOKUP(Table1[[#This Row],[Manufacturer]]&amp;" "&amp;Table1[[#This Row],[Model]],Table13[MFR &amp; MDL],Table13[Tolerance % CW ],"")/100*Table1[[#This Row],[Std Nom]]),"")</f>
        <v/>
      </c>
      <c r="P804" s="1" t="str">
        <f>IFERROR(Table1[[#This Row],[Std Nom]]+(_xlfn.XLOOKUP(Table1[[#This Row],[Manufacturer]]&amp;" "&amp;Table1[[#This Row],[Model]],Table13[MFR &amp; MDL],Table13[Tolerance % CW ],"")/100*Table1[[#This Row],[Std Nom]]),"")</f>
        <v/>
      </c>
      <c r="Q804" s="1" t="e">
        <f>Table1[[#This Row],[High Tol]]-Table1[[#This Row],[Low Tol]]</f>
        <v>#VALUE!</v>
      </c>
      <c r="R804" s="1">
        <f>2*Table1[[#This Row],[Std Error]]</f>
        <v>0</v>
      </c>
      <c r="S804" s="1" t="str">
        <f>IF(Table1[[#This Row],[High Tol]]="","N/A",IFERROR(ABS(Table1[[#This Row],[Tol Span]]/Table1[[#This Row],[Error Span]]),"N/A"))</f>
        <v>N/A</v>
      </c>
      <c r="T804" s="1" t="str">
        <f>IF(OR(Table1[[#This Row],[Low Tol]]="",Table1[[#This Row],[High Tol]]=""),"Needs Analysis",IF(Table1[[#This Row],[Ratio]]&gt;=4,"Not Significant",IF(Table1[[#This Row],[Ratio]]&gt;=2,"Semi-Significant","Significant")))</f>
        <v>Needs Analysis</v>
      </c>
      <c r="W804" s="1">
        <f>IF(Table1[[#This Row],[Cal Type]]&lt;&gt;"ACCREDITED 17025 WITH UNCERTAINTIES",0,"")</f>
        <v>0</v>
      </c>
      <c r="X804" s="1" t="str">
        <f>IF(Table1[[#This Row],[DUT Read]]="","N/A",Table1[[#This Row],[Std Error]]+Table1[[#This Row],[DUT Read]]+Table1[[#This Row],[DUT Ucty]])</f>
        <v>N/A</v>
      </c>
      <c r="Y804" s="1" t="str">
        <f>IF(Table1[[#This Row],[Std Read]]="","N/A",Table1[[#This Row],[Std Read]]+Table1[[#This Row],[Std Ucty]])</f>
        <v>N/A</v>
      </c>
      <c r="Z8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4" s="1" t="str">
        <f>IF(Table1[[#This Row],[Spec Type]]="","N/A",Table1[[#This Row],[Spec Type]])</f>
        <v>±</v>
      </c>
      <c r="AC804" s="1" t="str">
        <f>IF(Table1[[#This Row],[Spec Type2]]="N/A","N/A",IF(AND(Table1[[#This Row],[DUT Adj Read]]&gt;=Table1[[#This Row],[Low Tol]],Table1[[#This Row],[DUT Adj Read]]&lt;=Table1[[#This Row],[High Tol]]),"Pass","Fail"))</f>
        <v>Fail</v>
      </c>
      <c r="AD804" s="1" t="str">
        <f>IF(AND(Table1[[#This Row],[Spec Type2]]="N/A",Table1[[#This Row],[DUT Adj Read]]="N/A",Table1[[#This Row],[Std Adj Read]]="N/A"),"N/A",IF(Table1[[#This Row],[DUT Adj Read]]="N/A",IF(Table1[[#This Row],[Std Adj Read]]&gt;Table1[[#This Row],[Low Tol]],"Pass","Fail"),IF(Table1[[#This Row],[DUT Adj Read]]&gt;Table1[[#This Row],[Low Tol]],"Pass","Fail")))</f>
        <v>Pass</v>
      </c>
      <c r="AE804" s="1" t="str">
        <f>IF(AND(Table1[[#This Row],[Spec Type2]]="N/A",Table1[[#This Row],[DUT Adj Read]]="N/A",Table1[[#This Row],[Std Adj Read]]="N/A"),"N/A",IF(Table1[[#This Row],[DUT Adj Read]]="N/A",IF(Table1[[#This Row],[Std Adj Read]]&lt;Table1[[#This Row],[High Tol]],"Pass","Fail"),IF(Table1[[#This Row],[DUT Adj Read]]&lt;Table1[[#This Row],[High Tol]],"Pass","Fail")))</f>
        <v>Fail</v>
      </c>
      <c r="AF804" s="1" t="str">
        <f>IF(AND(Table1[[#This Row],[Spec Type2]]="N/A",Table1[[#This Row],[DUT Adj Read]]="N/A",Table1[[#This Row],[Std Adj Read]]="N/A"),"N/A",IF(Table1[[#This Row],[DUT Adj Read]]="N/A",IF(Table1[[#This Row],[Std Adj Read]]&gt;=Table1[[#This Row],[Low Tol]],"Pass","Fail"),IF(Table1[[#This Row],[DUT Adj Read]]&gt;=Table1[[#This Row],[Low Tol]],"Pass","Fail")))</f>
        <v>Pass</v>
      </c>
      <c r="AG804" s="1" t="str">
        <f>IF(AND(Table1[[#This Row],[Spec Type2]]="N/A",Table1[[#This Row],[DUT Adj Read]]="N/A",Table1[[#This Row],[Std Adj Read]]="N/A"),"N/A",IF(Table1[[#This Row],[DUT Adj Read]]="N/A",IF(Table1[[#This Row],[Std Adj Read]]&lt;=Table1[[#This Row],[High Tol]],"Pass","Fail"),IF(Table1[[#This Row],[DUT Adj Read]]&lt;=Table1[[#This Row],[High Tol]],"Pass","Fail")))</f>
        <v>Fail</v>
      </c>
      <c r="AH8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4" s="1" t="b">
        <v>0</v>
      </c>
      <c r="AN804" s="1" t="b">
        <v>0</v>
      </c>
      <c r="AO804" s="1" t="b">
        <v>0</v>
      </c>
    </row>
    <row r="805" spans="1:41" x14ac:dyDescent="0.25">
      <c r="A805" s="10"/>
      <c r="B805" s="10"/>
      <c r="C805" s="10"/>
      <c r="D805" s="10"/>
      <c r="E805" s="10"/>
      <c r="F805" s="10"/>
      <c r="G805" s="10"/>
      <c r="H805" s="10"/>
      <c r="I805" s="1" t="str">
        <f t="shared" si="36"/>
        <v/>
      </c>
      <c r="J805" s="1" t="s">
        <v>35</v>
      </c>
      <c r="K805" s="1" t="str">
        <f t="shared" si="37"/>
        <v/>
      </c>
      <c r="L805" s="1" t="str">
        <f t="shared" si="38"/>
        <v/>
      </c>
      <c r="M805" s="1">
        <f>IF(OR(Table1[[#This Row],[Std Nom]]="",Table1[[#This Row],[Std Read]]=""),0,Table1[[#This Row],[Std Nom]]-Table1[[#This Row],[Std Read]])</f>
        <v>0</v>
      </c>
      <c r="N805" s="1">
        <f>IF(Calculations!$F$5="ACCREDITED 17025 WITH UNCERTAINTIES",$N$10,0)</f>
        <v>0</v>
      </c>
      <c r="O805" s="1" t="str">
        <f>IFERROR(Table1[[#This Row],[Std Nom]]-(_xlfn.XLOOKUP(Table1[[#This Row],[Manufacturer]]&amp;" "&amp;Table1[[#This Row],[Model]],Table13[MFR &amp; MDL],Table13[Tolerance % CW ],"")/100*Table1[[#This Row],[Std Nom]]),"")</f>
        <v/>
      </c>
      <c r="P805" s="1" t="str">
        <f>IFERROR(Table1[[#This Row],[Std Nom]]+(_xlfn.XLOOKUP(Table1[[#This Row],[Manufacturer]]&amp;" "&amp;Table1[[#This Row],[Model]],Table13[MFR &amp; MDL],Table13[Tolerance % CW ],"")/100*Table1[[#This Row],[Std Nom]]),"")</f>
        <v/>
      </c>
      <c r="Q805" s="1" t="e">
        <f>Table1[[#This Row],[High Tol]]-Table1[[#This Row],[Low Tol]]</f>
        <v>#VALUE!</v>
      </c>
      <c r="R805" s="1">
        <f>2*Table1[[#This Row],[Std Error]]</f>
        <v>0</v>
      </c>
      <c r="S805" s="1" t="str">
        <f>IF(Table1[[#This Row],[High Tol]]="","N/A",IFERROR(ABS(Table1[[#This Row],[Tol Span]]/Table1[[#This Row],[Error Span]]),"N/A"))</f>
        <v>N/A</v>
      </c>
      <c r="T805" s="1" t="str">
        <f>IF(OR(Table1[[#This Row],[Low Tol]]="",Table1[[#This Row],[High Tol]]=""),"Needs Analysis",IF(Table1[[#This Row],[Ratio]]&gt;=4,"Not Significant",IF(Table1[[#This Row],[Ratio]]&gt;=2,"Semi-Significant","Significant")))</f>
        <v>Needs Analysis</v>
      </c>
      <c r="W805" s="1">
        <f>IF(Table1[[#This Row],[Cal Type]]&lt;&gt;"ACCREDITED 17025 WITH UNCERTAINTIES",0,"")</f>
        <v>0</v>
      </c>
      <c r="X805" s="1" t="str">
        <f>IF(Table1[[#This Row],[DUT Read]]="","N/A",Table1[[#This Row],[Std Error]]+Table1[[#This Row],[DUT Read]]+Table1[[#This Row],[DUT Ucty]])</f>
        <v>N/A</v>
      </c>
      <c r="Y805" s="1" t="str">
        <f>IF(Table1[[#This Row],[Std Read]]="","N/A",Table1[[#This Row],[Std Read]]+Table1[[#This Row],[Std Ucty]])</f>
        <v>N/A</v>
      </c>
      <c r="Z8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5" s="1" t="str">
        <f>IF(Table1[[#This Row],[Spec Type]]="","N/A",Table1[[#This Row],[Spec Type]])</f>
        <v>±</v>
      </c>
      <c r="AC805" s="1" t="str">
        <f>IF(Table1[[#This Row],[Spec Type2]]="N/A","N/A",IF(AND(Table1[[#This Row],[DUT Adj Read]]&gt;=Table1[[#This Row],[Low Tol]],Table1[[#This Row],[DUT Adj Read]]&lt;=Table1[[#This Row],[High Tol]]),"Pass","Fail"))</f>
        <v>Fail</v>
      </c>
      <c r="AD805" s="1" t="str">
        <f>IF(AND(Table1[[#This Row],[Spec Type2]]="N/A",Table1[[#This Row],[DUT Adj Read]]="N/A",Table1[[#This Row],[Std Adj Read]]="N/A"),"N/A",IF(Table1[[#This Row],[DUT Adj Read]]="N/A",IF(Table1[[#This Row],[Std Adj Read]]&gt;Table1[[#This Row],[Low Tol]],"Pass","Fail"),IF(Table1[[#This Row],[DUT Adj Read]]&gt;Table1[[#This Row],[Low Tol]],"Pass","Fail")))</f>
        <v>Pass</v>
      </c>
      <c r="AE805" s="1" t="str">
        <f>IF(AND(Table1[[#This Row],[Spec Type2]]="N/A",Table1[[#This Row],[DUT Adj Read]]="N/A",Table1[[#This Row],[Std Adj Read]]="N/A"),"N/A",IF(Table1[[#This Row],[DUT Adj Read]]="N/A",IF(Table1[[#This Row],[Std Adj Read]]&lt;Table1[[#This Row],[High Tol]],"Pass","Fail"),IF(Table1[[#This Row],[DUT Adj Read]]&lt;Table1[[#This Row],[High Tol]],"Pass","Fail")))</f>
        <v>Fail</v>
      </c>
      <c r="AF805" s="1" t="str">
        <f>IF(AND(Table1[[#This Row],[Spec Type2]]="N/A",Table1[[#This Row],[DUT Adj Read]]="N/A",Table1[[#This Row],[Std Adj Read]]="N/A"),"N/A",IF(Table1[[#This Row],[DUT Adj Read]]="N/A",IF(Table1[[#This Row],[Std Adj Read]]&gt;=Table1[[#This Row],[Low Tol]],"Pass","Fail"),IF(Table1[[#This Row],[DUT Adj Read]]&gt;=Table1[[#This Row],[Low Tol]],"Pass","Fail")))</f>
        <v>Pass</v>
      </c>
      <c r="AG805" s="1" t="str">
        <f>IF(AND(Table1[[#This Row],[Spec Type2]]="N/A",Table1[[#This Row],[DUT Adj Read]]="N/A",Table1[[#This Row],[Std Adj Read]]="N/A"),"N/A",IF(Table1[[#This Row],[DUT Adj Read]]="N/A",IF(Table1[[#This Row],[Std Adj Read]]&lt;=Table1[[#This Row],[High Tol]],"Pass","Fail"),IF(Table1[[#This Row],[DUT Adj Read]]&lt;=Table1[[#This Row],[High Tol]],"Pass","Fail")))</f>
        <v>Fail</v>
      </c>
      <c r="AH8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5" s="1" t="b">
        <v>0</v>
      </c>
      <c r="AN805" s="1" t="b">
        <v>0</v>
      </c>
      <c r="AO805" s="1" t="b">
        <v>0</v>
      </c>
    </row>
    <row r="806" spans="1:41" x14ac:dyDescent="0.25">
      <c r="A806" s="10"/>
      <c r="B806" s="10"/>
      <c r="C806" s="10"/>
      <c r="D806" s="10"/>
      <c r="E806" s="10"/>
      <c r="F806" s="10"/>
      <c r="G806" s="10"/>
      <c r="H806" s="10"/>
      <c r="I806" s="1" t="str">
        <f t="shared" si="36"/>
        <v/>
      </c>
      <c r="J806" s="1" t="s">
        <v>35</v>
      </c>
      <c r="K806" s="1" t="str">
        <f t="shared" si="37"/>
        <v/>
      </c>
      <c r="L806" s="1" t="str">
        <f t="shared" si="38"/>
        <v/>
      </c>
      <c r="M806" s="1">
        <f>IF(OR(Table1[[#This Row],[Std Nom]]="",Table1[[#This Row],[Std Read]]=""),0,Table1[[#This Row],[Std Nom]]-Table1[[#This Row],[Std Read]])</f>
        <v>0</v>
      </c>
      <c r="N806" s="1">
        <f>IF(Calculations!$F$5="ACCREDITED 17025 WITH UNCERTAINTIES",$N$10,0)</f>
        <v>0</v>
      </c>
      <c r="O806" s="1" t="str">
        <f>IFERROR(Table1[[#This Row],[Std Nom]]-(_xlfn.XLOOKUP(Table1[[#This Row],[Manufacturer]]&amp;" "&amp;Table1[[#This Row],[Model]],Table13[MFR &amp; MDL],Table13[Tolerance % CW ],"")/100*Table1[[#This Row],[Std Nom]]),"")</f>
        <v/>
      </c>
      <c r="P806" s="1" t="str">
        <f>IFERROR(Table1[[#This Row],[Std Nom]]+(_xlfn.XLOOKUP(Table1[[#This Row],[Manufacturer]]&amp;" "&amp;Table1[[#This Row],[Model]],Table13[MFR &amp; MDL],Table13[Tolerance % CW ],"")/100*Table1[[#This Row],[Std Nom]]),"")</f>
        <v/>
      </c>
      <c r="Q806" s="1" t="e">
        <f>Table1[[#This Row],[High Tol]]-Table1[[#This Row],[Low Tol]]</f>
        <v>#VALUE!</v>
      </c>
      <c r="R806" s="1">
        <f>2*Table1[[#This Row],[Std Error]]</f>
        <v>0</v>
      </c>
      <c r="S806" s="1" t="str">
        <f>IF(Table1[[#This Row],[High Tol]]="","N/A",IFERROR(ABS(Table1[[#This Row],[Tol Span]]/Table1[[#This Row],[Error Span]]),"N/A"))</f>
        <v>N/A</v>
      </c>
      <c r="T806" s="1" t="str">
        <f>IF(OR(Table1[[#This Row],[Low Tol]]="",Table1[[#This Row],[High Tol]]=""),"Needs Analysis",IF(Table1[[#This Row],[Ratio]]&gt;=4,"Not Significant",IF(Table1[[#This Row],[Ratio]]&gt;=2,"Semi-Significant","Significant")))</f>
        <v>Needs Analysis</v>
      </c>
      <c r="W806" s="1">
        <f>IF(Table1[[#This Row],[Cal Type]]&lt;&gt;"ACCREDITED 17025 WITH UNCERTAINTIES",0,"")</f>
        <v>0</v>
      </c>
      <c r="X806" s="1" t="str">
        <f>IF(Table1[[#This Row],[DUT Read]]="","N/A",Table1[[#This Row],[Std Error]]+Table1[[#This Row],[DUT Read]]+Table1[[#This Row],[DUT Ucty]])</f>
        <v>N/A</v>
      </c>
      <c r="Y806" s="1" t="str">
        <f>IF(Table1[[#This Row],[Std Read]]="","N/A",Table1[[#This Row],[Std Read]]+Table1[[#This Row],[Std Ucty]])</f>
        <v>N/A</v>
      </c>
      <c r="Z8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6" s="1" t="str">
        <f>IF(Table1[[#This Row],[Spec Type]]="","N/A",Table1[[#This Row],[Spec Type]])</f>
        <v>±</v>
      </c>
      <c r="AC806" s="1" t="str">
        <f>IF(Table1[[#This Row],[Spec Type2]]="N/A","N/A",IF(AND(Table1[[#This Row],[DUT Adj Read]]&gt;=Table1[[#This Row],[Low Tol]],Table1[[#This Row],[DUT Adj Read]]&lt;=Table1[[#This Row],[High Tol]]),"Pass","Fail"))</f>
        <v>Fail</v>
      </c>
      <c r="AD806" s="1" t="str">
        <f>IF(AND(Table1[[#This Row],[Spec Type2]]="N/A",Table1[[#This Row],[DUT Adj Read]]="N/A",Table1[[#This Row],[Std Adj Read]]="N/A"),"N/A",IF(Table1[[#This Row],[DUT Adj Read]]="N/A",IF(Table1[[#This Row],[Std Adj Read]]&gt;Table1[[#This Row],[Low Tol]],"Pass","Fail"),IF(Table1[[#This Row],[DUT Adj Read]]&gt;Table1[[#This Row],[Low Tol]],"Pass","Fail")))</f>
        <v>Pass</v>
      </c>
      <c r="AE806" s="1" t="str">
        <f>IF(AND(Table1[[#This Row],[Spec Type2]]="N/A",Table1[[#This Row],[DUT Adj Read]]="N/A",Table1[[#This Row],[Std Adj Read]]="N/A"),"N/A",IF(Table1[[#This Row],[DUT Adj Read]]="N/A",IF(Table1[[#This Row],[Std Adj Read]]&lt;Table1[[#This Row],[High Tol]],"Pass","Fail"),IF(Table1[[#This Row],[DUT Adj Read]]&lt;Table1[[#This Row],[High Tol]],"Pass","Fail")))</f>
        <v>Fail</v>
      </c>
      <c r="AF806" s="1" t="str">
        <f>IF(AND(Table1[[#This Row],[Spec Type2]]="N/A",Table1[[#This Row],[DUT Adj Read]]="N/A",Table1[[#This Row],[Std Adj Read]]="N/A"),"N/A",IF(Table1[[#This Row],[DUT Adj Read]]="N/A",IF(Table1[[#This Row],[Std Adj Read]]&gt;=Table1[[#This Row],[Low Tol]],"Pass","Fail"),IF(Table1[[#This Row],[DUT Adj Read]]&gt;=Table1[[#This Row],[Low Tol]],"Pass","Fail")))</f>
        <v>Pass</v>
      </c>
      <c r="AG806" s="1" t="str">
        <f>IF(AND(Table1[[#This Row],[Spec Type2]]="N/A",Table1[[#This Row],[DUT Adj Read]]="N/A",Table1[[#This Row],[Std Adj Read]]="N/A"),"N/A",IF(Table1[[#This Row],[DUT Adj Read]]="N/A",IF(Table1[[#This Row],[Std Adj Read]]&lt;=Table1[[#This Row],[High Tol]],"Pass","Fail"),IF(Table1[[#This Row],[DUT Adj Read]]&lt;=Table1[[#This Row],[High Tol]],"Pass","Fail")))</f>
        <v>Fail</v>
      </c>
      <c r="AH8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6" s="1" t="b">
        <v>0</v>
      </c>
      <c r="AN806" s="1" t="b">
        <v>0</v>
      </c>
      <c r="AO806" s="1" t="b">
        <v>0</v>
      </c>
    </row>
    <row r="807" spans="1:41" x14ac:dyDescent="0.25">
      <c r="A807" s="10"/>
      <c r="B807" s="10"/>
      <c r="C807" s="10"/>
      <c r="D807" s="10"/>
      <c r="E807" s="10"/>
      <c r="F807" s="10"/>
      <c r="G807" s="10"/>
      <c r="H807" s="10"/>
      <c r="I807" s="1" t="str">
        <f t="shared" si="36"/>
        <v/>
      </c>
      <c r="J807" s="1" t="s">
        <v>35</v>
      </c>
      <c r="K807" s="1" t="str">
        <f t="shared" si="37"/>
        <v/>
      </c>
      <c r="L807" s="1" t="str">
        <f t="shared" si="38"/>
        <v/>
      </c>
      <c r="M807" s="1">
        <f>IF(OR(Table1[[#This Row],[Std Nom]]="",Table1[[#This Row],[Std Read]]=""),0,Table1[[#This Row],[Std Nom]]-Table1[[#This Row],[Std Read]])</f>
        <v>0</v>
      </c>
      <c r="N807" s="1">
        <f>IF(Calculations!$F$5="ACCREDITED 17025 WITH UNCERTAINTIES",$N$10,0)</f>
        <v>0</v>
      </c>
      <c r="O807" s="1" t="str">
        <f>IFERROR(Table1[[#This Row],[Std Nom]]-(_xlfn.XLOOKUP(Table1[[#This Row],[Manufacturer]]&amp;" "&amp;Table1[[#This Row],[Model]],Table13[MFR &amp; MDL],Table13[Tolerance % CW ],"")/100*Table1[[#This Row],[Std Nom]]),"")</f>
        <v/>
      </c>
      <c r="P807" s="1" t="str">
        <f>IFERROR(Table1[[#This Row],[Std Nom]]+(_xlfn.XLOOKUP(Table1[[#This Row],[Manufacturer]]&amp;" "&amp;Table1[[#This Row],[Model]],Table13[MFR &amp; MDL],Table13[Tolerance % CW ],"")/100*Table1[[#This Row],[Std Nom]]),"")</f>
        <v/>
      </c>
      <c r="Q807" s="1" t="e">
        <f>Table1[[#This Row],[High Tol]]-Table1[[#This Row],[Low Tol]]</f>
        <v>#VALUE!</v>
      </c>
      <c r="R807" s="1">
        <f>2*Table1[[#This Row],[Std Error]]</f>
        <v>0</v>
      </c>
      <c r="S807" s="1" t="str">
        <f>IF(Table1[[#This Row],[High Tol]]="","N/A",IFERROR(ABS(Table1[[#This Row],[Tol Span]]/Table1[[#This Row],[Error Span]]),"N/A"))</f>
        <v>N/A</v>
      </c>
      <c r="T807" s="1" t="str">
        <f>IF(OR(Table1[[#This Row],[Low Tol]]="",Table1[[#This Row],[High Tol]]=""),"Needs Analysis",IF(Table1[[#This Row],[Ratio]]&gt;=4,"Not Significant",IF(Table1[[#This Row],[Ratio]]&gt;=2,"Semi-Significant","Significant")))</f>
        <v>Needs Analysis</v>
      </c>
      <c r="W807" s="1">
        <f>IF(Table1[[#This Row],[Cal Type]]&lt;&gt;"ACCREDITED 17025 WITH UNCERTAINTIES",0,"")</f>
        <v>0</v>
      </c>
      <c r="X807" s="1" t="str">
        <f>IF(Table1[[#This Row],[DUT Read]]="","N/A",Table1[[#This Row],[Std Error]]+Table1[[#This Row],[DUT Read]]+Table1[[#This Row],[DUT Ucty]])</f>
        <v>N/A</v>
      </c>
      <c r="Y807" s="1" t="str">
        <f>IF(Table1[[#This Row],[Std Read]]="","N/A",Table1[[#This Row],[Std Read]]+Table1[[#This Row],[Std Ucty]])</f>
        <v>N/A</v>
      </c>
      <c r="Z8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7" s="1" t="str">
        <f>IF(Table1[[#This Row],[Spec Type]]="","N/A",Table1[[#This Row],[Spec Type]])</f>
        <v>±</v>
      </c>
      <c r="AC807" s="1" t="str">
        <f>IF(Table1[[#This Row],[Spec Type2]]="N/A","N/A",IF(AND(Table1[[#This Row],[DUT Adj Read]]&gt;=Table1[[#This Row],[Low Tol]],Table1[[#This Row],[DUT Adj Read]]&lt;=Table1[[#This Row],[High Tol]]),"Pass","Fail"))</f>
        <v>Fail</v>
      </c>
      <c r="AD807" s="1" t="str">
        <f>IF(AND(Table1[[#This Row],[Spec Type2]]="N/A",Table1[[#This Row],[DUT Adj Read]]="N/A",Table1[[#This Row],[Std Adj Read]]="N/A"),"N/A",IF(Table1[[#This Row],[DUT Adj Read]]="N/A",IF(Table1[[#This Row],[Std Adj Read]]&gt;Table1[[#This Row],[Low Tol]],"Pass","Fail"),IF(Table1[[#This Row],[DUT Adj Read]]&gt;Table1[[#This Row],[Low Tol]],"Pass","Fail")))</f>
        <v>Pass</v>
      </c>
      <c r="AE807" s="1" t="str">
        <f>IF(AND(Table1[[#This Row],[Spec Type2]]="N/A",Table1[[#This Row],[DUT Adj Read]]="N/A",Table1[[#This Row],[Std Adj Read]]="N/A"),"N/A",IF(Table1[[#This Row],[DUT Adj Read]]="N/A",IF(Table1[[#This Row],[Std Adj Read]]&lt;Table1[[#This Row],[High Tol]],"Pass","Fail"),IF(Table1[[#This Row],[DUT Adj Read]]&lt;Table1[[#This Row],[High Tol]],"Pass","Fail")))</f>
        <v>Fail</v>
      </c>
      <c r="AF807" s="1" t="str">
        <f>IF(AND(Table1[[#This Row],[Spec Type2]]="N/A",Table1[[#This Row],[DUT Adj Read]]="N/A",Table1[[#This Row],[Std Adj Read]]="N/A"),"N/A",IF(Table1[[#This Row],[DUT Adj Read]]="N/A",IF(Table1[[#This Row],[Std Adj Read]]&gt;=Table1[[#This Row],[Low Tol]],"Pass","Fail"),IF(Table1[[#This Row],[DUT Adj Read]]&gt;=Table1[[#This Row],[Low Tol]],"Pass","Fail")))</f>
        <v>Pass</v>
      </c>
      <c r="AG807" s="1" t="str">
        <f>IF(AND(Table1[[#This Row],[Spec Type2]]="N/A",Table1[[#This Row],[DUT Adj Read]]="N/A",Table1[[#This Row],[Std Adj Read]]="N/A"),"N/A",IF(Table1[[#This Row],[DUT Adj Read]]="N/A",IF(Table1[[#This Row],[Std Adj Read]]&lt;=Table1[[#This Row],[High Tol]],"Pass","Fail"),IF(Table1[[#This Row],[DUT Adj Read]]&lt;=Table1[[#This Row],[High Tol]],"Pass","Fail")))</f>
        <v>Fail</v>
      </c>
      <c r="AH8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7" s="1" t="b">
        <v>0</v>
      </c>
      <c r="AN807" s="1" t="b">
        <v>0</v>
      </c>
      <c r="AO807" s="1" t="b">
        <v>0</v>
      </c>
    </row>
    <row r="808" spans="1:41" x14ac:dyDescent="0.25">
      <c r="A808" s="10"/>
      <c r="B808" s="10"/>
      <c r="C808" s="10"/>
      <c r="D808" s="10"/>
      <c r="E808" s="10"/>
      <c r="F808" s="10"/>
      <c r="G808" s="10"/>
      <c r="H808" s="10"/>
      <c r="I808" s="1" t="str">
        <f t="shared" si="36"/>
        <v/>
      </c>
      <c r="J808" s="1" t="s">
        <v>35</v>
      </c>
      <c r="K808" s="1" t="str">
        <f t="shared" si="37"/>
        <v/>
      </c>
      <c r="L808" s="1" t="str">
        <f t="shared" si="38"/>
        <v/>
      </c>
      <c r="M808" s="1">
        <f>IF(OR(Table1[[#This Row],[Std Nom]]="",Table1[[#This Row],[Std Read]]=""),0,Table1[[#This Row],[Std Nom]]-Table1[[#This Row],[Std Read]])</f>
        <v>0</v>
      </c>
      <c r="N808" s="1">
        <f>IF(Calculations!$F$5="ACCREDITED 17025 WITH UNCERTAINTIES",$N$10,0)</f>
        <v>0</v>
      </c>
      <c r="O808" s="1" t="str">
        <f>IFERROR(Table1[[#This Row],[Std Nom]]-(_xlfn.XLOOKUP(Table1[[#This Row],[Manufacturer]]&amp;" "&amp;Table1[[#This Row],[Model]],Table13[MFR &amp; MDL],Table13[Tolerance % CW ],"")/100*Table1[[#This Row],[Std Nom]]),"")</f>
        <v/>
      </c>
      <c r="P808" s="1" t="str">
        <f>IFERROR(Table1[[#This Row],[Std Nom]]+(_xlfn.XLOOKUP(Table1[[#This Row],[Manufacturer]]&amp;" "&amp;Table1[[#This Row],[Model]],Table13[MFR &amp; MDL],Table13[Tolerance % CW ],"")/100*Table1[[#This Row],[Std Nom]]),"")</f>
        <v/>
      </c>
      <c r="Q808" s="1" t="e">
        <f>Table1[[#This Row],[High Tol]]-Table1[[#This Row],[Low Tol]]</f>
        <v>#VALUE!</v>
      </c>
      <c r="R808" s="1">
        <f>2*Table1[[#This Row],[Std Error]]</f>
        <v>0</v>
      </c>
      <c r="S808" s="1" t="str">
        <f>IF(Table1[[#This Row],[High Tol]]="","N/A",IFERROR(ABS(Table1[[#This Row],[Tol Span]]/Table1[[#This Row],[Error Span]]),"N/A"))</f>
        <v>N/A</v>
      </c>
      <c r="T808" s="1" t="str">
        <f>IF(OR(Table1[[#This Row],[Low Tol]]="",Table1[[#This Row],[High Tol]]=""),"Needs Analysis",IF(Table1[[#This Row],[Ratio]]&gt;=4,"Not Significant",IF(Table1[[#This Row],[Ratio]]&gt;=2,"Semi-Significant","Significant")))</f>
        <v>Needs Analysis</v>
      </c>
      <c r="W808" s="1">
        <f>IF(Table1[[#This Row],[Cal Type]]&lt;&gt;"ACCREDITED 17025 WITH UNCERTAINTIES",0,"")</f>
        <v>0</v>
      </c>
      <c r="X808" s="1" t="str">
        <f>IF(Table1[[#This Row],[DUT Read]]="","N/A",Table1[[#This Row],[Std Error]]+Table1[[#This Row],[DUT Read]]+Table1[[#This Row],[DUT Ucty]])</f>
        <v>N/A</v>
      </c>
      <c r="Y808" s="1" t="str">
        <f>IF(Table1[[#This Row],[Std Read]]="","N/A",Table1[[#This Row],[Std Read]]+Table1[[#This Row],[Std Ucty]])</f>
        <v>N/A</v>
      </c>
      <c r="Z8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8" s="1" t="str">
        <f>IF(Table1[[#This Row],[Spec Type]]="","N/A",Table1[[#This Row],[Spec Type]])</f>
        <v>±</v>
      </c>
      <c r="AC808" s="1" t="str">
        <f>IF(Table1[[#This Row],[Spec Type2]]="N/A","N/A",IF(AND(Table1[[#This Row],[DUT Adj Read]]&gt;=Table1[[#This Row],[Low Tol]],Table1[[#This Row],[DUT Adj Read]]&lt;=Table1[[#This Row],[High Tol]]),"Pass","Fail"))</f>
        <v>Fail</v>
      </c>
      <c r="AD808" s="1" t="str">
        <f>IF(AND(Table1[[#This Row],[Spec Type2]]="N/A",Table1[[#This Row],[DUT Adj Read]]="N/A",Table1[[#This Row],[Std Adj Read]]="N/A"),"N/A",IF(Table1[[#This Row],[DUT Adj Read]]="N/A",IF(Table1[[#This Row],[Std Adj Read]]&gt;Table1[[#This Row],[Low Tol]],"Pass","Fail"),IF(Table1[[#This Row],[DUT Adj Read]]&gt;Table1[[#This Row],[Low Tol]],"Pass","Fail")))</f>
        <v>Pass</v>
      </c>
      <c r="AE808" s="1" t="str">
        <f>IF(AND(Table1[[#This Row],[Spec Type2]]="N/A",Table1[[#This Row],[DUT Adj Read]]="N/A",Table1[[#This Row],[Std Adj Read]]="N/A"),"N/A",IF(Table1[[#This Row],[DUT Adj Read]]="N/A",IF(Table1[[#This Row],[Std Adj Read]]&lt;Table1[[#This Row],[High Tol]],"Pass","Fail"),IF(Table1[[#This Row],[DUT Adj Read]]&lt;Table1[[#This Row],[High Tol]],"Pass","Fail")))</f>
        <v>Fail</v>
      </c>
      <c r="AF808" s="1" t="str">
        <f>IF(AND(Table1[[#This Row],[Spec Type2]]="N/A",Table1[[#This Row],[DUT Adj Read]]="N/A",Table1[[#This Row],[Std Adj Read]]="N/A"),"N/A",IF(Table1[[#This Row],[DUT Adj Read]]="N/A",IF(Table1[[#This Row],[Std Adj Read]]&gt;=Table1[[#This Row],[Low Tol]],"Pass","Fail"),IF(Table1[[#This Row],[DUT Adj Read]]&gt;=Table1[[#This Row],[Low Tol]],"Pass","Fail")))</f>
        <v>Pass</v>
      </c>
      <c r="AG808" s="1" t="str">
        <f>IF(AND(Table1[[#This Row],[Spec Type2]]="N/A",Table1[[#This Row],[DUT Adj Read]]="N/A",Table1[[#This Row],[Std Adj Read]]="N/A"),"N/A",IF(Table1[[#This Row],[DUT Adj Read]]="N/A",IF(Table1[[#This Row],[Std Adj Read]]&lt;=Table1[[#This Row],[High Tol]],"Pass","Fail"),IF(Table1[[#This Row],[DUT Adj Read]]&lt;=Table1[[#This Row],[High Tol]],"Pass","Fail")))</f>
        <v>Fail</v>
      </c>
      <c r="AH8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8" s="1" t="b">
        <v>0</v>
      </c>
      <c r="AN808" s="1" t="b">
        <v>0</v>
      </c>
      <c r="AO808" s="1" t="b">
        <v>0</v>
      </c>
    </row>
    <row r="809" spans="1:41" x14ac:dyDescent="0.25">
      <c r="A809" s="10"/>
      <c r="B809" s="10"/>
      <c r="C809" s="10"/>
      <c r="D809" s="10"/>
      <c r="E809" s="10"/>
      <c r="F809" s="10"/>
      <c r="G809" s="10"/>
      <c r="H809" s="10"/>
      <c r="I809" s="1" t="str">
        <f t="shared" si="36"/>
        <v/>
      </c>
      <c r="J809" s="1" t="s">
        <v>35</v>
      </c>
      <c r="K809" s="1" t="str">
        <f t="shared" si="37"/>
        <v/>
      </c>
      <c r="L809" s="1" t="str">
        <f t="shared" si="38"/>
        <v/>
      </c>
      <c r="M809" s="1">
        <f>IF(OR(Table1[[#This Row],[Std Nom]]="",Table1[[#This Row],[Std Read]]=""),0,Table1[[#This Row],[Std Nom]]-Table1[[#This Row],[Std Read]])</f>
        <v>0</v>
      </c>
      <c r="N809" s="1">
        <f>IF(Calculations!$F$5="ACCREDITED 17025 WITH UNCERTAINTIES",$N$10,0)</f>
        <v>0</v>
      </c>
      <c r="O809" s="1" t="str">
        <f>IFERROR(Table1[[#This Row],[Std Nom]]-(_xlfn.XLOOKUP(Table1[[#This Row],[Manufacturer]]&amp;" "&amp;Table1[[#This Row],[Model]],Table13[MFR &amp; MDL],Table13[Tolerance % CW ],"")/100*Table1[[#This Row],[Std Nom]]),"")</f>
        <v/>
      </c>
      <c r="P809" s="1" t="str">
        <f>IFERROR(Table1[[#This Row],[Std Nom]]+(_xlfn.XLOOKUP(Table1[[#This Row],[Manufacturer]]&amp;" "&amp;Table1[[#This Row],[Model]],Table13[MFR &amp; MDL],Table13[Tolerance % CW ],"")/100*Table1[[#This Row],[Std Nom]]),"")</f>
        <v/>
      </c>
      <c r="Q809" s="1" t="e">
        <f>Table1[[#This Row],[High Tol]]-Table1[[#This Row],[Low Tol]]</f>
        <v>#VALUE!</v>
      </c>
      <c r="R809" s="1">
        <f>2*Table1[[#This Row],[Std Error]]</f>
        <v>0</v>
      </c>
      <c r="S809" s="1" t="str">
        <f>IF(Table1[[#This Row],[High Tol]]="","N/A",IFERROR(ABS(Table1[[#This Row],[Tol Span]]/Table1[[#This Row],[Error Span]]),"N/A"))</f>
        <v>N/A</v>
      </c>
      <c r="T809" s="1" t="str">
        <f>IF(OR(Table1[[#This Row],[Low Tol]]="",Table1[[#This Row],[High Tol]]=""),"Needs Analysis",IF(Table1[[#This Row],[Ratio]]&gt;=4,"Not Significant",IF(Table1[[#This Row],[Ratio]]&gt;=2,"Semi-Significant","Significant")))</f>
        <v>Needs Analysis</v>
      </c>
      <c r="W809" s="1">
        <f>IF(Table1[[#This Row],[Cal Type]]&lt;&gt;"ACCREDITED 17025 WITH UNCERTAINTIES",0,"")</f>
        <v>0</v>
      </c>
      <c r="X809" s="1" t="str">
        <f>IF(Table1[[#This Row],[DUT Read]]="","N/A",Table1[[#This Row],[Std Error]]+Table1[[#This Row],[DUT Read]]+Table1[[#This Row],[DUT Ucty]])</f>
        <v>N/A</v>
      </c>
      <c r="Y809" s="1" t="str">
        <f>IF(Table1[[#This Row],[Std Read]]="","N/A",Table1[[#This Row],[Std Read]]+Table1[[#This Row],[Std Ucty]])</f>
        <v>N/A</v>
      </c>
      <c r="Z8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9" s="1" t="str">
        <f>IF(Table1[[#This Row],[Spec Type]]="","N/A",Table1[[#This Row],[Spec Type]])</f>
        <v>±</v>
      </c>
      <c r="AC809" s="1" t="str">
        <f>IF(Table1[[#This Row],[Spec Type2]]="N/A","N/A",IF(AND(Table1[[#This Row],[DUT Adj Read]]&gt;=Table1[[#This Row],[Low Tol]],Table1[[#This Row],[DUT Adj Read]]&lt;=Table1[[#This Row],[High Tol]]),"Pass","Fail"))</f>
        <v>Fail</v>
      </c>
      <c r="AD809" s="1" t="str">
        <f>IF(AND(Table1[[#This Row],[Spec Type2]]="N/A",Table1[[#This Row],[DUT Adj Read]]="N/A",Table1[[#This Row],[Std Adj Read]]="N/A"),"N/A",IF(Table1[[#This Row],[DUT Adj Read]]="N/A",IF(Table1[[#This Row],[Std Adj Read]]&gt;Table1[[#This Row],[Low Tol]],"Pass","Fail"),IF(Table1[[#This Row],[DUT Adj Read]]&gt;Table1[[#This Row],[Low Tol]],"Pass","Fail")))</f>
        <v>Pass</v>
      </c>
      <c r="AE809" s="1" t="str">
        <f>IF(AND(Table1[[#This Row],[Spec Type2]]="N/A",Table1[[#This Row],[DUT Adj Read]]="N/A",Table1[[#This Row],[Std Adj Read]]="N/A"),"N/A",IF(Table1[[#This Row],[DUT Adj Read]]="N/A",IF(Table1[[#This Row],[Std Adj Read]]&lt;Table1[[#This Row],[High Tol]],"Pass","Fail"),IF(Table1[[#This Row],[DUT Adj Read]]&lt;Table1[[#This Row],[High Tol]],"Pass","Fail")))</f>
        <v>Fail</v>
      </c>
      <c r="AF809" s="1" t="str">
        <f>IF(AND(Table1[[#This Row],[Spec Type2]]="N/A",Table1[[#This Row],[DUT Adj Read]]="N/A",Table1[[#This Row],[Std Adj Read]]="N/A"),"N/A",IF(Table1[[#This Row],[DUT Adj Read]]="N/A",IF(Table1[[#This Row],[Std Adj Read]]&gt;=Table1[[#This Row],[Low Tol]],"Pass","Fail"),IF(Table1[[#This Row],[DUT Adj Read]]&gt;=Table1[[#This Row],[Low Tol]],"Pass","Fail")))</f>
        <v>Pass</v>
      </c>
      <c r="AG809" s="1" t="str">
        <f>IF(AND(Table1[[#This Row],[Spec Type2]]="N/A",Table1[[#This Row],[DUT Adj Read]]="N/A",Table1[[#This Row],[Std Adj Read]]="N/A"),"N/A",IF(Table1[[#This Row],[DUT Adj Read]]="N/A",IF(Table1[[#This Row],[Std Adj Read]]&lt;=Table1[[#This Row],[High Tol]],"Pass","Fail"),IF(Table1[[#This Row],[DUT Adj Read]]&lt;=Table1[[#This Row],[High Tol]],"Pass","Fail")))</f>
        <v>Fail</v>
      </c>
      <c r="AH8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9" s="1" t="b">
        <v>0</v>
      </c>
      <c r="AN809" s="1" t="b">
        <v>0</v>
      </c>
      <c r="AO809" s="1" t="b">
        <v>0</v>
      </c>
    </row>
    <row r="810" spans="1:41" x14ac:dyDescent="0.25">
      <c r="A810" s="10"/>
      <c r="B810" s="10"/>
      <c r="C810" s="10"/>
      <c r="D810" s="10"/>
      <c r="E810" s="10"/>
      <c r="F810" s="10"/>
      <c r="G810" s="10"/>
      <c r="H810" s="10"/>
      <c r="I810" s="1" t="str">
        <f t="shared" si="36"/>
        <v/>
      </c>
      <c r="J810" s="1" t="s">
        <v>35</v>
      </c>
      <c r="K810" s="1" t="str">
        <f t="shared" si="37"/>
        <v/>
      </c>
      <c r="L810" s="1" t="str">
        <f t="shared" si="38"/>
        <v/>
      </c>
      <c r="M810" s="1">
        <f>IF(OR(Table1[[#This Row],[Std Nom]]="",Table1[[#This Row],[Std Read]]=""),0,Table1[[#This Row],[Std Nom]]-Table1[[#This Row],[Std Read]])</f>
        <v>0</v>
      </c>
      <c r="N810" s="1">
        <f>IF(Calculations!$F$5="ACCREDITED 17025 WITH UNCERTAINTIES",$N$10,0)</f>
        <v>0</v>
      </c>
      <c r="O810" s="1" t="str">
        <f>IFERROR(Table1[[#This Row],[Std Nom]]-(_xlfn.XLOOKUP(Table1[[#This Row],[Manufacturer]]&amp;" "&amp;Table1[[#This Row],[Model]],Table13[MFR &amp; MDL],Table13[Tolerance % CW ],"")/100*Table1[[#This Row],[Std Nom]]),"")</f>
        <v/>
      </c>
      <c r="P810" s="1" t="str">
        <f>IFERROR(Table1[[#This Row],[Std Nom]]+(_xlfn.XLOOKUP(Table1[[#This Row],[Manufacturer]]&amp;" "&amp;Table1[[#This Row],[Model]],Table13[MFR &amp; MDL],Table13[Tolerance % CW ],"")/100*Table1[[#This Row],[Std Nom]]),"")</f>
        <v/>
      </c>
      <c r="Q810" s="1" t="e">
        <f>Table1[[#This Row],[High Tol]]-Table1[[#This Row],[Low Tol]]</f>
        <v>#VALUE!</v>
      </c>
      <c r="R810" s="1">
        <f>2*Table1[[#This Row],[Std Error]]</f>
        <v>0</v>
      </c>
      <c r="S810" s="1" t="str">
        <f>IF(Table1[[#This Row],[High Tol]]="","N/A",IFERROR(ABS(Table1[[#This Row],[Tol Span]]/Table1[[#This Row],[Error Span]]),"N/A"))</f>
        <v>N/A</v>
      </c>
      <c r="T810" s="1" t="str">
        <f>IF(OR(Table1[[#This Row],[Low Tol]]="",Table1[[#This Row],[High Tol]]=""),"Needs Analysis",IF(Table1[[#This Row],[Ratio]]&gt;=4,"Not Significant",IF(Table1[[#This Row],[Ratio]]&gt;=2,"Semi-Significant","Significant")))</f>
        <v>Needs Analysis</v>
      </c>
      <c r="W810" s="1">
        <f>IF(Table1[[#This Row],[Cal Type]]&lt;&gt;"ACCREDITED 17025 WITH UNCERTAINTIES",0,"")</f>
        <v>0</v>
      </c>
      <c r="X810" s="1" t="str">
        <f>IF(Table1[[#This Row],[DUT Read]]="","N/A",Table1[[#This Row],[Std Error]]+Table1[[#This Row],[DUT Read]]+Table1[[#This Row],[DUT Ucty]])</f>
        <v>N/A</v>
      </c>
      <c r="Y810" s="1" t="str">
        <f>IF(Table1[[#This Row],[Std Read]]="","N/A",Table1[[#This Row],[Std Read]]+Table1[[#This Row],[Std Ucty]])</f>
        <v>N/A</v>
      </c>
      <c r="Z8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0" s="1" t="str">
        <f>IF(Table1[[#This Row],[Spec Type]]="","N/A",Table1[[#This Row],[Spec Type]])</f>
        <v>±</v>
      </c>
      <c r="AC810" s="1" t="str">
        <f>IF(Table1[[#This Row],[Spec Type2]]="N/A","N/A",IF(AND(Table1[[#This Row],[DUT Adj Read]]&gt;=Table1[[#This Row],[Low Tol]],Table1[[#This Row],[DUT Adj Read]]&lt;=Table1[[#This Row],[High Tol]]),"Pass","Fail"))</f>
        <v>Fail</v>
      </c>
      <c r="AD810" s="1" t="str">
        <f>IF(AND(Table1[[#This Row],[Spec Type2]]="N/A",Table1[[#This Row],[DUT Adj Read]]="N/A",Table1[[#This Row],[Std Adj Read]]="N/A"),"N/A",IF(Table1[[#This Row],[DUT Adj Read]]="N/A",IF(Table1[[#This Row],[Std Adj Read]]&gt;Table1[[#This Row],[Low Tol]],"Pass","Fail"),IF(Table1[[#This Row],[DUT Adj Read]]&gt;Table1[[#This Row],[Low Tol]],"Pass","Fail")))</f>
        <v>Pass</v>
      </c>
      <c r="AE810" s="1" t="str">
        <f>IF(AND(Table1[[#This Row],[Spec Type2]]="N/A",Table1[[#This Row],[DUT Adj Read]]="N/A",Table1[[#This Row],[Std Adj Read]]="N/A"),"N/A",IF(Table1[[#This Row],[DUT Adj Read]]="N/A",IF(Table1[[#This Row],[Std Adj Read]]&lt;Table1[[#This Row],[High Tol]],"Pass","Fail"),IF(Table1[[#This Row],[DUT Adj Read]]&lt;Table1[[#This Row],[High Tol]],"Pass","Fail")))</f>
        <v>Fail</v>
      </c>
      <c r="AF810" s="1" t="str">
        <f>IF(AND(Table1[[#This Row],[Spec Type2]]="N/A",Table1[[#This Row],[DUT Adj Read]]="N/A",Table1[[#This Row],[Std Adj Read]]="N/A"),"N/A",IF(Table1[[#This Row],[DUT Adj Read]]="N/A",IF(Table1[[#This Row],[Std Adj Read]]&gt;=Table1[[#This Row],[Low Tol]],"Pass","Fail"),IF(Table1[[#This Row],[DUT Adj Read]]&gt;=Table1[[#This Row],[Low Tol]],"Pass","Fail")))</f>
        <v>Pass</v>
      </c>
      <c r="AG810" s="1" t="str">
        <f>IF(AND(Table1[[#This Row],[Spec Type2]]="N/A",Table1[[#This Row],[DUT Adj Read]]="N/A",Table1[[#This Row],[Std Adj Read]]="N/A"),"N/A",IF(Table1[[#This Row],[DUT Adj Read]]="N/A",IF(Table1[[#This Row],[Std Adj Read]]&lt;=Table1[[#This Row],[High Tol]],"Pass","Fail"),IF(Table1[[#This Row],[DUT Adj Read]]&lt;=Table1[[#This Row],[High Tol]],"Pass","Fail")))</f>
        <v>Fail</v>
      </c>
      <c r="AH8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0" s="1" t="b">
        <v>0</v>
      </c>
      <c r="AN810" s="1" t="b">
        <v>0</v>
      </c>
      <c r="AO810" s="1" t="b">
        <v>0</v>
      </c>
    </row>
    <row r="811" spans="1:41" x14ac:dyDescent="0.25">
      <c r="A811" s="10"/>
      <c r="B811" s="10"/>
      <c r="C811" s="10"/>
      <c r="D811" s="10"/>
      <c r="E811" s="10"/>
      <c r="F811" s="10"/>
      <c r="G811" s="10"/>
      <c r="H811" s="10"/>
      <c r="I811" s="1" t="str">
        <f t="shared" si="36"/>
        <v/>
      </c>
      <c r="J811" s="1" t="s">
        <v>35</v>
      </c>
      <c r="K811" s="1" t="str">
        <f t="shared" si="37"/>
        <v/>
      </c>
      <c r="L811" s="1" t="str">
        <f t="shared" si="38"/>
        <v/>
      </c>
      <c r="M811" s="1">
        <f>IF(OR(Table1[[#This Row],[Std Nom]]="",Table1[[#This Row],[Std Read]]=""),0,Table1[[#This Row],[Std Nom]]-Table1[[#This Row],[Std Read]])</f>
        <v>0</v>
      </c>
      <c r="N811" s="1">
        <f>IF(Calculations!$F$5="ACCREDITED 17025 WITH UNCERTAINTIES",$N$10,0)</f>
        <v>0</v>
      </c>
      <c r="O811" s="1" t="str">
        <f>IFERROR(Table1[[#This Row],[Std Nom]]-(_xlfn.XLOOKUP(Table1[[#This Row],[Manufacturer]]&amp;" "&amp;Table1[[#This Row],[Model]],Table13[MFR &amp; MDL],Table13[Tolerance % CW ],"")/100*Table1[[#This Row],[Std Nom]]),"")</f>
        <v/>
      </c>
      <c r="P811" s="1" t="str">
        <f>IFERROR(Table1[[#This Row],[Std Nom]]+(_xlfn.XLOOKUP(Table1[[#This Row],[Manufacturer]]&amp;" "&amp;Table1[[#This Row],[Model]],Table13[MFR &amp; MDL],Table13[Tolerance % CW ],"")/100*Table1[[#This Row],[Std Nom]]),"")</f>
        <v/>
      </c>
      <c r="Q811" s="1" t="e">
        <f>Table1[[#This Row],[High Tol]]-Table1[[#This Row],[Low Tol]]</f>
        <v>#VALUE!</v>
      </c>
      <c r="R811" s="1">
        <f>2*Table1[[#This Row],[Std Error]]</f>
        <v>0</v>
      </c>
      <c r="S811" s="1" t="str">
        <f>IF(Table1[[#This Row],[High Tol]]="","N/A",IFERROR(ABS(Table1[[#This Row],[Tol Span]]/Table1[[#This Row],[Error Span]]),"N/A"))</f>
        <v>N/A</v>
      </c>
      <c r="T811" s="1" t="str">
        <f>IF(OR(Table1[[#This Row],[Low Tol]]="",Table1[[#This Row],[High Tol]]=""),"Needs Analysis",IF(Table1[[#This Row],[Ratio]]&gt;=4,"Not Significant",IF(Table1[[#This Row],[Ratio]]&gt;=2,"Semi-Significant","Significant")))</f>
        <v>Needs Analysis</v>
      </c>
      <c r="W811" s="1">
        <f>IF(Table1[[#This Row],[Cal Type]]&lt;&gt;"ACCREDITED 17025 WITH UNCERTAINTIES",0,"")</f>
        <v>0</v>
      </c>
      <c r="X811" s="1" t="str">
        <f>IF(Table1[[#This Row],[DUT Read]]="","N/A",Table1[[#This Row],[Std Error]]+Table1[[#This Row],[DUT Read]]+Table1[[#This Row],[DUT Ucty]])</f>
        <v>N/A</v>
      </c>
      <c r="Y811" s="1" t="str">
        <f>IF(Table1[[#This Row],[Std Read]]="","N/A",Table1[[#This Row],[Std Read]]+Table1[[#This Row],[Std Ucty]])</f>
        <v>N/A</v>
      </c>
      <c r="Z8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1" s="1" t="str">
        <f>IF(Table1[[#This Row],[Spec Type]]="","N/A",Table1[[#This Row],[Spec Type]])</f>
        <v>±</v>
      </c>
      <c r="AC811" s="1" t="str">
        <f>IF(Table1[[#This Row],[Spec Type2]]="N/A","N/A",IF(AND(Table1[[#This Row],[DUT Adj Read]]&gt;=Table1[[#This Row],[Low Tol]],Table1[[#This Row],[DUT Adj Read]]&lt;=Table1[[#This Row],[High Tol]]),"Pass","Fail"))</f>
        <v>Fail</v>
      </c>
      <c r="AD811" s="1" t="str">
        <f>IF(AND(Table1[[#This Row],[Spec Type2]]="N/A",Table1[[#This Row],[DUT Adj Read]]="N/A",Table1[[#This Row],[Std Adj Read]]="N/A"),"N/A",IF(Table1[[#This Row],[DUT Adj Read]]="N/A",IF(Table1[[#This Row],[Std Adj Read]]&gt;Table1[[#This Row],[Low Tol]],"Pass","Fail"),IF(Table1[[#This Row],[DUT Adj Read]]&gt;Table1[[#This Row],[Low Tol]],"Pass","Fail")))</f>
        <v>Pass</v>
      </c>
      <c r="AE811" s="1" t="str">
        <f>IF(AND(Table1[[#This Row],[Spec Type2]]="N/A",Table1[[#This Row],[DUT Adj Read]]="N/A",Table1[[#This Row],[Std Adj Read]]="N/A"),"N/A",IF(Table1[[#This Row],[DUT Adj Read]]="N/A",IF(Table1[[#This Row],[Std Adj Read]]&lt;Table1[[#This Row],[High Tol]],"Pass","Fail"),IF(Table1[[#This Row],[DUT Adj Read]]&lt;Table1[[#This Row],[High Tol]],"Pass","Fail")))</f>
        <v>Fail</v>
      </c>
      <c r="AF811" s="1" t="str">
        <f>IF(AND(Table1[[#This Row],[Spec Type2]]="N/A",Table1[[#This Row],[DUT Adj Read]]="N/A",Table1[[#This Row],[Std Adj Read]]="N/A"),"N/A",IF(Table1[[#This Row],[DUT Adj Read]]="N/A",IF(Table1[[#This Row],[Std Adj Read]]&gt;=Table1[[#This Row],[Low Tol]],"Pass","Fail"),IF(Table1[[#This Row],[DUT Adj Read]]&gt;=Table1[[#This Row],[Low Tol]],"Pass","Fail")))</f>
        <v>Pass</v>
      </c>
      <c r="AG811" s="1" t="str">
        <f>IF(AND(Table1[[#This Row],[Spec Type2]]="N/A",Table1[[#This Row],[DUT Adj Read]]="N/A",Table1[[#This Row],[Std Adj Read]]="N/A"),"N/A",IF(Table1[[#This Row],[DUT Adj Read]]="N/A",IF(Table1[[#This Row],[Std Adj Read]]&lt;=Table1[[#This Row],[High Tol]],"Pass","Fail"),IF(Table1[[#This Row],[DUT Adj Read]]&lt;=Table1[[#This Row],[High Tol]],"Pass","Fail")))</f>
        <v>Fail</v>
      </c>
      <c r="AH8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1" s="1" t="b">
        <v>0</v>
      </c>
      <c r="AN811" s="1" t="b">
        <v>0</v>
      </c>
      <c r="AO811" s="1" t="b">
        <v>0</v>
      </c>
    </row>
    <row r="812" spans="1:41" x14ac:dyDescent="0.25">
      <c r="A812" s="10"/>
      <c r="B812" s="10"/>
      <c r="C812" s="10"/>
      <c r="D812" s="10"/>
      <c r="E812" s="10"/>
      <c r="F812" s="10"/>
      <c r="G812" s="10"/>
      <c r="H812" s="10"/>
      <c r="I812" s="1" t="str">
        <f t="shared" si="36"/>
        <v/>
      </c>
      <c r="J812" s="1" t="s">
        <v>35</v>
      </c>
      <c r="K812" s="1" t="str">
        <f t="shared" si="37"/>
        <v/>
      </c>
      <c r="L812" s="1" t="str">
        <f t="shared" si="38"/>
        <v/>
      </c>
      <c r="M812" s="1">
        <f>IF(OR(Table1[[#This Row],[Std Nom]]="",Table1[[#This Row],[Std Read]]=""),0,Table1[[#This Row],[Std Nom]]-Table1[[#This Row],[Std Read]])</f>
        <v>0</v>
      </c>
      <c r="N812" s="1">
        <f>IF(Calculations!$F$5="ACCREDITED 17025 WITH UNCERTAINTIES",$N$10,0)</f>
        <v>0</v>
      </c>
      <c r="O812" s="1" t="str">
        <f>IFERROR(Table1[[#This Row],[Std Nom]]-(_xlfn.XLOOKUP(Table1[[#This Row],[Manufacturer]]&amp;" "&amp;Table1[[#This Row],[Model]],Table13[MFR &amp; MDL],Table13[Tolerance % CW ],"")/100*Table1[[#This Row],[Std Nom]]),"")</f>
        <v/>
      </c>
      <c r="P812" s="1" t="str">
        <f>IFERROR(Table1[[#This Row],[Std Nom]]+(_xlfn.XLOOKUP(Table1[[#This Row],[Manufacturer]]&amp;" "&amp;Table1[[#This Row],[Model]],Table13[MFR &amp; MDL],Table13[Tolerance % CW ],"")/100*Table1[[#This Row],[Std Nom]]),"")</f>
        <v/>
      </c>
      <c r="Q812" s="1" t="e">
        <f>Table1[[#This Row],[High Tol]]-Table1[[#This Row],[Low Tol]]</f>
        <v>#VALUE!</v>
      </c>
      <c r="R812" s="1">
        <f>2*Table1[[#This Row],[Std Error]]</f>
        <v>0</v>
      </c>
      <c r="S812" s="1" t="str">
        <f>IF(Table1[[#This Row],[High Tol]]="","N/A",IFERROR(ABS(Table1[[#This Row],[Tol Span]]/Table1[[#This Row],[Error Span]]),"N/A"))</f>
        <v>N/A</v>
      </c>
      <c r="T812" s="1" t="str">
        <f>IF(OR(Table1[[#This Row],[Low Tol]]="",Table1[[#This Row],[High Tol]]=""),"Needs Analysis",IF(Table1[[#This Row],[Ratio]]&gt;=4,"Not Significant",IF(Table1[[#This Row],[Ratio]]&gt;=2,"Semi-Significant","Significant")))</f>
        <v>Needs Analysis</v>
      </c>
      <c r="W812" s="1">
        <f>IF(Table1[[#This Row],[Cal Type]]&lt;&gt;"ACCREDITED 17025 WITH UNCERTAINTIES",0,"")</f>
        <v>0</v>
      </c>
      <c r="X812" s="1" t="str">
        <f>IF(Table1[[#This Row],[DUT Read]]="","N/A",Table1[[#This Row],[Std Error]]+Table1[[#This Row],[DUT Read]]+Table1[[#This Row],[DUT Ucty]])</f>
        <v>N/A</v>
      </c>
      <c r="Y812" s="1" t="str">
        <f>IF(Table1[[#This Row],[Std Read]]="","N/A",Table1[[#This Row],[Std Read]]+Table1[[#This Row],[Std Ucty]])</f>
        <v>N/A</v>
      </c>
      <c r="Z8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2" s="1" t="str">
        <f>IF(Table1[[#This Row],[Spec Type]]="","N/A",Table1[[#This Row],[Spec Type]])</f>
        <v>±</v>
      </c>
      <c r="AC812" s="1" t="str">
        <f>IF(Table1[[#This Row],[Spec Type2]]="N/A","N/A",IF(AND(Table1[[#This Row],[DUT Adj Read]]&gt;=Table1[[#This Row],[Low Tol]],Table1[[#This Row],[DUT Adj Read]]&lt;=Table1[[#This Row],[High Tol]]),"Pass","Fail"))</f>
        <v>Fail</v>
      </c>
      <c r="AD812" s="1" t="str">
        <f>IF(AND(Table1[[#This Row],[Spec Type2]]="N/A",Table1[[#This Row],[DUT Adj Read]]="N/A",Table1[[#This Row],[Std Adj Read]]="N/A"),"N/A",IF(Table1[[#This Row],[DUT Adj Read]]="N/A",IF(Table1[[#This Row],[Std Adj Read]]&gt;Table1[[#This Row],[Low Tol]],"Pass","Fail"),IF(Table1[[#This Row],[DUT Adj Read]]&gt;Table1[[#This Row],[Low Tol]],"Pass","Fail")))</f>
        <v>Pass</v>
      </c>
      <c r="AE812" s="1" t="str">
        <f>IF(AND(Table1[[#This Row],[Spec Type2]]="N/A",Table1[[#This Row],[DUT Adj Read]]="N/A",Table1[[#This Row],[Std Adj Read]]="N/A"),"N/A",IF(Table1[[#This Row],[DUT Adj Read]]="N/A",IF(Table1[[#This Row],[Std Adj Read]]&lt;Table1[[#This Row],[High Tol]],"Pass","Fail"),IF(Table1[[#This Row],[DUT Adj Read]]&lt;Table1[[#This Row],[High Tol]],"Pass","Fail")))</f>
        <v>Fail</v>
      </c>
      <c r="AF812" s="1" t="str">
        <f>IF(AND(Table1[[#This Row],[Spec Type2]]="N/A",Table1[[#This Row],[DUT Adj Read]]="N/A",Table1[[#This Row],[Std Adj Read]]="N/A"),"N/A",IF(Table1[[#This Row],[DUT Adj Read]]="N/A",IF(Table1[[#This Row],[Std Adj Read]]&gt;=Table1[[#This Row],[Low Tol]],"Pass","Fail"),IF(Table1[[#This Row],[DUT Adj Read]]&gt;=Table1[[#This Row],[Low Tol]],"Pass","Fail")))</f>
        <v>Pass</v>
      </c>
      <c r="AG812" s="1" t="str">
        <f>IF(AND(Table1[[#This Row],[Spec Type2]]="N/A",Table1[[#This Row],[DUT Adj Read]]="N/A",Table1[[#This Row],[Std Adj Read]]="N/A"),"N/A",IF(Table1[[#This Row],[DUT Adj Read]]="N/A",IF(Table1[[#This Row],[Std Adj Read]]&lt;=Table1[[#This Row],[High Tol]],"Pass","Fail"),IF(Table1[[#This Row],[DUT Adj Read]]&lt;=Table1[[#This Row],[High Tol]],"Pass","Fail")))</f>
        <v>Fail</v>
      </c>
      <c r="AH8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2" s="1" t="b">
        <v>0</v>
      </c>
      <c r="AN812" s="1" t="b">
        <v>0</v>
      </c>
      <c r="AO812" s="1" t="b">
        <v>0</v>
      </c>
    </row>
    <row r="813" spans="1:41" x14ac:dyDescent="0.25">
      <c r="A813" s="10"/>
      <c r="B813" s="10"/>
      <c r="C813" s="10"/>
      <c r="D813" s="10"/>
      <c r="E813" s="10"/>
      <c r="F813" s="10"/>
      <c r="G813" s="10"/>
      <c r="H813" s="10"/>
      <c r="I813" s="1" t="str">
        <f t="shared" si="36"/>
        <v/>
      </c>
      <c r="J813" s="1" t="s">
        <v>35</v>
      </c>
      <c r="K813" s="1" t="str">
        <f t="shared" si="37"/>
        <v/>
      </c>
      <c r="L813" s="1" t="str">
        <f t="shared" si="38"/>
        <v/>
      </c>
      <c r="M813" s="1">
        <f>IF(OR(Table1[[#This Row],[Std Nom]]="",Table1[[#This Row],[Std Read]]=""),0,Table1[[#This Row],[Std Nom]]-Table1[[#This Row],[Std Read]])</f>
        <v>0</v>
      </c>
      <c r="N813" s="1">
        <f>IF(Calculations!$F$5="ACCREDITED 17025 WITH UNCERTAINTIES",$N$10,0)</f>
        <v>0</v>
      </c>
      <c r="O813" s="1" t="str">
        <f>IFERROR(Table1[[#This Row],[Std Nom]]-(_xlfn.XLOOKUP(Table1[[#This Row],[Manufacturer]]&amp;" "&amp;Table1[[#This Row],[Model]],Table13[MFR &amp; MDL],Table13[Tolerance % CW ],"")/100*Table1[[#This Row],[Std Nom]]),"")</f>
        <v/>
      </c>
      <c r="P813" s="1" t="str">
        <f>IFERROR(Table1[[#This Row],[Std Nom]]+(_xlfn.XLOOKUP(Table1[[#This Row],[Manufacturer]]&amp;" "&amp;Table1[[#This Row],[Model]],Table13[MFR &amp; MDL],Table13[Tolerance % CW ],"")/100*Table1[[#This Row],[Std Nom]]),"")</f>
        <v/>
      </c>
      <c r="Q813" s="1" t="e">
        <f>Table1[[#This Row],[High Tol]]-Table1[[#This Row],[Low Tol]]</f>
        <v>#VALUE!</v>
      </c>
      <c r="R813" s="1">
        <f>2*Table1[[#This Row],[Std Error]]</f>
        <v>0</v>
      </c>
      <c r="S813" s="1" t="str">
        <f>IF(Table1[[#This Row],[High Tol]]="","N/A",IFERROR(ABS(Table1[[#This Row],[Tol Span]]/Table1[[#This Row],[Error Span]]),"N/A"))</f>
        <v>N/A</v>
      </c>
      <c r="T813" s="1" t="str">
        <f>IF(OR(Table1[[#This Row],[Low Tol]]="",Table1[[#This Row],[High Tol]]=""),"Needs Analysis",IF(Table1[[#This Row],[Ratio]]&gt;=4,"Not Significant",IF(Table1[[#This Row],[Ratio]]&gt;=2,"Semi-Significant","Significant")))</f>
        <v>Needs Analysis</v>
      </c>
      <c r="W813" s="1">
        <f>IF(Table1[[#This Row],[Cal Type]]&lt;&gt;"ACCREDITED 17025 WITH UNCERTAINTIES",0,"")</f>
        <v>0</v>
      </c>
      <c r="X813" s="1" t="str">
        <f>IF(Table1[[#This Row],[DUT Read]]="","N/A",Table1[[#This Row],[Std Error]]+Table1[[#This Row],[DUT Read]]+Table1[[#This Row],[DUT Ucty]])</f>
        <v>N/A</v>
      </c>
      <c r="Y813" s="1" t="str">
        <f>IF(Table1[[#This Row],[Std Read]]="","N/A",Table1[[#This Row],[Std Read]]+Table1[[#This Row],[Std Ucty]])</f>
        <v>N/A</v>
      </c>
      <c r="Z8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3" s="1" t="str">
        <f>IF(Table1[[#This Row],[Spec Type]]="","N/A",Table1[[#This Row],[Spec Type]])</f>
        <v>±</v>
      </c>
      <c r="AC813" s="1" t="str">
        <f>IF(Table1[[#This Row],[Spec Type2]]="N/A","N/A",IF(AND(Table1[[#This Row],[DUT Adj Read]]&gt;=Table1[[#This Row],[Low Tol]],Table1[[#This Row],[DUT Adj Read]]&lt;=Table1[[#This Row],[High Tol]]),"Pass","Fail"))</f>
        <v>Fail</v>
      </c>
      <c r="AD813" s="1" t="str">
        <f>IF(AND(Table1[[#This Row],[Spec Type2]]="N/A",Table1[[#This Row],[DUT Adj Read]]="N/A",Table1[[#This Row],[Std Adj Read]]="N/A"),"N/A",IF(Table1[[#This Row],[DUT Adj Read]]="N/A",IF(Table1[[#This Row],[Std Adj Read]]&gt;Table1[[#This Row],[Low Tol]],"Pass","Fail"),IF(Table1[[#This Row],[DUT Adj Read]]&gt;Table1[[#This Row],[Low Tol]],"Pass","Fail")))</f>
        <v>Pass</v>
      </c>
      <c r="AE813" s="1" t="str">
        <f>IF(AND(Table1[[#This Row],[Spec Type2]]="N/A",Table1[[#This Row],[DUT Adj Read]]="N/A",Table1[[#This Row],[Std Adj Read]]="N/A"),"N/A",IF(Table1[[#This Row],[DUT Adj Read]]="N/A",IF(Table1[[#This Row],[Std Adj Read]]&lt;Table1[[#This Row],[High Tol]],"Pass","Fail"),IF(Table1[[#This Row],[DUT Adj Read]]&lt;Table1[[#This Row],[High Tol]],"Pass","Fail")))</f>
        <v>Fail</v>
      </c>
      <c r="AF813" s="1" t="str">
        <f>IF(AND(Table1[[#This Row],[Spec Type2]]="N/A",Table1[[#This Row],[DUT Adj Read]]="N/A",Table1[[#This Row],[Std Adj Read]]="N/A"),"N/A",IF(Table1[[#This Row],[DUT Adj Read]]="N/A",IF(Table1[[#This Row],[Std Adj Read]]&gt;=Table1[[#This Row],[Low Tol]],"Pass","Fail"),IF(Table1[[#This Row],[DUT Adj Read]]&gt;=Table1[[#This Row],[Low Tol]],"Pass","Fail")))</f>
        <v>Pass</v>
      </c>
      <c r="AG813" s="1" t="str">
        <f>IF(AND(Table1[[#This Row],[Spec Type2]]="N/A",Table1[[#This Row],[DUT Adj Read]]="N/A",Table1[[#This Row],[Std Adj Read]]="N/A"),"N/A",IF(Table1[[#This Row],[DUT Adj Read]]="N/A",IF(Table1[[#This Row],[Std Adj Read]]&lt;=Table1[[#This Row],[High Tol]],"Pass","Fail"),IF(Table1[[#This Row],[DUT Adj Read]]&lt;=Table1[[#This Row],[High Tol]],"Pass","Fail")))</f>
        <v>Fail</v>
      </c>
      <c r="AH8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3" s="1" t="b">
        <v>0</v>
      </c>
      <c r="AN813" s="1" t="b">
        <v>0</v>
      </c>
      <c r="AO813" s="1" t="b">
        <v>0</v>
      </c>
    </row>
    <row r="814" spans="1:41" x14ac:dyDescent="0.25">
      <c r="A814" s="10"/>
      <c r="B814" s="10"/>
      <c r="C814" s="10"/>
      <c r="D814" s="10"/>
      <c r="E814" s="10"/>
      <c r="F814" s="10"/>
      <c r="G814" s="10"/>
      <c r="H814" s="10"/>
      <c r="I814" s="1" t="str">
        <f t="shared" si="36"/>
        <v/>
      </c>
      <c r="J814" s="1" t="s">
        <v>35</v>
      </c>
      <c r="K814" s="1" t="str">
        <f t="shared" si="37"/>
        <v/>
      </c>
      <c r="L814" s="1" t="str">
        <f t="shared" si="38"/>
        <v/>
      </c>
      <c r="M814" s="1">
        <f>IF(OR(Table1[[#This Row],[Std Nom]]="",Table1[[#This Row],[Std Read]]=""),0,Table1[[#This Row],[Std Nom]]-Table1[[#This Row],[Std Read]])</f>
        <v>0</v>
      </c>
      <c r="N814" s="1">
        <f>IF(Calculations!$F$5="ACCREDITED 17025 WITH UNCERTAINTIES",$N$10,0)</f>
        <v>0</v>
      </c>
      <c r="O814" s="1" t="str">
        <f>IFERROR(Table1[[#This Row],[Std Nom]]-(_xlfn.XLOOKUP(Table1[[#This Row],[Manufacturer]]&amp;" "&amp;Table1[[#This Row],[Model]],Table13[MFR &amp; MDL],Table13[Tolerance % CW ],"")/100*Table1[[#This Row],[Std Nom]]),"")</f>
        <v/>
      </c>
      <c r="P814" s="1" t="str">
        <f>IFERROR(Table1[[#This Row],[Std Nom]]+(_xlfn.XLOOKUP(Table1[[#This Row],[Manufacturer]]&amp;" "&amp;Table1[[#This Row],[Model]],Table13[MFR &amp; MDL],Table13[Tolerance % CW ],"")/100*Table1[[#This Row],[Std Nom]]),"")</f>
        <v/>
      </c>
      <c r="Q814" s="1" t="e">
        <f>Table1[[#This Row],[High Tol]]-Table1[[#This Row],[Low Tol]]</f>
        <v>#VALUE!</v>
      </c>
      <c r="R814" s="1">
        <f>2*Table1[[#This Row],[Std Error]]</f>
        <v>0</v>
      </c>
      <c r="S814" s="1" t="str">
        <f>IF(Table1[[#This Row],[High Tol]]="","N/A",IFERROR(ABS(Table1[[#This Row],[Tol Span]]/Table1[[#This Row],[Error Span]]),"N/A"))</f>
        <v>N/A</v>
      </c>
      <c r="T814" s="1" t="str">
        <f>IF(OR(Table1[[#This Row],[Low Tol]]="",Table1[[#This Row],[High Tol]]=""),"Needs Analysis",IF(Table1[[#This Row],[Ratio]]&gt;=4,"Not Significant",IF(Table1[[#This Row],[Ratio]]&gt;=2,"Semi-Significant","Significant")))</f>
        <v>Needs Analysis</v>
      </c>
      <c r="W814" s="1">
        <f>IF(Table1[[#This Row],[Cal Type]]&lt;&gt;"ACCREDITED 17025 WITH UNCERTAINTIES",0,"")</f>
        <v>0</v>
      </c>
      <c r="X814" s="1" t="str">
        <f>IF(Table1[[#This Row],[DUT Read]]="","N/A",Table1[[#This Row],[Std Error]]+Table1[[#This Row],[DUT Read]]+Table1[[#This Row],[DUT Ucty]])</f>
        <v>N/A</v>
      </c>
      <c r="Y814" s="1" t="str">
        <f>IF(Table1[[#This Row],[Std Read]]="","N/A",Table1[[#This Row],[Std Read]]+Table1[[#This Row],[Std Ucty]])</f>
        <v>N/A</v>
      </c>
      <c r="Z8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4" s="1" t="str">
        <f>IF(Table1[[#This Row],[Spec Type]]="","N/A",Table1[[#This Row],[Spec Type]])</f>
        <v>±</v>
      </c>
      <c r="AC814" s="1" t="str">
        <f>IF(Table1[[#This Row],[Spec Type2]]="N/A","N/A",IF(AND(Table1[[#This Row],[DUT Adj Read]]&gt;=Table1[[#This Row],[Low Tol]],Table1[[#This Row],[DUT Adj Read]]&lt;=Table1[[#This Row],[High Tol]]),"Pass","Fail"))</f>
        <v>Fail</v>
      </c>
      <c r="AD814" s="1" t="str">
        <f>IF(AND(Table1[[#This Row],[Spec Type2]]="N/A",Table1[[#This Row],[DUT Adj Read]]="N/A",Table1[[#This Row],[Std Adj Read]]="N/A"),"N/A",IF(Table1[[#This Row],[DUT Adj Read]]="N/A",IF(Table1[[#This Row],[Std Adj Read]]&gt;Table1[[#This Row],[Low Tol]],"Pass","Fail"),IF(Table1[[#This Row],[DUT Adj Read]]&gt;Table1[[#This Row],[Low Tol]],"Pass","Fail")))</f>
        <v>Pass</v>
      </c>
      <c r="AE814" s="1" t="str">
        <f>IF(AND(Table1[[#This Row],[Spec Type2]]="N/A",Table1[[#This Row],[DUT Adj Read]]="N/A",Table1[[#This Row],[Std Adj Read]]="N/A"),"N/A",IF(Table1[[#This Row],[DUT Adj Read]]="N/A",IF(Table1[[#This Row],[Std Adj Read]]&lt;Table1[[#This Row],[High Tol]],"Pass","Fail"),IF(Table1[[#This Row],[DUT Adj Read]]&lt;Table1[[#This Row],[High Tol]],"Pass","Fail")))</f>
        <v>Fail</v>
      </c>
      <c r="AF814" s="1" t="str">
        <f>IF(AND(Table1[[#This Row],[Spec Type2]]="N/A",Table1[[#This Row],[DUT Adj Read]]="N/A",Table1[[#This Row],[Std Adj Read]]="N/A"),"N/A",IF(Table1[[#This Row],[DUT Adj Read]]="N/A",IF(Table1[[#This Row],[Std Adj Read]]&gt;=Table1[[#This Row],[Low Tol]],"Pass","Fail"),IF(Table1[[#This Row],[DUT Adj Read]]&gt;=Table1[[#This Row],[Low Tol]],"Pass","Fail")))</f>
        <v>Pass</v>
      </c>
      <c r="AG814" s="1" t="str">
        <f>IF(AND(Table1[[#This Row],[Spec Type2]]="N/A",Table1[[#This Row],[DUT Adj Read]]="N/A",Table1[[#This Row],[Std Adj Read]]="N/A"),"N/A",IF(Table1[[#This Row],[DUT Adj Read]]="N/A",IF(Table1[[#This Row],[Std Adj Read]]&lt;=Table1[[#This Row],[High Tol]],"Pass","Fail"),IF(Table1[[#This Row],[DUT Adj Read]]&lt;=Table1[[#This Row],[High Tol]],"Pass","Fail")))</f>
        <v>Fail</v>
      </c>
      <c r="AH8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4" s="1" t="b">
        <v>0</v>
      </c>
      <c r="AN814" s="1" t="b">
        <v>0</v>
      </c>
      <c r="AO814" s="1" t="b">
        <v>0</v>
      </c>
    </row>
    <row r="815" spans="1:41" x14ac:dyDescent="0.25">
      <c r="A815" s="10"/>
      <c r="B815" s="10"/>
      <c r="C815" s="10"/>
      <c r="D815" s="10"/>
      <c r="E815" s="10"/>
      <c r="F815" s="10"/>
      <c r="G815" s="10"/>
      <c r="H815" s="10"/>
      <c r="I815" s="1" t="str">
        <f t="shared" si="36"/>
        <v/>
      </c>
      <c r="J815" s="1" t="s">
        <v>35</v>
      </c>
      <c r="K815" s="1" t="str">
        <f t="shared" si="37"/>
        <v/>
      </c>
      <c r="L815" s="1" t="str">
        <f t="shared" si="38"/>
        <v/>
      </c>
      <c r="M815" s="1">
        <f>IF(OR(Table1[[#This Row],[Std Nom]]="",Table1[[#This Row],[Std Read]]=""),0,Table1[[#This Row],[Std Nom]]-Table1[[#This Row],[Std Read]])</f>
        <v>0</v>
      </c>
      <c r="N815" s="1">
        <f>IF(Calculations!$F$5="ACCREDITED 17025 WITH UNCERTAINTIES",$N$10,0)</f>
        <v>0</v>
      </c>
      <c r="O815" s="1" t="str">
        <f>IFERROR(Table1[[#This Row],[Std Nom]]-(_xlfn.XLOOKUP(Table1[[#This Row],[Manufacturer]]&amp;" "&amp;Table1[[#This Row],[Model]],Table13[MFR &amp; MDL],Table13[Tolerance % CW ],"")/100*Table1[[#This Row],[Std Nom]]),"")</f>
        <v/>
      </c>
      <c r="P815" s="1" t="str">
        <f>IFERROR(Table1[[#This Row],[Std Nom]]+(_xlfn.XLOOKUP(Table1[[#This Row],[Manufacturer]]&amp;" "&amp;Table1[[#This Row],[Model]],Table13[MFR &amp; MDL],Table13[Tolerance % CW ],"")/100*Table1[[#This Row],[Std Nom]]),"")</f>
        <v/>
      </c>
      <c r="Q815" s="1" t="e">
        <f>Table1[[#This Row],[High Tol]]-Table1[[#This Row],[Low Tol]]</f>
        <v>#VALUE!</v>
      </c>
      <c r="R815" s="1">
        <f>2*Table1[[#This Row],[Std Error]]</f>
        <v>0</v>
      </c>
      <c r="S815" s="1" t="str">
        <f>IF(Table1[[#This Row],[High Tol]]="","N/A",IFERROR(ABS(Table1[[#This Row],[Tol Span]]/Table1[[#This Row],[Error Span]]),"N/A"))</f>
        <v>N/A</v>
      </c>
      <c r="T815" s="1" t="str">
        <f>IF(OR(Table1[[#This Row],[Low Tol]]="",Table1[[#This Row],[High Tol]]=""),"Needs Analysis",IF(Table1[[#This Row],[Ratio]]&gt;=4,"Not Significant",IF(Table1[[#This Row],[Ratio]]&gt;=2,"Semi-Significant","Significant")))</f>
        <v>Needs Analysis</v>
      </c>
      <c r="W815" s="1">
        <f>IF(Table1[[#This Row],[Cal Type]]&lt;&gt;"ACCREDITED 17025 WITH UNCERTAINTIES",0,"")</f>
        <v>0</v>
      </c>
      <c r="X815" s="1" t="str">
        <f>IF(Table1[[#This Row],[DUT Read]]="","N/A",Table1[[#This Row],[Std Error]]+Table1[[#This Row],[DUT Read]]+Table1[[#This Row],[DUT Ucty]])</f>
        <v>N/A</v>
      </c>
      <c r="Y815" s="1" t="str">
        <f>IF(Table1[[#This Row],[Std Read]]="","N/A",Table1[[#This Row],[Std Read]]+Table1[[#This Row],[Std Ucty]])</f>
        <v>N/A</v>
      </c>
      <c r="Z8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5" s="1" t="str">
        <f>IF(Table1[[#This Row],[Spec Type]]="","N/A",Table1[[#This Row],[Spec Type]])</f>
        <v>±</v>
      </c>
      <c r="AC815" s="1" t="str">
        <f>IF(Table1[[#This Row],[Spec Type2]]="N/A","N/A",IF(AND(Table1[[#This Row],[DUT Adj Read]]&gt;=Table1[[#This Row],[Low Tol]],Table1[[#This Row],[DUT Adj Read]]&lt;=Table1[[#This Row],[High Tol]]),"Pass","Fail"))</f>
        <v>Fail</v>
      </c>
      <c r="AD815" s="1" t="str">
        <f>IF(AND(Table1[[#This Row],[Spec Type2]]="N/A",Table1[[#This Row],[DUT Adj Read]]="N/A",Table1[[#This Row],[Std Adj Read]]="N/A"),"N/A",IF(Table1[[#This Row],[DUT Adj Read]]="N/A",IF(Table1[[#This Row],[Std Adj Read]]&gt;Table1[[#This Row],[Low Tol]],"Pass","Fail"),IF(Table1[[#This Row],[DUT Adj Read]]&gt;Table1[[#This Row],[Low Tol]],"Pass","Fail")))</f>
        <v>Pass</v>
      </c>
      <c r="AE815" s="1" t="str">
        <f>IF(AND(Table1[[#This Row],[Spec Type2]]="N/A",Table1[[#This Row],[DUT Adj Read]]="N/A",Table1[[#This Row],[Std Adj Read]]="N/A"),"N/A",IF(Table1[[#This Row],[DUT Adj Read]]="N/A",IF(Table1[[#This Row],[Std Adj Read]]&lt;Table1[[#This Row],[High Tol]],"Pass","Fail"),IF(Table1[[#This Row],[DUT Adj Read]]&lt;Table1[[#This Row],[High Tol]],"Pass","Fail")))</f>
        <v>Fail</v>
      </c>
      <c r="AF815" s="1" t="str">
        <f>IF(AND(Table1[[#This Row],[Spec Type2]]="N/A",Table1[[#This Row],[DUT Adj Read]]="N/A",Table1[[#This Row],[Std Adj Read]]="N/A"),"N/A",IF(Table1[[#This Row],[DUT Adj Read]]="N/A",IF(Table1[[#This Row],[Std Adj Read]]&gt;=Table1[[#This Row],[Low Tol]],"Pass","Fail"),IF(Table1[[#This Row],[DUT Adj Read]]&gt;=Table1[[#This Row],[Low Tol]],"Pass","Fail")))</f>
        <v>Pass</v>
      </c>
      <c r="AG815" s="1" t="str">
        <f>IF(AND(Table1[[#This Row],[Spec Type2]]="N/A",Table1[[#This Row],[DUT Adj Read]]="N/A",Table1[[#This Row],[Std Adj Read]]="N/A"),"N/A",IF(Table1[[#This Row],[DUT Adj Read]]="N/A",IF(Table1[[#This Row],[Std Adj Read]]&lt;=Table1[[#This Row],[High Tol]],"Pass","Fail"),IF(Table1[[#This Row],[DUT Adj Read]]&lt;=Table1[[#This Row],[High Tol]],"Pass","Fail")))</f>
        <v>Fail</v>
      </c>
      <c r="AH8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5" s="1" t="b">
        <v>0</v>
      </c>
      <c r="AN815" s="1" t="b">
        <v>0</v>
      </c>
      <c r="AO815" s="1" t="b">
        <v>0</v>
      </c>
    </row>
    <row r="816" spans="1:41" x14ac:dyDescent="0.25">
      <c r="A816" s="10"/>
      <c r="B816" s="10"/>
      <c r="C816" s="10"/>
      <c r="D816" s="10"/>
      <c r="E816" s="10"/>
      <c r="F816" s="10"/>
      <c r="G816" s="10"/>
      <c r="H816" s="10"/>
      <c r="I816" s="1" t="str">
        <f t="shared" si="36"/>
        <v/>
      </c>
      <c r="J816" s="1" t="s">
        <v>35</v>
      </c>
      <c r="K816" s="1" t="str">
        <f t="shared" si="37"/>
        <v/>
      </c>
      <c r="L816" s="1" t="str">
        <f t="shared" si="38"/>
        <v/>
      </c>
      <c r="M816" s="1">
        <f>IF(OR(Table1[[#This Row],[Std Nom]]="",Table1[[#This Row],[Std Read]]=""),0,Table1[[#This Row],[Std Nom]]-Table1[[#This Row],[Std Read]])</f>
        <v>0</v>
      </c>
      <c r="N816" s="1">
        <f>IF(Calculations!$F$5="ACCREDITED 17025 WITH UNCERTAINTIES",$N$10,0)</f>
        <v>0</v>
      </c>
      <c r="O816" s="1" t="str">
        <f>IFERROR(Table1[[#This Row],[Std Nom]]-(_xlfn.XLOOKUP(Table1[[#This Row],[Manufacturer]]&amp;" "&amp;Table1[[#This Row],[Model]],Table13[MFR &amp; MDL],Table13[Tolerance % CW ],"")/100*Table1[[#This Row],[Std Nom]]),"")</f>
        <v/>
      </c>
      <c r="P816" s="1" t="str">
        <f>IFERROR(Table1[[#This Row],[Std Nom]]+(_xlfn.XLOOKUP(Table1[[#This Row],[Manufacturer]]&amp;" "&amp;Table1[[#This Row],[Model]],Table13[MFR &amp; MDL],Table13[Tolerance % CW ],"")/100*Table1[[#This Row],[Std Nom]]),"")</f>
        <v/>
      </c>
      <c r="Q816" s="1" t="e">
        <f>Table1[[#This Row],[High Tol]]-Table1[[#This Row],[Low Tol]]</f>
        <v>#VALUE!</v>
      </c>
      <c r="R816" s="1">
        <f>2*Table1[[#This Row],[Std Error]]</f>
        <v>0</v>
      </c>
      <c r="S816" s="1" t="str">
        <f>IF(Table1[[#This Row],[High Tol]]="","N/A",IFERROR(ABS(Table1[[#This Row],[Tol Span]]/Table1[[#This Row],[Error Span]]),"N/A"))</f>
        <v>N/A</v>
      </c>
      <c r="T816" s="1" t="str">
        <f>IF(OR(Table1[[#This Row],[Low Tol]]="",Table1[[#This Row],[High Tol]]=""),"Needs Analysis",IF(Table1[[#This Row],[Ratio]]&gt;=4,"Not Significant",IF(Table1[[#This Row],[Ratio]]&gt;=2,"Semi-Significant","Significant")))</f>
        <v>Needs Analysis</v>
      </c>
      <c r="W816" s="1">
        <f>IF(Table1[[#This Row],[Cal Type]]&lt;&gt;"ACCREDITED 17025 WITH UNCERTAINTIES",0,"")</f>
        <v>0</v>
      </c>
      <c r="X816" s="1" t="str">
        <f>IF(Table1[[#This Row],[DUT Read]]="","N/A",Table1[[#This Row],[Std Error]]+Table1[[#This Row],[DUT Read]]+Table1[[#This Row],[DUT Ucty]])</f>
        <v>N/A</v>
      </c>
      <c r="Y816" s="1" t="str">
        <f>IF(Table1[[#This Row],[Std Read]]="","N/A",Table1[[#This Row],[Std Read]]+Table1[[#This Row],[Std Ucty]])</f>
        <v>N/A</v>
      </c>
      <c r="Z8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6" s="1" t="str">
        <f>IF(Table1[[#This Row],[Spec Type]]="","N/A",Table1[[#This Row],[Spec Type]])</f>
        <v>±</v>
      </c>
      <c r="AC816" s="1" t="str">
        <f>IF(Table1[[#This Row],[Spec Type2]]="N/A","N/A",IF(AND(Table1[[#This Row],[DUT Adj Read]]&gt;=Table1[[#This Row],[Low Tol]],Table1[[#This Row],[DUT Adj Read]]&lt;=Table1[[#This Row],[High Tol]]),"Pass","Fail"))</f>
        <v>Fail</v>
      </c>
      <c r="AD816" s="1" t="str">
        <f>IF(AND(Table1[[#This Row],[Spec Type2]]="N/A",Table1[[#This Row],[DUT Adj Read]]="N/A",Table1[[#This Row],[Std Adj Read]]="N/A"),"N/A",IF(Table1[[#This Row],[DUT Adj Read]]="N/A",IF(Table1[[#This Row],[Std Adj Read]]&gt;Table1[[#This Row],[Low Tol]],"Pass","Fail"),IF(Table1[[#This Row],[DUT Adj Read]]&gt;Table1[[#This Row],[Low Tol]],"Pass","Fail")))</f>
        <v>Pass</v>
      </c>
      <c r="AE816" s="1" t="str">
        <f>IF(AND(Table1[[#This Row],[Spec Type2]]="N/A",Table1[[#This Row],[DUT Adj Read]]="N/A",Table1[[#This Row],[Std Adj Read]]="N/A"),"N/A",IF(Table1[[#This Row],[DUT Adj Read]]="N/A",IF(Table1[[#This Row],[Std Adj Read]]&lt;Table1[[#This Row],[High Tol]],"Pass","Fail"),IF(Table1[[#This Row],[DUT Adj Read]]&lt;Table1[[#This Row],[High Tol]],"Pass","Fail")))</f>
        <v>Fail</v>
      </c>
      <c r="AF816" s="1" t="str">
        <f>IF(AND(Table1[[#This Row],[Spec Type2]]="N/A",Table1[[#This Row],[DUT Adj Read]]="N/A",Table1[[#This Row],[Std Adj Read]]="N/A"),"N/A",IF(Table1[[#This Row],[DUT Adj Read]]="N/A",IF(Table1[[#This Row],[Std Adj Read]]&gt;=Table1[[#This Row],[Low Tol]],"Pass","Fail"),IF(Table1[[#This Row],[DUT Adj Read]]&gt;=Table1[[#This Row],[Low Tol]],"Pass","Fail")))</f>
        <v>Pass</v>
      </c>
      <c r="AG816" s="1" t="str">
        <f>IF(AND(Table1[[#This Row],[Spec Type2]]="N/A",Table1[[#This Row],[DUT Adj Read]]="N/A",Table1[[#This Row],[Std Adj Read]]="N/A"),"N/A",IF(Table1[[#This Row],[DUT Adj Read]]="N/A",IF(Table1[[#This Row],[Std Adj Read]]&lt;=Table1[[#This Row],[High Tol]],"Pass","Fail"),IF(Table1[[#This Row],[DUT Adj Read]]&lt;=Table1[[#This Row],[High Tol]],"Pass","Fail")))</f>
        <v>Fail</v>
      </c>
      <c r="AH8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6" s="1" t="b">
        <v>0</v>
      </c>
      <c r="AN816" s="1" t="b">
        <v>0</v>
      </c>
      <c r="AO816" s="1" t="b">
        <v>0</v>
      </c>
    </row>
    <row r="817" spans="1:41" x14ac:dyDescent="0.25">
      <c r="A817" s="10"/>
      <c r="B817" s="10"/>
      <c r="C817" s="10"/>
      <c r="D817" s="10"/>
      <c r="E817" s="10"/>
      <c r="F817" s="10"/>
      <c r="G817" s="10"/>
      <c r="H817" s="10"/>
      <c r="I817" s="1" t="str">
        <f t="shared" si="36"/>
        <v/>
      </c>
      <c r="J817" s="1" t="s">
        <v>35</v>
      </c>
      <c r="K817" s="1" t="str">
        <f t="shared" si="37"/>
        <v/>
      </c>
      <c r="L817" s="1" t="str">
        <f t="shared" si="38"/>
        <v/>
      </c>
      <c r="M817" s="1">
        <f>IF(OR(Table1[[#This Row],[Std Nom]]="",Table1[[#This Row],[Std Read]]=""),0,Table1[[#This Row],[Std Nom]]-Table1[[#This Row],[Std Read]])</f>
        <v>0</v>
      </c>
      <c r="N817" s="1">
        <f>IF(Calculations!$F$5="ACCREDITED 17025 WITH UNCERTAINTIES",$N$10,0)</f>
        <v>0</v>
      </c>
      <c r="O817" s="1" t="str">
        <f>IFERROR(Table1[[#This Row],[Std Nom]]-(_xlfn.XLOOKUP(Table1[[#This Row],[Manufacturer]]&amp;" "&amp;Table1[[#This Row],[Model]],Table13[MFR &amp; MDL],Table13[Tolerance % CW ],"")/100*Table1[[#This Row],[Std Nom]]),"")</f>
        <v/>
      </c>
      <c r="P817" s="1" t="str">
        <f>IFERROR(Table1[[#This Row],[Std Nom]]+(_xlfn.XLOOKUP(Table1[[#This Row],[Manufacturer]]&amp;" "&amp;Table1[[#This Row],[Model]],Table13[MFR &amp; MDL],Table13[Tolerance % CW ],"")/100*Table1[[#This Row],[Std Nom]]),"")</f>
        <v/>
      </c>
      <c r="Q817" s="1" t="e">
        <f>Table1[[#This Row],[High Tol]]-Table1[[#This Row],[Low Tol]]</f>
        <v>#VALUE!</v>
      </c>
      <c r="R817" s="1">
        <f>2*Table1[[#This Row],[Std Error]]</f>
        <v>0</v>
      </c>
      <c r="S817" s="1" t="str">
        <f>IF(Table1[[#This Row],[High Tol]]="","N/A",IFERROR(ABS(Table1[[#This Row],[Tol Span]]/Table1[[#This Row],[Error Span]]),"N/A"))</f>
        <v>N/A</v>
      </c>
      <c r="T817" s="1" t="str">
        <f>IF(OR(Table1[[#This Row],[Low Tol]]="",Table1[[#This Row],[High Tol]]=""),"Needs Analysis",IF(Table1[[#This Row],[Ratio]]&gt;=4,"Not Significant",IF(Table1[[#This Row],[Ratio]]&gt;=2,"Semi-Significant","Significant")))</f>
        <v>Needs Analysis</v>
      </c>
      <c r="W817" s="1">
        <f>IF(Table1[[#This Row],[Cal Type]]&lt;&gt;"ACCREDITED 17025 WITH UNCERTAINTIES",0,"")</f>
        <v>0</v>
      </c>
      <c r="X817" s="1" t="str">
        <f>IF(Table1[[#This Row],[DUT Read]]="","N/A",Table1[[#This Row],[Std Error]]+Table1[[#This Row],[DUT Read]]+Table1[[#This Row],[DUT Ucty]])</f>
        <v>N/A</v>
      </c>
      <c r="Y817" s="1" t="str">
        <f>IF(Table1[[#This Row],[Std Read]]="","N/A",Table1[[#This Row],[Std Read]]+Table1[[#This Row],[Std Ucty]])</f>
        <v>N/A</v>
      </c>
      <c r="Z8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7" s="1" t="str">
        <f>IF(Table1[[#This Row],[Spec Type]]="","N/A",Table1[[#This Row],[Spec Type]])</f>
        <v>±</v>
      </c>
      <c r="AC817" s="1" t="str">
        <f>IF(Table1[[#This Row],[Spec Type2]]="N/A","N/A",IF(AND(Table1[[#This Row],[DUT Adj Read]]&gt;=Table1[[#This Row],[Low Tol]],Table1[[#This Row],[DUT Adj Read]]&lt;=Table1[[#This Row],[High Tol]]),"Pass","Fail"))</f>
        <v>Fail</v>
      </c>
      <c r="AD817" s="1" t="str">
        <f>IF(AND(Table1[[#This Row],[Spec Type2]]="N/A",Table1[[#This Row],[DUT Adj Read]]="N/A",Table1[[#This Row],[Std Adj Read]]="N/A"),"N/A",IF(Table1[[#This Row],[DUT Adj Read]]="N/A",IF(Table1[[#This Row],[Std Adj Read]]&gt;Table1[[#This Row],[Low Tol]],"Pass","Fail"),IF(Table1[[#This Row],[DUT Adj Read]]&gt;Table1[[#This Row],[Low Tol]],"Pass","Fail")))</f>
        <v>Pass</v>
      </c>
      <c r="AE817" s="1" t="str">
        <f>IF(AND(Table1[[#This Row],[Spec Type2]]="N/A",Table1[[#This Row],[DUT Adj Read]]="N/A",Table1[[#This Row],[Std Adj Read]]="N/A"),"N/A",IF(Table1[[#This Row],[DUT Adj Read]]="N/A",IF(Table1[[#This Row],[Std Adj Read]]&lt;Table1[[#This Row],[High Tol]],"Pass","Fail"),IF(Table1[[#This Row],[DUT Adj Read]]&lt;Table1[[#This Row],[High Tol]],"Pass","Fail")))</f>
        <v>Fail</v>
      </c>
      <c r="AF817" s="1" t="str">
        <f>IF(AND(Table1[[#This Row],[Spec Type2]]="N/A",Table1[[#This Row],[DUT Adj Read]]="N/A",Table1[[#This Row],[Std Adj Read]]="N/A"),"N/A",IF(Table1[[#This Row],[DUT Adj Read]]="N/A",IF(Table1[[#This Row],[Std Adj Read]]&gt;=Table1[[#This Row],[Low Tol]],"Pass","Fail"),IF(Table1[[#This Row],[DUT Adj Read]]&gt;=Table1[[#This Row],[Low Tol]],"Pass","Fail")))</f>
        <v>Pass</v>
      </c>
      <c r="AG817" s="1" t="str">
        <f>IF(AND(Table1[[#This Row],[Spec Type2]]="N/A",Table1[[#This Row],[DUT Adj Read]]="N/A",Table1[[#This Row],[Std Adj Read]]="N/A"),"N/A",IF(Table1[[#This Row],[DUT Adj Read]]="N/A",IF(Table1[[#This Row],[Std Adj Read]]&lt;=Table1[[#This Row],[High Tol]],"Pass","Fail"),IF(Table1[[#This Row],[DUT Adj Read]]&lt;=Table1[[#This Row],[High Tol]],"Pass","Fail")))</f>
        <v>Fail</v>
      </c>
      <c r="AH8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7" s="1" t="b">
        <v>0</v>
      </c>
      <c r="AN817" s="1" t="b">
        <v>0</v>
      </c>
      <c r="AO817" s="1" t="b">
        <v>0</v>
      </c>
    </row>
    <row r="818" spans="1:41" x14ac:dyDescent="0.25">
      <c r="A818" s="10"/>
      <c r="B818" s="10"/>
      <c r="C818" s="10"/>
      <c r="D818" s="10"/>
      <c r="E818" s="10"/>
      <c r="F818" s="10"/>
      <c r="G818" s="10"/>
      <c r="H818" s="10"/>
      <c r="I818" s="1" t="str">
        <f t="shared" si="36"/>
        <v/>
      </c>
      <c r="J818" s="1" t="s">
        <v>35</v>
      </c>
      <c r="K818" s="1" t="str">
        <f t="shared" si="37"/>
        <v/>
      </c>
      <c r="L818" s="1" t="str">
        <f t="shared" si="38"/>
        <v/>
      </c>
      <c r="M818" s="1">
        <f>IF(OR(Table1[[#This Row],[Std Nom]]="",Table1[[#This Row],[Std Read]]=""),0,Table1[[#This Row],[Std Nom]]-Table1[[#This Row],[Std Read]])</f>
        <v>0</v>
      </c>
      <c r="N818" s="1">
        <f>IF(Calculations!$F$5="ACCREDITED 17025 WITH UNCERTAINTIES",$N$10,0)</f>
        <v>0</v>
      </c>
      <c r="O818" s="1" t="str">
        <f>IFERROR(Table1[[#This Row],[Std Nom]]-(_xlfn.XLOOKUP(Table1[[#This Row],[Manufacturer]]&amp;" "&amp;Table1[[#This Row],[Model]],Table13[MFR &amp; MDL],Table13[Tolerance % CW ],"")/100*Table1[[#This Row],[Std Nom]]),"")</f>
        <v/>
      </c>
      <c r="P818" s="1" t="str">
        <f>IFERROR(Table1[[#This Row],[Std Nom]]+(_xlfn.XLOOKUP(Table1[[#This Row],[Manufacturer]]&amp;" "&amp;Table1[[#This Row],[Model]],Table13[MFR &amp; MDL],Table13[Tolerance % CW ],"")/100*Table1[[#This Row],[Std Nom]]),"")</f>
        <v/>
      </c>
      <c r="Q818" s="1" t="e">
        <f>Table1[[#This Row],[High Tol]]-Table1[[#This Row],[Low Tol]]</f>
        <v>#VALUE!</v>
      </c>
      <c r="R818" s="1">
        <f>2*Table1[[#This Row],[Std Error]]</f>
        <v>0</v>
      </c>
      <c r="S818" s="1" t="str">
        <f>IF(Table1[[#This Row],[High Tol]]="","N/A",IFERROR(ABS(Table1[[#This Row],[Tol Span]]/Table1[[#This Row],[Error Span]]),"N/A"))</f>
        <v>N/A</v>
      </c>
      <c r="T818" s="1" t="str">
        <f>IF(OR(Table1[[#This Row],[Low Tol]]="",Table1[[#This Row],[High Tol]]=""),"Needs Analysis",IF(Table1[[#This Row],[Ratio]]&gt;=4,"Not Significant",IF(Table1[[#This Row],[Ratio]]&gt;=2,"Semi-Significant","Significant")))</f>
        <v>Needs Analysis</v>
      </c>
      <c r="W818" s="1">
        <f>IF(Table1[[#This Row],[Cal Type]]&lt;&gt;"ACCREDITED 17025 WITH UNCERTAINTIES",0,"")</f>
        <v>0</v>
      </c>
      <c r="X818" s="1" t="str">
        <f>IF(Table1[[#This Row],[DUT Read]]="","N/A",Table1[[#This Row],[Std Error]]+Table1[[#This Row],[DUT Read]]+Table1[[#This Row],[DUT Ucty]])</f>
        <v>N/A</v>
      </c>
      <c r="Y818" s="1" t="str">
        <f>IF(Table1[[#This Row],[Std Read]]="","N/A",Table1[[#This Row],[Std Read]]+Table1[[#This Row],[Std Ucty]])</f>
        <v>N/A</v>
      </c>
      <c r="Z8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8" s="1" t="str">
        <f>IF(Table1[[#This Row],[Spec Type]]="","N/A",Table1[[#This Row],[Spec Type]])</f>
        <v>±</v>
      </c>
      <c r="AC818" s="1" t="str">
        <f>IF(Table1[[#This Row],[Spec Type2]]="N/A","N/A",IF(AND(Table1[[#This Row],[DUT Adj Read]]&gt;=Table1[[#This Row],[Low Tol]],Table1[[#This Row],[DUT Adj Read]]&lt;=Table1[[#This Row],[High Tol]]),"Pass","Fail"))</f>
        <v>Fail</v>
      </c>
      <c r="AD818" s="1" t="str">
        <f>IF(AND(Table1[[#This Row],[Spec Type2]]="N/A",Table1[[#This Row],[DUT Adj Read]]="N/A",Table1[[#This Row],[Std Adj Read]]="N/A"),"N/A",IF(Table1[[#This Row],[DUT Adj Read]]="N/A",IF(Table1[[#This Row],[Std Adj Read]]&gt;Table1[[#This Row],[Low Tol]],"Pass","Fail"),IF(Table1[[#This Row],[DUT Adj Read]]&gt;Table1[[#This Row],[Low Tol]],"Pass","Fail")))</f>
        <v>Pass</v>
      </c>
      <c r="AE818" s="1" t="str">
        <f>IF(AND(Table1[[#This Row],[Spec Type2]]="N/A",Table1[[#This Row],[DUT Adj Read]]="N/A",Table1[[#This Row],[Std Adj Read]]="N/A"),"N/A",IF(Table1[[#This Row],[DUT Adj Read]]="N/A",IF(Table1[[#This Row],[Std Adj Read]]&lt;Table1[[#This Row],[High Tol]],"Pass","Fail"),IF(Table1[[#This Row],[DUT Adj Read]]&lt;Table1[[#This Row],[High Tol]],"Pass","Fail")))</f>
        <v>Fail</v>
      </c>
      <c r="AF818" s="1" t="str">
        <f>IF(AND(Table1[[#This Row],[Spec Type2]]="N/A",Table1[[#This Row],[DUT Adj Read]]="N/A",Table1[[#This Row],[Std Adj Read]]="N/A"),"N/A",IF(Table1[[#This Row],[DUT Adj Read]]="N/A",IF(Table1[[#This Row],[Std Adj Read]]&gt;=Table1[[#This Row],[Low Tol]],"Pass","Fail"),IF(Table1[[#This Row],[DUT Adj Read]]&gt;=Table1[[#This Row],[Low Tol]],"Pass","Fail")))</f>
        <v>Pass</v>
      </c>
      <c r="AG818" s="1" t="str">
        <f>IF(AND(Table1[[#This Row],[Spec Type2]]="N/A",Table1[[#This Row],[DUT Adj Read]]="N/A",Table1[[#This Row],[Std Adj Read]]="N/A"),"N/A",IF(Table1[[#This Row],[DUT Adj Read]]="N/A",IF(Table1[[#This Row],[Std Adj Read]]&lt;=Table1[[#This Row],[High Tol]],"Pass","Fail"),IF(Table1[[#This Row],[DUT Adj Read]]&lt;=Table1[[#This Row],[High Tol]],"Pass","Fail")))</f>
        <v>Fail</v>
      </c>
      <c r="AH8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8" s="1" t="b">
        <v>0</v>
      </c>
      <c r="AN818" s="1" t="b">
        <v>0</v>
      </c>
      <c r="AO818" s="1" t="b">
        <v>0</v>
      </c>
    </row>
    <row r="819" spans="1:41" x14ac:dyDescent="0.25">
      <c r="A819" s="10"/>
      <c r="B819" s="10"/>
      <c r="C819" s="10"/>
      <c r="D819" s="10"/>
      <c r="E819" s="10"/>
      <c r="F819" s="10"/>
      <c r="G819" s="10"/>
      <c r="H819" s="10"/>
      <c r="I819" s="1" t="str">
        <f t="shared" si="36"/>
        <v/>
      </c>
      <c r="J819" s="1" t="s">
        <v>35</v>
      </c>
      <c r="K819" s="1" t="str">
        <f t="shared" si="37"/>
        <v/>
      </c>
      <c r="L819" s="1" t="str">
        <f t="shared" si="38"/>
        <v/>
      </c>
      <c r="M819" s="1">
        <f>IF(OR(Table1[[#This Row],[Std Nom]]="",Table1[[#This Row],[Std Read]]=""),0,Table1[[#This Row],[Std Nom]]-Table1[[#This Row],[Std Read]])</f>
        <v>0</v>
      </c>
      <c r="N819" s="1">
        <f>IF(Calculations!$F$5="ACCREDITED 17025 WITH UNCERTAINTIES",$N$10,0)</f>
        <v>0</v>
      </c>
      <c r="O819" s="1" t="str">
        <f>IFERROR(Table1[[#This Row],[Std Nom]]-(_xlfn.XLOOKUP(Table1[[#This Row],[Manufacturer]]&amp;" "&amp;Table1[[#This Row],[Model]],Table13[MFR &amp; MDL],Table13[Tolerance % CW ],"")/100*Table1[[#This Row],[Std Nom]]),"")</f>
        <v/>
      </c>
      <c r="P819" s="1" t="str">
        <f>IFERROR(Table1[[#This Row],[Std Nom]]+(_xlfn.XLOOKUP(Table1[[#This Row],[Manufacturer]]&amp;" "&amp;Table1[[#This Row],[Model]],Table13[MFR &amp; MDL],Table13[Tolerance % CW ],"")/100*Table1[[#This Row],[Std Nom]]),"")</f>
        <v/>
      </c>
      <c r="Q819" s="1" t="e">
        <f>Table1[[#This Row],[High Tol]]-Table1[[#This Row],[Low Tol]]</f>
        <v>#VALUE!</v>
      </c>
      <c r="R819" s="1">
        <f>2*Table1[[#This Row],[Std Error]]</f>
        <v>0</v>
      </c>
      <c r="S819" s="1" t="str">
        <f>IF(Table1[[#This Row],[High Tol]]="","N/A",IFERROR(ABS(Table1[[#This Row],[Tol Span]]/Table1[[#This Row],[Error Span]]),"N/A"))</f>
        <v>N/A</v>
      </c>
      <c r="T819" s="1" t="str">
        <f>IF(OR(Table1[[#This Row],[Low Tol]]="",Table1[[#This Row],[High Tol]]=""),"Needs Analysis",IF(Table1[[#This Row],[Ratio]]&gt;=4,"Not Significant",IF(Table1[[#This Row],[Ratio]]&gt;=2,"Semi-Significant","Significant")))</f>
        <v>Needs Analysis</v>
      </c>
      <c r="W819" s="1">
        <f>IF(Table1[[#This Row],[Cal Type]]&lt;&gt;"ACCREDITED 17025 WITH UNCERTAINTIES",0,"")</f>
        <v>0</v>
      </c>
      <c r="X819" s="1" t="str">
        <f>IF(Table1[[#This Row],[DUT Read]]="","N/A",Table1[[#This Row],[Std Error]]+Table1[[#This Row],[DUT Read]]+Table1[[#This Row],[DUT Ucty]])</f>
        <v>N/A</v>
      </c>
      <c r="Y819" s="1" t="str">
        <f>IF(Table1[[#This Row],[Std Read]]="","N/A",Table1[[#This Row],[Std Read]]+Table1[[#This Row],[Std Ucty]])</f>
        <v>N/A</v>
      </c>
      <c r="Z8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9" s="1" t="str">
        <f>IF(Table1[[#This Row],[Spec Type]]="","N/A",Table1[[#This Row],[Spec Type]])</f>
        <v>±</v>
      </c>
      <c r="AC819" s="1" t="str">
        <f>IF(Table1[[#This Row],[Spec Type2]]="N/A","N/A",IF(AND(Table1[[#This Row],[DUT Adj Read]]&gt;=Table1[[#This Row],[Low Tol]],Table1[[#This Row],[DUT Adj Read]]&lt;=Table1[[#This Row],[High Tol]]),"Pass","Fail"))</f>
        <v>Fail</v>
      </c>
      <c r="AD819" s="1" t="str">
        <f>IF(AND(Table1[[#This Row],[Spec Type2]]="N/A",Table1[[#This Row],[DUT Adj Read]]="N/A",Table1[[#This Row],[Std Adj Read]]="N/A"),"N/A",IF(Table1[[#This Row],[DUT Adj Read]]="N/A",IF(Table1[[#This Row],[Std Adj Read]]&gt;Table1[[#This Row],[Low Tol]],"Pass","Fail"),IF(Table1[[#This Row],[DUT Adj Read]]&gt;Table1[[#This Row],[Low Tol]],"Pass","Fail")))</f>
        <v>Pass</v>
      </c>
      <c r="AE819" s="1" t="str">
        <f>IF(AND(Table1[[#This Row],[Spec Type2]]="N/A",Table1[[#This Row],[DUT Adj Read]]="N/A",Table1[[#This Row],[Std Adj Read]]="N/A"),"N/A",IF(Table1[[#This Row],[DUT Adj Read]]="N/A",IF(Table1[[#This Row],[Std Adj Read]]&lt;Table1[[#This Row],[High Tol]],"Pass","Fail"),IF(Table1[[#This Row],[DUT Adj Read]]&lt;Table1[[#This Row],[High Tol]],"Pass","Fail")))</f>
        <v>Fail</v>
      </c>
      <c r="AF819" s="1" t="str">
        <f>IF(AND(Table1[[#This Row],[Spec Type2]]="N/A",Table1[[#This Row],[DUT Adj Read]]="N/A",Table1[[#This Row],[Std Adj Read]]="N/A"),"N/A",IF(Table1[[#This Row],[DUT Adj Read]]="N/A",IF(Table1[[#This Row],[Std Adj Read]]&gt;=Table1[[#This Row],[Low Tol]],"Pass","Fail"),IF(Table1[[#This Row],[DUT Adj Read]]&gt;=Table1[[#This Row],[Low Tol]],"Pass","Fail")))</f>
        <v>Pass</v>
      </c>
      <c r="AG819" s="1" t="str">
        <f>IF(AND(Table1[[#This Row],[Spec Type2]]="N/A",Table1[[#This Row],[DUT Adj Read]]="N/A",Table1[[#This Row],[Std Adj Read]]="N/A"),"N/A",IF(Table1[[#This Row],[DUT Adj Read]]="N/A",IF(Table1[[#This Row],[Std Adj Read]]&lt;=Table1[[#This Row],[High Tol]],"Pass","Fail"),IF(Table1[[#This Row],[DUT Adj Read]]&lt;=Table1[[#This Row],[High Tol]],"Pass","Fail")))</f>
        <v>Fail</v>
      </c>
      <c r="AH8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9" s="1" t="b">
        <v>0</v>
      </c>
      <c r="AN819" s="1" t="b">
        <v>0</v>
      </c>
      <c r="AO819" s="1" t="b">
        <v>0</v>
      </c>
    </row>
    <row r="820" spans="1:41" x14ac:dyDescent="0.25">
      <c r="A820" s="10"/>
      <c r="B820" s="10"/>
      <c r="C820" s="10"/>
      <c r="D820" s="10"/>
      <c r="E820" s="10"/>
      <c r="F820" s="10"/>
      <c r="G820" s="10"/>
      <c r="H820" s="10"/>
      <c r="I820" s="1" t="str">
        <f t="shared" si="36"/>
        <v/>
      </c>
      <c r="J820" s="1" t="s">
        <v>35</v>
      </c>
      <c r="K820" s="1" t="str">
        <f t="shared" si="37"/>
        <v/>
      </c>
      <c r="L820" s="1" t="str">
        <f t="shared" si="38"/>
        <v/>
      </c>
      <c r="M820" s="1">
        <f>IF(OR(Table1[[#This Row],[Std Nom]]="",Table1[[#This Row],[Std Read]]=""),0,Table1[[#This Row],[Std Nom]]-Table1[[#This Row],[Std Read]])</f>
        <v>0</v>
      </c>
      <c r="N820" s="1">
        <f>IF(Calculations!$F$5="ACCREDITED 17025 WITH UNCERTAINTIES",$N$10,0)</f>
        <v>0</v>
      </c>
      <c r="O820" s="1" t="str">
        <f>IFERROR(Table1[[#This Row],[Std Nom]]-(_xlfn.XLOOKUP(Table1[[#This Row],[Manufacturer]]&amp;" "&amp;Table1[[#This Row],[Model]],Table13[MFR &amp; MDL],Table13[Tolerance % CW ],"")/100*Table1[[#This Row],[Std Nom]]),"")</f>
        <v/>
      </c>
      <c r="P820" s="1" t="str">
        <f>IFERROR(Table1[[#This Row],[Std Nom]]+(_xlfn.XLOOKUP(Table1[[#This Row],[Manufacturer]]&amp;" "&amp;Table1[[#This Row],[Model]],Table13[MFR &amp; MDL],Table13[Tolerance % CW ],"")/100*Table1[[#This Row],[Std Nom]]),"")</f>
        <v/>
      </c>
      <c r="Q820" s="1" t="e">
        <f>Table1[[#This Row],[High Tol]]-Table1[[#This Row],[Low Tol]]</f>
        <v>#VALUE!</v>
      </c>
      <c r="R820" s="1">
        <f>2*Table1[[#This Row],[Std Error]]</f>
        <v>0</v>
      </c>
      <c r="S820" s="1" t="str">
        <f>IF(Table1[[#This Row],[High Tol]]="","N/A",IFERROR(ABS(Table1[[#This Row],[Tol Span]]/Table1[[#This Row],[Error Span]]),"N/A"))</f>
        <v>N/A</v>
      </c>
      <c r="T820" s="1" t="str">
        <f>IF(OR(Table1[[#This Row],[Low Tol]]="",Table1[[#This Row],[High Tol]]=""),"Needs Analysis",IF(Table1[[#This Row],[Ratio]]&gt;=4,"Not Significant",IF(Table1[[#This Row],[Ratio]]&gt;=2,"Semi-Significant","Significant")))</f>
        <v>Needs Analysis</v>
      </c>
      <c r="W820" s="1">
        <f>IF(Table1[[#This Row],[Cal Type]]&lt;&gt;"ACCREDITED 17025 WITH UNCERTAINTIES",0,"")</f>
        <v>0</v>
      </c>
      <c r="X820" s="1" t="str">
        <f>IF(Table1[[#This Row],[DUT Read]]="","N/A",Table1[[#This Row],[Std Error]]+Table1[[#This Row],[DUT Read]]+Table1[[#This Row],[DUT Ucty]])</f>
        <v>N/A</v>
      </c>
      <c r="Y820" s="1" t="str">
        <f>IF(Table1[[#This Row],[Std Read]]="","N/A",Table1[[#This Row],[Std Read]]+Table1[[#This Row],[Std Ucty]])</f>
        <v>N/A</v>
      </c>
      <c r="Z8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0" s="1" t="str">
        <f>IF(Table1[[#This Row],[Spec Type]]="","N/A",Table1[[#This Row],[Spec Type]])</f>
        <v>±</v>
      </c>
      <c r="AC820" s="1" t="str">
        <f>IF(Table1[[#This Row],[Spec Type2]]="N/A","N/A",IF(AND(Table1[[#This Row],[DUT Adj Read]]&gt;=Table1[[#This Row],[Low Tol]],Table1[[#This Row],[DUT Adj Read]]&lt;=Table1[[#This Row],[High Tol]]),"Pass","Fail"))</f>
        <v>Fail</v>
      </c>
      <c r="AD820" s="1" t="str">
        <f>IF(AND(Table1[[#This Row],[Spec Type2]]="N/A",Table1[[#This Row],[DUT Adj Read]]="N/A",Table1[[#This Row],[Std Adj Read]]="N/A"),"N/A",IF(Table1[[#This Row],[DUT Adj Read]]="N/A",IF(Table1[[#This Row],[Std Adj Read]]&gt;Table1[[#This Row],[Low Tol]],"Pass","Fail"),IF(Table1[[#This Row],[DUT Adj Read]]&gt;Table1[[#This Row],[Low Tol]],"Pass","Fail")))</f>
        <v>Pass</v>
      </c>
      <c r="AE820" s="1" t="str">
        <f>IF(AND(Table1[[#This Row],[Spec Type2]]="N/A",Table1[[#This Row],[DUT Adj Read]]="N/A",Table1[[#This Row],[Std Adj Read]]="N/A"),"N/A",IF(Table1[[#This Row],[DUT Adj Read]]="N/A",IF(Table1[[#This Row],[Std Adj Read]]&lt;Table1[[#This Row],[High Tol]],"Pass","Fail"),IF(Table1[[#This Row],[DUT Adj Read]]&lt;Table1[[#This Row],[High Tol]],"Pass","Fail")))</f>
        <v>Fail</v>
      </c>
      <c r="AF820" s="1" t="str">
        <f>IF(AND(Table1[[#This Row],[Spec Type2]]="N/A",Table1[[#This Row],[DUT Adj Read]]="N/A",Table1[[#This Row],[Std Adj Read]]="N/A"),"N/A",IF(Table1[[#This Row],[DUT Adj Read]]="N/A",IF(Table1[[#This Row],[Std Adj Read]]&gt;=Table1[[#This Row],[Low Tol]],"Pass","Fail"),IF(Table1[[#This Row],[DUT Adj Read]]&gt;=Table1[[#This Row],[Low Tol]],"Pass","Fail")))</f>
        <v>Pass</v>
      </c>
      <c r="AG820" s="1" t="str">
        <f>IF(AND(Table1[[#This Row],[Spec Type2]]="N/A",Table1[[#This Row],[DUT Adj Read]]="N/A",Table1[[#This Row],[Std Adj Read]]="N/A"),"N/A",IF(Table1[[#This Row],[DUT Adj Read]]="N/A",IF(Table1[[#This Row],[Std Adj Read]]&lt;=Table1[[#This Row],[High Tol]],"Pass","Fail"),IF(Table1[[#This Row],[DUT Adj Read]]&lt;=Table1[[#This Row],[High Tol]],"Pass","Fail")))</f>
        <v>Fail</v>
      </c>
      <c r="AH8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0" s="1" t="b">
        <v>0</v>
      </c>
      <c r="AN820" s="1" t="b">
        <v>0</v>
      </c>
      <c r="AO820" s="1" t="b">
        <v>0</v>
      </c>
    </row>
    <row r="821" spans="1:41" x14ac:dyDescent="0.25">
      <c r="A821" s="10"/>
      <c r="B821" s="10"/>
      <c r="C821" s="10"/>
      <c r="D821" s="10"/>
      <c r="E821" s="10"/>
      <c r="F821" s="10"/>
      <c r="G821" s="10"/>
      <c r="H821" s="10"/>
      <c r="I821" s="1" t="str">
        <f t="shared" si="36"/>
        <v/>
      </c>
      <c r="J821" s="1" t="s">
        <v>35</v>
      </c>
      <c r="K821" s="1" t="str">
        <f t="shared" si="37"/>
        <v/>
      </c>
      <c r="L821" s="1" t="str">
        <f t="shared" si="38"/>
        <v/>
      </c>
      <c r="M821" s="1">
        <f>IF(OR(Table1[[#This Row],[Std Nom]]="",Table1[[#This Row],[Std Read]]=""),0,Table1[[#This Row],[Std Nom]]-Table1[[#This Row],[Std Read]])</f>
        <v>0</v>
      </c>
      <c r="N821" s="1">
        <f>IF(Calculations!$F$5="ACCREDITED 17025 WITH UNCERTAINTIES",$N$10,0)</f>
        <v>0</v>
      </c>
      <c r="O821" s="1" t="str">
        <f>IFERROR(Table1[[#This Row],[Std Nom]]-(_xlfn.XLOOKUP(Table1[[#This Row],[Manufacturer]]&amp;" "&amp;Table1[[#This Row],[Model]],Table13[MFR &amp; MDL],Table13[Tolerance % CW ],"")/100*Table1[[#This Row],[Std Nom]]),"")</f>
        <v/>
      </c>
      <c r="P821" s="1" t="str">
        <f>IFERROR(Table1[[#This Row],[Std Nom]]+(_xlfn.XLOOKUP(Table1[[#This Row],[Manufacturer]]&amp;" "&amp;Table1[[#This Row],[Model]],Table13[MFR &amp; MDL],Table13[Tolerance % CW ],"")/100*Table1[[#This Row],[Std Nom]]),"")</f>
        <v/>
      </c>
      <c r="Q821" s="1" t="e">
        <f>Table1[[#This Row],[High Tol]]-Table1[[#This Row],[Low Tol]]</f>
        <v>#VALUE!</v>
      </c>
      <c r="R821" s="1">
        <f>2*Table1[[#This Row],[Std Error]]</f>
        <v>0</v>
      </c>
      <c r="S821" s="1" t="str">
        <f>IF(Table1[[#This Row],[High Tol]]="","N/A",IFERROR(ABS(Table1[[#This Row],[Tol Span]]/Table1[[#This Row],[Error Span]]),"N/A"))</f>
        <v>N/A</v>
      </c>
      <c r="T821" s="1" t="str">
        <f>IF(OR(Table1[[#This Row],[Low Tol]]="",Table1[[#This Row],[High Tol]]=""),"Needs Analysis",IF(Table1[[#This Row],[Ratio]]&gt;=4,"Not Significant",IF(Table1[[#This Row],[Ratio]]&gt;=2,"Semi-Significant","Significant")))</f>
        <v>Needs Analysis</v>
      </c>
      <c r="W821" s="1">
        <f>IF(Table1[[#This Row],[Cal Type]]&lt;&gt;"ACCREDITED 17025 WITH UNCERTAINTIES",0,"")</f>
        <v>0</v>
      </c>
      <c r="X821" s="1" t="str">
        <f>IF(Table1[[#This Row],[DUT Read]]="","N/A",Table1[[#This Row],[Std Error]]+Table1[[#This Row],[DUT Read]]+Table1[[#This Row],[DUT Ucty]])</f>
        <v>N/A</v>
      </c>
      <c r="Y821" s="1" t="str">
        <f>IF(Table1[[#This Row],[Std Read]]="","N/A",Table1[[#This Row],[Std Read]]+Table1[[#This Row],[Std Ucty]])</f>
        <v>N/A</v>
      </c>
      <c r="Z8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1" s="1" t="str">
        <f>IF(Table1[[#This Row],[Spec Type]]="","N/A",Table1[[#This Row],[Spec Type]])</f>
        <v>±</v>
      </c>
      <c r="AC821" s="1" t="str">
        <f>IF(Table1[[#This Row],[Spec Type2]]="N/A","N/A",IF(AND(Table1[[#This Row],[DUT Adj Read]]&gt;=Table1[[#This Row],[Low Tol]],Table1[[#This Row],[DUT Adj Read]]&lt;=Table1[[#This Row],[High Tol]]),"Pass","Fail"))</f>
        <v>Fail</v>
      </c>
      <c r="AD821" s="1" t="str">
        <f>IF(AND(Table1[[#This Row],[Spec Type2]]="N/A",Table1[[#This Row],[DUT Adj Read]]="N/A",Table1[[#This Row],[Std Adj Read]]="N/A"),"N/A",IF(Table1[[#This Row],[DUT Adj Read]]="N/A",IF(Table1[[#This Row],[Std Adj Read]]&gt;Table1[[#This Row],[Low Tol]],"Pass","Fail"),IF(Table1[[#This Row],[DUT Adj Read]]&gt;Table1[[#This Row],[Low Tol]],"Pass","Fail")))</f>
        <v>Pass</v>
      </c>
      <c r="AE821" s="1" t="str">
        <f>IF(AND(Table1[[#This Row],[Spec Type2]]="N/A",Table1[[#This Row],[DUT Adj Read]]="N/A",Table1[[#This Row],[Std Adj Read]]="N/A"),"N/A",IF(Table1[[#This Row],[DUT Adj Read]]="N/A",IF(Table1[[#This Row],[Std Adj Read]]&lt;Table1[[#This Row],[High Tol]],"Pass","Fail"),IF(Table1[[#This Row],[DUT Adj Read]]&lt;Table1[[#This Row],[High Tol]],"Pass","Fail")))</f>
        <v>Fail</v>
      </c>
      <c r="AF821" s="1" t="str">
        <f>IF(AND(Table1[[#This Row],[Spec Type2]]="N/A",Table1[[#This Row],[DUT Adj Read]]="N/A",Table1[[#This Row],[Std Adj Read]]="N/A"),"N/A",IF(Table1[[#This Row],[DUT Adj Read]]="N/A",IF(Table1[[#This Row],[Std Adj Read]]&gt;=Table1[[#This Row],[Low Tol]],"Pass","Fail"),IF(Table1[[#This Row],[DUT Adj Read]]&gt;=Table1[[#This Row],[Low Tol]],"Pass","Fail")))</f>
        <v>Pass</v>
      </c>
      <c r="AG821" s="1" t="str">
        <f>IF(AND(Table1[[#This Row],[Spec Type2]]="N/A",Table1[[#This Row],[DUT Adj Read]]="N/A",Table1[[#This Row],[Std Adj Read]]="N/A"),"N/A",IF(Table1[[#This Row],[DUT Adj Read]]="N/A",IF(Table1[[#This Row],[Std Adj Read]]&lt;=Table1[[#This Row],[High Tol]],"Pass","Fail"),IF(Table1[[#This Row],[DUT Adj Read]]&lt;=Table1[[#This Row],[High Tol]],"Pass","Fail")))</f>
        <v>Fail</v>
      </c>
      <c r="AH8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1" s="1" t="b">
        <v>0</v>
      </c>
      <c r="AN821" s="1" t="b">
        <v>0</v>
      </c>
      <c r="AO821" s="1" t="b">
        <v>0</v>
      </c>
    </row>
    <row r="822" spans="1:41" x14ac:dyDescent="0.25">
      <c r="A822" s="10"/>
      <c r="B822" s="10"/>
      <c r="C822" s="10"/>
      <c r="D822" s="10"/>
      <c r="E822" s="10"/>
      <c r="F822" s="10"/>
      <c r="G822" s="10"/>
      <c r="H822" s="10"/>
      <c r="I822" s="1" t="str">
        <f t="shared" si="36"/>
        <v/>
      </c>
      <c r="J822" s="1" t="s">
        <v>35</v>
      </c>
      <c r="K822" s="1" t="str">
        <f t="shared" si="37"/>
        <v/>
      </c>
      <c r="L822" s="1" t="str">
        <f t="shared" si="38"/>
        <v/>
      </c>
      <c r="M822" s="1">
        <f>IF(OR(Table1[[#This Row],[Std Nom]]="",Table1[[#This Row],[Std Read]]=""),0,Table1[[#This Row],[Std Nom]]-Table1[[#This Row],[Std Read]])</f>
        <v>0</v>
      </c>
      <c r="N822" s="1">
        <f>IF(Calculations!$F$5="ACCREDITED 17025 WITH UNCERTAINTIES",$N$10,0)</f>
        <v>0</v>
      </c>
      <c r="O822" s="1" t="str">
        <f>IFERROR(Table1[[#This Row],[Std Nom]]-(_xlfn.XLOOKUP(Table1[[#This Row],[Manufacturer]]&amp;" "&amp;Table1[[#This Row],[Model]],Table13[MFR &amp; MDL],Table13[Tolerance % CW ],"")/100*Table1[[#This Row],[Std Nom]]),"")</f>
        <v/>
      </c>
      <c r="P822" s="1" t="str">
        <f>IFERROR(Table1[[#This Row],[Std Nom]]+(_xlfn.XLOOKUP(Table1[[#This Row],[Manufacturer]]&amp;" "&amp;Table1[[#This Row],[Model]],Table13[MFR &amp; MDL],Table13[Tolerance % CW ],"")/100*Table1[[#This Row],[Std Nom]]),"")</f>
        <v/>
      </c>
      <c r="Q822" s="1" t="e">
        <f>Table1[[#This Row],[High Tol]]-Table1[[#This Row],[Low Tol]]</f>
        <v>#VALUE!</v>
      </c>
      <c r="R822" s="1">
        <f>2*Table1[[#This Row],[Std Error]]</f>
        <v>0</v>
      </c>
      <c r="S822" s="1" t="str">
        <f>IF(Table1[[#This Row],[High Tol]]="","N/A",IFERROR(ABS(Table1[[#This Row],[Tol Span]]/Table1[[#This Row],[Error Span]]),"N/A"))</f>
        <v>N/A</v>
      </c>
      <c r="T822" s="1" t="str">
        <f>IF(OR(Table1[[#This Row],[Low Tol]]="",Table1[[#This Row],[High Tol]]=""),"Needs Analysis",IF(Table1[[#This Row],[Ratio]]&gt;=4,"Not Significant",IF(Table1[[#This Row],[Ratio]]&gt;=2,"Semi-Significant","Significant")))</f>
        <v>Needs Analysis</v>
      </c>
      <c r="W822" s="1">
        <f>IF(Table1[[#This Row],[Cal Type]]&lt;&gt;"ACCREDITED 17025 WITH UNCERTAINTIES",0,"")</f>
        <v>0</v>
      </c>
      <c r="X822" s="1" t="str">
        <f>IF(Table1[[#This Row],[DUT Read]]="","N/A",Table1[[#This Row],[Std Error]]+Table1[[#This Row],[DUT Read]]+Table1[[#This Row],[DUT Ucty]])</f>
        <v>N/A</v>
      </c>
      <c r="Y822" s="1" t="str">
        <f>IF(Table1[[#This Row],[Std Read]]="","N/A",Table1[[#This Row],[Std Read]]+Table1[[#This Row],[Std Ucty]])</f>
        <v>N/A</v>
      </c>
      <c r="Z8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2" s="1" t="str">
        <f>IF(Table1[[#This Row],[Spec Type]]="","N/A",Table1[[#This Row],[Spec Type]])</f>
        <v>±</v>
      </c>
      <c r="AC822" s="1" t="str">
        <f>IF(Table1[[#This Row],[Spec Type2]]="N/A","N/A",IF(AND(Table1[[#This Row],[DUT Adj Read]]&gt;=Table1[[#This Row],[Low Tol]],Table1[[#This Row],[DUT Adj Read]]&lt;=Table1[[#This Row],[High Tol]]),"Pass","Fail"))</f>
        <v>Fail</v>
      </c>
      <c r="AD822" s="1" t="str">
        <f>IF(AND(Table1[[#This Row],[Spec Type2]]="N/A",Table1[[#This Row],[DUT Adj Read]]="N/A",Table1[[#This Row],[Std Adj Read]]="N/A"),"N/A",IF(Table1[[#This Row],[DUT Adj Read]]="N/A",IF(Table1[[#This Row],[Std Adj Read]]&gt;Table1[[#This Row],[Low Tol]],"Pass","Fail"),IF(Table1[[#This Row],[DUT Adj Read]]&gt;Table1[[#This Row],[Low Tol]],"Pass","Fail")))</f>
        <v>Pass</v>
      </c>
      <c r="AE822" s="1" t="str">
        <f>IF(AND(Table1[[#This Row],[Spec Type2]]="N/A",Table1[[#This Row],[DUT Adj Read]]="N/A",Table1[[#This Row],[Std Adj Read]]="N/A"),"N/A",IF(Table1[[#This Row],[DUT Adj Read]]="N/A",IF(Table1[[#This Row],[Std Adj Read]]&lt;Table1[[#This Row],[High Tol]],"Pass","Fail"),IF(Table1[[#This Row],[DUT Adj Read]]&lt;Table1[[#This Row],[High Tol]],"Pass","Fail")))</f>
        <v>Fail</v>
      </c>
      <c r="AF822" s="1" t="str">
        <f>IF(AND(Table1[[#This Row],[Spec Type2]]="N/A",Table1[[#This Row],[DUT Adj Read]]="N/A",Table1[[#This Row],[Std Adj Read]]="N/A"),"N/A",IF(Table1[[#This Row],[DUT Adj Read]]="N/A",IF(Table1[[#This Row],[Std Adj Read]]&gt;=Table1[[#This Row],[Low Tol]],"Pass","Fail"),IF(Table1[[#This Row],[DUT Adj Read]]&gt;=Table1[[#This Row],[Low Tol]],"Pass","Fail")))</f>
        <v>Pass</v>
      </c>
      <c r="AG822" s="1" t="str">
        <f>IF(AND(Table1[[#This Row],[Spec Type2]]="N/A",Table1[[#This Row],[DUT Adj Read]]="N/A",Table1[[#This Row],[Std Adj Read]]="N/A"),"N/A",IF(Table1[[#This Row],[DUT Adj Read]]="N/A",IF(Table1[[#This Row],[Std Adj Read]]&lt;=Table1[[#This Row],[High Tol]],"Pass","Fail"),IF(Table1[[#This Row],[DUT Adj Read]]&lt;=Table1[[#This Row],[High Tol]],"Pass","Fail")))</f>
        <v>Fail</v>
      </c>
      <c r="AH8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2" s="1" t="b">
        <v>0</v>
      </c>
      <c r="AN822" s="1" t="b">
        <v>0</v>
      </c>
      <c r="AO822" s="1" t="b">
        <v>0</v>
      </c>
    </row>
    <row r="823" spans="1:41" x14ac:dyDescent="0.25">
      <c r="A823" s="10"/>
      <c r="B823" s="10"/>
      <c r="C823" s="10"/>
      <c r="D823" s="10"/>
      <c r="E823" s="10"/>
      <c r="F823" s="10"/>
      <c r="G823" s="10"/>
      <c r="H823" s="10"/>
      <c r="I823" s="1" t="str">
        <f t="shared" si="36"/>
        <v/>
      </c>
      <c r="J823" s="1" t="s">
        <v>35</v>
      </c>
      <c r="K823" s="1" t="str">
        <f t="shared" si="37"/>
        <v/>
      </c>
      <c r="L823" s="1" t="str">
        <f t="shared" si="38"/>
        <v/>
      </c>
      <c r="M823" s="1">
        <f>IF(OR(Table1[[#This Row],[Std Nom]]="",Table1[[#This Row],[Std Read]]=""),0,Table1[[#This Row],[Std Nom]]-Table1[[#This Row],[Std Read]])</f>
        <v>0</v>
      </c>
      <c r="N823" s="1">
        <f>IF(Calculations!$F$5="ACCREDITED 17025 WITH UNCERTAINTIES",$N$10,0)</f>
        <v>0</v>
      </c>
      <c r="O823" s="1" t="str">
        <f>IFERROR(Table1[[#This Row],[Std Nom]]-(_xlfn.XLOOKUP(Table1[[#This Row],[Manufacturer]]&amp;" "&amp;Table1[[#This Row],[Model]],Table13[MFR &amp; MDL],Table13[Tolerance % CW ],"")/100*Table1[[#This Row],[Std Nom]]),"")</f>
        <v/>
      </c>
      <c r="P823" s="1" t="str">
        <f>IFERROR(Table1[[#This Row],[Std Nom]]+(_xlfn.XLOOKUP(Table1[[#This Row],[Manufacturer]]&amp;" "&amp;Table1[[#This Row],[Model]],Table13[MFR &amp; MDL],Table13[Tolerance % CW ],"")/100*Table1[[#This Row],[Std Nom]]),"")</f>
        <v/>
      </c>
      <c r="Q823" s="1" t="e">
        <f>Table1[[#This Row],[High Tol]]-Table1[[#This Row],[Low Tol]]</f>
        <v>#VALUE!</v>
      </c>
      <c r="R823" s="1">
        <f>2*Table1[[#This Row],[Std Error]]</f>
        <v>0</v>
      </c>
      <c r="S823" s="1" t="str">
        <f>IF(Table1[[#This Row],[High Tol]]="","N/A",IFERROR(ABS(Table1[[#This Row],[Tol Span]]/Table1[[#This Row],[Error Span]]),"N/A"))</f>
        <v>N/A</v>
      </c>
      <c r="T823" s="1" t="str">
        <f>IF(OR(Table1[[#This Row],[Low Tol]]="",Table1[[#This Row],[High Tol]]=""),"Needs Analysis",IF(Table1[[#This Row],[Ratio]]&gt;=4,"Not Significant",IF(Table1[[#This Row],[Ratio]]&gt;=2,"Semi-Significant","Significant")))</f>
        <v>Needs Analysis</v>
      </c>
      <c r="W823" s="1">
        <f>IF(Table1[[#This Row],[Cal Type]]&lt;&gt;"ACCREDITED 17025 WITH UNCERTAINTIES",0,"")</f>
        <v>0</v>
      </c>
      <c r="X823" s="1" t="str">
        <f>IF(Table1[[#This Row],[DUT Read]]="","N/A",Table1[[#This Row],[Std Error]]+Table1[[#This Row],[DUT Read]]+Table1[[#This Row],[DUT Ucty]])</f>
        <v>N/A</v>
      </c>
      <c r="Y823" s="1" t="str">
        <f>IF(Table1[[#This Row],[Std Read]]="","N/A",Table1[[#This Row],[Std Read]]+Table1[[#This Row],[Std Ucty]])</f>
        <v>N/A</v>
      </c>
      <c r="Z8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3" s="1" t="str">
        <f>IF(Table1[[#This Row],[Spec Type]]="","N/A",Table1[[#This Row],[Spec Type]])</f>
        <v>±</v>
      </c>
      <c r="AC823" s="1" t="str">
        <f>IF(Table1[[#This Row],[Spec Type2]]="N/A","N/A",IF(AND(Table1[[#This Row],[DUT Adj Read]]&gt;=Table1[[#This Row],[Low Tol]],Table1[[#This Row],[DUT Adj Read]]&lt;=Table1[[#This Row],[High Tol]]),"Pass","Fail"))</f>
        <v>Fail</v>
      </c>
      <c r="AD823" s="1" t="str">
        <f>IF(AND(Table1[[#This Row],[Spec Type2]]="N/A",Table1[[#This Row],[DUT Adj Read]]="N/A",Table1[[#This Row],[Std Adj Read]]="N/A"),"N/A",IF(Table1[[#This Row],[DUT Adj Read]]="N/A",IF(Table1[[#This Row],[Std Adj Read]]&gt;Table1[[#This Row],[Low Tol]],"Pass","Fail"),IF(Table1[[#This Row],[DUT Adj Read]]&gt;Table1[[#This Row],[Low Tol]],"Pass","Fail")))</f>
        <v>Pass</v>
      </c>
      <c r="AE823" s="1" t="str">
        <f>IF(AND(Table1[[#This Row],[Spec Type2]]="N/A",Table1[[#This Row],[DUT Adj Read]]="N/A",Table1[[#This Row],[Std Adj Read]]="N/A"),"N/A",IF(Table1[[#This Row],[DUT Adj Read]]="N/A",IF(Table1[[#This Row],[Std Adj Read]]&lt;Table1[[#This Row],[High Tol]],"Pass","Fail"),IF(Table1[[#This Row],[DUT Adj Read]]&lt;Table1[[#This Row],[High Tol]],"Pass","Fail")))</f>
        <v>Fail</v>
      </c>
      <c r="AF823" s="1" t="str">
        <f>IF(AND(Table1[[#This Row],[Spec Type2]]="N/A",Table1[[#This Row],[DUT Adj Read]]="N/A",Table1[[#This Row],[Std Adj Read]]="N/A"),"N/A",IF(Table1[[#This Row],[DUT Adj Read]]="N/A",IF(Table1[[#This Row],[Std Adj Read]]&gt;=Table1[[#This Row],[Low Tol]],"Pass","Fail"),IF(Table1[[#This Row],[DUT Adj Read]]&gt;=Table1[[#This Row],[Low Tol]],"Pass","Fail")))</f>
        <v>Pass</v>
      </c>
      <c r="AG823" s="1" t="str">
        <f>IF(AND(Table1[[#This Row],[Spec Type2]]="N/A",Table1[[#This Row],[DUT Adj Read]]="N/A",Table1[[#This Row],[Std Adj Read]]="N/A"),"N/A",IF(Table1[[#This Row],[DUT Adj Read]]="N/A",IF(Table1[[#This Row],[Std Adj Read]]&lt;=Table1[[#This Row],[High Tol]],"Pass","Fail"),IF(Table1[[#This Row],[DUT Adj Read]]&lt;=Table1[[#This Row],[High Tol]],"Pass","Fail")))</f>
        <v>Fail</v>
      </c>
      <c r="AH8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3" s="1" t="b">
        <v>0</v>
      </c>
      <c r="AN823" s="1" t="b">
        <v>0</v>
      </c>
      <c r="AO823" s="1" t="b">
        <v>0</v>
      </c>
    </row>
    <row r="824" spans="1:41" x14ac:dyDescent="0.25">
      <c r="A824" s="10"/>
      <c r="B824" s="10"/>
      <c r="C824" s="10"/>
      <c r="D824" s="10"/>
      <c r="E824" s="10"/>
      <c r="F824" s="10"/>
      <c r="G824" s="10"/>
      <c r="H824" s="10"/>
      <c r="I824" s="1" t="str">
        <f t="shared" si="36"/>
        <v/>
      </c>
      <c r="J824" s="1" t="s">
        <v>35</v>
      </c>
      <c r="K824" s="1" t="str">
        <f t="shared" si="37"/>
        <v/>
      </c>
      <c r="L824" s="1" t="str">
        <f t="shared" si="38"/>
        <v/>
      </c>
      <c r="M824" s="1">
        <f>IF(OR(Table1[[#This Row],[Std Nom]]="",Table1[[#This Row],[Std Read]]=""),0,Table1[[#This Row],[Std Nom]]-Table1[[#This Row],[Std Read]])</f>
        <v>0</v>
      </c>
      <c r="N824" s="1">
        <f>IF(Calculations!$F$5="ACCREDITED 17025 WITH UNCERTAINTIES",$N$10,0)</f>
        <v>0</v>
      </c>
      <c r="O824" s="1" t="str">
        <f>IFERROR(Table1[[#This Row],[Std Nom]]-(_xlfn.XLOOKUP(Table1[[#This Row],[Manufacturer]]&amp;" "&amp;Table1[[#This Row],[Model]],Table13[MFR &amp; MDL],Table13[Tolerance % CW ],"")/100*Table1[[#This Row],[Std Nom]]),"")</f>
        <v/>
      </c>
      <c r="P824" s="1" t="str">
        <f>IFERROR(Table1[[#This Row],[Std Nom]]+(_xlfn.XLOOKUP(Table1[[#This Row],[Manufacturer]]&amp;" "&amp;Table1[[#This Row],[Model]],Table13[MFR &amp; MDL],Table13[Tolerance % CW ],"")/100*Table1[[#This Row],[Std Nom]]),"")</f>
        <v/>
      </c>
      <c r="Q824" s="1" t="e">
        <f>Table1[[#This Row],[High Tol]]-Table1[[#This Row],[Low Tol]]</f>
        <v>#VALUE!</v>
      </c>
      <c r="R824" s="1">
        <f>2*Table1[[#This Row],[Std Error]]</f>
        <v>0</v>
      </c>
      <c r="S824" s="1" t="str">
        <f>IF(Table1[[#This Row],[High Tol]]="","N/A",IFERROR(ABS(Table1[[#This Row],[Tol Span]]/Table1[[#This Row],[Error Span]]),"N/A"))</f>
        <v>N/A</v>
      </c>
      <c r="T824" s="1" t="str">
        <f>IF(OR(Table1[[#This Row],[Low Tol]]="",Table1[[#This Row],[High Tol]]=""),"Needs Analysis",IF(Table1[[#This Row],[Ratio]]&gt;=4,"Not Significant",IF(Table1[[#This Row],[Ratio]]&gt;=2,"Semi-Significant","Significant")))</f>
        <v>Needs Analysis</v>
      </c>
      <c r="W824" s="1">
        <f>IF(Table1[[#This Row],[Cal Type]]&lt;&gt;"ACCREDITED 17025 WITH UNCERTAINTIES",0,"")</f>
        <v>0</v>
      </c>
      <c r="X824" s="1" t="str">
        <f>IF(Table1[[#This Row],[DUT Read]]="","N/A",Table1[[#This Row],[Std Error]]+Table1[[#This Row],[DUT Read]]+Table1[[#This Row],[DUT Ucty]])</f>
        <v>N/A</v>
      </c>
      <c r="Y824" s="1" t="str">
        <f>IF(Table1[[#This Row],[Std Read]]="","N/A",Table1[[#This Row],[Std Read]]+Table1[[#This Row],[Std Ucty]])</f>
        <v>N/A</v>
      </c>
      <c r="Z8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4" s="1" t="str">
        <f>IF(Table1[[#This Row],[Spec Type]]="","N/A",Table1[[#This Row],[Spec Type]])</f>
        <v>±</v>
      </c>
      <c r="AC824" s="1" t="str">
        <f>IF(Table1[[#This Row],[Spec Type2]]="N/A","N/A",IF(AND(Table1[[#This Row],[DUT Adj Read]]&gt;=Table1[[#This Row],[Low Tol]],Table1[[#This Row],[DUT Adj Read]]&lt;=Table1[[#This Row],[High Tol]]),"Pass","Fail"))</f>
        <v>Fail</v>
      </c>
      <c r="AD824" s="1" t="str">
        <f>IF(AND(Table1[[#This Row],[Spec Type2]]="N/A",Table1[[#This Row],[DUT Adj Read]]="N/A",Table1[[#This Row],[Std Adj Read]]="N/A"),"N/A",IF(Table1[[#This Row],[DUT Adj Read]]="N/A",IF(Table1[[#This Row],[Std Adj Read]]&gt;Table1[[#This Row],[Low Tol]],"Pass","Fail"),IF(Table1[[#This Row],[DUT Adj Read]]&gt;Table1[[#This Row],[Low Tol]],"Pass","Fail")))</f>
        <v>Pass</v>
      </c>
      <c r="AE824" s="1" t="str">
        <f>IF(AND(Table1[[#This Row],[Spec Type2]]="N/A",Table1[[#This Row],[DUT Adj Read]]="N/A",Table1[[#This Row],[Std Adj Read]]="N/A"),"N/A",IF(Table1[[#This Row],[DUT Adj Read]]="N/A",IF(Table1[[#This Row],[Std Adj Read]]&lt;Table1[[#This Row],[High Tol]],"Pass","Fail"),IF(Table1[[#This Row],[DUT Adj Read]]&lt;Table1[[#This Row],[High Tol]],"Pass","Fail")))</f>
        <v>Fail</v>
      </c>
      <c r="AF824" s="1" t="str">
        <f>IF(AND(Table1[[#This Row],[Spec Type2]]="N/A",Table1[[#This Row],[DUT Adj Read]]="N/A",Table1[[#This Row],[Std Adj Read]]="N/A"),"N/A",IF(Table1[[#This Row],[DUT Adj Read]]="N/A",IF(Table1[[#This Row],[Std Adj Read]]&gt;=Table1[[#This Row],[Low Tol]],"Pass","Fail"),IF(Table1[[#This Row],[DUT Adj Read]]&gt;=Table1[[#This Row],[Low Tol]],"Pass","Fail")))</f>
        <v>Pass</v>
      </c>
      <c r="AG824" s="1" t="str">
        <f>IF(AND(Table1[[#This Row],[Spec Type2]]="N/A",Table1[[#This Row],[DUT Adj Read]]="N/A",Table1[[#This Row],[Std Adj Read]]="N/A"),"N/A",IF(Table1[[#This Row],[DUT Adj Read]]="N/A",IF(Table1[[#This Row],[Std Adj Read]]&lt;=Table1[[#This Row],[High Tol]],"Pass","Fail"),IF(Table1[[#This Row],[DUT Adj Read]]&lt;=Table1[[#This Row],[High Tol]],"Pass","Fail")))</f>
        <v>Fail</v>
      </c>
      <c r="AH8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4" s="1" t="b">
        <v>0</v>
      </c>
      <c r="AN824" s="1" t="b">
        <v>0</v>
      </c>
      <c r="AO824" s="1" t="b">
        <v>0</v>
      </c>
    </row>
    <row r="825" spans="1:41" x14ac:dyDescent="0.25">
      <c r="A825" s="10"/>
      <c r="B825" s="10"/>
      <c r="C825" s="10"/>
      <c r="D825" s="10"/>
      <c r="E825" s="10"/>
      <c r="F825" s="10"/>
      <c r="G825" s="10"/>
      <c r="H825" s="10"/>
      <c r="I825" s="1" t="str">
        <f t="shared" si="36"/>
        <v/>
      </c>
      <c r="J825" s="1" t="s">
        <v>35</v>
      </c>
      <c r="K825" s="1" t="str">
        <f t="shared" si="37"/>
        <v/>
      </c>
      <c r="L825" s="1" t="str">
        <f t="shared" si="38"/>
        <v/>
      </c>
      <c r="M825" s="1">
        <f>IF(OR(Table1[[#This Row],[Std Nom]]="",Table1[[#This Row],[Std Read]]=""),0,Table1[[#This Row],[Std Nom]]-Table1[[#This Row],[Std Read]])</f>
        <v>0</v>
      </c>
      <c r="N825" s="1">
        <f>IF(Calculations!$F$5="ACCREDITED 17025 WITH UNCERTAINTIES",$N$10,0)</f>
        <v>0</v>
      </c>
      <c r="O825" s="1" t="str">
        <f>IFERROR(Table1[[#This Row],[Std Nom]]-(_xlfn.XLOOKUP(Table1[[#This Row],[Manufacturer]]&amp;" "&amp;Table1[[#This Row],[Model]],Table13[MFR &amp; MDL],Table13[Tolerance % CW ],"")/100*Table1[[#This Row],[Std Nom]]),"")</f>
        <v/>
      </c>
      <c r="P825" s="1" t="str">
        <f>IFERROR(Table1[[#This Row],[Std Nom]]+(_xlfn.XLOOKUP(Table1[[#This Row],[Manufacturer]]&amp;" "&amp;Table1[[#This Row],[Model]],Table13[MFR &amp; MDL],Table13[Tolerance % CW ],"")/100*Table1[[#This Row],[Std Nom]]),"")</f>
        <v/>
      </c>
      <c r="Q825" s="1" t="e">
        <f>Table1[[#This Row],[High Tol]]-Table1[[#This Row],[Low Tol]]</f>
        <v>#VALUE!</v>
      </c>
      <c r="R825" s="1">
        <f>2*Table1[[#This Row],[Std Error]]</f>
        <v>0</v>
      </c>
      <c r="S825" s="1" t="str">
        <f>IF(Table1[[#This Row],[High Tol]]="","N/A",IFERROR(ABS(Table1[[#This Row],[Tol Span]]/Table1[[#This Row],[Error Span]]),"N/A"))</f>
        <v>N/A</v>
      </c>
      <c r="T825" s="1" t="str">
        <f>IF(OR(Table1[[#This Row],[Low Tol]]="",Table1[[#This Row],[High Tol]]=""),"Needs Analysis",IF(Table1[[#This Row],[Ratio]]&gt;=4,"Not Significant",IF(Table1[[#This Row],[Ratio]]&gt;=2,"Semi-Significant","Significant")))</f>
        <v>Needs Analysis</v>
      </c>
      <c r="W825" s="1">
        <f>IF(Table1[[#This Row],[Cal Type]]&lt;&gt;"ACCREDITED 17025 WITH UNCERTAINTIES",0,"")</f>
        <v>0</v>
      </c>
      <c r="X825" s="1" t="str">
        <f>IF(Table1[[#This Row],[DUT Read]]="","N/A",Table1[[#This Row],[Std Error]]+Table1[[#This Row],[DUT Read]]+Table1[[#This Row],[DUT Ucty]])</f>
        <v>N/A</v>
      </c>
      <c r="Y825" s="1" t="str">
        <f>IF(Table1[[#This Row],[Std Read]]="","N/A",Table1[[#This Row],[Std Read]]+Table1[[#This Row],[Std Ucty]])</f>
        <v>N/A</v>
      </c>
      <c r="Z8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5" s="1" t="str">
        <f>IF(Table1[[#This Row],[Spec Type]]="","N/A",Table1[[#This Row],[Spec Type]])</f>
        <v>±</v>
      </c>
      <c r="AC825" s="1" t="str">
        <f>IF(Table1[[#This Row],[Spec Type2]]="N/A","N/A",IF(AND(Table1[[#This Row],[DUT Adj Read]]&gt;=Table1[[#This Row],[Low Tol]],Table1[[#This Row],[DUT Adj Read]]&lt;=Table1[[#This Row],[High Tol]]),"Pass","Fail"))</f>
        <v>Fail</v>
      </c>
      <c r="AD825" s="1" t="str">
        <f>IF(AND(Table1[[#This Row],[Spec Type2]]="N/A",Table1[[#This Row],[DUT Adj Read]]="N/A",Table1[[#This Row],[Std Adj Read]]="N/A"),"N/A",IF(Table1[[#This Row],[DUT Adj Read]]="N/A",IF(Table1[[#This Row],[Std Adj Read]]&gt;Table1[[#This Row],[Low Tol]],"Pass","Fail"),IF(Table1[[#This Row],[DUT Adj Read]]&gt;Table1[[#This Row],[Low Tol]],"Pass","Fail")))</f>
        <v>Pass</v>
      </c>
      <c r="AE825" s="1" t="str">
        <f>IF(AND(Table1[[#This Row],[Spec Type2]]="N/A",Table1[[#This Row],[DUT Adj Read]]="N/A",Table1[[#This Row],[Std Adj Read]]="N/A"),"N/A",IF(Table1[[#This Row],[DUT Adj Read]]="N/A",IF(Table1[[#This Row],[Std Adj Read]]&lt;Table1[[#This Row],[High Tol]],"Pass","Fail"),IF(Table1[[#This Row],[DUT Adj Read]]&lt;Table1[[#This Row],[High Tol]],"Pass","Fail")))</f>
        <v>Fail</v>
      </c>
      <c r="AF825" s="1" t="str">
        <f>IF(AND(Table1[[#This Row],[Spec Type2]]="N/A",Table1[[#This Row],[DUT Adj Read]]="N/A",Table1[[#This Row],[Std Adj Read]]="N/A"),"N/A",IF(Table1[[#This Row],[DUT Adj Read]]="N/A",IF(Table1[[#This Row],[Std Adj Read]]&gt;=Table1[[#This Row],[Low Tol]],"Pass","Fail"),IF(Table1[[#This Row],[DUT Adj Read]]&gt;=Table1[[#This Row],[Low Tol]],"Pass","Fail")))</f>
        <v>Pass</v>
      </c>
      <c r="AG825" s="1" t="str">
        <f>IF(AND(Table1[[#This Row],[Spec Type2]]="N/A",Table1[[#This Row],[DUT Adj Read]]="N/A",Table1[[#This Row],[Std Adj Read]]="N/A"),"N/A",IF(Table1[[#This Row],[DUT Adj Read]]="N/A",IF(Table1[[#This Row],[Std Adj Read]]&lt;=Table1[[#This Row],[High Tol]],"Pass","Fail"),IF(Table1[[#This Row],[DUT Adj Read]]&lt;=Table1[[#This Row],[High Tol]],"Pass","Fail")))</f>
        <v>Fail</v>
      </c>
      <c r="AH8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5" s="1" t="b">
        <v>0</v>
      </c>
      <c r="AN825" s="1" t="b">
        <v>0</v>
      </c>
      <c r="AO825" s="1" t="b">
        <v>0</v>
      </c>
    </row>
    <row r="826" spans="1:41" x14ac:dyDescent="0.25">
      <c r="A826" s="10"/>
      <c r="B826" s="10"/>
      <c r="C826" s="10"/>
      <c r="D826" s="10"/>
      <c r="E826" s="10"/>
      <c r="F826" s="10"/>
      <c r="G826" s="10"/>
      <c r="H826" s="10"/>
      <c r="I826" s="1" t="str">
        <f t="shared" si="36"/>
        <v/>
      </c>
      <c r="J826" s="1" t="s">
        <v>35</v>
      </c>
      <c r="K826" s="1" t="str">
        <f t="shared" si="37"/>
        <v/>
      </c>
      <c r="L826" s="1" t="str">
        <f t="shared" si="38"/>
        <v/>
      </c>
      <c r="M826" s="1">
        <f>IF(OR(Table1[[#This Row],[Std Nom]]="",Table1[[#This Row],[Std Read]]=""),0,Table1[[#This Row],[Std Nom]]-Table1[[#This Row],[Std Read]])</f>
        <v>0</v>
      </c>
      <c r="N826" s="1">
        <f>IF(Calculations!$F$5="ACCREDITED 17025 WITH UNCERTAINTIES",$N$10,0)</f>
        <v>0</v>
      </c>
      <c r="O826" s="1" t="str">
        <f>IFERROR(Table1[[#This Row],[Std Nom]]-(_xlfn.XLOOKUP(Table1[[#This Row],[Manufacturer]]&amp;" "&amp;Table1[[#This Row],[Model]],Table13[MFR &amp; MDL],Table13[Tolerance % CW ],"")/100*Table1[[#This Row],[Std Nom]]),"")</f>
        <v/>
      </c>
      <c r="P826" s="1" t="str">
        <f>IFERROR(Table1[[#This Row],[Std Nom]]+(_xlfn.XLOOKUP(Table1[[#This Row],[Manufacturer]]&amp;" "&amp;Table1[[#This Row],[Model]],Table13[MFR &amp; MDL],Table13[Tolerance % CW ],"")/100*Table1[[#This Row],[Std Nom]]),"")</f>
        <v/>
      </c>
      <c r="Q826" s="1" t="e">
        <f>Table1[[#This Row],[High Tol]]-Table1[[#This Row],[Low Tol]]</f>
        <v>#VALUE!</v>
      </c>
      <c r="R826" s="1">
        <f>2*Table1[[#This Row],[Std Error]]</f>
        <v>0</v>
      </c>
      <c r="S826" s="1" t="str">
        <f>IF(Table1[[#This Row],[High Tol]]="","N/A",IFERROR(ABS(Table1[[#This Row],[Tol Span]]/Table1[[#This Row],[Error Span]]),"N/A"))</f>
        <v>N/A</v>
      </c>
      <c r="T826" s="1" t="str">
        <f>IF(OR(Table1[[#This Row],[Low Tol]]="",Table1[[#This Row],[High Tol]]=""),"Needs Analysis",IF(Table1[[#This Row],[Ratio]]&gt;=4,"Not Significant",IF(Table1[[#This Row],[Ratio]]&gt;=2,"Semi-Significant","Significant")))</f>
        <v>Needs Analysis</v>
      </c>
      <c r="W826" s="1">
        <f>IF(Table1[[#This Row],[Cal Type]]&lt;&gt;"ACCREDITED 17025 WITH UNCERTAINTIES",0,"")</f>
        <v>0</v>
      </c>
      <c r="X826" s="1" t="str">
        <f>IF(Table1[[#This Row],[DUT Read]]="","N/A",Table1[[#This Row],[Std Error]]+Table1[[#This Row],[DUT Read]]+Table1[[#This Row],[DUT Ucty]])</f>
        <v>N/A</v>
      </c>
      <c r="Y826" s="1" t="str">
        <f>IF(Table1[[#This Row],[Std Read]]="","N/A",Table1[[#This Row],[Std Read]]+Table1[[#This Row],[Std Ucty]])</f>
        <v>N/A</v>
      </c>
      <c r="Z8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6" s="1" t="str">
        <f>IF(Table1[[#This Row],[Spec Type]]="","N/A",Table1[[#This Row],[Spec Type]])</f>
        <v>±</v>
      </c>
      <c r="AC826" s="1" t="str">
        <f>IF(Table1[[#This Row],[Spec Type2]]="N/A","N/A",IF(AND(Table1[[#This Row],[DUT Adj Read]]&gt;=Table1[[#This Row],[Low Tol]],Table1[[#This Row],[DUT Adj Read]]&lt;=Table1[[#This Row],[High Tol]]),"Pass","Fail"))</f>
        <v>Fail</v>
      </c>
      <c r="AD826" s="1" t="str">
        <f>IF(AND(Table1[[#This Row],[Spec Type2]]="N/A",Table1[[#This Row],[DUT Adj Read]]="N/A",Table1[[#This Row],[Std Adj Read]]="N/A"),"N/A",IF(Table1[[#This Row],[DUT Adj Read]]="N/A",IF(Table1[[#This Row],[Std Adj Read]]&gt;Table1[[#This Row],[Low Tol]],"Pass","Fail"),IF(Table1[[#This Row],[DUT Adj Read]]&gt;Table1[[#This Row],[Low Tol]],"Pass","Fail")))</f>
        <v>Pass</v>
      </c>
      <c r="AE826" s="1" t="str">
        <f>IF(AND(Table1[[#This Row],[Spec Type2]]="N/A",Table1[[#This Row],[DUT Adj Read]]="N/A",Table1[[#This Row],[Std Adj Read]]="N/A"),"N/A",IF(Table1[[#This Row],[DUT Adj Read]]="N/A",IF(Table1[[#This Row],[Std Adj Read]]&lt;Table1[[#This Row],[High Tol]],"Pass","Fail"),IF(Table1[[#This Row],[DUT Adj Read]]&lt;Table1[[#This Row],[High Tol]],"Pass","Fail")))</f>
        <v>Fail</v>
      </c>
      <c r="AF826" s="1" t="str">
        <f>IF(AND(Table1[[#This Row],[Spec Type2]]="N/A",Table1[[#This Row],[DUT Adj Read]]="N/A",Table1[[#This Row],[Std Adj Read]]="N/A"),"N/A",IF(Table1[[#This Row],[DUT Adj Read]]="N/A",IF(Table1[[#This Row],[Std Adj Read]]&gt;=Table1[[#This Row],[Low Tol]],"Pass","Fail"),IF(Table1[[#This Row],[DUT Adj Read]]&gt;=Table1[[#This Row],[Low Tol]],"Pass","Fail")))</f>
        <v>Pass</v>
      </c>
      <c r="AG826" s="1" t="str">
        <f>IF(AND(Table1[[#This Row],[Spec Type2]]="N/A",Table1[[#This Row],[DUT Adj Read]]="N/A",Table1[[#This Row],[Std Adj Read]]="N/A"),"N/A",IF(Table1[[#This Row],[DUT Adj Read]]="N/A",IF(Table1[[#This Row],[Std Adj Read]]&lt;=Table1[[#This Row],[High Tol]],"Pass","Fail"),IF(Table1[[#This Row],[DUT Adj Read]]&lt;=Table1[[#This Row],[High Tol]],"Pass","Fail")))</f>
        <v>Fail</v>
      </c>
      <c r="AH8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6" s="1" t="b">
        <v>0</v>
      </c>
      <c r="AN826" s="1" t="b">
        <v>0</v>
      </c>
      <c r="AO826" s="1" t="b">
        <v>0</v>
      </c>
    </row>
    <row r="827" spans="1:41" x14ac:dyDescent="0.25">
      <c r="A827" s="10"/>
      <c r="B827" s="10"/>
      <c r="C827" s="10"/>
      <c r="D827" s="10"/>
      <c r="E827" s="10"/>
      <c r="F827" s="10"/>
      <c r="G827" s="10"/>
      <c r="H827" s="10"/>
      <c r="I827" s="1" t="str">
        <f t="shared" si="36"/>
        <v/>
      </c>
      <c r="J827" s="1" t="s">
        <v>35</v>
      </c>
      <c r="K827" s="1" t="str">
        <f t="shared" si="37"/>
        <v/>
      </c>
      <c r="L827" s="1" t="str">
        <f t="shared" si="38"/>
        <v/>
      </c>
      <c r="M827" s="1">
        <f>IF(OR(Table1[[#This Row],[Std Nom]]="",Table1[[#This Row],[Std Read]]=""),0,Table1[[#This Row],[Std Nom]]-Table1[[#This Row],[Std Read]])</f>
        <v>0</v>
      </c>
      <c r="N827" s="1">
        <f>IF(Calculations!$F$5="ACCREDITED 17025 WITH UNCERTAINTIES",$N$10,0)</f>
        <v>0</v>
      </c>
      <c r="O827" s="1" t="str">
        <f>IFERROR(Table1[[#This Row],[Std Nom]]-(_xlfn.XLOOKUP(Table1[[#This Row],[Manufacturer]]&amp;" "&amp;Table1[[#This Row],[Model]],Table13[MFR &amp; MDL],Table13[Tolerance % CW ],"")/100*Table1[[#This Row],[Std Nom]]),"")</f>
        <v/>
      </c>
      <c r="P827" s="1" t="str">
        <f>IFERROR(Table1[[#This Row],[Std Nom]]+(_xlfn.XLOOKUP(Table1[[#This Row],[Manufacturer]]&amp;" "&amp;Table1[[#This Row],[Model]],Table13[MFR &amp; MDL],Table13[Tolerance % CW ],"")/100*Table1[[#This Row],[Std Nom]]),"")</f>
        <v/>
      </c>
      <c r="Q827" s="1" t="e">
        <f>Table1[[#This Row],[High Tol]]-Table1[[#This Row],[Low Tol]]</f>
        <v>#VALUE!</v>
      </c>
      <c r="R827" s="1">
        <f>2*Table1[[#This Row],[Std Error]]</f>
        <v>0</v>
      </c>
      <c r="S827" s="1" t="str">
        <f>IF(Table1[[#This Row],[High Tol]]="","N/A",IFERROR(ABS(Table1[[#This Row],[Tol Span]]/Table1[[#This Row],[Error Span]]),"N/A"))</f>
        <v>N/A</v>
      </c>
      <c r="T827" s="1" t="str">
        <f>IF(OR(Table1[[#This Row],[Low Tol]]="",Table1[[#This Row],[High Tol]]=""),"Needs Analysis",IF(Table1[[#This Row],[Ratio]]&gt;=4,"Not Significant",IF(Table1[[#This Row],[Ratio]]&gt;=2,"Semi-Significant","Significant")))</f>
        <v>Needs Analysis</v>
      </c>
      <c r="W827" s="1">
        <f>IF(Table1[[#This Row],[Cal Type]]&lt;&gt;"ACCREDITED 17025 WITH UNCERTAINTIES",0,"")</f>
        <v>0</v>
      </c>
      <c r="X827" s="1" t="str">
        <f>IF(Table1[[#This Row],[DUT Read]]="","N/A",Table1[[#This Row],[Std Error]]+Table1[[#This Row],[DUT Read]]+Table1[[#This Row],[DUT Ucty]])</f>
        <v>N/A</v>
      </c>
      <c r="Y827" s="1" t="str">
        <f>IF(Table1[[#This Row],[Std Read]]="","N/A",Table1[[#This Row],[Std Read]]+Table1[[#This Row],[Std Ucty]])</f>
        <v>N/A</v>
      </c>
      <c r="Z8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7" s="1" t="str">
        <f>IF(Table1[[#This Row],[Spec Type]]="","N/A",Table1[[#This Row],[Spec Type]])</f>
        <v>±</v>
      </c>
      <c r="AC827" s="1" t="str">
        <f>IF(Table1[[#This Row],[Spec Type2]]="N/A","N/A",IF(AND(Table1[[#This Row],[DUT Adj Read]]&gt;=Table1[[#This Row],[Low Tol]],Table1[[#This Row],[DUT Adj Read]]&lt;=Table1[[#This Row],[High Tol]]),"Pass","Fail"))</f>
        <v>Fail</v>
      </c>
      <c r="AD827" s="1" t="str">
        <f>IF(AND(Table1[[#This Row],[Spec Type2]]="N/A",Table1[[#This Row],[DUT Adj Read]]="N/A",Table1[[#This Row],[Std Adj Read]]="N/A"),"N/A",IF(Table1[[#This Row],[DUT Adj Read]]="N/A",IF(Table1[[#This Row],[Std Adj Read]]&gt;Table1[[#This Row],[Low Tol]],"Pass","Fail"),IF(Table1[[#This Row],[DUT Adj Read]]&gt;Table1[[#This Row],[Low Tol]],"Pass","Fail")))</f>
        <v>Pass</v>
      </c>
      <c r="AE827" s="1" t="str">
        <f>IF(AND(Table1[[#This Row],[Spec Type2]]="N/A",Table1[[#This Row],[DUT Adj Read]]="N/A",Table1[[#This Row],[Std Adj Read]]="N/A"),"N/A",IF(Table1[[#This Row],[DUT Adj Read]]="N/A",IF(Table1[[#This Row],[Std Adj Read]]&lt;Table1[[#This Row],[High Tol]],"Pass","Fail"),IF(Table1[[#This Row],[DUT Adj Read]]&lt;Table1[[#This Row],[High Tol]],"Pass","Fail")))</f>
        <v>Fail</v>
      </c>
      <c r="AF827" s="1" t="str">
        <f>IF(AND(Table1[[#This Row],[Spec Type2]]="N/A",Table1[[#This Row],[DUT Adj Read]]="N/A",Table1[[#This Row],[Std Adj Read]]="N/A"),"N/A",IF(Table1[[#This Row],[DUT Adj Read]]="N/A",IF(Table1[[#This Row],[Std Adj Read]]&gt;=Table1[[#This Row],[Low Tol]],"Pass","Fail"),IF(Table1[[#This Row],[DUT Adj Read]]&gt;=Table1[[#This Row],[Low Tol]],"Pass","Fail")))</f>
        <v>Pass</v>
      </c>
      <c r="AG827" s="1" t="str">
        <f>IF(AND(Table1[[#This Row],[Spec Type2]]="N/A",Table1[[#This Row],[DUT Adj Read]]="N/A",Table1[[#This Row],[Std Adj Read]]="N/A"),"N/A",IF(Table1[[#This Row],[DUT Adj Read]]="N/A",IF(Table1[[#This Row],[Std Adj Read]]&lt;=Table1[[#This Row],[High Tol]],"Pass","Fail"),IF(Table1[[#This Row],[DUT Adj Read]]&lt;=Table1[[#This Row],[High Tol]],"Pass","Fail")))</f>
        <v>Fail</v>
      </c>
      <c r="AH8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7" s="1" t="b">
        <v>0</v>
      </c>
      <c r="AN827" s="1" t="b">
        <v>0</v>
      </c>
      <c r="AO827" s="1" t="b">
        <v>0</v>
      </c>
    </row>
    <row r="828" spans="1:41" x14ac:dyDescent="0.25">
      <c r="A828" s="10"/>
      <c r="B828" s="10"/>
      <c r="C828" s="10"/>
      <c r="D828" s="10"/>
      <c r="E828" s="10"/>
      <c r="F828" s="10"/>
      <c r="G828" s="10"/>
      <c r="H828" s="10"/>
      <c r="I828" s="1" t="str">
        <f t="shared" si="36"/>
        <v/>
      </c>
      <c r="J828" s="1" t="s">
        <v>35</v>
      </c>
      <c r="K828" s="1" t="str">
        <f t="shared" si="37"/>
        <v/>
      </c>
      <c r="L828" s="1" t="str">
        <f t="shared" si="38"/>
        <v/>
      </c>
      <c r="M828" s="1">
        <f>IF(OR(Table1[[#This Row],[Std Nom]]="",Table1[[#This Row],[Std Read]]=""),0,Table1[[#This Row],[Std Nom]]-Table1[[#This Row],[Std Read]])</f>
        <v>0</v>
      </c>
      <c r="N828" s="1">
        <f>IF(Calculations!$F$5="ACCREDITED 17025 WITH UNCERTAINTIES",$N$10,0)</f>
        <v>0</v>
      </c>
      <c r="O828" s="1" t="str">
        <f>IFERROR(Table1[[#This Row],[Std Nom]]-(_xlfn.XLOOKUP(Table1[[#This Row],[Manufacturer]]&amp;" "&amp;Table1[[#This Row],[Model]],Table13[MFR &amp; MDL],Table13[Tolerance % CW ],"")/100*Table1[[#This Row],[Std Nom]]),"")</f>
        <v/>
      </c>
      <c r="P828" s="1" t="str">
        <f>IFERROR(Table1[[#This Row],[Std Nom]]+(_xlfn.XLOOKUP(Table1[[#This Row],[Manufacturer]]&amp;" "&amp;Table1[[#This Row],[Model]],Table13[MFR &amp; MDL],Table13[Tolerance % CW ],"")/100*Table1[[#This Row],[Std Nom]]),"")</f>
        <v/>
      </c>
      <c r="Q828" s="1" t="e">
        <f>Table1[[#This Row],[High Tol]]-Table1[[#This Row],[Low Tol]]</f>
        <v>#VALUE!</v>
      </c>
      <c r="R828" s="1">
        <f>2*Table1[[#This Row],[Std Error]]</f>
        <v>0</v>
      </c>
      <c r="S828" s="1" t="str">
        <f>IF(Table1[[#This Row],[High Tol]]="","N/A",IFERROR(ABS(Table1[[#This Row],[Tol Span]]/Table1[[#This Row],[Error Span]]),"N/A"))</f>
        <v>N/A</v>
      </c>
      <c r="T828" s="1" t="str">
        <f>IF(OR(Table1[[#This Row],[Low Tol]]="",Table1[[#This Row],[High Tol]]=""),"Needs Analysis",IF(Table1[[#This Row],[Ratio]]&gt;=4,"Not Significant",IF(Table1[[#This Row],[Ratio]]&gt;=2,"Semi-Significant","Significant")))</f>
        <v>Needs Analysis</v>
      </c>
      <c r="W828" s="1">
        <f>IF(Table1[[#This Row],[Cal Type]]&lt;&gt;"ACCREDITED 17025 WITH UNCERTAINTIES",0,"")</f>
        <v>0</v>
      </c>
      <c r="X828" s="1" t="str">
        <f>IF(Table1[[#This Row],[DUT Read]]="","N/A",Table1[[#This Row],[Std Error]]+Table1[[#This Row],[DUT Read]]+Table1[[#This Row],[DUT Ucty]])</f>
        <v>N/A</v>
      </c>
      <c r="Y828" s="1" t="str">
        <f>IF(Table1[[#This Row],[Std Read]]="","N/A",Table1[[#This Row],[Std Read]]+Table1[[#This Row],[Std Ucty]])</f>
        <v>N/A</v>
      </c>
      <c r="Z8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8" s="1" t="str">
        <f>IF(Table1[[#This Row],[Spec Type]]="","N/A",Table1[[#This Row],[Spec Type]])</f>
        <v>±</v>
      </c>
      <c r="AC828" s="1" t="str">
        <f>IF(Table1[[#This Row],[Spec Type2]]="N/A","N/A",IF(AND(Table1[[#This Row],[DUT Adj Read]]&gt;=Table1[[#This Row],[Low Tol]],Table1[[#This Row],[DUT Adj Read]]&lt;=Table1[[#This Row],[High Tol]]),"Pass","Fail"))</f>
        <v>Fail</v>
      </c>
      <c r="AD828" s="1" t="str">
        <f>IF(AND(Table1[[#This Row],[Spec Type2]]="N/A",Table1[[#This Row],[DUT Adj Read]]="N/A",Table1[[#This Row],[Std Adj Read]]="N/A"),"N/A",IF(Table1[[#This Row],[DUT Adj Read]]="N/A",IF(Table1[[#This Row],[Std Adj Read]]&gt;Table1[[#This Row],[Low Tol]],"Pass","Fail"),IF(Table1[[#This Row],[DUT Adj Read]]&gt;Table1[[#This Row],[Low Tol]],"Pass","Fail")))</f>
        <v>Pass</v>
      </c>
      <c r="AE828" s="1" t="str">
        <f>IF(AND(Table1[[#This Row],[Spec Type2]]="N/A",Table1[[#This Row],[DUT Adj Read]]="N/A",Table1[[#This Row],[Std Adj Read]]="N/A"),"N/A",IF(Table1[[#This Row],[DUT Adj Read]]="N/A",IF(Table1[[#This Row],[Std Adj Read]]&lt;Table1[[#This Row],[High Tol]],"Pass","Fail"),IF(Table1[[#This Row],[DUT Adj Read]]&lt;Table1[[#This Row],[High Tol]],"Pass","Fail")))</f>
        <v>Fail</v>
      </c>
      <c r="AF828" s="1" t="str">
        <f>IF(AND(Table1[[#This Row],[Spec Type2]]="N/A",Table1[[#This Row],[DUT Adj Read]]="N/A",Table1[[#This Row],[Std Adj Read]]="N/A"),"N/A",IF(Table1[[#This Row],[DUT Adj Read]]="N/A",IF(Table1[[#This Row],[Std Adj Read]]&gt;=Table1[[#This Row],[Low Tol]],"Pass","Fail"),IF(Table1[[#This Row],[DUT Adj Read]]&gt;=Table1[[#This Row],[Low Tol]],"Pass","Fail")))</f>
        <v>Pass</v>
      </c>
      <c r="AG828" s="1" t="str">
        <f>IF(AND(Table1[[#This Row],[Spec Type2]]="N/A",Table1[[#This Row],[DUT Adj Read]]="N/A",Table1[[#This Row],[Std Adj Read]]="N/A"),"N/A",IF(Table1[[#This Row],[DUT Adj Read]]="N/A",IF(Table1[[#This Row],[Std Adj Read]]&lt;=Table1[[#This Row],[High Tol]],"Pass","Fail"),IF(Table1[[#This Row],[DUT Adj Read]]&lt;=Table1[[#This Row],[High Tol]],"Pass","Fail")))</f>
        <v>Fail</v>
      </c>
      <c r="AH8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8" s="1" t="b">
        <v>0</v>
      </c>
      <c r="AN828" s="1" t="b">
        <v>0</v>
      </c>
      <c r="AO828" s="1" t="b">
        <v>0</v>
      </c>
    </row>
    <row r="829" spans="1:41" x14ac:dyDescent="0.25">
      <c r="A829" s="10"/>
      <c r="B829" s="10"/>
      <c r="C829" s="10"/>
      <c r="D829" s="10"/>
      <c r="E829" s="10"/>
      <c r="F829" s="10"/>
      <c r="G829" s="10"/>
      <c r="H829" s="10"/>
      <c r="I829" s="1" t="str">
        <f t="shared" si="36"/>
        <v/>
      </c>
      <c r="J829" s="1" t="s">
        <v>35</v>
      </c>
      <c r="K829" s="1" t="str">
        <f t="shared" si="37"/>
        <v/>
      </c>
      <c r="L829" s="1" t="str">
        <f t="shared" si="38"/>
        <v/>
      </c>
      <c r="M829" s="1">
        <f>IF(OR(Table1[[#This Row],[Std Nom]]="",Table1[[#This Row],[Std Read]]=""),0,Table1[[#This Row],[Std Nom]]-Table1[[#This Row],[Std Read]])</f>
        <v>0</v>
      </c>
      <c r="N829" s="1">
        <f>IF(Calculations!$F$5="ACCREDITED 17025 WITH UNCERTAINTIES",$N$10,0)</f>
        <v>0</v>
      </c>
      <c r="O829" s="1" t="str">
        <f>IFERROR(Table1[[#This Row],[Std Nom]]-(_xlfn.XLOOKUP(Table1[[#This Row],[Manufacturer]]&amp;" "&amp;Table1[[#This Row],[Model]],Table13[MFR &amp; MDL],Table13[Tolerance % CW ],"")/100*Table1[[#This Row],[Std Nom]]),"")</f>
        <v/>
      </c>
      <c r="P829" s="1" t="str">
        <f>IFERROR(Table1[[#This Row],[Std Nom]]+(_xlfn.XLOOKUP(Table1[[#This Row],[Manufacturer]]&amp;" "&amp;Table1[[#This Row],[Model]],Table13[MFR &amp; MDL],Table13[Tolerance % CW ],"")/100*Table1[[#This Row],[Std Nom]]),"")</f>
        <v/>
      </c>
      <c r="Q829" s="1" t="e">
        <f>Table1[[#This Row],[High Tol]]-Table1[[#This Row],[Low Tol]]</f>
        <v>#VALUE!</v>
      </c>
      <c r="R829" s="1">
        <f>2*Table1[[#This Row],[Std Error]]</f>
        <v>0</v>
      </c>
      <c r="S829" s="1" t="str">
        <f>IF(Table1[[#This Row],[High Tol]]="","N/A",IFERROR(ABS(Table1[[#This Row],[Tol Span]]/Table1[[#This Row],[Error Span]]),"N/A"))</f>
        <v>N/A</v>
      </c>
      <c r="T829" s="1" t="str">
        <f>IF(OR(Table1[[#This Row],[Low Tol]]="",Table1[[#This Row],[High Tol]]=""),"Needs Analysis",IF(Table1[[#This Row],[Ratio]]&gt;=4,"Not Significant",IF(Table1[[#This Row],[Ratio]]&gt;=2,"Semi-Significant","Significant")))</f>
        <v>Needs Analysis</v>
      </c>
      <c r="W829" s="1">
        <f>IF(Table1[[#This Row],[Cal Type]]&lt;&gt;"ACCREDITED 17025 WITH UNCERTAINTIES",0,"")</f>
        <v>0</v>
      </c>
      <c r="X829" s="1" t="str">
        <f>IF(Table1[[#This Row],[DUT Read]]="","N/A",Table1[[#This Row],[Std Error]]+Table1[[#This Row],[DUT Read]]+Table1[[#This Row],[DUT Ucty]])</f>
        <v>N/A</v>
      </c>
      <c r="Y829" s="1" t="str">
        <f>IF(Table1[[#This Row],[Std Read]]="","N/A",Table1[[#This Row],[Std Read]]+Table1[[#This Row],[Std Ucty]])</f>
        <v>N/A</v>
      </c>
      <c r="Z8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9" s="1" t="str">
        <f>IF(Table1[[#This Row],[Spec Type]]="","N/A",Table1[[#This Row],[Spec Type]])</f>
        <v>±</v>
      </c>
      <c r="AC829" s="1" t="str">
        <f>IF(Table1[[#This Row],[Spec Type2]]="N/A","N/A",IF(AND(Table1[[#This Row],[DUT Adj Read]]&gt;=Table1[[#This Row],[Low Tol]],Table1[[#This Row],[DUT Adj Read]]&lt;=Table1[[#This Row],[High Tol]]),"Pass","Fail"))</f>
        <v>Fail</v>
      </c>
      <c r="AD829" s="1" t="str">
        <f>IF(AND(Table1[[#This Row],[Spec Type2]]="N/A",Table1[[#This Row],[DUT Adj Read]]="N/A",Table1[[#This Row],[Std Adj Read]]="N/A"),"N/A",IF(Table1[[#This Row],[DUT Adj Read]]="N/A",IF(Table1[[#This Row],[Std Adj Read]]&gt;Table1[[#This Row],[Low Tol]],"Pass","Fail"),IF(Table1[[#This Row],[DUT Adj Read]]&gt;Table1[[#This Row],[Low Tol]],"Pass","Fail")))</f>
        <v>Pass</v>
      </c>
      <c r="AE829" s="1" t="str">
        <f>IF(AND(Table1[[#This Row],[Spec Type2]]="N/A",Table1[[#This Row],[DUT Adj Read]]="N/A",Table1[[#This Row],[Std Adj Read]]="N/A"),"N/A",IF(Table1[[#This Row],[DUT Adj Read]]="N/A",IF(Table1[[#This Row],[Std Adj Read]]&lt;Table1[[#This Row],[High Tol]],"Pass","Fail"),IF(Table1[[#This Row],[DUT Adj Read]]&lt;Table1[[#This Row],[High Tol]],"Pass","Fail")))</f>
        <v>Fail</v>
      </c>
      <c r="AF829" s="1" t="str">
        <f>IF(AND(Table1[[#This Row],[Spec Type2]]="N/A",Table1[[#This Row],[DUT Adj Read]]="N/A",Table1[[#This Row],[Std Adj Read]]="N/A"),"N/A",IF(Table1[[#This Row],[DUT Adj Read]]="N/A",IF(Table1[[#This Row],[Std Adj Read]]&gt;=Table1[[#This Row],[Low Tol]],"Pass","Fail"),IF(Table1[[#This Row],[DUT Adj Read]]&gt;=Table1[[#This Row],[Low Tol]],"Pass","Fail")))</f>
        <v>Pass</v>
      </c>
      <c r="AG829" s="1" t="str">
        <f>IF(AND(Table1[[#This Row],[Spec Type2]]="N/A",Table1[[#This Row],[DUT Adj Read]]="N/A",Table1[[#This Row],[Std Adj Read]]="N/A"),"N/A",IF(Table1[[#This Row],[DUT Adj Read]]="N/A",IF(Table1[[#This Row],[Std Adj Read]]&lt;=Table1[[#This Row],[High Tol]],"Pass","Fail"),IF(Table1[[#This Row],[DUT Adj Read]]&lt;=Table1[[#This Row],[High Tol]],"Pass","Fail")))</f>
        <v>Fail</v>
      </c>
      <c r="AH8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9" s="1" t="b">
        <v>0</v>
      </c>
      <c r="AN829" s="1" t="b">
        <v>0</v>
      </c>
      <c r="AO829" s="1" t="b">
        <v>0</v>
      </c>
    </row>
    <row r="830" spans="1:41" x14ac:dyDescent="0.25">
      <c r="A830" s="10"/>
      <c r="B830" s="10"/>
      <c r="C830" s="10"/>
      <c r="D830" s="10"/>
      <c r="E830" s="10"/>
      <c r="F830" s="10"/>
      <c r="G830" s="10"/>
      <c r="H830" s="10"/>
      <c r="I830" s="1" t="str">
        <f t="shared" si="36"/>
        <v/>
      </c>
      <c r="J830" s="1" t="s">
        <v>35</v>
      </c>
      <c r="K830" s="1" t="str">
        <f t="shared" si="37"/>
        <v/>
      </c>
      <c r="L830" s="1" t="str">
        <f t="shared" si="38"/>
        <v/>
      </c>
      <c r="M830" s="1">
        <f>IF(OR(Table1[[#This Row],[Std Nom]]="",Table1[[#This Row],[Std Read]]=""),0,Table1[[#This Row],[Std Nom]]-Table1[[#This Row],[Std Read]])</f>
        <v>0</v>
      </c>
      <c r="N830" s="1">
        <f>IF(Calculations!$F$5="ACCREDITED 17025 WITH UNCERTAINTIES",$N$10,0)</f>
        <v>0</v>
      </c>
      <c r="O830" s="1" t="str">
        <f>IFERROR(Table1[[#This Row],[Std Nom]]-(_xlfn.XLOOKUP(Table1[[#This Row],[Manufacturer]]&amp;" "&amp;Table1[[#This Row],[Model]],Table13[MFR &amp; MDL],Table13[Tolerance % CW ],"")/100*Table1[[#This Row],[Std Nom]]),"")</f>
        <v/>
      </c>
      <c r="P830" s="1" t="str">
        <f>IFERROR(Table1[[#This Row],[Std Nom]]+(_xlfn.XLOOKUP(Table1[[#This Row],[Manufacturer]]&amp;" "&amp;Table1[[#This Row],[Model]],Table13[MFR &amp; MDL],Table13[Tolerance % CW ],"")/100*Table1[[#This Row],[Std Nom]]),"")</f>
        <v/>
      </c>
      <c r="Q830" s="1" t="e">
        <f>Table1[[#This Row],[High Tol]]-Table1[[#This Row],[Low Tol]]</f>
        <v>#VALUE!</v>
      </c>
      <c r="R830" s="1">
        <f>2*Table1[[#This Row],[Std Error]]</f>
        <v>0</v>
      </c>
      <c r="S830" s="1" t="str">
        <f>IF(Table1[[#This Row],[High Tol]]="","N/A",IFERROR(ABS(Table1[[#This Row],[Tol Span]]/Table1[[#This Row],[Error Span]]),"N/A"))</f>
        <v>N/A</v>
      </c>
      <c r="T830" s="1" t="str">
        <f>IF(OR(Table1[[#This Row],[Low Tol]]="",Table1[[#This Row],[High Tol]]=""),"Needs Analysis",IF(Table1[[#This Row],[Ratio]]&gt;=4,"Not Significant",IF(Table1[[#This Row],[Ratio]]&gt;=2,"Semi-Significant","Significant")))</f>
        <v>Needs Analysis</v>
      </c>
      <c r="W830" s="1">
        <f>IF(Table1[[#This Row],[Cal Type]]&lt;&gt;"ACCREDITED 17025 WITH UNCERTAINTIES",0,"")</f>
        <v>0</v>
      </c>
      <c r="X830" s="1" t="str">
        <f>IF(Table1[[#This Row],[DUT Read]]="","N/A",Table1[[#This Row],[Std Error]]+Table1[[#This Row],[DUT Read]]+Table1[[#This Row],[DUT Ucty]])</f>
        <v>N/A</v>
      </c>
      <c r="Y830" s="1" t="str">
        <f>IF(Table1[[#This Row],[Std Read]]="","N/A",Table1[[#This Row],[Std Read]]+Table1[[#This Row],[Std Ucty]])</f>
        <v>N/A</v>
      </c>
      <c r="Z8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0" s="1" t="str">
        <f>IF(Table1[[#This Row],[Spec Type]]="","N/A",Table1[[#This Row],[Spec Type]])</f>
        <v>±</v>
      </c>
      <c r="AC830" s="1" t="str">
        <f>IF(Table1[[#This Row],[Spec Type2]]="N/A","N/A",IF(AND(Table1[[#This Row],[DUT Adj Read]]&gt;=Table1[[#This Row],[Low Tol]],Table1[[#This Row],[DUT Adj Read]]&lt;=Table1[[#This Row],[High Tol]]),"Pass","Fail"))</f>
        <v>Fail</v>
      </c>
      <c r="AD830" s="1" t="str">
        <f>IF(AND(Table1[[#This Row],[Spec Type2]]="N/A",Table1[[#This Row],[DUT Adj Read]]="N/A",Table1[[#This Row],[Std Adj Read]]="N/A"),"N/A",IF(Table1[[#This Row],[DUT Adj Read]]="N/A",IF(Table1[[#This Row],[Std Adj Read]]&gt;Table1[[#This Row],[Low Tol]],"Pass","Fail"),IF(Table1[[#This Row],[DUT Adj Read]]&gt;Table1[[#This Row],[Low Tol]],"Pass","Fail")))</f>
        <v>Pass</v>
      </c>
      <c r="AE830" s="1" t="str">
        <f>IF(AND(Table1[[#This Row],[Spec Type2]]="N/A",Table1[[#This Row],[DUT Adj Read]]="N/A",Table1[[#This Row],[Std Adj Read]]="N/A"),"N/A",IF(Table1[[#This Row],[DUT Adj Read]]="N/A",IF(Table1[[#This Row],[Std Adj Read]]&lt;Table1[[#This Row],[High Tol]],"Pass","Fail"),IF(Table1[[#This Row],[DUT Adj Read]]&lt;Table1[[#This Row],[High Tol]],"Pass","Fail")))</f>
        <v>Fail</v>
      </c>
      <c r="AF830" s="1" t="str">
        <f>IF(AND(Table1[[#This Row],[Spec Type2]]="N/A",Table1[[#This Row],[DUT Adj Read]]="N/A",Table1[[#This Row],[Std Adj Read]]="N/A"),"N/A",IF(Table1[[#This Row],[DUT Adj Read]]="N/A",IF(Table1[[#This Row],[Std Adj Read]]&gt;=Table1[[#This Row],[Low Tol]],"Pass","Fail"),IF(Table1[[#This Row],[DUT Adj Read]]&gt;=Table1[[#This Row],[Low Tol]],"Pass","Fail")))</f>
        <v>Pass</v>
      </c>
      <c r="AG830" s="1" t="str">
        <f>IF(AND(Table1[[#This Row],[Spec Type2]]="N/A",Table1[[#This Row],[DUT Adj Read]]="N/A",Table1[[#This Row],[Std Adj Read]]="N/A"),"N/A",IF(Table1[[#This Row],[DUT Adj Read]]="N/A",IF(Table1[[#This Row],[Std Adj Read]]&lt;=Table1[[#This Row],[High Tol]],"Pass","Fail"),IF(Table1[[#This Row],[DUT Adj Read]]&lt;=Table1[[#This Row],[High Tol]],"Pass","Fail")))</f>
        <v>Fail</v>
      </c>
      <c r="AH8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0" s="1" t="b">
        <v>0</v>
      </c>
      <c r="AN830" s="1" t="b">
        <v>0</v>
      </c>
      <c r="AO830" s="1" t="b">
        <v>0</v>
      </c>
    </row>
    <row r="831" spans="1:41" x14ac:dyDescent="0.25">
      <c r="A831" s="10"/>
      <c r="B831" s="10"/>
      <c r="C831" s="10"/>
      <c r="D831" s="10"/>
      <c r="E831" s="10"/>
      <c r="F831" s="10"/>
      <c r="G831" s="10"/>
      <c r="H831" s="10"/>
      <c r="I831" s="1" t="str">
        <f t="shared" si="36"/>
        <v/>
      </c>
      <c r="J831" s="1" t="s">
        <v>35</v>
      </c>
      <c r="K831" s="1" t="str">
        <f t="shared" si="37"/>
        <v/>
      </c>
      <c r="L831" s="1" t="str">
        <f t="shared" si="38"/>
        <v/>
      </c>
      <c r="M831" s="1">
        <f>IF(OR(Table1[[#This Row],[Std Nom]]="",Table1[[#This Row],[Std Read]]=""),0,Table1[[#This Row],[Std Nom]]-Table1[[#This Row],[Std Read]])</f>
        <v>0</v>
      </c>
      <c r="N831" s="1">
        <f>IF(Calculations!$F$5="ACCREDITED 17025 WITH UNCERTAINTIES",$N$10,0)</f>
        <v>0</v>
      </c>
      <c r="O831" s="1" t="str">
        <f>IFERROR(Table1[[#This Row],[Std Nom]]-(_xlfn.XLOOKUP(Table1[[#This Row],[Manufacturer]]&amp;" "&amp;Table1[[#This Row],[Model]],Table13[MFR &amp; MDL],Table13[Tolerance % CW ],"")/100*Table1[[#This Row],[Std Nom]]),"")</f>
        <v/>
      </c>
      <c r="P831" s="1" t="str">
        <f>IFERROR(Table1[[#This Row],[Std Nom]]+(_xlfn.XLOOKUP(Table1[[#This Row],[Manufacturer]]&amp;" "&amp;Table1[[#This Row],[Model]],Table13[MFR &amp; MDL],Table13[Tolerance % CW ],"")/100*Table1[[#This Row],[Std Nom]]),"")</f>
        <v/>
      </c>
      <c r="Q831" s="1" t="e">
        <f>Table1[[#This Row],[High Tol]]-Table1[[#This Row],[Low Tol]]</f>
        <v>#VALUE!</v>
      </c>
      <c r="R831" s="1">
        <f>2*Table1[[#This Row],[Std Error]]</f>
        <v>0</v>
      </c>
      <c r="S831" s="1" t="str">
        <f>IF(Table1[[#This Row],[High Tol]]="","N/A",IFERROR(ABS(Table1[[#This Row],[Tol Span]]/Table1[[#This Row],[Error Span]]),"N/A"))</f>
        <v>N/A</v>
      </c>
      <c r="T831" s="1" t="str">
        <f>IF(OR(Table1[[#This Row],[Low Tol]]="",Table1[[#This Row],[High Tol]]=""),"Needs Analysis",IF(Table1[[#This Row],[Ratio]]&gt;=4,"Not Significant",IF(Table1[[#This Row],[Ratio]]&gt;=2,"Semi-Significant","Significant")))</f>
        <v>Needs Analysis</v>
      </c>
      <c r="W831" s="1">
        <f>IF(Table1[[#This Row],[Cal Type]]&lt;&gt;"ACCREDITED 17025 WITH UNCERTAINTIES",0,"")</f>
        <v>0</v>
      </c>
      <c r="X831" s="1" t="str">
        <f>IF(Table1[[#This Row],[DUT Read]]="","N/A",Table1[[#This Row],[Std Error]]+Table1[[#This Row],[DUT Read]]+Table1[[#This Row],[DUT Ucty]])</f>
        <v>N/A</v>
      </c>
      <c r="Y831" s="1" t="str">
        <f>IF(Table1[[#This Row],[Std Read]]="","N/A",Table1[[#This Row],[Std Read]]+Table1[[#This Row],[Std Ucty]])</f>
        <v>N/A</v>
      </c>
      <c r="Z8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1" s="1" t="str">
        <f>IF(Table1[[#This Row],[Spec Type]]="","N/A",Table1[[#This Row],[Spec Type]])</f>
        <v>±</v>
      </c>
      <c r="AC831" s="1" t="str">
        <f>IF(Table1[[#This Row],[Spec Type2]]="N/A","N/A",IF(AND(Table1[[#This Row],[DUT Adj Read]]&gt;=Table1[[#This Row],[Low Tol]],Table1[[#This Row],[DUT Adj Read]]&lt;=Table1[[#This Row],[High Tol]]),"Pass","Fail"))</f>
        <v>Fail</v>
      </c>
      <c r="AD831" s="1" t="str">
        <f>IF(AND(Table1[[#This Row],[Spec Type2]]="N/A",Table1[[#This Row],[DUT Adj Read]]="N/A",Table1[[#This Row],[Std Adj Read]]="N/A"),"N/A",IF(Table1[[#This Row],[DUT Adj Read]]="N/A",IF(Table1[[#This Row],[Std Adj Read]]&gt;Table1[[#This Row],[Low Tol]],"Pass","Fail"),IF(Table1[[#This Row],[DUT Adj Read]]&gt;Table1[[#This Row],[Low Tol]],"Pass","Fail")))</f>
        <v>Pass</v>
      </c>
      <c r="AE831" s="1" t="str">
        <f>IF(AND(Table1[[#This Row],[Spec Type2]]="N/A",Table1[[#This Row],[DUT Adj Read]]="N/A",Table1[[#This Row],[Std Adj Read]]="N/A"),"N/A",IF(Table1[[#This Row],[DUT Adj Read]]="N/A",IF(Table1[[#This Row],[Std Adj Read]]&lt;Table1[[#This Row],[High Tol]],"Pass","Fail"),IF(Table1[[#This Row],[DUT Adj Read]]&lt;Table1[[#This Row],[High Tol]],"Pass","Fail")))</f>
        <v>Fail</v>
      </c>
      <c r="AF831" s="1" t="str">
        <f>IF(AND(Table1[[#This Row],[Spec Type2]]="N/A",Table1[[#This Row],[DUT Adj Read]]="N/A",Table1[[#This Row],[Std Adj Read]]="N/A"),"N/A",IF(Table1[[#This Row],[DUT Adj Read]]="N/A",IF(Table1[[#This Row],[Std Adj Read]]&gt;=Table1[[#This Row],[Low Tol]],"Pass","Fail"),IF(Table1[[#This Row],[DUT Adj Read]]&gt;=Table1[[#This Row],[Low Tol]],"Pass","Fail")))</f>
        <v>Pass</v>
      </c>
      <c r="AG831" s="1" t="str">
        <f>IF(AND(Table1[[#This Row],[Spec Type2]]="N/A",Table1[[#This Row],[DUT Adj Read]]="N/A",Table1[[#This Row],[Std Adj Read]]="N/A"),"N/A",IF(Table1[[#This Row],[DUT Adj Read]]="N/A",IF(Table1[[#This Row],[Std Adj Read]]&lt;=Table1[[#This Row],[High Tol]],"Pass","Fail"),IF(Table1[[#This Row],[DUT Adj Read]]&lt;=Table1[[#This Row],[High Tol]],"Pass","Fail")))</f>
        <v>Fail</v>
      </c>
      <c r="AH8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1" s="1" t="b">
        <v>0</v>
      </c>
      <c r="AN831" s="1" t="b">
        <v>0</v>
      </c>
      <c r="AO831" s="1" t="b">
        <v>0</v>
      </c>
    </row>
    <row r="832" spans="1:41" x14ac:dyDescent="0.25">
      <c r="A832" s="10"/>
      <c r="B832" s="10"/>
      <c r="C832" s="10"/>
      <c r="D832" s="10"/>
      <c r="E832" s="10"/>
      <c r="F832" s="10"/>
      <c r="G832" s="10"/>
      <c r="H832" s="10"/>
      <c r="I832" s="1" t="str">
        <f t="shared" si="36"/>
        <v/>
      </c>
      <c r="J832" s="1" t="s">
        <v>35</v>
      </c>
      <c r="K832" s="1" t="str">
        <f t="shared" si="37"/>
        <v/>
      </c>
      <c r="L832" s="1" t="str">
        <f t="shared" si="38"/>
        <v/>
      </c>
      <c r="M832" s="1">
        <f>IF(OR(Table1[[#This Row],[Std Nom]]="",Table1[[#This Row],[Std Read]]=""),0,Table1[[#This Row],[Std Nom]]-Table1[[#This Row],[Std Read]])</f>
        <v>0</v>
      </c>
      <c r="N832" s="1">
        <f>IF(Calculations!$F$5="ACCREDITED 17025 WITH UNCERTAINTIES",$N$10,0)</f>
        <v>0</v>
      </c>
      <c r="O832" s="1" t="str">
        <f>IFERROR(Table1[[#This Row],[Std Nom]]-(_xlfn.XLOOKUP(Table1[[#This Row],[Manufacturer]]&amp;" "&amp;Table1[[#This Row],[Model]],Table13[MFR &amp; MDL],Table13[Tolerance % CW ],"")/100*Table1[[#This Row],[Std Nom]]),"")</f>
        <v/>
      </c>
      <c r="P832" s="1" t="str">
        <f>IFERROR(Table1[[#This Row],[Std Nom]]+(_xlfn.XLOOKUP(Table1[[#This Row],[Manufacturer]]&amp;" "&amp;Table1[[#This Row],[Model]],Table13[MFR &amp; MDL],Table13[Tolerance % CW ],"")/100*Table1[[#This Row],[Std Nom]]),"")</f>
        <v/>
      </c>
      <c r="Q832" s="1" t="e">
        <f>Table1[[#This Row],[High Tol]]-Table1[[#This Row],[Low Tol]]</f>
        <v>#VALUE!</v>
      </c>
      <c r="R832" s="1">
        <f>2*Table1[[#This Row],[Std Error]]</f>
        <v>0</v>
      </c>
      <c r="S832" s="1" t="str">
        <f>IF(Table1[[#This Row],[High Tol]]="","N/A",IFERROR(ABS(Table1[[#This Row],[Tol Span]]/Table1[[#This Row],[Error Span]]),"N/A"))</f>
        <v>N/A</v>
      </c>
      <c r="T832" s="1" t="str">
        <f>IF(OR(Table1[[#This Row],[Low Tol]]="",Table1[[#This Row],[High Tol]]=""),"Needs Analysis",IF(Table1[[#This Row],[Ratio]]&gt;=4,"Not Significant",IF(Table1[[#This Row],[Ratio]]&gt;=2,"Semi-Significant","Significant")))</f>
        <v>Needs Analysis</v>
      </c>
      <c r="W832" s="1">
        <f>IF(Table1[[#This Row],[Cal Type]]&lt;&gt;"ACCREDITED 17025 WITH UNCERTAINTIES",0,"")</f>
        <v>0</v>
      </c>
      <c r="X832" s="1" t="str">
        <f>IF(Table1[[#This Row],[DUT Read]]="","N/A",Table1[[#This Row],[Std Error]]+Table1[[#This Row],[DUT Read]]+Table1[[#This Row],[DUT Ucty]])</f>
        <v>N/A</v>
      </c>
      <c r="Y832" s="1" t="str">
        <f>IF(Table1[[#This Row],[Std Read]]="","N/A",Table1[[#This Row],[Std Read]]+Table1[[#This Row],[Std Ucty]])</f>
        <v>N/A</v>
      </c>
      <c r="Z8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2" s="1" t="str">
        <f>IF(Table1[[#This Row],[Spec Type]]="","N/A",Table1[[#This Row],[Spec Type]])</f>
        <v>±</v>
      </c>
      <c r="AC832" s="1" t="str">
        <f>IF(Table1[[#This Row],[Spec Type2]]="N/A","N/A",IF(AND(Table1[[#This Row],[DUT Adj Read]]&gt;=Table1[[#This Row],[Low Tol]],Table1[[#This Row],[DUT Adj Read]]&lt;=Table1[[#This Row],[High Tol]]),"Pass","Fail"))</f>
        <v>Fail</v>
      </c>
      <c r="AD832" s="1" t="str">
        <f>IF(AND(Table1[[#This Row],[Spec Type2]]="N/A",Table1[[#This Row],[DUT Adj Read]]="N/A",Table1[[#This Row],[Std Adj Read]]="N/A"),"N/A",IF(Table1[[#This Row],[DUT Adj Read]]="N/A",IF(Table1[[#This Row],[Std Adj Read]]&gt;Table1[[#This Row],[Low Tol]],"Pass","Fail"),IF(Table1[[#This Row],[DUT Adj Read]]&gt;Table1[[#This Row],[Low Tol]],"Pass","Fail")))</f>
        <v>Pass</v>
      </c>
      <c r="AE832" s="1" t="str">
        <f>IF(AND(Table1[[#This Row],[Spec Type2]]="N/A",Table1[[#This Row],[DUT Adj Read]]="N/A",Table1[[#This Row],[Std Adj Read]]="N/A"),"N/A",IF(Table1[[#This Row],[DUT Adj Read]]="N/A",IF(Table1[[#This Row],[Std Adj Read]]&lt;Table1[[#This Row],[High Tol]],"Pass","Fail"),IF(Table1[[#This Row],[DUT Adj Read]]&lt;Table1[[#This Row],[High Tol]],"Pass","Fail")))</f>
        <v>Fail</v>
      </c>
      <c r="AF832" s="1" t="str">
        <f>IF(AND(Table1[[#This Row],[Spec Type2]]="N/A",Table1[[#This Row],[DUT Adj Read]]="N/A",Table1[[#This Row],[Std Adj Read]]="N/A"),"N/A",IF(Table1[[#This Row],[DUT Adj Read]]="N/A",IF(Table1[[#This Row],[Std Adj Read]]&gt;=Table1[[#This Row],[Low Tol]],"Pass","Fail"),IF(Table1[[#This Row],[DUT Adj Read]]&gt;=Table1[[#This Row],[Low Tol]],"Pass","Fail")))</f>
        <v>Pass</v>
      </c>
      <c r="AG832" s="1" t="str">
        <f>IF(AND(Table1[[#This Row],[Spec Type2]]="N/A",Table1[[#This Row],[DUT Adj Read]]="N/A",Table1[[#This Row],[Std Adj Read]]="N/A"),"N/A",IF(Table1[[#This Row],[DUT Adj Read]]="N/A",IF(Table1[[#This Row],[Std Adj Read]]&lt;=Table1[[#This Row],[High Tol]],"Pass","Fail"),IF(Table1[[#This Row],[DUT Adj Read]]&lt;=Table1[[#This Row],[High Tol]],"Pass","Fail")))</f>
        <v>Fail</v>
      </c>
      <c r="AH8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2" s="1" t="b">
        <v>0</v>
      </c>
      <c r="AN832" s="1" t="b">
        <v>0</v>
      </c>
      <c r="AO832" s="1" t="b">
        <v>0</v>
      </c>
    </row>
    <row r="833" spans="1:41" x14ac:dyDescent="0.25">
      <c r="A833" s="10"/>
      <c r="B833" s="10"/>
      <c r="C833" s="10"/>
      <c r="D833" s="10"/>
      <c r="E833" s="10"/>
      <c r="F833" s="10"/>
      <c r="G833" s="10"/>
      <c r="H833" s="10"/>
      <c r="I833" s="1" t="str">
        <f t="shared" si="36"/>
        <v/>
      </c>
      <c r="J833" s="1" t="s">
        <v>35</v>
      </c>
      <c r="K833" s="1" t="str">
        <f t="shared" si="37"/>
        <v/>
      </c>
      <c r="L833" s="1" t="str">
        <f t="shared" si="38"/>
        <v/>
      </c>
      <c r="M833" s="1">
        <f>IF(OR(Table1[[#This Row],[Std Nom]]="",Table1[[#This Row],[Std Read]]=""),0,Table1[[#This Row],[Std Nom]]-Table1[[#This Row],[Std Read]])</f>
        <v>0</v>
      </c>
      <c r="N833" s="1">
        <f>IF(Calculations!$F$5="ACCREDITED 17025 WITH UNCERTAINTIES",$N$10,0)</f>
        <v>0</v>
      </c>
      <c r="O833" s="1" t="str">
        <f>IFERROR(Table1[[#This Row],[Std Nom]]-(_xlfn.XLOOKUP(Table1[[#This Row],[Manufacturer]]&amp;" "&amp;Table1[[#This Row],[Model]],Table13[MFR &amp; MDL],Table13[Tolerance % CW ],"")/100*Table1[[#This Row],[Std Nom]]),"")</f>
        <v/>
      </c>
      <c r="P833" s="1" t="str">
        <f>IFERROR(Table1[[#This Row],[Std Nom]]+(_xlfn.XLOOKUP(Table1[[#This Row],[Manufacturer]]&amp;" "&amp;Table1[[#This Row],[Model]],Table13[MFR &amp; MDL],Table13[Tolerance % CW ],"")/100*Table1[[#This Row],[Std Nom]]),"")</f>
        <v/>
      </c>
      <c r="Q833" s="1" t="e">
        <f>Table1[[#This Row],[High Tol]]-Table1[[#This Row],[Low Tol]]</f>
        <v>#VALUE!</v>
      </c>
      <c r="R833" s="1">
        <f>2*Table1[[#This Row],[Std Error]]</f>
        <v>0</v>
      </c>
      <c r="S833" s="1" t="str">
        <f>IF(Table1[[#This Row],[High Tol]]="","N/A",IFERROR(ABS(Table1[[#This Row],[Tol Span]]/Table1[[#This Row],[Error Span]]),"N/A"))</f>
        <v>N/A</v>
      </c>
      <c r="T833" s="1" t="str">
        <f>IF(OR(Table1[[#This Row],[Low Tol]]="",Table1[[#This Row],[High Tol]]=""),"Needs Analysis",IF(Table1[[#This Row],[Ratio]]&gt;=4,"Not Significant",IF(Table1[[#This Row],[Ratio]]&gt;=2,"Semi-Significant","Significant")))</f>
        <v>Needs Analysis</v>
      </c>
      <c r="W833" s="1">
        <f>IF(Table1[[#This Row],[Cal Type]]&lt;&gt;"ACCREDITED 17025 WITH UNCERTAINTIES",0,"")</f>
        <v>0</v>
      </c>
      <c r="X833" s="1" t="str">
        <f>IF(Table1[[#This Row],[DUT Read]]="","N/A",Table1[[#This Row],[Std Error]]+Table1[[#This Row],[DUT Read]]+Table1[[#This Row],[DUT Ucty]])</f>
        <v>N/A</v>
      </c>
      <c r="Y833" s="1" t="str">
        <f>IF(Table1[[#This Row],[Std Read]]="","N/A",Table1[[#This Row],[Std Read]]+Table1[[#This Row],[Std Ucty]])</f>
        <v>N/A</v>
      </c>
      <c r="Z8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3" s="1" t="str">
        <f>IF(Table1[[#This Row],[Spec Type]]="","N/A",Table1[[#This Row],[Spec Type]])</f>
        <v>±</v>
      </c>
      <c r="AC833" s="1" t="str">
        <f>IF(Table1[[#This Row],[Spec Type2]]="N/A","N/A",IF(AND(Table1[[#This Row],[DUT Adj Read]]&gt;=Table1[[#This Row],[Low Tol]],Table1[[#This Row],[DUT Adj Read]]&lt;=Table1[[#This Row],[High Tol]]),"Pass","Fail"))</f>
        <v>Fail</v>
      </c>
      <c r="AD833" s="1" t="str">
        <f>IF(AND(Table1[[#This Row],[Spec Type2]]="N/A",Table1[[#This Row],[DUT Adj Read]]="N/A",Table1[[#This Row],[Std Adj Read]]="N/A"),"N/A",IF(Table1[[#This Row],[DUT Adj Read]]="N/A",IF(Table1[[#This Row],[Std Adj Read]]&gt;Table1[[#This Row],[Low Tol]],"Pass","Fail"),IF(Table1[[#This Row],[DUT Adj Read]]&gt;Table1[[#This Row],[Low Tol]],"Pass","Fail")))</f>
        <v>Pass</v>
      </c>
      <c r="AE833" s="1" t="str">
        <f>IF(AND(Table1[[#This Row],[Spec Type2]]="N/A",Table1[[#This Row],[DUT Adj Read]]="N/A",Table1[[#This Row],[Std Adj Read]]="N/A"),"N/A",IF(Table1[[#This Row],[DUT Adj Read]]="N/A",IF(Table1[[#This Row],[Std Adj Read]]&lt;Table1[[#This Row],[High Tol]],"Pass","Fail"),IF(Table1[[#This Row],[DUT Adj Read]]&lt;Table1[[#This Row],[High Tol]],"Pass","Fail")))</f>
        <v>Fail</v>
      </c>
      <c r="AF833" s="1" t="str">
        <f>IF(AND(Table1[[#This Row],[Spec Type2]]="N/A",Table1[[#This Row],[DUT Adj Read]]="N/A",Table1[[#This Row],[Std Adj Read]]="N/A"),"N/A",IF(Table1[[#This Row],[DUT Adj Read]]="N/A",IF(Table1[[#This Row],[Std Adj Read]]&gt;=Table1[[#This Row],[Low Tol]],"Pass","Fail"),IF(Table1[[#This Row],[DUT Adj Read]]&gt;=Table1[[#This Row],[Low Tol]],"Pass","Fail")))</f>
        <v>Pass</v>
      </c>
      <c r="AG833" s="1" t="str">
        <f>IF(AND(Table1[[#This Row],[Spec Type2]]="N/A",Table1[[#This Row],[DUT Adj Read]]="N/A",Table1[[#This Row],[Std Adj Read]]="N/A"),"N/A",IF(Table1[[#This Row],[DUT Adj Read]]="N/A",IF(Table1[[#This Row],[Std Adj Read]]&lt;=Table1[[#This Row],[High Tol]],"Pass","Fail"),IF(Table1[[#This Row],[DUT Adj Read]]&lt;=Table1[[#This Row],[High Tol]],"Pass","Fail")))</f>
        <v>Fail</v>
      </c>
      <c r="AH8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3" s="1" t="b">
        <v>0</v>
      </c>
      <c r="AN833" s="1" t="b">
        <v>0</v>
      </c>
      <c r="AO833" s="1" t="b">
        <v>0</v>
      </c>
    </row>
    <row r="834" spans="1:41" x14ac:dyDescent="0.25">
      <c r="A834" s="10"/>
      <c r="B834" s="10"/>
      <c r="C834" s="10"/>
      <c r="D834" s="10"/>
      <c r="E834" s="10"/>
      <c r="F834" s="10"/>
      <c r="G834" s="10"/>
      <c r="H834" s="10"/>
      <c r="I834" s="1" t="str">
        <f t="shared" si="36"/>
        <v/>
      </c>
      <c r="J834" s="1" t="s">
        <v>35</v>
      </c>
      <c r="K834" s="1" t="str">
        <f t="shared" si="37"/>
        <v/>
      </c>
      <c r="L834" s="1" t="str">
        <f t="shared" si="38"/>
        <v/>
      </c>
      <c r="M834" s="1">
        <f>IF(OR(Table1[[#This Row],[Std Nom]]="",Table1[[#This Row],[Std Read]]=""),0,Table1[[#This Row],[Std Nom]]-Table1[[#This Row],[Std Read]])</f>
        <v>0</v>
      </c>
      <c r="N834" s="1">
        <f>IF(Calculations!$F$5="ACCREDITED 17025 WITH UNCERTAINTIES",$N$10,0)</f>
        <v>0</v>
      </c>
      <c r="O834" s="1" t="str">
        <f>IFERROR(Table1[[#This Row],[Std Nom]]-(_xlfn.XLOOKUP(Table1[[#This Row],[Manufacturer]]&amp;" "&amp;Table1[[#This Row],[Model]],Table13[MFR &amp; MDL],Table13[Tolerance % CW ],"")/100*Table1[[#This Row],[Std Nom]]),"")</f>
        <v/>
      </c>
      <c r="P834" s="1" t="str">
        <f>IFERROR(Table1[[#This Row],[Std Nom]]+(_xlfn.XLOOKUP(Table1[[#This Row],[Manufacturer]]&amp;" "&amp;Table1[[#This Row],[Model]],Table13[MFR &amp; MDL],Table13[Tolerance % CW ],"")/100*Table1[[#This Row],[Std Nom]]),"")</f>
        <v/>
      </c>
      <c r="Q834" s="1" t="e">
        <f>Table1[[#This Row],[High Tol]]-Table1[[#This Row],[Low Tol]]</f>
        <v>#VALUE!</v>
      </c>
      <c r="R834" s="1">
        <f>2*Table1[[#This Row],[Std Error]]</f>
        <v>0</v>
      </c>
      <c r="S834" s="1" t="str">
        <f>IF(Table1[[#This Row],[High Tol]]="","N/A",IFERROR(ABS(Table1[[#This Row],[Tol Span]]/Table1[[#This Row],[Error Span]]),"N/A"))</f>
        <v>N/A</v>
      </c>
      <c r="T834" s="1" t="str">
        <f>IF(OR(Table1[[#This Row],[Low Tol]]="",Table1[[#This Row],[High Tol]]=""),"Needs Analysis",IF(Table1[[#This Row],[Ratio]]&gt;=4,"Not Significant",IF(Table1[[#This Row],[Ratio]]&gt;=2,"Semi-Significant","Significant")))</f>
        <v>Needs Analysis</v>
      </c>
      <c r="W834" s="1">
        <f>IF(Table1[[#This Row],[Cal Type]]&lt;&gt;"ACCREDITED 17025 WITH UNCERTAINTIES",0,"")</f>
        <v>0</v>
      </c>
      <c r="X834" s="1" t="str">
        <f>IF(Table1[[#This Row],[DUT Read]]="","N/A",Table1[[#This Row],[Std Error]]+Table1[[#This Row],[DUT Read]]+Table1[[#This Row],[DUT Ucty]])</f>
        <v>N/A</v>
      </c>
      <c r="Y834" s="1" t="str">
        <f>IF(Table1[[#This Row],[Std Read]]="","N/A",Table1[[#This Row],[Std Read]]+Table1[[#This Row],[Std Ucty]])</f>
        <v>N/A</v>
      </c>
      <c r="Z8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4" s="1" t="str">
        <f>IF(Table1[[#This Row],[Spec Type]]="","N/A",Table1[[#This Row],[Spec Type]])</f>
        <v>±</v>
      </c>
      <c r="AC834" s="1" t="str">
        <f>IF(Table1[[#This Row],[Spec Type2]]="N/A","N/A",IF(AND(Table1[[#This Row],[DUT Adj Read]]&gt;=Table1[[#This Row],[Low Tol]],Table1[[#This Row],[DUT Adj Read]]&lt;=Table1[[#This Row],[High Tol]]),"Pass","Fail"))</f>
        <v>Fail</v>
      </c>
      <c r="AD834" s="1" t="str">
        <f>IF(AND(Table1[[#This Row],[Spec Type2]]="N/A",Table1[[#This Row],[DUT Adj Read]]="N/A",Table1[[#This Row],[Std Adj Read]]="N/A"),"N/A",IF(Table1[[#This Row],[DUT Adj Read]]="N/A",IF(Table1[[#This Row],[Std Adj Read]]&gt;Table1[[#This Row],[Low Tol]],"Pass","Fail"),IF(Table1[[#This Row],[DUT Adj Read]]&gt;Table1[[#This Row],[Low Tol]],"Pass","Fail")))</f>
        <v>Pass</v>
      </c>
      <c r="AE834" s="1" t="str">
        <f>IF(AND(Table1[[#This Row],[Spec Type2]]="N/A",Table1[[#This Row],[DUT Adj Read]]="N/A",Table1[[#This Row],[Std Adj Read]]="N/A"),"N/A",IF(Table1[[#This Row],[DUT Adj Read]]="N/A",IF(Table1[[#This Row],[Std Adj Read]]&lt;Table1[[#This Row],[High Tol]],"Pass","Fail"),IF(Table1[[#This Row],[DUT Adj Read]]&lt;Table1[[#This Row],[High Tol]],"Pass","Fail")))</f>
        <v>Fail</v>
      </c>
      <c r="AF834" s="1" t="str">
        <f>IF(AND(Table1[[#This Row],[Spec Type2]]="N/A",Table1[[#This Row],[DUT Adj Read]]="N/A",Table1[[#This Row],[Std Adj Read]]="N/A"),"N/A",IF(Table1[[#This Row],[DUT Adj Read]]="N/A",IF(Table1[[#This Row],[Std Adj Read]]&gt;=Table1[[#This Row],[Low Tol]],"Pass","Fail"),IF(Table1[[#This Row],[DUT Adj Read]]&gt;=Table1[[#This Row],[Low Tol]],"Pass","Fail")))</f>
        <v>Pass</v>
      </c>
      <c r="AG834" s="1" t="str">
        <f>IF(AND(Table1[[#This Row],[Spec Type2]]="N/A",Table1[[#This Row],[DUT Adj Read]]="N/A",Table1[[#This Row],[Std Adj Read]]="N/A"),"N/A",IF(Table1[[#This Row],[DUT Adj Read]]="N/A",IF(Table1[[#This Row],[Std Adj Read]]&lt;=Table1[[#This Row],[High Tol]],"Pass","Fail"),IF(Table1[[#This Row],[DUT Adj Read]]&lt;=Table1[[#This Row],[High Tol]],"Pass","Fail")))</f>
        <v>Fail</v>
      </c>
      <c r="AH8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4" s="1" t="b">
        <v>0</v>
      </c>
      <c r="AN834" s="1" t="b">
        <v>0</v>
      </c>
      <c r="AO834" s="1" t="b">
        <v>0</v>
      </c>
    </row>
    <row r="835" spans="1:41" x14ac:dyDescent="0.25">
      <c r="A835" s="10"/>
      <c r="B835" s="10"/>
      <c r="C835" s="10"/>
      <c r="D835" s="10"/>
      <c r="E835" s="10"/>
      <c r="F835" s="10"/>
      <c r="G835" s="10"/>
      <c r="H835" s="10"/>
      <c r="I835" s="1" t="str">
        <f t="shared" si="36"/>
        <v/>
      </c>
      <c r="J835" s="1" t="s">
        <v>35</v>
      </c>
      <c r="K835" s="1" t="str">
        <f t="shared" si="37"/>
        <v/>
      </c>
      <c r="L835" s="1" t="str">
        <f t="shared" si="38"/>
        <v/>
      </c>
      <c r="M835" s="1">
        <f>IF(OR(Table1[[#This Row],[Std Nom]]="",Table1[[#This Row],[Std Read]]=""),0,Table1[[#This Row],[Std Nom]]-Table1[[#This Row],[Std Read]])</f>
        <v>0</v>
      </c>
      <c r="N835" s="1">
        <f>IF(Calculations!$F$5="ACCREDITED 17025 WITH UNCERTAINTIES",$N$10,0)</f>
        <v>0</v>
      </c>
      <c r="O835" s="1" t="str">
        <f>IFERROR(Table1[[#This Row],[Std Nom]]-(_xlfn.XLOOKUP(Table1[[#This Row],[Manufacturer]]&amp;" "&amp;Table1[[#This Row],[Model]],Table13[MFR &amp; MDL],Table13[Tolerance % CW ],"")/100*Table1[[#This Row],[Std Nom]]),"")</f>
        <v/>
      </c>
      <c r="P835" s="1" t="str">
        <f>IFERROR(Table1[[#This Row],[Std Nom]]+(_xlfn.XLOOKUP(Table1[[#This Row],[Manufacturer]]&amp;" "&amp;Table1[[#This Row],[Model]],Table13[MFR &amp; MDL],Table13[Tolerance % CW ],"")/100*Table1[[#This Row],[Std Nom]]),"")</f>
        <v/>
      </c>
      <c r="Q835" s="1" t="e">
        <f>Table1[[#This Row],[High Tol]]-Table1[[#This Row],[Low Tol]]</f>
        <v>#VALUE!</v>
      </c>
      <c r="R835" s="1">
        <f>2*Table1[[#This Row],[Std Error]]</f>
        <v>0</v>
      </c>
      <c r="S835" s="1" t="str">
        <f>IF(Table1[[#This Row],[High Tol]]="","N/A",IFERROR(ABS(Table1[[#This Row],[Tol Span]]/Table1[[#This Row],[Error Span]]),"N/A"))</f>
        <v>N/A</v>
      </c>
      <c r="T835" s="1" t="str">
        <f>IF(OR(Table1[[#This Row],[Low Tol]]="",Table1[[#This Row],[High Tol]]=""),"Needs Analysis",IF(Table1[[#This Row],[Ratio]]&gt;=4,"Not Significant",IF(Table1[[#This Row],[Ratio]]&gt;=2,"Semi-Significant","Significant")))</f>
        <v>Needs Analysis</v>
      </c>
      <c r="W835" s="1">
        <f>IF(Table1[[#This Row],[Cal Type]]&lt;&gt;"ACCREDITED 17025 WITH UNCERTAINTIES",0,"")</f>
        <v>0</v>
      </c>
      <c r="X835" s="1" t="str">
        <f>IF(Table1[[#This Row],[DUT Read]]="","N/A",Table1[[#This Row],[Std Error]]+Table1[[#This Row],[DUT Read]]+Table1[[#This Row],[DUT Ucty]])</f>
        <v>N/A</v>
      </c>
      <c r="Y835" s="1" t="str">
        <f>IF(Table1[[#This Row],[Std Read]]="","N/A",Table1[[#This Row],[Std Read]]+Table1[[#This Row],[Std Ucty]])</f>
        <v>N/A</v>
      </c>
      <c r="Z8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5" s="1" t="str">
        <f>IF(Table1[[#This Row],[Spec Type]]="","N/A",Table1[[#This Row],[Spec Type]])</f>
        <v>±</v>
      </c>
      <c r="AC835" s="1" t="str">
        <f>IF(Table1[[#This Row],[Spec Type2]]="N/A","N/A",IF(AND(Table1[[#This Row],[DUT Adj Read]]&gt;=Table1[[#This Row],[Low Tol]],Table1[[#This Row],[DUT Adj Read]]&lt;=Table1[[#This Row],[High Tol]]),"Pass","Fail"))</f>
        <v>Fail</v>
      </c>
      <c r="AD835" s="1" t="str">
        <f>IF(AND(Table1[[#This Row],[Spec Type2]]="N/A",Table1[[#This Row],[DUT Adj Read]]="N/A",Table1[[#This Row],[Std Adj Read]]="N/A"),"N/A",IF(Table1[[#This Row],[DUT Adj Read]]="N/A",IF(Table1[[#This Row],[Std Adj Read]]&gt;Table1[[#This Row],[Low Tol]],"Pass","Fail"),IF(Table1[[#This Row],[DUT Adj Read]]&gt;Table1[[#This Row],[Low Tol]],"Pass","Fail")))</f>
        <v>Pass</v>
      </c>
      <c r="AE835" s="1" t="str">
        <f>IF(AND(Table1[[#This Row],[Spec Type2]]="N/A",Table1[[#This Row],[DUT Adj Read]]="N/A",Table1[[#This Row],[Std Adj Read]]="N/A"),"N/A",IF(Table1[[#This Row],[DUT Adj Read]]="N/A",IF(Table1[[#This Row],[Std Adj Read]]&lt;Table1[[#This Row],[High Tol]],"Pass","Fail"),IF(Table1[[#This Row],[DUT Adj Read]]&lt;Table1[[#This Row],[High Tol]],"Pass","Fail")))</f>
        <v>Fail</v>
      </c>
      <c r="AF835" s="1" t="str">
        <f>IF(AND(Table1[[#This Row],[Spec Type2]]="N/A",Table1[[#This Row],[DUT Adj Read]]="N/A",Table1[[#This Row],[Std Adj Read]]="N/A"),"N/A",IF(Table1[[#This Row],[DUT Adj Read]]="N/A",IF(Table1[[#This Row],[Std Adj Read]]&gt;=Table1[[#This Row],[Low Tol]],"Pass","Fail"),IF(Table1[[#This Row],[DUT Adj Read]]&gt;=Table1[[#This Row],[Low Tol]],"Pass","Fail")))</f>
        <v>Pass</v>
      </c>
      <c r="AG835" s="1" t="str">
        <f>IF(AND(Table1[[#This Row],[Spec Type2]]="N/A",Table1[[#This Row],[DUT Adj Read]]="N/A",Table1[[#This Row],[Std Adj Read]]="N/A"),"N/A",IF(Table1[[#This Row],[DUT Adj Read]]="N/A",IF(Table1[[#This Row],[Std Adj Read]]&lt;=Table1[[#This Row],[High Tol]],"Pass","Fail"),IF(Table1[[#This Row],[DUT Adj Read]]&lt;=Table1[[#This Row],[High Tol]],"Pass","Fail")))</f>
        <v>Fail</v>
      </c>
      <c r="AH8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5" s="1" t="b">
        <v>0</v>
      </c>
      <c r="AN835" s="1" t="b">
        <v>0</v>
      </c>
      <c r="AO835" s="1" t="b">
        <v>0</v>
      </c>
    </row>
    <row r="836" spans="1:41" x14ac:dyDescent="0.25">
      <c r="A836" s="10"/>
      <c r="B836" s="10"/>
      <c r="C836" s="10"/>
      <c r="D836" s="10"/>
      <c r="E836" s="10"/>
      <c r="F836" s="10"/>
      <c r="G836" s="10"/>
      <c r="H836" s="10"/>
      <c r="I836" s="1" t="str">
        <f t="shared" si="36"/>
        <v/>
      </c>
      <c r="J836" s="1" t="s">
        <v>35</v>
      </c>
      <c r="K836" s="1" t="str">
        <f t="shared" si="37"/>
        <v/>
      </c>
      <c r="L836" s="1" t="str">
        <f t="shared" si="38"/>
        <v/>
      </c>
      <c r="M836" s="1">
        <f>IF(OR(Table1[[#This Row],[Std Nom]]="",Table1[[#This Row],[Std Read]]=""),0,Table1[[#This Row],[Std Nom]]-Table1[[#This Row],[Std Read]])</f>
        <v>0</v>
      </c>
      <c r="N836" s="1">
        <f>IF(Calculations!$F$5="ACCREDITED 17025 WITH UNCERTAINTIES",$N$10,0)</f>
        <v>0</v>
      </c>
      <c r="O836" s="1" t="str">
        <f>IFERROR(Table1[[#This Row],[Std Nom]]-(_xlfn.XLOOKUP(Table1[[#This Row],[Manufacturer]]&amp;" "&amp;Table1[[#This Row],[Model]],Table13[MFR &amp; MDL],Table13[Tolerance % CW ],"")/100*Table1[[#This Row],[Std Nom]]),"")</f>
        <v/>
      </c>
      <c r="P836" s="1" t="str">
        <f>IFERROR(Table1[[#This Row],[Std Nom]]+(_xlfn.XLOOKUP(Table1[[#This Row],[Manufacturer]]&amp;" "&amp;Table1[[#This Row],[Model]],Table13[MFR &amp; MDL],Table13[Tolerance % CW ],"")/100*Table1[[#This Row],[Std Nom]]),"")</f>
        <v/>
      </c>
      <c r="Q836" s="1" t="e">
        <f>Table1[[#This Row],[High Tol]]-Table1[[#This Row],[Low Tol]]</f>
        <v>#VALUE!</v>
      </c>
      <c r="R836" s="1">
        <f>2*Table1[[#This Row],[Std Error]]</f>
        <v>0</v>
      </c>
      <c r="S836" s="1" t="str">
        <f>IF(Table1[[#This Row],[High Tol]]="","N/A",IFERROR(ABS(Table1[[#This Row],[Tol Span]]/Table1[[#This Row],[Error Span]]),"N/A"))</f>
        <v>N/A</v>
      </c>
      <c r="T836" s="1" t="str">
        <f>IF(OR(Table1[[#This Row],[Low Tol]]="",Table1[[#This Row],[High Tol]]=""),"Needs Analysis",IF(Table1[[#This Row],[Ratio]]&gt;=4,"Not Significant",IF(Table1[[#This Row],[Ratio]]&gt;=2,"Semi-Significant","Significant")))</f>
        <v>Needs Analysis</v>
      </c>
      <c r="W836" s="1">
        <f>IF(Table1[[#This Row],[Cal Type]]&lt;&gt;"ACCREDITED 17025 WITH UNCERTAINTIES",0,"")</f>
        <v>0</v>
      </c>
      <c r="X836" s="1" t="str">
        <f>IF(Table1[[#This Row],[DUT Read]]="","N/A",Table1[[#This Row],[Std Error]]+Table1[[#This Row],[DUT Read]]+Table1[[#This Row],[DUT Ucty]])</f>
        <v>N/A</v>
      </c>
      <c r="Y836" s="1" t="str">
        <f>IF(Table1[[#This Row],[Std Read]]="","N/A",Table1[[#This Row],[Std Read]]+Table1[[#This Row],[Std Ucty]])</f>
        <v>N/A</v>
      </c>
      <c r="Z8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6" s="1" t="str">
        <f>IF(Table1[[#This Row],[Spec Type]]="","N/A",Table1[[#This Row],[Spec Type]])</f>
        <v>±</v>
      </c>
      <c r="AC836" s="1" t="str">
        <f>IF(Table1[[#This Row],[Spec Type2]]="N/A","N/A",IF(AND(Table1[[#This Row],[DUT Adj Read]]&gt;=Table1[[#This Row],[Low Tol]],Table1[[#This Row],[DUT Adj Read]]&lt;=Table1[[#This Row],[High Tol]]),"Pass","Fail"))</f>
        <v>Fail</v>
      </c>
      <c r="AD836" s="1" t="str">
        <f>IF(AND(Table1[[#This Row],[Spec Type2]]="N/A",Table1[[#This Row],[DUT Adj Read]]="N/A",Table1[[#This Row],[Std Adj Read]]="N/A"),"N/A",IF(Table1[[#This Row],[DUT Adj Read]]="N/A",IF(Table1[[#This Row],[Std Adj Read]]&gt;Table1[[#This Row],[Low Tol]],"Pass","Fail"),IF(Table1[[#This Row],[DUT Adj Read]]&gt;Table1[[#This Row],[Low Tol]],"Pass","Fail")))</f>
        <v>Pass</v>
      </c>
      <c r="AE836" s="1" t="str">
        <f>IF(AND(Table1[[#This Row],[Spec Type2]]="N/A",Table1[[#This Row],[DUT Adj Read]]="N/A",Table1[[#This Row],[Std Adj Read]]="N/A"),"N/A",IF(Table1[[#This Row],[DUT Adj Read]]="N/A",IF(Table1[[#This Row],[Std Adj Read]]&lt;Table1[[#This Row],[High Tol]],"Pass","Fail"),IF(Table1[[#This Row],[DUT Adj Read]]&lt;Table1[[#This Row],[High Tol]],"Pass","Fail")))</f>
        <v>Fail</v>
      </c>
      <c r="AF836" s="1" t="str">
        <f>IF(AND(Table1[[#This Row],[Spec Type2]]="N/A",Table1[[#This Row],[DUT Adj Read]]="N/A",Table1[[#This Row],[Std Adj Read]]="N/A"),"N/A",IF(Table1[[#This Row],[DUT Adj Read]]="N/A",IF(Table1[[#This Row],[Std Adj Read]]&gt;=Table1[[#This Row],[Low Tol]],"Pass","Fail"),IF(Table1[[#This Row],[DUT Adj Read]]&gt;=Table1[[#This Row],[Low Tol]],"Pass","Fail")))</f>
        <v>Pass</v>
      </c>
      <c r="AG836" s="1" t="str">
        <f>IF(AND(Table1[[#This Row],[Spec Type2]]="N/A",Table1[[#This Row],[DUT Adj Read]]="N/A",Table1[[#This Row],[Std Adj Read]]="N/A"),"N/A",IF(Table1[[#This Row],[DUT Adj Read]]="N/A",IF(Table1[[#This Row],[Std Adj Read]]&lt;=Table1[[#This Row],[High Tol]],"Pass","Fail"),IF(Table1[[#This Row],[DUT Adj Read]]&lt;=Table1[[#This Row],[High Tol]],"Pass","Fail")))</f>
        <v>Fail</v>
      </c>
      <c r="AH8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6" s="1" t="b">
        <v>0</v>
      </c>
      <c r="AN836" s="1" t="b">
        <v>0</v>
      </c>
      <c r="AO836" s="1" t="b">
        <v>0</v>
      </c>
    </row>
    <row r="837" spans="1:41" x14ac:dyDescent="0.25">
      <c r="A837" s="10"/>
      <c r="B837" s="10"/>
      <c r="C837" s="10"/>
      <c r="D837" s="10"/>
      <c r="E837" s="10"/>
      <c r="F837" s="10"/>
      <c r="G837" s="10"/>
      <c r="H837" s="10"/>
      <c r="I837" s="1" t="str">
        <f t="shared" si="36"/>
        <v/>
      </c>
      <c r="J837" s="1" t="s">
        <v>35</v>
      </c>
      <c r="K837" s="1" t="str">
        <f t="shared" si="37"/>
        <v/>
      </c>
      <c r="L837" s="1" t="str">
        <f t="shared" si="38"/>
        <v/>
      </c>
      <c r="M837" s="1">
        <f>IF(OR(Table1[[#This Row],[Std Nom]]="",Table1[[#This Row],[Std Read]]=""),0,Table1[[#This Row],[Std Nom]]-Table1[[#This Row],[Std Read]])</f>
        <v>0</v>
      </c>
      <c r="N837" s="1">
        <f>IF(Calculations!$F$5="ACCREDITED 17025 WITH UNCERTAINTIES",$N$10,0)</f>
        <v>0</v>
      </c>
      <c r="O837" s="1" t="str">
        <f>IFERROR(Table1[[#This Row],[Std Nom]]-(_xlfn.XLOOKUP(Table1[[#This Row],[Manufacturer]]&amp;" "&amp;Table1[[#This Row],[Model]],Table13[MFR &amp; MDL],Table13[Tolerance % CW ],"")/100*Table1[[#This Row],[Std Nom]]),"")</f>
        <v/>
      </c>
      <c r="P837" s="1" t="str">
        <f>IFERROR(Table1[[#This Row],[Std Nom]]+(_xlfn.XLOOKUP(Table1[[#This Row],[Manufacturer]]&amp;" "&amp;Table1[[#This Row],[Model]],Table13[MFR &amp; MDL],Table13[Tolerance % CW ],"")/100*Table1[[#This Row],[Std Nom]]),"")</f>
        <v/>
      </c>
      <c r="Q837" s="1" t="e">
        <f>Table1[[#This Row],[High Tol]]-Table1[[#This Row],[Low Tol]]</f>
        <v>#VALUE!</v>
      </c>
      <c r="R837" s="1">
        <f>2*Table1[[#This Row],[Std Error]]</f>
        <v>0</v>
      </c>
      <c r="S837" s="1" t="str">
        <f>IF(Table1[[#This Row],[High Tol]]="","N/A",IFERROR(ABS(Table1[[#This Row],[Tol Span]]/Table1[[#This Row],[Error Span]]),"N/A"))</f>
        <v>N/A</v>
      </c>
      <c r="T837" s="1" t="str">
        <f>IF(OR(Table1[[#This Row],[Low Tol]]="",Table1[[#This Row],[High Tol]]=""),"Needs Analysis",IF(Table1[[#This Row],[Ratio]]&gt;=4,"Not Significant",IF(Table1[[#This Row],[Ratio]]&gt;=2,"Semi-Significant","Significant")))</f>
        <v>Needs Analysis</v>
      </c>
      <c r="W837" s="1">
        <f>IF(Table1[[#This Row],[Cal Type]]&lt;&gt;"ACCREDITED 17025 WITH UNCERTAINTIES",0,"")</f>
        <v>0</v>
      </c>
      <c r="X837" s="1" t="str">
        <f>IF(Table1[[#This Row],[DUT Read]]="","N/A",Table1[[#This Row],[Std Error]]+Table1[[#This Row],[DUT Read]]+Table1[[#This Row],[DUT Ucty]])</f>
        <v>N/A</v>
      </c>
      <c r="Y837" s="1" t="str">
        <f>IF(Table1[[#This Row],[Std Read]]="","N/A",Table1[[#This Row],[Std Read]]+Table1[[#This Row],[Std Ucty]])</f>
        <v>N/A</v>
      </c>
      <c r="Z8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7" s="1" t="str">
        <f>IF(Table1[[#This Row],[Spec Type]]="","N/A",Table1[[#This Row],[Spec Type]])</f>
        <v>±</v>
      </c>
      <c r="AC837" s="1" t="str">
        <f>IF(Table1[[#This Row],[Spec Type2]]="N/A","N/A",IF(AND(Table1[[#This Row],[DUT Adj Read]]&gt;=Table1[[#This Row],[Low Tol]],Table1[[#This Row],[DUT Adj Read]]&lt;=Table1[[#This Row],[High Tol]]),"Pass","Fail"))</f>
        <v>Fail</v>
      </c>
      <c r="AD837" s="1" t="str">
        <f>IF(AND(Table1[[#This Row],[Spec Type2]]="N/A",Table1[[#This Row],[DUT Adj Read]]="N/A",Table1[[#This Row],[Std Adj Read]]="N/A"),"N/A",IF(Table1[[#This Row],[DUT Adj Read]]="N/A",IF(Table1[[#This Row],[Std Adj Read]]&gt;Table1[[#This Row],[Low Tol]],"Pass","Fail"),IF(Table1[[#This Row],[DUT Adj Read]]&gt;Table1[[#This Row],[Low Tol]],"Pass","Fail")))</f>
        <v>Pass</v>
      </c>
      <c r="AE837" s="1" t="str">
        <f>IF(AND(Table1[[#This Row],[Spec Type2]]="N/A",Table1[[#This Row],[DUT Adj Read]]="N/A",Table1[[#This Row],[Std Adj Read]]="N/A"),"N/A",IF(Table1[[#This Row],[DUT Adj Read]]="N/A",IF(Table1[[#This Row],[Std Adj Read]]&lt;Table1[[#This Row],[High Tol]],"Pass","Fail"),IF(Table1[[#This Row],[DUT Adj Read]]&lt;Table1[[#This Row],[High Tol]],"Pass","Fail")))</f>
        <v>Fail</v>
      </c>
      <c r="AF837" s="1" t="str">
        <f>IF(AND(Table1[[#This Row],[Spec Type2]]="N/A",Table1[[#This Row],[DUT Adj Read]]="N/A",Table1[[#This Row],[Std Adj Read]]="N/A"),"N/A",IF(Table1[[#This Row],[DUT Adj Read]]="N/A",IF(Table1[[#This Row],[Std Adj Read]]&gt;=Table1[[#This Row],[Low Tol]],"Pass","Fail"),IF(Table1[[#This Row],[DUT Adj Read]]&gt;=Table1[[#This Row],[Low Tol]],"Pass","Fail")))</f>
        <v>Pass</v>
      </c>
      <c r="AG837" s="1" t="str">
        <f>IF(AND(Table1[[#This Row],[Spec Type2]]="N/A",Table1[[#This Row],[DUT Adj Read]]="N/A",Table1[[#This Row],[Std Adj Read]]="N/A"),"N/A",IF(Table1[[#This Row],[DUT Adj Read]]="N/A",IF(Table1[[#This Row],[Std Adj Read]]&lt;=Table1[[#This Row],[High Tol]],"Pass","Fail"),IF(Table1[[#This Row],[DUT Adj Read]]&lt;=Table1[[#This Row],[High Tol]],"Pass","Fail")))</f>
        <v>Fail</v>
      </c>
      <c r="AH8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7" s="1" t="b">
        <v>0</v>
      </c>
      <c r="AN837" s="1" t="b">
        <v>0</v>
      </c>
      <c r="AO837" s="1" t="b">
        <v>0</v>
      </c>
    </row>
    <row r="838" spans="1:41" x14ac:dyDescent="0.25">
      <c r="A838" s="10"/>
      <c r="B838" s="10"/>
      <c r="C838" s="10"/>
      <c r="D838" s="10"/>
      <c r="E838" s="10"/>
      <c r="F838" s="10"/>
      <c r="G838" s="10"/>
      <c r="H838" s="10"/>
      <c r="I838" s="1" t="str">
        <f t="shared" si="36"/>
        <v/>
      </c>
      <c r="J838" s="1" t="s">
        <v>35</v>
      </c>
      <c r="K838" s="1" t="str">
        <f t="shared" si="37"/>
        <v/>
      </c>
      <c r="L838" s="1" t="str">
        <f t="shared" si="38"/>
        <v/>
      </c>
      <c r="M838" s="1">
        <f>IF(OR(Table1[[#This Row],[Std Nom]]="",Table1[[#This Row],[Std Read]]=""),0,Table1[[#This Row],[Std Nom]]-Table1[[#This Row],[Std Read]])</f>
        <v>0</v>
      </c>
      <c r="N838" s="1">
        <f>IF(Calculations!$F$5="ACCREDITED 17025 WITH UNCERTAINTIES",$N$10,0)</f>
        <v>0</v>
      </c>
      <c r="O838" s="1" t="str">
        <f>IFERROR(Table1[[#This Row],[Std Nom]]-(_xlfn.XLOOKUP(Table1[[#This Row],[Manufacturer]]&amp;" "&amp;Table1[[#This Row],[Model]],Table13[MFR &amp; MDL],Table13[Tolerance % CW ],"")/100*Table1[[#This Row],[Std Nom]]),"")</f>
        <v/>
      </c>
      <c r="P838" s="1" t="str">
        <f>IFERROR(Table1[[#This Row],[Std Nom]]+(_xlfn.XLOOKUP(Table1[[#This Row],[Manufacturer]]&amp;" "&amp;Table1[[#This Row],[Model]],Table13[MFR &amp; MDL],Table13[Tolerance % CW ],"")/100*Table1[[#This Row],[Std Nom]]),"")</f>
        <v/>
      </c>
      <c r="Q838" s="1" t="e">
        <f>Table1[[#This Row],[High Tol]]-Table1[[#This Row],[Low Tol]]</f>
        <v>#VALUE!</v>
      </c>
      <c r="R838" s="1">
        <f>2*Table1[[#This Row],[Std Error]]</f>
        <v>0</v>
      </c>
      <c r="S838" s="1" t="str">
        <f>IF(Table1[[#This Row],[High Tol]]="","N/A",IFERROR(ABS(Table1[[#This Row],[Tol Span]]/Table1[[#This Row],[Error Span]]),"N/A"))</f>
        <v>N/A</v>
      </c>
      <c r="T838" s="1" t="str">
        <f>IF(OR(Table1[[#This Row],[Low Tol]]="",Table1[[#This Row],[High Tol]]=""),"Needs Analysis",IF(Table1[[#This Row],[Ratio]]&gt;=4,"Not Significant",IF(Table1[[#This Row],[Ratio]]&gt;=2,"Semi-Significant","Significant")))</f>
        <v>Needs Analysis</v>
      </c>
      <c r="W838" s="1">
        <f>IF(Table1[[#This Row],[Cal Type]]&lt;&gt;"ACCREDITED 17025 WITH UNCERTAINTIES",0,"")</f>
        <v>0</v>
      </c>
      <c r="X838" s="1" t="str">
        <f>IF(Table1[[#This Row],[DUT Read]]="","N/A",Table1[[#This Row],[Std Error]]+Table1[[#This Row],[DUT Read]]+Table1[[#This Row],[DUT Ucty]])</f>
        <v>N/A</v>
      </c>
      <c r="Y838" s="1" t="str">
        <f>IF(Table1[[#This Row],[Std Read]]="","N/A",Table1[[#This Row],[Std Read]]+Table1[[#This Row],[Std Ucty]])</f>
        <v>N/A</v>
      </c>
      <c r="Z8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8" s="1" t="str">
        <f>IF(Table1[[#This Row],[Spec Type]]="","N/A",Table1[[#This Row],[Spec Type]])</f>
        <v>±</v>
      </c>
      <c r="AC838" s="1" t="str">
        <f>IF(Table1[[#This Row],[Spec Type2]]="N/A","N/A",IF(AND(Table1[[#This Row],[DUT Adj Read]]&gt;=Table1[[#This Row],[Low Tol]],Table1[[#This Row],[DUT Adj Read]]&lt;=Table1[[#This Row],[High Tol]]),"Pass","Fail"))</f>
        <v>Fail</v>
      </c>
      <c r="AD838" s="1" t="str">
        <f>IF(AND(Table1[[#This Row],[Spec Type2]]="N/A",Table1[[#This Row],[DUT Adj Read]]="N/A",Table1[[#This Row],[Std Adj Read]]="N/A"),"N/A",IF(Table1[[#This Row],[DUT Adj Read]]="N/A",IF(Table1[[#This Row],[Std Adj Read]]&gt;Table1[[#This Row],[Low Tol]],"Pass","Fail"),IF(Table1[[#This Row],[DUT Adj Read]]&gt;Table1[[#This Row],[Low Tol]],"Pass","Fail")))</f>
        <v>Pass</v>
      </c>
      <c r="AE838" s="1" t="str">
        <f>IF(AND(Table1[[#This Row],[Spec Type2]]="N/A",Table1[[#This Row],[DUT Adj Read]]="N/A",Table1[[#This Row],[Std Adj Read]]="N/A"),"N/A",IF(Table1[[#This Row],[DUT Adj Read]]="N/A",IF(Table1[[#This Row],[Std Adj Read]]&lt;Table1[[#This Row],[High Tol]],"Pass","Fail"),IF(Table1[[#This Row],[DUT Adj Read]]&lt;Table1[[#This Row],[High Tol]],"Pass","Fail")))</f>
        <v>Fail</v>
      </c>
      <c r="AF838" s="1" t="str">
        <f>IF(AND(Table1[[#This Row],[Spec Type2]]="N/A",Table1[[#This Row],[DUT Adj Read]]="N/A",Table1[[#This Row],[Std Adj Read]]="N/A"),"N/A",IF(Table1[[#This Row],[DUT Adj Read]]="N/A",IF(Table1[[#This Row],[Std Adj Read]]&gt;=Table1[[#This Row],[Low Tol]],"Pass","Fail"),IF(Table1[[#This Row],[DUT Adj Read]]&gt;=Table1[[#This Row],[Low Tol]],"Pass","Fail")))</f>
        <v>Pass</v>
      </c>
      <c r="AG838" s="1" t="str">
        <f>IF(AND(Table1[[#This Row],[Spec Type2]]="N/A",Table1[[#This Row],[DUT Adj Read]]="N/A",Table1[[#This Row],[Std Adj Read]]="N/A"),"N/A",IF(Table1[[#This Row],[DUT Adj Read]]="N/A",IF(Table1[[#This Row],[Std Adj Read]]&lt;=Table1[[#This Row],[High Tol]],"Pass","Fail"),IF(Table1[[#This Row],[DUT Adj Read]]&lt;=Table1[[#This Row],[High Tol]],"Pass","Fail")))</f>
        <v>Fail</v>
      </c>
      <c r="AH8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8" s="1" t="b">
        <v>0</v>
      </c>
      <c r="AN838" s="1" t="b">
        <v>0</v>
      </c>
      <c r="AO838" s="1" t="b">
        <v>0</v>
      </c>
    </row>
    <row r="839" spans="1:41" x14ac:dyDescent="0.25">
      <c r="A839" s="10"/>
      <c r="B839" s="10"/>
      <c r="C839" s="10"/>
      <c r="D839" s="10"/>
      <c r="E839" s="10"/>
      <c r="F839" s="10"/>
      <c r="G839" s="10"/>
      <c r="H839" s="10"/>
      <c r="I839" s="1" t="str">
        <f t="shared" si="36"/>
        <v/>
      </c>
      <c r="J839" s="1" t="s">
        <v>35</v>
      </c>
      <c r="K839" s="1" t="str">
        <f t="shared" si="37"/>
        <v/>
      </c>
      <c r="L839" s="1" t="str">
        <f t="shared" si="38"/>
        <v/>
      </c>
      <c r="M839" s="1">
        <f>IF(OR(Table1[[#This Row],[Std Nom]]="",Table1[[#This Row],[Std Read]]=""),0,Table1[[#This Row],[Std Nom]]-Table1[[#This Row],[Std Read]])</f>
        <v>0</v>
      </c>
      <c r="N839" s="1">
        <f>IF(Calculations!$F$5="ACCREDITED 17025 WITH UNCERTAINTIES",$N$10,0)</f>
        <v>0</v>
      </c>
      <c r="O839" s="1" t="str">
        <f>IFERROR(Table1[[#This Row],[Std Nom]]-(_xlfn.XLOOKUP(Table1[[#This Row],[Manufacturer]]&amp;" "&amp;Table1[[#This Row],[Model]],Table13[MFR &amp; MDL],Table13[Tolerance % CW ],"")/100*Table1[[#This Row],[Std Nom]]),"")</f>
        <v/>
      </c>
      <c r="P839" s="1" t="str">
        <f>IFERROR(Table1[[#This Row],[Std Nom]]+(_xlfn.XLOOKUP(Table1[[#This Row],[Manufacturer]]&amp;" "&amp;Table1[[#This Row],[Model]],Table13[MFR &amp; MDL],Table13[Tolerance % CW ],"")/100*Table1[[#This Row],[Std Nom]]),"")</f>
        <v/>
      </c>
      <c r="Q839" s="1" t="e">
        <f>Table1[[#This Row],[High Tol]]-Table1[[#This Row],[Low Tol]]</f>
        <v>#VALUE!</v>
      </c>
      <c r="R839" s="1">
        <f>2*Table1[[#This Row],[Std Error]]</f>
        <v>0</v>
      </c>
      <c r="S839" s="1" t="str">
        <f>IF(Table1[[#This Row],[High Tol]]="","N/A",IFERROR(ABS(Table1[[#This Row],[Tol Span]]/Table1[[#This Row],[Error Span]]),"N/A"))</f>
        <v>N/A</v>
      </c>
      <c r="T839" s="1" t="str">
        <f>IF(OR(Table1[[#This Row],[Low Tol]]="",Table1[[#This Row],[High Tol]]=""),"Needs Analysis",IF(Table1[[#This Row],[Ratio]]&gt;=4,"Not Significant",IF(Table1[[#This Row],[Ratio]]&gt;=2,"Semi-Significant","Significant")))</f>
        <v>Needs Analysis</v>
      </c>
      <c r="W839" s="1">
        <f>IF(Table1[[#This Row],[Cal Type]]&lt;&gt;"ACCREDITED 17025 WITH UNCERTAINTIES",0,"")</f>
        <v>0</v>
      </c>
      <c r="X839" s="1" t="str">
        <f>IF(Table1[[#This Row],[DUT Read]]="","N/A",Table1[[#This Row],[Std Error]]+Table1[[#This Row],[DUT Read]]+Table1[[#This Row],[DUT Ucty]])</f>
        <v>N/A</v>
      </c>
      <c r="Y839" s="1" t="str">
        <f>IF(Table1[[#This Row],[Std Read]]="","N/A",Table1[[#This Row],[Std Read]]+Table1[[#This Row],[Std Ucty]])</f>
        <v>N/A</v>
      </c>
      <c r="Z8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9" s="1" t="str">
        <f>IF(Table1[[#This Row],[Spec Type]]="","N/A",Table1[[#This Row],[Spec Type]])</f>
        <v>±</v>
      </c>
      <c r="AC839" s="1" t="str">
        <f>IF(Table1[[#This Row],[Spec Type2]]="N/A","N/A",IF(AND(Table1[[#This Row],[DUT Adj Read]]&gt;=Table1[[#This Row],[Low Tol]],Table1[[#This Row],[DUT Adj Read]]&lt;=Table1[[#This Row],[High Tol]]),"Pass","Fail"))</f>
        <v>Fail</v>
      </c>
      <c r="AD839" s="1" t="str">
        <f>IF(AND(Table1[[#This Row],[Spec Type2]]="N/A",Table1[[#This Row],[DUT Adj Read]]="N/A",Table1[[#This Row],[Std Adj Read]]="N/A"),"N/A",IF(Table1[[#This Row],[DUT Adj Read]]="N/A",IF(Table1[[#This Row],[Std Adj Read]]&gt;Table1[[#This Row],[Low Tol]],"Pass","Fail"),IF(Table1[[#This Row],[DUT Adj Read]]&gt;Table1[[#This Row],[Low Tol]],"Pass","Fail")))</f>
        <v>Pass</v>
      </c>
      <c r="AE839" s="1" t="str">
        <f>IF(AND(Table1[[#This Row],[Spec Type2]]="N/A",Table1[[#This Row],[DUT Adj Read]]="N/A",Table1[[#This Row],[Std Adj Read]]="N/A"),"N/A",IF(Table1[[#This Row],[DUT Adj Read]]="N/A",IF(Table1[[#This Row],[Std Adj Read]]&lt;Table1[[#This Row],[High Tol]],"Pass","Fail"),IF(Table1[[#This Row],[DUT Adj Read]]&lt;Table1[[#This Row],[High Tol]],"Pass","Fail")))</f>
        <v>Fail</v>
      </c>
      <c r="AF839" s="1" t="str">
        <f>IF(AND(Table1[[#This Row],[Spec Type2]]="N/A",Table1[[#This Row],[DUT Adj Read]]="N/A",Table1[[#This Row],[Std Adj Read]]="N/A"),"N/A",IF(Table1[[#This Row],[DUT Adj Read]]="N/A",IF(Table1[[#This Row],[Std Adj Read]]&gt;=Table1[[#This Row],[Low Tol]],"Pass","Fail"),IF(Table1[[#This Row],[DUT Adj Read]]&gt;=Table1[[#This Row],[Low Tol]],"Pass","Fail")))</f>
        <v>Pass</v>
      </c>
      <c r="AG839" s="1" t="str">
        <f>IF(AND(Table1[[#This Row],[Spec Type2]]="N/A",Table1[[#This Row],[DUT Adj Read]]="N/A",Table1[[#This Row],[Std Adj Read]]="N/A"),"N/A",IF(Table1[[#This Row],[DUT Adj Read]]="N/A",IF(Table1[[#This Row],[Std Adj Read]]&lt;=Table1[[#This Row],[High Tol]],"Pass","Fail"),IF(Table1[[#This Row],[DUT Adj Read]]&lt;=Table1[[#This Row],[High Tol]],"Pass","Fail")))</f>
        <v>Fail</v>
      </c>
      <c r="AH8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9" s="1" t="b">
        <v>0</v>
      </c>
      <c r="AN839" s="1" t="b">
        <v>0</v>
      </c>
      <c r="AO839" s="1" t="b">
        <v>0</v>
      </c>
    </row>
    <row r="840" spans="1:41" x14ac:dyDescent="0.25">
      <c r="A840" s="10"/>
      <c r="B840" s="10"/>
      <c r="C840" s="10"/>
      <c r="D840" s="10"/>
      <c r="E840" s="10"/>
      <c r="F840" s="10"/>
      <c r="G840" s="10"/>
      <c r="H840" s="10"/>
      <c r="I840" s="1" t="str">
        <f t="shared" si="36"/>
        <v/>
      </c>
      <c r="J840" s="1" t="s">
        <v>35</v>
      </c>
      <c r="K840" s="1" t="str">
        <f t="shared" si="37"/>
        <v/>
      </c>
      <c r="L840" s="1" t="str">
        <f t="shared" si="38"/>
        <v/>
      </c>
      <c r="M840" s="1">
        <f>IF(OR(Table1[[#This Row],[Std Nom]]="",Table1[[#This Row],[Std Read]]=""),0,Table1[[#This Row],[Std Nom]]-Table1[[#This Row],[Std Read]])</f>
        <v>0</v>
      </c>
      <c r="N840" s="1">
        <f>IF(Calculations!$F$5="ACCREDITED 17025 WITH UNCERTAINTIES",$N$10,0)</f>
        <v>0</v>
      </c>
      <c r="O840" s="1" t="str">
        <f>IFERROR(Table1[[#This Row],[Std Nom]]-(_xlfn.XLOOKUP(Table1[[#This Row],[Manufacturer]]&amp;" "&amp;Table1[[#This Row],[Model]],Table13[MFR &amp; MDL],Table13[Tolerance % CW ],"")/100*Table1[[#This Row],[Std Nom]]),"")</f>
        <v/>
      </c>
      <c r="P840" s="1" t="str">
        <f>IFERROR(Table1[[#This Row],[Std Nom]]+(_xlfn.XLOOKUP(Table1[[#This Row],[Manufacturer]]&amp;" "&amp;Table1[[#This Row],[Model]],Table13[MFR &amp; MDL],Table13[Tolerance % CW ],"")/100*Table1[[#This Row],[Std Nom]]),"")</f>
        <v/>
      </c>
      <c r="Q840" s="1" t="e">
        <f>Table1[[#This Row],[High Tol]]-Table1[[#This Row],[Low Tol]]</f>
        <v>#VALUE!</v>
      </c>
      <c r="R840" s="1">
        <f>2*Table1[[#This Row],[Std Error]]</f>
        <v>0</v>
      </c>
      <c r="S840" s="1" t="str">
        <f>IF(Table1[[#This Row],[High Tol]]="","N/A",IFERROR(ABS(Table1[[#This Row],[Tol Span]]/Table1[[#This Row],[Error Span]]),"N/A"))</f>
        <v>N/A</v>
      </c>
      <c r="T840" s="1" t="str">
        <f>IF(OR(Table1[[#This Row],[Low Tol]]="",Table1[[#This Row],[High Tol]]=""),"Needs Analysis",IF(Table1[[#This Row],[Ratio]]&gt;=4,"Not Significant",IF(Table1[[#This Row],[Ratio]]&gt;=2,"Semi-Significant","Significant")))</f>
        <v>Needs Analysis</v>
      </c>
      <c r="W840" s="1">
        <f>IF(Table1[[#This Row],[Cal Type]]&lt;&gt;"ACCREDITED 17025 WITH UNCERTAINTIES",0,"")</f>
        <v>0</v>
      </c>
      <c r="X840" s="1" t="str">
        <f>IF(Table1[[#This Row],[DUT Read]]="","N/A",Table1[[#This Row],[Std Error]]+Table1[[#This Row],[DUT Read]]+Table1[[#This Row],[DUT Ucty]])</f>
        <v>N/A</v>
      </c>
      <c r="Y840" s="1" t="str">
        <f>IF(Table1[[#This Row],[Std Read]]="","N/A",Table1[[#This Row],[Std Read]]+Table1[[#This Row],[Std Ucty]])</f>
        <v>N/A</v>
      </c>
      <c r="Z8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0" s="1" t="str">
        <f>IF(Table1[[#This Row],[Spec Type]]="","N/A",Table1[[#This Row],[Spec Type]])</f>
        <v>±</v>
      </c>
      <c r="AC840" s="1" t="str">
        <f>IF(Table1[[#This Row],[Spec Type2]]="N/A","N/A",IF(AND(Table1[[#This Row],[DUT Adj Read]]&gt;=Table1[[#This Row],[Low Tol]],Table1[[#This Row],[DUT Adj Read]]&lt;=Table1[[#This Row],[High Tol]]),"Pass","Fail"))</f>
        <v>Fail</v>
      </c>
      <c r="AD840" s="1" t="str">
        <f>IF(AND(Table1[[#This Row],[Spec Type2]]="N/A",Table1[[#This Row],[DUT Adj Read]]="N/A",Table1[[#This Row],[Std Adj Read]]="N/A"),"N/A",IF(Table1[[#This Row],[DUT Adj Read]]="N/A",IF(Table1[[#This Row],[Std Adj Read]]&gt;Table1[[#This Row],[Low Tol]],"Pass","Fail"),IF(Table1[[#This Row],[DUT Adj Read]]&gt;Table1[[#This Row],[Low Tol]],"Pass","Fail")))</f>
        <v>Pass</v>
      </c>
      <c r="AE840" s="1" t="str">
        <f>IF(AND(Table1[[#This Row],[Spec Type2]]="N/A",Table1[[#This Row],[DUT Adj Read]]="N/A",Table1[[#This Row],[Std Adj Read]]="N/A"),"N/A",IF(Table1[[#This Row],[DUT Adj Read]]="N/A",IF(Table1[[#This Row],[Std Adj Read]]&lt;Table1[[#This Row],[High Tol]],"Pass","Fail"),IF(Table1[[#This Row],[DUT Adj Read]]&lt;Table1[[#This Row],[High Tol]],"Pass","Fail")))</f>
        <v>Fail</v>
      </c>
      <c r="AF840" s="1" t="str">
        <f>IF(AND(Table1[[#This Row],[Spec Type2]]="N/A",Table1[[#This Row],[DUT Adj Read]]="N/A",Table1[[#This Row],[Std Adj Read]]="N/A"),"N/A",IF(Table1[[#This Row],[DUT Adj Read]]="N/A",IF(Table1[[#This Row],[Std Adj Read]]&gt;=Table1[[#This Row],[Low Tol]],"Pass","Fail"),IF(Table1[[#This Row],[DUT Adj Read]]&gt;=Table1[[#This Row],[Low Tol]],"Pass","Fail")))</f>
        <v>Pass</v>
      </c>
      <c r="AG840" s="1" t="str">
        <f>IF(AND(Table1[[#This Row],[Spec Type2]]="N/A",Table1[[#This Row],[DUT Adj Read]]="N/A",Table1[[#This Row],[Std Adj Read]]="N/A"),"N/A",IF(Table1[[#This Row],[DUT Adj Read]]="N/A",IF(Table1[[#This Row],[Std Adj Read]]&lt;=Table1[[#This Row],[High Tol]],"Pass","Fail"),IF(Table1[[#This Row],[DUT Adj Read]]&lt;=Table1[[#This Row],[High Tol]],"Pass","Fail")))</f>
        <v>Fail</v>
      </c>
      <c r="AH8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0" s="1" t="b">
        <v>0</v>
      </c>
      <c r="AN840" s="1" t="b">
        <v>0</v>
      </c>
      <c r="AO840" s="1" t="b">
        <v>0</v>
      </c>
    </row>
    <row r="841" spans="1:41" x14ac:dyDescent="0.25">
      <c r="A841" s="10"/>
      <c r="B841" s="10"/>
      <c r="C841" s="10"/>
      <c r="D841" s="10"/>
      <c r="E841" s="10"/>
      <c r="F841" s="10"/>
      <c r="G841" s="10"/>
      <c r="H841" s="10"/>
      <c r="I841" s="1" t="str">
        <f t="shared" si="36"/>
        <v/>
      </c>
      <c r="J841" s="1" t="s">
        <v>35</v>
      </c>
      <c r="K841" s="1" t="str">
        <f t="shared" si="37"/>
        <v/>
      </c>
      <c r="L841" s="1" t="str">
        <f t="shared" si="38"/>
        <v/>
      </c>
      <c r="M841" s="1">
        <f>IF(OR(Table1[[#This Row],[Std Nom]]="",Table1[[#This Row],[Std Read]]=""),0,Table1[[#This Row],[Std Nom]]-Table1[[#This Row],[Std Read]])</f>
        <v>0</v>
      </c>
      <c r="N841" s="1">
        <f>IF(Calculations!$F$5="ACCREDITED 17025 WITH UNCERTAINTIES",$N$10,0)</f>
        <v>0</v>
      </c>
      <c r="O841" s="1" t="str">
        <f>IFERROR(Table1[[#This Row],[Std Nom]]-(_xlfn.XLOOKUP(Table1[[#This Row],[Manufacturer]]&amp;" "&amp;Table1[[#This Row],[Model]],Table13[MFR &amp; MDL],Table13[Tolerance % CW ],"")/100*Table1[[#This Row],[Std Nom]]),"")</f>
        <v/>
      </c>
      <c r="P841" s="1" t="str">
        <f>IFERROR(Table1[[#This Row],[Std Nom]]+(_xlfn.XLOOKUP(Table1[[#This Row],[Manufacturer]]&amp;" "&amp;Table1[[#This Row],[Model]],Table13[MFR &amp; MDL],Table13[Tolerance % CW ],"")/100*Table1[[#This Row],[Std Nom]]),"")</f>
        <v/>
      </c>
      <c r="Q841" s="1" t="e">
        <f>Table1[[#This Row],[High Tol]]-Table1[[#This Row],[Low Tol]]</f>
        <v>#VALUE!</v>
      </c>
      <c r="R841" s="1">
        <f>2*Table1[[#This Row],[Std Error]]</f>
        <v>0</v>
      </c>
      <c r="S841" s="1" t="str">
        <f>IF(Table1[[#This Row],[High Tol]]="","N/A",IFERROR(ABS(Table1[[#This Row],[Tol Span]]/Table1[[#This Row],[Error Span]]),"N/A"))</f>
        <v>N/A</v>
      </c>
      <c r="T841" s="1" t="str">
        <f>IF(OR(Table1[[#This Row],[Low Tol]]="",Table1[[#This Row],[High Tol]]=""),"Needs Analysis",IF(Table1[[#This Row],[Ratio]]&gt;=4,"Not Significant",IF(Table1[[#This Row],[Ratio]]&gt;=2,"Semi-Significant","Significant")))</f>
        <v>Needs Analysis</v>
      </c>
      <c r="W841" s="1">
        <f>IF(Table1[[#This Row],[Cal Type]]&lt;&gt;"ACCREDITED 17025 WITH UNCERTAINTIES",0,"")</f>
        <v>0</v>
      </c>
      <c r="X841" s="1" t="str">
        <f>IF(Table1[[#This Row],[DUT Read]]="","N/A",Table1[[#This Row],[Std Error]]+Table1[[#This Row],[DUT Read]]+Table1[[#This Row],[DUT Ucty]])</f>
        <v>N/A</v>
      </c>
      <c r="Y841" s="1" t="str">
        <f>IF(Table1[[#This Row],[Std Read]]="","N/A",Table1[[#This Row],[Std Read]]+Table1[[#This Row],[Std Ucty]])</f>
        <v>N/A</v>
      </c>
      <c r="Z8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1" s="1" t="str">
        <f>IF(Table1[[#This Row],[Spec Type]]="","N/A",Table1[[#This Row],[Spec Type]])</f>
        <v>±</v>
      </c>
      <c r="AC841" s="1" t="str">
        <f>IF(Table1[[#This Row],[Spec Type2]]="N/A","N/A",IF(AND(Table1[[#This Row],[DUT Adj Read]]&gt;=Table1[[#This Row],[Low Tol]],Table1[[#This Row],[DUT Adj Read]]&lt;=Table1[[#This Row],[High Tol]]),"Pass","Fail"))</f>
        <v>Fail</v>
      </c>
      <c r="AD841" s="1" t="str">
        <f>IF(AND(Table1[[#This Row],[Spec Type2]]="N/A",Table1[[#This Row],[DUT Adj Read]]="N/A",Table1[[#This Row],[Std Adj Read]]="N/A"),"N/A",IF(Table1[[#This Row],[DUT Adj Read]]="N/A",IF(Table1[[#This Row],[Std Adj Read]]&gt;Table1[[#This Row],[Low Tol]],"Pass","Fail"),IF(Table1[[#This Row],[DUT Adj Read]]&gt;Table1[[#This Row],[Low Tol]],"Pass","Fail")))</f>
        <v>Pass</v>
      </c>
      <c r="AE841" s="1" t="str">
        <f>IF(AND(Table1[[#This Row],[Spec Type2]]="N/A",Table1[[#This Row],[DUT Adj Read]]="N/A",Table1[[#This Row],[Std Adj Read]]="N/A"),"N/A",IF(Table1[[#This Row],[DUT Adj Read]]="N/A",IF(Table1[[#This Row],[Std Adj Read]]&lt;Table1[[#This Row],[High Tol]],"Pass","Fail"),IF(Table1[[#This Row],[DUT Adj Read]]&lt;Table1[[#This Row],[High Tol]],"Pass","Fail")))</f>
        <v>Fail</v>
      </c>
      <c r="AF841" s="1" t="str">
        <f>IF(AND(Table1[[#This Row],[Spec Type2]]="N/A",Table1[[#This Row],[DUT Adj Read]]="N/A",Table1[[#This Row],[Std Adj Read]]="N/A"),"N/A",IF(Table1[[#This Row],[DUT Adj Read]]="N/A",IF(Table1[[#This Row],[Std Adj Read]]&gt;=Table1[[#This Row],[Low Tol]],"Pass","Fail"),IF(Table1[[#This Row],[DUT Adj Read]]&gt;=Table1[[#This Row],[Low Tol]],"Pass","Fail")))</f>
        <v>Pass</v>
      </c>
      <c r="AG841" s="1" t="str">
        <f>IF(AND(Table1[[#This Row],[Spec Type2]]="N/A",Table1[[#This Row],[DUT Adj Read]]="N/A",Table1[[#This Row],[Std Adj Read]]="N/A"),"N/A",IF(Table1[[#This Row],[DUT Adj Read]]="N/A",IF(Table1[[#This Row],[Std Adj Read]]&lt;=Table1[[#This Row],[High Tol]],"Pass","Fail"),IF(Table1[[#This Row],[DUT Adj Read]]&lt;=Table1[[#This Row],[High Tol]],"Pass","Fail")))</f>
        <v>Fail</v>
      </c>
      <c r="AH8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1" s="1" t="b">
        <v>0</v>
      </c>
      <c r="AN841" s="1" t="b">
        <v>0</v>
      </c>
      <c r="AO841" s="1" t="b">
        <v>0</v>
      </c>
    </row>
    <row r="842" spans="1:41" x14ac:dyDescent="0.25">
      <c r="A842" s="10"/>
      <c r="B842" s="10"/>
      <c r="C842" s="10"/>
      <c r="D842" s="10"/>
      <c r="E842" s="10"/>
      <c r="F842" s="10"/>
      <c r="G842" s="10"/>
      <c r="H842" s="10"/>
      <c r="I842" s="1" t="str">
        <f t="shared" si="36"/>
        <v/>
      </c>
      <c r="J842" s="1" t="s">
        <v>35</v>
      </c>
      <c r="K842" s="1" t="str">
        <f t="shared" si="37"/>
        <v/>
      </c>
      <c r="L842" s="1" t="str">
        <f t="shared" si="38"/>
        <v/>
      </c>
      <c r="M842" s="1">
        <f>IF(OR(Table1[[#This Row],[Std Nom]]="",Table1[[#This Row],[Std Read]]=""),0,Table1[[#This Row],[Std Nom]]-Table1[[#This Row],[Std Read]])</f>
        <v>0</v>
      </c>
      <c r="N842" s="1">
        <f>IF(Calculations!$F$5="ACCREDITED 17025 WITH UNCERTAINTIES",$N$10,0)</f>
        <v>0</v>
      </c>
      <c r="O842" s="1" t="str">
        <f>IFERROR(Table1[[#This Row],[Std Nom]]-(_xlfn.XLOOKUP(Table1[[#This Row],[Manufacturer]]&amp;" "&amp;Table1[[#This Row],[Model]],Table13[MFR &amp; MDL],Table13[Tolerance % CW ],"")/100*Table1[[#This Row],[Std Nom]]),"")</f>
        <v/>
      </c>
      <c r="P842" s="1" t="str">
        <f>IFERROR(Table1[[#This Row],[Std Nom]]+(_xlfn.XLOOKUP(Table1[[#This Row],[Manufacturer]]&amp;" "&amp;Table1[[#This Row],[Model]],Table13[MFR &amp; MDL],Table13[Tolerance % CW ],"")/100*Table1[[#This Row],[Std Nom]]),"")</f>
        <v/>
      </c>
      <c r="Q842" s="1" t="e">
        <f>Table1[[#This Row],[High Tol]]-Table1[[#This Row],[Low Tol]]</f>
        <v>#VALUE!</v>
      </c>
      <c r="R842" s="1">
        <f>2*Table1[[#This Row],[Std Error]]</f>
        <v>0</v>
      </c>
      <c r="S842" s="1" t="str">
        <f>IF(Table1[[#This Row],[High Tol]]="","N/A",IFERROR(ABS(Table1[[#This Row],[Tol Span]]/Table1[[#This Row],[Error Span]]),"N/A"))</f>
        <v>N/A</v>
      </c>
      <c r="T842" s="1" t="str">
        <f>IF(OR(Table1[[#This Row],[Low Tol]]="",Table1[[#This Row],[High Tol]]=""),"Needs Analysis",IF(Table1[[#This Row],[Ratio]]&gt;=4,"Not Significant",IF(Table1[[#This Row],[Ratio]]&gt;=2,"Semi-Significant","Significant")))</f>
        <v>Needs Analysis</v>
      </c>
      <c r="W842" s="1">
        <f>IF(Table1[[#This Row],[Cal Type]]&lt;&gt;"ACCREDITED 17025 WITH UNCERTAINTIES",0,"")</f>
        <v>0</v>
      </c>
      <c r="X842" s="1" t="str">
        <f>IF(Table1[[#This Row],[DUT Read]]="","N/A",Table1[[#This Row],[Std Error]]+Table1[[#This Row],[DUT Read]]+Table1[[#This Row],[DUT Ucty]])</f>
        <v>N/A</v>
      </c>
      <c r="Y842" s="1" t="str">
        <f>IF(Table1[[#This Row],[Std Read]]="","N/A",Table1[[#This Row],[Std Read]]+Table1[[#This Row],[Std Ucty]])</f>
        <v>N/A</v>
      </c>
      <c r="Z8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2" s="1" t="str">
        <f>IF(Table1[[#This Row],[Spec Type]]="","N/A",Table1[[#This Row],[Spec Type]])</f>
        <v>±</v>
      </c>
      <c r="AC842" s="1" t="str">
        <f>IF(Table1[[#This Row],[Spec Type2]]="N/A","N/A",IF(AND(Table1[[#This Row],[DUT Adj Read]]&gt;=Table1[[#This Row],[Low Tol]],Table1[[#This Row],[DUT Adj Read]]&lt;=Table1[[#This Row],[High Tol]]),"Pass","Fail"))</f>
        <v>Fail</v>
      </c>
      <c r="AD842" s="1" t="str">
        <f>IF(AND(Table1[[#This Row],[Spec Type2]]="N/A",Table1[[#This Row],[DUT Adj Read]]="N/A",Table1[[#This Row],[Std Adj Read]]="N/A"),"N/A",IF(Table1[[#This Row],[DUT Adj Read]]="N/A",IF(Table1[[#This Row],[Std Adj Read]]&gt;Table1[[#This Row],[Low Tol]],"Pass","Fail"),IF(Table1[[#This Row],[DUT Adj Read]]&gt;Table1[[#This Row],[Low Tol]],"Pass","Fail")))</f>
        <v>Pass</v>
      </c>
      <c r="AE842" s="1" t="str">
        <f>IF(AND(Table1[[#This Row],[Spec Type2]]="N/A",Table1[[#This Row],[DUT Adj Read]]="N/A",Table1[[#This Row],[Std Adj Read]]="N/A"),"N/A",IF(Table1[[#This Row],[DUT Adj Read]]="N/A",IF(Table1[[#This Row],[Std Adj Read]]&lt;Table1[[#This Row],[High Tol]],"Pass","Fail"),IF(Table1[[#This Row],[DUT Adj Read]]&lt;Table1[[#This Row],[High Tol]],"Pass","Fail")))</f>
        <v>Fail</v>
      </c>
      <c r="AF842" s="1" t="str">
        <f>IF(AND(Table1[[#This Row],[Spec Type2]]="N/A",Table1[[#This Row],[DUT Adj Read]]="N/A",Table1[[#This Row],[Std Adj Read]]="N/A"),"N/A",IF(Table1[[#This Row],[DUT Adj Read]]="N/A",IF(Table1[[#This Row],[Std Adj Read]]&gt;=Table1[[#This Row],[Low Tol]],"Pass","Fail"),IF(Table1[[#This Row],[DUT Adj Read]]&gt;=Table1[[#This Row],[Low Tol]],"Pass","Fail")))</f>
        <v>Pass</v>
      </c>
      <c r="AG842" s="1" t="str">
        <f>IF(AND(Table1[[#This Row],[Spec Type2]]="N/A",Table1[[#This Row],[DUT Adj Read]]="N/A",Table1[[#This Row],[Std Adj Read]]="N/A"),"N/A",IF(Table1[[#This Row],[DUT Adj Read]]="N/A",IF(Table1[[#This Row],[Std Adj Read]]&lt;=Table1[[#This Row],[High Tol]],"Pass","Fail"),IF(Table1[[#This Row],[DUT Adj Read]]&lt;=Table1[[#This Row],[High Tol]],"Pass","Fail")))</f>
        <v>Fail</v>
      </c>
      <c r="AH8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2" s="1" t="b">
        <v>0</v>
      </c>
      <c r="AN842" s="1" t="b">
        <v>0</v>
      </c>
      <c r="AO842" s="1" t="b">
        <v>0</v>
      </c>
    </row>
    <row r="843" spans="1:41" x14ac:dyDescent="0.25">
      <c r="A843" s="10"/>
      <c r="B843" s="10"/>
      <c r="C843" s="10"/>
      <c r="D843" s="10"/>
      <c r="E843" s="10"/>
      <c r="F843" s="10"/>
      <c r="G843" s="10"/>
      <c r="H843" s="10"/>
      <c r="I843" s="1" t="str">
        <f t="shared" ref="I843:I906" si="39">IF($I$10="","",$I$10)</f>
        <v/>
      </c>
      <c r="J843" s="1" t="s">
        <v>35</v>
      </c>
      <c r="K843" s="1" t="str">
        <f t="shared" ref="K843:K906" si="40">IF($K$10="","",$K$10)</f>
        <v/>
      </c>
      <c r="L843" s="1" t="str">
        <f t="shared" ref="L843:L906" si="41">IF($L$10="","",$L$10)</f>
        <v/>
      </c>
      <c r="M843" s="1">
        <f>IF(OR(Table1[[#This Row],[Std Nom]]="",Table1[[#This Row],[Std Read]]=""),0,Table1[[#This Row],[Std Nom]]-Table1[[#This Row],[Std Read]])</f>
        <v>0</v>
      </c>
      <c r="N843" s="1">
        <f>IF(Calculations!$F$5="ACCREDITED 17025 WITH UNCERTAINTIES",$N$10,0)</f>
        <v>0</v>
      </c>
      <c r="O843" s="1" t="str">
        <f>IFERROR(Table1[[#This Row],[Std Nom]]-(_xlfn.XLOOKUP(Table1[[#This Row],[Manufacturer]]&amp;" "&amp;Table1[[#This Row],[Model]],Table13[MFR &amp; MDL],Table13[Tolerance % CW ],"")/100*Table1[[#This Row],[Std Nom]]),"")</f>
        <v/>
      </c>
      <c r="P843" s="1" t="str">
        <f>IFERROR(Table1[[#This Row],[Std Nom]]+(_xlfn.XLOOKUP(Table1[[#This Row],[Manufacturer]]&amp;" "&amp;Table1[[#This Row],[Model]],Table13[MFR &amp; MDL],Table13[Tolerance % CW ],"")/100*Table1[[#This Row],[Std Nom]]),"")</f>
        <v/>
      </c>
      <c r="Q843" s="1" t="e">
        <f>Table1[[#This Row],[High Tol]]-Table1[[#This Row],[Low Tol]]</f>
        <v>#VALUE!</v>
      </c>
      <c r="R843" s="1">
        <f>2*Table1[[#This Row],[Std Error]]</f>
        <v>0</v>
      </c>
      <c r="S843" s="1" t="str">
        <f>IF(Table1[[#This Row],[High Tol]]="","N/A",IFERROR(ABS(Table1[[#This Row],[Tol Span]]/Table1[[#This Row],[Error Span]]),"N/A"))</f>
        <v>N/A</v>
      </c>
      <c r="T843" s="1" t="str">
        <f>IF(OR(Table1[[#This Row],[Low Tol]]="",Table1[[#This Row],[High Tol]]=""),"Needs Analysis",IF(Table1[[#This Row],[Ratio]]&gt;=4,"Not Significant",IF(Table1[[#This Row],[Ratio]]&gt;=2,"Semi-Significant","Significant")))</f>
        <v>Needs Analysis</v>
      </c>
      <c r="W843" s="1">
        <f>IF(Table1[[#This Row],[Cal Type]]&lt;&gt;"ACCREDITED 17025 WITH UNCERTAINTIES",0,"")</f>
        <v>0</v>
      </c>
      <c r="X843" s="1" t="str">
        <f>IF(Table1[[#This Row],[DUT Read]]="","N/A",Table1[[#This Row],[Std Error]]+Table1[[#This Row],[DUT Read]]+Table1[[#This Row],[DUT Ucty]])</f>
        <v>N/A</v>
      </c>
      <c r="Y843" s="1" t="str">
        <f>IF(Table1[[#This Row],[Std Read]]="","N/A",Table1[[#This Row],[Std Read]]+Table1[[#This Row],[Std Ucty]])</f>
        <v>N/A</v>
      </c>
      <c r="Z8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3" s="1" t="str">
        <f>IF(Table1[[#This Row],[Spec Type]]="","N/A",Table1[[#This Row],[Spec Type]])</f>
        <v>±</v>
      </c>
      <c r="AC843" s="1" t="str">
        <f>IF(Table1[[#This Row],[Spec Type2]]="N/A","N/A",IF(AND(Table1[[#This Row],[DUT Adj Read]]&gt;=Table1[[#This Row],[Low Tol]],Table1[[#This Row],[DUT Adj Read]]&lt;=Table1[[#This Row],[High Tol]]),"Pass","Fail"))</f>
        <v>Fail</v>
      </c>
      <c r="AD843" s="1" t="str">
        <f>IF(AND(Table1[[#This Row],[Spec Type2]]="N/A",Table1[[#This Row],[DUT Adj Read]]="N/A",Table1[[#This Row],[Std Adj Read]]="N/A"),"N/A",IF(Table1[[#This Row],[DUT Adj Read]]="N/A",IF(Table1[[#This Row],[Std Adj Read]]&gt;Table1[[#This Row],[Low Tol]],"Pass","Fail"),IF(Table1[[#This Row],[DUT Adj Read]]&gt;Table1[[#This Row],[Low Tol]],"Pass","Fail")))</f>
        <v>Pass</v>
      </c>
      <c r="AE843" s="1" t="str">
        <f>IF(AND(Table1[[#This Row],[Spec Type2]]="N/A",Table1[[#This Row],[DUT Adj Read]]="N/A",Table1[[#This Row],[Std Adj Read]]="N/A"),"N/A",IF(Table1[[#This Row],[DUT Adj Read]]="N/A",IF(Table1[[#This Row],[Std Adj Read]]&lt;Table1[[#This Row],[High Tol]],"Pass","Fail"),IF(Table1[[#This Row],[DUT Adj Read]]&lt;Table1[[#This Row],[High Tol]],"Pass","Fail")))</f>
        <v>Fail</v>
      </c>
      <c r="AF843" s="1" t="str">
        <f>IF(AND(Table1[[#This Row],[Spec Type2]]="N/A",Table1[[#This Row],[DUT Adj Read]]="N/A",Table1[[#This Row],[Std Adj Read]]="N/A"),"N/A",IF(Table1[[#This Row],[DUT Adj Read]]="N/A",IF(Table1[[#This Row],[Std Adj Read]]&gt;=Table1[[#This Row],[Low Tol]],"Pass","Fail"),IF(Table1[[#This Row],[DUT Adj Read]]&gt;=Table1[[#This Row],[Low Tol]],"Pass","Fail")))</f>
        <v>Pass</v>
      </c>
      <c r="AG843" s="1" t="str">
        <f>IF(AND(Table1[[#This Row],[Spec Type2]]="N/A",Table1[[#This Row],[DUT Adj Read]]="N/A",Table1[[#This Row],[Std Adj Read]]="N/A"),"N/A",IF(Table1[[#This Row],[DUT Adj Read]]="N/A",IF(Table1[[#This Row],[Std Adj Read]]&lt;=Table1[[#This Row],[High Tol]],"Pass","Fail"),IF(Table1[[#This Row],[DUT Adj Read]]&lt;=Table1[[#This Row],[High Tol]],"Pass","Fail")))</f>
        <v>Fail</v>
      </c>
      <c r="AH8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3" s="1" t="b">
        <v>0</v>
      </c>
      <c r="AN843" s="1" t="b">
        <v>0</v>
      </c>
      <c r="AO843" s="1" t="b">
        <v>0</v>
      </c>
    </row>
    <row r="844" spans="1:41" x14ac:dyDescent="0.25">
      <c r="A844" s="10"/>
      <c r="B844" s="10"/>
      <c r="C844" s="10"/>
      <c r="D844" s="10"/>
      <c r="E844" s="10"/>
      <c r="F844" s="10"/>
      <c r="G844" s="10"/>
      <c r="H844" s="10"/>
      <c r="I844" s="1" t="str">
        <f t="shared" si="39"/>
        <v/>
      </c>
      <c r="J844" s="1" t="s">
        <v>35</v>
      </c>
      <c r="K844" s="1" t="str">
        <f t="shared" si="40"/>
        <v/>
      </c>
      <c r="L844" s="1" t="str">
        <f t="shared" si="41"/>
        <v/>
      </c>
      <c r="M844" s="1">
        <f>IF(OR(Table1[[#This Row],[Std Nom]]="",Table1[[#This Row],[Std Read]]=""),0,Table1[[#This Row],[Std Nom]]-Table1[[#This Row],[Std Read]])</f>
        <v>0</v>
      </c>
      <c r="N844" s="1">
        <f>IF(Calculations!$F$5="ACCREDITED 17025 WITH UNCERTAINTIES",$N$10,0)</f>
        <v>0</v>
      </c>
      <c r="O844" s="1" t="str">
        <f>IFERROR(Table1[[#This Row],[Std Nom]]-(_xlfn.XLOOKUP(Table1[[#This Row],[Manufacturer]]&amp;" "&amp;Table1[[#This Row],[Model]],Table13[MFR &amp; MDL],Table13[Tolerance % CW ],"")/100*Table1[[#This Row],[Std Nom]]),"")</f>
        <v/>
      </c>
      <c r="P844" s="1" t="str">
        <f>IFERROR(Table1[[#This Row],[Std Nom]]+(_xlfn.XLOOKUP(Table1[[#This Row],[Manufacturer]]&amp;" "&amp;Table1[[#This Row],[Model]],Table13[MFR &amp; MDL],Table13[Tolerance % CW ],"")/100*Table1[[#This Row],[Std Nom]]),"")</f>
        <v/>
      </c>
      <c r="Q844" s="1" t="e">
        <f>Table1[[#This Row],[High Tol]]-Table1[[#This Row],[Low Tol]]</f>
        <v>#VALUE!</v>
      </c>
      <c r="R844" s="1">
        <f>2*Table1[[#This Row],[Std Error]]</f>
        <v>0</v>
      </c>
      <c r="S844" s="1" t="str">
        <f>IF(Table1[[#This Row],[High Tol]]="","N/A",IFERROR(ABS(Table1[[#This Row],[Tol Span]]/Table1[[#This Row],[Error Span]]),"N/A"))</f>
        <v>N/A</v>
      </c>
      <c r="T844" s="1" t="str">
        <f>IF(OR(Table1[[#This Row],[Low Tol]]="",Table1[[#This Row],[High Tol]]=""),"Needs Analysis",IF(Table1[[#This Row],[Ratio]]&gt;=4,"Not Significant",IF(Table1[[#This Row],[Ratio]]&gt;=2,"Semi-Significant","Significant")))</f>
        <v>Needs Analysis</v>
      </c>
      <c r="W844" s="1">
        <f>IF(Table1[[#This Row],[Cal Type]]&lt;&gt;"ACCREDITED 17025 WITH UNCERTAINTIES",0,"")</f>
        <v>0</v>
      </c>
      <c r="X844" s="1" t="str">
        <f>IF(Table1[[#This Row],[DUT Read]]="","N/A",Table1[[#This Row],[Std Error]]+Table1[[#This Row],[DUT Read]]+Table1[[#This Row],[DUT Ucty]])</f>
        <v>N/A</v>
      </c>
      <c r="Y844" s="1" t="str">
        <f>IF(Table1[[#This Row],[Std Read]]="","N/A",Table1[[#This Row],[Std Read]]+Table1[[#This Row],[Std Ucty]])</f>
        <v>N/A</v>
      </c>
      <c r="Z8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4" s="1" t="str">
        <f>IF(Table1[[#This Row],[Spec Type]]="","N/A",Table1[[#This Row],[Spec Type]])</f>
        <v>±</v>
      </c>
      <c r="AC844" s="1" t="str">
        <f>IF(Table1[[#This Row],[Spec Type2]]="N/A","N/A",IF(AND(Table1[[#This Row],[DUT Adj Read]]&gt;=Table1[[#This Row],[Low Tol]],Table1[[#This Row],[DUT Adj Read]]&lt;=Table1[[#This Row],[High Tol]]),"Pass","Fail"))</f>
        <v>Fail</v>
      </c>
      <c r="AD844" s="1" t="str">
        <f>IF(AND(Table1[[#This Row],[Spec Type2]]="N/A",Table1[[#This Row],[DUT Adj Read]]="N/A",Table1[[#This Row],[Std Adj Read]]="N/A"),"N/A",IF(Table1[[#This Row],[DUT Adj Read]]="N/A",IF(Table1[[#This Row],[Std Adj Read]]&gt;Table1[[#This Row],[Low Tol]],"Pass","Fail"),IF(Table1[[#This Row],[DUT Adj Read]]&gt;Table1[[#This Row],[Low Tol]],"Pass","Fail")))</f>
        <v>Pass</v>
      </c>
      <c r="AE844" s="1" t="str">
        <f>IF(AND(Table1[[#This Row],[Spec Type2]]="N/A",Table1[[#This Row],[DUT Adj Read]]="N/A",Table1[[#This Row],[Std Adj Read]]="N/A"),"N/A",IF(Table1[[#This Row],[DUT Adj Read]]="N/A",IF(Table1[[#This Row],[Std Adj Read]]&lt;Table1[[#This Row],[High Tol]],"Pass","Fail"),IF(Table1[[#This Row],[DUT Adj Read]]&lt;Table1[[#This Row],[High Tol]],"Pass","Fail")))</f>
        <v>Fail</v>
      </c>
      <c r="AF844" s="1" t="str">
        <f>IF(AND(Table1[[#This Row],[Spec Type2]]="N/A",Table1[[#This Row],[DUT Adj Read]]="N/A",Table1[[#This Row],[Std Adj Read]]="N/A"),"N/A",IF(Table1[[#This Row],[DUT Adj Read]]="N/A",IF(Table1[[#This Row],[Std Adj Read]]&gt;=Table1[[#This Row],[Low Tol]],"Pass","Fail"),IF(Table1[[#This Row],[DUT Adj Read]]&gt;=Table1[[#This Row],[Low Tol]],"Pass","Fail")))</f>
        <v>Pass</v>
      </c>
      <c r="AG844" s="1" t="str">
        <f>IF(AND(Table1[[#This Row],[Spec Type2]]="N/A",Table1[[#This Row],[DUT Adj Read]]="N/A",Table1[[#This Row],[Std Adj Read]]="N/A"),"N/A",IF(Table1[[#This Row],[DUT Adj Read]]="N/A",IF(Table1[[#This Row],[Std Adj Read]]&lt;=Table1[[#This Row],[High Tol]],"Pass","Fail"),IF(Table1[[#This Row],[DUT Adj Read]]&lt;=Table1[[#This Row],[High Tol]],"Pass","Fail")))</f>
        <v>Fail</v>
      </c>
      <c r="AH8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4" s="1" t="b">
        <v>0</v>
      </c>
      <c r="AN844" s="1" t="b">
        <v>0</v>
      </c>
      <c r="AO844" s="1" t="b">
        <v>0</v>
      </c>
    </row>
    <row r="845" spans="1:41" x14ac:dyDescent="0.25">
      <c r="A845" s="10"/>
      <c r="B845" s="10"/>
      <c r="C845" s="10"/>
      <c r="D845" s="10"/>
      <c r="E845" s="10"/>
      <c r="F845" s="10"/>
      <c r="G845" s="10"/>
      <c r="H845" s="10"/>
      <c r="I845" s="1" t="str">
        <f t="shared" si="39"/>
        <v/>
      </c>
      <c r="J845" s="1" t="s">
        <v>35</v>
      </c>
      <c r="K845" s="1" t="str">
        <f t="shared" si="40"/>
        <v/>
      </c>
      <c r="L845" s="1" t="str">
        <f t="shared" si="41"/>
        <v/>
      </c>
      <c r="M845" s="1">
        <f>IF(OR(Table1[[#This Row],[Std Nom]]="",Table1[[#This Row],[Std Read]]=""),0,Table1[[#This Row],[Std Nom]]-Table1[[#This Row],[Std Read]])</f>
        <v>0</v>
      </c>
      <c r="N845" s="1">
        <f>IF(Calculations!$F$5="ACCREDITED 17025 WITH UNCERTAINTIES",$N$10,0)</f>
        <v>0</v>
      </c>
      <c r="O845" s="1" t="str">
        <f>IFERROR(Table1[[#This Row],[Std Nom]]-(_xlfn.XLOOKUP(Table1[[#This Row],[Manufacturer]]&amp;" "&amp;Table1[[#This Row],[Model]],Table13[MFR &amp; MDL],Table13[Tolerance % CW ],"")/100*Table1[[#This Row],[Std Nom]]),"")</f>
        <v/>
      </c>
      <c r="P845" s="1" t="str">
        <f>IFERROR(Table1[[#This Row],[Std Nom]]+(_xlfn.XLOOKUP(Table1[[#This Row],[Manufacturer]]&amp;" "&amp;Table1[[#This Row],[Model]],Table13[MFR &amp; MDL],Table13[Tolerance % CW ],"")/100*Table1[[#This Row],[Std Nom]]),"")</f>
        <v/>
      </c>
      <c r="Q845" s="1" t="e">
        <f>Table1[[#This Row],[High Tol]]-Table1[[#This Row],[Low Tol]]</f>
        <v>#VALUE!</v>
      </c>
      <c r="R845" s="1">
        <f>2*Table1[[#This Row],[Std Error]]</f>
        <v>0</v>
      </c>
      <c r="S845" s="1" t="str">
        <f>IF(Table1[[#This Row],[High Tol]]="","N/A",IFERROR(ABS(Table1[[#This Row],[Tol Span]]/Table1[[#This Row],[Error Span]]),"N/A"))</f>
        <v>N/A</v>
      </c>
      <c r="T845" s="1" t="str">
        <f>IF(OR(Table1[[#This Row],[Low Tol]]="",Table1[[#This Row],[High Tol]]=""),"Needs Analysis",IF(Table1[[#This Row],[Ratio]]&gt;=4,"Not Significant",IF(Table1[[#This Row],[Ratio]]&gt;=2,"Semi-Significant","Significant")))</f>
        <v>Needs Analysis</v>
      </c>
      <c r="W845" s="1">
        <f>IF(Table1[[#This Row],[Cal Type]]&lt;&gt;"ACCREDITED 17025 WITH UNCERTAINTIES",0,"")</f>
        <v>0</v>
      </c>
      <c r="X845" s="1" t="str">
        <f>IF(Table1[[#This Row],[DUT Read]]="","N/A",Table1[[#This Row],[Std Error]]+Table1[[#This Row],[DUT Read]]+Table1[[#This Row],[DUT Ucty]])</f>
        <v>N/A</v>
      </c>
      <c r="Y845" s="1" t="str">
        <f>IF(Table1[[#This Row],[Std Read]]="","N/A",Table1[[#This Row],[Std Read]]+Table1[[#This Row],[Std Ucty]])</f>
        <v>N/A</v>
      </c>
      <c r="Z8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5" s="1" t="str">
        <f>IF(Table1[[#This Row],[Spec Type]]="","N/A",Table1[[#This Row],[Spec Type]])</f>
        <v>±</v>
      </c>
      <c r="AC845" s="1" t="str">
        <f>IF(Table1[[#This Row],[Spec Type2]]="N/A","N/A",IF(AND(Table1[[#This Row],[DUT Adj Read]]&gt;=Table1[[#This Row],[Low Tol]],Table1[[#This Row],[DUT Adj Read]]&lt;=Table1[[#This Row],[High Tol]]),"Pass","Fail"))</f>
        <v>Fail</v>
      </c>
      <c r="AD845" s="1" t="str">
        <f>IF(AND(Table1[[#This Row],[Spec Type2]]="N/A",Table1[[#This Row],[DUT Adj Read]]="N/A",Table1[[#This Row],[Std Adj Read]]="N/A"),"N/A",IF(Table1[[#This Row],[DUT Adj Read]]="N/A",IF(Table1[[#This Row],[Std Adj Read]]&gt;Table1[[#This Row],[Low Tol]],"Pass","Fail"),IF(Table1[[#This Row],[DUT Adj Read]]&gt;Table1[[#This Row],[Low Tol]],"Pass","Fail")))</f>
        <v>Pass</v>
      </c>
      <c r="AE845" s="1" t="str">
        <f>IF(AND(Table1[[#This Row],[Spec Type2]]="N/A",Table1[[#This Row],[DUT Adj Read]]="N/A",Table1[[#This Row],[Std Adj Read]]="N/A"),"N/A",IF(Table1[[#This Row],[DUT Adj Read]]="N/A",IF(Table1[[#This Row],[Std Adj Read]]&lt;Table1[[#This Row],[High Tol]],"Pass","Fail"),IF(Table1[[#This Row],[DUT Adj Read]]&lt;Table1[[#This Row],[High Tol]],"Pass","Fail")))</f>
        <v>Fail</v>
      </c>
      <c r="AF845" s="1" t="str">
        <f>IF(AND(Table1[[#This Row],[Spec Type2]]="N/A",Table1[[#This Row],[DUT Adj Read]]="N/A",Table1[[#This Row],[Std Adj Read]]="N/A"),"N/A",IF(Table1[[#This Row],[DUT Adj Read]]="N/A",IF(Table1[[#This Row],[Std Adj Read]]&gt;=Table1[[#This Row],[Low Tol]],"Pass","Fail"),IF(Table1[[#This Row],[DUT Adj Read]]&gt;=Table1[[#This Row],[Low Tol]],"Pass","Fail")))</f>
        <v>Pass</v>
      </c>
      <c r="AG845" s="1" t="str">
        <f>IF(AND(Table1[[#This Row],[Spec Type2]]="N/A",Table1[[#This Row],[DUT Adj Read]]="N/A",Table1[[#This Row],[Std Adj Read]]="N/A"),"N/A",IF(Table1[[#This Row],[DUT Adj Read]]="N/A",IF(Table1[[#This Row],[Std Adj Read]]&lt;=Table1[[#This Row],[High Tol]],"Pass","Fail"),IF(Table1[[#This Row],[DUT Adj Read]]&lt;=Table1[[#This Row],[High Tol]],"Pass","Fail")))</f>
        <v>Fail</v>
      </c>
      <c r="AH8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5" s="1" t="b">
        <v>0</v>
      </c>
      <c r="AN845" s="1" t="b">
        <v>0</v>
      </c>
      <c r="AO845" s="1" t="b">
        <v>0</v>
      </c>
    </row>
    <row r="846" spans="1:41" x14ac:dyDescent="0.25">
      <c r="A846" s="10"/>
      <c r="B846" s="10"/>
      <c r="C846" s="10"/>
      <c r="D846" s="10"/>
      <c r="E846" s="10"/>
      <c r="F846" s="10"/>
      <c r="G846" s="10"/>
      <c r="H846" s="10"/>
      <c r="I846" s="1" t="str">
        <f t="shared" si="39"/>
        <v/>
      </c>
      <c r="J846" s="1" t="s">
        <v>35</v>
      </c>
      <c r="K846" s="1" t="str">
        <f t="shared" si="40"/>
        <v/>
      </c>
      <c r="L846" s="1" t="str">
        <f t="shared" si="41"/>
        <v/>
      </c>
      <c r="M846" s="1">
        <f>IF(OR(Table1[[#This Row],[Std Nom]]="",Table1[[#This Row],[Std Read]]=""),0,Table1[[#This Row],[Std Nom]]-Table1[[#This Row],[Std Read]])</f>
        <v>0</v>
      </c>
      <c r="N846" s="1">
        <f>IF(Calculations!$F$5="ACCREDITED 17025 WITH UNCERTAINTIES",$N$10,0)</f>
        <v>0</v>
      </c>
      <c r="O846" s="1" t="str">
        <f>IFERROR(Table1[[#This Row],[Std Nom]]-(_xlfn.XLOOKUP(Table1[[#This Row],[Manufacturer]]&amp;" "&amp;Table1[[#This Row],[Model]],Table13[MFR &amp; MDL],Table13[Tolerance % CW ],"")/100*Table1[[#This Row],[Std Nom]]),"")</f>
        <v/>
      </c>
      <c r="P846" s="1" t="str">
        <f>IFERROR(Table1[[#This Row],[Std Nom]]+(_xlfn.XLOOKUP(Table1[[#This Row],[Manufacturer]]&amp;" "&amp;Table1[[#This Row],[Model]],Table13[MFR &amp; MDL],Table13[Tolerance % CW ],"")/100*Table1[[#This Row],[Std Nom]]),"")</f>
        <v/>
      </c>
      <c r="Q846" s="1" t="e">
        <f>Table1[[#This Row],[High Tol]]-Table1[[#This Row],[Low Tol]]</f>
        <v>#VALUE!</v>
      </c>
      <c r="R846" s="1">
        <f>2*Table1[[#This Row],[Std Error]]</f>
        <v>0</v>
      </c>
      <c r="S846" s="1" t="str">
        <f>IF(Table1[[#This Row],[High Tol]]="","N/A",IFERROR(ABS(Table1[[#This Row],[Tol Span]]/Table1[[#This Row],[Error Span]]),"N/A"))</f>
        <v>N/A</v>
      </c>
      <c r="T846" s="1" t="str">
        <f>IF(OR(Table1[[#This Row],[Low Tol]]="",Table1[[#This Row],[High Tol]]=""),"Needs Analysis",IF(Table1[[#This Row],[Ratio]]&gt;=4,"Not Significant",IF(Table1[[#This Row],[Ratio]]&gt;=2,"Semi-Significant","Significant")))</f>
        <v>Needs Analysis</v>
      </c>
      <c r="W846" s="1">
        <f>IF(Table1[[#This Row],[Cal Type]]&lt;&gt;"ACCREDITED 17025 WITH UNCERTAINTIES",0,"")</f>
        <v>0</v>
      </c>
      <c r="X846" s="1" t="str">
        <f>IF(Table1[[#This Row],[DUT Read]]="","N/A",Table1[[#This Row],[Std Error]]+Table1[[#This Row],[DUT Read]]+Table1[[#This Row],[DUT Ucty]])</f>
        <v>N/A</v>
      </c>
      <c r="Y846" s="1" t="str">
        <f>IF(Table1[[#This Row],[Std Read]]="","N/A",Table1[[#This Row],[Std Read]]+Table1[[#This Row],[Std Ucty]])</f>
        <v>N/A</v>
      </c>
      <c r="Z8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6" s="1" t="str">
        <f>IF(Table1[[#This Row],[Spec Type]]="","N/A",Table1[[#This Row],[Spec Type]])</f>
        <v>±</v>
      </c>
      <c r="AC846" s="1" t="str">
        <f>IF(Table1[[#This Row],[Spec Type2]]="N/A","N/A",IF(AND(Table1[[#This Row],[DUT Adj Read]]&gt;=Table1[[#This Row],[Low Tol]],Table1[[#This Row],[DUT Adj Read]]&lt;=Table1[[#This Row],[High Tol]]),"Pass","Fail"))</f>
        <v>Fail</v>
      </c>
      <c r="AD846" s="1" t="str">
        <f>IF(AND(Table1[[#This Row],[Spec Type2]]="N/A",Table1[[#This Row],[DUT Adj Read]]="N/A",Table1[[#This Row],[Std Adj Read]]="N/A"),"N/A",IF(Table1[[#This Row],[DUT Adj Read]]="N/A",IF(Table1[[#This Row],[Std Adj Read]]&gt;Table1[[#This Row],[Low Tol]],"Pass","Fail"),IF(Table1[[#This Row],[DUT Adj Read]]&gt;Table1[[#This Row],[Low Tol]],"Pass","Fail")))</f>
        <v>Pass</v>
      </c>
      <c r="AE846" s="1" t="str">
        <f>IF(AND(Table1[[#This Row],[Spec Type2]]="N/A",Table1[[#This Row],[DUT Adj Read]]="N/A",Table1[[#This Row],[Std Adj Read]]="N/A"),"N/A",IF(Table1[[#This Row],[DUT Adj Read]]="N/A",IF(Table1[[#This Row],[Std Adj Read]]&lt;Table1[[#This Row],[High Tol]],"Pass","Fail"),IF(Table1[[#This Row],[DUT Adj Read]]&lt;Table1[[#This Row],[High Tol]],"Pass","Fail")))</f>
        <v>Fail</v>
      </c>
      <c r="AF846" s="1" t="str">
        <f>IF(AND(Table1[[#This Row],[Spec Type2]]="N/A",Table1[[#This Row],[DUT Adj Read]]="N/A",Table1[[#This Row],[Std Adj Read]]="N/A"),"N/A",IF(Table1[[#This Row],[DUT Adj Read]]="N/A",IF(Table1[[#This Row],[Std Adj Read]]&gt;=Table1[[#This Row],[Low Tol]],"Pass","Fail"),IF(Table1[[#This Row],[DUT Adj Read]]&gt;=Table1[[#This Row],[Low Tol]],"Pass","Fail")))</f>
        <v>Pass</v>
      </c>
      <c r="AG846" s="1" t="str">
        <f>IF(AND(Table1[[#This Row],[Spec Type2]]="N/A",Table1[[#This Row],[DUT Adj Read]]="N/A",Table1[[#This Row],[Std Adj Read]]="N/A"),"N/A",IF(Table1[[#This Row],[DUT Adj Read]]="N/A",IF(Table1[[#This Row],[Std Adj Read]]&lt;=Table1[[#This Row],[High Tol]],"Pass","Fail"),IF(Table1[[#This Row],[DUT Adj Read]]&lt;=Table1[[#This Row],[High Tol]],"Pass","Fail")))</f>
        <v>Fail</v>
      </c>
      <c r="AH8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6" s="1" t="b">
        <v>0</v>
      </c>
      <c r="AN846" s="1" t="b">
        <v>0</v>
      </c>
      <c r="AO846" s="1" t="b">
        <v>0</v>
      </c>
    </row>
    <row r="847" spans="1:41" x14ac:dyDescent="0.25">
      <c r="A847" s="10"/>
      <c r="B847" s="10"/>
      <c r="C847" s="10"/>
      <c r="D847" s="10"/>
      <c r="E847" s="10"/>
      <c r="F847" s="10"/>
      <c r="G847" s="10"/>
      <c r="H847" s="10"/>
      <c r="I847" s="1" t="str">
        <f t="shared" si="39"/>
        <v/>
      </c>
      <c r="J847" s="1" t="s">
        <v>35</v>
      </c>
      <c r="K847" s="1" t="str">
        <f t="shared" si="40"/>
        <v/>
      </c>
      <c r="L847" s="1" t="str">
        <f t="shared" si="41"/>
        <v/>
      </c>
      <c r="M847" s="1">
        <f>IF(OR(Table1[[#This Row],[Std Nom]]="",Table1[[#This Row],[Std Read]]=""),0,Table1[[#This Row],[Std Nom]]-Table1[[#This Row],[Std Read]])</f>
        <v>0</v>
      </c>
      <c r="N847" s="1">
        <f>IF(Calculations!$F$5="ACCREDITED 17025 WITH UNCERTAINTIES",$N$10,0)</f>
        <v>0</v>
      </c>
      <c r="O847" s="1" t="str">
        <f>IFERROR(Table1[[#This Row],[Std Nom]]-(_xlfn.XLOOKUP(Table1[[#This Row],[Manufacturer]]&amp;" "&amp;Table1[[#This Row],[Model]],Table13[MFR &amp; MDL],Table13[Tolerance % CW ],"")/100*Table1[[#This Row],[Std Nom]]),"")</f>
        <v/>
      </c>
      <c r="P847" s="1" t="str">
        <f>IFERROR(Table1[[#This Row],[Std Nom]]+(_xlfn.XLOOKUP(Table1[[#This Row],[Manufacturer]]&amp;" "&amp;Table1[[#This Row],[Model]],Table13[MFR &amp; MDL],Table13[Tolerance % CW ],"")/100*Table1[[#This Row],[Std Nom]]),"")</f>
        <v/>
      </c>
      <c r="Q847" s="1" t="e">
        <f>Table1[[#This Row],[High Tol]]-Table1[[#This Row],[Low Tol]]</f>
        <v>#VALUE!</v>
      </c>
      <c r="R847" s="1">
        <f>2*Table1[[#This Row],[Std Error]]</f>
        <v>0</v>
      </c>
      <c r="S847" s="1" t="str">
        <f>IF(Table1[[#This Row],[High Tol]]="","N/A",IFERROR(ABS(Table1[[#This Row],[Tol Span]]/Table1[[#This Row],[Error Span]]),"N/A"))</f>
        <v>N/A</v>
      </c>
      <c r="T847" s="1" t="str">
        <f>IF(OR(Table1[[#This Row],[Low Tol]]="",Table1[[#This Row],[High Tol]]=""),"Needs Analysis",IF(Table1[[#This Row],[Ratio]]&gt;=4,"Not Significant",IF(Table1[[#This Row],[Ratio]]&gt;=2,"Semi-Significant","Significant")))</f>
        <v>Needs Analysis</v>
      </c>
      <c r="W847" s="1">
        <f>IF(Table1[[#This Row],[Cal Type]]&lt;&gt;"ACCREDITED 17025 WITH UNCERTAINTIES",0,"")</f>
        <v>0</v>
      </c>
      <c r="X847" s="1" t="str">
        <f>IF(Table1[[#This Row],[DUT Read]]="","N/A",Table1[[#This Row],[Std Error]]+Table1[[#This Row],[DUT Read]]+Table1[[#This Row],[DUT Ucty]])</f>
        <v>N/A</v>
      </c>
      <c r="Y847" s="1" t="str">
        <f>IF(Table1[[#This Row],[Std Read]]="","N/A",Table1[[#This Row],[Std Read]]+Table1[[#This Row],[Std Ucty]])</f>
        <v>N/A</v>
      </c>
      <c r="Z8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7" s="1" t="str">
        <f>IF(Table1[[#This Row],[Spec Type]]="","N/A",Table1[[#This Row],[Spec Type]])</f>
        <v>±</v>
      </c>
      <c r="AC847" s="1" t="str">
        <f>IF(Table1[[#This Row],[Spec Type2]]="N/A","N/A",IF(AND(Table1[[#This Row],[DUT Adj Read]]&gt;=Table1[[#This Row],[Low Tol]],Table1[[#This Row],[DUT Adj Read]]&lt;=Table1[[#This Row],[High Tol]]),"Pass","Fail"))</f>
        <v>Fail</v>
      </c>
      <c r="AD847" s="1" t="str">
        <f>IF(AND(Table1[[#This Row],[Spec Type2]]="N/A",Table1[[#This Row],[DUT Adj Read]]="N/A",Table1[[#This Row],[Std Adj Read]]="N/A"),"N/A",IF(Table1[[#This Row],[DUT Adj Read]]="N/A",IF(Table1[[#This Row],[Std Adj Read]]&gt;Table1[[#This Row],[Low Tol]],"Pass","Fail"),IF(Table1[[#This Row],[DUT Adj Read]]&gt;Table1[[#This Row],[Low Tol]],"Pass","Fail")))</f>
        <v>Pass</v>
      </c>
      <c r="AE847" s="1" t="str">
        <f>IF(AND(Table1[[#This Row],[Spec Type2]]="N/A",Table1[[#This Row],[DUT Adj Read]]="N/A",Table1[[#This Row],[Std Adj Read]]="N/A"),"N/A",IF(Table1[[#This Row],[DUT Adj Read]]="N/A",IF(Table1[[#This Row],[Std Adj Read]]&lt;Table1[[#This Row],[High Tol]],"Pass","Fail"),IF(Table1[[#This Row],[DUT Adj Read]]&lt;Table1[[#This Row],[High Tol]],"Pass","Fail")))</f>
        <v>Fail</v>
      </c>
      <c r="AF847" s="1" t="str">
        <f>IF(AND(Table1[[#This Row],[Spec Type2]]="N/A",Table1[[#This Row],[DUT Adj Read]]="N/A",Table1[[#This Row],[Std Adj Read]]="N/A"),"N/A",IF(Table1[[#This Row],[DUT Adj Read]]="N/A",IF(Table1[[#This Row],[Std Adj Read]]&gt;=Table1[[#This Row],[Low Tol]],"Pass","Fail"),IF(Table1[[#This Row],[DUT Adj Read]]&gt;=Table1[[#This Row],[Low Tol]],"Pass","Fail")))</f>
        <v>Pass</v>
      </c>
      <c r="AG847" s="1" t="str">
        <f>IF(AND(Table1[[#This Row],[Spec Type2]]="N/A",Table1[[#This Row],[DUT Adj Read]]="N/A",Table1[[#This Row],[Std Adj Read]]="N/A"),"N/A",IF(Table1[[#This Row],[DUT Adj Read]]="N/A",IF(Table1[[#This Row],[Std Adj Read]]&lt;=Table1[[#This Row],[High Tol]],"Pass","Fail"),IF(Table1[[#This Row],[DUT Adj Read]]&lt;=Table1[[#This Row],[High Tol]],"Pass","Fail")))</f>
        <v>Fail</v>
      </c>
      <c r="AH8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7" s="1" t="b">
        <v>0</v>
      </c>
      <c r="AN847" s="1" t="b">
        <v>0</v>
      </c>
      <c r="AO847" s="1" t="b">
        <v>0</v>
      </c>
    </row>
    <row r="848" spans="1:41" x14ac:dyDescent="0.25">
      <c r="A848" s="10"/>
      <c r="B848" s="10"/>
      <c r="C848" s="10"/>
      <c r="D848" s="10"/>
      <c r="E848" s="10"/>
      <c r="F848" s="10"/>
      <c r="G848" s="10"/>
      <c r="H848" s="10"/>
      <c r="I848" s="1" t="str">
        <f t="shared" si="39"/>
        <v/>
      </c>
      <c r="J848" s="1" t="s">
        <v>35</v>
      </c>
      <c r="K848" s="1" t="str">
        <f t="shared" si="40"/>
        <v/>
      </c>
      <c r="L848" s="1" t="str">
        <f t="shared" si="41"/>
        <v/>
      </c>
      <c r="M848" s="1">
        <f>IF(OR(Table1[[#This Row],[Std Nom]]="",Table1[[#This Row],[Std Read]]=""),0,Table1[[#This Row],[Std Nom]]-Table1[[#This Row],[Std Read]])</f>
        <v>0</v>
      </c>
      <c r="N848" s="1">
        <f>IF(Calculations!$F$5="ACCREDITED 17025 WITH UNCERTAINTIES",$N$10,0)</f>
        <v>0</v>
      </c>
      <c r="O848" s="1" t="str">
        <f>IFERROR(Table1[[#This Row],[Std Nom]]-(_xlfn.XLOOKUP(Table1[[#This Row],[Manufacturer]]&amp;" "&amp;Table1[[#This Row],[Model]],Table13[MFR &amp; MDL],Table13[Tolerance % CW ],"")/100*Table1[[#This Row],[Std Nom]]),"")</f>
        <v/>
      </c>
      <c r="P848" s="1" t="str">
        <f>IFERROR(Table1[[#This Row],[Std Nom]]+(_xlfn.XLOOKUP(Table1[[#This Row],[Manufacturer]]&amp;" "&amp;Table1[[#This Row],[Model]],Table13[MFR &amp; MDL],Table13[Tolerance % CW ],"")/100*Table1[[#This Row],[Std Nom]]),"")</f>
        <v/>
      </c>
      <c r="Q848" s="1" t="e">
        <f>Table1[[#This Row],[High Tol]]-Table1[[#This Row],[Low Tol]]</f>
        <v>#VALUE!</v>
      </c>
      <c r="R848" s="1">
        <f>2*Table1[[#This Row],[Std Error]]</f>
        <v>0</v>
      </c>
      <c r="S848" s="1" t="str">
        <f>IF(Table1[[#This Row],[High Tol]]="","N/A",IFERROR(ABS(Table1[[#This Row],[Tol Span]]/Table1[[#This Row],[Error Span]]),"N/A"))</f>
        <v>N/A</v>
      </c>
      <c r="T848" s="1" t="str">
        <f>IF(OR(Table1[[#This Row],[Low Tol]]="",Table1[[#This Row],[High Tol]]=""),"Needs Analysis",IF(Table1[[#This Row],[Ratio]]&gt;=4,"Not Significant",IF(Table1[[#This Row],[Ratio]]&gt;=2,"Semi-Significant","Significant")))</f>
        <v>Needs Analysis</v>
      </c>
      <c r="W848" s="1">
        <f>IF(Table1[[#This Row],[Cal Type]]&lt;&gt;"ACCREDITED 17025 WITH UNCERTAINTIES",0,"")</f>
        <v>0</v>
      </c>
      <c r="X848" s="1" t="str">
        <f>IF(Table1[[#This Row],[DUT Read]]="","N/A",Table1[[#This Row],[Std Error]]+Table1[[#This Row],[DUT Read]]+Table1[[#This Row],[DUT Ucty]])</f>
        <v>N/A</v>
      </c>
      <c r="Y848" s="1" t="str">
        <f>IF(Table1[[#This Row],[Std Read]]="","N/A",Table1[[#This Row],[Std Read]]+Table1[[#This Row],[Std Ucty]])</f>
        <v>N/A</v>
      </c>
      <c r="Z8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8" s="1" t="str">
        <f>IF(Table1[[#This Row],[Spec Type]]="","N/A",Table1[[#This Row],[Spec Type]])</f>
        <v>±</v>
      </c>
      <c r="AC848" s="1" t="str">
        <f>IF(Table1[[#This Row],[Spec Type2]]="N/A","N/A",IF(AND(Table1[[#This Row],[DUT Adj Read]]&gt;=Table1[[#This Row],[Low Tol]],Table1[[#This Row],[DUT Adj Read]]&lt;=Table1[[#This Row],[High Tol]]),"Pass","Fail"))</f>
        <v>Fail</v>
      </c>
      <c r="AD848" s="1" t="str">
        <f>IF(AND(Table1[[#This Row],[Spec Type2]]="N/A",Table1[[#This Row],[DUT Adj Read]]="N/A",Table1[[#This Row],[Std Adj Read]]="N/A"),"N/A",IF(Table1[[#This Row],[DUT Adj Read]]="N/A",IF(Table1[[#This Row],[Std Adj Read]]&gt;Table1[[#This Row],[Low Tol]],"Pass","Fail"),IF(Table1[[#This Row],[DUT Adj Read]]&gt;Table1[[#This Row],[Low Tol]],"Pass","Fail")))</f>
        <v>Pass</v>
      </c>
      <c r="AE848" s="1" t="str">
        <f>IF(AND(Table1[[#This Row],[Spec Type2]]="N/A",Table1[[#This Row],[DUT Adj Read]]="N/A",Table1[[#This Row],[Std Adj Read]]="N/A"),"N/A",IF(Table1[[#This Row],[DUT Adj Read]]="N/A",IF(Table1[[#This Row],[Std Adj Read]]&lt;Table1[[#This Row],[High Tol]],"Pass","Fail"),IF(Table1[[#This Row],[DUT Adj Read]]&lt;Table1[[#This Row],[High Tol]],"Pass","Fail")))</f>
        <v>Fail</v>
      </c>
      <c r="AF848" s="1" t="str">
        <f>IF(AND(Table1[[#This Row],[Spec Type2]]="N/A",Table1[[#This Row],[DUT Adj Read]]="N/A",Table1[[#This Row],[Std Adj Read]]="N/A"),"N/A",IF(Table1[[#This Row],[DUT Adj Read]]="N/A",IF(Table1[[#This Row],[Std Adj Read]]&gt;=Table1[[#This Row],[Low Tol]],"Pass","Fail"),IF(Table1[[#This Row],[DUT Adj Read]]&gt;=Table1[[#This Row],[Low Tol]],"Pass","Fail")))</f>
        <v>Pass</v>
      </c>
      <c r="AG848" s="1" t="str">
        <f>IF(AND(Table1[[#This Row],[Spec Type2]]="N/A",Table1[[#This Row],[DUT Adj Read]]="N/A",Table1[[#This Row],[Std Adj Read]]="N/A"),"N/A",IF(Table1[[#This Row],[DUT Adj Read]]="N/A",IF(Table1[[#This Row],[Std Adj Read]]&lt;=Table1[[#This Row],[High Tol]],"Pass","Fail"),IF(Table1[[#This Row],[DUT Adj Read]]&lt;=Table1[[#This Row],[High Tol]],"Pass","Fail")))</f>
        <v>Fail</v>
      </c>
      <c r="AH8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8" s="1" t="b">
        <v>0</v>
      </c>
      <c r="AN848" s="1" t="b">
        <v>0</v>
      </c>
      <c r="AO848" s="1" t="b">
        <v>0</v>
      </c>
    </row>
    <row r="849" spans="1:41" x14ac:dyDescent="0.25">
      <c r="A849" s="10"/>
      <c r="B849" s="10"/>
      <c r="C849" s="10"/>
      <c r="D849" s="10"/>
      <c r="E849" s="10"/>
      <c r="F849" s="10"/>
      <c r="G849" s="10"/>
      <c r="H849" s="10"/>
      <c r="I849" s="1" t="str">
        <f t="shared" si="39"/>
        <v/>
      </c>
      <c r="J849" s="1" t="s">
        <v>35</v>
      </c>
      <c r="K849" s="1" t="str">
        <f t="shared" si="40"/>
        <v/>
      </c>
      <c r="L849" s="1" t="str">
        <f t="shared" si="41"/>
        <v/>
      </c>
      <c r="M849" s="1">
        <f>IF(OR(Table1[[#This Row],[Std Nom]]="",Table1[[#This Row],[Std Read]]=""),0,Table1[[#This Row],[Std Nom]]-Table1[[#This Row],[Std Read]])</f>
        <v>0</v>
      </c>
      <c r="N849" s="1">
        <f>IF(Calculations!$F$5="ACCREDITED 17025 WITH UNCERTAINTIES",$N$10,0)</f>
        <v>0</v>
      </c>
      <c r="O849" s="1" t="str">
        <f>IFERROR(Table1[[#This Row],[Std Nom]]-(_xlfn.XLOOKUP(Table1[[#This Row],[Manufacturer]]&amp;" "&amp;Table1[[#This Row],[Model]],Table13[MFR &amp; MDL],Table13[Tolerance % CW ],"")/100*Table1[[#This Row],[Std Nom]]),"")</f>
        <v/>
      </c>
      <c r="P849" s="1" t="str">
        <f>IFERROR(Table1[[#This Row],[Std Nom]]+(_xlfn.XLOOKUP(Table1[[#This Row],[Manufacturer]]&amp;" "&amp;Table1[[#This Row],[Model]],Table13[MFR &amp; MDL],Table13[Tolerance % CW ],"")/100*Table1[[#This Row],[Std Nom]]),"")</f>
        <v/>
      </c>
      <c r="Q849" s="1" t="e">
        <f>Table1[[#This Row],[High Tol]]-Table1[[#This Row],[Low Tol]]</f>
        <v>#VALUE!</v>
      </c>
      <c r="R849" s="1">
        <f>2*Table1[[#This Row],[Std Error]]</f>
        <v>0</v>
      </c>
      <c r="S849" s="1" t="str">
        <f>IF(Table1[[#This Row],[High Tol]]="","N/A",IFERROR(ABS(Table1[[#This Row],[Tol Span]]/Table1[[#This Row],[Error Span]]),"N/A"))</f>
        <v>N/A</v>
      </c>
      <c r="T849" s="1" t="str">
        <f>IF(OR(Table1[[#This Row],[Low Tol]]="",Table1[[#This Row],[High Tol]]=""),"Needs Analysis",IF(Table1[[#This Row],[Ratio]]&gt;=4,"Not Significant",IF(Table1[[#This Row],[Ratio]]&gt;=2,"Semi-Significant","Significant")))</f>
        <v>Needs Analysis</v>
      </c>
      <c r="W849" s="1">
        <f>IF(Table1[[#This Row],[Cal Type]]&lt;&gt;"ACCREDITED 17025 WITH UNCERTAINTIES",0,"")</f>
        <v>0</v>
      </c>
      <c r="X849" s="1" t="str">
        <f>IF(Table1[[#This Row],[DUT Read]]="","N/A",Table1[[#This Row],[Std Error]]+Table1[[#This Row],[DUT Read]]+Table1[[#This Row],[DUT Ucty]])</f>
        <v>N/A</v>
      </c>
      <c r="Y849" s="1" t="str">
        <f>IF(Table1[[#This Row],[Std Read]]="","N/A",Table1[[#This Row],[Std Read]]+Table1[[#This Row],[Std Ucty]])</f>
        <v>N/A</v>
      </c>
      <c r="Z8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9" s="1" t="str">
        <f>IF(Table1[[#This Row],[Spec Type]]="","N/A",Table1[[#This Row],[Spec Type]])</f>
        <v>±</v>
      </c>
      <c r="AC849" s="1" t="str">
        <f>IF(Table1[[#This Row],[Spec Type2]]="N/A","N/A",IF(AND(Table1[[#This Row],[DUT Adj Read]]&gt;=Table1[[#This Row],[Low Tol]],Table1[[#This Row],[DUT Adj Read]]&lt;=Table1[[#This Row],[High Tol]]),"Pass","Fail"))</f>
        <v>Fail</v>
      </c>
      <c r="AD849" s="1" t="str">
        <f>IF(AND(Table1[[#This Row],[Spec Type2]]="N/A",Table1[[#This Row],[DUT Adj Read]]="N/A",Table1[[#This Row],[Std Adj Read]]="N/A"),"N/A",IF(Table1[[#This Row],[DUT Adj Read]]="N/A",IF(Table1[[#This Row],[Std Adj Read]]&gt;Table1[[#This Row],[Low Tol]],"Pass","Fail"),IF(Table1[[#This Row],[DUT Adj Read]]&gt;Table1[[#This Row],[Low Tol]],"Pass","Fail")))</f>
        <v>Pass</v>
      </c>
      <c r="AE849" s="1" t="str">
        <f>IF(AND(Table1[[#This Row],[Spec Type2]]="N/A",Table1[[#This Row],[DUT Adj Read]]="N/A",Table1[[#This Row],[Std Adj Read]]="N/A"),"N/A",IF(Table1[[#This Row],[DUT Adj Read]]="N/A",IF(Table1[[#This Row],[Std Adj Read]]&lt;Table1[[#This Row],[High Tol]],"Pass","Fail"),IF(Table1[[#This Row],[DUT Adj Read]]&lt;Table1[[#This Row],[High Tol]],"Pass","Fail")))</f>
        <v>Fail</v>
      </c>
      <c r="AF849" s="1" t="str">
        <f>IF(AND(Table1[[#This Row],[Spec Type2]]="N/A",Table1[[#This Row],[DUT Adj Read]]="N/A",Table1[[#This Row],[Std Adj Read]]="N/A"),"N/A",IF(Table1[[#This Row],[DUT Adj Read]]="N/A",IF(Table1[[#This Row],[Std Adj Read]]&gt;=Table1[[#This Row],[Low Tol]],"Pass","Fail"),IF(Table1[[#This Row],[DUT Adj Read]]&gt;=Table1[[#This Row],[Low Tol]],"Pass","Fail")))</f>
        <v>Pass</v>
      </c>
      <c r="AG849" s="1" t="str">
        <f>IF(AND(Table1[[#This Row],[Spec Type2]]="N/A",Table1[[#This Row],[DUT Adj Read]]="N/A",Table1[[#This Row],[Std Adj Read]]="N/A"),"N/A",IF(Table1[[#This Row],[DUT Adj Read]]="N/A",IF(Table1[[#This Row],[Std Adj Read]]&lt;=Table1[[#This Row],[High Tol]],"Pass","Fail"),IF(Table1[[#This Row],[DUT Adj Read]]&lt;=Table1[[#This Row],[High Tol]],"Pass","Fail")))</f>
        <v>Fail</v>
      </c>
      <c r="AH8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9" s="1" t="b">
        <v>0</v>
      </c>
      <c r="AN849" s="1" t="b">
        <v>0</v>
      </c>
      <c r="AO849" s="1" t="b">
        <v>0</v>
      </c>
    </row>
    <row r="850" spans="1:41" x14ac:dyDescent="0.25">
      <c r="A850" s="10"/>
      <c r="B850" s="10"/>
      <c r="C850" s="10"/>
      <c r="D850" s="10"/>
      <c r="E850" s="10"/>
      <c r="F850" s="10"/>
      <c r="G850" s="10"/>
      <c r="H850" s="10"/>
      <c r="I850" s="1" t="str">
        <f t="shared" si="39"/>
        <v/>
      </c>
      <c r="J850" s="1" t="s">
        <v>35</v>
      </c>
      <c r="K850" s="1" t="str">
        <f t="shared" si="40"/>
        <v/>
      </c>
      <c r="L850" s="1" t="str">
        <f t="shared" si="41"/>
        <v/>
      </c>
      <c r="M850" s="1">
        <f>IF(OR(Table1[[#This Row],[Std Nom]]="",Table1[[#This Row],[Std Read]]=""),0,Table1[[#This Row],[Std Nom]]-Table1[[#This Row],[Std Read]])</f>
        <v>0</v>
      </c>
      <c r="N850" s="1">
        <f>IF(Calculations!$F$5="ACCREDITED 17025 WITH UNCERTAINTIES",$N$10,0)</f>
        <v>0</v>
      </c>
      <c r="O850" s="1" t="str">
        <f>IFERROR(Table1[[#This Row],[Std Nom]]-(_xlfn.XLOOKUP(Table1[[#This Row],[Manufacturer]]&amp;" "&amp;Table1[[#This Row],[Model]],Table13[MFR &amp; MDL],Table13[Tolerance % CW ],"")/100*Table1[[#This Row],[Std Nom]]),"")</f>
        <v/>
      </c>
      <c r="P850" s="1" t="str">
        <f>IFERROR(Table1[[#This Row],[Std Nom]]+(_xlfn.XLOOKUP(Table1[[#This Row],[Manufacturer]]&amp;" "&amp;Table1[[#This Row],[Model]],Table13[MFR &amp; MDL],Table13[Tolerance % CW ],"")/100*Table1[[#This Row],[Std Nom]]),"")</f>
        <v/>
      </c>
      <c r="Q850" s="1" t="e">
        <f>Table1[[#This Row],[High Tol]]-Table1[[#This Row],[Low Tol]]</f>
        <v>#VALUE!</v>
      </c>
      <c r="R850" s="1">
        <f>2*Table1[[#This Row],[Std Error]]</f>
        <v>0</v>
      </c>
      <c r="S850" s="1" t="str">
        <f>IF(Table1[[#This Row],[High Tol]]="","N/A",IFERROR(ABS(Table1[[#This Row],[Tol Span]]/Table1[[#This Row],[Error Span]]),"N/A"))</f>
        <v>N/A</v>
      </c>
      <c r="T850" s="1" t="str">
        <f>IF(OR(Table1[[#This Row],[Low Tol]]="",Table1[[#This Row],[High Tol]]=""),"Needs Analysis",IF(Table1[[#This Row],[Ratio]]&gt;=4,"Not Significant",IF(Table1[[#This Row],[Ratio]]&gt;=2,"Semi-Significant","Significant")))</f>
        <v>Needs Analysis</v>
      </c>
      <c r="W850" s="1">
        <f>IF(Table1[[#This Row],[Cal Type]]&lt;&gt;"ACCREDITED 17025 WITH UNCERTAINTIES",0,"")</f>
        <v>0</v>
      </c>
      <c r="X850" s="1" t="str">
        <f>IF(Table1[[#This Row],[DUT Read]]="","N/A",Table1[[#This Row],[Std Error]]+Table1[[#This Row],[DUT Read]]+Table1[[#This Row],[DUT Ucty]])</f>
        <v>N/A</v>
      </c>
      <c r="Y850" s="1" t="str">
        <f>IF(Table1[[#This Row],[Std Read]]="","N/A",Table1[[#This Row],[Std Read]]+Table1[[#This Row],[Std Ucty]])</f>
        <v>N/A</v>
      </c>
      <c r="Z8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0" s="1" t="str">
        <f>IF(Table1[[#This Row],[Spec Type]]="","N/A",Table1[[#This Row],[Spec Type]])</f>
        <v>±</v>
      </c>
      <c r="AC850" s="1" t="str">
        <f>IF(Table1[[#This Row],[Spec Type2]]="N/A","N/A",IF(AND(Table1[[#This Row],[DUT Adj Read]]&gt;=Table1[[#This Row],[Low Tol]],Table1[[#This Row],[DUT Adj Read]]&lt;=Table1[[#This Row],[High Tol]]),"Pass","Fail"))</f>
        <v>Fail</v>
      </c>
      <c r="AD850" s="1" t="str">
        <f>IF(AND(Table1[[#This Row],[Spec Type2]]="N/A",Table1[[#This Row],[DUT Adj Read]]="N/A",Table1[[#This Row],[Std Adj Read]]="N/A"),"N/A",IF(Table1[[#This Row],[DUT Adj Read]]="N/A",IF(Table1[[#This Row],[Std Adj Read]]&gt;Table1[[#This Row],[Low Tol]],"Pass","Fail"),IF(Table1[[#This Row],[DUT Adj Read]]&gt;Table1[[#This Row],[Low Tol]],"Pass","Fail")))</f>
        <v>Pass</v>
      </c>
      <c r="AE850" s="1" t="str">
        <f>IF(AND(Table1[[#This Row],[Spec Type2]]="N/A",Table1[[#This Row],[DUT Adj Read]]="N/A",Table1[[#This Row],[Std Adj Read]]="N/A"),"N/A",IF(Table1[[#This Row],[DUT Adj Read]]="N/A",IF(Table1[[#This Row],[Std Adj Read]]&lt;Table1[[#This Row],[High Tol]],"Pass","Fail"),IF(Table1[[#This Row],[DUT Adj Read]]&lt;Table1[[#This Row],[High Tol]],"Pass","Fail")))</f>
        <v>Fail</v>
      </c>
      <c r="AF850" s="1" t="str">
        <f>IF(AND(Table1[[#This Row],[Spec Type2]]="N/A",Table1[[#This Row],[DUT Adj Read]]="N/A",Table1[[#This Row],[Std Adj Read]]="N/A"),"N/A",IF(Table1[[#This Row],[DUT Adj Read]]="N/A",IF(Table1[[#This Row],[Std Adj Read]]&gt;=Table1[[#This Row],[Low Tol]],"Pass","Fail"),IF(Table1[[#This Row],[DUT Adj Read]]&gt;=Table1[[#This Row],[Low Tol]],"Pass","Fail")))</f>
        <v>Pass</v>
      </c>
      <c r="AG850" s="1" t="str">
        <f>IF(AND(Table1[[#This Row],[Spec Type2]]="N/A",Table1[[#This Row],[DUT Adj Read]]="N/A",Table1[[#This Row],[Std Adj Read]]="N/A"),"N/A",IF(Table1[[#This Row],[DUT Adj Read]]="N/A",IF(Table1[[#This Row],[Std Adj Read]]&lt;=Table1[[#This Row],[High Tol]],"Pass","Fail"),IF(Table1[[#This Row],[DUT Adj Read]]&lt;=Table1[[#This Row],[High Tol]],"Pass","Fail")))</f>
        <v>Fail</v>
      </c>
      <c r="AH8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0" s="1" t="b">
        <v>0</v>
      </c>
      <c r="AN850" s="1" t="b">
        <v>0</v>
      </c>
      <c r="AO850" s="1" t="b">
        <v>0</v>
      </c>
    </row>
    <row r="851" spans="1:41" x14ac:dyDescent="0.25">
      <c r="A851" s="10"/>
      <c r="B851" s="10"/>
      <c r="C851" s="10"/>
      <c r="D851" s="10"/>
      <c r="E851" s="10"/>
      <c r="F851" s="10"/>
      <c r="G851" s="10"/>
      <c r="H851" s="10"/>
      <c r="I851" s="1" t="str">
        <f t="shared" si="39"/>
        <v/>
      </c>
      <c r="J851" s="1" t="s">
        <v>35</v>
      </c>
      <c r="K851" s="1" t="str">
        <f t="shared" si="40"/>
        <v/>
      </c>
      <c r="L851" s="1" t="str">
        <f t="shared" si="41"/>
        <v/>
      </c>
      <c r="M851" s="1">
        <f>IF(OR(Table1[[#This Row],[Std Nom]]="",Table1[[#This Row],[Std Read]]=""),0,Table1[[#This Row],[Std Nom]]-Table1[[#This Row],[Std Read]])</f>
        <v>0</v>
      </c>
      <c r="N851" s="1">
        <f>IF(Calculations!$F$5="ACCREDITED 17025 WITH UNCERTAINTIES",$N$10,0)</f>
        <v>0</v>
      </c>
      <c r="O851" s="1" t="str">
        <f>IFERROR(Table1[[#This Row],[Std Nom]]-(_xlfn.XLOOKUP(Table1[[#This Row],[Manufacturer]]&amp;" "&amp;Table1[[#This Row],[Model]],Table13[MFR &amp; MDL],Table13[Tolerance % CW ],"")/100*Table1[[#This Row],[Std Nom]]),"")</f>
        <v/>
      </c>
      <c r="P851" s="1" t="str">
        <f>IFERROR(Table1[[#This Row],[Std Nom]]+(_xlfn.XLOOKUP(Table1[[#This Row],[Manufacturer]]&amp;" "&amp;Table1[[#This Row],[Model]],Table13[MFR &amp; MDL],Table13[Tolerance % CW ],"")/100*Table1[[#This Row],[Std Nom]]),"")</f>
        <v/>
      </c>
      <c r="Q851" s="1" t="e">
        <f>Table1[[#This Row],[High Tol]]-Table1[[#This Row],[Low Tol]]</f>
        <v>#VALUE!</v>
      </c>
      <c r="R851" s="1">
        <f>2*Table1[[#This Row],[Std Error]]</f>
        <v>0</v>
      </c>
      <c r="S851" s="1" t="str">
        <f>IF(Table1[[#This Row],[High Tol]]="","N/A",IFERROR(ABS(Table1[[#This Row],[Tol Span]]/Table1[[#This Row],[Error Span]]),"N/A"))</f>
        <v>N/A</v>
      </c>
      <c r="T851" s="1" t="str">
        <f>IF(OR(Table1[[#This Row],[Low Tol]]="",Table1[[#This Row],[High Tol]]=""),"Needs Analysis",IF(Table1[[#This Row],[Ratio]]&gt;=4,"Not Significant",IF(Table1[[#This Row],[Ratio]]&gt;=2,"Semi-Significant","Significant")))</f>
        <v>Needs Analysis</v>
      </c>
      <c r="W851" s="1">
        <f>IF(Table1[[#This Row],[Cal Type]]&lt;&gt;"ACCREDITED 17025 WITH UNCERTAINTIES",0,"")</f>
        <v>0</v>
      </c>
      <c r="X851" s="1" t="str">
        <f>IF(Table1[[#This Row],[DUT Read]]="","N/A",Table1[[#This Row],[Std Error]]+Table1[[#This Row],[DUT Read]]+Table1[[#This Row],[DUT Ucty]])</f>
        <v>N/A</v>
      </c>
      <c r="Y851" s="1" t="str">
        <f>IF(Table1[[#This Row],[Std Read]]="","N/A",Table1[[#This Row],[Std Read]]+Table1[[#This Row],[Std Ucty]])</f>
        <v>N/A</v>
      </c>
      <c r="Z8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1" s="1" t="str">
        <f>IF(Table1[[#This Row],[Spec Type]]="","N/A",Table1[[#This Row],[Spec Type]])</f>
        <v>±</v>
      </c>
      <c r="AC851" s="1" t="str">
        <f>IF(Table1[[#This Row],[Spec Type2]]="N/A","N/A",IF(AND(Table1[[#This Row],[DUT Adj Read]]&gt;=Table1[[#This Row],[Low Tol]],Table1[[#This Row],[DUT Adj Read]]&lt;=Table1[[#This Row],[High Tol]]),"Pass","Fail"))</f>
        <v>Fail</v>
      </c>
      <c r="AD851" s="1" t="str">
        <f>IF(AND(Table1[[#This Row],[Spec Type2]]="N/A",Table1[[#This Row],[DUT Adj Read]]="N/A",Table1[[#This Row],[Std Adj Read]]="N/A"),"N/A",IF(Table1[[#This Row],[DUT Adj Read]]="N/A",IF(Table1[[#This Row],[Std Adj Read]]&gt;Table1[[#This Row],[Low Tol]],"Pass","Fail"),IF(Table1[[#This Row],[DUT Adj Read]]&gt;Table1[[#This Row],[Low Tol]],"Pass","Fail")))</f>
        <v>Pass</v>
      </c>
      <c r="AE851" s="1" t="str">
        <f>IF(AND(Table1[[#This Row],[Spec Type2]]="N/A",Table1[[#This Row],[DUT Adj Read]]="N/A",Table1[[#This Row],[Std Adj Read]]="N/A"),"N/A",IF(Table1[[#This Row],[DUT Adj Read]]="N/A",IF(Table1[[#This Row],[Std Adj Read]]&lt;Table1[[#This Row],[High Tol]],"Pass","Fail"),IF(Table1[[#This Row],[DUT Adj Read]]&lt;Table1[[#This Row],[High Tol]],"Pass","Fail")))</f>
        <v>Fail</v>
      </c>
      <c r="AF851" s="1" t="str">
        <f>IF(AND(Table1[[#This Row],[Spec Type2]]="N/A",Table1[[#This Row],[DUT Adj Read]]="N/A",Table1[[#This Row],[Std Adj Read]]="N/A"),"N/A",IF(Table1[[#This Row],[DUT Adj Read]]="N/A",IF(Table1[[#This Row],[Std Adj Read]]&gt;=Table1[[#This Row],[Low Tol]],"Pass","Fail"),IF(Table1[[#This Row],[DUT Adj Read]]&gt;=Table1[[#This Row],[Low Tol]],"Pass","Fail")))</f>
        <v>Pass</v>
      </c>
      <c r="AG851" s="1" t="str">
        <f>IF(AND(Table1[[#This Row],[Spec Type2]]="N/A",Table1[[#This Row],[DUT Adj Read]]="N/A",Table1[[#This Row],[Std Adj Read]]="N/A"),"N/A",IF(Table1[[#This Row],[DUT Adj Read]]="N/A",IF(Table1[[#This Row],[Std Adj Read]]&lt;=Table1[[#This Row],[High Tol]],"Pass","Fail"),IF(Table1[[#This Row],[DUT Adj Read]]&lt;=Table1[[#This Row],[High Tol]],"Pass","Fail")))</f>
        <v>Fail</v>
      </c>
      <c r="AH8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1" s="1" t="b">
        <v>0</v>
      </c>
      <c r="AN851" s="1" t="b">
        <v>0</v>
      </c>
      <c r="AO851" s="1" t="b">
        <v>0</v>
      </c>
    </row>
    <row r="852" spans="1:41" x14ac:dyDescent="0.25">
      <c r="A852" s="10"/>
      <c r="B852" s="10"/>
      <c r="C852" s="10"/>
      <c r="D852" s="10"/>
      <c r="E852" s="10"/>
      <c r="F852" s="10"/>
      <c r="G852" s="10"/>
      <c r="H852" s="10"/>
      <c r="I852" s="1" t="str">
        <f t="shared" si="39"/>
        <v/>
      </c>
      <c r="J852" s="1" t="s">
        <v>35</v>
      </c>
      <c r="K852" s="1" t="str">
        <f t="shared" si="40"/>
        <v/>
      </c>
      <c r="L852" s="1" t="str">
        <f t="shared" si="41"/>
        <v/>
      </c>
      <c r="M852" s="1">
        <f>IF(OR(Table1[[#This Row],[Std Nom]]="",Table1[[#This Row],[Std Read]]=""),0,Table1[[#This Row],[Std Nom]]-Table1[[#This Row],[Std Read]])</f>
        <v>0</v>
      </c>
      <c r="N852" s="1">
        <f>IF(Calculations!$F$5="ACCREDITED 17025 WITH UNCERTAINTIES",$N$10,0)</f>
        <v>0</v>
      </c>
      <c r="O852" s="1" t="str">
        <f>IFERROR(Table1[[#This Row],[Std Nom]]-(_xlfn.XLOOKUP(Table1[[#This Row],[Manufacturer]]&amp;" "&amp;Table1[[#This Row],[Model]],Table13[MFR &amp; MDL],Table13[Tolerance % CW ],"")/100*Table1[[#This Row],[Std Nom]]),"")</f>
        <v/>
      </c>
      <c r="P852" s="1" t="str">
        <f>IFERROR(Table1[[#This Row],[Std Nom]]+(_xlfn.XLOOKUP(Table1[[#This Row],[Manufacturer]]&amp;" "&amp;Table1[[#This Row],[Model]],Table13[MFR &amp; MDL],Table13[Tolerance % CW ],"")/100*Table1[[#This Row],[Std Nom]]),"")</f>
        <v/>
      </c>
      <c r="Q852" s="1" t="e">
        <f>Table1[[#This Row],[High Tol]]-Table1[[#This Row],[Low Tol]]</f>
        <v>#VALUE!</v>
      </c>
      <c r="R852" s="1">
        <f>2*Table1[[#This Row],[Std Error]]</f>
        <v>0</v>
      </c>
      <c r="S852" s="1" t="str">
        <f>IF(Table1[[#This Row],[High Tol]]="","N/A",IFERROR(ABS(Table1[[#This Row],[Tol Span]]/Table1[[#This Row],[Error Span]]),"N/A"))</f>
        <v>N/A</v>
      </c>
      <c r="T852" s="1" t="str">
        <f>IF(OR(Table1[[#This Row],[Low Tol]]="",Table1[[#This Row],[High Tol]]=""),"Needs Analysis",IF(Table1[[#This Row],[Ratio]]&gt;=4,"Not Significant",IF(Table1[[#This Row],[Ratio]]&gt;=2,"Semi-Significant","Significant")))</f>
        <v>Needs Analysis</v>
      </c>
      <c r="W852" s="1">
        <f>IF(Table1[[#This Row],[Cal Type]]&lt;&gt;"ACCREDITED 17025 WITH UNCERTAINTIES",0,"")</f>
        <v>0</v>
      </c>
      <c r="X852" s="1" t="str">
        <f>IF(Table1[[#This Row],[DUT Read]]="","N/A",Table1[[#This Row],[Std Error]]+Table1[[#This Row],[DUT Read]]+Table1[[#This Row],[DUT Ucty]])</f>
        <v>N/A</v>
      </c>
      <c r="Y852" s="1" t="str">
        <f>IF(Table1[[#This Row],[Std Read]]="","N/A",Table1[[#This Row],[Std Read]]+Table1[[#This Row],[Std Ucty]])</f>
        <v>N/A</v>
      </c>
      <c r="Z8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2" s="1" t="str">
        <f>IF(Table1[[#This Row],[Spec Type]]="","N/A",Table1[[#This Row],[Spec Type]])</f>
        <v>±</v>
      </c>
      <c r="AC852" s="1" t="str">
        <f>IF(Table1[[#This Row],[Spec Type2]]="N/A","N/A",IF(AND(Table1[[#This Row],[DUT Adj Read]]&gt;=Table1[[#This Row],[Low Tol]],Table1[[#This Row],[DUT Adj Read]]&lt;=Table1[[#This Row],[High Tol]]),"Pass","Fail"))</f>
        <v>Fail</v>
      </c>
      <c r="AD852" s="1" t="str">
        <f>IF(AND(Table1[[#This Row],[Spec Type2]]="N/A",Table1[[#This Row],[DUT Adj Read]]="N/A",Table1[[#This Row],[Std Adj Read]]="N/A"),"N/A",IF(Table1[[#This Row],[DUT Adj Read]]="N/A",IF(Table1[[#This Row],[Std Adj Read]]&gt;Table1[[#This Row],[Low Tol]],"Pass","Fail"),IF(Table1[[#This Row],[DUT Adj Read]]&gt;Table1[[#This Row],[Low Tol]],"Pass","Fail")))</f>
        <v>Pass</v>
      </c>
      <c r="AE852" s="1" t="str">
        <f>IF(AND(Table1[[#This Row],[Spec Type2]]="N/A",Table1[[#This Row],[DUT Adj Read]]="N/A",Table1[[#This Row],[Std Adj Read]]="N/A"),"N/A",IF(Table1[[#This Row],[DUT Adj Read]]="N/A",IF(Table1[[#This Row],[Std Adj Read]]&lt;Table1[[#This Row],[High Tol]],"Pass","Fail"),IF(Table1[[#This Row],[DUT Adj Read]]&lt;Table1[[#This Row],[High Tol]],"Pass","Fail")))</f>
        <v>Fail</v>
      </c>
      <c r="AF852" s="1" t="str">
        <f>IF(AND(Table1[[#This Row],[Spec Type2]]="N/A",Table1[[#This Row],[DUT Adj Read]]="N/A",Table1[[#This Row],[Std Adj Read]]="N/A"),"N/A",IF(Table1[[#This Row],[DUT Adj Read]]="N/A",IF(Table1[[#This Row],[Std Adj Read]]&gt;=Table1[[#This Row],[Low Tol]],"Pass","Fail"),IF(Table1[[#This Row],[DUT Adj Read]]&gt;=Table1[[#This Row],[Low Tol]],"Pass","Fail")))</f>
        <v>Pass</v>
      </c>
      <c r="AG852" s="1" t="str">
        <f>IF(AND(Table1[[#This Row],[Spec Type2]]="N/A",Table1[[#This Row],[DUT Adj Read]]="N/A",Table1[[#This Row],[Std Adj Read]]="N/A"),"N/A",IF(Table1[[#This Row],[DUT Adj Read]]="N/A",IF(Table1[[#This Row],[Std Adj Read]]&lt;=Table1[[#This Row],[High Tol]],"Pass","Fail"),IF(Table1[[#This Row],[DUT Adj Read]]&lt;=Table1[[#This Row],[High Tol]],"Pass","Fail")))</f>
        <v>Fail</v>
      </c>
      <c r="AH8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2" s="1" t="b">
        <v>0</v>
      </c>
      <c r="AN852" s="1" t="b">
        <v>0</v>
      </c>
      <c r="AO852" s="1" t="b">
        <v>0</v>
      </c>
    </row>
    <row r="853" spans="1:41" x14ac:dyDescent="0.25">
      <c r="A853" s="10"/>
      <c r="B853" s="10"/>
      <c r="C853" s="10"/>
      <c r="D853" s="10"/>
      <c r="E853" s="10"/>
      <c r="F853" s="10"/>
      <c r="G853" s="10"/>
      <c r="H853" s="10"/>
      <c r="I853" s="1" t="str">
        <f t="shared" si="39"/>
        <v/>
      </c>
      <c r="J853" s="1" t="s">
        <v>35</v>
      </c>
      <c r="K853" s="1" t="str">
        <f t="shared" si="40"/>
        <v/>
      </c>
      <c r="L853" s="1" t="str">
        <f t="shared" si="41"/>
        <v/>
      </c>
      <c r="M853" s="1">
        <f>IF(OR(Table1[[#This Row],[Std Nom]]="",Table1[[#This Row],[Std Read]]=""),0,Table1[[#This Row],[Std Nom]]-Table1[[#This Row],[Std Read]])</f>
        <v>0</v>
      </c>
      <c r="N853" s="1">
        <f>IF(Calculations!$F$5="ACCREDITED 17025 WITH UNCERTAINTIES",$N$10,0)</f>
        <v>0</v>
      </c>
      <c r="O853" s="1" t="str">
        <f>IFERROR(Table1[[#This Row],[Std Nom]]-(_xlfn.XLOOKUP(Table1[[#This Row],[Manufacturer]]&amp;" "&amp;Table1[[#This Row],[Model]],Table13[MFR &amp; MDL],Table13[Tolerance % CW ],"")/100*Table1[[#This Row],[Std Nom]]),"")</f>
        <v/>
      </c>
      <c r="P853" s="1" t="str">
        <f>IFERROR(Table1[[#This Row],[Std Nom]]+(_xlfn.XLOOKUP(Table1[[#This Row],[Manufacturer]]&amp;" "&amp;Table1[[#This Row],[Model]],Table13[MFR &amp; MDL],Table13[Tolerance % CW ],"")/100*Table1[[#This Row],[Std Nom]]),"")</f>
        <v/>
      </c>
      <c r="Q853" s="1" t="e">
        <f>Table1[[#This Row],[High Tol]]-Table1[[#This Row],[Low Tol]]</f>
        <v>#VALUE!</v>
      </c>
      <c r="R853" s="1">
        <f>2*Table1[[#This Row],[Std Error]]</f>
        <v>0</v>
      </c>
      <c r="S853" s="1" t="str">
        <f>IF(Table1[[#This Row],[High Tol]]="","N/A",IFERROR(ABS(Table1[[#This Row],[Tol Span]]/Table1[[#This Row],[Error Span]]),"N/A"))</f>
        <v>N/A</v>
      </c>
      <c r="T853" s="1" t="str">
        <f>IF(OR(Table1[[#This Row],[Low Tol]]="",Table1[[#This Row],[High Tol]]=""),"Needs Analysis",IF(Table1[[#This Row],[Ratio]]&gt;=4,"Not Significant",IF(Table1[[#This Row],[Ratio]]&gt;=2,"Semi-Significant","Significant")))</f>
        <v>Needs Analysis</v>
      </c>
      <c r="W853" s="1">
        <f>IF(Table1[[#This Row],[Cal Type]]&lt;&gt;"ACCREDITED 17025 WITH UNCERTAINTIES",0,"")</f>
        <v>0</v>
      </c>
      <c r="X853" s="1" t="str">
        <f>IF(Table1[[#This Row],[DUT Read]]="","N/A",Table1[[#This Row],[Std Error]]+Table1[[#This Row],[DUT Read]]+Table1[[#This Row],[DUT Ucty]])</f>
        <v>N/A</v>
      </c>
      <c r="Y853" s="1" t="str">
        <f>IF(Table1[[#This Row],[Std Read]]="","N/A",Table1[[#This Row],[Std Read]]+Table1[[#This Row],[Std Ucty]])</f>
        <v>N/A</v>
      </c>
      <c r="Z8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3" s="1" t="str">
        <f>IF(Table1[[#This Row],[Spec Type]]="","N/A",Table1[[#This Row],[Spec Type]])</f>
        <v>±</v>
      </c>
      <c r="AC853" s="1" t="str">
        <f>IF(Table1[[#This Row],[Spec Type2]]="N/A","N/A",IF(AND(Table1[[#This Row],[DUT Adj Read]]&gt;=Table1[[#This Row],[Low Tol]],Table1[[#This Row],[DUT Adj Read]]&lt;=Table1[[#This Row],[High Tol]]),"Pass","Fail"))</f>
        <v>Fail</v>
      </c>
      <c r="AD853" s="1" t="str">
        <f>IF(AND(Table1[[#This Row],[Spec Type2]]="N/A",Table1[[#This Row],[DUT Adj Read]]="N/A",Table1[[#This Row],[Std Adj Read]]="N/A"),"N/A",IF(Table1[[#This Row],[DUT Adj Read]]="N/A",IF(Table1[[#This Row],[Std Adj Read]]&gt;Table1[[#This Row],[Low Tol]],"Pass","Fail"),IF(Table1[[#This Row],[DUT Adj Read]]&gt;Table1[[#This Row],[Low Tol]],"Pass","Fail")))</f>
        <v>Pass</v>
      </c>
      <c r="AE853" s="1" t="str">
        <f>IF(AND(Table1[[#This Row],[Spec Type2]]="N/A",Table1[[#This Row],[DUT Adj Read]]="N/A",Table1[[#This Row],[Std Adj Read]]="N/A"),"N/A",IF(Table1[[#This Row],[DUT Adj Read]]="N/A",IF(Table1[[#This Row],[Std Adj Read]]&lt;Table1[[#This Row],[High Tol]],"Pass","Fail"),IF(Table1[[#This Row],[DUT Adj Read]]&lt;Table1[[#This Row],[High Tol]],"Pass","Fail")))</f>
        <v>Fail</v>
      </c>
      <c r="AF853" s="1" t="str">
        <f>IF(AND(Table1[[#This Row],[Spec Type2]]="N/A",Table1[[#This Row],[DUT Adj Read]]="N/A",Table1[[#This Row],[Std Adj Read]]="N/A"),"N/A",IF(Table1[[#This Row],[DUT Adj Read]]="N/A",IF(Table1[[#This Row],[Std Adj Read]]&gt;=Table1[[#This Row],[Low Tol]],"Pass","Fail"),IF(Table1[[#This Row],[DUT Adj Read]]&gt;=Table1[[#This Row],[Low Tol]],"Pass","Fail")))</f>
        <v>Pass</v>
      </c>
      <c r="AG853" s="1" t="str">
        <f>IF(AND(Table1[[#This Row],[Spec Type2]]="N/A",Table1[[#This Row],[DUT Adj Read]]="N/A",Table1[[#This Row],[Std Adj Read]]="N/A"),"N/A",IF(Table1[[#This Row],[DUT Adj Read]]="N/A",IF(Table1[[#This Row],[Std Adj Read]]&lt;=Table1[[#This Row],[High Tol]],"Pass","Fail"),IF(Table1[[#This Row],[DUT Adj Read]]&lt;=Table1[[#This Row],[High Tol]],"Pass","Fail")))</f>
        <v>Fail</v>
      </c>
      <c r="AH8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3" s="1" t="b">
        <v>0</v>
      </c>
      <c r="AN853" s="1" t="b">
        <v>0</v>
      </c>
      <c r="AO853" s="1" t="b">
        <v>0</v>
      </c>
    </row>
    <row r="854" spans="1:41" x14ac:dyDescent="0.25">
      <c r="A854" s="10"/>
      <c r="B854" s="10"/>
      <c r="C854" s="10"/>
      <c r="D854" s="10"/>
      <c r="E854" s="10"/>
      <c r="F854" s="10"/>
      <c r="G854" s="10"/>
      <c r="H854" s="10"/>
      <c r="I854" s="1" t="str">
        <f t="shared" si="39"/>
        <v/>
      </c>
      <c r="J854" s="1" t="s">
        <v>35</v>
      </c>
      <c r="K854" s="1" t="str">
        <f t="shared" si="40"/>
        <v/>
      </c>
      <c r="L854" s="1" t="str">
        <f t="shared" si="41"/>
        <v/>
      </c>
      <c r="M854" s="1">
        <f>IF(OR(Table1[[#This Row],[Std Nom]]="",Table1[[#This Row],[Std Read]]=""),0,Table1[[#This Row],[Std Nom]]-Table1[[#This Row],[Std Read]])</f>
        <v>0</v>
      </c>
      <c r="N854" s="1">
        <f>IF(Calculations!$F$5="ACCREDITED 17025 WITH UNCERTAINTIES",$N$10,0)</f>
        <v>0</v>
      </c>
      <c r="O854" s="1" t="str">
        <f>IFERROR(Table1[[#This Row],[Std Nom]]-(_xlfn.XLOOKUP(Table1[[#This Row],[Manufacturer]]&amp;" "&amp;Table1[[#This Row],[Model]],Table13[MFR &amp; MDL],Table13[Tolerance % CW ],"")/100*Table1[[#This Row],[Std Nom]]),"")</f>
        <v/>
      </c>
      <c r="P854" s="1" t="str">
        <f>IFERROR(Table1[[#This Row],[Std Nom]]+(_xlfn.XLOOKUP(Table1[[#This Row],[Manufacturer]]&amp;" "&amp;Table1[[#This Row],[Model]],Table13[MFR &amp; MDL],Table13[Tolerance % CW ],"")/100*Table1[[#This Row],[Std Nom]]),"")</f>
        <v/>
      </c>
      <c r="Q854" s="1" t="e">
        <f>Table1[[#This Row],[High Tol]]-Table1[[#This Row],[Low Tol]]</f>
        <v>#VALUE!</v>
      </c>
      <c r="R854" s="1">
        <f>2*Table1[[#This Row],[Std Error]]</f>
        <v>0</v>
      </c>
      <c r="S854" s="1" t="str">
        <f>IF(Table1[[#This Row],[High Tol]]="","N/A",IFERROR(ABS(Table1[[#This Row],[Tol Span]]/Table1[[#This Row],[Error Span]]),"N/A"))</f>
        <v>N/A</v>
      </c>
      <c r="T854" s="1" t="str">
        <f>IF(OR(Table1[[#This Row],[Low Tol]]="",Table1[[#This Row],[High Tol]]=""),"Needs Analysis",IF(Table1[[#This Row],[Ratio]]&gt;=4,"Not Significant",IF(Table1[[#This Row],[Ratio]]&gt;=2,"Semi-Significant","Significant")))</f>
        <v>Needs Analysis</v>
      </c>
      <c r="W854" s="1">
        <f>IF(Table1[[#This Row],[Cal Type]]&lt;&gt;"ACCREDITED 17025 WITH UNCERTAINTIES",0,"")</f>
        <v>0</v>
      </c>
      <c r="X854" s="1" t="str">
        <f>IF(Table1[[#This Row],[DUT Read]]="","N/A",Table1[[#This Row],[Std Error]]+Table1[[#This Row],[DUT Read]]+Table1[[#This Row],[DUT Ucty]])</f>
        <v>N/A</v>
      </c>
      <c r="Y854" s="1" t="str">
        <f>IF(Table1[[#This Row],[Std Read]]="","N/A",Table1[[#This Row],[Std Read]]+Table1[[#This Row],[Std Ucty]])</f>
        <v>N/A</v>
      </c>
      <c r="Z8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4" s="1" t="str">
        <f>IF(Table1[[#This Row],[Spec Type]]="","N/A",Table1[[#This Row],[Spec Type]])</f>
        <v>±</v>
      </c>
      <c r="AC854" s="1" t="str">
        <f>IF(Table1[[#This Row],[Spec Type2]]="N/A","N/A",IF(AND(Table1[[#This Row],[DUT Adj Read]]&gt;=Table1[[#This Row],[Low Tol]],Table1[[#This Row],[DUT Adj Read]]&lt;=Table1[[#This Row],[High Tol]]),"Pass","Fail"))</f>
        <v>Fail</v>
      </c>
      <c r="AD854" s="1" t="str">
        <f>IF(AND(Table1[[#This Row],[Spec Type2]]="N/A",Table1[[#This Row],[DUT Adj Read]]="N/A",Table1[[#This Row],[Std Adj Read]]="N/A"),"N/A",IF(Table1[[#This Row],[DUT Adj Read]]="N/A",IF(Table1[[#This Row],[Std Adj Read]]&gt;Table1[[#This Row],[Low Tol]],"Pass","Fail"),IF(Table1[[#This Row],[DUT Adj Read]]&gt;Table1[[#This Row],[Low Tol]],"Pass","Fail")))</f>
        <v>Pass</v>
      </c>
      <c r="AE854" s="1" t="str">
        <f>IF(AND(Table1[[#This Row],[Spec Type2]]="N/A",Table1[[#This Row],[DUT Adj Read]]="N/A",Table1[[#This Row],[Std Adj Read]]="N/A"),"N/A",IF(Table1[[#This Row],[DUT Adj Read]]="N/A",IF(Table1[[#This Row],[Std Adj Read]]&lt;Table1[[#This Row],[High Tol]],"Pass","Fail"),IF(Table1[[#This Row],[DUT Adj Read]]&lt;Table1[[#This Row],[High Tol]],"Pass","Fail")))</f>
        <v>Fail</v>
      </c>
      <c r="AF854" s="1" t="str">
        <f>IF(AND(Table1[[#This Row],[Spec Type2]]="N/A",Table1[[#This Row],[DUT Adj Read]]="N/A",Table1[[#This Row],[Std Adj Read]]="N/A"),"N/A",IF(Table1[[#This Row],[DUT Adj Read]]="N/A",IF(Table1[[#This Row],[Std Adj Read]]&gt;=Table1[[#This Row],[Low Tol]],"Pass","Fail"),IF(Table1[[#This Row],[DUT Adj Read]]&gt;=Table1[[#This Row],[Low Tol]],"Pass","Fail")))</f>
        <v>Pass</v>
      </c>
      <c r="AG854" s="1" t="str">
        <f>IF(AND(Table1[[#This Row],[Spec Type2]]="N/A",Table1[[#This Row],[DUT Adj Read]]="N/A",Table1[[#This Row],[Std Adj Read]]="N/A"),"N/A",IF(Table1[[#This Row],[DUT Adj Read]]="N/A",IF(Table1[[#This Row],[Std Adj Read]]&lt;=Table1[[#This Row],[High Tol]],"Pass","Fail"),IF(Table1[[#This Row],[DUT Adj Read]]&lt;=Table1[[#This Row],[High Tol]],"Pass","Fail")))</f>
        <v>Fail</v>
      </c>
      <c r="AH8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4" s="1" t="b">
        <v>0</v>
      </c>
      <c r="AN854" s="1" t="b">
        <v>0</v>
      </c>
      <c r="AO854" s="1" t="b">
        <v>0</v>
      </c>
    </row>
    <row r="855" spans="1:41" x14ac:dyDescent="0.25">
      <c r="A855" s="10"/>
      <c r="B855" s="10"/>
      <c r="C855" s="10"/>
      <c r="D855" s="10"/>
      <c r="E855" s="10"/>
      <c r="F855" s="10"/>
      <c r="G855" s="10"/>
      <c r="H855" s="10"/>
      <c r="I855" s="1" t="str">
        <f t="shared" si="39"/>
        <v/>
      </c>
      <c r="J855" s="1" t="s">
        <v>35</v>
      </c>
      <c r="K855" s="1" t="str">
        <f t="shared" si="40"/>
        <v/>
      </c>
      <c r="L855" s="1" t="str">
        <f t="shared" si="41"/>
        <v/>
      </c>
      <c r="M855" s="1">
        <f>IF(OR(Table1[[#This Row],[Std Nom]]="",Table1[[#This Row],[Std Read]]=""),0,Table1[[#This Row],[Std Nom]]-Table1[[#This Row],[Std Read]])</f>
        <v>0</v>
      </c>
      <c r="N855" s="1">
        <f>IF(Calculations!$F$5="ACCREDITED 17025 WITH UNCERTAINTIES",$N$10,0)</f>
        <v>0</v>
      </c>
      <c r="O855" s="1" t="str">
        <f>IFERROR(Table1[[#This Row],[Std Nom]]-(_xlfn.XLOOKUP(Table1[[#This Row],[Manufacturer]]&amp;" "&amp;Table1[[#This Row],[Model]],Table13[MFR &amp; MDL],Table13[Tolerance % CW ],"")/100*Table1[[#This Row],[Std Nom]]),"")</f>
        <v/>
      </c>
      <c r="P855" s="1" t="str">
        <f>IFERROR(Table1[[#This Row],[Std Nom]]+(_xlfn.XLOOKUP(Table1[[#This Row],[Manufacturer]]&amp;" "&amp;Table1[[#This Row],[Model]],Table13[MFR &amp; MDL],Table13[Tolerance % CW ],"")/100*Table1[[#This Row],[Std Nom]]),"")</f>
        <v/>
      </c>
      <c r="Q855" s="1" t="e">
        <f>Table1[[#This Row],[High Tol]]-Table1[[#This Row],[Low Tol]]</f>
        <v>#VALUE!</v>
      </c>
      <c r="R855" s="1">
        <f>2*Table1[[#This Row],[Std Error]]</f>
        <v>0</v>
      </c>
      <c r="S855" s="1" t="str">
        <f>IF(Table1[[#This Row],[High Tol]]="","N/A",IFERROR(ABS(Table1[[#This Row],[Tol Span]]/Table1[[#This Row],[Error Span]]),"N/A"))</f>
        <v>N/A</v>
      </c>
      <c r="T855" s="1" t="str">
        <f>IF(OR(Table1[[#This Row],[Low Tol]]="",Table1[[#This Row],[High Tol]]=""),"Needs Analysis",IF(Table1[[#This Row],[Ratio]]&gt;=4,"Not Significant",IF(Table1[[#This Row],[Ratio]]&gt;=2,"Semi-Significant","Significant")))</f>
        <v>Needs Analysis</v>
      </c>
      <c r="W855" s="1">
        <f>IF(Table1[[#This Row],[Cal Type]]&lt;&gt;"ACCREDITED 17025 WITH UNCERTAINTIES",0,"")</f>
        <v>0</v>
      </c>
      <c r="X855" s="1" t="str">
        <f>IF(Table1[[#This Row],[DUT Read]]="","N/A",Table1[[#This Row],[Std Error]]+Table1[[#This Row],[DUT Read]]+Table1[[#This Row],[DUT Ucty]])</f>
        <v>N/A</v>
      </c>
      <c r="Y855" s="1" t="str">
        <f>IF(Table1[[#This Row],[Std Read]]="","N/A",Table1[[#This Row],[Std Read]]+Table1[[#This Row],[Std Ucty]])</f>
        <v>N/A</v>
      </c>
      <c r="Z8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5" s="1" t="str">
        <f>IF(Table1[[#This Row],[Spec Type]]="","N/A",Table1[[#This Row],[Spec Type]])</f>
        <v>±</v>
      </c>
      <c r="AC855" s="1" t="str">
        <f>IF(Table1[[#This Row],[Spec Type2]]="N/A","N/A",IF(AND(Table1[[#This Row],[DUT Adj Read]]&gt;=Table1[[#This Row],[Low Tol]],Table1[[#This Row],[DUT Adj Read]]&lt;=Table1[[#This Row],[High Tol]]),"Pass","Fail"))</f>
        <v>Fail</v>
      </c>
      <c r="AD855" s="1" t="str">
        <f>IF(AND(Table1[[#This Row],[Spec Type2]]="N/A",Table1[[#This Row],[DUT Adj Read]]="N/A",Table1[[#This Row],[Std Adj Read]]="N/A"),"N/A",IF(Table1[[#This Row],[DUT Adj Read]]="N/A",IF(Table1[[#This Row],[Std Adj Read]]&gt;Table1[[#This Row],[Low Tol]],"Pass","Fail"),IF(Table1[[#This Row],[DUT Adj Read]]&gt;Table1[[#This Row],[Low Tol]],"Pass","Fail")))</f>
        <v>Pass</v>
      </c>
      <c r="AE855" s="1" t="str">
        <f>IF(AND(Table1[[#This Row],[Spec Type2]]="N/A",Table1[[#This Row],[DUT Adj Read]]="N/A",Table1[[#This Row],[Std Adj Read]]="N/A"),"N/A",IF(Table1[[#This Row],[DUT Adj Read]]="N/A",IF(Table1[[#This Row],[Std Adj Read]]&lt;Table1[[#This Row],[High Tol]],"Pass","Fail"),IF(Table1[[#This Row],[DUT Adj Read]]&lt;Table1[[#This Row],[High Tol]],"Pass","Fail")))</f>
        <v>Fail</v>
      </c>
      <c r="AF855" s="1" t="str">
        <f>IF(AND(Table1[[#This Row],[Spec Type2]]="N/A",Table1[[#This Row],[DUT Adj Read]]="N/A",Table1[[#This Row],[Std Adj Read]]="N/A"),"N/A",IF(Table1[[#This Row],[DUT Adj Read]]="N/A",IF(Table1[[#This Row],[Std Adj Read]]&gt;=Table1[[#This Row],[Low Tol]],"Pass","Fail"),IF(Table1[[#This Row],[DUT Adj Read]]&gt;=Table1[[#This Row],[Low Tol]],"Pass","Fail")))</f>
        <v>Pass</v>
      </c>
      <c r="AG855" s="1" t="str">
        <f>IF(AND(Table1[[#This Row],[Spec Type2]]="N/A",Table1[[#This Row],[DUT Adj Read]]="N/A",Table1[[#This Row],[Std Adj Read]]="N/A"),"N/A",IF(Table1[[#This Row],[DUT Adj Read]]="N/A",IF(Table1[[#This Row],[Std Adj Read]]&lt;=Table1[[#This Row],[High Tol]],"Pass","Fail"),IF(Table1[[#This Row],[DUT Adj Read]]&lt;=Table1[[#This Row],[High Tol]],"Pass","Fail")))</f>
        <v>Fail</v>
      </c>
      <c r="AH8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5" s="1" t="b">
        <v>0</v>
      </c>
      <c r="AN855" s="1" t="b">
        <v>0</v>
      </c>
      <c r="AO855" s="1" t="b">
        <v>0</v>
      </c>
    </row>
    <row r="856" spans="1:41" x14ac:dyDescent="0.25">
      <c r="A856" s="10"/>
      <c r="B856" s="10"/>
      <c r="C856" s="10"/>
      <c r="D856" s="10"/>
      <c r="E856" s="10"/>
      <c r="F856" s="10"/>
      <c r="G856" s="10"/>
      <c r="H856" s="10"/>
      <c r="I856" s="1" t="str">
        <f t="shared" si="39"/>
        <v/>
      </c>
      <c r="J856" s="1" t="s">
        <v>35</v>
      </c>
      <c r="K856" s="1" t="str">
        <f t="shared" si="40"/>
        <v/>
      </c>
      <c r="L856" s="1" t="str">
        <f t="shared" si="41"/>
        <v/>
      </c>
      <c r="M856" s="1">
        <f>IF(OR(Table1[[#This Row],[Std Nom]]="",Table1[[#This Row],[Std Read]]=""),0,Table1[[#This Row],[Std Nom]]-Table1[[#This Row],[Std Read]])</f>
        <v>0</v>
      </c>
      <c r="N856" s="1">
        <f>IF(Calculations!$F$5="ACCREDITED 17025 WITH UNCERTAINTIES",$N$10,0)</f>
        <v>0</v>
      </c>
      <c r="O856" s="1" t="str">
        <f>IFERROR(Table1[[#This Row],[Std Nom]]-(_xlfn.XLOOKUP(Table1[[#This Row],[Manufacturer]]&amp;" "&amp;Table1[[#This Row],[Model]],Table13[MFR &amp; MDL],Table13[Tolerance % CW ],"")/100*Table1[[#This Row],[Std Nom]]),"")</f>
        <v/>
      </c>
      <c r="P856" s="1" t="str">
        <f>IFERROR(Table1[[#This Row],[Std Nom]]+(_xlfn.XLOOKUP(Table1[[#This Row],[Manufacturer]]&amp;" "&amp;Table1[[#This Row],[Model]],Table13[MFR &amp; MDL],Table13[Tolerance % CW ],"")/100*Table1[[#This Row],[Std Nom]]),"")</f>
        <v/>
      </c>
      <c r="Q856" s="1" t="e">
        <f>Table1[[#This Row],[High Tol]]-Table1[[#This Row],[Low Tol]]</f>
        <v>#VALUE!</v>
      </c>
      <c r="R856" s="1">
        <f>2*Table1[[#This Row],[Std Error]]</f>
        <v>0</v>
      </c>
      <c r="S856" s="1" t="str">
        <f>IF(Table1[[#This Row],[High Tol]]="","N/A",IFERROR(ABS(Table1[[#This Row],[Tol Span]]/Table1[[#This Row],[Error Span]]),"N/A"))</f>
        <v>N/A</v>
      </c>
      <c r="T856" s="1" t="str">
        <f>IF(OR(Table1[[#This Row],[Low Tol]]="",Table1[[#This Row],[High Tol]]=""),"Needs Analysis",IF(Table1[[#This Row],[Ratio]]&gt;=4,"Not Significant",IF(Table1[[#This Row],[Ratio]]&gt;=2,"Semi-Significant","Significant")))</f>
        <v>Needs Analysis</v>
      </c>
      <c r="W856" s="1">
        <f>IF(Table1[[#This Row],[Cal Type]]&lt;&gt;"ACCREDITED 17025 WITH UNCERTAINTIES",0,"")</f>
        <v>0</v>
      </c>
      <c r="X856" s="1" t="str">
        <f>IF(Table1[[#This Row],[DUT Read]]="","N/A",Table1[[#This Row],[Std Error]]+Table1[[#This Row],[DUT Read]]+Table1[[#This Row],[DUT Ucty]])</f>
        <v>N/A</v>
      </c>
      <c r="Y856" s="1" t="str">
        <f>IF(Table1[[#This Row],[Std Read]]="","N/A",Table1[[#This Row],[Std Read]]+Table1[[#This Row],[Std Ucty]])</f>
        <v>N/A</v>
      </c>
      <c r="Z8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6" s="1" t="str">
        <f>IF(Table1[[#This Row],[Spec Type]]="","N/A",Table1[[#This Row],[Spec Type]])</f>
        <v>±</v>
      </c>
      <c r="AC856" s="1" t="str">
        <f>IF(Table1[[#This Row],[Spec Type2]]="N/A","N/A",IF(AND(Table1[[#This Row],[DUT Adj Read]]&gt;=Table1[[#This Row],[Low Tol]],Table1[[#This Row],[DUT Adj Read]]&lt;=Table1[[#This Row],[High Tol]]),"Pass","Fail"))</f>
        <v>Fail</v>
      </c>
      <c r="AD856" s="1" t="str">
        <f>IF(AND(Table1[[#This Row],[Spec Type2]]="N/A",Table1[[#This Row],[DUT Adj Read]]="N/A",Table1[[#This Row],[Std Adj Read]]="N/A"),"N/A",IF(Table1[[#This Row],[DUT Adj Read]]="N/A",IF(Table1[[#This Row],[Std Adj Read]]&gt;Table1[[#This Row],[Low Tol]],"Pass","Fail"),IF(Table1[[#This Row],[DUT Adj Read]]&gt;Table1[[#This Row],[Low Tol]],"Pass","Fail")))</f>
        <v>Pass</v>
      </c>
      <c r="AE856" s="1" t="str">
        <f>IF(AND(Table1[[#This Row],[Spec Type2]]="N/A",Table1[[#This Row],[DUT Adj Read]]="N/A",Table1[[#This Row],[Std Adj Read]]="N/A"),"N/A",IF(Table1[[#This Row],[DUT Adj Read]]="N/A",IF(Table1[[#This Row],[Std Adj Read]]&lt;Table1[[#This Row],[High Tol]],"Pass","Fail"),IF(Table1[[#This Row],[DUT Adj Read]]&lt;Table1[[#This Row],[High Tol]],"Pass","Fail")))</f>
        <v>Fail</v>
      </c>
      <c r="AF856" s="1" t="str">
        <f>IF(AND(Table1[[#This Row],[Spec Type2]]="N/A",Table1[[#This Row],[DUT Adj Read]]="N/A",Table1[[#This Row],[Std Adj Read]]="N/A"),"N/A",IF(Table1[[#This Row],[DUT Adj Read]]="N/A",IF(Table1[[#This Row],[Std Adj Read]]&gt;=Table1[[#This Row],[Low Tol]],"Pass","Fail"),IF(Table1[[#This Row],[DUT Adj Read]]&gt;=Table1[[#This Row],[Low Tol]],"Pass","Fail")))</f>
        <v>Pass</v>
      </c>
      <c r="AG856" s="1" t="str">
        <f>IF(AND(Table1[[#This Row],[Spec Type2]]="N/A",Table1[[#This Row],[DUT Adj Read]]="N/A",Table1[[#This Row],[Std Adj Read]]="N/A"),"N/A",IF(Table1[[#This Row],[DUT Adj Read]]="N/A",IF(Table1[[#This Row],[Std Adj Read]]&lt;=Table1[[#This Row],[High Tol]],"Pass","Fail"),IF(Table1[[#This Row],[DUT Adj Read]]&lt;=Table1[[#This Row],[High Tol]],"Pass","Fail")))</f>
        <v>Fail</v>
      </c>
      <c r="AH8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6" s="1" t="b">
        <v>0</v>
      </c>
      <c r="AN856" s="1" t="b">
        <v>0</v>
      </c>
      <c r="AO856" s="1" t="b">
        <v>0</v>
      </c>
    </row>
    <row r="857" spans="1:41" x14ac:dyDescent="0.25">
      <c r="A857" s="10"/>
      <c r="B857" s="10"/>
      <c r="C857" s="10"/>
      <c r="D857" s="10"/>
      <c r="E857" s="10"/>
      <c r="F857" s="10"/>
      <c r="G857" s="10"/>
      <c r="H857" s="10"/>
      <c r="I857" s="1" t="str">
        <f t="shared" si="39"/>
        <v/>
      </c>
      <c r="J857" s="1" t="s">
        <v>35</v>
      </c>
      <c r="K857" s="1" t="str">
        <f t="shared" si="40"/>
        <v/>
      </c>
      <c r="L857" s="1" t="str">
        <f t="shared" si="41"/>
        <v/>
      </c>
      <c r="M857" s="1">
        <f>IF(OR(Table1[[#This Row],[Std Nom]]="",Table1[[#This Row],[Std Read]]=""),0,Table1[[#This Row],[Std Nom]]-Table1[[#This Row],[Std Read]])</f>
        <v>0</v>
      </c>
      <c r="N857" s="1">
        <f>IF(Calculations!$F$5="ACCREDITED 17025 WITH UNCERTAINTIES",$N$10,0)</f>
        <v>0</v>
      </c>
      <c r="O857" s="1" t="str">
        <f>IFERROR(Table1[[#This Row],[Std Nom]]-(_xlfn.XLOOKUP(Table1[[#This Row],[Manufacturer]]&amp;" "&amp;Table1[[#This Row],[Model]],Table13[MFR &amp; MDL],Table13[Tolerance % CW ],"")/100*Table1[[#This Row],[Std Nom]]),"")</f>
        <v/>
      </c>
      <c r="P857" s="1" t="str">
        <f>IFERROR(Table1[[#This Row],[Std Nom]]+(_xlfn.XLOOKUP(Table1[[#This Row],[Manufacturer]]&amp;" "&amp;Table1[[#This Row],[Model]],Table13[MFR &amp; MDL],Table13[Tolerance % CW ],"")/100*Table1[[#This Row],[Std Nom]]),"")</f>
        <v/>
      </c>
      <c r="Q857" s="1" t="e">
        <f>Table1[[#This Row],[High Tol]]-Table1[[#This Row],[Low Tol]]</f>
        <v>#VALUE!</v>
      </c>
      <c r="R857" s="1">
        <f>2*Table1[[#This Row],[Std Error]]</f>
        <v>0</v>
      </c>
      <c r="S857" s="1" t="str">
        <f>IF(Table1[[#This Row],[High Tol]]="","N/A",IFERROR(ABS(Table1[[#This Row],[Tol Span]]/Table1[[#This Row],[Error Span]]),"N/A"))</f>
        <v>N/A</v>
      </c>
      <c r="T857" s="1" t="str">
        <f>IF(OR(Table1[[#This Row],[Low Tol]]="",Table1[[#This Row],[High Tol]]=""),"Needs Analysis",IF(Table1[[#This Row],[Ratio]]&gt;=4,"Not Significant",IF(Table1[[#This Row],[Ratio]]&gt;=2,"Semi-Significant","Significant")))</f>
        <v>Needs Analysis</v>
      </c>
      <c r="W857" s="1">
        <f>IF(Table1[[#This Row],[Cal Type]]&lt;&gt;"ACCREDITED 17025 WITH UNCERTAINTIES",0,"")</f>
        <v>0</v>
      </c>
      <c r="X857" s="1" t="str">
        <f>IF(Table1[[#This Row],[DUT Read]]="","N/A",Table1[[#This Row],[Std Error]]+Table1[[#This Row],[DUT Read]]+Table1[[#This Row],[DUT Ucty]])</f>
        <v>N/A</v>
      </c>
      <c r="Y857" s="1" t="str">
        <f>IF(Table1[[#This Row],[Std Read]]="","N/A",Table1[[#This Row],[Std Read]]+Table1[[#This Row],[Std Ucty]])</f>
        <v>N/A</v>
      </c>
      <c r="Z8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7" s="1" t="str">
        <f>IF(Table1[[#This Row],[Spec Type]]="","N/A",Table1[[#This Row],[Spec Type]])</f>
        <v>±</v>
      </c>
      <c r="AC857" s="1" t="str">
        <f>IF(Table1[[#This Row],[Spec Type2]]="N/A","N/A",IF(AND(Table1[[#This Row],[DUT Adj Read]]&gt;=Table1[[#This Row],[Low Tol]],Table1[[#This Row],[DUT Adj Read]]&lt;=Table1[[#This Row],[High Tol]]),"Pass","Fail"))</f>
        <v>Fail</v>
      </c>
      <c r="AD857" s="1" t="str">
        <f>IF(AND(Table1[[#This Row],[Spec Type2]]="N/A",Table1[[#This Row],[DUT Adj Read]]="N/A",Table1[[#This Row],[Std Adj Read]]="N/A"),"N/A",IF(Table1[[#This Row],[DUT Adj Read]]="N/A",IF(Table1[[#This Row],[Std Adj Read]]&gt;Table1[[#This Row],[Low Tol]],"Pass","Fail"),IF(Table1[[#This Row],[DUT Adj Read]]&gt;Table1[[#This Row],[Low Tol]],"Pass","Fail")))</f>
        <v>Pass</v>
      </c>
      <c r="AE857" s="1" t="str">
        <f>IF(AND(Table1[[#This Row],[Spec Type2]]="N/A",Table1[[#This Row],[DUT Adj Read]]="N/A",Table1[[#This Row],[Std Adj Read]]="N/A"),"N/A",IF(Table1[[#This Row],[DUT Adj Read]]="N/A",IF(Table1[[#This Row],[Std Adj Read]]&lt;Table1[[#This Row],[High Tol]],"Pass","Fail"),IF(Table1[[#This Row],[DUT Adj Read]]&lt;Table1[[#This Row],[High Tol]],"Pass","Fail")))</f>
        <v>Fail</v>
      </c>
      <c r="AF857" s="1" t="str">
        <f>IF(AND(Table1[[#This Row],[Spec Type2]]="N/A",Table1[[#This Row],[DUT Adj Read]]="N/A",Table1[[#This Row],[Std Adj Read]]="N/A"),"N/A",IF(Table1[[#This Row],[DUT Adj Read]]="N/A",IF(Table1[[#This Row],[Std Adj Read]]&gt;=Table1[[#This Row],[Low Tol]],"Pass","Fail"),IF(Table1[[#This Row],[DUT Adj Read]]&gt;=Table1[[#This Row],[Low Tol]],"Pass","Fail")))</f>
        <v>Pass</v>
      </c>
      <c r="AG857" s="1" t="str">
        <f>IF(AND(Table1[[#This Row],[Spec Type2]]="N/A",Table1[[#This Row],[DUT Adj Read]]="N/A",Table1[[#This Row],[Std Adj Read]]="N/A"),"N/A",IF(Table1[[#This Row],[DUT Adj Read]]="N/A",IF(Table1[[#This Row],[Std Adj Read]]&lt;=Table1[[#This Row],[High Tol]],"Pass","Fail"),IF(Table1[[#This Row],[DUT Adj Read]]&lt;=Table1[[#This Row],[High Tol]],"Pass","Fail")))</f>
        <v>Fail</v>
      </c>
      <c r="AH8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7" s="1" t="b">
        <v>0</v>
      </c>
      <c r="AN857" s="1" t="b">
        <v>0</v>
      </c>
      <c r="AO857" s="1" t="b">
        <v>0</v>
      </c>
    </row>
    <row r="858" spans="1:41" x14ac:dyDescent="0.25">
      <c r="A858" s="10"/>
      <c r="B858" s="10"/>
      <c r="C858" s="10"/>
      <c r="D858" s="10"/>
      <c r="E858" s="10"/>
      <c r="F858" s="10"/>
      <c r="G858" s="10"/>
      <c r="H858" s="10"/>
      <c r="I858" s="1" t="str">
        <f t="shared" si="39"/>
        <v/>
      </c>
      <c r="J858" s="1" t="s">
        <v>35</v>
      </c>
      <c r="K858" s="1" t="str">
        <f t="shared" si="40"/>
        <v/>
      </c>
      <c r="L858" s="1" t="str">
        <f t="shared" si="41"/>
        <v/>
      </c>
      <c r="M858" s="1">
        <f>IF(OR(Table1[[#This Row],[Std Nom]]="",Table1[[#This Row],[Std Read]]=""),0,Table1[[#This Row],[Std Nom]]-Table1[[#This Row],[Std Read]])</f>
        <v>0</v>
      </c>
      <c r="N858" s="1">
        <f>IF(Calculations!$F$5="ACCREDITED 17025 WITH UNCERTAINTIES",$N$10,0)</f>
        <v>0</v>
      </c>
      <c r="O858" s="1" t="str">
        <f>IFERROR(Table1[[#This Row],[Std Nom]]-(_xlfn.XLOOKUP(Table1[[#This Row],[Manufacturer]]&amp;" "&amp;Table1[[#This Row],[Model]],Table13[MFR &amp; MDL],Table13[Tolerance % CW ],"")/100*Table1[[#This Row],[Std Nom]]),"")</f>
        <v/>
      </c>
      <c r="P858" s="1" t="str">
        <f>IFERROR(Table1[[#This Row],[Std Nom]]+(_xlfn.XLOOKUP(Table1[[#This Row],[Manufacturer]]&amp;" "&amp;Table1[[#This Row],[Model]],Table13[MFR &amp; MDL],Table13[Tolerance % CW ],"")/100*Table1[[#This Row],[Std Nom]]),"")</f>
        <v/>
      </c>
      <c r="Q858" s="1" t="e">
        <f>Table1[[#This Row],[High Tol]]-Table1[[#This Row],[Low Tol]]</f>
        <v>#VALUE!</v>
      </c>
      <c r="R858" s="1">
        <f>2*Table1[[#This Row],[Std Error]]</f>
        <v>0</v>
      </c>
      <c r="S858" s="1" t="str">
        <f>IF(Table1[[#This Row],[High Tol]]="","N/A",IFERROR(ABS(Table1[[#This Row],[Tol Span]]/Table1[[#This Row],[Error Span]]),"N/A"))</f>
        <v>N/A</v>
      </c>
      <c r="T858" s="1" t="str">
        <f>IF(OR(Table1[[#This Row],[Low Tol]]="",Table1[[#This Row],[High Tol]]=""),"Needs Analysis",IF(Table1[[#This Row],[Ratio]]&gt;=4,"Not Significant",IF(Table1[[#This Row],[Ratio]]&gt;=2,"Semi-Significant","Significant")))</f>
        <v>Needs Analysis</v>
      </c>
      <c r="W858" s="1">
        <f>IF(Table1[[#This Row],[Cal Type]]&lt;&gt;"ACCREDITED 17025 WITH UNCERTAINTIES",0,"")</f>
        <v>0</v>
      </c>
      <c r="X858" s="1" t="str">
        <f>IF(Table1[[#This Row],[DUT Read]]="","N/A",Table1[[#This Row],[Std Error]]+Table1[[#This Row],[DUT Read]]+Table1[[#This Row],[DUT Ucty]])</f>
        <v>N/A</v>
      </c>
      <c r="Y858" s="1" t="str">
        <f>IF(Table1[[#This Row],[Std Read]]="","N/A",Table1[[#This Row],[Std Read]]+Table1[[#This Row],[Std Ucty]])</f>
        <v>N/A</v>
      </c>
      <c r="Z8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8" s="1" t="str">
        <f>IF(Table1[[#This Row],[Spec Type]]="","N/A",Table1[[#This Row],[Spec Type]])</f>
        <v>±</v>
      </c>
      <c r="AC858" s="1" t="str">
        <f>IF(Table1[[#This Row],[Spec Type2]]="N/A","N/A",IF(AND(Table1[[#This Row],[DUT Adj Read]]&gt;=Table1[[#This Row],[Low Tol]],Table1[[#This Row],[DUT Adj Read]]&lt;=Table1[[#This Row],[High Tol]]),"Pass","Fail"))</f>
        <v>Fail</v>
      </c>
      <c r="AD858" s="1" t="str">
        <f>IF(AND(Table1[[#This Row],[Spec Type2]]="N/A",Table1[[#This Row],[DUT Adj Read]]="N/A",Table1[[#This Row],[Std Adj Read]]="N/A"),"N/A",IF(Table1[[#This Row],[DUT Adj Read]]="N/A",IF(Table1[[#This Row],[Std Adj Read]]&gt;Table1[[#This Row],[Low Tol]],"Pass","Fail"),IF(Table1[[#This Row],[DUT Adj Read]]&gt;Table1[[#This Row],[Low Tol]],"Pass","Fail")))</f>
        <v>Pass</v>
      </c>
      <c r="AE858" s="1" t="str">
        <f>IF(AND(Table1[[#This Row],[Spec Type2]]="N/A",Table1[[#This Row],[DUT Adj Read]]="N/A",Table1[[#This Row],[Std Adj Read]]="N/A"),"N/A",IF(Table1[[#This Row],[DUT Adj Read]]="N/A",IF(Table1[[#This Row],[Std Adj Read]]&lt;Table1[[#This Row],[High Tol]],"Pass","Fail"),IF(Table1[[#This Row],[DUT Adj Read]]&lt;Table1[[#This Row],[High Tol]],"Pass","Fail")))</f>
        <v>Fail</v>
      </c>
      <c r="AF858" s="1" t="str">
        <f>IF(AND(Table1[[#This Row],[Spec Type2]]="N/A",Table1[[#This Row],[DUT Adj Read]]="N/A",Table1[[#This Row],[Std Adj Read]]="N/A"),"N/A",IF(Table1[[#This Row],[DUT Adj Read]]="N/A",IF(Table1[[#This Row],[Std Adj Read]]&gt;=Table1[[#This Row],[Low Tol]],"Pass","Fail"),IF(Table1[[#This Row],[DUT Adj Read]]&gt;=Table1[[#This Row],[Low Tol]],"Pass","Fail")))</f>
        <v>Pass</v>
      </c>
      <c r="AG858" s="1" t="str">
        <f>IF(AND(Table1[[#This Row],[Spec Type2]]="N/A",Table1[[#This Row],[DUT Adj Read]]="N/A",Table1[[#This Row],[Std Adj Read]]="N/A"),"N/A",IF(Table1[[#This Row],[DUT Adj Read]]="N/A",IF(Table1[[#This Row],[Std Adj Read]]&lt;=Table1[[#This Row],[High Tol]],"Pass","Fail"),IF(Table1[[#This Row],[DUT Adj Read]]&lt;=Table1[[#This Row],[High Tol]],"Pass","Fail")))</f>
        <v>Fail</v>
      </c>
      <c r="AH8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8" s="1" t="b">
        <v>0</v>
      </c>
      <c r="AN858" s="1" t="b">
        <v>0</v>
      </c>
      <c r="AO858" s="1" t="b">
        <v>0</v>
      </c>
    </row>
    <row r="859" spans="1:41" x14ac:dyDescent="0.25">
      <c r="A859" s="10"/>
      <c r="B859" s="10"/>
      <c r="C859" s="10"/>
      <c r="D859" s="10"/>
      <c r="E859" s="10"/>
      <c r="F859" s="10"/>
      <c r="G859" s="10"/>
      <c r="H859" s="10"/>
      <c r="I859" s="1" t="str">
        <f t="shared" si="39"/>
        <v/>
      </c>
      <c r="J859" s="1" t="s">
        <v>35</v>
      </c>
      <c r="K859" s="1" t="str">
        <f t="shared" si="40"/>
        <v/>
      </c>
      <c r="L859" s="1" t="str">
        <f t="shared" si="41"/>
        <v/>
      </c>
      <c r="M859" s="1">
        <f>IF(OR(Table1[[#This Row],[Std Nom]]="",Table1[[#This Row],[Std Read]]=""),0,Table1[[#This Row],[Std Nom]]-Table1[[#This Row],[Std Read]])</f>
        <v>0</v>
      </c>
      <c r="N859" s="1">
        <f>IF(Calculations!$F$5="ACCREDITED 17025 WITH UNCERTAINTIES",$N$10,0)</f>
        <v>0</v>
      </c>
      <c r="O859" s="1" t="str">
        <f>IFERROR(Table1[[#This Row],[Std Nom]]-(_xlfn.XLOOKUP(Table1[[#This Row],[Manufacturer]]&amp;" "&amp;Table1[[#This Row],[Model]],Table13[MFR &amp; MDL],Table13[Tolerance % CW ],"")/100*Table1[[#This Row],[Std Nom]]),"")</f>
        <v/>
      </c>
      <c r="P859" s="1" t="str">
        <f>IFERROR(Table1[[#This Row],[Std Nom]]+(_xlfn.XLOOKUP(Table1[[#This Row],[Manufacturer]]&amp;" "&amp;Table1[[#This Row],[Model]],Table13[MFR &amp; MDL],Table13[Tolerance % CW ],"")/100*Table1[[#This Row],[Std Nom]]),"")</f>
        <v/>
      </c>
      <c r="Q859" s="1" t="e">
        <f>Table1[[#This Row],[High Tol]]-Table1[[#This Row],[Low Tol]]</f>
        <v>#VALUE!</v>
      </c>
      <c r="R859" s="1">
        <f>2*Table1[[#This Row],[Std Error]]</f>
        <v>0</v>
      </c>
      <c r="S859" s="1" t="str">
        <f>IF(Table1[[#This Row],[High Tol]]="","N/A",IFERROR(ABS(Table1[[#This Row],[Tol Span]]/Table1[[#This Row],[Error Span]]),"N/A"))</f>
        <v>N/A</v>
      </c>
      <c r="T859" s="1" t="str">
        <f>IF(OR(Table1[[#This Row],[Low Tol]]="",Table1[[#This Row],[High Tol]]=""),"Needs Analysis",IF(Table1[[#This Row],[Ratio]]&gt;=4,"Not Significant",IF(Table1[[#This Row],[Ratio]]&gt;=2,"Semi-Significant","Significant")))</f>
        <v>Needs Analysis</v>
      </c>
      <c r="W859" s="1">
        <f>IF(Table1[[#This Row],[Cal Type]]&lt;&gt;"ACCREDITED 17025 WITH UNCERTAINTIES",0,"")</f>
        <v>0</v>
      </c>
      <c r="X859" s="1" t="str">
        <f>IF(Table1[[#This Row],[DUT Read]]="","N/A",Table1[[#This Row],[Std Error]]+Table1[[#This Row],[DUT Read]]+Table1[[#This Row],[DUT Ucty]])</f>
        <v>N/A</v>
      </c>
      <c r="Y859" s="1" t="str">
        <f>IF(Table1[[#This Row],[Std Read]]="","N/A",Table1[[#This Row],[Std Read]]+Table1[[#This Row],[Std Ucty]])</f>
        <v>N/A</v>
      </c>
      <c r="Z8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9" s="1" t="str">
        <f>IF(Table1[[#This Row],[Spec Type]]="","N/A",Table1[[#This Row],[Spec Type]])</f>
        <v>±</v>
      </c>
      <c r="AC859" s="1" t="str">
        <f>IF(Table1[[#This Row],[Spec Type2]]="N/A","N/A",IF(AND(Table1[[#This Row],[DUT Adj Read]]&gt;=Table1[[#This Row],[Low Tol]],Table1[[#This Row],[DUT Adj Read]]&lt;=Table1[[#This Row],[High Tol]]),"Pass","Fail"))</f>
        <v>Fail</v>
      </c>
      <c r="AD859" s="1" t="str">
        <f>IF(AND(Table1[[#This Row],[Spec Type2]]="N/A",Table1[[#This Row],[DUT Adj Read]]="N/A",Table1[[#This Row],[Std Adj Read]]="N/A"),"N/A",IF(Table1[[#This Row],[DUT Adj Read]]="N/A",IF(Table1[[#This Row],[Std Adj Read]]&gt;Table1[[#This Row],[Low Tol]],"Pass","Fail"),IF(Table1[[#This Row],[DUT Adj Read]]&gt;Table1[[#This Row],[Low Tol]],"Pass","Fail")))</f>
        <v>Pass</v>
      </c>
      <c r="AE859" s="1" t="str">
        <f>IF(AND(Table1[[#This Row],[Spec Type2]]="N/A",Table1[[#This Row],[DUT Adj Read]]="N/A",Table1[[#This Row],[Std Adj Read]]="N/A"),"N/A",IF(Table1[[#This Row],[DUT Adj Read]]="N/A",IF(Table1[[#This Row],[Std Adj Read]]&lt;Table1[[#This Row],[High Tol]],"Pass","Fail"),IF(Table1[[#This Row],[DUT Adj Read]]&lt;Table1[[#This Row],[High Tol]],"Pass","Fail")))</f>
        <v>Fail</v>
      </c>
      <c r="AF859" s="1" t="str">
        <f>IF(AND(Table1[[#This Row],[Spec Type2]]="N/A",Table1[[#This Row],[DUT Adj Read]]="N/A",Table1[[#This Row],[Std Adj Read]]="N/A"),"N/A",IF(Table1[[#This Row],[DUT Adj Read]]="N/A",IF(Table1[[#This Row],[Std Adj Read]]&gt;=Table1[[#This Row],[Low Tol]],"Pass","Fail"),IF(Table1[[#This Row],[DUT Adj Read]]&gt;=Table1[[#This Row],[Low Tol]],"Pass","Fail")))</f>
        <v>Pass</v>
      </c>
      <c r="AG859" s="1" t="str">
        <f>IF(AND(Table1[[#This Row],[Spec Type2]]="N/A",Table1[[#This Row],[DUT Adj Read]]="N/A",Table1[[#This Row],[Std Adj Read]]="N/A"),"N/A",IF(Table1[[#This Row],[DUT Adj Read]]="N/A",IF(Table1[[#This Row],[Std Adj Read]]&lt;=Table1[[#This Row],[High Tol]],"Pass","Fail"),IF(Table1[[#This Row],[DUT Adj Read]]&lt;=Table1[[#This Row],[High Tol]],"Pass","Fail")))</f>
        <v>Fail</v>
      </c>
      <c r="AH8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9" s="1" t="b">
        <v>0</v>
      </c>
      <c r="AN859" s="1" t="b">
        <v>0</v>
      </c>
      <c r="AO859" s="1" t="b">
        <v>0</v>
      </c>
    </row>
    <row r="860" spans="1:41" x14ac:dyDescent="0.25">
      <c r="A860" s="10"/>
      <c r="B860" s="10"/>
      <c r="C860" s="10"/>
      <c r="D860" s="10"/>
      <c r="E860" s="10"/>
      <c r="F860" s="10"/>
      <c r="G860" s="10"/>
      <c r="H860" s="10"/>
      <c r="I860" s="1" t="str">
        <f t="shared" si="39"/>
        <v/>
      </c>
      <c r="J860" s="1" t="s">
        <v>35</v>
      </c>
      <c r="K860" s="1" t="str">
        <f t="shared" si="40"/>
        <v/>
      </c>
      <c r="L860" s="1" t="str">
        <f t="shared" si="41"/>
        <v/>
      </c>
      <c r="M860" s="1">
        <f>IF(OR(Table1[[#This Row],[Std Nom]]="",Table1[[#This Row],[Std Read]]=""),0,Table1[[#This Row],[Std Nom]]-Table1[[#This Row],[Std Read]])</f>
        <v>0</v>
      </c>
      <c r="N860" s="1">
        <f>IF(Calculations!$F$5="ACCREDITED 17025 WITH UNCERTAINTIES",$N$10,0)</f>
        <v>0</v>
      </c>
      <c r="O860" s="1" t="str">
        <f>IFERROR(Table1[[#This Row],[Std Nom]]-(_xlfn.XLOOKUP(Table1[[#This Row],[Manufacturer]]&amp;" "&amp;Table1[[#This Row],[Model]],Table13[MFR &amp; MDL],Table13[Tolerance % CW ],"")/100*Table1[[#This Row],[Std Nom]]),"")</f>
        <v/>
      </c>
      <c r="P860" s="1" t="str">
        <f>IFERROR(Table1[[#This Row],[Std Nom]]+(_xlfn.XLOOKUP(Table1[[#This Row],[Manufacturer]]&amp;" "&amp;Table1[[#This Row],[Model]],Table13[MFR &amp; MDL],Table13[Tolerance % CW ],"")/100*Table1[[#This Row],[Std Nom]]),"")</f>
        <v/>
      </c>
      <c r="Q860" s="1" t="e">
        <f>Table1[[#This Row],[High Tol]]-Table1[[#This Row],[Low Tol]]</f>
        <v>#VALUE!</v>
      </c>
      <c r="R860" s="1">
        <f>2*Table1[[#This Row],[Std Error]]</f>
        <v>0</v>
      </c>
      <c r="S860" s="1" t="str">
        <f>IF(Table1[[#This Row],[High Tol]]="","N/A",IFERROR(ABS(Table1[[#This Row],[Tol Span]]/Table1[[#This Row],[Error Span]]),"N/A"))</f>
        <v>N/A</v>
      </c>
      <c r="T860" s="1" t="str">
        <f>IF(OR(Table1[[#This Row],[Low Tol]]="",Table1[[#This Row],[High Tol]]=""),"Needs Analysis",IF(Table1[[#This Row],[Ratio]]&gt;=4,"Not Significant",IF(Table1[[#This Row],[Ratio]]&gt;=2,"Semi-Significant","Significant")))</f>
        <v>Needs Analysis</v>
      </c>
      <c r="W860" s="1">
        <f>IF(Table1[[#This Row],[Cal Type]]&lt;&gt;"ACCREDITED 17025 WITH UNCERTAINTIES",0,"")</f>
        <v>0</v>
      </c>
      <c r="X860" s="1" t="str">
        <f>IF(Table1[[#This Row],[DUT Read]]="","N/A",Table1[[#This Row],[Std Error]]+Table1[[#This Row],[DUT Read]]+Table1[[#This Row],[DUT Ucty]])</f>
        <v>N/A</v>
      </c>
      <c r="Y860" s="1" t="str">
        <f>IF(Table1[[#This Row],[Std Read]]="","N/A",Table1[[#This Row],[Std Read]]+Table1[[#This Row],[Std Ucty]])</f>
        <v>N/A</v>
      </c>
      <c r="Z8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0" s="1" t="str">
        <f>IF(Table1[[#This Row],[Spec Type]]="","N/A",Table1[[#This Row],[Spec Type]])</f>
        <v>±</v>
      </c>
      <c r="AC860" s="1" t="str">
        <f>IF(Table1[[#This Row],[Spec Type2]]="N/A","N/A",IF(AND(Table1[[#This Row],[DUT Adj Read]]&gt;=Table1[[#This Row],[Low Tol]],Table1[[#This Row],[DUT Adj Read]]&lt;=Table1[[#This Row],[High Tol]]),"Pass","Fail"))</f>
        <v>Fail</v>
      </c>
      <c r="AD860" s="1" t="str">
        <f>IF(AND(Table1[[#This Row],[Spec Type2]]="N/A",Table1[[#This Row],[DUT Adj Read]]="N/A",Table1[[#This Row],[Std Adj Read]]="N/A"),"N/A",IF(Table1[[#This Row],[DUT Adj Read]]="N/A",IF(Table1[[#This Row],[Std Adj Read]]&gt;Table1[[#This Row],[Low Tol]],"Pass","Fail"),IF(Table1[[#This Row],[DUT Adj Read]]&gt;Table1[[#This Row],[Low Tol]],"Pass","Fail")))</f>
        <v>Pass</v>
      </c>
      <c r="AE860" s="1" t="str">
        <f>IF(AND(Table1[[#This Row],[Spec Type2]]="N/A",Table1[[#This Row],[DUT Adj Read]]="N/A",Table1[[#This Row],[Std Adj Read]]="N/A"),"N/A",IF(Table1[[#This Row],[DUT Adj Read]]="N/A",IF(Table1[[#This Row],[Std Adj Read]]&lt;Table1[[#This Row],[High Tol]],"Pass","Fail"),IF(Table1[[#This Row],[DUT Adj Read]]&lt;Table1[[#This Row],[High Tol]],"Pass","Fail")))</f>
        <v>Fail</v>
      </c>
      <c r="AF860" s="1" t="str">
        <f>IF(AND(Table1[[#This Row],[Spec Type2]]="N/A",Table1[[#This Row],[DUT Adj Read]]="N/A",Table1[[#This Row],[Std Adj Read]]="N/A"),"N/A",IF(Table1[[#This Row],[DUT Adj Read]]="N/A",IF(Table1[[#This Row],[Std Adj Read]]&gt;=Table1[[#This Row],[Low Tol]],"Pass","Fail"),IF(Table1[[#This Row],[DUT Adj Read]]&gt;=Table1[[#This Row],[Low Tol]],"Pass","Fail")))</f>
        <v>Pass</v>
      </c>
      <c r="AG860" s="1" t="str">
        <f>IF(AND(Table1[[#This Row],[Spec Type2]]="N/A",Table1[[#This Row],[DUT Adj Read]]="N/A",Table1[[#This Row],[Std Adj Read]]="N/A"),"N/A",IF(Table1[[#This Row],[DUT Adj Read]]="N/A",IF(Table1[[#This Row],[Std Adj Read]]&lt;=Table1[[#This Row],[High Tol]],"Pass","Fail"),IF(Table1[[#This Row],[DUT Adj Read]]&lt;=Table1[[#This Row],[High Tol]],"Pass","Fail")))</f>
        <v>Fail</v>
      </c>
      <c r="AH8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0" s="1" t="b">
        <v>0</v>
      </c>
      <c r="AN860" s="1" t="b">
        <v>0</v>
      </c>
      <c r="AO860" s="1" t="b">
        <v>0</v>
      </c>
    </row>
    <row r="861" spans="1:41" x14ac:dyDescent="0.25">
      <c r="A861" s="10"/>
      <c r="B861" s="10"/>
      <c r="C861" s="10"/>
      <c r="D861" s="10"/>
      <c r="E861" s="10"/>
      <c r="F861" s="10"/>
      <c r="G861" s="10"/>
      <c r="H861" s="10"/>
      <c r="I861" s="1" t="str">
        <f t="shared" si="39"/>
        <v/>
      </c>
      <c r="J861" s="1" t="s">
        <v>35</v>
      </c>
      <c r="K861" s="1" t="str">
        <f t="shared" si="40"/>
        <v/>
      </c>
      <c r="L861" s="1" t="str">
        <f t="shared" si="41"/>
        <v/>
      </c>
      <c r="M861" s="1">
        <f>IF(OR(Table1[[#This Row],[Std Nom]]="",Table1[[#This Row],[Std Read]]=""),0,Table1[[#This Row],[Std Nom]]-Table1[[#This Row],[Std Read]])</f>
        <v>0</v>
      </c>
      <c r="N861" s="1">
        <f>IF(Calculations!$F$5="ACCREDITED 17025 WITH UNCERTAINTIES",$N$10,0)</f>
        <v>0</v>
      </c>
      <c r="O861" s="1" t="str">
        <f>IFERROR(Table1[[#This Row],[Std Nom]]-(_xlfn.XLOOKUP(Table1[[#This Row],[Manufacturer]]&amp;" "&amp;Table1[[#This Row],[Model]],Table13[MFR &amp; MDL],Table13[Tolerance % CW ],"")/100*Table1[[#This Row],[Std Nom]]),"")</f>
        <v/>
      </c>
      <c r="P861" s="1" t="str">
        <f>IFERROR(Table1[[#This Row],[Std Nom]]+(_xlfn.XLOOKUP(Table1[[#This Row],[Manufacturer]]&amp;" "&amp;Table1[[#This Row],[Model]],Table13[MFR &amp; MDL],Table13[Tolerance % CW ],"")/100*Table1[[#This Row],[Std Nom]]),"")</f>
        <v/>
      </c>
      <c r="Q861" s="1" t="e">
        <f>Table1[[#This Row],[High Tol]]-Table1[[#This Row],[Low Tol]]</f>
        <v>#VALUE!</v>
      </c>
      <c r="R861" s="1">
        <f>2*Table1[[#This Row],[Std Error]]</f>
        <v>0</v>
      </c>
      <c r="S861" s="1" t="str">
        <f>IF(Table1[[#This Row],[High Tol]]="","N/A",IFERROR(ABS(Table1[[#This Row],[Tol Span]]/Table1[[#This Row],[Error Span]]),"N/A"))</f>
        <v>N/A</v>
      </c>
      <c r="T861" s="1" t="str">
        <f>IF(OR(Table1[[#This Row],[Low Tol]]="",Table1[[#This Row],[High Tol]]=""),"Needs Analysis",IF(Table1[[#This Row],[Ratio]]&gt;=4,"Not Significant",IF(Table1[[#This Row],[Ratio]]&gt;=2,"Semi-Significant","Significant")))</f>
        <v>Needs Analysis</v>
      </c>
      <c r="W861" s="1">
        <f>IF(Table1[[#This Row],[Cal Type]]&lt;&gt;"ACCREDITED 17025 WITH UNCERTAINTIES",0,"")</f>
        <v>0</v>
      </c>
      <c r="X861" s="1" t="str">
        <f>IF(Table1[[#This Row],[DUT Read]]="","N/A",Table1[[#This Row],[Std Error]]+Table1[[#This Row],[DUT Read]]+Table1[[#This Row],[DUT Ucty]])</f>
        <v>N/A</v>
      </c>
      <c r="Y861" s="1" t="str">
        <f>IF(Table1[[#This Row],[Std Read]]="","N/A",Table1[[#This Row],[Std Read]]+Table1[[#This Row],[Std Ucty]])</f>
        <v>N/A</v>
      </c>
      <c r="Z8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1" s="1" t="str">
        <f>IF(Table1[[#This Row],[Spec Type]]="","N/A",Table1[[#This Row],[Spec Type]])</f>
        <v>±</v>
      </c>
      <c r="AC861" s="1" t="str">
        <f>IF(Table1[[#This Row],[Spec Type2]]="N/A","N/A",IF(AND(Table1[[#This Row],[DUT Adj Read]]&gt;=Table1[[#This Row],[Low Tol]],Table1[[#This Row],[DUT Adj Read]]&lt;=Table1[[#This Row],[High Tol]]),"Pass","Fail"))</f>
        <v>Fail</v>
      </c>
      <c r="AD861" s="1" t="str">
        <f>IF(AND(Table1[[#This Row],[Spec Type2]]="N/A",Table1[[#This Row],[DUT Adj Read]]="N/A",Table1[[#This Row],[Std Adj Read]]="N/A"),"N/A",IF(Table1[[#This Row],[DUT Adj Read]]="N/A",IF(Table1[[#This Row],[Std Adj Read]]&gt;Table1[[#This Row],[Low Tol]],"Pass","Fail"),IF(Table1[[#This Row],[DUT Adj Read]]&gt;Table1[[#This Row],[Low Tol]],"Pass","Fail")))</f>
        <v>Pass</v>
      </c>
      <c r="AE861" s="1" t="str">
        <f>IF(AND(Table1[[#This Row],[Spec Type2]]="N/A",Table1[[#This Row],[DUT Adj Read]]="N/A",Table1[[#This Row],[Std Adj Read]]="N/A"),"N/A",IF(Table1[[#This Row],[DUT Adj Read]]="N/A",IF(Table1[[#This Row],[Std Adj Read]]&lt;Table1[[#This Row],[High Tol]],"Pass","Fail"),IF(Table1[[#This Row],[DUT Adj Read]]&lt;Table1[[#This Row],[High Tol]],"Pass","Fail")))</f>
        <v>Fail</v>
      </c>
      <c r="AF861" s="1" t="str">
        <f>IF(AND(Table1[[#This Row],[Spec Type2]]="N/A",Table1[[#This Row],[DUT Adj Read]]="N/A",Table1[[#This Row],[Std Adj Read]]="N/A"),"N/A",IF(Table1[[#This Row],[DUT Adj Read]]="N/A",IF(Table1[[#This Row],[Std Adj Read]]&gt;=Table1[[#This Row],[Low Tol]],"Pass","Fail"),IF(Table1[[#This Row],[DUT Adj Read]]&gt;=Table1[[#This Row],[Low Tol]],"Pass","Fail")))</f>
        <v>Pass</v>
      </c>
      <c r="AG861" s="1" t="str">
        <f>IF(AND(Table1[[#This Row],[Spec Type2]]="N/A",Table1[[#This Row],[DUT Adj Read]]="N/A",Table1[[#This Row],[Std Adj Read]]="N/A"),"N/A",IF(Table1[[#This Row],[DUT Adj Read]]="N/A",IF(Table1[[#This Row],[Std Adj Read]]&lt;=Table1[[#This Row],[High Tol]],"Pass","Fail"),IF(Table1[[#This Row],[DUT Adj Read]]&lt;=Table1[[#This Row],[High Tol]],"Pass","Fail")))</f>
        <v>Fail</v>
      </c>
      <c r="AH8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1" s="1" t="b">
        <v>0</v>
      </c>
      <c r="AN861" s="1" t="b">
        <v>0</v>
      </c>
      <c r="AO861" s="1" t="b">
        <v>0</v>
      </c>
    </row>
    <row r="862" spans="1:41" x14ac:dyDescent="0.25">
      <c r="A862" s="10"/>
      <c r="B862" s="10"/>
      <c r="C862" s="10"/>
      <c r="D862" s="10"/>
      <c r="E862" s="10"/>
      <c r="F862" s="10"/>
      <c r="G862" s="10"/>
      <c r="H862" s="10"/>
      <c r="I862" s="1" t="str">
        <f t="shared" si="39"/>
        <v/>
      </c>
      <c r="J862" s="1" t="s">
        <v>35</v>
      </c>
      <c r="K862" s="1" t="str">
        <f t="shared" si="40"/>
        <v/>
      </c>
      <c r="L862" s="1" t="str">
        <f t="shared" si="41"/>
        <v/>
      </c>
      <c r="M862" s="1">
        <f>IF(OR(Table1[[#This Row],[Std Nom]]="",Table1[[#This Row],[Std Read]]=""),0,Table1[[#This Row],[Std Nom]]-Table1[[#This Row],[Std Read]])</f>
        <v>0</v>
      </c>
      <c r="N862" s="1">
        <f>IF(Calculations!$F$5="ACCREDITED 17025 WITH UNCERTAINTIES",$N$10,0)</f>
        <v>0</v>
      </c>
      <c r="O862" s="1" t="str">
        <f>IFERROR(Table1[[#This Row],[Std Nom]]-(_xlfn.XLOOKUP(Table1[[#This Row],[Manufacturer]]&amp;" "&amp;Table1[[#This Row],[Model]],Table13[MFR &amp; MDL],Table13[Tolerance % CW ],"")/100*Table1[[#This Row],[Std Nom]]),"")</f>
        <v/>
      </c>
      <c r="P862" s="1" t="str">
        <f>IFERROR(Table1[[#This Row],[Std Nom]]+(_xlfn.XLOOKUP(Table1[[#This Row],[Manufacturer]]&amp;" "&amp;Table1[[#This Row],[Model]],Table13[MFR &amp; MDL],Table13[Tolerance % CW ],"")/100*Table1[[#This Row],[Std Nom]]),"")</f>
        <v/>
      </c>
      <c r="Q862" s="1" t="e">
        <f>Table1[[#This Row],[High Tol]]-Table1[[#This Row],[Low Tol]]</f>
        <v>#VALUE!</v>
      </c>
      <c r="R862" s="1">
        <f>2*Table1[[#This Row],[Std Error]]</f>
        <v>0</v>
      </c>
      <c r="S862" s="1" t="str">
        <f>IF(Table1[[#This Row],[High Tol]]="","N/A",IFERROR(ABS(Table1[[#This Row],[Tol Span]]/Table1[[#This Row],[Error Span]]),"N/A"))</f>
        <v>N/A</v>
      </c>
      <c r="T862" s="1" t="str">
        <f>IF(OR(Table1[[#This Row],[Low Tol]]="",Table1[[#This Row],[High Tol]]=""),"Needs Analysis",IF(Table1[[#This Row],[Ratio]]&gt;=4,"Not Significant",IF(Table1[[#This Row],[Ratio]]&gt;=2,"Semi-Significant","Significant")))</f>
        <v>Needs Analysis</v>
      </c>
      <c r="W862" s="1">
        <f>IF(Table1[[#This Row],[Cal Type]]&lt;&gt;"ACCREDITED 17025 WITH UNCERTAINTIES",0,"")</f>
        <v>0</v>
      </c>
      <c r="X862" s="1" t="str">
        <f>IF(Table1[[#This Row],[DUT Read]]="","N/A",Table1[[#This Row],[Std Error]]+Table1[[#This Row],[DUT Read]]+Table1[[#This Row],[DUT Ucty]])</f>
        <v>N/A</v>
      </c>
      <c r="Y862" s="1" t="str">
        <f>IF(Table1[[#This Row],[Std Read]]="","N/A",Table1[[#This Row],[Std Read]]+Table1[[#This Row],[Std Ucty]])</f>
        <v>N/A</v>
      </c>
      <c r="Z8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2" s="1" t="str">
        <f>IF(Table1[[#This Row],[Spec Type]]="","N/A",Table1[[#This Row],[Spec Type]])</f>
        <v>±</v>
      </c>
      <c r="AC862" s="1" t="str">
        <f>IF(Table1[[#This Row],[Spec Type2]]="N/A","N/A",IF(AND(Table1[[#This Row],[DUT Adj Read]]&gt;=Table1[[#This Row],[Low Tol]],Table1[[#This Row],[DUT Adj Read]]&lt;=Table1[[#This Row],[High Tol]]),"Pass","Fail"))</f>
        <v>Fail</v>
      </c>
      <c r="AD862" s="1" t="str">
        <f>IF(AND(Table1[[#This Row],[Spec Type2]]="N/A",Table1[[#This Row],[DUT Adj Read]]="N/A",Table1[[#This Row],[Std Adj Read]]="N/A"),"N/A",IF(Table1[[#This Row],[DUT Adj Read]]="N/A",IF(Table1[[#This Row],[Std Adj Read]]&gt;Table1[[#This Row],[Low Tol]],"Pass","Fail"),IF(Table1[[#This Row],[DUT Adj Read]]&gt;Table1[[#This Row],[Low Tol]],"Pass","Fail")))</f>
        <v>Pass</v>
      </c>
      <c r="AE862" s="1" t="str">
        <f>IF(AND(Table1[[#This Row],[Spec Type2]]="N/A",Table1[[#This Row],[DUT Adj Read]]="N/A",Table1[[#This Row],[Std Adj Read]]="N/A"),"N/A",IF(Table1[[#This Row],[DUT Adj Read]]="N/A",IF(Table1[[#This Row],[Std Adj Read]]&lt;Table1[[#This Row],[High Tol]],"Pass","Fail"),IF(Table1[[#This Row],[DUT Adj Read]]&lt;Table1[[#This Row],[High Tol]],"Pass","Fail")))</f>
        <v>Fail</v>
      </c>
      <c r="AF862" s="1" t="str">
        <f>IF(AND(Table1[[#This Row],[Spec Type2]]="N/A",Table1[[#This Row],[DUT Adj Read]]="N/A",Table1[[#This Row],[Std Adj Read]]="N/A"),"N/A",IF(Table1[[#This Row],[DUT Adj Read]]="N/A",IF(Table1[[#This Row],[Std Adj Read]]&gt;=Table1[[#This Row],[Low Tol]],"Pass","Fail"),IF(Table1[[#This Row],[DUT Adj Read]]&gt;=Table1[[#This Row],[Low Tol]],"Pass","Fail")))</f>
        <v>Pass</v>
      </c>
      <c r="AG862" s="1" t="str">
        <f>IF(AND(Table1[[#This Row],[Spec Type2]]="N/A",Table1[[#This Row],[DUT Adj Read]]="N/A",Table1[[#This Row],[Std Adj Read]]="N/A"),"N/A",IF(Table1[[#This Row],[DUT Adj Read]]="N/A",IF(Table1[[#This Row],[Std Adj Read]]&lt;=Table1[[#This Row],[High Tol]],"Pass","Fail"),IF(Table1[[#This Row],[DUT Adj Read]]&lt;=Table1[[#This Row],[High Tol]],"Pass","Fail")))</f>
        <v>Fail</v>
      </c>
      <c r="AH8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2" s="1" t="b">
        <v>0</v>
      </c>
      <c r="AN862" s="1" t="b">
        <v>0</v>
      </c>
      <c r="AO862" s="1" t="b">
        <v>0</v>
      </c>
    </row>
    <row r="863" spans="1:41" x14ac:dyDescent="0.25">
      <c r="A863" s="10"/>
      <c r="B863" s="10"/>
      <c r="C863" s="10"/>
      <c r="D863" s="10"/>
      <c r="E863" s="10"/>
      <c r="F863" s="10"/>
      <c r="G863" s="10"/>
      <c r="H863" s="10"/>
      <c r="I863" s="1" t="str">
        <f t="shared" si="39"/>
        <v/>
      </c>
      <c r="J863" s="1" t="s">
        <v>35</v>
      </c>
      <c r="K863" s="1" t="str">
        <f t="shared" si="40"/>
        <v/>
      </c>
      <c r="L863" s="1" t="str">
        <f t="shared" si="41"/>
        <v/>
      </c>
      <c r="M863" s="1">
        <f>IF(OR(Table1[[#This Row],[Std Nom]]="",Table1[[#This Row],[Std Read]]=""),0,Table1[[#This Row],[Std Nom]]-Table1[[#This Row],[Std Read]])</f>
        <v>0</v>
      </c>
      <c r="N863" s="1">
        <f>IF(Calculations!$F$5="ACCREDITED 17025 WITH UNCERTAINTIES",$N$10,0)</f>
        <v>0</v>
      </c>
      <c r="O863" s="1" t="str">
        <f>IFERROR(Table1[[#This Row],[Std Nom]]-(_xlfn.XLOOKUP(Table1[[#This Row],[Manufacturer]]&amp;" "&amp;Table1[[#This Row],[Model]],Table13[MFR &amp; MDL],Table13[Tolerance % CW ],"")/100*Table1[[#This Row],[Std Nom]]),"")</f>
        <v/>
      </c>
      <c r="P863" s="1" t="str">
        <f>IFERROR(Table1[[#This Row],[Std Nom]]+(_xlfn.XLOOKUP(Table1[[#This Row],[Manufacturer]]&amp;" "&amp;Table1[[#This Row],[Model]],Table13[MFR &amp; MDL],Table13[Tolerance % CW ],"")/100*Table1[[#This Row],[Std Nom]]),"")</f>
        <v/>
      </c>
      <c r="Q863" s="1" t="e">
        <f>Table1[[#This Row],[High Tol]]-Table1[[#This Row],[Low Tol]]</f>
        <v>#VALUE!</v>
      </c>
      <c r="R863" s="1">
        <f>2*Table1[[#This Row],[Std Error]]</f>
        <v>0</v>
      </c>
      <c r="S863" s="1" t="str">
        <f>IF(Table1[[#This Row],[High Tol]]="","N/A",IFERROR(ABS(Table1[[#This Row],[Tol Span]]/Table1[[#This Row],[Error Span]]),"N/A"))</f>
        <v>N/A</v>
      </c>
      <c r="T863" s="1" t="str">
        <f>IF(OR(Table1[[#This Row],[Low Tol]]="",Table1[[#This Row],[High Tol]]=""),"Needs Analysis",IF(Table1[[#This Row],[Ratio]]&gt;=4,"Not Significant",IF(Table1[[#This Row],[Ratio]]&gt;=2,"Semi-Significant","Significant")))</f>
        <v>Needs Analysis</v>
      </c>
      <c r="W863" s="1">
        <f>IF(Table1[[#This Row],[Cal Type]]&lt;&gt;"ACCREDITED 17025 WITH UNCERTAINTIES",0,"")</f>
        <v>0</v>
      </c>
      <c r="X863" s="1" t="str">
        <f>IF(Table1[[#This Row],[DUT Read]]="","N/A",Table1[[#This Row],[Std Error]]+Table1[[#This Row],[DUT Read]]+Table1[[#This Row],[DUT Ucty]])</f>
        <v>N/A</v>
      </c>
      <c r="Y863" s="1" t="str">
        <f>IF(Table1[[#This Row],[Std Read]]="","N/A",Table1[[#This Row],[Std Read]]+Table1[[#This Row],[Std Ucty]])</f>
        <v>N/A</v>
      </c>
      <c r="Z8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3" s="1" t="str">
        <f>IF(Table1[[#This Row],[Spec Type]]="","N/A",Table1[[#This Row],[Spec Type]])</f>
        <v>±</v>
      </c>
      <c r="AC863" s="1" t="str">
        <f>IF(Table1[[#This Row],[Spec Type2]]="N/A","N/A",IF(AND(Table1[[#This Row],[DUT Adj Read]]&gt;=Table1[[#This Row],[Low Tol]],Table1[[#This Row],[DUT Adj Read]]&lt;=Table1[[#This Row],[High Tol]]),"Pass","Fail"))</f>
        <v>Fail</v>
      </c>
      <c r="AD863" s="1" t="str">
        <f>IF(AND(Table1[[#This Row],[Spec Type2]]="N/A",Table1[[#This Row],[DUT Adj Read]]="N/A",Table1[[#This Row],[Std Adj Read]]="N/A"),"N/A",IF(Table1[[#This Row],[DUT Adj Read]]="N/A",IF(Table1[[#This Row],[Std Adj Read]]&gt;Table1[[#This Row],[Low Tol]],"Pass","Fail"),IF(Table1[[#This Row],[DUT Adj Read]]&gt;Table1[[#This Row],[Low Tol]],"Pass","Fail")))</f>
        <v>Pass</v>
      </c>
      <c r="AE863" s="1" t="str">
        <f>IF(AND(Table1[[#This Row],[Spec Type2]]="N/A",Table1[[#This Row],[DUT Adj Read]]="N/A",Table1[[#This Row],[Std Adj Read]]="N/A"),"N/A",IF(Table1[[#This Row],[DUT Adj Read]]="N/A",IF(Table1[[#This Row],[Std Adj Read]]&lt;Table1[[#This Row],[High Tol]],"Pass","Fail"),IF(Table1[[#This Row],[DUT Adj Read]]&lt;Table1[[#This Row],[High Tol]],"Pass","Fail")))</f>
        <v>Fail</v>
      </c>
      <c r="AF863" s="1" t="str">
        <f>IF(AND(Table1[[#This Row],[Spec Type2]]="N/A",Table1[[#This Row],[DUT Adj Read]]="N/A",Table1[[#This Row],[Std Adj Read]]="N/A"),"N/A",IF(Table1[[#This Row],[DUT Adj Read]]="N/A",IF(Table1[[#This Row],[Std Adj Read]]&gt;=Table1[[#This Row],[Low Tol]],"Pass","Fail"),IF(Table1[[#This Row],[DUT Adj Read]]&gt;=Table1[[#This Row],[Low Tol]],"Pass","Fail")))</f>
        <v>Pass</v>
      </c>
      <c r="AG863" s="1" t="str">
        <f>IF(AND(Table1[[#This Row],[Spec Type2]]="N/A",Table1[[#This Row],[DUT Adj Read]]="N/A",Table1[[#This Row],[Std Adj Read]]="N/A"),"N/A",IF(Table1[[#This Row],[DUT Adj Read]]="N/A",IF(Table1[[#This Row],[Std Adj Read]]&lt;=Table1[[#This Row],[High Tol]],"Pass","Fail"),IF(Table1[[#This Row],[DUT Adj Read]]&lt;=Table1[[#This Row],[High Tol]],"Pass","Fail")))</f>
        <v>Fail</v>
      </c>
      <c r="AH8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3" s="1" t="b">
        <v>0</v>
      </c>
      <c r="AN863" s="1" t="b">
        <v>0</v>
      </c>
      <c r="AO863" s="1" t="b">
        <v>0</v>
      </c>
    </row>
    <row r="864" spans="1:41" x14ac:dyDescent="0.25">
      <c r="A864" s="10"/>
      <c r="B864" s="10"/>
      <c r="C864" s="10"/>
      <c r="D864" s="10"/>
      <c r="E864" s="10"/>
      <c r="F864" s="10"/>
      <c r="G864" s="10"/>
      <c r="H864" s="10"/>
      <c r="I864" s="1" t="str">
        <f t="shared" si="39"/>
        <v/>
      </c>
      <c r="J864" s="1" t="s">
        <v>35</v>
      </c>
      <c r="K864" s="1" t="str">
        <f t="shared" si="40"/>
        <v/>
      </c>
      <c r="L864" s="1" t="str">
        <f t="shared" si="41"/>
        <v/>
      </c>
      <c r="M864" s="1">
        <f>IF(OR(Table1[[#This Row],[Std Nom]]="",Table1[[#This Row],[Std Read]]=""),0,Table1[[#This Row],[Std Nom]]-Table1[[#This Row],[Std Read]])</f>
        <v>0</v>
      </c>
      <c r="N864" s="1">
        <f>IF(Calculations!$F$5="ACCREDITED 17025 WITH UNCERTAINTIES",$N$10,0)</f>
        <v>0</v>
      </c>
      <c r="O864" s="1" t="str">
        <f>IFERROR(Table1[[#This Row],[Std Nom]]-(_xlfn.XLOOKUP(Table1[[#This Row],[Manufacturer]]&amp;" "&amp;Table1[[#This Row],[Model]],Table13[MFR &amp; MDL],Table13[Tolerance % CW ],"")/100*Table1[[#This Row],[Std Nom]]),"")</f>
        <v/>
      </c>
      <c r="P864" s="1" t="str">
        <f>IFERROR(Table1[[#This Row],[Std Nom]]+(_xlfn.XLOOKUP(Table1[[#This Row],[Manufacturer]]&amp;" "&amp;Table1[[#This Row],[Model]],Table13[MFR &amp; MDL],Table13[Tolerance % CW ],"")/100*Table1[[#This Row],[Std Nom]]),"")</f>
        <v/>
      </c>
      <c r="Q864" s="1" t="e">
        <f>Table1[[#This Row],[High Tol]]-Table1[[#This Row],[Low Tol]]</f>
        <v>#VALUE!</v>
      </c>
      <c r="R864" s="1">
        <f>2*Table1[[#This Row],[Std Error]]</f>
        <v>0</v>
      </c>
      <c r="S864" s="1" t="str">
        <f>IF(Table1[[#This Row],[High Tol]]="","N/A",IFERROR(ABS(Table1[[#This Row],[Tol Span]]/Table1[[#This Row],[Error Span]]),"N/A"))</f>
        <v>N/A</v>
      </c>
      <c r="T864" s="1" t="str">
        <f>IF(OR(Table1[[#This Row],[Low Tol]]="",Table1[[#This Row],[High Tol]]=""),"Needs Analysis",IF(Table1[[#This Row],[Ratio]]&gt;=4,"Not Significant",IF(Table1[[#This Row],[Ratio]]&gt;=2,"Semi-Significant","Significant")))</f>
        <v>Needs Analysis</v>
      </c>
      <c r="W864" s="1">
        <f>IF(Table1[[#This Row],[Cal Type]]&lt;&gt;"ACCREDITED 17025 WITH UNCERTAINTIES",0,"")</f>
        <v>0</v>
      </c>
      <c r="X864" s="1" t="str">
        <f>IF(Table1[[#This Row],[DUT Read]]="","N/A",Table1[[#This Row],[Std Error]]+Table1[[#This Row],[DUT Read]]+Table1[[#This Row],[DUT Ucty]])</f>
        <v>N/A</v>
      </c>
      <c r="Y864" s="1" t="str">
        <f>IF(Table1[[#This Row],[Std Read]]="","N/A",Table1[[#This Row],[Std Read]]+Table1[[#This Row],[Std Ucty]])</f>
        <v>N/A</v>
      </c>
      <c r="Z8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4" s="1" t="str">
        <f>IF(Table1[[#This Row],[Spec Type]]="","N/A",Table1[[#This Row],[Spec Type]])</f>
        <v>±</v>
      </c>
      <c r="AC864" s="1" t="str">
        <f>IF(Table1[[#This Row],[Spec Type2]]="N/A","N/A",IF(AND(Table1[[#This Row],[DUT Adj Read]]&gt;=Table1[[#This Row],[Low Tol]],Table1[[#This Row],[DUT Adj Read]]&lt;=Table1[[#This Row],[High Tol]]),"Pass","Fail"))</f>
        <v>Fail</v>
      </c>
      <c r="AD864" s="1" t="str">
        <f>IF(AND(Table1[[#This Row],[Spec Type2]]="N/A",Table1[[#This Row],[DUT Adj Read]]="N/A",Table1[[#This Row],[Std Adj Read]]="N/A"),"N/A",IF(Table1[[#This Row],[DUT Adj Read]]="N/A",IF(Table1[[#This Row],[Std Adj Read]]&gt;Table1[[#This Row],[Low Tol]],"Pass","Fail"),IF(Table1[[#This Row],[DUT Adj Read]]&gt;Table1[[#This Row],[Low Tol]],"Pass","Fail")))</f>
        <v>Pass</v>
      </c>
      <c r="AE864" s="1" t="str">
        <f>IF(AND(Table1[[#This Row],[Spec Type2]]="N/A",Table1[[#This Row],[DUT Adj Read]]="N/A",Table1[[#This Row],[Std Adj Read]]="N/A"),"N/A",IF(Table1[[#This Row],[DUT Adj Read]]="N/A",IF(Table1[[#This Row],[Std Adj Read]]&lt;Table1[[#This Row],[High Tol]],"Pass","Fail"),IF(Table1[[#This Row],[DUT Adj Read]]&lt;Table1[[#This Row],[High Tol]],"Pass","Fail")))</f>
        <v>Fail</v>
      </c>
      <c r="AF864" s="1" t="str">
        <f>IF(AND(Table1[[#This Row],[Spec Type2]]="N/A",Table1[[#This Row],[DUT Adj Read]]="N/A",Table1[[#This Row],[Std Adj Read]]="N/A"),"N/A",IF(Table1[[#This Row],[DUT Adj Read]]="N/A",IF(Table1[[#This Row],[Std Adj Read]]&gt;=Table1[[#This Row],[Low Tol]],"Pass","Fail"),IF(Table1[[#This Row],[DUT Adj Read]]&gt;=Table1[[#This Row],[Low Tol]],"Pass","Fail")))</f>
        <v>Pass</v>
      </c>
      <c r="AG864" s="1" t="str">
        <f>IF(AND(Table1[[#This Row],[Spec Type2]]="N/A",Table1[[#This Row],[DUT Adj Read]]="N/A",Table1[[#This Row],[Std Adj Read]]="N/A"),"N/A",IF(Table1[[#This Row],[DUT Adj Read]]="N/A",IF(Table1[[#This Row],[Std Adj Read]]&lt;=Table1[[#This Row],[High Tol]],"Pass","Fail"),IF(Table1[[#This Row],[DUT Adj Read]]&lt;=Table1[[#This Row],[High Tol]],"Pass","Fail")))</f>
        <v>Fail</v>
      </c>
      <c r="AH8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4" s="1" t="b">
        <v>0</v>
      </c>
      <c r="AN864" s="1" t="b">
        <v>0</v>
      </c>
      <c r="AO864" s="1" t="b">
        <v>0</v>
      </c>
    </row>
    <row r="865" spans="1:41" x14ac:dyDescent="0.25">
      <c r="A865" s="10"/>
      <c r="B865" s="10"/>
      <c r="C865" s="10"/>
      <c r="D865" s="10"/>
      <c r="E865" s="10"/>
      <c r="F865" s="10"/>
      <c r="G865" s="10"/>
      <c r="H865" s="10"/>
      <c r="I865" s="1" t="str">
        <f t="shared" si="39"/>
        <v/>
      </c>
      <c r="J865" s="1" t="s">
        <v>35</v>
      </c>
      <c r="K865" s="1" t="str">
        <f t="shared" si="40"/>
        <v/>
      </c>
      <c r="L865" s="1" t="str">
        <f t="shared" si="41"/>
        <v/>
      </c>
      <c r="M865" s="1">
        <f>IF(OR(Table1[[#This Row],[Std Nom]]="",Table1[[#This Row],[Std Read]]=""),0,Table1[[#This Row],[Std Nom]]-Table1[[#This Row],[Std Read]])</f>
        <v>0</v>
      </c>
      <c r="N865" s="1">
        <f>IF(Calculations!$F$5="ACCREDITED 17025 WITH UNCERTAINTIES",$N$10,0)</f>
        <v>0</v>
      </c>
      <c r="O865" s="1" t="str">
        <f>IFERROR(Table1[[#This Row],[Std Nom]]-(_xlfn.XLOOKUP(Table1[[#This Row],[Manufacturer]]&amp;" "&amp;Table1[[#This Row],[Model]],Table13[MFR &amp; MDL],Table13[Tolerance % CW ],"")/100*Table1[[#This Row],[Std Nom]]),"")</f>
        <v/>
      </c>
      <c r="P865" s="1" t="str">
        <f>IFERROR(Table1[[#This Row],[Std Nom]]+(_xlfn.XLOOKUP(Table1[[#This Row],[Manufacturer]]&amp;" "&amp;Table1[[#This Row],[Model]],Table13[MFR &amp; MDL],Table13[Tolerance % CW ],"")/100*Table1[[#This Row],[Std Nom]]),"")</f>
        <v/>
      </c>
      <c r="Q865" s="1" t="e">
        <f>Table1[[#This Row],[High Tol]]-Table1[[#This Row],[Low Tol]]</f>
        <v>#VALUE!</v>
      </c>
      <c r="R865" s="1">
        <f>2*Table1[[#This Row],[Std Error]]</f>
        <v>0</v>
      </c>
      <c r="S865" s="1" t="str">
        <f>IF(Table1[[#This Row],[High Tol]]="","N/A",IFERROR(ABS(Table1[[#This Row],[Tol Span]]/Table1[[#This Row],[Error Span]]),"N/A"))</f>
        <v>N/A</v>
      </c>
      <c r="T865" s="1" t="str">
        <f>IF(OR(Table1[[#This Row],[Low Tol]]="",Table1[[#This Row],[High Tol]]=""),"Needs Analysis",IF(Table1[[#This Row],[Ratio]]&gt;=4,"Not Significant",IF(Table1[[#This Row],[Ratio]]&gt;=2,"Semi-Significant","Significant")))</f>
        <v>Needs Analysis</v>
      </c>
      <c r="W865" s="1">
        <f>IF(Table1[[#This Row],[Cal Type]]&lt;&gt;"ACCREDITED 17025 WITH UNCERTAINTIES",0,"")</f>
        <v>0</v>
      </c>
      <c r="X865" s="1" t="str">
        <f>IF(Table1[[#This Row],[DUT Read]]="","N/A",Table1[[#This Row],[Std Error]]+Table1[[#This Row],[DUT Read]]+Table1[[#This Row],[DUT Ucty]])</f>
        <v>N/A</v>
      </c>
      <c r="Y865" s="1" t="str">
        <f>IF(Table1[[#This Row],[Std Read]]="","N/A",Table1[[#This Row],[Std Read]]+Table1[[#This Row],[Std Ucty]])</f>
        <v>N/A</v>
      </c>
      <c r="Z8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5" s="1" t="str">
        <f>IF(Table1[[#This Row],[Spec Type]]="","N/A",Table1[[#This Row],[Spec Type]])</f>
        <v>±</v>
      </c>
      <c r="AC865" s="1" t="str">
        <f>IF(Table1[[#This Row],[Spec Type2]]="N/A","N/A",IF(AND(Table1[[#This Row],[DUT Adj Read]]&gt;=Table1[[#This Row],[Low Tol]],Table1[[#This Row],[DUT Adj Read]]&lt;=Table1[[#This Row],[High Tol]]),"Pass","Fail"))</f>
        <v>Fail</v>
      </c>
      <c r="AD865" s="1" t="str">
        <f>IF(AND(Table1[[#This Row],[Spec Type2]]="N/A",Table1[[#This Row],[DUT Adj Read]]="N/A",Table1[[#This Row],[Std Adj Read]]="N/A"),"N/A",IF(Table1[[#This Row],[DUT Adj Read]]="N/A",IF(Table1[[#This Row],[Std Adj Read]]&gt;Table1[[#This Row],[Low Tol]],"Pass","Fail"),IF(Table1[[#This Row],[DUT Adj Read]]&gt;Table1[[#This Row],[Low Tol]],"Pass","Fail")))</f>
        <v>Pass</v>
      </c>
      <c r="AE865" s="1" t="str">
        <f>IF(AND(Table1[[#This Row],[Spec Type2]]="N/A",Table1[[#This Row],[DUT Adj Read]]="N/A",Table1[[#This Row],[Std Adj Read]]="N/A"),"N/A",IF(Table1[[#This Row],[DUT Adj Read]]="N/A",IF(Table1[[#This Row],[Std Adj Read]]&lt;Table1[[#This Row],[High Tol]],"Pass","Fail"),IF(Table1[[#This Row],[DUT Adj Read]]&lt;Table1[[#This Row],[High Tol]],"Pass","Fail")))</f>
        <v>Fail</v>
      </c>
      <c r="AF865" s="1" t="str">
        <f>IF(AND(Table1[[#This Row],[Spec Type2]]="N/A",Table1[[#This Row],[DUT Adj Read]]="N/A",Table1[[#This Row],[Std Adj Read]]="N/A"),"N/A",IF(Table1[[#This Row],[DUT Adj Read]]="N/A",IF(Table1[[#This Row],[Std Adj Read]]&gt;=Table1[[#This Row],[Low Tol]],"Pass","Fail"),IF(Table1[[#This Row],[DUT Adj Read]]&gt;=Table1[[#This Row],[Low Tol]],"Pass","Fail")))</f>
        <v>Pass</v>
      </c>
      <c r="AG865" s="1" t="str">
        <f>IF(AND(Table1[[#This Row],[Spec Type2]]="N/A",Table1[[#This Row],[DUT Adj Read]]="N/A",Table1[[#This Row],[Std Adj Read]]="N/A"),"N/A",IF(Table1[[#This Row],[DUT Adj Read]]="N/A",IF(Table1[[#This Row],[Std Adj Read]]&lt;=Table1[[#This Row],[High Tol]],"Pass","Fail"),IF(Table1[[#This Row],[DUT Adj Read]]&lt;=Table1[[#This Row],[High Tol]],"Pass","Fail")))</f>
        <v>Fail</v>
      </c>
      <c r="AH8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5" s="1" t="b">
        <v>0</v>
      </c>
      <c r="AN865" s="1" t="b">
        <v>0</v>
      </c>
      <c r="AO865" s="1" t="b">
        <v>0</v>
      </c>
    </row>
    <row r="866" spans="1:41" x14ac:dyDescent="0.25">
      <c r="A866" s="10"/>
      <c r="B866" s="10"/>
      <c r="C866" s="10"/>
      <c r="D866" s="10"/>
      <c r="E866" s="10"/>
      <c r="F866" s="10"/>
      <c r="G866" s="10"/>
      <c r="H866" s="10"/>
      <c r="I866" s="1" t="str">
        <f t="shared" si="39"/>
        <v/>
      </c>
      <c r="J866" s="1" t="s">
        <v>35</v>
      </c>
      <c r="K866" s="1" t="str">
        <f t="shared" si="40"/>
        <v/>
      </c>
      <c r="L866" s="1" t="str">
        <f t="shared" si="41"/>
        <v/>
      </c>
      <c r="M866" s="1">
        <f>IF(OR(Table1[[#This Row],[Std Nom]]="",Table1[[#This Row],[Std Read]]=""),0,Table1[[#This Row],[Std Nom]]-Table1[[#This Row],[Std Read]])</f>
        <v>0</v>
      </c>
      <c r="N866" s="1">
        <f>IF(Calculations!$F$5="ACCREDITED 17025 WITH UNCERTAINTIES",$N$10,0)</f>
        <v>0</v>
      </c>
      <c r="O866" s="1" t="str">
        <f>IFERROR(Table1[[#This Row],[Std Nom]]-(_xlfn.XLOOKUP(Table1[[#This Row],[Manufacturer]]&amp;" "&amp;Table1[[#This Row],[Model]],Table13[MFR &amp; MDL],Table13[Tolerance % CW ],"")/100*Table1[[#This Row],[Std Nom]]),"")</f>
        <v/>
      </c>
      <c r="P866" s="1" t="str">
        <f>IFERROR(Table1[[#This Row],[Std Nom]]+(_xlfn.XLOOKUP(Table1[[#This Row],[Manufacturer]]&amp;" "&amp;Table1[[#This Row],[Model]],Table13[MFR &amp; MDL],Table13[Tolerance % CW ],"")/100*Table1[[#This Row],[Std Nom]]),"")</f>
        <v/>
      </c>
      <c r="Q866" s="1" t="e">
        <f>Table1[[#This Row],[High Tol]]-Table1[[#This Row],[Low Tol]]</f>
        <v>#VALUE!</v>
      </c>
      <c r="R866" s="1">
        <f>2*Table1[[#This Row],[Std Error]]</f>
        <v>0</v>
      </c>
      <c r="S866" s="1" t="str">
        <f>IF(Table1[[#This Row],[High Tol]]="","N/A",IFERROR(ABS(Table1[[#This Row],[Tol Span]]/Table1[[#This Row],[Error Span]]),"N/A"))</f>
        <v>N/A</v>
      </c>
      <c r="T866" s="1" t="str">
        <f>IF(OR(Table1[[#This Row],[Low Tol]]="",Table1[[#This Row],[High Tol]]=""),"Needs Analysis",IF(Table1[[#This Row],[Ratio]]&gt;=4,"Not Significant",IF(Table1[[#This Row],[Ratio]]&gt;=2,"Semi-Significant","Significant")))</f>
        <v>Needs Analysis</v>
      </c>
      <c r="W866" s="1">
        <f>IF(Table1[[#This Row],[Cal Type]]&lt;&gt;"ACCREDITED 17025 WITH UNCERTAINTIES",0,"")</f>
        <v>0</v>
      </c>
      <c r="X866" s="1" t="str">
        <f>IF(Table1[[#This Row],[DUT Read]]="","N/A",Table1[[#This Row],[Std Error]]+Table1[[#This Row],[DUT Read]]+Table1[[#This Row],[DUT Ucty]])</f>
        <v>N/A</v>
      </c>
      <c r="Y866" s="1" t="str">
        <f>IF(Table1[[#This Row],[Std Read]]="","N/A",Table1[[#This Row],[Std Read]]+Table1[[#This Row],[Std Ucty]])</f>
        <v>N/A</v>
      </c>
      <c r="Z8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6" s="1" t="str">
        <f>IF(Table1[[#This Row],[Spec Type]]="","N/A",Table1[[#This Row],[Spec Type]])</f>
        <v>±</v>
      </c>
      <c r="AC866" s="1" t="str">
        <f>IF(Table1[[#This Row],[Spec Type2]]="N/A","N/A",IF(AND(Table1[[#This Row],[DUT Adj Read]]&gt;=Table1[[#This Row],[Low Tol]],Table1[[#This Row],[DUT Adj Read]]&lt;=Table1[[#This Row],[High Tol]]),"Pass","Fail"))</f>
        <v>Fail</v>
      </c>
      <c r="AD866" s="1" t="str">
        <f>IF(AND(Table1[[#This Row],[Spec Type2]]="N/A",Table1[[#This Row],[DUT Adj Read]]="N/A",Table1[[#This Row],[Std Adj Read]]="N/A"),"N/A",IF(Table1[[#This Row],[DUT Adj Read]]="N/A",IF(Table1[[#This Row],[Std Adj Read]]&gt;Table1[[#This Row],[Low Tol]],"Pass","Fail"),IF(Table1[[#This Row],[DUT Adj Read]]&gt;Table1[[#This Row],[Low Tol]],"Pass","Fail")))</f>
        <v>Pass</v>
      </c>
      <c r="AE866" s="1" t="str">
        <f>IF(AND(Table1[[#This Row],[Spec Type2]]="N/A",Table1[[#This Row],[DUT Adj Read]]="N/A",Table1[[#This Row],[Std Adj Read]]="N/A"),"N/A",IF(Table1[[#This Row],[DUT Adj Read]]="N/A",IF(Table1[[#This Row],[Std Adj Read]]&lt;Table1[[#This Row],[High Tol]],"Pass","Fail"),IF(Table1[[#This Row],[DUT Adj Read]]&lt;Table1[[#This Row],[High Tol]],"Pass","Fail")))</f>
        <v>Fail</v>
      </c>
      <c r="AF866" s="1" t="str">
        <f>IF(AND(Table1[[#This Row],[Spec Type2]]="N/A",Table1[[#This Row],[DUT Adj Read]]="N/A",Table1[[#This Row],[Std Adj Read]]="N/A"),"N/A",IF(Table1[[#This Row],[DUT Adj Read]]="N/A",IF(Table1[[#This Row],[Std Adj Read]]&gt;=Table1[[#This Row],[Low Tol]],"Pass","Fail"),IF(Table1[[#This Row],[DUT Adj Read]]&gt;=Table1[[#This Row],[Low Tol]],"Pass","Fail")))</f>
        <v>Pass</v>
      </c>
      <c r="AG866" s="1" t="str">
        <f>IF(AND(Table1[[#This Row],[Spec Type2]]="N/A",Table1[[#This Row],[DUT Adj Read]]="N/A",Table1[[#This Row],[Std Adj Read]]="N/A"),"N/A",IF(Table1[[#This Row],[DUT Adj Read]]="N/A",IF(Table1[[#This Row],[Std Adj Read]]&lt;=Table1[[#This Row],[High Tol]],"Pass","Fail"),IF(Table1[[#This Row],[DUT Adj Read]]&lt;=Table1[[#This Row],[High Tol]],"Pass","Fail")))</f>
        <v>Fail</v>
      </c>
      <c r="AH8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6" s="1" t="b">
        <v>0</v>
      </c>
      <c r="AN866" s="1" t="b">
        <v>0</v>
      </c>
      <c r="AO866" s="1" t="b">
        <v>0</v>
      </c>
    </row>
    <row r="867" spans="1:41" x14ac:dyDescent="0.25">
      <c r="A867" s="10"/>
      <c r="B867" s="10"/>
      <c r="C867" s="10"/>
      <c r="D867" s="10"/>
      <c r="E867" s="10"/>
      <c r="F867" s="10"/>
      <c r="G867" s="10"/>
      <c r="H867" s="10"/>
      <c r="I867" s="1" t="str">
        <f t="shared" si="39"/>
        <v/>
      </c>
      <c r="J867" s="1" t="s">
        <v>35</v>
      </c>
      <c r="K867" s="1" t="str">
        <f t="shared" si="40"/>
        <v/>
      </c>
      <c r="L867" s="1" t="str">
        <f t="shared" si="41"/>
        <v/>
      </c>
      <c r="M867" s="1">
        <f>IF(OR(Table1[[#This Row],[Std Nom]]="",Table1[[#This Row],[Std Read]]=""),0,Table1[[#This Row],[Std Nom]]-Table1[[#This Row],[Std Read]])</f>
        <v>0</v>
      </c>
      <c r="N867" s="1">
        <f>IF(Calculations!$F$5="ACCREDITED 17025 WITH UNCERTAINTIES",$N$10,0)</f>
        <v>0</v>
      </c>
      <c r="O867" s="1" t="str">
        <f>IFERROR(Table1[[#This Row],[Std Nom]]-(_xlfn.XLOOKUP(Table1[[#This Row],[Manufacturer]]&amp;" "&amp;Table1[[#This Row],[Model]],Table13[MFR &amp; MDL],Table13[Tolerance % CW ],"")/100*Table1[[#This Row],[Std Nom]]),"")</f>
        <v/>
      </c>
      <c r="P867" s="1" t="str">
        <f>IFERROR(Table1[[#This Row],[Std Nom]]+(_xlfn.XLOOKUP(Table1[[#This Row],[Manufacturer]]&amp;" "&amp;Table1[[#This Row],[Model]],Table13[MFR &amp; MDL],Table13[Tolerance % CW ],"")/100*Table1[[#This Row],[Std Nom]]),"")</f>
        <v/>
      </c>
      <c r="Q867" s="1" t="e">
        <f>Table1[[#This Row],[High Tol]]-Table1[[#This Row],[Low Tol]]</f>
        <v>#VALUE!</v>
      </c>
      <c r="R867" s="1">
        <f>2*Table1[[#This Row],[Std Error]]</f>
        <v>0</v>
      </c>
      <c r="S867" s="1" t="str">
        <f>IF(Table1[[#This Row],[High Tol]]="","N/A",IFERROR(ABS(Table1[[#This Row],[Tol Span]]/Table1[[#This Row],[Error Span]]),"N/A"))</f>
        <v>N/A</v>
      </c>
      <c r="T867" s="1" t="str">
        <f>IF(OR(Table1[[#This Row],[Low Tol]]="",Table1[[#This Row],[High Tol]]=""),"Needs Analysis",IF(Table1[[#This Row],[Ratio]]&gt;=4,"Not Significant",IF(Table1[[#This Row],[Ratio]]&gt;=2,"Semi-Significant","Significant")))</f>
        <v>Needs Analysis</v>
      </c>
      <c r="W867" s="1">
        <f>IF(Table1[[#This Row],[Cal Type]]&lt;&gt;"ACCREDITED 17025 WITH UNCERTAINTIES",0,"")</f>
        <v>0</v>
      </c>
      <c r="X867" s="1" t="str">
        <f>IF(Table1[[#This Row],[DUT Read]]="","N/A",Table1[[#This Row],[Std Error]]+Table1[[#This Row],[DUT Read]]+Table1[[#This Row],[DUT Ucty]])</f>
        <v>N/A</v>
      </c>
      <c r="Y867" s="1" t="str">
        <f>IF(Table1[[#This Row],[Std Read]]="","N/A",Table1[[#This Row],[Std Read]]+Table1[[#This Row],[Std Ucty]])</f>
        <v>N/A</v>
      </c>
      <c r="Z8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7" s="1" t="str">
        <f>IF(Table1[[#This Row],[Spec Type]]="","N/A",Table1[[#This Row],[Spec Type]])</f>
        <v>±</v>
      </c>
      <c r="AC867" s="1" t="str">
        <f>IF(Table1[[#This Row],[Spec Type2]]="N/A","N/A",IF(AND(Table1[[#This Row],[DUT Adj Read]]&gt;=Table1[[#This Row],[Low Tol]],Table1[[#This Row],[DUT Adj Read]]&lt;=Table1[[#This Row],[High Tol]]),"Pass","Fail"))</f>
        <v>Fail</v>
      </c>
      <c r="AD867" s="1" t="str">
        <f>IF(AND(Table1[[#This Row],[Spec Type2]]="N/A",Table1[[#This Row],[DUT Adj Read]]="N/A",Table1[[#This Row],[Std Adj Read]]="N/A"),"N/A",IF(Table1[[#This Row],[DUT Adj Read]]="N/A",IF(Table1[[#This Row],[Std Adj Read]]&gt;Table1[[#This Row],[Low Tol]],"Pass","Fail"),IF(Table1[[#This Row],[DUT Adj Read]]&gt;Table1[[#This Row],[Low Tol]],"Pass","Fail")))</f>
        <v>Pass</v>
      </c>
      <c r="AE867" s="1" t="str">
        <f>IF(AND(Table1[[#This Row],[Spec Type2]]="N/A",Table1[[#This Row],[DUT Adj Read]]="N/A",Table1[[#This Row],[Std Adj Read]]="N/A"),"N/A",IF(Table1[[#This Row],[DUT Adj Read]]="N/A",IF(Table1[[#This Row],[Std Adj Read]]&lt;Table1[[#This Row],[High Tol]],"Pass","Fail"),IF(Table1[[#This Row],[DUT Adj Read]]&lt;Table1[[#This Row],[High Tol]],"Pass","Fail")))</f>
        <v>Fail</v>
      </c>
      <c r="AF867" s="1" t="str">
        <f>IF(AND(Table1[[#This Row],[Spec Type2]]="N/A",Table1[[#This Row],[DUT Adj Read]]="N/A",Table1[[#This Row],[Std Adj Read]]="N/A"),"N/A",IF(Table1[[#This Row],[DUT Adj Read]]="N/A",IF(Table1[[#This Row],[Std Adj Read]]&gt;=Table1[[#This Row],[Low Tol]],"Pass","Fail"),IF(Table1[[#This Row],[DUT Adj Read]]&gt;=Table1[[#This Row],[Low Tol]],"Pass","Fail")))</f>
        <v>Pass</v>
      </c>
      <c r="AG867" s="1" t="str">
        <f>IF(AND(Table1[[#This Row],[Spec Type2]]="N/A",Table1[[#This Row],[DUT Adj Read]]="N/A",Table1[[#This Row],[Std Adj Read]]="N/A"),"N/A",IF(Table1[[#This Row],[DUT Adj Read]]="N/A",IF(Table1[[#This Row],[Std Adj Read]]&lt;=Table1[[#This Row],[High Tol]],"Pass","Fail"),IF(Table1[[#This Row],[DUT Adj Read]]&lt;=Table1[[#This Row],[High Tol]],"Pass","Fail")))</f>
        <v>Fail</v>
      </c>
      <c r="AH8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7" s="1" t="b">
        <v>0</v>
      </c>
      <c r="AN867" s="1" t="b">
        <v>0</v>
      </c>
      <c r="AO867" s="1" t="b">
        <v>0</v>
      </c>
    </row>
    <row r="868" spans="1:41" x14ac:dyDescent="0.25">
      <c r="A868" s="10"/>
      <c r="B868" s="10"/>
      <c r="C868" s="10"/>
      <c r="D868" s="10"/>
      <c r="E868" s="10"/>
      <c r="F868" s="10"/>
      <c r="G868" s="10"/>
      <c r="H868" s="10"/>
      <c r="I868" s="1" t="str">
        <f t="shared" si="39"/>
        <v/>
      </c>
      <c r="J868" s="1" t="s">
        <v>35</v>
      </c>
      <c r="K868" s="1" t="str">
        <f t="shared" si="40"/>
        <v/>
      </c>
      <c r="L868" s="1" t="str">
        <f t="shared" si="41"/>
        <v/>
      </c>
      <c r="M868" s="1">
        <f>IF(OR(Table1[[#This Row],[Std Nom]]="",Table1[[#This Row],[Std Read]]=""),0,Table1[[#This Row],[Std Nom]]-Table1[[#This Row],[Std Read]])</f>
        <v>0</v>
      </c>
      <c r="N868" s="1">
        <f>IF(Calculations!$F$5="ACCREDITED 17025 WITH UNCERTAINTIES",$N$10,0)</f>
        <v>0</v>
      </c>
      <c r="O868" s="1" t="str">
        <f>IFERROR(Table1[[#This Row],[Std Nom]]-(_xlfn.XLOOKUP(Table1[[#This Row],[Manufacturer]]&amp;" "&amp;Table1[[#This Row],[Model]],Table13[MFR &amp; MDL],Table13[Tolerance % CW ],"")/100*Table1[[#This Row],[Std Nom]]),"")</f>
        <v/>
      </c>
      <c r="P868" s="1" t="str">
        <f>IFERROR(Table1[[#This Row],[Std Nom]]+(_xlfn.XLOOKUP(Table1[[#This Row],[Manufacturer]]&amp;" "&amp;Table1[[#This Row],[Model]],Table13[MFR &amp; MDL],Table13[Tolerance % CW ],"")/100*Table1[[#This Row],[Std Nom]]),"")</f>
        <v/>
      </c>
      <c r="Q868" s="1" t="e">
        <f>Table1[[#This Row],[High Tol]]-Table1[[#This Row],[Low Tol]]</f>
        <v>#VALUE!</v>
      </c>
      <c r="R868" s="1">
        <f>2*Table1[[#This Row],[Std Error]]</f>
        <v>0</v>
      </c>
      <c r="S868" s="1" t="str">
        <f>IF(Table1[[#This Row],[High Tol]]="","N/A",IFERROR(ABS(Table1[[#This Row],[Tol Span]]/Table1[[#This Row],[Error Span]]),"N/A"))</f>
        <v>N/A</v>
      </c>
      <c r="T868" s="1" t="str">
        <f>IF(OR(Table1[[#This Row],[Low Tol]]="",Table1[[#This Row],[High Tol]]=""),"Needs Analysis",IF(Table1[[#This Row],[Ratio]]&gt;=4,"Not Significant",IF(Table1[[#This Row],[Ratio]]&gt;=2,"Semi-Significant","Significant")))</f>
        <v>Needs Analysis</v>
      </c>
      <c r="W868" s="1">
        <f>IF(Table1[[#This Row],[Cal Type]]&lt;&gt;"ACCREDITED 17025 WITH UNCERTAINTIES",0,"")</f>
        <v>0</v>
      </c>
      <c r="X868" s="1" t="str">
        <f>IF(Table1[[#This Row],[DUT Read]]="","N/A",Table1[[#This Row],[Std Error]]+Table1[[#This Row],[DUT Read]]+Table1[[#This Row],[DUT Ucty]])</f>
        <v>N/A</v>
      </c>
      <c r="Y868" s="1" t="str">
        <f>IF(Table1[[#This Row],[Std Read]]="","N/A",Table1[[#This Row],[Std Read]]+Table1[[#This Row],[Std Ucty]])</f>
        <v>N/A</v>
      </c>
      <c r="Z8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8" s="1" t="str">
        <f>IF(Table1[[#This Row],[Spec Type]]="","N/A",Table1[[#This Row],[Spec Type]])</f>
        <v>±</v>
      </c>
      <c r="AC868" s="1" t="str">
        <f>IF(Table1[[#This Row],[Spec Type2]]="N/A","N/A",IF(AND(Table1[[#This Row],[DUT Adj Read]]&gt;=Table1[[#This Row],[Low Tol]],Table1[[#This Row],[DUT Adj Read]]&lt;=Table1[[#This Row],[High Tol]]),"Pass","Fail"))</f>
        <v>Fail</v>
      </c>
      <c r="AD868" s="1" t="str">
        <f>IF(AND(Table1[[#This Row],[Spec Type2]]="N/A",Table1[[#This Row],[DUT Adj Read]]="N/A",Table1[[#This Row],[Std Adj Read]]="N/A"),"N/A",IF(Table1[[#This Row],[DUT Adj Read]]="N/A",IF(Table1[[#This Row],[Std Adj Read]]&gt;Table1[[#This Row],[Low Tol]],"Pass","Fail"),IF(Table1[[#This Row],[DUT Adj Read]]&gt;Table1[[#This Row],[Low Tol]],"Pass","Fail")))</f>
        <v>Pass</v>
      </c>
      <c r="AE868" s="1" t="str">
        <f>IF(AND(Table1[[#This Row],[Spec Type2]]="N/A",Table1[[#This Row],[DUT Adj Read]]="N/A",Table1[[#This Row],[Std Adj Read]]="N/A"),"N/A",IF(Table1[[#This Row],[DUT Adj Read]]="N/A",IF(Table1[[#This Row],[Std Adj Read]]&lt;Table1[[#This Row],[High Tol]],"Pass","Fail"),IF(Table1[[#This Row],[DUT Adj Read]]&lt;Table1[[#This Row],[High Tol]],"Pass","Fail")))</f>
        <v>Fail</v>
      </c>
      <c r="AF868" s="1" t="str">
        <f>IF(AND(Table1[[#This Row],[Spec Type2]]="N/A",Table1[[#This Row],[DUT Adj Read]]="N/A",Table1[[#This Row],[Std Adj Read]]="N/A"),"N/A",IF(Table1[[#This Row],[DUT Adj Read]]="N/A",IF(Table1[[#This Row],[Std Adj Read]]&gt;=Table1[[#This Row],[Low Tol]],"Pass","Fail"),IF(Table1[[#This Row],[DUT Adj Read]]&gt;=Table1[[#This Row],[Low Tol]],"Pass","Fail")))</f>
        <v>Pass</v>
      </c>
      <c r="AG868" s="1" t="str">
        <f>IF(AND(Table1[[#This Row],[Spec Type2]]="N/A",Table1[[#This Row],[DUT Adj Read]]="N/A",Table1[[#This Row],[Std Adj Read]]="N/A"),"N/A",IF(Table1[[#This Row],[DUT Adj Read]]="N/A",IF(Table1[[#This Row],[Std Adj Read]]&lt;=Table1[[#This Row],[High Tol]],"Pass","Fail"),IF(Table1[[#This Row],[DUT Adj Read]]&lt;=Table1[[#This Row],[High Tol]],"Pass","Fail")))</f>
        <v>Fail</v>
      </c>
      <c r="AH8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8" s="1" t="b">
        <v>0</v>
      </c>
      <c r="AN868" s="1" t="b">
        <v>0</v>
      </c>
      <c r="AO868" s="1" t="b">
        <v>0</v>
      </c>
    </row>
    <row r="869" spans="1:41" x14ac:dyDescent="0.25">
      <c r="A869" s="10"/>
      <c r="B869" s="10"/>
      <c r="C869" s="10"/>
      <c r="D869" s="10"/>
      <c r="E869" s="10"/>
      <c r="F869" s="10"/>
      <c r="G869" s="10"/>
      <c r="H869" s="10"/>
      <c r="I869" s="1" t="str">
        <f t="shared" si="39"/>
        <v/>
      </c>
      <c r="J869" s="1" t="s">
        <v>35</v>
      </c>
      <c r="K869" s="1" t="str">
        <f t="shared" si="40"/>
        <v/>
      </c>
      <c r="L869" s="1" t="str">
        <f t="shared" si="41"/>
        <v/>
      </c>
      <c r="M869" s="1">
        <f>IF(OR(Table1[[#This Row],[Std Nom]]="",Table1[[#This Row],[Std Read]]=""),0,Table1[[#This Row],[Std Nom]]-Table1[[#This Row],[Std Read]])</f>
        <v>0</v>
      </c>
      <c r="N869" s="1">
        <f>IF(Calculations!$F$5="ACCREDITED 17025 WITH UNCERTAINTIES",$N$10,0)</f>
        <v>0</v>
      </c>
      <c r="O869" s="1" t="str">
        <f>IFERROR(Table1[[#This Row],[Std Nom]]-(_xlfn.XLOOKUP(Table1[[#This Row],[Manufacturer]]&amp;" "&amp;Table1[[#This Row],[Model]],Table13[MFR &amp; MDL],Table13[Tolerance % CW ],"")/100*Table1[[#This Row],[Std Nom]]),"")</f>
        <v/>
      </c>
      <c r="P869" s="1" t="str">
        <f>IFERROR(Table1[[#This Row],[Std Nom]]+(_xlfn.XLOOKUP(Table1[[#This Row],[Manufacturer]]&amp;" "&amp;Table1[[#This Row],[Model]],Table13[MFR &amp; MDL],Table13[Tolerance % CW ],"")/100*Table1[[#This Row],[Std Nom]]),"")</f>
        <v/>
      </c>
      <c r="Q869" s="1" t="e">
        <f>Table1[[#This Row],[High Tol]]-Table1[[#This Row],[Low Tol]]</f>
        <v>#VALUE!</v>
      </c>
      <c r="R869" s="1">
        <f>2*Table1[[#This Row],[Std Error]]</f>
        <v>0</v>
      </c>
      <c r="S869" s="1" t="str">
        <f>IF(Table1[[#This Row],[High Tol]]="","N/A",IFERROR(ABS(Table1[[#This Row],[Tol Span]]/Table1[[#This Row],[Error Span]]),"N/A"))</f>
        <v>N/A</v>
      </c>
      <c r="T869" s="1" t="str">
        <f>IF(OR(Table1[[#This Row],[Low Tol]]="",Table1[[#This Row],[High Tol]]=""),"Needs Analysis",IF(Table1[[#This Row],[Ratio]]&gt;=4,"Not Significant",IF(Table1[[#This Row],[Ratio]]&gt;=2,"Semi-Significant","Significant")))</f>
        <v>Needs Analysis</v>
      </c>
      <c r="W869" s="1">
        <f>IF(Table1[[#This Row],[Cal Type]]&lt;&gt;"ACCREDITED 17025 WITH UNCERTAINTIES",0,"")</f>
        <v>0</v>
      </c>
      <c r="X869" s="1" t="str">
        <f>IF(Table1[[#This Row],[DUT Read]]="","N/A",Table1[[#This Row],[Std Error]]+Table1[[#This Row],[DUT Read]]+Table1[[#This Row],[DUT Ucty]])</f>
        <v>N/A</v>
      </c>
      <c r="Y869" s="1" t="str">
        <f>IF(Table1[[#This Row],[Std Read]]="","N/A",Table1[[#This Row],[Std Read]]+Table1[[#This Row],[Std Ucty]])</f>
        <v>N/A</v>
      </c>
      <c r="Z8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9" s="1" t="str">
        <f>IF(Table1[[#This Row],[Spec Type]]="","N/A",Table1[[#This Row],[Spec Type]])</f>
        <v>±</v>
      </c>
      <c r="AC869" s="1" t="str">
        <f>IF(Table1[[#This Row],[Spec Type2]]="N/A","N/A",IF(AND(Table1[[#This Row],[DUT Adj Read]]&gt;=Table1[[#This Row],[Low Tol]],Table1[[#This Row],[DUT Adj Read]]&lt;=Table1[[#This Row],[High Tol]]),"Pass","Fail"))</f>
        <v>Fail</v>
      </c>
      <c r="AD869" s="1" t="str">
        <f>IF(AND(Table1[[#This Row],[Spec Type2]]="N/A",Table1[[#This Row],[DUT Adj Read]]="N/A",Table1[[#This Row],[Std Adj Read]]="N/A"),"N/A",IF(Table1[[#This Row],[DUT Adj Read]]="N/A",IF(Table1[[#This Row],[Std Adj Read]]&gt;Table1[[#This Row],[Low Tol]],"Pass","Fail"),IF(Table1[[#This Row],[DUT Adj Read]]&gt;Table1[[#This Row],[Low Tol]],"Pass","Fail")))</f>
        <v>Pass</v>
      </c>
      <c r="AE869" s="1" t="str">
        <f>IF(AND(Table1[[#This Row],[Spec Type2]]="N/A",Table1[[#This Row],[DUT Adj Read]]="N/A",Table1[[#This Row],[Std Adj Read]]="N/A"),"N/A",IF(Table1[[#This Row],[DUT Adj Read]]="N/A",IF(Table1[[#This Row],[Std Adj Read]]&lt;Table1[[#This Row],[High Tol]],"Pass","Fail"),IF(Table1[[#This Row],[DUT Adj Read]]&lt;Table1[[#This Row],[High Tol]],"Pass","Fail")))</f>
        <v>Fail</v>
      </c>
      <c r="AF869" s="1" t="str">
        <f>IF(AND(Table1[[#This Row],[Spec Type2]]="N/A",Table1[[#This Row],[DUT Adj Read]]="N/A",Table1[[#This Row],[Std Adj Read]]="N/A"),"N/A",IF(Table1[[#This Row],[DUT Adj Read]]="N/A",IF(Table1[[#This Row],[Std Adj Read]]&gt;=Table1[[#This Row],[Low Tol]],"Pass","Fail"),IF(Table1[[#This Row],[DUT Adj Read]]&gt;=Table1[[#This Row],[Low Tol]],"Pass","Fail")))</f>
        <v>Pass</v>
      </c>
      <c r="AG869" s="1" t="str">
        <f>IF(AND(Table1[[#This Row],[Spec Type2]]="N/A",Table1[[#This Row],[DUT Adj Read]]="N/A",Table1[[#This Row],[Std Adj Read]]="N/A"),"N/A",IF(Table1[[#This Row],[DUT Adj Read]]="N/A",IF(Table1[[#This Row],[Std Adj Read]]&lt;=Table1[[#This Row],[High Tol]],"Pass","Fail"),IF(Table1[[#This Row],[DUT Adj Read]]&lt;=Table1[[#This Row],[High Tol]],"Pass","Fail")))</f>
        <v>Fail</v>
      </c>
      <c r="AH8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9" s="1" t="b">
        <v>0</v>
      </c>
      <c r="AN869" s="1" t="b">
        <v>0</v>
      </c>
      <c r="AO869" s="1" t="b">
        <v>0</v>
      </c>
    </row>
    <row r="870" spans="1:41" x14ac:dyDescent="0.25">
      <c r="A870" s="10"/>
      <c r="B870" s="10"/>
      <c r="C870" s="10"/>
      <c r="D870" s="10"/>
      <c r="E870" s="10"/>
      <c r="F870" s="10"/>
      <c r="G870" s="10"/>
      <c r="H870" s="10"/>
      <c r="I870" s="1" t="str">
        <f t="shared" si="39"/>
        <v/>
      </c>
      <c r="J870" s="1" t="s">
        <v>35</v>
      </c>
      <c r="K870" s="1" t="str">
        <f t="shared" si="40"/>
        <v/>
      </c>
      <c r="L870" s="1" t="str">
        <f t="shared" si="41"/>
        <v/>
      </c>
      <c r="M870" s="1">
        <f>IF(OR(Table1[[#This Row],[Std Nom]]="",Table1[[#This Row],[Std Read]]=""),0,Table1[[#This Row],[Std Nom]]-Table1[[#This Row],[Std Read]])</f>
        <v>0</v>
      </c>
      <c r="N870" s="1">
        <f>IF(Calculations!$F$5="ACCREDITED 17025 WITH UNCERTAINTIES",$N$10,0)</f>
        <v>0</v>
      </c>
      <c r="O870" s="1" t="str">
        <f>IFERROR(Table1[[#This Row],[Std Nom]]-(_xlfn.XLOOKUP(Table1[[#This Row],[Manufacturer]]&amp;" "&amp;Table1[[#This Row],[Model]],Table13[MFR &amp; MDL],Table13[Tolerance % CW ],"")/100*Table1[[#This Row],[Std Nom]]),"")</f>
        <v/>
      </c>
      <c r="P870" s="1" t="str">
        <f>IFERROR(Table1[[#This Row],[Std Nom]]+(_xlfn.XLOOKUP(Table1[[#This Row],[Manufacturer]]&amp;" "&amp;Table1[[#This Row],[Model]],Table13[MFR &amp; MDL],Table13[Tolerance % CW ],"")/100*Table1[[#This Row],[Std Nom]]),"")</f>
        <v/>
      </c>
      <c r="Q870" s="1" t="e">
        <f>Table1[[#This Row],[High Tol]]-Table1[[#This Row],[Low Tol]]</f>
        <v>#VALUE!</v>
      </c>
      <c r="R870" s="1">
        <f>2*Table1[[#This Row],[Std Error]]</f>
        <v>0</v>
      </c>
      <c r="S870" s="1" t="str">
        <f>IF(Table1[[#This Row],[High Tol]]="","N/A",IFERROR(ABS(Table1[[#This Row],[Tol Span]]/Table1[[#This Row],[Error Span]]),"N/A"))</f>
        <v>N/A</v>
      </c>
      <c r="T870" s="1" t="str">
        <f>IF(OR(Table1[[#This Row],[Low Tol]]="",Table1[[#This Row],[High Tol]]=""),"Needs Analysis",IF(Table1[[#This Row],[Ratio]]&gt;=4,"Not Significant",IF(Table1[[#This Row],[Ratio]]&gt;=2,"Semi-Significant","Significant")))</f>
        <v>Needs Analysis</v>
      </c>
      <c r="W870" s="1">
        <f>IF(Table1[[#This Row],[Cal Type]]&lt;&gt;"ACCREDITED 17025 WITH UNCERTAINTIES",0,"")</f>
        <v>0</v>
      </c>
      <c r="X870" s="1" t="str">
        <f>IF(Table1[[#This Row],[DUT Read]]="","N/A",Table1[[#This Row],[Std Error]]+Table1[[#This Row],[DUT Read]]+Table1[[#This Row],[DUT Ucty]])</f>
        <v>N/A</v>
      </c>
      <c r="Y870" s="1" t="str">
        <f>IF(Table1[[#This Row],[Std Read]]="","N/A",Table1[[#This Row],[Std Read]]+Table1[[#This Row],[Std Ucty]])</f>
        <v>N/A</v>
      </c>
      <c r="Z8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0" s="1" t="str">
        <f>IF(Table1[[#This Row],[Spec Type]]="","N/A",Table1[[#This Row],[Spec Type]])</f>
        <v>±</v>
      </c>
      <c r="AC870" s="1" t="str">
        <f>IF(Table1[[#This Row],[Spec Type2]]="N/A","N/A",IF(AND(Table1[[#This Row],[DUT Adj Read]]&gt;=Table1[[#This Row],[Low Tol]],Table1[[#This Row],[DUT Adj Read]]&lt;=Table1[[#This Row],[High Tol]]),"Pass","Fail"))</f>
        <v>Fail</v>
      </c>
      <c r="AD870" s="1" t="str">
        <f>IF(AND(Table1[[#This Row],[Spec Type2]]="N/A",Table1[[#This Row],[DUT Adj Read]]="N/A",Table1[[#This Row],[Std Adj Read]]="N/A"),"N/A",IF(Table1[[#This Row],[DUT Adj Read]]="N/A",IF(Table1[[#This Row],[Std Adj Read]]&gt;Table1[[#This Row],[Low Tol]],"Pass","Fail"),IF(Table1[[#This Row],[DUT Adj Read]]&gt;Table1[[#This Row],[Low Tol]],"Pass","Fail")))</f>
        <v>Pass</v>
      </c>
      <c r="AE870" s="1" t="str">
        <f>IF(AND(Table1[[#This Row],[Spec Type2]]="N/A",Table1[[#This Row],[DUT Adj Read]]="N/A",Table1[[#This Row],[Std Adj Read]]="N/A"),"N/A",IF(Table1[[#This Row],[DUT Adj Read]]="N/A",IF(Table1[[#This Row],[Std Adj Read]]&lt;Table1[[#This Row],[High Tol]],"Pass","Fail"),IF(Table1[[#This Row],[DUT Adj Read]]&lt;Table1[[#This Row],[High Tol]],"Pass","Fail")))</f>
        <v>Fail</v>
      </c>
      <c r="AF870" s="1" t="str">
        <f>IF(AND(Table1[[#This Row],[Spec Type2]]="N/A",Table1[[#This Row],[DUT Adj Read]]="N/A",Table1[[#This Row],[Std Adj Read]]="N/A"),"N/A",IF(Table1[[#This Row],[DUT Adj Read]]="N/A",IF(Table1[[#This Row],[Std Adj Read]]&gt;=Table1[[#This Row],[Low Tol]],"Pass","Fail"),IF(Table1[[#This Row],[DUT Adj Read]]&gt;=Table1[[#This Row],[Low Tol]],"Pass","Fail")))</f>
        <v>Pass</v>
      </c>
      <c r="AG870" s="1" t="str">
        <f>IF(AND(Table1[[#This Row],[Spec Type2]]="N/A",Table1[[#This Row],[DUT Adj Read]]="N/A",Table1[[#This Row],[Std Adj Read]]="N/A"),"N/A",IF(Table1[[#This Row],[DUT Adj Read]]="N/A",IF(Table1[[#This Row],[Std Adj Read]]&lt;=Table1[[#This Row],[High Tol]],"Pass","Fail"),IF(Table1[[#This Row],[DUT Adj Read]]&lt;=Table1[[#This Row],[High Tol]],"Pass","Fail")))</f>
        <v>Fail</v>
      </c>
      <c r="AH8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0" s="1" t="b">
        <v>0</v>
      </c>
      <c r="AN870" s="1" t="b">
        <v>0</v>
      </c>
      <c r="AO870" s="1" t="b">
        <v>0</v>
      </c>
    </row>
    <row r="871" spans="1:41" x14ac:dyDescent="0.25">
      <c r="A871" s="10"/>
      <c r="B871" s="10"/>
      <c r="C871" s="10"/>
      <c r="D871" s="10"/>
      <c r="E871" s="10"/>
      <c r="F871" s="10"/>
      <c r="G871" s="10"/>
      <c r="H871" s="10"/>
      <c r="I871" s="1" t="str">
        <f t="shared" si="39"/>
        <v/>
      </c>
      <c r="J871" s="1" t="s">
        <v>35</v>
      </c>
      <c r="K871" s="1" t="str">
        <f t="shared" si="40"/>
        <v/>
      </c>
      <c r="L871" s="1" t="str">
        <f t="shared" si="41"/>
        <v/>
      </c>
      <c r="M871" s="1">
        <f>IF(OR(Table1[[#This Row],[Std Nom]]="",Table1[[#This Row],[Std Read]]=""),0,Table1[[#This Row],[Std Nom]]-Table1[[#This Row],[Std Read]])</f>
        <v>0</v>
      </c>
      <c r="N871" s="1">
        <f>IF(Calculations!$F$5="ACCREDITED 17025 WITH UNCERTAINTIES",$N$10,0)</f>
        <v>0</v>
      </c>
      <c r="O871" s="1" t="str">
        <f>IFERROR(Table1[[#This Row],[Std Nom]]-(_xlfn.XLOOKUP(Table1[[#This Row],[Manufacturer]]&amp;" "&amp;Table1[[#This Row],[Model]],Table13[MFR &amp; MDL],Table13[Tolerance % CW ],"")/100*Table1[[#This Row],[Std Nom]]),"")</f>
        <v/>
      </c>
      <c r="P871" s="1" t="str">
        <f>IFERROR(Table1[[#This Row],[Std Nom]]+(_xlfn.XLOOKUP(Table1[[#This Row],[Manufacturer]]&amp;" "&amp;Table1[[#This Row],[Model]],Table13[MFR &amp; MDL],Table13[Tolerance % CW ],"")/100*Table1[[#This Row],[Std Nom]]),"")</f>
        <v/>
      </c>
      <c r="Q871" s="1" t="e">
        <f>Table1[[#This Row],[High Tol]]-Table1[[#This Row],[Low Tol]]</f>
        <v>#VALUE!</v>
      </c>
      <c r="R871" s="1">
        <f>2*Table1[[#This Row],[Std Error]]</f>
        <v>0</v>
      </c>
      <c r="S871" s="1" t="str">
        <f>IF(Table1[[#This Row],[High Tol]]="","N/A",IFERROR(ABS(Table1[[#This Row],[Tol Span]]/Table1[[#This Row],[Error Span]]),"N/A"))</f>
        <v>N/A</v>
      </c>
      <c r="T871" s="1" t="str">
        <f>IF(OR(Table1[[#This Row],[Low Tol]]="",Table1[[#This Row],[High Tol]]=""),"Needs Analysis",IF(Table1[[#This Row],[Ratio]]&gt;=4,"Not Significant",IF(Table1[[#This Row],[Ratio]]&gt;=2,"Semi-Significant","Significant")))</f>
        <v>Needs Analysis</v>
      </c>
      <c r="W871" s="1">
        <f>IF(Table1[[#This Row],[Cal Type]]&lt;&gt;"ACCREDITED 17025 WITH UNCERTAINTIES",0,"")</f>
        <v>0</v>
      </c>
      <c r="X871" s="1" t="str">
        <f>IF(Table1[[#This Row],[DUT Read]]="","N/A",Table1[[#This Row],[Std Error]]+Table1[[#This Row],[DUT Read]]+Table1[[#This Row],[DUT Ucty]])</f>
        <v>N/A</v>
      </c>
      <c r="Y871" s="1" t="str">
        <f>IF(Table1[[#This Row],[Std Read]]="","N/A",Table1[[#This Row],[Std Read]]+Table1[[#This Row],[Std Ucty]])</f>
        <v>N/A</v>
      </c>
      <c r="Z8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1" s="1" t="str">
        <f>IF(Table1[[#This Row],[Spec Type]]="","N/A",Table1[[#This Row],[Spec Type]])</f>
        <v>±</v>
      </c>
      <c r="AC871" s="1" t="str">
        <f>IF(Table1[[#This Row],[Spec Type2]]="N/A","N/A",IF(AND(Table1[[#This Row],[DUT Adj Read]]&gt;=Table1[[#This Row],[Low Tol]],Table1[[#This Row],[DUT Adj Read]]&lt;=Table1[[#This Row],[High Tol]]),"Pass","Fail"))</f>
        <v>Fail</v>
      </c>
      <c r="AD871" s="1" t="str">
        <f>IF(AND(Table1[[#This Row],[Spec Type2]]="N/A",Table1[[#This Row],[DUT Adj Read]]="N/A",Table1[[#This Row],[Std Adj Read]]="N/A"),"N/A",IF(Table1[[#This Row],[DUT Adj Read]]="N/A",IF(Table1[[#This Row],[Std Adj Read]]&gt;Table1[[#This Row],[Low Tol]],"Pass","Fail"),IF(Table1[[#This Row],[DUT Adj Read]]&gt;Table1[[#This Row],[Low Tol]],"Pass","Fail")))</f>
        <v>Pass</v>
      </c>
      <c r="AE871" s="1" t="str">
        <f>IF(AND(Table1[[#This Row],[Spec Type2]]="N/A",Table1[[#This Row],[DUT Adj Read]]="N/A",Table1[[#This Row],[Std Adj Read]]="N/A"),"N/A",IF(Table1[[#This Row],[DUT Adj Read]]="N/A",IF(Table1[[#This Row],[Std Adj Read]]&lt;Table1[[#This Row],[High Tol]],"Pass","Fail"),IF(Table1[[#This Row],[DUT Adj Read]]&lt;Table1[[#This Row],[High Tol]],"Pass","Fail")))</f>
        <v>Fail</v>
      </c>
      <c r="AF871" s="1" t="str">
        <f>IF(AND(Table1[[#This Row],[Spec Type2]]="N/A",Table1[[#This Row],[DUT Adj Read]]="N/A",Table1[[#This Row],[Std Adj Read]]="N/A"),"N/A",IF(Table1[[#This Row],[DUT Adj Read]]="N/A",IF(Table1[[#This Row],[Std Adj Read]]&gt;=Table1[[#This Row],[Low Tol]],"Pass","Fail"),IF(Table1[[#This Row],[DUT Adj Read]]&gt;=Table1[[#This Row],[Low Tol]],"Pass","Fail")))</f>
        <v>Pass</v>
      </c>
      <c r="AG871" s="1" t="str">
        <f>IF(AND(Table1[[#This Row],[Spec Type2]]="N/A",Table1[[#This Row],[DUT Adj Read]]="N/A",Table1[[#This Row],[Std Adj Read]]="N/A"),"N/A",IF(Table1[[#This Row],[DUT Adj Read]]="N/A",IF(Table1[[#This Row],[Std Adj Read]]&lt;=Table1[[#This Row],[High Tol]],"Pass","Fail"),IF(Table1[[#This Row],[DUT Adj Read]]&lt;=Table1[[#This Row],[High Tol]],"Pass","Fail")))</f>
        <v>Fail</v>
      </c>
      <c r="AH8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1" s="1" t="b">
        <v>0</v>
      </c>
      <c r="AN871" s="1" t="b">
        <v>0</v>
      </c>
      <c r="AO871" s="1" t="b">
        <v>0</v>
      </c>
    </row>
    <row r="872" spans="1:41" x14ac:dyDescent="0.25">
      <c r="A872" s="10"/>
      <c r="B872" s="10"/>
      <c r="C872" s="10"/>
      <c r="D872" s="10"/>
      <c r="E872" s="10"/>
      <c r="F872" s="10"/>
      <c r="G872" s="10"/>
      <c r="H872" s="10"/>
      <c r="I872" s="1" t="str">
        <f t="shared" si="39"/>
        <v/>
      </c>
      <c r="J872" s="1" t="s">
        <v>35</v>
      </c>
      <c r="K872" s="1" t="str">
        <f t="shared" si="40"/>
        <v/>
      </c>
      <c r="L872" s="1" t="str">
        <f t="shared" si="41"/>
        <v/>
      </c>
      <c r="M872" s="1">
        <f>IF(OR(Table1[[#This Row],[Std Nom]]="",Table1[[#This Row],[Std Read]]=""),0,Table1[[#This Row],[Std Nom]]-Table1[[#This Row],[Std Read]])</f>
        <v>0</v>
      </c>
      <c r="N872" s="1">
        <f>IF(Calculations!$F$5="ACCREDITED 17025 WITH UNCERTAINTIES",$N$10,0)</f>
        <v>0</v>
      </c>
      <c r="O872" s="1" t="str">
        <f>IFERROR(Table1[[#This Row],[Std Nom]]-(_xlfn.XLOOKUP(Table1[[#This Row],[Manufacturer]]&amp;" "&amp;Table1[[#This Row],[Model]],Table13[MFR &amp; MDL],Table13[Tolerance % CW ],"")/100*Table1[[#This Row],[Std Nom]]),"")</f>
        <v/>
      </c>
      <c r="P872" s="1" t="str">
        <f>IFERROR(Table1[[#This Row],[Std Nom]]+(_xlfn.XLOOKUP(Table1[[#This Row],[Manufacturer]]&amp;" "&amp;Table1[[#This Row],[Model]],Table13[MFR &amp; MDL],Table13[Tolerance % CW ],"")/100*Table1[[#This Row],[Std Nom]]),"")</f>
        <v/>
      </c>
      <c r="Q872" s="1" t="e">
        <f>Table1[[#This Row],[High Tol]]-Table1[[#This Row],[Low Tol]]</f>
        <v>#VALUE!</v>
      </c>
      <c r="R872" s="1">
        <f>2*Table1[[#This Row],[Std Error]]</f>
        <v>0</v>
      </c>
      <c r="S872" s="1" t="str">
        <f>IF(Table1[[#This Row],[High Tol]]="","N/A",IFERROR(ABS(Table1[[#This Row],[Tol Span]]/Table1[[#This Row],[Error Span]]),"N/A"))</f>
        <v>N/A</v>
      </c>
      <c r="T872" s="1" t="str">
        <f>IF(OR(Table1[[#This Row],[Low Tol]]="",Table1[[#This Row],[High Tol]]=""),"Needs Analysis",IF(Table1[[#This Row],[Ratio]]&gt;=4,"Not Significant",IF(Table1[[#This Row],[Ratio]]&gt;=2,"Semi-Significant","Significant")))</f>
        <v>Needs Analysis</v>
      </c>
      <c r="W872" s="1">
        <f>IF(Table1[[#This Row],[Cal Type]]&lt;&gt;"ACCREDITED 17025 WITH UNCERTAINTIES",0,"")</f>
        <v>0</v>
      </c>
      <c r="X872" s="1" t="str">
        <f>IF(Table1[[#This Row],[DUT Read]]="","N/A",Table1[[#This Row],[Std Error]]+Table1[[#This Row],[DUT Read]]+Table1[[#This Row],[DUT Ucty]])</f>
        <v>N/A</v>
      </c>
      <c r="Y872" s="1" t="str">
        <f>IF(Table1[[#This Row],[Std Read]]="","N/A",Table1[[#This Row],[Std Read]]+Table1[[#This Row],[Std Ucty]])</f>
        <v>N/A</v>
      </c>
      <c r="Z8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2" s="1" t="str">
        <f>IF(Table1[[#This Row],[Spec Type]]="","N/A",Table1[[#This Row],[Spec Type]])</f>
        <v>±</v>
      </c>
      <c r="AC872" s="1" t="str">
        <f>IF(Table1[[#This Row],[Spec Type2]]="N/A","N/A",IF(AND(Table1[[#This Row],[DUT Adj Read]]&gt;=Table1[[#This Row],[Low Tol]],Table1[[#This Row],[DUT Adj Read]]&lt;=Table1[[#This Row],[High Tol]]),"Pass","Fail"))</f>
        <v>Fail</v>
      </c>
      <c r="AD872" s="1" t="str">
        <f>IF(AND(Table1[[#This Row],[Spec Type2]]="N/A",Table1[[#This Row],[DUT Adj Read]]="N/A",Table1[[#This Row],[Std Adj Read]]="N/A"),"N/A",IF(Table1[[#This Row],[DUT Adj Read]]="N/A",IF(Table1[[#This Row],[Std Adj Read]]&gt;Table1[[#This Row],[Low Tol]],"Pass","Fail"),IF(Table1[[#This Row],[DUT Adj Read]]&gt;Table1[[#This Row],[Low Tol]],"Pass","Fail")))</f>
        <v>Pass</v>
      </c>
      <c r="AE872" s="1" t="str">
        <f>IF(AND(Table1[[#This Row],[Spec Type2]]="N/A",Table1[[#This Row],[DUT Adj Read]]="N/A",Table1[[#This Row],[Std Adj Read]]="N/A"),"N/A",IF(Table1[[#This Row],[DUT Adj Read]]="N/A",IF(Table1[[#This Row],[Std Adj Read]]&lt;Table1[[#This Row],[High Tol]],"Pass","Fail"),IF(Table1[[#This Row],[DUT Adj Read]]&lt;Table1[[#This Row],[High Tol]],"Pass","Fail")))</f>
        <v>Fail</v>
      </c>
      <c r="AF872" s="1" t="str">
        <f>IF(AND(Table1[[#This Row],[Spec Type2]]="N/A",Table1[[#This Row],[DUT Adj Read]]="N/A",Table1[[#This Row],[Std Adj Read]]="N/A"),"N/A",IF(Table1[[#This Row],[DUT Adj Read]]="N/A",IF(Table1[[#This Row],[Std Adj Read]]&gt;=Table1[[#This Row],[Low Tol]],"Pass","Fail"),IF(Table1[[#This Row],[DUT Adj Read]]&gt;=Table1[[#This Row],[Low Tol]],"Pass","Fail")))</f>
        <v>Pass</v>
      </c>
      <c r="AG872" s="1" t="str">
        <f>IF(AND(Table1[[#This Row],[Spec Type2]]="N/A",Table1[[#This Row],[DUT Adj Read]]="N/A",Table1[[#This Row],[Std Adj Read]]="N/A"),"N/A",IF(Table1[[#This Row],[DUT Adj Read]]="N/A",IF(Table1[[#This Row],[Std Adj Read]]&lt;=Table1[[#This Row],[High Tol]],"Pass","Fail"),IF(Table1[[#This Row],[DUT Adj Read]]&lt;=Table1[[#This Row],[High Tol]],"Pass","Fail")))</f>
        <v>Fail</v>
      </c>
      <c r="AH8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2" s="1" t="b">
        <v>0</v>
      </c>
      <c r="AN872" s="1" t="b">
        <v>0</v>
      </c>
      <c r="AO872" s="1" t="b">
        <v>0</v>
      </c>
    </row>
    <row r="873" spans="1:41" x14ac:dyDescent="0.25">
      <c r="A873" s="10"/>
      <c r="B873" s="10"/>
      <c r="C873" s="10"/>
      <c r="D873" s="10"/>
      <c r="E873" s="10"/>
      <c r="F873" s="10"/>
      <c r="G873" s="10"/>
      <c r="H873" s="10"/>
      <c r="I873" s="1" t="str">
        <f t="shared" si="39"/>
        <v/>
      </c>
      <c r="J873" s="1" t="s">
        <v>35</v>
      </c>
      <c r="K873" s="1" t="str">
        <f t="shared" si="40"/>
        <v/>
      </c>
      <c r="L873" s="1" t="str">
        <f t="shared" si="41"/>
        <v/>
      </c>
      <c r="M873" s="1">
        <f>IF(OR(Table1[[#This Row],[Std Nom]]="",Table1[[#This Row],[Std Read]]=""),0,Table1[[#This Row],[Std Nom]]-Table1[[#This Row],[Std Read]])</f>
        <v>0</v>
      </c>
      <c r="N873" s="1">
        <f>IF(Calculations!$F$5="ACCREDITED 17025 WITH UNCERTAINTIES",$N$10,0)</f>
        <v>0</v>
      </c>
      <c r="O873" s="1" t="str">
        <f>IFERROR(Table1[[#This Row],[Std Nom]]-(_xlfn.XLOOKUP(Table1[[#This Row],[Manufacturer]]&amp;" "&amp;Table1[[#This Row],[Model]],Table13[MFR &amp; MDL],Table13[Tolerance % CW ],"")/100*Table1[[#This Row],[Std Nom]]),"")</f>
        <v/>
      </c>
      <c r="P873" s="1" t="str">
        <f>IFERROR(Table1[[#This Row],[Std Nom]]+(_xlfn.XLOOKUP(Table1[[#This Row],[Manufacturer]]&amp;" "&amp;Table1[[#This Row],[Model]],Table13[MFR &amp; MDL],Table13[Tolerance % CW ],"")/100*Table1[[#This Row],[Std Nom]]),"")</f>
        <v/>
      </c>
      <c r="Q873" s="1" t="e">
        <f>Table1[[#This Row],[High Tol]]-Table1[[#This Row],[Low Tol]]</f>
        <v>#VALUE!</v>
      </c>
      <c r="R873" s="1">
        <f>2*Table1[[#This Row],[Std Error]]</f>
        <v>0</v>
      </c>
      <c r="S873" s="1" t="str">
        <f>IF(Table1[[#This Row],[High Tol]]="","N/A",IFERROR(ABS(Table1[[#This Row],[Tol Span]]/Table1[[#This Row],[Error Span]]),"N/A"))</f>
        <v>N/A</v>
      </c>
      <c r="T873" s="1" t="str">
        <f>IF(OR(Table1[[#This Row],[Low Tol]]="",Table1[[#This Row],[High Tol]]=""),"Needs Analysis",IF(Table1[[#This Row],[Ratio]]&gt;=4,"Not Significant",IF(Table1[[#This Row],[Ratio]]&gt;=2,"Semi-Significant","Significant")))</f>
        <v>Needs Analysis</v>
      </c>
      <c r="W873" s="1">
        <f>IF(Table1[[#This Row],[Cal Type]]&lt;&gt;"ACCREDITED 17025 WITH UNCERTAINTIES",0,"")</f>
        <v>0</v>
      </c>
      <c r="X873" s="1" t="str">
        <f>IF(Table1[[#This Row],[DUT Read]]="","N/A",Table1[[#This Row],[Std Error]]+Table1[[#This Row],[DUT Read]]+Table1[[#This Row],[DUT Ucty]])</f>
        <v>N/A</v>
      </c>
      <c r="Y873" s="1" t="str">
        <f>IF(Table1[[#This Row],[Std Read]]="","N/A",Table1[[#This Row],[Std Read]]+Table1[[#This Row],[Std Ucty]])</f>
        <v>N/A</v>
      </c>
      <c r="Z8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3" s="1" t="str">
        <f>IF(Table1[[#This Row],[Spec Type]]="","N/A",Table1[[#This Row],[Spec Type]])</f>
        <v>±</v>
      </c>
      <c r="AC873" s="1" t="str">
        <f>IF(Table1[[#This Row],[Spec Type2]]="N/A","N/A",IF(AND(Table1[[#This Row],[DUT Adj Read]]&gt;=Table1[[#This Row],[Low Tol]],Table1[[#This Row],[DUT Adj Read]]&lt;=Table1[[#This Row],[High Tol]]),"Pass","Fail"))</f>
        <v>Fail</v>
      </c>
      <c r="AD873" s="1" t="str">
        <f>IF(AND(Table1[[#This Row],[Spec Type2]]="N/A",Table1[[#This Row],[DUT Adj Read]]="N/A",Table1[[#This Row],[Std Adj Read]]="N/A"),"N/A",IF(Table1[[#This Row],[DUT Adj Read]]="N/A",IF(Table1[[#This Row],[Std Adj Read]]&gt;Table1[[#This Row],[Low Tol]],"Pass","Fail"),IF(Table1[[#This Row],[DUT Adj Read]]&gt;Table1[[#This Row],[Low Tol]],"Pass","Fail")))</f>
        <v>Pass</v>
      </c>
      <c r="AE873" s="1" t="str">
        <f>IF(AND(Table1[[#This Row],[Spec Type2]]="N/A",Table1[[#This Row],[DUT Adj Read]]="N/A",Table1[[#This Row],[Std Adj Read]]="N/A"),"N/A",IF(Table1[[#This Row],[DUT Adj Read]]="N/A",IF(Table1[[#This Row],[Std Adj Read]]&lt;Table1[[#This Row],[High Tol]],"Pass","Fail"),IF(Table1[[#This Row],[DUT Adj Read]]&lt;Table1[[#This Row],[High Tol]],"Pass","Fail")))</f>
        <v>Fail</v>
      </c>
      <c r="AF873" s="1" t="str">
        <f>IF(AND(Table1[[#This Row],[Spec Type2]]="N/A",Table1[[#This Row],[DUT Adj Read]]="N/A",Table1[[#This Row],[Std Adj Read]]="N/A"),"N/A",IF(Table1[[#This Row],[DUT Adj Read]]="N/A",IF(Table1[[#This Row],[Std Adj Read]]&gt;=Table1[[#This Row],[Low Tol]],"Pass","Fail"),IF(Table1[[#This Row],[DUT Adj Read]]&gt;=Table1[[#This Row],[Low Tol]],"Pass","Fail")))</f>
        <v>Pass</v>
      </c>
      <c r="AG873" s="1" t="str">
        <f>IF(AND(Table1[[#This Row],[Spec Type2]]="N/A",Table1[[#This Row],[DUT Adj Read]]="N/A",Table1[[#This Row],[Std Adj Read]]="N/A"),"N/A",IF(Table1[[#This Row],[DUT Adj Read]]="N/A",IF(Table1[[#This Row],[Std Adj Read]]&lt;=Table1[[#This Row],[High Tol]],"Pass","Fail"),IF(Table1[[#This Row],[DUT Adj Read]]&lt;=Table1[[#This Row],[High Tol]],"Pass","Fail")))</f>
        <v>Fail</v>
      </c>
      <c r="AH8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3" s="1" t="b">
        <v>0</v>
      </c>
      <c r="AN873" s="1" t="b">
        <v>0</v>
      </c>
      <c r="AO873" s="1" t="b">
        <v>0</v>
      </c>
    </row>
    <row r="874" spans="1:41" x14ac:dyDescent="0.25">
      <c r="A874" s="10"/>
      <c r="B874" s="10"/>
      <c r="C874" s="10"/>
      <c r="D874" s="10"/>
      <c r="E874" s="10"/>
      <c r="F874" s="10"/>
      <c r="G874" s="10"/>
      <c r="H874" s="10"/>
      <c r="I874" s="1" t="str">
        <f t="shared" si="39"/>
        <v/>
      </c>
      <c r="J874" s="1" t="s">
        <v>35</v>
      </c>
      <c r="K874" s="1" t="str">
        <f t="shared" si="40"/>
        <v/>
      </c>
      <c r="L874" s="1" t="str">
        <f t="shared" si="41"/>
        <v/>
      </c>
      <c r="M874" s="1">
        <f>IF(OR(Table1[[#This Row],[Std Nom]]="",Table1[[#This Row],[Std Read]]=""),0,Table1[[#This Row],[Std Nom]]-Table1[[#This Row],[Std Read]])</f>
        <v>0</v>
      </c>
      <c r="N874" s="1">
        <f>IF(Calculations!$F$5="ACCREDITED 17025 WITH UNCERTAINTIES",$N$10,0)</f>
        <v>0</v>
      </c>
      <c r="O874" s="1" t="str">
        <f>IFERROR(Table1[[#This Row],[Std Nom]]-(_xlfn.XLOOKUP(Table1[[#This Row],[Manufacturer]]&amp;" "&amp;Table1[[#This Row],[Model]],Table13[MFR &amp; MDL],Table13[Tolerance % CW ],"")/100*Table1[[#This Row],[Std Nom]]),"")</f>
        <v/>
      </c>
      <c r="P874" s="1" t="str">
        <f>IFERROR(Table1[[#This Row],[Std Nom]]+(_xlfn.XLOOKUP(Table1[[#This Row],[Manufacturer]]&amp;" "&amp;Table1[[#This Row],[Model]],Table13[MFR &amp; MDL],Table13[Tolerance % CW ],"")/100*Table1[[#This Row],[Std Nom]]),"")</f>
        <v/>
      </c>
      <c r="Q874" s="1" t="e">
        <f>Table1[[#This Row],[High Tol]]-Table1[[#This Row],[Low Tol]]</f>
        <v>#VALUE!</v>
      </c>
      <c r="R874" s="1">
        <f>2*Table1[[#This Row],[Std Error]]</f>
        <v>0</v>
      </c>
      <c r="S874" s="1" t="str">
        <f>IF(Table1[[#This Row],[High Tol]]="","N/A",IFERROR(ABS(Table1[[#This Row],[Tol Span]]/Table1[[#This Row],[Error Span]]),"N/A"))</f>
        <v>N/A</v>
      </c>
      <c r="T874" s="1" t="str">
        <f>IF(OR(Table1[[#This Row],[Low Tol]]="",Table1[[#This Row],[High Tol]]=""),"Needs Analysis",IF(Table1[[#This Row],[Ratio]]&gt;=4,"Not Significant",IF(Table1[[#This Row],[Ratio]]&gt;=2,"Semi-Significant","Significant")))</f>
        <v>Needs Analysis</v>
      </c>
      <c r="W874" s="1">
        <f>IF(Table1[[#This Row],[Cal Type]]&lt;&gt;"ACCREDITED 17025 WITH UNCERTAINTIES",0,"")</f>
        <v>0</v>
      </c>
      <c r="X874" s="1" t="str">
        <f>IF(Table1[[#This Row],[DUT Read]]="","N/A",Table1[[#This Row],[Std Error]]+Table1[[#This Row],[DUT Read]]+Table1[[#This Row],[DUT Ucty]])</f>
        <v>N/A</v>
      </c>
      <c r="Y874" s="1" t="str">
        <f>IF(Table1[[#This Row],[Std Read]]="","N/A",Table1[[#This Row],[Std Read]]+Table1[[#This Row],[Std Ucty]])</f>
        <v>N/A</v>
      </c>
      <c r="Z8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4" s="1" t="str">
        <f>IF(Table1[[#This Row],[Spec Type]]="","N/A",Table1[[#This Row],[Spec Type]])</f>
        <v>±</v>
      </c>
      <c r="AC874" s="1" t="str">
        <f>IF(Table1[[#This Row],[Spec Type2]]="N/A","N/A",IF(AND(Table1[[#This Row],[DUT Adj Read]]&gt;=Table1[[#This Row],[Low Tol]],Table1[[#This Row],[DUT Adj Read]]&lt;=Table1[[#This Row],[High Tol]]),"Pass","Fail"))</f>
        <v>Fail</v>
      </c>
      <c r="AD874" s="1" t="str">
        <f>IF(AND(Table1[[#This Row],[Spec Type2]]="N/A",Table1[[#This Row],[DUT Adj Read]]="N/A",Table1[[#This Row],[Std Adj Read]]="N/A"),"N/A",IF(Table1[[#This Row],[DUT Adj Read]]="N/A",IF(Table1[[#This Row],[Std Adj Read]]&gt;Table1[[#This Row],[Low Tol]],"Pass","Fail"),IF(Table1[[#This Row],[DUT Adj Read]]&gt;Table1[[#This Row],[Low Tol]],"Pass","Fail")))</f>
        <v>Pass</v>
      </c>
      <c r="AE874" s="1" t="str">
        <f>IF(AND(Table1[[#This Row],[Spec Type2]]="N/A",Table1[[#This Row],[DUT Adj Read]]="N/A",Table1[[#This Row],[Std Adj Read]]="N/A"),"N/A",IF(Table1[[#This Row],[DUT Adj Read]]="N/A",IF(Table1[[#This Row],[Std Adj Read]]&lt;Table1[[#This Row],[High Tol]],"Pass","Fail"),IF(Table1[[#This Row],[DUT Adj Read]]&lt;Table1[[#This Row],[High Tol]],"Pass","Fail")))</f>
        <v>Fail</v>
      </c>
      <c r="AF874" s="1" t="str">
        <f>IF(AND(Table1[[#This Row],[Spec Type2]]="N/A",Table1[[#This Row],[DUT Adj Read]]="N/A",Table1[[#This Row],[Std Adj Read]]="N/A"),"N/A",IF(Table1[[#This Row],[DUT Adj Read]]="N/A",IF(Table1[[#This Row],[Std Adj Read]]&gt;=Table1[[#This Row],[Low Tol]],"Pass","Fail"),IF(Table1[[#This Row],[DUT Adj Read]]&gt;=Table1[[#This Row],[Low Tol]],"Pass","Fail")))</f>
        <v>Pass</v>
      </c>
      <c r="AG874" s="1" t="str">
        <f>IF(AND(Table1[[#This Row],[Spec Type2]]="N/A",Table1[[#This Row],[DUT Adj Read]]="N/A",Table1[[#This Row],[Std Adj Read]]="N/A"),"N/A",IF(Table1[[#This Row],[DUT Adj Read]]="N/A",IF(Table1[[#This Row],[Std Adj Read]]&lt;=Table1[[#This Row],[High Tol]],"Pass","Fail"),IF(Table1[[#This Row],[DUT Adj Read]]&lt;=Table1[[#This Row],[High Tol]],"Pass","Fail")))</f>
        <v>Fail</v>
      </c>
      <c r="AH8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4" s="1" t="b">
        <v>0</v>
      </c>
      <c r="AN874" s="1" t="b">
        <v>0</v>
      </c>
      <c r="AO874" s="1" t="b">
        <v>0</v>
      </c>
    </row>
    <row r="875" spans="1:41" x14ac:dyDescent="0.25">
      <c r="A875" s="10"/>
      <c r="B875" s="10"/>
      <c r="C875" s="10"/>
      <c r="D875" s="10"/>
      <c r="E875" s="10"/>
      <c r="F875" s="10"/>
      <c r="G875" s="10"/>
      <c r="H875" s="10"/>
      <c r="I875" s="1" t="str">
        <f t="shared" si="39"/>
        <v/>
      </c>
      <c r="J875" s="1" t="s">
        <v>35</v>
      </c>
      <c r="K875" s="1" t="str">
        <f t="shared" si="40"/>
        <v/>
      </c>
      <c r="L875" s="1" t="str">
        <f t="shared" si="41"/>
        <v/>
      </c>
      <c r="M875" s="1">
        <f>IF(OR(Table1[[#This Row],[Std Nom]]="",Table1[[#This Row],[Std Read]]=""),0,Table1[[#This Row],[Std Nom]]-Table1[[#This Row],[Std Read]])</f>
        <v>0</v>
      </c>
      <c r="N875" s="1">
        <f>IF(Calculations!$F$5="ACCREDITED 17025 WITH UNCERTAINTIES",$N$10,0)</f>
        <v>0</v>
      </c>
      <c r="O875" s="1" t="str">
        <f>IFERROR(Table1[[#This Row],[Std Nom]]-(_xlfn.XLOOKUP(Table1[[#This Row],[Manufacturer]]&amp;" "&amp;Table1[[#This Row],[Model]],Table13[MFR &amp; MDL],Table13[Tolerance % CW ],"")/100*Table1[[#This Row],[Std Nom]]),"")</f>
        <v/>
      </c>
      <c r="P875" s="1" t="str">
        <f>IFERROR(Table1[[#This Row],[Std Nom]]+(_xlfn.XLOOKUP(Table1[[#This Row],[Manufacturer]]&amp;" "&amp;Table1[[#This Row],[Model]],Table13[MFR &amp; MDL],Table13[Tolerance % CW ],"")/100*Table1[[#This Row],[Std Nom]]),"")</f>
        <v/>
      </c>
      <c r="Q875" s="1" t="e">
        <f>Table1[[#This Row],[High Tol]]-Table1[[#This Row],[Low Tol]]</f>
        <v>#VALUE!</v>
      </c>
      <c r="R875" s="1">
        <f>2*Table1[[#This Row],[Std Error]]</f>
        <v>0</v>
      </c>
      <c r="S875" s="1" t="str">
        <f>IF(Table1[[#This Row],[High Tol]]="","N/A",IFERROR(ABS(Table1[[#This Row],[Tol Span]]/Table1[[#This Row],[Error Span]]),"N/A"))</f>
        <v>N/A</v>
      </c>
      <c r="T875" s="1" t="str">
        <f>IF(OR(Table1[[#This Row],[Low Tol]]="",Table1[[#This Row],[High Tol]]=""),"Needs Analysis",IF(Table1[[#This Row],[Ratio]]&gt;=4,"Not Significant",IF(Table1[[#This Row],[Ratio]]&gt;=2,"Semi-Significant","Significant")))</f>
        <v>Needs Analysis</v>
      </c>
      <c r="W875" s="1">
        <f>IF(Table1[[#This Row],[Cal Type]]&lt;&gt;"ACCREDITED 17025 WITH UNCERTAINTIES",0,"")</f>
        <v>0</v>
      </c>
      <c r="X875" s="1" t="str">
        <f>IF(Table1[[#This Row],[DUT Read]]="","N/A",Table1[[#This Row],[Std Error]]+Table1[[#This Row],[DUT Read]]+Table1[[#This Row],[DUT Ucty]])</f>
        <v>N/A</v>
      </c>
      <c r="Y875" s="1" t="str">
        <f>IF(Table1[[#This Row],[Std Read]]="","N/A",Table1[[#This Row],[Std Read]]+Table1[[#This Row],[Std Ucty]])</f>
        <v>N/A</v>
      </c>
      <c r="Z8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5" s="1" t="str">
        <f>IF(Table1[[#This Row],[Spec Type]]="","N/A",Table1[[#This Row],[Spec Type]])</f>
        <v>±</v>
      </c>
      <c r="AC875" s="1" t="str">
        <f>IF(Table1[[#This Row],[Spec Type2]]="N/A","N/A",IF(AND(Table1[[#This Row],[DUT Adj Read]]&gt;=Table1[[#This Row],[Low Tol]],Table1[[#This Row],[DUT Adj Read]]&lt;=Table1[[#This Row],[High Tol]]),"Pass","Fail"))</f>
        <v>Fail</v>
      </c>
      <c r="AD875" s="1" t="str">
        <f>IF(AND(Table1[[#This Row],[Spec Type2]]="N/A",Table1[[#This Row],[DUT Adj Read]]="N/A",Table1[[#This Row],[Std Adj Read]]="N/A"),"N/A",IF(Table1[[#This Row],[DUT Adj Read]]="N/A",IF(Table1[[#This Row],[Std Adj Read]]&gt;Table1[[#This Row],[Low Tol]],"Pass","Fail"),IF(Table1[[#This Row],[DUT Adj Read]]&gt;Table1[[#This Row],[Low Tol]],"Pass","Fail")))</f>
        <v>Pass</v>
      </c>
      <c r="AE875" s="1" t="str">
        <f>IF(AND(Table1[[#This Row],[Spec Type2]]="N/A",Table1[[#This Row],[DUT Adj Read]]="N/A",Table1[[#This Row],[Std Adj Read]]="N/A"),"N/A",IF(Table1[[#This Row],[DUT Adj Read]]="N/A",IF(Table1[[#This Row],[Std Adj Read]]&lt;Table1[[#This Row],[High Tol]],"Pass","Fail"),IF(Table1[[#This Row],[DUT Adj Read]]&lt;Table1[[#This Row],[High Tol]],"Pass","Fail")))</f>
        <v>Fail</v>
      </c>
      <c r="AF875" s="1" t="str">
        <f>IF(AND(Table1[[#This Row],[Spec Type2]]="N/A",Table1[[#This Row],[DUT Adj Read]]="N/A",Table1[[#This Row],[Std Adj Read]]="N/A"),"N/A",IF(Table1[[#This Row],[DUT Adj Read]]="N/A",IF(Table1[[#This Row],[Std Adj Read]]&gt;=Table1[[#This Row],[Low Tol]],"Pass","Fail"),IF(Table1[[#This Row],[DUT Adj Read]]&gt;=Table1[[#This Row],[Low Tol]],"Pass","Fail")))</f>
        <v>Pass</v>
      </c>
      <c r="AG875" s="1" t="str">
        <f>IF(AND(Table1[[#This Row],[Spec Type2]]="N/A",Table1[[#This Row],[DUT Adj Read]]="N/A",Table1[[#This Row],[Std Adj Read]]="N/A"),"N/A",IF(Table1[[#This Row],[DUT Adj Read]]="N/A",IF(Table1[[#This Row],[Std Adj Read]]&lt;=Table1[[#This Row],[High Tol]],"Pass","Fail"),IF(Table1[[#This Row],[DUT Adj Read]]&lt;=Table1[[#This Row],[High Tol]],"Pass","Fail")))</f>
        <v>Fail</v>
      </c>
      <c r="AH8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5" s="1" t="b">
        <v>0</v>
      </c>
      <c r="AN875" s="1" t="b">
        <v>0</v>
      </c>
      <c r="AO875" s="1" t="b">
        <v>0</v>
      </c>
    </row>
    <row r="876" spans="1:41" x14ac:dyDescent="0.25">
      <c r="A876" s="10"/>
      <c r="B876" s="10"/>
      <c r="C876" s="10"/>
      <c r="D876" s="10"/>
      <c r="E876" s="10"/>
      <c r="F876" s="10"/>
      <c r="G876" s="10"/>
      <c r="H876" s="10"/>
      <c r="I876" s="1" t="str">
        <f t="shared" si="39"/>
        <v/>
      </c>
      <c r="J876" s="1" t="s">
        <v>35</v>
      </c>
      <c r="K876" s="1" t="str">
        <f t="shared" si="40"/>
        <v/>
      </c>
      <c r="L876" s="1" t="str">
        <f t="shared" si="41"/>
        <v/>
      </c>
      <c r="M876" s="1">
        <f>IF(OR(Table1[[#This Row],[Std Nom]]="",Table1[[#This Row],[Std Read]]=""),0,Table1[[#This Row],[Std Nom]]-Table1[[#This Row],[Std Read]])</f>
        <v>0</v>
      </c>
      <c r="N876" s="1">
        <f>IF(Calculations!$F$5="ACCREDITED 17025 WITH UNCERTAINTIES",$N$10,0)</f>
        <v>0</v>
      </c>
      <c r="O876" s="1" t="str">
        <f>IFERROR(Table1[[#This Row],[Std Nom]]-(_xlfn.XLOOKUP(Table1[[#This Row],[Manufacturer]]&amp;" "&amp;Table1[[#This Row],[Model]],Table13[MFR &amp; MDL],Table13[Tolerance % CW ],"")/100*Table1[[#This Row],[Std Nom]]),"")</f>
        <v/>
      </c>
      <c r="P876" s="1" t="str">
        <f>IFERROR(Table1[[#This Row],[Std Nom]]+(_xlfn.XLOOKUP(Table1[[#This Row],[Manufacturer]]&amp;" "&amp;Table1[[#This Row],[Model]],Table13[MFR &amp; MDL],Table13[Tolerance % CW ],"")/100*Table1[[#This Row],[Std Nom]]),"")</f>
        <v/>
      </c>
      <c r="Q876" s="1" t="e">
        <f>Table1[[#This Row],[High Tol]]-Table1[[#This Row],[Low Tol]]</f>
        <v>#VALUE!</v>
      </c>
      <c r="R876" s="1">
        <f>2*Table1[[#This Row],[Std Error]]</f>
        <v>0</v>
      </c>
      <c r="S876" s="1" t="str">
        <f>IF(Table1[[#This Row],[High Tol]]="","N/A",IFERROR(ABS(Table1[[#This Row],[Tol Span]]/Table1[[#This Row],[Error Span]]),"N/A"))</f>
        <v>N/A</v>
      </c>
      <c r="T876" s="1" t="str">
        <f>IF(OR(Table1[[#This Row],[Low Tol]]="",Table1[[#This Row],[High Tol]]=""),"Needs Analysis",IF(Table1[[#This Row],[Ratio]]&gt;=4,"Not Significant",IF(Table1[[#This Row],[Ratio]]&gt;=2,"Semi-Significant","Significant")))</f>
        <v>Needs Analysis</v>
      </c>
      <c r="W876" s="1">
        <f>IF(Table1[[#This Row],[Cal Type]]&lt;&gt;"ACCREDITED 17025 WITH UNCERTAINTIES",0,"")</f>
        <v>0</v>
      </c>
      <c r="X876" s="1" t="str">
        <f>IF(Table1[[#This Row],[DUT Read]]="","N/A",Table1[[#This Row],[Std Error]]+Table1[[#This Row],[DUT Read]]+Table1[[#This Row],[DUT Ucty]])</f>
        <v>N/A</v>
      </c>
      <c r="Y876" s="1" t="str">
        <f>IF(Table1[[#This Row],[Std Read]]="","N/A",Table1[[#This Row],[Std Read]]+Table1[[#This Row],[Std Ucty]])</f>
        <v>N/A</v>
      </c>
      <c r="Z8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6" s="1" t="str">
        <f>IF(Table1[[#This Row],[Spec Type]]="","N/A",Table1[[#This Row],[Spec Type]])</f>
        <v>±</v>
      </c>
      <c r="AC876" s="1" t="str">
        <f>IF(Table1[[#This Row],[Spec Type2]]="N/A","N/A",IF(AND(Table1[[#This Row],[DUT Adj Read]]&gt;=Table1[[#This Row],[Low Tol]],Table1[[#This Row],[DUT Adj Read]]&lt;=Table1[[#This Row],[High Tol]]),"Pass","Fail"))</f>
        <v>Fail</v>
      </c>
      <c r="AD876" s="1" t="str">
        <f>IF(AND(Table1[[#This Row],[Spec Type2]]="N/A",Table1[[#This Row],[DUT Adj Read]]="N/A",Table1[[#This Row],[Std Adj Read]]="N/A"),"N/A",IF(Table1[[#This Row],[DUT Adj Read]]="N/A",IF(Table1[[#This Row],[Std Adj Read]]&gt;Table1[[#This Row],[Low Tol]],"Pass","Fail"),IF(Table1[[#This Row],[DUT Adj Read]]&gt;Table1[[#This Row],[Low Tol]],"Pass","Fail")))</f>
        <v>Pass</v>
      </c>
      <c r="AE876" s="1" t="str">
        <f>IF(AND(Table1[[#This Row],[Spec Type2]]="N/A",Table1[[#This Row],[DUT Adj Read]]="N/A",Table1[[#This Row],[Std Adj Read]]="N/A"),"N/A",IF(Table1[[#This Row],[DUT Adj Read]]="N/A",IF(Table1[[#This Row],[Std Adj Read]]&lt;Table1[[#This Row],[High Tol]],"Pass","Fail"),IF(Table1[[#This Row],[DUT Adj Read]]&lt;Table1[[#This Row],[High Tol]],"Pass","Fail")))</f>
        <v>Fail</v>
      </c>
      <c r="AF876" s="1" t="str">
        <f>IF(AND(Table1[[#This Row],[Spec Type2]]="N/A",Table1[[#This Row],[DUT Adj Read]]="N/A",Table1[[#This Row],[Std Adj Read]]="N/A"),"N/A",IF(Table1[[#This Row],[DUT Adj Read]]="N/A",IF(Table1[[#This Row],[Std Adj Read]]&gt;=Table1[[#This Row],[Low Tol]],"Pass","Fail"),IF(Table1[[#This Row],[DUT Adj Read]]&gt;=Table1[[#This Row],[Low Tol]],"Pass","Fail")))</f>
        <v>Pass</v>
      </c>
      <c r="AG876" s="1" t="str">
        <f>IF(AND(Table1[[#This Row],[Spec Type2]]="N/A",Table1[[#This Row],[DUT Adj Read]]="N/A",Table1[[#This Row],[Std Adj Read]]="N/A"),"N/A",IF(Table1[[#This Row],[DUT Adj Read]]="N/A",IF(Table1[[#This Row],[Std Adj Read]]&lt;=Table1[[#This Row],[High Tol]],"Pass","Fail"),IF(Table1[[#This Row],[DUT Adj Read]]&lt;=Table1[[#This Row],[High Tol]],"Pass","Fail")))</f>
        <v>Fail</v>
      </c>
      <c r="AH8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6" s="1" t="b">
        <v>0</v>
      </c>
      <c r="AN876" s="1" t="b">
        <v>0</v>
      </c>
      <c r="AO876" s="1" t="b">
        <v>0</v>
      </c>
    </row>
    <row r="877" spans="1:41" x14ac:dyDescent="0.25">
      <c r="A877" s="10"/>
      <c r="B877" s="10"/>
      <c r="C877" s="10"/>
      <c r="D877" s="10"/>
      <c r="E877" s="10"/>
      <c r="F877" s="10"/>
      <c r="G877" s="10"/>
      <c r="H877" s="10"/>
      <c r="I877" s="1" t="str">
        <f t="shared" si="39"/>
        <v/>
      </c>
      <c r="J877" s="1" t="s">
        <v>35</v>
      </c>
      <c r="K877" s="1" t="str">
        <f t="shared" si="40"/>
        <v/>
      </c>
      <c r="L877" s="1" t="str">
        <f t="shared" si="41"/>
        <v/>
      </c>
      <c r="M877" s="1">
        <f>IF(OR(Table1[[#This Row],[Std Nom]]="",Table1[[#This Row],[Std Read]]=""),0,Table1[[#This Row],[Std Nom]]-Table1[[#This Row],[Std Read]])</f>
        <v>0</v>
      </c>
      <c r="N877" s="1">
        <f>IF(Calculations!$F$5="ACCREDITED 17025 WITH UNCERTAINTIES",$N$10,0)</f>
        <v>0</v>
      </c>
      <c r="O877" s="1" t="str">
        <f>IFERROR(Table1[[#This Row],[Std Nom]]-(_xlfn.XLOOKUP(Table1[[#This Row],[Manufacturer]]&amp;" "&amp;Table1[[#This Row],[Model]],Table13[MFR &amp; MDL],Table13[Tolerance % CW ],"")/100*Table1[[#This Row],[Std Nom]]),"")</f>
        <v/>
      </c>
      <c r="P877" s="1" t="str">
        <f>IFERROR(Table1[[#This Row],[Std Nom]]+(_xlfn.XLOOKUP(Table1[[#This Row],[Manufacturer]]&amp;" "&amp;Table1[[#This Row],[Model]],Table13[MFR &amp; MDL],Table13[Tolerance % CW ],"")/100*Table1[[#This Row],[Std Nom]]),"")</f>
        <v/>
      </c>
      <c r="Q877" s="1" t="e">
        <f>Table1[[#This Row],[High Tol]]-Table1[[#This Row],[Low Tol]]</f>
        <v>#VALUE!</v>
      </c>
      <c r="R877" s="1">
        <f>2*Table1[[#This Row],[Std Error]]</f>
        <v>0</v>
      </c>
      <c r="S877" s="1" t="str">
        <f>IF(Table1[[#This Row],[High Tol]]="","N/A",IFERROR(ABS(Table1[[#This Row],[Tol Span]]/Table1[[#This Row],[Error Span]]),"N/A"))</f>
        <v>N/A</v>
      </c>
      <c r="T877" s="1" t="str">
        <f>IF(OR(Table1[[#This Row],[Low Tol]]="",Table1[[#This Row],[High Tol]]=""),"Needs Analysis",IF(Table1[[#This Row],[Ratio]]&gt;=4,"Not Significant",IF(Table1[[#This Row],[Ratio]]&gt;=2,"Semi-Significant","Significant")))</f>
        <v>Needs Analysis</v>
      </c>
      <c r="W877" s="1">
        <f>IF(Table1[[#This Row],[Cal Type]]&lt;&gt;"ACCREDITED 17025 WITH UNCERTAINTIES",0,"")</f>
        <v>0</v>
      </c>
      <c r="X877" s="1" t="str">
        <f>IF(Table1[[#This Row],[DUT Read]]="","N/A",Table1[[#This Row],[Std Error]]+Table1[[#This Row],[DUT Read]]+Table1[[#This Row],[DUT Ucty]])</f>
        <v>N/A</v>
      </c>
      <c r="Y877" s="1" t="str">
        <f>IF(Table1[[#This Row],[Std Read]]="","N/A",Table1[[#This Row],[Std Read]]+Table1[[#This Row],[Std Ucty]])</f>
        <v>N/A</v>
      </c>
      <c r="Z8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7" s="1" t="str">
        <f>IF(Table1[[#This Row],[Spec Type]]="","N/A",Table1[[#This Row],[Spec Type]])</f>
        <v>±</v>
      </c>
      <c r="AC877" s="1" t="str">
        <f>IF(Table1[[#This Row],[Spec Type2]]="N/A","N/A",IF(AND(Table1[[#This Row],[DUT Adj Read]]&gt;=Table1[[#This Row],[Low Tol]],Table1[[#This Row],[DUT Adj Read]]&lt;=Table1[[#This Row],[High Tol]]),"Pass","Fail"))</f>
        <v>Fail</v>
      </c>
      <c r="AD877" s="1" t="str">
        <f>IF(AND(Table1[[#This Row],[Spec Type2]]="N/A",Table1[[#This Row],[DUT Adj Read]]="N/A",Table1[[#This Row],[Std Adj Read]]="N/A"),"N/A",IF(Table1[[#This Row],[DUT Adj Read]]="N/A",IF(Table1[[#This Row],[Std Adj Read]]&gt;Table1[[#This Row],[Low Tol]],"Pass","Fail"),IF(Table1[[#This Row],[DUT Adj Read]]&gt;Table1[[#This Row],[Low Tol]],"Pass","Fail")))</f>
        <v>Pass</v>
      </c>
      <c r="AE877" s="1" t="str">
        <f>IF(AND(Table1[[#This Row],[Spec Type2]]="N/A",Table1[[#This Row],[DUT Adj Read]]="N/A",Table1[[#This Row],[Std Adj Read]]="N/A"),"N/A",IF(Table1[[#This Row],[DUT Adj Read]]="N/A",IF(Table1[[#This Row],[Std Adj Read]]&lt;Table1[[#This Row],[High Tol]],"Pass","Fail"),IF(Table1[[#This Row],[DUT Adj Read]]&lt;Table1[[#This Row],[High Tol]],"Pass","Fail")))</f>
        <v>Fail</v>
      </c>
      <c r="AF877" s="1" t="str">
        <f>IF(AND(Table1[[#This Row],[Spec Type2]]="N/A",Table1[[#This Row],[DUT Adj Read]]="N/A",Table1[[#This Row],[Std Adj Read]]="N/A"),"N/A",IF(Table1[[#This Row],[DUT Adj Read]]="N/A",IF(Table1[[#This Row],[Std Adj Read]]&gt;=Table1[[#This Row],[Low Tol]],"Pass","Fail"),IF(Table1[[#This Row],[DUT Adj Read]]&gt;=Table1[[#This Row],[Low Tol]],"Pass","Fail")))</f>
        <v>Pass</v>
      </c>
      <c r="AG877" s="1" t="str">
        <f>IF(AND(Table1[[#This Row],[Spec Type2]]="N/A",Table1[[#This Row],[DUT Adj Read]]="N/A",Table1[[#This Row],[Std Adj Read]]="N/A"),"N/A",IF(Table1[[#This Row],[DUT Adj Read]]="N/A",IF(Table1[[#This Row],[Std Adj Read]]&lt;=Table1[[#This Row],[High Tol]],"Pass","Fail"),IF(Table1[[#This Row],[DUT Adj Read]]&lt;=Table1[[#This Row],[High Tol]],"Pass","Fail")))</f>
        <v>Fail</v>
      </c>
      <c r="AH8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7" s="1" t="b">
        <v>0</v>
      </c>
      <c r="AN877" s="1" t="b">
        <v>0</v>
      </c>
      <c r="AO877" s="1" t="b">
        <v>0</v>
      </c>
    </row>
    <row r="878" spans="1:41" x14ac:dyDescent="0.25">
      <c r="A878" s="10"/>
      <c r="B878" s="10"/>
      <c r="C878" s="10"/>
      <c r="D878" s="10"/>
      <c r="E878" s="10"/>
      <c r="F878" s="10"/>
      <c r="G878" s="10"/>
      <c r="H878" s="10"/>
      <c r="I878" s="1" t="str">
        <f t="shared" si="39"/>
        <v/>
      </c>
      <c r="J878" s="1" t="s">
        <v>35</v>
      </c>
      <c r="K878" s="1" t="str">
        <f t="shared" si="40"/>
        <v/>
      </c>
      <c r="L878" s="1" t="str">
        <f t="shared" si="41"/>
        <v/>
      </c>
      <c r="M878" s="1">
        <f>IF(OR(Table1[[#This Row],[Std Nom]]="",Table1[[#This Row],[Std Read]]=""),0,Table1[[#This Row],[Std Nom]]-Table1[[#This Row],[Std Read]])</f>
        <v>0</v>
      </c>
      <c r="N878" s="1">
        <f>IF(Calculations!$F$5="ACCREDITED 17025 WITH UNCERTAINTIES",$N$10,0)</f>
        <v>0</v>
      </c>
      <c r="O878" s="1" t="str">
        <f>IFERROR(Table1[[#This Row],[Std Nom]]-(_xlfn.XLOOKUP(Table1[[#This Row],[Manufacturer]]&amp;" "&amp;Table1[[#This Row],[Model]],Table13[MFR &amp; MDL],Table13[Tolerance % CW ],"")/100*Table1[[#This Row],[Std Nom]]),"")</f>
        <v/>
      </c>
      <c r="P878" s="1" t="str">
        <f>IFERROR(Table1[[#This Row],[Std Nom]]+(_xlfn.XLOOKUP(Table1[[#This Row],[Manufacturer]]&amp;" "&amp;Table1[[#This Row],[Model]],Table13[MFR &amp; MDL],Table13[Tolerance % CW ],"")/100*Table1[[#This Row],[Std Nom]]),"")</f>
        <v/>
      </c>
      <c r="Q878" s="1" t="e">
        <f>Table1[[#This Row],[High Tol]]-Table1[[#This Row],[Low Tol]]</f>
        <v>#VALUE!</v>
      </c>
      <c r="R878" s="1">
        <f>2*Table1[[#This Row],[Std Error]]</f>
        <v>0</v>
      </c>
      <c r="S878" s="1" t="str">
        <f>IF(Table1[[#This Row],[High Tol]]="","N/A",IFERROR(ABS(Table1[[#This Row],[Tol Span]]/Table1[[#This Row],[Error Span]]),"N/A"))</f>
        <v>N/A</v>
      </c>
      <c r="T878" s="1" t="str">
        <f>IF(OR(Table1[[#This Row],[Low Tol]]="",Table1[[#This Row],[High Tol]]=""),"Needs Analysis",IF(Table1[[#This Row],[Ratio]]&gt;=4,"Not Significant",IF(Table1[[#This Row],[Ratio]]&gt;=2,"Semi-Significant","Significant")))</f>
        <v>Needs Analysis</v>
      </c>
      <c r="W878" s="1">
        <f>IF(Table1[[#This Row],[Cal Type]]&lt;&gt;"ACCREDITED 17025 WITH UNCERTAINTIES",0,"")</f>
        <v>0</v>
      </c>
      <c r="X878" s="1" t="str">
        <f>IF(Table1[[#This Row],[DUT Read]]="","N/A",Table1[[#This Row],[Std Error]]+Table1[[#This Row],[DUT Read]]+Table1[[#This Row],[DUT Ucty]])</f>
        <v>N/A</v>
      </c>
      <c r="Y878" s="1" t="str">
        <f>IF(Table1[[#This Row],[Std Read]]="","N/A",Table1[[#This Row],[Std Read]]+Table1[[#This Row],[Std Ucty]])</f>
        <v>N/A</v>
      </c>
      <c r="Z8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8" s="1" t="str">
        <f>IF(Table1[[#This Row],[Spec Type]]="","N/A",Table1[[#This Row],[Spec Type]])</f>
        <v>±</v>
      </c>
      <c r="AC878" s="1" t="str">
        <f>IF(Table1[[#This Row],[Spec Type2]]="N/A","N/A",IF(AND(Table1[[#This Row],[DUT Adj Read]]&gt;=Table1[[#This Row],[Low Tol]],Table1[[#This Row],[DUT Adj Read]]&lt;=Table1[[#This Row],[High Tol]]),"Pass","Fail"))</f>
        <v>Fail</v>
      </c>
      <c r="AD878" s="1" t="str">
        <f>IF(AND(Table1[[#This Row],[Spec Type2]]="N/A",Table1[[#This Row],[DUT Adj Read]]="N/A",Table1[[#This Row],[Std Adj Read]]="N/A"),"N/A",IF(Table1[[#This Row],[DUT Adj Read]]="N/A",IF(Table1[[#This Row],[Std Adj Read]]&gt;Table1[[#This Row],[Low Tol]],"Pass","Fail"),IF(Table1[[#This Row],[DUT Adj Read]]&gt;Table1[[#This Row],[Low Tol]],"Pass","Fail")))</f>
        <v>Pass</v>
      </c>
      <c r="AE878" s="1" t="str">
        <f>IF(AND(Table1[[#This Row],[Spec Type2]]="N/A",Table1[[#This Row],[DUT Adj Read]]="N/A",Table1[[#This Row],[Std Adj Read]]="N/A"),"N/A",IF(Table1[[#This Row],[DUT Adj Read]]="N/A",IF(Table1[[#This Row],[Std Adj Read]]&lt;Table1[[#This Row],[High Tol]],"Pass","Fail"),IF(Table1[[#This Row],[DUT Adj Read]]&lt;Table1[[#This Row],[High Tol]],"Pass","Fail")))</f>
        <v>Fail</v>
      </c>
      <c r="AF878" s="1" t="str">
        <f>IF(AND(Table1[[#This Row],[Spec Type2]]="N/A",Table1[[#This Row],[DUT Adj Read]]="N/A",Table1[[#This Row],[Std Adj Read]]="N/A"),"N/A",IF(Table1[[#This Row],[DUT Adj Read]]="N/A",IF(Table1[[#This Row],[Std Adj Read]]&gt;=Table1[[#This Row],[Low Tol]],"Pass","Fail"),IF(Table1[[#This Row],[DUT Adj Read]]&gt;=Table1[[#This Row],[Low Tol]],"Pass","Fail")))</f>
        <v>Pass</v>
      </c>
      <c r="AG878" s="1" t="str">
        <f>IF(AND(Table1[[#This Row],[Spec Type2]]="N/A",Table1[[#This Row],[DUT Adj Read]]="N/A",Table1[[#This Row],[Std Adj Read]]="N/A"),"N/A",IF(Table1[[#This Row],[DUT Adj Read]]="N/A",IF(Table1[[#This Row],[Std Adj Read]]&lt;=Table1[[#This Row],[High Tol]],"Pass","Fail"),IF(Table1[[#This Row],[DUT Adj Read]]&lt;=Table1[[#This Row],[High Tol]],"Pass","Fail")))</f>
        <v>Fail</v>
      </c>
      <c r="AH8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8" s="1" t="b">
        <v>0</v>
      </c>
      <c r="AN878" s="1" t="b">
        <v>0</v>
      </c>
      <c r="AO878" s="1" t="b">
        <v>0</v>
      </c>
    </row>
    <row r="879" spans="1:41" x14ac:dyDescent="0.25">
      <c r="A879" s="10"/>
      <c r="B879" s="10"/>
      <c r="C879" s="10"/>
      <c r="D879" s="10"/>
      <c r="E879" s="10"/>
      <c r="F879" s="10"/>
      <c r="G879" s="10"/>
      <c r="H879" s="10"/>
      <c r="I879" s="1" t="str">
        <f t="shared" si="39"/>
        <v/>
      </c>
      <c r="J879" s="1" t="s">
        <v>35</v>
      </c>
      <c r="K879" s="1" t="str">
        <f t="shared" si="40"/>
        <v/>
      </c>
      <c r="L879" s="1" t="str">
        <f t="shared" si="41"/>
        <v/>
      </c>
      <c r="M879" s="1">
        <f>IF(OR(Table1[[#This Row],[Std Nom]]="",Table1[[#This Row],[Std Read]]=""),0,Table1[[#This Row],[Std Nom]]-Table1[[#This Row],[Std Read]])</f>
        <v>0</v>
      </c>
      <c r="N879" s="1">
        <f>IF(Calculations!$F$5="ACCREDITED 17025 WITH UNCERTAINTIES",$N$10,0)</f>
        <v>0</v>
      </c>
      <c r="O879" s="1" t="str">
        <f>IFERROR(Table1[[#This Row],[Std Nom]]-(_xlfn.XLOOKUP(Table1[[#This Row],[Manufacturer]]&amp;" "&amp;Table1[[#This Row],[Model]],Table13[MFR &amp; MDL],Table13[Tolerance % CW ],"")/100*Table1[[#This Row],[Std Nom]]),"")</f>
        <v/>
      </c>
      <c r="P879" s="1" t="str">
        <f>IFERROR(Table1[[#This Row],[Std Nom]]+(_xlfn.XLOOKUP(Table1[[#This Row],[Manufacturer]]&amp;" "&amp;Table1[[#This Row],[Model]],Table13[MFR &amp; MDL],Table13[Tolerance % CW ],"")/100*Table1[[#This Row],[Std Nom]]),"")</f>
        <v/>
      </c>
      <c r="Q879" s="1" t="e">
        <f>Table1[[#This Row],[High Tol]]-Table1[[#This Row],[Low Tol]]</f>
        <v>#VALUE!</v>
      </c>
      <c r="R879" s="1">
        <f>2*Table1[[#This Row],[Std Error]]</f>
        <v>0</v>
      </c>
      <c r="S879" s="1" t="str">
        <f>IF(Table1[[#This Row],[High Tol]]="","N/A",IFERROR(ABS(Table1[[#This Row],[Tol Span]]/Table1[[#This Row],[Error Span]]),"N/A"))</f>
        <v>N/A</v>
      </c>
      <c r="T879" s="1" t="str">
        <f>IF(OR(Table1[[#This Row],[Low Tol]]="",Table1[[#This Row],[High Tol]]=""),"Needs Analysis",IF(Table1[[#This Row],[Ratio]]&gt;=4,"Not Significant",IF(Table1[[#This Row],[Ratio]]&gt;=2,"Semi-Significant","Significant")))</f>
        <v>Needs Analysis</v>
      </c>
      <c r="W879" s="1">
        <f>IF(Table1[[#This Row],[Cal Type]]&lt;&gt;"ACCREDITED 17025 WITH UNCERTAINTIES",0,"")</f>
        <v>0</v>
      </c>
      <c r="X879" s="1" t="str">
        <f>IF(Table1[[#This Row],[DUT Read]]="","N/A",Table1[[#This Row],[Std Error]]+Table1[[#This Row],[DUT Read]]+Table1[[#This Row],[DUT Ucty]])</f>
        <v>N/A</v>
      </c>
      <c r="Y879" s="1" t="str">
        <f>IF(Table1[[#This Row],[Std Read]]="","N/A",Table1[[#This Row],[Std Read]]+Table1[[#This Row],[Std Ucty]])</f>
        <v>N/A</v>
      </c>
      <c r="Z8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9" s="1" t="str">
        <f>IF(Table1[[#This Row],[Spec Type]]="","N/A",Table1[[#This Row],[Spec Type]])</f>
        <v>±</v>
      </c>
      <c r="AC879" s="1" t="str">
        <f>IF(Table1[[#This Row],[Spec Type2]]="N/A","N/A",IF(AND(Table1[[#This Row],[DUT Adj Read]]&gt;=Table1[[#This Row],[Low Tol]],Table1[[#This Row],[DUT Adj Read]]&lt;=Table1[[#This Row],[High Tol]]),"Pass","Fail"))</f>
        <v>Fail</v>
      </c>
      <c r="AD879" s="1" t="str">
        <f>IF(AND(Table1[[#This Row],[Spec Type2]]="N/A",Table1[[#This Row],[DUT Adj Read]]="N/A",Table1[[#This Row],[Std Adj Read]]="N/A"),"N/A",IF(Table1[[#This Row],[DUT Adj Read]]="N/A",IF(Table1[[#This Row],[Std Adj Read]]&gt;Table1[[#This Row],[Low Tol]],"Pass","Fail"),IF(Table1[[#This Row],[DUT Adj Read]]&gt;Table1[[#This Row],[Low Tol]],"Pass","Fail")))</f>
        <v>Pass</v>
      </c>
      <c r="AE879" s="1" t="str">
        <f>IF(AND(Table1[[#This Row],[Spec Type2]]="N/A",Table1[[#This Row],[DUT Adj Read]]="N/A",Table1[[#This Row],[Std Adj Read]]="N/A"),"N/A",IF(Table1[[#This Row],[DUT Adj Read]]="N/A",IF(Table1[[#This Row],[Std Adj Read]]&lt;Table1[[#This Row],[High Tol]],"Pass","Fail"),IF(Table1[[#This Row],[DUT Adj Read]]&lt;Table1[[#This Row],[High Tol]],"Pass","Fail")))</f>
        <v>Fail</v>
      </c>
      <c r="AF879" s="1" t="str">
        <f>IF(AND(Table1[[#This Row],[Spec Type2]]="N/A",Table1[[#This Row],[DUT Adj Read]]="N/A",Table1[[#This Row],[Std Adj Read]]="N/A"),"N/A",IF(Table1[[#This Row],[DUT Adj Read]]="N/A",IF(Table1[[#This Row],[Std Adj Read]]&gt;=Table1[[#This Row],[Low Tol]],"Pass","Fail"),IF(Table1[[#This Row],[DUT Adj Read]]&gt;=Table1[[#This Row],[Low Tol]],"Pass","Fail")))</f>
        <v>Pass</v>
      </c>
      <c r="AG879" s="1" t="str">
        <f>IF(AND(Table1[[#This Row],[Spec Type2]]="N/A",Table1[[#This Row],[DUT Adj Read]]="N/A",Table1[[#This Row],[Std Adj Read]]="N/A"),"N/A",IF(Table1[[#This Row],[DUT Adj Read]]="N/A",IF(Table1[[#This Row],[Std Adj Read]]&lt;=Table1[[#This Row],[High Tol]],"Pass","Fail"),IF(Table1[[#This Row],[DUT Adj Read]]&lt;=Table1[[#This Row],[High Tol]],"Pass","Fail")))</f>
        <v>Fail</v>
      </c>
      <c r="AH8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9" s="1" t="b">
        <v>0</v>
      </c>
      <c r="AN879" s="1" t="b">
        <v>0</v>
      </c>
      <c r="AO879" s="1" t="b">
        <v>0</v>
      </c>
    </row>
    <row r="880" spans="1:41" x14ac:dyDescent="0.25">
      <c r="A880" s="10"/>
      <c r="B880" s="10"/>
      <c r="C880" s="10"/>
      <c r="D880" s="10"/>
      <c r="E880" s="10"/>
      <c r="F880" s="10"/>
      <c r="G880" s="10"/>
      <c r="H880" s="10"/>
      <c r="I880" s="1" t="str">
        <f t="shared" si="39"/>
        <v/>
      </c>
      <c r="J880" s="1" t="s">
        <v>35</v>
      </c>
      <c r="K880" s="1" t="str">
        <f t="shared" si="40"/>
        <v/>
      </c>
      <c r="L880" s="1" t="str">
        <f t="shared" si="41"/>
        <v/>
      </c>
      <c r="M880" s="1">
        <f>IF(OR(Table1[[#This Row],[Std Nom]]="",Table1[[#This Row],[Std Read]]=""),0,Table1[[#This Row],[Std Nom]]-Table1[[#This Row],[Std Read]])</f>
        <v>0</v>
      </c>
      <c r="N880" s="1">
        <f>IF(Calculations!$F$5="ACCREDITED 17025 WITH UNCERTAINTIES",$N$10,0)</f>
        <v>0</v>
      </c>
      <c r="O880" s="1" t="str">
        <f>IFERROR(Table1[[#This Row],[Std Nom]]-(_xlfn.XLOOKUP(Table1[[#This Row],[Manufacturer]]&amp;" "&amp;Table1[[#This Row],[Model]],Table13[MFR &amp; MDL],Table13[Tolerance % CW ],"")/100*Table1[[#This Row],[Std Nom]]),"")</f>
        <v/>
      </c>
      <c r="P880" s="1" t="str">
        <f>IFERROR(Table1[[#This Row],[Std Nom]]+(_xlfn.XLOOKUP(Table1[[#This Row],[Manufacturer]]&amp;" "&amp;Table1[[#This Row],[Model]],Table13[MFR &amp; MDL],Table13[Tolerance % CW ],"")/100*Table1[[#This Row],[Std Nom]]),"")</f>
        <v/>
      </c>
      <c r="Q880" s="1" t="e">
        <f>Table1[[#This Row],[High Tol]]-Table1[[#This Row],[Low Tol]]</f>
        <v>#VALUE!</v>
      </c>
      <c r="R880" s="1">
        <f>2*Table1[[#This Row],[Std Error]]</f>
        <v>0</v>
      </c>
      <c r="S880" s="1" t="str">
        <f>IF(Table1[[#This Row],[High Tol]]="","N/A",IFERROR(ABS(Table1[[#This Row],[Tol Span]]/Table1[[#This Row],[Error Span]]),"N/A"))</f>
        <v>N/A</v>
      </c>
      <c r="T880" s="1" t="str">
        <f>IF(OR(Table1[[#This Row],[Low Tol]]="",Table1[[#This Row],[High Tol]]=""),"Needs Analysis",IF(Table1[[#This Row],[Ratio]]&gt;=4,"Not Significant",IF(Table1[[#This Row],[Ratio]]&gt;=2,"Semi-Significant","Significant")))</f>
        <v>Needs Analysis</v>
      </c>
      <c r="W880" s="1">
        <f>IF(Table1[[#This Row],[Cal Type]]&lt;&gt;"ACCREDITED 17025 WITH UNCERTAINTIES",0,"")</f>
        <v>0</v>
      </c>
      <c r="X880" s="1" t="str">
        <f>IF(Table1[[#This Row],[DUT Read]]="","N/A",Table1[[#This Row],[Std Error]]+Table1[[#This Row],[DUT Read]]+Table1[[#This Row],[DUT Ucty]])</f>
        <v>N/A</v>
      </c>
      <c r="Y880" s="1" t="str">
        <f>IF(Table1[[#This Row],[Std Read]]="","N/A",Table1[[#This Row],[Std Read]]+Table1[[#This Row],[Std Ucty]])</f>
        <v>N/A</v>
      </c>
      <c r="Z8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0" s="1" t="str">
        <f>IF(Table1[[#This Row],[Spec Type]]="","N/A",Table1[[#This Row],[Spec Type]])</f>
        <v>±</v>
      </c>
      <c r="AC880" s="1" t="str">
        <f>IF(Table1[[#This Row],[Spec Type2]]="N/A","N/A",IF(AND(Table1[[#This Row],[DUT Adj Read]]&gt;=Table1[[#This Row],[Low Tol]],Table1[[#This Row],[DUT Adj Read]]&lt;=Table1[[#This Row],[High Tol]]),"Pass","Fail"))</f>
        <v>Fail</v>
      </c>
      <c r="AD880" s="1" t="str">
        <f>IF(AND(Table1[[#This Row],[Spec Type2]]="N/A",Table1[[#This Row],[DUT Adj Read]]="N/A",Table1[[#This Row],[Std Adj Read]]="N/A"),"N/A",IF(Table1[[#This Row],[DUT Adj Read]]="N/A",IF(Table1[[#This Row],[Std Adj Read]]&gt;Table1[[#This Row],[Low Tol]],"Pass","Fail"),IF(Table1[[#This Row],[DUT Adj Read]]&gt;Table1[[#This Row],[Low Tol]],"Pass","Fail")))</f>
        <v>Pass</v>
      </c>
      <c r="AE880" s="1" t="str">
        <f>IF(AND(Table1[[#This Row],[Spec Type2]]="N/A",Table1[[#This Row],[DUT Adj Read]]="N/A",Table1[[#This Row],[Std Adj Read]]="N/A"),"N/A",IF(Table1[[#This Row],[DUT Adj Read]]="N/A",IF(Table1[[#This Row],[Std Adj Read]]&lt;Table1[[#This Row],[High Tol]],"Pass","Fail"),IF(Table1[[#This Row],[DUT Adj Read]]&lt;Table1[[#This Row],[High Tol]],"Pass","Fail")))</f>
        <v>Fail</v>
      </c>
      <c r="AF880" s="1" t="str">
        <f>IF(AND(Table1[[#This Row],[Spec Type2]]="N/A",Table1[[#This Row],[DUT Adj Read]]="N/A",Table1[[#This Row],[Std Adj Read]]="N/A"),"N/A",IF(Table1[[#This Row],[DUT Adj Read]]="N/A",IF(Table1[[#This Row],[Std Adj Read]]&gt;=Table1[[#This Row],[Low Tol]],"Pass","Fail"),IF(Table1[[#This Row],[DUT Adj Read]]&gt;=Table1[[#This Row],[Low Tol]],"Pass","Fail")))</f>
        <v>Pass</v>
      </c>
      <c r="AG880" s="1" t="str">
        <f>IF(AND(Table1[[#This Row],[Spec Type2]]="N/A",Table1[[#This Row],[DUT Adj Read]]="N/A",Table1[[#This Row],[Std Adj Read]]="N/A"),"N/A",IF(Table1[[#This Row],[DUT Adj Read]]="N/A",IF(Table1[[#This Row],[Std Adj Read]]&lt;=Table1[[#This Row],[High Tol]],"Pass","Fail"),IF(Table1[[#This Row],[DUT Adj Read]]&lt;=Table1[[#This Row],[High Tol]],"Pass","Fail")))</f>
        <v>Fail</v>
      </c>
      <c r="AH8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0" s="1" t="b">
        <v>0</v>
      </c>
      <c r="AN880" s="1" t="b">
        <v>0</v>
      </c>
      <c r="AO880" s="1" t="b">
        <v>0</v>
      </c>
    </row>
    <row r="881" spans="1:41" x14ac:dyDescent="0.25">
      <c r="A881" s="10"/>
      <c r="B881" s="10"/>
      <c r="C881" s="10"/>
      <c r="D881" s="10"/>
      <c r="E881" s="10"/>
      <c r="F881" s="10"/>
      <c r="G881" s="10"/>
      <c r="H881" s="10"/>
      <c r="I881" s="1" t="str">
        <f t="shared" si="39"/>
        <v/>
      </c>
      <c r="J881" s="1" t="s">
        <v>35</v>
      </c>
      <c r="K881" s="1" t="str">
        <f t="shared" si="40"/>
        <v/>
      </c>
      <c r="L881" s="1" t="str">
        <f t="shared" si="41"/>
        <v/>
      </c>
      <c r="M881" s="1">
        <f>IF(OR(Table1[[#This Row],[Std Nom]]="",Table1[[#This Row],[Std Read]]=""),0,Table1[[#This Row],[Std Nom]]-Table1[[#This Row],[Std Read]])</f>
        <v>0</v>
      </c>
      <c r="N881" s="1">
        <f>IF(Calculations!$F$5="ACCREDITED 17025 WITH UNCERTAINTIES",$N$10,0)</f>
        <v>0</v>
      </c>
      <c r="O881" s="1" t="str">
        <f>IFERROR(Table1[[#This Row],[Std Nom]]-(_xlfn.XLOOKUP(Table1[[#This Row],[Manufacturer]]&amp;" "&amp;Table1[[#This Row],[Model]],Table13[MFR &amp; MDL],Table13[Tolerance % CW ],"")/100*Table1[[#This Row],[Std Nom]]),"")</f>
        <v/>
      </c>
      <c r="P881" s="1" t="str">
        <f>IFERROR(Table1[[#This Row],[Std Nom]]+(_xlfn.XLOOKUP(Table1[[#This Row],[Manufacturer]]&amp;" "&amp;Table1[[#This Row],[Model]],Table13[MFR &amp; MDL],Table13[Tolerance % CW ],"")/100*Table1[[#This Row],[Std Nom]]),"")</f>
        <v/>
      </c>
      <c r="Q881" s="1" t="e">
        <f>Table1[[#This Row],[High Tol]]-Table1[[#This Row],[Low Tol]]</f>
        <v>#VALUE!</v>
      </c>
      <c r="R881" s="1">
        <f>2*Table1[[#This Row],[Std Error]]</f>
        <v>0</v>
      </c>
      <c r="S881" s="1" t="str">
        <f>IF(Table1[[#This Row],[High Tol]]="","N/A",IFERROR(ABS(Table1[[#This Row],[Tol Span]]/Table1[[#This Row],[Error Span]]),"N/A"))</f>
        <v>N/A</v>
      </c>
      <c r="T881" s="1" t="str">
        <f>IF(OR(Table1[[#This Row],[Low Tol]]="",Table1[[#This Row],[High Tol]]=""),"Needs Analysis",IF(Table1[[#This Row],[Ratio]]&gt;=4,"Not Significant",IF(Table1[[#This Row],[Ratio]]&gt;=2,"Semi-Significant","Significant")))</f>
        <v>Needs Analysis</v>
      </c>
      <c r="W881" s="1">
        <f>IF(Table1[[#This Row],[Cal Type]]&lt;&gt;"ACCREDITED 17025 WITH UNCERTAINTIES",0,"")</f>
        <v>0</v>
      </c>
      <c r="X881" s="1" t="str">
        <f>IF(Table1[[#This Row],[DUT Read]]="","N/A",Table1[[#This Row],[Std Error]]+Table1[[#This Row],[DUT Read]]+Table1[[#This Row],[DUT Ucty]])</f>
        <v>N/A</v>
      </c>
      <c r="Y881" s="1" t="str">
        <f>IF(Table1[[#This Row],[Std Read]]="","N/A",Table1[[#This Row],[Std Read]]+Table1[[#This Row],[Std Ucty]])</f>
        <v>N/A</v>
      </c>
      <c r="Z8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1" s="1" t="str">
        <f>IF(Table1[[#This Row],[Spec Type]]="","N/A",Table1[[#This Row],[Spec Type]])</f>
        <v>±</v>
      </c>
      <c r="AC881" s="1" t="str">
        <f>IF(Table1[[#This Row],[Spec Type2]]="N/A","N/A",IF(AND(Table1[[#This Row],[DUT Adj Read]]&gt;=Table1[[#This Row],[Low Tol]],Table1[[#This Row],[DUT Adj Read]]&lt;=Table1[[#This Row],[High Tol]]),"Pass","Fail"))</f>
        <v>Fail</v>
      </c>
      <c r="AD881" s="1" t="str">
        <f>IF(AND(Table1[[#This Row],[Spec Type2]]="N/A",Table1[[#This Row],[DUT Adj Read]]="N/A",Table1[[#This Row],[Std Adj Read]]="N/A"),"N/A",IF(Table1[[#This Row],[DUT Adj Read]]="N/A",IF(Table1[[#This Row],[Std Adj Read]]&gt;Table1[[#This Row],[Low Tol]],"Pass","Fail"),IF(Table1[[#This Row],[DUT Adj Read]]&gt;Table1[[#This Row],[Low Tol]],"Pass","Fail")))</f>
        <v>Pass</v>
      </c>
      <c r="AE881" s="1" t="str">
        <f>IF(AND(Table1[[#This Row],[Spec Type2]]="N/A",Table1[[#This Row],[DUT Adj Read]]="N/A",Table1[[#This Row],[Std Adj Read]]="N/A"),"N/A",IF(Table1[[#This Row],[DUT Adj Read]]="N/A",IF(Table1[[#This Row],[Std Adj Read]]&lt;Table1[[#This Row],[High Tol]],"Pass","Fail"),IF(Table1[[#This Row],[DUT Adj Read]]&lt;Table1[[#This Row],[High Tol]],"Pass","Fail")))</f>
        <v>Fail</v>
      </c>
      <c r="AF881" s="1" t="str">
        <f>IF(AND(Table1[[#This Row],[Spec Type2]]="N/A",Table1[[#This Row],[DUT Adj Read]]="N/A",Table1[[#This Row],[Std Adj Read]]="N/A"),"N/A",IF(Table1[[#This Row],[DUT Adj Read]]="N/A",IF(Table1[[#This Row],[Std Adj Read]]&gt;=Table1[[#This Row],[Low Tol]],"Pass","Fail"),IF(Table1[[#This Row],[DUT Adj Read]]&gt;=Table1[[#This Row],[Low Tol]],"Pass","Fail")))</f>
        <v>Pass</v>
      </c>
      <c r="AG881" s="1" t="str">
        <f>IF(AND(Table1[[#This Row],[Spec Type2]]="N/A",Table1[[#This Row],[DUT Adj Read]]="N/A",Table1[[#This Row],[Std Adj Read]]="N/A"),"N/A",IF(Table1[[#This Row],[DUT Adj Read]]="N/A",IF(Table1[[#This Row],[Std Adj Read]]&lt;=Table1[[#This Row],[High Tol]],"Pass","Fail"),IF(Table1[[#This Row],[DUT Adj Read]]&lt;=Table1[[#This Row],[High Tol]],"Pass","Fail")))</f>
        <v>Fail</v>
      </c>
      <c r="AH8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1" s="1" t="b">
        <v>0</v>
      </c>
      <c r="AN881" s="1" t="b">
        <v>0</v>
      </c>
      <c r="AO881" s="1" t="b">
        <v>0</v>
      </c>
    </row>
    <row r="882" spans="1:41" x14ac:dyDescent="0.25">
      <c r="A882" s="10"/>
      <c r="B882" s="10"/>
      <c r="C882" s="10"/>
      <c r="D882" s="10"/>
      <c r="E882" s="10"/>
      <c r="F882" s="10"/>
      <c r="G882" s="10"/>
      <c r="H882" s="10"/>
      <c r="I882" s="1" t="str">
        <f t="shared" si="39"/>
        <v/>
      </c>
      <c r="J882" s="1" t="s">
        <v>35</v>
      </c>
      <c r="K882" s="1" t="str">
        <f t="shared" si="40"/>
        <v/>
      </c>
      <c r="L882" s="1" t="str">
        <f t="shared" si="41"/>
        <v/>
      </c>
      <c r="M882" s="1">
        <f>IF(OR(Table1[[#This Row],[Std Nom]]="",Table1[[#This Row],[Std Read]]=""),0,Table1[[#This Row],[Std Nom]]-Table1[[#This Row],[Std Read]])</f>
        <v>0</v>
      </c>
      <c r="N882" s="1">
        <f>IF(Calculations!$F$5="ACCREDITED 17025 WITH UNCERTAINTIES",$N$10,0)</f>
        <v>0</v>
      </c>
      <c r="O882" s="1" t="str">
        <f>IFERROR(Table1[[#This Row],[Std Nom]]-(_xlfn.XLOOKUP(Table1[[#This Row],[Manufacturer]]&amp;" "&amp;Table1[[#This Row],[Model]],Table13[MFR &amp; MDL],Table13[Tolerance % CW ],"")/100*Table1[[#This Row],[Std Nom]]),"")</f>
        <v/>
      </c>
      <c r="P882" s="1" t="str">
        <f>IFERROR(Table1[[#This Row],[Std Nom]]+(_xlfn.XLOOKUP(Table1[[#This Row],[Manufacturer]]&amp;" "&amp;Table1[[#This Row],[Model]],Table13[MFR &amp; MDL],Table13[Tolerance % CW ],"")/100*Table1[[#This Row],[Std Nom]]),"")</f>
        <v/>
      </c>
      <c r="Q882" s="1" t="e">
        <f>Table1[[#This Row],[High Tol]]-Table1[[#This Row],[Low Tol]]</f>
        <v>#VALUE!</v>
      </c>
      <c r="R882" s="1">
        <f>2*Table1[[#This Row],[Std Error]]</f>
        <v>0</v>
      </c>
      <c r="S882" s="1" t="str">
        <f>IF(Table1[[#This Row],[High Tol]]="","N/A",IFERROR(ABS(Table1[[#This Row],[Tol Span]]/Table1[[#This Row],[Error Span]]),"N/A"))</f>
        <v>N/A</v>
      </c>
      <c r="T882" s="1" t="str">
        <f>IF(OR(Table1[[#This Row],[Low Tol]]="",Table1[[#This Row],[High Tol]]=""),"Needs Analysis",IF(Table1[[#This Row],[Ratio]]&gt;=4,"Not Significant",IF(Table1[[#This Row],[Ratio]]&gt;=2,"Semi-Significant","Significant")))</f>
        <v>Needs Analysis</v>
      </c>
      <c r="W882" s="1">
        <f>IF(Table1[[#This Row],[Cal Type]]&lt;&gt;"ACCREDITED 17025 WITH UNCERTAINTIES",0,"")</f>
        <v>0</v>
      </c>
      <c r="X882" s="1" t="str">
        <f>IF(Table1[[#This Row],[DUT Read]]="","N/A",Table1[[#This Row],[Std Error]]+Table1[[#This Row],[DUT Read]]+Table1[[#This Row],[DUT Ucty]])</f>
        <v>N/A</v>
      </c>
      <c r="Y882" s="1" t="str">
        <f>IF(Table1[[#This Row],[Std Read]]="","N/A",Table1[[#This Row],[Std Read]]+Table1[[#This Row],[Std Ucty]])</f>
        <v>N/A</v>
      </c>
      <c r="Z8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2" s="1" t="str">
        <f>IF(Table1[[#This Row],[Spec Type]]="","N/A",Table1[[#This Row],[Spec Type]])</f>
        <v>±</v>
      </c>
      <c r="AC882" s="1" t="str">
        <f>IF(Table1[[#This Row],[Spec Type2]]="N/A","N/A",IF(AND(Table1[[#This Row],[DUT Adj Read]]&gt;=Table1[[#This Row],[Low Tol]],Table1[[#This Row],[DUT Adj Read]]&lt;=Table1[[#This Row],[High Tol]]),"Pass","Fail"))</f>
        <v>Fail</v>
      </c>
      <c r="AD882" s="1" t="str">
        <f>IF(AND(Table1[[#This Row],[Spec Type2]]="N/A",Table1[[#This Row],[DUT Adj Read]]="N/A",Table1[[#This Row],[Std Adj Read]]="N/A"),"N/A",IF(Table1[[#This Row],[DUT Adj Read]]="N/A",IF(Table1[[#This Row],[Std Adj Read]]&gt;Table1[[#This Row],[Low Tol]],"Pass","Fail"),IF(Table1[[#This Row],[DUT Adj Read]]&gt;Table1[[#This Row],[Low Tol]],"Pass","Fail")))</f>
        <v>Pass</v>
      </c>
      <c r="AE882" s="1" t="str">
        <f>IF(AND(Table1[[#This Row],[Spec Type2]]="N/A",Table1[[#This Row],[DUT Adj Read]]="N/A",Table1[[#This Row],[Std Adj Read]]="N/A"),"N/A",IF(Table1[[#This Row],[DUT Adj Read]]="N/A",IF(Table1[[#This Row],[Std Adj Read]]&lt;Table1[[#This Row],[High Tol]],"Pass","Fail"),IF(Table1[[#This Row],[DUT Adj Read]]&lt;Table1[[#This Row],[High Tol]],"Pass","Fail")))</f>
        <v>Fail</v>
      </c>
      <c r="AF882" s="1" t="str">
        <f>IF(AND(Table1[[#This Row],[Spec Type2]]="N/A",Table1[[#This Row],[DUT Adj Read]]="N/A",Table1[[#This Row],[Std Adj Read]]="N/A"),"N/A",IF(Table1[[#This Row],[DUT Adj Read]]="N/A",IF(Table1[[#This Row],[Std Adj Read]]&gt;=Table1[[#This Row],[Low Tol]],"Pass","Fail"),IF(Table1[[#This Row],[DUT Adj Read]]&gt;=Table1[[#This Row],[Low Tol]],"Pass","Fail")))</f>
        <v>Pass</v>
      </c>
      <c r="AG882" s="1" t="str">
        <f>IF(AND(Table1[[#This Row],[Spec Type2]]="N/A",Table1[[#This Row],[DUT Adj Read]]="N/A",Table1[[#This Row],[Std Adj Read]]="N/A"),"N/A",IF(Table1[[#This Row],[DUT Adj Read]]="N/A",IF(Table1[[#This Row],[Std Adj Read]]&lt;=Table1[[#This Row],[High Tol]],"Pass","Fail"),IF(Table1[[#This Row],[DUT Adj Read]]&lt;=Table1[[#This Row],[High Tol]],"Pass","Fail")))</f>
        <v>Fail</v>
      </c>
      <c r="AH8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2" s="1" t="b">
        <v>0</v>
      </c>
      <c r="AN882" s="1" t="b">
        <v>0</v>
      </c>
      <c r="AO882" s="1" t="b">
        <v>0</v>
      </c>
    </row>
    <row r="883" spans="1:41" x14ac:dyDescent="0.25">
      <c r="A883" s="10"/>
      <c r="B883" s="10"/>
      <c r="C883" s="10"/>
      <c r="D883" s="10"/>
      <c r="E883" s="10"/>
      <c r="F883" s="10"/>
      <c r="G883" s="10"/>
      <c r="H883" s="10"/>
      <c r="I883" s="1" t="str">
        <f t="shared" si="39"/>
        <v/>
      </c>
      <c r="J883" s="1" t="s">
        <v>35</v>
      </c>
      <c r="K883" s="1" t="str">
        <f t="shared" si="40"/>
        <v/>
      </c>
      <c r="L883" s="1" t="str">
        <f t="shared" si="41"/>
        <v/>
      </c>
      <c r="M883" s="1">
        <f>IF(OR(Table1[[#This Row],[Std Nom]]="",Table1[[#This Row],[Std Read]]=""),0,Table1[[#This Row],[Std Nom]]-Table1[[#This Row],[Std Read]])</f>
        <v>0</v>
      </c>
      <c r="N883" s="1">
        <f>IF(Calculations!$F$5="ACCREDITED 17025 WITH UNCERTAINTIES",$N$10,0)</f>
        <v>0</v>
      </c>
      <c r="O883" s="1" t="str">
        <f>IFERROR(Table1[[#This Row],[Std Nom]]-(_xlfn.XLOOKUP(Table1[[#This Row],[Manufacturer]]&amp;" "&amp;Table1[[#This Row],[Model]],Table13[MFR &amp; MDL],Table13[Tolerance % CW ],"")/100*Table1[[#This Row],[Std Nom]]),"")</f>
        <v/>
      </c>
      <c r="P883" s="1" t="str">
        <f>IFERROR(Table1[[#This Row],[Std Nom]]+(_xlfn.XLOOKUP(Table1[[#This Row],[Manufacturer]]&amp;" "&amp;Table1[[#This Row],[Model]],Table13[MFR &amp; MDL],Table13[Tolerance % CW ],"")/100*Table1[[#This Row],[Std Nom]]),"")</f>
        <v/>
      </c>
      <c r="Q883" s="1" t="e">
        <f>Table1[[#This Row],[High Tol]]-Table1[[#This Row],[Low Tol]]</f>
        <v>#VALUE!</v>
      </c>
      <c r="R883" s="1">
        <f>2*Table1[[#This Row],[Std Error]]</f>
        <v>0</v>
      </c>
      <c r="S883" s="1" t="str">
        <f>IF(Table1[[#This Row],[High Tol]]="","N/A",IFERROR(ABS(Table1[[#This Row],[Tol Span]]/Table1[[#This Row],[Error Span]]),"N/A"))</f>
        <v>N/A</v>
      </c>
      <c r="T883" s="1" t="str">
        <f>IF(OR(Table1[[#This Row],[Low Tol]]="",Table1[[#This Row],[High Tol]]=""),"Needs Analysis",IF(Table1[[#This Row],[Ratio]]&gt;=4,"Not Significant",IF(Table1[[#This Row],[Ratio]]&gt;=2,"Semi-Significant","Significant")))</f>
        <v>Needs Analysis</v>
      </c>
      <c r="W883" s="1">
        <f>IF(Table1[[#This Row],[Cal Type]]&lt;&gt;"ACCREDITED 17025 WITH UNCERTAINTIES",0,"")</f>
        <v>0</v>
      </c>
      <c r="X883" s="1" t="str">
        <f>IF(Table1[[#This Row],[DUT Read]]="","N/A",Table1[[#This Row],[Std Error]]+Table1[[#This Row],[DUT Read]]+Table1[[#This Row],[DUT Ucty]])</f>
        <v>N/A</v>
      </c>
      <c r="Y883" s="1" t="str">
        <f>IF(Table1[[#This Row],[Std Read]]="","N/A",Table1[[#This Row],[Std Read]]+Table1[[#This Row],[Std Ucty]])</f>
        <v>N/A</v>
      </c>
      <c r="Z8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3" s="1" t="str">
        <f>IF(Table1[[#This Row],[Spec Type]]="","N/A",Table1[[#This Row],[Spec Type]])</f>
        <v>±</v>
      </c>
      <c r="AC883" s="1" t="str">
        <f>IF(Table1[[#This Row],[Spec Type2]]="N/A","N/A",IF(AND(Table1[[#This Row],[DUT Adj Read]]&gt;=Table1[[#This Row],[Low Tol]],Table1[[#This Row],[DUT Adj Read]]&lt;=Table1[[#This Row],[High Tol]]),"Pass","Fail"))</f>
        <v>Fail</v>
      </c>
      <c r="AD883" s="1" t="str">
        <f>IF(AND(Table1[[#This Row],[Spec Type2]]="N/A",Table1[[#This Row],[DUT Adj Read]]="N/A",Table1[[#This Row],[Std Adj Read]]="N/A"),"N/A",IF(Table1[[#This Row],[DUT Adj Read]]="N/A",IF(Table1[[#This Row],[Std Adj Read]]&gt;Table1[[#This Row],[Low Tol]],"Pass","Fail"),IF(Table1[[#This Row],[DUT Adj Read]]&gt;Table1[[#This Row],[Low Tol]],"Pass","Fail")))</f>
        <v>Pass</v>
      </c>
      <c r="AE883" s="1" t="str">
        <f>IF(AND(Table1[[#This Row],[Spec Type2]]="N/A",Table1[[#This Row],[DUT Adj Read]]="N/A",Table1[[#This Row],[Std Adj Read]]="N/A"),"N/A",IF(Table1[[#This Row],[DUT Adj Read]]="N/A",IF(Table1[[#This Row],[Std Adj Read]]&lt;Table1[[#This Row],[High Tol]],"Pass","Fail"),IF(Table1[[#This Row],[DUT Adj Read]]&lt;Table1[[#This Row],[High Tol]],"Pass","Fail")))</f>
        <v>Fail</v>
      </c>
      <c r="AF883" s="1" t="str">
        <f>IF(AND(Table1[[#This Row],[Spec Type2]]="N/A",Table1[[#This Row],[DUT Adj Read]]="N/A",Table1[[#This Row],[Std Adj Read]]="N/A"),"N/A",IF(Table1[[#This Row],[DUT Adj Read]]="N/A",IF(Table1[[#This Row],[Std Adj Read]]&gt;=Table1[[#This Row],[Low Tol]],"Pass","Fail"),IF(Table1[[#This Row],[DUT Adj Read]]&gt;=Table1[[#This Row],[Low Tol]],"Pass","Fail")))</f>
        <v>Pass</v>
      </c>
      <c r="AG883" s="1" t="str">
        <f>IF(AND(Table1[[#This Row],[Spec Type2]]="N/A",Table1[[#This Row],[DUT Adj Read]]="N/A",Table1[[#This Row],[Std Adj Read]]="N/A"),"N/A",IF(Table1[[#This Row],[DUT Adj Read]]="N/A",IF(Table1[[#This Row],[Std Adj Read]]&lt;=Table1[[#This Row],[High Tol]],"Pass","Fail"),IF(Table1[[#This Row],[DUT Adj Read]]&lt;=Table1[[#This Row],[High Tol]],"Pass","Fail")))</f>
        <v>Fail</v>
      </c>
      <c r="AH8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3" s="1" t="b">
        <v>0</v>
      </c>
      <c r="AN883" s="1" t="b">
        <v>0</v>
      </c>
      <c r="AO883" s="1" t="b">
        <v>0</v>
      </c>
    </row>
    <row r="884" spans="1:41" x14ac:dyDescent="0.25">
      <c r="A884" s="10"/>
      <c r="B884" s="10"/>
      <c r="C884" s="10"/>
      <c r="D884" s="10"/>
      <c r="E884" s="10"/>
      <c r="F884" s="10"/>
      <c r="G884" s="10"/>
      <c r="H884" s="10"/>
      <c r="I884" s="1" t="str">
        <f t="shared" si="39"/>
        <v/>
      </c>
      <c r="J884" s="1" t="s">
        <v>35</v>
      </c>
      <c r="K884" s="1" t="str">
        <f t="shared" si="40"/>
        <v/>
      </c>
      <c r="L884" s="1" t="str">
        <f t="shared" si="41"/>
        <v/>
      </c>
      <c r="M884" s="1">
        <f>IF(OR(Table1[[#This Row],[Std Nom]]="",Table1[[#This Row],[Std Read]]=""),0,Table1[[#This Row],[Std Nom]]-Table1[[#This Row],[Std Read]])</f>
        <v>0</v>
      </c>
      <c r="N884" s="1">
        <f>IF(Calculations!$F$5="ACCREDITED 17025 WITH UNCERTAINTIES",$N$10,0)</f>
        <v>0</v>
      </c>
      <c r="O884" s="1" t="str">
        <f>IFERROR(Table1[[#This Row],[Std Nom]]-(_xlfn.XLOOKUP(Table1[[#This Row],[Manufacturer]]&amp;" "&amp;Table1[[#This Row],[Model]],Table13[MFR &amp; MDL],Table13[Tolerance % CW ],"")/100*Table1[[#This Row],[Std Nom]]),"")</f>
        <v/>
      </c>
      <c r="P884" s="1" t="str">
        <f>IFERROR(Table1[[#This Row],[Std Nom]]+(_xlfn.XLOOKUP(Table1[[#This Row],[Manufacturer]]&amp;" "&amp;Table1[[#This Row],[Model]],Table13[MFR &amp; MDL],Table13[Tolerance % CW ],"")/100*Table1[[#This Row],[Std Nom]]),"")</f>
        <v/>
      </c>
      <c r="Q884" s="1" t="e">
        <f>Table1[[#This Row],[High Tol]]-Table1[[#This Row],[Low Tol]]</f>
        <v>#VALUE!</v>
      </c>
      <c r="R884" s="1">
        <f>2*Table1[[#This Row],[Std Error]]</f>
        <v>0</v>
      </c>
      <c r="S884" s="1" t="str">
        <f>IF(Table1[[#This Row],[High Tol]]="","N/A",IFERROR(ABS(Table1[[#This Row],[Tol Span]]/Table1[[#This Row],[Error Span]]),"N/A"))</f>
        <v>N/A</v>
      </c>
      <c r="T884" s="1" t="str">
        <f>IF(OR(Table1[[#This Row],[Low Tol]]="",Table1[[#This Row],[High Tol]]=""),"Needs Analysis",IF(Table1[[#This Row],[Ratio]]&gt;=4,"Not Significant",IF(Table1[[#This Row],[Ratio]]&gt;=2,"Semi-Significant","Significant")))</f>
        <v>Needs Analysis</v>
      </c>
      <c r="W884" s="1">
        <f>IF(Table1[[#This Row],[Cal Type]]&lt;&gt;"ACCREDITED 17025 WITH UNCERTAINTIES",0,"")</f>
        <v>0</v>
      </c>
      <c r="X884" s="1" t="str">
        <f>IF(Table1[[#This Row],[DUT Read]]="","N/A",Table1[[#This Row],[Std Error]]+Table1[[#This Row],[DUT Read]]+Table1[[#This Row],[DUT Ucty]])</f>
        <v>N/A</v>
      </c>
      <c r="Y884" s="1" t="str">
        <f>IF(Table1[[#This Row],[Std Read]]="","N/A",Table1[[#This Row],[Std Read]]+Table1[[#This Row],[Std Ucty]])</f>
        <v>N/A</v>
      </c>
      <c r="Z8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4" s="1" t="str">
        <f>IF(Table1[[#This Row],[Spec Type]]="","N/A",Table1[[#This Row],[Spec Type]])</f>
        <v>±</v>
      </c>
      <c r="AC884" s="1" t="str">
        <f>IF(Table1[[#This Row],[Spec Type2]]="N/A","N/A",IF(AND(Table1[[#This Row],[DUT Adj Read]]&gt;=Table1[[#This Row],[Low Tol]],Table1[[#This Row],[DUT Adj Read]]&lt;=Table1[[#This Row],[High Tol]]),"Pass","Fail"))</f>
        <v>Fail</v>
      </c>
      <c r="AD884" s="1" t="str">
        <f>IF(AND(Table1[[#This Row],[Spec Type2]]="N/A",Table1[[#This Row],[DUT Adj Read]]="N/A",Table1[[#This Row],[Std Adj Read]]="N/A"),"N/A",IF(Table1[[#This Row],[DUT Adj Read]]="N/A",IF(Table1[[#This Row],[Std Adj Read]]&gt;Table1[[#This Row],[Low Tol]],"Pass","Fail"),IF(Table1[[#This Row],[DUT Adj Read]]&gt;Table1[[#This Row],[Low Tol]],"Pass","Fail")))</f>
        <v>Pass</v>
      </c>
      <c r="AE884" s="1" t="str">
        <f>IF(AND(Table1[[#This Row],[Spec Type2]]="N/A",Table1[[#This Row],[DUT Adj Read]]="N/A",Table1[[#This Row],[Std Adj Read]]="N/A"),"N/A",IF(Table1[[#This Row],[DUT Adj Read]]="N/A",IF(Table1[[#This Row],[Std Adj Read]]&lt;Table1[[#This Row],[High Tol]],"Pass","Fail"),IF(Table1[[#This Row],[DUT Adj Read]]&lt;Table1[[#This Row],[High Tol]],"Pass","Fail")))</f>
        <v>Fail</v>
      </c>
      <c r="AF884" s="1" t="str">
        <f>IF(AND(Table1[[#This Row],[Spec Type2]]="N/A",Table1[[#This Row],[DUT Adj Read]]="N/A",Table1[[#This Row],[Std Adj Read]]="N/A"),"N/A",IF(Table1[[#This Row],[DUT Adj Read]]="N/A",IF(Table1[[#This Row],[Std Adj Read]]&gt;=Table1[[#This Row],[Low Tol]],"Pass","Fail"),IF(Table1[[#This Row],[DUT Adj Read]]&gt;=Table1[[#This Row],[Low Tol]],"Pass","Fail")))</f>
        <v>Pass</v>
      </c>
      <c r="AG884" s="1" t="str">
        <f>IF(AND(Table1[[#This Row],[Spec Type2]]="N/A",Table1[[#This Row],[DUT Adj Read]]="N/A",Table1[[#This Row],[Std Adj Read]]="N/A"),"N/A",IF(Table1[[#This Row],[DUT Adj Read]]="N/A",IF(Table1[[#This Row],[Std Adj Read]]&lt;=Table1[[#This Row],[High Tol]],"Pass","Fail"),IF(Table1[[#This Row],[DUT Adj Read]]&lt;=Table1[[#This Row],[High Tol]],"Pass","Fail")))</f>
        <v>Fail</v>
      </c>
      <c r="AH8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4" s="1" t="b">
        <v>0</v>
      </c>
      <c r="AN884" s="1" t="b">
        <v>0</v>
      </c>
      <c r="AO884" s="1" t="b">
        <v>0</v>
      </c>
    </row>
    <row r="885" spans="1:41" x14ac:dyDescent="0.25">
      <c r="A885" s="10"/>
      <c r="B885" s="10"/>
      <c r="C885" s="10"/>
      <c r="D885" s="10"/>
      <c r="E885" s="10"/>
      <c r="F885" s="10"/>
      <c r="G885" s="10"/>
      <c r="H885" s="10"/>
      <c r="I885" s="1" t="str">
        <f t="shared" si="39"/>
        <v/>
      </c>
      <c r="J885" s="1" t="s">
        <v>35</v>
      </c>
      <c r="K885" s="1" t="str">
        <f t="shared" si="40"/>
        <v/>
      </c>
      <c r="L885" s="1" t="str">
        <f t="shared" si="41"/>
        <v/>
      </c>
      <c r="M885" s="1">
        <f>IF(OR(Table1[[#This Row],[Std Nom]]="",Table1[[#This Row],[Std Read]]=""),0,Table1[[#This Row],[Std Nom]]-Table1[[#This Row],[Std Read]])</f>
        <v>0</v>
      </c>
      <c r="N885" s="1">
        <f>IF(Calculations!$F$5="ACCREDITED 17025 WITH UNCERTAINTIES",$N$10,0)</f>
        <v>0</v>
      </c>
      <c r="O885" s="1" t="str">
        <f>IFERROR(Table1[[#This Row],[Std Nom]]-(_xlfn.XLOOKUP(Table1[[#This Row],[Manufacturer]]&amp;" "&amp;Table1[[#This Row],[Model]],Table13[MFR &amp; MDL],Table13[Tolerance % CW ],"")/100*Table1[[#This Row],[Std Nom]]),"")</f>
        <v/>
      </c>
      <c r="P885" s="1" t="str">
        <f>IFERROR(Table1[[#This Row],[Std Nom]]+(_xlfn.XLOOKUP(Table1[[#This Row],[Manufacturer]]&amp;" "&amp;Table1[[#This Row],[Model]],Table13[MFR &amp; MDL],Table13[Tolerance % CW ],"")/100*Table1[[#This Row],[Std Nom]]),"")</f>
        <v/>
      </c>
      <c r="Q885" s="1" t="e">
        <f>Table1[[#This Row],[High Tol]]-Table1[[#This Row],[Low Tol]]</f>
        <v>#VALUE!</v>
      </c>
      <c r="R885" s="1">
        <f>2*Table1[[#This Row],[Std Error]]</f>
        <v>0</v>
      </c>
      <c r="S885" s="1" t="str">
        <f>IF(Table1[[#This Row],[High Tol]]="","N/A",IFERROR(ABS(Table1[[#This Row],[Tol Span]]/Table1[[#This Row],[Error Span]]),"N/A"))</f>
        <v>N/A</v>
      </c>
      <c r="T885" s="1" t="str">
        <f>IF(OR(Table1[[#This Row],[Low Tol]]="",Table1[[#This Row],[High Tol]]=""),"Needs Analysis",IF(Table1[[#This Row],[Ratio]]&gt;=4,"Not Significant",IF(Table1[[#This Row],[Ratio]]&gt;=2,"Semi-Significant","Significant")))</f>
        <v>Needs Analysis</v>
      </c>
      <c r="W885" s="1">
        <f>IF(Table1[[#This Row],[Cal Type]]&lt;&gt;"ACCREDITED 17025 WITH UNCERTAINTIES",0,"")</f>
        <v>0</v>
      </c>
      <c r="X885" s="1" t="str">
        <f>IF(Table1[[#This Row],[DUT Read]]="","N/A",Table1[[#This Row],[Std Error]]+Table1[[#This Row],[DUT Read]]+Table1[[#This Row],[DUT Ucty]])</f>
        <v>N/A</v>
      </c>
      <c r="Y885" s="1" t="str">
        <f>IF(Table1[[#This Row],[Std Read]]="","N/A",Table1[[#This Row],[Std Read]]+Table1[[#This Row],[Std Ucty]])</f>
        <v>N/A</v>
      </c>
      <c r="Z8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5" s="1" t="str">
        <f>IF(Table1[[#This Row],[Spec Type]]="","N/A",Table1[[#This Row],[Spec Type]])</f>
        <v>±</v>
      </c>
      <c r="AC885" s="1" t="str">
        <f>IF(Table1[[#This Row],[Spec Type2]]="N/A","N/A",IF(AND(Table1[[#This Row],[DUT Adj Read]]&gt;=Table1[[#This Row],[Low Tol]],Table1[[#This Row],[DUT Adj Read]]&lt;=Table1[[#This Row],[High Tol]]),"Pass","Fail"))</f>
        <v>Fail</v>
      </c>
      <c r="AD885" s="1" t="str">
        <f>IF(AND(Table1[[#This Row],[Spec Type2]]="N/A",Table1[[#This Row],[DUT Adj Read]]="N/A",Table1[[#This Row],[Std Adj Read]]="N/A"),"N/A",IF(Table1[[#This Row],[DUT Adj Read]]="N/A",IF(Table1[[#This Row],[Std Adj Read]]&gt;Table1[[#This Row],[Low Tol]],"Pass","Fail"),IF(Table1[[#This Row],[DUT Adj Read]]&gt;Table1[[#This Row],[Low Tol]],"Pass","Fail")))</f>
        <v>Pass</v>
      </c>
      <c r="AE885" s="1" t="str">
        <f>IF(AND(Table1[[#This Row],[Spec Type2]]="N/A",Table1[[#This Row],[DUT Adj Read]]="N/A",Table1[[#This Row],[Std Adj Read]]="N/A"),"N/A",IF(Table1[[#This Row],[DUT Adj Read]]="N/A",IF(Table1[[#This Row],[Std Adj Read]]&lt;Table1[[#This Row],[High Tol]],"Pass","Fail"),IF(Table1[[#This Row],[DUT Adj Read]]&lt;Table1[[#This Row],[High Tol]],"Pass","Fail")))</f>
        <v>Fail</v>
      </c>
      <c r="AF885" s="1" t="str">
        <f>IF(AND(Table1[[#This Row],[Spec Type2]]="N/A",Table1[[#This Row],[DUT Adj Read]]="N/A",Table1[[#This Row],[Std Adj Read]]="N/A"),"N/A",IF(Table1[[#This Row],[DUT Adj Read]]="N/A",IF(Table1[[#This Row],[Std Adj Read]]&gt;=Table1[[#This Row],[Low Tol]],"Pass","Fail"),IF(Table1[[#This Row],[DUT Adj Read]]&gt;=Table1[[#This Row],[Low Tol]],"Pass","Fail")))</f>
        <v>Pass</v>
      </c>
      <c r="AG885" s="1" t="str">
        <f>IF(AND(Table1[[#This Row],[Spec Type2]]="N/A",Table1[[#This Row],[DUT Adj Read]]="N/A",Table1[[#This Row],[Std Adj Read]]="N/A"),"N/A",IF(Table1[[#This Row],[DUT Adj Read]]="N/A",IF(Table1[[#This Row],[Std Adj Read]]&lt;=Table1[[#This Row],[High Tol]],"Pass","Fail"),IF(Table1[[#This Row],[DUT Adj Read]]&lt;=Table1[[#This Row],[High Tol]],"Pass","Fail")))</f>
        <v>Fail</v>
      </c>
      <c r="AH8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5" s="1" t="b">
        <v>0</v>
      </c>
      <c r="AN885" s="1" t="b">
        <v>0</v>
      </c>
      <c r="AO885" s="1" t="b">
        <v>0</v>
      </c>
    </row>
    <row r="886" spans="1:41" x14ac:dyDescent="0.25">
      <c r="A886" s="10"/>
      <c r="B886" s="10"/>
      <c r="C886" s="10"/>
      <c r="D886" s="10"/>
      <c r="E886" s="10"/>
      <c r="F886" s="10"/>
      <c r="G886" s="10"/>
      <c r="H886" s="10"/>
      <c r="I886" s="1" t="str">
        <f t="shared" si="39"/>
        <v/>
      </c>
      <c r="J886" s="1" t="s">
        <v>35</v>
      </c>
      <c r="K886" s="1" t="str">
        <f t="shared" si="40"/>
        <v/>
      </c>
      <c r="L886" s="1" t="str">
        <f t="shared" si="41"/>
        <v/>
      </c>
      <c r="M886" s="1">
        <f>IF(OR(Table1[[#This Row],[Std Nom]]="",Table1[[#This Row],[Std Read]]=""),0,Table1[[#This Row],[Std Nom]]-Table1[[#This Row],[Std Read]])</f>
        <v>0</v>
      </c>
      <c r="N886" s="1">
        <f>IF(Calculations!$F$5="ACCREDITED 17025 WITH UNCERTAINTIES",$N$10,0)</f>
        <v>0</v>
      </c>
      <c r="O886" s="1" t="str">
        <f>IFERROR(Table1[[#This Row],[Std Nom]]-(_xlfn.XLOOKUP(Table1[[#This Row],[Manufacturer]]&amp;" "&amp;Table1[[#This Row],[Model]],Table13[MFR &amp; MDL],Table13[Tolerance % CW ],"")/100*Table1[[#This Row],[Std Nom]]),"")</f>
        <v/>
      </c>
      <c r="P886" s="1" t="str">
        <f>IFERROR(Table1[[#This Row],[Std Nom]]+(_xlfn.XLOOKUP(Table1[[#This Row],[Manufacturer]]&amp;" "&amp;Table1[[#This Row],[Model]],Table13[MFR &amp; MDL],Table13[Tolerance % CW ],"")/100*Table1[[#This Row],[Std Nom]]),"")</f>
        <v/>
      </c>
      <c r="Q886" s="1" t="e">
        <f>Table1[[#This Row],[High Tol]]-Table1[[#This Row],[Low Tol]]</f>
        <v>#VALUE!</v>
      </c>
      <c r="R886" s="1">
        <f>2*Table1[[#This Row],[Std Error]]</f>
        <v>0</v>
      </c>
      <c r="S886" s="1" t="str">
        <f>IF(Table1[[#This Row],[High Tol]]="","N/A",IFERROR(ABS(Table1[[#This Row],[Tol Span]]/Table1[[#This Row],[Error Span]]),"N/A"))</f>
        <v>N/A</v>
      </c>
      <c r="T886" s="1" t="str">
        <f>IF(OR(Table1[[#This Row],[Low Tol]]="",Table1[[#This Row],[High Tol]]=""),"Needs Analysis",IF(Table1[[#This Row],[Ratio]]&gt;=4,"Not Significant",IF(Table1[[#This Row],[Ratio]]&gt;=2,"Semi-Significant","Significant")))</f>
        <v>Needs Analysis</v>
      </c>
      <c r="W886" s="1">
        <f>IF(Table1[[#This Row],[Cal Type]]&lt;&gt;"ACCREDITED 17025 WITH UNCERTAINTIES",0,"")</f>
        <v>0</v>
      </c>
      <c r="X886" s="1" t="str">
        <f>IF(Table1[[#This Row],[DUT Read]]="","N/A",Table1[[#This Row],[Std Error]]+Table1[[#This Row],[DUT Read]]+Table1[[#This Row],[DUT Ucty]])</f>
        <v>N/A</v>
      </c>
      <c r="Y886" s="1" t="str">
        <f>IF(Table1[[#This Row],[Std Read]]="","N/A",Table1[[#This Row],[Std Read]]+Table1[[#This Row],[Std Ucty]])</f>
        <v>N/A</v>
      </c>
      <c r="Z8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6" s="1" t="str">
        <f>IF(Table1[[#This Row],[Spec Type]]="","N/A",Table1[[#This Row],[Spec Type]])</f>
        <v>±</v>
      </c>
      <c r="AC886" s="1" t="str">
        <f>IF(Table1[[#This Row],[Spec Type2]]="N/A","N/A",IF(AND(Table1[[#This Row],[DUT Adj Read]]&gt;=Table1[[#This Row],[Low Tol]],Table1[[#This Row],[DUT Adj Read]]&lt;=Table1[[#This Row],[High Tol]]),"Pass","Fail"))</f>
        <v>Fail</v>
      </c>
      <c r="AD886" s="1" t="str">
        <f>IF(AND(Table1[[#This Row],[Spec Type2]]="N/A",Table1[[#This Row],[DUT Adj Read]]="N/A",Table1[[#This Row],[Std Adj Read]]="N/A"),"N/A",IF(Table1[[#This Row],[DUT Adj Read]]="N/A",IF(Table1[[#This Row],[Std Adj Read]]&gt;Table1[[#This Row],[Low Tol]],"Pass","Fail"),IF(Table1[[#This Row],[DUT Adj Read]]&gt;Table1[[#This Row],[Low Tol]],"Pass","Fail")))</f>
        <v>Pass</v>
      </c>
      <c r="AE886" s="1" t="str">
        <f>IF(AND(Table1[[#This Row],[Spec Type2]]="N/A",Table1[[#This Row],[DUT Adj Read]]="N/A",Table1[[#This Row],[Std Adj Read]]="N/A"),"N/A",IF(Table1[[#This Row],[DUT Adj Read]]="N/A",IF(Table1[[#This Row],[Std Adj Read]]&lt;Table1[[#This Row],[High Tol]],"Pass","Fail"),IF(Table1[[#This Row],[DUT Adj Read]]&lt;Table1[[#This Row],[High Tol]],"Pass","Fail")))</f>
        <v>Fail</v>
      </c>
      <c r="AF886" s="1" t="str">
        <f>IF(AND(Table1[[#This Row],[Spec Type2]]="N/A",Table1[[#This Row],[DUT Adj Read]]="N/A",Table1[[#This Row],[Std Adj Read]]="N/A"),"N/A",IF(Table1[[#This Row],[DUT Adj Read]]="N/A",IF(Table1[[#This Row],[Std Adj Read]]&gt;=Table1[[#This Row],[Low Tol]],"Pass","Fail"),IF(Table1[[#This Row],[DUT Adj Read]]&gt;=Table1[[#This Row],[Low Tol]],"Pass","Fail")))</f>
        <v>Pass</v>
      </c>
      <c r="AG886" s="1" t="str">
        <f>IF(AND(Table1[[#This Row],[Spec Type2]]="N/A",Table1[[#This Row],[DUT Adj Read]]="N/A",Table1[[#This Row],[Std Adj Read]]="N/A"),"N/A",IF(Table1[[#This Row],[DUT Adj Read]]="N/A",IF(Table1[[#This Row],[Std Adj Read]]&lt;=Table1[[#This Row],[High Tol]],"Pass","Fail"),IF(Table1[[#This Row],[DUT Adj Read]]&lt;=Table1[[#This Row],[High Tol]],"Pass","Fail")))</f>
        <v>Fail</v>
      </c>
      <c r="AH8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6" s="1" t="b">
        <v>0</v>
      </c>
      <c r="AN886" s="1" t="b">
        <v>0</v>
      </c>
      <c r="AO886" s="1" t="b">
        <v>0</v>
      </c>
    </row>
    <row r="887" spans="1:41" x14ac:dyDescent="0.25">
      <c r="A887" s="10"/>
      <c r="B887" s="10"/>
      <c r="C887" s="10"/>
      <c r="D887" s="10"/>
      <c r="E887" s="10"/>
      <c r="F887" s="10"/>
      <c r="G887" s="10"/>
      <c r="H887" s="10"/>
      <c r="I887" s="1" t="str">
        <f t="shared" si="39"/>
        <v/>
      </c>
      <c r="J887" s="1" t="s">
        <v>35</v>
      </c>
      <c r="K887" s="1" t="str">
        <f t="shared" si="40"/>
        <v/>
      </c>
      <c r="L887" s="1" t="str">
        <f t="shared" si="41"/>
        <v/>
      </c>
      <c r="M887" s="1">
        <f>IF(OR(Table1[[#This Row],[Std Nom]]="",Table1[[#This Row],[Std Read]]=""),0,Table1[[#This Row],[Std Nom]]-Table1[[#This Row],[Std Read]])</f>
        <v>0</v>
      </c>
      <c r="N887" s="1">
        <f>IF(Calculations!$F$5="ACCREDITED 17025 WITH UNCERTAINTIES",$N$10,0)</f>
        <v>0</v>
      </c>
      <c r="O887" s="1" t="str">
        <f>IFERROR(Table1[[#This Row],[Std Nom]]-(_xlfn.XLOOKUP(Table1[[#This Row],[Manufacturer]]&amp;" "&amp;Table1[[#This Row],[Model]],Table13[MFR &amp; MDL],Table13[Tolerance % CW ],"")/100*Table1[[#This Row],[Std Nom]]),"")</f>
        <v/>
      </c>
      <c r="P887" s="1" t="str">
        <f>IFERROR(Table1[[#This Row],[Std Nom]]+(_xlfn.XLOOKUP(Table1[[#This Row],[Manufacturer]]&amp;" "&amp;Table1[[#This Row],[Model]],Table13[MFR &amp; MDL],Table13[Tolerance % CW ],"")/100*Table1[[#This Row],[Std Nom]]),"")</f>
        <v/>
      </c>
      <c r="Q887" s="1" t="e">
        <f>Table1[[#This Row],[High Tol]]-Table1[[#This Row],[Low Tol]]</f>
        <v>#VALUE!</v>
      </c>
      <c r="R887" s="1">
        <f>2*Table1[[#This Row],[Std Error]]</f>
        <v>0</v>
      </c>
      <c r="S887" s="1" t="str">
        <f>IF(Table1[[#This Row],[High Tol]]="","N/A",IFERROR(ABS(Table1[[#This Row],[Tol Span]]/Table1[[#This Row],[Error Span]]),"N/A"))</f>
        <v>N/A</v>
      </c>
      <c r="T887" s="1" t="str">
        <f>IF(OR(Table1[[#This Row],[Low Tol]]="",Table1[[#This Row],[High Tol]]=""),"Needs Analysis",IF(Table1[[#This Row],[Ratio]]&gt;=4,"Not Significant",IF(Table1[[#This Row],[Ratio]]&gt;=2,"Semi-Significant","Significant")))</f>
        <v>Needs Analysis</v>
      </c>
      <c r="W887" s="1">
        <f>IF(Table1[[#This Row],[Cal Type]]&lt;&gt;"ACCREDITED 17025 WITH UNCERTAINTIES",0,"")</f>
        <v>0</v>
      </c>
      <c r="X887" s="1" t="str">
        <f>IF(Table1[[#This Row],[DUT Read]]="","N/A",Table1[[#This Row],[Std Error]]+Table1[[#This Row],[DUT Read]]+Table1[[#This Row],[DUT Ucty]])</f>
        <v>N/A</v>
      </c>
      <c r="Y887" s="1" t="str">
        <f>IF(Table1[[#This Row],[Std Read]]="","N/A",Table1[[#This Row],[Std Read]]+Table1[[#This Row],[Std Ucty]])</f>
        <v>N/A</v>
      </c>
      <c r="Z8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7" s="1" t="str">
        <f>IF(Table1[[#This Row],[Spec Type]]="","N/A",Table1[[#This Row],[Spec Type]])</f>
        <v>±</v>
      </c>
      <c r="AC887" s="1" t="str">
        <f>IF(Table1[[#This Row],[Spec Type2]]="N/A","N/A",IF(AND(Table1[[#This Row],[DUT Adj Read]]&gt;=Table1[[#This Row],[Low Tol]],Table1[[#This Row],[DUT Adj Read]]&lt;=Table1[[#This Row],[High Tol]]),"Pass","Fail"))</f>
        <v>Fail</v>
      </c>
      <c r="AD887" s="1" t="str">
        <f>IF(AND(Table1[[#This Row],[Spec Type2]]="N/A",Table1[[#This Row],[DUT Adj Read]]="N/A",Table1[[#This Row],[Std Adj Read]]="N/A"),"N/A",IF(Table1[[#This Row],[DUT Adj Read]]="N/A",IF(Table1[[#This Row],[Std Adj Read]]&gt;Table1[[#This Row],[Low Tol]],"Pass","Fail"),IF(Table1[[#This Row],[DUT Adj Read]]&gt;Table1[[#This Row],[Low Tol]],"Pass","Fail")))</f>
        <v>Pass</v>
      </c>
      <c r="AE887" s="1" t="str">
        <f>IF(AND(Table1[[#This Row],[Spec Type2]]="N/A",Table1[[#This Row],[DUT Adj Read]]="N/A",Table1[[#This Row],[Std Adj Read]]="N/A"),"N/A",IF(Table1[[#This Row],[DUT Adj Read]]="N/A",IF(Table1[[#This Row],[Std Adj Read]]&lt;Table1[[#This Row],[High Tol]],"Pass","Fail"),IF(Table1[[#This Row],[DUT Adj Read]]&lt;Table1[[#This Row],[High Tol]],"Pass","Fail")))</f>
        <v>Fail</v>
      </c>
      <c r="AF887" s="1" t="str">
        <f>IF(AND(Table1[[#This Row],[Spec Type2]]="N/A",Table1[[#This Row],[DUT Adj Read]]="N/A",Table1[[#This Row],[Std Adj Read]]="N/A"),"N/A",IF(Table1[[#This Row],[DUT Adj Read]]="N/A",IF(Table1[[#This Row],[Std Adj Read]]&gt;=Table1[[#This Row],[Low Tol]],"Pass","Fail"),IF(Table1[[#This Row],[DUT Adj Read]]&gt;=Table1[[#This Row],[Low Tol]],"Pass","Fail")))</f>
        <v>Pass</v>
      </c>
      <c r="AG887" s="1" t="str">
        <f>IF(AND(Table1[[#This Row],[Spec Type2]]="N/A",Table1[[#This Row],[DUT Adj Read]]="N/A",Table1[[#This Row],[Std Adj Read]]="N/A"),"N/A",IF(Table1[[#This Row],[DUT Adj Read]]="N/A",IF(Table1[[#This Row],[Std Adj Read]]&lt;=Table1[[#This Row],[High Tol]],"Pass","Fail"),IF(Table1[[#This Row],[DUT Adj Read]]&lt;=Table1[[#This Row],[High Tol]],"Pass","Fail")))</f>
        <v>Fail</v>
      </c>
      <c r="AH8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7" s="1" t="b">
        <v>0</v>
      </c>
      <c r="AN887" s="1" t="b">
        <v>0</v>
      </c>
      <c r="AO887" s="1" t="b">
        <v>0</v>
      </c>
    </row>
    <row r="888" spans="1:41" x14ac:dyDescent="0.25">
      <c r="A888" s="10"/>
      <c r="B888" s="10"/>
      <c r="C888" s="10"/>
      <c r="D888" s="10"/>
      <c r="E888" s="10"/>
      <c r="F888" s="10"/>
      <c r="G888" s="10"/>
      <c r="H888" s="10"/>
      <c r="I888" s="1" t="str">
        <f t="shared" si="39"/>
        <v/>
      </c>
      <c r="J888" s="1" t="s">
        <v>35</v>
      </c>
      <c r="K888" s="1" t="str">
        <f t="shared" si="40"/>
        <v/>
      </c>
      <c r="L888" s="1" t="str">
        <f t="shared" si="41"/>
        <v/>
      </c>
      <c r="M888" s="1">
        <f>IF(OR(Table1[[#This Row],[Std Nom]]="",Table1[[#This Row],[Std Read]]=""),0,Table1[[#This Row],[Std Nom]]-Table1[[#This Row],[Std Read]])</f>
        <v>0</v>
      </c>
      <c r="N888" s="1">
        <f>IF(Calculations!$F$5="ACCREDITED 17025 WITH UNCERTAINTIES",$N$10,0)</f>
        <v>0</v>
      </c>
      <c r="O888" s="1" t="str">
        <f>IFERROR(Table1[[#This Row],[Std Nom]]-(_xlfn.XLOOKUP(Table1[[#This Row],[Manufacturer]]&amp;" "&amp;Table1[[#This Row],[Model]],Table13[MFR &amp; MDL],Table13[Tolerance % CW ],"")/100*Table1[[#This Row],[Std Nom]]),"")</f>
        <v/>
      </c>
      <c r="P888" s="1" t="str">
        <f>IFERROR(Table1[[#This Row],[Std Nom]]+(_xlfn.XLOOKUP(Table1[[#This Row],[Manufacturer]]&amp;" "&amp;Table1[[#This Row],[Model]],Table13[MFR &amp; MDL],Table13[Tolerance % CW ],"")/100*Table1[[#This Row],[Std Nom]]),"")</f>
        <v/>
      </c>
      <c r="Q888" s="1" t="e">
        <f>Table1[[#This Row],[High Tol]]-Table1[[#This Row],[Low Tol]]</f>
        <v>#VALUE!</v>
      </c>
      <c r="R888" s="1">
        <f>2*Table1[[#This Row],[Std Error]]</f>
        <v>0</v>
      </c>
      <c r="S888" s="1" t="str">
        <f>IF(Table1[[#This Row],[High Tol]]="","N/A",IFERROR(ABS(Table1[[#This Row],[Tol Span]]/Table1[[#This Row],[Error Span]]),"N/A"))</f>
        <v>N/A</v>
      </c>
      <c r="T888" s="1" t="str">
        <f>IF(OR(Table1[[#This Row],[Low Tol]]="",Table1[[#This Row],[High Tol]]=""),"Needs Analysis",IF(Table1[[#This Row],[Ratio]]&gt;=4,"Not Significant",IF(Table1[[#This Row],[Ratio]]&gt;=2,"Semi-Significant","Significant")))</f>
        <v>Needs Analysis</v>
      </c>
      <c r="W888" s="1">
        <f>IF(Table1[[#This Row],[Cal Type]]&lt;&gt;"ACCREDITED 17025 WITH UNCERTAINTIES",0,"")</f>
        <v>0</v>
      </c>
      <c r="X888" s="1" t="str">
        <f>IF(Table1[[#This Row],[DUT Read]]="","N/A",Table1[[#This Row],[Std Error]]+Table1[[#This Row],[DUT Read]]+Table1[[#This Row],[DUT Ucty]])</f>
        <v>N/A</v>
      </c>
      <c r="Y888" s="1" t="str">
        <f>IF(Table1[[#This Row],[Std Read]]="","N/A",Table1[[#This Row],[Std Read]]+Table1[[#This Row],[Std Ucty]])</f>
        <v>N/A</v>
      </c>
      <c r="Z8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8" s="1" t="str">
        <f>IF(Table1[[#This Row],[Spec Type]]="","N/A",Table1[[#This Row],[Spec Type]])</f>
        <v>±</v>
      </c>
      <c r="AC888" s="1" t="str">
        <f>IF(Table1[[#This Row],[Spec Type2]]="N/A","N/A",IF(AND(Table1[[#This Row],[DUT Adj Read]]&gt;=Table1[[#This Row],[Low Tol]],Table1[[#This Row],[DUT Adj Read]]&lt;=Table1[[#This Row],[High Tol]]),"Pass","Fail"))</f>
        <v>Fail</v>
      </c>
      <c r="AD888" s="1" t="str">
        <f>IF(AND(Table1[[#This Row],[Spec Type2]]="N/A",Table1[[#This Row],[DUT Adj Read]]="N/A",Table1[[#This Row],[Std Adj Read]]="N/A"),"N/A",IF(Table1[[#This Row],[DUT Adj Read]]="N/A",IF(Table1[[#This Row],[Std Adj Read]]&gt;Table1[[#This Row],[Low Tol]],"Pass","Fail"),IF(Table1[[#This Row],[DUT Adj Read]]&gt;Table1[[#This Row],[Low Tol]],"Pass","Fail")))</f>
        <v>Pass</v>
      </c>
      <c r="AE888" s="1" t="str">
        <f>IF(AND(Table1[[#This Row],[Spec Type2]]="N/A",Table1[[#This Row],[DUT Adj Read]]="N/A",Table1[[#This Row],[Std Adj Read]]="N/A"),"N/A",IF(Table1[[#This Row],[DUT Adj Read]]="N/A",IF(Table1[[#This Row],[Std Adj Read]]&lt;Table1[[#This Row],[High Tol]],"Pass","Fail"),IF(Table1[[#This Row],[DUT Adj Read]]&lt;Table1[[#This Row],[High Tol]],"Pass","Fail")))</f>
        <v>Fail</v>
      </c>
      <c r="AF888" s="1" t="str">
        <f>IF(AND(Table1[[#This Row],[Spec Type2]]="N/A",Table1[[#This Row],[DUT Adj Read]]="N/A",Table1[[#This Row],[Std Adj Read]]="N/A"),"N/A",IF(Table1[[#This Row],[DUT Adj Read]]="N/A",IF(Table1[[#This Row],[Std Adj Read]]&gt;=Table1[[#This Row],[Low Tol]],"Pass","Fail"),IF(Table1[[#This Row],[DUT Adj Read]]&gt;=Table1[[#This Row],[Low Tol]],"Pass","Fail")))</f>
        <v>Pass</v>
      </c>
      <c r="AG888" s="1" t="str">
        <f>IF(AND(Table1[[#This Row],[Spec Type2]]="N/A",Table1[[#This Row],[DUT Adj Read]]="N/A",Table1[[#This Row],[Std Adj Read]]="N/A"),"N/A",IF(Table1[[#This Row],[DUT Adj Read]]="N/A",IF(Table1[[#This Row],[Std Adj Read]]&lt;=Table1[[#This Row],[High Tol]],"Pass","Fail"),IF(Table1[[#This Row],[DUT Adj Read]]&lt;=Table1[[#This Row],[High Tol]],"Pass","Fail")))</f>
        <v>Fail</v>
      </c>
      <c r="AH8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8" s="1" t="b">
        <v>0</v>
      </c>
      <c r="AN888" s="1" t="b">
        <v>0</v>
      </c>
      <c r="AO888" s="1" t="b">
        <v>0</v>
      </c>
    </row>
    <row r="889" spans="1:41" x14ac:dyDescent="0.25">
      <c r="A889" s="10"/>
      <c r="B889" s="10"/>
      <c r="C889" s="10"/>
      <c r="D889" s="10"/>
      <c r="E889" s="10"/>
      <c r="F889" s="10"/>
      <c r="G889" s="10"/>
      <c r="H889" s="10"/>
      <c r="I889" s="1" t="str">
        <f t="shared" si="39"/>
        <v/>
      </c>
      <c r="J889" s="1" t="s">
        <v>35</v>
      </c>
      <c r="K889" s="1" t="str">
        <f t="shared" si="40"/>
        <v/>
      </c>
      <c r="L889" s="1" t="str">
        <f t="shared" si="41"/>
        <v/>
      </c>
      <c r="M889" s="1">
        <f>IF(OR(Table1[[#This Row],[Std Nom]]="",Table1[[#This Row],[Std Read]]=""),0,Table1[[#This Row],[Std Nom]]-Table1[[#This Row],[Std Read]])</f>
        <v>0</v>
      </c>
      <c r="N889" s="1">
        <f>IF(Calculations!$F$5="ACCREDITED 17025 WITH UNCERTAINTIES",$N$10,0)</f>
        <v>0</v>
      </c>
      <c r="O889" s="1" t="str">
        <f>IFERROR(Table1[[#This Row],[Std Nom]]-(_xlfn.XLOOKUP(Table1[[#This Row],[Manufacturer]]&amp;" "&amp;Table1[[#This Row],[Model]],Table13[MFR &amp; MDL],Table13[Tolerance % CW ],"")/100*Table1[[#This Row],[Std Nom]]),"")</f>
        <v/>
      </c>
      <c r="P889" s="1" t="str">
        <f>IFERROR(Table1[[#This Row],[Std Nom]]+(_xlfn.XLOOKUP(Table1[[#This Row],[Manufacturer]]&amp;" "&amp;Table1[[#This Row],[Model]],Table13[MFR &amp; MDL],Table13[Tolerance % CW ],"")/100*Table1[[#This Row],[Std Nom]]),"")</f>
        <v/>
      </c>
      <c r="Q889" s="1" t="e">
        <f>Table1[[#This Row],[High Tol]]-Table1[[#This Row],[Low Tol]]</f>
        <v>#VALUE!</v>
      </c>
      <c r="R889" s="1">
        <f>2*Table1[[#This Row],[Std Error]]</f>
        <v>0</v>
      </c>
      <c r="S889" s="1" t="str">
        <f>IF(Table1[[#This Row],[High Tol]]="","N/A",IFERROR(ABS(Table1[[#This Row],[Tol Span]]/Table1[[#This Row],[Error Span]]),"N/A"))</f>
        <v>N/A</v>
      </c>
      <c r="T889" s="1" t="str">
        <f>IF(OR(Table1[[#This Row],[Low Tol]]="",Table1[[#This Row],[High Tol]]=""),"Needs Analysis",IF(Table1[[#This Row],[Ratio]]&gt;=4,"Not Significant",IF(Table1[[#This Row],[Ratio]]&gt;=2,"Semi-Significant","Significant")))</f>
        <v>Needs Analysis</v>
      </c>
      <c r="W889" s="1">
        <f>IF(Table1[[#This Row],[Cal Type]]&lt;&gt;"ACCREDITED 17025 WITH UNCERTAINTIES",0,"")</f>
        <v>0</v>
      </c>
      <c r="X889" s="1" t="str">
        <f>IF(Table1[[#This Row],[DUT Read]]="","N/A",Table1[[#This Row],[Std Error]]+Table1[[#This Row],[DUT Read]]+Table1[[#This Row],[DUT Ucty]])</f>
        <v>N/A</v>
      </c>
      <c r="Y889" s="1" t="str">
        <f>IF(Table1[[#This Row],[Std Read]]="","N/A",Table1[[#This Row],[Std Read]]+Table1[[#This Row],[Std Ucty]])</f>
        <v>N/A</v>
      </c>
      <c r="Z8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9" s="1" t="str">
        <f>IF(Table1[[#This Row],[Spec Type]]="","N/A",Table1[[#This Row],[Spec Type]])</f>
        <v>±</v>
      </c>
      <c r="AC889" s="1" t="str">
        <f>IF(Table1[[#This Row],[Spec Type2]]="N/A","N/A",IF(AND(Table1[[#This Row],[DUT Adj Read]]&gt;=Table1[[#This Row],[Low Tol]],Table1[[#This Row],[DUT Adj Read]]&lt;=Table1[[#This Row],[High Tol]]),"Pass","Fail"))</f>
        <v>Fail</v>
      </c>
      <c r="AD889" s="1" t="str">
        <f>IF(AND(Table1[[#This Row],[Spec Type2]]="N/A",Table1[[#This Row],[DUT Adj Read]]="N/A",Table1[[#This Row],[Std Adj Read]]="N/A"),"N/A",IF(Table1[[#This Row],[DUT Adj Read]]="N/A",IF(Table1[[#This Row],[Std Adj Read]]&gt;Table1[[#This Row],[Low Tol]],"Pass","Fail"),IF(Table1[[#This Row],[DUT Adj Read]]&gt;Table1[[#This Row],[Low Tol]],"Pass","Fail")))</f>
        <v>Pass</v>
      </c>
      <c r="AE889" s="1" t="str">
        <f>IF(AND(Table1[[#This Row],[Spec Type2]]="N/A",Table1[[#This Row],[DUT Adj Read]]="N/A",Table1[[#This Row],[Std Adj Read]]="N/A"),"N/A",IF(Table1[[#This Row],[DUT Adj Read]]="N/A",IF(Table1[[#This Row],[Std Adj Read]]&lt;Table1[[#This Row],[High Tol]],"Pass","Fail"),IF(Table1[[#This Row],[DUT Adj Read]]&lt;Table1[[#This Row],[High Tol]],"Pass","Fail")))</f>
        <v>Fail</v>
      </c>
      <c r="AF889" s="1" t="str">
        <f>IF(AND(Table1[[#This Row],[Spec Type2]]="N/A",Table1[[#This Row],[DUT Adj Read]]="N/A",Table1[[#This Row],[Std Adj Read]]="N/A"),"N/A",IF(Table1[[#This Row],[DUT Adj Read]]="N/A",IF(Table1[[#This Row],[Std Adj Read]]&gt;=Table1[[#This Row],[Low Tol]],"Pass","Fail"),IF(Table1[[#This Row],[DUT Adj Read]]&gt;=Table1[[#This Row],[Low Tol]],"Pass","Fail")))</f>
        <v>Pass</v>
      </c>
      <c r="AG889" s="1" t="str">
        <f>IF(AND(Table1[[#This Row],[Spec Type2]]="N/A",Table1[[#This Row],[DUT Adj Read]]="N/A",Table1[[#This Row],[Std Adj Read]]="N/A"),"N/A",IF(Table1[[#This Row],[DUT Adj Read]]="N/A",IF(Table1[[#This Row],[Std Adj Read]]&lt;=Table1[[#This Row],[High Tol]],"Pass","Fail"),IF(Table1[[#This Row],[DUT Adj Read]]&lt;=Table1[[#This Row],[High Tol]],"Pass","Fail")))</f>
        <v>Fail</v>
      </c>
      <c r="AH8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9" s="1" t="b">
        <v>0</v>
      </c>
      <c r="AN889" s="1" t="b">
        <v>0</v>
      </c>
      <c r="AO889" s="1" t="b">
        <v>0</v>
      </c>
    </row>
    <row r="890" spans="1:41" x14ac:dyDescent="0.25">
      <c r="A890" s="10"/>
      <c r="B890" s="10"/>
      <c r="C890" s="10"/>
      <c r="D890" s="10"/>
      <c r="E890" s="10"/>
      <c r="F890" s="10"/>
      <c r="G890" s="10"/>
      <c r="H890" s="10"/>
      <c r="I890" s="1" t="str">
        <f t="shared" si="39"/>
        <v/>
      </c>
      <c r="J890" s="1" t="s">
        <v>35</v>
      </c>
      <c r="K890" s="1" t="str">
        <f t="shared" si="40"/>
        <v/>
      </c>
      <c r="L890" s="1" t="str">
        <f t="shared" si="41"/>
        <v/>
      </c>
      <c r="M890" s="1">
        <f>IF(OR(Table1[[#This Row],[Std Nom]]="",Table1[[#This Row],[Std Read]]=""),0,Table1[[#This Row],[Std Nom]]-Table1[[#This Row],[Std Read]])</f>
        <v>0</v>
      </c>
      <c r="N890" s="1">
        <f>IF(Calculations!$F$5="ACCREDITED 17025 WITH UNCERTAINTIES",$N$10,0)</f>
        <v>0</v>
      </c>
      <c r="O890" s="1" t="str">
        <f>IFERROR(Table1[[#This Row],[Std Nom]]-(_xlfn.XLOOKUP(Table1[[#This Row],[Manufacturer]]&amp;" "&amp;Table1[[#This Row],[Model]],Table13[MFR &amp; MDL],Table13[Tolerance % CW ],"")/100*Table1[[#This Row],[Std Nom]]),"")</f>
        <v/>
      </c>
      <c r="P890" s="1" t="str">
        <f>IFERROR(Table1[[#This Row],[Std Nom]]+(_xlfn.XLOOKUP(Table1[[#This Row],[Manufacturer]]&amp;" "&amp;Table1[[#This Row],[Model]],Table13[MFR &amp; MDL],Table13[Tolerance % CW ],"")/100*Table1[[#This Row],[Std Nom]]),"")</f>
        <v/>
      </c>
      <c r="Q890" s="1" t="e">
        <f>Table1[[#This Row],[High Tol]]-Table1[[#This Row],[Low Tol]]</f>
        <v>#VALUE!</v>
      </c>
      <c r="R890" s="1">
        <f>2*Table1[[#This Row],[Std Error]]</f>
        <v>0</v>
      </c>
      <c r="S890" s="1" t="str">
        <f>IF(Table1[[#This Row],[High Tol]]="","N/A",IFERROR(ABS(Table1[[#This Row],[Tol Span]]/Table1[[#This Row],[Error Span]]),"N/A"))</f>
        <v>N/A</v>
      </c>
      <c r="T890" s="1" t="str">
        <f>IF(OR(Table1[[#This Row],[Low Tol]]="",Table1[[#This Row],[High Tol]]=""),"Needs Analysis",IF(Table1[[#This Row],[Ratio]]&gt;=4,"Not Significant",IF(Table1[[#This Row],[Ratio]]&gt;=2,"Semi-Significant","Significant")))</f>
        <v>Needs Analysis</v>
      </c>
      <c r="W890" s="1">
        <f>IF(Table1[[#This Row],[Cal Type]]&lt;&gt;"ACCREDITED 17025 WITH UNCERTAINTIES",0,"")</f>
        <v>0</v>
      </c>
      <c r="X890" s="1" t="str">
        <f>IF(Table1[[#This Row],[DUT Read]]="","N/A",Table1[[#This Row],[Std Error]]+Table1[[#This Row],[DUT Read]]+Table1[[#This Row],[DUT Ucty]])</f>
        <v>N/A</v>
      </c>
      <c r="Y890" s="1" t="str">
        <f>IF(Table1[[#This Row],[Std Read]]="","N/A",Table1[[#This Row],[Std Read]]+Table1[[#This Row],[Std Ucty]])</f>
        <v>N/A</v>
      </c>
      <c r="Z8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0" s="1" t="str">
        <f>IF(Table1[[#This Row],[Spec Type]]="","N/A",Table1[[#This Row],[Spec Type]])</f>
        <v>±</v>
      </c>
      <c r="AC890" s="1" t="str">
        <f>IF(Table1[[#This Row],[Spec Type2]]="N/A","N/A",IF(AND(Table1[[#This Row],[DUT Adj Read]]&gt;=Table1[[#This Row],[Low Tol]],Table1[[#This Row],[DUT Adj Read]]&lt;=Table1[[#This Row],[High Tol]]),"Pass","Fail"))</f>
        <v>Fail</v>
      </c>
      <c r="AD890" s="1" t="str">
        <f>IF(AND(Table1[[#This Row],[Spec Type2]]="N/A",Table1[[#This Row],[DUT Adj Read]]="N/A",Table1[[#This Row],[Std Adj Read]]="N/A"),"N/A",IF(Table1[[#This Row],[DUT Adj Read]]="N/A",IF(Table1[[#This Row],[Std Adj Read]]&gt;Table1[[#This Row],[Low Tol]],"Pass","Fail"),IF(Table1[[#This Row],[DUT Adj Read]]&gt;Table1[[#This Row],[Low Tol]],"Pass","Fail")))</f>
        <v>Pass</v>
      </c>
      <c r="AE890" s="1" t="str">
        <f>IF(AND(Table1[[#This Row],[Spec Type2]]="N/A",Table1[[#This Row],[DUT Adj Read]]="N/A",Table1[[#This Row],[Std Adj Read]]="N/A"),"N/A",IF(Table1[[#This Row],[DUT Adj Read]]="N/A",IF(Table1[[#This Row],[Std Adj Read]]&lt;Table1[[#This Row],[High Tol]],"Pass","Fail"),IF(Table1[[#This Row],[DUT Adj Read]]&lt;Table1[[#This Row],[High Tol]],"Pass","Fail")))</f>
        <v>Fail</v>
      </c>
      <c r="AF890" s="1" t="str">
        <f>IF(AND(Table1[[#This Row],[Spec Type2]]="N/A",Table1[[#This Row],[DUT Adj Read]]="N/A",Table1[[#This Row],[Std Adj Read]]="N/A"),"N/A",IF(Table1[[#This Row],[DUT Adj Read]]="N/A",IF(Table1[[#This Row],[Std Adj Read]]&gt;=Table1[[#This Row],[Low Tol]],"Pass","Fail"),IF(Table1[[#This Row],[DUT Adj Read]]&gt;=Table1[[#This Row],[Low Tol]],"Pass","Fail")))</f>
        <v>Pass</v>
      </c>
      <c r="AG890" s="1" t="str">
        <f>IF(AND(Table1[[#This Row],[Spec Type2]]="N/A",Table1[[#This Row],[DUT Adj Read]]="N/A",Table1[[#This Row],[Std Adj Read]]="N/A"),"N/A",IF(Table1[[#This Row],[DUT Adj Read]]="N/A",IF(Table1[[#This Row],[Std Adj Read]]&lt;=Table1[[#This Row],[High Tol]],"Pass","Fail"),IF(Table1[[#This Row],[DUT Adj Read]]&lt;=Table1[[#This Row],[High Tol]],"Pass","Fail")))</f>
        <v>Fail</v>
      </c>
      <c r="AH8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0" s="1" t="b">
        <v>0</v>
      </c>
      <c r="AN890" s="1" t="b">
        <v>0</v>
      </c>
      <c r="AO890" s="1" t="b">
        <v>0</v>
      </c>
    </row>
    <row r="891" spans="1:41" x14ac:dyDescent="0.25">
      <c r="A891" s="10"/>
      <c r="B891" s="10"/>
      <c r="C891" s="10"/>
      <c r="D891" s="10"/>
      <c r="E891" s="10"/>
      <c r="F891" s="10"/>
      <c r="G891" s="10"/>
      <c r="H891" s="10"/>
      <c r="I891" s="1" t="str">
        <f t="shared" si="39"/>
        <v/>
      </c>
      <c r="J891" s="1" t="s">
        <v>35</v>
      </c>
      <c r="K891" s="1" t="str">
        <f t="shared" si="40"/>
        <v/>
      </c>
      <c r="L891" s="1" t="str">
        <f t="shared" si="41"/>
        <v/>
      </c>
      <c r="M891" s="1">
        <f>IF(OR(Table1[[#This Row],[Std Nom]]="",Table1[[#This Row],[Std Read]]=""),0,Table1[[#This Row],[Std Nom]]-Table1[[#This Row],[Std Read]])</f>
        <v>0</v>
      </c>
      <c r="N891" s="1">
        <f>IF(Calculations!$F$5="ACCREDITED 17025 WITH UNCERTAINTIES",$N$10,0)</f>
        <v>0</v>
      </c>
      <c r="O891" s="1" t="str">
        <f>IFERROR(Table1[[#This Row],[Std Nom]]-(_xlfn.XLOOKUP(Table1[[#This Row],[Manufacturer]]&amp;" "&amp;Table1[[#This Row],[Model]],Table13[MFR &amp; MDL],Table13[Tolerance % CW ],"")/100*Table1[[#This Row],[Std Nom]]),"")</f>
        <v/>
      </c>
      <c r="P891" s="1" t="str">
        <f>IFERROR(Table1[[#This Row],[Std Nom]]+(_xlfn.XLOOKUP(Table1[[#This Row],[Manufacturer]]&amp;" "&amp;Table1[[#This Row],[Model]],Table13[MFR &amp; MDL],Table13[Tolerance % CW ],"")/100*Table1[[#This Row],[Std Nom]]),"")</f>
        <v/>
      </c>
      <c r="Q891" s="1" t="e">
        <f>Table1[[#This Row],[High Tol]]-Table1[[#This Row],[Low Tol]]</f>
        <v>#VALUE!</v>
      </c>
      <c r="R891" s="1">
        <f>2*Table1[[#This Row],[Std Error]]</f>
        <v>0</v>
      </c>
      <c r="S891" s="1" t="str">
        <f>IF(Table1[[#This Row],[High Tol]]="","N/A",IFERROR(ABS(Table1[[#This Row],[Tol Span]]/Table1[[#This Row],[Error Span]]),"N/A"))</f>
        <v>N/A</v>
      </c>
      <c r="T891" s="1" t="str">
        <f>IF(OR(Table1[[#This Row],[Low Tol]]="",Table1[[#This Row],[High Tol]]=""),"Needs Analysis",IF(Table1[[#This Row],[Ratio]]&gt;=4,"Not Significant",IF(Table1[[#This Row],[Ratio]]&gt;=2,"Semi-Significant","Significant")))</f>
        <v>Needs Analysis</v>
      </c>
      <c r="W891" s="1">
        <f>IF(Table1[[#This Row],[Cal Type]]&lt;&gt;"ACCREDITED 17025 WITH UNCERTAINTIES",0,"")</f>
        <v>0</v>
      </c>
      <c r="X891" s="1" t="str">
        <f>IF(Table1[[#This Row],[DUT Read]]="","N/A",Table1[[#This Row],[Std Error]]+Table1[[#This Row],[DUT Read]]+Table1[[#This Row],[DUT Ucty]])</f>
        <v>N/A</v>
      </c>
      <c r="Y891" s="1" t="str">
        <f>IF(Table1[[#This Row],[Std Read]]="","N/A",Table1[[#This Row],[Std Read]]+Table1[[#This Row],[Std Ucty]])</f>
        <v>N/A</v>
      </c>
      <c r="Z8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1" s="1" t="str">
        <f>IF(Table1[[#This Row],[Spec Type]]="","N/A",Table1[[#This Row],[Spec Type]])</f>
        <v>±</v>
      </c>
      <c r="AC891" s="1" t="str">
        <f>IF(Table1[[#This Row],[Spec Type2]]="N/A","N/A",IF(AND(Table1[[#This Row],[DUT Adj Read]]&gt;=Table1[[#This Row],[Low Tol]],Table1[[#This Row],[DUT Adj Read]]&lt;=Table1[[#This Row],[High Tol]]),"Pass","Fail"))</f>
        <v>Fail</v>
      </c>
      <c r="AD891" s="1" t="str">
        <f>IF(AND(Table1[[#This Row],[Spec Type2]]="N/A",Table1[[#This Row],[DUT Adj Read]]="N/A",Table1[[#This Row],[Std Adj Read]]="N/A"),"N/A",IF(Table1[[#This Row],[DUT Adj Read]]="N/A",IF(Table1[[#This Row],[Std Adj Read]]&gt;Table1[[#This Row],[Low Tol]],"Pass","Fail"),IF(Table1[[#This Row],[DUT Adj Read]]&gt;Table1[[#This Row],[Low Tol]],"Pass","Fail")))</f>
        <v>Pass</v>
      </c>
      <c r="AE891" s="1" t="str">
        <f>IF(AND(Table1[[#This Row],[Spec Type2]]="N/A",Table1[[#This Row],[DUT Adj Read]]="N/A",Table1[[#This Row],[Std Adj Read]]="N/A"),"N/A",IF(Table1[[#This Row],[DUT Adj Read]]="N/A",IF(Table1[[#This Row],[Std Adj Read]]&lt;Table1[[#This Row],[High Tol]],"Pass","Fail"),IF(Table1[[#This Row],[DUT Adj Read]]&lt;Table1[[#This Row],[High Tol]],"Pass","Fail")))</f>
        <v>Fail</v>
      </c>
      <c r="AF891" s="1" t="str">
        <f>IF(AND(Table1[[#This Row],[Spec Type2]]="N/A",Table1[[#This Row],[DUT Adj Read]]="N/A",Table1[[#This Row],[Std Adj Read]]="N/A"),"N/A",IF(Table1[[#This Row],[DUT Adj Read]]="N/A",IF(Table1[[#This Row],[Std Adj Read]]&gt;=Table1[[#This Row],[Low Tol]],"Pass","Fail"),IF(Table1[[#This Row],[DUT Adj Read]]&gt;=Table1[[#This Row],[Low Tol]],"Pass","Fail")))</f>
        <v>Pass</v>
      </c>
      <c r="AG891" s="1" t="str">
        <f>IF(AND(Table1[[#This Row],[Spec Type2]]="N/A",Table1[[#This Row],[DUT Adj Read]]="N/A",Table1[[#This Row],[Std Adj Read]]="N/A"),"N/A",IF(Table1[[#This Row],[DUT Adj Read]]="N/A",IF(Table1[[#This Row],[Std Adj Read]]&lt;=Table1[[#This Row],[High Tol]],"Pass","Fail"),IF(Table1[[#This Row],[DUT Adj Read]]&lt;=Table1[[#This Row],[High Tol]],"Pass","Fail")))</f>
        <v>Fail</v>
      </c>
      <c r="AH8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1" s="1" t="b">
        <v>0</v>
      </c>
      <c r="AN891" s="1" t="b">
        <v>0</v>
      </c>
      <c r="AO891" s="1" t="b">
        <v>0</v>
      </c>
    </row>
    <row r="892" spans="1:41" x14ac:dyDescent="0.25">
      <c r="A892" s="10"/>
      <c r="B892" s="10"/>
      <c r="C892" s="10"/>
      <c r="D892" s="10"/>
      <c r="E892" s="10"/>
      <c r="F892" s="10"/>
      <c r="G892" s="10"/>
      <c r="H892" s="10"/>
      <c r="I892" s="1" t="str">
        <f t="shared" si="39"/>
        <v/>
      </c>
      <c r="J892" s="1" t="s">
        <v>35</v>
      </c>
      <c r="K892" s="1" t="str">
        <f t="shared" si="40"/>
        <v/>
      </c>
      <c r="L892" s="1" t="str">
        <f t="shared" si="41"/>
        <v/>
      </c>
      <c r="M892" s="1">
        <f>IF(OR(Table1[[#This Row],[Std Nom]]="",Table1[[#This Row],[Std Read]]=""),0,Table1[[#This Row],[Std Nom]]-Table1[[#This Row],[Std Read]])</f>
        <v>0</v>
      </c>
      <c r="N892" s="1">
        <f>IF(Calculations!$F$5="ACCREDITED 17025 WITH UNCERTAINTIES",$N$10,0)</f>
        <v>0</v>
      </c>
      <c r="O892" s="1" t="str">
        <f>IFERROR(Table1[[#This Row],[Std Nom]]-(_xlfn.XLOOKUP(Table1[[#This Row],[Manufacturer]]&amp;" "&amp;Table1[[#This Row],[Model]],Table13[MFR &amp; MDL],Table13[Tolerance % CW ],"")/100*Table1[[#This Row],[Std Nom]]),"")</f>
        <v/>
      </c>
      <c r="P892" s="1" t="str">
        <f>IFERROR(Table1[[#This Row],[Std Nom]]+(_xlfn.XLOOKUP(Table1[[#This Row],[Manufacturer]]&amp;" "&amp;Table1[[#This Row],[Model]],Table13[MFR &amp; MDL],Table13[Tolerance % CW ],"")/100*Table1[[#This Row],[Std Nom]]),"")</f>
        <v/>
      </c>
      <c r="Q892" s="1" t="e">
        <f>Table1[[#This Row],[High Tol]]-Table1[[#This Row],[Low Tol]]</f>
        <v>#VALUE!</v>
      </c>
      <c r="R892" s="1">
        <f>2*Table1[[#This Row],[Std Error]]</f>
        <v>0</v>
      </c>
      <c r="S892" s="1" t="str">
        <f>IF(Table1[[#This Row],[High Tol]]="","N/A",IFERROR(ABS(Table1[[#This Row],[Tol Span]]/Table1[[#This Row],[Error Span]]),"N/A"))</f>
        <v>N/A</v>
      </c>
      <c r="T892" s="1" t="str">
        <f>IF(OR(Table1[[#This Row],[Low Tol]]="",Table1[[#This Row],[High Tol]]=""),"Needs Analysis",IF(Table1[[#This Row],[Ratio]]&gt;=4,"Not Significant",IF(Table1[[#This Row],[Ratio]]&gt;=2,"Semi-Significant","Significant")))</f>
        <v>Needs Analysis</v>
      </c>
      <c r="W892" s="1">
        <f>IF(Table1[[#This Row],[Cal Type]]&lt;&gt;"ACCREDITED 17025 WITH UNCERTAINTIES",0,"")</f>
        <v>0</v>
      </c>
      <c r="X892" s="1" t="str">
        <f>IF(Table1[[#This Row],[DUT Read]]="","N/A",Table1[[#This Row],[Std Error]]+Table1[[#This Row],[DUT Read]]+Table1[[#This Row],[DUT Ucty]])</f>
        <v>N/A</v>
      </c>
      <c r="Y892" s="1" t="str">
        <f>IF(Table1[[#This Row],[Std Read]]="","N/A",Table1[[#This Row],[Std Read]]+Table1[[#This Row],[Std Ucty]])</f>
        <v>N/A</v>
      </c>
      <c r="Z8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2" s="1" t="str">
        <f>IF(Table1[[#This Row],[Spec Type]]="","N/A",Table1[[#This Row],[Spec Type]])</f>
        <v>±</v>
      </c>
      <c r="AC892" s="1" t="str">
        <f>IF(Table1[[#This Row],[Spec Type2]]="N/A","N/A",IF(AND(Table1[[#This Row],[DUT Adj Read]]&gt;=Table1[[#This Row],[Low Tol]],Table1[[#This Row],[DUT Adj Read]]&lt;=Table1[[#This Row],[High Tol]]),"Pass","Fail"))</f>
        <v>Fail</v>
      </c>
      <c r="AD892" s="1" t="str">
        <f>IF(AND(Table1[[#This Row],[Spec Type2]]="N/A",Table1[[#This Row],[DUT Adj Read]]="N/A",Table1[[#This Row],[Std Adj Read]]="N/A"),"N/A",IF(Table1[[#This Row],[DUT Adj Read]]="N/A",IF(Table1[[#This Row],[Std Adj Read]]&gt;Table1[[#This Row],[Low Tol]],"Pass","Fail"),IF(Table1[[#This Row],[DUT Adj Read]]&gt;Table1[[#This Row],[Low Tol]],"Pass","Fail")))</f>
        <v>Pass</v>
      </c>
      <c r="AE892" s="1" t="str">
        <f>IF(AND(Table1[[#This Row],[Spec Type2]]="N/A",Table1[[#This Row],[DUT Adj Read]]="N/A",Table1[[#This Row],[Std Adj Read]]="N/A"),"N/A",IF(Table1[[#This Row],[DUT Adj Read]]="N/A",IF(Table1[[#This Row],[Std Adj Read]]&lt;Table1[[#This Row],[High Tol]],"Pass","Fail"),IF(Table1[[#This Row],[DUT Adj Read]]&lt;Table1[[#This Row],[High Tol]],"Pass","Fail")))</f>
        <v>Fail</v>
      </c>
      <c r="AF892" s="1" t="str">
        <f>IF(AND(Table1[[#This Row],[Spec Type2]]="N/A",Table1[[#This Row],[DUT Adj Read]]="N/A",Table1[[#This Row],[Std Adj Read]]="N/A"),"N/A",IF(Table1[[#This Row],[DUT Adj Read]]="N/A",IF(Table1[[#This Row],[Std Adj Read]]&gt;=Table1[[#This Row],[Low Tol]],"Pass","Fail"),IF(Table1[[#This Row],[DUT Adj Read]]&gt;=Table1[[#This Row],[Low Tol]],"Pass","Fail")))</f>
        <v>Pass</v>
      </c>
      <c r="AG892" s="1" t="str">
        <f>IF(AND(Table1[[#This Row],[Spec Type2]]="N/A",Table1[[#This Row],[DUT Adj Read]]="N/A",Table1[[#This Row],[Std Adj Read]]="N/A"),"N/A",IF(Table1[[#This Row],[DUT Adj Read]]="N/A",IF(Table1[[#This Row],[Std Adj Read]]&lt;=Table1[[#This Row],[High Tol]],"Pass","Fail"),IF(Table1[[#This Row],[DUT Adj Read]]&lt;=Table1[[#This Row],[High Tol]],"Pass","Fail")))</f>
        <v>Fail</v>
      </c>
      <c r="AH8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2" s="1" t="b">
        <v>0</v>
      </c>
      <c r="AN892" s="1" t="b">
        <v>0</v>
      </c>
      <c r="AO892" s="1" t="b">
        <v>0</v>
      </c>
    </row>
    <row r="893" spans="1:41" x14ac:dyDescent="0.25">
      <c r="A893" s="10"/>
      <c r="B893" s="10"/>
      <c r="C893" s="10"/>
      <c r="D893" s="10"/>
      <c r="E893" s="10"/>
      <c r="F893" s="10"/>
      <c r="G893" s="10"/>
      <c r="H893" s="10"/>
      <c r="I893" s="1" t="str">
        <f t="shared" si="39"/>
        <v/>
      </c>
      <c r="J893" s="1" t="s">
        <v>35</v>
      </c>
      <c r="K893" s="1" t="str">
        <f t="shared" si="40"/>
        <v/>
      </c>
      <c r="L893" s="1" t="str">
        <f t="shared" si="41"/>
        <v/>
      </c>
      <c r="M893" s="1">
        <f>IF(OR(Table1[[#This Row],[Std Nom]]="",Table1[[#This Row],[Std Read]]=""),0,Table1[[#This Row],[Std Nom]]-Table1[[#This Row],[Std Read]])</f>
        <v>0</v>
      </c>
      <c r="N893" s="1">
        <f>IF(Calculations!$F$5="ACCREDITED 17025 WITH UNCERTAINTIES",$N$10,0)</f>
        <v>0</v>
      </c>
      <c r="O893" s="1" t="str">
        <f>IFERROR(Table1[[#This Row],[Std Nom]]-(_xlfn.XLOOKUP(Table1[[#This Row],[Manufacturer]]&amp;" "&amp;Table1[[#This Row],[Model]],Table13[MFR &amp; MDL],Table13[Tolerance % CW ],"")/100*Table1[[#This Row],[Std Nom]]),"")</f>
        <v/>
      </c>
      <c r="P893" s="1" t="str">
        <f>IFERROR(Table1[[#This Row],[Std Nom]]+(_xlfn.XLOOKUP(Table1[[#This Row],[Manufacturer]]&amp;" "&amp;Table1[[#This Row],[Model]],Table13[MFR &amp; MDL],Table13[Tolerance % CW ],"")/100*Table1[[#This Row],[Std Nom]]),"")</f>
        <v/>
      </c>
      <c r="Q893" s="1" t="e">
        <f>Table1[[#This Row],[High Tol]]-Table1[[#This Row],[Low Tol]]</f>
        <v>#VALUE!</v>
      </c>
      <c r="R893" s="1">
        <f>2*Table1[[#This Row],[Std Error]]</f>
        <v>0</v>
      </c>
      <c r="S893" s="1" t="str">
        <f>IF(Table1[[#This Row],[High Tol]]="","N/A",IFERROR(ABS(Table1[[#This Row],[Tol Span]]/Table1[[#This Row],[Error Span]]),"N/A"))</f>
        <v>N/A</v>
      </c>
      <c r="T893" s="1" t="str">
        <f>IF(OR(Table1[[#This Row],[Low Tol]]="",Table1[[#This Row],[High Tol]]=""),"Needs Analysis",IF(Table1[[#This Row],[Ratio]]&gt;=4,"Not Significant",IF(Table1[[#This Row],[Ratio]]&gt;=2,"Semi-Significant","Significant")))</f>
        <v>Needs Analysis</v>
      </c>
      <c r="W893" s="1">
        <f>IF(Table1[[#This Row],[Cal Type]]&lt;&gt;"ACCREDITED 17025 WITH UNCERTAINTIES",0,"")</f>
        <v>0</v>
      </c>
      <c r="X893" s="1" t="str">
        <f>IF(Table1[[#This Row],[DUT Read]]="","N/A",Table1[[#This Row],[Std Error]]+Table1[[#This Row],[DUT Read]]+Table1[[#This Row],[DUT Ucty]])</f>
        <v>N/A</v>
      </c>
      <c r="Y893" s="1" t="str">
        <f>IF(Table1[[#This Row],[Std Read]]="","N/A",Table1[[#This Row],[Std Read]]+Table1[[#This Row],[Std Ucty]])</f>
        <v>N/A</v>
      </c>
      <c r="Z8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3" s="1" t="str">
        <f>IF(Table1[[#This Row],[Spec Type]]="","N/A",Table1[[#This Row],[Spec Type]])</f>
        <v>±</v>
      </c>
      <c r="AC893" s="1" t="str">
        <f>IF(Table1[[#This Row],[Spec Type2]]="N/A","N/A",IF(AND(Table1[[#This Row],[DUT Adj Read]]&gt;=Table1[[#This Row],[Low Tol]],Table1[[#This Row],[DUT Adj Read]]&lt;=Table1[[#This Row],[High Tol]]),"Pass","Fail"))</f>
        <v>Fail</v>
      </c>
      <c r="AD893" s="1" t="str">
        <f>IF(AND(Table1[[#This Row],[Spec Type2]]="N/A",Table1[[#This Row],[DUT Adj Read]]="N/A",Table1[[#This Row],[Std Adj Read]]="N/A"),"N/A",IF(Table1[[#This Row],[DUT Adj Read]]="N/A",IF(Table1[[#This Row],[Std Adj Read]]&gt;Table1[[#This Row],[Low Tol]],"Pass","Fail"),IF(Table1[[#This Row],[DUT Adj Read]]&gt;Table1[[#This Row],[Low Tol]],"Pass","Fail")))</f>
        <v>Pass</v>
      </c>
      <c r="AE893" s="1" t="str">
        <f>IF(AND(Table1[[#This Row],[Spec Type2]]="N/A",Table1[[#This Row],[DUT Adj Read]]="N/A",Table1[[#This Row],[Std Adj Read]]="N/A"),"N/A",IF(Table1[[#This Row],[DUT Adj Read]]="N/A",IF(Table1[[#This Row],[Std Adj Read]]&lt;Table1[[#This Row],[High Tol]],"Pass","Fail"),IF(Table1[[#This Row],[DUT Adj Read]]&lt;Table1[[#This Row],[High Tol]],"Pass","Fail")))</f>
        <v>Fail</v>
      </c>
      <c r="AF893" s="1" t="str">
        <f>IF(AND(Table1[[#This Row],[Spec Type2]]="N/A",Table1[[#This Row],[DUT Adj Read]]="N/A",Table1[[#This Row],[Std Adj Read]]="N/A"),"N/A",IF(Table1[[#This Row],[DUT Adj Read]]="N/A",IF(Table1[[#This Row],[Std Adj Read]]&gt;=Table1[[#This Row],[Low Tol]],"Pass","Fail"),IF(Table1[[#This Row],[DUT Adj Read]]&gt;=Table1[[#This Row],[Low Tol]],"Pass","Fail")))</f>
        <v>Pass</v>
      </c>
      <c r="AG893" s="1" t="str">
        <f>IF(AND(Table1[[#This Row],[Spec Type2]]="N/A",Table1[[#This Row],[DUT Adj Read]]="N/A",Table1[[#This Row],[Std Adj Read]]="N/A"),"N/A",IF(Table1[[#This Row],[DUT Adj Read]]="N/A",IF(Table1[[#This Row],[Std Adj Read]]&lt;=Table1[[#This Row],[High Tol]],"Pass","Fail"),IF(Table1[[#This Row],[DUT Adj Read]]&lt;=Table1[[#This Row],[High Tol]],"Pass","Fail")))</f>
        <v>Fail</v>
      </c>
      <c r="AH8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3" s="1" t="b">
        <v>0</v>
      </c>
      <c r="AN893" s="1" t="b">
        <v>0</v>
      </c>
      <c r="AO893" s="1" t="b">
        <v>0</v>
      </c>
    </row>
    <row r="894" spans="1:41" x14ac:dyDescent="0.25">
      <c r="A894" s="10"/>
      <c r="B894" s="10"/>
      <c r="C894" s="10"/>
      <c r="D894" s="10"/>
      <c r="E894" s="10"/>
      <c r="F894" s="10"/>
      <c r="G894" s="10"/>
      <c r="H894" s="10"/>
      <c r="I894" s="1" t="str">
        <f t="shared" si="39"/>
        <v/>
      </c>
      <c r="J894" s="1" t="s">
        <v>35</v>
      </c>
      <c r="K894" s="1" t="str">
        <f t="shared" si="40"/>
        <v/>
      </c>
      <c r="L894" s="1" t="str">
        <f t="shared" si="41"/>
        <v/>
      </c>
      <c r="M894" s="1">
        <f>IF(OR(Table1[[#This Row],[Std Nom]]="",Table1[[#This Row],[Std Read]]=""),0,Table1[[#This Row],[Std Nom]]-Table1[[#This Row],[Std Read]])</f>
        <v>0</v>
      </c>
      <c r="N894" s="1">
        <f>IF(Calculations!$F$5="ACCREDITED 17025 WITH UNCERTAINTIES",$N$10,0)</f>
        <v>0</v>
      </c>
      <c r="O894" s="1" t="str">
        <f>IFERROR(Table1[[#This Row],[Std Nom]]-(_xlfn.XLOOKUP(Table1[[#This Row],[Manufacturer]]&amp;" "&amp;Table1[[#This Row],[Model]],Table13[MFR &amp; MDL],Table13[Tolerance % CW ],"")/100*Table1[[#This Row],[Std Nom]]),"")</f>
        <v/>
      </c>
      <c r="P894" s="1" t="str">
        <f>IFERROR(Table1[[#This Row],[Std Nom]]+(_xlfn.XLOOKUP(Table1[[#This Row],[Manufacturer]]&amp;" "&amp;Table1[[#This Row],[Model]],Table13[MFR &amp; MDL],Table13[Tolerance % CW ],"")/100*Table1[[#This Row],[Std Nom]]),"")</f>
        <v/>
      </c>
      <c r="Q894" s="1" t="e">
        <f>Table1[[#This Row],[High Tol]]-Table1[[#This Row],[Low Tol]]</f>
        <v>#VALUE!</v>
      </c>
      <c r="R894" s="1">
        <f>2*Table1[[#This Row],[Std Error]]</f>
        <v>0</v>
      </c>
      <c r="S894" s="1" t="str">
        <f>IF(Table1[[#This Row],[High Tol]]="","N/A",IFERROR(ABS(Table1[[#This Row],[Tol Span]]/Table1[[#This Row],[Error Span]]),"N/A"))</f>
        <v>N/A</v>
      </c>
      <c r="T894" s="1" t="str">
        <f>IF(OR(Table1[[#This Row],[Low Tol]]="",Table1[[#This Row],[High Tol]]=""),"Needs Analysis",IF(Table1[[#This Row],[Ratio]]&gt;=4,"Not Significant",IF(Table1[[#This Row],[Ratio]]&gt;=2,"Semi-Significant","Significant")))</f>
        <v>Needs Analysis</v>
      </c>
      <c r="W894" s="1">
        <f>IF(Table1[[#This Row],[Cal Type]]&lt;&gt;"ACCREDITED 17025 WITH UNCERTAINTIES",0,"")</f>
        <v>0</v>
      </c>
      <c r="X894" s="1" t="str">
        <f>IF(Table1[[#This Row],[DUT Read]]="","N/A",Table1[[#This Row],[Std Error]]+Table1[[#This Row],[DUT Read]]+Table1[[#This Row],[DUT Ucty]])</f>
        <v>N/A</v>
      </c>
      <c r="Y894" s="1" t="str">
        <f>IF(Table1[[#This Row],[Std Read]]="","N/A",Table1[[#This Row],[Std Read]]+Table1[[#This Row],[Std Ucty]])</f>
        <v>N/A</v>
      </c>
      <c r="Z8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4" s="1" t="str">
        <f>IF(Table1[[#This Row],[Spec Type]]="","N/A",Table1[[#This Row],[Spec Type]])</f>
        <v>±</v>
      </c>
      <c r="AC894" s="1" t="str">
        <f>IF(Table1[[#This Row],[Spec Type2]]="N/A","N/A",IF(AND(Table1[[#This Row],[DUT Adj Read]]&gt;=Table1[[#This Row],[Low Tol]],Table1[[#This Row],[DUT Adj Read]]&lt;=Table1[[#This Row],[High Tol]]),"Pass","Fail"))</f>
        <v>Fail</v>
      </c>
      <c r="AD894" s="1" t="str">
        <f>IF(AND(Table1[[#This Row],[Spec Type2]]="N/A",Table1[[#This Row],[DUT Adj Read]]="N/A",Table1[[#This Row],[Std Adj Read]]="N/A"),"N/A",IF(Table1[[#This Row],[DUT Adj Read]]="N/A",IF(Table1[[#This Row],[Std Adj Read]]&gt;Table1[[#This Row],[Low Tol]],"Pass","Fail"),IF(Table1[[#This Row],[DUT Adj Read]]&gt;Table1[[#This Row],[Low Tol]],"Pass","Fail")))</f>
        <v>Pass</v>
      </c>
      <c r="AE894" s="1" t="str">
        <f>IF(AND(Table1[[#This Row],[Spec Type2]]="N/A",Table1[[#This Row],[DUT Adj Read]]="N/A",Table1[[#This Row],[Std Adj Read]]="N/A"),"N/A",IF(Table1[[#This Row],[DUT Adj Read]]="N/A",IF(Table1[[#This Row],[Std Adj Read]]&lt;Table1[[#This Row],[High Tol]],"Pass","Fail"),IF(Table1[[#This Row],[DUT Adj Read]]&lt;Table1[[#This Row],[High Tol]],"Pass","Fail")))</f>
        <v>Fail</v>
      </c>
      <c r="AF894" s="1" t="str">
        <f>IF(AND(Table1[[#This Row],[Spec Type2]]="N/A",Table1[[#This Row],[DUT Adj Read]]="N/A",Table1[[#This Row],[Std Adj Read]]="N/A"),"N/A",IF(Table1[[#This Row],[DUT Adj Read]]="N/A",IF(Table1[[#This Row],[Std Adj Read]]&gt;=Table1[[#This Row],[Low Tol]],"Pass","Fail"),IF(Table1[[#This Row],[DUT Adj Read]]&gt;=Table1[[#This Row],[Low Tol]],"Pass","Fail")))</f>
        <v>Pass</v>
      </c>
      <c r="AG894" s="1" t="str">
        <f>IF(AND(Table1[[#This Row],[Spec Type2]]="N/A",Table1[[#This Row],[DUT Adj Read]]="N/A",Table1[[#This Row],[Std Adj Read]]="N/A"),"N/A",IF(Table1[[#This Row],[DUT Adj Read]]="N/A",IF(Table1[[#This Row],[Std Adj Read]]&lt;=Table1[[#This Row],[High Tol]],"Pass","Fail"),IF(Table1[[#This Row],[DUT Adj Read]]&lt;=Table1[[#This Row],[High Tol]],"Pass","Fail")))</f>
        <v>Fail</v>
      </c>
      <c r="AH8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4" s="1" t="b">
        <v>0</v>
      </c>
      <c r="AN894" s="1" t="b">
        <v>0</v>
      </c>
      <c r="AO894" s="1" t="b">
        <v>0</v>
      </c>
    </row>
    <row r="895" spans="1:41" x14ac:dyDescent="0.25">
      <c r="A895" s="10"/>
      <c r="B895" s="10"/>
      <c r="C895" s="10"/>
      <c r="D895" s="10"/>
      <c r="E895" s="10"/>
      <c r="F895" s="10"/>
      <c r="G895" s="10"/>
      <c r="H895" s="10"/>
      <c r="I895" s="1" t="str">
        <f t="shared" si="39"/>
        <v/>
      </c>
      <c r="J895" s="1" t="s">
        <v>35</v>
      </c>
      <c r="K895" s="1" t="str">
        <f t="shared" si="40"/>
        <v/>
      </c>
      <c r="L895" s="1" t="str">
        <f t="shared" si="41"/>
        <v/>
      </c>
      <c r="M895" s="1">
        <f>IF(OR(Table1[[#This Row],[Std Nom]]="",Table1[[#This Row],[Std Read]]=""),0,Table1[[#This Row],[Std Nom]]-Table1[[#This Row],[Std Read]])</f>
        <v>0</v>
      </c>
      <c r="N895" s="1">
        <f>IF(Calculations!$F$5="ACCREDITED 17025 WITH UNCERTAINTIES",$N$10,0)</f>
        <v>0</v>
      </c>
      <c r="O895" s="1" t="str">
        <f>IFERROR(Table1[[#This Row],[Std Nom]]-(_xlfn.XLOOKUP(Table1[[#This Row],[Manufacturer]]&amp;" "&amp;Table1[[#This Row],[Model]],Table13[MFR &amp; MDL],Table13[Tolerance % CW ],"")/100*Table1[[#This Row],[Std Nom]]),"")</f>
        <v/>
      </c>
      <c r="P895" s="1" t="str">
        <f>IFERROR(Table1[[#This Row],[Std Nom]]+(_xlfn.XLOOKUP(Table1[[#This Row],[Manufacturer]]&amp;" "&amp;Table1[[#This Row],[Model]],Table13[MFR &amp; MDL],Table13[Tolerance % CW ],"")/100*Table1[[#This Row],[Std Nom]]),"")</f>
        <v/>
      </c>
      <c r="Q895" s="1" t="e">
        <f>Table1[[#This Row],[High Tol]]-Table1[[#This Row],[Low Tol]]</f>
        <v>#VALUE!</v>
      </c>
      <c r="R895" s="1">
        <f>2*Table1[[#This Row],[Std Error]]</f>
        <v>0</v>
      </c>
      <c r="S895" s="1" t="str">
        <f>IF(Table1[[#This Row],[High Tol]]="","N/A",IFERROR(ABS(Table1[[#This Row],[Tol Span]]/Table1[[#This Row],[Error Span]]),"N/A"))</f>
        <v>N/A</v>
      </c>
      <c r="T895" s="1" t="str">
        <f>IF(OR(Table1[[#This Row],[Low Tol]]="",Table1[[#This Row],[High Tol]]=""),"Needs Analysis",IF(Table1[[#This Row],[Ratio]]&gt;=4,"Not Significant",IF(Table1[[#This Row],[Ratio]]&gt;=2,"Semi-Significant","Significant")))</f>
        <v>Needs Analysis</v>
      </c>
      <c r="W895" s="1">
        <f>IF(Table1[[#This Row],[Cal Type]]&lt;&gt;"ACCREDITED 17025 WITH UNCERTAINTIES",0,"")</f>
        <v>0</v>
      </c>
      <c r="X895" s="1" t="str">
        <f>IF(Table1[[#This Row],[DUT Read]]="","N/A",Table1[[#This Row],[Std Error]]+Table1[[#This Row],[DUT Read]]+Table1[[#This Row],[DUT Ucty]])</f>
        <v>N/A</v>
      </c>
      <c r="Y895" s="1" t="str">
        <f>IF(Table1[[#This Row],[Std Read]]="","N/A",Table1[[#This Row],[Std Read]]+Table1[[#This Row],[Std Ucty]])</f>
        <v>N/A</v>
      </c>
      <c r="Z8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5" s="1" t="str">
        <f>IF(Table1[[#This Row],[Spec Type]]="","N/A",Table1[[#This Row],[Spec Type]])</f>
        <v>±</v>
      </c>
      <c r="AC895" s="1" t="str">
        <f>IF(Table1[[#This Row],[Spec Type2]]="N/A","N/A",IF(AND(Table1[[#This Row],[DUT Adj Read]]&gt;=Table1[[#This Row],[Low Tol]],Table1[[#This Row],[DUT Adj Read]]&lt;=Table1[[#This Row],[High Tol]]),"Pass","Fail"))</f>
        <v>Fail</v>
      </c>
      <c r="AD895" s="1" t="str">
        <f>IF(AND(Table1[[#This Row],[Spec Type2]]="N/A",Table1[[#This Row],[DUT Adj Read]]="N/A",Table1[[#This Row],[Std Adj Read]]="N/A"),"N/A",IF(Table1[[#This Row],[DUT Adj Read]]="N/A",IF(Table1[[#This Row],[Std Adj Read]]&gt;Table1[[#This Row],[Low Tol]],"Pass","Fail"),IF(Table1[[#This Row],[DUT Adj Read]]&gt;Table1[[#This Row],[Low Tol]],"Pass","Fail")))</f>
        <v>Pass</v>
      </c>
      <c r="AE895" s="1" t="str">
        <f>IF(AND(Table1[[#This Row],[Spec Type2]]="N/A",Table1[[#This Row],[DUT Adj Read]]="N/A",Table1[[#This Row],[Std Adj Read]]="N/A"),"N/A",IF(Table1[[#This Row],[DUT Adj Read]]="N/A",IF(Table1[[#This Row],[Std Adj Read]]&lt;Table1[[#This Row],[High Tol]],"Pass","Fail"),IF(Table1[[#This Row],[DUT Adj Read]]&lt;Table1[[#This Row],[High Tol]],"Pass","Fail")))</f>
        <v>Fail</v>
      </c>
      <c r="AF895" s="1" t="str">
        <f>IF(AND(Table1[[#This Row],[Spec Type2]]="N/A",Table1[[#This Row],[DUT Adj Read]]="N/A",Table1[[#This Row],[Std Adj Read]]="N/A"),"N/A",IF(Table1[[#This Row],[DUT Adj Read]]="N/A",IF(Table1[[#This Row],[Std Adj Read]]&gt;=Table1[[#This Row],[Low Tol]],"Pass","Fail"),IF(Table1[[#This Row],[DUT Adj Read]]&gt;=Table1[[#This Row],[Low Tol]],"Pass","Fail")))</f>
        <v>Pass</v>
      </c>
      <c r="AG895" s="1" t="str">
        <f>IF(AND(Table1[[#This Row],[Spec Type2]]="N/A",Table1[[#This Row],[DUT Adj Read]]="N/A",Table1[[#This Row],[Std Adj Read]]="N/A"),"N/A",IF(Table1[[#This Row],[DUT Adj Read]]="N/A",IF(Table1[[#This Row],[Std Adj Read]]&lt;=Table1[[#This Row],[High Tol]],"Pass","Fail"),IF(Table1[[#This Row],[DUT Adj Read]]&lt;=Table1[[#This Row],[High Tol]],"Pass","Fail")))</f>
        <v>Fail</v>
      </c>
      <c r="AH8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5" s="1" t="b">
        <v>0</v>
      </c>
      <c r="AN895" s="1" t="b">
        <v>0</v>
      </c>
      <c r="AO895" s="1" t="b">
        <v>0</v>
      </c>
    </row>
    <row r="896" spans="1:41" x14ac:dyDescent="0.25">
      <c r="A896" s="10"/>
      <c r="B896" s="10"/>
      <c r="C896" s="10"/>
      <c r="D896" s="10"/>
      <c r="E896" s="10"/>
      <c r="F896" s="10"/>
      <c r="G896" s="10"/>
      <c r="H896" s="10"/>
      <c r="I896" s="1" t="str">
        <f t="shared" si="39"/>
        <v/>
      </c>
      <c r="J896" s="1" t="s">
        <v>35</v>
      </c>
      <c r="K896" s="1" t="str">
        <f t="shared" si="40"/>
        <v/>
      </c>
      <c r="L896" s="1" t="str">
        <f t="shared" si="41"/>
        <v/>
      </c>
      <c r="M896" s="1">
        <f>IF(OR(Table1[[#This Row],[Std Nom]]="",Table1[[#This Row],[Std Read]]=""),0,Table1[[#This Row],[Std Nom]]-Table1[[#This Row],[Std Read]])</f>
        <v>0</v>
      </c>
      <c r="N896" s="1">
        <f>IF(Calculations!$F$5="ACCREDITED 17025 WITH UNCERTAINTIES",$N$10,0)</f>
        <v>0</v>
      </c>
      <c r="O896" s="1" t="str">
        <f>IFERROR(Table1[[#This Row],[Std Nom]]-(_xlfn.XLOOKUP(Table1[[#This Row],[Manufacturer]]&amp;" "&amp;Table1[[#This Row],[Model]],Table13[MFR &amp; MDL],Table13[Tolerance % CW ],"")/100*Table1[[#This Row],[Std Nom]]),"")</f>
        <v/>
      </c>
      <c r="P896" s="1" t="str">
        <f>IFERROR(Table1[[#This Row],[Std Nom]]+(_xlfn.XLOOKUP(Table1[[#This Row],[Manufacturer]]&amp;" "&amp;Table1[[#This Row],[Model]],Table13[MFR &amp; MDL],Table13[Tolerance % CW ],"")/100*Table1[[#This Row],[Std Nom]]),"")</f>
        <v/>
      </c>
      <c r="Q896" s="1" t="e">
        <f>Table1[[#This Row],[High Tol]]-Table1[[#This Row],[Low Tol]]</f>
        <v>#VALUE!</v>
      </c>
      <c r="R896" s="1">
        <f>2*Table1[[#This Row],[Std Error]]</f>
        <v>0</v>
      </c>
      <c r="S896" s="1" t="str">
        <f>IF(Table1[[#This Row],[High Tol]]="","N/A",IFERROR(ABS(Table1[[#This Row],[Tol Span]]/Table1[[#This Row],[Error Span]]),"N/A"))</f>
        <v>N/A</v>
      </c>
      <c r="T896" s="1" t="str">
        <f>IF(OR(Table1[[#This Row],[Low Tol]]="",Table1[[#This Row],[High Tol]]=""),"Needs Analysis",IF(Table1[[#This Row],[Ratio]]&gt;=4,"Not Significant",IF(Table1[[#This Row],[Ratio]]&gt;=2,"Semi-Significant","Significant")))</f>
        <v>Needs Analysis</v>
      </c>
      <c r="W896" s="1">
        <f>IF(Table1[[#This Row],[Cal Type]]&lt;&gt;"ACCREDITED 17025 WITH UNCERTAINTIES",0,"")</f>
        <v>0</v>
      </c>
      <c r="X896" s="1" t="str">
        <f>IF(Table1[[#This Row],[DUT Read]]="","N/A",Table1[[#This Row],[Std Error]]+Table1[[#This Row],[DUT Read]]+Table1[[#This Row],[DUT Ucty]])</f>
        <v>N/A</v>
      </c>
      <c r="Y896" s="1" t="str">
        <f>IF(Table1[[#This Row],[Std Read]]="","N/A",Table1[[#This Row],[Std Read]]+Table1[[#This Row],[Std Ucty]])</f>
        <v>N/A</v>
      </c>
      <c r="Z8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6" s="1" t="str">
        <f>IF(Table1[[#This Row],[Spec Type]]="","N/A",Table1[[#This Row],[Spec Type]])</f>
        <v>±</v>
      </c>
      <c r="AC896" s="1" t="str">
        <f>IF(Table1[[#This Row],[Spec Type2]]="N/A","N/A",IF(AND(Table1[[#This Row],[DUT Adj Read]]&gt;=Table1[[#This Row],[Low Tol]],Table1[[#This Row],[DUT Adj Read]]&lt;=Table1[[#This Row],[High Tol]]),"Pass","Fail"))</f>
        <v>Fail</v>
      </c>
      <c r="AD896" s="1" t="str">
        <f>IF(AND(Table1[[#This Row],[Spec Type2]]="N/A",Table1[[#This Row],[DUT Adj Read]]="N/A",Table1[[#This Row],[Std Adj Read]]="N/A"),"N/A",IF(Table1[[#This Row],[DUT Adj Read]]="N/A",IF(Table1[[#This Row],[Std Adj Read]]&gt;Table1[[#This Row],[Low Tol]],"Pass","Fail"),IF(Table1[[#This Row],[DUT Adj Read]]&gt;Table1[[#This Row],[Low Tol]],"Pass","Fail")))</f>
        <v>Pass</v>
      </c>
      <c r="AE896" s="1" t="str">
        <f>IF(AND(Table1[[#This Row],[Spec Type2]]="N/A",Table1[[#This Row],[DUT Adj Read]]="N/A",Table1[[#This Row],[Std Adj Read]]="N/A"),"N/A",IF(Table1[[#This Row],[DUT Adj Read]]="N/A",IF(Table1[[#This Row],[Std Adj Read]]&lt;Table1[[#This Row],[High Tol]],"Pass","Fail"),IF(Table1[[#This Row],[DUT Adj Read]]&lt;Table1[[#This Row],[High Tol]],"Pass","Fail")))</f>
        <v>Fail</v>
      </c>
      <c r="AF896" s="1" t="str">
        <f>IF(AND(Table1[[#This Row],[Spec Type2]]="N/A",Table1[[#This Row],[DUT Adj Read]]="N/A",Table1[[#This Row],[Std Adj Read]]="N/A"),"N/A",IF(Table1[[#This Row],[DUT Adj Read]]="N/A",IF(Table1[[#This Row],[Std Adj Read]]&gt;=Table1[[#This Row],[Low Tol]],"Pass","Fail"),IF(Table1[[#This Row],[DUT Adj Read]]&gt;=Table1[[#This Row],[Low Tol]],"Pass","Fail")))</f>
        <v>Pass</v>
      </c>
      <c r="AG896" s="1" t="str">
        <f>IF(AND(Table1[[#This Row],[Spec Type2]]="N/A",Table1[[#This Row],[DUT Adj Read]]="N/A",Table1[[#This Row],[Std Adj Read]]="N/A"),"N/A",IF(Table1[[#This Row],[DUT Adj Read]]="N/A",IF(Table1[[#This Row],[Std Adj Read]]&lt;=Table1[[#This Row],[High Tol]],"Pass","Fail"),IF(Table1[[#This Row],[DUT Adj Read]]&lt;=Table1[[#This Row],[High Tol]],"Pass","Fail")))</f>
        <v>Fail</v>
      </c>
      <c r="AH8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6" s="1" t="b">
        <v>0</v>
      </c>
      <c r="AN896" s="1" t="b">
        <v>0</v>
      </c>
      <c r="AO896" s="1" t="b">
        <v>0</v>
      </c>
    </row>
    <row r="897" spans="1:41" x14ac:dyDescent="0.25">
      <c r="A897" s="10"/>
      <c r="B897" s="10"/>
      <c r="C897" s="10"/>
      <c r="D897" s="10"/>
      <c r="E897" s="10"/>
      <c r="F897" s="10"/>
      <c r="G897" s="10"/>
      <c r="H897" s="10"/>
      <c r="I897" s="1" t="str">
        <f t="shared" si="39"/>
        <v/>
      </c>
      <c r="J897" s="1" t="s">
        <v>35</v>
      </c>
      <c r="K897" s="1" t="str">
        <f t="shared" si="40"/>
        <v/>
      </c>
      <c r="L897" s="1" t="str">
        <f t="shared" si="41"/>
        <v/>
      </c>
      <c r="M897" s="1">
        <f>IF(OR(Table1[[#This Row],[Std Nom]]="",Table1[[#This Row],[Std Read]]=""),0,Table1[[#This Row],[Std Nom]]-Table1[[#This Row],[Std Read]])</f>
        <v>0</v>
      </c>
      <c r="N897" s="1">
        <f>IF(Calculations!$F$5="ACCREDITED 17025 WITH UNCERTAINTIES",$N$10,0)</f>
        <v>0</v>
      </c>
      <c r="O897" s="1" t="str">
        <f>IFERROR(Table1[[#This Row],[Std Nom]]-(_xlfn.XLOOKUP(Table1[[#This Row],[Manufacturer]]&amp;" "&amp;Table1[[#This Row],[Model]],Table13[MFR &amp; MDL],Table13[Tolerance % CW ],"")/100*Table1[[#This Row],[Std Nom]]),"")</f>
        <v/>
      </c>
      <c r="P897" s="1" t="str">
        <f>IFERROR(Table1[[#This Row],[Std Nom]]+(_xlfn.XLOOKUP(Table1[[#This Row],[Manufacturer]]&amp;" "&amp;Table1[[#This Row],[Model]],Table13[MFR &amp; MDL],Table13[Tolerance % CW ],"")/100*Table1[[#This Row],[Std Nom]]),"")</f>
        <v/>
      </c>
      <c r="Q897" s="1" t="e">
        <f>Table1[[#This Row],[High Tol]]-Table1[[#This Row],[Low Tol]]</f>
        <v>#VALUE!</v>
      </c>
      <c r="R897" s="1">
        <f>2*Table1[[#This Row],[Std Error]]</f>
        <v>0</v>
      </c>
      <c r="S897" s="1" t="str">
        <f>IF(Table1[[#This Row],[High Tol]]="","N/A",IFERROR(ABS(Table1[[#This Row],[Tol Span]]/Table1[[#This Row],[Error Span]]),"N/A"))</f>
        <v>N/A</v>
      </c>
      <c r="T897" s="1" t="str">
        <f>IF(OR(Table1[[#This Row],[Low Tol]]="",Table1[[#This Row],[High Tol]]=""),"Needs Analysis",IF(Table1[[#This Row],[Ratio]]&gt;=4,"Not Significant",IF(Table1[[#This Row],[Ratio]]&gt;=2,"Semi-Significant","Significant")))</f>
        <v>Needs Analysis</v>
      </c>
      <c r="W897" s="1">
        <f>IF(Table1[[#This Row],[Cal Type]]&lt;&gt;"ACCREDITED 17025 WITH UNCERTAINTIES",0,"")</f>
        <v>0</v>
      </c>
      <c r="X897" s="1" t="str">
        <f>IF(Table1[[#This Row],[DUT Read]]="","N/A",Table1[[#This Row],[Std Error]]+Table1[[#This Row],[DUT Read]]+Table1[[#This Row],[DUT Ucty]])</f>
        <v>N/A</v>
      </c>
      <c r="Y897" s="1" t="str">
        <f>IF(Table1[[#This Row],[Std Read]]="","N/A",Table1[[#This Row],[Std Read]]+Table1[[#This Row],[Std Ucty]])</f>
        <v>N/A</v>
      </c>
      <c r="Z8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7" s="1" t="str">
        <f>IF(Table1[[#This Row],[Spec Type]]="","N/A",Table1[[#This Row],[Spec Type]])</f>
        <v>±</v>
      </c>
      <c r="AC897" s="1" t="str">
        <f>IF(Table1[[#This Row],[Spec Type2]]="N/A","N/A",IF(AND(Table1[[#This Row],[DUT Adj Read]]&gt;=Table1[[#This Row],[Low Tol]],Table1[[#This Row],[DUT Adj Read]]&lt;=Table1[[#This Row],[High Tol]]),"Pass","Fail"))</f>
        <v>Fail</v>
      </c>
      <c r="AD897" s="1" t="str">
        <f>IF(AND(Table1[[#This Row],[Spec Type2]]="N/A",Table1[[#This Row],[DUT Adj Read]]="N/A",Table1[[#This Row],[Std Adj Read]]="N/A"),"N/A",IF(Table1[[#This Row],[DUT Adj Read]]="N/A",IF(Table1[[#This Row],[Std Adj Read]]&gt;Table1[[#This Row],[Low Tol]],"Pass","Fail"),IF(Table1[[#This Row],[DUT Adj Read]]&gt;Table1[[#This Row],[Low Tol]],"Pass","Fail")))</f>
        <v>Pass</v>
      </c>
      <c r="AE897" s="1" t="str">
        <f>IF(AND(Table1[[#This Row],[Spec Type2]]="N/A",Table1[[#This Row],[DUT Adj Read]]="N/A",Table1[[#This Row],[Std Adj Read]]="N/A"),"N/A",IF(Table1[[#This Row],[DUT Adj Read]]="N/A",IF(Table1[[#This Row],[Std Adj Read]]&lt;Table1[[#This Row],[High Tol]],"Pass","Fail"),IF(Table1[[#This Row],[DUT Adj Read]]&lt;Table1[[#This Row],[High Tol]],"Pass","Fail")))</f>
        <v>Fail</v>
      </c>
      <c r="AF897" s="1" t="str">
        <f>IF(AND(Table1[[#This Row],[Spec Type2]]="N/A",Table1[[#This Row],[DUT Adj Read]]="N/A",Table1[[#This Row],[Std Adj Read]]="N/A"),"N/A",IF(Table1[[#This Row],[DUT Adj Read]]="N/A",IF(Table1[[#This Row],[Std Adj Read]]&gt;=Table1[[#This Row],[Low Tol]],"Pass","Fail"),IF(Table1[[#This Row],[DUT Adj Read]]&gt;=Table1[[#This Row],[Low Tol]],"Pass","Fail")))</f>
        <v>Pass</v>
      </c>
      <c r="AG897" s="1" t="str">
        <f>IF(AND(Table1[[#This Row],[Spec Type2]]="N/A",Table1[[#This Row],[DUT Adj Read]]="N/A",Table1[[#This Row],[Std Adj Read]]="N/A"),"N/A",IF(Table1[[#This Row],[DUT Adj Read]]="N/A",IF(Table1[[#This Row],[Std Adj Read]]&lt;=Table1[[#This Row],[High Tol]],"Pass","Fail"),IF(Table1[[#This Row],[DUT Adj Read]]&lt;=Table1[[#This Row],[High Tol]],"Pass","Fail")))</f>
        <v>Fail</v>
      </c>
      <c r="AH8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7" s="1" t="b">
        <v>0</v>
      </c>
      <c r="AN897" s="1" t="b">
        <v>0</v>
      </c>
      <c r="AO897" s="1" t="b">
        <v>0</v>
      </c>
    </row>
    <row r="898" spans="1:41" x14ac:dyDescent="0.25">
      <c r="A898" s="10"/>
      <c r="B898" s="10"/>
      <c r="C898" s="10"/>
      <c r="D898" s="10"/>
      <c r="E898" s="10"/>
      <c r="F898" s="10"/>
      <c r="G898" s="10"/>
      <c r="H898" s="10"/>
      <c r="I898" s="1" t="str">
        <f t="shared" si="39"/>
        <v/>
      </c>
      <c r="J898" s="1" t="s">
        <v>35</v>
      </c>
      <c r="K898" s="1" t="str">
        <f t="shared" si="40"/>
        <v/>
      </c>
      <c r="L898" s="1" t="str">
        <f t="shared" si="41"/>
        <v/>
      </c>
      <c r="M898" s="1">
        <f>IF(OR(Table1[[#This Row],[Std Nom]]="",Table1[[#This Row],[Std Read]]=""),0,Table1[[#This Row],[Std Nom]]-Table1[[#This Row],[Std Read]])</f>
        <v>0</v>
      </c>
      <c r="N898" s="1">
        <f>IF(Calculations!$F$5="ACCREDITED 17025 WITH UNCERTAINTIES",$N$10,0)</f>
        <v>0</v>
      </c>
      <c r="O898" s="1" t="str">
        <f>IFERROR(Table1[[#This Row],[Std Nom]]-(_xlfn.XLOOKUP(Table1[[#This Row],[Manufacturer]]&amp;" "&amp;Table1[[#This Row],[Model]],Table13[MFR &amp; MDL],Table13[Tolerance % CW ],"")/100*Table1[[#This Row],[Std Nom]]),"")</f>
        <v/>
      </c>
      <c r="P898" s="1" t="str">
        <f>IFERROR(Table1[[#This Row],[Std Nom]]+(_xlfn.XLOOKUP(Table1[[#This Row],[Manufacturer]]&amp;" "&amp;Table1[[#This Row],[Model]],Table13[MFR &amp; MDL],Table13[Tolerance % CW ],"")/100*Table1[[#This Row],[Std Nom]]),"")</f>
        <v/>
      </c>
      <c r="Q898" s="1" t="e">
        <f>Table1[[#This Row],[High Tol]]-Table1[[#This Row],[Low Tol]]</f>
        <v>#VALUE!</v>
      </c>
      <c r="R898" s="1">
        <f>2*Table1[[#This Row],[Std Error]]</f>
        <v>0</v>
      </c>
      <c r="S898" s="1" t="str">
        <f>IF(Table1[[#This Row],[High Tol]]="","N/A",IFERROR(ABS(Table1[[#This Row],[Tol Span]]/Table1[[#This Row],[Error Span]]),"N/A"))</f>
        <v>N/A</v>
      </c>
      <c r="T898" s="1" t="str">
        <f>IF(OR(Table1[[#This Row],[Low Tol]]="",Table1[[#This Row],[High Tol]]=""),"Needs Analysis",IF(Table1[[#This Row],[Ratio]]&gt;=4,"Not Significant",IF(Table1[[#This Row],[Ratio]]&gt;=2,"Semi-Significant","Significant")))</f>
        <v>Needs Analysis</v>
      </c>
      <c r="W898" s="1">
        <f>IF(Table1[[#This Row],[Cal Type]]&lt;&gt;"ACCREDITED 17025 WITH UNCERTAINTIES",0,"")</f>
        <v>0</v>
      </c>
      <c r="X898" s="1" t="str">
        <f>IF(Table1[[#This Row],[DUT Read]]="","N/A",Table1[[#This Row],[Std Error]]+Table1[[#This Row],[DUT Read]]+Table1[[#This Row],[DUT Ucty]])</f>
        <v>N/A</v>
      </c>
      <c r="Y898" s="1" t="str">
        <f>IF(Table1[[#This Row],[Std Read]]="","N/A",Table1[[#This Row],[Std Read]]+Table1[[#This Row],[Std Ucty]])</f>
        <v>N/A</v>
      </c>
      <c r="Z8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8" s="1" t="str">
        <f>IF(Table1[[#This Row],[Spec Type]]="","N/A",Table1[[#This Row],[Spec Type]])</f>
        <v>±</v>
      </c>
      <c r="AC898" s="1" t="str">
        <f>IF(Table1[[#This Row],[Spec Type2]]="N/A","N/A",IF(AND(Table1[[#This Row],[DUT Adj Read]]&gt;=Table1[[#This Row],[Low Tol]],Table1[[#This Row],[DUT Adj Read]]&lt;=Table1[[#This Row],[High Tol]]),"Pass","Fail"))</f>
        <v>Fail</v>
      </c>
      <c r="AD898" s="1" t="str">
        <f>IF(AND(Table1[[#This Row],[Spec Type2]]="N/A",Table1[[#This Row],[DUT Adj Read]]="N/A",Table1[[#This Row],[Std Adj Read]]="N/A"),"N/A",IF(Table1[[#This Row],[DUT Adj Read]]="N/A",IF(Table1[[#This Row],[Std Adj Read]]&gt;Table1[[#This Row],[Low Tol]],"Pass","Fail"),IF(Table1[[#This Row],[DUT Adj Read]]&gt;Table1[[#This Row],[Low Tol]],"Pass","Fail")))</f>
        <v>Pass</v>
      </c>
      <c r="AE898" s="1" t="str">
        <f>IF(AND(Table1[[#This Row],[Spec Type2]]="N/A",Table1[[#This Row],[DUT Adj Read]]="N/A",Table1[[#This Row],[Std Adj Read]]="N/A"),"N/A",IF(Table1[[#This Row],[DUT Adj Read]]="N/A",IF(Table1[[#This Row],[Std Adj Read]]&lt;Table1[[#This Row],[High Tol]],"Pass","Fail"),IF(Table1[[#This Row],[DUT Adj Read]]&lt;Table1[[#This Row],[High Tol]],"Pass","Fail")))</f>
        <v>Fail</v>
      </c>
      <c r="AF898" s="1" t="str">
        <f>IF(AND(Table1[[#This Row],[Spec Type2]]="N/A",Table1[[#This Row],[DUT Adj Read]]="N/A",Table1[[#This Row],[Std Adj Read]]="N/A"),"N/A",IF(Table1[[#This Row],[DUT Adj Read]]="N/A",IF(Table1[[#This Row],[Std Adj Read]]&gt;=Table1[[#This Row],[Low Tol]],"Pass","Fail"),IF(Table1[[#This Row],[DUT Adj Read]]&gt;=Table1[[#This Row],[Low Tol]],"Pass","Fail")))</f>
        <v>Pass</v>
      </c>
      <c r="AG898" s="1" t="str">
        <f>IF(AND(Table1[[#This Row],[Spec Type2]]="N/A",Table1[[#This Row],[DUT Adj Read]]="N/A",Table1[[#This Row],[Std Adj Read]]="N/A"),"N/A",IF(Table1[[#This Row],[DUT Adj Read]]="N/A",IF(Table1[[#This Row],[Std Adj Read]]&lt;=Table1[[#This Row],[High Tol]],"Pass","Fail"),IF(Table1[[#This Row],[DUT Adj Read]]&lt;=Table1[[#This Row],[High Tol]],"Pass","Fail")))</f>
        <v>Fail</v>
      </c>
      <c r="AH8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8" s="1" t="b">
        <v>0</v>
      </c>
      <c r="AN898" s="1" t="b">
        <v>0</v>
      </c>
      <c r="AO898" s="1" t="b">
        <v>0</v>
      </c>
    </row>
    <row r="899" spans="1:41" x14ac:dyDescent="0.25">
      <c r="A899" s="10"/>
      <c r="B899" s="10"/>
      <c r="C899" s="10"/>
      <c r="D899" s="10"/>
      <c r="E899" s="10"/>
      <c r="F899" s="10"/>
      <c r="G899" s="10"/>
      <c r="H899" s="10"/>
      <c r="I899" s="1" t="str">
        <f t="shared" si="39"/>
        <v/>
      </c>
      <c r="J899" s="1" t="s">
        <v>35</v>
      </c>
      <c r="K899" s="1" t="str">
        <f t="shared" si="40"/>
        <v/>
      </c>
      <c r="L899" s="1" t="str">
        <f t="shared" si="41"/>
        <v/>
      </c>
      <c r="M899" s="1">
        <f>IF(OR(Table1[[#This Row],[Std Nom]]="",Table1[[#This Row],[Std Read]]=""),0,Table1[[#This Row],[Std Nom]]-Table1[[#This Row],[Std Read]])</f>
        <v>0</v>
      </c>
      <c r="N899" s="1">
        <f>IF(Calculations!$F$5="ACCREDITED 17025 WITH UNCERTAINTIES",$N$10,0)</f>
        <v>0</v>
      </c>
      <c r="O899" s="1" t="str">
        <f>IFERROR(Table1[[#This Row],[Std Nom]]-(_xlfn.XLOOKUP(Table1[[#This Row],[Manufacturer]]&amp;" "&amp;Table1[[#This Row],[Model]],Table13[MFR &amp; MDL],Table13[Tolerance % CW ],"")/100*Table1[[#This Row],[Std Nom]]),"")</f>
        <v/>
      </c>
      <c r="P899" s="1" t="str">
        <f>IFERROR(Table1[[#This Row],[Std Nom]]+(_xlfn.XLOOKUP(Table1[[#This Row],[Manufacturer]]&amp;" "&amp;Table1[[#This Row],[Model]],Table13[MFR &amp; MDL],Table13[Tolerance % CW ],"")/100*Table1[[#This Row],[Std Nom]]),"")</f>
        <v/>
      </c>
      <c r="Q899" s="1" t="e">
        <f>Table1[[#This Row],[High Tol]]-Table1[[#This Row],[Low Tol]]</f>
        <v>#VALUE!</v>
      </c>
      <c r="R899" s="1">
        <f>2*Table1[[#This Row],[Std Error]]</f>
        <v>0</v>
      </c>
      <c r="S899" s="1" t="str">
        <f>IF(Table1[[#This Row],[High Tol]]="","N/A",IFERROR(ABS(Table1[[#This Row],[Tol Span]]/Table1[[#This Row],[Error Span]]),"N/A"))</f>
        <v>N/A</v>
      </c>
      <c r="T899" s="1" t="str">
        <f>IF(OR(Table1[[#This Row],[Low Tol]]="",Table1[[#This Row],[High Tol]]=""),"Needs Analysis",IF(Table1[[#This Row],[Ratio]]&gt;=4,"Not Significant",IF(Table1[[#This Row],[Ratio]]&gt;=2,"Semi-Significant","Significant")))</f>
        <v>Needs Analysis</v>
      </c>
      <c r="W899" s="1">
        <f>IF(Table1[[#This Row],[Cal Type]]&lt;&gt;"ACCREDITED 17025 WITH UNCERTAINTIES",0,"")</f>
        <v>0</v>
      </c>
      <c r="X899" s="1" t="str">
        <f>IF(Table1[[#This Row],[DUT Read]]="","N/A",Table1[[#This Row],[Std Error]]+Table1[[#This Row],[DUT Read]]+Table1[[#This Row],[DUT Ucty]])</f>
        <v>N/A</v>
      </c>
      <c r="Y899" s="1" t="str">
        <f>IF(Table1[[#This Row],[Std Read]]="","N/A",Table1[[#This Row],[Std Read]]+Table1[[#This Row],[Std Ucty]])</f>
        <v>N/A</v>
      </c>
      <c r="Z8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9" s="1" t="str">
        <f>IF(Table1[[#This Row],[Spec Type]]="","N/A",Table1[[#This Row],[Spec Type]])</f>
        <v>±</v>
      </c>
      <c r="AC899" s="1" t="str">
        <f>IF(Table1[[#This Row],[Spec Type2]]="N/A","N/A",IF(AND(Table1[[#This Row],[DUT Adj Read]]&gt;=Table1[[#This Row],[Low Tol]],Table1[[#This Row],[DUT Adj Read]]&lt;=Table1[[#This Row],[High Tol]]),"Pass","Fail"))</f>
        <v>Fail</v>
      </c>
      <c r="AD899" s="1" t="str">
        <f>IF(AND(Table1[[#This Row],[Spec Type2]]="N/A",Table1[[#This Row],[DUT Adj Read]]="N/A",Table1[[#This Row],[Std Adj Read]]="N/A"),"N/A",IF(Table1[[#This Row],[DUT Adj Read]]="N/A",IF(Table1[[#This Row],[Std Adj Read]]&gt;Table1[[#This Row],[Low Tol]],"Pass","Fail"),IF(Table1[[#This Row],[DUT Adj Read]]&gt;Table1[[#This Row],[Low Tol]],"Pass","Fail")))</f>
        <v>Pass</v>
      </c>
      <c r="AE899" s="1" t="str">
        <f>IF(AND(Table1[[#This Row],[Spec Type2]]="N/A",Table1[[#This Row],[DUT Adj Read]]="N/A",Table1[[#This Row],[Std Adj Read]]="N/A"),"N/A",IF(Table1[[#This Row],[DUT Adj Read]]="N/A",IF(Table1[[#This Row],[Std Adj Read]]&lt;Table1[[#This Row],[High Tol]],"Pass","Fail"),IF(Table1[[#This Row],[DUT Adj Read]]&lt;Table1[[#This Row],[High Tol]],"Pass","Fail")))</f>
        <v>Fail</v>
      </c>
      <c r="AF899" s="1" t="str">
        <f>IF(AND(Table1[[#This Row],[Spec Type2]]="N/A",Table1[[#This Row],[DUT Adj Read]]="N/A",Table1[[#This Row],[Std Adj Read]]="N/A"),"N/A",IF(Table1[[#This Row],[DUT Adj Read]]="N/A",IF(Table1[[#This Row],[Std Adj Read]]&gt;=Table1[[#This Row],[Low Tol]],"Pass","Fail"),IF(Table1[[#This Row],[DUT Adj Read]]&gt;=Table1[[#This Row],[Low Tol]],"Pass","Fail")))</f>
        <v>Pass</v>
      </c>
      <c r="AG899" s="1" t="str">
        <f>IF(AND(Table1[[#This Row],[Spec Type2]]="N/A",Table1[[#This Row],[DUT Adj Read]]="N/A",Table1[[#This Row],[Std Adj Read]]="N/A"),"N/A",IF(Table1[[#This Row],[DUT Adj Read]]="N/A",IF(Table1[[#This Row],[Std Adj Read]]&lt;=Table1[[#This Row],[High Tol]],"Pass","Fail"),IF(Table1[[#This Row],[DUT Adj Read]]&lt;=Table1[[#This Row],[High Tol]],"Pass","Fail")))</f>
        <v>Fail</v>
      </c>
      <c r="AH8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9" s="1" t="b">
        <v>0</v>
      </c>
      <c r="AN899" s="1" t="b">
        <v>0</v>
      </c>
      <c r="AO899" s="1" t="b">
        <v>0</v>
      </c>
    </row>
    <row r="900" spans="1:41" x14ac:dyDescent="0.25">
      <c r="A900" s="10"/>
      <c r="B900" s="10"/>
      <c r="C900" s="10"/>
      <c r="D900" s="10"/>
      <c r="E900" s="10"/>
      <c r="F900" s="10"/>
      <c r="G900" s="10"/>
      <c r="H900" s="10"/>
      <c r="I900" s="1" t="str">
        <f t="shared" si="39"/>
        <v/>
      </c>
      <c r="J900" s="1" t="s">
        <v>35</v>
      </c>
      <c r="K900" s="1" t="str">
        <f t="shared" si="40"/>
        <v/>
      </c>
      <c r="L900" s="1" t="str">
        <f t="shared" si="41"/>
        <v/>
      </c>
      <c r="M900" s="1">
        <f>IF(OR(Table1[[#This Row],[Std Nom]]="",Table1[[#This Row],[Std Read]]=""),0,Table1[[#This Row],[Std Nom]]-Table1[[#This Row],[Std Read]])</f>
        <v>0</v>
      </c>
      <c r="N900" s="1">
        <f>IF(Calculations!$F$5="ACCREDITED 17025 WITH UNCERTAINTIES",$N$10,0)</f>
        <v>0</v>
      </c>
      <c r="O900" s="1" t="str">
        <f>IFERROR(Table1[[#This Row],[Std Nom]]-(_xlfn.XLOOKUP(Table1[[#This Row],[Manufacturer]]&amp;" "&amp;Table1[[#This Row],[Model]],Table13[MFR &amp; MDL],Table13[Tolerance % CW ],"")/100*Table1[[#This Row],[Std Nom]]),"")</f>
        <v/>
      </c>
      <c r="P900" s="1" t="str">
        <f>IFERROR(Table1[[#This Row],[Std Nom]]+(_xlfn.XLOOKUP(Table1[[#This Row],[Manufacturer]]&amp;" "&amp;Table1[[#This Row],[Model]],Table13[MFR &amp; MDL],Table13[Tolerance % CW ],"")/100*Table1[[#This Row],[Std Nom]]),"")</f>
        <v/>
      </c>
      <c r="Q900" s="1" t="e">
        <f>Table1[[#This Row],[High Tol]]-Table1[[#This Row],[Low Tol]]</f>
        <v>#VALUE!</v>
      </c>
      <c r="R900" s="1">
        <f>2*Table1[[#This Row],[Std Error]]</f>
        <v>0</v>
      </c>
      <c r="S900" s="1" t="str">
        <f>IF(Table1[[#This Row],[High Tol]]="","N/A",IFERROR(ABS(Table1[[#This Row],[Tol Span]]/Table1[[#This Row],[Error Span]]),"N/A"))</f>
        <v>N/A</v>
      </c>
      <c r="T900" s="1" t="str">
        <f>IF(OR(Table1[[#This Row],[Low Tol]]="",Table1[[#This Row],[High Tol]]=""),"Needs Analysis",IF(Table1[[#This Row],[Ratio]]&gt;=4,"Not Significant",IF(Table1[[#This Row],[Ratio]]&gt;=2,"Semi-Significant","Significant")))</f>
        <v>Needs Analysis</v>
      </c>
      <c r="W900" s="1">
        <f>IF(Table1[[#This Row],[Cal Type]]&lt;&gt;"ACCREDITED 17025 WITH UNCERTAINTIES",0,"")</f>
        <v>0</v>
      </c>
      <c r="X900" s="1" t="str">
        <f>IF(Table1[[#This Row],[DUT Read]]="","N/A",Table1[[#This Row],[Std Error]]+Table1[[#This Row],[DUT Read]]+Table1[[#This Row],[DUT Ucty]])</f>
        <v>N/A</v>
      </c>
      <c r="Y900" s="1" t="str">
        <f>IF(Table1[[#This Row],[Std Read]]="","N/A",Table1[[#This Row],[Std Read]]+Table1[[#This Row],[Std Ucty]])</f>
        <v>N/A</v>
      </c>
      <c r="Z9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0" s="1" t="str">
        <f>IF(Table1[[#This Row],[Spec Type]]="","N/A",Table1[[#This Row],[Spec Type]])</f>
        <v>±</v>
      </c>
      <c r="AC900" s="1" t="str">
        <f>IF(Table1[[#This Row],[Spec Type2]]="N/A","N/A",IF(AND(Table1[[#This Row],[DUT Adj Read]]&gt;=Table1[[#This Row],[Low Tol]],Table1[[#This Row],[DUT Adj Read]]&lt;=Table1[[#This Row],[High Tol]]),"Pass","Fail"))</f>
        <v>Fail</v>
      </c>
      <c r="AD900" s="1" t="str">
        <f>IF(AND(Table1[[#This Row],[Spec Type2]]="N/A",Table1[[#This Row],[DUT Adj Read]]="N/A",Table1[[#This Row],[Std Adj Read]]="N/A"),"N/A",IF(Table1[[#This Row],[DUT Adj Read]]="N/A",IF(Table1[[#This Row],[Std Adj Read]]&gt;Table1[[#This Row],[Low Tol]],"Pass","Fail"),IF(Table1[[#This Row],[DUT Adj Read]]&gt;Table1[[#This Row],[Low Tol]],"Pass","Fail")))</f>
        <v>Pass</v>
      </c>
      <c r="AE900" s="1" t="str">
        <f>IF(AND(Table1[[#This Row],[Spec Type2]]="N/A",Table1[[#This Row],[DUT Adj Read]]="N/A",Table1[[#This Row],[Std Adj Read]]="N/A"),"N/A",IF(Table1[[#This Row],[DUT Adj Read]]="N/A",IF(Table1[[#This Row],[Std Adj Read]]&lt;Table1[[#This Row],[High Tol]],"Pass","Fail"),IF(Table1[[#This Row],[DUT Adj Read]]&lt;Table1[[#This Row],[High Tol]],"Pass","Fail")))</f>
        <v>Fail</v>
      </c>
      <c r="AF900" s="1" t="str">
        <f>IF(AND(Table1[[#This Row],[Spec Type2]]="N/A",Table1[[#This Row],[DUT Adj Read]]="N/A",Table1[[#This Row],[Std Adj Read]]="N/A"),"N/A",IF(Table1[[#This Row],[DUT Adj Read]]="N/A",IF(Table1[[#This Row],[Std Adj Read]]&gt;=Table1[[#This Row],[Low Tol]],"Pass","Fail"),IF(Table1[[#This Row],[DUT Adj Read]]&gt;=Table1[[#This Row],[Low Tol]],"Pass","Fail")))</f>
        <v>Pass</v>
      </c>
      <c r="AG900" s="1" t="str">
        <f>IF(AND(Table1[[#This Row],[Spec Type2]]="N/A",Table1[[#This Row],[DUT Adj Read]]="N/A",Table1[[#This Row],[Std Adj Read]]="N/A"),"N/A",IF(Table1[[#This Row],[DUT Adj Read]]="N/A",IF(Table1[[#This Row],[Std Adj Read]]&lt;=Table1[[#This Row],[High Tol]],"Pass","Fail"),IF(Table1[[#This Row],[DUT Adj Read]]&lt;=Table1[[#This Row],[High Tol]],"Pass","Fail")))</f>
        <v>Fail</v>
      </c>
      <c r="AH9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0" s="1" t="b">
        <v>0</v>
      </c>
      <c r="AN900" s="1" t="b">
        <v>0</v>
      </c>
      <c r="AO900" s="1" t="b">
        <v>0</v>
      </c>
    </row>
    <row r="901" spans="1:41" x14ac:dyDescent="0.25">
      <c r="A901" s="10"/>
      <c r="B901" s="10"/>
      <c r="C901" s="10"/>
      <c r="D901" s="10"/>
      <c r="E901" s="10"/>
      <c r="F901" s="10"/>
      <c r="G901" s="10"/>
      <c r="H901" s="10"/>
      <c r="I901" s="1" t="str">
        <f t="shared" si="39"/>
        <v/>
      </c>
      <c r="J901" s="1" t="s">
        <v>35</v>
      </c>
      <c r="K901" s="1" t="str">
        <f t="shared" si="40"/>
        <v/>
      </c>
      <c r="L901" s="1" t="str">
        <f t="shared" si="41"/>
        <v/>
      </c>
      <c r="M901" s="1">
        <f>IF(OR(Table1[[#This Row],[Std Nom]]="",Table1[[#This Row],[Std Read]]=""),0,Table1[[#This Row],[Std Nom]]-Table1[[#This Row],[Std Read]])</f>
        <v>0</v>
      </c>
      <c r="N901" s="1">
        <f>IF(Calculations!$F$5="ACCREDITED 17025 WITH UNCERTAINTIES",$N$10,0)</f>
        <v>0</v>
      </c>
      <c r="O901" s="1" t="str">
        <f>IFERROR(Table1[[#This Row],[Std Nom]]-(_xlfn.XLOOKUP(Table1[[#This Row],[Manufacturer]]&amp;" "&amp;Table1[[#This Row],[Model]],Table13[MFR &amp; MDL],Table13[Tolerance % CW ],"")/100*Table1[[#This Row],[Std Nom]]),"")</f>
        <v/>
      </c>
      <c r="P901" s="1" t="str">
        <f>IFERROR(Table1[[#This Row],[Std Nom]]+(_xlfn.XLOOKUP(Table1[[#This Row],[Manufacturer]]&amp;" "&amp;Table1[[#This Row],[Model]],Table13[MFR &amp; MDL],Table13[Tolerance % CW ],"")/100*Table1[[#This Row],[Std Nom]]),"")</f>
        <v/>
      </c>
      <c r="Q901" s="1" t="e">
        <f>Table1[[#This Row],[High Tol]]-Table1[[#This Row],[Low Tol]]</f>
        <v>#VALUE!</v>
      </c>
      <c r="R901" s="1">
        <f>2*Table1[[#This Row],[Std Error]]</f>
        <v>0</v>
      </c>
      <c r="S901" s="1" t="str">
        <f>IF(Table1[[#This Row],[High Tol]]="","N/A",IFERROR(ABS(Table1[[#This Row],[Tol Span]]/Table1[[#This Row],[Error Span]]),"N/A"))</f>
        <v>N/A</v>
      </c>
      <c r="T901" s="1" t="str">
        <f>IF(OR(Table1[[#This Row],[Low Tol]]="",Table1[[#This Row],[High Tol]]=""),"Needs Analysis",IF(Table1[[#This Row],[Ratio]]&gt;=4,"Not Significant",IF(Table1[[#This Row],[Ratio]]&gt;=2,"Semi-Significant","Significant")))</f>
        <v>Needs Analysis</v>
      </c>
      <c r="W901" s="1">
        <f>IF(Table1[[#This Row],[Cal Type]]&lt;&gt;"ACCREDITED 17025 WITH UNCERTAINTIES",0,"")</f>
        <v>0</v>
      </c>
      <c r="X901" s="1" t="str">
        <f>IF(Table1[[#This Row],[DUT Read]]="","N/A",Table1[[#This Row],[Std Error]]+Table1[[#This Row],[DUT Read]]+Table1[[#This Row],[DUT Ucty]])</f>
        <v>N/A</v>
      </c>
      <c r="Y901" s="1" t="str">
        <f>IF(Table1[[#This Row],[Std Read]]="","N/A",Table1[[#This Row],[Std Read]]+Table1[[#This Row],[Std Ucty]])</f>
        <v>N/A</v>
      </c>
      <c r="Z9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1" s="1" t="str">
        <f>IF(Table1[[#This Row],[Spec Type]]="","N/A",Table1[[#This Row],[Spec Type]])</f>
        <v>±</v>
      </c>
      <c r="AC901" s="1" t="str">
        <f>IF(Table1[[#This Row],[Spec Type2]]="N/A","N/A",IF(AND(Table1[[#This Row],[DUT Adj Read]]&gt;=Table1[[#This Row],[Low Tol]],Table1[[#This Row],[DUT Adj Read]]&lt;=Table1[[#This Row],[High Tol]]),"Pass","Fail"))</f>
        <v>Fail</v>
      </c>
      <c r="AD901" s="1" t="str">
        <f>IF(AND(Table1[[#This Row],[Spec Type2]]="N/A",Table1[[#This Row],[DUT Adj Read]]="N/A",Table1[[#This Row],[Std Adj Read]]="N/A"),"N/A",IF(Table1[[#This Row],[DUT Adj Read]]="N/A",IF(Table1[[#This Row],[Std Adj Read]]&gt;Table1[[#This Row],[Low Tol]],"Pass","Fail"),IF(Table1[[#This Row],[DUT Adj Read]]&gt;Table1[[#This Row],[Low Tol]],"Pass","Fail")))</f>
        <v>Pass</v>
      </c>
      <c r="AE901" s="1" t="str">
        <f>IF(AND(Table1[[#This Row],[Spec Type2]]="N/A",Table1[[#This Row],[DUT Adj Read]]="N/A",Table1[[#This Row],[Std Adj Read]]="N/A"),"N/A",IF(Table1[[#This Row],[DUT Adj Read]]="N/A",IF(Table1[[#This Row],[Std Adj Read]]&lt;Table1[[#This Row],[High Tol]],"Pass","Fail"),IF(Table1[[#This Row],[DUT Adj Read]]&lt;Table1[[#This Row],[High Tol]],"Pass","Fail")))</f>
        <v>Fail</v>
      </c>
      <c r="AF901" s="1" t="str">
        <f>IF(AND(Table1[[#This Row],[Spec Type2]]="N/A",Table1[[#This Row],[DUT Adj Read]]="N/A",Table1[[#This Row],[Std Adj Read]]="N/A"),"N/A",IF(Table1[[#This Row],[DUT Adj Read]]="N/A",IF(Table1[[#This Row],[Std Adj Read]]&gt;=Table1[[#This Row],[Low Tol]],"Pass","Fail"),IF(Table1[[#This Row],[DUT Adj Read]]&gt;=Table1[[#This Row],[Low Tol]],"Pass","Fail")))</f>
        <v>Pass</v>
      </c>
      <c r="AG901" s="1" t="str">
        <f>IF(AND(Table1[[#This Row],[Spec Type2]]="N/A",Table1[[#This Row],[DUT Adj Read]]="N/A",Table1[[#This Row],[Std Adj Read]]="N/A"),"N/A",IF(Table1[[#This Row],[DUT Adj Read]]="N/A",IF(Table1[[#This Row],[Std Adj Read]]&lt;=Table1[[#This Row],[High Tol]],"Pass","Fail"),IF(Table1[[#This Row],[DUT Adj Read]]&lt;=Table1[[#This Row],[High Tol]],"Pass","Fail")))</f>
        <v>Fail</v>
      </c>
      <c r="AH9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1" s="1" t="b">
        <v>0</v>
      </c>
      <c r="AN901" s="1" t="b">
        <v>0</v>
      </c>
      <c r="AO901" s="1" t="b">
        <v>0</v>
      </c>
    </row>
    <row r="902" spans="1:41" x14ac:dyDescent="0.25">
      <c r="A902" s="10"/>
      <c r="B902" s="10"/>
      <c r="C902" s="10"/>
      <c r="D902" s="10"/>
      <c r="E902" s="10"/>
      <c r="F902" s="10"/>
      <c r="G902" s="10"/>
      <c r="H902" s="10"/>
      <c r="I902" s="1" t="str">
        <f t="shared" si="39"/>
        <v/>
      </c>
      <c r="J902" s="1" t="s">
        <v>35</v>
      </c>
      <c r="K902" s="1" t="str">
        <f t="shared" si="40"/>
        <v/>
      </c>
      <c r="L902" s="1" t="str">
        <f t="shared" si="41"/>
        <v/>
      </c>
      <c r="M902" s="1">
        <f>IF(OR(Table1[[#This Row],[Std Nom]]="",Table1[[#This Row],[Std Read]]=""),0,Table1[[#This Row],[Std Nom]]-Table1[[#This Row],[Std Read]])</f>
        <v>0</v>
      </c>
      <c r="N902" s="1">
        <f>IF(Calculations!$F$5="ACCREDITED 17025 WITH UNCERTAINTIES",$N$10,0)</f>
        <v>0</v>
      </c>
      <c r="O902" s="1" t="str">
        <f>IFERROR(Table1[[#This Row],[Std Nom]]-(_xlfn.XLOOKUP(Table1[[#This Row],[Manufacturer]]&amp;" "&amp;Table1[[#This Row],[Model]],Table13[MFR &amp; MDL],Table13[Tolerance % CW ],"")/100*Table1[[#This Row],[Std Nom]]),"")</f>
        <v/>
      </c>
      <c r="P902" s="1" t="str">
        <f>IFERROR(Table1[[#This Row],[Std Nom]]+(_xlfn.XLOOKUP(Table1[[#This Row],[Manufacturer]]&amp;" "&amp;Table1[[#This Row],[Model]],Table13[MFR &amp; MDL],Table13[Tolerance % CW ],"")/100*Table1[[#This Row],[Std Nom]]),"")</f>
        <v/>
      </c>
      <c r="Q902" s="1" t="e">
        <f>Table1[[#This Row],[High Tol]]-Table1[[#This Row],[Low Tol]]</f>
        <v>#VALUE!</v>
      </c>
      <c r="R902" s="1">
        <f>2*Table1[[#This Row],[Std Error]]</f>
        <v>0</v>
      </c>
      <c r="S902" s="1" t="str">
        <f>IF(Table1[[#This Row],[High Tol]]="","N/A",IFERROR(ABS(Table1[[#This Row],[Tol Span]]/Table1[[#This Row],[Error Span]]),"N/A"))</f>
        <v>N/A</v>
      </c>
      <c r="T902" s="1" t="str">
        <f>IF(OR(Table1[[#This Row],[Low Tol]]="",Table1[[#This Row],[High Tol]]=""),"Needs Analysis",IF(Table1[[#This Row],[Ratio]]&gt;=4,"Not Significant",IF(Table1[[#This Row],[Ratio]]&gt;=2,"Semi-Significant","Significant")))</f>
        <v>Needs Analysis</v>
      </c>
      <c r="W902" s="1">
        <f>IF(Table1[[#This Row],[Cal Type]]&lt;&gt;"ACCREDITED 17025 WITH UNCERTAINTIES",0,"")</f>
        <v>0</v>
      </c>
      <c r="X902" s="1" t="str">
        <f>IF(Table1[[#This Row],[DUT Read]]="","N/A",Table1[[#This Row],[Std Error]]+Table1[[#This Row],[DUT Read]]+Table1[[#This Row],[DUT Ucty]])</f>
        <v>N/A</v>
      </c>
      <c r="Y902" s="1" t="str">
        <f>IF(Table1[[#This Row],[Std Read]]="","N/A",Table1[[#This Row],[Std Read]]+Table1[[#This Row],[Std Ucty]])</f>
        <v>N/A</v>
      </c>
      <c r="Z9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2" s="1" t="str">
        <f>IF(Table1[[#This Row],[Spec Type]]="","N/A",Table1[[#This Row],[Spec Type]])</f>
        <v>±</v>
      </c>
      <c r="AC902" s="1" t="str">
        <f>IF(Table1[[#This Row],[Spec Type2]]="N/A","N/A",IF(AND(Table1[[#This Row],[DUT Adj Read]]&gt;=Table1[[#This Row],[Low Tol]],Table1[[#This Row],[DUT Adj Read]]&lt;=Table1[[#This Row],[High Tol]]),"Pass","Fail"))</f>
        <v>Fail</v>
      </c>
      <c r="AD902" s="1" t="str">
        <f>IF(AND(Table1[[#This Row],[Spec Type2]]="N/A",Table1[[#This Row],[DUT Adj Read]]="N/A",Table1[[#This Row],[Std Adj Read]]="N/A"),"N/A",IF(Table1[[#This Row],[DUT Adj Read]]="N/A",IF(Table1[[#This Row],[Std Adj Read]]&gt;Table1[[#This Row],[Low Tol]],"Pass","Fail"),IF(Table1[[#This Row],[DUT Adj Read]]&gt;Table1[[#This Row],[Low Tol]],"Pass","Fail")))</f>
        <v>Pass</v>
      </c>
      <c r="AE902" s="1" t="str">
        <f>IF(AND(Table1[[#This Row],[Spec Type2]]="N/A",Table1[[#This Row],[DUT Adj Read]]="N/A",Table1[[#This Row],[Std Adj Read]]="N/A"),"N/A",IF(Table1[[#This Row],[DUT Adj Read]]="N/A",IF(Table1[[#This Row],[Std Adj Read]]&lt;Table1[[#This Row],[High Tol]],"Pass","Fail"),IF(Table1[[#This Row],[DUT Adj Read]]&lt;Table1[[#This Row],[High Tol]],"Pass","Fail")))</f>
        <v>Fail</v>
      </c>
      <c r="AF902" s="1" t="str">
        <f>IF(AND(Table1[[#This Row],[Spec Type2]]="N/A",Table1[[#This Row],[DUT Adj Read]]="N/A",Table1[[#This Row],[Std Adj Read]]="N/A"),"N/A",IF(Table1[[#This Row],[DUT Adj Read]]="N/A",IF(Table1[[#This Row],[Std Adj Read]]&gt;=Table1[[#This Row],[Low Tol]],"Pass","Fail"),IF(Table1[[#This Row],[DUT Adj Read]]&gt;=Table1[[#This Row],[Low Tol]],"Pass","Fail")))</f>
        <v>Pass</v>
      </c>
      <c r="AG902" s="1" t="str">
        <f>IF(AND(Table1[[#This Row],[Spec Type2]]="N/A",Table1[[#This Row],[DUT Adj Read]]="N/A",Table1[[#This Row],[Std Adj Read]]="N/A"),"N/A",IF(Table1[[#This Row],[DUT Adj Read]]="N/A",IF(Table1[[#This Row],[Std Adj Read]]&lt;=Table1[[#This Row],[High Tol]],"Pass","Fail"),IF(Table1[[#This Row],[DUT Adj Read]]&lt;=Table1[[#This Row],[High Tol]],"Pass","Fail")))</f>
        <v>Fail</v>
      </c>
      <c r="AH9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2" s="1" t="b">
        <v>0</v>
      </c>
      <c r="AN902" s="1" t="b">
        <v>0</v>
      </c>
      <c r="AO902" s="1" t="b">
        <v>0</v>
      </c>
    </row>
    <row r="903" spans="1:41" x14ac:dyDescent="0.25">
      <c r="A903" s="10"/>
      <c r="B903" s="10"/>
      <c r="C903" s="10"/>
      <c r="D903" s="10"/>
      <c r="E903" s="10"/>
      <c r="F903" s="10"/>
      <c r="G903" s="10"/>
      <c r="H903" s="10"/>
      <c r="I903" s="1" t="str">
        <f t="shared" si="39"/>
        <v/>
      </c>
      <c r="J903" s="1" t="s">
        <v>35</v>
      </c>
      <c r="K903" s="1" t="str">
        <f t="shared" si="40"/>
        <v/>
      </c>
      <c r="L903" s="1" t="str">
        <f t="shared" si="41"/>
        <v/>
      </c>
      <c r="M903" s="1">
        <f>IF(OR(Table1[[#This Row],[Std Nom]]="",Table1[[#This Row],[Std Read]]=""),0,Table1[[#This Row],[Std Nom]]-Table1[[#This Row],[Std Read]])</f>
        <v>0</v>
      </c>
      <c r="N903" s="1">
        <f>IF(Calculations!$F$5="ACCREDITED 17025 WITH UNCERTAINTIES",$N$10,0)</f>
        <v>0</v>
      </c>
      <c r="O903" s="1" t="str">
        <f>IFERROR(Table1[[#This Row],[Std Nom]]-(_xlfn.XLOOKUP(Table1[[#This Row],[Manufacturer]]&amp;" "&amp;Table1[[#This Row],[Model]],Table13[MFR &amp; MDL],Table13[Tolerance % CW ],"")/100*Table1[[#This Row],[Std Nom]]),"")</f>
        <v/>
      </c>
      <c r="P903" s="1" t="str">
        <f>IFERROR(Table1[[#This Row],[Std Nom]]+(_xlfn.XLOOKUP(Table1[[#This Row],[Manufacturer]]&amp;" "&amp;Table1[[#This Row],[Model]],Table13[MFR &amp; MDL],Table13[Tolerance % CW ],"")/100*Table1[[#This Row],[Std Nom]]),"")</f>
        <v/>
      </c>
      <c r="Q903" s="1" t="e">
        <f>Table1[[#This Row],[High Tol]]-Table1[[#This Row],[Low Tol]]</f>
        <v>#VALUE!</v>
      </c>
      <c r="R903" s="1">
        <f>2*Table1[[#This Row],[Std Error]]</f>
        <v>0</v>
      </c>
      <c r="S903" s="1" t="str">
        <f>IF(Table1[[#This Row],[High Tol]]="","N/A",IFERROR(ABS(Table1[[#This Row],[Tol Span]]/Table1[[#This Row],[Error Span]]),"N/A"))</f>
        <v>N/A</v>
      </c>
      <c r="T903" s="1" t="str">
        <f>IF(OR(Table1[[#This Row],[Low Tol]]="",Table1[[#This Row],[High Tol]]=""),"Needs Analysis",IF(Table1[[#This Row],[Ratio]]&gt;=4,"Not Significant",IF(Table1[[#This Row],[Ratio]]&gt;=2,"Semi-Significant","Significant")))</f>
        <v>Needs Analysis</v>
      </c>
      <c r="W903" s="1">
        <f>IF(Table1[[#This Row],[Cal Type]]&lt;&gt;"ACCREDITED 17025 WITH UNCERTAINTIES",0,"")</f>
        <v>0</v>
      </c>
      <c r="X903" s="1" t="str">
        <f>IF(Table1[[#This Row],[DUT Read]]="","N/A",Table1[[#This Row],[Std Error]]+Table1[[#This Row],[DUT Read]]+Table1[[#This Row],[DUT Ucty]])</f>
        <v>N/A</v>
      </c>
      <c r="Y903" s="1" t="str">
        <f>IF(Table1[[#This Row],[Std Read]]="","N/A",Table1[[#This Row],[Std Read]]+Table1[[#This Row],[Std Ucty]])</f>
        <v>N/A</v>
      </c>
      <c r="Z9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3" s="1" t="str">
        <f>IF(Table1[[#This Row],[Spec Type]]="","N/A",Table1[[#This Row],[Spec Type]])</f>
        <v>±</v>
      </c>
      <c r="AC903" s="1" t="str">
        <f>IF(Table1[[#This Row],[Spec Type2]]="N/A","N/A",IF(AND(Table1[[#This Row],[DUT Adj Read]]&gt;=Table1[[#This Row],[Low Tol]],Table1[[#This Row],[DUT Adj Read]]&lt;=Table1[[#This Row],[High Tol]]),"Pass","Fail"))</f>
        <v>Fail</v>
      </c>
      <c r="AD903" s="1" t="str">
        <f>IF(AND(Table1[[#This Row],[Spec Type2]]="N/A",Table1[[#This Row],[DUT Adj Read]]="N/A",Table1[[#This Row],[Std Adj Read]]="N/A"),"N/A",IF(Table1[[#This Row],[DUT Adj Read]]="N/A",IF(Table1[[#This Row],[Std Adj Read]]&gt;Table1[[#This Row],[Low Tol]],"Pass","Fail"),IF(Table1[[#This Row],[DUT Adj Read]]&gt;Table1[[#This Row],[Low Tol]],"Pass","Fail")))</f>
        <v>Pass</v>
      </c>
      <c r="AE903" s="1" t="str">
        <f>IF(AND(Table1[[#This Row],[Spec Type2]]="N/A",Table1[[#This Row],[DUT Adj Read]]="N/A",Table1[[#This Row],[Std Adj Read]]="N/A"),"N/A",IF(Table1[[#This Row],[DUT Adj Read]]="N/A",IF(Table1[[#This Row],[Std Adj Read]]&lt;Table1[[#This Row],[High Tol]],"Pass","Fail"),IF(Table1[[#This Row],[DUT Adj Read]]&lt;Table1[[#This Row],[High Tol]],"Pass","Fail")))</f>
        <v>Fail</v>
      </c>
      <c r="AF903" s="1" t="str">
        <f>IF(AND(Table1[[#This Row],[Spec Type2]]="N/A",Table1[[#This Row],[DUT Adj Read]]="N/A",Table1[[#This Row],[Std Adj Read]]="N/A"),"N/A",IF(Table1[[#This Row],[DUT Adj Read]]="N/A",IF(Table1[[#This Row],[Std Adj Read]]&gt;=Table1[[#This Row],[Low Tol]],"Pass","Fail"),IF(Table1[[#This Row],[DUT Adj Read]]&gt;=Table1[[#This Row],[Low Tol]],"Pass","Fail")))</f>
        <v>Pass</v>
      </c>
      <c r="AG903" s="1" t="str">
        <f>IF(AND(Table1[[#This Row],[Spec Type2]]="N/A",Table1[[#This Row],[DUT Adj Read]]="N/A",Table1[[#This Row],[Std Adj Read]]="N/A"),"N/A",IF(Table1[[#This Row],[DUT Adj Read]]="N/A",IF(Table1[[#This Row],[Std Adj Read]]&lt;=Table1[[#This Row],[High Tol]],"Pass","Fail"),IF(Table1[[#This Row],[DUT Adj Read]]&lt;=Table1[[#This Row],[High Tol]],"Pass","Fail")))</f>
        <v>Fail</v>
      </c>
      <c r="AH9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3" s="1" t="b">
        <v>0</v>
      </c>
      <c r="AN903" s="1" t="b">
        <v>0</v>
      </c>
      <c r="AO903" s="1" t="b">
        <v>0</v>
      </c>
    </row>
    <row r="904" spans="1:41" x14ac:dyDescent="0.25">
      <c r="A904" s="10"/>
      <c r="B904" s="10"/>
      <c r="C904" s="10"/>
      <c r="D904" s="10"/>
      <c r="E904" s="10"/>
      <c r="F904" s="10"/>
      <c r="G904" s="10"/>
      <c r="H904" s="10"/>
      <c r="I904" s="1" t="str">
        <f t="shared" si="39"/>
        <v/>
      </c>
      <c r="J904" s="1" t="s">
        <v>35</v>
      </c>
      <c r="K904" s="1" t="str">
        <f t="shared" si="40"/>
        <v/>
      </c>
      <c r="L904" s="1" t="str">
        <f t="shared" si="41"/>
        <v/>
      </c>
      <c r="M904" s="1">
        <f>IF(OR(Table1[[#This Row],[Std Nom]]="",Table1[[#This Row],[Std Read]]=""),0,Table1[[#This Row],[Std Nom]]-Table1[[#This Row],[Std Read]])</f>
        <v>0</v>
      </c>
      <c r="N904" s="1">
        <f>IF(Calculations!$F$5="ACCREDITED 17025 WITH UNCERTAINTIES",$N$10,0)</f>
        <v>0</v>
      </c>
      <c r="O904" s="1" t="str">
        <f>IFERROR(Table1[[#This Row],[Std Nom]]-(_xlfn.XLOOKUP(Table1[[#This Row],[Manufacturer]]&amp;" "&amp;Table1[[#This Row],[Model]],Table13[MFR &amp; MDL],Table13[Tolerance % CW ],"")/100*Table1[[#This Row],[Std Nom]]),"")</f>
        <v/>
      </c>
      <c r="P904" s="1" t="str">
        <f>IFERROR(Table1[[#This Row],[Std Nom]]+(_xlfn.XLOOKUP(Table1[[#This Row],[Manufacturer]]&amp;" "&amp;Table1[[#This Row],[Model]],Table13[MFR &amp; MDL],Table13[Tolerance % CW ],"")/100*Table1[[#This Row],[Std Nom]]),"")</f>
        <v/>
      </c>
      <c r="Q904" s="1" t="e">
        <f>Table1[[#This Row],[High Tol]]-Table1[[#This Row],[Low Tol]]</f>
        <v>#VALUE!</v>
      </c>
      <c r="R904" s="1">
        <f>2*Table1[[#This Row],[Std Error]]</f>
        <v>0</v>
      </c>
      <c r="S904" s="1" t="str">
        <f>IF(Table1[[#This Row],[High Tol]]="","N/A",IFERROR(ABS(Table1[[#This Row],[Tol Span]]/Table1[[#This Row],[Error Span]]),"N/A"))</f>
        <v>N/A</v>
      </c>
      <c r="T904" s="1" t="str">
        <f>IF(OR(Table1[[#This Row],[Low Tol]]="",Table1[[#This Row],[High Tol]]=""),"Needs Analysis",IF(Table1[[#This Row],[Ratio]]&gt;=4,"Not Significant",IF(Table1[[#This Row],[Ratio]]&gt;=2,"Semi-Significant","Significant")))</f>
        <v>Needs Analysis</v>
      </c>
      <c r="W904" s="1">
        <f>IF(Table1[[#This Row],[Cal Type]]&lt;&gt;"ACCREDITED 17025 WITH UNCERTAINTIES",0,"")</f>
        <v>0</v>
      </c>
      <c r="X904" s="1" t="str">
        <f>IF(Table1[[#This Row],[DUT Read]]="","N/A",Table1[[#This Row],[Std Error]]+Table1[[#This Row],[DUT Read]]+Table1[[#This Row],[DUT Ucty]])</f>
        <v>N/A</v>
      </c>
      <c r="Y904" s="1" t="str">
        <f>IF(Table1[[#This Row],[Std Read]]="","N/A",Table1[[#This Row],[Std Read]]+Table1[[#This Row],[Std Ucty]])</f>
        <v>N/A</v>
      </c>
      <c r="Z9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4" s="1" t="str">
        <f>IF(Table1[[#This Row],[Spec Type]]="","N/A",Table1[[#This Row],[Spec Type]])</f>
        <v>±</v>
      </c>
      <c r="AC904" s="1" t="str">
        <f>IF(Table1[[#This Row],[Spec Type2]]="N/A","N/A",IF(AND(Table1[[#This Row],[DUT Adj Read]]&gt;=Table1[[#This Row],[Low Tol]],Table1[[#This Row],[DUT Adj Read]]&lt;=Table1[[#This Row],[High Tol]]),"Pass","Fail"))</f>
        <v>Fail</v>
      </c>
      <c r="AD904" s="1" t="str">
        <f>IF(AND(Table1[[#This Row],[Spec Type2]]="N/A",Table1[[#This Row],[DUT Adj Read]]="N/A",Table1[[#This Row],[Std Adj Read]]="N/A"),"N/A",IF(Table1[[#This Row],[DUT Adj Read]]="N/A",IF(Table1[[#This Row],[Std Adj Read]]&gt;Table1[[#This Row],[Low Tol]],"Pass","Fail"),IF(Table1[[#This Row],[DUT Adj Read]]&gt;Table1[[#This Row],[Low Tol]],"Pass","Fail")))</f>
        <v>Pass</v>
      </c>
      <c r="AE904" s="1" t="str">
        <f>IF(AND(Table1[[#This Row],[Spec Type2]]="N/A",Table1[[#This Row],[DUT Adj Read]]="N/A",Table1[[#This Row],[Std Adj Read]]="N/A"),"N/A",IF(Table1[[#This Row],[DUT Adj Read]]="N/A",IF(Table1[[#This Row],[Std Adj Read]]&lt;Table1[[#This Row],[High Tol]],"Pass","Fail"),IF(Table1[[#This Row],[DUT Adj Read]]&lt;Table1[[#This Row],[High Tol]],"Pass","Fail")))</f>
        <v>Fail</v>
      </c>
      <c r="AF904" s="1" t="str">
        <f>IF(AND(Table1[[#This Row],[Spec Type2]]="N/A",Table1[[#This Row],[DUT Adj Read]]="N/A",Table1[[#This Row],[Std Adj Read]]="N/A"),"N/A",IF(Table1[[#This Row],[DUT Adj Read]]="N/A",IF(Table1[[#This Row],[Std Adj Read]]&gt;=Table1[[#This Row],[Low Tol]],"Pass","Fail"),IF(Table1[[#This Row],[DUT Adj Read]]&gt;=Table1[[#This Row],[Low Tol]],"Pass","Fail")))</f>
        <v>Pass</v>
      </c>
      <c r="AG904" s="1" t="str">
        <f>IF(AND(Table1[[#This Row],[Spec Type2]]="N/A",Table1[[#This Row],[DUT Adj Read]]="N/A",Table1[[#This Row],[Std Adj Read]]="N/A"),"N/A",IF(Table1[[#This Row],[DUT Adj Read]]="N/A",IF(Table1[[#This Row],[Std Adj Read]]&lt;=Table1[[#This Row],[High Tol]],"Pass","Fail"),IF(Table1[[#This Row],[DUT Adj Read]]&lt;=Table1[[#This Row],[High Tol]],"Pass","Fail")))</f>
        <v>Fail</v>
      </c>
      <c r="AH9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4" s="1" t="b">
        <v>0</v>
      </c>
      <c r="AN904" s="1" t="b">
        <v>0</v>
      </c>
      <c r="AO904" s="1" t="b">
        <v>0</v>
      </c>
    </row>
    <row r="905" spans="1:41" x14ac:dyDescent="0.25">
      <c r="A905" s="10"/>
      <c r="B905" s="10"/>
      <c r="C905" s="10"/>
      <c r="D905" s="10"/>
      <c r="E905" s="10"/>
      <c r="F905" s="10"/>
      <c r="G905" s="10"/>
      <c r="H905" s="10"/>
      <c r="I905" s="1" t="str">
        <f t="shared" si="39"/>
        <v/>
      </c>
      <c r="J905" s="1" t="s">
        <v>35</v>
      </c>
      <c r="K905" s="1" t="str">
        <f t="shared" si="40"/>
        <v/>
      </c>
      <c r="L905" s="1" t="str">
        <f t="shared" si="41"/>
        <v/>
      </c>
      <c r="M905" s="1">
        <f>IF(OR(Table1[[#This Row],[Std Nom]]="",Table1[[#This Row],[Std Read]]=""),0,Table1[[#This Row],[Std Nom]]-Table1[[#This Row],[Std Read]])</f>
        <v>0</v>
      </c>
      <c r="N905" s="1">
        <f>IF(Calculations!$F$5="ACCREDITED 17025 WITH UNCERTAINTIES",$N$10,0)</f>
        <v>0</v>
      </c>
      <c r="O905" s="1" t="str">
        <f>IFERROR(Table1[[#This Row],[Std Nom]]-(_xlfn.XLOOKUP(Table1[[#This Row],[Manufacturer]]&amp;" "&amp;Table1[[#This Row],[Model]],Table13[MFR &amp; MDL],Table13[Tolerance % CW ],"")/100*Table1[[#This Row],[Std Nom]]),"")</f>
        <v/>
      </c>
      <c r="P905" s="1" t="str">
        <f>IFERROR(Table1[[#This Row],[Std Nom]]+(_xlfn.XLOOKUP(Table1[[#This Row],[Manufacturer]]&amp;" "&amp;Table1[[#This Row],[Model]],Table13[MFR &amp; MDL],Table13[Tolerance % CW ],"")/100*Table1[[#This Row],[Std Nom]]),"")</f>
        <v/>
      </c>
      <c r="Q905" s="1" t="e">
        <f>Table1[[#This Row],[High Tol]]-Table1[[#This Row],[Low Tol]]</f>
        <v>#VALUE!</v>
      </c>
      <c r="R905" s="1">
        <f>2*Table1[[#This Row],[Std Error]]</f>
        <v>0</v>
      </c>
      <c r="S905" s="1" t="str">
        <f>IF(Table1[[#This Row],[High Tol]]="","N/A",IFERROR(ABS(Table1[[#This Row],[Tol Span]]/Table1[[#This Row],[Error Span]]),"N/A"))</f>
        <v>N/A</v>
      </c>
      <c r="T905" s="1" t="str">
        <f>IF(OR(Table1[[#This Row],[Low Tol]]="",Table1[[#This Row],[High Tol]]=""),"Needs Analysis",IF(Table1[[#This Row],[Ratio]]&gt;=4,"Not Significant",IF(Table1[[#This Row],[Ratio]]&gt;=2,"Semi-Significant","Significant")))</f>
        <v>Needs Analysis</v>
      </c>
      <c r="W905" s="1">
        <f>IF(Table1[[#This Row],[Cal Type]]&lt;&gt;"ACCREDITED 17025 WITH UNCERTAINTIES",0,"")</f>
        <v>0</v>
      </c>
      <c r="X905" s="1" t="str">
        <f>IF(Table1[[#This Row],[DUT Read]]="","N/A",Table1[[#This Row],[Std Error]]+Table1[[#This Row],[DUT Read]]+Table1[[#This Row],[DUT Ucty]])</f>
        <v>N/A</v>
      </c>
      <c r="Y905" s="1" t="str">
        <f>IF(Table1[[#This Row],[Std Read]]="","N/A",Table1[[#This Row],[Std Read]]+Table1[[#This Row],[Std Ucty]])</f>
        <v>N/A</v>
      </c>
      <c r="Z9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5" s="1" t="str">
        <f>IF(Table1[[#This Row],[Spec Type]]="","N/A",Table1[[#This Row],[Spec Type]])</f>
        <v>±</v>
      </c>
      <c r="AC905" s="1" t="str">
        <f>IF(Table1[[#This Row],[Spec Type2]]="N/A","N/A",IF(AND(Table1[[#This Row],[DUT Adj Read]]&gt;=Table1[[#This Row],[Low Tol]],Table1[[#This Row],[DUT Adj Read]]&lt;=Table1[[#This Row],[High Tol]]),"Pass","Fail"))</f>
        <v>Fail</v>
      </c>
      <c r="AD905" s="1" t="str">
        <f>IF(AND(Table1[[#This Row],[Spec Type2]]="N/A",Table1[[#This Row],[DUT Adj Read]]="N/A",Table1[[#This Row],[Std Adj Read]]="N/A"),"N/A",IF(Table1[[#This Row],[DUT Adj Read]]="N/A",IF(Table1[[#This Row],[Std Adj Read]]&gt;Table1[[#This Row],[Low Tol]],"Pass","Fail"),IF(Table1[[#This Row],[DUT Adj Read]]&gt;Table1[[#This Row],[Low Tol]],"Pass","Fail")))</f>
        <v>Pass</v>
      </c>
      <c r="AE905" s="1" t="str">
        <f>IF(AND(Table1[[#This Row],[Spec Type2]]="N/A",Table1[[#This Row],[DUT Adj Read]]="N/A",Table1[[#This Row],[Std Adj Read]]="N/A"),"N/A",IF(Table1[[#This Row],[DUT Adj Read]]="N/A",IF(Table1[[#This Row],[Std Adj Read]]&lt;Table1[[#This Row],[High Tol]],"Pass","Fail"),IF(Table1[[#This Row],[DUT Adj Read]]&lt;Table1[[#This Row],[High Tol]],"Pass","Fail")))</f>
        <v>Fail</v>
      </c>
      <c r="AF905" s="1" t="str">
        <f>IF(AND(Table1[[#This Row],[Spec Type2]]="N/A",Table1[[#This Row],[DUT Adj Read]]="N/A",Table1[[#This Row],[Std Adj Read]]="N/A"),"N/A",IF(Table1[[#This Row],[DUT Adj Read]]="N/A",IF(Table1[[#This Row],[Std Adj Read]]&gt;=Table1[[#This Row],[Low Tol]],"Pass","Fail"),IF(Table1[[#This Row],[DUT Adj Read]]&gt;=Table1[[#This Row],[Low Tol]],"Pass","Fail")))</f>
        <v>Pass</v>
      </c>
      <c r="AG905" s="1" t="str">
        <f>IF(AND(Table1[[#This Row],[Spec Type2]]="N/A",Table1[[#This Row],[DUT Adj Read]]="N/A",Table1[[#This Row],[Std Adj Read]]="N/A"),"N/A",IF(Table1[[#This Row],[DUT Adj Read]]="N/A",IF(Table1[[#This Row],[Std Adj Read]]&lt;=Table1[[#This Row],[High Tol]],"Pass","Fail"),IF(Table1[[#This Row],[DUT Adj Read]]&lt;=Table1[[#This Row],[High Tol]],"Pass","Fail")))</f>
        <v>Fail</v>
      </c>
      <c r="AH9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5" s="1" t="b">
        <v>0</v>
      </c>
      <c r="AN905" s="1" t="b">
        <v>0</v>
      </c>
      <c r="AO905" s="1" t="b">
        <v>0</v>
      </c>
    </row>
    <row r="906" spans="1:41" x14ac:dyDescent="0.25">
      <c r="A906" s="10"/>
      <c r="B906" s="10"/>
      <c r="C906" s="10"/>
      <c r="D906" s="10"/>
      <c r="E906" s="10"/>
      <c r="F906" s="10"/>
      <c r="G906" s="10"/>
      <c r="H906" s="10"/>
      <c r="I906" s="1" t="str">
        <f t="shared" si="39"/>
        <v/>
      </c>
      <c r="J906" s="1" t="s">
        <v>35</v>
      </c>
      <c r="K906" s="1" t="str">
        <f t="shared" si="40"/>
        <v/>
      </c>
      <c r="L906" s="1" t="str">
        <f t="shared" si="41"/>
        <v/>
      </c>
      <c r="M906" s="1">
        <f>IF(OR(Table1[[#This Row],[Std Nom]]="",Table1[[#This Row],[Std Read]]=""),0,Table1[[#This Row],[Std Nom]]-Table1[[#This Row],[Std Read]])</f>
        <v>0</v>
      </c>
      <c r="N906" s="1">
        <f>IF(Calculations!$F$5="ACCREDITED 17025 WITH UNCERTAINTIES",$N$10,0)</f>
        <v>0</v>
      </c>
      <c r="O906" s="1" t="str">
        <f>IFERROR(Table1[[#This Row],[Std Nom]]-(_xlfn.XLOOKUP(Table1[[#This Row],[Manufacturer]]&amp;" "&amp;Table1[[#This Row],[Model]],Table13[MFR &amp; MDL],Table13[Tolerance % CW ],"")/100*Table1[[#This Row],[Std Nom]]),"")</f>
        <v/>
      </c>
      <c r="P906" s="1" t="str">
        <f>IFERROR(Table1[[#This Row],[Std Nom]]+(_xlfn.XLOOKUP(Table1[[#This Row],[Manufacturer]]&amp;" "&amp;Table1[[#This Row],[Model]],Table13[MFR &amp; MDL],Table13[Tolerance % CW ],"")/100*Table1[[#This Row],[Std Nom]]),"")</f>
        <v/>
      </c>
      <c r="Q906" s="1" t="e">
        <f>Table1[[#This Row],[High Tol]]-Table1[[#This Row],[Low Tol]]</f>
        <v>#VALUE!</v>
      </c>
      <c r="R906" s="1">
        <f>2*Table1[[#This Row],[Std Error]]</f>
        <v>0</v>
      </c>
      <c r="S906" s="1" t="str">
        <f>IF(Table1[[#This Row],[High Tol]]="","N/A",IFERROR(ABS(Table1[[#This Row],[Tol Span]]/Table1[[#This Row],[Error Span]]),"N/A"))</f>
        <v>N/A</v>
      </c>
      <c r="T906" s="1" t="str">
        <f>IF(OR(Table1[[#This Row],[Low Tol]]="",Table1[[#This Row],[High Tol]]=""),"Needs Analysis",IF(Table1[[#This Row],[Ratio]]&gt;=4,"Not Significant",IF(Table1[[#This Row],[Ratio]]&gt;=2,"Semi-Significant","Significant")))</f>
        <v>Needs Analysis</v>
      </c>
      <c r="W906" s="1">
        <f>IF(Table1[[#This Row],[Cal Type]]&lt;&gt;"ACCREDITED 17025 WITH UNCERTAINTIES",0,"")</f>
        <v>0</v>
      </c>
      <c r="X906" s="1" t="str">
        <f>IF(Table1[[#This Row],[DUT Read]]="","N/A",Table1[[#This Row],[Std Error]]+Table1[[#This Row],[DUT Read]]+Table1[[#This Row],[DUT Ucty]])</f>
        <v>N/A</v>
      </c>
      <c r="Y906" s="1" t="str">
        <f>IF(Table1[[#This Row],[Std Read]]="","N/A",Table1[[#This Row],[Std Read]]+Table1[[#This Row],[Std Ucty]])</f>
        <v>N/A</v>
      </c>
      <c r="Z9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6" s="1" t="str">
        <f>IF(Table1[[#This Row],[Spec Type]]="","N/A",Table1[[#This Row],[Spec Type]])</f>
        <v>±</v>
      </c>
      <c r="AC906" s="1" t="str">
        <f>IF(Table1[[#This Row],[Spec Type2]]="N/A","N/A",IF(AND(Table1[[#This Row],[DUT Adj Read]]&gt;=Table1[[#This Row],[Low Tol]],Table1[[#This Row],[DUT Adj Read]]&lt;=Table1[[#This Row],[High Tol]]),"Pass","Fail"))</f>
        <v>Fail</v>
      </c>
      <c r="AD906" s="1" t="str">
        <f>IF(AND(Table1[[#This Row],[Spec Type2]]="N/A",Table1[[#This Row],[DUT Adj Read]]="N/A",Table1[[#This Row],[Std Adj Read]]="N/A"),"N/A",IF(Table1[[#This Row],[DUT Adj Read]]="N/A",IF(Table1[[#This Row],[Std Adj Read]]&gt;Table1[[#This Row],[Low Tol]],"Pass","Fail"),IF(Table1[[#This Row],[DUT Adj Read]]&gt;Table1[[#This Row],[Low Tol]],"Pass","Fail")))</f>
        <v>Pass</v>
      </c>
      <c r="AE906" s="1" t="str">
        <f>IF(AND(Table1[[#This Row],[Spec Type2]]="N/A",Table1[[#This Row],[DUT Adj Read]]="N/A",Table1[[#This Row],[Std Adj Read]]="N/A"),"N/A",IF(Table1[[#This Row],[DUT Adj Read]]="N/A",IF(Table1[[#This Row],[Std Adj Read]]&lt;Table1[[#This Row],[High Tol]],"Pass","Fail"),IF(Table1[[#This Row],[DUT Adj Read]]&lt;Table1[[#This Row],[High Tol]],"Pass","Fail")))</f>
        <v>Fail</v>
      </c>
      <c r="AF906" s="1" t="str">
        <f>IF(AND(Table1[[#This Row],[Spec Type2]]="N/A",Table1[[#This Row],[DUT Adj Read]]="N/A",Table1[[#This Row],[Std Adj Read]]="N/A"),"N/A",IF(Table1[[#This Row],[DUT Adj Read]]="N/A",IF(Table1[[#This Row],[Std Adj Read]]&gt;=Table1[[#This Row],[Low Tol]],"Pass","Fail"),IF(Table1[[#This Row],[DUT Adj Read]]&gt;=Table1[[#This Row],[Low Tol]],"Pass","Fail")))</f>
        <v>Pass</v>
      </c>
      <c r="AG906" s="1" t="str">
        <f>IF(AND(Table1[[#This Row],[Spec Type2]]="N/A",Table1[[#This Row],[DUT Adj Read]]="N/A",Table1[[#This Row],[Std Adj Read]]="N/A"),"N/A",IF(Table1[[#This Row],[DUT Adj Read]]="N/A",IF(Table1[[#This Row],[Std Adj Read]]&lt;=Table1[[#This Row],[High Tol]],"Pass","Fail"),IF(Table1[[#This Row],[DUT Adj Read]]&lt;=Table1[[#This Row],[High Tol]],"Pass","Fail")))</f>
        <v>Fail</v>
      </c>
      <c r="AH9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6" s="1" t="b">
        <v>0</v>
      </c>
      <c r="AN906" s="1" t="b">
        <v>0</v>
      </c>
      <c r="AO906" s="1" t="b">
        <v>0</v>
      </c>
    </row>
    <row r="907" spans="1:41" x14ac:dyDescent="0.25">
      <c r="A907" s="10"/>
      <c r="B907" s="10"/>
      <c r="C907" s="10"/>
      <c r="D907" s="10"/>
      <c r="E907" s="10"/>
      <c r="F907" s="10"/>
      <c r="G907" s="10"/>
      <c r="H907" s="10"/>
      <c r="I907" s="1" t="str">
        <f t="shared" ref="I907:I970" si="42">IF($I$10="","",$I$10)</f>
        <v/>
      </c>
      <c r="J907" s="1" t="s">
        <v>35</v>
      </c>
      <c r="K907" s="1" t="str">
        <f t="shared" ref="K907:K970" si="43">IF($K$10="","",$K$10)</f>
        <v/>
      </c>
      <c r="L907" s="1" t="str">
        <f t="shared" ref="L907:L970" si="44">IF($L$10="","",$L$10)</f>
        <v/>
      </c>
      <c r="M907" s="1">
        <f>IF(OR(Table1[[#This Row],[Std Nom]]="",Table1[[#This Row],[Std Read]]=""),0,Table1[[#This Row],[Std Nom]]-Table1[[#This Row],[Std Read]])</f>
        <v>0</v>
      </c>
      <c r="N907" s="1">
        <f>IF(Calculations!$F$5="ACCREDITED 17025 WITH UNCERTAINTIES",$N$10,0)</f>
        <v>0</v>
      </c>
      <c r="O907" s="1" t="str">
        <f>IFERROR(Table1[[#This Row],[Std Nom]]-(_xlfn.XLOOKUP(Table1[[#This Row],[Manufacturer]]&amp;" "&amp;Table1[[#This Row],[Model]],Table13[MFR &amp; MDL],Table13[Tolerance % CW ],"")/100*Table1[[#This Row],[Std Nom]]),"")</f>
        <v/>
      </c>
      <c r="P907" s="1" t="str">
        <f>IFERROR(Table1[[#This Row],[Std Nom]]+(_xlfn.XLOOKUP(Table1[[#This Row],[Manufacturer]]&amp;" "&amp;Table1[[#This Row],[Model]],Table13[MFR &amp; MDL],Table13[Tolerance % CW ],"")/100*Table1[[#This Row],[Std Nom]]),"")</f>
        <v/>
      </c>
      <c r="Q907" s="1" t="e">
        <f>Table1[[#This Row],[High Tol]]-Table1[[#This Row],[Low Tol]]</f>
        <v>#VALUE!</v>
      </c>
      <c r="R907" s="1">
        <f>2*Table1[[#This Row],[Std Error]]</f>
        <v>0</v>
      </c>
      <c r="S907" s="1" t="str">
        <f>IF(Table1[[#This Row],[High Tol]]="","N/A",IFERROR(ABS(Table1[[#This Row],[Tol Span]]/Table1[[#This Row],[Error Span]]),"N/A"))</f>
        <v>N/A</v>
      </c>
      <c r="T907" s="1" t="str">
        <f>IF(OR(Table1[[#This Row],[Low Tol]]="",Table1[[#This Row],[High Tol]]=""),"Needs Analysis",IF(Table1[[#This Row],[Ratio]]&gt;=4,"Not Significant",IF(Table1[[#This Row],[Ratio]]&gt;=2,"Semi-Significant","Significant")))</f>
        <v>Needs Analysis</v>
      </c>
      <c r="W907" s="1">
        <f>IF(Table1[[#This Row],[Cal Type]]&lt;&gt;"ACCREDITED 17025 WITH UNCERTAINTIES",0,"")</f>
        <v>0</v>
      </c>
      <c r="X907" s="1" t="str">
        <f>IF(Table1[[#This Row],[DUT Read]]="","N/A",Table1[[#This Row],[Std Error]]+Table1[[#This Row],[DUT Read]]+Table1[[#This Row],[DUT Ucty]])</f>
        <v>N/A</v>
      </c>
      <c r="Y907" s="1" t="str">
        <f>IF(Table1[[#This Row],[Std Read]]="","N/A",Table1[[#This Row],[Std Read]]+Table1[[#This Row],[Std Ucty]])</f>
        <v>N/A</v>
      </c>
      <c r="Z9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7" s="1" t="str">
        <f>IF(Table1[[#This Row],[Spec Type]]="","N/A",Table1[[#This Row],[Spec Type]])</f>
        <v>±</v>
      </c>
      <c r="AC907" s="1" t="str">
        <f>IF(Table1[[#This Row],[Spec Type2]]="N/A","N/A",IF(AND(Table1[[#This Row],[DUT Adj Read]]&gt;=Table1[[#This Row],[Low Tol]],Table1[[#This Row],[DUT Adj Read]]&lt;=Table1[[#This Row],[High Tol]]),"Pass","Fail"))</f>
        <v>Fail</v>
      </c>
      <c r="AD907" s="1" t="str">
        <f>IF(AND(Table1[[#This Row],[Spec Type2]]="N/A",Table1[[#This Row],[DUT Adj Read]]="N/A",Table1[[#This Row],[Std Adj Read]]="N/A"),"N/A",IF(Table1[[#This Row],[DUT Adj Read]]="N/A",IF(Table1[[#This Row],[Std Adj Read]]&gt;Table1[[#This Row],[Low Tol]],"Pass","Fail"),IF(Table1[[#This Row],[DUT Adj Read]]&gt;Table1[[#This Row],[Low Tol]],"Pass","Fail")))</f>
        <v>Pass</v>
      </c>
      <c r="AE907" s="1" t="str">
        <f>IF(AND(Table1[[#This Row],[Spec Type2]]="N/A",Table1[[#This Row],[DUT Adj Read]]="N/A",Table1[[#This Row],[Std Adj Read]]="N/A"),"N/A",IF(Table1[[#This Row],[DUT Adj Read]]="N/A",IF(Table1[[#This Row],[Std Adj Read]]&lt;Table1[[#This Row],[High Tol]],"Pass","Fail"),IF(Table1[[#This Row],[DUT Adj Read]]&lt;Table1[[#This Row],[High Tol]],"Pass","Fail")))</f>
        <v>Fail</v>
      </c>
      <c r="AF907" s="1" t="str">
        <f>IF(AND(Table1[[#This Row],[Spec Type2]]="N/A",Table1[[#This Row],[DUT Adj Read]]="N/A",Table1[[#This Row],[Std Adj Read]]="N/A"),"N/A",IF(Table1[[#This Row],[DUT Adj Read]]="N/A",IF(Table1[[#This Row],[Std Adj Read]]&gt;=Table1[[#This Row],[Low Tol]],"Pass","Fail"),IF(Table1[[#This Row],[DUT Adj Read]]&gt;=Table1[[#This Row],[Low Tol]],"Pass","Fail")))</f>
        <v>Pass</v>
      </c>
      <c r="AG907" s="1" t="str">
        <f>IF(AND(Table1[[#This Row],[Spec Type2]]="N/A",Table1[[#This Row],[DUT Adj Read]]="N/A",Table1[[#This Row],[Std Adj Read]]="N/A"),"N/A",IF(Table1[[#This Row],[DUT Adj Read]]="N/A",IF(Table1[[#This Row],[Std Adj Read]]&lt;=Table1[[#This Row],[High Tol]],"Pass","Fail"),IF(Table1[[#This Row],[DUT Adj Read]]&lt;=Table1[[#This Row],[High Tol]],"Pass","Fail")))</f>
        <v>Fail</v>
      </c>
      <c r="AH9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7" s="1" t="b">
        <v>0</v>
      </c>
      <c r="AN907" s="1" t="b">
        <v>0</v>
      </c>
      <c r="AO907" s="1" t="b">
        <v>0</v>
      </c>
    </row>
    <row r="908" spans="1:41" x14ac:dyDescent="0.25">
      <c r="A908" s="10"/>
      <c r="B908" s="10"/>
      <c r="C908" s="10"/>
      <c r="D908" s="10"/>
      <c r="E908" s="10"/>
      <c r="F908" s="10"/>
      <c r="G908" s="10"/>
      <c r="H908" s="10"/>
      <c r="I908" s="1" t="str">
        <f t="shared" si="42"/>
        <v/>
      </c>
      <c r="J908" s="1" t="s">
        <v>35</v>
      </c>
      <c r="K908" s="1" t="str">
        <f t="shared" si="43"/>
        <v/>
      </c>
      <c r="L908" s="1" t="str">
        <f t="shared" si="44"/>
        <v/>
      </c>
      <c r="M908" s="1">
        <f>IF(OR(Table1[[#This Row],[Std Nom]]="",Table1[[#This Row],[Std Read]]=""),0,Table1[[#This Row],[Std Nom]]-Table1[[#This Row],[Std Read]])</f>
        <v>0</v>
      </c>
      <c r="N908" s="1">
        <f>IF(Calculations!$F$5="ACCREDITED 17025 WITH UNCERTAINTIES",$N$10,0)</f>
        <v>0</v>
      </c>
      <c r="O908" s="1" t="str">
        <f>IFERROR(Table1[[#This Row],[Std Nom]]-(_xlfn.XLOOKUP(Table1[[#This Row],[Manufacturer]]&amp;" "&amp;Table1[[#This Row],[Model]],Table13[MFR &amp; MDL],Table13[Tolerance % CW ],"")/100*Table1[[#This Row],[Std Nom]]),"")</f>
        <v/>
      </c>
      <c r="P908" s="1" t="str">
        <f>IFERROR(Table1[[#This Row],[Std Nom]]+(_xlfn.XLOOKUP(Table1[[#This Row],[Manufacturer]]&amp;" "&amp;Table1[[#This Row],[Model]],Table13[MFR &amp; MDL],Table13[Tolerance % CW ],"")/100*Table1[[#This Row],[Std Nom]]),"")</f>
        <v/>
      </c>
      <c r="Q908" s="1" t="e">
        <f>Table1[[#This Row],[High Tol]]-Table1[[#This Row],[Low Tol]]</f>
        <v>#VALUE!</v>
      </c>
      <c r="R908" s="1">
        <f>2*Table1[[#This Row],[Std Error]]</f>
        <v>0</v>
      </c>
      <c r="S908" s="1" t="str">
        <f>IF(Table1[[#This Row],[High Tol]]="","N/A",IFERROR(ABS(Table1[[#This Row],[Tol Span]]/Table1[[#This Row],[Error Span]]),"N/A"))</f>
        <v>N/A</v>
      </c>
      <c r="T908" s="1" t="str">
        <f>IF(OR(Table1[[#This Row],[Low Tol]]="",Table1[[#This Row],[High Tol]]=""),"Needs Analysis",IF(Table1[[#This Row],[Ratio]]&gt;=4,"Not Significant",IF(Table1[[#This Row],[Ratio]]&gt;=2,"Semi-Significant","Significant")))</f>
        <v>Needs Analysis</v>
      </c>
      <c r="W908" s="1">
        <f>IF(Table1[[#This Row],[Cal Type]]&lt;&gt;"ACCREDITED 17025 WITH UNCERTAINTIES",0,"")</f>
        <v>0</v>
      </c>
      <c r="X908" s="1" t="str">
        <f>IF(Table1[[#This Row],[DUT Read]]="","N/A",Table1[[#This Row],[Std Error]]+Table1[[#This Row],[DUT Read]]+Table1[[#This Row],[DUT Ucty]])</f>
        <v>N/A</v>
      </c>
      <c r="Y908" s="1" t="str">
        <f>IF(Table1[[#This Row],[Std Read]]="","N/A",Table1[[#This Row],[Std Read]]+Table1[[#This Row],[Std Ucty]])</f>
        <v>N/A</v>
      </c>
      <c r="Z9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8" s="1" t="str">
        <f>IF(Table1[[#This Row],[Spec Type]]="","N/A",Table1[[#This Row],[Spec Type]])</f>
        <v>±</v>
      </c>
      <c r="AC908" s="1" t="str">
        <f>IF(Table1[[#This Row],[Spec Type2]]="N/A","N/A",IF(AND(Table1[[#This Row],[DUT Adj Read]]&gt;=Table1[[#This Row],[Low Tol]],Table1[[#This Row],[DUT Adj Read]]&lt;=Table1[[#This Row],[High Tol]]),"Pass","Fail"))</f>
        <v>Fail</v>
      </c>
      <c r="AD908" s="1" t="str">
        <f>IF(AND(Table1[[#This Row],[Spec Type2]]="N/A",Table1[[#This Row],[DUT Adj Read]]="N/A",Table1[[#This Row],[Std Adj Read]]="N/A"),"N/A",IF(Table1[[#This Row],[DUT Adj Read]]="N/A",IF(Table1[[#This Row],[Std Adj Read]]&gt;Table1[[#This Row],[Low Tol]],"Pass","Fail"),IF(Table1[[#This Row],[DUT Adj Read]]&gt;Table1[[#This Row],[Low Tol]],"Pass","Fail")))</f>
        <v>Pass</v>
      </c>
      <c r="AE908" s="1" t="str">
        <f>IF(AND(Table1[[#This Row],[Spec Type2]]="N/A",Table1[[#This Row],[DUT Adj Read]]="N/A",Table1[[#This Row],[Std Adj Read]]="N/A"),"N/A",IF(Table1[[#This Row],[DUT Adj Read]]="N/A",IF(Table1[[#This Row],[Std Adj Read]]&lt;Table1[[#This Row],[High Tol]],"Pass","Fail"),IF(Table1[[#This Row],[DUT Adj Read]]&lt;Table1[[#This Row],[High Tol]],"Pass","Fail")))</f>
        <v>Fail</v>
      </c>
      <c r="AF908" s="1" t="str">
        <f>IF(AND(Table1[[#This Row],[Spec Type2]]="N/A",Table1[[#This Row],[DUT Adj Read]]="N/A",Table1[[#This Row],[Std Adj Read]]="N/A"),"N/A",IF(Table1[[#This Row],[DUT Adj Read]]="N/A",IF(Table1[[#This Row],[Std Adj Read]]&gt;=Table1[[#This Row],[Low Tol]],"Pass","Fail"),IF(Table1[[#This Row],[DUT Adj Read]]&gt;=Table1[[#This Row],[Low Tol]],"Pass","Fail")))</f>
        <v>Pass</v>
      </c>
      <c r="AG908" s="1" t="str">
        <f>IF(AND(Table1[[#This Row],[Spec Type2]]="N/A",Table1[[#This Row],[DUT Adj Read]]="N/A",Table1[[#This Row],[Std Adj Read]]="N/A"),"N/A",IF(Table1[[#This Row],[DUT Adj Read]]="N/A",IF(Table1[[#This Row],[Std Adj Read]]&lt;=Table1[[#This Row],[High Tol]],"Pass","Fail"),IF(Table1[[#This Row],[DUT Adj Read]]&lt;=Table1[[#This Row],[High Tol]],"Pass","Fail")))</f>
        <v>Fail</v>
      </c>
      <c r="AH9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8" s="1" t="b">
        <v>0</v>
      </c>
      <c r="AN908" s="1" t="b">
        <v>0</v>
      </c>
      <c r="AO908" s="1" t="b">
        <v>0</v>
      </c>
    </row>
    <row r="909" spans="1:41" x14ac:dyDescent="0.25">
      <c r="A909" s="10"/>
      <c r="B909" s="10"/>
      <c r="C909" s="10"/>
      <c r="D909" s="10"/>
      <c r="E909" s="10"/>
      <c r="F909" s="10"/>
      <c r="G909" s="10"/>
      <c r="H909" s="10"/>
      <c r="I909" s="1" t="str">
        <f t="shared" si="42"/>
        <v/>
      </c>
      <c r="J909" s="1" t="s">
        <v>35</v>
      </c>
      <c r="K909" s="1" t="str">
        <f t="shared" si="43"/>
        <v/>
      </c>
      <c r="L909" s="1" t="str">
        <f t="shared" si="44"/>
        <v/>
      </c>
      <c r="M909" s="1">
        <f>IF(OR(Table1[[#This Row],[Std Nom]]="",Table1[[#This Row],[Std Read]]=""),0,Table1[[#This Row],[Std Nom]]-Table1[[#This Row],[Std Read]])</f>
        <v>0</v>
      </c>
      <c r="N909" s="1">
        <f>IF(Calculations!$F$5="ACCREDITED 17025 WITH UNCERTAINTIES",$N$10,0)</f>
        <v>0</v>
      </c>
      <c r="O909" s="1" t="str">
        <f>IFERROR(Table1[[#This Row],[Std Nom]]-(_xlfn.XLOOKUP(Table1[[#This Row],[Manufacturer]]&amp;" "&amp;Table1[[#This Row],[Model]],Table13[MFR &amp; MDL],Table13[Tolerance % CW ],"")/100*Table1[[#This Row],[Std Nom]]),"")</f>
        <v/>
      </c>
      <c r="P909" s="1" t="str">
        <f>IFERROR(Table1[[#This Row],[Std Nom]]+(_xlfn.XLOOKUP(Table1[[#This Row],[Manufacturer]]&amp;" "&amp;Table1[[#This Row],[Model]],Table13[MFR &amp; MDL],Table13[Tolerance % CW ],"")/100*Table1[[#This Row],[Std Nom]]),"")</f>
        <v/>
      </c>
      <c r="Q909" s="1" t="e">
        <f>Table1[[#This Row],[High Tol]]-Table1[[#This Row],[Low Tol]]</f>
        <v>#VALUE!</v>
      </c>
      <c r="R909" s="1">
        <f>2*Table1[[#This Row],[Std Error]]</f>
        <v>0</v>
      </c>
      <c r="S909" s="1" t="str">
        <f>IF(Table1[[#This Row],[High Tol]]="","N/A",IFERROR(ABS(Table1[[#This Row],[Tol Span]]/Table1[[#This Row],[Error Span]]),"N/A"))</f>
        <v>N/A</v>
      </c>
      <c r="T909" s="1" t="str">
        <f>IF(OR(Table1[[#This Row],[Low Tol]]="",Table1[[#This Row],[High Tol]]=""),"Needs Analysis",IF(Table1[[#This Row],[Ratio]]&gt;=4,"Not Significant",IF(Table1[[#This Row],[Ratio]]&gt;=2,"Semi-Significant","Significant")))</f>
        <v>Needs Analysis</v>
      </c>
      <c r="W909" s="1">
        <f>IF(Table1[[#This Row],[Cal Type]]&lt;&gt;"ACCREDITED 17025 WITH UNCERTAINTIES",0,"")</f>
        <v>0</v>
      </c>
      <c r="X909" s="1" t="str">
        <f>IF(Table1[[#This Row],[DUT Read]]="","N/A",Table1[[#This Row],[Std Error]]+Table1[[#This Row],[DUT Read]]+Table1[[#This Row],[DUT Ucty]])</f>
        <v>N/A</v>
      </c>
      <c r="Y909" s="1" t="str">
        <f>IF(Table1[[#This Row],[Std Read]]="","N/A",Table1[[#This Row],[Std Read]]+Table1[[#This Row],[Std Ucty]])</f>
        <v>N/A</v>
      </c>
      <c r="Z9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9" s="1" t="str">
        <f>IF(Table1[[#This Row],[Spec Type]]="","N/A",Table1[[#This Row],[Spec Type]])</f>
        <v>±</v>
      </c>
      <c r="AC909" s="1" t="str">
        <f>IF(Table1[[#This Row],[Spec Type2]]="N/A","N/A",IF(AND(Table1[[#This Row],[DUT Adj Read]]&gt;=Table1[[#This Row],[Low Tol]],Table1[[#This Row],[DUT Adj Read]]&lt;=Table1[[#This Row],[High Tol]]),"Pass","Fail"))</f>
        <v>Fail</v>
      </c>
      <c r="AD909" s="1" t="str">
        <f>IF(AND(Table1[[#This Row],[Spec Type2]]="N/A",Table1[[#This Row],[DUT Adj Read]]="N/A",Table1[[#This Row],[Std Adj Read]]="N/A"),"N/A",IF(Table1[[#This Row],[DUT Adj Read]]="N/A",IF(Table1[[#This Row],[Std Adj Read]]&gt;Table1[[#This Row],[Low Tol]],"Pass","Fail"),IF(Table1[[#This Row],[DUT Adj Read]]&gt;Table1[[#This Row],[Low Tol]],"Pass","Fail")))</f>
        <v>Pass</v>
      </c>
      <c r="AE909" s="1" t="str">
        <f>IF(AND(Table1[[#This Row],[Spec Type2]]="N/A",Table1[[#This Row],[DUT Adj Read]]="N/A",Table1[[#This Row],[Std Adj Read]]="N/A"),"N/A",IF(Table1[[#This Row],[DUT Adj Read]]="N/A",IF(Table1[[#This Row],[Std Adj Read]]&lt;Table1[[#This Row],[High Tol]],"Pass","Fail"),IF(Table1[[#This Row],[DUT Adj Read]]&lt;Table1[[#This Row],[High Tol]],"Pass","Fail")))</f>
        <v>Fail</v>
      </c>
      <c r="AF909" s="1" t="str">
        <f>IF(AND(Table1[[#This Row],[Spec Type2]]="N/A",Table1[[#This Row],[DUT Adj Read]]="N/A",Table1[[#This Row],[Std Adj Read]]="N/A"),"N/A",IF(Table1[[#This Row],[DUT Adj Read]]="N/A",IF(Table1[[#This Row],[Std Adj Read]]&gt;=Table1[[#This Row],[Low Tol]],"Pass","Fail"),IF(Table1[[#This Row],[DUT Adj Read]]&gt;=Table1[[#This Row],[Low Tol]],"Pass","Fail")))</f>
        <v>Pass</v>
      </c>
      <c r="AG909" s="1" t="str">
        <f>IF(AND(Table1[[#This Row],[Spec Type2]]="N/A",Table1[[#This Row],[DUT Adj Read]]="N/A",Table1[[#This Row],[Std Adj Read]]="N/A"),"N/A",IF(Table1[[#This Row],[DUT Adj Read]]="N/A",IF(Table1[[#This Row],[Std Adj Read]]&lt;=Table1[[#This Row],[High Tol]],"Pass","Fail"),IF(Table1[[#This Row],[DUT Adj Read]]&lt;=Table1[[#This Row],[High Tol]],"Pass","Fail")))</f>
        <v>Fail</v>
      </c>
      <c r="AH9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9" s="1" t="b">
        <v>0</v>
      </c>
      <c r="AN909" s="1" t="b">
        <v>0</v>
      </c>
      <c r="AO909" s="1" t="b">
        <v>0</v>
      </c>
    </row>
    <row r="910" spans="1:41" x14ac:dyDescent="0.25">
      <c r="A910" s="10"/>
      <c r="B910" s="10"/>
      <c r="C910" s="10"/>
      <c r="D910" s="10"/>
      <c r="E910" s="10"/>
      <c r="F910" s="10"/>
      <c r="G910" s="10"/>
      <c r="H910" s="10"/>
      <c r="I910" s="1" t="str">
        <f t="shared" si="42"/>
        <v/>
      </c>
      <c r="J910" s="1" t="s">
        <v>35</v>
      </c>
      <c r="K910" s="1" t="str">
        <f t="shared" si="43"/>
        <v/>
      </c>
      <c r="L910" s="1" t="str">
        <f t="shared" si="44"/>
        <v/>
      </c>
      <c r="M910" s="1">
        <f>IF(OR(Table1[[#This Row],[Std Nom]]="",Table1[[#This Row],[Std Read]]=""),0,Table1[[#This Row],[Std Nom]]-Table1[[#This Row],[Std Read]])</f>
        <v>0</v>
      </c>
      <c r="N910" s="1">
        <f>IF(Calculations!$F$5="ACCREDITED 17025 WITH UNCERTAINTIES",$N$10,0)</f>
        <v>0</v>
      </c>
      <c r="O910" s="1" t="str">
        <f>IFERROR(Table1[[#This Row],[Std Nom]]-(_xlfn.XLOOKUP(Table1[[#This Row],[Manufacturer]]&amp;" "&amp;Table1[[#This Row],[Model]],Table13[MFR &amp; MDL],Table13[Tolerance % CW ],"")/100*Table1[[#This Row],[Std Nom]]),"")</f>
        <v/>
      </c>
      <c r="P910" s="1" t="str">
        <f>IFERROR(Table1[[#This Row],[Std Nom]]+(_xlfn.XLOOKUP(Table1[[#This Row],[Manufacturer]]&amp;" "&amp;Table1[[#This Row],[Model]],Table13[MFR &amp; MDL],Table13[Tolerance % CW ],"")/100*Table1[[#This Row],[Std Nom]]),"")</f>
        <v/>
      </c>
      <c r="Q910" s="1" t="e">
        <f>Table1[[#This Row],[High Tol]]-Table1[[#This Row],[Low Tol]]</f>
        <v>#VALUE!</v>
      </c>
      <c r="R910" s="1">
        <f>2*Table1[[#This Row],[Std Error]]</f>
        <v>0</v>
      </c>
      <c r="S910" s="1" t="str">
        <f>IF(Table1[[#This Row],[High Tol]]="","N/A",IFERROR(ABS(Table1[[#This Row],[Tol Span]]/Table1[[#This Row],[Error Span]]),"N/A"))</f>
        <v>N/A</v>
      </c>
      <c r="T910" s="1" t="str">
        <f>IF(OR(Table1[[#This Row],[Low Tol]]="",Table1[[#This Row],[High Tol]]=""),"Needs Analysis",IF(Table1[[#This Row],[Ratio]]&gt;=4,"Not Significant",IF(Table1[[#This Row],[Ratio]]&gt;=2,"Semi-Significant","Significant")))</f>
        <v>Needs Analysis</v>
      </c>
      <c r="W910" s="1">
        <f>IF(Table1[[#This Row],[Cal Type]]&lt;&gt;"ACCREDITED 17025 WITH UNCERTAINTIES",0,"")</f>
        <v>0</v>
      </c>
      <c r="X910" s="1" t="str">
        <f>IF(Table1[[#This Row],[DUT Read]]="","N/A",Table1[[#This Row],[Std Error]]+Table1[[#This Row],[DUT Read]]+Table1[[#This Row],[DUT Ucty]])</f>
        <v>N/A</v>
      </c>
      <c r="Y910" s="1" t="str">
        <f>IF(Table1[[#This Row],[Std Read]]="","N/A",Table1[[#This Row],[Std Read]]+Table1[[#This Row],[Std Ucty]])</f>
        <v>N/A</v>
      </c>
      <c r="Z9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0" s="1" t="str">
        <f>IF(Table1[[#This Row],[Spec Type]]="","N/A",Table1[[#This Row],[Spec Type]])</f>
        <v>±</v>
      </c>
      <c r="AC910" s="1" t="str">
        <f>IF(Table1[[#This Row],[Spec Type2]]="N/A","N/A",IF(AND(Table1[[#This Row],[DUT Adj Read]]&gt;=Table1[[#This Row],[Low Tol]],Table1[[#This Row],[DUT Adj Read]]&lt;=Table1[[#This Row],[High Tol]]),"Pass","Fail"))</f>
        <v>Fail</v>
      </c>
      <c r="AD910" s="1" t="str">
        <f>IF(AND(Table1[[#This Row],[Spec Type2]]="N/A",Table1[[#This Row],[DUT Adj Read]]="N/A",Table1[[#This Row],[Std Adj Read]]="N/A"),"N/A",IF(Table1[[#This Row],[DUT Adj Read]]="N/A",IF(Table1[[#This Row],[Std Adj Read]]&gt;Table1[[#This Row],[Low Tol]],"Pass","Fail"),IF(Table1[[#This Row],[DUT Adj Read]]&gt;Table1[[#This Row],[Low Tol]],"Pass","Fail")))</f>
        <v>Pass</v>
      </c>
      <c r="AE910" s="1" t="str">
        <f>IF(AND(Table1[[#This Row],[Spec Type2]]="N/A",Table1[[#This Row],[DUT Adj Read]]="N/A",Table1[[#This Row],[Std Adj Read]]="N/A"),"N/A",IF(Table1[[#This Row],[DUT Adj Read]]="N/A",IF(Table1[[#This Row],[Std Adj Read]]&lt;Table1[[#This Row],[High Tol]],"Pass","Fail"),IF(Table1[[#This Row],[DUT Adj Read]]&lt;Table1[[#This Row],[High Tol]],"Pass","Fail")))</f>
        <v>Fail</v>
      </c>
      <c r="AF910" s="1" t="str">
        <f>IF(AND(Table1[[#This Row],[Spec Type2]]="N/A",Table1[[#This Row],[DUT Adj Read]]="N/A",Table1[[#This Row],[Std Adj Read]]="N/A"),"N/A",IF(Table1[[#This Row],[DUT Adj Read]]="N/A",IF(Table1[[#This Row],[Std Adj Read]]&gt;=Table1[[#This Row],[Low Tol]],"Pass","Fail"),IF(Table1[[#This Row],[DUT Adj Read]]&gt;=Table1[[#This Row],[Low Tol]],"Pass","Fail")))</f>
        <v>Pass</v>
      </c>
      <c r="AG910" s="1" t="str">
        <f>IF(AND(Table1[[#This Row],[Spec Type2]]="N/A",Table1[[#This Row],[DUT Adj Read]]="N/A",Table1[[#This Row],[Std Adj Read]]="N/A"),"N/A",IF(Table1[[#This Row],[DUT Adj Read]]="N/A",IF(Table1[[#This Row],[Std Adj Read]]&lt;=Table1[[#This Row],[High Tol]],"Pass","Fail"),IF(Table1[[#This Row],[DUT Adj Read]]&lt;=Table1[[#This Row],[High Tol]],"Pass","Fail")))</f>
        <v>Fail</v>
      </c>
      <c r="AH9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0" s="1" t="b">
        <v>0</v>
      </c>
      <c r="AN910" s="1" t="b">
        <v>0</v>
      </c>
      <c r="AO910" s="1" t="b">
        <v>0</v>
      </c>
    </row>
    <row r="911" spans="1:41" x14ac:dyDescent="0.25">
      <c r="A911" s="10"/>
      <c r="B911" s="10"/>
      <c r="C911" s="10"/>
      <c r="D911" s="10"/>
      <c r="E911" s="10"/>
      <c r="F911" s="10"/>
      <c r="G911" s="10"/>
      <c r="H911" s="10"/>
      <c r="I911" s="1" t="str">
        <f t="shared" si="42"/>
        <v/>
      </c>
      <c r="J911" s="1" t="s">
        <v>35</v>
      </c>
      <c r="K911" s="1" t="str">
        <f t="shared" si="43"/>
        <v/>
      </c>
      <c r="L911" s="1" t="str">
        <f t="shared" si="44"/>
        <v/>
      </c>
      <c r="M911" s="1">
        <f>IF(OR(Table1[[#This Row],[Std Nom]]="",Table1[[#This Row],[Std Read]]=""),0,Table1[[#This Row],[Std Nom]]-Table1[[#This Row],[Std Read]])</f>
        <v>0</v>
      </c>
      <c r="N911" s="1">
        <f>IF(Calculations!$F$5="ACCREDITED 17025 WITH UNCERTAINTIES",$N$10,0)</f>
        <v>0</v>
      </c>
      <c r="O911" s="1" t="str">
        <f>IFERROR(Table1[[#This Row],[Std Nom]]-(_xlfn.XLOOKUP(Table1[[#This Row],[Manufacturer]]&amp;" "&amp;Table1[[#This Row],[Model]],Table13[MFR &amp; MDL],Table13[Tolerance % CW ],"")/100*Table1[[#This Row],[Std Nom]]),"")</f>
        <v/>
      </c>
      <c r="P911" s="1" t="str">
        <f>IFERROR(Table1[[#This Row],[Std Nom]]+(_xlfn.XLOOKUP(Table1[[#This Row],[Manufacturer]]&amp;" "&amp;Table1[[#This Row],[Model]],Table13[MFR &amp; MDL],Table13[Tolerance % CW ],"")/100*Table1[[#This Row],[Std Nom]]),"")</f>
        <v/>
      </c>
      <c r="Q911" s="1" t="e">
        <f>Table1[[#This Row],[High Tol]]-Table1[[#This Row],[Low Tol]]</f>
        <v>#VALUE!</v>
      </c>
      <c r="R911" s="1">
        <f>2*Table1[[#This Row],[Std Error]]</f>
        <v>0</v>
      </c>
      <c r="S911" s="1" t="str">
        <f>IF(Table1[[#This Row],[High Tol]]="","N/A",IFERROR(ABS(Table1[[#This Row],[Tol Span]]/Table1[[#This Row],[Error Span]]),"N/A"))</f>
        <v>N/A</v>
      </c>
      <c r="T911" s="1" t="str">
        <f>IF(OR(Table1[[#This Row],[Low Tol]]="",Table1[[#This Row],[High Tol]]=""),"Needs Analysis",IF(Table1[[#This Row],[Ratio]]&gt;=4,"Not Significant",IF(Table1[[#This Row],[Ratio]]&gt;=2,"Semi-Significant","Significant")))</f>
        <v>Needs Analysis</v>
      </c>
      <c r="W911" s="1">
        <f>IF(Table1[[#This Row],[Cal Type]]&lt;&gt;"ACCREDITED 17025 WITH UNCERTAINTIES",0,"")</f>
        <v>0</v>
      </c>
      <c r="X911" s="1" t="str">
        <f>IF(Table1[[#This Row],[DUT Read]]="","N/A",Table1[[#This Row],[Std Error]]+Table1[[#This Row],[DUT Read]]+Table1[[#This Row],[DUT Ucty]])</f>
        <v>N/A</v>
      </c>
      <c r="Y911" s="1" t="str">
        <f>IF(Table1[[#This Row],[Std Read]]="","N/A",Table1[[#This Row],[Std Read]]+Table1[[#This Row],[Std Ucty]])</f>
        <v>N/A</v>
      </c>
      <c r="Z9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1" s="1" t="str">
        <f>IF(Table1[[#This Row],[Spec Type]]="","N/A",Table1[[#This Row],[Spec Type]])</f>
        <v>±</v>
      </c>
      <c r="AC911" s="1" t="str">
        <f>IF(Table1[[#This Row],[Spec Type2]]="N/A","N/A",IF(AND(Table1[[#This Row],[DUT Adj Read]]&gt;=Table1[[#This Row],[Low Tol]],Table1[[#This Row],[DUT Adj Read]]&lt;=Table1[[#This Row],[High Tol]]),"Pass","Fail"))</f>
        <v>Fail</v>
      </c>
      <c r="AD911" s="1" t="str">
        <f>IF(AND(Table1[[#This Row],[Spec Type2]]="N/A",Table1[[#This Row],[DUT Adj Read]]="N/A",Table1[[#This Row],[Std Adj Read]]="N/A"),"N/A",IF(Table1[[#This Row],[DUT Adj Read]]="N/A",IF(Table1[[#This Row],[Std Adj Read]]&gt;Table1[[#This Row],[Low Tol]],"Pass","Fail"),IF(Table1[[#This Row],[DUT Adj Read]]&gt;Table1[[#This Row],[Low Tol]],"Pass","Fail")))</f>
        <v>Pass</v>
      </c>
      <c r="AE911" s="1" t="str">
        <f>IF(AND(Table1[[#This Row],[Spec Type2]]="N/A",Table1[[#This Row],[DUT Adj Read]]="N/A",Table1[[#This Row],[Std Adj Read]]="N/A"),"N/A",IF(Table1[[#This Row],[DUT Adj Read]]="N/A",IF(Table1[[#This Row],[Std Adj Read]]&lt;Table1[[#This Row],[High Tol]],"Pass","Fail"),IF(Table1[[#This Row],[DUT Adj Read]]&lt;Table1[[#This Row],[High Tol]],"Pass","Fail")))</f>
        <v>Fail</v>
      </c>
      <c r="AF911" s="1" t="str">
        <f>IF(AND(Table1[[#This Row],[Spec Type2]]="N/A",Table1[[#This Row],[DUT Adj Read]]="N/A",Table1[[#This Row],[Std Adj Read]]="N/A"),"N/A",IF(Table1[[#This Row],[DUT Adj Read]]="N/A",IF(Table1[[#This Row],[Std Adj Read]]&gt;=Table1[[#This Row],[Low Tol]],"Pass","Fail"),IF(Table1[[#This Row],[DUT Adj Read]]&gt;=Table1[[#This Row],[Low Tol]],"Pass","Fail")))</f>
        <v>Pass</v>
      </c>
      <c r="AG911" s="1" t="str">
        <f>IF(AND(Table1[[#This Row],[Spec Type2]]="N/A",Table1[[#This Row],[DUT Adj Read]]="N/A",Table1[[#This Row],[Std Adj Read]]="N/A"),"N/A",IF(Table1[[#This Row],[DUT Adj Read]]="N/A",IF(Table1[[#This Row],[Std Adj Read]]&lt;=Table1[[#This Row],[High Tol]],"Pass","Fail"),IF(Table1[[#This Row],[DUT Adj Read]]&lt;=Table1[[#This Row],[High Tol]],"Pass","Fail")))</f>
        <v>Fail</v>
      </c>
      <c r="AH9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1" s="1" t="b">
        <v>0</v>
      </c>
      <c r="AN911" s="1" t="b">
        <v>0</v>
      </c>
      <c r="AO911" s="1" t="b">
        <v>0</v>
      </c>
    </row>
    <row r="912" spans="1:41" x14ac:dyDescent="0.25">
      <c r="A912" s="10"/>
      <c r="B912" s="10"/>
      <c r="C912" s="10"/>
      <c r="D912" s="10"/>
      <c r="E912" s="10"/>
      <c r="F912" s="10"/>
      <c r="G912" s="10"/>
      <c r="H912" s="10"/>
      <c r="I912" s="1" t="str">
        <f t="shared" si="42"/>
        <v/>
      </c>
      <c r="J912" s="1" t="s">
        <v>35</v>
      </c>
      <c r="K912" s="1" t="str">
        <f t="shared" si="43"/>
        <v/>
      </c>
      <c r="L912" s="1" t="str">
        <f t="shared" si="44"/>
        <v/>
      </c>
      <c r="M912" s="1">
        <f>IF(OR(Table1[[#This Row],[Std Nom]]="",Table1[[#This Row],[Std Read]]=""),0,Table1[[#This Row],[Std Nom]]-Table1[[#This Row],[Std Read]])</f>
        <v>0</v>
      </c>
      <c r="N912" s="1">
        <f>IF(Calculations!$F$5="ACCREDITED 17025 WITH UNCERTAINTIES",$N$10,0)</f>
        <v>0</v>
      </c>
      <c r="O912" s="1" t="str">
        <f>IFERROR(Table1[[#This Row],[Std Nom]]-(_xlfn.XLOOKUP(Table1[[#This Row],[Manufacturer]]&amp;" "&amp;Table1[[#This Row],[Model]],Table13[MFR &amp; MDL],Table13[Tolerance % CW ],"")/100*Table1[[#This Row],[Std Nom]]),"")</f>
        <v/>
      </c>
      <c r="P912" s="1" t="str">
        <f>IFERROR(Table1[[#This Row],[Std Nom]]+(_xlfn.XLOOKUP(Table1[[#This Row],[Manufacturer]]&amp;" "&amp;Table1[[#This Row],[Model]],Table13[MFR &amp; MDL],Table13[Tolerance % CW ],"")/100*Table1[[#This Row],[Std Nom]]),"")</f>
        <v/>
      </c>
      <c r="Q912" s="1" t="e">
        <f>Table1[[#This Row],[High Tol]]-Table1[[#This Row],[Low Tol]]</f>
        <v>#VALUE!</v>
      </c>
      <c r="R912" s="1">
        <f>2*Table1[[#This Row],[Std Error]]</f>
        <v>0</v>
      </c>
      <c r="S912" s="1" t="str">
        <f>IF(Table1[[#This Row],[High Tol]]="","N/A",IFERROR(ABS(Table1[[#This Row],[Tol Span]]/Table1[[#This Row],[Error Span]]),"N/A"))</f>
        <v>N/A</v>
      </c>
      <c r="T912" s="1" t="str">
        <f>IF(OR(Table1[[#This Row],[Low Tol]]="",Table1[[#This Row],[High Tol]]=""),"Needs Analysis",IF(Table1[[#This Row],[Ratio]]&gt;=4,"Not Significant",IF(Table1[[#This Row],[Ratio]]&gt;=2,"Semi-Significant","Significant")))</f>
        <v>Needs Analysis</v>
      </c>
      <c r="W912" s="1">
        <f>IF(Table1[[#This Row],[Cal Type]]&lt;&gt;"ACCREDITED 17025 WITH UNCERTAINTIES",0,"")</f>
        <v>0</v>
      </c>
      <c r="X912" s="1" t="str">
        <f>IF(Table1[[#This Row],[DUT Read]]="","N/A",Table1[[#This Row],[Std Error]]+Table1[[#This Row],[DUT Read]]+Table1[[#This Row],[DUT Ucty]])</f>
        <v>N/A</v>
      </c>
      <c r="Y912" s="1" t="str">
        <f>IF(Table1[[#This Row],[Std Read]]="","N/A",Table1[[#This Row],[Std Read]]+Table1[[#This Row],[Std Ucty]])</f>
        <v>N/A</v>
      </c>
      <c r="Z9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2" s="1" t="str">
        <f>IF(Table1[[#This Row],[Spec Type]]="","N/A",Table1[[#This Row],[Spec Type]])</f>
        <v>±</v>
      </c>
      <c r="AC912" s="1" t="str">
        <f>IF(Table1[[#This Row],[Spec Type2]]="N/A","N/A",IF(AND(Table1[[#This Row],[DUT Adj Read]]&gt;=Table1[[#This Row],[Low Tol]],Table1[[#This Row],[DUT Adj Read]]&lt;=Table1[[#This Row],[High Tol]]),"Pass","Fail"))</f>
        <v>Fail</v>
      </c>
      <c r="AD912" s="1" t="str">
        <f>IF(AND(Table1[[#This Row],[Spec Type2]]="N/A",Table1[[#This Row],[DUT Adj Read]]="N/A",Table1[[#This Row],[Std Adj Read]]="N/A"),"N/A",IF(Table1[[#This Row],[DUT Adj Read]]="N/A",IF(Table1[[#This Row],[Std Adj Read]]&gt;Table1[[#This Row],[Low Tol]],"Pass","Fail"),IF(Table1[[#This Row],[DUT Adj Read]]&gt;Table1[[#This Row],[Low Tol]],"Pass","Fail")))</f>
        <v>Pass</v>
      </c>
      <c r="AE912" s="1" t="str">
        <f>IF(AND(Table1[[#This Row],[Spec Type2]]="N/A",Table1[[#This Row],[DUT Adj Read]]="N/A",Table1[[#This Row],[Std Adj Read]]="N/A"),"N/A",IF(Table1[[#This Row],[DUT Adj Read]]="N/A",IF(Table1[[#This Row],[Std Adj Read]]&lt;Table1[[#This Row],[High Tol]],"Pass","Fail"),IF(Table1[[#This Row],[DUT Adj Read]]&lt;Table1[[#This Row],[High Tol]],"Pass","Fail")))</f>
        <v>Fail</v>
      </c>
      <c r="AF912" s="1" t="str">
        <f>IF(AND(Table1[[#This Row],[Spec Type2]]="N/A",Table1[[#This Row],[DUT Adj Read]]="N/A",Table1[[#This Row],[Std Adj Read]]="N/A"),"N/A",IF(Table1[[#This Row],[DUT Adj Read]]="N/A",IF(Table1[[#This Row],[Std Adj Read]]&gt;=Table1[[#This Row],[Low Tol]],"Pass","Fail"),IF(Table1[[#This Row],[DUT Adj Read]]&gt;=Table1[[#This Row],[Low Tol]],"Pass","Fail")))</f>
        <v>Pass</v>
      </c>
      <c r="AG912" s="1" t="str">
        <f>IF(AND(Table1[[#This Row],[Spec Type2]]="N/A",Table1[[#This Row],[DUT Adj Read]]="N/A",Table1[[#This Row],[Std Adj Read]]="N/A"),"N/A",IF(Table1[[#This Row],[DUT Adj Read]]="N/A",IF(Table1[[#This Row],[Std Adj Read]]&lt;=Table1[[#This Row],[High Tol]],"Pass","Fail"),IF(Table1[[#This Row],[DUT Adj Read]]&lt;=Table1[[#This Row],[High Tol]],"Pass","Fail")))</f>
        <v>Fail</v>
      </c>
      <c r="AH9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2" s="1" t="b">
        <v>0</v>
      </c>
      <c r="AN912" s="1" t="b">
        <v>0</v>
      </c>
      <c r="AO912" s="1" t="b">
        <v>0</v>
      </c>
    </row>
    <row r="913" spans="1:41" x14ac:dyDescent="0.25">
      <c r="A913" s="10"/>
      <c r="B913" s="10"/>
      <c r="C913" s="10"/>
      <c r="D913" s="10"/>
      <c r="E913" s="10"/>
      <c r="F913" s="10"/>
      <c r="G913" s="10"/>
      <c r="H913" s="10"/>
      <c r="I913" s="1" t="str">
        <f t="shared" si="42"/>
        <v/>
      </c>
      <c r="J913" s="1" t="s">
        <v>35</v>
      </c>
      <c r="K913" s="1" t="str">
        <f t="shared" si="43"/>
        <v/>
      </c>
      <c r="L913" s="1" t="str">
        <f t="shared" si="44"/>
        <v/>
      </c>
      <c r="M913" s="1">
        <f>IF(OR(Table1[[#This Row],[Std Nom]]="",Table1[[#This Row],[Std Read]]=""),0,Table1[[#This Row],[Std Nom]]-Table1[[#This Row],[Std Read]])</f>
        <v>0</v>
      </c>
      <c r="N913" s="1">
        <f>IF(Calculations!$F$5="ACCREDITED 17025 WITH UNCERTAINTIES",$N$10,0)</f>
        <v>0</v>
      </c>
      <c r="O913" s="1" t="str">
        <f>IFERROR(Table1[[#This Row],[Std Nom]]-(_xlfn.XLOOKUP(Table1[[#This Row],[Manufacturer]]&amp;" "&amp;Table1[[#This Row],[Model]],Table13[MFR &amp; MDL],Table13[Tolerance % CW ],"")/100*Table1[[#This Row],[Std Nom]]),"")</f>
        <v/>
      </c>
      <c r="P913" s="1" t="str">
        <f>IFERROR(Table1[[#This Row],[Std Nom]]+(_xlfn.XLOOKUP(Table1[[#This Row],[Manufacturer]]&amp;" "&amp;Table1[[#This Row],[Model]],Table13[MFR &amp; MDL],Table13[Tolerance % CW ],"")/100*Table1[[#This Row],[Std Nom]]),"")</f>
        <v/>
      </c>
      <c r="Q913" s="1" t="e">
        <f>Table1[[#This Row],[High Tol]]-Table1[[#This Row],[Low Tol]]</f>
        <v>#VALUE!</v>
      </c>
      <c r="R913" s="1">
        <f>2*Table1[[#This Row],[Std Error]]</f>
        <v>0</v>
      </c>
      <c r="S913" s="1" t="str">
        <f>IF(Table1[[#This Row],[High Tol]]="","N/A",IFERROR(ABS(Table1[[#This Row],[Tol Span]]/Table1[[#This Row],[Error Span]]),"N/A"))</f>
        <v>N/A</v>
      </c>
      <c r="T913" s="1" t="str">
        <f>IF(OR(Table1[[#This Row],[Low Tol]]="",Table1[[#This Row],[High Tol]]=""),"Needs Analysis",IF(Table1[[#This Row],[Ratio]]&gt;=4,"Not Significant",IF(Table1[[#This Row],[Ratio]]&gt;=2,"Semi-Significant","Significant")))</f>
        <v>Needs Analysis</v>
      </c>
      <c r="W913" s="1">
        <f>IF(Table1[[#This Row],[Cal Type]]&lt;&gt;"ACCREDITED 17025 WITH UNCERTAINTIES",0,"")</f>
        <v>0</v>
      </c>
      <c r="X913" s="1" t="str">
        <f>IF(Table1[[#This Row],[DUT Read]]="","N/A",Table1[[#This Row],[Std Error]]+Table1[[#This Row],[DUT Read]]+Table1[[#This Row],[DUT Ucty]])</f>
        <v>N/A</v>
      </c>
      <c r="Y913" s="1" t="str">
        <f>IF(Table1[[#This Row],[Std Read]]="","N/A",Table1[[#This Row],[Std Read]]+Table1[[#This Row],[Std Ucty]])</f>
        <v>N/A</v>
      </c>
      <c r="Z9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3" s="1" t="str">
        <f>IF(Table1[[#This Row],[Spec Type]]="","N/A",Table1[[#This Row],[Spec Type]])</f>
        <v>±</v>
      </c>
      <c r="AC913" s="1" t="str">
        <f>IF(Table1[[#This Row],[Spec Type2]]="N/A","N/A",IF(AND(Table1[[#This Row],[DUT Adj Read]]&gt;=Table1[[#This Row],[Low Tol]],Table1[[#This Row],[DUT Adj Read]]&lt;=Table1[[#This Row],[High Tol]]),"Pass","Fail"))</f>
        <v>Fail</v>
      </c>
      <c r="AD913" s="1" t="str">
        <f>IF(AND(Table1[[#This Row],[Spec Type2]]="N/A",Table1[[#This Row],[DUT Adj Read]]="N/A",Table1[[#This Row],[Std Adj Read]]="N/A"),"N/A",IF(Table1[[#This Row],[DUT Adj Read]]="N/A",IF(Table1[[#This Row],[Std Adj Read]]&gt;Table1[[#This Row],[Low Tol]],"Pass","Fail"),IF(Table1[[#This Row],[DUT Adj Read]]&gt;Table1[[#This Row],[Low Tol]],"Pass","Fail")))</f>
        <v>Pass</v>
      </c>
      <c r="AE913" s="1" t="str">
        <f>IF(AND(Table1[[#This Row],[Spec Type2]]="N/A",Table1[[#This Row],[DUT Adj Read]]="N/A",Table1[[#This Row],[Std Adj Read]]="N/A"),"N/A",IF(Table1[[#This Row],[DUT Adj Read]]="N/A",IF(Table1[[#This Row],[Std Adj Read]]&lt;Table1[[#This Row],[High Tol]],"Pass","Fail"),IF(Table1[[#This Row],[DUT Adj Read]]&lt;Table1[[#This Row],[High Tol]],"Pass","Fail")))</f>
        <v>Fail</v>
      </c>
      <c r="AF913" s="1" t="str">
        <f>IF(AND(Table1[[#This Row],[Spec Type2]]="N/A",Table1[[#This Row],[DUT Adj Read]]="N/A",Table1[[#This Row],[Std Adj Read]]="N/A"),"N/A",IF(Table1[[#This Row],[DUT Adj Read]]="N/A",IF(Table1[[#This Row],[Std Adj Read]]&gt;=Table1[[#This Row],[Low Tol]],"Pass","Fail"),IF(Table1[[#This Row],[DUT Adj Read]]&gt;=Table1[[#This Row],[Low Tol]],"Pass","Fail")))</f>
        <v>Pass</v>
      </c>
      <c r="AG913" s="1" t="str">
        <f>IF(AND(Table1[[#This Row],[Spec Type2]]="N/A",Table1[[#This Row],[DUT Adj Read]]="N/A",Table1[[#This Row],[Std Adj Read]]="N/A"),"N/A",IF(Table1[[#This Row],[DUT Adj Read]]="N/A",IF(Table1[[#This Row],[Std Adj Read]]&lt;=Table1[[#This Row],[High Tol]],"Pass","Fail"),IF(Table1[[#This Row],[DUT Adj Read]]&lt;=Table1[[#This Row],[High Tol]],"Pass","Fail")))</f>
        <v>Fail</v>
      </c>
      <c r="AH9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3" s="1" t="b">
        <v>0</v>
      </c>
      <c r="AN913" s="1" t="b">
        <v>0</v>
      </c>
      <c r="AO913" s="1" t="b">
        <v>0</v>
      </c>
    </row>
    <row r="914" spans="1:41" x14ac:dyDescent="0.25">
      <c r="A914" s="10"/>
      <c r="B914" s="10"/>
      <c r="C914" s="10"/>
      <c r="D914" s="10"/>
      <c r="E914" s="10"/>
      <c r="F914" s="10"/>
      <c r="G914" s="10"/>
      <c r="H914" s="10"/>
      <c r="I914" s="1" t="str">
        <f t="shared" si="42"/>
        <v/>
      </c>
      <c r="J914" s="1" t="s">
        <v>35</v>
      </c>
      <c r="K914" s="1" t="str">
        <f t="shared" si="43"/>
        <v/>
      </c>
      <c r="L914" s="1" t="str">
        <f t="shared" si="44"/>
        <v/>
      </c>
      <c r="M914" s="1">
        <f>IF(OR(Table1[[#This Row],[Std Nom]]="",Table1[[#This Row],[Std Read]]=""),0,Table1[[#This Row],[Std Nom]]-Table1[[#This Row],[Std Read]])</f>
        <v>0</v>
      </c>
      <c r="N914" s="1">
        <f>IF(Calculations!$F$5="ACCREDITED 17025 WITH UNCERTAINTIES",$N$10,0)</f>
        <v>0</v>
      </c>
      <c r="O914" s="1" t="str">
        <f>IFERROR(Table1[[#This Row],[Std Nom]]-(_xlfn.XLOOKUP(Table1[[#This Row],[Manufacturer]]&amp;" "&amp;Table1[[#This Row],[Model]],Table13[MFR &amp; MDL],Table13[Tolerance % CW ],"")/100*Table1[[#This Row],[Std Nom]]),"")</f>
        <v/>
      </c>
      <c r="P914" s="1" t="str">
        <f>IFERROR(Table1[[#This Row],[Std Nom]]+(_xlfn.XLOOKUP(Table1[[#This Row],[Manufacturer]]&amp;" "&amp;Table1[[#This Row],[Model]],Table13[MFR &amp; MDL],Table13[Tolerance % CW ],"")/100*Table1[[#This Row],[Std Nom]]),"")</f>
        <v/>
      </c>
      <c r="Q914" s="1" t="e">
        <f>Table1[[#This Row],[High Tol]]-Table1[[#This Row],[Low Tol]]</f>
        <v>#VALUE!</v>
      </c>
      <c r="R914" s="1">
        <f>2*Table1[[#This Row],[Std Error]]</f>
        <v>0</v>
      </c>
      <c r="S914" s="1" t="str">
        <f>IF(Table1[[#This Row],[High Tol]]="","N/A",IFERROR(ABS(Table1[[#This Row],[Tol Span]]/Table1[[#This Row],[Error Span]]),"N/A"))</f>
        <v>N/A</v>
      </c>
      <c r="T914" s="1" t="str">
        <f>IF(OR(Table1[[#This Row],[Low Tol]]="",Table1[[#This Row],[High Tol]]=""),"Needs Analysis",IF(Table1[[#This Row],[Ratio]]&gt;=4,"Not Significant",IF(Table1[[#This Row],[Ratio]]&gt;=2,"Semi-Significant","Significant")))</f>
        <v>Needs Analysis</v>
      </c>
      <c r="W914" s="1">
        <f>IF(Table1[[#This Row],[Cal Type]]&lt;&gt;"ACCREDITED 17025 WITH UNCERTAINTIES",0,"")</f>
        <v>0</v>
      </c>
      <c r="X914" s="1" t="str">
        <f>IF(Table1[[#This Row],[DUT Read]]="","N/A",Table1[[#This Row],[Std Error]]+Table1[[#This Row],[DUT Read]]+Table1[[#This Row],[DUT Ucty]])</f>
        <v>N/A</v>
      </c>
      <c r="Y914" s="1" t="str">
        <f>IF(Table1[[#This Row],[Std Read]]="","N/A",Table1[[#This Row],[Std Read]]+Table1[[#This Row],[Std Ucty]])</f>
        <v>N/A</v>
      </c>
      <c r="Z9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4" s="1" t="str">
        <f>IF(Table1[[#This Row],[Spec Type]]="","N/A",Table1[[#This Row],[Spec Type]])</f>
        <v>±</v>
      </c>
      <c r="AC914" s="1" t="str">
        <f>IF(Table1[[#This Row],[Spec Type2]]="N/A","N/A",IF(AND(Table1[[#This Row],[DUT Adj Read]]&gt;=Table1[[#This Row],[Low Tol]],Table1[[#This Row],[DUT Adj Read]]&lt;=Table1[[#This Row],[High Tol]]),"Pass","Fail"))</f>
        <v>Fail</v>
      </c>
      <c r="AD914" s="1" t="str">
        <f>IF(AND(Table1[[#This Row],[Spec Type2]]="N/A",Table1[[#This Row],[DUT Adj Read]]="N/A",Table1[[#This Row],[Std Adj Read]]="N/A"),"N/A",IF(Table1[[#This Row],[DUT Adj Read]]="N/A",IF(Table1[[#This Row],[Std Adj Read]]&gt;Table1[[#This Row],[Low Tol]],"Pass","Fail"),IF(Table1[[#This Row],[DUT Adj Read]]&gt;Table1[[#This Row],[Low Tol]],"Pass","Fail")))</f>
        <v>Pass</v>
      </c>
      <c r="AE914" s="1" t="str">
        <f>IF(AND(Table1[[#This Row],[Spec Type2]]="N/A",Table1[[#This Row],[DUT Adj Read]]="N/A",Table1[[#This Row],[Std Adj Read]]="N/A"),"N/A",IF(Table1[[#This Row],[DUT Adj Read]]="N/A",IF(Table1[[#This Row],[Std Adj Read]]&lt;Table1[[#This Row],[High Tol]],"Pass","Fail"),IF(Table1[[#This Row],[DUT Adj Read]]&lt;Table1[[#This Row],[High Tol]],"Pass","Fail")))</f>
        <v>Fail</v>
      </c>
      <c r="AF914" s="1" t="str">
        <f>IF(AND(Table1[[#This Row],[Spec Type2]]="N/A",Table1[[#This Row],[DUT Adj Read]]="N/A",Table1[[#This Row],[Std Adj Read]]="N/A"),"N/A",IF(Table1[[#This Row],[DUT Adj Read]]="N/A",IF(Table1[[#This Row],[Std Adj Read]]&gt;=Table1[[#This Row],[Low Tol]],"Pass","Fail"),IF(Table1[[#This Row],[DUT Adj Read]]&gt;=Table1[[#This Row],[Low Tol]],"Pass","Fail")))</f>
        <v>Pass</v>
      </c>
      <c r="AG914" s="1" t="str">
        <f>IF(AND(Table1[[#This Row],[Spec Type2]]="N/A",Table1[[#This Row],[DUT Adj Read]]="N/A",Table1[[#This Row],[Std Adj Read]]="N/A"),"N/A",IF(Table1[[#This Row],[DUT Adj Read]]="N/A",IF(Table1[[#This Row],[Std Adj Read]]&lt;=Table1[[#This Row],[High Tol]],"Pass","Fail"),IF(Table1[[#This Row],[DUT Adj Read]]&lt;=Table1[[#This Row],[High Tol]],"Pass","Fail")))</f>
        <v>Fail</v>
      </c>
      <c r="AH9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4" s="1" t="b">
        <v>0</v>
      </c>
      <c r="AN914" s="1" t="b">
        <v>0</v>
      </c>
      <c r="AO914" s="1" t="b">
        <v>0</v>
      </c>
    </row>
    <row r="915" spans="1:41" x14ac:dyDescent="0.25">
      <c r="A915" s="10"/>
      <c r="B915" s="10"/>
      <c r="C915" s="10"/>
      <c r="D915" s="10"/>
      <c r="E915" s="10"/>
      <c r="F915" s="10"/>
      <c r="G915" s="10"/>
      <c r="H915" s="10"/>
      <c r="I915" s="1" t="str">
        <f t="shared" si="42"/>
        <v/>
      </c>
      <c r="J915" s="1" t="s">
        <v>35</v>
      </c>
      <c r="K915" s="1" t="str">
        <f t="shared" si="43"/>
        <v/>
      </c>
      <c r="L915" s="1" t="str">
        <f t="shared" si="44"/>
        <v/>
      </c>
      <c r="M915" s="1">
        <f>IF(OR(Table1[[#This Row],[Std Nom]]="",Table1[[#This Row],[Std Read]]=""),0,Table1[[#This Row],[Std Nom]]-Table1[[#This Row],[Std Read]])</f>
        <v>0</v>
      </c>
      <c r="N915" s="1">
        <f>IF(Calculations!$F$5="ACCREDITED 17025 WITH UNCERTAINTIES",$N$10,0)</f>
        <v>0</v>
      </c>
      <c r="O915" s="1" t="str">
        <f>IFERROR(Table1[[#This Row],[Std Nom]]-(_xlfn.XLOOKUP(Table1[[#This Row],[Manufacturer]]&amp;" "&amp;Table1[[#This Row],[Model]],Table13[MFR &amp; MDL],Table13[Tolerance % CW ],"")/100*Table1[[#This Row],[Std Nom]]),"")</f>
        <v/>
      </c>
      <c r="P915" s="1" t="str">
        <f>IFERROR(Table1[[#This Row],[Std Nom]]+(_xlfn.XLOOKUP(Table1[[#This Row],[Manufacturer]]&amp;" "&amp;Table1[[#This Row],[Model]],Table13[MFR &amp; MDL],Table13[Tolerance % CW ],"")/100*Table1[[#This Row],[Std Nom]]),"")</f>
        <v/>
      </c>
      <c r="Q915" s="1" t="e">
        <f>Table1[[#This Row],[High Tol]]-Table1[[#This Row],[Low Tol]]</f>
        <v>#VALUE!</v>
      </c>
      <c r="R915" s="1">
        <f>2*Table1[[#This Row],[Std Error]]</f>
        <v>0</v>
      </c>
      <c r="S915" s="1" t="str">
        <f>IF(Table1[[#This Row],[High Tol]]="","N/A",IFERROR(ABS(Table1[[#This Row],[Tol Span]]/Table1[[#This Row],[Error Span]]),"N/A"))</f>
        <v>N/A</v>
      </c>
      <c r="T915" s="1" t="str">
        <f>IF(OR(Table1[[#This Row],[Low Tol]]="",Table1[[#This Row],[High Tol]]=""),"Needs Analysis",IF(Table1[[#This Row],[Ratio]]&gt;=4,"Not Significant",IF(Table1[[#This Row],[Ratio]]&gt;=2,"Semi-Significant","Significant")))</f>
        <v>Needs Analysis</v>
      </c>
      <c r="W915" s="1">
        <f>IF(Table1[[#This Row],[Cal Type]]&lt;&gt;"ACCREDITED 17025 WITH UNCERTAINTIES",0,"")</f>
        <v>0</v>
      </c>
      <c r="X915" s="1" t="str">
        <f>IF(Table1[[#This Row],[DUT Read]]="","N/A",Table1[[#This Row],[Std Error]]+Table1[[#This Row],[DUT Read]]+Table1[[#This Row],[DUT Ucty]])</f>
        <v>N/A</v>
      </c>
      <c r="Y915" s="1" t="str">
        <f>IF(Table1[[#This Row],[Std Read]]="","N/A",Table1[[#This Row],[Std Read]]+Table1[[#This Row],[Std Ucty]])</f>
        <v>N/A</v>
      </c>
      <c r="Z9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5" s="1" t="str">
        <f>IF(Table1[[#This Row],[Spec Type]]="","N/A",Table1[[#This Row],[Spec Type]])</f>
        <v>±</v>
      </c>
      <c r="AC915" s="1" t="str">
        <f>IF(Table1[[#This Row],[Spec Type2]]="N/A","N/A",IF(AND(Table1[[#This Row],[DUT Adj Read]]&gt;=Table1[[#This Row],[Low Tol]],Table1[[#This Row],[DUT Adj Read]]&lt;=Table1[[#This Row],[High Tol]]),"Pass","Fail"))</f>
        <v>Fail</v>
      </c>
      <c r="AD915" s="1" t="str">
        <f>IF(AND(Table1[[#This Row],[Spec Type2]]="N/A",Table1[[#This Row],[DUT Adj Read]]="N/A",Table1[[#This Row],[Std Adj Read]]="N/A"),"N/A",IF(Table1[[#This Row],[DUT Adj Read]]="N/A",IF(Table1[[#This Row],[Std Adj Read]]&gt;Table1[[#This Row],[Low Tol]],"Pass","Fail"),IF(Table1[[#This Row],[DUT Adj Read]]&gt;Table1[[#This Row],[Low Tol]],"Pass","Fail")))</f>
        <v>Pass</v>
      </c>
      <c r="AE915" s="1" t="str">
        <f>IF(AND(Table1[[#This Row],[Spec Type2]]="N/A",Table1[[#This Row],[DUT Adj Read]]="N/A",Table1[[#This Row],[Std Adj Read]]="N/A"),"N/A",IF(Table1[[#This Row],[DUT Adj Read]]="N/A",IF(Table1[[#This Row],[Std Adj Read]]&lt;Table1[[#This Row],[High Tol]],"Pass","Fail"),IF(Table1[[#This Row],[DUT Adj Read]]&lt;Table1[[#This Row],[High Tol]],"Pass","Fail")))</f>
        <v>Fail</v>
      </c>
      <c r="AF915" s="1" t="str">
        <f>IF(AND(Table1[[#This Row],[Spec Type2]]="N/A",Table1[[#This Row],[DUT Adj Read]]="N/A",Table1[[#This Row],[Std Adj Read]]="N/A"),"N/A",IF(Table1[[#This Row],[DUT Adj Read]]="N/A",IF(Table1[[#This Row],[Std Adj Read]]&gt;=Table1[[#This Row],[Low Tol]],"Pass","Fail"),IF(Table1[[#This Row],[DUT Adj Read]]&gt;=Table1[[#This Row],[Low Tol]],"Pass","Fail")))</f>
        <v>Pass</v>
      </c>
      <c r="AG915" s="1" t="str">
        <f>IF(AND(Table1[[#This Row],[Spec Type2]]="N/A",Table1[[#This Row],[DUT Adj Read]]="N/A",Table1[[#This Row],[Std Adj Read]]="N/A"),"N/A",IF(Table1[[#This Row],[DUT Adj Read]]="N/A",IF(Table1[[#This Row],[Std Adj Read]]&lt;=Table1[[#This Row],[High Tol]],"Pass","Fail"),IF(Table1[[#This Row],[DUT Adj Read]]&lt;=Table1[[#This Row],[High Tol]],"Pass","Fail")))</f>
        <v>Fail</v>
      </c>
      <c r="AH9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5" s="1" t="b">
        <v>0</v>
      </c>
      <c r="AN915" s="1" t="b">
        <v>0</v>
      </c>
      <c r="AO915" s="1" t="b">
        <v>0</v>
      </c>
    </row>
    <row r="916" spans="1:41" x14ac:dyDescent="0.25">
      <c r="A916" s="10"/>
      <c r="B916" s="10"/>
      <c r="C916" s="10"/>
      <c r="D916" s="10"/>
      <c r="E916" s="10"/>
      <c r="F916" s="10"/>
      <c r="G916" s="10"/>
      <c r="H916" s="10"/>
      <c r="I916" s="1" t="str">
        <f t="shared" si="42"/>
        <v/>
      </c>
      <c r="J916" s="1" t="s">
        <v>35</v>
      </c>
      <c r="K916" s="1" t="str">
        <f t="shared" si="43"/>
        <v/>
      </c>
      <c r="L916" s="1" t="str">
        <f t="shared" si="44"/>
        <v/>
      </c>
      <c r="M916" s="1">
        <f>IF(OR(Table1[[#This Row],[Std Nom]]="",Table1[[#This Row],[Std Read]]=""),0,Table1[[#This Row],[Std Nom]]-Table1[[#This Row],[Std Read]])</f>
        <v>0</v>
      </c>
      <c r="N916" s="1">
        <f>IF(Calculations!$F$5="ACCREDITED 17025 WITH UNCERTAINTIES",$N$10,0)</f>
        <v>0</v>
      </c>
      <c r="O916" s="1" t="str">
        <f>IFERROR(Table1[[#This Row],[Std Nom]]-(_xlfn.XLOOKUP(Table1[[#This Row],[Manufacturer]]&amp;" "&amp;Table1[[#This Row],[Model]],Table13[MFR &amp; MDL],Table13[Tolerance % CW ],"")/100*Table1[[#This Row],[Std Nom]]),"")</f>
        <v/>
      </c>
      <c r="P916" s="1" t="str">
        <f>IFERROR(Table1[[#This Row],[Std Nom]]+(_xlfn.XLOOKUP(Table1[[#This Row],[Manufacturer]]&amp;" "&amp;Table1[[#This Row],[Model]],Table13[MFR &amp; MDL],Table13[Tolerance % CW ],"")/100*Table1[[#This Row],[Std Nom]]),"")</f>
        <v/>
      </c>
      <c r="Q916" s="1" t="e">
        <f>Table1[[#This Row],[High Tol]]-Table1[[#This Row],[Low Tol]]</f>
        <v>#VALUE!</v>
      </c>
      <c r="R916" s="1">
        <f>2*Table1[[#This Row],[Std Error]]</f>
        <v>0</v>
      </c>
      <c r="S916" s="1" t="str">
        <f>IF(Table1[[#This Row],[High Tol]]="","N/A",IFERROR(ABS(Table1[[#This Row],[Tol Span]]/Table1[[#This Row],[Error Span]]),"N/A"))</f>
        <v>N/A</v>
      </c>
      <c r="T916" s="1" t="str">
        <f>IF(OR(Table1[[#This Row],[Low Tol]]="",Table1[[#This Row],[High Tol]]=""),"Needs Analysis",IF(Table1[[#This Row],[Ratio]]&gt;=4,"Not Significant",IF(Table1[[#This Row],[Ratio]]&gt;=2,"Semi-Significant","Significant")))</f>
        <v>Needs Analysis</v>
      </c>
      <c r="W916" s="1">
        <f>IF(Table1[[#This Row],[Cal Type]]&lt;&gt;"ACCREDITED 17025 WITH UNCERTAINTIES",0,"")</f>
        <v>0</v>
      </c>
      <c r="X916" s="1" t="str">
        <f>IF(Table1[[#This Row],[DUT Read]]="","N/A",Table1[[#This Row],[Std Error]]+Table1[[#This Row],[DUT Read]]+Table1[[#This Row],[DUT Ucty]])</f>
        <v>N/A</v>
      </c>
      <c r="Y916" s="1" t="str">
        <f>IF(Table1[[#This Row],[Std Read]]="","N/A",Table1[[#This Row],[Std Read]]+Table1[[#This Row],[Std Ucty]])</f>
        <v>N/A</v>
      </c>
      <c r="Z9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6" s="1" t="str">
        <f>IF(Table1[[#This Row],[Spec Type]]="","N/A",Table1[[#This Row],[Spec Type]])</f>
        <v>±</v>
      </c>
      <c r="AC916" s="1" t="str">
        <f>IF(Table1[[#This Row],[Spec Type2]]="N/A","N/A",IF(AND(Table1[[#This Row],[DUT Adj Read]]&gt;=Table1[[#This Row],[Low Tol]],Table1[[#This Row],[DUT Adj Read]]&lt;=Table1[[#This Row],[High Tol]]),"Pass","Fail"))</f>
        <v>Fail</v>
      </c>
      <c r="AD916" s="1" t="str">
        <f>IF(AND(Table1[[#This Row],[Spec Type2]]="N/A",Table1[[#This Row],[DUT Adj Read]]="N/A",Table1[[#This Row],[Std Adj Read]]="N/A"),"N/A",IF(Table1[[#This Row],[DUT Adj Read]]="N/A",IF(Table1[[#This Row],[Std Adj Read]]&gt;Table1[[#This Row],[Low Tol]],"Pass","Fail"),IF(Table1[[#This Row],[DUT Adj Read]]&gt;Table1[[#This Row],[Low Tol]],"Pass","Fail")))</f>
        <v>Pass</v>
      </c>
      <c r="AE916" s="1" t="str">
        <f>IF(AND(Table1[[#This Row],[Spec Type2]]="N/A",Table1[[#This Row],[DUT Adj Read]]="N/A",Table1[[#This Row],[Std Adj Read]]="N/A"),"N/A",IF(Table1[[#This Row],[DUT Adj Read]]="N/A",IF(Table1[[#This Row],[Std Adj Read]]&lt;Table1[[#This Row],[High Tol]],"Pass","Fail"),IF(Table1[[#This Row],[DUT Adj Read]]&lt;Table1[[#This Row],[High Tol]],"Pass","Fail")))</f>
        <v>Fail</v>
      </c>
      <c r="AF916" s="1" t="str">
        <f>IF(AND(Table1[[#This Row],[Spec Type2]]="N/A",Table1[[#This Row],[DUT Adj Read]]="N/A",Table1[[#This Row],[Std Adj Read]]="N/A"),"N/A",IF(Table1[[#This Row],[DUT Adj Read]]="N/A",IF(Table1[[#This Row],[Std Adj Read]]&gt;=Table1[[#This Row],[Low Tol]],"Pass","Fail"),IF(Table1[[#This Row],[DUT Adj Read]]&gt;=Table1[[#This Row],[Low Tol]],"Pass","Fail")))</f>
        <v>Pass</v>
      </c>
      <c r="AG916" s="1" t="str">
        <f>IF(AND(Table1[[#This Row],[Spec Type2]]="N/A",Table1[[#This Row],[DUT Adj Read]]="N/A",Table1[[#This Row],[Std Adj Read]]="N/A"),"N/A",IF(Table1[[#This Row],[DUT Adj Read]]="N/A",IF(Table1[[#This Row],[Std Adj Read]]&lt;=Table1[[#This Row],[High Tol]],"Pass","Fail"),IF(Table1[[#This Row],[DUT Adj Read]]&lt;=Table1[[#This Row],[High Tol]],"Pass","Fail")))</f>
        <v>Fail</v>
      </c>
      <c r="AH9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6" s="1" t="b">
        <v>0</v>
      </c>
      <c r="AN916" s="1" t="b">
        <v>0</v>
      </c>
      <c r="AO916" s="1" t="b">
        <v>0</v>
      </c>
    </row>
    <row r="917" spans="1:41" x14ac:dyDescent="0.25">
      <c r="A917" s="10"/>
      <c r="B917" s="10"/>
      <c r="C917" s="10"/>
      <c r="D917" s="10"/>
      <c r="E917" s="10"/>
      <c r="F917" s="10"/>
      <c r="G917" s="10"/>
      <c r="H917" s="10"/>
      <c r="I917" s="1" t="str">
        <f t="shared" si="42"/>
        <v/>
      </c>
      <c r="J917" s="1" t="s">
        <v>35</v>
      </c>
      <c r="K917" s="1" t="str">
        <f t="shared" si="43"/>
        <v/>
      </c>
      <c r="L917" s="1" t="str">
        <f t="shared" si="44"/>
        <v/>
      </c>
      <c r="M917" s="1">
        <f>IF(OR(Table1[[#This Row],[Std Nom]]="",Table1[[#This Row],[Std Read]]=""),0,Table1[[#This Row],[Std Nom]]-Table1[[#This Row],[Std Read]])</f>
        <v>0</v>
      </c>
      <c r="N917" s="1">
        <f>IF(Calculations!$F$5="ACCREDITED 17025 WITH UNCERTAINTIES",$N$10,0)</f>
        <v>0</v>
      </c>
      <c r="O917" s="1" t="str">
        <f>IFERROR(Table1[[#This Row],[Std Nom]]-(_xlfn.XLOOKUP(Table1[[#This Row],[Manufacturer]]&amp;" "&amp;Table1[[#This Row],[Model]],Table13[MFR &amp; MDL],Table13[Tolerance % CW ],"")/100*Table1[[#This Row],[Std Nom]]),"")</f>
        <v/>
      </c>
      <c r="P917" s="1" t="str">
        <f>IFERROR(Table1[[#This Row],[Std Nom]]+(_xlfn.XLOOKUP(Table1[[#This Row],[Manufacturer]]&amp;" "&amp;Table1[[#This Row],[Model]],Table13[MFR &amp; MDL],Table13[Tolerance % CW ],"")/100*Table1[[#This Row],[Std Nom]]),"")</f>
        <v/>
      </c>
      <c r="Q917" s="1" t="e">
        <f>Table1[[#This Row],[High Tol]]-Table1[[#This Row],[Low Tol]]</f>
        <v>#VALUE!</v>
      </c>
      <c r="R917" s="1">
        <f>2*Table1[[#This Row],[Std Error]]</f>
        <v>0</v>
      </c>
      <c r="S917" s="1" t="str">
        <f>IF(Table1[[#This Row],[High Tol]]="","N/A",IFERROR(ABS(Table1[[#This Row],[Tol Span]]/Table1[[#This Row],[Error Span]]),"N/A"))</f>
        <v>N/A</v>
      </c>
      <c r="T917" s="1" t="str">
        <f>IF(OR(Table1[[#This Row],[Low Tol]]="",Table1[[#This Row],[High Tol]]=""),"Needs Analysis",IF(Table1[[#This Row],[Ratio]]&gt;=4,"Not Significant",IF(Table1[[#This Row],[Ratio]]&gt;=2,"Semi-Significant","Significant")))</f>
        <v>Needs Analysis</v>
      </c>
      <c r="W917" s="1">
        <f>IF(Table1[[#This Row],[Cal Type]]&lt;&gt;"ACCREDITED 17025 WITH UNCERTAINTIES",0,"")</f>
        <v>0</v>
      </c>
      <c r="X917" s="1" t="str">
        <f>IF(Table1[[#This Row],[DUT Read]]="","N/A",Table1[[#This Row],[Std Error]]+Table1[[#This Row],[DUT Read]]+Table1[[#This Row],[DUT Ucty]])</f>
        <v>N/A</v>
      </c>
      <c r="Y917" s="1" t="str">
        <f>IF(Table1[[#This Row],[Std Read]]="","N/A",Table1[[#This Row],[Std Read]]+Table1[[#This Row],[Std Ucty]])</f>
        <v>N/A</v>
      </c>
      <c r="Z9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7" s="1" t="str">
        <f>IF(Table1[[#This Row],[Spec Type]]="","N/A",Table1[[#This Row],[Spec Type]])</f>
        <v>±</v>
      </c>
      <c r="AC917" s="1" t="str">
        <f>IF(Table1[[#This Row],[Spec Type2]]="N/A","N/A",IF(AND(Table1[[#This Row],[DUT Adj Read]]&gt;=Table1[[#This Row],[Low Tol]],Table1[[#This Row],[DUT Adj Read]]&lt;=Table1[[#This Row],[High Tol]]),"Pass","Fail"))</f>
        <v>Fail</v>
      </c>
      <c r="AD917" s="1" t="str">
        <f>IF(AND(Table1[[#This Row],[Spec Type2]]="N/A",Table1[[#This Row],[DUT Adj Read]]="N/A",Table1[[#This Row],[Std Adj Read]]="N/A"),"N/A",IF(Table1[[#This Row],[DUT Adj Read]]="N/A",IF(Table1[[#This Row],[Std Adj Read]]&gt;Table1[[#This Row],[Low Tol]],"Pass","Fail"),IF(Table1[[#This Row],[DUT Adj Read]]&gt;Table1[[#This Row],[Low Tol]],"Pass","Fail")))</f>
        <v>Pass</v>
      </c>
      <c r="AE917" s="1" t="str">
        <f>IF(AND(Table1[[#This Row],[Spec Type2]]="N/A",Table1[[#This Row],[DUT Adj Read]]="N/A",Table1[[#This Row],[Std Adj Read]]="N/A"),"N/A",IF(Table1[[#This Row],[DUT Adj Read]]="N/A",IF(Table1[[#This Row],[Std Adj Read]]&lt;Table1[[#This Row],[High Tol]],"Pass","Fail"),IF(Table1[[#This Row],[DUT Adj Read]]&lt;Table1[[#This Row],[High Tol]],"Pass","Fail")))</f>
        <v>Fail</v>
      </c>
      <c r="AF917" s="1" t="str">
        <f>IF(AND(Table1[[#This Row],[Spec Type2]]="N/A",Table1[[#This Row],[DUT Adj Read]]="N/A",Table1[[#This Row],[Std Adj Read]]="N/A"),"N/A",IF(Table1[[#This Row],[DUT Adj Read]]="N/A",IF(Table1[[#This Row],[Std Adj Read]]&gt;=Table1[[#This Row],[Low Tol]],"Pass","Fail"),IF(Table1[[#This Row],[DUT Adj Read]]&gt;=Table1[[#This Row],[Low Tol]],"Pass","Fail")))</f>
        <v>Pass</v>
      </c>
      <c r="AG917" s="1" t="str">
        <f>IF(AND(Table1[[#This Row],[Spec Type2]]="N/A",Table1[[#This Row],[DUT Adj Read]]="N/A",Table1[[#This Row],[Std Adj Read]]="N/A"),"N/A",IF(Table1[[#This Row],[DUT Adj Read]]="N/A",IF(Table1[[#This Row],[Std Adj Read]]&lt;=Table1[[#This Row],[High Tol]],"Pass","Fail"),IF(Table1[[#This Row],[DUT Adj Read]]&lt;=Table1[[#This Row],[High Tol]],"Pass","Fail")))</f>
        <v>Fail</v>
      </c>
      <c r="AH9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7" s="1" t="b">
        <v>0</v>
      </c>
      <c r="AN917" s="1" t="b">
        <v>0</v>
      </c>
      <c r="AO917" s="1" t="b">
        <v>0</v>
      </c>
    </row>
    <row r="918" spans="1:41" x14ac:dyDescent="0.25">
      <c r="A918" s="10"/>
      <c r="B918" s="10"/>
      <c r="C918" s="10"/>
      <c r="D918" s="10"/>
      <c r="E918" s="10"/>
      <c r="F918" s="10"/>
      <c r="G918" s="10"/>
      <c r="H918" s="10"/>
      <c r="I918" s="1" t="str">
        <f t="shared" si="42"/>
        <v/>
      </c>
      <c r="J918" s="1" t="s">
        <v>35</v>
      </c>
      <c r="K918" s="1" t="str">
        <f t="shared" si="43"/>
        <v/>
      </c>
      <c r="L918" s="1" t="str">
        <f t="shared" si="44"/>
        <v/>
      </c>
      <c r="M918" s="1">
        <f>IF(OR(Table1[[#This Row],[Std Nom]]="",Table1[[#This Row],[Std Read]]=""),0,Table1[[#This Row],[Std Nom]]-Table1[[#This Row],[Std Read]])</f>
        <v>0</v>
      </c>
      <c r="N918" s="1">
        <f>IF(Calculations!$F$5="ACCREDITED 17025 WITH UNCERTAINTIES",$N$10,0)</f>
        <v>0</v>
      </c>
      <c r="O918" s="1" t="str">
        <f>IFERROR(Table1[[#This Row],[Std Nom]]-(_xlfn.XLOOKUP(Table1[[#This Row],[Manufacturer]]&amp;" "&amp;Table1[[#This Row],[Model]],Table13[MFR &amp; MDL],Table13[Tolerance % CW ],"")/100*Table1[[#This Row],[Std Nom]]),"")</f>
        <v/>
      </c>
      <c r="P918" s="1" t="str">
        <f>IFERROR(Table1[[#This Row],[Std Nom]]+(_xlfn.XLOOKUP(Table1[[#This Row],[Manufacturer]]&amp;" "&amp;Table1[[#This Row],[Model]],Table13[MFR &amp; MDL],Table13[Tolerance % CW ],"")/100*Table1[[#This Row],[Std Nom]]),"")</f>
        <v/>
      </c>
      <c r="Q918" s="1" t="e">
        <f>Table1[[#This Row],[High Tol]]-Table1[[#This Row],[Low Tol]]</f>
        <v>#VALUE!</v>
      </c>
      <c r="R918" s="1">
        <f>2*Table1[[#This Row],[Std Error]]</f>
        <v>0</v>
      </c>
      <c r="S918" s="1" t="str">
        <f>IF(Table1[[#This Row],[High Tol]]="","N/A",IFERROR(ABS(Table1[[#This Row],[Tol Span]]/Table1[[#This Row],[Error Span]]),"N/A"))</f>
        <v>N/A</v>
      </c>
      <c r="T918" s="1" t="str">
        <f>IF(OR(Table1[[#This Row],[Low Tol]]="",Table1[[#This Row],[High Tol]]=""),"Needs Analysis",IF(Table1[[#This Row],[Ratio]]&gt;=4,"Not Significant",IF(Table1[[#This Row],[Ratio]]&gt;=2,"Semi-Significant","Significant")))</f>
        <v>Needs Analysis</v>
      </c>
      <c r="W918" s="1">
        <f>IF(Table1[[#This Row],[Cal Type]]&lt;&gt;"ACCREDITED 17025 WITH UNCERTAINTIES",0,"")</f>
        <v>0</v>
      </c>
      <c r="X918" s="1" t="str">
        <f>IF(Table1[[#This Row],[DUT Read]]="","N/A",Table1[[#This Row],[Std Error]]+Table1[[#This Row],[DUT Read]]+Table1[[#This Row],[DUT Ucty]])</f>
        <v>N/A</v>
      </c>
      <c r="Y918" s="1" t="str">
        <f>IF(Table1[[#This Row],[Std Read]]="","N/A",Table1[[#This Row],[Std Read]]+Table1[[#This Row],[Std Ucty]])</f>
        <v>N/A</v>
      </c>
      <c r="Z9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8" s="1" t="str">
        <f>IF(Table1[[#This Row],[Spec Type]]="","N/A",Table1[[#This Row],[Spec Type]])</f>
        <v>±</v>
      </c>
      <c r="AC918" s="1" t="str">
        <f>IF(Table1[[#This Row],[Spec Type2]]="N/A","N/A",IF(AND(Table1[[#This Row],[DUT Adj Read]]&gt;=Table1[[#This Row],[Low Tol]],Table1[[#This Row],[DUT Adj Read]]&lt;=Table1[[#This Row],[High Tol]]),"Pass","Fail"))</f>
        <v>Fail</v>
      </c>
      <c r="AD918" s="1" t="str">
        <f>IF(AND(Table1[[#This Row],[Spec Type2]]="N/A",Table1[[#This Row],[DUT Adj Read]]="N/A",Table1[[#This Row],[Std Adj Read]]="N/A"),"N/A",IF(Table1[[#This Row],[DUT Adj Read]]="N/A",IF(Table1[[#This Row],[Std Adj Read]]&gt;Table1[[#This Row],[Low Tol]],"Pass","Fail"),IF(Table1[[#This Row],[DUT Adj Read]]&gt;Table1[[#This Row],[Low Tol]],"Pass","Fail")))</f>
        <v>Pass</v>
      </c>
      <c r="AE918" s="1" t="str">
        <f>IF(AND(Table1[[#This Row],[Spec Type2]]="N/A",Table1[[#This Row],[DUT Adj Read]]="N/A",Table1[[#This Row],[Std Adj Read]]="N/A"),"N/A",IF(Table1[[#This Row],[DUT Adj Read]]="N/A",IF(Table1[[#This Row],[Std Adj Read]]&lt;Table1[[#This Row],[High Tol]],"Pass","Fail"),IF(Table1[[#This Row],[DUT Adj Read]]&lt;Table1[[#This Row],[High Tol]],"Pass","Fail")))</f>
        <v>Fail</v>
      </c>
      <c r="AF918" s="1" t="str">
        <f>IF(AND(Table1[[#This Row],[Spec Type2]]="N/A",Table1[[#This Row],[DUT Adj Read]]="N/A",Table1[[#This Row],[Std Adj Read]]="N/A"),"N/A",IF(Table1[[#This Row],[DUT Adj Read]]="N/A",IF(Table1[[#This Row],[Std Adj Read]]&gt;=Table1[[#This Row],[Low Tol]],"Pass","Fail"),IF(Table1[[#This Row],[DUT Adj Read]]&gt;=Table1[[#This Row],[Low Tol]],"Pass","Fail")))</f>
        <v>Pass</v>
      </c>
      <c r="AG918" s="1" t="str">
        <f>IF(AND(Table1[[#This Row],[Spec Type2]]="N/A",Table1[[#This Row],[DUT Adj Read]]="N/A",Table1[[#This Row],[Std Adj Read]]="N/A"),"N/A",IF(Table1[[#This Row],[DUT Adj Read]]="N/A",IF(Table1[[#This Row],[Std Adj Read]]&lt;=Table1[[#This Row],[High Tol]],"Pass","Fail"),IF(Table1[[#This Row],[DUT Adj Read]]&lt;=Table1[[#This Row],[High Tol]],"Pass","Fail")))</f>
        <v>Fail</v>
      </c>
      <c r="AH9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8" s="1" t="b">
        <v>0</v>
      </c>
      <c r="AN918" s="1" t="b">
        <v>0</v>
      </c>
      <c r="AO918" s="1" t="b">
        <v>0</v>
      </c>
    </row>
    <row r="919" spans="1:41" x14ac:dyDescent="0.25">
      <c r="A919" s="10"/>
      <c r="B919" s="10"/>
      <c r="C919" s="10"/>
      <c r="D919" s="10"/>
      <c r="E919" s="10"/>
      <c r="F919" s="10"/>
      <c r="G919" s="10"/>
      <c r="H919" s="10"/>
      <c r="I919" s="1" t="str">
        <f t="shared" si="42"/>
        <v/>
      </c>
      <c r="J919" s="1" t="s">
        <v>35</v>
      </c>
      <c r="K919" s="1" t="str">
        <f t="shared" si="43"/>
        <v/>
      </c>
      <c r="L919" s="1" t="str">
        <f t="shared" si="44"/>
        <v/>
      </c>
      <c r="M919" s="1">
        <f>IF(OR(Table1[[#This Row],[Std Nom]]="",Table1[[#This Row],[Std Read]]=""),0,Table1[[#This Row],[Std Nom]]-Table1[[#This Row],[Std Read]])</f>
        <v>0</v>
      </c>
      <c r="N919" s="1">
        <f>IF(Calculations!$F$5="ACCREDITED 17025 WITH UNCERTAINTIES",$N$10,0)</f>
        <v>0</v>
      </c>
      <c r="O919" s="1" t="str">
        <f>IFERROR(Table1[[#This Row],[Std Nom]]-(_xlfn.XLOOKUP(Table1[[#This Row],[Manufacturer]]&amp;" "&amp;Table1[[#This Row],[Model]],Table13[MFR &amp; MDL],Table13[Tolerance % CW ],"")/100*Table1[[#This Row],[Std Nom]]),"")</f>
        <v/>
      </c>
      <c r="P919" s="1" t="str">
        <f>IFERROR(Table1[[#This Row],[Std Nom]]+(_xlfn.XLOOKUP(Table1[[#This Row],[Manufacturer]]&amp;" "&amp;Table1[[#This Row],[Model]],Table13[MFR &amp; MDL],Table13[Tolerance % CW ],"")/100*Table1[[#This Row],[Std Nom]]),"")</f>
        <v/>
      </c>
      <c r="Q919" s="1" t="e">
        <f>Table1[[#This Row],[High Tol]]-Table1[[#This Row],[Low Tol]]</f>
        <v>#VALUE!</v>
      </c>
      <c r="R919" s="1">
        <f>2*Table1[[#This Row],[Std Error]]</f>
        <v>0</v>
      </c>
      <c r="S919" s="1" t="str">
        <f>IF(Table1[[#This Row],[High Tol]]="","N/A",IFERROR(ABS(Table1[[#This Row],[Tol Span]]/Table1[[#This Row],[Error Span]]),"N/A"))</f>
        <v>N/A</v>
      </c>
      <c r="T919" s="1" t="str">
        <f>IF(OR(Table1[[#This Row],[Low Tol]]="",Table1[[#This Row],[High Tol]]=""),"Needs Analysis",IF(Table1[[#This Row],[Ratio]]&gt;=4,"Not Significant",IF(Table1[[#This Row],[Ratio]]&gt;=2,"Semi-Significant","Significant")))</f>
        <v>Needs Analysis</v>
      </c>
      <c r="W919" s="1">
        <f>IF(Table1[[#This Row],[Cal Type]]&lt;&gt;"ACCREDITED 17025 WITH UNCERTAINTIES",0,"")</f>
        <v>0</v>
      </c>
      <c r="X919" s="1" t="str">
        <f>IF(Table1[[#This Row],[DUT Read]]="","N/A",Table1[[#This Row],[Std Error]]+Table1[[#This Row],[DUT Read]]+Table1[[#This Row],[DUT Ucty]])</f>
        <v>N/A</v>
      </c>
      <c r="Y919" s="1" t="str">
        <f>IF(Table1[[#This Row],[Std Read]]="","N/A",Table1[[#This Row],[Std Read]]+Table1[[#This Row],[Std Ucty]])</f>
        <v>N/A</v>
      </c>
      <c r="Z9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9" s="1" t="str">
        <f>IF(Table1[[#This Row],[Spec Type]]="","N/A",Table1[[#This Row],[Spec Type]])</f>
        <v>±</v>
      </c>
      <c r="AC919" s="1" t="str">
        <f>IF(Table1[[#This Row],[Spec Type2]]="N/A","N/A",IF(AND(Table1[[#This Row],[DUT Adj Read]]&gt;=Table1[[#This Row],[Low Tol]],Table1[[#This Row],[DUT Adj Read]]&lt;=Table1[[#This Row],[High Tol]]),"Pass","Fail"))</f>
        <v>Fail</v>
      </c>
      <c r="AD919" s="1" t="str">
        <f>IF(AND(Table1[[#This Row],[Spec Type2]]="N/A",Table1[[#This Row],[DUT Adj Read]]="N/A",Table1[[#This Row],[Std Adj Read]]="N/A"),"N/A",IF(Table1[[#This Row],[DUT Adj Read]]="N/A",IF(Table1[[#This Row],[Std Adj Read]]&gt;Table1[[#This Row],[Low Tol]],"Pass","Fail"),IF(Table1[[#This Row],[DUT Adj Read]]&gt;Table1[[#This Row],[Low Tol]],"Pass","Fail")))</f>
        <v>Pass</v>
      </c>
      <c r="AE919" s="1" t="str">
        <f>IF(AND(Table1[[#This Row],[Spec Type2]]="N/A",Table1[[#This Row],[DUT Adj Read]]="N/A",Table1[[#This Row],[Std Adj Read]]="N/A"),"N/A",IF(Table1[[#This Row],[DUT Adj Read]]="N/A",IF(Table1[[#This Row],[Std Adj Read]]&lt;Table1[[#This Row],[High Tol]],"Pass","Fail"),IF(Table1[[#This Row],[DUT Adj Read]]&lt;Table1[[#This Row],[High Tol]],"Pass","Fail")))</f>
        <v>Fail</v>
      </c>
      <c r="AF919" s="1" t="str">
        <f>IF(AND(Table1[[#This Row],[Spec Type2]]="N/A",Table1[[#This Row],[DUT Adj Read]]="N/A",Table1[[#This Row],[Std Adj Read]]="N/A"),"N/A",IF(Table1[[#This Row],[DUT Adj Read]]="N/A",IF(Table1[[#This Row],[Std Adj Read]]&gt;=Table1[[#This Row],[Low Tol]],"Pass","Fail"),IF(Table1[[#This Row],[DUT Adj Read]]&gt;=Table1[[#This Row],[Low Tol]],"Pass","Fail")))</f>
        <v>Pass</v>
      </c>
      <c r="AG919" s="1" t="str">
        <f>IF(AND(Table1[[#This Row],[Spec Type2]]="N/A",Table1[[#This Row],[DUT Adj Read]]="N/A",Table1[[#This Row],[Std Adj Read]]="N/A"),"N/A",IF(Table1[[#This Row],[DUT Adj Read]]="N/A",IF(Table1[[#This Row],[Std Adj Read]]&lt;=Table1[[#This Row],[High Tol]],"Pass","Fail"),IF(Table1[[#This Row],[DUT Adj Read]]&lt;=Table1[[#This Row],[High Tol]],"Pass","Fail")))</f>
        <v>Fail</v>
      </c>
      <c r="AH9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9" s="1" t="b">
        <v>0</v>
      </c>
      <c r="AN919" s="1" t="b">
        <v>0</v>
      </c>
      <c r="AO919" s="1" t="b">
        <v>0</v>
      </c>
    </row>
    <row r="920" spans="1:41" x14ac:dyDescent="0.25">
      <c r="A920" s="10"/>
      <c r="B920" s="10"/>
      <c r="C920" s="10"/>
      <c r="D920" s="10"/>
      <c r="E920" s="10"/>
      <c r="F920" s="10"/>
      <c r="G920" s="10"/>
      <c r="H920" s="10"/>
      <c r="I920" s="1" t="str">
        <f t="shared" si="42"/>
        <v/>
      </c>
      <c r="J920" s="1" t="s">
        <v>35</v>
      </c>
      <c r="K920" s="1" t="str">
        <f t="shared" si="43"/>
        <v/>
      </c>
      <c r="L920" s="1" t="str">
        <f t="shared" si="44"/>
        <v/>
      </c>
      <c r="M920" s="1">
        <f>IF(OR(Table1[[#This Row],[Std Nom]]="",Table1[[#This Row],[Std Read]]=""),0,Table1[[#This Row],[Std Nom]]-Table1[[#This Row],[Std Read]])</f>
        <v>0</v>
      </c>
      <c r="N920" s="1">
        <f>IF(Calculations!$F$5="ACCREDITED 17025 WITH UNCERTAINTIES",$N$10,0)</f>
        <v>0</v>
      </c>
      <c r="O920" s="1" t="str">
        <f>IFERROR(Table1[[#This Row],[Std Nom]]-(_xlfn.XLOOKUP(Table1[[#This Row],[Manufacturer]]&amp;" "&amp;Table1[[#This Row],[Model]],Table13[MFR &amp; MDL],Table13[Tolerance % CW ],"")/100*Table1[[#This Row],[Std Nom]]),"")</f>
        <v/>
      </c>
      <c r="P920" s="1" t="str">
        <f>IFERROR(Table1[[#This Row],[Std Nom]]+(_xlfn.XLOOKUP(Table1[[#This Row],[Manufacturer]]&amp;" "&amp;Table1[[#This Row],[Model]],Table13[MFR &amp; MDL],Table13[Tolerance % CW ],"")/100*Table1[[#This Row],[Std Nom]]),"")</f>
        <v/>
      </c>
      <c r="Q920" s="1" t="e">
        <f>Table1[[#This Row],[High Tol]]-Table1[[#This Row],[Low Tol]]</f>
        <v>#VALUE!</v>
      </c>
      <c r="R920" s="1">
        <f>2*Table1[[#This Row],[Std Error]]</f>
        <v>0</v>
      </c>
      <c r="S920" s="1" t="str">
        <f>IF(Table1[[#This Row],[High Tol]]="","N/A",IFERROR(ABS(Table1[[#This Row],[Tol Span]]/Table1[[#This Row],[Error Span]]),"N/A"))</f>
        <v>N/A</v>
      </c>
      <c r="T920" s="1" t="str">
        <f>IF(OR(Table1[[#This Row],[Low Tol]]="",Table1[[#This Row],[High Tol]]=""),"Needs Analysis",IF(Table1[[#This Row],[Ratio]]&gt;=4,"Not Significant",IF(Table1[[#This Row],[Ratio]]&gt;=2,"Semi-Significant","Significant")))</f>
        <v>Needs Analysis</v>
      </c>
      <c r="W920" s="1">
        <f>IF(Table1[[#This Row],[Cal Type]]&lt;&gt;"ACCREDITED 17025 WITH UNCERTAINTIES",0,"")</f>
        <v>0</v>
      </c>
      <c r="X920" s="1" t="str">
        <f>IF(Table1[[#This Row],[DUT Read]]="","N/A",Table1[[#This Row],[Std Error]]+Table1[[#This Row],[DUT Read]]+Table1[[#This Row],[DUT Ucty]])</f>
        <v>N/A</v>
      </c>
      <c r="Y920" s="1" t="str">
        <f>IF(Table1[[#This Row],[Std Read]]="","N/A",Table1[[#This Row],[Std Read]]+Table1[[#This Row],[Std Ucty]])</f>
        <v>N/A</v>
      </c>
      <c r="Z9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0" s="1" t="str">
        <f>IF(Table1[[#This Row],[Spec Type]]="","N/A",Table1[[#This Row],[Spec Type]])</f>
        <v>±</v>
      </c>
      <c r="AC920" s="1" t="str">
        <f>IF(Table1[[#This Row],[Spec Type2]]="N/A","N/A",IF(AND(Table1[[#This Row],[DUT Adj Read]]&gt;=Table1[[#This Row],[Low Tol]],Table1[[#This Row],[DUT Adj Read]]&lt;=Table1[[#This Row],[High Tol]]),"Pass","Fail"))</f>
        <v>Fail</v>
      </c>
      <c r="AD920" s="1" t="str">
        <f>IF(AND(Table1[[#This Row],[Spec Type2]]="N/A",Table1[[#This Row],[DUT Adj Read]]="N/A",Table1[[#This Row],[Std Adj Read]]="N/A"),"N/A",IF(Table1[[#This Row],[DUT Adj Read]]="N/A",IF(Table1[[#This Row],[Std Adj Read]]&gt;Table1[[#This Row],[Low Tol]],"Pass","Fail"),IF(Table1[[#This Row],[DUT Adj Read]]&gt;Table1[[#This Row],[Low Tol]],"Pass","Fail")))</f>
        <v>Pass</v>
      </c>
      <c r="AE920" s="1" t="str">
        <f>IF(AND(Table1[[#This Row],[Spec Type2]]="N/A",Table1[[#This Row],[DUT Adj Read]]="N/A",Table1[[#This Row],[Std Adj Read]]="N/A"),"N/A",IF(Table1[[#This Row],[DUT Adj Read]]="N/A",IF(Table1[[#This Row],[Std Adj Read]]&lt;Table1[[#This Row],[High Tol]],"Pass","Fail"),IF(Table1[[#This Row],[DUT Adj Read]]&lt;Table1[[#This Row],[High Tol]],"Pass","Fail")))</f>
        <v>Fail</v>
      </c>
      <c r="AF920" s="1" t="str">
        <f>IF(AND(Table1[[#This Row],[Spec Type2]]="N/A",Table1[[#This Row],[DUT Adj Read]]="N/A",Table1[[#This Row],[Std Adj Read]]="N/A"),"N/A",IF(Table1[[#This Row],[DUT Adj Read]]="N/A",IF(Table1[[#This Row],[Std Adj Read]]&gt;=Table1[[#This Row],[Low Tol]],"Pass","Fail"),IF(Table1[[#This Row],[DUT Adj Read]]&gt;=Table1[[#This Row],[Low Tol]],"Pass","Fail")))</f>
        <v>Pass</v>
      </c>
      <c r="AG920" s="1" t="str">
        <f>IF(AND(Table1[[#This Row],[Spec Type2]]="N/A",Table1[[#This Row],[DUT Adj Read]]="N/A",Table1[[#This Row],[Std Adj Read]]="N/A"),"N/A",IF(Table1[[#This Row],[DUT Adj Read]]="N/A",IF(Table1[[#This Row],[Std Adj Read]]&lt;=Table1[[#This Row],[High Tol]],"Pass","Fail"),IF(Table1[[#This Row],[DUT Adj Read]]&lt;=Table1[[#This Row],[High Tol]],"Pass","Fail")))</f>
        <v>Fail</v>
      </c>
      <c r="AH9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0" s="1" t="b">
        <v>0</v>
      </c>
      <c r="AN920" s="1" t="b">
        <v>0</v>
      </c>
      <c r="AO920" s="1" t="b">
        <v>0</v>
      </c>
    </row>
    <row r="921" spans="1:41" x14ac:dyDescent="0.25">
      <c r="A921" s="10"/>
      <c r="B921" s="10"/>
      <c r="C921" s="10"/>
      <c r="D921" s="10"/>
      <c r="E921" s="10"/>
      <c r="F921" s="10"/>
      <c r="G921" s="10"/>
      <c r="H921" s="10"/>
      <c r="I921" s="1" t="str">
        <f t="shared" si="42"/>
        <v/>
      </c>
      <c r="J921" s="1" t="s">
        <v>35</v>
      </c>
      <c r="K921" s="1" t="str">
        <f t="shared" si="43"/>
        <v/>
      </c>
      <c r="L921" s="1" t="str">
        <f t="shared" si="44"/>
        <v/>
      </c>
      <c r="M921" s="1">
        <f>IF(OR(Table1[[#This Row],[Std Nom]]="",Table1[[#This Row],[Std Read]]=""),0,Table1[[#This Row],[Std Nom]]-Table1[[#This Row],[Std Read]])</f>
        <v>0</v>
      </c>
      <c r="N921" s="1">
        <f>IF(Calculations!$F$5="ACCREDITED 17025 WITH UNCERTAINTIES",$N$10,0)</f>
        <v>0</v>
      </c>
      <c r="O921" s="1" t="str">
        <f>IFERROR(Table1[[#This Row],[Std Nom]]-(_xlfn.XLOOKUP(Table1[[#This Row],[Manufacturer]]&amp;" "&amp;Table1[[#This Row],[Model]],Table13[MFR &amp; MDL],Table13[Tolerance % CW ],"")/100*Table1[[#This Row],[Std Nom]]),"")</f>
        <v/>
      </c>
      <c r="P921" s="1" t="str">
        <f>IFERROR(Table1[[#This Row],[Std Nom]]+(_xlfn.XLOOKUP(Table1[[#This Row],[Manufacturer]]&amp;" "&amp;Table1[[#This Row],[Model]],Table13[MFR &amp; MDL],Table13[Tolerance % CW ],"")/100*Table1[[#This Row],[Std Nom]]),"")</f>
        <v/>
      </c>
      <c r="Q921" s="1" t="e">
        <f>Table1[[#This Row],[High Tol]]-Table1[[#This Row],[Low Tol]]</f>
        <v>#VALUE!</v>
      </c>
      <c r="R921" s="1">
        <f>2*Table1[[#This Row],[Std Error]]</f>
        <v>0</v>
      </c>
      <c r="S921" s="1" t="str">
        <f>IF(Table1[[#This Row],[High Tol]]="","N/A",IFERROR(ABS(Table1[[#This Row],[Tol Span]]/Table1[[#This Row],[Error Span]]),"N/A"))</f>
        <v>N/A</v>
      </c>
      <c r="T921" s="1" t="str">
        <f>IF(OR(Table1[[#This Row],[Low Tol]]="",Table1[[#This Row],[High Tol]]=""),"Needs Analysis",IF(Table1[[#This Row],[Ratio]]&gt;=4,"Not Significant",IF(Table1[[#This Row],[Ratio]]&gt;=2,"Semi-Significant","Significant")))</f>
        <v>Needs Analysis</v>
      </c>
      <c r="W921" s="1">
        <f>IF(Table1[[#This Row],[Cal Type]]&lt;&gt;"ACCREDITED 17025 WITH UNCERTAINTIES",0,"")</f>
        <v>0</v>
      </c>
      <c r="X921" s="1" t="str">
        <f>IF(Table1[[#This Row],[DUT Read]]="","N/A",Table1[[#This Row],[Std Error]]+Table1[[#This Row],[DUT Read]]+Table1[[#This Row],[DUT Ucty]])</f>
        <v>N/A</v>
      </c>
      <c r="Y921" s="1" t="str">
        <f>IF(Table1[[#This Row],[Std Read]]="","N/A",Table1[[#This Row],[Std Read]]+Table1[[#This Row],[Std Ucty]])</f>
        <v>N/A</v>
      </c>
      <c r="Z9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1" s="1" t="str">
        <f>IF(Table1[[#This Row],[Spec Type]]="","N/A",Table1[[#This Row],[Spec Type]])</f>
        <v>±</v>
      </c>
      <c r="AC921" s="1" t="str">
        <f>IF(Table1[[#This Row],[Spec Type2]]="N/A","N/A",IF(AND(Table1[[#This Row],[DUT Adj Read]]&gt;=Table1[[#This Row],[Low Tol]],Table1[[#This Row],[DUT Adj Read]]&lt;=Table1[[#This Row],[High Tol]]),"Pass","Fail"))</f>
        <v>Fail</v>
      </c>
      <c r="AD921" s="1" t="str">
        <f>IF(AND(Table1[[#This Row],[Spec Type2]]="N/A",Table1[[#This Row],[DUT Adj Read]]="N/A",Table1[[#This Row],[Std Adj Read]]="N/A"),"N/A",IF(Table1[[#This Row],[DUT Adj Read]]="N/A",IF(Table1[[#This Row],[Std Adj Read]]&gt;Table1[[#This Row],[Low Tol]],"Pass","Fail"),IF(Table1[[#This Row],[DUT Adj Read]]&gt;Table1[[#This Row],[Low Tol]],"Pass","Fail")))</f>
        <v>Pass</v>
      </c>
      <c r="AE921" s="1" t="str">
        <f>IF(AND(Table1[[#This Row],[Spec Type2]]="N/A",Table1[[#This Row],[DUT Adj Read]]="N/A",Table1[[#This Row],[Std Adj Read]]="N/A"),"N/A",IF(Table1[[#This Row],[DUT Adj Read]]="N/A",IF(Table1[[#This Row],[Std Adj Read]]&lt;Table1[[#This Row],[High Tol]],"Pass","Fail"),IF(Table1[[#This Row],[DUT Adj Read]]&lt;Table1[[#This Row],[High Tol]],"Pass","Fail")))</f>
        <v>Fail</v>
      </c>
      <c r="AF921" s="1" t="str">
        <f>IF(AND(Table1[[#This Row],[Spec Type2]]="N/A",Table1[[#This Row],[DUT Adj Read]]="N/A",Table1[[#This Row],[Std Adj Read]]="N/A"),"N/A",IF(Table1[[#This Row],[DUT Adj Read]]="N/A",IF(Table1[[#This Row],[Std Adj Read]]&gt;=Table1[[#This Row],[Low Tol]],"Pass","Fail"),IF(Table1[[#This Row],[DUT Adj Read]]&gt;=Table1[[#This Row],[Low Tol]],"Pass","Fail")))</f>
        <v>Pass</v>
      </c>
      <c r="AG921" s="1" t="str">
        <f>IF(AND(Table1[[#This Row],[Spec Type2]]="N/A",Table1[[#This Row],[DUT Adj Read]]="N/A",Table1[[#This Row],[Std Adj Read]]="N/A"),"N/A",IF(Table1[[#This Row],[DUT Adj Read]]="N/A",IF(Table1[[#This Row],[Std Adj Read]]&lt;=Table1[[#This Row],[High Tol]],"Pass","Fail"),IF(Table1[[#This Row],[DUT Adj Read]]&lt;=Table1[[#This Row],[High Tol]],"Pass","Fail")))</f>
        <v>Fail</v>
      </c>
      <c r="AH9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1" s="1" t="b">
        <v>0</v>
      </c>
      <c r="AN921" s="1" t="b">
        <v>0</v>
      </c>
      <c r="AO921" s="1" t="b">
        <v>0</v>
      </c>
    </row>
    <row r="922" spans="1:41" x14ac:dyDescent="0.25">
      <c r="A922" s="10"/>
      <c r="B922" s="10"/>
      <c r="C922" s="10"/>
      <c r="D922" s="10"/>
      <c r="E922" s="10"/>
      <c r="F922" s="10"/>
      <c r="G922" s="10"/>
      <c r="H922" s="10"/>
      <c r="I922" s="1" t="str">
        <f t="shared" si="42"/>
        <v/>
      </c>
      <c r="J922" s="1" t="s">
        <v>35</v>
      </c>
      <c r="K922" s="1" t="str">
        <f t="shared" si="43"/>
        <v/>
      </c>
      <c r="L922" s="1" t="str">
        <f t="shared" si="44"/>
        <v/>
      </c>
      <c r="M922" s="1">
        <f>IF(OR(Table1[[#This Row],[Std Nom]]="",Table1[[#This Row],[Std Read]]=""),0,Table1[[#This Row],[Std Nom]]-Table1[[#This Row],[Std Read]])</f>
        <v>0</v>
      </c>
      <c r="N922" s="1">
        <f>IF(Calculations!$F$5="ACCREDITED 17025 WITH UNCERTAINTIES",$N$10,0)</f>
        <v>0</v>
      </c>
      <c r="O922" s="1" t="str">
        <f>IFERROR(Table1[[#This Row],[Std Nom]]-(_xlfn.XLOOKUP(Table1[[#This Row],[Manufacturer]]&amp;" "&amp;Table1[[#This Row],[Model]],Table13[MFR &amp; MDL],Table13[Tolerance % CW ],"")/100*Table1[[#This Row],[Std Nom]]),"")</f>
        <v/>
      </c>
      <c r="P922" s="1" t="str">
        <f>IFERROR(Table1[[#This Row],[Std Nom]]+(_xlfn.XLOOKUP(Table1[[#This Row],[Manufacturer]]&amp;" "&amp;Table1[[#This Row],[Model]],Table13[MFR &amp; MDL],Table13[Tolerance % CW ],"")/100*Table1[[#This Row],[Std Nom]]),"")</f>
        <v/>
      </c>
      <c r="Q922" s="1" t="e">
        <f>Table1[[#This Row],[High Tol]]-Table1[[#This Row],[Low Tol]]</f>
        <v>#VALUE!</v>
      </c>
      <c r="R922" s="1">
        <f>2*Table1[[#This Row],[Std Error]]</f>
        <v>0</v>
      </c>
      <c r="S922" s="1" t="str">
        <f>IF(Table1[[#This Row],[High Tol]]="","N/A",IFERROR(ABS(Table1[[#This Row],[Tol Span]]/Table1[[#This Row],[Error Span]]),"N/A"))</f>
        <v>N/A</v>
      </c>
      <c r="T922" s="1" t="str">
        <f>IF(OR(Table1[[#This Row],[Low Tol]]="",Table1[[#This Row],[High Tol]]=""),"Needs Analysis",IF(Table1[[#This Row],[Ratio]]&gt;=4,"Not Significant",IF(Table1[[#This Row],[Ratio]]&gt;=2,"Semi-Significant","Significant")))</f>
        <v>Needs Analysis</v>
      </c>
      <c r="W922" s="1">
        <f>IF(Table1[[#This Row],[Cal Type]]&lt;&gt;"ACCREDITED 17025 WITH UNCERTAINTIES",0,"")</f>
        <v>0</v>
      </c>
      <c r="X922" s="1" t="str">
        <f>IF(Table1[[#This Row],[DUT Read]]="","N/A",Table1[[#This Row],[Std Error]]+Table1[[#This Row],[DUT Read]]+Table1[[#This Row],[DUT Ucty]])</f>
        <v>N/A</v>
      </c>
      <c r="Y922" s="1" t="str">
        <f>IF(Table1[[#This Row],[Std Read]]="","N/A",Table1[[#This Row],[Std Read]]+Table1[[#This Row],[Std Ucty]])</f>
        <v>N/A</v>
      </c>
      <c r="Z9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2" s="1" t="str">
        <f>IF(Table1[[#This Row],[Spec Type]]="","N/A",Table1[[#This Row],[Spec Type]])</f>
        <v>±</v>
      </c>
      <c r="AC922" s="1" t="str">
        <f>IF(Table1[[#This Row],[Spec Type2]]="N/A","N/A",IF(AND(Table1[[#This Row],[DUT Adj Read]]&gt;=Table1[[#This Row],[Low Tol]],Table1[[#This Row],[DUT Adj Read]]&lt;=Table1[[#This Row],[High Tol]]),"Pass","Fail"))</f>
        <v>Fail</v>
      </c>
      <c r="AD922" s="1" t="str">
        <f>IF(AND(Table1[[#This Row],[Spec Type2]]="N/A",Table1[[#This Row],[DUT Adj Read]]="N/A",Table1[[#This Row],[Std Adj Read]]="N/A"),"N/A",IF(Table1[[#This Row],[DUT Adj Read]]="N/A",IF(Table1[[#This Row],[Std Adj Read]]&gt;Table1[[#This Row],[Low Tol]],"Pass","Fail"),IF(Table1[[#This Row],[DUT Adj Read]]&gt;Table1[[#This Row],[Low Tol]],"Pass","Fail")))</f>
        <v>Pass</v>
      </c>
      <c r="AE922" s="1" t="str">
        <f>IF(AND(Table1[[#This Row],[Spec Type2]]="N/A",Table1[[#This Row],[DUT Adj Read]]="N/A",Table1[[#This Row],[Std Adj Read]]="N/A"),"N/A",IF(Table1[[#This Row],[DUT Adj Read]]="N/A",IF(Table1[[#This Row],[Std Adj Read]]&lt;Table1[[#This Row],[High Tol]],"Pass","Fail"),IF(Table1[[#This Row],[DUT Adj Read]]&lt;Table1[[#This Row],[High Tol]],"Pass","Fail")))</f>
        <v>Fail</v>
      </c>
      <c r="AF922" s="1" t="str">
        <f>IF(AND(Table1[[#This Row],[Spec Type2]]="N/A",Table1[[#This Row],[DUT Adj Read]]="N/A",Table1[[#This Row],[Std Adj Read]]="N/A"),"N/A",IF(Table1[[#This Row],[DUT Adj Read]]="N/A",IF(Table1[[#This Row],[Std Adj Read]]&gt;=Table1[[#This Row],[Low Tol]],"Pass","Fail"),IF(Table1[[#This Row],[DUT Adj Read]]&gt;=Table1[[#This Row],[Low Tol]],"Pass","Fail")))</f>
        <v>Pass</v>
      </c>
      <c r="AG922" s="1" t="str">
        <f>IF(AND(Table1[[#This Row],[Spec Type2]]="N/A",Table1[[#This Row],[DUT Adj Read]]="N/A",Table1[[#This Row],[Std Adj Read]]="N/A"),"N/A",IF(Table1[[#This Row],[DUT Adj Read]]="N/A",IF(Table1[[#This Row],[Std Adj Read]]&lt;=Table1[[#This Row],[High Tol]],"Pass","Fail"),IF(Table1[[#This Row],[DUT Adj Read]]&lt;=Table1[[#This Row],[High Tol]],"Pass","Fail")))</f>
        <v>Fail</v>
      </c>
      <c r="AH9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2" s="1" t="b">
        <v>0</v>
      </c>
      <c r="AN922" s="1" t="b">
        <v>0</v>
      </c>
      <c r="AO922" s="1" t="b">
        <v>0</v>
      </c>
    </row>
    <row r="923" spans="1:41" x14ac:dyDescent="0.25">
      <c r="A923" s="10"/>
      <c r="B923" s="10"/>
      <c r="C923" s="10"/>
      <c r="D923" s="10"/>
      <c r="E923" s="10"/>
      <c r="F923" s="10"/>
      <c r="G923" s="10"/>
      <c r="H923" s="10"/>
      <c r="I923" s="1" t="str">
        <f t="shared" si="42"/>
        <v/>
      </c>
      <c r="J923" s="1" t="s">
        <v>35</v>
      </c>
      <c r="K923" s="1" t="str">
        <f t="shared" si="43"/>
        <v/>
      </c>
      <c r="L923" s="1" t="str">
        <f t="shared" si="44"/>
        <v/>
      </c>
      <c r="M923" s="1">
        <f>IF(OR(Table1[[#This Row],[Std Nom]]="",Table1[[#This Row],[Std Read]]=""),0,Table1[[#This Row],[Std Nom]]-Table1[[#This Row],[Std Read]])</f>
        <v>0</v>
      </c>
      <c r="N923" s="1">
        <f>IF(Calculations!$F$5="ACCREDITED 17025 WITH UNCERTAINTIES",$N$10,0)</f>
        <v>0</v>
      </c>
      <c r="O923" s="1" t="str">
        <f>IFERROR(Table1[[#This Row],[Std Nom]]-(_xlfn.XLOOKUP(Table1[[#This Row],[Manufacturer]]&amp;" "&amp;Table1[[#This Row],[Model]],Table13[MFR &amp; MDL],Table13[Tolerance % CW ],"")/100*Table1[[#This Row],[Std Nom]]),"")</f>
        <v/>
      </c>
      <c r="P923" s="1" t="str">
        <f>IFERROR(Table1[[#This Row],[Std Nom]]+(_xlfn.XLOOKUP(Table1[[#This Row],[Manufacturer]]&amp;" "&amp;Table1[[#This Row],[Model]],Table13[MFR &amp; MDL],Table13[Tolerance % CW ],"")/100*Table1[[#This Row],[Std Nom]]),"")</f>
        <v/>
      </c>
      <c r="Q923" s="1" t="e">
        <f>Table1[[#This Row],[High Tol]]-Table1[[#This Row],[Low Tol]]</f>
        <v>#VALUE!</v>
      </c>
      <c r="R923" s="1">
        <f>2*Table1[[#This Row],[Std Error]]</f>
        <v>0</v>
      </c>
      <c r="S923" s="1" t="str">
        <f>IF(Table1[[#This Row],[High Tol]]="","N/A",IFERROR(ABS(Table1[[#This Row],[Tol Span]]/Table1[[#This Row],[Error Span]]),"N/A"))</f>
        <v>N/A</v>
      </c>
      <c r="T923" s="1" t="str">
        <f>IF(OR(Table1[[#This Row],[Low Tol]]="",Table1[[#This Row],[High Tol]]=""),"Needs Analysis",IF(Table1[[#This Row],[Ratio]]&gt;=4,"Not Significant",IF(Table1[[#This Row],[Ratio]]&gt;=2,"Semi-Significant","Significant")))</f>
        <v>Needs Analysis</v>
      </c>
      <c r="W923" s="1">
        <f>IF(Table1[[#This Row],[Cal Type]]&lt;&gt;"ACCREDITED 17025 WITH UNCERTAINTIES",0,"")</f>
        <v>0</v>
      </c>
      <c r="X923" s="1" t="str">
        <f>IF(Table1[[#This Row],[DUT Read]]="","N/A",Table1[[#This Row],[Std Error]]+Table1[[#This Row],[DUT Read]]+Table1[[#This Row],[DUT Ucty]])</f>
        <v>N/A</v>
      </c>
      <c r="Y923" s="1" t="str">
        <f>IF(Table1[[#This Row],[Std Read]]="","N/A",Table1[[#This Row],[Std Read]]+Table1[[#This Row],[Std Ucty]])</f>
        <v>N/A</v>
      </c>
      <c r="Z9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3" s="1" t="str">
        <f>IF(Table1[[#This Row],[Spec Type]]="","N/A",Table1[[#This Row],[Spec Type]])</f>
        <v>±</v>
      </c>
      <c r="AC923" s="1" t="str">
        <f>IF(Table1[[#This Row],[Spec Type2]]="N/A","N/A",IF(AND(Table1[[#This Row],[DUT Adj Read]]&gt;=Table1[[#This Row],[Low Tol]],Table1[[#This Row],[DUT Adj Read]]&lt;=Table1[[#This Row],[High Tol]]),"Pass","Fail"))</f>
        <v>Fail</v>
      </c>
      <c r="AD923" s="1" t="str">
        <f>IF(AND(Table1[[#This Row],[Spec Type2]]="N/A",Table1[[#This Row],[DUT Adj Read]]="N/A",Table1[[#This Row],[Std Adj Read]]="N/A"),"N/A",IF(Table1[[#This Row],[DUT Adj Read]]="N/A",IF(Table1[[#This Row],[Std Adj Read]]&gt;Table1[[#This Row],[Low Tol]],"Pass","Fail"),IF(Table1[[#This Row],[DUT Adj Read]]&gt;Table1[[#This Row],[Low Tol]],"Pass","Fail")))</f>
        <v>Pass</v>
      </c>
      <c r="AE923" s="1" t="str">
        <f>IF(AND(Table1[[#This Row],[Spec Type2]]="N/A",Table1[[#This Row],[DUT Adj Read]]="N/A",Table1[[#This Row],[Std Adj Read]]="N/A"),"N/A",IF(Table1[[#This Row],[DUT Adj Read]]="N/A",IF(Table1[[#This Row],[Std Adj Read]]&lt;Table1[[#This Row],[High Tol]],"Pass","Fail"),IF(Table1[[#This Row],[DUT Adj Read]]&lt;Table1[[#This Row],[High Tol]],"Pass","Fail")))</f>
        <v>Fail</v>
      </c>
      <c r="AF923" s="1" t="str">
        <f>IF(AND(Table1[[#This Row],[Spec Type2]]="N/A",Table1[[#This Row],[DUT Adj Read]]="N/A",Table1[[#This Row],[Std Adj Read]]="N/A"),"N/A",IF(Table1[[#This Row],[DUT Adj Read]]="N/A",IF(Table1[[#This Row],[Std Adj Read]]&gt;=Table1[[#This Row],[Low Tol]],"Pass","Fail"),IF(Table1[[#This Row],[DUT Adj Read]]&gt;=Table1[[#This Row],[Low Tol]],"Pass","Fail")))</f>
        <v>Pass</v>
      </c>
      <c r="AG923" s="1" t="str">
        <f>IF(AND(Table1[[#This Row],[Spec Type2]]="N/A",Table1[[#This Row],[DUT Adj Read]]="N/A",Table1[[#This Row],[Std Adj Read]]="N/A"),"N/A",IF(Table1[[#This Row],[DUT Adj Read]]="N/A",IF(Table1[[#This Row],[Std Adj Read]]&lt;=Table1[[#This Row],[High Tol]],"Pass","Fail"),IF(Table1[[#This Row],[DUT Adj Read]]&lt;=Table1[[#This Row],[High Tol]],"Pass","Fail")))</f>
        <v>Fail</v>
      </c>
      <c r="AH9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3" s="1" t="b">
        <v>0</v>
      </c>
      <c r="AN923" s="1" t="b">
        <v>0</v>
      </c>
      <c r="AO923" s="1" t="b">
        <v>0</v>
      </c>
    </row>
    <row r="924" spans="1:41" x14ac:dyDescent="0.25">
      <c r="A924" s="10"/>
      <c r="B924" s="10"/>
      <c r="C924" s="10"/>
      <c r="D924" s="10"/>
      <c r="E924" s="10"/>
      <c r="F924" s="10"/>
      <c r="G924" s="10"/>
      <c r="H924" s="10"/>
      <c r="I924" s="1" t="str">
        <f t="shared" si="42"/>
        <v/>
      </c>
      <c r="J924" s="1" t="s">
        <v>35</v>
      </c>
      <c r="K924" s="1" t="str">
        <f t="shared" si="43"/>
        <v/>
      </c>
      <c r="L924" s="1" t="str">
        <f t="shared" si="44"/>
        <v/>
      </c>
      <c r="M924" s="1">
        <f>IF(OR(Table1[[#This Row],[Std Nom]]="",Table1[[#This Row],[Std Read]]=""),0,Table1[[#This Row],[Std Nom]]-Table1[[#This Row],[Std Read]])</f>
        <v>0</v>
      </c>
      <c r="N924" s="1">
        <f>IF(Calculations!$F$5="ACCREDITED 17025 WITH UNCERTAINTIES",$N$10,0)</f>
        <v>0</v>
      </c>
      <c r="O924" s="1" t="str">
        <f>IFERROR(Table1[[#This Row],[Std Nom]]-(_xlfn.XLOOKUP(Table1[[#This Row],[Manufacturer]]&amp;" "&amp;Table1[[#This Row],[Model]],Table13[MFR &amp; MDL],Table13[Tolerance % CW ],"")/100*Table1[[#This Row],[Std Nom]]),"")</f>
        <v/>
      </c>
      <c r="P924" s="1" t="str">
        <f>IFERROR(Table1[[#This Row],[Std Nom]]+(_xlfn.XLOOKUP(Table1[[#This Row],[Manufacturer]]&amp;" "&amp;Table1[[#This Row],[Model]],Table13[MFR &amp; MDL],Table13[Tolerance % CW ],"")/100*Table1[[#This Row],[Std Nom]]),"")</f>
        <v/>
      </c>
      <c r="Q924" s="1" t="e">
        <f>Table1[[#This Row],[High Tol]]-Table1[[#This Row],[Low Tol]]</f>
        <v>#VALUE!</v>
      </c>
      <c r="R924" s="1">
        <f>2*Table1[[#This Row],[Std Error]]</f>
        <v>0</v>
      </c>
      <c r="S924" s="1" t="str">
        <f>IF(Table1[[#This Row],[High Tol]]="","N/A",IFERROR(ABS(Table1[[#This Row],[Tol Span]]/Table1[[#This Row],[Error Span]]),"N/A"))</f>
        <v>N/A</v>
      </c>
      <c r="T924" s="1" t="str">
        <f>IF(OR(Table1[[#This Row],[Low Tol]]="",Table1[[#This Row],[High Tol]]=""),"Needs Analysis",IF(Table1[[#This Row],[Ratio]]&gt;=4,"Not Significant",IF(Table1[[#This Row],[Ratio]]&gt;=2,"Semi-Significant","Significant")))</f>
        <v>Needs Analysis</v>
      </c>
      <c r="W924" s="1">
        <f>IF(Table1[[#This Row],[Cal Type]]&lt;&gt;"ACCREDITED 17025 WITH UNCERTAINTIES",0,"")</f>
        <v>0</v>
      </c>
      <c r="X924" s="1" t="str">
        <f>IF(Table1[[#This Row],[DUT Read]]="","N/A",Table1[[#This Row],[Std Error]]+Table1[[#This Row],[DUT Read]]+Table1[[#This Row],[DUT Ucty]])</f>
        <v>N/A</v>
      </c>
      <c r="Y924" s="1" t="str">
        <f>IF(Table1[[#This Row],[Std Read]]="","N/A",Table1[[#This Row],[Std Read]]+Table1[[#This Row],[Std Ucty]])</f>
        <v>N/A</v>
      </c>
      <c r="Z9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4" s="1" t="str">
        <f>IF(Table1[[#This Row],[Spec Type]]="","N/A",Table1[[#This Row],[Spec Type]])</f>
        <v>±</v>
      </c>
      <c r="AC924" s="1" t="str">
        <f>IF(Table1[[#This Row],[Spec Type2]]="N/A","N/A",IF(AND(Table1[[#This Row],[DUT Adj Read]]&gt;=Table1[[#This Row],[Low Tol]],Table1[[#This Row],[DUT Adj Read]]&lt;=Table1[[#This Row],[High Tol]]),"Pass","Fail"))</f>
        <v>Fail</v>
      </c>
      <c r="AD924" s="1" t="str">
        <f>IF(AND(Table1[[#This Row],[Spec Type2]]="N/A",Table1[[#This Row],[DUT Adj Read]]="N/A",Table1[[#This Row],[Std Adj Read]]="N/A"),"N/A",IF(Table1[[#This Row],[DUT Adj Read]]="N/A",IF(Table1[[#This Row],[Std Adj Read]]&gt;Table1[[#This Row],[Low Tol]],"Pass","Fail"),IF(Table1[[#This Row],[DUT Adj Read]]&gt;Table1[[#This Row],[Low Tol]],"Pass","Fail")))</f>
        <v>Pass</v>
      </c>
      <c r="AE924" s="1" t="str">
        <f>IF(AND(Table1[[#This Row],[Spec Type2]]="N/A",Table1[[#This Row],[DUT Adj Read]]="N/A",Table1[[#This Row],[Std Adj Read]]="N/A"),"N/A",IF(Table1[[#This Row],[DUT Adj Read]]="N/A",IF(Table1[[#This Row],[Std Adj Read]]&lt;Table1[[#This Row],[High Tol]],"Pass","Fail"),IF(Table1[[#This Row],[DUT Adj Read]]&lt;Table1[[#This Row],[High Tol]],"Pass","Fail")))</f>
        <v>Fail</v>
      </c>
      <c r="AF924" s="1" t="str">
        <f>IF(AND(Table1[[#This Row],[Spec Type2]]="N/A",Table1[[#This Row],[DUT Adj Read]]="N/A",Table1[[#This Row],[Std Adj Read]]="N/A"),"N/A",IF(Table1[[#This Row],[DUT Adj Read]]="N/A",IF(Table1[[#This Row],[Std Adj Read]]&gt;=Table1[[#This Row],[Low Tol]],"Pass","Fail"),IF(Table1[[#This Row],[DUT Adj Read]]&gt;=Table1[[#This Row],[Low Tol]],"Pass","Fail")))</f>
        <v>Pass</v>
      </c>
      <c r="AG924" s="1" t="str">
        <f>IF(AND(Table1[[#This Row],[Spec Type2]]="N/A",Table1[[#This Row],[DUT Adj Read]]="N/A",Table1[[#This Row],[Std Adj Read]]="N/A"),"N/A",IF(Table1[[#This Row],[DUT Adj Read]]="N/A",IF(Table1[[#This Row],[Std Adj Read]]&lt;=Table1[[#This Row],[High Tol]],"Pass","Fail"),IF(Table1[[#This Row],[DUT Adj Read]]&lt;=Table1[[#This Row],[High Tol]],"Pass","Fail")))</f>
        <v>Fail</v>
      </c>
      <c r="AH9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4" s="1" t="b">
        <v>0</v>
      </c>
      <c r="AN924" s="1" t="b">
        <v>0</v>
      </c>
      <c r="AO924" s="1" t="b">
        <v>0</v>
      </c>
    </row>
    <row r="925" spans="1:41" x14ac:dyDescent="0.25">
      <c r="A925" s="10"/>
      <c r="B925" s="10"/>
      <c r="C925" s="10"/>
      <c r="D925" s="10"/>
      <c r="E925" s="10"/>
      <c r="F925" s="10"/>
      <c r="G925" s="10"/>
      <c r="H925" s="10"/>
      <c r="I925" s="1" t="str">
        <f t="shared" si="42"/>
        <v/>
      </c>
      <c r="J925" s="1" t="s">
        <v>35</v>
      </c>
      <c r="K925" s="1" t="str">
        <f t="shared" si="43"/>
        <v/>
      </c>
      <c r="L925" s="1" t="str">
        <f t="shared" si="44"/>
        <v/>
      </c>
      <c r="M925" s="1">
        <f>IF(OR(Table1[[#This Row],[Std Nom]]="",Table1[[#This Row],[Std Read]]=""),0,Table1[[#This Row],[Std Nom]]-Table1[[#This Row],[Std Read]])</f>
        <v>0</v>
      </c>
      <c r="N925" s="1">
        <f>IF(Calculations!$F$5="ACCREDITED 17025 WITH UNCERTAINTIES",$N$10,0)</f>
        <v>0</v>
      </c>
      <c r="O925" s="1" t="str">
        <f>IFERROR(Table1[[#This Row],[Std Nom]]-(_xlfn.XLOOKUP(Table1[[#This Row],[Manufacturer]]&amp;" "&amp;Table1[[#This Row],[Model]],Table13[MFR &amp; MDL],Table13[Tolerance % CW ],"")/100*Table1[[#This Row],[Std Nom]]),"")</f>
        <v/>
      </c>
      <c r="P925" s="1" t="str">
        <f>IFERROR(Table1[[#This Row],[Std Nom]]+(_xlfn.XLOOKUP(Table1[[#This Row],[Manufacturer]]&amp;" "&amp;Table1[[#This Row],[Model]],Table13[MFR &amp; MDL],Table13[Tolerance % CW ],"")/100*Table1[[#This Row],[Std Nom]]),"")</f>
        <v/>
      </c>
      <c r="Q925" s="1" t="e">
        <f>Table1[[#This Row],[High Tol]]-Table1[[#This Row],[Low Tol]]</f>
        <v>#VALUE!</v>
      </c>
      <c r="R925" s="1">
        <f>2*Table1[[#This Row],[Std Error]]</f>
        <v>0</v>
      </c>
      <c r="S925" s="1" t="str">
        <f>IF(Table1[[#This Row],[High Tol]]="","N/A",IFERROR(ABS(Table1[[#This Row],[Tol Span]]/Table1[[#This Row],[Error Span]]),"N/A"))</f>
        <v>N/A</v>
      </c>
      <c r="T925" s="1" t="str">
        <f>IF(OR(Table1[[#This Row],[Low Tol]]="",Table1[[#This Row],[High Tol]]=""),"Needs Analysis",IF(Table1[[#This Row],[Ratio]]&gt;=4,"Not Significant",IF(Table1[[#This Row],[Ratio]]&gt;=2,"Semi-Significant","Significant")))</f>
        <v>Needs Analysis</v>
      </c>
      <c r="W925" s="1">
        <f>IF(Table1[[#This Row],[Cal Type]]&lt;&gt;"ACCREDITED 17025 WITH UNCERTAINTIES",0,"")</f>
        <v>0</v>
      </c>
      <c r="X925" s="1" t="str">
        <f>IF(Table1[[#This Row],[DUT Read]]="","N/A",Table1[[#This Row],[Std Error]]+Table1[[#This Row],[DUT Read]]+Table1[[#This Row],[DUT Ucty]])</f>
        <v>N/A</v>
      </c>
      <c r="Y925" s="1" t="str">
        <f>IF(Table1[[#This Row],[Std Read]]="","N/A",Table1[[#This Row],[Std Read]]+Table1[[#This Row],[Std Ucty]])</f>
        <v>N/A</v>
      </c>
      <c r="Z9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5" s="1" t="str">
        <f>IF(Table1[[#This Row],[Spec Type]]="","N/A",Table1[[#This Row],[Spec Type]])</f>
        <v>±</v>
      </c>
      <c r="AC925" s="1" t="str">
        <f>IF(Table1[[#This Row],[Spec Type2]]="N/A","N/A",IF(AND(Table1[[#This Row],[DUT Adj Read]]&gt;=Table1[[#This Row],[Low Tol]],Table1[[#This Row],[DUT Adj Read]]&lt;=Table1[[#This Row],[High Tol]]),"Pass","Fail"))</f>
        <v>Fail</v>
      </c>
      <c r="AD925" s="1" t="str">
        <f>IF(AND(Table1[[#This Row],[Spec Type2]]="N/A",Table1[[#This Row],[DUT Adj Read]]="N/A",Table1[[#This Row],[Std Adj Read]]="N/A"),"N/A",IF(Table1[[#This Row],[DUT Adj Read]]="N/A",IF(Table1[[#This Row],[Std Adj Read]]&gt;Table1[[#This Row],[Low Tol]],"Pass","Fail"),IF(Table1[[#This Row],[DUT Adj Read]]&gt;Table1[[#This Row],[Low Tol]],"Pass","Fail")))</f>
        <v>Pass</v>
      </c>
      <c r="AE925" s="1" t="str">
        <f>IF(AND(Table1[[#This Row],[Spec Type2]]="N/A",Table1[[#This Row],[DUT Adj Read]]="N/A",Table1[[#This Row],[Std Adj Read]]="N/A"),"N/A",IF(Table1[[#This Row],[DUT Adj Read]]="N/A",IF(Table1[[#This Row],[Std Adj Read]]&lt;Table1[[#This Row],[High Tol]],"Pass","Fail"),IF(Table1[[#This Row],[DUT Adj Read]]&lt;Table1[[#This Row],[High Tol]],"Pass","Fail")))</f>
        <v>Fail</v>
      </c>
      <c r="AF925" s="1" t="str">
        <f>IF(AND(Table1[[#This Row],[Spec Type2]]="N/A",Table1[[#This Row],[DUT Adj Read]]="N/A",Table1[[#This Row],[Std Adj Read]]="N/A"),"N/A",IF(Table1[[#This Row],[DUT Adj Read]]="N/A",IF(Table1[[#This Row],[Std Adj Read]]&gt;=Table1[[#This Row],[Low Tol]],"Pass","Fail"),IF(Table1[[#This Row],[DUT Adj Read]]&gt;=Table1[[#This Row],[Low Tol]],"Pass","Fail")))</f>
        <v>Pass</v>
      </c>
      <c r="AG925" s="1" t="str">
        <f>IF(AND(Table1[[#This Row],[Spec Type2]]="N/A",Table1[[#This Row],[DUT Adj Read]]="N/A",Table1[[#This Row],[Std Adj Read]]="N/A"),"N/A",IF(Table1[[#This Row],[DUT Adj Read]]="N/A",IF(Table1[[#This Row],[Std Adj Read]]&lt;=Table1[[#This Row],[High Tol]],"Pass","Fail"),IF(Table1[[#This Row],[DUT Adj Read]]&lt;=Table1[[#This Row],[High Tol]],"Pass","Fail")))</f>
        <v>Fail</v>
      </c>
      <c r="AH9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5" s="1" t="b">
        <v>0</v>
      </c>
      <c r="AN925" s="1" t="b">
        <v>0</v>
      </c>
      <c r="AO925" s="1" t="b">
        <v>0</v>
      </c>
    </row>
    <row r="926" spans="1:41" x14ac:dyDescent="0.25">
      <c r="A926" s="10"/>
      <c r="B926" s="10"/>
      <c r="C926" s="10"/>
      <c r="D926" s="10"/>
      <c r="E926" s="10"/>
      <c r="F926" s="10"/>
      <c r="G926" s="10"/>
      <c r="H926" s="10"/>
      <c r="I926" s="1" t="str">
        <f t="shared" si="42"/>
        <v/>
      </c>
      <c r="J926" s="1" t="s">
        <v>35</v>
      </c>
      <c r="K926" s="1" t="str">
        <f t="shared" si="43"/>
        <v/>
      </c>
      <c r="L926" s="1" t="str">
        <f t="shared" si="44"/>
        <v/>
      </c>
      <c r="M926" s="1">
        <f>IF(OR(Table1[[#This Row],[Std Nom]]="",Table1[[#This Row],[Std Read]]=""),0,Table1[[#This Row],[Std Nom]]-Table1[[#This Row],[Std Read]])</f>
        <v>0</v>
      </c>
      <c r="N926" s="1">
        <f>IF(Calculations!$F$5="ACCREDITED 17025 WITH UNCERTAINTIES",$N$10,0)</f>
        <v>0</v>
      </c>
      <c r="O926" s="1" t="str">
        <f>IFERROR(Table1[[#This Row],[Std Nom]]-(_xlfn.XLOOKUP(Table1[[#This Row],[Manufacturer]]&amp;" "&amp;Table1[[#This Row],[Model]],Table13[MFR &amp; MDL],Table13[Tolerance % CW ],"")/100*Table1[[#This Row],[Std Nom]]),"")</f>
        <v/>
      </c>
      <c r="P926" s="1" t="str">
        <f>IFERROR(Table1[[#This Row],[Std Nom]]+(_xlfn.XLOOKUP(Table1[[#This Row],[Manufacturer]]&amp;" "&amp;Table1[[#This Row],[Model]],Table13[MFR &amp; MDL],Table13[Tolerance % CW ],"")/100*Table1[[#This Row],[Std Nom]]),"")</f>
        <v/>
      </c>
      <c r="Q926" s="1" t="e">
        <f>Table1[[#This Row],[High Tol]]-Table1[[#This Row],[Low Tol]]</f>
        <v>#VALUE!</v>
      </c>
      <c r="R926" s="1">
        <f>2*Table1[[#This Row],[Std Error]]</f>
        <v>0</v>
      </c>
      <c r="S926" s="1" t="str">
        <f>IF(Table1[[#This Row],[High Tol]]="","N/A",IFERROR(ABS(Table1[[#This Row],[Tol Span]]/Table1[[#This Row],[Error Span]]),"N/A"))</f>
        <v>N/A</v>
      </c>
      <c r="T926" s="1" t="str">
        <f>IF(OR(Table1[[#This Row],[Low Tol]]="",Table1[[#This Row],[High Tol]]=""),"Needs Analysis",IF(Table1[[#This Row],[Ratio]]&gt;=4,"Not Significant",IF(Table1[[#This Row],[Ratio]]&gt;=2,"Semi-Significant","Significant")))</f>
        <v>Needs Analysis</v>
      </c>
      <c r="W926" s="1">
        <f>IF(Table1[[#This Row],[Cal Type]]&lt;&gt;"ACCREDITED 17025 WITH UNCERTAINTIES",0,"")</f>
        <v>0</v>
      </c>
      <c r="X926" s="1" t="str">
        <f>IF(Table1[[#This Row],[DUT Read]]="","N/A",Table1[[#This Row],[Std Error]]+Table1[[#This Row],[DUT Read]]+Table1[[#This Row],[DUT Ucty]])</f>
        <v>N/A</v>
      </c>
      <c r="Y926" s="1" t="str">
        <f>IF(Table1[[#This Row],[Std Read]]="","N/A",Table1[[#This Row],[Std Read]]+Table1[[#This Row],[Std Ucty]])</f>
        <v>N/A</v>
      </c>
      <c r="Z9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6" s="1" t="str">
        <f>IF(Table1[[#This Row],[Spec Type]]="","N/A",Table1[[#This Row],[Spec Type]])</f>
        <v>±</v>
      </c>
      <c r="AC926" s="1" t="str">
        <f>IF(Table1[[#This Row],[Spec Type2]]="N/A","N/A",IF(AND(Table1[[#This Row],[DUT Adj Read]]&gt;=Table1[[#This Row],[Low Tol]],Table1[[#This Row],[DUT Adj Read]]&lt;=Table1[[#This Row],[High Tol]]),"Pass","Fail"))</f>
        <v>Fail</v>
      </c>
      <c r="AD926" s="1" t="str">
        <f>IF(AND(Table1[[#This Row],[Spec Type2]]="N/A",Table1[[#This Row],[DUT Adj Read]]="N/A",Table1[[#This Row],[Std Adj Read]]="N/A"),"N/A",IF(Table1[[#This Row],[DUT Adj Read]]="N/A",IF(Table1[[#This Row],[Std Adj Read]]&gt;Table1[[#This Row],[Low Tol]],"Pass","Fail"),IF(Table1[[#This Row],[DUT Adj Read]]&gt;Table1[[#This Row],[Low Tol]],"Pass","Fail")))</f>
        <v>Pass</v>
      </c>
      <c r="AE926" s="1" t="str">
        <f>IF(AND(Table1[[#This Row],[Spec Type2]]="N/A",Table1[[#This Row],[DUT Adj Read]]="N/A",Table1[[#This Row],[Std Adj Read]]="N/A"),"N/A",IF(Table1[[#This Row],[DUT Adj Read]]="N/A",IF(Table1[[#This Row],[Std Adj Read]]&lt;Table1[[#This Row],[High Tol]],"Pass","Fail"),IF(Table1[[#This Row],[DUT Adj Read]]&lt;Table1[[#This Row],[High Tol]],"Pass","Fail")))</f>
        <v>Fail</v>
      </c>
      <c r="AF926" s="1" t="str">
        <f>IF(AND(Table1[[#This Row],[Spec Type2]]="N/A",Table1[[#This Row],[DUT Adj Read]]="N/A",Table1[[#This Row],[Std Adj Read]]="N/A"),"N/A",IF(Table1[[#This Row],[DUT Adj Read]]="N/A",IF(Table1[[#This Row],[Std Adj Read]]&gt;=Table1[[#This Row],[Low Tol]],"Pass","Fail"),IF(Table1[[#This Row],[DUT Adj Read]]&gt;=Table1[[#This Row],[Low Tol]],"Pass","Fail")))</f>
        <v>Pass</v>
      </c>
      <c r="AG926" s="1" t="str">
        <f>IF(AND(Table1[[#This Row],[Spec Type2]]="N/A",Table1[[#This Row],[DUT Adj Read]]="N/A",Table1[[#This Row],[Std Adj Read]]="N/A"),"N/A",IF(Table1[[#This Row],[DUT Adj Read]]="N/A",IF(Table1[[#This Row],[Std Adj Read]]&lt;=Table1[[#This Row],[High Tol]],"Pass","Fail"),IF(Table1[[#This Row],[DUT Adj Read]]&lt;=Table1[[#This Row],[High Tol]],"Pass","Fail")))</f>
        <v>Fail</v>
      </c>
      <c r="AH9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6" s="1" t="b">
        <v>0</v>
      </c>
      <c r="AN926" s="1" t="b">
        <v>0</v>
      </c>
      <c r="AO926" s="1" t="b">
        <v>0</v>
      </c>
    </row>
    <row r="927" spans="1:41" x14ac:dyDescent="0.25">
      <c r="A927" s="10"/>
      <c r="B927" s="10"/>
      <c r="C927" s="10"/>
      <c r="D927" s="10"/>
      <c r="E927" s="10"/>
      <c r="F927" s="10"/>
      <c r="G927" s="10"/>
      <c r="H927" s="10"/>
      <c r="I927" s="1" t="str">
        <f t="shared" si="42"/>
        <v/>
      </c>
      <c r="J927" s="1" t="s">
        <v>35</v>
      </c>
      <c r="K927" s="1" t="str">
        <f t="shared" si="43"/>
        <v/>
      </c>
      <c r="L927" s="1" t="str">
        <f t="shared" si="44"/>
        <v/>
      </c>
      <c r="M927" s="1">
        <f>IF(OR(Table1[[#This Row],[Std Nom]]="",Table1[[#This Row],[Std Read]]=""),0,Table1[[#This Row],[Std Nom]]-Table1[[#This Row],[Std Read]])</f>
        <v>0</v>
      </c>
      <c r="N927" s="1">
        <f>IF(Calculations!$F$5="ACCREDITED 17025 WITH UNCERTAINTIES",$N$10,0)</f>
        <v>0</v>
      </c>
      <c r="O927" s="1" t="str">
        <f>IFERROR(Table1[[#This Row],[Std Nom]]-(_xlfn.XLOOKUP(Table1[[#This Row],[Manufacturer]]&amp;" "&amp;Table1[[#This Row],[Model]],Table13[MFR &amp; MDL],Table13[Tolerance % CW ],"")/100*Table1[[#This Row],[Std Nom]]),"")</f>
        <v/>
      </c>
      <c r="P927" s="1" t="str">
        <f>IFERROR(Table1[[#This Row],[Std Nom]]+(_xlfn.XLOOKUP(Table1[[#This Row],[Manufacturer]]&amp;" "&amp;Table1[[#This Row],[Model]],Table13[MFR &amp; MDL],Table13[Tolerance % CW ],"")/100*Table1[[#This Row],[Std Nom]]),"")</f>
        <v/>
      </c>
      <c r="Q927" s="1" t="e">
        <f>Table1[[#This Row],[High Tol]]-Table1[[#This Row],[Low Tol]]</f>
        <v>#VALUE!</v>
      </c>
      <c r="R927" s="1">
        <f>2*Table1[[#This Row],[Std Error]]</f>
        <v>0</v>
      </c>
      <c r="S927" s="1" t="str">
        <f>IF(Table1[[#This Row],[High Tol]]="","N/A",IFERROR(ABS(Table1[[#This Row],[Tol Span]]/Table1[[#This Row],[Error Span]]),"N/A"))</f>
        <v>N/A</v>
      </c>
      <c r="T927" s="1" t="str">
        <f>IF(OR(Table1[[#This Row],[Low Tol]]="",Table1[[#This Row],[High Tol]]=""),"Needs Analysis",IF(Table1[[#This Row],[Ratio]]&gt;=4,"Not Significant",IF(Table1[[#This Row],[Ratio]]&gt;=2,"Semi-Significant","Significant")))</f>
        <v>Needs Analysis</v>
      </c>
      <c r="W927" s="1">
        <f>IF(Table1[[#This Row],[Cal Type]]&lt;&gt;"ACCREDITED 17025 WITH UNCERTAINTIES",0,"")</f>
        <v>0</v>
      </c>
      <c r="X927" s="1" t="str">
        <f>IF(Table1[[#This Row],[DUT Read]]="","N/A",Table1[[#This Row],[Std Error]]+Table1[[#This Row],[DUT Read]]+Table1[[#This Row],[DUT Ucty]])</f>
        <v>N/A</v>
      </c>
      <c r="Y927" s="1" t="str">
        <f>IF(Table1[[#This Row],[Std Read]]="","N/A",Table1[[#This Row],[Std Read]]+Table1[[#This Row],[Std Ucty]])</f>
        <v>N/A</v>
      </c>
      <c r="Z9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7" s="1" t="str">
        <f>IF(Table1[[#This Row],[Spec Type]]="","N/A",Table1[[#This Row],[Spec Type]])</f>
        <v>±</v>
      </c>
      <c r="AC927" s="1" t="str">
        <f>IF(Table1[[#This Row],[Spec Type2]]="N/A","N/A",IF(AND(Table1[[#This Row],[DUT Adj Read]]&gt;=Table1[[#This Row],[Low Tol]],Table1[[#This Row],[DUT Adj Read]]&lt;=Table1[[#This Row],[High Tol]]),"Pass","Fail"))</f>
        <v>Fail</v>
      </c>
      <c r="AD927" s="1" t="str">
        <f>IF(AND(Table1[[#This Row],[Spec Type2]]="N/A",Table1[[#This Row],[DUT Adj Read]]="N/A",Table1[[#This Row],[Std Adj Read]]="N/A"),"N/A",IF(Table1[[#This Row],[DUT Adj Read]]="N/A",IF(Table1[[#This Row],[Std Adj Read]]&gt;Table1[[#This Row],[Low Tol]],"Pass","Fail"),IF(Table1[[#This Row],[DUT Adj Read]]&gt;Table1[[#This Row],[Low Tol]],"Pass","Fail")))</f>
        <v>Pass</v>
      </c>
      <c r="AE927" s="1" t="str">
        <f>IF(AND(Table1[[#This Row],[Spec Type2]]="N/A",Table1[[#This Row],[DUT Adj Read]]="N/A",Table1[[#This Row],[Std Adj Read]]="N/A"),"N/A",IF(Table1[[#This Row],[DUT Adj Read]]="N/A",IF(Table1[[#This Row],[Std Adj Read]]&lt;Table1[[#This Row],[High Tol]],"Pass","Fail"),IF(Table1[[#This Row],[DUT Adj Read]]&lt;Table1[[#This Row],[High Tol]],"Pass","Fail")))</f>
        <v>Fail</v>
      </c>
      <c r="AF927" s="1" t="str">
        <f>IF(AND(Table1[[#This Row],[Spec Type2]]="N/A",Table1[[#This Row],[DUT Adj Read]]="N/A",Table1[[#This Row],[Std Adj Read]]="N/A"),"N/A",IF(Table1[[#This Row],[DUT Adj Read]]="N/A",IF(Table1[[#This Row],[Std Adj Read]]&gt;=Table1[[#This Row],[Low Tol]],"Pass","Fail"),IF(Table1[[#This Row],[DUT Adj Read]]&gt;=Table1[[#This Row],[Low Tol]],"Pass","Fail")))</f>
        <v>Pass</v>
      </c>
      <c r="AG927" s="1" t="str">
        <f>IF(AND(Table1[[#This Row],[Spec Type2]]="N/A",Table1[[#This Row],[DUT Adj Read]]="N/A",Table1[[#This Row],[Std Adj Read]]="N/A"),"N/A",IF(Table1[[#This Row],[DUT Adj Read]]="N/A",IF(Table1[[#This Row],[Std Adj Read]]&lt;=Table1[[#This Row],[High Tol]],"Pass","Fail"),IF(Table1[[#This Row],[DUT Adj Read]]&lt;=Table1[[#This Row],[High Tol]],"Pass","Fail")))</f>
        <v>Fail</v>
      </c>
      <c r="AH9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7" s="1" t="b">
        <v>0</v>
      </c>
      <c r="AN927" s="1" t="b">
        <v>0</v>
      </c>
      <c r="AO927" s="1" t="b">
        <v>0</v>
      </c>
    </row>
    <row r="928" spans="1:41" x14ac:dyDescent="0.25">
      <c r="A928" s="10"/>
      <c r="B928" s="10"/>
      <c r="C928" s="10"/>
      <c r="D928" s="10"/>
      <c r="E928" s="10"/>
      <c r="F928" s="10"/>
      <c r="G928" s="10"/>
      <c r="H928" s="10"/>
      <c r="I928" s="1" t="str">
        <f t="shared" si="42"/>
        <v/>
      </c>
      <c r="J928" s="1" t="s">
        <v>35</v>
      </c>
      <c r="K928" s="1" t="str">
        <f t="shared" si="43"/>
        <v/>
      </c>
      <c r="L928" s="1" t="str">
        <f t="shared" si="44"/>
        <v/>
      </c>
      <c r="M928" s="1">
        <f>IF(OR(Table1[[#This Row],[Std Nom]]="",Table1[[#This Row],[Std Read]]=""),0,Table1[[#This Row],[Std Nom]]-Table1[[#This Row],[Std Read]])</f>
        <v>0</v>
      </c>
      <c r="N928" s="1">
        <f>IF(Calculations!$F$5="ACCREDITED 17025 WITH UNCERTAINTIES",$N$10,0)</f>
        <v>0</v>
      </c>
      <c r="O928" s="1" t="str">
        <f>IFERROR(Table1[[#This Row],[Std Nom]]-(_xlfn.XLOOKUP(Table1[[#This Row],[Manufacturer]]&amp;" "&amp;Table1[[#This Row],[Model]],Table13[MFR &amp; MDL],Table13[Tolerance % CW ],"")/100*Table1[[#This Row],[Std Nom]]),"")</f>
        <v/>
      </c>
      <c r="P928" s="1" t="str">
        <f>IFERROR(Table1[[#This Row],[Std Nom]]+(_xlfn.XLOOKUP(Table1[[#This Row],[Manufacturer]]&amp;" "&amp;Table1[[#This Row],[Model]],Table13[MFR &amp; MDL],Table13[Tolerance % CW ],"")/100*Table1[[#This Row],[Std Nom]]),"")</f>
        <v/>
      </c>
      <c r="Q928" s="1" t="e">
        <f>Table1[[#This Row],[High Tol]]-Table1[[#This Row],[Low Tol]]</f>
        <v>#VALUE!</v>
      </c>
      <c r="R928" s="1">
        <f>2*Table1[[#This Row],[Std Error]]</f>
        <v>0</v>
      </c>
      <c r="S928" s="1" t="str">
        <f>IF(Table1[[#This Row],[High Tol]]="","N/A",IFERROR(ABS(Table1[[#This Row],[Tol Span]]/Table1[[#This Row],[Error Span]]),"N/A"))</f>
        <v>N/A</v>
      </c>
      <c r="T928" s="1" t="str">
        <f>IF(OR(Table1[[#This Row],[Low Tol]]="",Table1[[#This Row],[High Tol]]=""),"Needs Analysis",IF(Table1[[#This Row],[Ratio]]&gt;=4,"Not Significant",IF(Table1[[#This Row],[Ratio]]&gt;=2,"Semi-Significant","Significant")))</f>
        <v>Needs Analysis</v>
      </c>
      <c r="W928" s="1">
        <f>IF(Table1[[#This Row],[Cal Type]]&lt;&gt;"ACCREDITED 17025 WITH UNCERTAINTIES",0,"")</f>
        <v>0</v>
      </c>
      <c r="X928" s="1" t="str">
        <f>IF(Table1[[#This Row],[DUT Read]]="","N/A",Table1[[#This Row],[Std Error]]+Table1[[#This Row],[DUT Read]]+Table1[[#This Row],[DUT Ucty]])</f>
        <v>N/A</v>
      </c>
      <c r="Y928" s="1" t="str">
        <f>IF(Table1[[#This Row],[Std Read]]="","N/A",Table1[[#This Row],[Std Read]]+Table1[[#This Row],[Std Ucty]])</f>
        <v>N/A</v>
      </c>
      <c r="Z9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8" s="1" t="str">
        <f>IF(Table1[[#This Row],[Spec Type]]="","N/A",Table1[[#This Row],[Spec Type]])</f>
        <v>±</v>
      </c>
      <c r="AC928" s="1" t="str">
        <f>IF(Table1[[#This Row],[Spec Type2]]="N/A","N/A",IF(AND(Table1[[#This Row],[DUT Adj Read]]&gt;=Table1[[#This Row],[Low Tol]],Table1[[#This Row],[DUT Adj Read]]&lt;=Table1[[#This Row],[High Tol]]),"Pass","Fail"))</f>
        <v>Fail</v>
      </c>
      <c r="AD928" s="1" t="str">
        <f>IF(AND(Table1[[#This Row],[Spec Type2]]="N/A",Table1[[#This Row],[DUT Adj Read]]="N/A",Table1[[#This Row],[Std Adj Read]]="N/A"),"N/A",IF(Table1[[#This Row],[DUT Adj Read]]="N/A",IF(Table1[[#This Row],[Std Adj Read]]&gt;Table1[[#This Row],[Low Tol]],"Pass","Fail"),IF(Table1[[#This Row],[DUT Adj Read]]&gt;Table1[[#This Row],[Low Tol]],"Pass","Fail")))</f>
        <v>Pass</v>
      </c>
      <c r="AE928" s="1" t="str">
        <f>IF(AND(Table1[[#This Row],[Spec Type2]]="N/A",Table1[[#This Row],[DUT Adj Read]]="N/A",Table1[[#This Row],[Std Adj Read]]="N/A"),"N/A",IF(Table1[[#This Row],[DUT Adj Read]]="N/A",IF(Table1[[#This Row],[Std Adj Read]]&lt;Table1[[#This Row],[High Tol]],"Pass","Fail"),IF(Table1[[#This Row],[DUT Adj Read]]&lt;Table1[[#This Row],[High Tol]],"Pass","Fail")))</f>
        <v>Fail</v>
      </c>
      <c r="AF928" s="1" t="str">
        <f>IF(AND(Table1[[#This Row],[Spec Type2]]="N/A",Table1[[#This Row],[DUT Adj Read]]="N/A",Table1[[#This Row],[Std Adj Read]]="N/A"),"N/A",IF(Table1[[#This Row],[DUT Adj Read]]="N/A",IF(Table1[[#This Row],[Std Adj Read]]&gt;=Table1[[#This Row],[Low Tol]],"Pass","Fail"),IF(Table1[[#This Row],[DUT Adj Read]]&gt;=Table1[[#This Row],[Low Tol]],"Pass","Fail")))</f>
        <v>Pass</v>
      </c>
      <c r="AG928" s="1" t="str">
        <f>IF(AND(Table1[[#This Row],[Spec Type2]]="N/A",Table1[[#This Row],[DUT Adj Read]]="N/A",Table1[[#This Row],[Std Adj Read]]="N/A"),"N/A",IF(Table1[[#This Row],[DUT Adj Read]]="N/A",IF(Table1[[#This Row],[Std Adj Read]]&lt;=Table1[[#This Row],[High Tol]],"Pass","Fail"),IF(Table1[[#This Row],[DUT Adj Read]]&lt;=Table1[[#This Row],[High Tol]],"Pass","Fail")))</f>
        <v>Fail</v>
      </c>
      <c r="AH9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8" s="1" t="b">
        <v>0</v>
      </c>
      <c r="AN928" s="1" t="b">
        <v>0</v>
      </c>
      <c r="AO928" s="1" t="b">
        <v>0</v>
      </c>
    </row>
    <row r="929" spans="1:41" x14ac:dyDescent="0.25">
      <c r="A929" s="10"/>
      <c r="B929" s="10"/>
      <c r="C929" s="10"/>
      <c r="D929" s="10"/>
      <c r="E929" s="10"/>
      <c r="F929" s="10"/>
      <c r="G929" s="10"/>
      <c r="H929" s="10"/>
      <c r="I929" s="1" t="str">
        <f t="shared" si="42"/>
        <v/>
      </c>
      <c r="J929" s="1" t="s">
        <v>35</v>
      </c>
      <c r="K929" s="1" t="str">
        <f t="shared" si="43"/>
        <v/>
      </c>
      <c r="L929" s="1" t="str">
        <f t="shared" si="44"/>
        <v/>
      </c>
      <c r="M929" s="1">
        <f>IF(OR(Table1[[#This Row],[Std Nom]]="",Table1[[#This Row],[Std Read]]=""),0,Table1[[#This Row],[Std Nom]]-Table1[[#This Row],[Std Read]])</f>
        <v>0</v>
      </c>
      <c r="N929" s="1">
        <f>IF(Calculations!$F$5="ACCREDITED 17025 WITH UNCERTAINTIES",$N$10,0)</f>
        <v>0</v>
      </c>
      <c r="O929" s="1" t="str">
        <f>IFERROR(Table1[[#This Row],[Std Nom]]-(_xlfn.XLOOKUP(Table1[[#This Row],[Manufacturer]]&amp;" "&amp;Table1[[#This Row],[Model]],Table13[MFR &amp; MDL],Table13[Tolerance % CW ],"")/100*Table1[[#This Row],[Std Nom]]),"")</f>
        <v/>
      </c>
      <c r="P929" s="1" t="str">
        <f>IFERROR(Table1[[#This Row],[Std Nom]]+(_xlfn.XLOOKUP(Table1[[#This Row],[Manufacturer]]&amp;" "&amp;Table1[[#This Row],[Model]],Table13[MFR &amp; MDL],Table13[Tolerance % CW ],"")/100*Table1[[#This Row],[Std Nom]]),"")</f>
        <v/>
      </c>
      <c r="Q929" s="1" t="e">
        <f>Table1[[#This Row],[High Tol]]-Table1[[#This Row],[Low Tol]]</f>
        <v>#VALUE!</v>
      </c>
      <c r="R929" s="1">
        <f>2*Table1[[#This Row],[Std Error]]</f>
        <v>0</v>
      </c>
      <c r="S929" s="1" t="str">
        <f>IF(Table1[[#This Row],[High Tol]]="","N/A",IFERROR(ABS(Table1[[#This Row],[Tol Span]]/Table1[[#This Row],[Error Span]]),"N/A"))</f>
        <v>N/A</v>
      </c>
      <c r="T929" s="1" t="str">
        <f>IF(OR(Table1[[#This Row],[Low Tol]]="",Table1[[#This Row],[High Tol]]=""),"Needs Analysis",IF(Table1[[#This Row],[Ratio]]&gt;=4,"Not Significant",IF(Table1[[#This Row],[Ratio]]&gt;=2,"Semi-Significant","Significant")))</f>
        <v>Needs Analysis</v>
      </c>
      <c r="W929" s="1">
        <f>IF(Table1[[#This Row],[Cal Type]]&lt;&gt;"ACCREDITED 17025 WITH UNCERTAINTIES",0,"")</f>
        <v>0</v>
      </c>
      <c r="X929" s="1" t="str">
        <f>IF(Table1[[#This Row],[DUT Read]]="","N/A",Table1[[#This Row],[Std Error]]+Table1[[#This Row],[DUT Read]]+Table1[[#This Row],[DUT Ucty]])</f>
        <v>N/A</v>
      </c>
      <c r="Y929" s="1" t="str">
        <f>IF(Table1[[#This Row],[Std Read]]="","N/A",Table1[[#This Row],[Std Read]]+Table1[[#This Row],[Std Ucty]])</f>
        <v>N/A</v>
      </c>
      <c r="Z9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9" s="1" t="str">
        <f>IF(Table1[[#This Row],[Spec Type]]="","N/A",Table1[[#This Row],[Spec Type]])</f>
        <v>±</v>
      </c>
      <c r="AC929" s="1" t="str">
        <f>IF(Table1[[#This Row],[Spec Type2]]="N/A","N/A",IF(AND(Table1[[#This Row],[DUT Adj Read]]&gt;=Table1[[#This Row],[Low Tol]],Table1[[#This Row],[DUT Adj Read]]&lt;=Table1[[#This Row],[High Tol]]),"Pass","Fail"))</f>
        <v>Fail</v>
      </c>
      <c r="AD929" s="1" t="str">
        <f>IF(AND(Table1[[#This Row],[Spec Type2]]="N/A",Table1[[#This Row],[DUT Adj Read]]="N/A",Table1[[#This Row],[Std Adj Read]]="N/A"),"N/A",IF(Table1[[#This Row],[DUT Adj Read]]="N/A",IF(Table1[[#This Row],[Std Adj Read]]&gt;Table1[[#This Row],[Low Tol]],"Pass","Fail"),IF(Table1[[#This Row],[DUT Adj Read]]&gt;Table1[[#This Row],[Low Tol]],"Pass","Fail")))</f>
        <v>Pass</v>
      </c>
      <c r="AE929" s="1" t="str">
        <f>IF(AND(Table1[[#This Row],[Spec Type2]]="N/A",Table1[[#This Row],[DUT Adj Read]]="N/A",Table1[[#This Row],[Std Adj Read]]="N/A"),"N/A",IF(Table1[[#This Row],[DUT Adj Read]]="N/A",IF(Table1[[#This Row],[Std Adj Read]]&lt;Table1[[#This Row],[High Tol]],"Pass","Fail"),IF(Table1[[#This Row],[DUT Adj Read]]&lt;Table1[[#This Row],[High Tol]],"Pass","Fail")))</f>
        <v>Fail</v>
      </c>
      <c r="AF929" s="1" t="str">
        <f>IF(AND(Table1[[#This Row],[Spec Type2]]="N/A",Table1[[#This Row],[DUT Adj Read]]="N/A",Table1[[#This Row],[Std Adj Read]]="N/A"),"N/A",IF(Table1[[#This Row],[DUT Adj Read]]="N/A",IF(Table1[[#This Row],[Std Adj Read]]&gt;=Table1[[#This Row],[Low Tol]],"Pass","Fail"),IF(Table1[[#This Row],[DUT Adj Read]]&gt;=Table1[[#This Row],[Low Tol]],"Pass","Fail")))</f>
        <v>Pass</v>
      </c>
      <c r="AG929" s="1" t="str">
        <f>IF(AND(Table1[[#This Row],[Spec Type2]]="N/A",Table1[[#This Row],[DUT Adj Read]]="N/A",Table1[[#This Row],[Std Adj Read]]="N/A"),"N/A",IF(Table1[[#This Row],[DUT Adj Read]]="N/A",IF(Table1[[#This Row],[Std Adj Read]]&lt;=Table1[[#This Row],[High Tol]],"Pass","Fail"),IF(Table1[[#This Row],[DUT Adj Read]]&lt;=Table1[[#This Row],[High Tol]],"Pass","Fail")))</f>
        <v>Fail</v>
      </c>
      <c r="AH9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9" s="1" t="b">
        <v>0</v>
      </c>
      <c r="AN929" s="1" t="b">
        <v>0</v>
      </c>
      <c r="AO929" s="1" t="b">
        <v>0</v>
      </c>
    </row>
    <row r="930" spans="1:41" x14ac:dyDescent="0.25">
      <c r="A930" s="10"/>
      <c r="B930" s="10"/>
      <c r="C930" s="10"/>
      <c r="D930" s="10"/>
      <c r="E930" s="10"/>
      <c r="F930" s="10"/>
      <c r="G930" s="10"/>
      <c r="H930" s="10"/>
      <c r="I930" s="1" t="str">
        <f t="shared" si="42"/>
        <v/>
      </c>
      <c r="J930" s="1" t="s">
        <v>35</v>
      </c>
      <c r="K930" s="1" t="str">
        <f t="shared" si="43"/>
        <v/>
      </c>
      <c r="L930" s="1" t="str">
        <f t="shared" si="44"/>
        <v/>
      </c>
      <c r="M930" s="1">
        <f>IF(OR(Table1[[#This Row],[Std Nom]]="",Table1[[#This Row],[Std Read]]=""),0,Table1[[#This Row],[Std Nom]]-Table1[[#This Row],[Std Read]])</f>
        <v>0</v>
      </c>
      <c r="N930" s="1">
        <f>IF(Calculations!$F$5="ACCREDITED 17025 WITH UNCERTAINTIES",$N$10,0)</f>
        <v>0</v>
      </c>
      <c r="O930" s="1" t="str">
        <f>IFERROR(Table1[[#This Row],[Std Nom]]-(_xlfn.XLOOKUP(Table1[[#This Row],[Manufacturer]]&amp;" "&amp;Table1[[#This Row],[Model]],Table13[MFR &amp; MDL],Table13[Tolerance % CW ],"")/100*Table1[[#This Row],[Std Nom]]),"")</f>
        <v/>
      </c>
      <c r="P930" s="1" t="str">
        <f>IFERROR(Table1[[#This Row],[Std Nom]]+(_xlfn.XLOOKUP(Table1[[#This Row],[Manufacturer]]&amp;" "&amp;Table1[[#This Row],[Model]],Table13[MFR &amp; MDL],Table13[Tolerance % CW ],"")/100*Table1[[#This Row],[Std Nom]]),"")</f>
        <v/>
      </c>
      <c r="Q930" s="1" t="e">
        <f>Table1[[#This Row],[High Tol]]-Table1[[#This Row],[Low Tol]]</f>
        <v>#VALUE!</v>
      </c>
      <c r="R930" s="1">
        <f>2*Table1[[#This Row],[Std Error]]</f>
        <v>0</v>
      </c>
      <c r="S930" s="1" t="str">
        <f>IF(Table1[[#This Row],[High Tol]]="","N/A",IFERROR(ABS(Table1[[#This Row],[Tol Span]]/Table1[[#This Row],[Error Span]]),"N/A"))</f>
        <v>N/A</v>
      </c>
      <c r="T930" s="1" t="str">
        <f>IF(OR(Table1[[#This Row],[Low Tol]]="",Table1[[#This Row],[High Tol]]=""),"Needs Analysis",IF(Table1[[#This Row],[Ratio]]&gt;=4,"Not Significant",IF(Table1[[#This Row],[Ratio]]&gt;=2,"Semi-Significant","Significant")))</f>
        <v>Needs Analysis</v>
      </c>
      <c r="W930" s="1">
        <f>IF(Table1[[#This Row],[Cal Type]]&lt;&gt;"ACCREDITED 17025 WITH UNCERTAINTIES",0,"")</f>
        <v>0</v>
      </c>
      <c r="X930" s="1" t="str">
        <f>IF(Table1[[#This Row],[DUT Read]]="","N/A",Table1[[#This Row],[Std Error]]+Table1[[#This Row],[DUT Read]]+Table1[[#This Row],[DUT Ucty]])</f>
        <v>N/A</v>
      </c>
      <c r="Y930" s="1" t="str">
        <f>IF(Table1[[#This Row],[Std Read]]="","N/A",Table1[[#This Row],[Std Read]]+Table1[[#This Row],[Std Ucty]])</f>
        <v>N/A</v>
      </c>
      <c r="Z9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0" s="1" t="str">
        <f>IF(Table1[[#This Row],[Spec Type]]="","N/A",Table1[[#This Row],[Spec Type]])</f>
        <v>±</v>
      </c>
      <c r="AC930" s="1" t="str">
        <f>IF(Table1[[#This Row],[Spec Type2]]="N/A","N/A",IF(AND(Table1[[#This Row],[DUT Adj Read]]&gt;=Table1[[#This Row],[Low Tol]],Table1[[#This Row],[DUT Adj Read]]&lt;=Table1[[#This Row],[High Tol]]),"Pass","Fail"))</f>
        <v>Fail</v>
      </c>
      <c r="AD930" s="1" t="str">
        <f>IF(AND(Table1[[#This Row],[Spec Type2]]="N/A",Table1[[#This Row],[DUT Adj Read]]="N/A",Table1[[#This Row],[Std Adj Read]]="N/A"),"N/A",IF(Table1[[#This Row],[DUT Adj Read]]="N/A",IF(Table1[[#This Row],[Std Adj Read]]&gt;Table1[[#This Row],[Low Tol]],"Pass","Fail"),IF(Table1[[#This Row],[DUT Adj Read]]&gt;Table1[[#This Row],[Low Tol]],"Pass","Fail")))</f>
        <v>Pass</v>
      </c>
      <c r="AE930" s="1" t="str">
        <f>IF(AND(Table1[[#This Row],[Spec Type2]]="N/A",Table1[[#This Row],[DUT Adj Read]]="N/A",Table1[[#This Row],[Std Adj Read]]="N/A"),"N/A",IF(Table1[[#This Row],[DUT Adj Read]]="N/A",IF(Table1[[#This Row],[Std Adj Read]]&lt;Table1[[#This Row],[High Tol]],"Pass","Fail"),IF(Table1[[#This Row],[DUT Adj Read]]&lt;Table1[[#This Row],[High Tol]],"Pass","Fail")))</f>
        <v>Fail</v>
      </c>
      <c r="AF930" s="1" t="str">
        <f>IF(AND(Table1[[#This Row],[Spec Type2]]="N/A",Table1[[#This Row],[DUT Adj Read]]="N/A",Table1[[#This Row],[Std Adj Read]]="N/A"),"N/A",IF(Table1[[#This Row],[DUT Adj Read]]="N/A",IF(Table1[[#This Row],[Std Adj Read]]&gt;=Table1[[#This Row],[Low Tol]],"Pass","Fail"),IF(Table1[[#This Row],[DUT Adj Read]]&gt;=Table1[[#This Row],[Low Tol]],"Pass","Fail")))</f>
        <v>Pass</v>
      </c>
      <c r="AG930" s="1" t="str">
        <f>IF(AND(Table1[[#This Row],[Spec Type2]]="N/A",Table1[[#This Row],[DUT Adj Read]]="N/A",Table1[[#This Row],[Std Adj Read]]="N/A"),"N/A",IF(Table1[[#This Row],[DUT Adj Read]]="N/A",IF(Table1[[#This Row],[Std Adj Read]]&lt;=Table1[[#This Row],[High Tol]],"Pass","Fail"),IF(Table1[[#This Row],[DUT Adj Read]]&lt;=Table1[[#This Row],[High Tol]],"Pass","Fail")))</f>
        <v>Fail</v>
      </c>
      <c r="AH9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0" s="1" t="b">
        <v>0</v>
      </c>
      <c r="AN930" s="1" t="b">
        <v>0</v>
      </c>
      <c r="AO930" s="1" t="b">
        <v>0</v>
      </c>
    </row>
    <row r="931" spans="1:41" x14ac:dyDescent="0.25">
      <c r="A931" s="10"/>
      <c r="B931" s="10"/>
      <c r="C931" s="10"/>
      <c r="D931" s="10"/>
      <c r="E931" s="10"/>
      <c r="F931" s="10"/>
      <c r="G931" s="10"/>
      <c r="H931" s="10"/>
      <c r="I931" s="1" t="str">
        <f t="shared" si="42"/>
        <v/>
      </c>
      <c r="J931" s="1" t="s">
        <v>35</v>
      </c>
      <c r="K931" s="1" t="str">
        <f t="shared" si="43"/>
        <v/>
      </c>
      <c r="L931" s="1" t="str">
        <f t="shared" si="44"/>
        <v/>
      </c>
      <c r="M931" s="1">
        <f>IF(OR(Table1[[#This Row],[Std Nom]]="",Table1[[#This Row],[Std Read]]=""),0,Table1[[#This Row],[Std Nom]]-Table1[[#This Row],[Std Read]])</f>
        <v>0</v>
      </c>
      <c r="N931" s="1">
        <f>IF(Calculations!$F$5="ACCREDITED 17025 WITH UNCERTAINTIES",$N$10,0)</f>
        <v>0</v>
      </c>
      <c r="O931" s="1" t="str">
        <f>IFERROR(Table1[[#This Row],[Std Nom]]-(_xlfn.XLOOKUP(Table1[[#This Row],[Manufacturer]]&amp;" "&amp;Table1[[#This Row],[Model]],Table13[MFR &amp; MDL],Table13[Tolerance % CW ],"")/100*Table1[[#This Row],[Std Nom]]),"")</f>
        <v/>
      </c>
      <c r="P931" s="1" t="str">
        <f>IFERROR(Table1[[#This Row],[Std Nom]]+(_xlfn.XLOOKUP(Table1[[#This Row],[Manufacturer]]&amp;" "&amp;Table1[[#This Row],[Model]],Table13[MFR &amp; MDL],Table13[Tolerance % CW ],"")/100*Table1[[#This Row],[Std Nom]]),"")</f>
        <v/>
      </c>
      <c r="Q931" s="1" t="e">
        <f>Table1[[#This Row],[High Tol]]-Table1[[#This Row],[Low Tol]]</f>
        <v>#VALUE!</v>
      </c>
      <c r="R931" s="1">
        <f>2*Table1[[#This Row],[Std Error]]</f>
        <v>0</v>
      </c>
      <c r="S931" s="1" t="str">
        <f>IF(Table1[[#This Row],[High Tol]]="","N/A",IFERROR(ABS(Table1[[#This Row],[Tol Span]]/Table1[[#This Row],[Error Span]]),"N/A"))</f>
        <v>N/A</v>
      </c>
      <c r="T931" s="1" t="str">
        <f>IF(OR(Table1[[#This Row],[Low Tol]]="",Table1[[#This Row],[High Tol]]=""),"Needs Analysis",IF(Table1[[#This Row],[Ratio]]&gt;=4,"Not Significant",IF(Table1[[#This Row],[Ratio]]&gt;=2,"Semi-Significant","Significant")))</f>
        <v>Needs Analysis</v>
      </c>
      <c r="W931" s="1">
        <f>IF(Table1[[#This Row],[Cal Type]]&lt;&gt;"ACCREDITED 17025 WITH UNCERTAINTIES",0,"")</f>
        <v>0</v>
      </c>
      <c r="X931" s="1" t="str">
        <f>IF(Table1[[#This Row],[DUT Read]]="","N/A",Table1[[#This Row],[Std Error]]+Table1[[#This Row],[DUT Read]]+Table1[[#This Row],[DUT Ucty]])</f>
        <v>N/A</v>
      </c>
      <c r="Y931" s="1" t="str">
        <f>IF(Table1[[#This Row],[Std Read]]="","N/A",Table1[[#This Row],[Std Read]]+Table1[[#This Row],[Std Ucty]])</f>
        <v>N/A</v>
      </c>
      <c r="Z9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1" s="1" t="str">
        <f>IF(Table1[[#This Row],[Spec Type]]="","N/A",Table1[[#This Row],[Spec Type]])</f>
        <v>±</v>
      </c>
      <c r="AC931" s="1" t="str">
        <f>IF(Table1[[#This Row],[Spec Type2]]="N/A","N/A",IF(AND(Table1[[#This Row],[DUT Adj Read]]&gt;=Table1[[#This Row],[Low Tol]],Table1[[#This Row],[DUT Adj Read]]&lt;=Table1[[#This Row],[High Tol]]),"Pass","Fail"))</f>
        <v>Fail</v>
      </c>
      <c r="AD931" s="1" t="str">
        <f>IF(AND(Table1[[#This Row],[Spec Type2]]="N/A",Table1[[#This Row],[DUT Adj Read]]="N/A",Table1[[#This Row],[Std Adj Read]]="N/A"),"N/A",IF(Table1[[#This Row],[DUT Adj Read]]="N/A",IF(Table1[[#This Row],[Std Adj Read]]&gt;Table1[[#This Row],[Low Tol]],"Pass","Fail"),IF(Table1[[#This Row],[DUT Adj Read]]&gt;Table1[[#This Row],[Low Tol]],"Pass","Fail")))</f>
        <v>Pass</v>
      </c>
      <c r="AE931" s="1" t="str">
        <f>IF(AND(Table1[[#This Row],[Spec Type2]]="N/A",Table1[[#This Row],[DUT Adj Read]]="N/A",Table1[[#This Row],[Std Adj Read]]="N/A"),"N/A",IF(Table1[[#This Row],[DUT Adj Read]]="N/A",IF(Table1[[#This Row],[Std Adj Read]]&lt;Table1[[#This Row],[High Tol]],"Pass","Fail"),IF(Table1[[#This Row],[DUT Adj Read]]&lt;Table1[[#This Row],[High Tol]],"Pass","Fail")))</f>
        <v>Fail</v>
      </c>
      <c r="AF931" s="1" t="str">
        <f>IF(AND(Table1[[#This Row],[Spec Type2]]="N/A",Table1[[#This Row],[DUT Adj Read]]="N/A",Table1[[#This Row],[Std Adj Read]]="N/A"),"N/A",IF(Table1[[#This Row],[DUT Adj Read]]="N/A",IF(Table1[[#This Row],[Std Adj Read]]&gt;=Table1[[#This Row],[Low Tol]],"Pass","Fail"),IF(Table1[[#This Row],[DUT Adj Read]]&gt;=Table1[[#This Row],[Low Tol]],"Pass","Fail")))</f>
        <v>Pass</v>
      </c>
      <c r="AG931" s="1" t="str">
        <f>IF(AND(Table1[[#This Row],[Spec Type2]]="N/A",Table1[[#This Row],[DUT Adj Read]]="N/A",Table1[[#This Row],[Std Adj Read]]="N/A"),"N/A",IF(Table1[[#This Row],[DUT Adj Read]]="N/A",IF(Table1[[#This Row],[Std Adj Read]]&lt;=Table1[[#This Row],[High Tol]],"Pass","Fail"),IF(Table1[[#This Row],[DUT Adj Read]]&lt;=Table1[[#This Row],[High Tol]],"Pass","Fail")))</f>
        <v>Fail</v>
      </c>
      <c r="AH9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1" s="1" t="b">
        <v>0</v>
      </c>
      <c r="AN931" s="1" t="b">
        <v>0</v>
      </c>
      <c r="AO931" s="1" t="b">
        <v>0</v>
      </c>
    </row>
    <row r="932" spans="1:41" x14ac:dyDescent="0.25">
      <c r="A932" s="10"/>
      <c r="B932" s="10"/>
      <c r="C932" s="10"/>
      <c r="D932" s="10"/>
      <c r="E932" s="10"/>
      <c r="F932" s="10"/>
      <c r="G932" s="10"/>
      <c r="H932" s="10"/>
      <c r="I932" s="1" t="str">
        <f t="shared" si="42"/>
        <v/>
      </c>
      <c r="J932" s="1" t="s">
        <v>35</v>
      </c>
      <c r="K932" s="1" t="str">
        <f t="shared" si="43"/>
        <v/>
      </c>
      <c r="L932" s="1" t="str">
        <f t="shared" si="44"/>
        <v/>
      </c>
      <c r="M932" s="1">
        <f>IF(OR(Table1[[#This Row],[Std Nom]]="",Table1[[#This Row],[Std Read]]=""),0,Table1[[#This Row],[Std Nom]]-Table1[[#This Row],[Std Read]])</f>
        <v>0</v>
      </c>
      <c r="N932" s="1">
        <f>IF(Calculations!$F$5="ACCREDITED 17025 WITH UNCERTAINTIES",$N$10,0)</f>
        <v>0</v>
      </c>
      <c r="O932" s="1" t="str">
        <f>IFERROR(Table1[[#This Row],[Std Nom]]-(_xlfn.XLOOKUP(Table1[[#This Row],[Manufacturer]]&amp;" "&amp;Table1[[#This Row],[Model]],Table13[MFR &amp; MDL],Table13[Tolerance % CW ],"")/100*Table1[[#This Row],[Std Nom]]),"")</f>
        <v/>
      </c>
      <c r="P932" s="1" t="str">
        <f>IFERROR(Table1[[#This Row],[Std Nom]]+(_xlfn.XLOOKUP(Table1[[#This Row],[Manufacturer]]&amp;" "&amp;Table1[[#This Row],[Model]],Table13[MFR &amp; MDL],Table13[Tolerance % CW ],"")/100*Table1[[#This Row],[Std Nom]]),"")</f>
        <v/>
      </c>
      <c r="Q932" s="1" t="e">
        <f>Table1[[#This Row],[High Tol]]-Table1[[#This Row],[Low Tol]]</f>
        <v>#VALUE!</v>
      </c>
      <c r="R932" s="1">
        <f>2*Table1[[#This Row],[Std Error]]</f>
        <v>0</v>
      </c>
      <c r="S932" s="1" t="str">
        <f>IF(Table1[[#This Row],[High Tol]]="","N/A",IFERROR(ABS(Table1[[#This Row],[Tol Span]]/Table1[[#This Row],[Error Span]]),"N/A"))</f>
        <v>N/A</v>
      </c>
      <c r="T932" s="1" t="str">
        <f>IF(OR(Table1[[#This Row],[Low Tol]]="",Table1[[#This Row],[High Tol]]=""),"Needs Analysis",IF(Table1[[#This Row],[Ratio]]&gt;=4,"Not Significant",IF(Table1[[#This Row],[Ratio]]&gt;=2,"Semi-Significant","Significant")))</f>
        <v>Needs Analysis</v>
      </c>
      <c r="W932" s="1">
        <f>IF(Table1[[#This Row],[Cal Type]]&lt;&gt;"ACCREDITED 17025 WITH UNCERTAINTIES",0,"")</f>
        <v>0</v>
      </c>
      <c r="X932" s="1" t="str">
        <f>IF(Table1[[#This Row],[DUT Read]]="","N/A",Table1[[#This Row],[Std Error]]+Table1[[#This Row],[DUT Read]]+Table1[[#This Row],[DUT Ucty]])</f>
        <v>N/A</v>
      </c>
      <c r="Y932" s="1" t="str">
        <f>IF(Table1[[#This Row],[Std Read]]="","N/A",Table1[[#This Row],[Std Read]]+Table1[[#This Row],[Std Ucty]])</f>
        <v>N/A</v>
      </c>
      <c r="Z9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2" s="1" t="str">
        <f>IF(Table1[[#This Row],[Spec Type]]="","N/A",Table1[[#This Row],[Spec Type]])</f>
        <v>±</v>
      </c>
      <c r="AC932" s="1" t="str">
        <f>IF(Table1[[#This Row],[Spec Type2]]="N/A","N/A",IF(AND(Table1[[#This Row],[DUT Adj Read]]&gt;=Table1[[#This Row],[Low Tol]],Table1[[#This Row],[DUT Adj Read]]&lt;=Table1[[#This Row],[High Tol]]),"Pass","Fail"))</f>
        <v>Fail</v>
      </c>
      <c r="AD932" s="1" t="str">
        <f>IF(AND(Table1[[#This Row],[Spec Type2]]="N/A",Table1[[#This Row],[DUT Adj Read]]="N/A",Table1[[#This Row],[Std Adj Read]]="N/A"),"N/A",IF(Table1[[#This Row],[DUT Adj Read]]="N/A",IF(Table1[[#This Row],[Std Adj Read]]&gt;Table1[[#This Row],[Low Tol]],"Pass","Fail"),IF(Table1[[#This Row],[DUT Adj Read]]&gt;Table1[[#This Row],[Low Tol]],"Pass","Fail")))</f>
        <v>Pass</v>
      </c>
      <c r="AE932" s="1" t="str">
        <f>IF(AND(Table1[[#This Row],[Spec Type2]]="N/A",Table1[[#This Row],[DUT Adj Read]]="N/A",Table1[[#This Row],[Std Adj Read]]="N/A"),"N/A",IF(Table1[[#This Row],[DUT Adj Read]]="N/A",IF(Table1[[#This Row],[Std Adj Read]]&lt;Table1[[#This Row],[High Tol]],"Pass","Fail"),IF(Table1[[#This Row],[DUT Adj Read]]&lt;Table1[[#This Row],[High Tol]],"Pass","Fail")))</f>
        <v>Fail</v>
      </c>
      <c r="AF932" s="1" t="str">
        <f>IF(AND(Table1[[#This Row],[Spec Type2]]="N/A",Table1[[#This Row],[DUT Adj Read]]="N/A",Table1[[#This Row],[Std Adj Read]]="N/A"),"N/A",IF(Table1[[#This Row],[DUT Adj Read]]="N/A",IF(Table1[[#This Row],[Std Adj Read]]&gt;=Table1[[#This Row],[Low Tol]],"Pass","Fail"),IF(Table1[[#This Row],[DUT Adj Read]]&gt;=Table1[[#This Row],[Low Tol]],"Pass","Fail")))</f>
        <v>Pass</v>
      </c>
      <c r="AG932" s="1" t="str">
        <f>IF(AND(Table1[[#This Row],[Spec Type2]]="N/A",Table1[[#This Row],[DUT Adj Read]]="N/A",Table1[[#This Row],[Std Adj Read]]="N/A"),"N/A",IF(Table1[[#This Row],[DUT Adj Read]]="N/A",IF(Table1[[#This Row],[Std Adj Read]]&lt;=Table1[[#This Row],[High Tol]],"Pass","Fail"),IF(Table1[[#This Row],[DUT Adj Read]]&lt;=Table1[[#This Row],[High Tol]],"Pass","Fail")))</f>
        <v>Fail</v>
      </c>
      <c r="AH9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2" s="1" t="b">
        <v>0</v>
      </c>
      <c r="AN932" s="1" t="b">
        <v>0</v>
      </c>
      <c r="AO932" s="1" t="b">
        <v>0</v>
      </c>
    </row>
    <row r="933" spans="1:41" x14ac:dyDescent="0.25">
      <c r="A933" s="10"/>
      <c r="B933" s="10"/>
      <c r="C933" s="10"/>
      <c r="D933" s="10"/>
      <c r="E933" s="10"/>
      <c r="F933" s="10"/>
      <c r="G933" s="10"/>
      <c r="H933" s="10"/>
      <c r="I933" s="1" t="str">
        <f t="shared" si="42"/>
        <v/>
      </c>
      <c r="J933" s="1" t="s">
        <v>35</v>
      </c>
      <c r="K933" s="1" t="str">
        <f t="shared" si="43"/>
        <v/>
      </c>
      <c r="L933" s="1" t="str">
        <f t="shared" si="44"/>
        <v/>
      </c>
      <c r="M933" s="1">
        <f>IF(OR(Table1[[#This Row],[Std Nom]]="",Table1[[#This Row],[Std Read]]=""),0,Table1[[#This Row],[Std Nom]]-Table1[[#This Row],[Std Read]])</f>
        <v>0</v>
      </c>
      <c r="N933" s="1">
        <f>IF(Calculations!$F$5="ACCREDITED 17025 WITH UNCERTAINTIES",$N$10,0)</f>
        <v>0</v>
      </c>
      <c r="O933" s="1" t="str">
        <f>IFERROR(Table1[[#This Row],[Std Nom]]-(_xlfn.XLOOKUP(Table1[[#This Row],[Manufacturer]]&amp;" "&amp;Table1[[#This Row],[Model]],Table13[MFR &amp; MDL],Table13[Tolerance % CW ],"")/100*Table1[[#This Row],[Std Nom]]),"")</f>
        <v/>
      </c>
      <c r="P933" s="1" t="str">
        <f>IFERROR(Table1[[#This Row],[Std Nom]]+(_xlfn.XLOOKUP(Table1[[#This Row],[Manufacturer]]&amp;" "&amp;Table1[[#This Row],[Model]],Table13[MFR &amp; MDL],Table13[Tolerance % CW ],"")/100*Table1[[#This Row],[Std Nom]]),"")</f>
        <v/>
      </c>
      <c r="Q933" s="1" t="e">
        <f>Table1[[#This Row],[High Tol]]-Table1[[#This Row],[Low Tol]]</f>
        <v>#VALUE!</v>
      </c>
      <c r="R933" s="1">
        <f>2*Table1[[#This Row],[Std Error]]</f>
        <v>0</v>
      </c>
      <c r="S933" s="1" t="str">
        <f>IF(Table1[[#This Row],[High Tol]]="","N/A",IFERROR(ABS(Table1[[#This Row],[Tol Span]]/Table1[[#This Row],[Error Span]]),"N/A"))</f>
        <v>N/A</v>
      </c>
      <c r="T933" s="1" t="str">
        <f>IF(OR(Table1[[#This Row],[Low Tol]]="",Table1[[#This Row],[High Tol]]=""),"Needs Analysis",IF(Table1[[#This Row],[Ratio]]&gt;=4,"Not Significant",IF(Table1[[#This Row],[Ratio]]&gt;=2,"Semi-Significant","Significant")))</f>
        <v>Needs Analysis</v>
      </c>
      <c r="W933" s="1">
        <f>IF(Table1[[#This Row],[Cal Type]]&lt;&gt;"ACCREDITED 17025 WITH UNCERTAINTIES",0,"")</f>
        <v>0</v>
      </c>
      <c r="X933" s="1" t="str">
        <f>IF(Table1[[#This Row],[DUT Read]]="","N/A",Table1[[#This Row],[Std Error]]+Table1[[#This Row],[DUT Read]]+Table1[[#This Row],[DUT Ucty]])</f>
        <v>N/A</v>
      </c>
      <c r="Y933" s="1" t="str">
        <f>IF(Table1[[#This Row],[Std Read]]="","N/A",Table1[[#This Row],[Std Read]]+Table1[[#This Row],[Std Ucty]])</f>
        <v>N/A</v>
      </c>
      <c r="Z9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3" s="1" t="str">
        <f>IF(Table1[[#This Row],[Spec Type]]="","N/A",Table1[[#This Row],[Spec Type]])</f>
        <v>±</v>
      </c>
      <c r="AC933" s="1" t="str">
        <f>IF(Table1[[#This Row],[Spec Type2]]="N/A","N/A",IF(AND(Table1[[#This Row],[DUT Adj Read]]&gt;=Table1[[#This Row],[Low Tol]],Table1[[#This Row],[DUT Adj Read]]&lt;=Table1[[#This Row],[High Tol]]),"Pass","Fail"))</f>
        <v>Fail</v>
      </c>
      <c r="AD933" s="1" t="str">
        <f>IF(AND(Table1[[#This Row],[Spec Type2]]="N/A",Table1[[#This Row],[DUT Adj Read]]="N/A",Table1[[#This Row],[Std Adj Read]]="N/A"),"N/A",IF(Table1[[#This Row],[DUT Adj Read]]="N/A",IF(Table1[[#This Row],[Std Adj Read]]&gt;Table1[[#This Row],[Low Tol]],"Pass","Fail"),IF(Table1[[#This Row],[DUT Adj Read]]&gt;Table1[[#This Row],[Low Tol]],"Pass","Fail")))</f>
        <v>Pass</v>
      </c>
      <c r="AE933" s="1" t="str">
        <f>IF(AND(Table1[[#This Row],[Spec Type2]]="N/A",Table1[[#This Row],[DUT Adj Read]]="N/A",Table1[[#This Row],[Std Adj Read]]="N/A"),"N/A",IF(Table1[[#This Row],[DUT Adj Read]]="N/A",IF(Table1[[#This Row],[Std Adj Read]]&lt;Table1[[#This Row],[High Tol]],"Pass","Fail"),IF(Table1[[#This Row],[DUT Adj Read]]&lt;Table1[[#This Row],[High Tol]],"Pass","Fail")))</f>
        <v>Fail</v>
      </c>
      <c r="AF933" s="1" t="str">
        <f>IF(AND(Table1[[#This Row],[Spec Type2]]="N/A",Table1[[#This Row],[DUT Adj Read]]="N/A",Table1[[#This Row],[Std Adj Read]]="N/A"),"N/A",IF(Table1[[#This Row],[DUT Adj Read]]="N/A",IF(Table1[[#This Row],[Std Adj Read]]&gt;=Table1[[#This Row],[Low Tol]],"Pass","Fail"),IF(Table1[[#This Row],[DUT Adj Read]]&gt;=Table1[[#This Row],[Low Tol]],"Pass","Fail")))</f>
        <v>Pass</v>
      </c>
      <c r="AG933" s="1" t="str">
        <f>IF(AND(Table1[[#This Row],[Spec Type2]]="N/A",Table1[[#This Row],[DUT Adj Read]]="N/A",Table1[[#This Row],[Std Adj Read]]="N/A"),"N/A",IF(Table1[[#This Row],[DUT Adj Read]]="N/A",IF(Table1[[#This Row],[Std Adj Read]]&lt;=Table1[[#This Row],[High Tol]],"Pass","Fail"),IF(Table1[[#This Row],[DUT Adj Read]]&lt;=Table1[[#This Row],[High Tol]],"Pass","Fail")))</f>
        <v>Fail</v>
      </c>
      <c r="AH9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3" s="1" t="b">
        <v>0</v>
      </c>
      <c r="AN933" s="1" t="b">
        <v>0</v>
      </c>
      <c r="AO933" s="1" t="b">
        <v>0</v>
      </c>
    </row>
    <row r="934" spans="1:41" x14ac:dyDescent="0.25">
      <c r="A934" s="10"/>
      <c r="B934" s="10"/>
      <c r="C934" s="10"/>
      <c r="D934" s="10"/>
      <c r="E934" s="10"/>
      <c r="F934" s="10"/>
      <c r="G934" s="10"/>
      <c r="H934" s="10"/>
      <c r="I934" s="1" t="str">
        <f t="shared" si="42"/>
        <v/>
      </c>
      <c r="J934" s="1" t="s">
        <v>35</v>
      </c>
      <c r="K934" s="1" t="str">
        <f t="shared" si="43"/>
        <v/>
      </c>
      <c r="L934" s="1" t="str">
        <f t="shared" si="44"/>
        <v/>
      </c>
      <c r="M934" s="1">
        <f>IF(OR(Table1[[#This Row],[Std Nom]]="",Table1[[#This Row],[Std Read]]=""),0,Table1[[#This Row],[Std Nom]]-Table1[[#This Row],[Std Read]])</f>
        <v>0</v>
      </c>
      <c r="N934" s="1">
        <f>IF(Calculations!$F$5="ACCREDITED 17025 WITH UNCERTAINTIES",$N$10,0)</f>
        <v>0</v>
      </c>
      <c r="O934" s="1" t="str">
        <f>IFERROR(Table1[[#This Row],[Std Nom]]-(_xlfn.XLOOKUP(Table1[[#This Row],[Manufacturer]]&amp;" "&amp;Table1[[#This Row],[Model]],Table13[MFR &amp; MDL],Table13[Tolerance % CW ],"")/100*Table1[[#This Row],[Std Nom]]),"")</f>
        <v/>
      </c>
      <c r="P934" s="1" t="str">
        <f>IFERROR(Table1[[#This Row],[Std Nom]]+(_xlfn.XLOOKUP(Table1[[#This Row],[Manufacturer]]&amp;" "&amp;Table1[[#This Row],[Model]],Table13[MFR &amp; MDL],Table13[Tolerance % CW ],"")/100*Table1[[#This Row],[Std Nom]]),"")</f>
        <v/>
      </c>
      <c r="Q934" s="1" t="e">
        <f>Table1[[#This Row],[High Tol]]-Table1[[#This Row],[Low Tol]]</f>
        <v>#VALUE!</v>
      </c>
      <c r="R934" s="1">
        <f>2*Table1[[#This Row],[Std Error]]</f>
        <v>0</v>
      </c>
      <c r="S934" s="1" t="str">
        <f>IF(Table1[[#This Row],[High Tol]]="","N/A",IFERROR(ABS(Table1[[#This Row],[Tol Span]]/Table1[[#This Row],[Error Span]]),"N/A"))</f>
        <v>N/A</v>
      </c>
      <c r="T934" s="1" t="str">
        <f>IF(OR(Table1[[#This Row],[Low Tol]]="",Table1[[#This Row],[High Tol]]=""),"Needs Analysis",IF(Table1[[#This Row],[Ratio]]&gt;=4,"Not Significant",IF(Table1[[#This Row],[Ratio]]&gt;=2,"Semi-Significant","Significant")))</f>
        <v>Needs Analysis</v>
      </c>
      <c r="W934" s="1">
        <f>IF(Table1[[#This Row],[Cal Type]]&lt;&gt;"ACCREDITED 17025 WITH UNCERTAINTIES",0,"")</f>
        <v>0</v>
      </c>
      <c r="X934" s="1" t="str">
        <f>IF(Table1[[#This Row],[DUT Read]]="","N/A",Table1[[#This Row],[Std Error]]+Table1[[#This Row],[DUT Read]]+Table1[[#This Row],[DUT Ucty]])</f>
        <v>N/A</v>
      </c>
      <c r="Y934" s="1" t="str">
        <f>IF(Table1[[#This Row],[Std Read]]="","N/A",Table1[[#This Row],[Std Read]]+Table1[[#This Row],[Std Ucty]])</f>
        <v>N/A</v>
      </c>
      <c r="Z9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4" s="1" t="str">
        <f>IF(Table1[[#This Row],[Spec Type]]="","N/A",Table1[[#This Row],[Spec Type]])</f>
        <v>±</v>
      </c>
      <c r="AC934" s="1" t="str">
        <f>IF(Table1[[#This Row],[Spec Type2]]="N/A","N/A",IF(AND(Table1[[#This Row],[DUT Adj Read]]&gt;=Table1[[#This Row],[Low Tol]],Table1[[#This Row],[DUT Adj Read]]&lt;=Table1[[#This Row],[High Tol]]),"Pass","Fail"))</f>
        <v>Fail</v>
      </c>
      <c r="AD934" s="1" t="str">
        <f>IF(AND(Table1[[#This Row],[Spec Type2]]="N/A",Table1[[#This Row],[DUT Adj Read]]="N/A",Table1[[#This Row],[Std Adj Read]]="N/A"),"N/A",IF(Table1[[#This Row],[DUT Adj Read]]="N/A",IF(Table1[[#This Row],[Std Adj Read]]&gt;Table1[[#This Row],[Low Tol]],"Pass","Fail"),IF(Table1[[#This Row],[DUT Adj Read]]&gt;Table1[[#This Row],[Low Tol]],"Pass","Fail")))</f>
        <v>Pass</v>
      </c>
      <c r="AE934" s="1" t="str">
        <f>IF(AND(Table1[[#This Row],[Spec Type2]]="N/A",Table1[[#This Row],[DUT Adj Read]]="N/A",Table1[[#This Row],[Std Adj Read]]="N/A"),"N/A",IF(Table1[[#This Row],[DUT Adj Read]]="N/A",IF(Table1[[#This Row],[Std Adj Read]]&lt;Table1[[#This Row],[High Tol]],"Pass","Fail"),IF(Table1[[#This Row],[DUT Adj Read]]&lt;Table1[[#This Row],[High Tol]],"Pass","Fail")))</f>
        <v>Fail</v>
      </c>
      <c r="AF934" s="1" t="str">
        <f>IF(AND(Table1[[#This Row],[Spec Type2]]="N/A",Table1[[#This Row],[DUT Adj Read]]="N/A",Table1[[#This Row],[Std Adj Read]]="N/A"),"N/A",IF(Table1[[#This Row],[DUT Adj Read]]="N/A",IF(Table1[[#This Row],[Std Adj Read]]&gt;=Table1[[#This Row],[Low Tol]],"Pass","Fail"),IF(Table1[[#This Row],[DUT Adj Read]]&gt;=Table1[[#This Row],[Low Tol]],"Pass","Fail")))</f>
        <v>Pass</v>
      </c>
      <c r="AG934" s="1" t="str">
        <f>IF(AND(Table1[[#This Row],[Spec Type2]]="N/A",Table1[[#This Row],[DUT Adj Read]]="N/A",Table1[[#This Row],[Std Adj Read]]="N/A"),"N/A",IF(Table1[[#This Row],[DUT Adj Read]]="N/A",IF(Table1[[#This Row],[Std Adj Read]]&lt;=Table1[[#This Row],[High Tol]],"Pass","Fail"),IF(Table1[[#This Row],[DUT Adj Read]]&lt;=Table1[[#This Row],[High Tol]],"Pass","Fail")))</f>
        <v>Fail</v>
      </c>
      <c r="AH9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4" s="1" t="b">
        <v>0</v>
      </c>
      <c r="AN934" s="1" t="b">
        <v>0</v>
      </c>
      <c r="AO934" s="1" t="b">
        <v>0</v>
      </c>
    </row>
    <row r="935" spans="1:41" x14ac:dyDescent="0.25">
      <c r="A935" s="10"/>
      <c r="B935" s="10"/>
      <c r="C935" s="10"/>
      <c r="D935" s="10"/>
      <c r="E935" s="10"/>
      <c r="F935" s="10"/>
      <c r="G935" s="10"/>
      <c r="H935" s="10"/>
      <c r="I935" s="1" t="str">
        <f t="shared" si="42"/>
        <v/>
      </c>
      <c r="J935" s="1" t="s">
        <v>35</v>
      </c>
      <c r="K935" s="1" t="str">
        <f t="shared" si="43"/>
        <v/>
      </c>
      <c r="L935" s="1" t="str">
        <f t="shared" si="44"/>
        <v/>
      </c>
      <c r="M935" s="1">
        <f>IF(OR(Table1[[#This Row],[Std Nom]]="",Table1[[#This Row],[Std Read]]=""),0,Table1[[#This Row],[Std Nom]]-Table1[[#This Row],[Std Read]])</f>
        <v>0</v>
      </c>
      <c r="N935" s="1">
        <f>IF(Calculations!$F$5="ACCREDITED 17025 WITH UNCERTAINTIES",$N$10,0)</f>
        <v>0</v>
      </c>
      <c r="O935" s="1" t="str">
        <f>IFERROR(Table1[[#This Row],[Std Nom]]-(_xlfn.XLOOKUP(Table1[[#This Row],[Manufacturer]]&amp;" "&amp;Table1[[#This Row],[Model]],Table13[MFR &amp; MDL],Table13[Tolerance % CW ],"")/100*Table1[[#This Row],[Std Nom]]),"")</f>
        <v/>
      </c>
      <c r="P935" s="1" t="str">
        <f>IFERROR(Table1[[#This Row],[Std Nom]]+(_xlfn.XLOOKUP(Table1[[#This Row],[Manufacturer]]&amp;" "&amp;Table1[[#This Row],[Model]],Table13[MFR &amp; MDL],Table13[Tolerance % CW ],"")/100*Table1[[#This Row],[Std Nom]]),"")</f>
        <v/>
      </c>
      <c r="Q935" s="1" t="e">
        <f>Table1[[#This Row],[High Tol]]-Table1[[#This Row],[Low Tol]]</f>
        <v>#VALUE!</v>
      </c>
      <c r="R935" s="1">
        <f>2*Table1[[#This Row],[Std Error]]</f>
        <v>0</v>
      </c>
      <c r="S935" s="1" t="str">
        <f>IF(Table1[[#This Row],[High Tol]]="","N/A",IFERROR(ABS(Table1[[#This Row],[Tol Span]]/Table1[[#This Row],[Error Span]]),"N/A"))</f>
        <v>N/A</v>
      </c>
      <c r="T935" s="1" t="str">
        <f>IF(OR(Table1[[#This Row],[Low Tol]]="",Table1[[#This Row],[High Tol]]=""),"Needs Analysis",IF(Table1[[#This Row],[Ratio]]&gt;=4,"Not Significant",IF(Table1[[#This Row],[Ratio]]&gt;=2,"Semi-Significant","Significant")))</f>
        <v>Needs Analysis</v>
      </c>
      <c r="W935" s="1">
        <f>IF(Table1[[#This Row],[Cal Type]]&lt;&gt;"ACCREDITED 17025 WITH UNCERTAINTIES",0,"")</f>
        <v>0</v>
      </c>
      <c r="X935" s="1" t="str">
        <f>IF(Table1[[#This Row],[DUT Read]]="","N/A",Table1[[#This Row],[Std Error]]+Table1[[#This Row],[DUT Read]]+Table1[[#This Row],[DUT Ucty]])</f>
        <v>N/A</v>
      </c>
      <c r="Y935" s="1" t="str">
        <f>IF(Table1[[#This Row],[Std Read]]="","N/A",Table1[[#This Row],[Std Read]]+Table1[[#This Row],[Std Ucty]])</f>
        <v>N/A</v>
      </c>
      <c r="Z9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5" s="1" t="str">
        <f>IF(Table1[[#This Row],[Spec Type]]="","N/A",Table1[[#This Row],[Spec Type]])</f>
        <v>±</v>
      </c>
      <c r="AC935" s="1" t="str">
        <f>IF(Table1[[#This Row],[Spec Type2]]="N/A","N/A",IF(AND(Table1[[#This Row],[DUT Adj Read]]&gt;=Table1[[#This Row],[Low Tol]],Table1[[#This Row],[DUT Adj Read]]&lt;=Table1[[#This Row],[High Tol]]),"Pass","Fail"))</f>
        <v>Fail</v>
      </c>
      <c r="AD935" s="1" t="str">
        <f>IF(AND(Table1[[#This Row],[Spec Type2]]="N/A",Table1[[#This Row],[DUT Adj Read]]="N/A",Table1[[#This Row],[Std Adj Read]]="N/A"),"N/A",IF(Table1[[#This Row],[DUT Adj Read]]="N/A",IF(Table1[[#This Row],[Std Adj Read]]&gt;Table1[[#This Row],[Low Tol]],"Pass","Fail"),IF(Table1[[#This Row],[DUT Adj Read]]&gt;Table1[[#This Row],[Low Tol]],"Pass","Fail")))</f>
        <v>Pass</v>
      </c>
      <c r="AE935" s="1" t="str">
        <f>IF(AND(Table1[[#This Row],[Spec Type2]]="N/A",Table1[[#This Row],[DUT Adj Read]]="N/A",Table1[[#This Row],[Std Adj Read]]="N/A"),"N/A",IF(Table1[[#This Row],[DUT Adj Read]]="N/A",IF(Table1[[#This Row],[Std Adj Read]]&lt;Table1[[#This Row],[High Tol]],"Pass","Fail"),IF(Table1[[#This Row],[DUT Adj Read]]&lt;Table1[[#This Row],[High Tol]],"Pass","Fail")))</f>
        <v>Fail</v>
      </c>
      <c r="AF935" s="1" t="str">
        <f>IF(AND(Table1[[#This Row],[Spec Type2]]="N/A",Table1[[#This Row],[DUT Adj Read]]="N/A",Table1[[#This Row],[Std Adj Read]]="N/A"),"N/A",IF(Table1[[#This Row],[DUT Adj Read]]="N/A",IF(Table1[[#This Row],[Std Adj Read]]&gt;=Table1[[#This Row],[Low Tol]],"Pass","Fail"),IF(Table1[[#This Row],[DUT Adj Read]]&gt;=Table1[[#This Row],[Low Tol]],"Pass","Fail")))</f>
        <v>Pass</v>
      </c>
      <c r="AG935" s="1" t="str">
        <f>IF(AND(Table1[[#This Row],[Spec Type2]]="N/A",Table1[[#This Row],[DUT Adj Read]]="N/A",Table1[[#This Row],[Std Adj Read]]="N/A"),"N/A",IF(Table1[[#This Row],[DUT Adj Read]]="N/A",IF(Table1[[#This Row],[Std Adj Read]]&lt;=Table1[[#This Row],[High Tol]],"Pass","Fail"),IF(Table1[[#This Row],[DUT Adj Read]]&lt;=Table1[[#This Row],[High Tol]],"Pass","Fail")))</f>
        <v>Fail</v>
      </c>
      <c r="AH9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5" s="1" t="b">
        <v>0</v>
      </c>
      <c r="AN935" s="1" t="b">
        <v>0</v>
      </c>
      <c r="AO935" s="1" t="b">
        <v>0</v>
      </c>
    </row>
    <row r="936" spans="1:41" x14ac:dyDescent="0.25">
      <c r="A936" s="10"/>
      <c r="B936" s="10"/>
      <c r="C936" s="10"/>
      <c r="D936" s="10"/>
      <c r="E936" s="10"/>
      <c r="F936" s="10"/>
      <c r="G936" s="10"/>
      <c r="H936" s="10"/>
      <c r="I936" s="1" t="str">
        <f t="shared" si="42"/>
        <v/>
      </c>
      <c r="J936" s="1" t="s">
        <v>35</v>
      </c>
      <c r="K936" s="1" t="str">
        <f t="shared" si="43"/>
        <v/>
      </c>
      <c r="L936" s="1" t="str">
        <f t="shared" si="44"/>
        <v/>
      </c>
      <c r="M936" s="1">
        <f>IF(OR(Table1[[#This Row],[Std Nom]]="",Table1[[#This Row],[Std Read]]=""),0,Table1[[#This Row],[Std Nom]]-Table1[[#This Row],[Std Read]])</f>
        <v>0</v>
      </c>
      <c r="N936" s="1">
        <f>IF(Calculations!$F$5="ACCREDITED 17025 WITH UNCERTAINTIES",$N$10,0)</f>
        <v>0</v>
      </c>
      <c r="O936" s="1" t="str">
        <f>IFERROR(Table1[[#This Row],[Std Nom]]-(_xlfn.XLOOKUP(Table1[[#This Row],[Manufacturer]]&amp;" "&amp;Table1[[#This Row],[Model]],Table13[MFR &amp; MDL],Table13[Tolerance % CW ],"")/100*Table1[[#This Row],[Std Nom]]),"")</f>
        <v/>
      </c>
      <c r="P936" s="1" t="str">
        <f>IFERROR(Table1[[#This Row],[Std Nom]]+(_xlfn.XLOOKUP(Table1[[#This Row],[Manufacturer]]&amp;" "&amp;Table1[[#This Row],[Model]],Table13[MFR &amp; MDL],Table13[Tolerance % CW ],"")/100*Table1[[#This Row],[Std Nom]]),"")</f>
        <v/>
      </c>
      <c r="Q936" s="1" t="e">
        <f>Table1[[#This Row],[High Tol]]-Table1[[#This Row],[Low Tol]]</f>
        <v>#VALUE!</v>
      </c>
      <c r="R936" s="1">
        <f>2*Table1[[#This Row],[Std Error]]</f>
        <v>0</v>
      </c>
      <c r="S936" s="1" t="str">
        <f>IF(Table1[[#This Row],[High Tol]]="","N/A",IFERROR(ABS(Table1[[#This Row],[Tol Span]]/Table1[[#This Row],[Error Span]]),"N/A"))</f>
        <v>N/A</v>
      </c>
      <c r="T936" s="1" t="str">
        <f>IF(OR(Table1[[#This Row],[Low Tol]]="",Table1[[#This Row],[High Tol]]=""),"Needs Analysis",IF(Table1[[#This Row],[Ratio]]&gt;=4,"Not Significant",IF(Table1[[#This Row],[Ratio]]&gt;=2,"Semi-Significant","Significant")))</f>
        <v>Needs Analysis</v>
      </c>
      <c r="W936" s="1">
        <f>IF(Table1[[#This Row],[Cal Type]]&lt;&gt;"ACCREDITED 17025 WITH UNCERTAINTIES",0,"")</f>
        <v>0</v>
      </c>
      <c r="X936" s="1" t="str">
        <f>IF(Table1[[#This Row],[DUT Read]]="","N/A",Table1[[#This Row],[Std Error]]+Table1[[#This Row],[DUT Read]]+Table1[[#This Row],[DUT Ucty]])</f>
        <v>N/A</v>
      </c>
      <c r="Y936" s="1" t="str">
        <f>IF(Table1[[#This Row],[Std Read]]="","N/A",Table1[[#This Row],[Std Read]]+Table1[[#This Row],[Std Ucty]])</f>
        <v>N/A</v>
      </c>
      <c r="Z9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6" s="1" t="str">
        <f>IF(Table1[[#This Row],[Spec Type]]="","N/A",Table1[[#This Row],[Spec Type]])</f>
        <v>±</v>
      </c>
      <c r="AC936" s="1" t="str">
        <f>IF(Table1[[#This Row],[Spec Type2]]="N/A","N/A",IF(AND(Table1[[#This Row],[DUT Adj Read]]&gt;=Table1[[#This Row],[Low Tol]],Table1[[#This Row],[DUT Adj Read]]&lt;=Table1[[#This Row],[High Tol]]),"Pass","Fail"))</f>
        <v>Fail</v>
      </c>
      <c r="AD936" s="1" t="str">
        <f>IF(AND(Table1[[#This Row],[Spec Type2]]="N/A",Table1[[#This Row],[DUT Adj Read]]="N/A",Table1[[#This Row],[Std Adj Read]]="N/A"),"N/A",IF(Table1[[#This Row],[DUT Adj Read]]="N/A",IF(Table1[[#This Row],[Std Adj Read]]&gt;Table1[[#This Row],[Low Tol]],"Pass","Fail"),IF(Table1[[#This Row],[DUT Adj Read]]&gt;Table1[[#This Row],[Low Tol]],"Pass","Fail")))</f>
        <v>Pass</v>
      </c>
      <c r="AE936" s="1" t="str">
        <f>IF(AND(Table1[[#This Row],[Spec Type2]]="N/A",Table1[[#This Row],[DUT Adj Read]]="N/A",Table1[[#This Row],[Std Adj Read]]="N/A"),"N/A",IF(Table1[[#This Row],[DUT Adj Read]]="N/A",IF(Table1[[#This Row],[Std Adj Read]]&lt;Table1[[#This Row],[High Tol]],"Pass","Fail"),IF(Table1[[#This Row],[DUT Adj Read]]&lt;Table1[[#This Row],[High Tol]],"Pass","Fail")))</f>
        <v>Fail</v>
      </c>
      <c r="AF936" s="1" t="str">
        <f>IF(AND(Table1[[#This Row],[Spec Type2]]="N/A",Table1[[#This Row],[DUT Adj Read]]="N/A",Table1[[#This Row],[Std Adj Read]]="N/A"),"N/A",IF(Table1[[#This Row],[DUT Adj Read]]="N/A",IF(Table1[[#This Row],[Std Adj Read]]&gt;=Table1[[#This Row],[Low Tol]],"Pass","Fail"),IF(Table1[[#This Row],[DUT Adj Read]]&gt;=Table1[[#This Row],[Low Tol]],"Pass","Fail")))</f>
        <v>Pass</v>
      </c>
      <c r="AG936" s="1" t="str">
        <f>IF(AND(Table1[[#This Row],[Spec Type2]]="N/A",Table1[[#This Row],[DUT Adj Read]]="N/A",Table1[[#This Row],[Std Adj Read]]="N/A"),"N/A",IF(Table1[[#This Row],[DUT Adj Read]]="N/A",IF(Table1[[#This Row],[Std Adj Read]]&lt;=Table1[[#This Row],[High Tol]],"Pass","Fail"),IF(Table1[[#This Row],[DUT Adj Read]]&lt;=Table1[[#This Row],[High Tol]],"Pass","Fail")))</f>
        <v>Fail</v>
      </c>
      <c r="AH9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6" s="1" t="b">
        <v>0</v>
      </c>
      <c r="AN936" s="1" t="b">
        <v>0</v>
      </c>
      <c r="AO936" s="1" t="b">
        <v>0</v>
      </c>
    </row>
    <row r="937" spans="1:41" x14ac:dyDescent="0.25">
      <c r="A937" s="10"/>
      <c r="B937" s="10"/>
      <c r="C937" s="10"/>
      <c r="D937" s="10"/>
      <c r="E937" s="10"/>
      <c r="F937" s="10"/>
      <c r="G937" s="10"/>
      <c r="H937" s="10"/>
      <c r="I937" s="1" t="str">
        <f t="shared" si="42"/>
        <v/>
      </c>
      <c r="J937" s="1" t="s">
        <v>35</v>
      </c>
      <c r="K937" s="1" t="str">
        <f t="shared" si="43"/>
        <v/>
      </c>
      <c r="L937" s="1" t="str">
        <f t="shared" si="44"/>
        <v/>
      </c>
      <c r="M937" s="1">
        <f>IF(OR(Table1[[#This Row],[Std Nom]]="",Table1[[#This Row],[Std Read]]=""),0,Table1[[#This Row],[Std Nom]]-Table1[[#This Row],[Std Read]])</f>
        <v>0</v>
      </c>
      <c r="N937" s="1">
        <f>IF(Calculations!$F$5="ACCREDITED 17025 WITH UNCERTAINTIES",$N$10,0)</f>
        <v>0</v>
      </c>
      <c r="O937" s="1" t="str">
        <f>IFERROR(Table1[[#This Row],[Std Nom]]-(_xlfn.XLOOKUP(Table1[[#This Row],[Manufacturer]]&amp;" "&amp;Table1[[#This Row],[Model]],Table13[MFR &amp; MDL],Table13[Tolerance % CW ],"")/100*Table1[[#This Row],[Std Nom]]),"")</f>
        <v/>
      </c>
      <c r="P937" s="1" t="str">
        <f>IFERROR(Table1[[#This Row],[Std Nom]]+(_xlfn.XLOOKUP(Table1[[#This Row],[Manufacturer]]&amp;" "&amp;Table1[[#This Row],[Model]],Table13[MFR &amp; MDL],Table13[Tolerance % CW ],"")/100*Table1[[#This Row],[Std Nom]]),"")</f>
        <v/>
      </c>
      <c r="Q937" s="1" t="e">
        <f>Table1[[#This Row],[High Tol]]-Table1[[#This Row],[Low Tol]]</f>
        <v>#VALUE!</v>
      </c>
      <c r="R937" s="1">
        <f>2*Table1[[#This Row],[Std Error]]</f>
        <v>0</v>
      </c>
      <c r="S937" s="1" t="str">
        <f>IF(Table1[[#This Row],[High Tol]]="","N/A",IFERROR(ABS(Table1[[#This Row],[Tol Span]]/Table1[[#This Row],[Error Span]]),"N/A"))</f>
        <v>N/A</v>
      </c>
      <c r="T937" s="1" t="str">
        <f>IF(OR(Table1[[#This Row],[Low Tol]]="",Table1[[#This Row],[High Tol]]=""),"Needs Analysis",IF(Table1[[#This Row],[Ratio]]&gt;=4,"Not Significant",IF(Table1[[#This Row],[Ratio]]&gt;=2,"Semi-Significant","Significant")))</f>
        <v>Needs Analysis</v>
      </c>
      <c r="W937" s="1">
        <f>IF(Table1[[#This Row],[Cal Type]]&lt;&gt;"ACCREDITED 17025 WITH UNCERTAINTIES",0,"")</f>
        <v>0</v>
      </c>
      <c r="X937" s="1" t="str">
        <f>IF(Table1[[#This Row],[DUT Read]]="","N/A",Table1[[#This Row],[Std Error]]+Table1[[#This Row],[DUT Read]]+Table1[[#This Row],[DUT Ucty]])</f>
        <v>N/A</v>
      </c>
      <c r="Y937" s="1" t="str">
        <f>IF(Table1[[#This Row],[Std Read]]="","N/A",Table1[[#This Row],[Std Read]]+Table1[[#This Row],[Std Ucty]])</f>
        <v>N/A</v>
      </c>
      <c r="Z9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7" s="1" t="str">
        <f>IF(Table1[[#This Row],[Spec Type]]="","N/A",Table1[[#This Row],[Spec Type]])</f>
        <v>±</v>
      </c>
      <c r="AC937" s="1" t="str">
        <f>IF(Table1[[#This Row],[Spec Type2]]="N/A","N/A",IF(AND(Table1[[#This Row],[DUT Adj Read]]&gt;=Table1[[#This Row],[Low Tol]],Table1[[#This Row],[DUT Adj Read]]&lt;=Table1[[#This Row],[High Tol]]),"Pass","Fail"))</f>
        <v>Fail</v>
      </c>
      <c r="AD937" s="1" t="str">
        <f>IF(AND(Table1[[#This Row],[Spec Type2]]="N/A",Table1[[#This Row],[DUT Adj Read]]="N/A",Table1[[#This Row],[Std Adj Read]]="N/A"),"N/A",IF(Table1[[#This Row],[DUT Adj Read]]="N/A",IF(Table1[[#This Row],[Std Adj Read]]&gt;Table1[[#This Row],[Low Tol]],"Pass","Fail"),IF(Table1[[#This Row],[DUT Adj Read]]&gt;Table1[[#This Row],[Low Tol]],"Pass","Fail")))</f>
        <v>Pass</v>
      </c>
      <c r="AE937" s="1" t="str">
        <f>IF(AND(Table1[[#This Row],[Spec Type2]]="N/A",Table1[[#This Row],[DUT Adj Read]]="N/A",Table1[[#This Row],[Std Adj Read]]="N/A"),"N/A",IF(Table1[[#This Row],[DUT Adj Read]]="N/A",IF(Table1[[#This Row],[Std Adj Read]]&lt;Table1[[#This Row],[High Tol]],"Pass","Fail"),IF(Table1[[#This Row],[DUT Adj Read]]&lt;Table1[[#This Row],[High Tol]],"Pass","Fail")))</f>
        <v>Fail</v>
      </c>
      <c r="AF937" s="1" t="str">
        <f>IF(AND(Table1[[#This Row],[Spec Type2]]="N/A",Table1[[#This Row],[DUT Adj Read]]="N/A",Table1[[#This Row],[Std Adj Read]]="N/A"),"N/A",IF(Table1[[#This Row],[DUT Adj Read]]="N/A",IF(Table1[[#This Row],[Std Adj Read]]&gt;=Table1[[#This Row],[Low Tol]],"Pass","Fail"),IF(Table1[[#This Row],[DUT Adj Read]]&gt;=Table1[[#This Row],[Low Tol]],"Pass","Fail")))</f>
        <v>Pass</v>
      </c>
      <c r="AG937" s="1" t="str">
        <f>IF(AND(Table1[[#This Row],[Spec Type2]]="N/A",Table1[[#This Row],[DUT Adj Read]]="N/A",Table1[[#This Row],[Std Adj Read]]="N/A"),"N/A",IF(Table1[[#This Row],[DUT Adj Read]]="N/A",IF(Table1[[#This Row],[Std Adj Read]]&lt;=Table1[[#This Row],[High Tol]],"Pass","Fail"),IF(Table1[[#This Row],[DUT Adj Read]]&lt;=Table1[[#This Row],[High Tol]],"Pass","Fail")))</f>
        <v>Fail</v>
      </c>
      <c r="AH9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7" s="1" t="b">
        <v>0</v>
      </c>
      <c r="AN937" s="1" t="b">
        <v>0</v>
      </c>
      <c r="AO937" s="1" t="b">
        <v>0</v>
      </c>
    </row>
    <row r="938" spans="1:41" x14ac:dyDescent="0.25">
      <c r="A938" s="10"/>
      <c r="B938" s="10"/>
      <c r="C938" s="10"/>
      <c r="D938" s="10"/>
      <c r="E938" s="10"/>
      <c r="F938" s="10"/>
      <c r="G938" s="10"/>
      <c r="H938" s="10"/>
      <c r="I938" s="1" t="str">
        <f t="shared" si="42"/>
        <v/>
      </c>
      <c r="J938" s="1" t="s">
        <v>35</v>
      </c>
      <c r="K938" s="1" t="str">
        <f t="shared" si="43"/>
        <v/>
      </c>
      <c r="L938" s="1" t="str">
        <f t="shared" si="44"/>
        <v/>
      </c>
      <c r="M938" s="1">
        <f>IF(OR(Table1[[#This Row],[Std Nom]]="",Table1[[#This Row],[Std Read]]=""),0,Table1[[#This Row],[Std Nom]]-Table1[[#This Row],[Std Read]])</f>
        <v>0</v>
      </c>
      <c r="N938" s="1">
        <f>IF(Calculations!$F$5="ACCREDITED 17025 WITH UNCERTAINTIES",$N$10,0)</f>
        <v>0</v>
      </c>
      <c r="O938" s="1" t="str">
        <f>IFERROR(Table1[[#This Row],[Std Nom]]-(_xlfn.XLOOKUP(Table1[[#This Row],[Manufacturer]]&amp;" "&amp;Table1[[#This Row],[Model]],Table13[MFR &amp; MDL],Table13[Tolerance % CW ],"")/100*Table1[[#This Row],[Std Nom]]),"")</f>
        <v/>
      </c>
      <c r="P938" s="1" t="str">
        <f>IFERROR(Table1[[#This Row],[Std Nom]]+(_xlfn.XLOOKUP(Table1[[#This Row],[Manufacturer]]&amp;" "&amp;Table1[[#This Row],[Model]],Table13[MFR &amp; MDL],Table13[Tolerance % CW ],"")/100*Table1[[#This Row],[Std Nom]]),"")</f>
        <v/>
      </c>
      <c r="Q938" s="1" t="e">
        <f>Table1[[#This Row],[High Tol]]-Table1[[#This Row],[Low Tol]]</f>
        <v>#VALUE!</v>
      </c>
      <c r="R938" s="1">
        <f>2*Table1[[#This Row],[Std Error]]</f>
        <v>0</v>
      </c>
      <c r="S938" s="1" t="str">
        <f>IF(Table1[[#This Row],[High Tol]]="","N/A",IFERROR(ABS(Table1[[#This Row],[Tol Span]]/Table1[[#This Row],[Error Span]]),"N/A"))</f>
        <v>N/A</v>
      </c>
      <c r="T938" s="1" t="str">
        <f>IF(OR(Table1[[#This Row],[Low Tol]]="",Table1[[#This Row],[High Tol]]=""),"Needs Analysis",IF(Table1[[#This Row],[Ratio]]&gt;=4,"Not Significant",IF(Table1[[#This Row],[Ratio]]&gt;=2,"Semi-Significant","Significant")))</f>
        <v>Needs Analysis</v>
      </c>
      <c r="W938" s="1">
        <f>IF(Table1[[#This Row],[Cal Type]]&lt;&gt;"ACCREDITED 17025 WITH UNCERTAINTIES",0,"")</f>
        <v>0</v>
      </c>
      <c r="X938" s="1" t="str">
        <f>IF(Table1[[#This Row],[DUT Read]]="","N/A",Table1[[#This Row],[Std Error]]+Table1[[#This Row],[DUT Read]]+Table1[[#This Row],[DUT Ucty]])</f>
        <v>N/A</v>
      </c>
      <c r="Y938" s="1" t="str">
        <f>IF(Table1[[#This Row],[Std Read]]="","N/A",Table1[[#This Row],[Std Read]]+Table1[[#This Row],[Std Ucty]])</f>
        <v>N/A</v>
      </c>
      <c r="Z9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8" s="1" t="str">
        <f>IF(Table1[[#This Row],[Spec Type]]="","N/A",Table1[[#This Row],[Spec Type]])</f>
        <v>±</v>
      </c>
      <c r="AC938" s="1" t="str">
        <f>IF(Table1[[#This Row],[Spec Type2]]="N/A","N/A",IF(AND(Table1[[#This Row],[DUT Adj Read]]&gt;=Table1[[#This Row],[Low Tol]],Table1[[#This Row],[DUT Adj Read]]&lt;=Table1[[#This Row],[High Tol]]),"Pass","Fail"))</f>
        <v>Fail</v>
      </c>
      <c r="AD938" s="1" t="str">
        <f>IF(AND(Table1[[#This Row],[Spec Type2]]="N/A",Table1[[#This Row],[DUT Adj Read]]="N/A",Table1[[#This Row],[Std Adj Read]]="N/A"),"N/A",IF(Table1[[#This Row],[DUT Adj Read]]="N/A",IF(Table1[[#This Row],[Std Adj Read]]&gt;Table1[[#This Row],[Low Tol]],"Pass","Fail"),IF(Table1[[#This Row],[DUT Adj Read]]&gt;Table1[[#This Row],[Low Tol]],"Pass","Fail")))</f>
        <v>Pass</v>
      </c>
      <c r="AE938" s="1" t="str">
        <f>IF(AND(Table1[[#This Row],[Spec Type2]]="N/A",Table1[[#This Row],[DUT Adj Read]]="N/A",Table1[[#This Row],[Std Adj Read]]="N/A"),"N/A",IF(Table1[[#This Row],[DUT Adj Read]]="N/A",IF(Table1[[#This Row],[Std Adj Read]]&lt;Table1[[#This Row],[High Tol]],"Pass","Fail"),IF(Table1[[#This Row],[DUT Adj Read]]&lt;Table1[[#This Row],[High Tol]],"Pass","Fail")))</f>
        <v>Fail</v>
      </c>
      <c r="AF938" s="1" t="str">
        <f>IF(AND(Table1[[#This Row],[Spec Type2]]="N/A",Table1[[#This Row],[DUT Adj Read]]="N/A",Table1[[#This Row],[Std Adj Read]]="N/A"),"N/A",IF(Table1[[#This Row],[DUT Adj Read]]="N/A",IF(Table1[[#This Row],[Std Adj Read]]&gt;=Table1[[#This Row],[Low Tol]],"Pass","Fail"),IF(Table1[[#This Row],[DUT Adj Read]]&gt;=Table1[[#This Row],[Low Tol]],"Pass","Fail")))</f>
        <v>Pass</v>
      </c>
      <c r="AG938" s="1" t="str">
        <f>IF(AND(Table1[[#This Row],[Spec Type2]]="N/A",Table1[[#This Row],[DUT Adj Read]]="N/A",Table1[[#This Row],[Std Adj Read]]="N/A"),"N/A",IF(Table1[[#This Row],[DUT Adj Read]]="N/A",IF(Table1[[#This Row],[Std Adj Read]]&lt;=Table1[[#This Row],[High Tol]],"Pass","Fail"),IF(Table1[[#This Row],[DUT Adj Read]]&lt;=Table1[[#This Row],[High Tol]],"Pass","Fail")))</f>
        <v>Fail</v>
      </c>
      <c r="AH9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8" s="1" t="b">
        <v>0</v>
      </c>
      <c r="AN938" s="1" t="b">
        <v>0</v>
      </c>
      <c r="AO938" s="1" t="b">
        <v>0</v>
      </c>
    </row>
    <row r="939" spans="1:41" x14ac:dyDescent="0.25">
      <c r="A939" s="10"/>
      <c r="B939" s="10"/>
      <c r="C939" s="10"/>
      <c r="D939" s="10"/>
      <c r="E939" s="10"/>
      <c r="F939" s="10"/>
      <c r="G939" s="10"/>
      <c r="H939" s="10"/>
      <c r="I939" s="1" t="str">
        <f t="shared" si="42"/>
        <v/>
      </c>
      <c r="J939" s="1" t="s">
        <v>35</v>
      </c>
      <c r="K939" s="1" t="str">
        <f t="shared" si="43"/>
        <v/>
      </c>
      <c r="L939" s="1" t="str">
        <f t="shared" si="44"/>
        <v/>
      </c>
      <c r="M939" s="1">
        <f>IF(OR(Table1[[#This Row],[Std Nom]]="",Table1[[#This Row],[Std Read]]=""),0,Table1[[#This Row],[Std Nom]]-Table1[[#This Row],[Std Read]])</f>
        <v>0</v>
      </c>
      <c r="N939" s="1">
        <f>IF(Calculations!$F$5="ACCREDITED 17025 WITH UNCERTAINTIES",$N$10,0)</f>
        <v>0</v>
      </c>
      <c r="O939" s="1" t="str">
        <f>IFERROR(Table1[[#This Row],[Std Nom]]-(_xlfn.XLOOKUP(Table1[[#This Row],[Manufacturer]]&amp;" "&amp;Table1[[#This Row],[Model]],Table13[MFR &amp; MDL],Table13[Tolerance % CW ],"")/100*Table1[[#This Row],[Std Nom]]),"")</f>
        <v/>
      </c>
      <c r="P939" s="1" t="str">
        <f>IFERROR(Table1[[#This Row],[Std Nom]]+(_xlfn.XLOOKUP(Table1[[#This Row],[Manufacturer]]&amp;" "&amp;Table1[[#This Row],[Model]],Table13[MFR &amp; MDL],Table13[Tolerance % CW ],"")/100*Table1[[#This Row],[Std Nom]]),"")</f>
        <v/>
      </c>
      <c r="Q939" s="1" t="e">
        <f>Table1[[#This Row],[High Tol]]-Table1[[#This Row],[Low Tol]]</f>
        <v>#VALUE!</v>
      </c>
      <c r="R939" s="1">
        <f>2*Table1[[#This Row],[Std Error]]</f>
        <v>0</v>
      </c>
      <c r="S939" s="1" t="str">
        <f>IF(Table1[[#This Row],[High Tol]]="","N/A",IFERROR(ABS(Table1[[#This Row],[Tol Span]]/Table1[[#This Row],[Error Span]]),"N/A"))</f>
        <v>N/A</v>
      </c>
      <c r="T939" s="1" t="str">
        <f>IF(OR(Table1[[#This Row],[Low Tol]]="",Table1[[#This Row],[High Tol]]=""),"Needs Analysis",IF(Table1[[#This Row],[Ratio]]&gt;=4,"Not Significant",IF(Table1[[#This Row],[Ratio]]&gt;=2,"Semi-Significant","Significant")))</f>
        <v>Needs Analysis</v>
      </c>
      <c r="W939" s="1">
        <f>IF(Table1[[#This Row],[Cal Type]]&lt;&gt;"ACCREDITED 17025 WITH UNCERTAINTIES",0,"")</f>
        <v>0</v>
      </c>
      <c r="X939" s="1" t="str">
        <f>IF(Table1[[#This Row],[DUT Read]]="","N/A",Table1[[#This Row],[Std Error]]+Table1[[#This Row],[DUT Read]]+Table1[[#This Row],[DUT Ucty]])</f>
        <v>N/A</v>
      </c>
      <c r="Y939" s="1" t="str">
        <f>IF(Table1[[#This Row],[Std Read]]="","N/A",Table1[[#This Row],[Std Read]]+Table1[[#This Row],[Std Ucty]])</f>
        <v>N/A</v>
      </c>
      <c r="Z9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9" s="1" t="str">
        <f>IF(Table1[[#This Row],[Spec Type]]="","N/A",Table1[[#This Row],[Spec Type]])</f>
        <v>±</v>
      </c>
      <c r="AC939" s="1" t="str">
        <f>IF(Table1[[#This Row],[Spec Type2]]="N/A","N/A",IF(AND(Table1[[#This Row],[DUT Adj Read]]&gt;=Table1[[#This Row],[Low Tol]],Table1[[#This Row],[DUT Adj Read]]&lt;=Table1[[#This Row],[High Tol]]),"Pass","Fail"))</f>
        <v>Fail</v>
      </c>
      <c r="AD939" s="1" t="str">
        <f>IF(AND(Table1[[#This Row],[Spec Type2]]="N/A",Table1[[#This Row],[DUT Adj Read]]="N/A",Table1[[#This Row],[Std Adj Read]]="N/A"),"N/A",IF(Table1[[#This Row],[DUT Adj Read]]="N/A",IF(Table1[[#This Row],[Std Adj Read]]&gt;Table1[[#This Row],[Low Tol]],"Pass","Fail"),IF(Table1[[#This Row],[DUT Adj Read]]&gt;Table1[[#This Row],[Low Tol]],"Pass","Fail")))</f>
        <v>Pass</v>
      </c>
      <c r="AE939" s="1" t="str">
        <f>IF(AND(Table1[[#This Row],[Spec Type2]]="N/A",Table1[[#This Row],[DUT Adj Read]]="N/A",Table1[[#This Row],[Std Adj Read]]="N/A"),"N/A",IF(Table1[[#This Row],[DUT Adj Read]]="N/A",IF(Table1[[#This Row],[Std Adj Read]]&lt;Table1[[#This Row],[High Tol]],"Pass","Fail"),IF(Table1[[#This Row],[DUT Adj Read]]&lt;Table1[[#This Row],[High Tol]],"Pass","Fail")))</f>
        <v>Fail</v>
      </c>
      <c r="AF939" s="1" t="str">
        <f>IF(AND(Table1[[#This Row],[Spec Type2]]="N/A",Table1[[#This Row],[DUT Adj Read]]="N/A",Table1[[#This Row],[Std Adj Read]]="N/A"),"N/A",IF(Table1[[#This Row],[DUT Adj Read]]="N/A",IF(Table1[[#This Row],[Std Adj Read]]&gt;=Table1[[#This Row],[Low Tol]],"Pass","Fail"),IF(Table1[[#This Row],[DUT Adj Read]]&gt;=Table1[[#This Row],[Low Tol]],"Pass","Fail")))</f>
        <v>Pass</v>
      </c>
      <c r="AG939" s="1" t="str">
        <f>IF(AND(Table1[[#This Row],[Spec Type2]]="N/A",Table1[[#This Row],[DUT Adj Read]]="N/A",Table1[[#This Row],[Std Adj Read]]="N/A"),"N/A",IF(Table1[[#This Row],[DUT Adj Read]]="N/A",IF(Table1[[#This Row],[Std Adj Read]]&lt;=Table1[[#This Row],[High Tol]],"Pass","Fail"),IF(Table1[[#This Row],[DUT Adj Read]]&lt;=Table1[[#This Row],[High Tol]],"Pass","Fail")))</f>
        <v>Fail</v>
      </c>
      <c r="AH9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9" s="1" t="b">
        <v>0</v>
      </c>
      <c r="AN939" s="1" t="b">
        <v>0</v>
      </c>
      <c r="AO939" s="1" t="b">
        <v>0</v>
      </c>
    </row>
    <row r="940" spans="1:41" x14ac:dyDescent="0.25">
      <c r="A940" s="10"/>
      <c r="B940" s="10"/>
      <c r="C940" s="10"/>
      <c r="D940" s="10"/>
      <c r="E940" s="10"/>
      <c r="F940" s="10"/>
      <c r="G940" s="10"/>
      <c r="H940" s="10"/>
      <c r="I940" s="1" t="str">
        <f t="shared" si="42"/>
        <v/>
      </c>
      <c r="J940" s="1" t="s">
        <v>35</v>
      </c>
      <c r="K940" s="1" t="str">
        <f t="shared" si="43"/>
        <v/>
      </c>
      <c r="L940" s="1" t="str">
        <f t="shared" si="44"/>
        <v/>
      </c>
      <c r="M940" s="1">
        <f>IF(OR(Table1[[#This Row],[Std Nom]]="",Table1[[#This Row],[Std Read]]=""),0,Table1[[#This Row],[Std Nom]]-Table1[[#This Row],[Std Read]])</f>
        <v>0</v>
      </c>
      <c r="N940" s="1">
        <f>IF(Calculations!$F$5="ACCREDITED 17025 WITH UNCERTAINTIES",$N$10,0)</f>
        <v>0</v>
      </c>
      <c r="O940" s="1" t="str">
        <f>IFERROR(Table1[[#This Row],[Std Nom]]-(_xlfn.XLOOKUP(Table1[[#This Row],[Manufacturer]]&amp;" "&amp;Table1[[#This Row],[Model]],Table13[MFR &amp; MDL],Table13[Tolerance % CW ],"")/100*Table1[[#This Row],[Std Nom]]),"")</f>
        <v/>
      </c>
      <c r="P940" s="1" t="str">
        <f>IFERROR(Table1[[#This Row],[Std Nom]]+(_xlfn.XLOOKUP(Table1[[#This Row],[Manufacturer]]&amp;" "&amp;Table1[[#This Row],[Model]],Table13[MFR &amp; MDL],Table13[Tolerance % CW ],"")/100*Table1[[#This Row],[Std Nom]]),"")</f>
        <v/>
      </c>
      <c r="Q940" s="1" t="e">
        <f>Table1[[#This Row],[High Tol]]-Table1[[#This Row],[Low Tol]]</f>
        <v>#VALUE!</v>
      </c>
      <c r="R940" s="1">
        <f>2*Table1[[#This Row],[Std Error]]</f>
        <v>0</v>
      </c>
      <c r="S940" s="1" t="str">
        <f>IF(Table1[[#This Row],[High Tol]]="","N/A",IFERROR(ABS(Table1[[#This Row],[Tol Span]]/Table1[[#This Row],[Error Span]]),"N/A"))</f>
        <v>N/A</v>
      </c>
      <c r="T940" s="1" t="str">
        <f>IF(OR(Table1[[#This Row],[Low Tol]]="",Table1[[#This Row],[High Tol]]=""),"Needs Analysis",IF(Table1[[#This Row],[Ratio]]&gt;=4,"Not Significant",IF(Table1[[#This Row],[Ratio]]&gt;=2,"Semi-Significant","Significant")))</f>
        <v>Needs Analysis</v>
      </c>
      <c r="W940" s="1">
        <f>IF(Table1[[#This Row],[Cal Type]]&lt;&gt;"ACCREDITED 17025 WITH UNCERTAINTIES",0,"")</f>
        <v>0</v>
      </c>
      <c r="X940" s="1" t="str">
        <f>IF(Table1[[#This Row],[DUT Read]]="","N/A",Table1[[#This Row],[Std Error]]+Table1[[#This Row],[DUT Read]]+Table1[[#This Row],[DUT Ucty]])</f>
        <v>N/A</v>
      </c>
      <c r="Y940" s="1" t="str">
        <f>IF(Table1[[#This Row],[Std Read]]="","N/A",Table1[[#This Row],[Std Read]]+Table1[[#This Row],[Std Ucty]])</f>
        <v>N/A</v>
      </c>
      <c r="Z9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0" s="1" t="str">
        <f>IF(Table1[[#This Row],[Spec Type]]="","N/A",Table1[[#This Row],[Spec Type]])</f>
        <v>±</v>
      </c>
      <c r="AC940" s="1" t="str">
        <f>IF(Table1[[#This Row],[Spec Type2]]="N/A","N/A",IF(AND(Table1[[#This Row],[DUT Adj Read]]&gt;=Table1[[#This Row],[Low Tol]],Table1[[#This Row],[DUT Adj Read]]&lt;=Table1[[#This Row],[High Tol]]),"Pass","Fail"))</f>
        <v>Fail</v>
      </c>
      <c r="AD940" s="1" t="str">
        <f>IF(AND(Table1[[#This Row],[Spec Type2]]="N/A",Table1[[#This Row],[DUT Adj Read]]="N/A",Table1[[#This Row],[Std Adj Read]]="N/A"),"N/A",IF(Table1[[#This Row],[DUT Adj Read]]="N/A",IF(Table1[[#This Row],[Std Adj Read]]&gt;Table1[[#This Row],[Low Tol]],"Pass","Fail"),IF(Table1[[#This Row],[DUT Adj Read]]&gt;Table1[[#This Row],[Low Tol]],"Pass","Fail")))</f>
        <v>Pass</v>
      </c>
      <c r="AE940" s="1" t="str">
        <f>IF(AND(Table1[[#This Row],[Spec Type2]]="N/A",Table1[[#This Row],[DUT Adj Read]]="N/A",Table1[[#This Row],[Std Adj Read]]="N/A"),"N/A",IF(Table1[[#This Row],[DUT Adj Read]]="N/A",IF(Table1[[#This Row],[Std Adj Read]]&lt;Table1[[#This Row],[High Tol]],"Pass","Fail"),IF(Table1[[#This Row],[DUT Adj Read]]&lt;Table1[[#This Row],[High Tol]],"Pass","Fail")))</f>
        <v>Fail</v>
      </c>
      <c r="AF940" s="1" t="str">
        <f>IF(AND(Table1[[#This Row],[Spec Type2]]="N/A",Table1[[#This Row],[DUT Adj Read]]="N/A",Table1[[#This Row],[Std Adj Read]]="N/A"),"N/A",IF(Table1[[#This Row],[DUT Adj Read]]="N/A",IF(Table1[[#This Row],[Std Adj Read]]&gt;=Table1[[#This Row],[Low Tol]],"Pass","Fail"),IF(Table1[[#This Row],[DUT Adj Read]]&gt;=Table1[[#This Row],[Low Tol]],"Pass","Fail")))</f>
        <v>Pass</v>
      </c>
      <c r="AG940" s="1" t="str">
        <f>IF(AND(Table1[[#This Row],[Spec Type2]]="N/A",Table1[[#This Row],[DUT Adj Read]]="N/A",Table1[[#This Row],[Std Adj Read]]="N/A"),"N/A",IF(Table1[[#This Row],[DUT Adj Read]]="N/A",IF(Table1[[#This Row],[Std Adj Read]]&lt;=Table1[[#This Row],[High Tol]],"Pass","Fail"),IF(Table1[[#This Row],[DUT Adj Read]]&lt;=Table1[[#This Row],[High Tol]],"Pass","Fail")))</f>
        <v>Fail</v>
      </c>
      <c r="AH9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0" s="1" t="b">
        <v>0</v>
      </c>
      <c r="AN940" s="1" t="b">
        <v>0</v>
      </c>
      <c r="AO940" s="1" t="b">
        <v>0</v>
      </c>
    </row>
    <row r="941" spans="1:41" x14ac:dyDescent="0.25">
      <c r="A941" s="10"/>
      <c r="B941" s="10"/>
      <c r="C941" s="10"/>
      <c r="D941" s="10"/>
      <c r="E941" s="10"/>
      <c r="F941" s="10"/>
      <c r="G941" s="10"/>
      <c r="H941" s="10"/>
      <c r="I941" s="1" t="str">
        <f t="shared" si="42"/>
        <v/>
      </c>
      <c r="J941" s="1" t="s">
        <v>35</v>
      </c>
      <c r="K941" s="1" t="str">
        <f t="shared" si="43"/>
        <v/>
      </c>
      <c r="L941" s="1" t="str">
        <f t="shared" si="44"/>
        <v/>
      </c>
      <c r="M941" s="1">
        <f>IF(OR(Table1[[#This Row],[Std Nom]]="",Table1[[#This Row],[Std Read]]=""),0,Table1[[#This Row],[Std Nom]]-Table1[[#This Row],[Std Read]])</f>
        <v>0</v>
      </c>
      <c r="N941" s="1">
        <f>IF(Calculations!$F$5="ACCREDITED 17025 WITH UNCERTAINTIES",$N$10,0)</f>
        <v>0</v>
      </c>
      <c r="O941" s="1" t="str">
        <f>IFERROR(Table1[[#This Row],[Std Nom]]-(_xlfn.XLOOKUP(Table1[[#This Row],[Manufacturer]]&amp;" "&amp;Table1[[#This Row],[Model]],Table13[MFR &amp; MDL],Table13[Tolerance % CW ],"")/100*Table1[[#This Row],[Std Nom]]),"")</f>
        <v/>
      </c>
      <c r="P941" s="1" t="str">
        <f>IFERROR(Table1[[#This Row],[Std Nom]]+(_xlfn.XLOOKUP(Table1[[#This Row],[Manufacturer]]&amp;" "&amp;Table1[[#This Row],[Model]],Table13[MFR &amp; MDL],Table13[Tolerance % CW ],"")/100*Table1[[#This Row],[Std Nom]]),"")</f>
        <v/>
      </c>
      <c r="Q941" s="1" t="e">
        <f>Table1[[#This Row],[High Tol]]-Table1[[#This Row],[Low Tol]]</f>
        <v>#VALUE!</v>
      </c>
      <c r="R941" s="1">
        <f>2*Table1[[#This Row],[Std Error]]</f>
        <v>0</v>
      </c>
      <c r="S941" s="1" t="str">
        <f>IF(Table1[[#This Row],[High Tol]]="","N/A",IFERROR(ABS(Table1[[#This Row],[Tol Span]]/Table1[[#This Row],[Error Span]]),"N/A"))</f>
        <v>N/A</v>
      </c>
      <c r="T941" s="1" t="str">
        <f>IF(OR(Table1[[#This Row],[Low Tol]]="",Table1[[#This Row],[High Tol]]=""),"Needs Analysis",IF(Table1[[#This Row],[Ratio]]&gt;=4,"Not Significant",IF(Table1[[#This Row],[Ratio]]&gt;=2,"Semi-Significant","Significant")))</f>
        <v>Needs Analysis</v>
      </c>
      <c r="W941" s="1">
        <f>IF(Table1[[#This Row],[Cal Type]]&lt;&gt;"ACCREDITED 17025 WITH UNCERTAINTIES",0,"")</f>
        <v>0</v>
      </c>
      <c r="X941" s="1" t="str">
        <f>IF(Table1[[#This Row],[DUT Read]]="","N/A",Table1[[#This Row],[Std Error]]+Table1[[#This Row],[DUT Read]]+Table1[[#This Row],[DUT Ucty]])</f>
        <v>N/A</v>
      </c>
      <c r="Y941" s="1" t="str">
        <f>IF(Table1[[#This Row],[Std Read]]="","N/A",Table1[[#This Row],[Std Read]]+Table1[[#This Row],[Std Ucty]])</f>
        <v>N/A</v>
      </c>
      <c r="Z9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1" s="1" t="str">
        <f>IF(Table1[[#This Row],[Spec Type]]="","N/A",Table1[[#This Row],[Spec Type]])</f>
        <v>±</v>
      </c>
      <c r="AC941" s="1" t="str">
        <f>IF(Table1[[#This Row],[Spec Type2]]="N/A","N/A",IF(AND(Table1[[#This Row],[DUT Adj Read]]&gt;=Table1[[#This Row],[Low Tol]],Table1[[#This Row],[DUT Adj Read]]&lt;=Table1[[#This Row],[High Tol]]),"Pass","Fail"))</f>
        <v>Fail</v>
      </c>
      <c r="AD941" s="1" t="str">
        <f>IF(AND(Table1[[#This Row],[Spec Type2]]="N/A",Table1[[#This Row],[DUT Adj Read]]="N/A",Table1[[#This Row],[Std Adj Read]]="N/A"),"N/A",IF(Table1[[#This Row],[DUT Adj Read]]="N/A",IF(Table1[[#This Row],[Std Adj Read]]&gt;Table1[[#This Row],[Low Tol]],"Pass","Fail"),IF(Table1[[#This Row],[DUT Adj Read]]&gt;Table1[[#This Row],[Low Tol]],"Pass","Fail")))</f>
        <v>Pass</v>
      </c>
      <c r="AE941" s="1" t="str">
        <f>IF(AND(Table1[[#This Row],[Spec Type2]]="N/A",Table1[[#This Row],[DUT Adj Read]]="N/A",Table1[[#This Row],[Std Adj Read]]="N/A"),"N/A",IF(Table1[[#This Row],[DUT Adj Read]]="N/A",IF(Table1[[#This Row],[Std Adj Read]]&lt;Table1[[#This Row],[High Tol]],"Pass","Fail"),IF(Table1[[#This Row],[DUT Adj Read]]&lt;Table1[[#This Row],[High Tol]],"Pass","Fail")))</f>
        <v>Fail</v>
      </c>
      <c r="AF941" s="1" t="str">
        <f>IF(AND(Table1[[#This Row],[Spec Type2]]="N/A",Table1[[#This Row],[DUT Adj Read]]="N/A",Table1[[#This Row],[Std Adj Read]]="N/A"),"N/A",IF(Table1[[#This Row],[DUT Adj Read]]="N/A",IF(Table1[[#This Row],[Std Adj Read]]&gt;=Table1[[#This Row],[Low Tol]],"Pass","Fail"),IF(Table1[[#This Row],[DUT Adj Read]]&gt;=Table1[[#This Row],[Low Tol]],"Pass","Fail")))</f>
        <v>Pass</v>
      </c>
      <c r="AG941" s="1" t="str">
        <f>IF(AND(Table1[[#This Row],[Spec Type2]]="N/A",Table1[[#This Row],[DUT Adj Read]]="N/A",Table1[[#This Row],[Std Adj Read]]="N/A"),"N/A",IF(Table1[[#This Row],[DUT Adj Read]]="N/A",IF(Table1[[#This Row],[Std Adj Read]]&lt;=Table1[[#This Row],[High Tol]],"Pass","Fail"),IF(Table1[[#This Row],[DUT Adj Read]]&lt;=Table1[[#This Row],[High Tol]],"Pass","Fail")))</f>
        <v>Fail</v>
      </c>
      <c r="AH9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1" s="1" t="b">
        <v>0</v>
      </c>
      <c r="AN941" s="1" t="b">
        <v>0</v>
      </c>
      <c r="AO941" s="1" t="b">
        <v>0</v>
      </c>
    </row>
    <row r="942" spans="1:41" x14ac:dyDescent="0.25">
      <c r="A942" s="10"/>
      <c r="B942" s="10"/>
      <c r="C942" s="10"/>
      <c r="D942" s="10"/>
      <c r="E942" s="10"/>
      <c r="F942" s="10"/>
      <c r="G942" s="10"/>
      <c r="H942" s="10"/>
      <c r="I942" s="1" t="str">
        <f t="shared" si="42"/>
        <v/>
      </c>
      <c r="J942" s="1" t="s">
        <v>35</v>
      </c>
      <c r="K942" s="1" t="str">
        <f t="shared" si="43"/>
        <v/>
      </c>
      <c r="L942" s="1" t="str">
        <f t="shared" si="44"/>
        <v/>
      </c>
      <c r="M942" s="1">
        <f>IF(OR(Table1[[#This Row],[Std Nom]]="",Table1[[#This Row],[Std Read]]=""),0,Table1[[#This Row],[Std Nom]]-Table1[[#This Row],[Std Read]])</f>
        <v>0</v>
      </c>
      <c r="N942" s="1">
        <f>IF(Calculations!$F$5="ACCREDITED 17025 WITH UNCERTAINTIES",$N$10,0)</f>
        <v>0</v>
      </c>
      <c r="O942" s="1" t="str">
        <f>IFERROR(Table1[[#This Row],[Std Nom]]-(_xlfn.XLOOKUP(Table1[[#This Row],[Manufacturer]]&amp;" "&amp;Table1[[#This Row],[Model]],Table13[MFR &amp; MDL],Table13[Tolerance % CW ],"")/100*Table1[[#This Row],[Std Nom]]),"")</f>
        <v/>
      </c>
      <c r="P942" s="1" t="str">
        <f>IFERROR(Table1[[#This Row],[Std Nom]]+(_xlfn.XLOOKUP(Table1[[#This Row],[Manufacturer]]&amp;" "&amp;Table1[[#This Row],[Model]],Table13[MFR &amp; MDL],Table13[Tolerance % CW ],"")/100*Table1[[#This Row],[Std Nom]]),"")</f>
        <v/>
      </c>
      <c r="Q942" s="1" t="e">
        <f>Table1[[#This Row],[High Tol]]-Table1[[#This Row],[Low Tol]]</f>
        <v>#VALUE!</v>
      </c>
      <c r="R942" s="1">
        <f>2*Table1[[#This Row],[Std Error]]</f>
        <v>0</v>
      </c>
      <c r="S942" s="1" t="str">
        <f>IF(Table1[[#This Row],[High Tol]]="","N/A",IFERROR(ABS(Table1[[#This Row],[Tol Span]]/Table1[[#This Row],[Error Span]]),"N/A"))</f>
        <v>N/A</v>
      </c>
      <c r="T942" s="1" t="str">
        <f>IF(OR(Table1[[#This Row],[Low Tol]]="",Table1[[#This Row],[High Tol]]=""),"Needs Analysis",IF(Table1[[#This Row],[Ratio]]&gt;=4,"Not Significant",IF(Table1[[#This Row],[Ratio]]&gt;=2,"Semi-Significant","Significant")))</f>
        <v>Needs Analysis</v>
      </c>
      <c r="W942" s="1">
        <f>IF(Table1[[#This Row],[Cal Type]]&lt;&gt;"ACCREDITED 17025 WITH UNCERTAINTIES",0,"")</f>
        <v>0</v>
      </c>
      <c r="X942" s="1" t="str">
        <f>IF(Table1[[#This Row],[DUT Read]]="","N/A",Table1[[#This Row],[Std Error]]+Table1[[#This Row],[DUT Read]]+Table1[[#This Row],[DUT Ucty]])</f>
        <v>N/A</v>
      </c>
      <c r="Y942" s="1" t="str">
        <f>IF(Table1[[#This Row],[Std Read]]="","N/A",Table1[[#This Row],[Std Read]]+Table1[[#This Row],[Std Ucty]])</f>
        <v>N/A</v>
      </c>
      <c r="Z9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2" s="1" t="str">
        <f>IF(Table1[[#This Row],[Spec Type]]="","N/A",Table1[[#This Row],[Spec Type]])</f>
        <v>±</v>
      </c>
      <c r="AC942" s="1" t="str">
        <f>IF(Table1[[#This Row],[Spec Type2]]="N/A","N/A",IF(AND(Table1[[#This Row],[DUT Adj Read]]&gt;=Table1[[#This Row],[Low Tol]],Table1[[#This Row],[DUT Adj Read]]&lt;=Table1[[#This Row],[High Tol]]),"Pass","Fail"))</f>
        <v>Fail</v>
      </c>
      <c r="AD942" s="1" t="str">
        <f>IF(AND(Table1[[#This Row],[Spec Type2]]="N/A",Table1[[#This Row],[DUT Adj Read]]="N/A",Table1[[#This Row],[Std Adj Read]]="N/A"),"N/A",IF(Table1[[#This Row],[DUT Adj Read]]="N/A",IF(Table1[[#This Row],[Std Adj Read]]&gt;Table1[[#This Row],[Low Tol]],"Pass","Fail"),IF(Table1[[#This Row],[DUT Adj Read]]&gt;Table1[[#This Row],[Low Tol]],"Pass","Fail")))</f>
        <v>Pass</v>
      </c>
      <c r="AE942" s="1" t="str">
        <f>IF(AND(Table1[[#This Row],[Spec Type2]]="N/A",Table1[[#This Row],[DUT Adj Read]]="N/A",Table1[[#This Row],[Std Adj Read]]="N/A"),"N/A",IF(Table1[[#This Row],[DUT Adj Read]]="N/A",IF(Table1[[#This Row],[Std Adj Read]]&lt;Table1[[#This Row],[High Tol]],"Pass","Fail"),IF(Table1[[#This Row],[DUT Adj Read]]&lt;Table1[[#This Row],[High Tol]],"Pass","Fail")))</f>
        <v>Fail</v>
      </c>
      <c r="AF942" s="1" t="str">
        <f>IF(AND(Table1[[#This Row],[Spec Type2]]="N/A",Table1[[#This Row],[DUT Adj Read]]="N/A",Table1[[#This Row],[Std Adj Read]]="N/A"),"N/A",IF(Table1[[#This Row],[DUT Adj Read]]="N/A",IF(Table1[[#This Row],[Std Adj Read]]&gt;=Table1[[#This Row],[Low Tol]],"Pass","Fail"),IF(Table1[[#This Row],[DUT Adj Read]]&gt;=Table1[[#This Row],[Low Tol]],"Pass","Fail")))</f>
        <v>Pass</v>
      </c>
      <c r="AG942" s="1" t="str">
        <f>IF(AND(Table1[[#This Row],[Spec Type2]]="N/A",Table1[[#This Row],[DUT Adj Read]]="N/A",Table1[[#This Row],[Std Adj Read]]="N/A"),"N/A",IF(Table1[[#This Row],[DUT Adj Read]]="N/A",IF(Table1[[#This Row],[Std Adj Read]]&lt;=Table1[[#This Row],[High Tol]],"Pass","Fail"),IF(Table1[[#This Row],[DUT Adj Read]]&lt;=Table1[[#This Row],[High Tol]],"Pass","Fail")))</f>
        <v>Fail</v>
      </c>
      <c r="AH9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2" s="1" t="b">
        <v>0</v>
      </c>
      <c r="AN942" s="1" t="b">
        <v>0</v>
      </c>
      <c r="AO942" s="1" t="b">
        <v>0</v>
      </c>
    </row>
    <row r="943" spans="1:41" x14ac:dyDescent="0.25">
      <c r="A943" s="10"/>
      <c r="B943" s="10"/>
      <c r="C943" s="10"/>
      <c r="D943" s="10"/>
      <c r="E943" s="10"/>
      <c r="F943" s="10"/>
      <c r="G943" s="10"/>
      <c r="H943" s="10"/>
      <c r="I943" s="1" t="str">
        <f t="shared" si="42"/>
        <v/>
      </c>
      <c r="J943" s="1" t="s">
        <v>35</v>
      </c>
      <c r="K943" s="1" t="str">
        <f t="shared" si="43"/>
        <v/>
      </c>
      <c r="L943" s="1" t="str">
        <f t="shared" si="44"/>
        <v/>
      </c>
      <c r="M943" s="1">
        <f>IF(OR(Table1[[#This Row],[Std Nom]]="",Table1[[#This Row],[Std Read]]=""),0,Table1[[#This Row],[Std Nom]]-Table1[[#This Row],[Std Read]])</f>
        <v>0</v>
      </c>
      <c r="N943" s="1">
        <f>IF(Calculations!$F$5="ACCREDITED 17025 WITH UNCERTAINTIES",$N$10,0)</f>
        <v>0</v>
      </c>
      <c r="O943" s="1" t="str">
        <f>IFERROR(Table1[[#This Row],[Std Nom]]-(_xlfn.XLOOKUP(Table1[[#This Row],[Manufacturer]]&amp;" "&amp;Table1[[#This Row],[Model]],Table13[MFR &amp; MDL],Table13[Tolerance % CW ],"")/100*Table1[[#This Row],[Std Nom]]),"")</f>
        <v/>
      </c>
      <c r="P943" s="1" t="str">
        <f>IFERROR(Table1[[#This Row],[Std Nom]]+(_xlfn.XLOOKUP(Table1[[#This Row],[Manufacturer]]&amp;" "&amp;Table1[[#This Row],[Model]],Table13[MFR &amp; MDL],Table13[Tolerance % CW ],"")/100*Table1[[#This Row],[Std Nom]]),"")</f>
        <v/>
      </c>
      <c r="Q943" s="1" t="e">
        <f>Table1[[#This Row],[High Tol]]-Table1[[#This Row],[Low Tol]]</f>
        <v>#VALUE!</v>
      </c>
      <c r="R943" s="1">
        <f>2*Table1[[#This Row],[Std Error]]</f>
        <v>0</v>
      </c>
      <c r="S943" s="1" t="str">
        <f>IF(Table1[[#This Row],[High Tol]]="","N/A",IFERROR(ABS(Table1[[#This Row],[Tol Span]]/Table1[[#This Row],[Error Span]]),"N/A"))</f>
        <v>N/A</v>
      </c>
      <c r="T943" s="1" t="str">
        <f>IF(OR(Table1[[#This Row],[Low Tol]]="",Table1[[#This Row],[High Tol]]=""),"Needs Analysis",IF(Table1[[#This Row],[Ratio]]&gt;=4,"Not Significant",IF(Table1[[#This Row],[Ratio]]&gt;=2,"Semi-Significant","Significant")))</f>
        <v>Needs Analysis</v>
      </c>
      <c r="W943" s="1">
        <f>IF(Table1[[#This Row],[Cal Type]]&lt;&gt;"ACCREDITED 17025 WITH UNCERTAINTIES",0,"")</f>
        <v>0</v>
      </c>
      <c r="X943" s="1" t="str">
        <f>IF(Table1[[#This Row],[DUT Read]]="","N/A",Table1[[#This Row],[Std Error]]+Table1[[#This Row],[DUT Read]]+Table1[[#This Row],[DUT Ucty]])</f>
        <v>N/A</v>
      </c>
      <c r="Y943" s="1" t="str">
        <f>IF(Table1[[#This Row],[Std Read]]="","N/A",Table1[[#This Row],[Std Read]]+Table1[[#This Row],[Std Ucty]])</f>
        <v>N/A</v>
      </c>
      <c r="Z9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3" s="1" t="str">
        <f>IF(Table1[[#This Row],[Spec Type]]="","N/A",Table1[[#This Row],[Spec Type]])</f>
        <v>±</v>
      </c>
      <c r="AC943" s="1" t="str">
        <f>IF(Table1[[#This Row],[Spec Type2]]="N/A","N/A",IF(AND(Table1[[#This Row],[DUT Adj Read]]&gt;=Table1[[#This Row],[Low Tol]],Table1[[#This Row],[DUT Adj Read]]&lt;=Table1[[#This Row],[High Tol]]),"Pass","Fail"))</f>
        <v>Fail</v>
      </c>
      <c r="AD943" s="1" t="str">
        <f>IF(AND(Table1[[#This Row],[Spec Type2]]="N/A",Table1[[#This Row],[DUT Adj Read]]="N/A",Table1[[#This Row],[Std Adj Read]]="N/A"),"N/A",IF(Table1[[#This Row],[DUT Adj Read]]="N/A",IF(Table1[[#This Row],[Std Adj Read]]&gt;Table1[[#This Row],[Low Tol]],"Pass","Fail"),IF(Table1[[#This Row],[DUT Adj Read]]&gt;Table1[[#This Row],[Low Tol]],"Pass","Fail")))</f>
        <v>Pass</v>
      </c>
      <c r="AE943" s="1" t="str">
        <f>IF(AND(Table1[[#This Row],[Spec Type2]]="N/A",Table1[[#This Row],[DUT Adj Read]]="N/A",Table1[[#This Row],[Std Adj Read]]="N/A"),"N/A",IF(Table1[[#This Row],[DUT Adj Read]]="N/A",IF(Table1[[#This Row],[Std Adj Read]]&lt;Table1[[#This Row],[High Tol]],"Pass","Fail"),IF(Table1[[#This Row],[DUT Adj Read]]&lt;Table1[[#This Row],[High Tol]],"Pass","Fail")))</f>
        <v>Fail</v>
      </c>
      <c r="AF943" s="1" t="str">
        <f>IF(AND(Table1[[#This Row],[Spec Type2]]="N/A",Table1[[#This Row],[DUT Adj Read]]="N/A",Table1[[#This Row],[Std Adj Read]]="N/A"),"N/A",IF(Table1[[#This Row],[DUT Adj Read]]="N/A",IF(Table1[[#This Row],[Std Adj Read]]&gt;=Table1[[#This Row],[Low Tol]],"Pass","Fail"),IF(Table1[[#This Row],[DUT Adj Read]]&gt;=Table1[[#This Row],[Low Tol]],"Pass","Fail")))</f>
        <v>Pass</v>
      </c>
      <c r="AG943" s="1" t="str">
        <f>IF(AND(Table1[[#This Row],[Spec Type2]]="N/A",Table1[[#This Row],[DUT Adj Read]]="N/A",Table1[[#This Row],[Std Adj Read]]="N/A"),"N/A",IF(Table1[[#This Row],[DUT Adj Read]]="N/A",IF(Table1[[#This Row],[Std Adj Read]]&lt;=Table1[[#This Row],[High Tol]],"Pass","Fail"),IF(Table1[[#This Row],[DUT Adj Read]]&lt;=Table1[[#This Row],[High Tol]],"Pass","Fail")))</f>
        <v>Fail</v>
      </c>
      <c r="AH9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3" s="1" t="b">
        <v>0</v>
      </c>
      <c r="AN943" s="1" t="b">
        <v>0</v>
      </c>
      <c r="AO943" s="1" t="b">
        <v>0</v>
      </c>
    </row>
    <row r="944" spans="1:41" x14ac:dyDescent="0.25">
      <c r="A944" s="10"/>
      <c r="B944" s="10"/>
      <c r="C944" s="10"/>
      <c r="D944" s="10"/>
      <c r="E944" s="10"/>
      <c r="F944" s="10"/>
      <c r="G944" s="10"/>
      <c r="H944" s="10"/>
      <c r="I944" s="1" t="str">
        <f t="shared" si="42"/>
        <v/>
      </c>
      <c r="J944" s="1" t="s">
        <v>35</v>
      </c>
      <c r="K944" s="1" t="str">
        <f t="shared" si="43"/>
        <v/>
      </c>
      <c r="L944" s="1" t="str">
        <f t="shared" si="44"/>
        <v/>
      </c>
      <c r="M944" s="1">
        <f>IF(OR(Table1[[#This Row],[Std Nom]]="",Table1[[#This Row],[Std Read]]=""),0,Table1[[#This Row],[Std Nom]]-Table1[[#This Row],[Std Read]])</f>
        <v>0</v>
      </c>
      <c r="N944" s="1">
        <f>IF(Calculations!$F$5="ACCREDITED 17025 WITH UNCERTAINTIES",$N$10,0)</f>
        <v>0</v>
      </c>
      <c r="O944" s="1" t="str">
        <f>IFERROR(Table1[[#This Row],[Std Nom]]-(_xlfn.XLOOKUP(Table1[[#This Row],[Manufacturer]]&amp;" "&amp;Table1[[#This Row],[Model]],Table13[MFR &amp; MDL],Table13[Tolerance % CW ],"")/100*Table1[[#This Row],[Std Nom]]),"")</f>
        <v/>
      </c>
      <c r="P944" s="1" t="str">
        <f>IFERROR(Table1[[#This Row],[Std Nom]]+(_xlfn.XLOOKUP(Table1[[#This Row],[Manufacturer]]&amp;" "&amp;Table1[[#This Row],[Model]],Table13[MFR &amp; MDL],Table13[Tolerance % CW ],"")/100*Table1[[#This Row],[Std Nom]]),"")</f>
        <v/>
      </c>
      <c r="Q944" s="1" t="e">
        <f>Table1[[#This Row],[High Tol]]-Table1[[#This Row],[Low Tol]]</f>
        <v>#VALUE!</v>
      </c>
      <c r="R944" s="1">
        <f>2*Table1[[#This Row],[Std Error]]</f>
        <v>0</v>
      </c>
      <c r="S944" s="1" t="str">
        <f>IF(Table1[[#This Row],[High Tol]]="","N/A",IFERROR(ABS(Table1[[#This Row],[Tol Span]]/Table1[[#This Row],[Error Span]]),"N/A"))</f>
        <v>N/A</v>
      </c>
      <c r="T944" s="1" t="str">
        <f>IF(OR(Table1[[#This Row],[Low Tol]]="",Table1[[#This Row],[High Tol]]=""),"Needs Analysis",IF(Table1[[#This Row],[Ratio]]&gt;=4,"Not Significant",IF(Table1[[#This Row],[Ratio]]&gt;=2,"Semi-Significant","Significant")))</f>
        <v>Needs Analysis</v>
      </c>
      <c r="W944" s="1">
        <f>IF(Table1[[#This Row],[Cal Type]]&lt;&gt;"ACCREDITED 17025 WITH UNCERTAINTIES",0,"")</f>
        <v>0</v>
      </c>
      <c r="X944" s="1" t="str">
        <f>IF(Table1[[#This Row],[DUT Read]]="","N/A",Table1[[#This Row],[Std Error]]+Table1[[#This Row],[DUT Read]]+Table1[[#This Row],[DUT Ucty]])</f>
        <v>N/A</v>
      </c>
      <c r="Y944" s="1" t="str">
        <f>IF(Table1[[#This Row],[Std Read]]="","N/A",Table1[[#This Row],[Std Read]]+Table1[[#This Row],[Std Ucty]])</f>
        <v>N/A</v>
      </c>
      <c r="Z9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4" s="1" t="str">
        <f>IF(Table1[[#This Row],[Spec Type]]="","N/A",Table1[[#This Row],[Spec Type]])</f>
        <v>±</v>
      </c>
      <c r="AC944" s="1" t="str">
        <f>IF(Table1[[#This Row],[Spec Type2]]="N/A","N/A",IF(AND(Table1[[#This Row],[DUT Adj Read]]&gt;=Table1[[#This Row],[Low Tol]],Table1[[#This Row],[DUT Adj Read]]&lt;=Table1[[#This Row],[High Tol]]),"Pass","Fail"))</f>
        <v>Fail</v>
      </c>
      <c r="AD944" s="1" t="str">
        <f>IF(AND(Table1[[#This Row],[Spec Type2]]="N/A",Table1[[#This Row],[DUT Adj Read]]="N/A",Table1[[#This Row],[Std Adj Read]]="N/A"),"N/A",IF(Table1[[#This Row],[DUT Adj Read]]="N/A",IF(Table1[[#This Row],[Std Adj Read]]&gt;Table1[[#This Row],[Low Tol]],"Pass","Fail"),IF(Table1[[#This Row],[DUT Adj Read]]&gt;Table1[[#This Row],[Low Tol]],"Pass","Fail")))</f>
        <v>Pass</v>
      </c>
      <c r="AE944" s="1" t="str">
        <f>IF(AND(Table1[[#This Row],[Spec Type2]]="N/A",Table1[[#This Row],[DUT Adj Read]]="N/A",Table1[[#This Row],[Std Adj Read]]="N/A"),"N/A",IF(Table1[[#This Row],[DUT Adj Read]]="N/A",IF(Table1[[#This Row],[Std Adj Read]]&lt;Table1[[#This Row],[High Tol]],"Pass","Fail"),IF(Table1[[#This Row],[DUT Adj Read]]&lt;Table1[[#This Row],[High Tol]],"Pass","Fail")))</f>
        <v>Fail</v>
      </c>
      <c r="AF944" s="1" t="str">
        <f>IF(AND(Table1[[#This Row],[Spec Type2]]="N/A",Table1[[#This Row],[DUT Adj Read]]="N/A",Table1[[#This Row],[Std Adj Read]]="N/A"),"N/A",IF(Table1[[#This Row],[DUT Adj Read]]="N/A",IF(Table1[[#This Row],[Std Adj Read]]&gt;=Table1[[#This Row],[Low Tol]],"Pass","Fail"),IF(Table1[[#This Row],[DUT Adj Read]]&gt;=Table1[[#This Row],[Low Tol]],"Pass","Fail")))</f>
        <v>Pass</v>
      </c>
      <c r="AG944" s="1" t="str">
        <f>IF(AND(Table1[[#This Row],[Spec Type2]]="N/A",Table1[[#This Row],[DUT Adj Read]]="N/A",Table1[[#This Row],[Std Adj Read]]="N/A"),"N/A",IF(Table1[[#This Row],[DUT Adj Read]]="N/A",IF(Table1[[#This Row],[Std Adj Read]]&lt;=Table1[[#This Row],[High Tol]],"Pass","Fail"),IF(Table1[[#This Row],[DUT Adj Read]]&lt;=Table1[[#This Row],[High Tol]],"Pass","Fail")))</f>
        <v>Fail</v>
      </c>
      <c r="AH9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4" s="1" t="b">
        <v>0</v>
      </c>
      <c r="AN944" s="1" t="b">
        <v>0</v>
      </c>
      <c r="AO944" s="1" t="b">
        <v>0</v>
      </c>
    </row>
    <row r="945" spans="1:41" x14ac:dyDescent="0.25">
      <c r="A945" s="10"/>
      <c r="B945" s="10"/>
      <c r="C945" s="10"/>
      <c r="D945" s="10"/>
      <c r="E945" s="10"/>
      <c r="F945" s="10"/>
      <c r="G945" s="10"/>
      <c r="H945" s="10"/>
      <c r="I945" s="1" t="str">
        <f t="shared" si="42"/>
        <v/>
      </c>
      <c r="J945" s="1" t="s">
        <v>35</v>
      </c>
      <c r="K945" s="1" t="str">
        <f t="shared" si="43"/>
        <v/>
      </c>
      <c r="L945" s="1" t="str">
        <f t="shared" si="44"/>
        <v/>
      </c>
      <c r="M945" s="1">
        <f>IF(OR(Table1[[#This Row],[Std Nom]]="",Table1[[#This Row],[Std Read]]=""),0,Table1[[#This Row],[Std Nom]]-Table1[[#This Row],[Std Read]])</f>
        <v>0</v>
      </c>
      <c r="N945" s="1">
        <f>IF(Calculations!$F$5="ACCREDITED 17025 WITH UNCERTAINTIES",$N$10,0)</f>
        <v>0</v>
      </c>
      <c r="O945" s="1" t="str">
        <f>IFERROR(Table1[[#This Row],[Std Nom]]-(_xlfn.XLOOKUP(Table1[[#This Row],[Manufacturer]]&amp;" "&amp;Table1[[#This Row],[Model]],Table13[MFR &amp; MDL],Table13[Tolerance % CW ],"")/100*Table1[[#This Row],[Std Nom]]),"")</f>
        <v/>
      </c>
      <c r="P945" s="1" t="str">
        <f>IFERROR(Table1[[#This Row],[Std Nom]]+(_xlfn.XLOOKUP(Table1[[#This Row],[Manufacturer]]&amp;" "&amp;Table1[[#This Row],[Model]],Table13[MFR &amp; MDL],Table13[Tolerance % CW ],"")/100*Table1[[#This Row],[Std Nom]]),"")</f>
        <v/>
      </c>
      <c r="Q945" s="1" t="e">
        <f>Table1[[#This Row],[High Tol]]-Table1[[#This Row],[Low Tol]]</f>
        <v>#VALUE!</v>
      </c>
      <c r="R945" s="1">
        <f>2*Table1[[#This Row],[Std Error]]</f>
        <v>0</v>
      </c>
      <c r="S945" s="1" t="str">
        <f>IF(Table1[[#This Row],[High Tol]]="","N/A",IFERROR(ABS(Table1[[#This Row],[Tol Span]]/Table1[[#This Row],[Error Span]]),"N/A"))</f>
        <v>N/A</v>
      </c>
      <c r="T945" s="1" t="str">
        <f>IF(OR(Table1[[#This Row],[Low Tol]]="",Table1[[#This Row],[High Tol]]=""),"Needs Analysis",IF(Table1[[#This Row],[Ratio]]&gt;=4,"Not Significant",IF(Table1[[#This Row],[Ratio]]&gt;=2,"Semi-Significant","Significant")))</f>
        <v>Needs Analysis</v>
      </c>
      <c r="W945" s="1">
        <f>IF(Table1[[#This Row],[Cal Type]]&lt;&gt;"ACCREDITED 17025 WITH UNCERTAINTIES",0,"")</f>
        <v>0</v>
      </c>
      <c r="X945" s="1" t="str">
        <f>IF(Table1[[#This Row],[DUT Read]]="","N/A",Table1[[#This Row],[Std Error]]+Table1[[#This Row],[DUT Read]]+Table1[[#This Row],[DUT Ucty]])</f>
        <v>N/A</v>
      </c>
      <c r="Y945" s="1" t="str">
        <f>IF(Table1[[#This Row],[Std Read]]="","N/A",Table1[[#This Row],[Std Read]]+Table1[[#This Row],[Std Ucty]])</f>
        <v>N/A</v>
      </c>
      <c r="Z9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5" s="1" t="str">
        <f>IF(Table1[[#This Row],[Spec Type]]="","N/A",Table1[[#This Row],[Spec Type]])</f>
        <v>±</v>
      </c>
      <c r="AC945" s="1" t="str">
        <f>IF(Table1[[#This Row],[Spec Type2]]="N/A","N/A",IF(AND(Table1[[#This Row],[DUT Adj Read]]&gt;=Table1[[#This Row],[Low Tol]],Table1[[#This Row],[DUT Adj Read]]&lt;=Table1[[#This Row],[High Tol]]),"Pass","Fail"))</f>
        <v>Fail</v>
      </c>
      <c r="AD945" s="1" t="str">
        <f>IF(AND(Table1[[#This Row],[Spec Type2]]="N/A",Table1[[#This Row],[DUT Adj Read]]="N/A",Table1[[#This Row],[Std Adj Read]]="N/A"),"N/A",IF(Table1[[#This Row],[DUT Adj Read]]="N/A",IF(Table1[[#This Row],[Std Adj Read]]&gt;Table1[[#This Row],[Low Tol]],"Pass","Fail"),IF(Table1[[#This Row],[DUT Adj Read]]&gt;Table1[[#This Row],[Low Tol]],"Pass","Fail")))</f>
        <v>Pass</v>
      </c>
      <c r="AE945" s="1" t="str">
        <f>IF(AND(Table1[[#This Row],[Spec Type2]]="N/A",Table1[[#This Row],[DUT Adj Read]]="N/A",Table1[[#This Row],[Std Adj Read]]="N/A"),"N/A",IF(Table1[[#This Row],[DUT Adj Read]]="N/A",IF(Table1[[#This Row],[Std Adj Read]]&lt;Table1[[#This Row],[High Tol]],"Pass","Fail"),IF(Table1[[#This Row],[DUT Adj Read]]&lt;Table1[[#This Row],[High Tol]],"Pass","Fail")))</f>
        <v>Fail</v>
      </c>
      <c r="AF945" s="1" t="str">
        <f>IF(AND(Table1[[#This Row],[Spec Type2]]="N/A",Table1[[#This Row],[DUT Adj Read]]="N/A",Table1[[#This Row],[Std Adj Read]]="N/A"),"N/A",IF(Table1[[#This Row],[DUT Adj Read]]="N/A",IF(Table1[[#This Row],[Std Adj Read]]&gt;=Table1[[#This Row],[Low Tol]],"Pass","Fail"),IF(Table1[[#This Row],[DUT Adj Read]]&gt;=Table1[[#This Row],[Low Tol]],"Pass","Fail")))</f>
        <v>Pass</v>
      </c>
      <c r="AG945" s="1" t="str">
        <f>IF(AND(Table1[[#This Row],[Spec Type2]]="N/A",Table1[[#This Row],[DUT Adj Read]]="N/A",Table1[[#This Row],[Std Adj Read]]="N/A"),"N/A",IF(Table1[[#This Row],[DUT Adj Read]]="N/A",IF(Table1[[#This Row],[Std Adj Read]]&lt;=Table1[[#This Row],[High Tol]],"Pass","Fail"),IF(Table1[[#This Row],[DUT Adj Read]]&lt;=Table1[[#This Row],[High Tol]],"Pass","Fail")))</f>
        <v>Fail</v>
      </c>
      <c r="AH9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5" s="1" t="b">
        <v>0</v>
      </c>
      <c r="AN945" s="1" t="b">
        <v>0</v>
      </c>
      <c r="AO945" s="1" t="b">
        <v>0</v>
      </c>
    </row>
    <row r="946" spans="1:41" x14ac:dyDescent="0.25">
      <c r="A946" s="10"/>
      <c r="B946" s="10"/>
      <c r="C946" s="10"/>
      <c r="D946" s="10"/>
      <c r="E946" s="10"/>
      <c r="F946" s="10"/>
      <c r="G946" s="10"/>
      <c r="H946" s="10"/>
      <c r="I946" s="1" t="str">
        <f t="shared" si="42"/>
        <v/>
      </c>
      <c r="J946" s="1" t="s">
        <v>35</v>
      </c>
      <c r="K946" s="1" t="str">
        <f t="shared" si="43"/>
        <v/>
      </c>
      <c r="L946" s="1" t="str">
        <f t="shared" si="44"/>
        <v/>
      </c>
      <c r="M946" s="1">
        <f>IF(OR(Table1[[#This Row],[Std Nom]]="",Table1[[#This Row],[Std Read]]=""),0,Table1[[#This Row],[Std Nom]]-Table1[[#This Row],[Std Read]])</f>
        <v>0</v>
      </c>
      <c r="N946" s="1">
        <f>IF(Calculations!$F$5="ACCREDITED 17025 WITH UNCERTAINTIES",$N$10,0)</f>
        <v>0</v>
      </c>
      <c r="O946" s="1" t="str">
        <f>IFERROR(Table1[[#This Row],[Std Nom]]-(_xlfn.XLOOKUP(Table1[[#This Row],[Manufacturer]]&amp;" "&amp;Table1[[#This Row],[Model]],Table13[MFR &amp; MDL],Table13[Tolerance % CW ],"")/100*Table1[[#This Row],[Std Nom]]),"")</f>
        <v/>
      </c>
      <c r="P946" s="1" t="str">
        <f>IFERROR(Table1[[#This Row],[Std Nom]]+(_xlfn.XLOOKUP(Table1[[#This Row],[Manufacturer]]&amp;" "&amp;Table1[[#This Row],[Model]],Table13[MFR &amp; MDL],Table13[Tolerance % CW ],"")/100*Table1[[#This Row],[Std Nom]]),"")</f>
        <v/>
      </c>
      <c r="Q946" s="1" t="e">
        <f>Table1[[#This Row],[High Tol]]-Table1[[#This Row],[Low Tol]]</f>
        <v>#VALUE!</v>
      </c>
      <c r="R946" s="1">
        <f>2*Table1[[#This Row],[Std Error]]</f>
        <v>0</v>
      </c>
      <c r="S946" s="1" t="str">
        <f>IF(Table1[[#This Row],[High Tol]]="","N/A",IFERROR(ABS(Table1[[#This Row],[Tol Span]]/Table1[[#This Row],[Error Span]]),"N/A"))</f>
        <v>N/A</v>
      </c>
      <c r="T946" s="1" t="str">
        <f>IF(OR(Table1[[#This Row],[Low Tol]]="",Table1[[#This Row],[High Tol]]=""),"Needs Analysis",IF(Table1[[#This Row],[Ratio]]&gt;=4,"Not Significant",IF(Table1[[#This Row],[Ratio]]&gt;=2,"Semi-Significant","Significant")))</f>
        <v>Needs Analysis</v>
      </c>
      <c r="W946" s="1">
        <f>IF(Table1[[#This Row],[Cal Type]]&lt;&gt;"ACCREDITED 17025 WITH UNCERTAINTIES",0,"")</f>
        <v>0</v>
      </c>
      <c r="X946" s="1" t="str">
        <f>IF(Table1[[#This Row],[DUT Read]]="","N/A",Table1[[#This Row],[Std Error]]+Table1[[#This Row],[DUT Read]]+Table1[[#This Row],[DUT Ucty]])</f>
        <v>N/A</v>
      </c>
      <c r="Y946" s="1" t="str">
        <f>IF(Table1[[#This Row],[Std Read]]="","N/A",Table1[[#This Row],[Std Read]]+Table1[[#This Row],[Std Ucty]])</f>
        <v>N/A</v>
      </c>
      <c r="Z9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6" s="1" t="str">
        <f>IF(Table1[[#This Row],[Spec Type]]="","N/A",Table1[[#This Row],[Spec Type]])</f>
        <v>±</v>
      </c>
      <c r="AC946" s="1" t="str">
        <f>IF(Table1[[#This Row],[Spec Type2]]="N/A","N/A",IF(AND(Table1[[#This Row],[DUT Adj Read]]&gt;=Table1[[#This Row],[Low Tol]],Table1[[#This Row],[DUT Adj Read]]&lt;=Table1[[#This Row],[High Tol]]),"Pass","Fail"))</f>
        <v>Fail</v>
      </c>
      <c r="AD946" s="1" t="str">
        <f>IF(AND(Table1[[#This Row],[Spec Type2]]="N/A",Table1[[#This Row],[DUT Adj Read]]="N/A",Table1[[#This Row],[Std Adj Read]]="N/A"),"N/A",IF(Table1[[#This Row],[DUT Adj Read]]="N/A",IF(Table1[[#This Row],[Std Adj Read]]&gt;Table1[[#This Row],[Low Tol]],"Pass","Fail"),IF(Table1[[#This Row],[DUT Adj Read]]&gt;Table1[[#This Row],[Low Tol]],"Pass","Fail")))</f>
        <v>Pass</v>
      </c>
      <c r="AE946" s="1" t="str">
        <f>IF(AND(Table1[[#This Row],[Spec Type2]]="N/A",Table1[[#This Row],[DUT Adj Read]]="N/A",Table1[[#This Row],[Std Adj Read]]="N/A"),"N/A",IF(Table1[[#This Row],[DUT Adj Read]]="N/A",IF(Table1[[#This Row],[Std Adj Read]]&lt;Table1[[#This Row],[High Tol]],"Pass","Fail"),IF(Table1[[#This Row],[DUT Adj Read]]&lt;Table1[[#This Row],[High Tol]],"Pass","Fail")))</f>
        <v>Fail</v>
      </c>
      <c r="AF946" s="1" t="str">
        <f>IF(AND(Table1[[#This Row],[Spec Type2]]="N/A",Table1[[#This Row],[DUT Adj Read]]="N/A",Table1[[#This Row],[Std Adj Read]]="N/A"),"N/A",IF(Table1[[#This Row],[DUT Adj Read]]="N/A",IF(Table1[[#This Row],[Std Adj Read]]&gt;=Table1[[#This Row],[Low Tol]],"Pass","Fail"),IF(Table1[[#This Row],[DUT Adj Read]]&gt;=Table1[[#This Row],[Low Tol]],"Pass","Fail")))</f>
        <v>Pass</v>
      </c>
      <c r="AG946" s="1" t="str">
        <f>IF(AND(Table1[[#This Row],[Spec Type2]]="N/A",Table1[[#This Row],[DUT Adj Read]]="N/A",Table1[[#This Row],[Std Adj Read]]="N/A"),"N/A",IF(Table1[[#This Row],[DUT Adj Read]]="N/A",IF(Table1[[#This Row],[Std Adj Read]]&lt;=Table1[[#This Row],[High Tol]],"Pass","Fail"),IF(Table1[[#This Row],[DUT Adj Read]]&lt;=Table1[[#This Row],[High Tol]],"Pass","Fail")))</f>
        <v>Fail</v>
      </c>
      <c r="AH9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6" s="1" t="b">
        <v>0</v>
      </c>
      <c r="AN946" s="1" t="b">
        <v>0</v>
      </c>
      <c r="AO946" s="1" t="b">
        <v>0</v>
      </c>
    </row>
    <row r="947" spans="1:41" x14ac:dyDescent="0.25">
      <c r="A947" s="10"/>
      <c r="B947" s="10"/>
      <c r="C947" s="10"/>
      <c r="D947" s="10"/>
      <c r="E947" s="10"/>
      <c r="F947" s="10"/>
      <c r="G947" s="10"/>
      <c r="H947" s="10"/>
      <c r="I947" s="1" t="str">
        <f t="shared" si="42"/>
        <v/>
      </c>
      <c r="J947" s="1" t="s">
        <v>35</v>
      </c>
      <c r="K947" s="1" t="str">
        <f t="shared" si="43"/>
        <v/>
      </c>
      <c r="L947" s="1" t="str">
        <f t="shared" si="44"/>
        <v/>
      </c>
      <c r="M947" s="1">
        <f>IF(OR(Table1[[#This Row],[Std Nom]]="",Table1[[#This Row],[Std Read]]=""),0,Table1[[#This Row],[Std Nom]]-Table1[[#This Row],[Std Read]])</f>
        <v>0</v>
      </c>
      <c r="N947" s="1">
        <f>IF(Calculations!$F$5="ACCREDITED 17025 WITH UNCERTAINTIES",$N$10,0)</f>
        <v>0</v>
      </c>
      <c r="O947" s="1" t="str">
        <f>IFERROR(Table1[[#This Row],[Std Nom]]-(_xlfn.XLOOKUP(Table1[[#This Row],[Manufacturer]]&amp;" "&amp;Table1[[#This Row],[Model]],Table13[MFR &amp; MDL],Table13[Tolerance % CW ],"")/100*Table1[[#This Row],[Std Nom]]),"")</f>
        <v/>
      </c>
      <c r="P947" s="1" t="str">
        <f>IFERROR(Table1[[#This Row],[Std Nom]]+(_xlfn.XLOOKUP(Table1[[#This Row],[Manufacturer]]&amp;" "&amp;Table1[[#This Row],[Model]],Table13[MFR &amp; MDL],Table13[Tolerance % CW ],"")/100*Table1[[#This Row],[Std Nom]]),"")</f>
        <v/>
      </c>
      <c r="Q947" s="1" t="e">
        <f>Table1[[#This Row],[High Tol]]-Table1[[#This Row],[Low Tol]]</f>
        <v>#VALUE!</v>
      </c>
      <c r="R947" s="1">
        <f>2*Table1[[#This Row],[Std Error]]</f>
        <v>0</v>
      </c>
      <c r="S947" s="1" t="str">
        <f>IF(Table1[[#This Row],[High Tol]]="","N/A",IFERROR(ABS(Table1[[#This Row],[Tol Span]]/Table1[[#This Row],[Error Span]]),"N/A"))</f>
        <v>N/A</v>
      </c>
      <c r="T947" s="1" t="str">
        <f>IF(OR(Table1[[#This Row],[Low Tol]]="",Table1[[#This Row],[High Tol]]=""),"Needs Analysis",IF(Table1[[#This Row],[Ratio]]&gt;=4,"Not Significant",IF(Table1[[#This Row],[Ratio]]&gt;=2,"Semi-Significant","Significant")))</f>
        <v>Needs Analysis</v>
      </c>
      <c r="W947" s="1">
        <f>IF(Table1[[#This Row],[Cal Type]]&lt;&gt;"ACCREDITED 17025 WITH UNCERTAINTIES",0,"")</f>
        <v>0</v>
      </c>
      <c r="X947" s="1" t="str">
        <f>IF(Table1[[#This Row],[DUT Read]]="","N/A",Table1[[#This Row],[Std Error]]+Table1[[#This Row],[DUT Read]]+Table1[[#This Row],[DUT Ucty]])</f>
        <v>N/A</v>
      </c>
      <c r="Y947" s="1" t="str">
        <f>IF(Table1[[#This Row],[Std Read]]="","N/A",Table1[[#This Row],[Std Read]]+Table1[[#This Row],[Std Ucty]])</f>
        <v>N/A</v>
      </c>
      <c r="Z9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7" s="1" t="str">
        <f>IF(Table1[[#This Row],[Spec Type]]="","N/A",Table1[[#This Row],[Spec Type]])</f>
        <v>±</v>
      </c>
      <c r="AC947" s="1" t="str">
        <f>IF(Table1[[#This Row],[Spec Type2]]="N/A","N/A",IF(AND(Table1[[#This Row],[DUT Adj Read]]&gt;=Table1[[#This Row],[Low Tol]],Table1[[#This Row],[DUT Adj Read]]&lt;=Table1[[#This Row],[High Tol]]),"Pass","Fail"))</f>
        <v>Fail</v>
      </c>
      <c r="AD947" s="1" t="str">
        <f>IF(AND(Table1[[#This Row],[Spec Type2]]="N/A",Table1[[#This Row],[DUT Adj Read]]="N/A",Table1[[#This Row],[Std Adj Read]]="N/A"),"N/A",IF(Table1[[#This Row],[DUT Adj Read]]="N/A",IF(Table1[[#This Row],[Std Adj Read]]&gt;Table1[[#This Row],[Low Tol]],"Pass","Fail"),IF(Table1[[#This Row],[DUT Adj Read]]&gt;Table1[[#This Row],[Low Tol]],"Pass","Fail")))</f>
        <v>Pass</v>
      </c>
      <c r="AE947" s="1" t="str">
        <f>IF(AND(Table1[[#This Row],[Spec Type2]]="N/A",Table1[[#This Row],[DUT Adj Read]]="N/A",Table1[[#This Row],[Std Adj Read]]="N/A"),"N/A",IF(Table1[[#This Row],[DUT Adj Read]]="N/A",IF(Table1[[#This Row],[Std Adj Read]]&lt;Table1[[#This Row],[High Tol]],"Pass","Fail"),IF(Table1[[#This Row],[DUT Adj Read]]&lt;Table1[[#This Row],[High Tol]],"Pass","Fail")))</f>
        <v>Fail</v>
      </c>
      <c r="AF947" s="1" t="str">
        <f>IF(AND(Table1[[#This Row],[Spec Type2]]="N/A",Table1[[#This Row],[DUT Adj Read]]="N/A",Table1[[#This Row],[Std Adj Read]]="N/A"),"N/A",IF(Table1[[#This Row],[DUT Adj Read]]="N/A",IF(Table1[[#This Row],[Std Adj Read]]&gt;=Table1[[#This Row],[Low Tol]],"Pass","Fail"),IF(Table1[[#This Row],[DUT Adj Read]]&gt;=Table1[[#This Row],[Low Tol]],"Pass","Fail")))</f>
        <v>Pass</v>
      </c>
      <c r="AG947" s="1" t="str">
        <f>IF(AND(Table1[[#This Row],[Spec Type2]]="N/A",Table1[[#This Row],[DUT Adj Read]]="N/A",Table1[[#This Row],[Std Adj Read]]="N/A"),"N/A",IF(Table1[[#This Row],[DUT Adj Read]]="N/A",IF(Table1[[#This Row],[Std Adj Read]]&lt;=Table1[[#This Row],[High Tol]],"Pass","Fail"),IF(Table1[[#This Row],[DUT Adj Read]]&lt;=Table1[[#This Row],[High Tol]],"Pass","Fail")))</f>
        <v>Fail</v>
      </c>
      <c r="AH9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7" s="1" t="b">
        <v>0</v>
      </c>
      <c r="AN947" s="1" t="b">
        <v>0</v>
      </c>
      <c r="AO947" s="1" t="b">
        <v>0</v>
      </c>
    </row>
    <row r="948" spans="1:41" x14ac:dyDescent="0.25">
      <c r="A948" s="10"/>
      <c r="B948" s="10"/>
      <c r="C948" s="10"/>
      <c r="D948" s="10"/>
      <c r="E948" s="10"/>
      <c r="F948" s="10"/>
      <c r="G948" s="10"/>
      <c r="H948" s="10"/>
      <c r="I948" s="1" t="str">
        <f t="shared" si="42"/>
        <v/>
      </c>
      <c r="J948" s="1" t="s">
        <v>35</v>
      </c>
      <c r="K948" s="1" t="str">
        <f t="shared" si="43"/>
        <v/>
      </c>
      <c r="L948" s="1" t="str">
        <f t="shared" si="44"/>
        <v/>
      </c>
      <c r="M948" s="1">
        <f>IF(OR(Table1[[#This Row],[Std Nom]]="",Table1[[#This Row],[Std Read]]=""),0,Table1[[#This Row],[Std Nom]]-Table1[[#This Row],[Std Read]])</f>
        <v>0</v>
      </c>
      <c r="N948" s="1">
        <f>IF(Calculations!$F$5="ACCREDITED 17025 WITH UNCERTAINTIES",$N$10,0)</f>
        <v>0</v>
      </c>
      <c r="O948" s="1" t="str">
        <f>IFERROR(Table1[[#This Row],[Std Nom]]-(_xlfn.XLOOKUP(Table1[[#This Row],[Manufacturer]]&amp;" "&amp;Table1[[#This Row],[Model]],Table13[MFR &amp; MDL],Table13[Tolerance % CW ],"")/100*Table1[[#This Row],[Std Nom]]),"")</f>
        <v/>
      </c>
      <c r="P948" s="1" t="str">
        <f>IFERROR(Table1[[#This Row],[Std Nom]]+(_xlfn.XLOOKUP(Table1[[#This Row],[Manufacturer]]&amp;" "&amp;Table1[[#This Row],[Model]],Table13[MFR &amp; MDL],Table13[Tolerance % CW ],"")/100*Table1[[#This Row],[Std Nom]]),"")</f>
        <v/>
      </c>
      <c r="Q948" s="1" t="e">
        <f>Table1[[#This Row],[High Tol]]-Table1[[#This Row],[Low Tol]]</f>
        <v>#VALUE!</v>
      </c>
      <c r="R948" s="1">
        <f>2*Table1[[#This Row],[Std Error]]</f>
        <v>0</v>
      </c>
      <c r="S948" s="1" t="str">
        <f>IF(Table1[[#This Row],[High Tol]]="","N/A",IFERROR(ABS(Table1[[#This Row],[Tol Span]]/Table1[[#This Row],[Error Span]]),"N/A"))</f>
        <v>N/A</v>
      </c>
      <c r="T948" s="1" t="str">
        <f>IF(OR(Table1[[#This Row],[Low Tol]]="",Table1[[#This Row],[High Tol]]=""),"Needs Analysis",IF(Table1[[#This Row],[Ratio]]&gt;=4,"Not Significant",IF(Table1[[#This Row],[Ratio]]&gt;=2,"Semi-Significant","Significant")))</f>
        <v>Needs Analysis</v>
      </c>
      <c r="W948" s="1">
        <f>IF(Table1[[#This Row],[Cal Type]]&lt;&gt;"ACCREDITED 17025 WITH UNCERTAINTIES",0,"")</f>
        <v>0</v>
      </c>
      <c r="X948" s="1" t="str">
        <f>IF(Table1[[#This Row],[DUT Read]]="","N/A",Table1[[#This Row],[Std Error]]+Table1[[#This Row],[DUT Read]]+Table1[[#This Row],[DUT Ucty]])</f>
        <v>N/A</v>
      </c>
      <c r="Y948" s="1" t="str">
        <f>IF(Table1[[#This Row],[Std Read]]="","N/A",Table1[[#This Row],[Std Read]]+Table1[[#This Row],[Std Ucty]])</f>
        <v>N/A</v>
      </c>
      <c r="Z9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8" s="1" t="str">
        <f>IF(Table1[[#This Row],[Spec Type]]="","N/A",Table1[[#This Row],[Spec Type]])</f>
        <v>±</v>
      </c>
      <c r="AC948" s="1" t="str">
        <f>IF(Table1[[#This Row],[Spec Type2]]="N/A","N/A",IF(AND(Table1[[#This Row],[DUT Adj Read]]&gt;=Table1[[#This Row],[Low Tol]],Table1[[#This Row],[DUT Adj Read]]&lt;=Table1[[#This Row],[High Tol]]),"Pass","Fail"))</f>
        <v>Fail</v>
      </c>
      <c r="AD948" s="1" t="str">
        <f>IF(AND(Table1[[#This Row],[Spec Type2]]="N/A",Table1[[#This Row],[DUT Adj Read]]="N/A",Table1[[#This Row],[Std Adj Read]]="N/A"),"N/A",IF(Table1[[#This Row],[DUT Adj Read]]="N/A",IF(Table1[[#This Row],[Std Adj Read]]&gt;Table1[[#This Row],[Low Tol]],"Pass","Fail"),IF(Table1[[#This Row],[DUT Adj Read]]&gt;Table1[[#This Row],[Low Tol]],"Pass","Fail")))</f>
        <v>Pass</v>
      </c>
      <c r="AE948" s="1" t="str">
        <f>IF(AND(Table1[[#This Row],[Spec Type2]]="N/A",Table1[[#This Row],[DUT Adj Read]]="N/A",Table1[[#This Row],[Std Adj Read]]="N/A"),"N/A",IF(Table1[[#This Row],[DUT Adj Read]]="N/A",IF(Table1[[#This Row],[Std Adj Read]]&lt;Table1[[#This Row],[High Tol]],"Pass","Fail"),IF(Table1[[#This Row],[DUT Adj Read]]&lt;Table1[[#This Row],[High Tol]],"Pass","Fail")))</f>
        <v>Fail</v>
      </c>
      <c r="AF948" s="1" t="str">
        <f>IF(AND(Table1[[#This Row],[Spec Type2]]="N/A",Table1[[#This Row],[DUT Adj Read]]="N/A",Table1[[#This Row],[Std Adj Read]]="N/A"),"N/A",IF(Table1[[#This Row],[DUT Adj Read]]="N/A",IF(Table1[[#This Row],[Std Adj Read]]&gt;=Table1[[#This Row],[Low Tol]],"Pass","Fail"),IF(Table1[[#This Row],[DUT Adj Read]]&gt;=Table1[[#This Row],[Low Tol]],"Pass","Fail")))</f>
        <v>Pass</v>
      </c>
      <c r="AG948" s="1" t="str">
        <f>IF(AND(Table1[[#This Row],[Spec Type2]]="N/A",Table1[[#This Row],[DUT Adj Read]]="N/A",Table1[[#This Row],[Std Adj Read]]="N/A"),"N/A",IF(Table1[[#This Row],[DUT Adj Read]]="N/A",IF(Table1[[#This Row],[Std Adj Read]]&lt;=Table1[[#This Row],[High Tol]],"Pass","Fail"),IF(Table1[[#This Row],[DUT Adj Read]]&lt;=Table1[[#This Row],[High Tol]],"Pass","Fail")))</f>
        <v>Fail</v>
      </c>
      <c r="AH9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8" s="1" t="b">
        <v>0</v>
      </c>
      <c r="AN948" s="1" t="b">
        <v>0</v>
      </c>
      <c r="AO948" s="1" t="b">
        <v>0</v>
      </c>
    </row>
    <row r="949" spans="1:41" x14ac:dyDescent="0.25">
      <c r="A949" s="10"/>
      <c r="B949" s="10"/>
      <c r="C949" s="10"/>
      <c r="D949" s="10"/>
      <c r="E949" s="10"/>
      <c r="F949" s="10"/>
      <c r="G949" s="10"/>
      <c r="H949" s="10"/>
      <c r="I949" s="1" t="str">
        <f t="shared" si="42"/>
        <v/>
      </c>
      <c r="J949" s="1" t="s">
        <v>35</v>
      </c>
      <c r="K949" s="1" t="str">
        <f t="shared" si="43"/>
        <v/>
      </c>
      <c r="L949" s="1" t="str">
        <f t="shared" si="44"/>
        <v/>
      </c>
      <c r="M949" s="1">
        <f>IF(OR(Table1[[#This Row],[Std Nom]]="",Table1[[#This Row],[Std Read]]=""),0,Table1[[#This Row],[Std Nom]]-Table1[[#This Row],[Std Read]])</f>
        <v>0</v>
      </c>
      <c r="N949" s="1">
        <f>IF(Calculations!$F$5="ACCREDITED 17025 WITH UNCERTAINTIES",$N$10,0)</f>
        <v>0</v>
      </c>
      <c r="O949" s="1" t="str">
        <f>IFERROR(Table1[[#This Row],[Std Nom]]-(_xlfn.XLOOKUP(Table1[[#This Row],[Manufacturer]]&amp;" "&amp;Table1[[#This Row],[Model]],Table13[MFR &amp; MDL],Table13[Tolerance % CW ],"")/100*Table1[[#This Row],[Std Nom]]),"")</f>
        <v/>
      </c>
      <c r="P949" s="1" t="str">
        <f>IFERROR(Table1[[#This Row],[Std Nom]]+(_xlfn.XLOOKUP(Table1[[#This Row],[Manufacturer]]&amp;" "&amp;Table1[[#This Row],[Model]],Table13[MFR &amp; MDL],Table13[Tolerance % CW ],"")/100*Table1[[#This Row],[Std Nom]]),"")</f>
        <v/>
      </c>
      <c r="Q949" s="1" t="e">
        <f>Table1[[#This Row],[High Tol]]-Table1[[#This Row],[Low Tol]]</f>
        <v>#VALUE!</v>
      </c>
      <c r="R949" s="1">
        <f>2*Table1[[#This Row],[Std Error]]</f>
        <v>0</v>
      </c>
      <c r="S949" s="1" t="str">
        <f>IF(Table1[[#This Row],[High Tol]]="","N/A",IFERROR(ABS(Table1[[#This Row],[Tol Span]]/Table1[[#This Row],[Error Span]]),"N/A"))</f>
        <v>N/A</v>
      </c>
      <c r="T949" s="1" t="str">
        <f>IF(OR(Table1[[#This Row],[Low Tol]]="",Table1[[#This Row],[High Tol]]=""),"Needs Analysis",IF(Table1[[#This Row],[Ratio]]&gt;=4,"Not Significant",IF(Table1[[#This Row],[Ratio]]&gt;=2,"Semi-Significant","Significant")))</f>
        <v>Needs Analysis</v>
      </c>
      <c r="W949" s="1">
        <f>IF(Table1[[#This Row],[Cal Type]]&lt;&gt;"ACCREDITED 17025 WITH UNCERTAINTIES",0,"")</f>
        <v>0</v>
      </c>
      <c r="X949" s="1" t="str">
        <f>IF(Table1[[#This Row],[DUT Read]]="","N/A",Table1[[#This Row],[Std Error]]+Table1[[#This Row],[DUT Read]]+Table1[[#This Row],[DUT Ucty]])</f>
        <v>N/A</v>
      </c>
      <c r="Y949" s="1" t="str">
        <f>IF(Table1[[#This Row],[Std Read]]="","N/A",Table1[[#This Row],[Std Read]]+Table1[[#This Row],[Std Ucty]])</f>
        <v>N/A</v>
      </c>
      <c r="Z9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9" s="1" t="str">
        <f>IF(Table1[[#This Row],[Spec Type]]="","N/A",Table1[[#This Row],[Spec Type]])</f>
        <v>±</v>
      </c>
      <c r="AC949" s="1" t="str">
        <f>IF(Table1[[#This Row],[Spec Type2]]="N/A","N/A",IF(AND(Table1[[#This Row],[DUT Adj Read]]&gt;=Table1[[#This Row],[Low Tol]],Table1[[#This Row],[DUT Adj Read]]&lt;=Table1[[#This Row],[High Tol]]),"Pass","Fail"))</f>
        <v>Fail</v>
      </c>
      <c r="AD949" s="1" t="str">
        <f>IF(AND(Table1[[#This Row],[Spec Type2]]="N/A",Table1[[#This Row],[DUT Adj Read]]="N/A",Table1[[#This Row],[Std Adj Read]]="N/A"),"N/A",IF(Table1[[#This Row],[DUT Adj Read]]="N/A",IF(Table1[[#This Row],[Std Adj Read]]&gt;Table1[[#This Row],[Low Tol]],"Pass","Fail"),IF(Table1[[#This Row],[DUT Adj Read]]&gt;Table1[[#This Row],[Low Tol]],"Pass","Fail")))</f>
        <v>Pass</v>
      </c>
      <c r="AE949" s="1" t="str">
        <f>IF(AND(Table1[[#This Row],[Spec Type2]]="N/A",Table1[[#This Row],[DUT Adj Read]]="N/A",Table1[[#This Row],[Std Adj Read]]="N/A"),"N/A",IF(Table1[[#This Row],[DUT Adj Read]]="N/A",IF(Table1[[#This Row],[Std Adj Read]]&lt;Table1[[#This Row],[High Tol]],"Pass","Fail"),IF(Table1[[#This Row],[DUT Adj Read]]&lt;Table1[[#This Row],[High Tol]],"Pass","Fail")))</f>
        <v>Fail</v>
      </c>
      <c r="AF949" s="1" t="str">
        <f>IF(AND(Table1[[#This Row],[Spec Type2]]="N/A",Table1[[#This Row],[DUT Adj Read]]="N/A",Table1[[#This Row],[Std Adj Read]]="N/A"),"N/A",IF(Table1[[#This Row],[DUT Adj Read]]="N/A",IF(Table1[[#This Row],[Std Adj Read]]&gt;=Table1[[#This Row],[Low Tol]],"Pass","Fail"),IF(Table1[[#This Row],[DUT Adj Read]]&gt;=Table1[[#This Row],[Low Tol]],"Pass","Fail")))</f>
        <v>Pass</v>
      </c>
      <c r="AG949" s="1" t="str">
        <f>IF(AND(Table1[[#This Row],[Spec Type2]]="N/A",Table1[[#This Row],[DUT Adj Read]]="N/A",Table1[[#This Row],[Std Adj Read]]="N/A"),"N/A",IF(Table1[[#This Row],[DUT Adj Read]]="N/A",IF(Table1[[#This Row],[Std Adj Read]]&lt;=Table1[[#This Row],[High Tol]],"Pass","Fail"),IF(Table1[[#This Row],[DUT Adj Read]]&lt;=Table1[[#This Row],[High Tol]],"Pass","Fail")))</f>
        <v>Fail</v>
      </c>
      <c r="AH9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9" s="1" t="b">
        <v>0</v>
      </c>
      <c r="AN949" s="1" t="b">
        <v>0</v>
      </c>
      <c r="AO949" s="1" t="b">
        <v>0</v>
      </c>
    </row>
    <row r="950" spans="1:41" x14ac:dyDescent="0.25">
      <c r="A950" s="10"/>
      <c r="B950" s="10"/>
      <c r="C950" s="10"/>
      <c r="D950" s="10"/>
      <c r="E950" s="10"/>
      <c r="F950" s="10"/>
      <c r="G950" s="10"/>
      <c r="H950" s="10"/>
      <c r="I950" s="1" t="str">
        <f t="shared" si="42"/>
        <v/>
      </c>
      <c r="J950" s="1" t="s">
        <v>35</v>
      </c>
      <c r="K950" s="1" t="str">
        <f t="shared" si="43"/>
        <v/>
      </c>
      <c r="L950" s="1" t="str">
        <f t="shared" si="44"/>
        <v/>
      </c>
      <c r="M950" s="1">
        <f>IF(OR(Table1[[#This Row],[Std Nom]]="",Table1[[#This Row],[Std Read]]=""),0,Table1[[#This Row],[Std Nom]]-Table1[[#This Row],[Std Read]])</f>
        <v>0</v>
      </c>
      <c r="N950" s="1">
        <f>IF(Calculations!$F$5="ACCREDITED 17025 WITH UNCERTAINTIES",$N$10,0)</f>
        <v>0</v>
      </c>
      <c r="O950" s="1" t="str">
        <f>IFERROR(Table1[[#This Row],[Std Nom]]-(_xlfn.XLOOKUP(Table1[[#This Row],[Manufacturer]]&amp;" "&amp;Table1[[#This Row],[Model]],Table13[MFR &amp; MDL],Table13[Tolerance % CW ],"")/100*Table1[[#This Row],[Std Nom]]),"")</f>
        <v/>
      </c>
      <c r="P950" s="1" t="str">
        <f>IFERROR(Table1[[#This Row],[Std Nom]]+(_xlfn.XLOOKUP(Table1[[#This Row],[Manufacturer]]&amp;" "&amp;Table1[[#This Row],[Model]],Table13[MFR &amp; MDL],Table13[Tolerance % CW ],"")/100*Table1[[#This Row],[Std Nom]]),"")</f>
        <v/>
      </c>
      <c r="Q950" s="1" t="e">
        <f>Table1[[#This Row],[High Tol]]-Table1[[#This Row],[Low Tol]]</f>
        <v>#VALUE!</v>
      </c>
      <c r="R950" s="1">
        <f>2*Table1[[#This Row],[Std Error]]</f>
        <v>0</v>
      </c>
      <c r="S950" s="1" t="str">
        <f>IF(Table1[[#This Row],[High Tol]]="","N/A",IFERROR(ABS(Table1[[#This Row],[Tol Span]]/Table1[[#This Row],[Error Span]]),"N/A"))</f>
        <v>N/A</v>
      </c>
      <c r="T950" s="1" t="str">
        <f>IF(OR(Table1[[#This Row],[Low Tol]]="",Table1[[#This Row],[High Tol]]=""),"Needs Analysis",IF(Table1[[#This Row],[Ratio]]&gt;=4,"Not Significant",IF(Table1[[#This Row],[Ratio]]&gt;=2,"Semi-Significant","Significant")))</f>
        <v>Needs Analysis</v>
      </c>
      <c r="W950" s="1">
        <f>IF(Table1[[#This Row],[Cal Type]]&lt;&gt;"ACCREDITED 17025 WITH UNCERTAINTIES",0,"")</f>
        <v>0</v>
      </c>
      <c r="X950" s="1" t="str">
        <f>IF(Table1[[#This Row],[DUT Read]]="","N/A",Table1[[#This Row],[Std Error]]+Table1[[#This Row],[DUT Read]]+Table1[[#This Row],[DUT Ucty]])</f>
        <v>N/A</v>
      </c>
      <c r="Y950" s="1" t="str">
        <f>IF(Table1[[#This Row],[Std Read]]="","N/A",Table1[[#This Row],[Std Read]]+Table1[[#This Row],[Std Ucty]])</f>
        <v>N/A</v>
      </c>
      <c r="Z9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0" s="1" t="str">
        <f>IF(Table1[[#This Row],[Spec Type]]="","N/A",Table1[[#This Row],[Spec Type]])</f>
        <v>±</v>
      </c>
      <c r="AC950" s="1" t="str">
        <f>IF(Table1[[#This Row],[Spec Type2]]="N/A","N/A",IF(AND(Table1[[#This Row],[DUT Adj Read]]&gt;=Table1[[#This Row],[Low Tol]],Table1[[#This Row],[DUT Adj Read]]&lt;=Table1[[#This Row],[High Tol]]),"Pass","Fail"))</f>
        <v>Fail</v>
      </c>
      <c r="AD950" s="1" t="str">
        <f>IF(AND(Table1[[#This Row],[Spec Type2]]="N/A",Table1[[#This Row],[DUT Adj Read]]="N/A",Table1[[#This Row],[Std Adj Read]]="N/A"),"N/A",IF(Table1[[#This Row],[DUT Adj Read]]="N/A",IF(Table1[[#This Row],[Std Adj Read]]&gt;Table1[[#This Row],[Low Tol]],"Pass","Fail"),IF(Table1[[#This Row],[DUT Adj Read]]&gt;Table1[[#This Row],[Low Tol]],"Pass","Fail")))</f>
        <v>Pass</v>
      </c>
      <c r="AE950" s="1" t="str">
        <f>IF(AND(Table1[[#This Row],[Spec Type2]]="N/A",Table1[[#This Row],[DUT Adj Read]]="N/A",Table1[[#This Row],[Std Adj Read]]="N/A"),"N/A",IF(Table1[[#This Row],[DUT Adj Read]]="N/A",IF(Table1[[#This Row],[Std Adj Read]]&lt;Table1[[#This Row],[High Tol]],"Pass","Fail"),IF(Table1[[#This Row],[DUT Adj Read]]&lt;Table1[[#This Row],[High Tol]],"Pass","Fail")))</f>
        <v>Fail</v>
      </c>
      <c r="AF950" s="1" t="str">
        <f>IF(AND(Table1[[#This Row],[Spec Type2]]="N/A",Table1[[#This Row],[DUT Adj Read]]="N/A",Table1[[#This Row],[Std Adj Read]]="N/A"),"N/A",IF(Table1[[#This Row],[DUT Adj Read]]="N/A",IF(Table1[[#This Row],[Std Adj Read]]&gt;=Table1[[#This Row],[Low Tol]],"Pass","Fail"),IF(Table1[[#This Row],[DUT Adj Read]]&gt;=Table1[[#This Row],[Low Tol]],"Pass","Fail")))</f>
        <v>Pass</v>
      </c>
      <c r="AG950" s="1" t="str">
        <f>IF(AND(Table1[[#This Row],[Spec Type2]]="N/A",Table1[[#This Row],[DUT Adj Read]]="N/A",Table1[[#This Row],[Std Adj Read]]="N/A"),"N/A",IF(Table1[[#This Row],[DUT Adj Read]]="N/A",IF(Table1[[#This Row],[Std Adj Read]]&lt;=Table1[[#This Row],[High Tol]],"Pass","Fail"),IF(Table1[[#This Row],[DUT Adj Read]]&lt;=Table1[[#This Row],[High Tol]],"Pass","Fail")))</f>
        <v>Fail</v>
      </c>
      <c r="AH9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0" s="1" t="b">
        <v>0</v>
      </c>
      <c r="AN950" s="1" t="b">
        <v>0</v>
      </c>
      <c r="AO950" s="1" t="b">
        <v>0</v>
      </c>
    </row>
    <row r="951" spans="1:41" x14ac:dyDescent="0.25">
      <c r="A951" s="10"/>
      <c r="B951" s="10"/>
      <c r="C951" s="10"/>
      <c r="D951" s="10"/>
      <c r="E951" s="10"/>
      <c r="F951" s="10"/>
      <c r="G951" s="10"/>
      <c r="H951" s="10"/>
      <c r="I951" s="1" t="str">
        <f t="shared" si="42"/>
        <v/>
      </c>
      <c r="J951" s="1" t="s">
        <v>35</v>
      </c>
      <c r="K951" s="1" t="str">
        <f t="shared" si="43"/>
        <v/>
      </c>
      <c r="L951" s="1" t="str">
        <f t="shared" si="44"/>
        <v/>
      </c>
      <c r="M951" s="1">
        <f>IF(OR(Table1[[#This Row],[Std Nom]]="",Table1[[#This Row],[Std Read]]=""),0,Table1[[#This Row],[Std Nom]]-Table1[[#This Row],[Std Read]])</f>
        <v>0</v>
      </c>
      <c r="N951" s="1">
        <f>IF(Calculations!$F$5="ACCREDITED 17025 WITH UNCERTAINTIES",$N$10,0)</f>
        <v>0</v>
      </c>
      <c r="O951" s="1" t="str">
        <f>IFERROR(Table1[[#This Row],[Std Nom]]-(_xlfn.XLOOKUP(Table1[[#This Row],[Manufacturer]]&amp;" "&amp;Table1[[#This Row],[Model]],Table13[MFR &amp; MDL],Table13[Tolerance % CW ],"")/100*Table1[[#This Row],[Std Nom]]),"")</f>
        <v/>
      </c>
      <c r="P951" s="1" t="str">
        <f>IFERROR(Table1[[#This Row],[Std Nom]]+(_xlfn.XLOOKUP(Table1[[#This Row],[Manufacturer]]&amp;" "&amp;Table1[[#This Row],[Model]],Table13[MFR &amp; MDL],Table13[Tolerance % CW ],"")/100*Table1[[#This Row],[Std Nom]]),"")</f>
        <v/>
      </c>
      <c r="Q951" s="1" t="e">
        <f>Table1[[#This Row],[High Tol]]-Table1[[#This Row],[Low Tol]]</f>
        <v>#VALUE!</v>
      </c>
      <c r="R951" s="1">
        <f>2*Table1[[#This Row],[Std Error]]</f>
        <v>0</v>
      </c>
      <c r="S951" s="1" t="str">
        <f>IF(Table1[[#This Row],[High Tol]]="","N/A",IFERROR(ABS(Table1[[#This Row],[Tol Span]]/Table1[[#This Row],[Error Span]]),"N/A"))</f>
        <v>N/A</v>
      </c>
      <c r="T951" s="1" t="str">
        <f>IF(OR(Table1[[#This Row],[Low Tol]]="",Table1[[#This Row],[High Tol]]=""),"Needs Analysis",IF(Table1[[#This Row],[Ratio]]&gt;=4,"Not Significant",IF(Table1[[#This Row],[Ratio]]&gt;=2,"Semi-Significant","Significant")))</f>
        <v>Needs Analysis</v>
      </c>
      <c r="W951" s="1">
        <f>IF(Table1[[#This Row],[Cal Type]]&lt;&gt;"ACCREDITED 17025 WITH UNCERTAINTIES",0,"")</f>
        <v>0</v>
      </c>
      <c r="X951" s="1" t="str">
        <f>IF(Table1[[#This Row],[DUT Read]]="","N/A",Table1[[#This Row],[Std Error]]+Table1[[#This Row],[DUT Read]]+Table1[[#This Row],[DUT Ucty]])</f>
        <v>N/A</v>
      </c>
      <c r="Y951" s="1" t="str">
        <f>IF(Table1[[#This Row],[Std Read]]="","N/A",Table1[[#This Row],[Std Read]]+Table1[[#This Row],[Std Ucty]])</f>
        <v>N/A</v>
      </c>
      <c r="Z9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1" s="1" t="str">
        <f>IF(Table1[[#This Row],[Spec Type]]="","N/A",Table1[[#This Row],[Spec Type]])</f>
        <v>±</v>
      </c>
      <c r="AC951" s="1" t="str">
        <f>IF(Table1[[#This Row],[Spec Type2]]="N/A","N/A",IF(AND(Table1[[#This Row],[DUT Adj Read]]&gt;=Table1[[#This Row],[Low Tol]],Table1[[#This Row],[DUT Adj Read]]&lt;=Table1[[#This Row],[High Tol]]),"Pass","Fail"))</f>
        <v>Fail</v>
      </c>
      <c r="AD951" s="1" t="str">
        <f>IF(AND(Table1[[#This Row],[Spec Type2]]="N/A",Table1[[#This Row],[DUT Adj Read]]="N/A",Table1[[#This Row],[Std Adj Read]]="N/A"),"N/A",IF(Table1[[#This Row],[DUT Adj Read]]="N/A",IF(Table1[[#This Row],[Std Adj Read]]&gt;Table1[[#This Row],[Low Tol]],"Pass","Fail"),IF(Table1[[#This Row],[DUT Adj Read]]&gt;Table1[[#This Row],[Low Tol]],"Pass","Fail")))</f>
        <v>Pass</v>
      </c>
      <c r="AE951" s="1" t="str">
        <f>IF(AND(Table1[[#This Row],[Spec Type2]]="N/A",Table1[[#This Row],[DUT Adj Read]]="N/A",Table1[[#This Row],[Std Adj Read]]="N/A"),"N/A",IF(Table1[[#This Row],[DUT Adj Read]]="N/A",IF(Table1[[#This Row],[Std Adj Read]]&lt;Table1[[#This Row],[High Tol]],"Pass","Fail"),IF(Table1[[#This Row],[DUT Adj Read]]&lt;Table1[[#This Row],[High Tol]],"Pass","Fail")))</f>
        <v>Fail</v>
      </c>
      <c r="AF951" s="1" t="str">
        <f>IF(AND(Table1[[#This Row],[Spec Type2]]="N/A",Table1[[#This Row],[DUT Adj Read]]="N/A",Table1[[#This Row],[Std Adj Read]]="N/A"),"N/A",IF(Table1[[#This Row],[DUT Adj Read]]="N/A",IF(Table1[[#This Row],[Std Adj Read]]&gt;=Table1[[#This Row],[Low Tol]],"Pass","Fail"),IF(Table1[[#This Row],[DUT Adj Read]]&gt;=Table1[[#This Row],[Low Tol]],"Pass","Fail")))</f>
        <v>Pass</v>
      </c>
      <c r="AG951" s="1" t="str">
        <f>IF(AND(Table1[[#This Row],[Spec Type2]]="N/A",Table1[[#This Row],[DUT Adj Read]]="N/A",Table1[[#This Row],[Std Adj Read]]="N/A"),"N/A",IF(Table1[[#This Row],[DUT Adj Read]]="N/A",IF(Table1[[#This Row],[Std Adj Read]]&lt;=Table1[[#This Row],[High Tol]],"Pass","Fail"),IF(Table1[[#This Row],[DUT Adj Read]]&lt;=Table1[[#This Row],[High Tol]],"Pass","Fail")))</f>
        <v>Fail</v>
      </c>
      <c r="AH9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1" s="1" t="b">
        <v>0</v>
      </c>
      <c r="AN951" s="1" t="b">
        <v>0</v>
      </c>
      <c r="AO951" s="1" t="b">
        <v>0</v>
      </c>
    </row>
    <row r="952" spans="1:41" x14ac:dyDescent="0.25">
      <c r="A952" s="10"/>
      <c r="B952" s="10"/>
      <c r="C952" s="10"/>
      <c r="D952" s="10"/>
      <c r="E952" s="10"/>
      <c r="F952" s="10"/>
      <c r="G952" s="10"/>
      <c r="H952" s="10"/>
      <c r="I952" s="1" t="str">
        <f t="shared" si="42"/>
        <v/>
      </c>
      <c r="J952" s="1" t="s">
        <v>35</v>
      </c>
      <c r="K952" s="1" t="str">
        <f t="shared" si="43"/>
        <v/>
      </c>
      <c r="L952" s="1" t="str">
        <f t="shared" si="44"/>
        <v/>
      </c>
      <c r="M952" s="1">
        <f>IF(OR(Table1[[#This Row],[Std Nom]]="",Table1[[#This Row],[Std Read]]=""),0,Table1[[#This Row],[Std Nom]]-Table1[[#This Row],[Std Read]])</f>
        <v>0</v>
      </c>
      <c r="N952" s="1">
        <f>IF(Calculations!$F$5="ACCREDITED 17025 WITH UNCERTAINTIES",$N$10,0)</f>
        <v>0</v>
      </c>
      <c r="O952" s="1" t="str">
        <f>IFERROR(Table1[[#This Row],[Std Nom]]-(_xlfn.XLOOKUP(Table1[[#This Row],[Manufacturer]]&amp;" "&amp;Table1[[#This Row],[Model]],Table13[MFR &amp; MDL],Table13[Tolerance % CW ],"")/100*Table1[[#This Row],[Std Nom]]),"")</f>
        <v/>
      </c>
      <c r="P952" s="1" t="str">
        <f>IFERROR(Table1[[#This Row],[Std Nom]]+(_xlfn.XLOOKUP(Table1[[#This Row],[Manufacturer]]&amp;" "&amp;Table1[[#This Row],[Model]],Table13[MFR &amp; MDL],Table13[Tolerance % CW ],"")/100*Table1[[#This Row],[Std Nom]]),"")</f>
        <v/>
      </c>
      <c r="Q952" s="1" t="e">
        <f>Table1[[#This Row],[High Tol]]-Table1[[#This Row],[Low Tol]]</f>
        <v>#VALUE!</v>
      </c>
      <c r="R952" s="1">
        <f>2*Table1[[#This Row],[Std Error]]</f>
        <v>0</v>
      </c>
      <c r="S952" s="1" t="str">
        <f>IF(Table1[[#This Row],[High Tol]]="","N/A",IFERROR(ABS(Table1[[#This Row],[Tol Span]]/Table1[[#This Row],[Error Span]]),"N/A"))</f>
        <v>N/A</v>
      </c>
      <c r="T952" s="1" t="str">
        <f>IF(OR(Table1[[#This Row],[Low Tol]]="",Table1[[#This Row],[High Tol]]=""),"Needs Analysis",IF(Table1[[#This Row],[Ratio]]&gt;=4,"Not Significant",IF(Table1[[#This Row],[Ratio]]&gt;=2,"Semi-Significant","Significant")))</f>
        <v>Needs Analysis</v>
      </c>
      <c r="W952" s="1">
        <f>IF(Table1[[#This Row],[Cal Type]]&lt;&gt;"ACCREDITED 17025 WITH UNCERTAINTIES",0,"")</f>
        <v>0</v>
      </c>
      <c r="X952" s="1" t="str">
        <f>IF(Table1[[#This Row],[DUT Read]]="","N/A",Table1[[#This Row],[Std Error]]+Table1[[#This Row],[DUT Read]]+Table1[[#This Row],[DUT Ucty]])</f>
        <v>N/A</v>
      </c>
      <c r="Y952" s="1" t="str">
        <f>IF(Table1[[#This Row],[Std Read]]="","N/A",Table1[[#This Row],[Std Read]]+Table1[[#This Row],[Std Ucty]])</f>
        <v>N/A</v>
      </c>
      <c r="Z9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2" s="1" t="str">
        <f>IF(Table1[[#This Row],[Spec Type]]="","N/A",Table1[[#This Row],[Spec Type]])</f>
        <v>±</v>
      </c>
      <c r="AC952" s="1" t="str">
        <f>IF(Table1[[#This Row],[Spec Type2]]="N/A","N/A",IF(AND(Table1[[#This Row],[DUT Adj Read]]&gt;=Table1[[#This Row],[Low Tol]],Table1[[#This Row],[DUT Adj Read]]&lt;=Table1[[#This Row],[High Tol]]),"Pass","Fail"))</f>
        <v>Fail</v>
      </c>
      <c r="AD952" s="1" t="str">
        <f>IF(AND(Table1[[#This Row],[Spec Type2]]="N/A",Table1[[#This Row],[DUT Adj Read]]="N/A",Table1[[#This Row],[Std Adj Read]]="N/A"),"N/A",IF(Table1[[#This Row],[DUT Adj Read]]="N/A",IF(Table1[[#This Row],[Std Adj Read]]&gt;Table1[[#This Row],[Low Tol]],"Pass","Fail"),IF(Table1[[#This Row],[DUT Adj Read]]&gt;Table1[[#This Row],[Low Tol]],"Pass","Fail")))</f>
        <v>Pass</v>
      </c>
      <c r="AE952" s="1" t="str">
        <f>IF(AND(Table1[[#This Row],[Spec Type2]]="N/A",Table1[[#This Row],[DUT Adj Read]]="N/A",Table1[[#This Row],[Std Adj Read]]="N/A"),"N/A",IF(Table1[[#This Row],[DUT Adj Read]]="N/A",IF(Table1[[#This Row],[Std Adj Read]]&lt;Table1[[#This Row],[High Tol]],"Pass","Fail"),IF(Table1[[#This Row],[DUT Adj Read]]&lt;Table1[[#This Row],[High Tol]],"Pass","Fail")))</f>
        <v>Fail</v>
      </c>
      <c r="AF952" s="1" t="str">
        <f>IF(AND(Table1[[#This Row],[Spec Type2]]="N/A",Table1[[#This Row],[DUT Adj Read]]="N/A",Table1[[#This Row],[Std Adj Read]]="N/A"),"N/A",IF(Table1[[#This Row],[DUT Adj Read]]="N/A",IF(Table1[[#This Row],[Std Adj Read]]&gt;=Table1[[#This Row],[Low Tol]],"Pass","Fail"),IF(Table1[[#This Row],[DUT Adj Read]]&gt;=Table1[[#This Row],[Low Tol]],"Pass","Fail")))</f>
        <v>Pass</v>
      </c>
      <c r="AG952" s="1" t="str">
        <f>IF(AND(Table1[[#This Row],[Spec Type2]]="N/A",Table1[[#This Row],[DUT Adj Read]]="N/A",Table1[[#This Row],[Std Adj Read]]="N/A"),"N/A",IF(Table1[[#This Row],[DUT Adj Read]]="N/A",IF(Table1[[#This Row],[Std Adj Read]]&lt;=Table1[[#This Row],[High Tol]],"Pass","Fail"),IF(Table1[[#This Row],[DUT Adj Read]]&lt;=Table1[[#This Row],[High Tol]],"Pass","Fail")))</f>
        <v>Fail</v>
      </c>
      <c r="AH9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2" s="1" t="b">
        <v>0</v>
      </c>
      <c r="AN952" s="1" t="b">
        <v>0</v>
      </c>
      <c r="AO952" s="1" t="b">
        <v>0</v>
      </c>
    </row>
    <row r="953" spans="1:41" x14ac:dyDescent="0.25">
      <c r="A953" s="10"/>
      <c r="B953" s="10"/>
      <c r="C953" s="10"/>
      <c r="D953" s="10"/>
      <c r="E953" s="10"/>
      <c r="F953" s="10"/>
      <c r="G953" s="10"/>
      <c r="H953" s="10"/>
      <c r="I953" s="1" t="str">
        <f t="shared" si="42"/>
        <v/>
      </c>
      <c r="J953" s="1" t="s">
        <v>35</v>
      </c>
      <c r="K953" s="1" t="str">
        <f t="shared" si="43"/>
        <v/>
      </c>
      <c r="L953" s="1" t="str">
        <f t="shared" si="44"/>
        <v/>
      </c>
      <c r="M953" s="1">
        <f>IF(OR(Table1[[#This Row],[Std Nom]]="",Table1[[#This Row],[Std Read]]=""),0,Table1[[#This Row],[Std Nom]]-Table1[[#This Row],[Std Read]])</f>
        <v>0</v>
      </c>
      <c r="N953" s="1">
        <f>IF(Calculations!$F$5="ACCREDITED 17025 WITH UNCERTAINTIES",$N$10,0)</f>
        <v>0</v>
      </c>
      <c r="O953" s="1" t="str">
        <f>IFERROR(Table1[[#This Row],[Std Nom]]-(_xlfn.XLOOKUP(Table1[[#This Row],[Manufacturer]]&amp;" "&amp;Table1[[#This Row],[Model]],Table13[MFR &amp; MDL],Table13[Tolerance % CW ],"")/100*Table1[[#This Row],[Std Nom]]),"")</f>
        <v/>
      </c>
      <c r="P953" s="1" t="str">
        <f>IFERROR(Table1[[#This Row],[Std Nom]]+(_xlfn.XLOOKUP(Table1[[#This Row],[Manufacturer]]&amp;" "&amp;Table1[[#This Row],[Model]],Table13[MFR &amp; MDL],Table13[Tolerance % CW ],"")/100*Table1[[#This Row],[Std Nom]]),"")</f>
        <v/>
      </c>
      <c r="Q953" s="1" t="e">
        <f>Table1[[#This Row],[High Tol]]-Table1[[#This Row],[Low Tol]]</f>
        <v>#VALUE!</v>
      </c>
      <c r="R953" s="1">
        <f>2*Table1[[#This Row],[Std Error]]</f>
        <v>0</v>
      </c>
      <c r="S953" s="1" t="str">
        <f>IF(Table1[[#This Row],[High Tol]]="","N/A",IFERROR(ABS(Table1[[#This Row],[Tol Span]]/Table1[[#This Row],[Error Span]]),"N/A"))</f>
        <v>N/A</v>
      </c>
      <c r="T953" s="1" t="str">
        <f>IF(OR(Table1[[#This Row],[Low Tol]]="",Table1[[#This Row],[High Tol]]=""),"Needs Analysis",IF(Table1[[#This Row],[Ratio]]&gt;=4,"Not Significant",IF(Table1[[#This Row],[Ratio]]&gt;=2,"Semi-Significant","Significant")))</f>
        <v>Needs Analysis</v>
      </c>
      <c r="W953" s="1">
        <f>IF(Table1[[#This Row],[Cal Type]]&lt;&gt;"ACCREDITED 17025 WITH UNCERTAINTIES",0,"")</f>
        <v>0</v>
      </c>
      <c r="X953" s="1" t="str">
        <f>IF(Table1[[#This Row],[DUT Read]]="","N/A",Table1[[#This Row],[Std Error]]+Table1[[#This Row],[DUT Read]]+Table1[[#This Row],[DUT Ucty]])</f>
        <v>N/A</v>
      </c>
      <c r="Y953" s="1" t="str">
        <f>IF(Table1[[#This Row],[Std Read]]="","N/A",Table1[[#This Row],[Std Read]]+Table1[[#This Row],[Std Ucty]])</f>
        <v>N/A</v>
      </c>
      <c r="Z9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3" s="1" t="str">
        <f>IF(Table1[[#This Row],[Spec Type]]="","N/A",Table1[[#This Row],[Spec Type]])</f>
        <v>±</v>
      </c>
      <c r="AC953" s="1" t="str">
        <f>IF(Table1[[#This Row],[Spec Type2]]="N/A","N/A",IF(AND(Table1[[#This Row],[DUT Adj Read]]&gt;=Table1[[#This Row],[Low Tol]],Table1[[#This Row],[DUT Adj Read]]&lt;=Table1[[#This Row],[High Tol]]),"Pass","Fail"))</f>
        <v>Fail</v>
      </c>
      <c r="AD953" s="1" t="str">
        <f>IF(AND(Table1[[#This Row],[Spec Type2]]="N/A",Table1[[#This Row],[DUT Adj Read]]="N/A",Table1[[#This Row],[Std Adj Read]]="N/A"),"N/A",IF(Table1[[#This Row],[DUT Adj Read]]="N/A",IF(Table1[[#This Row],[Std Adj Read]]&gt;Table1[[#This Row],[Low Tol]],"Pass","Fail"),IF(Table1[[#This Row],[DUT Adj Read]]&gt;Table1[[#This Row],[Low Tol]],"Pass","Fail")))</f>
        <v>Pass</v>
      </c>
      <c r="AE953" s="1" t="str">
        <f>IF(AND(Table1[[#This Row],[Spec Type2]]="N/A",Table1[[#This Row],[DUT Adj Read]]="N/A",Table1[[#This Row],[Std Adj Read]]="N/A"),"N/A",IF(Table1[[#This Row],[DUT Adj Read]]="N/A",IF(Table1[[#This Row],[Std Adj Read]]&lt;Table1[[#This Row],[High Tol]],"Pass","Fail"),IF(Table1[[#This Row],[DUT Adj Read]]&lt;Table1[[#This Row],[High Tol]],"Pass","Fail")))</f>
        <v>Fail</v>
      </c>
      <c r="AF953" s="1" t="str">
        <f>IF(AND(Table1[[#This Row],[Spec Type2]]="N/A",Table1[[#This Row],[DUT Adj Read]]="N/A",Table1[[#This Row],[Std Adj Read]]="N/A"),"N/A",IF(Table1[[#This Row],[DUT Adj Read]]="N/A",IF(Table1[[#This Row],[Std Adj Read]]&gt;=Table1[[#This Row],[Low Tol]],"Pass","Fail"),IF(Table1[[#This Row],[DUT Adj Read]]&gt;=Table1[[#This Row],[Low Tol]],"Pass","Fail")))</f>
        <v>Pass</v>
      </c>
      <c r="AG953" s="1" t="str">
        <f>IF(AND(Table1[[#This Row],[Spec Type2]]="N/A",Table1[[#This Row],[DUT Adj Read]]="N/A",Table1[[#This Row],[Std Adj Read]]="N/A"),"N/A",IF(Table1[[#This Row],[DUT Adj Read]]="N/A",IF(Table1[[#This Row],[Std Adj Read]]&lt;=Table1[[#This Row],[High Tol]],"Pass","Fail"),IF(Table1[[#This Row],[DUT Adj Read]]&lt;=Table1[[#This Row],[High Tol]],"Pass","Fail")))</f>
        <v>Fail</v>
      </c>
      <c r="AH9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3" s="1" t="b">
        <v>0</v>
      </c>
      <c r="AN953" s="1" t="b">
        <v>0</v>
      </c>
      <c r="AO953" s="1" t="b">
        <v>0</v>
      </c>
    </row>
    <row r="954" spans="1:41" x14ac:dyDescent="0.25">
      <c r="A954" s="10"/>
      <c r="B954" s="10"/>
      <c r="C954" s="10"/>
      <c r="D954" s="10"/>
      <c r="E954" s="10"/>
      <c r="F954" s="10"/>
      <c r="G954" s="10"/>
      <c r="H954" s="10"/>
      <c r="I954" s="1" t="str">
        <f t="shared" si="42"/>
        <v/>
      </c>
      <c r="J954" s="1" t="s">
        <v>35</v>
      </c>
      <c r="K954" s="1" t="str">
        <f t="shared" si="43"/>
        <v/>
      </c>
      <c r="L954" s="1" t="str">
        <f t="shared" si="44"/>
        <v/>
      </c>
      <c r="M954" s="1">
        <f>IF(OR(Table1[[#This Row],[Std Nom]]="",Table1[[#This Row],[Std Read]]=""),0,Table1[[#This Row],[Std Nom]]-Table1[[#This Row],[Std Read]])</f>
        <v>0</v>
      </c>
      <c r="N954" s="1">
        <f>IF(Calculations!$F$5="ACCREDITED 17025 WITH UNCERTAINTIES",$N$10,0)</f>
        <v>0</v>
      </c>
      <c r="O954" s="1" t="str">
        <f>IFERROR(Table1[[#This Row],[Std Nom]]-(_xlfn.XLOOKUP(Table1[[#This Row],[Manufacturer]]&amp;" "&amp;Table1[[#This Row],[Model]],Table13[MFR &amp; MDL],Table13[Tolerance % CW ],"")/100*Table1[[#This Row],[Std Nom]]),"")</f>
        <v/>
      </c>
      <c r="P954" s="1" t="str">
        <f>IFERROR(Table1[[#This Row],[Std Nom]]+(_xlfn.XLOOKUP(Table1[[#This Row],[Manufacturer]]&amp;" "&amp;Table1[[#This Row],[Model]],Table13[MFR &amp; MDL],Table13[Tolerance % CW ],"")/100*Table1[[#This Row],[Std Nom]]),"")</f>
        <v/>
      </c>
      <c r="Q954" s="1" t="e">
        <f>Table1[[#This Row],[High Tol]]-Table1[[#This Row],[Low Tol]]</f>
        <v>#VALUE!</v>
      </c>
      <c r="R954" s="1">
        <f>2*Table1[[#This Row],[Std Error]]</f>
        <v>0</v>
      </c>
      <c r="S954" s="1" t="str">
        <f>IF(Table1[[#This Row],[High Tol]]="","N/A",IFERROR(ABS(Table1[[#This Row],[Tol Span]]/Table1[[#This Row],[Error Span]]),"N/A"))</f>
        <v>N/A</v>
      </c>
      <c r="T954" s="1" t="str">
        <f>IF(OR(Table1[[#This Row],[Low Tol]]="",Table1[[#This Row],[High Tol]]=""),"Needs Analysis",IF(Table1[[#This Row],[Ratio]]&gt;=4,"Not Significant",IF(Table1[[#This Row],[Ratio]]&gt;=2,"Semi-Significant","Significant")))</f>
        <v>Needs Analysis</v>
      </c>
      <c r="W954" s="1">
        <f>IF(Table1[[#This Row],[Cal Type]]&lt;&gt;"ACCREDITED 17025 WITH UNCERTAINTIES",0,"")</f>
        <v>0</v>
      </c>
      <c r="X954" s="1" t="str">
        <f>IF(Table1[[#This Row],[DUT Read]]="","N/A",Table1[[#This Row],[Std Error]]+Table1[[#This Row],[DUT Read]]+Table1[[#This Row],[DUT Ucty]])</f>
        <v>N/A</v>
      </c>
      <c r="Y954" s="1" t="str">
        <f>IF(Table1[[#This Row],[Std Read]]="","N/A",Table1[[#This Row],[Std Read]]+Table1[[#This Row],[Std Ucty]])</f>
        <v>N/A</v>
      </c>
      <c r="Z9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4" s="1" t="str">
        <f>IF(Table1[[#This Row],[Spec Type]]="","N/A",Table1[[#This Row],[Spec Type]])</f>
        <v>±</v>
      </c>
      <c r="AC954" s="1" t="str">
        <f>IF(Table1[[#This Row],[Spec Type2]]="N/A","N/A",IF(AND(Table1[[#This Row],[DUT Adj Read]]&gt;=Table1[[#This Row],[Low Tol]],Table1[[#This Row],[DUT Adj Read]]&lt;=Table1[[#This Row],[High Tol]]),"Pass","Fail"))</f>
        <v>Fail</v>
      </c>
      <c r="AD954" s="1" t="str">
        <f>IF(AND(Table1[[#This Row],[Spec Type2]]="N/A",Table1[[#This Row],[DUT Adj Read]]="N/A",Table1[[#This Row],[Std Adj Read]]="N/A"),"N/A",IF(Table1[[#This Row],[DUT Adj Read]]="N/A",IF(Table1[[#This Row],[Std Adj Read]]&gt;Table1[[#This Row],[Low Tol]],"Pass","Fail"),IF(Table1[[#This Row],[DUT Adj Read]]&gt;Table1[[#This Row],[Low Tol]],"Pass","Fail")))</f>
        <v>Pass</v>
      </c>
      <c r="AE954" s="1" t="str">
        <f>IF(AND(Table1[[#This Row],[Spec Type2]]="N/A",Table1[[#This Row],[DUT Adj Read]]="N/A",Table1[[#This Row],[Std Adj Read]]="N/A"),"N/A",IF(Table1[[#This Row],[DUT Adj Read]]="N/A",IF(Table1[[#This Row],[Std Adj Read]]&lt;Table1[[#This Row],[High Tol]],"Pass","Fail"),IF(Table1[[#This Row],[DUT Adj Read]]&lt;Table1[[#This Row],[High Tol]],"Pass","Fail")))</f>
        <v>Fail</v>
      </c>
      <c r="AF954" s="1" t="str">
        <f>IF(AND(Table1[[#This Row],[Spec Type2]]="N/A",Table1[[#This Row],[DUT Adj Read]]="N/A",Table1[[#This Row],[Std Adj Read]]="N/A"),"N/A",IF(Table1[[#This Row],[DUT Adj Read]]="N/A",IF(Table1[[#This Row],[Std Adj Read]]&gt;=Table1[[#This Row],[Low Tol]],"Pass","Fail"),IF(Table1[[#This Row],[DUT Adj Read]]&gt;=Table1[[#This Row],[Low Tol]],"Pass","Fail")))</f>
        <v>Pass</v>
      </c>
      <c r="AG954" s="1" t="str">
        <f>IF(AND(Table1[[#This Row],[Spec Type2]]="N/A",Table1[[#This Row],[DUT Adj Read]]="N/A",Table1[[#This Row],[Std Adj Read]]="N/A"),"N/A",IF(Table1[[#This Row],[DUT Adj Read]]="N/A",IF(Table1[[#This Row],[Std Adj Read]]&lt;=Table1[[#This Row],[High Tol]],"Pass","Fail"),IF(Table1[[#This Row],[DUT Adj Read]]&lt;=Table1[[#This Row],[High Tol]],"Pass","Fail")))</f>
        <v>Fail</v>
      </c>
      <c r="AH9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4" s="1" t="b">
        <v>0</v>
      </c>
      <c r="AN954" s="1" t="b">
        <v>0</v>
      </c>
      <c r="AO954" s="1" t="b">
        <v>0</v>
      </c>
    </row>
    <row r="955" spans="1:41" x14ac:dyDescent="0.25">
      <c r="A955" s="10"/>
      <c r="B955" s="10"/>
      <c r="C955" s="10"/>
      <c r="D955" s="10"/>
      <c r="E955" s="10"/>
      <c r="F955" s="10"/>
      <c r="G955" s="10"/>
      <c r="H955" s="10"/>
      <c r="I955" s="1" t="str">
        <f t="shared" si="42"/>
        <v/>
      </c>
      <c r="J955" s="1" t="s">
        <v>35</v>
      </c>
      <c r="K955" s="1" t="str">
        <f t="shared" si="43"/>
        <v/>
      </c>
      <c r="L955" s="1" t="str">
        <f t="shared" si="44"/>
        <v/>
      </c>
      <c r="M955" s="1">
        <f>IF(OR(Table1[[#This Row],[Std Nom]]="",Table1[[#This Row],[Std Read]]=""),0,Table1[[#This Row],[Std Nom]]-Table1[[#This Row],[Std Read]])</f>
        <v>0</v>
      </c>
      <c r="N955" s="1">
        <f>IF(Calculations!$F$5="ACCREDITED 17025 WITH UNCERTAINTIES",$N$10,0)</f>
        <v>0</v>
      </c>
      <c r="O955" s="1" t="str">
        <f>IFERROR(Table1[[#This Row],[Std Nom]]-(_xlfn.XLOOKUP(Table1[[#This Row],[Manufacturer]]&amp;" "&amp;Table1[[#This Row],[Model]],Table13[MFR &amp; MDL],Table13[Tolerance % CW ],"")/100*Table1[[#This Row],[Std Nom]]),"")</f>
        <v/>
      </c>
      <c r="P955" s="1" t="str">
        <f>IFERROR(Table1[[#This Row],[Std Nom]]+(_xlfn.XLOOKUP(Table1[[#This Row],[Manufacturer]]&amp;" "&amp;Table1[[#This Row],[Model]],Table13[MFR &amp; MDL],Table13[Tolerance % CW ],"")/100*Table1[[#This Row],[Std Nom]]),"")</f>
        <v/>
      </c>
      <c r="Q955" s="1" t="e">
        <f>Table1[[#This Row],[High Tol]]-Table1[[#This Row],[Low Tol]]</f>
        <v>#VALUE!</v>
      </c>
      <c r="R955" s="1">
        <f>2*Table1[[#This Row],[Std Error]]</f>
        <v>0</v>
      </c>
      <c r="S955" s="1" t="str">
        <f>IF(Table1[[#This Row],[High Tol]]="","N/A",IFERROR(ABS(Table1[[#This Row],[Tol Span]]/Table1[[#This Row],[Error Span]]),"N/A"))</f>
        <v>N/A</v>
      </c>
      <c r="T955" s="1" t="str">
        <f>IF(OR(Table1[[#This Row],[Low Tol]]="",Table1[[#This Row],[High Tol]]=""),"Needs Analysis",IF(Table1[[#This Row],[Ratio]]&gt;=4,"Not Significant",IF(Table1[[#This Row],[Ratio]]&gt;=2,"Semi-Significant","Significant")))</f>
        <v>Needs Analysis</v>
      </c>
      <c r="W955" s="1">
        <f>IF(Table1[[#This Row],[Cal Type]]&lt;&gt;"ACCREDITED 17025 WITH UNCERTAINTIES",0,"")</f>
        <v>0</v>
      </c>
      <c r="X955" s="1" t="str">
        <f>IF(Table1[[#This Row],[DUT Read]]="","N/A",Table1[[#This Row],[Std Error]]+Table1[[#This Row],[DUT Read]]+Table1[[#This Row],[DUT Ucty]])</f>
        <v>N/A</v>
      </c>
      <c r="Y955" s="1" t="str">
        <f>IF(Table1[[#This Row],[Std Read]]="","N/A",Table1[[#This Row],[Std Read]]+Table1[[#This Row],[Std Ucty]])</f>
        <v>N/A</v>
      </c>
      <c r="Z9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5" s="1" t="str">
        <f>IF(Table1[[#This Row],[Spec Type]]="","N/A",Table1[[#This Row],[Spec Type]])</f>
        <v>±</v>
      </c>
      <c r="AC955" s="1" t="str">
        <f>IF(Table1[[#This Row],[Spec Type2]]="N/A","N/A",IF(AND(Table1[[#This Row],[DUT Adj Read]]&gt;=Table1[[#This Row],[Low Tol]],Table1[[#This Row],[DUT Adj Read]]&lt;=Table1[[#This Row],[High Tol]]),"Pass","Fail"))</f>
        <v>Fail</v>
      </c>
      <c r="AD955" s="1" t="str">
        <f>IF(AND(Table1[[#This Row],[Spec Type2]]="N/A",Table1[[#This Row],[DUT Adj Read]]="N/A",Table1[[#This Row],[Std Adj Read]]="N/A"),"N/A",IF(Table1[[#This Row],[DUT Adj Read]]="N/A",IF(Table1[[#This Row],[Std Adj Read]]&gt;Table1[[#This Row],[Low Tol]],"Pass","Fail"),IF(Table1[[#This Row],[DUT Adj Read]]&gt;Table1[[#This Row],[Low Tol]],"Pass","Fail")))</f>
        <v>Pass</v>
      </c>
      <c r="AE955" s="1" t="str">
        <f>IF(AND(Table1[[#This Row],[Spec Type2]]="N/A",Table1[[#This Row],[DUT Adj Read]]="N/A",Table1[[#This Row],[Std Adj Read]]="N/A"),"N/A",IF(Table1[[#This Row],[DUT Adj Read]]="N/A",IF(Table1[[#This Row],[Std Adj Read]]&lt;Table1[[#This Row],[High Tol]],"Pass","Fail"),IF(Table1[[#This Row],[DUT Adj Read]]&lt;Table1[[#This Row],[High Tol]],"Pass","Fail")))</f>
        <v>Fail</v>
      </c>
      <c r="AF955" s="1" t="str">
        <f>IF(AND(Table1[[#This Row],[Spec Type2]]="N/A",Table1[[#This Row],[DUT Adj Read]]="N/A",Table1[[#This Row],[Std Adj Read]]="N/A"),"N/A",IF(Table1[[#This Row],[DUT Adj Read]]="N/A",IF(Table1[[#This Row],[Std Adj Read]]&gt;=Table1[[#This Row],[Low Tol]],"Pass","Fail"),IF(Table1[[#This Row],[DUT Adj Read]]&gt;=Table1[[#This Row],[Low Tol]],"Pass","Fail")))</f>
        <v>Pass</v>
      </c>
      <c r="AG955" s="1" t="str">
        <f>IF(AND(Table1[[#This Row],[Spec Type2]]="N/A",Table1[[#This Row],[DUT Adj Read]]="N/A",Table1[[#This Row],[Std Adj Read]]="N/A"),"N/A",IF(Table1[[#This Row],[DUT Adj Read]]="N/A",IF(Table1[[#This Row],[Std Adj Read]]&lt;=Table1[[#This Row],[High Tol]],"Pass","Fail"),IF(Table1[[#This Row],[DUT Adj Read]]&lt;=Table1[[#This Row],[High Tol]],"Pass","Fail")))</f>
        <v>Fail</v>
      </c>
      <c r="AH9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5" s="1" t="b">
        <v>0</v>
      </c>
      <c r="AN955" s="1" t="b">
        <v>0</v>
      </c>
      <c r="AO955" s="1" t="b">
        <v>0</v>
      </c>
    </row>
    <row r="956" spans="1:41" x14ac:dyDescent="0.25">
      <c r="A956" s="10"/>
      <c r="B956" s="10"/>
      <c r="C956" s="10"/>
      <c r="D956" s="10"/>
      <c r="E956" s="10"/>
      <c r="F956" s="10"/>
      <c r="G956" s="10"/>
      <c r="H956" s="10"/>
      <c r="I956" s="1" t="str">
        <f t="shared" si="42"/>
        <v/>
      </c>
      <c r="J956" s="1" t="s">
        <v>35</v>
      </c>
      <c r="K956" s="1" t="str">
        <f t="shared" si="43"/>
        <v/>
      </c>
      <c r="L956" s="1" t="str">
        <f t="shared" si="44"/>
        <v/>
      </c>
      <c r="M956" s="1">
        <f>IF(OR(Table1[[#This Row],[Std Nom]]="",Table1[[#This Row],[Std Read]]=""),0,Table1[[#This Row],[Std Nom]]-Table1[[#This Row],[Std Read]])</f>
        <v>0</v>
      </c>
      <c r="N956" s="1">
        <f>IF(Calculations!$F$5="ACCREDITED 17025 WITH UNCERTAINTIES",$N$10,0)</f>
        <v>0</v>
      </c>
      <c r="O956" s="1" t="str">
        <f>IFERROR(Table1[[#This Row],[Std Nom]]-(_xlfn.XLOOKUP(Table1[[#This Row],[Manufacturer]]&amp;" "&amp;Table1[[#This Row],[Model]],Table13[MFR &amp; MDL],Table13[Tolerance % CW ],"")/100*Table1[[#This Row],[Std Nom]]),"")</f>
        <v/>
      </c>
      <c r="P956" s="1" t="str">
        <f>IFERROR(Table1[[#This Row],[Std Nom]]+(_xlfn.XLOOKUP(Table1[[#This Row],[Manufacturer]]&amp;" "&amp;Table1[[#This Row],[Model]],Table13[MFR &amp; MDL],Table13[Tolerance % CW ],"")/100*Table1[[#This Row],[Std Nom]]),"")</f>
        <v/>
      </c>
      <c r="Q956" s="1" t="e">
        <f>Table1[[#This Row],[High Tol]]-Table1[[#This Row],[Low Tol]]</f>
        <v>#VALUE!</v>
      </c>
      <c r="R956" s="1">
        <f>2*Table1[[#This Row],[Std Error]]</f>
        <v>0</v>
      </c>
      <c r="S956" s="1" t="str">
        <f>IF(Table1[[#This Row],[High Tol]]="","N/A",IFERROR(ABS(Table1[[#This Row],[Tol Span]]/Table1[[#This Row],[Error Span]]),"N/A"))</f>
        <v>N/A</v>
      </c>
      <c r="T956" s="1" t="str">
        <f>IF(OR(Table1[[#This Row],[Low Tol]]="",Table1[[#This Row],[High Tol]]=""),"Needs Analysis",IF(Table1[[#This Row],[Ratio]]&gt;=4,"Not Significant",IF(Table1[[#This Row],[Ratio]]&gt;=2,"Semi-Significant","Significant")))</f>
        <v>Needs Analysis</v>
      </c>
      <c r="W956" s="1">
        <f>IF(Table1[[#This Row],[Cal Type]]&lt;&gt;"ACCREDITED 17025 WITH UNCERTAINTIES",0,"")</f>
        <v>0</v>
      </c>
      <c r="X956" s="1" t="str">
        <f>IF(Table1[[#This Row],[DUT Read]]="","N/A",Table1[[#This Row],[Std Error]]+Table1[[#This Row],[DUT Read]]+Table1[[#This Row],[DUT Ucty]])</f>
        <v>N/A</v>
      </c>
      <c r="Y956" s="1" t="str">
        <f>IF(Table1[[#This Row],[Std Read]]="","N/A",Table1[[#This Row],[Std Read]]+Table1[[#This Row],[Std Ucty]])</f>
        <v>N/A</v>
      </c>
      <c r="Z9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6" s="1" t="str">
        <f>IF(Table1[[#This Row],[Spec Type]]="","N/A",Table1[[#This Row],[Spec Type]])</f>
        <v>±</v>
      </c>
      <c r="AC956" s="1" t="str">
        <f>IF(Table1[[#This Row],[Spec Type2]]="N/A","N/A",IF(AND(Table1[[#This Row],[DUT Adj Read]]&gt;=Table1[[#This Row],[Low Tol]],Table1[[#This Row],[DUT Adj Read]]&lt;=Table1[[#This Row],[High Tol]]),"Pass","Fail"))</f>
        <v>Fail</v>
      </c>
      <c r="AD956" s="1" t="str">
        <f>IF(AND(Table1[[#This Row],[Spec Type2]]="N/A",Table1[[#This Row],[DUT Adj Read]]="N/A",Table1[[#This Row],[Std Adj Read]]="N/A"),"N/A",IF(Table1[[#This Row],[DUT Adj Read]]="N/A",IF(Table1[[#This Row],[Std Adj Read]]&gt;Table1[[#This Row],[Low Tol]],"Pass","Fail"),IF(Table1[[#This Row],[DUT Adj Read]]&gt;Table1[[#This Row],[Low Tol]],"Pass","Fail")))</f>
        <v>Pass</v>
      </c>
      <c r="AE956" s="1" t="str">
        <f>IF(AND(Table1[[#This Row],[Spec Type2]]="N/A",Table1[[#This Row],[DUT Adj Read]]="N/A",Table1[[#This Row],[Std Adj Read]]="N/A"),"N/A",IF(Table1[[#This Row],[DUT Adj Read]]="N/A",IF(Table1[[#This Row],[Std Adj Read]]&lt;Table1[[#This Row],[High Tol]],"Pass","Fail"),IF(Table1[[#This Row],[DUT Adj Read]]&lt;Table1[[#This Row],[High Tol]],"Pass","Fail")))</f>
        <v>Fail</v>
      </c>
      <c r="AF956" s="1" t="str">
        <f>IF(AND(Table1[[#This Row],[Spec Type2]]="N/A",Table1[[#This Row],[DUT Adj Read]]="N/A",Table1[[#This Row],[Std Adj Read]]="N/A"),"N/A",IF(Table1[[#This Row],[DUT Adj Read]]="N/A",IF(Table1[[#This Row],[Std Adj Read]]&gt;=Table1[[#This Row],[Low Tol]],"Pass","Fail"),IF(Table1[[#This Row],[DUT Adj Read]]&gt;=Table1[[#This Row],[Low Tol]],"Pass","Fail")))</f>
        <v>Pass</v>
      </c>
      <c r="AG956" s="1" t="str">
        <f>IF(AND(Table1[[#This Row],[Spec Type2]]="N/A",Table1[[#This Row],[DUT Adj Read]]="N/A",Table1[[#This Row],[Std Adj Read]]="N/A"),"N/A",IF(Table1[[#This Row],[DUT Adj Read]]="N/A",IF(Table1[[#This Row],[Std Adj Read]]&lt;=Table1[[#This Row],[High Tol]],"Pass","Fail"),IF(Table1[[#This Row],[DUT Adj Read]]&lt;=Table1[[#This Row],[High Tol]],"Pass","Fail")))</f>
        <v>Fail</v>
      </c>
      <c r="AH9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6" s="1" t="b">
        <v>0</v>
      </c>
      <c r="AN956" s="1" t="b">
        <v>0</v>
      </c>
      <c r="AO956" s="1" t="b">
        <v>0</v>
      </c>
    </row>
    <row r="957" spans="1:41" x14ac:dyDescent="0.25">
      <c r="A957" s="10"/>
      <c r="B957" s="10"/>
      <c r="C957" s="10"/>
      <c r="D957" s="10"/>
      <c r="E957" s="10"/>
      <c r="F957" s="10"/>
      <c r="G957" s="10"/>
      <c r="H957" s="10"/>
      <c r="I957" s="1" t="str">
        <f t="shared" si="42"/>
        <v/>
      </c>
      <c r="J957" s="1" t="s">
        <v>35</v>
      </c>
      <c r="K957" s="1" t="str">
        <f t="shared" si="43"/>
        <v/>
      </c>
      <c r="L957" s="1" t="str">
        <f t="shared" si="44"/>
        <v/>
      </c>
      <c r="M957" s="1">
        <f>IF(OR(Table1[[#This Row],[Std Nom]]="",Table1[[#This Row],[Std Read]]=""),0,Table1[[#This Row],[Std Nom]]-Table1[[#This Row],[Std Read]])</f>
        <v>0</v>
      </c>
      <c r="N957" s="1">
        <f>IF(Calculations!$F$5="ACCREDITED 17025 WITH UNCERTAINTIES",$N$10,0)</f>
        <v>0</v>
      </c>
      <c r="O957" s="1" t="str">
        <f>IFERROR(Table1[[#This Row],[Std Nom]]-(_xlfn.XLOOKUP(Table1[[#This Row],[Manufacturer]]&amp;" "&amp;Table1[[#This Row],[Model]],Table13[MFR &amp; MDL],Table13[Tolerance % CW ],"")/100*Table1[[#This Row],[Std Nom]]),"")</f>
        <v/>
      </c>
      <c r="P957" s="1" t="str">
        <f>IFERROR(Table1[[#This Row],[Std Nom]]+(_xlfn.XLOOKUP(Table1[[#This Row],[Manufacturer]]&amp;" "&amp;Table1[[#This Row],[Model]],Table13[MFR &amp; MDL],Table13[Tolerance % CW ],"")/100*Table1[[#This Row],[Std Nom]]),"")</f>
        <v/>
      </c>
      <c r="Q957" s="1" t="e">
        <f>Table1[[#This Row],[High Tol]]-Table1[[#This Row],[Low Tol]]</f>
        <v>#VALUE!</v>
      </c>
      <c r="R957" s="1">
        <f>2*Table1[[#This Row],[Std Error]]</f>
        <v>0</v>
      </c>
      <c r="S957" s="1" t="str">
        <f>IF(Table1[[#This Row],[High Tol]]="","N/A",IFERROR(ABS(Table1[[#This Row],[Tol Span]]/Table1[[#This Row],[Error Span]]),"N/A"))</f>
        <v>N/A</v>
      </c>
      <c r="T957" s="1" t="str">
        <f>IF(OR(Table1[[#This Row],[Low Tol]]="",Table1[[#This Row],[High Tol]]=""),"Needs Analysis",IF(Table1[[#This Row],[Ratio]]&gt;=4,"Not Significant",IF(Table1[[#This Row],[Ratio]]&gt;=2,"Semi-Significant","Significant")))</f>
        <v>Needs Analysis</v>
      </c>
      <c r="W957" s="1">
        <f>IF(Table1[[#This Row],[Cal Type]]&lt;&gt;"ACCREDITED 17025 WITH UNCERTAINTIES",0,"")</f>
        <v>0</v>
      </c>
      <c r="X957" s="1" t="str">
        <f>IF(Table1[[#This Row],[DUT Read]]="","N/A",Table1[[#This Row],[Std Error]]+Table1[[#This Row],[DUT Read]]+Table1[[#This Row],[DUT Ucty]])</f>
        <v>N/A</v>
      </c>
      <c r="Y957" s="1" t="str">
        <f>IF(Table1[[#This Row],[Std Read]]="","N/A",Table1[[#This Row],[Std Read]]+Table1[[#This Row],[Std Ucty]])</f>
        <v>N/A</v>
      </c>
      <c r="Z9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7" s="1" t="str">
        <f>IF(Table1[[#This Row],[Spec Type]]="","N/A",Table1[[#This Row],[Spec Type]])</f>
        <v>±</v>
      </c>
      <c r="AC957" s="1" t="str">
        <f>IF(Table1[[#This Row],[Spec Type2]]="N/A","N/A",IF(AND(Table1[[#This Row],[DUT Adj Read]]&gt;=Table1[[#This Row],[Low Tol]],Table1[[#This Row],[DUT Adj Read]]&lt;=Table1[[#This Row],[High Tol]]),"Pass","Fail"))</f>
        <v>Fail</v>
      </c>
      <c r="AD957" s="1" t="str">
        <f>IF(AND(Table1[[#This Row],[Spec Type2]]="N/A",Table1[[#This Row],[DUT Adj Read]]="N/A",Table1[[#This Row],[Std Adj Read]]="N/A"),"N/A",IF(Table1[[#This Row],[DUT Adj Read]]="N/A",IF(Table1[[#This Row],[Std Adj Read]]&gt;Table1[[#This Row],[Low Tol]],"Pass","Fail"),IF(Table1[[#This Row],[DUT Adj Read]]&gt;Table1[[#This Row],[Low Tol]],"Pass","Fail")))</f>
        <v>Pass</v>
      </c>
      <c r="AE957" s="1" t="str">
        <f>IF(AND(Table1[[#This Row],[Spec Type2]]="N/A",Table1[[#This Row],[DUT Adj Read]]="N/A",Table1[[#This Row],[Std Adj Read]]="N/A"),"N/A",IF(Table1[[#This Row],[DUT Adj Read]]="N/A",IF(Table1[[#This Row],[Std Adj Read]]&lt;Table1[[#This Row],[High Tol]],"Pass","Fail"),IF(Table1[[#This Row],[DUT Adj Read]]&lt;Table1[[#This Row],[High Tol]],"Pass","Fail")))</f>
        <v>Fail</v>
      </c>
      <c r="AF957" s="1" t="str">
        <f>IF(AND(Table1[[#This Row],[Spec Type2]]="N/A",Table1[[#This Row],[DUT Adj Read]]="N/A",Table1[[#This Row],[Std Adj Read]]="N/A"),"N/A",IF(Table1[[#This Row],[DUT Adj Read]]="N/A",IF(Table1[[#This Row],[Std Adj Read]]&gt;=Table1[[#This Row],[Low Tol]],"Pass","Fail"),IF(Table1[[#This Row],[DUT Adj Read]]&gt;=Table1[[#This Row],[Low Tol]],"Pass","Fail")))</f>
        <v>Pass</v>
      </c>
      <c r="AG957" s="1" t="str">
        <f>IF(AND(Table1[[#This Row],[Spec Type2]]="N/A",Table1[[#This Row],[DUT Adj Read]]="N/A",Table1[[#This Row],[Std Adj Read]]="N/A"),"N/A",IF(Table1[[#This Row],[DUT Adj Read]]="N/A",IF(Table1[[#This Row],[Std Adj Read]]&lt;=Table1[[#This Row],[High Tol]],"Pass","Fail"),IF(Table1[[#This Row],[DUT Adj Read]]&lt;=Table1[[#This Row],[High Tol]],"Pass","Fail")))</f>
        <v>Fail</v>
      </c>
      <c r="AH9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7" s="1" t="b">
        <v>0</v>
      </c>
      <c r="AN957" s="1" t="b">
        <v>0</v>
      </c>
      <c r="AO957" s="1" t="b">
        <v>0</v>
      </c>
    </row>
    <row r="958" spans="1:41" x14ac:dyDescent="0.25">
      <c r="A958" s="10"/>
      <c r="B958" s="10"/>
      <c r="C958" s="10"/>
      <c r="D958" s="10"/>
      <c r="E958" s="10"/>
      <c r="F958" s="10"/>
      <c r="G958" s="10"/>
      <c r="H958" s="10"/>
      <c r="I958" s="1" t="str">
        <f t="shared" si="42"/>
        <v/>
      </c>
      <c r="J958" s="1" t="s">
        <v>35</v>
      </c>
      <c r="K958" s="1" t="str">
        <f t="shared" si="43"/>
        <v/>
      </c>
      <c r="L958" s="1" t="str">
        <f t="shared" si="44"/>
        <v/>
      </c>
      <c r="M958" s="1">
        <f>IF(OR(Table1[[#This Row],[Std Nom]]="",Table1[[#This Row],[Std Read]]=""),0,Table1[[#This Row],[Std Nom]]-Table1[[#This Row],[Std Read]])</f>
        <v>0</v>
      </c>
      <c r="N958" s="1">
        <f>IF(Calculations!$F$5="ACCREDITED 17025 WITH UNCERTAINTIES",$N$10,0)</f>
        <v>0</v>
      </c>
      <c r="O958" s="1" t="str">
        <f>IFERROR(Table1[[#This Row],[Std Nom]]-(_xlfn.XLOOKUP(Table1[[#This Row],[Manufacturer]]&amp;" "&amp;Table1[[#This Row],[Model]],Table13[MFR &amp; MDL],Table13[Tolerance % CW ],"")/100*Table1[[#This Row],[Std Nom]]),"")</f>
        <v/>
      </c>
      <c r="P958" s="1" t="str">
        <f>IFERROR(Table1[[#This Row],[Std Nom]]+(_xlfn.XLOOKUP(Table1[[#This Row],[Manufacturer]]&amp;" "&amp;Table1[[#This Row],[Model]],Table13[MFR &amp; MDL],Table13[Tolerance % CW ],"")/100*Table1[[#This Row],[Std Nom]]),"")</f>
        <v/>
      </c>
      <c r="Q958" s="1" t="e">
        <f>Table1[[#This Row],[High Tol]]-Table1[[#This Row],[Low Tol]]</f>
        <v>#VALUE!</v>
      </c>
      <c r="R958" s="1">
        <f>2*Table1[[#This Row],[Std Error]]</f>
        <v>0</v>
      </c>
      <c r="S958" s="1" t="str">
        <f>IF(Table1[[#This Row],[High Tol]]="","N/A",IFERROR(ABS(Table1[[#This Row],[Tol Span]]/Table1[[#This Row],[Error Span]]),"N/A"))</f>
        <v>N/A</v>
      </c>
      <c r="T958" s="1" t="str">
        <f>IF(OR(Table1[[#This Row],[Low Tol]]="",Table1[[#This Row],[High Tol]]=""),"Needs Analysis",IF(Table1[[#This Row],[Ratio]]&gt;=4,"Not Significant",IF(Table1[[#This Row],[Ratio]]&gt;=2,"Semi-Significant","Significant")))</f>
        <v>Needs Analysis</v>
      </c>
      <c r="W958" s="1">
        <f>IF(Table1[[#This Row],[Cal Type]]&lt;&gt;"ACCREDITED 17025 WITH UNCERTAINTIES",0,"")</f>
        <v>0</v>
      </c>
      <c r="X958" s="1" t="str">
        <f>IF(Table1[[#This Row],[DUT Read]]="","N/A",Table1[[#This Row],[Std Error]]+Table1[[#This Row],[DUT Read]]+Table1[[#This Row],[DUT Ucty]])</f>
        <v>N/A</v>
      </c>
      <c r="Y958" s="1" t="str">
        <f>IF(Table1[[#This Row],[Std Read]]="","N/A",Table1[[#This Row],[Std Read]]+Table1[[#This Row],[Std Ucty]])</f>
        <v>N/A</v>
      </c>
      <c r="Z9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8" s="1" t="str">
        <f>IF(Table1[[#This Row],[Spec Type]]="","N/A",Table1[[#This Row],[Spec Type]])</f>
        <v>±</v>
      </c>
      <c r="AC958" s="1" t="str">
        <f>IF(Table1[[#This Row],[Spec Type2]]="N/A","N/A",IF(AND(Table1[[#This Row],[DUT Adj Read]]&gt;=Table1[[#This Row],[Low Tol]],Table1[[#This Row],[DUT Adj Read]]&lt;=Table1[[#This Row],[High Tol]]),"Pass","Fail"))</f>
        <v>Fail</v>
      </c>
      <c r="AD958" s="1" t="str">
        <f>IF(AND(Table1[[#This Row],[Spec Type2]]="N/A",Table1[[#This Row],[DUT Adj Read]]="N/A",Table1[[#This Row],[Std Adj Read]]="N/A"),"N/A",IF(Table1[[#This Row],[DUT Adj Read]]="N/A",IF(Table1[[#This Row],[Std Adj Read]]&gt;Table1[[#This Row],[Low Tol]],"Pass","Fail"),IF(Table1[[#This Row],[DUT Adj Read]]&gt;Table1[[#This Row],[Low Tol]],"Pass","Fail")))</f>
        <v>Pass</v>
      </c>
      <c r="AE958" s="1" t="str">
        <f>IF(AND(Table1[[#This Row],[Spec Type2]]="N/A",Table1[[#This Row],[DUT Adj Read]]="N/A",Table1[[#This Row],[Std Adj Read]]="N/A"),"N/A",IF(Table1[[#This Row],[DUT Adj Read]]="N/A",IF(Table1[[#This Row],[Std Adj Read]]&lt;Table1[[#This Row],[High Tol]],"Pass","Fail"),IF(Table1[[#This Row],[DUT Adj Read]]&lt;Table1[[#This Row],[High Tol]],"Pass","Fail")))</f>
        <v>Fail</v>
      </c>
      <c r="AF958" s="1" t="str">
        <f>IF(AND(Table1[[#This Row],[Spec Type2]]="N/A",Table1[[#This Row],[DUT Adj Read]]="N/A",Table1[[#This Row],[Std Adj Read]]="N/A"),"N/A",IF(Table1[[#This Row],[DUT Adj Read]]="N/A",IF(Table1[[#This Row],[Std Adj Read]]&gt;=Table1[[#This Row],[Low Tol]],"Pass","Fail"),IF(Table1[[#This Row],[DUT Adj Read]]&gt;=Table1[[#This Row],[Low Tol]],"Pass","Fail")))</f>
        <v>Pass</v>
      </c>
      <c r="AG958" s="1" t="str">
        <f>IF(AND(Table1[[#This Row],[Spec Type2]]="N/A",Table1[[#This Row],[DUT Adj Read]]="N/A",Table1[[#This Row],[Std Adj Read]]="N/A"),"N/A",IF(Table1[[#This Row],[DUT Adj Read]]="N/A",IF(Table1[[#This Row],[Std Adj Read]]&lt;=Table1[[#This Row],[High Tol]],"Pass","Fail"),IF(Table1[[#This Row],[DUT Adj Read]]&lt;=Table1[[#This Row],[High Tol]],"Pass","Fail")))</f>
        <v>Fail</v>
      </c>
      <c r="AH9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8" s="1" t="b">
        <v>0</v>
      </c>
      <c r="AN958" s="1" t="b">
        <v>0</v>
      </c>
      <c r="AO958" s="1" t="b">
        <v>0</v>
      </c>
    </row>
    <row r="959" spans="1:41" x14ac:dyDescent="0.25">
      <c r="A959" s="10"/>
      <c r="B959" s="10"/>
      <c r="C959" s="10"/>
      <c r="D959" s="10"/>
      <c r="E959" s="10"/>
      <c r="F959" s="10"/>
      <c r="G959" s="10"/>
      <c r="H959" s="10"/>
      <c r="I959" s="1" t="str">
        <f t="shared" si="42"/>
        <v/>
      </c>
      <c r="J959" s="1" t="s">
        <v>35</v>
      </c>
      <c r="K959" s="1" t="str">
        <f t="shared" si="43"/>
        <v/>
      </c>
      <c r="L959" s="1" t="str">
        <f t="shared" si="44"/>
        <v/>
      </c>
      <c r="M959" s="1">
        <f>IF(OR(Table1[[#This Row],[Std Nom]]="",Table1[[#This Row],[Std Read]]=""),0,Table1[[#This Row],[Std Nom]]-Table1[[#This Row],[Std Read]])</f>
        <v>0</v>
      </c>
      <c r="N959" s="1">
        <f>IF(Calculations!$F$5="ACCREDITED 17025 WITH UNCERTAINTIES",$N$10,0)</f>
        <v>0</v>
      </c>
      <c r="O959" s="1" t="str">
        <f>IFERROR(Table1[[#This Row],[Std Nom]]-(_xlfn.XLOOKUP(Table1[[#This Row],[Manufacturer]]&amp;" "&amp;Table1[[#This Row],[Model]],Table13[MFR &amp; MDL],Table13[Tolerance % CW ],"")/100*Table1[[#This Row],[Std Nom]]),"")</f>
        <v/>
      </c>
      <c r="P959" s="1" t="str">
        <f>IFERROR(Table1[[#This Row],[Std Nom]]+(_xlfn.XLOOKUP(Table1[[#This Row],[Manufacturer]]&amp;" "&amp;Table1[[#This Row],[Model]],Table13[MFR &amp; MDL],Table13[Tolerance % CW ],"")/100*Table1[[#This Row],[Std Nom]]),"")</f>
        <v/>
      </c>
      <c r="Q959" s="1" t="e">
        <f>Table1[[#This Row],[High Tol]]-Table1[[#This Row],[Low Tol]]</f>
        <v>#VALUE!</v>
      </c>
      <c r="R959" s="1">
        <f>2*Table1[[#This Row],[Std Error]]</f>
        <v>0</v>
      </c>
      <c r="S959" s="1" t="str">
        <f>IF(Table1[[#This Row],[High Tol]]="","N/A",IFERROR(ABS(Table1[[#This Row],[Tol Span]]/Table1[[#This Row],[Error Span]]),"N/A"))</f>
        <v>N/A</v>
      </c>
      <c r="T959" s="1" t="str">
        <f>IF(OR(Table1[[#This Row],[Low Tol]]="",Table1[[#This Row],[High Tol]]=""),"Needs Analysis",IF(Table1[[#This Row],[Ratio]]&gt;=4,"Not Significant",IF(Table1[[#This Row],[Ratio]]&gt;=2,"Semi-Significant","Significant")))</f>
        <v>Needs Analysis</v>
      </c>
      <c r="W959" s="1">
        <f>IF(Table1[[#This Row],[Cal Type]]&lt;&gt;"ACCREDITED 17025 WITH UNCERTAINTIES",0,"")</f>
        <v>0</v>
      </c>
      <c r="X959" s="1" t="str">
        <f>IF(Table1[[#This Row],[DUT Read]]="","N/A",Table1[[#This Row],[Std Error]]+Table1[[#This Row],[DUT Read]]+Table1[[#This Row],[DUT Ucty]])</f>
        <v>N/A</v>
      </c>
      <c r="Y959" s="1" t="str">
        <f>IF(Table1[[#This Row],[Std Read]]="","N/A",Table1[[#This Row],[Std Read]]+Table1[[#This Row],[Std Ucty]])</f>
        <v>N/A</v>
      </c>
      <c r="Z9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9" s="1" t="str">
        <f>IF(Table1[[#This Row],[Spec Type]]="","N/A",Table1[[#This Row],[Spec Type]])</f>
        <v>±</v>
      </c>
      <c r="AC959" s="1" t="str">
        <f>IF(Table1[[#This Row],[Spec Type2]]="N/A","N/A",IF(AND(Table1[[#This Row],[DUT Adj Read]]&gt;=Table1[[#This Row],[Low Tol]],Table1[[#This Row],[DUT Adj Read]]&lt;=Table1[[#This Row],[High Tol]]),"Pass","Fail"))</f>
        <v>Fail</v>
      </c>
      <c r="AD959" s="1" t="str">
        <f>IF(AND(Table1[[#This Row],[Spec Type2]]="N/A",Table1[[#This Row],[DUT Adj Read]]="N/A",Table1[[#This Row],[Std Adj Read]]="N/A"),"N/A",IF(Table1[[#This Row],[DUT Adj Read]]="N/A",IF(Table1[[#This Row],[Std Adj Read]]&gt;Table1[[#This Row],[Low Tol]],"Pass","Fail"),IF(Table1[[#This Row],[DUT Adj Read]]&gt;Table1[[#This Row],[Low Tol]],"Pass","Fail")))</f>
        <v>Pass</v>
      </c>
      <c r="AE959" s="1" t="str">
        <f>IF(AND(Table1[[#This Row],[Spec Type2]]="N/A",Table1[[#This Row],[DUT Adj Read]]="N/A",Table1[[#This Row],[Std Adj Read]]="N/A"),"N/A",IF(Table1[[#This Row],[DUT Adj Read]]="N/A",IF(Table1[[#This Row],[Std Adj Read]]&lt;Table1[[#This Row],[High Tol]],"Pass","Fail"),IF(Table1[[#This Row],[DUT Adj Read]]&lt;Table1[[#This Row],[High Tol]],"Pass","Fail")))</f>
        <v>Fail</v>
      </c>
      <c r="AF959" s="1" t="str">
        <f>IF(AND(Table1[[#This Row],[Spec Type2]]="N/A",Table1[[#This Row],[DUT Adj Read]]="N/A",Table1[[#This Row],[Std Adj Read]]="N/A"),"N/A",IF(Table1[[#This Row],[DUT Adj Read]]="N/A",IF(Table1[[#This Row],[Std Adj Read]]&gt;=Table1[[#This Row],[Low Tol]],"Pass","Fail"),IF(Table1[[#This Row],[DUT Adj Read]]&gt;=Table1[[#This Row],[Low Tol]],"Pass","Fail")))</f>
        <v>Pass</v>
      </c>
      <c r="AG959" s="1" t="str">
        <f>IF(AND(Table1[[#This Row],[Spec Type2]]="N/A",Table1[[#This Row],[DUT Adj Read]]="N/A",Table1[[#This Row],[Std Adj Read]]="N/A"),"N/A",IF(Table1[[#This Row],[DUT Adj Read]]="N/A",IF(Table1[[#This Row],[Std Adj Read]]&lt;=Table1[[#This Row],[High Tol]],"Pass","Fail"),IF(Table1[[#This Row],[DUT Adj Read]]&lt;=Table1[[#This Row],[High Tol]],"Pass","Fail")))</f>
        <v>Fail</v>
      </c>
      <c r="AH9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9" s="1" t="b">
        <v>0</v>
      </c>
      <c r="AN959" s="1" t="b">
        <v>0</v>
      </c>
      <c r="AO959" s="1" t="b">
        <v>0</v>
      </c>
    </row>
    <row r="960" spans="1:41" x14ac:dyDescent="0.25">
      <c r="A960" s="10"/>
      <c r="B960" s="10"/>
      <c r="C960" s="10"/>
      <c r="D960" s="10"/>
      <c r="E960" s="10"/>
      <c r="F960" s="10"/>
      <c r="G960" s="10"/>
      <c r="H960" s="10"/>
      <c r="I960" s="1" t="str">
        <f t="shared" si="42"/>
        <v/>
      </c>
      <c r="J960" s="1" t="s">
        <v>35</v>
      </c>
      <c r="K960" s="1" t="str">
        <f t="shared" si="43"/>
        <v/>
      </c>
      <c r="L960" s="1" t="str">
        <f t="shared" si="44"/>
        <v/>
      </c>
      <c r="M960" s="1">
        <f>IF(OR(Table1[[#This Row],[Std Nom]]="",Table1[[#This Row],[Std Read]]=""),0,Table1[[#This Row],[Std Nom]]-Table1[[#This Row],[Std Read]])</f>
        <v>0</v>
      </c>
      <c r="N960" s="1">
        <f>IF(Calculations!$F$5="ACCREDITED 17025 WITH UNCERTAINTIES",$N$10,0)</f>
        <v>0</v>
      </c>
      <c r="O960" s="1" t="str">
        <f>IFERROR(Table1[[#This Row],[Std Nom]]-(_xlfn.XLOOKUP(Table1[[#This Row],[Manufacturer]]&amp;" "&amp;Table1[[#This Row],[Model]],Table13[MFR &amp; MDL],Table13[Tolerance % CW ],"")/100*Table1[[#This Row],[Std Nom]]),"")</f>
        <v/>
      </c>
      <c r="P960" s="1" t="str">
        <f>IFERROR(Table1[[#This Row],[Std Nom]]+(_xlfn.XLOOKUP(Table1[[#This Row],[Manufacturer]]&amp;" "&amp;Table1[[#This Row],[Model]],Table13[MFR &amp; MDL],Table13[Tolerance % CW ],"")/100*Table1[[#This Row],[Std Nom]]),"")</f>
        <v/>
      </c>
      <c r="Q960" s="1" t="e">
        <f>Table1[[#This Row],[High Tol]]-Table1[[#This Row],[Low Tol]]</f>
        <v>#VALUE!</v>
      </c>
      <c r="R960" s="1">
        <f>2*Table1[[#This Row],[Std Error]]</f>
        <v>0</v>
      </c>
      <c r="S960" s="1" t="str">
        <f>IF(Table1[[#This Row],[High Tol]]="","N/A",IFERROR(ABS(Table1[[#This Row],[Tol Span]]/Table1[[#This Row],[Error Span]]),"N/A"))</f>
        <v>N/A</v>
      </c>
      <c r="T960" s="1" t="str">
        <f>IF(OR(Table1[[#This Row],[Low Tol]]="",Table1[[#This Row],[High Tol]]=""),"Needs Analysis",IF(Table1[[#This Row],[Ratio]]&gt;=4,"Not Significant",IF(Table1[[#This Row],[Ratio]]&gt;=2,"Semi-Significant","Significant")))</f>
        <v>Needs Analysis</v>
      </c>
      <c r="W960" s="1">
        <f>IF(Table1[[#This Row],[Cal Type]]&lt;&gt;"ACCREDITED 17025 WITH UNCERTAINTIES",0,"")</f>
        <v>0</v>
      </c>
      <c r="X960" s="1" t="str">
        <f>IF(Table1[[#This Row],[DUT Read]]="","N/A",Table1[[#This Row],[Std Error]]+Table1[[#This Row],[DUT Read]]+Table1[[#This Row],[DUT Ucty]])</f>
        <v>N/A</v>
      </c>
      <c r="Y960" s="1" t="str">
        <f>IF(Table1[[#This Row],[Std Read]]="","N/A",Table1[[#This Row],[Std Read]]+Table1[[#This Row],[Std Ucty]])</f>
        <v>N/A</v>
      </c>
      <c r="Z9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0" s="1" t="str">
        <f>IF(Table1[[#This Row],[Spec Type]]="","N/A",Table1[[#This Row],[Spec Type]])</f>
        <v>±</v>
      </c>
      <c r="AC960" s="1" t="str">
        <f>IF(Table1[[#This Row],[Spec Type2]]="N/A","N/A",IF(AND(Table1[[#This Row],[DUT Adj Read]]&gt;=Table1[[#This Row],[Low Tol]],Table1[[#This Row],[DUT Adj Read]]&lt;=Table1[[#This Row],[High Tol]]),"Pass","Fail"))</f>
        <v>Fail</v>
      </c>
      <c r="AD960" s="1" t="str">
        <f>IF(AND(Table1[[#This Row],[Spec Type2]]="N/A",Table1[[#This Row],[DUT Adj Read]]="N/A",Table1[[#This Row],[Std Adj Read]]="N/A"),"N/A",IF(Table1[[#This Row],[DUT Adj Read]]="N/A",IF(Table1[[#This Row],[Std Adj Read]]&gt;Table1[[#This Row],[Low Tol]],"Pass","Fail"),IF(Table1[[#This Row],[DUT Adj Read]]&gt;Table1[[#This Row],[Low Tol]],"Pass","Fail")))</f>
        <v>Pass</v>
      </c>
      <c r="AE960" s="1" t="str">
        <f>IF(AND(Table1[[#This Row],[Spec Type2]]="N/A",Table1[[#This Row],[DUT Adj Read]]="N/A",Table1[[#This Row],[Std Adj Read]]="N/A"),"N/A",IF(Table1[[#This Row],[DUT Adj Read]]="N/A",IF(Table1[[#This Row],[Std Adj Read]]&lt;Table1[[#This Row],[High Tol]],"Pass","Fail"),IF(Table1[[#This Row],[DUT Adj Read]]&lt;Table1[[#This Row],[High Tol]],"Pass","Fail")))</f>
        <v>Fail</v>
      </c>
      <c r="AF960" s="1" t="str">
        <f>IF(AND(Table1[[#This Row],[Spec Type2]]="N/A",Table1[[#This Row],[DUT Adj Read]]="N/A",Table1[[#This Row],[Std Adj Read]]="N/A"),"N/A",IF(Table1[[#This Row],[DUT Adj Read]]="N/A",IF(Table1[[#This Row],[Std Adj Read]]&gt;=Table1[[#This Row],[Low Tol]],"Pass","Fail"),IF(Table1[[#This Row],[DUT Adj Read]]&gt;=Table1[[#This Row],[Low Tol]],"Pass","Fail")))</f>
        <v>Pass</v>
      </c>
      <c r="AG960" s="1" t="str">
        <f>IF(AND(Table1[[#This Row],[Spec Type2]]="N/A",Table1[[#This Row],[DUT Adj Read]]="N/A",Table1[[#This Row],[Std Adj Read]]="N/A"),"N/A",IF(Table1[[#This Row],[DUT Adj Read]]="N/A",IF(Table1[[#This Row],[Std Adj Read]]&lt;=Table1[[#This Row],[High Tol]],"Pass","Fail"),IF(Table1[[#This Row],[DUT Adj Read]]&lt;=Table1[[#This Row],[High Tol]],"Pass","Fail")))</f>
        <v>Fail</v>
      </c>
      <c r="AH9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0" s="1" t="b">
        <v>0</v>
      </c>
      <c r="AN960" s="1" t="b">
        <v>0</v>
      </c>
      <c r="AO960" s="1" t="b">
        <v>0</v>
      </c>
    </row>
    <row r="961" spans="1:41" x14ac:dyDescent="0.25">
      <c r="A961" s="10"/>
      <c r="B961" s="10"/>
      <c r="C961" s="10"/>
      <c r="D961" s="10"/>
      <c r="E961" s="10"/>
      <c r="F961" s="10"/>
      <c r="G961" s="10"/>
      <c r="H961" s="10"/>
      <c r="I961" s="1" t="str">
        <f t="shared" si="42"/>
        <v/>
      </c>
      <c r="J961" s="1" t="s">
        <v>35</v>
      </c>
      <c r="K961" s="1" t="str">
        <f t="shared" si="43"/>
        <v/>
      </c>
      <c r="L961" s="1" t="str">
        <f t="shared" si="44"/>
        <v/>
      </c>
      <c r="M961" s="1">
        <f>IF(OR(Table1[[#This Row],[Std Nom]]="",Table1[[#This Row],[Std Read]]=""),0,Table1[[#This Row],[Std Nom]]-Table1[[#This Row],[Std Read]])</f>
        <v>0</v>
      </c>
      <c r="N961" s="1">
        <f>IF(Calculations!$F$5="ACCREDITED 17025 WITH UNCERTAINTIES",$N$10,0)</f>
        <v>0</v>
      </c>
      <c r="O961" s="1" t="str">
        <f>IFERROR(Table1[[#This Row],[Std Nom]]-(_xlfn.XLOOKUP(Table1[[#This Row],[Manufacturer]]&amp;" "&amp;Table1[[#This Row],[Model]],Table13[MFR &amp; MDL],Table13[Tolerance % CW ],"")/100*Table1[[#This Row],[Std Nom]]),"")</f>
        <v/>
      </c>
      <c r="P961" s="1" t="str">
        <f>IFERROR(Table1[[#This Row],[Std Nom]]+(_xlfn.XLOOKUP(Table1[[#This Row],[Manufacturer]]&amp;" "&amp;Table1[[#This Row],[Model]],Table13[MFR &amp; MDL],Table13[Tolerance % CW ],"")/100*Table1[[#This Row],[Std Nom]]),"")</f>
        <v/>
      </c>
      <c r="Q961" s="1" t="e">
        <f>Table1[[#This Row],[High Tol]]-Table1[[#This Row],[Low Tol]]</f>
        <v>#VALUE!</v>
      </c>
      <c r="R961" s="1">
        <f>2*Table1[[#This Row],[Std Error]]</f>
        <v>0</v>
      </c>
      <c r="S961" s="1" t="str">
        <f>IF(Table1[[#This Row],[High Tol]]="","N/A",IFERROR(ABS(Table1[[#This Row],[Tol Span]]/Table1[[#This Row],[Error Span]]),"N/A"))</f>
        <v>N/A</v>
      </c>
      <c r="T961" s="1" t="str">
        <f>IF(OR(Table1[[#This Row],[Low Tol]]="",Table1[[#This Row],[High Tol]]=""),"Needs Analysis",IF(Table1[[#This Row],[Ratio]]&gt;=4,"Not Significant",IF(Table1[[#This Row],[Ratio]]&gt;=2,"Semi-Significant","Significant")))</f>
        <v>Needs Analysis</v>
      </c>
      <c r="W961" s="1">
        <f>IF(Table1[[#This Row],[Cal Type]]&lt;&gt;"ACCREDITED 17025 WITH UNCERTAINTIES",0,"")</f>
        <v>0</v>
      </c>
      <c r="X961" s="1" t="str">
        <f>IF(Table1[[#This Row],[DUT Read]]="","N/A",Table1[[#This Row],[Std Error]]+Table1[[#This Row],[DUT Read]]+Table1[[#This Row],[DUT Ucty]])</f>
        <v>N/A</v>
      </c>
      <c r="Y961" s="1" t="str">
        <f>IF(Table1[[#This Row],[Std Read]]="","N/A",Table1[[#This Row],[Std Read]]+Table1[[#This Row],[Std Ucty]])</f>
        <v>N/A</v>
      </c>
      <c r="Z9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1" s="1" t="str">
        <f>IF(Table1[[#This Row],[Spec Type]]="","N/A",Table1[[#This Row],[Spec Type]])</f>
        <v>±</v>
      </c>
      <c r="AC961" s="1" t="str">
        <f>IF(Table1[[#This Row],[Spec Type2]]="N/A","N/A",IF(AND(Table1[[#This Row],[DUT Adj Read]]&gt;=Table1[[#This Row],[Low Tol]],Table1[[#This Row],[DUT Adj Read]]&lt;=Table1[[#This Row],[High Tol]]),"Pass","Fail"))</f>
        <v>Fail</v>
      </c>
      <c r="AD961" s="1" t="str">
        <f>IF(AND(Table1[[#This Row],[Spec Type2]]="N/A",Table1[[#This Row],[DUT Adj Read]]="N/A",Table1[[#This Row],[Std Adj Read]]="N/A"),"N/A",IF(Table1[[#This Row],[DUT Adj Read]]="N/A",IF(Table1[[#This Row],[Std Adj Read]]&gt;Table1[[#This Row],[Low Tol]],"Pass","Fail"),IF(Table1[[#This Row],[DUT Adj Read]]&gt;Table1[[#This Row],[Low Tol]],"Pass","Fail")))</f>
        <v>Pass</v>
      </c>
      <c r="AE961" s="1" t="str">
        <f>IF(AND(Table1[[#This Row],[Spec Type2]]="N/A",Table1[[#This Row],[DUT Adj Read]]="N/A",Table1[[#This Row],[Std Adj Read]]="N/A"),"N/A",IF(Table1[[#This Row],[DUT Adj Read]]="N/A",IF(Table1[[#This Row],[Std Adj Read]]&lt;Table1[[#This Row],[High Tol]],"Pass","Fail"),IF(Table1[[#This Row],[DUT Adj Read]]&lt;Table1[[#This Row],[High Tol]],"Pass","Fail")))</f>
        <v>Fail</v>
      </c>
      <c r="AF961" s="1" t="str">
        <f>IF(AND(Table1[[#This Row],[Spec Type2]]="N/A",Table1[[#This Row],[DUT Adj Read]]="N/A",Table1[[#This Row],[Std Adj Read]]="N/A"),"N/A",IF(Table1[[#This Row],[DUT Adj Read]]="N/A",IF(Table1[[#This Row],[Std Adj Read]]&gt;=Table1[[#This Row],[Low Tol]],"Pass","Fail"),IF(Table1[[#This Row],[DUT Adj Read]]&gt;=Table1[[#This Row],[Low Tol]],"Pass","Fail")))</f>
        <v>Pass</v>
      </c>
      <c r="AG961" s="1" t="str">
        <f>IF(AND(Table1[[#This Row],[Spec Type2]]="N/A",Table1[[#This Row],[DUT Adj Read]]="N/A",Table1[[#This Row],[Std Adj Read]]="N/A"),"N/A",IF(Table1[[#This Row],[DUT Adj Read]]="N/A",IF(Table1[[#This Row],[Std Adj Read]]&lt;=Table1[[#This Row],[High Tol]],"Pass","Fail"),IF(Table1[[#This Row],[DUT Adj Read]]&lt;=Table1[[#This Row],[High Tol]],"Pass","Fail")))</f>
        <v>Fail</v>
      </c>
      <c r="AH9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1" s="1" t="b">
        <v>0</v>
      </c>
      <c r="AN961" s="1" t="b">
        <v>0</v>
      </c>
      <c r="AO961" s="1" t="b">
        <v>0</v>
      </c>
    </row>
    <row r="962" spans="1:41" x14ac:dyDescent="0.25">
      <c r="A962" s="10"/>
      <c r="B962" s="10"/>
      <c r="C962" s="10"/>
      <c r="D962" s="10"/>
      <c r="E962" s="10"/>
      <c r="F962" s="10"/>
      <c r="G962" s="10"/>
      <c r="H962" s="10"/>
      <c r="I962" s="1" t="str">
        <f t="shared" si="42"/>
        <v/>
      </c>
      <c r="J962" s="1" t="s">
        <v>35</v>
      </c>
      <c r="K962" s="1" t="str">
        <f t="shared" si="43"/>
        <v/>
      </c>
      <c r="L962" s="1" t="str">
        <f t="shared" si="44"/>
        <v/>
      </c>
      <c r="M962" s="1">
        <f>IF(OR(Table1[[#This Row],[Std Nom]]="",Table1[[#This Row],[Std Read]]=""),0,Table1[[#This Row],[Std Nom]]-Table1[[#This Row],[Std Read]])</f>
        <v>0</v>
      </c>
      <c r="N962" s="1">
        <f>IF(Calculations!$F$5="ACCREDITED 17025 WITH UNCERTAINTIES",$N$10,0)</f>
        <v>0</v>
      </c>
      <c r="O962" s="1" t="str">
        <f>IFERROR(Table1[[#This Row],[Std Nom]]-(_xlfn.XLOOKUP(Table1[[#This Row],[Manufacturer]]&amp;" "&amp;Table1[[#This Row],[Model]],Table13[MFR &amp; MDL],Table13[Tolerance % CW ],"")/100*Table1[[#This Row],[Std Nom]]),"")</f>
        <v/>
      </c>
      <c r="P962" s="1" t="str">
        <f>IFERROR(Table1[[#This Row],[Std Nom]]+(_xlfn.XLOOKUP(Table1[[#This Row],[Manufacturer]]&amp;" "&amp;Table1[[#This Row],[Model]],Table13[MFR &amp; MDL],Table13[Tolerance % CW ],"")/100*Table1[[#This Row],[Std Nom]]),"")</f>
        <v/>
      </c>
      <c r="Q962" s="1" t="e">
        <f>Table1[[#This Row],[High Tol]]-Table1[[#This Row],[Low Tol]]</f>
        <v>#VALUE!</v>
      </c>
      <c r="R962" s="1">
        <f>2*Table1[[#This Row],[Std Error]]</f>
        <v>0</v>
      </c>
      <c r="S962" s="1" t="str">
        <f>IF(Table1[[#This Row],[High Tol]]="","N/A",IFERROR(ABS(Table1[[#This Row],[Tol Span]]/Table1[[#This Row],[Error Span]]),"N/A"))</f>
        <v>N/A</v>
      </c>
      <c r="T962" s="1" t="str">
        <f>IF(OR(Table1[[#This Row],[Low Tol]]="",Table1[[#This Row],[High Tol]]=""),"Needs Analysis",IF(Table1[[#This Row],[Ratio]]&gt;=4,"Not Significant",IF(Table1[[#This Row],[Ratio]]&gt;=2,"Semi-Significant","Significant")))</f>
        <v>Needs Analysis</v>
      </c>
      <c r="W962" s="1">
        <f>IF(Table1[[#This Row],[Cal Type]]&lt;&gt;"ACCREDITED 17025 WITH UNCERTAINTIES",0,"")</f>
        <v>0</v>
      </c>
      <c r="X962" s="1" t="str">
        <f>IF(Table1[[#This Row],[DUT Read]]="","N/A",Table1[[#This Row],[Std Error]]+Table1[[#This Row],[DUT Read]]+Table1[[#This Row],[DUT Ucty]])</f>
        <v>N/A</v>
      </c>
      <c r="Y962" s="1" t="str">
        <f>IF(Table1[[#This Row],[Std Read]]="","N/A",Table1[[#This Row],[Std Read]]+Table1[[#This Row],[Std Ucty]])</f>
        <v>N/A</v>
      </c>
      <c r="Z9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2" s="1" t="str">
        <f>IF(Table1[[#This Row],[Spec Type]]="","N/A",Table1[[#This Row],[Spec Type]])</f>
        <v>±</v>
      </c>
      <c r="AC962" s="1" t="str">
        <f>IF(Table1[[#This Row],[Spec Type2]]="N/A","N/A",IF(AND(Table1[[#This Row],[DUT Adj Read]]&gt;=Table1[[#This Row],[Low Tol]],Table1[[#This Row],[DUT Adj Read]]&lt;=Table1[[#This Row],[High Tol]]),"Pass","Fail"))</f>
        <v>Fail</v>
      </c>
      <c r="AD962" s="1" t="str">
        <f>IF(AND(Table1[[#This Row],[Spec Type2]]="N/A",Table1[[#This Row],[DUT Adj Read]]="N/A",Table1[[#This Row],[Std Adj Read]]="N/A"),"N/A",IF(Table1[[#This Row],[DUT Adj Read]]="N/A",IF(Table1[[#This Row],[Std Adj Read]]&gt;Table1[[#This Row],[Low Tol]],"Pass","Fail"),IF(Table1[[#This Row],[DUT Adj Read]]&gt;Table1[[#This Row],[Low Tol]],"Pass","Fail")))</f>
        <v>Pass</v>
      </c>
      <c r="AE962" s="1" t="str">
        <f>IF(AND(Table1[[#This Row],[Spec Type2]]="N/A",Table1[[#This Row],[DUT Adj Read]]="N/A",Table1[[#This Row],[Std Adj Read]]="N/A"),"N/A",IF(Table1[[#This Row],[DUT Adj Read]]="N/A",IF(Table1[[#This Row],[Std Adj Read]]&lt;Table1[[#This Row],[High Tol]],"Pass","Fail"),IF(Table1[[#This Row],[DUT Adj Read]]&lt;Table1[[#This Row],[High Tol]],"Pass","Fail")))</f>
        <v>Fail</v>
      </c>
      <c r="AF962" s="1" t="str">
        <f>IF(AND(Table1[[#This Row],[Spec Type2]]="N/A",Table1[[#This Row],[DUT Adj Read]]="N/A",Table1[[#This Row],[Std Adj Read]]="N/A"),"N/A",IF(Table1[[#This Row],[DUT Adj Read]]="N/A",IF(Table1[[#This Row],[Std Adj Read]]&gt;=Table1[[#This Row],[Low Tol]],"Pass","Fail"),IF(Table1[[#This Row],[DUT Adj Read]]&gt;=Table1[[#This Row],[Low Tol]],"Pass","Fail")))</f>
        <v>Pass</v>
      </c>
      <c r="AG962" s="1" t="str">
        <f>IF(AND(Table1[[#This Row],[Spec Type2]]="N/A",Table1[[#This Row],[DUT Adj Read]]="N/A",Table1[[#This Row],[Std Adj Read]]="N/A"),"N/A",IF(Table1[[#This Row],[DUT Adj Read]]="N/A",IF(Table1[[#This Row],[Std Adj Read]]&lt;=Table1[[#This Row],[High Tol]],"Pass","Fail"),IF(Table1[[#This Row],[DUT Adj Read]]&lt;=Table1[[#This Row],[High Tol]],"Pass","Fail")))</f>
        <v>Fail</v>
      </c>
      <c r="AH9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2" s="1" t="b">
        <v>0</v>
      </c>
      <c r="AN962" s="1" t="b">
        <v>0</v>
      </c>
      <c r="AO962" s="1" t="b">
        <v>0</v>
      </c>
    </row>
    <row r="963" spans="1:41" x14ac:dyDescent="0.25">
      <c r="A963" s="10"/>
      <c r="B963" s="10"/>
      <c r="C963" s="10"/>
      <c r="D963" s="10"/>
      <c r="E963" s="10"/>
      <c r="F963" s="10"/>
      <c r="G963" s="10"/>
      <c r="H963" s="10"/>
      <c r="I963" s="1" t="str">
        <f t="shared" si="42"/>
        <v/>
      </c>
      <c r="J963" s="1" t="s">
        <v>35</v>
      </c>
      <c r="K963" s="1" t="str">
        <f t="shared" si="43"/>
        <v/>
      </c>
      <c r="L963" s="1" t="str">
        <f t="shared" si="44"/>
        <v/>
      </c>
      <c r="M963" s="1">
        <f>IF(OR(Table1[[#This Row],[Std Nom]]="",Table1[[#This Row],[Std Read]]=""),0,Table1[[#This Row],[Std Nom]]-Table1[[#This Row],[Std Read]])</f>
        <v>0</v>
      </c>
      <c r="N963" s="1">
        <f>IF(Calculations!$F$5="ACCREDITED 17025 WITH UNCERTAINTIES",$N$10,0)</f>
        <v>0</v>
      </c>
      <c r="O963" s="1" t="str">
        <f>IFERROR(Table1[[#This Row],[Std Nom]]-(_xlfn.XLOOKUP(Table1[[#This Row],[Manufacturer]]&amp;" "&amp;Table1[[#This Row],[Model]],Table13[MFR &amp; MDL],Table13[Tolerance % CW ],"")/100*Table1[[#This Row],[Std Nom]]),"")</f>
        <v/>
      </c>
      <c r="P963" s="1" t="str">
        <f>IFERROR(Table1[[#This Row],[Std Nom]]+(_xlfn.XLOOKUP(Table1[[#This Row],[Manufacturer]]&amp;" "&amp;Table1[[#This Row],[Model]],Table13[MFR &amp; MDL],Table13[Tolerance % CW ],"")/100*Table1[[#This Row],[Std Nom]]),"")</f>
        <v/>
      </c>
      <c r="Q963" s="1" t="e">
        <f>Table1[[#This Row],[High Tol]]-Table1[[#This Row],[Low Tol]]</f>
        <v>#VALUE!</v>
      </c>
      <c r="R963" s="1">
        <f>2*Table1[[#This Row],[Std Error]]</f>
        <v>0</v>
      </c>
      <c r="S963" s="1" t="str">
        <f>IF(Table1[[#This Row],[High Tol]]="","N/A",IFERROR(ABS(Table1[[#This Row],[Tol Span]]/Table1[[#This Row],[Error Span]]),"N/A"))</f>
        <v>N/A</v>
      </c>
      <c r="T963" s="1" t="str">
        <f>IF(OR(Table1[[#This Row],[Low Tol]]="",Table1[[#This Row],[High Tol]]=""),"Needs Analysis",IF(Table1[[#This Row],[Ratio]]&gt;=4,"Not Significant",IF(Table1[[#This Row],[Ratio]]&gt;=2,"Semi-Significant","Significant")))</f>
        <v>Needs Analysis</v>
      </c>
      <c r="W963" s="1">
        <f>IF(Table1[[#This Row],[Cal Type]]&lt;&gt;"ACCREDITED 17025 WITH UNCERTAINTIES",0,"")</f>
        <v>0</v>
      </c>
      <c r="X963" s="1" t="str">
        <f>IF(Table1[[#This Row],[DUT Read]]="","N/A",Table1[[#This Row],[Std Error]]+Table1[[#This Row],[DUT Read]]+Table1[[#This Row],[DUT Ucty]])</f>
        <v>N/A</v>
      </c>
      <c r="Y963" s="1" t="str">
        <f>IF(Table1[[#This Row],[Std Read]]="","N/A",Table1[[#This Row],[Std Read]]+Table1[[#This Row],[Std Ucty]])</f>
        <v>N/A</v>
      </c>
      <c r="Z9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3" s="1" t="str">
        <f>IF(Table1[[#This Row],[Spec Type]]="","N/A",Table1[[#This Row],[Spec Type]])</f>
        <v>±</v>
      </c>
      <c r="AC963" s="1" t="str">
        <f>IF(Table1[[#This Row],[Spec Type2]]="N/A","N/A",IF(AND(Table1[[#This Row],[DUT Adj Read]]&gt;=Table1[[#This Row],[Low Tol]],Table1[[#This Row],[DUT Adj Read]]&lt;=Table1[[#This Row],[High Tol]]),"Pass","Fail"))</f>
        <v>Fail</v>
      </c>
      <c r="AD963" s="1" t="str">
        <f>IF(AND(Table1[[#This Row],[Spec Type2]]="N/A",Table1[[#This Row],[DUT Adj Read]]="N/A",Table1[[#This Row],[Std Adj Read]]="N/A"),"N/A",IF(Table1[[#This Row],[DUT Adj Read]]="N/A",IF(Table1[[#This Row],[Std Adj Read]]&gt;Table1[[#This Row],[Low Tol]],"Pass","Fail"),IF(Table1[[#This Row],[DUT Adj Read]]&gt;Table1[[#This Row],[Low Tol]],"Pass","Fail")))</f>
        <v>Pass</v>
      </c>
      <c r="AE963" s="1" t="str">
        <f>IF(AND(Table1[[#This Row],[Spec Type2]]="N/A",Table1[[#This Row],[DUT Adj Read]]="N/A",Table1[[#This Row],[Std Adj Read]]="N/A"),"N/A",IF(Table1[[#This Row],[DUT Adj Read]]="N/A",IF(Table1[[#This Row],[Std Adj Read]]&lt;Table1[[#This Row],[High Tol]],"Pass","Fail"),IF(Table1[[#This Row],[DUT Adj Read]]&lt;Table1[[#This Row],[High Tol]],"Pass","Fail")))</f>
        <v>Fail</v>
      </c>
      <c r="AF963" s="1" t="str">
        <f>IF(AND(Table1[[#This Row],[Spec Type2]]="N/A",Table1[[#This Row],[DUT Adj Read]]="N/A",Table1[[#This Row],[Std Adj Read]]="N/A"),"N/A",IF(Table1[[#This Row],[DUT Adj Read]]="N/A",IF(Table1[[#This Row],[Std Adj Read]]&gt;=Table1[[#This Row],[Low Tol]],"Pass","Fail"),IF(Table1[[#This Row],[DUT Adj Read]]&gt;=Table1[[#This Row],[Low Tol]],"Pass","Fail")))</f>
        <v>Pass</v>
      </c>
      <c r="AG963" s="1" t="str">
        <f>IF(AND(Table1[[#This Row],[Spec Type2]]="N/A",Table1[[#This Row],[DUT Adj Read]]="N/A",Table1[[#This Row],[Std Adj Read]]="N/A"),"N/A",IF(Table1[[#This Row],[DUT Adj Read]]="N/A",IF(Table1[[#This Row],[Std Adj Read]]&lt;=Table1[[#This Row],[High Tol]],"Pass","Fail"),IF(Table1[[#This Row],[DUT Adj Read]]&lt;=Table1[[#This Row],[High Tol]],"Pass","Fail")))</f>
        <v>Fail</v>
      </c>
      <c r="AH9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3" s="1" t="b">
        <v>0</v>
      </c>
      <c r="AN963" s="1" t="b">
        <v>0</v>
      </c>
      <c r="AO963" s="1" t="b">
        <v>0</v>
      </c>
    </row>
    <row r="964" spans="1:41" x14ac:dyDescent="0.25">
      <c r="A964" s="10"/>
      <c r="B964" s="10"/>
      <c r="C964" s="10"/>
      <c r="D964" s="10"/>
      <c r="E964" s="10"/>
      <c r="F964" s="10"/>
      <c r="G964" s="10"/>
      <c r="H964" s="10"/>
      <c r="I964" s="1" t="str">
        <f t="shared" si="42"/>
        <v/>
      </c>
      <c r="J964" s="1" t="s">
        <v>35</v>
      </c>
      <c r="K964" s="1" t="str">
        <f t="shared" si="43"/>
        <v/>
      </c>
      <c r="L964" s="1" t="str">
        <f t="shared" si="44"/>
        <v/>
      </c>
      <c r="M964" s="1">
        <f>IF(OR(Table1[[#This Row],[Std Nom]]="",Table1[[#This Row],[Std Read]]=""),0,Table1[[#This Row],[Std Nom]]-Table1[[#This Row],[Std Read]])</f>
        <v>0</v>
      </c>
      <c r="N964" s="1">
        <f>IF(Calculations!$F$5="ACCREDITED 17025 WITH UNCERTAINTIES",$N$10,0)</f>
        <v>0</v>
      </c>
      <c r="O964" s="1" t="str">
        <f>IFERROR(Table1[[#This Row],[Std Nom]]-(_xlfn.XLOOKUP(Table1[[#This Row],[Manufacturer]]&amp;" "&amp;Table1[[#This Row],[Model]],Table13[MFR &amp; MDL],Table13[Tolerance % CW ],"")/100*Table1[[#This Row],[Std Nom]]),"")</f>
        <v/>
      </c>
      <c r="P964" s="1" t="str">
        <f>IFERROR(Table1[[#This Row],[Std Nom]]+(_xlfn.XLOOKUP(Table1[[#This Row],[Manufacturer]]&amp;" "&amp;Table1[[#This Row],[Model]],Table13[MFR &amp; MDL],Table13[Tolerance % CW ],"")/100*Table1[[#This Row],[Std Nom]]),"")</f>
        <v/>
      </c>
      <c r="Q964" s="1" t="e">
        <f>Table1[[#This Row],[High Tol]]-Table1[[#This Row],[Low Tol]]</f>
        <v>#VALUE!</v>
      </c>
      <c r="R964" s="1">
        <f>2*Table1[[#This Row],[Std Error]]</f>
        <v>0</v>
      </c>
      <c r="S964" s="1" t="str">
        <f>IF(Table1[[#This Row],[High Tol]]="","N/A",IFERROR(ABS(Table1[[#This Row],[Tol Span]]/Table1[[#This Row],[Error Span]]),"N/A"))</f>
        <v>N/A</v>
      </c>
      <c r="T964" s="1" t="str">
        <f>IF(OR(Table1[[#This Row],[Low Tol]]="",Table1[[#This Row],[High Tol]]=""),"Needs Analysis",IF(Table1[[#This Row],[Ratio]]&gt;=4,"Not Significant",IF(Table1[[#This Row],[Ratio]]&gt;=2,"Semi-Significant","Significant")))</f>
        <v>Needs Analysis</v>
      </c>
      <c r="W964" s="1">
        <f>IF(Table1[[#This Row],[Cal Type]]&lt;&gt;"ACCREDITED 17025 WITH UNCERTAINTIES",0,"")</f>
        <v>0</v>
      </c>
      <c r="X964" s="1" t="str">
        <f>IF(Table1[[#This Row],[DUT Read]]="","N/A",Table1[[#This Row],[Std Error]]+Table1[[#This Row],[DUT Read]]+Table1[[#This Row],[DUT Ucty]])</f>
        <v>N/A</v>
      </c>
      <c r="Y964" s="1" t="str">
        <f>IF(Table1[[#This Row],[Std Read]]="","N/A",Table1[[#This Row],[Std Read]]+Table1[[#This Row],[Std Ucty]])</f>
        <v>N/A</v>
      </c>
      <c r="Z9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4" s="1" t="str">
        <f>IF(Table1[[#This Row],[Spec Type]]="","N/A",Table1[[#This Row],[Spec Type]])</f>
        <v>±</v>
      </c>
      <c r="AC964" s="1" t="str">
        <f>IF(Table1[[#This Row],[Spec Type2]]="N/A","N/A",IF(AND(Table1[[#This Row],[DUT Adj Read]]&gt;=Table1[[#This Row],[Low Tol]],Table1[[#This Row],[DUT Adj Read]]&lt;=Table1[[#This Row],[High Tol]]),"Pass","Fail"))</f>
        <v>Fail</v>
      </c>
      <c r="AD964" s="1" t="str">
        <f>IF(AND(Table1[[#This Row],[Spec Type2]]="N/A",Table1[[#This Row],[DUT Adj Read]]="N/A",Table1[[#This Row],[Std Adj Read]]="N/A"),"N/A",IF(Table1[[#This Row],[DUT Adj Read]]="N/A",IF(Table1[[#This Row],[Std Adj Read]]&gt;Table1[[#This Row],[Low Tol]],"Pass","Fail"),IF(Table1[[#This Row],[DUT Adj Read]]&gt;Table1[[#This Row],[Low Tol]],"Pass","Fail")))</f>
        <v>Pass</v>
      </c>
      <c r="AE964" s="1" t="str">
        <f>IF(AND(Table1[[#This Row],[Spec Type2]]="N/A",Table1[[#This Row],[DUT Adj Read]]="N/A",Table1[[#This Row],[Std Adj Read]]="N/A"),"N/A",IF(Table1[[#This Row],[DUT Adj Read]]="N/A",IF(Table1[[#This Row],[Std Adj Read]]&lt;Table1[[#This Row],[High Tol]],"Pass","Fail"),IF(Table1[[#This Row],[DUT Adj Read]]&lt;Table1[[#This Row],[High Tol]],"Pass","Fail")))</f>
        <v>Fail</v>
      </c>
      <c r="AF964" s="1" t="str">
        <f>IF(AND(Table1[[#This Row],[Spec Type2]]="N/A",Table1[[#This Row],[DUT Adj Read]]="N/A",Table1[[#This Row],[Std Adj Read]]="N/A"),"N/A",IF(Table1[[#This Row],[DUT Adj Read]]="N/A",IF(Table1[[#This Row],[Std Adj Read]]&gt;=Table1[[#This Row],[Low Tol]],"Pass","Fail"),IF(Table1[[#This Row],[DUT Adj Read]]&gt;=Table1[[#This Row],[Low Tol]],"Pass","Fail")))</f>
        <v>Pass</v>
      </c>
      <c r="AG964" s="1" t="str">
        <f>IF(AND(Table1[[#This Row],[Spec Type2]]="N/A",Table1[[#This Row],[DUT Adj Read]]="N/A",Table1[[#This Row],[Std Adj Read]]="N/A"),"N/A",IF(Table1[[#This Row],[DUT Adj Read]]="N/A",IF(Table1[[#This Row],[Std Adj Read]]&lt;=Table1[[#This Row],[High Tol]],"Pass","Fail"),IF(Table1[[#This Row],[DUT Adj Read]]&lt;=Table1[[#This Row],[High Tol]],"Pass","Fail")))</f>
        <v>Fail</v>
      </c>
      <c r="AH9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4" s="1" t="b">
        <v>0</v>
      </c>
      <c r="AN964" s="1" t="b">
        <v>0</v>
      </c>
      <c r="AO964" s="1" t="b">
        <v>0</v>
      </c>
    </row>
    <row r="965" spans="1:41" x14ac:dyDescent="0.25">
      <c r="A965" s="10"/>
      <c r="B965" s="10"/>
      <c r="C965" s="10"/>
      <c r="D965" s="10"/>
      <c r="E965" s="10"/>
      <c r="F965" s="10"/>
      <c r="G965" s="10"/>
      <c r="H965" s="10"/>
      <c r="I965" s="1" t="str">
        <f t="shared" si="42"/>
        <v/>
      </c>
      <c r="J965" s="1" t="s">
        <v>35</v>
      </c>
      <c r="K965" s="1" t="str">
        <f t="shared" si="43"/>
        <v/>
      </c>
      <c r="L965" s="1" t="str">
        <f t="shared" si="44"/>
        <v/>
      </c>
      <c r="M965" s="1">
        <f>IF(OR(Table1[[#This Row],[Std Nom]]="",Table1[[#This Row],[Std Read]]=""),0,Table1[[#This Row],[Std Nom]]-Table1[[#This Row],[Std Read]])</f>
        <v>0</v>
      </c>
      <c r="N965" s="1">
        <f>IF(Calculations!$F$5="ACCREDITED 17025 WITH UNCERTAINTIES",$N$10,0)</f>
        <v>0</v>
      </c>
      <c r="O965" s="1" t="str">
        <f>IFERROR(Table1[[#This Row],[Std Nom]]-(_xlfn.XLOOKUP(Table1[[#This Row],[Manufacturer]]&amp;" "&amp;Table1[[#This Row],[Model]],Table13[MFR &amp; MDL],Table13[Tolerance % CW ],"")/100*Table1[[#This Row],[Std Nom]]),"")</f>
        <v/>
      </c>
      <c r="P965" s="1" t="str">
        <f>IFERROR(Table1[[#This Row],[Std Nom]]+(_xlfn.XLOOKUP(Table1[[#This Row],[Manufacturer]]&amp;" "&amp;Table1[[#This Row],[Model]],Table13[MFR &amp; MDL],Table13[Tolerance % CW ],"")/100*Table1[[#This Row],[Std Nom]]),"")</f>
        <v/>
      </c>
      <c r="Q965" s="1" t="e">
        <f>Table1[[#This Row],[High Tol]]-Table1[[#This Row],[Low Tol]]</f>
        <v>#VALUE!</v>
      </c>
      <c r="R965" s="1">
        <f>2*Table1[[#This Row],[Std Error]]</f>
        <v>0</v>
      </c>
      <c r="S965" s="1" t="str">
        <f>IF(Table1[[#This Row],[High Tol]]="","N/A",IFERROR(ABS(Table1[[#This Row],[Tol Span]]/Table1[[#This Row],[Error Span]]),"N/A"))</f>
        <v>N/A</v>
      </c>
      <c r="T965" s="1" t="str">
        <f>IF(OR(Table1[[#This Row],[Low Tol]]="",Table1[[#This Row],[High Tol]]=""),"Needs Analysis",IF(Table1[[#This Row],[Ratio]]&gt;=4,"Not Significant",IF(Table1[[#This Row],[Ratio]]&gt;=2,"Semi-Significant","Significant")))</f>
        <v>Needs Analysis</v>
      </c>
      <c r="W965" s="1">
        <f>IF(Table1[[#This Row],[Cal Type]]&lt;&gt;"ACCREDITED 17025 WITH UNCERTAINTIES",0,"")</f>
        <v>0</v>
      </c>
      <c r="X965" s="1" t="str">
        <f>IF(Table1[[#This Row],[DUT Read]]="","N/A",Table1[[#This Row],[Std Error]]+Table1[[#This Row],[DUT Read]]+Table1[[#This Row],[DUT Ucty]])</f>
        <v>N/A</v>
      </c>
      <c r="Y965" s="1" t="str">
        <f>IF(Table1[[#This Row],[Std Read]]="","N/A",Table1[[#This Row],[Std Read]]+Table1[[#This Row],[Std Ucty]])</f>
        <v>N/A</v>
      </c>
      <c r="Z9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5" s="1" t="str">
        <f>IF(Table1[[#This Row],[Spec Type]]="","N/A",Table1[[#This Row],[Spec Type]])</f>
        <v>±</v>
      </c>
      <c r="AC965" s="1" t="str">
        <f>IF(Table1[[#This Row],[Spec Type2]]="N/A","N/A",IF(AND(Table1[[#This Row],[DUT Adj Read]]&gt;=Table1[[#This Row],[Low Tol]],Table1[[#This Row],[DUT Adj Read]]&lt;=Table1[[#This Row],[High Tol]]),"Pass","Fail"))</f>
        <v>Fail</v>
      </c>
      <c r="AD965" s="1" t="str">
        <f>IF(AND(Table1[[#This Row],[Spec Type2]]="N/A",Table1[[#This Row],[DUT Adj Read]]="N/A",Table1[[#This Row],[Std Adj Read]]="N/A"),"N/A",IF(Table1[[#This Row],[DUT Adj Read]]="N/A",IF(Table1[[#This Row],[Std Adj Read]]&gt;Table1[[#This Row],[Low Tol]],"Pass","Fail"),IF(Table1[[#This Row],[DUT Adj Read]]&gt;Table1[[#This Row],[Low Tol]],"Pass","Fail")))</f>
        <v>Pass</v>
      </c>
      <c r="AE965" s="1" t="str">
        <f>IF(AND(Table1[[#This Row],[Spec Type2]]="N/A",Table1[[#This Row],[DUT Adj Read]]="N/A",Table1[[#This Row],[Std Adj Read]]="N/A"),"N/A",IF(Table1[[#This Row],[DUT Adj Read]]="N/A",IF(Table1[[#This Row],[Std Adj Read]]&lt;Table1[[#This Row],[High Tol]],"Pass","Fail"),IF(Table1[[#This Row],[DUT Adj Read]]&lt;Table1[[#This Row],[High Tol]],"Pass","Fail")))</f>
        <v>Fail</v>
      </c>
      <c r="AF965" s="1" t="str">
        <f>IF(AND(Table1[[#This Row],[Spec Type2]]="N/A",Table1[[#This Row],[DUT Adj Read]]="N/A",Table1[[#This Row],[Std Adj Read]]="N/A"),"N/A",IF(Table1[[#This Row],[DUT Adj Read]]="N/A",IF(Table1[[#This Row],[Std Adj Read]]&gt;=Table1[[#This Row],[Low Tol]],"Pass","Fail"),IF(Table1[[#This Row],[DUT Adj Read]]&gt;=Table1[[#This Row],[Low Tol]],"Pass","Fail")))</f>
        <v>Pass</v>
      </c>
      <c r="AG965" s="1" t="str">
        <f>IF(AND(Table1[[#This Row],[Spec Type2]]="N/A",Table1[[#This Row],[DUT Adj Read]]="N/A",Table1[[#This Row],[Std Adj Read]]="N/A"),"N/A",IF(Table1[[#This Row],[DUT Adj Read]]="N/A",IF(Table1[[#This Row],[Std Adj Read]]&lt;=Table1[[#This Row],[High Tol]],"Pass","Fail"),IF(Table1[[#This Row],[DUT Adj Read]]&lt;=Table1[[#This Row],[High Tol]],"Pass","Fail")))</f>
        <v>Fail</v>
      </c>
      <c r="AH9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5" s="1" t="b">
        <v>0</v>
      </c>
      <c r="AN965" s="1" t="b">
        <v>0</v>
      </c>
      <c r="AO965" s="1" t="b">
        <v>0</v>
      </c>
    </row>
    <row r="966" spans="1:41" x14ac:dyDescent="0.25">
      <c r="A966" s="10"/>
      <c r="B966" s="10"/>
      <c r="C966" s="10"/>
      <c r="D966" s="10"/>
      <c r="E966" s="10"/>
      <c r="F966" s="10"/>
      <c r="G966" s="10"/>
      <c r="H966" s="10"/>
      <c r="I966" s="1" t="str">
        <f t="shared" si="42"/>
        <v/>
      </c>
      <c r="J966" s="1" t="s">
        <v>35</v>
      </c>
      <c r="K966" s="1" t="str">
        <f t="shared" si="43"/>
        <v/>
      </c>
      <c r="L966" s="1" t="str">
        <f t="shared" si="44"/>
        <v/>
      </c>
      <c r="M966" s="1">
        <f>IF(OR(Table1[[#This Row],[Std Nom]]="",Table1[[#This Row],[Std Read]]=""),0,Table1[[#This Row],[Std Nom]]-Table1[[#This Row],[Std Read]])</f>
        <v>0</v>
      </c>
      <c r="N966" s="1">
        <f>IF(Calculations!$F$5="ACCREDITED 17025 WITH UNCERTAINTIES",$N$10,0)</f>
        <v>0</v>
      </c>
      <c r="O966" s="1" t="str">
        <f>IFERROR(Table1[[#This Row],[Std Nom]]-(_xlfn.XLOOKUP(Table1[[#This Row],[Manufacturer]]&amp;" "&amp;Table1[[#This Row],[Model]],Table13[MFR &amp; MDL],Table13[Tolerance % CW ],"")/100*Table1[[#This Row],[Std Nom]]),"")</f>
        <v/>
      </c>
      <c r="P966" s="1" t="str">
        <f>IFERROR(Table1[[#This Row],[Std Nom]]+(_xlfn.XLOOKUP(Table1[[#This Row],[Manufacturer]]&amp;" "&amp;Table1[[#This Row],[Model]],Table13[MFR &amp; MDL],Table13[Tolerance % CW ],"")/100*Table1[[#This Row],[Std Nom]]),"")</f>
        <v/>
      </c>
      <c r="Q966" s="1" t="e">
        <f>Table1[[#This Row],[High Tol]]-Table1[[#This Row],[Low Tol]]</f>
        <v>#VALUE!</v>
      </c>
      <c r="R966" s="1">
        <f>2*Table1[[#This Row],[Std Error]]</f>
        <v>0</v>
      </c>
      <c r="S966" s="1" t="str">
        <f>IF(Table1[[#This Row],[High Tol]]="","N/A",IFERROR(ABS(Table1[[#This Row],[Tol Span]]/Table1[[#This Row],[Error Span]]),"N/A"))</f>
        <v>N/A</v>
      </c>
      <c r="T966" s="1" t="str">
        <f>IF(OR(Table1[[#This Row],[Low Tol]]="",Table1[[#This Row],[High Tol]]=""),"Needs Analysis",IF(Table1[[#This Row],[Ratio]]&gt;=4,"Not Significant",IF(Table1[[#This Row],[Ratio]]&gt;=2,"Semi-Significant","Significant")))</f>
        <v>Needs Analysis</v>
      </c>
      <c r="W966" s="1">
        <f>IF(Table1[[#This Row],[Cal Type]]&lt;&gt;"ACCREDITED 17025 WITH UNCERTAINTIES",0,"")</f>
        <v>0</v>
      </c>
      <c r="X966" s="1" t="str">
        <f>IF(Table1[[#This Row],[DUT Read]]="","N/A",Table1[[#This Row],[Std Error]]+Table1[[#This Row],[DUT Read]]+Table1[[#This Row],[DUT Ucty]])</f>
        <v>N/A</v>
      </c>
      <c r="Y966" s="1" t="str">
        <f>IF(Table1[[#This Row],[Std Read]]="","N/A",Table1[[#This Row],[Std Read]]+Table1[[#This Row],[Std Ucty]])</f>
        <v>N/A</v>
      </c>
      <c r="Z9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6" s="1" t="str">
        <f>IF(Table1[[#This Row],[Spec Type]]="","N/A",Table1[[#This Row],[Spec Type]])</f>
        <v>±</v>
      </c>
      <c r="AC966" s="1" t="str">
        <f>IF(Table1[[#This Row],[Spec Type2]]="N/A","N/A",IF(AND(Table1[[#This Row],[DUT Adj Read]]&gt;=Table1[[#This Row],[Low Tol]],Table1[[#This Row],[DUT Adj Read]]&lt;=Table1[[#This Row],[High Tol]]),"Pass","Fail"))</f>
        <v>Fail</v>
      </c>
      <c r="AD966" s="1" t="str">
        <f>IF(AND(Table1[[#This Row],[Spec Type2]]="N/A",Table1[[#This Row],[DUT Adj Read]]="N/A",Table1[[#This Row],[Std Adj Read]]="N/A"),"N/A",IF(Table1[[#This Row],[DUT Adj Read]]="N/A",IF(Table1[[#This Row],[Std Adj Read]]&gt;Table1[[#This Row],[Low Tol]],"Pass","Fail"),IF(Table1[[#This Row],[DUT Adj Read]]&gt;Table1[[#This Row],[Low Tol]],"Pass","Fail")))</f>
        <v>Pass</v>
      </c>
      <c r="AE966" s="1" t="str">
        <f>IF(AND(Table1[[#This Row],[Spec Type2]]="N/A",Table1[[#This Row],[DUT Adj Read]]="N/A",Table1[[#This Row],[Std Adj Read]]="N/A"),"N/A",IF(Table1[[#This Row],[DUT Adj Read]]="N/A",IF(Table1[[#This Row],[Std Adj Read]]&lt;Table1[[#This Row],[High Tol]],"Pass","Fail"),IF(Table1[[#This Row],[DUT Adj Read]]&lt;Table1[[#This Row],[High Tol]],"Pass","Fail")))</f>
        <v>Fail</v>
      </c>
      <c r="AF966" s="1" t="str">
        <f>IF(AND(Table1[[#This Row],[Spec Type2]]="N/A",Table1[[#This Row],[DUT Adj Read]]="N/A",Table1[[#This Row],[Std Adj Read]]="N/A"),"N/A",IF(Table1[[#This Row],[DUT Adj Read]]="N/A",IF(Table1[[#This Row],[Std Adj Read]]&gt;=Table1[[#This Row],[Low Tol]],"Pass","Fail"),IF(Table1[[#This Row],[DUT Adj Read]]&gt;=Table1[[#This Row],[Low Tol]],"Pass","Fail")))</f>
        <v>Pass</v>
      </c>
      <c r="AG966" s="1" t="str">
        <f>IF(AND(Table1[[#This Row],[Spec Type2]]="N/A",Table1[[#This Row],[DUT Adj Read]]="N/A",Table1[[#This Row],[Std Adj Read]]="N/A"),"N/A",IF(Table1[[#This Row],[DUT Adj Read]]="N/A",IF(Table1[[#This Row],[Std Adj Read]]&lt;=Table1[[#This Row],[High Tol]],"Pass","Fail"),IF(Table1[[#This Row],[DUT Adj Read]]&lt;=Table1[[#This Row],[High Tol]],"Pass","Fail")))</f>
        <v>Fail</v>
      </c>
      <c r="AH9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6" s="1" t="b">
        <v>0</v>
      </c>
      <c r="AN966" s="1" t="b">
        <v>0</v>
      </c>
      <c r="AO966" s="1" t="b">
        <v>0</v>
      </c>
    </row>
    <row r="967" spans="1:41" x14ac:dyDescent="0.25">
      <c r="A967" s="10"/>
      <c r="B967" s="10"/>
      <c r="C967" s="10"/>
      <c r="D967" s="10"/>
      <c r="E967" s="10"/>
      <c r="F967" s="10"/>
      <c r="G967" s="10"/>
      <c r="H967" s="10"/>
      <c r="I967" s="1" t="str">
        <f t="shared" si="42"/>
        <v/>
      </c>
      <c r="J967" s="1" t="s">
        <v>35</v>
      </c>
      <c r="K967" s="1" t="str">
        <f t="shared" si="43"/>
        <v/>
      </c>
      <c r="L967" s="1" t="str">
        <f t="shared" si="44"/>
        <v/>
      </c>
      <c r="M967" s="1">
        <f>IF(OR(Table1[[#This Row],[Std Nom]]="",Table1[[#This Row],[Std Read]]=""),0,Table1[[#This Row],[Std Nom]]-Table1[[#This Row],[Std Read]])</f>
        <v>0</v>
      </c>
      <c r="N967" s="1">
        <f>IF(Calculations!$F$5="ACCREDITED 17025 WITH UNCERTAINTIES",$N$10,0)</f>
        <v>0</v>
      </c>
      <c r="O967" s="1" t="str">
        <f>IFERROR(Table1[[#This Row],[Std Nom]]-(_xlfn.XLOOKUP(Table1[[#This Row],[Manufacturer]]&amp;" "&amp;Table1[[#This Row],[Model]],Table13[MFR &amp; MDL],Table13[Tolerance % CW ],"")/100*Table1[[#This Row],[Std Nom]]),"")</f>
        <v/>
      </c>
      <c r="P967" s="1" t="str">
        <f>IFERROR(Table1[[#This Row],[Std Nom]]+(_xlfn.XLOOKUP(Table1[[#This Row],[Manufacturer]]&amp;" "&amp;Table1[[#This Row],[Model]],Table13[MFR &amp; MDL],Table13[Tolerance % CW ],"")/100*Table1[[#This Row],[Std Nom]]),"")</f>
        <v/>
      </c>
      <c r="Q967" s="1" t="e">
        <f>Table1[[#This Row],[High Tol]]-Table1[[#This Row],[Low Tol]]</f>
        <v>#VALUE!</v>
      </c>
      <c r="R967" s="1">
        <f>2*Table1[[#This Row],[Std Error]]</f>
        <v>0</v>
      </c>
      <c r="S967" s="1" t="str">
        <f>IF(Table1[[#This Row],[High Tol]]="","N/A",IFERROR(ABS(Table1[[#This Row],[Tol Span]]/Table1[[#This Row],[Error Span]]),"N/A"))</f>
        <v>N/A</v>
      </c>
      <c r="T967" s="1" t="str">
        <f>IF(OR(Table1[[#This Row],[Low Tol]]="",Table1[[#This Row],[High Tol]]=""),"Needs Analysis",IF(Table1[[#This Row],[Ratio]]&gt;=4,"Not Significant",IF(Table1[[#This Row],[Ratio]]&gt;=2,"Semi-Significant","Significant")))</f>
        <v>Needs Analysis</v>
      </c>
      <c r="W967" s="1">
        <f>IF(Table1[[#This Row],[Cal Type]]&lt;&gt;"ACCREDITED 17025 WITH UNCERTAINTIES",0,"")</f>
        <v>0</v>
      </c>
      <c r="X967" s="1" t="str">
        <f>IF(Table1[[#This Row],[DUT Read]]="","N/A",Table1[[#This Row],[Std Error]]+Table1[[#This Row],[DUT Read]]+Table1[[#This Row],[DUT Ucty]])</f>
        <v>N/A</v>
      </c>
      <c r="Y967" s="1" t="str">
        <f>IF(Table1[[#This Row],[Std Read]]="","N/A",Table1[[#This Row],[Std Read]]+Table1[[#This Row],[Std Ucty]])</f>
        <v>N/A</v>
      </c>
      <c r="Z9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7" s="1" t="str">
        <f>IF(Table1[[#This Row],[Spec Type]]="","N/A",Table1[[#This Row],[Spec Type]])</f>
        <v>±</v>
      </c>
      <c r="AC967" s="1" t="str">
        <f>IF(Table1[[#This Row],[Spec Type2]]="N/A","N/A",IF(AND(Table1[[#This Row],[DUT Adj Read]]&gt;=Table1[[#This Row],[Low Tol]],Table1[[#This Row],[DUT Adj Read]]&lt;=Table1[[#This Row],[High Tol]]),"Pass","Fail"))</f>
        <v>Fail</v>
      </c>
      <c r="AD967" s="1" t="str">
        <f>IF(AND(Table1[[#This Row],[Spec Type2]]="N/A",Table1[[#This Row],[DUT Adj Read]]="N/A",Table1[[#This Row],[Std Adj Read]]="N/A"),"N/A",IF(Table1[[#This Row],[DUT Adj Read]]="N/A",IF(Table1[[#This Row],[Std Adj Read]]&gt;Table1[[#This Row],[Low Tol]],"Pass","Fail"),IF(Table1[[#This Row],[DUT Adj Read]]&gt;Table1[[#This Row],[Low Tol]],"Pass","Fail")))</f>
        <v>Pass</v>
      </c>
      <c r="AE967" s="1" t="str">
        <f>IF(AND(Table1[[#This Row],[Spec Type2]]="N/A",Table1[[#This Row],[DUT Adj Read]]="N/A",Table1[[#This Row],[Std Adj Read]]="N/A"),"N/A",IF(Table1[[#This Row],[DUT Adj Read]]="N/A",IF(Table1[[#This Row],[Std Adj Read]]&lt;Table1[[#This Row],[High Tol]],"Pass","Fail"),IF(Table1[[#This Row],[DUT Adj Read]]&lt;Table1[[#This Row],[High Tol]],"Pass","Fail")))</f>
        <v>Fail</v>
      </c>
      <c r="AF967" s="1" t="str">
        <f>IF(AND(Table1[[#This Row],[Spec Type2]]="N/A",Table1[[#This Row],[DUT Adj Read]]="N/A",Table1[[#This Row],[Std Adj Read]]="N/A"),"N/A",IF(Table1[[#This Row],[DUT Adj Read]]="N/A",IF(Table1[[#This Row],[Std Adj Read]]&gt;=Table1[[#This Row],[Low Tol]],"Pass","Fail"),IF(Table1[[#This Row],[DUT Adj Read]]&gt;=Table1[[#This Row],[Low Tol]],"Pass","Fail")))</f>
        <v>Pass</v>
      </c>
      <c r="AG967" s="1" t="str">
        <f>IF(AND(Table1[[#This Row],[Spec Type2]]="N/A",Table1[[#This Row],[DUT Adj Read]]="N/A",Table1[[#This Row],[Std Adj Read]]="N/A"),"N/A",IF(Table1[[#This Row],[DUT Adj Read]]="N/A",IF(Table1[[#This Row],[Std Adj Read]]&lt;=Table1[[#This Row],[High Tol]],"Pass","Fail"),IF(Table1[[#This Row],[DUT Adj Read]]&lt;=Table1[[#This Row],[High Tol]],"Pass","Fail")))</f>
        <v>Fail</v>
      </c>
      <c r="AH9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7" s="1" t="b">
        <v>0</v>
      </c>
      <c r="AN967" s="1" t="b">
        <v>0</v>
      </c>
      <c r="AO967" s="1" t="b">
        <v>0</v>
      </c>
    </row>
    <row r="968" spans="1:41" x14ac:dyDescent="0.25">
      <c r="A968" s="10"/>
      <c r="B968" s="10"/>
      <c r="C968" s="10"/>
      <c r="D968" s="10"/>
      <c r="E968" s="10"/>
      <c r="F968" s="10"/>
      <c r="G968" s="10"/>
      <c r="H968" s="10"/>
      <c r="I968" s="1" t="str">
        <f t="shared" si="42"/>
        <v/>
      </c>
      <c r="J968" s="1" t="s">
        <v>35</v>
      </c>
      <c r="K968" s="1" t="str">
        <f t="shared" si="43"/>
        <v/>
      </c>
      <c r="L968" s="1" t="str">
        <f t="shared" si="44"/>
        <v/>
      </c>
      <c r="M968" s="1">
        <f>IF(OR(Table1[[#This Row],[Std Nom]]="",Table1[[#This Row],[Std Read]]=""),0,Table1[[#This Row],[Std Nom]]-Table1[[#This Row],[Std Read]])</f>
        <v>0</v>
      </c>
      <c r="N968" s="1">
        <f>IF(Calculations!$F$5="ACCREDITED 17025 WITH UNCERTAINTIES",$N$10,0)</f>
        <v>0</v>
      </c>
      <c r="O968" s="1" t="str">
        <f>IFERROR(Table1[[#This Row],[Std Nom]]-(_xlfn.XLOOKUP(Table1[[#This Row],[Manufacturer]]&amp;" "&amp;Table1[[#This Row],[Model]],Table13[MFR &amp; MDL],Table13[Tolerance % CW ],"")/100*Table1[[#This Row],[Std Nom]]),"")</f>
        <v/>
      </c>
      <c r="P968" s="1" t="str">
        <f>IFERROR(Table1[[#This Row],[Std Nom]]+(_xlfn.XLOOKUP(Table1[[#This Row],[Manufacturer]]&amp;" "&amp;Table1[[#This Row],[Model]],Table13[MFR &amp; MDL],Table13[Tolerance % CW ],"")/100*Table1[[#This Row],[Std Nom]]),"")</f>
        <v/>
      </c>
      <c r="Q968" s="1" t="e">
        <f>Table1[[#This Row],[High Tol]]-Table1[[#This Row],[Low Tol]]</f>
        <v>#VALUE!</v>
      </c>
      <c r="R968" s="1">
        <f>2*Table1[[#This Row],[Std Error]]</f>
        <v>0</v>
      </c>
      <c r="S968" s="1" t="str">
        <f>IF(Table1[[#This Row],[High Tol]]="","N/A",IFERROR(ABS(Table1[[#This Row],[Tol Span]]/Table1[[#This Row],[Error Span]]),"N/A"))</f>
        <v>N/A</v>
      </c>
      <c r="T968" s="1" t="str">
        <f>IF(OR(Table1[[#This Row],[Low Tol]]="",Table1[[#This Row],[High Tol]]=""),"Needs Analysis",IF(Table1[[#This Row],[Ratio]]&gt;=4,"Not Significant",IF(Table1[[#This Row],[Ratio]]&gt;=2,"Semi-Significant","Significant")))</f>
        <v>Needs Analysis</v>
      </c>
      <c r="W968" s="1">
        <f>IF(Table1[[#This Row],[Cal Type]]&lt;&gt;"ACCREDITED 17025 WITH UNCERTAINTIES",0,"")</f>
        <v>0</v>
      </c>
      <c r="X968" s="1" t="str">
        <f>IF(Table1[[#This Row],[DUT Read]]="","N/A",Table1[[#This Row],[Std Error]]+Table1[[#This Row],[DUT Read]]+Table1[[#This Row],[DUT Ucty]])</f>
        <v>N/A</v>
      </c>
      <c r="Y968" s="1" t="str">
        <f>IF(Table1[[#This Row],[Std Read]]="","N/A",Table1[[#This Row],[Std Read]]+Table1[[#This Row],[Std Ucty]])</f>
        <v>N/A</v>
      </c>
      <c r="Z9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8" s="1" t="str">
        <f>IF(Table1[[#This Row],[Spec Type]]="","N/A",Table1[[#This Row],[Spec Type]])</f>
        <v>±</v>
      </c>
      <c r="AC968" s="1" t="str">
        <f>IF(Table1[[#This Row],[Spec Type2]]="N/A","N/A",IF(AND(Table1[[#This Row],[DUT Adj Read]]&gt;=Table1[[#This Row],[Low Tol]],Table1[[#This Row],[DUT Adj Read]]&lt;=Table1[[#This Row],[High Tol]]),"Pass","Fail"))</f>
        <v>Fail</v>
      </c>
      <c r="AD968" s="1" t="str">
        <f>IF(AND(Table1[[#This Row],[Spec Type2]]="N/A",Table1[[#This Row],[DUT Adj Read]]="N/A",Table1[[#This Row],[Std Adj Read]]="N/A"),"N/A",IF(Table1[[#This Row],[DUT Adj Read]]="N/A",IF(Table1[[#This Row],[Std Adj Read]]&gt;Table1[[#This Row],[Low Tol]],"Pass","Fail"),IF(Table1[[#This Row],[DUT Adj Read]]&gt;Table1[[#This Row],[Low Tol]],"Pass","Fail")))</f>
        <v>Pass</v>
      </c>
      <c r="AE968" s="1" t="str">
        <f>IF(AND(Table1[[#This Row],[Spec Type2]]="N/A",Table1[[#This Row],[DUT Adj Read]]="N/A",Table1[[#This Row],[Std Adj Read]]="N/A"),"N/A",IF(Table1[[#This Row],[DUT Adj Read]]="N/A",IF(Table1[[#This Row],[Std Adj Read]]&lt;Table1[[#This Row],[High Tol]],"Pass","Fail"),IF(Table1[[#This Row],[DUT Adj Read]]&lt;Table1[[#This Row],[High Tol]],"Pass","Fail")))</f>
        <v>Fail</v>
      </c>
      <c r="AF968" s="1" t="str">
        <f>IF(AND(Table1[[#This Row],[Spec Type2]]="N/A",Table1[[#This Row],[DUT Adj Read]]="N/A",Table1[[#This Row],[Std Adj Read]]="N/A"),"N/A",IF(Table1[[#This Row],[DUT Adj Read]]="N/A",IF(Table1[[#This Row],[Std Adj Read]]&gt;=Table1[[#This Row],[Low Tol]],"Pass","Fail"),IF(Table1[[#This Row],[DUT Adj Read]]&gt;=Table1[[#This Row],[Low Tol]],"Pass","Fail")))</f>
        <v>Pass</v>
      </c>
      <c r="AG968" s="1" t="str">
        <f>IF(AND(Table1[[#This Row],[Spec Type2]]="N/A",Table1[[#This Row],[DUT Adj Read]]="N/A",Table1[[#This Row],[Std Adj Read]]="N/A"),"N/A",IF(Table1[[#This Row],[DUT Adj Read]]="N/A",IF(Table1[[#This Row],[Std Adj Read]]&lt;=Table1[[#This Row],[High Tol]],"Pass","Fail"),IF(Table1[[#This Row],[DUT Adj Read]]&lt;=Table1[[#This Row],[High Tol]],"Pass","Fail")))</f>
        <v>Fail</v>
      </c>
      <c r="AH9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8" s="1" t="b">
        <v>0</v>
      </c>
      <c r="AN968" s="1" t="b">
        <v>0</v>
      </c>
      <c r="AO968" s="1" t="b">
        <v>0</v>
      </c>
    </row>
    <row r="969" spans="1:41" x14ac:dyDescent="0.25">
      <c r="A969" s="10"/>
      <c r="B969" s="10"/>
      <c r="C969" s="10"/>
      <c r="D969" s="10"/>
      <c r="E969" s="10"/>
      <c r="F969" s="10"/>
      <c r="G969" s="10"/>
      <c r="H969" s="10"/>
      <c r="I969" s="1" t="str">
        <f t="shared" si="42"/>
        <v/>
      </c>
      <c r="J969" s="1" t="s">
        <v>35</v>
      </c>
      <c r="K969" s="1" t="str">
        <f t="shared" si="43"/>
        <v/>
      </c>
      <c r="L969" s="1" t="str">
        <f t="shared" si="44"/>
        <v/>
      </c>
      <c r="M969" s="1">
        <f>IF(OR(Table1[[#This Row],[Std Nom]]="",Table1[[#This Row],[Std Read]]=""),0,Table1[[#This Row],[Std Nom]]-Table1[[#This Row],[Std Read]])</f>
        <v>0</v>
      </c>
      <c r="N969" s="1">
        <f>IF(Calculations!$F$5="ACCREDITED 17025 WITH UNCERTAINTIES",$N$10,0)</f>
        <v>0</v>
      </c>
      <c r="O969" s="1" t="str">
        <f>IFERROR(Table1[[#This Row],[Std Nom]]-(_xlfn.XLOOKUP(Table1[[#This Row],[Manufacturer]]&amp;" "&amp;Table1[[#This Row],[Model]],Table13[MFR &amp; MDL],Table13[Tolerance % CW ],"")/100*Table1[[#This Row],[Std Nom]]),"")</f>
        <v/>
      </c>
      <c r="P969" s="1" t="str">
        <f>IFERROR(Table1[[#This Row],[Std Nom]]+(_xlfn.XLOOKUP(Table1[[#This Row],[Manufacturer]]&amp;" "&amp;Table1[[#This Row],[Model]],Table13[MFR &amp; MDL],Table13[Tolerance % CW ],"")/100*Table1[[#This Row],[Std Nom]]),"")</f>
        <v/>
      </c>
      <c r="Q969" s="1" t="e">
        <f>Table1[[#This Row],[High Tol]]-Table1[[#This Row],[Low Tol]]</f>
        <v>#VALUE!</v>
      </c>
      <c r="R969" s="1">
        <f>2*Table1[[#This Row],[Std Error]]</f>
        <v>0</v>
      </c>
      <c r="S969" s="1" t="str">
        <f>IF(Table1[[#This Row],[High Tol]]="","N/A",IFERROR(ABS(Table1[[#This Row],[Tol Span]]/Table1[[#This Row],[Error Span]]),"N/A"))</f>
        <v>N/A</v>
      </c>
      <c r="T969" s="1" t="str">
        <f>IF(OR(Table1[[#This Row],[Low Tol]]="",Table1[[#This Row],[High Tol]]=""),"Needs Analysis",IF(Table1[[#This Row],[Ratio]]&gt;=4,"Not Significant",IF(Table1[[#This Row],[Ratio]]&gt;=2,"Semi-Significant","Significant")))</f>
        <v>Needs Analysis</v>
      </c>
      <c r="W969" s="1">
        <f>IF(Table1[[#This Row],[Cal Type]]&lt;&gt;"ACCREDITED 17025 WITH UNCERTAINTIES",0,"")</f>
        <v>0</v>
      </c>
      <c r="X969" s="1" t="str">
        <f>IF(Table1[[#This Row],[DUT Read]]="","N/A",Table1[[#This Row],[Std Error]]+Table1[[#This Row],[DUT Read]]+Table1[[#This Row],[DUT Ucty]])</f>
        <v>N/A</v>
      </c>
      <c r="Y969" s="1" t="str">
        <f>IF(Table1[[#This Row],[Std Read]]="","N/A",Table1[[#This Row],[Std Read]]+Table1[[#This Row],[Std Ucty]])</f>
        <v>N/A</v>
      </c>
      <c r="Z9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9" s="1" t="str">
        <f>IF(Table1[[#This Row],[Spec Type]]="","N/A",Table1[[#This Row],[Spec Type]])</f>
        <v>±</v>
      </c>
      <c r="AC969" s="1" t="str">
        <f>IF(Table1[[#This Row],[Spec Type2]]="N/A","N/A",IF(AND(Table1[[#This Row],[DUT Adj Read]]&gt;=Table1[[#This Row],[Low Tol]],Table1[[#This Row],[DUT Adj Read]]&lt;=Table1[[#This Row],[High Tol]]),"Pass","Fail"))</f>
        <v>Fail</v>
      </c>
      <c r="AD969" s="1" t="str">
        <f>IF(AND(Table1[[#This Row],[Spec Type2]]="N/A",Table1[[#This Row],[DUT Adj Read]]="N/A",Table1[[#This Row],[Std Adj Read]]="N/A"),"N/A",IF(Table1[[#This Row],[DUT Adj Read]]="N/A",IF(Table1[[#This Row],[Std Adj Read]]&gt;Table1[[#This Row],[Low Tol]],"Pass","Fail"),IF(Table1[[#This Row],[DUT Adj Read]]&gt;Table1[[#This Row],[Low Tol]],"Pass","Fail")))</f>
        <v>Pass</v>
      </c>
      <c r="AE969" s="1" t="str">
        <f>IF(AND(Table1[[#This Row],[Spec Type2]]="N/A",Table1[[#This Row],[DUT Adj Read]]="N/A",Table1[[#This Row],[Std Adj Read]]="N/A"),"N/A",IF(Table1[[#This Row],[DUT Adj Read]]="N/A",IF(Table1[[#This Row],[Std Adj Read]]&lt;Table1[[#This Row],[High Tol]],"Pass","Fail"),IF(Table1[[#This Row],[DUT Adj Read]]&lt;Table1[[#This Row],[High Tol]],"Pass","Fail")))</f>
        <v>Fail</v>
      </c>
      <c r="AF969" s="1" t="str">
        <f>IF(AND(Table1[[#This Row],[Spec Type2]]="N/A",Table1[[#This Row],[DUT Adj Read]]="N/A",Table1[[#This Row],[Std Adj Read]]="N/A"),"N/A",IF(Table1[[#This Row],[DUT Adj Read]]="N/A",IF(Table1[[#This Row],[Std Adj Read]]&gt;=Table1[[#This Row],[Low Tol]],"Pass","Fail"),IF(Table1[[#This Row],[DUT Adj Read]]&gt;=Table1[[#This Row],[Low Tol]],"Pass","Fail")))</f>
        <v>Pass</v>
      </c>
      <c r="AG969" s="1" t="str">
        <f>IF(AND(Table1[[#This Row],[Spec Type2]]="N/A",Table1[[#This Row],[DUT Adj Read]]="N/A",Table1[[#This Row],[Std Adj Read]]="N/A"),"N/A",IF(Table1[[#This Row],[DUT Adj Read]]="N/A",IF(Table1[[#This Row],[Std Adj Read]]&lt;=Table1[[#This Row],[High Tol]],"Pass","Fail"),IF(Table1[[#This Row],[DUT Adj Read]]&lt;=Table1[[#This Row],[High Tol]],"Pass","Fail")))</f>
        <v>Fail</v>
      </c>
      <c r="AH9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9" s="1" t="b">
        <v>0</v>
      </c>
      <c r="AN969" s="1" t="b">
        <v>0</v>
      </c>
      <c r="AO969" s="1" t="b">
        <v>0</v>
      </c>
    </row>
    <row r="970" spans="1:41" x14ac:dyDescent="0.25">
      <c r="A970" s="10"/>
      <c r="B970" s="10"/>
      <c r="C970" s="10"/>
      <c r="D970" s="10"/>
      <c r="E970" s="10"/>
      <c r="F970" s="10"/>
      <c r="G970" s="10"/>
      <c r="H970" s="10"/>
      <c r="I970" s="1" t="str">
        <f t="shared" si="42"/>
        <v/>
      </c>
      <c r="J970" s="1" t="s">
        <v>35</v>
      </c>
      <c r="K970" s="1" t="str">
        <f t="shared" si="43"/>
        <v/>
      </c>
      <c r="L970" s="1" t="str">
        <f t="shared" si="44"/>
        <v/>
      </c>
      <c r="M970" s="1">
        <f>IF(OR(Table1[[#This Row],[Std Nom]]="",Table1[[#This Row],[Std Read]]=""),0,Table1[[#This Row],[Std Nom]]-Table1[[#This Row],[Std Read]])</f>
        <v>0</v>
      </c>
      <c r="N970" s="1">
        <f>IF(Calculations!$F$5="ACCREDITED 17025 WITH UNCERTAINTIES",$N$10,0)</f>
        <v>0</v>
      </c>
      <c r="O970" s="1" t="str">
        <f>IFERROR(Table1[[#This Row],[Std Nom]]-(_xlfn.XLOOKUP(Table1[[#This Row],[Manufacturer]]&amp;" "&amp;Table1[[#This Row],[Model]],Table13[MFR &amp; MDL],Table13[Tolerance % CW ],"")/100*Table1[[#This Row],[Std Nom]]),"")</f>
        <v/>
      </c>
      <c r="P970" s="1" t="str">
        <f>IFERROR(Table1[[#This Row],[Std Nom]]+(_xlfn.XLOOKUP(Table1[[#This Row],[Manufacturer]]&amp;" "&amp;Table1[[#This Row],[Model]],Table13[MFR &amp; MDL],Table13[Tolerance % CW ],"")/100*Table1[[#This Row],[Std Nom]]),"")</f>
        <v/>
      </c>
      <c r="Q970" s="1" t="e">
        <f>Table1[[#This Row],[High Tol]]-Table1[[#This Row],[Low Tol]]</f>
        <v>#VALUE!</v>
      </c>
      <c r="R970" s="1">
        <f>2*Table1[[#This Row],[Std Error]]</f>
        <v>0</v>
      </c>
      <c r="S970" s="1" t="str">
        <f>IF(Table1[[#This Row],[High Tol]]="","N/A",IFERROR(ABS(Table1[[#This Row],[Tol Span]]/Table1[[#This Row],[Error Span]]),"N/A"))</f>
        <v>N/A</v>
      </c>
      <c r="T970" s="1" t="str">
        <f>IF(OR(Table1[[#This Row],[Low Tol]]="",Table1[[#This Row],[High Tol]]=""),"Needs Analysis",IF(Table1[[#This Row],[Ratio]]&gt;=4,"Not Significant",IF(Table1[[#This Row],[Ratio]]&gt;=2,"Semi-Significant","Significant")))</f>
        <v>Needs Analysis</v>
      </c>
      <c r="W970" s="1">
        <f>IF(Table1[[#This Row],[Cal Type]]&lt;&gt;"ACCREDITED 17025 WITH UNCERTAINTIES",0,"")</f>
        <v>0</v>
      </c>
      <c r="X970" s="1" t="str">
        <f>IF(Table1[[#This Row],[DUT Read]]="","N/A",Table1[[#This Row],[Std Error]]+Table1[[#This Row],[DUT Read]]+Table1[[#This Row],[DUT Ucty]])</f>
        <v>N/A</v>
      </c>
      <c r="Y970" s="1" t="str">
        <f>IF(Table1[[#This Row],[Std Read]]="","N/A",Table1[[#This Row],[Std Read]]+Table1[[#This Row],[Std Ucty]])</f>
        <v>N/A</v>
      </c>
      <c r="Z9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0" s="1" t="str">
        <f>IF(Table1[[#This Row],[Spec Type]]="","N/A",Table1[[#This Row],[Spec Type]])</f>
        <v>±</v>
      </c>
      <c r="AC970" s="1" t="str">
        <f>IF(Table1[[#This Row],[Spec Type2]]="N/A","N/A",IF(AND(Table1[[#This Row],[DUT Adj Read]]&gt;=Table1[[#This Row],[Low Tol]],Table1[[#This Row],[DUT Adj Read]]&lt;=Table1[[#This Row],[High Tol]]),"Pass","Fail"))</f>
        <v>Fail</v>
      </c>
      <c r="AD970" s="1" t="str">
        <f>IF(AND(Table1[[#This Row],[Spec Type2]]="N/A",Table1[[#This Row],[DUT Adj Read]]="N/A",Table1[[#This Row],[Std Adj Read]]="N/A"),"N/A",IF(Table1[[#This Row],[DUT Adj Read]]="N/A",IF(Table1[[#This Row],[Std Adj Read]]&gt;Table1[[#This Row],[Low Tol]],"Pass","Fail"),IF(Table1[[#This Row],[DUT Adj Read]]&gt;Table1[[#This Row],[Low Tol]],"Pass","Fail")))</f>
        <v>Pass</v>
      </c>
      <c r="AE970" s="1" t="str">
        <f>IF(AND(Table1[[#This Row],[Spec Type2]]="N/A",Table1[[#This Row],[DUT Adj Read]]="N/A",Table1[[#This Row],[Std Adj Read]]="N/A"),"N/A",IF(Table1[[#This Row],[DUT Adj Read]]="N/A",IF(Table1[[#This Row],[Std Adj Read]]&lt;Table1[[#This Row],[High Tol]],"Pass","Fail"),IF(Table1[[#This Row],[DUT Adj Read]]&lt;Table1[[#This Row],[High Tol]],"Pass","Fail")))</f>
        <v>Fail</v>
      </c>
      <c r="AF970" s="1" t="str">
        <f>IF(AND(Table1[[#This Row],[Spec Type2]]="N/A",Table1[[#This Row],[DUT Adj Read]]="N/A",Table1[[#This Row],[Std Adj Read]]="N/A"),"N/A",IF(Table1[[#This Row],[DUT Adj Read]]="N/A",IF(Table1[[#This Row],[Std Adj Read]]&gt;=Table1[[#This Row],[Low Tol]],"Pass","Fail"),IF(Table1[[#This Row],[DUT Adj Read]]&gt;=Table1[[#This Row],[Low Tol]],"Pass","Fail")))</f>
        <v>Pass</v>
      </c>
      <c r="AG970" s="1" t="str">
        <f>IF(AND(Table1[[#This Row],[Spec Type2]]="N/A",Table1[[#This Row],[DUT Adj Read]]="N/A",Table1[[#This Row],[Std Adj Read]]="N/A"),"N/A",IF(Table1[[#This Row],[DUT Adj Read]]="N/A",IF(Table1[[#This Row],[Std Adj Read]]&lt;=Table1[[#This Row],[High Tol]],"Pass","Fail"),IF(Table1[[#This Row],[DUT Adj Read]]&lt;=Table1[[#This Row],[High Tol]],"Pass","Fail")))</f>
        <v>Fail</v>
      </c>
      <c r="AH9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0" s="1" t="b">
        <v>0</v>
      </c>
      <c r="AN970" s="1" t="b">
        <v>0</v>
      </c>
      <c r="AO970" s="1" t="b">
        <v>0</v>
      </c>
    </row>
    <row r="971" spans="1:41" x14ac:dyDescent="0.25">
      <c r="A971" s="10"/>
      <c r="B971" s="10"/>
      <c r="C971" s="10"/>
      <c r="D971" s="10"/>
      <c r="E971" s="10"/>
      <c r="F971" s="10"/>
      <c r="G971" s="10"/>
      <c r="H971" s="10"/>
      <c r="I971" s="1" t="str">
        <f t="shared" ref="I971:I1034" si="45">IF($I$10="","",$I$10)</f>
        <v/>
      </c>
      <c r="J971" s="1" t="s">
        <v>35</v>
      </c>
      <c r="K971" s="1" t="str">
        <f t="shared" ref="K971:K1034" si="46">IF($K$10="","",$K$10)</f>
        <v/>
      </c>
      <c r="L971" s="1" t="str">
        <f t="shared" ref="L971:L1034" si="47">IF($L$10="","",$L$10)</f>
        <v/>
      </c>
      <c r="M971" s="1">
        <f>IF(OR(Table1[[#This Row],[Std Nom]]="",Table1[[#This Row],[Std Read]]=""),0,Table1[[#This Row],[Std Nom]]-Table1[[#This Row],[Std Read]])</f>
        <v>0</v>
      </c>
      <c r="N971" s="1">
        <f>IF(Calculations!$F$5="ACCREDITED 17025 WITH UNCERTAINTIES",$N$10,0)</f>
        <v>0</v>
      </c>
      <c r="O971" s="1" t="str">
        <f>IFERROR(Table1[[#This Row],[Std Nom]]-(_xlfn.XLOOKUP(Table1[[#This Row],[Manufacturer]]&amp;" "&amp;Table1[[#This Row],[Model]],Table13[MFR &amp; MDL],Table13[Tolerance % CW ],"")/100*Table1[[#This Row],[Std Nom]]),"")</f>
        <v/>
      </c>
      <c r="P971" s="1" t="str">
        <f>IFERROR(Table1[[#This Row],[Std Nom]]+(_xlfn.XLOOKUP(Table1[[#This Row],[Manufacturer]]&amp;" "&amp;Table1[[#This Row],[Model]],Table13[MFR &amp; MDL],Table13[Tolerance % CW ],"")/100*Table1[[#This Row],[Std Nom]]),"")</f>
        <v/>
      </c>
      <c r="Q971" s="1" t="e">
        <f>Table1[[#This Row],[High Tol]]-Table1[[#This Row],[Low Tol]]</f>
        <v>#VALUE!</v>
      </c>
      <c r="R971" s="1">
        <f>2*Table1[[#This Row],[Std Error]]</f>
        <v>0</v>
      </c>
      <c r="S971" s="1" t="str">
        <f>IF(Table1[[#This Row],[High Tol]]="","N/A",IFERROR(ABS(Table1[[#This Row],[Tol Span]]/Table1[[#This Row],[Error Span]]),"N/A"))</f>
        <v>N/A</v>
      </c>
      <c r="T971" s="1" t="str">
        <f>IF(OR(Table1[[#This Row],[Low Tol]]="",Table1[[#This Row],[High Tol]]=""),"Needs Analysis",IF(Table1[[#This Row],[Ratio]]&gt;=4,"Not Significant",IF(Table1[[#This Row],[Ratio]]&gt;=2,"Semi-Significant","Significant")))</f>
        <v>Needs Analysis</v>
      </c>
      <c r="W971" s="1">
        <f>IF(Table1[[#This Row],[Cal Type]]&lt;&gt;"ACCREDITED 17025 WITH UNCERTAINTIES",0,"")</f>
        <v>0</v>
      </c>
      <c r="X971" s="1" t="str">
        <f>IF(Table1[[#This Row],[DUT Read]]="","N/A",Table1[[#This Row],[Std Error]]+Table1[[#This Row],[DUT Read]]+Table1[[#This Row],[DUT Ucty]])</f>
        <v>N/A</v>
      </c>
      <c r="Y971" s="1" t="str">
        <f>IF(Table1[[#This Row],[Std Read]]="","N/A",Table1[[#This Row],[Std Read]]+Table1[[#This Row],[Std Ucty]])</f>
        <v>N/A</v>
      </c>
      <c r="Z9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1" s="1" t="str">
        <f>IF(Table1[[#This Row],[Spec Type]]="","N/A",Table1[[#This Row],[Spec Type]])</f>
        <v>±</v>
      </c>
      <c r="AC971" s="1" t="str">
        <f>IF(Table1[[#This Row],[Spec Type2]]="N/A","N/A",IF(AND(Table1[[#This Row],[DUT Adj Read]]&gt;=Table1[[#This Row],[Low Tol]],Table1[[#This Row],[DUT Adj Read]]&lt;=Table1[[#This Row],[High Tol]]),"Pass","Fail"))</f>
        <v>Fail</v>
      </c>
      <c r="AD971" s="1" t="str">
        <f>IF(AND(Table1[[#This Row],[Spec Type2]]="N/A",Table1[[#This Row],[DUT Adj Read]]="N/A",Table1[[#This Row],[Std Adj Read]]="N/A"),"N/A",IF(Table1[[#This Row],[DUT Adj Read]]="N/A",IF(Table1[[#This Row],[Std Adj Read]]&gt;Table1[[#This Row],[Low Tol]],"Pass","Fail"),IF(Table1[[#This Row],[DUT Adj Read]]&gt;Table1[[#This Row],[Low Tol]],"Pass","Fail")))</f>
        <v>Pass</v>
      </c>
      <c r="AE971" s="1" t="str">
        <f>IF(AND(Table1[[#This Row],[Spec Type2]]="N/A",Table1[[#This Row],[DUT Adj Read]]="N/A",Table1[[#This Row],[Std Adj Read]]="N/A"),"N/A",IF(Table1[[#This Row],[DUT Adj Read]]="N/A",IF(Table1[[#This Row],[Std Adj Read]]&lt;Table1[[#This Row],[High Tol]],"Pass","Fail"),IF(Table1[[#This Row],[DUT Adj Read]]&lt;Table1[[#This Row],[High Tol]],"Pass","Fail")))</f>
        <v>Fail</v>
      </c>
      <c r="AF971" s="1" t="str">
        <f>IF(AND(Table1[[#This Row],[Spec Type2]]="N/A",Table1[[#This Row],[DUT Adj Read]]="N/A",Table1[[#This Row],[Std Adj Read]]="N/A"),"N/A",IF(Table1[[#This Row],[DUT Adj Read]]="N/A",IF(Table1[[#This Row],[Std Adj Read]]&gt;=Table1[[#This Row],[Low Tol]],"Pass","Fail"),IF(Table1[[#This Row],[DUT Adj Read]]&gt;=Table1[[#This Row],[Low Tol]],"Pass","Fail")))</f>
        <v>Pass</v>
      </c>
      <c r="AG971" s="1" t="str">
        <f>IF(AND(Table1[[#This Row],[Spec Type2]]="N/A",Table1[[#This Row],[DUT Adj Read]]="N/A",Table1[[#This Row],[Std Adj Read]]="N/A"),"N/A",IF(Table1[[#This Row],[DUT Adj Read]]="N/A",IF(Table1[[#This Row],[Std Adj Read]]&lt;=Table1[[#This Row],[High Tol]],"Pass","Fail"),IF(Table1[[#This Row],[DUT Adj Read]]&lt;=Table1[[#This Row],[High Tol]],"Pass","Fail")))</f>
        <v>Fail</v>
      </c>
      <c r="AH9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1" s="1" t="b">
        <v>0</v>
      </c>
      <c r="AN971" s="1" t="b">
        <v>0</v>
      </c>
      <c r="AO971" s="1" t="b">
        <v>0</v>
      </c>
    </row>
    <row r="972" spans="1:41" x14ac:dyDescent="0.25">
      <c r="A972" s="10"/>
      <c r="B972" s="10"/>
      <c r="C972" s="10"/>
      <c r="D972" s="10"/>
      <c r="E972" s="10"/>
      <c r="F972" s="10"/>
      <c r="G972" s="10"/>
      <c r="H972" s="10"/>
      <c r="I972" s="1" t="str">
        <f t="shared" si="45"/>
        <v/>
      </c>
      <c r="J972" s="1" t="s">
        <v>35</v>
      </c>
      <c r="K972" s="1" t="str">
        <f t="shared" si="46"/>
        <v/>
      </c>
      <c r="L972" s="1" t="str">
        <f t="shared" si="47"/>
        <v/>
      </c>
      <c r="M972" s="1">
        <f>IF(OR(Table1[[#This Row],[Std Nom]]="",Table1[[#This Row],[Std Read]]=""),0,Table1[[#This Row],[Std Nom]]-Table1[[#This Row],[Std Read]])</f>
        <v>0</v>
      </c>
      <c r="N972" s="1">
        <f>IF(Calculations!$F$5="ACCREDITED 17025 WITH UNCERTAINTIES",$N$10,0)</f>
        <v>0</v>
      </c>
      <c r="O972" s="1" t="str">
        <f>IFERROR(Table1[[#This Row],[Std Nom]]-(_xlfn.XLOOKUP(Table1[[#This Row],[Manufacturer]]&amp;" "&amp;Table1[[#This Row],[Model]],Table13[MFR &amp; MDL],Table13[Tolerance % CW ],"")/100*Table1[[#This Row],[Std Nom]]),"")</f>
        <v/>
      </c>
      <c r="P972" s="1" t="str">
        <f>IFERROR(Table1[[#This Row],[Std Nom]]+(_xlfn.XLOOKUP(Table1[[#This Row],[Manufacturer]]&amp;" "&amp;Table1[[#This Row],[Model]],Table13[MFR &amp; MDL],Table13[Tolerance % CW ],"")/100*Table1[[#This Row],[Std Nom]]),"")</f>
        <v/>
      </c>
      <c r="Q972" s="1" t="e">
        <f>Table1[[#This Row],[High Tol]]-Table1[[#This Row],[Low Tol]]</f>
        <v>#VALUE!</v>
      </c>
      <c r="R972" s="1">
        <f>2*Table1[[#This Row],[Std Error]]</f>
        <v>0</v>
      </c>
      <c r="S972" s="1" t="str">
        <f>IF(Table1[[#This Row],[High Tol]]="","N/A",IFERROR(ABS(Table1[[#This Row],[Tol Span]]/Table1[[#This Row],[Error Span]]),"N/A"))</f>
        <v>N/A</v>
      </c>
      <c r="T972" s="1" t="str">
        <f>IF(OR(Table1[[#This Row],[Low Tol]]="",Table1[[#This Row],[High Tol]]=""),"Needs Analysis",IF(Table1[[#This Row],[Ratio]]&gt;=4,"Not Significant",IF(Table1[[#This Row],[Ratio]]&gt;=2,"Semi-Significant","Significant")))</f>
        <v>Needs Analysis</v>
      </c>
      <c r="W972" s="1">
        <f>IF(Table1[[#This Row],[Cal Type]]&lt;&gt;"ACCREDITED 17025 WITH UNCERTAINTIES",0,"")</f>
        <v>0</v>
      </c>
      <c r="X972" s="1" t="str">
        <f>IF(Table1[[#This Row],[DUT Read]]="","N/A",Table1[[#This Row],[Std Error]]+Table1[[#This Row],[DUT Read]]+Table1[[#This Row],[DUT Ucty]])</f>
        <v>N/A</v>
      </c>
      <c r="Y972" s="1" t="str">
        <f>IF(Table1[[#This Row],[Std Read]]="","N/A",Table1[[#This Row],[Std Read]]+Table1[[#This Row],[Std Ucty]])</f>
        <v>N/A</v>
      </c>
      <c r="Z9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2" s="1" t="str">
        <f>IF(Table1[[#This Row],[Spec Type]]="","N/A",Table1[[#This Row],[Spec Type]])</f>
        <v>±</v>
      </c>
      <c r="AC972" s="1" t="str">
        <f>IF(Table1[[#This Row],[Spec Type2]]="N/A","N/A",IF(AND(Table1[[#This Row],[DUT Adj Read]]&gt;=Table1[[#This Row],[Low Tol]],Table1[[#This Row],[DUT Adj Read]]&lt;=Table1[[#This Row],[High Tol]]),"Pass","Fail"))</f>
        <v>Fail</v>
      </c>
      <c r="AD972" s="1" t="str">
        <f>IF(AND(Table1[[#This Row],[Spec Type2]]="N/A",Table1[[#This Row],[DUT Adj Read]]="N/A",Table1[[#This Row],[Std Adj Read]]="N/A"),"N/A",IF(Table1[[#This Row],[DUT Adj Read]]="N/A",IF(Table1[[#This Row],[Std Adj Read]]&gt;Table1[[#This Row],[Low Tol]],"Pass","Fail"),IF(Table1[[#This Row],[DUT Adj Read]]&gt;Table1[[#This Row],[Low Tol]],"Pass","Fail")))</f>
        <v>Pass</v>
      </c>
      <c r="AE972" s="1" t="str">
        <f>IF(AND(Table1[[#This Row],[Spec Type2]]="N/A",Table1[[#This Row],[DUT Adj Read]]="N/A",Table1[[#This Row],[Std Adj Read]]="N/A"),"N/A",IF(Table1[[#This Row],[DUT Adj Read]]="N/A",IF(Table1[[#This Row],[Std Adj Read]]&lt;Table1[[#This Row],[High Tol]],"Pass","Fail"),IF(Table1[[#This Row],[DUT Adj Read]]&lt;Table1[[#This Row],[High Tol]],"Pass","Fail")))</f>
        <v>Fail</v>
      </c>
      <c r="AF972" s="1" t="str">
        <f>IF(AND(Table1[[#This Row],[Spec Type2]]="N/A",Table1[[#This Row],[DUT Adj Read]]="N/A",Table1[[#This Row],[Std Adj Read]]="N/A"),"N/A",IF(Table1[[#This Row],[DUT Adj Read]]="N/A",IF(Table1[[#This Row],[Std Adj Read]]&gt;=Table1[[#This Row],[Low Tol]],"Pass","Fail"),IF(Table1[[#This Row],[DUT Adj Read]]&gt;=Table1[[#This Row],[Low Tol]],"Pass","Fail")))</f>
        <v>Pass</v>
      </c>
      <c r="AG972" s="1" t="str">
        <f>IF(AND(Table1[[#This Row],[Spec Type2]]="N/A",Table1[[#This Row],[DUT Adj Read]]="N/A",Table1[[#This Row],[Std Adj Read]]="N/A"),"N/A",IF(Table1[[#This Row],[DUT Adj Read]]="N/A",IF(Table1[[#This Row],[Std Adj Read]]&lt;=Table1[[#This Row],[High Tol]],"Pass","Fail"),IF(Table1[[#This Row],[DUT Adj Read]]&lt;=Table1[[#This Row],[High Tol]],"Pass","Fail")))</f>
        <v>Fail</v>
      </c>
      <c r="AH9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2" s="1" t="b">
        <v>0</v>
      </c>
      <c r="AN972" s="1" t="b">
        <v>0</v>
      </c>
      <c r="AO972" s="1" t="b">
        <v>0</v>
      </c>
    </row>
    <row r="973" spans="1:41" x14ac:dyDescent="0.25">
      <c r="A973" s="10"/>
      <c r="B973" s="10"/>
      <c r="C973" s="10"/>
      <c r="D973" s="10"/>
      <c r="E973" s="10"/>
      <c r="F973" s="10"/>
      <c r="G973" s="10"/>
      <c r="H973" s="10"/>
      <c r="I973" s="1" t="str">
        <f t="shared" si="45"/>
        <v/>
      </c>
      <c r="J973" s="1" t="s">
        <v>35</v>
      </c>
      <c r="K973" s="1" t="str">
        <f t="shared" si="46"/>
        <v/>
      </c>
      <c r="L973" s="1" t="str">
        <f t="shared" si="47"/>
        <v/>
      </c>
      <c r="M973" s="1">
        <f>IF(OR(Table1[[#This Row],[Std Nom]]="",Table1[[#This Row],[Std Read]]=""),0,Table1[[#This Row],[Std Nom]]-Table1[[#This Row],[Std Read]])</f>
        <v>0</v>
      </c>
      <c r="N973" s="1">
        <f>IF(Calculations!$F$5="ACCREDITED 17025 WITH UNCERTAINTIES",$N$10,0)</f>
        <v>0</v>
      </c>
      <c r="O973" s="1" t="str">
        <f>IFERROR(Table1[[#This Row],[Std Nom]]-(_xlfn.XLOOKUP(Table1[[#This Row],[Manufacturer]]&amp;" "&amp;Table1[[#This Row],[Model]],Table13[MFR &amp; MDL],Table13[Tolerance % CW ],"")/100*Table1[[#This Row],[Std Nom]]),"")</f>
        <v/>
      </c>
      <c r="P973" s="1" t="str">
        <f>IFERROR(Table1[[#This Row],[Std Nom]]+(_xlfn.XLOOKUP(Table1[[#This Row],[Manufacturer]]&amp;" "&amp;Table1[[#This Row],[Model]],Table13[MFR &amp; MDL],Table13[Tolerance % CW ],"")/100*Table1[[#This Row],[Std Nom]]),"")</f>
        <v/>
      </c>
      <c r="Q973" s="1" t="e">
        <f>Table1[[#This Row],[High Tol]]-Table1[[#This Row],[Low Tol]]</f>
        <v>#VALUE!</v>
      </c>
      <c r="R973" s="1">
        <f>2*Table1[[#This Row],[Std Error]]</f>
        <v>0</v>
      </c>
      <c r="S973" s="1" t="str">
        <f>IF(Table1[[#This Row],[High Tol]]="","N/A",IFERROR(ABS(Table1[[#This Row],[Tol Span]]/Table1[[#This Row],[Error Span]]),"N/A"))</f>
        <v>N/A</v>
      </c>
      <c r="T973" s="1" t="str">
        <f>IF(OR(Table1[[#This Row],[Low Tol]]="",Table1[[#This Row],[High Tol]]=""),"Needs Analysis",IF(Table1[[#This Row],[Ratio]]&gt;=4,"Not Significant",IF(Table1[[#This Row],[Ratio]]&gt;=2,"Semi-Significant","Significant")))</f>
        <v>Needs Analysis</v>
      </c>
      <c r="W973" s="1">
        <f>IF(Table1[[#This Row],[Cal Type]]&lt;&gt;"ACCREDITED 17025 WITH UNCERTAINTIES",0,"")</f>
        <v>0</v>
      </c>
      <c r="X973" s="1" t="str">
        <f>IF(Table1[[#This Row],[DUT Read]]="","N/A",Table1[[#This Row],[Std Error]]+Table1[[#This Row],[DUT Read]]+Table1[[#This Row],[DUT Ucty]])</f>
        <v>N/A</v>
      </c>
      <c r="Y973" s="1" t="str">
        <f>IF(Table1[[#This Row],[Std Read]]="","N/A",Table1[[#This Row],[Std Read]]+Table1[[#This Row],[Std Ucty]])</f>
        <v>N/A</v>
      </c>
      <c r="Z9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3" s="1" t="str">
        <f>IF(Table1[[#This Row],[Spec Type]]="","N/A",Table1[[#This Row],[Spec Type]])</f>
        <v>±</v>
      </c>
      <c r="AC973" s="1" t="str">
        <f>IF(Table1[[#This Row],[Spec Type2]]="N/A","N/A",IF(AND(Table1[[#This Row],[DUT Adj Read]]&gt;=Table1[[#This Row],[Low Tol]],Table1[[#This Row],[DUT Adj Read]]&lt;=Table1[[#This Row],[High Tol]]),"Pass","Fail"))</f>
        <v>Fail</v>
      </c>
      <c r="AD973" s="1" t="str">
        <f>IF(AND(Table1[[#This Row],[Spec Type2]]="N/A",Table1[[#This Row],[DUT Adj Read]]="N/A",Table1[[#This Row],[Std Adj Read]]="N/A"),"N/A",IF(Table1[[#This Row],[DUT Adj Read]]="N/A",IF(Table1[[#This Row],[Std Adj Read]]&gt;Table1[[#This Row],[Low Tol]],"Pass","Fail"),IF(Table1[[#This Row],[DUT Adj Read]]&gt;Table1[[#This Row],[Low Tol]],"Pass","Fail")))</f>
        <v>Pass</v>
      </c>
      <c r="AE973" s="1" t="str">
        <f>IF(AND(Table1[[#This Row],[Spec Type2]]="N/A",Table1[[#This Row],[DUT Adj Read]]="N/A",Table1[[#This Row],[Std Adj Read]]="N/A"),"N/A",IF(Table1[[#This Row],[DUT Adj Read]]="N/A",IF(Table1[[#This Row],[Std Adj Read]]&lt;Table1[[#This Row],[High Tol]],"Pass","Fail"),IF(Table1[[#This Row],[DUT Adj Read]]&lt;Table1[[#This Row],[High Tol]],"Pass","Fail")))</f>
        <v>Fail</v>
      </c>
      <c r="AF973" s="1" t="str">
        <f>IF(AND(Table1[[#This Row],[Spec Type2]]="N/A",Table1[[#This Row],[DUT Adj Read]]="N/A",Table1[[#This Row],[Std Adj Read]]="N/A"),"N/A",IF(Table1[[#This Row],[DUT Adj Read]]="N/A",IF(Table1[[#This Row],[Std Adj Read]]&gt;=Table1[[#This Row],[Low Tol]],"Pass","Fail"),IF(Table1[[#This Row],[DUT Adj Read]]&gt;=Table1[[#This Row],[Low Tol]],"Pass","Fail")))</f>
        <v>Pass</v>
      </c>
      <c r="AG973" s="1" t="str">
        <f>IF(AND(Table1[[#This Row],[Spec Type2]]="N/A",Table1[[#This Row],[DUT Adj Read]]="N/A",Table1[[#This Row],[Std Adj Read]]="N/A"),"N/A",IF(Table1[[#This Row],[DUT Adj Read]]="N/A",IF(Table1[[#This Row],[Std Adj Read]]&lt;=Table1[[#This Row],[High Tol]],"Pass","Fail"),IF(Table1[[#This Row],[DUT Adj Read]]&lt;=Table1[[#This Row],[High Tol]],"Pass","Fail")))</f>
        <v>Fail</v>
      </c>
      <c r="AH9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3" s="1" t="b">
        <v>0</v>
      </c>
      <c r="AN973" s="1" t="b">
        <v>0</v>
      </c>
      <c r="AO973" s="1" t="b">
        <v>0</v>
      </c>
    </row>
    <row r="974" spans="1:41" x14ac:dyDescent="0.25">
      <c r="A974" s="10"/>
      <c r="B974" s="10"/>
      <c r="C974" s="10"/>
      <c r="D974" s="10"/>
      <c r="E974" s="10"/>
      <c r="F974" s="10"/>
      <c r="G974" s="10"/>
      <c r="H974" s="10"/>
      <c r="I974" s="1" t="str">
        <f t="shared" si="45"/>
        <v/>
      </c>
      <c r="J974" s="1" t="s">
        <v>35</v>
      </c>
      <c r="K974" s="1" t="str">
        <f t="shared" si="46"/>
        <v/>
      </c>
      <c r="L974" s="1" t="str">
        <f t="shared" si="47"/>
        <v/>
      </c>
      <c r="M974" s="1">
        <f>IF(OR(Table1[[#This Row],[Std Nom]]="",Table1[[#This Row],[Std Read]]=""),0,Table1[[#This Row],[Std Nom]]-Table1[[#This Row],[Std Read]])</f>
        <v>0</v>
      </c>
      <c r="N974" s="1">
        <f>IF(Calculations!$F$5="ACCREDITED 17025 WITH UNCERTAINTIES",$N$10,0)</f>
        <v>0</v>
      </c>
      <c r="O974" s="1" t="str">
        <f>IFERROR(Table1[[#This Row],[Std Nom]]-(_xlfn.XLOOKUP(Table1[[#This Row],[Manufacturer]]&amp;" "&amp;Table1[[#This Row],[Model]],Table13[MFR &amp; MDL],Table13[Tolerance % CW ],"")/100*Table1[[#This Row],[Std Nom]]),"")</f>
        <v/>
      </c>
      <c r="P974" s="1" t="str">
        <f>IFERROR(Table1[[#This Row],[Std Nom]]+(_xlfn.XLOOKUP(Table1[[#This Row],[Manufacturer]]&amp;" "&amp;Table1[[#This Row],[Model]],Table13[MFR &amp; MDL],Table13[Tolerance % CW ],"")/100*Table1[[#This Row],[Std Nom]]),"")</f>
        <v/>
      </c>
      <c r="Q974" s="1" t="e">
        <f>Table1[[#This Row],[High Tol]]-Table1[[#This Row],[Low Tol]]</f>
        <v>#VALUE!</v>
      </c>
      <c r="R974" s="1">
        <f>2*Table1[[#This Row],[Std Error]]</f>
        <v>0</v>
      </c>
      <c r="S974" s="1" t="str">
        <f>IF(Table1[[#This Row],[High Tol]]="","N/A",IFERROR(ABS(Table1[[#This Row],[Tol Span]]/Table1[[#This Row],[Error Span]]),"N/A"))</f>
        <v>N/A</v>
      </c>
      <c r="T974" s="1" t="str">
        <f>IF(OR(Table1[[#This Row],[Low Tol]]="",Table1[[#This Row],[High Tol]]=""),"Needs Analysis",IF(Table1[[#This Row],[Ratio]]&gt;=4,"Not Significant",IF(Table1[[#This Row],[Ratio]]&gt;=2,"Semi-Significant","Significant")))</f>
        <v>Needs Analysis</v>
      </c>
      <c r="W974" s="1">
        <f>IF(Table1[[#This Row],[Cal Type]]&lt;&gt;"ACCREDITED 17025 WITH UNCERTAINTIES",0,"")</f>
        <v>0</v>
      </c>
      <c r="X974" s="1" t="str">
        <f>IF(Table1[[#This Row],[DUT Read]]="","N/A",Table1[[#This Row],[Std Error]]+Table1[[#This Row],[DUT Read]]+Table1[[#This Row],[DUT Ucty]])</f>
        <v>N/A</v>
      </c>
      <c r="Y974" s="1" t="str">
        <f>IF(Table1[[#This Row],[Std Read]]="","N/A",Table1[[#This Row],[Std Read]]+Table1[[#This Row],[Std Ucty]])</f>
        <v>N/A</v>
      </c>
      <c r="Z9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4" s="1" t="str">
        <f>IF(Table1[[#This Row],[Spec Type]]="","N/A",Table1[[#This Row],[Spec Type]])</f>
        <v>±</v>
      </c>
      <c r="AC974" s="1" t="str">
        <f>IF(Table1[[#This Row],[Spec Type2]]="N/A","N/A",IF(AND(Table1[[#This Row],[DUT Adj Read]]&gt;=Table1[[#This Row],[Low Tol]],Table1[[#This Row],[DUT Adj Read]]&lt;=Table1[[#This Row],[High Tol]]),"Pass","Fail"))</f>
        <v>Fail</v>
      </c>
      <c r="AD974" s="1" t="str">
        <f>IF(AND(Table1[[#This Row],[Spec Type2]]="N/A",Table1[[#This Row],[DUT Adj Read]]="N/A",Table1[[#This Row],[Std Adj Read]]="N/A"),"N/A",IF(Table1[[#This Row],[DUT Adj Read]]="N/A",IF(Table1[[#This Row],[Std Adj Read]]&gt;Table1[[#This Row],[Low Tol]],"Pass","Fail"),IF(Table1[[#This Row],[DUT Adj Read]]&gt;Table1[[#This Row],[Low Tol]],"Pass","Fail")))</f>
        <v>Pass</v>
      </c>
      <c r="AE974" s="1" t="str">
        <f>IF(AND(Table1[[#This Row],[Spec Type2]]="N/A",Table1[[#This Row],[DUT Adj Read]]="N/A",Table1[[#This Row],[Std Adj Read]]="N/A"),"N/A",IF(Table1[[#This Row],[DUT Adj Read]]="N/A",IF(Table1[[#This Row],[Std Adj Read]]&lt;Table1[[#This Row],[High Tol]],"Pass","Fail"),IF(Table1[[#This Row],[DUT Adj Read]]&lt;Table1[[#This Row],[High Tol]],"Pass","Fail")))</f>
        <v>Fail</v>
      </c>
      <c r="AF974" s="1" t="str">
        <f>IF(AND(Table1[[#This Row],[Spec Type2]]="N/A",Table1[[#This Row],[DUT Adj Read]]="N/A",Table1[[#This Row],[Std Adj Read]]="N/A"),"N/A",IF(Table1[[#This Row],[DUT Adj Read]]="N/A",IF(Table1[[#This Row],[Std Adj Read]]&gt;=Table1[[#This Row],[Low Tol]],"Pass","Fail"),IF(Table1[[#This Row],[DUT Adj Read]]&gt;=Table1[[#This Row],[Low Tol]],"Pass","Fail")))</f>
        <v>Pass</v>
      </c>
      <c r="AG974" s="1" t="str">
        <f>IF(AND(Table1[[#This Row],[Spec Type2]]="N/A",Table1[[#This Row],[DUT Adj Read]]="N/A",Table1[[#This Row],[Std Adj Read]]="N/A"),"N/A",IF(Table1[[#This Row],[DUT Adj Read]]="N/A",IF(Table1[[#This Row],[Std Adj Read]]&lt;=Table1[[#This Row],[High Tol]],"Pass","Fail"),IF(Table1[[#This Row],[DUT Adj Read]]&lt;=Table1[[#This Row],[High Tol]],"Pass","Fail")))</f>
        <v>Fail</v>
      </c>
      <c r="AH9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4" s="1" t="b">
        <v>0</v>
      </c>
      <c r="AN974" s="1" t="b">
        <v>0</v>
      </c>
      <c r="AO974" s="1" t="b">
        <v>0</v>
      </c>
    </row>
    <row r="975" spans="1:41" x14ac:dyDescent="0.25">
      <c r="A975" s="10"/>
      <c r="B975" s="10"/>
      <c r="C975" s="10"/>
      <c r="D975" s="10"/>
      <c r="E975" s="10"/>
      <c r="F975" s="10"/>
      <c r="G975" s="10"/>
      <c r="H975" s="10"/>
      <c r="I975" s="1" t="str">
        <f t="shared" si="45"/>
        <v/>
      </c>
      <c r="J975" s="1" t="s">
        <v>35</v>
      </c>
      <c r="K975" s="1" t="str">
        <f t="shared" si="46"/>
        <v/>
      </c>
      <c r="L975" s="1" t="str">
        <f t="shared" si="47"/>
        <v/>
      </c>
      <c r="M975" s="1">
        <f>IF(OR(Table1[[#This Row],[Std Nom]]="",Table1[[#This Row],[Std Read]]=""),0,Table1[[#This Row],[Std Nom]]-Table1[[#This Row],[Std Read]])</f>
        <v>0</v>
      </c>
      <c r="N975" s="1">
        <f>IF(Calculations!$F$5="ACCREDITED 17025 WITH UNCERTAINTIES",$N$10,0)</f>
        <v>0</v>
      </c>
      <c r="O975" s="1" t="str">
        <f>IFERROR(Table1[[#This Row],[Std Nom]]-(_xlfn.XLOOKUP(Table1[[#This Row],[Manufacturer]]&amp;" "&amp;Table1[[#This Row],[Model]],Table13[MFR &amp; MDL],Table13[Tolerance % CW ],"")/100*Table1[[#This Row],[Std Nom]]),"")</f>
        <v/>
      </c>
      <c r="P975" s="1" t="str">
        <f>IFERROR(Table1[[#This Row],[Std Nom]]+(_xlfn.XLOOKUP(Table1[[#This Row],[Manufacturer]]&amp;" "&amp;Table1[[#This Row],[Model]],Table13[MFR &amp; MDL],Table13[Tolerance % CW ],"")/100*Table1[[#This Row],[Std Nom]]),"")</f>
        <v/>
      </c>
      <c r="Q975" s="1" t="e">
        <f>Table1[[#This Row],[High Tol]]-Table1[[#This Row],[Low Tol]]</f>
        <v>#VALUE!</v>
      </c>
      <c r="R975" s="1">
        <f>2*Table1[[#This Row],[Std Error]]</f>
        <v>0</v>
      </c>
      <c r="S975" s="1" t="str">
        <f>IF(Table1[[#This Row],[High Tol]]="","N/A",IFERROR(ABS(Table1[[#This Row],[Tol Span]]/Table1[[#This Row],[Error Span]]),"N/A"))</f>
        <v>N/A</v>
      </c>
      <c r="T975" s="1" t="str">
        <f>IF(OR(Table1[[#This Row],[Low Tol]]="",Table1[[#This Row],[High Tol]]=""),"Needs Analysis",IF(Table1[[#This Row],[Ratio]]&gt;=4,"Not Significant",IF(Table1[[#This Row],[Ratio]]&gt;=2,"Semi-Significant","Significant")))</f>
        <v>Needs Analysis</v>
      </c>
      <c r="W975" s="1">
        <f>IF(Table1[[#This Row],[Cal Type]]&lt;&gt;"ACCREDITED 17025 WITH UNCERTAINTIES",0,"")</f>
        <v>0</v>
      </c>
      <c r="X975" s="1" t="str">
        <f>IF(Table1[[#This Row],[DUT Read]]="","N/A",Table1[[#This Row],[Std Error]]+Table1[[#This Row],[DUT Read]]+Table1[[#This Row],[DUT Ucty]])</f>
        <v>N/A</v>
      </c>
      <c r="Y975" s="1" t="str">
        <f>IF(Table1[[#This Row],[Std Read]]="","N/A",Table1[[#This Row],[Std Read]]+Table1[[#This Row],[Std Ucty]])</f>
        <v>N/A</v>
      </c>
      <c r="Z9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5" s="1" t="str">
        <f>IF(Table1[[#This Row],[Spec Type]]="","N/A",Table1[[#This Row],[Spec Type]])</f>
        <v>±</v>
      </c>
      <c r="AC975" s="1" t="str">
        <f>IF(Table1[[#This Row],[Spec Type2]]="N/A","N/A",IF(AND(Table1[[#This Row],[DUT Adj Read]]&gt;=Table1[[#This Row],[Low Tol]],Table1[[#This Row],[DUT Adj Read]]&lt;=Table1[[#This Row],[High Tol]]),"Pass","Fail"))</f>
        <v>Fail</v>
      </c>
      <c r="AD975" s="1" t="str">
        <f>IF(AND(Table1[[#This Row],[Spec Type2]]="N/A",Table1[[#This Row],[DUT Adj Read]]="N/A",Table1[[#This Row],[Std Adj Read]]="N/A"),"N/A",IF(Table1[[#This Row],[DUT Adj Read]]="N/A",IF(Table1[[#This Row],[Std Adj Read]]&gt;Table1[[#This Row],[Low Tol]],"Pass","Fail"),IF(Table1[[#This Row],[DUT Adj Read]]&gt;Table1[[#This Row],[Low Tol]],"Pass","Fail")))</f>
        <v>Pass</v>
      </c>
      <c r="AE975" s="1" t="str">
        <f>IF(AND(Table1[[#This Row],[Spec Type2]]="N/A",Table1[[#This Row],[DUT Adj Read]]="N/A",Table1[[#This Row],[Std Adj Read]]="N/A"),"N/A",IF(Table1[[#This Row],[DUT Adj Read]]="N/A",IF(Table1[[#This Row],[Std Adj Read]]&lt;Table1[[#This Row],[High Tol]],"Pass","Fail"),IF(Table1[[#This Row],[DUT Adj Read]]&lt;Table1[[#This Row],[High Tol]],"Pass","Fail")))</f>
        <v>Fail</v>
      </c>
      <c r="AF975" s="1" t="str">
        <f>IF(AND(Table1[[#This Row],[Spec Type2]]="N/A",Table1[[#This Row],[DUT Adj Read]]="N/A",Table1[[#This Row],[Std Adj Read]]="N/A"),"N/A",IF(Table1[[#This Row],[DUT Adj Read]]="N/A",IF(Table1[[#This Row],[Std Adj Read]]&gt;=Table1[[#This Row],[Low Tol]],"Pass","Fail"),IF(Table1[[#This Row],[DUT Adj Read]]&gt;=Table1[[#This Row],[Low Tol]],"Pass","Fail")))</f>
        <v>Pass</v>
      </c>
      <c r="AG975" s="1" t="str">
        <f>IF(AND(Table1[[#This Row],[Spec Type2]]="N/A",Table1[[#This Row],[DUT Adj Read]]="N/A",Table1[[#This Row],[Std Adj Read]]="N/A"),"N/A",IF(Table1[[#This Row],[DUT Adj Read]]="N/A",IF(Table1[[#This Row],[Std Adj Read]]&lt;=Table1[[#This Row],[High Tol]],"Pass","Fail"),IF(Table1[[#This Row],[DUT Adj Read]]&lt;=Table1[[#This Row],[High Tol]],"Pass","Fail")))</f>
        <v>Fail</v>
      </c>
      <c r="AH9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5" s="1" t="b">
        <v>0</v>
      </c>
      <c r="AN975" s="1" t="b">
        <v>0</v>
      </c>
      <c r="AO975" s="1" t="b">
        <v>0</v>
      </c>
    </row>
    <row r="976" spans="1:41" x14ac:dyDescent="0.25">
      <c r="A976" s="10"/>
      <c r="B976" s="10"/>
      <c r="C976" s="10"/>
      <c r="D976" s="10"/>
      <c r="E976" s="10"/>
      <c r="F976" s="10"/>
      <c r="G976" s="10"/>
      <c r="H976" s="10"/>
      <c r="I976" s="1" t="str">
        <f t="shared" si="45"/>
        <v/>
      </c>
      <c r="J976" s="1" t="s">
        <v>35</v>
      </c>
      <c r="K976" s="1" t="str">
        <f t="shared" si="46"/>
        <v/>
      </c>
      <c r="L976" s="1" t="str">
        <f t="shared" si="47"/>
        <v/>
      </c>
      <c r="M976" s="1">
        <f>IF(OR(Table1[[#This Row],[Std Nom]]="",Table1[[#This Row],[Std Read]]=""),0,Table1[[#This Row],[Std Nom]]-Table1[[#This Row],[Std Read]])</f>
        <v>0</v>
      </c>
      <c r="N976" s="1">
        <f>IF(Calculations!$F$5="ACCREDITED 17025 WITH UNCERTAINTIES",$N$10,0)</f>
        <v>0</v>
      </c>
      <c r="O976" s="1" t="str">
        <f>IFERROR(Table1[[#This Row],[Std Nom]]-(_xlfn.XLOOKUP(Table1[[#This Row],[Manufacturer]]&amp;" "&amp;Table1[[#This Row],[Model]],Table13[MFR &amp; MDL],Table13[Tolerance % CW ],"")/100*Table1[[#This Row],[Std Nom]]),"")</f>
        <v/>
      </c>
      <c r="P976" s="1" t="str">
        <f>IFERROR(Table1[[#This Row],[Std Nom]]+(_xlfn.XLOOKUP(Table1[[#This Row],[Manufacturer]]&amp;" "&amp;Table1[[#This Row],[Model]],Table13[MFR &amp; MDL],Table13[Tolerance % CW ],"")/100*Table1[[#This Row],[Std Nom]]),"")</f>
        <v/>
      </c>
      <c r="Q976" s="1" t="e">
        <f>Table1[[#This Row],[High Tol]]-Table1[[#This Row],[Low Tol]]</f>
        <v>#VALUE!</v>
      </c>
      <c r="R976" s="1">
        <f>2*Table1[[#This Row],[Std Error]]</f>
        <v>0</v>
      </c>
      <c r="S976" s="1" t="str">
        <f>IF(Table1[[#This Row],[High Tol]]="","N/A",IFERROR(ABS(Table1[[#This Row],[Tol Span]]/Table1[[#This Row],[Error Span]]),"N/A"))</f>
        <v>N/A</v>
      </c>
      <c r="T976" s="1" t="str">
        <f>IF(OR(Table1[[#This Row],[Low Tol]]="",Table1[[#This Row],[High Tol]]=""),"Needs Analysis",IF(Table1[[#This Row],[Ratio]]&gt;=4,"Not Significant",IF(Table1[[#This Row],[Ratio]]&gt;=2,"Semi-Significant","Significant")))</f>
        <v>Needs Analysis</v>
      </c>
      <c r="W976" s="1">
        <f>IF(Table1[[#This Row],[Cal Type]]&lt;&gt;"ACCREDITED 17025 WITH UNCERTAINTIES",0,"")</f>
        <v>0</v>
      </c>
      <c r="X976" s="1" t="str">
        <f>IF(Table1[[#This Row],[DUT Read]]="","N/A",Table1[[#This Row],[Std Error]]+Table1[[#This Row],[DUT Read]]+Table1[[#This Row],[DUT Ucty]])</f>
        <v>N/A</v>
      </c>
      <c r="Y976" s="1" t="str">
        <f>IF(Table1[[#This Row],[Std Read]]="","N/A",Table1[[#This Row],[Std Read]]+Table1[[#This Row],[Std Ucty]])</f>
        <v>N/A</v>
      </c>
      <c r="Z9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6" s="1" t="str">
        <f>IF(Table1[[#This Row],[Spec Type]]="","N/A",Table1[[#This Row],[Spec Type]])</f>
        <v>±</v>
      </c>
      <c r="AC976" s="1" t="str">
        <f>IF(Table1[[#This Row],[Spec Type2]]="N/A","N/A",IF(AND(Table1[[#This Row],[DUT Adj Read]]&gt;=Table1[[#This Row],[Low Tol]],Table1[[#This Row],[DUT Adj Read]]&lt;=Table1[[#This Row],[High Tol]]),"Pass","Fail"))</f>
        <v>Fail</v>
      </c>
      <c r="AD976" s="1" t="str">
        <f>IF(AND(Table1[[#This Row],[Spec Type2]]="N/A",Table1[[#This Row],[DUT Adj Read]]="N/A",Table1[[#This Row],[Std Adj Read]]="N/A"),"N/A",IF(Table1[[#This Row],[DUT Adj Read]]="N/A",IF(Table1[[#This Row],[Std Adj Read]]&gt;Table1[[#This Row],[Low Tol]],"Pass","Fail"),IF(Table1[[#This Row],[DUT Adj Read]]&gt;Table1[[#This Row],[Low Tol]],"Pass","Fail")))</f>
        <v>Pass</v>
      </c>
      <c r="AE976" s="1" t="str">
        <f>IF(AND(Table1[[#This Row],[Spec Type2]]="N/A",Table1[[#This Row],[DUT Adj Read]]="N/A",Table1[[#This Row],[Std Adj Read]]="N/A"),"N/A",IF(Table1[[#This Row],[DUT Adj Read]]="N/A",IF(Table1[[#This Row],[Std Adj Read]]&lt;Table1[[#This Row],[High Tol]],"Pass","Fail"),IF(Table1[[#This Row],[DUT Adj Read]]&lt;Table1[[#This Row],[High Tol]],"Pass","Fail")))</f>
        <v>Fail</v>
      </c>
      <c r="AF976" s="1" t="str">
        <f>IF(AND(Table1[[#This Row],[Spec Type2]]="N/A",Table1[[#This Row],[DUT Adj Read]]="N/A",Table1[[#This Row],[Std Adj Read]]="N/A"),"N/A",IF(Table1[[#This Row],[DUT Adj Read]]="N/A",IF(Table1[[#This Row],[Std Adj Read]]&gt;=Table1[[#This Row],[Low Tol]],"Pass","Fail"),IF(Table1[[#This Row],[DUT Adj Read]]&gt;=Table1[[#This Row],[Low Tol]],"Pass","Fail")))</f>
        <v>Pass</v>
      </c>
      <c r="AG976" s="1" t="str">
        <f>IF(AND(Table1[[#This Row],[Spec Type2]]="N/A",Table1[[#This Row],[DUT Adj Read]]="N/A",Table1[[#This Row],[Std Adj Read]]="N/A"),"N/A",IF(Table1[[#This Row],[DUT Adj Read]]="N/A",IF(Table1[[#This Row],[Std Adj Read]]&lt;=Table1[[#This Row],[High Tol]],"Pass","Fail"),IF(Table1[[#This Row],[DUT Adj Read]]&lt;=Table1[[#This Row],[High Tol]],"Pass","Fail")))</f>
        <v>Fail</v>
      </c>
      <c r="AH9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6" s="1" t="b">
        <v>0</v>
      </c>
      <c r="AN976" s="1" t="b">
        <v>0</v>
      </c>
      <c r="AO976" s="1" t="b">
        <v>0</v>
      </c>
    </row>
    <row r="977" spans="1:41" x14ac:dyDescent="0.25">
      <c r="A977" s="10"/>
      <c r="B977" s="10"/>
      <c r="C977" s="10"/>
      <c r="D977" s="10"/>
      <c r="E977" s="10"/>
      <c r="F977" s="10"/>
      <c r="G977" s="10"/>
      <c r="H977" s="10"/>
      <c r="I977" s="1" t="str">
        <f t="shared" si="45"/>
        <v/>
      </c>
      <c r="J977" s="1" t="s">
        <v>35</v>
      </c>
      <c r="K977" s="1" t="str">
        <f t="shared" si="46"/>
        <v/>
      </c>
      <c r="L977" s="1" t="str">
        <f t="shared" si="47"/>
        <v/>
      </c>
      <c r="M977" s="1">
        <f>IF(OR(Table1[[#This Row],[Std Nom]]="",Table1[[#This Row],[Std Read]]=""),0,Table1[[#This Row],[Std Nom]]-Table1[[#This Row],[Std Read]])</f>
        <v>0</v>
      </c>
      <c r="N977" s="1">
        <f>IF(Calculations!$F$5="ACCREDITED 17025 WITH UNCERTAINTIES",$N$10,0)</f>
        <v>0</v>
      </c>
      <c r="O977" s="1" t="str">
        <f>IFERROR(Table1[[#This Row],[Std Nom]]-(_xlfn.XLOOKUP(Table1[[#This Row],[Manufacturer]]&amp;" "&amp;Table1[[#This Row],[Model]],Table13[MFR &amp; MDL],Table13[Tolerance % CW ],"")/100*Table1[[#This Row],[Std Nom]]),"")</f>
        <v/>
      </c>
      <c r="P977" s="1" t="str">
        <f>IFERROR(Table1[[#This Row],[Std Nom]]+(_xlfn.XLOOKUP(Table1[[#This Row],[Manufacturer]]&amp;" "&amp;Table1[[#This Row],[Model]],Table13[MFR &amp; MDL],Table13[Tolerance % CW ],"")/100*Table1[[#This Row],[Std Nom]]),"")</f>
        <v/>
      </c>
      <c r="Q977" s="1" t="e">
        <f>Table1[[#This Row],[High Tol]]-Table1[[#This Row],[Low Tol]]</f>
        <v>#VALUE!</v>
      </c>
      <c r="R977" s="1">
        <f>2*Table1[[#This Row],[Std Error]]</f>
        <v>0</v>
      </c>
      <c r="S977" s="1" t="str">
        <f>IF(Table1[[#This Row],[High Tol]]="","N/A",IFERROR(ABS(Table1[[#This Row],[Tol Span]]/Table1[[#This Row],[Error Span]]),"N/A"))</f>
        <v>N/A</v>
      </c>
      <c r="T977" s="1" t="str">
        <f>IF(OR(Table1[[#This Row],[Low Tol]]="",Table1[[#This Row],[High Tol]]=""),"Needs Analysis",IF(Table1[[#This Row],[Ratio]]&gt;=4,"Not Significant",IF(Table1[[#This Row],[Ratio]]&gt;=2,"Semi-Significant","Significant")))</f>
        <v>Needs Analysis</v>
      </c>
      <c r="W977" s="1">
        <f>IF(Table1[[#This Row],[Cal Type]]&lt;&gt;"ACCREDITED 17025 WITH UNCERTAINTIES",0,"")</f>
        <v>0</v>
      </c>
      <c r="X977" s="1" t="str">
        <f>IF(Table1[[#This Row],[DUT Read]]="","N/A",Table1[[#This Row],[Std Error]]+Table1[[#This Row],[DUT Read]]+Table1[[#This Row],[DUT Ucty]])</f>
        <v>N/A</v>
      </c>
      <c r="Y977" s="1" t="str">
        <f>IF(Table1[[#This Row],[Std Read]]="","N/A",Table1[[#This Row],[Std Read]]+Table1[[#This Row],[Std Ucty]])</f>
        <v>N/A</v>
      </c>
      <c r="Z9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7" s="1" t="str">
        <f>IF(Table1[[#This Row],[Spec Type]]="","N/A",Table1[[#This Row],[Spec Type]])</f>
        <v>±</v>
      </c>
      <c r="AC977" s="1" t="str">
        <f>IF(Table1[[#This Row],[Spec Type2]]="N/A","N/A",IF(AND(Table1[[#This Row],[DUT Adj Read]]&gt;=Table1[[#This Row],[Low Tol]],Table1[[#This Row],[DUT Adj Read]]&lt;=Table1[[#This Row],[High Tol]]),"Pass","Fail"))</f>
        <v>Fail</v>
      </c>
      <c r="AD977" s="1" t="str">
        <f>IF(AND(Table1[[#This Row],[Spec Type2]]="N/A",Table1[[#This Row],[DUT Adj Read]]="N/A",Table1[[#This Row],[Std Adj Read]]="N/A"),"N/A",IF(Table1[[#This Row],[DUT Adj Read]]="N/A",IF(Table1[[#This Row],[Std Adj Read]]&gt;Table1[[#This Row],[Low Tol]],"Pass","Fail"),IF(Table1[[#This Row],[DUT Adj Read]]&gt;Table1[[#This Row],[Low Tol]],"Pass","Fail")))</f>
        <v>Pass</v>
      </c>
      <c r="AE977" s="1" t="str">
        <f>IF(AND(Table1[[#This Row],[Spec Type2]]="N/A",Table1[[#This Row],[DUT Adj Read]]="N/A",Table1[[#This Row],[Std Adj Read]]="N/A"),"N/A",IF(Table1[[#This Row],[DUT Adj Read]]="N/A",IF(Table1[[#This Row],[Std Adj Read]]&lt;Table1[[#This Row],[High Tol]],"Pass","Fail"),IF(Table1[[#This Row],[DUT Adj Read]]&lt;Table1[[#This Row],[High Tol]],"Pass","Fail")))</f>
        <v>Fail</v>
      </c>
      <c r="AF977" s="1" t="str">
        <f>IF(AND(Table1[[#This Row],[Spec Type2]]="N/A",Table1[[#This Row],[DUT Adj Read]]="N/A",Table1[[#This Row],[Std Adj Read]]="N/A"),"N/A",IF(Table1[[#This Row],[DUT Adj Read]]="N/A",IF(Table1[[#This Row],[Std Adj Read]]&gt;=Table1[[#This Row],[Low Tol]],"Pass","Fail"),IF(Table1[[#This Row],[DUT Adj Read]]&gt;=Table1[[#This Row],[Low Tol]],"Pass","Fail")))</f>
        <v>Pass</v>
      </c>
      <c r="AG977" s="1" t="str">
        <f>IF(AND(Table1[[#This Row],[Spec Type2]]="N/A",Table1[[#This Row],[DUT Adj Read]]="N/A",Table1[[#This Row],[Std Adj Read]]="N/A"),"N/A",IF(Table1[[#This Row],[DUT Adj Read]]="N/A",IF(Table1[[#This Row],[Std Adj Read]]&lt;=Table1[[#This Row],[High Tol]],"Pass","Fail"),IF(Table1[[#This Row],[DUT Adj Read]]&lt;=Table1[[#This Row],[High Tol]],"Pass","Fail")))</f>
        <v>Fail</v>
      </c>
      <c r="AH9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7" s="1" t="b">
        <v>0</v>
      </c>
      <c r="AN977" s="1" t="b">
        <v>0</v>
      </c>
      <c r="AO977" s="1" t="b">
        <v>0</v>
      </c>
    </row>
    <row r="978" spans="1:41" x14ac:dyDescent="0.25">
      <c r="A978" s="10"/>
      <c r="B978" s="10"/>
      <c r="C978" s="10"/>
      <c r="D978" s="10"/>
      <c r="E978" s="10"/>
      <c r="F978" s="10"/>
      <c r="G978" s="10"/>
      <c r="H978" s="10"/>
      <c r="I978" s="1" t="str">
        <f t="shared" si="45"/>
        <v/>
      </c>
      <c r="J978" s="1" t="s">
        <v>35</v>
      </c>
      <c r="K978" s="1" t="str">
        <f t="shared" si="46"/>
        <v/>
      </c>
      <c r="L978" s="1" t="str">
        <f t="shared" si="47"/>
        <v/>
      </c>
      <c r="M978" s="1">
        <f>IF(OR(Table1[[#This Row],[Std Nom]]="",Table1[[#This Row],[Std Read]]=""),0,Table1[[#This Row],[Std Nom]]-Table1[[#This Row],[Std Read]])</f>
        <v>0</v>
      </c>
      <c r="N978" s="1">
        <f>IF(Calculations!$F$5="ACCREDITED 17025 WITH UNCERTAINTIES",$N$10,0)</f>
        <v>0</v>
      </c>
      <c r="O978" s="1" t="str">
        <f>IFERROR(Table1[[#This Row],[Std Nom]]-(_xlfn.XLOOKUP(Table1[[#This Row],[Manufacturer]]&amp;" "&amp;Table1[[#This Row],[Model]],Table13[MFR &amp; MDL],Table13[Tolerance % CW ],"")/100*Table1[[#This Row],[Std Nom]]),"")</f>
        <v/>
      </c>
      <c r="P978" s="1" t="str">
        <f>IFERROR(Table1[[#This Row],[Std Nom]]+(_xlfn.XLOOKUP(Table1[[#This Row],[Manufacturer]]&amp;" "&amp;Table1[[#This Row],[Model]],Table13[MFR &amp; MDL],Table13[Tolerance % CW ],"")/100*Table1[[#This Row],[Std Nom]]),"")</f>
        <v/>
      </c>
      <c r="Q978" s="1" t="e">
        <f>Table1[[#This Row],[High Tol]]-Table1[[#This Row],[Low Tol]]</f>
        <v>#VALUE!</v>
      </c>
      <c r="R978" s="1">
        <f>2*Table1[[#This Row],[Std Error]]</f>
        <v>0</v>
      </c>
      <c r="S978" s="1" t="str">
        <f>IF(Table1[[#This Row],[High Tol]]="","N/A",IFERROR(ABS(Table1[[#This Row],[Tol Span]]/Table1[[#This Row],[Error Span]]),"N/A"))</f>
        <v>N/A</v>
      </c>
      <c r="T978" s="1" t="str">
        <f>IF(OR(Table1[[#This Row],[Low Tol]]="",Table1[[#This Row],[High Tol]]=""),"Needs Analysis",IF(Table1[[#This Row],[Ratio]]&gt;=4,"Not Significant",IF(Table1[[#This Row],[Ratio]]&gt;=2,"Semi-Significant","Significant")))</f>
        <v>Needs Analysis</v>
      </c>
      <c r="W978" s="1">
        <f>IF(Table1[[#This Row],[Cal Type]]&lt;&gt;"ACCREDITED 17025 WITH UNCERTAINTIES",0,"")</f>
        <v>0</v>
      </c>
      <c r="X978" s="1" t="str">
        <f>IF(Table1[[#This Row],[DUT Read]]="","N/A",Table1[[#This Row],[Std Error]]+Table1[[#This Row],[DUT Read]]+Table1[[#This Row],[DUT Ucty]])</f>
        <v>N/A</v>
      </c>
      <c r="Y978" s="1" t="str">
        <f>IF(Table1[[#This Row],[Std Read]]="","N/A",Table1[[#This Row],[Std Read]]+Table1[[#This Row],[Std Ucty]])</f>
        <v>N/A</v>
      </c>
      <c r="Z9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8" s="1" t="str">
        <f>IF(Table1[[#This Row],[Spec Type]]="","N/A",Table1[[#This Row],[Spec Type]])</f>
        <v>±</v>
      </c>
      <c r="AC978" s="1" t="str">
        <f>IF(Table1[[#This Row],[Spec Type2]]="N/A","N/A",IF(AND(Table1[[#This Row],[DUT Adj Read]]&gt;=Table1[[#This Row],[Low Tol]],Table1[[#This Row],[DUT Adj Read]]&lt;=Table1[[#This Row],[High Tol]]),"Pass","Fail"))</f>
        <v>Fail</v>
      </c>
      <c r="AD978" s="1" t="str">
        <f>IF(AND(Table1[[#This Row],[Spec Type2]]="N/A",Table1[[#This Row],[DUT Adj Read]]="N/A",Table1[[#This Row],[Std Adj Read]]="N/A"),"N/A",IF(Table1[[#This Row],[DUT Adj Read]]="N/A",IF(Table1[[#This Row],[Std Adj Read]]&gt;Table1[[#This Row],[Low Tol]],"Pass","Fail"),IF(Table1[[#This Row],[DUT Adj Read]]&gt;Table1[[#This Row],[Low Tol]],"Pass","Fail")))</f>
        <v>Pass</v>
      </c>
      <c r="AE978" s="1" t="str">
        <f>IF(AND(Table1[[#This Row],[Spec Type2]]="N/A",Table1[[#This Row],[DUT Adj Read]]="N/A",Table1[[#This Row],[Std Adj Read]]="N/A"),"N/A",IF(Table1[[#This Row],[DUT Adj Read]]="N/A",IF(Table1[[#This Row],[Std Adj Read]]&lt;Table1[[#This Row],[High Tol]],"Pass","Fail"),IF(Table1[[#This Row],[DUT Adj Read]]&lt;Table1[[#This Row],[High Tol]],"Pass","Fail")))</f>
        <v>Fail</v>
      </c>
      <c r="AF978" s="1" t="str">
        <f>IF(AND(Table1[[#This Row],[Spec Type2]]="N/A",Table1[[#This Row],[DUT Adj Read]]="N/A",Table1[[#This Row],[Std Adj Read]]="N/A"),"N/A",IF(Table1[[#This Row],[DUT Adj Read]]="N/A",IF(Table1[[#This Row],[Std Adj Read]]&gt;=Table1[[#This Row],[Low Tol]],"Pass","Fail"),IF(Table1[[#This Row],[DUT Adj Read]]&gt;=Table1[[#This Row],[Low Tol]],"Pass","Fail")))</f>
        <v>Pass</v>
      </c>
      <c r="AG978" s="1" t="str">
        <f>IF(AND(Table1[[#This Row],[Spec Type2]]="N/A",Table1[[#This Row],[DUT Adj Read]]="N/A",Table1[[#This Row],[Std Adj Read]]="N/A"),"N/A",IF(Table1[[#This Row],[DUT Adj Read]]="N/A",IF(Table1[[#This Row],[Std Adj Read]]&lt;=Table1[[#This Row],[High Tol]],"Pass","Fail"),IF(Table1[[#This Row],[DUT Adj Read]]&lt;=Table1[[#This Row],[High Tol]],"Pass","Fail")))</f>
        <v>Fail</v>
      </c>
      <c r="AH9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8" s="1" t="b">
        <v>0</v>
      </c>
      <c r="AN978" s="1" t="b">
        <v>0</v>
      </c>
      <c r="AO978" s="1" t="b">
        <v>0</v>
      </c>
    </row>
    <row r="979" spans="1:41" x14ac:dyDescent="0.25">
      <c r="A979" s="10"/>
      <c r="B979" s="10"/>
      <c r="C979" s="10"/>
      <c r="D979" s="10"/>
      <c r="E979" s="10"/>
      <c r="F979" s="10"/>
      <c r="G979" s="10"/>
      <c r="H979" s="10"/>
      <c r="I979" s="1" t="str">
        <f t="shared" si="45"/>
        <v/>
      </c>
      <c r="J979" s="1" t="s">
        <v>35</v>
      </c>
      <c r="K979" s="1" t="str">
        <f t="shared" si="46"/>
        <v/>
      </c>
      <c r="L979" s="1" t="str">
        <f t="shared" si="47"/>
        <v/>
      </c>
      <c r="M979" s="1">
        <f>IF(OR(Table1[[#This Row],[Std Nom]]="",Table1[[#This Row],[Std Read]]=""),0,Table1[[#This Row],[Std Nom]]-Table1[[#This Row],[Std Read]])</f>
        <v>0</v>
      </c>
      <c r="N979" s="1">
        <f>IF(Calculations!$F$5="ACCREDITED 17025 WITH UNCERTAINTIES",$N$10,0)</f>
        <v>0</v>
      </c>
      <c r="O979" s="1" t="str">
        <f>IFERROR(Table1[[#This Row],[Std Nom]]-(_xlfn.XLOOKUP(Table1[[#This Row],[Manufacturer]]&amp;" "&amp;Table1[[#This Row],[Model]],Table13[MFR &amp; MDL],Table13[Tolerance % CW ],"")/100*Table1[[#This Row],[Std Nom]]),"")</f>
        <v/>
      </c>
      <c r="P979" s="1" t="str">
        <f>IFERROR(Table1[[#This Row],[Std Nom]]+(_xlfn.XLOOKUP(Table1[[#This Row],[Manufacturer]]&amp;" "&amp;Table1[[#This Row],[Model]],Table13[MFR &amp; MDL],Table13[Tolerance % CW ],"")/100*Table1[[#This Row],[Std Nom]]),"")</f>
        <v/>
      </c>
      <c r="Q979" s="1" t="e">
        <f>Table1[[#This Row],[High Tol]]-Table1[[#This Row],[Low Tol]]</f>
        <v>#VALUE!</v>
      </c>
      <c r="R979" s="1">
        <f>2*Table1[[#This Row],[Std Error]]</f>
        <v>0</v>
      </c>
      <c r="S979" s="1" t="str">
        <f>IF(Table1[[#This Row],[High Tol]]="","N/A",IFERROR(ABS(Table1[[#This Row],[Tol Span]]/Table1[[#This Row],[Error Span]]),"N/A"))</f>
        <v>N/A</v>
      </c>
      <c r="T979" s="1" t="str">
        <f>IF(OR(Table1[[#This Row],[Low Tol]]="",Table1[[#This Row],[High Tol]]=""),"Needs Analysis",IF(Table1[[#This Row],[Ratio]]&gt;=4,"Not Significant",IF(Table1[[#This Row],[Ratio]]&gt;=2,"Semi-Significant","Significant")))</f>
        <v>Needs Analysis</v>
      </c>
      <c r="W979" s="1">
        <f>IF(Table1[[#This Row],[Cal Type]]&lt;&gt;"ACCREDITED 17025 WITH UNCERTAINTIES",0,"")</f>
        <v>0</v>
      </c>
      <c r="X979" s="1" t="str">
        <f>IF(Table1[[#This Row],[DUT Read]]="","N/A",Table1[[#This Row],[Std Error]]+Table1[[#This Row],[DUT Read]]+Table1[[#This Row],[DUT Ucty]])</f>
        <v>N/A</v>
      </c>
      <c r="Y979" s="1" t="str">
        <f>IF(Table1[[#This Row],[Std Read]]="","N/A",Table1[[#This Row],[Std Read]]+Table1[[#This Row],[Std Ucty]])</f>
        <v>N/A</v>
      </c>
      <c r="Z9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9" s="1" t="str">
        <f>IF(Table1[[#This Row],[Spec Type]]="","N/A",Table1[[#This Row],[Spec Type]])</f>
        <v>±</v>
      </c>
      <c r="AC979" s="1" t="str">
        <f>IF(Table1[[#This Row],[Spec Type2]]="N/A","N/A",IF(AND(Table1[[#This Row],[DUT Adj Read]]&gt;=Table1[[#This Row],[Low Tol]],Table1[[#This Row],[DUT Adj Read]]&lt;=Table1[[#This Row],[High Tol]]),"Pass","Fail"))</f>
        <v>Fail</v>
      </c>
      <c r="AD979" s="1" t="str">
        <f>IF(AND(Table1[[#This Row],[Spec Type2]]="N/A",Table1[[#This Row],[DUT Adj Read]]="N/A",Table1[[#This Row],[Std Adj Read]]="N/A"),"N/A",IF(Table1[[#This Row],[DUT Adj Read]]="N/A",IF(Table1[[#This Row],[Std Adj Read]]&gt;Table1[[#This Row],[Low Tol]],"Pass","Fail"),IF(Table1[[#This Row],[DUT Adj Read]]&gt;Table1[[#This Row],[Low Tol]],"Pass","Fail")))</f>
        <v>Pass</v>
      </c>
      <c r="AE979" s="1" t="str">
        <f>IF(AND(Table1[[#This Row],[Spec Type2]]="N/A",Table1[[#This Row],[DUT Adj Read]]="N/A",Table1[[#This Row],[Std Adj Read]]="N/A"),"N/A",IF(Table1[[#This Row],[DUT Adj Read]]="N/A",IF(Table1[[#This Row],[Std Adj Read]]&lt;Table1[[#This Row],[High Tol]],"Pass","Fail"),IF(Table1[[#This Row],[DUT Adj Read]]&lt;Table1[[#This Row],[High Tol]],"Pass","Fail")))</f>
        <v>Fail</v>
      </c>
      <c r="AF979" s="1" t="str">
        <f>IF(AND(Table1[[#This Row],[Spec Type2]]="N/A",Table1[[#This Row],[DUT Adj Read]]="N/A",Table1[[#This Row],[Std Adj Read]]="N/A"),"N/A",IF(Table1[[#This Row],[DUT Adj Read]]="N/A",IF(Table1[[#This Row],[Std Adj Read]]&gt;=Table1[[#This Row],[Low Tol]],"Pass","Fail"),IF(Table1[[#This Row],[DUT Adj Read]]&gt;=Table1[[#This Row],[Low Tol]],"Pass","Fail")))</f>
        <v>Pass</v>
      </c>
      <c r="AG979" s="1" t="str">
        <f>IF(AND(Table1[[#This Row],[Spec Type2]]="N/A",Table1[[#This Row],[DUT Adj Read]]="N/A",Table1[[#This Row],[Std Adj Read]]="N/A"),"N/A",IF(Table1[[#This Row],[DUT Adj Read]]="N/A",IF(Table1[[#This Row],[Std Adj Read]]&lt;=Table1[[#This Row],[High Tol]],"Pass","Fail"),IF(Table1[[#This Row],[DUT Adj Read]]&lt;=Table1[[#This Row],[High Tol]],"Pass","Fail")))</f>
        <v>Fail</v>
      </c>
      <c r="AH9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9" s="1" t="b">
        <v>0</v>
      </c>
      <c r="AN979" s="1" t="b">
        <v>0</v>
      </c>
      <c r="AO979" s="1" t="b">
        <v>0</v>
      </c>
    </row>
    <row r="980" spans="1:41" x14ac:dyDescent="0.25">
      <c r="A980" s="10"/>
      <c r="B980" s="10"/>
      <c r="C980" s="10"/>
      <c r="D980" s="10"/>
      <c r="E980" s="10"/>
      <c r="F980" s="10"/>
      <c r="G980" s="10"/>
      <c r="H980" s="10"/>
      <c r="I980" s="1" t="str">
        <f t="shared" si="45"/>
        <v/>
      </c>
      <c r="J980" s="1" t="s">
        <v>35</v>
      </c>
      <c r="K980" s="1" t="str">
        <f t="shared" si="46"/>
        <v/>
      </c>
      <c r="L980" s="1" t="str">
        <f t="shared" si="47"/>
        <v/>
      </c>
      <c r="M980" s="1">
        <f>IF(OR(Table1[[#This Row],[Std Nom]]="",Table1[[#This Row],[Std Read]]=""),0,Table1[[#This Row],[Std Nom]]-Table1[[#This Row],[Std Read]])</f>
        <v>0</v>
      </c>
      <c r="N980" s="1">
        <f>IF(Calculations!$F$5="ACCREDITED 17025 WITH UNCERTAINTIES",$N$10,0)</f>
        <v>0</v>
      </c>
      <c r="O980" s="1" t="str">
        <f>IFERROR(Table1[[#This Row],[Std Nom]]-(_xlfn.XLOOKUP(Table1[[#This Row],[Manufacturer]]&amp;" "&amp;Table1[[#This Row],[Model]],Table13[MFR &amp; MDL],Table13[Tolerance % CW ],"")/100*Table1[[#This Row],[Std Nom]]),"")</f>
        <v/>
      </c>
      <c r="P980" s="1" t="str">
        <f>IFERROR(Table1[[#This Row],[Std Nom]]+(_xlfn.XLOOKUP(Table1[[#This Row],[Manufacturer]]&amp;" "&amp;Table1[[#This Row],[Model]],Table13[MFR &amp; MDL],Table13[Tolerance % CW ],"")/100*Table1[[#This Row],[Std Nom]]),"")</f>
        <v/>
      </c>
      <c r="Q980" s="1" t="e">
        <f>Table1[[#This Row],[High Tol]]-Table1[[#This Row],[Low Tol]]</f>
        <v>#VALUE!</v>
      </c>
      <c r="R980" s="1">
        <f>2*Table1[[#This Row],[Std Error]]</f>
        <v>0</v>
      </c>
      <c r="S980" s="1" t="str">
        <f>IF(Table1[[#This Row],[High Tol]]="","N/A",IFERROR(ABS(Table1[[#This Row],[Tol Span]]/Table1[[#This Row],[Error Span]]),"N/A"))</f>
        <v>N/A</v>
      </c>
      <c r="T980" s="1" t="str">
        <f>IF(OR(Table1[[#This Row],[Low Tol]]="",Table1[[#This Row],[High Tol]]=""),"Needs Analysis",IF(Table1[[#This Row],[Ratio]]&gt;=4,"Not Significant",IF(Table1[[#This Row],[Ratio]]&gt;=2,"Semi-Significant","Significant")))</f>
        <v>Needs Analysis</v>
      </c>
      <c r="W980" s="1">
        <f>IF(Table1[[#This Row],[Cal Type]]&lt;&gt;"ACCREDITED 17025 WITH UNCERTAINTIES",0,"")</f>
        <v>0</v>
      </c>
      <c r="X980" s="1" t="str">
        <f>IF(Table1[[#This Row],[DUT Read]]="","N/A",Table1[[#This Row],[Std Error]]+Table1[[#This Row],[DUT Read]]+Table1[[#This Row],[DUT Ucty]])</f>
        <v>N/A</v>
      </c>
      <c r="Y980" s="1" t="str">
        <f>IF(Table1[[#This Row],[Std Read]]="","N/A",Table1[[#This Row],[Std Read]]+Table1[[#This Row],[Std Ucty]])</f>
        <v>N/A</v>
      </c>
      <c r="Z9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0" s="1" t="str">
        <f>IF(Table1[[#This Row],[Spec Type]]="","N/A",Table1[[#This Row],[Spec Type]])</f>
        <v>±</v>
      </c>
      <c r="AC980" s="1" t="str">
        <f>IF(Table1[[#This Row],[Spec Type2]]="N/A","N/A",IF(AND(Table1[[#This Row],[DUT Adj Read]]&gt;=Table1[[#This Row],[Low Tol]],Table1[[#This Row],[DUT Adj Read]]&lt;=Table1[[#This Row],[High Tol]]),"Pass","Fail"))</f>
        <v>Fail</v>
      </c>
      <c r="AD980" s="1" t="str">
        <f>IF(AND(Table1[[#This Row],[Spec Type2]]="N/A",Table1[[#This Row],[DUT Adj Read]]="N/A",Table1[[#This Row],[Std Adj Read]]="N/A"),"N/A",IF(Table1[[#This Row],[DUT Adj Read]]="N/A",IF(Table1[[#This Row],[Std Adj Read]]&gt;Table1[[#This Row],[Low Tol]],"Pass","Fail"),IF(Table1[[#This Row],[DUT Adj Read]]&gt;Table1[[#This Row],[Low Tol]],"Pass","Fail")))</f>
        <v>Pass</v>
      </c>
      <c r="AE980" s="1" t="str">
        <f>IF(AND(Table1[[#This Row],[Spec Type2]]="N/A",Table1[[#This Row],[DUT Adj Read]]="N/A",Table1[[#This Row],[Std Adj Read]]="N/A"),"N/A",IF(Table1[[#This Row],[DUT Adj Read]]="N/A",IF(Table1[[#This Row],[Std Adj Read]]&lt;Table1[[#This Row],[High Tol]],"Pass","Fail"),IF(Table1[[#This Row],[DUT Adj Read]]&lt;Table1[[#This Row],[High Tol]],"Pass","Fail")))</f>
        <v>Fail</v>
      </c>
      <c r="AF980" s="1" t="str">
        <f>IF(AND(Table1[[#This Row],[Spec Type2]]="N/A",Table1[[#This Row],[DUT Adj Read]]="N/A",Table1[[#This Row],[Std Adj Read]]="N/A"),"N/A",IF(Table1[[#This Row],[DUT Adj Read]]="N/A",IF(Table1[[#This Row],[Std Adj Read]]&gt;=Table1[[#This Row],[Low Tol]],"Pass","Fail"),IF(Table1[[#This Row],[DUT Adj Read]]&gt;=Table1[[#This Row],[Low Tol]],"Pass","Fail")))</f>
        <v>Pass</v>
      </c>
      <c r="AG980" s="1" t="str">
        <f>IF(AND(Table1[[#This Row],[Spec Type2]]="N/A",Table1[[#This Row],[DUT Adj Read]]="N/A",Table1[[#This Row],[Std Adj Read]]="N/A"),"N/A",IF(Table1[[#This Row],[DUT Adj Read]]="N/A",IF(Table1[[#This Row],[Std Adj Read]]&lt;=Table1[[#This Row],[High Tol]],"Pass","Fail"),IF(Table1[[#This Row],[DUT Adj Read]]&lt;=Table1[[#This Row],[High Tol]],"Pass","Fail")))</f>
        <v>Fail</v>
      </c>
      <c r="AH9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0" s="1" t="b">
        <v>0</v>
      </c>
      <c r="AN980" s="1" t="b">
        <v>0</v>
      </c>
      <c r="AO980" s="1" t="b">
        <v>0</v>
      </c>
    </row>
    <row r="981" spans="1:41" x14ac:dyDescent="0.25">
      <c r="A981" s="10"/>
      <c r="B981" s="10"/>
      <c r="C981" s="10"/>
      <c r="D981" s="10"/>
      <c r="E981" s="10"/>
      <c r="F981" s="10"/>
      <c r="G981" s="10"/>
      <c r="H981" s="10"/>
      <c r="I981" s="1" t="str">
        <f t="shared" si="45"/>
        <v/>
      </c>
      <c r="J981" s="1" t="s">
        <v>35</v>
      </c>
      <c r="K981" s="1" t="str">
        <f t="shared" si="46"/>
        <v/>
      </c>
      <c r="L981" s="1" t="str">
        <f t="shared" si="47"/>
        <v/>
      </c>
      <c r="M981" s="1">
        <f>IF(OR(Table1[[#This Row],[Std Nom]]="",Table1[[#This Row],[Std Read]]=""),0,Table1[[#This Row],[Std Nom]]-Table1[[#This Row],[Std Read]])</f>
        <v>0</v>
      </c>
      <c r="N981" s="1">
        <f>IF(Calculations!$F$5="ACCREDITED 17025 WITH UNCERTAINTIES",$N$10,0)</f>
        <v>0</v>
      </c>
      <c r="O981" s="1" t="str">
        <f>IFERROR(Table1[[#This Row],[Std Nom]]-(_xlfn.XLOOKUP(Table1[[#This Row],[Manufacturer]]&amp;" "&amp;Table1[[#This Row],[Model]],Table13[MFR &amp; MDL],Table13[Tolerance % CW ],"")/100*Table1[[#This Row],[Std Nom]]),"")</f>
        <v/>
      </c>
      <c r="P981" s="1" t="str">
        <f>IFERROR(Table1[[#This Row],[Std Nom]]+(_xlfn.XLOOKUP(Table1[[#This Row],[Manufacturer]]&amp;" "&amp;Table1[[#This Row],[Model]],Table13[MFR &amp; MDL],Table13[Tolerance % CW ],"")/100*Table1[[#This Row],[Std Nom]]),"")</f>
        <v/>
      </c>
      <c r="Q981" s="1" t="e">
        <f>Table1[[#This Row],[High Tol]]-Table1[[#This Row],[Low Tol]]</f>
        <v>#VALUE!</v>
      </c>
      <c r="R981" s="1">
        <f>2*Table1[[#This Row],[Std Error]]</f>
        <v>0</v>
      </c>
      <c r="S981" s="1" t="str">
        <f>IF(Table1[[#This Row],[High Tol]]="","N/A",IFERROR(ABS(Table1[[#This Row],[Tol Span]]/Table1[[#This Row],[Error Span]]),"N/A"))</f>
        <v>N/A</v>
      </c>
      <c r="T981" s="1" t="str">
        <f>IF(OR(Table1[[#This Row],[Low Tol]]="",Table1[[#This Row],[High Tol]]=""),"Needs Analysis",IF(Table1[[#This Row],[Ratio]]&gt;=4,"Not Significant",IF(Table1[[#This Row],[Ratio]]&gt;=2,"Semi-Significant","Significant")))</f>
        <v>Needs Analysis</v>
      </c>
      <c r="W981" s="1">
        <f>IF(Table1[[#This Row],[Cal Type]]&lt;&gt;"ACCREDITED 17025 WITH UNCERTAINTIES",0,"")</f>
        <v>0</v>
      </c>
      <c r="X981" s="1" t="str">
        <f>IF(Table1[[#This Row],[DUT Read]]="","N/A",Table1[[#This Row],[Std Error]]+Table1[[#This Row],[DUT Read]]+Table1[[#This Row],[DUT Ucty]])</f>
        <v>N/A</v>
      </c>
      <c r="Y981" s="1" t="str">
        <f>IF(Table1[[#This Row],[Std Read]]="","N/A",Table1[[#This Row],[Std Read]]+Table1[[#This Row],[Std Ucty]])</f>
        <v>N/A</v>
      </c>
      <c r="Z9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1" s="1" t="str">
        <f>IF(Table1[[#This Row],[Spec Type]]="","N/A",Table1[[#This Row],[Spec Type]])</f>
        <v>±</v>
      </c>
      <c r="AC981" s="1" t="str">
        <f>IF(Table1[[#This Row],[Spec Type2]]="N/A","N/A",IF(AND(Table1[[#This Row],[DUT Adj Read]]&gt;=Table1[[#This Row],[Low Tol]],Table1[[#This Row],[DUT Adj Read]]&lt;=Table1[[#This Row],[High Tol]]),"Pass","Fail"))</f>
        <v>Fail</v>
      </c>
      <c r="AD981" s="1" t="str">
        <f>IF(AND(Table1[[#This Row],[Spec Type2]]="N/A",Table1[[#This Row],[DUT Adj Read]]="N/A",Table1[[#This Row],[Std Adj Read]]="N/A"),"N/A",IF(Table1[[#This Row],[DUT Adj Read]]="N/A",IF(Table1[[#This Row],[Std Adj Read]]&gt;Table1[[#This Row],[Low Tol]],"Pass","Fail"),IF(Table1[[#This Row],[DUT Adj Read]]&gt;Table1[[#This Row],[Low Tol]],"Pass","Fail")))</f>
        <v>Pass</v>
      </c>
      <c r="AE981" s="1" t="str">
        <f>IF(AND(Table1[[#This Row],[Spec Type2]]="N/A",Table1[[#This Row],[DUT Adj Read]]="N/A",Table1[[#This Row],[Std Adj Read]]="N/A"),"N/A",IF(Table1[[#This Row],[DUT Adj Read]]="N/A",IF(Table1[[#This Row],[Std Adj Read]]&lt;Table1[[#This Row],[High Tol]],"Pass","Fail"),IF(Table1[[#This Row],[DUT Adj Read]]&lt;Table1[[#This Row],[High Tol]],"Pass","Fail")))</f>
        <v>Fail</v>
      </c>
      <c r="AF981" s="1" t="str">
        <f>IF(AND(Table1[[#This Row],[Spec Type2]]="N/A",Table1[[#This Row],[DUT Adj Read]]="N/A",Table1[[#This Row],[Std Adj Read]]="N/A"),"N/A",IF(Table1[[#This Row],[DUT Adj Read]]="N/A",IF(Table1[[#This Row],[Std Adj Read]]&gt;=Table1[[#This Row],[Low Tol]],"Pass","Fail"),IF(Table1[[#This Row],[DUT Adj Read]]&gt;=Table1[[#This Row],[Low Tol]],"Pass","Fail")))</f>
        <v>Pass</v>
      </c>
      <c r="AG981" s="1" t="str">
        <f>IF(AND(Table1[[#This Row],[Spec Type2]]="N/A",Table1[[#This Row],[DUT Adj Read]]="N/A",Table1[[#This Row],[Std Adj Read]]="N/A"),"N/A",IF(Table1[[#This Row],[DUT Adj Read]]="N/A",IF(Table1[[#This Row],[Std Adj Read]]&lt;=Table1[[#This Row],[High Tol]],"Pass","Fail"),IF(Table1[[#This Row],[DUT Adj Read]]&lt;=Table1[[#This Row],[High Tol]],"Pass","Fail")))</f>
        <v>Fail</v>
      </c>
      <c r="AH9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1" s="1" t="b">
        <v>0</v>
      </c>
      <c r="AN981" s="1" t="b">
        <v>0</v>
      </c>
      <c r="AO981" s="1" t="b">
        <v>0</v>
      </c>
    </row>
    <row r="982" spans="1:41" x14ac:dyDescent="0.25">
      <c r="A982" s="10"/>
      <c r="B982" s="10"/>
      <c r="C982" s="10"/>
      <c r="D982" s="10"/>
      <c r="E982" s="10"/>
      <c r="F982" s="10"/>
      <c r="G982" s="10"/>
      <c r="H982" s="10"/>
      <c r="I982" s="1" t="str">
        <f t="shared" si="45"/>
        <v/>
      </c>
      <c r="J982" s="1" t="s">
        <v>35</v>
      </c>
      <c r="K982" s="1" t="str">
        <f t="shared" si="46"/>
        <v/>
      </c>
      <c r="L982" s="1" t="str">
        <f t="shared" si="47"/>
        <v/>
      </c>
      <c r="M982" s="1">
        <f>IF(OR(Table1[[#This Row],[Std Nom]]="",Table1[[#This Row],[Std Read]]=""),0,Table1[[#This Row],[Std Nom]]-Table1[[#This Row],[Std Read]])</f>
        <v>0</v>
      </c>
      <c r="N982" s="1">
        <f>IF(Calculations!$F$5="ACCREDITED 17025 WITH UNCERTAINTIES",$N$10,0)</f>
        <v>0</v>
      </c>
      <c r="O982" s="1" t="str">
        <f>IFERROR(Table1[[#This Row],[Std Nom]]-(_xlfn.XLOOKUP(Table1[[#This Row],[Manufacturer]]&amp;" "&amp;Table1[[#This Row],[Model]],Table13[MFR &amp; MDL],Table13[Tolerance % CW ],"")/100*Table1[[#This Row],[Std Nom]]),"")</f>
        <v/>
      </c>
      <c r="P982" s="1" t="str">
        <f>IFERROR(Table1[[#This Row],[Std Nom]]+(_xlfn.XLOOKUP(Table1[[#This Row],[Manufacturer]]&amp;" "&amp;Table1[[#This Row],[Model]],Table13[MFR &amp; MDL],Table13[Tolerance % CW ],"")/100*Table1[[#This Row],[Std Nom]]),"")</f>
        <v/>
      </c>
      <c r="Q982" s="1" t="e">
        <f>Table1[[#This Row],[High Tol]]-Table1[[#This Row],[Low Tol]]</f>
        <v>#VALUE!</v>
      </c>
      <c r="R982" s="1">
        <f>2*Table1[[#This Row],[Std Error]]</f>
        <v>0</v>
      </c>
      <c r="S982" s="1" t="str">
        <f>IF(Table1[[#This Row],[High Tol]]="","N/A",IFERROR(ABS(Table1[[#This Row],[Tol Span]]/Table1[[#This Row],[Error Span]]),"N/A"))</f>
        <v>N/A</v>
      </c>
      <c r="T982" s="1" t="str">
        <f>IF(OR(Table1[[#This Row],[Low Tol]]="",Table1[[#This Row],[High Tol]]=""),"Needs Analysis",IF(Table1[[#This Row],[Ratio]]&gt;=4,"Not Significant",IF(Table1[[#This Row],[Ratio]]&gt;=2,"Semi-Significant","Significant")))</f>
        <v>Needs Analysis</v>
      </c>
      <c r="W982" s="1">
        <f>IF(Table1[[#This Row],[Cal Type]]&lt;&gt;"ACCREDITED 17025 WITH UNCERTAINTIES",0,"")</f>
        <v>0</v>
      </c>
      <c r="X982" s="1" t="str">
        <f>IF(Table1[[#This Row],[DUT Read]]="","N/A",Table1[[#This Row],[Std Error]]+Table1[[#This Row],[DUT Read]]+Table1[[#This Row],[DUT Ucty]])</f>
        <v>N/A</v>
      </c>
      <c r="Y982" s="1" t="str">
        <f>IF(Table1[[#This Row],[Std Read]]="","N/A",Table1[[#This Row],[Std Read]]+Table1[[#This Row],[Std Ucty]])</f>
        <v>N/A</v>
      </c>
      <c r="Z9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2" s="1" t="str">
        <f>IF(Table1[[#This Row],[Spec Type]]="","N/A",Table1[[#This Row],[Spec Type]])</f>
        <v>±</v>
      </c>
      <c r="AC982" s="1" t="str">
        <f>IF(Table1[[#This Row],[Spec Type2]]="N/A","N/A",IF(AND(Table1[[#This Row],[DUT Adj Read]]&gt;=Table1[[#This Row],[Low Tol]],Table1[[#This Row],[DUT Adj Read]]&lt;=Table1[[#This Row],[High Tol]]),"Pass","Fail"))</f>
        <v>Fail</v>
      </c>
      <c r="AD982" s="1" t="str">
        <f>IF(AND(Table1[[#This Row],[Spec Type2]]="N/A",Table1[[#This Row],[DUT Adj Read]]="N/A",Table1[[#This Row],[Std Adj Read]]="N/A"),"N/A",IF(Table1[[#This Row],[DUT Adj Read]]="N/A",IF(Table1[[#This Row],[Std Adj Read]]&gt;Table1[[#This Row],[Low Tol]],"Pass","Fail"),IF(Table1[[#This Row],[DUT Adj Read]]&gt;Table1[[#This Row],[Low Tol]],"Pass","Fail")))</f>
        <v>Pass</v>
      </c>
      <c r="AE982" s="1" t="str">
        <f>IF(AND(Table1[[#This Row],[Spec Type2]]="N/A",Table1[[#This Row],[DUT Adj Read]]="N/A",Table1[[#This Row],[Std Adj Read]]="N/A"),"N/A",IF(Table1[[#This Row],[DUT Adj Read]]="N/A",IF(Table1[[#This Row],[Std Adj Read]]&lt;Table1[[#This Row],[High Tol]],"Pass","Fail"),IF(Table1[[#This Row],[DUT Adj Read]]&lt;Table1[[#This Row],[High Tol]],"Pass","Fail")))</f>
        <v>Fail</v>
      </c>
      <c r="AF982" s="1" t="str">
        <f>IF(AND(Table1[[#This Row],[Spec Type2]]="N/A",Table1[[#This Row],[DUT Adj Read]]="N/A",Table1[[#This Row],[Std Adj Read]]="N/A"),"N/A",IF(Table1[[#This Row],[DUT Adj Read]]="N/A",IF(Table1[[#This Row],[Std Adj Read]]&gt;=Table1[[#This Row],[Low Tol]],"Pass","Fail"),IF(Table1[[#This Row],[DUT Adj Read]]&gt;=Table1[[#This Row],[Low Tol]],"Pass","Fail")))</f>
        <v>Pass</v>
      </c>
      <c r="AG982" s="1" t="str">
        <f>IF(AND(Table1[[#This Row],[Spec Type2]]="N/A",Table1[[#This Row],[DUT Adj Read]]="N/A",Table1[[#This Row],[Std Adj Read]]="N/A"),"N/A",IF(Table1[[#This Row],[DUT Adj Read]]="N/A",IF(Table1[[#This Row],[Std Adj Read]]&lt;=Table1[[#This Row],[High Tol]],"Pass","Fail"),IF(Table1[[#This Row],[DUT Adj Read]]&lt;=Table1[[#This Row],[High Tol]],"Pass","Fail")))</f>
        <v>Fail</v>
      </c>
      <c r="AH9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2" s="1" t="b">
        <v>0</v>
      </c>
      <c r="AN982" s="1" t="b">
        <v>0</v>
      </c>
      <c r="AO982" s="1" t="b">
        <v>0</v>
      </c>
    </row>
    <row r="983" spans="1:41" x14ac:dyDescent="0.25">
      <c r="A983" s="10"/>
      <c r="B983" s="10"/>
      <c r="C983" s="10"/>
      <c r="D983" s="10"/>
      <c r="E983" s="10"/>
      <c r="F983" s="10"/>
      <c r="G983" s="10"/>
      <c r="H983" s="10"/>
      <c r="I983" s="1" t="str">
        <f t="shared" si="45"/>
        <v/>
      </c>
      <c r="J983" s="1" t="s">
        <v>35</v>
      </c>
      <c r="K983" s="1" t="str">
        <f t="shared" si="46"/>
        <v/>
      </c>
      <c r="L983" s="1" t="str">
        <f t="shared" si="47"/>
        <v/>
      </c>
      <c r="M983" s="1">
        <f>IF(OR(Table1[[#This Row],[Std Nom]]="",Table1[[#This Row],[Std Read]]=""),0,Table1[[#This Row],[Std Nom]]-Table1[[#This Row],[Std Read]])</f>
        <v>0</v>
      </c>
      <c r="N983" s="1">
        <f>IF(Calculations!$F$5="ACCREDITED 17025 WITH UNCERTAINTIES",$N$10,0)</f>
        <v>0</v>
      </c>
      <c r="O983" s="1" t="str">
        <f>IFERROR(Table1[[#This Row],[Std Nom]]-(_xlfn.XLOOKUP(Table1[[#This Row],[Manufacturer]]&amp;" "&amp;Table1[[#This Row],[Model]],Table13[MFR &amp; MDL],Table13[Tolerance % CW ],"")/100*Table1[[#This Row],[Std Nom]]),"")</f>
        <v/>
      </c>
      <c r="P983" s="1" t="str">
        <f>IFERROR(Table1[[#This Row],[Std Nom]]+(_xlfn.XLOOKUP(Table1[[#This Row],[Manufacturer]]&amp;" "&amp;Table1[[#This Row],[Model]],Table13[MFR &amp; MDL],Table13[Tolerance % CW ],"")/100*Table1[[#This Row],[Std Nom]]),"")</f>
        <v/>
      </c>
      <c r="Q983" s="1" t="e">
        <f>Table1[[#This Row],[High Tol]]-Table1[[#This Row],[Low Tol]]</f>
        <v>#VALUE!</v>
      </c>
      <c r="R983" s="1">
        <f>2*Table1[[#This Row],[Std Error]]</f>
        <v>0</v>
      </c>
      <c r="S983" s="1" t="str">
        <f>IF(Table1[[#This Row],[High Tol]]="","N/A",IFERROR(ABS(Table1[[#This Row],[Tol Span]]/Table1[[#This Row],[Error Span]]),"N/A"))</f>
        <v>N/A</v>
      </c>
      <c r="T983" s="1" t="str">
        <f>IF(OR(Table1[[#This Row],[Low Tol]]="",Table1[[#This Row],[High Tol]]=""),"Needs Analysis",IF(Table1[[#This Row],[Ratio]]&gt;=4,"Not Significant",IF(Table1[[#This Row],[Ratio]]&gt;=2,"Semi-Significant","Significant")))</f>
        <v>Needs Analysis</v>
      </c>
      <c r="W983" s="1">
        <f>IF(Table1[[#This Row],[Cal Type]]&lt;&gt;"ACCREDITED 17025 WITH UNCERTAINTIES",0,"")</f>
        <v>0</v>
      </c>
      <c r="X983" s="1" t="str">
        <f>IF(Table1[[#This Row],[DUT Read]]="","N/A",Table1[[#This Row],[Std Error]]+Table1[[#This Row],[DUT Read]]+Table1[[#This Row],[DUT Ucty]])</f>
        <v>N/A</v>
      </c>
      <c r="Y983" s="1" t="str">
        <f>IF(Table1[[#This Row],[Std Read]]="","N/A",Table1[[#This Row],[Std Read]]+Table1[[#This Row],[Std Ucty]])</f>
        <v>N/A</v>
      </c>
      <c r="Z9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3" s="1" t="str">
        <f>IF(Table1[[#This Row],[Spec Type]]="","N/A",Table1[[#This Row],[Spec Type]])</f>
        <v>±</v>
      </c>
      <c r="AC983" s="1" t="str">
        <f>IF(Table1[[#This Row],[Spec Type2]]="N/A","N/A",IF(AND(Table1[[#This Row],[DUT Adj Read]]&gt;=Table1[[#This Row],[Low Tol]],Table1[[#This Row],[DUT Adj Read]]&lt;=Table1[[#This Row],[High Tol]]),"Pass","Fail"))</f>
        <v>Fail</v>
      </c>
      <c r="AD983" s="1" t="str">
        <f>IF(AND(Table1[[#This Row],[Spec Type2]]="N/A",Table1[[#This Row],[DUT Adj Read]]="N/A",Table1[[#This Row],[Std Adj Read]]="N/A"),"N/A",IF(Table1[[#This Row],[DUT Adj Read]]="N/A",IF(Table1[[#This Row],[Std Adj Read]]&gt;Table1[[#This Row],[Low Tol]],"Pass","Fail"),IF(Table1[[#This Row],[DUT Adj Read]]&gt;Table1[[#This Row],[Low Tol]],"Pass","Fail")))</f>
        <v>Pass</v>
      </c>
      <c r="AE983" s="1" t="str">
        <f>IF(AND(Table1[[#This Row],[Spec Type2]]="N/A",Table1[[#This Row],[DUT Adj Read]]="N/A",Table1[[#This Row],[Std Adj Read]]="N/A"),"N/A",IF(Table1[[#This Row],[DUT Adj Read]]="N/A",IF(Table1[[#This Row],[Std Adj Read]]&lt;Table1[[#This Row],[High Tol]],"Pass","Fail"),IF(Table1[[#This Row],[DUT Adj Read]]&lt;Table1[[#This Row],[High Tol]],"Pass","Fail")))</f>
        <v>Fail</v>
      </c>
      <c r="AF983" s="1" t="str">
        <f>IF(AND(Table1[[#This Row],[Spec Type2]]="N/A",Table1[[#This Row],[DUT Adj Read]]="N/A",Table1[[#This Row],[Std Adj Read]]="N/A"),"N/A",IF(Table1[[#This Row],[DUT Adj Read]]="N/A",IF(Table1[[#This Row],[Std Adj Read]]&gt;=Table1[[#This Row],[Low Tol]],"Pass","Fail"),IF(Table1[[#This Row],[DUT Adj Read]]&gt;=Table1[[#This Row],[Low Tol]],"Pass","Fail")))</f>
        <v>Pass</v>
      </c>
      <c r="AG983" s="1" t="str">
        <f>IF(AND(Table1[[#This Row],[Spec Type2]]="N/A",Table1[[#This Row],[DUT Adj Read]]="N/A",Table1[[#This Row],[Std Adj Read]]="N/A"),"N/A",IF(Table1[[#This Row],[DUT Adj Read]]="N/A",IF(Table1[[#This Row],[Std Adj Read]]&lt;=Table1[[#This Row],[High Tol]],"Pass","Fail"),IF(Table1[[#This Row],[DUT Adj Read]]&lt;=Table1[[#This Row],[High Tol]],"Pass","Fail")))</f>
        <v>Fail</v>
      </c>
      <c r="AH9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3" s="1" t="b">
        <v>0</v>
      </c>
      <c r="AN983" s="1" t="b">
        <v>0</v>
      </c>
      <c r="AO983" s="1" t="b">
        <v>0</v>
      </c>
    </row>
    <row r="984" spans="1:41" x14ac:dyDescent="0.25">
      <c r="A984" s="10"/>
      <c r="B984" s="10"/>
      <c r="C984" s="10"/>
      <c r="D984" s="10"/>
      <c r="E984" s="10"/>
      <c r="F984" s="10"/>
      <c r="G984" s="10"/>
      <c r="H984" s="10"/>
      <c r="I984" s="1" t="str">
        <f t="shared" si="45"/>
        <v/>
      </c>
      <c r="J984" s="1" t="s">
        <v>35</v>
      </c>
      <c r="K984" s="1" t="str">
        <f t="shared" si="46"/>
        <v/>
      </c>
      <c r="L984" s="1" t="str">
        <f t="shared" si="47"/>
        <v/>
      </c>
      <c r="M984" s="1">
        <f>IF(OR(Table1[[#This Row],[Std Nom]]="",Table1[[#This Row],[Std Read]]=""),0,Table1[[#This Row],[Std Nom]]-Table1[[#This Row],[Std Read]])</f>
        <v>0</v>
      </c>
      <c r="N984" s="1">
        <f>IF(Calculations!$F$5="ACCREDITED 17025 WITH UNCERTAINTIES",$N$10,0)</f>
        <v>0</v>
      </c>
      <c r="O984" s="1" t="str">
        <f>IFERROR(Table1[[#This Row],[Std Nom]]-(_xlfn.XLOOKUP(Table1[[#This Row],[Manufacturer]]&amp;" "&amp;Table1[[#This Row],[Model]],Table13[MFR &amp; MDL],Table13[Tolerance % CW ],"")/100*Table1[[#This Row],[Std Nom]]),"")</f>
        <v/>
      </c>
      <c r="P984" s="1" t="str">
        <f>IFERROR(Table1[[#This Row],[Std Nom]]+(_xlfn.XLOOKUP(Table1[[#This Row],[Manufacturer]]&amp;" "&amp;Table1[[#This Row],[Model]],Table13[MFR &amp; MDL],Table13[Tolerance % CW ],"")/100*Table1[[#This Row],[Std Nom]]),"")</f>
        <v/>
      </c>
      <c r="Q984" s="1" t="e">
        <f>Table1[[#This Row],[High Tol]]-Table1[[#This Row],[Low Tol]]</f>
        <v>#VALUE!</v>
      </c>
      <c r="R984" s="1">
        <f>2*Table1[[#This Row],[Std Error]]</f>
        <v>0</v>
      </c>
      <c r="S984" s="1" t="str">
        <f>IF(Table1[[#This Row],[High Tol]]="","N/A",IFERROR(ABS(Table1[[#This Row],[Tol Span]]/Table1[[#This Row],[Error Span]]),"N/A"))</f>
        <v>N/A</v>
      </c>
      <c r="T984" s="1" t="str">
        <f>IF(OR(Table1[[#This Row],[Low Tol]]="",Table1[[#This Row],[High Tol]]=""),"Needs Analysis",IF(Table1[[#This Row],[Ratio]]&gt;=4,"Not Significant",IF(Table1[[#This Row],[Ratio]]&gt;=2,"Semi-Significant","Significant")))</f>
        <v>Needs Analysis</v>
      </c>
      <c r="W984" s="1">
        <f>IF(Table1[[#This Row],[Cal Type]]&lt;&gt;"ACCREDITED 17025 WITH UNCERTAINTIES",0,"")</f>
        <v>0</v>
      </c>
      <c r="X984" s="1" t="str">
        <f>IF(Table1[[#This Row],[DUT Read]]="","N/A",Table1[[#This Row],[Std Error]]+Table1[[#This Row],[DUT Read]]+Table1[[#This Row],[DUT Ucty]])</f>
        <v>N/A</v>
      </c>
      <c r="Y984" s="1" t="str">
        <f>IF(Table1[[#This Row],[Std Read]]="","N/A",Table1[[#This Row],[Std Read]]+Table1[[#This Row],[Std Ucty]])</f>
        <v>N/A</v>
      </c>
      <c r="Z9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4" s="1" t="str">
        <f>IF(Table1[[#This Row],[Spec Type]]="","N/A",Table1[[#This Row],[Spec Type]])</f>
        <v>±</v>
      </c>
      <c r="AC984" s="1" t="str">
        <f>IF(Table1[[#This Row],[Spec Type2]]="N/A","N/A",IF(AND(Table1[[#This Row],[DUT Adj Read]]&gt;=Table1[[#This Row],[Low Tol]],Table1[[#This Row],[DUT Adj Read]]&lt;=Table1[[#This Row],[High Tol]]),"Pass","Fail"))</f>
        <v>Fail</v>
      </c>
      <c r="AD984" s="1" t="str">
        <f>IF(AND(Table1[[#This Row],[Spec Type2]]="N/A",Table1[[#This Row],[DUT Adj Read]]="N/A",Table1[[#This Row],[Std Adj Read]]="N/A"),"N/A",IF(Table1[[#This Row],[DUT Adj Read]]="N/A",IF(Table1[[#This Row],[Std Adj Read]]&gt;Table1[[#This Row],[Low Tol]],"Pass","Fail"),IF(Table1[[#This Row],[DUT Adj Read]]&gt;Table1[[#This Row],[Low Tol]],"Pass","Fail")))</f>
        <v>Pass</v>
      </c>
      <c r="AE984" s="1" t="str">
        <f>IF(AND(Table1[[#This Row],[Spec Type2]]="N/A",Table1[[#This Row],[DUT Adj Read]]="N/A",Table1[[#This Row],[Std Adj Read]]="N/A"),"N/A",IF(Table1[[#This Row],[DUT Adj Read]]="N/A",IF(Table1[[#This Row],[Std Adj Read]]&lt;Table1[[#This Row],[High Tol]],"Pass","Fail"),IF(Table1[[#This Row],[DUT Adj Read]]&lt;Table1[[#This Row],[High Tol]],"Pass","Fail")))</f>
        <v>Fail</v>
      </c>
      <c r="AF984" s="1" t="str">
        <f>IF(AND(Table1[[#This Row],[Spec Type2]]="N/A",Table1[[#This Row],[DUT Adj Read]]="N/A",Table1[[#This Row],[Std Adj Read]]="N/A"),"N/A",IF(Table1[[#This Row],[DUT Adj Read]]="N/A",IF(Table1[[#This Row],[Std Adj Read]]&gt;=Table1[[#This Row],[Low Tol]],"Pass","Fail"),IF(Table1[[#This Row],[DUT Adj Read]]&gt;=Table1[[#This Row],[Low Tol]],"Pass","Fail")))</f>
        <v>Pass</v>
      </c>
      <c r="AG984" s="1" t="str">
        <f>IF(AND(Table1[[#This Row],[Spec Type2]]="N/A",Table1[[#This Row],[DUT Adj Read]]="N/A",Table1[[#This Row],[Std Adj Read]]="N/A"),"N/A",IF(Table1[[#This Row],[DUT Adj Read]]="N/A",IF(Table1[[#This Row],[Std Adj Read]]&lt;=Table1[[#This Row],[High Tol]],"Pass","Fail"),IF(Table1[[#This Row],[DUT Adj Read]]&lt;=Table1[[#This Row],[High Tol]],"Pass","Fail")))</f>
        <v>Fail</v>
      </c>
      <c r="AH9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4" s="1" t="b">
        <v>0</v>
      </c>
      <c r="AN984" s="1" t="b">
        <v>0</v>
      </c>
      <c r="AO984" s="1" t="b">
        <v>0</v>
      </c>
    </row>
    <row r="985" spans="1:41" x14ac:dyDescent="0.25">
      <c r="A985" s="10"/>
      <c r="B985" s="10"/>
      <c r="C985" s="10"/>
      <c r="D985" s="10"/>
      <c r="E985" s="10"/>
      <c r="F985" s="10"/>
      <c r="G985" s="10"/>
      <c r="H985" s="10"/>
      <c r="I985" s="1" t="str">
        <f t="shared" si="45"/>
        <v/>
      </c>
      <c r="J985" s="1" t="s">
        <v>35</v>
      </c>
      <c r="K985" s="1" t="str">
        <f t="shared" si="46"/>
        <v/>
      </c>
      <c r="L985" s="1" t="str">
        <f t="shared" si="47"/>
        <v/>
      </c>
      <c r="M985" s="1">
        <f>IF(OR(Table1[[#This Row],[Std Nom]]="",Table1[[#This Row],[Std Read]]=""),0,Table1[[#This Row],[Std Nom]]-Table1[[#This Row],[Std Read]])</f>
        <v>0</v>
      </c>
      <c r="N985" s="1">
        <f>IF(Calculations!$F$5="ACCREDITED 17025 WITH UNCERTAINTIES",$N$10,0)</f>
        <v>0</v>
      </c>
      <c r="O985" s="1" t="str">
        <f>IFERROR(Table1[[#This Row],[Std Nom]]-(_xlfn.XLOOKUP(Table1[[#This Row],[Manufacturer]]&amp;" "&amp;Table1[[#This Row],[Model]],Table13[MFR &amp; MDL],Table13[Tolerance % CW ],"")/100*Table1[[#This Row],[Std Nom]]),"")</f>
        <v/>
      </c>
      <c r="P985" s="1" t="str">
        <f>IFERROR(Table1[[#This Row],[Std Nom]]+(_xlfn.XLOOKUP(Table1[[#This Row],[Manufacturer]]&amp;" "&amp;Table1[[#This Row],[Model]],Table13[MFR &amp; MDL],Table13[Tolerance % CW ],"")/100*Table1[[#This Row],[Std Nom]]),"")</f>
        <v/>
      </c>
      <c r="Q985" s="1" t="e">
        <f>Table1[[#This Row],[High Tol]]-Table1[[#This Row],[Low Tol]]</f>
        <v>#VALUE!</v>
      </c>
      <c r="R985" s="1">
        <f>2*Table1[[#This Row],[Std Error]]</f>
        <v>0</v>
      </c>
      <c r="S985" s="1" t="str">
        <f>IF(Table1[[#This Row],[High Tol]]="","N/A",IFERROR(ABS(Table1[[#This Row],[Tol Span]]/Table1[[#This Row],[Error Span]]),"N/A"))</f>
        <v>N/A</v>
      </c>
      <c r="T985" s="1" t="str">
        <f>IF(OR(Table1[[#This Row],[Low Tol]]="",Table1[[#This Row],[High Tol]]=""),"Needs Analysis",IF(Table1[[#This Row],[Ratio]]&gt;=4,"Not Significant",IF(Table1[[#This Row],[Ratio]]&gt;=2,"Semi-Significant","Significant")))</f>
        <v>Needs Analysis</v>
      </c>
      <c r="W985" s="1">
        <f>IF(Table1[[#This Row],[Cal Type]]&lt;&gt;"ACCREDITED 17025 WITH UNCERTAINTIES",0,"")</f>
        <v>0</v>
      </c>
      <c r="X985" s="1" t="str">
        <f>IF(Table1[[#This Row],[DUT Read]]="","N/A",Table1[[#This Row],[Std Error]]+Table1[[#This Row],[DUT Read]]+Table1[[#This Row],[DUT Ucty]])</f>
        <v>N/A</v>
      </c>
      <c r="Y985" s="1" t="str">
        <f>IF(Table1[[#This Row],[Std Read]]="","N/A",Table1[[#This Row],[Std Read]]+Table1[[#This Row],[Std Ucty]])</f>
        <v>N/A</v>
      </c>
      <c r="Z9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5" s="1" t="str">
        <f>IF(Table1[[#This Row],[Spec Type]]="","N/A",Table1[[#This Row],[Spec Type]])</f>
        <v>±</v>
      </c>
      <c r="AC985" s="1" t="str">
        <f>IF(Table1[[#This Row],[Spec Type2]]="N/A","N/A",IF(AND(Table1[[#This Row],[DUT Adj Read]]&gt;=Table1[[#This Row],[Low Tol]],Table1[[#This Row],[DUT Adj Read]]&lt;=Table1[[#This Row],[High Tol]]),"Pass","Fail"))</f>
        <v>Fail</v>
      </c>
      <c r="AD985" s="1" t="str">
        <f>IF(AND(Table1[[#This Row],[Spec Type2]]="N/A",Table1[[#This Row],[DUT Adj Read]]="N/A",Table1[[#This Row],[Std Adj Read]]="N/A"),"N/A",IF(Table1[[#This Row],[DUT Adj Read]]="N/A",IF(Table1[[#This Row],[Std Adj Read]]&gt;Table1[[#This Row],[Low Tol]],"Pass","Fail"),IF(Table1[[#This Row],[DUT Adj Read]]&gt;Table1[[#This Row],[Low Tol]],"Pass","Fail")))</f>
        <v>Pass</v>
      </c>
      <c r="AE985" s="1" t="str">
        <f>IF(AND(Table1[[#This Row],[Spec Type2]]="N/A",Table1[[#This Row],[DUT Adj Read]]="N/A",Table1[[#This Row],[Std Adj Read]]="N/A"),"N/A",IF(Table1[[#This Row],[DUT Adj Read]]="N/A",IF(Table1[[#This Row],[Std Adj Read]]&lt;Table1[[#This Row],[High Tol]],"Pass","Fail"),IF(Table1[[#This Row],[DUT Adj Read]]&lt;Table1[[#This Row],[High Tol]],"Pass","Fail")))</f>
        <v>Fail</v>
      </c>
      <c r="AF985" s="1" t="str">
        <f>IF(AND(Table1[[#This Row],[Spec Type2]]="N/A",Table1[[#This Row],[DUT Adj Read]]="N/A",Table1[[#This Row],[Std Adj Read]]="N/A"),"N/A",IF(Table1[[#This Row],[DUT Adj Read]]="N/A",IF(Table1[[#This Row],[Std Adj Read]]&gt;=Table1[[#This Row],[Low Tol]],"Pass","Fail"),IF(Table1[[#This Row],[DUT Adj Read]]&gt;=Table1[[#This Row],[Low Tol]],"Pass","Fail")))</f>
        <v>Pass</v>
      </c>
      <c r="AG985" s="1" t="str">
        <f>IF(AND(Table1[[#This Row],[Spec Type2]]="N/A",Table1[[#This Row],[DUT Adj Read]]="N/A",Table1[[#This Row],[Std Adj Read]]="N/A"),"N/A",IF(Table1[[#This Row],[DUT Adj Read]]="N/A",IF(Table1[[#This Row],[Std Adj Read]]&lt;=Table1[[#This Row],[High Tol]],"Pass","Fail"),IF(Table1[[#This Row],[DUT Adj Read]]&lt;=Table1[[#This Row],[High Tol]],"Pass","Fail")))</f>
        <v>Fail</v>
      </c>
      <c r="AH9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5" s="1" t="b">
        <v>0</v>
      </c>
      <c r="AN985" s="1" t="b">
        <v>0</v>
      </c>
      <c r="AO985" s="1" t="b">
        <v>0</v>
      </c>
    </row>
    <row r="986" spans="1:41" x14ac:dyDescent="0.25">
      <c r="A986" s="10"/>
      <c r="B986" s="10"/>
      <c r="C986" s="10"/>
      <c r="D986" s="10"/>
      <c r="E986" s="10"/>
      <c r="F986" s="10"/>
      <c r="G986" s="10"/>
      <c r="H986" s="10"/>
      <c r="I986" s="1" t="str">
        <f t="shared" si="45"/>
        <v/>
      </c>
      <c r="J986" s="1" t="s">
        <v>35</v>
      </c>
      <c r="K986" s="1" t="str">
        <f t="shared" si="46"/>
        <v/>
      </c>
      <c r="L986" s="1" t="str">
        <f t="shared" si="47"/>
        <v/>
      </c>
      <c r="M986" s="1">
        <f>IF(OR(Table1[[#This Row],[Std Nom]]="",Table1[[#This Row],[Std Read]]=""),0,Table1[[#This Row],[Std Nom]]-Table1[[#This Row],[Std Read]])</f>
        <v>0</v>
      </c>
      <c r="N986" s="1">
        <f>IF(Calculations!$F$5="ACCREDITED 17025 WITH UNCERTAINTIES",$N$10,0)</f>
        <v>0</v>
      </c>
      <c r="O986" s="1" t="str">
        <f>IFERROR(Table1[[#This Row],[Std Nom]]-(_xlfn.XLOOKUP(Table1[[#This Row],[Manufacturer]]&amp;" "&amp;Table1[[#This Row],[Model]],Table13[MFR &amp; MDL],Table13[Tolerance % CW ],"")/100*Table1[[#This Row],[Std Nom]]),"")</f>
        <v/>
      </c>
      <c r="P986" s="1" t="str">
        <f>IFERROR(Table1[[#This Row],[Std Nom]]+(_xlfn.XLOOKUP(Table1[[#This Row],[Manufacturer]]&amp;" "&amp;Table1[[#This Row],[Model]],Table13[MFR &amp; MDL],Table13[Tolerance % CW ],"")/100*Table1[[#This Row],[Std Nom]]),"")</f>
        <v/>
      </c>
      <c r="Q986" s="1" t="e">
        <f>Table1[[#This Row],[High Tol]]-Table1[[#This Row],[Low Tol]]</f>
        <v>#VALUE!</v>
      </c>
      <c r="R986" s="1">
        <f>2*Table1[[#This Row],[Std Error]]</f>
        <v>0</v>
      </c>
      <c r="S986" s="1" t="str">
        <f>IF(Table1[[#This Row],[High Tol]]="","N/A",IFERROR(ABS(Table1[[#This Row],[Tol Span]]/Table1[[#This Row],[Error Span]]),"N/A"))</f>
        <v>N/A</v>
      </c>
      <c r="T986" s="1" t="str">
        <f>IF(OR(Table1[[#This Row],[Low Tol]]="",Table1[[#This Row],[High Tol]]=""),"Needs Analysis",IF(Table1[[#This Row],[Ratio]]&gt;=4,"Not Significant",IF(Table1[[#This Row],[Ratio]]&gt;=2,"Semi-Significant","Significant")))</f>
        <v>Needs Analysis</v>
      </c>
      <c r="W986" s="1">
        <f>IF(Table1[[#This Row],[Cal Type]]&lt;&gt;"ACCREDITED 17025 WITH UNCERTAINTIES",0,"")</f>
        <v>0</v>
      </c>
      <c r="X986" s="1" t="str">
        <f>IF(Table1[[#This Row],[DUT Read]]="","N/A",Table1[[#This Row],[Std Error]]+Table1[[#This Row],[DUT Read]]+Table1[[#This Row],[DUT Ucty]])</f>
        <v>N/A</v>
      </c>
      <c r="Y986" s="1" t="str">
        <f>IF(Table1[[#This Row],[Std Read]]="","N/A",Table1[[#This Row],[Std Read]]+Table1[[#This Row],[Std Ucty]])</f>
        <v>N/A</v>
      </c>
      <c r="Z9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6" s="1" t="str">
        <f>IF(Table1[[#This Row],[Spec Type]]="","N/A",Table1[[#This Row],[Spec Type]])</f>
        <v>±</v>
      </c>
      <c r="AC986" s="1" t="str">
        <f>IF(Table1[[#This Row],[Spec Type2]]="N/A","N/A",IF(AND(Table1[[#This Row],[DUT Adj Read]]&gt;=Table1[[#This Row],[Low Tol]],Table1[[#This Row],[DUT Adj Read]]&lt;=Table1[[#This Row],[High Tol]]),"Pass","Fail"))</f>
        <v>Fail</v>
      </c>
      <c r="AD986" s="1" t="str">
        <f>IF(AND(Table1[[#This Row],[Spec Type2]]="N/A",Table1[[#This Row],[DUT Adj Read]]="N/A",Table1[[#This Row],[Std Adj Read]]="N/A"),"N/A",IF(Table1[[#This Row],[DUT Adj Read]]="N/A",IF(Table1[[#This Row],[Std Adj Read]]&gt;Table1[[#This Row],[Low Tol]],"Pass","Fail"),IF(Table1[[#This Row],[DUT Adj Read]]&gt;Table1[[#This Row],[Low Tol]],"Pass","Fail")))</f>
        <v>Pass</v>
      </c>
      <c r="AE986" s="1" t="str">
        <f>IF(AND(Table1[[#This Row],[Spec Type2]]="N/A",Table1[[#This Row],[DUT Adj Read]]="N/A",Table1[[#This Row],[Std Adj Read]]="N/A"),"N/A",IF(Table1[[#This Row],[DUT Adj Read]]="N/A",IF(Table1[[#This Row],[Std Adj Read]]&lt;Table1[[#This Row],[High Tol]],"Pass","Fail"),IF(Table1[[#This Row],[DUT Adj Read]]&lt;Table1[[#This Row],[High Tol]],"Pass","Fail")))</f>
        <v>Fail</v>
      </c>
      <c r="AF986" s="1" t="str">
        <f>IF(AND(Table1[[#This Row],[Spec Type2]]="N/A",Table1[[#This Row],[DUT Adj Read]]="N/A",Table1[[#This Row],[Std Adj Read]]="N/A"),"N/A",IF(Table1[[#This Row],[DUT Adj Read]]="N/A",IF(Table1[[#This Row],[Std Adj Read]]&gt;=Table1[[#This Row],[Low Tol]],"Pass","Fail"),IF(Table1[[#This Row],[DUT Adj Read]]&gt;=Table1[[#This Row],[Low Tol]],"Pass","Fail")))</f>
        <v>Pass</v>
      </c>
      <c r="AG986" s="1" t="str">
        <f>IF(AND(Table1[[#This Row],[Spec Type2]]="N/A",Table1[[#This Row],[DUT Adj Read]]="N/A",Table1[[#This Row],[Std Adj Read]]="N/A"),"N/A",IF(Table1[[#This Row],[DUT Adj Read]]="N/A",IF(Table1[[#This Row],[Std Adj Read]]&lt;=Table1[[#This Row],[High Tol]],"Pass","Fail"),IF(Table1[[#This Row],[DUT Adj Read]]&lt;=Table1[[#This Row],[High Tol]],"Pass","Fail")))</f>
        <v>Fail</v>
      </c>
      <c r="AH9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6" s="1" t="b">
        <v>0</v>
      </c>
      <c r="AN986" s="1" t="b">
        <v>0</v>
      </c>
      <c r="AO986" s="1" t="b">
        <v>0</v>
      </c>
    </row>
    <row r="987" spans="1:41" x14ac:dyDescent="0.25">
      <c r="A987" s="10"/>
      <c r="B987" s="10"/>
      <c r="C987" s="10"/>
      <c r="D987" s="10"/>
      <c r="E987" s="10"/>
      <c r="F987" s="10"/>
      <c r="G987" s="10"/>
      <c r="H987" s="10"/>
      <c r="I987" s="1" t="str">
        <f t="shared" si="45"/>
        <v/>
      </c>
      <c r="J987" s="1" t="s">
        <v>35</v>
      </c>
      <c r="K987" s="1" t="str">
        <f t="shared" si="46"/>
        <v/>
      </c>
      <c r="L987" s="1" t="str">
        <f t="shared" si="47"/>
        <v/>
      </c>
      <c r="M987" s="1">
        <f>IF(OR(Table1[[#This Row],[Std Nom]]="",Table1[[#This Row],[Std Read]]=""),0,Table1[[#This Row],[Std Nom]]-Table1[[#This Row],[Std Read]])</f>
        <v>0</v>
      </c>
      <c r="N987" s="1">
        <f>IF(Calculations!$F$5="ACCREDITED 17025 WITH UNCERTAINTIES",$N$10,0)</f>
        <v>0</v>
      </c>
      <c r="O987" s="1" t="str">
        <f>IFERROR(Table1[[#This Row],[Std Nom]]-(_xlfn.XLOOKUP(Table1[[#This Row],[Manufacturer]]&amp;" "&amp;Table1[[#This Row],[Model]],Table13[MFR &amp; MDL],Table13[Tolerance % CW ],"")/100*Table1[[#This Row],[Std Nom]]),"")</f>
        <v/>
      </c>
      <c r="P987" s="1" t="str">
        <f>IFERROR(Table1[[#This Row],[Std Nom]]+(_xlfn.XLOOKUP(Table1[[#This Row],[Manufacturer]]&amp;" "&amp;Table1[[#This Row],[Model]],Table13[MFR &amp; MDL],Table13[Tolerance % CW ],"")/100*Table1[[#This Row],[Std Nom]]),"")</f>
        <v/>
      </c>
      <c r="Q987" s="1" t="e">
        <f>Table1[[#This Row],[High Tol]]-Table1[[#This Row],[Low Tol]]</f>
        <v>#VALUE!</v>
      </c>
      <c r="R987" s="1">
        <f>2*Table1[[#This Row],[Std Error]]</f>
        <v>0</v>
      </c>
      <c r="S987" s="1" t="str">
        <f>IF(Table1[[#This Row],[High Tol]]="","N/A",IFERROR(ABS(Table1[[#This Row],[Tol Span]]/Table1[[#This Row],[Error Span]]),"N/A"))</f>
        <v>N/A</v>
      </c>
      <c r="T987" s="1" t="str">
        <f>IF(OR(Table1[[#This Row],[Low Tol]]="",Table1[[#This Row],[High Tol]]=""),"Needs Analysis",IF(Table1[[#This Row],[Ratio]]&gt;=4,"Not Significant",IF(Table1[[#This Row],[Ratio]]&gt;=2,"Semi-Significant","Significant")))</f>
        <v>Needs Analysis</v>
      </c>
      <c r="W987" s="1">
        <f>IF(Table1[[#This Row],[Cal Type]]&lt;&gt;"ACCREDITED 17025 WITH UNCERTAINTIES",0,"")</f>
        <v>0</v>
      </c>
      <c r="X987" s="1" t="str">
        <f>IF(Table1[[#This Row],[DUT Read]]="","N/A",Table1[[#This Row],[Std Error]]+Table1[[#This Row],[DUT Read]]+Table1[[#This Row],[DUT Ucty]])</f>
        <v>N/A</v>
      </c>
      <c r="Y987" s="1" t="str">
        <f>IF(Table1[[#This Row],[Std Read]]="","N/A",Table1[[#This Row],[Std Read]]+Table1[[#This Row],[Std Ucty]])</f>
        <v>N/A</v>
      </c>
      <c r="Z9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7" s="1" t="str">
        <f>IF(Table1[[#This Row],[Spec Type]]="","N/A",Table1[[#This Row],[Spec Type]])</f>
        <v>±</v>
      </c>
      <c r="AC987" s="1" t="str">
        <f>IF(Table1[[#This Row],[Spec Type2]]="N/A","N/A",IF(AND(Table1[[#This Row],[DUT Adj Read]]&gt;=Table1[[#This Row],[Low Tol]],Table1[[#This Row],[DUT Adj Read]]&lt;=Table1[[#This Row],[High Tol]]),"Pass","Fail"))</f>
        <v>Fail</v>
      </c>
      <c r="AD987" s="1" t="str">
        <f>IF(AND(Table1[[#This Row],[Spec Type2]]="N/A",Table1[[#This Row],[DUT Adj Read]]="N/A",Table1[[#This Row],[Std Adj Read]]="N/A"),"N/A",IF(Table1[[#This Row],[DUT Adj Read]]="N/A",IF(Table1[[#This Row],[Std Adj Read]]&gt;Table1[[#This Row],[Low Tol]],"Pass","Fail"),IF(Table1[[#This Row],[DUT Adj Read]]&gt;Table1[[#This Row],[Low Tol]],"Pass","Fail")))</f>
        <v>Pass</v>
      </c>
      <c r="AE987" s="1" t="str">
        <f>IF(AND(Table1[[#This Row],[Spec Type2]]="N/A",Table1[[#This Row],[DUT Adj Read]]="N/A",Table1[[#This Row],[Std Adj Read]]="N/A"),"N/A",IF(Table1[[#This Row],[DUT Adj Read]]="N/A",IF(Table1[[#This Row],[Std Adj Read]]&lt;Table1[[#This Row],[High Tol]],"Pass","Fail"),IF(Table1[[#This Row],[DUT Adj Read]]&lt;Table1[[#This Row],[High Tol]],"Pass","Fail")))</f>
        <v>Fail</v>
      </c>
      <c r="AF987" s="1" t="str">
        <f>IF(AND(Table1[[#This Row],[Spec Type2]]="N/A",Table1[[#This Row],[DUT Adj Read]]="N/A",Table1[[#This Row],[Std Adj Read]]="N/A"),"N/A",IF(Table1[[#This Row],[DUT Adj Read]]="N/A",IF(Table1[[#This Row],[Std Adj Read]]&gt;=Table1[[#This Row],[Low Tol]],"Pass","Fail"),IF(Table1[[#This Row],[DUT Adj Read]]&gt;=Table1[[#This Row],[Low Tol]],"Pass","Fail")))</f>
        <v>Pass</v>
      </c>
      <c r="AG987" s="1" t="str">
        <f>IF(AND(Table1[[#This Row],[Spec Type2]]="N/A",Table1[[#This Row],[DUT Adj Read]]="N/A",Table1[[#This Row],[Std Adj Read]]="N/A"),"N/A",IF(Table1[[#This Row],[DUT Adj Read]]="N/A",IF(Table1[[#This Row],[Std Adj Read]]&lt;=Table1[[#This Row],[High Tol]],"Pass","Fail"),IF(Table1[[#This Row],[DUT Adj Read]]&lt;=Table1[[#This Row],[High Tol]],"Pass","Fail")))</f>
        <v>Fail</v>
      </c>
      <c r="AH9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7" s="1" t="b">
        <v>0</v>
      </c>
      <c r="AN987" s="1" t="b">
        <v>0</v>
      </c>
      <c r="AO987" s="1" t="b">
        <v>0</v>
      </c>
    </row>
    <row r="988" spans="1:41" x14ac:dyDescent="0.25">
      <c r="A988" s="10"/>
      <c r="B988" s="10"/>
      <c r="C988" s="10"/>
      <c r="D988" s="10"/>
      <c r="E988" s="10"/>
      <c r="F988" s="10"/>
      <c r="G988" s="10"/>
      <c r="H988" s="10"/>
      <c r="I988" s="1" t="str">
        <f t="shared" si="45"/>
        <v/>
      </c>
      <c r="J988" s="1" t="s">
        <v>35</v>
      </c>
      <c r="K988" s="1" t="str">
        <f t="shared" si="46"/>
        <v/>
      </c>
      <c r="L988" s="1" t="str">
        <f t="shared" si="47"/>
        <v/>
      </c>
      <c r="M988" s="1">
        <f>IF(OR(Table1[[#This Row],[Std Nom]]="",Table1[[#This Row],[Std Read]]=""),0,Table1[[#This Row],[Std Nom]]-Table1[[#This Row],[Std Read]])</f>
        <v>0</v>
      </c>
      <c r="N988" s="1">
        <f>IF(Calculations!$F$5="ACCREDITED 17025 WITH UNCERTAINTIES",$N$10,0)</f>
        <v>0</v>
      </c>
      <c r="O988" s="1" t="str">
        <f>IFERROR(Table1[[#This Row],[Std Nom]]-(_xlfn.XLOOKUP(Table1[[#This Row],[Manufacturer]]&amp;" "&amp;Table1[[#This Row],[Model]],Table13[MFR &amp; MDL],Table13[Tolerance % CW ],"")/100*Table1[[#This Row],[Std Nom]]),"")</f>
        <v/>
      </c>
      <c r="P988" s="1" t="str">
        <f>IFERROR(Table1[[#This Row],[Std Nom]]+(_xlfn.XLOOKUP(Table1[[#This Row],[Manufacturer]]&amp;" "&amp;Table1[[#This Row],[Model]],Table13[MFR &amp; MDL],Table13[Tolerance % CW ],"")/100*Table1[[#This Row],[Std Nom]]),"")</f>
        <v/>
      </c>
      <c r="Q988" s="1" t="e">
        <f>Table1[[#This Row],[High Tol]]-Table1[[#This Row],[Low Tol]]</f>
        <v>#VALUE!</v>
      </c>
      <c r="R988" s="1">
        <f>2*Table1[[#This Row],[Std Error]]</f>
        <v>0</v>
      </c>
      <c r="S988" s="1" t="str">
        <f>IF(Table1[[#This Row],[High Tol]]="","N/A",IFERROR(ABS(Table1[[#This Row],[Tol Span]]/Table1[[#This Row],[Error Span]]),"N/A"))</f>
        <v>N/A</v>
      </c>
      <c r="T988" s="1" t="str">
        <f>IF(OR(Table1[[#This Row],[Low Tol]]="",Table1[[#This Row],[High Tol]]=""),"Needs Analysis",IF(Table1[[#This Row],[Ratio]]&gt;=4,"Not Significant",IF(Table1[[#This Row],[Ratio]]&gt;=2,"Semi-Significant","Significant")))</f>
        <v>Needs Analysis</v>
      </c>
      <c r="W988" s="1">
        <f>IF(Table1[[#This Row],[Cal Type]]&lt;&gt;"ACCREDITED 17025 WITH UNCERTAINTIES",0,"")</f>
        <v>0</v>
      </c>
      <c r="X988" s="1" t="str">
        <f>IF(Table1[[#This Row],[DUT Read]]="","N/A",Table1[[#This Row],[Std Error]]+Table1[[#This Row],[DUT Read]]+Table1[[#This Row],[DUT Ucty]])</f>
        <v>N/A</v>
      </c>
      <c r="Y988" s="1" t="str">
        <f>IF(Table1[[#This Row],[Std Read]]="","N/A",Table1[[#This Row],[Std Read]]+Table1[[#This Row],[Std Ucty]])</f>
        <v>N/A</v>
      </c>
      <c r="Z9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8" s="1" t="str">
        <f>IF(Table1[[#This Row],[Spec Type]]="","N/A",Table1[[#This Row],[Spec Type]])</f>
        <v>±</v>
      </c>
      <c r="AC988" s="1" t="str">
        <f>IF(Table1[[#This Row],[Spec Type2]]="N/A","N/A",IF(AND(Table1[[#This Row],[DUT Adj Read]]&gt;=Table1[[#This Row],[Low Tol]],Table1[[#This Row],[DUT Adj Read]]&lt;=Table1[[#This Row],[High Tol]]),"Pass","Fail"))</f>
        <v>Fail</v>
      </c>
      <c r="AD988" s="1" t="str">
        <f>IF(AND(Table1[[#This Row],[Spec Type2]]="N/A",Table1[[#This Row],[DUT Adj Read]]="N/A",Table1[[#This Row],[Std Adj Read]]="N/A"),"N/A",IF(Table1[[#This Row],[DUT Adj Read]]="N/A",IF(Table1[[#This Row],[Std Adj Read]]&gt;Table1[[#This Row],[Low Tol]],"Pass","Fail"),IF(Table1[[#This Row],[DUT Adj Read]]&gt;Table1[[#This Row],[Low Tol]],"Pass","Fail")))</f>
        <v>Pass</v>
      </c>
      <c r="AE988" s="1" t="str">
        <f>IF(AND(Table1[[#This Row],[Spec Type2]]="N/A",Table1[[#This Row],[DUT Adj Read]]="N/A",Table1[[#This Row],[Std Adj Read]]="N/A"),"N/A",IF(Table1[[#This Row],[DUT Adj Read]]="N/A",IF(Table1[[#This Row],[Std Adj Read]]&lt;Table1[[#This Row],[High Tol]],"Pass","Fail"),IF(Table1[[#This Row],[DUT Adj Read]]&lt;Table1[[#This Row],[High Tol]],"Pass","Fail")))</f>
        <v>Fail</v>
      </c>
      <c r="AF988" s="1" t="str">
        <f>IF(AND(Table1[[#This Row],[Spec Type2]]="N/A",Table1[[#This Row],[DUT Adj Read]]="N/A",Table1[[#This Row],[Std Adj Read]]="N/A"),"N/A",IF(Table1[[#This Row],[DUT Adj Read]]="N/A",IF(Table1[[#This Row],[Std Adj Read]]&gt;=Table1[[#This Row],[Low Tol]],"Pass","Fail"),IF(Table1[[#This Row],[DUT Adj Read]]&gt;=Table1[[#This Row],[Low Tol]],"Pass","Fail")))</f>
        <v>Pass</v>
      </c>
      <c r="AG988" s="1" t="str">
        <f>IF(AND(Table1[[#This Row],[Spec Type2]]="N/A",Table1[[#This Row],[DUT Adj Read]]="N/A",Table1[[#This Row],[Std Adj Read]]="N/A"),"N/A",IF(Table1[[#This Row],[DUT Adj Read]]="N/A",IF(Table1[[#This Row],[Std Adj Read]]&lt;=Table1[[#This Row],[High Tol]],"Pass","Fail"),IF(Table1[[#This Row],[DUT Adj Read]]&lt;=Table1[[#This Row],[High Tol]],"Pass","Fail")))</f>
        <v>Fail</v>
      </c>
      <c r="AH9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8" s="1" t="b">
        <v>0</v>
      </c>
      <c r="AN988" s="1" t="b">
        <v>0</v>
      </c>
      <c r="AO988" s="1" t="b">
        <v>0</v>
      </c>
    </row>
    <row r="989" spans="1:41" x14ac:dyDescent="0.25">
      <c r="A989" s="10"/>
      <c r="B989" s="10"/>
      <c r="C989" s="10"/>
      <c r="D989" s="10"/>
      <c r="E989" s="10"/>
      <c r="F989" s="10"/>
      <c r="G989" s="10"/>
      <c r="H989" s="10"/>
      <c r="I989" s="1" t="str">
        <f t="shared" si="45"/>
        <v/>
      </c>
      <c r="J989" s="1" t="s">
        <v>35</v>
      </c>
      <c r="K989" s="1" t="str">
        <f t="shared" si="46"/>
        <v/>
      </c>
      <c r="L989" s="1" t="str">
        <f t="shared" si="47"/>
        <v/>
      </c>
      <c r="M989" s="1">
        <f>IF(OR(Table1[[#This Row],[Std Nom]]="",Table1[[#This Row],[Std Read]]=""),0,Table1[[#This Row],[Std Nom]]-Table1[[#This Row],[Std Read]])</f>
        <v>0</v>
      </c>
      <c r="N989" s="1">
        <f>IF(Calculations!$F$5="ACCREDITED 17025 WITH UNCERTAINTIES",$N$10,0)</f>
        <v>0</v>
      </c>
      <c r="O989" s="1" t="str">
        <f>IFERROR(Table1[[#This Row],[Std Nom]]-(_xlfn.XLOOKUP(Table1[[#This Row],[Manufacturer]]&amp;" "&amp;Table1[[#This Row],[Model]],Table13[MFR &amp; MDL],Table13[Tolerance % CW ],"")/100*Table1[[#This Row],[Std Nom]]),"")</f>
        <v/>
      </c>
      <c r="P989" s="1" t="str">
        <f>IFERROR(Table1[[#This Row],[Std Nom]]+(_xlfn.XLOOKUP(Table1[[#This Row],[Manufacturer]]&amp;" "&amp;Table1[[#This Row],[Model]],Table13[MFR &amp; MDL],Table13[Tolerance % CW ],"")/100*Table1[[#This Row],[Std Nom]]),"")</f>
        <v/>
      </c>
      <c r="Q989" s="1" t="e">
        <f>Table1[[#This Row],[High Tol]]-Table1[[#This Row],[Low Tol]]</f>
        <v>#VALUE!</v>
      </c>
      <c r="R989" s="1">
        <f>2*Table1[[#This Row],[Std Error]]</f>
        <v>0</v>
      </c>
      <c r="S989" s="1" t="str">
        <f>IF(Table1[[#This Row],[High Tol]]="","N/A",IFERROR(ABS(Table1[[#This Row],[Tol Span]]/Table1[[#This Row],[Error Span]]),"N/A"))</f>
        <v>N/A</v>
      </c>
      <c r="T989" s="1" t="str">
        <f>IF(OR(Table1[[#This Row],[Low Tol]]="",Table1[[#This Row],[High Tol]]=""),"Needs Analysis",IF(Table1[[#This Row],[Ratio]]&gt;=4,"Not Significant",IF(Table1[[#This Row],[Ratio]]&gt;=2,"Semi-Significant","Significant")))</f>
        <v>Needs Analysis</v>
      </c>
      <c r="W989" s="1">
        <f>IF(Table1[[#This Row],[Cal Type]]&lt;&gt;"ACCREDITED 17025 WITH UNCERTAINTIES",0,"")</f>
        <v>0</v>
      </c>
      <c r="X989" s="1" t="str">
        <f>IF(Table1[[#This Row],[DUT Read]]="","N/A",Table1[[#This Row],[Std Error]]+Table1[[#This Row],[DUT Read]]+Table1[[#This Row],[DUT Ucty]])</f>
        <v>N/A</v>
      </c>
      <c r="Y989" s="1" t="str">
        <f>IF(Table1[[#This Row],[Std Read]]="","N/A",Table1[[#This Row],[Std Read]]+Table1[[#This Row],[Std Ucty]])</f>
        <v>N/A</v>
      </c>
      <c r="Z9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9" s="1" t="str">
        <f>IF(Table1[[#This Row],[Spec Type]]="","N/A",Table1[[#This Row],[Spec Type]])</f>
        <v>±</v>
      </c>
      <c r="AC989" s="1" t="str">
        <f>IF(Table1[[#This Row],[Spec Type2]]="N/A","N/A",IF(AND(Table1[[#This Row],[DUT Adj Read]]&gt;=Table1[[#This Row],[Low Tol]],Table1[[#This Row],[DUT Adj Read]]&lt;=Table1[[#This Row],[High Tol]]),"Pass","Fail"))</f>
        <v>Fail</v>
      </c>
      <c r="AD989" s="1" t="str">
        <f>IF(AND(Table1[[#This Row],[Spec Type2]]="N/A",Table1[[#This Row],[DUT Adj Read]]="N/A",Table1[[#This Row],[Std Adj Read]]="N/A"),"N/A",IF(Table1[[#This Row],[DUT Adj Read]]="N/A",IF(Table1[[#This Row],[Std Adj Read]]&gt;Table1[[#This Row],[Low Tol]],"Pass","Fail"),IF(Table1[[#This Row],[DUT Adj Read]]&gt;Table1[[#This Row],[Low Tol]],"Pass","Fail")))</f>
        <v>Pass</v>
      </c>
      <c r="AE989" s="1" t="str">
        <f>IF(AND(Table1[[#This Row],[Spec Type2]]="N/A",Table1[[#This Row],[DUT Adj Read]]="N/A",Table1[[#This Row],[Std Adj Read]]="N/A"),"N/A",IF(Table1[[#This Row],[DUT Adj Read]]="N/A",IF(Table1[[#This Row],[Std Adj Read]]&lt;Table1[[#This Row],[High Tol]],"Pass","Fail"),IF(Table1[[#This Row],[DUT Adj Read]]&lt;Table1[[#This Row],[High Tol]],"Pass","Fail")))</f>
        <v>Fail</v>
      </c>
      <c r="AF989" s="1" t="str">
        <f>IF(AND(Table1[[#This Row],[Spec Type2]]="N/A",Table1[[#This Row],[DUT Adj Read]]="N/A",Table1[[#This Row],[Std Adj Read]]="N/A"),"N/A",IF(Table1[[#This Row],[DUT Adj Read]]="N/A",IF(Table1[[#This Row],[Std Adj Read]]&gt;=Table1[[#This Row],[Low Tol]],"Pass","Fail"),IF(Table1[[#This Row],[DUT Adj Read]]&gt;=Table1[[#This Row],[Low Tol]],"Pass","Fail")))</f>
        <v>Pass</v>
      </c>
      <c r="AG989" s="1" t="str">
        <f>IF(AND(Table1[[#This Row],[Spec Type2]]="N/A",Table1[[#This Row],[DUT Adj Read]]="N/A",Table1[[#This Row],[Std Adj Read]]="N/A"),"N/A",IF(Table1[[#This Row],[DUT Adj Read]]="N/A",IF(Table1[[#This Row],[Std Adj Read]]&lt;=Table1[[#This Row],[High Tol]],"Pass","Fail"),IF(Table1[[#This Row],[DUT Adj Read]]&lt;=Table1[[#This Row],[High Tol]],"Pass","Fail")))</f>
        <v>Fail</v>
      </c>
      <c r="AH9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9" s="1" t="b">
        <v>0</v>
      </c>
      <c r="AN989" s="1" t="b">
        <v>0</v>
      </c>
      <c r="AO989" s="1" t="b">
        <v>0</v>
      </c>
    </row>
    <row r="990" spans="1:41" x14ac:dyDescent="0.25">
      <c r="A990" s="10"/>
      <c r="B990" s="10"/>
      <c r="C990" s="10"/>
      <c r="D990" s="10"/>
      <c r="E990" s="10"/>
      <c r="F990" s="10"/>
      <c r="G990" s="10"/>
      <c r="H990" s="10"/>
      <c r="I990" s="1" t="str">
        <f t="shared" si="45"/>
        <v/>
      </c>
      <c r="J990" s="1" t="s">
        <v>35</v>
      </c>
      <c r="K990" s="1" t="str">
        <f t="shared" si="46"/>
        <v/>
      </c>
      <c r="L990" s="1" t="str">
        <f t="shared" si="47"/>
        <v/>
      </c>
      <c r="M990" s="1">
        <f>IF(OR(Table1[[#This Row],[Std Nom]]="",Table1[[#This Row],[Std Read]]=""),0,Table1[[#This Row],[Std Nom]]-Table1[[#This Row],[Std Read]])</f>
        <v>0</v>
      </c>
      <c r="N990" s="1">
        <f>IF(Calculations!$F$5="ACCREDITED 17025 WITH UNCERTAINTIES",$N$10,0)</f>
        <v>0</v>
      </c>
      <c r="O990" s="1" t="str">
        <f>IFERROR(Table1[[#This Row],[Std Nom]]-(_xlfn.XLOOKUP(Table1[[#This Row],[Manufacturer]]&amp;" "&amp;Table1[[#This Row],[Model]],Table13[MFR &amp; MDL],Table13[Tolerance % CW ],"")/100*Table1[[#This Row],[Std Nom]]),"")</f>
        <v/>
      </c>
      <c r="P990" s="1" t="str">
        <f>IFERROR(Table1[[#This Row],[Std Nom]]+(_xlfn.XLOOKUP(Table1[[#This Row],[Manufacturer]]&amp;" "&amp;Table1[[#This Row],[Model]],Table13[MFR &amp; MDL],Table13[Tolerance % CW ],"")/100*Table1[[#This Row],[Std Nom]]),"")</f>
        <v/>
      </c>
      <c r="Q990" s="1" t="e">
        <f>Table1[[#This Row],[High Tol]]-Table1[[#This Row],[Low Tol]]</f>
        <v>#VALUE!</v>
      </c>
      <c r="R990" s="1">
        <f>2*Table1[[#This Row],[Std Error]]</f>
        <v>0</v>
      </c>
      <c r="S990" s="1" t="str">
        <f>IF(Table1[[#This Row],[High Tol]]="","N/A",IFERROR(ABS(Table1[[#This Row],[Tol Span]]/Table1[[#This Row],[Error Span]]),"N/A"))</f>
        <v>N/A</v>
      </c>
      <c r="T990" s="1" t="str">
        <f>IF(OR(Table1[[#This Row],[Low Tol]]="",Table1[[#This Row],[High Tol]]=""),"Needs Analysis",IF(Table1[[#This Row],[Ratio]]&gt;=4,"Not Significant",IF(Table1[[#This Row],[Ratio]]&gt;=2,"Semi-Significant","Significant")))</f>
        <v>Needs Analysis</v>
      </c>
      <c r="W990" s="1">
        <f>IF(Table1[[#This Row],[Cal Type]]&lt;&gt;"ACCREDITED 17025 WITH UNCERTAINTIES",0,"")</f>
        <v>0</v>
      </c>
      <c r="X990" s="1" t="str">
        <f>IF(Table1[[#This Row],[DUT Read]]="","N/A",Table1[[#This Row],[Std Error]]+Table1[[#This Row],[DUT Read]]+Table1[[#This Row],[DUT Ucty]])</f>
        <v>N/A</v>
      </c>
      <c r="Y990" s="1" t="str">
        <f>IF(Table1[[#This Row],[Std Read]]="","N/A",Table1[[#This Row],[Std Read]]+Table1[[#This Row],[Std Ucty]])</f>
        <v>N/A</v>
      </c>
      <c r="Z9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0" s="1" t="str">
        <f>IF(Table1[[#This Row],[Spec Type]]="","N/A",Table1[[#This Row],[Spec Type]])</f>
        <v>±</v>
      </c>
      <c r="AC990" s="1" t="str">
        <f>IF(Table1[[#This Row],[Spec Type2]]="N/A","N/A",IF(AND(Table1[[#This Row],[DUT Adj Read]]&gt;=Table1[[#This Row],[Low Tol]],Table1[[#This Row],[DUT Adj Read]]&lt;=Table1[[#This Row],[High Tol]]),"Pass","Fail"))</f>
        <v>Fail</v>
      </c>
      <c r="AD990" s="1" t="str">
        <f>IF(AND(Table1[[#This Row],[Spec Type2]]="N/A",Table1[[#This Row],[DUT Adj Read]]="N/A",Table1[[#This Row],[Std Adj Read]]="N/A"),"N/A",IF(Table1[[#This Row],[DUT Adj Read]]="N/A",IF(Table1[[#This Row],[Std Adj Read]]&gt;Table1[[#This Row],[Low Tol]],"Pass","Fail"),IF(Table1[[#This Row],[DUT Adj Read]]&gt;Table1[[#This Row],[Low Tol]],"Pass","Fail")))</f>
        <v>Pass</v>
      </c>
      <c r="AE990" s="1" t="str">
        <f>IF(AND(Table1[[#This Row],[Spec Type2]]="N/A",Table1[[#This Row],[DUT Adj Read]]="N/A",Table1[[#This Row],[Std Adj Read]]="N/A"),"N/A",IF(Table1[[#This Row],[DUT Adj Read]]="N/A",IF(Table1[[#This Row],[Std Adj Read]]&lt;Table1[[#This Row],[High Tol]],"Pass","Fail"),IF(Table1[[#This Row],[DUT Adj Read]]&lt;Table1[[#This Row],[High Tol]],"Pass","Fail")))</f>
        <v>Fail</v>
      </c>
      <c r="AF990" s="1" t="str">
        <f>IF(AND(Table1[[#This Row],[Spec Type2]]="N/A",Table1[[#This Row],[DUT Adj Read]]="N/A",Table1[[#This Row],[Std Adj Read]]="N/A"),"N/A",IF(Table1[[#This Row],[DUT Adj Read]]="N/A",IF(Table1[[#This Row],[Std Adj Read]]&gt;=Table1[[#This Row],[Low Tol]],"Pass","Fail"),IF(Table1[[#This Row],[DUT Adj Read]]&gt;=Table1[[#This Row],[Low Tol]],"Pass","Fail")))</f>
        <v>Pass</v>
      </c>
      <c r="AG990" s="1" t="str">
        <f>IF(AND(Table1[[#This Row],[Spec Type2]]="N/A",Table1[[#This Row],[DUT Adj Read]]="N/A",Table1[[#This Row],[Std Adj Read]]="N/A"),"N/A",IF(Table1[[#This Row],[DUT Adj Read]]="N/A",IF(Table1[[#This Row],[Std Adj Read]]&lt;=Table1[[#This Row],[High Tol]],"Pass","Fail"),IF(Table1[[#This Row],[DUT Adj Read]]&lt;=Table1[[#This Row],[High Tol]],"Pass","Fail")))</f>
        <v>Fail</v>
      </c>
      <c r="AH9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0" s="1" t="b">
        <v>0</v>
      </c>
      <c r="AN990" s="1" t="b">
        <v>0</v>
      </c>
      <c r="AO990" s="1" t="b">
        <v>0</v>
      </c>
    </row>
    <row r="991" spans="1:41" x14ac:dyDescent="0.25">
      <c r="A991" s="10"/>
      <c r="B991" s="10"/>
      <c r="C991" s="10"/>
      <c r="D991" s="10"/>
      <c r="E991" s="10"/>
      <c r="F991" s="10"/>
      <c r="G991" s="10"/>
      <c r="H991" s="10"/>
      <c r="I991" s="1" t="str">
        <f t="shared" si="45"/>
        <v/>
      </c>
      <c r="J991" s="1" t="s">
        <v>35</v>
      </c>
      <c r="K991" s="1" t="str">
        <f t="shared" si="46"/>
        <v/>
      </c>
      <c r="L991" s="1" t="str">
        <f t="shared" si="47"/>
        <v/>
      </c>
      <c r="M991" s="1">
        <f>IF(OR(Table1[[#This Row],[Std Nom]]="",Table1[[#This Row],[Std Read]]=""),0,Table1[[#This Row],[Std Nom]]-Table1[[#This Row],[Std Read]])</f>
        <v>0</v>
      </c>
      <c r="N991" s="1">
        <f>IF(Calculations!$F$5="ACCREDITED 17025 WITH UNCERTAINTIES",$N$10,0)</f>
        <v>0</v>
      </c>
      <c r="O991" s="1" t="str">
        <f>IFERROR(Table1[[#This Row],[Std Nom]]-(_xlfn.XLOOKUP(Table1[[#This Row],[Manufacturer]]&amp;" "&amp;Table1[[#This Row],[Model]],Table13[MFR &amp; MDL],Table13[Tolerance % CW ],"")/100*Table1[[#This Row],[Std Nom]]),"")</f>
        <v/>
      </c>
      <c r="P991" s="1" t="str">
        <f>IFERROR(Table1[[#This Row],[Std Nom]]+(_xlfn.XLOOKUP(Table1[[#This Row],[Manufacturer]]&amp;" "&amp;Table1[[#This Row],[Model]],Table13[MFR &amp; MDL],Table13[Tolerance % CW ],"")/100*Table1[[#This Row],[Std Nom]]),"")</f>
        <v/>
      </c>
      <c r="Q991" s="1" t="e">
        <f>Table1[[#This Row],[High Tol]]-Table1[[#This Row],[Low Tol]]</f>
        <v>#VALUE!</v>
      </c>
      <c r="R991" s="1">
        <f>2*Table1[[#This Row],[Std Error]]</f>
        <v>0</v>
      </c>
      <c r="S991" s="1" t="str">
        <f>IF(Table1[[#This Row],[High Tol]]="","N/A",IFERROR(ABS(Table1[[#This Row],[Tol Span]]/Table1[[#This Row],[Error Span]]),"N/A"))</f>
        <v>N/A</v>
      </c>
      <c r="T991" s="1" t="str">
        <f>IF(OR(Table1[[#This Row],[Low Tol]]="",Table1[[#This Row],[High Tol]]=""),"Needs Analysis",IF(Table1[[#This Row],[Ratio]]&gt;=4,"Not Significant",IF(Table1[[#This Row],[Ratio]]&gt;=2,"Semi-Significant","Significant")))</f>
        <v>Needs Analysis</v>
      </c>
      <c r="W991" s="1">
        <f>IF(Table1[[#This Row],[Cal Type]]&lt;&gt;"ACCREDITED 17025 WITH UNCERTAINTIES",0,"")</f>
        <v>0</v>
      </c>
      <c r="X991" s="1" t="str">
        <f>IF(Table1[[#This Row],[DUT Read]]="","N/A",Table1[[#This Row],[Std Error]]+Table1[[#This Row],[DUT Read]]+Table1[[#This Row],[DUT Ucty]])</f>
        <v>N/A</v>
      </c>
      <c r="Y991" s="1" t="str">
        <f>IF(Table1[[#This Row],[Std Read]]="","N/A",Table1[[#This Row],[Std Read]]+Table1[[#This Row],[Std Ucty]])</f>
        <v>N/A</v>
      </c>
      <c r="Z9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1" s="1" t="str">
        <f>IF(Table1[[#This Row],[Spec Type]]="","N/A",Table1[[#This Row],[Spec Type]])</f>
        <v>±</v>
      </c>
      <c r="AC991" s="1" t="str">
        <f>IF(Table1[[#This Row],[Spec Type2]]="N/A","N/A",IF(AND(Table1[[#This Row],[DUT Adj Read]]&gt;=Table1[[#This Row],[Low Tol]],Table1[[#This Row],[DUT Adj Read]]&lt;=Table1[[#This Row],[High Tol]]),"Pass","Fail"))</f>
        <v>Fail</v>
      </c>
      <c r="AD991" s="1" t="str">
        <f>IF(AND(Table1[[#This Row],[Spec Type2]]="N/A",Table1[[#This Row],[DUT Adj Read]]="N/A",Table1[[#This Row],[Std Adj Read]]="N/A"),"N/A",IF(Table1[[#This Row],[DUT Adj Read]]="N/A",IF(Table1[[#This Row],[Std Adj Read]]&gt;Table1[[#This Row],[Low Tol]],"Pass","Fail"),IF(Table1[[#This Row],[DUT Adj Read]]&gt;Table1[[#This Row],[Low Tol]],"Pass","Fail")))</f>
        <v>Pass</v>
      </c>
      <c r="AE991" s="1" t="str">
        <f>IF(AND(Table1[[#This Row],[Spec Type2]]="N/A",Table1[[#This Row],[DUT Adj Read]]="N/A",Table1[[#This Row],[Std Adj Read]]="N/A"),"N/A",IF(Table1[[#This Row],[DUT Adj Read]]="N/A",IF(Table1[[#This Row],[Std Adj Read]]&lt;Table1[[#This Row],[High Tol]],"Pass","Fail"),IF(Table1[[#This Row],[DUT Adj Read]]&lt;Table1[[#This Row],[High Tol]],"Pass","Fail")))</f>
        <v>Fail</v>
      </c>
      <c r="AF991" s="1" t="str">
        <f>IF(AND(Table1[[#This Row],[Spec Type2]]="N/A",Table1[[#This Row],[DUT Adj Read]]="N/A",Table1[[#This Row],[Std Adj Read]]="N/A"),"N/A",IF(Table1[[#This Row],[DUT Adj Read]]="N/A",IF(Table1[[#This Row],[Std Adj Read]]&gt;=Table1[[#This Row],[Low Tol]],"Pass","Fail"),IF(Table1[[#This Row],[DUT Adj Read]]&gt;=Table1[[#This Row],[Low Tol]],"Pass","Fail")))</f>
        <v>Pass</v>
      </c>
      <c r="AG991" s="1" t="str">
        <f>IF(AND(Table1[[#This Row],[Spec Type2]]="N/A",Table1[[#This Row],[DUT Adj Read]]="N/A",Table1[[#This Row],[Std Adj Read]]="N/A"),"N/A",IF(Table1[[#This Row],[DUT Adj Read]]="N/A",IF(Table1[[#This Row],[Std Adj Read]]&lt;=Table1[[#This Row],[High Tol]],"Pass","Fail"),IF(Table1[[#This Row],[DUT Adj Read]]&lt;=Table1[[#This Row],[High Tol]],"Pass","Fail")))</f>
        <v>Fail</v>
      </c>
      <c r="AH9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1" s="1" t="b">
        <v>0</v>
      </c>
      <c r="AN991" s="1" t="b">
        <v>0</v>
      </c>
      <c r="AO991" s="1" t="b">
        <v>0</v>
      </c>
    </row>
    <row r="992" spans="1:41" x14ac:dyDescent="0.25">
      <c r="A992" s="10"/>
      <c r="B992" s="10"/>
      <c r="C992" s="10"/>
      <c r="D992" s="10"/>
      <c r="E992" s="10"/>
      <c r="F992" s="10"/>
      <c r="G992" s="10"/>
      <c r="H992" s="10"/>
      <c r="I992" s="1" t="str">
        <f t="shared" si="45"/>
        <v/>
      </c>
      <c r="J992" s="1" t="s">
        <v>35</v>
      </c>
      <c r="K992" s="1" t="str">
        <f t="shared" si="46"/>
        <v/>
      </c>
      <c r="L992" s="1" t="str">
        <f t="shared" si="47"/>
        <v/>
      </c>
      <c r="M992" s="1">
        <f>IF(OR(Table1[[#This Row],[Std Nom]]="",Table1[[#This Row],[Std Read]]=""),0,Table1[[#This Row],[Std Nom]]-Table1[[#This Row],[Std Read]])</f>
        <v>0</v>
      </c>
      <c r="N992" s="1">
        <f>IF(Calculations!$F$5="ACCREDITED 17025 WITH UNCERTAINTIES",$N$10,0)</f>
        <v>0</v>
      </c>
      <c r="O992" s="1" t="str">
        <f>IFERROR(Table1[[#This Row],[Std Nom]]-(_xlfn.XLOOKUP(Table1[[#This Row],[Manufacturer]]&amp;" "&amp;Table1[[#This Row],[Model]],Table13[MFR &amp; MDL],Table13[Tolerance % CW ],"")/100*Table1[[#This Row],[Std Nom]]),"")</f>
        <v/>
      </c>
      <c r="P992" s="1" t="str">
        <f>IFERROR(Table1[[#This Row],[Std Nom]]+(_xlfn.XLOOKUP(Table1[[#This Row],[Manufacturer]]&amp;" "&amp;Table1[[#This Row],[Model]],Table13[MFR &amp; MDL],Table13[Tolerance % CW ],"")/100*Table1[[#This Row],[Std Nom]]),"")</f>
        <v/>
      </c>
      <c r="Q992" s="1" t="e">
        <f>Table1[[#This Row],[High Tol]]-Table1[[#This Row],[Low Tol]]</f>
        <v>#VALUE!</v>
      </c>
      <c r="R992" s="1">
        <f>2*Table1[[#This Row],[Std Error]]</f>
        <v>0</v>
      </c>
      <c r="S992" s="1" t="str">
        <f>IF(Table1[[#This Row],[High Tol]]="","N/A",IFERROR(ABS(Table1[[#This Row],[Tol Span]]/Table1[[#This Row],[Error Span]]),"N/A"))</f>
        <v>N/A</v>
      </c>
      <c r="T992" s="1" t="str">
        <f>IF(OR(Table1[[#This Row],[Low Tol]]="",Table1[[#This Row],[High Tol]]=""),"Needs Analysis",IF(Table1[[#This Row],[Ratio]]&gt;=4,"Not Significant",IF(Table1[[#This Row],[Ratio]]&gt;=2,"Semi-Significant","Significant")))</f>
        <v>Needs Analysis</v>
      </c>
      <c r="W992" s="1">
        <f>IF(Table1[[#This Row],[Cal Type]]&lt;&gt;"ACCREDITED 17025 WITH UNCERTAINTIES",0,"")</f>
        <v>0</v>
      </c>
      <c r="X992" s="1" t="str">
        <f>IF(Table1[[#This Row],[DUT Read]]="","N/A",Table1[[#This Row],[Std Error]]+Table1[[#This Row],[DUT Read]]+Table1[[#This Row],[DUT Ucty]])</f>
        <v>N/A</v>
      </c>
      <c r="Y992" s="1" t="str">
        <f>IF(Table1[[#This Row],[Std Read]]="","N/A",Table1[[#This Row],[Std Read]]+Table1[[#This Row],[Std Ucty]])</f>
        <v>N/A</v>
      </c>
      <c r="Z9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2" s="1" t="str">
        <f>IF(Table1[[#This Row],[Spec Type]]="","N/A",Table1[[#This Row],[Spec Type]])</f>
        <v>±</v>
      </c>
      <c r="AC992" s="1" t="str">
        <f>IF(Table1[[#This Row],[Spec Type2]]="N/A","N/A",IF(AND(Table1[[#This Row],[DUT Adj Read]]&gt;=Table1[[#This Row],[Low Tol]],Table1[[#This Row],[DUT Adj Read]]&lt;=Table1[[#This Row],[High Tol]]),"Pass","Fail"))</f>
        <v>Fail</v>
      </c>
      <c r="AD992" s="1" t="str">
        <f>IF(AND(Table1[[#This Row],[Spec Type2]]="N/A",Table1[[#This Row],[DUT Adj Read]]="N/A",Table1[[#This Row],[Std Adj Read]]="N/A"),"N/A",IF(Table1[[#This Row],[DUT Adj Read]]="N/A",IF(Table1[[#This Row],[Std Adj Read]]&gt;Table1[[#This Row],[Low Tol]],"Pass","Fail"),IF(Table1[[#This Row],[DUT Adj Read]]&gt;Table1[[#This Row],[Low Tol]],"Pass","Fail")))</f>
        <v>Pass</v>
      </c>
      <c r="AE992" s="1" t="str">
        <f>IF(AND(Table1[[#This Row],[Spec Type2]]="N/A",Table1[[#This Row],[DUT Adj Read]]="N/A",Table1[[#This Row],[Std Adj Read]]="N/A"),"N/A",IF(Table1[[#This Row],[DUT Adj Read]]="N/A",IF(Table1[[#This Row],[Std Adj Read]]&lt;Table1[[#This Row],[High Tol]],"Pass","Fail"),IF(Table1[[#This Row],[DUT Adj Read]]&lt;Table1[[#This Row],[High Tol]],"Pass","Fail")))</f>
        <v>Fail</v>
      </c>
      <c r="AF992" s="1" t="str">
        <f>IF(AND(Table1[[#This Row],[Spec Type2]]="N/A",Table1[[#This Row],[DUT Adj Read]]="N/A",Table1[[#This Row],[Std Adj Read]]="N/A"),"N/A",IF(Table1[[#This Row],[DUT Adj Read]]="N/A",IF(Table1[[#This Row],[Std Adj Read]]&gt;=Table1[[#This Row],[Low Tol]],"Pass","Fail"),IF(Table1[[#This Row],[DUT Adj Read]]&gt;=Table1[[#This Row],[Low Tol]],"Pass","Fail")))</f>
        <v>Pass</v>
      </c>
      <c r="AG992" s="1" t="str">
        <f>IF(AND(Table1[[#This Row],[Spec Type2]]="N/A",Table1[[#This Row],[DUT Adj Read]]="N/A",Table1[[#This Row],[Std Adj Read]]="N/A"),"N/A",IF(Table1[[#This Row],[DUT Adj Read]]="N/A",IF(Table1[[#This Row],[Std Adj Read]]&lt;=Table1[[#This Row],[High Tol]],"Pass","Fail"),IF(Table1[[#This Row],[DUT Adj Read]]&lt;=Table1[[#This Row],[High Tol]],"Pass","Fail")))</f>
        <v>Fail</v>
      </c>
      <c r="AH9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2" s="1" t="b">
        <v>0</v>
      </c>
      <c r="AN992" s="1" t="b">
        <v>0</v>
      </c>
      <c r="AO992" s="1" t="b">
        <v>0</v>
      </c>
    </row>
    <row r="993" spans="1:41" x14ac:dyDescent="0.25">
      <c r="A993" s="10"/>
      <c r="B993" s="10"/>
      <c r="C993" s="10"/>
      <c r="D993" s="10"/>
      <c r="E993" s="10"/>
      <c r="F993" s="10"/>
      <c r="G993" s="10"/>
      <c r="H993" s="10"/>
      <c r="I993" s="1" t="str">
        <f t="shared" si="45"/>
        <v/>
      </c>
      <c r="J993" s="1" t="s">
        <v>35</v>
      </c>
      <c r="K993" s="1" t="str">
        <f t="shared" si="46"/>
        <v/>
      </c>
      <c r="L993" s="1" t="str">
        <f t="shared" si="47"/>
        <v/>
      </c>
      <c r="M993" s="1">
        <f>IF(OR(Table1[[#This Row],[Std Nom]]="",Table1[[#This Row],[Std Read]]=""),0,Table1[[#This Row],[Std Nom]]-Table1[[#This Row],[Std Read]])</f>
        <v>0</v>
      </c>
      <c r="N993" s="1">
        <f>IF(Calculations!$F$5="ACCREDITED 17025 WITH UNCERTAINTIES",$N$10,0)</f>
        <v>0</v>
      </c>
      <c r="O993" s="1" t="str">
        <f>IFERROR(Table1[[#This Row],[Std Nom]]-(_xlfn.XLOOKUP(Table1[[#This Row],[Manufacturer]]&amp;" "&amp;Table1[[#This Row],[Model]],Table13[MFR &amp; MDL],Table13[Tolerance % CW ],"")/100*Table1[[#This Row],[Std Nom]]),"")</f>
        <v/>
      </c>
      <c r="P993" s="1" t="str">
        <f>IFERROR(Table1[[#This Row],[Std Nom]]+(_xlfn.XLOOKUP(Table1[[#This Row],[Manufacturer]]&amp;" "&amp;Table1[[#This Row],[Model]],Table13[MFR &amp; MDL],Table13[Tolerance % CW ],"")/100*Table1[[#This Row],[Std Nom]]),"")</f>
        <v/>
      </c>
      <c r="Q993" s="1" t="e">
        <f>Table1[[#This Row],[High Tol]]-Table1[[#This Row],[Low Tol]]</f>
        <v>#VALUE!</v>
      </c>
      <c r="R993" s="1">
        <f>2*Table1[[#This Row],[Std Error]]</f>
        <v>0</v>
      </c>
      <c r="S993" s="1" t="str">
        <f>IF(Table1[[#This Row],[High Tol]]="","N/A",IFERROR(ABS(Table1[[#This Row],[Tol Span]]/Table1[[#This Row],[Error Span]]),"N/A"))</f>
        <v>N/A</v>
      </c>
      <c r="T993" s="1" t="str">
        <f>IF(OR(Table1[[#This Row],[Low Tol]]="",Table1[[#This Row],[High Tol]]=""),"Needs Analysis",IF(Table1[[#This Row],[Ratio]]&gt;=4,"Not Significant",IF(Table1[[#This Row],[Ratio]]&gt;=2,"Semi-Significant","Significant")))</f>
        <v>Needs Analysis</v>
      </c>
      <c r="W993" s="1">
        <f>IF(Table1[[#This Row],[Cal Type]]&lt;&gt;"ACCREDITED 17025 WITH UNCERTAINTIES",0,"")</f>
        <v>0</v>
      </c>
      <c r="X993" s="1" t="str">
        <f>IF(Table1[[#This Row],[DUT Read]]="","N/A",Table1[[#This Row],[Std Error]]+Table1[[#This Row],[DUT Read]]+Table1[[#This Row],[DUT Ucty]])</f>
        <v>N/A</v>
      </c>
      <c r="Y993" s="1" t="str">
        <f>IF(Table1[[#This Row],[Std Read]]="","N/A",Table1[[#This Row],[Std Read]]+Table1[[#This Row],[Std Ucty]])</f>
        <v>N/A</v>
      </c>
      <c r="Z9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3" s="1" t="str">
        <f>IF(Table1[[#This Row],[Spec Type]]="","N/A",Table1[[#This Row],[Spec Type]])</f>
        <v>±</v>
      </c>
      <c r="AC993" s="1" t="str">
        <f>IF(Table1[[#This Row],[Spec Type2]]="N/A","N/A",IF(AND(Table1[[#This Row],[DUT Adj Read]]&gt;=Table1[[#This Row],[Low Tol]],Table1[[#This Row],[DUT Adj Read]]&lt;=Table1[[#This Row],[High Tol]]),"Pass","Fail"))</f>
        <v>Fail</v>
      </c>
      <c r="AD993" s="1" t="str">
        <f>IF(AND(Table1[[#This Row],[Spec Type2]]="N/A",Table1[[#This Row],[DUT Adj Read]]="N/A",Table1[[#This Row],[Std Adj Read]]="N/A"),"N/A",IF(Table1[[#This Row],[DUT Adj Read]]="N/A",IF(Table1[[#This Row],[Std Adj Read]]&gt;Table1[[#This Row],[Low Tol]],"Pass","Fail"),IF(Table1[[#This Row],[DUT Adj Read]]&gt;Table1[[#This Row],[Low Tol]],"Pass","Fail")))</f>
        <v>Pass</v>
      </c>
      <c r="AE993" s="1" t="str">
        <f>IF(AND(Table1[[#This Row],[Spec Type2]]="N/A",Table1[[#This Row],[DUT Adj Read]]="N/A",Table1[[#This Row],[Std Adj Read]]="N/A"),"N/A",IF(Table1[[#This Row],[DUT Adj Read]]="N/A",IF(Table1[[#This Row],[Std Adj Read]]&lt;Table1[[#This Row],[High Tol]],"Pass","Fail"),IF(Table1[[#This Row],[DUT Adj Read]]&lt;Table1[[#This Row],[High Tol]],"Pass","Fail")))</f>
        <v>Fail</v>
      </c>
      <c r="AF993" s="1" t="str">
        <f>IF(AND(Table1[[#This Row],[Spec Type2]]="N/A",Table1[[#This Row],[DUT Adj Read]]="N/A",Table1[[#This Row],[Std Adj Read]]="N/A"),"N/A",IF(Table1[[#This Row],[DUT Adj Read]]="N/A",IF(Table1[[#This Row],[Std Adj Read]]&gt;=Table1[[#This Row],[Low Tol]],"Pass","Fail"),IF(Table1[[#This Row],[DUT Adj Read]]&gt;=Table1[[#This Row],[Low Tol]],"Pass","Fail")))</f>
        <v>Pass</v>
      </c>
      <c r="AG993" s="1" t="str">
        <f>IF(AND(Table1[[#This Row],[Spec Type2]]="N/A",Table1[[#This Row],[DUT Adj Read]]="N/A",Table1[[#This Row],[Std Adj Read]]="N/A"),"N/A",IF(Table1[[#This Row],[DUT Adj Read]]="N/A",IF(Table1[[#This Row],[Std Adj Read]]&lt;=Table1[[#This Row],[High Tol]],"Pass","Fail"),IF(Table1[[#This Row],[DUT Adj Read]]&lt;=Table1[[#This Row],[High Tol]],"Pass","Fail")))</f>
        <v>Fail</v>
      </c>
      <c r="AH9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3" s="1" t="b">
        <v>0</v>
      </c>
      <c r="AN993" s="1" t="b">
        <v>0</v>
      </c>
      <c r="AO993" s="1" t="b">
        <v>0</v>
      </c>
    </row>
    <row r="994" spans="1:41" x14ac:dyDescent="0.25">
      <c r="A994" s="10"/>
      <c r="B994" s="10"/>
      <c r="C994" s="10"/>
      <c r="D994" s="10"/>
      <c r="E994" s="10"/>
      <c r="F994" s="10"/>
      <c r="G994" s="10"/>
      <c r="H994" s="10"/>
      <c r="I994" s="1" t="str">
        <f t="shared" si="45"/>
        <v/>
      </c>
      <c r="J994" s="1" t="s">
        <v>35</v>
      </c>
      <c r="K994" s="1" t="str">
        <f t="shared" si="46"/>
        <v/>
      </c>
      <c r="L994" s="1" t="str">
        <f t="shared" si="47"/>
        <v/>
      </c>
      <c r="M994" s="1">
        <f>IF(OR(Table1[[#This Row],[Std Nom]]="",Table1[[#This Row],[Std Read]]=""),0,Table1[[#This Row],[Std Nom]]-Table1[[#This Row],[Std Read]])</f>
        <v>0</v>
      </c>
      <c r="N994" s="1">
        <f>IF(Calculations!$F$5="ACCREDITED 17025 WITH UNCERTAINTIES",$N$10,0)</f>
        <v>0</v>
      </c>
      <c r="O994" s="1" t="str">
        <f>IFERROR(Table1[[#This Row],[Std Nom]]-(_xlfn.XLOOKUP(Table1[[#This Row],[Manufacturer]]&amp;" "&amp;Table1[[#This Row],[Model]],Table13[MFR &amp; MDL],Table13[Tolerance % CW ],"")/100*Table1[[#This Row],[Std Nom]]),"")</f>
        <v/>
      </c>
      <c r="P994" s="1" t="str">
        <f>IFERROR(Table1[[#This Row],[Std Nom]]+(_xlfn.XLOOKUP(Table1[[#This Row],[Manufacturer]]&amp;" "&amp;Table1[[#This Row],[Model]],Table13[MFR &amp; MDL],Table13[Tolerance % CW ],"")/100*Table1[[#This Row],[Std Nom]]),"")</f>
        <v/>
      </c>
      <c r="Q994" s="1" t="e">
        <f>Table1[[#This Row],[High Tol]]-Table1[[#This Row],[Low Tol]]</f>
        <v>#VALUE!</v>
      </c>
      <c r="R994" s="1">
        <f>2*Table1[[#This Row],[Std Error]]</f>
        <v>0</v>
      </c>
      <c r="S994" s="1" t="str">
        <f>IF(Table1[[#This Row],[High Tol]]="","N/A",IFERROR(ABS(Table1[[#This Row],[Tol Span]]/Table1[[#This Row],[Error Span]]),"N/A"))</f>
        <v>N/A</v>
      </c>
      <c r="T994" s="1" t="str">
        <f>IF(OR(Table1[[#This Row],[Low Tol]]="",Table1[[#This Row],[High Tol]]=""),"Needs Analysis",IF(Table1[[#This Row],[Ratio]]&gt;=4,"Not Significant",IF(Table1[[#This Row],[Ratio]]&gt;=2,"Semi-Significant","Significant")))</f>
        <v>Needs Analysis</v>
      </c>
      <c r="W994" s="1">
        <f>IF(Table1[[#This Row],[Cal Type]]&lt;&gt;"ACCREDITED 17025 WITH UNCERTAINTIES",0,"")</f>
        <v>0</v>
      </c>
      <c r="X994" s="1" t="str">
        <f>IF(Table1[[#This Row],[DUT Read]]="","N/A",Table1[[#This Row],[Std Error]]+Table1[[#This Row],[DUT Read]]+Table1[[#This Row],[DUT Ucty]])</f>
        <v>N/A</v>
      </c>
      <c r="Y994" s="1" t="str">
        <f>IF(Table1[[#This Row],[Std Read]]="","N/A",Table1[[#This Row],[Std Read]]+Table1[[#This Row],[Std Ucty]])</f>
        <v>N/A</v>
      </c>
      <c r="Z9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4" s="1" t="str">
        <f>IF(Table1[[#This Row],[Spec Type]]="","N/A",Table1[[#This Row],[Spec Type]])</f>
        <v>±</v>
      </c>
      <c r="AC994" s="1" t="str">
        <f>IF(Table1[[#This Row],[Spec Type2]]="N/A","N/A",IF(AND(Table1[[#This Row],[DUT Adj Read]]&gt;=Table1[[#This Row],[Low Tol]],Table1[[#This Row],[DUT Adj Read]]&lt;=Table1[[#This Row],[High Tol]]),"Pass","Fail"))</f>
        <v>Fail</v>
      </c>
      <c r="AD994" s="1" t="str">
        <f>IF(AND(Table1[[#This Row],[Spec Type2]]="N/A",Table1[[#This Row],[DUT Adj Read]]="N/A",Table1[[#This Row],[Std Adj Read]]="N/A"),"N/A",IF(Table1[[#This Row],[DUT Adj Read]]="N/A",IF(Table1[[#This Row],[Std Adj Read]]&gt;Table1[[#This Row],[Low Tol]],"Pass","Fail"),IF(Table1[[#This Row],[DUT Adj Read]]&gt;Table1[[#This Row],[Low Tol]],"Pass","Fail")))</f>
        <v>Pass</v>
      </c>
      <c r="AE994" s="1" t="str">
        <f>IF(AND(Table1[[#This Row],[Spec Type2]]="N/A",Table1[[#This Row],[DUT Adj Read]]="N/A",Table1[[#This Row],[Std Adj Read]]="N/A"),"N/A",IF(Table1[[#This Row],[DUT Adj Read]]="N/A",IF(Table1[[#This Row],[Std Adj Read]]&lt;Table1[[#This Row],[High Tol]],"Pass","Fail"),IF(Table1[[#This Row],[DUT Adj Read]]&lt;Table1[[#This Row],[High Tol]],"Pass","Fail")))</f>
        <v>Fail</v>
      </c>
      <c r="AF994" s="1" t="str">
        <f>IF(AND(Table1[[#This Row],[Spec Type2]]="N/A",Table1[[#This Row],[DUT Adj Read]]="N/A",Table1[[#This Row],[Std Adj Read]]="N/A"),"N/A",IF(Table1[[#This Row],[DUT Adj Read]]="N/A",IF(Table1[[#This Row],[Std Adj Read]]&gt;=Table1[[#This Row],[Low Tol]],"Pass","Fail"),IF(Table1[[#This Row],[DUT Adj Read]]&gt;=Table1[[#This Row],[Low Tol]],"Pass","Fail")))</f>
        <v>Pass</v>
      </c>
      <c r="AG994" s="1" t="str">
        <f>IF(AND(Table1[[#This Row],[Spec Type2]]="N/A",Table1[[#This Row],[DUT Adj Read]]="N/A",Table1[[#This Row],[Std Adj Read]]="N/A"),"N/A",IF(Table1[[#This Row],[DUT Adj Read]]="N/A",IF(Table1[[#This Row],[Std Adj Read]]&lt;=Table1[[#This Row],[High Tol]],"Pass","Fail"),IF(Table1[[#This Row],[DUT Adj Read]]&lt;=Table1[[#This Row],[High Tol]],"Pass","Fail")))</f>
        <v>Fail</v>
      </c>
      <c r="AH9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4" s="1" t="b">
        <v>0</v>
      </c>
      <c r="AN994" s="1" t="b">
        <v>0</v>
      </c>
      <c r="AO994" s="1" t="b">
        <v>0</v>
      </c>
    </row>
    <row r="995" spans="1:41" x14ac:dyDescent="0.25">
      <c r="A995" s="10"/>
      <c r="B995" s="10"/>
      <c r="C995" s="10"/>
      <c r="D995" s="10"/>
      <c r="E995" s="10"/>
      <c r="F995" s="10"/>
      <c r="G995" s="10"/>
      <c r="H995" s="10"/>
      <c r="I995" s="1" t="str">
        <f t="shared" si="45"/>
        <v/>
      </c>
      <c r="J995" s="1" t="s">
        <v>35</v>
      </c>
      <c r="K995" s="1" t="str">
        <f t="shared" si="46"/>
        <v/>
      </c>
      <c r="L995" s="1" t="str">
        <f t="shared" si="47"/>
        <v/>
      </c>
      <c r="M995" s="1">
        <f>IF(OR(Table1[[#This Row],[Std Nom]]="",Table1[[#This Row],[Std Read]]=""),0,Table1[[#This Row],[Std Nom]]-Table1[[#This Row],[Std Read]])</f>
        <v>0</v>
      </c>
      <c r="N995" s="1">
        <f>IF(Calculations!$F$5="ACCREDITED 17025 WITH UNCERTAINTIES",$N$10,0)</f>
        <v>0</v>
      </c>
      <c r="O995" s="1" t="str">
        <f>IFERROR(Table1[[#This Row],[Std Nom]]-(_xlfn.XLOOKUP(Table1[[#This Row],[Manufacturer]]&amp;" "&amp;Table1[[#This Row],[Model]],Table13[MFR &amp; MDL],Table13[Tolerance % CW ],"")/100*Table1[[#This Row],[Std Nom]]),"")</f>
        <v/>
      </c>
      <c r="P995" s="1" t="str">
        <f>IFERROR(Table1[[#This Row],[Std Nom]]+(_xlfn.XLOOKUP(Table1[[#This Row],[Manufacturer]]&amp;" "&amp;Table1[[#This Row],[Model]],Table13[MFR &amp; MDL],Table13[Tolerance % CW ],"")/100*Table1[[#This Row],[Std Nom]]),"")</f>
        <v/>
      </c>
      <c r="Q995" s="1" t="e">
        <f>Table1[[#This Row],[High Tol]]-Table1[[#This Row],[Low Tol]]</f>
        <v>#VALUE!</v>
      </c>
      <c r="R995" s="1">
        <f>2*Table1[[#This Row],[Std Error]]</f>
        <v>0</v>
      </c>
      <c r="S995" s="1" t="str">
        <f>IF(Table1[[#This Row],[High Tol]]="","N/A",IFERROR(ABS(Table1[[#This Row],[Tol Span]]/Table1[[#This Row],[Error Span]]),"N/A"))</f>
        <v>N/A</v>
      </c>
      <c r="T995" s="1" t="str">
        <f>IF(OR(Table1[[#This Row],[Low Tol]]="",Table1[[#This Row],[High Tol]]=""),"Needs Analysis",IF(Table1[[#This Row],[Ratio]]&gt;=4,"Not Significant",IF(Table1[[#This Row],[Ratio]]&gt;=2,"Semi-Significant","Significant")))</f>
        <v>Needs Analysis</v>
      </c>
      <c r="W995" s="1">
        <f>IF(Table1[[#This Row],[Cal Type]]&lt;&gt;"ACCREDITED 17025 WITH UNCERTAINTIES",0,"")</f>
        <v>0</v>
      </c>
      <c r="X995" s="1" t="str">
        <f>IF(Table1[[#This Row],[DUT Read]]="","N/A",Table1[[#This Row],[Std Error]]+Table1[[#This Row],[DUT Read]]+Table1[[#This Row],[DUT Ucty]])</f>
        <v>N/A</v>
      </c>
      <c r="Y995" s="1" t="str">
        <f>IF(Table1[[#This Row],[Std Read]]="","N/A",Table1[[#This Row],[Std Read]]+Table1[[#This Row],[Std Ucty]])</f>
        <v>N/A</v>
      </c>
      <c r="Z9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5" s="1" t="str">
        <f>IF(Table1[[#This Row],[Spec Type]]="","N/A",Table1[[#This Row],[Spec Type]])</f>
        <v>±</v>
      </c>
      <c r="AC995" s="1" t="str">
        <f>IF(Table1[[#This Row],[Spec Type2]]="N/A","N/A",IF(AND(Table1[[#This Row],[DUT Adj Read]]&gt;=Table1[[#This Row],[Low Tol]],Table1[[#This Row],[DUT Adj Read]]&lt;=Table1[[#This Row],[High Tol]]),"Pass","Fail"))</f>
        <v>Fail</v>
      </c>
      <c r="AD995" s="1" t="str">
        <f>IF(AND(Table1[[#This Row],[Spec Type2]]="N/A",Table1[[#This Row],[DUT Adj Read]]="N/A",Table1[[#This Row],[Std Adj Read]]="N/A"),"N/A",IF(Table1[[#This Row],[DUT Adj Read]]="N/A",IF(Table1[[#This Row],[Std Adj Read]]&gt;Table1[[#This Row],[Low Tol]],"Pass","Fail"),IF(Table1[[#This Row],[DUT Adj Read]]&gt;Table1[[#This Row],[Low Tol]],"Pass","Fail")))</f>
        <v>Pass</v>
      </c>
      <c r="AE995" s="1" t="str">
        <f>IF(AND(Table1[[#This Row],[Spec Type2]]="N/A",Table1[[#This Row],[DUT Adj Read]]="N/A",Table1[[#This Row],[Std Adj Read]]="N/A"),"N/A",IF(Table1[[#This Row],[DUT Adj Read]]="N/A",IF(Table1[[#This Row],[Std Adj Read]]&lt;Table1[[#This Row],[High Tol]],"Pass","Fail"),IF(Table1[[#This Row],[DUT Adj Read]]&lt;Table1[[#This Row],[High Tol]],"Pass","Fail")))</f>
        <v>Fail</v>
      </c>
      <c r="AF995" s="1" t="str">
        <f>IF(AND(Table1[[#This Row],[Spec Type2]]="N/A",Table1[[#This Row],[DUT Adj Read]]="N/A",Table1[[#This Row],[Std Adj Read]]="N/A"),"N/A",IF(Table1[[#This Row],[DUT Adj Read]]="N/A",IF(Table1[[#This Row],[Std Adj Read]]&gt;=Table1[[#This Row],[Low Tol]],"Pass","Fail"),IF(Table1[[#This Row],[DUT Adj Read]]&gt;=Table1[[#This Row],[Low Tol]],"Pass","Fail")))</f>
        <v>Pass</v>
      </c>
      <c r="AG995" s="1" t="str">
        <f>IF(AND(Table1[[#This Row],[Spec Type2]]="N/A",Table1[[#This Row],[DUT Adj Read]]="N/A",Table1[[#This Row],[Std Adj Read]]="N/A"),"N/A",IF(Table1[[#This Row],[DUT Adj Read]]="N/A",IF(Table1[[#This Row],[Std Adj Read]]&lt;=Table1[[#This Row],[High Tol]],"Pass","Fail"),IF(Table1[[#This Row],[DUT Adj Read]]&lt;=Table1[[#This Row],[High Tol]],"Pass","Fail")))</f>
        <v>Fail</v>
      </c>
      <c r="AH9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5" s="1" t="b">
        <v>0</v>
      </c>
      <c r="AN995" s="1" t="b">
        <v>0</v>
      </c>
      <c r="AO995" s="1" t="b">
        <v>0</v>
      </c>
    </row>
    <row r="996" spans="1:41" x14ac:dyDescent="0.25">
      <c r="A996" s="10"/>
      <c r="B996" s="10"/>
      <c r="C996" s="10"/>
      <c r="D996" s="10"/>
      <c r="E996" s="10"/>
      <c r="F996" s="10"/>
      <c r="G996" s="10"/>
      <c r="H996" s="10"/>
      <c r="I996" s="1" t="str">
        <f t="shared" si="45"/>
        <v/>
      </c>
      <c r="J996" s="1" t="s">
        <v>35</v>
      </c>
      <c r="K996" s="1" t="str">
        <f t="shared" si="46"/>
        <v/>
      </c>
      <c r="L996" s="1" t="str">
        <f t="shared" si="47"/>
        <v/>
      </c>
      <c r="M996" s="1">
        <f>IF(OR(Table1[[#This Row],[Std Nom]]="",Table1[[#This Row],[Std Read]]=""),0,Table1[[#This Row],[Std Nom]]-Table1[[#This Row],[Std Read]])</f>
        <v>0</v>
      </c>
      <c r="N996" s="1">
        <f>IF(Calculations!$F$5="ACCREDITED 17025 WITH UNCERTAINTIES",$N$10,0)</f>
        <v>0</v>
      </c>
      <c r="O996" s="1" t="str">
        <f>IFERROR(Table1[[#This Row],[Std Nom]]-(_xlfn.XLOOKUP(Table1[[#This Row],[Manufacturer]]&amp;" "&amp;Table1[[#This Row],[Model]],Table13[MFR &amp; MDL],Table13[Tolerance % CW ],"")/100*Table1[[#This Row],[Std Nom]]),"")</f>
        <v/>
      </c>
      <c r="P996" s="1" t="str">
        <f>IFERROR(Table1[[#This Row],[Std Nom]]+(_xlfn.XLOOKUP(Table1[[#This Row],[Manufacturer]]&amp;" "&amp;Table1[[#This Row],[Model]],Table13[MFR &amp; MDL],Table13[Tolerance % CW ],"")/100*Table1[[#This Row],[Std Nom]]),"")</f>
        <v/>
      </c>
      <c r="Q996" s="1" t="e">
        <f>Table1[[#This Row],[High Tol]]-Table1[[#This Row],[Low Tol]]</f>
        <v>#VALUE!</v>
      </c>
      <c r="R996" s="1">
        <f>2*Table1[[#This Row],[Std Error]]</f>
        <v>0</v>
      </c>
      <c r="S996" s="1" t="str">
        <f>IF(Table1[[#This Row],[High Tol]]="","N/A",IFERROR(ABS(Table1[[#This Row],[Tol Span]]/Table1[[#This Row],[Error Span]]),"N/A"))</f>
        <v>N/A</v>
      </c>
      <c r="T996" s="1" t="str">
        <f>IF(OR(Table1[[#This Row],[Low Tol]]="",Table1[[#This Row],[High Tol]]=""),"Needs Analysis",IF(Table1[[#This Row],[Ratio]]&gt;=4,"Not Significant",IF(Table1[[#This Row],[Ratio]]&gt;=2,"Semi-Significant","Significant")))</f>
        <v>Needs Analysis</v>
      </c>
      <c r="W996" s="1">
        <f>IF(Table1[[#This Row],[Cal Type]]&lt;&gt;"ACCREDITED 17025 WITH UNCERTAINTIES",0,"")</f>
        <v>0</v>
      </c>
      <c r="X996" s="1" t="str">
        <f>IF(Table1[[#This Row],[DUT Read]]="","N/A",Table1[[#This Row],[Std Error]]+Table1[[#This Row],[DUT Read]]+Table1[[#This Row],[DUT Ucty]])</f>
        <v>N/A</v>
      </c>
      <c r="Y996" s="1" t="str">
        <f>IF(Table1[[#This Row],[Std Read]]="","N/A",Table1[[#This Row],[Std Read]]+Table1[[#This Row],[Std Ucty]])</f>
        <v>N/A</v>
      </c>
      <c r="Z9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6" s="1" t="str">
        <f>IF(Table1[[#This Row],[Spec Type]]="","N/A",Table1[[#This Row],[Spec Type]])</f>
        <v>±</v>
      </c>
      <c r="AC996" s="1" t="str">
        <f>IF(Table1[[#This Row],[Spec Type2]]="N/A","N/A",IF(AND(Table1[[#This Row],[DUT Adj Read]]&gt;=Table1[[#This Row],[Low Tol]],Table1[[#This Row],[DUT Adj Read]]&lt;=Table1[[#This Row],[High Tol]]),"Pass","Fail"))</f>
        <v>Fail</v>
      </c>
      <c r="AD996" s="1" t="str">
        <f>IF(AND(Table1[[#This Row],[Spec Type2]]="N/A",Table1[[#This Row],[DUT Adj Read]]="N/A",Table1[[#This Row],[Std Adj Read]]="N/A"),"N/A",IF(Table1[[#This Row],[DUT Adj Read]]="N/A",IF(Table1[[#This Row],[Std Adj Read]]&gt;Table1[[#This Row],[Low Tol]],"Pass","Fail"),IF(Table1[[#This Row],[DUT Adj Read]]&gt;Table1[[#This Row],[Low Tol]],"Pass","Fail")))</f>
        <v>Pass</v>
      </c>
      <c r="AE996" s="1" t="str">
        <f>IF(AND(Table1[[#This Row],[Spec Type2]]="N/A",Table1[[#This Row],[DUT Adj Read]]="N/A",Table1[[#This Row],[Std Adj Read]]="N/A"),"N/A",IF(Table1[[#This Row],[DUT Adj Read]]="N/A",IF(Table1[[#This Row],[Std Adj Read]]&lt;Table1[[#This Row],[High Tol]],"Pass","Fail"),IF(Table1[[#This Row],[DUT Adj Read]]&lt;Table1[[#This Row],[High Tol]],"Pass","Fail")))</f>
        <v>Fail</v>
      </c>
      <c r="AF996" s="1" t="str">
        <f>IF(AND(Table1[[#This Row],[Spec Type2]]="N/A",Table1[[#This Row],[DUT Adj Read]]="N/A",Table1[[#This Row],[Std Adj Read]]="N/A"),"N/A",IF(Table1[[#This Row],[DUT Adj Read]]="N/A",IF(Table1[[#This Row],[Std Adj Read]]&gt;=Table1[[#This Row],[Low Tol]],"Pass","Fail"),IF(Table1[[#This Row],[DUT Adj Read]]&gt;=Table1[[#This Row],[Low Tol]],"Pass","Fail")))</f>
        <v>Pass</v>
      </c>
      <c r="AG996" s="1" t="str">
        <f>IF(AND(Table1[[#This Row],[Spec Type2]]="N/A",Table1[[#This Row],[DUT Adj Read]]="N/A",Table1[[#This Row],[Std Adj Read]]="N/A"),"N/A",IF(Table1[[#This Row],[DUT Adj Read]]="N/A",IF(Table1[[#This Row],[Std Adj Read]]&lt;=Table1[[#This Row],[High Tol]],"Pass","Fail"),IF(Table1[[#This Row],[DUT Adj Read]]&lt;=Table1[[#This Row],[High Tol]],"Pass","Fail")))</f>
        <v>Fail</v>
      </c>
      <c r="AH9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6" s="1" t="b">
        <v>0</v>
      </c>
      <c r="AN996" s="1" t="b">
        <v>0</v>
      </c>
      <c r="AO996" s="1" t="b">
        <v>0</v>
      </c>
    </row>
    <row r="997" spans="1:41" x14ac:dyDescent="0.25">
      <c r="A997" s="10"/>
      <c r="B997" s="10"/>
      <c r="C997" s="10"/>
      <c r="D997" s="10"/>
      <c r="E997" s="10"/>
      <c r="F997" s="10"/>
      <c r="G997" s="10"/>
      <c r="H997" s="10"/>
      <c r="I997" s="1" t="str">
        <f t="shared" si="45"/>
        <v/>
      </c>
      <c r="J997" s="1" t="s">
        <v>35</v>
      </c>
      <c r="K997" s="1" t="str">
        <f t="shared" si="46"/>
        <v/>
      </c>
      <c r="L997" s="1" t="str">
        <f t="shared" si="47"/>
        <v/>
      </c>
      <c r="M997" s="1">
        <f>IF(OR(Table1[[#This Row],[Std Nom]]="",Table1[[#This Row],[Std Read]]=""),0,Table1[[#This Row],[Std Nom]]-Table1[[#This Row],[Std Read]])</f>
        <v>0</v>
      </c>
      <c r="N997" s="1">
        <f>IF(Calculations!$F$5="ACCREDITED 17025 WITH UNCERTAINTIES",$N$10,0)</f>
        <v>0</v>
      </c>
      <c r="O997" s="1" t="str">
        <f>IFERROR(Table1[[#This Row],[Std Nom]]-(_xlfn.XLOOKUP(Table1[[#This Row],[Manufacturer]]&amp;" "&amp;Table1[[#This Row],[Model]],Table13[MFR &amp; MDL],Table13[Tolerance % CW ],"")/100*Table1[[#This Row],[Std Nom]]),"")</f>
        <v/>
      </c>
      <c r="P997" s="1" t="str">
        <f>IFERROR(Table1[[#This Row],[Std Nom]]+(_xlfn.XLOOKUP(Table1[[#This Row],[Manufacturer]]&amp;" "&amp;Table1[[#This Row],[Model]],Table13[MFR &amp; MDL],Table13[Tolerance % CW ],"")/100*Table1[[#This Row],[Std Nom]]),"")</f>
        <v/>
      </c>
      <c r="Q997" s="1" t="e">
        <f>Table1[[#This Row],[High Tol]]-Table1[[#This Row],[Low Tol]]</f>
        <v>#VALUE!</v>
      </c>
      <c r="R997" s="1">
        <f>2*Table1[[#This Row],[Std Error]]</f>
        <v>0</v>
      </c>
      <c r="S997" s="1" t="str">
        <f>IF(Table1[[#This Row],[High Tol]]="","N/A",IFERROR(ABS(Table1[[#This Row],[Tol Span]]/Table1[[#This Row],[Error Span]]),"N/A"))</f>
        <v>N/A</v>
      </c>
      <c r="T997" s="1" t="str">
        <f>IF(OR(Table1[[#This Row],[Low Tol]]="",Table1[[#This Row],[High Tol]]=""),"Needs Analysis",IF(Table1[[#This Row],[Ratio]]&gt;=4,"Not Significant",IF(Table1[[#This Row],[Ratio]]&gt;=2,"Semi-Significant","Significant")))</f>
        <v>Needs Analysis</v>
      </c>
      <c r="W997" s="1">
        <f>IF(Table1[[#This Row],[Cal Type]]&lt;&gt;"ACCREDITED 17025 WITH UNCERTAINTIES",0,"")</f>
        <v>0</v>
      </c>
      <c r="X997" s="1" t="str">
        <f>IF(Table1[[#This Row],[DUT Read]]="","N/A",Table1[[#This Row],[Std Error]]+Table1[[#This Row],[DUT Read]]+Table1[[#This Row],[DUT Ucty]])</f>
        <v>N/A</v>
      </c>
      <c r="Y997" s="1" t="str">
        <f>IF(Table1[[#This Row],[Std Read]]="","N/A",Table1[[#This Row],[Std Read]]+Table1[[#This Row],[Std Ucty]])</f>
        <v>N/A</v>
      </c>
      <c r="Z9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7" s="1" t="str">
        <f>IF(Table1[[#This Row],[Spec Type]]="","N/A",Table1[[#This Row],[Spec Type]])</f>
        <v>±</v>
      </c>
      <c r="AC997" s="1" t="str">
        <f>IF(Table1[[#This Row],[Spec Type2]]="N/A","N/A",IF(AND(Table1[[#This Row],[DUT Adj Read]]&gt;=Table1[[#This Row],[Low Tol]],Table1[[#This Row],[DUT Adj Read]]&lt;=Table1[[#This Row],[High Tol]]),"Pass","Fail"))</f>
        <v>Fail</v>
      </c>
      <c r="AD997" s="1" t="str">
        <f>IF(AND(Table1[[#This Row],[Spec Type2]]="N/A",Table1[[#This Row],[DUT Adj Read]]="N/A",Table1[[#This Row],[Std Adj Read]]="N/A"),"N/A",IF(Table1[[#This Row],[DUT Adj Read]]="N/A",IF(Table1[[#This Row],[Std Adj Read]]&gt;Table1[[#This Row],[Low Tol]],"Pass","Fail"),IF(Table1[[#This Row],[DUT Adj Read]]&gt;Table1[[#This Row],[Low Tol]],"Pass","Fail")))</f>
        <v>Pass</v>
      </c>
      <c r="AE997" s="1" t="str">
        <f>IF(AND(Table1[[#This Row],[Spec Type2]]="N/A",Table1[[#This Row],[DUT Adj Read]]="N/A",Table1[[#This Row],[Std Adj Read]]="N/A"),"N/A",IF(Table1[[#This Row],[DUT Adj Read]]="N/A",IF(Table1[[#This Row],[Std Adj Read]]&lt;Table1[[#This Row],[High Tol]],"Pass","Fail"),IF(Table1[[#This Row],[DUT Adj Read]]&lt;Table1[[#This Row],[High Tol]],"Pass","Fail")))</f>
        <v>Fail</v>
      </c>
      <c r="AF997" s="1" t="str">
        <f>IF(AND(Table1[[#This Row],[Spec Type2]]="N/A",Table1[[#This Row],[DUT Adj Read]]="N/A",Table1[[#This Row],[Std Adj Read]]="N/A"),"N/A",IF(Table1[[#This Row],[DUT Adj Read]]="N/A",IF(Table1[[#This Row],[Std Adj Read]]&gt;=Table1[[#This Row],[Low Tol]],"Pass","Fail"),IF(Table1[[#This Row],[DUT Adj Read]]&gt;=Table1[[#This Row],[Low Tol]],"Pass","Fail")))</f>
        <v>Pass</v>
      </c>
      <c r="AG997" s="1" t="str">
        <f>IF(AND(Table1[[#This Row],[Spec Type2]]="N/A",Table1[[#This Row],[DUT Adj Read]]="N/A",Table1[[#This Row],[Std Adj Read]]="N/A"),"N/A",IF(Table1[[#This Row],[DUT Adj Read]]="N/A",IF(Table1[[#This Row],[Std Adj Read]]&lt;=Table1[[#This Row],[High Tol]],"Pass","Fail"),IF(Table1[[#This Row],[DUT Adj Read]]&lt;=Table1[[#This Row],[High Tol]],"Pass","Fail")))</f>
        <v>Fail</v>
      </c>
      <c r="AH9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7" s="1" t="b">
        <v>0</v>
      </c>
      <c r="AN997" s="1" t="b">
        <v>0</v>
      </c>
      <c r="AO997" s="1" t="b">
        <v>0</v>
      </c>
    </row>
    <row r="998" spans="1:41" x14ac:dyDescent="0.25">
      <c r="A998" s="10"/>
      <c r="B998" s="10"/>
      <c r="C998" s="10"/>
      <c r="D998" s="10"/>
      <c r="E998" s="10"/>
      <c r="F998" s="10"/>
      <c r="G998" s="10"/>
      <c r="H998" s="10"/>
      <c r="I998" s="1" t="str">
        <f t="shared" si="45"/>
        <v/>
      </c>
      <c r="J998" s="1" t="s">
        <v>35</v>
      </c>
      <c r="K998" s="1" t="str">
        <f t="shared" si="46"/>
        <v/>
      </c>
      <c r="L998" s="1" t="str">
        <f t="shared" si="47"/>
        <v/>
      </c>
      <c r="M998" s="1">
        <f>IF(OR(Table1[[#This Row],[Std Nom]]="",Table1[[#This Row],[Std Read]]=""),0,Table1[[#This Row],[Std Nom]]-Table1[[#This Row],[Std Read]])</f>
        <v>0</v>
      </c>
      <c r="N998" s="1">
        <f>IF(Calculations!$F$5="ACCREDITED 17025 WITH UNCERTAINTIES",$N$10,0)</f>
        <v>0</v>
      </c>
      <c r="O998" s="1" t="str">
        <f>IFERROR(Table1[[#This Row],[Std Nom]]-(_xlfn.XLOOKUP(Table1[[#This Row],[Manufacturer]]&amp;" "&amp;Table1[[#This Row],[Model]],Table13[MFR &amp; MDL],Table13[Tolerance % CW ],"")/100*Table1[[#This Row],[Std Nom]]),"")</f>
        <v/>
      </c>
      <c r="P998" s="1" t="str">
        <f>IFERROR(Table1[[#This Row],[Std Nom]]+(_xlfn.XLOOKUP(Table1[[#This Row],[Manufacturer]]&amp;" "&amp;Table1[[#This Row],[Model]],Table13[MFR &amp; MDL],Table13[Tolerance % CW ],"")/100*Table1[[#This Row],[Std Nom]]),"")</f>
        <v/>
      </c>
      <c r="Q998" s="1" t="e">
        <f>Table1[[#This Row],[High Tol]]-Table1[[#This Row],[Low Tol]]</f>
        <v>#VALUE!</v>
      </c>
      <c r="R998" s="1">
        <f>2*Table1[[#This Row],[Std Error]]</f>
        <v>0</v>
      </c>
      <c r="S998" s="1" t="str">
        <f>IF(Table1[[#This Row],[High Tol]]="","N/A",IFERROR(ABS(Table1[[#This Row],[Tol Span]]/Table1[[#This Row],[Error Span]]),"N/A"))</f>
        <v>N/A</v>
      </c>
      <c r="T998" s="1" t="str">
        <f>IF(OR(Table1[[#This Row],[Low Tol]]="",Table1[[#This Row],[High Tol]]=""),"Needs Analysis",IF(Table1[[#This Row],[Ratio]]&gt;=4,"Not Significant",IF(Table1[[#This Row],[Ratio]]&gt;=2,"Semi-Significant","Significant")))</f>
        <v>Needs Analysis</v>
      </c>
      <c r="W998" s="1">
        <f>IF(Table1[[#This Row],[Cal Type]]&lt;&gt;"ACCREDITED 17025 WITH UNCERTAINTIES",0,"")</f>
        <v>0</v>
      </c>
      <c r="X998" s="1" t="str">
        <f>IF(Table1[[#This Row],[DUT Read]]="","N/A",Table1[[#This Row],[Std Error]]+Table1[[#This Row],[DUT Read]]+Table1[[#This Row],[DUT Ucty]])</f>
        <v>N/A</v>
      </c>
      <c r="Y998" s="1" t="str">
        <f>IF(Table1[[#This Row],[Std Read]]="","N/A",Table1[[#This Row],[Std Read]]+Table1[[#This Row],[Std Ucty]])</f>
        <v>N/A</v>
      </c>
      <c r="Z9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8" s="1" t="str">
        <f>IF(Table1[[#This Row],[Spec Type]]="","N/A",Table1[[#This Row],[Spec Type]])</f>
        <v>±</v>
      </c>
      <c r="AC998" s="1" t="str">
        <f>IF(Table1[[#This Row],[Spec Type2]]="N/A","N/A",IF(AND(Table1[[#This Row],[DUT Adj Read]]&gt;=Table1[[#This Row],[Low Tol]],Table1[[#This Row],[DUT Adj Read]]&lt;=Table1[[#This Row],[High Tol]]),"Pass","Fail"))</f>
        <v>Fail</v>
      </c>
      <c r="AD998" s="1" t="str">
        <f>IF(AND(Table1[[#This Row],[Spec Type2]]="N/A",Table1[[#This Row],[DUT Adj Read]]="N/A",Table1[[#This Row],[Std Adj Read]]="N/A"),"N/A",IF(Table1[[#This Row],[DUT Adj Read]]="N/A",IF(Table1[[#This Row],[Std Adj Read]]&gt;Table1[[#This Row],[Low Tol]],"Pass","Fail"),IF(Table1[[#This Row],[DUT Adj Read]]&gt;Table1[[#This Row],[Low Tol]],"Pass","Fail")))</f>
        <v>Pass</v>
      </c>
      <c r="AE998" s="1" t="str">
        <f>IF(AND(Table1[[#This Row],[Spec Type2]]="N/A",Table1[[#This Row],[DUT Adj Read]]="N/A",Table1[[#This Row],[Std Adj Read]]="N/A"),"N/A",IF(Table1[[#This Row],[DUT Adj Read]]="N/A",IF(Table1[[#This Row],[Std Adj Read]]&lt;Table1[[#This Row],[High Tol]],"Pass","Fail"),IF(Table1[[#This Row],[DUT Adj Read]]&lt;Table1[[#This Row],[High Tol]],"Pass","Fail")))</f>
        <v>Fail</v>
      </c>
      <c r="AF998" s="1" t="str">
        <f>IF(AND(Table1[[#This Row],[Spec Type2]]="N/A",Table1[[#This Row],[DUT Adj Read]]="N/A",Table1[[#This Row],[Std Adj Read]]="N/A"),"N/A",IF(Table1[[#This Row],[DUT Adj Read]]="N/A",IF(Table1[[#This Row],[Std Adj Read]]&gt;=Table1[[#This Row],[Low Tol]],"Pass","Fail"),IF(Table1[[#This Row],[DUT Adj Read]]&gt;=Table1[[#This Row],[Low Tol]],"Pass","Fail")))</f>
        <v>Pass</v>
      </c>
      <c r="AG998" s="1" t="str">
        <f>IF(AND(Table1[[#This Row],[Spec Type2]]="N/A",Table1[[#This Row],[DUT Adj Read]]="N/A",Table1[[#This Row],[Std Adj Read]]="N/A"),"N/A",IF(Table1[[#This Row],[DUT Adj Read]]="N/A",IF(Table1[[#This Row],[Std Adj Read]]&lt;=Table1[[#This Row],[High Tol]],"Pass","Fail"),IF(Table1[[#This Row],[DUT Adj Read]]&lt;=Table1[[#This Row],[High Tol]],"Pass","Fail")))</f>
        <v>Fail</v>
      </c>
      <c r="AH9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8" s="1" t="b">
        <v>0</v>
      </c>
      <c r="AN998" s="1" t="b">
        <v>0</v>
      </c>
      <c r="AO998" s="1" t="b">
        <v>0</v>
      </c>
    </row>
    <row r="999" spans="1:41" x14ac:dyDescent="0.25">
      <c r="A999" s="10"/>
      <c r="B999" s="10"/>
      <c r="C999" s="10"/>
      <c r="D999" s="10"/>
      <c r="E999" s="10"/>
      <c r="F999" s="10"/>
      <c r="G999" s="10"/>
      <c r="H999" s="10"/>
      <c r="I999" s="1" t="str">
        <f t="shared" si="45"/>
        <v/>
      </c>
      <c r="J999" s="1" t="s">
        <v>35</v>
      </c>
      <c r="K999" s="1" t="str">
        <f t="shared" si="46"/>
        <v/>
      </c>
      <c r="L999" s="1" t="str">
        <f t="shared" si="47"/>
        <v/>
      </c>
      <c r="M999" s="1">
        <f>IF(OR(Table1[[#This Row],[Std Nom]]="",Table1[[#This Row],[Std Read]]=""),0,Table1[[#This Row],[Std Nom]]-Table1[[#This Row],[Std Read]])</f>
        <v>0</v>
      </c>
      <c r="N999" s="1">
        <f>IF(Calculations!$F$5="ACCREDITED 17025 WITH UNCERTAINTIES",$N$10,0)</f>
        <v>0</v>
      </c>
      <c r="O999" s="1" t="str">
        <f>IFERROR(Table1[[#This Row],[Std Nom]]-(_xlfn.XLOOKUP(Table1[[#This Row],[Manufacturer]]&amp;" "&amp;Table1[[#This Row],[Model]],Table13[MFR &amp; MDL],Table13[Tolerance % CW ],"")/100*Table1[[#This Row],[Std Nom]]),"")</f>
        <v/>
      </c>
      <c r="P999" s="1" t="str">
        <f>IFERROR(Table1[[#This Row],[Std Nom]]+(_xlfn.XLOOKUP(Table1[[#This Row],[Manufacturer]]&amp;" "&amp;Table1[[#This Row],[Model]],Table13[MFR &amp; MDL],Table13[Tolerance % CW ],"")/100*Table1[[#This Row],[Std Nom]]),"")</f>
        <v/>
      </c>
      <c r="Q999" s="1" t="e">
        <f>Table1[[#This Row],[High Tol]]-Table1[[#This Row],[Low Tol]]</f>
        <v>#VALUE!</v>
      </c>
      <c r="R999" s="1">
        <f>2*Table1[[#This Row],[Std Error]]</f>
        <v>0</v>
      </c>
      <c r="S999" s="1" t="str">
        <f>IF(Table1[[#This Row],[High Tol]]="","N/A",IFERROR(ABS(Table1[[#This Row],[Tol Span]]/Table1[[#This Row],[Error Span]]),"N/A"))</f>
        <v>N/A</v>
      </c>
      <c r="T999" s="1" t="str">
        <f>IF(OR(Table1[[#This Row],[Low Tol]]="",Table1[[#This Row],[High Tol]]=""),"Needs Analysis",IF(Table1[[#This Row],[Ratio]]&gt;=4,"Not Significant",IF(Table1[[#This Row],[Ratio]]&gt;=2,"Semi-Significant","Significant")))</f>
        <v>Needs Analysis</v>
      </c>
      <c r="W999" s="1">
        <f>IF(Table1[[#This Row],[Cal Type]]&lt;&gt;"ACCREDITED 17025 WITH UNCERTAINTIES",0,"")</f>
        <v>0</v>
      </c>
      <c r="X999" s="1" t="str">
        <f>IF(Table1[[#This Row],[DUT Read]]="","N/A",Table1[[#This Row],[Std Error]]+Table1[[#This Row],[DUT Read]]+Table1[[#This Row],[DUT Ucty]])</f>
        <v>N/A</v>
      </c>
      <c r="Y999" s="1" t="str">
        <f>IF(Table1[[#This Row],[Std Read]]="","N/A",Table1[[#This Row],[Std Read]]+Table1[[#This Row],[Std Ucty]])</f>
        <v>N/A</v>
      </c>
      <c r="Z9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9" s="1" t="str">
        <f>IF(Table1[[#This Row],[Spec Type]]="","N/A",Table1[[#This Row],[Spec Type]])</f>
        <v>±</v>
      </c>
      <c r="AC999" s="1" t="str">
        <f>IF(Table1[[#This Row],[Spec Type2]]="N/A","N/A",IF(AND(Table1[[#This Row],[DUT Adj Read]]&gt;=Table1[[#This Row],[Low Tol]],Table1[[#This Row],[DUT Adj Read]]&lt;=Table1[[#This Row],[High Tol]]),"Pass","Fail"))</f>
        <v>Fail</v>
      </c>
      <c r="AD999" s="1" t="str">
        <f>IF(AND(Table1[[#This Row],[Spec Type2]]="N/A",Table1[[#This Row],[DUT Adj Read]]="N/A",Table1[[#This Row],[Std Adj Read]]="N/A"),"N/A",IF(Table1[[#This Row],[DUT Adj Read]]="N/A",IF(Table1[[#This Row],[Std Adj Read]]&gt;Table1[[#This Row],[Low Tol]],"Pass","Fail"),IF(Table1[[#This Row],[DUT Adj Read]]&gt;Table1[[#This Row],[Low Tol]],"Pass","Fail")))</f>
        <v>Pass</v>
      </c>
      <c r="AE999" s="1" t="str">
        <f>IF(AND(Table1[[#This Row],[Spec Type2]]="N/A",Table1[[#This Row],[DUT Adj Read]]="N/A",Table1[[#This Row],[Std Adj Read]]="N/A"),"N/A",IF(Table1[[#This Row],[DUT Adj Read]]="N/A",IF(Table1[[#This Row],[Std Adj Read]]&lt;Table1[[#This Row],[High Tol]],"Pass","Fail"),IF(Table1[[#This Row],[DUT Adj Read]]&lt;Table1[[#This Row],[High Tol]],"Pass","Fail")))</f>
        <v>Fail</v>
      </c>
      <c r="AF999" s="1" t="str">
        <f>IF(AND(Table1[[#This Row],[Spec Type2]]="N/A",Table1[[#This Row],[DUT Adj Read]]="N/A",Table1[[#This Row],[Std Adj Read]]="N/A"),"N/A",IF(Table1[[#This Row],[DUT Adj Read]]="N/A",IF(Table1[[#This Row],[Std Adj Read]]&gt;=Table1[[#This Row],[Low Tol]],"Pass","Fail"),IF(Table1[[#This Row],[DUT Adj Read]]&gt;=Table1[[#This Row],[Low Tol]],"Pass","Fail")))</f>
        <v>Pass</v>
      </c>
      <c r="AG999" s="1" t="str">
        <f>IF(AND(Table1[[#This Row],[Spec Type2]]="N/A",Table1[[#This Row],[DUT Adj Read]]="N/A",Table1[[#This Row],[Std Adj Read]]="N/A"),"N/A",IF(Table1[[#This Row],[DUT Adj Read]]="N/A",IF(Table1[[#This Row],[Std Adj Read]]&lt;=Table1[[#This Row],[High Tol]],"Pass","Fail"),IF(Table1[[#This Row],[DUT Adj Read]]&lt;=Table1[[#This Row],[High Tol]],"Pass","Fail")))</f>
        <v>Fail</v>
      </c>
      <c r="AH9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9" s="1" t="b">
        <v>0</v>
      </c>
      <c r="AN999" s="1" t="b">
        <v>0</v>
      </c>
      <c r="AO999" s="1" t="b">
        <v>0</v>
      </c>
    </row>
    <row r="1000" spans="1:41" x14ac:dyDescent="0.25">
      <c r="A1000" s="10"/>
      <c r="B1000" s="10"/>
      <c r="C1000" s="10"/>
      <c r="D1000" s="10"/>
      <c r="E1000" s="10"/>
      <c r="F1000" s="10"/>
      <c r="G1000" s="10"/>
      <c r="H1000" s="10"/>
      <c r="I1000" s="1" t="str">
        <f t="shared" si="45"/>
        <v/>
      </c>
      <c r="J1000" s="1" t="s">
        <v>35</v>
      </c>
      <c r="K1000" s="1" t="str">
        <f t="shared" si="46"/>
        <v/>
      </c>
      <c r="L1000" s="1" t="str">
        <f t="shared" si="47"/>
        <v/>
      </c>
      <c r="M1000" s="1">
        <f>IF(OR(Table1[[#This Row],[Std Nom]]="",Table1[[#This Row],[Std Read]]=""),0,Table1[[#This Row],[Std Nom]]-Table1[[#This Row],[Std Read]])</f>
        <v>0</v>
      </c>
      <c r="N1000" s="1">
        <f>IF(Calculations!$F$5="ACCREDITED 17025 WITH UNCERTAINTIES",$N$10,0)</f>
        <v>0</v>
      </c>
      <c r="O1000" s="1" t="str">
        <f>IFERROR(Table1[[#This Row],[Std Nom]]-(_xlfn.XLOOKUP(Table1[[#This Row],[Manufacturer]]&amp;" "&amp;Table1[[#This Row],[Model]],Table13[MFR &amp; MDL],Table13[Tolerance % CW ],"")/100*Table1[[#This Row],[Std Nom]]),"")</f>
        <v/>
      </c>
      <c r="P1000" s="1" t="str">
        <f>IFERROR(Table1[[#This Row],[Std Nom]]+(_xlfn.XLOOKUP(Table1[[#This Row],[Manufacturer]]&amp;" "&amp;Table1[[#This Row],[Model]],Table13[MFR &amp; MDL],Table13[Tolerance % CW ],"")/100*Table1[[#This Row],[Std Nom]]),"")</f>
        <v/>
      </c>
      <c r="Q1000" s="1" t="e">
        <f>Table1[[#This Row],[High Tol]]-Table1[[#This Row],[Low Tol]]</f>
        <v>#VALUE!</v>
      </c>
      <c r="R1000" s="1">
        <f>2*Table1[[#This Row],[Std Error]]</f>
        <v>0</v>
      </c>
      <c r="S1000" s="1" t="str">
        <f>IF(Table1[[#This Row],[High Tol]]="","N/A",IFERROR(ABS(Table1[[#This Row],[Tol Span]]/Table1[[#This Row],[Error Span]]),"N/A"))</f>
        <v>N/A</v>
      </c>
      <c r="T1000" s="1" t="str">
        <f>IF(OR(Table1[[#This Row],[Low Tol]]="",Table1[[#This Row],[High Tol]]=""),"Needs Analysis",IF(Table1[[#This Row],[Ratio]]&gt;=4,"Not Significant",IF(Table1[[#This Row],[Ratio]]&gt;=2,"Semi-Significant","Significant")))</f>
        <v>Needs Analysis</v>
      </c>
      <c r="W1000" s="1">
        <f>IF(Table1[[#This Row],[Cal Type]]&lt;&gt;"ACCREDITED 17025 WITH UNCERTAINTIES",0,"")</f>
        <v>0</v>
      </c>
      <c r="X1000" s="1" t="str">
        <f>IF(Table1[[#This Row],[DUT Read]]="","N/A",Table1[[#This Row],[Std Error]]+Table1[[#This Row],[DUT Read]]+Table1[[#This Row],[DUT Ucty]])</f>
        <v>N/A</v>
      </c>
      <c r="Y1000" s="1" t="str">
        <f>IF(Table1[[#This Row],[Std Read]]="","N/A",Table1[[#This Row],[Std Read]]+Table1[[#This Row],[Std Ucty]])</f>
        <v>N/A</v>
      </c>
      <c r="Z10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0" s="1" t="str">
        <f>IF(Table1[[#This Row],[Spec Type]]="","N/A",Table1[[#This Row],[Spec Type]])</f>
        <v>±</v>
      </c>
      <c r="AC1000" s="1" t="str">
        <f>IF(Table1[[#This Row],[Spec Type2]]="N/A","N/A",IF(AND(Table1[[#This Row],[DUT Adj Read]]&gt;=Table1[[#This Row],[Low Tol]],Table1[[#This Row],[DUT Adj Read]]&lt;=Table1[[#This Row],[High Tol]]),"Pass","Fail"))</f>
        <v>Fail</v>
      </c>
      <c r="AD1000" s="1" t="str">
        <f>IF(AND(Table1[[#This Row],[Spec Type2]]="N/A",Table1[[#This Row],[DUT Adj Read]]="N/A",Table1[[#This Row],[Std Adj Read]]="N/A"),"N/A",IF(Table1[[#This Row],[DUT Adj Read]]="N/A",IF(Table1[[#This Row],[Std Adj Read]]&gt;Table1[[#This Row],[Low Tol]],"Pass","Fail"),IF(Table1[[#This Row],[DUT Adj Read]]&gt;Table1[[#This Row],[Low Tol]],"Pass","Fail")))</f>
        <v>Pass</v>
      </c>
      <c r="AE1000" s="1" t="str">
        <f>IF(AND(Table1[[#This Row],[Spec Type2]]="N/A",Table1[[#This Row],[DUT Adj Read]]="N/A",Table1[[#This Row],[Std Adj Read]]="N/A"),"N/A",IF(Table1[[#This Row],[DUT Adj Read]]="N/A",IF(Table1[[#This Row],[Std Adj Read]]&lt;Table1[[#This Row],[High Tol]],"Pass","Fail"),IF(Table1[[#This Row],[DUT Adj Read]]&lt;Table1[[#This Row],[High Tol]],"Pass","Fail")))</f>
        <v>Fail</v>
      </c>
      <c r="AF1000" s="1" t="str">
        <f>IF(AND(Table1[[#This Row],[Spec Type2]]="N/A",Table1[[#This Row],[DUT Adj Read]]="N/A",Table1[[#This Row],[Std Adj Read]]="N/A"),"N/A",IF(Table1[[#This Row],[DUT Adj Read]]="N/A",IF(Table1[[#This Row],[Std Adj Read]]&gt;=Table1[[#This Row],[Low Tol]],"Pass","Fail"),IF(Table1[[#This Row],[DUT Adj Read]]&gt;=Table1[[#This Row],[Low Tol]],"Pass","Fail")))</f>
        <v>Pass</v>
      </c>
      <c r="AG1000" s="1" t="str">
        <f>IF(AND(Table1[[#This Row],[Spec Type2]]="N/A",Table1[[#This Row],[DUT Adj Read]]="N/A",Table1[[#This Row],[Std Adj Read]]="N/A"),"N/A",IF(Table1[[#This Row],[DUT Adj Read]]="N/A",IF(Table1[[#This Row],[Std Adj Read]]&lt;=Table1[[#This Row],[High Tol]],"Pass","Fail"),IF(Table1[[#This Row],[DUT Adj Read]]&lt;=Table1[[#This Row],[High Tol]],"Pass","Fail")))</f>
        <v>Fail</v>
      </c>
      <c r="AH10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0" s="1" t="b">
        <v>0</v>
      </c>
      <c r="AN1000" s="1" t="b">
        <v>0</v>
      </c>
      <c r="AO1000" s="1" t="b">
        <v>0</v>
      </c>
    </row>
    <row r="1001" spans="1:41" x14ac:dyDescent="0.25">
      <c r="A1001" s="10"/>
      <c r="B1001" s="10"/>
      <c r="C1001" s="10"/>
      <c r="D1001" s="10"/>
      <c r="E1001" s="10"/>
      <c r="F1001" s="10"/>
      <c r="G1001" s="10"/>
      <c r="H1001" s="10"/>
      <c r="I1001" s="1" t="str">
        <f t="shared" si="45"/>
        <v/>
      </c>
      <c r="J1001" s="1" t="s">
        <v>35</v>
      </c>
      <c r="K1001" s="1" t="str">
        <f t="shared" si="46"/>
        <v/>
      </c>
      <c r="L1001" s="1" t="str">
        <f t="shared" si="47"/>
        <v/>
      </c>
      <c r="M1001" s="1">
        <f>IF(OR(Table1[[#This Row],[Std Nom]]="",Table1[[#This Row],[Std Read]]=""),0,Table1[[#This Row],[Std Nom]]-Table1[[#This Row],[Std Read]])</f>
        <v>0</v>
      </c>
      <c r="N1001" s="1">
        <f>IF(Calculations!$F$5="ACCREDITED 17025 WITH UNCERTAINTIES",$N$10,0)</f>
        <v>0</v>
      </c>
      <c r="O1001" s="1" t="str">
        <f>IFERROR(Table1[[#This Row],[Std Nom]]-(_xlfn.XLOOKUP(Table1[[#This Row],[Manufacturer]]&amp;" "&amp;Table1[[#This Row],[Model]],Table13[MFR &amp; MDL],Table13[Tolerance % CW ],"")/100*Table1[[#This Row],[Std Nom]]),"")</f>
        <v/>
      </c>
      <c r="P1001" s="1" t="str">
        <f>IFERROR(Table1[[#This Row],[Std Nom]]+(_xlfn.XLOOKUP(Table1[[#This Row],[Manufacturer]]&amp;" "&amp;Table1[[#This Row],[Model]],Table13[MFR &amp; MDL],Table13[Tolerance % CW ],"")/100*Table1[[#This Row],[Std Nom]]),"")</f>
        <v/>
      </c>
      <c r="Q1001" s="1" t="e">
        <f>Table1[[#This Row],[High Tol]]-Table1[[#This Row],[Low Tol]]</f>
        <v>#VALUE!</v>
      </c>
      <c r="R1001" s="1">
        <f>2*Table1[[#This Row],[Std Error]]</f>
        <v>0</v>
      </c>
      <c r="S1001" s="1" t="str">
        <f>IF(Table1[[#This Row],[High Tol]]="","N/A",IFERROR(ABS(Table1[[#This Row],[Tol Span]]/Table1[[#This Row],[Error Span]]),"N/A"))</f>
        <v>N/A</v>
      </c>
      <c r="T1001" s="1" t="str">
        <f>IF(OR(Table1[[#This Row],[Low Tol]]="",Table1[[#This Row],[High Tol]]=""),"Needs Analysis",IF(Table1[[#This Row],[Ratio]]&gt;=4,"Not Significant",IF(Table1[[#This Row],[Ratio]]&gt;=2,"Semi-Significant","Significant")))</f>
        <v>Needs Analysis</v>
      </c>
      <c r="W1001" s="1">
        <f>IF(Table1[[#This Row],[Cal Type]]&lt;&gt;"ACCREDITED 17025 WITH UNCERTAINTIES",0,"")</f>
        <v>0</v>
      </c>
      <c r="X1001" s="1" t="str">
        <f>IF(Table1[[#This Row],[DUT Read]]="","N/A",Table1[[#This Row],[Std Error]]+Table1[[#This Row],[DUT Read]]+Table1[[#This Row],[DUT Ucty]])</f>
        <v>N/A</v>
      </c>
      <c r="Y1001" s="1" t="str">
        <f>IF(Table1[[#This Row],[Std Read]]="","N/A",Table1[[#This Row],[Std Read]]+Table1[[#This Row],[Std Ucty]])</f>
        <v>N/A</v>
      </c>
      <c r="Z10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1" s="1" t="str">
        <f>IF(Table1[[#This Row],[Spec Type]]="","N/A",Table1[[#This Row],[Spec Type]])</f>
        <v>±</v>
      </c>
      <c r="AC1001" s="1" t="str">
        <f>IF(Table1[[#This Row],[Spec Type2]]="N/A","N/A",IF(AND(Table1[[#This Row],[DUT Adj Read]]&gt;=Table1[[#This Row],[Low Tol]],Table1[[#This Row],[DUT Adj Read]]&lt;=Table1[[#This Row],[High Tol]]),"Pass","Fail"))</f>
        <v>Fail</v>
      </c>
      <c r="AD1001" s="1" t="str">
        <f>IF(AND(Table1[[#This Row],[Spec Type2]]="N/A",Table1[[#This Row],[DUT Adj Read]]="N/A",Table1[[#This Row],[Std Adj Read]]="N/A"),"N/A",IF(Table1[[#This Row],[DUT Adj Read]]="N/A",IF(Table1[[#This Row],[Std Adj Read]]&gt;Table1[[#This Row],[Low Tol]],"Pass","Fail"),IF(Table1[[#This Row],[DUT Adj Read]]&gt;Table1[[#This Row],[Low Tol]],"Pass","Fail")))</f>
        <v>Pass</v>
      </c>
      <c r="AE1001" s="1" t="str">
        <f>IF(AND(Table1[[#This Row],[Spec Type2]]="N/A",Table1[[#This Row],[DUT Adj Read]]="N/A",Table1[[#This Row],[Std Adj Read]]="N/A"),"N/A",IF(Table1[[#This Row],[DUT Adj Read]]="N/A",IF(Table1[[#This Row],[Std Adj Read]]&lt;Table1[[#This Row],[High Tol]],"Pass","Fail"),IF(Table1[[#This Row],[DUT Adj Read]]&lt;Table1[[#This Row],[High Tol]],"Pass","Fail")))</f>
        <v>Fail</v>
      </c>
      <c r="AF1001" s="1" t="str">
        <f>IF(AND(Table1[[#This Row],[Spec Type2]]="N/A",Table1[[#This Row],[DUT Adj Read]]="N/A",Table1[[#This Row],[Std Adj Read]]="N/A"),"N/A",IF(Table1[[#This Row],[DUT Adj Read]]="N/A",IF(Table1[[#This Row],[Std Adj Read]]&gt;=Table1[[#This Row],[Low Tol]],"Pass","Fail"),IF(Table1[[#This Row],[DUT Adj Read]]&gt;=Table1[[#This Row],[Low Tol]],"Pass","Fail")))</f>
        <v>Pass</v>
      </c>
      <c r="AG1001" s="1" t="str">
        <f>IF(AND(Table1[[#This Row],[Spec Type2]]="N/A",Table1[[#This Row],[DUT Adj Read]]="N/A",Table1[[#This Row],[Std Adj Read]]="N/A"),"N/A",IF(Table1[[#This Row],[DUT Adj Read]]="N/A",IF(Table1[[#This Row],[Std Adj Read]]&lt;=Table1[[#This Row],[High Tol]],"Pass","Fail"),IF(Table1[[#This Row],[DUT Adj Read]]&lt;=Table1[[#This Row],[High Tol]],"Pass","Fail")))</f>
        <v>Fail</v>
      </c>
      <c r="AH10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1" s="1" t="b">
        <v>0</v>
      </c>
      <c r="AN1001" s="1" t="b">
        <v>0</v>
      </c>
      <c r="AO1001" s="1" t="b">
        <v>0</v>
      </c>
    </row>
    <row r="1002" spans="1:41" x14ac:dyDescent="0.25">
      <c r="A1002" s="10"/>
      <c r="B1002" s="10"/>
      <c r="C1002" s="10"/>
      <c r="D1002" s="10"/>
      <c r="E1002" s="10"/>
      <c r="F1002" s="10"/>
      <c r="G1002" s="10"/>
      <c r="H1002" s="10"/>
      <c r="I1002" s="1" t="str">
        <f t="shared" si="45"/>
        <v/>
      </c>
      <c r="J1002" s="1" t="s">
        <v>35</v>
      </c>
      <c r="K1002" s="1" t="str">
        <f t="shared" si="46"/>
        <v/>
      </c>
      <c r="L1002" s="1" t="str">
        <f t="shared" si="47"/>
        <v/>
      </c>
      <c r="M1002" s="1">
        <f>IF(OR(Table1[[#This Row],[Std Nom]]="",Table1[[#This Row],[Std Read]]=""),0,Table1[[#This Row],[Std Nom]]-Table1[[#This Row],[Std Read]])</f>
        <v>0</v>
      </c>
      <c r="N1002" s="1">
        <f>IF(Calculations!$F$5="ACCREDITED 17025 WITH UNCERTAINTIES",$N$10,0)</f>
        <v>0</v>
      </c>
      <c r="O1002" s="1" t="str">
        <f>IFERROR(Table1[[#This Row],[Std Nom]]-(_xlfn.XLOOKUP(Table1[[#This Row],[Manufacturer]]&amp;" "&amp;Table1[[#This Row],[Model]],Table13[MFR &amp; MDL],Table13[Tolerance % CW ],"")/100*Table1[[#This Row],[Std Nom]]),"")</f>
        <v/>
      </c>
      <c r="P1002" s="1" t="str">
        <f>IFERROR(Table1[[#This Row],[Std Nom]]+(_xlfn.XLOOKUP(Table1[[#This Row],[Manufacturer]]&amp;" "&amp;Table1[[#This Row],[Model]],Table13[MFR &amp; MDL],Table13[Tolerance % CW ],"")/100*Table1[[#This Row],[Std Nom]]),"")</f>
        <v/>
      </c>
      <c r="Q1002" s="1" t="e">
        <f>Table1[[#This Row],[High Tol]]-Table1[[#This Row],[Low Tol]]</f>
        <v>#VALUE!</v>
      </c>
      <c r="R1002" s="1">
        <f>2*Table1[[#This Row],[Std Error]]</f>
        <v>0</v>
      </c>
      <c r="S1002" s="1" t="str">
        <f>IF(Table1[[#This Row],[High Tol]]="","N/A",IFERROR(ABS(Table1[[#This Row],[Tol Span]]/Table1[[#This Row],[Error Span]]),"N/A"))</f>
        <v>N/A</v>
      </c>
      <c r="T1002" s="1" t="str">
        <f>IF(OR(Table1[[#This Row],[Low Tol]]="",Table1[[#This Row],[High Tol]]=""),"Needs Analysis",IF(Table1[[#This Row],[Ratio]]&gt;=4,"Not Significant",IF(Table1[[#This Row],[Ratio]]&gt;=2,"Semi-Significant","Significant")))</f>
        <v>Needs Analysis</v>
      </c>
      <c r="W1002" s="1">
        <f>IF(Table1[[#This Row],[Cal Type]]&lt;&gt;"ACCREDITED 17025 WITH UNCERTAINTIES",0,"")</f>
        <v>0</v>
      </c>
      <c r="X1002" s="1" t="str">
        <f>IF(Table1[[#This Row],[DUT Read]]="","N/A",Table1[[#This Row],[Std Error]]+Table1[[#This Row],[DUT Read]]+Table1[[#This Row],[DUT Ucty]])</f>
        <v>N/A</v>
      </c>
      <c r="Y1002" s="1" t="str">
        <f>IF(Table1[[#This Row],[Std Read]]="","N/A",Table1[[#This Row],[Std Read]]+Table1[[#This Row],[Std Ucty]])</f>
        <v>N/A</v>
      </c>
      <c r="Z10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2" s="1" t="str">
        <f>IF(Table1[[#This Row],[Spec Type]]="","N/A",Table1[[#This Row],[Spec Type]])</f>
        <v>±</v>
      </c>
      <c r="AC1002" s="1" t="str">
        <f>IF(Table1[[#This Row],[Spec Type2]]="N/A","N/A",IF(AND(Table1[[#This Row],[DUT Adj Read]]&gt;=Table1[[#This Row],[Low Tol]],Table1[[#This Row],[DUT Adj Read]]&lt;=Table1[[#This Row],[High Tol]]),"Pass","Fail"))</f>
        <v>Fail</v>
      </c>
      <c r="AD1002" s="1" t="str">
        <f>IF(AND(Table1[[#This Row],[Spec Type2]]="N/A",Table1[[#This Row],[DUT Adj Read]]="N/A",Table1[[#This Row],[Std Adj Read]]="N/A"),"N/A",IF(Table1[[#This Row],[DUT Adj Read]]="N/A",IF(Table1[[#This Row],[Std Adj Read]]&gt;Table1[[#This Row],[Low Tol]],"Pass","Fail"),IF(Table1[[#This Row],[DUT Adj Read]]&gt;Table1[[#This Row],[Low Tol]],"Pass","Fail")))</f>
        <v>Pass</v>
      </c>
      <c r="AE1002" s="1" t="str">
        <f>IF(AND(Table1[[#This Row],[Spec Type2]]="N/A",Table1[[#This Row],[DUT Adj Read]]="N/A",Table1[[#This Row],[Std Adj Read]]="N/A"),"N/A",IF(Table1[[#This Row],[DUT Adj Read]]="N/A",IF(Table1[[#This Row],[Std Adj Read]]&lt;Table1[[#This Row],[High Tol]],"Pass","Fail"),IF(Table1[[#This Row],[DUT Adj Read]]&lt;Table1[[#This Row],[High Tol]],"Pass","Fail")))</f>
        <v>Fail</v>
      </c>
      <c r="AF1002" s="1" t="str">
        <f>IF(AND(Table1[[#This Row],[Spec Type2]]="N/A",Table1[[#This Row],[DUT Adj Read]]="N/A",Table1[[#This Row],[Std Adj Read]]="N/A"),"N/A",IF(Table1[[#This Row],[DUT Adj Read]]="N/A",IF(Table1[[#This Row],[Std Adj Read]]&gt;=Table1[[#This Row],[Low Tol]],"Pass","Fail"),IF(Table1[[#This Row],[DUT Adj Read]]&gt;=Table1[[#This Row],[Low Tol]],"Pass","Fail")))</f>
        <v>Pass</v>
      </c>
      <c r="AG1002" s="1" t="str">
        <f>IF(AND(Table1[[#This Row],[Spec Type2]]="N/A",Table1[[#This Row],[DUT Adj Read]]="N/A",Table1[[#This Row],[Std Adj Read]]="N/A"),"N/A",IF(Table1[[#This Row],[DUT Adj Read]]="N/A",IF(Table1[[#This Row],[Std Adj Read]]&lt;=Table1[[#This Row],[High Tol]],"Pass","Fail"),IF(Table1[[#This Row],[DUT Adj Read]]&lt;=Table1[[#This Row],[High Tol]],"Pass","Fail")))</f>
        <v>Fail</v>
      </c>
      <c r="AH10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2" s="1" t="b">
        <v>0</v>
      </c>
      <c r="AN1002" s="1" t="b">
        <v>0</v>
      </c>
      <c r="AO1002" s="1" t="b">
        <v>0</v>
      </c>
    </row>
    <row r="1003" spans="1:41" x14ac:dyDescent="0.25">
      <c r="A1003" s="10"/>
      <c r="B1003" s="10"/>
      <c r="C1003" s="10"/>
      <c r="D1003" s="10"/>
      <c r="E1003" s="10"/>
      <c r="F1003" s="10"/>
      <c r="G1003" s="10"/>
      <c r="H1003" s="10"/>
      <c r="I1003" s="1" t="str">
        <f t="shared" si="45"/>
        <v/>
      </c>
      <c r="J1003" s="1" t="s">
        <v>35</v>
      </c>
      <c r="K1003" s="1" t="str">
        <f t="shared" si="46"/>
        <v/>
      </c>
      <c r="L1003" s="1" t="str">
        <f t="shared" si="47"/>
        <v/>
      </c>
      <c r="M1003" s="1">
        <f>IF(OR(Table1[[#This Row],[Std Nom]]="",Table1[[#This Row],[Std Read]]=""),0,Table1[[#This Row],[Std Nom]]-Table1[[#This Row],[Std Read]])</f>
        <v>0</v>
      </c>
      <c r="N1003" s="1">
        <f>IF(Calculations!$F$5="ACCREDITED 17025 WITH UNCERTAINTIES",$N$10,0)</f>
        <v>0</v>
      </c>
      <c r="O1003" s="1" t="str">
        <f>IFERROR(Table1[[#This Row],[Std Nom]]-(_xlfn.XLOOKUP(Table1[[#This Row],[Manufacturer]]&amp;" "&amp;Table1[[#This Row],[Model]],Table13[MFR &amp; MDL],Table13[Tolerance % CW ],"")/100*Table1[[#This Row],[Std Nom]]),"")</f>
        <v/>
      </c>
      <c r="P1003" s="1" t="str">
        <f>IFERROR(Table1[[#This Row],[Std Nom]]+(_xlfn.XLOOKUP(Table1[[#This Row],[Manufacturer]]&amp;" "&amp;Table1[[#This Row],[Model]],Table13[MFR &amp; MDL],Table13[Tolerance % CW ],"")/100*Table1[[#This Row],[Std Nom]]),"")</f>
        <v/>
      </c>
      <c r="Q1003" s="1" t="e">
        <f>Table1[[#This Row],[High Tol]]-Table1[[#This Row],[Low Tol]]</f>
        <v>#VALUE!</v>
      </c>
      <c r="R1003" s="1">
        <f>2*Table1[[#This Row],[Std Error]]</f>
        <v>0</v>
      </c>
      <c r="S1003" s="1" t="str">
        <f>IF(Table1[[#This Row],[High Tol]]="","N/A",IFERROR(ABS(Table1[[#This Row],[Tol Span]]/Table1[[#This Row],[Error Span]]),"N/A"))</f>
        <v>N/A</v>
      </c>
      <c r="T1003" s="1" t="str">
        <f>IF(OR(Table1[[#This Row],[Low Tol]]="",Table1[[#This Row],[High Tol]]=""),"Needs Analysis",IF(Table1[[#This Row],[Ratio]]&gt;=4,"Not Significant",IF(Table1[[#This Row],[Ratio]]&gt;=2,"Semi-Significant","Significant")))</f>
        <v>Needs Analysis</v>
      </c>
      <c r="W1003" s="1">
        <f>IF(Table1[[#This Row],[Cal Type]]&lt;&gt;"ACCREDITED 17025 WITH UNCERTAINTIES",0,"")</f>
        <v>0</v>
      </c>
      <c r="X1003" s="1" t="str">
        <f>IF(Table1[[#This Row],[DUT Read]]="","N/A",Table1[[#This Row],[Std Error]]+Table1[[#This Row],[DUT Read]]+Table1[[#This Row],[DUT Ucty]])</f>
        <v>N/A</v>
      </c>
      <c r="Y1003" s="1" t="str">
        <f>IF(Table1[[#This Row],[Std Read]]="","N/A",Table1[[#This Row],[Std Read]]+Table1[[#This Row],[Std Ucty]])</f>
        <v>N/A</v>
      </c>
      <c r="Z10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3" s="1" t="str">
        <f>IF(Table1[[#This Row],[Spec Type]]="","N/A",Table1[[#This Row],[Spec Type]])</f>
        <v>±</v>
      </c>
      <c r="AC1003" s="1" t="str">
        <f>IF(Table1[[#This Row],[Spec Type2]]="N/A","N/A",IF(AND(Table1[[#This Row],[DUT Adj Read]]&gt;=Table1[[#This Row],[Low Tol]],Table1[[#This Row],[DUT Adj Read]]&lt;=Table1[[#This Row],[High Tol]]),"Pass","Fail"))</f>
        <v>Fail</v>
      </c>
      <c r="AD1003" s="1" t="str">
        <f>IF(AND(Table1[[#This Row],[Spec Type2]]="N/A",Table1[[#This Row],[DUT Adj Read]]="N/A",Table1[[#This Row],[Std Adj Read]]="N/A"),"N/A",IF(Table1[[#This Row],[DUT Adj Read]]="N/A",IF(Table1[[#This Row],[Std Adj Read]]&gt;Table1[[#This Row],[Low Tol]],"Pass","Fail"),IF(Table1[[#This Row],[DUT Adj Read]]&gt;Table1[[#This Row],[Low Tol]],"Pass","Fail")))</f>
        <v>Pass</v>
      </c>
      <c r="AE1003" s="1" t="str">
        <f>IF(AND(Table1[[#This Row],[Spec Type2]]="N/A",Table1[[#This Row],[DUT Adj Read]]="N/A",Table1[[#This Row],[Std Adj Read]]="N/A"),"N/A",IF(Table1[[#This Row],[DUT Adj Read]]="N/A",IF(Table1[[#This Row],[Std Adj Read]]&lt;Table1[[#This Row],[High Tol]],"Pass","Fail"),IF(Table1[[#This Row],[DUT Adj Read]]&lt;Table1[[#This Row],[High Tol]],"Pass","Fail")))</f>
        <v>Fail</v>
      </c>
      <c r="AF1003" s="1" t="str">
        <f>IF(AND(Table1[[#This Row],[Spec Type2]]="N/A",Table1[[#This Row],[DUT Adj Read]]="N/A",Table1[[#This Row],[Std Adj Read]]="N/A"),"N/A",IF(Table1[[#This Row],[DUT Adj Read]]="N/A",IF(Table1[[#This Row],[Std Adj Read]]&gt;=Table1[[#This Row],[Low Tol]],"Pass","Fail"),IF(Table1[[#This Row],[DUT Adj Read]]&gt;=Table1[[#This Row],[Low Tol]],"Pass","Fail")))</f>
        <v>Pass</v>
      </c>
      <c r="AG1003" s="1" t="str">
        <f>IF(AND(Table1[[#This Row],[Spec Type2]]="N/A",Table1[[#This Row],[DUT Adj Read]]="N/A",Table1[[#This Row],[Std Adj Read]]="N/A"),"N/A",IF(Table1[[#This Row],[DUT Adj Read]]="N/A",IF(Table1[[#This Row],[Std Adj Read]]&lt;=Table1[[#This Row],[High Tol]],"Pass","Fail"),IF(Table1[[#This Row],[DUT Adj Read]]&lt;=Table1[[#This Row],[High Tol]],"Pass","Fail")))</f>
        <v>Fail</v>
      </c>
      <c r="AH10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3" s="1" t="b">
        <v>0</v>
      </c>
      <c r="AN1003" s="1" t="b">
        <v>0</v>
      </c>
      <c r="AO1003" s="1" t="b">
        <v>0</v>
      </c>
    </row>
    <row r="1004" spans="1:41" x14ac:dyDescent="0.25">
      <c r="A1004" s="10"/>
      <c r="B1004" s="10"/>
      <c r="C1004" s="10"/>
      <c r="D1004" s="10"/>
      <c r="E1004" s="10"/>
      <c r="F1004" s="10"/>
      <c r="G1004" s="10"/>
      <c r="H1004" s="10"/>
      <c r="I1004" s="1" t="str">
        <f t="shared" si="45"/>
        <v/>
      </c>
      <c r="J1004" s="1" t="s">
        <v>35</v>
      </c>
      <c r="K1004" s="1" t="str">
        <f t="shared" si="46"/>
        <v/>
      </c>
      <c r="L1004" s="1" t="str">
        <f t="shared" si="47"/>
        <v/>
      </c>
      <c r="M1004" s="1">
        <f>IF(OR(Table1[[#This Row],[Std Nom]]="",Table1[[#This Row],[Std Read]]=""),0,Table1[[#This Row],[Std Nom]]-Table1[[#This Row],[Std Read]])</f>
        <v>0</v>
      </c>
      <c r="N1004" s="1">
        <f>IF(Calculations!$F$5="ACCREDITED 17025 WITH UNCERTAINTIES",$N$10,0)</f>
        <v>0</v>
      </c>
      <c r="O1004" s="1" t="str">
        <f>IFERROR(Table1[[#This Row],[Std Nom]]-(_xlfn.XLOOKUP(Table1[[#This Row],[Manufacturer]]&amp;" "&amp;Table1[[#This Row],[Model]],Table13[MFR &amp; MDL],Table13[Tolerance % CW ],"")/100*Table1[[#This Row],[Std Nom]]),"")</f>
        <v/>
      </c>
      <c r="P1004" s="1" t="str">
        <f>IFERROR(Table1[[#This Row],[Std Nom]]+(_xlfn.XLOOKUP(Table1[[#This Row],[Manufacturer]]&amp;" "&amp;Table1[[#This Row],[Model]],Table13[MFR &amp; MDL],Table13[Tolerance % CW ],"")/100*Table1[[#This Row],[Std Nom]]),"")</f>
        <v/>
      </c>
      <c r="Q1004" s="1" t="e">
        <f>Table1[[#This Row],[High Tol]]-Table1[[#This Row],[Low Tol]]</f>
        <v>#VALUE!</v>
      </c>
      <c r="R1004" s="1">
        <f>2*Table1[[#This Row],[Std Error]]</f>
        <v>0</v>
      </c>
      <c r="S1004" s="1" t="str">
        <f>IF(Table1[[#This Row],[High Tol]]="","N/A",IFERROR(ABS(Table1[[#This Row],[Tol Span]]/Table1[[#This Row],[Error Span]]),"N/A"))</f>
        <v>N/A</v>
      </c>
      <c r="T1004" s="1" t="str">
        <f>IF(OR(Table1[[#This Row],[Low Tol]]="",Table1[[#This Row],[High Tol]]=""),"Needs Analysis",IF(Table1[[#This Row],[Ratio]]&gt;=4,"Not Significant",IF(Table1[[#This Row],[Ratio]]&gt;=2,"Semi-Significant","Significant")))</f>
        <v>Needs Analysis</v>
      </c>
      <c r="W1004" s="1">
        <f>IF(Table1[[#This Row],[Cal Type]]&lt;&gt;"ACCREDITED 17025 WITH UNCERTAINTIES",0,"")</f>
        <v>0</v>
      </c>
      <c r="X1004" s="1" t="str">
        <f>IF(Table1[[#This Row],[DUT Read]]="","N/A",Table1[[#This Row],[Std Error]]+Table1[[#This Row],[DUT Read]]+Table1[[#This Row],[DUT Ucty]])</f>
        <v>N/A</v>
      </c>
      <c r="Y1004" s="1" t="str">
        <f>IF(Table1[[#This Row],[Std Read]]="","N/A",Table1[[#This Row],[Std Read]]+Table1[[#This Row],[Std Ucty]])</f>
        <v>N/A</v>
      </c>
      <c r="Z10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4" s="1" t="str">
        <f>IF(Table1[[#This Row],[Spec Type]]="","N/A",Table1[[#This Row],[Spec Type]])</f>
        <v>±</v>
      </c>
      <c r="AC1004" s="1" t="str">
        <f>IF(Table1[[#This Row],[Spec Type2]]="N/A","N/A",IF(AND(Table1[[#This Row],[DUT Adj Read]]&gt;=Table1[[#This Row],[Low Tol]],Table1[[#This Row],[DUT Adj Read]]&lt;=Table1[[#This Row],[High Tol]]),"Pass","Fail"))</f>
        <v>Fail</v>
      </c>
      <c r="AD1004" s="1" t="str">
        <f>IF(AND(Table1[[#This Row],[Spec Type2]]="N/A",Table1[[#This Row],[DUT Adj Read]]="N/A",Table1[[#This Row],[Std Adj Read]]="N/A"),"N/A",IF(Table1[[#This Row],[DUT Adj Read]]="N/A",IF(Table1[[#This Row],[Std Adj Read]]&gt;Table1[[#This Row],[Low Tol]],"Pass","Fail"),IF(Table1[[#This Row],[DUT Adj Read]]&gt;Table1[[#This Row],[Low Tol]],"Pass","Fail")))</f>
        <v>Pass</v>
      </c>
      <c r="AE1004" s="1" t="str">
        <f>IF(AND(Table1[[#This Row],[Spec Type2]]="N/A",Table1[[#This Row],[DUT Adj Read]]="N/A",Table1[[#This Row],[Std Adj Read]]="N/A"),"N/A",IF(Table1[[#This Row],[DUT Adj Read]]="N/A",IF(Table1[[#This Row],[Std Adj Read]]&lt;Table1[[#This Row],[High Tol]],"Pass","Fail"),IF(Table1[[#This Row],[DUT Adj Read]]&lt;Table1[[#This Row],[High Tol]],"Pass","Fail")))</f>
        <v>Fail</v>
      </c>
      <c r="AF1004" s="1" t="str">
        <f>IF(AND(Table1[[#This Row],[Spec Type2]]="N/A",Table1[[#This Row],[DUT Adj Read]]="N/A",Table1[[#This Row],[Std Adj Read]]="N/A"),"N/A",IF(Table1[[#This Row],[DUT Adj Read]]="N/A",IF(Table1[[#This Row],[Std Adj Read]]&gt;=Table1[[#This Row],[Low Tol]],"Pass","Fail"),IF(Table1[[#This Row],[DUT Adj Read]]&gt;=Table1[[#This Row],[Low Tol]],"Pass","Fail")))</f>
        <v>Pass</v>
      </c>
      <c r="AG1004" s="1" t="str">
        <f>IF(AND(Table1[[#This Row],[Spec Type2]]="N/A",Table1[[#This Row],[DUT Adj Read]]="N/A",Table1[[#This Row],[Std Adj Read]]="N/A"),"N/A",IF(Table1[[#This Row],[DUT Adj Read]]="N/A",IF(Table1[[#This Row],[Std Adj Read]]&lt;=Table1[[#This Row],[High Tol]],"Pass","Fail"),IF(Table1[[#This Row],[DUT Adj Read]]&lt;=Table1[[#This Row],[High Tol]],"Pass","Fail")))</f>
        <v>Fail</v>
      </c>
      <c r="AH10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4" s="1" t="b">
        <v>0</v>
      </c>
      <c r="AN1004" s="1" t="b">
        <v>0</v>
      </c>
      <c r="AO1004" s="1" t="b">
        <v>0</v>
      </c>
    </row>
    <row r="1005" spans="1:41" x14ac:dyDescent="0.25">
      <c r="A1005" s="10"/>
      <c r="B1005" s="10"/>
      <c r="C1005" s="10"/>
      <c r="D1005" s="10"/>
      <c r="E1005" s="10"/>
      <c r="F1005" s="10"/>
      <c r="G1005" s="10"/>
      <c r="H1005" s="10"/>
      <c r="I1005" s="1" t="str">
        <f t="shared" si="45"/>
        <v/>
      </c>
      <c r="J1005" s="1" t="s">
        <v>35</v>
      </c>
      <c r="K1005" s="1" t="str">
        <f t="shared" si="46"/>
        <v/>
      </c>
      <c r="L1005" s="1" t="str">
        <f t="shared" si="47"/>
        <v/>
      </c>
      <c r="M1005" s="1">
        <f>IF(OR(Table1[[#This Row],[Std Nom]]="",Table1[[#This Row],[Std Read]]=""),0,Table1[[#This Row],[Std Nom]]-Table1[[#This Row],[Std Read]])</f>
        <v>0</v>
      </c>
      <c r="N1005" s="1">
        <f>IF(Calculations!$F$5="ACCREDITED 17025 WITH UNCERTAINTIES",$N$10,0)</f>
        <v>0</v>
      </c>
      <c r="O1005" s="1" t="str">
        <f>IFERROR(Table1[[#This Row],[Std Nom]]-(_xlfn.XLOOKUP(Table1[[#This Row],[Manufacturer]]&amp;" "&amp;Table1[[#This Row],[Model]],Table13[MFR &amp; MDL],Table13[Tolerance % CW ],"")/100*Table1[[#This Row],[Std Nom]]),"")</f>
        <v/>
      </c>
      <c r="P1005" s="1" t="str">
        <f>IFERROR(Table1[[#This Row],[Std Nom]]+(_xlfn.XLOOKUP(Table1[[#This Row],[Manufacturer]]&amp;" "&amp;Table1[[#This Row],[Model]],Table13[MFR &amp; MDL],Table13[Tolerance % CW ],"")/100*Table1[[#This Row],[Std Nom]]),"")</f>
        <v/>
      </c>
      <c r="Q1005" s="1" t="e">
        <f>Table1[[#This Row],[High Tol]]-Table1[[#This Row],[Low Tol]]</f>
        <v>#VALUE!</v>
      </c>
      <c r="R1005" s="1">
        <f>2*Table1[[#This Row],[Std Error]]</f>
        <v>0</v>
      </c>
      <c r="S1005" s="1" t="str">
        <f>IF(Table1[[#This Row],[High Tol]]="","N/A",IFERROR(ABS(Table1[[#This Row],[Tol Span]]/Table1[[#This Row],[Error Span]]),"N/A"))</f>
        <v>N/A</v>
      </c>
      <c r="T1005" s="1" t="str">
        <f>IF(OR(Table1[[#This Row],[Low Tol]]="",Table1[[#This Row],[High Tol]]=""),"Needs Analysis",IF(Table1[[#This Row],[Ratio]]&gt;=4,"Not Significant",IF(Table1[[#This Row],[Ratio]]&gt;=2,"Semi-Significant","Significant")))</f>
        <v>Needs Analysis</v>
      </c>
      <c r="W1005" s="1">
        <f>IF(Table1[[#This Row],[Cal Type]]&lt;&gt;"ACCREDITED 17025 WITH UNCERTAINTIES",0,"")</f>
        <v>0</v>
      </c>
      <c r="X1005" s="1" t="str">
        <f>IF(Table1[[#This Row],[DUT Read]]="","N/A",Table1[[#This Row],[Std Error]]+Table1[[#This Row],[DUT Read]]+Table1[[#This Row],[DUT Ucty]])</f>
        <v>N/A</v>
      </c>
      <c r="Y1005" s="1" t="str">
        <f>IF(Table1[[#This Row],[Std Read]]="","N/A",Table1[[#This Row],[Std Read]]+Table1[[#This Row],[Std Ucty]])</f>
        <v>N/A</v>
      </c>
      <c r="Z10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5" s="1" t="str">
        <f>IF(Table1[[#This Row],[Spec Type]]="","N/A",Table1[[#This Row],[Spec Type]])</f>
        <v>±</v>
      </c>
      <c r="AC1005" s="1" t="str">
        <f>IF(Table1[[#This Row],[Spec Type2]]="N/A","N/A",IF(AND(Table1[[#This Row],[DUT Adj Read]]&gt;=Table1[[#This Row],[Low Tol]],Table1[[#This Row],[DUT Adj Read]]&lt;=Table1[[#This Row],[High Tol]]),"Pass","Fail"))</f>
        <v>Fail</v>
      </c>
      <c r="AD1005" s="1" t="str">
        <f>IF(AND(Table1[[#This Row],[Spec Type2]]="N/A",Table1[[#This Row],[DUT Adj Read]]="N/A",Table1[[#This Row],[Std Adj Read]]="N/A"),"N/A",IF(Table1[[#This Row],[DUT Adj Read]]="N/A",IF(Table1[[#This Row],[Std Adj Read]]&gt;Table1[[#This Row],[Low Tol]],"Pass","Fail"),IF(Table1[[#This Row],[DUT Adj Read]]&gt;Table1[[#This Row],[Low Tol]],"Pass","Fail")))</f>
        <v>Pass</v>
      </c>
      <c r="AE1005" s="1" t="str">
        <f>IF(AND(Table1[[#This Row],[Spec Type2]]="N/A",Table1[[#This Row],[DUT Adj Read]]="N/A",Table1[[#This Row],[Std Adj Read]]="N/A"),"N/A",IF(Table1[[#This Row],[DUT Adj Read]]="N/A",IF(Table1[[#This Row],[Std Adj Read]]&lt;Table1[[#This Row],[High Tol]],"Pass","Fail"),IF(Table1[[#This Row],[DUT Adj Read]]&lt;Table1[[#This Row],[High Tol]],"Pass","Fail")))</f>
        <v>Fail</v>
      </c>
      <c r="AF1005" s="1" t="str">
        <f>IF(AND(Table1[[#This Row],[Spec Type2]]="N/A",Table1[[#This Row],[DUT Adj Read]]="N/A",Table1[[#This Row],[Std Adj Read]]="N/A"),"N/A",IF(Table1[[#This Row],[DUT Adj Read]]="N/A",IF(Table1[[#This Row],[Std Adj Read]]&gt;=Table1[[#This Row],[Low Tol]],"Pass","Fail"),IF(Table1[[#This Row],[DUT Adj Read]]&gt;=Table1[[#This Row],[Low Tol]],"Pass","Fail")))</f>
        <v>Pass</v>
      </c>
      <c r="AG1005" s="1" t="str">
        <f>IF(AND(Table1[[#This Row],[Spec Type2]]="N/A",Table1[[#This Row],[DUT Adj Read]]="N/A",Table1[[#This Row],[Std Adj Read]]="N/A"),"N/A",IF(Table1[[#This Row],[DUT Adj Read]]="N/A",IF(Table1[[#This Row],[Std Adj Read]]&lt;=Table1[[#This Row],[High Tol]],"Pass","Fail"),IF(Table1[[#This Row],[DUT Adj Read]]&lt;=Table1[[#This Row],[High Tol]],"Pass","Fail")))</f>
        <v>Fail</v>
      </c>
      <c r="AH10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5" s="1" t="b">
        <v>0</v>
      </c>
      <c r="AN1005" s="1" t="b">
        <v>0</v>
      </c>
      <c r="AO1005" s="1" t="b">
        <v>0</v>
      </c>
    </row>
    <row r="1006" spans="1:41" x14ac:dyDescent="0.25">
      <c r="A1006" s="10"/>
      <c r="B1006" s="10"/>
      <c r="C1006" s="10"/>
      <c r="D1006" s="10"/>
      <c r="E1006" s="10"/>
      <c r="F1006" s="10"/>
      <c r="G1006" s="10"/>
      <c r="H1006" s="10"/>
      <c r="I1006" s="1" t="str">
        <f t="shared" si="45"/>
        <v/>
      </c>
      <c r="J1006" s="1" t="s">
        <v>35</v>
      </c>
      <c r="K1006" s="1" t="str">
        <f t="shared" si="46"/>
        <v/>
      </c>
      <c r="L1006" s="1" t="str">
        <f t="shared" si="47"/>
        <v/>
      </c>
      <c r="M1006" s="1">
        <f>IF(OR(Table1[[#This Row],[Std Nom]]="",Table1[[#This Row],[Std Read]]=""),0,Table1[[#This Row],[Std Nom]]-Table1[[#This Row],[Std Read]])</f>
        <v>0</v>
      </c>
      <c r="N1006" s="1">
        <f>IF(Calculations!$F$5="ACCREDITED 17025 WITH UNCERTAINTIES",$N$10,0)</f>
        <v>0</v>
      </c>
      <c r="O1006" s="1" t="str">
        <f>IFERROR(Table1[[#This Row],[Std Nom]]-(_xlfn.XLOOKUP(Table1[[#This Row],[Manufacturer]]&amp;" "&amp;Table1[[#This Row],[Model]],Table13[MFR &amp; MDL],Table13[Tolerance % CW ],"")/100*Table1[[#This Row],[Std Nom]]),"")</f>
        <v/>
      </c>
      <c r="P1006" s="1" t="str">
        <f>IFERROR(Table1[[#This Row],[Std Nom]]+(_xlfn.XLOOKUP(Table1[[#This Row],[Manufacturer]]&amp;" "&amp;Table1[[#This Row],[Model]],Table13[MFR &amp; MDL],Table13[Tolerance % CW ],"")/100*Table1[[#This Row],[Std Nom]]),"")</f>
        <v/>
      </c>
      <c r="Q1006" s="1" t="e">
        <f>Table1[[#This Row],[High Tol]]-Table1[[#This Row],[Low Tol]]</f>
        <v>#VALUE!</v>
      </c>
      <c r="R1006" s="1">
        <f>2*Table1[[#This Row],[Std Error]]</f>
        <v>0</v>
      </c>
      <c r="S1006" s="1" t="str">
        <f>IF(Table1[[#This Row],[High Tol]]="","N/A",IFERROR(ABS(Table1[[#This Row],[Tol Span]]/Table1[[#This Row],[Error Span]]),"N/A"))</f>
        <v>N/A</v>
      </c>
      <c r="T1006" s="1" t="str">
        <f>IF(OR(Table1[[#This Row],[Low Tol]]="",Table1[[#This Row],[High Tol]]=""),"Needs Analysis",IF(Table1[[#This Row],[Ratio]]&gt;=4,"Not Significant",IF(Table1[[#This Row],[Ratio]]&gt;=2,"Semi-Significant","Significant")))</f>
        <v>Needs Analysis</v>
      </c>
      <c r="W1006" s="1">
        <f>IF(Table1[[#This Row],[Cal Type]]&lt;&gt;"ACCREDITED 17025 WITH UNCERTAINTIES",0,"")</f>
        <v>0</v>
      </c>
      <c r="X1006" s="1" t="str">
        <f>IF(Table1[[#This Row],[DUT Read]]="","N/A",Table1[[#This Row],[Std Error]]+Table1[[#This Row],[DUT Read]]+Table1[[#This Row],[DUT Ucty]])</f>
        <v>N/A</v>
      </c>
      <c r="Y1006" s="1" t="str">
        <f>IF(Table1[[#This Row],[Std Read]]="","N/A",Table1[[#This Row],[Std Read]]+Table1[[#This Row],[Std Ucty]])</f>
        <v>N/A</v>
      </c>
      <c r="Z10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6" s="1" t="str">
        <f>IF(Table1[[#This Row],[Spec Type]]="","N/A",Table1[[#This Row],[Spec Type]])</f>
        <v>±</v>
      </c>
      <c r="AC1006" s="1" t="str">
        <f>IF(Table1[[#This Row],[Spec Type2]]="N/A","N/A",IF(AND(Table1[[#This Row],[DUT Adj Read]]&gt;=Table1[[#This Row],[Low Tol]],Table1[[#This Row],[DUT Adj Read]]&lt;=Table1[[#This Row],[High Tol]]),"Pass","Fail"))</f>
        <v>Fail</v>
      </c>
      <c r="AD1006" s="1" t="str">
        <f>IF(AND(Table1[[#This Row],[Spec Type2]]="N/A",Table1[[#This Row],[DUT Adj Read]]="N/A",Table1[[#This Row],[Std Adj Read]]="N/A"),"N/A",IF(Table1[[#This Row],[DUT Adj Read]]="N/A",IF(Table1[[#This Row],[Std Adj Read]]&gt;Table1[[#This Row],[Low Tol]],"Pass","Fail"),IF(Table1[[#This Row],[DUT Adj Read]]&gt;Table1[[#This Row],[Low Tol]],"Pass","Fail")))</f>
        <v>Pass</v>
      </c>
      <c r="AE1006" s="1" t="str">
        <f>IF(AND(Table1[[#This Row],[Spec Type2]]="N/A",Table1[[#This Row],[DUT Adj Read]]="N/A",Table1[[#This Row],[Std Adj Read]]="N/A"),"N/A",IF(Table1[[#This Row],[DUT Adj Read]]="N/A",IF(Table1[[#This Row],[Std Adj Read]]&lt;Table1[[#This Row],[High Tol]],"Pass","Fail"),IF(Table1[[#This Row],[DUT Adj Read]]&lt;Table1[[#This Row],[High Tol]],"Pass","Fail")))</f>
        <v>Fail</v>
      </c>
      <c r="AF1006" s="1" t="str">
        <f>IF(AND(Table1[[#This Row],[Spec Type2]]="N/A",Table1[[#This Row],[DUT Adj Read]]="N/A",Table1[[#This Row],[Std Adj Read]]="N/A"),"N/A",IF(Table1[[#This Row],[DUT Adj Read]]="N/A",IF(Table1[[#This Row],[Std Adj Read]]&gt;=Table1[[#This Row],[Low Tol]],"Pass","Fail"),IF(Table1[[#This Row],[DUT Adj Read]]&gt;=Table1[[#This Row],[Low Tol]],"Pass","Fail")))</f>
        <v>Pass</v>
      </c>
      <c r="AG1006" s="1" t="str">
        <f>IF(AND(Table1[[#This Row],[Spec Type2]]="N/A",Table1[[#This Row],[DUT Adj Read]]="N/A",Table1[[#This Row],[Std Adj Read]]="N/A"),"N/A",IF(Table1[[#This Row],[DUT Adj Read]]="N/A",IF(Table1[[#This Row],[Std Adj Read]]&lt;=Table1[[#This Row],[High Tol]],"Pass","Fail"),IF(Table1[[#This Row],[DUT Adj Read]]&lt;=Table1[[#This Row],[High Tol]],"Pass","Fail")))</f>
        <v>Fail</v>
      </c>
      <c r="AH10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6" s="1" t="b">
        <v>0</v>
      </c>
      <c r="AN1006" s="1" t="b">
        <v>0</v>
      </c>
      <c r="AO1006" s="1" t="b">
        <v>0</v>
      </c>
    </row>
    <row r="1007" spans="1:41" x14ac:dyDescent="0.25">
      <c r="A1007" s="10"/>
      <c r="B1007" s="10"/>
      <c r="C1007" s="10"/>
      <c r="D1007" s="10"/>
      <c r="E1007" s="10"/>
      <c r="F1007" s="10"/>
      <c r="G1007" s="10"/>
      <c r="H1007" s="10"/>
      <c r="I1007" s="1" t="str">
        <f t="shared" si="45"/>
        <v/>
      </c>
      <c r="J1007" s="1" t="s">
        <v>35</v>
      </c>
      <c r="K1007" s="1" t="str">
        <f t="shared" si="46"/>
        <v/>
      </c>
      <c r="L1007" s="1" t="str">
        <f t="shared" si="47"/>
        <v/>
      </c>
      <c r="M1007" s="1">
        <f>IF(OR(Table1[[#This Row],[Std Nom]]="",Table1[[#This Row],[Std Read]]=""),0,Table1[[#This Row],[Std Nom]]-Table1[[#This Row],[Std Read]])</f>
        <v>0</v>
      </c>
      <c r="N1007" s="1">
        <f>IF(Calculations!$F$5="ACCREDITED 17025 WITH UNCERTAINTIES",$N$10,0)</f>
        <v>0</v>
      </c>
      <c r="O1007" s="1" t="str">
        <f>IFERROR(Table1[[#This Row],[Std Nom]]-(_xlfn.XLOOKUP(Table1[[#This Row],[Manufacturer]]&amp;" "&amp;Table1[[#This Row],[Model]],Table13[MFR &amp; MDL],Table13[Tolerance % CW ],"")/100*Table1[[#This Row],[Std Nom]]),"")</f>
        <v/>
      </c>
      <c r="P1007" s="1" t="str">
        <f>IFERROR(Table1[[#This Row],[Std Nom]]+(_xlfn.XLOOKUP(Table1[[#This Row],[Manufacturer]]&amp;" "&amp;Table1[[#This Row],[Model]],Table13[MFR &amp; MDL],Table13[Tolerance % CW ],"")/100*Table1[[#This Row],[Std Nom]]),"")</f>
        <v/>
      </c>
      <c r="Q1007" s="1" t="e">
        <f>Table1[[#This Row],[High Tol]]-Table1[[#This Row],[Low Tol]]</f>
        <v>#VALUE!</v>
      </c>
      <c r="R1007" s="1">
        <f>2*Table1[[#This Row],[Std Error]]</f>
        <v>0</v>
      </c>
      <c r="S1007" s="1" t="str">
        <f>IF(Table1[[#This Row],[High Tol]]="","N/A",IFERROR(ABS(Table1[[#This Row],[Tol Span]]/Table1[[#This Row],[Error Span]]),"N/A"))</f>
        <v>N/A</v>
      </c>
      <c r="T1007" s="1" t="str">
        <f>IF(OR(Table1[[#This Row],[Low Tol]]="",Table1[[#This Row],[High Tol]]=""),"Needs Analysis",IF(Table1[[#This Row],[Ratio]]&gt;=4,"Not Significant",IF(Table1[[#This Row],[Ratio]]&gt;=2,"Semi-Significant","Significant")))</f>
        <v>Needs Analysis</v>
      </c>
      <c r="W1007" s="1">
        <f>IF(Table1[[#This Row],[Cal Type]]&lt;&gt;"ACCREDITED 17025 WITH UNCERTAINTIES",0,"")</f>
        <v>0</v>
      </c>
      <c r="X1007" s="1" t="str">
        <f>IF(Table1[[#This Row],[DUT Read]]="","N/A",Table1[[#This Row],[Std Error]]+Table1[[#This Row],[DUT Read]]+Table1[[#This Row],[DUT Ucty]])</f>
        <v>N/A</v>
      </c>
      <c r="Y1007" s="1" t="str">
        <f>IF(Table1[[#This Row],[Std Read]]="","N/A",Table1[[#This Row],[Std Read]]+Table1[[#This Row],[Std Ucty]])</f>
        <v>N/A</v>
      </c>
      <c r="Z10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7" s="1" t="str">
        <f>IF(Table1[[#This Row],[Spec Type]]="","N/A",Table1[[#This Row],[Spec Type]])</f>
        <v>±</v>
      </c>
      <c r="AC1007" s="1" t="str">
        <f>IF(Table1[[#This Row],[Spec Type2]]="N/A","N/A",IF(AND(Table1[[#This Row],[DUT Adj Read]]&gt;=Table1[[#This Row],[Low Tol]],Table1[[#This Row],[DUT Adj Read]]&lt;=Table1[[#This Row],[High Tol]]),"Pass","Fail"))</f>
        <v>Fail</v>
      </c>
      <c r="AD1007" s="1" t="str">
        <f>IF(AND(Table1[[#This Row],[Spec Type2]]="N/A",Table1[[#This Row],[DUT Adj Read]]="N/A",Table1[[#This Row],[Std Adj Read]]="N/A"),"N/A",IF(Table1[[#This Row],[DUT Adj Read]]="N/A",IF(Table1[[#This Row],[Std Adj Read]]&gt;Table1[[#This Row],[Low Tol]],"Pass","Fail"),IF(Table1[[#This Row],[DUT Adj Read]]&gt;Table1[[#This Row],[Low Tol]],"Pass","Fail")))</f>
        <v>Pass</v>
      </c>
      <c r="AE1007" s="1" t="str">
        <f>IF(AND(Table1[[#This Row],[Spec Type2]]="N/A",Table1[[#This Row],[DUT Adj Read]]="N/A",Table1[[#This Row],[Std Adj Read]]="N/A"),"N/A",IF(Table1[[#This Row],[DUT Adj Read]]="N/A",IF(Table1[[#This Row],[Std Adj Read]]&lt;Table1[[#This Row],[High Tol]],"Pass","Fail"),IF(Table1[[#This Row],[DUT Adj Read]]&lt;Table1[[#This Row],[High Tol]],"Pass","Fail")))</f>
        <v>Fail</v>
      </c>
      <c r="AF1007" s="1" t="str">
        <f>IF(AND(Table1[[#This Row],[Spec Type2]]="N/A",Table1[[#This Row],[DUT Adj Read]]="N/A",Table1[[#This Row],[Std Adj Read]]="N/A"),"N/A",IF(Table1[[#This Row],[DUT Adj Read]]="N/A",IF(Table1[[#This Row],[Std Adj Read]]&gt;=Table1[[#This Row],[Low Tol]],"Pass","Fail"),IF(Table1[[#This Row],[DUT Adj Read]]&gt;=Table1[[#This Row],[Low Tol]],"Pass","Fail")))</f>
        <v>Pass</v>
      </c>
      <c r="AG1007" s="1" t="str">
        <f>IF(AND(Table1[[#This Row],[Spec Type2]]="N/A",Table1[[#This Row],[DUT Adj Read]]="N/A",Table1[[#This Row],[Std Adj Read]]="N/A"),"N/A",IF(Table1[[#This Row],[DUT Adj Read]]="N/A",IF(Table1[[#This Row],[Std Adj Read]]&lt;=Table1[[#This Row],[High Tol]],"Pass","Fail"),IF(Table1[[#This Row],[DUT Adj Read]]&lt;=Table1[[#This Row],[High Tol]],"Pass","Fail")))</f>
        <v>Fail</v>
      </c>
      <c r="AH10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7" s="1" t="b">
        <v>0</v>
      </c>
      <c r="AN1007" s="1" t="b">
        <v>0</v>
      </c>
      <c r="AO1007" s="1" t="b">
        <v>0</v>
      </c>
    </row>
    <row r="1008" spans="1:41" x14ac:dyDescent="0.25">
      <c r="A1008" s="10"/>
      <c r="B1008" s="10"/>
      <c r="C1008" s="10"/>
      <c r="D1008" s="10"/>
      <c r="E1008" s="10"/>
      <c r="F1008" s="10"/>
      <c r="G1008" s="10"/>
      <c r="H1008" s="10"/>
      <c r="I1008" s="1" t="str">
        <f t="shared" si="45"/>
        <v/>
      </c>
      <c r="J1008" s="1" t="s">
        <v>35</v>
      </c>
      <c r="K1008" s="1" t="str">
        <f t="shared" si="46"/>
        <v/>
      </c>
      <c r="L1008" s="1" t="str">
        <f t="shared" si="47"/>
        <v/>
      </c>
      <c r="M1008" s="1">
        <f>IF(OR(Table1[[#This Row],[Std Nom]]="",Table1[[#This Row],[Std Read]]=""),0,Table1[[#This Row],[Std Nom]]-Table1[[#This Row],[Std Read]])</f>
        <v>0</v>
      </c>
      <c r="N1008" s="1">
        <f>IF(Calculations!$F$5="ACCREDITED 17025 WITH UNCERTAINTIES",$N$10,0)</f>
        <v>0</v>
      </c>
      <c r="O1008" s="1" t="str">
        <f>IFERROR(Table1[[#This Row],[Std Nom]]-(_xlfn.XLOOKUP(Table1[[#This Row],[Manufacturer]]&amp;" "&amp;Table1[[#This Row],[Model]],Table13[MFR &amp; MDL],Table13[Tolerance % CW ],"")/100*Table1[[#This Row],[Std Nom]]),"")</f>
        <v/>
      </c>
      <c r="P1008" s="1" t="str">
        <f>IFERROR(Table1[[#This Row],[Std Nom]]+(_xlfn.XLOOKUP(Table1[[#This Row],[Manufacturer]]&amp;" "&amp;Table1[[#This Row],[Model]],Table13[MFR &amp; MDL],Table13[Tolerance % CW ],"")/100*Table1[[#This Row],[Std Nom]]),"")</f>
        <v/>
      </c>
      <c r="Q1008" s="1" t="e">
        <f>Table1[[#This Row],[High Tol]]-Table1[[#This Row],[Low Tol]]</f>
        <v>#VALUE!</v>
      </c>
      <c r="R1008" s="1">
        <f>2*Table1[[#This Row],[Std Error]]</f>
        <v>0</v>
      </c>
      <c r="S1008" s="1" t="str">
        <f>IF(Table1[[#This Row],[High Tol]]="","N/A",IFERROR(ABS(Table1[[#This Row],[Tol Span]]/Table1[[#This Row],[Error Span]]),"N/A"))</f>
        <v>N/A</v>
      </c>
      <c r="T1008" s="1" t="str">
        <f>IF(OR(Table1[[#This Row],[Low Tol]]="",Table1[[#This Row],[High Tol]]=""),"Needs Analysis",IF(Table1[[#This Row],[Ratio]]&gt;=4,"Not Significant",IF(Table1[[#This Row],[Ratio]]&gt;=2,"Semi-Significant","Significant")))</f>
        <v>Needs Analysis</v>
      </c>
      <c r="W1008" s="1">
        <f>IF(Table1[[#This Row],[Cal Type]]&lt;&gt;"ACCREDITED 17025 WITH UNCERTAINTIES",0,"")</f>
        <v>0</v>
      </c>
      <c r="X1008" s="1" t="str">
        <f>IF(Table1[[#This Row],[DUT Read]]="","N/A",Table1[[#This Row],[Std Error]]+Table1[[#This Row],[DUT Read]]+Table1[[#This Row],[DUT Ucty]])</f>
        <v>N/A</v>
      </c>
      <c r="Y1008" s="1" t="str">
        <f>IF(Table1[[#This Row],[Std Read]]="","N/A",Table1[[#This Row],[Std Read]]+Table1[[#This Row],[Std Ucty]])</f>
        <v>N/A</v>
      </c>
      <c r="Z10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8" s="1" t="str">
        <f>IF(Table1[[#This Row],[Spec Type]]="","N/A",Table1[[#This Row],[Spec Type]])</f>
        <v>±</v>
      </c>
      <c r="AC1008" s="1" t="str">
        <f>IF(Table1[[#This Row],[Spec Type2]]="N/A","N/A",IF(AND(Table1[[#This Row],[DUT Adj Read]]&gt;=Table1[[#This Row],[Low Tol]],Table1[[#This Row],[DUT Adj Read]]&lt;=Table1[[#This Row],[High Tol]]),"Pass","Fail"))</f>
        <v>Fail</v>
      </c>
      <c r="AD1008" s="1" t="str">
        <f>IF(AND(Table1[[#This Row],[Spec Type2]]="N/A",Table1[[#This Row],[DUT Adj Read]]="N/A",Table1[[#This Row],[Std Adj Read]]="N/A"),"N/A",IF(Table1[[#This Row],[DUT Adj Read]]="N/A",IF(Table1[[#This Row],[Std Adj Read]]&gt;Table1[[#This Row],[Low Tol]],"Pass","Fail"),IF(Table1[[#This Row],[DUT Adj Read]]&gt;Table1[[#This Row],[Low Tol]],"Pass","Fail")))</f>
        <v>Pass</v>
      </c>
      <c r="AE1008" s="1" t="str">
        <f>IF(AND(Table1[[#This Row],[Spec Type2]]="N/A",Table1[[#This Row],[DUT Adj Read]]="N/A",Table1[[#This Row],[Std Adj Read]]="N/A"),"N/A",IF(Table1[[#This Row],[DUT Adj Read]]="N/A",IF(Table1[[#This Row],[Std Adj Read]]&lt;Table1[[#This Row],[High Tol]],"Pass","Fail"),IF(Table1[[#This Row],[DUT Adj Read]]&lt;Table1[[#This Row],[High Tol]],"Pass","Fail")))</f>
        <v>Fail</v>
      </c>
      <c r="AF1008" s="1" t="str">
        <f>IF(AND(Table1[[#This Row],[Spec Type2]]="N/A",Table1[[#This Row],[DUT Adj Read]]="N/A",Table1[[#This Row],[Std Adj Read]]="N/A"),"N/A",IF(Table1[[#This Row],[DUT Adj Read]]="N/A",IF(Table1[[#This Row],[Std Adj Read]]&gt;=Table1[[#This Row],[Low Tol]],"Pass","Fail"),IF(Table1[[#This Row],[DUT Adj Read]]&gt;=Table1[[#This Row],[Low Tol]],"Pass","Fail")))</f>
        <v>Pass</v>
      </c>
      <c r="AG1008" s="1" t="str">
        <f>IF(AND(Table1[[#This Row],[Spec Type2]]="N/A",Table1[[#This Row],[DUT Adj Read]]="N/A",Table1[[#This Row],[Std Adj Read]]="N/A"),"N/A",IF(Table1[[#This Row],[DUT Adj Read]]="N/A",IF(Table1[[#This Row],[Std Adj Read]]&lt;=Table1[[#This Row],[High Tol]],"Pass","Fail"),IF(Table1[[#This Row],[DUT Adj Read]]&lt;=Table1[[#This Row],[High Tol]],"Pass","Fail")))</f>
        <v>Fail</v>
      </c>
      <c r="AH10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8" s="1" t="b">
        <v>0</v>
      </c>
      <c r="AN1008" s="1" t="b">
        <v>0</v>
      </c>
      <c r="AO1008" s="1" t="b">
        <v>0</v>
      </c>
    </row>
    <row r="1009" spans="1:41" x14ac:dyDescent="0.25">
      <c r="A1009" s="10"/>
      <c r="B1009" s="10"/>
      <c r="C1009" s="10"/>
      <c r="D1009" s="10"/>
      <c r="E1009" s="10"/>
      <c r="F1009" s="10"/>
      <c r="G1009" s="10"/>
      <c r="H1009" s="10"/>
      <c r="I1009" s="1" t="str">
        <f t="shared" si="45"/>
        <v/>
      </c>
      <c r="J1009" s="1" t="s">
        <v>35</v>
      </c>
      <c r="K1009" s="1" t="str">
        <f t="shared" si="46"/>
        <v/>
      </c>
      <c r="L1009" s="1" t="str">
        <f t="shared" si="47"/>
        <v/>
      </c>
      <c r="M1009" s="1">
        <f>IF(OR(Table1[[#This Row],[Std Nom]]="",Table1[[#This Row],[Std Read]]=""),0,Table1[[#This Row],[Std Nom]]-Table1[[#This Row],[Std Read]])</f>
        <v>0</v>
      </c>
      <c r="N1009" s="1">
        <f>IF(Calculations!$F$5="ACCREDITED 17025 WITH UNCERTAINTIES",$N$10,0)</f>
        <v>0</v>
      </c>
      <c r="O1009" s="1" t="str">
        <f>IFERROR(Table1[[#This Row],[Std Nom]]-(_xlfn.XLOOKUP(Table1[[#This Row],[Manufacturer]]&amp;" "&amp;Table1[[#This Row],[Model]],Table13[MFR &amp; MDL],Table13[Tolerance % CW ],"")/100*Table1[[#This Row],[Std Nom]]),"")</f>
        <v/>
      </c>
      <c r="P1009" s="1" t="str">
        <f>IFERROR(Table1[[#This Row],[Std Nom]]+(_xlfn.XLOOKUP(Table1[[#This Row],[Manufacturer]]&amp;" "&amp;Table1[[#This Row],[Model]],Table13[MFR &amp; MDL],Table13[Tolerance % CW ],"")/100*Table1[[#This Row],[Std Nom]]),"")</f>
        <v/>
      </c>
      <c r="Q1009" s="1" t="e">
        <f>Table1[[#This Row],[High Tol]]-Table1[[#This Row],[Low Tol]]</f>
        <v>#VALUE!</v>
      </c>
      <c r="R1009" s="1">
        <f>2*Table1[[#This Row],[Std Error]]</f>
        <v>0</v>
      </c>
      <c r="S1009" s="1" t="str">
        <f>IF(Table1[[#This Row],[High Tol]]="","N/A",IFERROR(ABS(Table1[[#This Row],[Tol Span]]/Table1[[#This Row],[Error Span]]),"N/A"))</f>
        <v>N/A</v>
      </c>
      <c r="T1009" s="1" t="str">
        <f>IF(OR(Table1[[#This Row],[Low Tol]]="",Table1[[#This Row],[High Tol]]=""),"Needs Analysis",IF(Table1[[#This Row],[Ratio]]&gt;=4,"Not Significant",IF(Table1[[#This Row],[Ratio]]&gt;=2,"Semi-Significant","Significant")))</f>
        <v>Needs Analysis</v>
      </c>
      <c r="W1009" s="1">
        <f>IF(Table1[[#This Row],[Cal Type]]&lt;&gt;"ACCREDITED 17025 WITH UNCERTAINTIES",0,"")</f>
        <v>0</v>
      </c>
      <c r="X1009" s="1" t="str">
        <f>IF(Table1[[#This Row],[DUT Read]]="","N/A",Table1[[#This Row],[Std Error]]+Table1[[#This Row],[DUT Read]]+Table1[[#This Row],[DUT Ucty]])</f>
        <v>N/A</v>
      </c>
      <c r="Y1009" s="1" t="str">
        <f>IF(Table1[[#This Row],[Std Read]]="","N/A",Table1[[#This Row],[Std Read]]+Table1[[#This Row],[Std Ucty]])</f>
        <v>N/A</v>
      </c>
      <c r="Z10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9" s="1" t="str">
        <f>IF(Table1[[#This Row],[Spec Type]]="","N/A",Table1[[#This Row],[Spec Type]])</f>
        <v>±</v>
      </c>
      <c r="AC1009" s="1" t="str">
        <f>IF(Table1[[#This Row],[Spec Type2]]="N/A","N/A",IF(AND(Table1[[#This Row],[DUT Adj Read]]&gt;=Table1[[#This Row],[Low Tol]],Table1[[#This Row],[DUT Adj Read]]&lt;=Table1[[#This Row],[High Tol]]),"Pass","Fail"))</f>
        <v>Fail</v>
      </c>
      <c r="AD1009" s="1" t="str">
        <f>IF(AND(Table1[[#This Row],[Spec Type2]]="N/A",Table1[[#This Row],[DUT Adj Read]]="N/A",Table1[[#This Row],[Std Adj Read]]="N/A"),"N/A",IF(Table1[[#This Row],[DUT Adj Read]]="N/A",IF(Table1[[#This Row],[Std Adj Read]]&gt;Table1[[#This Row],[Low Tol]],"Pass","Fail"),IF(Table1[[#This Row],[DUT Adj Read]]&gt;Table1[[#This Row],[Low Tol]],"Pass","Fail")))</f>
        <v>Pass</v>
      </c>
      <c r="AE1009" s="1" t="str">
        <f>IF(AND(Table1[[#This Row],[Spec Type2]]="N/A",Table1[[#This Row],[DUT Adj Read]]="N/A",Table1[[#This Row],[Std Adj Read]]="N/A"),"N/A",IF(Table1[[#This Row],[DUT Adj Read]]="N/A",IF(Table1[[#This Row],[Std Adj Read]]&lt;Table1[[#This Row],[High Tol]],"Pass","Fail"),IF(Table1[[#This Row],[DUT Adj Read]]&lt;Table1[[#This Row],[High Tol]],"Pass","Fail")))</f>
        <v>Fail</v>
      </c>
      <c r="AF1009" s="1" t="str">
        <f>IF(AND(Table1[[#This Row],[Spec Type2]]="N/A",Table1[[#This Row],[DUT Adj Read]]="N/A",Table1[[#This Row],[Std Adj Read]]="N/A"),"N/A",IF(Table1[[#This Row],[DUT Adj Read]]="N/A",IF(Table1[[#This Row],[Std Adj Read]]&gt;=Table1[[#This Row],[Low Tol]],"Pass","Fail"),IF(Table1[[#This Row],[DUT Adj Read]]&gt;=Table1[[#This Row],[Low Tol]],"Pass","Fail")))</f>
        <v>Pass</v>
      </c>
      <c r="AG1009" s="1" t="str">
        <f>IF(AND(Table1[[#This Row],[Spec Type2]]="N/A",Table1[[#This Row],[DUT Adj Read]]="N/A",Table1[[#This Row],[Std Adj Read]]="N/A"),"N/A",IF(Table1[[#This Row],[DUT Adj Read]]="N/A",IF(Table1[[#This Row],[Std Adj Read]]&lt;=Table1[[#This Row],[High Tol]],"Pass","Fail"),IF(Table1[[#This Row],[DUT Adj Read]]&lt;=Table1[[#This Row],[High Tol]],"Pass","Fail")))</f>
        <v>Fail</v>
      </c>
      <c r="AH10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9" s="1" t="b">
        <v>0</v>
      </c>
      <c r="AN1009" s="1" t="b">
        <v>0</v>
      </c>
      <c r="AO1009" s="1" t="b">
        <v>0</v>
      </c>
    </row>
    <row r="1010" spans="1:41" x14ac:dyDescent="0.25">
      <c r="A1010" s="10"/>
      <c r="B1010" s="10"/>
      <c r="C1010" s="10"/>
      <c r="D1010" s="10"/>
      <c r="E1010" s="10"/>
      <c r="F1010" s="10"/>
      <c r="G1010" s="10"/>
      <c r="H1010" s="10"/>
      <c r="I1010" s="1" t="str">
        <f t="shared" si="45"/>
        <v/>
      </c>
      <c r="J1010" s="1" t="s">
        <v>35</v>
      </c>
      <c r="K1010" s="1" t="str">
        <f t="shared" si="46"/>
        <v/>
      </c>
      <c r="L1010" s="1" t="str">
        <f t="shared" si="47"/>
        <v/>
      </c>
      <c r="M1010" s="1">
        <f>IF(OR(Table1[[#This Row],[Std Nom]]="",Table1[[#This Row],[Std Read]]=""),0,Table1[[#This Row],[Std Nom]]-Table1[[#This Row],[Std Read]])</f>
        <v>0</v>
      </c>
      <c r="N1010" s="1">
        <f>IF(Calculations!$F$5="ACCREDITED 17025 WITH UNCERTAINTIES",$N$10,0)</f>
        <v>0</v>
      </c>
      <c r="O1010" s="1" t="str">
        <f>IFERROR(Table1[[#This Row],[Std Nom]]-(_xlfn.XLOOKUP(Table1[[#This Row],[Manufacturer]]&amp;" "&amp;Table1[[#This Row],[Model]],Table13[MFR &amp; MDL],Table13[Tolerance % CW ],"")/100*Table1[[#This Row],[Std Nom]]),"")</f>
        <v/>
      </c>
      <c r="P1010" s="1" t="str">
        <f>IFERROR(Table1[[#This Row],[Std Nom]]+(_xlfn.XLOOKUP(Table1[[#This Row],[Manufacturer]]&amp;" "&amp;Table1[[#This Row],[Model]],Table13[MFR &amp; MDL],Table13[Tolerance % CW ],"")/100*Table1[[#This Row],[Std Nom]]),"")</f>
        <v/>
      </c>
      <c r="Q1010" s="1" t="e">
        <f>Table1[[#This Row],[High Tol]]-Table1[[#This Row],[Low Tol]]</f>
        <v>#VALUE!</v>
      </c>
      <c r="R1010" s="1">
        <f>2*Table1[[#This Row],[Std Error]]</f>
        <v>0</v>
      </c>
      <c r="S1010" s="1" t="str">
        <f>IF(Table1[[#This Row],[High Tol]]="","N/A",IFERROR(ABS(Table1[[#This Row],[Tol Span]]/Table1[[#This Row],[Error Span]]),"N/A"))</f>
        <v>N/A</v>
      </c>
      <c r="T1010" s="1" t="str">
        <f>IF(OR(Table1[[#This Row],[Low Tol]]="",Table1[[#This Row],[High Tol]]=""),"Needs Analysis",IF(Table1[[#This Row],[Ratio]]&gt;=4,"Not Significant",IF(Table1[[#This Row],[Ratio]]&gt;=2,"Semi-Significant","Significant")))</f>
        <v>Needs Analysis</v>
      </c>
      <c r="W1010" s="1">
        <f>IF(Table1[[#This Row],[Cal Type]]&lt;&gt;"ACCREDITED 17025 WITH UNCERTAINTIES",0,"")</f>
        <v>0</v>
      </c>
      <c r="X1010" s="1" t="str">
        <f>IF(Table1[[#This Row],[DUT Read]]="","N/A",Table1[[#This Row],[Std Error]]+Table1[[#This Row],[DUT Read]]+Table1[[#This Row],[DUT Ucty]])</f>
        <v>N/A</v>
      </c>
      <c r="Y1010" s="1" t="str">
        <f>IF(Table1[[#This Row],[Std Read]]="","N/A",Table1[[#This Row],[Std Read]]+Table1[[#This Row],[Std Ucty]])</f>
        <v>N/A</v>
      </c>
      <c r="Z10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0" s="1" t="str">
        <f>IF(Table1[[#This Row],[Spec Type]]="","N/A",Table1[[#This Row],[Spec Type]])</f>
        <v>±</v>
      </c>
      <c r="AC1010" s="1" t="str">
        <f>IF(Table1[[#This Row],[Spec Type2]]="N/A","N/A",IF(AND(Table1[[#This Row],[DUT Adj Read]]&gt;=Table1[[#This Row],[Low Tol]],Table1[[#This Row],[DUT Adj Read]]&lt;=Table1[[#This Row],[High Tol]]),"Pass","Fail"))</f>
        <v>Fail</v>
      </c>
      <c r="AD1010" s="1" t="str">
        <f>IF(AND(Table1[[#This Row],[Spec Type2]]="N/A",Table1[[#This Row],[DUT Adj Read]]="N/A",Table1[[#This Row],[Std Adj Read]]="N/A"),"N/A",IF(Table1[[#This Row],[DUT Adj Read]]="N/A",IF(Table1[[#This Row],[Std Adj Read]]&gt;Table1[[#This Row],[Low Tol]],"Pass","Fail"),IF(Table1[[#This Row],[DUT Adj Read]]&gt;Table1[[#This Row],[Low Tol]],"Pass","Fail")))</f>
        <v>Pass</v>
      </c>
      <c r="AE1010" s="1" t="str">
        <f>IF(AND(Table1[[#This Row],[Spec Type2]]="N/A",Table1[[#This Row],[DUT Adj Read]]="N/A",Table1[[#This Row],[Std Adj Read]]="N/A"),"N/A",IF(Table1[[#This Row],[DUT Adj Read]]="N/A",IF(Table1[[#This Row],[Std Adj Read]]&lt;Table1[[#This Row],[High Tol]],"Pass","Fail"),IF(Table1[[#This Row],[DUT Adj Read]]&lt;Table1[[#This Row],[High Tol]],"Pass","Fail")))</f>
        <v>Fail</v>
      </c>
      <c r="AF1010" s="1" t="str">
        <f>IF(AND(Table1[[#This Row],[Spec Type2]]="N/A",Table1[[#This Row],[DUT Adj Read]]="N/A",Table1[[#This Row],[Std Adj Read]]="N/A"),"N/A",IF(Table1[[#This Row],[DUT Adj Read]]="N/A",IF(Table1[[#This Row],[Std Adj Read]]&gt;=Table1[[#This Row],[Low Tol]],"Pass","Fail"),IF(Table1[[#This Row],[DUT Adj Read]]&gt;=Table1[[#This Row],[Low Tol]],"Pass","Fail")))</f>
        <v>Pass</v>
      </c>
      <c r="AG1010" s="1" t="str">
        <f>IF(AND(Table1[[#This Row],[Spec Type2]]="N/A",Table1[[#This Row],[DUT Adj Read]]="N/A",Table1[[#This Row],[Std Adj Read]]="N/A"),"N/A",IF(Table1[[#This Row],[DUT Adj Read]]="N/A",IF(Table1[[#This Row],[Std Adj Read]]&lt;=Table1[[#This Row],[High Tol]],"Pass","Fail"),IF(Table1[[#This Row],[DUT Adj Read]]&lt;=Table1[[#This Row],[High Tol]],"Pass","Fail")))</f>
        <v>Fail</v>
      </c>
      <c r="AH10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0" s="1" t="b">
        <v>0</v>
      </c>
      <c r="AN1010" s="1" t="b">
        <v>0</v>
      </c>
      <c r="AO1010" s="1" t="b">
        <v>0</v>
      </c>
    </row>
    <row r="1011" spans="1:41" x14ac:dyDescent="0.25">
      <c r="A1011" s="10"/>
      <c r="B1011" s="10"/>
      <c r="C1011" s="10"/>
      <c r="D1011" s="10"/>
      <c r="E1011" s="10"/>
      <c r="F1011" s="10"/>
      <c r="G1011" s="10"/>
      <c r="H1011" s="10"/>
      <c r="I1011" s="1" t="str">
        <f t="shared" si="45"/>
        <v/>
      </c>
      <c r="J1011" s="1" t="s">
        <v>35</v>
      </c>
      <c r="K1011" s="1" t="str">
        <f t="shared" si="46"/>
        <v/>
      </c>
      <c r="L1011" s="1" t="str">
        <f t="shared" si="47"/>
        <v/>
      </c>
      <c r="M1011" s="1">
        <f>IF(OR(Table1[[#This Row],[Std Nom]]="",Table1[[#This Row],[Std Read]]=""),0,Table1[[#This Row],[Std Nom]]-Table1[[#This Row],[Std Read]])</f>
        <v>0</v>
      </c>
      <c r="N1011" s="1">
        <f>IF(Calculations!$F$5="ACCREDITED 17025 WITH UNCERTAINTIES",$N$10,0)</f>
        <v>0</v>
      </c>
      <c r="O1011" s="1" t="str">
        <f>IFERROR(Table1[[#This Row],[Std Nom]]-(_xlfn.XLOOKUP(Table1[[#This Row],[Manufacturer]]&amp;" "&amp;Table1[[#This Row],[Model]],Table13[MFR &amp; MDL],Table13[Tolerance % CW ],"")/100*Table1[[#This Row],[Std Nom]]),"")</f>
        <v/>
      </c>
      <c r="P1011" s="1" t="str">
        <f>IFERROR(Table1[[#This Row],[Std Nom]]+(_xlfn.XLOOKUP(Table1[[#This Row],[Manufacturer]]&amp;" "&amp;Table1[[#This Row],[Model]],Table13[MFR &amp; MDL],Table13[Tolerance % CW ],"")/100*Table1[[#This Row],[Std Nom]]),"")</f>
        <v/>
      </c>
      <c r="Q1011" s="1" t="e">
        <f>Table1[[#This Row],[High Tol]]-Table1[[#This Row],[Low Tol]]</f>
        <v>#VALUE!</v>
      </c>
      <c r="R1011" s="1">
        <f>2*Table1[[#This Row],[Std Error]]</f>
        <v>0</v>
      </c>
      <c r="S1011" s="1" t="str">
        <f>IF(Table1[[#This Row],[High Tol]]="","N/A",IFERROR(ABS(Table1[[#This Row],[Tol Span]]/Table1[[#This Row],[Error Span]]),"N/A"))</f>
        <v>N/A</v>
      </c>
      <c r="T1011" s="1" t="str">
        <f>IF(OR(Table1[[#This Row],[Low Tol]]="",Table1[[#This Row],[High Tol]]=""),"Needs Analysis",IF(Table1[[#This Row],[Ratio]]&gt;=4,"Not Significant",IF(Table1[[#This Row],[Ratio]]&gt;=2,"Semi-Significant","Significant")))</f>
        <v>Needs Analysis</v>
      </c>
      <c r="W1011" s="1">
        <f>IF(Table1[[#This Row],[Cal Type]]&lt;&gt;"ACCREDITED 17025 WITH UNCERTAINTIES",0,"")</f>
        <v>0</v>
      </c>
      <c r="X1011" s="1" t="str">
        <f>IF(Table1[[#This Row],[DUT Read]]="","N/A",Table1[[#This Row],[Std Error]]+Table1[[#This Row],[DUT Read]]+Table1[[#This Row],[DUT Ucty]])</f>
        <v>N/A</v>
      </c>
      <c r="Y1011" s="1" t="str">
        <f>IF(Table1[[#This Row],[Std Read]]="","N/A",Table1[[#This Row],[Std Read]]+Table1[[#This Row],[Std Ucty]])</f>
        <v>N/A</v>
      </c>
      <c r="Z10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1" s="1" t="str">
        <f>IF(Table1[[#This Row],[Spec Type]]="","N/A",Table1[[#This Row],[Spec Type]])</f>
        <v>±</v>
      </c>
      <c r="AC1011" s="1" t="str">
        <f>IF(Table1[[#This Row],[Spec Type2]]="N/A","N/A",IF(AND(Table1[[#This Row],[DUT Adj Read]]&gt;=Table1[[#This Row],[Low Tol]],Table1[[#This Row],[DUT Adj Read]]&lt;=Table1[[#This Row],[High Tol]]),"Pass","Fail"))</f>
        <v>Fail</v>
      </c>
      <c r="AD1011" s="1" t="str">
        <f>IF(AND(Table1[[#This Row],[Spec Type2]]="N/A",Table1[[#This Row],[DUT Adj Read]]="N/A",Table1[[#This Row],[Std Adj Read]]="N/A"),"N/A",IF(Table1[[#This Row],[DUT Adj Read]]="N/A",IF(Table1[[#This Row],[Std Adj Read]]&gt;Table1[[#This Row],[Low Tol]],"Pass","Fail"),IF(Table1[[#This Row],[DUT Adj Read]]&gt;Table1[[#This Row],[Low Tol]],"Pass","Fail")))</f>
        <v>Pass</v>
      </c>
      <c r="AE1011" s="1" t="str">
        <f>IF(AND(Table1[[#This Row],[Spec Type2]]="N/A",Table1[[#This Row],[DUT Adj Read]]="N/A",Table1[[#This Row],[Std Adj Read]]="N/A"),"N/A",IF(Table1[[#This Row],[DUT Adj Read]]="N/A",IF(Table1[[#This Row],[Std Adj Read]]&lt;Table1[[#This Row],[High Tol]],"Pass","Fail"),IF(Table1[[#This Row],[DUT Adj Read]]&lt;Table1[[#This Row],[High Tol]],"Pass","Fail")))</f>
        <v>Fail</v>
      </c>
      <c r="AF1011" s="1" t="str">
        <f>IF(AND(Table1[[#This Row],[Spec Type2]]="N/A",Table1[[#This Row],[DUT Adj Read]]="N/A",Table1[[#This Row],[Std Adj Read]]="N/A"),"N/A",IF(Table1[[#This Row],[DUT Adj Read]]="N/A",IF(Table1[[#This Row],[Std Adj Read]]&gt;=Table1[[#This Row],[Low Tol]],"Pass","Fail"),IF(Table1[[#This Row],[DUT Adj Read]]&gt;=Table1[[#This Row],[Low Tol]],"Pass","Fail")))</f>
        <v>Pass</v>
      </c>
      <c r="AG1011" s="1" t="str">
        <f>IF(AND(Table1[[#This Row],[Spec Type2]]="N/A",Table1[[#This Row],[DUT Adj Read]]="N/A",Table1[[#This Row],[Std Adj Read]]="N/A"),"N/A",IF(Table1[[#This Row],[DUT Adj Read]]="N/A",IF(Table1[[#This Row],[Std Adj Read]]&lt;=Table1[[#This Row],[High Tol]],"Pass","Fail"),IF(Table1[[#This Row],[DUT Adj Read]]&lt;=Table1[[#This Row],[High Tol]],"Pass","Fail")))</f>
        <v>Fail</v>
      </c>
      <c r="AH10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1" s="1" t="b">
        <v>0</v>
      </c>
      <c r="AN1011" s="1" t="b">
        <v>0</v>
      </c>
      <c r="AO1011" s="1" t="b">
        <v>0</v>
      </c>
    </row>
    <row r="1012" spans="1:41" x14ac:dyDescent="0.25">
      <c r="A1012" s="10"/>
      <c r="B1012" s="10"/>
      <c r="C1012" s="10"/>
      <c r="D1012" s="10"/>
      <c r="E1012" s="10"/>
      <c r="F1012" s="10"/>
      <c r="G1012" s="10"/>
      <c r="H1012" s="10"/>
      <c r="I1012" s="1" t="str">
        <f t="shared" si="45"/>
        <v/>
      </c>
      <c r="J1012" s="1" t="s">
        <v>35</v>
      </c>
      <c r="K1012" s="1" t="str">
        <f t="shared" si="46"/>
        <v/>
      </c>
      <c r="L1012" s="1" t="str">
        <f t="shared" si="47"/>
        <v/>
      </c>
      <c r="M1012" s="1">
        <f>IF(OR(Table1[[#This Row],[Std Nom]]="",Table1[[#This Row],[Std Read]]=""),0,Table1[[#This Row],[Std Nom]]-Table1[[#This Row],[Std Read]])</f>
        <v>0</v>
      </c>
      <c r="N1012" s="1">
        <f>IF(Calculations!$F$5="ACCREDITED 17025 WITH UNCERTAINTIES",$N$10,0)</f>
        <v>0</v>
      </c>
      <c r="O1012" s="1" t="str">
        <f>IFERROR(Table1[[#This Row],[Std Nom]]-(_xlfn.XLOOKUP(Table1[[#This Row],[Manufacturer]]&amp;" "&amp;Table1[[#This Row],[Model]],Table13[MFR &amp; MDL],Table13[Tolerance % CW ],"")/100*Table1[[#This Row],[Std Nom]]),"")</f>
        <v/>
      </c>
      <c r="P1012" s="1" t="str">
        <f>IFERROR(Table1[[#This Row],[Std Nom]]+(_xlfn.XLOOKUP(Table1[[#This Row],[Manufacturer]]&amp;" "&amp;Table1[[#This Row],[Model]],Table13[MFR &amp; MDL],Table13[Tolerance % CW ],"")/100*Table1[[#This Row],[Std Nom]]),"")</f>
        <v/>
      </c>
      <c r="Q1012" s="1" t="e">
        <f>Table1[[#This Row],[High Tol]]-Table1[[#This Row],[Low Tol]]</f>
        <v>#VALUE!</v>
      </c>
      <c r="R1012" s="1">
        <f>2*Table1[[#This Row],[Std Error]]</f>
        <v>0</v>
      </c>
      <c r="S1012" s="1" t="str">
        <f>IF(Table1[[#This Row],[High Tol]]="","N/A",IFERROR(ABS(Table1[[#This Row],[Tol Span]]/Table1[[#This Row],[Error Span]]),"N/A"))</f>
        <v>N/A</v>
      </c>
      <c r="T1012" s="1" t="str">
        <f>IF(OR(Table1[[#This Row],[Low Tol]]="",Table1[[#This Row],[High Tol]]=""),"Needs Analysis",IF(Table1[[#This Row],[Ratio]]&gt;=4,"Not Significant",IF(Table1[[#This Row],[Ratio]]&gt;=2,"Semi-Significant","Significant")))</f>
        <v>Needs Analysis</v>
      </c>
      <c r="W1012" s="1">
        <f>IF(Table1[[#This Row],[Cal Type]]&lt;&gt;"ACCREDITED 17025 WITH UNCERTAINTIES",0,"")</f>
        <v>0</v>
      </c>
      <c r="X1012" s="1" t="str">
        <f>IF(Table1[[#This Row],[DUT Read]]="","N/A",Table1[[#This Row],[Std Error]]+Table1[[#This Row],[DUT Read]]+Table1[[#This Row],[DUT Ucty]])</f>
        <v>N/A</v>
      </c>
      <c r="Y1012" s="1" t="str">
        <f>IF(Table1[[#This Row],[Std Read]]="","N/A",Table1[[#This Row],[Std Read]]+Table1[[#This Row],[Std Ucty]])</f>
        <v>N/A</v>
      </c>
      <c r="Z10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2" s="1" t="str">
        <f>IF(Table1[[#This Row],[Spec Type]]="","N/A",Table1[[#This Row],[Spec Type]])</f>
        <v>±</v>
      </c>
      <c r="AC1012" s="1" t="str">
        <f>IF(Table1[[#This Row],[Spec Type2]]="N/A","N/A",IF(AND(Table1[[#This Row],[DUT Adj Read]]&gt;=Table1[[#This Row],[Low Tol]],Table1[[#This Row],[DUT Adj Read]]&lt;=Table1[[#This Row],[High Tol]]),"Pass","Fail"))</f>
        <v>Fail</v>
      </c>
      <c r="AD1012" s="1" t="str">
        <f>IF(AND(Table1[[#This Row],[Spec Type2]]="N/A",Table1[[#This Row],[DUT Adj Read]]="N/A",Table1[[#This Row],[Std Adj Read]]="N/A"),"N/A",IF(Table1[[#This Row],[DUT Adj Read]]="N/A",IF(Table1[[#This Row],[Std Adj Read]]&gt;Table1[[#This Row],[Low Tol]],"Pass","Fail"),IF(Table1[[#This Row],[DUT Adj Read]]&gt;Table1[[#This Row],[Low Tol]],"Pass","Fail")))</f>
        <v>Pass</v>
      </c>
      <c r="AE1012" s="1" t="str">
        <f>IF(AND(Table1[[#This Row],[Spec Type2]]="N/A",Table1[[#This Row],[DUT Adj Read]]="N/A",Table1[[#This Row],[Std Adj Read]]="N/A"),"N/A",IF(Table1[[#This Row],[DUT Adj Read]]="N/A",IF(Table1[[#This Row],[Std Adj Read]]&lt;Table1[[#This Row],[High Tol]],"Pass","Fail"),IF(Table1[[#This Row],[DUT Adj Read]]&lt;Table1[[#This Row],[High Tol]],"Pass","Fail")))</f>
        <v>Fail</v>
      </c>
      <c r="AF1012" s="1" t="str">
        <f>IF(AND(Table1[[#This Row],[Spec Type2]]="N/A",Table1[[#This Row],[DUT Adj Read]]="N/A",Table1[[#This Row],[Std Adj Read]]="N/A"),"N/A",IF(Table1[[#This Row],[DUT Adj Read]]="N/A",IF(Table1[[#This Row],[Std Adj Read]]&gt;=Table1[[#This Row],[Low Tol]],"Pass","Fail"),IF(Table1[[#This Row],[DUT Adj Read]]&gt;=Table1[[#This Row],[Low Tol]],"Pass","Fail")))</f>
        <v>Pass</v>
      </c>
      <c r="AG1012" s="1" t="str">
        <f>IF(AND(Table1[[#This Row],[Spec Type2]]="N/A",Table1[[#This Row],[DUT Adj Read]]="N/A",Table1[[#This Row],[Std Adj Read]]="N/A"),"N/A",IF(Table1[[#This Row],[DUT Adj Read]]="N/A",IF(Table1[[#This Row],[Std Adj Read]]&lt;=Table1[[#This Row],[High Tol]],"Pass","Fail"),IF(Table1[[#This Row],[DUT Adj Read]]&lt;=Table1[[#This Row],[High Tol]],"Pass","Fail")))</f>
        <v>Fail</v>
      </c>
      <c r="AH10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2" s="1" t="b">
        <v>0</v>
      </c>
      <c r="AN1012" s="1" t="b">
        <v>0</v>
      </c>
      <c r="AO1012" s="1" t="b">
        <v>0</v>
      </c>
    </row>
    <row r="1013" spans="1:41" x14ac:dyDescent="0.25">
      <c r="A1013" s="10"/>
      <c r="B1013" s="10"/>
      <c r="C1013" s="10"/>
      <c r="D1013" s="10"/>
      <c r="E1013" s="10"/>
      <c r="F1013" s="10"/>
      <c r="G1013" s="10"/>
      <c r="H1013" s="10"/>
      <c r="I1013" s="1" t="str">
        <f t="shared" si="45"/>
        <v/>
      </c>
      <c r="J1013" s="1" t="s">
        <v>35</v>
      </c>
      <c r="K1013" s="1" t="str">
        <f t="shared" si="46"/>
        <v/>
      </c>
      <c r="L1013" s="1" t="str">
        <f t="shared" si="47"/>
        <v/>
      </c>
      <c r="M1013" s="1">
        <f>IF(OR(Table1[[#This Row],[Std Nom]]="",Table1[[#This Row],[Std Read]]=""),0,Table1[[#This Row],[Std Nom]]-Table1[[#This Row],[Std Read]])</f>
        <v>0</v>
      </c>
      <c r="N1013" s="1">
        <f>IF(Calculations!$F$5="ACCREDITED 17025 WITH UNCERTAINTIES",$N$10,0)</f>
        <v>0</v>
      </c>
      <c r="O1013" s="1" t="str">
        <f>IFERROR(Table1[[#This Row],[Std Nom]]-(_xlfn.XLOOKUP(Table1[[#This Row],[Manufacturer]]&amp;" "&amp;Table1[[#This Row],[Model]],Table13[MFR &amp; MDL],Table13[Tolerance % CW ],"")/100*Table1[[#This Row],[Std Nom]]),"")</f>
        <v/>
      </c>
      <c r="P1013" s="1" t="str">
        <f>IFERROR(Table1[[#This Row],[Std Nom]]+(_xlfn.XLOOKUP(Table1[[#This Row],[Manufacturer]]&amp;" "&amp;Table1[[#This Row],[Model]],Table13[MFR &amp; MDL],Table13[Tolerance % CW ],"")/100*Table1[[#This Row],[Std Nom]]),"")</f>
        <v/>
      </c>
      <c r="Q1013" s="1" t="e">
        <f>Table1[[#This Row],[High Tol]]-Table1[[#This Row],[Low Tol]]</f>
        <v>#VALUE!</v>
      </c>
      <c r="R1013" s="1">
        <f>2*Table1[[#This Row],[Std Error]]</f>
        <v>0</v>
      </c>
      <c r="S1013" s="1" t="str">
        <f>IF(Table1[[#This Row],[High Tol]]="","N/A",IFERROR(ABS(Table1[[#This Row],[Tol Span]]/Table1[[#This Row],[Error Span]]),"N/A"))</f>
        <v>N/A</v>
      </c>
      <c r="T1013" s="1" t="str">
        <f>IF(OR(Table1[[#This Row],[Low Tol]]="",Table1[[#This Row],[High Tol]]=""),"Needs Analysis",IF(Table1[[#This Row],[Ratio]]&gt;=4,"Not Significant",IF(Table1[[#This Row],[Ratio]]&gt;=2,"Semi-Significant","Significant")))</f>
        <v>Needs Analysis</v>
      </c>
      <c r="W1013" s="1">
        <f>IF(Table1[[#This Row],[Cal Type]]&lt;&gt;"ACCREDITED 17025 WITH UNCERTAINTIES",0,"")</f>
        <v>0</v>
      </c>
      <c r="X1013" s="1" t="str">
        <f>IF(Table1[[#This Row],[DUT Read]]="","N/A",Table1[[#This Row],[Std Error]]+Table1[[#This Row],[DUT Read]]+Table1[[#This Row],[DUT Ucty]])</f>
        <v>N/A</v>
      </c>
      <c r="Y1013" s="1" t="str">
        <f>IF(Table1[[#This Row],[Std Read]]="","N/A",Table1[[#This Row],[Std Read]]+Table1[[#This Row],[Std Ucty]])</f>
        <v>N/A</v>
      </c>
      <c r="Z10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3" s="1" t="str">
        <f>IF(Table1[[#This Row],[Spec Type]]="","N/A",Table1[[#This Row],[Spec Type]])</f>
        <v>±</v>
      </c>
      <c r="AC1013" s="1" t="str">
        <f>IF(Table1[[#This Row],[Spec Type2]]="N/A","N/A",IF(AND(Table1[[#This Row],[DUT Adj Read]]&gt;=Table1[[#This Row],[Low Tol]],Table1[[#This Row],[DUT Adj Read]]&lt;=Table1[[#This Row],[High Tol]]),"Pass","Fail"))</f>
        <v>Fail</v>
      </c>
      <c r="AD1013" s="1" t="str">
        <f>IF(AND(Table1[[#This Row],[Spec Type2]]="N/A",Table1[[#This Row],[DUT Adj Read]]="N/A",Table1[[#This Row],[Std Adj Read]]="N/A"),"N/A",IF(Table1[[#This Row],[DUT Adj Read]]="N/A",IF(Table1[[#This Row],[Std Adj Read]]&gt;Table1[[#This Row],[Low Tol]],"Pass","Fail"),IF(Table1[[#This Row],[DUT Adj Read]]&gt;Table1[[#This Row],[Low Tol]],"Pass","Fail")))</f>
        <v>Pass</v>
      </c>
      <c r="AE1013" s="1" t="str">
        <f>IF(AND(Table1[[#This Row],[Spec Type2]]="N/A",Table1[[#This Row],[DUT Adj Read]]="N/A",Table1[[#This Row],[Std Adj Read]]="N/A"),"N/A",IF(Table1[[#This Row],[DUT Adj Read]]="N/A",IF(Table1[[#This Row],[Std Adj Read]]&lt;Table1[[#This Row],[High Tol]],"Pass","Fail"),IF(Table1[[#This Row],[DUT Adj Read]]&lt;Table1[[#This Row],[High Tol]],"Pass","Fail")))</f>
        <v>Fail</v>
      </c>
      <c r="AF1013" s="1" t="str">
        <f>IF(AND(Table1[[#This Row],[Spec Type2]]="N/A",Table1[[#This Row],[DUT Adj Read]]="N/A",Table1[[#This Row],[Std Adj Read]]="N/A"),"N/A",IF(Table1[[#This Row],[DUT Adj Read]]="N/A",IF(Table1[[#This Row],[Std Adj Read]]&gt;=Table1[[#This Row],[Low Tol]],"Pass","Fail"),IF(Table1[[#This Row],[DUT Adj Read]]&gt;=Table1[[#This Row],[Low Tol]],"Pass","Fail")))</f>
        <v>Pass</v>
      </c>
      <c r="AG1013" s="1" t="str">
        <f>IF(AND(Table1[[#This Row],[Spec Type2]]="N/A",Table1[[#This Row],[DUT Adj Read]]="N/A",Table1[[#This Row],[Std Adj Read]]="N/A"),"N/A",IF(Table1[[#This Row],[DUT Adj Read]]="N/A",IF(Table1[[#This Row],[Std Adj Read]]&lt;=Table1[[#This Row],[High Tol]],"Pass","Fail"),IF(Table1[[#This Row],[DUT Adj Read]]&lt;=Table1[[#This Row],[High Tol]],"Pass","Fail")))</f>
        <v>Fail</v>
      </c>
      <c r="AH10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3" s="1" t="b">
        <v>0</v>
      </c>
      <c r="AN1013" s="1" t="b">
        <v>0</v>
      </c>
      <c r="AO1013" s="1" t="b">
        <v>0</v>
      </c>
    </row>
    <row r="1014" spans="1:41" x14ac:dyDescent="0.25">
      <c r="A1014" s="10"/>
      <c r="B1014" s="10"/>
      <c r="C1014" s="10"/>
      <c r="D1014" s="10"/>
      <c r="E1014" s="10"/>
      <c r="F1014" s="10"/>
      <c r="G1014" s="10"/>
      <c r="H1014" s="10"/>
      <c r="I1014" s="1" t="str">
        <f t="shared" si="45"/>
        <v/>
      </c>
      <c r="J1014" s="1" t="s">
        <v>35</v>
      </c>
      <c r="K1014" s="1" t="str">
        <f t="shared" si="46"/>
        <v/>
      </c>
      <c r="L1014" s="1" t="str">
        <f t="shared" si="47"/>
        <v/>
      </c>
      <c r="M1014" s="1">
        <f>IF(OR(Table1[[#This Row],[Std Nom]]="",Table1[[#This Row],[Std Read]]=""),0,Table1[[#This Row],[Std Nom]]-Table1[[#This Row],[Std Read]])</f>
        <v>0</v>
      </c>
      <c r="N1014" s="1">
        <f>IF(Calculations!$F$5="ACCREDITED 17025 WITH UNCERTAINTIES",$N$10,0)</f>
        <v>0</v>
      </c>
      <c r="O1014" s="1" t="str">
        <f>IFERROR(Table1[[#This Row],[Std Nom]]-(_xlfn.XLOOKUP(Table1[[#This Row],[Manufacturer]]&amp;" "&amp;Table1[[#This Row],[Model]],Table13[MFR &amp; MDL],Table13[Tolerance % CW ],"")/100*Table1[[#This Row],[Std Nom]]),"")</f>
        <v/>
      </c>
      <c r="P1014" s="1" t="str">
        <f>IFERROR(Table1[[#This Row],[Std Nom]]+(_xlfn.XLOOKUP(Table1[[#This Row],[Manufacturer]]&amp;" "&amp;Table1[[#This Row],[Model]],Table13[MFR &amp; MDL],Table13[Tolerance % CW ],"")/100*Table1[[#This Row],[Std Nom]]),"")</f>
        <v/>
      </c>
      <c r="Q1014" s="1" t="e">
        <f>Table1[[#This Row],[High Tol]]-Table1[[#This Row],[Low Tol]]</f>
        <v>#VALUE!</v>
      </c>
      <c r="R1014" s="1">
        <f>2*Table1[[#This Row],[Std Error]]</f>
        <v>0</v>
      </c>
      <c r="S1014" s="1" t="str">
        <f>IF(Table1[[#This Row],[High Tol]]="","N/A",IFERROR(ABS(Table1[[#This Row],[Tol Span]]/Table1[[#This Row],[Error Span]]),"N/A"))</f>
        <v>N/A</v>
      </c>
      <c r="T1014" s="1" t="str">
        <f>IF(OR(Table1[[#This Row],[Low Tol]]="",Table1[[#This Row],[High Tol]]=""),"Needs Analysis",IF(Table1[[#This Row],[Ratio]]&gt;=4,"Not Significant",IF(Table1[[#This Row],[Ratio]]&gt;=2,"Semi-Significant","Significant")))</f>
        <v>Needs Analysis</v>
      </c>
      <c r="W1014" s="1">
        <f>IF(Table1[[#This Row],[Cal Type]]&lt;&gt;"ACCREDITED 17025 WITH UNCERTAINTIES",0,"")</f>
        <v>0</v>
      </c>
      <c r="X1014" s="1" t="str">
        <f>IF(Table1[[#This Row],[DUT Read]]="","N/A",Table1[[#This Row],[Std Error]]+Table1[[#This Row],[DUT Read]]+Table1[[#This Row],[DUT Ucty]])</f>
        <v>N/A</v>
      </c>
      <c r="Y1014" s="1" t="str">
        <f>IF(Table1[[#This Row],[Std Read]]="","N/A",Table1[[#This Row],[Std Read]]+Table1[[#This Row],[Std Ucty]])</f>
        <v>N/A</v>
      </c>
      <c r="Z10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4" s="1" t="str">
        <f>IF(Table1[[#This Row],[Spec Type]]="","N/A",Table1[[#This Row],[Spec Type]])</f>
        <v>±</v>
      </c>
      <c r="AC1014" s="1" t="str">
        <f>IF(Table1[[#This Row],[Spec Type2]]="N/A","N/A",IF(AND(Table1[[#This Row],[DUT Adj Read]]&gt;=Table1[[#This Row],[Low Tol]],Table1[[#This Row],[DUT Adj Read]]&lt;=Table1[[#This Row],[High Tol]]),"Pass","Fail"))</f>
        <v>Fail</v>
      </c>
      <c r="AD1014" s="1" t="str">
        <f>IF(AND(Table1[[#This Row],[Spec Type2]]="N/A",Table1[[#This Row],[DUT Adj Read]]="N/A",Table1[[#This Row],[Std Adj Read]]="N/A"),"N/A",IF(Table1[[#This Row],[DUT Adj Read]]="N/A",IF(Table1[[#This Row],[Std Adj Read]]&gt;Table1[[#This Row],[Low Tol]],"Pass","Fail"),IF(Table1[[#This Row],[DUT Adj Read]]&gt;Table1[[#This Row],[Low Tol]],"Pass","Fail")))</f>
        <v>Pass</v>
      </c>
      <c r="AE1014" s="1" t="str">
        <f>IF(AND(Table1[[#This Row],[Spec Type2]]="N/A",Table1[[#This Row],[DUT Adj Read]]="N/A",Table1[[#This Row],[Std Adj Read]]="N/A"),"N/A",IF(Table1[[#This Row],[DUT Adj Read]]="N/A",IF(Table1[[#This Row],[Std Adj Read]]&lt;Table1[[#This Row],[High Tol]],"Pass","Fail"),IF(Table1[[#This Row],[DUT Adj Read]]&lt;Table1[[#This Row],[High Tol]],"Pass","Fail")))</f>
        <v>Fail</v>
      </c>
      <c r="AF1014" s="1" t="str">
        <f>IF(AND(Table1[[#This Row],[Spec Type2]]="N/A",Table1[[#This Row],[DUT Adj Read]]="N/A",Table1[[#This Row],[Std Adj Read]]="N/A"),"N/A",IF(Table1[[#This Row],[DUT Adj Read]]="N/A",IF(Table1[[#This Row],[Std Adj Read]]&gt;=Table1[[#This Row],[Low Tol]],"Pass","Fail"),IF(Table1[[#This Row],[DUT Adj Read]]&gt;=Table1[[#This Row],[Low Tol]],"Pass","Fail")))</f>
        <v>Pass</v>
      </c>
      <c r="AG1014" s="1" t="str">
        <f>IF(AND(Table1[[#This Row],[Spec Type2]]="N/A",Table1[[#This Row],[DUT Adj Read]]="N/A",Table1[[#This Row],[Std Adj Read]]="N/A"),"N/A",IF(Table1[[#This Row],[DUT Adj Read]]="N/A",IF(Table1[[#This Row],[Std Adj Read]]&lt;=Table1[[#This Row],[High Tol]],"Pass","Fail"),IF(Table1[[#This Row],[DUT Adj Read]]&lt;=Table1[[#This Row],[High Tol]],"Pass","Fail")))</f>
        <v>Fail</v>
      </c>
      <c r="AH10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4" s="1" t="b">
        <v>0</v>
      </c>
      <c r="AN1014" s="1" t="b">
        <v>0</v>
      </c>
      <c r="AO1014" s="1" t="b">
        <v>0</v>
      </c>
    </row>
    <row r="1015" spans="1:41" x14ac:dyDescent="0.25">
      <c r="A1015" s="10"/>
      <c r="B1015" s="10"/>
      <c r="C1015" s="10"/>
      <c r="D1015" s="10"/>
      <c r="E1015" s="10"/>
      <c r="F1015" s="10"/>
      <c r="G1015" s="10"/>
      <c r="H1015" s="10"/>
      <c r="I1015" s="1" t="str">
        <f t="shared" si="45"/>
        <v/>
      </c>
      <c r="J1015" s="1" t="s">
        <v>35</v>
      </c>
      <c r="K1015" s="1" t="str">
        <f t="shared" si="46"/>
        <v/>
      </c>
      <c r="L1015" s="1" t="str">
        <f t="shared" si="47"/>
        <v/>
      </c>
      <c r="M1015" s="1">
        <f>IF(OR(Table1[[#This Row],[Std Nom]]="",Table1[[#This Row],[Std Read]]=""),0,Table1[[#This Row],[Std Nom]]-Table1[[#This Row],[Std Read]])</f>
        <v>0</v>
      </c>
      <c r="N1015" s="1">
        <f>IF(Calculations!$F$5="ACCREDITED 17025 WITH UNCERTAINTIES",$N$10,0)</f>
        <v>0</v>
      </c>
      <c r="O1015" s="1" t="str">
        <f>IFERROR(Table1[[#This Row],[Std Nom]]-(_xlfn.XLOOKUP(Table1[[#This Row],[Manufacturer]]&amp;" "&amp;Table1[[#This Row],[Model]],Table13[MFR &amp; MDL],Table13[Tolerance % CW ],"")/100*Table1[[#This Row],[Std Nom]]),"")</f>
        <v/>
      </c>
      <c r="P1015" s="1" t="str">
        <f>IFERROR(Table1[[#This Row],[Std Nom]]+(_xlfn.XLOOKUP(Table1[[#This Row],[Manufacturer]]&amp;" "&amp;Table1[[#This Row],[Model]],Table13[MFR &amp; MDL],Table13[Tolerance % CW ],"")/100*Table1[[#This Row],[Std Nom]]),"")</f>
        <v/>
      </c>
      <c r="Q1015" s="1" t="e">
        <f>Table1[[#This Row],[High Tol]]-Table1[[#This Row],[Low Tol]]</f>
        <v>#VALUE!</v>
      </c>
      <c r="R1015" s="1">
        <f>2*Table1[[#This Row],[Std Error]]</f>
        <v>0</v>
      </c>
      <c r="S1015" s="1" t="str">
        <f>IF(Table1[[#This Row],[High Tol]]="","N/A",IFERROR(ABS(Table1[[#This Row],[Tol Span]]/Table1[[#This Row],[Error Span]]),"N/A"))</f>
        <v>N/A</v>
      </c>
      <c r="T1015" s="1" t="str">
        <f>IF(OR(Table1[[#This Row],[Low Tol]]="",Table1[[#This Row],[High Tol]]=""),"Needs Analysis",IF(Table1[[#This Row],[Ratio]]&gt;=4,"Not Significant",IF(Table1[[#This Row],[Ratio]]&gt;=2,"Semi-Significant","Significant")))</f>
        <v>Needs Analysis</v>
      </c>
      <c r="W1015" s="1">
        <f>IF(Table1[[#This Row],[Cal Type]]&lt;&gt;"ACCREDITED 17025 WITH UNCERTAINTIES",0,"")</f>
        <v>0</v>
      </c>
      <c r="X1015" s="1" t="str">
        <f>IF(Table1[[#This Row],[DUT Read]]="","N/A",Table1[[#This Row],[Std Error]]+Table1[[#This Row],[DUT Read]]+Table1[[#This Row],[DUT Ucty]])</f>
        <v>N/A</v>
      </c>
      <c r="Y1015" s="1" t="str">
        <f>IF(Table1[[#This Row],[Std Read]]="","N/A",Table1[[#This Row],[Std Read]]+Table1[[#This Row],[Std Ucty]])</f>
        <v>N/A</v>
      </c>
      <c r="Z10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5" s="1" t="str">
        <f>IF(Table1[[#This Row],[Spec Type]]="","N/A",Table1[[#This Row],[Spec Type]])</f>
        <v>±</v>
      </c>
      <c r="AC1015" s="1" t="str">
        <f>IF(Table1[[#This Row],[Spec Type2]]="N/A","N/A",IF(AND(Table1[[#This Row],[DUT Adj Read]]&gt;=Table1[[#This Row],[Low Tol]],Table1[[#This Row],[DUT Adj Read]]&lt;=Table1[[#This Row],[High Tol]]),"Pass","Fail"))</f>
        <v>Fail</v>
      </c>
      <c r="AD1015" s="1" t="str">
        <f>IF(AND(Table1[[#This Row],[Spec Type2]]="N/A",Table1[[#This Row],[DUT Adj Read]]="N/A",Table1[[#This Row],[Std Adj Read]]="N/A"),"N/A",IF(Table1[[#This Row],[DUT Adj Read]]="N/A",IF(Table1[[#This Row],[Std Adj Read]]&gt;Table1[[#This Row],[Low Tol]],"Pass","Fail"),IF(Table1[[#This Row],[DUT Adj Read]]&gt;Table1[[#This Row],[Low Tol]],"Pass","Fail")))</f>
        <v>Pass</v>
      </c>
      <c r="AE1015" s="1" t="str">
        <f>IF(AND(Table1[[#This Row],[Spec Type2]]="N/A",Table1[[#This Row],[DUT Adj Read]]="N/A",Table1[[#This Row],[Std Adj Read]]="N/A"),"N/A",IF(Table1[[#This Row],[DUT Adj Read]]="N/A",IF(Table1[[#This Row],[Std Adj Read]]&lt;Table1[[#This Row],[High Tol]],"Pass","Fail"),IF(Table1[[#This Row],[DUT Adj Read]]&lt;Table1[[#This Row],[High Tol]],"Pass","Fail")))</f>
        <v>Fail</v>
      </c>
      <c r="AF1015" s="1" t="str">
        <f>IF(AND(Table1[[#This Row],[Spec Type2]]="N/A",Table1[[#This Row],[DUT Adj Read]]="N/A",Table1[[#This Row],[Std Adj Read]]="N/A"),"N/A",IF(Table1[[#This Row],[DUT Adj Read]]="N/A",IF(Table1[[#This Row],[Std Adj Read]]&gt;=Table1[[#This Row],[Low Tol]],"Pass","Fail"),IF(Table1[[#This Row],[DUT Adj Read]]&gt;=Table1[[#This Row],[Low Tol]],"Pass","Fail")))</f>
        <v>Pass</v>
      </c>
      <c r="AG1015" s="1" t="str">
        <f>IF(AND(Table1[[#This Row],[Spec Type2]]="N/A",Table1[[#This Row],[DUT Adj Read]]="N/A",Table1[[#This Row],[Std Adj Read]]="N/A"),"N/A",IF(Table1[[#This Row],[DUT Adj Read]]="N/A",IF(Table1[[#This Row],[Std Adj Read]]&lt;=Table1[[#This Row],[High Tol]],"Pass","Fail"),IF(Table1[[#This Row],[DUT Adj Read]]&lt;=Table1[[#This Row],[High Tol]],"Pass","Fail")))</f>
        <v>Fail</v>
      </c>
      <c r="AH10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5" s="1" t="b">
        <v>0</v>
      </c>
      <c r="AN1015" s="1" t="b">
        <v>0</v>
      </c>
      <c r="AO1015" s="1" t="b">
        <v>0</v>
      </c>
    </row>
    <row r="1016" spans="1:41" x14ac:dyDescent="0.25">
      <c r="A1016" s="10"/>
      <c r="B1016" s="10"/>
      <c r="C1016" s="10"/>
      <c r="D1016" s="10"/>
      <c r="E1016" s="10"/>
      <c r="F1016" s="10"/>
      <c r="G1016" s="10"/>
      <c r="H1016" s="10"/>
      <c r="I1016" s="1" t="str">
        <f t="shared" si="45"/>
        <v/>
      </c>
      <c r="J1016" s="1" t="s">
        <v>35</v>
      </c>
      <c r="K1016" s="1" t="str">
        <f t="shared" si="46"/>
        <v/>
      </c>
      <c r="L1016" s="1" t="str">
        <f t="shared" si="47"/>
        <v/>
      </c>
      <c r="M1016" s="1">
        <f>IF(OR(Table1[[#This Row],[Std Nom]]="",Table1[[#This Row],[Std Read]]=""),0,Table1[[#This Row],[Std Nom]]-Table1[[#This Row],[Std Read]])</f>
        <v>0</v>
      </c>
      <c r="N1016" s="1">
        <f>IF(Calculations!$F$5="ACCREDITED 17025 WITH UNCERTAINTIES",$N$10,0)</f>
        <v>0</v>
      </c>
      <c r="O1016" s="1" t="str">
        <f>IFERROR(Table1[[#This Row],[Std Nom]]-(_xlfn.XLOOKUP(Table1[[#This Row],[Manufacturer]]&amp;" "&amp;Table1[[#This Row],[Model]],Table13[MFR &amp; MDL],Table13[Tolerance % CW ],"")/100*Table1[[#This Row],[Std Nom]]),"")</f>
        <v/>
      </c>
      <c r="P1016" s="1" t="str">
        <f>IFERROR(Table1[[#This Row],[Std Nom]]+(_xlfn.XLOOKUP(Table1[[#This Row],[Manufacturer]]&amp;" "&amp;Table1[[#This Row],[Model]],Table13[MFR &amp; MDL],Table13[Tolerance % CW ],"")/100*Table1[[#This Row],[Std Nom]]),"")</f>
        <v/>
      </c>
      <c r="Q1016" s="1" t="e">
        <f>Table1[[#This Row],[High Tol]]-Table1[[#This Row],[Low Tol]]</f>
        <v>#VALUE!</v>
      </c>
      <c r="R1016" s="1">
        <f>2*Table1[[#This Row],[Std Error]]</f>
        <v>0</v>
      </c>
      <c r="S1016" s="1" t="str">
        <f>IF(Table1[[#This Row],[High Tol]]="","N/A",IFERROR(ABS(Table1[[#This Row],[Tol Span]]/Table1[[#This Row],[Error Span]]),"N/A"))</f>
        <v>N/A</v>
      </c>
      <c r="T1016" s="1" t="str">
        <f>IF(OR(Table1[[#This Row],[Low Tol]]="",Table1[[#This Row],[High Tol]]=""),"Needs Analysis",IF(Table1[[#This Row],[Ratio]]&gt;=4,"Not Significant",IF(Table1[[#This Row],[Ratio]]&gt;=2,"Semi-Significant","Significant")))</f>
        <v>Needs Analysis</v>
      </c>
      <c r="W1016" s="1">
        <f>IF(Table1[[#This Row],[Cal Type]]&lt;&gt;"ACCREDITED 17025 WITH UNCERTAINTIES",0,"")</f>
        <v>0</v>
      </c>
      <c r="X1016" s="1" t="str">
        <f>IF(Table1[[#This Row],[DUT Read]]="","N/A",Table1[[#This Row],[Std Error]]+Table1[[#This Row],[DUT Read]]+Table1[[#This Row],[DUT Ucty]])</f>
        <v>N/A</v>
      </c>
      <c r="Y1016" s="1" t="str">
        <f>IF(Table1[[#This Row],[Std Read]]="","N/A",Table1[[#This Row],[Std Read]]+Table1[[#This Row],[Std Ucty]])</f>
        <v>N/A</v>
      </c>
      <c r="Z10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6" s="1" t="str">
        <f>IF(Table1[[#This Row],[Spec Type]]="","N/A",Table1[[#This Row],[Spec Type]])</f>
        <v>±</v>
      </c>
      <c r="AC1016" s="1" t="str">
        <f>IF(Table1[[#This Row],[Spec Type2]]="N/A","N/A",IF(AND(Table1[[#This Row],[DUT Adj Read]]&gt;=Table1[[#This Row],[Low Tol]],Table1[[#This Row],[DUT Adj Read]]&lt;=Table1[[#This Row],[High Tol]]),"Pass","Fail"))</f>
        <v>Fail</v>
      </c>
      <c r="AD1016" s="1" t="str">
        <f>IF(AND(Table1[[#This Row],[Spec Type2]]="N/A",Table1[[#This Row],[DUT Adj Read]]="N/A",Table1[[#This Row],[Std Adj Read]]="N/A"),"N/A",IF(Table1[[#This Row],[DUT Adj Read]]="N/A",IF(Table1[[#This Row],[Std Adj Read]]&gt;Table1[[#This Row],[Low Tol]],"Pass","Fail"),IF(Table1[[#This Row],[DUT Adj Read]]&gt;Table1[[#This Row],[Low Tol]],"Pass","Fail")))</f>
        <v>Pass</v>
      </c>
      <c r="AE1016" s="1" t="str">
        <f>IF(AND(Table1[[#This Row],[Spec Type2]]="N/A",Table1[[#This Row],[DUT Adj Read]]="N/A",Table1[[#This Row],[Std Adj Read]]="N/A"),"N/A",IF(Table1[[#This Row],[DUT Adj Read]]="N/A",IF(Table1[[#This Row],[Std Adj Read]]&lt;Table1[[#This Row],[High Tol]],"Pass","Fail"),IF(Table1[[#This Row],[DUT Adj Read]]&lt;Table1[[#This Row],[High Tol]],"Pass","Fail")))</f>
        <v>Fail</v>
      </c>
      <c r="AF1016" s="1" t="str">
        <f>IF(AND(Table1[[#This Row],[Spec Type2]]="N/A",Table1[[#This Row],[DUT Adj Read]]="N/A",Table1[[#This Row],[Std Adj Read]]="N/A"),"N/A",IF(Table1[[#This Row],[DUT Adj Read]]="N/A",IF(Table1[[#This Row],[Std Adj Read]]&gt;=Table1[[#This Row],[Low Tol]],"Pass","Fail"),IF(Table1[[#This Row],[DUT Adj Read]]&gt;=Table1[[#This Row],[Low Tol]],"Pass","Fail")))</f>
        <v>Pass</v>
      </c>
      <c r="AG1016" s="1" t="str">
        <f>IF(AND(Table1[[#This Row],[Spec Type2]]="N/A",Table1[[#This Row],[DUT Adj Read]]="N/A",Table1[[#This Row],[Std Adj Read]]="N/A"),"N/A",IF(Table1[[#This Row],[DUT Adj Read]]="N/A",IF(Table1[[#This Row],[Std Adj Read]]&lt;=Table1[[#This Row],[High Tol]],"Pass","Fail"),IF(Table1[[#This Row],[DUT Adj Read]]&lt;=Table1[[#This Row],[High Tol]],"Pass","Fail")))</f>
        <v>Fail</v>
      </c>
      <c r="AH10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6" s="1" t="b">
        <v>0</v>
      </c>
      <c r="AN1016" s="1" t="b">
        <v>0</v>
      </c>
      <c r="AO1016" s="1" t="b">
        <v>0</v>
      </c>
    </row>
    <row r="1017" spans="1:41" x14ac:dyDescent="0.25">
      <c r="A1017" s="10"/>
      <c r="B1017" s="10"/>
      <c r="C1017" s="10"/>
      <c r="D1017" s="10"/>
      <c r="E1017" s="10"/>
      <c r="F1017" s="10"/>
      <c r="G1017" s="10"/>
      <c r="H1017" s="10"/>
      <c r="I1017" s="1" t="str">
        <f t="shared" si="45"/>
        <v/>
      </c>
      <c r="J1017" s="1" t="s">
        <v>35</v>
      </c>
      <c r="K1017" s="1" t="str">
        <f t="shared" si="46"/>
        <v/>
      </c>
      <c r="L1017" s="1" t="str">
        <f t="shared" si="47"/>
        <v/>
      </c>
      <c r="M1017" s="1">
        <f>IF(OR(Table1[[#This Row],[Std Nom]]="",Table1[[#This Row],[Std Read]]=""),0,Table1[[#This Row],[Std Nom]]-Table1[[#This Row],[Std Read]])</f>
        <v>0</v>
      </c>
      <c r="N1017" s="1">
        <f>IF(Calculations!$F$5="ACCREDITED 17025 WITH UNCERTAINTIES",$N$10,0)</f>
        <v>0</v>
      </c>
      <c r="O1017" s="1" t="str">
        <f>IFERROR(Table1[[#This Row],[Std Nom]]-(_xlfn.XLOOKUP(Table1[[#This Row],[Manufacturer]]&amp;" "&amp;Table1[[#This Row],[Model]],Table13[MFR &amp; MDL],Table13[Tolerance % CW ],"")/100*Table1[[#This Row],[Std Nom]]),"")</f>
        <v/>
      </c>
      <c r="P1017" s="1" t="str">
        <f>IFERROR(Table1[[#This Row],[Std Nom]]+(_xlfn.XLOOKUP(Table1[[#This Row],[Manufacturer]]&amp;" "&amp;Table1[[#This Row],[Model]],Table13[MFR &amp; MDL],Table13[Tolerance % CW ],"")/100*Table1[[#This Row],[Std Nom]]),"")</f>
        <v/>
      </c>
      <c r="Q1017" s="1" t="e">
        <f>Table1[[#This Row],[High Tol]]-Table1[[#This Row],[Low Tol]]</f>
        <v>#VALUE!</v>
      </c>
      <c r="R1017" s="1">
        <f>2*Table1[[#This Row],[Std Error]]</f>
        <v>0</v>
      </c>
      <c r="S1017" s="1" t="str">
        <f>IF(Table1[[#This Row],[High Tol]]="","N/A",IFERROR(ABS(Table1[[#This Row],[Tol Span]]/Table1[[#This Row],[Error Span]]),"N/A"))</f>
        <v>N/A</v>
      </c>
      <c r="T1017" s="1" t="str">
        <f>IF(OR(Table1[[#This Row],[Low Tol]]="",Table1[[#This Row],[High Tol]]=""),"Needs Analysis",IF(Table1[[#This Row],[Ratio]]&gt;=4,"Not Significant",IF(Table1[[#This Row],[Ratio]]&gt;=2,"Semi-Significant","Significant")))</f>
        <v>Needs Analysis</v>
      </c>
      <c r="W1017" s="1">
        <f>IF(Table1[[#This Row],[Cal Type]]&lt;&gt;"ACCREDITED 17025 WITH UNCERTAINTIES",0,"")</f>
        <v>0</v>
      </c>
      <c r="X1017" s="1" t="str">
        <f>IF(Table1[[#This Row],[DUT Read]]="","N/A",Table1[[#This Row],[Std Error]]+Table1[[#This Row],[DUT Read]]+Table1[[#This Row],[DUT Ucty]])</f>
        <v>N/A</v>
      </c>
      <c r="Y1017" s="1" t="str">
        <f>IF(Table1[[#This Row],[Std Read]]="","N/A",Table1[[#This Row],[Std Read]]+Table1[[#This Row],[Std Ucty]])</f>
        <v>N/A</v>
      </c>
      <c r="Z10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7" s="1" t="str">
        <f>IF(Table1[[#This Row],[Spec Type]]="","N/A",Table1[[#This Row],[Spec Type]])</f>
        <v>±</v>
      </c>
      <c r="AC1017" s="1" t="str">
        <f>IF(Table1[[#This Row],[Spec Type2]]="N/A","N/A",IF(AND(Table1[[#This Row],[DUT Adj Read]]&gt;=Table1[[#This Row],[Low Tol]],Table1[[#This Row],[DUT Adj Read]]&lt;=Table1[[#This Row],[High Tol]]),"Pass","Fail"))</f>
        <v>Fail</v>
      </c>
      <c r="AD1017" s="1" t="str">
        <f>IF(AND(Table1[[#This Row],[Spec Type2]]="N/A",Table1[[#This Row],[DUT Adj Read]]="N/A",Table1[[#This Row],[Std Adj Read]]="N/A"),"N/A",IF(Table1[[#This Row],[DUT Adj Read]]="N/A",IF(Table1[[#This Row],[Std Adj Read]]&gt;Table1[[#This Row],[Low Tol]],"Pass","Fail"),IF(Table1[[#This Row],[DUT Adj Read]]&gt;Table1[[#This Row],[Low Tol]],"Pass","Fail")))</f>
        <v>Pass</v>
      </c>
      <c r="AE1017" s="1" t="str">
        <f>IF(AND(Table1[[#This Row],[Spec Type2]]="N/A",Table1[[#This Row],[DUT Adj Read]]="N/A",Table1[[#This Row],[Std Adj Read]]="N/A"),"N/A",IF(Table1[[#This Row],[DUT Adj Read]]="N/A",IF(Table1[[#This Row],[Std Adj Read]]&lt;Table1[[#This Row],[High Tol]],"Pass","Fail"),IF(Table1[[#This Row],[DUT Adj Read]]&lt;Table1[[#This Row],[High Tol]],"Pass","Fail")))</f>
        <v>Fail</v>
      </c>
      <c r="AF1017" s="1" t="str">
        <f>IF(AND(Table1[[#This Row],[Spec Type2]]="N/A",Table1[[#This Row],[DUT Adj Read]]="N/A",Table1[[#This Row],[Std Adj Read]]="N/A"),"N/A",IF(Table1[[#This Row],[DUT Adj Read]]="N/A",IF(Table1[[#This Row],[Std Adj Read]]&gt;=Table1[[#This Row],[Low Tol]],"Pass","Fail"),IF(Table1[[#This Row],[DUT Adj Read]]&gt;=Table1[[#This Row],[Low Tol]],"Pass","Fail")))</f>
        <v>Pass</v>
      </c>
      <c r="AG1017" s="1" t="str">
        <f>IF(AND(Table1[[#This Row],[Spec Type2]]="N/A",Table1[[#This Row],[DUT Adj Read]]="N/A",Table1[[#This Row],[Std Adj Read]]="N/A"),"N/A",IF(Table1[[#This Row],[DUT Adj Read]]="N/A",IF(Table1[[#This Row],[Std Adj Read]]&lt;=Table1[[#This Row],[High Tol]],"Pass","Fail"),IF(Table1[[#This Row],[DUT Adj Read]]&lt;=Table1[[#This Row],[High Tol]],"Pass","Fail")))</f>
        <v>Fail</v>
      </c>
      <c r="AH10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7" s="1" t="b">
        <v>0</v>
      </c>
      <c r="AN1017" s="1" t="b">
        <v>0</v>
      </c>
      <c r="AO1017" s="1" t="b">
        <v>0</v>
      </c>
    </row>
    <row r="1018" spans="1:41" x14ac:dyDescent="0.25">
      <c r="A1018" s="10"/>
      <c r="B1018" s="10"/>
      <c r="C1018" s="10"/>
      <c r="D1018" s="10"/>
      <c r="E1018" s="10"/>
      <c r="F1018" s="10"/>
      <c r="G1018" s="10"/>
      <c r="H1018" s="10"/>
      <c r="I1018" s="1" t="str">
        <f t="shared" si="45"/>
        <v/>
      </c>
      <c r="J1018" s="1" t="s">
        <v>35</v>
      </c>
      <c r="K1018" s="1" t="str">
        <f t="shared" si="46"/>
        <v/>
      </c>
      <c r="L1018" s="1" t="str">
        <f t="shared" si="47"/>
        <v/>
      </c>
      <c r="M1018" s="1">
        <f>IF(OR(Table1[[#This Row],[Std Nom]]="",Table1[[#This Row],[Std Read]]=""),0,Table1[[#This Row],[Std Nom]]-Table1[[#This Row],[Std Read]])</f>
        <v>0</v>
      </c>
      <c r="N1018" s="1">
        <f>IF(Calculations!$F$5="ACCREDITED 17025 WITH UNCERTAINTIES",$N$10,0)</f>
        <v>0</v>
      </c>
      <c r="O1018" s="1" t="str">
        <f>IFERROR(Table1[[#This Row],[Std Nom]]-(_xlfn.XLOOKUP(Table1[[#This Row],[Manufacturer]]&amp;" "&amp;Table1[[#This Row],[Model]],Table13[MFR &amp; MDL],Table13[Tolerance % CW ],"")/100*Table1[[#This Row],[Std Nom]]),"")</f>
        <v/>
      </c>
      <c r="P1018" s="1" t="str">
        <f>IFERROR(Table1[[#This Row],[Std Nom]]+(_xlfn.XLOOKUP(Table1[[#This Row],[Manufacturer]]&amp;" "&amp;Table1[[#This Row],[Model]],Table13[MFR &amp; MDL],Table13[Tolerance % CW ],"")/100*Table1[[#This Row],[Std Nom]]),"")</f>
        <v/>
      </c>
      <c r="Q1018" s="1" t="e">
        <f>Table1[[#This Row],[High Tol]]-Table1[[#This Row],[Low Tol]]</f>
        <v>#VALUE!</v>
      </c>
      <c r="R1018" s="1">
        <f>2*Table1[[#This Row],[Std Error]]</f>
        <v>0</v>
      </c>
      <c r="S1018" s="1" t="str">
        <f>IF(Table1[[#This Row],[High Tol]]="","N/A",IFERROR(ABS(Table1[[#This Row],[Tol Span]]/Table1[[#This Row],[Error Span]]),"N/A"))</f>
        <v>N/A</v>
      </c>
      <c r="T1018" s="1" t="str">
        <f>IF(OR(Table1[[#This Row],[Low Tol]]="",Table1[[#This Row],[High Tol]]=""),"Needs Analysis",IF(Table1[[#This Row],[Ratio]]&gt;=4,"Not Significant",IF(Table1[[#This Row],[Ratio]]&gt;=2,"Semi-Significant","Significant")))</f>
        <v>Needs Analysis</v>
      </c>
      <c r="W1018" s="1">
        <f>IF(Table1[[#This Row],[Cal Type]]&lt;&gt;"ACCREDITED 17025 WITH UNCERTAINTIES",0,"")</f>
        <v>0</v>
      </c>
      <c r="X1018" s="1" t="str">
        <f>IF(Table1[[#This Row],[DUT Read]]="","N/A",Table1[[#This Row],[Std Error]]+Table1[[#This Row],[DUT Read]]+Table1[[#This Row],[DUT Ucty]])</f>
        <v>N/A</v>
      </c>
      <c r="Y1018" s="1" t="str">
        <f>IF(Table1[[#This Row],[Std Read]]="","N/A",Table1[[#This Row],[Std Read]]+Table1[[#This Row],[Std Ucty]])</f>
        <v>N/A</v>
      </c>
      <c r="Z10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8" s="1" t="str">
        <f>IF(Table1[[#This Row],[Spec Type]]="","N/A",Table1[[#This Row],[Spec Type]])</f>
        <v>±</v>
      </c>
      <c r="AC1018" s="1" t="str">
        <f>IF(Table1[[#This Row],[Spec Type2]]="N/A","N/A",IF(AND(Table1[[#This Row],[DUT Adj Read]]&gt;=Table1[[#This Row],[Low Tol]],Table1[[#This Row],[DUT Adj Read]]&lt;=Table1[[#This Row],[High Tol]]),"Pass","Fail"))</f>
        <v>Fail</v>
      </c>
      <c r="AD1018" s="1" t="str">
        <f>IF(AND(Table1[[#This Row],[Spec Type2]]="N/A",Table1[[#This Row],[DUT Adj Read]]="N/A",Table1[[#This Row],[Std Adj Read]]="N/A"),"N/A",IF(Table1[[#This Row],[DUT Adj Read]]="N/A",IF(Table1[[#This Row],[Std Adj Read]]&gt;Table1[[#This Row],[Low Tol]],"Pass","Fail"),IF(Table1[[#This Row],[DUT Adj Read]]&gt;Table1[[#This Row],[Low Tol]],"Pass","Fail")))</f>
        <v>Pass</v>
      </c>
      <c r="AE1018" s="1" t="str">
        <f>IF(AND(Table1[[#This Row],[Spec Type2]]="N/A",Table1[[#This Row],[DUT Adj Read]]="N/A",Table1[[#This Row],[Std Adj Read]]="N/A"),"N/A",IF(Table1[[#This Row],[DUT Adj Read]]="N/A",IF(Table1[[#This Row],[Std Adj Read]]&lt;Table1[[#This Row],[High Tol]],"Pass","Fail"),IF(Table1[[#This Row],[DUT Adj Read]]&lt;Table1[[#This Row],[High Tol]],"Pass","Fail")))</f>
        <v>Fail</v>
      </c>
      <c r="AF1018" s="1" t="str">
        <f>IF(AND(Table1[[#This Row],[Spec Type2]]="N/A",Table1[[#This Row],[DUT Adj Read]]="N/A",Table1[[#This Row],[Std Adj Read]]="N/A"),"N/A",IF(Table1[[#This Row],[DUT Adj Read]]="N/A",IF(Table1[[#This Row],[Std Adj Read]]&gt;=Table1[[#This Row],[Low Tol]],"Pass","Fail"),IF(Table1[[#This Row],[DUT Adj Read]]&gt;=Table1[[#This Row],[Low Tol]],"Pass","Fail")))</f>
        <v>Pass</v>
      </c>
      <c r="AG1018" s="1" t="str">
        <f>IF(AND(Table1[[#This Row],[Spec Type2]]="N/A",Table1[[#This Row],[DUT Adj Read]]="N/A",Table1[[#This Row],[Std Adj Read]]="N/A"),"N/A",IF(Table1[[#This Row],[DUT Adj Read]]="N/A",IF(Table1[[#This Row],[Std Adj Read]]&lt;=Table1[[#This Row],[High Tol]],"Pass","Fail"),IF(Table1[[#This Row],[DUT Adj Read]]&lt;=Table1[[#This Row],[High Tol]],"Pass","Fail")))</f>
        <v>Fail</v>
      </c>
      <c r="AH10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8" s="1" t="b">
        <v>0</v>
      </c>
      <c r="AN1018" s="1" t="b">
        <v>0</v>
      </c>
      <c r="AO1018" s="1" t="b">
        <v>0</v>
      </c>
    </row>
    <row r="1019" spans="1:41" x14ac:dyDescent="0.25">
      <c r="A1019" s="10"/>
      <c r="B1019" s="10"/>
      <c r="C1019" s="10"/>
      <c r="D1019" s="10"/>
      <c r="E1019" s="10"/>
      <c r="F1019" s="10"/>
      <c r="G1019" s="10"/>
      <c r="H1019" s="10"/>
      <c r="I1019" s="1" t="str">
        <f t="shared" si="45"/>
        <v/>
      </c>
      <c r="J1019" s="1" t="s">
        <v>35</v>
      </c>
      <c r="K1019" s="1" t="str">
        <f t="shared" si="46"/>
        <v/>
      </c>
      <c r="L1019" s="1" t="str">
        <f t="shared" si="47"/>
        <v/>
      </c>
      <c r="M1019" s="1">
        <f>IF(OR(Table1[[#This Row],[Std Nom]]="",Table1[[#This Row],[Std Read]]=""),0,Table1[[#This Row],[Std Nom]]-Table1[[#This Row],[Std Read]])</f>
        <v>0</v>
      </c>
      <c r="N1019" s="1">
        <f>IF(Calculations!$F$5="ACCREDITED 17025 WITH UNCERTAINTIES",$N$10,0)</f>
        <v>0</v>
      </c>
      <c r="O1019" s="1" t="str">
        <f>IFERROR(Table1[[#This Row],[Std Nom]]-(_xlfn.XLOOKUP(Table1[[#This Row],[Manufacturer]]&amp;" "&amp;Table1[[#This Row],[Model]],Table13[MFR &amp; MDL],Table13[Tolerance % CW ],"")/100*Table1[[#This Row],[Std Nom]]),"")</f>
        <v/>
      </c>
      <c r="P1019" s="1" t="str">
        <f>IFERROR(Table1[[#This Row],[Std Nom]]+(_xlfn.XLOOKUP(Table1[[#This Row],[Manufacturer]]&amp;" "&amp;Table1[[#This Row],[Model]],Table13[MFR &amp; MDL],Table13[Tolerance % CW ],"")/100*Table1[[#This Row],[Std Nom]]),"")</f>
        <v/>
      </c>
      <c r="Q1019" s="1" t="e">
        <f>Table1[[#This Row],[High Tol]]-Table1[[#This Row],[Low Tol]]</f>
        <v>#VALUE!</v>
      </c>
      <c r="R1019" s="1">
        <f>2*Table1[[#This Row],[Std Error]]</f>
        <v>0</v>
      </c>
      <c r="S1019" s="1" t="str">
        <f>IF(Table1[[#This Row],[High Tol]]="","N/A",IFERROR(ABS(Table1[[#This Row],[Tol Span]]/Table1[[#This Row],[Error Span]]),"N/A"))</f>
        <v>N/A</v>
      </c>
      <c r="T1019" s="1" t="str">
        <f>IF(OR(Table1[[#This Row],[Low Tol]]="",Table1[[#This Row],[High Tol]]=""),"Needs Analysis",IF(Table1[[#This Row],[Ratio]]&gt;=4,"Not Significant",IF(Table1[[#This Row],[Ratio]]&gt;=2,"Semi-Significant","Significant")))</f>
        <v>Needs Analysis</v>
      </c>
      <c r="W1019" s="1">
        <f>IF(Table1[[#This Row],[Cal Type]]&lt;&gt;"ACCREDITED 17025 WITH UNCERTAINTIES",0,"")</f>
        <v>0</v>
      </c>
      <c r="X1019" s="1" t="str">
        <f>IF(Table1[[#This Row],[DUT Read]]="","N/A",Table1[[#This Row],[Std Error]]+Table1[[#This Row],[DUT Read]]+Table1[[#This Row],[DUT Ucty]])</f>
        <v>N/A</v>
      </c>
      <c r="Y1019" s="1" t="str">
        <f>IF(Table1[[#This Row],[Std Read]]="","N/A",Table1[[#This Row],[Std Read]]+Table1[[#This Row],[Std Ucty]])</f>
        <v>N/A</v>
      </c>
      <c r="Z10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9" s="1" t="str">
        <f>IF(Table1[[#This Row],[Spec Type]]="","N/A",Table1[[#This Row],[Spec Type]])</f>
        <v>±</v>
      </c>
      <c r="AC1019" s="1" t="str">
        <f>IF(Table1[[#This Row],[Spec Type2]]="N/A","N/A",IF(AND(Table1[[#This Row],[DUT Adj Read]]&gt;=Table1[[#This Row],[Low Tol]],Table1[[#This Row],[DUT Adj Read]]&lt;=Table1[[#This Row],[High Tol]]),"Pass","Fail"))</f>
        <v>Fail</v>
      </c>
      <c r="AD1019" s="1" t="str">
        <f>IF(AND(Table1[[#This Row],[Spec Type2]]="N/A",Table1[[#This Row],[DUT Adj Read]]="N/A",Table1[[#This Row],[Std Adj Read]]="N/A"),"N/A",IF(Table1[[#This Row],[DUT Adj Read]]="N/A",IF(Table1[[#This Row],[Std Adj Read]]&gt;Table1[[#This Row],[Low Tol]],"Pass","Fail"),IF(Table1[[#This Row],[DUT Adj Read]]&gt;Table1[[#This Row],[Low Tol]],"Pass","Fail")))</f>
        <v>Pass</v>
      </c>
      <c r="AE1019" s="1" t="str">
        <f>IF(AND(Table1[[#This Row],[Spec Type2]]="N/A",Table1[[#This Row],[DUT Adj Read]]="N/A",Table1[[#This Row],[Std Adj Read]]="N/A"),"N/A",IF(Table1[[#This Row],[DUT Adj Read]]="N/A",IF(Table1[[#This Row],[Std Adj Read]]&lt;Table1[[#This Row],[High Tol]],"Pass","Fail"),IF(Table1[[#This Row],[DUT Adj Read]]&lt;Table1[[#This Row],[High Tol]],"Pass","Fail")))</f>
        <v>Fail</v>
      </c>
      <c r="AF1019" s="1" t="str">
        <f>IF(AND(Table1[[#This Row],[Spec Type2]]="N/A",Table1[[#This Row],[DUT Adj Read]]="N/A",Table1[[#This Row],[Std Adj Read]]="N/A"),"N/A",IF(Table1[[#This Row],[DUT Adj Read]]="N/A",IF(Table1[[#This Row],[Std Adj Read]]&gt;=Table1[[#This Row],[Low Tol]],"Pass","Fail"),IF(Table1[[#This Row],[DUT Adj Read]]&gt;=Table1[[#This Row],[Low Tol]],"Pass","Fail")))</f>
        <v>Pass</v>
      </c>
      <c r="AG1019" s="1" t="str">
        <f>IF(AND(Table1[[#This Row],[Spec Type2]]="N/A",Table1[[#This Row],[DUT Adj Read]]="N/A",Table1[[#This Row],[Std Adj Read]]="N/A"),"N/A",IF(Table1[[#This Row],[DUT Adj Read]]="N/A",IF(Table1[[#This Row],[Std Adj Read]]&lt;=Table1[[#This Row],[High Tol]],"Pass","Fail"),IF(Table1[[#This Row],[DUT Adj Read]]&lt;=Table1[[#This Row],[High Tol]],"Pass","Fail")))</f>
        <v>Fail</v>
      </c>
      <c r="AH10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9" s="1" t="b">
        <v>0</v>
      </c>
      <c r="AN1019" s="1" t="b">
        <v>0</v>
      </c>
      <c r="AO1019" s="1" t="b">
        <v>0</v>
      </c>
    </row>
    <row r="1020" spans="1:41" x14ac:dyDescent="0.25">
      <c r="A1020" s="10"/>
      <c r="B1020" s="10"/>
      <c r="C1020" s="10"/>
      <c r="D1020" s="10"/>
      <c r="E1020" s="10"/>
      <c r="F1020" s="10"/>
      <c r="G1020" s="10"/>
      <c r="H1020" s="10"/>
      <c r="I1020" s="1" t="str">
        <f t="shared" si="45"/>
        <v/>
      </c>
      <c r="J1020" s="1" t="s">
        <v>35</v>
      </c>
      <c r="K1020" s="1" t="str">
        <f t="shared" si="46"/>
        <v/>
      </c>
      <c r="L1020" s="1" t="str">
        <f t="shared" si="47"/>
        <v/>
      </c>
      <c r="M1020" s="1">
        <f>IF(OR(Table1[[#This Row],[Std Nom]]="",Table1[[#This Row],[Std Read]]=""),0,Table1[[#This Row],[Std Nom]]-Table1[[#This Row],[Std Read]])</f>
        <v>0</v>
      </c>
      <c r="N1020" s="1">
        <f>IF(Calculations!$F$5="ACCREDITED 17025 WITH UNCERTAINTIES",$N$10,0)</f>
        <v>0</v>
      </c>
      <c r="O1020" s="1" t="str">
        <f>IFERROR(Table1[[#This Row],[Std Nom]]-(_xlfn.XLOOKUP(Table1[[#This Row],[Manufacturer]]&amp;" "&amp;Table1[[#This Row],[Model]],Table13[MFR &amp; MDL],Table13[Tolerance % CW ],"")/100*Table1[[#This Row],[Std Nom]]),"")</f>
        <v/>
      </c>
      <c r="P1020" s="1" t="str">
        <f>IFERROR(Table1[[#This Row],[Std Nom]]+(_xlfn.XLOOKUP(Table1[[#This Row],[Manufacturer]]&amp;" "&amp;Table1[[#This Row],[Model]],Table13[MFR &amp; MDL],Table13[Tolerance % CW ],"")/100*Table1[[#This Row],[Std Nom]]),"")</f>
        <v/>
      </c>
      <c r="Q1020" s="1" t="e">
        <f>Table1[[#This Row],[High Tol]]-Table1[[#This Row],[Low Tol]]</f>
        <v>#VALUE!</v>
      </c>
      <c r="R1020" s="1">
        <f>2*Table1[[#This Row],[Std Error]]</f>
        <v>0</v>
      </c>
      <c r="S1020" s="1" t="str">
        <f>IF(Table1[[#This Row],[High Tol]]="","N/A",IFERROR(ABS(Table1[[#This Row],[Tol Span]]/Table1[[#This Row],[Error Span]]),"N/A"))</f>
        <v>N/A</v>
      </c>
      <c r="T1020" s="1" t="str">
        <f>IF(OR(Table1[[#This Row],[Low Tol]]="",Table1[[#This Row],[High Tol]]=""),"Needs Analysis",IF(Table1[[#This Row],[Ratio]]&gt;=4,"Not Significant",IF(Table1[[#This Row],[Ratio]]&gt;=2,"Semi-Significant","Significant")))</f>
        <v>Needs Analysis</v>
      </c>
      <c r="W1020" s="1">
        <f>IF(Table1[[#This Row],[Cal Type]]&lt;&gt;"ACCREDITED 17025 WITH UNCERTAINTIES",0,"")</f>
        <v>0</v>
      </c>
      <c r="X1020" s="1" t="str">
        <f>IF(Table1[[#This Row],[DUT Read]]="","N/A",Table1[[#This Row],[Std Error]]+Table1[[#This Row],[DUT Read]]+Table1[[#This Row],[DUT Ucty]])</f>
        <v>N/A</v>
      </c>
      <c r="Y1020" s="1" t="str">
        <f>IF(Table1[[#This Row],[Std Read]]="","N/A",Table1[[#This Row],[Std Read]]+Table1[[#This Row],[Std Ucty]])</f>
        <v>N/A</v>
      </c>
      <c r="Z10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0" s="1" t="str">
        <f>IF(Table1[[#This Row],[Spec Type]]="","N/A",Table1[[#This Row],[Spec Type]])</f>
        <v>±</v>
      </c>
      <c r="AC1020" s="1" t="str">
        <f>IF(Table1[[#This Row],[Spec Type2]]="N/A","N/A",IF(AND(Table1[[#This Row],[DUT Adj Read]]&gt;=Table1[[#This Row],[Low Tol]],Table1[[#This Row],[DUT Adj Read]]&lt;=Table1[[#This Row],[High Tol]]),"Pass","Fail"))</f>
        <v>Fail</v>
      </c>
      <c r="AD1020" s="1" t="str">
        <f>IF(AND(Table1[[#This Row],[Spec Type2]]="N/A",Table1[[#This Row],[DUT Adj Read]]="N/A",Table1[[#This Row],[Std Adj Read]]="N/A"),"N/A",IF(Table1[[#This Row],[DUT Adj Read]]="N/A",IF(Table1[[#This Row],[Std Adj Read]]&gt;Table1[[#This Row],[Low Tol]],"Pass","Fail"),IF(Table1[[#This Row],[DUT Adj Read]]&gt;Table1[[#This Row],[Low Tol]],"Pass","Fail")))</f>
        <v>Pass</v>
      </c>
      <c r="AE1020" s="1" t="str">
        <f>IF(AND(Table1[[#This Row],[Spec Type2]]="N/A",Table1[[#This Row],[DUT Adj Read]]="N/A",Table1[[#This Row],[Std Adj Read]]="N/A"),"N/A",IF(Table1[[#This Row],[DUT Adj Read]]="N/A",IF(Table1[[#This Row],[Std Adj Read]]&lt;Table1[[#This Row],[High Tol]],"Pass","Fail"),IF(Table1[[#This Row],[DUT Adj Read]]&lt;Table1[[#This Row],[High Tol]],"Pass","Fail")))</f>
        <v>Fail</v>
      </c>
      <c r="AF1020" s="1" t="str">
        <f>IF(AND(Table1[[#This Row],[Spec Type2]]="N/A",Table1[[#This Row],[DUT Adj Read]]="N/A",Table1[[#This Row],[Std Adj Read]]="N/A"),"N/A",IF(Table1[[#This Row],[DUT Adj Read]]="N/A",IF(Table1[[#This Row],[Std Adj Read]]&gt;=Table1[[#This Row],[Low Tol]],"Pass","Fail"),IF(Table1[[#This Row],[DUT Adj Read]]&gt;=Table1[[#This Row],[Low Tol]],"Pass","Fail")))</f>
        <v>Pass</v>
      </c>
      <c r="AG1020" s="1" t="str">
        <f>IF(AND(Table1[[#This Row],[Spec Type2]]="N/A",Table1[[#This Row],[DUT Adj Read]]="N/A",Table1[[#This Row],[Std Adj Read]]="N/A"),"N/A",IF(Table1[[#This Row],[DUT Adj Read]]="N/A",IF(Table1[[#This Row],[Std Adj Read]]&lt;=Table1[[#This Row],[High Tol]],"Pass","Fail"),IF(Table1[[#This Row],[DUT Adj Read]]&lt;=Table1[[#This Row],[High Tol]],"Pass","Fail")))</f>
        <v>Fail</v>
      </c>
      <c r="AH10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0" s="1" t="b">
        <v>0</v>
      </c>
      <c r="AN1020" s="1" t="b">
        <v>0</v>
      </c>
      <c r="AO1020" s="1" t="b">
        <v>0</v>
      </c>
    </row>
    <row r="1021" spans="1:41" x14ac:dyDescent="0.25">
      <c r="A1021" s="10"/>
      <c r="B1021" s="10"/>
      <c r="C1021" s="10"/>
      <c r="D1021" s="10"/>
      <c r="E1021" s="10"/>
      <c r="F1021" s="10"/>
      <c r="G1021" s="10"/>
      <c r="H1021" s="10"/>
      <c r="I1021" s="1" t="str">
        <f t="shared" si="45"/>
        <v/>
      </c>
      <c r="J1021" s="1" t="s">
        <v>35</v>
      </c>
      <c r="K1021" s="1" t="str">
        <f t="shared" si="46"/>
        <v/>
      </c>
      <c r="L1021" s="1" t="str">
        <f t="shared" si="47"/>
        <v/>
      </c>
      <c r="M1021" s="1">
        <f>IF(OR(Table1[[#This Row],[Std Nom]]="",Table1[[#This Row],[Std Read]]=""),0,Table1[[#This Row],[Std Nom]]-Table1[[#This Row],[Std Read]])</f>
        <v>0</v>
      </c>
      <c r="N1021" s="1">
        <f>IF(Calculations!$F$5="ACCREDITED 17025 WITH UNCERTAINTIES",$N$10,0)</f>
        <v>0</v>
      </c>
      <c r="O1021" s="1" t="str">
        <f>IFERROR(Table1[[#This Row],[Std Nom]]-(_xlfn.XLOOKUP(Table1[[#This Row],[Manufacturer]]&amp;" "&amp;Table1[[#This Row],[Model]],Table13[MFR &amp; MDL],Table13[Tolerance % CW ],"")/100*Table1[[#This Row],[Std Nom]]),"")</f>
        <v/>
      </c>
      <c r="P1021" s="1" t="str">
        <f>IFERROR(Table1[[#This Row],[Std Nom]]+(_xlfn.XLOOKUP(Table1[[#This Row],[Manufacturer]]&amp;" "&amp;Table1[[#This Row],[Model]],Table13[MFR &amp; MDL],Table13[Tolerance % CW ],"")/100*Table1[[#This Row],[Std Nom]]),"")</f>
        <v/>
      </c>
      <c r="Q1021" s="1" t="e">
        <f>Table1[[#This Row],[High Tol]]-Table1[[#This Row],[Low Tol]]</f>
        <v>#VALUE!</v>
      </c>
      <c r="R1021" s="1">
        <f>2*Table1[[#This Row],[Std Error]]</f>
        <v>0</v>
      </c>
      <c r="S1021" s="1" t="str">
        <f>IF(Table1[[#This Row],[High Tol]]="","N/A",IFERROR(ABS(Table1[[#This Row],[Tol Span]]/Table1[[#This Row],[Error Span]]),"N/A"))</f>
        <v>N/A</v>
      </c>
      <c r="T1021" s="1" t="str">
        <f>IF(OR(Table1[[#This Row],[Low Tol]]="",Table1[[#This Row],[High Tol]]=""),"Needs Analysis",IF(Table1[[#This Row],[Ratio]]&gt;=4,"Not Significant",IF(Table1[[#This Row],[Ratio]]&gt;=2,"Semi-Significant","Significant")))</f>
        <v>Needs Analysis</v>
      </c>
      <c r="W1021" s="1">
        <f>IF(Table1[[#This Row],[Cal Type]]&lt;&gt;"ACCREDITED 17025 WITH UNCERTAINTIES",0,"")</f>
        <v>0</v>
      </c>
      <c r="X1021" s="1" t="str">
        <f>IF(Table1[[#This Row],[DUT Read]]="","N/A",Table1[[#This Row],[Std Error]]+Table1[[#This Row],[DUT Read]]+Table1[[#This Row],[DUT Ucty]])</f>
        <v>N/A</v>
      </c>
      <c r="Y1021" s="1" t="str">
        <f>IF(Table1[[#This Row],[Std Read]]="","N/A",Table1[[#This Row],[Std Read]]+Table1[[#This Row],[Std Ucty]])</f>
        <v>N/A</v>
      </c>
      <c r="Z10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1" s="1" t="str">
        <f>IF(Table1[[#This Row],[Spec Type]]="","N/A",Table1[[#This Row],[Spec Type]])</f>
        <v>±</v>
      </c>
      <c r="AC1021" s="1" t="str">
        <f>IF(Table1[[#This Row],[Spec Type2]]="N/A","N/A",IF(AND(Table1[[#This Row],[DUT Adj Read]]&gt;=Table1[[#This Row],[Low Tol]],Table1[[#This Row],[DUT Adj Read]]&lt;=Table1[[#This Row],[High Tol]]),"Pass","Fail"))</f>
        <v>Fail</v>
      </c>
      <c r="AD1021" s="1" t="str">
        <f>IF(AND(Table1[[#This Row],[Spec Type2]]="N/A",Table1[[#This Row],[DUT Adj Read]]="N/A",Table1[[#This Row],[Std Adj Read]]="N/A"),"N/A",IF(Table1[[#This Row],[DUT Adj Read]]="N/A",IF(Table1[[#This Row],[Std Adj Read]]&gt;Table1[[#This Row],[Low Tol]],"Pass","Fail"),IF(Table1[[#This Row],[DUT Adj Read]]&gt;Table1[[#This Row],[Low Tol]],"Pass","Fail")))</f>
        <v>Pass</v>
      </c>
      <c r="AE1021" s="1" t="str">
        <f>IF(AND(Table1[[#This Row],[Spec Type2]]="N/A",Table1[[#This Row],[DUT Adj Read]]="N/A",Table1[[#This Row],[Std Adj Read]]="N/A"),"N/A",IF(Table1[[#This Row],[DUT Adj Read]]="N/A",IF(Table1[[#This Row],[Std Adj Read]]&lt;Table1[[#This Row],[High Tol]],"Pass","Fail"),IF(Table1[[#This Row],[DUT Adj Read]]&lt;Table1[[#This Row],[High Tol]],"Pass","Fail")))</f>
        <v>Fail</v>
      </c>
      <c r="AF1021" s="1" t="str">
        <f>IF(AND(Table1[[#This Row],[Spec Type2]]="N/A",Table1[[#This Row],[DUT Adj Read]]="N/A",Table1[[#This Row],[Std Adj Read]]="N/A"),"N/A",IF(Table1[[#This Row],[DUT Adj Read]]="N/A",IF(Table1[[#This Row],[Std Adj Read]]&gt;=Table1[[#This Row],[Low Tol]],"Pass","Fail"),IF(Table1[[#This Row],[DUT Adj Read]]&gt;=Table1[[#This Row],[Low Tol]],"Pass","Fail")))</f>
        <v>Pass</v>
      </c>
      <c r="AG1021" s="1" t="str">
        <f>IF(AND(Table1[[#This Row],[Spec Type2]]="N/A",Table1[[#This Row],[DUT Adj Read]]="N/A",Table1[[#This Row],[Std Adj Read]]="N/A"),"N/A",IF(Table1[[#This Row],[DUT Adj Read]]="N/A",IF(Table1[[#This Row],[Std Adj Read]]&lt;=Table1[[#This Row],[High Tol]],"Pass","Fail"),IF(Table1[[#This Row],[DUT Adj Read]]&lt;=Table1[[#This Row],[High Tol]],"Pass","Fail")))</f>
        <v>Fail</v>
      </c>
      <c r="AH10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1" s="1" t="b">
        <v>0</v>
      </c>
      <c r="AN1021" s="1" t="b">
        <v>0</v>
      </c>
      <c r="AO1021" s="1" t="b">
        <v>0</v>
      </c>
    </row>
    <row r="1022" spans="1:41" x14ac:dyDescent="0.25">
      <c r="A1022" s="10"/>
      <c r="B1022" s="10"/>
      <c r="C1022" s="10"/>
      <c r="D1022" s="10"/>
      <c r="E1022" s="10"/>
      <c r="F1022" s="10"/>
      <c r="G1022" s="10"/>
      <c r="H1022" s="10"/>
      <c r="I1022" s="1" t="str">
        <f t="shared" si="45"/>
        <v/>
      </c>
      <c r="J1022" s="1" t="s">
        <v>35</v>
      </c>
      <c r="K1022" s="1" t="str">
        <f t="shared" si="46"/>
        <v/>
      </c>
      <c r="L1022" s="1" t="str">
        <f t="shared" si="47"/>
        <v/>
      </c>
      <c r="M1022" s="1">
        <f>IF(OR(Table1[[#This Row],[Std Nom]]="",Table1[[#This Row],[Std Read]]=""),0,Table1[[#This Row],[Std Nom]]-Table1[[#This Row],[Std Read]])</f>
        <v>0</v>
      </c>
      <c r="N1022" s="1">
        <f>IF(Calculations!$F$5="ACCREDITED 17025 WITH UNCERTAINTIES",$N$10,0)</f>
        <v>0</v>
      </c>
      <c r="O1022" s="1" t="str">
        <f>IFERROR(Table1[[#This Row],[Std Nom]]-(_xlfn.XLOOKUP(Table1[[#This Row],[Manufacturer]]&amp;" "&amp;Table1[[#This Row],[Model]],Table13[MFR &amp; MDL],Table13[Tolerance % CW ],"")/100*Table1[[#This Row],[Std Nom]]),"")</f>
        <v/>
      </c>
      <c r="P1022" s="1" t="str">
        <f>IFERROR(Table1[[#This Row],[Std Nom]]+(_xlfn.XLOOKUP(Table1[[#This Row],[Manufacturer]]&amp;" "&amp;Table1[[#This Row],[Model]],Table13[MFR &amp; MDL],Table13[Tolerance % CW ],"")/100*Table1[[#This Row],[Std Nom]]),"")</f>
        <v/>
      </c>
      <c r="Q1022" s="1" t="e">
        <f>Table1[[#This Row],[High Tol]]-Table1[[#This Row],[Low Tol]]</f>
        <v>#VALUE!</v>
      </c>
      <c r="R1022" s="1">
        <f>2*Table1[[#This Row],[Std Error]]</f>
        <v>0</v>
      </c>
      <c r="S1022" s="1" t="str">
        <f>IF(Table1[[#This Row],[High Tol]]="","N/A",IFERROR(ABS(Table1[[#This Row],[Tol Span]]/Table1[[#This Row],[Error Span]]),"N/A"))</f>
        <v>N/A</v>
      </c>
      <c r="T1022" s="1" t="str">
        <f>IF(OR(Table1[[#This Row],[Low Tol]]="",Table1[[#This Row],[High Tol]]=""),"Needs Analysis",IF(Table1[[#This Row],[Ratio]]&gt;=4,"Not Significant",IF(Table1[[#This Row],[Ratio]]&gt;=2,"Semi-Significant","Significant")))</f>
        <v>Needs Analysis</v>
      </c>
      <c r="W1022" s="1">
        <f>IF(Table1[[#This Row],[Cal Type]]&lt;&gt;"ACCREDITED 17025 WITH UNCERTAINTIES",0,"")</f>
        <v>0</v>
      </c>
      <c r="X1022" s="1" t="str">
        <f>IF(Table1[[#This Row],[DUT Read]]="","N/A",Table1[[#This Row],[Std Error]]+Table1[[#This Row],[DUT Read]]+Table1[[#This Row],[DUT Ucty]])</f>
        <v>N/A</v>
      </c>
      <c r="Y1022" s="1" t="str">
        <f>IF(Table1[[#This Row],[Std Read]]="","N/A",Table1[[#This Row],[Std Read]]+Table1[[#This Row],[Std Ucty]])</f>
        <v>N/A</v>
      </c>
      <c r="Z10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2" s="1" t="str">
        <f>IF(Table1[[#This Row],[Spec Type]]="","N/A",Table1[[#This Row],[Spec Type]])</f>
        <v>±</v>
      </c>
      <c r="AC1022" s="1" t="str">
        <f>IF(Table1[[#This Row],[Spec Type2]]="N/A","N/A",IF(AND(Table1[[#This Row],[DUT Adj Read]]&gt;=Table1[[#This Row],[Low Tol]],Table1[[#This Row],[DUT Adj Read]]&lt;=Table1[[#This Row],[High Tol]]),"Pass","Fail"))</f>
        <v>Fail</v>
      </c>
      <c r="AD1022" s="1" t="str">
        <f>IF(AND(Table1[[#This Row],[Spec Type2]]="N/A",Table1[[#This Row],[DUT Adj Read]]="N/A",Table1[[#This Row],[Std Adj Read]]="N/A"),"N/A",IF(Table1[[#This Row],[DUT Adj Read]]="N/A",IF(Table1[[#This Row],[Std Adj Read]]&gt;Table1[[#This Row],[Low Tol]],"Pass","Fail"),IF(Table1[[#This Row],[DUT Adj Read]]&gt;Table1[[#This Row],[Low Tol]],"Pass","Fail")))</f>
        <v>Pass</v>
      </c>
      <c r="AE1022" s="1" t="str">
        <f>IF(AND(Table1[[#This Row],[Spec Type2]]="N/A",Table1[[#This Row],[DUT Adj Read]]="N/A",Table1[[#This Row],[Std Adj Read]]="N/A"),"N/A",IF(Table1[[#This Row],[DUT Adj Read]]="N/A",IF(Table1[[#This Row],[Std Adj Read]]&lt;Table1[[#This Row],[High Tol]],"Pass","Fail"),IF(Table1[[#This Row],[DUT Adj Read]]&lt;Table1[[#This Row],[High Tol]],"Pass","Fail")))</f>
        <v>Fail</v>
      </c>
      <c r="AF1022" s="1" t="str">
        <f>IF(AND(Table1[[#This Row],[Spec Type2]]="N/A",Table1[[#This Row],[DUT Adj Read]]="N/A",Table1[[#This Row],[Std Adj Read]]="N/A"),"N/A",IF(Table1[[#This Row],[DUT Adj Read]]="N/A",IF(Table1[[#This Row],[Std Adj Read]]&gt;=Table1[[#This Row],[Low Tol]],"Pass","Fail"),IF(Table1[[#This Row],[DUT Adj Read]]&gt;=Table1[[#This Row],[Low Tol]],"Pass","Fail")))</f>
        <v>Pass</v>
      </c>
      <c r="AG1022" s="1" t="str">
        <f>IF(AND(Table1[[#This Row],[Spec Type2]]="N/A",Table1[[#This Row],[DUT Adj Read]]="N/A",Table1[[#This Row],[Std Adj Read]]="N/A"),"N/A",IF(Table1[[#This Row],[DUT Adj Read]]="N/A",IF(Table1[[#This Row],[Std Adj Read]]&lt;=Table1[[#This Row],[High Tol]],"Pass","Fail"),IF(Table1[[#This Row],[DUT Adj Read]]&lt;=Table1[[#This Row],[High Tol]],"Pass","Fail")))</f>
        <v>Fail</v>
      </c>
      <c r="AH10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2" s="1" t="b">
        <v>0</v>
      </c>
      <c r="AN1022" s="1" t="b">
        <v>0</v>
      </c>
      <c r="AO1022" s="1" t="b">
        <v>0</v>
      </c>
    </row>
    <row r="1023" spans="1:41" x14ac:dyDescent="0.25">
      <c r="A1023" s="10"/>
      <c r="B1023" s="10"/>
      <c r="C1023" s="10"/>
      <c r="D1023" s="10"/>
      <c r="E1023" s="10"/>
      <c r="F1023" s="10"/>
      <c r="G1023" s="10"/>
      <c r="H1023" s="10"/>
      <c r="I1023" s="1" t="str">
        <f t="shared" si="45"/>
        <v/>
      </c>
      <c r="J1023" s="1" t="s">
        <v>35</v>
      </c>
      <c r="K1023" s="1" t="str">
        <f t="shared" si="46"/>
        <v/>
      </c>
      <c r="L1023" s="1" t="str">
        <f t="shared" si="47"/>
        <v/>
      </c>
      <c r="M1023" s="1">
        <f>IF(OR(Table1[[#This Row],[Std Nom]]="",Table1[[#This Row],[Std Read]]=""),0,Table1[[#This Row],[Std Nom]]-Table1[[#This Row],[Std Read]])</f>
        <v>0</v>
      </c>
      <c r="N1023" s="1">
        <f>IF(Calculations!$F$5="ACCREDITED 17025 WITH UNCERTAINTIES",$N$10,0)</f>
        <v>0</v>
      </c>
      <c r="O1023" s="1" t="str">
        <f>IFERROR(Table1[[#This Row],[Std Nom]]-(_xlfn.XLOOKUP(Table1[[#This Row],[Manufacturer]]&amp;" "&amp;Table1[[#This Row],[Model]],Table13[MFR &amp; MDL],Table13[Tolerance % CW ],"")/100*Table1[[#This Row],[Std Nom]]),"")</f>
        <v/>
      </c>
      <c r="P1023" s="1" t="str">
        <f>IFERROR(Table1[[#This Row],[Std Nom]]+(_xlfn.XLOOKUP(Table1[[#This Row],[Manufacturer]]&amp;" "&amp;Table1[[#This Row],[Model]],Table13[MFR &amp; MDL],Table13[Tolerance % CW ],"")/100*Table1[[#This Row],[Std Nom]]),"")</f>
        <v/>
      </c>
      <c r="Q1023" s="1" t="e">
        <f>Table1[[#This Row],[High Tol]]-Table1[[#This Row],[Low Tol]]</f>
        <v>#VALUE!</v>
      </c>
      <c r="R1023" s="1">
        <f>2*Table1[[#This Row],[Std Error]]</f>
        <v>0</v>
      </c>
      <c r="S1023" s="1" t="str">
        <f>IF(Table1[[#This Row],[High Tol]]="","N/A",IFERROR(ABS(Table1[[#This Row],[Tol Span]]/Table1[[#This Row],[Error Span]]),"N/A"))</f>
        <v>N/A</v>
      </c>
      <c r="T1023" s="1" t="str">
        <f>IF(OR(Table1[[#This Row],[Low Tol]]="",Table1[[#This Row],[High Tol]]=""),"Needs Analysis",IF(Table1[[#This Row],[Ratio]]&gt;=4,"Not Significant",IF(Table1[[#This Row],[Ratio]]&gt;=2,"Semi-Significant","Significant")))</f>
        <v>Needs Analysis</v>
      </c>
      <c r="W1023" s="1">
        <f>IF(Table1[[#This Row],[Cal Type]]&lt;&gt;"ACCREDITED 17025 WITH UNCERTAINTIES",0,"")</f>
        <v>0</v>
      </c>
      <c r="X1023" s="1" t="str">
        <f>IF(Table1[[#This Row],[DUT Read]]="","N/A",Table1[[#This Row],[Std Error]]+Table1[[#This Row],[DUT Read]]+Table1[[#This Row],[DUT Ucty]])</f>
        <v>N/A</v>
      </c>
      <c r="Y1023" s="1" t="str">
        <f>IF(Table1[[#This Row],[Std Read]]="","N/A",Table1[[#This Row],[Std Read]]+Table1[[#This Row],[Std Ucty]])</f>
        <v>N/A</v>
      </c>
      <c r="Z10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3" s="1" t="str">
        <f>IF(Table1[[#This Row],[Spec Type]]="","N/A",Table1[[#This Row],[Spec Type]])</f>
        <v>±</v>
      </c>
      <c r="AC1023" s="1" t="str">
        <f>IF(Table1[[#This Row],[Spec Type2]]="N/A","N/A",IF(AND(Table1[[#This Row],[DUT Adj Read]]&gt;=Table1[[#This Row],[Low Tol]],Table1[[#This Row],[DUT Adj Read]]&lt;=Table1[[#This Row],[High Tol]]),"Pass","Fail"))</f>
        <v>Fail</v>
      </c>
      <c r="AD1023" s="1" t="str">
        <f>IF(AND(Table1[[#This Row],[Spec Type2]]="N/A",Table1[[#This Row],[DUT Adj Read]]="N/A",Table1[[#This Row],[Std Adj Read]]="N/A"),"N/A",IF(Table1[[#This Row],[DUT Adj Read]]="N/A",IF(Table1[[#This Row],[Std Adj Read]]&gt;Table1[[#This Row],[Low Tol]],"Pass","Fail"),IF(Table1[[#This Row],[DUT Adj Read]]&gt;Table1[[#This Row],[Low Tol]],"Pass","Fail")))</f>
        <v>Pass</v>
      </c>
      <c r="AE1023" s="1" t="str">
        <f>IF(AND(Table1[[#This Row],[Spec Type2]]="N/A",Table1[[#This Row],[DUT Adj Read]]="N/A",Table1[[#This Row],[Std Adj Read]]="N/A"),"N/A",IF(Table1[[#This Row],[DUT Adj Read]]="N/A",IF(Table1[[#This Row],[Std Adj Read]]&lt;Table1[[#This Row],[High Tol]],"Pass","Fail"),IF(Table1[[#This Row],[DUT Adj Read]]&lt;Table1[[#This Row],[High Tol]],"Pass","Fail")))</f>
        <v>Fail</v>
      </c>
      <c r="AF1023" s="1" t="str">
        <f>IF(AND(Table1[[#This Row],[Spec Type2]]="N/A",Table1[[#This Row],[DUT Adj Read]]="N/A",Table1[[#This Row],[Std Adj Read]]="N/A"),"N/A",IF(Table1[[#This Row],[DUT Adj Read]]="N/A",IF(Table1[[#This Row],[Std Adj Read]]&gt;=Table1[[#This Row],[Low Tol]],"Pass","Fail"),IF(Table1[[#This Row],[DUT Adj Read]]&gt;=Table1[[#This Row],[Low Tol]],"Pass","Fail")))</f>
        <v>Pass</v>
      </c>
      <c r="AG1023" s="1" t="str">
        <f>IF(AND(Table1[[#This Row],[Spec Type2]]="N/A",Table1[[#This Row],[DUT Adj Read]]="N/A",Table1[[#This Row],[Std Adj Read]]="N/A"),"N/A",IF(Table1[[#This Row],[DUT Adj Read]]="N/A",IF(Table1[[#This Row],[Std Adj Read]]&lt;=Table1[[#This Row],[High Tol]],"Pass","Fail"),IF(Table1[[#This Row],[DUT Adj Read]]&lt;=Table1[[#This Row],[High Tol]],"Pass","Fail")))</f>
        <v>Fail</v>
      </c>
      <c r="AH10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3" s="1" t="b">
        <v>0</v>
      </c>
      <c r="AN1023" s="1" t="b">
        <v>0</v>
      </c>
      <c r="AO1023" s="1" t="b">
        <v>0</v>
      </c>
    </row>
    <row r="1024" spans="1:41" x14ac:dyDescent="0.25">
      <c r="A1024" s="10"/>
      <c r="B1024" s="10"/>
      <c r="C1024" s="10"/>
      <c r="D1024" s="10"/>
      <c r="E1024" s="10"/>
      <c r="F1024" s="10"/>
      <c r="G1024" s="10"/>
      <c r="H1024" s="10"/>
      <c r="I1024" s="1" t="str">
        <f t="shared" si="45"/>
        <v/>
      </c>
      <c r="J1024" s="1" t="s">
        <v>35</v>
      </c>
      <c r="K1024" s="1" t="str">
        <f t="shared" si="46"/>
        <v/>
      </c>
      <c r="L1024" s="1" t="str">
        <f t="shared" si="47"/>
        <v/>
      </c>
      <c r="M1024" s="1">
        <f>IF(OR(Table1[[#This Row],[Std Nom]]="",Table1[[#This Row],[Std Read]]=""),0,Table1[[#This Row],[Std Nom]]-Table1[[#This Row],[Std Read]])</f>
        <v>0</v>
      </c>
      <c r="N1024" s="1">
        <f>IF(Calculations!$F$5="ACCREDITED 17025 WITH UNCERTAINTIES",$N$10,0)</f>
        <v>0</v>
      </c>
      <c r="O1024" s="1" t="str">
        <f>IFERROR(Table1[[#This Row],[Std Nom]]-(_xlfn.XLOOKUP(Table1[[#This Row],[Manufacturer]]&amp;" "&amp;Table1[[#This Row],[Model]],Table13[MFR &amp; MDL],Table13[Tolerance % CW ],"")/100*Table1[[#This Row],[Std Nom]]),"")</f>
        <v/>
      </c>
      <c r="P1024" s="1" t="str">
        <f>IFERROR(Table1[[#This Row],[Std Nom]]+(_xlfn.XLOOKUP(Table1[[#This Row],[Manufacturer]]&amp;" "&amp;Table1[[#This Row],[Model]],Table13[MFR &amp; MDL],Table13[Tolerance % CW ],"")/100*Table1[[#This Row],[Std Nom]]),"")</f>
        <v/>
      </c>
      <c r="Q1024" s="1" t="e">
        <f>Table1[[#This Row],[High Tol]]-Table1[[#This Row],[Low Tol]]</f>
        <v>#VALUE!</v>
      </c>
      <c r="R1024" s="1">
        <f>2*Table1[[#This Row],[Std Error]]</f>
        <v>0</v>
      </c>
      <c r="S1024" s="1" t="str">
        <f>IF(Table1[[#This Row],[High Tol]]="","N/A",IFERROR(ABS(Table1[[#This Row],[Tol Span]]/Table1[[#This Row],[Error Span]]),"N/A"))</f>
        <v>N/A</v>
      </c>
      <c r="T1024" s="1" t="str">
        <f>IF(OR(Table1[[#This Row],[Low Tol]]="",Table1[[#This Row],[High Tol]]=""),"Needs Analysis",IF(Table1[[#This Row],[Ratio]]&gt;=4,"Not Significant",IF(Table1[[#This Row],[Ratio]]&gt;=2,"Semi-Significant","Significant")))</f>
        <v>Needs Analysis</v>
      </c>
      <c r="W1024" s="1">
        <f>IF(Table1[[#This Row],[Cal Type]]&lt;&gt;"ACCREDITED 17025 WITH UNCERTAINTIES",0,"")</f>
        <v>0</v>
      </c>
      <c r="X1024" s="1" t="str">
        <f>IF(Table1[[#This Row],[DUT Read]]="","N/A",Table1[[#This Row],[Std Error]]+Table1[[#This Row],[DUT Read]]+Table1[[#This Row],[DUT Ucty]])</f>
        <v>N/A</v>
      </c>
      <c r="Y1024" s="1" t="str">
        <f>IF(Table1[[#This Row],[Std Read]]="","N/A",Table1[[#This Row],[Std Read]]+Table1[[#This Row],[Std Ucty]])</f>
        <v>N/A</v>
      </c>
      <c r="Z10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4" s="1" t="str">
        <f>IF(Table1[[#This Row],[Spec Type]]="","N/A",Table1[[#This Row],[Spec Type]])</f>
        <v>±</v>
      </c>
      <c r="AC1024" s="1" t="str">
        <f>IF(Table1[[#This Row],[Spec Type2]]="N/A","N/A",IF(AND(Table1[[#This Row],[DUT Adj Read]]&gt;=Table1[[#This Row],[Low Tol]],Table1[[#This Row],[DUT Adj Read]]&lt;=Table1[[#This Row],[High Tol]]),"Pass","Fail"))</f>
        <v>Fail</v>
      </c>
      <c r="AD1024" s="1" t="str">
        <f>IF(AND(Table1[[#This Row],[Spec Type2]]="N/A",Table1[[#This Row],[DUT Adj Read]]="N/A",Table1[[#This Row],[Std Adj Read]]="N/A"),"N/A",IF(Table1[[#This Row],[DUT Adj Read]]="N/A",IF(Table1[[#This Row],[Std Adj Read]]&gt;Table1[[#This Row],[Low Tol]],"Pass","Fail"),IF(Table1[[#This Row],[DUT Adj Read]]&gt;Table1[[#This Row],[Low Tol]],"Pass","Fail")))</f>
        <v>Pass</v>
      </c>
      <c r="AE1024" s="1" t="str">
        <f>IF(AND(Table1[[#This Row],[Spec Type2]]="N/A",Table1[[#This Row],[DUT Adj Read]]="N/A",Table1[[#This Row],[Std Adj Read]]="N/A"),"N/A",IF(Table1[[#This Row],[DUT Adj Read]]="N/A",IF(Table1[[#This Row],[Std Adj Read]]&lt;Table1[[#This Row],[High Tol]],"Pass","Fail"),IF(Table1[[#This Row],[DUT Adj Read]]&lt;Table1[[#This Row],[High Tol]],"Pass","Fail")))</f>
        <v>Fail</v>
      </c>
      <c r="AF1024" s="1" t="str">
        <f>IF(AND(Table1[[#This Row],[Spec Type2]]="N/A",Table1[[#This Row],[DUT Adj Read]]="N/A",Table1[[#This Row],[Std Adj Read]]="N/A"),"N/A",IF(Table1[[#This Row],[DUT Adj Read]]="N/A",IF(Table1[[#This Row],[Std Adj Read]]&gt;=Table1[[#This Row],[Low Tol]],"Pass","Fail"),IF(Table1[[#This Row],[DUT Adj Read]]&gt;=Table1[[#This Row],[Low Tol]],"Pass","Fail")))</f>
        <v>Pass</v>
      </c>
      <c r="AG1024" s="1" t="str">
        <f>IF(AND(Table1[[#This Row],[Spec Type2]]="N/A",Table1[[#This Row],[DUT Adj Read]]="N/A",Table1[[#This Row],[Std Adj Read]]="N/A"),"N/A",IF(Table1[[#This Row],[DUT Adj Read]]="N/A",IF(Table1[[#This Row],[Std Adj Read]]&lt;=Table1[[#This Row],[High Tol]],"Pass","Fail"),IF(Table1[[#This Row],[DUT Adj Read]]&lt;=Table1[[#This Row],[High Tol]],"Pass","Fail")))</f>
        <v>Fail</v>
      </c>
      <c r="AH10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4" s="1" t="b">
        <v>0</v>
      </c>
      <c r="AN1024" s="1" t="b">
        <v>0</v>
      </c>
      <c r="AO1024" s="1" t="b">
        <v>0</v>
      </c>
    </row>
    <row r="1025" spans="1:41" x14ac:dyDescent="0.25">
      <c r="A1025" s="10"/>
      <c r="B1025" s="10"/>
      <c r="C1025" s="10"/>
      <c r="D1025" s="10"/>
      <c r="E1025" s="10"/>
      <c r="F1025" s="10"/>
      <c r="G1025" s="10"/>
      <c r="H1025" s="10"/>
      <c r="I1025" s="1" t="str">
        <f t="shared" si="45"/>
        <v/>
      </c>
      <c r="J1025" s="1" t="s">
        <v>35</v>
      </c>
      <c r="K1025" s="1" t="str">
        <f t="shared" si="46"/>
        <v/>
      </c>
      <c r="L1025" s="1" t="str">
        <f t="shared" si="47"/>
        <v/>
      </c>
      <c r="M1025" s="1">
        <f>IF(OR(Table1[[#This Row],[Std Nom]]="",Table1[[#This Row],[Std Read]]=""),0,Table1[[#This Row],[Std Nom]]-Table1[[#This Row],[Std Read]])</f>
        <v>0</v>
      </c>
      <c r="N1025" s="1">
        <f>IF(Calculations!$F$5="ACCREDITED 17025 WITH UNCERTAINTIES",$N$10,0)</f>
        <v>0</v>
      </c>
      <c r="O1025" s="1" t="str">
        <f>IFERROR(Table1[[#This Row],[Std Nom]]-(_xlfn.XLOOKUP(Table1[[#This Row],[Manufacturer]]&amp;" "&amp;Table1[[#This Row],[Model]],Table13[MFR &amp; MDL],Table13[Tolerance % CW ],"")/100*Table1[[#This Row],[Std Nom]]),"")</f>
        <v/>
      </c>
      <c r="P1025" s="1" t="str">
        <f>IFERROR(Table1[[#This Row],[Std Nom]]+(_xlfn.XLOOKUP(Table1[[#This Row],[Manufacturer]]&amp;" "&amp;Table1[[#This Row],[Model]],Table13[MFR &amp; MDL],Table13[Tolerance % CW ],"")/100*Table1[[#This Row],[Std Nom]]),"")</f>
        <v/>
      </c>
      <c r="Q1025" s="1" t="e">
        <f>Table1[[#This Row],[High Tol]]-Table1[[#This Row],[Low Tol]]</f>
        <v>#VALUE!</v>
      </c>
      <c r="R1025" s="1">
        <f>2*Table1[[#This Row],[Std Error]]</f>
        <v>0</v>
      </c>
      <c r="S1025" s="1" t="str">
        <f>IF(Table1[[#This Row],[High Tol]]="","N/A",IFERROR(ABS(Table1[[#This Row],[Tol Span]]/Table1[[#This Row],[Error Span]]),"N/A"))</f>
        <v>N/A</v>
      </c>
      <c r="T1025" s="1" t="str">
        <f>IF(OR(Table1[[#This Row],[Low Tol]]="",Table1[[#This Row],[High Tol]]=""),"Needs Analysis",IF(Table1[[#This Row],[Ratio]]&gt;=4,"Not Significant",IF(Table1[[#This Row],[Ratio]]&gt;=2,"Semi-Significant","Significant")))</f>
        <v>Needs Analysis</v>
      </c>
      <c r="W1025" s="1">
        <f>IF(Table1[[#This Row],[Cal Type]]&lt;&gt;"ACCREDITED 17025 WITH UNCERTAINTIES",0,"")</f>
        <v>0</v>
      </c>
      <c r="X1025" s="1" t="str">
        <f>IF(Table1[[#This Row],[DUT Read]]="","N/A",Table1[[#This Row],[Std Error]]+Table1[[#This Row],[DUT Read]]+Table1[[#This Row],[DUT Ucty]])</f>
        <v>N/A</v>
      </c>
      <c r="Y1025" s="1" t="str">
        <f>IF(Table1[[#This Row],[Std Read]]="","N/A",Table1[[#This Row],[Std Read]]+Table1[[#This Row],[Std Ucty]])</f>
        <v>N/A</v>
      </c>
      <c r="Z10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5" s="1" t="str">
        <f>IF(Table1[[#This Row],[Spec Type]]="","N/A",Table1[[#This Row],[Spec Type]])</f>
        <v>±</v>
      </c>
      <c r="AC1025" s="1" t="str">
        <f>IF(Table1[[#This Row],[Spec Type2]]="N/A","N/A",IF(AND(Table1[[#This Row],[DUT Adj Read]]&gt;=Table1[[#This Row],[Low Tol]],Table1[[#This Row],[DUT Adj Read]]&lt;=Table1[[#This Row],[High Tol]]),"Pass","Fail"))</f>
        <v>Fail</v>
      </c>
      <c r="AD1025" s="1" t="str">
        <f>IF(AND(Table1[[#This Row],[Spec Type2]]="N/A",Table1[[#This Row],[DUT Adj Read]]="N/A",Table1[[#This Row],[Std Adj Read]]="N/A"),"N/A",IF(Table1[[#This Row],[DUT Adj Read]]="N/A",IF(Table1[[#This Row],[Std Adj Read]]&gt;Table1[[#This Row],[Low Tol]],"Pass","Fail"),IF(Table1[[#This Row],[DUT Adj Read]]&gt;Table1[[#This Row],[Low Tol]],"Pass","Fail")))</f>
        <v>Pass</v>
      </c>
      <c r="AE1025" s="1" t="str">
        <f>IF(AND(Table1[[#This Row],[Spec Type2]]="N/A",Table1[[#This Row],[DUT Adj Read]]="N/A",Table1[[#This Row],[Std Adj Read]]="N/A"),"N/A",IF(Table1[[#This Row],[DUT Adj Read]]="N/A",IF(Table1[[#This Row],[Std Adj Read]]&lt;Table1[[#This Row],[High Tol]],"Pass","Fail"),IF(Table1[[#This Row],[DUT Adj Read]]&lt;Table1[[#This Row],[High Tol]],"Pass","Fail")))</f>
        <v>Fail</v>
      </c>
      <c r="AF1025" s="1" t="str">
        <f>IF(AND(Table1[[#This Row],[Spec Type2]]="N/A",Table1[[#This Row],[DUT Adj Read]]="N/A",Table1[[#This Row],[Std Adj Read]]="N/A"),"N/A",IF(Table1[[#This Row],[DUT Adj Read]]="N/A",IF(Table1[[#This Row],[Std Adj Read]]&gt;=Table1[[#This Row],[Low Tol]],"Pass","Fail"),IF(Table1[[#This Row],[DUT Adj Read]]&gt;=Table1[[#This Row],[Low Tol]],"Pass","Fail")))</f>
        <v>Pass</v>
      </c>
      <c r="AG1025" s="1" t="str">
        <f>IF(AND(Table1[[#This Row],[Spec Type2]]="N/A",Table1[[#This Row],[DUT Adj Read]]="N/A",Table1[[#This Row],[Std Adj Read]]="N/A"),"N/A",IF(Table1[[#This Row],[DUT Adj Read]]="N/A",IF(Table1[[#This Row],[Std Adj Read]]&lt;=Table1[[#This Row],[High Tol]],"Pass","Fail"),IF(Table1[[#This Row],[DUT Adj Read]]&lt;=Table1[[#This Row],[High Tol]],"Pass","Fail")))</f>
        <v>Fail</v>
      </c>
      <c r="AH10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5" s="1" t="b">
        <v>0</v>
      </c>
      <c r="AN1025" s="1" t="b">
        <v>0</v>
      </c>
      <c r="AO1025" s="1" t="b">
        <v>0</v>
      </c>
    </row>
    <row r="1026" spans="1:41" x14ac:dyDescent="0.25">
      <c r="A1026" s="10"/>
      <c r="B1026" s="10"/>
      <c r="C1026" s="10"/>
      <c r="D1026" s="10"/>
      <c r="E1026" s="10"/>
      <c r="F1026" s="10"/>
      <c r="G1026" s="10"/>
      <c r="H1026" s="10"/>
      <c r="I1026" s="1" t="str">
        <f t="shared" si="45"/>
        <v/>
      </c>
      <c r="J1026" s="1" t="s">
        <v>35</v>
      </c>
      <c r="K1026" s="1" t="str">
        <f t="shared" si="46"/>
        <v/>
      </c>
      <c r="L1026" s="1" t="str">
        <f t="shared" si="47"/>
        <v/>
      </c>
      <c r="M1026" s="1">
        <f>IF(OR(Table1[[#This Row],[Std Nom]]="",Table1[[#This Row],[Std Read]]=""),0,Table1[[#This Row],[Std Nom]]-Table1[[#This Row],[Std Read]])</f>
        <v>0</v>
      </c>
      <c r="N1026" s="1">
        <f>IF(Calculations!$F$5="ACCREDITED 17025 WITH UNCERTAINTIES",$N$10,0)</f>
        <v>0</v>
      </c>
      <c r="O1026" s="1" t="str">
        <f>IFERROR(Table1[[#This Row],[Std Nom]]-(_xlfn.XLOOKUP(Table1[[#This Row],[Manufacturer]]&amp;" "&amp;Table1[[#This Row],[Model]],Table13[MFR &amp; MDL],Table13[Tolerance % CW ],"")/100*Table1[[#This Row],[Std Nom]]),"")</f>
        <v/>
      </c>
      <c r="P1026" s="1" t="str">
        <f>IFERROR(Table1[[#This Row],[Std Nom]]+(_xlfn.XLOOKUP(Table1[[#This Row],[Manufacturer]]&amp;" "&amp;Table1[[#This Row],[Model]],Table13[MFR &amp; MDL],Table13[Tolerance % CW ],"")/100*Table1[[#This Row],[Std Nom]]),"")</f>
        <v/>
      </c>
      <c r="Q1026" s="1" t="e">
        <f>Table1[[#This Row],[High Tol]]-Table1[[#This Row],[Low Tol]]</f>
        <v>#VALUE!</v>
      </c>
      <c r="R1026" s="1">
        <f>2*Table1[[#This Row],[Std Error]]</f>
        <v>0</v>
      </c>
      <c r="S1026" s="1" t="str">
        <f>IF(Table1[[#This Row],[High Tol]]="","N/A",IFERROR(ABS(Table1[[#This Row],[Tol Span]]/Table1[[#This Row],[Error Span]]),"N/A"))</f>
        <v>N/A</v>
      </c>
      <c r="T1026" s="1" t="str">
        <f>IF(OR(Table1[[#This Row],[Low Tol]]="",Table1[[#This Row],[High Tol]]=""),"Needs Analysis",IF(Table1[[#This Row],[Ratio]]&gt;=4,"Not Significant",IF(Table1[[#This Row],[Ratio]]&gt;=2,"Semi-Significant","Significant")))</f>
        <v>Needs Analysis</v>
      </c>
      <c r="W1026" s="1">
        <f>IF(Table1[[#This Row],[Cal Type]]&lt;&gt;"ACCREDITED 17025 WITH UNCERTAINTIES",0,"")</f>
        <v>0</v>
      </c>
      <c r="X1026" s="1" t="str">
        <f>IF(Table1[[#This Row],[DUT Read]]="","N/A",Table1[[#This Row],[Std Error]]+Table1[[#This Row],[DUT Read]]+Table1[[#This Row],[DUT Ucty]])</f>
        <v>N/A</v>
      </c>
      <c r="Y1026" s="1" t="str">
        <f>IF(Table1[[#This Row],[Std Read]]="","N/A",Table1[[#This Row],[Std Read]]+Table1[[#This Row],[Std Ucty]])</f>
        <v>N/A</v>
      </c>
      <c r="Z10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6" s="1" t="str">
        <f>IF(Table1[[#This Row],[Spec Type]]="","N/A",Table1[[#This Row],[Spec Type]])</f>
        <v>±</v>
      </c>
      <c r="AC1026" s="1" t="str">
        <f>IF(Table1[[#This Row],[Spec Type2]]="N/A","N/A",IF(AND(Table1[[#This Row],[DUT Adj Read]]&gt;=Table1[[#This Row],[Low Tol]],Table1[[#This Row],[DUT Adj Read]]&lt;=Table1[[#This Row],[High Tol]]),"Pass","Fail"))</f>
        <v>Fail</v>
      </c>
      <c r="AD1026" s="1" t="str">
        <f>IF(AND(Table1[[#This Row],[Spec Type2]]="N/A",Table1[[#This Row],[DUT Adj Read]]="N/A",Table1[[#This Row],[Std Adj Read]]="N/A"),"N/A",IF(Table1[[#This Row],[DUT Adj Read]]="N/A",IF(Table1[[#This Row],[Std Adj Read]]&gt;Table1[[#This Row],[Low Tol]],"Pass","Fail"),IF(Table1[[#This Row],[DUT Adj Read]]&gt;Table1[[#This Row],[Low Tol]],"Pass","Fail")))</f>
        <v>Pass</v>
      </c>
      <c r="AE1026" s="1" t="str">
        <f>IF(AND(Table1[[#This Row],[Spec Type2]]="N/A",Table1[[#This Row],[DUT Adj Read]]="N/A",Table1[[#This Row],[Std Adj Read]]="N/A"),"N/A",IF(Table1[[#This Row],[DUT Adj Read]]="N/A",IF(Table1[[#This Row],[Std Adj Read]]&lt;Table1[[#This Row],[High Tol]],"Pass","Fail"),IF(Table1[[#This Row],[DUT Adj Read]]&lt;Table1[[#This Row],[High Tol]],"Pass","Fail")))</f>
        <v>Fail</v>
      </c>
      <c r="AF1026" s="1" t="str">
        <f>IF(AND(Table1[[#This Row],[Spec Type2]]="N/A",Table1[[#This Row],[DUT Adj Read]]="N/A",Table1[[#This Row],[Std Adj Read]]="N/A"),"N/A",IF(Table1[[#This Row],[DUT Adj Read]]="N/A",IF(Table1[[#This Row],[Std Adj Read]]&gt;=Table1[[#This Row],[Low Tol]],"Pass","Fail"),IF(Table1[[#This Row],[DUT Adj Read]]&gt;=Table1[[#This Row],[Low Tol]],"Pass","Fail")))</f>
        <v>Pass</v>
      </c>
      <c r="AG1026" s="1" t="str">
        <f>IF(AND(Table1[[#This Row],[Spec Type2]]="N/A",Table1[[#This Row],[DUT Adj Read]]="N/A",Table1[[#This Row],[Std Adj Read]]="N/A"),"N/A",IF(Table1[[#This Row],[DUT Adj Read]]="N/A",IF(Table1[[#This Row],[Std Adj Read]]&lt;=Table1[[#This Row],[High Tol]],"Pass","Fail"),IF(Table1[[#This Row],[DUT Adj Read]]&lt;=Table1[[#This Row],[High Tol]],"Pass","Fail")))</f>
        <v>Fail</v>
      </c>
      <c r="AH10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6" s="1" t="b">
        <v>0</v>
      </c>
      <c r="AN1026" s="1" t="b">
        <v>0</v>
      </c>
      <c r="AO1026" s="1" t="b">
        <v>0</v>
      </c>
    </row>
    <row r="1027" spans="1:41" x14ac:dyDescent="0.25">
      <c r="A1027" s="10"/>
      <c r="B1027" s="10"/>
      <c r="C1027" s="10"/>
      <c r="D1027" s="10"/>
      <c r="E1027" s="10"/>
      <c r="F1027" s="10"/>
      <c r="G1027" s="10"/>
      <c r="H1027" s="10"/>
      <c r="I1027" s="1" t="str">
        <f t="shared" si="45"/>
        <v/>
      </c>
      <c r="J1027" s="1" t="s">
        <v>35</v>
      </c>
      <c r="K1027" s="1" t="str">
        <f t="shared" si="46"/>
        <v/>
      </c>
      <c r="L1027" s="1" t="str">
        <f t="shared" si="47"/>
        <v/>
      </c>
      <c r="M1027" s="1">
        <f>IF(OR(Table1[[#This Row],[Std Nom]]="",Table1[[#This Row],[Std Read]]=""),0,Table1[[#This Row],[Std Nom]]-Table1[[#This Row],[Std Read]])</f>
        <v>0</v>
      </c>
      <c r="N1027" s="1">
        <f>IF(Calculations!$F$5="ACCREDITED 17025 WITH UNCERTAINTIES",$N$10,0)</f>
        <v>0</v>
      </c>
      <c r="O1027" s="1" t="str">
        <f>IFERROR(Table1[[#This Row],[Std Nom]]-(_xlfn.XLOOKUP(Table1[[#This Row],[Manufacturer]]&amp;" "&amp;Table1[[#This Row],[Model]],Table13[MFR &amp; MDL],Table13[Tolerance % CW ],"")/100*Table1[[#This Row],[Std Nom]]),"")</f>
        <v/>
      </c>
      <c r="P1027" s="1" t="str">
        <f>IFERROR(Table1[[#This Row],[Std Nom]]+(_xlfn.XLOOKUP(Table1[[#This Row],[Manufacturer]]&amp;" "&amp;Table1[[#This Row],[Model]],Table13[MFR &amp; MDL],Table13[Tolerance % CW ],"")/100*Table1[[#This Row],[Std Nom]]),"")</f>
        <v/>
      </c>
      <c r="Q1027" s="1" t="e">
        <f>Table1[[#This Row],[High Tol]]-Table1[[#This Row],[Low Tol]]</f>
        <v>#VALUE!</v>
      </c>
      <c r="R1027" s="1">
        <f>2*Table1[[#This Row],[Std Error]]</f>
        <v>0</v>
      </c>
      <c r="S1027" s="1" t="str">
        <f>IF(Table1[[#This Row],[High Tol]]="","N/A",IFERROR(ABS(Table1[[#This Row],[Tol Span]]/Table1[[#This Row],[Error Span]]),"N/A"))</f>
        <v>N/A</v>
      </c>
      <c r="T1027" s="1" t="str">
        <f>IF(OR(Table1[[#This Row],[Low Tol]]="",Table1[[#This Row],[High Tol]]=""),"Needs Analysis",IF(Table1[[#This Row],[Ratio]]&gt;=4,"Not Significant",IF(Table1[[#This Row],[Ratio]]&gt;=2,"Semi-Significant","Significant")))</f>
        <v>Needs Analysis</v>
      </c>
      <c r="W1027" s="1">
        <f>IF(Table1[[#This Row],[Cal Type]]&lt;&gt;"ACCREDITED 17025 WITH UNCERTAINTIES",0,"")</f>
        <v>0</v>
      </c>
      <c r="X1027" s="1" t="str">
        <f>IF(Table1[[#This Row],[DUT Read]]="","N/A",Table1[[#This Row],[Std Error]]+Table1[[#This Row],[DUT Read]]+Table1[[#This Row],[DUT Ucty]])</f>
        <v>N/A</v>
      </c>
      <c r="Y1027" s="1" t="str">
        <f>IF(Table1[[#This Row],[Std Read]]="","N/A",Table1[[#This Row],[Std Read]]+Table1[[#This Row],[Std Ucty]])</f>
        <v>N/A</v>
      </c>
      <c r="Z10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7" s="1" t="str">
        <f>IF(Table1[[#This Row],[Spec Type]]="","N/A",Table1[[#This Row],[Spec Type]])</f>
        <v>±</v>
      </c>
      <c r="AC1027" s="1" t="str">
        <f>IF(Table1[[#This Row],[Spec Type2]]="N/A","N/A",IF(AND(Table1[[#This Row],[DUT Adj Read]]&gt;=Table1[[#This Row],[Low Tol]],Table1[[#This Row],[DUT Adj Read]]&lt;=Table1[[#This Row],[High Tol]]),"Pass","Fail"))</f>
        <v>Fail</v>
      </c>
      <c r="AD1027" s="1" t="str">
        <f>IF(AND(Table1[[#This Row],[Spec Type2]]="N/A",Table1[[#This Row],[DUT Adj Read]]="N/A",Table1[[#This Row],[Std Adj Read]]="N/A"),"N/A",IF(Table1[[#This Row],[DUT Adj Read]]="N/A",IF(Table1[[#This Row],[Std Adj Read]]&gt;Table1[[#This Row],[Low Tol]],"Pass","Fail"),IF(Table1[[#This Row],[DUT Adj Read]]&gt;Table1[[#This Row],[Low Tol]],"Pass","Fail")))</f>
        <v>Pass</v>
      </c>
      <c r="AE1027" s="1" t="str">
        <f>IF(AND(Table1[[#This Row],[Spec Type2]]="N/A",Table1[[#This Row],[DUT Adj Read]]="N/A",Table1[[#This Row],[Std Adj Read]]="N/A"),"N/A",IF(Table1[[#This Row],[DUT Adj Read]]="N/A",IF(Table1[[#This Row],[Std Adj Read]]&lt;Table1[[#This Row],[High Tol]],"Pass","Fail"),IF(Table1[[#This Row],[DUT Adj Read]]&lt;Table1[[#This Row],[High Tol]],"Pass","Fail")))</f>
        <v>Fail</v>
      </c>
      <c r="AF1027" s="1" t="str">
        <f>IF(AND(Table1[[#This Row],[Spec Type2]]="N/A",Table1[[#This Row],[DUT Adj Read]]="N/A",Table1[[#This Row],[Std Adj Read]]="N/A"),"N/A",IF(Table1[[#This Row],[DUT Adj Read]]="N/A",IF(Table1[[#This Row],[Std Adj Read]]&gt;=Table1[[#This Row],[Low Tol]],"Pass","Fail"),IF(Table1[[#This Row],[DUT Adj Read]]&gt;=Table1[[#This Row],[Low Tol]],"Pass","Fail")))</f>
        <v>Pass</v>
      </c>
      <c r="AG1027" s="1" t="str">
        <f>IF(AND(Table1[[#This Row],[Spec Type2]]="N/A",Table1[[#This Row],[DUT Adj Read]]="N/A",Table1[[#This Row],[Std Adj Read]]="N/A"),"N/A",IF(Table1[[#This Row],[DUT Adj Read]]="N/A",IF(Table1[[#This Row],[Std Adj Read]]&lt;=Table1[[#This Row],[High Tol]],"Pass","Fail"),IF(Table1[[#This Row],[DUT Adj Read]]&lt;=Table1[[#This Row],[High Tol]],"Pass","Fail")))</f>
        <v>Fail</v>
      </c>
      <c r="AH10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7" s="1" t="b">
        <v>0</v>
      </c>
      <c r="AN1027" s="1" t="b">
        <v>0</v>
      </c>
      <c r="AO1027" s="1" t="b">
        <v>0</v>
      </c>
    </row>
    <row r="1028" spans="1:41" x14ac:dyDescent="0.25">
      <c r="A1028" s="10"/>
      <c r="B1028" s="10"/>
      <c r="C1028" s="10"/>
      <c r="D1028" s="10"/>
      <c r="E1028" s="10"/>
      <c r="F1028" s="10"/>
      <c r="G1028" s="10"/>
      <c r="H1028" s="10"/>
      <c r="I1028" s="1" t="str">
        <f t="shared" si="45"/>
        <v/>
      </c>
      <c r="J1028" s="1" t="s">
        <v>35</v>
      </c>
      <c r="K1028" s="1" t="str">
        <f t="shared" si="46"/>
        <v/>
      </c>
      <c r="L1028" s="1" t="str">
        <f t="shared" si="47"/>
        <v/>
      </c>
      <c r="M1028" s="1">
        <f>IF(OR(Table1[[#This Row],[Std Nom]]="",Table1[[#This Row],[Std Read]]=""),0,Table1[[#This Row],[Std Nom]]-Table1[[#This Row],[Std Read]])</f>
        <v>0</v>
      </c>
      <c r="N1028" s="1">
        <f>IF(Calculations!$F$5="ACCREDITED 17025 WITH UNCERTAINTIES",$N$10,0)</f>
        <v>0</v>
      </c>
      <c r="O1028" s="1" t="str">
        <f>IFERROR(Table1[[#This Row],[Std Nom]]-(_xlfn.XLOOKUP(Table1[[#This Row],[Manufacturer]]&amp;" "&amp;Table1[[#This Row],[Model]],Table13[MFR &amp; MDL],Table13[Tolerance % CW ],"")/100*Table1[[#This Row],[Std Nom]]),"")</f>
        <v/>
      </c>
      <c r="P1028" s="1" t="str">
        <f>IFERROR(Table1[[#This Row],[Std Nom]]+(_xlfn.XLOOKUP(Table1[[#This Row],[Manufacturer]]&amp;" "&amp;Table1[[#This Row],[Model]],Table13[MFR &amp; MDL],Table13[Tolerance % CW ],"")/100*Table1[[#This Row],[Std Nom]]),"")</f>
        <v/>
      </c>
      <c r="Q1028" s="1" t="e">
        <f>Table1[[#This Row],[High Tol]]-Table1[[#This Row],[Low Tol]]</f>
        <v>#VALUE!</v>
      </c>
      <c r="R1028" s="1">
        <f>2*Table1[[#This Row],[Std Error]]</f>
        <v>0</v>
      </c>
      <c r="S1028" s="1" t="str">
        <f>IF(Table1[[#This Row],[High Tol]]="","N/A",IFERROR(ABS(Table1[[#This Row],[Tol Span]]/Table1[[#This Row],[Error Span]]),"N/A"))</f>
        <v>N/A</v>
      </c>
      <c r="T1028" s="1" t="str">
        <f>IF(OR(Table1[[#This Row],[Low Tol]]="",Table1[[#This Row],[High Tol]]=""),"Needs Analysis",IF(Table1[[#This Row],[Ratio]]&gt;=4,"Not Significant",IF(Table1[[#This Row],[Ratio]]&gt;=2,"Semi-Significant","Significant")))</f>
        <v>Needs Analysis</v>
      </c>
      <c r="W1028" s="1">
        <f>IF(Table1[[#This Row],[Cal Type]]&lt;&gt;"ACCREDITED 17025 WITH UNCERTAINTIES",0,"")</f>
        <v>0</v>
      </c>
      <c r="X1028" s="1" t="str">
        <f>IF(Table1[[#This Row],[DUT Read]]="","N/A",Table1[[#This Row],[Std Error]]+Table1[[#This Row],[DUT Read]]+Table1[[#This Row],[DUT Ucty]])</f>
        <v>N/A</v>
      </c>
      <c r="Y1028" s="1" t="str">
        <f>IF(Table1[[#This Row],[Std Read]]="","N/A",Table1[[#This Row],[Std Read]]+Table1[[#This Row],[Std Ucty]])</f>
        <v>N/A</v>
      </c>
      <c r="Z10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8" s="1" t="str">
        <f>IF(Table1[[#This Row],[Spec Type]]="","N/A",Table1[[#This Row],[Spec Type]])</f>
        <v>±</v>
      </c>
      <c r="AC1028" s="1" t="str">
        <f>IF(Table1[[#This Row],[Spec Type2]]="N/A","N/A",IF(AND(Table1[[#This Row],[DUT Adj Read]]&gt;=Table1[[#This Row],[Low Tol]],Table1[[#This Row],[DUT Adj Read]]&lt;=Table1[[#This Row],[High Tol]]),"Pass","Fail"))</f>
        <v>Fail</v>
      </c>
      <c r="AD1028" s="1" t="str">
        <f>IF(AND(Table1[[#This Row],[Spec Type2]]="N/A",Table1[[#This Row],[DUT Adj Read]]="N/A",Table1[[#This Row],[Std Adj Read]]="N/A"),"N/A",IF(Table1[[#This Row],[DUT Adj Read]]="N/A",IF(Table1[[#This Row],[Std Adj Read]]&gt;Table1[[#This Row],[Low Tol]],"Pass","Fail"),IF(Table1[[#This Row],[DUT Adj Read]]&gt;Table1[[#This Row],[Low Tol]],"Pass","Fail")))</f>
        <v>Pass</v>
      </c>
      <c r="AE1028" s="1" t="str">
        <f>IF(AND(Table1[[#This Row],[Spec Type2]]="N/A",Table1[[#This Row],[DUT Adj Read]]="N/A",Table1[[#This Row],[Std Adj Read]]="N/A"),"N/A",IF(Table1[[#This Row],[DUT Adj Read]]="N/A",IF(Table1[[#This Row],[Std Adj Read]]&lt;Table1[[#This Row],[High Tol]],"Pass","Fail"),IF(Table1[[#This Row],[DUT Adj Read]]&lt;Table1[[#This Row],[High Tol]],"Pass","Fail")))</f>
        <v>Fail</v>
      </c>
      <c r="AF1028" s="1" t="str">
        <f>IF(AND(Table1[[#This Row],[Spec Type2]]="N/A",Table1[[#This Row],[DUT Adj Read]]="N/A",Table1[[#This Row],[Std Adj Read]]="N/A"),"N/A",IF(Table1[[#This Row],[DUT Adj Read]]="N/A",IF(Table1[[#This Row],[Std Adj Read]]&gt;=Table1[[#This Row],[Low Tol]],"Pass","Fail"),IF(Table1[[#This Row],[DUT Adj Read]]&gt;=Table1[[#This Row],[Low Tol]],"Pass","Fail")))</f>
        <v>Pass</v>
      </c>
      <c r="AG1028" s="1" t="str">
        <f>IF(AND(Table1[[#This Row],[Spec Type2]]="N/A",Table1[[#This Row],[DUT Adj Read]]="N/A",Table1[[#This Row],[Std Adj Read]]="N/A"),"N/A",IF(Table1[[#This Row],[DUT Adj Read]]="N/A",IF(Table1[[#This Row],[Std Adj Read]]&lt;=Table1[[#This Row],[High Tol]],"Pass","Fail"),IF(Table1[[#This Row],[DUT Adj Read]]&lt;=Table1[[#This Row],[High Tol]],"Pass","Fail")))</f>
        <v>Fail</v>
      </c>
      <c r="AH10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8" s="1" t="b">
        <v>0</v>
      </c>
      <c r="AN1028" s="1" t="b">
        <v>0</v>
      </c>
      <c r="AO1028" s="1" t="b">
        <v>0</v>
      </c>
    </row>
    <row r="1029" spans="1:41" x14ac:dyDescent="0.25">
      <c r="A1029" s="10"/>
      <c r="B1029" s="10"/>
      <c r="C1029" s="10"/>
      <c r="D1029" s="10"/>
      <c r="E1029" s="10"/>
      <c r="F1029" s="10"/>
      <c r="G1029" s="10"/>
      <c r="H1029" s="10"/>
      <c r="I1029" s="1" t="str">
        <f t="shared" si="45"/>
        <v/>
      </c>
      <c r="J1029" s="1" t="s">
        <v>35</v>
      </c>
      <c r="K1029" s="1" t="str">
        <f t="shared" si="46"/>
        <v/>
      </c>
      <c r="L1029" s="1" t="str">
        <f t="shared" si="47"/>
        <v/>
      </c>
      <c r="M1029" s="1">
        <f>IF(OR(Table1[[#This Row],[Std Nom]]="",Table1[[#This Row],[Std Read]]=""),0,Table1[[#This Row],[Std Nom]]-Table1[[#This Row],[Std Read]])</f>
        <v>0</v>
      </c>
      <c r="N1029" s="1">
        <f>IF(Calculations!$F$5="ACCREDITED 17025 WITH UNCERTAINTIES",$N$10,0)</f>
        <v>0</v>
      </c>
      <c r="O1029" s="1" t="str">
        <f>IFERROR(Table1[[#This Row],[Std Nom]]-(_xlfn.XLOOKUP(Table1[[#This Row],[Manufacturer]]&amp;" "&amp;Table1[[#This Row],[Model]],Table13[MFR &amp; MDL],Table13[Tolerance % CW ],"")/100*Table1[[#This Row],[Std Nom]]),"")</f>
        <v/>
      </c>
      <c r="P1029" s="1" t="str">
        <f>IFERROR(Table1[[#This Row],[Std Nom]]+(_xlfn.XLOOKUP(Table1[[#This Row],[Manufacturer]]&amp;" "&amp;Table1[[#This Row],[Model]],Table13[MFR &amp; MDL],Table13[Tolerance % CW ],"")/100*Table1[[#This Row],[Std Nom]]),"")</f>
        <v/>
      </c>
      <c r="Q1029" s="1" t="e">
        <f>Table1[[#This Row],[High Tol]]-Table1[[#This Row],[Low Tol]]</f>
        <v>#VALUE!</v>
      </c>
      <c r="R1029" s="1">
        <f>2*Table1[[#This Row],[Std Error]]</f>
        <v>0</v>
      </c>
      <c r="S1029" s="1" t="str">
        <f>IF(Table1[[#This Row],[High Tol]]="","N/A",IFERROR(ABS(Table1[[#This Row],[Tol Span]]/Table1[[#This Row],[Error Span]]),"N/A"))</f>
        <v>N/A</v>
      </c>
      <c r="T1029" s="1" t="str">
        <f>IF(OR(Table1[[#This Row],[Low Tol]]="",Table1[[#This Row],[High Tol]]=""),"Needs Analysis",IF(Table1[[#This Row],[Ratio]]&gt;=4,"Not Significant",IF(Table1[[#This Row],[Ratio]]&gt;=2,"Semi-Significant","Significant")))</f>
        <v>Needs Analysis</v>
      </c>
      <c r="W1029" s="1">
        <f>IF(Table1[[#This Row],[Cal Type]]&lt;&gt;"ACCREDITED 17025 WITH UNCERTAINTIES",0,"")</f>
        <v>0</v>
      </c>
      <c r="X1029" s="1" t="str">
        <f>IF(Table1[[#This Row],[DUT Read]]="","N/A",Table1[[#This Row],[Std Error]]+Table1[[#This Row],[DUT Read]]+Table1[[#This Row],[DUT Ucty]])</f>
        <v>N/A</v>
      </c>
      <c r="Y1029" s="1" t="str">
        <f>IF(Table1[[#This Row],[Std Read]]="","N/A",Table1[[#This Row],[Std Read]]+Table1[[#This Row],[Std Ucty]])</f>
        <v>N/A</v>
      </c>
      <c r="Z10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9" s="1" t="str">
        <f>IF(Table1[[#This Row],[Spec Type]]="","N/A",Table1[[#This Row],[Spec Type]])</f>
        <v>±</v>
      </c>
      <c r="AC1029" s="1" t="str">
        <f>IF(Table1[[#This Row],[Spec Type2]]="N/A","N/A",IF(AND(Table1[[#This Row],[DUT Adj Read]]&gt;=Table1[[#This Row],[Low Tol]],Table1[[#This Row],[DUT Adj Read]]&lt;=Table1[[#This Row],[High Tol]]),"Pass","Fail"))</f>
        <v>Fail</v>
      </c>
      <c r="AD1029" s="1" t="str">
        <f>IF(AND(Table1[[#This Row],[Spec Type2]]="N/A",Table1[[#This Row],[DUT Adj Read]]="N/A",Table1[[#This Row],[Std Adj Read]]="N/A"),"N/A",IF(Table1[[#This Row],[DUT Adj Read]]="N/A",IF(Table1[[#This Row],[Std Adj Read]]&gt;Table1[[#This Row],[Low Tol]],"Pass","Fail"),IF(Table1[[#This Row],[DUT Adj Read]]&gt;Table1[[#This Row],[Low Tol]],"Pass","Fail")))</f>
        <v>Pass</v>
      </c>
      <c r="AE1029" s="1" t="str">
        <f>IF(AND(Table1[[#This Row],[Spec Type2]]="N/A",Table1[[#This Row],[DUT Adj Read]]="N/A",Table1[[#This Row],[Std Adj Read]]="N/A"),"N/A",IF(Table1[[#This Row],[DUT Adj Read]]="N/A",IF(Table1[[#This Row],[Std Adj Read]]&lt;Table1[[#This Row],[High Tol]],"Pass","Fail"),IF(Table1[[#This Row],[DUT Adj Read]]&lt;Table1[[#This Row],[High Tol]],"Pass","Fail")))</f>
        <v>Fail</v>
      </c>
      <c r="AF1029" s="1" t="str">
        <f>IF(AND(Table1[[#This Row],[Spec Type2]]="N/A",Table1[[#This Row],[DUT Adj Read]]="N/A",Table1[[#This Row],[Std Adj Read]]="N/A"),"N/A",IF(Table1[[#This Row],[DUT Adj Read]]="N/A",IF(Table1[[#This Row],[Std Adj Read]]&gt;=Table1[[#This Row],[Low Tol]],"Pass","Fail"),IF(Table1[[#This Row],[DUT Adj Read]]&gt;=Table1[[#This Row],[Low Tol]],"Pass","Fail")))</f>
        <v>Pass</v>
      </c>
      <c r="AG1029" s="1" t="str">
        <f>IF(AND(Table1[[#This Row],[Spec Type2]]="N/A",Table1[[#This Row],[DUT Adj Read]]="N/A",Table1[[#This Row],[Std Adj Read]]="N/A"),"N/A",IF(Table1[[#This Row],[DUT Adj Read]]="N/A",IF(Table1[[#This Row],[Std Adj Read]]&lt;=Table1[[#This Row],[High Tol]],"Pass","Fail"),IF(Table1[[#This Row],[DUT Adj Read]]&lt;=Table1[[#This Row],[High Tol]],"Pass","Fail")))</f>
        <v>Fail</v>
      </c>
      <c r="AH10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9" s="1" t="b">
        <v>0</v>
      </c>
      <c r="AN1029" s="1" t="b">
        <v>0</v>
      </c>
      <c r="AO1029" s="1" t="b">
        <v>0</v>
      </c>
    </row>
    <row r="1030" spans="1:41" x14ac:dyDescent="0.25">
      <c r="A1030" s="10"/>
      <c r="B1030" s="10"/>
      <c r="C1030" s="10"/>
      <c r="D1030" s="10"/>
      <c r="E1030" s="10"/>
      <c r="F1030" s="10"/>
      <c r="G1030" s="10"/>
      <c r="H1030" s="10"/>
      <c r="I1030" s="1" t="str">
        <f t="shared" si="45"/>
        <v/>
      </c>
      <c r="J1030" s="1" t="s">
        <v>35</v>
      </c>
      <c r="K1030" s="1" t="str">
        <f t="shared" si="46"/>
        <v/>
      </c>
      <c r="L1030" s="1" t="str">
        <f t="shared" si="47"/>
        <v/>
      </c>
      <c r="M1030" s="1">
        <f>IF(OR(Table1[[#This Row],[Std Nom]]="",Table1[[#This Row],[Std Read]]=""),0,Table1[[#This Row],[Std Nom]]-Table1[[#This Row],[Std Read]])</f>
        <v>0</v>
      </c>
      <c r="N1030" s="1">
        <f>IF(Calculations!$F$5="ACCREDITED 17025 WITH UNCERTAINTIES",$N$10,0)</f>
        <v>0</v>
      </c>
      <c r="O1030" s="1" t="str">
        <f>IFERROR(Table1[[#This Row],[Std Nom]]-(_xlfn.XLOOKUP(Table1[[#This Row],[Manufacturer]]&amp;" "&amp;Table1[[#This Row],[Model]],Table13[MFR &amp; MDL],Table13[Tolerance % CW ],"")/100*Table1[[#This Row],[Std Nom]]),"")</f>
        <v/>
      </c>
      <c r="P1030" s="1" t="str">
        <f>IFERROR(Table1[[#This Row],[Std Nom]]+(_xlfn.XLOOKUP(Table1[[#This Row],[Manufacturer]]&amp;" "&amp;Table1[[#This Row],[Model]],Table13[MFR &amp; MDL],Table13[Tolerance % CW ],"")/100*Table1[[#This Row],[Std Nom]]),"")</f>
        <v/>
      </c>
      <c r="Q1030" s="1" t="e">
        <f>Table1[[#This Row],[High Tol]]-Table1[[#This Row],[Low Tol]]</f>
        <v>#VALUE!</v>
      </c>
      <c r="R1030" s="1">
        <f>2*Table1[[#This Row],[Std Error]]</f>
        <v>0</v>
      </c>
      <c r="S1030" s="1" t="str">
        <f>IF(Table1[[#This Row],[High Tol]]="","N/A",IFERROR(ABS(Table1[[#This Row],[Tol Span]]/Table1[[#This Row],[Error Span]]),"N/A"))</f>
        <v>N/A</v>
      </c>
      <c r="T1030" s="1" t="str">
        <f>IF(OR(Table1[[#This Row],[Low Tol]]="",Table1[[#This Row],[High Tol]]=""),"Needs Analysis",IF(Table1[[#This Row],[Ratio]]&gt;=4,"Not Significant",IF(Table1[[#This Row],[Ratio]]&gt;=2,"Semi-Significant","Significant")))</f>
        <v>Needs Analysis</v>
      </c>
      <c r="W1030" s="1">
        <f>IF(Table1[[#This Row],[Cal Type]]&lt;&gt;"ACCREDITED 17025 WITH UNCERTAINTIES",0,"")</f>
        <v>0</v>
      </c>
      <c r="X1030" s="1" t="str">
        <f>IF(Table1[[#This Row],[DUT Read]]="","N/A",Table1[[#This Row],[Std Error]]+Table1[[#This Row],[DUT Read]]+Table1[[#This Row],[DUT Ucty]])</f>
        <v>N/A</v>
      </c>
      <c r="Y1030" s="1" t="str">
        <f>IF(Table1[[#This Row],[Std Read]]="","N/A",Table1[[#This Row],[Std Read]]+Table1[[#This Row],[Std Ucty]])</f>
        <v>N/A</v>
      </c>
      <c r="Z10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0" s="1" t="str">
        <f>IF(Table1[[#This Row],[Spec Type]]="","N/A",Table1[[#This Row],[Spec Type]])</f>
        <v>±</v>
      </c>
      <c r="AC1030" s="1" t="str">
        <f>IF(Table1[[#This Row],[Spec Type2]]="N/A","N/A",IF(AND(Table1[[#This Row],[DUT Adj Read]]&gt;=Table1[[#This Row],[Low Tol]],Table1[[#This Row],[DUT Adj Read]]&lt;=Table1[[#This Row],[High Tol]]),"Pass","Fail"))</f>
        <v>Fail</v>
      </c>
      <c r="AD1030" s="1" t="str">
        <f>IF(AND(Table1[[#This Row],[Spec Type2]]="N/A",Table1[[#This Row],[DUT Adj Read]]="N/A",Table1[[#This Row],[Std Adj Read]]="N/A"),"N/A",IF(Table1[[#This Row],[DUT Adj Read]]="N/A",IF(Table1[[#This Row],[Std Adj Read]]&gt;Table1[[#This Row],[Low Tol]],"Pass","Fail"),IF(Table1[[#This Row],[DUT Adj Read]]&gt;Table1[[#This Row],[Low Tol]],"Pass","Fail")))</f>
        <v>Pass</v>
      </c>
      <c r="AE1030" s="1" t="str">
        <f>IF(AND(Table1[[#This Row],[Spec Type2]]="N/A",Table1[[#This Row],[DUT Adj Read]]="N/A",Table1[[#This Row],[Std Adj Read]]="N/A"),"N/A",IF(Table1[[#This Row],[DUT Adj Read]]="N/A",IF(Table1[[#This Row],[Std Adj Read]]&lt;Table1[[#This Row],[High Tol]],"Pass","Fail"),IF(Table1[[#This Row],[DUT Adj Read]]&lt;Table1[[#This Row],[High Tol]],"Pass","Fail")))</f>
        <v>Fail</v>
      </c>
      <c r="AF1030" s="1" t="str">
        <f>IF(AND(Table1[[#This Row],[Spec Type2]]="N/A",Table1[[#This Row],[DUT Adj Read]]="N/A",Table1[[#This Row],[Std Adj Read]]="N/A"),"N/A",IF(Table1[[#This Row],[DUT Adj Read]]="N/A",IF(Table1[[#This Row],[Std Adj Read]]&gt;=Table1[[#This Row],[Low Tol]],"Pass","Fail"),IF(Table1[[#This Row],[DUT Adj Read]]&gt;=Table1[[#This Row],[Low Tol]],"Pass","Fail")))</f>
        <v>Pass</v>
      </c>
      <c r="AG1030" s="1" t="str">
        <f>IF(AND(Table1[[#This Row],[Spec Type2]]="N/A",Table1[[#This Row],[DUT Adj Read]]="N/A",Table1[[#This Row],[Std Adj Read]]="N/A"),"N/A",IF(Table1[[#This Row],[DUT Adj Read]]="N/A",IF(Table1[[#This Row],[Std Adj Read]]&lt;=Table1[[#This Row],[High Tol]],"Pass","Fail"),IF(Table1[[#This Row],[DUT Adj Read]]&lt;=Table1[[#This Row],[High Tol]],"Pass","Fail")))</f>
        <v>Fail</v>
      </c>
      <c r="AH10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0" s="1" t="b">
        <v>0</v>
      </c>
      <c r="AN1030" s="1" t="b">
        <v>0</v>
      </c>
      <c r="AO1030" s="1" t="b">
        <v>0</v>
      </c>
    </row>
    <row r="1031" spans="1:41" x14ac:dyDescent="0.25">
      <c r="A1031" s="10"/>
      <c r="B1031" s="10"/>
      <c r="C1031" s="10"/>
      <c r="D1031" s="10"/>
      <c r="E1031" s="10"/>
      <c r="F1031" s="10"/>
      <c r="G1031" s="10"/>
      <c r="H1031" s="10"/>
      <c r="I1031" s="1" t="str">
        <f t="shared" si="45"/>
        <v/>
      </c>
      <c r="J1031" s="1" t="s">
        <v>35</v>
      </c>
      <c r="K1031" s="1" t="str">
        <f t="shared" si="46"/>
        <v/>
      </c>
      <c r="L1031" s="1" t="str">
        <f t="shared" si="47"/>
        <v/>
      </c>
      <c r="M1031" s="1">
        <f>IF(OR(Table1[[#This Row],[Std Nom]]="",Table1[[#This Row],[Std Read]]=""),0,Table1[[#This Row],[Std Nom]]-Table1[[#This Row],[Std Read]])</f>
        <v>0</v>
      </c>
      <c r="N1031" s="1">
        <f>IF(Calculations!$F$5="ACCREDITED 17025 WITH UNCERTAINTIES",$N$10,0)</f>
        <v>0</v>
      </c>
      <c r="O1031" s="1" t="str">
        <f>IFERROR(Table1[[#This Row],[Std Nom]]-(_xlfn.XLOOKUP(Table1[[#This Row],[Manufacturer]]&amp;" "&amp;Table1[[#This Row],[Model]],Table13[MFR &amp; MDL],Table13[Tolerance % CW ],"")/100*Table1[[#This Row],[Std Nom]]),"")</f>
        <v/>
      </c>
      <c r="P1031" s="1" t="str">
        <f>IFERROR(Table1[[#This Row],[Std Nom]]+(_xlfn.XLOOKUP(Table1[[#This Row],[Manufacturer]]&amp;" "&amp;Table1[[#This Row],[Model]],Table13[MFR &amp; MDL],Table13[Tolerance % CW ],"")/100*Table1[[#This Row],[Std Nom]]),"")</f>
        <v/>
      </c>
      <c r="Q1031" s="1" t="e">
        <f>Table1[[#This Row],[High Tol]]-Table1[[#This Row],[Low Tol]]</f>
        <v>#VALUE!</v>
      </c>
      <c r="R1031" s="1">
        <f>2*Table1[[#This Row],[Std Error]]</f>
        <v>0</v>
      </c>
      <c r="S1031" s="1" t="str">
        <f>IF(Table1[[#This Row],[High Tol]]="","N/A",IFERROR(ABS(Table1[[#This Row],[Tol Span]]/Table1[[#This Row],[Error Span]]),"N/A"))</f>
        <v>N/A</v>
      </c>
      <c r="T1031" s="1" t="str">
        <f>IF(OR(Table1[[#This Row],[Low Tol]]="",Table1[[#This Row],[High Tol]]=""),"Needs Analysis",IF(Table1[[#This Row],[Ratio]]&gt;=4,"Not Significant",IF(Table1[[#This Row],[Ratio]]&gt;=2,"Semi-Significant","Significant")))</f>
        <v>Needs Analysis</v>
      </c>
      <c r="W1031" s="1">
        <f>IF(Table1[[#This Row],[Cal Type]]&lt;&gt;"ACCREDITED 17025 WITH UNCERTAINTIES",0,"")</f>
        <v>0</v>
      </c>
      <c r="X1031" s="1" t="str">
        <f>IF(Table1[[#This Row],[DUT Read]]="","N/A",Table1[[#This Row],[Std Error]]+Table1[[#This Row],[DUT Read]]+Table1[[#This Row],[DUT Ucty]])</f>
        <v>N/A</v>
      </c>
      <c r="Y1031" s="1" t="str">
        <f>IF(Table1[[#This Row],[Std Read]]="","N/A",Table1[[#This Row],[Std Read]]+Table1[[#This Row],[Std Ucty]])</f>
        <v>N/A</v>
      </c>
      <c r="Z10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1" s="1" t="str">
        <f>IF(Table1[[#This Row],[Spec Type]]="","N/A",Table1[[#This Row],[Spec Type]])</f>
        <v>±</v>
      </c>
      <c r="AC1031" s="1" t="str">
        <f>IF(Table1[[#This Row],[Spec Type2]]="N/A","N/A",IF(AND(Table1[[#This Row],[DUT Adj Read]]&gt;=Table1[[#This Row],[Low Tol]],Table1[[#This Row],[DUT Adj Read]]&lt;=Table1[[#This Row],[High Tol]]),"Pass","Fail"))</f>
        <v>Fail</v>
      </c>
      <c r="AD1031" s="1" t="str">
        <f>IF(AND(Table1[[#This Row],[Spec Type2]]="N/A",Table1[[#This Row],[DUT Adj Read]]="N/A",Table1[[#This Row],[Std Adj Read]]="N/A"),"N/A",IF(Table1[[#This Row],[DUT Adj Read]]="N/A",IF(Table1[[#This Row],[Std Adj Read]]&gt;Table1[[#This Row],[Low Tol]],"Pass","Fail"),IF(Table1[[#This Row],[DUT Adj Read]]&gt;Table1[[#This Row],[Low Tol]],"Pass","Fail")))</f>
        <v>Pass</v>
      </c>
      <c r="AE1031" s="1" t="str">
        <f>IF(AND(Table1[[#This Row],[Spec Type2]]="N/A",Table1[[#This Row],[DUT Adj Read]]="N/A",Table1[[#This Row],[Std Adj Read]]="N/A"),"N/A",IF(Table1[[#This Row],[DUT Adj Read]]="N/A",IF(Table1[[#This Row],[Std Adj Read]]&lt;Table1[[#This Row],[High Tol]],"Pass","Fail"),IF(Table1[[#This Row],[DUT Adj Read]]&lt;Table1[[#This Row],[High Tol]],"Pass","Fail")))</f>
        <v>Fail</v>
      </c>
      <c r="AF1031" s="1" t="str">
        <f>IF(AND(Table1[[#This Row],[Spec Type2]]="N/A",Table1[[#This Row],[DUT Adj Read]]="N/A",Table1[[#This Row],[Std Adj Read]]="N/A"),"N/A",IF(Table1[[#This Row],[DUT Adj Read]]="N/A",IF(Table1[[#This Row],[Std Adj Read]]&gt;=Table1[[#This Row],[Low Tol]],"Pass","Fail"),IF(Table1[[#This Row],[DUT Adj Read]]&gt;=Table1[[#This Row],[Low Tol]],"Pass","Fail")))</f>
        <v>Pass</v>
      </c>
      <c r="AG1031" s="1" t="str">
        <f>IF(AND(Table1[[#This Row],[Spec Type2]]="N/A",Table1[[#This Row],[DUT Adj Read]]="N/A",Table1[[#This Row],[Std Adj Read]]="N/A"),"N/A",IF(Table1[[#This Row],[DUT Adj Read]]="N/A",IF(Table1[[#This Row],[Std Adj Read]]&lt;=Table1[[#This Row],[High Tol]],"Pass","Fail"),IF(Table1[[#This Row],[DUT Adj Read]]&lt;=Table1[[#This Row],[High Tol]],"Pass","Fail")))</f>
        <v>Fail</v>
      </c>
      <c r="AH10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1" s="1" t="b">
        <v>0</v>
      </c>
      <c r="AN1031" s="1" t="b">
        <v>0</v>
      </c>
      <c r="AO1031" s="1" t="b">
        <v>0</v>
      </c>
    </row>
    <row r="1032" spans="1:41" x14ac:dyDescent="0.25">
      <c r="A1032" s="10"/>
      <c r="B1032" s="10"/>
      <c r="C1032" s="10"/>
      <c r="D1032" s="10"/>
      <c r="E1032" s="10"/>
      <c r="F1032" s="10"/>
      <c r="G1032" s="10"/>
      <c r="H1032" s="10"/>
      <c r="I1032" s="1" t="str">
        <f t="shared" si="45"/>
        <v/>
      </c>
      <c r="J1032" s="1" t="s">
        <v>35</v>
      </c>
      <c r="K1032" s="1" t="str">
        <f t="shared" si="46"/>
        <v/>
      </c>
      <c r="L1032" s="1" t="str">
        <f t="shared" si="47"/>
        <v/>
      </c>
      <c r="M1032" s="1">
        <f>IF(OR(Table1[[#This Row],[Std Nom]]="",Table1[[#This Row],[Std Read]]=""),0,Table1[[#This Row],[Std Nom]]-Table1[[#This Row],[Std Read]])</f>
        <v>0</v>
      </c>
      <c r="N1032" s="1">
        <f>IF(Calculations!$F$5="ACCREDITED 17025 WITH UNCERTAINTIES",$N$10,0)</f>
        <v>0</v>
      </c>
      <c r="O1032" s="1" t="str">
        <f>IFERROR(Table1[[#This Row],[Std Nom]]-(_xlfn.XLOOKUP(Table1[[#This Row],[Manufacturer]]&amp;" "&amp;Table1[[#This Row],[Model]],Table13[MFR &amp; MDL],Table13[Tolerance % CW ],"")/100*Table1[[#This Row],[Std Nom]]),"")</f>
        <v/>
      </c>
      <c r="P1032" s="1" t="str">
        <f>IFERROR(Table1[[#This Row],[Std Nom]]+(_xlfn.XLOOKUP(Table1[[#This Row],[Manufacturer]]&amp;" "&amp;Table1[[#This Row],[Model]],Table13[MFR &amp; MDL],Table13[Tolerance % CW ],"")/100*Table1[[#This Row],[Std Nom]]),"")</f>
        <v/>
      </c>
      <c r="Q1032" s="1" t="e">
        <f>Table1[[#This Row],[High Tol]]-Table1[[#This Row],[Low Tol]]</f>
        <v>#VALUE!</v>
      </c>
      <c r="R1032" s="1">
        <f>2*Table1[[#This Row],[Std Error]]</f>
        <v>0</v>
      </c>
      <c r="S1032" s="1" t="str">
        <f>IF(Table1[[#This Row],[High Tol]]="","N/A",IFERROR(ABS(Table1[[#This Row],[Tol Span]]/Table1[[#This Row],[Error Span]]),"N/A"))</f>
        <v>N/A</v>
      </c>
      <c r="T1032" s="1" t="str">
        <f>IF(OR(Table1[[#This Row],[Low Tol]]="",Table1[[#This Row],[High Tol]]=""),"Needs Analysis",IF(Table1[[#This Row],[Ratio]]&gt;=4,"Not Significant",IF(Table1[[#This Row],[Ratio]]&gt;=2,"Semi-Significant","Significant")))</f>
        <v>Needs Analysis</v>
      </c>
      <c r="W1032" s="1">
        <f>IF(Table1[[#This Row],[Cal Type]]&lt;&gt;"ACCREDITED 17025 WITH UNCERTAINTIES",0,"")</f>
        <v>0</v>
      </c>
      <c r="X1032" s="1" t="str">
        <f>IF(Table1[[#This Row],[DUT Read]]="","N/A",Table1[[#This Row],[Std Error]]+Table1[[#This Row],[DUT Read]]+Table1[[#This Row],[DUT Ucty]])</f>
        <v>N/A</v>
      </c>
      <c r="Y1032" s="1" t="str">
        <f>IF(Table1[[#This Row],[Std Read]]="","N/A",Table1[[#This Row],[Std Read]]+Table1[[#This Row],[Std Ucty]])</f>
        <v>N/A</v>
      </c>
      <c r="Z10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2" s="1" t="str">
        <f>IF(Table1[[#This Row],[Spec Type]]="","N/A",Table1[[#This Row],[Spec Type]])</f>
        <v>±</v>
      </c>
      <c r="AC1032" s="1" t="str">
        <f>IF(Table1[[#This Row],[Spec Type2]]="N/A","N/A",IF(AND(Table1[[#This Row],[DUT Adj Read]]&gt;=Table1[[#This Row],[Low Tol]],Table1[[#This Row],[DUT Adj Read]]&lt;=Table1[[#This Row],[High Tol]]),"Pass","Fail"))</f>
        <v>Fail</v>
      </c>
      <c r="AD1032" s="1" t="str">
        <f>IF(AND(Table1[[#This Row],[Spec Type2]]="N/A",Table1[[#This Row],[DUT Adj Read]]="N/A",Table1[[#This Row],[Std Adj Read]]="N/A"),"N/A",IF(Table1[[#This Row],[DUT Adj Read]]="N/A",IF(Table1[[#This Row],[Std Adj Read]]&gt;Table1[[#This Row],[Low Tol]],"Pass","Fail"),IF(Table1[[#This Row],[DUT Adj Read]]&gt;Table1[[#This Row],[Low Tol]],"Pass","Fail")))</f>
        <v>Pass</v>
      </c>
      <c r="AE1032" s="1" t="str">
        <f>IF(AND(Table1[[#This Row],[Spec Type2]]="N/A",Table1[[#This Row],[DUT Adj Read]]="N/A",Table1[[#This Row],[Std Adj Read]]="N/A"),"N/A",IF(Table1[[#This Row],[DUT Adj Read]]="N/A",IF(Table1[[#This Row],[Std Adj Read]]&lt;Table1[[#This Row],[High Tol]],"Pass","Fail"),IF(Table1[[#This Row],[DUT Adj Read]]&lt;Table1[[#This Row],[High Tol]],"Pass","Fail")))</f>
        <v>Fail</v>
      </c>
      <c r="AF1032" s="1" t="str">
        <f>IF(AND(Table1[[#This Row],[Spec Type2]]="N/A",Table1[[#This Row],[DUT Adj Read]]="N/A",Table1[[#This Row],[Std Adj Read]]="N/A"),"N/A",IF(Table1[[#This Row],[DUT Adj Read]]="N/A",IF(Table1[[#This Row],[Std Adj Read]]&gt;=Table1[[#This Row],[Low Tol]],"Pass","Fail"),IF(Table1[[#This Row],[DUT Adj Read]]&gt;=Table1[[#This Row],[Low Tol]],"Pass","Fail")))</f>
        <v>Pass</v>
      </c>
      <c r="AG1032" s="1" t="str">
        <f>IF(AND(Table1[[#This Row],[Spec Type2]]="N/A",Table1[[#This Row],[DUT Adj Read]]="N/A",Table1[[#This Row],[Std Adj Read]]="N/A"),"N/A",IF(Table1[[#This Row],[DUT Adj Read]]="N/A",IF(Table1[[#This Row],[Std Adj Read]]&lt;=Table1[[#This Row],[High Tol]],"Pass","Fail"),IF(Table1[[#This Row],[DUT Adj Read]]&lt;=Table1[[#This Row],[High Tol]],"Pass","Fail")))</f>
        <v>Fail</v>
      </c>
      <c r="AH10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2" s="1" t="b">
        <v>0</v>
      </c>
      <c r="AN1032" s="1" t="b">
        <v>0</v>
      </c>
      <c r="AO1032" s="1" t="b">
        <v>0</v>
      </c>
    </row>
    <row r="1033" spans="1:41" x14ac:dyDescent="0.25">
      <c r="A1033" s="10"/>
      <c r="B1033" s="10"/>
      <c r="C1033" s="10"/>
      <c r="D1033" s="10"/>
      <c r="E1033" s="10"/>
      <c r="F1033" s="10"/>
      <c r="G1033" s="10"/>
      <c r="H1033" s="10"/>
      <c r="I1033" s="1" t="str">
        <f t="shared" si="45"/>
        <v/>
      </c>
      <c r="J1033" s="1" t="s">
        <v>35</v>
      </c>
      <c r="K1033" s="1" t="str">
        <f t="shared" si="46"/>
        <v/>
      </c>
      <c r="L1033" s="1" t="str">
        <f t="shared" si="47"/>
        <v/>
      </c>
      <c r="M1033" s="1">
        <f>IF(OR(Table1[[#This Row],[Std Nom]]="",Table1[[#This Row],[Std Read]]=""),0,Table1[[#This Row],[Std Nom]]-Table1[[#This Row],[Std Read]])</f>
        <v>0</v>
      </c>
      <c r="N1033" s="1">
        <f>IF(Calculations!$F$5="ACCREDITED 17025 WITH UNCERTAINTIES",$N$10,0)</f>
        <v>0</v>
      </c>
      <c r="O1033" s="1" t="str">
        <f>IFERROR(Table1[[#This Row],[Std Nom]]-(_xlfn.XLOOKUP(Table1[[#This Row],[Manufacturer]]&amp;" "&amp;Table1[[#This Row],[Model]],Table13[MFR &amp; MDL],Table13[Tolerance % CW ],"")/100*Table1[[#This Row],[Std Nom]]),"")</f>
        <v/>
      </c>
      <c r="P1033" s="1" t="str">
        <f>IFERROR(Table1[[#This Row],[Std Nom]]+(_xlfn.XLOOKUP(Table1[[#This Row],[Manufacturer]]&amp;" "&amp;Table1[[#This Row],[Model]],Table13[MFR &amp; MDL],Table13[Tolerance % CW ],"")/100*Table1[[#This Row],[Std Nom]]),"")</f>
        <v/>
      </c>
      <c r="Q1033" s="1" t="e">
        <f>Table1[[#This Row],[High Tol]]-Table1[[#This Row],[Low Tol]]</f>
        <v>#VALUE!</v>
      </c>
      <c r="R1033" s="1">
        <f>2*Table1[[#This Row],[Std Error]]</f>
        <v>0</v>
      </c>
      <c r="S1033" s="1" t="str">
        <f>IF(Table1[[#This Row],[High Tol]]="","N/A",IFERROR(ABS(Table1[[#This Row],[Tol Span]]/Table1[[#This Row],[Error Span]]),"N/A"))</f>
        <v>N/A</v>
      </c>
      <c r="T1033" s="1" t="str">
        <f>IF(OR(Table1[[#This Row],[Low Tol]]="",Table1[[#This Row],[High Tol]]=""),"Needs Analysis",IF(Table1[[#This Row],[Ratio]]&gt;=4,"Not Significant",IF(Table1[[#This Row],[Ratio]]&gt;=2,"Semi-Significant","Significant")))</f>
        <v>Needs Analysis</v>
      </c>
      <c r="W1033" s="1">
        <f>IF(Table1[[#This Row],[Cal Type]]&lt;&gt;"ACCREDITED 17025 WITH UNCERTAINTIES",0,"")</f>
        <v>0</v>
      </c>
      <c r="X1033" s="1" t="str">
        <f>IF(Table1[[#This Row],[DUT Read]]="","N/A",Table1[[#This Row],[Std Error]]+Table1[[#This Row],[DUT Read]]+Table1[[#This Row],[DUT Ucty]])</f>
        <v>N/A</v>
      </c>
      <c r="Y1033" s="1" t="str">
        <f>IF(Table1[[#This Row],[Std Read]]="","N/A",Table1[[#This Row],[Std Read]]+Table1[[#This Row],[Std Ucty]])</f>
        <v>N/A</v>
      </c>
      <c r="Z10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3" s="1" t="str">
        <f>IF(Table1[[#This Row],[Spec Type]]="","N/A",Table1[[#This Row],[Spec Type]])</f>
        <v>±</v>
      </c>
      <c r="AC1033" s="1" t="str">
        <f>IF(Table1[[#This Row],[Spec Type2]]="N/A","N/A",IF(AND(Table1[[#This Row],[DUT Adj Read]]&gt;=Table1[[#This Row],[Low Tol]],Table1[[#This Row],[DUT Adj Read]]&lt;=Table1[[#This Row],[High Tol]]),"Pass","Fail"))</f>
        <v>Fail</v>
      </c>
      <c r="AD1033" s="1" t="str">
        <f>IF(AND(Table1[[#This Row],[Spec Type2]]="N/A",Table1[[#This Row],[DUT Adj Read]]="N/A",Table1[[#This Row],[Std Adj Read]]="N/A"),"N/A",IF(Table1[[#This Row],[DUT Adj Read]]="N/A",IF(Table1[[#This Row],[Std Adj Read]]&gt;Table1[[#This Row],[Low Tol]],"Pass","Fail"),IF(Table1[[#This Row],[DUT Adj Read]]&gt;Table1[[#This Row],[Low Tol]],"Pass","Fail")))</f>
        <v>Pass</v>
      </c>
      <c r="AE1033" s="1" t="str">
        <f>IF(AND(Table1[[#This Row],[Spec Type2]]="N/A",Table1[[#This Row],[DUT Adj Read]]="N/A",Table1[[#This Row],[Std Adj Read]]="N/A"),"N/A",IF(Table1[[#This Row],[DUT Adj Read]]="N/A",IF(Table1[[#This Row],[Std Adj Read]]&lt;Table1[[#This Row],[High Tol]],"Pass","Fail"),IF(Table1[[#This Row],[DUT Adj Read]]&lt;Table1[[#This Row],[High Tol]],"Pass","Fail")))</f>
        <v>Fail</v>
      </c>
      <c r="AF1033" s="1" t="str">
        <f>IF(AND(Table1[[#This Row],[Spec Type2]]="N/A",Table1[[#This Row],[DUT Adj Read]]="N/A",Table1[[#This Row],[Std Adj Read]]="N/A"),"N/A",IF(Table1[[#This Row],[DUT Adj Read]]="N/A",IF(Table1[[#This Row],[Std Adj Read]]&gt;=Table1[[#This Row],[Low Tol]],"Pass","Fail"),IF(Table1[[#This Row],[DUT Adj Read]]&gt;=Table1[[#This Row],[Low Tol]],"Pass","Fail")))</f>
        <v>Pass</v>
      </c>
      <c r="AG1033" s="1" t="str">
        <f>IF(AND(Table1[[#This Row],[Spec Type2]]="N/A",Table1[[#This Row],[DUT Adj Read]]="N/A",Table1[[#This Row],[Std Adj Read]]="N/A"),"N/A",IF(Table1[[#This Row],[DUT Adj Read]]="N/A",IF(Table1[[#This Row],[Std Adj Read]]&lt;=Table1[[#This Row],[High Tol]],"Pass","Fail"),IF(Table1[[#This Row],[DUT Adj Read]]&lt;=Table1[[#This Row],[High Tol]],"Pass","Fail")))</f>
        <v>Fail</v>
      </c>
      <c r="AH10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3" s="1" t="b">
        <v>0</v>
      </c>
      <c r="AN1033" s="1" t="b">
        <v>0</v>
      </c>
      <c r="AO1033" s="1" t="b">
        <v>0</v>
      </c>
    </row>
    <row r="1034" spans="1:41" x14ac:dyDescent="0.25">
      <c r="A1034" s="10"/>
      <c r="B1034" s="10"/>
      <c r="C1034" s="10"/>
      <c r="D1034" s="10"/>
      <c r="E1034" s="10"/>
      <c r="F1034" s="10"/>
      <c r="G1034" s="10"/>
      <c r="H1034" s="10"/>
      <c r="I1034" s="1" t="str">
        <f t="shared" si="45"/>
        <v/>
      </c>
      <c r="J1034" s="1" t="s">
        <v>35</v>
      </c>
      <c r="K1034" s="1" t="str">
        <f t="shared" si="46"/>
        <v/>
      </c>
      <c r="L1034" s="1" t="str">
        <f t="shared" si="47"/>
        <v/>
      </c>
      <c r="M1034" s="1">
        <f>IF(OR(Table1[[#This Row],[Std Nom]]="",Table1[[#This Row],[Std Read]]=""),0,Table1[[#This Row],[Std Nom]]-Table1[[#This Row],[Std Read]])</f>
        <v>0</v>
      </c>
      <c r="N1034" s="1">
        <f>IF(Calculations!$F$5="ACCREDITED 17025 WITH UNCERTAINTIES",$N$10,0)</f>
        <v>0</v>
      </c>
      <c r="O1034" s="1" t="str">
        <f>IFERROR(Table1[[#This Row],[Std Nom]]-(_xlfn.XLOOKUP(Table1[[#This Row],[Manufacturer]]&amp;" "&amp;Table1[[#This Row],[Model]],Table13[MFR &amp; MDL],Table13[Tolerance % CW ],"")/100*Table1[[#This Row],[Std Nom]]),"")</f>
        <v/>
      </c>
      <c r="P1034" s="1" t="str">
        <f>IFERROR(Table1[[#This Row],[Std Nom]]+(_xlfn.XLOOKUP(Table1[[#This Row],[Manufacturer]]&amp;" "&amp;Table1[[#This Row],[Model]],Table13[MFR &amp; MDL],Table13[Tolerance % CW ],"")/100*Table1[[#This Row],[Std Nom]]),"")</f>
        <v/>
      </c>
      <c r="Q1034" s="1" t="e">
        <f>Table1[[#This Row],[High Tol]]-Table1[[#This Row],[Low Tol]]</f>
        <v>#VALUE!</v>
      </c>
      <c r="R1034" s="1">
        <f>2*Table1[[#This Row],[Std Error]]</f>
        <v>0</v>
      </c>
      <c r="S1034" s="1" t="str">
        <f>IF(Table1[[#This Row],[High Tol]]="","N/A",IFERROR(ABS(Table1[[#This Row],[Tol Span]]/Table1[[#This Row],[Error Span]]),"N/A"))</f>
        <v>N/A</v>
      </c>
      <c r="T1034" s="1" t="str">
        <f>IF(OR(Table1[[#This Row],[Low Tol]]="",Table1[[#This Row],[High Tol]]=""),"Needs Analysis",IF(Table1[[#This Row],[Ratio]]&gt;=4,"Not Significant",IF(Table1[[#This Row],[Ratio]]&gt;=2,"Semi-Significant","Significant")))</f>
        <v>Needs Analysis</v>
      </c>
      <c r="W1034" s="1">
        <f>IF(Table1[[#This Row],[Cal Type]]&lt;&gt;"ACCREDITED 17025 WITH UNCERTAINTIES",0,"")</f>
        <v>0</v>
      </c>
      <c r="X1034" s="1" t="str">
        <f>IF(Table1[[#This Row],[DUT Read]]="","N/A",Table1[[#This Row],[Std Error]]+Table1[[#This Row],[DUT Read]]+Table1[[#This Row],[DUT Ucty]])</f>
        <v>N/A</v>
      </c>
      <c r="Y1034" s="1" t="str">
        <f>IF(Table1[[#This Row],[Std Read]]="","N/A",Table1[[#This Row],[Std Read]]+Table1[[#This Row],[Std Ucty]])</f>
        <v>N/A</v>
      </c>
      <c r="Z10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4" s="1" t="str">
        <f>IF(Table1[[#This Row],[Spec Type]]="","N/A",Table1[[#This Row],[Spec Type]])</f>
        <v>±</v>
      </c>
      <c r="AC1034" s="1" t="str">
        <f>IF(Table1[[#This Row],[Spec Type2]]="N/A","N/A",IF(AND(Table1[[#This Row],[DUT Adj Read]]&gt;=Table1[[#This Row],[Low Tol]],Table1[[#This Row],[DUT Adj Read]]&lt;=Table1[[#This Row],[High Tol]]),"Pass","Fail"))</f>
        <v>Fail</v>
      </c>
      <c r="AD1034" s="1" t="str">
        <f>IF(AND(Table1[[#This Row],[Spec Type2]]="N/A",Table1[[#This Row],[DUT Adj Read]]="N/A",Table1[[#This Row],[Std Adj Read]]="N/A"),"N/A",IF(Table1[[#This Row],[DUT Adj Read]]="N/A",IF(Table1[[#This Row],[Std Adj Read]]&gt;Table1[[#This Row],[Low Tol]],"Pass","Fail"),IF(Table1[[#This Row],[DUT Adj Read]]&gt;Table1[[#This Row],[Low Tol]],"Pass","Fail")))</f>
        <v>Pass</v>
      </c>
      <c r="AE1034" s="1" t="str">
        <f>IF(AND(Table1[[#This Row],[Spec Type2]]="N/A",Table1[[#This Row],[DUT Adj Read]]="N/A",Table1[[#This Row],[Std Adj Read]]="N/A"),"N/A",IF(Table1[[#This Row],[DUT Adj Read]]="N/A",IF(Table1[[#This Row],[Std Adj Read]]&lt;Table1[[#This Row],[High Tol]],"Pass","Fail"),IF(Table1[[#This Row],[DUT Adj Read]]&lt;Table1[[#This Row],[High Tol]],"Pass","Fail")))</f>
        <v>Fail</v>
      </c>
      <c r="AF1034" s="1" t="str">
        <f>IF(AND(Table1[[#This Row],[Spec Type2]]="N/A",Table1[[#This Row],[DUT Adj Read]]="N/A",Table1[[#This Row],[Std Adj Read]]="N/A"),"N/A",IF(Table1[[#This Row],[DUT Adj Read]]="N/A",IF(Table1[[#This Row],[Std Adj Read]]&gt;=Table1[[#This Row],[Low Tol]],"Pass","Fail"),IF(Table1[[#This Row],[DUT Adj Read]]&gt;=Table1[[#This Row],[Low Tol]],"Pass","Fail")))</f>
        <v>Pass</v>
      </c>
      <c r="AG1034" s="1" t="str">
        <f>IF(AND(Table1[[#This Row],[Spec Type2]]="N/A",Table1[[#This Row],[DUT Adj Read]]="N/A",Table1[[#This Row],[Std Adj Read]]="N/A"),"N/A",IF(Table1[[#This Row],[DUT Adj Read]]="N/A",IF(Table1[[#This Row],[Std Adj Read]]&lt;=Table1[[#This Row],[High Tol]],"Pass","Fail"),IF(Table1[[#This Row],[DUT Adj Read]]&lt;=Table1[[#This Row],[High Tol]],"Pass","Fail")))</f>
        <v>Fail</v>
      </c>
      <c r="AH10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4" s="1" t="b">
        <v>0</v>
      </c>
      <c r="AN1034" s="1" t="b">
        <v>0</v>
      </c>
      <c r="AO1034" s="1" t="b">
        <v>0</v>
      </c>
    </row>
    <row r="1035" spans="1:41" x14ac:dyDescent="0.25">
      <c r="A1035" s="10"/>
      <c r="B1035" s="10"/>
      <c r="C1035" s="10"/>
      <c r="D1035" s="10"/>
      <c r="E1035" s="10"/>
      <c r="F1035" s="10"/>
      <c r="G1035" s="10"/>
      <c r="H1035" s="10"/>
      <c r="I1035" s="1" t="str">
        <f t="shared" ref="I1035:I1098" si="48">IF($I$10="","",$I$10)</f>
        <v/>
      </c>
      <c r="J1035" s="1" t="s">
        <v>35</v>
      </c>
      <c r="K1035" s="1" t="str">
        <f t="shared" ref="K1035:K1098" si="49">IF($K$10="","",$K$10)</f>
        <v/>
      </c>
      <c r="L1035" s="1" t="str">
        <f t="shared" ref="L1035:L1098" si="50">IF($L$10="","",$L$10)</f>
        <v/>
      </c>
      <c r="M1035" s="1">
        <f>IF(OR(Table1[[#This Row],[Std Nom]]="",Table1[[#This Row],[Std Read]]=""),0,Table1[[#This Row],[Std Nom]]-Table1[[#This Row],[Std Read]])</f>
        <v>0</v>
      </c>
      <c r="N1035" s="1">
        <f>IF(Calculations!$F$5="ACCREDITED 17025 WITH UNCERTAINTIES",$N$10,0)</f>
        <v>0</v>
      </c>
      <c r="O1035" s="1" t="str">
        <f>IFERROR(Table1[[#This Row],[Std Nom]]-(_xlfn.XLOOKUP(Table1[[#This Row],[Manufacturer]]&amp;" "&amp;Table1[[#This Row],[Model]],Table13[MFR &amp; MDL],Table13[Tolerance % CW ],"")/100*Table1[[#This Row],[Std Nom]]),"")</f>
        <v/>
      </c>
      <c r="P1035" s="1" t="str">
        <f>IFERROR(Table1[[#This Row],[Std Nom]]+(_xlfn.XLOOKUP(Table1[[#This Row],[Manufacturer]]&amp;" "&amp;Table1[[#This Row],[Model]],Table13[MFR &amp; MDL],Table13[Tolerance % CW ],"")/100*Table1[[#This Row],[Std Nom]]),"")</f>
        <v/>
      </c>
      <c r="Q1035" s="1" t="e">
        <f>Table1[[#This Row],[High Tol]]-Table1[[#This Row],[Low Tol]]</f>
        <v>#VALUE!</v>
      </c>
      <c r="R1035" s="1">
        <f>2*Table1[[#This Row],[Std Error]]</f>
        <v>0</v>
      </c>
      <c r="S1035" s="1" t="str">
        <f>IF(Table1[[#This Row],[High Tol]]="","N/A",IFERROR(ABS(Table1[[#This Row],[Tol Span]]/Table1[[#This Row],[Error Span]]),"N/A"))</f>
        <v>N/A</v>
      </c>
      <c r="T1035" s="1" t="str">
        <f>IF(OR(Table1[[#This Row],[Low Tol]]="",Table1[[#This Row],[High Tol]]=""),"Needs Analysis",IF(Table1[[#This Row],[Ratio]]&gt;=4,"Not Significant",IF(Table1[[#This Row],[Ratio]]&gt;=2,"Semi-Significant","Significant")))</f>
        <v>Needs Analysis</v>
      </c>
      <c r="W1035" s="1">
        <f>IF(Table1[[#This Row],[Cal Type]]&lt;&gt;"ACCREDITED 17025 WITH UNCERTAINTIES",0,"")</f>
        <v>0</v>
      </c>
      <c r="X1035" s="1" t="str">
        <f>IF(Table1[[#This Row],[DUT Read]]="","N/A",Table1[[#This Row],[Std Error]]+Table1[[#This Row],[DUT Read]]+Table1[[#This Row],[DUT Ucty]])</f>
        <v>N/A</v>
      </c>
      <c r="Y1035" s="1" t="str">
        <f>IF(Table1[[#This Row],[Std Read]]="","N/A",Table1[[#This Row],[Std Read]]+Table1[[#This Row],[Std Ucty]])</f>
        <v>N/A</v>
      </c>
      <c r="Z10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5" s="1" t="str">
        <f>IF(Table1[[#This Row],[Spec Type]]="","N/A",Table1[[#This Row],[Spec Type]])</f>
        <v>±</v>
      </c>
      <c r="AC1035" s="1" t="str">
        <f>IF(Table1[[#This Row],[Spec Type2]]="N/A","N/A",IF(AND(Table1[[#This Row],[DUT Adj Read]]&gt;=Table1[[#This Row],[Low Tol]],Table1[[#This Row],[DUT Adj Read]]&lt;=Table1[[#This Row],[High Tol]]),"Pass","Fail"))</f>
        <v>Fail</v>
      </c>
      <c r="AD1035" s="1" t="str">
        <f>IF(AND(Table1[[#This Row],[Spec Type2]]="N/A",Table1[[#This Row],[DUT Adj Read]]="N/A",Table1[[#This Row],[Std Adj Read]]="N/A"),"N/A",IF(Table1[[#This Row],[DUT Adj Read]]="N/A",IF(Table1[[#This Row],[Std Adj Read]]&gt;Table1[[#This Row],[Low Tol]],"Pass","Fail"),IF(Table1[[#This Row],[DUT Adj Read]]&gt;Table1[[#This Row],[Low Tol]],"Pass","Fail")))</f>
        <v>Pass</v>
      </c>
      <c r="AE1035" s="1" t="str">
        <f>IF(AND(Table1[[#This Row],[Spec Type2]]="N/A",Table1[[#This Row],[DUT Adj Read]]="N/A",Table1[[#This Row],[Std Adj Read]]="N/A"),"N/A",IF(Table1[[#This Row],[DUT Adj Read]]="N/A",IF(Table1[[#This Row],[Std Adj Read]]&lt;Table1[[#This Row],[High Tol]],"Pass","Fail"),IF(Table1[[#This Row],[DUT Adj Read]]&lt;Table1[[#This Row],[High Tol]],"Pass","Fail")))</f>
        <v>Fail</v>
      </c>
      <c r="AF1035" s="1" t="str">
        <f>IF(AND(Table1[[#This Row],[Spec Type2]]="N/A",Table1[[#This Row],[DUT Adj Read]]="N/A",Table1[[#This Row],[Std Adj Read]]="N/A"),"N/A",IF(Table1[[#This Row],[DUT Adj Read]]="N/A",IF(Table1[[#This Row],[Std Adj Read]]&gt;=Table1[[#This Row],[Low Tol]],"Pass","Fail"),IF(Table1[[#This Row],[DUT Adj Read]]&gt;=Table1[[#This Row],[Low Tol]],"Pass","Fail")))</f>
        <v>Pass</v>
      </c>
      <c r="AG1035" s="1" t="str">
        <f>IF(AND(Table1[[#This Row],[Spec Type2]]="N/A",Table1[[#This Row],[DUT Adj Read]]="N/A",Table1[[#This Row],[Std Adj Read]]="N/A"),"N/A",IF(Table1[[#This Row],[DUT Adj Read]]="N/A",IF(Table1[[#This Row],[Std Adj Read]]&lt;=Table1[[#This Row],[High Tol]],"Pass","Fail"),IF(Table1[[#This Row],[DUT Adj Read]]&lt;=Table1[[#This Row],[High Tol]],"Pass","Fail")))</f>
        <v>Fail</v>
      </c>
      <c r="AH10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5" s="1" t="b">
        <v>0</v>
      </c>
      <c r="AN1035" s="1" t="b">
        <v>0</v>
      </c>
      <c r="AO1035" s="1" t="b">
        <v>0</v>
      </c>
    </row>
    <row r="1036" spans="1:41" x14ac:dyDescent="0.25">
      <c r="A1036" s="10"/>
      <c r="B1036" s="10"/>
      <c r="C1036" s="10"/>
      <c r="D1036" s="10"/>
      <c r="E1036" s="10"/>
      <c r="F1036" s="10"/>
      <c r="G1036" s="10"/>
      <c r="H1036" s="10"/>
      <c r="I1036" s="1" t="str">
        <f t="shared" si="48"/>
        <v/>
      </c>
      <c r="J1036" s="1" t="s">
        <v>35</v>
      </c>
      <c r="K1036" s="1" t="str">
        <f t="shared" si="49"/>
        <v/>
      </c>
      <c r="L1036" s="1" t="str">
        <f t="shared" si="50"/>
        <v/>
      </c>
      <c r="M1036" s="1">
        <f>IF(OR(Table1[[#This Row],[Std Nom]]="",Table1[[#This Row],[Std Read]]=""),0,Table1[[#This Row],[Std Nom]]-Table1[[#This Row],[Std Read]])</f>
        <v>0</v>
      </c>
      <c r="N1036" s="1">
        <f>IF(Calculations!$F$5="ACCREDITED 17025 WITH UNCERTAINTIES",$N$10,0)</f>
        <v>0</v>
      </c>
      <c r="O1036" s="1" t="str">
        <f>IFERROR(Table1[[#This Row],[Std Nom]]-(_xlfn.XLOOKUP(Table1[[#This Row],[Manufacturer]]&amp;" "&amp;Table1[[#This Row],[Model]],Table13[MFR &amp; MDL],Table13[Tolerance % CW ],"")/100*Table1[[#This Row],[Std Nom]]),"")</f>
        <v/>
      </c>
      <c r="P1036" s="1" t="str">
        <f>IFERROR(Table1[[#This Row],[Std Nom]]+(_xlfn.XLOOKUP(Table1[[#This Row],[Manufacturer]]&amp;" "&amp;Table1[[#This Row],[Model]],Table13[MFR &amp; MDL],Table13[Tolerance % CW ],"")/100*Table1[[#This Row],[Std Nom]]),"")</f>
        <v/>
      </c>
      <c r="Q1036" s="1" t="e">
        <f>Table1[[#This Row],[High Tol]]-Table1[[#This Row],[Low Tol]]</f>
        <v>#VALUE!</v>
      </c>
      <c r="R1036" s="1">
        <f>2*Table1[[#This Row],[Std Error]]</f>
        <v>0</v>
      </c>
      <c r="S1036" s="1" t="str">
        <f>IF(Table1[[#This Row],[High Tol]]="","N/A",IFERROR(ABS(Table1[[#This Row],[Tol Span]]/Table1[[#This Row],[Error Span]]),"N/A"))</f>
        <v>N/A</v>
      </c>
      <c r="T1036" s="1" t="str">
        <f>IF(OR(Table1[[#This Row],[Low Tol]]="",Table1[[#This Row],[High Tol]]=""),"Needs Analysis",IF(Table1[[#This Row],[Ratio]]&gt;=4,"Not Significant",IF(Table1[[#This Row],[Ratio]]&gt;=2,"Semi-Significant","Significant")))</f>
        <v>Needs Analysis</v>
      </c>
      <c r="W1036" s="1">
        <f>IF(Table1[[#This Row],[Cal Type]]&lt;&gt;"ACCREDITED 17025 WITH UNCERTAINTIES",0,"")</f>
        <v>0</v>
      </c>
      <c r="X1036" s="1" t="str">
        <f>IF(Table1[[#This Row],[DUT Read]]="","N/A",Table1[[#This Row],[Std Error]]+Table1[[#This Row],[DUT Read]]+Table1[[#This Row],[DUT Ucty]])</f>
        <v>N/A</v>
      </c>
      <c r="Y1036" s="1" t="str">
        <f>IF(Table1[[#This Row],[Std Read]]="","N/A",Table1[[#This Row],[Std Read]]+Table1[[#This Row],[Std Ucty]])</f>
        <v>N/A</v>
      </c>
      <c r="Z10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6" s="1" t="str">
        <f>IF(Table1[[#This Row],[Spec Type]]="","N/A",Table1[[#This Row],[Spec Type]])</f>
        <v>±</v>
      </c>
      <c r="AC1036" s="1" t="str">
        <f>IF(Table1[[#This Row],[Spec Type2]]="N/A","N/A",IF(AND(Table1[[#This Row],[DUT Adj Read]]&gt;=Table1[[#This Row],[Low Tol]],Table1[[#This Row],[DUT Adj Read]]&lt;=Table1[[#This Row],[High Tol]]),"Pass","Fail"))</f>
        <v>Fail</v>
      </c>
      <c r="AD1036" s="1" t="str">
        <f>IF(AND(Table1[[#This Row],[Spec Type2]]="N/A",Table1[[#This Row],[DUT Adj Read]]="N/A",Table1[[#This Row],[Std Adj Read]]="N/A"),"N/A",IF(Table1[[#This Row],[DUT Adj Read]]="N/A",IF(Table1[[#This Row],[Std Adj Read]]&gt;Table1[[#This Row],[Low Tol]],"Pass","Fail"),IF(Table1[[#This Row],[DUT Adj Read]]&gt;Table1[[#This Row],[Low Tol]],"Pass","Fail")))</f>
        <v>Pass</v>
      </c>
      <c r="AE1036" s="1" t="str">
        <f>IF(AND(Table1[[#This Row],[Spec Type2]]="N/A",Table1[[#This Row],[DUT Adj Read]]="N/A",Table1[[#This Row],[Std Adj Read]]="N/A"),"N/A",IF(Table1[[#This Row],[DUT Adj Read]]="N/A",IF(Table1[[#This Row],[Std Adj Read]]&lt;Table1[[#This Row],[High Tol]],"Pass","Fail"),IF(Table1[[#This Row],[DUT Adj Read]]&lt;Table1[[#This Row],[High Tol]],"Pass","Fail")))</f>
        <v>Fail</v>
      </c>
      <c r="AF1036" s="1" t="str">
        <f>IF(AND(Table1[[#This Row],[Spec Type2]]="N/A",Table1[[#This Row],[DUT Adj Read]]="N/A",Table1[[#This Row],[Std Adj Read]]="N/A"),"N/A",IF(Table1[[#This Row],[DUT Adj Read]]="N/A",IF(Table1[[#This Row],[Std Adj Read]]&gt;=Table1[[#This Row],[Low Tol]],"Pass","Fail"),IF(Table1[[#This Row],[DUT Adj Read]]&gt;=Table1[[#This Row],[Low Tol]],"Pass","Fail")))</f>
        <v>Pass</v>
      </c>
      <c r="AG1036" s="1" t="str">
        <f>IF(AND(Table1[[#This Row],[Spec Type2]]="N/A",Table1[[#This Row],[DUT Adj Read]]="N/A",Table1[[#This Row],[Std Adj Read]]="N/A"),"N/A",IF(Table1[[#This Row],[DUT Adj Read]]="N/A",IF(Table1[[#This Row],[Std Adj Read]]&lt;=Table1[[#This Row],[High Tol]],"Pass","Fail"),IF(Table1[[#This Row],[DUT Adj Read]]&lt;=Table1[[#This Row],[High Tol]],"Pass","Fail")))</f>
        <v>Fail</v>
      </c>
      <c r="AH10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6" s="1" t="b">
        <v>0</v>
      </c>
      <c r="AN1036" s="1" t="b">
        <v>0</v>
      </c>
      <c r="AO1036" s="1" t="b">
        <v>0</v>
      </c>
    </row>
    <row r="1037" spans="1:41" x14ac:dyDescent="0.25">
      <c r="A1037" s="10"/>
      <c r="B1037" s="10"/>
      <c r="C1037" s="10"/>
      <c r="D1037" s="10"/>
      <c r="E1037" s="10"/>
      <c r="F1037" s="10"/>
      <c r="G1037" s="10"/>
      <c r="H1037" s="10"/>
      <c r="I1037" s="1" t="str">
        <f t="shared" si="48"/>
        <v/>
      </c>
      <c r="J1037" s="1" t="s">
        <v>35</v>
      </c>
      <c r="K1037" s="1" t="str">
        <f t="shared" si="49"/>
        <v/>
      </c>
      <c r="L1037" s="1" t="str">
        <f t="shared" si="50"/>
        <v/>
      </c>
      <c r="M1037" s="1">
        <f>IF(OR(Table1[[#This Row],[Std Nom]]="",Table1[[#This Row],[Std Read]]=""),0,Table1[[#This Row],[Std Nom]]-Table1[[#This Row],[Std Read]])</f>
        <v>0</v>
      </c>
      <c r="N1037" s="1">
        <f>IF(Calculations!$F$5="ACCREDITED 17025 WITH UNCERTAINTIES",$N$10,0)</f>
        <v>0</v>
      </c>
      <c r="O1037" s="1" t="str">
        <f>IFERROR(Table1[[#This Row],[Std Nom]]-(_xlfn.XLOOKUP(Table1[[#This Row],[Manufacturer]]&amp;" "&amp;Table1[[#This Row],[Model]],Table13[MFR &amp; MDL],Table13[Tolerance % CW ],"")/100*Table1[[#This Row],[Std Nom]]),"")</f>
        <v/>
      </c>
      <c r="P1037" s="1" t="str">
        <f>IFERROR(Table1[[#This Row],[Std Nom]]+(_xlfn.XLOOKUP(Table1[[#This Row],[Manufacturer]]&amp;" "&amp;Table1[[#This Row],[Model]],Table13[MFR &amp; MDL],Table13[Tolerance % CW ],"")/100*Table1[[#This Row],[Std Nom]]),"")</f>
        <v/>
      </c>
      <c r="Q1037" s="1" t="e">
        <f>Table1[[#This Row],[High Tol]]-Table1[[#This Row],[Low Tol]]</f>
        <v>#VALUE!</v>
      </c>
      <c r="R1037" s="1">
        <f>2*Table1[[#This Row],[Std Error]]</f>
        <v>0</v>
      </c>
      <c r="S1037" s="1" t="str">
        <f>IF(Table1[[#This Row],[High Tol]]="","N/A",IFERROR(ABS(Table1[[#This Row],[Tol Span]]/Table1[[#This Row],[Error Span]]),"N/A"))</f>
        <v>N/A</v>
      </c>
      <c r="T1037" s="1" t="str">
        <f>IF(OR(Table1[[#This Row],[Low Tol]]="",Table1[[#This Row],[High Tol]]=""),"Needs Analysis",IF(Table1[[#This Row],[Ratio]]&gt;=4,"Not Significant",IF(Table1[[#This Row],[Ratio]]&gt;=2,"Semi-Significant","Significant")))</f>
        <v>Needs Analysis</v>
      </c>
      <c r="W1037" s="1">
        <f>IF(Table1[[#This Row],[Cal Type]]&lt;&gt;"ACCREDITED 17025 WITH UNCERTAINTIES",0,"")</f>
        <v>0</v>
      </c>
      <c r="X1037" s="1" t="str">
        <f>IF(Table1[[#This Row],[DUT Read]]="","N/A",Table1[[#This Row],[Std Error]]+Table1[[#This Row],[DUT Read]]+Table1[[#This Row],[DUT Ucty]])</f>
        <v>N/A</v>
      </c>
      <c r="Y1037" s="1" t="str">
        <f>IF(Table1[[#This Row],[Std Read]]="","N/A",Table1[[#This Row],[Std Read]]+Table1[[#This Row],[Std Ucty]])</f>
        <v>N/A</v>
      </c>
      <c r="Z10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7" s="1" t="str">
        <f>IF(Table1[[#This Row],[Spec Type]]="","N/A",Table1[[#This Row],[Spec Type]])</f>
        <v>±</v>
      </c>
      <c r="AC1037" s="1" t="str">
        <f>IF(Table1[[#This Row],[Spec Type2]]="N/A","N/A",IF(AND(Table1[[#This Row],[DUT Adj Read]]&gt;=Table1[[#This Row],[Low Tol]],Table1[[#This Row],[DUT Adj Read]]&lt;=Table1[[#This Row],[High Tol]]),"Pass","Fail"))</f>
        <v>Fail</v>
      </c>
      <c r="AD1037" s="1" t="str">
        <f>IF(AND(Table1[[#This Row],[Spec Type2]]="N/A",Table1[[#This Row],[DUT Adj Read]]="N/A",Table1[[#This Row],[Std Adj Read]]="N/A"),"N/A",IF(Table1[[#This Row],[DUT Adj Read]]="N/A",IF(Table1[[#This Row],[Std Adj Read]]&gt;Table1[[#This Row],[Low Tol]],"Pass","Fail"),IF(Table1[[#This Row],[DUT Adj Read]]&gt;Table1[[#This Row],[Low Tol]],"Pass","Fail")))</f>
        <v>Pass</v>
      </c>
      <c r="AE1037" s="1" t="str">
        <f>IF(AND(Table1[[#This Row],[Spec Type2]]="N/A",Table1[[#This Row],[DUT Adj Read]]="N/A",Table1[[#This Row],[Std Adj Read]]="N/A"),"N/A",IF(Table1[[#This Row],[DUT Adj Read]]="N/A",IF(Table1[[#This Row],[Std Adj Read]]&lt;Table1[[#This Row],[High Tol]],"Pass","Fail"),IF(Table1[[#This Row],[DUT Adj Read]]&lt;Table1[[#This Row],[High Tol]],"Pass","Fail")))</f>
        <v>Fail</v>
      </c>
      <c r="AF1037" s="1" t="str">
        <f>IF(AND(Table1[[#This Row],[Spec Type2]]="N/A",Table1[[#This Row],[DUT Adj Read]]="N/A",Table1[[#This Row],[Std Adj Read]]="N/A"),"N/A",IF(Table1[[#This Row],[DUT Adj Read]]="N/A",IF(Table1[[#This Row],[Std Adj Read]]&gt;=Table1[[#This Row],[Low Tol]],"Pass","Fail"),IF(Table1[[#This Row],[DUT Adj Read]]&gt;=Table1[[#This Row],[Low Tol]],"Pass","Fail")))</f>
        <v>Pass</v>
      </c>
      <c r="AG1037" s="1" t="str">
        <f>IF(AND(Table1[[#This Row],[Spec Type2]]="N/A",Table1[[#This Row],[DUT Adj Read]]="N/A",Table1[[#This Row],[Std Adj Read]]="N/A"),"N/A",IF(Table1[[#This Row],[DUT Adj Read]]="N/A",IF(Table1[[#This Row],[Std Adj Read]]&lt;=Table1[[#This Row],[High Tol]],"Pass","Fail"),IF(Table1[[#This Row],[DUT Adj Read]]&lt;=Table1[[#This Row],[High Tol]],"Pass","Fail")))</f>
        <v>Fail</v>
      </c>
      <c r="AH10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7" s="1" t="b">
        <v>0</v>
      </c>
      <c r="AN1037" s="1" t="b">
        <v>0</v>
      </c>
      <c r="AO1037" s="1" t="b">
        <v>0</v>
      </c>
    </row>
    <row r="1038" spans="1:41" x14ac:dyDescent="0.25">
      <c r="A1038" s="10"/>
      <c r="B1038" s="10"/>
      <c r="C1038" s="10"/>
      <c r="D1038" s="10"/>
      <c r="E1038" s="10"/>
      <c r="F1038" s="10"/>
      <c r="G1038" s="10"/>
      <c r="H1038" s="10"/>
      <c r="I1038" s="1" t="str">
        <f t="shared" si="48"/>
        <v/>
      </c>
      <c r="J1038" s="1" t="s">
        <v>35</v>
      </c>
      <c r="K1038" s="1" t="str">
        <f t="shared" si="49"/>
        <v/>
      </c>
      <c r="L1038" s="1" t="str">
        <f t="shared" si="50"/>
        <v/>
      </c>
      <c r="M1038" s="1">
        <f>IF(OR(Table1[[#This Row],[Std Nom]]="",Table1[[#This Row],[Std Read]]=""),0,Table1[[#This Row],[Std Nom]]-Table1[[#This Row],[Std Read]])</f>
        <v>0</v>
      </c>
      <c r="N1038" s="1">
        <f>IF(Calculations!$F$5="ACCREDITED 17025 WITH UNCERTAINTIES",$N$10,0)</f>
        <v>0</v>
      </c>
      <c r="O1038" s="1" t="str">
        <f>IFERROR(Table1[[#This Row],[Std Nom]]-(_xlfn.XLOOKUP(Table1[[#This Row],[Manufacturer]]&amp;" "&amp;Table1[[#This Row],[Model]],Table13[MFR &amp; MDL],Table13[Tolerance % CW ],"")/100*Table1[[#This Row],[Std Nom]]),"")</f>
        <v/>
      </c>
      <c r="P1038" s="1" t="str">
        <f>IFERROR(Table1[[#This Row],[Std Nom]]+(_xlfn.XLOOKUP(Table1[[#This Row],[Manufacturer]]&amp;" "&amp;Table1[[#This Row],[Model]],Table13[MFR &amp; MDL],Table13[Tolerance % CW ],"")/100*Table1[[#This Row],[Std Nom]]),"")</f>
        <v/>
      </c>
      <c r="Q1038" s="1" t="e">
        <f>Table1[[#This Row],[High Tol]]-Table1[[#This Row],[Low Tol]]</f>
        <v>#VALUE!</v>
      </c>
      <c r="R1038" s="1">
        <f>2*Table1[[#This Row],[Std Error]]</f>
        <v>0</v>
      </c>
      <c r="S1038" s="1" t="str">
        <f>IF(Table1[[#This Row],[High Tol]]="","N/A",IFERROR(ABS(Table1[[#This Row],[Tol Span]]/Table1[[#This Row],[Error Span]]),"N/A"))</f>
        <v>N/A</v>
      </c>
      <c r="T1038" s="1" t="str">
        <f>IF(OR(Table1[[#This Row],[Low Tol]]="",Table1[[#This Row],[High Tol]]=""),"Needs Analysis",IF(Table1[[#This Row],[Ratio]]&gt;=4,"Not Significant",IF(Table1[[#This Row],[Ratio]]&gt;=2,"Semi-Significant","Significant")))</f>
        <v>Needs Analysis</v>
      </c>
      <c r="W1038" s="1">
        <f>IF(Table1[[#This Row],[Cal Type]]&lt;&gt;"ACCREDITED 17025 WITH UNCERTAINTIES",0,"")</f>
        <v>0</v>
      </c>
      <c r="X1038" s="1" t="str">
        <f>IF(Table1[[#This Row],[DUT Read]]="","N/A",Table1[[#This Row],[Std Error]]+Table1[[#This Row],[DUT Read]]+Table1[[#This Row],[DUT Ucty]])</f>
        <v>N/A</v>
      </c>
      <c r="Y1038" s="1" t="str">
        <f>IF(Table1[[#This Row],[Std Read]]="","N/A",Table1[[#This Row],[Std Read]]+Table1[[#This Row],[Std Ucty]])</f>
        <v>N/A</v>
      </c>
      <c r="Z10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8" s="1" t="str">
        <f>IF(Table1[[#This Row],[Spec Type]]="","N/A",Table1[[#This Row],[Spec Type]])</f>
        <v>±</v>
      </c>
      <c r="AC1038" s="1" t="str">
        <f>IF(Table1[[#This Row],[Spec Type2]]="N/A","N/A",IF(AND(Table1[[#This Row],[DUT Adj Read]]&gt;=Table1[[#This Row],[Low Tol]],Table1[[#This Row],[DUT Adj Read]]&lt;=Table1[[#This Row],[High Tol]]),"Pass","Fail"))</f>
        <v>Fail</v>
      </c>
      <c r="AD1038" s="1" t="str">
        <f>IF(AND(Table1[[#This Row],[Spec Type2]]="N/A",Table1[[#This Row],[DUT Adj Read]]="N/A",Table1[[#This Row],[Std Adj Read]]="N/A"),"N/A",IF(Table1[[#This Row],[DUT Adj Read]]="N/A",IF(Table1[[#This Row],[Std Adj Read]]&gt;Table1[[#This Row],[Low Tol]],"Pass","Fail"),IF(Table1[[#This Row],[DUT Adj Read]]&gt;Table1[[#This Row],[Low Tol]],"Pass","Fail")))</f>
        <v>Pass</v>
      </c>
      <c r="AE1038" s="1" t="str">
        <f>IF(AND(Table1[[#This Row],[Spec Type2]]="N/A",Table1[[#This Row],[DUT Adj Read]]="N/A",Table1[[#This Row],[Std Adj Read]]="N/A"),"N/A",IF(Table1[[#This Row],[DUT Adj Read]]="N/A",IF(Table1[[#This Row],[Std Adj Read]]&lt;Table1[[#This Row],[High Tol]],"Pass","Fail"),IF(Table1[[#This Row],[DUT Adj Read]]&lt;Table1[[#This Row],[High Tol]],"Pass","Fail")))</f>
        <v>Fail</v>
      </c>
      <c r="AF1038" s="1" t="str">
        <f>IF(AND(Table1[[#This Row],[Spec Type2]]="N/A",Table1[[#This Row],[DUT Adj Read]]="N/A",Table1[[#This Row],[Std Adj Read]]="N/A"),"N/A",IF(Table1[[#This Row],[DUT Adj Read]]="N/A",IF(Table1[[#This Row],[Std Adj Read]]&gt;=Table1[[#This Row],[Low Tol]],"Pass","Fail"),IF(Table1[[#This Row],[DUT Adj Read]]&gt;=Table1[[#This Row],[Low Tol]],"Pass","Fail")))</f>
        <v>Pass</v>
      </c>
      <c r="AG1038" s="1" t="str">
        <f>IF(AND(Table1[[#This Row],[Spec Type2]]="N/A",Table1[[#This Row],[DUT Adj Read]]="N/A",Table1[[#This Row],[Std Adj Read]]="N/A"),"N/A",IF(Table1[[#This Row],[DUT Adj Read]]="N/A",IF(Table1[[#This Row],[Std Adj Read]]&lt;=Table1[[#This Row],[High Tol]],"Pass","Fail"),IF(Table1[[#This Row],[DUT Adj Read]]&lt;=Table1[[#This Row],[High Tol]],"Pass","Fail")))</f>
        <v>Fail</v>
      </c>
      <c r="AH10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8" s="1" t="b">
        <v>0</v>
      </c>
      <c r="AN1038" s="1" t="b">
        <v>0</v>
      </c>
      <c r="AO1038" s="1" t="b">
        <v>0</v>
      </c>
    </row>
    <row r="1039" spans="1:41" x14ac:dyDescent="0.25">
      <c r="A1039" s="10"/>
      <c r="B1039" s="10"/>
      <c r="C1039" s="10"/>
      <c r="D1039" s="10"/>
      <c r="E1039" s="10"/>
      <c r="F1039" s="10"/>
      <c r="G1039" s="10"/>
      <c r="H1039" s="10"/>
      <c r="I1039" s="1" t="str">
        <f t="shared" si="48"/>
        <v/>
      </c>
      <c r="J1039" s="1" t="s">
        <v>35</v>
      </c>
      <c r="K1039" s="1" t="str">
        <f t="shared" si="49"/>
        <v/>
      </c>
      <c r="L1039" s="1" t="str">
        <f t="shared" si="50"/>
        <v/>
      </c>
      <c r="M1039" s="1">
        <f>IF(OR(Table1[[#This Row],[Std Nom]]="",Table1[[#This Row],[Std Read]]=""),0,Table1[[#This Row],[Std Nom]]-Table1[[#This Row],[Std Read]])</f>
        <v>0</v>
      </c>
      <c r="N1039" s="1">
        <f>IF(Calculations!$F$5="ACCREDITED 17025 WITH UNCERTAINTIES",$N$10,0)</f>
        <v>0</v>
      </c>
      <c r="O1039" s="1" t="str">
        <f>IFERROR(Table1[[#This Row],[Std Nom]]-(_xlfn.XLOOKUP(Table1[[#This Row],[Manufacturer]]&amp;" "&amp;Table1[[#This Row],[Model]],Table13[MFR &amp; MDL],Table13[Tolerance % CW ],"")/100*Table1[[#This Row],[Std Nom]]),"")</f>
        <v/>
      </c>
      <c r="P1039" s="1" t="str">
        <f>IFERROR(Table1[[#This Row],[Std Nom]]+(_xlfn.XLOOKUP(Table1[[#This Row],[Manufacturer]]&amp;" "&amp;Table1[[#This Row],[Model]],Table13[MFR &amp; MDL],Table13[Tolerance % CW ],"")/100*Table1[[#This Row],[Std Nom]]),"")</f>
        <v/>
      </c>
      <c r="Q1039" s="1" t="e">
        <f>Table1[[#This Row],[High Tol]]-Table1[[#This Row],[Low Tol]]</f>
        <v>#VALUE!</v>
      </c>
      <c r="R1039" s="1">
        <f>2*Table1[[#This Row],[Std Error]]</f>
        <v>0</v>
      </c>
      <c r="S1039" s="1" t="str">
        <f>IF(Table1[[#This Row],[High Tol]]="","N/A",IFERROR(ABS(Table1[[#This Row],[Tol Span]]/Table1[[#This Row],[Error Span]]),"N/A"))</f>
        <v>N/A</v>
      </c>
      <c r="T1039" s="1" t="str">
        <f>IF(OR(Table1[[#This Row],[Low Tol]]="",Table1[[#This Row],[High Tol]]=""),"Needs Analysis",IF(Table1[[#This Row],[Ratio]]&gt;=4,"Not Significant",IF(Table1[[#This Row],[Ratio]]&gt;=2,"Semi-Significant","Significant")))</f>
        <v>Needs Analysis</v>
      </c>
      <c r="W1039" s="1">
        <f>IF(Table1[[#This Row],[Cal Type]]&lt;&gt;"ACCREDITED 17025 WITH UNCERTAINTIES",0,"")</f>
        <v>0</v>
      </c>
      <c r="X1039" s="1" t="str">
        <f>IF(Table1[[#This Row],[DUT Read]]="","N/A",Table1[[#This Row],[Std Error]]+Table1[[#This Row],[DUT Read]]+Table1[[#This Row],[DUT Ucty]])</f>
        <v>N/A</v>
      </c>
      <c r="Y1039" s="1" t="str">
        <f>IF(Table1[[#This Row],[Std Read]]="","N/A",Table1[[#This Row],[Std Read]]+Table1[[#This Row],[Std Ucty]])</f>
        <v>N/A</v>
      </c>
      <c r="Z10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9" s="1" t="str">
        <f>IF(Table1[[#This Row],[Spec Type]]="","N/A",Table1[[#This Row],[Spec Type]])</f>
        <v>±</v>
      </c>
      <c r="AC1039" s="1" t="str">
        <f>IF(Table1[[#This Row],[Spec Type2]]="N/A","N/A",IF(AND(Table1[[#This Row],[DUT Adj Read]]&gt;=Table1[[#This Row],[Low Tol]],Table1[[#This Row],[DUT Adj Read]]&lt;=Table1[[#This Row],[High Tol]]),"Pass","Fail"))</f>
        <v>Fail</v>
      </c>
      <c r="AD1039" s="1" t="str">
        <f>IF(AND(Table1[[#This Row],[Spec Type2]]="N/A",Table1[[#This Row],[DUT Adj Read]]="N/A",Table1[[#This Row],[Std Adj Read]]="N/A"),"N/A",IF(Table1[[#This Row],[DUT Adj Read]]="N/A",IF(Table1[[#This Row],[Std Adj Read]]&gt;Table1[[#This Row],[Low Tol]],"Pass","Fail"),IF(Table1[[#This Row],[DUT Adj Read]]&gt;Table1[[#This Row],[Low Tol]],"Pass","Fail")))</f>
        <v>Pass</v>
      </c>
      <c r="AE1039" s="1" t="str">
        <f>IF(AND(Table1[[#This Row],[Spec Type2]]="N/A",Table1[[#This Row],[DUT Adj Read]]="N/A",Table1[[#This Row],[Std Adj Read]]="N/A"),"N/A",IF(Table1[[#This Row],[DUT Adj Read]]="N/A",IF(Table1[[#This Row],[Std Adj Read]]&lt;Table1[[#This Row],[High Tol]],"Pass","Fail"),IF(Table1[[#This Row],[DUT Adj Read]]&lt;Table1[[#This Row],[High Tol]],"Pass","Fail")))</f>
        <v>Fail</v>
      </c>
      <c r="AF1039" s="1" t="str">
        <f>IF(AND(Table1[[#This Row],[Spec Type2]]="N/A",Table1[[#This Row],[DUT Adj Read]]="N/A",Table1[[#This Row],[Std Adj Read]]="N/A"),"N/A",IF(Table1[[#This Row],[DUT Adj Read]]="N/A",IF(Table1[[#This Row],[Std Adj Read]]&gt;=Table1[[#This Row],[Low Tol]],"Pass","Fail"),IF(Table1[[#This Row],[DUT Adj Read]]&gt;=Table1[[#This Row],[Low Tol]],"Pass","Fail")))</f>
        <v>Pass</v>
      </c>
      <c r="AG1039" s="1" t="str">
        <f>IF(AND(Table1[[#This Row],[Spec Type2]]="N/A",Table1[[#This Row],[DUT Adj Read]]="N/A",Table1[[#This Row],[Std Adj Read]]="N/A"),"N/A",IF(Table1[[#This Row],[DUT Adj Read]]="N/A",IF(Table1[[#This Row],[Std Adj Read]]&lt;=Table1[[#This Row],[High Tol]],"Pass","Fail"),IF(Table1[[#This Row],[DUT Adj Read]]&lt;=Table1[[#This Row],[High Tol]],"Pass","Fail")))</f>
        <v>Fail</v>
      </c>
      <c r="AH10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9" s="1" t="b">
        <v>0</v>
      </c>
      <c r="AN1039" s="1" t="b">
        <v>0</v>
      </c>
      <c r="AO1039" s="1" t="b">
        <v>0</v>
      </c>
    </row>
    <row r="1040" spans="1:41" x14ac:dyDescent="0.25">
      <c r="A1040" s="10"/>
      <c r="B1040" s="10"/>
      <c r="C1040" s="10"/>
      <c r="D1040" s="10"/>
      <c r="E1040" s="10"/>
      <c r="F1040" s="10"/>
      <c r="G1040" s="10"/>
      <c r="H1040" s="10"/>
      <c r="I1040" s="1" t="str">
        <f t="shared" si="48"/>
        <v/>
      </c>
      <c r="J1040" s="1" t="s">
        <v>35</v>
      </c>
      <c r="K1040" s="1" t="str">
        <f t="shared" si="49"/>
        <v/>
      </c>
      <c r="L1040" s="1" t="str">
        <f t="shared" si="50"/>
        <v/>
      </c>
      <c r="M1040" s="1">
        <f>IF(OR(Table1[[#This Row],[Std Nom]]="",Table1[[#This Row],[Std Read]]=""),0,Table1[[#This Row],[Std Nom]]-Table1[[#This Row],[Std Read]])</f>
        <v>0</v>
      </c>
      <c r="N1040" s="1">
        <f>IF(Calculations!$F$5="ACCREDITED 17025 WITH UNCERTAINTIES",$N$10,0)</f>
        <v>0</v>
      </c>
      <c r="O1040" s="1" t="str">
        <f>IFERROR(Table1[[#This Row],[Std Nom]]-(_xlfn.XLOOKUP(Table1[[#This Row],[Manufacturer]]&amp;" "&amp;Table1[[#This Row],[Model]],Table13[MFR &amp; MDL],Table13[Tolerance % CW ],"")/100*Table1[[#This Row],[Std Nom]]),"")</f>
        <v/>
      </c>
      <c r="P1040" s="1" t="str">
        <f>IFERROR(Table1[[#This Row],[Std Nom]]+(_xlfn.XLOOKUP(Table1[[#This Row],[Manufacturer]]&amp;" "&amp;Table1[[#This Row],[Model]],Table13[MFR &amp; MDL],Table13[Tolerance % CW ],"")/100*Table1[[#This Row],[Std Nom]]),"")</f>
        <v/>
      </c>
      <c r="Q1040" s="1" t="e">
        <f>Table1[[#This Row],[High Tol]]-Table1[[#This Row],[Low Tol]]</f>
        <v>#VALUE!</v>
      </c>
      <c r="R1040" s="1">
        <f>2*Table1[[#This Row],[Std Error]]</f>
        <v>0</v>
      </c>
      <c r="S1040" s="1" t="str">
        <f>IF(Table1[[#This Row],[High Tol]]="","N/A",IFERROR(ABS(Table1[[#This Row],[Tol Span]]/Table1[[#This Row],[Error Span]]),"N/A"))</f>
        <v>N/A</v>
      </c>
      <c r="T1040" s="1" t="str">
        <f>IF(OR(Table1[[#This Row],[Low Tol]]="",Table1[[#This Row],[High Tol]]=""),"Needs Analysis",IF(Table1[[#This Row],[Ratio]]&gt;=4,"Not Significant",IF(Table1[[#This Row],[Ratio]]&gt;=2,"Semi-Significant","Significant")))</f>
        <v>Needs Analysis</v>
      </c>
      <c r="W1040" s="1">
        <f>IF(Table1[[#This Row],[Cal Type]]&lt;&gt;"ACCREDITED 17025 WITH UNCERTAINTIES",0,"")</f>
        <v>0</v>
      </c>
      <c r="X1040" s="1" t="str">
        <f>IF(Table1[[#This Row],[DUT Read]]="","N/A",Table1[[#This Row],[Std Error]]+Table1[[#This Row],[DUT Read]]+Table1[[#This Row],[DUT Ucty]])</f>
        <v>N/A</v>
      </c>
      <c r="Y1040" s="1" t="str">
        <f>IF(Table1[[#This Row],[Std Read]]="","N/A",Table1[[#This Row],[Std Read]]+Table1[[#This Row],[Std Ucty]])</f>
        <v>N/A</v>
      </c>
      <c r="Z10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0" s="1" t="str">
        <f>IF(Table1[[#This Row],[Spec Type]]="","N/A",Table1[[#This Row],[Spec Type]])</f>
        <v>±</v>
      </c>
      <c r="AC1040" s="1" t="str">
        <f>IF(Table1[[#This Row],[Spec Type2]]="N/A","N/A",IF(AND(Table1[[#This Row],[DUT Adj Read]]&gt;=Table1[[#This Row],[Low Tol]],Table1[[#This Row],[DUT Adj Read]]&lt;=Table1[[#This Row],[High Tol]]),"Pass","Fail"))</f>
        <v>Fail</v>
      </c>
      <c r="AD1040" s="1" t="str">
        <f>IF(AND(Table1[[#This Row],[Spec Type2]]="N/A",Table1[[#This Row],[DUT Adj Read]]="N/A",Table1[[#This Row],[Std Adj Read]]="N/A"),"N/A",IF(Table1[[#This Row],[DUT Adj Read]]="N/A",IF(Table1[[#This Row],[Std Adj Read]]&gt;Table1[[#This Row],[Low Tol]],"Pass","Fail"),IF(Table1[[#This Row],[DUT Adj Read]]&gt;Table1[[#This Row],[Low Tol]],"Pass","Fail")))</f>
        <v>Pass</v>
      </c>
      <c r="AE1040" s="1" t="str">
        <f>IF(AND(Table1[[#This Row],[Spec Type2]]="N/A",Table1[[#This Row],[DUT Adj Read]]="N/A",Table1[[#This Row],[Std Adj Read]]="N/A"),"N/A",IF(Table1[[#This Row],[DUT Adj Read]]="N/A",IF(Table1[[#This Row],[Std Adj Read]]&lt;Table1[[#This Row],[High Tol]],"Pass","Fail"),IF(Table1[[#This Row],[DUT Adj Read]]&lt;Table1[[#This Row],[High Tol]],"Pass","Fail")))</f>
        <v>Fail</v>
      </c>
      <c r="AF1040" s="1" t="str">
        <f>IF(AND(Table1[[#This Row],[Spec Type2]]="N/A",Table1[[#This Row],[DUT Adj Read]]="N/A",Table1[[#This Row],[Std Adj Read]]="N/A"),"N/A",IF(Table1[[#This Row],[DUT Adj Read]]="N/A",IF(Table1[[#This Row],[Std Adj Read]]&gt;=Table1[[#This Row],[Low Tol]],"Pass","Fail"),IF(Table1[[#This Row],[DUT Adj Read]]&gt;=Table1[[#This Row],[Low Tol]],"Pass","Fail")))</f>
        <v>Pass</v>
      </c>
      <c r="AG1040" s="1" t="str">
        <f>IF(AND(Table1[[#This Row],[Spec Type2]]="N/A",Table1[[#This Row],[DUT Adj Read]]="N/A",Table1[[#This Row],[Std Adj Read]]="N/A"),"N/A",IF(Table1[[#This Row],[DUT Adj Read]]="N/A",IF(Table1[[#This Row],[Std Adj Read]]&lt;=Table1[[#This Row],[High Tol]],"Pass","Fail"),IF(Table1[[#This Row],[DUT Adj Read]]&lt;=Table1[[#This Row],[High Tol]],"Pass","Fail")))</f>
        <v>Fail</v>
      </c>
      <c r="AH10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0" s="1" t="b">
        <v>0</v>
      </c>
      <c r="AN1040" s="1" t="b">
        <v>0</v>
      </c>
      <c r="AO1040" s="1" t="b">
        <v>0</v>
      </c>
    </row>
    <row r="1041" spans="1:41" x14ac:dyDescent="0.25">
      <c r="A1041" s="10"/>
      <c r="B1041" s="10"/>
      <c r="C1041" s="10"/>
      <c r="D1041" s="10"/>
      <c r="E1041" s="10"/>
      <c r="F1041" s="10"/>
      <c r="G1041" s="10"/>
      <c r="H1041" s="10"/>
      <c r="I1041" s="1" t="str">
        <f t="shared" si="48"/>
        <v/>
      </c>
      <c r="J1041" s="1" t="s">
        <v>35</v>
      </c>
      <c r="K1041" s="1" t="str">
        <f t="shared" si="49"/>
        <v/>
      </c>
      <c r="L1041" s="1" t="str">
        <f t="shared" si="50"/>
        <v/>
      </c>
      <c r="M1041" s="1">
        <f>IF(OR(Table1[[#This Row],[Std Nom]]="",Table1[[#This Row],[Std Read]]=""),0,Table1[[#This Row],[Std Nom]]-Table1[[#This Row],[Std Read]])</f>
        <v>0</v>
      </c>
      <c r="N1041" s="1">
        <f>IF(Calculations!$F$5="ACCREDITED 17025 WITH UNCERTAINTIES",$N$10,0)</f>
        <v>0</v>
      </c>
      <c r="O1041" s="1" t="str">
        <f>IFERROR(Table1[[#This Row],[Std Nom]]-(_xlfn.XLOOKUP(Table1[[#This Row],[Manufacturer]]&amp;" "&amp;Table1[[#This Row],[Model]],Table13[MFR &amp; MDL],Table13[Tolerance % CW ],"")/100*Table1[[#This Row],[Std Nom]]),"")</f>
        <v/>
      </c>
      <c r="P1041" s="1" t="str">
        <f>IFERROR(Table1[[#This Row],[Std Nom]]+(_xlfn.XLOOKUP(Table1[[#This Row],[Manufacturer]]&amp;" "&amp;Table1[[#This Row],[Model]],Table13[MFR &amp; MDL],Table13[Tolerance % CW ],"")/100*Table1[[#This Row],[Std Nom]]),"")</f>
        <v/>
      </c>
      <c r="Q1041" s="1" t="e">
        <f>Table1[[#This Row],[High Tol]]-Table1[[#This Row],[Low Tol]]</f>
        <v>#VALUE!</v>
      </c>
      <c r="R1041" s="1">
        <f>2*Table1[[#This Row],[Std Error]]</f>
        <v>0</v>
      </c>
      <c r="S1041" s="1" t="str">
        <f>IF(Table1[[#This Row],[High Tol]]="","N/A",IFERROR(ABS(Table1[[#This Row],[Tol Span]]/Table1[[#This Row],[Error Span]]),"N/A"))</f>
        <v>N/A</v>
      </c>
      <c r="T1041" s="1" t="str">
        <f>IF(OR(Table1[[#This Row],[Low Tol]]="",Table1[[#This Row],[High Tol]]=""),"Needs Analysis",IF(Table1[[#This Row],[Ratio]]&gt;=4,"Not Significant",IF(Table1[[#This Row],[Ratio]]&gt;=2,"Semi-Significant","Significant")))</f>
        <v>Needs Analysis</v>
      </c>
      <c r="W1041" s="1">
        <f>IF(Table1[[#This Row],[Cal Type]]&lt;&gt;"ACCREDITED 17025 WITH UNCERTAINTIES",0,"")</f>
        <v>0</v>
      </c>
      <c r="X1041" s="1" t="str">
        <f>IF(Table1[[#This Row],[DUT Read]]="","N/A",Table1[[#This Row],[Std Error]]+Table1[[#This Row],[DUT Read]]+Table1[[#This Row],[DUT Ucty]])</f>
        <v>N/A</v>
      </c>
      <c r="Y1041" s="1" t="str">
        <f>IF(Table1[[#This Row],[Std Read]]="","N/A",Table1[[#This Row],[Std Read]]+Table1[[#This Row],[Std Ucty]])</f>
        <v>N/A</v>
      </c>
      <c r="Z10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1" s="1" t="str">
        <f>IF(Table1[[#This Row],[Spec Type]]="","N/A",Table1[[#This Row],[Spec Type]])</f>
        <v>±</v>
      </c>
      <c r="AC1041" s="1" t="str">
        <f>IF(Table1[[#This Row],[Spec Type2]]="N/A","N/A",IF(AND(Table1[[#This Row],[DUT Adj Read]]&gt;=Table1[[#This Row],[Low Tol]],Table1[[#This Row],[DUT Adj Read]]&lt;=Table1[[#This Row],[High Tol]]),"Pass","Fail"))</f>
        <v>Fail</v>
      </c>
      <c r="AD1041" s="1" t="str">
        <f>IF(AND(Table1[[#This Row],[Spec Type2]]="N/A",Table1[[#This Row],[DUT Adj Read]]="N/A",Table1[[#This Row],[Std Adj Read]]="N/A"),"N/A",IF(Table1[[#This Row],[DUT Adj Read]]="N/A",IF(Table1[[#This Row],[Std Adj Read]]&gt;Table1[[#This Row],[Low Tol]],"Pass","Fail"),IF(Table1[[#This Row],[DUT Adj Read]]&gt;Table1[[#This Row],[Low Tol]],"Pass","Fail")))</f>
        <v>Pass</v>
      </c>
      <c r="AE1041" s="1" t="str">
        <f>IF(AND(Table1[[#This Row],[Spec Type2]]="N/A",Table1[[#This Row],[DUT Adj Read]]="N/A",Table1[[#This Row],[Std Adj Read]]="N/A"),"N/A",IF(Table1[[#This Row],[DUT Adj Read]]="N/A",IF(Table1[[#This Row],[Std Adj Read]]&lt;Table1[[#This Row],[High Tol]],"Pass","Fail"),IF(Table1[[#This Row],[DUT Adj Read]]&lt;Table1[[#This Row],[High Tol]],"Pass","Fail")))</f>
        <v>Fail</v>
      </c>
      <c r="AF1041" s="1" t="str">
        <f>IF(AND(Table1[[#This Row],[Spec Type2]]="N/A",Table1[[#This Row],[DUT Adj Read]]="N/A",Table1[[#This Row],[Std Adj Read]]="N/A"),"N/A",IF(Table1[[#This Row],[DUT Adj Read]]="N/A",IF(Table1[[#This Row],[Std Adj Read]]&gt;=Table1[[#This Row],[Low Tol]],"Pass","Fail"),IF(Table1[[#This Row],[DUT Adj Read]]&gt;=Table1[[#This Row],[Low Tol]],"Pass","Fail")))</f>
        <v>Pass</v>
      </c>
      <c r="AG1041" s="1" t="str">
        <f>IF(AND(Table1[[#This Row],[Spec Type2]]="N/A",Table1[[#This Row],[DUT Adj Read]]="N/A",Table1[[#This Row],[Std Adj Read]]="N/A"),"N/A",IF(Table1[[#This Row],[DUT Adj Read]]="N/A",IF(Table1[[#This Row],[Std Adj Read]]&lt;=Table1[[#This Row],[High Tol]],"Pass","Fail"),IF(Table1[[#This Row],[DUT Adj Read]]&lt;=Table1[[#This Row],[High Tol]],"Pass","Fail")))</f>
        <v>Fail</v>
      </c>
      <c r="AH10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1" s="1" t="b">
        <v>0</v>
      </c>
      <c r="AN1041" s="1" t="b">
        <v>0</v>
      </c>
      <c r="AO1041" s="1" t="b">
        <v>0</v>
      </c>
    </row>
    <row r="1042" spans="1:41" x14ac:dyDescent="0.25">
      <c r="A1042" s="10"/>
      <c r="B1042" s="10"/>
      <c r="C1042" s="10"/>
      <c r="D1042" s="10"/>
      <c r="E1042" s="10"/>
      <c r="F1042" s="10"/>
      <c r="G1042" s="10"/>
      <c r="H1042" s="10"/>
      <c r="I1042" s="1" t="str">
        <f t="shared" si="48"/>
        <v/>
      </c>
      <c r="J1042" s="1" t="s">
        <v>35</v>
      </c>
      <c r="K1042" s="1" t="str">
        <f t="shared" si="49"/>
        <v/>
      </c>
      <c r="L1042" s="1" t="str">
        <f t="shared" si="50"/>
        <v/>
      </c>
      <c r="M1042" s="1">
        <f>IF(OR(Table1[[#This Row],[Std Nom]]="",Table1[[#This Row],[Std Read]]=""),0,Table1[[#This Row],[Std Nom]]-Table1[[#This Row],[Std Read]])</f>
        <v>0</v>
      </c>
      <c r="N1042" s="1">
        <f>IF(Calculations!$F$5="ACCREDITED 17025 WITH UNCERTAINTIES",$N$10,0)</f>
        <v>0</v>
      </c>
      <c r="O1042" s="1" t="str">
        <f>IFERROR(Table1[[#This Row],[Std Nom]]-(_xlfn.XLOOKUP(Table1[[#This Row],[Manufacturer]]&amp;" "&amp;Table1[[#This Row],[Model]],Table13[MFR &amp; MDL],Table13[Tolerance % CW ],"")/100*Table1[[#This Row],[Std Nom]]),"")</f>
        <v/>
      </c>
      <c r="P1042" s="1" t="str">
        <f>IFERROR(Table1[[#This Row],[Std Nom]]+(_xlfn.XLOOKUP(Table1[[#This Row],[Manufacturer]]&amp;" "&amp;Table1[[#This Row],[Model]],Table13[MFR &amp; MDL],Table13[Tolerance % CW ],"")/100*Table1[[#This Row],[Std Nom]]),"")</f>
        <v/>
      </c>
      <c r="Q1042" s="1" t="e">
        <f>Table1[[#This Row],[High Tol]]-Table1[[#This Row],[Low Tol]]</f>
        <v>#VALUE!</v>
      </c>
      <c r="R1042" s="1">
        <f>2*Table1[[#This Row],[Std Error]]</f>
        <v>0</v>
      </c>
      <c r="S1042" s="1" t="str">
        <f>IF(Table1[[#This Row],[High Tol]]="","N/A",IFERROR(ABS(Table1[[#This Row],[Tol Span]]/Table1[[#This Row],[Error Span]]),"N/A"))</f>
        <v>N/A</v>
      </c>
      <c r="T1042" s="1" t="str">
        <f>IF(OR(Table1[[#This Row],[Low Tol]]="",Table1[[#This Row],[High Tol]]=""),"Needs Analysis",IF(Table1[[#This Row],[Ratio]]&gt;=4,"Not Significant",IF(Table1[[#This Row],[Ratio]]&gt;=2,"Semi-Significant","Significant")))</f>
        <v>Needs Analysis</v>
      </c>
      <c r="W1042" s="1">
        <f>IF(Table1[[#This Row],[Cal Type]]&lt;&gt;"ACCREDITED 17025 WITH UNCERTAINTIES",0,"")</f>
        <v>0</v>
      </c>
      <c r="X1042" s="1" t="str">
        <f>IF(Table1[[#This Row],[DUT Read]]="","N/A",Table1[[#This Row],[Std Error]]+Table1[[#This Row],[DUT Read]]+Table1[[#This Row],[DUT Ucty]])</f>
        <v>N/A</v>
      </c>
      <c r="Y1042" s="1" t="str">
        <f>IF(Table1[[#This Row],[Std Read]]="","N/A",Table1[[#This Row],[Std Read]]+Table1[[#This Row],[Std Ucty]])</f>
        <v>N/A</v>
      </c>
      <c r="Z10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2" s="1" t="str">
        <f>IF(Table1[[#This Row],[Spec Type]]="","N/A",Table1[[#This Row],[Spec Type]])</f>
        <v>±</v>
      </c>
      <c r="AC1042" s="1" t="str">
        <f>IF(Table1[[#This Row],[Spec Type2]]="N/A","N/A",IF(AND(Table1[[#This Row],[DUT Adj Read]]&gt;=Table1[[#This Row],[Low Tol]],Table1[[#This Row],[DUT Adj Read]]&lt;=Table1[[#This Row],[High Tol]]),"Pass","Fail"))</f>
        <v>Fail</v>
      </c>
      <c r="AD1042" s="1" t="str">
        <f>IF(AND(Table1[[#This Row],[Spec Type2]]="N/A",Table1[[#This Row],[DUT Adj Read]]="N/A",Table1[[#This Row],[Std Adj Read]]="N/A"),"N/A",IF(Table1[[#This Row],[DUT Adj Read]]="N/A",IF(Table1[[#This Row],[Std Adj Read]]&gt;Table1[[#This Row],[Low Tol]],"Pass","Fail"),IF(Table1[[#This Row],[DUT Adj Read]]&gt;Table1[[#This Row],[Low Tol]],"Pass","Fail")))</f>
        <v>Pass</v>
      </c>
      <c r="AE1042" s="1" t="str">
        <f>IF(AND(Table1[[#This Row],[Spec Type2]]="N/A",Table1[[#This Row],[DUT Adj Read]]="N/A",Table1[[#This Row],[Std Adj Read]]="N/A"),"N/A",IF(Table1[[#This Row],[DUT Adj Read]]="N/A",IF(Table1[[#This Row],[Std Adj Read]]&lt;Table1[[#This Row],[High Tol]],"Pass","Fail"),IF(Table1[[#This Row],[DUT Adj Read]]&lt;Table1[[#This Row],[High Tol]],"Pass","Fail")))</f>
        <v>Fail</v>
      </c>
      <c r="AF1042" s="1" t="str">
        <f>IF(AND(Table1[[#This Row],[Spec Type2]]="N/A",Table1[[#This Row],[DUT Adj Read]]="N/A",Table1[[#This Row],[Std Adj Read]]="N/A"),"N/A",IF(Table1[[#This Row],[DUT Adj Read]]="N/A",IF(Table1[[#This Row],[Std Adj Read]]&gt;=Table1[[#This Row],[Low Tol]],"Pass","Fail"),IF(Table1[[#This Row],[DUT Adj Read]]&gt;=Table1[[#This Row],[Low Tol]],"Pass","Fail")))</f>
        <v>Pass</v>
      </c>
      <c r="AG1042" s="1" t="str">
        <f>IF(AND(Table1[[#This Row],[Spec Type2]]="N/A",Table1[[#This Row],[DUT Adj Read]]="N/A",Table1[[#This Row],[Std Adj Read]]="N/A"),"N/A",IF(Table1[[#This Row],[DUT Adj Read]]="N/A",IF(Table1[[#This Row],[Std Adj Read]]&lt;=Table1[[#This Row],[High Tol]],"Pass","Fail"),IF(Table1[[#This Row],[DUT Adj Read]]&lt;=Table1[[#This Row],[High Tol]],"Pass","Fail")))</f>
        <v>Fail</v>
      </c>
      <c r="AH10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2" s="1" t="b">
        <v>0</v>
      </c>
      <c r="AN1042" s="1" t="b">
        <v>0</v>
      </c>
      <c r="AO1042" s="1" t="b">
        <v>0</v>
      </c>
    </row>
    <row r="1043" spans="1:41" x14ac:dyDescent="0.25">
      <c r="A1043" s="10"/>
      <c r="B1043" s="10"/>
      <c r="C1043" s="10"/>
      <c r="D1043" s="10"/>
      <c r="E1043" s="10"/>
      <c r="F1043" s="10"/>
      <c r="G1043" s="10"/>
      <c r="H1043" s="10"/>
      <c r="I1043" s="1" t="str">
        <f t="shared" si="48"/>
        <v/>
      </c>
      <c r="J1043" s="1" t="s">
        <v>35</v>
      </c>
      <c r="K1043" s="1" t="str">
        <f t="shared" si="49"/>
        <v/>
      </c>
      <c r="L1043" s="1" t="str">
        <f t="shared" si="50"/>
        <v/>
      </c>
      <c r="M1043" s="1">
        <f>IF(OR(Table1[[#This Row],[Std Nom]]="",Table1[[#This Row],[Std Read]]=""),0,Table1[[#This Row],[Std Nom]]-Table1[[#This Row],[Std Read]])</f>
        <v>0</v>
      </c>
      <c r="N1043" s="1">
        <f>IF(Calculations!$F$5="ACCREDITED 17025 WITH UNCERTAINTIES",$N$10,0)</f>
        <v>0</v>
      </c>
      <c r="O1043" s="1" t="str">
        <f>IFERROR(Table1[[#This Row],[Std Nom]]-(_xlfn.XLOOKUP(Table1[[#This Row],[Manufacturer]]&amp;" "&amp;Table1[[#This Row],[Model]],Table13[MFR &amp; MDL],Table13[Tolerance % CW ],"")/100*Table1[[#This Row],[Std Nom]]),"")</f>
        <v/>
      </c>
      <c r="P1043" s="1" t="str">
        <f>IFERROR(Table1[[#This Row],[Std Nom]]+(_xlfn.XLOOKUP(Table1[[#This Row],[Manufacturer]]&amp;" "&amp;Table1[[#This Row],[Model]],Table13[MFR &amp; MDL],Table13[Tolerance % CW ],"")/100*Table1[[#This Row],[Std Nom]]),"")</f>
        <v/>
      </c>
      <c r="Q1043" s="1" t="e">
        <f>Table1[[#This Row],[High Tol]]-Table1[[#This Row],[Low Tol]]</f>
        <v>#VALUE!</v>
      </c>
      <c r="R1043" s="1">
        <f>2*Table1[[#This Row],[Std Error]]</f>
        <v>0</v>
      </c>
      <c r="S1043" s="1" t="str">
        <f>IF(Table1[[#This Row],[High Tol]]="","N/A",IFERROR(ABS(Table1[[#This Row],[Tol Span]]/Table1[[#This Row],[Error Span]]),"N/A"))</f>
        <v>N/A</v>
      </c>
      <c r="T1043" s="1" t="str">
        <f>IF(OR(Table1[[#This Row],[Low Tol]]="",Table1[[#This Row],[High Tol]]=""),"Needs Analysis",IF(Table1[[#This Row],[Ratio]]&gt;=4,"Not Significant",IF(Table1[[#This Row],[Ratio]]&gt;=2,"Semi-Significant","Significant")))</f>
        <v>Needs Analysis</v>
      </c>
      <c r="W1043" s="1">
        <f>IF(Table1[[#This Row],[Cal Type]]&lt;&gt;"ACCREDITED 17025 WITH UNCERTAINTIES",0,"")</f>
        <v>0</v>
      </c>
      <c r="X1043" s="1" t="str">
        <f>IF(Table1[[#This Row],[DUT Read]]="","N/A",Table1[[#This Row],[Std Error]]+Table1[[#This Row],[DUT Read]]+Table1[[#This Row],[DUT Ucty]])</f>
        <v>N/A</v>
      </c>
      <c r="Y1043" s="1" t="str">
        <f>IF(Table1[[#This Row],[Std Read]]="","N/A",Table1[[#This Row],[Std Read]]+Table1[[#This Row],[Std Ucty]])</f>
        <v>N/A</v>
      </c>
      <c r="Z10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3" s="1" t="str">
        <f>IF(Table1[[#This Row],[Spec Type]]="","N/A",Table1[[#This Row],[Spec Type]])</f>
        <v>±</v>
      </c>
      <c r="AC1043" s="1" t="str">
        <f>IF(Table1[[#This Row],[Spec Type2]]="N/A","N/A",IF(AND(Table1[[#This Row],[DUT Adj Read]]&gt;=Table1[[#This Row],[Low Tol]],Table1[[#This Row],[DUT Adj Read]]&lt;=Table1[[#This Row],[High Tol]]),"Pass","Fail"))</f>
        <v>Fail</v>
      </c>
      <c r="AD1043" s="1" t="str">
        <f>IF(AND(Table1[[#This Row],[Spec Type2]]="N/A",Table1[[#This Row],[DUT Adj Read]]="N/A",Table1[[#This Row],[Std Adj Read]]="N/A"),"N/A",IF(Table1[[#This Row],[DUT Adj Read]]="N/A",IF(Table1[[#This Row],[Std Adj Read]]&gt;Table1[[#This Row],[Low Tol]],"Pass","Fail"),IF(Table1[[#This Row],[DUT Adj Read]]&gt;Table1[[#This Row],[Low Tol]],"Pass","Fail")))</f>
        <v>Pass</v>
      </c>
      <c r="AE1043" s="1" t="str">
        <f>IF(AND(Table1[[#This Row],[Spec Type2]]="N/A",Table1[[#This Row],[DUT Adj Read]]="N/A",Table1[[#This Row],[Std Adj Read]]="N/A"),"N/A",IF(Table1[[#This Row],[DUT Adj Read]]="N/A",IF(Table1[[#This Row],[Std Adj Read]]&lt;Table1[[#This Row],[High Tol]],"Pass","Fail"),IF(Table1[[#This Row],[DUT Adj Read]]&lt;Table1[[#This Row],[High Tol]],"Pass","Fail")))</f>
        <v>Fail</v>
      </c>
      <c r="AF1043" s="1" t="str">
        <f>IF(AND(Table1[[#This Row],[Spec Type2]]="N/A",Table1[[#This Row],[DUT Adj Read]]="N/A",Table1[[#This Row],[Std Adj Read]]="N/A"),"N/A",IF(Table1[[#This Row],[DUT Adj Read]]="N/A",IF(Table1[[#This Row],[Std Adj Read]]&gt;=Table1[[#This Row],[Low Tol]],"Pass","Fail"),IF(Table1[[#This Row],[DUT Adj Read]]&gt;=Table1[[#This Row],[Low Tol]],"Pass","Fail")))</f>
        <v>Pass</v>
      </c>
      <c r="AG1043" s="1" t="str">
        <f>IF(AND(Table1[[#This Row],[Spec Type2]]="N/A",Table1[[#This Row],[DUT Adj Read]]="N/A",Table1[[#This Row],[Std Adj Read]]="N/A"),"N/A",IF(Table1[[#This Row],[DUT Adj Read]]="N/A",IF(Table1[[#This Row],[Std Adj Read]]&lt;=Table1[[#This Row],[High Tol]],"Pass","Fail"),IF(Table1[[#This Row],[DUT Adj Read]]&lt;=Table1[[#This Row],[High Tol]],"Pass","Fail")))</f>
        <v>Fail</v>
      </c>
      <c r="AH10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3" s="1" t="b">
        <v>0</v>
      </c>
      <c r="AN1043" s="1" t="b">
        <v>0</v>
      </c>
      <c r="AO1043" s="1" t="b">
        <v>0</v>
      </c>
    </row>
    <row r="1044" spans="1:41" x14ac:dyDescent="0.25">
      <c r="A1044" s="10"/>
      <c r="B1044" s="10"/>
      <c r="C1044" s="10"/>
      <c r="D1044" s="10"/>
      <c r="E1044" s="10"/>
      <c r="F1044" s="10"/>
      <c r="G1044" s="10"/>
      <c r="H1044" s="10"/>
      <c r="I1044" s="1" t="str">
        <f t="shared" si="48"/>
        <v/>
      </c>
      <c r="J1044" s="1" t="s">
        <v>35</v>
      </c>
      <c r="K1044" s="1" t="str">
        <f t="shared" si="49"/>
        <v/>
      </c>
      <c r="L1044" s="1" t="str">
        <f t="shared" si="50"/>
        <v/>
      </c>
      <c r="M1044" s="1">
        <f>IF(OR(Table1[[#This Row],[Std Nom]]="",Table1[[#This Row],[Std Read]]=""),0,Table1[[#This Row],[Std Nom]]-Table1[[#This Row],[Std Read]])</f>
        <v>0</v>
      </c>
      <c r="N1044" s="1">
        <f>IF(Calculations!$F$5="ACCREDITED 17025 WITH UNCERTAINTIES",$N$10,0)</f>
        <v>0</v>
      </c>
      <c r="O1044" s="1" t="str">
        <f>IFERROR(Table1[[#This Row],[Std Nom]]-(_xlfn.XLOOKUP(Table1[[#This Row],[Manufacturer]]&amp;" "&amp;Table1[[#This Row],[Model]],Table13[MFR &amp; MDL],Table13[Tolerance % CW ],"")/100*Table1[[#This Row],[Std Nom]]),"")</f>
        <v/>
      </c>
      <c r="P1044" s="1" t="str">
        <f>IFERROR(Table1[[#This Row],[Std Nom]]+(_xlfn.XLOOKUP(Table1[[#This Row],[Manufacturer]]&amp;" "&amp;Table1[[#This Row],[Model]],Table13[MFR &amp; MDL],Table13[Tolerance % CW ],"")/100*Table1[[#This Row],[Std Nom]]),"")</f>
        <v/>
      </c>
      <c r="Q1044" s="1" t="e">
        <f>Table1[[#This Row],[High Tol]]-Table1[[#This Row],[Low Tol]]</f>
        <v>#VALUE!</v>
      </c>
      <c r="R1044" s="1">
        <f>2*Table1[[#This Row],[Std Error]]</f>
        <v>0</v>
      </c>
      <c r="S1044" s="1" t="str">
        <f>IF(Table1[[#This Row],[High Tol]]="","N/A",IFERROR(ABS(Table1[[#This Row],[Tol Span]]/Table1[[#This Row],[Error Span]]),"N/A"))</f>
        <v>N/A</v>
      </c>
      <c r="T1044" s="1" t="str">
        <f>IF(OR(Table1[[#This Row],[Low Tol]]="",Table1[[#This Row],[High Tol]]=""),"Needs Analysis",IF(Table1[[#This Row],[Ratio]]&gt;=4,"Not Significant",IF(Table1[[#This Row],[Ratio]]&gt;=2,"Semi-Significant","Significant")))</f>
        <v>Needs Analysis</v>
      </c>
      <c r="W1044" s="1">
        <f>IF(Table1[[#This Row],[Cal Type]]&lt;&gt;"ACCREDITED 17025 WITH UNCERTAINTIES",0,"")</f>
        <v>0</v>
      </c>
      <c r="X1044" s="1" t="str">
        <f>IF(Table1[[#This Row],[DUT Read]]="","N/A",Table1[[#This Row],[Std Error]]+Table1[[#This Row],[DUT Read]]+Table1[[#This Row],[DUT Ucty]])</f>
        <v>N/A</v>
      </c>
      <c r="Y1044" s="1" t="str">
        <f>IF(Table1[[#This Row],[Std Read]]="","N/A",Table1[[#This Row],[Std Read]]+Table1[[#This Row],[Std Ucty]])</f>
        <v>N/A</v>
      </c>
      <c r="Z10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4" s="1" t="str">
        <f>IF(Table1[[#This Row],[Spec Type]]="","N/A",Table1[[#This Row],[Spec Type]])</f>
        <v>±</v>
      </c>
      <c r="AC1044" s="1" t="str">
        <f>IF(Table1[[#This Row],[Spec Type2]]="N/A","N/A",IF(AND(Table1[[#This Row],[DUT Adj Read]]&gt;=Table1[[#This Row],[Low Tol]],Table1[[#This Row],[DUT Adj Read]]&lt;=Table1[[#This Row],[High Tol]]),"Pass","Fail"))</f>
        <v>Fail</v>
      </c>
      <c r="AD1044" s="1" t="str">
        <f>IF(AND(Table1[[#This Row],[Spec Type2]]="N/A",Table1[[#This Row],[DUT Adj Read]]="N/A",Table1[[#This Row],[Std Adj Read]]="N/A"),"N/A",IF(Table1[[#This Row],[DUT Adj Read]]="N/A",IF(Table1[[#This Row],[Std Adj Read]]&gt;Table1[[#This Row],[Low Tol]],"Pass","Fail"),IF(Table1[[#This Row],[DUT Adj Read]]&gt;Table1[[#This Row],[Low Tol]],"Pass","Fail")))</f>
        <v>Pass</v>
      </c>
      <c r="AE1044" s="1" t="str">
        <f>IF(AND(Table1[[#This Row],[Spec Type2]]="N/A",Table1[[#This Row],[DUT Adj Read]]="N/A",Table1[[#This Row],[Std Adj Read]]="N/A"),"N/A",IF(Table1[[#This Row],[DUT Adj Read]]="N/A",IF(Table1[[#This Row],[Std Adj Read]]&lt;Table1[[#This Row],[High Tol]],"Pass","Fail"),IF(Table1[[#This Row],[DUT Adj Read]]&lt;Table1[[#This Row],[High Tol]],"Pass","Fail")))</f>
        <v>Fail</v>
      </c>
      <c r="AF1044" s="1" t="str">
        <f>IF(AND(Table1[[#This Row],[Spec Type2]]="N/A",Table1[[#This Row],[DUT Adj Read]]="N/A",Table1[[#This Row],[Std Adj Read]]="N/A"),"N/A",IF(Table1[[#This Row],[DUT Adj Read]]="N/A",IF(Table1[[#This Row],[Std Adj Read]]&gt;=Table1[[#This Row],[Low Tol]],"Pass","Fail"),IF(Table1[[#This Row],[DUT Adj Read]]&gt;=Table1[[#This Row],[Low Tol]],"Pass","Fail")))</f>
        <v>Pass</v>
      </c>
      <c r="AG1044" s="1" t="str">
        <f>IF(AND(Table1[[#This Row],[Spec Type2]]="N/A",Table1[[#This Row],[DUT Adj Read]]="N/A",Table1[[#This Row],[Std Adj Read]]="N/A"),"N/A",IF(Table1[[#This Row],[DUT Adj Read]]="N/A",IF(Table1[[#This Row],[Std Adj Read]]&lt;=Table1[[#This Row],[High Tol]],"Pass","Fail"),IF(Table1[[#This Row],[DUT Adj Read]]&lt;=Table1[[#This Row],[High Tol]],"Pass","Fail")))</f>
        <v>Fail</v>
      </c>
      <c r="AH10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4" s="1" t="b">
        <v>0</v>
      </c>
      <c r="AN1044" s="1" t="b">
        <v>0</v>
      </c>
      <c r="AO1044" s="1" t="b">
        <v>0</v>
      </c>
    </row>
    <row r="1045" spans="1:41" x14ac:dyDescent="0.25">
      <c r="A1045" s="10"/>
      <c r="B1045" s="10"/>
      <c r="C1045" s="10"/>
      <c r="D1045" s="10"/>
      <c r="E1045" s="10"/>
      <c r="F1045" s="10"/>
      <c r="G1045" s="10"/>
      <c r="H1045" s="10"/>
      <c r="I1045" s="1" t="str">
        <f t="shared" si="48"/>
        <v/>
      </c>
      <c r="J1045" s="1" t="s">
        <v>35</v>
      </c>
      <c r="K1045" s="1" t="str">
        <f t="shared" si="49"/>
        <v/>
      </c>
      <c r="L1045" s="1" t="str">
        <f t="shared" si="50"/>
        <v/>
      </c>
      <c r="M1045" s="1">
        <f>IF(OR(Table1[[#This Row],[Std Nom]]="",Table1[[#This Row],[Std Read]]=""),0,Table1[[#This Row],[Std Nom]]-Table1[[#This Row],[Std Read]])</f>
        <v>0</v>
      </c>
      <c r="N1045" s="1">
        <f>IF(Calculations!$F$5="ACCREDITED 17025 WITH UNCERTAINTIES",$N$10,0)</f>
        <v>0</v>
      </c>
      <c r="O1045" s="1" t="str">
        <f>IFERROR(Table1[[#This Row],[Std Nom]]-(_xlfn.XLOOKUP(Table1[[#This Row],[Manufacturer]]&amp;" "&amp;Table1[[#This Row],[Model]],Table13[MFR &amp; MDL],Table13[Tolerance % CW ],"")/100*Table1[[#This Row],[Std Nom]]),"")</f>
        <v/>
      </c>
      <c r="P1045" s="1" t="str">
        <f>IFERROR(Table1[[#This Row],[Std Nom]]+(_xlfn.XLOOKUP(Table1[[#This Row],[Manufacturer]]&amp;" "&amp;Table1[[#This Row],[Model]],Table13[MFR &amp; MDL],Table13[Tolerance % CW ],"")/100*Table1[[#This Row],[Std Nom]]),"")</f>
        <v/>
      </c>
      <c r="Q1045" s="1" t="e">
        <f>Table1[[#This Row],[High Tol]]-Table1[[#This Row],[Low Tol]]</f>
        <v>#VALUE!</v>
      </c>
      <c r="R1045" s="1">
        <f>2*Table1[[#This Row],[Std Error]]</f>
        <v>0</v>
      </c>
      <c r="S1045" s="1" t="str">
        <f>IF(Table1[[#This Row],[High Tol]]="","N/A",IFERROR(ABS(Table1[[#This Row],[Tol Span]]/Table1[[#This Row],[Error Span]]),"N/A"))</f>
        <v>N/A</v>
      </c>
      <c r="T1045" s="1" t="str">
        <f>IF(OR(Table1[[#This Row],[Low Tol]]="",Table1[[#This Row],[High Tol]]=""),"Needs Analysis",IF(Table1[[#This Row],[Ratio]]&gt;=4,"Not Significant",IF(Table1[[#This Row],[Ratio]]&gt;=2,"Semi-Significant","Significant")))</f>
        <v>Needs Analysis</v>
      </c>
      <c r="W1045" s="1">
        <f>IF(Table1[[#This Row],[Cal Type]]&lt;&gt;"ACCREDITED 17025 WITH UNCERTAINTIES",0,"")</f>
        <v>0</v>
      </c>
      <c r="X1045" s="1" t="str">
        <f>IF(Table1[[#This Row],[DUT Read]]="","N/A",Table1[[#This Row],[Std Error]]+Table1[[#This Row],[DUT Read]]+Table1[[#This Row],[DUT Ucty]])</f>
        <v>N/A</v>
      </c>
      <c r="Y1045" s="1" t="str">
        <f>IF(Table1[[#This Row],[Std Read]]="","N/A",Table1[[#This Row],[Std Read]]+Table1[[#This Row],[Std Ucty]])</f>
        <v>N/A</v>
      </c>
      <c r="Z10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5" s="1" t="str">
        <f>IF(Table1[[#This Row],[Spec Type]]="","N/A",Table1[[#This Row],[Spec Type]])</f>
        <v>±</v>
      </c>
      <c r="AC1045" s="1" t="str">
        <f>IF(Table1[[#This Row],[Spec Type2]]="N/A","N/A",IF(AND(Table1[[#This Row],[DUT Adj Read]]&gt;=Table1[[#This Row],[Low Tol]],Table1[[#This Row],[DUT Adj Read]]&lt;=Table1[[#This Row],[High Tol]]),"Pass","Fail"))</f>
        <v>Fail</v>
      </c>
      <c r="AD1045" s="1" t="str">
        <f>IF(AND(Table1[[#This Row],[Spec Type2]]="N/A",Table1[[#This Row],[DUT Adj Read]]="N/A",Table1[[#This Row],[Std Adj Read]]="N/A"),"N/A",IF(Table1[[#This Row],[DUT Adj Read]]="N/A",IF(Table1[[#This Row],[Std Adj Read]]&gt;Table1[[#This Row],[Low Tol]],"Pass","Fail"),IF(Table1[[#This Row],[DUT Adj Read]]&gt;Table1[[#This Row],[Low Tol]],"Pass","Fail")))</f>
        <v>Pass</v>
      </c>
      <c r="AE1045" s="1" t="str">
        <f>IF(AND(Table1[[#This Row],[Spec Type2]]="N/A",Table1[[#This Row],[DUT Adj Read]]="N/A",Table1[[#This Row],[Std Adj Read]]="N/A"),"N/A",IF(Table1[[#This Row],[DUT Adj Read]]="N/A",IF(Table1[[#This Row],[Std Adj Read]]&lt;Table1[[#This Row],[High Tol]],"Pass","Fail"),IF(Table1[[#This Row],[DUT Adj Read]]&lt;Table1[[#This Row],[High Tol]],"Pass","Fail")))</f>
        <v>Fail</v>
      </c>
      <c r="AF1045" s="1" t="str">
        <f>IF(AND(Table1[[#This Row],[Spec Type2]]="N/A",Table1[[#This Row],[DUT Adj Read]]="N/A",Table1[[#This Row],[Std Adj Read]]="N/A"),"N/A",IF(Table1[[#This Row],[DUT Adj Read]]="N/A",IF(Table1[[#This Row],[Std Adj Read]]&gt;=Table1[[#This Row],[Low Tol]],"Pass","Fail"),IF(Table1[[#This Row],[DUT Adj Read]]&gt;=Table1[[#This Row],[Low Tol]],"Pass","Fail")))</f>
        <v>Pass</v>
      </c>
      <c r="AG1045" s="1" t="str">
        <f>IF(AND(Table1[[#This Row],[Spec Type2]]="N/A",Table1[[#This Row],[DUT Adj Read]]="N/A",Table1[[#This Row],[Std Adj Read]]="N/A"),"N/A",IF(Table1[[#This Row],[DUT Adj Read]]="N/A",IF(Table1[[#This Row],[Std Adj Read]]&lt;=Table1[[#This Row],[High Tol]],"Pass","Fail"),IF(Table1[[#This Row],[DUT Adj Read]]&lt;=Table1[[#This Row],[High Tol]],"Pass","Fail")))</f>
        <v>Fail</v>
      </c>
      <c r="AH10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5" s="1" t="b">
        <v>0</v>
      </c>
      <c r="AN1045" s="1" t="b">
        <v>0</v>
      </c>
      <c r="AO1045" s="1" t="b">
        <v>0</v>
      </c>
    </row>
    <row r="1046" spans="1:41" x14ac:dyDescent="0.25">
      <c r="A1046" s="10"/>
      <c r="B1046" s="10"/>
      <c r="C1046" s="10"/>
      <c r="D1046" s="10"/>
      <c r="E1046" s="10"/>
      <c r="F1046" s="10"/>
      <c r="G1046" s="10"/>
      <c r="H1046" s="10"/>
      <c r="I1046" s="1" t="str">
        <f t="shared" si="48"/>
        <v/>
      </c>
      <c r="J1046" s="1" t="s">
        <v>35</v>
      </c>
      <c r="K1046" s="1" t="str">
        <f t="shared" si="49"/>
        <v/>
      </c>
      <c r="L1046" s="1" t="str">
        <f t="shared" si="50"/>
        <v/>
      </c>
      <c r="M1046" s="1">
        <f>IF(OR(Table1[[#This Row],[Std Nom]]="",Table1[[#This Row],[Std Read]]=""),0,Table1[[#This Row],[Std Nom]]-Table1[[#This Row],[Std Read]])</f>
        <v>0</v>
      </c>
      <c r="N1046" s="1">
        <f>IF(Calculations!$F$5="ACCREDITED 17025 WITH UNCERTAINTIES",$N$10,0)</f>
        <v>0</v>
      </c>
      <c r="O1046" s="1" t="str">
        <f>IFERROR(Table1[[#This Row],[Std Nom]]-(_xlfn.XLOOKUP(Table1[[#This Row],[Manufacturer]]&amp;" "&amp;Table1[[#This Row],[Model]],Table13[MFR &amp; MDL],Table13[Tolerance % CW ],"")/100*Table1[[#This Row],[Std Nom]]),"")</f>
        <v/>
      </c>
      <c r="P1046" s="1" t="str">
        <f>IFERROR(Table1[[#This Row],[Std Nom]]+(_xlfn.XLOOKUP(Table1[[#This Row],[Manufacturer]]&amp;" "&amp;Table1[[#This Row],[Model]],Table13[MFR &amp; MDL],Table13[Tolerance % CW ],"")/100*Table1[[#This Row],[Std Nom]]),"")</f>
        <v/>
      </c>
      <c r="Q1046" s="1" t="e">
        <f>Table1[[#This Row],[High Tol]]-Table1[[#This Row],[Low Tol]]</f>
        <v>#VALUE!</v>
      </c>
      <c r="R1046" s="1">
        <f>2*Table1[[#This Row],[Std Error]]</f>
        <v>0</v>
      </c>
      <c r="S1046" s="1" t="str">
        <f>IF(Table1[[#This Row],[High Tol]]="","N/A",IFERROR(ABS(Table1[[#This Row],[Tol Span]]/Table1[[#This Row],[Error Span]]),"N/A"))</f>
        <v>N/A</v>
      </c>
      <c r="T1046" s="1" t="str">
        <f>IF(OR(Table1[[#This Row],[Low Tol]]="",Table1[[#This Row],[High Tol]]=""),"Needs Analysis",IF(Table1[[#This Row],[Ratio]]&gt;=4,"Not Significant",IF(Table1[[#This Row],[Ratio]]&gt;=2,"Semi-Significant","Significant")))</f>
        <v>Needs Analysis</v>
      </c>
      <c r="W1046" s="1">
        <f>IF(Table1[[#This Row],[Cal Type]]&lt;&gt;"ACCREDITED 17025 WITH UNCERTAINTIES",0,"")</f>
        <v>0</v>
      </c>
      <c r="X1046" s="1" t="str">
        <f>IF(Table1[[#This Row],[DUT Read]]="","N/A",Table1[[#This Row],[Std Error]]+Table1[[#This Row],[DUT Read]]+Table1[[#This Row],[DUT Ucty]])</f>
        <v>N/A</v>
      </c>
      <c r="Y1046" s="1" t="str">
        <f>IF(Table1[[#This Row],[Std Read]]="","N/A",Table1[[#This Row],[Std Read]]+Table1[[#This Row],[Std Ucty]])</f>
        <v>N/A</v>
      </c>
      <c r="Z10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6" s="1" t="str">
        <f>IF(Table1[[#This Row],[Spec Type]]="","N/A",Table1[[#This Row],[Spec Type]])</f>
        <v>±</v>
      </c>
      <c r="AC1046" s="1" t="str">
        <f>IF(Table1[[#This Row],[Spec Type2]]="N/A","N/A",IF(AND(Table1[[#This Row],[DUT Adj Read]]&gt;=Table1[[#This Row],[Low Tol]],Table1[[#This Row],[DUT Adj Read]]&lt;=Table1[[#This Row],[High Tol]]),"Pass","Fail"))</f>
        <v>Fail</v>
      </c>
      <c r="AD1046" s="1" t="str">
        <f>IF(AND(Table1[[#This Row],[Spec Type2]]="N/A",Table1[[#This Row],[DUT Adj Read]]="N/A",Table1[[#This Row],[Std Adj Read]]="N/A"),"N/A",IF(Table1[[#This Row],[DUT Adj Read]]="N/A",IF(Table1[[#This Row],[Std Adj Read]]&gt;Table1[[#This Row],[Low Tol]],"Pass","Fail"),IF(Table1[[#This Row],[DUT Adj Read]]&gt;Table1[[#This Row],[Low Tol]],"Pass","Fail")))</f>
        <v>Pass</v>
      </c>
      <c r="AE1046" s="1" t="str">
        <f>IF(AND(Table1[[#This Row],[Spec Type2]]="N/A",Table1[[#This Row],[DUT Adj Read]]="N/A",Table1[[#This Row],[Std Adj Read]]="N/A"),"N/A",IF(Table1[[#This Row],[DUT Adj Read]]="N/A",IF(Table1[[#This Row],[Std Adj Read]]&lt;Table1[[#This Row],[High Tol]],"Pass","Fail"),IF(Table1[[#This Row],[DUT Adj Read]]&lt;Table1[[#This Row],[High Tol]],"Pass","Fail")))</f>
        <v>Fail</v>
      </c>
      <c r="AF1046" s="1" t="str">
        <f>IF(AND(Table1[[#This Row],[Spec Type2]]="N/A",Table1[[#This Row],[DUT Adj Read]]="N/A",Table1[[#This Row],[Std Adj Read]]="N/A"),"N/A",IF(Table1[[#This Row],[DUT Adj Read]]="N/A",IF(Table1[[#This Row],[Std Adj Read]]&gt;=Table1[[#This Row],[Low Tol]],"Pass","Fail"),IF(Table1[[#This Row],[DUT Adj Read]]&gt;=Table1[[#This Row],[Low Tol]],"Pass","Fail")))</f>
        <v>Pass</v>
      </c>
      <c r="AG1046" s="1" t="str">
        <f>IF(AND(Table1[[#This Row],[Spec Type2]]="N/A",Table1[[#This Row],[DUT Adj Read]]="N/A",Table1[[#This Row],[Std Adj Read]]="N/A"),"N/A",IF(Table1[[#This Row],[DUT Adj Read]]="N/A",IF(Table1[[#This Row],[Std Adj Read]]&lt;=Table1[[#This Row],[High Tol]],"Pass","Fail"),IF(Table1[[#This Row],[DUT Adj Read]]&lt;=Table1[[#This Row],[High Tol]],"Pass","Fail")))</f>
        <v>Fail</v>
      </c>
      <c r="AH10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6" s="1" t="b">
        <v>0</v>
      </c>
      <c r="AN1046" s="1" t="b">
        <v>0</v>
      </c>
      <c r="AO1046" s="1" t="b">
        <v>0</v>
      </c>
    </row>
    <row r="1047" spans="1:41" x14ac:dyDescent="0.25">
      <c r="A1047" s="10"/>
      <c r="B1047" s="10"/>
      <c r="C1047" s="10"/>
      <c r="D1047" s="10"/>
      <c r="E1047" s="10"/>
      <c r="F1047" s="10"/>
      <c r="G1047" s="10"/>
      <c r="H1047" s="10"/>
      <c r="I1047" s="1" t="str">
        <f t="shared" si="48"/>
        <v/>
      </c>
      <c r="J1047" s="1" t="s">
        <v>35</v>
      </c>
      <c r="K1047" s="1" t="str">
        <f t="shared" si="49"/>
        <v/>
      </c>
      <c r="L1047" s="1" t="str">
        <f t="shared" si="50"/>
        <v/>
      </c>
      <c r="M1047" s="1">
        <f>IF(OR(Table1[[#This Row],[Std Nom]]="",Table1[[#This Row],[Std Read]]=""),0,Table1[[#This Row],[Std Nom]]-Table1[[#This Row],[Std Read]])</f>
        <v>0</v>
      </c>
      <c r="N1047" s="1">
        <f>IF(Calculations!$F$5="ACCREDITED 17025 WITH UNCERTAINTIES",$N$10,0)</f>
        <v>0</v>
      </c>
      <c r="O1047" s="1" t="str">
        <f>IFERROR(Table1[[#This Row],[Std Nom]]-(_xlfn.XLOOKUP(Table1[[#This Row],[Manufacturer]]&amp;" "&amp;Table1[[#This Row],[Model]],Table13[MFR &amp; MDL],Table13[Tolerance % CW ],"")/100*Table1[[#This Row],[Std Nom]]),"")</f>
        <v/>
      </c>
      <c r="P1047" s="1" t="str">
        <f>IFERROR(Table1[[#This Row],[Std Nom]]+(_xlfn.XLOOKUP(Table1[[#This Row],[Manufacturer]]&amp;" "&amp;Table1[[#This Row],[Model]],Table13[MFR &amp; MDL],Table13[Tolerance % CW ],"")/100*Table1[[#This Row],[Std Nom]]),"")</f>
        <v/>
      </c>
      <c r="Q1047" s="1" t="e">
        <f>Table1[[#This Row],[High Tol]]-Table1[[#This Row],[Low Tol]]</f>
        <v>#VALUE!</v>
      </c>
      <c r="R1047" s="1">
        <f>2*Table1[[#This Row],[Std Error]]</f>
        <v>0</v>
      </c>
      <c r="S1047" s="1" t="str">
        <f>IF(Table1[[#This Row],[High Tol]]="","N/A",IFERROR(ABS(Table1[[#This Row],[Tol Span]]/Table1[[#This Row],[Error Span]]),"N/A"))</f>
        <v>N/A</v>
      </c>
      <c r="T1047" s="1" t="str">
        <f>IF(OR(Table1[[#This Row],[Low Tol]]="",Table1[[#This Row],[High Tol]]=""),"Needs Analysis",IF(Table1[[#This Row],[Ratio]]&gt;=4,"Not Significant",IF(Table1[[#This Row],[Ratio]]&gt;=2,"Semi-Significant","Significant")))</f>
        <v>Needs Analysis</v>
      </c>
      <c r="W1047" s="1">
        <f>IF(Table1[[#This Row],[Cal Type]]&lt;&gt;"ACCREDITED 17025 WITH UNCERTAINTIES",0,"")</f>
        <v>0</v>
      </c>
      <c r="X1047" s="1" t="str">
        <f>IF(Table1[[#This Row],[DUT Read]]="","N/A",Table1[[#This Row],[Std Error]]+Table1[[#This Row],[DUT Read]]+Table1[[#This Row],[DUT Ucty]])</f>
        <v>N/A</v>
      </c>
      <c r="Y1047" s="1" t="str">
        <f>IF(Table1[[#This Row],[Std Read]]="","N/A",Table1[[#This Row],[Std Read]]+Table1[[#This Row],[Std Ucty]])</f>
        <v>N/A</v>
      </c>
      <c r="Z10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7" s="1" t="str">
        <f>IF(Table1[[#This Row],[Spec Type]]="","N/A",Table1[[#This Row],[Spec Type]])</f>
        <v>±</v>
      </c>
      <c r="AC1047" s="1" t="str">
        <f>IF(Table1[[#This Row],[Spec Type2]]="N/A","N/A",IF(AND(Table1[[#This Row],[DUT Adj Read]]&gt;=Table1[[#This Row],[Low Tol]],Table1[[#This Row],[DUT Adj Read]]&lt;=Table1[[#This Row],[High Tol]]),"Pass","Fail"))</f>
        <v>Fail</v>
      </c>
      <c r="AD1047" s="1" t="str">
        <f>IF(AND(Table1[[#This Row],[Spec Type2]]="N/A",Table1[[#This Row],[DUT Adj Read]]="N/A",Table1[[#This Row],[Std Adj Read]]="N/A"),"N/A",IF(Table1[[#This Row],[DUT Adj Read]]="N/A",IF(Table1[[#This Row],[Std Adj Read]]&gt;Table1[[#This Row],[Low Tol]],"Pass","Fail"),IF(Table1[[#This Row],[DUT Adj Read]]&gt;Table1[[#This Row],[Low Tol]],"Pass","Fail")))</f>
        <v>Pass</v>
      </c>
      <c r="AE1047" s="1" t="str">
        <f>IF(AND(Table1[[#This Row],[Spec Type2]]="N/A",Table1[[#This Row],[DUT Adj Read]]="N/A",Table1[[#This Row],[Std Adj Read]]="N/A"),"N/A",IF(Table1[[#This Row],[DUT Adj Read]]="N/A",IF(Table1[[#This Row],[Std Adj Read]]&lt;Table1[[#This Row],[High Tol]],"Pass","Fail"),IF(Table1[[#This Row],[DUT Adj Read]]&lt;Table1[[#This Row],[High Tol]],"Pass","Fail")))</f>
        <v>Fail</v>
      </c>
      <c r="AF1047" s="1" t="str">
        <f>IF(AND(Table1[[#This Row],[Spec Type2]]="N/A",Table1[[#This Row],[DUT Adj Read]]="N/A",Table1[[#This Row],[Std Adj Read]]="N/A"),"N/A",IF(Table1[[#This Row],[DUT Adj Read]]="N/A",IF(Table1[[#This Row],[Std Adj Read]]&gt;=Table1[[#This Row],[Low Tol]],"Pass","Fail"),IF(Table1[[#This Row],[DUT Adj Read]]&gt;=Table1[[#This Row],[Low Tol]],"Pass","Fail")))</f>
        <v>Pass</v>
      </c>
      <c r="AG1047" s="1" t="str">
        <f>IF(AND(Table1[[#This Row],[Spec Type2]]="N/A",Table1[[#This Row],[DUT Adj Read]]="N/A",Table1[[#This Row],[Std Adj Read]]="N/A"),"N/A",IF(Table1[[#This Row],[DUT Adj Read]]="N/A",IF(Table1[[#This Row],[Std Adj Read]]&lt;=Table1[[#This Row],[High Tol]],"Pass","Fail"),IF(Table1[[#This Row],[DUT Adj Read]]&lt;=Table1[[#This Row],[High Tol]],"Pass","Fail")))</f>
        <v>Fail</v>
      </c>
      <c r="AH10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7" s="1" t="b">
        <v>0</v>
      </c>
      <c r="AN1047" s="1" t="b">
        <v>0</v>
      </c>
      <c r="AO1047" s="1" t="b">
        <v>0</v>
      </c>
    </row>
    <row r="1048" spans="1:41" x14ac:dyDescent="0.25">
      <c r="A1048" s="10"/>
      <c r="B1048" s="10"/>
      <c r="C1048" s="10"/>
      <c r="D1048" s="10"/>
      <c r="E1048" s="10"/>
      <c r="F1048" s="10"/>
      <c r="G1048" s="10"/>
      <c r="H1048" s="10"/>
      <c r="I1048" s="1" t="str">
        <f t="shared" si="48"/>
        <v/>
      </c>
      <c r="J1048" s="1" t="s">
        <v>35</v>
      </c>
      <c r="K1048" s="1" t="str">
        <f t="shared" si="49"/>
        <v/>
      </c>
      <c r="L1048" s="1" t="str">
        <f t="shared" si="50"/>
        <v/>
      </c>
      <c r="M1048" s="1">
        <f>IF(OR(Table1[[#This Row],[Std Nom]]="",Table1[[#This Row],[Std Read]]=""),0,Table1[[#This Row],[Std Nom]]-Table1[[#This Row],[Std Read]])</f>
        <v>0</v>
      </c>
      <c r="N1048" s="1">
        <f>IF(Calculations!$F$5="ACCREDITED 17025 WITH UNCERTAINTIES",$N$10,0)</f>
        <v>0</v>
      </c>
      <c r="O1048" s="1" t="str">
        <f>IFERROR(Table1[[#This Row],[Std Nom]]-(_xlfn.XLOOKUP(Table1[[#This Row],[Manufacturer]]&amp;" "&amp;Table1[[#This Row],[Model]],Table13[MFR &amp; MDL],Table13[Tolerance % CW ],"")/100*Table1[[#This Row],[Std Nom]]),"")</f>
        <v/>
      </c>
      <c r="P1048" s="1" t="str">
        <f>IFERROR(Table1[[#This Row],[Std Nom]]+(_xlfn.XLOOKUP(Table1[[#This Row],[Manufacturer]]&amp;" "&amp;Table1[[#This Row],[Model]],Table13[MFR &amp; MDL],Table13[Tolerance % CW ],"")/100*Table1[[#This Row],[Std Nom]]),"")</f>
        <v/>
      </c>
      <c r="Q1048" s="1" t="e">
        <f>Table1[[#This Row],[High Tol]]-Table1[[#This Row],[Low Tol]]</f>
        <v>#VALUE!</v>
      </c>
      <c r="R1048" s="1">
        <f>2*Table1[[#This Row],[Std Error]]</f>
        <v>0</v>
      </c>
      <c r="S1048" s="1" t="str">
        <f>IF(Table1[[#This Row],[High Tol]]="","N/A",IFERROR(ABS(Table1[[#This Row],[Tol Span]]/Table1[[#This Row],[Error Span]]),"N/A"))</f>
        <v>N/A</v>
      </c>
      <c r="T1048" s="1" t="str">
        <f>IF(OR(Table1[[#This Row],[Low Tol]]="",Table1[[#This Row],[High Tol]]=""),"Needs Analysis",IF(Table1[[#This Row],[Ratio]]&gt;=4,"Not Significant",IF(Table1[[#This Row],[Ratio]]&gt;=2,"Semi-Significant","Significant")))</f>
        <v>Needs Analysis</v>
      </c>
      <c r="W1048" s="1">
        <f>IF(Table1[[#This Row],[Cal Type]]&lt;&gt;"ACCREDITED 17025 WITH UNCERTAINTIES",0,"")</f>
        <v>0</v>
      </c>
      <c r="X1048" s="1" t="str">
        <f>IF(Table1[[#This Row],[DUT Read]]="","N/A",Table1[[#This Row],[Std Error]]+Table1[[#This Row],[DUT Read]]+Table1[[#This Row],[DUT Ucty]])</f>
        <v>N/A</v>
      </c>
      <c r="Y1048" s="1" t="str">
        <f>IF(Table1[[#This Row],[Std Read]]="","N/A",Table1[[#This Row],[Std Read]]+Table1[[#This Row],[Std Ucty]])</f>
        <v>N/A</v>
      </c>
      <c r="Z10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8" s="1" t="str">
        <f>IF(Table1[[#This Row],[Spec Type]]="","N/A",Table1[[#This Row],[Spec Type]])</f>
        <v>±</v>
      </c>
      <c r="AC1048" s="1" t="str">
        <f>IF(Table1[[#This Row],[Spec Type2]]="N/A","N/A",IF(AND(Table1[[#This Row],[DUT Adj Read]]&gt;=Table1[[#This Row],[Low Tol]],Table1[[#This Row],[DUT Adj Read]]&lt;=Table1[[#This Row],[High Tol]]),"Pass","Fail"))</f>
        <v>Fail</v>
      </c>
      <c r="AD1048" s="1" t="str">
        <f>IF(AND(Table1[[#This Row],[Spec Type2]]="N/A",Table1[[#This Row],[DUT Adj Read]]="N/A",Table1[[#This Row],[Std Adj Read]]="N/A"),"N/A",IF(Table1[[#This Row],[DUT Adj Read]]="N/A",IF(Table1[[#This Row],[Std Adj Read]]&gt;Table1[[#This Row],[Low Tol]],"Pass","Fail"),IF(Table1[[#This Row],[DUT Adj Read]]&gt;Table1[[#This Row],[Low Tol]],"Pass","Fail")))</f>
        <v>Pass</v>
      </c>
      <c r="AE1048" s="1" t="str">
        <f>IF(AND(Table1[[#This Row],[Spec Type2]]="N/A",Table1[[#This Row],[DUT Adj Read]]="N/A",Table1[[#This Row],[Std Adj Read]]="N/A"),"N/A",IF(Table1[[#This Row],[DUT Adj Read]]="N/A",IF(Table1[[#This Row],[Std Adj Read]]&lt;Table1[[#This Row],[High Tol]],"Pass","Fail"),IF(Table1[[#This Row],[DUT Adj Read]]&lt;Table1[[#This Row],[High Tol]],"Pass","Fail")))</f>
        <v>Fail</v>
      </c>
      <c r="AF1048" s="1" t="str">
        <f>IF(AND(Table1[[#This Row],[Spec Type2]]="N/A",Table1[[#This Row],[DUT Adj Read]]="N/A",Table1[[#This Row],[Std Adj Read]]="N/A"),"N/A",IF(Table1[[#This Row],[DUT Adj Read]]="N/A",IF(Table1[[#This Row],[Std Adj Read]]&gt;=Table1[[#This Row],[Low Tol]],"Pass","Fail"),IF(Table1[[#This Row],[DUT Adj Read]]&gt;=Table1[[#This Row],[Low Tol]],"Pass","Fail")))</f>
        <v>Pass</v>
      </c>
      <c r="AG1048" s="1" t="str">
        <f>IF(AND(Table1[[#This Row],[Spec Type2]]="N/A",Table1[[#This Row],[DUT Adj Read]]="N/A",Table1[[#This Row],[Std Adj Read]]="N/A"),"N/A",IF(Table1[[#This Row],[DUT Adj Read]]="N/A",IF(Table1[[#This Row],[Std Adj Read]]&lt;=Table1[[#This Row],[High Tol]],"Pass","Fail"),IF(Table1[[#This Row],[DUT Adj Read]]&lt;=Table1[[#This Row],[High Tol]],"Pass","Fail")))</f>
        <v>Fail</v>
      </c>
      <c r="AH10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8" s="1" t="b">
        <v>0</v>
      </c>
      <c r="AN1048" s="1" t="b">
        <v>0</v>
      </c>
      <c r="AO1048" s="1" t="b">
        <v>0</v>
      </c>
    </row>
    <row r="1049" spans="1:41" x14ac:dyDescent="0.25">
      <c r="A1049" s="10"/>
      <c r="B1049" s="10"/>
      <c r="C1049" s="10"/>
      <c r="D1049" s="10"/>
      <c r="E1049" s="10"/>
      <c r="F1049" s="10"/>
      <c r="G1049" s="10"/>
      <c r="H1049" s="10"/>
      <c r="I1049" s="1" t="str">
        <f t="shared" si="48"/>
        <v/>
      </c>
      <c r="J1049" s="1" t="s">
        <v>35</v>
      </c>
      <c r="K1049" s="1" t="str">
        <f t="shared" si="49"/>
        <v/>
      </c>
      <c r="L1049" s="1" t="str">
        <f t="shared" si="50"/>
        <v/>
      </c>
      <c r="M1049" s="1">
        <f>IF(OR(Table1[[#This Row],[Std Nom]]="",Table1[[#This Row],[Std Read]]=""),0,Table1[[#This Row],[Std Nom]]-Table1[[#This Row],[Std Read]])</f>
        <v>0</v>
      </c>
      <c r="N1049" s="1">
        <f>IF(Calculations!$F$5="ACCREDITED 17025 WITH UNCERTAINTIES",$N$10,0)</f>
        <v>0</v>
      </c>
      <c r="O1049" s="1" t="str">
        <f>IFERROR(Table1[[#This Row],[Std Nom]]-(_xlfn.XLOOKUP(Table1[[#This Row],[Manufacturer]]&amp;" "&amp;Table1[[#This Row],[Model]],Table13[MFR &amp; MDL],Table13[Tolerance % CW ],"")/100*Table1[[#This Row],[Std Nom]]),"")</f>
        <v/>
      </c>
      <c r="P1049" s="1" t="str">
        <f>IFERROR(Table1[[#This Row],[Std Nom]]+(_xlfn.XLOOKUP(Table1[[#This Row],[Manufacturer]]&amp;" "&amp;Table1[[#This Row],[Model]],Table13[MFR &amp; MDL],Table13[Tolerance % CW ],"")/100*Table1[[#This Row],[Std Nom]]),"")</f>
        <v/>
      </c>
      <c r="Q1049" s="1" t="e">
        <f>Table1[[#This Row],[High Tol]]-Table1[[#This Row],[Low Tol]]</f>
        <v>#VALUE!</v>
      </c>
      <c r="R1049" s="1">
        <f>2*Table1[[#This Row],[Std Error]]</f>
        <v>0</v>
      </c>
      <c r="S1049" s="1" t="str">
        <f>IF(Table1[[#This Row],[High Tol]]="","N/A",IFERROR(ABS(Table1[[#This Row],[Tol Span]]/Table1[[#This Row],[Error Span]]),"N/A"))</f>
        <v>N/A</v>
      </c>
      <c r="T1049" s="1" t="str">
        <f>IF(OR(Table1[[#This Row],[Low Tol]]="",Table1[[#This Row],[High Tol]]=""),"Needs Analysis",IF(Table1[[#This Row],[Ratio]]&gt;=4,"Not Significant",IF(Table1[[#This Row],[Ratio]]&gt;=2,"Semi-Significant","Significant")))</f>
        <v>Needs Analysis</v>
      </c>
      <c r="W1049" s="1">
        <f>IF(Table1[[#This Row],[Cal Type]]&lt;&gt;"ACCREDITED 17025 WITH UNCERTAINTIES",0,"")</f>
        <v>0</v>
      </c>
      <c r="X1049" s="1" t="str">
        <f>IF(Table1[[#This Row],[DUT Read]]="","N/A",Table1[[#This Row],[Std Error]]+Table1[[#This Row],[DUT Read]]+Table1[[#This Row],[DUT Ucty]])</f>
        <v>N/A</v>
      </c>
      <c r="Y1049" s="1" t="str">
        <f>IF(Table1[[#This Row],[Std Read]]="","N/A",Table1[[#This Row],[Std Read]]+Table1[[#This Row],[Std Ucty]])</f>
        <v>N/A</v>
      </c>
      <c r="Z10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9" s="1" t="str">
        <f>IF(Table1[[#This Row],[Spec Type]]="","N/A",Table1[[#This Row],[Spec Type]])</f>
        <v>±</v>
      </c>
      <c r="AC1049" s="1" t="str">
        <f>IF(Table1[[#This Row],[Spec Type2]]="N/A","N/A",IF(AND(Table1[[#This Row],[DUT Adj Read]]&gt;=Table1[[#This Row],[Low Tol]],Table1[[#This Row],[DUT Adj Read]]&lt;=Table1[[#This Row],[High Tol]]),"Pass","Fail"))</f>
        <v>Fail</v>
      </c>
      <c r="AD1049" s="1" t="str">
        <f>IF(AND(Table1[[#This Row],[Spec Type2]]="N/A",Table1[[#This Row],[DUT Adj Read]]="N/A",Table1[[#This Row],[Std Adj Read]]="N/A"),"N/A",IF(Table1[[#This Row],[DUT Adj Read]]="N/A",IF(Table1[[#This Row],[Std Adj Read]]&gt;Table1[[#This Row],[Low Tol]],"Pass","Fail"),IF(Table1[[#This Row],[DUT Adj Read]]&gt;Table1[[#This Row],[Low Tol]],"Pass","Fail")))</f>
        <v>Pass</v>
      </c>
      <c r="AE1049" s="1" t="str">
        <f>IF(AND(Table1[[#This Row],[Spec Type2]]="N/A",Table1[[#This Row],[DUT Adj Read]]="N/A",Table1[[#This Row],[Std Adj Read]]="N/A"),"N/A",IF(Table1[[#This Row],[DUT Adj Read]]="N/A",IF(Table1[[#This Row],[Std Adj Read]]&lt;Table1[[#This Row],[High Tol]],"Pass","Fail"),IF(Table1[[#This Row],[DUT Adj Read]]&lt;Table1[[#This Row],[High Tol]],"Pass","Fail")))</f>
        <v>Fail</v>
      </c>
      <c r="AF1049" s="1" t="str">
        <f>IF(AND(Table1[[#This Row],[Spec Type2]]="N/A",Table1[[#This Row],[DUT Adj Read]]="N/A",Table1[[#This Row],[Std Adj Read]]="N/A"),"N/A",IF(Table1[[#This Row],[DUT Adj Read]]="N/A",IF(Table1[[#This Row],[Std Adj Read]]&gt;=Table1[[#This Row],[Low Tol]],"Pass","Fail"),IF(Table1[[#This Row],[DUT Adj Read]]&gt;=Table1[[#This Row],[Low Tol]],"Pass","Fail")))</f>
        <v>Pass</v>
      </c>
      <c r="AG1049" s="1" t="str">
        <f>IF(AND(Table1[[#This Row],[Spec Type2]]="N/A",Table1[[#This Row],[DUT Adj Read]]="N/A",Table1[[#This Row],[Std Adj Read]]="N/A"),"N/A",IF(Table1[[#This Row],[DUT Adj Read]]="N/A",IF(Table1[[#This Row],[Std Adj Read]]&lt;=Table1[[#This Row],[High Tol]],"Pass","Fail"),IF(Table1[[#This Row],[DUT Adj Read]]&lt;=Table1[[#This Row],[High Tol]],"Pass","Fail")))</f>
        <v>Fail</v>
      </c>
      <c r="AH10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9" s="1" t="b">
        <v>0</v>
      </c>
      <c r="AN1049" s="1" t="b">
        <v>0</v>
      </c>
      <c r="AO1049" s="1" t="b">
        <v>0</v>
      </c>
    </row>
    <row r="1050" spans="1:41" x14ac:dyDescent="0.25">
      <c r="A1050" s="10"/>
      <c r="B1050" s="10"/>
      <c r="C1050" s="10"/>
      <c r="D1050" s="10"/>
      <c r="E1050" s="10"/>
      <c r="F1050" s="10"/>
      <c r="G1050" s="10"/>
      <c r="H1050" s="10"/>
      <c r="I1050" s="1" t="str">
        <f t="shared" si="48"/>
        <v/>
      </c>
      <c r="J1050" s="1" t="s">
        <v>35</v>
      </c>
      <c r="K1050" s="1" t="str">
        <f t="shared" si="49"/>
        <v/>
      </c>
      <c r="L1050" s="1" t="str">
        <f t="shared" si="50"/>
        <v/>
      </c>
      <c r="M1050" s="1">
        <f>IF(OR(Table1[[#This Row],[Std Nom]]="",Table1[[#This Row],[Std Read]]=""),0,Table1[[#This Row],[Std Nom]]-Table1[[#This Row],[Std Read]])</f>
        <v>0</v>
      </c>
      <c r="N1050" s="1">
        <f>IF(Calculations!$F$5="ACCREDITED 17025 WITH UNCERTAINTIES",$N$10,0)</f>
        <v>0</v>
      </c>
      <c r="O1050" s="1" t="str">
        <f>IFERROR(Table1[[#This Row],[Std Nom]]-(_xlfn.XLOOKUP(Table1[[#This Row],[Manufacturer]]&amp;" "&amp;Table1[[#This Row],[Model]],Table13[MFR &amp; MDL],Table13[Tolerance % CW ],"")/100*Table1[[#This Row],[Std Nom]]),"")</f>
        <v/>
      </c>
      <c r="P1050" s="1" t="str">
        <f>IFERROR(Table1[[#This Row],[Std Nom]]+(_xlfn.XLOOKUP(Table1[[#This Row],[Manufacturer]]&amp;" "&amp;Table1[[#This Row],[Model]],Table13[MFR &amp; MDL],Table13[Tolerance % CW ],"")/100*Table1[[#This Row],[Std Nom]]),"")</f>
        <v/>
      </c>
      <c r="Q1050" s="1" t="e">
        <f>Table1[[#This Row],[High Tol]]-Table1[[#This Row],[Low Tol]]</f>
        <v>#VALUE!</v>
      </c>
      <c r="R1050" s="1">
        <f>2*Table1[[#This Row],[Std Error]]</f>
        <v>0</v>
      </c>
      <c r="S1050" s="1" t="str">
        <f>IF(Table1[[#This Row],[High Tol]]="","N/A",IFERROR(ABS(Table1[[#This Row],[Tol Span]]/Table1[[#This Row],[Error Span]]),"N/A"))</f>
        <v>N/A</v>
      </c>
      <c r="T1050" s="1" t="str">
        <f>IF(OR(Table1[[#This Row],[Low Tol]]="",Table1[[#This Row],[High Tol]]=""),"Needs Analysis",IF(Table1[[#This Row],[Ratio]]&gt;=4,"Not Significant",IF(Table1[[#This Row],[Ratio]]&gt;=2,"Semi-Significant","Significant")))</f>
        <v>Needs Analysis</v>
      </c>
      <c r="W1050" s="1">
        <f>IF(Table1[[#This Row],[Cal Type]]&lt;&gt;"ACCREDITED 17025 WITH UNCERTAINTIES",0,"")</f>
        <v>0</v>
      </c>
      <c r="X1050" s="1" t="str">
        <f>IF(Table1[[#This Row],[DUT Read]]="","N/A",Table1[[#This Row],[Std Error]]+Table1[[#This Row],[DUT Read]]+Table1[[#This Row],[DUT Ucty]])</f>
        <v>N/A</v>
      </c>
      <c r="Y1050" s="1" t="str">
        <f>IF(Table1[[#This Row],[Std Read]]="","N/A",Table1[[#This Row],[Std Read]]+Table1[[#This Row],[Std Ucty]])</f>
        <v>N/A</v>
      </c>
      <c r="Z10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0" s="1" t="str">
        <f>IF(Table1[[#This Row],[Spec Type]]="","N/A",Table1[[#This Row],[Spec Type]])</f>
        <v>±</v>
      </c>
      <c r="AC1050" s="1" t="str">
        <f>IF(Table1[[#This Row],[Spec Type2]]="N/A","N/A",IF(AND(Table1[[#This Row],[DUT Adj Read]]&gt;=Table1[[#This Row],[Low Tol]],Table1[[#This Row],[DUT Adj Read]]&lt;=Table1[[#This Row],[High Tol]]),"Pass","Fail"))</f>
        <v>Fail</v>
      </c>
      <c r="AD1050" s="1" t="str">
        <f>IF(AND(Table1[[#This Row],[Spec Type2]]="N/A",Table1[[#This Row],[DUT Adj Read]]="N/A",Table1[[#This Row],[Std Adj Read]]="N/A"),"N/A",IF(Table1[[#This Row],[DUT Adj Read]]="N/A",IF(Table1[[#This Row],[Std Adj Read]]&gt;Table1[[#This Row],[Low Tol]],"Pass","Fail"),IF(Table1[[#This Row],[DUT Adj Read]]&gt;Table1[[#This Row],[Low Tol]],"Pass","Fail")))</f>
        <v>Pass</v>
      </c>
      <c r="AE1050" s="1" t="str">
        <f>IF(AND(Table1[[#This Row],[Spec Type2]]="N/A",Table1[[#This Row],[DUT Adj Read]]="N/A",Table1[[#This Row],[Std Adj Read]]="N/A"),"N/A",IF(Table1[[#This Row],[DUT Adj Read]]="N/A",IF(Table1[[#This Row],[Std Adj Read]]&lt;Table1[[#This Row],[High Tol]],"Pass","Fail"),IF(Table1[[#This Row],[DUT Adj Read]]&lt;Table1[[#This Row],[High Tol]],"Pass","Fail")))</f>
        <v>Fail</v>
      </c>
      <c r="AF1050" s="1" t="str">
        <f>IF(AND(Table1[[#This Row],[Spec Type2]]="N/A",Table1[[#This Row],[DUT Adj Read]]="N/A",Table1[[#This Row],[Std Adj Read]]="N/A"),"N/A",IF(Table1[[#This Row],[DUT Adj Read]]="N/A",IF(Table1[[#This Row],[Std Adj Read]]&gt;=Table1[[#This Row],[Low Tol]],"Pass","Fail"),IF(Table1[[#This Row],[DUT Adj Read]]&gt;=Table1[[#This Row],[Low Tol]],"Pass","Fail")))</f>
        <v>Pass</v>
      </c>
      <c r="AG1050" s="1" t="str">
        <f>IF(AND(Table1[[#This Row],[Spec Type2]]="N/A",Table1[[#This Row],[DUT Adj Read]]="N/A",Table1[[#This Row],[Std Adj Read]]="N/A"),"N/A",IF(Table1[[#This Row],[DUT Adj Read]]="N/A",IF(Table1[[#This Row],[Std Adj Read]]&lt;=Table1[[#This Row],[High Tol]],"Pass","Fail"),IF(Table1[[#This Row],[DUT Adj Read]]&lt;=Table1[[#This Row],[High Tol]],"Pass","Fail")))</f>
        <v>Fail</v>
      </c>
      <c r="AH10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0" s="1" t="b">
        <v>0</v>
      </c>
      <c r="AN1050" s="1" t="b">
        <v>0</v>
      </c>
      <c r="AO1050" s="1" t="b">
        <v>0</v>
      </c>
    </row>
    <row r="1051" spans="1:41" x14ac:dyDescent="0.25">
      <c r="A1051" s="10"/>
      <c r="B1051" s="10"/>
      <c r="C1051" s="10"/>
      <c r="D1051" s="10"/>
      <c r="E1051" s="10"/>
      <c r="F1051" s="10"/>
      <c r="G1051" s="10"/>
      <c r="H1051" s="10"/>
      <c r="I1051" s="1" t="str">
        <f t="shared" si="48"/>
        <v/>
      </c>
      <c r="J1051" s="1" t="s">
        <v>35</v>
      </c>
      <c r="K1051" s="1" t="str">
        <f t="shared" si="49"/>
        <v/>
      </c>
      <c r="L1051" s="1" t="str">
        <f t="shared" si="50"/>
        <v/>
      </c>
      <c r="M1051" s="1">
        <f>IF(OR(Table1[[#This Row],[Std Nom]]="",Table1[[#This Row],[Std Read]]=""),0,Table1[[#This Row],[Std Nom]]-Table1[[#This Row],[Std Read]])</f>
        <v>0</v>
      </c>
      <c r="N1051" s="1">
        <f>IF(Calculations!$F$5="ACCREDITED 17025 WITH UNCERTAINTIES",$N$10,0)</f>
        <v>0</v>
      </c>
      <c r="O1051" s="1" t="str">
        <f>IFERROR(Table1[[#This Row],[Std Nom]]-(_xlfn.XLOOKUP(Table1[[#This Row],[Manufacturer]]&amp;" "&amp;Table1[[#This Row],[Model]],Table13[MFR &amp; MDL],Table13[Tolerance % CW ],"")/100*Table1[[#This Row],[Std Nom]]),"")</f>
        <v/>
      </c>
      <c r="P1051" s="1" t="str">
        <f>IFERROR(Table1[[#This Row],[Std Nom]]+(_xlfn.XLOOKUP(Table1[[#This Row],[Manufacturer]]&amp;" "&amp;Table1[[#This Row],[Model]],Table13[MFR &amp; MDL],Table13[Tolerance % CW ],"")/100*Table1[[#This Row],[Std Nom]]),"")</f>
        <v/>
      </c>
      <c r="Q1051" s="1" t="e">
        <f>Table1[[#This Row],[High Tol]]-Table1[[#This Row],[Low Tol]]</f>
        <v>#VALUE!</v>
      </c>
      <c r="R1051" s="1">
        <f>2*Table1[[#This Row],[Std Error]]</f>
        <v>0</v>
      </c>
      <c r="S1051" s="1" t="str">
        <f>IF(Table1[[#This Row],[High Tol]]="","N/A",IFERROR(ABS(Table1[[#This Row],[Tol Span]]/Table1[[#This Row],[Error Span]]),"N/A"))</f>
        <v>N/A</v>
      </c>
      <c r="T1051" s="1" t="str">
        <f>IF(OR(Table1[[#This Row],[Low Tol]]="",Table1[[#This Row],[High Tol]]=""),"Needs Analysis",IF(Table1[[#This Row],[Ratio]]&gt;=4,"Not Significant",IF(Table1[[#This Row],[Ratio]]&gt;=2,"Semi-Significant","Significant")))</f>
        <v>Needs Analysis</v>
      </c>
      <c r="W1051" s="1">
        <f>IF(Table1[[#This Row],[Cal Type]]&lt;&gt;"ACCREDITED 17025 WITH UNCERTAINTIES",0,"")</f>
        <v>0</v>
      </c>
      <c r="X1051" s="1" t="str">
        <f>IF(Table1[[#This Row],[DUT Read]]="","N/A",Table1[[#This Row],[Std Error]]+Table1[[#This Row],[DUT Read]]+Table1[[#This Row],[DUT Ucty]])</f>
        <v>N/A</v>
      </c>
      <c r="Y1051" s="1" t="str">
        <f>IF(Table1[[#This Row],[Std Read]]="","N/A",Table1[[#This Row],[Std Read]]+Table1[[#This Row],[Std Ucty]])</f>
        <v>N/A</v>
      </c>
      <c r="Z10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1" s="1" t="str">
        <f>IF(Table1[[#This Row],[Spec Type]]="","N/A",Table1[[#This Row],[Spec Type]])</f>
        <v>±</v>
      </c>
      <c r="AC1051" s="1" t="str">
        <f>IF(Table1[[#This Row],[Spec Type2]]="N/A","N/A",IF(AND(Table1[[#This Row],[DUT Adj Read]]&gt;=Table1[[#This Row],[Low Tol]],Table1[[#This Row],[DUT Adj Read]]&lt;=Table1[[#This Row],[High Tol]]),"Pass","Fail"))</f>
        <v>Fail</v>
      </c>
      <c r="AD1051" s="1" t="str">
        <f>IF(AND(Table1[[#This Row],[Spec Type2]]="N/A",Table1[[#This Row],[DUT Adj Read]]="N/A",Table1[[#This Row],[Std Adj Read]]="N/A"),"N/A",IF(Table1[[#This Row],[DUT Adj Read]]="N/A",IF(Table1[[#This Row],[Std Adj Read]]&gt;Table1[[#This Row],[Low Tol]],"Pass","Fail"),IF(Table1[[#This Row],[DUT Adj Read]]&gt;Table1[[#This Row],[Low Tol]],"Pass","Fail")))</f>
        <v>Pass</v>
      </c>
      <c r="AE1051" s="1" t="str">
        <f>IF(AND(Table1[[#This Row],[Spec Type2]]="N/A",Table1[[#This Row],[DUT Adj Read]]="N/A",Table1[[#This Row],[Std Adj Read]]="N/A"),"N/A",IF(Table1[[#This Row],[DUT Adj Read]]="N/A",IF(Table1[[#This Row],[Std Adj Read]]&lt;Table1[[#This Row],[High Tol]],"Pass","Fail"),IF(Table1[[#This Row],[DUT Adj Read]]&lt;Table1[[#This Row],[High Tol]],"Pass","Fail")))</f>
        <v>Fail</v>
      </c>
      <c r="AF1051" s="1" t="str">
        <f>IF(AND(Table1[[#This Row],[Spec Type2]]="N/A",Table1[[#This Row],[DUT Adj Read]]="N/A",Table1[[#This Row],[Std Adj Read]]="N/A"),"N/A",IF(Table1[[#This Row],[DUT Adj Read]]="N/A",IF(Table1[[#This Row],[Std Adj Read]]&gt;=Table1[[#This Row],[Low Tol]],"Pass","Fail"),IF(Table1[[#This Row],[DUT Adj Read]]&gt;=Table1[[#This Row],[Low Tol]],"Pass","Fail")))</f>
        <v>Pass</v>
      </c>
      <c r="AG1051" s="1" t="str">
        <f>IF(AND(Table1[[#This Row],[Spec Type2]]="N/A",Table1[[#This Row],[DUT Adj Read]]="N/A",Table1[[#This Row],[Std Adj Read]]="N/A"),"N/A",IF(Table1[[#This Row],[DUT Adj Read]]="N/A",IF(Table1[[#This Row],[Std Adj Read]]&lt;=Table1[[#This Row],[High Tol]],"Pass","Fail"),IF(Table1[[#This Row],[DUT Adj Read]]&lt;=Table1[[#This Row],[High Tol]],"Pass","Fail")))</f>
        <v>Fail</v>
      </c>
      <c r="AH10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1" s="1" t="b">
        <v>0</v>
      </c>
      <c r="AN1051" s="1" t="b">
        <v>0</v>
      </c>
      <c r="AO1051" s="1" t="b">
        <v>0</v>
      </c>
    </row>
    <row r="1052" spans="1:41" x14ac:dyDescent="0.25">
      <c r="A1052" s="10"/>
      <c r="B1052" s="10"/>
      <c r="C1052" s="10"/>
      <c r="D1052" s="10"/>
      <c r="E1052" s="10"/>
      <c r="F1052" s="10"/>
      <c r="G1052" s="10"/>
      <c r="H1052" s="10"/>
      <c r="I1052" s="1" t="str">
        <f t="shared" si="48"/>
        <v/>
      </c>
      <c r="J1052" s="1" t="s">
        <v>35</v>
      </c>
      <c r="K1052" s="1" t="str">
        <f t="shared" si="49"/>
        <v/>
      </c>
      <c r="L1052" s="1" t="str">
        <f t="shared" si="50"/>
        <v/>
      </c>
      <c r="M1052" s="1">
        <f>IF(OR(Table1[[#This Row],[Std Nom]]="",Table1[[#This Row],[Std Read]]=""),0,Table1[[#This Row],[Std Nom]]-Table1[[#This Row],[Std Read]])</f>
        <v>0</v>
      </c>
      <c r="N1052" s="1">
        <f>IF(Calculations!$F$5="ACCREDITED 17025 WITH UNCERTAINTIES",$N$10,0)</f>
        <v>0</v>
      </c>
      <c r="O1052" s="1" t="str">
        <f>IFERROR(Table1[[#This Row],[Std Nom]]-(_xlfn.XLOOKUP(Table1[[#This Row],[Manufacturer]]&amp;" "&amp;Table1[[#This Row],[Model]],Table13[MFR &amp; MDL],Table13[Tolerance % CW ],"")/100*Table1[[#This Row],[Std Nom]]),"")</f>
        <v/>
      </c>
      <c r="P1052" s="1" t="str">
        <f>IFERROR(Table1[[#This Row],[Std Nom]]+(_xlfn.XLOOKUP(Table1[[#This Row],[Manufacturer]]&amp;" "&amp;Table1[[#This Row],[Model]],Table13[MFR &amp; MDL],Table13[Tolerance % CW ],"")/100*Table1[[#This Row],[Std Nom]]),"")</f>
        <v/>
      </c>
      <c r="Q1052" s="1" t="e">
        <f>Table1[[#This Row],[High Tol]]-Table1[[#This Row],[Low Tol]]</f>
        <v>#VALUE!</v>
      </c>
      <c r="R1052" s="1">
        <f>2*Table1[[#This Row],[Std Error]]</f>
        <v>0</v>
      </c>
      <c r="S1052" s="1" t="str">
        <f>IF(Table1[[#This Row],[High Tol]]="","N/A",IFERROR(ABS(Table1[[#This Row],[Tol Span]]/Table1[[#This Row],[Error Span]]),"N/A"))</f>
        <v>N/A</v>
      </c>
      <c r="T1052" s="1" t="str">
        <f>IF(OR(Table1[[#This Row],[Low Tol]]="",Table1[[#This Row],[High Tol]]=""),"Needs Analysis",IF(Table1[[#This Row],[Ratio]]&gt;=4,"Not Significant",IF(Table1[[#This Row],[Ratio]]&gt;=2,"Semi-Significant","Significant")))</f>
        <v>Needs Analysis</v>
      </c>
      <c r="W1052" s="1">
        <f>IF(Table1[[#This Row],[Cal Type]]&lt;&gt;"ACCREDITED 17025 WITH UNCERTAINTIES",0,"")</f>
        <v>0</v>
      </c>
      <c r="X1052" s="1" t="str">
        <f>IF(Table1[[#This Row],[DUT Read]]="","N/A",Table1[[#This Row],[Std Error]]+Table1[[#This Row],[DUT Read]]+Table1[[#This Row],[DUT Ucty]])</f>
        <v>N/A</v>
      </c>
      <c r="Y1052" s="1" t="str">
        <f>IF(Table1[[#This Row],[Std Read]]="","N/A",Table1[[#This Row],[Std Read]]+Table1[[#This Row],[Std Ucty]])</f>
        <v>N/A</v>
      </c>
      <c r="Z10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2" s="1" t="str">
        <f>IF(Table1[[#This Row],[Spec Type]]="","N/A",Table1[[#This Row],[Spec Type]])</f>
        <v>±</v>
      </c>
      <c r="AC1052" s="1" t="str">
        <f>IF(Table1[[#This Row],[Spec Type2]]="N/A","N/A",IF(AND(Table1[[#This Row],[DUT Adj Read]]&gt;=Table1[[#This Row],[Low Tol]],Table1[[#This Row],[DUT Adj Read]]&lt;=Table1[[#This Row],[High Tol]]),"Pass","Fail"))</f>
        <v>Fail</v>
      </c>
      <c r="AD1052" s="1" t="str">
        <f>IF(AND(Table1[[#This Row],[Spec Type2]]="N/A",Table1[[#This Row],[DUT Adj Read]]="N/A",Table1[[#This Row],[Std Adj Read]]="N/A"),"N/A",IF(Table1[[#This Row],[DUT Adj Read]]="N/A",IF(Table1[[#This Row],[Std Adj Read]]&gt;Table1[[#This Row],[Low Tol]],"Pass","Fail"),IF(Table1[[#This Row],[DUT Adj Read]]&gt;Table1[[#This Row],[Low Tol]],"Pass","Fail")))</f>
        <v>Pass</v>
      </c>
      <c r="AE1052" s="1" t="str">
        <f>IF(AND(Table1[[#This Row],[Spec Type2]]="N/A",Table1[[#This Row],[DUT Adj Read]]="N/A",Table1[[#This Row],[Std Adj Read]]="N/A"),"N/A",IF(Table1[[#This Row],[DUT Adj Read]]="N/A",IF(Table1[[#This Row],[Std Adj Read]]&lt;Table1[[#This Row],[High Tol]],"Pass","Fail"),IF(Table1[[#This Row],[DUT Adj Read]]&lt;Table1[[#This Row],[High Tol]],"Pass","Fail")))</f>
        <v>Fail</v>
      </c>
      <c r="AF1052" s="1" t="str">
        <f>IF(AND(Table1[[#This Row],[Spec Type2]]="N/A",Table1[[#This Row],[DUT Adj Read]]="N/A",Table1[[#This Row],[Std Adj Read]]="N/A"),"N/A",IF(Table1[[#This Row],[DUT Adj Read]]="N/A",IF(Table1[[#This Row],[Std Adj Read]]&gt;=Table1[[#This Row],[Low Tol]],"Pass","Fail"),IF(Table1[[#This Row],[DUT Adj Read]]&gt;=Table1[[#This Row],[Low Tol]],"Pass","Fail")))</f>
        <v>Pass</v>
      </c>
      <c r="AG1052" s="1" t="str">
        <f>IF(AND(Table1[[#This Row],[Spec Type2]]="N/A",Table1[[#This Row],[DUT Adj Read]]="N/A",Table1[[#This Row],[Std Adj Read]]="N/A"),"N/A",IF(Table1[[#This Row],[DUT Adj Read]]="N/A",IF(Table1[[#This Row],[Std Adj Read]]&lt;=Table1[[#This Row],[High Tol]],"Pass","Fail"),IF(Table1[[#This Row],[DUT Adj Read]]&lt;=Table1[[#This Row],[High Tol]],"Pass","Fail")))</f>
        <v>Fail</v>
      </c>
      <c r="AH10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2" s="1" t="b">
        <v>0</v>
      </c>
      <c r="AN1052" s="1" t="b">
        <v>0</v>
      </c>
      <c r="AO1052" s="1" t="b">
        <v>0</v>
      </c>
    </row>
    <row r="1053" spans="1:41" x14ac:dyDescent="0.25">
      <c r="A1053" s="10"/>
      <c r="B1053" s="10"/>
      <c r="C1053" s="10"/>
      <c r="D1053" s="10"/>
      <c r="E1053" s="10"/>
      <c r="F1053" s="10"/>
      <c r="G1053" s="10"/>
      <c r="H1053" s="10"/>
      <c r="I1053" s="1" t="str">
        <f t="shared" si="48"/>
        <v/>
      </c>
      <c r="J1053" s="1" t="s">
        <v>35</v>
      </c>
      <c r="K1053" s="1" t="str">
        <f t="shared" si="49"/>
        <v/>
      </c>
      <c r="L1053" s="1" t="str">
        <f t="shared" si="50"/>
        <v/>
      </c>
      <c r="M1053" s="1">
        <f>IF(OR(Table1[[#This Row],[Std Nom]]="",Table1[[#This Row],[Std Read]]=""),0,Table1[[#This Row],[Std Nom]]-Table1[[#This Row],[Std Read]])</f>
        <v>0</v>
      </c>
      <c r="N1053" s="1">
        <f>IF(Calculations!$F$5="ACCREDITED 17025 WITH UNCERTAINTIES",$N$10,0)</f>
        <v>0</v>
      </c>
      <c r="O1053" s="1" t="str">
        <f>IFERROR(Table1[[#This Row],[Std Nom]]-(_xlfn.XLOOKUP(Table1[[#This Row],[Manufacturer]]&amp;" "&amp;Table1[[#This Row],[Model]],Table13[MFR &amp; MDL],Table13[Tolerance % CW ],"")/100*Table1[[#This Row],[Std Nom]]),"")</f>
        <v/>
      </c>
      <c r="P1053" s="1" t="str">
        <f>IFERROR(Table1[[#This Row],[Std Nom]]+(_xlfn.XLOOKUP(Table1[[#This Row],[Manufacturer]]&amp;" "&amp;Table1[[#This Row],[Model]],Table13[MFR &amp; MDL],Table13[Tolerance % CW ],"")/100*Table1[[#This Row],[Std Nom]]),"")</f>
        <v/>
      </c>
      <c r="Q1053" s="1" t="e">
        <f>Table1[[#This Row],[High Tol]]-Table1[[#This Row],[Low Tol]]</f>
        <v>#VALUE!</v>
      </c>
      <c r="R1053" s="1">
        <f>2*Table1[[#This Row],[Std Error]]</f>
        <v>0</v>
      </c>
      <c r="S1053" s="1" t="str">
        <f>IF(Table1[[#This Row],[High Tol]]="","N/A",IFERROR(ABS(Table1[[#This Row],[Tol Span]]/Table1[[#This Row],[Error Span]]),"N/A"))</f>
        <v>N/A</v>
      </c>
      <c r="T1053" s="1" t="str">
        <f>IF(OR(Table1[[#This Row],[Low Tol]]="",Table1[[#This Row],[High Tol]]=""),"Needs Analysis",IF(Table1[[#This Row],[Ratio]]&gt;=4,"Not Significant",IF(Table1[[#This Row],[Ratio]]&gt;=2,"Semi-Significant","Significant")))</f>
        <v>Needs Analysis</v>
      </c>
      <c r="W1053" s="1">
        <f>IF(Table1[[#This Row],[Cal Type]]&lt;&gt;"ACCREDITED 17025 WITH UNCERTAINTIES",0,"")</f>
        <v>0</v>
      </c>
      <c r="X1053" s="1" t="str">
        <f>IF(Table1[[#This Row],[DUT Read]]="","N/A",Table1[[#This Row],[Std Error]]+Table1[[#This Row],[DUT Read]]+Table1[[#This Row],[DUT Ucty]])</f>
        <v>N/A</v>
      </c>
      <c r="Y1053" s="1" t="str">
        <f>IF(Table1[[#This Row],[Std Read]]="","N/A",Table1[[#This Row],[Std Read]]+Table1[[#This Row],[Std Ucty]])</f>
        <v>N/A</v>
      </c>
      <c r="Z10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3" s="1" t="str">
        <f>IF(Table1[[#This Row],[Spec Type]]="","N/A",Table1[[#This Row],[Spec Type]])</f>
        <v>±</v>
      </c>
      <c r="AC1053" s="1" t="str">
        <f>IF(Table1[[#This Row],[Spec Type2]]="N/A","N/A",IF(AND(Table1[[#This Row],[DUT Adj Read]]&gt;=Table1[[#This Row],[Low Tol]],Table1[[#This Row],[DUT Adj Read]]&lt;=Table1[[#This Row],[High Tol]]),"Pass","Fail"))</f>
        <v>Fail</v>
      </c>
      <c r="AD1053" s="1" t="str">
        <f>IF(AND(Table1[[#This Row],[Spec Type2]]="N/A",Table1[[#This Row],[DUT Adj Read]]="N/A",Table1[[#This Row],[Std Adj Read]]="N/A"),"N/A",IF(Table1[[#This Row],[DUT Adj Read]]="N/A",IF(Table1[[#This Row],[Std Adj Read]]&gt;Table1[[#This Row],[Low Tol]],"Pass","Fail"),IF(Table1[[#This Row],[DUT Adj Read]]&gt;Table1[[#This Row],[Low Tol]],"Pass","Fail")))</f>
        <v>Pass</v>
      </c>
      <c r="AE1053" s="1" t="str">
        <f>IF(AND(Table1[[#This Row],[Spec Type2]]="N/A",Table1[[#This Row],[DUT Adj Read]]="N/A",Table1[[#This Row],[Std Adj Read]]="N/A"),"N/A",IF(Table1[[#This Row],[DUT Adj Read]]="N/A",IF(Table1[[#This Row],[Std Adj Read]]&lt;Table1[[#This Row],[High Tol]],"Pass","Fail"),IF(Table1[[#This Row],[DUT Adj Read]]&lt;Table1[[#This Row],[High Tol]],"Pass","Fail")))</f>
        <v>Fail</v>
      </c>
      <c r="AF1053" s="1" t="str">
        <f>IF(AND(Table1[[#This Row],[Spec Type2]]="N/A",Table1[[#This Row],[DUT Adj Read]]="N/A",Table1[[#This Row],[Std Adj Read]]="N/A"),"N/A",IF(Table1[[#This Row],[DUT Adj Read]]="N/A",IF(Table1[[#This Row],[Std Adj Read]]&gt;=Table1[[#This Row],[Low Tol]],"Pass","Fail"),IF(Table1[[#This Row],[DUT Adj Read]]&gt;=Table1[[#This Row],[Low Tol]],"Pass","Fail")))</f>
        <v>Pass</v>
      </c>
      <c r="AG1053" s="1" t="str">
        <f>IF(AND(Table1[[#This Row],[Spec Type2]]="N/A",Table1[[#This Row],[DUT Adj Read]]="N/A",Table1[[#This Row],[Std Adj Read]]="N/A"),"N/A",IF(Table1[[#This Row],[DUT Adj Read]]="N/A",IF(Table1[[#This Row],[Std Adj Read]]&lt;=Table1[[#This Row],[High Tol]],"Pass","Fail"),IF(Table1[[#This Row],[DUT Adj Read]]&lt;=Table1[[#This Row],[High Tol]],"Pass","Fail")))</f>
        <v>Fail</v>
      </c>
      <c r="AH10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3" s="1" t="b">
        <v>0</v>
      </c>
      <c r="AN1053" s="1" t="b">
        <v>0</v>
      </c>
      <c r="AO1053" s="1" t="b">
        <v>0</v>
      </c>
    </row>
    <row r="1054" spans="1:41" x14ac:dyDescent="0.25">
      <c r="A1054" s="10"/>
      <c r="B1054" s="10"/>
      <c r="C1054" s="10"/>
      <c r="D1054" s="10"/>
      <c r="E1054" s="10"/>
      <c r="F1054" s="10"/>
      <c r="G1054" s="10"/>
      <c r="H1054" s="10"/>
      <c r="I1054" s="1" t="str">
        <f t="shared" si="48"/>
        <v/>
      </c>
      <c r="J1054" s="1" t="s">
        <v>35</v>
      </c>
      <c r="K1054" s="1" t="str">
        <f t="shared" si="49"/>
        <v/>
      </c>
      <c r="L1054" s="1" t="str">
        <f t="shared" si="50"/>
        <v/>
      </c>
      <c r="M1054" s="1">
        <f>IF(OR(Table1[[#This Row],[Std Nom]]="",Table1[[#This Row],[Std Read]]=""),0,Table1[[#This Row],[Std Nom]]-Table1[[#This Row],[Std Read]])</f>
        <v>0</v>
      </c>
      <c r="N1054" s="1">
        <f>IF(Calculations!$F$5="ACCREDITED 17025 WITH UNCERTAINTIES",$N$10,0)</f>
        <v>0</v>
      </c>
      <c r="O1054" s="1" t="str">
        <f>IFERROR(Table1[[#This Row],[Std Nom]]-(_xlfn.XLOOKUP(Table1[[#This Row],[Manufacturer]]&amp;" "&amp;Table1[[#This Row],[Model]],Table13[MFR &amp; MDL],Table13[Tolerance % CW ],"")/100*Table1[[#This Row],[Std Nom]]),"")</f>
        <v/>
      </c>
      <c r="P1054" s="1" t="str">
        <f>IFERROR(Table1[[#This Row],[Std Nom]]+(_xlfn.XLOOKUP(Table1[[#This Row],[Manufacturer]]&amp;" "&amp;Table1[[#This Row],[Model]],Table13[MFR &amp; MDL],Table13[Tolerance % CW ],"")/100*Table1[[#This Row],[Std Nom]]),"")</f>
        <v/>
      </c>
      <c r="Q1054" s="1" t="e">
        <f>Table1[[#This Row],[High Tol]]-Table1[[#This Row],[Low Tol]]</f>
        <v>#VALUE!</v>
      </c>
      <c r="R1054" s="1">
        <f>2*Table1[[#This Row],[Std Error]]</f>
        <v>0</v>
      </c>
      <c r="S1054" s="1" t="str">
        <f>IF(Table1[[#This Row],[High Tol]]="","N/A",IFERROR(ABS(Table1[[#This Row],[Tol Span]]/Table1[[#This Row],[Error Span]]),"N/A"))</f>
        <v>N/A</v>
      </c>
      <c r="T1054" s="1" t="str">
        <f>IF(OR(Table1[[#This Row],[Low Tol]]="",Table1[[#This Row],[High Tol]]=""),"Needs Analysis",IF(Table1[[#This Row],[Ratio]]&gt;=4,"Not Significant",IF(Table1[[#This Row],[Ratio]]&gt;=2,"Semi-Significant","Significant")))</f>
        <v>Needs Analysis</v>
      </c>
      <c r="W1054" s="1">
        <f>IF(Table1[[#This Row],[Cal Type]]&lt;&gt;"ACCREDITED 17025 WITH UNCERTAINTIES",0,"")</f>
        <v>0</v>
      </c>
      <c r="X1054" s="1" t="str">
        <f>IF(Table1[[#This Row],[DUT Read]]="","N/A",Table1[[#This Row],[Std Error]]+Table1[[#This Row],[DUT Read]]+Table1[[#This Row],[DUT Ucty]])</f>
        <v>N/A</v>
      </c>
      <c r="Y1054" s="1" t="str">
        <f>IF(Table1[[#This Row],[Std Read]]="","N/A",Table1[[#This Row],[Std Read]]+Table1[[#This Row],[Std Ucty]])</f>
        <v>N/A</v>
      </c>
      <c r="Z10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4" s="1" t="str">
        <f>IF(Table1[[#This Row],[Spec Type]]="","N/A",Table1[[#This Row],[Spec Type]])</f>
        <v>±</v>
      </c>
      <c r="AC1054" s="1" t="str">
        <f>IF(Table1[[#This Row],[Spec Type2]]="N/A","N/A",IF(AND(Table1[[#This Row],[DUT Adj Read]]&gt;=Table1[[#This Row],[Low Tol]],Table1[[#This Row],[DUT Adj Read]]&lt;=Table1[[#This Row],[High Tol]]),"Pass","Fail"))</f>
        <v>Fail</v>
      </c>
      <c r="AD1054" s="1" t="str">
        <f>IF(AND(Table1[[#This Row],[Spec Type2]]="N/A",Table1[[#This Row],[DUT Adj Read]]="N/A",Table1[[#This Row],[Std Adj Read]]="N/A"),"N/A",IF(Table1[[#This Row],[DUT Adj Read]]="N/A",IF(Table1[[#This Row],[Std Adj Read]]&gt;Table1[[#This Row],[Low Tol]],"Pass","Fail"),IF(Table1[[#This Row],[DUT Adj Read]]&gt;Table1[[#This Row],[Low Tol]],"Pass","Fail")))</f>
        <v>Pass</v>
      </c>
      <c r="AE1054" s="1" t="str">
        <f>IF(AND(Table1[[#This Row],[Spec Type2]]="N/A",Table1[[#This Row],[DUT Adj Read]]="N/A",Table1[[#This Row],[Std Adj Read]]="N/A"),"N/A",IF(Table1[[#This Row],[DUT Adj Read]]="N/A",IF(Table1[[#This Row],[Std Adj Read]]&lt;Table1[[#This Row],[High Tol]],"Pass","Fail"),IF(Table1[[#This Row],[DUT Adj Read]]&lt;Table1[[#This Row],[High Tol]],"Pass","Fail")))</f>
        <v>Fail</v>
      </c>
      <c r="AF1054" s="1" t="str">
        <f>IF(AND(Table1[[#This Row],[Spec Type2]]="N/A",Table1[[#This Row],[DUT Adj Read]]="N/A",Table1[[#This Row],[Std Adj Read]]="N/A"),"N/A",IF(Table1[[#This Row],[DUT Adj Read]]="N/A",IF(Table1[[#This Row],[Std Adj Read]]&gt;=Table1[[#This Row],[Low Tol]],"Pass","Fail"),IF(Table1[[#This Row],[DUT Adj Read]]&gt;=Table1[[#This Row],[Low Tol]],"Pass","Fail")))</f>
        <v>Pass</v>
      </c>
      <c r="AG1054" s="1" t="str">
        <f>IF(AND(Table1[[#This Row],[Spec Type2]]="N/A",Table1[[#This Row],[DUT Adj Read]]="N/A",Table1[[#This Row],[Std Adj Read]]="N/A"),"N/A",IF(Table1[[#This Row],[DUT Adj Read]]="N/A",IF(Table1[[#This Row],[Std Adj Read]]&lt;=Table1[[#This Row],[High Tol]],"Pass","Fail"),IF(Table1[[#This Row],[DUT Adj Read]]&lt;=Table1[[#This Row],[High Tol]],"Pass","Fail")))</f>
        <v>Fail</v>
      </c>
      <c r="AH10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4" s="1" t="b">
        <v>0</v>
      </c>
      <c r="AN1054" s="1" t="b">
        <v>0</v>
      </c>
      <c r="AO1054" s="1" t="b">
        <v>0</v>
      </c>
    </row>
    <row r="1055" spans="1:41" x14ac:dyDescent="0.25">
      <c r="A1055" s="10"/>
      <c r="B1055" s="10"/>
      <c r="C1055" s="10"/>
      <c r="D1055" s="10"/>
      <c r="E1055" s="10"/>
      <c r="F1055" s="10"/>
      <c r="G1055" s="10"/>
      <c r="H1055" s="10"/>
      <c r="I1055" s="1" t="str">
        <f t="shared" si="48"/>
        <v/>
      </c>
      <c r="J1055" s="1" t="s">
        <v>35</v>
      </c>
      <c r="K1055" s="1" t="str">
        <f t="shared" si="49"/>
        <v/>
      </c>
      <c r="L1055" s="1" t="str">
        <f t="shared" si="50"/>
        <v/>
      </c>
      <c r="M1055" s="1">
        <f>IF(OR(Table1[[#This Row],[Std Nom]]="",Table1[[#This Row],[Std Read]]=""),0,Table1[[#This Row],[Std Nom]]-Table1[[#This Row],[Std Read]])</f>
        <v>0</v>
      </c>
      <c r="N1055" s="1">
        <f>IF(Calculations!$F$5="ACCREDITED 17025 WITH UNCERTAINTIES",$N$10,0)</f>
        <v>0</v>
      </c>
      <c r="O1055" s="1" t="str">
        <f>IFERROR(Table1[[#This Row],[Std Nom]]-(_xlfn.XLOOKUP(Table1[[#This Row],[Manufacturer]]&amp;" "&amp;Table1[[#This Row],[Model]],Table13[MFR &amp; MDL],Table13[Tolerance % CW ],"")/100*Table1[[#This Row],[Std Nom]]),"")</f>
        <v/>
      </c>
      <c r="P1055" s="1" t="str">
        <f>IFERROR(Table1[[#This Row],[Std Nom]]+(_xlfn.XLOOKUP(Table1[[#This Row],[Manufacturer]]&amp;" "&amp;Table1[[#This Row],[Model]],Table13[MFR &amp; MDL],Table13[Tolerance % CW ],"")/100*Table1[[#This Row],[Std Nom]]),"")</f>
        <v/>
      </c>
      <c r="Q1055" s="1" t="e">
        <f>Table1[[#This Row],[High Tol]]-Table1[[#This Row],[Low Tol]]</f>
        <v>#VALUE!</v>
      </c>
      <c r="R1055" s="1">
        <f>2*Table1[[#This Row],[Std Error]]</f>
        <v>0</v>
      </c>
      <c r="S1055" s="1" t="str">
        <f>IF(Table1[[#This Row],[High Tol]]="","N/A",IFERROR(ABS(Table1[[#This Row],[Tol Span]]/Table1[[#This Row],[Error Span]]),"N/A"))</f>
        <v>N/A</v>
      </c>
      <c r="T1055" s="1" t="str">
        <f>IF(OR(Table1[[#This Row],[Low Tol]]="",Table1[[#This Row],[High Tol]]=""),"Needs Analysis",IF(Table1[[#This Row],[Ratio]]&gt;=4,"Not Significant",IF(Table1[[#This Row],[Ratio]]&gt;=2,"Semi-Significant","Significant")))</f>
        <v>Needs Analysis</v>
      </c>
      <c r="W1055" s="1">
        <f>IF(Table1[[#This Row],[Cal Type]]&lt;&gt;"ACCREDITED 17025 WITH UNCERTAINTIES",0,"")</f>
        <v>0</v>
      </c>
      <c r="X1055" s="1" t="str">
        <f>IF(Table1[[#This Row],[DUT Read]]="","N/A",Table1[[#This Row],[Std Error]]+Table1[[#This Row],[DUT Read]]+Table1[[#This Row],[DUT Ucty]])</f>
        <v>N/A</v>
      </c>
      <c r="Y1055" s="1" t="str">
        <f>IF(Table1[[#This Row],[Std Read]]="","N/A",Table1[[#This Row],[Std Read]]+Table1[[#This Row],[Std Ucty]])</f>
        <v>N/A</v>
      </c>
      <c r="Z10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5" s="1" t="str">
        <f>IF(Table1[[#This Row],[Spec Type]]="","N/A",Table1[[#This Row],[Spec Type]])</f>
        <v>±</v>
      </c>
      <c r="AC1055" s="1" t="str">
        <f>IF(Table1[[#This Row],[Spec Type2]]="N/A","N/A",IF(AND(Table1[[#This Row],[DUT Adj Read]]&gt;=Table1[[#This Row],[Low Tol]],Table1[[#This Row],[DUT Adj Read]]&lt;=Table1[[#This Row],[High Tol]]),"Pass","Fail"))</f>
        <v>Fail</v>
      </c>
      <c r="AD1055" s="1" t="str">
        <f>IF(AND(Table1[[#This Row],[Spec Type2]]="N/A",Table1[[#This Row],[DUT Adj Read]]="N/A",Table1[[#This Row],[Std Adj Read]]="N/A"),"N/A",IF(Table1[[#This Row],[DUT Adj Read]]="N/A",IF(Table1[[#This Row],[Std Adj Read]]&gt;Table1[[#This Row],[Low Tol]],"Pass","Fail"),IF(Table1[[#This Row],[DUT Adj Read]]&gt;Table1[[#This Row],[Low Tol]],"Pass","Fail")))</f>
        <v>Pass</v>
      </c>
      <c r="AE1055" s="1" t="str">
        <f>IF(AND(Table1[[#This Row],[Spec Type2]]="N/A",Table1[[#This Row],[DUT Adj Read]]="N/A",Table1[[#This Row],[Std Adj Read]]="N/A"),"N/A",IF(Table1[[#This Row],[DUT Adj Read]]="N/A",IF(Table1[[#This Row],[Std Adj Read]]&lt;Table1[[#This Row],[High Tol]],"Pass","Fail"),IF(Table1[[#This Row],[DUT Adj Read]]&lt;Table1[[#This Row],[High Tol]],"Pass","Fail")))</f>
        <v>Fail</v>
      </c>
      <c r="AF1055" s="1" t="str">
        <f>IF(AND(Table1[[#This Row],[Spec Type2]]="N/A",Table1[[#This Row],[DUT Adj Read]]="N/A",Table1[[#This Row],[Std Adj Read]]="N/A"),"N/A",IF(Table1[[#This Row],[DUT Adj Read]]="N/A",IF(Table1[[#This Row],[Std Adj Read]]&gt;=Table1[[#This Row],[Low Tol]],"Pass","Fail"),IF(Table1[[#This Row],[DUT Adj Read]]&gt;=Table1[[#This Row],[Low Tol]],"Pass","Fail")))</f>
        <v>Pass</v>
      </c>
      <c r="AG1055" s="1" t="str">
        <f>IF(AND(Table1[[#This Row],[Spec Type2]]="N/A",Table1[[#This Row],[DUT Adj Read]]="N/A",Table1[[#This Row],[Std Adj Read]]="N/A"),"N/A",IF(Table1[[#This Row],[DUT Adj Read]]="N/A",IF(Table1[[#This Row],[Std Adj Read]]&lt;=Table1[[#This Row],[High Tol]],"Pass","Fail"),IF(Table1[[#This Row],[DUT Adj Read]]&lt;=Table1[[#This Row],[High Tol]],"Pass","Fail")))</f>
        <v>Fail</v>
      </c>
      <c r="AH10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5" s="1" t="b">
        <v>0</v>
      </c>
      <c r="AN1055" s="1" t="b">
        <v>0</v>
      </c>
      <c r="AO1055" s="1" t="b">
        <v>0</v>
      </c>
    </row>
    <row r="1056" spans="1:41" x14ac:dyDescent="0.25">
      <c r="A1056" s="10"/>
      <c r="B1056" s="10"/>
      <c r="C1056" s="10"/>
      <c r="D1056" s="10"/>
      <c r="E1056" s="10"/>
      <c r="F1056" s="10"/>
      <c r="G1056" s="10"/>
      <c r="H1056" s="10"/>
      <c r="I1056" s="1" t="str">
        <f t="shared" si="48"/>
        <v/>
      </c>
      <c r="J1056" s="1" t="s">
        <v>35</v>
      </c>
      <c r="K1056" s="1" t="str">
        <f t="shared" si="49"/>
        <v/>
      </c>
      <c r="L1056" s="1" t="str">
        <f t="shared" si="50"/>
        <v/>
      </c>
      <c r="M1056" s="1">
        <f>IF(OR(Table1[[#This Row],[Std Nom]]="",Table1[[#This Row],[Std Read]]=""),0,Table1[[#This Row],[Std Nom]]-Table1[[#This Row],[Std Read]])</f>
        <v>0</v>
      </c>
      <c r="N1056" s="1">
        <f>IF(Calculations!$F$5="ACCREDITED 17025 WITH UNCERTAINTIES",$N$10,0)</f>
        <v>0</v>
      </c>
      <c r="O1056" s="1" t="str">
        <f>IFERROR(Table1[[#This Row],[Std Nom]]-(_xlfn.XLOOKUP(Table1[[#This Row],[Manufacturer]]&amp;" "&amp;Table1[[#This Row],[Model]],Table13[MFR &amp; MDL],Table13[Tolerance % CW ],"")/100*Table1[[#This Row],[Std Nom]]),"")</f>
        <v/>
      </c>
      <c r="P1056" s="1" t="str">
        <f>IFERROR(Table1[[#This Row],[Std Nom]]+(_xlfn.XLOOKUP(Table1[[#This Row],[Manufacturer]]&amp;" "&amp;Table1[[#This Row],[Model]],Table13[MFR &amp; MDL],Table13[Tolerance % CW ],"")/100*Table1[[#This Row],[Std Nom]]),"")</f>
        <v/>
      </c>
      <c r="Q1056" s="1" t="e">
        <f>Table1[[#This Row],[High Tol]]-Table1[[#This Row],[Low Tol]]</f>
        <v>#VALUE!</v>
      </c>
      <c r="R1056" s="1">
        <f>2*Table1[[#This Row],[Std Error]]</f>
        <v>0</v>
      </c>
      <c r="S1056" s="1" t="str">
        <f>IF(Table1[[#This Row],[High Tol]]="","N/A",IFERROR(ABS(Table1[[#This Row],[Tol Span]]/Table1[[#This Row],[Error Span]]),"N/A"))</f>
        <v>N/A</v>
      </c>
      <c r="T1056" s="1" t="str">
        <f>IF(OR(Table1[[#This Row],[Low Tol]]="",Table1[[#This Row],[High Tol]]=""),"Needs Analysis",IF(Table1[[#This Row],[Ratio]]&gt;=4,"Not Significant",IF(Table1[[#This Row],[Ratio]]&gt;=2,"Semi-Significant","Significant")))</f>
        <v>Needs Analysis</v>
      </c>
      <c r="W1056" s="1">
        <f>IF(Table1[[#This Row],[Cal Type]]&lt;&gt;"ACCREDITED 17025 WITH UNCERTAINTIES",0,"")</f>
        <v>0</v>
      </c>
      <c r="X1056" s="1" t="str">
        <f>IF(Table1[[#This Row],[DUT Read]]="","N/A",Table1[[#This Row],[Std Error]]+Table1[[#This Row],[DUT Read]]+Table1[[#This Row],[DUT Ucty]])</f>
        <v>N/A</v>
      </c>
      <c r="Y1056" s="1" t="str">
        <f>IF(Table1[[#This Row],[Std Read]]="","N/A",Table1[[#This Row],[Std Read]]+Table1[[#This Row],[Std Ucty]])</f>
        <v>N/A</v>
      </c>
      <c r="Z10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6" s="1" t="str">
        <f>IF(Table1[[#This Row],[Spec Type]]="","N/A",Table1[[#This Row],[Spec Type]])</f>
        <v>±</v>
      </c>
      <c r="AC1056" s="1" t="str">
        <f>IF(Table1[[#This Row],[Spec Type2]]="N/A","N/A",IF(AND(Table1[[#This Row],[DUT Adj Read]]&gt;=Table1[[#This Row],[Low Tol]],Table1[[#This Row],[DUT Adj Read]]&lt;=Table1[[#This Row],[High Tol]]),"Pass","Fail"))</f>
        <v>Fail</v>
      </c>
      <c r="AD1056" s="1" t="str">
        <f>IF(AND(Table1[[#This Row],[Spec Type2]]="N/A",Table1[[#This Row],[DUT Adj Read]]="N/A",Table1[[#This Row],[Std Adj Read]]="N/A"),"N/A",IF(Table1[[#This Row],[DUT Adj Read]]="N/A",IF(Table1[[#This Row],[Std Adj Read]]&gt;Table1[[#This Row],[Low Tol]],"Pass","Fail"),IF(Table1[[#This Row],[DUT Adj Read]]&gt;Table1[[#This Row],[Low Tol]],"Pass","Fail")))</f>
        <v>Pass</v>
      </c>
      <c r="AE1056" s="1" t="str">
        <f>IF(AND(Table1[[#This Row],[Spec Type2]]="N/A",Table1[[#This Row],[DUT Adj Read]]="N/A",Table1[[#This Row],[Std Adj Read]]="N/A"),"N/A",IF(Table1[[#This Row],[DUT Adj Read]]="N/A",IF(Table1[[#This Row],[Std Adj Read]]&lt;Table1[[#This Row],[High Tol]],"Pass","Fail"),IF(Table1[[#This Row],[DUT Adj Read]]&lt;Table1[[#This Row],[High Tol]],"Pass","Fail")))</f>
        <v>Fail</v>
      </c>
      <c r="AF1056" s="1" t="str">
        <f>IF(AND(Table1[[#This Row],[Spec Type2]]="N/A",Table1[[#This Row],[DUT Adj Read]]="N/A",Table1[[#This Row],[Std Adj Read]]="N/A"),"N/A",IF(Table1[[#This Row],[DUT Adj Read]]="N/A",IF(Table1[[#This Row],[Std Adj Read]]&gt;=Table1[[#This Row],[Low Tol]],"Pass","Fail"),IF(Table1[[#This Row],[DUT Adj Read]]&gt;=Table1[[#This Row],[Low Tol]],"Pass","Fail")))</f>
        <v>Pass</v>
      </c>
      <c r="AG1056" s="1" t="str">
        <f>IF(AND(Table1[[#This Row],[Spec Type2]]="N/A",Table1[[#This Row],[DUT Adj Read]]="N/A",Table1[[#This Row],[Std Adj Read]]="N/A"),"N/A",IF(Table1[[#This Row],[DUT Adj Read]]="N/A",IF(Table1[[#This Row],[Std Adj Read]]&lt;=Table1[[#This Row],[High Tol]],"Pass","Fail"),IF(Table1[[#This Row],[DUT Adj Read]]&lt;=Table1[[#This Row],[High Tol]],"Pass","Fail")))</f>
        <v>Fail</v>
      </c>
      <c r="AH10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6" s="1" t="b">
        <v>0</v>
      </c>
      <c r="AN1056" s="1" t="b">
        <v>0</v>
      </c>
      <c r="AO1056" s="1" t="b">
        <v>0</v>
      </c>
    </row>
    <row r="1057" spans="1:41" x14ac:dyDescent="0.25">
      <c r="A1057" s="10"/>
      <c r="B1057" s="10"/>
      <c r="C1057" s="10"/>
      <c r="D1057" s="10"/>
      <c r="E1057" s="10"/>
      <c r="F1057" s="10"/>
      <c r="G1057" s="10"/>
      <c r="H1057" s="10"/>
      <c r="I1057" s="1" t="str">
        <f t="shared" si="48"/>
        <v/>
      </c>
      <c r="J1057" s="1" t="s">
        <v>35</v>
      </c>
      <c r="K1057" s="1" t="str">
        <f t="shared" si="49"/>
        <v/>
      </c>
      <c r="L1057" s="1" t="str">
        <f t="shared" si="50"/>
        <v/>
      </c>
      <c r="M1057" s="1">
        <f>IF(OR(Table1[[#This Row],[Std Nom]]="",Table1[[#This Row],[Std Read]]=""),0,Table1[[#This Row],[Std Nom]]-Table1[[#This Row],[Std Read]])</f>
        <v>0</v>
      </c>
      <c r="N1057" s="1">
        <f>IF(Calculations!$F$5="ACCREDITED 17025 WITH UNCERTAINTIES",$N$10,0)</f>
        <v>0</v>
      </c>
      <c r="O1057" s="1" t="str">
        <f>IFERROR(Table1[[#This Row],[Std Nom]]-(_xlfn.XLOOKUP(Table1[[#This Row],[Manufacturer]]&amp;" "&amp;Table1[[#This Row],[Model]],Table13[MFR &amp; MDL],Table13[Tolerance % CW ],"")/100*Table1[[#This Row],[Std Nom]]),"")</f>
        <v/>
      </c>
      <c r="P1057" s="1" t="str">
        <f>IFERROR(Table1[[#This Row],[Std Nom]]+(_xlfn.XLOOKUP(Table1[[#This Row],[Manufacturer]]&amp;" "&amp;Table1[[#This Row],[Model]],Table13[MFR &amp; MDL],Table13[Tolerance % CW ],"")/100*Table1[[#This Row],[Std Nom]]),"")</f>
        <v/>
      </c>
      <c r="Q1057" s="1" t="e">
        <f>Table1[[#This Row],[High Tol]]-Table1[[#This Row],[Low Tol]]</f>
        <v>#VALUE!</v>
      </c>
      <c r="R1057" s="1">
        <f>2*Table1[[#This Row],[Std Error]]</f>
        <v>0</v>
      </c>
      <c r="S1057" s="1" t="str">
        <f>IF(Table1[[#This Row],[High Tol]]="","N/A",IFERROR(ABS(Table1[[#This Row],[Tol Span]]/Table1[[#This Row],[Error Span]]),"N/A"))</f>
        <v>N/A</v>
      </c>
      <c r="T1057" s="1" t="str">
        <f>IF(OR(Table1[[#This Row],[Low Tol]]="",Table1[[#This Row],[High Tol]]=""),"Needs Analysis",IF(Table1[[#This Row],[Ratio]]&gt;=4,"Not Significant",IF(Table1[[#This Row],[Ratio]]&gt;=2,"Semi-Significant","Significant")))</f>
        <v>Needs Analysis</v>
      </c>
      <c r="W1057" s="1">
        <f>IF(Table1[[#This Row],[Cal Type]]&lt;&gt;"ACCREDITED 17025 WITH UNCERTAINTIES",0,"")</f>
        <v>0</v>
      </c>
      <c r="X1057" s="1" t="str">
        <f>IF(Table1[[#This Row],[DUT Read]]="","N/A",Table1[[#This Row],[Std Error]]+Table1[[#This Row],[DUT Read]]+Table1[[#This Row],[DUT Ucty]])</f>
        <v>N/A</v>
      </c>
      <c r="Y1057" s="1" t="str">
        <f>IF(Table1[[#This Row],[Std Read]]="","N/A",Table1[[#This Row],[Std Read]]+Table1[[#This Row],[Std Ucty]])</f>
        <v>N/A</v>
      </c>
      <c r="Z10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7" s="1" t="str">
        <f>IF(Table1[[#This Row],[Spec Type]]="","N/A",Table1[[#This Row],[Spec Type]])</f>
        <v>±</v>
      </c>
      <c r="AC1057" s="1" t="str">
        <f>IF(Table1[[#This Row],[Spec Type2]]="N/A","N/A",IF(AND(Table1[[#This Row],[DUT Adj Read]]&gt;=Table1[[#This Row],[Low Tol]],Table1[[#This Row],[DUT Adj Read]]&lt;=Table1[[#This Row],[High Tol]]),"Pass","Fail"))</f>
        <v>Fail</v>
      </c>
      <c r="AD1057" s="1" t="str">
        <f>IF(AND(Table1[[#This Row],[Spec Type2]]="N/A",Table1[[#This Row],[DUT Adj Read]]="N/A",Table1[[#This Row],[Std Adj Read]]="N/A"),"N/A",IF(Table1[[#This Row],[DUT Adj Read]]="N/A",IF(Table1[[#This Row],[Std Adj Read]]&gt;Table1[[#This Row],[Low Tol]],"Pass","Fail"),IF(Table1[[#This Row],[DUT Adj Read]]&gt;Table1[[#This Row],[Low Tol]],"Pass","Fail")))</f>
        <v>Pass</v>
      </c>
      <c r="AE1057" s="1" t="str">
        <f>IF(AND(Table1[[#This Row],[Spec Type2]]="N/A",Table1[[#This Row],[DUT Adj Read]]="N/A",Table1[[#This Row],[Std Adj Read]]="N/A"),"N/A",IF(Table1[[#This Row],[DUT Adj Read]]="N/A",IF(Table1[[#This Row],[Std Adj Read]]&lt;Table1[[#This Row],[High Tol]],"Pass","Fail"),IF(Table1[[#This Row],[DUT Adj Read]]&lt;Table1[[#This Row],[High Tol]],"Pass","Fail")))</f>
        <v>Fail</v>
      </c>
      <c r="AF1057" s="1" t="str">
        <f>IF(AND(Table1[[#This Row],[Spec Type2]]="N/A",Table1[[#This Row],[DUT Adj Read]]="N/A",Table1[[#This Row],[Std Adj Read]]="N/A"),"N/A",IF(Table1[[#This Row],[DUT Adj Read]]="N/A",IF(Table1[[#This Row],[Std Adj Read]]&gt;=Table1[[#This Row],[Low Tol]],"Pass","Fail"),IF(Table1[[#This Row],[DUT Adj Read]]&gt;=Table1[[#This Row],[Low Tol]],"Pass","Fail")))</f>
        <v>Pass</v>
      </c>
      <c r="AG1057" s="1" t="str">
        <f>IF(AND(Table1[[#This Row],[Spec Type2]]="N/A",Table1[[#This Row],[DUT Adj Read]]="N/A",Table1[[#This Row],[Std Adj Read]]="N/A"),"N/A",IF(Table1[[#This Row],[DUT Adj Read]]="N/A",IF(Table1[[#This Row],[Std Adj Read]]&lt;=Table1[[#This Row],[High Tol]],"Pass","Fail"),IF(Table1[[#This Row],[DUT Adj Read]]&lt;=Table1[[#This Row],[High Tol]],"Pass","Fail")))</f>
        <v>Fail</v>
      </c>
      <c r="AH10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7" s="1" t="b">
        <v>0</v>
      </c>
      <c r="AN1057" s="1" t="b">
        <v>0</v>
      </c>
      <c r="AO1057" s="1" t="b">
        <v>0</v>
      </c>
    </row>
    <row r="1058" spans="1:41" x14ac:dyDescent="0.25">
      <c r="A1058" s="10"/>
      <c r="B1058" s="10"/>
      <c r="C1058" s="10"/>
      <c r="D1058" s="10"/>
      <c r="E1058" s="10"/>
      <c r="F1058" s="10"/>
      <c r="G1058" s="10"/>
      <c r="H1058" s="10"/>
      <c r="I1058" s="1" t="str">
        <f t="shared" si="48"/>
        <v/>
      </c>
      <c r="J1058" s="1" t="s">
        <v>35</v>
      </c>
      <c r="K1058" s="1" t="str">
        <f t="shared" si="49"/>
        <v/>
      </c>
      <c r="L1058" s="1" t="str">
        <f t="shared" si="50"/>
        <v/>
      </c>
      <c r="M1058" s="1">
        <f>IF(OR(Table1[[#This Row],[Std Nom]]="",Table1[[#This Row],[Std Read]]=""),0,Table1[[#This Row],[Std Nom]]-Table1[[#This Row],[Std Read]])</f>
        <v>0</v>
      </c>
      <c r="N1058" s="1">
        <f>IF(Calculations!$F$5="ACCREDITED 17025 WITH UNCERTAINTIES",$N$10,0)</f>
        <v>0</v>
      </c>
      <c r="O1058" s="1" t="str">
        <f>IFERROR(Table1[[#This Row],[Std Nom]]-(_xlfn.XLOOKUP(Table1[[#This Row],[Manufacturer]]&amp;" "&amp;Table1[[#This Row],[Model]],Table13[MFR &amp; MDL],Table13[Tolerance % CW ],"")/100*Table1[[#This Row],[Std Nom]]),"")</f>
        <v/>
      </c>
      <c r="P1058" s="1" t="str">
        <f>IFERROR(Table1[[#This Row],[Std Nom]]+(_xlfn.XLOOKUP(Table1[[#This Row],[Manufacturer]]&amp;" "&amp;Table1[[#This Row],[Model]],Table13[MFR &amp; MDL],Table13[Tolerance % CW ],"")/100*Table1[[#This Row],[Std Nom]]),"")</f>
        <v/>
      </c>
      <c r="Q1058" s="1" t="e">
        <f>Table1[[#This Row],[High Tol]]-Table1[[#This Row],[Low Tol]]</f>
        <v>#VALUE!</v>
      </c>
      <c r="R1058" s="1">
        <f>2*Table1[[#This Row],[Std Error]]</f>
        <v>0</v>
      </c>
      <c r="S1058" s="1" t="str">
        <f>IF(Table1[[#This Row],[High Tol]]="","N/A",IFERROR(ABS(Table1[[#This Row],[Tol Span]]/Table1[[#This Row],[Error Span]]),"N/A"))</f>
        <v>N/A</v>
      </c>
      <c r="T1058" s="1" t="str">
        <f>IF(OR(Table1[[#This Row],[Low Tol]]="",Table1[[#This Row],[High Tol]]=""),"Needs Analysis",IF(Table1[[#This Row],[Ratio]]&gt;=4,"Not Significant",IF(Table1[[#This Row],[Ratio]]&gt;=2,"Semi-Significant","Significant")))</f>
        <v>Needs Analysis</v>
      </c>
      <c r="W1058" s="1">
        <f>IF(Table1[[#This Row],[Cal Type]]&lt;&gt;"ACCREDITED 17025 WITH UNCERTAINTIES",0,"")</f>
        <v>0</v>
      </c>
      <c r="X1058" s="1" t="str">
        <f>IF(Table1[[#This Row],[DUT Read]]="","N/A",Table1[[#This Row],[Std Error]]+Table1[[#This Row],[DUT Read]]+Table1[[#This Row],[DUT Ucty]])</f>
        <v>N/A</v>
      </c>
      <c r="Y1058" s="1" t="str">
        <f>IF(Table1[[#This Row],[Std Read]]="","N/A",Table1[[#This Row],[Std Read]]+Table1[[#This Row],[Std Ucty]])</f>
        <v>N/A</v>
      </c>
      <c r="Z10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8" s="1" t="str">
        <f>IF(Table1[[#This Row],[Spec Type]]="","N/A",Table1[[#This Row],[Spec Type]])</f>
        <v>±</v>
      </c>
      <c r="AC1058" s="1" t="str">
        <f>IF(Table1[[#This Row],[Spec Type2]]="N/A","N/A",IF(AND(Table1[[#This Row],[DUT Adj Read]]&gt;=Table1[[#This Row],[Low Tol]],Table1[[#This Row],[DUT Adj Read]]&lt;=Table1[[#This Row],[High Tol]]),"Pass","Fail"))</f>
        <v>Fail</v>
      </c>
      <c r="AD1058" s="1" t="str">
        <f>IF(AND(Table1[[#This Row],[Spec Type2]]="N/A",Table1[[#This Row],[DUT Adj Read]]="N/A",Table1[[#This Row],[Std Adj Read]]="N/A"),"N/A",IF(Table1[[#This Row],[DUT Adj Read]]="N/A",IF(Table1[[#This Row],[Std Adj Read]]&gt;Table1[[#This Row],[Low Tol]],"Pass","Fail"),IF(Table1[[#This Row],[DUT Adj Read]]&gt;Table1[[#This Row],[Low Tol]],"Pass","Fail")))</f>
        <v>Pass</v>
      </c>
      <c r="AE1058" s="1" t="str">
        <f>IF(AND(Table1[[#This Row],[Spec Type2]]="N/A",Table1[[#This Row],[DUT Adj Read]]="N/A",Table1[[#This Row],[Std Adj Read]]="N/A"),"N/A",IF(Table1[[#This Row],[DUT Adj Read]]="N/A",IF(Table1[[#This Row],[Std Adj Read]]&lt;Table1[[#This Row],[High Tol]],"Pass","Fail"),IF(Table1[[#This Row],[DUT Adj Read]]&lt;Table1[[#This Row],[High Tol]],"Pass","Fail")))</f>
        <v>Fail</v>
      </c>
      <c r="AF1058" s="1" t="str">
        <f>IF(AND(Table1[[#This Row],[Spec Type2]]="N/A",Table1[[#This Row],[DUT Adj Read]]="N/A",Table1[[#This Row],[Std Adj Read]]="N/A"),"N/A",IF(Table1[[#This Row],[DUT Adj Read]]="N/A",IF(Table1[[#This Row],[Std Adj Read]]&gt;=Table1[[#This Row],[Low Tol]],"Pass","Fail"),IF(Table1[[#This Row],[DUT Adj Read]]&gt;=Table1[[#This Row],[Low Tol]],"Pass","Fail")))</f>
        <v>Pass</v>
      </c>
      <c r="AG1058" s="1" t="str">
        <f>IF(AND(Table1[[#This Row],[Spec Type2]]="N/A",Table1[[#This Row],[DUT Adj Read]]="N/A",Table1[[#This Row],[Std Adj Read]]="N/A"),"N/A",IF(Table1[[#This Row],[DUT Adj Read]]="N/A",IF(Table1[[#This Row],[Std Adj Read]]&lt;=Table1[[#This Row],[High Tol]],"Pass","Fail"),IF(Table1[[#This Row],[DUT Adj Read]]&lt;=Table1[[#This Row],[High Tol]],"Pass","Fail")))</f>
        <v>Fail</v>
      </c>
      <c r="AH10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8" s="1" t="b">
        <v>0</v>
      </c>
      <c r="AN1058" s="1" t="b">
        <v>0</v>
      </c>
      <c r="AO1058" s="1" t="b">
        <v>0</v>
      </c>
    </row>
    <row r="1059" spans="1:41" x14ac:dyDescent="0.25">
      <c r="A1059" s="10"/>
      <c r="B1059" s="10"/>
      <c r="C1059" s="10"/>
      <c r="D1059" s="10"/>
      <c r="E1059" s="10"/>
      <c r="F1059" s="10"/>
      <c r="G1059" s="10"/>
      <c r="H1059" s="10"/>
      <c r="I1059" s="1" t="str">
        <f t="shared" si="48"/>
        <v/>
      </c>
      <c r="J1059" s="1" t="s">
        <v>35</v>
      </c>
      <c r="K1059" s="1" t="str">
        <f t="shared" si="49"/>
        <v/>
      </c>
      <c r="L1059" s="1" t="str">
        <f t="shared" si="50"/>
        <v/>
      </c>
      <c r="M1059" s="1">
        <f>IF(OR(Table1[[#This Row],[Std Nom]]="",Table1[[#This Row],[Std Read]]=""),0,Table1[[#This Row],[Std Nom]]-Table1[[#This Row],[Std Read]])</f>
        <v>0</v>
      </c>
      <c r="N1059" s="1">
        <f>IF(Calculations!$F$5="ACCREDITED 17025 WITH UNCERTAINTIES",$N$10,0)</f>
        <v>0</v>
      </c>
      <c r="O1059" s="1" t="str">
        <f>IFERROR(Table1[[#This Row],[Std Nom]]-(_xlfn.XLOOKUP(Table1[[#This Row],[Manufacturer]]&amp;" "&amp;Table1[[#This Row],[Model]],Table13[MFR &amp; MDL],Table13[Tolerance % CW ],"")/100*Table1[[#This Row],[Std Nom]]),"")</f>
        <v/>
      </c>
      <c r="P1059" s="1" t="str">
        <f>IFERROR(Table1[[#This Row],[Std Nom]]+(_xlfn.XLOOKUP(Table1[[#This Row],[Manufacturer]]&amp;" "&amp;Table1[[#This Row],[Model]],Table13[MFR &amp; MDL],Table13[Tolerance % CW ],"")/100*Table1[[#This Row],[Std Nom]]),"")</f>
        <v/>
      </c>
      <c r="Q1059" s="1" t="e">
        <f>Table1[[#This Row],[High Tol]]-Table1[[#This Row],[Low Tol]]</f>
        <v>#VALUE!</v>
      </c>
      <c r="R1059" s="1">
        <f>2*Table1[[#This Row],[Std Error]]</f>
        <v>0</v>
      </c>
      <c r="S1059" s="1" t="str">
        <f>IF(Table1[[#This Row],[High Tol]]="","N/A",IFERROR(ABS(Table1[[#This Row],[Tol Span]]/Table1[[#This Row],[Error Span]]),"N/A"))</f>
        <v>N/A</v>
      </c>
      <c r="T1059" s="1" t="str">
        <f>IF(OR(Table1[[#This Row],[Low Tol]]="",Table1[[#This Row],[High Tol]]=""),"Needs Analysis",IF(Table1[[#This Row],[Ratio]]&gt;=4,"Not Significant",IF(Table1[[#This Row],[Ratio]]&gt;=2,"Semi-Significant","Significant")))</f>
        <v>Needs Analysis</v>
      </c>
      <c r="W1059" s="1">
        <f>IF(Table1[[#This Row],[Cal Type]]&lt;&gt;"ACCREDITED 17025 WITH UNCERTAINTIES",0,"")</f>
        <v>0</v>
      </c>
      <c r="X1059" s="1" t="str">
        <f>IF(Table1[[#This Row],[DUT Read]]="","N/A",Table1[[#This Row],[Std Error]]+Table1[[#This Row],[DUT Read]]+Table1[[#This Row],[DUT Ucty]])</f>
        <v>N/A</v>
      </c>
      <c r="Y1059" s="1" t="str">
        <f>IF(Table1[[#This Row],[Std Read]]="","N/A",Table1[[#This Row],[Std Read]]+Table1[[#This Row],[Std Ucty]])</f>
        <v>N/A</v>
      </c>
      <c r="Z10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9" s="1" t="str">
        <f>IF(Table1[[#This Row],[Spec Type]]="","N/A",Table1[[#This Row],[Spec Type]])</f>
        <v>±</v>
      </c>
      <c r="AC1059" s="1" t="str">
        <f>IF(Table1[[#This Row],[Spec Type2]]="N/A","N/A",IF(AND(Table1[[#This Row],[DUT Adj Read]]&gt;=Table1[[#This Row],[Low Tol]],Table1[[#This Row],[DUT Adj Read]]&lt;=Table1[[#This Row],[High Tol]]),"Pass","Fail"))</f>
        <v>Fail</v>
      </c>
      <c r="AD1059" s="1" t="str">
        <f>IF(AND(Table1[[#This Row],[Spec Type2]]="N/A",Table1[[#This Row],[DUT Adj Read]]="N/A",Table1[[#This Row],[Std Adj Read]]="N/A"),"N/A",IF(Table1[[#This Row],[DUT Adj Read]]="N/A",IF(Table1[[#This Row],[Std Adj Read]]&gt;Table1[[#This Row],[Low Tol]],"Pass","Fail"),IF(Table1[[#This Row],[DUT Adj Read]]&gt;Table1[[#This Row],[Low Tol]],"Pass","Fail")))</f>
        <v>Pass</v>
      </c>
      <c r="AE1059" s="1" t="str">
        <f>IF(AND(Table1[[#This Row],[Spec Type2]]="N/A",Table1[[#This Row],[DUT Adj Read]]="N/A",Table1[[#This Row],[Std Adj Read]]="N/A"),"N/A",IF(Table1[[#This Row],[DUT Adj Read]]="N/A",IF(Table1[[#This Row],[Std Adj Read]]&lt;Table1[[#This Row],[High Tol]],"Pass","Fail"),IF(Table1[[#This Row],[DUT Adj Read]]&lt;Table1[[#This Row],[High Tol]],"Pass","Fail")))</f>
        <v>Fail</v>
      </c>
      <c r="AF1059" s="1" t="str">
        <f>IF(AND(Table1[[#This Row],[Spec Type2]]="N/A",Table1[[#This Row],[DUT Adj Read]]="N/A",Table1[[#This Row],[Std Adj Read]]="N/A"),"N/A",IF(Table1[[#This Row],[DUT Adj Read]]="N/A",IF(Table1[[#This Row],[Std Adj Read]]&gt;=Table1[[#This Row],[Low Tol]],"Pass","Fail"),IF(Table1[[#This Row],[DUT Adj Read]]&gt;=Table1[[#This Row],[Low Tol]],"Pass","Fail")))</f>
        <v>Pass</v>
      </c>
      <c r="AG1059" s="1" t="str">
        <f>IF(AND(Table1[[#This Row],[Spec Type2]]="N/A",Table1[[#This Row],[DUT Adj Read]]="N/A",Table1[[#This Row],[Std Adj Read]]="N/A"),"N/A",IF(Table1[[#This Row],[DUT Adj Read]]="N/A",IF(Table1[[#This Row],[Std Adj Read]]&lt;=Table1[[#This Row],[High Tol]],"Pass","Fail"),IF(Table1[[#This Row],[DUT Adj Read]]&lt;=Table1[[#This Row],[High Tol]],"Pass","Fail")))</f>
        <v>Fail</v>
      </c>
      <c r="AH10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9" s="1" t="b">
        <v>0</v>
      </c>
      <c r="AN1059" s="1" t="b">
        <v>0</v>
      </c>
      <c r="AO1059" s="1" t="b">
        <v>0</v>
      </c>
    </row>
    <row r="1060" spans="1:41" x14ac:dyDescent="0.25">
      <c r="A1060" s="10"/>
      <c r="B1060" s="10"/>
      <c r="C1060" s="10"/>
      <c r="D1060" s="10"/>
      <c r="E1060" s="10"/>
      <c r="F1060" s="10"/>
      <c r="G1060" s="10"/>
      <c r="H1060" s="10"/>
      <c r="I1060" s="1" t="str">
        <f t="shared" si="48"/>
        <v/>
      </c>
      <c r="J1060" s="1" t="s">
        <v>35</v>
      </c>
      <c r="K1060" s="1" t="str">
        <f t="shared" si="49"/>
        <v/>
      </c>
      <c r="L1060" s="1" t="str">
        <f t="shared" si="50"/>
        <v/>
      </c>
      <c r="M1060" s="1">
        <f>IF(OR(Table1[[#This Row],[Std Nom]]="",Table1[[#This Row],[Std Read]]=""),0,Table1[[#This Row],[Std Nom]]-Table1[[#This Row],[Std Read]])</f>
        <v>0</v>
      </c>
      <c r="N1060" s="1">
        <f>IF(Calculations!$F$5="ACCREDITED 17025 WITH UNCERTAINTIES",$N$10,0)</f>
        <v>0</v>
      </c>
      <c r="O1060" s="1" t="str">
        <f>IFERROR(Table1[[#This Row],[Std Nom]]-(_xlfn.XLOOKUP(Table1[[#This Row],[Manufacturer]]&amp;" "&amp;Table1[[#This Row],[Model]],Table13[MFR &amp; MDL],Table13[Tolerance % CW ],"")/100*Table1[[#This Row],[Std Nom]]),"")</f>
        <v/>
      </c>
      <c r="P1060" s="1" t="str">
        <f>IFERROR(Table1[[#This Row],[Std Nom]]+(_xlfn.XLOOKUP(Table1[[#This Row],[Manufacturer]]&amp;" "&amp;Table1[[#This Row],[Model]],Table13[MFR &amp; MDL],Table13[Tolerance % CW ],"")/100*Table1[[#This Row],[Std Nom]]),"")</f>
        <v/>
      </c>
      <c r="Q1060" s="1" t="e">
        <f>Table1[[#This Row],[High Tol]]-Table1[[#This Row],[Low Tol]]</f>
        <v>#VALUE!</v>
      </c>
      <c r="R1060" s="1">
        <f>2*Table1[[#This Row],[Std Error]]</f>
        <v>0</v>
      </c>
      <c r="S1060" s="1" t="str">
        <f>IF(Table1[[#This Row],[High Tol]]="","N/A",IFERROR(ABS(Table1[[#This Row],[Tol Span]]/Table1[[#This Row],[Error Span]]),"N/A"))</f>
        <v>N/A</v>
      </c>
      <c r="T1060" s="1" t="str">
        <f>IF(OR(Table1[[#This Row],[Low Tol]]="",Table1[[#This Row],[High Tol]]=""),"Needs Analysis",IF(Table1[[#This Row],[Ratio]]&gt;=4,"Not Significant",IF(Table1[[#This Row],[Ratio]]&gt;=2,"Semi-Significant","Significant")))</f>
        <v>Needs Analysis</v>
      </c>
      <c r="W1060" s="1">
        <f>IF(Table1[[#This Row],[Cal Type]]&lt;&gt;"ACCREDITED 17025 WITH UNCERTAINTIES",0,"")</f>
        <v>0</v>
      </c>
      <c r="X1060" s="1" t="str">
        <f>IF(Table1[[#This Row],[DUT Read]]="","N/A",Table1[[#This Row],[Std Error]]+Table1[[#This Row],[DUT Read]]+Table1[[#This Row],[DUT Ucty]])</f>
        <v>N/A</v>
      </c>
      <c r="Y1060" s="1" t="str">
        <f>IF(Table1[[#This Row],[Std Read]]="","N/A",Table1[[#This Row],[Std Read]]+Table1[[#This Row],[Std Ucty]])</f>
        <v>N/A</v>
      </c>
      <c r="Z10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0" s="1" t="str">
        <f>IF(Table1[[#This Row],[Spec Type]]="","N/A",Table1[[#This Row],[Spec Type]])</f>
        <v>±</v>
      </c>
      <c r="AC1060" s="1" t="str">
        <f>IF(Table1[[#This Row],[Spec Type2]]="N/A","N/A",IF(AND(Table1[[#This Row],[DUT Adj Read]]&gt;=Table1[[#This Row],[Low Tol]],Table1[[#This Row],[DUT Adj Read]]&lt;=Table1[[#This Row],[High Tol]]),"Pass","Fail"))</f>
        <v>Fail</v>
      </c>
      <c r="AD1060" s="1" t="str">
        <f>IF(AND(Table1[[#This Row],[Spec Type2]]="N/A",Table1[[#This Row],[DUT Adj Read]]="N/A",Table1[[#This Row],[Std Adj Read]]="N/A"),"N/A",IF(Table1[[#This Row],[DUT Adj Read]]="N/A",IF(Table1[[#This Row],[Std Adj Read]]&gt;Table1[[#This Row],[Low Tol]],"Pass","Fail"),IF(Table1[[#This Row],[DUT Adj Read]]&gt;Table1[[#This Row],[Low Tol]],"Pass","Fail")))</f>
        <v>Pass</v>
      </c>
      <c r="AE1060" s="1" t="str">
        <f>IF(AND(Table1[[#This Row],[Spec Type2]]="N/A",Table1[[#This Row],[DUT Adj Read]]="N/A",Table1[[#This Row],[Std Adj Read]]="N/A"),"N/A",IF(Table1[[#This Row],[DUT Adj Read]]="N/A",IF(Table1[[#This Row],[Std Adj Read]]&lt;Table1[[#This Row],[High Tol]],"Pass","Fail"),IF(Table1[[#This Row],[DUT Adj Read]]&lt;Table1[[#This Row],[High Tol]],"Pass","Fail")))</f>
        <v>Fail</v>
      </c>
      <c r="AF1060" s="1" t="str">
        <f>IF(AND(Table1[[#This Row],[Spec Type2]]="N/A",Table1[[#This Row],[DUT Adj Read]]="N/A",Table1[[#This Row],[Std Adj Read]]="N/A"),"N/A",IF(Table1[[#This Row],[DUT Adj Read]]="N/A",IF(Table1[[#This Row],[Std Adj Read]]&gt;=Table1[[#This Row],[Low Tol]],"Pass","Fail"),IF(Table1[[#This Row],[DUT Adj Read]]&gt;=Table1[[#This Row],[Low Tol]],"Pass","Fail")))</f>
        <v>Pass</v>
      </c>
      <c r="AG1060" s="1" t="str">
        <f>IF(AND(Table1[[#This Row],[Spec Type2]]="N/A",Table1[[#This Row],[DUT Adj Read]]="N/A",Table1[[#This Row],[Std Adj Read]]="N/A"),"N/A",IF(Table1[[#This Row],[DUT Adj Read]]="N/A",IF(Table1[[#This Row],[Std Adj Read]]&lt;=Table1[[#This Row],[High Tol]],"Pass","Fail"),IF(Table1[[#This Row],[DUT Adj Read]]&lt;=Table1[[#This Row],[High Tol]],"Pass","Fail")))</f>
        <v>Fail</v>
      </c>
      <c r="AH10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0" s="1" t="b">
        <v>0</v>
      </c>
      <c r="AN1060" s="1" t="b">
        <v>0</v>
      </c>
      <c r="AO1060" s="1" t="b">
        <v>0</v>
      </c>
    </row>
    <row r="1061" spans="1:41" x14ac:dyDescent="0.25">
      <c r="A1061" s="10"/>
      <c r="B1061" s="10"/>
      <c r="C1061" s="10"/>
      <c r="D1061" s="10"/>
      <c r="E1061" s="10"/>
      <c r="F1061" s="10"/>
      <c r="G1061" s="10"/>
      <c r="H1061" s="10"/>
      <c r="I1061" s="1" t="str">
        <f t="shared" si="48"/>
        <v/>
      </c>
      <c r="J1061" s="1" t="s">
        <v>35</v>
      </c>
      <c r="K1061" s="1" t="str">
        <f t="shared" si="49"/>
        <v/>
      </c>
      <c r="L1061" s="1" t="str">
        <f t="shared" si="50"/>
        <v/>
      </c>
      <c r="M1061" s="1">
        <f>IF(OR(Table1[[#This Row],[Std Nom]]="",Table1[[#This Row],[Std Read]]=""),0,Table1[[#This Row],[Std Nom]]-Table1[[#This Row],[Std Read]])</f>
        <v>0</v>
      </c>
      <c r="N1061" s="1">
        <f>IF(Calculations!$F$5="ACCREDITED 17025 WITH UNCERTAINTIES",$N$10,0)</f>
        <v>0</v>
      </c>
      <c r="O1061" s="1" t="str">
        <f>IFERROR(Table1[[#This Row],[Std Nom]]-(_xlfn.XLOOKUP(Table1[[#This Row],[Manufacturer]]&amp;" "&amp;Table1[[#This Row],[Model]],Table13[MFR &amp; MDL],Table13[Tolerance % CW ],"")/100*Table1[[#This Row],[Std Nom]]),"")</f>
        <v/>
      </c>
      <c r="P1061" s="1" t="str">
        <f>IFERROR(Table1[[#This Row],[Std Nom]]+(_xlfn.XLOOKUP(Table1[[#This Row],[Manufacturer]]&amp;" "&amp;Table1[[#This Row],[Model]],Table13[MFR &amp; MDL],Table13[Tolerance % CW ],"")/100*Table1[[#This Row],[Std Nom]]),"")</f>
        <v/>
      </c>
      <c r="Q1061" s="1" t="e">
        <f>Table1[[#This Row],[High Tol]]-Table1[[#This Row],[Low Tol]]</f>
        <v>#VALUE!</v>
      </c>
      <c r="R1061" s="1">
        <f>2*Table1[[#This Row],[Std Error]]</f>
        <v>0</v>
      </c>
      <c r="S1061" s="1" t="str">
        <f>IF(Table1[[#This Row],[High Tol]]="","N/A",IFERROR(ABS(Table1[[#This Row],[Tol Span]]/Table1[[#This Row],[Error Span]]),"N/A"))</f>
        <v>N/A</v>
      </c>
      <c r="T1061" s="1" t="str">
        <f>IF(OR(Table1[[#This Row],[Low Tol]]="",Table1[[#This Row],[High Tol]]=""),"Needs Analysis",IF(Table1[[#This Row],[Ratio]]&gt;=4,"Not Significant",IF(Table1[[#This Row],[Ratio]]&gt;=2,"Semi-Significant","Significant")))</f>
        <v>Needs Analysis</v>
      </c>
      <c r="W1061" s="1">
        <f>IF(Table1[[#This Row],[Cal Type]]&lt;&gt;"ACCREDITED 17025 WITH UNCERTAINTIES",0,"")</f>
        <v>0</v>
      </c>
      <c r="X1061" s="1" t="str">
        <f>IF(Table1[[#This Row],[DUT Read]]="","N/A",Table1[[#This Row],[Std Error]]+Table1[[#This Row],[DUT Read]]+Table1[[#This Row],[DUT Ucty]])</f>
        <v>N/A</v>
      </c>
      <c r="Y1061" s="1" t="str">
        <f>IF(Table1[[#This Row],[Std Read]]="","N/A",Table1[[#This Row],[Std Read]]+Table1[[#This Row],[Std Ucty]])</f>
        <v>N/A</v>
      </c>
      <c r="Z10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1" s="1" t="str">
        <f>IF(Table1[[#This Row],[Spec Type]]="","N/A",Table1[[#This Row],[Spec Type]])</f>
        <v>±</v>
      </c>
      <c r="AC1061" s="1" t="str">
        <f>IF(Table1[[#This Row],[Spec Type2]]="N/A","N/A",IF(AND(Table1[[#This Row],[DUT Adj Read]]&gt;=Table1[[#This Row],[Low Tol]],Table1[[#This Row],[DUT Adj Read]]&lt;=Table1[[#This Row],[High Tol]]),"Pass","Fail"))</f>
        <v>Fail</v>
      </c>
      <c r="AD1061" s="1" t="str">
        <f>IF(AND(Table1[[#This Row],[Spec Type2]]="N/A",Table1[[#This Row],[DUT Adj Read]]="N/A",Table1[[#This Row],[Std Adj Read]]="N/A"),"N/A",IF(Table1[[#This Row],[DUT Adj Read]]="N/A",IF(Table1[[#This Row],[Std Adj Read]]&gt;Table1[[#This Row],[Low Tol]],"Pass","Fail"),IF(Table1[[#This Row],[DUT Adj Read]]&gt;Table1[[#This Row],[Low Tol]],"Pass","Fail")))</f>
        <v>Pass</v>
      </c>
      <c r="AE1061" s="1" t="str">
        <f>IF(AND(Table1[[#This Row],[Spec Type2]]="N/A",Table1[[#This Row],[DUT Adj Read]]="N/A",Table1[[#This Row],[Std Adj Read]]="N/A"),"N/A",IF(Table1[[#This Row],[DUT Adj Read]]="N/A",IF(Table1[[#This Row],[Std Adj Read]]&lt;Table1[[#This Row],[High Tol]],"Pass","Fail"),IF(Table1[[#This Row],[DUT Adj Read]]&lt;Table1[[#This Row],[High Tol]],"Pass","Fail")))</f>
        <v>Fail</v>
      </c>
      <c r="AF1061" s="1" t="str">
        <f>IF(AND(Table1[[#This Row],[Spec Type2]]="N/A",Table1[[#This Row],[DUT Adj Read]]="N/A",Table1[[#This Row],[Std Adj Read]]="N/A"),"N/A",IF(Table1[[#This Row],[DUT Adj Read]]="N/A",IF(Table1[[#This Row],[Std Adj Read]]&gt;=Table1[[#This Row],[Low Tol]],"Pass","Fail"),IF(Table1[[#This Row],[DUT Adj Read]]&gt;=Table1[[#This Row],[Low Tol]],"Pass","Fail")))</f>
        <v>Pass</v>
      </c>
      <c r="AG1061" s="1" t="str">
        <f>IF(AND(Table1[[#This Row],[Spec Type2]]="N/A",Table1[[#This Row],[DUT Adj Read]]="N/A",Table1[[#This Row],[Std Adj Read]]="N/A"),"N/A",IF(Table1[[#This Row],[DUT Adj Read]]="N/A",IF(Table1[[#This Row],[Std Adj Read]]&lt;=Table1[[#This Row],[High Tol]],"Pass","Fail"),IF(Table1[[#This Row],[DUT Adj Read]]&lt;=Table1[[#This Row],[High Tol]],"Pass","Fail")))</f>
        <v>Fail</v>
      </c>
      <c r="AH10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1" s="1" t="b">
        <v>0</v>
      </c>
      <c r="AN1061" s="1" t="b">
        <v>0</v>
      </c>
      <c r="AO1061" s="1" t="b">
        <v>0</v>
      </c>
    </row>
    <row r="1062" spans="1:41" x14ac:dyDescent="0.25">
      <c r="A1062" s="10"/>
      <c r="B1062" s="10"/>
      <c r="C1062" s="10"/>
      <c r="D1062" s="10"/>
      <c r="E1062" s="10"/>
      <c r="F1062" s="10"/>
      <c r="G1062" s="10"/>
      <c r="H1062" s="10"/>
      <c r="I1062" s="1" t="str">
        <f t="shared" si="48"/>
        <v/>
      </c>
      <c r="J1062" s="1" t="s">
        <v>35</v>
      </c>
      <c r="K1062" s="1" t="str">
        <f t="shared" si="49"/>
        <v/>
      </c>
      <c r="L1062" s="1" t="str">
        <f t="shared" si="50"/>
        <v/>
      </c>
      <c r="M1062" s="1">
        <f>IF(OR(Table1[[#This Row],[Std Nom]]="",Table1[[#This Row],[Std Read]]=""),0,Table1[[#This Row],[Std Nom]]-Table1[[#This Row],[Std Read]])</f>
        <v>0</v>
      </c>
      <c r="N1062" s="1">
        <f>IF(Calculations!$F$5="ACCREDITED 17025 WITH UNCERTAINTIES",$N$10,0)</f>
        <v>0</v>
      </c>
      <c r="O1062" s="1" t="str">
        <f>IFERROR(Table1[[#This Row],[Std Nom]]-(_xlfn.XLOOKUP(Table1[[#This Row],[Manufacturer]]&amp;" "&amp;Table1[[#This Row],[Model]],Table13[MFR &amp; MDL],Table13[Tolerance % CW ],"")/100*Table1[[#This Row],[Std Nom]]),"")</f>
        <v/>
      </c>
      <c r="P1062" s="1" t="str">
        <f>IFERROR(Table1[[#This Row],[Std Nom]]+(_xlfn.XLOOKUP(Table1[[#This Row],[Manufacturer]]&amp;" "&amp;Table1[[#This Row],[Model]],Table13[MFR &amp; MDL],Table13[Tolerance % CW ],"")/100*Table1[[#This Row],[Std Nom]]),"")</f>
        <v/>
      </c>
      <c r="Q1062" s="1" t="e">
        <f>Table1[[#This Row],[High Tol]]-Table1[[#This Row],[Low Tol]]</f>
        <v>#VALUE!</v>
      </c>
      <c r="R1062" s="1">
        <f>2*Table1[[#This Row],[Std Error]]</f>
        <v>0</v>
      </c>
      <c r="S1062" s="1" t="str">
        <f>IF(Table1[[#This Row],[High Tol]]="","N/A",IFERROR(ABS(Table1[[#This Row],[Tol Span]]/Table1[[#This Row],[Error Span]]),"N/A"))</f>
        <v>N/A</v>
      </c>
      <c r="T1062" s="1" t="str">
        <f>IF(OR(Table1[[#This Row],[Low Tol]]="",Table1[[#This Row],[High Tol]]=""),"Needs Analysis",IF(Table1[[#This Row],[Ratio]]&gt;=4,"Not Significant",IF(Table1[[#This Row],[Ratio]]&gt;=2,"Semi-Significant","Significant")))</f>
        <v>Needs Analysis</v>
      </c>
      <c r="W1062" s="1">
        <f>IF(Table1[[#This Row],[Cal Type]]&lt;&gt;"ACCREDITED 17025 WITH UNCERTAINTIES",0,"")</f>
        <v>0</v>
      </c>
      <c r="X1062" s="1" t="str">
        <f>IF(Table1[[#This Row],[DUT Read]]="","N/A",Table1[[#This Row],[Std Error]]+Table1[[#This Row],[DUT Read]]+Table1[[#This Row],[DUT Ucty]])</f>
        <v>N/A</v>
      </c>
      <c r="Y1062" s="1" t="str">
        <f>IF(Table1[[#This Row],[Std Read]]="","N/A",Table1[[#This Row],[Std Read]]+Table1[[#This Row],[Std Ucty]])</f>
        <v>N/A</v>
      </c>
      <c r="Z10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2" s="1" t="str">
        <f>IF(Table1[[#This Row],[Spec Type]]="","N/A",Table1[[#This Row],[Spec Type]])</f>
        <v>±</v>
      </c>
      <c r="AC1062" s="1" t="str">
        <f>IF(Table1[[#This Row],[Spec Type2]]="N/A","N/A",IF(AND(Table1[[#This Row],[DUT Adj Read]]&gt;=Table1[[#This Row],[Low Tol]],Table1[[#This Row],[DUT Adj Read]]&lt;=Table1[[#This Row],[High Tol]]),"Pass","Fail"))</f>
        <v>Fail</v>
      </c>
      <c r="AD1062" s="1" t="str">
        <f>IF(AND(Table1[[#This Row],[Spec Type2]]="N/A",Table1[[#This Row],[DUT Adj Read]]="N/A",Table1[[#This Row],[Std Adj Read]]="N/A"),"N/A",IF(Table1[[#This Row],[DUT Adj Read]]="N/A",IF(Table1[[#This Row],[Std Adj Read]]&gt;Table1[[#This Row],[Low Tol]],"Pass","Fail"),IF(Table1[[#This Row],[DUT Adj Read]]&gt;Table1[[#This Row],[Low Tol]],"Pass","Fail")))</f>
        <v>Pass</v>
      </c>
      <c r="AE1062" s="1" t="str">
        <f>IF(AND(Table1[[#This Row],[Spec Type2]]="N/A",Table1[[#This Row],[DUT Adj Read]]="N/A",Table1[[#This Row],[Std Adj Read]]="N/A"),"N/A",IF(Table1[[#This Row],[DUT Adj Read]]="N/A",IF(Table1[[#This Row],[Std Adj Read]]&lt;Table1[[#This Row],[High Tol]],"Pass","Fail"),IF(Table1[[#This Row],[DUT Adj Read]]&lt;Table1[[#This Row],[High Tol]],"Pass","Fail")))</f>
        <v>Fail</v>
      </c>
      <c r="AF1062" s="1" t="str">
        <f>IF(AND(Table1[[#This Row],[Spec Type2]]="N/A",Table1[[#This Row],[DUT Adj Read]]="N/A",Table1[[#This Row],[Std Adj Read]]="N/A"),"N/A",IF(Table1[[#This Row],[DUT Adj Read]]="N/A",IF(Table1[[#This Row],[Std Adj Read]]&gt;=Table1[[#This Row],[Low Tol]],"Pass","Fail"),IF(Table1[[#This Row],[DUT Adj Read]]&gt;=Table1[[#This Row],[Low Tol]],"Pass","Fail")))</f>
        <v>Pass</v>
      </c>
      <c r="AG1062" s="1" t="str">
        <f>IF(AND(Table1[[#This Row],[Spec Type2]]="N/A",Table1[[#This Row],[DUT Adj Read]]="N/A",Table1[[#This Row],[Std Adj Read]]="N/A"),"N/A",IF(Table1[[#This Row],[DUT Adj Read]]="N/A",IF(Table1[[#This Row],[Std Adj Read]]&lt;=Table1[[#This Row],[High Tol]],"Pass","Fail"),IF(Table1[[#This Row],[DUT Adj Read]]&lt;=Table1[[#This Row],[High Tol]],"Pass","Fail")))</f>
        <v>Fail</v>
      </c>
      <c r="AH10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2" s="1" t="b">
        <v>0</v>
      </c>
      <c r="AN1062" s="1" t="b">
        <v>0</v>
      </c>
      <c r="AO1062" s="1" t="b">
        <v>0</v>
      </c>
    </row>
    <row r="1063" spans="1:41" x14ac:dyDescent="0.25">
      <c r="A1063" s="10"/>
      <c r="B1063" s="10"/>
      <c r="C1063" s="10"/>
      <c r="D1063" s="10"/>
      <c r="E1063" s="10"/>
      <c r="F1063" s="10"/>
      <c r="G1063" s="10"/>
      <c r="H1063" s="10"/>
      <c r="I1063" s="1" t="str">
        <f t="shared" si="48"/>
        <v/>
      </c>
      <c r="J1063" s="1" t="s">
        <v>35</v>
      </c>
      <c r="K1063" s="1" t="str">
        <f t="shared" si="49"/>
        <v/>
      </c>
      <c r="L1063" s="1" t="str">
        <f t="shared" si="50"/>
        <v/>
      </c>
      <c r="M1063" s="1">
        <f>IF(OR(Table1[[#This Row],[Std Nom]]="",Table1[[#This Row],[Std Read]]=""),0,Table1[[#This Row],[Std Nom]]-Table1[[#This Row],[Std Read]])</f>
        <v>0</v>
      </c>
      <c r="N1063" s="1">
        <f>IF(Calculations!$F$5="ACCREDITED 17025 WITH UNCERTAINTIES",$N$10,0)</f>
        <v>0</v>
      </c>
      <c r="O1063" s="1" t="str">
        <f>IFERROR(Table1[[#This Row],[Std Nom]]-(_xlfn.XLOOKUP(Table1[[#This Row],[Manufacturer]]&amp;" "&amp;Table1[[#This Row],[Model]],Table13[MFR &amp; MDL],Table13[Tolerance % CW ],"")/100*Table1[[#This Row],[Std Nom]]),"")</f>
        <v/>
      </c>
      <c r="P1063" s="1" t="str">
        <f>IFERROR(Table1[[#This Row],[Std Nom]]+(_xlfn.XLOOKUP(Table1[[#This Row],[Manufacturer]]&amp;" "&amp;Table1[[#This Row],[Model]],Table13[MFR &amp; MDL],Table13[Tolerance % CW ],"")/100*Table1[[#This Row],[Std Nom]]),"")</f>
        <v/>
      </c>
      <c r="Q1063" s="1" t="e">
        <f>Table1[[#This Row],[High Tol]]-Table1[[#This Row],[Low Tol]]</f>
        <v>#VALUE!</v>
      </c>
      <c r="R1063" s="1">
        <f>2*Table1[[#This Row],[Std Error]]</f>
        <v>0</v>
      </c>
      <c r="S1063" s="1" t="str">
        <f>IF(Table1[[#This Row],[High Tol]]="","N/A",IFERROR(ABS(Table1[[#This Row],[Tol Span]]/Table1[[#This Row],[Error Span]]),"N/A"))</f>
        <v>N/A</v>
      </c>
      <c r="T1063" s="1" t="str">
        <f>IF(OR(Table1[[#This Row],[Low Tol]]="",Table1[[#This Row],[High Tol]]=""),"Needs Analysis",IF(Table1[[#This Row],[Ratio]]&gt;=4,"Not Significant",IF(Table1[[#This Row],[Ratio]]&gt;=2,"Semi-Significant","Significant")))</f>
        <v>Needs Analysis</v>
      </c>
      <c r="W1063" s="1">
        <f>IF(Table1[[#This Row],[Cal Type]]&lt;&gt;"ACCREDITED 17025 WITH UNCERTAINTIES",0,"")</f>
        <v>0</v>
      </c>
      <c r="X1063" s="1" t="str">
        <f>IF(Table1[[#This Row],[DUT Read]]="","N/A",Table1[[#This Row],[Std Error]]+Table1[[#This Row],[DUT Read]]+Table1[[#This Row],[DUT Ucty]])</f>
        <v>N/A</v>
      </c>
      <c r="Y1063" s="1" t="str">
        <f>IF(Table1[[#This Row],[Std Read]]="","N/A",Table1[[#This Row],[Std Read]]+Table1[[#This Row],[Std Ucty]])</f>
        <v>N/A</v>
      </c>
      <c r="Z10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3" s="1" t="str">
        <f>IF(Table1[[#This Row],[Spec Type]]="","N/A",Table1[[#This Row],[Spec Type]])</f>
        <v>±</v>
      </c>
      <c r="AC1063" s="1" t="str">
        <f>IF(Table1[[#This Row],[Spec Type2]]="N/A","N/A",IF(AND(Table1[[#This Row],[DUT Adj Read]]&gt;=Table1[[#This Row],[Low Tol]],Table1[[#This Row],[DUT Adj Read]]&lt;=Table1[[#This Row],[High Tol]]),"Pass","Fail"))</f>
        <v>Fail</v>
      </c>
      <c r="AD1063" s="1" t="str">
        <f>IF(AND(Table1[[#This Row],[Spec Type2]]="N/A",Table1[[#This Row],[DUT Adj Read]]="N/A",Table1[[#This Row],[Std Adj Read]]="N/A"),"N/A",IF(Table1[[#This Row],[DUT Adj Read]]="N/A",IF(Table1[[#This Row],[Std Adj Read]]&gt;Table1[[#This Row],[Low Tol]],"Pass","Fail"),IF(Table1[[#This Row],[DUT Adj Read]]&gt;Table1[[#This Row],[Low Tol]],"Pass","Fail")))</f>
        <v>Pass</v>
      </c>
      <c r="AE1063" s="1" t="str">
        <f>IF(AND(Table1[[#This Row],[Spec Type2]]="N/A",Table1[[#This Row],[DUT Adj Read]]="N/A",Table1[[#This Row],[Std Adj Read]]="N/A"),"N/A",IF(Table1[[#This Row],[DUT Adj Read]]="N/A",IF(Table1[[#This Row],[Std Adj Read]]&lt;Table1[[#This Row],[High Tol]],"Pass","Fail"),IF(Table1[[#This Row],[DUT Adj Read]]&lt;Table1[[#This Row],[High Tol]],"Pass","Fail")))</f>
        <v>Fail</v>
      </c>
      <c r="AF1063" s="1" t="str">
        <f>IF(AND(Table1[[#This Row],[Spec Type2]]="N/A",Table1[[#This Row],[DUT Adj Read]]="N/A",Table1[[#This Row],[Std Adj Read]]="N/A"),"N/A",IF(Table1[[#This Row],[DUT Adj Read]]="N/A",IF(Table1[[#This Row],[Std Adj Read]]&gt;=Table1[[#This Row],[Low Tol]],"Pass","Fail"),IF(Table1[[#This Row],[DUT Adj Read]]&gt;=Table1[[#This Row],[Low Tol]],"Pass","Fail")))</f>
        <v>Pass</v>
      </c>
      <c r="AG1063" s="1" t="str">
        <f>IF(AND(Table1[[#This Row],[Spec Type2]]="N/A",Table1[[#This Row],[DUT Adj Read]]="N/A",Table1[[#This Row],[Std Adj Read]]="N/A"),"N/A",IF(Table1[[#This Row],[DUT Adj Read]]="N/A",IF(Table1[[#This Row],[Std Adj Read]]&lt;=Table1[[#This Row],[High Tol]],"Pass","Fail"),IF(Table1[[#This Row],[DUT Adj Read]]&lt;=Table1[[#This Row],[High Tol]],"Pass","Fail")))</f>
        <v>Fail</v>
      </c>
      <c r="AH10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3" s="1" t="b">
        <v>0</v>
      </c>
      <c r="AN1063" s="1" t="b">
        <v>0</v>
      </c>
      <c r="AO1063" s="1" t="b">
        <v>0</v>
      </c>
    </row>
    <row r="1064" spans="1:41" x14ac:dyDescent="0.25">
      <c r="A1064" s="10"/>
      <c r="B1064" s="10"/>
      <c r="C1064" s="10"/>
      <c r="D1064" s="10"/>
      <c r="E1064" s="10"/>
      <c r="F1064" s="10"/>
      <c r="G1064" s="10"/>
      <c r="H1064" s="10"/>
      <c r="I1064" s="1" t="str">
        <f t="shared" si="48"/>
        <v/>
      </c>
      <c r="J1064" s="1" t="s">
        <v>35</v>
      </c>
      <c r="K1064" s="1" t="str">
        <f t="shared" si="49"/>
        <v/>
      </c>
      <c r="L1064" s="1" t="str">
        <f t="shared" si="50"/>
        <v/>
      </c>
      <c r="M1064" s="1">
        <f>IF(OR(Table1[[#This Row],[Std Nom]]="",Table1[[#This Row],[Std Read]]=""),0,Table1[[#This Row],[Std Nom]]-Table1[[#This Row],[Std Read]])</f>
        <v>0</v>
      </c>
      <c r="N1064" s="1">
        <f>IF(Calculations!$F$5="ACCREDITED 17025 WITH UNCERTAINTIES",$N$10,0)</f>
        <v>0</v>
      </c>
      <c r="O1064" s="1" t="str">
        <f>IFERROR(Table1[[#This Row],[Std Nom]]-(_xlfn.XLOOKUP(Table1[[#This Row],[Manufacturer]]&amp;" "&amp;Table1[[#This Row],[Model]],Table13[MFR &amp; MDL],Table13[Tolerance % CW ],"")/100*Table1[[#This Row],[Std Nom]]),"")</f>
        <v/>
      </c>
      <c r="P1064" s="1" t="str">
        <f>IFERROR(Table1[[#This Row],[Std Nom]]+(_xlfn.XLOOKUP(Table1[[#This Row],[Manufacturer]]&amp;" "&amp;Table1[[#This Row],[Model]],Table13[MFR &amp; MDL],Table13[Tolerance % CW ],"")/100*Table1[[#This Row],[Std Nom]]),"")</f>
        <v/>
      </c>
      <c r="Q1064" s="1" t="e">
        <f>Table1[[#This Row],[High Tol]]-Table1[[#This Row],[Low Tol]]</f>
        <v>#VALUE!</v>
      </c>
      <c r="R1064" s="1">
        <f>2*Table1[[#This Row],[Std Error]]</f>
        <v>0</v>
      </c>
      <c r="S1064" s="1" t="str">
        <f>IF(Table1[[#This Row],[High Tol]]="","N/A",IFERROR(ABS(Table1[[#This Row],[Tol Span]]/Table1[[#This Row],[Error Span]]),"N/A"))</f>
        <v>N/A</v>
      </c>
      <c r="T1064" s="1" t="str">
        <f>IF(OR(Table1[[#This Row],[Low Tol]]="",Table1[[#This Row],[High Tol]]=""),"Needs Analysis",IF(Table1[[#This Row],[Ratio]]&gt;=4,"Not Significant",IF(Table1[[#This Row],[Ratio]]&gt;=2,"Semi-Significant","Significant")))</f>
        <v>Needs Analysis</v>
      </c>
      <c r="W1064" s="1">
        <f>IF(Table1[[#This Row],[Cal Type]]&lt;&gt;"ACCREDITED 17025 WITH UNCERTAINTIES",0,"")</f>
        <v>0</v>
      </c>
      <c r="X1064" s="1" t="str">
        <f>IF(Table1[[#This Row],[DUT Read]]="","N/A",Table1[[#This Row],[Std Error]]+Table1[[#This Row],[DUT Read]]+Table1[[#This Row],[DUT Ucty]])</f>
        <v>N/A</v>
      </c>
      <c r="Y1064" s="1" t="str">
        <f>IF(Table1[[#This Row],[Std Read]]="","N/A",Table1[[#This Row],[Std Read]]+Table1[[#This Row],[Std Ucty]])</f>
        <v>N/A</v>
      </c>
      <c r="Z10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4" s="1" t="str">
        <f>IF(Table1[[#This Row],[Spec Type]]="","N/A",Table1[[#This Row],[Spec Type]])</f>
        <v>±</v>
      </c>
      <c r="AC1064" s="1" t="str">
        <f>IF(Table1[[#This Row],[Spec Type2]]="N/A","N/A",IF(AND(Table1[[#This Row],[DUT Adj Read]]&gt;=Table1[[#This Row],[Low Tol]],Table1[[#This Row],[DUT Adj Read]]&lt;=Table1[[#This Row],[High Tol]]),"Pass","Fail"))</f>
        <v>Fail</v>
      </c>
      <c r="AD1064" s="1" t="str">
        <f>IF(AND(Table1[[#This Row],[Spec Type2]]="N/A",Table1[[#This Row],[DUT Adj Read]]="N/A",Table1[[#This Row],[Std Adj Read]]="N/A"),"N/A",IF(Table1[[#This Row],[DUT Adj Read]]="N/A",IF(Table1[[#This Row],[Std Adj Read]]&gt;Table1[[#This Row],[Low Tol]],"Pass","Fail"),IF(Table1[[#This Row],[DUT Adj Read]]&gt;Table1[[#This Row],[Low Tol]],"Pass","Fail")))</f>
        <v>Pass</v>
      </c>
      <c r="AE1064" s="1" t="str">
        <f>IF(AND(Table1[[#This Row],[Spec Type2]]="N/A",Table1[[#This Row],[DUT Adj Read]]="N/A",Table1[[#This Row],[Std Adj Read]]="N/A"),"N/A",IF(Table1[[#This Row],[DUT Adj Read]]="N/A",IF(Table1[[#This Row],[Std Adj Read]]&lt;Table1[[#This Row],[High Tol]],"Pass","Fail"),IF(Table1[[#This Row],[DUT Adj Read]]&lt;Table1[[#This Row],[High Tol]],"Pass","Fail")))</f>
        <v>Fail</v>
      </c>
      <c r="AF1064" s="1" t="str">
        <f>IF(AND(Table1[[#This Row],[Spec Type2]]="N/A",Table1[[#This Row],[DUT Adj Read]]="N/A",Table1[[#This Row],[Std Adj Read]]="N/A"),"N/A",IF(Table1[[#This Row],[DUT Adj Read]]="N/A",IF(Table1[[#This Row],[Std Adj Read]]&gt;=Table1[[#This Row],[Low Tol]],"Pass","Fail"),IF(Table1[[#This Row],[DUT Adj Read]]&gt;=Table1[[#This Row],[Low Tol]],"Pass","Fail")))</f>
        <v>Pass</v>
      </c>
      <c r="AG1064" s="1" t="str">
        <f>IF(AND(Table1[[#This Row],[Spec Type2]]="N/A",Table1[[#This Row],[DUT Adj Read]]="N/A",Table1[[#This Row],[Std Adj Read]]="N/A"),"N/A",IF(Table1[[#This Row],[DUT Adj Read]]="N/A",IF(Table1[[#This Row],[Std Adj Read]]&lt;=Table1[[#This Row],[High Tol]],"Pass","Fail"),IF(Table1[[#This Row],[DUT Adj Read]]&lt;=Table1[[#This Row],[High Tol]],"Pass","Fail")))</f>
        <v>Fail</v>
      </c>
      <c r="AH10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4" s="1" t="b">
        <v>0</v>
      </c>
      <c r="AN1064" s="1" t="b">
        <v>0</v>
      </c>
      <c r="AO1064" s="1" t="b">
        <v>0</v>
      </c>
    </row>
    <row r="1065" spans="1:41" x14ac:dyDescent="0.25">
      <c r="A1065" s="10"/>
      <c r="B1065" s="10"/>
      <c r="C1065" s="10"/>
      <c r="D1065" s="10"/>
      <c r="E1065" s="10"/>
      <c r="F1065" s="10"/>
      <c r="G1065" s="10"/>
      <c r="H1065" s="10"/>
      <c r="I1065" s="1" t="str">
        <f t="shared" si="48"/>
        <v/>
      </c>
      <c r="J1065" s="1" t="s">
        <v>35</v>
      </c>
      <c r="K1065" s="1" t="str">
        <f t="shared" si="49"/>
        <v/>
      </c>
      <c r="L1065" s="1" t="str">
        <f t="shared" si="50"/>
        <v/>
      </c>
      <c r="M1065" s="1">
        <f>IF(OR(Table1[[#This Row],[Std Nom]]="",Table1[[#This Row],[Std Read]]=""),0,Table1[[#This Row],[Std Nom]]-Table1[[#This Row],[Std Read]])</f>
        <v>0</v>
      </c>
      <c r="N1065" s="1">
        <f>IF(Calculations!$F$5="ACCREDITED 17025 WITH UNCERTAINTIES",$N$10,0)</f>
        <v>0</v>
      </c>
      <c r="O1065" s="1" t="str">
        <f>IFERROR(Table1[[#This Row],[Std Nom]]-(_xlfn.XLOOKUP(Table1[[#This Row],[Manufacturer]]&amp;" "&amp;Table1[[#This Row],[Model]],Table13[MFR &amp; MDL],Table13[Tolerance % CW ],"")/100*Table1[[#This Row],[Std Nom]]),"")</f>
        <v/>
      </c>
      <c r="P1065" s="1" t="str">
        <f>IFERROR(Table1[[#This Row],[Std Nom]]+(_xlfn.XLOOKUP(Table1[[#This Row],[Manufacturer]]&amp;" "&amp;Table1[[#This Row],[Model]],Table13[MFR &amp; MDL],Table13[Tolerance % CW ],"")/100*Table1[[#This Row],[Std Nom]]),"")</f>
        <v/>
      </c>
      <c r="Q1065" s="1" t="e">
        <f>Table1[[#This Row],[High Tol]]-Table1[[#This Row],[Low Tol]]</f>
        <v>#VALUE!</v>
      </c>
      <c r="R1065" s="1">
        <f>2*Table1[[#This Row],[Std Error]]</f>
        <v>0</v>
      </c>
      <c r="S1065" s="1" t="str">
        <f>IF(Table1[[#This Row],[High Tol]]="","N/A",IFERROR(ABS(Table1[[#This Row],[Tol Span]]/Table1[[#This Row],[Error Span]]),"N/A"))</f>
        <v>N/A</v>
      </c>
      <c r="T1065" s="1" t="str">
        <f>IF(OR(Table1[[#This Row],[Low Tol]]="",Table1[[#This Row],[High Tol]]=""),"Needs Analysis",IF(Table1[[#This Row],[Ratio]]&gt;=4,"Not Significant",IF(Table1[[#This Row],[Ratio]]&gt;=2,"Semi-Significant","Significant")))</f>
        <v>Needs Analysis</v>
      </c>
      <c r="W1065" s="1">
        <f>IF(Table1[[#This Row],[Cal Type]]&lt;&gt;"ACCREDITED 17025 WITH UNCERTAINTIES",0,"")</f>
        <v>0</v>
      </c>
      <c r="X1065" s="1" t="str">
        <f>IF(Table1[[#This Row],[DUT Read]]="","N/A",Table1[[#This Row],[Std Error]]+Table1[[#This Row],[DUT Read]]+Table1[[#This Row],[DUT Ucty]])</f>
        <v>N/A</v>
      </c>
      <c r="Y1065" s="1" t="str">
        <f>IF(Table1[[#This Row],[Std Read]]="","N/A",Table1[[#This Row],[Std Read]]+Table1[[#This Row],[Std Ucty]])</f>
        <v>N/A</v>
      </c>
      <c r="Z10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5" s="1" t="str">
        <f>IF(Table1[[#This Row],[Spec Type]]="","N/A",Table1[[#This Row],[Spec Type]])</f>
        <v>±</v>
      </c>
      <c r="AC1065" s="1" t="str">
        <f>IF(Table1[[#This Row],[Spec Type2]]="N/A","N/A",IF(AND(Table1[[#This Row],[DUT Adj Read]]&gt;=Table1[[#This Row],[Low Tol]],Table1[[#This Row],[DUT Adj Read]]&lt;=Table1[[#This Row],[High Tol]]),"Pass","Fail"))</f>
        <v>Fail</v>
      </c>
      <c r="AD1065" s="1" t="str">
        <f>IF(AND(Table1[[#This Row],[Spec Type2]]="N/A",Table1[[#This Row],[DUT Adj Read]]="N/A",Table1[[#This Row],[Std Adj Read]]="N/A"),"N/A",IF(Table1[[#This Row],[DUT Adj Read]]="N/A",IF(Table1[[#This Row],[Std Adj Read]]&gt;Table1[[#This Row],[Low Tol]],"Pass","Fail"),IF(Table1[[#This Row],[DUT Adj Read]]&gt;Table1[[#This Row],[Low Tol]],"Pass","Fail")))</f>
        <v>Pass</v>
      </c>
      <c r="AE1065" s="1" t="str">
        <f>IF(AND(Table1[[#This Row],[Spec Type2]]="N/A",Table1[[#This Row],[DUT Adj Read]]="N/A",Table1[[#This Row],[Std Adj Read]]="N/A"),"N/A",IF(Table1[[#This Row],[DUT Adj Read]]="N/A",IF(Table1[[#This Row],[Std Adj Read]]&lt;Table1[[#This Row],[High Tol]],"Pass","Fail"),IF(Table1[[#This Row],[DUT Adj Read]]&lt;Table1[[#This Row],[High Tol]],"Pass","Fail")))</f>
        <v>Fail</v>
      </c>
      <c r="AF1065" s="1" t="str">
        <f>IF(AND(Table1[[#This Row],[Spec Type2]]="N/A",Table1[[#This Row],[DUT Adj Read]]="N/A",Table1[[#This Row],[Std Adj Read]]="N/A"),"N/A",IF(Table1[[#This Row],[DUT Adj Read]]="N/A",IF(Table1[[#This Row],[Std Adj Read]]&gt;=Table1[[#This Row],[Low Tol]],"Pass","Fail"),IF(Table1[[#This Row],[DUT Adj Read]]&gt;=Table1[[#This Row],[Low Tol]],"Pass","Fail")))</f>
        <v>Pass</v>
      </c>
      <c r="AG1065" s="1" t="str">
        <f>IF(AND(Table1[[#This Row],[Spec Type2]]="N/A",Table1[[#This Row],[DUT Adj Read]]="N/A",Table1[[#This Row],[Std Adj Read]]="N/A"),"N/A",IF(Table1[[#This Row],[DUT Adj Read]]="N/A",IF(Table1[[#This Row],[Std Adj Read]]&lt;=Table1[[#This Row],[High Tol]],"Pass","Fail"),IF(Table1[[#This Row],[DUT Adj Read]]&lt;=Table1[[#This Row],[High Tol]],"Pass","Fail")))</f>
        <v>Fail</v>
      </c>
      <c r="AH10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5" s="1" t="b">
        <v>0</v>
      </c>
      <c r="AN1065" s="1" t="b">
        <v>0</v>
      </c>
      <c r="AO1065" s="1" t="b">
        <v>0</v>
      </c>
    </row>
    <row r="1066" spans="1:41" x14ac:dyDescent="0.25">
      <c r="A1066" s="10"/>
      <c r="B1066" s="10"/>
      <c r="C1066" s="10"/>
      <c r="D1066" s="10"/>
      <c r="E1066" s="10"/>
      <c r="F1066" s="10"/>
      <c r="G1066" s="10"/>
      <c r="H1066" s="10"/>
      <c r="I1066" s="1" t="str">
        <f t="shared" si="48"/>
        <v/>
      </c>
      <c r="J1066" s="1" t="s">
        <v>35</v>
      </c>
      <c r="K1066" s="1" t="str">
        <f t="shared" si="49"/>
        <v/>
      </c>
      <c r="L1066" s="1" t="str">
        <f t="shared" si="50"/>
        <v/>
      </c>
      <c r="M1066" s="1">
        <f>IF(OR(Table1[[#This Row],[Std Nom]]="",Table1[[#This Row],[Std Read]]=""),0,Table1[[#This Row],[Std Nom]]-Table1[[#This Row],[Std Read]])</f>
        <v>0</v>
      </c>
      <c r="N1066" s="1">
        <f>IF(Calculations!$F$5="ACCREDITED 17025 WITH UNCERTAINTIES",$N$10,0)</f>
        <v>0</v>
      </c>
      <c r="O1066" s="1" t="str">
        <f>IFERROR(Table1[[#This Row],[Std Nom]]-(_xlfn.XLOOKUP(Table1[[#This Row],[Manufacturer]]&amp;" "&amp;Table1[[#This Row],[Model]],Table13[MFR &amp; MDL],Table13[Tolerance % CW ],"")/100*Table1[[#This Row],[Std Nom]]),"")</f>
        <v/>
      </c>
      <c r="P1066" s="1" t="str">
        <f>IFERROR(Table1[[#This Row],[Std Nom]]+(_xlfn.XLOOKUP(Table1[[#This Row],[Manufacturer]]&amp;" "&amp;Table1[[#This Row],[Model]],Table13[MFR &amp; MDL],Table13[Tolerance % CW ],"")/100*Table1[[#This Row],[Std Nom]]),"")</f>
        <v/>
      </c>
      <c r="Q1066" s="1" t="e">
        <f>Table1[[#This Row],[High Tol]]-Table1[[#This Row],[Low Tol]]</f>
        <v>#VALUE!</v>
      </c>
      <c r="R1066" s="1">
        <f>2*Table1[[#This Row],[Std Error]]</f>
        <v>0</v>
      </c>
      <c r="S1066" s="1" t="str">
        <f>IF(Table1[[#This Row],[High Tol]]="","N/A",IFERROR(ABS(Table1[[#This Row],[Tol Span]]/Table1[[#This Row],[Error Span]]),"N/A"))</f>
        <v>N/A</v>
      </c>
      <c r="T1066" s="1" t="str">
        <f>IF(OR(Table1[[#This Row],[Low Tol]]="",Table1[[#This Row],[High Tol]]=""),"Needs Analysis",IF(Table1[[#This Row],[Ratio]]&gt;=4,"Not Significant",IF(Table1[[#This Row],[Ratio]]&gt;=2,"Semi-Significant","Significant")))</f>
        <v>Needs Analysis</v>
      </c>
      <c r="W1066" s="1">
        <f>IF(Table1[[#This Row],[Cal Type]]&lt;&gt;"ACCREDITED 17025 WITH UNCERTAINTIES",0,"")</f>
        <v>0</v>
      </c>
      <c r="X1066" s="1" t="str">
        <f>IF(Table1[[#This Row],[DUT Read]]="","N/A",Table1[[#This Row],[Std Error]]+Table1[[#This Row],[DUT Read]]+Table1[[#This Row],[DUT Ucty]])</f>
        <v>N/A</v>
      </c>
      <c r="Y1066" s="1" t="str">
        <f>IF(Table1[[#This Row],[Std Read]]="","N/A",Table1[[#This Row],[Std Read]]+Table1[[#This Row],[Std Ucty]])</f>
        <v>N/A</v>
      </c>
      <c r="Z10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6" s="1" t="str">
        <f>IF(Table1[[#This Row],[Spec Type]]="","N/A",Table1[[#This Row],[Spec Type]])</f>
        <v>±</v>
      </c>
      <c r="AC1066" s="1" t="str">
        <f>IF(Table1[[#This Row],[Spec Type2]]="N/A","N/A",IF(AND(Table1[[#This Row],[DUT Adj Read]]&gt;=Table1[[#This Row],[Low Tol]],Table1[[#This Row],[DUT Adj Read]]&lt;=Table1[[#This Row],[High Tol]]),"Pass","Fail"))</f>
        <v>Fail</v>
      </c>
      <c r="AD1066" s="1" t="str">
        <f>IF(AND(Table1[[#This Row],[Spec Type2]]="N/A",Table1[[#This Row],[DUT Adj Read]]="N/A",Table1[[#This Row],[Std Adj Read]]="N/A"),"N/A",IF(Table1[[#This Row],[DUT Adj Read]]="N/A",IF(Table1[[#This Row],[Std Adj Read]]&gt;Table1[[#This Row],[Low Tol]],"Pass","Fail"),IF(Table1[[#This Row],[DUT Adj Read]]&gt;Table1[[#This Row],[Low Tol]],"Pass","Fail")))</f>
        <v>Pass</v>
      </c>
      <c r="AE1066" s="1" t="str">
        <f>IF(AND(Table1[[#This Row],[Spec Type2]]="N/A",Table1[[#This Row],[DUT Adj Read]]="N/A",Table1[[#This Row],[Std Adj Read]]="N/A"),"N/A",IF(Table1[[#This Row],[DUT Adj Read]]="N/A",IF(Table1[[#This Row],[Std Adj Read]]&lt;Table1[[#This Row],[High Tol]],"Pass","Fail"),IF(Table1[[#This Row],[DUT Adj Read]]&lt;Table1[[#This Row],[High Tol]],"Pass","Fail")))</f>
        <v>Fail</v>
      </c>
      <c r="AF1066" s="1" t="str">
        <f>IF(AND(Table1[[#This Row],[Spec Type2]]="N/A",Table1[[#This Row],[DUT Adj Read]]="N/A",Table1[[#This Row],[Std Adj Read]]="N/A"),"N/A",IF(Table1[[#This Row],[DUT Adj Read]]="N/A",IF(Table1[[#This Row],[Std Adj Read]]&gt;=Table1[[#This Row],[Low Tol]],"Pass","Fail"),IF(Table1[[#This Row],[DUT Adj Read]]&gt;=Table1[[#This Row],[Low Tol]],"Pass","Fail")))</f>
        <v>Pass</v>
      </c>
      <c r="AG1066" s="1" t="str">
        <f>IF(AND(Table1[[#This Row],[Spec Type2]]="N/A",Table1[[#This Row],[DUT Adj Read]]="N/A",Table1[[#This Row],[Std Adj Read]]="N/A"),"N/A",IF(Table1[[#This Row],[DUT Adj Read]]="N/A",IF(Table1[[#This Row],[Std Adj Read]]&lt;=Table1[[#This Row],[High Tol]],"Pass","Fail"),IF(Table1[[#This Row],[DUT Adj Read]]&lt;=Table1[[#This Row],[High Tol]],"Pass","Fail")))</f>
        <v>Fail</v>
      </c>
      <c r="AH10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6" s="1" t="b">
        <v>0</v>
      </c>
      <c r="AN1066" s="1" t="b">
        <v>0</v>
      </c>
      <c r="AO1066" s="1" t="b">
        <v>0</v>
      </c>
    </row>
    <row r="1067" spans="1:41" x14ac:dyDescent="0.25">
      <c r="A1067" s="10"/>
      <c r="B1067" s="10"/>
      <c r="C1067" s="10"/>
      <c r="D1067" s="10"/>
      <c r="E1067" s="10"/>
      <c r="F1067" s="10"/>
      <c r="G1067" s="10"/>
      <c r="H1067" s="10"/>
      <c r="I1067" s="1" t="str">
        <f t="shared" si="48"/>
        <v/>
      </c>
      <c r="J1067" s="1" t="s">
        <v>35</v>
      </c>
      <c r="K1067" s="1" t="str">
        <f t="shared" si="49"/>
        <v/>
      </c>
      <c r="L1067" s="1" t="str">
        <f t="shared" si="50"/>
        <v/>
      </c>
      <c r="M1067" s="1">
        <f>IF(OR(Table1[[#This Row],[Std Nom]]="",Table1[[#This Row],[Std Read]]=""),0,Table1[[#This Row],[Std Nom]]-Table1[[#This Row],[Std Read]])</f>
        <v>0</v>
      </c>
      <c r="N1067" s="1">
        <f>IF(Calculations!$F$5="ACCREDITED 17025 WITH UNCERTAINTIES",$N$10,0)</f>
        <v>0</v>
      </c>
      <c r="O1067" s="1" t="str">
        <f>IFERROR(Table1[[#This Row],[Std Nom]]-(_xlfn.XLOOKUP(Table1[[#This Row],[Manufacturer]]&amp;" "&amp;Table1[[#This Row],[Model]],Table13[MFR &amp; MDL],Table13[Tolerance % CW ],"")/100*Table1[[#This Row],[Std Nom]]),"")</f>
        <v/>
      </c>
      <c r="P1067" s="1" t="str">
        <f>IFERROR(Table1[[#This Row],[Std Nom]]+(_xlfn.XLOOKUP(Table1[[#This Row],[Manufacturer]]&amp;" "&amp;Table1[[#This Row],[Model]],Table13[MFR &amp; MDL],Table13[Tolerance % CW ],"")/100*Table1[[#This Row],[Std Nom]]),"")</f>
        <v/>
      </c>
      <c r="Q1067" s="1" t="e">
        <f>Table1[[#This Row],[High Tol]]-Table1[[#This Row],[Low Tol]]</f>
        <v>#VALUE!</v>
      </c>
      <c r="R1067" s="1">
        <f>2*Table1[[#This Row],[Std Error]]</f>
        <v>0</v>
      </c>
      <c r="S1067" s="1" t="str">
        <f>IF(Table1[[#This Row],[High Tol]]="","N/A",IFERROR(ABS(Table1[[#This Row],[Tol Span]]/Table1[[#This Row],[Error Span]]),"N/A"))</f>
        <v>N/A</v>
      </c>
      <c r="T1067" s="1" t="str">
        <f>IF(OR(Table1[[#This Row],[Low Tol]]="",Table1[[#This Row],[High Tol]]=""),"Needs Analysis",IF(Table1[[#This Row],[Ratio]]&gt;=4,"Not Significant",IF(Table1[[#This Row],[Ratio]]&gt;=2,"Semi-Significant","Significant")))</f>
        <v>Needs Analysis</v>
      </c>
      <c r="W1067" s="1">
        <f>IF(Table1[[#This Row],[Cal Type]]&lt;&gt;"ACCREDITED 17025 WITH UNCERTAINTIES",0,"")</f>
        <v>0</v>
      </c>
      <c r="X1067" s="1" t="str">
        <f>IF(Table1[[#This Row],[DUT Read]]="","N/A",Table1[[#This Row],[Std Error]]+Table1[[#This Row],[DUT Read]]+Table1[[#This Row],[DUT Ucty]])</f>
        <v>N/A</v>
      </c>
      <c r="Y1067" s="1" t="str">
        <f>IF(Table1[[#This Row],[Std Read]]="","N/A",Table1[[#This Row],[Std Read]]+Table1[[#This Row],[Std Ucty]])</f>
        <v>N/A</v>
      </c>
      <c r="Z10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7" s="1" t="str">
        <f>IF(Table1[[#This Row],[Spec Type]]="","N/A",Table1[[#This Row],[Spec Type]])</f>
        <v>±</v>
      </c>
      <c r="AC1067" s="1" t="str">
        <f>IF(Table1[[#This Row],[Spec Type2]]="N/A","N/A",IF(AND(Table1[[#This Row],[DUT Adj Read]]&gt;=Table1[[#This Row],[Low Tol]],Table1[[#This Row],[DUT Adj Read]]&lt;=Table1[[#This Row],[High Tol]]),"Pass","Fail"))</f>
        <v>Fail</v>
      </c>
      <c r="AD1067" s="1" t="str">
        <f>IF(AND(Table1[[#This Row],[Spec Type2]]="N/A",Table1[[#This Row],[DUT Adj Read]]="N/A",Table1[[#This Row],[Std Adj Read]]="N/A"),"N/A",IF(Table1[[#This Row],[DUT Adj Read]]="N/A",IF(Table1[[#This Row],[Std Adj Read]]&gt;Table1[[#This Row],[Low Tol]],"Pass","Fail"),IF(Table1[[#This Row],[DUT Adj Read]]&gt;Table1[[#This Row],[Low Tol]],"Pass","Fail")))</f>
        <v>Pass</v>
      </c>
      <c r="AE1067" s="1" t="str">
        <f>IF(AND(Table1[[#This Row],[Spec Type2]]="N/A",Table1[[#This Row],[DUT Adj Read]]="N/A",Table1[[#This Row],[Std Adj Read]]="N/A"),"N/A",IF(Table1[[#This Row],[DUT Adj Read]]="N/A",IF(Table1[[#This Row],[Std Adj Read]]&lt;Table1[[#This Row],[High Tol]],"Pass","Fail"),IF(Table1[[#This Row],[DUT Adj Read]]&lt;Table1[[#This Row],[High Tol]],"Pass","Fail")))</f>
        <v>Fail</v>
      </c>
      <c r="AF1067" s="1" t="str">
        <f>IF(AND(Table1[[#This Row],[Spec Type2]]="N/A",Table1[[#This Row],[DUT Adj Read]]="N/A",Table1[[#This Row],[Std Adj Read]]="N/A"),"N/A",IF(Table1[[#This Row],[DUT Adj Read]]="N/A",IF(Table1[[#This Row],[Std Adj Read]]&gt;=Table1[[#This Row],[Low Tol]],"Pass","Fail"),IF(Table1[[#This Row],[DUT Adj Read]]&gt;=Table1[[#This Row],[Low Tol]],"Pass","Fail")))</f>
        <v>Pass</v>
      </c>
      <c r="AG1067" s="1" t="str">
        <f>IF(AND(Table1[[#This Row],[Spec Type2]]="N/A",Table1[[#This Row],[DUT Adj Read]]="N/A",Table1[[#This Row],[Std Adj Read]]="N/A"),"N/A",IF(Table1[[#This Row],[DUT Adj Read]]="N/A",IF(Table1[[#This Row],[Std Adj Read]]&lt;=Table1[[#This Row],[High Tol]],"Pass","Fail"),IF(Table1[[#This Row],[DUT Adj Read]]&lt;=Table1[[#This Row],[High Tol]],"Pass","Fail")))</f>
        <v>Fail</v>
      </c>
      <c r="AH10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7" s="1" t="b">
        <v>0</v>
      </c>
      <c r="AN1067" s="1" t="b">
        <v>0</v>
      </c>
      <c r="AO1067" s="1" t="b">
        <v>0</v>
      </c>
    </row>
    <row r="1068" spans="1:41" x14ac:dyDescent="0.25">
      <c r="A1068" s="10"/>
      <c r="B1068" s="10"/>
      <c r="C1068" s="10"/>
      <c r="D1068" s="10"/>
      <c r="E1068" s="10"/>
      <c r="F1068" s="10"/>
      <c r="G1068" s="10"/>
      <c r="H1068" s="10"/>
      <c r="I1068" s="1" t="str">
        <f t="shared" si="48"/>
        <v/>
      </c>
      <c r="J1068" s="1" t="s">
        <v>35</v>
      </c>
      <c r="K1068" s="1" t="str">
        <f t="shared" si="49"/>
        <v/>
      </c>
      <c r="L1068" s="1" t="str">
        <f t="shared" si="50"/>
        <v/>
      </c>
      <c r="M1068" s="1">
        <f>IF(OR(Table1[[#This Row],[Std Nom]]="",Table1[[#This Row],[Std Read]]=""),0,Table1[[#This Row],[Std Nom]]-Table1[[#This Row],[Std Read]])</f>
        <v>0</v>
      </c>
      <c r="N1068" s="1">
        <f>IF(Calculations!$F$5="ACCREDITED 17025 WITH UNCERTAINTIES",$N$10,0)</f>
        <v>0</v>
      </c>
      <c r="O1068" s="1" t="str">
        <f>IFERROR(Table1[[#This Row],[Std Nom]]-(_xlfn.XLOOKUP(Table1[[#This Row],[Manufacturer]]&amp;" "&amp;Table1[[#This Row],[Model]],Table13[MFR &amp; MDL],Table13[Tolerance % CW ],"")/100*Table1[[#This Row],[Std Nom]]),"")</f>
        <v/>
      </c>
      <c r="P1068" s="1" t="str">
        <f>IFERROR(Table1[[#This Row],[Std Nom]]+(_xlfn.XLOOKUP(Table1[[#This Row],[Manufacturer]]&amp;" "&amp;Table1[[#This Row],[Model]],Table13[MFR &amp; MDL],Table13[Tolerance % CW ],"")/100*Table1[[#This Row],[Std Nom]]),"")</f>
        <v/>
      </c>
      <c r="Q1068" s="1" t="e">
        <f>Table1[[#This Row],[High Tol]]-Table1[[#This Row],[Low Tol]]</f>
        <v>#VALUE!</v>
      </c>
      <c r="R1068" s="1">
        <f>2*Table1[[#This Row],[Std Error]]</f>
        <v>0</v>
      </c>
      <c r="S1068" s="1" t="str">
        <f>IF(Table1[[#This Row],[High Tol]]="","N/A",IFERROR(ABS(Table1[[#This Row],[Tol Span]]/Table1[[#This Row],[Error Span]]),"N/A"))</f>
        <v>N/A</v>
      </c>
      <c r="T1068" s="1" t="str">
        <f>IF(OR(Table1[[#This Row],[Low Tol]]="",Table1[[#This Row],[High Tol]]=""),"Needs Analysis",IF(Table1[[#This Row],[Ratio]]&gt;=4,"Not Significant",IF(Table1[[#This Row],[Ratio]]&gt;=2,"Semi-Significant","Significant")))</f>
        <v>Needs Analysis</v>
      </c>
      <c r="W1068" s="1">
        <f>IF(Table1[[#This Row],[Cal Type]]&lt;&gt;"ACCREDITED 17025 WITH UNCERTAINTIES",0,"")</f>
        <v>0</v>
      </c>
      <c r="X1068" s="1" t="str">
        <f>IF(Table1[[#This Row],[DUT Read]]="","N/A",Table1[[#This Row],[Std Error]]+Table1[[#This Row],[DUT Read]]+Table1[[#This Row],[DUT Ucty]])</f>
        <v>N/A</v>
      </c>
      <c r="Y1068" s="1" t="str">
        <f>IF(Table1[[#This Row],[Std Read]]="","N/A",Table1[[#This Row],[Std Read]]+Table1[[#This Row],[Std Ucty]])</f>
        <v>N/A</v>
      </c>
      <c r="Z10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8" s="1" t="str">
        <f>IF(Table1[[#This Row],[Spec Type]]="","N/A",Table1[[#This Row],[Spec Type]])</f>
        <v>±</v>
      </c>
      <c r="AC1068" s="1" t="str">
        <f>IF(Table1[[#This Row],[Spec Type2]]="N/A","N/A",IF(AND(Table1[[#This Row],[DUT Adj Read]]&gt;=Table1[[#This Row],[Low Tol]],Table1[[#This Row],[DUT Adj Read]]&lt;=Table1[[#This Row],[High Tol]]),"Pass","Fail"))</f>
        <v>Fail</v>
      </c>
      <c r="AD1068" s="1" t="str">
        <f>IF(AND(Table1[[#This Row],[Spec Type2]]="N/A",Table1[[#This Row],[DUT Adj Read]]="N/A",Table1[[#This Row],[Std Adj Read]]="N/A"),"N/A",IF(Table1[[#This Row],[DUT Adj Read]]="N/A",IF(Table1[[#This Row],[Std Adj Read]]&gt;Table1[[#This Row],[Low Tol]],"Pass","Fail"),IF(Table1[[#This Row],[DUT Adj Read]]&gt;Table1[[#This Row],[Low Tol]],"Pass","Fail")))</f>
        <v>Pass</v>
      </c>
      <c r="AE1068" s="1" t="str">
        <f>IF(AND(Table1[[#This Row],[Spec Type2]]="N/A",Table1[[#This Row],[DUT Adj Read]]="N/A",Table1[[#This Row],[Std Adj Read]]="N/A"),"N/A",IF(Table1[[#This Row],[DUT Adj Read]]="N/A",IF(Table1[[#This Row],[Std Adj Read]]&lt;Table1[[#This Row],[High Tol]],"Pass","Fail"),IF(Table1[[#This Row],[DUT Adj Read]]&lt;Table1[[#This Row],[High Tol]],"Pass","Fail")))</f>
        <v>Fail</v>
      </c>
      <c r="AF1068" s="1" t="str">
        <f>IF(AND(Table1[[#This Row],[Spec Type2]]="N/A",Table1[[#This Row],[DUT Adj Read]]="N/A",Table1[[#This Row],[Std Adj Read]]="N/A"),"N/A",IF(Table1[[#This Row],[DUT Adj Read]]="N/A",IF(Table1[[#This Row],[Std Adj Read]]&gt;=Table1[[#This Row],[Low Tol]],"Pass","Fail"),IF(Table1[[#This Row],[DUT Adj Read]]&gt;=Table1[[#This Row],[Low Tol]],"Pass","Fail")))</f>
        <v>Pass</v>
      </c>
      <c r="AG1068" s="1" t="str">
        <f>IF(AND(Table1[[#This Row],[Spec Type2]]="N/A",Table1[[#This Row],[DUT Adj Read]]="N/A",Table1[[#This Row],[Std Adj Read]]="N/A"),"N/A",IF(Table1[[#This Row],[DUT Adj Read]]="N/A",IF(Table1[[#This Row],[Std Adj Read]]&lt;=Table1[[#This Row],[High Tol]],"Pass","Fail"),IF(Table1[[#This Row],[DUT Adj Read]]&lt;=Table1[[#This Row],[High Tol]],"Pass","Fail")))</f>
        <v>Fail</v>
      </c>
      <c r="AH10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8" s="1" t="b">
        <v>0</v>
      </c>
      <c r="AN1068" s="1" t="b">
        <v>0</v>
      </c>
      <c r="AO1068" s="1" t="b">
        <v>0</v>
      </c>
    </row>
    <row r="1069" spans="1:41" x14ac:dyDescent="0.25">
      <c r="A1069" s="10"/>
      <c r="B1069" s="10"/>
      <c r="C1069" s="10"/>
      <c r="D1069" s="10"/>
      <c r="E1069" s="10"/>
      <c r="F1069" s="10"/>
      <c r="G1069" s="10"/>
      <c r="H1069" s="10"/>
      <c r="I1069" s="1" t="str">
        <f t="shared" si="48"/>
        <v/>
      </c>
      <c r="J1069" s="1" t="s">
        <v>35</v>
      </c>
      <c r="K1069" s="1" t="str">
        <f t="shared" si="49"/>
        <v/>
      </c>
      <c r="L1069" s="1" t="str">
        <f t="shared" si="50"/>
        <v/>
      </c>
      <c r="M1069" s="1">
        <f>IF(OR(Table1[[#This Row],[Std Nom]]="",Table1[[#This Row],[Std Read]]=""),0,Table1[[#This Row],[Std Nom]]-Table1[[#This Row],[Std Read]])</f>
        <v>0</v>
      </c>
      <c r="N1069" s="1">
        <f>IF(Calculations!$F$5="ACCREDITED 17025 WITH UNCERTAINTIES",$N$10,0)</f>
        <v>0</v>
      </c>
      <c r="O1069" s="1" t="str">
        <f>IFERROR(Table1[[#This Row],[Std Nom]]-(_xlfn.XLOOKUP(Table1[[#This Row],[Manufacturer]]&amp;" "&amp;Table1[[#This Row],[Model]],Table13[MFR &amp; MDL],Table13[Tolerance % CW ],"")/100*Table1[[#This Row],[Std Nom]]),"")</f>
        <v/>
      </c>
      <c r="P1069" s="1" t="str">
        <f>IFERROR(Table1[[#This Row],[Std Nom]]+(_xlfn.XLOOKUP(Table1[[#This Row],[Manufacturer]]&amp;" "&amp;Table1[[#This Row],[Model]],Table13[MFR &amp; MDL],Table13[Tolerance % CW ],"")/100*Table1[[#This Row],[Std Nom]]),"")</f>
        <v/>
      </c>
      <c r="Q1069" s="1" t="e">
        <f>Table1[[#This Row],[High Tol]]-Table1[[#This Row],[Low Tol]]</f>
        <v>#VALUE!</v>
      </c>
      <c r="R1069" s="1">
        <f>2*Table1[[#This Row],[Std Error]]</f>
        <v>0</v>
      </c>
      <c r="S1069" s="1" t="str">
        <f>IF(Table1[[#This Row],[High Tol]]="","N/A",IFERROR(ABS(Table1[[#This Row],[Tol Span]]/Table1[[#This Row],[Error Span]]),"N/A"))</f>
        <v>N/A</v>
      </c>
      <c r="T1069" s="1" t="str">
        <f>IF(OR(Table1[[#This Row],[Low Tol]]="",Table1[[#This Row],[High Tol]]=""),"Needs Analysis",IF(Table1[[#This Row],[Ratio]]&gt;=4,"Not Significant",IF(Table1[[#This Row],[Ratio]]&gt;=2,"Semi-Significant","Significant")))</f>
        <v>Needs Analysis</v>
      </c>
      <c r="W1069" s="1">
        <f>IF(Table1[[#This Row],[Cal Type]]&lt;&gt;"ACCREDITED 17025 WITH UNCERTAINTIES",0,"")</f>
        <v>0</v>
      </c>
      <c r="X1069" s="1" t="str">
        <f>IF(Table1[[#This Row],[DUT Read]]="","N/A",Table1[[#This Row],[Std Error]]+Table1[[#This Row],[DUT Read]]+Table1[[#This Row],[DUT Ucty]])</f>
        <v>N/A</v>
      </c>
      <c r="Y1069" s="1" t="str">
        <f>IF(Table1[[#This Row],[Std Read]]="","N/A",Table1[[#This Row],[Std Read]]+Table1[[#This Row],[Std Ucty]])</f>
        <v>N/A</v>
      </c>
      <c r="Z10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9" s="1" t="str">
        <f>IF(Table1[[#This Row],[Spec Type]]="","N/A",Table1[[#This Row],[Spec Type]])</f>
        <v>±</v>
      </c>
      <c r="AC1069" s="1" t="str">
        <f>IF(Table1[[#This Row],[Spec Type2]]="N/A","N/A",IF(AND(Table1[[#This Row],[DUT Adj Read]]&gt;=Table1[[#This Row],[Low Tol]],Table1[[#This Row],[DUT Adj Read]]&lt;=Table1[[#This Row],[High Tol]]),"Pass","Fail"))</f>
        <v>Fail</v>
      </c>
      <c r="AD1069" s="1" t="str">
        <f>IF(AND(Table1[[#This Row],[Spec Type2]]="N/A",Table1[[#This Row],[DUT Adj Read]]="N/A",Table1[[#This Row],[Std Adj Read]]="N/A"),"N/A",IF(Table1[[#This Row],[DUT Adj Read]]="N/A",IF(Table1[[#This Row],[Std Adj Read]]&gt;Table1[[#This Row],[Low Tol]],"Pass","Fail"),IF(Table1[[#This Row],[DUT Adj Read]]&gt;Table1[[#This Row],[Low Tol]],"Pass","Fail")))</f>
        <v>Pass</v>
      </c>
      <c r="AE1069" s="1" t="str">
        <f>IF(AND(Table1[[#This Row],[Spec Type2]]="N/A",Table1[[#This Row],[DUT Adj Read]]="N/A",Table1[[#This Row],[Std Adj Read]]="N/A"),"N/A",IF(Table1[[#This Row],[DUT Adj Read]]="N/A",IF(Table1[[#This Row],[Std Adj Read]]&lt;Table1[[#This Row],[High Tol]],"Pass","Fail"),IF(Table1[[#This Row],[DUT Adj Read]]&lt;Table1[[#This Row],[High Tol]],"Pass","Fail")))</f>
        <v>Fail</v>
      </c>
      <c r="AF1069" s="1" t="str">
        <f>IF(AND(Table1[[#This Row],[Spec Type2]]="N/A",Table1[[#This Row],[DUT Adj Read]]="N/A",Table1[[#This Row],[Std Adj Read]]="N/A"),"N/A",IF(Table1[[#This Row],[DUT Adj Read]]="N/A",IF(Table1[[#This Row],[Std Adj Read]]&gt;=Table1[[#This Row],[Low Tol]],"Pass","Fail"),IF(Table1[[#This Row],[DUT Adj Read]]&gt;=Table1[[#This Row],[Low Tol]],"Pass","Fail")))</f>
        <v>Pass</v>
      </c>
      <c r="AG1069" s="1" t="str">
        <f>IF(AND(Table1[[#This Row],[Spec Type2]]="N/A",Table1[[#This Row],[DUT Adj Read]]="N/A",Table1[[#This Row],[Std Adj Read]]="N/A"),"N/A",IF(Table1[[#This Row],[DUT Adj Read]]="N/A",IF(Table1[[#This Row],[Std Adj Read]]&lt;=Table1[[#This Row],[High Tol]],"Pass","Fail"),IF(Table1[[#This Row],[DUT Adj Read]]&lt;=Table1[[#This Row],[High Tol]],"Pass","Fail")))</f>
        <v>Fail</v>
      </c>
      <c r="AH10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9" s="1" t="b">
        <v>0</v>
      </c>
      <c r="AN1069" s="1" t="b">
        <v>0</v>
      </c>
      <c r="AO1069" s="1" t="b">
        <v>0</v>
      </c>
    </row>
    <row r="1070" spans="1:41" x14ac:dyDescent="0.25">
      <c r="A1070" s="10"/>
      <c r="B1070" s="10"/>
      <c r="C1070" s="10"/>
      <c r="D1070" s="10"/>
      <c r="E1070" s="10"/>
      <c r="F1070" s="10"/>
      <c r="G1070" s="10"/>
      <c r="H1070" s="10"/>
      <c r="I1070" s="1" t="str">
        <f t="shared" si="48"/>
        <v/>
      </c>
      <c r="J1070" s="1" t="s">
        <v>35</v>
      </c>
      <c r="K1070" s="1" t="str">
        <f t="shared" si="49"/>
        <v/>
      </c>
      <c r="L1070" s="1" t="str">
        <f t="shared" si="50"/>
        <v/>
      </c>
      <c r="M1070" s="1">
        <f>IF(OR(Table1[[#This Row],[Std Nom]]="",Table1[[#This Row],[Std Read]]=""),0,Table1[[#This Row],[Std Nom]]-Table1[[#This Row],[Std Read]])</f>
        <v>0</v>
      </c>
      <c r="N1070" s="1">
        <f>IF(Calculations!$F$5="ACCREDITED 17025 WITH UNCERTAINTIES",$N$10,0)</f>
        <v>0</v>
      </c>
      <c r="O1070" s="1" t="str">
        <f>IFERROR(Table1[[#This Row],[Std Nom]]-(_xlfn.XLOOKUP(Table1[[#This Row],[Manufacturer]]&amp;" "&amp;Table1[[#This Row],[Model]],Table13[MFR &amp; MDL],Table13[Tolerance % CW ],"")/100*Table1[[#This Row],[Std Nom]]),"")</f>
        <v/>
      </c>
      <c r="P1070" s="1" t="str">
        <f>IFERROR(Table1[[#This Row],[Std Nom]]+(_xlfn.XLOOKUP(Table1[[#This Row],[Manufacturer]]&amp;" "&amp;Table1[[#This Row],[Model]],Table13[MFR &amp; MDL],Table13[Tolerance % CW ],"")/100*Table1[[#This Row],[Std Nom]]),"")</f>
        <v/>
      </c>
      <c r="Q1070" s="1" t="e">
        <f>Table1[[#This Row],[High Tol]]-Table1[[#This Row],[Low Tol]]</f>
        <v>#VALUE!</v>
      </c>
      <c r="R1070" s="1">
        <f>2*Table1[[#This Row],[Std Error]]</f>
        <v>0</v>
      </c>
      <c r="S1070" s="1" t="str">
        <f>IF(Table1[[#This Row],[High Tol]]="","N/A",IFERROR(ABS(Table1[[#This Row],[Tol Span]]/Table1[[#This Row],[Error Span]]),"N/A"))</f>
        <v>N/A</v>
      </c>
      <c r="T1070" s="1" t="str">
        <f>IF(OR(Table1[[#This Row],[Low Tol]]="",Table1[[#This Row],[High Tol]]=""),"Needs Analysis",IF(Table1[[#This Row],[Ratio]]&gt;=4,"Not Significant",IF(Table1[[#This Row],[Ratio]]&gt;=2,"Semi-Significant","Significant")))</f>
        <v>Needs Analysis</v>
      </c>
      <c r="W1070" s="1">
        <f>IF(Table1[[#This Row],[Cal Type]]&lt;&gt;"ACCREDITED 17025 WITH UNCERTAINTIES",0,"")</f>
        <v>0</v>
      </c>
      <c r="X1070" s="1" t="str">
        <f>IF(Table1[[#This Row],[DUT Read]]="","N/A",Table1[[#This Row],[Std Error]]+Table1[[#This Row],[DUT Read]]+Table1[[#This Row],[DUT Ucty]])</f>
        <v>N/A</v>
      </c>
      <c r="Y1070" s="1" t="str">
        <f>IF(Table1[[#This Row],[Std Read]]="","N/A",Table1[[#This Row],[Std Read]]+Table1[[#This Row],[Std Ucty]])</f>
        <v>N/A</v>
      </c>
      <c r="Z10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0" s="1" t="str">
        <f>IF(Table1[[#This Row],[Spec Type]]="","N/A",Table1[[#This Row],[Spec Type]])</f>
        <v>±</v>
      </c>
      <c r="AC1070" s="1" t="str">
        <f>IF(Table1[[#This Row],[Spec Type2]]="N/A","N/A",IF(AND(Table1[[#This Row],[DUT Adj Read]]&gt;=Table1[[#This Row],[Low Tol]],Table1[[#This Row],[DUT Adj Read]]&lt;=Table1[[#This Row],[High Tol]]),"Pass","Fail"))</f>
        <v>Fail</v>
      </c>
      <c r="AD1070" s="1" t="str">
        <f>IF(AND(Table1[[#This Row],[Spec Type2]]="N/A",Table1[[#This Row],[DUT Adj Read]]="N/A",Table1[[#This Row],[Std Adj Read]]="N/A"),"N/A",IF(Table1[[#This Row],[DUT Adj Read]]="N/A",IF(Table1[[#This Row],[Std Adj Read]]&gt;Table1[[#This Row],[Low Tol]],"Pass","Fail"),IF(Table1[[#This Row],[DUT Adj Read]]&gt;Table1[[#This Row],[Low Tol]],"Pass","Fail")))</f>
        <v>Pass</v>
      </c>
      <c r="AE1070" s="1" t="str">
        <f>IF(AND(Table1[[#This Row],[Spec Type2]]="N/A",Table1[[#This Row],[DUT Adj Read]]="N/A",Table1[[#This Row],[Std Adj Read]]="N/A"),"N/A",IF(Table1[[#This Row],[DUT Adj Read]]="N/A",IF(Table1[[#This Row],[Std Adj Read]]&lt;Table1[[#This Row],[High Tol]],"Pass","Fail"),IF(Table1[[#This Row],[DUT Adj Read]]&lt;Table1[[#This Row],[High Tol]],"Pass","Fail")))</f>
        <v>Fail</v>
      </c>
      <c r="AF1070" s="1" t="str">
        <f>IF(AND(Table1[[#This Row],[Spec Type2]]="N/A",Table1[[#This Row],[DUT Adj Read]]="N/A",Table1[[#This Row],[Std Adj Read]]="N/A"),"N/A",IF(Table1[[#This Row],[DUT Adj Read]]="N/A",IF(Table1[[#This Row],[Std Adj Read]]&gt;=Table1[[#This Row],[Low Tol]],"Pass","Fail"),IF(Table1[[#This Row],[DUT Adj Read]]&gt;=Table1[[#This Row],[Low Tol]],"Pass","Fail")))</f>
        <v>Pass</v>
      </c>
      <c r="AG1070" s="1" t="str">
        <f>IF(AND(Table1[[#This Row],[Spec Type2]]="N/A",Table1[[#This Row],[DUT Adj Read]]="N/A",Table1[[#This Row],[Std Adj Read]]="N/A"),"N/A",IF(Table1[[#This Row],[DUT Adj Read]]="N/A",IF(Table1[[#This Row],[Std Adj Read]]&lt;=Table1[[#This Row],[High Tol]],"Pass","Fail"),IF(Table1[[#This Row],[DUT Adj Read]]&lt;=Table1[[#This Row],[High Tol]],"Pass","Fail")))</f>
        <v>Fail</v>
      </c>
      <c r="AH10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0" s="1" t="b">
        <v>0</v>
      </c>
      <c r="AN1070" s="1" t="b">
        <v>0</v>
      </c>
      <c r="AO1070" s="1" t="b">
        <v>0</v>
      </c>
    </row>
    <row r="1071" spans="1:41" x14ac:dyDescent="0.25">
      <c r="A1071" s="10"/>
      <c r="B1071" s="10"/>
      <c r="C1071" s="10"/>
      <c r="D1071" s="10"/>
      <c r="E1071" s="10"/>
      <c r="F1071" s="10"/>
      <c r="G1071" s="10"/>
      <c r="H1071" s="10"/>
      <c r="I1071" s="1" t="str">
        <f t="shared" si="48"/>
        <v/>
      </c>
      <c r="J1071" s="1" t="s">
        <v>35</v>
      </c>
      <c r="K1071" s="1" t="str">
        <f t="shared" si="49"/>
        <v/>
      </c>
      <c r="L1071" s="1" t="str">
        <f t="shared" si="50"/>
        <v/>
      </c>
      <c r="M1071" s="1">
        <f>IF(OR(Table1[[#This Row],[Std Nom]]="",Table1[[#This Row],[Std Read]]=""),0,Table1[[#This Row],[Std Nom]]-Table1[[#This Row],[Std Read]])</f>
        <v>0</v>
      </c>
      <c r="N1071" s="1">
        <f>IF(Calculations!$F$5="ACCREDITED 17025 WITH UNCERTAINTIES",$N$10,0)</f>
        <v>0</v>
      </c>
      <c r="O1071" s="1" t="str">
        <f>IFERROR(Table1[[#This Row],[Std Nom]]-(_xlfn.XLOOKUP(Table1[[#This Row],[Manufacturer]]&amp;" "&amp;Table1[[#This Row],[Model]],Table13[MFR &amp; MDL],Table13[Tolerance % CW ],"")/100*Table1[[#This Row],[Std Nom]]),"")</f>
        <v/>
      </c>
      <c r="P1071" s="1" t="str">
        <f>IFERROR(Table1[[#This Row],[Std Nom]]+(_xlfn.XLOOKUP(Table1[[#This Row],[Manufacturer]]&amp;" "&amp;Table1[[#This Row],[Model]],Table13[MFR &amp; MDL],Table13[Tolerance % CW ],"")/100*Table1[[#This Row],[Std Nom]]),"")</f>
        <v/>
      </c>
      <c r="Q1071" s="1" t="e">
        <f>Table1[[#This Row],[High Tol]]-Table1[[#This Row],[Low Tol]]</f>
        <v>#VALUE!</v>
      </c>
      <c r="R1071" s="1">
        <f>2*Table1[[#This Row],[Std Error]]</f>
        <v>0</v>
      </c>
      <c r="S1071" s="1" t="str">
        <f>IF(Table1[[#This Row],[High Tol]]="","N/A",IFERROR(ABS(Table1[[#This Row],[Tol Span]]/Table1[[#This Row],[Error Span]]),"N/A"))</f>
        <v>N/A</v>
      </c>
      <c r="T1071" s="1" t="str">
        <f>IF(OR(Table1[[#This Row],[Low Tol]]="",Table1[[#This Row],[High Tol]]=""),"Needs Analysis",IF(Table1[[#This Row],[Ratio]]&gt;=4,"Not Significant",IF(Table1[[#This Row],[Ratio]]&gt;=2,"Semi-Significant","Significant")))</f>
        <v>Needs Analysis</v>
      </c>
      <c r="W1071" s="1">
        <f>IF(Table1[[#This Row],[Cal Type]]&lt;&gt;"ACCREDITED 17025 WITH UNCERTAINTIES",0,"")</f>
        <v>0</v>
      </c>
      <c r="X1071" s="1" t="str">
        <f>IF(Table1[[#This Row],[DUT Read]]="","N/A",Table1[[#This Row],[Std Error]]+Table1[[#This Row],[DUT Read]]+Table1[[#This Row],[DUT Ucty]])</f>
        <v>N/A</v>
      </c>
      <c r="Y1071" s="1" t="str">
        <f>IF(Table1[[#This Row],[Std Read]]="","N/A",Table1[[#This Row],[Std Read]]+Table1[[#This Row],[Std Ucty]])</f>
        <v>N/A</v>
      </c>
      <c r="Z10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1" s="1" t="str">
        <f>IF(Table1[[#This Row],[Spec Type]]="","N/A",Table1[[#This Row],[Spec Type]])</f>
        <v>±</v>
      </c>
      <c r="AC1071" s="1" t="str">
        <f>IF(Table1[[#This Row],[Spec Type2]]="N/A","N/A",IF(AND(Table1[[#This Row],[DUT Adj Read]]&gt;=Table1[[#This Row],[Low Tol]],Table1[[#This Row],[DUT Adj Read]]&lt;=Table1[[#This Row],[High Tol]]),"Pass","Fail"))</f>
        <v>Fail</v>
      </c>
      <c r="AD1071" s="1" t="str">
        <f>IF(AND(Table1[[#This Row],[Spec Type2]]="N/A",Table1[[#This Row],[DUT Adj Read]]="N/A",Table1[[#This Row],[Std Adj Read]]="N/A"),"N/A",IF(Table1[[#This Row],[DUT Adj Read]]="N/A",IF(Table1[[#This Row],[Std Adj Read]]&gt;Table1[[#This Row],[Low Tol]],"Pass","Fail"),IF(Table1[[#This Row],[DUT Adj Read]]&gt;Table1[[#This Row],[Low Tol]],"Pass","Fail")))</f>
        <v>Pass</v>
      </c>
      <c r="AE1071" s="1" t="str">
        <f>IF(AND(Table1[[#This Row],[Spec Type2]]="N/A",Table1[[#This Row],[DUT Adj Read]]="N/A",Table1[[#This Row],[Std Adj Read]]="N/A"),"N/A",IF(Table1[[#This Row],[DUT Adj Read]]="N/A",IF(Table1[[#This Row],[Std Adj Read]]&lt;Table1[[#This Row],[High Tol]],"Pass","Fail"),IF(Table1[[#This Row],[DUT Adj Read]]&lt;Table1[[#This Row],[High Tol]],"Pass","Fail")))</f>
        <v>Fail</v>
      </c>
      <c r="AF1071" s="1" t="str">
        <f>IF(AND(Table1[[#This Row],[Spec Type2]]="N/A",Table1[[#This Row],[DUT Adj Read]]="N/A",Table1[[#This Row],[Std Adj Read]]="N/A"),"N/A",IF(Table1[[#This Row],[DUT Adj Read]]="N/A",IF(Table1[[#This Row],[Std Adj Read]]&gt;=Table1[[#This Row],[Low Tol]],"Pass","Fail"),IF(Table1[[#This Row],[DUT Adj Read]]&gt;=Table1[[#This Row],[Low Tol]],"Pass","Fail")))</f>
        <v>Pass</v>
      </c>
      <c r="AG1071" s="1" t="str">
        <f>IF(AND(Table1[[#This Row],[Spec Type2]]="N/A",Table1[[#This Row],[DUT Adj Read]]="N/A",Table1[[#This Row],[Std Adj Read]]="N/A"),"N/A",IF(Table1[[#This Row],[DUT Adj Read]]="N/A",IF(Table1[[#This Row],[Std Adj Read]]&lt;=Table1[[#This Row],[High Tol]],"Pass","Fail"),IF(Table1[[#This Row],[DUT Adj Read]]&lt;=Table1[[#This Row],[High Tol]],"Pass","Fail")))</f>
        <v>Fail</v>
      </c>
      <c r="AH10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1" s="1" t="b">
        <v>0</v>
      </c>
      <c r="AN1071" s="1" t="b">
        <v>0</v>
      </c>
      <c r="AO1071" s="1" t="b">
        <v>0</v>
      </c>
    </row>
    <row r="1072" spans="1:41" x14ac:dyDescent="0.25">
      <c r="A1072" s="10"/>
      <c r="B1072" s="10"/>
      <c r="C1072" s="10"/>
      <c r="D1072" s="10"/>
      <c r="E1072" s="10"/>
      <c r="F1072" s="10"/>
      <c r="G1072" s="10"/>
      <c r="H1072" s="10"/>
      <c r="I1072" s="1" t="str">
        <f t="shared" si="48"/>
        <v/>
      </c>
      <c r="J1072" s="1" t="s">
        <v>35</v>
      </c>
      <c r="K1072" s="1" t="str">
        <f t="shared" si="49"/>
        <v/>
      </c>
      <c r="L1072" s="1" t="str">
        <f t="shared" si="50"/>
        <v/>
      </c>
      <c r="M1072" s="1">
        <f>IF(OR(Table1[[#This Row],[Std Nom]]="",Table1[[#This Row],[Std Read]]=""),0,Table1[[#This Row],[Std Nom]]-Table1[[#This Row],[Std Read]])</f>
        <v>0</v>
      </c>
      <c r="N1072" s="1">
        <f>IF(Calculations!$F$5="ACCREDITED 17025 WITH UNCERTAINTIES",$N$10,0)</f>
        <v>0</v>
      </c>
      <c r="O1072" s="1" t="str">
        <f>IFERROR(Table1[[#This Row],[Std Nom]]-(_xlfn.XLOOKUP(Table1[[#This Row],[Manufacturer]]&amp;" "&amp;Table1[[#This Row],[Model]],Table13[MFR &amp; MDL],Table13[Tolerance % CW ],"")/100*Table1[[#This Row],[Std Nom]]),"")</f>
        <v/>
      </c>
      <c r="P1072" s="1" t="str">
        <f>IFERROR(Table1[[#This Row],[Std Nom]]+(_xlfn.XLOOKUP(Table1[[#This Row],[Manufacturer]]&amp;" "&amp;Table1[[#This Row],[Model]],Table13[MFR &amp; MDL],Table13[Tolerance % CW ],"")/100*Table1[[#This Row],[Std Nom]]),"")</f>
        <v/>
      </c>
      <c r="Q1072" s="1" t="e">
        <f>Table1[[#This Row],[High Tol]]-Table1[[#This Row],[Low Tol]]</f>
        <v>#VALUE!</v>
      </c>
      <c r="R1072" s="1">
        <f>2*Table1[[#This Row],[Std Error]]</f>
        <v>0</v>
      </c>
      <c r="S1072" s="1" t="str">
        <f>IF(Table1[[#This Row],[High Tol]]="","N/A",IFERROR(ABS(Table1[[#This Row],[Tol Span]]/Table1[[#This Row],[Error Span]]),"N/A"))</f>
        <v>N/A</v>
      </c>
      <c r="T1072" s="1" t="str">
        <f>IF(OR(Table1[[#This Row],[Low Tol]]="",Table1[[#This Row],[High Tol]]=""),"Needs Analysis",IF(Table1[[#This Row],[Ratio]]&gt;=4,"Not Significant",IF(Table1[[#This Row],[Ratio]]&gt;=2,"Semi-Significant","Significant")))</f>
        <v>Needs Analysis</v>
      </c>
      <c r="W1072" s="1">
        <f>IF(Table1[[#This Row],[Cal Type]]&lt;&gt;"ACCREDITED 17025 WITH UNCERTAINTIES",0,"")</f>
        <v>0</v>
      </c>
      <c r="X1072" s="1" t="str">
        <f>IF(Table1[[#This Row],[DUT Read]]="","N/A",Table1[[#This Row],[Std Error]]+Table1[[#This Row],[DUT Read]]+Table1[[#This Row],[DUT Ucty]])</f>
        <v>N/A</v>
      </c>
      <c r="Y1072" s="1" t="str">
        <f>IF(Table1[[#This Row],[Std Read]]="","N/A",Table1[[#This Row],[Std Read]]+Table1[[#This Row],[Std Ucty]])</f>
        <v>N/A</v>
      </c>
      <c r="Z10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2" s="1" t="str">
        <f>IF(Table1[[#This Row],[Spec Type]]="","N/A",Table1[[#This Row],[Spec Type]])</f>
        <v>±</v>
      </c>
      <c r="AC1072" s="1" t="str">
        <f>IF(Table1[[#This Row],[Spec Type2]]="N/A","N/A",IF(AND(Table1[[#This Row],[DUT Adj Read]]&gt;=Table1[[#This Row],[Low Tol]],Table1[[#This Row],[DUT Adj Read]]&lt;=Table1[[#This Row],[High Tol]]),"Pass","Fail"))</f>
        <v>Fail</v>
      </c>
      <c r="AD1072" s="1" t="str">
        <f>IF(AND(Table1[[#This Row],[Spec Type2]]="N/A",Table1[[#This Row],[DUT Adj Read]]="N/A",Table1[[#This Row],[Std Adj Read]]="N/A"),"N/A",IF(Table1[[#This Row],[DUT Adj Read]]="N/A",IF(Table1[[#This Row],[Std Adj Read]]&gt;Table1[[#This Row],[Low Tol]],"Pass","Fail"),IF(Table1[[#This Row],[DUT Adj Read]]&gt;Table1[[#This Row],[Low Tol]],"Pass","Fail")))</f>
        <v>Pass</v>
      </c>
      <c r="AE1072" s="1" t="str">
        <f>IF(AND(Table1[[#This Row],[Spec Type2]]="N/A",Table1[[#This Row],[DUT Adj Read]]="N/A",Table1[[#This Row],[Std Adj Read]]="N/A"),"N/A",IF(Table1[[#This Row],[DUT Adj Read]]="N/A",IF(Table1[[#This Row],[Std Adj Read]]&lt;Table1[[#This Row],[High Tol]],"Pass","Fail"),IF(Table1[[#This Row],[DUT Adj Read]]&lt;Table1[[#This Row],[High Tol]],"Pass","Fail")))</f>
        <v>Fail</v>
      </c>
      <c r="AF1072" s="1" t="str">
        <f>IF(AND(Table1[[#This Row],[Spec Type2]]="N/A",Table1[[#This Row],[DUT Adj Read]]="N/A",Table1[[#This Row],[Std Adj Read]]="N/A"),"N/A",IF(Table1[[#This Row],[DUT Adj Read]]="N/A",IF(Table1[[#This Row],[Std Adj Read]]&gt;=Table1[[#This Row],[Low Tol]],"Pass","Fail"),IF(Table1[[#This Row],[DUT Adj Read]]&gt;=Table1[[#This Row],[Low Tol]],"Pass","Fail")))</f>
        <v>Pass</v>
      </c>
      <c r="AG1072" s="1" t="str">
        <f>IF(AND(Table1[[#This Row],[Spec Type2]]="N/A",Table1[[#This Row],[DUT Adj Read]]="N/A",Table1[[#This Row],[Std Adj Read]]="N/A"),"N/A",IF(Table1[[#This Row],[DUT Adj Read]]="N/A",IF(Table1[[#This Row],[Std Adj Read]]&lt;=Table1[[#This Row],[High Tol]],"Pass","Fail"),IF(Table1[[#This Row],[DUT Adj Read]]&lt;=Table1[[#This Row],[High Tol]],"Pass","Fail")))</f>
        <v>Fail</v>
      </c>
      <c r="AH10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2" s="1" t="b">
        <v>0</v>
      </c>
      <c r="AN1072" s="1" t="b">
        <v>0</v>
      </c>
      <c r="AO1072" s="1" t="b">
        <v>0</v>
      </c>
    </row>
    <row r="1073" spans="1:41" x14ac:dyDescent="0.25">
      <c r="A1073" s="10"/>
      <c r="B1073" s="10"/>
      <c r="C1073" s="10"/>
      <c r="D1073" s="10"/>
      <c r="E1073" s="10"/>
      <c r="F1073" s="10"/>
      <c r="G1073" s="10"/>
      <c r="H1073" s="10"/>
      <c r="I1073" s="1" t="str">
        <f t="shared" si="48"/>
        <v/>
      </c>
      <c r="J1073" s="1" t="s">
        <v>35</v>
      </c>
      <c r="K1073" s="1" t="str">
        <f t="shared" si="49"/>
        <v/>
      </c>
      <c r="L1073" s="1" t="str">
        <f t="shared" si="50"/>
        <v/>
      </c>
      <c r="M1073" s="1">
        <f>IF(OR(Table1[[#This Row],[Std Nom]]="",Table1[[#This Row],[Std Read]]=""),0,Table1[[#This Row],[Std Nom]]-Table1[[#This Row],[Std Read]])</f>
        <v>0</v>
      </c>
      <c r="N1073" s="1">
        <f>IF(Calculations!$F$5="ACCREDITED 17025 WITH UNCERTAINTIES",$N$10,0)</f>
        <v>0</v>
      </c>
      <c r="O1073" s="1" t="str">
        <f>IFERROR(Table1[[#This Row],[Std Nom]]-(_xlfn.XLOOKUP(Table1[[#This Row],[Manufacturer]]&amp;" "&amp;Table1[[#This Row],[Model]],Table13[MFR &amp; MDL],Table13[Tolerance % CW ],"")/100*Table1[[#This Row],[Std Nom]]),"")</f>
        <v/>
      </c>
      <c r="P1073" s="1" t="str">
        <f>IFERROR(Table1[[#This Row],[Std Nom]]+(_xlfn.XLOOKUP(Table1[[#This Row],[Manufacturer]]&amp;" "&amp;Table1[[#This Row],[Model]],Table13[MFR &amp; MDL],Table13[Tolerance % CW ],"")/100*Table1[[#This Row],[Std Nom]]),"")</f>
        <v/>
      </c>
      <c r="Q1073" s="1" t="e">
        <f>Table1[[#This Row],[High Tol]]-Table1[[#This Row],[Low Tol]]</f>
        <v>#VALUE!</v>
      </c>
      <c r="R1073" s="1">
        <f>2*Table1[[#This Row],[Std Error]]</f>
        <v>0</v>
      </c>
      <c r="S1073" s="1" t="str">
        <f>IF(Table1[[#This Row],[High Tol]]="","N/A",IFERROR(ABS(Table1[[#This Row],[Tol Span]]/Table1[[#This Row],[Error Span]]),"N/A"))</f>
        <v>N/A</v>
      </c>
      <c r="T1073" s="1" t="str">
        <f>IF(OR(Table1[[#This Row],[Low Tol]]="",Table1[[#This Row],[High Tol]]=""),"Needs Analysis",IF(Table1[[#This Row],[Ratio]]&gt;=4,"Not Significant",IF(Table1[[#This Row],[Ratio]]&gt;=2,"Semi-Significant","Significant")))</f>
        <v>Needs Analysis</v>
      </c>
      <c r="W1073" s="1">
        <f>IF(Table1[[#This Row],[Cal Type]]&lt;&gt;"ACCREDITED 17025 WITH UNCERTAINTIES",0,"")</f>
        <v>0</v>
      </c>
      <c r="X1073" s="1" t="str">
        <f>IF(Table1[[#This Row],[DUT Read]]="","N/A",Table1[[#This Row],[Std Error]]+Table1[[#This Row],[DUT Read]]+Table1[[#This Row],[DUT Ucty]])</f>
        <v>N/A</v>
      </c>
      <c r="Y1073" s="1" t="str">
        <f>IF(Table1[[#This Row],[Std Read]]="","N/A",Table1[[#This Row],[Std Read]]+Table1[[#This Row],[Std Ucty]])</f>
        <v>N/A</v>
      </c>
      <c r="Z10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3" s="1" t="str">
        <f>IF(Table1[[#This Row],[Spec Type]]="","N/A",Table1[[#This Row],[Spec Type]])</f>
        <v>±</v>
      </c>
      <c r="AC1073" s="1" t="str">
        <f>IF(Table1[[#This Row],[Spec Type2]]="N/A","N/A",IF(AND(Table1[[#This Row],[DUT Adj Read]]&gt;=Table1[[#This Row],[Low Tol]],Table1[[#This Row],[DUT Adj Read]]&lt;=Table1[[#This Row],[High Tol]]),"Pass","Fail"))</f>
        <v>Fail</v>
      </c>
      <c r="AD1073" s="1" t="str">
        <f>IF(AND(Table1[[#This Row],[Spec Type2]]="N/A",Table1[[#This Row],[DUT Adj Read]]="N/A",Table1[[#This Row],[Std Adj Read]]="N/A"),"N/A",IF(Table1[[#This Row],[DUT Adj Read]]="N/A",IF(Table1[[#This Row],[Std Adj Read]]&gt;Table1[[#This Row],[Low Tol]],"Pass","Fail"),IF(Table1[[#This Row],[DUT Adj Read]]&gt;Table1[[#This Row],[Low Tol]],"Pass","Fail")))</f>
        <v>Pass</v>
      </c>
      <c r="AE1073" s="1" t="str">
        <f>IF(AND(Table1[[#This Row],[Spec Type2]]="N/A",Table1[[#This Row],[DUT Adj Read]]="N/A",Table1[[#This Row],[Std Adj Read]]="N/A"),"N/A",IF(Table1[[#This Row],[DUT Adj Read]]="N/A",IF(Table1[[#This Row],[Std Adj Read]]&lt;Table1[[#This Row],[High Tol]],"Pass","Fail"),IF(Table1[[#This Row],[DUT Adj Read]]&lt;Table1[[#This Row],[High Tol]],"Pass","Fail")))</f>
        <v>Fail</v>
      </c>
      <c r="AF1073" s="1" t="str">
        <f>IF(AND(Table1[[#This Row],[Spec Type2]]="N/A",Table1[[#This Row],[DUT Adj Read]]="N/A",Table1[[#This Row],[Std Adj Read]]="N/A"),"N/A",IF(Table1[[#This Row],[DUT Adj Read]]="N/A",IF(Table1[[#This Row],[Std Adj Read]]&gt;=Table1[[#This Row],[Low Tol]],"Pass","Fail"),IF(Table1[[#This Row],[DUT Adj Read]]&gt;=Table1[[#This Row],[Low Tol]],"Pass","Fail")))</f>
        <v>Pass</v>
      </c>
      <c r="AG1073" s="1" t="str">
        <f>IF(AND(Table1[[#This Row],[Spec Type2]]="N/A",Table1[[#This Row],[DUT Adj Read]]="N/A",Table1[[#This Row],[Std Adj Read]]="N/A"),"N/A",IF(Table1[[#This Row],[DUT Adj Read]]="N/A",IF(Table1[[#This Row],[Std Adj Read]]&lt;=Table1[[#This Row],[High Tol]],"Pass","Fail"),IF(Table1[[#This Row],[DUT Adj Read]]&lt;=Table1[[#This Row],[High Tol]],"Pass","Fail")))</f>
        <v>Fail</v>
      </c>
      <c r="AH10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3" s="1" t="b">
        <v>0</v>
      </c>
      <c r="AN1073" s="1" t="b">
        <v>0</v>
      </c>
      <c r="AO1073" s="1" t="b">
        <v>0</v>
      </c>
    </row>
    <row r="1074" spans="1:41" x14ac:dyDescent="0.25">
      <c r="A1074" s="10"/>
      <c r="B1074" s="10"/>
      <c r="C1074" s="10"/>
      <c r="D1074" s="10"/>
      <c r="E1074" s="10"/>
      <c r="F1074" s="10"/>
      <c r="G1074" s="10"/>
      <c r="H1074" s="10"/>
      <c r="I1074" s="1" t="str">
        <f t="shared" si="48"/>
        <v/>
      </c>
      <c r="J1074" s="1" t="s">
        <v>35</v>
      </c>
      <c r="K1074" s="1" t="str">
        <f t="shared" si="49"/>
        <v/>
      </c>
      <c r="L1074" s="1" t="str">
        <f t="shared" si="50"/>
        <v/>
      </c>
      <c r="M1074" s="1">
        <f>IF(OR(Table1[[#This Row],[Std Nom]]="",Table1[[#This Row],[Std Read]]=""),0,Table1[[#This Row],[Std Nom]]-Table1[[#This Row],[Std Read]])</f>
        <v>0</v>
      </c>
      <c r="N1074" s="1">
        <f>IF(Calculations!$F$5="ACCREDITED 17025 WITH UNCERTAINTIES",$N$10,0)</f>
        <v>0</v>
      </c>
      <c r="O1074" s="1" t="str">
        <f>IFERROR(Table1[[#This Row],[Std Nom]]-(_xlfn.XLOOKUP(Table1[[#This Row],[Manufacturer]]&amp;" "&amp;Table1[[#This Row],[Model]],Table13[MFR &amp; MDL],Table13[Tolerance % CW ],"")/100*Table1[[#This Row],[Std Nom]]),"")</f>
        <v/>
      </c>
      <c r="P1074" s="1" t="str">
        <f>IFERROR(Table1[[#This Row],[Std Nom]]+(_xlfn.XLOOKUP(Table1[[#This Row],[Manufacturer]]&amp;" "&amp;Table1[[#This Row],[Model]],Table13[MFR &amp; MDL],Table13[Tolerance % CW ],"")/100*Table1[[#This Row],[Std Nom]]),"")</f>
        <v/>
      </c>
      <c r="Q1074" s="1" t="e">
        <f>Table1[[#This Row],[High Tol]]-Table1[[#This Row],[Low Tol]]</f>
        <v>#VALUE!</v>
      </c>
      <c r="R1074" s="1">
        <f>2*Table1[[#This Row],[Std Error]]</f>
        <v>0</v>
      </c>
      <c r="S1074" s="1" t="str">
        <f>IF(Table1[[#This Row],[High Tol]]="","N/A",IFERROR(ABS(Table1[[#This Row],[Tol Span]]/Table1[[#This Row],[Error Span]]),"N/A"))</f>
        <v>N/A</v>
      </c>
      <c r="T1074" s="1" t="str">
        <f>IF(OR(Table1[[#This Row],[Low Tol]]="",Table1[[#This Row],[High Tol]]=""),"Needs Analysis",IF(Table1[[#This Row],[Ratio]]&gt;=4,"Not Significant",IF(Table1[[#This Row],[Ratio]]&gt;=2,"Semi-Significant","Significant")))</f>
        <v>Needs Analysis</v>
      </c>
      <c r="W1074" s="1">
        <f>IF(Table1[[#This Row],[Cal Type]]&lt;&gt;"ACCREDITED 17025 WITH UNCERTAINTIES",0,"")</f>
        <v>0</v>
      </c>
      <c r="X1074" s="1" t="str">
        <f>IF(Table1[[#This Row],[DUT Read]]="","N/A",Table1[[#This Row],[Std Error]]+Table1[[#This Row],[DUT Read]]+Table1[[#This Row],[DUT Ucty]])</f>
        <v>N/A</v>
      </c>
      <c r="Y1074" s="1" t="str">
        <f>IF(Table1[[#This Row],[Std Read]]="","N/A",Table1[[#This Row],[Std Read]]+Table1[[#This Row],[Std Ucty]])</f>
        <v>N/A</v>
      </c>
      <c r="Z10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4" s="1" t="str">
        <f>IF(Table1[[#This Row],[Spec Type]]="","N/A",Table1[[#This Row],[Spec Type]])</f>
        <v>±</v>
      </c>
      <c r="AC1074" s="1" t="str">
        <f>IF(Table1[[#This Row],[Spec Type2]]="N/A","N/A",IF(AND(Table1[[#This Row],[DUT Adj Read]]&gt;=Table1[[#This Row],[Low Tol]],Table1[[#This Row],[DUT Adj Read]]&lt;=Table1[[#This Row],[High Tol]]),"Pass","Fail"))</f>
        <v>Fail</v>
      </c>
      <c r="AD1074" s="1" t="str">
        <f>IF(AND(Table1[[#This Row],[Spec Type2]]="N/A",Table1[[#This Row],[DUT Adj Read]]="N/A",Table1[[#This Row],[Std Adj Read]]="N/A"),"N/A",IF(Table1[[#This Row],[DUT Adj Read]]="N/A",IF(Table1[[#This Row],[Std Adj Read]]&gt;Table1[[#This Row],[Low Tol]],"Pass","Fail"),IF(Table1[[#This Row],[DUT Adj Read]]&gt;Table1[[#This Row],[Low Tol]],"Pass","Fail")))</f>
        <v>Pass</v>
      </c>
      <c r="AE1074" s="1" t="str">
        <f>IF(AND(Table1[[#This Row],[Spec Type2]]="N/A",Table1[[#This Row],[DUT Adj Read]]="N/A",Table1[[#This Row],[Std Adj Read]]="N/A"),"N/A",IF(Table1[[#This Row],[DUT Adj Read]]="N/A",IF(Table1[[#This Row],[Std Adj Read]]&lt;Table1[[#This Row],[High Tol]],"Pass","Fail"),IF(Table1[[#This Row],[DUT Adj Read]]&lt;Table1[[#This Row],[High Tol]],"Pass","Fail")))</f>
        <v>Fail</v>
      </c>
      <c r="AF1074" s="1" t="str">
        <f>IF(AND(Table1[[#This Row],[Spec Type2]]="N/A",Table1[[#This Row],[DUT Adj Read]]="N/A",Table1[[#This Row],[Std Adj Read]]="N/A"),"N/A",IF(Table1[[#This Row],[DUT Adj Read]]="N/A",IF(Table1[[#This Row],[Std Adj Read]]&gt;=Table1[[#This Row],[Low Tol]],"Pass","Fail"),IF(Table1[[#This Row],[DUT Adj Read]]&gt;=Table1[[#This Row],[Low Tol]],"Pass","Fail")))</f>
        <v>Pass</v>
      </c>
      <c r="AG1074" s="1" t="str">
        <f>IF(AND(Table1[[#This Row],[Spec Type2]]="N/A",Table1[[#This Row],[DUT Adj Read]]="N/A",Table1[[#This Row],[Std Adj Read]]="N/A"),"N/A",IF(Table1[[#This Row],[DUT Adj Read]]="N/A",IF(Table1[[#This Row],[Std Adj Read]]&lt;=Table1[[#This Row],[High Tol]],"Pass","Fail"),IF(Table1[[#This Row],[DUT Adj Read]]&lt;=Table1[[#This Row],[High Tol]],"Pass","Fail")))</f>
        <v>Fail</v>
      </c>
      <c r="AH10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4" s="1" t="b">
        <v>0</v>
      </c>
      <c r="AN1074" s="1" t="b">
        <v>0</v>
      </c>
      <c r="AO1074" s="1" t="b">
        <v>0</v>
      </c>
    </row>
    <row r="1075" spans="1:41" x14ac:dyDescent="0.25">
      <c r="A1075" s="10"/>
      <c r="B1075" s="10"/>
      <c r="C1075" s="10"/>
      <c r="D1075" s="10"/>
      <c r="E1075" s="10"/>
      <c r="F1075" s="10"/>
      <c r="G1075" s="10"/>
      <c r="H1075" s="10"/>
      <c r="I1075" s="1" t="str">
        <f t="shared" si="48"/>
        <v/>
      </c>
      <c r="J1075" s="1" t="s">
        <v>35</v>
      </c>
      <c r="K1075" s="1" t="str">
        <f t="shared" si="49"/>
        <v/>
      </c>
      <c r="L1075" s="1" t="str">
        <f t="shared" si="50"/>
        <v/>
      </c>
      <c r="M1075" s="1">
        <f>IF(OR(Table1[[#This Row],[Std Nom]]="",Table1[[#This Row],[Std Read]]=""),0,Table1[[#This Row],[Std Nom]]-Table1[[#This Row],[Std Read]])</f>
        <v>0</v>
      </c>
      <c r="N1075" s="1">
        <f>IF(Calculations!$F$5="ACCREDITED 17025 WITH UNCERTAINTIES",$N$10,0)</f>
        <v>0</v>
      </c>
      <c r="O1075" s="1" t="str">
        <f>IFERROR(Table1[[#This Row],[Std Nom]]-(_xlfn.XLOOKUP(Table1[[#This Row],[Manufacturer]]&amp;" "&amp;Table1[[#This Row],[Model]],Table13[MFR &amp; MDL],Table13[Tolerance % CW ],"")/100*Table1[[#This Row],[Std Nom]]),"")</f>
        <v/>
      </c>
      <c r="P1075" s="1" t="str">
        <f>IFERROR(Table1[[#This Row],[Std Nom]]+(_xlfn.XLOOKUP(Table1[[#This Row],[Manufacturer]]&amp;" "&amp;Table1[[#This Row],[Model]],Table13[MFR &amp; MDL],Table13[Tolerance % CW ],"")/100*Table1[[#This Row],[Std Nom]]),"")</f>
        <v/>
      </c>
      <c r="Q1075" s="1" t="e">
        <f>Table1[[#This Row],[High Tol]]-Table1[[#This Row],[Low Tol]]</f>
        <v>#VALUE!</v>
      </c>
      <c r="R1075" s="1">
        <f>2*Table1[[#This Row],[Std Error]]</f>
        <v>0</v>
      </c>
      <c r="S1075" s="1" t="str">
        <f>IF(Table1[[#This Row],[High Tol]]="","N/A",IFERROR(ABS(Table1[[#This Row],[Tol Span]]/Table1[[#This Row],[Error Span]]),"N/A"))</f>
        <v>N/A</v>
      </c>
      <c r="T1075" s="1" t="str">
        <f>IF(OR(Table1[[#This Row],[Low Tol]]="",Table1[[#This Row],[High Tol]]=""),"Needs Analysis",IF(Table1[[#This Row],[Ratio]]&gt;=4,"Not Significant",IF(Table1[[#This Row],[Ratio]]&gt;=2,"Semi-Significant","Significant")))</f>
        <v>Needs Analysis</v>
      </c>
      <c r="W1075" s="1">
        <f>IF(Table1[[#This Row],[Cal Type]]&lt;&gt;"ACCREDITED 17025 WITH UNCERTAINTIES",0,"")</f>
        <v>0</v>
      </c>
      <c r="X1075" s="1" t="str">
        <f>IF(Table1[[#This Row],[DUT Read]]="","N/A",Table1[[#This Row],[Std Error]]+Table1[[#This Row],[DUT Read]]+Table1[[#This Row],[DUT Ucty]])</f>
        <v>N/A</v>
      </c>
      <c r="Y1075" s="1" t="str">
        <f>IF(Table1[[#This Row],[Std Read]]="","N/A",Table1[[#This Row],[Std Read]]+Table1[[#This Row],[Std Ucty]])</f>
        <v>N/A</v>
      </c>
      <c r="Z10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5" s="1" t="str">
        <f>IF(Table1[[#This Row],[Spec Type]]="","N/A",Table1[[#This Row],[Spec Type]])</f>
        <v>±</v>
      </c>
      <c r="AC1075" s="1" t="str">
        <f>IF(Table1[[#This Row],[Spec Type2]]="N/A","N/A",IF(AND(Table1[[#This Row],[DUT Adj Read]]&gt;=Table1[[#This Row],[Low Tol]],Table1[[#This Row],[DUT Adj Read]]&lt;=Table1[[#This Row],[High Tol]]),"Pass","Fail"))</f>
        <v>Fail</v>
      </c>
      <c r="AD1075" s="1" t="str">
        <f>IF(AND(Table1[[#This Row],[Spec Type2]]="N/A",Table1[[#This Row],[DUT Adj Read]]="N/A",Table1[[#This Row],[Std Adj Read]]="N/A"),"N/A",IF(Table1[[#This Row],[DUT Adj Read]]="N/A",IF(Table1[[#This Row],[Std Adj Read]]&gt;Table1[[#This Row],[Low Tol]],"Pass","Fail"),IF(Table1[[#This Row],[DUT Adj Read]]&gt;Table1[[#This Row],[Low Tol]],"Pass","Fail")))</f>
        <v>Pass</v>
      </c>
      <c r="AE1075" s="1" t="str">
        <f>IF(AND(Table1[[#This Row],[Spec Type2]]="N/A",Table1[[#This Row],[DUT Adj Read]]="N/A",Table1[[#This Row],[Std Adj Read]]="N/A"),"N/A",IF(Table1[[#This Row],[DUT Adj Read]]="N/A",IF(Table1[[#This Row],[Std Adj Read]]&lt;Table1[[#This Row],[High Tol]],"Pass","Fail"),IF(Table1[[#This Row],[DUT Adj Read]]&lt;Table1[[#This Row],[High Tol]],"Pass","Fail")))</f>
        <v>Fail</v>
      </c>
      <c r="AF1075" s="1" t="str">
        <f>IF(AND(Table1[[#This Row],[Spec Type2]]="N/A",Table1[[#This Row],[DUT Adj Read]]="N/A",Table1[[#This Row],[Std Adj Read]]="N/A"),"N/A",IF(Table1[[#This Row],[DUT Adj Read]]="N/A",IF(Table1[[#This Row],[Std Adj Read]]&gt;=Table1[[#This Row],[Low Tol]],"Pass","Fail"),IF(Table1[[#This Row],[DUT Adj Read]]&gt;=Table1[[#This Row],[Low Tol]],"Pass","Fail")))</f>
        <v>Pass</v>
      </c>
      <c r="AG1075" s="1" t="str">
        <f>IF(AND(Table1[[#This Row],[Spec Type2]]="N/A",Table1[[#This Row],[DUT Adj Read]]="N/A",Table1[[#This Row],[Std Adj Read]]="N/A"),"N/A",IF(Table1[[#This Row],[DUT Adj Read]]="N/A",IF(Table1[[#This Row],[Std Adj Read]]&lt;=Table1[[#This Row],[High Tol]],"Pass","Fail"),IF(Table1[[#This Row],[DUT Adj Read]]&lt;=Table1[[#This Row],[High Tol]],"Pass","Fail")))</f>
        <v>Fail</v>
      </c>
      <c r="AH10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5" s="1" t="b">
        <v>0</v>
      </c>
      <c r="AN1075" s="1" t="b">
        <v>0</v>
      </c>
      <c r="AO1075" s="1" t="b">
        <v>0</v>
      </c>
    </row>
    <row r="1076" spans="1:41" x14ac:dyDescent="0.25">
      <c r="A1076" s="10"/>
      <c r="B1076" s="10"/>
      <c r="C1076" s="10"/>
      <c r="D1076" s="10"/>
      <c r="E1076" s="10"/>
      <c r="F1076" s="10"/>
      <c r="G1076" s="10"/>
      <c r="H1076" s="10"/>
      <c r="I1076" s="1" t="str">
        <f t="shared" si="48"/>
        <v/>
      </c>
      <c r="J1076" s="1" t="s">
        <v>35</v>
      </c>
      <c r="K1076" s="1" t="str">
        <f t="shared" si="49"/>
        <v/>
      </c>
      <c r="L1076" s="1" t="str">
        <f t="shared" si="50"/>
        <v/>
      </c>
      <c r="M1076" s="1">
        <f>IF(OR(Table1[[#This Row],[Std Nom]]="",Table1[[#This Row],[Std Read]]=""),0,Table1[[#This Row],[Std Nom]]-Table1[[#This Row],[Std Read]])</f>
        <v>0</v>
      </c>
      <c r="N1076" s="1">
        <f>IF(Calculations!$F$5="ACCREDITED 17025 WITH UNCERTAINTIES",$N$10,0)</f>
        <v>0</v>
      </c>
      <c r="O1076" s="1" t="str">
        <f>IFERROR(Table1[[#This Row],[Std Nom]]-(_xlfn.XLOOKUP(Table1[[#This Row],[Manufacturer]]&amp;" "&amp;Table1[[#This Row],[Model]],Table13[MFR &amp; MDL],Table13[Tolerance % CW ],"")/100*Table1[[#This Row],[Std Nom]]),"")</f>
        <v/>
      </c>
      <c r="P1076" s="1" t="str">
        <f>IFERROR(Table1[[#This Row],[Std Nom]]+(_xlfn.XLOOKUP(Table1[[#This Row],[Manufacturer]]&amp;" "&amp;Table1[[#This Row],[Model]],Table13[MFR &amp; MDL],Table13[Tolerance % CW ],"")/100*Table1[[#This Row],[Std Nom]]),"")</f>
        <v/>
      </c>
      <c r="Q1076" s="1" t="e">
        <f>Table1[[#This Row],[High Tol]]-Table1[[#This Row],[Low Tol]]</f>
        <v>#VALUE!</v>
      </c>
      <c r="R1076" s="1">
        <f>2*Table1[[#This Row],[Std Error]]</f>
        <v>0</v>
      </c>
      <c r="S1076" s="1" t="str">
        <f>IF(Table1[[#This Row],[High Tol]]="","N/A",IFERROR(ABS(Table1[[#This Row],[Tol Span]]/Table1[[#This Row],[Error Span]]),"N/A"))</f>
        <v>N/A</v>
      </c>
      <c r="T1076" s="1" t="str">
        <f>IF(OR(Table1[[#This Row],[Low Tol]]="",Table1[[#This Row],[High Tol]]=""),"Needs Analysis",IF(Table1[[#This Row],[Ratio]]&gt;=4,"Not Significant",IF(Table1[[#This Row],[Ratio]]&gt;=2,"Semi-Significant","Significant")))</f>
        <v>Needs Analysis</v>
      </c>
      <c r="W1076" s="1">
        <f>IF(Table1[[#This Row],[Cal Type]]&lt;&gt;"ACCREDITED 17025 WITH UNCERTAINTIES",0,"")</f>
        <v>0</v>
      </c>
      <c r="X1076" s="1" t="str">
        <f>IF(Table1[[#This Row],[DUT Read]]="","N/A",Table1[[#This Row],[Std Error]]+Table1[[#This Row],[DUT Read]]+Table1[[#This Row],[DUT Ucty]])</f>
        <v>N/A</v>
      </c>
      <c r="Y1076" s="1" t="str">
        <f>IF(Table1[[#This Row],[Std Read]]="","N/A",Table1[[#This Row],[Std Read]]+Table1[[#This Row],[Std Ucty]])</f>
        <v>N/A</v>
      </c>
      <c r="Z10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6" s="1" t="str">
        <f>IF(Table1[[#This Row],[Spec Type]]="","N/A",Table1[[#This Row],[Spec Type]])</f>
        <v>±</v>
      </c>
      <c r="AC1076" s="1" t="str">
        <f>IF(Table1[[#This Row],[Spec Type2]]="N/A","N/A",IF(AND(Table1[[#This Row],[DUT Adj Read]]&gt;=Table1[[#This Row],[Low Tol]],Table1[[#This Row],[DUT Adj Read]]&lt;=Table1[[#This Row],[High Tol]]),"Pass","Fail"))</f>
        <v>Fail</v>
      </c>
      <c r="AD1076" s="1" t="str">
        <f>IF(AND(Table1[[#This Row],[Spec Type2]]="N/A",Table1[[#This Row],[DUT Adj Read]]="N/A",Table1[[#This Row],[Std Adj Read]]="N/A"),"N/A",IF(Table1[[#This Row],[DUT Adj Read]]="N/A",IF(Table1[[#This Row],[Std Adj Read]]&gt;Table1[[#This Row],[Low Tol]],"Pass","Fail"),IF(Table1[[#This Row],[DUT Adj Read]]&gt;Table1[[#This Row],[Low Tol]],"Pass","Fail")))</f>
        <v>Pass</v>
      </c>
      <c r="AE1076" s="1" t="str">
        <f>IF(AND(Table1[[#This Row],[Spec Type2]]="N/A",Table1[[#This Row],[DUT Adj Read]]="N/A",Table1[[#This Row],[Std Adj Read]]="N/A"),"N/A",IF(Table1[[#This Row],[DUT Adj Read]]="N/A",IF(Table1[[#This Row],[Std Adj Read]]&lt;Table1[[#This Row],[High Tol]],"Pass","Fail"),IF(Table1[[#This Row],[DUT Adj Read]]&lt;Table1[[#This Row],[High Tol]],"Pass","Fail")))</f>
        <v>Fail</v>
      </c>
      <c r="AF1076" s="1" t="str">
        <f>IF(AND(Table1[[#This Row],[Spec Type2]]="N/A",Table1[[#This Row],[DUT Adj Read]]="N/A",Table1[[#This Row],[Std Adj Read]]="N/A"),"N/A",IF(Table1[[#This Row],[DUT Adj Read]]="N/A",IF(Table1[[#This Row],[Std Adj Read]]&gt;=Table1[[#This Row],[Low Tol]],"Pass","Fail"),IF(Table1[[#This Row],[DUT Adj Read]]&gt;=Table1[[#This Row],[Low Tol]],"Pass","Fail")))</f>
        <v>Pass</v>
      </c>
      <c r="AG1076" s="1" t="str">
        <f>IF(AND(Table1[[#This Row],[Spec Type2]]="N/A",Table1[[#This Row],[DUT Adj Read]]="N/A",Table1[[#This Row],[Std Adj Read]]="N/A"),"N/A",IF(Table1[[#This Row],[DUT Adj Read]]="N/A",IF(Table1[[#This Row],[Std Adj Read]]&lt;=Table1[[#This Row],[High Tol]],"Pass","Fail"),IF(Table1[[#This Row],[DUT Adj Read]]&lt;=Table1[[#This Row],[High Tol]],"Pass","Fail")))</f>
        <v>Fail</v>
      </c>
      <c r="AH10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6" s="1" t="b">
        <v>0</v>
      </c>
      <c r="AN1076" s="1" t="b">
        <v>0</v>
      </c>
      <c r="AO1076" s="1" t="b">
        <v>0</v>
      </c>
    </row>
    <row r="1077" spans="1:41" x14ac:dyDescent="0.25">
      <c r="A1077" s="10"/>
      <c r="B1077" s="10"/>
      <c r="C1077" s="10"/>
      <c r="D1077" s="10"/>
      <c r="E1077" s="10"/>
      <c r="F1077" s="10"/>
      <c r="G1077" s="10"/>
      <c r="H1077" s="10"/>
      <c r="I1077" s="1" t="str">
        <f t="shared" si="48"/>
        <v/>
      </c>
      <c r="J1077" s="1" t="s">
        <v>35</v>
      </c>
      <c r="K1077" s="1" t="str">
        <f t="shared" si="49"/>
        <v/>
      </c>
      <c r="L1077" s="1" t="str">
        <f t="shared" si="50"/>
        <v/>
      </c>
      <c r="M1077" s="1">
        <f>IF(OR(Table1[[#This Row],[Std Nom]]="",Table1[[#This Row],[Std Read]]=""),0,Table1[[#This Row],[Std Nom]]-Table1[[#This Row],[Std Read]])</f>
        <v>0</v>
      </c>
      <c r="N1077" s="1">
        <f>IF(Calculations!$F$5="ACCREDITED 17025 WITH UNCERTAINTIES",$N$10,0)</f>
        <v>0</v>
      </c>
      <c r="O1077" s="1" t="str">
        <f>IFERROR(Table1[[#This Row],[Std Nom]]-(_xlfn.XLOOKUP(Table1[[#This Row],[Manufacturer]]&amp;" "&amp;Table1[[#This Row],[Model]],Table13[MFR &amp; MDL],Table13[Tolerance % CW ],"")/100*Table1[[#This Row],[Std Nom]]),"")</f>
        <v/>
      </c>
      <c r="P1077" s="1" t="str">
        <f>IFERROR(Table1[[#This Row],[Std Nom]]+(_xlfn.XLOOKUP(Table1[[#This Row],[Manufacturer]]&amp;" "&amp;Table1[[#This Row],[Model]],Table13[MFR &amp; MDL],Table13[Tolerance % CW ],"")/100*Table1[[#This Row],[Std Nom]]),"")</f>
        <v/>
      </c>
      <c r="Q1077" s="1" t="e">
        <f>Table1[[#This Row],[High Tol]]-Table1[[#This Row],[Low Tol]]</f>
        <v>#VALUE!</v>
      </c>
      <c r="R1077" s="1">
        <f>2*Table1[[#This Row],[Std Error]]</f>
        <v>0</v>
      </c>
      <c r="S1077" s="1" t="str">
        <f>IF(Table1[[#This Row],[High Tol]]="","N/A",IFERROR(ABS(Table1[[#This Row],[Tol Span]]/Table1[[#This Row],[Error Span]]),"N/A"))</f>
        <v>N/A</v>
      </c>
      <c r="T1077" s="1" t="str">
        <f>IF(OR(Table1[[#This Row],[Low Tol]]="",Table1[[#This Row],[High Tol]]=""),"Needs Analysis",IF(Table1[[#This Row],[Ratio]]&gt;=4,"Not Significant",IF(Table1[[#This Row],[Ratio]]&gt;=2,"Semi-Significant","Significant")))</f>
        <v>Needs Analysis</v>
      </c>
      <c r="W1077" s="1">
        <f>IF(Table1[[#This Row],[Cal Type]]&lt;&gt;"ACCREDITED 17025 WITH UNCERTAINTIES",0,"")</f>
        <v>0</v>
      </c>
      <c r="X1077" s="1" t="str">
        <f>IF(Table1[[#This Row],[DUT Read]]="","N/A",Table1[[#This Row],[Std Error]]+Table1[[#This Row],[DUT Read]]+Table1[[#This Row],[DUT Ucty]])</f>
        <v>N/A</v>
      </c>
      <c r="Y1077" s="1" t="str">
        <f>IF(Table1[[#This Row],[Std Read]]="","N/A",Table1[[#This Row],[Std Read]]+Table1[[#This Row],[Std Ucty]])</f>
        <v>N/A</v>
      </c>
      <c r="Z10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7" s="1" t="str">
        <f>IF(Table1[[#This Row],[Spec Type]]="","N/A",Table1[[#This Row],[Spec Type]])</f>
        <v>±</v>
      </c>
      <c r="AC1077" s="1" t="str">
        <f>IF(Table1[[#This Row],[Spec Type2]]="N/A","N/A",IF(AND(Table1[[#This Row],[DUT Adj Read]]&gt;=Table1[[#This Row],[Low Tol]],Table1[[#This Row],[DUT Adj Read]]&lt;=Table1[[#This Row],[High Tol]]),"Pass","Fail"))</f>
        <v>Fail</v>
      </c>
      <c r="AD1077" s="1" t="str">
        <f>IF(AND(Table1[[#This Row],[Spec Type2]]="N/A",Table1[[#This Row],[DUT Adj Read]]="N/A",Table1[[#This Row],[Std Adj Read]]="N/A"),"N/A",IF(Table1[[#This Row],[DUT Adj Read]]="N/A",IF(Table1[[#This Row],[Std Adj Read]]&gt;Table1[[#This Row],[Low Tol]],"Pass","Fail"),IF(Table1[[#This Row],[DUT Adj Read]]&gt;Table1[[#This Row],[Low Tol]],"Pass","Fail")))</f>
        <v>Pass</v>
      </c>
      <c r="AE1077" s="1" t="str">
        <f>IF(AND(Table1[[#This Row],[Spec Type2]]="N/A",Table1[[#This Row],[DUT Adj Read]]="N/A",Table1[[#This Row],[Std Adj Read]]="N/A"),"N/A",IF(Table1[[#This Row],[DUT Adj Read]]="N/A",IF(Table1[[#This Row],[Std Adj Read]]&lt;Table1[[#This Row],[High Tol]],"Pass","Fail"),IF(Table1[[#This Row],[DUT Adj Read]]&lt;Table1[[#This Row],[High Tol]],"Pass","Fail")))</f>
        <v>Fail</v>
      </c>
      <c r="AF1077" s="1" t="str">
        <f>IF(AND(Table1[[#This Row],[Spec Type2]]="N/A",Table1[[#This Row],[DUT Adj Read]]="N/A",Table1[[#This Row],[Std Adj Read]]="N/A"),"N/A",IF(Table1[[#This Row],[DUT Adj Read]]="N/A",IF(Table1[[#This Row],[Std Adj Read]]&gt;=Table1[[#This Row],[Low Tol]],"Pass","Fail"),IF(Table1[[#This Row],[DUT Adj Read]]&gt;=Table1[[#This Row],[Low Tol]],"Pass","Fail")))</f>
        <v>Pass</v>
      </c>
      <c r="AG1077" s="1" t="str">
        <f>IF(AND(Table1[[#This Row],[Spec Type2]]="N/A",Table1[[#This Row],[DUT Adj Read]]="N/A",Table1[[#This Row],[Std Adj Read]]="N/A"),"N/A",IF(Table1[[#This Row],[DUT Adj Read]]="N/A",IF(Table1[[#This Row],[Std Adj Read]]&lt;=Table1[[#This Row],[High Tol]],"Pass","Fail"),IF(Table1[[#This Row],[DUT Adj Read]]&lt;=Table1[[#This Row],[High Tol]],"Pass","Fail")))</f>
        <v>Fail</v>
      </c>
      <c r="AH10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7" s="1" t="b">
        <v>0</v>
      </c>
      <c r="AN1077" s="1" t="b">
        <v>0</v>
      </c>
      <c r="AO1077" s="1" t="b">
        <v>0</v>
      </c>
    </row>
    <row r="1078" spans="1:41" x14ac:dyDescent="0.25">
      <c r="A1078" s="10"/>
      <c r="B1078" s="10"/>
      <c r="C1078" s="10"/>
      <c r="D1078" s="10"/>
      <c r="E1078" s="10"/>
      <c r="F1078" s="10"/>
      <c r="G1078" s="10"/>
      <c r="H1078" s="10"/>
      <c r="I1078" s="1" t="str">
        <f t="shared" si="48"/>
        <v/>
      </c>
      <c r="J1078" s="1" t="s">
        <v>35</v>
      </c>
      <c r="K1078" s="1" t="str">
        <f t="shared" si="49"/>
        <v/>
      </c>
      <c r="L1078" s="1" t="str">
        <f t="shared" si="50"/>
        <v/>
      </c>
      <c r="M1078" s="1">
        <f>IF(OR(Table1[[#This Row],[Std Nom]]="",Table1[[#This Row],[Std Read]]=""),0,Table1[[#This Row],[Std Nom]]-Table1[[#This Row],[Std Read]])</f>
        <v>0</v>
      </c>
      <c r="N1078" s="1">
        <f>IF(Calculations!$F$5="ACCREDITED 17025 WITH UNCERTAINTIES",$N$10,0)</f>
        <v>0</v>
      </c>
      <c r="O1078" s="1" t="str">
        <f>IFERROR(Table1[[#This Row],[Std Nom]]-(_xlfn.XLOOKUP(Table1[[#This Row],[Manufacturer]]&amp;" "&amp;Table1[[#This Row],[Model]],Table13[MFR &amp; MDL],Table13[Tolerance % CW ],"")/100*Table1[[#This Row],[Std Nom]]),"")</f>
        <v/>
      </c>
      <c r="P1078" s="1" t="str">
        <f>IFERROR(Table1[[#This Row],[Std Nom]]+(_xlfn.XLOOKUP(Table1[[#This Row],[Manufacturer]]&amp;" "&amp;Table1[[#This Row],[Model]],Table13[MFR &amp; MDL],Table13[Tolerance % CW ],"")/100*Table1[[#This Row],[Std Nom]]),"")</f>
        <v/>
      </c>
      <c r="Q1078" s="1" t="e">
        <f>Table1[[#This Row],[High Tol]]-Table1[[#This Row],[Low Tol]]</f>
        <v>#VALUE!</v>
      </c>
      <c r="R1078" s="1">
        <f>2*Table1[[#This Row],[Std Error]]</f>
        <v>0</v>
      </c>
      <c r="S1078" s="1" t="str">
        <f>IF(Table1[[#This Row],[High Tol]]="","N/A",IFERROR(ABS(Table1[[#This Row],[Tol Span]]/Table1[[#This Row],[Error Span]]),"N/A"))</f>
        <v>N/A</v>
      </c>
      <c r="T1078" s="1" t="str">
        <f>IF(OR(Table1[[#This Row],[Low Tol]]="",Table1[[#This Row],[High Tol]]=""),"Needs Analysis",IF(Table1[[#This Row],[Ratio]]&gt;=4,"Not Significant",IF(Table1[[#This Row],[Ratio]]&gt;=2,"Semi-Significant","Significant")))</f>
        <v>Needs Analysis</v>
      </c>
      <c r="W1078" s="1">
        <f>IF(Table1[[#This Row],[Cal Type]]&lt;&gt;"ACCREDITED 17025 WITH UNCERTAINTIES",0,"")</f>
        <v>0</v>
      </c>
      <c r="X1078" s="1" t="str">
        <f>IF(Table1[[#This Row],[DUT Read]]="","N/A",Table1[[#This Row],[Std Error]]+Table1[[#This Row],[DUT Read]]+Table1[[#This Row],[DUT Ucty]])</f>
        <v>N/A</v>
      </c>
      <c r="Y1078" s="1" t="str">
        <f>IF(Table1[[#This Row],[Std Read]]="","N/A",Table1[[#This Row],[Std Read]]+Table1[[#This Row],[Std Ucty]])</f>
        <v>N/A</v>
      </c>
      <c r="Z10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8" s="1" t="str">
        <f>IF(Table1[[#This Row],[Spec Type]]="","N/A",Table1[[#This Row],[Spec Type]])</f>
        <v>±</v>
      </c>
      <c r="AC1078" s="1" t="str">
        <f>IF(Table1[[#This Row],[Spec Type2]]="N/A","N/A",IF(AND(Table1[[#This Row],[DUT Adj Read]]&gt;=Table1[[#This Row],[Low Tol]],Table1[[#This Row],[DUT Adj Read]]&lt;=Table1[[#This Row],[High Tol]]),"Pass","Fail"))</f>
        <v>Fail</v>
      </c>
      <c r="AD1078" s="1" t="str">
        <f>IF(AND(Table1[[#This Row],[Spec Type2]]="N/A",Table1[[#This Row],[DUT Adj Read]]="N/A",Table1[[#This Row],[Std Adj Read]]="N/A"),"N/A",IF(Table1[[#This Row],[DUT Adj Read]]="N/A",IF(Table1[[#This Row],[Std Adj Read]]&gt;Table1[[#This Row],[Low Tol]],"Pass","Fail"),IF(Table1[[#This Row],[DUT Adj Read]]&gt;Table1[[#This Row],[Low Tol]],"Pass","Fail")))</f>
        <v>Pass</v>
      </c>
      <c r="AE1078" s="1" t="str">
        <f>IF(AND(Table1[[#This Row],[Spec Type2]]="N/A",Table1[[#This Row],[DUT Adj Read]]="N/A",Table1[[#This Row],[Std Adj Read]]="N/A"),"N/A",IF(Table1[[#This Row],[DUT Adj Read]]="N/A",IF(Table1[[#This Row],[Std Adj Read]]&lt;Table1[[#This Row],[High Tol]],"Pass","Fail"),IF(Table1[[#This Row],[DUT Adj Read]]&lt;Table1[[#This Row],[High Tol]],"Pass","Fail")))</f>
        <v>Fail</v>
      </c>
      <c r="AF1078" s="1" t="str">
        <f>IF(AND(Table1[[#This Row],[Spec Type2]]="N/A",Table1[[#This Row],[DUT Adj Read]]="N/A",Table1[[#This Row],[Std Adj Read]]="N/A"),"N/A",IF(Table1[[#This Row],[DUT Adj Read]]="N/A",IF(Table1[[#This Row],[Std Adj Read]]&gt;=Table1[[#This Row],[Low Tol]],"Pass","Fail"),IF(Table1[[#This Row],[DUT Adj Read]]&gt;=Table1[[#This Row],[Low Tol]],"Pass","Fail")))</f>
        <v>Pass</v>
      </c>
      <c r="AG1078" s="1" t="str">
        <f>IF(AND(Table1[[#This Row],[Spec Type2]]="N/A",Table1[[#This Row],[DUT Adj Read]]="N/A",Table1[[#This Row],[Std Adj Read]]="N/A"),"N/A",IF(Table1[[#This Row],[DUT Adj Read]]="N/A",IF(Table1[[#This Row],[Std Adj Read]]&lt;=Table1[[#This Row],[High Tol]],"Pass","Fail"),IF(Table1[[#This Row],[DUT Adj Read]]&lt;=Table1[[#This Row],[High Tol]],"Pass","Fail")))</f>
        <v>Fail</v>
      </c>
      <c r="AH10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8" s="1" t="b">
        <v>0</v>
      </c>
      <c r="AN1078" s="1" t="b">
        <v>0</v>
      </c>
      <c r="AO1078" s="1" t="b">
        <v>0</v>
      </c>
    </row>
    <row r="1079" spans="1:41" x14ac:dyDescent="0.25">
      <c r="A1079" s="10"/>
      <c r="B1079" s="10"/>
      <c r="C1079" s="10"/>
      <c r="D1079" s="10"/>
      <c r="E1079" s="10"/>
      <c r="F1079" s="10"/>
      <c r="G1079" s="10"/>
      <c r="H1079" s="10"/>
      <c r="I1079" s="1" t="str">
        <f t="shared" si="48"/>
        <v/>
      </c>
      <c r="J1079" s="1" t="s">
        <v>35</v>
      </c>
      <c r="K1079" s="1" t="str">
        <f t="shared" si="49"/>
        <v/>
      </c>
      <c r="L1079" s="1" t="str">
        <f t="shared" si="50"/>
        <v/>
      </c>
      <c r="M1079" s="1">
        <f>IF(OR(Table1[[#This Row],[Std Nom]]="",Table1[[#This Row],[Std Read]]=""),0,Table1[[#This Row],[Std Nom]]-Table1[[#This Row],[Std Read]])</f>
        <v>0</v>
      </c>
      <c r="N1079" s="1">
        <f>IF(Calculations!$F$5="ACCREDITED 17025 WITH UNCERTAINTIES",$N$10,0)</f>
        <v>0</v>
      </c>
      <c r="O1079" s="1" t="str">
        <f>IFERROR(Table1[[#This Row],[Std Nom]]-(_xlfn.XLOOKUP(Table1[[#This Row],[Manufacturer]]&amp;" "&amp;Table1[[#This Row],[Model]],Table13[MFR &amp; MDL],Table13[Tolerance % CW ],"")/100*Table1[[#This Row],[Std Nom]]),"")</f>
        <v/>
      </c>
      <c r="P1079" s="1" t="str">
        <f>IFERROR(Table1[[#This Row],[Std Nom]]+(_xlfn.XLOOKUP(Table1[[#This Row],[Manufacturer]]&amp;" "&amp;Table1[[#This Row],[Model]],Table13[MFR &amp; MDL],Table13[Tolerance % CW ],"")/100*Table1[[#This Row],[Std Nom]]),"")</f>
        <v/>
      </c>
      <c r="Q1079" s="1" t="e">
        <f>Table1[[#This Row],[High Tol]]-Table1[[#This Row],[Low Tol]]</f>
        <v>#VALUE!</v>
      </c>
      <c r="R1079" s="1">
        <f>2*Table1[[#This Row],[Std Error]]</f>
        <v>0</v>
      </c>
      <c r="S1079" s="1" t="str">
        <f>IF(Table1[[#This Row],[High Tol]]="","N/A",IFERROR(ABS(Table1[[#This Row],[Tol Span]]/Table1[[#This Row],[Error Span]]),"N/A"))</f>
        <v>N/A</v>
      </c>
      <c r="T1079" s="1" t="str">
        <f>IF(OR(Table1[[#This Row],[Low Tol]]="",Table1[[#This Row],[High Tol]]=""),"Needs Analysis",IF(Table1[[#This Row],[Ratio]]&gt;=4,"Not Significant",IF(Table1[[#This Row],[Ratio]]&gt;=2,"Semi-Significant","Significant")))</f>
        <v>Needs Analysis</v>
      </c>
      <c r="W1079" s="1">
        <f>IF(Table1[[#This Row],[Cal Type]]&lt;&gt;"ACCREDITED 17025 WITH UNCERTAINTIES",0,"")</f>
        <v>0</v>
      </c>
      <c r="X1079" s="1" t="str">
        <f>IF(Table1[[#This Row],[DUT Read]]="","N/A",Table1[[#This Row],[Std Error]]+Table1[[#This Row],[DUT Read]]+Table1[[#This Row],[DUT Ucty]])</f>
        <v>N/A</v>
      </c>
      <c r="Y1079" s="1" t="str">
        <f>IF(Table1[[#This Row],[Std Read]]="","N/A",Table1[[#This Row],[Std Read]]+Table1[[#This Row],[Std Ucty]])</f>
        <v>N/A</v>
      </c>
      <c r="Z10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9" s="1" t="str">
        <f>IF(Table1[[#This Row],[Spec Type]]="","N/A",Table1[[#This Row],[Spec Type]])</f>
        <v>±</v>
      </c>
      <c r="AC1079" s="1" t="str">
        <f>IF(Table1[[#This Row],[Spec Type2]]="N/A","N/A",IF(AND(Table1[[#This Row],[DUT Adj Read]]&gt;=Table1[[#This Row],[Low Tol]],Table1[[#This Row],[DUT Adj Read]]&lt;=Table1[[#This Row],[High Tol]]),"Pass","Fail"))</f>
        <v>Fail</v>
      </c>
      <c r="AD1079" s="1" t="str">
        <f>IF(AND(Table1[[#This Row],[Spec Type2]]="N/A",Table1[[#This Row],[DUT Adj Read]]="N/A",Table1[[#This Row],[Std Adj Read]]="N/A"),"N/A",IF(Table1[[#This Row],[DUT Adj Read]]="N/A",IF(Table1[[#This Row],[Std Adj Read]]&gt;Table1[[#This Row],[Low Tol]],"Pass","Fail"),IF(Table1[[#This Row],[DUT Adj Read]]&gt;Table1[[#This Row],[Low Tol]],"Pass","Fail")))</f>
        <v>Pass</v>
      </c>
      <c r="AE1079" s="1" t="str">
        <f>IF(AND(Table1[[#This Row],[Spec Type2]]="N/A",Table1[[#This Row],[DUT Adj Read]]="N/A",Table1[[#This Row],[Std Adj Read]]="N/A"),"N/A",IF(Table1[[#This Row],[DUT Adj Read]]="N/A",IF(Table1[[#This Row],[Std Adj Read]]&lt;Table1[[#This Row],[High Tol]],"Pass","Fail"),IF(Table1[[#This Row],[DUT Adj Read]]&lt;Table1[[#This Row],[High Tol]],"Pass","Fail")))</f>
        <v>Fail</v>
      </c>
      <c r="AF1079" s="1" t="str">
        <f>IF(AND(Table1[[#This Row],[Spec Type2]]="N/A",Table1[[#This Row],[DUT Adj Read]]="N/A",Table1[[#This Row],[Std Adj Read]]="N/A"),"N/A",IF(Table1[[#This Row],[DUT Adj Read]]="N/A",IF(Table1[[#This Row],[Std Adj Read]]&gt;=Table1[[#This Row],[Low Tol]],"Pass","Fail"),IF(Table1[[#This Row],[DUT Adj Read]]&gt;=Table1[[#This Row],[Low Tol]],"Pass","Fail")))</f>
        <v>Pass</v>
      </c>
      <c r="AG1079" s="1" t="str">
        <f>IF(AND(Table1[[#This Row],[Spec Type2]]="N/A",Table1[[#This Row],[DUT Adj Read]]="N/A",Table1[[#This Row],[Std Adj Read]]="N/A"),"N/A",IF(Table1[[#This Row],[DUT Adj Read]]="N/A",IF(Table1[[#This Row],[Std Adj Read]]&lt;=Table1[[#This Row],[High Tol]],"Pass","Fail"),IF(Table1[[#This Row],[DUT Adj Read]]&lt;=Table1[[#This Row],[High Tol]],"Pass","Fail")))</f>
        <v>Fail</v>
      </c>
      <c r="AH10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9" s="1" t="b">
        <v>0</v>
      </c>
      <c r="AN1079" s="1" t="b">
        <v>0</v>
      </c>
      <c r="AO1079" s="1" t="b">
        <v>0</v>
      </c>
    </row>
    <row r="1080" spans="1:41" x14ac:dyDescent="0.25">
      <c r="A1080" s="10"/>
      <c r="B1080" s="10"/>
      <c r="C1080" s="10"/>
      <c r="D1080" s="10"/>
      <c r="E1080" s="10"/>
      <c r="F1080" s="10"/>
      <c r="G1080" s="10"/>
      <c r="H1080" s="10"/>
      <c r="I1080" s="1" t="str">
        <f t="shared" si="48"/>
        <v/>
      </c>
      <c r="J1080" s="1" t="s">
        <v>35</v>
      </c>
      <c r="K1080" s="1" t="str">
        <f t="shared" si="49"/>
        <v/>
      </c>
      <c r="L1080" s="1" t="str">
        <f t="shared" si="50"/>
        <v/>
      </c>
      <c r="M1080" s="1">
        <f>IF(OR(Table1[[#This Row],[Std Nom]]="",Table1[[#This Row],[Std Read]]=""),0,Table1[[#This Row],[Std Nom]]-Table1[[#This Row],[Std Read]])</f>
        <v>0</v>
      </c>
      <c r="N1080" s="1">
        <f>IF(Calculations!$F$5="ACCREDITED 17025 WITH UNCERTAINTIES",$N$10,0)</f>
        <v>0</v>
      </c>
      <c r="O1080" s="1" t="str">
        <f>IFERROR(Table1[[#This Row],[Std Nom]]-(_xlfn.XLOOKUP(Table1[[#This Row],[Manufacturer]]&amp;" "&amp;Table1[[#This Row],[Model]],Table13[MFR &amp; MDL],Table13[Tolerance % CW ],"")/100*Table1[[#This Row],[Std Nom]]),"")</f>
        <v/>
      </c>
      <c r="P1080" s="1" t="str">
        <f>IFERROR(Table1[[#This Row],[Std Nom]]+(_xlfn.XLOOKUP(Table1[[#This Row],[Manufacturer]]&amp;" "&amp;Table1[[#This Row],[Model]],Table13[MFR &amp; MDL],Table13[Tolerance % CW ],"")/100*Table1[[#This Row],[Std Nom]]),"")</f>
        <v/>
      </c>
      <c r="Q1080" s="1" t="e">
        <f>Table1[[#This Row],[High Tol]]-Table1[[#This Row],[Low Tol]]</f>
        <v>#VALUE!</v>
      </c>
      <c r="R1080" s="1">
        <f>2*Table1[[#This Row],[Std Error]]</f>
        <v>0</v>
      </c>
      <c r="S1080" s="1" t="str">
        <f>IF(Table1[[#This Row],[High Tol]]="","N/A",IFERROR(ABS(Table1[[#This Row],[Tol Span]]/Table1[[#This Row],[Error Span]]),"N/A"))</f>
        <v>N/A</v>
      </c>
      <c r="T1080" s="1" t="str">
        <f>IF(OR(Table1[[#This Row],[Low Tol]]="",Table1[[#This Row],[High Tol]]=""),"Needs Analysis",IF(Table1[[#This Row],[Ratio]]&gt;=4,"Not Significant",IF(Table1[[#This Row],[Ratio]]&gt;=2,"Semi-Significant","Significant")))</f>
        <v>Needs Analysis</v>
      </c>
      <c r="W1080" s="1">
        <f>IF(Table1[[#This Row],[Cal Type]]&lt;&gt;"ACCREDITED 17025 WITH UNCERTAINTIES",0,"")</f>
        <v>0</v>
      </c>
      <c r="X1080" s="1" t="str">
        <f>IF(Table1[[#This Row],[DUT Read]]="","N/A",Table1[[#This Row],[Std Error]]+Table1[[#This Row],[DUT Read]]+Table1[[#This Row],[DUT Ucty]])</f>
        <v>N/A</v>
      </c>
      <c r="Y1080" s="1" t="str">
        <f>IF(Table1[[#This Row],[Std Read]]="","N/A",Table1[[#This Row],[Std Read]]+Table1[[#This Row],[Std Ucty]])</f>
        <v>N/A</v>
      </c>
      <c r="Z10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0" s="1" t="str">
        <f>IF(Table1[[#This Row],[Spec Type]]="","N/A",Table1[[#This Row],[Spec Type]])</f>
        <v>±</v>
      </c>
      <c r="AC1080" s="1" t="str">
        <f>IF(Table1[[#This Row],[Spec Type2]]="N/A","N/A",IF(AND(Table1[[#This Row],[DUT Adj Read]]&gt;=Table1[[#This Row],[Low Tol]],Table1[[#This Row],[DUT Adj Read]]&lt;=Table1[[#This Row],[High Tol]]),"Pass","Fail"))</f>
        <v>Fail</v>
      </c>
      <c r="AD1080" s="1" t="str">
        <f>IF(AND(Table1[[#This Row],[Spec Type2]]="N/A",Table1[[#This Row],[DUT Adj Read]]="N/A",Table1[[#This Row],[Std Adj Read]]="N/A"),"N/A",IF(Table1[[#This Row],[DUT Adj Read]]="N/A",IF(Table1[[#This Row],[Std Adj Read]]&gt;Table1[[#This Row],[Low Tol]],"Pass","Fail"),IF(Table1[[#This Row],[DUT Adj Read]]&gt;Table1[[#This Row],[Low Tol]],"Pass","Fail")))</f>
        <v>Pass</v>
      </c>
      <c r="AE1080" s="1" t="str">
        <f>IF(AND(Table1[[#This Row],[Spec Type2]]="N/A",Table1[[#This Row],[DUT Adj Read]]="N/A",Table1[[#This Row],[Std Adj Read]]="N/A"),"N/A",IF(Table1[[#This Row],[DUT Adj Read]]="N/A",IF(Table1[[#This Row],[Std Adj Read]]&lt;Table1[[#This Row],[High Tol]],"Pass","Fail"),IF(Table1[[#This Row],[DUT Adj Read]]&lt;Table1[[#This Row],[High Tol]],"Pass","Fail")))</f>
        <v>Fail</v>
      </c>
      <c r="AF1080" s="1" t="str">
        <f>IF(AND(Table1[[#This Row],[Spec Type2]]="N/A",Table1[[#This Row],[DUT Adj Read]]="N/A",Table1[[#This Row],[Std Adj Read]]="N/A"),"N/A",IF(Table1[[#This Row],[DUT Adj Read]]="N/A",IF(Table1[[#This Row],[Std Adj Read]]&gt;=Table1[[#This Row],[Low Tol]],"Pass","Fail"),IF(Table1[[#This Row],[DUT Adj Read]]&gt;=Table1[[#This Row],[Low Tol]],"Pass","Fail")))</f>
        <v>Pass</v>
      </c>
      <c r="AG1080" s="1" t="str">
        <f>IF(AND(Table1[[#This Row],[Spec Type2]]="N/A",Table1[[#This Row],[DUT Adj Read]]="N/A",Table1[[#This Row],[Std Adj Read]]="N/A"),"N/A",IF(Table1[[#This Row],[DUT Adj Read]]="N/A",IF(Table1[[#This Row],[Std Adj Read]]&lt;=Table1[[#This Row],[High Tol]],"Pass","Fail"),IF(Table1[[#This Row],[DUT Adj Read]]&lt;=Table1[[#This Row],[High Tol]],"Pass","Fail")))</f>
        <v>Fail</v>
      </c>
      <c r="AH10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0" s="1" t="b">
        <v>0</v>
      </c>
      <c r="AN1080" s="1" t="b">
        <v>0</v>
      </c>
      <c r="AO1080" s="1" t="b">
        <v>0</v>
      </c>
    </row>
    <row r="1081" spans="1:41" x14ac:dyDescent="0.25">
      <c r="A1081" s="10"/>
      <c r="B1081" s="10"/>
      <c r="C1081" s="10"/>
      <c r="D1081" s="10"/>
      <c r="E1081" s="10"/>
      <c r="F1081" s="10"/>
      <c r="G1081" s="10"/>
      <c r="H1081" s="10"/>
      <c r="I1081" s="1" t="str">
        <f t="shared" si="48"/>
        <v/>
      </c>
      <c r="J1081" s="1" t="s">
        <v>35</v>
      </c>
      <c r="K1081" s="1" t="str">
        <f t="shared" si="49"/>
        <v/>
      </c>
      <c r="L1081" s="1" t="str">
        <f t="shared" si="50"/>
        <v/>
      </c>
      <c r="M1081" s="1">
        <f>IF(OR(Table1[[#This Row],[Std Nom]]="",Table1[[#This Row],[Std Read]]=""),0,Table1[[#This Row],[Std Nom]]-Table1[[#This Row],[Std Read]])</f>
        <v>0</v>
      </c>
      <c r="N1081" s="1">
        <f>IF(Calculations!$F$5="ACCREDITED 17025 WITH UNCERTAINTIES",$N$10,0)</f>
        <v>0</v>
      </c>
      <c r="O1081" s="1" t="str">
        <f>IFERROR(Table1[[#This Row],[Std Nom]]-(_xlfn.XLOOKUP(Table1[[#This Row],[Manufacturer]]&amp;" "&amp;Table1[[#This Row],[Model]],Table13[MFR &amp; MDL],Table13[Tolerance % CW ],"")/100*Table1[[#This Row],[Std Nom]]),"")</f>
        <v/>
      </c>
      <c r="P1081" s="1" t="str">
        <f>IFERROR(Table1[[#This Row],[Std Nom]]+(_xlfn.XLOOKUP(Table1[[#This Row],[Manufacturer]]&amp;" "&amp;Table1[[#This Row],[Model]],Table13[MFR &amp; MDL],Table13[Tolerance % CW ],"")/100*Table1[[#This Row],[Std Nom]]),"")</f>
        <v/>
      </c>
      <c r="Q1081" s="1" t="e">
        <f>Table1[[#This Row],[High Tol]]-Table1[[#This Row],[Low Tol]]</f>
        <v>#VALUE!</v>
      </c>
      <c r="R1081" s="1">
        <f>2*Table1[[#This Row],[Std Error]]</f>
        <v>0</v>
      </c>
      <c r="S1081" s="1" t="str">
        <f>IF(Table1[[#This Row],[High Tol]]="","N/A",IFERROR(ABS(Table1[[#This Row],[Tol Span]]/Table1[[#This Row],[Error Span]]),"N/A"))</f>
        <v>N/A</v>
      </c>
      <c r="T1081" s="1" t="str">
        <f>IF(OR(Table1[[#This Row],[Low Tol]]="",Table1[[#This Row],[High Tol]]=""),"Needs Analysis",IF(Table1[[#This Row],[Ratio]]&gt;=4,"Not Significant",IF(Table1[[#This Row],[Ratio]]&gt;=2,"Semi-Significant","Significant")))</f>
        <v>Needs Analysis</v>
      </c>
      <c r="W1081" s="1">
        <f>IF(Table1[[#This Row],[Cal Type]]&lt;&gt;"ACCREDITED 17025 WITH UNCERTAINTIES",0,"")</f>
        <v>0</v>
      </c>
      <c r="X1081" s="1" t="str">
        <f>IF(Table1[[#This Row],[DUT Read]]="","N/A",Table1[[#This Row],[Std Error]]+Table1[[#This Row],[DUT Read]]+Table1[[#This Row],[DUT Ucty]])</f>
        <v>N/A</v>
      </c>
      <c r="Y1081" s="1" t="str">
        <f>IF(Table1[[#This Row],[Std Read]]="","N/A",Table1[[#This Row],[Std Read]]+Table1[[#This Row],[Std Ucty]])</f>
        <v>N/A</v>
      </c>
      <c r="Z10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1" s="1" t="str">
        <f>IF(Table1[[#This Row],[Spec Type]]="","N/A",Table1[[#This Row],[Spec Type]])</f>
        <v>±</v>
      </c>
      <c r="AC1081" s="1" t="str">
        <f>IF(Table1[[#This Row],[Spec Type2]]="N/A","N/A",IF(AND(Table1[[#This Row],[DUT Adj Read]]&gt;=Table1[[#This Row],[Low Tol]],Table1[[#This Row],[DUT Adj Read]]&lt;=Table1[[#This Row],[High Tol]]),"Pass","Fail"))</f>
        <v>Fail</v>
      </c>
      <c r="AD1081" s="1" t="str">
        <f>IF(AND(Table1[[#This Row],[Spec Type2]]="N/A",Table1[[#This Row],[DUT Adj Read]]="N/A",Table1[[#This Row],[Std Adj Read]]="N/A"),"N/A",IF(Table1[[#This Row],[DUT Adj Read]]="N/A",IF(Table1[[#This Row],[Std Adj Read]]&gt;Table1[[#This Row],[Low Tol]],"Pass","Fail"),IF(Table1[[#This Row],[DUT Adj Read]]&gt;Table1[[#This Row],[Low Tol]],"Pass","Fail")))</f>
        <v>Pass</v>
      </c>
      <c r="AE1081" s="1" t="str">
        <f>IF(AND(Table1[[#This Row],[Spec Type2]]="N/A",Table1[[#This Row],[DUT Adj Read]]="N/A",Table1[[#This Row],[Std Adj Read]]="N/A"),"N/A",IF(Table1[[#This Row],[DUT Adj Read]]="N/A",IF(Table1[[#This Row],[Std Adj Read]]&lt;Table1[[#This Row],[High Tol]],"Pass","Fail"),IF(Table1[[#This Row],[DUT Adj Read]]&lt;Table1[[#This Row],[High Tol]],"Pass","Fail")))</f>
        <v>Fail</v>
      </c>
      <c r="AF1081" s="1" t="str">
        <f>IF(AND(Table1[[#This Row],[Spec Type2]]="N/A",Table1[[#This Row],[DUT Adj Read]]="N/A",Table1[[#This Row],[Std Adj Read]]="N/A"),"N/A",IF(Table1[[#This Row],[DUT Adj Read]]="N/A",IF(Table1[[#This Row],[Std Adj Read]]&gt;=Table1[[#This Row],[Low Tol]],"Pass","Fail"),IF(Table1[[#This Row],[DUT Adj Read]]&gt;=Table1[[#This Row],[Low Tol]],"Pass","Fail")))</f>
        <v>Pass</v>
      </c>
      <c r="AG1081" s="1" t="str">
        <f>IF(AND(Table1[[#This Row],[Spec Type2]]="N/A",Table1[[#This Row],[DUT Adj Read]]="N/A",Table1[[#This Row],[Std Adj Read]]="N/A"),"N/A",IF(Table1[[#This Row],[DUT Adj Read]]="N/A",IF(Table1[[#This Row],[Std Adj Read]]&lt;=Table1[[#This Row],[High Tol]],"Pass","Fail"),IF(Table1[[#This Row],[DUT Adj Read]]&lt;=Table1[[#This Row],[High Tol]],"Pass","Fail")))</f>
        <v>Fail</v>
      </c>
      <c r="AH10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1" s="1" t="b">
        <v>0</v>
      </c>
      <c r="AN1081" s="1" t="b">
        <v>0</v>
      </c>
      <c r="AO1081" s="1" t="b">
        <v>0</v>
      </c>
    </row>
    <row r="1082" spans="1:41" x14ac:dyDescent="0.25">
      <c r="A1082" s="10"/>
      <c r="B1082" s="10"/>
      <c r="C1082" s="10"/>
      <c r="D1082" s="10"/>
      <c r="E1082" s="10"/>
      <c r="F1082" s="10"/>
      <c r="G1082" s="10"/>
      <c r="H1082" s="10"/>
      <c r="I1082" s="1" t="str">
        <f t="shared" si="48"/>
        <v/>
      </c>
      <c r="J1082" s="1" t="s">
        <v>35</v>
      </c>
      <c r="K1082" s="1" t="str">
        <f t="shared" si="49"/>
        <v/>
      </c>
      <c r="L1082" s="1" t="str">
        <f t="shared" si="50"/>
        <v/>
      </c>
      <c r="M1082" s="1">
        <f>IF(OR(Table1[[#This Row],[Std Nom]]="",Table1[[#This Row],[Std Read]]=""),0,Table1[[#This Row],[Std Nom]]-Table1[[#This Row],[Std Read]])</f>
        <v>0</v>
      </c>
      <c r="N1082" s="1">
        <f>IF(Calculations!$F$5="ACCREDITED 17025 WITH UNCERTAINTIES",$N$10,0)</f>
        <v>0</v>
      </c>
      <c r="O1082" s="1" t="str">
        <f>IFERROR(Table1[[#This Row],[Std Nom]]-(_xlfn.XLOOKUP(Table1[[#This Row],[Manufacturer]]&amp;" "&amp;Table1[[#This Row],[Model]],Table13[MFR &amp; MDL],Table13[Tolerance % CW ],"")/100*Table1[[#This Row],[Std Nom]]),"")</f>
        <v/>
      </c>
      <c r="P1082" s="1" t="str">
        <f>IFERROR(Table1[[#This Row],[Std Nom]]+(_xlfn.XLOOKUP(Table1[[#This Row],[Manufacturer]]&amp;" "&amp;Table1[[#This Row],[Model]],Table13[MFR &amp; MDL],Table13[Tolerance % CW ],"")/100*Table1[[#This Row],[Std Nom]]),"")</f>
        <v/>
      </c>
      <c r="Q1082" s="1" t="e">
        <f>Table1[[#This Row],[High Tol]]-Table1[[#This Row],[Low Tol]]</f>
        <v>#VALUE!</v>
      </c>
      <c r="R1082" s="1">
        <f>2*Table1[[#This Row],[Std Error]]</f>
        <v>0</v>
      </c>
      <c r="S1082" s="1" t="str">
        <f>IF(Table1[[#This Row],[High Tol]]="","N/A",IFERROR(ABS(Table1[[#This Row],[Tol Span]]/Table1[[#This Row],[Error Span]]),"N/A"))</f>
        <v>N/A</v>
      </c>
      <c r="T1082" s="1" t="str">
        <f>IF(OR(Table1[[#This Row],[Low Tol]]="",Table1[[#This Row],[High Tol]]=""),"Needs Analysis",IF(Table1[[#This Row],[Ratio]]&gt;=4,"Not Significant",IF(Table1[[#This Row],[Ratio]]&gt;=2,"Semi-Significant","Significant")))</f>
        <v>Needs Analysis</v>
      </c>
      <c r="W1082" s="1">
        <f>IF(Table1[[#This Row],[Cal Type]]&lt;&gt;"ACCREDITED 17025 WITH UNCERTAINTIES",0,"")</f>
        <v>0</v>
      </c>
      <c r="X1082" s="1" t="str">
        <f>IF(Table1[[#This Row],[DUT Read]]="","N/A",Table1[[#This Row],[Std Error]]+Table1[[#This Row],[DUT Read]]+Table1[[#This Row],[DUT Ucty]])</f>
        <v>N/A</v>
      </c>
      <c r="Y1082" s="1" t="str">
        <f>IF(Table1[[#This Row],[Std Read]]="","N/A",Table1[[#This Row],[Std Read]]+Table1[[#This Row],[Std Ucty]])</f>
        <v>N/A</v>
      </c>
      <c r="Z10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2" s="1" t="str">
        <f>IF(Table1[[#This Row],[Spec Type]]="","N/A",Table1[[#This Row],[Spec Type]])</f>
        <v>±</v>
      </c>
      <c r="AC1082" s="1" t="str">
        <f>IF(Table1[[#This Row],[Spec Type2]]="N/A","N/A",IF(AND(Table1[[#This Row],[DUT Adj Read]]&gt;=Table1[[#This Row],[Low Tol]],Table1[[#This Row],[DUT Adj Read]]&lt;=Table1[[#This Row],[High Tol]]),"Pass","Fail"))</f>
        <v>Fail</v>
      </c>
      <c r="AD1082" s="1" t="str">
        <f>IF(AND(Table1[[#This Row],[Spec Type2]]="N/A",Table1[[#This Row],[DUT Adj Read]]="N/A",Table1[[#This Row],[Std Adj Read]]="N/A"),"N/A",IF(Table1[[#This Row],[DUT Adj Read]]="N/A",IF(Table1[[#This Row],[Std Adj Read]]&gt;Table1[[#This Row],[Low Tol]],"Pass","Fail"),IF(Table1[[#This Row],[DUT Adj Read]]&gt;Table1[[#This Row],[Low Tol]],"Pass","Fail")))</f>
        <v>Pass</v>
      </c>
      <c r="AE1082" s="1" t="str">
        <f>IF(AND(Table1[[#This Row],[Spec Type2]]="N/A",Table1[[#This Row],[DUT Adj Read]]="N/A",Table1[[#This Row],[Std Adj Read]]="N/A"),"N/A",IF(Table1[[#This Row],[DUT Adj Read]]="N/A",IF(Table1[[#This Row],[Std Adj Read]]&lt;Table1[[#This Row],[High Tol]],"Pass","Fail"),IF(Table1[[#This Row],[DUT Adj Read]]&lt;Table1[[#This Row],[High Tol]],"Pass","Fail")))</f>
        <v>Fail</v>
      </c>
      <c r="AF1082" s="1" t="str">
        <f>IF(AND(Table1[[#This Row],[Spec Type2]]="N/A",Table1[[#This Row],[DUT Adj Read]]="N/A",Table1[[#This Row],[Std Adj Read]]="N/A"),"N/A",IF(Table1[[#This Row],[DUT Adj Read]]="N/A",IF(Table1[[#This Row],[Std Adj Read]]&gt;=Table1[[#This Row],[Low Tol]],"Pass","Fail"),IF(Table1[[#This Row],[DUT Adj Read]]&gt;=Table1[[#This Row],[Low Tol]],"Pass","Fail")))</f>
        <v>Pass</v>
      </c>
      <c r="AG1082" s="1" t="str">
        <f>IF(AND(Table1[[#This Row],[Spec Type2]]="N/A",Table1[[#This Row],[DUT Adj Read]]="N/A",Table1[[#This Row],[Std Adj Read]]="N/A"),"N/A",IF(Table1[[#This Row],[DUT Adj Read]]="N/A",IF(Table1[[#This Row],[Std Adj Read]]&lt;=Table1[[#This Row],[High Tol]],"Pass","Fail"),IF(Table1[[#This Row],[DUT Adj Read]]&lt;=Table1[[#This Row],[High Tol]],"Pass","Fail")))</f>
        <v>Fail</v>
      </c>
      <c r="AH10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2" s="1" t="b">
        <v>0</v>
      </c>
      <c r="AN1082" s="1" t="b">
        <v>0</v>
      </c>
      <c r="AO1082" s="1" t="b">
        <v>0</v>
      </c>
    </row>
    <row r="1083" spans="1:41" x14ac:dyDescent="0.25">
      <c r="A1083" s="10"/>
      <c r="B1083" s="10"/>
      <c r="C1083" s="10"/>
      <c r="D1083" s="10"/>
      <c r="E1083" s="10"/>
      <c r="F1083" s="10"/>
      <c r="G1083" s="10"/>
      <c r="H1083" s="10"/>
      <c r="I1083" s="1" t="str">
        <f t="shared" si="48"/>
        <v/>
      </c>
      <c r="J1083" s="1" t="s">
        <v>35</v>
      </c>
      <c r="K1083" s="1" t="str">
        <f t="shared" si="49"/>
        <v/>
      </c>
      <c r="L1083" s="1" t="str">
        <f t="shared" si="50"/>
        <v/>
      </c>
      <c r="M1083" s="1">
        <f>IF(OR(Table1[[#This Row],[Std Nom]]="",Table1[[#This Row],[Std Read]]=""),0,Table1[[#This Row],[Std Nom]]-Table1[[#This Row],[Std Read]])</f>
        <v>0</v>
      </c>
      <c r="N1083" s="1">
        <f>IF(Calculations!$F$5="ACCREDITED 17025 WITH UNCERTAINTIES",$N$10,0)</f>
        <v>0</v>
      </c>
      <c r="O1083" s="1" t="str">
        <f>IFERROR(Table1[[#This Row],[Std Nom]]-(_xlfn.XLOOKUP(Table1[[#This Row],[Manufacturer]]&amp;" "&amp;Table1[[#This Row],[Model]],Table13[MFR &amp; MDL],Table13[Tolerance % CW ],"")/100*Table1[[#This Row],[Std Nom]]),"")</f>
        <v/>
      </c>
      <c r="P1083" s="1" t="str">
        <f>IFERROR(Table1[[#This Row],[Std Nom]]+(_xlfn.XLOOKUP(Table1[[#This Row],[Manufacturer]]&amp;" "&amp;Table1[[#This Row],[Model]],Table13[MFR &amp; MDL],Table13[Tolerance % CW ],"")/100*Table1[[#This Row],[Std Nom]]),"")</f>
        <v/>
      </c>
      <c r="Q1083" s="1" t="e">
        <f>Table1[[#This Row],[High Tol]]-Table1[[#This Row],[Low Tol]]</f>
        <v>#VALUE!</v>
      </c>
      <c r="R1083" s="1">
        <f>2*Table1[[#This Row],[Std Error]]</f>
        <v>0</v>
      </c>
      <c r="S1083" s="1" t="str">
        <f>IF(Table1[[#This Row],[High Tol]]="","N/A",IFERROR(ABS(Table1[[#This Row],[Tol Span]]/Table1[[#This Row],[Error Span]]),"N/A"))</f>
        <v>N/A</v>
      </c>
      <c r="T1083" s="1" t="str">
        <f>IF(OR(Table1[[#This Row],[Low Tol]]="",Table1[[#This Row],[High Tol]]=""),"Needs Analysis",IF(Table1[[#This Row],[Ratio]]&gt;=4,"Not Significant",IF(Table1[[#This Row],[Ratio]]&gt;=2,"Semi-Significant","Significant")))</f>
        <v>Needs Analysis</v>
      </c>
      <c r="W1083" s="1">
        <f>IF(Table1[[#This Row],[Cal Type]]&lt;&gt;"ACCREDITED 17025 WITH UNCERTAINTIES",0,"")</f>
        <v>0</v>
      </c>
      <c r="X1083" s="1" t="str">
        <f>IF(Table1[[#This Row],[DUT Read]]="","N/A",Table1[[#This Row],[Std Error]]+Table1[[#This Row],[DUT Read]]+Table1[[#This Row],[DUT Ucty]])</f>
        <v>N/A</v>
      </c>
      <c r="Y1083" s="1" t="str">
        <f>IF(Table1[[#This Row],[Std Read]]="","N/A",Table1[[#This Row],[Std Read]]+Table1[[#This Row],[Std Ucty]])</f>
        <v>N/A</v>
      </c>
      <c r="Z10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3" s="1" t="str">
        <f>IF(Table1[[#This Row],[Spec Type]]="","N/A",Table1[[#This Row],[Spec Type]])</f>
        <v>±</v>
      </c>
      <c r="AC1083" s="1" t="str">
        <f>IF(Table1[[#This Row],[Spec Type2]]="N/A","N/A",IF(AND(Table1[[#This Row],[DUT Adj Read]]&gt;=Table1[[#This Row],[Low Tol]],Table1[[#This Row],[DUT Adj Read]]&lt;=Table1[[#This Row],[High Tol]]),"Pass","Fail"))</f>
        <v>Fail</v>
      </c>
      <c r="AD1083" s="1" t="str">
        <f>IF(AND(Table1[[#This Row],[Spec Type2]]="N/A",Table1[[#This Row],[DUT Adj Read]]="N/A",Table1[[#This Row],[Std Adj Read]]="N/A"),"N/A",IF(Table1[[#This Row],[DUT Adj Read]]="N/A",IF(Table1[[#This Row],[Std Adj Read]]&gt;Table1[[#This Row],[Low Tol]],"Pass","Fail"),IF(Table1[[#This Row],[DUT Adj Read]]&gt;Table1[[#This Row],[Low Tol]],"Pass","Fail")))</f>
        <v>Pass</v>
      </c>
      <c r="AE1083" s="1" t="str">
        <f>IF(AND(Table1[[#This Row],[Spec Type2]]="N/A",Table1[[#This Row],[DUT Adj Read]]="N/A",Table1[[#This Row],[Std Adj Read]]="N/A"),"N/A",IF(Table1[[#This Row],[DUT Adj Read]]="N/A",IF(Table1[[#This Row],[Std Adj Read]]&lt;Table1[[#This Row],[High Tol]],"Pass","Fail"),IF(Table1[[#This Row],[DUT Adj Read]]&lt;Table1[[#This Row],[High Tol]],"Pass","Fail")))</f>
        <v>Fail</v>
      </c>
      <c r="AF1083" s="1" t="str">
        <f>IF(AND(Table1[[#This Row],[Spec Type2]]="N/A",Table1[[#This Row],[DUT Adj Read]]="N/A",Table1[[#This Row],[Std Adj Read]]="N/A"),"N/A",IF(Table1[[#This Row],[DUT Adj Read]]="N/A",IF(Table1[[#This Row],[Std Adj Read]]&gt;=Table1[[#This Row],[Low Tol]],"Pass","Fail"),IF(Table1[[#This Row],[DUT Adj Read]]&gt;=Table1[[#This Row],[Low Tol]],"Pass","Fail")))</f>
        <v>Pass</v>
      </c>
      <c r="AG1083" s="1" t="str">
        <f>IF(AND(Table1[[#This Row],[Spec Type2]]="N/A",Table1[[#This Row],[DUT Adj Read]]="N/A",Table1[[#This Row],[Std Adj Read]]="N/A"),"N/A",IF(Table1[[#This Row],[DUT Adj Read]]="N/A",IF(Table1[[#This Row],[Std Adj Read]]&lt;=Table1[[#This Row],[High Tol]],"Pass","Fail"),IF(Table1[[#This Row],[DUT Adj Read]]&lt;=Table1[[#This Row],[High Tol]],"Pass","Fail")))</f>
        <v>Fail</v>
      </c>
      <c r="AH10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3" s="1" t="b">
        <v>0</v>
      </c>
      <c r="AN1083" s="1" t="b">
        <v>0</v>
      </c>
      <c r="AO1083" s="1" t="b">
        <v>0</v>
      </c>
    </row>
    <row r="1084" spans="1:41" x14ac:dyDescent="0.25">
      <c r="A1084" s="10"/>
      <c r="B1084" s="10"/>
      <c r="C1084" s="10"/>
      <c r="D1084" s="10"/>
      <c r="E1084" s="10"/>
      <c r="F1084" s="10"/>
      <c r="G1084" s="10"/>
      <c r="H1084" s="10"/>
      <c r="I1084" s="1" t="str">
        <f t="shared" si="48"/>
        <v/>
      </c>
      <c r="J1084" s="1" t="s">
        <v>35</v>
      </c>
      <c r="K1084" s="1" t="str">
        <f t="shared" si="49"/>
        <v/>
      </c>
      <c r="L1084" s="1" t="str">
        <f t="shared" si="50"/>
        <v/>
      </c>
      <c r="M1084" s="1">
        <f>IF(OR(Table1[[#This Row],[Std Nom]]="",Table1[[#This Row],[Std Read]]=""),0,Table1[[#This Row],[Std Nom]]-Table1[[#This Row],[Std Read]])</f>
        <v>0</v>
      </c>
      <c r="N1084" s="1">
        <f>IF(Calculations!$F$5="ACCREDITED 17025 WITH UNCERTAINTIES",$N$10,0)</f>
        <v>0</v>
      </c>
      <c r="O1084" s="1" t="str">
        <f>IFERROR(Table1[[#This Row],[Std Nom]]-(_xlfn.XLOOKUP(Table1[[#This Row],[Manufacturer]]&amp;" "&amp;Table1[[#This Row],[Model]],Table13[MFR &amp; MDL],Table13[Tolerance % CW ],"")/100*Table1[[#This Row],[Std Nom]]),"")</f>
        <v/>
      </c>
      <c r="P1084" s="1" t="str">
        <f>IFERROR(Table1[[#This Row],[Std Nom]]+(_xlfn.XLOOKUP(Table1[[#This Row],[Manufacturer]]&amp;" "&amp;Table1[[#This Row],[Model]],Table13[MFR &amp; MDL],Table13[Tolerance % CW ],"")/100*Table1[[#This Row],[Std Nom]]),"")</f>
        <v/>
      </c>
      <c r="Q1084" s="1" t="e">
        <f>Table1[[#This Row],[High Tol]]-Table1[[#This Row],[Low Tol]]</f>
        <v>#VALUE!</v>
      </c>
      <c r="R1084" s="1">
        <f>2*Table1[[#This Row],[Std Error]]</f>
        <v>0</v>
      </c>
      <c r="S1084" s="1" t="str">
        <f>IF(Table1[[#This Row],[High Tol]]="","N/A",IFERROR(ABS(Table1[[#This Row],[Tol Span]]/Table1[[#This Row],[Error Span]]),"N/A"))</f>
        <v>N/A</v>
      </c>
      <c r="T1084" s="1" t="str">
        <f>IF(OR(Table1[[#This Row],[Low Tol]]="",Table1[[#This Row],[High Tol]]=""),"Needs Analysis",IF(Table1[[#This Row],[Ratio]]&gt;=4,"Not Significant",IF(Table1[[#This Row],[Ratio]]&gt;=2,"Semi-Significant","Significant")))</f>
        <v>Needs Analysis</v>
      </c>
      <c r="W1084" s="1">
        <f>IF(Table1[[#This Row],[Cal Type]]&lt;&gt;"ACCREDITED 17025 WITH UNCERTAINTIES",0,"")</f>
        <v>0</v>
      </c>
      <c r="X1084" s="1" t="str">
        <f>IF(Table1[[#This Row],[DUT Read]]="","N/A",Table1[[#This Row],[Std Error]]+Table1[[#This Row],[DUT Read]]+Table1[[#This Row],[DUT Ucty]])</f>
        <v>N/A</v>
      </c>
      <c r="Y1084" s="1" t="str">
        <f>IF(Table1[[#This Row],[Std Read]]="","N/A",Table1[[#This Row],[Std Read]]+Table1[[#This Row],[Std Ucty]])</f>
        <v>N/A</v>
      </c>
      <c r="Z10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4" s="1" t="str">
        <f>IF(Table1[[#This Row],[Spec Type]]="","N/A",Table1[[#This Row],[Spec Type]])</f>
        <v>±</v>
      </c>
      <c r="AC1084" s="1" t="str">
        <f>IF(Table1[[#This Row],[Spec Type2]]="N/A","N/A",IF(AND(Table1[[#This Row],[DUT Adj Read]]&gt;=Table1[[#This Row],[Low Tol]],Table1[[#This Row],[DUT Adj Read]]&lt;=Table1[[#This Row],[High Tol]]),"Pass","Fail"))</f>
        <v>Fail</v>
      </c>
      <c r="AD1084" s="1" t="str">
        <f>IF(AND(Table1[[#This Row],[Spec Type2]]="N/A",Table1[[#This Row],[DUT Adj Read]]="N/A",Table1[[#This Row],[Std Adj Read]]="N/A"),"N/A",IF(Table1[[#This Row],[DUT Adj Read]]="N/A",IF(Table1[[#This Row],[Std Adj Read]]&gt;Table1[[#This Row],[Low Tol]],"Pass","Fail"),IF(Table1[[#This Row],[DUT Adj Read]]&gt;Table1[[#This Row],[Low Tol]],"Pass","Fail")))</f>
        <v>Pass</v>
      </c>
      <c r="AE1084" s="1" t="str">
        <f>IF(AND(Table1[[#This Row],[Spec Type2]]="N/A",Table1[[#This Row],[DUT Adj Read]]="N/A",Table1[[#This Row],[Std Adj Read]]="N/A"),"N/A",IF(Table1[[#This Row],[DUT Adj Read]]="N/A",IF(Table1[[#This Row],[Std Adj Read]]&lt;Table1[[#This Row],[High Tol]],"Pass","Fail"),IF(Table1[[#This Row],[DUT Adj Read]]&lt;Table1[[#This Row],[High Tol]],"Pass","Fail")))</f>
        <v>Fail</v>
      </c>
      <c r="AF1084" s="1" t="str">
        <f>IF(AND(Table1[[#This Row],[Spec Type2]]="N/A",Table1[[#This Row],[DUT Adj Read]]="N/A",Table1[[#This Row],[Std Adj Read]]="N/A"),"N/A",IF(Table1[[#This Row],[DUT Adj Read]]="N/A",IF(Table1[[#This Row],[Std Adj Read]]&gt;=Table1[[#This Row],[Low Tol]],"Pass","Fail"),IF(Table1[[#This Row],[DUT Adj Read]]&gt;=Table1[[#This Row],[Low Tol]],"Pass","Fail")))</f>
        <v>Pass</v>
      </c>
      <c r="AG1084" s="1" t="str">
        <f>IF(AND(Table1[[#This Row],[Spec Type2]]="N/A",Table1[[#This Row],[DUT Adj Read]]="N/A",Table1[[#This Row],[Std Adj Read]]="N/A"),"N/A",IF(Table1[[#This Row],[DUT Adj Read]]="N/A",IF(Table1[[#This Row],[Std Adj Read]]&lt;=Table1[[#This Row],[High Tol]],"Pass","Fail"),IF(Table1[[#This Row],[DUT Adj Read]]&lt;=Table1[[#This Row],[High Tol]],"Pass","Fail")))</f>
        <v>Fail</v>
      </c>
      <c r="AH10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4" s="1" t="b">
        <v>0</v>
      </c>
      <c r="AN1084" s="1" t="b">
        <v>0</v>
      </c>
      <c r="AO1084" s="1" t="b">
        <v>0</v>
      </c>
    </row>
    <row r="1085" spans="1:41" x14ac:dyDescent="0.25">
      <c r="A1085" s="10"/>
      <c r="B1085" s="10"/>
      <c r="C1085" s="10"/>
      <c r="D1085" s="10"/>
      <c r="E1085" s="10"/>
      <c r="F1085" s="10"/>
      <c r="G1085" s="10"/>
      <c r="H1085" s="10"/>
      <c r="I1085" s="1" t="str">
        <f t="shared" si="48"/>
        <v/>
      </c>
      <c r="J1085" s="1" t="s">
        <v>35</v>
      </c>
      <c r="K1085" s="1" t="str">
        <f t="shared" si="49"/>
        <v/>
      </c>
      <c r="L1085" s="1" t="str">
        <f t="shared" si="50"/>
        <v/>
      </c>
      <c r="M1085" s="1">
        <f>IF(OR(Table1[[#This Row],[Std Nom]]="",Table1[[#This Row],[Std Read]]=""),0,Table1[[#This Row],[Std Nom]]-Table1[[#This Row],[Std Read]])</f>
        <v>0</v>
      </c>
      <c r="N1085" s="1">
        <f>IF(Calculations!$F$5="ACCREDITED 17025 WITH UNCERTAINTIES",$N$10,0)</f>
        <v>0</v>
      </c>
      <c r="O1085" s="1" t="str">
        <f>IFERROR(Table1[[#This Row],[Std Nom]]-(_xlfn.XLOOKUP(Table1[[#This Row],[Manufacturer]]&amp;" "&amp;Table1[[#This Row],[Model]],Table13[MFR &amp; MDL],Table13[Tolerance % CW ],"")/100*Table1[[#This Row],[Std Nom]]),"")</f>
        <v/>
      </c>
      <c r="P1085" s="1" t="str">
        <f>IFERROR(Table1[[#This Row],[Std Nom]]+(_xlfn.XLOOKUP(Table1[[#This Row],[Manufacturer]]&amp;" "&amp;Table1[[#This Row],[Model]],Table13[MFR &amp; MDL],Table13[Tolerance % CW ],"")/100*Table1[[#This Row],[Std Nom]]),"")</f>
        <v/>
      </c>
      <c r="Q1085" s="1" t="e">
        <f>Table1[[#This Row],[High Tol]]-Table1[[#This Row],[Low Tol]]</f>
        <v>#VALUE!</v>
      </c>
      <c r="R1085" s="1">
        <f>2*Table1[[#This Row],[Std Error]]</f>
        <v>0</v>
      </c>
      <c r="S1085" s="1" t="str">
        <f>IF(Table1[[#This Row],[High Tol]]="","N/A",IFERROR(ABS(Table1[[#This Row],[Tol Span]]/Table1[[#This Row],[Error Span]]),"N/A"))</f>
        <v>N/A</v>
      </c>
      <c r="T1085" s="1" t="str">
        <f>IF(OR(Table1[[#This Row],[Low Tol]]="",Table1[[#This Row],[High Tol]]=""),"Needs Analysis",IF(Table1[[#This Row],[Ratio]]&gt;=4,"Not Significant",IF(Table1[[#This Row],[Ratio]]&gt;=2,"Semi-Significant","Significant")))</f>
        <v>Needs Analysis</v>
      </c>
      <c r="W1085" s="1">
        <f>IF(Table1[[#This Row],[Cal Type]]&lt;&gt;"ACCREDITED 17025 WITH UNCERTAINTIES",0,"")</f>
        <v>0</v>
      </c>
      <c r="X1085" s="1" t="str">
        <f>IF(Table1[[#This Row],[DUT Read]]="","N/A",Table1[[#This Row],[Std Error]]+Table1[[#This Row],[DUT Read]]+Table1[[#This Row],[DUT Ucty]])</f>
        <v>N/A</v>
      </c>
      <c r="Y1085" s="1" t="str">
        <f>IF(Table1[[#This Row],[Std Read]]="","N/A",Table1[[#This Row],[Std Read]]+Table1[[#This Row],[Std Ucty]])</f>
        <v>N/A</v>
      </c>
      <c r="Z10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5" s="1" t="str">
        <f>IF(Table1[[#This Row],[Spec Type]]="","N/A",Table1[[#This Row],[Spec Type]])</f>
        <v>±</v>
      </c>
      <c r="AC1085" s="1" t="str">
        <f>IF(Table1[[#This Row],[Spec Type2]]="N/A","N/A",IF(AND(Table1[[#This Row],[DUT Adj Read]]&gt;=Table1[[#This Row],[Low Tol]],Table1[[#This Row],[DUT Adj Read]]&lt;=Table1[[#This Row],[High Tol]]),"Pass","Fail"))</f>
        <v>Fail</v>
      </c>
      <c r="AD1085" s="1" t="str">
        <f>IF(AND(Table1[[#This Row],[Spec Type2]]="N/A",Table1[[#This Row],[DUT Adj Read]]="N/A",Table1[[#This Row],[Std Adj Read]]="N/A"),"N/A",IF(Table1[[#This Row],[DUT Adj Read]]="N/A",IF(Table1[[#This Row],[Std Adj Read]]&gt;Table1[[#This Row],[Low Tol]],"Pass","Fail"),IF(Table1[[#This Row],[DUT Adj Read]]&gt;Table1[[#This Row],[Low Tol]],"Pass","Fail")))</f>
        <v>Pass</v>
      </c>
      <c r="AE1085" s="1" t="str">
        <f>IF(AND(Table1[[#This Row],[Spec Type2]]="N/A",Table1[[#This Row],[DUT Adj Read]]="N/A",Table1[[#This Row],[Std Adj Read]]="N/A"),"N/A",IF(Table1[[#This Row],[DUT Adj Read]]="N/A",IF(Table1[[#This Row],[Std Adj Read]]&lt;Table1[[#This Row],[High Tol]],"Pass","Fail"),IF(Table1[[#This Row],[DUT Adj Read]]&lt;Table1[[#This Row],[High Tol]],"Pass","Fail")))</f>
        <v>Fail</v>
      </c>
      <c r="AF1085" s="1" t="str">
        <f>IF(AND(Table1[[#This Row],[Spec Type2]]="N/A",Table1[[#This Row],[DUT Adj Read]]="N/A",Table1[[#This Row],[Std Adj Read]]="N/A"),"N/A",IF(Table1[[#This Row],[DUT Adj Read]]="N/A",IF(Table1[[#This Row],[Std Adj Read]]&gt;=Table1[[#This Row],[Low Tol]],"Pass","Fail"),IF(Table1[[#This Row],[DUT Adj Read]]&gt;=Table1[[#This Row],[Low Tol]],"Pass","Fail")))</f>
        <v>Pass</v>
      </c>
      <c r="AG1085" s="1" t="str">
        <f>IF(AND(Table1[[#This Row],[Spec Type2]]="N/A",Table1[[#This Row],[DUT Adj Read]]="N/A",Table1[[#This Row],[Std Adj Read]]="N/A"),"N/A",IF(Table1[[#This Row],[DUT Adj Read]]="N/A",IF(Table1[[#This Row],[Std Adj Read]]&lt;=Table1[[#This Row],[High Tol]],"Pass","Fail"),IF(Table1[[#This Row],[DUT Adj Read]]&lt;=Table1[[#This Row],[High Tol]],"Pass","Fail")))</f>
        <v>Fail</v>
      </c>
      <c r="AH10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5" s="1" t="b">
        <v>0</v>
      </c>
      <c r="AN1085" s="1" t="b">
        <v>0</v>
      </c>
      <c r="AO1085" s="1" t="b">
        <v>0</v>
      </c>
    </row>
    <row r="1086" spans="1:41" x14ac:dyDescent="0.25">
      <c r="A1086" s="10"/>
      <c r="B1086" s="10"/>
      <c r="C1086" s="10"/>
      <c r="D1086" s="10"/>
      <c r="E1086" s="10"/>
      <c r="F1086" s="10"/>
      <c r="G1086" s="10"/>
      <c r="H1086" s="10"/>
      <c r="I1086" s="1" t="str">
        <f t="shared" si="48"/>
        <v/>
      </c>
      <c r="J1086" s="1" t="s">
        <v>35</v>
      </c>
      <c r="K1086" s="1" t="str">
        <f t="shared" si="49"/>
        <v/>
      </c>
      <c r="L1086" s="1" t="str">
        <f t="shared" si="50"/>
        <v/>
      </c>
      <c r="M1086" s="1">
        <f>IF(OR(Table1[[#This Row],[Std Nom]]="",Table1[[#This Row],[Std Read]]=""),0,Table1[[#This Row],[Std Nom]]-Table1[[#This Row],[Std Read]])</f>
        <v>0</v>
      </c>
      <c r="N1086" s="1">
        <f>IF(Calculations!$F$5="ACCREDITED 17025 WITH UNCERTAINTIES",$N$10,0)</f>
        <v>0</v>
      </c>
      <c r="O1086" s="1" t="str">
        <f>IFERROR(Table1[[#This Row],[Std Nom]]-(_xlfn.XLOOKUP(Table1[[#This Row],[Manufacturer]]&amp;" "&amp;Table1[[#This Row],[Model]],Table13[MFR &amp; MDL],Table13[Tolerance % CW ],"")/100*Table1[[#This Row],[Std Nom]]),"")</f>
        <v/>
      </c>
      <c r="P1086" s="1" t="str">
        <f>IFERROR(Table1[[#This Row],[Std Nom]]+(_xlfn.XLOOKUP(Table1[[#This Row],[Manufacturer]]&amp;" "&amp;Table1[[#This Row],[Model]],Table13[MFR &amp; MDL],Table13[Tolerance % CW ],"")/100*Table1[[#This Row],[Std Nom]]),"")</f>
        <v/>
      </c>
      <c r="Q1086" s="1" t="e">
        <f>Table1[[#This Row],[High Tol]]-Table1[[#This Row],[Low Tol]]</f>
        <v>#VALUE!</v>
      </c>
      <c r="R1086" s="1">
        <f>2*Table1[[#This Row],[Std Error]]</f>
        <v>0</v>
      </c>
      <c r="S1086" s="1" t="str">
        <f>IF(Table1[[#This Row],[High Tol]]="","N/A",IFERROR(ABS(Table1[[#This Row],[Tol Span]]/Table1[[#This Row],[Error Span]]),"N/A"))</f>
        <v>N/A</v>
      </c>
      <c r="T1086" s="1" t="str">
        <f>IF(OR(Table1[[#This Row],[Low Tol]]="",Table1[[#This Row],[High Tol]]=""),"Needs Analysis",IF(Table1[[#This Row],[Ratio]]&gt;=4,"Not Significant",IF(Table1[[#This Row],[Ratio]]&gt;=2,"Semi-Significant","Significant")))</f>
        <v>Needs Analysis</v>
      </c>
      <c r="W1086" s="1">
        <f>IF(Table1[[#This Row],[Cal Type]]&lt;&gt;"ACCREDITED 17025 WITH UNCERTAINTIES",0,"")</f>
        <v>0</v>
      </c>
      <c r="X1086" s="1" t="str">
        <f>IF(Table1[[#This Row],[DUT Read]]="","N/A",Table1[[#This Row],[Std Error]]+Table1[[#This Row],[DUT Read]]+Table1[[#This Row],[DUT Ucty]])</f>
        <v>N/A</v>
      </c>
      <c r="Y1086" s="1" t="str">
        <f>IF(Table1[[#This Row],[Std Read]]="","N/A",Table1[[#This Row],[Std Read]]+Table1[[#This Row],[Std Ucty]])</f>
        <v>N/A</v>
      </c>
      <c r="Z10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6" s="1" t="str">
        <f>IF(Table1[[#This Row],[Spec Type]]="","N/A",Table1[[#This Row],[Spec Type]])</f>
        <v>±</v>
      </c>
      <c r="AC1086" s="1" t="str">
        <f>IF(Table1[[#This Row],[Spec Type2]]="N/A","N/A",IF(AND(Table1[[#This Row],[DUT Adj Read]]&gt;=Table1[[#This Row],[Low Tol]],Table1[[#This Row],[DUT Adj Read]]&lt;=Table1[[#This Row],[High Tol]]),"Pass","Fail"))</f>
        <v>Fail</v>
      </c>
      <c r="AD1086" s="1" t="str">
        <f>IF(AND(Table1[[#This Row],[Spec Type2]]="N/A",Table1[[#This Row],[DUT Adj Read]]="N/A",Table1[[#This Row],[Std Adj Read]]="N/A"),"N/A",IF(Table1[[#This Row],[DUT Adj Read]]="N/A",IF(Table1[[#This Row],[Std Adj Read]]&gt;Table1[[#This Row],[Low Tol]],"Pass","Fail"),IF(Table1[[#This Row],[DUT Adj Read]]&gt;Table1[[#This Row],[Low Tol]],"Pass","Fail")))</f>
        <v>Pass</v>
      </c>
      <c r="AE1086" s="1" t="str">
        <f>IF(AND(Table1[[#This Row],[Spec Type2]]="N/A",Table1[[#This Row],[DUT Adj Read]]="N/A",Table1[[#This Row],[Std Adj Read]]="N/A"),"N/A",IF(Table1[[#This Row],[DUT Adj Read]]="N/A",IF(Table1[[#This Row],[Std Adj Read]]&lt;Table1[[#This Row],[High Tol]],"Pass","Fail"),IF(Table1[[#This Row],[DUT Adj Read]]&lt;Table1[[#This Row],[High Tol]],"Pass","Fail")))</f>
        <v>Fail</v>
      </c>
      <c r="AF1086" s="1" t="str">
        <f>IF(AND(Table1[[#This Row],[Spec Type2]]="N/A",Table1[[#This Row],[DUT Adj Read]]="N/A",Table1[[#This Row],[Std Adj Read]]="N/A"),"N/A",IF(Table1[[#This Row],[DUT Adj Read]]="N/A",IF(Table1[[#This Row],[Std Adj Read]]&gt;=Table1[[#This Row],[Low Tol]],"Pass","Fail"),IF(Table1[[#This Row],[DUT Adj Read]]&gt;=Table1[[#This Row],[Low Tol]],"Pass","Fail")))</f>
        <v>Pass</v>
      </c>
      <c r="AG1086" s="1" t="str">
        <f>IF(AND(Table1[[#This Row],[Spec Type2]]="N/A",Table1[[#This Row],[DUT Adj Read]]="N/A",Table1[[#This Row],[Std Adj Read]]="N/A"),"N/A",IF(Table1[[#This Row],[DUT Adj Read]]="N/A",IF(Table1[[#This Row],[Std Adj Read]]&lt;=Table1[[#This Row],[High Tol]],"Pass","Fail"),IF(Table1[[#This Row],[DUT Adj Read]]&lt;=Table1[[#This Row],[High Tol]],"Pass","Fail")))</f>
        <v>Fail</v>
      </c>
      <c r="AH10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6" s="1" t="b">
        <v>0</v>
      </c>
      <c r="AN1086" s="1" t="b">
        <v>0</v>
      </c>
      <c r="AO1086" s="1" t="b">
        <v>0</v>
      </c>
    </row>
    <row r="1087" spans="1:41" x14ac:dyDescent="0.25">
      <c r="A1087" s="10"/>
      <c r="B1087" s="10"/>
      <c r="C1087" s="10"/>
      <c r="D1087" s="10"/>
      <c r="E1087" s="10"/>
      <c r="F1087" s="10"/>
      <c r="G1087" s="10"/>
      <c r="H1087" s="10"/>
      <c r="I1087" s="1" t="str">
        <f t="shared" si="48"/>
        <v/>
      </c>
      <c r="J1087" s="1" t="s">
        <v>35</v>
      </c>
      <c r="K1087" s="1" t="str">
        <f t="shared" si="49"/>
        <v/>
      </c>
      <c r="L1087" s="1" t="str">
        <f t="shared" si="50"/>
        <v/>
      </c>
      <c r="M1087" s="1">
        <f>IF(OR(Table1[[#This Row],[Std Nom]]="",Table1[[#This Row],[Std Read]]=""),0,Table1[[#This Row],[Std Nom]]-Table1[[#This Row],[Std Read]])</f>
        <v>0</v>
      </c>
      <c r="N1087" s="1">
        <f>IF(Calculations!$F$5="ACCREDITED 17025 WITH UNCERTAINTIES",$N$10,0)</f>
        <v>0</v>
      </c>
      <c r="O1087" s="1" t="str">
        <f>IFERROR(Table1[[#This Row],[Std Nom]]-(_xlfn.XLOOKUP(Table1[[#This Row],[Manufacturer]]&amp;" "&amp;Table1[[#This Row],[Model]],Table13[MFR &amp; MDL],Table13[Tolerance % CW ],"")/100*Table1[[#This Row],[Std Nom]]),"")</f>
        <v/>
      </c>
      <c r="P1087" s="1" t="str">
        <f>IFERROR(Table1[[#This Row],[Std Nom]]+(_xlfn.XLOOKUP(Table1[[#This Row],[Manufacturer]]&amp;" "&amp;Table1[[#This Row],[Model]],Table13[MFR &amp; MDL],Table13[Tolerance % CW ],"")/100*Table1[[#This Row],[Std Nom]]),"")</f>
        <v/>
      </c>
      <c r="Q1087" s="1" t="e">
        <f>Table1[[#This Row],[High Tol]]-Table1[[#This Row],[Low Tol]]</f>
        <v>#VALUE!</v>
      </c>
      <c r="R1087" s="1">
        <f>2*Table1[[#This Row],[Std Error]]</f>
        <v>0</v>
      </c>
      <c r="S1087" s="1" t="str">
        <f>IF(Table1[[#This Row],[High Tol]]="","N/A",IFERROR(ABS(Table1[[#This Row],[Tol Span]]/Table1[[#This Row],[Error Span]]),"N/A"))</f>
        <v>N/A</v>
      </c>
      <c r="T1087" s="1" t="str">
        <f>IF(OR(Table1[[#This Row],[Low Tol]]="",Table1[[#This Row],[High Tol]]=""),"Needs Analysis",IF(Table1[[#This Row],[Ratio]]&gt;=4,"Not Significant",IF(Table1[[#This Row],[Ratio]]&gt;=2,"Semi-Significant","Significant")))</f>
        <v>Needs Analysis</v>
      </c>
      <c r="W1087" s="1">
        <f>IF(Table1[[#This Row],[Cal Type]]&lt;&gt;"ACCREDITED 17025 WITH UNCERTAINTIES",0,"")</f>
        <v>0</v>
      </c>
      <c r="X1087" s="1" t="str">
        <f>IF(Table1[[#This Row],[DUT Read]]="","N/A",Table1[[#This Row],[Std Error]]+Table1[[#This Row],[DUT Read]]+Table1[[#This Row],[DUT Ucty]])</f>
        <v>N/A</v>
      </c>
      <c r="Y1087" s="1" t="str">
        <f>IF(Table1[[#This Row],[Std Read]]="","N/A",Table1[[#This Row],[Std Read]]+Table1[[#This Row],[Std Ucty]])</f>
        <v>N/A</v>
      </c>
      <c r="Z10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7" s="1" t="str">
        <f>IF(Table1[[#This Row],[Spec Type]]="","N/A",Table1[[#This Row],[Spec Type]])</f>
        <v>±</v>
      </c>
      <c r="AC1087" s="1" t="str">
        <f>IF(Table1[[#This Row],[Spec Type2]]="N/A","N/A",IF(AND(Table1[[#This Row],[DUT Adj Read]]&gt;=Table1[[#This Row],[Low Tol]],Table1[[#This Row],[DUT Adj Read]]&lt;=Table1[[#This Row],[High Tol]]),"Pass","Fail"))</f>
        <v>Fail</v>
      </c>
      <c r="AD1087" s="1" t="str">
        <f>IF(AND(Table1[[#This Row],[Spec Type2]]="N/A",Table1[[#This Row],[DUT Adj Read]]="N/A",Table1[[#This Row],[Std Adj Read]]="N/A"),"N/A",IF(Table1[[#This Row],[DUT Adj Read]]="N/A",IF(Table1[[#This Row],[Std Adj Read]]&gt;Table1[[#This Row],[Low Tol]],"Pass","Fail"),IF(Table1[[#This Row],[DUT Adj Read]]&gt;Table1[[#This Row],[Low Tol]],"Pass","Fail")))</f>
        <v>Pass</v>
      </c>
      <c r="AE1087" s="1" t="str">
        <f>IF(AND(Table1[[#This Row],[Spec Type2]]="N/A",Table1[[#This Row],[DUT Adj Read]]="N/A",Table1[[#This Row],[Std Adj Read]]="N/A"),"N/A",IF(Table1[[#This Row],[DUT Adj Read]]="N/A",IF(Table1[[#This Row],[Std Adj Read]]&lt;Table1[[#This Row],[High Tol]],"Pass","Fail"),IF(Table1[[#This Row],[DUT Adj Read]]&lt;Table1[[#This Row],[High Tol]],"Pass","Fail")))</f>
        <v>Fail</v>
      </c>
      <c r="AF1087" s="1" t="str">
        <f>IF(AND(Table1[[#This Row],[Spec Type2]]="N/A",Table1[[#This Row],[DUT Adj Read]]="N/A",Table1[[#This Row],[Std Adj Read]]="N/A"),"N/A",IF(Table1[[#This Row],[DUT Adj Read]]="N/A",IF(Table1[[#This Row],[Std Adj Read]]&gt;=Table1[[#This Row],[Low Tol]],"Pass","Fail"),IF(Table1[[#This Row],[DUT Adj Read]]&gt;=Table1[[#This Row],[Low Tol]],"Pass","Fail")))</f>
        <v>Pass</v>
      </c>
      <c r="AG1087" s="1" t="str">
        <f>IF(AND(Table1[[#This Row],[Spec Type2]]="N/A",Table1[[#This Row],[DUT Adj Read]]="N/A",Table1[[#This Row],[Std Adj Read]]="N/A"),"N/A",IF(Table1[[#This Row],[DUT Adj Read]]="N/A",IF(Table1[[#This Row],[Std Adj Read]]&lt;=Table1[[#This Row],[High Tol]],"Pass","Fail"),IF(Table1[[#This Row],[DUT Adj Read]]&lt;=Table1[[#This Row],[High Tol]],"Pass","Fail")))</f>
        <v>Fail</v>
      </c>
      <c r="AH10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7" s="1" t="b">
        <v>0</v>
      </c>
      <c r="AN1087" s="1" t="b">
        <v>0</v>
      </c>
      <c r="AO1087" s="1" t="b">
        <v>0</v>
      </c>
    </row>
    <row r="1088" spans="1:41" x14ac:dyDescent="0.25">
      <c r="A1088" s="10"/>
      <c r="B1088" s="10"/>
      <c r="C1088" s="10"/>
      <c r="D1088" s="10"/>
      <c r="E1088" s="10"/>
      <c r="F1088" s="10"/>
      <c r="G1088" s="10"/>
      <c r="H1088" s="10"/>
      <c r="I1088" s="1" t="str">
        <f t="shared" si="48"/>
        <v/>
      </c>
      <c r="J1088" s="1" t="s">
        <v>35</v>
      </c>
      <c r="K1088" s="1" t="str">
        <f t="shared" si="49"/>
        <v/>
      </c>
      <c r="L1088" s="1" t="str">
        <f t="shared" si="50"/>
        <v/>
      </c>
      <c r="M1088" s="1">
        <f>IF(OR(Table1[[#This Row],[Std Nom]]="",Table1[[#This Row],[Std Read]]=""),0,Table1[[#This Row],[Std Nom]]-Table1[[#This Row],[Std Read]])</f>
        <v>0</v>
      </c>
      <c r="N1088" s="1">
        <f>IF(Calculations!$F$5="ACCREDITED 17025 WITH UNCERTAINTIES",$N$10,0)</f>
        <v>0</v>
      </c>
      <c r="O1088" s="1" t="str">
        <f>IFERROR(Table1[[#This Row],[Std Nom]]-(_xlfn.XLOOKUP(Table1[[#This Row],[Manufacturer]]&amp;" "&amp;Table1[[#This Row],[Model]],Table13[MFR &amp; MDL],Table13[Tolerance % CW ],"")/100*Table1[[#This Row],[Std Nom]]),"")</f>
        <v/>
      </c>
      <c r="P1088" s="1" t="str">
        <f>IFERROR(Table1[[#This Row],[Std Nom]]+(_xlfn.XLOOKUP(Table1[[#This Row],[Manufacturer]]&amp;" "&amp;Table1[[#This Row],[Model]],Table13[MFR &amp; MDL],Table13[Tolerance % CW ],"")/100*Table1[[#This Row],[Std Nom]]),"")</f>
        <v/>
      </c>
      <c r="Q1088" s="1" t="e">
        <f>Table1[[#This Row],[High Tol]]-Table1[[#This Row],[Low Tol]]</f>
        <v>#VALUE!</v>
      </c>
      <c r="R1088" s="1">
        <f>2*Table1[[#This Row],[Std Error]]</f>
        <v>0</v>
      </c>
      <c r="S1088" s="1" t="str">
        <f>IF(Table1[[#This Row],[High Tol]]="","N/A",IFERROR(ABS(Table1[[#This Row],[Tol Span]]/Table1[[#This Row],[Error Span]]),"N/A"))</f>
        <v>N/A</v>
      </c>
      <c r="T1088" s="1" t="str">
        <f>IF(OR(Table1[[#This Row],[Low Tol]]="",Table1[[#This Row],[High Tol]]=""),"Needs Analysis",IF(Table1[[#This Row],[Ratio]]&gt;=4,"Not Significant",IF(Table1[[#This Row],[Ratio]]&gt;=2,"Semi-Significant","Significant")))</f>
        <v>Needs Analysis</v>
      </c>
      <c r="W1088" s="1">
        <f>IF(Table1[[#This Row],[Cal Type]]&lt;&gt;"ACCREDITED 17025 WITH UNCERTAINTIES",0,"")</f>
        <v>0</v>
      </c>
      <c r="X1088" s="1" t="str">
        <f>IF(Table1[[#This Row],[DUT Read]]="","N/A",Table1[[#This Row],[Std Error]]+Table1[[#This Row],[DUT Read]]+Table1[[#This Row],[DUT Ucty]])</f>
        <v>N/A</v>
      </c>
      <c r="Y1088" s="1" t="str">
        <f>IF(Table1[[#This Row],[Std Read]]="","N/A",Table1[[#This Row],[Std Read]]+Table1[[#This Row],[Std Ucty]])</f>
        <v>N/A</v>
      </c>
      <c r="Z10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8" s="1" t="str">
        <f>IF(Table1[[#This Row],[Spec Type]]="","N/A",Table1[[#This Row],[Spec Type]])</f>
        <v>±</v>
      </c>
      <c r="AC1088" s="1" t="str">
        <f>IF(Table1[[#This Row],[Spec Type2]]="N/A","N/A",IF(AND(Table1[[#This Row],[DUT Adj Read]]&gt;=Table1[[#This Row],[Low Tol]],Table1[[#This Row],[DUT Adj Read]]&lt;=Table1[[#This Row],[High Tol]]),"Pass","Fail"))</f>
        <v>Fail</v>
      </c>
      <c r="AD1088" s="1" t="str">
        <f>IF(AND(Table1[[#This Row],[Spec Type2]]="N/A",Table1[[#This Row],[DUT Adj Read]]="N/A",Table1[[#This Row],[Std Adj Read]]="N/A"),"N/A",IF(Table1[[#This Row],[DUT Adj Read]]="N/A",IF(Table1[[#This Row],[Std Adj Read]]&gt;Table1[[#This Row],[Low Tol]],"Pass","Fail"),IF(Table1[[#This Row],[DUT Adj Read]]&gt;Table1[[#This Row],[Low Tol]],"Pass","Fail")))</f>
        <v>Pass</v>
      </c>
      <c r="AE1088" s="1" t="str">
        <f>IF(AND(Table1[[#This Row],[Spec Type2]]="N/A",Table1[[#This Row],[DUT Adj Read]]="N/A",Table1[[#This Row],[Std Adj Read]]="N/A"),"N/A",IF(Table1[[#This Row],[DUT Adj Read]]="N/A",IF(Table1[[#This Row],[Std Adj Read]]&lt;Table1[[#This Row],[High Tol]],"Pass","Fail"),IF(Table1[[#This Row],[DUT Adj Read]]&lt;Table1[[#This Row],[High Tol]],"Pass","Fail")))</f>
        <v>Fail</v>
      </c>
      <c r="AF1088" s="1" t="str">
        <f>IF(AND(Table1[[#This Row],[Spec Type2]]="N/A",Table1[[#This Row],[DUT Adj Read]]="N/A",Table1[[#This Row],[Std Adj Read]]="N/A"),"N/A",IF(Table1[[#This Row],[DUT Adj Read]]="N/A",IF(Table1[[#This Row],[Std Adj Read]]&gt;=Table1[[#This Row],[Low Tol]],"Pass","Fail"),IF(Table1[[#This Row],[DUT Adj Read]]&gt;=Table1[[#This Row],[Low Tol]],"Pass","Fail")))</f>
        <v>Pass</v>
      </c>
      <c r="AG1088" s="1" t="str">
        <f>IF(AND(Table1[[#This Row],[Spec Type2]]="N/A",Table1[[#This Row],[DUT Adj Read]]="N/A",Table1[[#This Row],[Std Adj Read]]="N/A"),"N/A",IF(Table1[[#This Row],[DUT Adj Read]]="N/A",IF(Table1[[#This Row],[Std Adj Read]]&lt;=Table1[[#This Row],[High Tol]],"Pass","Fail"),IF(Table1[[#This Row],[DUT Adj Read]]&lt;=Table1[[#This Row],[High Tol]],"Pass","Fail")))</f>
        <v>Fail</v>
      </c>
      <c r="AH10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8" s="1" t="b">
        <v>0</v>
      </c>
      <c r="AN1088" s="1" t="b">
        <v>0</v>
      </c>
      <c r="AO1088" s="1" t="b">
        <v>0</v>
      </c>
    </row>
    <row r="1089" spans="1:41" x14ac:dyDescent="0.25">
      <c r="A1089" s="10"/>
      <c r="B1089" s="10"/>
      <c r="C1089" s="10"/>
      <c r="D1089" s="10"/>
      <c r="E1089" s="10"/>
      <c r="F1089" s="10"/>
      <c r="G1089" s="10"/>
      <c r="H1089" s="10"/>
      <c r="I1089" s="1" t="str">
        <f t="shared" si="48"/>
        <v/>
      </c>
      <c r="J1089" s="1" t="s">
        <v>35</v>
      </c>
      <c r="K1089" s="1" t="str">
        <f t="shared" si="49"/>
        <v/>
      </c>
      <c r="L1089" s="1" t="str">
        <f t="shared" si="50"/>
        <v/>
      </c>
      <c r="M1089" s="1">
        <f>IF(OR(Table1[[#This Row],[Std Nom]]="",Table1[[#This Row],[Std Read]]=""),0,Table1[[#This Row],[Std Nom]]-Table1[[#This Row],[Std Read]])</f>
        <v>0</v>
      </c>
      <c r="N1089" s="1">
        <f>IF(Calculations!$F$5="ACCREDITED 17025 WITH UNCERTAINTIES",$N$10,0)</f>
        <v>0</v>
      </c>
      <c r="O1089" s="1" t="str">
        <f>IFERROR(Table1[[#This Row],[Std Nom]]-(_xlfn.XLOOKUP(Table1[[#This Row],[Manufacturer]]&amp;" "&amp;Table1[[#This Row],[Model]],Table13[MFR &amp; MDL],Table13[Tolerance % CW ],"")/100*Table1[[#This Row],[Std Nom]]),"")</f>
        <v/>
      </c>
      <c r="P1089" s="1" t="str">
        <f>IFERROR(Table1[[#This Row],[Std Nom]]+(_xlfn.XLOOKUP(Table1[[#This Row],[Manufacturer]]&amp;" "&amp;Table1[[#This Row],[Model]],Table13[MFR &amp; MDL],Table13[Tolerance % CW ],"")/100*Table1[[#This Row],[Std Nom]]),"")</f>
        <v/>
      </c>
      <c r="Q1089" s="1" t="e">
        <f>Table1[[#This Row],[High Tol]]-Table1[[#This Row],[Low Tol]]</f>
        <v>#VALUE!</v>
      </c>
      <c r="R1089" s="1">
        <f>2*Table1[[#This Row],[Std Error]]</f>
        <v>0</v>
      </c>
      <c r="S1089" s="1" t="str">
        <f>IF(Table1[[#This Row],[High Tol]]="","N/A",IFERROR(ABS(Table1[[#This Row],[Tol Span]]/Table1[[#This Row],[Error Span]]),"N/A"))</f>
        <v>N/A</v>
      </c>
      <c r="T1089" s="1" t="str">
        <f>IF(OR(Table1[[#This Row],[Low Tol]]="",Table1[[#This Row],[High Tol]]=""),"Needs Analysis",IF(Table1[[#This Row],[Ratio]]&gt;=4,"Not Significant",IF(Table1[[#This Row],[Ratio]]&gt;=2,"Semi-Significant","Significant")))</f>
        <v>Needs Analysis</v>
      </c>
      <c r="W1089" s="1">
        <f>IF(Table1[[#This Row],[Cal Type]]&lt;&gt;"ACCREDITED 17025 WITH UNCERTAINTIES",0,"")</f>
        <v>0</v>
      </c>
      <c r="X1089" s="1" t="str">
        <f>IF(Table1[[#This Row],[DUT Read]]="","N/A",Table1[[#This Row],[Std Error]]+Table1[[#This Row],[DUT Read]]+Table1[[#This Row],[DUT Ucty]])</f>
        <v>N/A</v>
      </c>
      <c r="Y1089" s="1" t="str">
        <f>IF(Table1[[#This Row],[Std Read]]="","N/A",Table1[[#This Row],[Std Read]]+Table1[[#This Row],[Std Ucty]])</f>
        <v>N/A</v>
      </c>
      <c r="Z10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9" s="1" t="str">
        <f>IF(Table1[[#This Row],[Spec Type]]="","N/A",Table1[[#This Row],[Spec Type]])</f>
        <v>±</v>
      </c>
      <c r="AC1089" s="1" t="str">
        <f>IF(Table1[[#This Row],[Spec Type2]]="N/A","N/A",IF(AND(Table1[[#This Row],[DUT Adj Read]]&gt;=Table1[[#This Row],[Low Tol]],Table1[[#This Row],[DUT Adj Read]]&lt;=Table1[[#This Row],[High Tol]]),"Pass","Fail"))</f>
        <v>Fail</v>
      </c>
      <c r="AD1089" s="1" t="str">
        <f>IF(AND(Table1[[#This Row],[Spec Type2]]="N/A",Table1[[#This Row],[DUT Adj Read]]="N/A",Table1[[#This Row],[Std Adj Read]]="N/A"),"N/A",IF(Table1[[#This Row],[DUT Adj Read]]="N/A",IF(Table1[[#This Row],[Std Adj Read]]&gt;Table1[[#This Row],[Low Tol]],"Pass","Fail"),IF(Table1[[#This Row],[DUT Adj Read]]&gt;Table1[[#This Row],[Low Tol]],"Pass","Fail")))</f>
        <v>Pass</v>
      </c>
      <c r="AE1089" s="1" t="str">
        <f>IF(AND(Table1[[#This Row],[Spec Type2]]="N/A",Table1[[#This Row],[DUT Adj Read]]="N/A",Table1[[#This Row],[Std Adj Read]]="N/A"),"N/A",IF(Table1[[#This Row],[DUT Adj Read]]="N/A",IF(Table1[[#This Row],[Std Adj Read]]&lt;Table1[[#This Row],[High Tol]],"Pass","Fail"),IF(Table1[[#This Row],[DUT Adj Read]]&lt;Table1[[#This Row],[High Tol]],"Pass","Fail")))</f>
        <v>Fail</v>
      </c>
      <c r="AF1089" s="1" t="str">
        <f>IF(AND(Table1[[#This Row],[Spec Type2]]="N/A",Table1[[#This Row],[DUT Adj Read]]="N/A",Table1[[#This Row],[Std Adj Read]]="N/A"),"N/A",IF(Table1[[#This Row],[DUT Adj Read]]="N/A",IF(Table1[[#This Row],[Std Adj Read]]&gt;=Table1[[#This Row],[Low Tol]],"Pass","Fail"),IF(Table1[[#This Row],[DUT Adj Read]]&gt;=Table1[[#This Row],[Low Tol]],"Pass","Fail")))</f>
        <v>Pass</v>
      </c>
      <c r="AG1089" s="1" t="str">
        <f>IF(AND(Table1[[#This Row],[Spec Type2]]="N/A",Table1[[#This Row],[DUT Adj Read]]="N/A",Table1[[#This Row],[Std Adj Read]]="N/A"),"N/A",IF(Table1[[#This Row],[DUT Adj Read]]="N/A",IF(Table1[[#This Row],[Std Adj Read]]&lt;=Table1[[#This Row],[High Tol]],"Pass","Fail"),IF(Table1[[#This Row],[DUT Adj Read]]&lt;=Table1[[#This Row],[High Tol]],"Pass","Fail")))</f>
        <v>Fail</v>
      </c>
      <c r="AH10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9" s="1" t="b">
        <v>0</v>
      </c>
      <c r="AN1089" s="1" t="b">
        <v>0</v>
      </c>
      <c r="AO1089" s="1" t="b">
        <v>0</v>
      </c>
    </row>
    <row r="1090" spans="1:41" x14ac:dyDescent="0.25">
      <c r="A1090" s="10"/>
      <c r="B1090" s="10"/>
      <c r="C1090" s="10"/>
      <c r="D1090" s="10"/>
      <c r="E1090" s="10"/>
      <c r="F1090" s="10"/>
      <c r="G1090" s="10"/>
      <c r="H1090" s="10"/>
      <c r="I1090" s="1" t="str">
        <f t="shared" si="48"/>
        <v/>
      </c>
      <c r="J1090" s="1" t="s">
        <v>35</v>
      </c>
      <c r="K1090" s="1" t="str">
        <f t="shared" si="49"/>
        <v/>
      </c>
      <c r="L1090" s="1" t="str">
        <f t="shared" si="50"/>
        <v/>
      </c>
      <c r="M1090" s="1">
        <f>IF(OR(Table1[[#This Row],[Std Nom]]="",Table1[[#This Row],[Std Read]]=""),0,Table1[[#This Row],[Std Nom]]-Table1[[#This Row],[Std Read]])</f>
        <v>0</v>
      </c>
      <c r="N1090" s="1">
        <f>IF(Calculations!$F$5="ACCREDITED 17025 WITH UNCERTAINTIES",$N$10,0)</f>
        <v>0</v>
      </c>
      <c r="O1090" s="1" t="str">
        <f>IFERROR(Table1[[#This Row],[Std Nom]]-(_xlfn.XLOOKUP(Table1[[#This Row],[Manufacturer]]&amp;" "&amp;Table1[[#This Row],[Model]],Table13[MFR &amp; MDL],Table13[Tolerance % CW ],"")/100*Table1[[#This Row],[Std Nom]]),"")</f>
        <v/>
      </c>
      <c r="P1090" s="1" t="str">
        <f>IFERROR(Table1[[#This Row],[Std Nom]]+(_xlfn.XLOOKUP(Table1[[#This Row],[Manufacturer]]&amp;" "&amp;Table1[[#This Row],[Model]],Table13[MFR &amp; MDL],Table13[Tolerance % CW ],"")/100*Table1[[#This Row],[Std Nom]]),"")</f>
        <v/>
      </c>
      <c r="Q1090" s="1" t="e">
        <f>Table1[[#This Row],[High Tol]]-Table1[[#This Row],[Low Tol]]</f>
        <v>#VALUE!</v>
      </c>
      <c r="R1090" s="1">
        <f>2*Table1[[#This Row],[Std Error]]</f>
        <v>0</v>
      </c>
      <c r="S1090" s="1" t="str">
        <f>IF(Table1[[#This Row],[High Tol]]="","N/A",IFERROR(ABS(Table1[[#This Row],[Tol Span]]/Table1[[#This Row],[Error Span]]),"N/A"))</f>
        <v>N/A</v>
      </c>
      <c r="T1090" s="1" t="str">
        <f>IF(OR(Table1[[#This Row],[Low Tol]]="",Table1[[#This Row],[High Tol]]=""),"Needs Analysis",IF(Table1[[#This Row],[Ratio]]&gt;=4,"Not Significant",IF(Table1[[#This Row],[Ratio]]&gt;=2,"Semi-Significant","Significant")))</f>
        <v>Needs Analysis</v>
      </c>
      <c r="W1090" s="1">
        <f>IF(Table1[[#This Row],[Cal Type]]&lt;&gt;"ACCREDITED 17025 WITH UNCERTAINTIES",0,"")</f>
        <v>0</v>
      </c>
      <c r="X1090" s="1" t="str">
        <f>IF(Table1[[#This Row],[DUT Read]]="","N/A",Table1[[#This Row],[Std Error]]+Table1[[#This Row],[DUT Read]]+Table1[[#This Row],[DUT Ucty]])</f>
        <v>N/A</v>
      </c>
      <c r="Y1090" s="1" t="str">
        <f>IF(Table1[[#This Row],[Std Read]]="","N/A",Table1[[#This Row],[Std Read]]+Table1[[#This Row],[Std Ucty]])</f>
        <v>N/A</v>
      </c>
      <c r="Z10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0" s="1" t="str">
        <f>IF(Table1[[#This Row],[Spec Type]]="","N/A",Table1[[#This Row],[Spec Type]])</f>
        <v>±</v>
      </c>
      <c r="AC1090" s="1" t="str">
        <f>IF(Table1[[#This Row],[Spec Type2]]="N/A","N/A",IF(AND(Table1[[#This Row],[DUT Adj Read]]&gt;=Table1[[#This Row],[Low Tol]],Table1[[#This Row],[DUT Adj Read]]&lt;=Table1[[#This Row],[High Tol]]),"Pass","Fail"))</f>
        <v>Fail</v>
      </c>
      <c r="AD1090" s="1" t="str">
        <f>IF(AND(Table1[[#This Row],[Spec Type2]]="N/A",Table1[[#This Row],[DUT Adj Read]]="N/A",Table1[[#This Row],[Std Adj Read]]="N/A"),"N/A",IF(Table1[[#This Row],[DUT Adj Read]]="N/A",IF(Table1[[#This Row],[Std Adj Read]]&gt;Table1[[#This Row],[Low Tol]],"Pass","Fail"),IF(Table1[[#This Row],[DUT Adj Read]]&gt;Table1[[#This Row],[Low Tol]],"Pass","Fail")))</f>
        <v>Pass</v>
      </c>
      <c r="AE1090" s="1" t="str">
        <f>IF(AND(Table1[[#This Row],[Spec Type2]]="N/A",Table1[[#This Row],[DUT Adj Read]]="N/A",Table1[[#This Row],[Std Adj Read]]="N/A"),"N/A",IF(Table1[[#This Row],[DUT Adj Read]]="N/A",IF(Table1[[#This Row],[Std Adj Read]]&lt;Table1[[#This Row],[High Tol]],"Pass","Fail"),IF(Table1[[#This Row],[DUT Adj Read]]&lt;Table1[[#This Row],[High Tol]],"Pass","Fail")))</f>
        <v>Fail</v>
      </c>
      <c r="AF1090" s="1" t="str">
        <f>IF(AND(Table1[[#This Row],[Spec Type2]]="N/A",Table1[[#This Row],[DUT Adj Read]]="N/A",Table1[[#This Row],[Std Adj Read]]="N/A"),"N/A",IF(Table1[[#This Row],[DUT Adj Read]]="N/A",IF(Table1[[#This Row],[Std Adj Read]]&gt;=Table1[[#This Row],[Low Tol]],"Pass","Fail"),IF(Table1[[#This Row],[DUT Adj Read]]&gt;=Table1[[#This Row],[Low Tol]],"Pass","Fail")))</f>
        <v>Pass</v>
      </c>
      <c r="AG1090" s="1" t="str">
        <f>IF(AND(Table1[[#This Row],[Spec Type2]]="N/A",Table1[[#This Row],[DUT Adj Read]]="N/A",Table1[[#This Row],[Std Adj Read]]="N/A"),"N/A",IF(Table1[[#This Row],[DUT Adj Read]]="N/A",IF(Table1[[#This Row],[Std Adj Read]]&lt;=Table1[[#This Row],[High Tol]],"Pass","Fail"),IF(Table1[[#This Row],[DUT Adj Read]]&lt;=Table1[[#This Row],[High Tol]],"Pass","Fail")))</f>
        <v>Fail</v>
      </c>
      <c r="AH10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0" s="1" t="b">
        <v>0</v>
      </c>
      <c r="AN1090" s="1" t="b">
        <v>0</v>
      </c>
      <c r="AO1090" s="1" t="b">
        <v>0</v>
      </c>
    </row>
    <row r="1091" spans="1:41" x14ac:dyDescent="0.25">
      <c r="A1091" s="10"/>
      <c r="B1091" s="10"/>
      <c r="C1091" s="10"/>
      <c r="D1091" s="10"/>
      <c r="E1091" s="10"/>
      <c r="F1091" s="10"/>
      <c r="G1091" s="10"/>
      <c r="H1091" s="10"/>
      <c r="I1091" s="1" t="str">
        <f t="shared" si="48"/>
        <v/>
      </c>
      <c r="J1091" s="1" t="s">
        <v>35</v>
      </c>
      <c r="K1091" s="1" t="str">
        <f t="shared" si="49"/>
        <v/>
      </c>
      <c r="L1091" s="1" t="str">
        <f t="shared" si="50"/>
        <v/>
      </c>
      <c r="M1091" s="1">
        <f>IF(OR(Table1[[#This Row],[Std Nom]]="",Table1[[#This Row],[Std Read]]=""),0,Table1[[#This Row],[Std Nom]]-Table1[[#This Row],[Std Read]])</f>
        <v>0</v>
      </c>
      <c r="N1091" s="1">
        <f>IF(Calculations!$F$5="ACCREDITED 17025 WITH UNCERTAINTIES",$N$10,0)</f>
        <v>0</v>
      </c>
      <c r="O1091" s="1" t="str">
        <f>IFERROR(Table1[[#This Row],[Std Nom]]-(_xlfn.XLOOKUP(Table1[[#This Row],[Manufacturer]]&amp;" "&amp;Table1[[#This Row],[Model]],Table13[MFR &amp; MDL],Table13[Tolerance % CW ],"")/100*Table1[[#This Row],[Std Nom]]),"")</f>
        <v/>
      </c>
      <c r="P1091" s="1" t="str">
        <f>IFERROR(Table1[[#This Row],[Std Nom]]+(_xlfn.XLOOKUP(Table1[[#This Row],[Manufacturer]]&amp;" "&amp;Table1[[#This Row],[Model]],Table13[MFR &amp; MDL],Table13[Tolerance % CW ],"")/100*Table1[[#This Row],[Std Nom]]),"")</f>
        <v/>
      </c>
      <c r="Q1091" s="1" t="e">
        <f>Table1[[#This Row],[High Tol]]-Table1[[#This Row],[Low Tol]]</f>
        <v>#VALUE!</v>
      </c>
      <c r="R1091" s="1">
        <f>2*Table1[[#This Row],[Std Error]]</f>
        <v>0</v>
      </c>
      <c r="S1091" s="1" t="str">
        <f>IF(Table1[[#This Row],[High Tol]]="","N/A",IFERROR(ABS(Table1[[#This Row],[Tol Span]]/Table1[[#This Row],[Error Span]]),"N/A"))</f>
        <v>N/A</v>
      </c>
      <c r="T1091" s="1" t="str">
        <f>IF(OR(Table1[[#This Row],[Low Tol]]="",Table1[[#This Row],[High Tol]]=""),"Needs Analysis",IF(Table1[[#This Row],[Ratio]]&gt;=4,"Not Significant",IF(Table1[[#This Row],[Ratio]]&gt;=2,"Semi-Significant","Significant")))</f>
        <v>Needs Analysis</v>
      </c>
      <c r="W1091" s="1">
        <f>IF(Table1[[#This Row],[Cal Type]]&lt;&gt;"ACCREDITED 17025 WITH UNCERTAINTIES",0,"")</f>
        <v>0</v>
      </c>
      <c r="X1091" s="1" t="str">
        <f>IF(Table1[[#This Row],[DUT Read]]="","N/A",Table1[[#This Row],[Std Error]]+Table1[[#This Row],[DUT Read]]+Table1[[#This Row],[DUT Ucty]])</f>
        <v>N/A</v>
      </c>
      <c r="Y1091" s="1" t="str">
        <f>IF(Table1[[#This Row],[Std Read]]="","N/A",Table1[[#This Row],[Std Read]]+Table1[[#This Row],[Std Ucty]])</f>
        <v>N/A</v>
      </c>
      <c r="Z10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1" s="1" t="str">
        <f>IF(Table1[[#This Row],[Spec Type]]="","N/A",Table1[[#This Row],[Spec Type]])</f>
        <v>±</v>
      </c>
      <c r="AC1091" s="1" t="str">
        <f>IF(Table1[[#This Row],[Spec Type2]]="N/A","N/A",IF(AND(Table1[[#This Row],[DUT Adj Read]]&gt;=Table1[[#This Row],[Low Tol]],Table1[[#This Row],[DUT Adj Read]]&lt;=Table1[[#This Row],[High Tol]]),"Pass","Fail"))</f>
        <v>Fail</v>
      </c>
      <c r="AD1091" s="1" t="str">
        <f>IF(AND(Table1[[#This Row],[Spec Type2]]="N/A",Table1[[#This Row],[DUT Adj Read]]="N/A",Table1[[#This Row],[Std Adj Read]]="N/A"),"N/A",IF(Table1[[#This Row],[DUT Adj Read]]="N/A",IF(Table1[[#This Row],[Std Adj Read]]&gt;Table1[[#This Row],[Low Tol]],"Pass","Fail"),IF(Table1[[#This Row],[DUT Adj Read]]&gt;Table1[[#This Row],[Low Tol]],"Pass","Fail")))</f>
        <v>Pass</v>
      </c>
      <c r="AE1091" s="1" t="str">
        <f>IF(AND(Table1[[#This Row],[Spec Type2]]="N/A",Table1[[#This Row],[DUT Adj Read]]="N/A",Table1[[#This Row],[Std Adj Read]]="N/A"),"N/A",IF(Table1[[#This Row],[DUT Adj Read]]="N/A",IF(Table1[[#This Row],[Std Adj Read]]&lt;Table1[[#This Row],[High Tol]],"Pass","Fail"),IF(Table1[[#This Row],[DUT Adj Read]]&lt;Table1[[#This Row],[High Tol]],"Pass","Fail")))</f>
        <v>Fail</v>
      </c>
      <c r="AF1091" s="1" t="str">
        <f>IF(AND(Table1[[#This Row],[Spec Type2]]="N/A",Table1[[#This Row],[DUT Adj Read]]="N/A",Table1[[#This Row],[Std Adj Read]]="N/A"),"N/A",IF(Table1[[#This Row],[DUT Adj Read]]="N/A",IF(Table1[[#This Row],[Std Adj Read]]&gt;=Table1[[#This Row],[Low Tol]],"Pass","Fail"),IF(Table1[[#This Row],[DUT Adj Read]]&gt;=Table1[[#This Row],[Low Tol]],"Pass","Fail")))</f>
        <v>Pass</v>
      </c>
      <c r="AG1091" s="1" t="str">
        <f>IF(AND(Table1[[#This Row],[Spec Type2]]="N/A",Table1[[#This Row],[DUT Adj Read]]="N/A",Table1[[#This Row],[Std Adj Read]]="N/A"),"N/A",IF(Table1[[#This Row],[DUT Adj Read]]="N/A",IF(Table1[[#This Row],[Std Adj Read]]&lt;=Table1[[#This Row],[High Tol]],"Pass","Fail"),IF(Table1[[#This Row],[DUT Adj Read]]&lt;=Table1[[#This Row],[High Tol]],"Pass","Fail")))</f>
        <v>Fail</v>
      </c>
      <c r="AH10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1" s="1" t="b">
        <v>0</v>
      </c>
      <c r="AN1091" s="1" t="b">
        <v>0</v>
      </c>
      <c r="AO1091" s="1" t="b">
        <v>0</v>
      </c>
    </row>
    <row r="1092" spans="1:41" x14ac:dyDescent="0.25">
      <c r="A1092" s="10"/>
      <c r="B1092" s="10"/>
      <c r="C1092" s="10"/>
      <c r="D1092" s="10"/>
      <c r="E1092" s="10"/>
      <c r="F1092" s="10"/>
      <c r="G1092" s="10"/>
      <c r="H1092" s="10"/>
      <c r="I1092" s="1" t="str">
        <f t="shared" si="48"/>
        <v/>
      </c>
      <c r="J1092" s="1" t="s">
        <v>35</v>
      </c>
      <c r="K1092" s="1" t="str">
        <f t="shared" si="49"/>
        <v/>
      </c>
      <c r="L1092" s="1" t="str">
        <f t="shared" si="50"/>
        <v/>
      </c>
      <c r="M1092" s="1">
        <f>IF(OR(Table1[[#This Row],[Std Nom]]="",Table1[[#This Row],[Std Read]]=""),0,Table1[[#This Row],[Std Nom]]-Table1[[#This Row],[Std Read]])</f>
        <v>0</v>
      </c>
      <c r="N1092" s="1">
        <f>IF(Calculations!$F$5="ACCREDITED 17025 WITH UNCERTAINTIES",$N$10,0)</f>
        <v>0</v>
      </c>
      <c r="O1092" s="1" t="str">
        <f>IFERROR(Table1[[#This Row],[Std Nom]]-(_xlfn.XLOOKUP(Table1[[#This Row],[Manufacturer]]&amp;" "&amp;Table1[[#This Row],[Model]],Table13[MFR &amp; MDL],Table13[Tolerance % CW ],"")/100*Table1[[#This Row],[Std Nom]]),"")</f>
        <v/>
      </c>
      <c r="P1092" s="1" t="str">
        <f>IFERROR(Table1[[#This Row],[Std Nom]]+(_xlfn.XLOOKUP(Table1[[#This Row],[Manufacturer]]&amp;" "&amp;Table1[[#This Row],[Model]],Table13[MFR &amp; MDL],Table13[Tolerance % CW ],"")/100*Table1[[#This Row],[Std Nom]]),"")</f>
        <v/>
      </c>
      <c r="Q1092" s="1" t="e">
        <f>Table1[[#This Row],[High Tol]]-Table1[[#This Row],[Low Tol]]</f>
        <v>#VALUE!</v>
      </c>
      <c r="R1092" s="1">
        <f>2*Table1[[#This Row],[Std Error]]</f>
        <v>0</v>
      </c>
      <c r="S1092" s="1" t="str">
        <f>IF(Table1[[#This Row],[High Tol]]="","N/A",IFERROR(ABS(Table1[[#This Row],[Tol Span]]/Table1[[#This Row],[Error Span]]),"N/A"))</f>
        <v>N/A</v>
      </c>
      <c r="T1092" s="1" t="str">
        <f>IF(OR(Table1[[#This Row],[Low Tol]]="",Table1[[#This Row],[High Tol]]=""),"Needs Analysis",IF(Table1[[#This Row],[Ratio]]&gt;=4,"Not Significant",IF(Table1[[#This Row],[Ratio]]&gt;=2,"Semi-Significant","Significant")))</f>
        <v>Needs Analysis</v>
      </c>
      <c r="W1092" s="1">
        <f>IF(Table1[[#This Row],[Cal Type]]&lt;&gt;"ACCREDITED 17025 WITH UNCERTAINTIES",0,"")</f>
        <v>0</v>
      </c>
      <c r="X1092" s="1" t="str">
        <f>IF(Table1[[#This Row],[DUT Read]]="","N/A",Table1[[#This Row],[Std Error]]+Table1[[#This Row],[DUT Read]]+Table1[[#This Row],[DUT Ucty]])</f>
        <v>N/A</v>
      </c>
      <c r="Y1092" s="1" t="str">
        <f>IF(Table1[[#This Row],[Std Read]]="","N/A",Table1[[#This Row],[Std Read]]+Table1[[#This Row],[Std Ucty]])</f>
        <v>N/A</v>
      </c>
      <c r="Z10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2" s="1" t="str">
        <f>IF(Table1[[#This Row],[Spec Type]]="","N/A",Table1[[#This Row],[Spec Type]])</f>
        <v>±</v>
      </c>
      <c r="AC1092" s="1" t="str">
        <f>IF(Table1[[#This Row],[Spec Type2]]="N/A","N/A",IF(AND(Table1[[#This Row],[DUT Adj Read]]&gt;=Table1[[#This Row],[Low Tol]],Table1[[#This Row],[DUT Adj Read]]&lt;=Table1[[#This Row],[High Tol]]),"Pass","Fail"))</f>
        <v>Fail</v>
      </c>
      <c r="AD1092" s="1" t="str">
        <f>IF(AND(Table1[[#This Row],[Spec Type2]]="N/A",Table1[[#This Row],[DUT Adj Read]]="N/A",Table1[[#This Row],[Std Adj Read]]="N/A"),"N/A",IF(Table1[[#This Row],[DUT Adj Read]]="N/A",IF(Table1[[#This Row],[Std Adj Read]]&gt;Table1[[#This Row],[Low Tol]],"Pass","Fail"),IF(Table1[[#This Row],[DUT Adj Read]]&gt;Table1[[#This Row],[Low Tol]],"Pass","Fail")))</f>
        <v>Pass</v>
      </c>
      <c r="AE1092" s="1" t="str">
        <f>IF(AND(Table1[[#This Row],[Spec Type2]]="N/A",Table1[[#This Row],[DUT Adj Read]]="N/A",Table1[[#This Row],[Std Adj Read]]="N/A"),"N/A",IF(Table1[[#This Row],[DUT Adj Read]]="N/A",IF(Table1[[#This Row],[Std Adj Read]]&lt;Table1[[#This Row],[High Tol]],"Pass","Fail"),IF(Table1[[#This Row],[DUT Adj Read]]&lt;Table1[[#This Row],[High Tol]],"Pass","Fail")))</f>
        <v>Fail</v>
      </c>
      <c r="AF1092" s="1" t="str">
        <f>IF(AND(Table1[[#This Row],[Spec Type2]]="N/A",Table1[[#This Row],[DUT Adj Read]]="N/A",Table1[[#This Row],[Std Adj Read]]="N/A"),"N/A",IF(Table1[[#This Row],[DUT Adj Read]]="N/A",IF(Table1[[#This Row],[Std Adj Read]]&gt;=Table1[[#This Row],[Low Tol]],"Pass","Fail"),IF(Table1[[#This Row],[DUT Adj Read]]&gt;=Table1[[#This Row],[Low Tol]],"Pass","Fail")))</f>
        <v>Pass</v>
      </c>
      <c r="AG1092" s="1" t="str">
        <f>IF(AND(Table1[[#This Row],[Spec Type2]]="N/A",Table1[[#This Row],[DUT Adj Read]]="N/A",Table1[[#This Row],[Std Adj Read]]="N/A"),"N/A",IF(Table1[[#This Row],[DUT Adj Read]]="N/A",IF(Table1[[#This Row],[Std Adj Read]]&lt;=Table1[[#This Row],[High Tol]],"Pass","Fail"),IF(Table1[[#This Row],[DUT Adj Read]]&lt;=Table1[[#This Row],[High Tol]],"Pass","Fail")))</f>
        <v>Fail</v>
      </c>
      <c r="AH10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2" s="1" t="b">
        <v>0</v>
      </c>
      <c r="AN1092" s="1" t="b">
        <v>0</v>
      </c>
      <c r="AO1092" s="1" t="b">
        <v>0</v>
      </c>
    </row>
    <row r="1093" spans="1:41" x14ac:dyDescent="0.25">
      <c r="A1093" s="10"/>
      <c r="B1093" s="10"/>
      <c r="C1093" s="10"/>
      <c r="D1093" s="10"/>
      <c r="E1093" s="10"/>
      <c r="F1093" s="10"/>
      <c r="G1093" s="10"/>
      <c r="H1093" s="10"/>
      <c r="I1093" s="1" t="str">
        <f t="shared" si="48"/>
        <v/>
      </c>
      <c r="J1093" s="1" t="s">
        <v>35</v>
      </c>
      <c r="K1093" s="1" t="str">
        <f t="shared" si="49"/>
        <v/>
      </c>
      <c r="L1093" s="1" t="str">
        <f t="shared" si="50"/>
        <v/>
      </c>
      <c r="M1093" s="1">
        <f>IF(OR(Table1[[#This Row],[Std Nom]]="",Table1[[#This Row],[Std Read]]=""),0,Table1[[#This Row],[Std Nom]]-Table1[[#This Row],[Std Read]])</f>
        <v>0</v>
      </c>
      <c r="N1093" s="1">
        <f>IF(Calculations!$F$5="ACCREDITED 17025 WITH UNCERTAINTIES",$N$10,0)</f>
        <v>0</v>
      </c>
      <c r="O1093" s="1" t="str">
        <f>IFERROR(Table1[[#This Row],[Std Nom]]-(_xlfn.XLOOKUP(Table1[[#This Row],[Manufacturer]]&amp;" "&amp;Table1[[#This Row],[Model]],Table13[MFR &amp; MDL],Table13[Tolerance % CW ],"")/100*Table1[[#This Row],[Std Nom]]),"")</f>
        <v/>
      </c>
      <c r="P1093" s="1" t="str">
        <f>IFERROR(Table1[[#This Row],[Std Nom]]+(_xlfn.XLOOKUP(Table1[[#This Row],[Manufacturer]]&amp;" "&amp;Table1[[#This Row],[Model]],Table13[MFR &amp; MDL],Table13[Tolerance % CW ],"")/100*Table1[[#This Row],[Std Nom]]),"")</f>
        <v/>
      </c>
      <c r="Q1093" s="1" t="e">
        <f>Table1[[#This Row],[High Tol]]-Table1[[#This Row],[Low Tol]]</f>
        <v>#VALUE!</v>
      </c>
      <c r="R1093" s="1">
        <f>2*Table1[[#This Row],[Std Error]]</f>
        <v>0</v>
      </c>
      <c r="S1093" s="1" t="str">
        <f>IF(Table1[[#This Row],[High Tol]]="","N/A",IFERROR(ABS(Table1[[#This Row],[Tol Span]]/Table1[[#This Row],[Error Span]]),"N/A"))</f>
        <v>N/A</v>
      </c>
      <c r="T1093" s="1" t="str">
        <f>IF(OR(Table1[[#This Row],[Low Tol]]="",Table1[[#This Row],[High Tol]]=""),"Needs Analysis",IF(Table1[[#This Row],[Ratio]]&gt;=4,"Not Significant",IF(Table1[[#This Row],[Ratio]]&gt;=2,"Semi-Significant","Significant")))</f>
        <v>Needs Analysis</v>
      </c>
      <c r="W1093" s="1">
        <f>IF(Table1[[#This Row],[Cal Type]]&lt;&gt;"ACCREDITED 17025 WITH UNCERTAINTIES",0,"")</f>
        <v>0</v>
      </c>
      <c r="X1093" s="1" t="str">
        <f>IF(Table1[[#This Row],[DUT Read]]="","N/A",Table1[[#This Row],[Std Error]]+Table1[[#This Row],[DUT Read]]+Table1[[#This Row],[DUT Ucty]])</f>
        <v>N/A</v>
      </c>
      <c r="Y1093" s="1" t="str">
        <f>IF(Table1[[#This Row],[Std Read]]="","N/A",Table1[[#This Row],[Std Read]]+Table1[[#This Row],[Std Ucty]])</f>
        <v>N/A</v>
      </c>
      <c r="Z10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3" s="1" t="str">
        <f>IF(Table1[[#This Row],[Spec Type]]="","N/A",Table1[[#This Row],[Spec Type]])</f>
        <v>±</v>
      </c>
      <c r="AC1093" s="1" t="str">
        <f>IF(Table1[[#This Row],[Spec Type2]]="N/A","N/A",IF(AND(Table1[[#This Row],[DUT Adj Read]]&gt;=Table1[[#This Row],[Low Tol]],Table1[[#This Row],[DUT Adj Read]]&lt;=Table1[[#This Row],[High Tol]]),"Pass","Fail"))</f>
        <v>Fail</v>
      </c>
      <c r="AD1093" s="1" t="str">
        <f>IF(AND(Table1[[#This Row],[Spec Type2]]="N/A",Table1[[#This Row],[DUT Adj Read]]="N/A",Table1[[#This Row],[Std Adj Read]]="N/A"),"N/A",IF(Table1[[#This Row],[DUT Adj Read]]="N/A",IF(Table1[[#This Row],[Std Adj Read]]&gt;Table1[[#This Row],[Low Tol]],"Pass","Fail"),IF(Table1[[#This Row],[DUT Adj Read]]&gt;Table1[[#This Row],[Low Tol]],"Pass","Fail")))</f>
        <v>Pass</v>
      </c>
      <c r="AE1093" s="1" t="str">
        <f>IF(AND(Table1[[#This Row],[Spec Type2]]="N/A",Table1[[#This Row],[DUT Adj Read]]="N/A",Table1[[#This Row],[Std Adj Read]]="N/A"),"N/A",IF(Table1[[#This Row],[DUT Adj Read]]="N/A",IF(Table1[[#This Row],[Std Adj Read]]&lt;Table1[[#This Row],[High Tol]],"Pass","Fail"),IF(Table1[[#This Row],[DUT Adj Read]]&lt;Table1[[#This Row],[High Tol]],"Pass","Fail")))</f>
        <v>Fail</v>
      </c>
      <c r="AF1093" s="1" t="str">
        <f>IF(AND(Table1[[#This Row],[Spec Type2]]="N/A",Table1[[#This Row],[DUT Adj Read]]="N/A",Table1[[#This Row],[Std Adj Read]]="N/A"),"N/A",IF(Table1[[#This Row],[DUT Adj Read]]="N/A",IF(Table1[[#This Row],[Std Adj Read]]&gt;=Table1[[#This Row],[Low Tol]],"Pass","Fail"),IF(Table1[[#This Row],[DUT Adj Read]]&gt;=Table1[[#This Row],[Low Tol]],"Pass","Fail")))</f>
        <v>Pass</v>
      </c>
      <c r="AG1093" s="1" t="str">
        <f>IF(AND(Table1[[#This Row],[Spec Type2]]="N/A",Table1[[#This Row],[DUT Adj Read]]="N/A",Table1[[#This Row],[Std Adj Read]]="N/A"),"N/A",IF(Table1[[#This Row],[DUT Adj Read]]="N/A",IF(Table1[[#This Row],[Std Adj Read]]&lt;=Table1[[#This Row],[High Tol]],"Pass","Fail"),IF(Table1[[#This Row],[DUT Adj Read]]&lt;=Table1[[#This Row],[High Tol]],"Pass","Fail")))</f>
        <v>Fail</v>
      </c>
      <c r="AH10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3" s="1" t="b">
        <v>0</v>
      </c>
      <c r="AN1093" s="1" t="b">
        <v>0</v>
      </c>
      <c r="AO1093" s="1" t="b">
        <v>0</v>
      </c>
    </row>
    <row r="1094" spans="1:41" x14ac:dyDescent="0.25">
      <c r="A1094" s="10"/>
      <c r="B1094" s="10"/>
      <c r="C1094" s="10"/>
      <c r="D1094" s="10"/>
      <c r="E1094" s="10"/>
      <c r="F1094" s="10"/>
      <c r="G1094" s="10"/>
      <c r="H1094" s="10"/>
      <c r="I1094" s="1" t="str">
        <f t="shared" si="48"/>
        <v/>
      </c>
      <c r="J1094" s="1" t="s">
        <v>35</v>
      </c>
      <c r="K1094" s="1" t="str">
        <f t="shared" si="49"/>
        <v/>
      </c>
      <c r="L1094" s="1" t="str">
        <f t="shared" si="50"/>
        <v/>
      </c>
      <c r="M1094" s="1">
        <f>IF(OR(Table1[[#This Row],[Std Nom]]="",Table1[[#This Row],[Std Read]]=""),0,Table1[[#This Row],[Std Nom]]-Table1[[#This Row],[Std Read]])</f>
        <v>0</v>
      </c>
      <c r="N1094" s="1">
        <f>IF(Calculations!$F$5="ACCREDITED 17025 WITH UNCERTAINTIES",$N$10,0)</f>
        <v>0</v>
      </c>
      <c r="O1094" s="1" t="str">
        <f>IFERROR(Table1[[#This Row],[Std Nom]]-(_xlfn.XLOOKUP(Table1[[#This Row],[Manufacturer]]&amp;" "&amp;Table1[[#This Row],[Model]],Table13[MFR &amp; MDL],Table13[Tolerance % CW ],"")/100*Table1[[#This Row],[Std Nom]]),"")</f>
        <v/>
      </c>
      <c r="P1094" s="1" t="str">
        <f>IFERROR(Table1[[#This Row],[Std Nom]]+(_xlfn.XLOOKUP(Table1[[#This Row],[Manufacturer]]&amp;" "&amp;Table1[[#This Row],[Model]],Table13[MFR &amp; MDL],Table13[Tolerance % CW ],"")/100*Table1[[#This Row],[Std Nom]]),"")</f>
        <v/>
      </c>
      <c r="Q1094" s="1" t="e">
        <f>Table1[[#This Row],[High Tol]]-Table1[[#This Row],[Low Tol]]</f>
        <v>#VALUE!</v>
      </c>
      <c r="R1094" s="1">
        <f>2*Table1[[#This Row],[Std Error]]</f>
        <v>0</v>
      </c>
      <c r="S1094" s="1" t="str">
        <f>IF(Table1[[#This Row],[High Tol]]="","N/A",IFERROR(ABS(Table1[[#This Row],[Tol Span]]/Table1[[#This Row],[Error Span]]),"N/A"))</f>
        <v>N/A</v>
      </c>
      <c r="T1094" s="1" t="str">
        <f>IF(OR(Table1[[#This Row],[Low Tol]]="",Table1[[#This Row],[High Tol]]=""),"Needs Analysis",IF(Table1[[#This Row],[Ratio]]&gt;=4,"Not Significant",IF(Table1[[#This Row],[Ratio]]&gt;=2,"Semi-Significant","Significant")))</f>
        <v>Needs Analysis</v>
      </c>
      <c r="W1094" s="1">
        <f>IF(Table1[[#This Row],[Cal Type]]&lt;&gt;"ACCREDITED 17025 WITH UNCERTAINTIES",0,"")</f>
        <v>0</v>
      </c>
      <c r="X1094" s="1" t="str">
        <f>IF(Table1[[#This Row],[DUT Read]]="","N/A",Table1[[#This Row],[Std Error]]+Table1[[#This Row],[DUT Read]]+Table1[[#This Row],[DUT Ucty]])</f>
        <v>N/A</v>
      </c>
      <c r="Y1094" s="1" t="str">
        <f>IF(Table1[[#This Row],[Std Read]]="","N/A",Table1[[#This Row],[Std Read]]+Table1[[#This Row],[Std Ucty]])</f>
        <v>N/A</v>
      </c>
      <c r="Z10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4" s="1" t="str">
        <f>IF(Table1[[#This Row],[Spec Type]]="","N/A",Table1[[#This Row],[Spec Type]])</f>
        <v>±</v>
      </c>
      <c r="AC1094" s="1" t="str">
        <f>IF(Table1[[#This Row],[Spec Type2]]="N/A","N/A",IF(AND(Table1[[#This Row],[DUT Adj Read]]&gt;=Table1[[#This Row],[Low Tol]],Table1[[#This Row],[DUT Adj Read]]&lt;=Table1[[#This Row],[High Tol]]),"Pass","Fail"))</f>
        <v>Fail</v>
      </c>
      <c r="AD1094" s="1" t="str">
        <f>IF(AND(Table1[[#This Row],[Spec Type2]]="N/A",Table1[[#This Row],[DUT Adj Read]]="N/A",Table1[[#This Row],[Std Adj Read]]="N/A"),"N/A",IF(Table1[[#This Row],[DUT Adj Read]]="N/A",IF(Table1[[#This Row],[Std Adj Read]]&gt;Table1[[#This Row],[Low Tol]],"Pass","Fail"),IF(Table1[[#This Row],[DUT Adj Read]]&gt;Table1[[#This Row],[Low Tol]],"Pass","Fail")))</f>
        <v>Pass</v>
      </c>
      <c r="AE1094" s="1" t="str">
        <f>IF(AND(Table1[[#This Row],[Spec Type2]]="N/A",Table1[[#This Row],[DUT Adj Read]]="N/A",Table1[[#This Row],[Std Adj Read]]="N/A"),"N/A",IF(Table1[[#This Row],[DUT Adj Read]]="N/A",IF(Table1[[#This Row],[Std Adj Read]]&lt;Table1[[#This Row],[High Tol]],"Pass","Fail"),IF(Table1[[#This Row],[DUT Adj Read]]&lt;Table1[[#This Row],[High Tol]],"Pass","Fail")))</f>
        <v>Fail</v>
      </c>
      <c r="AF1094" s="1" t="str">
        <f>IF(AND(Table1[[#This Row],[Spec Type2]]="N/A",Table1[[#This Row],[DUT Adj Read]]="N/A",Table1[[#This Row],[Std Adj Read]]="N/A"),"N/A",IF(Table1[[#This Row],[DUT Adj Read]]="N/A",IF(Table1[[#This Row],[Std Adj Read]]&gt;=Table1[[#This Row],[Low Tol]],"Pass","Fail"),IF(Table1[[#This Row],[DUT Adj Read]]&gt;=Table1[[#This Row],[Low Tol]],"Pass","Fail")))</f>
        <v>Pass</v>
      </c>
      <c r="AG1094" s="1" t="str">
        <f>IF(AND(Table1[[#This Row],[Spec Type2]]="N/A",Table1[[#This Row],[DUT Adj Read]]="N/A",Table1[[#This Row],[Std Adj Read]]="N/A"),"N/A",IF(Table1[[#This Row],[DUT Adj Read]]="N/A",IF(Table1[[#This Row],[Std Adj Read]]&lt;=Table1[[#This Row],[High Tol]],"Pass","Fail"),IF(Table1[[#This Row],[DUT Adj Read]]&lt;=Table1[[#This Row],[High Tol]],"Pass","Fail")))</f>
        <v>Fail</v>
      </c>
      <c r="AH10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4" s="1" t="b">
        <v>0</v>
      </c>
      <c r="AN1094" s="1" t="b">
        <v>0</v>
      </c>
      <c r="AO1094" s="1" t="b">
        <v>0</v>
      </c>
    </row>
    <row r="1095" spans="1:41" x14ac:dyDescent="0.25">
      <c r="A1095" s="10"/>
      <c r="B1095" s="10"/>
      <c r="C1095" s="10"/>
      <c r="D1095" s="10"/>
      <c r="E1095" s="10"/>
      <c r="F1095" s="10"/>
      <c r="G1095" s="10"/>
      <c r="H1095" s="10"/>
      <c r="I1095" s="1" t="str">
        <f t="shared" si="48"/>
        <v/>
      </c>
      <c r="J1095" s="1" t="s">
        <v>35</v>
      </c>
      <c r="K1095" s="1" t="str">
        <f t="shared" si="49"/>
        <v/>
      </c>
      <c r="L1095" s="1" t="str">
        <f t="shared" si="50"/>
        <v/>
      </c>
      <c r="M1095" s="1">
        <f>IF(OR(Table1[[#This Row],[Std Nom]]="",Table1[[#This Row],[Std Read]]=""),0,Table1[[#This Row],[Std Nom]]-Table1[[#This Row],[Std Read]])</f>
        <v>0</v>
      </c>
      <c r="N1095" s="1">
        <f>IF(Calculations!$F$5="ACCREDITED 17025 WITH UNCERTAINTIES",$N$10,0)</f>
        <v>0</v>
      </c>
      <c r="O1095" s="1" t="str">
        <f>IFERROR(Table1[[#This Row],[Std Nom]]-(_xlfn.XLOOKUP(Table1[[#This Row],[Manufacturer]]&amp;" "&amp;Table1[[#This Row],[Model]],Table13[MFR &amp; MDL],Table13[Tolerance % CW ],"")/100*Table1[[#This Row],[Std Nom]]),"")</f>
        <v/>
      </c>
      <c r="P1095" s="1" t="str">
        <f>IFERROR(Table1[[#This Row],[Std Nom]]+(_xlfn.XLOOKUP(Table1[[#This Row],[Manufacturer]]&amp;" "&amp;Table1[[#This Row],[Model]],Table13[MFR &amp; MDL],Table13[Tolerance % CW ],"")/100*Table1[[#This Row],[Std Nom]]),"")</f>
        <v/>
      </c>
      <c r="Q1095" s="1" t="e">
        <f>Table1[[#This Row],[High Tol]]-Table1[[#This Row],[Low Tol]]</f>
        <v>#VALUE!</v>
      </c>
      <c r="R1095" s="1">
        <f>2*Table1[[#This Row],[Std Error]]</f>
        <v>0</v>
      </c>
      <c r="S1095" s="1" t="str">
        <f>IF(Table1[[#This Row],[High Tol]]="","N/A",IFERROR(ABS(Table1[[#This Row],[Tol Span]]/Table1[[#This Row],[Error Span]]),"N/A"))</f>
        <v>N/A</v>
      </c>
      <c r="T1095" s="1" t="str">
        <f>IF(OR(Table1[[#This Row],[Low Tol]]="",Table1[[#This Row],[High Tol]]=""),"Needs Analysis",IF(Table1[[#This Row],[Ratio]]&gt;=4,"Not Significant",IF(Table1[[#This Row],[Ratio]]&gt;=2,"Semi-Significant","Significant")))</f>
        <v>Needs Analysis</v>
      </c>
      <c r="W1095" s="1">
        <f>IF(Table1[[#This Row],[Cal Type]]&lt;&gt;"ACCREDITED 17025 WITH UNCERTAINTIES",0,"")</f>
        <v>0</v>
      </c>
      <c r="X1095" s="1" t="str">
        <f>IF(Table1[[#This Row],[DUT Read]]="","N/A",Table1[[#This Row],[Std Error]]+Table1[[#This Row],[DUT Read]]+Table1[[#This Row],[DUT Ucty]])</f>
        <v>N/A</v>
      </c>
      <c r="Y1095" s="1" t="str">
        <f>IF(Table1[[#This Row],[Std Read]]="","N/A",Table1[[#This Row],[Std Read]]+Table1[[#This Row],[Std Ucty]])</f>
        <v>N/A</v>
      </c>
      <c r="Z10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5" s="1" t="str">
        <f>IF(Table1[[#This Row],[Spec Type]]="","N/A",Table1[[#This Row],[Spec Type]])</f>
        <v>±</v>
      </c>
      <c r="AC1095" s="1" t="str">
        <f>IF(Table1[[#This Row],[Spec Type2]]="N/A","N/A",IF(AND(Table1[[#This Row],[DUT Adj Read]]&gt;=Table1[[#This Row],[Low Tol]],Table1[[#This Row],[DUT Adj Read]]&lt;=Table1[[#This Row],[High Tol]]),"Pass","Fail"))</f>
        <v>Fail</v>
      </c>
      <c r="AD1095" s="1" t="str">
        <f>IF(AND(Table1[[#This Row],[Spec Type2]]="N/A",Table1[[#This Row],[DUT Adj Read]]="N/A",Table1[[#This Row],[Std Adj Read]]="N/A"),"N/A",IF(Table1[[#This Row],[DUT Adj Read]]="N/A",IF(Table1[[#This Row],[Std Adj Read]]&gt;Table1[[#This Row],[Low Tol]],"Pass","Fail"),IF(Table1[[#This Row],[DUT Adj Read]]&gt;Table1[[#This Row],[Low Tol]],"Pass","Fail")))</f>
        <v>Pass</v>
      </c>
      <c r="AE1095" s="1" t="str">
        <f>IF(AND(Table1[[#This Row],[Spec Type2]]="N/A",Table1[[#This Row],[DUT Adj Read]]="N/A",Table1[[#This Row],[Std Adj Read]]="N/A"),"N/A",IF(Table1[[#This Row],[DUT Adj Read]]="N/A",IF(Table1[[#This Row],[Std Adj Read]]&lt;Table1[[#This Row],[High Tol]],"Pass","Fail"),IF(Table1[[#This Row],[DUT Adj Read]]&lt;Table1[[#This Row],[High Tol]],"Pass","Fail")))</f>
        <v>Fail</v>
      </c>
      <c r="AF1095" s="1" t="str">
        <f>IF(AND(Table1[[#This Row],[Spec Type2]]="N/A",Table1[[#This Row],[DUT Adj Read]]="N/A",Table1[[#This Row],[Std Adj Read]]="N/A"),"N/A",IF(Table1[[#This Row],[DUT Adj Read]]="N/A",IF(Table1[[#This Row],[Std Adj Read]]&gt;=Table1[[#This Row],[Low Tol]],"Pass","Fail"),IF(Table1[[#This Row],[DUT Adj Read]]&gt;=Table1[[#This Row],[Low Tol]],"Pass","Fail")))</f>
        <v>Pass</v>
      </c>
      <c r="AG1095" s="1" t="str">
        <f>IF(AND(Table1[[#This Row],[Spec Type2]]="N/A",Table1[[#This Row],[DUT Adj Read]]="N/A",Table1[[#This Row],[Std Adj Read]]="N/A"),"N/A",IF(Table1[[#This Row],[DUT Adj Read]]="N/A",IF(Table1[[#This Row],[Std Adj Read]]&lt;=Table1[[#This Row],[High Tol]],"Pass","Fail"),IF(Table1[[#This Row],[DUT Adj Read]]&lt;=Table1[[#This Row],[High Tol]],"Pass","Fail")))</f>
        <v>Fail</v>
      </c>
      <c r="AH10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5" s="1" t="b">
        <v>0</v>
      </c>
      <c r="AN1095" s="1" t="b">
        <v>0</v>
      </c>
      <c r="AO1095" s="1" t="b">
        <v>0</v>
      </c>
    </row>
    <row r="1096" spans="1:41" x14ac:dyDescent="0.25">
      <c r="A1096" s="10"/>
      <c r="B1096" s="10"/>
      <c r="C1096" s="10"/>
      <c r="D1096" s="10"/>
      <c r="E1096" s="10"/>
      <c r="F1096" s="10"/>
      <c r="G1096" s="10"/>
      <c r="H1096" s="10"/>
      <c r="I1096" s="1" t="str">
        <f t="shared" si="48"/>
        <v/>
      </c>
      <c r="J1096" s="1" t="s">
        <v>35</v>
      </c>
      <c r="K1096" s="1" t="str">
        <f t="shared" si="49"/>
        <v/>
      </c>
      <c r="L1096" s="1" t="str">
        <f t="shared" si="50"/>
        <v/>
      </c>
      <c r="M1096" s="1">
        <f>IF(OR(Table1[[#This Row],[Std Nom]]="",Table1[[#This Row],[Std Read]]=""),0,Table1[[#This Row],[Std Nom]]-Table1[[#This Row],[Std Read]])</f>
        <v>0</v>
      </c>
      <c r="N1096" s="1">
        <f>IF(Calculations!$F$5="ACCREDITED 17025 WITH UNCERTAINTIES",$N$10,0)</f>
        <v>0</v>
      </c>
      <c r="O1096" s="1" t="str">
        <f>IFERROR(Table1[[#This Row],[Std Nom]]-(_xlfn.XLOOKUP(Table1[[#This Row],[Manufacturer]]&amp;" "&amp;Table1[[#This Row],[Model]],Table13[MFR &amp; MDL],Table13[Tolerance % CW ],"")/100*Table1[[#This Row],[Std Nom]]),"")</f>
        <v/>
      </c>
      <c r="P1096" s="1" t="str">
        <f>IFERROR(Table1[[#This Row],[Std Nom]]+(_xlfn.XLOOKUP(Table1[[#This Row],[Manufacturer]]&amp;" "&amp;Table1[[#This Row],[Model]],Table13[MFR &amp; MDL],Table13[Tolerance % CW ],"")/100*Table1[[#This Row],[Std Nom]]),"")</f>
        <v/>
      </c>
      <c r="Q1096" s="1" t="e">
        <f>Table1[[#This Row],[High Tol]]-Table1[[#This Row],[Low Tol]]</f>
        <v>#VALUE!</v>
      </c>
      <c r="R1096" s="1">
        <f>2*Table1[[#This Row],[Std Error]]</f>
        <v>0</v>
      </c>
      <c r="S1096" s="1" t="str">
        <f>IF(Table1[[#This Row],[High Tol]]="","N/A",IFERROR(ABS(Table1[[#This Row],[Tol Span]]/Table1[[#This Row],[Error Span]]),"N/A"))</f>
        <v>N/A</v>
      </c>
      <c r="T1096" s="1" t="str">
        <f>IF(OR(Table1[[#This Row],[Low Tol]]="",Table1[[#This Row],[High Tol]]=""),"Needs Analysis",IF(Table1[[#This Row],[Ratio]]&gt;=4,"Not Significant",IF(Table1[[#This Row],[Ratio]]&gt;=2,"Semi-Significant","Significant")))</f>
        <v>Needs Analysis</v>
      </c>
      <c r="W1096" s="1">
        <f>IF(Table1[[#This Row],[Cal Type]]&lt;&gt;"ACCREDITED 17025 WITH UNCERTAINTIES",0,"")</f>
        <v>0</v>
      </c>
      <c r="X1096" s="1" t="str">
        <f>IF(Table1[[#This Row],[DUT Read]]="","N/A",Table1[[#This Row],[Std Error]]+Table1[[#This Row],[DUT Read]]+Table1[[#This Row],[DUT Ucty]])</f>
        <v>N/A</v>
      </c>
      <c r="Y1096" s="1" t="str">
        <f>IF(Table1[[#This Row],[Std Read]]="","N/A",Table1[[#This Row],[Std Read]]+Table1[[#This Row],[Std Ucty]])</f>
        <v>N/A</v>
      </c>
      <c r="Z10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6" s="1" t="str">
        <f>IF(Table1[[#This Row],[Spec Type]]="","N/A",Table1[[#This Row],[Spec Type]])</f>
        <v>±</v>
      </c>
      <c r="AC1096" s="1" t="str">
        <f>IF(Table1[[#This Row],[Spec Type2]]="N/A","N/A",IF(AND(Table1[[#This Row],[DUT Adj Read]]&gt;=Table1[[#This Row],[Low Tol]],Table1[[#This Row],[DUT Adj Read]]&lt;=Table1[[#This Row],[High Tol]]),"Pass","Fail"))</f>
        <v>Fail</v>
      </c>
      <c r="AD1096" s="1" t="str">
        <f>IF(AND(Table1[[#This Row],[Spec Type2]]="N/A",Table1[[#This Row],[DUT Adj Read]]="N/A",Table1[[#This Row],[Std Adj Read]]="N/A"),"N/A",IF(Table1[[#This Row],[DUT Adj Read]]="N/A",IF(Table1[[#This Row],[Std Adj Read]]&gt;Table1[[#This Row],[Low Tol]],"Pass","Fail"),IF(Table1[[#This Row],[DUT Adj Read]]&gt;Table1[[#This Row],[Low Tol]],"Pass","Fail")))</f>
        <v>Pass</v>
      </c>
      <c r="AE1096" s="1" t="str">
        <f>IF(AND(Table1[[#This Row],[Spec Type2]]="N/A",Table1[[#This Row],[DUT Adj Read]]="N/A",Table1[[#This Row],[Std Adj Read]]="N/A"),"N/A",IF(Table1[[#This Row],[DUT Adj Read]]="N/A",IF(Table1[[#This Row],[Std Adj Read]]&lt;Table1[[#This Row],[High Tol]],"Pass","Fail"),IF(Table1[[#This Row],[DUT Adj Read]]&lt;Table1[[#This Row],[High Tol]],"Pass","Fail")))</f>
        <v>Fail</v>
      </c>
      <c r="AF1096" s="1" t="str">
        <f>IF(AND(Table1[[#This Row],[Spec Type2]]="N/A",Table1[[#This Row],[DUT Adj Read]]="N/A",Table1[[#This Row],[Std Adj Read]]="N/A"),"N/A",IF(Table1[[#This Row],[DUT Adj Read]]="N/A",IF(Table1[[#This Row],[Std Adj Read]]&gt;=Table1[[#This Row],[Low Tol]],"Pass","Fail"),IF(Table1[[#This Row],[DUT Adj Read]]&gt;=Table1[[#This Row],[Low Tol]],"Pass","Fail")))</f>
        <v>Pass</v>
      </c>
      <c r="AG1096" s="1" t="str">
        <f>IF(AND(Table1[[#This Row],[Spec Type2]]="N/A",Table1[[#This Row],[DUT Adj Read]]="N/A",Table1[[#This Row],[Std Adj Read]]="N/A"),"N/A",IF(Table1[[#This Row],[DUT Adj Read]]="N/A",IF(Table1[[#This Row],[Std Adj Read]]&lt;=Table1[[#This Row],[High Tol]],"Pass","Fail"),IF(Table1[[#This Row],[DUT Adj Read]]&lt;=Table1[[#This Row],[High Tol]],"Pass","Fail")))</f>
        <v>Fail</v>
      </c>
      <c r="AH10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6" s="1" t="b">
        <v>0</v>
      </c>
      <c r="AN1096" s="1" t="b">
        <v>0</v>
      </c>
      <c r="AO1096" s="1" t="b">
        <v>0</v>
      </c>
    </row>
    <row r="1097" spans="1:41" x14ac:dyDescent="0.25">
      <c r="A1097" s="10"/>
      <c r="B1097" s="10"/>
      <c r="C1097" s="10"/>
      <c r="D1097" s="10"/>
      <c r="E1097" s="10"/>
      <c r="F1097" s="10"/>
      <c r="G1097" s="10"/>
      <c r="H1097" s="10"/>
      <c r="I1097" s="1" t="str">
        <f t="shared" si="48"/>
        <v/>
      </c>
      <c r="J1097" s="1" t="s">
        <v>35</v>
      </c>
      <c r="K1097" s="1" t="str">
        <f t="shared" si="49"/>
        <v/>
      </c>
      <c r="L1097" s="1" t="str">
        <f t="shared" si="50"/>
        <v/>
      </c>
      <c r="M1097" s="1">
        <f>IF(OR(Table1[[#This Row],[Std Nom]]="",Table1[[#This Row],[Std Read]]=""),0,Table1[[#This Row],[Std Nom]]-Table1[[#This Row],[Std Read]])</f>
        <v>0</v>
      </c>
      <c r="N1097" s="1">
        <f>IF(Calculations!$F$5="ACCREDITED 17025 WITH UNCERTAINTIES",$N$10,0)</f>
        <v>0</v>
      </c>
      <c r="O1097" s="1" t="str">
        <f>IFERROR(Table1[[#This Row],[Std Nom]]-(_xlfn.XLOOKUP(Table1[[#This Row],[Manufacturer]]&amp;" "&amp;Table1[[#This Row],[Model]],Table13[MFR &amp; MDL],Table13[Tolerance % CW ],"")/100*Table1[[#This Row],[Std Nom]]),"")</f>
        <v/>
      </c>
      <c r="P1097" s="1" t="str">
        <f>IFERROR(Table1[[#This Row],[Std Nom]]+(_xlfn.XLOOKUP(Table1[[#This Row],[Manufacturer]]&amp;" "&amp;Table1[[#This Row],[Model]],Table13[MFR &amp; MDL],Table13[Tolerance % CW ],"")/100*Table1[[#This Row],[Std Nom]]),"")</f>
        <v/>
      </c>
      <c r="Q1097" s="1" t="e">
        <f>Table1[[#This Row],[High Tol]]-Table1[[#This Row],[Low Tol]]</f>
        <v>#VALUE!</v>
      </c>
      <c r="R1097" s="1">
        <f>2*Table1[[#This Row],[Std Error]]</f>
        <v>0</v>
      </c>
      <c r="S1097" s="1" t="str">
        <f>IF(Table1[[#This Row],[High Tol]]="","N/A",IFERROR(ABS(Table1[[#This Row],[Tol Span]]/Table1[[#This Row],[Error Span]]),"N/A"))</f>
        <v>N/A</v>
      </c>
      <c r="T1097" s="1" t="str">
        <f>IF(OR(Table1[[#This Row],[Low Tol]]="",Table1[[#This Row],[High Tol]]=""),"Needs Analysis",IF(Table1[[#This Row],[Ratio]]&gt;=4,"Not Significant",IF(Table1[[#This Row],[Ratio]]&gt;=2,"Semi-Significant","Significant")))</f>
        <v>Needs Analysis</v>
      </c>
      <c r="W1097" s="1">
        <f>IF(Table1[[#This Row],[Cal Type]]&lt;&gt;"ACCREDITED 17025 WITH UNCERTAINTIES",0,"")</f>
        <v>0</v>
      </c>
      <c r="X1097" s="1" t="str">
        <f>IF(Table1[[#This Row],[DUT Read]]="","N/A",Table1[[#This Row],[Std Error]]+Table1[[#This Row],[DUT Read]]+Table1[[#This Row],[DUT Ucty]])</f>
        <v>N/A</v>
      </c>
      <c r="Y1097" s="1" t="str">
        <f>IF(Table1[[#This Row],[Std Read]]="","N/A",Table1[[#This Row],[Std Read]]+Table1[[#This Row],[Std Ucty]])</f>
        <v>N/A</v>
      </c>
      <c r="Z10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7" s="1" t="str">
        <f>IF(Table1[[#This Row],[Spec Type]]="","N/A",Table1[[#This Row],[Spec Type]])</f>
        <v>±</v>
      </c>
      <c r="AC1097" s="1" t="str">
        <f>IF(Table1[[#This Row],[Spec Type2]]="N/A","N/A",IF(AND(Table1[[#This Row],[DUT Adj Read]]&gt;=Table1[[#This Row],[Low Tol]],Table1[[#This Row],[DUT Adj Read]]&lt;=Table1[[#This Row],[High Tol]]),"Pass","Fail"))</f>
        <v>Fail</v>
      </c>
      <c r="AD1097" s="1" t="str">
        <f>IF(AND(Table1[[#This Row],[Spec Type2]]="N/A",Table1[[#This Row],[DUT Adj Read]]="N/A",Table1[[#This Row],[Std Adj Read]]="N/A"),"N/A",IF(Table1[[#This Row],[DUT Adj Read]]="N/A",IF(Table1[[#This Row],[Std Adj Read]]&gt;Table1[[#This Row],[Low Tol]],"Pass","Fail"),IF(Table1[[#This Row],[DUT Adj Read]]&gt;Table1[[#This Row],[Low Tol]],"Pass","Fail")))</f>
        <v>Pass</v>
      </c>
      <c r="AE1097" s="1" t="str">
        <f>IF(AND(Table1[[#This Row],[Spec Type2]]="N/A",Table1[[#This Row],[DUT Adj Read]]="N/A",Table1[[#This Row],[Std Adj Read]]="N/A"),"N/A",IF(Table1[[#This Row],[DUT Adj Read]]="N/A",IF(Table1[[#This Row],[Std Adj Read]]&lt;Table1[[#This Row],[High Tol]],"Pass","Fail"),IF(Table1[[#This Row],[DUT Adj Read]]&lt;Table1[[#This Row],[High Tol]],"Pass","Fail")))</f>
        <v>Fail</v>
      </c>
      <c r="AF1097" s="1" t="str">
        <f>IF(AND(Table1[[#This Row],[Spec Type2]]="N/A",Table1[[#This Row],[DUT Adj Read]]="N/A",Table1[[#This Row],[Std Adj Read]]="N/A"),"N/A",IF(Table1[[#This Row],[DUT Adj Read]]="N/A",IF(Table1[[#This Row],[Std Adj Read]]&gt;=Table1[[#This Row],[Low Tol]],"Pass","Fail"),IF(Table1[[#This Row],[DUT Adj Read]]&gt;=Table1[[#This Row],[Low Tol]],"Pass","Fail")))</f>
        <v>Pass</v>
      </c>
      <c r="AG1097" s="1" t="str">
        <f>IF(AND(Table1[[#This Row],[Spec Type2]]="N/A",Table1[[#This Row],[DUT Adj Read]]="N/A",Table1[[#This Row],[Std Adj Read]]="N/A"),"N/A",IF(Table1[[#This Row],[DUT Adj Read]]="N/A",IF(Table1[[#This Row],[Std Adj Read]]&lt;=Table1[[#This Row],[High Tol]],"Pass","Fail"),IF(Table1[[#This Row],[DUT Adj Read]]&lt;=Table1[[#This Row],[High Tol]],"Pass","Fail")))</f>
        <v>Fail</v>
      </c>
      <c r="AH10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7" s="1" t="b">
        <v>0</v>
      </c>
      <c r="AN1097" s="1" t="b">
        <v>0</v>
      </c>
      <c r="AO1097" s="1" t="b">
        <v>0</v>
      </c>
    </row>
    <row r="1098" spans="1:41" x14ac:dyDescent="0.25">
      <c r="A1098" s="10"/>
      <c r="B1098" s="10"/>
      <c r="C1098" s="10"/>
      <c r="D1098" s="10"/>
      <c r="E1098" s="10"/>
      <c r="F1098" s="10"/>
      <c r="G1098" s="10"/>
      <c r="H1098" s="10"/>
      <c r="I1098" s="1" t="str">
        <f t="shared" si="48"/>
        <v/>
      </c>
      <c r="J1098" s="1" t="s">
        <v>35</v>
      </c>
      <c r="K1098" s="1" t="str">
        <f t="shared" si="49"/>
        <v/>
      </c>
      <c r="L1098" s="1" t="str">
        <f t="shared" si="50"/>
        <v/>
      </c>
      <c r="M1098" s="1">
        <f>IF(OR(Table1[[#This Row],[Std Nom]]="",Table1[[#This Row],[Std Read]]=""),0,Table1[[#This Row],[Std Nom]]-Table1[[#This Row],[Std Read]])</f>
        <v>0</v>
      </c>
      <c r="N1098" s="1">
        <f>IF(Calculations!$F$5="ACCREDITED 17025 WITH UNCERTAINTIES",$N$10,0)</f>
        <v>0</v>
      </c>
      <c r="O1098" s="1" t="str">
        <f>IFERROR(Table1[[#This Row],[Std Nom]]-(_xlfn.XLOOKUP(Table1[[#This Row],[Manufacturer]]&amp;" "&amp;Table1[[#This Row],[Model]],Table13[MFR &amp; MDL],Table13[Tolerance % CW ],"")/100*Table1[[#This Row],[Std Nom]]),"")</f>
        <v/>
      </c>
      <c r="P1098" s="1" t="str">
        <f>IFERROR(Table1[[#This Row],[Std Nom]]+(_xlfn.XLOOKUP(Table1[[#This Row],[Manufacturer]]&amp;" "&amp;Table1[[#This Row],[Model]],Table13[MFR &amp; MDL],Table13[Tolerance % CW ],"")/100*Table1[[#This Row],[Std Nom]]),"")</f>
        <v/>
      </c>
      <c r="Q1098" s="1" t="e">
        <f>Table1[[#This Row],[High Tol]]-Table1[[#This Row],[Low Tol]]</f>
        <v>#VALUE!</v>
      </c>
      <c r="R1098" s="1">
        <f>2*Table1[[#This Row],[Std Error]]</f>
        <v>0</v>
      </c>
      <c r="S1098" s="1" t="str">
        <f>IF(Table1[[#This Row],[High Tol]]="","N/A",IFERROR(ABS(Table1[[#This Row],[Tol Span]]/Table1[[#This Row],[Error Span]]),"N/A"))</f>
        <v>N/A</v>
      </c>
      <c r="T1098" s="1" t="str">
        <f>IF(OR(Table1[[#This Row],[Low Tol]]="",Table1[[#This Row],[High Tol]]=""),"Needs Analysis",IF(Table1[[#This Row],[Ratio]]&gt;=4,"Not Significant",IF(Table1[[#This Row],[Ratio]]&gt;=2,"Semi-Significant","Significant")))</f>
        <v>Needs Analysis</v>
      </c>
      <c r="W1098" s="1">
        <f>IF(Table1[[#This Row],[Cal Type]]&lt;&gt;"ACCREDITED 17025 WITH UNCERTAINTIES",0,"")</f>
        <v>0</v>
      </c>
      <c r="X1098" s="1" t="str">
        <f>IF(Table1[[#This Row],[DUT Read]]="","N/A",Table1[[#This Row],[Std Error]]+Table1[[#This Row],[DUT Read]]+Table1[[#This Row],[DUT Ucty]])</f>
        <v>N/A</v>
      </c>
      <c r="Y1098" s="1" t="str">
        <f>IF(Table1[[#This Row],[Std Read]]="","N/A",Table1[[#This Row],[Std Read]]+Table1[[#This Row],[Std Ucty]])</f>
        <v>N/A</v>
      </c>
      <c r="Z10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8" s="1" t="str">
        <f>IF(Table1[[#This Row],[Spec Type]]="","N/A",Table1[[#This Row],[Spec Type]])</f>
        <v>±</v>
      </c>
      <c r="AC1098" s="1" t="str">
        <f>IF(Table1[[#This Row],[Spec Type2]]="N/A","N/A",IF(AND(Table1[[#This Row],[DUT Adj Read]]&gt;=Table1[[#This Row],[Low Tol]],Table1[[#This Row],[DUT Adj Read]]&lt;=Table1[[#This Row],[High Tol]]),"Pass","Fail"))</f>
        <v>Fail</v>
      </c>
      <c r="AD1098" s="1" t="str">
        <f>IF(AND(Table1[[#This Row],[Spec Type2]]="N/A",Table1[[#This Row],[DUT Adj Read]]="N/A",Table1[[#This Row],[Std Adj Read]]="N/A"),"N/A",IF(Table1[[#This Row],[DUT Adj Read]]="N/A",IF(Table1[[#This Row],[Std Adj Read]]&gt;Table1[[#This Row],[Low Tol]],"Pass","Fail"),IF(Table1[[#This Row],[DUT Adj Read]]&gt;Table1[[#This Row],[Low Tol]],"Pass","Fail")))</f>
        <v>Pass</v>
      </c>
      <c r="AE1098" s="1" t="str">
        <f>IF(AND(Table1[[#This Row],[Spec Type2]]="N/A",Table1[[#This Row],[DUT Adj Read]]="N/A",Table1[[#This Row],[Std Adj Read]]="N/A"),"N/A",IF(Table1[[#This Row],[DUT Adj Read]]="N/A",IF(Table1[[#This Row],[Std Adj Read]]&lt;Table1[[#This Row],[High Tol]],"Pass","Fail"),IF(Table1[[#This Row],[DUT Adj Read]]&lt;Table1[[#This Row],[High Tol]],"Pass","Fail")))</f>
        <v>Fail</v>
      </c>
      <c r="AF1098" s="1" t="str">
        <f>IF(AND(Table1[[#This Row],[Spec Type2]]="N/A",Table1[[#This Row],[DUT Adj Read]]="N/A",Table1[[#This Row],[Std Adj Read]]="N/A"),"N/A",IF(Table1[[#This Row],[DUT Adj Read]]="N/A",IF(Table1[[#This Row],[Std Adj Read]]&gt;=Table1[[#This Row],[Low Tol]],"Pass","Fail"),IF(Table1[[#This Row],[DUT Adj Read]]&gt;=Table1[[#This Row],[Low Tol]],"Pass","Fail")))</f>
        <v>Pass</v>
      </c>
      <c r="AG1098" s="1" t="str">
        <f>IF(AND(Table1[[#This Row],[Spec Type2]]="N/A",Table1[[#This Row],[DUT Adj Read]]="N/A",Table1[[#This Row],[Std Adj Read]]="N/A"),"N/A",IF(Table1[[#This Row],[DUT Adj Read]]="N/A",IF(Table1[[#This Row],[Std Adj Read]]&lt;=Table1[[#This Row],[High Tol]],"Pass","Fail"),IF(Table1[[#This Row],[DUT Adj Read]]&lt;=Table1[[#This Row],[High Tol]],"Pass","Fail")))</f>
        <v>Fail</v>
      </c>
      <c r="AH10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8" s="1" t="b">
        <v>0</v>
      </c>
      <c r="AN1098" s="1" t="b">
        <v>0</v>
      </c>
      <c r="AO1098" s="1" t="b">
        <v>0</v>
      </c>
    </row>
    <row r="1099" spans="1:41" x14ac:dyDescent="0.25">
      <c r="A1099" s="10"/>
      <c r="B1099" s="10"/>
      <c r="C1099" s="10"/>
      <c r="D1099" s="10"/>
      <c r="E1099" s="10"/>
      <c r="F1099" s="10"/>
      <c r="G1099" s="10"/>
      <c r="H1099" s="10"/>
      <c r="I1099" s="1" t="str">
        <f t="shared" ref="I1099:I1162" si="51">IF($I$10="","",$I$10)</f>
        <v/>
      </c>
      <c r="J1099" s="1" t="s">
        <v>35</v>
      </c>
      <c r="K1099" s="1" t="str">
        <f t="shared" ref="K1099:K1162" si="52">IF($K$10="","",$K$10)</f>
        <v/>
      </c>
      <c r="L1099" s="1" t="str">
        <f t="shared" ref="L1099:L1162" si="53">IF($L$10="","",$L$10)</f>
        <v/>
      </c>
      <c r="M1099" s="1">
        <f>IF(OR(Table1[[#This Row],[Std Nom]]="",Table1[[#This Row],[Std Read]]=""),0,Table1[[#This Row],[Std Nom]]-Table1[[#This Row],[Std Read]])</f>
        <v>0</v>
      </c>
      <c r="N1099" s="1">
        <f>IF(Calculations!$F$5="ACCREDITED 17025 WITH UNCERTAINTIES",$N$10,0)</f>
        <v>0</v>
      </c>
      <c r="O1099" s="1" t="str">
        <f>IFERROR(Table1[[#This Row],[Std Nom]]-(_xlfn.XLOOKUP(Table1[[#This Row],[Manufacturer]]&amp;" "&amp;Table1[[#This Row],[Model]],Table13[MFR &amp; MDL],Table13[Tolerance % CW ],"")/100*Table1[[#This Row],[Std Nom]]),"")</f>
        <v/>
      </c>
      <c r="P1099" s="1" t="str">
        <f>IFERROR(Table1[[#This Row],[Std Nom]]+(_xlfn.XLOOKUP(Table1[[#This Row],[Manufacturer]]&amp;" "&amp;Table1[[#This Row],[Model]],Table13[MFR &amp; MDL],Table13[Tolerance % CW ],"")/100*Table1[[#This Row],[Std Nom]]),"")</f>
        <v/>
      </c>
      <c r="Q1099" s="1" t="e">
        <f>Table1[[#This Row],[High Tol]]-Table1[[#This Row],[Low Tol]]</f>
        <v>#VALUE!</v>
      </c>
      <c r="R1099" s="1">
        <f>2*Table1[[#This Row],[Std Error]]</f>
        <v>0</v>
      </c>
      <c r="S1099" s="1" t="str">
        <f>IF(Table1[[#This Row],[High Tol]]="","N/A",IFERROR(ABS(Table1[[#This Row],[Tol Span]]/Table1[[#This Row],[Error Span]]),"N/A"))</f>
        <v>N/A</v>
      </c>
      <c r="T1099" s="1" t="str">
        <f>IF(OR(Table1[[#This Row],[Low Tol]]="",Table1[[#This Row],[High Tol]]=""),"Needs Analysis",IF(Table1[[#This Row],[Ratio]]&gt;=4,"Not Significant",IF(Table1[[#This Row],[Ratio]]&gt;=2,"Semi-Significant","Significant")))</f>
        <v>Needs Analysis</v>
      </c>
      <c r="W1099" s="1">
        <f>IF(Table1[[#This Row],[Cal Type]]&lt;&gt;"ACCREDITED 17025 WITH UNCERTAINTIES",0,"")</f>
        <v>0</v>
      </c>
      <c r="X1099" s="1" t="str">
        <f>IF(Table1[[#This Row],[DUT Read]]="","N/A",Table1[[#This Row],[Std Error]]+Table1[[#This Row],[DUT Read]]+Table1[[#This Row],[DUT Ucty]])</f>
        <v>N/A</v>
      </c>
      <c r="Y1099" s="1" t="str">
        <f>IF(Table1[[#This Row],[Std Read]]="","N/A",Table1[[#This Row],[Std Read]]+Table1[[#This Row],[Std Ucty]])</f>
        <v>N/A</v>
      </c>
      <c r="Z10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9" s="1" t="str">
        <f>IF(Table1[[#This Row],[Spec Type]]="","N/A",Table1[[#This Row],[Spec Type]])</f>
        <v>±</v>
      </c>
      <c r="AC1099" s="1" t="str">
        <f>IF(Table1[[#This Row],[Spec Type2]]="N/A","N/A",IF(AND(Table1[[#This Row],[DUT Adj Read]]&gt;=Table1[[#This Row],[Low Tol]],Table1[[#This Row],[DUT Adj Read]]&lt;=Table1[[#This Row],[High Tol]]),"Pass","Fail"))</f>
        <v>Fail</v>
      </c>
      <c r="AD1099" s="1" t="str">
        <f>IF(AND(Table1[[#This Row],[Spec Type2]]="N/A",Table1[[#This Row],[DUT Adj Read]]="N/A",Table1[[#This Row],[Std Adj Read]]="N/A"),"N/A",IF(Table1[[#This Row],[DUT Adj Read]]="N/A",IF(Table1[[#This Row],[Std Adj Read]]&gt;Table1[[#This Row],[Low Tol]],"Pass","Fail"),IF(Table1[[#This Row],[DUT Adj Read]]&gt;Table1[[#This Row],[Low Tol]],"Pass","Fail")))</f>
        <v>Pass</v>
      </c>
      <c r="AE1099" s="1" t="str">
        <f>IF(AND(Table1[[#This Row],[Spec Type2]]="N/A",Table1[[#This Row],[DUT Adj Read]]="N/A",Table1[[#This Row],[Std Adj Read]]="N/A"),"N/A",IF(Table1[[#This Row],[DUT Adj Read]]="N/A",IF(Table1[[#This Row],[Std Adj Read]]&lt;Table1[[#This Row],[High Tol]],"Pass","Fail"),IF(Table1[[#This Row],[DUT Adj Read]]&lt;Table1[[#This Row],[High Tol]],"Pass","Fail")))</f>
        <v>Fail</v>
      </c>
      <c r="AF1099" s="1" t="str">
        <f>IF(AND(Table1[[#This Row],[Spec Type2]]="N/A",Table1[[#This Row],[DUT Adj Read]]="N/A",Table1[[#This Row],[Std Adj Read]]="N/A"),"N/A",IF(Table1[[#This Row],[DUT Adj Read]]="N/A",IF(Table1[[#This Row],[Std Adj Read]]&gt;=Table1[[#This Row],[Low Tol]],"Pass","Fail"),IF(Table1[[#This Row],[DUT Adj Read]]&gt;=Table1[[#This Row],[Low Tol]],"Pass","Fail")))</f>
        <v>Pass</v>
      </c>
      <c r="AG1099" s="1" t="str">
        <f>IF(AND(Table1[[#This Row],[Spec Type2]]="N/A",Table1[[#This Row],[DUT Adj Read]]="N/A",Table1[[#This Row],[Std Adj Read]]="N/A"),"N/A",IF(Table1[[#This Row],[DUT Adj Read]]="N/A",IF(Table1[[#This Row],[Std Adj Read]]&lt;=Table1[[#This Row],[High Tol]],"Pass","Fail"),IF(Table1[[#This Row],[DUT Adj Read]]&lt;=Table1[[#This Row],[High Tol]],"Pass","Fail")))</f>
        <v>Fail</v>
      </c>
      <c r="AH10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9" s="1" t="b">
        <v>0</v>
      </c>
      <c r="AN1099" s="1" t="b">
        <v>0</v>
      </c>
      <c r="AO1099" s="1" t="b">
        <v>0</v>
      </c>
    </row>
    <row r="1100" spans="1:41" x14ac:dyDescent="0.25">
      <c r="A1100" s="10"/>
      <c r="B1100" s="10"/>
      <c r="C1100" s="10"/>
      <c r="D1100" s="10"/>
      <c r="E1100" s="10"/>
      <c r="F1100" s="10"/>
      <c r="G1100" s="10"/>
      <c r="H1100" s="10"/>
      <c r="I1100" s="1" t="str">
        <f t="shared" si="51"/>
        <v/>
      </c>
      <c r="J1100" s="1" t="s">
        <v>35</v>
      </c>
      <c r="K1100" s="1" t="str">
        <f t="shared" si="52"/>
        <v/>
      </c>
      <c r="L1100" s="1" t="str">
        <f t="shared" si="53"/>
        <v/>
      </c>
      <c r="M1100" s="1">
        <f>IF(OR(Table1[[#This Row],[Std Nom]]="",Table1[[#This Row],[Std Read]]=""),0,Table1[[#This Row],[Std Nom]]-Table1[[#This Row],[Std Read]])</f>
        <v>0</v>
      </c>
      <c r="N1100" s="1">
        <f>IF(Calculations!$F$5="ACCREDITED 17025 WITH UNCERTAINTIES",$N$10,0)</f>
        <v>0</v>
      </c>
      <c r="O1100" s="1" t="str">
        <f>IFERROR(Table1[[#This Row],[Std Nom]]-(_xlfn.XLOOKUP(Table1[[#This Row],[Manufacturer]]&amp;" "&amp;Table1[[#This Row],[Model]],Table13[MFR &amp; MDL],Table13[Tolerance % CW ],"")/100*Table1[[#This Row],[Std Nom]]),"")</f>
        <v/>
      </c>
      <c r="P1100" s="1" t="str">
        <f>IFERROR(Table1[[#This Row],[Std Nom]]+(_xlfn.XLOOKUP(Table1[[#This Row],[Manufacturer]]&amp;" "&amp;Table1[[#This Row],[Model]],Table13[MFR &amp; MDL],Table13[Tolerance % CW ],"")/100*Table1[[#This Row],[Std Nom]]),"")</f>
        <v/>
      </c>
      <c r="Q1100" s="1" t="e">
        <f>Table1[[#This Row],[High Tol]]-Table1[[#This Row],[Low Tol]]</f>
        <v>#VALUE!</v>
      </c>
      <c r="R1100" s="1">
        <f>2*Table1[[#This Row],[Std Error]]</f>
        <v>0</v>
      </c>
      <c r="S1100" s="1" t="str">
        <f>IF(Table1[[#This Row],[High Tol]]="","N/A",IFERROR(ABS(Table1[[#This Row],[Tol Span]]/Table1[[#This Row],[Error Span]]),"N/A"))</f>
        <v>N/A</v>
      </c>
      <c r="T1100" s="1" t="str">
        <f>IF(OR(Table1[[#This Row],[Low Tol]]="",Table1[[#This Row],[High Tol]]=""),"Needs Analysis",IF(Table1[[#This Row],[Ratio]]&gt;=4,"Not Significant",IF(Table1[[#This Row],[Ratio]]&gt;=2,"Semi-Significant","Significant")))</f>
        <v>Needs Analysis</v>
      </c>
      <c r="W1100" s="1">
        <f>IF(Table1[[#This Row],[Cal Type]]&lt;&gt;"ACCREDITED 17025 WITH UNCERTAINTIES",0,"")</f>
        <v>0</v>
      </c>
      <c r="X1100" s="1" t="str">
        <f>IF(Table1[[#This Row],[DUT Read]]="","N/A",Table1[[#This Row],[Std Error]]+Table1[[#This Row],[DUT Read]]+Table1[[#This Row],[DUT Ucty]])</f>
        <v>N/A</v>
      </c>
      <c r="Y1100" s="1" t="str">
        <f>IF(Table1[[#This Row],[Std Read]]="","N/A",Table1[[#This Row],[Std Read]]+Table1[[#This Row],[Std Ucty]])</f>
        <v>N/A</v>
      </c>
      <c r="Z11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0" s="1" t="str">
        <f>IF(Table1[[#This Row],[Spec Type]]="","N/A",Table1[[#This Row],[Spec Type]])</f>
        <v>±</v>
      </c>
      <c r="AC1100" s="1" t="str">
        <f>IF(Table1[[#This Row],[Spec Type2]]="N/A","N/A",IF(AND(Table1[[#This Row],[DUT Adj Read]]&gt;=Table1[[#This Row],[Low Tol]],Table1[[#This Row],[DUT Adj Read]]&lt;=Table1[[#This Row],[High Tol]]),"Pass","Fail"))</f>
        <v>Fail</v>
      </c>
      <c r="AD1100" s="1" t="str">
        <f>IF(AND(Table1[[#This Row],[Spec Type2]]="N/A",Table1[[#This Row],[DUT Adj Read]]="N/A",Table1[[#This Row],[Std Adj Read]]="N/A"),"N/A",IF(Table1[[#This Row],[DUT Adj Read]]="N/A",IF(Table1[[#This Row],[Std Adj Read]]&gt;Table1[[#This Row],[Low Tol]],"Pass","Fail"),IF(Table1[[#This Row],[DUT Adj Read]]&gt;Table1[[#This Row],[Low Tol]],"Pass","Fail")))</f>
        <v>Pass</v>
      </c>
      <c r="AE1100" s="1" t="str">
        <f>IF(AND(Table1[[#This Row],[Spec Type2]]="N/A",Table1[[#This Row],[DUT Adj Read]]="N/A",Table1[[#This Row],[Std Adj Read]]="N/A"),"N/A",IF(Table1[[#This Row],[DUT Adj Read]]="N/A",IF(Table1[[#This Row],[Std Adj Read]]&lt;Table1[[#This Row],[High Tol]],"Pass","Fail"),IF(Table1[[#This Row],[DUT Adj Read]]&lt;Table1[[#This Row],[High Tol]],"Pass","Fail")))</f>
        <v>Fail</v>
      </c>
      <c r="AF1100" s="1" t="str">
        <f>IF(AND(Table1[[#This Row],[Spec Type2]]="N/A",Table1[[#This Row],[DUT Adj Read]]="N/A",Table1[[#This Row],[Std Adj Read]]="N/A"),"N/A",IF(Table1[[#This Row],[DUT Adj Read]]="N/A",IF(Table1[[#This Row],[Std Adj Read]]&gt;=Table1[[#This Row],[Low Tol]],"Pass","Fail"),IF(Table1[[#This Row],[DUT Adj Read]]&gt;=Table1[[#This Row],[Low Tol]],"Pass","Fail")))</f>
        <v>Pass</v>
      </c>
      <c r="AG1100" s="1" t="str">
        <f>IF(AND(Table1[[#This Row],[Spec Type2]]="N/A",Table1[[#This Row],[DUT Adj Read]]="N/A",Table1[[#This Row],[Std Adj Read]]="N/A"),"N/A",IF(Table1[[#This Row],[DUT Adj Read]]="N/A",IF(Table1[[#This Row],[Std Adj Read]]&lt;=Table1[[#This Row],[High Tol]],"Pass","Fail"),IF(Table1[[#This Row],[DUT Adj Read]]&lt;=Table1[[#This Row],[High Tol]],"Pass","Fail")))</f>
        <v>Fail</v>
      </c>
      <c r="AH11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0" s="1" t="b">
        <v>0</v>
      </c>
      <c r="AN1100" s="1" t="b">
        <v>0</v>
      </c>
      <c r="AO1100" s="1" t="b">
        <v>0</v>
      </c>
    </row>
    <row r="1101" spans="1:41" x14ac:dyDescent="0.25">
      <c r="A1101" s="10"/>
      <c r="B1101" s="10"/>
      <c r="C1101" s="10"/>
      <c r="D1101" s="10"/>
      <c r="E1101" s="10"/>
      <c r="F1101" s="10"/>
      <c r="G1101" s="10"/>
      <c r="H1101" s="10"/>
      <c r="I1101" s="1" t="str">
        <f t="shared" si="51"/>
        <v/>
      </c>
      <c r="J1101" s="1" t="s">
        <v>35</v>
      </c>
      <c r="K1101" s="1" t="str">
        <f t="shared" si="52"/>
        <v/>
      </c>
      <c r="L1101" s="1" t="str">
        <f t="shared" si="53"/>
        <v/>
      </c>
      <c r="M1101" s="1">
        <f>IF(OR(Table1[[#This Row],[Std Nom]]="",Table1[[#This Row],[Std Read]]=""),0,Table1[[#This Row],[Std Nom]]-Table1[[#This Row],[Std Read]])</f>
        <v>0</v>
      </c>
      <c r="N1101" s="1">
        <f>IF(Calculations!$F$5="ACCREDITED 17025 WITH UNCERTAINTIES",$N$10,0)</f>
        <v>0</v>
      </c>
      <c r="O1101" s="1" t="str">
        <f>IFERROR(Table1[[#This Row],[Std Nom]]-(_xlfn.XLOOKUP(Table1[[#This Row],[Manufacturer]]&amp;" "&amp;Table1[[#This Row],[Model]],Table13[MFR &amp; MDL],Table13[Tolerance % CW ],"")/100*Table1[[#This Row],[Std Nom]]),"")</f>
        <v/>
      </c>
      <c r="P1101" s="1" t="str">
        <f>IFERROR(Table1[[#This Row],[Std Nom]]+(_xlfn.XLOOKUP(Table1[[#This Row],[Manufacturer]]&amp;" "&amp;Table1[[#This Row],[Model]],Table13[MFR &amp; MDL],Table13[Tolerance % CW ],"")/100*Table1[[#This Row],[Std Nom]]),"")</f>
        <v/>
      </c>
      <c r="Q1101" s="1" t="e">
        <f>Table1[[#This Row],[High Tol]]-Table1[[#This Row],[Low Tol]]</f>
        <v>#VALUE!</v>
      </c>
      <c r="R1101" s="1">
        <f>2*Table1[[#This Row],[Std Error]]</f>
        <v>0</v>
      </c>
      <c r="S1101" s="1" t="str">
        <f>IF(Table1[[#This Row],[High Tol]]="","N/A",IFERROR(ABS(Table1[[#This Row],[Tol Span]]/Table1[[#This Row],[Error Span]]),"N/A"))</f>
        <v>N/A</v>
      </c>
      <c r="T1101" s="1" t="str">
        <f>IF(OR(Table1[[#This Row],[Low Tol]]="",Table1[[#This Row],[High Tol]]=""),"Needs Analysis",IF(Table1[[#This Row],[Ratio]]&gt;=4,"Not Significant",IF(Table1[[#This Row],[Ratio]]&gt;=2,"Semi-Significant","Significant")))</f>
        <v>Needs Analysis</v>
      </c>
      <c r="W1101" s="1">
        <f>IF(Table1[[#This Row],[Cal Type]]&lt;&gt;"ACCREDITED 17025 WITH UNCERTAINTIES",0,"")</f>
        <v>0</v>
      </c>
      <c r="X1101" s="1" t="str">
        <f>IF(Table1[[#This Row],[DUT Read]]="","N/A",Table1[[#This Row],[Std Error]]+Table1[[#This Row],[DUT Read]]+Table1[[#This Row],[DUT Ucty]])</f>
        <v>N/A</v>
      </c>
      <c r="Y1101" s="1" t="str">
        <f>IF(Table1[[#This Row],[Std Read]]="","N/A",Table1[[#This Row],[Std Read]]+Table1[[#This Row],[Std Ucty]])</f>
        <v>N/A</v>
      </c>
      <c r="Z11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1" s="1" t="str">
        <f>IF(Table1[[#This Row],[Spec Type]]="","N/A",Table1[[#This Row],[Spec Type]])</f>
        <v>±</v>
      </c>
      <c r="AC1101" s="1" t="str">
        <f>IF(Table1[[#This Row],[Spec Type2]]="N/A","N/A",IF(AND(Table1[[#This Row],[DUT Adj Read]]&gt;=Table1[[#This Row],[Low Tol]],Table1[[#This Row],[DUT Adj Read]]&lt;=Table1[[#This Row],[High Tol]]),"Pass","Fail"))</f>
        <v>Fail</v>
      </c>
      <c r="AD1101" s="1" t="str">
        <f>IF(AND(Table1[[#This Row],[Spec Type2]]="N/A",Table1[[#This Row],[DUT Adj Read]]="N/A",Table1[[#This Row],[Std Adj Read]]="N/A"),"N/A",IF(Table1[[#This Row],[DUT Adj Read]]="N/A",IF(Table1[[#This Row],[Std Adj Read]]&gt;Table1[[#This Row],[Low Tol]],"Pass","Fail"),IF(Table1[[#This Row],[DUT Adj Read]]&gt;Table1[[#This Row],[Low Tol]],"Pass","Fail")))</f>
        <v>Pass</v>
      </c>
      <c r="AE1101" s="1" t="str">
        <f>IF(AND(Table1[[#This Row],[Spec Type2]]="N/A",Table1[[#This Row],[DUT Adj Read]]="N/A",Table1[[#This Row],[Std Adj Read]]="N/A"),"N/A",IF(Table1[[#This Row],[DUT Adj Read]]="N/A",IF(Table1[[#This Row],[Std Adj Read]]&lt;Table1[[#This Row],[High Tol]],"Pass","Fail"),IF(Table1[[#This Row],[DUT Adj Read]]&lt;Table1[[#This Row],[High Tol]],"Pass","Fail")))</f>
        <v>Fail</v>
      </c>
      <c r="AF1101" s="1" t="str">
        <f>IF(AND(Table1[[#This Row],[Spec Type2]]="N/A",Table1[[#This Row],[DUT Adj Read]]="N/A",Table1[[#This Row],[Std Adj Read]]="N/A"),"N/A",IF(Table1[[#This Row],[DUT Adj Read]]="N/A",IF(Table1[[#This Row],[Std Adj Read]]&gt;=Table1[[#This Row],[Low Tol]],"Pass","Fail"),IF(Table1[[#This Row],[DUT Adj Read]]&gt;=Table1[[#This Row],[Low Tol]],"Pass","Fail")))</f>
        <v>Pass</v>
      </c>
      <c r="AG1101" s="1" t="str">
        <f>IF(AND(Table1[[#This Row],[Spec Type2]]="N/A",Table1[[#This Row],[DUT Adj Read]]="N/A",Table1[[#This Row],[Std Adj Read]]="N/A"),"N/A",IF(Table1[[#This Row],[DUT Adj Read]]="N/A",IF(Table1[[#This Row],[Std Adj Read]]&lt;=Table1[[#This Row],[High Tol]],"Pass","Fail"),IF(Table1[[#This Row],[DUT Adj Read]]&lt;=Table1[[#This Row],[High Tol]],"Pass","Fail")))</f>
        <v>Fail</v>
      </c>
      <c r="AH11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1" s="1" t="b">
        <v>0</v>
      </c>
      <c r="AN1101" s="1" t="b">
        <v>0</v>
      </c>
      <c r="AO1101" s="1" t="b">
        <v>0</v>
      </c>
    </row>
    <row r="1102" spans="1:41" x14ac:dyDescent="0.25">
      <c r="A1102" s="10"/>
      <c r="B1102" s="10"/>
      <c r="C1102" s="10"/>
      <c r="D1102" s="10"/>
      <c r="E1102" s="10"/>
      <c r="F1102" s="10"/>
      <c r="G1102" s="10"/>
      <c r="H1102" s="10"/>
      <c r="I1102" s="1" t="str">
        <f t="shared" si="51"/>
        <v/>
      </c>
      <c r="J1102" s="1" t="s">
        <v>35</v>
      </c>
      <c r="K1102" s="1" t="str">
        <f t="shared" si="52"/>
        <v/>
      </c>
      <c r="L1102" s="1" t="str">
        <f t="shared" si="53"/>
        <v/>
      </c>
      <c r="M1102" s="1">
        <f>IF(OR(Table1[[#This Row],[Std Nom]]="",Table1[[#This Row],[Std Read]]=""),0,Table1[[#This Row],[Std Nom]]-Table1[[#This Row],[Std Read]])</f>
        <v>0</v>
      </c>
      <c r="N1102" s="1">
        <f>IF(Calculations!$F$5="ACCREDITED 17025 WITH UNCERTAINTIES",$N$10,0)</f>
        <v>0</v>
      </c>
      <c r="O1102" s="1" t="str">
        <f>IFERROR(Table1[[#This Row],[Std Nom]]-(_xlfn.XLOOKUP(Table1[[#This Row],[Manufacturer]]&amp;" "&amp;Table1[[#This Row],[Model]],Table13[MFR &amp; MDL],Table13[Tolerance % CW ],"")/100*Table1[[#This Row],[Std Nom]]),"")</f>
        <v/>
      </c>
      <c r="P1102" s="1" t="str">
        <f>IFERROR(Table1[[#This Row],[Std Nom]]+(_xlfn.XLOOKUP(Table1[[#This Row],[Manufacturer]]&amp;" "&amp;Table1[[#This Row],[Model]],Table13[MFR &amp; MDL],Table13[Tolerance % CW ],"")/100*Table1[[#This Row],[Std Nom]]),"")</f>
        <v/>
      </c>
      <c r="Q1102" s="1" t="e">
        <f>Table1[[#This Row],[High Tol]]-Table1[[#This Row],[Low Tol]]</f>
        <v>#VALUE!</v>
      </c>
      <c r="R1102" s="1">
        <f>2*Table1[[#This Row],[Std Error]]</f>
        <v>0</v>
      </c>
      <c r="S1102" s="1" t="str">
        <f>IF(Table1[[#This Row],[High Tol]]="","N/A",IFERROR(ABS(Table1[[#This Row],[Tol Span]]/Table1[[#This Row],[Error Span]]),"N/A"))</f>
        <v>N/A</v>
      </c>
      <c r="T1102" s="1" t="str">
        <f>IF(OR(Table1[[#This Row],[Low Tol]]="",Table1[[#This Row],[High Tol]]=""),"Needs Analysis",IF(Table1[[#This Row],[Ratio]]&gt;=4,"Not Significant",IF(Table1[[#This Row],[Ratio]]&gt;=2,"Semi-Significant","Significant")))</f>
        <v>Needs Analysis</v>
      </c>
      <c r="W1102" s="1">
        <f>IF(Table1[[#This Row],[Cal Type]]&lt;&gt;"ACCREDITED 17025 WITH UNCERTAINTIES",0,"")</f>
        <v>0</v>
      </c>
      <c r="X1102" s="1" t="str">
        <f>IF(Table1[[#This Row],[DUT Read]]="","N/A",Table1[[#This Row],[Std Error]]+Table1[[#This Row],[DUT Read]]+Table1[[#This Row],[DUT Ucty]])</f>
        <v>N/A</v>
      </c>
      <c r="Y1102" s="1" t="str">
        <f>IF(Table1[[#This Row],[Std Read]]="","N/A",Table1[[#This Row],[Std Read]]+Table1[[#This Row],[Std Ucty]])</f>
        <v>N/A</v>
      </c>
      <c r="Z11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2" s="1" t="str">
        <f>IF(Table1[[#This Row],[Spec Type]]="","N/A",Table1[[#This Row],[Spec Type]])</f>
        <v>±</v>
      </c>
      <c r="AC1102" s="1" t="str">
        <f>IF(Table1[[#This Row],[Spec Type2]]="N/A","N/A",IF(AND(Table1[[#This Row],[DUT Adj Read]]&gt;=Table1[[#This Row],[Low Tol]],Table1[[#This Row],[DUT Adj Read]]&lt;=Table1[[#This Row],[High Tol]]),"Pass","Fail"))</f>
        <v>Fail</v>
      </c>
      <c r="AD1102" s="1" t="str">
        <f>IF(AND(Table1[[#This Row],[Spec Type2]]="N/A",Table1[[#This Row],[DUT Adj Read]]="N/A",Table1[[#This Row],[Std Adj Read]]="N/A"),"N/A",IF(Table1[[#This Row],[DUT Adj Read]]="N/A",IF(Table1[[#This Row],[Std Adj Read]]&gt;Table1[[#This Row],[Low Tol]],"Pass","Fail"),IF(Table1[[#This Row],[DUT Adj Read]]&gt;Table1[[#This Row],[Low Tol]],"Pass","Fail")))</f>
        <v>Pass</v>
      </c>
      <c r="AE1102" s="1" t="str">
        <f>IF(AND(Table1[[#This Row],[Spec Type2]]="N/A",Table1[[#This Row],[DUT Adj Read]]="N/A",Table1[[#This Row],[Std Adj Read]]="N/A"),"N/A",IF(Table1[[#This Row],[DUT Adj Read]]="N/A",IF(Table1[[#This Row],[Std Adj Read]]&lt;Table1[[#This Row],[High Tol]],"Pass","Fail"),IF(Table1[[#This Row],[DUT Adj Read]]&lt;Table1[[#This Row],[High Tol]],"Pass","Fail")))</f>
        <v>Fail</v>
      </c>
      <c r="AF1102" s="1" t="str">
        <f>IF(AND(Table1[[#This Row],[Spec Type2]]="N/A",Table1[[#This Row],[DUT Adj Read]]="N/A",Table1[[#This Row],[Std Adj Read]]="N/A"),"N/A",IF(Table1[[#This Row],[DUT Adj Read]]="N/A",IF(Table1[[#This Row],[Std Adj Read]]&gt;=Table1[[#This Row],[Low Tol]],"Pass","Fail"),IF(Table1[[#This Row],[DUT Adj Read]]&gt;=Table1[[#This Row],[Low Tol]],"Pass","Fail")))</f>
        <v>Pass</v>
      </c>
      <c r="AG1102" s="1" t="str">
        <f>IF(AND(Table1[[#This Row],[Spec Type2]]="N/A",Table1[[#This Row],[DUT Adj Read]]="N/A",Table1[[#This Row],[Std Adj Read]]="N/A"),"N/A",IF(Table1[[#This Row],[DUT Adj Read]]="N/A",IF(Table1[[#This Row],[Std Adj Read]]&lt;=Table1[[#This Row],[High Tol]],"Pass","Fail"),IF(Table1[[#This Row],[DUT Adj Read]]&lt;=Table1[[#This Row],[High Tol]],"Pass","Fail")))</f>
        <v>Fail</v>
      </c>
      <c r="AH11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2" s="1" t="b">
        <v>0</v>
      </c>
      <c r="AN1102" s="1" t="b">
        <v>0</v>
      </c>
      <c r="AO1102" s="1" t="b">
        <v>0</v>
      </c>
    </row>
    <row r="1103" spans="1:41" x14ac:dyDescent="0.25">
      <c r="A1103" s="10"/>
      <c r="B1103" s="10"/>
      <c r="C1103" s="10"/>
      <c r="D1103" s="10"/>
      <c r="E1103" s="10"/>
      <c r="F1103" s="10"/>
      <c r="G1103" s="10"/>
      <c r="H1103" s="10"/>
      <c r="I1103" s="1" t="str">
        <f t="shared" si="51"/>
        <v/>
      </c>
      <c r="J1103" s="1" t="s">
        <v>35</v>
      </c>
      <c r="K1103" s="1" t="str">
        <f t="shared" si="52"/>
        <v/>
      </c>
      <c r="L1103" s="1" t="str">
        <f t="shared" si="53"/>
        <v/>
      </c>
      <c r="M1103" s="1">
        <f>IF(OR(Table1[[#This Row],[Std Nom]]="",Table1[[#This Row],[Std Read]]=""),0,Table1[[#This Row],[Std Nom]]-Table1[[#This Row],[Std Read]])</f>
        <v>0</v>
      </c>
      <c r="N1103" s="1">
        <f>IF(Calculations!$F$5="ACCREDITED 17025 WITH UNCERTAINTIES",$N$10,0)</f>
        <v>0</v>
      </c>
      <c r="O1103" s="1" t="str">
        <f>IFERROR(Table1[[#This Row],[Std Nom]]-(_xlfn.XLOOKUP(Table1[[#This Row],[Manufacturer]]&amp;" "&amp;Table1[[#This Row],[Model]],Table13[MFR &amp; MDL],Table13[Tolerance % CW ],"")/100*Table1[[#This Row],[Std Nom]]),"")</f>
        <v/>
      </c>
      <c r="P1103" s="1" t="str">
        <f>IFERROR(Table1[[#This Row],[Std Nom]]+(_xlfn.XLOOKUP(Table1[[#This Row],[Manufacturer]]&amp;" "&amp;Table1[[#This Row],[Model]],Table13[MFR &amp; MDL],Table13[Tolerance % CW ],"")/100*Table1[[#This Row],[Std Nom]]),"")</f>
        <v/>
      </c>
      <c r="Q1103" s="1" t="e">
        <f>Table1[[#This Row],[High Tol]]-Table1[[#This Row],[Low Tol]]</f>
        <v>#VALUE!</v>
      </c>
      <c r="R1103" s="1">
        <f>2*Table1[[#This Row],[Std Error]]</f>
        <v>0</v>
      </c>
      <c r="S1103" s="1" t="str">
        <f>IF(Table1[[#This Row],[High Tol]]="","N/A",IFERROR(ABS(Table1[[#This Row],[Tol Span]]/Table1[[#This Row],[Error Span]]),"N/A"))</f>
        <v>N/A</v>
      </c>
      <c r="T1103" s="1" t="str">
        <f>IF(OR(Table1[[#This Row],[Low Tol]]="",Table1[[#This Row],[High Tol]]=""),"Needs Analysis",IF(Table1[[#This Row],[Ratio]]&gt;=4,"Not Significant",IF(Table1[[#This Row],[Ratio]]&gt;=2,"Semi-Significant","Significant")))</f>
        <v>Needs Analysis</v>
      </c>
      <c r="W1103" s="1">
        <f>IF(Table1[[#This Row],[Cal Type]]&lt;&gt;"ACCREDITED 17025 WITH UNCERTAINTIES",0,"")</f>
        <v>0</v>
      </c>
      <c r="X1103" s="1" t="str">
        <f>IF(Table1[[#This Row],[DUT Read]]="","N/A",Table1[[#This Row],[Std Error]]+Table1[[#This Row],[DUT Read]]+Table1[[#This Row],[DUT Ucty]])</f>
        <v>N/A</v>
      </c>
      <c r="Y1103" s="1" t="str">
        <f>IF(Table1[[#This Row],[Std Read]]="","N/A",Table1[[#This Row],[Std Read]]+Table1[[#This Row],[Std Ucty]])</f>
        <v>N/A</v>
      </c>
      <c r="Z11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3" s="1" t="str">
        <f>IF(Table1[[#This Row],[Spec Type]]="","N/A",Table1[[#This Row],[Spec Type]])</f>
        <v>±</v>
      </c>
      <c r="AC1103" s="1" t="str">
        <f>IF(Table1[[#This Row],[Spec Type2]]="N/A","N/A",IF(AND(Table1[[#This Row],[DUT Adj Read]]&gt;=Table1[[#This Row],[Low Tol]],Table1[[#This Row],[DUT Adj Read]]&lt;=Table1[[#This Row],[High Tol]]),"Pass","Fail"))</f>
        <v>Fail</v>
      </c>
      <c r="AD1103" s="1" t="str">
        <f>IF(AND(Table1[[#This Row],[Spec Type2]]="N/A",Table1[[#This Row],[DUT Adj Read]]="N/A",Table1[[#This Row],[Std Adj Read]]="N/A"),"N/A",IF(Table1[[#This Row],[DUT Adj Read]]="N/A",IF(Table1[[#This Row],[Std Adj Read]]&gt;Table1[[#This Row],[Low Tol]],"Pass","Fail"),IF(Table1[[#This Row],[DUT Adj Read]]&gt;Table1[[#This Row],[Low Tol]],"Pass","Fail")))</f>
        <v>Pass</v>
      </c>
      <c r="AE1103" s="1" t="str">
        <f>IF(AND(Table1[[#This Row],[Spec Type2]]="N/A",Table1[[#This Row],[DUT Adj Read]]="N/A",Table1[[#This Row],[Std Adj Read]]="N/A"),"N/A",IF(Table1[[#This Row],[DUT Adj Read]]="N/A",IF(Table1[[#This Row],[Std Adj Read]]&lt;Table1[[#This Row],[High Tol]],"Pass","Fail"),IF(Table1[[#This Row],[DUT Adj Read]]&lt;Table1[[#This Row],[High Tol]],"Pass","Fail")))</f>
        <v>Fail</v>
      </c>
      <c r="AF1103" s="1" t="str">
        <f>IF(AND(Table1[[#This Row],[Spec Type2]]="N/A",Table1[[#This Row],[DUT Adj Read]]="N/A",Table1[[#This Row],[Std Adj Read]]="N/A"),"N/A",IF(Table1[[#This Row],[DUT Adj Read]]="N/A",IF(Table1[[#This Row],[Std Adj Read]]&gt;=Table1[[#This Row],[Low Tol]],"Pass","Fail"),IF(Table1[[#This Row],[DUT Adj Read]]&gt;=Table1[[#This Row],[Low Tol]],"Pass","Fail")))</f>
        <v>Pass</v>
      </c>
      <c r="AG1103" s="1" t="str">
        <f>IF(AND(Table1[[#This Row],[Spec Type2]]="N/A",Table1[[#This Row],[DUT Adj Read]]="N/A",Table1[[#This Row],[Std Adj Read]]="N/A"),"N/A",IF(Table1[[#This Row],[DUT Adj Read]]="N/A",IF(Table1[[#This Row],[Std Adj Read]]&lt;=Table1[[#This Row],[High Tol]],"Pass","Fail"),IF(Table1[[#This Row],[DUT Adj Read]]&lt;=Table1[[#This Row],[High Tol]],"Pass","Fail")))</f>
        <v>Fail</v>
      </c>
      <c r="AH11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3" s="1" t="b">
        <v>0</v>
      </c>
      <c r="AN1103" s="1" t="b">
        <v>0</v>
      </c>
      <c r="AO1103" s="1" t="b">
        <v>0</v>
      </c>
    </row>
    <row r="1104" spans="1:41" x14ac:dyDescent="0.25">
      <c r="A1104" s="10"/>
      <c r="B1104" s="10"/>
      <c r="C1104" s="10"/>
      <c r="D1104" s="10"/>
      <c r="E1104" s="10"/>
      <c r="F1104" s="10"/>
      <c r="G1104" s="10"/>
      <c r="H1104" s="10"/>
      <c r="I1104" s="1" t="str">
        <f t="shared" si="51"/>
        <v/>
      </c>
      <c r="J1104" s="1" t="s">
        <v>35</v>
      </c>
      <c r="K1104" s="1" t="str">
        <f t="shared" si="52"/>
        <v/>
      </c>
      <c r="L1104" s="1" t="str">
        <f t="shared" si="53"/>
        <v/>
      </c>
      <c r="M1104" s="1">
        <f>IF(OR(Table1[[#This Row],[Std Nom]]="",Table1[[#This Row],[Std Read]]=""),0,Table1[[#This Row],[Std Nom]]-Table1[[#This Row],[Std Read]])</f>
        <v>0</v>
      </c>
      <c r="N1104" s="1">
        <f>IF(Calculations!$F$5="ACCREDITED 17025 WITH UNCERTAINTIES",$N$10,0)</f>
        <v>0</v>
      </c>
      <c r="O1104" s="1" t="str">
        <f>IFERROR(Table1[[#This Row],[Std Nom]]-(_xlfn.XLOOKUP(Table1[[#This Row],[Manufacturer]]&amp;" "&amp;Table1[[#This Row],[Model]],Table13[MFR &amp; MDL],Table13[Tolerance % CW ],"")/100*Table1[[#This Row],[Std Nom]]),"")</f>
        <v/>
      </c>
      <c r="P1104" s="1" t="str">
        <f>IFERROR(Table1[[#This Row],[Std Nom]]+(_xlfn.XLOOKUP(Table1[[#This Row],[Manufacturer]]&amp;" "&amp;Table1[[#This Row],[Model]],Table13[MFR &amp; MDL],Table13[Tolerance % CW ],"")/100*Table1[[#This Row],[Std Nom]]),"")</f>
        <v/>
      </c>
      <c r="Q1104" s="1" t="e">
        <f>Table1[[#This Row],[High Tol]]-Table1[[#This Row],[Low Tol]]</f>
        <v>#VALUE!</v>
      </c>
      <c r="R1104" s="1">
        <f>2*Table1[[#This Row],[Std Error]]</f>
        <v>0</v>
      </c>
      <c r="S1104" s="1" t="str">
        <f>IF(Table1[[#This Row],[High Tol]]="","N/A",IFERROR(ABS(Table1[[#This Row],[Tol Span]]/Table1[[#This Row],[Error Span]]),"N/A"))</f>
        <v>N/A</v>
      </c>
      <c r="T1104" s="1" t="str">
        <f>IF(OR(Table1[[#This Row],[Low Tol]]="",Table1[[#This Row],[High Tol]]=""),"Needs Analysis",IF(Table1[[#This Row],[Ratio]]&gt;=4,"Not Significant",IF(Table1[[#This Row],[Ratio]]&gt;=2,"Semi-Significant","Significant")))</f>
        <v>Needs Analysis</v>
      </c>
      <c r="W1104" s="1">
        <f>IF(Table1[[#This Row],[Cal Type]]&lt;&gt;"ACCREDITED 17025 WITH UNCERTAINTIES",0,"")</f>
        <v>0</v>
      </c>
      <c r="X1104" s="1" t="str">
        <f>IF(Table1[[#This Row],[DUT Read]]="","N/A",Table1[[#This Row],[Std Error]]+Table1[[#This Row],[DUT Read]]+Table1[[#This Row],[DUT Ucty]])</f>
        <v>N/A</v>
      </c>
      <c r="Y1104" s="1" t="str">
        <f>IF(Table1[[#This Row],[Std Read]]="","N/A",Table1[[#This Row],[Std Read]]+Table1[[#This Row],[Std Ucty]])</f>
        <v>N/A</v>
      </c>
      <c r="Z11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4" s="1" t="str">
        <f>IF(Table1[[#This Row],[Spec Type]]="","N/A",Table1[[#This Row],[Spec Type]])</f>
        <v>±</v>
      </c>
      <c r="AC1104" s="1" t="str">
        <f>IF(Table1[[#This Row],[Spec Type2]]="N/A","N/A",IF(AND(Table1[[#This Row],[DUT Adj Read]]&gt;=Table1[[#This Row],[Low Tol]],Table1[[#This Row],[DUT Adj Read]]&lt;=Table1[[#This Row],[High Tol]]),"Pass","Fail"))</f>
        <v>Fail</v>
      </c>
      <c r="AD1104" s="1" t="str">
        <f>IF(AND(Table1[[#This Row],[Spec Type2]]="N/A",Table1[[#This Row],[DUT Adj Read]]="N/A",Table1[[#This Row],[Std Adj Read]]="N/A"),"N/A",IF(Table1[[#This Row],[DUT Adj Read]]="N/A",IF(Table1[[#This Row],[Std Adj Read]]&gt;Table1[[#This Row],[Low Tol]],"Pass","Fail"),IF(Table1[[#This Row],[DUT Adj Read]]&gt;Table1[[#This Row],[Low Tol]],"Pass","Fail")))</f>
        <v>Pass</v>
      </c>
      <c r="AE1104" s="1" t="str">
        <f>IF(AND(Table1[[#This Row],[Spec Type2]]="N/A",Table1[[#This Row],[DUT Adj Read]]="N/A",Table1[[#This Row],[Std Adj Read]]="N/A"),"N/A",IF(Table1[[#This Row],[DUT Adj Read]]="N/A",IF(Table1[[#This Row],[Std Adj Read]]&lt;Table1[[#This Row],[High Tol]],"Pass","Fail"),IF(Table1[[#This Row],[DUT Adj Read]]&lt;Table1[[#This Row],[High Tol]],"Pass","Fail")))</f>
        <v>Fail</v>
      </c>
      <c r="AF1104" s="1" t="str">
        <f>IF(AND(Table1[[#This Row],[Spec Type2]]="N/A",Table1[[#This Row],[DUT Adj Read]]="N/A",Table1[[#This Row],[Std Adj Read]]="N/A"),"N/A",IF(Table1[[#This Row],[DUT Adj Read]]="N/A",IF(Table1[[#This Row],[Std Adj Read]]&gt;=Table1[[#This Row],[Low Tol]],"Pass","Fail"),IF(Table1[[#This Row],[DUT Adj Read]]&gt;=Table1[[#This Row],[Low Tol]],"Pass","Fail")))</f>
        <v>Pass</v>
      </c>
      <c r="AG1104" s="1" t="str">
        <f>IF(AND(Table1[[#This Row],[Spec Type2]]="N/A",Table1[[#This Row],[DUT Adj Read]]="N/A",Table1[[#This Row],[Std Adj Read]]="N/A"),"N/A",IF(Table1[[#This Row],[DUT Adj Read]]="N/A",IF(Table1[[#This Row],[Std Adj Read]]&lt;=Table1[[#This Row],[High Tol]],"Pass","Fail"),IF(Table1[[#This Row],[DUT Adj Read]]&lt;=Table1[[#This Row],[High Tol]],"Pass","Fail")))</f>
        <v>Fail</v>
      </c>
      <c r="AH11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4" s="1" t="b">
        <v>0</v>
      </c>
      <c r="AN1104" s="1" t="b">
        <v>0</v>
      </c>
      <c r="AO1104" s="1" t="b">
        <v>0</v>
      </c>
    </row>
    <row r="1105" spans="1:41" x14ac:dyDescent="0.25">
      <c r="A1105" s="10"/>
      <c r="B1105" s="10"/>
      <c r="C1105" s="10"/>
      <c r="D1105" s="10"/>
      <c r="E1105" s="10"/>
      <c r="F1105" s="10"/>
      <c r="G1105" s="10"/>
      <c r="H1105" s="10"/>
      <c r="I1105" s="1" t="str">
        <f t="shared" si="51"/>
        <v/>
      </c>
      <c r="J1105" s="1" t="s">
        <v>35</v>
      </c>
      <c r="K1105" s="1" t="str">
        <f t="shared" si="52"/>
        <v/>
      </c>
      <c r="L1105" s="1" t="str">
        <f t="shared" si="53"/>
        <v/>
      </c>
      <c r="M1105" s="1">
        <f>IF(OR(Table1[[#This Row],[Std Nom]]="",Table1[[#This Row],[Std Read]]=""),0,Table1[[#This Row],[Std Nom]]-Table1[[#This Row],[Std Read]])</f>
        <v>0</v>
      </c>
      <c r="N1105" s="1">
        <f>IF(Calculations!$F$5="ACCREDITED 17025 WITH UNCERTAINTIES",$N$10,0)</f>
        <v>0</v>
      </c>
      <c r="O1105" s="1" t="str">
        <f>IFERROR(Table1[[#This Row],[Std Nom]]-(_xlfn.XLOOKUP(Table1[[#This Row],[Manufacturer]]&amp;" "&amp;Table1[[#This Row],[Model]],Table13[MFR &amp; MDL],Table13[Tolerance % CW ],"")/100*Table1[[#This Row],[Std Nom]]),"")</f>
        <v/>
      </c>
      <c r="P1105" s="1" t="str">
        <f>IFERROR(Table1[[#This Row],[Std Nom]]+(_xlfn.XLOOKUP(Table1[[#This Row],[Manufacturer]]&amp;" "&amp;Table1[[#This Row],[Model]],Table13[MFR &amp; MDL],Table13[Tolerance % CW ],"")/100*Table1[[#This Row],[Std Nom]]),"")</f>
        <v/>
      </c>
      <c r="Q1105" s="1" t="e">
        <f>Table1[[#This Row],[High Tol]]-Table1[[#This Row],[Low Tol]]</f>
        <v>#VALUE!</v>
      </c>
      <c r="R1105" s="1">
        <f>2*Table1[[#This Row],[Std Error]]</f>
        <v>0</v>
      </c>
      <c r="S1105" s="1" t="str">
        <f>IF(Table1[[#This Row],[High Tol]]="","N/A",IFERROR(ABS(Table1[[#This Row],[Tol Span]]/Table1[[#This Row],[Error Span]]),"N/A"))</f>
        <v>N/A</v>
      </c>
      <c r="T1105" s="1" t="str">
        <f>IF(OR(Table1[[#This Row],[Low Tol]]="",Table1[[#This Row],[High Tol]]=""),"Needs Analysis",IF(Table1[[#This Row],[Ratio]]&gt;=4,"Not Significant",IF(Table1[[#This Row],[Ratio]]&gt;=2,"Semi-Significant","Significant")))</f>
        <v>Needs Analysis</v>
      </c>
      <c r="W1105" s="1">
        <f>IF(Table1[[#This Row],[Cal Type]]&lt;&gt;"ACCREDITED 17025 WITH UNCERTAINTIES",0,"")</f>
        <v>0</v>
      </c>
      <c r="X1105" s="1" t="str">
        <f>IF(Table1[[#This Row],[DUT Read]]="","N/A",Table1[[#This Row],[Std Error]]+Table1[[#This Row],[DUT Read]]+Table1[[#This Row],[DUT Ucty]])</f>
        <v>N/A</v>
      </c>
      <c r="Y1105" s="1" t="str">
        <f>IF(Table1[[#This Row],[Std Read]]="","N/A",Table1[[#This Row],[Std Read]]+Table1[[#This Row],[Std Ucty]])</f>
        <v>N/A</v>
      </c>
      <c r="Z11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5" s="1" t="str">
        <f>IF(Table1[[#This Row],[Spec Type]]="","N/A",Table1[[#This Row],[Spec Type]])</f>
        <v>±</v>
      </c>
      <c r="AC1105" s="1" t="str">
        <f>IF(Table1[[#This Row],[Spec Type2]]="N/A","N/A",IF(AND(Table1[[#This Row],[DUT Adj Read]]&gt;=Table1[[#This Row],[Low Tol]],Table1[[#This Row],[DUT Adj Read]]&lt;=Table1[[#This Row],[High Tol]]),"Pass","Fail"))</f>
        <v>Fail</v>
      </c>
      <c r="AD1105" s="1" t="str">
        <f>IF(AND(Table1[[#This Row],[Spec Type2]]="N/A",Table1[[#This Row],[DUT Adj Read]]="N/A",Table1[[#This Row],[Std Adj Read]]="N/A"),"N/A",IF(Table1[[#This Row],[DUT Adj Read]]="N/A",IF(Table1[[#This Row],[Std Adj Read]]&gt;Table1[[#This Row],[Low Tol]],"Pass","Fail"),IF(Table1[[#This Row],[DUT Adj Read]]&gt;Table1[[#This Row],[Low Tol]],"Pass","Fail")))</f>
        <v>Pass</v>
      </c>
      <c r="AE1105" s="1" t="str">
        <f>IF(AND(Table1[[#This Row],[Spec Type2]]="N/A",Table1[[#This Row],[DUT Adj Read]]="N/A",Table1[[#This Row],[Std Adj Read]]="N/A"),"N/A",IF(Table1[[#This Row],[DUT Adj Read]]="N/A",IF(Table1[[#This Row],[Std Adj Read]]&lt;Table1[[#This Row],[High Tol]],"Pass","Fail"),IF(Table1[[#This Row],[DUT Adj Read]]&lt;Table1[[#This Row],[High Tol]],"Pass","Fail")))</f>
        <v>Fail</v>
      </c>
      <c r="AF1105" s="1" t="str">
        <f>IF(AND(Table1[[#This Row],[Spec Type2]]="N/A",Table1[[#This Row],[DUT Adj Read]]="N/A",Table1[[#This Row],[Std Adj Read]]="N/A"),"N/A",IF(Table1[[#This Row],[DUT Adj Read]]="N/A",IF(Table1[[#This Row],[Std Adj Read]]&gt;=Table1[[#This Row],[Low Tol]],"Pass","Fail"),IF(Table1[[#This Row],[DUT Adj Read]]&gt;=Table1[[#This Row],[Low Tol]],"Pass","Fail")))</f>
        <v>Pass</v>
      </c>
      <c r="AG1105" s="1" t="str">
        <f>IF(AND(Table1[[#This Row],[Spec Type2]]="N/A",Table1[[#This Row],[DUT Adj Read]]="N/A",Table1[[#This Row],[Std Adj Read]]="N/A"),"N/A",IF(Table1[[#This Row],[DUT Adj Read]]="N/A",IF(Table1[[#This Row],[Std Adj Read]]&lt;=Table1[[#This Row],[High Tol]],"Pass","Fail"),IF(Table1[[#This Row],[DUT Adj Read]]&lt;=Table1[[#This Row],[High Tol]],"Pass","Fail")))</f>
        <v>Fail</v>
      </c>
      <c r="AH11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5" s="1" t="b">
        <v>0</v>
      </c>
      <c r="AN1105" s="1" t="b">
        <v>0</v>
      </c>
      <c r="AO1105" s="1" t="b">
        <v>0</v>
      </c>
    </row>
    <row r="1106" spans="1:41" x14ac:dyDescent="0.25">
      <c r="A1106" s="10"/>
      <c r="B1106" s="10"/>
      <c r="C1106" s="10"/>
      <c r="D1106" s="10"/>
      <c r="E1106" s="10"/>
      <c r="F1106" s="10"/>
      <c r="G1106" s="10"/>
      <c r="H1106" s="10"/>
      <c r="I1106" s="1" t="str">
        <f t="shared" si="51"/>
        <v/>
      </c>
      <c r="J1106" s="1" t="s">
        <v>35</v>
      </c>
      <c r="K1106" s="1" t="str">
        <f t="shared" si="52"/>
        <v/>
      </c>
      <c r="L1106" s="1" t="str">
        <f t="shared" si="53"/>
        <v/>
      </c>
      <c r="M1106" s="1">
        <f>IF(OR(Table1[[#This Row],[Std Nom]]="",Table1[[#This Row],[Std Read]]=""),0,Table1[[#This Row],[Std Nom]]-Table1[[#This Row],[Std Read]])</f>
        <v>0</v>
      </c>
      <c r="N1106" s="1">
        <f>IF(Calculations!$F$5="ACCREDITED 17025 WITH UNCERTAINTIES",$N$10,0)</f>
        <v>0</v>
      </c>
      <c r="O1106" s="1" t="str">
        <f>IFERROR(Table1[[#This Row],[Std Nom]]-(_xlfn.XLOOKUP(Table1[[#This Row],[Manufacturer]]&amp;" "&amp;Table1[[#This Row],[Model]],Table13[MFR &amp; MDL],Table13[Tolerance % CW ],"")/100*Table1[[#This Row],[Std Nom]]),"")</f>
        <v/>
      </c>
      <c r="P1106" s="1" t="str">
        <f>IFERROR(Table1[[#This Row],[Std Nom]]+(_xlfn.XLOOKUP(Table1[[#This Row],[Manufacturer]]&amp;" "&amp;Table1[[#This Row],[Model]],Table13[MFR &amp; MDL],Table13[Tolerance % CW ],"")/100*Table1[[#This Row],[Std Nom]]),"")</f>
        <v/>
      </c>
      <c r="Q1106" s="1" t="e">
        <f>Table1[[#This Row],[High Tol]]-Table1[[#This Row],[Low Tol]]</f>
        <v>#VALUE!</v>
      </c>
      <c r="R1106" s="1">
        <f>2*Table1[[#This Row],[Std Error]]</f>
        <v>0</v>
      </c>
      <c r="S1106" s="1" t="str">
        <f>IF(Table1[[#This Row],[High Tol]]="","N/A",IFERROR(ABS(Table1[[#This Row],[Tol Span]]/Table1[[#This Row],[Error Span]]),"N/A"))</f>
        <v>N/A</v>
      </c>
      <c r="T1106" s="1" t="str">
        <f>IF(OR(Table1[[#This Row],[Low Tol]]="",Table1[[#This Row],[High Tol]]=""),"Needs Analysis",IF(Table1[[#This Row],[Ratio]]&gt;=4,"Not Significant",IF(Table1[[#This Row],[Ratio]]&gt;=2,"Semi-Significant","Significant")))</f>
        <v>Needs Analysis</v>
      </c>
      <c r="W1106" s="1">
        <f>IF(Table1[[#This Row],[Cal Type]]&lt;&gt;"ACCREDITED 17025 WITH UNCERTAINTIES",0,"")</f>
        <v>0</v>
      </c>
      <c r="X1106" s="1" t="str">
        <f>IF(Table1[[#This Row],[DUT Read]]="","N/A",Table1[[#This Row],[Std Error]]+Table1[[#This Row],[DUT Read]]+Table1[[#This Row],[DUT Ucty]])</f>
        <v>N/A</v>
      </c>
      <c r="Y1106" s="1" t="str">
        <f>IF(Table1[[#This Row],[Std Read]]="","N/A",Table1[[#This Row],[Std Read]]+Table1[[#This Row],[Std Ucty]])</f>
        <v>N/A</v>
      </c>
      <c r="Z11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6" s="1" t="str">
        <f>IF(Table1[[#This Row],[Spec Type]]="","N/A",Table1[[#This Row],[Spec Type]])</f>
        <v>±</v>
      </c>
      <c r="AC1106" s="1" t="str">
        <f>IF(Table1[[#This Row],[Spec Type2]]="N/A","N/A",IF(AND(Table1[[#This Row],[DUT Adj Read]]&gt;=Table1[[#This Row],[Low Tol]],Table1[[#This Row],[DUT Adj Read]]&lt;=Table1[[#This Row],[High Tol]]),"Pass","Fail"))</f>
        <v>Fail</v>
      </c>
      <c r="AD1106" s="1" t="str">
        <f>IF(AND(Table1[[#This Row],[Spec Type2]]="N/A",Table1[[#This Row],[DUT Adj Read]]="N/A",Table1[[#This Row],[Std Adj Read]]="N/A"),"N/A",IF(Table1[[#This Row],[DUT Adj Read]]="N/A",IF(Table1[[#This Row],[Std Adj Read]]&gt;Table1[[#This Row],[Low Tol]],"Pass","Fail"),IF(Table1[[#This Row],[DUT Adj Read]]&gt;Table1[[#This Row],[Low Tol]],"Pass","Fail")))</f>
        <v>Pass</v>
      </c>
      <c r="AE1106" s="1" t="str">
        <f>IF(AND(Table1[[#This Row],[Spec Type2]]="N/A",Table1[[#This Row],[DUT Adj Read]]="N/A",Table1[[#This Row],[Std Adj Read]]="N/A"),"N/A",IF(Table1[[#This Row],[DUT Adj Read]]="N/A",IF(Table1[[#This Row],[Std Adj Read]]&lt;Table1[[#This Row],[High Tol]],"Pass","Fail"),IF(Table1[[#This Row],[DUT Adj Read]]&lt;Table1[[#This Row],[High Tol]],"Pass","Fail")))</f>
        <v>Fail</v>
      </c>
      <c r="AF1106" s="1" t="str">
        <f>IF(AND(Table1[[#This Row],[Spec Type2]]="N/A",Table1[[#This Row],[DUT Adj Read]]="N/A",Table1[[#This Row],[Std Adj Read]]="N/A"),"N/A",IF(Table1[[#This Row],[DUT Adj Read]]="N/A",IF(Table1[[#This Row],[Std Adj Read]]&gt;=Table1[[#This Row],[Low Tol]],"Pass","Fail"),IF(Table1[[#This Row],[DUT Adj Read]]&gt;=Table1[[#This Row],[Low Tol]],"Pass","Fail")))</f>
        <v>Pass</v>
      </c>
      <c r="AG1106" s="1" t="str">
        <f>IF(AND(Table1[[#This Row],[Spec Type2]]="N/A",Table1[[#This Row],[DUT Adj Read]]="N/A",Table1[[#This Row],[Std Adj Read]]="N/A"),"N/A",IF(Table1[[#This Row],[DUT Adj Read]]="N/A",IF(Table1[[#This Row],[Std Adj Read]]&lt;=Table1[[#This Row],[High Tol]],"Pass","Fail"),IF(Table1[[#This Row],[DUT Adj Read]]&lt;=Table1[[#This Row],[High Tol]],"Pass","Fail")))</f>
        <v>Fail</v>
      </c>
      <c r="AH11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6" s="1" t="b">
        <v>0</v>
      </c>
      <c r="AN1106" s="1" t="b">
        <v>0</v>
      </c>
      <c r="AO1106" s="1" t="b">
        <v>0</v>
      </c>
    </row>
    <row r="1107" spans="1:41" x14ac:dyDescent="0.25">
      <c r="A1107" s="10"/>
      <c r="B1107" s="10"/>
      <c r="C1107" s="10"/>
      <c r="D1107" s="10"/>
      <c r="E1107" s="10"/>
      <c r="F1107" s="10"/>
      <c r="G1107" s="10"/>
      <c r="H1107" s="10"/>
      <c r="I1107" s="1" t="str">
        <f t="shared" si="51"/>
        <v/>
      </c>
      <c r="J1107" s="1" t="s">
        <v>35</v>
      </c>
      <c r="K1107" s="1" t="str">
        <f t="shared" si="52"/>
        <v/>
      </c>
      <c r="L1107" s="1" t="str">
        <f t="shared" si="53"/>
        <v/>
      </c>
      <c r="M1107" s="1">
        <f>IF(OR(Table1[[#This Row],[Std Nom]]="",Table1[[#This Row],[Std Read]]=""),0,Table1[[#This Row],[Std Nom]]-Table1[[#This Row],[Std Read]])</f>
        <v>0</v>
      </c>
      <c r="N1107" s="1">
        <f>IF(Calculations!$F$5="ACCREDITED 17025 WITH UNCERTAINTIES",$N$10,0)</f>
        <v>0</v>
      </c>
      <c r="O1107" s="1" t="str">
        <f>IFERROR(Table1[[#This Row],[Std Nom]]-(_xlfn.XLOOKUP(Table1[[#This Row],[Manufacturer]]&amp;" "&amp;Table1[[#This Row],[Model]],Table13[MFR &amp; MDL],Table13[Tolerance % CW ],"")/100*Table1[[#This Row],[Std Nom]]),"")</f>
        <v/>
      </c>
      <c r="P1107" s="1" t="str">
        <f>IFERROR(Table1[[#This Row],[Std Nom]]+(_xlfn.XLOOKUP(Table1[[#This Row],[Manufacturer]]&amp;" "&amp;Table1[[#This Row],[Model]],Table13[MFR &amp; MDL],Table13[Tolerance % CW ],"")/100*Table1[[#This Row],[Std Nom]]),"")</f>
        <v/>
      </c>
      <c r="Q1107" s="1" t="e">
        <f>Table1[[#This Row],[High Tol]]-Table1[[#This Row],[Low Tol]]</f>
        <v>#VALUE!</v>
      </c>
      <c r="R1107" s="1">
        <f>2*Table1[[#This Row],[Std Error]]</f>
        <v>0</v>
      </c>
      <c r="S1107" s="1" t="str">
        <f>IF(Table1[[#This Row],[High Tol]]="","N/A",IFERROR(ABS(Table1[[#This Row],[Tol Span]]/Table1[[#This Row],[Error Span]]),"N/A"))</f>
        <v>N/A</v>
      </c>
      <c r="T1107" s="1" t="str">
        <f>IF(OR(Table1[[#This Row],[Low Tol]]="",Table1[[#This Row],[High Tol]]=""),"Needs Analysis",IF(Table1[[#This Row],[Ratio]]&gt;=4,"Not Significant",IF(Table1[[#This Row],[Ratio]]&gt;=2,"Semi-Significant","Significant")))</f>
        <v>Needs Analysis</v>
      </c>
      <c r="W1107" s="1">
        <f>IF(Table1[[#This Row],[Cal Type]]&lt;&gt;"ACCREDITED 17025 WITH UNCERTAINTIES",0,"")</f>
        <v>0</v>
      </c>
      <c r="X1107" s="1" t="str">
        <f>IF(Table1[[#This Row],[DUT Read]]="","N/A",Table1[[#This Row],[Std Error]]+Table1[[#This Row],[DUT Read]]+Table1[[#This Row],[DUT Ucty]])</f>
        <v>N/A</v>
      </c>
      <c r="Y1107" s="1" t="str">
        <f>IF(Table1[[#This Row],[Std Read]]="","N/A",Table1[[#This Row],[Std Read]]+Table1[[#This Row],[Std Ucty]])</f>
        <v>N/A</v>
      </c>
      <c r="Z11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7" s="1" t="str">
        <f>IF(Table1[[#This Row],[Spec Type]]="","N/A",Table1[[#This Row],[Spec Type]])</f>
        <v>±</v>
      </c>
      <c r="AC1107" s="1" t="str">
        <f>IF(Table1[[#This Row],[Spec Type2]]="N/A","N/A",IF(AND(Table1[[#This Row],[DUT Adj Read]]&gt;=Table1[[#This Row],[Low Tol]],Table1[[#This Row],[DUT Adj Read]]&lt;=Table1[[#This Row],[High Tol]]),"Pass","Fail"))</f>
        <v>Fail</v>
      </c>
      <c r="AD1107" s="1" t="str">
        <f>IF(AND(Table1[[#This Row],[Spec Type2]]="N/A",Table1[[#This Row],[DUT Adj Read]]="N/A",Table1[[#This Row],[Std Adj Read]]="N/A"),"N/A",IF(Table1[[#This Row],[DUT Adj Read]]="N/A",IF(Table1[[#This Row],[Std Adj Read]]&gt;Table1[[#This Row],[Low Tol]],"Pass","Fail"),IF(Table1[[#This Row],[DUT Adj Read]]&gt;Table1[[#This Row],[Low Tol]],"Pass","Fail")))</f>
        <v>Pass</v>
      </c>
      <c r="AE1107" s="1" t="str">
        <f>IF(AND(Table1[[#This Row],[Spec Type2]]="N/A",Table1[[#This Row],[DUT Adj Read]]="N/A",Table1[[#This Row],[Std Adj Read]]="N/A"),"N/A",IF(Table1[[#This Row],[DUT Adj Read]]="N/A",IF(Table1[[#This Row],[Std Adj Read]]&lt;Table1[[#This Row],[High Tol]],"Pass","Fail"),IF(Table1[[#This Row],[DUT Adj Read]]&lt;Table1[[#This Row],[High Tol]],"Pass","Fail")))</f>
        <v>Fail</v>
      </c>
      <c r="AF1107" s="1" t="str">
        <f>IF(AND(Table1[[#This Row],[Spec Type2]]="N/A",Table1[[#This Row],[DUT Adj Read]]="N/A",Table1[[#This Row],[Std Adj Read]]="N/A"),"N/A",IF(Table1[[#This Row],[DUT Adj Read]]="N/A",IF(Table1[[#This Row],[Std Adj Read]]&gt;=Table1[[#This Row],[Low Tol]],"Pass","Fail"),IF(Table1[[#This Row],[DUT Adj Read]]&gt;=Table1[[#This Row],[Low Tol]],"Pass","Fail")))</f>
        <v>Pass</v>
      </c>
      <c r="AG1107" s="1" t="str">
        <f>IF(AND(Table1[[#This Row],[Spec Type2]]="N/A",Table1[[#This Row],[DUT Adj Read]]="N/A",Table1[[#This Row],[Std Adj Read]]="N/A"),"N/A",IF(Table1[[#This Row],[DUT Adj Read]]="N/A",IF(Table1[[#This Row],[Std Adj Read]]&lt;=Table1[[#This Row],[High Tol]],"Pass","Fail"),IF(Table1[[#This Row],[DUT Adj Read]]&lt;=Table1[[#This Row],[High Tol]],"Pass","Fail")))</f>
        <v>Fail</v>
      </c>
      <c r="AH11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7" s="1" t="b">
        <v>0</v>
      </c>
      <c r="AN1107" s="1" t="b">
        <v>0</v>
      </c>
      <c r="AO1107" s="1" t="b">
        <v>0</v>
      </c>
    </row>
    <row r="1108" spans="1:41" x14ac:dyDescent="0.25">
      <c r="A1108" s="10"/>
      <c r="B1108" s="10"/>
      <c r="C1108" s="10"/>
      <c r="D1108" s="10"/>
      <c r="E1108" s="10"/>
      <c r="F1108" s="10"/>
      <c r="G1108" s="10"/>
      <c r="H1108" s="10"/>
      <c r="I1108" s="1" t="str">
        <f t="shared" si="51"/>
        <v/>
      </c>
      <c r="J1108" s="1" t="s">
        <v>35</v>
      </c>
      <c r="K1108" s="1" t="str">
        <f t="shared" si="52"/>
        <v/>
      </c>
      <c r="L1108" s="1" t="str">
        <f t="shared" si="53"/>
        <v/>
      </c>
      <c r="M1108" s="1">
        <f>IF(OR(Table1[[#This Row],[Std Nom]]="",Table1[[#This Row],[Std Read]]=""),0,Table1[[#This Row],[Std Nom]]-Table1[[#This Row],[Std Read]])</f>
        <v>0</v>
      </c>
      <c r="N1108" s="1">
        <f>IF(Calculations!$F$5="ACCREDITED 17025 WITH UNCERTAINTIES",$N$10,0)</f>
        <v>0</v>
      </c>
      <c r="O1108" s="1" t="str">
        <f>IFERROR(Table1[[#This Row],[Std Nom]]-(_xlfn.XLOOKUP(Table1[[#This Row],[Manufacturer]]&amp;" "&amp;Table1[[#This Row],[Model]],Table13[MFR &amp; MDL],Table13[Tolerance % CW ],"")/100*Table1[[#This Row],[Std Nom]]),"")</f>
        <v/>
      </c>
      <c r="P1108" s="1" t="str">
        <f>IFERROR(Table1[[#This Row],[Std Nom]]+(_xlfn.XLOOKUP(Table1[[#This Row],[Manufacturer]]&amp;" "&amp;Table1[[#This Row],[Model]],Table13[MFR &amp; MDL],Table13[Tolerance % CW ],"")/100*Table1[[#This Row],[Std Nom]]),"")</f>
        <v/>
      </c>
      <c r="Q1108" s="1" t="e">
        <f>Table1[[#This Row],[High Tol]]-Table1[[#This Row],[Low Tol]]</f>
        <v>#VALUE!</v>
      </c>
      <c r="R1108" s="1">
        <f>2*Table1[[#This Row],[Std Error]]</f>
        <v>0</v>
      </c>
      <c r="S1108" s="1" t="str">
        <f>IF(Table1[[#This Row],[High Tol]]="","N/A",IFERROR(ABS(Table1[[#This Row],[Tol Span]]/Table1[[#This Row],[Error Span]]),"N/A"))</f>
        <v>N/A</v>
      </c>
      <c r="T1108" s="1" t="str">
        <f>IF(OR(Table1[[#This Row],[Low Tol]]="",Table1[[#This Row],[High Tol]]=""),"Needs Analysis",IF(Table1[[#This Row],[Ratio]]&gt;=4,"Not Significant",IF(Table1[[#This Row],[Ratio]]&gt;=2,"Semi-Significant","Significant")))</f>
        <v>Needs Analysis</v>
      </c>
      <c r="W1108" s="1">
        <f>IF(Table1[[#This Row],[Cal Type]]&lt;&gt;"ACCREDITED 17025 WITH UNCERTAINTIES",0,"")</f>
        <v>0</v>
      </c>
      <c r="X1108" s="1" t="str">
        <f>IF(Table1[[#This Row],[DUT Read]]="","N/A",Table1[[#This Row],[Std Error]]+Table1[[#This Row],[DUT Read]]+Table1[[#This Row],[DUT Ucty]])</f>
        <v>N/A</v>
      </c>
      <c r="Y1108" s="1" t="str">
        <f>IF(Table1[[#This Row],[Std Read]]="","N/A",Table1[[#This Row],[Std Read]]+Table1[[#This Row],[Std Ucty]])</f>
        <v>N/A</v>
      </c>
      <c r="Z11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8" s="1" t="str">
        <f>IF(Table1[[#This Row],[Spec Type]]="","N/A",Table1[[#This Row],[Spec Type]])</f>
        <v>±</v>
      </c>
      <c r="AC1108" s="1" t="str">
        <f>IF(Table1[[#This Row],[Spec Type2]]="N/A","N/A",IF(AND(Table1[[#This Row],[DUT Adj Read]]&gt;=Table1[[#This Row],[Low Tol]],Table1[[#This Row],[DUT Adj Read]]&lt;=Table1[[#This Row],[High Tol]]),"Pass","Fail"))</f>
        <v>Fail</v>
      </c>
      <c r="AD1108" s="1" t="str">
        <f>IF(AND(Table1[[#This Row],[Spec Type2]]="N/A",Table1[[#This Row],[DUT Adj Read]]="N/A",Table1[[#This Row],[Std Adj Read]]="N/A"),"N/A",IF(Table1[[#This Row],[DUT Adj Read]]="N/A",IF(Table1[[#This Row],[Std Adj Read]]&gt;Table1[[#This Row],[Low Tol]],"Pass","Fail"),IF(Table1[[#This Row],[DUT Adj Read]]&gt;Table1[[#This Row],[Low Tol]],"Pass","Fail")))</f>
        <v>Pass</v>
      </c>
      <c r="AE1108" s="1" t="str">
        <f>IF(AND(Table1[[#This Row],[Spec Type2]]="N/A",Table1[[#This Row],[DUT Adj Read]]="N/A",Table1[[#This Row],[Std Adj Read]]="N/A"),"N/A",IF(Table1[[#This Row],[DUT Adj Read]]="N/A",IF(Table1[[#This Row],[Std Adj Read]]&lt;Table1[[#This Row],[High Tol]],"Pass","Fail"),IF(Table1[[#This Row],[DUT Adj Read]]&lt;Table1[[#This Row],[High Tol]],"Pass","Fail")))</f>
        <v>Fail</v>
      </c>
      <c r="AF1108" s="1" t="str">
        <f>IF(AND(Table1[[#This Row],[Spec Type2]]="N/A",Table1[[#This Row],[DUT Adj Read]]="N/A",Table1[[#This Row],[Std Adj Read]]="N/A"),"N/A",IF(Table1[[#This Row],[DUT Adj Read]]="N/A",IF(Table1[[#This Row],[Std Adj Read]]&gt;=Table1[[#This Row],[Low Tol]],"Pass","Fail"),IF(Table1[[#This Row],[DUT Adj Read]]&gt;=Table1[[#This Row],[Low Tol]],"Pass","Fail")))</f>
        <v>Pass</v>
      </c>
      <c r="AG1108" s="1" t="str">
        <f>IF(AND(Table1[[#This Row],[Spec Type2]]="N/A",Table1[[#This Row],[DUT Adj Read]]="N/A",Table1[[#This Row],[Std Adj Read]]="N/A"),"N/A",IF(Table1[[#This Row],[DUT Adj Read]]="N/A",IF(Table1[[#This Row],[Std Adj Read]]&lt;=Table1[[#This Row],[High Tol]],"Pass","Fail"),IF(Table1[[#This Row],[DUT Adj Read]]&lt;=Table1[[#This Row],[High Tol]],"Pass","Fail")))</f>
        <v>Fail</v>
      </c>
      <c r="AH11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8" s="1" t="b">
        <v>0</v>
      </c>
      <c r="AN1108" s="1" t="b">
        <v>0</v>
      </c>
      <c r="AO1108" s="1" t="b">
        <v>0</v>
      </c>
    </row>
    <row r="1109" spans="1:41" x14ac:dyDescent="0.25">
      <c r="A1109" s="10"/>
      <c r="B1109" s="10"/>
      <c r="C1109" s="10"/>
      <c r="D1109" s="10"/>
      <c r="E1109" s="10"/>
      <c r="F1109" s="10"/>
      <c r="G1109" s="10"/>
      <c r="H1109" s="10"/>
      <c r="I1109" s="1" t="str">
        <f t="shared" si="51"/>
        <v/>
      </c>
      <c r="J1109" s="1" t="s">
        <v>35</v>
      </c>
      <c r="K1109" s="1" t="str">
        <f t="shared" si="52"/>
        <v/>
      </c>
      <c r="L1109" s="1" t="str">
        <f t="shared" si="53"/>
        <v/>
      </c>
      <c r="M1109" s="1">
        <f>IF(OR(Table1[[#This Row],[Std Nom]]="",Table1[[#This Row],[Std Read]]=""),0,Table1[[#This Row],[Std Nom]]-Table1[[#This Row],[Std Read]])</f>
        <v>0</v>
      </c>
      <c r="N1109" s="1">
        <f>IF(Calculations!$F$5="ACCREDITED 17025 WITH UNCERTAINTIES",$N$10,0)</f>
        <v>0</v>
      </c>
      <c r="O1109" s="1" t="str">
        <f>IFERROR(Table1[[#This Row],[Std Nom]]-(_xlfn.XLOOKUP(Table1[[#This Row],[Manufacturer]]&amp;" "&amp;Table1[[#This Row],[Model]],Table13[MFR &amp; MDL],Table13[Tolerance % CW ],"")/100*Table1[[#This Row],[Std Nom]]),"")</f>
        <v/>
      </c>
      <c r="P1109" s="1" t="str">
        <f>IFERROR(Table1[[#This Row],[Std Nom]]+(_xlfn.XLOOKUP(Table1[[#This Row],[Manufacturer]]&amp;" "&amp;Table1[[#This Row],[Model]],Table13[MFR &amp; MDL],Table13[Tolerance % CW ],"")/100*Table1[[#This Row],[Std Nom]]),"")</f>
        <v/>
      </c>
      <c r="Q1109" s="1" t="e">
        <f>Table1[[#This Row],[High Tol]]-Table1[[#This Row],[Low Tol]]</f>
        <v>#VALUE!</v>
      </c>
      <c r="R1109" s="1">
        <f>2*Table1[[#This Row],[Std Error]]</f>
        <v>0</v>
      </c>
      <c r="S1109" s="1" t="str">
        <f>IF(Table1[[#This Row],[High Tol]]="","N/A",IFERROR(ABS(Table1[[#This Row],[Tol Span]]/Table1[[#This Row],[Error Span]]),"N/A"))</f>
        <v>N/A</v>
      </c>
      <c r="T1109" s="1" t="str">
        <f>IF(OR(Table1[[#This Row],[Low Tol]]="",Table1[[#This Row],[High Tol]]=""),"Needs Analysis",IF(Table1[[#This Row],[Ratio]]&gt;=4,"Not Significant",IF(Table1[[#This Row],[Ratio]]&gt;=2,"Semi-Significant","Significant")))</f>
        <v>Needs Analysis</v>
      </c>
      <c r="W1109" s="1">
        <f>IF(Table1[[#This Row],[Cal Type]]&lt;&gt;"ACCREDITED 17025 WITH UNCERTAINTIES",0,"")</f>
        <v>0</v>
      </c>
      <c r="X1109" s="1" t="str">
        <f>IF(Table1[[#This Row],[DUT Read]]="","N/A",Table1[[#This Row],[Std Error]]+Table1[[#This Row],[DUT Read]]+Table1[[#This Row],[DUT Ucty]])</f>
        <v>N/A</v>
      </c>
      <c r="Y1109" s="1" t="str">
        <f>IF(Table1[[#This Row],[Std Read]]="","N/A",Table1[[#This Row],[Std Read]]+Table1[[#This Row],[Std Ucty]])</f>
        <v>N/A</v>
      </c>
      <c r="Z11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9" s="1" t="str">
        <f>IF(Table1[[#This Row],[Spec Type]]="","N/A",Table1[[#This Row],[Spec Type]])</f>
        <v>±</v>
      </c>
      <c r="AC1109" s="1" t="str">
        <f>IF(Table1[[#This Row],[Spec Type2]]="N/A","N/A",IF(AND(Table1[[#This Row],[DUT Adj Read]]&gt;=Table1[[#This Row],[Low Tol]],Table1[[#This Row],[DUT Adj Read]]&lt;=Table1[[#This Row],[High Tol]]),"Pass","Fail"))</f>
        <v>Fail</v>
      </c>
      <c r="AD1109" s="1" t="str">
        <f>IF(AND(Table1[[#This Row],[Spec Type2]]="N/A",Table1[[#This Row],[DUT Adj Read]]="N/A",Table1[[#This Row],[Std Adj Read]]="N/A"),"N/A",IF(Table1[[#This Row],[DUT Adj Read]]="N/A",IF(Table1[[#This Row],[Std Adj Read]]&gt;Table1[[#This Row],[Low Tol]],"Pass","Fail"),IF(Table1[[#This Row],[DUT Adj Read]]&gt;Table1[[#This Row],[Low Tol]],"Pass","Fail")))</f>
        <v>Pass</v>
      </c>
      <c r="AE1109" s="1" t="str">
        <f>IF(AND(Table1[[#This Row],[Spec Type2]]="N/A",Table1[[#This Row],[DUT Adj Read]]="N/A",Table1[[#This Row],[Std Adj Read]]="N/A"),"N/A",IF(Table1[[#This Row],[DUT Adj Read]]="N/A",IF(Table1[[#This Row],[Std Adj Read]]&lt;Table1[[#This Row],[High Tol]],"Pass","Fail"),IF(Table1[[#This Row],[DUT Adj Read]]&lt;Table1[[#This Row],[High Tol]],"Pass","Fail")))</f>
        <v>Fail</v>
      </c>
      <c r="AF1109" s="1" t="str">
        <f>IF(AND(Table1[[#This Row],[Spec Type2]]="N/A",Table1[[#This Row],[DUT Adj Read]]="N/A",Table1[[#This Row],[Std Adj Read]]="N/A"),"N/A",IF(Table1[[#This Row],[DUT Adj Read]]="N/A",IF(Table1[[#This Row],[Std Adj Read]]&gt;=Table1[[#This Row],[Low Tol]],"Pass","Fail"),IF(Table1[[#This Row],[DUT Adj Read]]&gt;=Table1[[#This Row],[Low Tol]],"Pass","Fail")))</f>
        <v>Pass</v>
      </c>
      <c r="AG1109" s="1" t="str">
        <f>IF(AND(Table1[[#This Row],[Spec Type2]]="N/A",Table1[[#This Row],[DUT Adj Read]]="N/A",Table1[[#This Row],[Std Adj Read]]="N/A"),"N/A",IF(Table1[[#This Row],[DUT Adj Read]]="N/A",IF(Table1[[#This Row],[Std Adj Read]]&lt;=Table1[[#This Row],[High Tol]],"Pass","Fail"),IF(Table1[[#This Row],[DUT Adj Read]]&lt;=Table1[[#This Row],[High Tol]],"Pass","Fail")))</f>
        <v>Fail</v>
      </c>
      <c r="AH11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9" s="1" t="b">
        <v>0</v>
      </c>
      <c r="AN1109" s="1" t="b">
        <v>0</v>
      </c>
      <c r="AO1109" s="1" t="b">
        <v>0</v>
      </c>
    </row>
    <row r="1110" spans="1:41" x14ac:dyDescent="0.25">
      <c r="A1110" s="10"/>
      <c r="B1110" s="10"/>
      <c r="C1110" s="10"/>
      <c r="D1110" s="10"/>
      <c r="E1110" s="10"/>
      <c r="F1110" s="10"/>
      <c r="G1110" s="10"/>
      <c r="H1110" s="10"/>
      <c r="I1110" s="1" t="str">
        <f t="shared" si="51"/>
        <v/>
      </c>
      <c r="J1110" s="1" t="s">
        <v>35</v>
      </c>
      <c r="K1110" s="1" t="str">
        <f t="shared" si="52"/>
        <v/>
      </c>
      <c r="L1110" s="1" t="str">
        <f t="shared" si="53"/>
        <v/>
      </c>
      <c r="M1110" s="1">
        <f>IF(OR(Table1[[#This Row],[Std Nom]]="",Table1[[#This Row],[Std Read]]=""),0,Table1[[#This Row],[Std Nom]]-Table1[[#This Row],[Std Read]])</f>
        <v>0</v>
      </c>
      <c r="N1110" s="1">
        <f>IF(Calculations!$F$5="ACCREDITED 17025 WITH UNCERTAINTIES",$N$10,0)</f>
        <v>0</v>
      </c>
      <c r="O1110" s="1" t="str">
        <f>IFERROR(Table1[[#This Row],[Std Nom]]-(_xlfn.XLOOKUP(Table1[[#This Row],[Manufacturer]]&amp;" "&amp;Table1[[#This Row],[Model]],Table13[MFR &amp; MDL],Table13[Tolerance % CW ],"")/100*Table1[[#This Row],[Std Nom]]),"")</f>
        <v/>
      </c>
      <c r="P1110" s="1" t="str">
        <f>IFERROR(Table1[[#This Row],[Std Nom]]+(_xlfn.XLOOKUP(Table1[[#This Row],[Manufacturer]]&amp;" "&amp;Table1[[#This Row],[Model]],Table13[MFR &amp; MDL],Table13[Tolerance % CW ],"")/100*Table1[[#This Row],[Std Nom]]),"")</f>
        <v/>
      </c>
      <c r="Q1110" s="1" t="e">
        <f>Table1[[#This Row],[High Tol]]-Table1[[#This Row],[Low Tol]]</f>
        <v>#VALUE!</v>
      </c>
      <c r="R1110" s="1">
        <f>2*Table1[[#This Row],[Std Error]]</f>
        <v>0</v>
      </c>
      <c r="S1110" s="1" t="str">
        <f>IF(Table1[[#This Row],[High Tol]]="","N/A",IFERROR(ABS(Table1[[#This Row],[Tol Span]]/Table1[[#This Row],[Error Span]]),"N/A"))</f>
        <v>N/A</v>
      </c>
      <c r="T1110" s="1" t="str">
        <f>IF(OR(Table1[[#This Row],[Low Tol]]="",Table1[[#This Row],[High Tol]]=""),"Needs Analysis",IF(Table1[[#This Row],[Ratio]]&gt;=4,"Not Significant",IF(Table1[[#This Row],[Ratio]]&gt;=2,"Semi-Significant","Significant")))</f>
        <v>Needs Analysis</v>
      </c>
      <c r="W1110" s="1">
        <f>IF(Table1[[#This Row],[Cal Type]]&lt;&gt;"ACCREDITED 17025 WITH UNCERTAINTIES",0,"")</f>
        <v>0</v>
      </c>
      <c r="X1110" s="1" t="str">
        <f>IF(Table1[[#This Row],[DUT Read]]="","N/A",Table1[[#This Row],[Std Error]]+Table1[[#This Row],[DUT Read]]+Table1[[#This Row],[DUT Ucty]])</f>
        <v>N/A</v>
      </c>
      <c r="Y1110" s="1" t="str">
        <f>IF(Table1[[#This Row],[Std Read]]="","N/A",Table1[[#This Row],[Std Read]]+Table1[[#This Row],[Std Ucty]])</f>
        <v>N/A</v>
      </c>
      <c r="Z11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0" s="1" t="str">
        <f>IF(Table1[[#This Row],[Spec Type]]="","N/A",Table1[[#This Row],[Spec Type]])</f>
        <v>±</v>
      </c>
      <c r="AC1110" s="1" t="str">
        <f>IF(Table1[[#This Row],[Spec Type2]]="N/A","N/A",IF(AND(Table1[[#This Row],[DUT Adj Read]]&gt;=Table1[[#This Row],[Low Tol]],Table1[[#This Row],[DUT Adj Read]]&lt;=Table1[[#This Row],[High Tol]]),"Pass","Fail"))</f>
        <v>Fail</v>
      </c>
      <c r="AD1110" s="1" t="str">
        <f>IF(AND(Table1[[#This Row],[Spec Type2]]="N/A",Table1[[#This Row],[DUT Adj Read]]="N/A",Table1[[#This Row],[Std Adj Read]]="N/A"),"N/A",IF(Table1[[#This Row],[DUT Adj Read]]="N/A",IF(Table1[[#This Row],[Std Adj Read]]&gt;Table1[[#This Row],[Low Tol]],"Pass","Fail"),IF(Table1[[#This Row],[DUT Adj Read]]&gt;Table1[[#This Row],[Low Tol]],"Pass","Fail")))</f>
        <v>Pass</v>
      </c>
      <c r="AE1110" s="1" t="str">
        <f>IF(AND(Table1[[#This Row],[Spec Type2]]="N/A",Table1[[#This Row],[DUT Adj Read]]="N/A",Table1[[#This Row],[Std Adj Read]]="N/A"),"N/A",IF(Table1[[#This Row],[DUT Adj Read]]="N/A",IF(Table1[[#This Row],[Std Adj Read]]&lt;Table1[[#This Row],[High Tol]],"Pass","Fail"),IF(Table1[[#This Row],[DUT Adj Read]]&lt;Table1[[#This Row],[High Tol]],"Pass","Fail")))</f>
        <v>Fail</v>
      </c>
      <c r="AF1110" s="1" t="str">
        <f>IF(AND(Table1[[#This Row],[Spec Type2]]="N/A",Table1[[#This Row],[DUT Adj Read]]="N/A",Table1[[#This Row],[Std Adj Read]]="N/A"),"N/A",IF(Table1[[#This Row],[DUT Adj Read]]="N/A",IF(Table1[[#This Row],[Std Adj Read]]&gt;=Table1[[#This Row],[Low Tol]],"Pass","Fail"),IF(Table1[[#This Row],[DUT Adj Read]]&gt;=Table1[[#This Row],[Low Tol]],"Pass","Fail")))</f>
        <v>Pass</v>
      </c>
      <c r="AG1110" s="1" t="str">
        <f>IF(AND(Table1[[#This Row],[Spec Type2]]="N/A",Table1[[#This Row],[DUT Adj Read]]="N/A",Table1[[#This Row],[Std Adj Read]]="N/A"),"N/A",IF(Table1[[#This Row],[DUT Adj Read]]="N/A",IF(Table1[[#This Row],[Std Adj Read]]&lt;=Table1[[#This Row],[High Tol]],"Pass","Fail"),IF(Table1[[#This Row],[DUT Adj Read]]&lt;=Table1[[#This Row],[High Tol]],"Pass","Fail")))</f>
        <v>Fail</v>
      </c>
      <c r="AH11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0" s="1" t="b">
        <v>0</v>
      </c>
      <c r="AN1110" s="1" t="b">
        <v>0</v>
      </c>
      <c r="AO1110" s="1" t="b">
        <v>0</v>
      </c>
    </row>
    <row r="1111" spans="1:41" x14ac:dyDescent="0.25">
      <c r="A1111" s="10"/>
      <c r="B1111" s="10"/>
      <c r="C1111" s="10"/>
      <c r="D1111" s="10"/>
      <c r="E1111" s="10"/>
      <c r="F1111" s="10"/>
      <c r="G1111" s="10"/>
      <c r="H1111" s="10"/>
      <c r="I1111" s="1" t="str">
        <f t="shared" si="51"/>
        <v/>
      </c>
      <c r="J1111" s="1" t="s">
        <v>35</v>
      </c>
      <c r="K1111" s="1" t="str">
        <f t="shared" si="52"/>
        <v/>
      </c>
      <c r="L1111" s="1" t="str">
        <f t="shared" si="53"/>
        <v/>
      </c>
      <c r="M1111" s="1">
        <f>IF(OR(Table1[[#This Row],[Std Nom]]="",Table1[[#This Row],[Std Read]]=""),0,Table1[[#This Row],[Std Nom]]-Table1[[#This Row],[Std Read]])</f>
        <v>0</v>
      </c>
      <c r="N1111" s="1">
        <f>IF(Calculations!$F$5="ACCREDITED 17025 WITH UNCERTAINTIES",$N$10,0)</f>
        <v>0</v>
      </c>
      <c r="O1111" s="1" t="str">
        <f>IFERROR(Table1[[#This Row],[Std Nom]]-(_xlfn.XLOOKUP(Table1[[#This Row],[Manufacturer]]&amp;" "&amp;Table1[[#This Row],[Model]],Table13[MFR &amp; MDL],Table13[Tolerance % CW ],"")/100*Table1[[#This Row],[Std Nom]]),"")</f>
        <v/>
      </c>
      <c r="P1111" s="1" t="str">
        <f>IFERROR(Table1[[#This Row],[Std Nom]]+(_xlfn.XLOOKUP(Table1[[#This Row],[Manufacturer]]&amp;" "&amp;Table1[[#This Row],[Model]],Table13[MFR &amp; MDL],Table13[Tolerance % CW ],"")/100*Table1[[#This Row],[Std Nom]]),"")</f>
        <v/>
      </c>
      <c r="Q1111" s="1" t="e">
        <f>Table1[[#This Row],[High Tol]]-Table1[[#This Row],[Low Tol]]</f>
        <v>#VALUE!</v>
      </c>
      <c r="R1111" s="1">
        <f>2*Table1[[#This Row],[Std Error]]</f>
        <v>0</v>
      </c>
      <c r="S1111" s="1" t="str">
        <f>IF(Table1[[#This Row],[High Tol]]="","N/A",IFERROR(ABS(Table1[[#This Row],[Tol Span]]/Table1[[#This Row],[Error Span]]),"N/A"))</f>
        <v>N/A</v>
      </c>
      <c r="T1111" s="1" t="str">
        <f>IF(OR(Table1[[#This Row],[Low Tol]]="",Table1[[#This Row],[High Tol]]=""),"Needs Analysis",IF(Table1[[#This Row],[Ratio]]&gt;=4,"Not Significant",IF(Table1[[#This Row],[Ratio]]&gt;=2,"Semi-Significant","Significant")))</f>
        <v>Needs Analysis</v>
      </c>
      <c r="W1111" s="1">
        <f>IF(Table1[[#This Row],[Cal Type]]&lt;&gt;"ACCREDITED 17025 WITH UNCERTAINTIES",0,"")</f>
        <v>0</v>
      </c>
      <c r="X1111" s="1" t="str">
        <f>IF(Table1[[#This Row],[DUT Read]]="","N/A",Table1[[#This Row],[Std Error]]+Table1[[#This Row],[DUT Read]]+Table1[[#This Row],[DUT Ucty]])</f>
        <v>N/A</v>
      </c>
      <c r="Y1111" s="1" t="str">
        <f>IF(Table1[[#This Row],[Std Read]]="","N/A",Table1[[#This Row],[Std Read]]+Table1[[#This Row],[Std Ucty]])</f>
        <v>N/A</v>
      </c>
      <c r="Z11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1" s="1" t="str">
        <f>IF(Table1[[#This Row],[Spec Type]]="","N/A",Table1[[#This Row],[Spec Type]])</f>
        <v>±</v>
      </c>
      <c r="AC1111" s="1" t="str">
        <f>IF(Table1[[#This Row],[Spec Type2]]="N/A","N/A",IF(AND(Table1[[#This Row],[DUT Adj Read]]&gt;=Table1[[#This Row],[Low Tol]],Table1[[#This Row],[DUT Adj Read]]&lt;=Table1[[#This Row],[High Tol]]),"Pass","Fail"))</f>
        <v>Fail</v>
      </c>
      <c r="AD1111" s="1" t="str">
        <f>IF(AND(Table1[[#This Row],[Spec Type2]]="N/A",Table1[[#This Row],[DUT Adj Read]]="N/A",Table1[[#This Row],[Std Adj Read]]="N/A"),"N/A",IF(Table1[[#This Row],[DUT Adj Read]]="N/A",IF(Table1[[#This Row],[Std Adj Read]]&gt;Table1[[#This Row],[Low Tol]],"Pass","Fail"),IF(Table1[[#This Row],[DUT Adj Read]]&gt;Table1[[#This Row],[Low Tol]],"Pass","Fail")))</f>
        <v>Pass</v>
      </c>
      <c r="AE1111" s="1" t="str">
        <f>IF(AND(Table1[[#This Row],[Spec Type2]]="N/A",Table1[[#This Row],[DUT Adj Read]]="N/A",Table1[[#This Row],[Std Adj Read]]="N/A"),"N/A",IF(Table1[[#This Row],[DUT Adj Read]]="N/A",IF(Table1[[#This Row],[Std Adj Read]]&lt;Table1[[#This Row],[High Tol]],"Pass","Fail"),IF(Table1[[#This Row],[DUT Adj Read]]&lt;Table1[[#This Row],[High Tol]],"Pass","Fail")))</f>
        <v>Fail</v>
      </c>
      <c r="AF1111" s="1" t="str">
        <f>IF(AND(Table1[[#This Row],[Spec Type2]]="N/A",Table1[[#This Row],[DUT Adj Read]]="N/A",Table1[[#This Row],[Std Adj Read]]="N/A"),"N/A",IF(Table1[[#This Row],[DUT Adj Read]]="N/A",IF(Table1[[#This Row],[Std Adj Read]]&gt;=Table1[[#This Row],[Low Tol]],"Pass","Fail"),IF(Table1[[#This Row],[DUT Adj Read]]&gt;=Table1[[#This Row],[Low Tol]],"Pass","Fail")))</f>
        <v>Pass</v>
      </c>
      <c r="AG1111" s="1" t="str">
        <f>IF(AND(Table1[[#This Row],[Spec Type2]]="N/A",Table1[[#This Row],[DUT Adj Read]]="N/A",Table1[[#This Row],[Std Adj Read]]="N/A"),"N/A",IF(Table1[[#This Row],[DUT Adj Read]]="N/A",IF(Table1[[#This Row],[Std Adj Read]]&lt;=Table1[[#This Row],[High Tol]],"Pass","Fail"),IF(Table1[[#This Row],[DUT Adj Read]]&lt;=Table1[[#This Row],[High Tol]],"Pass","Fail")))</f>
        <v>Fail</v>
      </c>
      <c r="AH11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1" s="1" t="b">
        <v>0</v>
      </c>
      <c r="AN1111" s="1" t="b">
        <v>0</v>
      </c>
      <c r="AO1111" s="1" t="b">
        <v>0</v>
      </c>
    </row>
    <row r="1112" spans="1:41" x14ac:dyDescent="0.25">
      <c r="A1112" s="10"/>
      <c r="B1112" s="10"/>
      <c r="C1112" s="10"/>
      <c r="D1112" s="10"/>
      <c r="E1112" s="10"/>
      <c r="F1112" s="10"/>
      <c r="G1112" s="10"/>
      <c r="H1112" s="10"/>
      <c r="I1112" s="1" t="str">
        <f t="shared" si="51"/>
        <v/>
      </c>
      <c r="J1112" s="1" t="s">
        <v>35</v>
      </c>
      <c r="K1112" s="1" t="str">
        <f t="shared" si="52"/>
        <v/>
      </c>
      <c r="L1112" s="1" t="str">
        <f t="shared" si="53"/>
        <v/>
      </c>
      <c r="M1112" s="1">
        <f>IF(OR(Table1[[#This Row],[Std Nom]]="",Table1[[#This Row],[Std Read]]=""),0,Table1[[#This Row],[Std Nom]]-Table1[[#This Row],[Std Read]])</f>
        <v>0</v>
      </c>
      <c r="N1112" s="1">
        <f>IF(Calculations!$F$5="ACCREDITED 17025 WITH UNCERTAINTIES",$N$10,0)</f>
        <v>0</v>
      </c>
      <c r="O1112" s="1" t="str">
        <f>IFERROR(Table1[[#This Row],[Std Nom]]-(_xlfn.XLOOKUP(Table1[[#This Row],[Manufacturer]]&amp;" "&amp;Table1[[#This Row],[Model]],Table13[MFR &amp; MDL],Table13[Tolerance % CW ],"")/100*Table1[[#This Row],[Std Nom]]),"")</f>
        <v/>
      </c>
      <c r="P1112" s="1" t="str">
        <f>IFERROR(Table1[[#This Row],[Std Nom]]+(_xlfn.XLOOKUP(Table1[[#This Row],[Manufacturer]]&amp;" "&amp;Table1[[#This Row],[Model]],Table13[MFR &amp; MDL],Table13[Tolerance % CW ],"")/100*Table1[[#This Row],[Std Nom]]),"")</f>
        <v/>
      </c>
      <c r="Q1112" s="1" t="e">
        <f>Table1[[#This Row],[High Tol]]-Table1[[#This Row],[Low Tol]]</f>
        <v>#VALUE!</v>
      </c>
      <c r="R1112" s="1">
        <f>2*Table1[[#This Row],[Std Error]]</f>
        <v>0</v>
      </c>
      <c r="S1112" s="1" t="str">
        <f>IF(Table1[[#This Row],[High Tol]]="","N/A",IFERROR(ABS(Table1[[#This Row],[Tol Span]]/Table1[[#This Row],[Error Span]]),"N/A"))</f>
        <v>N/A</v>
      </c>
      <c r="T1112" s="1" t="str">
        <f>IF(OR(Table1[[#This Row],[Low Tol]]="",Table1[[#This Row],[High Tol]]=""),"Needs Analysis",IF(Table1[[#This Row],[Ratio]]&gt;=4,"Not Significant",IF(Table1[[#This Row],[Ratio]]&gt;=2,"Semi-Significant","Significant")))</f>
        <v>Needs Analysis</v>
      </c>
      <c r="W1112" s="1">
        <f>IF(Table1[[#This Row],[Cal Type]]&lt;&gt;"ACCREDITED 17025 WITH UNCERTAINTIES",0,"")</f>
        <v>0</v>
      </c>
      <c r="X1112" s="1" t="str">
        <f>IF(Table1[[#This Row],[DUT Read]]="","N/A",Table1[[#This Row],[Std Error]]+Table1[[#This Row],[DUT Read]]+Table1[[#This Row],[DUT Ucty]])</f>
        <v>N/A</v>
      </c>
      <c r="Y1112" s="1" t="str">
        <f>IF(Table1[[#This Row],[Std Read]]="","N/A",Table1[[#This Row],[Std Read]]+Table1[[#This Row],[Std Ucty]])</f>
        <v>N/A</v>
      </c>
      <c r="Z11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2" s="1" t="str">
        <f>IF(Table1[[#This Row],[Spec Type]]="","N/A",Table1[[#This Row],[Spec Type]])</f>
        <v>±</v>
      </c>
      <c r="AC1112" s="1" t="str">
        <f>IF(Table1[[#This Row],[Spec Type2]]="N/A","N/A",IF(AND(Table1[[#This Row],[DUT Adj Read]]&gt;=Table1[[#This Row],[Low Tol]],Table1[[#This Row],[DUT Adj Read]]&lt;=Table1[[#This Row],[High Tol]]),"Pass","Fail"))</f>
        <v>Fail</v>
      </c>
      <c r="AD1112" s="1" t="str">
        <f>IF(AND(Table1[[#This Row],[Spec Type2]]="N/A",Table1[[#This Row],[DUT Adj Read]]="N/A",Table1[[#This Row],[Std Adj Read]]="N/A"),"N/A",IF(Table1[[#This Row],[DUT Adj Read]]="N/A",IF(Table1[[#This Row],[Std Adj Read]]&gt;Table1[[#This Row],[Low Tol]],"Pass","Fail"),IF(Table1[[#This Row],[DUT Adj Read]]&gt;Table1[[#This Row],[Low Tol]],"Pass","Fail")))</f>
        <v>Pass</v>
      </c>
      <c r="AE1112" s="1" t="str">
        <f>IF(AND(Table1[[#This Row],[Spec Type2]]="N/A",Table1[[#This Row],[DUT Adj Read]]="N/A",Table1[[#This Row],[Std Adj Read]]="N/A"),"N/A",IF(Table1[[#This Row],[DUT Adj Read]]="N/A",IF(Table1[[#This Row],[Std Adj Read]]&lt;Table1[[#This Row],[High Tol]],"Pass","Fail"),IF(Table1[[#This Row],[DUT Adj Read]]&lt;Table1[[#This Row],[High Tol]],"Pass","Fail")))</f>
        <v>Fail</v>
      </c>
      <c r="AF1112" s="1" t="str">
        <f>IF(AND(Table1[[#This Row],[Spec Type2]]="N/A",Table1[[#This Row],[DUT Adj Read]]="N/A",Table1[[#This Row],[Std Adj Read]]="N/A"),"N/A",IF(Table1[[#This Row],[DUT Adj Read]]="N/A",IF(Table1[[#This Row],[Std Adj Read]]&gt;=Table1[[#This Row],[Low Tol]],"Pass","Fail"),IF(Table1[[#This Row],[DUT Adj Read]]&gt;=Table1[[#This Row],[Low Tol]],"Pass","Fail")))</f>
        <v>Pass</v>
      </c>
      <c r="AG1112" s="1" t="str">
        <f>IF(AND(Table1[[#This Row],[Spec Type2]]="N/A",Table1[[#This Row],[DUT Adj Read]]="N/A",Table1[[#This Row],[Std Adj Read]]="N/A"),"N/A",IF(Table1[[#This Row],[DUT Adj Read]]="N/A",IF(Table1[[#This Row],[Std Adj Read]]&lt;=Table1[[#This Row],[High Tol]],"Pass","Fail"),IF(Table1[[#This Row],[DUT Adj Read]]&lt;=Table1[[#This Row],[High Tol]],"Pass","Fail")))</f>
        <v>Fail</v>
      </c>
      <c r="AH11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2" s="1" t="b">
        <v>0</v>
      </c>
      <c r="AN1112" s="1" t="b">
        <v>0</v>
      </c>
      <c r="AO1112" s="1" t="b">
        <v>0</v>
      </c>
    </row>
    <row r="1113" spans="1:41" x14ac:dyDescent="0.25">
      <c r="A1113" s="10"/>
      <c r="B1113" s="10"/>
      <c r="C1113" s="10"/>
      <c r="D1113" s="10"/>
      <c r="E1113" s="10"/>
      <c r="F1113" s="10"/>
      <c r="G1113" s="10"/>
      <c r="H1113" s="10"/>
      <c r="I1113" s="1" t="str">
        <f t="shared" si="51"/>
        <v/>
      </c>
      <c r="J1113" s="1" t="s">
        <v>35</v>
      </c>
      <c r="K1113" s="1" t="str">
        <f t="shared" si="52"/>
        <v/>
      </c>
      <c r="L1113" s="1" t="str">
        <f t="shared" si="53"/>
        <v/>
      </c>
      <c r="M1113" s="1">
        <f>IF(OR(Table1[[#This Row],[Std Nom]]="",Table1[[#This Row],[Std Read]]=""),0,Table1[[#This Row],[Std Nom]]-Table1[[#This Row],[Std Read]])</f>
        <v>0</v>
      </c>
      <c r="N1113" s="1">
        <f>IF(Calculations!$F$5="ACCREDITED 17025 WITH UNCERTAINTIES",$N$10,0)</f>
        <v>0</v>
      </c>
      <c r="O1113" s="1" t="str">
        <f>IFERROR(Table1[[#This Row],[Std Nom]]-(_xlfn.XLOOKUP(Table1[[#This Row],[Manufacturer]]&amp;" "&amp;Table1[[#This Row],[Model]],Table13[MFR &amp; MDL],Table13[Tolerance % CW ],"")/100*Table1[[#This Row],[Std Nom]]),"")</f>
        <v/>
      </c>
      <c r="P1113" s="1" t="str">
        <f>IFERROR(Table1[[#This Row],[Std Nom]]+(_xlfn.XLOOKUP(Table1[[#This Row],[Manufacturer]]&amp;" "&amp;Table1[[#This Row],[Model]],Table13[MFR &amp; MDL],Table13[Tolerance % CW ],"")/100*Table1[[#This Row],[Std Nom]]),"")</f>
        <v/>
      </c>
      <c r="Q1113" s="1" t="e">
        <f>Table1[[#This Row],[High Tol]]-Table1[[#This Row],[Low Tol]]</f>
        <v>#VALUE!</v>
      </c>
      <c r="R1113" s="1">
        <f>2*Table1[[#This Row],[Std Error]]</f>
        <v>0</v>
      </c>
      <c r="S1113" s="1" t="str">
        <f>IF(Table1[[#This Row],[High Tol]]="","N/A",IFERROR(ABS(Table1[[#This Row],[Tol Span]]/Table1[[#This Row],[Error Span]]),"N/A"))</f>
        <v>N/A</v>
      </c>
      <c r="T1113" s="1" t="str">
        <f>IF(OR(Table1[[#This Row],[Low Tol]]="",Table1[[#This Row],[High Tol]]=""),"Needs Analysis",IF(Table1[[#This Row],[Ratio]]&gt;=4,"Not Significant",IF(Table1[[#This Row],[Ratio]]&gt;=2,"Semi-Significant","Significant")))</f>
        <v>Needs Analysis</v>
      </c>
      <c r="W1113" s="1">
        <f>IF(Table1[[#This Row],[Cal Type]]&lt;&gt;"ACCREDITED 17025 WITH UNCERTAINTIES",0,"")</f>
        <v>0</v>
      </c>
      <c r="X1113" s="1" t="str">
        <f>IF(Table1[[#This Row],[DUT Read]]="","N/A",Table1[[#This Row],[Std Error]]+Table1[[#This Row],[DUT Read]]+Table1[[#This Row],[DUT Ucty]])</f>
        <v>N/A</v>
      </c>
      <c r="Y1113" s="1" t="str">
        <f>IF(Table1[[#This Row],[Std Read]]="","N/A",Table1[[#This Row],[Std Read]]+Table1[[#This Row],[Std Ucty]])</f>
        <v>N/A</v>
      </c>
      <c r="Z11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3" s="1" t="str">
        <f>IF(Table1[[#This Row],[Spec Type]]="","N/A",Table1[[#This Row],[Spec Type]])</f>
        <v>±</v>
      </c>
      <c r="AC1113" s="1" t="str">
        <f>IF(Table1[[#This Row],[Spec Type2]]="N/A","N/A",IF(AND(Table1[[#This Row],[DUT Adj Read]]&gt;=Table1[[#This Row],[Low Tol]],Table1[[#This Row],[DUT Adj Read]]&lt;=Table1[[#This Row],[High Tol]]),"Pass","Fail"))</f>
        <v>Fail</v>
      </c>
      <c r="AD1113" s="1" t="str">
        <f>IF(AND(Table1[[#This Row],[Spec Type2]]="N/A",Table1[[#This Row],[DUT Adj Read]]="N/A",Table1[[#This Row],[Std Adj Read]]="N/A"),"N/A",IF(Table1[[#This Row],[DUT Adj Read]]="N/A",IF(Table1[[#This Row],[Std Adj Read]]&gt;Table1[[#This Row],[Low Tol]],"Pass","Fail"),IF(Table1[[#This Row],[DUT Adj Read]]&gt;Table1[[#This Row],[Low Tol]],"Pass","Fail")))</f>
        <v>Pass</v>
      </c>
      <c r="AE1113" s="1" t="str">
        <f>IF(AND(Table1[[#This Row],[Spec Type2]]="N/A",Table1[[#This Row],[DUT Adj Read]]="N/A",Table1[[#This Row],[Std Adj Read]]="N/A"),"N/A",IF(Table1[[#This Row],[DUT Adj Read]]="N/A",IF(Table1[[#This Row],[Std Adj Read]]&lt;Table1[[#This Row],[High Tol]],"Pass","Fail"),IF(Table1[[#This Row],[DUT Adj Read]]&lt;Table1[[#This Row],[High Tol]],"Pass","Fail")))</f>
        <v>Fail</v>
      </c>
      <c r="AF1113" s="1" t="str">
        <f>IF(AND(Table1[[#This Row],[Spec Type2]]="N/A",Table1[[#This Row],[DUT Adj Read]]="N/A",Table1[[#This Row],[Std Adj Read]]="N/A"),"N/A",IF(Table1[[#This Row],[DUT Adj Read]]="N/A",IF(Table1[[#This Row],[Std Adj Read]]&gt;=Table1[[#This Row],[Low Tol]],"Pass","Fail"),IF(Table1[[#This Row],[DUT Adj Read]]&gt;=Table1[[#This Row],[Low Tol]],"Pass","Fail")))</f>
        <v>Pass</v>
      </c>
      <c r="AG1113" s="1" t="str">
        <f>IF(AND(Table1[[#This Row],[Spec Type2]]="N/A",Table1[[#This Row],[DUT Adj Read]]="N/A",Table1[[#This Row],[Std Adj Read]]="N/A"),"N/A",IF(Table1[[#This Row],[DUT Adj Read]]="N/A",IF(Table1[[#This Row],[Std Adj Read]]&lt;=Table1[[#This Row],[High Tol]],"Pass","Fail"),IF(Table1[[#This Row],[DUT Adj Read]]&lt;=Table1[[#This Row],[High Tol]],"Pass","Fail")))</f>
        <v>Fail</v>
      </c>
      <c r="AH11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3" s="1" t="b">
        <v>0</v>
      </c>
      <c r="AN1113" s="1" t="b">
        <v>0</v>
      </c>
      <c r="AO1113" s="1" t="b">
        <v>0</v>
      </c>
    </row>
    <row r="1114" spans="1:41" x14ac:dyDescent="0.25">
      <c r="A1114" s="10"/>
      <c r="B1114" s="10"/>
      <c r="C1114" s="10"/>
      <c r="D1114" s="10"/>
      <c r="E1114" s="10"/>
      <c r="F1114" s="10"/>
      <c r="G1114" s="10"/>
      <c r="H1114" s="10"/>
      <c r="I1114" s="1" t="str">
        <f t="shared" si="51"/>
        <v/>
      </c>
      <c r="J1114" s="1" t="s">
        <v>35</v>
      </c>
      <c r="K1114" s="1" t="str">
        <f t="shared" si="52"/>
        <v/>
      </c>
      <c r="L1114" s="1" t="str">
        <f t="shared" si="53"/>
        <v/>
      </c>
      <c r="M1114" s="1">
        <f>IF(OR(Table1[[#This Row],[Std Nom]]="",Table1[[#This Row],[Std Read]]=""),0,Table1[[#This Row],[Std Nom]]-Table1[[#This Row],[Std Read]])</f>
        <v>0</v>
      </c>
      <c r="N1114" s="1">
        <f>IF(Calculations!$F$5="ACCREDITED 17025 WITH UNCERTAINTIES",$N$10,0)</f>
        <v>0</v>
      </c>
      <c r="O1114" s="1" t="str">
        <f>IFERROR(Table1[[#This Row],[Std Nom]]-(_xlfn.XLOOKUP(Table1[[#This Row],[Manufacturer]]&amp;" "&amp;Table1[[#This Row],[Model]],Table13[MFR &amp; MDL],Table13[Tolerance % CW ],"")/100*Table1[[#This Row],[Std Nom]]),"")</f>
        <v/>
      </c>
      <c r="P1114" s="1" t="str">
        <f>IFERROR(Table1[[#This Row],[Std Nom]]+(_xlfn.XLOOKUP(Table1[[#This Row],[Manufacturer]]&amp;" "&amp;Table1[[#This Row],[Model]],Table13[MFR &amp; MDL],Table13[Tolerance % CW ],"")/100*Table1[[#This Row],[Std Nom]]),"")</f>
        <v/>
      </c>
      <c r="Q1114" s="1" t="e">
        <f>Table1[[#This Row],[High Tol]]-Table1[[#This Row],[Low Tol]]</f>
        <v>#VALUE!</v>
      </c>
      <c r="R1114" s="1">
        <f>2*Table1[[#This Row],[Std Error]]</f>
        <v>0</v>
      </c>
      <c r="S1114" s="1" t="str">
        <f>IF(Table1[[#This Row],[High Tol]]="","N/A",IFERROR(ABS(Table1[[#This Row],[Tol Span]]/Table1[[#This Row],[Error Span]]),"N/A"))</f>
        <v>N/A</v>
      </c>
      <c r="T1114" s="1" t="str">
        <f>IF(OR(Table1[[#This Row],[Low Tol]]="",Table1[[#This Row],[High Tol]]=""),"Needs Analysis",IF(Table1[[#This Row],[Ratio]]&gt;=4,"Not Significant",IF(Table1[[#This Row],[Ratio]]&gt;=2,"Semi-Significant","Significant")))</f>
        <v>Needs Analysis</v>
      </c>
      <c r="W1114" s="1">
        <f>IF(Table1[[#This Row],[Cal Type]]&lt;&gt;"ACCREDITED 17025 WITH UNCERTAINTIES",0,"")</f>
        <v>0</v>
      </c>
      <c r="X1114" s="1" t="str">
        <f>IF(Table1[[#This Row],[DUT Read]]="","N/A",Table1[[#This Row],[Std Error]]+Table1[[#This Row],[DUT Read]]+Table1[[#This Row],[DUT Ucty]])</f>
        <v>N/A</v>
      </c>
      <c r="Y1114" s="1" t="str">
        <f>IF(Table1[[#This Row],[Std Read]]="","N/A",Table1[[#This Row],[Std Read]]+Table1[[#This Row],[Std Ucty]])</f>
        <v>N/A</v>
      </c>
      <c r="Z11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4" s="1" t="str">
        <f>IF(Table1[[#This Row],[Spec Type]]="","N/A",Table1[[#This Row],[Spec Type]])</f>
        <v>±</v>
      </c>
      <c r="AC1114" s="1" t="str">
        <f>IF(Table1[[#This Row],[Spec Type2]]="N/A","N/A",IF(AND(Table1[[#This Row],[DUT Adj Read]]&gt;=Table1[[#This Row],[Low Tol]],Table1[[#This Row],[DUT Adj Read]]&lt;=Table1[[#This Row],[High Tol]]),"Pass","Fail"))</f>
        <v>Fail</v>
      </c>
      <c r="AD1114" s="1" t="str">
        <f>IF(AND(Table1[[#This Row],[Spec Type2]]="N/A",Table1[[#This Row],[DUT Adj Read]]="N/A",Table1[[#This Row],[Std Adj Read]]="N/A"),"N/A",IF(Table1[[#This Row],[DUT Adj Read]]="N/A",IF(Table1[[#This Row],[Std Adj Read]]&gt;Table1[[#This Row],[Low Tol]],"Pass","Fail"),IF(Table1[[#This Row],[DUT Adj Read]]&gt;Table1[[#This Row],[Low Tol]],"Pass","Fail")))</f>
        <v>Pass</v>
      </c>
      <c r="AE1114" s="1" t="str">
        <f>IF(AND(Table1[[#This Row],[Spec Type2]]="N/A",Table1[[#This Row],[DUT Adj Read]]="N/A",Table1[[#This Row],[Std Adj Read]]="N/A"),"N/A",IF(Table1[[#This Row],[DUT Adj Read]]="N/A",IF(Table1[[#This Row],[Std Adj Read]]&lt;Table1[[#This Row],[High Tol]],"Pass","Fail"),IF(Table1[[#This Row],[DUT Adj Read]]&lt;Table1[[#This Row],[High Tol]],"Pass","Fail")))</f>
        <v>Fail</v>
      </c>
      <c r="AF1114" s="1" t="str">
        <f>IF(AND(Table1[[#This Row],[Spec Type2]]="N/A",Table1[[#This Row],[DUT Adj Read]]="N/A",Table1[[#This Row],[Std Adj Read]]="N/A"),"N/A",IF(Table1[[#This Row],[DUT Adj Read]]="N/A",IF(Table1[[#This Row],[Std Adj Read]]&gt;=Table1[[#This Row],[Low Tol]],"Pass","Fail"),IF(Table1[[#This Row],[DUT Adj Read]]&gt;=Table1[[#This Row],[Low Tol]],"Pass","Fail")))</f>
        <v>Pass</v>
      </c>
      <c r="AG1114" s="1" t="str">
        <f>IF(AND(Table1[[#This Row],[Spec Type2]]="N/A",Table1[[#This Row],[DUT Adj Read]]="N/A",Table1[[#This Row],[Std Adj Read]]="N/A"),"N/A",IF(Table1[[#This Row],[DUT Adj Read]]="N/A",IF(Table1[[#This Row],[Std Adj Read]]&lt;=Table1[[#This Row],[High Tol]],"Pass","Fail"),IF(Table1[[#This Row],[DUT Adj Read]]&lt;=Table1[[#This Row],[High Tol]],"Pass","Fail")))</f>
        <v>Fail</v>
      </c>
      <c r="AH11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4" s="1" t="b">
        <v>0</v>
      </c>
      <c r="AN1114" s="1" t="b">
        <v>0</v>
      </c>
      <c r="AO1114" s="1" t="b">
        <v>0</v>
      </c>
    </row>
    <row r="1115" spans="1:41" x14ac:dyDescent="0.25">
      <c r="A1115" s="10"/>
      <c r="B1115" s="10"/>
      <c r="C1115" s="10"/>
      <c r="D1115" s="10"/>
      <c r="E1115" s="10"/>
      <c r="F1115" s="10"/>
      <c r="G1115" s="10"/>
      <c r="H1115" s="10"/>
      <c r="I1115" s="1" t="str">
        <f t="shared" si="51"/>
        <v/>
      </c>
      <c r="J1115" s="1" t="s">
        <v>35</v>
      </c>
      <c r="K1115" s="1" t="str">
        <f t="shared" si="52"/>
        <v/>
      </c>
      <c r="L1115" s="1" t="str">
        <f t="shared" si="53"/>
        <v/>
      </c>
      <c r="M1115" s="1">
        <f>IF(OR(Table1[[#This Row],[Std Nom]]="",Table1[[#This Row],[Std Read]]=""),0,Table1[[#This Row],[Std Nom]]-Table1[[#This Row],[Std Read]])</f>
        <v>0</v>
      </c>
      <c r="N1115" s="1">
        <f>IF(Calculations!$F$5="ACCREDITED 17025 WITH UNCERTAINTIES",$N$10,0)</f>
        <v>0</v>
      </c>
      <c r="O1115" s="1" t="str">
        <f>IFERROR(Table1[[#This Row],[Std Nom]]-(_xlfn.XLOOKUP(Table1[[#This Row],[Manufacturer]]&amp;" "&amp;Table1[[#This Row],[Model]],Table13[MFR &amp; MDL],Table13[Tolerance % CW ],"")/100*Table1[[#This Row],[Std Nom]]),"")</f>
        <v/>
      </c>
      <c r="P1115" s="1" t="str">
        <f>IFERROR(Table1[[#This Row],[Std Nom]]+(_xlfn.XLOOKUP(Table1[[#This Row],[Manufacturer]]&amp;" "&amp;Table1[[#This Row],[Model]],Table13[MFR &amp; MDL],Table13[Tolerance % CW ],"")/100*Table1[[#This Row],[Std Nom]]),"")</f>
        <v/>
      </c>
      <c r="Q1115" s="1" t="e">
        <f>Table1[[#This Row],[High Tol]]-Table1[[#This Row],[Low Tol]]</f>
        <v>#VALUE!</v>
      </c>
      <c r="R1115" s="1">
        <f>2*Table1[[#This Row],[Std Error]]</f>
        <v>0</v>
      </c>
      <c r="S1115" s="1" t="str">
        <f>IF(Table1[[#This Row],[High Tol]]="","N/A",IFERROR(ABS(Table1[[#This Row],[Tol Span]]/Table1[[#This Row],[Error Span]]),"N/A"))</f>
        <v>N/A</v>
      </c>
      <c r="T1115" s="1" t="str">
        <f>IF(OR(Table1[[#This Row],[Low Tol]]="",Table1[[#This Row],[High Tol]]=""),"Needs Analysis",IF(Table1[[#This Row],[Ratio]]&gt;=4,"Not Significant",IF(Table1[[#This Row],[Ratio]]&gt;=2,"Semi-Significant","Significant")))</f>
        <v>Needs Analysis</v>
      </c>
      <c r="W1115" s="1">
        <f>IF(Table1[[#This Row],[Cal Type]]&lt;&gt;"ACCREDITED 17025 WITH UNCERTAINTIES",0,"")</f>
        <v>0</v>
      </c>
      <c r="X1115" s="1" t="str">
        <f>IF(Table1[[#This Row],[DUT Read]]="","N/A",Table1[[#This Row],[Std Error]]+Table1[[#This Row],[DUT Read]]+Table1[[#This Row],[DUT Ucty]])</f>
        <v>N/A</v>
      </c>
      <c r="Y1115" s="1" t="str">
        <f>IF(Table1[[#This Row],[Std Read]]="","N/A",Table1[[#This Row],[Std Read]]+Table1[[#This Row],[Std Ucty]])</f>
        <v>N/A</v>
      </c>
      <c r="Z11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5" s="1" t="str">
        <f>IF(Table1[[#This Row],[Spec Type]]="","N/A",Table1[[#This Row],[Spec Type]])</f>
        <v>±</v>
      </c>
      <c r="AC1115" s="1" t="str">
        <f>IF(Table1[[#This Row],[Spec Type2]]="N/A","N/A",IF(AND(Table1[[#This Row],[DUT Adj Read]]&gt;=Table1[[#This Row],[Low Tol]],Table1[[#This Row],[DUT Adj Read]]&lt;=Table1[[#This Row],[High Tol]]),"Pass","Fail"))</f>
        <v>Fail</v>
      </c>
      <c r="AD1115" s="1" t="str">
        <f>IF(AND(Table1[[#This Row],[Spec Type2]]="N/A",Table1[[#This Row],[DUT Adj Read]]="N/A",Table1[[#This Row],[Std Adj Read]]="N/A"),"N/A",IF(Table1[[#This Row],[DUT Adj Read]]="N/A",IF(Table1[[#This Row],[Std Adj Read]]&gt;Table1[[#This Row],[Low Tol]],"Pass","Fail"),IF(Table1[[#This Row],[DUT Adj Read]]&gt;Table1[[#This Row],[Low Tol]],"Pass","Fail")))</f>
        <v>Pass</v>
      </c>
      <c r="AE1115" s="1" t="str">
        <f>IF(AND(Table1[[#This Row],[Spec Type2]]="N/A",Table1[[#This Row],[DUT Adj Read]]="N/A",Table1[[#This Row],[Std Adj Read]]="N/A"),"N/A",IF(Table1[[#This Row],[DUT Adj Read]]="N/A",IF(Table1[[#This Row],[Std Adj Read]]&lt;Table1[[#This Row],[High Tol]],"Pass","Fail"),IF(Table1[[#This Row],[DUT Adj Read]]&lt;Table1[[#This Row],[High Tol]],"Pass","Fail")))</f>
        <v>Fail</v>
      </c>
      <c r="AF1115" s="1" t="str">
        <f>IF(AND(Table1[[#This Row],[Spec Type2]]="N/A",Table1[[#This Row],[DUT Adj Read]]="N/A",Table1[[#This Row],[Std Adj Read]]="N/A"),"N/A",IF(Table1[[#This Row],[DUT Adj Read]]="N/A",IF(Table1[[#This Row],[Std Adj Read]]&gt;=Table1[[#This Row],[Low Tol]],"Pass","Fail"),IF(Table1[[#This Row],[DUT Adj Read]]&gt;=Table1[[#This Row],[Low Tol]],"Pass","Fail")))</f>
        <v>Pass</v>
      </c>
      <c r="AG1115" s="1" t="str">
        <f>IF(AND(Table1[[#This Row],[Spec Type2]]="N/A",Table1[[#This Row],[DUT Adj Read]]="N/A",Table1[[#This Row],[Std Adj Read]]="N/A"),"N/A",IF(Table1[[#This Row],[DUT Adj Read]]="N/A",IF(Table1[[#This Row],[Std Adj Read]]&lt;=Table1[[#This Row],[High Tol]],"Pass","Fail"),IF(Table1[[#This Row],[DUT Adj Read]]&lt;=Table1[[#This Row],[High Tol]],"Pass","Fail")))</f>
        <v>Fail</v>
      </c>
      <c r="AH11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5" s="1" t="b">
        <v>0</v>
      </c>
      <c r="AN1115" s="1" t="b">
        <v>0</v>
      </c>
      <c r="AO1115" s="1" t="b">
        <v>0</v>
      </c>
    </row>
    <row r="1116" spans="1:41" x14ac:dyDescent="0.25">
      <c r="A1116" s="10"/>
      <c r="B1116" s="10"/>
      <c r="C1116" s="10"/>
      <c r="D1116" s="10"/>
      <c r="E1116" s="10"/>
      <c r="F1116" s="10"/>
      <c r="G1116" s="10"/>
      <c r="H1116" s="10"/>
      <c r="I1116" s="1" t="str">
        <f t="shared" si="51"/>
        <v/>
      </c>
      <c r="J1116" s="1" t="s">
        <v>35</v>
      </c>
      <c r="K1116" s="1" t="str">
        <f t="shared" si="52"/>
        <v/>
      </c>
      <c r="L1116" s="1" t="str">
        <f t="shared" si="53"/>
        <v/>
      </c>
      <c r="M1116" s="1">
        <f>IF(OR(Table1[[#This Row],[Std Nom]]="",Table1[[#This Row],[Std Read]]=""),0,Table1[[#This Row],[Std Nom]]-Table1[[#This Row],[Std Read]])</f>
        <v>0</v>
      </c>
      <c r="N1116" s="1">
        <f>IF(Calculations!$F$5="ACCREDITED 17025 WITH UNCERTAINTIES",$N$10,0)</f>
        <v>0</v>
      </c>
      <c r="O1116" s="1" t="str">
        <f>IFERROR(Table1[[#This Row],[Std Nom]]-(_xlfn.XLOOKUP(Table1[[#This Row],[Manufacturer]]&amp;" "&amp;Table1[[#This Row],[Model]],Table13[MFR &amp; MDL],Table13[Tolerance % CW ],"")/100*Table1[[#This Row],[Std Nom]]),"")</f>
        <v/>
      </c>
      <c r="P1116" s="1" t="str">
        <f>IFERROR(Table1[[#This Row],[Std Nom]]+(_xlfn.XLOOKUP(Table1[[#This Row],[Manufacturer]]&amp;" "&amp;Table1[[#This Row],[Model]],Table13[MFR &amp; MDL],Table13[Tolerance % CW ],"")/100*Table1[[#This Row],[Std Nom]]),"")</f>
        <v/>
      </c>
      <c r="Q1116" s="1" t="e">
        <f>Table1[[#This Row],[High Tol]]-Table1[[#This Row],[Low Tol]]</f>
        <v>#VALUE!</v>
      </c>
      <c r="R1116" s="1">
        <f>2*Table1[[#This Row],[Std Error]]</f>
        <v>0</v>
      </c>
      <c r="S1116" s="1" t="str">
        <f>IF(Table1[[#This Row],[High Tol]]="","N/A",IFERROR(ABS(Table1[[#This Row],[Tol Span]]/Table1[[#This Row],[Error Span]]),"N/A"))</f>
        <v>N/A</v>
      </c>
      <c r="T1116" s="1" t="str">
        <f>IF(OR(Table1[[#This Row],[Low Tol]]="",Table1[[#This Row],[High Tol]]=""),"Needs Analysis",IF(Table1[[#This Row],[Ratio]]&gt;=4,"Not Significant",IF(Table1[[#This Row],[Ratio]]&gt;=2,"Semi-Significant","Significant")))</f>
        <v>Needs Analysis</v>
      </c>
      <c r="W1116" s="1">
        <f>IF(Table1[[#This Row],[Cal Type]]&lt;&gt;"ACCREDITED 17025 WITH UNCERTAINTIES",0,"")</f>
        <v>0</v>
      </c>
      <c r="X1116" s="1" t="str">
        <f>IF(Table1[[#This Row],[DUT Read]]="","N/A",Table1[[#This Row],[Std Error]]+Table1[[#This Row],[DUT Read]]+Table1[[#This Row],[DUT Ucty]])</f>
        <v>N/A</v>
      </c>
      <c r="Y1116" s="1" t="str">
        <f>IF(Table1[[#This Row],[Std Read]]="","N/A",Table1[[#This Row],[Std Read]]+Table1[[#This Row],[Std Ucty]])</f>
        <v>N/A</v>
      </c>
      <c r="Z11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6" s="1" t="str">
        <f>IF(Table1[[#This Row],[Spec Type]]="","N/A",Table1[[#This Row],[Spec Type]])</f>
        <v>±</v>
      </c>
      <c r="AC1116" s="1" t="str">
        <f>IF(Table1[[#This Row],[Spec Type2]]="N/A","N/A",IF(AND(Table1[[#This Row],[DUT Adj Read]]&gt;=Table1[[#This Row],[Low Tol]],Table1[[#This Row],[DUT Adj Read]]&lt;=Table1[[#This Row],[High Tol]]),"Pass","Fail"))</f>
        <v>Fail</v>
      </c>
      <c r="AD1116" s="1" t="str">
        <f>IF(AND(Table1[[#This Row],[Spec Type2]]="N/A",Table1[[#This Row],[DUT Adj Read]]="N/A",Table1[[#This Row],[Std Adj Read]]="N/A"),"N/A",IF(Table1[[#This Row],[DUT Adj Read]]="N/A",IF(Table1[[#This Row],[Std Adj Read]]&gt;Table1[[#This Row],[Low Tol]],"Pass","Fail"),IF(Table1[[#This Row],[DUT Adj Read]]&gt;Table1[[#This Row],[Low Tol]],"Pass","Fail")))</f>
        <v>Pass</v>
      </c>
      <c r="AE1116" s="1" t="str">
        <f>IF(AND(Table1[[#This Row],[Spec Type2]]="N/A",Table1[[#This Row],[DUT Adj Read]]="N/A",Table1[[#This Row],[Std Adj Read]]="N/A"),"N/A",IF(Table1[[#This Row],[DUT Adj Read]]="N/A",IF(Table1[[#This Row],[Std Adj Read]]&lt;Table1[[#This Row],[High Tol]],"Pass","Fail"),IF(Table1[[#This Row],[DUT Adj Read]]&lt;Table1[[#This Row],[High Tol]],"Pass","Fail")))</f>
        <v>Fail</v>
      </c>
      <c r="AF1116" s="1" t="str">
        <f>IF(AND(Table1[[#This Row],[Spec Type2]]="N/A",Table1[[#This Row],[DUT Adj Read]]="N/A",Table1[[#This Row],[Std Adj Read]]="N/A"),"N/A",IF(Table1[[#This Row],[DUT Adj Read]]="N/A",IF(Table1[[#This Row],[Std Adj Read]]&gt;=Table1[[#This Row],[Low Tol]],"Pass","Fail"),IF(Table1[[#This Row],[DUT Adj Read]]&gt;=Table1[[#This Row],[Low Tol]],"Pass","Fail")))</f>
        <v>Pass</v>
      </c>
      <c r="AG1116" s="1" t="str">
        <f>IF(AND(Table1[[#This Row],[Spec Type2]]="N/A",Table1[[#This Row],[DUT Adj Read]]="N/A",Table1[[#This Row],[Std Adj Read]]="N/A"),"N/A",IF(Table1[[#This Row],[DUT Adj Read]]="N/A",IF(Table1[[#This Row],[Std Adj Read]]&lt;=Table1[[#This Row],[High Tol]],"Pass","Fail"),IF(Table1[[#This Row],[DUT Adj Read]]&lt;=Table1[[#This Row],[High Tol]],"Pass","Fail")))</f>
        <v>Fail</v>
      </c>
      <c r="AH11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6" s="1" t="b">
        <v>0</v>
      </c>
      <c r="AN1116" s="1" t="b">
        <v>0</v>
      </c>
      <c r="AO1116" s="1" t="b">
        <v>0</v>
      </c>
    </row>
    <row r="1117" spans="1:41" x14ac:dyDescent="0.25">
      <c r="A1117" s="10"/>
      <c r="B1117" s="10"/>
      <c r="C1117" s="10"/>
      <c r="D1117" s="10"/>
      <c r="E1117" s="10"/>
      <c r="F1117" s="10"/>
      <c r="G1117" s="10"/>
      <c r="H1117" s="10"/>
      <c r="I1117" s="1" t="str">
        <f t="shared" si="51"/>
        <v/>
      </c>
      <c r="J1117" s="1" t="s">
        <v>35</v>
      </c>
      <c r="K1117" s="1" t="str">
        <f t="shared" si="52"/>
        <v/>
      </c>
      <c r="L1117" s="1" t="str">
        <f t="shared" si="53"/>
        <v/>
      </c>
      <c r="M1117" s="1">
        <f>IF(OR(Table1[[#This Row],[Std Nom]]="",Table1[[#This Row],[Std Read]]=""),0,Table1[[#This Row],[Std Nom]]-Table1[[#This Row],[Std Read]])</f>
        <v>0</v>
      </c>
      <c r="N1117" s="1">
        <f>IF(Calculations!$F$5="ACCREDITED 17025 WITH UNCERTAINTIES",$N$10,0)</f>
        <v>0</v>
      </c>
      <c r="O1117" s="1" t="str">
        <f>IFERROR(Table1[[#This Row],[Std Nom]]-(_xlfn.XLOOKUP(Table1[[#This Row],[Manufacturer]]&amp;" "&amp;Table1[[#This Row],[Model]],Table13[MFR &amp; MDL],Table13[Tolerance % CW ],"")/100*Table1[[#This Row],[Std Nom]]),"")</f>
        <v/>
      </c>
      <c r="P1117" s="1" t="str">
        <f>IFERROR(Table1[[#This Row],[Std Nom]]+(_xlfn.XLOOKUP(Table1[[#This Row],[Manufacturer]]&amp;" "&amp;Table1[[#This Row],[Model]],Table13[MFR &amp; MDL],Table13[Tolerance % CW ],"")/100*Table1[[#This Row],[Std Nom]]),"")</f>
        <v/>
      </c>
      <c r="Q1117" s="1" t="e">
        <f>Table1[[#This Row],[High Tol]]-Table1[[#This Row],[Low Tol]]</f>
        <v>#VALUE!</v>
      </c>
      <c r="R1117" s="1">
        <f>2*Table1[[#This Row],[Std Error]]</f>
        <v>0</v>
      </c>
      <c r="S1117" s="1" t="str">
        <f>IF(Table1[[#This Row],[High Tol]]="","N/A",IFERROR(ABS(Table1[[#This Row],[Tol Span]]/Table1[[#This Row],[Error Span]]),"N/A"))</f>
        <v>N/A</v>
      </c>
      <c r="T1117" s="1" t="str">
        <f>IF(OR(Table1[[#This Row],[Low Tol]]="",Table1[[#This Row],[High Tol]]=""),"Needs Analysis",IF(Table1[[#This Row],[Ratio]]&gt;=4,"Not Significant",IF(Table1[[#This Row],[Ratio]]&gt;=2,"Semi-Significant","Significant")))</f>
        <v>Needs Analysis</v>
      </c>
      <c r="W1117" s="1">
        <f>IF(Table1[[#This Row],[Cal Type]]&lt;&gt;"ACCREDITED 17025 WITH UNCERTAINTIES",0,"")</f>
        <v>0</v>
      </c>
      <c r="X1117" s="1" t="str">
        <f>IF(Table1[[#This Row],[DUT Read]]="","N/A",Table1[[#This Row],[Std Error]]+Table1[[#This Row],[DUT Read]]+Table1[[#This Row],[DUT Ucty]])</f>
        <v>N/A</v>
      </c>
      <c r="Y1117" s="1" t="str">
        <f>IF(Table1[[#This Row],[Std Read]]="","N/A",Table1[[#This Row],[Std Read]]+Table1[[#This Row],[Std Ucty]])</f>
        <v>N/A</v>
      </c>
      <c r="Z11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7" s="1" t="str">
        <f>IF(Table1[[#This Row],[Spec Type]]="","N/A",Table1[[#This Row],[Spec Type]])</f>
        <v>±</v>
      </c>
      <c r="AC1117" s="1" t="str">
        <f>IF(Table1[[#This Row],[Spec Type2]]="N/A","N/A",IF(AND(Table1[[#This Row],[DUT Adj Read]]&gt;=Table1[[#This Row],[Low Tol]],Table1[[#This Row],[DUT Adj Read]]&lt;=Table1[[#This Row],[High Tol]]),"Pass","Fail"))</f>
        <v>Fail</v>
      </c>
      <c r="AD1117" s="1" t="str">
        <f>IF(AND(Table1[[#This Row],[Spec Type2]]="N/A",Table1[[#This Row],[DUT Adj Read]]="N/A",Table1[[#This Row],[Std Adj Read]]="N/A"),"N/A",IF(Table1[[#This Row],[DUT Adj Read]]="N/A",IF(Table1[[#This Row],[Std Adj Read]]&gt;Table1[[#This Row],[Low Tol]],"Pass","Fail"),IF(Table1[[#This Row],[DUT Adj Read]]&gt;Table1[[#This Row],[Low Tol]],"Pass","Fail")))</f>
        <v>Pass</v>
      </c>
      <c r="AE1117" s="1" t="str">
        <f>IF(AND(Table1[[#This Row],[Spec Type2]]="N/A",Table1[[#This Row],[DUT Adj Read]]="N/A",Table1[[#This Row],[Std Adj Read]]="N/A"),"N/A",IF(Table1[[#This Row],[DUT Adj Read]]="N/A",IF(Table1[[#This Row],[Std Adj Read]]&lt;Table1[[#This Row],[High Tol]],"Pass","Fail"),IF(Table1[[#This Row],[DUT Adj Read]]&lt;Table1[[#This Row],[High Tol]],"Pass","Fail")))</f>
        <v>Fail</v>
      </c>
      <c r="AF1117" s="1" t="str">
        <f>IF(AND(Table1[[#This Row],[Spec Type2]]="N/A",Table1[[#This Row],[DUT Adj Read]]="N/A",Table1[[#This Row],[Std Adj Read]]="N/A"),"N/A",IF(Table1[[#This Row],[DUT Adj Read]]="N/A",IF(Table1[[#This Row],[Std Adj Read]]&gt;=Table1[[#This Row],[Low Tol]],"Pass","Fail"),IF(Table1[[#This Row],[DUT Adj Read]]&gt;=Table1[[#This Row],[Low Tol]],"Pass","Fail")))</f>
        <v>Pass</v>
      </c>
      <c r="AG1117" s="1" t="str">
        <f>IF(AND(Table1[[#This Row],[Spec Type2]]="N/A",Table1[[#This Row],[DUT Adj Read]]="N/A",Table1[[#This Row],[Std Adj Read]]="N/A"),"N/A",IF(Table1[[#This Row],[DUT Adj Read]]="N/A",IF(Table1[[#This Row],[Std Adj Read]]&lt;=Table1[[#This Row],[High Tol]],"Pass","Fail"),IF(Table1[[#This Row],[DUT Adj Read]]&lt;=Table1[[#This Row],[High Tol]],"Pass","Fail")))</f>
        <v>Fail</v>
      </c>
      <c r="AH11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7" s="1" t="b">
        <v>0</v>
      </c>
      <c r="AN1117" s="1" t="b">
        <v>0</v>
      </c>
      <c r="AO1117" s="1" t="b">
        <v>0</v>
      </c>
    </row>
    <row r="1118" spans="1:41" x14ac:dyDescent="0.25">
      <c r="A1118" s="10"/>
      <c r="B1118" s="10"/>
      <c r="C1118" s="10"/>
      <c r="D1118" s="10"/>
      <c r="E1118" s="10"/>
      <c r="F1118" s="10"/>
      <c r="G1118" s="10"/>
      <c r="H1118" s="10"/>
      <c r="I1118" s="1" t="str">
        <f t="shared" si="51"/>
        <v/>
      </c>
      <c r="J1118" s="1" t="s">
        <v>35</v>
      </c>
      <c r="K1118" s="1" t="str">
        <f t="shared" si="52"/>
        <v/>
      </c>
      <c r="L1118" s="1" t="str">
        <f t="shared" si="53"/>
        <v/>
      </c>
      <c r="M1118" s="1">
        <f>IF(OR(Table1[[#This Row],[Std Nom]]="",Table1[[#This Row],[Std Read]]=""),0,Table1[[#This Row],[Std Nom]]-Table1[[#This Row],[Std Read]])</f>
        <v>0</v>
      </c>
      <c r="N1118" s="1">
        <f>IF(Calculations!$F$5="ACCREDITED 17025 WITH UNCERTAINTIES",$N$10,0)</f>
        <v>0</v>
      </c>
      <c r="O1118" s="1" t="str">
        <f>IFERROR(Table1[[#This Row],[Std Nom]]-(_xlfn.XLOOKUP(Table1[[#This Row],[Manufacturer]]&amp;" "&amp;Table1[[#This Row],[Model]],Table13[MFR &amp; MDL],Table13[Tolerance % CW ],"")/100*Table1[[#This Row],[Std Nom]]),"")</f>
        <v/>
      </c>
      <c r="P1118" s="1" t="str">
        <f>IFERROR(Table1[[#This Row],[Std Nom]]+(_xlfn.XLOOKUP(Table1[[#This Row],[Manufacturer]]&amp;" "&amp;Table1[[#This Row],[Model]],Table13[MFR &amp; MDL],Table13[Tolerance % CW ],"")/100*Table1[[#This Row],[Std Nom]]),"")</f>
        <v/>
      </c>
      <c r="Q1118" s="1" t="e">
        <f>Table1[[#This Row],[High Tol]]-Table1[[#This Row],[Low Tol]]</f>
        <v>#VALUE!</v>
      </c>
      <c r="R1118" s="1">
        <f>2*Table1[[#This Row],[Std Error]]</f>
        <v>0</v>
      </c>
      <c r="S1118" s="1" t="str">
        <f>IF(Table1[[#This Row],[High Tol]]="","N/A",IFERROR(ABS(Table1[[#This Row],[Tol Span]]/Table1[[#This Row],[Error Span]]),"N/A"))</f>
        <v>N/A</v>
      </c>
      <c r="T1118" s="1" t="str">
        <f>IF(OR(Table1[[#This Row],[Low Tol]]="",Table1[[#This Row],[High Tol]]=""),"Needs Analysis",IF(Table1[[#This Row],[Ratio]]&gt;=4,"Not Significant",IF(Table1[[#This Row],[Ratio]]&gt;=2,"Semi-Significant","Significant")))</f>
        <v>Needs Analysis</v>
      </c>
      <c r="W1118" s="1">
        <f>IF(Table1[[#This Row],[Cal Type]]&lt;&gt;"ACCREDITED 17025 WITH UNCERTAINTIES",0,"")</f>
        <v>0</v>
      </c>
      <c r="X1118" s="1" t="str">
        <f>IF(Table1[[#This Row],[DUT Read]]="","N/A",Table1[[#This Row],[Std Error]]+Table1[[#This Row],[DUT Read]]+Table1[[#This Row],[DUT Ucty]])</f>
        <v>N/A</v>
      </c>
      <c r="Y1118" s="1" t="str">
        <f>IF(Table1[[#This Row],[Std Read]]="","N/A",Table1[[#This Row],[Std Read]]+Table1[[#This Row],[Std Ucty]])</f>
        <v>N/A</v>
      </c>
      <c r="Z11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8" s="1" t="str">
        <f>IF(Table1[[#This Row],[Spec Type]]="","N/A",Table1[[#This Row],[Spec Type]])</f>
        <v>±</v>
      </c>
      <c r="AC1118" s="1" t="str">
        <f>IF(Table1[[#This Row],[Spec Type2]]="N/A","N/A",IF(AND(Table1[[#This Row],[DUT Adj Read]]&gt;=Table1[[#This Row],[Low Tol]],Table1[[#This Row],[DUT Adj Read]]&lt;=Table1[[#This Row],[High Tol]]),"Pass","Fail"))</f>
        <v>Fail</v>
      </c>
      <c r="AD1118" s="1" t="str">
        <f>IF(AND(Table1[[#This Row],[Spec Type2]]="N/A",Table1[[#This Row],[DUT Adj Read]]="N/A",Table1[[#This Row],[Std Adj Read]]="N/A"),"N/A",IF(Table1[[#This Row],[DUT Adj Read]]="N/A",IF(Table1[[#This Row],[Std Adj Read]]&gt;Table1[[#This Row],[Low Tol]],"Pass","Fail"),IF(Table1[[#This Row],[DUT Adj Read]]&gt;Table1[[#This Row],[Low Tol]],"Pass","Fail")))</f>
        <v>Pass</v>
      </c>
      <c r="AE1118" s="1" t="str">
        <f>IF(AND(Table1[[#This Row],[Spec Type2]]="N/A",Table1[[#This Row],[DUT Adj Read]]="N/A",Table1[[#This Row],[Std Adj Read]]="N/A"),"N/A",IF(Table1[[#This Row],[DUT Adj Read]]="N/A",IF(Table1[[#This Row],[Std Adj Read]]&lt;Table1[[#This Row],[High Tol]],"Pass","Fail"),IF(Table1[[#This Row],[DUT Adj Read]]&lt;Table1[[#This Row],[High Tol]],"Pass","Fail")))</f>
        <v>Fail</v>
      </c>
      <c r="AF1118" s="1" t="str">
        <f>IF(AND(Table1[[#This Row],[Spec Type2]]="N/A",Table1[[#This Row],[DUT Adj Read]]="N/A",Table1[[#This Row],[Std Adj Read]]="N/A"),"N/A",IF(Table1[[#This Row],[DUT Adj Read]]="N/A",IF(Table1[[#This Row],[Std Adj Read]]&gt;=Table1[[#This Row],[Low Tol]],"Pass","Fail"),IF(Table1[[#This Row],[DUT Adj Read]]&gt;=Table1[[#This Row],[Low Tol]],"Pass","Fail")))</f>
        <v>Pass</v>
      </c>
      <c r="AG1118" s="1" t="str">
        <f>IF(AND(Table1[[#This Row],[Spec Type2]]="N/A",Table1[[#This Row],[DUT Adj Read]]="N/A",Table1[[#This Row],[Std Adj Read]]="N/A"),"N/A",IF(Table1[[#This Row],[DUT Adj Read]]="N/A",IF(Table1[[#This Row],[Std Adj Read]]&lt;=Table1[[#This Row],[High Tol]],"Pass","Fail"),IF(Table1[[#This Row],[DUT Adj Read]]&lt;=Table1[[#This Row],[High Tol]],"Pass","Fail")))</f>
        <v>Fail</v>
      </c>
      <c r="AH11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8" s="1" t="b">
        <v>0</v>
      </c>
      <c r="AN1118" s="1" t="b">
        <v>0</v>
      </c>
      <c r="AO1118" s="1" t="b">
        <v>0</v>
      </c>
    </row>
    <row r="1119" spans="1:41" x14ac:dyDescent="0.25">
      <c r="A1119" s="10"/>
      <c r="B1119" s="10"/>
      <c r="C1119" s="10"/>
      <c r="D1119" s="10"/>
      <c r="E1119" s="10"/>
      <c r="F1119" s="10"/>
      <c r="G1119" s="10"/>
      <c r="H1119" s="10"/>
      <c r="I1119" s="1" t="str">
        <f t="shared" si="51"/>
        <v/>
      </c>
      <c r="J1119" s="1" t="s">
        <v>35</v>
      </c>
      <c r="K1119" s="1" t="str">
        <f t="shared" si="52"/>
        <v/>
      </c>
      <c r="L1119" s="1" t="str">
        <f t="shared" si="53"/>
        <v/>
      </c>
      <c r="M1119" s="1">
        <f>IF(OR(Table1[[#This Row],[Std Nom]]="",Table1[[#This Row],[Std Read]]=""),0,Table1[[#This Row],[Std Nom]]-Table1[[#This Row],[Std Read]])</f>
        <v>0</v>
      </c>
      <c r="N1119" s="1">
        <f>IF(Calculations!$F$5="ACCREDITED 17025 WITH UNCERTAINTIES",$N$10,0)</f>
        <v>0</v>
      </c>
      <c r="O1119" s="1" t="str">
        <f>IFERROR(Table1[[#This Row],[Std Nom]]-(_xlfn.XLOOKUP(Table1[[#This Row],[Manufacturer]]&amp;" "&amp;Table1[[#This Row],[Model]],Table13[MFR &amp; MDL],Table13[Tolerance % CW ],"")/100*Table1[[#This Row],[Std Nom]]),"")</f>
        <v/>
      </c>
      <c r="P1119" s="1" t="str">
        <f>IFERROR(Table1[[#This Row],[Std Nom]]+(_xlfn.XLOOKUP(Table1[[#This Row],[Manufacturer]]&amp;" "&amp;Table1[[#This Row],[Model]],Table13[MFR &amp; MDL],Table13[Tolerance % CW ],"")/100*Table1[[#This Row],[Std Nom]]),"")</f>
        <v/>
      </c>
      <c r="Q1119" s="1" t="e">
        <f>Table1[[#This Row],[High Tol]]-Table1[[#This Row],[Low Tol]]</f>
        <v>#VALUE!</v>
      </c>
      <c r="R1119" s="1">
        <f>2*Table1[[#This Row],[Std Error]]</f>
        <v>0</v>
      </c>
      <c r="S1119" s="1" t="str">
        <f>IF(Table1[[#This Row],[High Tol]]="","N/A",IFERROR(ABS(Table1[[#This Row],[Tol Span]]/Table1[[#This Row],[Error Span]]),"N/A"))</f>
        <v>N/A</v>
      </c>
      <c r="T1119" s="1" t="str">
        <f>IF(OR(Table1[[#This Row],[Low Tol]]="",Table1[[#This Row],[High Tol]]=""),"Needs Analysis",IF(Table1[[#This Row],[Ratio]]&gt;=4,"Not Significant",IF(Table1[[#This Row],[Ratio]]&gt;=2,"Semi-Significant","Significant")))</f>
        <v>Needs Analysis</v>
      </c>
      <c r="W1119" s="1">
        <f>IF(Table1[[#This Row],[Cal Type]]&lt;&gt;"ACCREDITED 17025 WITH UNCERTAINTIES",0,"")</f>
        <v>0</v>
      </c>
      <c r="X1119" s="1" t="str">
        <f>IF(Table1[[#This Row],[DUT Read]]="","N/A",Table1[[#This Row],[Std Error]]+Table1[[#This Row],[DUT Read]]+Table1[[#This Row],[DUT Ucty]])</f>
        <v>N/A</v>
      </c>
      <c r="Y1119" s="1" t="str">
        <f>IF(Table1[[#This Row],[Std Read]]="","N/A",Table1[[#This Row],[Std Read]]+Table1[[#This Row],[Std Ucty]])</f>
        <v>N/A</v>
      </c>
      <c r="Z11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9" s="1" t="str">
        <f>IF(Table1[[#This Row],[Spec Type]]="","N/A",Table1[[#This Row],[Spec Type]])</f>
        <v>±</v>
      </c>
      <c r="AC1119" s="1" t="str">
        <f>IF(Table1[[#This Row],[Spec Type2]]="N/A","N/A",IF(AND(Table1[[#This Row],[DUT Adj Read]]&gt;=Table1[[#This Row],[Low Tol]],Table1[[#This Row],[DUT Adj Read]]&lt;=Table1[[#This Row],[High Tol]]),"Pass","Fail"))</f>
        <v>Fail</v>
      </c>
      <c r="AD1119" s="1" t="str">
        <f>IF(AND(Table1[[#This Row],[Spec Type2]]="N/A",Table1[[#This Row],[DUT Adj Read]]="N/A",Table1[[#This Row],[Std Adj Read]]="N/A"),"N/A",IF(Table1[[#This Row],[DUT Adj Read]]="N/A",IF(Table1[[#This Row],[Std Adj Read]]&gt;Table1[[#This Row],[Low Tol]],"Pass","Fail"),IF(Table1[[#This Row],[DUT Adj Read]]&gt;Table1[[#This Row],[Low Tol]],"Pass","Fail")))</f>
        <v>Pass</v>
      </c>
      <c r="AE1119" s="1" t="str">
        <f>IF(AND(Table1[[#This Row],[Spec Type2]]="N/A",Table1[[#This Row],[DUT Adj Read]]="N/A",Table1[[#This Row],[Std Adj Read]]="N/A"),"N/A",IF(Table1[[#This Row],[DUT Adj Read]]="N/A",IF(Table1[[#This Row],[Std Adj Read]]&lt;Table1[[#This Row],[High Tol]],"Pass","Fail"),IF(Table1[[#This Row],[DUT Adj Read]]&lt;Table1[[#This Row],[High Tol]],"Pass","Fail")))</f>
        <v>Fail</v>
      </c>
      <c r="AF1119" s="1" t="str">
        <f>IF(AND(Table1[[#This Row],[Spec Type2]]="N/A",Table1[[#This Row],[DUT Adj Read]]="N/A",Table1[[#This Row],[Std Adj Read]]="N/A"),"N/A",IF(Table1[[#This Row],[DUT Adj Read]]="N/A",IF(Table1[[#This Row],[Std Adj Read]]&gt;=Table1[[#This Row],[Low Tol]],"Pass","Fail"),IF(Table1[[#This Row],[DUT Adj Read]]&gt;=Table1[[#This Row],[Low Tol]],"Pass","Fail")))</f>
        <v>Pass</v>
      </c>
      <c r="AG1119" s="1" t="str">
        <f>IF(AND(Table1[[#This Row],[Spec Type2]]="N/A",Table1[[#This Row],[DUT Adj Read]]="N/A",Table1[[#This Row],[Std Adj Read]]="N/A"),"N/A",IF(Table1[[#This Row],[DUT Adj Read]]="N/A",IF(Table1[[#This Row],[Std Adj Read]]&lt;=Table1[[#This Row],[High Tol]],"Pass","Fail"),IF(Table1[[#This Row],[DUT Adj Read]]&lt;=Table1[[#This Row],[High Tol]],"Pass","Fail")))</f>
        <v>Fail</v>
      </c>
      <c r="AH11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9" s="1" t="b">
        <v>0</v>
      </c>
      <c r="AN1119" s="1" t="b">
        <v>0</v>
      </c>
      <c r="AO1119" s="1" t="b">
        <v>0</v>
      </c>
    </row>
    <row r="1120" spans="1:41" x14ac:dyDescent="0.25">
      <c r="A1120" s="10"/>
      <c r="B1120" s="10"/>
      <c r="C1120" s="10"/>
      <c r="D1120" s="10"/>
      <c r="E1120" s="10"/>
      <c r="F1120" s="10"/>
      <c r="G1120" s="10"/>
      <c r="H1120" s="10"/>
      <c r="I1120" s="1" t="str">
        <f t="shared" si="51"/>
        <v/>
      </c>
      <c r="J1120" s="1" t="s">
        <v>35</v>
      </c>
      <c r="K1120" s="1" t="str">
        <f t="shared" si="52"/>
        <v/>
      </c>
      <c r="L1120" s="1" t="str">
        <f t="shared" si="53"/>
        <v/>
      </c>
      <c r="M1120" s="1">
        <f>IF(OR(Table1[[#This Row],[Std Nom]]="",Table1[[#This Row],[Std Read]]=""),0,Table1[[#This Row],[Std Nom]]-Table1[[#This Row],[Std Read]])</f>
        <v>0</v>
      </c>
      <c r="N1120" s="1">
        <f>IF(Calculations!$F$5="ACCREDITED 17025 WITH UNCERTAINTIES",$N$10,0)</f>
        <v>0</v>
      </c>
      <c r="O1120" s="1" t="str">
        <f>IFERROR(Table1[[#This Row],[Std Nom]]-(_xlfn.XLOOKUP(Table1[[#This Row],[Manufacturer]]&amp;" "&amp;Table1[[#This Row],[Model]],Table13[MFR &amp; MDL],Table13[Tolerance % CW ],"")/100*Table1[[#This Row],[Std Nom]]),"")</f>
        <v/>
      </c>
      <c r="P1120" s="1" t="str">
        <f>IFERROR(Table1[[#This Row],[Std Nom]]+(_xlfn.XLOOKUP(Table1[[#This Row],[Manufacturer]]&amp;" "&amp;Table1[[#This Row],[Model]],Table13[MFR &amp; MDL],Table13[Tolerance % CW ],"")/100*Table1[[#This Row],[Std Nom]]),"")</f>
        <v/>
      </c>
      <c r="Q1120" s="1" t="e">
        <f>Table1[[#This Row],[High Tol]]-Table1[[#This Row],[Low Tol]]</f>
        <v>#VALUE!</v>
      </c>
      <c r="R1120" s="1">
        <f>2*Table1[[#This Row],[Std Error]]</f>
        <v>0</v>
      </c>
      <c r="S1120" s="1" t="str">
        <f>IF(Table1[[#This Row],[High Tol]]="","N/A",IFERROR(ABS(Table1[[#This Row],[Tol Span]]/Table1[[#This Row],[Error Span]]),"N/A"))</f>
        <v>N/A</v>
      </c>
      <c r="T1120" s="1" t="str">
        <f>IF(OR(Table1[[#This Row],[Low Tol]]="",Table1[[#This Row],[High Tol]]=""),"Needs Analysis",IF(Table1[[#This Row],[Ratio]]&gt;=4,"Not Significant",IF(Table1[[#This Row],[Ratio]]&gt;=2,"Semi-Significant","Significant")))</f>
        <v>Needs Analysis</v>
      </c>
      <c r="W1120" s="1">
        <f>IF(Table1[[#This Row],[Cal Type]]&lt;&gt;"ACCREDITED 17025 WITH UNCERTAINTIES",0,"")</f>
        <v>0</v>
      </c>
      <c r="X1120" s="1" t="str">
        <f>IF(Table1[[#This Row],[DUT Read]]="","N/A",Table1[[#This Row],[Std Error]]+Table1[[#This Row],[DUT Read]]+Table1[[#This Row],[DUT Ucty]])</f>
        <v>N/A</v>
      </c>
      <c r="Y1120" s="1" t="str">
        <f>IF(Table1[[#This Row],[Std Read]]="","N/A",Table1[[#This Row],[Std Read]]+Table1[[#This Row],[Std Ucty]])</f>
        <v>N/A</v>
      </c>
      <c r="Z11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0" s="1" t="str">
        <f>IF(Table1[[#This Row],[Spec Type]]="","N/A",Table1[[#This Row],[Spec Type]])</f>
        <v>±</v>
      </c>
      <c r="AC1120" s="1" t="str">
        <f>IF(Table1[[#This Row],[Spec Type2]]="N/A","N/A",IF(AND(Table1[[#This Row],[DUT Adj Read]]&gt;=Table1[[#This Row],[Low Tol]],Table1[[#This Row],[DUT Adj Read]]&lt;=Table1[[#This Row],[High Tol]]),"Pass","Fail"))</f>
        <v>Fail</v>
      </c>
      <c r="AD1120" s="1" t="str">
        <f>IF(AND(Table1[[#This Row],[Spec Type2]]="N/A",Table1[[#This Row],[DUT Adj Read]]="N/A",Table1[[#This Row],[Std Adj Read]]="N/A"),"N/A",IF(Table1[[#This Row],[DUT Adj Read]]="N/A",IF(Table1[[#This Row],[Std Adj Read]]&gt;Table1[[#This Row],[Low Tol]],"Pass","Fail"),IF(Table1[[#This Row],[DUT Adj Read]]&gt;Table1[[#This Row],[Low Tol]],"Pass","Fail")))</f>
        <v>Pass</v>
      </c>
      <c r="AE1120" s="1" t="str">
        <f>IF(AND(Table1[[#This Row],[Spec Type2]]="N/A",Table1[[#This Row],[DUT Adj Read]]="N/A",Table1[[#This Row],[Std Adj Read]]="N/A"),"N/A",IF(Table1[[#This Row],[DUT Adj Read]]="N/A",IF(Table1[[#This Row],[Std Adj Read]]&lt;Table1[[#This Row],[High Tol]],"Pass","Fail"),IF(Table1[[#This Row],[DUT Adj Read]]&lt;Table1[[#This Row],[High Tol]],"Pass","Fail")))</f>
        <v>Fail</v>
      </c>
      <c r="AF1120" s="1" t="str">
        <f>IF(AND(Table1[[#This Row],[Spec Type2]]="N/A",Table1[[#This Row],[DUT Adj Read]]="N/A",Table1[[#This Row],[Std Adj Read]]="N/A"),"N/A",IF(Table1[[#This Row],[DUT Adj Read]]="N/A",IF(Table1[[#This Row],[Std Adj Read]]&gt;=Table1[[#This Row],[Low Tol]],"Pass","Fail"),IF(Table1[[#This Row],[DUT Adj Read]]&gt;=Table1[[#This Row],[Low Tol]],"Pass","Fail")))</f>
        <v>Pass</v>
      </c>
      <c r="AG1120" s="1" t="str">
        <f>IF(AND(Table1[[#This Row],[Spec Type2]]="N/A",Table1[[#This Row],[DUT Adj Read]]="N/A",Table1[[#This Row],[Std Adj Read]]="N/A"),"N/A",IF(Table1[[#This Row],[DUT Adj Read]]="N/A",IF(Table1[[#This Row],[Std Adj Read]]&lt;=Table1[[#This Row],[High Tol]],"Pass","Fail"),IF(Table1[[#This Row],[DUT Adj Read]]&lt;=Table1[[#This Row],[High Tol]],"Pass","Fail")))</f>
        <v>Fail</v>
      </c>
      <c r="AH11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0" s="1" t="b">
        <v>0</v>
      </c>
      <c r="AN1120" s="1" t="b">
        <v>0</v>
      </c>
      <c r="AO1120" s="1" t="b">
        <v>0</v>
      </c>
    </row>
    <row r="1121" spans="1:41" x14ac:dyDescent="0.25">
      <c r="A1121" s="10"/>
      <c r="B1121" s="10"/>
      <c r="C1121" s="10"/>
      <c r="D1121" s="10"/>
      <c r="E1121" s="10"/>
      <c r="F1121" s="10"/>
      <c r="G1121" s="10"/>
      <c r="H1121" s="10"/>
      <c r="I1121" s="1" t="str">
        <f t="shared" si="51"/>
        <v/>
      </c>
      <c r="J1121" s="1" t="s">
        <v>35</v>
      </c>
      <c r="K1121" s="1" t="str">
        <f t="shared" si="52"/>
        <v/>
      </c>
      <c r="L1121" s="1" t="str">
        <f t="shared" si="53"/>
        <v/>
      </c>
      <c r="M1121" s="1">
        <f>IF(OR(Table1[[#This Row],[Std Nom]]="",Table1[[#This Row],[Std Read]]=""),0,Table1[[#This Row],[Std Nom]]-Table1[[#This Row],[Std Read]])</f>
        <v>0</v>
      </c>
      <c r="N1121" s="1">
        <f>IF(Calculations!$F$5="ACCREDITED 17025 WITH UNCERTAINTIES",$N$10,0)</f>
        <v>0</v>
      </c>
      <c r="O1121" s="1" t="str">
        <f>IFERROR(Table1[[#This Row],[Std Nom]]-(_xlfn.XLOOKUP(Table1[[#This Row],[Manufacturer]]&amp;" "&amp;Table1[[#This Row],[Model]],Table13[MFR &amp; MDL],Table13[Tolerance % CW ],"")/100*Table1[[#This Row],[Std Nom]]),"")</f>
        <v/>
      </c>
      <c r="P1121" s="1" t="str">
        <f>IFERROR(Table1[[#This Row],[Std Nom]]+(_xlfn.XLOOKUP(Table1[[#This Row],[Manufacturer]]&amp;" "&amp;Table1[[#This Row],[Model]],Table13[MFR &amp; MDL],Table13[Tolerance % CW ],"")/100*Table1[[#This Row],[Std Nom]]),"")</f>
        <v/>
      </c>
      <c r="Q1121" s="1" t="e">
        <f>Table1[[#This Row],[High Tol]]-Table1[[#This Row],[Low Tol]]</f>
        <v>#VALUE!</v>
      </c>
      <c r="R1121" s="1">
        <f>2*Table1[[#This Row],[Std Error]]</f>
        <v>0</v>
      </c>
      <c r="S1121" s="1" t="str">
        <f>IF(Table1[[#This Row],[High Tol]]="","N/A",IFERROR(ABS(Table1[[#This Row],[Tol Span]]/Table1[[#This Row],[Error Span]]),"N/A"))</f>
        <v>N/A</v>
      </c>
      <c r="T1121" s="1" t="str">
        <f>IF(OR(Table1[[#This Row],[Low Tol]]="",Table1[[#This Row],[High Tol]]=""),"Needs Analysis",IF(Table1[[#This Row],[Ratio]]&gt;=4,"Not Significant",IF(Table1[[#This Row],[Ratio]]&gt;=2,"Semi-Significant","Significant")))</f>
        <v>Needs Analysis</v>
      </c>
      <c r="W1121" s="1">
        <f>IF(Table1[[#This Row],[Cal Type]]&lt;&gt;"ACCREDITED 17025 WITH UNCERTAINTIES",0,"")</f>
        <v>0</v>
      </c>
      <c r="X1121" s="1" t="str">
        <f>IF(Table1[[#This Row],[DUT Read]]="","N/A",Table1[[#This Row],[Std Error]]+Table1[[#This Row],[DUT Read]]+Table1[[#This Row],[DUT Ucty]])</f>
        <v>N/A</v>
      </c>
      <c r="Y1121" s="1" t="str">
        <f>IF(Table1[[#This Row],[Std Read]]="","N/A",Table1[[#This Row],[Std Read]]+Table1[[#This Row],[Std Ucty]])</f>
        <v>N/A</v>
      </c>
      <c r="Z11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1" s="1" t="str">
        <f>IF(Table1[[#This Row],[Spec Type]]="","N/A",Table1[[#This Row],[Spec Type]])</f>
        <v>±</v>
      </c>
      <c r="AC1121" s="1" t="str">
        <f>IF(Table1[[#This Row],[Spec Type2]]="N/A","N/A",IF(AND(Table1[[#This Row],[DUT Adj Read]]&gt;=Table1[[#This Row],[Low Tol]],Table1[[#This Row],[DUT Adj Read]]&lt;=Table1[[#This Row],[High Tol]]),"Pass","Fail"))</f>
        <v>Fail</v>
      </c>
      <c r="AD1121" s="1" t="str">
        <f>IF(AND(Table1[[#This Row],[Spec Type2]]="N/A",Table1[[#This Row],[DUT Adj Read]]="N/A",Table1[[#This Row],[Std Adj Read]]="N/A"),"N/A",IF(Table1[[#This Row],[DUT Adj Read]]="N/A",IF(Table1[[#This Row],[Std Adj Read]]&gt;Table1[[#This Row],[Low Tol]],"Pass","Fail"),IF(Table1[[#This Row],[DUT Adj Read]]&gt;Table1[[#This Row],[Low Tol]],"Pass","Fail")))</f>
        <v>Pass</v>
      </c>
      <c r="AE1121" s="1" t="str">
        <f>IF(AND(Table1[[#This Row],[Spec Type2]]="N/A",Table1[[#This Row],[DUT Adj Read]]="N/A",Table1[[#This Row],[Std Adj Read]]="N/A"),"N/A",IF(Table1[[#This Row],[DUT Adj Read]]="N/A",IF(Table1[[#This Row],[Std Adj Read]]&lt;Table1[[#This Row],[High Tol]],"Pass","Fail"),IF(Table1[[#This Row],[DUT Adj Read]]&lt;Table1[[#This Row],[High Tol]],"Pass","Fail")))</f>
        <v>Fail</v>
      </c>
      <c r="AF1121" s="1" t="str">
        <f>IF(AND(Table1[[#This Row],[Spec Type2]]="N/A",Table1[[#This Row],[DUT Adj Read]]="N/A",Table1[[#This Row],[Std Adj Read]]="N/A"),"N/A",IF(Table1[[#This Row],[DUT Adj Read]]="N/A",IF(Table1[[#This Row],[Std Adj Read]]&gt;=Table1[[#This Row],[Low Tol]],"Pass","Fail"),IF(Table1[[#This Row],[DUT Adj Read]]&gt;=Table1[[#This Row],[Low Tol]],"Pass","Fail")))</f>
        <v>Pass</v>
      </c>
      <c r="AG1121" s="1" t="str">
        <f>IF(AND(Table1[[#This Row],[Spec Type2]]="N/A",Table1[[#This Row],[DUT Adj Read]]="N/A",Table1[[#This Row],[Std Adj Read]]="N/A"),"N/A",IF(Table1[[#This Row],[DUT Adj Read]]="N/A",IF(Table1[[#This Row],[Std Adj Read]]&lt;=Table1[[#This Row],[High Tol]],"Pass","Fail"),IF(Table1[[#This Row],[DUT Adj Read]]&lt;=Table1[[#This Row],[High Tol]],"Pass","Fail")))</f>
        <v>Fail</v>
      </c>
      <c r="AH11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1" s="1" t="b">
        <v>0</v>
      </c>
      <c r="AN1121" s="1" t="b">
        <v>0</v>
      </c>
      <c r="AO1121" s="1" t="b">
        <v>0</v>
      </c>
    </row>
    <row r="1122" spans="1:41" x14ac:dyDescent="0.25">
      <c r="A1122" s="10"/>
      <c r="B1122" s="10"/>
      <c r="C1122" s="10"/>
      <c r="D1122" s="10"/>
      <c r="E1122" s="10"/>
      <c r="F1122" s="10"/>
      <c r="G1122" s="10"/>
      <c r="H1122" s="10"/>
      <c r="I1122" s="1" t="str">
        <f t="shared" si="51"/>
        <v/>
      </c>
      <c r="J1122" s="1" t="s">
        <v>35</v>
      </c>
      <c r="K1122" s="1" t="str">
        <f t="shared" si="52"/>
        <v/>
      </c>
      <c r="L1122" s="1" t="str">
        <f t="shared" si="53"/>
        <v/>
      </c>
      <c r="M1122" s="1">
        <f>IF(OR(Table1[[#This Row],[Std Nom]]="",Table1[[#This Row],[Std Read]]=""),0,Table1[[#This Row],[Std Nom]]-Table1[[#This Row],[Std Read]])</f>
        <v>0</v>
      </c>
      <c r="N1122" s="1">
        <f>IF(Calculations!$F$5="ACCREDITED 17025 WITH UNCERTAINTIES",$N$10,0)</f>
        <v>0</v>
      </c>
      <c r="O1122" s="1" t="str">
        <f>IFERROR(Table1[[#This Row],[Std Nom]]-(_xlfn.XLOOKUP(Table1[[#This Row],[Manufacturer]]&amp;" "&amp;Table1[[#This Row],[Model]],Table13[MFR &amp; MDL],Table13[Tolerance % CW ],"")/100*Table1[[#This Row],[Std Nom]]),"")</f>
        <v/>
      </c>
      <c r="P1122" s="1" t="str">
        <f>IFERROR(Table1[[#This Row],[Std Nom]]+(_xlfn.XLOOKUP(Table1[[#This Row],[Manufacturer]]&amp;" "&amp;Table1[[#This Row],[Model]],Table13[MFR &amp; MDL],Table13[Tolerance % CW ],"")/100*Table1[[#This Row],[Std Nom]]),"")</f>
        <v/>
      </c>
      <c r="Q1122" s="1" t="e">
        <f>Table1[[#This Row],[High Tol]]-Table1[[#This Row],[Low Tol]]</f>
        <v>#VALUE!</v>
      </c>
      <c r="R1122" s="1">
        <f>2*Table1[[#This Row],[Std Error]]</f>
        <v>0</v>
      </c>
      <c r="S1122" s="1" t="str">
        <f>IF(Table1[[#This Row],[High Tol]]="","N/A",IFERROR(ABS(Table1[[#This Row],[Tol Span]]/Table1[[#This Row],[Error Span]]),"N/A"))</f>
        <v>N/A</v>
      </c>
      <c r="T1122" s="1" t="str">
        <f>IF(OR(Table1[[#This Row],[Low Tol]]="",Table1[[#This Row],[High Tol]]=""),"Needs Analysis",IF(Table1[[#This Row],[Ratio]]&gt;=4,"Not Significant",IF(Table1[[#This Row],[Ratio]]&gt;=2,"Semi-Significant","Significant")))</f>
        <v>Needs Analysis</v>
      </c>
      <c r="W1122" s="1">
        <f>IF(Table1[[#This Row],[Cal Type]]&lt;&gt;"ACCREDITED 17025 WITH UNCERTAINTIES",0,"")</f>
        <v>0</v>
      </c>
      <c r="X1122" s="1" t="str">
        <f>IF(Table1[[#This Row],[DUT Read]]="","N/A",Table1[[#This Row],[Std Error]]+Table1[[#This Row],[DUT Read]]+Table1[[#This Row],[DUT Ucty]])</f>
        <v>N/A</v>
      </c>
      <c r="Y1122" s="1" t="str">
        <f>IF(Table1[[#This Row],[Std Read]]="","N/A",Table1[[#This Row],[Std Read]]+Table1[[#This Row],[Std Ucty]])</f>
        <v>N/A</v>
      </c>
      <c r="Z11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2" s="1" t="str">
        <f>IF(Table1[[#This Row],[Spec Type]]="","N/A",Table1[[#This Row],[Spec Type]])</f>
        <v>±</v>
      </c>
      <c r="AC1122" s="1" t="str">
        <f>IF(Table1[[#This Row],[Spec Type2]]="N/A","N/A",IF(AND(Table1[[#This Row],[DUT Adj Read]]&gt;=Table1[[#This Row],[Low Tol]],Table1[[#This Row],[DUT Adj Read]]&lt;=Table1[[#This Row],[High Tol]]),"Pass","Fail"))</f>
        <v>Fail</v>
      </c>
      <c r="AD1122" s="1" t="str">
        <f>IF(AND(Table1[[#This Row],[Spec Type2]]="N/A",Table1[[#This Row],[DUT Adj Read]]="N/A",Table1[[#This Row],[Std Adj Read]]="N/A"),"N/A",IF(Table1[[#This Row],[DUT Adj Read]]="N/A",IF(Table1[[#This Row],[Std Adj Read]]&gt;Table1[[#This Row],[Low Tol]],"Pass","Fail"),IF(Table1[[#This Row],[DUT Adj Read]]&gt;Table1[[#This Row],[Low Tol]],"Pass","Fail")))</f>
        <v>Pass</v>
      </c>
      <c r="AE1122" s="1" t="str">
        <f>IF(AND(Table1[[#This Row],[Spec Type2]]="N/A",Table1[[#This Row],[DUT Adj Read]]="N/A",Table1[[#This Row],[Std Adj Read]]="N/A"),"N/A",IF(Table1[[#This Row],[DUT Adj Read]]="N/A",IF(Table1[[#This Row],[Std Adj Read]]&lt;Table1[[#This Row],[High Tol]],"Pass","Fail"),IF(Table1[[#This Row],[DUT Adj Read]]&lt;Table1[[#This Row],[High Tol]],"Pass","Fail")))</f>
        <v>Fail</v>
      </c>
      <c r="AF1122" s="1" t="str">
        <f>IF(AND(Table1[[#This Row],[Spec Type2]]="N/A",Table1[[#This Row],[DUT Adj Read]]="N/A",Table1[[#This Row],[Std Adj Read]]="N/A"),"N/A",IF(Table1[[#This Row],[DUT Adj Read]]="N/A",IF(Table1[[#This Row],[Std Adj Read]]&gt;=Table1[[#This Row],[Low Tol]],"Pass","Fail"),IF(Table1[[#This Row],[DUT Adj Read]]&gt;=Table1[[#This Row],[Low Tol]],"Pass","Fail")))</f>
        <v>Pass</v>
      </c>
      <c r="AG1122" s="1" t="str">
        <f>IF(AND(Table1[[#This Row],[Spec Type2]]="N/A",Table1[[#This Row],[DUT Adj Read]]="N/A",Table1[[#This Row],[Std Adj Read]]="N/A"),"N/A",IF(Table1[[#This Row],[DUT Adj Read]]="N/A",IF(Table1[[#This Row],[Std Adj Read]]&lt;=Table1[[#This Row],[High Tol]],"Pass","Fail"),IF(Table1[[#This Row],[DUT Adj Read]]&lt;=Table1[[#This Row],[High Tol]],"Pass","Fail")))</f>
        <v>Fail</v>
      </c>
      <c r="AH11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2" s="1" t="b">
        <v>0</v>
      </c>
      <c r="AN1122" s="1" t="b">
        <v>0</v>
      </c>
      <c r="AO1122" s="1" t="b">
        <v>0</v>
      </c>
    </row>
    <row r="1123" spans="1:41" x14ac:dyDescent="0.25">
      <c r="A1123" s="10"/>
      <c r="B1123" s="10"/>
      <c r="C1123" s="10"/>
      <c r="D1123" s="10"/>
      <c r="E1123" s="10"/>
      <c r="F1123" s="10"/>
      <c r="G1123" s="10"/>
      <c r="H1123" s="10"/>
      <c r="I1123" s="1" t="str">
        <f t="shared" si="51"/>
        <v/>
      </c>
      <c r="J1123" s="1" t="s">
        <v>35</v>
      </c>
      <c r="K1123" s="1" t="str">
        <f t="shared" si="52"/>
        <v/>
      </c>
      <c r="L1123" s="1" t="str">
        <f t="shared" si="53"/>
        <v/>
      </c>
      <c r="M1123" s="1">
        <f>IF(OR(Table1[[#This Row],[Std Nom]]="",Table1[[#This Row],[Std Read]]=""),0,Table1[[#This Row],[Std Nom]]-Table1[[#This Row],[Std Read]])</f>
        <v>0</v>
      </c>
      <c r="N1123" s="1">
        <f>IF(Calculations!$F$5="ACCREDITED 17025 WITH UNCERTAINTIES",$N$10,0)</f>
        <v>0</v>
      </c>
      <c r="O1123" s="1" t="str">
        <f>IFERROR(Table1[[#This Row],[Std Nom]]-(_xlfn.XLOOKUP(Table1[[#This Row],[Manufacturer]]&amp;" "&amp;Table1[[#This Row],[Model]],Table13[MFR &amp; MDL],Table13[Tolerance % CW ],"")/100*Table1[[#This Row],[Std Nom]]),"")</f>
        <v/>
      </c>
      <c r="P1123" s="1" t="str">
        <f>IFERROR(Table1[[#This Row],[Std Nom]]+(_xlfn.XLOOKUP(Table1[[#This Row],[Manufacturer]]&amp;" "&amp;Table1[[#This Row],[Model]],Table13[MFR &amp; MDL],Table13[Tolerance % CW ],"")/100*Table1[[#This Row],[Std Nom]]),"")</f>
        <v/>
      </c>
      <c r="Q1123" s="1" t="e">
        <f>Table1[[#This Row],[High Tol]]-Table1[[#This Row],[Low Tol]]</f>
        <v>#VALUE!</v>
      </c>
      <c r="R1123" s="1">
        <f>2*Table1[[#This Row],[Std Error]]</f>
        <v>0</v>
      </c>
      <c r="S1123" s="1" t="str">
        <f>IF(Table1[[#This Row],[High Tol]]="","N/A",IFERROR(ABS(Table1[[#This Row],[Tol Span]]/Table1[[#This Row],[Error Span]]),"N/A"))</f>
        <v>N/A</v>
      </c>
      <c r="T1123" s="1" t="str">
        <f>IF(OR(Table1[[#This Row],[Low Tol]]="",Table1[[#This Row],[High Tol]]=""),"Needs Analysis",IF(Table1[[#This Row],[Ratio]]&gt;=4,"Not Significant",IF(Table1[[#This Row],[Ratio]]&gt;=2,"Semi-Significant","Significant")))</f>
        <v>Needs Analysis</v>
      </c>
      <c r="W1123" s="1">
        <f>IF(Table1[[#This Row],[Cal Type]]&lt;&gt;"ACCREDITED 17025 WITH UNCERTAINTIES",0,"")</f>
        <v>0</v>
      </c>
      <c r="X1123" s="1" t="str">
        <f>IF(Table1[[#This Row],[DUT Read]]="","N/A",Table1[[#This Row],[Std Error]]+Table1[[#This Row],[DUT Read]]+Table1[[#This Row],[DUT Ucty]])</f>
        <v>N/A</v>
      </c>
      <c r="Y1123" s="1" t="str">
        <f>IF(Table1[[#This Row],[Std Read]]="","N/A",Table1[[#This Row],[Std Read]]+Table1[[#This Row],[Std Ucty]])</f>
        <v>N/A</v>
      </c>
      <c r="Z11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3" s="1" t="str">
        <f>IF(Table1[[#This Row],[Spec Type]]="","N/A",Table1[[#This Row],[Spec Type]])</f>
        <v>±</v>
      </c>
      <c r="AC1123" s="1" t="str">
        <f>IF(Table1[[#This Row],[Spec Type2]]="N/A","N/A",IF(AND(Table1[[#This Row],[DUT Adj Read]]&gt;=Table1[[#This Row],[Low Tol]],Table1[[#This Row],[DUT Adj Read]]&lt;=Table1[[#This Row],[High Tol]]),"Pass","Fail"))</f>
        <v>Fail</v>
      </c>
      <c r="AD1123" s="1" t="str">
        <f>IF(AND(Table1[[#This Row],[Spec Type2]]="N/A",Table1[[#This Row],[DUT Adj Read]]="N/A",Table1[[#This Row],[Std Adj Read]]="N/A"),"N/A",IF(Table1[[#This Row],[DUT Adj Read]]="N/A",IF(Table1[[#This Row],[Std Adj Read]]&gt;Table1[[#This Row],[Low Tol]],"Pass","Fail"),IF(Table1[[#This Row],[DUT Adj Read]]&gt;Table1[[#This Row],[Low Tol]],"Pass","Fail")))</f>
        <v>Pass</v>
      </c>
      <c r="AE1123" s="1" t="str">
        <f>IF(AND(Table1[[#This Row],[Spec Type2]]="N/A",Table1[[#This Row],[DUT Adj Read]]="N/A",Table1[[#This Row],[Std Adj Read]]="N/A"),"N/A",IF(Table1[[#This Row],[DUT Adj Read]]="N/A",IF(Table1[[#This Row],[Std Adj Read]]&lt;Table1[[#This Row],[High Tol]],"Pass","Fail"),IF(Table1[[#This Row],[DUT Adj Read]]&lt;Table1[[#This Row],[High Tol]],"Pass","Fail")))</f>
        <v>Fail</v>
      </c>
      <c r="AF1123" s="1" t="str">
        <f>IF(AND(Table1[[#This Row],[Spec Type2]]="N/A",Table1[[#This Row],[DUT Adj Read]]="N/A",Table1[[#This Row],[Std Adj Read]]="N/A"),"N/A",IF(Table1[[#This Row],[DUT Adj Read]]="N/A",IF(Table1[[#This Row],[Std Adj Read]]&gt;=Table1[[#This Row],[Low Tol]],"Pass","Fail"),IF(Table1[[#This Row],[DUT Adj Read]]&gt;=Table1[[#This Row],[Low Tol]],"Pass","Fail")))</f>
        <v>Pass</v>
      </c>
      <c r="AG1123" s="1" t="str">
        <f>IF(AND(Table1[[#This Row],[Spec Type2]]="N/A",Table1[[#This Row],[DUT Adj Read]]="N/A",Table1[[#This Row],[Std Adj Read]]="N/A"),"N/A",IF(Table1[[#This Row],[DUT Adj Read]]="N/A",IF(Table1[[#This Row],[Std Adj Read]]&lt;=Table1[[#This Row],[High Tol]],"Pass","Fail"),IF(Table1[[#This Row],[DUT Adj Read]]&lt;=Table1[[#This Row],[High Tol]],"Pass","Fail")))</f>
        <v>Fail</v>
      </c>
      <c r="AH11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3" s="1" t="b">
        <v>0</v>
      </c>
      <c r="AN1123" s="1" t="b">
        <v>0</v>
      </c>
      <c r="AO1123" s="1" t="b">
        <v>0</v>
      </c>
    </row>
    <row r="1124" spans="1:41" x14ac:dyDescent="0.25">
      <c r="A1124" s="10"/>
      <c r="B1124" s="10"/>
      <c r="C1124" s="10"/>
      <c r="D1124" s="10"/>
      <c r="E1124" s="10"/>
      <c r="F1124" s="10"/>
      <c r="G1124" s="10"/>
      <c r="H1124" s="10"/>
      <c r="I1124" s="1" t="str">
        <f t="shared" si="51"/>
        <v/>
      </c>
      <c r="J1124" s="1" t="s">
        <v>35</v>
      </c>
      <c r="K1124" s="1" t="str">
        <f t="shared" si="52"/>
        <v/>
      </c>
      <c r="L1124" s="1" t="str">
        <f t="shared" si="53"/>
        <v/>
      </c>
      <c r="M1124" s="1">
        <f>IF(OR(Table1[[#This Row],[Std Nom]]="",Table1[[#This Row],[Std Read]]=""),0,Table1[[#This Row],[Std Nom]]-Table1[[#This Row],[Std Read]])</f>
        <v>0</v>
      </c>
      <c r="N1124" s="1">
        <f>IF(Calculations!$F$5="ACCREDITED 17025 WITH UNCERTAINTIES",$N$10,0)</f>
        <v>0</v>
      </c>
      <c r="O1124" s="1" t="str">
        <f>IFERROR(Table1[[#This Row],[Std Nom]]-(_xlfn.XLOOKUP(Table1[[#This Row],[Manufacturer]]&amp;" "&amp;Table1[[#This Row],[Model]],Table13[MFR &amp; MDL],Table13[Tolerance % CW ],"")/100*Table1[[#This Row],[Std Nom]]),"")</f>
        <v/>
      </c>
      <c r="P1124" s="1" t="str">
        <f>IFERROR(Table1[[#This Row],[Std Nom]]+(_xlfn.XLOOKUP(Table1[[#This Row],[Manufacturer]]&amp;" "&amp;Table1[[#This Row],[Model]],Table13[MFR &amp; MDL],Table13[Tolerance % CW ],"")/100*Table1[[#This Row],[Std Nom]]),"")</f>
        <v/>
      </c>
      <c r="Q1124" s="1" t="e">
        <f>Table1[[#This Row],[High Tol]]-Table1[[#This Row],[Low Tol]]</f>
        <v>#VALUE!</v>
      </c>
      <c r="R1124" s="1">
        <f>2*Table1[[#This Row],[Std Error]]</f>
        <v>0</v>
      </c>
      <c r="S1124" s="1" t="str">
        <f>IF(Table1[[#This Row],[High Tol]]="","N/A",IFERROR(ABS(Table1[[#This Row],[Tol Span]]/Table1[[#This Row],[Error Span]]),"N/A"))</f>
        <v>N/A</v>
      </c>
      <c r="T1124" s="1" t="str">
        <f>IF(OR(Table1[[#This Row],[Low Tol]]="",Table1[[#This Row],[High Tol]]=""),"Needs Analysis",IF(Table1[[#This Row],[Ratio]]&gt;=4,"Not Significant",IF(Table1[[#This Row],[Ratio]]&gt;=2,"Semi-Significant","Significant")))</f>
        <v>Needs Analysis</v>
      </c>
      <c r="W1124" s="1">
        <f>IF(Table1[[#This Row],[Cal Type]]&lt;&gt;"ACCREDITED 17025 WITH UNCERTAINTIES",0,"")</f>
        <v>0</v>
      </c>
      <c r="X1124" s="1" t="str">
        <f>IF(Table1[[#This Row],[DUT Read]]="","N/A",Table1[[#This Row],[Std Error]]+Table1[[#This Row],[DUT Read]]+Table1[[#This Row],[DUT Ucty]])</f>
        <v>N/A</v>
      </c>
      <c r="Y1124" s="1" t="str">
        <f>IF(Table1[[#This Row],[Std Read]]="","N/A",Table1[[#This Row],[Std Read]]+Table1[[#This Row],[Std Ucty]])</f>
        <v>N/A</v>
      </c>
      <c r="Z11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4" s="1" t="str">
        <f>IF(Table1[[#This Row],[Spec Type]]="","N/A",Table1[[#This Row],[Spec Type]])</f>
        <v>±</v>
      </c>
      <c r="AC1124" s="1" t="str">
        <f>IF(Table1[[#This Row],[Spec Type2]]="N/A","N/A",IF(AND(Table1[[#This Row],[DUT Adj Read]]&gt;=Table1[[#This Row],[Low Tol]],Table1[[#This Row],[DUT Adj Read]]&lt;=Table1[[#This Row],[High Tol]]),"Pass","Fail"))</f>
        <v>Fail</v>
      </c>
      <c r="AD1124" s="1" t="str">
        <f>IF(AND(Table1[[#This Row],[Spec Type2]]="N/A",Table1[[#This Row],[DUT Adj Read]]="N/A",Table1[[#This Row],[Std Adj Read]]="N/A"),"N/A",IF(Table1[[#This Row],[DUT Adj Read]]="N/A",IF(Table1[[#This Row],[Std Adj Read]]&gt;Table1[[#This Row],[Low Tol]],"Pass","Fail"),IF(Table1[[#This Row],[DUT Adj Read]]&gt;Table1[[#This Row],[Low Tol]],"Pass","Fail")))</f>
        <v>Pass</v>
      </c>
      <c r="AE1124" s="1" t="str">
        <f>IF(AND(Table1[[#This Row],[Spec Type2]]="N/A",Table1[[#This Row],[DUT Adj Read]]="N/A",Table1[[#This Row],[Std Adj Read]]="N/A"),"N/A",IF(Table1[[#This Row],[DUT Adj Read]]="N/A",IF(Table1[[#This Row],[Std Adj Read]]&lt;Table1[[#This Row],[High Tol]],"Pass","Fail"),IF(Table1[[#This Row],[DUT Adj Read]]&lt;Table1[[#This Row],[High Tol]],"Pass","Fail")))</f>
        <v>Fail</v>
      </c>
      <c r="AF1124" s="1" t="str">
        <f>IF(AND(Table1[[#This Row],[Spec Type2]]="N/A",Table1[[#This Row],[DUT Adj Read]]="N/A",Table1[[#This Row],[Std Adj Read]]="N/A"),"N/A",IF(Table1[[#This Row],[DUT Adj Read]]="N/A",IF(Table1[[#This Row],[Std Adj Read]]&gt;=Table1[[#This Row],[Low Tol]],"Pass","Fail"),IF(Table1[[#This Row],[DUT Adj Read]]&gt;=Table1[[#This Row],[Low Tol]],"Pass","Fail")))</f>
        <v>Pass</v>
      </c>
      <c r="AG1124" s="1" t="str">
        <f>IF(AND(Table1[[#This Row],[Spec Type2]]="N/A",Table1[[#This Row],[DUT Adj Read]]="N/A",Table1[[#This Row],[Std Adj Read]]="N/A"),"N/A",IF(Table1[[#This Row],[DUT Adj Read]]="N/A",IF(Table1[[#This Row],[Std Adj Read]]&lt;=Table1[[#This Row],[High Tol]],"Pass","Fail"),IF(Table1[[#This Row],[DUT Adj Read]]&lt;=Table1[[#This Row],[High Tol]],"Pass","Fail")))</f>
        <v>Fail</v>
      </c>
      <c r="AH11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4" s="1" t="b">
        <v>0</v>
      </c>
      <c r="AN1124" s="1" t="b">
        <v>0</v>
      </c>
      <c r="AO1124" s="1" t="b">
        <v>0</v>
      </c>
    </row>
    <row r="1125" spans="1:41" x14ac:dyDescent="0.25">
      <c r="A1125" s="10"/>
      <c r="B1125" s="10"/>
      <c r="C1125" s="10"/>
      <c r="D1125" s="10"/>
      <c r="E1125" s="10"/>
      <c r="F1125" s="10"/>
      <c r="G1125" s="10"/>
      <c r="H1125" s="10"/>
      <c r="I1125" s="1" t="str">
        <f t="shared" si="51"/>
        <v/>
      </c>
      <c r="J1125" s="1" t="s">
        <v>35</v>
      </c>
      <c r="K1125" s="1" t="str">
        <f t="shared" si="52"/>
        <v/>
      </c>
      <c r="L1125" s="1" t="str">
        <f t="shared" si="53"/>
        <v/>
      </c>
      <c r="M1125" s="1">
        <f>IF(OR(Table1[[#This Row],[Std Nom]]="",Table1[[#This Row],[Std Read]]=""),0,Table1[[#This Row],[Std Nom]]-Table1[[#This Row],[Std Read]])</f>
        <v>0</v>
      </c>
      <c r="N1125" s="1">
        <f>IF(Calculations!$F$5="ACCREDITED 17025 WITH UNCERTAINTIES",$N$10,0)</f>
        <v>0</v>
      </c>
      <c r="O1125" s="1" t="str">
        <f>IFERROR(Table1[[#This Row],[Std Nom]]-(_xlfn.XLOOKUP(Table1[[#This Row],[Manufacturer]]&amp;" "&amp;Table1[[#This Row],[Model]],Table13[MFR &amp; MDL],Table13[Tolerance % CW ],"")/100*Table1[[#This Row],[Std Nom]]),"")</f>
        <v/>
      </c>
      <c r="P1125" s="1" t="str">
        <f>IFERROR(Table1[[#This Row],[Std Nom]]+(_xlfn.XLOOKUP(Table1[[#This Row],[Manufacturer]]&amp;" "&amp;Table1[[#This Row],[Model]],Table13[MFR &amp; MDL],Table13[Tolerance % CW ],"")/100*Table1[[#This Row],[Std Nom]]),"")</f>
        <v/>
      </c>
      <c r="Q1125" s="1" t="e">
        <f>Table1[[#This Row],[High Tol]]-Table1[[#This Row],[Low Tol]]</f>
        <v>#VALUE!</v>
      </c>
      <c r="R1125" s="1">
        <f>2*Table1[[#This Row],[Std Error]]</f>
        <v>0</v>
      </c>
      <c r="S1125" s="1" t="str">
        <f>IF(Table1[[#This Row],[High Tol]]="","N/A",IFERROR(ABS(Table1[[#This Row],[Tol Span]]/Table1[[#This Row],[Error Span]]),"N/A"))</f>
        <v>N/A</v>
      </c>
      <c r="T1125" s="1" t="str">
        <f>IF(OR(Table1[[#This Row],[Low Tol]]="",Table1[[#This Row],[High Tol]]=""),"Needs Analysis",IF(Table1[[#This Row],[Ratio]]&gt;=4,"Not Significant",IF(Table1[[#This Row],[Ratio]]&gt;=2,"Semi-Significant","Significant")))</f>
        <v>Needs Analysis</v>
      </c>
      <c r="W1125" s="1">
        <f>IF(Table1[[#This Row],[Cal Type]]&lt;&gt;"ACCREDITED 17025 WITH UNCERTAINTIES",0,"")</f>
        <v>0</v>
      </c>
      <c r="X1125" s="1" t="str">
        <f>IF(Table1[[#This Row],[DUT Read]]="","N/A",Table1[[#This Row],[Std Error]]+Table1[[#This Row],[DUT Read]]+Table1[[#This Row],[DUT Ucty]])</f>
        <v>N/A</v>
      </c>
      <c r="Y1125" s="1" t="str">
        <f>IF(Table1[[#This Row],[Std Read]]="","N/A",Table1[[#This Row],[Std Read]]+Table1[[#This Row],[Std Ucty]])</f>
        <v>N/A</v>
      </c>
      <c r="Z11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5" s="1" t="str">
        <f>IF(Table1[[#This Row],[Spec Type]]="","N/A",Table1[[#This Row],[Spec Type]])</f>
        <v>±</v>
      </c>
      <c r="AC1125" s="1" t="str">
        <f>IF(Table1[[#This Row],[Spec Type2]]="N/A","N/A",IF(AND(Table1[[#This Row],[DUT Adj Read]]&gt;=Table1[[#This Row],[Low Tol]],Table1[[#This Row],[DUT Adj Read]]&lt;=Table1[[#This Row],[High Tol]]),"Pass","Fail"))</f>
        <v>Fail</v>
      </c>
      <c r="AD1125" s="1" t="str">
        <f>IF(AND(Table1[[#This Row],[Spec Type2]]="N/A",Table1[[#This Row],[DUT Adj Read]]="N/A",Table1[[#This Row],[Std Adj Read]]="N/A"),"N/A",IF(Table1[[#This Row],[DUT Adj Read]]="N/A",IF(Table1[[#This Row],[Std Adj Read]]&gt;Table1[[#This Row],[Low Tol]],"Pass","Fail"),IF(Table1[[#This Row],[DUT Adj Read]]&gt;Table1[[#This Row],[Low Tol]],"Pass","Fail")))</f>
        <v>Pass</v>
      </c>
      <c r="AE1125" s="1" t="str">
        <f>IF(AND(Table1[[#This Row],[Spec Type2]]="N/A",Table1[[#This Row],[DUT Adj Read]]="N/A",Table1[[#This Row],[Std Adj Read]]="N/A"),"N/A",IF(Table1[[#This Row],[DUT Adj Read]]="N/A",IF(Table1[[#This Row],[Std Adj Read]]&lt;Table1[[#This Row],[High Tol]],"Pass","Fail"),IF(Table1[[#This Row],[DUT Adj Read]]&lt;Table1[[#This Row],[High Tol]],"Pass","Fail")))</f>
        <v>Fail</v>
      </c>
      <c r="AF1125" s="1" t="str">
        <f>IF(AND(Table1[[#This Row],[Spec Type2]]="N/A",Table1[[#This Row],[DUT Adj Read]]="N/A",Table1[[#This Row],[Std Adj Read]]="N/A"),"N/A",IF(Table1[[#This Row],[DUT Adj Read]]="N/A",IF(Table1[[#This Row],[Std Adj Read]]&gt;=Table1[[#This Row],[Low Tol]],"Pass","Fail"),IF(Table1[[#This Row],[DUT Adj Read]]&gt;=Table1[[#This Row],[Low Tol]],"Pass","Fail")))</f>
        <v>Pass</v>
      </c>
      <c r="AG1125" s="1" t="str">
        <f>IF(AND(Table1[[#This Row],[Spec Type2]]="N/A",Table1[[#This Row],[DUT Adj Read]]="N/A",Table1[[#This Row],[Std Adj Read]]="N/A"),"N/A",IF(Table1[[#This Row],[DUT Adj Read]]="N/A",IF(Table1[[#This Row],[Std Adj Read]]&lt;=Table1[[#This Row],[High Tol]],"Pass","Fail"),IF(Table1[[#This Row],[DUT Adj Read]]&lt;=Table1[[#This Row],[High Tol]],"Pass","Fail")))</f>
        <v>Fail</v>
      </c>
      <c r="AH11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5" s="1" t="b">
        <v>0</v>
      </c>
      <c r="AN1125" s="1" t="b">
        <v>0</v>
      </c>
      <c r="AO1125" s="1" t="b">
        <v>0</v>
      </c>
    </row>
    <row r="1126" spans="1:41" x14ac:dyDescent="0.25">
      <c r="A1126" s="10"/>
      <c r="B1126" s="10"/>
      <c r="C1126" s="10"/>
      <c r="D1126" s="10"/>
      <c r="E1126" s="10"/>
      <c r="F1126" s="10"/>
      <c r="G1126" s="10"/>
      <c r="H1126" s="10"/>
      <c r="I1126" s="1" t="str">
        <f t="shared" si="51"/>
        <v/>
      </c>
      <c r="J1126" s="1" t="s">
        <v>35</v>
      </c>
      <c r="K1126" s="1" t="str">
        <f t="shared" si="52"/>
        <v/>
      </c>
      <c r="L1126" s="1" t="str">
        <f t="shared" si="53"/>
        <v/>
      </c>
      <c r="M1126" s="1">
        <f>IF(OR(Table1[[#This Row],[Std Nom]]="",Table1[[#This Row],[Std Read]]=""),0,Table1[[#This Row],[Std Nom]]-Table1[[#This Row],[Std Read]])</f>
        <v>0</v>
      </c>
      <c r="N1126" s="1">
        <f>IF(Calculations!$F$5="ACCREDITED 17025 WITH UNCERTAINTIES",$N$10,0)</f>
        <v>0</v>
      </c>
      <c r="O1126" s="1" t="str">
        <f>IFERROR(Table1[[#This Row],[Std Nom]]-(_xlfn.XLOOKUP(Table1[[#This Row],[Manufacturer]]&amp;" "&amp;Table1[[#This Row],[Model]],Table13[MFR &amp; MDL],Table13[Tolerance % CW ],"")/100*Table1[[#This Row],[Std Nom]]),"")</f>
        <v/>
      </c>
      <c r="P1126" s="1" t="str">
        <f>IFERROR(Table1[[#This Row],[Std Nom]]+(_xlfn.XLOOKUP(Table1[[#This Row],[Manufacturer]]&amp;" "&amp;Table1[[#This Row],[Model]],Table13[MFR &amp; MDL],Table13[Tolerance % CW ],"")/100*Table1[[#This Row],[Std Nom]]),"")</f>
        <v/>
      </c>
      <c r="Q1126" s="1" t="e">
        <f>Table1[[#This Row],[High Tol]]-Table1[[#This Row],[Low Tol]]</f>
        <v>#VALUE!</v>
      </c>
      <c r="R1126" s="1">
        <f>2*Table1[[#This Row],[Std Error]]</f>
        <v>0</v>
      </c>
      <c r="S1126" s="1" t="str">
        <f>IF(Table1[[#This Row],[High Tol]]="","N/A",IFERROR(ABS(Table1[[#This Row],[Tol Span]]/Table1[[#This Row],[Error Span]]),"N/A"))</f>
        <v>N/A</v>
      </c>
      <c r="T1126" s="1" t="str">
        <f>IF(OR(Table1[[#This Row],[Low Tol]]="",Table1[[#This Row],[High Tol]]=""),"Needs Analysis",IF(Table1[[#This Row],[Ratio]]&gt;=4,"Not Significant",IF(Table1[[#This Row],[Ratio]]&gt;=2,"Semi-Significant","Significant")))</f>
        <v>Needs Analysis</v>
      </c>
      <c r="W1126" s="1">
        <f>IF(Table1[[#This Row],[Cal Type]]&lt;&gt;"ACCREDITED 17025 WITH UNCERTAINTIES",0,"")</f>
        <v>0</v>
      </c>
      <c r="X1126" s="1" t="str">
        <f>IF(Table1[[#This Row],[DUT Read]]="","N/A",Table1[[#This Row],[Std Error]]+Table1[[#This Row],[DUT Read]]+Table1[[#This Row],[DUT Ucty]])</f>
        <v>N/A</v>
      </c>
      <c r="Y1126" s="1" t="str">
        <f>IF(Table1[[#This Row],[Std Read]]="","N/A",Table1[[#This Row],[Std Read]]+Table1[[#This Row],[Std Ucty]])</f>
        <v>N/A</v>
      </c>
      <c r="Z11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6" s="1" t="str">
        <f>IF(Table1[[#This Row],[Spec Type]]="","N/A",Table1[[#This Row],[Spec Type]])</f>
        <v>±</v>
      </c>
      <c r="AC1126" s="1" t="str">
        <f>IF(Table1[[#This Row],[Spec Type2]]="N/A","N/A",IF(AND(Table1[[#This Row],[DUT Adj Read]]&gt;=Table1[[#This Row],[Low Tol]],Table1[[#This Row],[DUT Adj Read]]&lt;=Table1[[#This Row],[High Tol]]),"Pass","Fail"))</f>
        <v>Fail</v>
      </c>
      <c r="AD1126" s="1" t="str">
        <f>IF(AND(Table1[[#This Row],[Spec Type2]]="N/A",Table1[[#This Row],[DUT Adj Read]]="N/A",Table1[[#This Row],[Std Adj Read]]="N/A"),"N/A",IF(Table1[[#This Row],[DUT Adj Read]]="N/A",IF(Table1[[#This Row],[Std Adj Read]]&gt;Table1[[#This Row],[Low Tol]],"Pass","Fail"),IF(Table1[[#This Row],[DUT Adj Read]]&gt;Table1[[#This Row],[Low Tol]],"Pass","Fail")))</f>
        <v>Pass</v>
      </c>
      <c r="AE1126" s="1" t="str">
        <f>IF(AND(Table1[[#This Row],[Spec Type2]]="N/A",Table1[[#This Row],[DUT Adj Read]]="N/A",Table1[[#This Row],[Std Adj Read]]="N/A"),"N/A",IF(Table1[[#This Row],[DUT Adj Read]]="N/A",IF(Table1[[#This Row],[Std Adj Read]]&lt;Table1[[#This Row],[High Tol]],"Pass","Fail"),IF(Table1[[#This Row],[DUT Adj Read]]&lt;Table1[[#This Row],[High Tol]],"Pass","Fail")))</f>
        <v>Fail</v>
      </c>
      <c r="AF1126" s="1" t="str">
        <f>IF(AND(Table1[[#This Row],[Spec Type2]]="N/A",Table1[[#This Row],[DUT Adj Read]]="N/A",Table1[[#This Row],[Std Adj Read]]="N/A"),"N/A",IF(Table1[[#This Row],[DUT Adj Read]]="N/A",IF(Table1[[#This Row],[Std Adj Read]]&gt;=Table1[[#This Row],[Low Tol]],"Pass","Fail"),IF(Table1[[#This Row],[DUT Adj Read]]&gt;=Table1[[#This Row],[Low Tol]],"Pass","Fail")))</f>
        <v>Pass</v>
      </c>
      <c r="AG1126" s="1" t="str">
        <f>IF(AND(Table1[[#This Row],[Spec Type2]]="N/A",Table1[[#This Row],[DUT Adj Read]]="N/A",Table1[[#This Row],[Std Adj Read]]="N/A"),"N/A",IF(Table1[[#This Row],[DUT Adj Read]]="N/A",IF(Table1[[#This Row],[Std Adj Read]]&lt;=Table1[[#This Row],[High Tol]],"Pass","Fail"),IF(Table1[[#This Row],[DUT Adj Read]]&lt;=Table1[[#This Row],[High Tol]],"Pass","Fail")))</f>
        <v>Fail</v>
      </c>
      <c r="AH11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6" s="1" t="b">
        <v>0</v>
      </c>
      <c r="AN1126" s="1" t="b">
        <v>0</v>
      </c>
      <c r="AO1126" s="1" t="b">
        <v>0</v>
      </c>
    </row>
    <row r="1127" spans="1:41" x14ac:dyDescent="0.25">
      <c r="A1127" s="10"/>
      <c r="B1127" s="10"/>
      <c r="C1127" s="10"/>
      <c r="D1127" s="10"/>
      <c r="E1127" s="10"/>
      <c r="F1127" s="10"/>
      <c r="G1127" s="10"/>
      <c r="H1127" s="10"/>
      <c r="I1127" s="1" t="str">
        <f t="shared" si="51"/>
        <v/>
      </c>
      <c r="J1127" s="1" t="s">
        <v>35</v>
      </c>
      <c r="K1127" s="1" t="str">
        <f t="shared" si="52"/>
        <v/>
      </c>
      <c r="L1127" s="1" t="str">
        <f t="shared" si="53"/>
        <v/>
      </c>
      <c r="M1127" s="1">
        <f>IF(OR(Table1[[#This Row],[Std Nom]]="",Table1[[#This Row],[Std Read]]=""),0,Table1[[#This Row],[Std Nom]]-Table1[[#This Row],[Std Read]])</f>
        <v>0</v>
      </c>
      <c r="N1127" s="1">
        <f>IF(Calculations!$F$5="ACCREDITED 17025 WITH UNCERTAINTIES",$N$10,0)</f>
        <v>0</v>
      </c>
      <c r="O1127" s="1" t="str">
        <f>IFERROR(Table1[[#This Row],[Std Nom]]-(_xlfn.XLOOKUP(Table1[[#This Row],[Manufacturer]]&amp;" "&amp;Table1[[#This Row],[Model]],Table13[MFR &amp; MDL],Table13[Tolerance % CW ],"")/100*Table1[[#This Row],[Std Nom]]),"")</f>
        <v/>
      </c>
      <c r="P1127" s="1" t="str">
        <f>IFERROR(Table1[[#This Row],[Std Nom]]+(_xlfn.XLOOKUP(Table1[[#This Row],[Manufacturer]]&amp;" "&amp;Table1[[#This Row],[Model]],Table13[MFR &amp; MDL],Table13[Tolerance % CW ],"")/100*Table1[[#This Row],[Std Nom]]),"")</f>
        <v/>
      </c>
      <c r="Q1127" s="1" t="e">
        <f>Table1[[#This Row],[High Tol]]-Table1[[#This Row],[Low Tol]]</f>
        <v>#VALUE!</v>
      </c>
      <c r="R1127" s="1">
        <f>2*Table1[[#This Row],[Std Error]]</f>
        <v>0</v>
      </c>
      <c r="S1127" s="1" t="str">
        <f>IF(Table1[[#This Row],[High Tol]]="","N/A",IFERROR(ABS(Table1[[#This Row],[Tol Span]]/Table1[[#This Row],[Error Span]]),"N/A"))</f>
        <v>N/A</v>
      </c>
      <c r="T1127" s="1" t="str">
        <f>IF(OR(Table1[[#This Row],[Low Tol]]="",Table1[[#This Row],[High Tol]]=""),"Needs Analysis",IF(Table1[[#This Row],[Ratio]]&gt;=4,"Not Significant",IF(Table1[[#This Row],[Ratio]]&gt;=2,"Semi-Significant","Significant")))</f>
        <v>Needs Analysis</v>
      </c>
      <c r="W1127" s="1">
        <f>IF(Table1[[#This Row],[Cal Type]]&lt;&gt;"ACCREDITED 17025 WITH UNCERTAINTIES",0,"")</f>
        <v>0</v>
      </c>
      <c r="X1127" s="1" t="str">
        <f>IF(Table1[[#This Row],[DUT Read]]="","N/A",Table1[[#This Row],[Std Error]]+Table1[[#This Row],[DUT Read]]+Table1[[#This Row],[DUT Ucty]])</f>
        <v>N/A</v>
      </c>
      <c r="Y1127" s="1" t="str">
        <f>IF(Table1[[#This Row],[Std Read]]="","N/A",Table1[[#This Row],[Std Read]]+Table1[[#This Row],[Std Ucty]])</f>
        <v>N/A</v>
      </c>
      <c r="Z11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7" s="1" t="str">
        <f>IF(Table1[[#This Row],[Spec Type]]="","N/A",Table1[[#This Row],[Spec Type]])</f>
        <v>±</v>
      </c>
      <c r="AC1127" s="1" t="str">
        <f>IF(Table1[[#This Row],[Spec Type2]]="N/A","N/A",IF(AND(Table1[[#This Row],[DUT Adj Read]]&gt;=Table1[[#This Row],[Low Tol]],Table1[[#This Row],[DUT Adj Read]]&lt;=Table1[[#This Row],[High Tol]]),"Pass","Fail"))</f>
        <v>Fail</v>
      </c>
      <c r="AD1127" s="1" t="str">
        <f>IF(AND(Table1[[#This Row],[Spec Type2]]="N/A",Table1[[#This Row],[DUT Adj Read]]="N/A",Table1[[#This Row],[Std Adj Read]]="N/A"),"N/A",IF(Table1[[#This Row],[DUT Adj Read]]="N/A",IF(Table1[[#This Row],[Std Adj Read]]&gt;Table1[[#This Row],[Low Tol]],"Pass","Fail"),IF(Table1[[#This Row],[DUT Adj Read]]&gt;Table1[[#This Row],[Low Tol]],"Pass","Fail")))</f>
        <v>Pass</v>
      </c>
      <c r="AE1127" s="1" t="str">
        <f>IF(AND(Table1[[#This Row],[Spec Type2]]="N/A",Table1[[#This Row],[DUT Adj Read]]="N/A",Table1[[#This Row],[Std Adj Read]]="N/A"),"N/A",IF(Table1[[#This Row],[DUT Adj Read]]="N/A",IF(Table1[[#This Row],[Std Adj Read]]&lt;Table1[[#This Row],[High Tol]],"Pass","Fail"),IF(Table1[[#This Row],[DUT Adj Read]]&lt;Table1[[#This Row],[High Tol]],"Pass","Fail")))</f>
        <v>Fail</v>
      </c>
      <c r="AF1127" s="1" t="str">
        <f>IF(AND(Table1[[#This Row],[Spec Type2]]="N/A",Table1[[#This Row],[DUT Adj Read]]="N/A",Table1[[#This Row],[Std Adj Read]]="N/A"),"N/A",IF(Table1[[#This Row],[DUT Adj Read]]="N/A",IF(Table1[[#This Row],[Std Adj Read]]&gt;=Table1[[#This Row],[Low Tol]],"Pass","Fail"),IF(Table1[[#This Row],[DUT Adj Read]]&gt;=Table1[[#This Row],[Low Tol]],"Pass","Fail")))</f>
        <v>Pass</v>
      </c>
      <c r="AG1127" s="1" t="str">
        <f>IF(AND(Table1[[#This Row],[Spec Type2]]="N/A",Table1[[#This Row],[DUT Adj Read]]="N/A",Table1[[#This Row],[Std Adj Read]]="N/A"),"N/A",IF(Table1[[#This Row],[DUT Adj Read]]="N/A",IF(Table1[[#This Row],[Std Adj Read]]&lt;=Table1[[#This Row],[High Tol]],"Pass","Fail"),IF(Table1[[#This Row],[DUT Adj Read]]&lt;=Table1[[#This Row],[High Tol]],"Pass","Fail")))</f>
        <v>Fail</v>
      </c>
      <c r="AH11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7" s="1" t="b">
        <v>0</v>
      </c>
      <c r="AN1127" s="1" t="b">
        <v>0</v>
      </c>
      <c r="AO1127" s="1" t="b">
        <v>0</v>
      </c>
    </row>
    <row r="1128" spans="1:41" x14ac:dyDescent="0.25">
      <c r="A1128" s="10"/>
      <c r="B1128" s="10"/>
      <c r="C1128" s="10"/>
      <c r="D1128" s="10"/>
      <c r="E1128" s="10"/>
      <c r="F1128" s="10"/>
      <c r="G1128" s="10"/>
      <c r="H1128" s="10"/>
      <c r="I1128" s="1" t="str">
        <f t="shared" si="51"/>
        <v/>
      </c>
      <c r="J1128" s="1" t="s">
        <v>35</v>
      </c>
      <c r="K1128" s="1" t="str">
        <f t="shared" si="52"/>
        <v/>
      </c>
      <c r="L1128" s="1" t="str">
        <f t="shared" si="53"/>
        <v/>
      </c>
      <c r="M1128" s="1">
        <f>IF(OR(Table1[[#This Row],[Std Nom]]="",Table1[[#This Row],[Std Read]]=""),0,Table1[[#This Row],[Std Nom]]-Table1[[#This Row],[Std Read]])</f>
        <v>0</v>
      </c>
      <c r="N1128" s="1">
        <f>IF(Calculations!$F$5="ACCREDITED 17025 WITH UNCERTAINTIES",$N$10,0)</f>
        <v>0</v>
      </c>
      <c r="O1128" s="1" t="str">
        <f>IFERROR(Table1[[#This Row],[Std Nom]]-(_xlfn.XLOOKUP(Table1[[#This Row],[Manufacturer]]&amp;" "&amp;Table1[[#This Row],[Model]],Table13[MFR &amp; MDL],Table13[Tolerance % CW ],"")/100*Table1[[#This Row],[Std Nom]]),"")</f>
        <v/>
      </c>
      <c r="P1128" s="1" t="str">
        <f>IFERROR(Table1[[#This Row],[Std Nom]]+(_xlfn.XLOOKUP(Table1[[#This Row],[Manufacturer]]&amp;" "&amp;Table1[[#This Row],[Model]],Table13[MFR &amp; MDL],Table13[Tolerance % CW ],"")/100*Table1[[#This Row],[Std Nom]]),"")</f>
        <v/>
      </c>
      <c r="Q1128" s="1" t="e">
        <f>Table1[[#This Row],[High Tol]]-Table1[[#This Row],[Low Tol]]</f>
        <v>#VALUE!</v>
      </c>
      <c r="R1128" s="1">
        <f>2*Table1[[#This Row],[Std Error]]</f>
        <v>0</v>
      </c>
      <c r="S1128" s="1" t="str">
        <f>IF(Table1[[#This Row],[High Tol]]="","N/A",IFERROR(ABS(Table1[[#This Row],[Tol Span]]/Table1[[#This Row],[Error Span]]),"N/A"))</f>
        <v>N/A</v>
      </c>
      <c r="T1128" s="1" t="str">
        <f>IF(OR(Table1[[#This Row],[Low Tol]]="",Table1[[#This Row],[High Tol]]=""),"Needs Analysis",IF(Table1[[#This Row],[Ratio]]&gt;=4,"Not Significant",IF(Table1[[#This Row],[Ratio]]&gt;=2,"Semi-Significant","Significant")))</f>
        <v>Needs Analysis</v>
      </c>
      <c r="W1128" s="1">
        <f>IF(Table1[[#This Row],[Cal Type]]&lt;&gt;"ACCREDITED 17025 WITH UNCERTAINTIES",0,"")</f>
        <v>0</v>
      </c>
      <c r="X1128" s="1" t="str">
        <f>IF(Table1[[#This Row],[DUT Read]]="","N/A",Table1[[#This Row],[Std Error]]+Table1[[#This Row],[DUT Read]]+Table1[[#This Row],[DUT Ucty]])</f>
        <v>N/A</v>
      </c>
      <c r="Y1128" s="1" t="str">
        <f>IF(Table1[[#This Row],[Std Read]]="","N/A",Table1[[#This Row],[Std Read]]+Table1[[#This Row],[Std Ucty]])</f>
        <v>N/A</v>
      </c>
      <c r="Z11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8" s="1" t="str">
        <f>IF(Table1[[#This Row],[Spec Type]]="","N/A",Table1[[#This Row],[Spec Type]])</f>
        <v>±</v>
      </c>
      <c r="AC1128" s="1" t="str">
        <f>IF(Table1[[#This Row],[Spec Type2]]="N/A","N/A",IF(AND(Table1[[#This Row],[DUT Adj Read]]&gt;=Table1[[#This Row],[Low Tol]],Table1[[#This Row],[DUT Adj Read]]&lt;=Table1[[#This Row],[High Tol]]),"Pass","Fail"))</f>
        <v>Fail</v>
      </c>
      <c r="AD1128" s="1" t="str">
        <f>IF(AND(Table1[[#This Row],[Spec Type2]]="N/A",Table1[[#This Row],[DUT Adj Read]]="N/A",Table1[[#This Row],[Std Adj Read]]="N/A"),"N/A",IF(Table1[[#This Row],[DUT Adj Read]]="N/A",IF(Table1[[#This Row],[Std Adj Read]]&gt;Table1[[#This Row],[Low Tol]],"Pass","Fail"),IF(Table1[[#This Row],[DUT Adj Read]]&gt;Table1[[#This Row],[Low Tol]],"Pass","Fail")))</f>
        <v>Pass</v>
      </c>
      <c r="AE1128" s="1" t="str">
        <f>IF(AND(Table1[[#This Row],[Spec Type2]]="N/A",Table1[[#This Row],[DUT Adj Read]]="N/A",Table1[[#This Row],[Std Adj Read]]="N/A"),"N/A",IF(Table1[[#This Row],[DUT Adj Read]]="N/A",IF(Table1[[#This Row],[Std Adj Read]]&lt;Table1[[#This Row],[High Tol]],"Pass","Fail"),IF(Table1[[#This Row],[DUT Adj Read]]&lt;Table1[[#This Row],[High Tol]],"Pass","Fail")))</f>
        <v>Fail</v>
      </c>
      <c r="AF1128" s="1" t="str">
        <f>IF(AND(Table1[[#This Row],[Spec Type2]]="N/A",Table1[[#This Row],[DUT Adj Read]]="N/A",Table1[[#This Row],[Std Adj Read]]="N/A"),"N/A",IF(Table1[[#This Row],[DUT Adj Read]]="N/A",IF(Table1[[#This Row],[Std Adj Read]]&gt;=Table1[[#This Row],[Low Tol]],"Pass","Fail"),IF(Table1[[#This Row],[DUT Adj Read]]&gt;=Table1[[#This Row],[Low Tol]],"Pass","Fail")))</f>
        <v>Pass</v>
      </c>
      <c r="AG1128" s="1" t="str">
        <f>IF(AND(Table1[[#This Row],[Spec Type2]]="N/A",Table1[[#This Row],[DUT Adj Read]]="N/A",Table1[[#This Row],[Std Adj Read]]="N/A"),"N/A",IF(Table1[[#This Row],[DUT Adj Read]]="N/A",IF(Table1[[#This Row],[Std Adj Read]]&lt;=Table1[[#This Row],[High Tol]],"Pass","Fail"),IF(Table1[[#This Row],[DUT Adj Read]]&lt;=Table1[[#This Row],[High Tol]],"Pass","Fail")))</f>
        <v>Fail</v>
      </c>
      <c r="AH11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8" s="1" t="b">
        <v>0</v>
      </c>
      <c r="AN1128" s="1" t="b">
        <v>0</v>
      </c>
      <c r="AO1128" s="1" t="b">
        <v>0</v>
      </c>
    </row>
    <row r="1129" spans="1:41" x14ac:dyDescent="0.25">
      <c r="A1129" s="10"/>
      <c r="B1129" s="10"/>
      <c r="C1129" s="10"/>
      <c r="D1129" s="10"/>
      <c r="E1129" s="10"/>
      <c r="F1129" s="10"/>
      <c r="G1129" s="10"/>
      <c r="H1129" s="10"/>
      <c r="I1129" s="1" t="str">
        <f t="shared" si="51"/>
        <v/>
      </c>
      <c r="J1129" s="1" t="s">
        <v>35</v>
      </c>
      <c r="K1129" s="1" t="str">
        <f t="shared" si="52"/>
        <v/>
      </c>
      <c r="L1129" s="1" t="str">
        <f t="shared" si="53"/>
        <v/>
      </c>
      <c r="M1129" s="1">
        <f>IF(OR(Table1[[#This Row],[Std Nom]]="",Table1[[#This Row],[Std Read]]=""),0,Table1[[#This Row],[Std Nom]]-Table1[[#This Row],[Std Read]])</f>
        <v>0</v>
      </c>
      <c r="N1129" s="1">
        <f>IF(Calculations!$F$5="ACCREDITED 17025 WITH UNCERTAINTIES",$N$10,0)</f>
        <v>0</v>
      </c>
      <c r="O1129" s="1" t="str">
        <f>IFERROR(Table1[[#This Row],[Std Nom]]-(_xlfn.XLOOKUP(Table1[[#This Row],[Manufacturer]]&amp;" "&amp;Table1[[#This Row],[Model]],Table13[MFR &amp; MDL],Table13[Tolerance % CW ],"")/100*Table1[[#This Row],[Std Nom]]),"")</f>
        <v/>
      </c>
      <c r="P1129" s="1" t="str">
        <f>IFERROR(Table1[[#This Row],[Std Nom]]+(_xlfn.XLOOKUP(Table1[[#This Row],[Manufacturer]]&amp;" "&amp;Table1[[#This Row],[Model]],Table13[MFR &amp; MDL],Table13[Tolerance % CW ],"")/100*Table1[[#This Row],[Std Nom]]),"")</f>
        <v/>
      </c>
      <c r="Q1129" s="1" t="e">
        <f>Table1[[#This Row],[High Tol]]-Table1[[#This Row],[Low Tol]]</f>
        <v>#VALUE!</v>
      </c>
      <c r="R1129" s="1">
        <f>2*Table1[[#This Row],[Std Error]]</f>
        <v>0</v>
      </c>
      <c r="S1129" s="1" t="str">
        <f>IF(Table1[[#This Row],[High Tol]]="","N/A",IFERROR(ABS(Table1[[#This Row],[Tol Span]]/Table1[[#This Row],[Error Span]]),"N/A"))</f>
        <v>N/A</v>
      </c>
      <c r="T1129" s="1" t="str">
        <f>IF(OR(Table1[[#This Row],[Low Tol]]="",Table1[[#This Row],[High Tol]]=""),"Needs Analysis",IF(Table1[[#This Row],[Ratio]]&gt;=4,"Not Significant",IF(Table1[[#This Row],[Ratio]]&gt;=2,"Semi-Significant","Significant")))</f>
        <v>Needs Analysis</v>
      </c>
      <c r="W1129" s="1">
        <f>IF(Table1[[#This Row],[Cal Type]]&lt;&gt;"ACCREDITED 17025 WITH UNCERTAINTIES",0,"")</f>
        <v>0</v>
      </c>
      <c r="X1129" s="1" t="str">
        <f>IF(Table1[[#This Row],[DUT Read]]="","N/A",Table1[[#This Row],[Std Error]]+Table1[[#This Row],[DUT Read]]+Table1[[#This Row],[DUT Ucty]])</f>
        <v>N/A</v>
      </c>
      <c r="Y1129" s="1" t="str">
        <f>IF(Table1[[#This Row],[Std Read]]="","N/A",Table1[[#This Row],[Std Read]]+Table1[[#This Row],[Std Ucty]])</f>
        <v>N/A</v>
      </c>
      <c r="Z11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9" s="1" t="str">
        <f>IF(Table1[[#This Row],[Spec Type]]="","N/A",Table1[[#This Row],[Spec Type]])</f>
        <v>±</v>
      </c>
      <c r="AC1129" s="1" t="str">
        <f>IF(Table1[[#This Row],[Spec Type2]]="N/A","N/A",IF(AND(Table1[[#This Row],[DUT Adj Read]]&gt;=Table1[[#This Row],[Low Tol]],Table1[[#This Row],[DUT Adj Read]]&lt;=Table1[[#This Row],[High Tol]]),"Pass","Fail"))</f>
        <v>Fail</v>
      </c>
      <c r="AD1129" s="1" t="str">
        <f>IF(AND(Table1[[#This Row],[Spec Type2]]="N/A",Table1[[#This Row],[DUT Adj Read]]="N/A",Table1[[#This Row],[Std Adj Read]]="N/A"),"N/A",IF(Table1[[#This Row],[DUT Adj Read]]="N/A",IF(Table1[[#This Row],[Std Adj Read]]&gt;Table1[[#This Row],[Low Tol]],"Pass","Fail"),IF(Table1[[#This Row],[DUT Adj Read]]&gt;Table1[[#This Row],[Low Tol]],"Pass","Fail")))</f>
        <v>Pass</v>
      </c>
      <c r="AE1129" s="1" t="str">
        <f>IF(AND(Table1[[#This Row],[Spec Type2]]="N/A",Table1[[#This Row],[DUT Adj Read]]="N/A",Table1[[#This Row],[Std Adj Read]]="N/A"),"N/A",IF(Table1[[#This Row],[DUT Adj Read]]="N/A",IF(Table1[[#This Row],[Std Adj Read]]&lt;Table1[[#This Row],[High Tol]],"Pass","Fail"),IF(Table1[[#This Row],[DUT Adj Read]]&lt;Table1[[#This Row],[High Tol]],"Pass","Fail")))</f>
        <v>Fail</v>
      </c>
      <c r="AF1129" s="1" t="str">
        <f>IF(AND(Table1[[#This Row],[Spec Type2]]="N/A",Table1[[#This Row],[DUT Adj Read]]="N/A",Table1[[#This Row],[Std Adj Read]]="N/A"),"N/A",IF(Table1[[#This Row],[DUT Adj Read]]="N/A",IF(Table1[[#This Row],[Std Adj Read]]&gt;=Table1[[#This Row],[Low Tol]],"Pass","Fail"),IF(Table1[[#This Row],[DUT Adj Read]]&gt;=Table1[[#This Row],[Low Tol]],"Pass","Fail")))</f>
        <v>Pass</v>
      </c>
      <c r="AG1129" s="1" t="str">
        <f>IF(AND(Table1[[#This Row],[Spec Type2]]="N/A",Table1[[#This Row],[DUT Adj Read]]="N/A",Table1[[#This Row],[Std Adj Read]]="N/A"),"N/A",IF(Table1[[#This Row],[DUT Adj Read]]="N/A",IF(Table1[[#This Row],[Std Adj Read]]&lt;=Table1[[#This Row],[High Tol]],"Pass","Fail"),IF(Table1[[#This Row],[DUT Adj Read]]&lt;=Table1[[#This Row],[High Tol]],"Pass","Fail")))</f>
        <v>Fail</v>
      </c>
      <c r="AH11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9" s="1" t="b">
        <v>0</v>
      </c>
      <c r="AN1129" s="1" t="b">
        <v>0</v>
      </c>
      <c r="AO1129" s="1" t="b">
        <v>0</v>
      </c>
    </row>
    <row r="1130" spans="1:41" x14ac:dyDescent="0.25">
      <c r="A1130" s="10"/>
      <c r="B1130" s="10"/>
      <c r="C1130" s="10"/>
      <c r="D1130" s="10"/>
      <c r="E1130" s="10"/>
      <c r="F1130" s="10"/>
      <c r="G1130" s="10"/>
      <c r="H1130" s="10"/>
      <c r="I1130" s="1" t="str">
        <f t="shared" si="51"/>
        <v/>
      </c>
      <c r="J1130" s="1" t="s">
        <v>35</v>
      </c>
      <c r="K1130" s="1" t="str">
        <f t="shared" si="52"/>
        <v/>
      </c>
      <c r="L1130" s="1" t="str">
        <f t="shared" si="53"/>
        <v/>
      </c>
      <c r="M1130" s="1">
        <f>IF(OR(Table1[[#This Row],[Std Nom]]="",Table1[[#This Row],[Std Read]]=""),0,Table1[[#This Row],[Std Nom]]-Table1[[#This Row],[Std Read]])</f>
        <v>0</v>
      </c>
      <c r="N1130" s="1">
        <f>IF(Calculations!$F$5="ACCREDITED 17025 WITH UNCERTAINTIES",$N$10,0)</f>
        <v>0</v>
      </c>
      <c r="O1130" s="1" t="str">
        <f>IFERROR(Table1[[#This Row],[Std Nom]]-(_xlfn.XLOOKUP(Table1[[#This Row],[Manufacturer]]&amp;" "&amp;Table1[[#This Row],[Model]],Table13[MFR &amp; MDL],Table13[Tolerance % CW ],"")/100*Table1[[#This Row],[Std Nom]]),"")</f>
        <v/>
      </c>
      <c r="P1130" s="1" t="str">
        <f>IFERROR(Table1[[#This Row],[Std Nom]]+(_xlfn.XLOOKUP(Table1[[#This Row],[Manufacturer]]&amp;" "&amp;Table1[[#This Row],[Model]],Table13[MFR &amp; MDL],Table13[Tolerance % CW ],"")/100*Table1[[#This Row],[Std Nom]]),"")</f>
        <v/>
      </c>
      <c r="Q1130" s="1" t="e">
        <f>Table1[[#This Row],[High Tol]]-Table1[[#This Row],[Low Tol]]</f>
        <v>#VALUE!</v>
      </c>
      <c r="R1130" s="1">
        <f>2*Table1[[#This Row],[Std Error]]</f>
        <v>0</v>
      </c>
      <c r="S1130" s="1" t="str">
        <f>IF(Table1[[#This Row],[High Tol]]="","N/A",IFERROR(ABS(Table1[[#This Row],[Tol Span]]/Table1[[#This Row],[Error Span]]),"N/A"))</f>
        <v>N/A</v>
      </c>
      <c r="T1130" s="1" t="str">
        <f>IF(OR(Table1[[#This Row],[Low Tol]]="",Table1[[#This Row],[High Tol]]=""),"Needs Analysis",IF(Table1[[#This Row],[Ratio]]&gt;=4,"Not Significant",IF(Table1[[#This Row],[Ratio]]&gt;=2,"Semi-Significant","Significant")))</f>
        <v>Needs Analysis</v>
      </c>
      <c r="W1130" s="1">
        <f>IF(Table1[[#This Row],[Cal Type]]&lt;&gt;"ACCREDITED 17025 WITH UNCERTAINTIES",0,"")</f>
        <v>0</v>
      </c>
      <c r="X1130" s="1" t="str">
        <f>IF(Table1[[#This Row],[DUT Read]]="","N/A",Table1[[#This Row],[Std Error]]+Table1[[#This Row],[DUT Read]]+Table1[[#This Row],[DUT Ucty]])</f>
        <v>N/A</v>
      </c>
      <c r="Y1130" s="1" t="str">
        <f>IF(Table1[[#This Row],[Std Read]]="","N/A",Table1[[#This Row],[Std Read]]+Table1[[#This Row],[Std Ucty]])</f>
        <v>N/A</v>
      </c>
      <c r="Z11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0" s="1" t="str">
        <f>IF(Table1[[#This Row],[Spec Type]]="","N/A",Table1[[#This Row],[Spec Type]])</f>
        <v>±</v>
      </c>
      <c r="AC1130" s="1" t="str">
        <f>IF(Table1[[#This Row],[Spec Type2]]="N/A","N/A",IF(AND(Table1[[#This Row],[DUT Adj Read]]&gt;=Table1[[#This Row],[Low Tol]],Table1[[#This Row],[DUT Adj Read]]&lt;=Table1[[#This Row],[High Tol]]),"Pass","Fail"))</f>
        <v>Fail</v>
      </c>
      <c r="AD1130" s="1" t="str">
        <f>IF(AND(Table1[[#This Row],[Spec Type2]]="N/A",Table1[[#This Row],[DUT Adj Read]]="N/A",Table1[[#This Row],[Std Adj Read]]="N/A"),"N/A",IF(Table1[[#This Row],[DUT Adj Read]]="N/A",IF(Table1[[#This Row],[Std Adj Read]]&gt;Table1[[#This Row],[Low Tol]],"Pass","Fail"),IF(Table1[[#This Row],[DUT Adj Read]]&gt;Table1[[#This Row],[Low Tol]],"Pass","Fail")))</f>
        <v>Pass</v>
      </c>
      <c r="AE1130" s="1" t="str">
        <f>IF(AND(Table1[[#This Row],[Spec Type2]]="N/A",Table1[[#This Row],[DUT Adj Read]]="N/A",Table1[[#This Row],[Std Adj Read]]="N/A"),"N/A",IF(Table1[[#This Row],[DUT Adj Read]]="N/A",IF(Table1[[#This Row],[Std Adj Read]]&lt;Table1[[#This Row],[High Tol]],"Pass","Fail"),IF(Table1[[#This Row],[DUT Adj Read]]&lt;Table1[[#This Row],[High Tol]],"Pass","Fail")))</f>
        <v>Fail</v>
      </c>
      <c r="AF1130" s="1" t="str">
        <f>IF(AND(Table1[[#This Row],[Spec Type2]]="N/A",Table1[[#This Row],[DUT Adj Read]]="N/A",Table1[[#This Row],[Std Adj Read]]="N/A"),"N/A",IF(Table1[[#This Row],[DUT Adj Read]]="N/A",IF(Table1[[#This Row],[Std Adj Read]]&gt;=Table1[[#This Row],[Low Tol]],"Pass","Fail"),IF(Table1[[#This Row],[DUT Adj Read]]&gt;=Table1[[#This Row],[Low Tol]],"Pass","Fail")))</f>
        <v>Pass</v>
      </c>
      <c r="AG1130" s="1" t="str">
        <f>IF(AND(Table1[[#This Row],[Spec Type2]]="N/A",Table1[[#This Row],[DUT Adj Read]]="N/A",Table1[[#This Row],[Std Adj Read]]="N/A"),"N/A",IF(Table1[[#This Row],[DUT Adj Read]]="N/A",IF(Table1[[#This Row],[Std Adj Read]]&lt;=Table1[[#This Row],[High Tol]],"Pass","Fail"),IF(Table1[[#This Row],[DUT Adj Read]]&lt;=Table1[[#This Row],[High Tol]],"Pass","Fail")))</f>
        <v>Fail</v>
      </c>
      <c r="AH11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0" s="1" t="b">
        <v>0</v>
      </c>
      <c r="AN1130" s="1" t="b">
        <v>0</v>
      </c>
      <c r="AO1130" s="1" t="b">
        <v>0</v>
      </c>
    </row>
    <row r="1131" spans="1:41" x14ac:dyDescent="0.25">
      <c r="A1131" s="10"/>
      <c r="B1131" s="10"/>
      <c r="C1131" s="10"/>
      <c r="D1131" s="10"/>
      <c r="E1131" s="10"/>
      <c r="F1131" s="10"/>
      <c r="G1131" s="10"/>
      <c r="H1131" s="10"/>
      <c r="I1131" s="1" t="str">
        <f t="shared" si="51"/>
        <v/>
      </c>
      <c r="J1131" s="1" t="s">
        <v>35</v>
      </c>
      <c r="K1131" s="1" t="str">
        <f t="shared" si="52"/>
        <v/>
      </c>
      <c r="L1131" s="1" t="str">
        <f t="shared" si="53"/>
        <v/>
      </c>
      <c r="M1131" s="1">
        <f>IF(OR(Table1[[#This Row],[Std Nom]]="",Table1[[#This Row],[Std Read]]=""),0,Table1[[#This Row],[Std Nom]]-Table1[[#This Row],[Std Read]])</f>
        <v>0</v>
      </c>
      <c r="N1131" s="1">
        <f>IF(Calculations!$F$5="ACCREDITED 17025 WITH UNCERTAINTIES",$N$10,0)</f>
        <v>0</v>
      </c>
      <c r="O1131" s="1" t="str">
        <f>IFERROR(Table1[[#This Row],[Std Nom]]-(_xlfn.XLOOKUP(Table1[[#This Row],[Manufacturer]]&amp;" "&amp;Table1[[#This Row],[Model]],Table13[MFR &amp; MDL],Table13[Tolerance % CW ],"")/100*Table1[[#This Row],[Std Nom]]),"")</f>
        <v/>
      </c>
      <c r="P1131" s="1" t="str">
        <f>IFERROR(Table1[[#This Row],[Std Nom]]+(_xlfn.XLOOKUP(Table1[[#This Row],[Manufacturer]]&amp;" "&amp;Table1[[#This Row],[Model]],Table13[MFR &amp; MDL],Table13[Tolerance % CW ],"")/100*Table1[[#This Row],[Std Nom]]),"")</f>
        <v/>
      </c>
      <c r="Q1131" s="1" t="e">
        <f>Table1[[#This Row],[High Tol]]-Table1[[#This Row],[Low Tol]]</f>
        <v>#VALUE!</v>
      </c>
      <c r="R1131" s="1">
        <f>2*Table1[[#This Row],[Std Error]]</f>
        <v>0</v>
      </c>
      <c r="S1131" s="1" t="str">
        <f>IF(Table1[[#This Row],[High Tol]]="","N/A",IFERROR(ABS(Table1[[#This Row],[Tol Span]]/Table1[[#This Row],[Error Span]]),"N/A"))</f>
        <v>N/A</v>
      </c>
      <c r="T1131" s="1" t="str">
        <f>IF(OR(Table1[[#This Row],[Low Tol]]="",Table1[[#This Row],[High Tol]]=""),"Needs Analysis",IF(Table1[[#This Row],[Ratio]]&gt;=4,"Not Significant",IF(Table1[[#This Row],[Ratio]]&gt;=2,"Semi-Significant","Significant")))</f>
        <v>Needs Analysis</v>
      </c>
      <c r="W1131" s="1">
        <f>IF(Table1[[#This Row],[Cal Type]]&lt;&gt;"ACCREDITED 17025 WITH UNCERTAINTIES",0,"")</f>
        <v>0</v>
      </c>
      <c r="X1131" s="1" t="str">
        <f>IF(Table1[[#This Row],[DUT Read]]="","N/A",Table1[[#This Row],[Std Error]]+Table1[[#This Row],[DUT Read]]+Table1[[#This Row],[DUT Ucty]])</f>
        <v>N/A</v>
      </c>
      <c r="Y1131" s="1" t="str">
        <f>IF(Table1[[#This Row],[Std Read]]="","N/A",Table1[[#This Row],[Std Read]]+Table1[[#This Row],[Std Ucty]])</f>
        <v>N/A</v>
      </c>
      <c r="Z11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1" s="1" t="str">
        <f>IF(Table1[[#This Row],[Spec Type]]="","N/A",Table1[[#This Row],[Spec Type]])</f>
        <v>±</v>
      </c>
      <c r="AC1131" s="1" t="str">
        <f>IF(Table1[[#This Row],[Spec Type2]]="N/A","N/A",IF(AND(Table1[[#This Row],[DUT Adj Read]]&gt;=Table1[[#This Row],[Low Tol]],Table1[[#This Row],[DUT Adj Read]]&lt;=Table1[[#This Row],[High Tol]]),"Pass","Fail"))</f>
        <v>Fail</v>
      </c>
      <c r="AD1131" s="1" t="str">
        <f>IF(AND(Table1[[#This Row],[Spec Type2]]="N/A",Table1[[#This Row],[DUT Adj Read]]="N/A",Table1[[#This Row],[Std Adj Read]]="N/A"),"N/A",IF(Table1[[#This Row],[DUT Adj Read]]="N/A",IF(Table1[[#This Row],[Std Adj Read]]&gt;Table1[[#This Row],[Low Tol]],"Pass","Fail"),IF(Table1[[#This Row],[DUT Adj Read]]&gt;Table1[[#This Row],[Low Tol]],"Pass","Fail")))</f>
        <v>Pass</v>
      </c>
      <c r="AE1131" s="1" t="str">
        <f>IF(AND(Table1[[#This Row],[Spec Type2]]="N/A",Table1[[#This Row],[DUT Adj Read]]="N/A",Table1[[#This Row],[Std Adj Read]]="N/A"),"N/A",IF(Table1[[#This Row],[DUT Adj Read]]="N/A",IF(Table1[[#This Row],[Std Adj Read]]&lt;Table1[[#This Row],[High Tol]],"Pass","Fail"),IF(Table1[[#This Row],[DUT Adj Read]]&lt;Table1[[#This Row],[High Tol]],"Pass","Fail")))</f>
        <v>Fail</v>
      </c>
      <c r="AF1131" s="1" t="str">
        <f>IF(AND(Table1[[#This Row],[Spec Type2]]="N/A",Table1[[#This Row],[DUT Adj Read]]="N/A",Table1[[#This Row],[Std Adj Read]]="N/A"),"N/A",IF(Table1[[#This Row],[DUT Adj Read]]="N/A",IF(Table1[[#This Row],[Std Adj Read]]&gt;=Table1[[#This Row],[Low Tol]],"Pass","Fail"),IF(Table1[[#This Row],[DUT Adj Read]]&gt;=Table1[[#This Row],[Low Tol]],"Pass","Fail")))</f>
        <v>Pass</v>
      </c>
      <c r="AG1131" s="1" t="str">
        <f>IF(AND(Table1[[#This Row],[Spec Type2]]="N/A",Table1[[#This Row],[DUT Adj Read]]="N/A",Table1[[#This Row],[Std Adj Read]]="N/A"),"N/A",IF(Table1[[#This Row],[DUT Adj Read]]="N/A",IF(Table1[[#This Row],[Std Adj Read]]&lt;=Table1[[#This Row],[High Tol]],"Pass","Fail"),IF(Table1[[#This Row],[DUT Adj Read]]&lt;=Table1[[#This Row],[High Tol]],"Pass","Fail")))</f>
        <v>Fail</v>
      </c>
      <c r="AH11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1" s="1" t="b">
        <v>0</v>
      </c>
      <c r="AN1131" s="1" t="b">
        <v>0</v>
      </c>
      <c r="AO1131" s="1" t="b">
        <v>0</v>
      </c>
    </row>
    <row r="1132" spans="1:41" x14ac:dyDescent="0.25">
      <c r="A1132" s="10"/>
      <c r="B1132" s="10"/>
      <c r="C1132" s="10"/>
      <c r="D1132" s="10"/>
      <c r="E1132" s="10"/>
      <c r="F1132" s="10"/>
      <c r="G1132" s="10"/>
      <c r="H1132" s="10"/>
      <c r="I1132" s="1" t="str">
        <f t="shared" si="51"/>
        <v/>
      </c>
      <c r="J1132" s="1" t="s">
        <v>35</v>
      </c>
      <c r="K1132" s="1" t="str">
        <f t="shared" si="52"/>
        <v/>
      </c>
      <c r="L1132" s="1" t="str">
        <f t="shared" si="53"/>
        <v/>
      </c>
      <c r="M1132" s="1">
        <f>IF(OR(Table1[[#This Row],[Std Nom]]="",Table1[[#This Row],[Std Read]]=""),0,Table1[[#This Row],[Std Nom]]-Table1[[#This Row],[Std Read]])</f>
        <v>0</v>
      </c>
      <c r="N1132" s="1">
        <f>IF(Calculations!$F$5="ACCREDITED 17025 WITH UNCERTAINTIES",$N$10,0)</f>
        <v>0</v>
      </c>
      <c r="O1132" s="1" t="str">
        <f>IFERROR(Table1[[#This Row],[Std Nom]]-(_xlfn.XLOOKUP(Table1[[#This Row],[Manufacturer]]&amp;" "&amp;Table1[[#This Row],[Model]],Table13[MFR &amp; MDL],Table13[Tolerance % CW ],"")/100*Table1[[#This Row],[Std Nom]]),"")</f>
        <v/>
      </c>
      <c r="P1132" s="1" t="str">
        <f>IFERROR(Table1[[#This Row],[Std Nom]]+(_xlfn.XLOOKUP(Table1[[#This Row],[Manufacturer]]&amp;" "&amp;Table1[[#This Row],[Model]],Table13[MFR &amp; MDL],Table13[Tolerance % CW ],"")/100*Table1[[#This Row],[Std Nom]]),"")</f>
        <v/>
      </c>
      <c r="Q1132" s="1" t="e">
        <f>Table1[[#This Row],[High Tol]]-Table1[[#This Row],[Low Tol]]</f>
        <v>#VALUE!</v>
      </c>
      <c r="R1132" s="1">
        <f>2*Table1[[#This Row],[Std Error]]</f>
        <v>0</v>
      </c>
      <c r="S1132" s="1" t="str">
        <f>IF(Table1[[#This Row],[High Tol]]="","N/A",IFERROR(ABS(Table1[[#This Row],[Tol Span]]/Table1[[#This Row],[Error Span]]),"N/A"))</f>
        <v>N/A</v>
      </c>
      <c r="T1132" s="1" t="str">
        <f>IF(OR(Table1[[#This Row],[Low Tol]]="",Table1[[#This Row],[High Tol]]=""),"Needs Analysis",IF(Table1[[#This Row],[Ratio]]&gt;=4,"Not Significant",IF(Table1[[#This Row],[Ratio]]&gt;=2,"Semi-Significant","Significant")))</f>
        <v>Needs Analysis</v>
      </c>
      <c r="W1132" s="1">
        <f>IF(Table1[[#This Row],[Cal Type]]&lt;&gt;"ACCREDITED 17025 WITH UNCERTAINTIES",0,"")</f>
        <v>0</v>
      </c>
      <c r="X1132" s="1" t="str">
        <f>IF(Table1[[#This Row],[DUT Read]]="","N/A",Table1[[#This Row],[Std Error]]+Table1[[#This Row],[DUT Read]]+Table1[[#This Row],[DUT Ucty]])</f>
        <v>N/A</v>
      </c>
      <c r="Y1132" s="1" t="str">
        <f>IF(Table1[[#This Row],[Std Read]]="","N/A",Table1[[#This Row],[Std Read]]+Table1[[#This Row],[Std Ucty]])</f>
        <v>N/A</v>
      </c>
      <c r="Z11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2" s="1" t="str">
        <f>IF(Table1[[#This Row],[Spec Type]]="","N/A",Table1[[#This Row],[Spec Type]])</f>
        <v>±</v>
      </c>
      <c r="AC1132" s="1" t="str">
        <f>IF(Table1[[#This Row],[Spec Type2]]="N/A","N/A",IF(AND(Table1[[#This Row],[DUT Adj Read]]&gt;=Table1[[#This Row],[Low Tol]],Table1[[#This Row],[DUT Adj Read]]&lt;=Table1[[#This Row],[High Tol]]),"Pass","Fail"))</f>
        <v>Fail</v>
      </c>
      <c r="AD1132" s="1" t="str">
        <f>IF(AND(Table1[[#This Row],[Spec Type2]]="N/A",Table1[[#This Row],[DUT Adj Read]]="N/A",Table1[[#This Row],[Std Adj Read]]="N/A"),"N/A",IF(Table1[[#This Row],[DUT Adj Read]]="N/A",IF(Table1[[#This Row],[Std Adj Read]]&gt;Table1[[#This Row],[Low Tol]],"Pass","Fail"),IF(Table1[[#This Row],[DUT Adj Read]]&gt;Table1[[#This Row],[Low Tol]],"Pass","Fail")))</f>
        <v>Pass</v>
      </c>
      <c r="AE1132" s="1" t="str">
        <f>IF(AND(Table1[[#This Row],[Spec Type2]]="N/A",Table1[[#This Row],[DUT Adj Read]]="N/A",Table1[[#This Row],[Std Adj Read]]="N/A"),"N/A",IF(Table1[[#This Row],[DUT Adj Read]]="N/A",IF(Table1[[#This Row],[Std Adj Read]]&lt;Table1[[#This Row],[High Tol]],"Pass","Fail"),IF(Table1[[#This Row],[DUT Adj Read]]&lt;Table1[[#This Row],[High Tol]],"Pass","Fail")))</f>
        <v>Fail</v>
      </c>
      <c r="AF1132" s="1" t="str">
        <f>IF(AND(Table1[[#This Row],[Spec Type2]]="N/A",Table1[[#This Row],[DUT Adj Read]]="N/A",Table1[[#This Row],[Std Adj Read]]="N/A"),"N/A",IF(Table1[[#This Row],[DUT Adj Read]]="N/A",IF(Table1[[#This Row],[Std Adj Read]]&gt;=Table1[[#This Row],[Low Tol]],"Pass","Fail"),IF(Table1[[#This Row],[DUT Adj Read]]&gt;=Table1[[#This Row],[Low Tol]],"Pass","Fail")))</f>
        <v>Pass</v>
      </c>
      <c r="AG1132" s="1" t="str">
        <f>IF(AND(Table1[[#This Row],[Spec Type2]]="N/A",Table1[[#This Row],[DUT Adj Read]]="N/A",Table1[[#This Row],[Std Adj Read]]="N/A"),"N/A",IF(Table1[[#This Row],[DUT Adj Read]]="N/A",IF(Table1[[#This Row],[Std Adj Read]]&lt;=Table1[[#This Row],[High Tol]],"Pass","Fail"),IF(Table1[[#This Row],[DUT Adj Read]]&lt;=Table1[[#This Row],[High Tol]],"Pass","Fail")))</f>
        <v>Fail</v>
      </c>
      <c r="AH11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2" s="1" t="b">
        <v>0</v>
      </c>
      <c r="AN1132" s="1" t="b">
        <v>0</v>
      </c>
      <c r="AO1132" s="1" t="b">
        <v>0</v>
      </c>
    </row>
    <row r="1133" spans="1:41" x14ac:dyDescent="0.25">
      <c r="A1133" s="10"/>
      <c r="B1133" s="10"/>
      <c r="C1133" s="10"/>
      <c r="D1133" s="10"/>
      <c r="E1133" s="10"/>
      <c r="F1133" s="10"/>
      <c r="G1133" s="10"/>
      <c r="H1133" s="10"/>
      <c r="I1133" s="1" t="str">
        <f t="shared" si="51"/>
        <v/>
      </c>
      <c r="J1133" s="1" t="s">
        <v>35</v>
      </c>
      <c r="K1133" s="1" t="str">
        <f t="shared" si="52"/>
        <v/>
      </c>
      <c r="L1133" s="1" t="str">
        <f t="shared" si="53"/>
        <v/>
      </c>
      <c r="M1133" s="1">
        <f>IF(OR(Table1[[#This Row],[Std Nom]]="",Table1[[#This Row],[Std Read]]=""),0,Table1[[#This Row],[Std Nom]]-Table1[[#This Row],[Std Read]])</f>
        <v>0</v>
      </c>
      <c r="N1133" s="1">
        <f>IF(Calculations!$F$5="ACCREDITED 17025 WITH UNCERTAINTIES",$N$10,0)</f>
        <v>0</v>
      </c>
      <c r="O1133" s="1" t="str">
        <f>IFERROR(Table1[[#This Row],[Std Nom]]-(_xlfn.XLOOKUP(Table1[[#This Row],[Manufacturer]]&amp;" "&amp;Table1[[#This Row],[Model]],Table13[MFR &amp; MDL],Table13[Tolerance % CW ],"")/100*Table1[[#This Row],[Std Nom]]),"")</f>
        <v/>
      </c>
      <c r="P1133" s="1" t="str">
        <f>IFERROR(Table1[[#This Row],[Std Nom]]+(_xlfn.XLOOKUP(Table1[[#This Row],[Manufacturer]]&amp;" "&amp;Table1[[#This Row],[Model]],Table13[MFR &amp; MDL],Table13[Tolerance % CW ],"")/100*Table1[[#This Row],[Std Nom]]),"")</f>
        <v/>
      </c>
      <c r="Q1133" s="1" t="e">
        <f>Table1[[#This Row],[High Tol]]-Table1[[#This Row],[Low Tol]]</f>
        <v>#VALUE!</v>
      </c>
      <c r="R1133" s="1">
        <f>2*Table1[[#This Row],[Std Error]]</f>
        <v>0</v>
      </c>
      <c r="S1133" s="1" t="str">
        <f>IF(Table1[[#This Row],[High Tol]]="","N/A",IFERROR(ABS(Table1[[#This Row],[Tol Span]]/Table1[[#This Row],[Error Span]]),"N/A"))</f>
        <v>N/A</v>
      </c>
      <c r="T1133" s="1" t="str">
        <f>IF(OR(Table1[[#This Row],[Low Tol]]="",Table1[[#This Row],[High Tol]]=""),"Needs Analysis",IF(Table1[[#This Row],[Ratio]]&gt;=4,"Not Significant",IF(Table1[[#This Row],[Ratio]]&gt;=2,"Semi-Significant","Significant")))</f>
        <v>Needs Analysis</v>
      </c>
      <c r="W1133" s="1">
        <f>IF(Table1[[#This Row],[Cal Type]]&lt;&gt;"ACCREDITED 17025 WITH UNCERTAINTIES",0,"")</f>
        <v>0</v>
      </c>
      <c r="X1133" s="1" t="str">
        <f>IF(Table1[[#This Row],[DUT Read]]="","N/A",Table1[[#This Row],[Std Error]]+Table1[[#This Row],[DUT Read]]+Table1[[#This Row],[DUT Ucty]])</f>
        <v>N/A</v>
      </c>
      <c r="Y1133" s="1" t="str">
        <f>IF(Table1[[#This Row],[Std Read]]="","N/A",Table1[[#This Row],[Std Read]]+Table1[[#This Row],[Std Ucty]])</f>
        <v>N/A</v>
      </c>
      <c r="Z11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3" s="1" t="str">
        <f>IF(Table1[[#This Row],[Spec Type]]="","N/A",Table1[[#This Row],[Spec Type]])</f>
        <v>±</v>
      </c>
      <c r="AC1133" s="1" t="str">
        <f>IF(Table1[[#This Row],[Spec Type2]]="N/A","N/A",IF(AND(Table1[[#This Row],[DUT Adj Read]]&gt;=Table1[[#This Row],[Low Tol]],Table1[[#This Row],[DUT Adj Read]]&lt;=Table1[[#This Row],[High Tol]]),"Pass","Fail"))</f>
        <v>Fail</v>
      </c>
      <c r="AD1133" s="1" t="str">
        <f>IF(AND(Table1[[#This Row],[Spec Type2]]="N/A",Table1[[#This Row],[DUT Adj Read]]="N/A",Table1[[#This Row],[Std Adj Read]]="N/A"),"N/A",IF(Table1[[#This Row],[DUT Adj Read]]="N/A",IF(Table1[[#This Row],[Std Adj Read]]&gt;Table1[[#This Row],[Low Tol]],"Pass","Fail"),IF(Table1[[#This Row],[DUT Adj Read]]&gt;Table1[[#This Row],[Low Tol]],"Pass","Fail")))</f>
        <v>Pass</v>
      </c>
      <c r="AE1133" s="1" t="str">
        <f>IF(AND(Table1[[#This Row],[Spec Type2]]="N/A",Table1[[#This Row],[DUT Adj Read]]="N/A",Table1[[#This Row],[Std Adj Read]]="N/A"),"N/A",IF(Table1[[#This Row],[DUT Adj Read]]="N/A",IF(Table1[[#This Row],[Std Adj Read]]&lt;Table1[[#This Row],[High Tol]],"Pass","Fail"),IF(Table1[[#This Row],[DUT Adj Read]]&lt;Table1[[#This Row],[High Tol]],"Pass","Fail")))</f>
        <v>Fail</v>
      </c>
      <c r="AF1133" s="1" t="str">
        <f>IF(AND(Table1[[#This Row],[Spec Type2]]="N/A",Table1[[#This Row],[DUT Adj Read]]="N/A",Table1[[#This Row],[Std Adj Read]]="N/A"),"N/A",IF(Table1[[#This Row],[DUT Adj Read]]="N/A",IF(Table1[[#This Row],[Std Adj Read]]&gt;=Table1[[#This Row],[Low Tol]],"Pass","Fail"),IF(Table1[[#This Row],[DUT Adj Read]]&gt;=Table1[[#This Row],[Low Tol]],"Pass","Fail")))</f>
        <v>Pass</v>
      </c>
      <c r="AG1133" s="1" t="str">
        <f>IF(AND(Table1[[#This Row],[Spec Type2]]="N/A",Table1[[#This Row],[DUT Adj Read]]="N/A",Table1[[#This Row],[Std Adj Read]]="N/A"),"N/A",IF(Table1[[#This Row],[DUT Adj Read]]="N/A",IF(Table1[[#This Row],[Std Adj Read]]&lt;=Table1[[#This Row],[High Tol]],"Pass","Fail"),IF(Table1[[#This Row],[DUT Adj Read]]&lt;=Table1[[#This Row],[High Tol]],"Pass","Fail")))</f>
        <v>Fail</v>
      </c>
      <c r="AH11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3" s="1" t="b">
        <v>0</v>
      </c>
      <c r="AN1133" s="1" t="b">
        <v>0</v>
      </c>
      <c r="AO1133" s="1" t="b">
        <v>0</v>
      </c>
    </row>
    <row r="1134" spans="1:41" x14ac:dyDescent="0.25">
      <c r="A1134" s="10"/>
      <c r="B1134" s="10"/>
      <c r="C1134" s="10"/>
      <c r="D1134" s="10"/>
      <c r="E1134" s="10"/>
      <c r="F1134" s="10"/>
      <c r="G1134" s="10"/>
      <c r="H1134" s="10"/>
      <c r="I1134" s="1" t="str">
        <f t="shared" si="51"/>
        <v/>
      </c>
      <c r="J1134" s="1" t="s">
        <v>35</v>
      </c>
      <c r="K1134" s="1" t="str">
        <f t="shared" si="52"/>
        <v/>
      </c>
      <c r="L1134" s="1" t="str">
        <f t="shared" si="53"/>
        <v/>
      </c>
      <c r="M1134" s="1">
        <f>IF(OR(Table1[[#This Row],[Std Nom]]="",Table1[[#This Row],[Std Read]]=""),0,Table1[[#This Row],[Std Nom]]-Table1[[#This Row],[Std Read]])</f>
        <v>0</v>
      </c>
      <c r="N1134" s="1">
        <f>IF(Calculations!$F$5="ACCREDITED 17025 WITH UNCERTAINTIES",$N$10,0)</f>
        <v>0</v>
      </c>
      <c r="O1134" s="1" t="str">
        <f>IFERROR(Table1[[#This Row],[Std Nom]]-(_xlfn.XLOOKUP(Table1[[#This Row],[Manufacturer]]&amp;" "&amp;Table1[[#This Row],[Model]],Table13[MFR &amp; MDL],Table13[Tolerance % CW ],"")/100*Table1[[#This Row],[Std Nom]]),"")</f>
        <v/>
      </c>
      <c r="P1134" s="1" t="str">
        <f>IFERROR(Table1[[#This Row],[Std Nom]]+(_xlfn.XLOOKUP(Table1[[#This Row],[Manufacturer]]&amp;" "&amp;Table1[[#This Row],[Model]],Table13[MFR &amp; MDL],Table13[Tolerance % CW ],"")/100*Table1[[#This Row],[Std Nom]]),"")</f>
        <v/>
      </c>
      <c r="Q1134" s="1" t="e">
        <f>Table1[[#This Row],[High Tol]]-Table1[[#This Row],[Low Tol]]</f>
        <v>#VALUE!</v>
      </c>
      <c r="R1134" s="1">
        <f>2*Table1[[#This Row],[Std Error]]</f>
        <v>0</v>
      </c>
      <c r="S1134" s="1" t="str">
        <f>IF(Table1[[#This Row],[High Tol]]="","N/A",IFERROR(ABS(Table1[[#This Row],[Tol Span]]/Table1[[#This Row],[Error Span]]),"N/A"))</f>
        <v>N/A</v>
      </c>
      <c r="T1134" s="1" t="str">
        <f>IF(OR(Table1[[#This Row],[Low Tol]]="",Table1[[#This Row],[High Tol]]=""),"Needs Analysis",IF(Table1[[#This Row],[Ratio]]&gt;=4,"Not Significant",IF(Table1[[#This Row],[Ratio]]&gt;=2,"Semi-Significant","Significant")))</f>
        <v>Needs Analysis</v>
      </c>
      <c r="W1134" s="1">
        <f>IF(Table1[[#This Row],[Cal Type]]&lt;&gt;"ACCREDITED 17025 WITH UNCERTAINTIES",0,"")</f>
        <v>0</v>
      </c>
      <c r="X1134" s="1" t="str">
        <f>IF(Table1[[#This Row],[DUT Read]]="","N/A",Table1[[#This Row],[Std Error]]+Table1[[#This Row],[DUT Read]]+Table1[[#This Row],[DUT Ucty]])</f>
        <v>N/A</v>
      </c>
      <c r="Y1134" s="1" t="str">
        <f>IF(Table1[[#This Row],[Std Read]]="","N/A",Table1[[#This Row],[Std Read]]+Table1[[#This Row],[Std Ucty]])</f>
        <v>N/A</v>
      </c>
      <c r="Z11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4" s="1" t="str">
        <f>IF(Table1[[#This Row],[Spec Type]]="","N/A",Table1[[#This Row],[Spec Type]])</f>
        <v>±</v>
      </c>
      <c r="AC1134" s="1" t="str">
        <f>IF(Table1[[#This Row],[Spec Type2]]="N/A","N/A",IF(AND(Table1[[#This Row],[DUT Adj Read]]&gt;=Table1[[#This Row],[Low Tol]],Table1[[#This Row],[DUT Adj Read]]&lt;=Table1[[#This Row],[High Tol]]),"Pass","Fail"))</f>
        <v>Fail</v>
      </c>
      <c r="AD1134" s="1" t="str">
        <f>IF(AND(Table1[[#This Row],[Spec Type2]]="N/A",Table1[[#This Row],[DUT Adj Read]]="N/A",Table1[[#This Row],[Std Adj Read]]="N/A"),"N/A",IF(Table1[[#This Row],[DUT Adj Read]]="N/A",IF(Table1[[#This Row],[Std Adj Read]]&gt;Table1[[#This Row],[Low Tol]],"Pass","Fail"),IF(Table1[[#This Row],[DUT Adj Read]]&gt;Table1[[#This Row],[Low Tol]],"Pass","Fail")))</f>
        <v>Pass</v>
      </c>
      <c r="AE1134" s="1" t="str">
        <f>IF(AND(Table1[[#This Row],[Spec Type2]]="N/A",Table1[[#This Row],[DUT Adj Read]]="N/A",Table1[[#This Row],[Std Adj Read]]="N/A"),"N/A",IF(Table1[[#This Row],[DUT Adj Read]]="N/A",IF(Table1[[#This Row],[Std Adj Read]]&lt;Table1[[#This Row],[High Tol]],"Pass","Fail"),IF(Table1[[#This Row],[DUT Adj Read]]&lt;Table1[[#This Row],[High Tol]],"Pass","Fail")))</f>
        <v>Fail</v>
      </c>
      <c r="AF1134" s="1" t="str">
        <f>IF(AND(Table1[[#This Row],[Spec Type2]]="N/A",Table1[[#This Row],[DUT Adj Read]]="N/A",Table1[[#This Row],[Std Adj Read]]="N/A"),"N/A",IF(Table1[[#This Row],[DUT Adj Read]]="N/A",IF(Table1[[#This Row],[Std Adj Read]]&gt;=Table1[[#This Row],[Low Tol]],"Pass","Fail"),IF(Table1[[#This Row],[DUT Adj Read]]&gt;=Table1[[#This Row],[Low Tol]],"Pass","Fail")))</f>
        <v>Pass</v>
      </c>
      <c r="AG1134" s="1" t="str">
        <f>IF(AND(Table1[[#This Row],[Spec Type2]]="N/A",Table1[[#This Row],[DUT Adj Read]]="N/A",Table1[[#This Row],[Std Adj Read]]="N/A"),"N/A",IF(Table1[[#This Row],[DUT Adj Read]]="N/A",IF(Table1[[#This Row],[Std Adj Read]]&lt;=Table1[[#This Row],[High Tol]],"Pass","Fail"),IF(Table1[[#This Row],[DUT Adj Read]]&lt;=Table1[[#This Row],[High Tol]],"Pass","Fail")))</f>
        <v>Fail</v>
      </c>
      <c r="AH11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4" s="1" t="b">
        <v>0</v>
      </c>
      <c r="AN1134" s="1" t="b">
        <v>0</v>
      </c>
      <c r="AO1134" s="1" t="b">
        <v>0</v>
      </c>
    </row>
    <row r="1135" spans="1:41" x14ac:dyDescent="0.25">
      <c r="A1135" s="10"/>
      <c r="B1135" s="10"/>
      <c r="C1135" s="10"/>
      <c r="D1135" s="10"/>
      <c r="E1135" s="10"/>
      <c r="F1135" s="10"/>
      <c r="G1135" s="10"/>
      <c r="H1135" s="10"/>
      <c r="I1135" s="1" t="str">
        <f t="shared" si="51"/>
        <v/>
      </c>
      <c r="J1135" s="1" t="s">
        <v>35</v>
      </c>
      <c r="K1135" s="1" t="str">
        <f t="shared" si="52"/>
        <v/>
      </c>
      <c r="L1135" s="1" t="str">
        <f t="shared" si="53"/>
        <v/>
      </c>
      <c r="M1135" s="1">
        <f>IF(OR(Table1[[#This Row],[Std Nom]]="",Table1[[#This Row],[Std Read]]=""),0,Table1[[#This Row],[Std Nom]]-Table1[[#This Row],[Std Read]])</f>
        <v>0</v>
      </c>
      <c r="N1135" s="1">
        <f>IF(Calculations!$F$5="ACCREDITED 17025 WITH UNCERTAINTIES",$N$10,0)</f>
        <v>0</v>
      </c>
      <c r="O1135" s="1" t="str">
        <f>IFERROR(Table1[[#This Row],[Std Nom]]-(_xlfn.XLOOKUP(Table1[[#This Row],[Manufacturer]]&amp;" "&amp;Table1[[#This Row],[Model]],Table13[MFR &amp; MDL],Table13[Tolerance % CW ],"")/100*Table1[[#This Row],[Std Nom]]),"")</f>
        <v/>
      </c>
      <c r="P1135" s="1" t="str">
        <f>IFERROR(Table1[[#This Row],[Std Nom]]+(_xlfn.XLOOKUP(Table1[[#This Row],[Manufacturer]]&amp;" "&amp;Table1[[#This Row],[Model]],Table13[MFR &amp; MDL],Table13[Tolerance % CW ],"")/100*Table1[[#This Row],[Std Nom]]),"")</f>
        <v/>
      </c>
      <c r="Q1135" s="1" t="e">
        <f>Table1[[#This Row],[High Tol]]-Table1[[#This Row],[Low Tol]]</f>
        <v>#VALUE!</v>
      </c>
      <c r="R1135" s="1">
        <f>2*Table1[[#This Row],[Std Error]]</f>
        <v>0</v>
      </c>
      <c r="S1135" s="1" t="str">
        <f>IF(Table1[[#This Row],[High Tol]]="","N/A",IFERROR(ABS(Table1[[#This Row],[Tol Span]]/Table1[[#This Row],[Error Span]]),"N/A"))</f>
        <v>N/A</v>
      </c>
      <c r="T1135" s="1" t="str">
        <f>IF(OR(Table1[[#This Row],[Low Tol]]="",Table1[[#This Row],[High Tol]]=""),"Needs Analysis",IF(Table1[[#This Row],[Ratio]]&gt;=4,"Not Significant",IF(Table1[[#This Row],[Ratio]]&gt;=2,"Semi-Significant","Significant")))</f>
        <v>Needs Analysis</v>
      </c>
      <c r="W1135" s="1">
        <f>IF(Table1[[#This Row],[Cal Type]]&lt;&gt;"ACCREDITED 17025 WITH UNCERTAINTIES",0,"")</f>
        <v>0</v>
      </c>
      <c r="X1135" s="1" t="str">
        <f>IF(Table1[[#This Row],[DUT Read]]="","N/A",Table1[[#This Row],[Std Error]]+Table1[[#This Row],[DUT Read]]+Table1[[#This Row],[DUT Ucty]])</f>
        <v>N/A</v>
      </c>
      <c r="Y1135" s="1" t="str">
        <f>IF(Table1[[#This Row],[Std Read]]="","N/A",Table1[[#This Row],[Std Read]]+Table1[[#This Row],[Std Ucty]])</f>
        <v>N/A</v>
      </c>
      <c r="Z11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5" s="1" t="str">
        <f>IF(Table1[[#This Row],[Spec Type]]="","N/A",Table1[[#This Row],[Spec Type]])</f>
        <v>±</v>
      </c>
      <c r="AC1135" s="1" t="str">
        <f>IF(Table1[[#This Row],[Spec Type2]]="N/A","N/A",IF(AND(Table1[[#This Row],[DUT Adj Read]]&gt;=Table1[[#This Row],[Low Tol]],Table1[[#This Row],[DUT Adj Read]]&lt;=Table1[[#This Row],[High Tol]]),"Pass","Fail"))</f>
        <v>Fail</v>
      </c>
      <c r="AD1135" s="1" t="str">
        <f>IF(AND(Table1[[#This Row],[Spec Type2]]="N/A",Table1[[#This Row],[DUT Adj Read]]="N/A",Table1[[#This Row],[Std Adj Read]]="N/A"),"N/A",IF(Table1[[#This Row],[DUT Adj Read]]="N/A",IF(Table1[[#This Row],[Std Adj Read]]&gt;Table1[[#This Row],[Low Tol]],"Pass","Fail"),IF(Table1[[#This Row],[DUT Adj Read]]&gt;Table1[[#This Row],[Low Tol]],"Pass","Fail")))</f>
        <v>Pass</v>
      </c>
      <c r="AE1135" s="1" t="str">
        <f>IF(AND(Table1[[#This Row],[Spec Type2]]="N/A",Table1[[#This Row],[DUT Adj Read]]="N/A",Table1[[#This Row],[Std Adj Read]]="N/A"),"N/A",IF(Table1[[#This Row],[DUT Adj Read]]="N/A",IF(Table1[[#This Row],[Std Adj Read]]&lt;Table1[[#This Row],[High Tol]],"Pass","Fail"),IF(Table1[[#This Row],[DUT Adj Read]]&lt;Table1[[#This Row],[High Tol]],"Pass","Fail")))</f>
        <v>Fail</v>
      </c>
      <c r="AF1135" s="1" t="str">
        <f>IF(AND(Table1[[#This Row],[Spec Type2]]="N/A",Table1[[#This Row],[DUT Adj Read]]="N/A",Table1[[#This Row],[Std Adj Read]]="N/A"),"N/A",IF(Table1[[#This Row],[DUT Adj Read]]="N/A",IF(Table1[[#This Row],[Std Adj Read]]&gt;=Table1[[#This Row],[Low Tol]],"Pass","Fail"),IF(Table1[[#This Row],[DUT Adj Read]]&gt;=Table1[[#This Row],[Low Tol]],"Pass","Fail")))</f>
        <v>Pass</v>
      </c>
      <c r="AG1135" s="1" t="str">
        <f>IF(AND(Table1[[#This Row],[Spec Type2]]="N/A",Table1[[#This Row],[DUT Adj Read]]="N/A",Table1[[#This Row],[Std Adj Read]]="N/A"),"N/A",IF(Table1[[#This Row],[DUT Adj Read]]="N/A",IF(Table1[[#This Row],[Std Adj Read]]&lt;=Table1[[#This Row],[High Tol]],"Pass","Fail"),IF(Table1[[#This Row],[DUT Adj Read]]&lt;=Table1[[#This Row],[High Tol]],"Pass","Fail")))</f>
        <v>Fail</v>
      </c>
      <c r="AH11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5" s="1" t="b">
        <v>0</v>
      </c>
      <c r="AN1135" s="1" t="b">
        <v>0</v>
      </c>
      <c r="AO1135" s="1" t="b">
        <v>0</v>
      </c>
    </row>
    <row r="1136" spans="1:41" x14ac:dyDescent="0.25">
      <c r="A1136" s="10"/>
      <c r="B1136" s="10"/>
      <c r="C1136" s="10"/>
      <c r="D1136" s="10"/>
      <c r="E1136" s="10"/>
      <c r="F1136" s="10"/>
      <c r="G1136" s="10"/>
      <c r="H1136" s="10"/>
      <c r="I1136" s="1" t="str">
        <f t="shared" si="51"/>
        <v/>
      </c>
      <c r="J1136" s="1" t="s">
        <v>35</v>
      </c>
      <c r="K1136" s="1" t="str">
        <f t="shared" si="52"/>
        <v/>
      </c>
      <c r="L1136" s="1" t="str">
        <f t="shared" si="53"/>
        <v/>
      </c>
      <c r="M1136" s="1">
        <f>IF(OR(Table1[[#This Row],[Std Nom]]="",Table1[[#This Row],[Std Read]]=""),0,Table1[[#This Row],[Std Nom]]-Table1[[#This Row],[Std Read]])</f>
        <v>0</v>
      </c>
      <c r="N1136" s="1">
        <f>IF(Calculations!$F$5="ACCREDITED 17025 WITH UNCERTAINTIES",$N$10,0)</f>
        <v>0</v>
      </c>
      <c r="O1136" s="1" t="str">
        <f>IFERROR(Table1[[#This Row],[Std Nom]]-(_xlfn.XLOOKUP(Table1[[#This Row],[Manufacturer]]&amp;" "&amp;Table1[[#This Row],[Model]],Table13[MFR &amp; MDL],Table13[Tolerance % CW ],"")/100*Table1[[#This Row],[Std Nom]]),"")</f>
        <v/>
      </c>
      <c r="P1136" s="1" t="str">
        <f>IFERROR(Table1[[#This Row],[Std Nom]]+(_xlfn.XLOOKUP(Table1[[#This Row],[Manufacturer]]&amp;" "&amp;Table1[[#This Row],[Model]],Table13[MFR &amp; MDL],Table13[Tolerance % CW ],"")/100*Table1[[#This Row],[Std Nom]]),"")</f>
        <v/>
      </c>
      <c r="Q1136" s="1" t="e">
        <f>Table1[[#This Row],[High Tol]]-Table1[[#This Row],[Low Tol]]</f>
        <v>#VALUE!</v>
      </c>
      <c r="R1136" s="1">
        <f>2*Table1[[#This Row],[Std Error]]</f>
        <v>0</v>
      </c>
      <c r="S1136" s="1" t="str">
        <f>IF(Table1[[#This Row],[High Tol]]="","N/A",IFERROR(ABS(Table1[[#This Row],[Tol Span]]/Table1[[#This Row],[Error Span]]),"N/A"))</f>
        <v>N/A</v>
      </c>
      <c r="T1136" s="1" t="str">
        <f>IF(OR(Table1[[#This Row],[Low Tol]]="",Table1[[#This Row],[High Tol]]=""),"Needs Analysis",IF(Table1[[#This Row],[Ratio]]&gt;=4,"Not Significant",IF(Table1[[#This Row],[Ratio]]&gt;=2,"Semi-Significant","Significant")))</f>
        <v>Needs Analysis</v>
      </c>
      <c r="W1136" s="1">
        <f>IF(Table1[[#This Row],[Cal Type]]&lt;&gt;"ACCREDITED 17025 WITH UNCERTAINTIES",0,"")</f>
        <v>0</v>
      </c>
      <c r="X1136" s="1" t="str">
        <f>IF(Table1[[#This Row],[DUT Read]]="","N/A",Table1[[#This Row],[Std Error]]+Table1[[#This Row],[DUT Read]]+Table1[[#This Row],[DUT Ucty]])</f>
        <v>N/A</v>
      </c>
      <c r="Y1136" s="1" t="str">
        <f>IF(Table1[[#This Row],[Std Read]]="","N/A",Table1[[#This Row],[Std Read]]+Table1[[#This Row],[Std Ucty]])</f>
        <v>N/A</v>
      </c>
      <c r="Z11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6" s="1" t="str">
        <f>IF(Table1[[#This Row],[Spec Type]]="","N/A",Table1[[#This Row],[Spec Type]])</f>
        <v>±</v>
      </c>
      <c r="AC1136" s="1" t="str">
        <f>IF(Table1[[#This Row],[Spec Type2]]="N/A","N/A",IF(AND(Table1[[#This Row],[DUT Adj Read]]&gt;=Table1[[#This Row],[Low Tol]],Table1[[#This Row],[DUT Adj Read]]&lt;=Table1[[#This Row],[High Tol]]),"Pass","Fail"))</f>
        <v>Fail</v>
      </c>
      <c r="AD1136" s="1" t="str">
        <f>IF(AND(Table1[[#This Row],[Spec Type2]]="N/A",Table1[[#This Row],[DUT Adj Read]]="N/A",Table1[[#This Row],[Std Adj Read]]="N/A"),"N/A",IF(Table1[[#This Row],[DUT Adj Read]]="N/A",IF(Table1[[#This Row],[Std Adj Read]]&gt;Table1[[#This Row],[Low Tol]],"Pass","Fail"),IF(Table1[[#This Row],[DUT Adj Read]]&gt;Table1[[#This Row],[Low Tol]],"Pass","Fail")))</f>
        <v>Pass</v>
      </c>
      <c r="AE1136" s="1" t="str">
        <f>IF(AND(Table1[[#This Row],[Spec Type2]]="N/A",Table1[[#This Row],[DUT Adj Read]]="N/A",Table1[[#This Row],[Std Adj Read]]="N/A"),"N/A",IF(Table1[[#This Row],[DUT Adj Read]]="N/A",IF(Table1[[#This Row],[Std Adj Read]]&lt;Table1[[#This Row],[High Tol]],"Pass","Fail"),IF(Table1[[#This Row],[DUT Adj Read]]&lt;Table1[[#This Row],[High Tol]],"Pass","Fail")))</f>
        <v>Fail</v>
      </c>
      <c r="AF1136" s="1" t="str">
        <f>IF(AND(Table1[[#This Row],[Spec Type2]]="N/A",Table1[[#This Row],[DUT Adj Read]]="N/A",Table1[[#This Row],[Std Adj Read]]="N/A"),"N/A",IF(Table1[[#This Row],[DUT Adj Read]]="N/A",IF(Table1[[#This Row],[Std Adj Read]]&gt;=Table1[[#This Row],[Low Tol]],"Pass","Fail"),IF(Table1[[#This Row],[DUT Adj Read]]&gt;=Table1[[#This Row],[Low Tol]],"Pass","Fail")))</f>
        <v>Pass</v>
      </c>
      <c r="AG1136" s="1" t="str">
        <f>IF(AND(Table1[[#This Row],[Spec Type2]]="N/A",Table1[[#This Row],[DUT Adj Read]]="N/A",Table1[[#This Row],[Std Adj Read]]="N/A"),"N/A",IF(Table1[[#This Row],[DUT Adj Read]]="N/A",IF(Table1[[#This Row],[Std Adj Read]]&lt;=Table1[[#This Row],[High Tol]],"Pass","Fail"),IF(Table1[[#This Row],[DUT Adj Read]]&lt;=Table1[[#This Row],[High Tol]],"Pass","Fail")))</f>
        <v>Fail</v>
      </c>
      <c r="AH11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6" s="1" t="b">
        <v>0</v>
      </c>
      <c r="AN1136" s="1" t="b">
        <v>0</v>
      </c>
      <c r="AO1136" s="1" t="b">
        <v>0</v>
      </c>
    </row>
    <row r="1137" spans="1:41" x14ac:dyDescent="0.25">
      <c r="A1137" s="10"/>
      <c r="B1137" s="10"/>
      <c r="C1137" s="10"/>
      <c r="D1137" s="10"/>
      <c r="E1137" s="10"/>
      <c r="F1137" s="10"/>
      <c r="G1137" s="10"/>
      <c r="H1137" s="10"/>
      <c r="I1137" s="1" t="str">
        <f t="shared" si="51"/>
        <v/>
      </c>
      <c r="J1137" s="1" t="s">
        <v>35</v>
      </c>
      <c r="K1137" s="1" t="str">
        <f t="shared" si="52"/>
        <v/>
      </c>
      <c r="L1137" s="1" t="str">
        <f t="shared" si="53"/>
        <v/>
      </c>
      <c r="M1137" s="1">
        <f>IF(OR(Table1[[#This Row],[Std Nom]]="",Table1[[#This Row],[Std Read]]=""),0,Table1[[#This Row],[Std Nom]]-Table1[[#This Row],[Std Read]])</f>
        <v>0</v>
      </c>
      <c r="N1137" s="1">
        <f>IF(Calculations!$F$5="ACCREDITED 17025 WITH UNCERTAINTIES",$N$10,0)</f>
        <v>0</v>
      </c>
      <c r="O1137" s="1" t="str">
        <f>IFERROR(Table1[[#This Row],[Std Nom]]-(_xlfn.XLOOKUP(Table1[[#This Row],[Manufacturer]]&amp;" "&amp;Table1[[#This Row],[Model]],Table13[MFR &amp; MDL],Table13[Tolerance % CW ],"")/100*Table1[[#This Row],[Std Nom]]),"")</f>
        <v/>
      </c>
      <c r="P1137" s="1" t="str">
        <f>IFERROR(Table1[[#This Row],[Std Nom]]+(_xlfn.XLOOKUP(Table1[[#This Row],[Manufacturer]]&amp;" "&amp;Table1[[#This Row],[Model]],Table13[MFR &amp; MDL],Table13[Tolerance % CW ],"")/100*Table1[[#This Row],[Std Nom]]),"")</f>
        <v/>
      </c>
      <c r="Q1137" s="1" t="e">
        <f>Table1[[#This Row],[High Tol]]-Table1[[#This Row],[Low Tol]]</f>
        <v>#VALUE!</v>
      </c>
      <c r="R1137" s="1">
        <f>2*Table1[[#This Row],[Std Error]]</f>
        <v>0</v>
      </c>
      <c r="S1137" s="1" t="str">
        <f>IF(Table1[[#This Row],[High Tol]]="","N/A",IFERROR(ABS(Table1[[#This Row],[Tol Span]]/Table1[[#This Row],[Error Span]]),"N/A"))</f>
        <v>N/A</v>
      </c>
      <c r="T1137" s="1" t="str">
        <f>IF(OR(Table1[[#This Row],[Low Tol]]="",Table1[[#This Row],[High Tol]]=""),"Needs Analysis",IF(Table1[[#This Row],[Ratio]]&gt;=4,"Not Significant",IF(Table1[[#This Row],[Ratio]]&gt;=2,"Semi-Significant","Significant")))</f>
        <v>Needs Analysis</v>
      </c>
      <c r="W1137" s="1">
        <f>IF(Table1[[#This Row],[Cal Type]]&lt;&gt;"ACCREDITED 17025 WITH UNCERTAINTIES",0,"")</f>
        <v>0</v>
      </c>
      <c r="X1137" s="1" t="str">
        <f>IF(Table1[[#This Row],[DUT Read]]="","N/A",Table1[[#This Row],[Std Error]]+Table1[[#This Row],[DUT Read]]+Table1[[#This Row],[DUT Ucty]])</f>
        <v>N/A</v>
      </c>
      <c r="Y1137" s="1" t="str">
        <f>IF(Table1[[#This Row],[Std Read]]="","N/A",Table1[[#This Row],[Std Read]]+Table1[[#This Row],[Std Ucty]])</f>
        <v>N/A</v>
      </c>
      <c r="Z11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7" s="1" t="str">
        <f>IF(Table1[[#This Row],[Spec Type]]="","N/A",Table1[[#This Row],[Spec Type]])</f>
        <v>±</v>
      </c>
      <c r="AC1137" s="1" t="str">
        <f>IF(Table1[[#This Row],[Spec Type2]]="N/A","N/A",IF(AND(Table1[[#This Row],[DUT Adj Read]]&gt;=Table1[[#This Row],[Low Tol]],Table1[[#This Row],[DUT Adj Read]]&lt;=Table1[[#This Row],[High Tol]]),"Pass","Fail"))</f>
        <v>Fail</v>
      </c>
      <c r="AD1137" s="1" t="str">
        <f>IF(AND(Table1[[#This Row],[Spec Type2]]="N/A",Table1[[#This Row],[DUT Adj Read]]="N/A",Table1[[#This Row],[Std Adj Read]]="N/A"),"N/A",IF(Table1[[#This Row],[DUT Adj Read]]="N/A",IF(Table1[[#This Row],[Std Adj Read]]&gt;Table1[[#This Row],[Low Tol]],"Pass","Fail"),IF(Table1[[#This Row],[DUT Adj Read]]&gt;Table1[[#This Row],[Low Tol]],"Pass","Fail")))</f>
        <v>Pass</v>
      </c>
      <c r="AE1137" s="1" t="str">
        <f>IF(AND(Table1[[#This Row],[Spec Type2]]="N/A",Table1[[#This Row],[DUT Adj Read]]="N/A",Table1[[#This Row],[Std Adj Read]]="N/A"),"N/A",IF(Table1[[#This Row],[DUT Adj Read]]="N/A",IF(Table1[[#This Row],[Std Adj Read]]&lt;Table1[[#This Row],[High Tol]],"Pass","Fail"),IF(Table1[[#This Row],[DUT Adj Read]]&lt;Table1[[#This Row],[High Tol]],"Pass","Fail")))</f>
        <v>Fail</v>
      </c>
      <c r="AF1137" s="1" t="str">
        <f>IF(AND(Table1[[#This Row],[Spec Type2]]="N/A",Table1[[#This Row],[DUT Adj Read]]="N/A",Table1[[#This Row],[Std Adj Read]]="N/A"),"N/A",IF(Table1[[#This Row],[DUT Adj Read]]="N/A",IF(Table1[[#This Row],[Std Adj Read]]&gt;=Table1[[#This Row],[Low Tol]],"Pass","Fail"),IF(Table1[[#This Row],[DUT Adj Read]]&gt;=Table1[[#This Row],[Low Tol]],"Pass","Fail")))</f>
        <v>Pass</v>
      </c>
      <c r="AG1137" s="1" t="str">
        <f>IF(AND(Table1[[#This Row],[Spec Type2]]="N/A",Table1[[#This Row],[DUT Adj Read]]="N/A",Table1[[#This Row],[Std Adj Read]]="N/A"),"N/A",IF(Table1[[#This Row],[DUT Adj Read]]="N/A",IF(Table1[[#This Row],[Std Adj Read]]&lt;=Table1[[#This Row],[High Tol]],"Pass","Fail"),IF(Table1[[#This Row],[DUT Adj Read]]&lt;=Table1[[#This Row],[High Tol]],"Pass","Fail")))</f>
        <v>Fail</v>
      </c>
      <c r="AH11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7" s="1" t="b">
        <v>0</v>
      </c>
      <c r="AN1137" s="1" t="b">
        <v>0</v>
      </c>
      <c r="AO1137" s="1" t="b">
        <v>0</v>
      </c>
    </row>
    <row r="1138" spans="1:41" x14ac:dyDescent="0.25">
      <c r="A1138" s="10"/>
      <c r="B1138" s="10"/>
      <c r="C1138" s="10"/>
      <c r="D1138" s="10"/>
      <c r="E1138" s="10"/>
      <c r="F1138" s="10"/>
      <c r="G1138" s="10"/>
      <c r="H1138" s="10"/>
      <c r="I1138" s="1" t="str">
        <f t="shared" si="51"/>
        <v/>
      </c>
      <c r="J1138" s="1" t="s">
        <v>35</v>
      </c>
      <c r="K1138" s="1" t="str">
        <f t="shared" si="52"/>
        <v/>
      </c>
      <c r="L1138" s="1" t="str">
        <f t="shared" si="53"/>
        <v/>
      </c>
      <c r="M1138" s="1">
        <f>IF(OR(Table1[[#This Row],[Std Nom]]="",Table1[[#This Row],[Std Read]]=""),0,Table1[[#This Row],[Std Nom]]-Table1[[#This Row],[Std Read]])</f>
        <v>0</v>
      </c>
      <c r="N1138" s="1">
        <f>IF(Calculations!$F$5="ACCREDITED 17025 WITH UNCERTAINTIES",$N$10,0)</f>
        <v>0</v>
      </c>
      <c r="O1138" s="1" t="str">
        <f>IFERROR(Table1[[#This Row],[Std Nom]]-(_xlfn.XLOOKUP(Table1[[#This Row],[Manufacturer]]&amp;" "&amp;Table1[[#This Row],[Model]],Table13[MFR &amp; MDL],Table13[Tolerance % CW ],"")/100*Table1[[#This Row],[Std Nom]]),"")</f>
        <v/>
      </c>
      <c r="P1138" s="1" t="str">
        <f>IFERROR(Table1[[#This Row],[Std Nom]]+(_xlfn.XLOOKUP(Table1[[#This Row],[Manufacturer]]&amp;" "&amp;Table1[[#This Row],[Model]],Table13[MFR &amp; MDL],Table13[Tolerance % CW ],"")/100*Table1[[#This Row],[Std Nom]]),"")</f>
        <v/>
      </c>
      <c r="Q1138" s="1" t="e">
        <f>Table1[[#This Row],[High Tol]]-Table1[[#This Row],[Low Tol]]</f>
        <v>#VALUE!</v>
      </c>
      <c r="R1138" s="1">
        <f>2*Table1[[#This Row],[Std Error]]</f>
        <v>0</v>
      </c>
      <c r="S1138" s="1" t="str">
        <f>IF(Table1[[#This Row],[High Tol]]="","N/A",IFERROR(ABS(Table1[[#This Row],[Tol Span]]/Table1[[#This Row],[Error Span]]),"N/A"))</f>
        <v>N/A</v>
      </c>
      <c r="T1138" s="1" t="str">
        <f>IF(OR(Table1[[#This Row],[Low Tol]]="",Table1[[#This Row],[High Tol]]=""),"Needs Analysis",IF(Table1[[#This Row],[Ratio]]&gt;=4,"Not Significant",IF(Table1[[#This Row],[Ratio]]&gt;=2,"Semi-Significant","Significant")))</f>
        <v>Needs Analysis</v>
      </c>
      <c r="W1138" s="1">
        <f>IF(Table1[[#This Row],[Cal Type]]&lt;&gt;"ACCREDITED 17025 WITH UNCERTAINTIES",0,"")</f>
        <v>0</v>
      </c>
      <c r="X1138" s="1" t="str">
        <f>IF(Table1[[#This Row],[DUT Read]]="","N/A",Table1[[#This Row],[Std Error]]+Table1[[#This Row],[DUT Read]]+Table1[[#This Row],[DUT Ucty]])</f>
        <v>N/A</v>
      </c>
      <c r="Y1138" s="1" t="str">
        <f>IF(Table1[[#This Row],[Std Read]]="","N/A",Table1[[#This Row],[Std Read]]+Table1[[#This Row],[Std Ucty]])</f>
        <v>N/A</v>
      </c>
      <c r="Z11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8" s="1" t="str">
        <f>IF(Table1[[#This Row],[Spec Type]]="","N/A",Table1[[#This Row],[Spec Type]])</f>
        <v>±</v>
      </c>
      <c r="AC1138" s="1" t="str">
        <f>IF(Table1[[#This Row],[Spec Type2]]="N/A","N/A",IF(AND(Table1[[#This Row],[DUT Adj Read]]&gt;=Table1[[#This Row],[Low Tol]],Table1[[#This Row],[DUT Adj Read]]&lt;=Table1[[#This Row],[High Tol]]),"Pass","Fail"))</f>
        <v>Fail</v>
      </c>
      <c r="AD1138" s="1" t="str">
        <f>IF(AND(Table1[[#This Row],[Spec Type2]]="N/A",Table1[[#This Row],[DUT Adj Read]]="N/A",Table1[[#This Row],[Std Adj Read]]="N/A"),"N/A",IF(Table1[[#This Row],[DUT Adj Read]]="N/A",IF(Table1[[#This Row],[Std Adj Read]]&gt;Table1[[#This Row],[Low Tol]],"Pass","Fail"),IF(Table1[[#This Row],[DUT Adj Read]]&gt;Table1[[#This Row],[Low Tol]],"Pass","Fail")))</f>
        <v>Pass</v>
      </c>
      <c r="AE1138" s="1" t="str">
        <f>IF(AND(Table1[[#This Row],[Spec Type2]]="N/A",Table1[[#This Row],[DUT Adj Read]]="N/A",Table1[[#This Row],[Std Adj Read]]="N/A"),"N/A",IF(Table1[[#This Row],[DUT Adj Read]]="N/A",IF(Table1[[#This Row],[Std Adj Read]]&lt;Table1[[#This Row],[High Tol]],"Pass","Fail"),IF(Table1[[#This Row],[DUT Adj Read]]&lt;Table1[[#This Row],[High Tol]],"Pass","Fail")))</f>
        <v>Fail</v>
      </c>
      <c r="AF1138" s="1" t="str">
        <f>IF(AND(Table1[[#This Row],[Spec Type2]]="N/A",Table1[[#This Row],[DUT Adj Read]]="N/A",Table1[[#This Row],[Std Adj Read]]="N/A"),"N/A",IF(Table1[[#This Row],[DUT Adj Read]]="N/A",IF(Table1[[#This Row],[Std Adj Read]]&gt;=Table1[[#This Row],[Low Tol]],"Pass","Fail"),IF(Table1[[#This Row],[DUT Adj Read]]&gt;=Table1[[#This Row],[Low Tol]],"Pass","Fail")))</f>
        <v>Pass</v>
      </c>
      <c r="AG1138" s="1" t="str">
        <f>IF(AND(Table1[[#This Row],[Spec Type2]]="N/A",Table1[[#This Row],[DUT Adj Read]]="N/A",Table1[[#This Row],[Std Adj Read]]="N/A"),"N/A",IF(Table1[[#This Row],[DUT Adj Read]]="N/A",IF(Table1[[#This Row],[Std Adj Read]]&lt;=Table1[[#This Row],[High Tol]],"Pass","Fail"),IF(Table1[[#This Row],[DUT Adj Read]]&lt;=Table1[[#This Row],[High Tol]],"Pass","Fail")))</f>
        <v>Fail</v>
      </c>
      <c r="AH11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8" s="1" t="b">
        <v>0</v>
      </c>
      <c r="AN1138" s="1" t="b">
        <v>0</v>
      </c>
      <c r="AO1138" s="1" t="b">
        <v>0</v>
      </c>
    </row>
    <row r="1139" spans="1:41" x14ac:dyDescent="0.25">
      <c r="A1139" s="10"/>
      <c r="B1139" s="10"/>
      <c r="C1139" s="10"/>
      <c r="D1139" s="10"/>
      <c r="E1139" s="10"/>
      <c r="F1139" s="10"/>
      <c r="G1139" s="10"/>
      <c r="H1139" s="10"/>
      <c r="I1139" s="1" t="str">
        <f t="shared" si="51"/>
        <v/>
      </c>
      <c r="J1139" s="1" t="s">
        <v>35</v>
      </c>
      <c r="K1139" s="1" t="str">
        <f t="shared" si="52"/>
        <v/>
      </c>
      <c r="L1139" s="1" t="str">
        <f t="shared" si="53"/>
        <v/>
      </c>
      <c r="M1139" s="1">
        <f>IF(OR(Table1[[#This Row],[Std Nom]]="",Table1[[#This Row],[Std Read]]=""),0,Table1[[#This Row],[Std Nom]]-Table1[[#This Row],[Std Read]])</f>
        <v>0</v>
      </c>
      <c r="N1139" s="1">
        <f>IF(Calculations!$F$5="ACCREDITED 17025 WITH UNCERTAINTIES",$N$10,0)</f>
        <v>0</v>
      </c>
      <c r="O1139" s="1" t="str">
        <f>IFERROR(Table1[[#This Row],[Std Nom]]-(_xlfn.XLOOKUP(Table1[[#This Row],[Manufacturer]]&amp;" "&amp;Table1[[#This Row],[Model]],Table13[MFR &amp; MDL],Table13[Tolerance % CW ],"")/100*Table1[[#This Row],[Std Nom]]),"")</f>
        <v/>
      </c>
      <c r="P1139" s="1" t="str">
        <f>IFERROR(Table1[[#This Row],[Std Nom]]+(_xlfn.XLOOKUP(Table1[[#This Row],[Manufacturer]]&amp;" "&amp;Table1[[#This Row],[Model]],Table13[MFR &amp; MDL],Table13[Tolerance % CW ],"")/100*Table1[[#This Row],[Std Nom]]),"")</f>
        <v/>
      </c>
      <c r="Q1139" s="1" t="e">
        <f>Table1[[#This Row],[High Tol]]-Table1[[#This Row],[Low Tol]]</f>
        <v>#VALUE!</v>
      </c>
      <c r="R1139" s="1">
        <f>2*Table1[[#This Row],[Std Error]]</f>
        <v>0</v>
      </c>
      <c r="S1139" s="1" t="str">
        <f>IF(Table1[[#This Row],[High Tol]]="","N/A",IFERROR(ABS(Table1[[#This Row],[Tol Span]]/Table1[[#This Row],[Error Span]]),"N/A"))</f>
        <v>N/A</v>
      </c>
      <c r="T1139" s="1" t="str">
        <f>IF(OR(Table1[[#This Row],[Low Tol]]="",Table1[[#This Row],[High Tol]]=""),"Needs Analysis",IF(Table1[[#This Row],[Ratio]]&gt;=4,"Not Significant",IF(Table1[[#This Row],[Ratio]]&gt;=2,"Semi-Significant","Significant")))</f>
        <v>Needs Analysis</v>
      </c>
      <c r="W1139" s="1">
        <f>IF(Table1[[#This Row],[Cal Type]]&lt;&gt;"ACCREDITED 17025 WITH UNCERTAINTIES",0,"")</f>
        <v>0</v>
      </c>
      <c r="X1139" s="1" t="str">
        <f>IF(Table1[[#This Row],[DUT Read]]="","N/A",Table1[[#This Row],[Std Error]]+Table1[[#This Row],[DUT Read]]+Table1[[#This Row],[DUT Ucty]])</f>
        <v>N/A</v>
      </c>
      <c r="Y1139" s="1" t="str">
        <f>IF(Table1[[#This Row],[Std Read]]="","N/A",Table1[[#This Row],[Std Read]]+Table1[[#This Row],[Std Ucty]])</f>
        <v>N/A</v>
      </c>
      <c r="Z11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9" s="1" t="str">
        <f>IF(Table1[[#This Row],[Spec Type]]="","N/A",Table1[[#This Row],[Spec Type]])</f>
        <v>±</v>
      </c>
      <c r="AC1139" s="1" t="str">
        <f>IF(Table1[[#This Row],[Spec Type2]]="N/A","N/A",IF(AND(Table1[[#This Row],[DUT Adj Read]]&gt;=Table1[[#This Row],[Low Tol]],Table1[[#This Row],[DUT Adj Read]]&lt;=Table1[[#This Row],[High Tol]]),"Pass","Fail"))</f>
        <v>Fail</v>
      </c>
      <c r="AD1139" s="1" t="str">
        <f>IF(AND(Table1[[#This Row],[Spec Type2]]="N/A",Table1[[#This Row],[DUT Adj Read]]="N/A",Table1[[#This Row],[Std Adj Read]]="N/A"),"N/A",IF(Table1[[#This Row],[DUT Adj Read]]="N/A",IF(Table1[[#This Row],[Std Adj Read]]&gt;Table1[[#This Row],[Low Tol]],"Pass","Fail"),IF(Table1[[#This Row],[DUT Adj Read]]&gt;Table1[[#This Row],[Low Tol]],"Pass","Fail")))</f>
        <v>Pass</v>
      </c>
      <c r="AE1139" s="1" t="str">
        <f>IF(AND(Table1[[#This Row],[Spec Type2]]="N/A",Table1[[#This Row],[DUT Adj Read]]="N/A",Table1[[#This Row],[Std Adj Read]]="N/A"),"N/A",IF(Table1[[#This Row],[DUT Adj Read]]="N/A",IF(Table1[[#This Row],[Std Adj Read]]&lt;Table1[[#This Row],[High Tol]],"Pass","Fail"),IF(Table1[[#This Row],[DUT Adj Read]]&lt;Table1[[#This Row],[High Tol]],"Pass","Fail")))</f>
        <v>Fail</v>
      </c>
      <c r="AF1139" s="1" t="str">
        <f>IF(AND(Table1[[#This Row],[Spec Type2]]="N/A",Table1[[#This Row],[DUT Adj Read]]="N/A",Table1[[#This Row],[Std Adj Read]]="N/A"),"N/A",IF(Table1[[#This Row],[DUT Adj Read]]="N/A",IF(Table1[[#This Row],[Std Adj Read]]&gt;=Table1[[#This Row],[Low Tol]],"Pass","Fail"),IF(Table1[[#This Row],[DUT Adj Read]]&gt;=Table1[[#This Row],[Low Tol]],"Pass","Fail")))</f>
        <v>Pass</v>
      </c>
      <c r="AG1139" s="1" t="str">
        <f>IF(AND(Table1[[#This Row],[Spec Type2]]="N/A",Table1[[#This Row],[DUT Adj Read]]="N/A",Table1[[#This Row],[Std Adj Read]]="N/A"),"N/A",IF(Table1[[#This Row],[DUT Adj Read]]="N/A",IF(Table1[[#This Row],[Std Adj Read]]&lt;=Table1[[#This Row],[High Tol]],"Pass","Fail"),IF(Table1[[#This Row],[DUT Adj Read]]&lt;=Table1[[#This Row],[High Tol]],"Pass","Fail")))</f>
        <v>Fail</v>
      </c>
      <c r="AH11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9" s="1" t="b">
        <v>0</v>
      </c>
      <c r="AN1139" s="1" t="b">
        <v>0</v>
      </c>
      <c r="AO1139" s="1" t="b">
        <v>0</v>
      </c>
    </row>
    <row r="1140" spans="1:41" x14ac:dyDescent="0.25">
      <c r="A1140" s="10"/>
      <c r="B1140" s="10"/>
      <c r="C1140" s="10"/>
      <c r="D1140" s="10"/>
      <c r="E1140" s="10"/>
      <c r="F1140" s="10"/>
      <c r="G1140" s="10"/>
      <c r="H1140" s="10"/>
      <c r="I1140" s="1" t="str">
        <f t="shared" si="51"/>
        <v/>
      </c>
      <c r="J1140" s="1" t="s">
        <v>35</v>
      </c>
      <c r="K1140" s="1" t="str">
        <f t="shared" si="52"/>
        <v/>
      </c>
      <c r="L1140" s="1" t="str">
        <f t="shared" si="53"/>
        <v/>
      </c>
      <c r="M1140" s="1">
        <f>IF(OR(Table1[[#This Row],[Std Nom]]="",Table1[[#This Row],[Std Read]]=""),0,Table1[[#This Row],[Std Nom]]-Table1[[#This Row],[Std Read]])</f>
        <v>0</v>
      </c>
      <c r="N1140" s="1">
        <f>IF(Calculations!$F$5="ACCREDITED 17025 WITH UNCERTAINTIES",$N$10,0)</f>
        <v>0</v>
      </c>
      <c r="O1140" s="1" t="str">
        <f>IFERROR(Table1[[#This Row],[Std Nom]]-(_xlfn.XLOOKUP(Table1[[#This Row],[Manufacturer]]&amp;" "&amp;Table1[[#This Row],[Model]],Table13[MFR &amp; MDL],Table13[Tolerance % CW ],"")/100*Table1[[#This Row],[Std Nom]]),"")</f>
        <v/>
      </c>
      <c r="P1140" s="1" t="str">
        <f>IFERROR(Table1[[#This Row],[Std Nom]]+(_xlfn.XLOOKUP(Table1[[#This Row],[Manufacturer]]&amp;" "&amp;Table1[[#This Row],[Model]],Table13[MFR &amp; MDL],Table13[Tolerance % CW ],"")/100*Table1[[#This Row],[Std Nom]]),"")</f>
        <v/>
      </c>
      <c r="Q1140" s="1" t="e">
        <f>Table1[[#This Row],[High Tol]]-Table1[[#This Row],[Low Tol]]</f>
        <v>#VALUE!</v>
      </c>
      <c r="R1140" s="1">
        <f>2*Table1[[#This Row],[Std Error]]</f>
        <v>0</v>
      </c>
      <c r="S1140" s="1" t="str">
        <f>IF(Table1[[#This Row],[High Tol]]="","N/A",IFERROR(ABS(Table1[[#This Row],[Tol Span]]/Table1[[#This Row],[Error Span]]),"N/A"))</f>
        <v>N/A</v>
      </c>
      <c r="T1140" s="1" t="str">
        <f>IF(OR(Table1[[#This Row],[Low Tol]]="",Table1[[#This Row],[High Tol]]=""),"Needs Analysis",IF(Table1[[#This Row],[Ratio]]&gt;=4,"Not Significant",IF(Table1[[#This Row],[Ratio]]&gt;=2,"Semi-Significant","Significant")))</f>
        <v>Needs Analysis</v>
      </c>
      <c r="W1140" s="1">
        <f>IF(Table1[[#This Row],[Cal Type]]&lt;&gt;"ACCREDITED 17025 WITH UNCERTAINTIES",0,"")</f>
        <v>0</v>
      </c>
      <c r="X1140" s="1" t="str">
        <f>IF(Table1[[#This Row],[DUT Read]]="","N/A",Table1[[#This Row],[Std Error]]+Table1[[#This Row],[DUT Read]]+Table1[[#This Row],[DUT Ucty]])</f>
        <v>N/A</v>
      </c>
      <c r="Y1140" s="1" t="str">
        <f>IF(Table1[[#This Row],[Std Read]]="","N/A",Table1[[#This Row],[Std Read]]+Table1[[#This Row],[Std Ucty]])</f>
        <v>N/A</v>
      </c>
      <c r="Z11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0" s="1" t="str">
        <f>IF(Table1[[#This Row],[Spec Type]]="","N/A",Table1[[#This Row],[Spec Type]])</f>
        <v>±</v>
      </c>
      <c r="AC1140" s="1" t="str">
        <f>IF(Table1[[#This Row],[Spec Type2]]="N/A","N/A",IF(AND(Table1[[#This Row],[DUT Adj Read]]&gt;=Table1[[#This Row],[Low Tol]],Table1[[#This Row],[DUT Adj Read]]&lt;=Table1[[#This Row],[High Tol]]),"Pass","Fail"))</f>
        <v>Fail</v>
      </c>
      <c r="AD1140" s="1" t="str">
        <f>IF(AND(Table1[[#This Row],[Spec Type2]]="N/A",Table1[[#This Row],[DUT Adj Read]]="N/A",Table1[[#This Row],[Std Adj Read]]="N/A"),"N/A",IF(Table1[[#This Row],[DUT Adj Read]]="N/A",IF(Table1[[#This Row],[Std Adj Read]]&gt;Table1[[#This Row],[Low Tol]],"Pass","Fail"),IF(Table1[[#This Row],[DUT Adj Read]]&gt;Table1[[#This Row],[Low Tol]],"Pass","Fail")))</f>
        <v>Pass</v>
      </c>
      <c r="AE1140" s="1" t="str">
        <f>IF(AND(Table1[[#This Row],[Spec Type2]]="N/A",Table1[[#This Row],[DUT Adj Read]]="N/A",Table1[[#This Row],[Std Adj Read]]="N/A"),"N/A",IF(Table1[[#This Row],[DUT Adj Read]]="N/A",IF(Table1[[#This Row],[Std Adj Read]]&lt;Table1[[#This Row],[High Tol]],"Pass","Fail"),IF(Table1[[#This Row],[DUT Adj Read]]&lt;Table1[[#This Row],[High Tol]],"Pass","Fail")))</f>
        <v>Fail</v>
      </c>
      <c r="AF1140" s="1" t="str">
        <f>IF(AND(Table1[[#This Row],[Spec Type2]]="N/A",Table1[[#This Row],[DUT Adj Read]]="N/A",Table1[[#This Row],[Std Adj Read]]="N/A"),"N/A",IF(Table1[[#This Row],[DUT Adj Read]]="N/A",IF(Table1[[#This Row],[Std Adj Read]]&gt;=Table1[[#This Row],[Low Tol]],"Pass","Fail"),IF(Table1[[#This Row],[DUT Adj Read]]&gt;=Table1[[#This Row],[Low Tol]],"Pass","Fail")))</f>
        <v>Pass</v>
      </c>
      <c r="AG1140" s="1" t="str">
        <f>IF(AND(Table1[[#This Row],[Spec Type2]]="N/A",Table1[[#This Row],[DUT Adj Read]]="N/A",Table1[[#This Row],[Std Adj Read]]="N/A"),"N/A",IF(Table1[[#This Row],[DUT Adj Read]]="N/A",IF(Table1[[#This Row],[Std Adj Read]]&lt;=Table1[[#This Row],[High Tol]],"Pass","Fail"),IF(Table1[[#This Row],[DUT Adj Read]]&lt;=Table1[[#This Row],[High Tol]],"Pass","Fail")))</f>
        <v>Fail</v>
      </c>
      <c r="AH11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0" s="1" t="b">
        <v>0</v>
      </c>
      <c r="AN1140" s="1" t="b">
        <v>0</v>
      </c>
      <c r="AO1140" s="1" t="b">
        <v>0</v>
      </c>
    </row>
    <row r="1141" spans="1:41" x14ac:dyDescent="0.25">
      <c r="A1141" s="10"/>
      <c r="B1141" s="10"/>
      <c r="C1141" s="10"/>
      <c r="D1141" s="10"/>
      <c r="E1141" s="10"/>
      <c r="F1141" s="10"/>
      <c r="G1141" s="10"/>
      <c r="H1141" s="10"/>
      <c r="I1141" s="1" t="str">
        <f t="shared" si="51"/>
        <v/>
      </c>
      <c r="J1141" s="1" t="s">
        <v>35</v>
      </c>
      <c r="K1141" s="1" t="str">
        <f t="shared" si="52"/>
        <v/>
      </c>
      <c r="L1141" s="1" t="str">
        <f t="shared" si="53"/>
        <v/>
      </c>
      <c r="M1141" s="1">
        <f>IF(OR(Table1[[#This Row],[Std Nom]]="",Table1[[#This Row],[Std Read]]=""),0,Table1[[#This Row],[Std Nom]]-Table1[[#This Row],[Std Read]])</f>
        <v>0</v>
      </c>
      <c r="N1141" s="1">
        <f>IF(Calculations!$F$5="ACCREDITED 17025 WITH UNCERTAINTIES",$N$10,0)</f>
        <v>0</v>
      </c>
      <c r="O1141" s="1" t="str">
        <f>IFERROR(Table1[[#This Row],[Std Nom]]-(_xlfn.XLOOKUP(Table1[[#This Row],[Manufacturer]]&amp;" "&amp;Table1[[#This Row],[Model]],Table13[MFR &amp; MDL],Table13[Tolerance % CW ],"")/100*Table1[[#This Row],[Std Nom]]),"")</f>
        <v/>
      </c>
      <c r="P1141" s="1" t="str">
        <f>IFERROR(Table1[[#This Row],[Std Nom]]+(_xlfn.XLOOKUP(Table1[[#This Row],[Manufacturer]]&amp;" "&amp;Table1[[#This Row],[Model]],Table13[MFR &amp; MDL],Table13[Tolerance % CW ],"")/100*Table1[[#This Row],[Std Nom]]),"")</f>
        <v/>
      </c>
      <c r="Q1141" s="1" t="e">
        <f>Table1[[#This Row],[High Tol]]-Table1[[#This Row],[Low Tol]]</f>
        <v>#VALUE!</v>
      </c>
      <c r="R1141" s="1">
        <f>2*Table1[[#This Row],[Std Error]]</f>
        <v>0</v>
      </c>
      <c r="S1141" s="1" t="str">
        <f>IF(Table1[[#This Row],[High Tol]]="","N/A",IFERROR(ABS(Table1[[#This Row],[Tol Span]]/Table1[[#This Row],[Error Span]]),"N/A"))</f>
        <v>N/A</v>
      </c>
      <c r="T1141" s="1" t="str">
        <f>IF(OR(Table1[[#This Row],[Low Tol]]="",Table1[[#This Row],[High Tol]]=""),"Needs Analysis",IF(Table1[[#This Row],[Ratio]]&gt;=4,"Not Significant",IF(Table1[[#This Row],[Ratio]]&gt;=2,"Semi-Significant","Significant")))</f>
        <v>Needs Analysis</v>
      </c>
      <c r="W1141" s="1">
        <f>IF(Table1[[#This Row],[Cal Type]]&lt;&gt;"ACCREDITED 17025 WITH UNCERTAINTIES",0,"")</f>
        <v>0</v>
      </c>
      <c r="X1141" s="1" t="str">
        <f>IF(Table1[[#This Row],[DUT Read]]="","N/A",Table1[[#This Row],[Std Error]]+Table1[[#This Row],[DUT Read]]+Table1[[#This Row],[DUT Ucty]])</f>
        <v>N/A</v>
      </c>
      <c r="Y1141" s="1" t="str">
        <f>IF(Table1[[#This Row],[Std Read]]="","N/A",Table1[[#This Row],[Std Read]]+Table1[[#This Row],[Std Ucty]])</f>
        <v>N/A</v>
      </c>
      <c r="Z11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1" s="1" t="str">
        <f>IF(Table1[[#This Row],[Spec Type]]="","N/A",Table1[[#This Row],[Spec Type]])</f>
        <v>±</v>
      </c>
      <c r="AC1141" s="1" t="str">
        <f>IF(Table1[[#This Row],[Spec Type2]]="N/A","N/A",IF(AND(Table1[[#This Row],[DUT Adj Read]]&gt;=Table1[[#This Row],[Low Tol]],Table1[[#This Row],[DUT Adj Read]]&lt;=Table1[[#This Row],[High Tol]]),"Pass","Fail"))</f>
        <v>Fail</v>
      </c>
      <c r="AD1141" s="1" t="str">
        <f>IF(AND(Table1[[#This Row],[Spec Type2]]="N/A",Table1[[#This Row],[DUT Adj Read]]="N/A",Table1[[#This Row],[Std Adj Read]]="N/A"),"N/A",IF(Table1[[#This Row],[DUT Adj Read]]="N/A",IF(Table1[[#This Row],[Std Adj Read]]&gt;Table1[[#This Row],[Low Tol]],"Pass","Fail"),IF(Table1[[#This Row],[DUT Adj Read]]&gt;Table1[[#This Row],[Low Tol]],"Pass","Fail")))</f>
        <v>Pass</v>
      </c>
      <c r="AE1141" s="1" t="str">
        <f>IF(AND(Table1[[#This Row],[Spec Type2]]="N/A",Table1[[#This Row],[DUT Adj Read]]="N/A",Table1[[#This Row],[Std Adj Read]]="N/A"),"N/A",IF(Table1[[#This Row],[DUT Adj Read]]="N/A",IF(Table1[[#This Row],[Std Adj Read]]&lt;Table1[[#This Row],[High Tol]],"Pass","Fail"),IF(Table1[[#This Row],[DUT Adj Read]]&lt;Table1[[#This Row],[High Tol]],"Pass","Fail")))</f>
        <v>Fail</v>
      </c>
      <c r="AF1141" s="1" t="str">
        <f>IF(AND(Table1[[#This Row],[Spec Type2]]="N/A",Table1[[#This Row],[DUT Adj Read]]="N/A",Table1[[#This Row],[Std Adj Read]]="N/A"),"N/A",IF(Table1[[#This Row],[DUT Adj Read]]="N/A",IF(Table1[[#This Row],[Std Adj Read]]&gt;=Table1[[#This Row],[Low Tol]],"Pass","Fail"),IF(Table1[[#This Row],[DUT Adj Read]]&gt;=Table1[[#This Row],[Low Tol]],"Pass","Fail")))</f>
        <v>Pass</v>
      </c>
      <c r="AG1141" s="1" t="str">
        <f>IF(AND(Table1[[#This Row],[Spec Type2]]="N/A",Table1[[#This Row],[DUT Adj Read]]="N/A",Table1[[#This Row],[Std Adj Read]]="N/A"),"N/A",IF(Table1[[#This Row],[DUT Adj Read]]="N/A",IF(Table1[[#This Row],[Std Adj Read]]&lt;=Table1[[#This Row],[High Tol]],"Pass","Fail"),IF(Table1[[#This Row],[DUT Adj Read]]&lt;=Table1[[#This Row],[High Tol]],"Pass","Fail")))</f>
        <v>Fail</v>
      </c>
      <c r="AH11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1" s="1" t="b">
        <v>0</v>
      </c>
      <c r="AN1141" s="1" t="b">
        <v>0</v>
      </c>
      <c r="AO1141" s="1" t="b">
        <v>0</v>
      </c>
    </row>
    <row r="1142" spans="1:41" x14ac:dyDescent="0.25">
      <c r="A1142" s="10"/>
      <c r="B1142" s="10"/>
      <c r="C1142" s="10"/>
      <c r="D1142" s="10"/>
      <c r="E1142" s="10"/>
      <c r="F1142" s="10"/>
      <c r="G1142" s="10"/>
      <c r="H1142" s="10"/>
      <c r="I1142" s="1" t="str">
        <f t="shared" si="51"/>
        <v/>
      </c>
      <c r="J1142" s="1" t="s">
        <v>35</v>
      </c>
      <c r="K1142" s="1" t="str">
        <f t="shared" si="52"/>
        <v/>
      </c>
      <c r="L1142" s="1" t="str">
        <f t="shared" si="53"/>
        <v/>
      </c>
      <c r="M1142" s="1">
        <f>IF(OR(Table1[[#This Row],[Std Nom]]="",Table1[[#This Row],[Std Read]]=""),0,Table1[[#This Row],[Std Nom]]-Table1[[#This Row],[Std Read]])</f>
        <v>0</v>
      </c>
      <c r="N1142" s="1">
        <f>IF(Calculations!$F$5="ACCREDITED 17025 WITH UNCERTAINTIES",$N$10,0)</f>
        <v>0</v>
      </c>
      <c r="O1142" s="1" t="str">
        <f>IFERROR(Table1[[#This Row],[Std Nom]]-(_xlfn.XLOOKUP(Table1[[#This Row],[Manufacturer]]&amp;" "&amp;Table1[[#This Row],[Model]],Table13[MFR &amp; MDL],Table13[Tolerance % CW ],"")/100*Table1[[#This Row],[Std Nom]]),"")</f>
        <v/>
      </c>
      <c r="P1142" s="1" t="str">
        <f>IFERROR(Table1[[#This Row],[Std Nom]]+(_xlfn.XLOOKUP(Table1[[#This Row],[Manufacturer]]&amp;" "&amp;Table1[[#This Row],[Model]],Table13[MFR &amp; MDL],Table13[Tolerance % CW ],"")/100*Table1[[#This Row],[Std Nom]]),"")</f>
        <v/>
      </c>
      <c r="Q1142" s="1" t="e">
        <f>Table1[[#This Row],[High Tol]]-Table1[[#This Row],[Low Tol]]</f>
        <v>#VALUE!</v>
      </c>
      <c r="R1142" s="1">
        <f>2*Table1[[#This Row],[Std Error]]</f>
        <v>0</v>
      </c>
      <c r="S1142" s="1" t="str">
        <f>IF(Table1[[#This Row],[High Tol]]="","N/A",IFERROR(ABS(Table1[[#This Row],[Tol Span]]/Table1[[#This Row],[Error Span]]),"N/A"))</f>
        <v>N/A</v>
      </c>
      <c r="T1142" s="1" t="str">
        <f>IF(OR(Table1[[#This Row],[Low Tol]]="",Table1[[#This Row],[High Tol]]=""),"Needs Analysis",IF(Table1[[#This Row],[Ratio]]&gt;=4,"Not Significant",IF(Table1[[#This Row],[Ratio]]&gt;=2,"Semi-Significant","Significant")))</f>
        <v>Needs Analysis</v>
      </c>
      <c r="W1142" s="1">
        <f>IF(Table1[[#This Row],[Cal Type]]&lt;&gt;"ACCREDITED 17025 WITH UNCERTAINTIES",0,"")</f>
        <v>0</v>
      </c>
      <c r="X1142" s="1" t="str">
        <f>IF(Table1[[#This Row],[DUT Read]]="","N/A",Table1[[#This Row],[Std Error]]+Table1[[#This Row],[DUT Read]]+Table1[[#This Row],[DUT Ucty]])</f>
        <v>N/A</v>
      </c>
      <c r="Y1142" s="1" t="str">
        <f>IF(Table1[[#This Row],[Std Read]]="","N/A",Table1[[#This Row],[Std Read]]+Table1[[#This Row],[Std Ucty]])</f>
        <v>N/A</v>
      </c>
      <c r="Z11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2" s="1" t="str">
        <f>IF(Table1[[#This Row],[Spec Type]]="","N/A",Table1[[#This Row],[Spec Type]])</f>
        <v>±</v>
      </c>
      <c r="AC1142" s="1" t="str">
        <f>IF(Table1[[#This Row],[Spec Type2]]="N/A","N/A",IF(AND(Table1[[#This Row],[DUT Adj Read]]&gt;=Table1[[#This Row],[Low Tol]],Table1[[#This Row],[DUT Adj Read]]&lt;=Table1[[#This Row],[High Tol]]),"Pass","Fail"))</f>
        <v>Fail</v>
      </c>
      <c r="AD1142" s="1" t="str">
        <f>IF(AND(Table1[[#This Row],[Spec Type2]]="N/A",Table1[[#This Row],[DUT Adj Read]]="N/A",Table1[[#This Row],[Std Adj Read]]="N/A"),"N/A",IF(Table1[[#This Row],[DUT Adj Read]]="N/A",IF(Table1[[#This Row],[Std Adj Read]]&gt;Table1[[#This Row],[Low Tol]],"Pass","Fail"),IF(Table1[[#This Row],[DUT Adj Read]]&gt;Table1[[#This Row],[Low Tol]],"Pass","Fail")))</f>
        <v>Pass</v>
      </c>
      <c r="AE1142" s="1" t="str">
        <f>IF(AND(Table1[[#This Row],[Spec Type2]]="N/A",Table1[[#This Row],[DUT Adj Read]]="N/A",Table1[[#This Row],[Std Adj Read]]="N/A"),"N/A",IF(Table1[[#This Row],[DUT Adj Read]]="N/A",IF(Table1[[#This Row],[Std Adj Read]]&lt;Table1[[#This Row],[High Tol]],"Pass","Fail"),IF(Table1[[#This Row],[DUT Adj Read]]&lt;Table1[[#This Row],[High Tol]],"Pass","Fail")))</f>
        <v>Fail</v>
      </c>
      <c r="AF1142" s="1" t="str">
        <f>IF(AND(Table1[[#This Row],[Spec Type2]]="N/A",Table1[[#This Row],[DUT Adj Read]]="N/A",Table1[[#This Row],[Std Adj Read]]="N/A"),"N/A",IF(Table1[[#This Row],[DUT Adj Read]]="N/A",IF(Table1[[#This Row],[Std Adj Read]]&gt;=Table1[[#This Row],[Low Tol]],"Pass","Fail"),IF(Table1[[#This Row],[DUT Adj Read]]&gt;=Table1[[#This Row],[Low Tol]],"Pass","Fail")))</f>
        <v>Pass</v>
      </c>
      <c r="AG1142" s="1" t="str">
        <f>IF(AND(Table1[[#This Row],[Spec Type2]]="N/A",Table1[[#This Row],[DUT Adj Read]]="N/A",Table1[[#This Row],[Std Adj Read]]="N/A"),"N/A",IF(Table1[[#This Row],[DUT Adj Read]]="N/A",IF(Table1[[#This Row],[Std Adj Read]]&lt;=Table1[[#This Row],[High Tol]],"Pass","Fail"),IF(Table1[[#This Row],[DUT Adj Read]]&lt;=Table1[[#This Row],[High Tol]],"Pass","Fail")))</f>
        <v>Fail</v>
      </c>
      <c r="AH11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2" s="1" t="b">
        <v>0</v>
      </c>
      <c r="AN1142" s="1" t="b">
        <v>0</v>
      </c>
      <c r="AO1142" s="1" t="b">
        <v>0</v>
      </c>
    </row>
    <row r="1143" spans="1:41" x14ac:dyDescent="0.25">
      <c r="A1143" s="10"/>
      <c r="B1143" s="10"/>
      <c r="C1143" s="10"/>
      <c r="D1143" s="10"/>
      <c r="E1143" s="10"/>
      <c r="F1143" s="10"/>
      <c r="G1143" s="10"/>
      <c r="H1143" s="10"/>
      <c r="I1143" s="1" t="str">
        <f t="shared" si="51"/>
        <v/>
      </c>
      <c r="J1143" s="1" t="s">
        <v>35</v>
      </c>
      <c r="K1143" s="1" t="str">
        <f t="shared" si="52"/>
        <v/>
      </c>
      <c r="L1143" s="1" t="str">
        <f t="shared" si="53"/>
        <v/>
      </c>
      <c r="M1143" s="1">
        <f>IF(OR(Table1[[#This Row],[Std Nom]]="",Table1[[#This Row],[Std Read]]=""),0,Table1[[#This Row],[Std Nom]]-Table1[[#This Row],[Std Read]])</f>
        <v>0</v>
      </c>
      <c r="N1143" s="1">
        <f>IF(Calculations!$F$5="ACCREDITED 17025 WITH UNCERTAINTIES",$N$10,0)</f>
        <v>0</v>
      </c>
      <c r="O1143" s="1" t="str">
        <f>IFERROR(Table1[[#This Row],[Std Nom]]-(_xlfn.XLOOKUP(Table1[[#This Row],[Manufacturer]]&amp;" "&amp;Table1[[#This Row],[Model]],Table13[MFR &amp; MDL],Table13[Tolerance % CW ],"")/100*Table1[[#This Row],[Std Nom]]),"")</f>
        <v/>
      </c>
      <c r="P1143" s="1" t="str">
        <f>IFERROR(Table1[[#This Row],[Std Nom]]+(_xlfn.XLOOKUP(Table1[[#This Row],[Manufacturer]]&amp;" "&amp;Table1[[#This Row],[Model]],Table13[MFR &amp; MDL],Table13[Tolerance % CW ],"")/100*Table1[[#This Row],[Std Nom]]),"")</f>
        <v/>
      </c>
      <c r="Q1143" s="1" t="e">
        <f>Table1[[#This Row],[High Tol]]-Table1[[#This Row],[Low Tol]]</f>
        <v>#VALUE!</v>
      </c>
      <c r="R1143" s="1">
        <f>2*Table1[[#This Row],[Std Error]]</f>
        <v>0</v>
      </c>
      <c r="S1143" s="1" t="str">
        <f>IF(Table1[[#This Row],[High Tol]]="","N/A",IFERROR(ABS(Table1[[#This Row],[Tol Span]]/Table1[[#This Row],[Error Span]]),"N/A"))</f>
        <v>N/A</v>
      </c>
      <c r="T1143" s="1" t="str">
        <f>IF(OR(Table1[[#This Row],[Low Tol]]="",Table1[[#This Row],[High Tol]]=""),"Needs Analysis",IF(Table1[[#This Row],[Ratio]]&gt;=4,"Not Significant",IF(Table1[[#This Row],[Ratio]]&gt;=2,"Semi-Significant","Significant")))</f>
        <v>Needs Analysis</v>
      </c>
      <c r="W1143" s="1">
        <f>IF(Table1[[#This Row],[Cal Type]]&lt;&gt;"ACCREDITED 17025 WITH UNCERTAINTIES",0,"")</f>
        <v>0</v>
      </c>
      <c r="X1143" s="1" t="str">
        <f>IF(Table1[[#This Row],[DUT Read]]="","N/A",Table1[[#This Row],[Std Error]]+Table1[[#This Row],[DUT Read]]+Table1[[#This Row],[DUT Ucty]])</f>
        <v>N/A</v>
      </c>
      <c r="Y1143" s="1" t="str">
        <f>IF(Table1[[#This Row],[Std Read]]="","N/A",Table1[[#This Row],[Std Read]]+Table1[[#This Row],[Std Ucty]])</f>
        <v>N/A</v>
      </c>
      <c r="Z11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3" s="1" t="str">
        <f>IF(Table1[[#This Row],[Spec Type]]="","N/A",Table1[[#This Row],[Spec Type]])</f>
        <v>±</v>
      </c>
      <c r="AC1143" s="1" t="str">
        <f>IF(Table1[[#This Row],[Spec Type2]]="N/A","N/A",IF(AND(Table1[[#This Row],[DUT Adj Read]]&gt;=Table1[[#This Row],[Low Tol]],Table1[[#This Row],[DUT Adj Read]]&lt;=Table1[[#This Row],[High Tol]]),"Pass","Fail"))</f>
        <v>Fail</v>
      </c>
      <c r="AD1143" s="1" t="str">
        <f>IF(AND(Table1[[#This Row],[Spec Type2]]="N/A",Table1[[#This Row],[DUT Adj Read]]="N/A",Table1[[#This Row],[Std Adj Read]]="N/A"),"N/A",IF(Table1[[#This Row],[DUT Adj Read]]="N/A",IF(Table1[[#This Row],[Std Adj Read]]&gt;Table1[[#This Row],[Low Tol]],"Pass","Fail"),IF(Table1[[#This Row],[DUT Adj Read]]&gt;Table1[[#This Row],[Low Tol]],"Pass","Fail")))</f>
        <v>Pass</v>
      </c>
      <c r="AE1143" s="1" t="str">
        <f>IF(AND(Table1[[#This Row],[Spec Type2]]="N/A",Table1[[#This Row],[DUT Adj Read]]="N/A",Table1[[#This Row],[Std Adj Read]]="N/A"),"N/A",IF(Table1[[#This Row],[DUT Adj Read]]="N/A",IF(Table1[[#This Row],[Std Adj Read]]&lt;Table1[[#This Row],[High Tol]],"Pass","Fail"),IF(Table1[[#This Row],[DUT Adj Read]]&lt;Table1[[#This Row],[High Tol]],"Pass","Fail")))</f>
        <v>Fail</v>
      </c>
      <c r="AF1143" s="1" t="str">
        <f>IF(AND(Table1[[#This Row],[Spec Type2]]="N/A",Table1[[#This Row],[DUT Adj Read]]="N/A",Table1[[#This Row],[Std Adj Read]]="N/A"),"N/A",IF(Table1[[#This Row],[DUT Adj Read]]="N/A",IF(Table1[[#This Row],[Std Adj Read]]&gt;=Table1[[#This Row],[Low Tol]],"Pass","Fail"),IF(Table1[[#This Row],[DUT Adj Read]]&gt;=Table1[[#This Row],[Low Tol]],"Pass","Fail")))</f>
        <v>Pass</v>
      </c>
      <c r="AG1143" s="1" t="str">
        <f>IF(AND(Table1[[#This Row],[Spec Type2]]="N/A",Table1[[#This Row],[DUT Adj Read]]="N/A",Table1[[#This Row],[Std Adj Read]]="N/A"),"N/A",IF(Table1[[#This Row],[DUT Adj Read]]="N/A",IF(Table1[[#This Row],[Std Adj Read]]&lt;=Table1[[#This Row],[High Tol]],"Pass","Fail"),IF(Table1[[#This Row],[DUT Adj Read]]&lt;=Table1[[#This Row],[High Tol]],"Pass","Fail")))</f>
        <v>Fail</v>
      </c>
      <c r="AH11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3" s="1" t="b">
        <v>0</v>
      </c>
      <c r="AN1143" s="1" t="b">
        <v>0</v>
      </c>
      <c r="AO1143" s="1" t="b">
        <v>0</v>
      </c>
    </row>
    <row r="1144" spans="1:41" x14ac:dyDescent="0.25">
      <c r="A1144" s="10"/>
      <c r="B1144" s="10"/>
      <c r="C1144" s="10"/>
      <c r="D1144" s="10"/>
      <c r="E1144" s="10"/>
      <c r="F1144" s="10"/>
      <c r="G1144" s="10"/>
      <c r="H1144" s="10"/>
      <c r="I1144" s="1" t="str">
        <f t="shared" si="51"/>
        <v/>
      </c>
      <c r="J1144" s="1" t="s">
        <v>35</v>
      </c>
      <c r="K1144" s="1" t="str">
        <f t="shared" si="52"/>
        <v/>
      </c>
      <c r="L1144" s="1" t="str">
        <f t="shared" si="53"/>
        <v/>
      </c>
      <c r="M1144" s="1">
        <f>IF(OR(Table1[[#This Row],[Std Nom]]="",Table1[[#This Row],[Std Read]]=""),0,Table1[[#This Row],[Std Nom]]-Table1[[#This Row],[Std Read]])</f>
        <v>0</v>
      </c>
      <c r="N1144" s="1">
        <f>IF(Calculations!$F$5="ACCREDITED 17025 WITH UNCERTAINTIES",$N$10,0)</f>
        <v>0</v>
      </c>
      <c r="O1144" s="1" t="str">
        <f>IFERROR(Table1[[#This Row],[Std Nom]]-(_xlfn.XLOOKUP(Table1[[#This Row],[Manufacturer]]&amp;" "&amp;Table1[[#This Row],[Model]],Table13[MFR &amp; MDL],Table13[Tolerance % CW ],"")/100*Table1[[#This Row],[Std Nom]]),"")</f>
        <v/>
      </c>
      <c r="P1144" s="1" t="str">
        <f>IFERROR(Table1[[#This Row],[Std Nom]]+(_xlfn.XLOOKUP(Table1[[#This Row],[Manufacturer]]&amp;" "&amp;Table1[[#This Row],[Model]],Table13[MFR &amp; MDL],Table13[Tolerance % CW ],"")/100*Table1[[#This Row],[Std Nom]]),"")</f>
        <v/>
      </c>
      <c r="Q1144" s="1" t="e">
        <f>Table1[[#This Row],[High Tol]]-Table1[[#This Row],[Low Tol]]</f>
        <v>#VALUE!</v>
      </c>
      <c r="R1144" s="1">
        <f>2*Table1[[#This Row],[Std Error]]</f>
        <v>0</v>
      </c>
      <c r="S1144" s="1" t="str">
        <f>IF(Table1[[#This Row],[High Tol]]="","N/A",IFERROR(ABS(Table1[[#This Row],[Tol Span]]/Table1[[#This Row],[Error Span]]),"N/A"))</f>
        <v>N/A</v>
      </c>
      <c r="T1144" s="1" t="str">
        <f>IF(OR(Table1[[#This Row],[Low Tol]]="",Table1[[#This Row],[High Tol]]=""),"Needs Analysis",IF(Table1[[#This Row],[Ratio]]&gt;=4,"Not Significant",IF(Table1[[#This Row],[Ratio]]&gt;=2,"Semi-Significant","Significant")))</f>
        <v>Needs Analysis</v>
      </c>
      <c r="W1144" s="1">
        <f>IF(Table1[[#This Row],[Cal Type]]&lt;&gt;"ACCREDITED 17025 WITH UNCERTAINTIES",0,"")</f>
        <v>0</v>
      </c>
      <c r="X1144" s="1" t="str">
        <f>IF(Table1[[#This Row],[DUT Read]]="","N/A",Table1[[#This Row],[Std Error]]+Table1[[#This Row],[DUT Read]]+Table1[[#This Row],[DUT Ucty]])</f>
        <v>N/A</v>
      </c>
      <c r="Y1144" s="1" t="str">
        <f>IF(Table1[[#This Row],[Std Read]]="","N/A",Table1[[#This Row],[Std Read]]+Table1[[#This Row],[Std Ucty]])</f>
        <v>N/A</v>
      </c>
      <c r="Z11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4" s="1" t="str">
        <f>IF(Table1[[#This Row],[Spec Type]]="","N/A",Table1[[#This Row],[Spec Type]])</f>
        <v>±</v>
      </c>
      <c r="AC1144" s="1" t="str">
        <f>IF(Table1[[#This Row],[Spec Type2]]="N/A","N/A",IF(AND(Table1[[#This Row],[DUT Adj Read]]&gt;=Table1[[#This Row],[Low Tol]],Table1[[#This Row],[DUT Adj Read]]&lt;=Table1[[#This Row],[High Tol]]),"Pass","Fail"))</f>
        <v>Fail</v>
      </c>
      <c r="AD1144" s="1" t="str">
        <f>IF(AND(Table1[[#This Row],[Spec Type2]]="N/A",Table1[[#This Row],[DUT Adj Read]]="N/A",Table1[[#This Row],[Std Adj Read]]="N/A"),"N/A",IF(Table1[[#This Row],[DUT Adj Read]]="N/A",IF(Table1[[#This Row],[Std Adj Read]]&gt;Table1[[#This Row],[Low Tol]],"Pass","Fail"),IF(Table1[[#This Row],[DUT Adj Read]]&gt;Table1[[#This Row],[Low Tol]],"Pass","Fail")))</f>
        <v>Pass</v>
      </c>
      <c r="AE1144" s="1" t="str">
        <f>IF(AND(Table1[[#This Row],[Spec Type2]]="N/A",Table1[[#This Row],[DUT Adj Read]]="N/A",Table1[[#This Row],[Std Adj Read]]="N/A"),"N/A",IF(Table1[[#This Row],[DUT Adj Read]]="N/A",IF(Table1[[#This Row],[Std Adj Read]]&lt;Table1[[#This Row],[High Tol]],"Pass","Fail"),IF(Table1[[#This Row],[DUT Adj Read]]&lt;Table1[[#This Row],[High Tol]],"Pass","Fail")))</f>
        <v>Fail</v>
      </c>
      <c r="AF1144" s="1" t="str">
        <f>IF(AND(Table1[[#This Row],[Spec Type2]]="N/A",Table1[[#This Row],[DUT Adj Read]]="N/A",Table1[[#This Row],[Std Adj Read]]="N/A"),"N/A",IF(Table1[[#This Row],[DUT Adj Read]]="N/A",IF(Table1[[#This Row],[Std Adj Read]]&gt;=Table1[[#This Row],[Low Tol]],"Pass","Fail"),IF(Table1[[#This Row],[DUT Adj Read]]&gt;=Table1[[#This Row],[Low Tol]],"Pass","Fail")))</f>
        <v>Pass</v>
      </c>
      <c r="AG1144" s="1" t="str">
        <f>IF(AND(Table1[[#This Row],[Spec Type2]]="N/A",Table1[[#This Row],[DUT Adj Read]]="N/A",Table1[[#This Row],[Std Adj Read]]="N/A"),"N/A",IF(Table1[[#This Row],[DUT Adj Read]]="N/A",IF(Table1[[#This Row],[Std Adj Read]]&lt;=Table1[[#This Row],[High Tol]],"Pass","Fail"),IF(Table1[[#This Row],[DUT Adj Read]]&lt;=Table1[[#This Row],[High Tol]],"Pass","Fail")))</f>
        <v>Fail</v>
      </c>
      <c r="AH11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4" s="1" t="b">
        <v>0</v>
      </c>
      <c r="AN1144" s="1" t="b">
        <v>0</v>
      </c>
      <c r="AO1144" s="1" t="b">
        <v>0</v>
      </c>
    </row>
    <row r="1145" spans="1:41" x14ac:dyDescent="0.25">
      <c r="A1145" s="10"/>
      <c r="B1145" s="10"/>
      <c r="C1145" s="10"/>
      <c r="D1145" s="10"/>
      <c r="E1145" s="10"/>
      <c r="F1145" s="10"/>
      <c r="G1145" s="10"/>
      <c r="H1145" s="10"/>
      <c r="I1145" s="1" t="str">
        <f t="shared" si="51"/>
        <v/>
      </c>
      <c r="J1145" s="1" t="s">
        <v>35</v>
      </c>
      <c r="K1145" s="1" t="str">
        <f t="shared" si="52"/>
        <v/>
      </c>
      <c r="L1145" s="1" t="str">
        <f t="shared" si="53"/>
        <v/>
      </c>
      <c r="M1145" s="1">
        <f>IF(OR(Table1[[#This Row],[Std Nom]]="",Table1[[#This Row],[Std Read]]=""),0,Table1[[#This Row],[Std Nom]]-Table1[[#This Row],[Std Read]])</f>
        <v>0</v>
      </c>
      <c r="N1145" s="1">
        <f>IF(Calculations!$F$5="ACCREDITED 17025 WITH UNCERTAINTIES",$N$10,0)</f>
        <v>0</v>
      </c>
      <c r="O1145" s="1" t="str">
        <f>IFERROR(Table1[[#This Row],[Std Nom]]-(_xlfn.XLOOKUP(Table1[[#This Row],[Manufacturer]]&amp;" "&amp;Table1[[#This Row],[Model]],Table13[MFR &amp; MDL],Table13[Tolerance % CW ],"")/100*Table1[[#This Row],[Std Nom]]),"")</f>
        <v/>
      </c>
      <c r="P1145" s="1" t="str">
        <f>IFERROR(Table1[[#This Row],[Std Nom]]+(_xlfn.XLOOKUP(Table1[[#This Row],[Manufacturer]]&amp;" "&amp;Table1[[#This Row],[Model]],Table13[MFR &amp; MDL],Table13[Tolerance % CW ],"")/100*Table1[[#This Row],[Std Nom]]),"")</f>
        <v/>
      </c>
      <c r="Q1145" s="1" t="e">
        <f>Table1[[#This Row],[High Tol]]-Table1[[#This Row],[Low Tol]]</f>
        <v>#VALUE!</v>
      </c>
      <c r="R1145" s="1">
        <f>2*Table1[[#This Row],[Std Error]]</f>
        <v>0</v>
      </c>
      <c r="S1145" s="1" t="str">
        <f>IF(Table1[[#This Row],[High Tol]]="","N/A",IFERROR(ABS(Table1[[#This Row],[Tol Span]]/Table1[[#This Row],[Error Span]]),"N/A"))</f>
        <v>N/A</v>
      </c>
      <c r="T1145" s="1" t="str">
        <f>IF(OR(Table1[[#This Row],[Low Tol]]="",Table1[[#This Row],[High Tol]]=""),"Needs Analysis",IF(Table1[[#This Row],[Ratio]]&gt;=4,"Not Significant",IF(Table1[[#This Row],[Ratio]]&gt;=2,"Semi-Significant","Significant")))</f>
        <v>Needs Analysis</v>
      </c>
      <c r="W1145" s="1">
        <f>IF(Table1[[#This Row],[Cal Type]]&lt;&gt;"ACCREDITED 17025 WITH UNCERTAINTIES",0,"")</f>
        <v>0</v>
      </c>
      <c r="X1145" s="1" t="str">
        <f>IF(Table1[[#This Row],[DUT Read]]="","N/A",Table1[[#This Row],[Std Error]]+Table1[[#This Row],[DUT Read]]+Table1[[#This Row],[DUT Ucty]])</f>
        <v>N/A</v>
      </c>
      <c r="Y1145" s="1" t="str">
        <f>IF(Table1[[#This Row],[Std Read]]="","N/A",Table1[[#This Row],[Std Read]]+Table1[[#This Row],[Std Ucty]])</f>
        <v>N/A</v>
      </c>
      <c r="Z11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5" s="1" t="str">
        <f>IF(Table1[[#This Row],[Spec Type]]="","N/A",Table1[[#This Row],[Spec Type]])</f>
        <v>±</v>
      </c>
      <c r="AC1145" s="1" t="str">
        <f>IF(Table1[[#This Row],[Spec Type2]]="N/A","N/A",IF(AND(Table1[[#This Row],[DUT Adj Read]]&gt;=Table1[[#This Row],[Low Tol]],Table1[[#This Row],[DUT Adj Read]]&lt;=Table1[[#This Row],[High Tol]]),"Pass","Fail"))</f>
        <v>Fail</v>
      </c>
      <c r="AD1145" s="1" t="str">
        <f>IF(AND(Table1[[#This Row],[Spec Type2]]="N/A",Table1[[#This Row],[DUT Adj Read]]="N/A",Table1[[#This Row],[Std Adj Read]]="N/A"),"N/A",IF(Table1[[#This Row],[DUT Adj Read]]="N/A",IF(Table1[[#This Row],[Std Adj Read]]&gt;Table1[[#This Row],[Low Tol]],"Pass","Fail"),IF(Table1[[#This Row],[DUT Adj Read]]&gt;Table1[[#This Row],[Low Tol]],"Pass","Fail")))</f>
        <v>Pass</v>
      </c>
      <c r="AE1145" s="1" t="str">
        <f>IF(AND(Table1[[#This Row],[Spec Type2]]="N/A",Table1[[#This Row],[DUT Adj Read]]="N/A",Table1[[#This Row],[Std Adj Read]]="N/A"),"N/A",IF(Table1[[#This Row],[DUT Adj Read]]="N/A",IF(Table1[[#This Row],[Std Adj Read]]&lt;Table1[[#This Row],[High Tol]],"Pass","Fail"),IF(Table1[[#This Row],[DUT Adj Read]]&lt;Table1[[#This Row],[High Tol]],"Pass","Fail")))</f>
        <v>Fail</v>
      </c>
      <c r="AF1145" s="1" t="str">
        <f>IF(AND(Table1[[#This Row],[Spec Type2]]="N/A",Table1[[#This Row],[DUT Adj Read]]="N/A",Table1[[#This Row],[Std Adj Read]]="N/A"),"N/A",IF(Table1[[#This Row],[DUT Adj Read]]="N/A",IF(Table1[[#This Row],[Std Adj Read]]&gt;=Table1[[#This Row],[Low Tol]],"Pass","Fail"),IF(Table1[[#This Row],[DUT Adj Read]]&gt;=Table1[[#This Row],[Low Tol]],"Pass","Fail")))</f>
        <v>Pass</v>
      </c>
      <c r="AG1145" s="1" t="str">
        <f>IF(AND(Table1[[#This Row],[Spec Type2]]="N/A",Table1[[#This Row],[DUT Adj Read]]="N/A",Table1[[#This Row],[Std Adj Read]]="N/A"),"N/A",IF(Table1[[#This Row],[DUT Adj Read]]="N/A",IF(Table1[[#This Row],[Std Adj Read]]&lt;=Table1[[#This Row],[High Tol]],"Pass","Fail"),IF(Table1[[#This Row],[DUT Adj Read]]&lt;=Table1[[#This Row],[High Tol]],"Pass","Fail")))</f>
        <v>Fail</v>
      </c>
      <c r="AH11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5" s="1" t="b">
        <v>0</v>
      </c>
      <c r="AN1145" s="1" t="b">
        <v>0</v>
      </c>
      <c r="AO1145" s="1" t="b">
        <v>0</v>
      </c>
    </row>
    <row r="1146" spans="1:41" x14ac:dyDescent="0.25">
      <c r="A1146" s="10"/>
      <c r="B1146" s="10"/>
      <c r="C1146" s="10"/>
      <c r="D1146" s="10"/>
      <c r="E1146" s="10"/>
      <c r="F1146" s="10"/>
      <c r="G1146" s="10"/>
      <c r="H1146" s="10"/>
      <c r="I1146" s="1" t="str">
        <f t="shared" si="51"/>
        <v/>
      </c>
      <c r="J1146" s="1" t="s">
        <v>35</v>
      </c>
      <c r="K1146" s="1" t="str">
        <f t="shared" si="52"/>
        <v/>
      </c>
      <c r="L1146" s="1" t="str">
        <f t="shared" si="53"/>
        <v/>
      </c>
      <c r="M1146" s="1">
        <f>IF(OR(Table1[[#This Row],[Std Nom]]="",Table1[[#This Row],[Std Read]]=""),0,Table1[[#This Row],[Std Nom]]-Table1[[#This Row],[Std Read]])</f>
        <v>0</v>
      </c>
      <c r="N1146" s="1">
        <f>IF(Calculations!$F$5="ACCREDITED 17025 WITH UNCERTAINTIES",$N$10,0)</f>
        <v>0</v>
      </c>
      <c r="O1146" s="1" t="str">
        <f>IFERROR(Table1[[#This Row],[Std Nom]]-(_xlfn.XLOOKUP(Table1[[#This Row],[Manufacturer]]&amp;" "&amp;Table1[[#This Row],[Model]],Table13[MFR &amp; MDL],Table13[Tolerance % CW ],"")/100*Table1[[#This Row],[Std Nom]]),"")</f>
        <v/>
      </c>
      <c r="P1146" s="1" t="str">
        <f>IFERROR(Table1[[#This Row],[Std Nom]]+(_xlfn.XLOOKUP(Table1[[#This Row],[Manufacturer]]&amp;" "&amp;Table1[[#This Row],[Model]],Table13[MFR &amp; MDL],Table13[Tolerance % CW ],"")/100*Table1[[#This Row],[Std Nom]]),"")</f>
        <v/>
      </c>
      <c r="Q1146" s="1" t="e">
        <f>Table1[[#This Row],[High Tol]]-Table1[[#This Row],[Low Tol]]</f>
        <v>#VALUE!</v>
      </c>
      <c r="R1146" s="1">
        <f>2*Table1[[#This Row],[Std Error]]</f>
        <v>0</v>
      </c>
      <c r="S1146" s="1" t="str">
        <f>IF(Table1[[#This Row],[High Tol]]="","N/A",IFERROR(ABS(Table1[[#This Row],[Tol Span]]/Table1[[#This Row],[Error Span]]),"N/A"))</f>
        <v>N/A</v>
      </c>
      <c r="T1146" s="1" t="str">
        <f>IF(OR(Table1[[#This Row],[Low Tol]]="",Table1[[#This Row],[High Tol]]=""),"Needs Analysis",IF(Table1[[#This Row],[Ratio]]&gt;=4,"Not Significant",IF(Table1[[#This Row],[Ratio]]&gt;=2,"Semi-Significant","Significant")))</f>
        <v>Needs Analysis</v>
      </c>
      <c r="W1146" s="1">
        <f>IF(Table1[[#This Row],[Cal Type]]&lt;&gt;"ACCREDITED 17025 WITH UNCERTAINTIES",0,"")</f>
        <v>0</v>
      </c>
      <c r="X1146" s="1" t="str">
        <f>IF(Table1[[#This Row],[DUT Read]]="","N/A",Table1[[#This Row],[Std Error]]+Table1[[#This Row],[DUT Read]]+Table1[[#This Row],[DUT Ucty]])</f>
        <v>N/A</v>
      </c>
      <c r="Y1146" s="1" t="str">
        <f>IF(Table1[[#This Row],[Std Read]]="","N/A",Table1[[#This Row],[Std Read]]+Table1[[#This Row],[Std Ucty]])</f>
        <v>N/A</v>
      </c>
      <c r="Z11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6" s="1" t="str">
        <f>IF(Table1[[#This Row],[Spec Type]]="","N/A",Table1[[#This Row],[Spec Type]])</f>
        <v>±</v>
      </c>
      <c r="AC1146" s="1" t="str">
        <f>IF(Table1[[#This Row],[Spec Type2]]="N/A","N/A",IF(AND(Table1[[#This Row],[DUT Adj Read]]&gt;=Table1[[#This Row],[Low Tol]],Table1[[#This Row],[DUT Adj Read]]&lt;=Table1[[#This Row],[High Tol]]),"Pass","Fail"))</f>
        <v>Fail</v>
      </c>
      <c r="AD1146" s="1" t="str">
        <f>IF(AND(Table1[[#This Row],[Spec Type2]]="N/A",Table1[[#This Row],[DUT Adj Read]]="N/A",Table1[[#This Row],[Std Adj Read]]="N/A"),"N/A",IF(Table1[[#This Row],[DUT Adj Read]]="N/A",IF(Table1[[#This Row],[Std Adj Read]]&gt;Table1[[#This Row],[Low Tol]],"Pass","Fail"),IF(Table1[[#This Row],[DUT Adj Read]]&gt;Table1[[#This Row],[Low Tol]],"Pass","Fail")))</f>
        <v>Pass</v>
      </c>
      <c r="AE1146" s="1" t="str">
        <f>IF(AND(Table1[[#This Row],[Spec Type2]]="N/A",Table1[[#This Row],[DUT Adj Read]]="N/A",Table1[[#This Row],[Std Adj Read]]="N/A"),"N/A",IF(Table1[[#This Row],[DUT Adj Read]]="N/A",IF(Table1[[#This Row],[Std Adj Read]]&lt;Table1[[#This Row],[High Tol]],"Pass","Fail"),IF(Table1[[#This Row],[DUT Adj Read]]&lt;Table1[[#This Row],[High Tol]],"Pass","Fail")))</f>
        <v>Fail</v>
      </c>
      <c r="AF1146" s="1" t="str">
        <f>IF(AND(Table1[[#This Row],[Spec Type2]]="N/A",Table1[[#This Row],[DUT Adj Read]]="N/A",Table1[[#This Row],[Std Adj Read]]="N/A"),"N/A",IF(Table1[[#This Row],[DUT Adj Read]]="N/A",IF(Table1[[#This Row],[Std Adj Read]]&gt;=Table1[[#This Row],[Low Tol]],"Pass","Fail"),IF(Table1[[#This Row],[DUT Adj Read]]&gt;=Table1[[#This Row],[Low Tol]],"Pass","Fail")))</f>
        <v>Pass</v>
      </c>
      <c r="AG1146" s="1" t="str">
        <f>IF(AND(Table1[[#This Row],[Spec Type2]]="N/A",Table1[[#This Row],[DUT Adj Read]]="N/A",Table1[[#This Row],[Std Adj Read]]="N/A"),"N/A",IF(Table1[[#This Row],[DUT Adj Read]]="N/A",IF(Table1[[#This Row],[Std Adj Read]]&lt;=Table1[[#This Row],[High Tol]],"Pass","Fail"),IF(Table1[[#This Row],[DUT Adj Read]]&lt;=Table1[[#This Row],[High Tol]],"Pass","Fail")))</f>
        <v>Fail</v>
      </c>
      <c r="AH11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6" s="1" t="b">
        <v>0</v>
      </c>
      <c r="AN1146" s="1" t="b">
        <v>0</v>
      </c>
      <c r="AO1146" s="1" t="b">
        <v>0</v>
      </c>
    </row>
    <row r="1147" spans="1:41" x14ac:dyDescent="0.25">
      <c r="A1147" s="10"/>
      <c r="B1147" s="10"/>
      <c r="C1147" s="10"/>
      <c r="D1147" s="10"/>
      <c r="E1147" s="10"/>
      <c r="F1147" s="10"/>
      <c r="G1147" s="10"/>
      <c r="H1147" s="10"/>
      <c r="I1147" s="1" t="str">
        <f t="shared" si="51"/>
        <v/>
      </c>
      <c r="J1147" s="1" t="s">
        <v>35</v>
      </c>
      <c r="K1147" s="1" t="str">
        <f t="shared" si="52"/>
        <v/>
      </c>
      <c r="L1147" s="1" t="str">
        <f t="shared" si="53"/>
        <v/>
      </c>
      <c r="M1147" s="1">
        <f>IF(OR(Table1[[#This Row],[Std Nom]]="",Table1[[#This Row],[Std Read]]=""),0,Table1[[#This Row],[Std Nom]]-Table1[[#This Row],[Std Read]])</f>
        <v>0</v>
      </c>
      <c r="N1147" s="1">
        <f>IF(Calculations!$F$5="ACCREDITED 17025 WITH UNCERTAINTIES",$N$10,0)</f>
        <v>0</v>
      </c>
      <c r="O1147" s="1" t="str">
        <f>IFERROR(Table1[[#This Row],[Std Nom]]-(_xlfn.XLOOKUP(Table1[[#This Row],[Manufacturer]]&amp;" "&amp;Table1[[#This Row],[Model]],Table13[MFR &amp; MDL],Table13[Tolerance % CW ],"")/100*Table1[[#This Row],[Std Nom]]),"")</f>
        <v/>
      </c>
      <c r="P1147" s="1" t="str">
        <f>IFERROR(Table1[[#This Row],[Std Nom]]+(_xlfn.XLOOKUP(Table1[[#This Row],[Manufacturer]]&amp;" "&amp;Table1[[#This Row],[Model]],Table13[MFR &amp; MDL],Table13[Tolerance % CW ],"")/100*Table1[[#This Row],[Std Nom]]),"")</f>
        <v/>
      </c>
      <c r="Q1147" s="1" t="e">
        <f>Table1[[#This Row],[High Tol]]-Table1[[#This Row],[Low Tol]]</f>
        <v>#VALUE!</v>
      </c>
      <c r="R1147" s="1">
        <f>2*Table1[[#This Row],[Std Error]]</f>
        <v>0</v>
      </c>
      <c r="S1147" s="1" t="str">
        <f>IF(Table1[[#This Row],[High Tol]]="","N/A",IFERROR(ABS(Table1[[#This Row],[Tol Span]]/Table1[[#This Row],[Error Span]]),"N/A"))</f>
        <v>N/A</v>
      </c>
      <c r="T1147" s="1" t="str">
        <f>IF(OR(Table1[[#This Row],[Low Tol]]="",Table1[[#This Row],[High Tol]]=""),"Needs Analysis",IF(Table1[[#This Row],[Ratio]]&gt;=4,"Not Significant",IF(Table1[[#This Row],[Ratio]]&gt;=2,"Semi-Significant","Significant")))</f>
        <v>Needs Analysis</v>
      </c>
      <c r="W1147" s="1">
        <f>IF(Table1[[#This Row],[Cal Type]]&lt;&gt;"ACCREDITED 17025 WITH UNCERTAINTIES",0,"")</f>
        <v>0</v>
      </c>
      <c r="X1147" s="1" t="str">
        <f>IF(Table1[[#This Row],[DUT Read]]="","N/A",Table1[[#This Row],[Std Error]]+Table1[[#This Row],[DUT Read]]+Table1[[#This Row],[DUT Ucty]])</f>
        <v>N/A</v>
      </c>
      <c r="Y1147" s="1" t="str">
        <f>IF(Table1[[#This Row],[Std Read]]="","N/A",Table1[[#This Row],[Std Read]]+Table1[[#This Row],[Std Ucty]])</f>
        <v>N/A</v>
      </c>
      <c r="Z11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7" s="1" t="str">
        <f>IF(Table1[[#This Row],[Spec Type]]="","N/A",Table1[[#This Row],[Spec Type]])</f>
        <v>±</v>
      </c>
      <c r="AC1147" s="1" t="str">
        <f>IF(Table1[[#This Row],[Spec Type2]]="N/A","N/A",IF(AND(Table1[[#This Row],[DUT Adj Read]]&gt;=Table1[[#This Row],[Low Tol]],Table1[[#This Row],[DUT Adj Read]]&lt;=Table1[[#This Row],[High Tol]]),"Pass","Fail"))</f>
        <v>Fail</v>
      </c>
      <c r="AD1147" s="1" t="str">
        <f>IF(AND(Table1[[#This Row],[Spec Type2]]="N/A",Table1[[#This Row],[DUT Adj Read]]="N/A",Table1[[#This Row],[Std Adj Read]]="N/A"),"N/A",IF(Table1[[#This Row],[DUT Adj Read]]="N/A",IF(Table1[[#This Row],[Std Adj Read]]&gt;Table1[[#This Row],[Low Tol]],"Pass","Fail"),IF(Table1[[#This Row],[DUT Adj Read]]&gt;Table1[[#This Row],[Low Tol]],"Pass","Fail")))</f>
        <v>Pass</v>
      </c>
      <c r="AE1147" s="1" t="str">
        <f>IF(AND(Table1[[#This Row],[Spec Type2]]="N/A",Table1[[#This Row],[DUT Adj Read]]="N/A",Table1[[#This Row],[Std Adj Read]]="N/A"),"N/A",IF(Table1[[#This Row],[DUT Adj Read]]="N/A",IF(Table1[[#This Row],[Std Adj Read]]&lt;Table1[[#This Row],[High Tol]],"Pass","Fail"),IF(Table1[[#This Row],[DUT Adj Read]]&lt;Table1[[#This Row],[High Tol]],"Pass","Fail")))</f>
        <v>Fail</v>
      </c>
      <c r="AF1147" s="1" t="str">
        <f>IF(AND(Table1[[#This Row],[Spec Type2]]="N/A",Table1[[#This Row],[DUT Adj Read]]="N/A",Table1[[#This Row],[Std Adj Read]]="N/A"),"N/A",IF(Table1[[#This Row],[DUT Adj Read]]="N/A",IF(Table1[[#This Row],[Std Adj Read]]&gt;=Table1[[#This Row],[Low Tol]],"Pass","Fail"),IF(Table1[[#This Row],[DUT Adj Read]]&gt;=Table1[[#This Row],[Low Tol]],"Pass","Fail")))</f>
        <v>Pass</v>
      </c>
      <c r="AG1147" s="1" t="str">
        <f>IF(AND(Table1[[#This Row],[Spec Type2]]="N/A",Table1[[#This Row],[DUT Adj Read]]="N/A",Table1[[#This Row],[Std Adj Read]]="N/A"),"N/A",IF(Table1[[#This Row],[DUT Adj Read]]="N/A",IF(Table1[[#This Row],[Std Adj Read]]&lt;=Table1[[#This Row],[High Tol]],"Pass","Fail"),IF(Table1[[#This Row],[DUT Adj Read]]&lt;=Table1[[#This Row],[High Tol]],"Pass","Fail")))</f>
        <v>Fail</v>
      </c>
      <c r="AH11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7" s="1" t="b">
        <v>0</v>
      </c>
      <c r="AN1147" s="1" t="b">
        <v>0</v>
      </c>
      <c r="AO1147" s="1" t="b">
        <v>0</v>
      </c>
    </row>
    <row r="1148" spans="1:41" x14ac:dyDescent="0.25">
      <c r="A1148" s="10"/>
      <c r="B1148" s="10"/>
      <c r="C1148" s="10"/>
      <c r="D1148" s="10"/>
      <c r="E1148" s="10"/>
      <c r="F1148" s="10"/>
      <c r="G1148" s="10"/>
      <c r="H1148" s="10"/>
      <c r="I1148" s="1" t="str">
        <f t="shared" si="51"/>
        <v/>
      </c>
      <c r="J1148" s="1" t="s">
        <v>35</v>
      </c>
      <c r="K1148" s="1" t="str">
        <f t="shared" si="52"/>
        <v/>
      </c>
      <c r="L1148" s="1" t="str">
        <f t="shared" si="53"/>
        <v/>
      </c>
      <c r="M1148" s="1">
        <f>IF(OR(Table1[[#This Row],[Std Nom]]="",Table1[[#This Row],[Std Read]]=""),0,Table1[[#This Row],[Std Nom]]-Table1[[#This Row],[Std Read]])</f>
        <v>0</v>
      </c>
      <c r="N1148" s="1">
        <f>IF(Calculations!$F$5="ACCREDITED 17025 WITH UNCERTAINTIES",$N$10,0)</f>
        <v>0</v>
      </c>
      <c r="O1148" s="1" t="str">
        <f>IFERROR(Table1[[#This Row],[Std Nom]]-(_xlfn.XLOOKUP(Table1[[#This Row],[Manufacturer]]&amp;" "&amp;Table1[[#This Row],[Model]],Table13[MFR &amp; MDL],Table13[Tolerance % CW ],"")/100*Table1[[#This Row],[Std Nom]]),"")</f>
        <v/>
      </c>
      <c r="P1148" s="1" t="str">
        <f>IFERROR(Table1[[#This Row],[Std Nom]]+(_xlfn.XLOOKUP(Table1[[#This Row],[Manufacturer]]&amp;" "&amp;Table1[[#This Row],[Model]],Table13[MFR &amp; MDL],Table13[Tolerance % CW ],"")/100*Table1[[#This Row],[Std Nom]]),"")</f>
        <v/>
      </c>
      <c r="Q1148" s="1" t="e">
        <f>Table1[[#This Row],[High Tol]]-Table1[[#This Row],[Low Tol]]</f>
        <v>#VALUE!</v>
      </c>
      <c r="R1148" s="1">
        <f>2*Table1[[#This Row],[Std Error]]</f>
        <v>0</v>
      </c>
      <c r="S1148" s="1" t="str">
        <f>IF(Table1[[#This Row],[High Tol]]="","N/A",IFERROR(ABS(Table1[[#This Row],[Tol Span]]/Table1[[#This Row],[Error Span]]),"N/A"))</f>
        <v>N/A</v>
      </c>
      <c r="T1148" s="1" t="str">
        <f>IF(OR(Table1[[#This Row],[Low Tol]]="",Table1[[#This Row],[High Tol]]=""),"Needs Analysis",IF(Table1[[#This Row],[Ratio]]&gt;=4,"Not Significant",IF(Table1[[#This Row],[Ratio]]&gt;=2,"Semi-Significant","Significant")))</f>
        <v>Needs Analysis</v>
      </c>
      <c r="W1148" s="1">
        <f>IF(Table1[[#This Row],[Cal Type]]&lt;&gt;"ACCREDITED 17025 WITH UNCERTAINTIES",0,"")</f>
        <v>0</v>
      </c>
      <c r="X1148" s="1" t="str">
        <f>IF(Table1[[#This Row],[DUT Read]]="","N/A",Table1[[#This Row],[Std Error]]+Table1[[#This Row],[DUT Read]]+Table1[[#This Row],[DUT Ucty]])</f>
        <v>N/A</v>
      </c>
      <c r="Y1148" s="1" t="str">
        <f>IF(Table1[[#This Row],[Std Read]]="","N/A",Table1[[#This Row],[Std Read]]+Table1[[#This Row],[Std Ucty]])</f>
        <v>N/A</v>
      </c>
      <c r="Z11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8" s="1" t="str">
        <f>IF(Table1[[#This Row],[Spec Type]]="","N/A",Table1[[#This Row],[Spec Type]])</f>
        <v>±</v>
      </c>
      <c r="AC1148" s="1" t="str">
        <f>IF(Table1[[#This Row],[Spec Type2]]="N/A","N/A",IF(AND(Table1[[#This Row],[DUT Adj Read]]&gt;=Table1[[#This Row],[Low Tol]],Table1[[#This Row],[DUT Adj Read]]&lt;=Table1[[#This Row],[High Tol]]),"Pass","Fail"))</f>
        <v>Fail</v>
      </c>
      <c r="AD1148" s="1" t="str">
        <f>IF(AND(Table1[[#This Row],[Spec Type2]]="N/A",Table1[[#This Row],[DUT Adj Read]]="N/A",Table1[[#This Row],[Std Adj Read]]="N/A"),"N/A",IF(Table1[[#This Row],[DUT Adj Read]]="N/A",IF(Table1[[#This Row],[Std Adj Read]]&gt;Table1[[#This Row],[Low Tol]],"Pass","Fail"),IF(Table1[[#This Row],[DUT Adj Read]]&gt;Table1[[#This Row],[Low Tol]],"Pass","Fail")))</f>
        <v>Pass</v>
      </c>
      <c r="AE1148" s="1" t="str">
        <f>IF(AND(Table1[[#This Row],[Spec Type2]]="N/A",Table1[[#This Row],[DUT Adj Read]]="N/A",Table1[[#This Row],[Std Adj Read]]="N/A"),"N/A",IF(Table1[[#This Row],[DUT Adj Read]]="N/A",IF(Table1[[#This Row],[Std Adj Read]]&lt;Table1[[#This Row],[High Tol]],"Pass","Fail"),IF(Table1[[#This Row],[DUT Adj Read]]&lt;Table1[[#This Row],[High Tol]],"Pass","Fail")))</f>
        <v>Fail</v>
      </c>
      <c r="AF1148" s="1" t="str">
        <f>IF(AND(Table1[[#This Row],[Spec Type2]]="N/A",Table1[[#This Row],[DUT Adj Read]]="N/A",Table1[[#This Row],[Std Adj Read]]="N/A"),"N/A",IF(Table1[[#This Row],[DUT Adj Read]]="N/A",IF(Table1[[#This Row],[Std Adj Read]]&gt;=Table1[[#This Row],[Low Tol]],"Pass","Fail"),IF(Table1[[#This Row],[DUT Adj Read]]&gt;=Table1[[#This Row],[Low Tol]],"Pass","Fail")))</f>
        <v>Pass</v>
      </c>
      <c r="AG1148" s="1" t="str">
        <f>IF(AND(Table1[[#This Row],[Spec Type2]]="N/A",Table1[[#This Row],[DUT Adj Read]]="N/A",Table1[[#This Row],[Std Adj Read]]="N/A"),"N/A",IF(Table1[[#This Row],[DUT Adj Read]]="N/A",IF(Table1[[#This Row],[Std Adj Read]]&lt;=Table1[[#This Row],[High Tol]],"Pass","Fail"),IF(Table1[[#This Row],[DUT Adj Read]]&lt;=Table1[[#This Row],[High Tol]],"Pass","Fail")))</f>
        <v>Fail</v>
      </c>
      <c r="AH11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8" s="1" t="b">
        <v>0</v>
      </c>
      <c r="AN1148" s="1" t="b">
        <v>0</v>
      </c>
      <c r="AO1148" s="1" t="b">
        <v>0</v>
      </c>
    </row>
    <row r="1149" spans="1:41" x14ac:dyDescent="0.25">
      <c r="A1149" s="10"/>
      <c r="B1149" s="10"/>
      <c r="C1149" s="10"/>
      <c r="D1149" s="10"/>
      <c r="E1149" s="10"/>
      <c r="F1149" s="10"/>
      <c r="G1149" s="10"/>
      <c r="H1149" s="10"/>
      <c r="I1149" s="1" t="str">
        <f t="shared" si="51"/>
        <v/>
      </c>
      <c r="J1149" s="1" t="s">
        <v>35</v>
      </c>
      <c r="K1149" s="1" t="str">
        <f t="shared" si="52"/>
        <v/>
      </c>
      <c r="L1149" s="1" t="str">
        <f t="shared" si="53"/>
        <v/>
      </c>
      <c r="M1149" s="1">
        <f>IF(OR(Table1[[#This Row],[Std Nom]]="",Table1[[#This Row],[Std Read]]=""),0,Table1[[#This Row],[Std Nom]]-Table1[[#This Row],[Std Read]])</f>
        <v>0</v>
      </c>
      <c r="N1149" s="1">
        <f>IF(Calculations!$F$5="ACCREDITED 17025 WITH UNCERTAINTIES",$N$10,0)</f>
        <v>0</v>
      </c>
      <c r="O1149" s="1" t="str">
        <f>IFERROR(Table1[[#This Row],[Std Nom]]-(_xlfn.XLOOKUP(Table1[[#This Row],[Manufacturer]]&amp;" "&amp;Table1[[#This Row],[Model]],Table13[MFR &amp; MDL],Table13[Tolerance % CW ],"")/100*Table1[[#This Row],[Std Nom]]),"")</f>
        <v/>
      </c>
      <c r="P1149" s="1" t="str">
        <f>IFERROR(Table1[[#This Row],[Std Nom]]+(_xlfn.XLOOKUP(Table1[[#This Row],[Manufacturer]]&amp;" "&amp;Table1[[#This Row],[Model]],Table13[MFR &amp; MDL],Table13[Tolerance % CW ],"")/100*Table1[[#This Row],[Std Nom]]),"")</f>
        <v/>
      </c>
      <c r="Q1149" s="1" t="e">
        <f>Table1[[#This Row],[High Tol]]-Table1[[#This Row],[Low Tol]]</f>
        <v>#VALUE!</v>
      </c>
      <c r="R1149" s="1">
        <f>2*Table1[[#This Row],[Std Error]]</f>
        <v>0</v>
      </c>
      <c r="S1149" s="1" t="str">
        <f>IF(Table1[[#This Row],[High Tol]]="","N/A",IFERROR(ABS(Table1[[#This Row],[Tol Span]]/Table1[[#This Row],[Error Span]]),"N/A"))</f>
        <v>N/A</v>
      </c>
      <c r="T1149" s="1" t="str">
        <f>IF(OR(Table1[[#This Row],[Low Tol]]="",Table1[[#This Row],[High Tol]]=""),"Needs Analysis",IF(Table1[[#This Row],[Ratio]]&gt;=4,"Not Significant",IF(Table1[[#This Row],[Ratio]]&gt;=2,"Semi-Significant","Significant")))</f>
        <v>Needs Analysis</v>
      </c>
      <c r="W1149" s="1">
        <f>IF(Table1[[#This Row],[Cal Type]]&lt;&gt;"ACCREDITED 17025 WITH UNCERTAINTIES",0,"")</f>
        <v>0</v>
      </c>
      <c r="X1149" s="1" t="str">
        <f>IF(Table1[[#This Row],[DUT Read]]="","N/A",Table1[[#This Row],[Std Error]]+Table1[[#This Row],[DUT Read]]+Table1[[#This Row],[DUT Ucty]])</f>
        <v>N/A</v>
      </c>
      <c r="Y1149" s="1" t="str">
        <f>IF(Table1[[#This Row],[Std Read]]="","N/A",Table1[[#This Row],[Std Read]]+Table1[[#This Row],[Std Ucty]])</f>
        <v>N/A</v>
      </c>
      <c r="Z11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9" s="1" t="str">
        <f>IF(Table1[[#This Row],[Spec Type]]="","N/A",Table1[[#This Row],[Spec Type]])</f>
        <v>±</v>
      </c>
      <c r="AC1149" s="1" t="str">
        <f>IF(Table1[[#This Row],[Spec Type2]]="N/A","N/A",IF(AND(Table1[[#This Row],[DUT Adj Read]]&gt;=Table1[[#This Row],[Low Tol]],Table1[[#This Row],[DUT Adj Read]]&lt;=Table1[[#This Row],[High Tol]]),"Pass","Fail"))</f>
        <v>Fail</v>
      </c>
      <c r="AD1149" s="1" t="str">
        <f>IF(AND(Table1[[#This Row],[Spec Type2]]="N/A",Table1[[#This Row],[DUT Adj Read]]="N/A",Table1[[#This Row],[Std Adj Read]]="N/A"),"N/A",IF(Table1[[#This Row],[DUT Adj Read]]="N/A",IF(Table1[[#This Row],[Std Adj Read]]&gt;Table1[[#This Row],[Low Tol]],"Pass","Fail"),IF(Table1[[#This Row],[DUT Adj Read]]&gt;Table1[[#This Row],[Low Tol]],"Pass","Fail")))</f>
        <v>Pass</v>
      </c>
      <c r="AE1149" s="1" t="str">
        <f>IF(AND(Table1[[#This Row],[Spec Type2]]="N/A",Table1[[#This Row],[DUT Adj Read]]="N/A",Table1[[#This Row],[Std Adj Read]]="N/A"),"N/A",IF(Table1[[#This Row],[DUT Adj Read]]="N/A",IF(Table1[[#This Row],[Std Adj Read]]&lt;Table1[[#This Row],[High Tol]],"Pass","Fail"),IF(Table1[[#This Row],[DUT Adj Read]]&lt;Table1[[#This Row],[High Tol]],"Pass","Fail")))</f>
        <v>Fail</v>
      </c>
      <c r="AF1149" s="1" t="str">
        <f>IF(AND(Table1[[#This Row],[Spec Type2]]="N/A",Table1[[#This Row],[DUT Adj Read]]="N/A",Table1[[#This Row],[Std Adj Read]]="N/A"),"N/A",IF(Table1[[#This Row],[DUT Adj Read]]="N/A",IF(Table1[[#This Row],[Std Adj Read]]&gt;=Table1[[#This Row],[Low Tol]],"Pass","Fail"),IF(Table1[[#This Row],[DUT Adj Read]]&gt;=Table1[[#This Row],[Low Tol]],"Pass","Fail")))</f>
        <v>Pass</v>
      </c>
      <c r="AG1149" s="1" t="str">
        <f>IF(AND(Table1[[#This Row],[Spec Type2]]="N/A",Table1[[#This Row],[DUT Adj Read]]="N/A",Table1[[#This Row],[Std Adj Read]]="N/A"),"N/A",IF(Table1[[#This Row],[DUT Adj Read]]="N/A",IF(Table1[[#This Row],[Std Adj Read]]&lt;=Table1[[#This Row],[High Tol]],"Pass","Fail"),IF(Table1[[#This Row],[DUT Adj Read]]&lt;=Table1[[#This Row],[High Tol]],"Pass","Fail")))</f>
        <v>Fail</v>
      </c>
      <c r="AH11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9" s="1" t="b">
        <v>0</v>
      </c>
      <c r="AN1149" s="1" t="b">
        <v>0</v>
      </c>
      <c r="AO1149" s="1" t="b">
        <v>0</v>
      </c>
    </row>
    <row r="1150" spans="1:41" x14ac:dyDescent="0.25">
      <c r="A1150" s="10"/>
      <c r="B1150" s="10"/>
      <c r="C1150" s="10"/>
      <c r="D1150" s="10"/>
      <c r="E1150" s="10"/>
      <c r="F1150" s="10"/>
      <c r="G1150" s="10"/>
      <c r="H1150" s="10"/>
      <c r="I1150" s="1" t="str">
        <f t="shared" si="51"/>
        <v/>
      </c>
      <c r="J1150" s="1" t="s">
        <v>35</v>
      </c>
      <c r="K1150" s="1" t="str">
        <f t="shared" si="52"/>
        <v/>
      </c>
      <c r="L1150" s="1" t="str">
        <f t="shared" si="53"/>
        <v/>
      </c>
      <c r="M1150" s="1">
        <f>IF(OR(Table1[[#This Row],[Std Nom]]="",Table1[[#This Row],[Std Read]]=""),0,Table1[[#This Row],[Std Nom]]-Table1[[#This Row],[Std Read]])</f>
        <v>0</v>
      </c>
      <c r="N1150" s="1">
        <f>IF(Calculations!$F$5="ACCREDITED 17025 WITH UNCERTAINTIES",$N$10,0)</f>
        <v>0</v>
      </c>
      <c r="O1150" s="1" t="str">
        <f>IFERROR(Table1[[#This Row],[Std Nom]]-(_xlfn.XLOOKUP(Table1[[#This Row],[Manufacturer]]&amp;" "&amp;Table1[[#This Row],[Model]],Table13[MFR &amp; MDL],Table13[Tolerance % CW ],"")/100*Table1[[#This Row],[Std Nom]]),"")</f>
        <v/>
      </c>
      <c r="P1150" s="1" t="str">
        <f>IFERROR(Table1[[#This Row],[Std Nom]]+(_xlfn.XLOOKUP(Table1[[#This Row],[Manufacturer]]&amp;" "&amp;Table1[[#This Row],[Model]],Table13[MFR &amp; MDL],Table13[Tolerance % CW ],"")/100*Table1[[#This Row],[Std Nom]]),"")</f>
        <v/>
      </c>
      <c r="Q1150" s="1" t="e">
        <f>Table1[[#This Row],[High Tol]]-Table1[[#This Row],[Low Tol]]</f>
        <v>#VALUE!</v>
      </c>
      <c r="R1150" s="1">
        <f>2*Table1[[#This Row],[Std Error]]</f>
        <v>0</v>
      </c>
      <c r="S1150" s="1" t="str">
        <f>IF(Table1[[#This Row],[High Tol]]="","N/A",IFERROR(ABS(Table1[[#This Row],[Tol Span]]/Table1[[#This Row],[Error Span]]),"N/A"))</f>
        <v>N/A</v>
      </c>
      <c r="T1150" s="1" t="str">
        <f>IF(OR(Table1[[#This Row],[Low Tol]]="",Table1[[#This Row],[High Tol]]=""),"Needs Analysis",IF(Table1[[#This Row],[Ratio]]&gt;=4,"Not Significant",IF(Table1[[#This Row],[Ratio]]&gt;=2,"Semi-Significant","Significant")))</f>
        <v>Needs Analysis</v>
      </c>
      <c r="W1150" s="1">
        <f>IF(Table1[[#This Row],[Cal Type]]&lt;&gt;"ACCREDITED 17025 WITH UNCERTAINTIES",0,"")</f>
        <v>0</v>
      </c>
      <c r="X1150" s="1" t="str">
        <f>IF(Table1[[#This Row],[DUT Read]]="","N/A",Table1[[#This Row],[Std Error]]+Table1[[#This Row],[DUT Read]]+Table1[[#This Row],[DUT Ucty]])</f>
        <v>N/A</v>
      </c>
      <c r="Y1150" s="1" t="str">
        <f>IF(Table1[[#This Row],[Std Read]]="","N/A",Table1[[#This Row],[Std Read]]+Table1[[#This Row],[Std Ucty]])</f>
        <v>N/A</v>
      </c>
      <c r="Z11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0" s="1" t="str">
        <f>IF(Table1[[#This Row],[Spec Type]]="","N/A",Table1[[#This Row],[Spec Type]])</f>
        <v>±</v>
      </c>
      <c r="AC1150" s="1" t="str">
        <f>IF(Table1[[#This Row],[Spec Type2]]="N/A","N/A",IF(AND(Table1[[#This Row],[DUT Adj Read]]&gt;=Table1[[#This Row],[Low Tol]],Table1[[#This Row],[DUT Adj Read]]&lt;=Table1[[#This Row],[High Tol]]),"Pass","Fail"))</f>
        <v>Fail</v>
      </c>
      <c r="AD1150" s="1" t="str">
        <f>IF(AND(Table1[[#This Row],[Spec Type2]]="N/A",Table1[[#This Row],[DUT Adj Read]]="N/A",Table1[[#This Row],[Std Adj Read]]="N/A"),"N/A",IF(Table1[[#This Row],[DUT Adj Read]]="N/A",IF(Table1[[#This Row],[Std Adj Read]]&gt;Table1[[#This Row],[Low Tol]],"Pass","Fail"),IF(Table1[[#This Row],[DUT Adj Read]]&gt;Table1[[#This Row],[Low Tol]],"Pass","Fail")))</f>
        <v>Pass</v>
      </c>
      <c r="AE1150" s="1" t="str">
        <f>IF(AND(Table1[[#This Row],[Spec Type2]]="N/A",Table1[[#This Row],[DUT Adj Read]]="N/A",Table1[[#This Row],[Std Adj Read]]="N/A"),"N/A",IF(Table1[[#This Row],[DUT Adj Read]]="N/A",IF(Table1[[#This Row],[Std Adj Read]]&lt;Table1[[#This Row],[High Tol]],"Pass","Fail"),IF(Table1[[#This Row],[DUT Adj Read]]&lt;Table1[[#This Row],[High Tol]],"Pass","Fail")))</f>
        <v>Fail</v>
      </c>
      <c r="AF1150" s="1" t="str">
        <f>IF(AND(Table1[[#This Row],[Spec Type2]]="N/A",Table1[[#This Row],[DUT Adj Read]]="N/A",Table1[[#This Row],[Std Adj Read]]="N/A"),"N/A",IF(Table1[[#This Row],[DUT Adj Read]]="N/A",IF(Table1[[#This Row],[Std Adj Read]]&gt;=Table1[[#This Row],[Low Tol]],"Pass","Fail"),IF(Table1[[#This Row],[DUT Adj Read]]&gt;=Table1[[#This Row],[Low Tol]],"Pass","Fail")))</f>
        <v>Pass</v>
      </c>
      <c r="AG1150" s="1" t="str">
        <f>IF(AND(Table1[[#This Row],[Spec Type2]]="N/A",Table1[[#This Row],[DUT Adj Read]]="N/A",Table1[[#This Row],[Std Adj Read]]="N/A"),"N/A",IF(Table1[[#This Row],[DUT Adj Read]]="N/A",IF(Table1[[#This Row],[Std Adj Read]]&lt;=Table1[[#This Row],[High Tol]],"Pass","Fail"),IF(Table1[[#This Row],[DUT Adj Read]]&lt;=Table1[[#This Row],[High Tol]],"Pass","Fail")))</f>
        <v>Fail</v>
      </c>
      <c r="AH11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0" s="1" t="b">
        <v>0</v>
      </c>
      <c r="AN1150" s="1" t="b">
        <v>0</v>
      </c>
      <c r="AO1150" s="1" t="b">
        <v>0</v>
      </c>
    </row>
    <row r="1151" spans="1:41" x14ac:dyDescent="0.25">
      <c r="A1151" s="10"/>
      <c r="B1151" s="10"/>
      <c r="C1151" s="10"/>
      <c r="D1151" s="10"/>
      <c r="E1151" s="10"/>
      <c r="F1151" s="10"/>
      <c r="G1151" s="10"/>
      <c r="H1151" s="10"/>
      <c r="I1151" s="1" t="str">
        <f t="shared" si="51"/>
        <v/>
      </c>
      <c r="J1151" s="1" t="s">
        <v>35</v>
      </c>
      <c r="K1151" s="1" t="str">
        <f t="shared" si="52"/>
        <v/>
      </c>
      <c r="L1151" s="1" t="str">
        <f t="shared" si="53"/>
        <v/>
      </c>
      <c r="M1151" s="1">
        <f>IF(OR(Table1[[#This Row],[Std Nom]]="",Table1[[#This Row],[Std Read]]=""),0,Table1[[#This Row],[Std Nom]]-Table1[[#This Row],[Std Read]])</f>
        <v>0</v>
      </c>
      <c r="N1151" s="1">
        <f>IF(Calculations!$F$5="ACCREDITED 17025 WITH UNCERTAINTIES",$N$10,0)</f>
        <v>0</v>
      </c>
      <c r="O1151" s="1" t="str">
        <f>IFERROR(Table1[[#This Row],[Std Nom]]-(_xlfn.XLOOKUP(Table1[[#This Row],[Manufacturer]]&amp;" "&amp;Table1[[#This Row],[Model]],Table13[MFR &amp; MDL],Table13[Tolerance % CW ],"")/100*Table1[[#This Row],[Std Nom]]),"")</f>
        <v/>
      </c>
      <c r="P1151" s="1" t="str">
        <f>IFERROR(Table1[[#This Row],[Std Nom]]+(_xlfn.XLOOKUP(Table1[[#This Row],[Manufacturer]]&amp;" "&amp;Table1[[#This Row],[Model]],Table13[MFR &amp; MDL],Table13[Tolerance % CW ],"")/100*Table1[[#This Row],[Std Nom]]),"")</f>
        <v/>
      </c>
      <c r="Q1151" s="1" t="e">
        <f>Table1[[#This Row],[High Tol]]-Table1[[#This Row],[Low Tol]]</f>
        <v>#VALUE!</v>
      </c>
      <c r="R1151" s="1">
        <f>2*Table1[[#This Row],[Std Error]]</f>
        <v>0</v>
      </c>
      <c r="S1151" s="1" t="str">
        <f>IF(Table1[[#This Row],[High Tol]]="","N/A",IFERROR(ABS(Table1[[#This Row],[Tol Span]]/Table1[[#This Row],[Error Span]]),"N/A"))</f>
        <v>N/A</v>
      </c>
      <c r="T1151" s="1" t="str">
        <f>IF(OR(Table1[[#This Row],[Low Tol]]="",Table1[[#This Row],[High Tol]]=""),"Needs Analysis",IF(Table1[[#This Row],[Ratio]]&gt;=4,"Not Significant",IF(Table1[[#This Row],[Ratio]]&gt;=2,"Semi-Significant","Significant")))</f>
        <v>Needs Analysis</v>
      </c>
      <c r="W1151" s="1">
        <f>IF(Table1[[#This Row],[Cal Type]]&lt;&gt;"ACCREDITED 17025 WITH UNCERTAINTIES",0,"")</f>
        <v>0</v>
      </c>
      <c r="X1151" s="1" t="str">
        <f>IF(Table1[[#This Row],[DUT Read]]="","N/A",Table1[[#This Row],[Std Error]]+Table1[[#This Row],[DUT Read]]+Table1[[#This Row],[DUT Ucty]])</f>
        <v>N/A</v>
      </c>
      <c r="Y1151" s="1" t="str">
        <f>IF(Table1[[#This Row],[Std Read]]="","N/A",Table1[[#This Row],[Std Read]]+Table1[[#This Row],[Std Ucty]])</f>
        <v>N/A</v>
      </c>
      <c r="Z11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1" s="1" t="str">
        <f>IF(Table1[[#This Row],[Spec Type]]="","N/A",Table1[[#This Row],[Spec Type]])</f>
        <v>±</v>
      </c>
      <c r="AC1151" s="1" t="str">
        <f>IF(Table1[[#This Row],[Spec Type2]]="N/A","N/A",IF(AND(Table1[[#This Row],[DUT Adj Read]]&gt;=Table1[[#This Row],[Low Tol]],Table1[[#This Row],[DUT Adj Read]]&lt;=Table1[[#This Row],[High Tol]]),"Pass","Fail"))</f>
        <v>Fail</v>
      </c>
      <c r="AD1151" s="1" t="str">
        <f>IF(AND(Table1[[#This Row],[Spec Type2]]="N/A",Table1[[#This Row],[DUT Adj Read]]="N/A",Table1[[#This Row],[Std Adj Read]]="N/A"),"N/A",IF(Table1[[#This Row],[DUT Adj Read]]="N/A",IF(Table1[[#This Row],[Std Adj Read]]&gt;Table1[[#This Row],[Low Tol]],"Pass","Fail"),IF(Table1[[#This Row],[DUT Adj Read]]&gt;Table1[[#This Row],[Low Tol]],"Pass","Fail")))</f>
        <v>Pass</v>
      </c>
      <c r="AE1151" s="1" t="str">
        <f>IF(AND(Table1[[#This Row],[Spec Type2]]="N/A",Table1[[#This Row],[DUT Adj Read]]="N/A",Table1[[#This Row],[Std Adj Read]]="N/A"),"N/A",IF(Table1[[#This Row],[DUT Adj Read]]="N/A",IF(Table1[[#This Row],[Std Adj Read]]&lt;Table1[[#This Row],[High Tol]],"Pass","Fail"),IF(Table1[[#This Row],[DUT Adj Read]]&lt;Table1[[#This Row],[High Tol]],"Pass","Fail")))</f>
        <v>Fail</v>
      </c>
      <c r="AF1151" s="1" t="str">
        <f>IF(AND(Table1[[#This Row],[Spec Type2]]="N/A",Table1[[#This Row],[DUT Adj Read]]="N/A",Table1[[#This Row],[Std Adj Read]]="N/A"),"N/A",IF(Table1[[#This Row],[DUT Adj Read]]="N/A",IF(Table1[[#This Row],[Std Adj Read]]&gt;=Table1[[#This Row],[Low Tol]],"Pass","Fail"),IF(Table1[[#This Row],[DUT Adj Read]]&gt;=Table1[[#This Row],[Low Tol]],"Pass","Fail")))</f>
        <v>Pass</v>
      </c>
      <c r="AG1151" s="1" t="str">
        <f>IF(AND(Table1[[#This Row],[Spec Type2]]="N/A",Table1[[#This Row],[DUT Adj Read]]="N/A",Table1[[#This Row],[Std Adj Read]]="N/A"),"N/A",IF(Table1[[#This Row],[DUT Adj Read]]="N/A",IF(Table1[[#This Row],[Std Adj Read]]&lt;=Table1[[#This Row],[High Tol]],"Pass","Fail"),IF(Table1[[#This Row],[DUT Adj Read]]&lt;=Table1[[#This Row],[High Tol]],"Pass","Fail")))</f>
        <v>Fail</v>
      </c>
      <c r="AH11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1" s="1" t="b">
        <v>0</v>
      </c>
      <c r="AN1151" s="1" t="b">
        <v>0</v>
      </c>
      <c r="AO1151" s="1" t="b">
        <v>0</v>
      </c>
    </row>
    <row r="1152" spans="1:41" x14ac:dyDescent="0.25">
      <c r="A1152" s="10"/>
      <c r="B1152" s="10"/>
      <c r="C1152" s="10"/>
      <c r="D1152" s="10"/>
      <c r="E1152" s="10"/>
      <c r="F1152" s="10"/>
      <c r="G1152" s="10"/>
      <c r="H1152" s="10"/>
      <c r="I1152" s="1" t="str">
        <f t="shared" si="51"/>
        <v/>
      </c>
      <c r="J1152" s="1" t="s">
        <v>35</v>
      </c>
      <c r="K1152" s="1" t="str">
        <f t="shared" si="52"/>
        <v/>
      </c>
      <c r="L1152" s="1" t="str">
        <f t="shared" si="53"/>
        <v/>
      </c>
      <c r="M1152" s="1">
        <f>IF(OR(Table1[[#This Row],[Std Nom]]="",Table1[[#This Row],[Std Read]]=""),0,Table1[[#This Row],[Std Nom]]-Table1[[#This Row],[Std Read]])</f>
        <v>0</v>
      </c>
      <c r="N1152" s="1">
        <f>IF(Calculations!$F$5="ACCREDITED 17025 WITH UNCERTAINTIES",$N$10,0)</f>
        <v>0</v>
      </c>
      <c r="O1152" s="1" t="str">
        <f>IFERROR(Table1[[#This Row],[Std Nom]]-(_xlfn.XLOOKUP(Table1[[#This Row],[Manufacturer]]&amp;" "&amp;Table1[[#This Row],[Model]],Table13[MFR &amp; MDL],Table13[Tolerance % CW ],"")/100*Table1[[#This Row],[Std Nom]]),"")</f>
        <v/>
      </c>
      <c r="P1152" s="1" t="str">
        <f>IFERROR(Table1[[#This Row],[Std Nom]]+(_xlfn.XLOOKUP(Table1[[#This Row],[Manufacturer]]&amp;" "&amp;Table1[[#This Row],[Model]],Table13[MFR &amp; MDL],Table13[Tolerance % CW ],"")/100*Table1[[#This Row],[Std Nom]]),"")</f>
        <v/>
      </c>
      <c r="Q1152" s="1" t="e">
        <f>Table1[[#This Row],[High Tol]]-Table1[[#This Row],[Low Tol]]</f>
        <v>#VALUE!</v>
      </c>
      <c r="R1152" s="1">
        <f>2*Table1[[#This Row],[Std Error]]</f>
        <v>0</v>
      </c>
      <c r="S1152" s="1" t="str">
        <f>IF(Table1[[#This Row],[High Tol]]="","N/A",IFERROR(ABS(Table1[[#This Row],[Tol Span]]/Table1[[#This Row],[Error Span]]),"N/A"))</f>
        <v>N/A</v>
      </c>
      <c r="T1152" s="1" t="str">
        <f>IF(OR(Table1[[#This Row],[Low Tol]]="",Table1[[#This Row],[High Tol]]=""),"Needs Analysis",IF(Table1[[#This Row],[Ratio]]&gt;=4,"Not Significant",IF(Table1[[#This Row],[Ratio]]&gt;=2,"Semi-Significant","Significant")))</f>
        <v>Needs Analysis</v>
      </c>
      <c r="W1152" s="1">
        <f>IF(Table1[[#This Row],[Cal Type]]&lt;&gt;"ACCREDITED 17025 WITH UNCERTAINTIES",0,"")</f>
        <v>0</v>
      </c>
      <c r="X1152" s="1" t="str">
        <f>IF(Table1[[#This Row],[DUT Read]]="","N/A",Table1[[#This Row],[Std Error]]+Table1[[#This Row],[DUT Read]]+Table1[[#This Row],[DUT Ucty]])</f>
        <v>N/A</v>
      </c>
      <c r="Y1152" s="1" t="str">
        <f>IF(Table1[[#This Row],[Std Read]]="","N/A",Table1[[#This Row],[Std Read]]+Table1[[#This Row],[Std Ucty]])</f>
        <v>N/A</v>
      </c>
      <c r="Z11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2" s="1" t="str">
        <f>IF(Table1[[#This Row],[Spec Type]]="","N/A",Table1[[#This Row],[Spec Type]])</f>
        <v>±</v>
      </c>
      <c r="AC1152" s="1" t="str">
        <f>IF(Table1[[#This Row],[Spec Type2]]="N/A","N/A",IF(AND(Table1[[#This Row],[DUT Adj Read]]&gt;=Table1[[#This Row],[Low Tol]],Table1[[#This Row],[DUT Adj Read]]&lt;=Table1[[#This Row],[High Tol]]),"Pass","Fail"))</f>
        <v>Fail</v>
      </c>
      <c r="AD1152" s="1" t="str">
        <f>IF(AND(Table1[[#This Row],[Spec Type2]]="N/A",Table1[[#This Row],[DUT Adj Read]]="N/A",Table1[[#This Row],[Std Adj Read]]="N/A"),"N/A",IF(Table1[[#This Row],[DUT Adj Read]]="N/A",IF(Table1[[#This Row],[Std Adj Read]]&gt;Table1[[#This Row],[Low Tol]],"Pass","Fail"),IF(Table1[[#This Row],[DUT Adj Read]]&gt;Table1[[#This Row],[Low Tol]],"Pass","Fail")))</f>
        <v>Pass</v>
      </c>
      <c r="AE1152" s="1" t="str">
        <f>IF(AND(Table1[[#This Row],[Spec Type2]]="N/A",Table1[[#This Row],[DUT Adj Read]]="N/A",Table1[[#This Row],[Std Adj Read]]="N/A"),"N/A",IF(Table1[[#This Row],[DUT Adj Read]]="N/A",IF(Table1[[#This Row],[Std Adj Read]]&lt;Table1[[#This Row],[High Tol]],"Pass","Fail"),IF(Table1[[#This Row],[DUT Adj Read]]&lt;Table1[[#This Row],[High Tol]],"Pass","Fail")))</f>
        <v>Fail</v>
      </c>
      <c r="AF1152" s="1" t="str">
        <f>IF(AND(Table1[[#This Row],[Spec Type2]]="N/A",Table1[[#This Row],[DUT Adj Read]]="N/A",Table1[[#This Row],[Std Adj Read]]="N/A"),"N/A",IF(Table1[[#This Row],[DUT Adj Read]]="N/A",IF(Table1[[#This Row],[Std Adj Read]]&gt;=Table1[[#This Row],[Low Tol]],"Pass","Fail"),IF(Table1[[#This Row],[DUT Adj Read]]&gt;=Table1[[#This Row],[Low Tol]],"Pass","Fail")))</f>
        <v>Pass</v>
      </c>
      <c r="AG1152" s="1" t="str">
        <f>IF(AND(Table1[[#This Row],[Spec Type2]]="N/A",Table1[[#This Row],[DUT Adj Read]]="N/A",Table1[[#This Row],[Std Adj Read]]="N/A"),"N/A",IF(Table1[[#This Row],[DUT Adj Read]]="N/A",IF(Table1[[#This Row],[Std Adj Read]]&lt;=Table1[[#This Row],[High Tol]],"Pass","Fail"),IF(Table1[[#This Row],[DUT Adj Read]]&lt;=Table1[[#This Row],[High Tol]],"Pass","Fail")))</f>
        <v>Fail</v>
      </c>
      <c r="AH11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2" s="1" t="b">
        <v>0</v>
      </c>
      <c r="AN1152" s="1" t="b">
        <v>0</v>
      </c>
      <c r="AO1152" s="1" t="b">
        <v>0</v>
      </c>
    </row>
    <row r="1153" spans="1:41" x14ac:dyDescent="0.25">
      <c r="A1153" s="10"/>
      <c r="B1153" s="10"/>
      <c r="C1153" s="10"/>
      <c r="D1153" s="10"/>
      <c r="E1153" s="10"/>
      <c r="F1153" s="10"/>
      <c r="G1153" s="10"/>
      <c r="H1153" s="10"/>
      <c r="I1153" s="1" t="str">
        <f t="shared" si="51"/>
        <v/>
      </c>
      <c r="J1153" s="1" t="s">
        <v>35</v>
      </c>
      <c r="K1153" s="1" t="str">
        <f t="shared" si="52"/>
        <v/>
      </c>
      <c r="L1153" s="1" t="str">
        <f t="shared" si="53"/>
        <v/>
      </c>
      <c r="M1153" s="1">
        <f>IF(OR(Table1[[#This Row],[Std Nom]]="",Table1[[#This Row],[Std Read]]=""),0,Table1[[#This Row],[Std Nom]]-Table1[[#This Row],[Std Read]])</f>
        <v>0</v>
      </c>
      <c r="N1153" s="1">
        <f>IF(Calculations!$F$5="ACCREDITED 17025 WITH UNCERTAINTIES",$N$10,0)</f>
        <v>0</v>
      </c>
      <c r="O1153" s="1" t="str">
        <f>IFERROR(Table1[[#This Row],[Std Nom]]-(_xlfn.XLOOKUP(Table1[[#This Row],[Manufacturer]]&amp;" "&amp;Table1[[#This Row],[Model]],Table13[MFR &amp; MDL],Table13[Tolerance % CW ],"")/100*Table1[[#This Row],[Std Nom]]),"")</f>
        <v/>
      </c>
      <c r="P1153" s="1" t="str">
        <f>IFERROR(Table1[[#This Row],[Std Nom]]+(_xlfn.XLOOKUP(Table1[[#This Row],[Manufacturer]]&amp;" "&amp;Table1[[#This Row],[Model]],Table13[MFR &amp; MDL],Table13[Tolerance % CW ],"")/100*Table1[[#This Row],[Std Nom]]),"")</f>
        <v/>
      </c>
      <c r="Q1153" s="1" t="e">
        <f>Table1[[#This Row],[High Tol]]-Table1[[#This Row],[Low Tol]]</f>
        <v>#VALUE!</v>
      </c>
      <c r="R1153" s="1">
        <f>2*Table1[[#This Row],[Std Error]]</f>
        <v>0</v>
      </c>
      <c r="S1153" s="1" t="str">
        <f>IF(Table1[[#This Row],[High Tol]]="","N/A",IFERROR(ABS(Table1[[#This Row],[Tol Span]]/Table1[[#This Row],[Error Span]]),"N/A"))</f>
        <v>N/A</v>
      </c>
      <c r="T1153" s="1" t="str">
        <f>IF(OR(Table1[[#This Row],[Low Tol]]="",Table1[[#This Row],[High Tol]]=""),"Needs Analysis",IF(Table1[[#This Row],[Ratio]]&gt;=4,"Not Significant",IF(Table1[[#This Row],[Ratio]]&gt;=2,"Semi-Significant","Significant")))</f>
        <v>Needs Analysis</v>
      </c>
      <c r="W1153" s="1">
        <f>IF(Table1[[#This Row],[Cal Type]]&lt;&gt;"ACCREDITED 17025 WITH UNCERTAINTIES",0,"")</f>
        <v>0</v>
      </c>
      <c r="X1153" s="1" t="str">
        <f>IF(Table1[[#This Row],[DUT Read]]="","N/A",Table1[[#This Row],[Std Error]]+Table1[[#This Row],[DUT Read]]+Table1[[#This Row],[DUT Ucty]])</f>
        <v>N/A</v>
      </c>
      <c r="Y1153" s="1" t="str">
        <f>IF(Table1[[#This Row],[Std Read]]="","N/A",Table1[[#This Row],[Std Read]]+Table1[[#This Row],[Std Ucty]])</f>
        <v>N/A</v>
      </c>
      <c r="Z11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3" s="1" t="str">
        <f>IF(Table1[[#This Row],[Spec Type]]="","N/A",Table1[[#This Row],[Spec Type]])</f>
        <v>±</v>
      </c>
      <c r="AC1153" s="1" t="str">
        <f>IF(Table1[[#This Row],[Spec Type2]]="N/A","N/A",IF(AND(Table1[[#This Row],[DUT Adj Read]]&gt;=Table1[[#This Row],[Low Tol]],Table1[[#This Row],[DUT Adj Read]]&lt;=Table1[[#This Row],[High Tol]]),"Pass","Fail"))</f>
        <v>Fail</v>
      </c>
      <c r="AD1153" s="1" t="str">
        <f>IF(AND(Table1[[#This Row],[Spec Type2]]="N/A",Table1[[#This Row],[DUT Adj Read]]="N/A",Table1[[#This Row],[Std Adj Read]]="N/A"),"N/A",IF(Table1[[#This Row],[DUT Adj Read]]="N/A",IF(Table1[[#This Row],[Std Adj Read]]&gt;Table1[[#This Row],[Low Tol]],"Pass","Fail"),IF(Table1[[#This Row],[DUT Adj Read]]&gt;Table1[[#This Row],[Low Tol]],"Pass","Fail")))</f>
        <v>Pass</v>
      </c>
      <c r="AE1153" s="1" t="str">
        <f>IF(AND(Table1[[#This Row],[Spec Type2]]="N/A",Table1[[#This Row],[DUT Adj Read]]="N/A",Table1[[#This Row],[Std Adj Read]]="N/A"),"N/A",IF(Table1[[#This Row],[DUT Adj Read]]="N/A",IF(Table1[[#This Row],[Std Adj Read]]&lt;Table1[[#This Row],[High Tol]],"Pass","Fail"),IF(Table1[[#This Row],[DUT Adj Read]]&lt;Table1[[#This Row],[High Tol]],"Pass","Fail")))</f>
        <v>Fail</v>
      </c>
      <c r="AF1153" s="1" t="str">
        <f>IF(AND(Table1[[#This Row],[Spec Type2]]="N/A",Table1[[#This Row],[DUT Adj Read]]="N/A",Table1[[#This Row],[Std Adj Read]]="N/A"),"N/A",IF(Table1[[#This Row],[DUT Adj Read]]="N/A",IF(Table1[[#This Row],[Std Adj Read]]&gt;=Table1[[#This Row],[Low Tol]],"Pass","Fail"),IF(Table1[[#This Row],[DUT Adj Read]]&gt;=Table1[[#This Row],[Low Tol]],"Pass","Fail")))</f>
        <v>Pass</v>
      </c>
      <c r="AG1153" s="1" t="str">
        <f>IF(AND(Table1[[#This Row],[Spec Type2]]="N/A",Table1[[#This Row],[DUT Adj Read]]="N/A",Table1[[#This Row],[Std Adj Read]]="N/A"),"N/A",IF(Table1[[#This Row],[DUT Adj Read]]="N/A",IF(Table1[[#This Row],[Std Adj Read]]&lt;=Table1[[#This Row],[High Tol]],"Pass","Fail"),IF(Table1[[#This Row],[DUT Adj Read]]&lt;=Table1[[#This Row],[High Tol]],"Pass","Fail")))</f>
        <v>Fail</v>
      </c>
      <c r="AH11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3" s="1" t="b">
        <v>0</v>
      </c>
      <c r="AN1153" s="1" t="b">
        <v>0</v>
      </c>
      <c r="AO1153" s="1" t="b">
        <v>0</v>
      </c>
    </row>
    <row r="1154" spans="1:41" x14ac:dyDescent="0.25">
      <c r="A1154" s="10"/>
      <c r="B1154" s="10"/>
      <c r="C1154" s="10"/>
      <c r="D1154" s="10"/>
      <c r="E1154" s="10"/>
      <c r="F1154" s="10"/>
      <c r="G1154" s="10"/>
      <c r="H1154" s="10"/>
      <c r="I1154" s="1" t="str">
        <f t="shared" si="51"/>
        <v/>
      </c>
      <c r="J1154" s="1" t="s">
        <v>35</v>
      </c>
      <c r="K1154" s="1" t="str">
        <f t="shared" si="52"/>
        <v/>
      </c>
      <c r="L1154" s="1" t="str">
        <f t="shared" si="53"/>
        <v/>
      </c>
      <c r="M1154" s="1">
        <f>IF(OR(Table1[[#This Row],[Std Nom]]="",Table1[[#This Row],[Std Read]]=""),0,Table1[[#This Row],[Std Nom]]-Table1[[#This Row],[Std Read]])</f>
        <v>0</v>
      </c>
      <c r="N1154" s="1">
        <f>IF(Calculations!$F$5="ACCREDITED 17025 WITH UNCERTAINTIES",$N$10,0)</f>
        <v>0</v>
      </c>
      <c r="O1154" s="1" t="str">
        <f>IFERROR(Table1[[#This Row],[Std Nom]]-(_xlfn.XLOOKUP(Table1[[#This Row],[Manufacturer]]&amp;" "&amp;Table1[[#This Row],[Model]],Table13[MFR &amp; MDL],Table13[Tolerance % CW ],"")/100*Table1[[#This Row],[Std Nom]]),"")</f>
        <v/>
      </c>
      <c r="P1154" s="1" t="str">
        <f>IFERROR(Table1[[#This Row],[Std Nom]]+(_xlfn.XLOOKUP(Table1[[#This Row],[Manufacturer]]&amp;" "&amp;Table1[[#This Row],[Model]],Table13[MFR &amp; MDL],Table13[Tolerance % CW ],"")/100*Table1[[#This Row],[Std Nom]]),"")</f>
        <v/>
      </c>
      <c r="Q1154" s="1" t="e">
        <f>Table1[[#This Row],[High Tol]]-Table1[[#This Row],[Low Tol]]</f>
        <v>#VALUE!</v>
      </c>
      <c r="R1154" s="1">
        <f>2*Table1[[#This Row],[Std Error]]</f>
        <v>0</v>
      </c>
      <c r="S1154" s="1" t="str">
        <f>IF(Table1[[#This Row],[High Tol]]="","N/A",IFERROR(ABS(Table1[[#This Row],[Tol Span]]/Table1[[#This Row],[Error Span]]),"N/A"))</f>
        <v>N/A</v>
      </c>
      <c r="T1154" s="1" t="str">
        <f>IF(OR(Table1[[#This Row],[Low Tol]]="",Table1[[#This Row],[High Tol]]=""),"Needs Analysis",IF(Table1[[#This Row],[Ratio]]&gt;=4,"Not Significant",IF(Table1[[#This Row],[Ratio]]&gt;=2,"Semi-Significant","Significant")))</f>
        <v>Needs Analysis</v>
      </c>
      <c r="W1154" s="1">
        <f>IF(Table1[[#This Row],[Cal Type]]&lt;&gt;"ACCREDITED 17025 WITH UNCERTAINTIES",0,"")</f>
        <v>0</v>
      </c>
      <c r="X1154" s="1" t="str">
        <f>IF(Table1[[#This Row],[DUT Read]]="","N/A",Table1[[#This Row],[Std Error]]+Table1[[#This Row],[DUT Read]]+Table1[[#This Row],[DUT Ucty]])</f>
        <v>N/A</v>
      </c>
      <c r="Y1154" s="1" t="str">
        <f>IF(Table1[[#This Row],[Std Read]]="","N/A",Table1[[#This Row],[Std Read]]+Table1[[#This Row],[Std Ucty]])</f>
        <v>N/A</v>
      </c>
      <c r="Z11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4" s="1" t="str">
        <f>IF(Table1[[#This Row],[Spec Type]]="","N/A",Table1[[#This Row],[Spec Type]])</f>
        <v>±</v>
      </c>
      <c r="AC1154" s="1" t="str">
        <f>IF(Table1[[#This Row],[Spec Type2]]="N/A","N/A",IF(AND(Table1[[#This Row],[DUT Adj Read]]&gt;=Table1[[#This Row],[Low Tol]],Table1[[#This Row],[DUT Adj Read]]&lt;=Table1[[#This Row],[High Tol]]),"Pass","Fail"))</f>
        <v>Fail</v>
      </c>
      <c r="AD1154" s="1" t="str">
        <f>IF(AND(Table1[[#This Row],[Spec Type2]]="N/A",Table1[[#This Row],[DUT Adj Read]]="N/A",Table1[[#This Row],[Std Adj Read]]="N/A"),"N/A",IF(Table1[[#This Row],[DUT Adj Read]]="N/A",IF(Table1[[#This Row],[Std Adj Read]]&gt;Table1[[#This Row],[Low Tol]],"Pass","Fail"),IF(Table1[[#This Row],[DUT Adj Read]]&gt;Table1[[#This Row],[Low Tol]],"Pass","Fail")))</f>
        <v>Pass</v>
      </c>
      <c r="AE1154" s="1" t="str">
        <f>IF(AND(Table1[[#This Row],[Spec Type2]]="N/A",Table1[[#This Row],[DUT Adj Read]]="N/A",Table1[[#This Row],[Std Adj Read]]="N/A"),"N/A",IF(Table1[[#This Row],[DUT Adj Read]]="N/A",IF(Table1[[#This Row],[Std Adj Read]]&lt;Table1[[#This Row],[High Tol]],"Pass","Fail"),IF(Table1[[#This Row],[DUT Adj Read]]&lt;Table1[[#This Row],[High Tol]],"Pass","Fail")))</f>
        <v>Fail</v>
      </c>
      <c r="AF1154" s="1" t="str">
        <f>IF(AND(Table1[[#This Row],[Spec Type2]]="N/A",Table1[[#This Row],[DUT Adj Read]]="N/A",Table1[[#This Row],[Std Adj Read]]="N/A"),"N/A",IF(Table1[[#This Row],[DUT Adj Read]]="N/A",IF(Table1[[#This Row],[Std Adj Read]]&gt;=Table1[[#This Row],[Low Tol]],"Pass","Fail"),IF(Table1[[#This Row],[DUT Adj Read]]&gt;=Table1[[#This Row],[Low Tol]],"Pass","Fail")))</f>
        <v>Pass</v>
      </c>
      <c r="AG1154" s="1" t="str">
        <f>IF(AND(Table1[[#This Row],[Spec Type2]]="N/A",Table1[[#This Row],[DUT Adj Read]]="N/A",Table1[[#This Row],[Std Adj Read]]="N/A"),"N/A",IF(Table1[[#This Row],[DUT Adj Read]]="N/A",IF(Table1[[#This Row],[Std Adj Read]]&lt;=Table1[[#This Row],[High Tol]],"Pass","Fail"),IF(Table1[[#This Row],[DUT Adj Read]]&lt;=Table1[[#This Row],[High Tol]],"Pass","Fail")))</f>
        <v>Fail</v>
      </c>
      <c r="AH11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4" s="1" t="b">
        <v>0</v>
      </c>
      <c r="AN1154" s="1" t="b">
        <v>0</v>
      </c>
      <c r="AO1154" s="1" t="b">
        <v>0</v>
      </c>
    </row>
    <row r="1155" spans="1:41" x14ac:dyDescent="0.25">
      <c r="A1155" s="10"/>
      <c r="B1155" s="10"/>
      <c r="C1155" s="10"/>
      <c r="D1155" s="10"/>
      <c r="E1155" s="10"/>
      <c r="F1155" s="10"/>
      <c r="G1155" s="10"/>
      <c r="H1155" s="10"/>
      <c r="I1155" s="1" t="str">
        <f t="shared" si="51"/>
        <v/>
      </c>
      <c r="J1155" s="1" t="s">
        <v>35</v>
      </c>
      <c r="K1155" s="1" t="str">
        <f t="shared" si="52"/>
        <v/>
      </c>
      <c r="L1155" s="1" t="str">
        <f t="shared" si="53"/>
        <v/>
      </c>
      <c r="M1155" s="1">
        <f>IF(OR(Table1[[#This Row],[Std Nom]]="",Table1[[#This Row],[Std Read]]=""),0,Table1[[#This Row],[Std Nom]]-Table1[[#This Row],[Std Read]])</f>
        <v>0</v>
      </c>
      <c r="N1155" s="1">
        <f>IF(Calculations!$F$5="ACCREDITED 17025 WITH UNCERTAINTIES",$N$10,0)</f>
        <v>0</v>
      </c>
      <c r="O1155" s="1" t="str">
        <f>IFERROR(Table1[[#This Row],[Std Nom]]-(_xlfn.XLOOKUP(Table1[[#This Row],[Manufacturer]]&amp;" "&amp;Table1[[#This Row],[Model]],Table13[MFR &amp; MDL],Table13[Tolerance % CW ],"")/100*Table1[[#This Row],[Std Nom]]),"")</f>
        <v/>
      </c>
      <c r="P1155" s="1" t="str">
        <f>IFERROR(Table1[[#This Row],[Std Nom]]+(_xlfn.XLOOKUP(Table1[[#This Row],[Manufacturer]]&amp;" "&amp;Table1[[#This Row],[Model]],Table13[MFR &amp; MDL],Table13[Tolerance % CW ],"")/100*Table1[[#This Row],[Std Nom]]),"")</f>
        <v/>
      </c>
      <c r="Q1155" s="1" t="e">
        <f>Table1[[#This Row],[High Tol]]-Table1[[#This Row],[Low Tol]]</f>
        <v>#VALUE!</v>
      </c>
      <c r="R1155" s="1">
        <f>2*Table1[[#This Row],[Std Error]]</f>
        <v>0</v>
      </c>
      <c r="S1155" s="1" t="str">
        <f>IF(Table1[[#This Row],[High Tol]]="","N/A",IFERROR(ABS(Table1[[#This Row],[Tol Span]]/Table1[[#This Row],[Error Span]]),"N/A"))</f>
        <v>N/A</v>
      </c>
      <c r="T1155" s="1" t="str">
        <f>IF(OR(Table1[[#This Row],[Low Tol]]="",Table1[[#This Row],[High Tol]]=""),"Needs Analysis",IF(Table1[[#This Row],[Ratio]]&gt;=4,"Not Significant",IF(Table1[[#This Row],[Ratio]]&gt;=2,"Semi-Significant","Significant")))</f>
        <v>Needs Analysis</v>
      </c>
      <c r="W1155" s="1">
        <f>IF(Table1[[#This Row],[Cal Type]]&lt;&gt;"ACCREDITED 17025 WITH UNCERTAINTIES",0,"")</f>
        <v>0</v>
      </c>
      <c r="X1155" s="1" t="str">
        <f>IF(Table1[[#This Row],[DUT Read]]="","N/A",Table1[[#This Row],[Std Error]]+Table1[[#This Row],[DUT Read]]+Table1[[#This Row],[DUT Ucty]])</f>
        <v>N/A</v>
      </c>
      <c r="Y1155" s="1" t="str">
        <f>IF(Table1[[#This Row],[Std Read]]="","N/A",Table1[[#This Row],[Std Read]]+Table1[[#This Row],[Std Ucty]])</f>
        <v>N/A</v>
      </c>
      <c r="Z11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5" s="1" t="str">
        <f>IF(Table1[[#This Row],[Spec Type]]="","N/A",Table1[[#This Row],[Spec Type]])</f>
        <v>±</v>
      </c>
      <c r="AC1155" s="1" t="str">
        <f>IF(Table1[[#This Row],[Spec Type2]]="N/A","N/A",IF(AND(Table1[[#This Row],[DUT Adj Read]]&gt;=Table1[[#This Row],[Low Tol]],Table1[[#This Row],[DUT Adj Read]]&lt;=Table1[[#This Row],[High Tol]]),"Pass","Fail"))</f>
        <v>Fail</v>
      </c>
      <c r="AD1155" s="1" t="str">
        <f>IF(AND(Table1[[#This Row],[Spec Type2]]="N/A",Table1[[#This Row],[DUT Adj Read]]="N/A",Table1[[#This Row],[Std Adj Read]]="N/A"),"N/A",IF(Table1[[#This Row],[DUT Adj Read]]="N/A",IF(Table1[[#This Row],[Std Adj Read]]&gt;Table1[[#This Row],[Low Tol]],"Pass","Fail"),IF(Table1[[#This Row],[DUT Adj Read]]&gt;Table1[[#This Row],[Low Tol]],"Pass","Fail")))</f>
        <v>Pass</v>
      </c>
      <c r="AE1155" s="1" t="str">
        <f>IF(AND(Table1[[#This Row],[Spec Type2]]="N/A",Table1[[#This Row],[DUT Adj Read]]="N/A",Table1[[#This Row],[Std Adj Read]]="N/A"),"N/A",IF(Table1[[#This Row],[DUT Adj Read]]="N/A",IF(Table1[[#This Row],[Std Adj Read]]&lt;Table1[[#This Row],[High Tol]],"Pass","Fail"),IF(Table1[[#This Row],[DUT Adj Read]]&lt;Table1[[#This Row],[High Tol]],"Pass","Fail")))</f>
        <v>Fail</v>
      </c>
      <c r="AF1155" s="1" t="str">
        <f>IF(AND(Table1[[#This Row],[Spec Type2]]="N/A",Table1[[#This Row],[DUT Adj Read]]="N/A",Table1[[#This Row],[Std Adj Read]]="N/A"),"N/A",IF(Table1[[#This Row],[DUT Adj Read]]="N/A",IF(Table1[[#This Row],[Std Adj Read]]&gt;=Table1[[#This Row],[Low Tol]],"Pass","Fail"),IF(Table1[[#This Row],[DUT Adj Read]]&gt;=Table1[[#This Row],[Low Tol]],"Pass","Fail")))</f>
        <v>Pass</v>
      </c>
      <c r="AG1155" s="1" t="str">
        <f>IF(AND(Table1[[#This Row],[Spec Type2]]="N/A",Table1[[#This Row],[DUT Adj Read]]="N/A",Table1[[#This Row],[Std Adj Read]]="N/A"),"N/A",IF(Table1[[#This Row],[DUT Adj Read]]="N/A",IF(Table1[[#This Row],[Std Adj Read]]&lt;=Table1[[#This Row],[High Tol]],"Pass","Fail"),IF(Table1[[#This Row],[DUT Adj Read]]&lt;=Table1[[#This Row],[High Tol]],"Pass","Fail")))</f>
        <v>Fail</v>
      </c>
      <c r="AH11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5" s="1" t="b">
        <v>0</v>
      </c>
      <c r="AN1155" s="1" t="b">
        <v>0</v>
      </c>
      <c r="AO1155" s="1" t="b">
        <v>0</v>
      </c>
    </row>
    <row r="1156" spans="1:41" x14ac:dyDescent="0.25">
      <c r="A1156" s="10"/>
      <c r="B1156" s="10"/>
      <c r="C1156" s="10"/>
      <c r="D1156" s="10"/>
      <c r="E1156" s="10"/>
      <c r="F1156" s="10"/>
      <c r="G1156" s="10"/>
      <c r="H1156" s="10"/>
      <c r="I1156" s="1" t="str">
        <f t="shared" si="51"/>
        <v/>
      </c>
      <c r="J1156" s="1" t="s">
        <v>35</v>
      </c>
      <c r="K1156" s="1" t="str">
        <f t="shared" si="52"/>
        <v/>
      </c>
      <c r="L1156" s="1" t="str">
        <f t="shared" si="53"/>
        <v/>
      </c>
      <c r="M1156" s="1">
        <f>IF(OR(Table1[[#This Row],[Std Nom]]="",Table1[[#This Row],[Std Read]]=""),0,Table1[[#This Row],[Std Nom]]-Table1[[#This Row],[Std Read]])</f>
        <v>0</v>
      </c>
      <c r="N1156" s="1">
        <f>IF(Calculations!$F$5="ACCREDITED 17025 WITH UNCERTAINTIES",$N$10,0)</f>
        <v>0</v>
      </c>
      <c r="O1156" s="1" t="str">
        <f>IFERROR(Table1[[#This Row],[Std Nom]]-(_xlfn.XLOOKUP(Table1[[#This Row],[Manufacturer]]&amp;" "&amp;Table1[[#This Row],[Model]],Table13[MFR &amp; MDL],Table13[Tolerance % CW ],"")/100*Table1[[#This Row],[Std Nom]]),"")</f>
        <v/>
      </c>
      <c r="P1156" s="1" t="str">
        <f>IFERROR(Table1[[#This Row],[Std Nom]]+(_xlfn.XLOOKUP(Table1[[#This Row],[Manufacturer]]&amp;" "&amp;Table1[[#This Row],[Model]],Table13[MFR &amp; MDL],Table13[Tolerance % CW ],"")/100*Table1[[#This Row],[Std Nom]]),"")</f>
        <v/>
      </c>
      <c r="Q1156" s="1" t="e">
        <f>Table1[[#This Row],[High Tol]]-Table1[[#This Row],[Low Tol]]</f>
        <v>#VALUE!</v>
      </c>
      <c r="R1156" s="1">
        <f>2*Table1[[#This Row],[Std Error]]</f>
        <v>0</v>
      </c>
      <c r="S1156" s="1" t="str">
        <f>IF(Table1[[#This Row],[High Tol]]="","N/A",IFERROR(ABS(Table1[[#This Row],[Tol Span]]/Table1[[#This Row],[Error Span]]),"N/A"))</f>
        <v>N/A</v>
      </c>
      <c r="T1156" s="1" t="str">
        <f>IF(OR(Table1[[#This Row],[Low Tol]]="",Table1[[#This Row],[High Tol]]=""),"Needs Analysis",IF(Table1[[#This Row],[Ratio]]&gt;=4,"Not Significant",IF(Table1[[#This Row],[Ratio]]&gt;=2,"Semi-Significant","Significant")))</f>
        <v>Needs Analysis</v>
      </c>
      <c r="W1156" s="1">
        <f>IF(Table1[[#This Row],[Cal Type]]&lt;&gt;"ACCREDITED 17025 WITH UNCERTAINTIES",0,"")</f>
        <v>0</v>
      </c>
      <c r="X1156" s="1" t="str">
        <f>IF(Table1[[#This Row],[DUT Read]]="","N/A",Table1[[#This Row],[Std Error]]+Table1[[#This Row],[DUT Read]]+Table1[[#This Row],[DUT Ucty]])</f>
        <v>N/A</v>
      </c>
      <c r="Y1156" s="1" t="str">
        <f>IF(Table1[[#This Row],[Std Read]]="","N/A",Table1[[#This Row],[Std Read]]+Table1[[#This Row],[Std Ucty]])</f>
        <v>N/A</v>
      </c>
      <c r="Z11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6" s="1" t="str">
        <f>IF(Table1[[#This Row],[Spec Type]]="","N/A",Table1[[#This Row],[Spec Type]])</f>
        <v>±</v>
      </c>
      <c r="AC1156" s="1" t="str">
        <f>IF(Table1[[#This Row],[Spec Type2]]="N/A","N/A",IF(AND(Table1[[#This Row],[DUT Adj Read]]&gt;=Table1[[#This Row],[Low Tol]],Table1[[#This Row],[DUT Adj Read]]&lt;=Table1[[#This Row],[High Tol]]),"Pass","Fail"))</f>
        <v>Fail</v>
      </c>
      <c r="AD1156" s="1" t="str">
        <f>IF(AND(Table1[[#This Row],[Spec Type2]]="N/A",Table1[[#This Row],[DUT Adj Read]]="N/A",Table1[[#This Row],[Std Adj Read]]="N/A"),"N/A",IF(Table1[[#This Row],[DUT Adj Read]]="N/A",IF(Table1[[#This Row],[Std Adj Read]]&gt;Table1[[#This Row],[Low Tol]],"Pass","Fail"),IF(Table1[[#This Row],[DUT Adj Read]]&gt;Table1[[#This Row],[Low Tol]],"Pass","Fail")))</f>
        <v>Pass</v>
      </c>
      <c r="AE1156" s="1" t="str">
        <f>IF(AND(Table1[[#This Row],[Spec Type2]]="N/A",Table1[[#This Row],[DUT Adj Read]]="N/A",Table1[[#This Row],[Std Adj Read]]="N/A"),"N/A",IF(Table1[[#This Row],[DUT Adj Read]]="N/A",IF(Table1[[#This Row],[Std Adj Read]]&lt;Table1[[#This Row],[High Tol]],"Pass","Fail"),IF(Table1[[#This Row],[DUT Adj Read]]&lt;Table1[[#This Row],[High Tol]],"Pass","Fail")))</f>
        <v>Fail</v>
      </c>
      <c r="AF1156" s="1" t="str">
        <f>IF(AND(Table1[[#This Row],[Spec Type2]]="N/A",Table1[[#This Row],[DUT Adj Read]]="N/A",Table1[[#This Row],[Std Adj Read]]="N/A"),"N/A",IF(Table1[[#This Row],[DUT Adj Read]]="N/A",IF(Table1[[#This Row],[Std Adj Read]]&gt;=Table1[[#This Row],[Low Tol]],"Pass","Fail"),IF(Table1[[#This Row],[DUT Adj Read]]&gt;=Table1[[#This Row],[Low Tol]],"Pass","Fail")))</f>
        <v>Pass</v>
      </c>
      <c r="AG1156" s="1" t="str">
        <f>IF(AND(Table1[[#This Row],[Spec Type2]]="N/A",Table1[[#This Row],[DUT Adj Read]]="N/A",Table1[[#This Row],[Std Adj Read]]="N/A"),"N/A",IF(Table1[[#This Row],[DUT Adj Read]]="N/A",IF(Table1[[#This Row],[Std Adj Read]]&lt;=Table1[[#This Row],[High Tol]],"Pass","Fail"),IF(Table1[[#This Row],[DUT Adj Read]]&lt;=Table1[[#This Row],[High Tol]],"Pass","Fail")))</f>
        <v>Fail</v>
      </c>
      <c r="AH11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6" s="1" t="b">
        <v>0</v>
      </c>
      <c r="AN1156" s="1" t="b">
        <v>0</v>
      </c>
      <c r="AO1156" s="1" t="b">
        <v>0</v>
      </c>
    </row>
    <row r="1157" spans="1:41" x14ac:dyDescent="0.25">
      <c r="A1157" s="10"/>
      <c r="B1157" s="10"/>
      <c r="C1157" s="10"/>
      <c r="D1157" s="10"/>
      <c r="E1157" s="10"/>
      <c r="F1157" s="10"/>
      <c r="G1157" s="10"/>
      <c r="H1157" s="10"/>
      <c r="I1157" s="1" t="str">
        <f t="shared" si="51"/>
        <v/>
      </c>
      <c r="J1157" s="1" t="s">
        <v>35</v>
      </c>
      <c r="K1157" s="1" t="str">
        <f t="shared" si="52"/>
        <v/>
      </c>
      <c r="L1157" s="1" t="str">
        <f t="shared" si="53"/>
        <v/>
      </c>
      <c r="M1157" s="1">
        <f>IF(OR(Table1[[#This Row],[Std Nom]]="",Table1[[#This Row],[Std Read]]=""),0,Table1[[#This Row],[Std Nom]]-Table1[[#This Row],[Std Read]])</f>
        <v>0</v>
      </c>
      <c r="N1157" s="1">
        <f>IF(Calculations!$F$5="ACCREDITED 17025 WITH UNCERTAINTIES",$N$10,0)</f>
        <v>0</v>
      </c>
      <c r="O1157" s="1" t="str">
        <f>IFERROR(Table1[[#This Row],[Std Nom]]-(_xlfn.XLOOKUP(Table1[[#This Row],[Manufacturer]]&amp;" "&amp;Table1[[#This Row],[Model]],Table13[MFR &amp; MDL],Table13[Tolerance % CW ],"")/100*Table1[[#This Row],[Std Nom]]),"")</f>
        <v/>
      </c>
      <c r="P1157" s="1" t="str">
        <f>IFERROR(Table1[[#This Row],[Std Nom]]+(_xlfn.XLOOKUP(Table1[[#This Row],[Manufacturer]]&amp;" "&amp;Table1[[#This Row],[Model]],Table13[MFR &amp; MDL],Table13[Tolerance % CW ],"")/100*Table1[[#This Row],[Std Nom]]),"")</f>
        <v/>
      </c>
      <c r="Q1157" s="1" t="e">
        <f>Table1[[#This Row],[High Tol]]-Table1[[#This Row],[Low Tol]]</f>
        <v>#VALUE!</v>
      </c>
      <c r="R1157" s="1">
        <f>2*Table1[[#This Row],[Std Error]]</f>
        <v>0</v>
      </c>
      <c r="S1157" s="1" t="str">
        <f>IF(Table1[[#This Row],[High Tol]]="","N/A",IFERROR(ABS(Table1[[#This Row],[Tol Span]]/Table1[[#This Row],[Error Span]]),"N/A"))</f>
        <v>N/A</v>
      </c>
      <c r="T1157" s="1" t="str">
        <f>IF(OR(Table1[[#This Row],[Low Tol]]="",Table1[[#This Row],[High Tol]]=""),"Needs Analysis",IF(Table1[[#This Row],[Ratio]]&gt;=4,"Not Significant",IF(Table1[[#This Row],[Ratio]]&gt;=2,"Semi-Significant","Significant")))</f>
        <v>Needs Analysis</v>
      </c>
      <c r="W1157" s="1">
        <f>IF(Table1[[#This Row],[Cal Type]]&lt;&gt;"ACCREDITED 17025 WITH UNCERTAINTIES",0,"")</f>
        <v>0</v>
      </c>
      <c r="X1157" s="1" t="str">
        <f>IF(Table1[[#This Row],[DUT Read]]="","N/A",Table1[[#This Row],[Std Error]]+Table1[[#This Row],[DUT Read]]+Table1[[#This Row],[DUT Ucty]])</f>
        <v>N/A</v>
      </c>
      <c r="Y1157" s="1" t="str">
        <f>IF(Table1[[#This Row],[Std Read]]="","N/A",Table1[[#This Row],[Std Read]]+Table1[[#This Row],[Std Ucty]])</f>
        <v>N/A</v>
      </c>
      <c r="Z11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7" s="1" t="str">
        <f>IF(Table1[[#This Row],[Spec Type]]="","N/A",Table1[[#This Row],[Spec Type]])</f>
        <v>±</v>
      </c>
      <c r="AC1157" s="1" t="str">
        <f>IF(Table1[[#This Row],[Spec Type2]]="N/A","N/A",IF(AND(Table1[[#This Row],[DUT Adj Read]]&gt;=Table1[[#This Row],[Low Tol]],Table1[[#This Row],[DUT Adj Read]]&lt;=Table1[[#This Row],[High Tol]]),"Pass","Fail"))</f>
        <v>Fail</v>
      </c>
      <c r="AD1157" s="1" t="str">
        <f>IF(AND(Table1[[#This Row],[Spec Type2]]="N/A",Table1[[#This Row],[DUT Adj Read]]="N/A",Table1[[#This Row],[Std Adj Read]]="N/A"),"N/A",IF(Table1[[#This Row],[DUT Adj Read]]="N/A",IF(Table1[[#This Row],[Std Adj Read]]&gt;Table1[[#This Row],[Low Tol]],"Pass","Fail"),IF(Table1[[#This Row],[DUT Adj Read]]&gt;Table1[[#This Row],[Low Tol]],"Pass","Fail")))</f>
        <v>Pass</v>
      </c>
      <c r="AE1157" s="1" t="str">
        <f>IF(AND(Table1[[#This Row],[Spec Type2]]="N/A",Table1[[#This Row],[DUT Adj Read]]="N/A",Table1[[#This Row],[Std Adj Read]]="N/A"),"N/A",IF(Table1[[#This Row],[DUT Adj Read]]="N/A",IF(Table1[[#This Row],[Std Adj Read]]&lt;Table1[[#This Row],[High Tol]],"Pass","Fail"),IF(Table1[[#This Row],[DUT Adj Read]]&lt;Table1[[#This Row],[High Tol]],"Pass","Fail")))</f>
        <v>Fail</v>
      </c>
      <c r="AF1157" s="1" t="str">
        <f>IF(AND(Table1[[#This Row],[Spec Type2]]="N/A",Table1[[#This Row],[DUT Adj Read]]="N/A",Table1[[#This Row],[Std Adj Read]]="N/A"),"N/A",IF(Table1[[#This Row],[DUT Adj Read]]="N/A",IF(Table1[[#This Row],[Std Adj Read]]&gt;=Table1[[#This Row],[Low Tol]],"Pass","Fail"),IF(Table1[[#This Row],[DUT Adj Read]]&gt;=Table1[[#This Row],[Low Tol]],"Pass","Fail")))</f>
        <v>Pass</v>
      </c>
      <c r="AG1157" s="1" t="str">
        <f>IF(AND(Table1[[#This Row],[Spec Type2]]="N/A",Table1[[#This Row],[DUT Adj Read]]="N/A",Table1[[#This Row],[Std Adj Read]]="N/A"),"N/A",IF(Table1[[#This Row],[DUT Adj Read]]="N/A",IF(Table1[[#This Row],[Std Adj Read]]&lt;=Table1[[#This Row],[High Tol]],"Pass","Fail"),IF(Table1[[#This Row],[DUT Adj Read]]&lt;=Table1[[#This Row],[High Tol]],"Pass","Fail")))</f>
        <v>Fail</v>
      </c>
      <c r="AH11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7" s="1" t="b">
        <v>0</v>
      </c>
      <c r="AN1157" s="1" t="b">
        <v>0</v>
      </c>
      <c r="AO1157" s="1" t="b">
        <v>0</v>
      </c>
    </row>
    <row r="1158" spans="1:41" x14ac:dyDescent="0.25">
      <c r="A1158" s="10"/>
      <c r="B1158" s="10"/>
      <c r="C1158" s="10"/>
      <c r="D1158" s="10"/>
      <c r="E1158" s="10"/>
      <c r="F1158" s="10"/>
      <c r="G1158" s="10"/>
      <c r="H1158" s="10"/>
      <c r="I1158" s="1" t="str">
        <f t="shared" si="51"/>
        <v/>
      </c>
      <c r="J1158" s="1" t="s">
        <v>35</v>
      </c>
      <c r="K1158" s="1" t="str">
        <f t="shared" si="52"/>
        <v/>
      </c>
      <c r="L1158" s="1" t="str">
        <f t="shared" si="53"/>
        <v/>
      </c>
      <c r="M1158" s="1">
        <f>IF(OR(Table1[[#This Row],[Std Nom]]="",Table1[[#This Row],[Std Read]]=""),0,Table1[[#This Row],[Std Nom]]-Table1[[#This Row],[Std Read]])</f>
        <v>0</v>
      </c>
      <c r="N1158" s="1">
        <f>IF(Calculations!$F$5="ACCREDITED 17025 WITH UNCERTAINTIES",$N$10,0)</f>
        <v>0</v>
      </c>
      <c r="O1158" s="1" t="str">
        <f>IFERROR(Table1[[#This Row],[Std Nom]]-(_xlfn.XLOOKUP(Table1[[#This Row],[Manufacturer]]&amp;" "&amp;Table1[[#This Row],[Model]],Table13[MFR &amp; MDL],Table13[Tolerance % CW ],"")/100*Table1[[#This Row],[Std Nom]]),"")</f>
        <v/>
      </c>
      <c r="P1158" s="1" t="str">
        <f>IFERROR(Table1[[#This Row],[Std Nom]]+(_xlfn.XLOOKUP(Table1[[#This Row],[Manufacturer]]&amp;" "&amp;Table1[[#This Row],[Model]],Table13[MFR &amp; MDL],Table13[Tolerance % CW ],"")/100*Table1[[#This Row],[Std Nom]]),"")</f>
        <v/>
      </c>
      <c r="Q1158" s="1" t="e">
        <f>Table1[[#This Row],[High Tol]]-Table1[[#This Row],[Low Tol]]</f>
        <v>#VALUE!</v>
      </c>
      <c r="R1158" s="1">
        <f>2*Table1[[#This Row],[Std Error]]</f>
        <v>0</v>
      </c>
      <c r="S1158" s="1" t="str">
        <f>IF(Table1[[#This Row],[High Tol]]="","N/A",IFERROR(ABS(Table1[[#This Row],[Tol Span]]/Table1[[#This Row],[Error Span]]),"N/A"))</f>
        <v>N/A</v>
      </c>
      <c r="T1158" s="1" t="str">
        <f>IF(OR(Table1[[#This Row],[Low Tol]]="",Table1[[#This Row],[High Tol]]=""),"Needs Analysis",IF(Table1[[#This Row],[Ratio]]&gt;=4,"Not Significant",IF(Table1[[#This Row],[Ratio]]&gt;=2,"Semi-Significant","Significant")))</f>
        <v>Needs Analysis</v>
      </c>
      <c r="W1158" s="1">
        <f>IF(Table1[[#This Row],[Cal Type]]&lt;&gt;"ACCREDITED 17025 WITH UNCERTAINTIES",0,"")</f>
        <v>0</v>
      </c>
      <c r="X1158" s="1" t="str">
        <f>IF(Table1[[#This Row],[DUT Read]]="","N/A",Table1[[#This Row],[Std Error]]+Table1[[#This Row],[DUT Read]]+Table1[[#This Row],[DUT Ucty]])</f>
        <v>N/A</v>
      </c>
      <c r="Y1158" s="1" t="str">
        <f>IF(Table1[[#This Row],[Std Read]]="","N/A",Table1[[#This Row],[Std Read]]+Table1[[#This Row],[Std Ucty]])</f>
        <v>N/A</v>
      </c>
      <c r="Z11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8" s="1" t="str">
        <f>IF(Table1[[#This Row],[Spec Type]]="","N/A",Table1[[#This Row],[Spec Type]])</f>
        <v>±</v>
      </c>
      <c r="AC1158" s="1" t="str">
        <f>IF(Table1[[#This Row],[Spec Type2]]="N/A","N/A",IF(AND(Table1[[#This Row],[DUT Adj Read]]&gt;=Table1[[#This Row],[Low Tol]],Table1[[#This Row],[DUT Adj Read]]&lt;=Table1[[#This Row],[High Tol]]),"Pass","Fail"))</f>
        <v>Fail</v>
      </c>
      <c r="AD1158" s="1" t="str">
        <f>IF(AND(Table1[[#This Row],[Spec Type2]]="N/A",Table1[[#This Row],[DUT Adj Read]]="N/A",Table1[[#This Row],[Std Adj Read]]="N/A"),"N/A",IF(Table1[[#This Row],[DUT Adj Read]]="N/A",IF(Table1[[#This Row],[Std Adj Read]]&gt;Table1[[#This Row],[Low Tol]],"Pass","Fail"),IF(Table1[[#This Row],[DUT Adj Read]]&gt;Table1[[#This Row],[Low Tol]],"Pass","Fail")))</f>
        <v>Pass</v>
      </c>
      <c r="AE1158" s="1" t="str">
        <f>IF(AND(Table1[[#This Row],[Spec Type2]]="N/A",Table1[[#This Row],[DUT Adj Read]]="N/A",Table1[[#This Row],[Std Adj Read]]="N/A"),"N/A",IF(Table1[[#This Row],[DUT Adj Read]]="N/A",IF(Table1[[#This Row],[Std Adj Read]]&lt;Table1[[#This Row],[High Tol]],"Pass","Fail"),IF(Table1[[#This Row],[DUT Adj Read]]&lt;Table1[[#This Row],[High Tol]],"Pass","Fail")))</f>
        <v>Fail</v>
      </c>
      <c r="AF1158" s="1" t="str">
        <f>IF(AND(Table1[[#This Row],[Spec Type2]]="N/A",Table1[[#This Row],[DUT Adj Read]]="N/A",Table1[[#This Row],[Std Adj Read]]="N/A"),"N/A",IF(Table1[[#This Row],[DUT Adj Read]]="N/A",IF(Table1[[#This Row],[Std Adj Read]]&gt;=Table1[[#This Row],[Low Tol]],"Pass","Fail"),IF(Table1[[#This Row],[DUT Adj Read]]&gt;=Table1[[#This Row],[Low Tol]],"Pass","Fail")))</f>
        <v>Pass</v>
      </c>
      <c r="AG1158" s="1" t="str">
        <f>IF(AND(Table1[[#This Row],[Spec Type2]]="N/A",Table1[[#This Row],[DUT Adj Read]]="N/A",Table1[[#This Row],[Std Adj Read]]="N/A"),"N/A",IF(Table1[[#This Row],[DUT Adj Read]]="N/A",IF(Table1[[#This Row],[Std Adj Read]]&lt;=Table1[[#This Row],[High Tol]],"Pass","Fail"),IF(Table1[[#This Row],[DUT Adj Read]]&lt;=Table1[[#This Row],[High Tol]],"Pass","Fail")))</f>
        <v>Fail</v>
      </c>
      <c r="AH11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8" s="1" t="b">
        <v>0</v>
      </c>
      <c r="AN1158" s="1" t="b">
        <v>0</v>
      </c>
      <c r="AO1158" s="1" t="b">
        <v>0</v>
      </c>
    </row>
    <row r="1159" spans="1:41" x14ac:dyDescent="0.25">
      <c r="A1159" s="10"/>
      <c r="B1159" s="10"/>
      <c r="C1159" s="10"/>
      <c r="D1159" s="10"/>
      <c r="E1159" s="10"/>
      <c r="F1159" s="10"/>
      <c r="G1159" s="10"/>
      <c r="H1159" s="10"/>
      <c r="I1159" s="1" t="str">
        <f t="shared" si="51"/>
        <v/>
      </c>
      <c r="J1159" s="1" t="s">
        <v>35</v>
      </c>
      <c r="K1159" s="1" t="str">
        <f t="shared" si="52"/>
        <v/>
      </c>
      <c r="L1159" s="1" t="str">
        <f t="shared" si="53"/>
        <v/>
      </c>
      <c r="M1159" s="1">
        <f>IF(OR(Table1[[#This Row],[Std Nom]]="",Table1[[#This Row],[Std Read]]=""),0,Table1[[#This Row],[Std Nom]]-Table1[[#This Row],[Std Read]])</f>
        <v>0</v>
      </c>
      <c r="N1159" s="1">
        <f>IF(Calculations!$F$5="ACCREDITED 17025 WITH UNCERTAINTIES",$N$10,0)</f>
        <v>0</v>
      </c>
      <c r="O1159" s="1" t="str">
        <f>IFERROR(Table1[[#This Row],[Std Nom]]-(_xlfn.XLOOKUP(Table1[[#This Row],[Manufacturer]]&amp;" "&amp;Table1[[#This Row],[Model]],Table13[MFR &amp; MDL],Table13[Tolerance % CW ],"")/100*Table1[[#This Row],[Std Nom]]),"")</f>
        <v/>
      </c>
      <c r="P1159" s="1" t="str">
        <f>IFERROR(Table1[[#This Row],[Std Nom]]+(_xlfn.XLOOKUP(Table1[[#This Row],[Manufacturer]]&amp;" "&amp;Table1[[#This Row],[Model]],Table13[MFR &amp; MDL],Table13[Tolerance % CW ],"")/100*Table1[[#This Row],[Std Nom]]),"")</f>
        <v/>
      </c>
      <c r="Q1159" s="1" t="e">
        <f>Table1[[#This Row],[High Tol]]-Table1[[#This Row],[Low Tol]]</f>
        <v>#VALUE!</v>
      </c>
      <c r="R1159" s="1">
        <f>2*Table1[[#This Row],[Std Error]]</f>
        <v>0</v>
      </c>
      <c r="S1159" s="1" t="str">
        <f>IF(Table1[[#This Row],[High Tol]]="","N/A",IFERROR(ABS(Table1[[#This Row],[Tol Span]]/Table1[[#This Row],[Error Span]]),"N/A"))</f>
        <v>N/A</v>
      </c>
      <c r="T1159" s="1" t="str">
        <f>IF(OR(Table1[[#This Row],[Low Tol]]="",Table1[[#This Row],[High Tol]]=""),"Needs Analysis",IF(Table1[[#This Row],[Ratio]]&gt;=4,"Not Significant",IF(Table1[[#This Row],[Ratio]]&gt;=2,"Semi-Significant","Significant")))</f>
        <v>Needs Analysis</v>
      </c>
      <c r="W1159" s="1">
        <f>IF(Table1[[#This Row],[Cal Type]]&lt;&gt;"ACCREDITED 17025 WITH UNCERTAINTIES",0,"")</f>
        <v>0</v>
      </c>
      <c r="X1159" s="1" t="str">
        <f>IF(Table1[[#This Row],[DUT Read]]="","N/A",Table1[[#This Row],[Std Error]]+Table1[[#This Row],[DUT Read]]+Table1[[#This Row],[DUT Ucty]])</f>
        <v>N/A</v>
      </c>
      <c r="Y1159" s="1" t="str">
        <f>IF(Table1[[#This Row],[Std Read]]="","N/A",Table1[[#This Row],[Std Read]]+Table1[[#This Row],[Std Ucty]])</f>
        <v>N/A</v>
      </c>
      <c r="Z11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9" s="1" t="str">
        <f>IF(Table1[[#This Row],[Spec Type]]="","N/A",Table1[[#This Row],[Spec Type]])</f>
        <v>±</v>
      </c>
      <c r="AC1159" s="1" t="str">
        <f>IF(Table1[[#This Row],[Spec Type2]]="N/A","N/A",IF(AND(Table1[[#This Row],[DUT Adj Read]]&gt;=Table1[[#This Row],[Low Tol]],Table1[[#This Row],[DUT Adj Read]]&lt;=Table1[[#This Row],[High Tol]]),"Pass","Fail"))</f>
        <v>Fail</v>
      </c>
      <c r="AD1159" s="1" t="str">
        <f>IF(AND(Table1[[#This Row],[Spec Type2]]="N/A",Table1[[#This Row],[DUT Adj Read]]="N/A",Table1[[#This Row],[Std Adj Read]]="N/A"),"N/A",IF(Table1[[#This Row],[DUT Adj Read]]="N/A",IF(Table1[[#This Row],[Std Adj Read]]&gt;Table1[[#This Row],[Low Tol]],"Pass","Fail"),IF(Table1[[#This Row],[DUT Adj Read]]&gt;Table1[[#This Row],[Low Tol]],"Pass","Fail")))</f>
        <v>Pass</v>
      </c>
      <c r="AE1159" s="1" t="str">
        <f>IF(AND(Table1[[#This Row],[Spec Type2]]="N/A",Table1[[#This Row],[DUT Adj Read]]="N/A",Table1[[#This Row],[Std Adj Read]]="N/A"),"N/A",IF(Table1[[#This Row],[DUT Adj Read]]="N/A",IF(Table1[[#This Row],[Std Adj Read]]&lt;Table1[[#This Row],[High Tol]],"Pass","Fail"),IF(Table1[[#This Row],[DUT Adj Read]]&lt;Table1[[#This Row],[High Tol]],"Pass","Fail")))</f>
        <v>Fail</v>
      </c>
      <c r="AF1159" s="1" t="str">
        <f>IF(AND(Table1[[#This Row],[Spec Type2]]="N/A",Table1[[#This Row],[DUT Adj Read]]="N/A",Table1[[#This Row],[Std Adj Read]]="N/A"),"N/A",IF(Table1[[#This Row],[DUT Adj Read]]="N/A",IF(Table1[[#This Row],[Std Adj Read]]&gt;=Table1[[#This Row],[Low Tol]],"Pass","Fail"),IF(Table1[[#This Row],[DUT Adj Read]]&gt;=Table1[[#This Row],[Low Tol]],"Pass","Fail")))</f>
        <v>Pass</v>
      </c>
      <c r="AG1159" s="1" t="str">
        <f>IF(AND(Table1[[#This Row],[Spec Type2]]="N/A",Table1[[#This Row],[DUT Adj Read]]="N/A",Table1[[#This Row],[Std Adj Read]]="N/A"),"N/A",IF(Table1[[#This Row],[DUT Adj Read]]="N/A",IF(Table1[[#This Row],[Std Adj Read]]&lt;=Table1[[#This Row],[High Tol]],"Pass","Fail"),IF(Table1[[#This Row],[DUT Adj Read]]&lt;=Table1[[#This Row],[High Tol]],"Pass","Fail")))</f>
        <v>Fail</v>
      </c>
      <c r="AH11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9" s="1" t="b">
        <v>0</v>
      </c>
      <c r="AN1159" s="1" t="b">
        <v>0</v>
      </c>
      <c r="AO1159" s="1" t="b">
        <v>0</v>
      </c>
    </row>
    <row r="1160" spans="1:41" x14ac:dyDescent="0.25">
      <c r="A1160" s="10"/>
      <c r="B1160" s="10"/>
      <c r="C1160" s="10"/>
      <c r="D1160" s="10"/>
      <c r="E1160" s="10"/>
      <c r="F1160" s="10"/>
      <c r="G1160" s="10"/>
      <c r="H1160" s="10"/>
      <c r="I1160" s="1" t="str">
        <f t="shared" si="51"/>
        <v/>
      </c>
      <c r="J1160" s="1" t="s">
        <v>35</v>
      </c>
      <c r="K1160" s="1" t="str">
        <f t="shared" si="52"/>
        <v/>
      </c>
      <c r="L1160" s="1" t="str">
        <f t="shared" si="53"/>
        <v/>
      </c>
      <c r="M1160" s="1">
        <f>IF(OR(Table1[[#This Row],[Std Nom]]="",Table1[[#This Row],[Std Read]]=""),0,Table1[[#This Row],[Std Nom]]-Table1[[#This Row],[Std Read]])</f>
        <v>0</v>
      </c>
      <c r="N1160" s="1">
        <f>IF(Calculations!$F$5="ACCREDITED 17025 WITH UNCERTAINTIES",$N$10,0)</f>
        <v>0</v>
      </c>
      <c r="O1160" s="1" t="str">
        <f>IFERROR(Table1[[#This Row],[Std Nom]]-(_xlfn.XLOOKUP(Table1[[#This Row],[Manufacturer]]&amp;" "&amp;Table1[[#This Row],[Model]],Table13[MFR &amp; MDL],Table13[Tolerance % CW ],"")/100*Table1[[#This Row],[Std Nom]]),"")</f>
        <v/>
      </c>
      <c r="P1160" s="1" t="str">
        <f>IFERROR(Table1[[#This Row],[Std Nom]]+(_xlfn.XLOOKUP(Table1[[#This Row],[Manufacturer]]&amp;" "&amp;Table1[[#This Row],[Model]],Table13[MFR &amp; MDL],Table13[Tolerance % CW ],"")/100*Table1[[#This Row],[Std Nom]]),"")</f>
        <v/>
      </c>
      <c r="Q1160" s="1" t="e">
        <f>Table1[[#This Row],[High Tol]]-Table1[[#This Row],[Low Tol]]</f>
        <v>#VALUE!</v>
      </c>
      <c r="R1160" s="1">
        <f>2*Table1[[#This Row],[Std Error]]</f>
        <v>0</v>
      </c>
      <c r="S1160" s="1" t="str">
        <f>IF(Table1[[#This Row],[High Tol]]="","N/A",IFERROR(ABS(Table1[[#This Row],[Tol Span]]/Table1[[#This Row],[Error Span]]),"N/A"))</f>
        <v>N/A</v>
      </c>
      <c r="T1160" s="1" t="str">
        <f>IF(OR(Table1[[#This Row],[Low Tol]]="",Table1[[#This Row],[High Tol]]=""),"Needs Analysis",IF(Table1[[#This Row],[Ratio]]&gt;=4,"Not Significant",IF(Table1[[#This Row],[Ratio]]&gt;=2,"Semi-Significant","Significant")))</f>
        <v>Needs Analysis</v>
      </c>
      <c r="W1160" s="1">
        <f>IF(Table1[[#This Row],[Cal Type]]&lt;&gt;"ACCREDITED 17025 WITH UNCERTAINTIES",0,"")</f>
        <v>0</v>
      </c>
      <c r="X1160" s="1" t="str">
        <f>IF(Table1[[#This Row],[DUT Read]]="","N/A",Table1[[#This Row],[Std Error]]+Table1[[#This Row],[DUT Read]]+Table1[[#This Row],[DUT Ucty]])</f>
        <v>N/A</v>
      </c>
      <c r="Y1160" s="1" t="str">
        <f>IF(Table1[[#This Row],[Std Read]]="","N/A",Table1[[#This Row],[Std Read]]+Table1[[#This Row],[Std Ucty]])</f>
        <v>N/A</v>
      </c>
      <c r="Z11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0" s="1" t="str">
        <f>IF(Table1[[#This Row],[Spec Type]]="","N/A",Table1[[#This Row],[Spec Type]])</f>
        <v>±</v>
      </c>
      <c r="AC1160" s="1" t="str">
        <f>IF(Table1[[#This Row],[Spec Type2]]="N/A","N/A",IF(AND(Table1[[#This Row],[DUT Adj Read]]&gt;=Table1[[#This Row],[Low Tol]],Table1[[#This Row],[DUT Adj Read]]&lt;=Table1[[#This Row],[High Tol]]),"Pass","Fail"))</f>
        <v>Fail</v>
      </c>
      <c r="AD1160" s="1" t="str">
        <f>IF(AND(Table1[[#This Row],[Spec Type2]]="N/A",Table1[[#This Row],[DUT Adj Read]]="N/A",Table1[[#This Row],[Std Adj Read]]="N/A"),"N/A",IF(Table1[[#This Row],[DUT Adj Read]]="N/A",IF(Table1[[#This Row],[Std Adj Read]]&gt;Table1[[#This Row],[Low Tol]],"Pass","Fail"),IF(Table1[[#This Row],[DUT Adj Read]]&gt;Table1[[#This Row],[Low Tol]],"Pass","Fail")))</f>
        <v>Pass</v>
      </c>
      <c r="AE1160" s="1" t="str">
        <f>IF(AND(Table1[[#This Row],[Spec Type2]]="N/A",Table1[[#This Row],[DUT Adj Read]]="N/A",Table1[[#This Row],[Std Adj Read]]="N/A"),"N/A",IF(Table1[[#This Row],[DUT Adj Read]]="N/A",IF(Table1[[#This Row],[Std Adj Read]]&lt;Table1[[#This Row],[High Tol]],"Pass","Fail"),IF(Table1[[#This Row],[DUT Adj Read]]&lt;Table1[[#This Row],[High Tol]],"Pass","Fail")))</f>
        <v>Fail</v>
      </c>
      <c r="AF1160" s="1" t="str">
        <f>IF(AND(Table1[[#This Row],[Spec Type2]]="N/A",Table1[[#This Row],[DUT Adj Read]]="N/A",Table1[[#This Row],[Std Adj Read]]="N/A"),"N/A",IF(Table1[[#This Row],[DUT Adj Read]]="N/A",IF(Table1[[#This Row],[Std Adj Read]]&gt;=Table1[[#This Row],[Low Tol]],"Pass","Fail"),IF(Table1[[#This Row],[DUT Adj Read]]&gt;=Table1[[#This Row],[Low Tol]],"Pass","Fail")))</f>
        <v>Pass</v>
      </c>
      <c r="AG1160" s="1" t="str">
        <f>IF(AND(Table1[[#This Row],[Spec Type2]]="N/A",Table1[[#This Row],[DUT Adj Read]]="N/A",Table1[[#This Row],[Std Adj Read]]="N/A"),"N/A",IF(Table1[[#This Row],[DUT Adj Read]]="N/A",IF(Table1[[#This Row],[Std Adj Read]]&lt;=Table1[[#This Row],[High Tol]],"Pass","Fail"),IF(Table1[[#This Row],[DUT Adj Read]]&lt;=Table1[[#This Row],[High Tol]],"Pass","Fail")))</f>
        <v>Fail</v>
      </c>
      <c r="AH11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0" s="1" t="b">
        <v>0</v>
      </c>
      <c r="AN1160" s="1" t="b">
        <v>0</v>
      </c>
      <c r="AO1160" s="1" t="b">
        <v>0</v>
      </c>
    </row>
    <row r="1161" spans="1:41" x14ac:dyDescent="0.25">
      <c r="A1161" s="10"/>
      <c r="B1161" s="10"/>
      <c r="C1161" s="10"/>
      <c r="D1161" s="10"/>
      <c r="E1161" s="10"/>
      <c r="F1161" s="10"/>
      <c r="G1161" s="10"/>
      <c r="H1161" s="10"/>
      <c r="I1161" s="1" t="str">
        <f t="shared" si="51"/>
        <v/>
      </c>
      <c r="J1161" s="1" t="s">
        <v>35</v>
      </c>
      <c r="K1161" s="1" t="str">
        <f t="shared" si="52"/>
        <v/>
      </c>
      <c r="L1161" s="1" t="str">
        <f t="shared" si="53"/>
        <v/>
      </c>
      <c r="M1161" s="1">
        <f>IF(OR(Table1[[#This Row],[Std Nom]]="",Table1[[#This Row],[Std Read]]=""),0,Table1[[#This Row],[Std Nom]]-Table1[[#This Row],[Std Read]])</f>
        <v>0</v>
      </c>
      <c r="N1161" s="1">
        <f>IF(Calculations!$F$5="ACCREDITED 17025 WITH UNCERTAINTIES",$N$10,0)</f>
        <v>0</v>
      </c>
      <c r="O1161" s="1" t="str">
        <f>IFERROR(Table1[[#This Row],[Std Nom]]-(_xlfn.XLOOKUP(Table1[[#This Row],[Manufacturer]]&amp;" "&amp;Table1[[#This Row],[Model]],Table13[MFR &amp; MDL],Table13[Tolerance % CW ],"")/100*Table1[[#This Row],[Std Nom]]),"")</f>
        <v/>
      </c>
      <c r="P1161" s="1" t="str">
        <f>IFERROR(Table1[[#This Row],[Std Nom]]+(_xlfn.XLOOKUP(Table1[[#This Row],[Manufacturer]]&amp;" "&amp;Table1[[#This Row],[Model]],Table13[MFR &amp; MDL],Table13[Tolerance % CW ],"")/100*Table1[[#This Row],[Std Nom]]),"")</f>
        <v/>
      </c>
      <c r="Q1161" s="1" t="e">
        <f>Table1[[#This Row],[High Tol]]-Table1[[#This Row],[Low Tol]]</f>
        <v>#VALUE!</v>
      </c>
      <c r="R1161" s="1">
        <f>2*Table1[[#This Row],[Std Error]]</f>
        <v>0</v>
      </c>
      <c r="S1161" s="1" t="str">
        <f>IF(Table1[[#This Row],[High Tol]]="","N/A",IFERROR(ABS(Table1[[#This Row],[Tol Span]]/Table1[[#This Row],[Error Span]]),"N/A"))</f>
        <v>N/A</v>
      </c>
      <c r="T1161" s="1" t="str">
        <f>IF(OR(Table1[[#This Row],[Low Tol]]="",Table1[[#This Row],[High Tol]]=""),"Needs Analysis",IF(Table1[[#This Row],[Ratio]]&gt;=4,"Not Significant",IF(Table1[[#This Row],[Ratio]]&gt;=2,"Semi-Significant","Significant")))</f>
        <v>Needs Analysis</v>
      </c>
      <c r="W1161" s="1">
        <f>IF(Table1[[#This Row],[Cal Type]]&lt;&gt;"ACCREDITED 17025 WITH UNCERTAINTIES",0,"")</f>
        <v>0</v>
      </c>
      <c r="X1161" s="1" t="str">
        <f>IF(Table1[[#This Row],[DUT Read]]="","N/A",Table1[[#This Row],[Std Error]]+Table1[[#This Row],[DUT Read]]+Table1[[#This Row],[DUT Ucty]])</f>
        <v>N/A</v>
      </c>
      <c r="Y1161" s="1" t="str">
        <f>IF(Table1[[#This Row],[Std Read]]="","N/A",Table1[[#This Row],[Std Read]]+Table1[[#This Row],[Std Ucty]])</f>
        <v>N/A</v>
      </c>
      <c r="Z11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1" s="1" t="str">
        <f>IF(Table1[[#This Row],[Spec Type]]="","N/A",Table1[[#This Row],[Spec Type]])</f>
        <v>±</v>
      </c>
      <c r="AC1161" s="1" t="str">
        <f>IF(Table1[[#This Row],[Spec Type2]]="N/A","N/A",IF(AND(Table1[[#This Row],[DUT Adj Read]]&gt;=Table1[[#This Row],[Low Tol]],Table1[[#This Row],[DUT Adj Read]]&lt;=Table1[[#This Row],[High Tol]]),"Pass","Fail"))</f>
        <v>Fail</v>
      </c>
      <c r="AD1161" s="1" t="str">
        <f>IF(AND(Table1[[#This Row],[Spec Type2]]="N/A",Table1[[#This Row],[DUT Adj Read]]="N/A",Table1[[#This Row],[Std Adj Read]]="N/A"),"N/A",IF(Table1[[#This Row],[DUT Adj Read]]="N/A",IF(Table1[[#This Row],[Std Adj Read]]&gt;Table1[[#This Row],[Low Tol]],"Pass","Fail"),IF(Table1[[#This Row],[DUT Adj Read]]&gt;Table1[[#This Row],[Low Tol]],"Pass","Fail")))</f>
        <v>Pass</v>
      </c>
      <c r="AE1161" s="1" t="str">
        <f>IF(AND(Table1[[#This Row],[Spec Type2]]="N/A",Table1[[#This Row],[DUT Adj Read]]="N/A",Table1[[#This Row],[Std Adj Read]]="N/A"),"N/A",IF(Table1[[#This Row],[DUT Adj Read]]="N/A",IF(Table1[[#This Row],[Std Adj Read]]&lt;Table1[[#This Row],[High Tol]],"Pass","Fail"),IF(Table1[[#This Row],[DUT Adj Read]]&lt;Table1[[#This Row],[High Tol]],"Pass","Fail")))</f>
        <v>Fail</v>
      </c>
      <c r="AF1161" s="1" t="str">
        <f>IF(AND(Table1[[#This Row],[Spec Type2]]="N/A",Table1[[#This Row],[DUT Adj Read]]="N/A",Table1[[#This Row],[Std Adj Read]]="N/A"),"N/A",IF(Table1[[#This Row],[DUT Adj Read]]="N/A",IF(Table1[[#This Row],[Std Adj Read]]&gt;=Table1[[#This Row],[Low Tol]],"Pass","Fail"),IF(Table1[[#This Row],[DUT Adj Read]]&gt;=Table1[[#This Row],[Low Tol]],"Pass","Fail")))</f>
        <v>Pass</v>
      </c>
      <c r="AG1161" s="1" t="str">
        <f>IF(AND(Table1[[#This Row],[Spec Type2]]="N/A",Table1[[#This Row],[DUT Adj Read]]="N/A",Table1[[#This Row],[Std Adj Read]]="N/A"),"N/A",IF(Table1[[#This Row],[DUT Adj Read]]="N/A",IF(Table1[[#This Row],[Std Adj Read]]&lt;=Table1[[#This Row],[High Tol]],"Pass","Fail"),IF(Table1[[#This Row],[DUT Adj Read]]&lt;=Table1[[#This Row],[High Tol]],"Pass","Fail")))</f>
        <v>Fail</v>
      </c>
      <c r="AH11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1" s="1" t="b">
        <v>0</v>
      </c>
      <c r="AN1161" s="1" t="b">
        <v>0</v>
      </c>
      <c r="AO1161" s="1" t="b">
        <v>0</v>
      </c>
    </row>
    <row r="1162" spans="1:41" x14ac:dyDescent="0.25">
      <c r="A1162" s="10"/>
      <c r="B1162" s="10"/>
      <c r="C1162" s="10"/>
      <c r="D1162" s="10"/>
      <c r="E1162" s="10"/>
      <c r="F1162" s="10"/>
      <c r="G1162" s="10"/>
      <c r="H1162" s="10"/>
      <c r="I1162" s="1" t="str">
        <f t="shared" si="51"/>
        <v/>
      </c>
      <c r="J1162" s="1" t="s">
        <v>35</v>
      </c>
      <c r="K1162" s="1" t="str">
        <f t="shared" si="52"/>
        <v/>
      </c>
      <c r="L1162" s="1" t="str">
        <f t="shared" si="53"/>
        <v/>
      </c>
      <c r="M1162" s="1">
        <f>IF(OR(Table1[[#This Row],[Std Nom]]="",Table1[[#This Row],[Std Read]]=""),0,Table1[[#This Row],[Std Nom]]-Table1[[#This Row],[Std Read]])</f>
        <v>0</v>
      </c>
      <c r="N1162" s="1">
        <f>IF(Calculations!$F$5="ACCREDITED 17025 WITH UNCERTAINTIES",$N$10,0)</f>
        <v>0</v>
      </c>
      <c r="O1162" s="1" t="str">
        <f>IFERROR(Table1[[#This Row],[Std Nom]]-(_xlfn.XLOOKUP(Table1[[#This Row],[Manufacturer]]&amp;" "&amp;Table1[[#This Row],[Model]],Table13[MFR &amp; MDL],Table13[Tolerance % CW ],"")/100*Table1[[#This Row],[Std Nom]]),"")</f>
        <v/>
      </c>
      <c r="P1162" s="1" t="str">
        <f>IFERROR(Table1[[#This Row],[Std Nom]]+(_xlfn.XLOOKUP(Table1[[#This Row],[Manufacturer]]&amp;" "&amp;Table1[[#This Row],[Model]],Table13[MFR &amp; MDL],Table13[Tolerance % CW ],"")/100*Table1[[#This Row],[Std Nom]]),"")</f>
        <v/>
      </c>
      <c r="Q1162" s="1" t="e">
        <f>Table1[[#This Row],[High Tol]]-Table1[[#This Row],[Low Tol]]</f>
        <v>#VALUE!</v>
      </c>
      <c r="R1162" s="1">
        <f>2*Table1[[#This Row],[Std Error]]</f>
        <v>0</v>
      </c>
      <c r="S1162" s="1" t="str">
        <f>IF(Table1[[#This Row],[High Tol]]="","N/A",IFERROR(ABS(Table1[[#This Row],[Tol Span]]/Table1[[#This Row],[Error Span]]),"N/A"))</f>
        <v>N/A</v>
      </c>
      <c r="T1162" s="1" t="str">
        <f>IF(OR(Table1[[#This Row],[Low Tol]]="",Table1[[#This Row],[High Tol]]=""),"Needs Analysis",IF(Table1[[#This Row],[Ratio]]&gt;=4,"Not Significant",IF(Table1[[#This Row],[Ratio]]&gt;=2,"Semi-Significant","Significant")))</f>
        <v>Needs Analysis</v>
      </c>
      <c r="W1162" s="1">
        <f>IF(Table1[[#This Row],[Cal Type]]&lt;&gt;"ACCREDITED 17025 WITH UNCERTAINTIES",0,"")</f>
        <v>0</v>
      </c>
      <c r="X1162" s="1" t="str">
        <f>IF(Table1[[#This Row],[DUT Read]]="","N/A",Table1[[#This Row],[Std Error]]+Table1[[#This Row],[DUT Read]]+Table1[[#This Row],[DUT Ucty]])</f>
        <v>N/A</v>
      </c>
      <c r="Y1162" s="1" t="str">
        <f>IF(Table1[[#This Row],[Std Read]]="","N/A",Table1[[#This Row],[Std Read]]+Table1[[#This Row],[Std Ucty]])</f>
        <v>N/A</v>
      </c>
      <c r="Z11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2" s="1" t="str">
        <f>IF(Table1[[#This Row],[Spec Type]]="","N/A",Table1[[#This Row],[Spec Type]])</f>
        <v>±</v>
      </c>
      <c r="AC1162" s="1" t="str">
        <f>IF(Table1[[#This Row],[Spec Type2]]="N/A","N/A",IF(AND(Table1[[#This Row],[DUT Adj Read]]&gt;=Table1[[#This Row],[Low Tol]],Table1[[#This Row],[DUT Adj Read]]&lt;=Table1[[#This Row],[High Tol]]),"Pass","Fail"))</f>
        <v>Fail</v>
      </c>
      <c r="AD1162" s="1" t="str">
        <f>IF(AND(Table1[[#This Row],[Spec Type2]]="N/A",Table1[[#This Row],[DUT Adj Read]]="N/A",Table1[[#This Row],[Std Adj Read]]="N/A"),"N/A",IF(Table1[[#This Row],[DUT Adj Read]]="N/A",IF(Table1[[#This Row],[Std Adj Read]]&gt;Table1[[#This Row],[Low Tol]],"Pass","Fail"),IF(Table1[[#This Row],[DUT Adj Read]]&gt;Table1[[#This Row],[Low Tol]],"Pass","Fail")))</f>
        <v>Pass</v>
      </c>
      <c r="AE1162" s="1" t="str">
        <f>IF(AND(Table1[[#This Row],[Spec Type2]]="N/A",Table1[[#This Row],[DUT Adj Read]]="N/A",Table1[[#This Row],[Std Adj Read]]="N/A"),"N/A",IF(Table1[[#This Row],[DUT Adj Read]]="N/A",IF(Table1[[#This Row],[Std Adj Read]]&lt;Table1[[#This Row],[High Tol]],"Pass","Fail"),IF(Table1[[#This Row],[DUT Adj Read]]&lt;Table1[[#This Row],[High Tol]],"Pass","Fail")))</f>
        <v>Fail</v>
      </c>
      <c r="AF1162" s="1" t="str">
        <f>IF(AND(Table1[[#This Row],[Spec Type2]]="N/A",Table1[[#This Row],[DUT Adj Read]]="N/A",Table1[[#This Row],[Std Adj Read]]="N/A"),"N/A",IF(Table1[[#This Row],[DUT Adj Read]]="N/A",IF(Table1[[#This Row],[Std Adj Read]]&gt;=Table1[[#This Row],[Low Tol]],"Pass","Fail"),IF(Table1[[#This Row],[DUT Adj Read]]&gt;=Table1[[#This Row],[Low Tol]],"Pass","Fail")))</f>
        <v>Pass</v>
      </c>
      <c r="AG1162" s="1" t="str">
        <f>IF(AND(Table1[[#This Row],[Spec Type2]]="N/A",Table1[[#This Row],[DUT Adj Read]]="N/A",Table1[[#This Row],[Std Adj Read]]="N/A"),"N/A",IF(Table1[[#This Row],[DUT Adj Read]]="N/A",IF(Table1[[#This Row],[Std Adj Read]]&lt;=Table1[[#This Row],[High Tol]],"Pass","Fail"),IF(Table1[[#This Row],[DUT Adj Read]]&lt;=Table1[[#This Row],[High Tol]],"Pass","Fail")))</f>
        <v>Fail</v>
      </c>
      <c r="AH11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2" s="1" t="b">
        <v>0</v>
      </c>
      <c r="AN1162" s="1" t="b">
        <v>0</v>
      </c>
      <c r="AO1162" s="1" t="b">
        <v>0</v>
      </c>
    </row>
    <row r="1163" spans="1:41" x14ac:dyDescent="0.25">
      <c r="A1163" s="10"/>
      <c r="B1163" s="10"/>
      <c r="C1163" s="10"/>
      <c r="D1163" s="10"/>
      <c r="E1163" s="10"/>
      <c r="F1163" s="10"/>
      <c r="G1163" s="10"/>
      <c r="H1163" s="10"/>
      <c r="I1163" s="1" t="str">
        <f t="shared" ref="I1163:I1226" si="54">IF($I$10="","",$I$10)</f>
        <v/>
      </c>
      <c r="J1163" s="1" t="s">
        <v>35</v>
      </c>
      <c r="K1163" s="1" t="str">
        <f t="shared" ref="K1163:K1226" si="55">IF($K$10="","",$K$10)</f>
        <v/>
      </c>
      <c r="L1163" s="1" t="str">
        <f t="shared" ref="L1163:L1226" si="56">IF($L$10="","",$L$10)</f>
        <v/>
      </c>
      <c r="M1163" s="1">
        <f>IF(OR(Table1[[#This Row],[Std Nom]]="",Table1[[#This Row],[Std Read]]=""),0,Table1[[#This Row],[Std Nom]]-Table1[[#This Row],[Std Read]])</f>
        <v>0</v>
      </c>
      <c r="N1163" s="1">
        <f>IF(Calculations!$F$5="ACCREDITED 17025 WITH UNCERTAINTIES",$N$10,0)</f>
        <v>0</v>
      </c>
      <c r="O1163" s="1" t="str">
        <f>IFERROR(Table1[[#This Row],[Std Nom]]-(_xlfn.XLOOKUP(Table1[[#This Row],[Manufacturer]]&amp;" "&amp;Table1[[#This Row],[Model]],Table13[MFR &amp; MDL],Table13[Tolerance % CW ],"")/100*Table1[[#This Row],[Std Nom]]),"")</f>
        <v/>
      </c>
      <c r="P1163" s="1" t="str">
        <f>IFERROR(Table1[[#This Row],[Std Nom]]+(_xlfn.XLOOKUP(Table1[[#This Row],[Manufacturer]]&amp;" "&amp;Table1[[#This Row],[Model]],Table13[MFR &amp; MDL],Table13[Tolerance % CW ],"")/100*Table1[[#This Row],[Std Nom]]),"")</f>
        <v/>
      </c>
      <c r="Q1163" s="1" t="e">
        <f>Table1[[#This Row],[High Tol]]-Table1[[#This Row],[Low Tol]]</f>
        <v>#VALUE!</v>
      </c>
      <c r="R1163" s="1">
        <f>2*Table1[[#This Row],[Std Error]]</f>
        <v>0</v>
      </c>
      <c r="S1163" s="1" t="str">
        <f>IF(Table1[[#This Row],[High Tol]]="","N/A",IFERROR(ABS(Table1[[#This Row],[Tol Span]]/Table1[[#This Row],[Error Span]]),"N/A"))</f>
        <v>N/A</v>
      </c>
      <c r="T1163" s="1" t="str">
        <f>IF(OR(Table1[[#This Row],[Low Tol]]="",Table1[[#This Row],[High Tol]]=""),"Needs Analysis",IF(Table1[[#This Row],[Ratio]]&gt;=4,"Not Significant",IF(Table1[[#This Row],[Ratio]]&gt;=2,"Semi-Significant","Significant")))</f>
        <v>Needs Analysis</v>
      </c>
      <c r="W1163" s="1">
        <f>IF(Table1[[#This Row],[Cal Type]]&lt;&gt;"ACCREDITED 17025 WITH UNCERTAINTIES",0,"")</f>
        <v>0</v>
      </c>
      <c r="X1163" s="1" t="str">
        <f>IF(Table1[[#This Row],[DUT Read]]="","N/A",Table1[[#This Row],[Std Error]]+Table1[[#This Row],[DUT Read]]+Table1[[#This Row],[DUT Ucty]])</f>
        <v>N/A</v>
      </c>
      <c r="Y1163" s="1" t="str">
        <f>IF(Table1[[#This Row],[Std Read]]="","N/A",Table1[[#This Row],[Std Read]]+Table1[[#This Row],[Std Ucty]])</f>
        <v>N/A</v>
      </c>
      <c r="Z11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3" s="1" t="str">
        <f>IF(Table1[[#This Row],[Spec Type]]="","N/A",Table1[[#This Row],[Spec Type]])</f>
        <v>±</v>
      </c>
      <c r="AC1163" s="1" t="str">
        <f>IF(Table1[[#This Row],[Spec Type2]]="N/A","N/A",IF(AND(Table1[[#This Row],[DUT Adj Read]]&gt;=Table1[[#This Row],[Low Tol]],Table1[[#This Row],[DUT Adj Read]]&lt;=Table1[[#This Row],[High Tol]]),"Pass","Fail"))</f>
        <v>Fail</v>
      </c>
      <c r="AD1163" s="1" t="str">
        <f>IF(AND(Table1[[#This Row],[Spec Type2]]="N/A",Table1[[#This Row],[DUT Adj Read]]="N/A",Table1[[#This Row],[Std Adj Read]]="N/A"),"N/A",IF(Table1[[#This Row],[DUT Adj Read]]="N/A",IF(Table1[[#This Row],[Std Adj Read]]&gt;Table1[[#This Row],[Low Tol]],"Pass","Fail"),IF(Table1[[#This Row],[DUT Adj Read]]&gt;Table1[[#This Row],[Low Tol]],"Pass","Fail")))</f>
        <v>Pass</v>
      </c>
      <c r="AE1163" s="1" t="str">
        <f>IF(AND(Table1[[#This Row],[Spec Type2]]="N/A",Table1[[#This Row],[DUT Adj Read]]="N/A",Table1[[#This Row],[Std Adj Read]]="N/A"),"N/A",IF(Table1[[#This Row],[DUT Adj Read]]="N/A",IF(Table1[[#This Row],[Std Adj Read]]&lt;Table1[[#This Row],[High Tol]],"Pass","Fail"),IF(Table1[[#This Row],[DUT Adj Read]]&lt;Table1[[#This Row],[High Tol]],"Pass","Fail")))</f>
        <v>Fail</v>
      </c>
      <c r="AF1163" s="1" t="str">
        <f>IF(AND(Table1[[#This Row],[Spec Type2]]="N/A",Table1[[#This Row],[DUT Adj Read]]="N/A",Table1[[#This Row],[Std Adj Read]]="N/A"),"N/A",IF(Table1[[#This Row],[DUT Adj Read]]="N/A",IF(Table1[[#This Row],[Std Adj Read]]&gt;=Table1[[#This Row],[Low Tol]],"Pass","Fail"),IF(Table1[[#This Row],[DUT Adj Read]]&gt;=Table1[[#This Row],[Low Tol]],"Pass","Fail")))</f>
        <v>Pass</v>
      </c>
      <c r="AG1163" s="1" t="str">
        <f>IF(AND(Table1[[#This Row],[Spec Type2]]="N/A",Table1[[#This Row],[DUT Adj Read]]="N/A",Table1[[#This Row],[Std Adj Read]]="N/A"),"N/A",IF(Table1[[#This Row],[DUT Adj Read]]="N/A",IF(Table1[[#This Row],[Std Adj Read]]&lt;=Table1[[#This Row],[High Tol]],"Pass","Fail"),IF(Table1[[#This Row],[DUT Adj Read]]&lt;=Table1[[#This Row],[High Tol]],"Pass","Fail")))</f>
        <v>Fail</v>
      </c>
      <c r="AH11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3" s="1" t="b">
        <v>0</v>
      </c>
      <c r="AN1163" s="1" t="b">
        <v>0</v>
      </c>
      <c r="AO1163" s="1" t="b">
        <v>0</v>
      </c>
    </row>
    <row r="1164" spans="1:41" x14ac:dyDescent="0.25">
      <c r="A1164" s="10"/>
      <c r="B1164" s="10"/>
      <c r="C1164" s="10"/>
      <c r="D1164" s="10"/>
      <c r="E1164" s="10"/>
      <c r="F1164" s="10"/>
      <c r="G1164" s="10"/>
      <c r="H1164" s="10"/>
      <c r="I1164" s="1" t="str">
        <f t="shared" si="54"/>
        <v/>
      </c>
      <c r="J1164" s="1" t="s">
        <v>35</v>
      </c>
      <c r="K1164" s="1" t="str">
        <f t="shared" si="55"/>
        <v/>
      </c>
      <c r="L1164" s="1" t="str">
        <f t="shared" si="56"/>
        <v/>
      </c>
      <c r="M1164" s="1">
        <f>IF(OR(Table1[[#This Row],[Std Nom]]="",Table1[[#This Row],[Std Read]]=""),0,Table1[[#This Row],[Std Nom]]-Table1[[#This Row],[Std Read]])</f>
        <v>0</v>
      </c>
      <c r="N1164" s="1">
        <f>IF(Calculations!$F$5="ACCREDITED 17025 WITH UNCERTAINTIES",$N$10,0)</f>
        <v>0</v>
      </c>
      <c r="O1164" s="1" t="str">
        <f>IFERROR(Table1[[#This Row],[Std Nom]]-(_xlfn.XLOOKUP(Table1[[#This Row],[Manufacturer]]&amp;" "&amp;Table1[[#This Row],[Model]],Table13[MFR &amp; MDL],Table13[Tolerance % CW ],"")/100*Table1[[#This Row],[Std Nom]]),"")</f>
        <v/>
      </c>
      <c r="P1164" s="1" t="str">
        <f>IFERROR(Table1[[#This Row],[Std Nom]]+(_xlfn.XLOOKUP(Table1[[#This Row],[Manufacturer]]&amp;" "&amp;Table1[[#This Row],[Model]],Table13[MFR &amp; MDL],Table13[Tolerance % CW ],"")/100*Table1[[#This Row],[Std Nom]]),"")</f>
        <v/>
      </c>
      <c r="Q1164" s="1" t="e">
        <f>Table1[[#This Row],[High Tol]]-Table1[[#This Row],[Low Tol]]</f>
        <v>#VALUE!</v>
      </c>
      <c r="R1164" s="1">
        <f>2*Table1[[#This Row],[Std Error]]</f>
        <v>0</v>
      </c>
      <c r="S1164" s="1" t="str">
        <f>IF(Table1[[#This Row],[High Tol]]="","N/A",IFERROR(ABS(Table1[[#This Row],[Tol Span]]/Table1[[#This Row],[Error Span]]),"N/A"))</f>
        <v>N/A</v>
      </c>
      <c r="T1164" s="1" t="str">
        <f>IF(OR(Table1[[#This Row],[Low Tol]]="",Table1[[#This Row],[High Tol]]=""),"Needs Analysis",IF(Table1[[#This Row],[Ratio]]&gt;=4,"Not Significant",IF(Table1[[#This Row],[Ratio]]&gt;=2,"Semi-Significant","Significant")))</f>
        <v>Needs Analysis</v>
      </c>
      <c r="W1164" s="1">
        <f>IF(Table1[[#This Row],[Cal Type]]&lt;&gt;"ACCREDITED 17025 WITH UNCERTAINTIES",0,"")</f>
        <v>0</v>
      </c>
      <c r="X1164" s="1" t="str">
        <f>IF(Table1[[#This Row],[DUT Read]]="","N/A",Table1[[#This Row],[Std Error]]+Table1[[#This Row],[DUT Read]]+Table1[[#This Row],[DUT Ucty]])</f>
        <v>N/A</v>
      </c>
      <c r="Y1164" s="1" t="str">
        <f>IF(Table1[[#This Row],[Std Read]]="","N/A",Table1[[#This Row],[Std Read]]+Table1[[#This Row],[Std Ucty]])</f>
        <v>N/A</v>
      </c>
      <c r="Z11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4" s="1" t="str">
        <f>IF(Table1[[#This Row],[Spec Type]]="","N/A",Table1[[#This Row],[Spec Type]])</f>
        <v>±</v>
      </c>
      <c r="AC1164" s="1" t="str">
        <f>IF(Table1[[#This Row],[Spec Type2]]="N/A","N/A",IF(AND(Table1[[#This Row],[DUT Adj Read]]&gt;=Table1[[#This Row],[Low Tol]],Table1[[#This Row],[DUT Adj Read]]&lt;=Table1[[#This Row],[High Tol]]),"Pass","Fail"))</f>
        <v>Fail</v>
      </c>
      <c r="AD1164" s="1" t="str">
        <f>IF(AND(Table1[[#This Row],[Spec Type2]]="N/A",Table1[[#This Row],[DUT Adj Read]]="N/A",Table1[[#This Row],[Std Adj Read]]="N/A"),"N/A",IF(Table1[[#This Row],[DUT Adj Read]]="N/A",IF(Table1[[#This Row],[Std Adj Read]]&gt;Table1[[#This Row],[Low Tol]],"Pass","Fail"),IF(Table1[[#This Row],[DUT Adj Read]]&gt;Table1[[#This Row],[Low Tol]],"Pass","Fail")))</f>
        <v>Pass</v>
      </c>
      <c r="AE1164" s="1" t="str">
        <f>IF(AND(Table1[[#This Row],[Spec Type2]]="N/A",Table1[[#This Row],[DUT Adj Read]]="N/A",Table1[[#This Row],[Std Adj Read]]="N/A"),"N/A",IF(Table1[[#This Row],[DUT Adj Read]]="N/A",IF(Table1[[#This Row],[Std Adj Read]]&lt;Table1[[#This Row],[High Tol]],"Pass","Fail"),IF(Table1[[#This Row],[DUT Adj Read]]&lt;Table1[[#This Row],[High Tol]],"Pass","Fail")))</f>
        <v>Fail</v>
      </c>
      <c r="AF1164" s="1" t="str">
        <f>IF(AND(Table1[[#This Row],[Spec Type2]]="N/A",Table1[[#This Row],[DUT Adj Read]]="N/A",Table1[[#This Row],[Std Adj Read]]="N/A"),"N/A",IF(Table1[[#This Row],[DUT Adj Read]]="N/A",IF(Table1[[#This Row],[Std Adj Read]]&gt;=Table1[[#This Row],[Low Tol]],"Pass","Fail"),IF(Table1[[#This Row],[DUT Adj Read]]&gt;=Table1[[#This Row],[Low Tol]],"Pass","Fail")))</f>
        <v>Pass</v>
      </c>
      <c r="AG1164" s="1" t="str">
        <f>IF(AND(Table1[[#This Row],[Spec Type2]]="N/A",Table1[[#This Row],[DUT Adj Read]]="N/A",Table1[[#This Row],[Std Adj Read]]="N/A"),"N/A",IF(Table1[[#This Row],[DUT Adj Read]]="N/A",IF(Table1[[#This Row],[Std Adj Read]]&lt;=Table1[[#This Row],[High Tol]],"Pass","Fail"),IF(Table1[[#This Row],[DUT Adj Read]]&lt;=Table1[[#This Row],[High Tol]],"Pass","Fail")))</f>
        <v>Fail</v>
      </c>
      <c r="AH11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4" s="1" t="b">
        <v>0</v>
      </c>
      <c r="AN1164" s="1" t="b">
        <v>0</v>
      </c>
      <c r="AO1164" s="1" t="b">
        <v>0</v>
      </c>
    </row>
    <row r="1165" spans="1:41" x14ac:dyDescent="0.25">
      <c r="A1165" s="10"/>
      <c r="B1165" s="10"/>
      <c r="C1165" s="10"/>
      <c r="D1165" s="10"/>
      <c r="E1165" s="10"/>
      <c r="F1165" s="10"/>
      <c r="G1165" s="10"/>
      <c r="H1165" s="10"/>
      <c r="I1165" s="1" t="str">
        <f t="shared" si="54"/>
        <v/>
      </c>
      <c r="J1165" s="1" t="s">
        <v>35</v>
      </c>
      <c r="K1165" s="1" t="str">
        <f t="shared" si="55"/>
        <v/>
      </c>
      <c r="L1165" s="1" t="str">
        <f t="shared" si="56"/>
        <v/>
      </c>
      <c r="M1165" s="1">
        <f>IF(OR(Table1[[#This Row],[Std Nom]]="",Table1[[#This Row],[Std Read]]=""),0,Table1[[#This Row],[Std Nom]]-Table1[[#This Row],[Std Read]])</f>
        <v>0</v>
      </c>
      <c r="N1165" s="1">
        <f>IF(Calculations!$F$5="ACCREDITED 17025 WITH UNCERTAINTIES",$N$10,0)</f>
        <v>0</v>
      </c>
      <c r="O1165" s="1" t="str">
        <f>IFERROR(Table1[[#This Row],[Std Nom]]-(_xlfn.XLOOKUP(Table1[[#This Row],[Manufacturer]]&amp;" "&amp;Table1[[#This Row],[Model]],Table13[MFR &amp; MDL],Table13[Tolerance % CW ],"")/100*Table1[[#This Row],[Std Nom]]),"")</f>
        <v/>
      </c>
      <c r="P1165" s="1" t="str">
        <f>IFERROR(Table1[[#This Row],[Std Nom]]+(_xlfn.XLOOKUP(Table1[[#This Row],[Manufacturer]]&amp;" "&amp;Table1[[#This Row],[Model]],Table13[MFR &amp; MDL],Table13[Tolerance % CW ],"")/100*Table1[[#This Row],[Std Nom]]),"")</f>
        <v/>
      </c>
      <c r="Q1165" s="1" t="e">
        <f>Table1[[#This Row],[High Tol]]-Table1[[#This Row],[Low Tol]]</f>
        <v>#VALUE!</v>
      </c>
      <c r="R1165" s="1">
        <f>2*Table1[[#This Row],[Std Error]]</f>
        <v>0</v>
      </c>
      <c r="S1165" s="1" t="str">
        <f>IF(Table1[[#This Row],[High Tol]]="","N/A",IFERROR(ABS(Table1[[#This Row],[Tol Span]]/Table1[[#This Row],[Error Span]]),"N/A"))</f>
        <v>N/A</v>
      </c>
      <c r="T1165" s="1" t="str">
        <f>IF(OR(Table1[[#This Row],[Low Tol]]="",Table1[[#This Row],[High Tol]]=""),"Needs Analysis",IF(Table1[[#This Row],[Ratio]]&gt;=4,"Not Significant",IF(Table1[[#This Row],[Ratio]]&gt;=2,"Semi-Significant","Significant")))</f>
        <v>Needs Analysis</v>
      </c>
      <c r="W1165" s="1">
        <f>IF(Table1[[#This Row],[Cal Type]]&lt;&gt;"ACCREDITED 17025 WITH UNCERTAINTIES",0,"")</f>
        <v>0</v>
      </c>
      <c r="X1165" s="1" t="str">
        <f>IF(Table1[[#This Row],[DUT Read]]="","N/A",Table1[[#This Row],[Std Error]]+Table1[[#This Row],[DUT Read]]+Table1[[#This Row],[DUT Ucty]])</f>
        <v>N/A</v>
      </c>
      <c r="Y1165" s="1" t="str">
        <f>IF(Table1[[#This Row],[Std Read]]="","N/A",Table1[[#This Row],[Std Read]]+Table1[[#This Row],[Std Ucty]])</f>
        <v>N/A</v>
      </c>
      <c r="Z11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5" s="1" t="str">
        <f>IF(Table1[[#This Row],[Spec Type]]="","N/A",Table1[[#This Row],[Spec Type]])</f>
        <v>±</v>
      </c>
      <c r="AC1165" s="1" t="str">
        <f>IF(Table1[[#This Row],[Spec Type2]]="N/A","N/A",IF(AND(Table1[[#This Row],[DUT Adj Read]]&gt;=Table1[[#This Row],[Low Tol]],Table1[[#This Row],[DUT Adj Read]]&lt;=Table1[[#This Row],[High Tol]]),"Pass","Fail"))</f>
        <v>Fail</v>
      </c>
      <c r="AD1165" s="1" t="str">
        <f>IF(AND(Table1[[#This Row],[Spec Type2]]="N/A",Table1[[#This Row],[DUT Adj Read]]="N/A",Table1[[#This Row],[Std Adj Read]]="N/A"),"N/A",IF(Table1[[#This Row],[DUT Adj Read]]="N/A",IF(Table1[[#This Row],[Std Adj Read]]&gt;Table1[[#This Row],[Low Tol]],"Pass","Fail"),IF(Table1[[#This Row],[DUT Adj Read]]&gt;Table1[[#This Row],[Low Tol]],"Pass","Fail")))</f>
        <v>Pass</v>
      </c>
      <c r="AE1165" s="1" t="str">
        <f>IF(AND(Table1[[#This Row],[Spec Type2]]="N/A",Table1[[#This Row],[DUT Adj Read]]="N/A",Table1[[#This Row],[Std Adj Read]]="N/A"),"N/A",IF(Table1[[#This Row],[DUT Adj Read]]="N/A",IF(Table1[[#This Row],[Std Adj Read]]&lt;Table1[[#This Row],[High Tol]],"Pass","Fail"),IF(Table1[[#This Row],[DUT Adj Read]]&lt;Table1[[#This Row],[High Tol]],"Pass","Fail")))</f>
        <v>Fail</v>
      </c>
      <c r="AF1165" s="1" t="str">
        <f>IF(AND(Table1[[#This Row],[Spec Type2]]="N/A",Table1[[#This Row],[DUT Adj Read]]="N/A",Table1[[#This Row],[Std Adj Read]]="N/A"),"N/A",IF(Table1[[#This Row],[DUT Adj Read]]="N/A",IF(Table1[[#This Row],[Std Adj Read]]&gt;=Table1[[#This Row],[Low Tol]],"Pass","Fail"),IF(Table1[[#This Row],[DUT Adj Read]]&gt;=Table1[[#This Row],[Low Tol]],"Pass","Fail")))</f>
        <v>Pass</v>
      </c>
      <c r="AG1165" s="1" t="str">
        <f>IF(AND(Table1[[#This Row],[Spec Type2]]="N/A",Table1[[#This Row],[DUT Adj Read]]="N/A",Table1[[#This Row],[Std Adj Read]]="N/A"),"N/A",IF(Table1[[#This Row],[DUT Adj Read]]="N/A",IF(Table1[[#This Row],[Std Adj Read]]&lt;=Table1[[#This Row],[High Tol]],"Pass","Fail"),IF(Table1[[#This Row],[DUT Adj Read]]&lt;=Table1[[#This Row],[High Tol]],"Pass","Fail")))</f>
        <v>Fail</v>
      </c>
      <c r="AH11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5" s="1" t="b">
        <v>0</v>
      </c>
      <c r="AN1165" s="1" t="b">
        <v>0</v>
      </c>
      <c r="AO1165" s="1" t="b">
        <v>0</v>
      </c>
    </row>
    <row r="1166" spans="1:41" x14ac:dyDescent="0.25">
      <c r="A1166" s="10"/>
      <c r="B1166" s="10"/>
      <c r="C1166" s="10"/>
      <c r="D1166" s="10"/>
      <c r="E1166" s="10"/>
      <c r="F1166" s="10"/>
      <c r="G1166" s="10"/>
      <c r="H1166" s="10"/>
      <c r="I1166" s="1" t="str">
        <f t="shared" si="54"/>
        <v/>
      </c>
      <c r="J1166" s="1" t="s">
        <v>35</v>
      </c>
      <c r="K1166" s="1" t="str">
        <f t="shared" si="55"/>
        <v/>
      </c>
      <c r="L1166" s="1" t="str">
        <f t="shared" si="56"/>
        <v/>
      </c>
      <c r="M1166" s="1">
        <f>IF(OR(Table1[[#This Row],[Std Nom]]="",Table1[[#This Row],[Std Read]]=""),0,Table1[[#This Row],[Std Nom]]-Table1[[#This Row],[Std Read]])</f>
        <v>0</v>
      </c>
      <c r="N1166" s="1">
        <f>IF(Calculations!$F$5="ACCREDITED 17025 WITH UNCERTAINTIES",$N$10,0)</f>
        <v>0</v>
      </c>
      <c r="O1166" s="1" t="str">
        <f>IFERROR(Table1[[#This Row],[Std Nom]]-(_xlfn.XLOOKUP(Table1[[#This Row],[Manufacturer]]&amp;" "&amp;Table1[[#This Row],[Model]],Table13[MFR &amp; MDL],Table13[Tolerance % CW ],"")/100*Table1[[#This Row],[Std Nom]]),"")</f>
        <v/>
      </c>
      <c r="P1166" s="1" t="str">
        <f>IFERROR(Table1[[#This Row],[Std Nom]]+(_xlfn.XLOOKUP(Table1[[#This Row],[Manufacturer]]&amp;" "&amp;Table1[[#This Row],[Model]],Table13[MFR &amp; MDL],Table13[Tolerance % CW ],"")/100*Table1[[#This Row],[Std Nom]]),"")</f>
        <v/>
      </c>
      <c r="Q1166" s="1" t="e">
        <f>Table1[[#This Row],[High Tol]]-Table1[[#This Row],[Low Tol]]</f>
        <v>#VALUE!</v>
      </c>
      <c r="R1166" s="1">
        <f>2*Table1[[#This Row],[Std Error]]</f>
        <v>0</v>
      </c>
      <c r="S1166" s="1" t="str">
        <f>IF(Table1[[#This Row],[High Tol]]="","N/A",IFERROR(ABS(Table1[[#This Row],[Tol Span]]/Table1[[#This Row],[Error Span]]),"N/A"))</f>
        <v>N/A</v>
      </c>
      <c r="T1166" s="1" t="str">
        <f>IF(OR(Table1[[#This Row],[Low Tol]]="",Table1[[#This Row],[High Tol]]=""),"Needs Analysis",IF(Table1[[#This Row],[Ratio]]&gt;=4,"Not Significant",IF(Table1[[#This Row],[Ratio]]&gt;=2,"Semi-Significant","Significant")))</f>
        <v>Needs Analysis</v>
      </c>
      <c r="W1166" s="1">
        <f>IF(Table1[[#This Row],[Cal Type]]&lt;&gt;"ACCREDITED 17025 WITH UNCERTAINTIES",0,"")</f>
        <v>0</v>
      </c>
      <c r="X1166" s="1" t="str">
        <f>IF(Table1[[#This Row],[DUT Read]]="","N/A",Table1[[#This Row],[Std Error]]+Table1[[#This Row],[DUT Read]]+Table1[[#This Row],[DUT Ucty]])</f>
        <v>N/A</v>
      </c>
      <c r="Y1166" s="1" t="str">
        <f>IF(Table1[[#This Row],[Std Read]]="","N/A",Table1[[#This Row],[Std Read]]+Table1[[#This Row],[Std Ucty]])</f>
        <v>N/A</v>
      </c>
      <c r="Z11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6" s="1" t="str">
        <f>IF(Table1[[#This Row],[Spec Type]]="","N/A",Table1[[#This Row],[Spec Type]])</f>
        <v>±</v>
      </c>
      <c r="AC1166" s="1" t="str">
        <f>IF(Table1[[#This Row],[Spec Type2]]="N/A","N/A",IF(AND(Table1[[#This Row],[DUT Adj Read]]&gt;=Table1[[#This Row],[Low Tol]],Table1[[#This Row],[DUT Adj Read]]&lt;=Table1[[#This Row],[High Tol]]),"Pass","Fail"))</f>
        <v>Fail</v>
      </c>
      <c r="AD1166" s="1" t="str">
        <f>IF(AND(Table1[[#This Row],[Spec Type2]]="N/A",Table1[[#This Row],[DUT Adj Read]]="N/A",Table1[[#This Row],[Std Adj Read]]="N/A"),"N/A",IF(Table1[[#This Row],[DUT Adj Read]]="N/A",IF(Table1[[#This Row],[Std Adj Read]]&gt;Table1[[#This Row],[Low Tol]],"Pass","Fail"),IF(Table1[[#This Row],[DUT Adj Read]]&gt;Table1[[#This Row],[Low Tol]],"Pass","Fail")))</f>
        <v>Pass</v>
      </c>
      <c r="AE1166" s="1" t="str">
        <f>IF(AND(Table1[[#This Row],[Spec Type2]]="N/A",Table1[[#This Row],[DUT Adj Read]]="N/A",Table1[[#This Row],[Std Adj Read]]="N/A"),"N/A",IF(Table1[[#This Row],[DUT Adj Read]]="N/A",IF(Table1[[#This Row],[Std Adj Read]]&lt;Table1[[#This Row],[High Tol]],"Pass","Fail"),IF(Table1[[#This Row],[DUT Adj Read]]&lt;Table1[[#This Row],[High Tol]],"Pass","Fail")))</f>
        <v>Fail</v>
      </c>
      <c r="AF1166" s="1" t="str">
        <f>IF(AND(Table1[[#This Row],[Spec Type2]]="N/A",Table1[[#This Row],[DUT Adj Read]]="N/A",Table1[[#This Row],[Std Adj Read]]="N/A"),"N/A",IF(Table1[[#This Row],[DUT Adj Read]]="N/A",IF(Table1[[#This Row],[Std Adj Read]]&gt;=Table1[[#This Row],[Low Tol]],"Pass","Fail"),IF(Table1[[#This Row],[DUT Adj Read]]&gt;=Table1[[#This Row],[Low Tol]],"Pass","Fail")))</f>
        <v>Pass</v>
      </c>
      <c r="AG1166" s="1" t="str">
        <f>IF(AND(Table1[[#This Row],[Spec Type2]]="N/A",Table1[[#This Row],[DUT Adj Read]]="N/A",Table1[[#This Row],[Std Adj Read]]="N/A"),"N/A",IF(Table1[[#This Row],[DUT Adj Read]]="N/A",IF(Table1[[#This Row],[Std Adj Read]]&lt;=Table1[[#This Row],[High Tol]],"Pass","Fail"),IF(Table1[[#This Row],[DUT Adj Read]]&lt;=Table1[[#This Row],[High Tol]],"Pass","Fail")))</f>
        <v>Fail</v>
      </c>
      <c r="AH11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6" s="1" t="b">
        <v>0</v>
      </c>
      <c r="AN1166" s="1" t="b">
        <v>0</v>
      </c>
      <c r="AO1166" s="1" t="b">
        <v>0</v>
      </c>
    </row>
    <row r="1167" spans="1:41" x14ac:dyDescent="0.25">
      <c r="A1167" s="10"/>
      <c r="B1167" s="10"/>
      <c r="C1167" s="10"/>
      <c r="D1167" s="10"/>
      <c r="E1167" s="10"/>
      <c r="F1167" s="10"/>
      <c r="G1167" s="10"/>
      <c r="H1167" s="10"/>
      <c r="I1167" s="1" t="str">
        <f t="shared" si="54"/>
        <v/>
      </c>
      <c r="J1167" s="1" t="s">
        <v>35</v>
      </c>
      <c r="K1167" s="1" t="str">
        <f t="shared" si="55"/>
        <v/>
      </c>
      <c r="L1167" s="1" t="str">
        <f t="shared" si="56"/>
        <v/>
      </c>
      <c r="M1167" s="1">
        <f>IF(OR(Table1[[#This Row],[Std Nom]]="",Table1[[#This Row],[Std Read]]=""),0,Table1[[#This Row],[Std Nom]]-Table1[[#This Row],[Std Read]])</f>
        <v>0</v>
      </c>
      <c r="N1167" s="1">
        <f>IF(Calculations!$F$5="ACCREDITED 17025 WITH UNCERTAINTIES",$N$10,0)</f>
        <v>0</v>
      </c>
      <c r="O1167" s="1" t="str">
        <f>IFERROR(Table1[[#This Row],[Std Nom]]-(_xlfn.XLOOKUP(Table1[[#This Row],[Manufacturer]]&amp;" "&amp;Table1[[#This Row],[Model]],Table13[MFR &amp; MDL],Table13[Tolerance % CW ],"")/100*Table1[[#This Row],[Std Nom]]),"")</f>
        <v/>
      </c>
      <c r="P1167" s="1" t="str">
        <f>IFERROR(Table1[[#This Row],[Std Nom]]+(_xlfn.XLOOKUP(Table1[[#This Row],[Manufacturer]]&amp;" "&amp;Table1[[#This Row],[Model]],Table13[MFR &amp; MDL],Table13[Tolerance % CW ],"")/100*Table1[[#This Row],[Std Nom]]),"")</f>
        <v/>
      </c>
      <c r="Q1167" s="1" t="e">
        <f>Table1[[#This Row],[High Tol]]-Table1[[#This Row],[Low Tol]]</f>
        <v>#VALUE!</v>
      </c>
      <c r="R1167" s="1">
        <f>2*Table1[[#This Row],[Std Error]]</f>
        <v>0</v>
      </c>
      <c r="S1167" s="1" t="str">
        <f>IF(Table1[[#This Row],[High Tol]]="","N/A",IFERROR(ABS(Table1[[#This Row],[Tol Span]]/Table1[[#This Row],[Error Span]]),"N/A"))</f>
        <v>N/A</v>
      </c>
      <c r="T1167" s="1" t="str">
        <f>IF(OR(Table1[[#This Row],[Low Tol]]="",Table1[[#This Row],[High Tol]]=""),"Needs Analysis",IF(Table1[[#This Row],[Ratio]]&gt;=4,"Not Significant",IF(Table1[[#This Row],[Ratio]]&gt;=2,"Semi-Significant","Significant")))</f>
        <v>Needs Analysis</v>
      </c>
      <c r="W1167" s="1">
        <f>IF(Table1[[#This Row],[Cal Type]]&lt;&gt;"ACCREDITED 17025 WITH UNCERTAINTIES",0,"")</f>
        <v>0</v>
      </c>
      <c r="X1167" s="1" t="str">
        <f>IF(Table1[[#This Row],[DUT Read]]="","N/A",Table1[[#This Row],[Std Error]]+Table1[[#This Row],[DUT Read]]+Table1[[#This Row],[DUT Ucty]])</f>
        <v>N/A</v>
      </c>
      <c r="Y1167" s="1" t="str">
        <f>IF(Table1[[#This Row],[Std Read]]="","N/A",Table1[[#This Row],[Std Read]]+Table1[[#This Row],[Std Ucty]])</f>
        <v>N/A</v>
      </c>
      <c r="Z11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7" s="1" t="str">
        <f>IF(Table1[[#This Row],[Spec Type]]="","N/A",Table1[[#This Row],[Spec Type]])</f>
        <v>±</v>
      </c>
      <c r="AC1167" s="1" t="str">
        <f>IF(Table1[[#This Row],[Spec Type2]]="N/A","N/A",IF(AND(Table1[[#This Row],[DUT Adj Read]]&gt;=Table1[[#This Row],[Low Tol]],Table1[[#This Row],[DUT Adj Read]]&lt;=Table1[[#This Row],[High Tol]]),"Pass","Fail"))</f>
        <v>Fail</v>
      </c>
      <c r="AD1167" s="1" t="str">
        <f>IF(AND(Table1[[#This Row],[Spec Type2]]="N/A",Table1[[#This Row],[DUT Adj Read]]="N/A",Table1[[#This Row],[Std Adj Read]]="N/A"),"N/A",IF(Table1[[#This Row],[DUT Adj Read]]="N/A",IF(Table1[[#This Row],[Std Adj Read]]&gt;Table1[[#This Row],[Low Tol]],"Pass","Fail"),IF(Table1[[#This Row],[DUT Adj Read]]&gt;Table1[[#This Row],[Low Tol]],"Pass","Fail")))</f>
        <v>Pass</v>
      </c>
      <c r="AE1167" s="1" t="str">
        <f>IF(AND(Table1[[#This Row],[Spec Type2]]="N/A",Table1[[#This Row],[DUT Adj Read]]="N/A",Table1[[#This Row],[Std Adj Read]]="N/A"),"N/A",IF(Table1[[#This Row],[DUT Adj Read]]="N/A",IF(Table1[[#This Row],[Std Adj Read]]&lt;Table1[[#This Row],[High Tol]],"Pass","Fail"),IF(Table1[[#This Row],[DUT Adj Read]]&lt;Table1[[#This Row],[High Tol]],"Pass","Fail")))</f>
        <v>Fail</v>
      </c>
      <c r="AF1167" s="1" t="str">
        <f>IF(AND(Table1[[#This Row],[Spec Type2]]="N/A",Table1[[#This Row],[DUT Adj Read]]="N/A",Table1[[#This Row],[Std Adj Read]]="N/A"),"N/A",IF(Table1[[#This Row],[DUT Adj Read]]="N/A",IF(Table1[[#This Row],[Std Adj Read]]&gt;=Table1[[#This Row],[Low Tol]],"Pass","Fail"),IF(Table1[[#This Row],[DUT Adj Read]]&gt;=Table1[[#This Row],[Low Tol]],"Pass","Fail")))</f>
        <v>Pass</v>
      </c>
      <c r="AG1167" s="1" t="str">
        <f>IF(AND(Table1[[#This Row],[Spec Type2]]="N/A",Table1[[#This Row],[DUT Adj Read]]="N/A",Table1[[#This Row],[Std Adj Read]]="N/A"),"N/A",IF(Table1[[#This Row],[DUT Adj Read]]="N/A",IF(Table1[[#This Row],[Std Adj Read]]&lt;=Table1[[#This Row],[High Tol]],"Pass","Fail"),IF(Table1[[#This Row],[DUT Adj Read]]&lt;=Table1[[#This Row],[High Tol]],"Pass","Fail")))</f>
        <v>Fail</v>
      </c>
      <c r="AH11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7" s="1" t="b">
        <v>0</v>
      </c>
      <c r="AN1167" s="1" t="b">
        <v>0</v>
      </c>
      <c r="AO1167" s="1" t="b">
        <v>0</v>
      </c>
    </row>
    <row r="1168" spans="1:41" x14ac:dyDescent="0.25">
      <c r="A1168" s="10"/>
      <c r="B1168" s="10"/>
      <c r="C1168" s="10"/>
      <c r="D1168" s="10"/>
      <c r="E1168" s="10"/>
      <c r="F1168" s="10"/>
      <c r="G1168" s="10"/>
      <c r="H1168" s="10"/>
      <c r="I1168" s="1" t="str">
        <f t="shared" si="54"/>
        <v/>
      </c>
      <c r="J1168" s="1" t="s">
        <v>35</v>
      </c>
      <c r="K1168" s="1" t="str">
        <f t="shared" si="55"/>
        <v/>
      </c>
      <c r="L1168" s="1" t="str">
        <f t="shared" si="56"/>
        <v/>
      </c>
      <c r="M1168" s="1">
        <f>IF(OR(Table1[[#This Row],[Std Nom]]="",Table1[[#This Row],[Std Read]]=""),0,Table1[[#This Row],[Std Nom]]-Table1[[#This Row],[Std Read]])</f>
        <v>0</v>
      </c>
      <c r="N1168" s="1">
        <f>IF(Calculations!$F$5="ACCREDITED 17025 WITH UNCERTAINTIES",$N$10,0)</f>
        <v>0</v>
      </c>
      <c r="O1168" s="1" t="str">
        <f>IFERROR(Table1[[#This Row],[Std Nom]]-(_xlfn.XLOOKUP(Table1[[#This Row],[Manufacturer]]&amp;" "&amp;Table1[[#This Row],[Model]],Table13[MFR &amp; MDL],Table13[Tolerance % CW ],"")/100*Table1[[#This Row],[Std Nom]]),"")</f>
        <v/>
      </c>
      <c r="P1168" s="1" t="str">
        <f>IFERROR(Table1[[#This Row],[Std Nom]]+(_xlfn.XLOOKUP(Table1[[#This Row],[Manufacturer]]&amp;" "&amp;Table1[[#This Row],[Model]],Table13[MFR &amp; MDL],Table13[Tolerance % CW ],"")/100*Table1[[#This Row],[Std Nom]]),"")</f>
        <v/>
      </c>
      <c r="Q1168" s="1" t="e">
        <f>Table1[[#This Row],[High Tol]]-Table1[[#This Row],[Low Tol]]</f>
        <v>#VALUE!</v>
      </c>
      <c r="R1168" s="1">
        <f>2*Table1[[#This Row],[Std Error]]</f>
        <v>0</v>
      </c>
      <c r="S1168" s="1" t="str">
        <f>IF(Table1[[#This Row],[High Tol]]="","N/A",IFERROR(ABS(Table1[[#This Row],[Tol Span]]/Table1[[#This Row],[Error Span]]),"N/A"))</f>
        <v>N/A</v>
      </c>
      <c r="T1168" s="1" t="str">
        <f>IF(OR(Table1[[#This Row],[Low Tol]]="",Table1[[#This Row],[High Tol]]=""),"Needs Analysis",IF(Table1[[#This Row],[Ratio]]&gt;=4,"Not Significant",IF(Table1[[#This Row],[Ratio]]&gt;=2,"Semi-Significant","Significant")))</f>
        <v>Needs Analysis</v>
      </c>
      <c r="W1168" s="1">
        <f>IF(Table1[[#This Row],[Cal Type]]&lt;&gt;"ACCREDITED 17025 WITH UNCERTAINTIES",0,"")</f>
        <v>0</v>
      </c>
      <c r="X1168" s="1" t="str">
        <f>IF(Table1[[#This Row],[DUT Read]]="","N/A",Table1[[#This Row],[Std Error]]+Table1[[#This Row],[DUT Read]]+Table1[[#This Row],[DUT Ucty]])</f>
        <v>N/A</v>
      </c>
      <c r="Y1168" s="1" t="str">
        <f>IF(Table1[[#This Row],[Std Read]]="","N/A",Table1[[#This Row],[Std Read]]+Table1[[#This Row],[Std Ucty]])</f>
        <v>N/A</v>
      </c>
      <c r="Z11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8" s="1" t="str">
        <f>IF(Table1[[#This Row],[Spec Type]]="","N/A",Table1[[#This Row],[Spec Type]])</f>
        <v>±</v>
      </c>
      <c r="AC1168" s="1" t="str">
        <f>IF(Table1[[#This Row],[Spec Type2]]="N/A","N/A",IF(AND(Table1[[#This Row],[DUT Adj Read]]&gt;=Table1[[#This Row],[Low Tol]],Table1[[#This Row],[DUT Adj Read]]&lt;=Table1[[#This Row],[High Tol]]),"Pass","Fail"))</f>
        <v>Fail</v>
      </c>
      <c r="AD1168" s="1" t="str">
        <f>IF(AND(Table1[[#This Row],[Spec Type2]]="N/A",Table1[[#This Row],[DUT Adj Read]]="N/A",Table1[[#This Row],[Std Adj Read]]="N/A"),"N/A",IF(Table1[[#This Row],[DUT Adj Read]]="N/A",IF(Table1[[#This Row],[Std Adj Read]]&gt;Table1[[#This Row],[Low Tol]],"Pass","Fail"),IF(Table1[[#This Row],[DUT Adj Read]]&gt;Table1[[#This Row],[Low Tol]],"Pass","Fail")))</f>
        <v>Pass</v>
      </c>
      <c r="AE1168" s="1" t="str">
        <f>IF(AND(Table1[[#This Row],[Spec Type2]]="N/A",Table1[[#This Row],[DUT Adj Read]]="N/A",Table1[[#This Row],[Std Adj Read]]="N/A"),"N/A",IF(Table1[[#This Row],[DUT Adj Read]]="N/A",IF(Table1[[#This Row],[Std Adj Read]]&lt;Table1[[#This Row],[High Tol]],"Pass","Fail"),IF(Table1[[#This Row],[DUT Adj Read]]&lt;Table1[[#This Row],[High Tol]],"Pass","Fail")))</f>
        <v>Fail</v>
      </c>
      <c r="AF1168" s="1" t="str">
        <f>IF(AND(Table1[[#This Row],[Spec Type2]]="N/A",Table1[[#This Row],[DUT Adj Read]]="N/A",Table1[[#This Row],[Std Adj Read]]="N/A"),"N/A",IF(Table1[[#This Row],[DUT Adj Read]]="N/A",IF(Table1[[#This Row],[Std Adj Read]]&gt;=Table1[[#This Row],[Low Tol]],"Pass","Fail"),IF(Table1[[#This Row],[DUT Adj Read]]&gt;=Table1[[#This Row],[Low Tol]],"Pass","Fail")))</f>
        <v>Pass</v>
      </c>
      <c r="AG1168" s="1" t="str">
        <f>IF(AND(Table1[[#This Row],[Spec Type2]]="N/A",Table1[[#This Row],[DUT Adj Read]]="N/A",Table1[[#This Row],[Std Adj Read]]="N/A"),"N/A",IF(Table1[[#This Row],[DUT Adj Read]]="N/A",IF(Table1[[#This Row],[Std Adj Read]]&lt;=Table1[[#This Row],[High Tol]],"Pass","Fail"),IF(Table1[[#This Row],[DUT Adj Read]]&lt;=Table1[[#This Row],[High Tol]],"Pass","Fail")))</f>
        <v>Fail</v>
      </c>
      <c r="AH11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8" s="1" t="b">
        <v>0</v>
      </c>
      <c r="AN1168" s="1" t="b">
        <v>0</v>
      </c>
      <c r="AO1168" s="1" t="b">
        <v>0</v>
      </c>
    </row>
    <row r="1169" spans="1:41" x14ac:dyDescent="0.25">
      <c r="A1169" s="10"/>
      <c r="B1169" s="10"/>
      <c r="C1169" s="10"/>
      <c r="D1169" s="10"/>
      <c r="E1169" s="10"/>
      <c r="F1169" s="10"/>
      <c r="G1169" s="10"/>
      <c r="H1169" s="10"/>
      <c r="I1169" s="1" t="str">
        <f t="shared" si="54"/>
        <v/>
      </c>
      <c r="J1169" s="1" t="s">
        <v>35</v>
      </c>
      <c r="K1169" s="1" t="str">
        <f t="shared" si="55"/>
        <v/>
      </c>
      <c r="L1169" s="1" t="str">
        <f t="shared" si="56"/>
        <v/>
      </c>
      <c r="M1169" s="1">
        <f>IF(OR(Table1[[#This Row],[Std Nom]]="",Table1[[#This Row],[Std Read]]=""),0,Table1[[#This Row],[Std Nom]]-Table1[[#This Row],[Std Read]])</f>
        <v>0</v>
      </c>
      <c r="N1169" s="1">
        <f>IF(Calculations!$F$5="ACCREDITED 17025 WITH UNCERTAINTIES",$N$10,0)</f>
        <v>0</v>
      </c>
      <c r="O1169" s="1" t="str">
        <f>IFERROR(Table1[[#This Row],[Std Nom]]-(_xlfn.XLOOKUP(Table1[[#This Row],[Manufacturer]]&amp;" "&amp;Table1[[#This Row],[Model]],Table13[MFR &amp; MDL],Table13[Tolerance % CW ],"")/100*Table1[[#This Row],[Std Nom]]),"")</f>
        <v/>
      </c>
      <c r="P1169" s="1" t="str">
        <f>IFERROR(Table1[[#This Row],[Std Nom]]+(_xlfn.XLOOKUP(Table1[[#This Row],[Manufacturer]]&amp;" "&amp;Table1[[#This Row],[Model]],Table13[MFR &amp; MDL],Table13[Tolerance % CW ],"")/100*Table1[[#This Row],[Std Nom]]),"")</f>
        <v/>
      </c>
      <c r="Q1169" s="1" t="e">
        <f>Table1[[#This Row],[High Tol]]-Table1[[#This Row],[Low Tol]]</f>
        <v>#VALUE!</v>
      </c>
      <c r="R1169" s="1">
        <f>2*Table1[[#This Row],[Std Error]]</f>
        <v>0</v>
      </c>
      <c r="S1169" s="1" t="str">
        <f>IF(Table1[[#This Row],[High Tol]]="","N/A",IFERROR(ABS(Table1[[#This Row],[Tol Span]]/Table1[[#This Row],[Error Span]]),"N/A"))</f>
        <v>N/A</v>
      </c>
      <c r="T1169" s="1" t="str">
        <f>IF(OR(Table1[[#This Row],[Low Tol]]="",Table1[[#This Row],[High Tol]]=""),"Needs Analysis",IF(Table1[[#This Row],[Ratio]]&gt;=4,"Not Significant",IF(Table1[[#This Row],[Ratio]]&gt;=2,"Semi-Significant","Significant")))</f>
        <v>Needs Analysis</v>
      </c>
      <c r="W1169" s="1">
        <f>IF(Table1[[#This Row],[Cal Type]]&lt;&gt;"ACCREDITED 17025 WITH UNCERTAINTIES",0,"")</f>
        <v>0</v>
      </c>
      <c r="X1169" s="1" t="str">
        <f>IF(Table1[[#This Row],[DUT Read]]="","N/A",Table1[[#This Row],[Std Error]]+Table1[[#This Row],[DUT Read]]+Table1[[#This Row],[DUT Ucty]])</f>
        <v>N/A</v>
      </c>
      <c r="Y1169" s="1" t="str">
        <f>IF(Table1[[#This Row],[Std Read]]="","N/A",Table1[[#This Row],[Std Read]]+Table1[[#This Row],[Std Ucty]])</f>
        <v>N/A</v>
      </c>
      <c r="Z11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9" s="1" t="str">
        <f>IF(Table1[[#This Row],[Spec Type]]="","N/A",Table1[[#This Row],[Spec Type]])</f>
        <v>±</v>
      </c>
      <c r="AC1169" s="1" t="str">
        <f>IF(Table1[[#This Row],[Spec Type2]]="N/A","N/A",IF(AND(Table1[[#This Row],[DUT Adj Read]]&gt;=Table1[[#This Row],[Low Tol]],Table1[[#This Row],[DUT Adj Read]]&lt;=Table1[[#This Row],[High Tol]]),"Pass","Fail"))</f>
        <v>Fail</v>
      </c>
      <c r="AD1169" s="1" t="str">
        <f>IF(AND(Table1[[#This Row],[Spec Type2]]="N/A",Table1[[#This Row],[DUT Adj Read]]="N/A",Table1[[#This Row],[Std Adj Read]]="N/A"),"N/A",IF(Table1[[#This Row],[DUT Adj Read]]="N/A",IF(Table1[[#This Row],[Std Adj Read]]&gt;Table1[[#This Row],[Low Tol]],"Pass","Fail"),IF(Table1[[#This Row],[DUT Adj Read]]&gt;Table1[[#This Row],[Low Tol]],"Pass","Fail")))</f>
        <v>Pass</v>
      </c>
      <c r="AE1169" s="1" t="str">
        <f>IF(AND(Table1[[#This Row],[Spec Type2]]="N/A",Table1[[#This Row],[DUT Adj Read]]="N/A",Table1[[#This Row],[Std Adj Read]]="N/A"),"N/A",IF(Table1[[#This Row],[DUT Adj Read]]="N/A",IF(Table1[[#This Row],[Std Adj Read]]&lt;Table1[[#This Row],[High Tol]],"Pass","Fail"),IF(Table1[[#This Row],[DUT Adj Read]]&lt;Table1[[#This Row],[High Tol]],"Pass","Fail")))</f>
        <v>Fail</v>
      </c>
      <c r="AF1169" s="1" t="str">
        <f>IF(AND(Table1[[#This Row],[Spec Type2]]="N/A",Table1[[#This Row],[DUT Adj Read]]="N/A",Table1[[#This Row],[Std Adj Read]]="N/A"),"N/A",IF(Table1[[#This Row],[DUT Adj Read]]="N/A",IF(Table1[[#This Row],[Std Adj Read]]&gt;=Table1[[#This Row],[Low Tol]],"Pass","Fail"),IF(Table1[[#This Row],[DUT Adj Read]]&gt;=Table1[[#This Row],[Low Tol]],"Pass","Fail")))</f>
        <v>Pass</v>
      </c>
      <c r="AG1169" s="1" t="str">
        <f>IF(AND(Table1[[#This Row],[Spec Type2]]="N/A",Table1[[#This Row],[DUT Adj Read]]="N/A",Table1[[#This Row],[Std Adj Read]]="N/A"),"N/A",IF(Table1[[#This Row],[DUT Adj Read]]="N/A",IF(Table1[[#This Row],[Std Adj Read]]&lt;=Table1[[#This Row],[High Tol]],"Pass","Fail"),IF(Table1[[#This Row],[DUT Adj Read]]&lt;=Table1[[#This Row],[High Tol]],"Pass","Fail")))</f>
        <v>Fail</v>
      </c>
      <c r="AH11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9" s="1" t="b">
        <v>0</v>
      </c>
      <c r="AN1169" s="1" t="b">
        <v>0</v>
      </c>
      <c r="AO1169" s="1" t="b">
        <v>0</v>
      </c>
    </row>
    <row r="1170" spans="1:41" x14ac:dyDescent="0.25">
      <c r="A1170" s="10"/>
      <c r="B1170" s="10"/>
      <c r="C1170" s="10"/>
      <c r="D1170" s="10"/>
      <c r="E1170" s="10"/>
      <c r="F1170" s="10"/>
      <c r="G1170" s="10"/>
      <c r="H1170" s="10"/>
      <c r="I1170" s="1" t="str">
        <f t="shared" si="54"/>
        <v/>
      </c>
      <c r="J1170" s="1" t="s">
        <v>35</v>
      </c>
      <c r="K1170" s="1" t="str">
        <f t="shared" si="55"/>
        <v/>
      </c>
      <c r="L1170" s="1" t="str">
        <f t="shared" si="56"/>
        <v/>
      </c>
      <c r="M1170" s="1">
        <f>IF(OR(Table1[[#This Row],[Std Nom]]="",Table1[[#This Row],[Std Read]]=""),0,Table1[[#This Row],[Std Nom]]-Table1[[#This Row],[Std Read]])</f>
        <v>0</v>
      </c>
      <c r="N1170" s="1">
        <f>IF(Calculations!$F$5="ACCREDITED 17025 WITH UNCERTAINTIES",$N$10,0)</f>
        <v>0</v>
      </c>
      <c r="O1170" s="1" t="str">
        <f>IFERROR(Table1[[#This Row],[Std Nom]]-(_xlfn.XLOOKUP(Table1[[#This Row],[Manufacturer]]&amp;" "&amp;Table1[[#This Row],[Model]],Table13[MFR &amp; MDL],Table13[Tolerance % CW ],"")/100*Table1[[#This Row],[Std Nom]]),"")</f>
        <v/>
      </c>
      <c r="P1170" s="1" t="str">
        <f>IFERROR(Table1[[#This Row],[Std Nom]]+(_xlfn.XLOOKUP(Table1[[#This Row],[Manufacturer]]&amp;" "&amp;Table1[[#This Row],[Model]],Table13[MFR &amp; MDL],Table13[Tolerance % CW ],"")/100*Table1[[#This Row],[Std Nom]]),"")</f>
        <v/>
      </c>
      <c r="Q1170" s="1" t="e">
        <f>Table1[[#This Row],[High Tol]]-Table1[[#This Row],[Low Tol]]</f>
        <v>#VALUE!</v>
      </c>
      <c r="R1170" s="1">
        <f>2*Table1[[#This Row],[Std Error]]</f>
        <v>0</v>
      </c>
      <c r="S1170" s="1" t="str">
        <f>IF(Table1[[#This Row],[High Tol]]="","N/A",IFERROR(ABS(Table1[[#This Row],[Tol Span]]/Table1[[#This Row],[Error Span]]),"N/A"))</f>
        <v>N/A</v>
      </c>
      <c r="T1170" s="1" t="str">
        <f>IF(OR(Table1[[#This Row],[Low Tol]]="",Table1[[#This Row],[High Tol]]=""),"Needs Analysis",IF(Table1[[#This Row],[Ratio]]&gt;=4,"Not Significant",IF(Table1[[#This Row],[Ratio]]&gt;=2,"Semi-Significant","Significant")))</f>
        <v>Needs Analysis</v>
      </c>
      <c r="W1170" s="1">
        <f>IF(Table1[[#This Row],[Cal Type]]&lt;&gt;"ACCREDITED 17025 WITH UNCERTAINTIES",0,"")</f>
        <v>0</v>
      </c>
      <c r="X1170" s="1" t="str">
        <f>IF(Table1[[#This Row],[DUT Read]]="","N/A",Table1[[#This Row],[Std Error]]+Table1[[#This Row],[DUT Read]]+Table1[[#This Row],[DUT Ucty]])</f>
        <v>N/A</v>
      </c>
      <c r="Y1170" s="1" t="str">
        <f>IF(Table1[[#This Row],[Std Read]]="","N/A",Table1[[#This Row],[Std Read]]+Table1[[#This Row],[Std Ucty]])</f>
        <v>N/A</v>
      </c>
      <c r="Z11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0" s="1" t="str">
        <f>IF(Table1[[#This Row],[Spec Type]]="","N/A",Table1[[#This Row],[Spec Type]])</f>
        <v>±</v>
      </c>
      <c r="AC1170" s="1" t="str">
        <f>IF(Table1[[#This Row],[Spec Type2]]="N/A","N/A",IF(AND(Table1[[#This Row],[DUT Adj Read]]&gt;=Table1[[#This Row],[Low Tol]],Table1[[#This Row],[DUT Adj Read]]&lt;=Table1[[#This Row],[High Tol]]),"Pass","Fail"))</f>
        <v>Fail</v>
      </c>
      <c r="AD1170" s="1" t="str">
        <f>IF(AND(Table1[[#This Row],[Spec Type2]]="N/A",Table1[[#This Row],[DUT Adj Read]]="N/A",Table1[[#This Row],[Std Adj Read]]="N/A"),"N/A",IF(Table1[[#This Row],[DUT Adj Read]]="N/A",IF(Table1[[#This Row],[Std Adj Read]]&gt;Table1[[#This Row],[Low Tol]],"Pass","Fail"),IF(Table1[[#This Row],[DUT Adj Read]]&gt;Table1[[#This Row],[Low Tol]],"Pass","Fail")))</f>
        <v>Pass</v>
      </c>
      <c r="AE1170" s="1" t="str">
        <f>IF(AND(Table1[[#This Row],[Spec Type2]]="N/A",Table1[[#This Row],[DUT Adj Read]]="N/A",Table1[[#This Row],[Std Adj Read]]="N/A"),"N/A",IF(Table1[[#This Row],[DUT Adj Read]]="N/A",IF(Table1[[#This Row],[Std Adj Read]]&lt;Table1[[#This Row],[High Tol]],"Pass","Fail"),IF(Table1[[#This Row],[DUT Adj Read]]&lt;Table1[[#This Row],[High Tol]],"Pass","Fail")))</f>
        <v>Fail</v>
      </c>
      <c r="AF1170" s="1" t="str">
        <f>IF(AND(Table1[[#This Row],[Spec Type2]]="N/A",Table1[[#This Row],[DUT Adj Read]]="N/A",Table1[[#This Row],[Std Adj Read]]="N/A"),"N/A",IF(Table1[[#This Row],[DUT Adj Read]]="N/A",IF(Table1[[#This Row],[Std Adj Read]]&gt;=Table1[[#This Row],[Low Tol]],"Pass","Fail"),IF(Table1[[#This Row],[DUT Adj Read]]&gt;=Table1[[#This Row],[Low Tol]],"Pass","Fail")))</f>
        <v>Pass</v>
      </c>
      <c r="AG1170" s="1" t="str">
        <f>IF(AND(Table1[[#This Row],[Spec Type2]]="N/A",Table1[[#This Row],[DUT Adj Read]]="N/A",Table1[[#This Row],[Std Adj Read]]="N/A"),"N/A",IF(Table1[[#This Row],[DUT Adj Read]]="N/A",IF(Table1[[#This Row],[Std Adj Read]]&lt;=Table1[[#This Row],[High Tol]],"Pass","Fail"),IF(Table1[[#This Row],[DUT Adj Read]]&lt;=Table1[[#This Row],[High Tol]],"Pass","Fail")))</f>
        <v>Fail</v>
      </c>
      <c r="AH11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0" s="1" t="b">
        <v>0</v>
      </c>
      <c r="AN1170" s="1" t="b">
        <v>0</v>
      </c>
      <c r="AO1170" s="1" t="b">
        <v>0</v>
      </c>
    </row>
    <row r="1171" spans="1:41" x14ac:dyDescent="0.25">
      <c r="A1171" s="10"/>
      <c r="B1171" s="10"/>
      <c r="C1171" s="10"/>
      <c r="D1171" s="10"/>
      <c r="E1171" s="10"/>
      <c r="F1171" s="10"/>
      <c r="G1171" s="10"/>
      <c r="H1171" s="10"/>
      <c r="I1171" s="1" t="str">
        <f t="shared" si="54"/>
        <v/>
      </c>
      <c r="J1171" s="1" t="s">
        <v>35</v>
      </c>
      <c r="K1171" s="1" t="str">
        <f t="shared" si="55"/>
        <v/>
      </c>
      <c r="L1171" s="1" t="str">
        <f t="shared" si="56"/>
        <v/>
      </c>
      <c r="M1171" s="1">
        <f>IF(OR(Table1[[#This Row],[Std Nom]]="",Table1[[#This Row],[Std Read]]=""),0,Table1[[#This Row],[Std Nom]]-Table1[[#This Row],[Std Read]])</f>
        <v>0</v>
      </c>
      <c r="N1171" s="1">
        <f>IF(Calculations!$F$5="ACCREDITED 17025 WITH UNCERTAINTIES",$N$10,0)</f>
        <v>0</v>
      </c>
      <c r="O1171" s="1" t="str">
        <f>IFERROR(Table1[[#This Row],[Std Nom]]-(_xlfn.XLOOKUP(Table1[[#This Row],[Manufacturer]]&amp;" "&amp;Table1[[#This Row],[Model]],Table13[MFR &amp; MDL],Table13[Tolerance % CW ],"")/100*Table1[[#This Row],[Std Nom]]),"")</f>
        <v/>
      </c>
      <c r="P1171" s="1" t="str">
        <f>IFERROR(Table1[[#This Row],[Std Nom]]+(_xlfn.XLOOKUP(Table1[[#This Row],[Manufacturer]]&amp;" "&amp;Table1[[#This Row],[Model]],Table13[MFR &amp; MDL],Table13[Tolerance % CW ],"")/100*Table1[[#This Row],[Std Nom]]),"")</f>
        <v/>
      </c>
      <c r="Q1171" s="1" t="e">
        <f>Table1[[#This Row],[High Tol]]-Table1[[#This Row],[Low Tol]]</f>
        <v>#VALUE!</v>
      </c>
      <c r="R1171" s="1">
        <f>2*Table1[[#This Row],[Std Error]]</f>
        <v>0</v>
      </c>
      <c r="S1171" s="1" t="str">
        <f>IF(Table1[[#This Row],[High Tol]]="","N/A",IFERROR(ABS(Table1[[#This Row],[Tol Span]]/Table1[[#This Row],[Error Span]]),"N/A"))</f>
        <v>N/A</v>
      </c>
      <c r="T1171" s="1" t="str">
        <f>IF(OR(Table1[[#This Row],[Low Tol]]="",Table1[[#This Row],[High Tol]]=""),"Needs Analysis",IF(Table1[[#This Row],[Ratio]]&gt;=4,"Not Significant",IF(Table1[[#This Row],[Ratio]]&gt;=2,"Semi-Significant","Significant")))</f>
        <v>Needs Analysis</v>
      </c>
      <c r="W1171" s="1">
        <f>IF(Table1[[#This Row],[Cal Type]]&lt;&gt;"ACCREDITED 17025 WITH UNCERTAINTIES",0,"")</f>
        <v>0</v>
      </c>
      <c r="X1171" s="1" t="str">
        <f>IF(Table1[[#This Row],[DUT Read]]="","N/A",Table1[[#This Row],[Std Error]]+Table1[[#This Row],[DUT Read]]+Table1[[#This Row],[DUT Ucty]])</f>
        <v>N/A</v>
      </c>
      <c r="Y1171" s="1" t="str">
        <f>IF(Table1[[#This Row],[Std Read]]="","N/A",Table1[[#This Row],[Std Read]]+Table1[[#This Row],[Std Ucty]])</f>
        <v>N/A</v>
      </c>
      <c r="Z11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1" s="1" t="str">
        <f>IF(Table1[[#This Row],[Spec Type]]="","N/A",Table1[[#This Row],[Spec Type]])</f>
        <v>±</v>
      </c>
      <c r="AC1171" s="1" t="str">
        <f>IF(Table1[[#This Row],[Spec Type2]]="N/A","N/A",IF(AND(Table1[[#This Row],[DUT Adj Read]]&gt;=Table1[[#This Row],[Low Tol]],Table1[[#This Row],[DUT Adj Read]]&lt;=Table1[[#This Row],[High Tol]]),"Pass","Fail"))</f>
        <v>Fail</v>
      </c>
      <c r="AD1171" s="1" t="str">
        <f>IF(AND(Table1[[#This Row],[Spec Type2]]="N/A",Table1[[#This Row],[DUT Adj Read]]="N/A",Table1[[#This Row],[Std Adj Read]]="N/A"),"N/A",IF(Table1[[#This Row],[DUT Adj Read]]="N/A",IF(Table1[[#This Row],[Std Adj Read]]&gt;Table1[[#This Row],[Low Tol]],"Pass","Fail"),IF(Table1[[#This Row],[DUT Adj Read]]&gt;Table1[[#This Row],[Low Tol]],"Pass","Fail")))</f>
        <v>Pass</v>
      </c>
      <c r="AE1171" s="1" t="str">
        <f>IF(AND(Table1[[#This Row],[Spec Type2]]="N/A",Table1[[#This Row],[DUT Adj Read]]="N/A",Table1[[#This Row],[Std Adj Read]]="N/A"),"N/A",IF(Table1[[#This Row],[DUT Adj Read]]="N/A",IF(Table1[[#This Row],[Std Adj Read]]&lt;Table1[[#This Row],[High Tol]],"Pass","Fail"),IF(Table1[[#This Row],[DUT Adj Read]]&lt;Table1[[#This Row],[High Tol]],"Pass","Fail")))</f>
        <v>Fail</v>
      </c>
      <c r="AF1171" s="1" t="str">
        <f>IF(AND(Table1[[#This Row],[Spec Type2]]="N/A",Table1[[#This Row],[DUT Adj Read]]="N/A",Table1[[#This Row],[Std Adj Read]]="N/A"),"N/A",IF(Table1[[#This Row],[DUT Adj Read]]="N/A",IF(Table1[[#This Row],[Std Adj Read]]&gt;=Table1[[#This Row],[Low Tol]],"Pass","Fail"),IF(Table1[[#This Row],[DUT Adj Read]]&gt;=Table1[[#This Row],[Low Tol]],"Pass","Fail")))</f>
        <v>Pass</v>
      </c>
      <c r="AG1171" s="1" t="str">
        <f>IF(AND(Table1[[#This Row],[Spec Type2]]="N/A",Table1[[#This Row],[DUT Adj Read]]="N/A",Table1[[#This Row],[Std Adj Read]]="N/A"),"N/A",IF(Table1[[#This Row],[DUT Adj Read]]="N/A",IF(Table1[[#This Row],[Std Adj Read]]&lt;=Table1[[#This Row],[High Tol]],"Pass","Fail"),IF(Table1[[#This Row],[DUT Adj Read]]&lt;=Table1[[#This Row],[High Tol]],"Pass","Fail")))</f>
        <v>Fail</v>
      </c>
      <c r="AH11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1" s="1" t="b">
        <v>0</v>
      </c>
      <c r="AN1171" s="1" t="b">
        <v>0</v>
      </c>
      <c r="AO1171" s="1" t="b">
        <v>0</v>
      </c>
    </row>
    <row r="1172" spans="1:41" x14ac:dyDescent="0.25">
      <c r="A1172" s="10"/>
      <c r="B1172" s="10"/>
      <c r="C1172" s="10"/>
      <c r="D1172" s="10"/>
      <c r="E1172" s="10"/>
      <c r="F1172" s="10"/>
      <c r="G1172" s="10"/>
      <c r="H1172" s="10"/>
      <c r="I1172" s="1" t="str">
        <f t="shared" si="54"/>
        <v/>
      </c>
      <c r="J1172" s="1" t="s">
        <v>35</v>
      </c>
      <c r="K1172" s="1" t="str">
        <f t="shared" si="55"/>
        <v/>
      </c>
      <c r="L1172" s="1" t="str">
        <f t="shared" si="56"/>
        <v/>
      </c>
      <c r="M1172" s="1">
        <f>IF(OR(Table1[[#This Row],[Std Nom]]="",Table1[[#This Row],[Std Read]]=""),0,Table1[[#This Row],[Std Nom]]-Table1[[#This Row],[Std Read]])</f>
        <v>0</v>
      </c>
      <c r="N1172" s="1">
        <f>IF(Calculations!$F$5="ACCREDITED 17025 WITH UNCERTAINTIES",$N$10,0)</f>
        <v>0</v>
      </c>
      <c r="O1172" s="1" t="str">
        <f>IFERROR(Table1[[#This Row],[Std Nom]]-(_xlfn.XLOOKUP(Table1[[#This Row],[Manufacturer]]&amp;" "&amp;Table1[[#This Row],[Model]],Table13[MFR &amp; MDL],Table13[Tolerance % CW ],"")/100*Table1[[#This Row],[Std Nom]]),"")</f>
        <v/>
      </c>
      <c r="P1172" s="1" t="str">
        <f>IFERROR(Table1[[#This Row],[Std Nom]]+(_xlfn.XLOOKUP(Table1[[#This Row],[Manufacturer]]&amp;" "&amp;Table1[[#This Row],[Model]],Table13[MFR &amp; MDL],Table13[Tolerance % CW ],"")/100*Table1[[#This Row],[Std Nom]]),"")</f>
        <v/>
      </c>
      <c r="Q1172" s="1" t="e">
        <f>Table1[[#This Row],[High Tol]]-Table1[[#This Row],[Low Tol]]</f>
        <v>#VALUE!</v>
      </c>
      <c r="R1172" s="1">
        <f>2*Table1[[#This Row],[Std Error]]</f>
        <v>0</v>
      </c>
      <c r="S1172" s="1" t="str">
        <f>IF(Table1[[#This Row],[High Tol]]="","N/A",IFERROR(ABS(Table1[[#This Row],[Tol Span]]/Table1[[#This Row],[Error Span]]),"N/A"))</f>
        <v>N/A</v>
      </c>
      <c r="T1172" s="1" t="str">
        <f>IF(OR(Table1[[#This Row],[Low Tol]]="",Table1[[#This Row],[High Tol]]=""),"Needs Analysis",IF(Table1[[#This Row],[Ratio]]&gt;=4,"Not Significant",IF(Table1[[#This Row],[Ratio]]&gt;=2,"Semi-Significant","Significant")))</f>
        <v>Needs Analysis</v>
      </c>
      <c r="W1172" s="1">
        <f>IF(Table1[[#This Row],[Cal Type]]&lt;&gt;"ACCREDITED 17025 WITH UNCERTAINTIES",0,"")</f>
        <v>0</v>
      </c>
      <c r="X1172" s="1" t="str">
        <f>IF(Table1[[#This Row],[DUT Read]]="","N/A",Table1[[#This Row],[Std Error]]+Table1[[#This Row],[DUT Read]]+Table1[[#This Row],[DUT Ucty]])</f>
        <v>N/A</v>
      </c>
      <c r="Y1172" s="1" t="str">
        <f>IF(Table1[[#This Row],[Std Read]]="","N/A",Table1[[#This Row],[Std Read]]+Table1[[#This Row],[Std Ucty]])</f>
        <v>N/A</v>
      </c>
      <c r="Z11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2" s="1" t="str">
        <f>IF(Table1[[#This Row],[Spec Type]]="","N/A",Table1[[#This Row],[Spec Type]])</f>
        <v>±</v>
      </c>
      <c r="AC1172" s="1" t="str">
        <f>IF(Table1[[#This Row],[Spec Type2]]="N/A","N/A",IF(AND(Table1[[#This Row],[DUT Adj Read]]&gt;=Table1[[#This Row],[Low Tol]],Table1[[#This Row],[DUT Adj Read]]&lt;=Table1[[#This Row],[High Tol]]),"Pass","Fail"))</f>
        <v>Fail</v>
      </c>
      <c r="AD1172" s="1" t="str">
        <f>IF(AND(Table1[[#This Row],[Spec Type2]]="N/A",Table1[[#This Row],[DUT Adj Read]]="N/A",Table1[[#This Row],[Std Adj Read]]="N/A"),"N/A",IF(Table1[[#This Row],[DUT Adj Read]]="N/A",IF(Table1[[#This Row],[Std Adj Read]]&gt;Table1[[#This Row],[Low Tol]],"Pass","Fail"),IF(Table1[[#This Row],[DUT Adj Read]]&gt;Table1[[#This Row],[Low Tol]],"Pass","Fail")))</f>
        <v>Pass</v>
      </c>
      <c r="AE1172" s="1" t="str">
        <f>IF(AND(Table1[[#This Row],[Spec Type2]]="N/A",Table1[[#This Row],[DUT Adj Read]]="N/A",Table1[[#This Row],[Std Adj Read]]="N/A"),"N/A",IF(Table1[[#This Row],[DUT Adj Read]]="N/A",IF(Table1[[#This Row],[Std Adj Read]]&lt;Table1[[#This Row],[High Tol]],"Pass","Fail"),IF(Table1[[#This Row],[DUT Adj Read]]&lt;Table1[[#This Row],[High Tol]],"Pass","Fail")))</f>
        <v>Fail</v>
      </c>
      <c r="AF1172" s="1" t="str">
        <f>IF(AND(Table1[[#This Row],[Spec Type2]]="N/A",Table1[[#This Row],[DUT Adj Read]]="N/A",Table1[[#This Row],[Std Adj Read]]="N/A"),"N/A",IF(Table1[[#This Row],[DUT Adj Read]]="N/A",IF(Table1[[#This Row],[Std Adj Read]]&gt;=Table1[[#This Row],[Low Tol]],"Pass","Fail"),IF(Table1[[#This Row],[DUT Adj Read]]&gt;=Table1[[#This Row],[Low Tol]],"Pass","Fail")))</f>
        <v>Pass</v>
      </c>
      <c r="AG1172" s="1" t="str">
        <f>IF(AND(Table1[[#This Row],[Spec Type2]]="N/A",Table1[[#This Row],[DUT Adj Read]]="N/A",Table1[[#This Row],[Std Adj Read]]="N/A"),"N/A",IF(Table1[[#This Row],[DUT Adj Read]]="N/A",IF(Table1[[#This Row],[Std Adj Read]]&lt;=Table1[[#This Row],[High Tol]],"Pass","Fail"),IF(Table1[[#This Row],[DUT Adj Read]]&lt;=Table1[[#This Row],[High Tol]],"Pass","Fail")))</f>
        <v>Fail</v>
      </c>
      <c r="AH11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2" s="1" t="b">
        <v>0</v>
      </c>
      <c r="AN1172" s="1" t="b">
        <v>0</v>
      </c>
      <c r="AO1172" s="1" t="b">
        <v>0</v>
      </c>
    </row>
    <row r="1173" spans="1:41" x14ac:dyDescent="0.25">
      <c r="A1173" s="10"/>
      <c r="B1173" s="10"/>
      <c r="C1173" s="10"/>
      <c r="D1173" s="10"/>
      <c r="E1173" s="10"/>
      <c r="F1173" s="10"/>
      <c r="G1173" s="10"/>
      <c r="H1173" s="10"/>
      <c r="I1173" s="1" t="str">
        <f t="shared" si="54"/>
        <v/>
      </c>
      <c r="J1173" s="1" t="s">
        <v>35</v>
      </c>
      <c r="K1173" s="1" t="str">
        <f t="shared" si="55"/>
        <v/>
      </c>
      <c r="L1173" s="1" t="str">
        <f t="shared" si="56"/>
        <v/>
      </c>
      <c r="M1173" s="1">
        <f>IF(OR(Table1[[#This Row],[Std Nom]]="",Table1[[#This Row],[Std Read]]=""),0,Table1[[#This Row],[Std Nom]]-Table1[[#This Row],[Std Read]])</f>
        <v>0</v>
      </c>
      <c r="N1173" s="1">
        <f>IF(Calculations!$F$5="ACCREDITED 17025 WITH UNCERTAINTIES",$N$10,0)</f>
        <v>0</v>
      </c>
      <c r="O1173" s="1" t="str">
        <f>IFERROR(Table1[[#This Row],[Std Nom]]-(_xlfn.XLOOKUP(Table1[[#This Row],[Manufacturer]]&amp;" "&amp;Table1[[#This Row],[Model]],Table13[MFR &amp; MDL],Table13[Tolerance % CW ],"")/100*Table1[[#This Row],[Std Nom]]),"")</f>
        <v/>
      </c>
      <c r="P1173" s="1" t="str">
        <f>IFERROR(Table1[[#This Row],[Std Nom]]+(_xlfn.XLOOKUP(Table1[[#This Row],[Manufacturer]]&amp;" "&amp;Table1[[#This Row],[Model]],Table13[MFR &amp; MDL],Table13[Tolerance % CW ],"")/100*Table1[[#This Row],[Std Nom]]),"")</f>
        <v/>
      </c>
      <c r="Q1173" s="1" t="e">
        <f>Table1[[#This Row],[High Tol]]-Table1[[#This Row],[Low Tol]]</f>
        <v>#VALUE!</v>
      </c>
      <c r="R1173" s="1">
        <f>2*Table1[[#This Row],[Std Error]]</f>
        <v>0</v>
      </c>
      <c r="S1173" s="1" t="str">
        <f>IF(Table1[[#This Row],[High Tol]]="","N/A",IFERROR(ABS(Table1[[#This Row],[Tol Span]]/Table1[[#This Row],[Error Span]]),"N/A"))</f>
        <v>N/A</v>
      </c>
      <c r="T1173" s="1" t="str">
        <f>IF(OR(Table1[[#This Row],[Low Tol]]="",Table1[[#This Row],[High Tol]]=""),"Needs Analysis",IF(Table1[[#This Row],[Ratio]]&gt;=4,"Not Significant",IF(Table1[[#This Row],[Ratio]]&gt;=2,"Semi-Significant","Significant")))</f>
        <v>Needs Analysis</v>
      </c>
      <c r="W1173" s="1">
        <f>IF(Table1[[#This Row],[Cal Type]]&lt;&gt;"ACCREDITED 17025 WITH UNCERTAINTIES",0,"")</f>
        <v>0</v>
      </c>
      <c r="X1173" s="1" t="str">
        <f>IF(Table1[[#This Row],[DUT Read]]="","N/A",Table1[[#This Row],[Std Error]]+Table1[[#This Row],[DUT Read]]+Table1[[#This Row],[DUT Ucty]])</f>
        <v>N/A</v>
      </c>
      <c r="Y1173" s="1" t="str">
        <f>IF(Table1[[#This Row],[Std Read]]="","N/A",Table1[[#This Row],[Std Read]]+Table1[[#This Row],[Std Ucty]])</f>
        <v>N/A</v>
      </c>
      <c r="Z11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3" s="1" t="str">
        <f>IF(Table1[[#This Row],[Spec Type]]="","N/A",Table1[[#This Row],[Spec Type]])</f>
        <v>±</v>
      </c>
      <c r="AC1173" s="1" t="str">
        <f>IF(Table1[[#This Row],[Spec Type2]]="N/A","N/A",IF(AND(Table1[[#This Row],[DUT Adj Read]]&gt;=Table1[[#This Row],[Low Tol]],Table1[[#This Row],[DUT Adj Read]]&lt;=Table1[[#This Row],[High Tol]]),"Pass","Fail"))</f>
        <v>Fail</v>
      </c>
      <c r="AD1173" s="1" t="str">
        <f>IF(AND(Table1[[#This Row],[Spec Type2]]="N/A",Table1[[#This Row],[DUT Adj Read]]="N/A",Table1[[#This Row],[Std Adj Read]]="N/A"),"N/A",IF(Table1[[#This Row],[DUT Adj Read]]="N/A",IF(Table1[[#This Row],[Std Adj Read]]&gt;Table1[[#This Row],[Low Tol]],"Pass","Fail"),IF(Table1[[#This Row],[DUT Adj Read]]&gt;Table1[[#This Row],[Low Tol]],"Pass","Fail")))</f>
        <v>Pass</v>
      </c>
      <c r="AE1173" s="1" t="str">
        <f>IF(AND(Table1[[#This Row],[Spec Type2]]="N/A",Table1[[#This Row],[DUT Adj Read]]="N/A",Table1[[#This Row],[Std Adj Read]]="N/A"),"N/A",IF(Table1[[#This Row],[DUT Adj Read]]="N/A",IF(Table1[[#This Row],[Std Adj Read]]&lt;Table1[[#This Row],[High Tol]],"Pass","Fail"),IF(Table1[[#This Row],[DUT Adj Read]]&lt;Table1[[#This Row],[High Tol]],"Pass","Fail")))</f>
        <v>Fail</v>
      </c>
      <c r="AF1173" s="1" t="str">
        <f>IF(AND(Table1[[#This Row],[Spec Type2]]="N/A",Table1[[#This Row],[DUT Adj Read]]="N/A",Table1[[#This Row],[Std Adj Read]]="N/A"),"N/A",IF(Table1[[#This Row],[DUT Adj Read]]="N/A",IF(Table1[[#This Row],[Std Adj Read]]&gt;=Table1[[#This Row],[Low Tol]],"Pass","Fail"),IF(Table1[[#This Row],[DUT Adj Read]]&gt;=Table1[[#This Row],[Low Tol]],"Pass","Fail")))</f>
        <v>Pass</v>
      </c>
      <c r="AG1173" s="1" t="str">
        <f>IF(AND(Table1[[#This Row],[Spec Type2]]="N/A",Table1[[#This Row],[DUT Adj Read]]="N/A",Table1[[#This Row],[Std Adj Read]]="N/A"),"N/A",IF(Table1[[#This Row],[DUT Adj Read]]="N/A",IF(Table1[[#This Row],[Std Adj Read]]&lt;=Table1[[#This Row],[High Tol]],"Pass","Fail"),IF(Table1[[#This Row],[DUT Adj Read]]&lt;=Table1[[#This Row],[High Tol]],"Pass","Fail")))</f>
        <v>Fail</v>
      </c>
      <c r="AH11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3" s="1" t="b">
        <v>0</v>
      </c>
      <c r="AN1173" s="1" t="b">
        <v>0</v>
      </c>
      <c r="AO1173" s="1" t="b">
        <v>0</v>
      </c>
    </row>
    <row r="1174" spans="1:41" x14ac:dyDescent="0.25">
      <c r="A1174" s="10"/>
      <c r="B1174" s="10"/>
      <c r="C1174" s="10"/>
      <c r="D1174" s="10"/>
      <c r="E1174" s="10"/>
      <c r="F1174" s="10"/>
      <c r="G1174" s="10"/>
      <c r="H1174" s="10"/>
      <c r="I1174" s="1" t="str">
        <f t="shared" si="54"/>
        <v/>
      </c>
      <c r="J1174" s="1" t="s">
        <v>35</v>
      </c>
      <c r="K1174" s="1" t="str">
        <f t="shared" si="55"/>
        <v/>
      </c>
      <c r="L1174" s="1" t="str">
        <f t="shared" si="56"/>
        <v/>
      </c>
      <c r="M1174" s="1">
        <f>IF(OR(Table1[[#This Row],[Std Nom]]="",Table1[[#This Row],[Std Read]]=""),0,Table1[[#This Row],[Std Nom]]-Table1[[#This Row],[Std Read]])</f>
        <v>0</v>
      </c>
      <c r="N1174" s="1">
        <f>IF(Calculations!$F$5="ACCREDITED 17025 WITH UNCERTAINTIES",$N$10,0)</f>
        <v>0</v>
      </c>
      <c r="O1174" s="1" t="str">
        <f>IFERROR(Table1[[#This Row],[Std Nom]]-(_xlfn.XLOOKUP(Table1[[#This Row],[Manufacturer]]&amp;" "&amp;Table1[[#This Row],[Model]],Table13[MFR &amp; MDL],Table13[Tolerance % CW ],"")/100*Table1[[#This Row],[Std Nom]]),"")</f>
        <v/>
      </c>
      <c r="P1174" s="1" t="str">
        <f>IFERROR(Table1[[#This Row],[Std Nom]]+(_xlfn.XLOOKUP(Table1[[#This Row],[Manufacturer]]&amp;" "&amp;Table1[[#This Row],[Model]],Table13[MFR &amp; MDL],Table13[Tolerance % CW ],"")/100*Table1[[#This Row],[Std Nom]]),"")</f>
        <v/>
      </c>
      <c r="Q1174" s="1" t="e">
        <f>Table1[[#This Row],[High Tol]]-Table1[[#This Row],[Low Tol]]</f>
        <v>#VALUE!</v>
      </c>
      <c r="R1174" s="1">
        <f>2*Table1[[#This Row],[Std Error]]</f>
        <v>0</v>
      </c>
      <c r="S1174" s="1" t="str">
        <f>IF(Table1[[#This Row],[High Tol]]="","N/A",IFERROR(ABS(Table1[[#This Row],[Tol Span]]/Table1[[#This Row],[Error Span]]),"N/A"))</f>
        <v>N/A</v>
      </c>
      <c r="T1174" s="1" t="str">
        <f>IF(OR(Table1[[#This Row],[Low Tol]]="",Table1[[#This Row],[High Tol]]=""),"Needs Analysis",IF(Table1[[#This Row],[Ratio]]&gt;=4,"Not Significant",IF(Table1[[#This Row],[Ratio]]&gt;=2,"Semi-Significant","Significant")))</f>
        <v>Needs Analysis</v>
      </c>
      <c r="W1174" s="1">
        <f>IF(Table1[[#This Row],[Cal Type]]&lt;&gt;"ACCREDITED 17025 WITH UNCERTAINTIES",0,"")</f>
        <v>0</v>
      </c>
      <c r="X1174" s="1" t="str">
        <f>IF(Table1[[#This Row],[DUT Read]]="","N/A",Table1[[#This Row],[Std Error]]+Table1[[#This Row],[DUT Read]]+Table1[[#This Row],[DUT Ucty]])</f>
        <v>N/A</v>
      </c>
      <c r="Y1174" s="1" t="str">
        <f>IF(Table1[[#This Row],[Std Read]]="","N/A",Table1[[#This Row],[Std Read]]+Table1[[#This Row],[Std Ucty]])</f>
        <v>N/A</v>
      </c>
      <c r="Z11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4" s="1" t="str">
        <f>IF(Table1[[#This Row],[Spec Type]]="","N/A",Table1[[#This Row],[Spec Type]])</f>
        <v>±</v>
      </c>
      <c r="AC1174" s="1" t="str">
        <f>IF(Table1[[#This Row],[Spec Type2]]="N/A","N/A",IF(AND(Table1[[#This Row],[DUT Adj Read]]&gt;=Table1[[#This Row],[Low Tol]],Table1[[#This Row],[DUT Adj Read]]&lt;=Table1[[#This Row],[High Tol]]),"Pass","Fail"))</f>
        <v>Fail</v>
      </c>
      <c r="AD1174" s="1" t="str">
        <f>IF(AND(Table1[[#This Row],[Spec Type2]]="N/A",Table1[[#This Row],[DUT Adj Read]]="N/A",Table1[[#This Row],[Std Adj Read]]="N/A"),"N/A",IF(Table1[[#This Row],[DUT Adj Read]]="N/A",IF(Table1[[#This Row],[Std Adj Read]]&gt;Table1[[#This Row],[Low Tol]],"Pass","Fail"),IF(Table1[[#This Row],[DUT Adj Read]]&gt;Table1[[#This Row],[Low Tol]],"Pass","Fail")))</f>
        <v>Pass</v>
      </c>
      <c r="AE1174" s="1" t="str">
        <f>IF(AND(Table1[[#This Row],[Spec Type2]]="N/A",Table1[[#This Row],[DUT Adj Read]]="N/A",Table1[[#This Row],[Std Adj Read]]="N/A"),"N/A",IF(Table1[[#This Row],[DUT Adj Read]]="N/A",IF(Table1[[#This Row],[Std Adj Read]]&lt;Table1[[#This Row],[High Tol]],"Pass","Fail"),IF(Table1[[#This Row],[DUT Adj Read]]&lt;Table1[[#This Row],[High Tol]],"Pass","Fail")))</f>
        <v>Fail</v>
      </c>
      <c r="AF1174" s="1" t="str">
        <f>IF(AND(Table1[[#This Row],[Spec Type2]]="N/A",Table1[[#This Row],[DUT Adj Read]]="N/A",Table1[[#This Row],[Std Adj Read]]="N/A"),"N/A",IF(Table1[[#This Row],[DUT Adj Read]]="N/A",IF(Table1[[#This Row],[Std Adj Read]]&gt;=Table1[[#This Row],[Low Tol]],"Pass","Fail"),IF(Table1[[#This Row],[DUT Adj Read]]&gt;=Table1[[#This Row],[Low Tol]],"Pass","Fail")))</f>
        <v>Pass</v>
      </c>
      <c r="AG1174" s="1" t="str">
        <f>IF(AND(Table1[[#This Row],[Spec Type2]]="N/A",Table1[[#This Row],[DUT Adj Read]]="N/A",Table1[[#This Row],[Std Adj Read]]="N/A"),"N/A",IF(Table1[[#This Row],[DUT Adj Read]]="N/A",IF(Table1[[#This Row],[Std Adj Read]]&lt;=Table1[[#This Row],[High Tol]],"Pass","Fail"),IF(Table1[[#This Row],[DUT Adj Read]]&lt;=Table1[[#This Row],[High Tol]],"Pass","Fail")))</f>
        <v>Fail</v>
      </c>
      <c r="AH11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4" s="1" t="b">
        <v>0</v>
      </c>
      <c r="AN1174" s="1" t="b">
        <v>0</v>
      </c>
      <c r="AO1174" s="1" t="b">
        <v>0</v>
      </c>
    </row>
    <row r="1175" spans="1:41" x14ac:dyDescent="0.25">
      <c r="A1175" s="10"/>
      <c r="B1175" s="10"/>
      <c r="C1175" s="10"/>
      <c r="D1175" s="10"/>
      <c r="E1175" s="10"/>
      <c r="F1175" s="10"/>
      <c r="G1175" s="10"/>
      <c r="H1175" s="10"/>
      <c r="I1175" s="1" t="str">
        <f t="shared" si="54"/>
        <v/>
      </c>
      <c r="J1175" s="1" t="s">
        <v>35</v>
      </c>
      <c r="K1175" s="1" t="str">
        <f t="shared" si="55"/>
        <v/>
      </c>
      <c r="L1175" s="1" t="str">
        <f t="shared" si="56"/>
        <v/>
      </c>
      <c r="M1175" s="1">
        <f>IF(OR(Table1[[#This Row],[Std Nom]]="",Table1[[#This Row],[Std Read]]=""),0,Table1[[#This Row],[Std Nom]]-Table1[[#This Row],[Std Read]])</f>
        <v>0</v>
      </c>
      <c r="N1175" s="1">
        <f>IF(Calculations!$F$5="ACCREDITED 17025 WITH UNCERTAINTIES",$N$10,0)</f>
        <v>0</v>
      </c>
      <c r="O1175" s="1" t="str">
        <f>IFERROR(Table1[[#This Row],[Std Nom]]-(_xlfn.XLOOKUP(Table1[[#This Row],[Manufacturer]]&amp;" "&amp;Table1[[#This Row],[Model]],Table13[MFR &amp; MDL],Table13[Tolerance % CW ],"")/100*Table1[[#This Row],[Std Nom]]),"")</f>
        <v/>
      </c>
      <c r="P1175" s="1" t="str">
        <f>IFERROR(Table1[[#This Row],[Std Nom]]+(_xlfn.XLOOKUP(Table1[[#This Row],[Manufacturer]]&amp;" "&amp;Table1[[#This Row],[Model]],Table13[MFR &amp; MDL],Table13[Tolerance % CW ],"")/100*Table1[[#This Row],[Std Nom]]),"")</f>
        <v/>
      </c>
      <c r="Q1175" s="1" t="e">
        <f>Table1[[#This Row],[High Tol]]-Table1[[#This Row],[Low Tol]]</f>
        <v>#VALUE!</v>
      </c>
      <c r="R1175" s="1">
        <f>2*Table1[[#This Row],[Std Error]]</f>
        <v>0</v>
      </c>
      <c r="S1175" s="1" t="str">
        <f>IF(Table1[[#This Row],[High Tol]]="","N/A",IFERROR(ABS(Table1[[#This Row],[Tol Span]]/Table1[[#This Row],[Error Span]]),"N/A"))</f>
        <v>N/A</v>
      </c>
      <c r="T1175" s="1" t="str">
        <f>IF(OR(Table1[[#This Row],[Low Tol]]="",Table1[[#This Row],[High Tol]]=""),"Needs Analysis",IF(Table1[[#This Row],[Ratio]]&gt;=4,"Not Significant",IF(Table1[[#This Row],[Ratio]]&gt;=2,"Semi-Significant","Significant")))</f>
        <v>Needs Analysis</v>
      </c>
      <c r="W1175" s="1">
        <f>IF(Table1[[#This Row],[Cal Type]]&lt;&gt;"ACCREDITED 17025 WITH UNCERTAINTIES",0,"")</f>
        <v>0</v>
      </c>
      <c r="X1175" s="1" t="str">
        <f>IF(Table1[[#This Row],[DUT Read]]="","N/A",Table1[[#This Row],[Std Error]]+Table1[[#This Row],[DUT Read]]+Table1[[#This Row],[DUT Ucty]])</f>
        <v>N/A</v>
      </c>
      <c r="Y1175" s="1" t="str">
        <f>IF(Table1[[#This Row],[Std Read]]="","N/A",Table1[[#This Row],[Std Read]]+Table1[[#This Row],[Std Ucty]])</f>
        <v>N/A</v>
      </c>
      <c r="Z11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5" s="1" t="str">
        <f>IF(Table1[[#This Row],[Spec Type]]="","N/A",Table1[[#This Row],[Spec Type]])</f>
        <v>±</v>
      </c>
      <c r="AC1175" s="1" t="str">
        <f>IF(Table1[[#This Row],[Spec Type2]]="N/A","N/A",IF(AND(Table1[[#This Row],[DUT Adj Read]]&gt;=Table1[[#This Row],[Low Tol]],Table1[[#This Row],[DUT Adj Read]]&lt;=Table1[[#This Row],[High Tol]]),"Pass","Fail"))</f>
        <v>Fail</v>
      </c>
      <c r="AD1175" s="1" t="str">
        <f>IF(AND(Table1[[#This Row],[Spec Type2]]="N/A",Table1[[#This Row],[DUT Adj Read]]="N/A",Table1[[#This Row],[Std Adj Read]]="N/A"),"N/A",IF(Table1[[#This Row],[DUT Adj Read]]="N/A",IF(Table1[[#This Row],[Std Adj Read]]&gt;Table1[[#This Row],[Low Tol]],"Pass","Fail"),IF(Table1[[#This Row],[DUT Adj Read]]&gt;Table1[[#This Row],[Low Tol]],"Pass","Fail")))</f>
        <v>Pass</v>
      </c>
      <c r="AE1175" s="1" t="str">
        <f>IF(AND(Table1[[#This Row],[Spec Type2]]="N/A",Table1[[#This Row],[DUT Adj Read]]="N/A",Table1[[#This Row],[Std Adj Read]]="N/A"),"N/A",IF(Table1[[#This Row],[DUT Adj Read]]="N/A",IF(Table1[[#This Row],[Std Adj Read]]&lt;Table1[[#This Row],[High Tol]],"Pass","Fail"),IF(Table1[[#This Row],[DUT Adj Read]]&lt;Table1[[#This Row],[High Tol]],"Pass","Fail")))</f>
        <v>Fail</v>
      </c>
      <c r="AF1175" s="1" t="str">
        <f>IF(AND(Table1[[#This Row],[Spec Type2]]="N/A",Table1[[#This Row],[DUT Adj Read]]="N/A",Table1[[#This Row],[Std Adj Read]]="N/A"),"N/A",IF(Table1[[#This Row],[DUT Adj Read]]="N/A",IF(Table1[[#This Row],[Std Adj Read]]&gt;=Table1[[#This Row],[Low Tol]],"Pass","Fail"),IF(Table1[[#This Row],[DUT Adj Read]]&gt;=Table1[[#This Row],[Low Tol]],"Pass","Fail")))</f>
        <v>Pass</v>
      </c>
      <c r="AG1175" s="1" t="str">
        <f>IF(AND(Table1[[#This Row],[Spec Type2]]="N/A",Table1[[#This Row],[DUT Adj Read]]="N/A",Table1[[#This Row],[Std Adj Read]]="N/A"),"N/A",IF(Table1[[#This Row],[DUT Adj Read]]="N/A",IF(Table1[[#This Row],[Std Adj Read]]&lt;=Table1[[#This Row],[High Tol]],"Pass","Fail"),IF(Table1[[#This Row],[DUT Adj Read]]&lt;=Table1[[#This Row],[High Tol]],"Pass","Fail")))</f>
        <v>Fail</v>
      </c>
      <c r="AH11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5" s="1" t="b">
        <v>0</v>
      </c>
      <c r="AN1175" s="1" t="b">
        <v>0</v>
      </c>
      <c r="AO1175" s="1" t="b">
        <v>0</v>
      </c>
    </row>
    <row r="1176" spans="1:41" x14ac:dyDescent="0.25">
      <c r="A1176" s="10"/>
      <c r="B1176" s="10"/>
      <c r="C1176" s="10"/>
      <c r="D1176" s="10"/>
      <c r="E1176" s="10"/>
      <c r="F1176" s="10"/>
      <c r="G1176" s="10"/>
      <c r="H1176" s="10"/>
      <c r="I1176" s="1" t="str">
        <f t="shared" si="54"/>
        <v/>
      </c>
      <c r="J1176" s="1" t="s">
        <v>35</v>
      </c>
      <c r="K1176" s="1" t="str">
        <f t="shared" si="55"/>
        <v/>
      </c>
      <c r="L1176" s="1" t="str">
        <f t="shared" si="56"/>
        <v/>
      </c>
      <c r="M1176" s="1">
        <f>IF(OR(Table1[[#This Row],[Std Nom]]="",Table1[[#This Row],[Std Read]]=""),0,Table1[[#This Row],[Std Nom]]-Table1[[#This Row],[Std Read]])</f>
        <v>0</v>
      </c>
      <c r="N1176" s="1">
        <f>IF(Calculations!$F$5="ACCREDITED 17025 WITH UNCERTAINTIES",$N$10,0)</f>
        <v>0</v>
      </c>
      <c r="O1176" s="1" t="str">
        <f>IFERROR(Table1[[#This Row],[Std Nom]]-(_xlfn.XLOOKUP(Table1[[#This Row],[Manufacturer]]&amp;" "&amp;Table1[[#This Row],[Model]],Table13[MFR &amp; MDL],Table13[Tolerance % CW ],"")/100*Table1[[#This Row],[Std Nom]]),"")</f>
        <v/>
      </c>
      <c r="P1176" s="1" t="str">
        <f>IFERROR(Table1[[#This Row],[Std Nom]]+(_xlfn.XLOOKUP(Table1[[#This Row],[Manufacturer]]&amp;" "&amp;Table1[[#This Row],[Model]],Table13[MFR &amp; MDL],Table13[Tolerance % CW ],"")/100*Table1[[#This Row],[Std Nom]]),"")</f>
        <v/>
      </c>
      <c r="Q1176" s="1" t="e">
        <f>Table1[[#This Row],[High Tol]]-Table1[[#This Row],[Low Tol]]</f>
        <v>#VALUE!</v>
      </c>
      <c r="R1176" s="1">
        <f>2*Table1[[#This Row],[Std Error]]</f>
        <v>0</v>
      </c>
      <c r="S1176" s="1" t="str">
        <f>IF(Table1[[#This Row],[High Tol]]="","N/A",IFERROR(ABS(Table1[[#This Row],[Tol Span]]/Table1[[#This Row],[Error Span]]),"N/A"))</f>
        <v>N/A</v>
      </c>
      <c r="T1176" s="1" t="str">
        <f>IF(OR(Table1[[#This Row],[Low Tol]]="",Table1[[#This Row],[High Tol]]=""),"Needs Analysis",IF(Table1[[#This Row],[Ratio]]&gt;=4,"Not Significant",IF(Table1[[#This Row],[Ratio]]&gt;=2,"Semi-Significant","Significant")))</f>
        <v>Needs Analysis</v>
      </c>
      <c r="W1176" s="1">
        <f>IF(Table1[[#This Row],[Cal Type]]&lt;&gt;"ACCREDITED 17025 WITH UNCERTAINTIES",0,"")</f>
        <v>0</v>
      </c>
      <c r="X1176" s="1" t="str">
        <f>IF(Table1[[#This Row],[DUT Read]]="","N/A",Table1[[#This Row],[Std Error]]+Table1[[#This Row],[DUT Read]]+Table1[[#This Row],[DUT Ucty]])</f>
        <v>N/A</v>
      </c>
      <c r="Y1176" s="1" t="str">
        <f>IF(Table1[[#This Row],[Std Read]]="","N/A",Table1[[#This Row],[Std Read]]+Table1[[#This Row],[Std Ucty]])</f>
        <v>N/A</v>
      </c>
      <c r="Z11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6" s="1" t="str">
        <f>IF(Table1[[#This Row],[Spec Type]]="","N/A",Table1[[#This Row],[Spec Type]])</f>
        <v>±</v>
      </c>
      <c r="AC1176" s="1" t="str">
        <f>IF(Table1[[#This Row],[Spec Type2]]="N/A","N/A",IF(AND(Table1[[#This Row],[DUT Adj Read]]&gt;=Table1[[#This Row],[Low Tol]],Table1[[#This Row],[DUT Adj Read]]&lt;=Table1[[#This Row],[High Tol]]),"Pass","Fail"))</f>
        <v>Fail</v>
      </c>
      <c r="AD1176" s="1" t="str">
        <f>IF(AND(Table1[[#This Row],[Spec Type2]]="N/A",Table1[[#This Row],[DUT Adj Read]]="N/A",Table1[[#This Row],[Std Adj Read]]="N/A"),"N/A",IF(Table1[[#This Row],[DUT Adj Read]]="N/A",IF(Table1[[#This Row],[Std Adj Read]]&gt;Table1[[#This Row],[Low Tol]],"Pass","Fail"),IF(Table1[[#This Row],[DUT Adj Read]]&gt;Table1[[#This Row],[Low Tol]],"Pass","Fail")))</f>
        <v>Pass</v>
      </c>
      <c r="AE1176" s="1" t="str">
        <f>IF(AND(Table1[[#This Row],[Spec Type2]]="N/A",Table1[[#This Row],[DUT Adj Read]]="N/A",Table1[[#This Row],[Std Adj Read]]="N/A"),"N/A",IF(Table1[[#This Row],[DUT Adj Read]]="N/A",IF(Table1[[#This Row],[Std Adj Read]]&lt;Table1[[#This Row],[High Tol]],"Pass","Fail"),IF(Table1[[#This Row],[DUT Adj Read]]&lt;Table1[[#This Row],[High Tol]],"Pass","Fail")))</f>
        <v>Fail</v>
      </c>
      <c r="AF1176" s="1" t="str">
        <f>IF(AND(Table1[[#This Row],[Spec Type2]]="N/A",Table1[[#This Row],[DUT Adj Read]]="N/A",Table1[[#This Row],[Std Adj Read]]="N/A"),"N/A",IF(Table1[[#This Row],[DUT Adj Read]]="N/A",IF(Table1[[#This Row],[Std Adj Read]]&gt;=Table1[[#This Row],[Low Tol]],"Pass","Fail"),IF(Table1[[#This Row],[DUT Adj Read]]&gt;=Table1[[#This Row],[Low Tol]],"Pass","Fail")))</f>
        <v>Pass</v>
      </c>
      <c r="AG1176" s="1" t="str">
        <f>IF(AND(Table1[[#This Row],[Spec Type2]]="N/A",Table1[[#This Row],[DUT Adj Read]]="N/A",Table1[[#This Row],[Std Adj Read]]="N/A"),"N/A",IF(Table1[[#This Row],[DUT Adj Read]]="N/A",IF(Table1[[#This Row],[Std Adj Read]]&lt;=Table1[[#This Row],[High Tol]],"Pass","Fail"),IF(Table1[[#This Row],[DUT Adj Read]]&lt;=Table1[[#This Row],[High Tol]],"Pass","Fail")))</f>
        <v>Fail</v>
      </c>
      <c r="AH11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6" s="1" t="b">
        <v>0</v>
      </c>
      <c r="AN1176" s="1" t="b">
        <v>0</v>
      </c>
      <c r="AO1176" s="1" t="b">
        <v>0</v>
      </c>
    </row>
    <row r="1177" spans="1:41" x14ac:dyDescent="0.25">
      <c r="A1177" s="10"/>
      <c r="B1177" s="10"/>
      <c r="C1177" s="10"/>
      <c r="D1177" s="10"/>
      <c r="E1177" s="10"/>
      <c r="F1177" s="10"/>
      <c r="G1177" s="10"/>
      <c r="H1177" s="10"/>
      <c r="I1177" s="1" t="str">
        <f t="shared" si="54"/>
        <v/>
      </c>
      <c r="J1177" s="1" t="s">
        <v>35</v>
      </c>
      <c r="K1177" s="1" t="str">
        <f t="shared" si="55"/>
        <v/>
      </c>
      <c r="L1177" s="1" t="str">
        <f t="shared" si="56"/>
        <v/>
      </c>
      <c r="M1177" s="1">
        <f>IF(OR(Table1[[#This Row],[Std Nom]]="",Table1[[#This Row],[Std Read]]=""),0,Table1[[#This Row],[Std Nom]]-Table1[[#This Row],[Std Read]])</f>
        <v>0</v>
      </c>
      <c r="N1177" s="1">
        <f>IF(Calculations!$F$5="ACCREDITED 17025 WITH UNCERTAINTIES",$N$10,0)</f>
        <v>0</v>
      </c>
      <c r="O1177" s="1" t="str">
        <f>IFERROR(Table1[[#This Row],[Std Nom]]-(_xlfn.XLOOKUP(Table1[[#This Row],[Manufacturer]]&amp;" "&amp;Table1[[#This Row],[Model]],Table13[MFR &amp; MDL],Table13[Tolerance % CW ],"")/100*Table1[[#This Row],[Std Nom]]),"")</f>
        <v/>
      </c>
      <c r="P1177" s="1" t="str">
        <f>IFERROR(Table1[[#This Row],[Std Nom]]+(_xlfn.XLOOKUP(Table1[[#This Row],[Manufacturer]]&amp;" "&amp;Table1[[#This Row],[Model]],Table13[MFR &amp; MDL],Table13[Tolerance % CW ],"")/100*Table1[[#This Row],[Std Nom]]),"")</f>
        <v/>
      </c>
      <c r="Q1177" s="1" t="e">
        <f>Table1[[#This Row],[High Tol]]-Table1[[#This Row],[Low Tol]]</f>
        <v>#VALUE!</v>
      </c>
      <c r="R1177" s="1">
        <f>2*Table1[[#This Row],[Std Error]]</f>
        <v>0</v>
      </c>
      <c r="S1177" s="1" t="str">
        <f>IF(Table1[[#This Row],[High Tol]]="","N/A",IFERROR(ABS(Table1[[#This Row],[Tol Span]]/Table1[[#This Row],[Error Span]]),"N/A"))</f>
        <v>N/A</v>
      </c>
      <c r="T1177" s="1" t="str">
        <f>IF(OR(Table1[[#This Row],[Low Tol]]="",Table1[[#This Row],[High Tol]]=""),"Needs Analysis",IF(Table1[[#This Row],[Ratio]]&gt;=4,"Not Significant",IF(Table1[[#This Row],[Ratio]]&gt;=2,"Semi-Significant","Significant")))</f>
        <v>Needs Analysis</v>
      </c>
      <c r="W1177" s="1">
        <f>IF(Table1[[#This Row],[Cal Type]]&lt;&gt;"ACCREDITED 17025 WITH UNCERTAINTIES",0,"")</f>
        <v>0</v>
      </c>
      <c r="X1177" s="1" t="str">
        <f>IF(Table1[[#This Row],[DUT Read]]="","N/A",Table1[[#This Row],[Std Error]]+Table1[[#This Row],[DUT Read]]+Table1[[#This Row],[DUT Ucty]])</f>
        <v>N/A</v>
      </c>
      <c r="Y1177" s="1" t="str">
        <f>IF(Table1[[#This Row],[Std Read]]="","N/A",Table1[[#This Row],[Std Read]]+Table1[[#This Row],[Std Ucty]])</f>
        <v>N/A</v>
      </c>
      <c r="Z11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7" s="1" t="str">
        <f>IF(Table1[[#This Row],[Spec Type]]="","N/A",Table1[[#This Row],[Spec Type]])</f>
        <v>±</v>
      </c>
      <c r="AC1177" s="1" t="str">
        <f>IF(Table1[[#This Row],[Spec Type2]]="N/A","N/A",IF(AND(Table1[[#This Row],[DUT Adj Read]]&gt;=Table1[[#This Row],[Low Tol]],Table1[[#This Row],[DUT Adj Read]]&lt;=Table1[[#This Row],[High Tol]]),"Pass","Fail"))</f>
        <v>Fail</v>
      </c>
      <c r="AD1177" s="1" t="str">
        <f>IF(AND(Table1[[#This Row],[Spec Type2]]="N/A",Table1[[#This Row],[DUT Adj Read]]="N/A",Table1[[#This Row],[Std Adj Read]]="N/A"),"N/A",IF(Table1[[#This Row],[DUT Adj Read]]="N/A",IF(Table1[[#This Row],[Std Adj Read]]&gt;Table1[[#This Row],[Low Tol]],"Pass","Fail"),IF(Table1[[#This Row],[DUT Adj Read]]&gt;Table1[[#This Row],[Low Tol]],"Pass","Fail")))</f>
        <v>Pass</v>
      </c>
      <c r="AE1177" s="1" t="str">
        <f>IF(AND(Table1[[#This Row],[Spec Type2]]="N/A",Table1[[#This Row],[DUT Adj Read]]="N/A",Table1[[#This Row],[Std Adj Read]]="N/A"),"N/A",IF(Table1[[#This Row],[DUT Adj Read]]="N/A",IF(Table1[[#This Row],[Std Adj Read]]&lt;Table1[[#This Row],[High Tol]],"Pass","Fail"),IF(Table1[[#This Row],[DUT Adj Read]]&lt;Table1[[#This Row],[High Tol]],"Pass","Fail")))</f>
        <v>Fail</v>
      </c>
      <c r="AF1177" s="1" t="str">
        <f>IF(AND(Table1[[#This Row],[Spec Type2]]="N/A",Table1[[#This Row],[DUT Adj Read]]="N/A",Table1[[#This Row],[Std Adj Read]]="N/A"),"N/A",IF(Table1[[#This Row],[DUT Adj Read]]="N/A",IF(Table1[[#This Row],[Std Adj Read]]&gt;=Table1[[#This Row],[Low Tol]],"Pass","Fail"),IF(Table1[[#This Row],[DUT Adj Read]]&gt;=Table1[[#This Row],[Low Tol]],"Pass","Fail")))</f>
        <v>Pass</v>
      </c>
      <c r="AG1177" s="1" t="str">
        <f>IF(AND(Table1[[#This Row],[Spec Type2]]="N/A",Table1[[#This Row],[DUT Adj Read]]="N/A",Table1[[#This Row],[Std Adj Read]]="N/A"),"N/A",IF(Table1[[#This Row],[DUT Adj Read]]="N/A",IF(Table1[[#This Row],[Std Adj Read]]&lt;=Table1[[#This Row],[High Tol]],"Pass","Fail"),IF(Table1[[#This Row],[DUT Adj Read]]&lt;=Table1[[#This Row],[High Tol]],"Pass","Fail")))</f>
        <v>Fail</v>
      </c>
      <c r="AH11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7" s="1" t="b">
        <v>0</v>
      </c>
      <c r="AN1177" s="1" t="b">
        <v>0</v>
      </c>
      <c r="AO1177" s="1" t="b">
        <v>0</v>
      </c>
    </row>
    <row r="1178" spans="1:41" x14ac:dyDescent="0.25">
      <c r="A1178" s="10"/>
      <c r="B1178" s="10"/>
      <c r="C1178" s="10"/>
      <c r="D1178" s="10"/>
      <c r="E1178" s="10"/>
      <c r="F1178" s="10"/>
      <c r="G1178" s="10"/>
      <c r="H1178" s="10"/>
      <c r="I1178" s="1" t="str">
        <f t="shared" si="54"/>
        <v/>
      </c>
      <c r="J1178" s="1" t="s">
        <v>35</v>
      </c>
      <c r="K1178" s="1" t="str">
        <f t="shared" si="55"/>
        <v/>
      </c>
      <c r="L1178" s="1" t="str">
        <f t="shared" si="56"/>
        <v/>
      </c>
      <c r="M1178" s="1">
        <f>IF(OR(Table1[[#This Row],[Std Nom]]="",Table1[[#This Row],[Std Read]]=""),0,Table1[[#This Row],[Std Nom]]-Table1[[#This Row],[Std Read]])</f>
        <v>0</v>
      </c>
      <c r="N1178" s="1">
        <f>IF(Calculations!$F$5="ACCREDITED 17025 WITH UNCERTAINTIES",$N$10,0)</f>
        <v>0</v>
      </c>
      <c r="O1178" s="1" t="str">
        <f>IFERROR(Table1[[#This Row],[Std Nom]]-(_xlfn.XLOOKUP(Table1[[#This Row],[Manufacturer]]&amp;" "&amp;Table1[[#This Row],[Model]],Table13[MFR &amp; MDL],Table13[Tolerance % CW ],"")/100*Table1[[#This Row],[Std Nom]]),"")</f>
        <v/>
      </c>
      <c r="P1178" s="1" t="str">
        <f>IFERROR(Table1[[#This Row],[Std Nom]]+(_xlfn.XLOOKUP(Table1[[#This Row],[Manufacturer]]&amp;" "&amp;Table1[[#This Row],[Model]],Table13[MFR &amp; MDL],Table13[Tolerance % CW ],"")/100*Table1[[#This Row],[Std Nom]]),"")</f>
        <v/>
      </c>
      <c r="Q1178" s="1" t="e">
        <f>Table1[[#This Row],[High Tol]]-Table1[[#This Row],[Low Tol]]</f>
        <v>#VALUE!</v>
      </c>
      <c r="R1178" s="1">
        <f>2*Table1[[#This Row],[Std Error]]</f>
        <v>0</v>
      </c>
      <c r="S1178" s="1" t="str">
        <f>IF(Table1[[#This Row],[High Tol]]="","N/A",IFERROR(ABS(Table1[[#This Row],[Tol Span]]/Table1[[#This Row],[Error Span]]),"N/A"))</f>
        <v>N/A</v>
      </c>
      <c r="T1178" s="1" t="str">
        <f>IF(OR(Table1[[#This Row],[Low Tol]]="",Table1[[#This Row],[High Tol]]=""),"Needs Analysis",IF(Table1[[#This Row],[Ratio]]&gt;=4,"Not Significant",IF(Table1[[#This Row],[Ratio]]&gt;=2,"Semi-Significant","Significant")))</f>
        <v>Needs Analysis</v>
      </c>
      <c r="W1178" s="1">
        <f>IF(Table1[[#This Row],[Cal Type]]&lt;&gt;"ACCREDITED 17025 WITH UNCERTAINTIES",0,"")</f>
        <v>0</v>
      </c>
      <c r="X1178" s="1" t="str">
        <f>IF(Table1[[#This Row],[DUT Read]]="","N/A",Table1[[#This Row],[Std Error]]+Table1[[#This Row],[DUT Read]]+Table1[[#This Row],[DUT Ucty]])</f>
        <v>N/A</v>
      </c>
      <c r="Y1178" s="1" t="str">
        <f>IF(Table1[[#This Row],[Std Read]]="","N/A",Table1[[#This Row],[Std Read]]+Table1[[#This Row],[Std Ucty]])</f>
        <v>N/A</v>
      </c>
      <c r="Z11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8" s="1" t="str">
        <f>IF(Table1[[#This Row],[Spec Type]]="","N/A",Table1[[#This Row],[Spec Type]])</f>
        <v>±</v>
      </c>
      <c r="AC1178" s="1" t="str">
        <f>IF(Table1[[#This Row],[Spec Type2]]="N/A","N/A",IF(AND(Table1[[#This Row],[DUT Adj Read]]&gt;=Table1[[#This Row],[Low Tol]],Table1[[#This Row],[DUT Adj Read]]&lt;=Table1[[#This Row],[High Tol]]),"Pass","Fail"))</f>
        <v>Fail</v>
      </c>
      <c r="AD1178" s="1" t="str">
        <f>IF(AND(Table1[[#This Row],[Spec Type2]]="N/A",Table1[[#This Row],[DUT Adj Read]]="N/A",Table1[[#This Row],[Std Adj Read]]="N/A"),"N/A",IF(Table1[[#This Row],[DUT Adj Read]]="N/A",IF(Table1[[#This Row],[Std Adj Read]]&gt;Table1[[#This Row],[Low Tol]],"Pass","Fail"),IF(Table1[[#This Row],[DUT Adj Read]]&gt;Table1[[#This Row],[Low Tol]],"Pass","Fail")))</f>
        <v>Pass</v>
      </c>
      <c r="AE1178" s="1" t="str">
        <f>IF(AND(Table1[[#This Row],[Spec Type2]]="N/A",Table1[[#This Row],[DUT Adj Read]]="N/A",Table1[[#This Row],[Std Adj Read]]="N/A"),"N/A",IF(Table1[[#This Row],[DUT Adj Read]]="N/A",IF(Table1[[#This Row],[Std Adj Read]]&lt;Table1[[#This Row],[High Tol]],"Pass","Fail"),IF(Table1[[#This Row],[DUT Adj Read]]&lt;Table1[[#This Row],[High Tol]],"Pass","Fail")))</f>
        <v>Fail</v>
      </c>
      <c r="AF1178" s="1" t="str">
        <f>IF(AND(Table1[[#This Row],[Spec Type2]]="N/A",Table1[[#This Row],[DUT Adj Read]]="N/A",Table1[[#This Row],[Std Adj Read]]="N/A"),"N/A",IF(Table1[[#This Row],[DUT Adj Read]]="N/A",IF(Table1[[#This Row],[Std Adj Read]]&gt;=Table1[[#This Row],[Low Tol]],"Pass","Fail"),IF(Table1[[#This Row],[DUT Adj Read]]&gt;=Table1[[#This Row],[Low Tol]],"Pass","Fail")))</f>
        <v>Pass</v>
      </c>
      <c r="AG1178" s="1" t="str">
        <f>IF(AND(Table1[[#This Row],[Spec Type2]]="N/A",Table1[[#This Row],[DUT Adj Read]]="N/A",Table1[[#This Row],[Std Adj Read]]="N/A"),"N/A",IF(Table1[[#This Row],[DUT Adj Read]]="N/A",IF(Table1[[#This Row],[Std Adj Read]]&lt;=Table1[[#This Row],[High Tol]],"Pass","Fail"),IF(Table1[[#This Row],[DUT Adj Read]]&lt;=Table1[[#This Row],[High Tol]],"Pass","Fail")))</f>
        <v>Fail</v>
      </c>
      <c r="AH11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8" s="1" t="b">
        <v>0</v>
      </c>
      <c r="AN1178" s="1" t="b">
        <v>0</v>
      </c>
      <c r="AO1178" s="1" t="b">
        <v>0</v>
      </c>
    </row>
    <row r="1179" spans="1:41" x14ac:dyDescent="0.25">
      <c r="A1179" s="10"/>
      <c r="B1179" s="10"/>
      <c r="C1179" s="10"/>
      <c r="D1179" s="10"/>
      <c r="E1179" s="10"/>
      <c r="F1179" s="10"/>
      <c r="G1179" s="10"/>
      <c r="H1179" s="10"/>
      <c r="I1179" s="1" t="str">
        <f t="shared" si="54"/>
        <v/>
      </c>
      <c r="J1179" s="1" t="s">
        <v>35</v>
      </c>
      <c r="K1179" s="1" t="str">
        <f t="shared" si="55"/>
        <v/>
      </c>
      <c r="L1179" s="1" t="str">
        <f t="shared" si="56"/>
        <v/>
      </c>
      <c r="M1179" s="1">
        <f>IF(OR(Table1[[#This Row],[Std Nom]]="",Table1[[#This Row],[Std Read]]=""),0,Table1[[#This Row],[Std Nom]]-Table1[[#This Row],[Std Read]])</f>
        <v>0</v>
      </c>
      <c r="N1179" s="1">
        <f>IF(Calculations!$F$5="ACCREDITED 17025 WITH UNCERTAINTIES",$N$10,0)</f>
        <v>0</v>
      </c>
      <c r="O1179" s="1" t="str">
        <f>IFERROR(Table1[[#This Row],[Std Nom]]-(_xlfn.XLOOKUP(Table1[[#This Row],[Manufacturer]]&amp;" "&amp;Table1[[#This Row],[Model]],Table13[MFR &amp; MDL],Table13[Tolerance % CW ],"")/100*Table1[[#This Row],[Std Nom]]),"")</f>
        <v/>
      </c>
      <c r="P1179" s="1" t="str">
        <f>IFERROR(Table1[[#This Row],[Std Nom]]+(_xlfn.XLOOKUP(Table1[[#This Row],[Manufacturer]]&amp;" "&amp;Table1[[#This Row],[Model]],Table13[MFR &amp; MDL],Table13[Tolerance % CW ],"")/100*Table1[[#This Row],[Std Nom]]),"")</f>
        <v/>
      </c>
      <c r="Q1179" s="1" t="e">
        <f>Table1[[#This Row],[High Tol]]-Table1[[#This Row],[Low Tol]]</f>
        <v>#VALUE!</v>
      </c>
      <c r="R1179" s="1">
        <f>2*Table1[[#This Row],[Std Error]]</f>
        <v>0</v>
      </c>
      <c r="S1179" s="1" t="str">
        <f>IF(Table1[[#This Row],[High Tol]]="","N/A",IFERROR(ABS(Table1[[#This Row],[Tol Span]]/Table1[[#This Row],[Error Span]]),"N/A"))</f>
        <v>N/A</v>
      </c>
      <c r="T1179" s="1" t="str">
        <f>IF(OR(Table1[[#This Row],[Low Tol]]="",Table1[[#This Row],[High Tol]]=""),"Needs Analysis",IF(Table1[[#This Row],[Ratio]]&gt;=4,"Not Significant",IF(Table1[[#This Row],[Ratio]]&gt;=2,"Semi-Significant","Significant")))</f>
        <v>Needs Analysis</v>
      </c>
      <c r="W1179" s="1">
        <f>IF(Table1[[#This Row],[Cal Type]]&lt;&gt;"ACCREDITED 17025 WITH UNCERTAINTIES",0,"")</f>
        <v>0</v>
      </c>
      <c r="X1179" s="1" t="str">
        <f>IF(Table1[[#This Row],[DUT Read]]="","N/A",Table1[[#This Row],[Std Error]]+Table1[[#This Row],[DUT Read]]+Table1[[#This Row],[DUT Ucty]])</f>
        <v>N/A</v>
      </c>
      <c r="Y1179" s="1" t="str">
        <f>IF(Table1[[#This Row],[Std Read]]="","N/A",Table1[[#This Row],[Std Read]]+Table1[[#This Row],[Std Ucty]])</f>
        <v>N/A</v>
      </c>
      <c r="Z11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9" s="1" t="str">
        <f>IF(Table1[[#This Row],[Spec Type]]="","N/A",Table1[[#This Row],[Spec Type]])</f>
        <v>±</v>
      </c>
      <c r="AC1179" s="1" t="str">
        <f>IF(Table1[[#This Row],[Spec Type2]]="N/A","N/A",IF(AND(Table1[[#This Row],[DUT Adj Read]]&gt;=Table1[[#This Row],[Low Tol]],Table1[[#This Row],[DUT Adj Read]]&lt;=Table1[[#This Row],[High Tol]]),"Pass","Fail"))</f>
        <v>Fail</v>
      </c>
      <c r="AD1179" s="1" t="str">
        <f>IF(AND(Table1[[#This Row],[Spec Type2]]="N/A",Table1[[#This Row],[DUT Adj Read]]="N/A",Table1[[#This Row],[Std Adj Read]]="N/A"),"N/A",IF(Table1[[#This Row],[DUT Adj Read]]="N/A",IF(Table1[[#This Row],[Std Adj Read]]&gt;Table1[[#This Row],[Low Tol]],"Pass","Fail"),IF(Table1[[#This Row],[DUT Adj Read]]&gt;Table1[[#This Row],[Low Tol]],"Pass","Fail")))</f>
        <v>Pass</v>
      </c>
      <c r="AE1179" s="1" t="str">
        <f>IF(AND(Table1[[#This Row],[Spec Type2]]="N/A",Table1[[#This Row],[DUT Adj Read]]="N/A",Table1[[#This Row],[Std Adj Read]]="N/A"),"N/A",IF(Table1[[#This Row],[DUT Adj Read]]="N/A",IF(Table1[[#This Row],[Std Adj Read]]&lt;Table1[[#This Row],[High Tol]],"Pass","Fail"),IF(Table1[[#This Row],[DUT Adj Read]]&lt;Table1[[#This Row],[High Tol]],"Pass","Fail")))</f>
        <v>Fail</v>
      </c>
      <c r="AF1179" s="1" t="str">
        <f>IF(AND(Table1[[#This Row],[Spec Type2]]="N/A",Table1[[#This Row],[DUT Adj Read]]="N/A",Table1[[#This Row],[Std Adj Read]]="N/A"),"N/A",IF(Table1[[#This Row],[DUT Adj Read]]="N/A",IF(Table1[[#This Row],[Std Adj Read]]&gt;=Table1[[#This Row],[Low Tol]],"Pass","Fail"),IF(Table1[[#This Row],[DUT Adj Read]]&gt;=Table1[[#This Row],[Low Tol]],"Pass","Fail")))</f>
        <v>Pass</v>
      </c>
      <c r="AG1179" s="1" t="str">
        <f>IF(AND(Table1[[#This Row],[Spec Type2]]="N/A",Table1[[#This Row],[DUT Adj Read]]="N/A",Table1[[#This Row],[Std Adj Read]]="N/A"),"N/A",IF(Table1[[#This Row],[DUT Adj Read]]="N/A",IF(Table1[[#This Row],[Std Adj Read]]&lt;=Table1[[#This Row],[High Tol]],"Pass","Fail"),IF(Table1[[#This Row],[DUT Adj Read]]&lt;=Table1[[#This Row],[High Tol]],"Pass","Fail")))</f>
        <v>Fail</v>
      </c>
      <c r="AH11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9" s="1" t="b">
        <v>0</v>
      </c>
      <c r="AN1179" s="1" t="b">
        <v>0</v>
      </c>
      <c r="AO1179" s="1" t="b">
        <v>0</v>
      </c>
    </row>
    <row r="1180" spans="1:41" x14ac:dyDescent="0.25">
      <c r="A1180" s="10"/>
      <c r="B1180" s="10"/>
      <c r="C1180" s="10"/>
      <c r="D1180" s="10"/>
      <c r="E1180" s="10"/>
      <c r="F1180" s="10"/>
      <c r="G1180" s="10"/>
      <c r="H1180" s="10"/>
      <c r="I1180" s="1" t="str">
        <f t="shared" si="54"/>
        <v/>
      </c>
      <c r="J1180" s="1" t="s">
        <v>35</v>
      </c>
      <c r="K1180" s="1" t="str">
        <f t="shared" si="55"/>
        <v/>
      </c>
      <c r="L1180" s="1" t="str">
        <f t="shared" si="56"/>
        <v/>
      </c>
      <c r="M1180" s="1">
        <f>IF(OR(Table1[[#This Row],[Std Nom]]="",Table1[[#This Row],[Std Read]]=""),0,Table1[[#This Row],[Std Nom]]-Table1[[#This Row],[Std Read]])</f>
        <v>0</v>
      </c>
      <c r="N1180" s="1">
        <f>IF(Calculations!$F$5="ACCREDITED 17025 WITH UNCERTAINTIES",$N$10,0)</f>
        <v>0</v>
      </c>
      <c r="O1180" s="1" t="str">
        <f>IFERROR(Table1[[#This Row],[Std Nom]]-(_xlfn.XLOOKUP(Table1[[#This Row],[Manufacturer]]&amp;" "&amp;Table1[[#This Row],[Model]],Table13[MFR &amp; MDL],Table13[Tolerance % CW ],"")/100*Table1[[#This Row],[Std Nom]]),"")</f>
        <v/>
      </c>
      <c r="P1180" s="1" t="str">
        <f>IFERROR(Table1[[#This Row],[Std Nom]]+(_xlfn.XLOOKUP(Table1[[#This Row],[Manufacturer]]&amp;" "&amp;Table1[[#This Row],[Model]],Table13[MFR &amp; MDL],Table13[Tolerance % CW ],"")/100*Table1[[#This Row],[Std Nom]]),"")</f>
        <v/>
      </c>
      <c r="Q1180" s="1" t="e">
        <f>Table1[[#This Row],[High Tol]]-Table1[[#This Row],[Low Tol]]</f>
        <v>#VALUE!</v>
      </c>
      <c r="R1180" s="1">
        <f>2*Table1[[#This Row],[Std Error]]</f>
        <v>0</v>
      </c>
      <c r="S1180" s="1" t="str">
        <f>IF(Table1[[#This Row],[High Tol]]="","N/A",IFERROR(ABS(Table1[[#This Row],[Tol Span]]/Table1[[#This Row],[Error Span]]),"N/A"))</f>
        <v>N/A</v>
      </c>
      <c r="T1180" s="1" t="str">
        <f>IF(OR(Table1[[#This Row],[Low Tol]]="",Table1[[#This Row],[High Tol]]=""),"Needs Analysis",IF(Table1[[#This Row],[Ratio]]&gt;=4,"Not Significant",IF(Table1[[#This Row],[Ratio]]&gt;=2,"Semi-Significant","Significant")))</f>
        <v>Needs Analysis</v>
      </c>
      <c r="W1180" s="1">
        <f>IF(Table1[[#This Row],[Cal Type]]&lt;&gt;"ACCREDITED 17025 WITH UNCERTAINTIES",0,"")</f>
        <v>0</v>
      </c>
      <c r="X1180" s="1" t="str">
        <f>IF(Table1[[#This Row],[DUT Read]]="","N/A",Table1[[#This Row],[Std Error]]+Table1[[#This Row],[DUT Read]]+Table1[[#This Row],[DUT Ucty]])</f>
        <v>N/A</v>
      </c>
      <c r="Y1180" s="1" t="str">
        <f>IF(Table1[[#This Row],[Std Read]]="","N/A",Table1[[#This Row],[Std Read]]+Table1[[#This Row],[Std Ucty]])</f>
        <v>N/A</v>
      </c>
      <c r="Z11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0" s="1" t="str">
        <f>IF(Table1[[#This Row],[Spec Type]]="","N/A",Table1[[#This Row],[Spec Type]])</f>
        <v>±</v>
      </c>
      <c r="AC1180" s="1" t="str">
        <f>IF(Table1[[#This Row],[Spec Type2]]="N/A","N/A",IF(AND(Table1[[#This Row],[DUT Adj Read]]&gt;=Table1[[#This Row],[Low Tol]],Table1[[#This Row],[DUT Adj Read]]&lt;=Table1[[#This Row],[High Tol]]),"Pass","Fail"))</f>
        <v>Fail</v>
      </c>
      <c r="AD1180" s="1" t="str">
        <f>IF(AND(Table1[[#This Row],[Spec Type2]]="N/A",Table1[[#This Row],[DUT Adj Read]]="N/A",Table1[[#This Row],[Std Adj Read]]="N/A"),"N/A",IF(Table1[[#This Row],[DUT Adj Read]]="N/A",IF(Table1[[#This Row],[Std Adj Read]]&gt;Table1[[#This Row],[Low Tol]],"Pass","Fail"),IF(Table1[[#This Row],[DUT Adj Read]]&gt;Table1[[#This Row],[Low Tol]],"Pass","Fail")))</f>
        <v>Pass</v>
      </c>
      <c r="AE1180" s="1" t="str">
        <f>IF(AND(Table1[[#This Row],[Spec Type2]]="N/A",Table1[[#This Row],[DUT Adj Read]]="N/A",Table1[[#This Row],[Std Adj Read]]="N/A"),"N/A",IF(Table1[[#This Row],[DUT Adj Read]]="N/A",IF(Table1[[#This Row],[Std Adj Read]]&lt;Table1[[#This Row],[High Tol]],"Pass","Fail"),IF(Table1[[#This Row],[DUT Adj Read]]&lt;Table1[[#This Row],[High Tol]],"Pass","Fail")))</f>
        <v>Fail</v>
      </c>
      <c r="AF1180" s="1" t="str">
        <f>IF(AND(Table1[[#This Row],[Spec Type2]]="N/A",Table1[[#This Row],[DUT Adj Read]]="N/A",Table1[[#This Row],[Std Adj Read]]="N/A"),"N/A",IF(Table1[[#This Row],[DUT Adj Read]]="N/A",IF(Table1[[#This Row],[Std Adj Read]]&gt;=Table1[[#This Row],[Low Tol]],"Pass","Fail"),IF(Table1[[#This Row],[DUT Adj Read]]&gt;=Table1[[#This Row],[Low Tol]],"Pass","Fail")))</f>
        <v>Pass</v>
      </c>
      <c r="AG1180" s="1" t="str">
        <f>IF(AND(Table1[[#This Row],[Spec Type2]]="N/A",Table1[[#This Row],[DUT Adj Read]]="N/A",Table1[[#This Row],[Std Adj Read]]="N/A"),"N/A",IF(Table1[[#This Row],[DUT Adj Read]]="N/A",IF(Table1[[#This Row],[Std Adj Read]]&lt;=Table1[[#This Row],[High Tol]],"Pass","Fail"),IF(Table1[[#This Row],[DUT Adj Read]]&lt;=Table1[[#This Row],[High Tol]],"Pass","Fail")))</f>
        <v>Fail</v>
      </c>
      <c r="AH11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0" s="1" t="b">
        <v>0</v>
      </c>
      <c r="AN1180" s="1" t="b">
        <v>0</v>
      </c>
      <c r="AO1180" s="1" t="b">
        <v>0</v>
      </c>
    </row>
    <row r="1181" spans="1:41" x14ac:dyDescent="0.25">
      <c r="A1181" s="10"/>
      <c r="B1181" s="10"/>
      <c r="C1181" s="10"/>
      <c r="D1181" s="10"/>
      <c r="E1181" s="10"/>
      <c r="F1181" s="10"/>
      <c r="G1181" s="10"/>
      <c r="H1181" s="10"/>
      <c r="I1181" s="1" t="str">
        <f t="shared" si="54"/>
        <v/>
      </c>
      <c r="J1181" s="1" t="s">
        <v>35</v>
      </c>
      <c r="K1181" s="1" t="str">
        <f t="shared" si="55"/>
        <v/>
      </c>
      <c r="L1181" s="1" t="str">
        <f t="shared" si="56"/>
        <v/>
      </c>
      <c r="M1181" s="1">
        <f>IF(OR(Table1[[#This Row],[Std Nom]]="",Table1[[#This Row],[Std Read]]=""),0,Table1[[#This Row],[Std Nom]]-Table1[[#This Row],[Std Read]])</f>
        <v>0</v>
      </c>
      <c r="N1181" s="1">
        <f>IF(Calculations!$F$5="ACCREDITED 17025 WITH UNCERTAINTIES",$N$10,0)</f>
        <v>0</v>
      </c>
      <c r="O1181" s="1" t="str">
        <f>IFERROR(Table1[[#This Row],[Std Nom]]-(_xlfn.XLOOKUP(Table1[[#This Row],[Manufacturer]]&amp;" "&amp;Table1[[#This Row],[Model]],Table13[MFR &amp; MDL],Table13[Tolerance % CW ],"")/100*Table1[[#This Row],[Std Nom]]),"")</f>
        <v/>
      </c>
      <c r="P1181" s="1" t="str">
        <f>IFERROR(Table1[[#This Row],[Std Nom]]+(_xlfn.XLOOKUP(Table1[[#This Row],[Manufacturer]]&amp;" "&amp;Table1[[#This Row],[Model]],Table13[MFR &amp; MDL],Table13[Tolerance % CW ],"")/100*Table1[[#This Row],[Std Nom]]),"")</f>
        <v/>
      </c>
      <c r="Q1181" s="1" t="e">
        <f>Table1[[#This Row],[High Tol]]-Table1[[#This Row],[Low Tol]]</f>
        <v>#VALUE!</v>
      </c>
      <c r="R1181" s="1">
        <f>2*Table1[[#This Row],[Std Error]]</f>
        <v>0</v>
      </c>
      <c r="S1181" s="1" t="str">
        <f>IF(Table1[[#This Row],[High Tol]]="","N/A",IFERROR(ABS(Table1[[#This Row],[Tol Span]]/Table1[[#This Row],[Error Span]]),"N/A"))</f>
        <v>N/A</v>
      </c>
      <c r="T1181" s="1" t="str">
        <f>IF(OR(Table1[[#This Row],[Low Tol]]="",Table1[[#This Row],[High Tol]]=""),"Needs Analysis",IF(Table1[[#This Row],[Ratio]]&gt;=4,"Not Significant",IF(Table1[[#This Row],[Ratio]]&gt;=2,"Semi-Significant","Significant")))</f>
        <v>Needs Analysis</v>
      </c>
      <c r="W1181" s="1">
        <f>IF(Table1[[#This Row],[Cal Type]]&lt;&gt;"ACCREDITED 17025 WITH UNCERTAINTIES",0,"")</f>
        <v>0</v>
      </c>
      <c r="X1181" s="1" t="str">
        <f>IF(Table1[[#This Row],[DUT Read]]="","N/A",Table1[[#This Row],[Std Error]]+Table1[[#This Row],[DUT Read]]+Table1[[#This Row],[DUT Ucty]])</f>
        <v>N/A</v>
      </c>
      <c r="Y1181" s="1" t="str">
        <f>IF(Table1[[#This Row],[Std Read]]="","N/A",Table1[[#This Row],[Std Read]]+Table1[[#This Row],[Std Ucty]])</f>
        <v>N/A</v>
      </c>
      <c r="Z11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1" s="1" t="str">
        <f>IF(Table1[[#This Row],[Spec Type]]="","N/A",Table1[[#This Row],[Spec Type]])</f>
        <v>±</v>
      </c>
      <c r="AC1181" s="1" t="str">
        <f>IF(Table1[[#This Row],[Spec Type2]]="N/A","N/A",IF(AND(Table1[[#This Row],[DUT Adj Read]]&gt;=Table1[[#This Row],[Low Tol]],Table1[[#This Row],[DUT Adj Read]]&lt;=Table1[[#This Row],[High Tol]]),"Pass","Fail"))</f>
        <v>Fail</v>
      </c>
      <c r="AD1181" s="1" t="str">
        <f>IF(AND(Table1[[#This Row],[Spec Type2]]="N/A",Table1[[#This Row],[DUT Adj Read]]="N/A",Table1[[#This Row],[Std Adj Read]]="N/A"),"N/A",IF(Table1[[#This Row],[DUT Adj Read]]="N/A",IF(Table1[[#This Row],[Std Adj Read]]&gt;Table1[[#This Row],[Low Tol]],"Pass","Fail"),IF(Table1[[#This Row],[DUT Adj Read]]&gt;Table1[[#This Row],[Low Tol]],"Pass","Fail")))</f>
        <v>Pass</v>
      </c>
      <c r="AE1181" s="1" t="str">
        <f>IF(AND(Table1[[#This Row],[Spec Type2]]="N/A",Table1[[#This Row],[DUT Adj Read]]="N/A",Table1[[#This Row],[Std Adj Read]]="N/A"),"N/A",IF(Table1[[#This Row],[DUT Adj Read]]="N/A",IF(Table1[[#This Row],[Std Adj Read]]&lt;Table1[[#This Row],[High Tol]],"Pass","Fail"),IF(Table1[[#This Row],[DUT Adj Read]]&lt;Table1[[#This Row],[High Tol]],"Pass","Fail")))</f>
        <v>Fail</v>
      </c>
      <c r="AF1181" s="1" t="str">
        <f>IF(AND(Table1[[#This Row],[Spec Type2]]="N/A",Table1[[#This Row],[DUT Adj Read]]="N/A",Table1[[#This Row],[Std Adj Read]]="N/A"),"N/A",IF(Table1[[#This Row],[DUT Adj Read]]="N/A",IF(Table1[[#This Row],[Std Adj Read]]&gt;=Table1[[#This Row],[Low Tol]],"Pass","Fail"),IF(Table1[[#This Row],[DUT Adj Read]]&gt;=Table1[[#This Row],[Low Tol]],"Pass","Fail")))</f>
        <v>Pass</v>
      </c>
      <c r="AG1181" s="1" t="str">
        <f>IF(AND(Table1[[#This Row],[Spec Type2]]="N/A",Table1[[#This Row],[DUT Adj Read]]="N/A",Table1[[#This Row],[Std Adj Read]]="N/A"),"N/A",IF(Table1[[#This Row],[DUT Adj Read]]="N/A",IF(Table1[[#This Row],[Std Adj Read]]&lt;=Table1[[#This Row],[High Tol]],"Pass","Fail"),IF(Table1[[#This Row],[DUT Adj Read]]&lt;=Table1[[#This Row],[High Tol]],"Pass","Fail")))</f>
        <v>Fail</v>
      </c>
      <c r="AH11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1" s="1" t="b">
        <v>0</v>
      </c>
      <c r="AN1181" s="1" t="b">
        <v>0</v>
      </c>
      <c r="AO1181" s="1" t="b">
        <v>0</v>
      </c>
    </row>
    <row r="1182" spans="1:41" x14ac:dyDescent="0.25">
      <c r="A1182" s="10"/>
      <c r="B1182" s="10"/>
      <c r="C1182" s="10"/>
      <c r="D1182" s="10"/>
      <c r="E1182" s="10"/>
      <c r="F1182" s="10"/>
      <c r="G1182" s="10"/>
      <c r="H1182" s="10"/>
      <c r="I1182" s="1" t="str">
        <f t="shared" si="54"/>
        <v/>
      </c>
      <c r="J1182" s="1" t="s">
        <v>35</v>
      </c>
      <c r="K1182" s="1" t="str">
        <f t="shared" si="55"/>
        <v/>
      </c>
      <c r="L1182" s="1" t="str">
        <f t="shared" si="56"/>
        <v/>
      </c>
      <c r="M1182" s="1">
        <f>IF(OR(Table1[[#This Row],[Std Nom]]="",Table1[[#This Row],[Std Read]]=""),0,Table1[[#This Row],[Std Nom]]-Table1[[#This Row],[Std Read]])</f>
        <v>0</v>
      </c>
      <c r="N1182" s="1">
        <f>IF(Calculations!$F$5="ACCREDITED 17025 WITH UNCERTAINTIES",$N$10,0)</f>
        <v>0</v>
      </c>
      <c r="O1182" s="1" t="str">
        <f>IFERROR(Table1[[#This Row],[Std Nom]]-(_xlfn.XLOOKUP(Table1[[#This Row],[Manufacturer]]&amp;" "&amp;Table1[[#This Row],[Model]],Table13[MFR &amp; MDL],Table13[Tolerance % CW ],"")/100*Table1[[#This Row],[Std Nom]]),"")</f>
        <v/>
      </c>
      <c r="P1182" s="1" t="str">
        <f>IFERROR(Table1[[#This Row],[Std Nom]]+(_xlfn.XLOOKUP(Table1[[#This Row],[Manufacturer]]&amp;" "&amp;Table1[[#This Row],[Model]],Table13[MFR &amp; MDL],Table13[Tolerance % CW ],"")/100*Table1[[#This Row],[Std Nom]]),"")</f>
        <v/>
      </c>
      <c r="Q1182" s="1" t="e">
        <f>Table1[[#This Row],[High Tol]]-Table1[[#This Row],[Low Tol]]</f>
        <v>#VALUE!</v>
      </c>
      <c r="R1182" s="1">
        <f>2*Table1[[#This Row],[Std Error]]</f>
        <v>0</v>
      </c>
      <c r="S1182" s="1" t="str">
        <f>IF(Table1[[#This Row],[High Tol]]="","N/A",IFERROR(ABS(Table1[[#This Row],[Tol Span]]/Table1[[#This Row],[Error Span]]),"N/A"))</f>
        <v>N/A</v>
      </c>
      <c r="T1182" s="1" t="str">
        <f>IF(OR(Table1[[#This Row],[Low Tol]]="",Table1[[#This Row],[High Tol]]=""),"Needs Analysis",IF(Table1[[#This Row],[Ratio]]&gt;=4,"Not Significant",IF(Table1[[#This Row],[Ratio]]&gt;=2,"Semi-Significant","Significant")))</f>
        <v>Needs Analysis</v>
      </c>
      <c r="W1182" s="1">
        <f>IF(Table1[[#This Row],[Cal Type]]&lt;&gt;"ACCREDITED 17025 WITH UNCERTAINTIES",0,"")</f>
        <v>0</v>
      </c>
      <c r="X1182" s="1" t="str">
        <f>IF(Table1[[#This Row],[DUT Read]]="","N/A",Table1[[#This Row],[Std Error]]+Table1[[#This Row],[DUT Read]]+Table1[[#This Row],[DUT Ucty]])</f>
        <v>N/A</v>
      </c>
      <c r="Y1182" s="1" t="str">
        <f>IF(Table1[[#This Row],[Std Read]]="","N/A",Table1[[#This Row],[Std Read]]+Table1[[#This Row],[Std Ucty]])</f>
        <v>N/A</v>
      </c>
      <c r="Z11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2" s="1" t="str">
        <f>IF(Table1[[#This Row],[Spec Type]]="","N/A",Table1[[#This Row],[Spec Type]])</f>
        <v>±</v>
      </c>
      <c r="AC1182" s="1" t="str">
        <f>IF(Table1[[#This Row],[Spec Type2]]="N/A","N/A",IF(AND(Table1[[#This Row],[DUT Adj Read]]&gt;=Table1[[#This Row],[Low Tol]],Table1[[#This Row],[DUT Adj Read]]&lt;=Table1[[#This Row],[High Tol]]),"Pass","Fail"))</f>
        <v>Fail</v>
      </c>
      <c r="AD1182" s="1" t="str">
        <f>IF(AND(Table1[[#This Row],[Spec Type2]]="N/A",Table1[[#This Row],[DUT Adj Read]]="N/A",Table1[[#This Row],[Std Adj Read]]="N/A"),"N/A",IF(Table1[[#This Row],[DUT Adj Read]]="N/A",IF(Table1[[#This Row],[Std Adj Read]]&gt;Table1[[#This Row],[Low Tol]],"Pass","Fail"),IF(Table1[[#This Row],[DUT Adj Read]]&gt;Table1[[#This Row],[Low Tol]],"Pass","Fail")))</f>
        <v>Pass</v>
      </c>
      <c r="AE1182" s="1" t="str">
        <f>IF(AND(Table1[[#This Row],[Spec Type2]]="N/A",Table1[[#This Row],[DUT Adj Read]]="N/A",Table1[[#This Row],[Std Adj Read]]="N/A"),"N/A",IF(Table1[[#This Row],[DUT Adj Read]]="N/A",IF(Table1[[#This Row],[Std Adj Read]]&lt;Table1[[#This Row],[High Tol]],"Pass","Fail"),IF(Table1[[#This Row],[DUT Adj Read]]&lt;Table1[[#This Row],[High Tol]],"Pass","Fail")))</f>
        <v>Fail</v>
      </c>
      <c r="AF1182" s="1" t="str">
        <f>IF(AND(Table1[[#This Row],[Spec Type2]]="N/A",Table1[[#This Row],[DUT Adj Read]]="N/A",Table1[[#This Row],[Std Adj Read]]="N/A"),"N/A",IF(Table1[[#This Row],[DUT Adj Read]]="N/A",IF(Table1[[#This Row],[Std Adj Read]]&gt;=Table1[[#This Row],[Low Tol]],"Pass","Fail"),IF(Table1[[#This Row],[DUT Adj Read]]&gt;=Table1[[#This Row],[Low Tol]],"Pass","Fail")))</f>
        <v>Pass</v>
      </c>
      <c r="AG1182" s="1" t="str">
        <f>IF(AND(Table1[[#This Row],[Spec Type2]]="N/A",Table1[[#This Row],[DUT Adj Read]]="N/A",Table1[[#This Row],[Std Adj Read]]="N/A"),"N/A",IF(Table1[[#This Row],[DUT Adj Read]]="N/A",IF(Table1[[#This Row],[Std Adj Read]]&lt;=Table1[[#This Row],[High Tol]],"Pass","Fail"),IF(Table1[[#This Row],[DUT Adj Read]]&lt;=Table1[[#This Row],[High Tol]],"Pass","Fail")))</f>
        <v>Fail</v>
      </c>
      <c r="AH11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2" s="1" t="b">
        <v>0</v>
      </c>
      <c r="AN1182" s="1" t="b">
        <v>0</v>
      </c>
      <c r="AO1182" s="1" t="b">
        <v>0</v>
      </c>
    </row>
    <row r="1183" spans="1:41" x14ac:dyDescent="0.25">
      <c r="A1183" s="10"/>
      <c r="B1183" s="10"/>
      <c r="C1183" s="10"/>
      <c r="D1183" s="10"/>
      <c r="E1183" s="10"/>
      <c r="F1183" s="10"/>
      <c r="G1183" s="10"/>
      <c r="H1183" s="10"/>
      <c r="I1183" s="1" t="str">
        <f t="shared" si="54"/>
        <v/>
      </c>
      <c r="J1183" s="1" t="s">
        <v>35</v>
      </c>
      <c r="K1183" s="1" t="str">
        <f t="shared" si="55"/>
        <v/>
      </c>
      <c r="L1183" s="1" t="str">
        <f t="shared" si="56"/>
        <v/>
      </c>
      <c r="M1183" s="1">
        <f>IF(OR(Table1[[#This Row],[Std Nom]]="",Table1[[#This Row],[Std Read]]=""),0,Table1[[#This Row],[Std Nom]]-Table1[[#This Row],[Std Read]])</f>
        <v>0</v>
      </c>
      <c r="N1183" s="1">
        <f>IF(Calculations!$F$5="ACCREDITED 17025 WITH UNCERTAINTIES",$N$10,0)</f>
        <v>0</v>
      </c>
      <c r="O1183" s="1" t="str">
        <f>IFERROR(Table1[[#This Row],[Std Nom]]-(_xlfn.XLOOKUP(Table1[[#This Row],[Manufacturer]]&amp;" "&amp;Table1[[#This Row],[Model]],Table13[MFR &amp; MDL],Table13[Tolerance % CW ],"")/100*Table1[[#This Row],[Std Nom]]),"")</f>
        <v/>
      </c>
      <c r="P1183" s="1" t="str">
        <f>IFERROR(Table1[[#This Row],[Std Nom]]+(_xlfn.XLOOKUP(Table1[[#This Row],[Manufacturer]]&amp;" "&amp;Table1[[#This Row],[Model]],Table13[MFR &amp; MDL],Table13[Tolerance % CW ],"")/100*Table1[[#This Row],[Std Nom]]),"")</f>
        <v/>
      </c>
      <c r="Q1183" s="1" t="e">
        <f>Table1[[#This Row],[High Tol]]-Table1[[#This Row],[Low Tol]]</f>
        <v>#VALUE!</v>
      </c>
      <c r="R1183" s="1">
        <f>2*Table1[[#This Row],[Std Error]]</f>
        <v>0</v>
      </c>
      <c r="S1183" s="1" t="str">
        <f>IF(Table1[[#This Row],[High Tol]]="","N/A",IFERROR(ABS(Table1[[#This Row],[Tol Span]]/Table1[[#This Row],[Error Span]]),"N/A"))</f>
        <v>N/A</v>
      </c>
      <c r="T1183" s="1" t="str">
        <f>IF(OR(Table1[[#This Row],[Low Tol]]="",Table1[[#This Row],[High Tol]]=""),"Needs Analysis",IF(Table1[[#This Row],[Ratio]]&gt;=4,"Not Significant",IF(Table1[[#This Row],[Ratio]]&gt;=2,"Semi-Significant","Significant")))</f>
        <v>Needs Analysis</v>
      </c>
      <c r="W1183" s="1">
        <f>IF(Table1[[#This Row],[Cal Type]]&lt;&gt;"ACCREDITED 17025 WITH UNCERTAINTIES",0,"")</f>
        <v>0</v>
      </c>
      <c r="X1183" s="1" t="str">
        <f>IF(Table1[[#This Row],[DUT Read]]="","N/A",Table1[[#This Row],[Std Error]]+Table1[[#This Row],[DUT Read]]+Table1[[#This Row],[DUT Ucty]])</f>
        <v>N/A</v>
      </c>
      <c r="Y1183" s="1" t="str">
        <f>IF(Table1[[#This Row],[Std Read]]="","N/A",Table1[[#This Row],[Std Read]]+Table1[[#This Row],[Std Ucty]])</f>
        <v>N/A</v>
      </c>
      <c r="Z11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3" s="1" t="str">
        <f>IF(Table1[[#This Row],[Spec Type]]="","N/A",Table1[[#This Row],[Spec Type]])</f>
        <v>±</v>
      </c>
      <c r="AC1183" s="1" t="str">
        <f>IF(Table1[[#This Row],[Spec Type2]]="N/A","N/A",IF(AND(Table1[[#This Row],[DUT Adj Read]]&gt;=Table1[[#This Row],[Low Tol]],Table1[[#This Row],[DUT Adj Read]]&lt;=Table1[[#This Row],[High Tol]]),"Pass","Fail"))</f>
        <v>Fail</v>
      </c>
      <c r="AD1183" s="1" t="str">
        <f>IF(AND(Table1[[#This Row],[Spec Type2]]="N/A",Table1[[#This Row],[DUT Adj Read]]="N/A",Table1[[#This Row],[Std Adj Read]]="N/A"),"N/A",IF(Table1[[#This Row],[DUT Adj Read]]="N/A",IF(Table1[[#This Row],[Std Adj Read]]&gt;Table1[[#This Row],[Low Tol]],"Pass","Fail"),IF(Table1[[#This Row],[DUT Adj Read]]&gt;Table1[[#This Row],[Low Tol]],"Pass","Fail")))</f>
        <v>Pass</v>
      </c>
      <c r="AE1183" s="1" t="str">
        <f>IF(AND(Table1[[#This Row],[Spec Type2]]="N/A",Table1[[#This Row],[DUT Adj Read]]="N/A",Table1[[#This Row],[Std Adj Read]]="N/A"),"N/A",IF(Table1[[#This Row],[DUT Adj Read]]="N/A",IF(Table1[[#This Row],[Std Adj Read]]&lt;Table1[[#This Row],[High Tol]],"Pass","Fail"),IF(Table1[[#This Row],[DUT Adj Read]]&lt;Table1[[#This Row],[High Tol]],"Pass","Fail")))</f>
        <v>Fail</v>
      </c>
      <c r="AF1183" s="1" t="str">
        <f>IF(AND(Table1[[#This Row],[Spec Type2]]="N/A",Table1[[#This Row],[DUT Adj Read]]="N/A",Table1[[#This Row],[Std Adj Read]]="N/A"),"N/A",IF(Table1[[#This Row],[DUT Adj Read]]="N/A",IF(Table1[[#This Row],[Std Adj Read]]&gt;=Table1[[#This Row],[Low Tol]],"Pass","Fail"),IF(Table1[[#This Row],[DUT Adj Read]]&gt;=Table1[[#This Row],[Low Tol]],"Pass","Fail")))</f>
        <v>Pass</v>
      </c>
      <c r="AG1183" s="1" t="str">
        <f>IF(AND(Table1[[#This Row],[Spec Type2]]="N/A",Table1[[#This Row],[DUT Adj Read]]="N/A",Table1[[#This Row],[Std Adj Read]]="N/A"),"N/A",IF(Table1[[#This Row],[DUT Adj Read]]="N/A",IF(Table1[[#This Row],[Std Adj Read]]&lt;=Table1[[#This Row],[High Tol]],"Pass","Fail"),IF(Table1[[#This Row],[DUT Adj Read]]&lt;=Table1[[#This Row],[High Tol]],"Pass","Fail")))</f>
        <v>Fail</v>
      </c>
      <c r="AH11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3" s="1" t="b">
        <v>0</v>
      </c>
      <c r="AN1183" s="1" t="b">
        <v>0</v>
      </c>
      <c r="AO1183" s="1" t="b">
        <v>0</v>
      </c>
    </row>
    <row r="1184" spans="1:41" x14ac:dyDescent="0.25">
      <c r="A1184" s="10"/>
      <c r="B1184" s="10"/>
      <c r="C1184" s="10"/>
      <c r="D1184" s="10"/>
      <c r="E1184" s="10"/>
      <c r="F1184" s="10"/>
      <c r="G1184" s="10"/>
      <c r="H1184" s="10"/>
      <c r="I1184" s="1" t="str">
        <f t="shared" si="54"/>
        <v/>
      </c>
      <c r="J1184" s="1" t="s">
        <v>35</v>
      </c>
      <c r="K1184" s="1" t="str">
        <f t="shared" si="55"/>
        <v/>
      </c>
      <c r="L1184" s="1" t="str">
        <f t="shared" si="56"/>
        <v/>
      </c>
      <c r="M1184" s="1">
        <f>IF(OR(Table1[[#This Row],[Std Nom]]="",Table1[[#This Row],[Std Read]]=""),0,Table1[[#This Row],[Std Nom]]-Table1[[#This Row],[Std Read]])</f>
        <v>0</v>
      </c>
      <c r="N1184" s="1">
        <f>IF(Calculations!$F$5="ACCREDITED 17025 WITH UNCERTAINTIES",$N$10,0)</f>
        <v>0</v>
      </c>
      <c r="O1184" s="1" t="str">
        <f>IFERROR(Table1[[#This Row],[Std Nom]]-(_xlfn.XLOOKUP(Table1[[#This Row],[Manufacturer]]&amp;" "&amp;Table1[[#This Row],[Model]],Table13[MFR &amp; MDL],Table13[Tolerance % CW ],"")/100*Table1[[#This Row],[Std Nom]]),"")</f>
        <v/>
      </c>
      <c r="P1184" s="1" t="str">
        <f>IFERROR(Table1[[#This Row],[Std Nom]]+(_xlfn.XLOOKUP(Table1[[#This Row],[Manufacturer]]&amp;" "&amp;Table1[[#This Row],[Model]],Table13[MFR &amp; MDL],Table13[Tolerance % CW ],"")/100*Table1[[#This Row],[Std Nom]]),"")</f>
        <v/>
      </c>
      <c r="Q1184" s="1" t="e">
        <f>Table1[[#This Row],[High Tol]]-Table1[[#This Row],[Low Tol]]</f>
        <v>#VALUE!</v>
      </c>
      <c r="R1184" s="1">
        <f>2*Table1[[#This Row],[Std Error]]</f>
        <v>0</v>
      </c>
      <c r="S1184" s="1" t="str">
        <f>IF(Table1[[#This Row],[High Tol]]="","N/A",IFERROR(ABS(Table1[[#This Row],[Tol Span]]/Table1[[#This Row],[Error Span]]),"N/A"))</f>
        <v>N/A</v>
      </c>
      <c r="T1184" s="1" t="str">
        <f>IF(OR(Table1[[#This Row],[Low Tol]]="",Table1[[#This Row],[High Tol]]=""),"Needs Analysis",IF(Table1[[#This Row],[Ratio]]&gt;=4,"Not Significant",IF(Table1[[#This Row],[Ratio]]&gt;=2,"Semi-Significant","Significant")))</f>
        <v>Needs Analysis</v>
      </c>
      <c r="W1184" s="1">
        <f>IF(Table1[[#This Row],[Cal Type]]&lt;&gt;"ACCREDITED 17025 WITH UNCERTAINTIES",0,"")</f>
        <v>0</v>
      </c>
      <c r="X1184" s="1" t="str">
        <f>IF(Table1[[#This Row],[DUT Read]]="","N/A",Table1[[#This Row],[Std Error]]+Table1[[#This Row],[DUT Read]]+Table1[[#This Row],[DUT Ucty]])</f>
        <v>N/A</v>
      </c>
      <c r="Y1184" s="1" t="str">
        <f>IF(Table1[[#This Row],[Std Read]]="","N/A",Table1[[#This Row],[Std Read]]+Table1[[#This Row],[Std Ucty]])</f>
        <v>N/A</v>
      </c>
      <c r="Z11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4" s="1" t="str">
        <f>IF(Table1[[#This Row],[Spec Type]]="","N/A",Table1[[#This Row],[Spec Type]])</f>
        <v>±</v>
      </c>
      <c r="AC1184" s="1" t="str">
        <f>IF(Table1[[#This Row],[Spec Type2]]="N/A","N/A",IF(AND(Table1[[#This Row],[DUT Adj Read]]&gt;=Table1[[#This Row],[Low Tol]],Table1[[#This Row],[DUT Adj Read]]&lt;=Table1[[#This Row],[High Tol]]),"Pass","Fail"))</f>
        <v>Fail</v>
      </c>
      <c r="AD1184" s="1" t="str">
        <f>IF(AND(Table1[[#This Row],[Spec Type2]]="N/A",Table1[[#This Row],[DUT Adj Read]]="N/A",Table1[[#This Row],[Std Adj Read]]="N/A"),"N/A",IF(Table1[[#This Row],[DUT Adj Read]]="N/A",IF(Table1[[#This Row],[Std Adj Read]]&gt;Table1[[#This Row],[Low Tol]],"Pass","Fail"),IF(Table1[[#This Row],[DUT Adj Read]]&gt;Table1[[#This Row],[Low Tol]],"Pass","Fail")))</f>
        <v>Pass</v>
      </c>
      <c r="AE1184" s="1" t="str">
        <f>IF(AND(Table1[[#This Row],[Spec Type2]]="N/A",Table1[[#This Row],[DUT Adj Read]]="N/A",Table1[[#This Row],[Std Adj Read]]="N/A"),"N/A",IF(Table1[[#This Row],[DUT Adj Read]]="N/A",IF(Table1[[#This Row],[Std Adj Read]]&lt;Table1[[#This Row],[High Tol]],"Pass","Fail"),IF(Table1[[#This Row],[DUT Adj Read]]&lt;Table1[[#This Row],[High Tol]],"Pass","Fail")))</f>
        <v>Fail</v>
      </c>
      <c r="AF1184" s="1" t="str">
        <f>IF(AND(Table1[[#This Row],[Spec Type2]]="N/A",Table1[[#This Row],[DUT Adj Read]]="N/A",Table1[[#This Row],[Std Adj Read]]="N/A"),"N/A",IF(Table1[[#This Row],[DUT Adj Read]]="N/A",IF(Table1[[#This Row],[Std Adj Read]]&gt;=Table1[[#This Row],[Low Tol]],"Pass","Fail"),IF(Table1[[#This Row],[DUT Adj Read]]&gt;=Table1[[#This Row],[Low Tol]],"Pass","Fail")))</f>
        <v>Pass</v>
      </c>
      <c r="AG1184" s="1" t="str">
        <f>IF(AND(Table1[[#This Row],[Spec Type2]]="N/A",Table1[[#This Row],[DUT Adj Read]]="N/A",Table1[[#This Row],[Std Adj Read]]="N/A"),"N/A",IF(Table1[[#This Row],[DUT Adj Read]]="N/A",IF(Table1[[#This Row],[Std Adj Read]]&lt;=Table1[[#This Row],[High Tol]],"Pass","Fail"),IF(Table1[[#This Row],[DUT Adj Read]]&lt;=Table1[[#This Row],[High Tol]],"Pass","Fail")))</f>
        <v>Fail</v>
      </c>
      <c r="AH11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4" s="1" t="b">
        <v>0</v>
      </c>
      <c r="AN1184" s="1" t="b">
        <v>0</v>
      </c>
      <c r="AO1184" s="1" t="b">
        <v>0</v>
      </c>
    </row>
    <row r="1185" spans="1:41" x14ac:dyDescent="0.25">
      <c r="A1185" s="10"/>
      <c r="B1185" s="10"/>
      <c r="C1185" s="10"/>
      <c r="D1185" s="10"/>
      <c r="E1185" s="10"/>
      <c r="F1185" s="10"/>
      <c r="G1185" s="10"/>
      <c r="H1185" s="10"/>
      <c r="I1185" s="1" t="str">
        <f t="shared" si="54"/>
        <v/>
      </c>
      <c r="J1185" s="1" t="s">
        <v>35</v>
      </c>
      <c r="K1185" s="1" t="str">
        <f t="shared" si="55"/>
        <v/>
      </c>
      <c r="L1185" s="1" t="str">
        <f t="shared" si="56"/>
        <v/>
      </c>
      <c r="M1185" s="1">
        <f>IF(OR(Table1[[#This Row],[Std Nom]]="",Table1[[#This Row],[Std Read]]=""),0,Table1[[#This Row],[Std Nom]]-Table1[[#This Row],[Std Read]])</f>
        <v>0</v>
      </c>
      <c r="N1185" s="1">
        <f>IF(Calculations!$F$5="ACCREDITED 17025 WITH UNCERTAINTIES",$N$10,0)</f>
        <v>0</v>
      </c>
      <c r="O1185" s="1" t="str">
        <f>IFERROR(Table1[[#This Row],[Std Nom]]-(_xlfn.XLOOKUP(Table1[[#This Row],[Manufacturer]]&amp;" "&amp;Table1[[#This Row],[Model]],Table13[MFR &amp; MDL],Table13[Tolerance % CW ],"")/100*Table1[[#This Row],[Std Nom]]),"")</f>
        <v/>
      </c>
      <c r="P1185" s="1" t="str">
        <f>IFERROR(Table1[[#This Row],[Std Nom]]+(_xlfn.XLOOKUP(Table1[[#This Row],[Manufacturer]]&amp;" "&amp;Table1[[#This Row],[Model]],Table13[MFR &amp; MDL],Table13[Tolerance % CW ],"")/100*Table1[[#This Row],[Std Nom]]),"")</f>
        <v/>
      </c>
      <c r="Q1185" s="1" t="e">
        <f>Table1[[#This Row],[High Tol]]-Table1[[#This Row],[Low Tol]]</f>
        <v>#VALUE!</v>
      </c>
      <c r="R1185" s="1">
        <f>2*Table1[[#This Row],[Std Error]]</f>
        <v>0</v>
      </c>
      <c r="S1185" s="1" t="str">
        <f>IF(Table1[[#This Row],[High Tol]]="","N/A",IFERROR(ABS(Table1[[#This Row],[Tol Span]]/Table1[[#This Row],[Error Span]]),"N/A"))</f>
        <v>N/A</v>
      </c>
      <c r="T1185" s="1" t="str">
        <f>IF(OR(Table1[[#This Row],[Low Tol]]="",Table1[[#This Row],[High Tol]]=""),"Needs Analysis",IF(Table1[[#This Row],[Ratio]]&gt;=4,"Not Significant",IF(Table1[[#This Row],[Ratio]]&gt;=2,"Semi-Significant","Significant")))</f>
        <v>Needs Analysis</v>
      </c>
      <c r="W1185" s="1">
        <f>IF(Table1[[#This Row],[Cal Type]]&lt;&gt;"ACCREDITED 17025 WITH UNCERTAINTIES",0,"")</f>
        <v>0</v>
      </c>
      <c r="X1185" s="1" t="str">
        <f>IF(Table1[[#This Row],[DUT Read]]="","N/A",Table1[[#This Row],[Std Error]]+Table1[[#This Row],[DUT Read]]+Table1[[#This Row],[DUT Ucty]])</f>
        <v>N/A</v>
      </c>
      <c r="Y1185" s="1" t="str">
        <f>IF(Table1[[#This Row],[Std Read]]="","N/A",Table1[[#This Row],[Std Read]]+Table1[[#This Row],[Std Ucty]])</f>
        <v>N/A</v>
      </c>
      <c r="Z11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5" s="1" t="str">
        <f>IF(Table1[[#This Row],[Spec Type]]="","N/A",Table1[[#This Row],[Spec Type]])</f>
        <v>±</v>
      </c>
      <c r="AC1185" s="1" t="str">
        <f>IF(Table1[[#This Row],[Spec Type2]]="N/A","N/A",IF(AND(Table1[[#This Row],[DUT Adj Read]]&gt;=Table1[[#This Row],[Low Tol]],Table1[[#This Row],[DUT Adj Read]]&lt;=Table1[[#This Row],[High Tol]]),"Pass","Fail"))</f>
        <v>Fail</v>
      </c>
      <c r="AD1185" s="1" t="str">
        <f>IF(AND(Table1[[#This Row],[Spec Type2]]="N/A",Table1[[#This Row],[DUT Adj Read]]="N/A",Table1[[#This Row],[Std Adj Read]]="N/A"),"N/A",IF(Table1[[#This Row],[DUT Adj Read]]="N/A",IF(Table1[[#This Row],[Std Adj Read]]&gt;Table1[[#This Row],[Low Tol]],"Pass","Fail"),IF(Table1[[#This Row],[DUT Adj Read]]&gt;Table1[[#This Row],[Low Tol]],"Pass","Fail")))</f>
        <v>Pass</v>
      </c>
      <c r="AE1185" s="1" t="str">
        <f>IF(AND(Table1[[#This Row],[Spec Type2]]="N/A",Table1[[#This Row],[DUT Adj Read]]="N/A",Table1[[#This Row],[Std Adj Read]]="N/A"),"N/A",IF(Table1[[#This Row],[DUT Adj Read]]="N/A",IF(Table1[[#This Row],[Std Adj Read]]&lt;Table1[[#This Row],[High Tol]],"Pass","Fail"),IF(Table1[[#This Row],[DUT Adj Read]]&lt;Table1[[#This Row],[High Tol]],"Pass","Fail")))</f>
        <v>Fail</v>
      </c>
      <c r="AF1185" s="1" t="str">
        <f>IF(AND(Table1[[#This Row],[Spec Type2]]="N/A",Table1[[#This Row],[DUT Adj Read]]="N/A",Table1[[#This Row],[Std Adj Read]]="N/A"),"N/A",IF(Table1[[#This Row],[DUT Adj Read]]="N/A",IF(Table1[[#This Row],[Std Adj Read]]&gt;=Table1[[#This Row],[Low Tol]],"Pass","Fail"),IF(Table1[[#This Row],[DUT Adj Read]]&gt;=Table1[[#This Row],[Low Tol]],"Pass","Fail")))</f>
        <v>Pass</v>
      </c>
      <c r="AG1185" s="1" t="str">
        <f>IF(AND(Table1[[#This Row],[Spec Type2]]="N/A",Table1[[#This Row],[DUT Adj Read]]="N/A",Table1[[#This Row],[Std Adj Read]]="N/A"),"N/A",IF(Table1[[#This Row],[DUT Adj Read]]="N/A",IF(Table1[[#This Row],[Std Adj Read]]&lt;=Table1[[#This Row],[High Tol]],"Pass","Fail"),IF(Table1[[#This Row],[DUT Adj Read]]&lt;=Table1[[#This Row],[High Tol]],"Pass","Fail")))</f>
        <v>Fail</v>
      </c>
      <c r="AH11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5" s="1" t="b">
        <v>0</v>
      </c>
      <c r="AN1185" s="1" t="b">
        <v>0</v>
      </c>
      <c r="AO1185" s="1" t="b">
        <v>0</v>
      </c>
    </row>
    <row r="1186" spans="1:41" x14ac:dyDescent="0.25">
      <c r="A1186" s="10"/>
      <c r="B1186" s="10"/>
      <c r="C1186" s="10"/>
      <c r="D1186" s="10"/>
      <c r="E1186" s="10"/>
      <c r="F1186" s="10"/>
      <c r="G1186" s="10"/>
      <c r="H1186" s="10"/>
      <c r="I1186" s="1" t="str">
        <f t="shared" si="54"/>
        <v/>
      </c>
      <c r="J1186" s="1" t="s">
        <v>35</v>
      </c>
      <c r="K1186" s="1" t="str">
        <f t="shared" si="55"/>
        <v/>
      </c>
      <c r="L1186" s="1" t="str">
        <f t="shared" si="56"/>
        <v/>
      </c>
      <c r="M1186" s="1">
        <f>IF(OR(Table1[[#This Row],[Std Nom]]="",Table1[[#This Row],[Std Read]]=""),0,Table1[[#This Row],[Std Nom]]-Table1[[#This Row],[Std Read]])</f>
        <v>0</v>
      </c>
      <c r="N1186" s="1">
        <f>IF(Calculations!$F$5="ACCREDITED 17025 WITH UNCERTAINTIES",$N$10,0)</f>
        <v>0</v>
      </c>
      <c r="O1186" s="1" t="str">
        <f>IFERROR(Table1[[#This Row],[Std Nom]]-(_xlfn.XLOOKUP(Table1[[#This Row],[Manufacturer]]&amp;" "&amp;Table1[[#This Row],[Model]],Table13[MFR &amp; MDL],Table13[Tolerance % CW ],"")/100*Table1[[#This Row],[Std Nom]]),"")</f>
        <v/>
      </c>
      <c r="P1186" s="1" t="str">
        <f>IFERROR(Table1[[#This Row],[Std Nom]]+(_xlfn.XLOOKUP(Table1[[#This Row],[Manufacturer]]&amp;" "&amp;Table1[[#This Row],[Model]],Table13[MFR &amp; MDL],Table13[Tolerance % CW ],"")/100*Table1[[#This Row],[Std Nom]]),"")</f>
        <v/>
      </c>
      <c r="Q1186" s="1" t="e">
        <f>Table1[[#This Row],[High Tol]]-Table1[[#This Row],[Low Tol]]</f>
        <v>#VALUE!</v>
      </c>
      <c r="R1186" s="1">
        <f>2*Table1[[#This Row],[Std Error]]</f>
        <v>0</v>
      </c>
      <c r="S1186" s="1" t="str">
        <f>IF(Table1[[#This Row],[High Tol]]="","N/A",IFERROR(ABS(Table1[[#This Row],[Tol Span]]/Table1[[#This Row],[Error Span]]),"N/A"))</f>
        <v>N/A</v>
      </c>
      <c r="T1186" s="1" t="str">
        <f>IF(OR(Table1[[#This Row],[Low Tol]]="",Table1[[#This Row],[High Tol]]=""),"Needs Analysis",IF(Table1[[#This Row],[Ratio]]&gt;=4,"Not Significant",IF(Table1[[#This Row],[Ratio]]&gt;=2,"Semi-Significant","Significant")))</f>
        <v>Needs Analysis</v>
      </c>
      <c r="W1186" s="1">
        <f>IF(Table1[[#This Row],[Cal Type]]&lt;&gt;"ACCREDITED 17025 WITH UNCERTAINTIES",0,"")</f>
        <v>0</v>
      </c>
      <c r="X1186" s="1" t="str">
        <f>IF(Table1[[#This Row],[DUT Read]]="","N/A",Table1[[#This Row],[Std Error]]+Table1[[#This Row],[DUT Read]]+Table1[[#This Row],[DUT Ucty]])</f>
        <v>N/A</v>
      </c>
      <c r="Y1186" s="1" t="str">
        <f>IF(Table1[[#This Row],[Std Read]]="","N/A",Table1[[#This Row],[Std Read]]+Table1[[#This Row],[Std Ucty]])</f>
        <v>N/A</v>
      </c>
      <c r="Z11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6" s="1" t="str">
        <f>IF(Table1[[#This Row],[Spec Type]]="","N/A",Table1[[#This Row],[Spec Type]])</f>
        <v>±</v>
      </c>
      <c r="AC1186" s="1" t="str">
        <f>IF(Table1[[#This Row],[Spec Type2]]="N/A","N/A",IF(AND(Table1[[#This Row],[DUT Adj Read]]&gt;=Table1[[#This Row],[Low Tol]],Table1[[#This Row],[DUT Adj Read]]&lt;=Table1[[#This Row],[High Tol]]),"Pass","Fail"))</f>
        <v>Fail</v>
      </c>
      <c r="AD1186" s="1" t="str">
        <f>IF(AND(Table1[[#This Row],[Spec Type2]]="N/A",Table1[[#This Row],[DUT Adj Read]]="N/A",Table1[[#This Row],[Std Adj Read]]="N/A"),"N/A",IF(Table1[[#This Row],[DUT Adj Read]]="N/A",IF(Table1[[#This Row],[Std Adj Read]]&gt;Table1[[#This Row],[Low Tol]],"Pass","Fail"),IF(Table1[[#This Row],[DUT Adj Read]]&gt;Table1[[#This Row],[Low Tol]],"Pass","Fail")))</f>
        <v>Pass</v>
      </c>
      <c r="AE1186" s="1" t="str">
        <f>IF(AND(Table1[[#This Row],[Spec Type2]]="N/A",Table1[[#This Row],[DUT Adj Read]]="N/A",Table1[[#This Row],[Std Adj Read]]="N/A"),"N/A",IF(Table1[[#This Row],[DUT Adj Read]]="N/A",IF(Table1[[#This Row],[Std Adj Read]]&lt;Table1[[#This Row],[High Tol]],"Pass","Fail"),IF(Table1[[#This Row],[DUT Adj Read]]&lt;Table1[[#This Row],[High Tol]],"Pass","Fail")))</f>
        <v>Fail</v>
      </c>
      <c r="AF1186" s="1" t="str">
        <f>IF(AND(Table1[[#This Row],[Spec Type2]]="N/A",Table1[[#This Row],[DUT Adj Read]]="N/A",Table1[[#This Row],[Std Adj Read]]="N/A"),"N/A",IF(Table1[[#This Row],[DUT Adj Read]]="N/A",IF(Table1[[#This Row],[Std Adj Read]]&gt;=Table1[[#This Row],[Low Tol]],"Pass","Fail"),IF(Table1[[#This Row],[DUT Adj Read]]&gt;=Table1[[#This Row],[Low Tol]],"Pass","Fail")))</f>
        <v>Pass</v>
      </c>
      <c r="AG1186" s="1" t="str">
        <f>IF(AND(Table1[[#This Row],[Spec Type2]]="N/A",Table1[[#This Row],[DUT Adj Read]]="N/A",Table1[[#This Row],[Std Adj Read]]="N/A"),"N/A",IF(Table1[[#This Row],[DUT Adj Read]]="N/A",IF(Table1[[#This Row],[Std Adj Read]]&lt;=Table1[[#This Row],[High Tol]],"Pass","Fail"),IF(Table1[[#This Row],[DUT Adj Read]]&lt;=Table1[[#This Row],[High Tol]],"Pass","Fail")))</f>
        <v>Fail</v>
      </c>
      <c r="AH11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6" s="1" t="b">
        <v>0</v>
      </c>
      <c r="AN1186" s="1" t="b">
        <v>0</v>
      </c>
      <c r="AO1186" s="1" t="b">
        <v>0</v>
      </c>
    </row>
    <row r="1187" spans="1:41" x14ac:dyDescent="0.25">
      <c r="A1187" s="10"/>
      <c r="B1187" s="10"/>
      <c r="C1187" s="10"/>
      <c r="D1187" s="10"/>
      <c r="E1187" s="10"/>
      <c r="F1187" s="10"/>
      <c r="G1187" s="10"/>
      <c r="H1187" s="10"/>
      <c r="I1187" s="1" t="str">
        <f t="shared" si="54"/>
        <v/>
      </c>
      <c r="J1187" s="1" t="s">
        <v>35</v>
      </c>
      <c r="K1187" s="1" t="str">
        <f t="shared" si="55"/>
        <v/>
      </c>
      <c r="L1187" s="1" t="str">
        <f t="shared" si="56"/>
        <v/>
      </c>
      <c r="M1187" s="1">
        <f>IF(OR(Table1[[#This Row],[Std Nom]]="",Table1[[#This Row],[Std Read]]=""),0,Table1[[#This Row],[Std Nom]]-Table1[[#This Row],[Std Read]])</f>
        <v>0</v>
      </c>
      <c r="N1187" s="1">
        <f>IF(Calculations!$F$5="ACCREDITED 17025 WITH UNCERTAINTIES",$N$10,0)</f>
        <v>0</v>
      </c>
      <c r="O1187" s="1" t="str">
        <f>IFERROR(Table1[[#This Row],[Std Nom]]-(_xlfn.XLOOKUP(Table1[[#This Row],[Manufacturer]]&amp;" "&amp;Table1[[#This Row],[Model]],Table13[MFR &amp; MDL],Table13[Tolerance % CW ],"")/100*Table1[[#This Row],[Std Nom]]),"")</f>
        <v/>
      </c>
      <c r="P1187" s="1" t="str">
        <f>IFERROR(Table1[[#This Row],[Std Nom]]+(_xlfn.XLOOKUP(Table1[[#This Row],[Manufacturer]]&amp;" "&amp;Table1[[#This Row],[Model]],Table13[MFR &amp; MDL],Table13[Tolerance % CW ],"")/100*Table1[[#This Row],[Std Nom]]),"")</f>
        <v/>
      </c>
      <c r="Q1187" s="1" t="e">
        <f>Table1[[#This Row],[High Tol]]-Table1[[#This Row],[Low Tol]]</f>
        <v>#VALUE!</v>
      </c>
      <c r="R1187" s="1">
        <f>2*Table1[[#This Row],[Std Error]]</f>
        <v>0</v>
      </c>
      <c r="S1187" s="1" t="str">
        <f>IF(Table1[[#This Row],[High Tol]]="","N/A",IFERROR(ABS(Table1[[#This Row],[Tol Span]]/Table1[[#This Row],[Error Span]]),"N/A"))</f>
        <v>N/A</v>
      </c>
      <c r="T1187" s="1" t="str">
        <f>IF(OR(Table1[[#This Row],[Low Tol]]="",Table1[[#This Row],[High Tol]]=""),"Needs Analysis",IF(Table1[[#This Row],[Ratio]]&gt;=4,"Not Significant",IF(Table1[[#This Row],[Ratio]]&gt;=2,"Semi-Significant","Significant")))</f>
        <v>Needs Analysis</v>
      </c>
      <c r="W1187" s="1">
        <f>IF(Table1[[#This Row],[Cal Type]]&lt;&gt;"ACCREDITED 17025 WITH UNCERTAINTIES",0,"")</f>
        <v>0</v>
      </c>
      <c r="X1187" s="1" t="str">
        <f>IF(Table1[[#This Row],[DUT Read]]="","N/A",Table1[[#This Row],[Std Error]]+Table1[[#This Row],[DUT Read]]+Table1[[#This Row],[DUT Ucty]])</f>
        <v>N/A</v>
      </c>
      <c r="Y1187" s="1" t="str">
        <f>IF(Table1[[#This Row],[Std Read]]="","N/A",Table1[[#This Row],[Std Read]]+Table1[[#This Row],[Std Ucty]])</f>
        <v>N/A</v>
      </c>
      <c r="Z11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7" s="1" t="str">
        <f>IF(Table1[[#This Row],[Spec Type]]="","N/A",Table1[[#This Row],[Spec Type]])</f>
        <v>±</v>
      </c>
      <c r="AC1187" s="1" t="str">
        <f>IF(Table1[[#This Row],[Spec Type2]]="N/A","N/A",IF(AND(Table1[[#This Row],[DUT Adj Read]]&gt;=Table1[[#This Row],[Low Tol]],Table1[[#This Row],[DUT Adj Read]]&lt;=Table1[[#This Row],[High Tol]]),"Pass","Fail"))</f>
        <v>Fail</v>
      </c>
      <c r="AD1187" s="1" t="str">
        <f>IF(AND(Table1[[#This Row],[Spec Type2]]="N/A",Table1[[#This Row],[DUT Adj Read]]="N/A",Table1[[#This Row],[Std Adj Read]]="N/A"),"N/A",IF(Table1[[#This Row],[DUT Adj Read]]="N/A",IF(Table1[[#This Row],[Std Adj Read]]&gt;Table1[[#This Row],[Low Tol]],"Pass","Fail"),IF(Table1[[#This Row],[DUT Adj Read]]&gt;Table1[[#This Row],[Low Tol]],"Pass","Fail")))</f>
        <v>Pass</v>
      </c>
      <c r="AE1187" s="1" t="str">
        <f>IF(AND(Table1[[#This Row],[Spec Type2]]="N/A",Table1[[#This Row],[DUT Adj Read]]="N/A",Table1[[#This Row],[Std Adj Read]]="N/A"),"N/A",IF(Table1[[#This Row],[DUT Adj Read]]="N/A",IF(Table1[[#This Row],[Std Adj Read]]&lt;Table1[[#This Row],[High Tol]],"Pass","Fail"),IF(Table1[[#This Row],[DUT Adj Read]]&lt;Table1[[#This Row],[High Tol]],"Pass","Fail")))</f>
        <v>Fail</v>
      </c>
      <c r="AF1187" s="1" t="str">
        <f>IF(AND(Table1[[#This Row],[Spec Type2]]="N/A",Table1[[#This Row],[DUT Adj Read]]="N/A",Table1[[#This Row],[Std Adj Read]]="N/A"),"N/A",IF(Table1[[#This Row],[DUT Adj Read]]="N/A",IF(Table1[[#This Row],[Std Adj Read]]&gt;=Table1[[#This Row],[Low Tol]],"Pass","Fail"),IF(Table1[[#This Row],[DUT Adj Read]]&gt;=Table1[[#This Row],[Low Tol]],"Pass","Fail")))</f>
        <v>Pass</v>
      </c>
      <c r="AG1187" s="1" t="str">
        <f>IF(AND(Table1[[#This Row],[Spec Type2]]="N/A",Table1[[#This Row],[DUT Adj Read]]="N/A",Table1[[#This Row],[Std Adj Read]]="N/A"),"N/A",IF(Table1[[#This Row],[DUT Adj Read]]="N/A",IF(Table1[[#This Row],[Std Adj Read]]&lt;=Table1[[#This Row],[High Tol]],"Pass","Fail"),IF(Table1[[#This Row],[DUT Adj Read]]&lt;=Table1[[#This Row],[High Tol]],"Pass","Fail")))</f>
        <v>Fail</v>
      </c>
      <c r="AH11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7" s="1" t="b">
        <v>0</v>
      </c>
      <c r="AN1187" s="1" t="b">
        <v>0</v>
      </c>
      <c r="AO1187" s="1" t="b">
        <v>0</v>
      </c>
    </row>
    <row r="1188" spans="1:41" x14ac:dyDescent="0.25">
      <c r="A1188" s="10"/>
      <c r="B1188" s="10"/>
      <c r="C1188" s="10"/>
      <c r="D1188" s="10"/>
      <c r="E1188" s="10"/>
      <c r="F1188" s="10"/>
      <c r="G1188" s="10"/>
      <c r="H1188" s="10"/>
      <c r="I1188" s="1" t="str">
        <f t="shared" si="54"/>
        <v/>
      </c>
      <c r="J1188" s="1" t="s">
        <v>35</v>
      </c>
      <c r="K1188" s="1" t="str">
        <f t="shared" si="55"/>
        <v/>
      </c>
      <c r="L1188" s="1" t="str">
        <f t="shared" si="56"/>
        <v/>
      </c>
      <c r="M1188" s="1">
        <f>IF(OR(Table1[[#This Row],[Std Nom]]="",Table1[[#This Row],[Std Read]]=""),0,Table1[[#This Row],[Std Nom]]-Table1[[#This Row],[Std Read]])</f>
        <v>0</v>
      </c>
      <c r="N1188" s="1">
        <f>IF(Calculations!$F$5="ACCREDITED 17025 WITH UNCERTAINTIES",$N$10,0)</f>
        <v>0</v>
      </c>
      <c r="O1188" s="1" t="str">
        <f>IFERROR(Table1[[#This Row],[Std Nom]]-(_xlfn.XLOOKUP(Table1[[#This Row],[Manufacturer]]&amp;" "&amp;Table1[[#This Row],[Model]],Table13[MFR &amp; MDL],Table13[Tolerance % CW ],"")/100*Table1[[#This Row],[Std Nom]]),"")</f>
        <v/>
      </c>
      <c r="P1188" s="1" t="str">
        <f>IFERROR(Table1[[#This Row],[Std Nom]]+(_xlfn.XLOOKUP(Table1[[#This Row],[Manufacturer]]&amp;" "&amp;Table1[[#This Row],[Model]],Table13[MFR &amp; MDL],Table13[Tolerance % CW ],"")/100*Table1[[#This Row],[Std Nom]]),"")</f>
        <v/>
      </c>
      <c r="Q1188" s="1" t="e">
        <f>Table1[[#This Row],[High Tol]]-Table1[[#This Row],[Low Tol]]</f>
        <v>#VALUE!</v>
      </c>
      <c r="R1188" s="1">
        <f>2*Table1[[#This Row],[Std Error]]</f>
        <v>0</v>
      </c>
      <c r="S1188" s="1" t="str">
        <f>IF(Table1[[#This Row],[High Tol]]="","N/A",IFERROR(ABS(Table1[[#This Row],[Tol Span]]/Table1[[#This Row],[Error Span]]),"N/A"))</f>
        <v>N/A</v>
      </c>
      <c r="T1188" s="1" t="str">
        <f>IF(OR(Table1[[#This Row],[Low Tol]]="",Table1[[#This Row],[High Tol]]=""),"Needs Analysis",IF(Table1[[#This Row],[Ratio]]&gt;=4,"Not Significant",IF(Table1[[#This Row],[Ratio]]&gt;=2,"Semi-Significant","Significant")))</f>
        <v>Needs Analysis</v>
      </c>
      <c r="W1188" s="1">
        <f>IF(Table1[[#This Row],[Cal Type]]&lt;&gt;"ACCREDITED 17025 WITH UNCERTAINTIES",0,"")</f>
        <v>0</v>
      </c>
      <c r="X1188" s="1" t="str">
        <f>IF(Table1[[#This Row],[DUT Read]]="","N/A",Table1[[#This Row],[Std Error]]+Table1[[#This Row],[DUT Read]]+Table1[[#This Row],[DUT Ucty]])</f>
        <v>N/A</v>
      </c>
      <c r="Y1188" s="1" t="str">
        <f>IF(Table1[[#This Row],[Std Read]]="","N/A",Table1[[#This Row],[Std Read]]+Table1[[#This Row],[Std Ucty]])</f>
        <v>N/A</v>
      </c>
      <c r="Z11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8" s="1" t="str">
        <f>IF(Table1[[#This Row],[Spec Type]]="","N/A",Table1[[#This Row],[Spec Type]])</f>
        <v>±</v>
      </c>
      <c r="AC1188" s="1" t="str">
        <f>IF(Table1[[#This Row],[Spec Type2]]="N/A","N/A",IF(AND(Table1[[#This Row],[DUT Adj Read]]&gt;=Table1[[#This Row],[Low Tol]],Table1[[#This Row],[DUT Adj Read]]&lt;=Table1[[#This Row],[High Tol]]),"Pass","Fail"))</f>
        <v>Fail</v>
      </c>
      <c r="AD1188" s="1" t="str">
        <f>IF(AND(Table1[[#This Row],[Spec Type2]]="N/A",Table1[[#This Row],[DUT Adj Read]]="N/A",Table1[[#This Row],[Std Adj Read]]="N/A"),"N/A",IF(Table1[[#This Row],[DUT Adj Read]]="N/A",IF(Table1[[#This Row],[Std Adj Read]]&gt;Table1[[#This Row],[Low Tol]],"Pass","Fail"),IF(Table1[[#This Row],[DUT Adj Read]]&gt;Table1[[#This Row],[Low Tol]],"Pass","Fail")))</f>
        <v>Pass</v>
      </c>
      <c r="AE1188" s="1" t="str">
        <f>IF(AND(Table1[[#This Row],[Spec Type2]]="N/A",Table1[[#This Row],[DUT Adj Read]]="N/A",Table1[[#This Row],[Std Adj Read]]="N/A"),"N/A",IF(Table1[[#This Row],[DUT Adj Read]]="N/A",IF(Table1[[#This Row],[Std Adj Read]]&lt;Table1[[#This Row],[High Tol]],"Pass","Fail"),IF(Table1[[#This Row],[DUT Adj Read]]&lt;Table1[[#This Row],[High Tol]],"Pass","Fail")))</f>
        <v>Fail</v>
      </c>
      <c r="AF1188" s="1" t="str">
        <f>IF(AND(Table1[[#This Row],[Spec Type2]]="N/A",Table1[[#This Row],[DUT Adj Read]]="N/A",Table1[[#This Row],[Std Adj Read]]="N/A"),"N/A",IF(Table1[[#This Row],[DUT Adj Read]]="N/A",IF(Table1[[#This Row],[Std Adj Read]]&gt;=Table1[[#This Row],[Low Tol]],"Pass","Fail"),IF(Table1[[#This Row],[DUT Adj Read]]&gt;=Table1[[#This Row],[Low Tol]],"Pass","Fail")))</f>
        <v>Pass</v>
      </c>
      <c r="AG1188" s="1" t="str">
        <f>IF(AND(Table1[[#This Row],[Spec Type2]]="N/A",Table1[[#This Row],[DUT Adj Read]]="N/A",Table1[[#This Row],[Std Adj Read]]="N/A"),"N/A",IF(Table1[[#This Row],[DUT Adj Read]]="N/A",IF(Table1[[#This Row],[Std Adj Read]]&lt;=Table1[[#This Row],[High Tol]],"Pass","Fail"),IF(Table1[[#This Row],[DUT Adj Read]]&lt;=Table1[[#This Row],[High Tol]],"Pass","Fail")))</f>
        <v>Fail</v>
      </c>
      <c r="AH11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8" s="1" t="b">
        <v>0</v>
      </c>
      <c r="AN1188" s="1" t="b">
        <v>0</v>
      </c>
      <c r="AO1188" s="1" t="b">
        <v>0</v>
      </c>
    </row>
    <row r="1189" spans="1:41" x14ac:dyDescent="0.25">
      <c r="A1189" s="10"/>
      <c r="B1189" s="10"/>
      <c r="C1189" s="10"/>
      <c r="D1189" s="10"/>
      <c r="E1189" s="10"/>
      <c r="F1189" s="10"/>
      <c r="G1189" s="10"/>
      <c r="H1189" s="10"/>
      <c r="I1189" s="1" t="str">
        <f t="shared" si="54"/>
        <v/>
      </c>
      <c r="J1189" s="1" t="s">
        <v>35</v>
      </c>
      <c r="K1189" s="1" t="str">
        <f t="shared" si="55"/>
        <v/>
      </c>
      <c r="L1189" s="1" t="str">
        <f t="shared" si="56"/>
        <v/>
      </c>
      <c r="M1189" s="1">
        <f>IF(OR(Table1[[#This Row],[Std Nom]]="",Table1[[#This Row],[Std Read]]=""),0,Table1[[#This Row],[Std Nom]]-Table1[[#This Row],[Std Read]])</f>
        <v>0</v>
      </c>
      <c r="N1189" s="1">
        <f>IF(Calculations!$F$5="ACCREDITED 17025 WITH UNCERTAINTIES",$N$10,0)</f>
        <v>0</v>
      </c>
      <c r="O1189" s="1" t="str">
        <f>IFERROR(Table1[[#This Row],[Std Nom]]-(_xlfn.XLOOKUP(Table1[[#This Row],[Manufacturer]]&amp;" "&amp;Table1[[#This Row],[Model]],Table13[MFR &amp; MDL],Table13[Tolerance % CW ],"")/100*Table1[[#This Row],[Std Nom]]),"")</f>
        <v/>
      </c>
      <c r="P1189" s="1" t="str">
        <f>IFERROR(Table1[[#This Row],[Std Nom]]+(_xlfn.XLOOKUP(Table1[[#This Row],[Manufacturer]]&amp;" "&amp;Table1[[#This Row],[Model]],Table13[MFR &amp; MDL],Table13[Tolerance % CW ],"")/100*Table1[[#This Row],[Std Nom]]),"")</f>
        <v/>
      </c>
      <c r="Q1189" s="1" t="e">
        <f>Table1[[#This Row],[High Tol]]-Table1[[#This Row],[Low Tol]]</f>
        <v>#VALUE!</v>
      </c>
      <c r="R1189" s="1">
        <f>2*Table1[[#This Row],[Std Error]]</f>
        <v>0</v>
      </c>
      <c r="S1189" s="1" t="str">
        <f>IF(Table1[[#This Row],[High Tol]]="","N/A",IFERROR(ABS(Table1[[#This Row],[Tol Span]]/Table1[[#This Row],[Error Span]]),"N/A"))</f>
        <v>N/A</v>
      </c>
      <c r="T1189" s="1" t="str">
        <f>IF(OR(Table1[[#This Row],[Low Tol]]="",Table1[[#This Row],[High Tol]]=""),"Needs Analysis",IF(Table1[[#This Row],[Ratio]]&gt;=4,"Not Significant",IF(Table1[[#This Row],[Ratio]]&gt;=2,"Semi-Significant","Significant")))</f>
        <v>Needs Analysis</v>
      </c>
      <c r="W1189" s="1">
        <f>IF(Table1[[#This Row],[Cal Type]]&lt;&gt;"ACCREDITED 17025 WITH UNCERTAINTIES",0,"")</f>
        <v>0</v>
      </c>
      <c r="X1189" s="1" t="str">
        <f>IF(Table1[[#This Row],[DUT Read]]="","N/A",Table1[[#This Row],[Std Error]]+Table1[[#This Row],[DUT Read]]+Table1[[#This Row],[DUT Ucty]])</f>
        <v>N/A</v>
      </c>
      <c r="Y1189" s="1" t="str">
        <f>IF(Table1[[#This Row],[Std Read]]="","N/A",Table1[[#This Row],[Std Read]]+Table1[[#This Row],[Std Ucty]])</f>
        <v>N/A</v>
      </c>
      <c r="Z11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9" s="1" t="str">
        <f>IF(Table1[[#This Row],[Spec Type]]="","N/A",Table1[[#This Row],[Spec Type]])</f>
        <v>±</v>
      </c>
      <c r="AC1189" s="1" t="str">
        <f>IF(Table1[[#This Row],[Spec Type2]]="N/A","N/A",IF(AND(Table1[[#This Row],[DUT Adj Read]]&gt;=Table1[[#This Row],[Low Tol]],Table1[[#This Row],[DUT Adj Read]]&lt;=Table1[[#This Row],[High Tol]]),"Pass","Fail"))</f>
        <v>Fail</v>
      </c>
      <c r="AD1189" s="1" t="str">
        <f>IF(AND(Table1[[#This Row],[Spec Type2]]="N/A",Table1[[#This Row],[DUT Adj Read]]="N/A",Table1[[#This Row],[Std Adj Read]]="N/A"),"N/A",IF(Table1[[#This Row],[DUT Adj Read]]="N/A",IF(Table1[[#This Row],[Std Adj Read]]&gt;Table1[[#This Row],[Low Tol]],"Pass","Fail"),IF(Table1[[#This Row],[DUT Adj Read]]&gt;Table1[[#This Row],[Low Tol]],"Pass","Fail")))</f>
        <v>Pass</v>
      </c>
      <c r="AE1189" s="1" t="str">
        <f>IF(AND(Table1[[#This Row],[Spec Type2]]="N/A",Table1[[#This Row],[DUT Adj Read]]="N/A",Table1[[#This Row],[Std Adj Read]]="N/A"),"N/A",IF(Table1[[#This Row],[DUT Adj Read]]="N/A",IF(Table1[[#This Row],[Std Adj Read]]&lt;Table1[[#This Row],[High Tol]],"Pass","Fail"),IF(Table1[[#This Row],[DUT Adj Read]]&lt;Table1[[#This Row],[High Tol]],"Pass","Fail")))</f>
        <v>Fail</v>
      </c>
      <c r="AF1189" s="1" t="str">
        <f>IF(AND(Table1[[#This Row],[Spec Type2]]="N/A",Table1[[#This Row],[DUT Adj Read]]="N/A",Table1[[#This Row],[Std Adj Read]]="N/A"),"N/A",IF(Table1[[#This Row],[DUT Adj Read]]="N/A",IF(Table1[[#This Row],[Std Adj Read]]&gt;=Table1[[#This Row],[Low Tol]],"Pass","Fail"),IF(Table1[[#This Row],[DUT Adj Read]]&gt;=Table1[[#This Row],[Low Tol]],"Pass","Fail")))</f>
        <v>Pass</v>
      </c>
      <c r="AG1189" s="1" t="str">
        <f>IF(AND(Table1[[#This Row],[Spec Type2]]="N/A",Table1[[#This Row],[DUT Adj Read]]="N/A",Table1[[#This Row],[Std Adj Read]]="N/A"),"N/A",IF(Table1[[#This Row],[DUT Adj Read]]="N/A",IF(Table1[[#This Row],[Std Adj Read]]&lt;=Table1[[#This Row],[High Tol]],"Pass","Fail"),IF(Table1[[#This Row],[DUT Adj Read]]&lt;=Table1[[#This Row],[High Tol]],"Pass","Fail")))</f>
        <v>Fail</v>
      </c>
      <c r="AH11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9" s="1" t="b">
        <v>0</v>
      </c>
      <c r="AN1189" s="1" t="b">
        <v>0</v>
      </c>
      <c r="AO1189" s="1" t="b">
        <v>0</v>
      </c>
    </row>
    <row r="1190" spans="1:41" x14ac:dyDescent="0.25">
      <c r="A1190" s="10"/>
      <c r="B1190" s="10"/>
      <c r="C1190" s="10"/>
      <c r="D1190" s="10"/>
      <c r="E1190" s="10"/>
      <c r="F1190" s="10"/>
      <c r="G1190" s="10"/>
      <c r="H1190" s="10"/>
      <c r="I1190" s="1" t="str">
        <f t="shared" si="54"/>
        <v/>
      </c>
      <c r="J1190" s="1" t="s">
        <v>35</v>
      </c>
      <c r="K1190" s="1" t="str">
        <f t="shared" si="55"/>
        <v/>
      </c>
      <c r="L1190" s="1" t="str">
        <f t="shared" si="56"/>
        <v/>
      </c>
      <c r="M1190" s="1">
        <f>IF(OR(Table1[[#This Row],[Std Nom]]="",Table1[[#This Row],[Std Read]]=""),0,Table1[[#This Row],[Std Nom]]-Table1[[#This Row],[Std Read]])</f>
        <v>0</v>
      </c>
      <c r="N1190" s="1">
        <f>IF(Calculations!$F$5="ACCREDITED 17025 WITH UNCERTAINTIES",$N$10,0)</f>
        <v>0</v>
      </c>
      <c r="O1190" s="1" t="str">
        <f>IFERROR(Table1[[#This Row],[Std Nom]]-(_xlfn.XLOOKUP(Table1[[#This Row],[Manufacturer]]&amp;" "&amp;Table1[[#This Row],[Model]],Table13[MFR &amp; MDL],Table13[Tolerance % CW ],"")/100*Table1[[#This Row],[Std Nom]]),"")</f>
        <v/>
      </c>
      <c r="P1190" s="1" t="str">
        <f>IFERROR(Table1[[#This Row],[Std Nom]]+(_xlfn.XLOOKUP(Table1[[#This Row],[Manufacturer]]&amp;" "&amp;Table1[[#This Row],[Model]],Table13[MFR &amp; MDL],Table13[Tolerance % CW ],"")/100*Table1[[#This Row],[Std Nom]]),"")</f>
        <v/>
      </c>
      <c r="Q1190" s="1" t="e">
        <f>Table1[[#This Row],[High Tol]]-Table1[[#This Row],[Low Tol]]</f>
        <v>#VALUE!</v>
      </c>
      <c r="R1190" s="1">
        <f>2*Table1[[#This Row],[Std Error]]</f>
        <v>0</v>
      </c>
      <c r="S1190" s="1" t="str">
        <f>IF(Table1[[#This Row],[High Tol]]="","N/A",IFERROR(ABS(Table1[[#This Row],[Tol Span]]/Table1[[#This Row],[Error Span]]),"N/A"))</f>
        <v>N/A</v>
      </c>
      <c r="T1190" s="1" t="str">
        <f>IF(OR(Table1[[#This Row],[Low Tol]]="",Table1[[#This Row],[High Tol]]=""),"Needs Analysis",IF(Table1[[#This Row],[Ratio]]&gt;=4,"Not Significant",IF(Table1[[#This Row],[Ratio]]&gt;=2,"Semi-Significant","Significant")))</f>
        <v>Needs Analysis</v>
      </c>
      <c r="W1190" s="1">
        <f>IF(Table1[[#This Row],[Cal Type]]&lt;&gt;"ACCREDITED 17025 WITH UNCERTAINTIES",0,"")</f>
        <v>0</v>
      </c>
      <c r="X1190" s="1" t="str">
        <f>IF(Table1[[#This Row],[DUT Read]]="","N/A",Table1[[#This Row],[Std Error]]+Table1[[#This Row],[DUT Read]]+Table1[[#This Row],[DUT Ucty]])</f>
        <v>N/A</v>
      </c>
      <c r="Y1190" s="1" t="str">
        <f>IF(Table1[[#This Row],[Std Read]]="","N/A",Table1[[#This Row],[Std Read]]+Table1[[#This Row],[Std Ucty]])</f>
        <v>N/A</v>
      </c>
      <c r="Z11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0" s="1" t="str">
        <f>IF(Table1[[#This Row],[Spec Type]]="","N/A",Table1[[#This Row],[Spec Type]])</f>
        <v>±</v>
      </c>
      <c r="AC1190" s="1" t="str">
        <f>IF(Table1[[#This Row],[Spec Type2]]="N/A","N/A",IF(AND(Table1[[#This Row],[DUT Adj Read]]&gt;=Table1[[#This Row],[Low Tol]],Table1[[#This Row],[DUT Adj Read]]&lt;=Table1[[#This Row],[High Tol]]),"Pass","Fail"))</f>
        <v>Fail</v>
      </c>
      <c r="AD1190" s="1" t="str">
        <f>IF(AND(Table1[[#This Row],[Spec Type2]]="N/A",Table1[[#This Row],[DUT Adj Read]]="N/A",Table1[[#This Row],[Std Adj Read]]="N/A"),"N/A",IF(Table1[[#This Row],[DUT Adj Read]]="N/A",IF(Table1[[#This Row],[Std Adj Read]]&gt;Table1[[#This Row],[Low Tol]],"Pass","Fail"),IF(Table1[[#This Row],[DUT Adj Read]]&gt;Table1[[#This Row],[Low Tol]],"Pass","Fail")))</f>
        <v>Pass</v>
      </c>
      <c r="AE1190" s="1" t="str">
        <f>IF(AND(Table1[[#This Row],[Spec Type2]]="N/A",Table1[[#This Row],[DUT Adj Read]]="N/A",Table1[[#This Row],[Std Adj Read]]="N/A"),"N/A",IF(Table1[[#This Row],[DUT Adj Read]]="N/A",IF(Table1[[#This Row],[Std Adj Read]]&lt;Table1[[#This Row],[High Tol]],"Pass","Fail"),IF(Table1[[#This Row],[DUT Adj Read]]&lt;Table1[[#This Row],[High Tol]],"Pass","Fail")))</f>
        <v>Fail</v>
      </c>
      <c r="AF1190" s="1" t="str">
        <f>IF(AND(Table1[[#This Row],[Spec Type2]]="N/A",Table1[[#This Row],[DUT Adj Read]]="N/A",Table1[[#This Row],[Std Adj Read]]="N/A"),"N/A",IF(Table1[[#This Row],[DUT Adj Read]]="N/A",IF(Table1[[#This Row],[Std Adj Read]]&gt;=Table1[[#This Row],[Low Tol]],"Pass","Fail"),IF(Table1[[#This Row],[DUT Adj Read]]&gt;=Table1[[#This Row],[Low Tol]],"Pass","Fail")))</f>
        <v>Pass</v>
      </c>
      <c r="AG1190" s="1" t="str">
        <f>IF(AND(Table1[[#This Row],[Spec Type2]]="N/A",Table1[[#This Row],[DUT Adj Read]]="N/A",Table1[[#This Row],[Std Adj Read]]="N/A"),"N/A",IF(Table1[[#This Row],[DUT Adj Read]]="N/A",IF(Table1[[#This Row],[Std Adj Read]]&lt;=Table1[[#This Row],[High Tol]],"Pass","Fail"),IF(Table1[[#This Row],[DUT Adj Read]]&lt;=Table1[[#This Row],[High Tol]],"Pass","Fail")))</f>
        <v>Fail</v>
      </c>
      <c r="AH11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0" s="1" t="b">
        <v>0</v>
      </c>
      <c r="AN1190" s="1" t="b">
        <v>0</v>
      </c>
      <c r="AO1190" s="1" t="b">
        <v>0</v>
      </c>
    </row>
    <row r="1191" spans="1:41" x14ac:dyDescent="0.25">
      <c r="A1191" s="10"/>
      <c r="B1191" s="10"/>
      <c r="C1191" s="10"/>
      <c r="D1191" s="10"/>
      <c r="E1191" s="10"/>
      <c r="F1191" s="10"/>
      <c r="G1191" s="10"/>
      <c r="H1191" s="10"/>
      <c r="I1191" s="1" t="str">
        <f t="shared" si="54"/>
        <v/>
      </c>
      <c r="J1191" s="1" t="s">
        <v>35</v>
      </c>
      <c r="K1191" s="1" t="str">
        <f t="shared" si="55"/>
        <v/>
      </c>
      <c r="L1191" s="1" t="str">
        <f t="shared" si="56"/>
        <v/>
      </c>
      <c r="M1191" s="1">
        <f>IF(OR(Table1[[#This Row],[Std Nom]]="",Table1[[#This Row],[Std Read]]=""),0,Table1[[#This Row],[Std Nom]]-Table1[[#This Row],[Std Read]])</f>
        <v>0</v>
      </c>
      <c r="N1191" s="1">
        <f>IF(Calculations!$F$5="ACCREDITED 17025 WITH UNCERTAINTIES",$N$10,0)</f>
        <v>0</v>
      </c>
      <c r="O1191" s="1" t="str">
        <f>IFERROR(Table1[[#This Row],[Std Nom]]-(_xlfn.XLOOKUP(Table1[[#This Row],[Manufacturer]]&amp;" "&amp;Table1[[#This Row],[Model]],Table13[MFR &amp; MDL],Table13[Tolerance % CW ],"")/100*Table1[[#This Row],[Std Nom]]),"")</f>
        <v/>
      </c>
      <c r="P1191" s="1" t="str">
        <f>IFERROR(Table1[[#This Row],[Std Nom]]+(_xlfn.XLOOKUP(Table1[[#This Row],[Manufacturer]]&amp;" "&amp;Table1[[#This Row],[Model]],Table13[MFR &amp; MDL],Table13[Tolerance % CW ],"")/100*Table1[[#This Row],[Std Nom]]),"")</f>
        <v/>
      </c>
      <c r="Q1191" s="1" t="e">
        <f>Table1[[#This Row],[High Tol]]-Table1[[#This Row],[Low Tol]]</f>
        <v>#VALUE!</v>
      </c>
      <c r="R1191" s="1">
        <f>2*Table1[[#This Row],[Std Error]]</f>
        <v>0</v>
      </c>
      <c r="S1191" s="1" t="str">
        <f>IF(Table1[[#This Row],[High Tol]]="","N/A",IFERROR(ABS(Table1[[#This Row],[Tol Span]]/Table1[[#This Row],[Error Span]]),"N/A"))</f>
        <v>N/A</v>
      </c>
      <c r="T1191" s="1" t="str">
        <f>IF(OR(Table1[[#This Row],[Low Tol]]="",Table1[[#This Row],[High Tol]]=""),"Needs Analysis",IF(Table1[[#This Row],[Ratio]]&gt;=4,"Not Significant",IF(Table1[[#This Row],[Ratio]]&gt;=2,"Semi-Significant","Significant")))</f>
        <v>Needs Analysis</v>
      </c>
      <c r="W1191" s="1">
        <f>IF(Table1[[#This Row],[Cal Type]]&lt;&gt;"ACCREDITED 17025 WITH UNCERTAINTIES",0,"")</f>
        <v>0</v>
      </c>
      <c r="X1191" s="1" t="str">
        <f>IF(Table1[[#This Row],[DUT Read]]="","N/A",Table1[[#This Row],[Std Error]]+Table1[[#This Row],[DUT Read]]+Table1[[#This Row],[DUT Ucty]])</f>
        <v>N/A</v>
      </c>
      <c r="Y1191" s="1" t="str">
        <f>IF(Table1[[#This Row],[Std Read]]="","N/A",Table1[[#This Row],[Std Read]]+Table1[[#This Row],[Std Ucty]])</f>
        <v>N/A</v>
      </c>
      <c r="Z11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1" s="1" t="str">
        <f>IF(Table1[[#This Row],[Spec Type]]="","N/A",Table1[[#This Row],[Spec Type]])</f>
        <v>±</v>
      </c>
      <c r="AC1191" s="1" t="str">
        <f>IF(Table1[[#This Row],[Spec Type2]]="N/A","N/A",IF(AND(Table1[[#This Row],[DUT Adj Read]]&gt;=Table1[[#This Row],[Low Tol]],Table1[[#This Row],[DUT Adj Read]]&lt;=Table1[[#This Row],[High Tol]]),"Pass","Fail"))</f>
        <v>Fail</v>
      </c>
      <c r="AD1191" s="1" t="str">
        <f>IF(AND(Table1[[#This Row],[Spec Type2]]="N/A",Table1[[#This Row],[DUT Adj Read]]="N/A",Table1[[#This Row],[Std Adj Read]]="N/A"),"N/A",IF(Table1[[#This Row],[DUT Adj Read]]="N/A",IF(Table1[[#This Row],[Std Adj Read]]&gt;Table1[[#This Row],[Low Tol]],"Pass","Fail"),IF(Table1[[#This Row],[DUT Adj Read]]&gt;Table1[[#This Row],[Low Tol]],"Pass","Fail")))</f>
        <v>Pass</v>
      </c>
      <c r="AE1191" s="1" t="str">
        <f>IF(AND(Table1[[#This Row],[Spec Type2]]="N/A",Table1[[#This Row],[DUT Adj Read]]="N/A",Table1[[#This Row],[Std Adj Read]]="N/A"),"N/A",IF(Table1[[#This Row],[DUT Adj Read]]="N/A",IF(Table1[[#This Row],[Std Adj Read]]&lt;Table1[[#This Row],[High Tol]],"Pass","Fail"),IF(Table1[[#This Row],[DUT Adj Read]]&lt;Table1[[#This Row],[High Tol]],"Pass","Fail")))</f>
        <v>Fail</v>
      </c>
      <c r="AF1191" s="1" t="str">
        <f>IF(AND(Table1[[#This Row],[Spec Type2]]="N/A",Table1[[#This Row],[DUT Adj Read]]="N/A",Table1[[#This Row],[Std Adj Read]]="N/A"),"N/A",IF(Table1[[#This Row],[DUT Adj Read]]="N/A",IF(Table1[[#This Row],[Std Adj Read]]&gt;=Table1[[#This Row],[Low Tol]],"Pass","Fail"),IF(Table1[[#This Row],[DUT Adj Read]]&gt;=Table1[[#This Row],[Low Tol]],"Pass","Fail")))</f>
        <v>Pass</v>
      </c>
      <c r="AG1191" s="1" t="str">
        <f>IF(AND(Table1[[#This Row],[Spec Type2]]="N/A",Table1[[#This Row],[DUT Adj Read]]="N/A",Table1[[#This Row],[Std Adj Read]]="N/A"),"N/A",IF(Table1[[#This Row],[DUT Adj Read]]="N/A",IF(Table1[[#This Row],[Std Adj Read]]&lt;=Table1[[#This Row],[High Tol]],"Pass","Fail"),IF(Table1[[#This Row],[DUT Adj Read]]&lt;=Table1[[#This Row],[High Tol]],"Pass","Fail")))</f>
        <v>Fail</v>
      </c>
      <c r="AH11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1" s="1" t="b">
        <v>0</v>
      </c>
      <c r="AN1191" s="1" t="b">
        <v>0</v>
      </c>
      <c r="AO1191" s="1" t="b">
        <v>0</v>
      </c>
    </row>
    <row r="1192" spans="1:41" x14ac:dyDescent="0.25">
      <c r="A1192" s="10"/>
      <c r="B1192" s="10"/>
      <c r="C1192" s="10"/>
      <c r="D1192" s="10"/>
      <c r="E1192" s="10"/>
      <c r="F1192" s="10"/>
      <c r="G1192" s="10"/>
      <c r="H1192" s="10"/>
      <c r="I1192" s="1" t="str">
        <f t="shared" si="54"/>
        <v/>
      </c>
      <c r="J1192" s="1" t="s">
        <v>35</v>
      </c>
      <c r="K1192" s="1" t="str">
        <f t="shared" si="55"/>
        <v/>
      </c>
      <c r="L1192" s="1" t="str">
        <f t="shared" si="56"/>
        <v/>
      </c>
      <c r="M1192" s="1">
        <f>IF(OR(Table1[[#This Row],[Std Nom]]="",Table1[[#This Row],[Std Read]]=""),0,Table1[[#This Row],[Std Nom]]-Table1[[#This Row],[Std Read]])</f>
        <v>0</v>
      </c>
      <c r="N1192" s="1">
        <f>IF(Calculations!$F$5="ACCREDITED 17025 WITH UNCERTAINTIES",$N$10,0)</f>
        <v>0</v>
      </c>
      <c r="O1192" s="1" t="str">
        <f>IFERROR(Table1[[#This Row],[Std Nom]]-(_xlfn.XLOOKUP(Table1[[#This Row],[Manufacturer]]&amp;" "&amp;Table1[[#This Row],[Model]],Table13[MFR &amp; MDL],Table13[Tolerance % CW ],"")/100*Table1[[#This Row],[Std Nom]]),"")</f>
        <v/>
      </c>
      <c r="P1192" s="1" t="str">
        <f>IFERROR(Table1[[#This Row],[Std Nom]]+(_xlfn.XLOOKUP(Table1[[#This Row],[Manufacturer]]&amp;" "&amp;Table1[[#This Row],[Model]],Table13[MFR &amp; MDL],Table13[Tolerance % CW ],"")/100*Table1[[#This Row],[Std Nom]]),"")</f>
        <v/>
      </c>
      <c r="Q1192" s="1" t="e">
        <f>Table1[[#This Row],[High Tol]]-Table1[[#This Row],[Low Tol]]</f>
        <v>#VALUE!</v>
      </c>
      <c r="R1192" s="1">
        <f>2*Table1[[#This Row],[Std Error]]</f>
        <v>0</v>
      </c>
      <c r="S1192" s="1" t="str">
        <f>IF(Table1[[#This Row],[High Tol]]="","N/A",IFERROR(ABS(Table1[[#This Row],[Tol Span]]/Table1[[#This Row],[Error Span]]),"N/A"))</f>
        <v>N/A</v>
      </c>
      <c r="T1192" s="1" t="str">
        <f>IF(OR(Table1[[#This Row],[Low Tol]]="",Table1[[#This Row],[High Tol]]=""),"Needs Analysis",IF(Table1[[#This Row],[Ratio]]&gt;=4,"Not Significant",IF(Table1[[#This Row],[Ratio]]&gt;=2,"Semi-Significant","Significant")))</f>
        <v>Needs Analysis</v>
      </c>
      <c r="W1192" s="1">
        <f>IF(Table1[[#This Row],[Cal Type]]&lt;&gt;"ACCREDITED 17025 WITH UNCERTAINTIES",0,"")</f>
        <v>0</v>
      </c>
      <c r="X1192" s="1" t="str">
        <f>IF(Table1[[#This Row],[DUT Read]]="","N/A",Table1[[#This Row],[Std Error]]+Table1[[#This Row],[DUT Read]]+Table1[[#This Row],[DUT Ucty]])</f>
        <v>N/A</v>
      </c>
      <c r="Y1192" s="1" t="str">
        <f>IF(Table1[[#This Row],[Std Read]]="","N/A",Table1[[#This Row],[Std Read]]+Table1[[#This Row],[Std Ucty]])</f>
        <v>N/A</v>
      </c>
      <c r="Z11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2" s="1" t="str">
        <f>IF(Table1[[#This Row],[Spec Type]]="","N/A",Table1[[#This Row],[Spec Type]])</f>
        <v>±</v>
      </c>
      <c r="AC1192" s="1" t="str">
        <f>IF(Table1[[#This Row],[Spec Type2]]="N/A","N/A",IF(AND(Table1[[#This Row],[DUT Adj Read]]&gt;=Table1[[#This Row],[Low Tol]],Table1[[#This Row],[DUT Adj Read]]&lt;=Table1[[#This Row],[High Tol]]),"Pass","Fail"))</f>
        <v>Fail</v>
      </c>
      <c r="AD1192" s="1" t="str">
        <f>IF(AND(Table1[[#This Row],[Spec Type2]]="N/A",Table1[[#This Row],[DUT Adj Read]]="N/A",Table1[[#This Row],[Std Adj Read]]="N/A"),"N/A",IF(Table1[[#This Row],[DUT Adj Read]]="N/A",IF(Table1[[#This Row],[Std Adj Read]]&gt;Table1[[#This Row],[Low Tol]],"Pass","Fail"),IF(Table1[[#This Row],[DUT Adj Read]]&gt;Table1[[#This Row],[Low Tol]],"Pass","Fail")))</f>
        <v>Pass</v>
      </c>
      <c r="AE1192" s="1" t="str">
        <f>IF(AND(Table1[[#This Row],[Spec Type2]]="N/A",Table1[[#This Row],[DUT Adj Read]]="N/A",Table1[[#This Row],[Std Adj Read]]="N/A"),"N/A",IF(Table1[[#This Row],[DUT Adj Read]]="N/A",IF(Table1[[#This Row],[Std Adj Read]]&lt;Table1[[#This Row],[High Tol]],"Pass","Fail"),IF(Table1[[#This Row],[DUT Adj Read]]&lt;Table1[[#This Row],[High Tol]],"Pass","Fail")))</f>
        <v>Fail</v>
      </c>
      <c r="AF1192" s="1" t="str">
        <f>IF(AND(Table1[[#This Row],[Spec Type2]]="N/A",Table1[[#This Row],[DUT Adj Read]]="N/A",Table1[[#This Row],[Std Adj Read]]="N/A"),"N/A",IF(Table1[[#This Row],[DUT Adj Read]]="N/A",IF(Table1[[#This Row],[Std Adj Read]]&gt;=Table1[[#This Row],[Low Tol]],"Pass","Fail"),IF(Table1[[#This Row],[DUT Adj Read]]&gt;=Table1[[#This Row],[Low Tol]],"Pass","Fail")))</f>
        <v>Pass</v>
      </c>
      <c r="AG1192" s="1" t="str">
        <f>IF(AND(Table1[[#This Row],[Spec Type2]]="N/A",Table1[[#This Row],[DUT Adj Read]]="N/A",Table1[[#This Row],[Std Adj Read]]="N/A"),"N/A",IF(Table1[[#This Row],[DUT Adj Read]]="N/A",IF(Table1[[#This Row],[Std Adj Read]]&lt;=Table1[[#This Row],[High Tol]],"Pass","Fail"),IF(Table1[[#This Row],[DUT Adj Read]]&lt;=Table1[[#This Row],[High Tol]],"Pass","Fail")))</f>
        <v>Fail</v>
      </c>
      <c r="AH11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2" s="1" t="b">
        <v>0</v>
      </c>
      <c r="AN1192" s="1" t="b">
        <v>0</v>
      </c>
      <c r="AO1192" s="1" t="b">
        <v>0</v>
      </c>
    </row>
    <row r="1193" spans="1:41" x14ac:dyDescent="0.25">
      <c r="A1193" s="10"/>
      <c r="B1193" s="10"/>
      <c r="C1193" s="10"/>
      <c r="D1193" s="10"/>
      <c r="E1193" s="10"/>
      <c r="F1193" s="10"/>
      <c r="G1193" s="10"/>
      <c r="H1193" s="10"/>
      <c r="I1193" s="1" t="str">
        <f t="shared" si="54"/>
        <v/>
      </c>
      <c r="J1193" s="1" t="s">
        <v>35</v>
      </c>
      <c r="K1193" s="1" t="str">
        <f t="shared" si="55"/>
        <v/>
      </c>
      <c r="L1193" s="1" t="str">
        <f t="shared" si="56"/>
        <v/>
      </c>
      <c r="M1193" s="1">
        <f>IF(OR(Table1[[#This Row],[Std Nom]]="",Table1[[#This Row],[Std Read]]=""),0,Table1[[#This Row],[Std Nom]]-Table1[[#This Row],[Std Read]])</f>
        <v>0</v>
      </c>
      <c r="N1193" s="1">
        <f>IF(Calculations!$F$5="ACCREDITED 17025 WITH UNCERTAINTIES",$N$10,0)</f>
        <v>0</v>
      </c>
      <c r="O1193" s="1" t="str">
        <f>IFERROR(Table1[[#This Row],[Std Nom]]-(_xlfn.XLOOKUP(Table1[[#This Row],[Manufacturer]]&amp;" "&amp;Table1[[#This Row],[Model]],Table13[MFR &amp; MDL],Table13[Tolerance % CW ],"")/100*Table1[[#This Row],[Std Nom]]),"")</f>
        <v/>
      </c>
      <c r="P1193" s="1" t="str">
        <f>IFERROR(Table1[[#This Row],[Std Nom]]+(_xlfn.XLOOKUP(Table1[[#This Row],[Manufacturer]]&amp;" "&amp;Table1[[#This Row],[Model]],Table13[MFR &amp; MDL],Table13[Tolerance % CW ],"")/100*Table1[[#This Row],[Std Nom]]),"")</f>
        <v/>
      </c>
      <c r="Q1193" s="1" t="e">
        <f>Table1[[#This Row],[High Tol]]-Table1[[#This Row],[Low Tol]]</f>
        <v>#VALUE!</v>
      </c>
      <c r="R1193" s="1">
        <f>2*Table1[[#This Row],[Std Error]]</f>
        <v>0</v>
      </c>
      <c r="S1193" s="1" t="str">
        <f>IF(Table1[[#This Row],[High Tol]]="","N/A",IFERROR(ABS(Table1[[#This Row],[Tol Span]]/Table1[[#This Row],[Error Span]]),"N/A"))</f>
        <v>N/A</v>
      </c>
      <c r="T1193" s="1" t="str">
        <f>IF(OR(Table1[[#This Row],[Low Tol]]="",Table1[[#This Row],[High Tol]]=""),"Needs Analysis",IF(Table1[[#This Row],[Ratio]]&gt;=4,"Not Significant",IF(Table1[[#This Row],[Ratio]]&gt;=2,"Semi-Significant","Significant")))</f>
        <v>Needs Analysis</v>
      </c>
      <c r="W1193" s="1">
        <f>IF(Table1[[#This Row],[Cal Type]]&lt;&gt;"ACCREDITED 17025 WITH UNCERTAINTIES",0,"")</f>
        <v>0</v>
      </c>
      <c r="X1193" s="1" t="str">
        <f>IF(Table1[[#This Row],[DUT Read]]="","N/A",Table1[[#This Row],[Std Error]]+Table1[[#This Row],[DUT Read]]+Table1[[#This Row],[DUT Ucty]])</f>
        <v>N/A</v>
      </c>
      <c r="Y1193" s="1" t="str">
        <f>IF(Table1[[#This Row],[Std Read]]="","N/A",Table1[[#This Row],[Std Read]]+Table1[[#This Row],[Std Ucty]])</f>
        <v>N/A</v>
      </c>
      <c r="Z11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3" s="1" t="str">
        <f>IF(Table1[[#This Row],[Spec Type]]="","N/A",Table1[[#This Row],[Spec Type]])</f>
        <v>±</v>
      </c>
      <c r="AC1193" s="1" t="str">
        <f>IF(Table1[[#This Row],[Spec Type2]]="N/A","N/A",IF(AND(Table1[[#This Row],[DUT Adj Read]]&gt;=Table1[[#This Row],[Low Tol]],Table1[[#This Row],[DUT Adj Read]]&lt;=Table1[[#This Row],[High Tol]]),"Pass","Fail"))</f>
        <v>Fail</v>
      </c>
      <c r="AD1193" s="1" t="str">
        <f>IF(AND(Table1[[#This Row],[Spec Type2]]="N/A",Table1[[#This Row],[DUT Adj Read]]="N/A",Table1[[#This Row],[Std Adj Read]]="N/A"),"N/A",IF(Table1[[#This Row],[DUT Adj Read]]="N/A",IF(Table1[[#This Row],[Std Adj Read]]&gt;Table1[[#This Row],[Low Tol]],"Pass","Fail"),IF(Table1[[#This Row],[DUT Adj Read]]&gt;Table1[[#This Row],[Low Tol]],"Pass","Fail")))</f>
        <v>Pass</v>
      </c>
      <c r="AE1193" s="1" t="str">
        <f>IF(AND(Table1[[#This Row],[Spec Type2]]="N/A",Table1[[#This Row],[DUT Adj Read]]="N/A",Table1[[#This Row],[Std Adj Read]]="N/A"),"N/A",IF(Table1[[#This Row],[DUT Adj Read]]="N/A",IF(Table1[[#This Row],[Std Adj Read]]&lt;Table1[[#This Row],[High Tol]],"Pass","Fail"),IF(Table1[[#This Row],[DUT Adj Read]]&lt;Table1[[#This Row],[High Tol]],"Pass","Fail")))</f>
        <v>Fail</v>
      </c>
      <c r="AF1193" s="1" t="str">
        <f>IF(AND(Table1[[#This Row],[Spec Type2]]="N/A",Table1[[#This Row],[DUT Adj Read]]="N/A",Table1[[#This Row],[Std Adj Read]]="N/A"),"N/A",IF(Table1[[#This Row],[DUT Adj Read]]="N/A",IF(Table1[[#This Row],[Std Adj Read]]&gt;=Table1[[#This Row],[Low Tol]],"Pass","Fail"),IF(Table1[[#This Row],[DUT Adj Read]]&gt;=Table1[[#This Row],[Low Tol]],"Pass","Fail")))</f>
        <v>Pass</v>
      </c>
      <c r="AG1193" s="1" t="str">
        <f>IF(AND(Table1[[#This Row],[Spec Type2]]="N/A",Table1[[#This Row],[DUT Adj Read]]="N/A",Table1[[#This Row],[Std Adj Read]]="N/A"),"N/A",IF(Table1[[#This Row],[DUT Adj Read]]="N/A",IF(Table1[[#This Row],[Std Adj Read]]&lt;=Table1[[#This Row],[High Tol]],"Pass","Fail"),IF(Table1[[#This Row],[DUT Adj Read]]&lt;=Table1[[#This Row],[High Tol]],"Pass","Fail")))</f>
        <v>Fail</v>
      </c>
      <c r="AH11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3" s="1" t="b">
        <v>0</v>
      </c>
      <c r="AN1193" s="1" t="b">
        <v>0</v>
      </c>
      <c r="AO1193" s="1" t="b">
        <v>0</v>
      </c>
    </row>
    <row r="1194" spans="1:41" x14ac:dyDescent="0.25">
      <c r="A1194" s="10"/>
      <c r="B1194" s="10"/>
      <c r="C1194" s="10"/>
      <c r="D1194" s="10"/>
      <c r="E1194" s="10"/>
      <c r="F1194" s="10"/>
      <c r="G1194" s="10"/>
      <c r="H1194" s="10"/>
      <c r="I1194" s="1" t="str">
        <f t="shared" si="54"/>
        <v/>
      </c>
      <c r="J1194" s="1" t="s">
        <v>35</v>
      </c>
      <c r="K1194" s="1" t="str">
        <f t="shared" si="55"/>
        <v/>
      </c>
      <c r="L1194" s="1" t="str">
        <f t="shared" si="56"/>
        <v/>
      </c>
      <c r="M1194" s="1">
        <f>IF(OR(Table1[[#This Row],[Std Nom]]="",Table1[[#This Row],[Std Read]]=""),0,Table1[[#This Row],[Std Nom]]-Table1[[#This Row],[Std Read]])</f>
        <v>0</v>
      </c>
      <c r="N1194" s="1">
        <f>IF(Calculations!$F$5="ACCREDITED 17025 WITH UNCERTAINTIES",$N$10,0)</f>
        <v>0</v>
      </c>
      <c r="O1194" s="1" t="str">
        <f>IFERROR(Table1[[#This Row],[Std Nom]]-(_xlfn.XLOOKUP(Table1[[#This Row],[Manufacturer]]&amp;" "&amp;Table1[[#This Row],[Model]],Table13[MFR &amp; MDL],Table13[Tolerance % CW ],"")/100*Table1[[#This Row],[Std Nom]]),"")</f>
        <v/>
      </c>
      <c r="P1194" s="1" t="str">
        <f>IFERROR(Table1[[#This Row],[Std Nom]]+(_xlfn.XLOOKUP(Table1[[#This Row],[Manufacturer]]&amp;" "&amp;Table1[[#This Row],[Model]],Table13[MFR &amp; MDL],Table13[Tolerance % CW ],"")/100*Table1[[#This Row],[Std Nom]]),"")</f>
        <v/>
      </c>
      <c r="Q1194" s="1" t="e">
        <f>Table1[[#This Row],[High Tol]]-Table1[[#This Row],[Low Tol]]</f>
        <v>#VALUE!</v>
      </c>
      <c r="R1194" s="1">
        <f>2*Table1[[#This Row],[Std Error]]</f>
        <v>0</v>
      </c>
      <c r="S1194" s="1" t="str">
        <f>IF(Table1[[#This Row],[High Tol]]="","N/A",IFERROR(ABS(Table1[[#This Row],[Tol Span]]/Table1[[#This Row],[Error Span]]),"N/A"))</f>
        <v>N/A</v>
      </c>
      <c r="T1194" s="1" t="str">
        <f>IF(OR(Table1[[#This Row],[Low Tol]]="",Table1[[#This Row],[High Tol]]=""),"Needs Analysis",IF(Table1[[#This Row],[Ratio]]&gt;=4,"Not Significant",IF(Table1[[#This Row],[Ratio]]&gt;=2,"Semi-Significant","Significant")))</f>
        <v>Needs Analysis</v>
      </c>
      <c r="W1194" s="1">
        <f>IF(Table1[[#This Row],[Cal Type]]&lt;&gt;"ACCREDITED 17025 WITH UNCERTAINTIES",0,"")</f>
        <v>0</v>
      </c>
      <c r="X1194" s="1" t="str">
        <f>IF(Table1[[#This Row],[DUT Read]]="","N/A",Table1[[#This Row],[Std Error]]+Table1[[#This Row],[DUT Read]]+Table1[[#This Row],[DUT Ucty]])</f>
        <v>N/A</v>
      </c>
      <c r="Y1194" s="1" t="str">
        <f>IF(Table1[[#This Row],[Std Read]]="","N/A",Table1[[#This Row],[Std Read]]+Table1[[#This Row],[Std Ucty]])</f>
        <v>N/A</v>
      </c>
      <c r="Z11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4" s="1" t="str">
        <f>IF(Table1[[#This Row],[Spec Type]]="","N/A",Table1[[#This Row],[Spec Type]])</f>
        <v>±</v>
      </c>
      <c r="AC1194" s="1" t="str">
        <f>IF(Table1[[#This Row],[Spec Type2]]="N/A","N/A",IF(AND(Table1[[#This Row],[DUT Adj Read]]&gt;=Table1[[#This Row],[Low Tol]],Table1[[#This Row],[DUT Adj Read]]&lt;=Table1[[#This Row],[High Tol]]),"Pass","Fail"))</f>
        <v>Fail</v>
      </c>
      <c r="AD1194" s="1" t="str">
        <f>IF(AND(Table1[[#This Row],[Spec Type2]]="N/A",Table1[[#This Row],[DUT Adj Read]]="N/A",Table1[[#This Row],[Std Adj Read]]="N/A"),"N/A",IF(Table1[[#This Row],[DUT Adj Read]]="N/A",IF(Table1[[#This Row],[Std Adj Read]]&gt;Table1[[#This Row],[Low Tol]],"Pass","Fail"),IF(Table1[[#This Row],[DUT Adj Read]]&gt;Table1[[#This Row],[Low Tol]],"Pass","Fail")))</f>
        <v>Pass</v>
      </c>
      <c r="AE1194" s="1" t="str">
        <f>IF(AND(Table1[[#This Row],[Spec Type2]]="N/A",Table1[[#This Row],[DUT Adj Read]]="N/A",Table1[[#This Row],[Std Adj Read]]="N/A"),"N/A",IF(Table1[[#This Row],[DUT Adj Read]]="N/A",IF(Table1[[#This Row],[Std Adj Read]]&lt;Table1[[#This Row],[High Tol]],"Pass","Fail"),IF(Table1[[#This Row],[DUT Adj Read]]&lt;Table1[[#This Row],[High Tol]],"Pass","Fail")))</f>
        <v>Fail</v>
      </c>
      <c r="AF1194" s="1" t="str">
        <f>IF(AND(Table1[[#This Row],[Spec Type2]]="N/A",Table1[[#This Row],[DUT Adj Read]]="N/A",Table1[[#This Row],[Std Adj Read]]="N/A"),"N/A",IF(Table1[[#This Row],[DUT Adj Read]]="N/A",IF(Table1[[#This Row],[Std Adj Read]]&gt;=Table1[[#This Row],[Low Tol]],"Pass","Fail"),IF(Table1[[#This Row],[DUT Adj Read]]&gt;=Table1[[#This Row],[Low Tol]],"Pass","Fail")))</f>
        <v>Pass</v>
      </c>
      <c r="AG1194" s="1" t="str">
        <f>IF(AND(Table1[[#This Row],[Spec Type2]]="N/A",Table1[[#This Row],[DUT Adj Read]]="N/A",Table1[[#This Row],[Std Adj Read]]="N/A"),"N/A",IF(Table1[[#This Row],[DUT Adj Read]]="N/A",IF(Table1[[#This Row],[Std Adj Read]]&lt;=Table1[[#This Row],[High Tol]],"Pass","Fail"),IF(Table1[[#This Row],[DUT Adj Read]]&lt;=Table1[[#This Row],[High Tol]],"Pass","Fail")))</f>
        <v>Fail</v>
      </c>
      <c r="AH11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4" s="1" t="b">
        <v>0</v>
      </c>
      <c r="AN1194" s="1" t="b">
        <v>0</v>
      </c>
      <c r="AO1194" s="1" t="b">
        <v>0</v>
      </c>
    </row>
    <row r="1195" spans="1:41" x14ac:dyDescent="0.25">
      <c r="A1195" s="10"/>
      <c r="B1195" s="10"/>
      <c r="C1195" s="10"/>
      <c r="D1195" s="10"/>
      <c r="E1195" s="10"/>
      <c r="F1195" s="10"/>
      <c r="G1195" s="10"/>
      <c r="H1195" s="10"/>
      <c r="I1195" s="1" t="str">
        <f t="shared" si="54"/>
        <v/>
      </c>
      <c r="J1195" s="1" t="s">
        <v>35</v>
      </c>
      <c r="K1195" s="1" t="str">
        <f t="shared" si="55"/>
        <v/>
      </c>
      <c r="L1195" s="1" t="str">
        <f t="shared" si="56"/>
        <v/>
      </c>
      <c r="M1195" s="1">
        <f>IF(OR(Table1[[#This Row],[Std Nom]]="",Table1[[#This Row],[Std Read]]=""),0,Table1[[#This Row],[Std Nom]]-Table1[[#This Row],[Std Read]])</f>
        <v>0</v>
      </c>
      <c r="N1195" s="1">
        <f>IF(Calculations!$F$5="ACCREDITED 17025 WITH UNCERTAINTIES",$N$10,0)</f>
        <v>0</v>
      </c>
      <c r="O1195" s="1" t="str">
        <f>IFERROR(Table1[[#This Row],[Std Nom]]-(_xlfn.XLOOKUP(Table1[[#This Row],[Manufacturer]]&amp;" "&amp;Table1[[#This Row],[Model]],Table13[MFR &amp; MDL],Table13[Tolerance % CW ],"")/100*Table1[[#This Row],[Std Nom]]),"")</f>
        <v/>
      </c>
      <c r="P1195" s="1" t="str">
        <f>IFERROR(Table1[[#This Row],[Std Nom]]+(_xlfn.XLOOKUP(Table1[[#This Row],[Manufacturer]]&amp;" "&amp;Table1[[#This Row],[Model]],Table13[MFR &amp; MDL],Table13[Tolerance % CW ],"")/100*Table1[[#This Row],[Std Nom]]),"")</f>
        <v/>
      </c>
      <c r="Q1195" s="1" t="e">
        <f>Table1[[#This Row],[High Tol]]-Table1[[#This Row],[Low Tol]]</f>
        <v>#VALUE!</v>
      </c>
      <c r="R1195" s="1">
        <f>2*Table1[[#This Row],[Std Error]]</f>
        <v>0</v>
      </c>
      <c r="S1195" s="1" t="str">
        <f>IF(Table1[[#This Row],[High Tol]]="","N/A",IFERROR(ABS(Table1[[#This Row],[Tol Span]]/Table1[[#This Row],[Error Span]]),"N/A"))</f>
        <v>N/A</v>
      </c>
      <c r="T1195" s="1" t="str">
        <f>IF(OR(Table1[[#This Row],[Low Tol]]="",Table1[[#This Row],[High Tol]]=""),"Needs Analysis",IF(Table1[[#This Row],[Ratio]]&gt;=4,"Not Significant",IF(Table1[[#This Row],[Ratio]]&gt;=2,"Semi-Significant","Significant")))</f>
        <v>Needs Analysis</v>
      </c>
      <c r="W1195" s="1">
        <f>IF(Table1[[#This Row],[Cal Type]]&lt;&gt;"ACCREDITED 17025 WITH UNCERTAINTIES",0,"")</f>
        <v>0</v>
      </c>
      <c r="X1195" s="1" t="str">
        <f>IF(Table1[[#This Row],[DUT Read]]="","N/A",Table1[[#This Row],[Std Error]]+Table1[[#This Row],[DUT Read]]+Table1[[#This Row],[DUT Ucty]])</f>
        <v>N/A</v>
      </c>
      <c r="Y1195" s="1" t="str">
        <f>IF(Table1[[#This Row],[Std Read]]="","N/A",Table1[[#This Row],[Std Read]]+Table1[[#This Row],[Std Ucty]])</f>
        <v>N/A</v>
      </c>
      <c r="Z11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5" s="1" t="str">
        <f>IF(Table1[[#This Row],[Spec Type]]="","N/A",Table1[[#This Row],[Spec Type]])</f>
        <v>±</v>
      </c>
      <c r="AC1195" s="1" t="str">
        <f>IF(Table1[[#This Row],[Spec Type2]]="N/A","N/A",IF(AND(Table1[[#This Row],[DUT Adj Read]]&gt;=Table1[[#This Row],[Low Tol]],Table1[[#This Row],[DUT Adj Read]]&lt;=Table1[[#This Row],[High Tol]]),"Pass","Fail"))</f>
        <v>Fail</v>
      </c>
      <c r="AD1195" s="1" t="str">
        <f>IF(AND(Table1[[#This Row],[Spec Type2]]="N/A",Table1[[#This Row],[DUT Adj Read]]="N/A",Table1[[#This Row],[Std Adj Read]]="N/A"),"N/A",IF(Table1[[#This Row],[DUT Adj Read]]="N/A",IF(Table1[[#This Row],[Std Adj Read]]&gt;Table1[[#This Row],[Low Tol]],"Pass","Fail"),IF(Table1[[#This Row],[DUT Adj Read]]&gt;Table1[[#This Row],[Low Tol]],"Pass","Fail")))</f>
        <v>Pass</v>
      </c>
      <c r="AE1195" s="1" t="str">
        <f>IF(AND(Table1[[#This Row],[Spec Type2]]="N/A",Table1[[#This Row],[DUT Adj Read]]="N/A",Table1[[#This Row],[Std Adj Read]]="N/A"),"N/A",IF(Table1[[#This Row],[DUT Adj Read]]="N/A",IF(Table1[[#This Row],[Std Adj Read]]&lt;Table1[[#This Row],[High Tol]],"Pass","Fail"),IF(Table1[[#This Row],[DUT Adj Read]]&lt;Table1[[#This Row],[High Tol]],"Pass","Fail")))</f>
        <v>Fail</v>
      </c>
      <c r="AF1195" s="1" t="str">
        <f>IF(AND(Table1[[#This Row],[Spec Type2]]="N/A",Table1[[#This Row],[DUT Adj Read]]="N/A",Table1[[#This Row],[Std Adj Read]]="N/A"),"N/A",IF(Table1[[#This Row],[DUT Adj Read]]="N/A",IF(Table1[[#This Row],[Std Adj Read]]&gt;=Table1[[#This Row],[Low Tol]],"Pass","Fail"),IF(Table1[[#This Row],[DUT Adj Read]]&gt;=Table1[[#This Row],[Low Tol]],"Pass","Fail")))</f>
        <v>Pass</v>
      </c>
      <c r="AG1195" s="1" t="str">
        <f>IF(AND(Table1[[#This Row],[Spec Type2]]="N/A",Table1[[#This Row],[DUT Adj Read]]="N/A",Table1[[#This Row],[Std Adj Read]]="N/A"),"N/A",IF(Table1[[#This Row],[DUT Adj Read]]="N/A",IF(Table1[[#This Row],[Std Adj Read]]&lt;=Table1[[#This Row],[High Tol]],"Pass","Fail"),IF(Table1[[#This Row],[DUT Adj Read]]&lt;=Table1[[#This Row],[High Tol]],"Pass","Fail")))</f>
        <v>Fail</v>
      </c>
      <c r="AH11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5" s="1" t="b">
        <v>0</v>
      </c>
      <c r="AN1195" s="1" t="b">
        <v>0</v>
      </c>
      <c r="AO1195" s="1" t="b">
        <v>0</v>
      </c>
    </row>
    <row r="1196" spans="1:41" x14ac:dyDescent="0.25">
      <c r="A1196" s="10"/>
      <c r="B1196" s="10"/>
      <c r="C1196" s="10"/>
      <c r="D1196" s="10"/>
      <c r="E1196" s="10"/>
      <c r="F1196" s="10"/>
      <c r="G1196" s="10"/>
      <c r="H1196" s="10"/>
      <c r="I1196" s="1" t="str">
        <f t="shared" si="54"/>
        <v/>
      </c>
      <c r="J1196" s="1" t="s">
        <v>35</v>
      </c>
      <c r="K1196" s="1" t="str">
        <f t="shared" si="55"/>
        <v/>
      </c>
      <c r="L1196" s="1" t="str">
        <f t="shared" si="56"/>
        <v/>
      </c>
      <c r="M1196" s="1">
        <f>IF(OR(Table1[[#This Row],[Std Nom]]="",Table1[[#This Row],[Std Read]]=""),0,Table1[[#This Row],[Std Nom]]-Table1[[#This Row],[Std Read]])</f>
        <v>0</v>
      </c>
      <c r="N1196" s="1">
        <f>IF(Calculations!$F$5="ACCREDITED 17025 WITH UNCERTAINTIES",$N$10,0)</f>
        <v>0</v>
      </c>
      <c r="O1196" s="1" t="str">
        <f>IFERROR(Table1[[#This Row],[Std Nom]]-(_xlfn.XLOOKUP(Table1[[#This Row],[Manufacturer]]&amp;" "&amp;Table1[[#This Row],[Model]],Table13[MFR &amp; MDL],Table13[Tolerance % CW ],"")/100*Table1[[#This Row],[Std Nom]]),"")</f>
        <v/>
      </c>
      <c r="P1196" s="1" t="str">
        <f>IFERROR(Table1[[#This Row],[Std Nom]]+(_xlfn.XLOOKUP(Table1[[#This Row],[Manufacturer]]&amp;" "&amp;Table1[[#This Row],[Model]],Table13[MFR &amp; MDL],Table13[Tolerance % CW ],"")/100*Table1[[#This Row],[Std Nom]]),"")</f>
        <v/>
      </c>
      <c r="Q1196" s="1" t="e">
        <f>Table1[[#This Row],[High Tol]]-Table1[[#This Row],[Low Tol]]</f>
        <v>#VALUE!</v>
      </c>
      <c r="R1196" s="1">
        <f>2*Table1[[#This Row],[Std Error]]</f>
        <v>0</v>
      </c>
      <c r="S1196" s="1" t="str">
        <f>IF(Table1[[#This Row],[High Tol]]="","N/A",IFERROR(ABS(Table1[[#This Row],[Tol Span]]/Table1[[#This Row],[Error Span]]),"N/A"))</f>
        <v>N/A</v>
      </c>
      <c r="T1196" s="1" t="str">
        <f>IF(OR(Table1[[#This Row],[Low Tol]]="",Table1[[#This Row],[High Tol]]=""),"Needs Analysis",IF(Table1[[#This Row],[Ratio]]&gt;=4,"Not Significant",IF(Table1[[#This Row],[Ratio]]&gt;=2,"Semi-Significant","Significant")))</f>
        <v>Needs Analysis</v>
      </c>
      <c r="W1196" s="1">
        <f>IF(Table1[[#This Row],[Cal Type]]&lt;&gt;"ACCREDITED 17025 WITH UNCERTAINTIES",0,"")</f>
        <v>0</v>
      </c>
      <c r="X1196" s="1" t="str">
        <f>IF(Table1[[#This Row],[DUT Read]]="","N/A",Table1[[#This Row],[Std Error]]+Table1[[#This Row],[DUT Read]]+Table1[[#This Row],[DUT Ucty]])</f>
        <v>N/A</v>
      </c>
      <c r="Y1196" s="1" t="str">
        <f>IF(Table1[[#This Row],[Std Read]]="","N/A",Table1[[#This Row],[Std Read]]+Table1[[#This Row],[Std Ucty]])</f>
        <v>N/A</v>
      </c>
      <c r="Z11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6" s="1" t="str">
        <f>IF(Table1[[#This Row],[Spec Type]]="","N/A",Table1[[#This Row],[Spec Type]])</f>
        <v>±</v>
      </c>
      <c r="AC1196" s="1" t="str">
        <f>IF(Table1[[#This Row],[Spec Type2]]="N/A","N/A",IF(AND(Table1[[#This Row],[DUT Adj Read]]&gt;=Table1[[#This Row],[Low Tol]],Table1[[#This Row],[DUT Adj Read]]&lt;=Table1[[#This Row],[High Tol]]),"Pass","Fail"))</f>
        <v>Fail</v>
      </c>
      <c r="AD1196" s="1" t="str">
        <f>IF(AND(Table1[[#This Row],[Spec Type2]]="N/A",Table1[[#This Row],[DUT Adj Read]]="N/A",Table1[[#This Row],[Std Adj Read]]="N/A"),"N/A",IF(Table1[[#This Row],[DUT Adj Read]]="N/A",IF(Table1[[#This Row],[Std Adj Read]]&gt;Table1[[#This Row],[Low Tol]],"Pass","Fail"),IF(Table1[[#This Row],[DUT Adj Read]]&gt;Table1[[#This Row],[Low Tol]],"Pass","Fail")))</f>
        <v>Pass</v>
      </c>
      <c r="AE1196" s="1" t="str">
        <f>IF(AND(Table1[[#This Row],[Spec Type2]]="N/A",Table1[[#This Row],[DUT Adj Read]]="N/A",Table1[[#This Row],[Std Adj Read]]="N/A"),"N/A",IF(Table1[[#This Row],[DUT Adj Read]]="N/A",IF(Table1[[#This Row],[Std Adj Read]]&lt;Table1[[#This Row],[High Tol]],"Pass","Fail"),IF(Table1[[#This Row],[DUT Adj Read]]&lt;Table1[[#This Row],[High Tol]],"Pass","Fail")))</f>
        <v>Fail</v>
      </c>
      <c r="AF1196" s="1" t="str">
        <f>IF(AND(Table1[[#This Row],[Spec Type2]]="N/A",Table1[[#This Row],[DUT Adj Read]]="N/A",Table1[[#This Row],[Std Adj Read]]="N/A"),"N/A",IF(Table1[[#This Row],[DUT Adj Read]]="N/A",IF(Table1[[#This Row],[Std Adj Read]]&gt;=Table1[[#This Row],[Low Tol]],"Pass","Fail"),IF(Table1[[#This Row],[DUT Adj Read]]&gt;=Table1[[#This Row],[Low Tol]],"Pass","Fail")))</f>
        <v>Pass</v>
      </c>
      <c r="AG1196" s="1" t="str">
        <f>IF(AND(Table1[[#This Row],[Spec Type2]]="N/A",Table1[[#This Row],[DUT Adj Read]]="N/A",Table1[[#This Row],[Std Adj Read]]="N/A"),"N/A",IF(Table1[[#This Row],[DUT Adj Read]]="N/A",IF(Table1[[#This Row],[Std Adj Read]]&lt;=Table1[[#This Row],[High Tol]],"Pass","Fail"),IF(Table1[[#This Row],[DUT Adj Read]]&lt;=Table1[[#This Row],[High Tol]],"Pass","Fail")))</f>
        <v>Fail</v>
      </c>
      <c r="AH11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6" s="1" t="b">
        <v>0</v>
      </c>
      <c r="AN1196" s="1" t="b">
        <v>0</v>
      </c>
      <c r="AO1196" s="1" t="b">
        <v>0</v>
      </c>
    </row>
    <row r="1197" spans="1:41" x14ac:dyDescent="0.25">
      <c r="A1197" s="10"/>
      <c r="B1197" s="10"/>
      <c r="C1197" s="10"/>
      <c r="D1197" s="10"/>
      <c r="E1197" s="10"/>
      <c r="F1197" s="10"/>
      <c r="G1197" s="10"/>
      <c r="H1197" s="10"/>
      <c r="I1197" s="1" t="str">
        <f t="shared" si="54"/>
        <v/>
      </c>
      <c r="J1197" s="1" t="s">
        <v>35</v>
      </c>
      <c r="K1197" s="1" t="str">
        <f t="shared" si="55"/>
        <v/>
      </c>
      <c r="L1197" s="1" t="str">
        <f t="shared" si="56"/>
        <v/>
      </c>
      <c r="M1197" s="1">
        <f>IF(OR(Table1[[#This Row],[Std Nom]]="",Table1[[#This Row],[Std Read]]=""),0,Table1[[#This Row],[Std Nom]]-Table1[[#This Row],[Std Read]])</f>
        <v>0</v>
      </c>
      <c r="N1197" s="1">
        <f>IF(Calculations!$F$5="ACCREDITED 17025 WITH UNCERTAINTIES",$N$10,0)</f>
        <v>0</v>
      </c>
      <c r="O1197" s="1" t="str">
        <f>IFERROR(Table1[[#This Row],[Std Nom]]-(_xlfn.XLOOKUP(Table1[[#This Row],[Manufacturer]]&amp;" "&amp;Table1[[#This Row],[Model]],Table13[MFR &amp; MDL],Table13[Tolerance % CW ],"")/100*Table1[[#This Row],[Std Nom]]),"")</f>
        <v/>
      </c>
      <c r="P1197" s="1" t="str">
        <f>IFERROR(Table1[[#This Row],[Std Nom]]+(_xlfn.XLOOKUP(Table1[[#This Row],[Manufacturer]]&amp;" "&amp;Table1[[#This Row],[Model]],Table13[MFR &amp; MDL],Table13[Tolerance % CW ],"")/100*Table1[[#This Row],[Std Nom]]),"")</f>
        <v/>
      </c>
      <c r="Q1197" s="1" t="e">
        <f>Table1[[#This Row],[High Tol]]-Table1[[#This Row],[Low Tol]]</f>
        <v>#VALUE!</v>
      </c>
      <c r="R1197" s="1">
        <f>2*Table1[[#This Row],[Std Error]]</f>
        <v>0</v>
      </c>
      <c r="S1197" s="1" t="str">
        <f>IF(Table1[[#This Row],[High Tol]]="","N/A",IFERROR(ABS(Table1[[#This Row],[Tol Span]]/Table1[[#This Row],[Error Span]]),"N/A"))</f>
        <v>N/A</v>
      </c>
      <c r="T1197" s="1" t="str">
        <f>IF(OR(Table1[[#This Row],[Low Tol]]="",Table1[[#This Row],[High Tol]]=""),"Needs Analysis",IF(Table1[[#This Row],[Ratio]]&gt;=4,"Not Significant",IF(Table1[[#This Row],[Ratio]]&gt;=2,"Semi-Significant","Significant")))</f>
        <v>Needs Analysis</v>
      </c>
      <c r="W1197" s="1">
        <f>IF(Table1[[#This Row],[Cal Type]]&lt;&gt;"ACCREDITED 17025 WITH UNCERTAINTIES",0,"")</f>
        <v>0</v>
      </c>
      <c r="X1197" s="1" t="str">
        <f>IF(Table1[[#This Row],[DUT Read]]="","N/A",Table1[[#This Row],[Std Error]]+Table1[[#This Row],[DUT Read]]+Table1[[#This Row],[DUT Ucty]])</f>
        <v>N/A</v>
      </c>
      <c r="Y1197" s="1" t="str">
        <f>IF(Table1[[#This Row],[Std Read]]="","N/A",Table1[[#This Row],[Std Read]]+Table1[[#This Row],[Std Ucty]])</f>
        <v>N/A</v>
      </c>
      <c r="Z11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7" s="1" t="str">
        <f>IF(Table1[[#This Row],[Spec Type]]="","N/A",Table1[[#This Row],[Spec Type]])</f>
        <v>±</v>
      </c>
      <c r="AC1197" s="1" t="str">
        <f>IF(Table1[[#This Row],[Spec Type2]]="N/A","N/A",IF(AND(Table1[[#This Row],[DUT Adj Read]]&gt;=Table1[[#This Row],[Low Tol]],Table1[[#This Row],[DUT Adj Read]]&lt;=Table1[[#This Row],[High Tol]]),"Pass","Fail"))</f>
        <v>Fail</v>
      </c>
      <c r="AD1197" s="1" t="str">
        <f>IF(AND(Table1[[#This Row],[Spec Type2]]="N/A",Table1[[#This Row],[DUT Adj Read]]="N/A",Table1[[#This Row],[Std Adj Read]]="N/A"),"N/A",IF(Table1[[#This Row],[DUT Adj Read]]="N/A",IF(Table1[[#This Row],[Std Adj Read]]&gt;Table1[[#This Row],[Low Tol]],"Pass","Fail"),IF(Table1[[#This Row],[DUT Adj Read]]&gt;Table1[[#This Row],[Low Tol]],"Pass","Fail")))</f>
        <v>Pass</v>
      </c>
      <c r="AE1197" s="1" t="str">
        <f>IF(AND(Table1[[#This Row],[Spec Type2]]="N/A",Table1[[#This Row],[DUT Adj Read]]="N/A",Table1[[#This Row],[Std Adj Read]]="N/A"),"N/A",IF(Table1[[#This Row],[DUT Adj Read]]="N/A",IF(Table1[[#This Row],[Std Adj Read]]&lt;Table1[[#This Row],[High Tol]],"Pass","Fail"),IF(Table1[[#This Row],[DUT Adj Read]]&lt;Table1[[#This Row],[High Tol]],"Pass","Fail")))</f>
        <v>Fail</v>
      </c>
      <c r="AF1197" s="1" t="str">
        <f>IF(AND(Table1[[#This Row],[Spec Type2]]="N/A",Table1[[#This Row],[DUT Adj Read]]="N/A",Table1[[#This Row],[Std Adj Read]]="N/A"),"N/A",IF(Table1[[#This Row],[DUT Adj Read]]="N/A",IF(Table1[[#This Row],[Std Adj Read]]&gt;=Table1[[#This Row],[Low Tol]],"Pass","Fail"),IF(Table1[[#This Row],[DUT Adj Read]]&gt;=Table1[[#This Row],[Low Tol]],"Pass","Fail")))</f>
        <v>Pass</v>
      </c>
      <c r="AG1197" s="1" t="str">
        <f>IF(AND(Table1[[#This Row],[Spec Type2]]="N/A",Table1[[#This Row],[DUT Adj Read]]="N/A",Table1[[#This Row],[Std Adj Read]]="N/A"),"N/A",IF(Table1[[#This Row],[DUT Adj Read]]="N/A",IF(Table1[[#This Row],[Std Adj Read]]&lt;=Table1[[#This Row],[High Tol]],"Pass","Fail"),IF(Table1[[#This Row],[DUT Adj Read]]&lt;=Table1[[#This Row],[High Tol]],"Pass","Fail")))</f>
        <v>Fail</v>
      </c>
      <c r="AH11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7" s="1" t="b">
        <v>0</v>
      </c>
      <c r="AN1197" s="1" t="b">
        <v>0</v>
      </c>
      <c r="AO1197" s="1" t="b">
        <v>0</v>
      </c>
    </row>
    <row r="1198" spans="1:41" x14ac:dyDescent="0.25">
      <c r="A1198" s="10"/>
      <c r="B1198" s="10"/>
      <c r="C1198" s="10"/>
      <c r="D1198" s="10"/>
      <c r="E1198" s="10"/>
      <c r="F1198" s="10"/>
      <c r="G1198" s="10"/>
      <c r="H1198" s="10"/>
      <c r="I1198" s="1" t="str">
        <f t="shared" si="54"/>
        <v/>
      </c>
      <c r="J1198" s="1" t="s">
        <v>35</v>
      </c>
      <c r="K1198" s="1" t="str">
        <f t="shared" si="55"/>
        <v/>
      </c>
      <c r="L1198" s="1" t="str">
        <f t="shared" si="56"/>
        <v/>
      </c>
      <c r="M1198" s="1">
        <f>IF(OR(Table1[[#This Row],[Std Nom]]="",Table1[[#This Row],[Std Read]]=""),0,Table1[[#This Row],[Std Nom]]-Table1[[#This Row],[Std Read]])</f>
        <v>0</v>
      </c>
      <c r="N1198" s="1">
        <f>IF(Calculations!$F$5="ACCREDITED 17025 WITH UNCERTAINTIES",$N$10,0)</f>
        <v>0</v>
      </c>
      <c r="O1198" s="1" t="str">
        <f>IFERROR(Table1[[#This Row],[Std Nom]]-(_xlfn.XLOOKUP(Table1[[#This Row],[Manufacturer]]&amp;" "&amp;Table1[[#This Row],[Model]],Table13[MFR &amp; MDL],Table13[Tolerance % CW ],"")/100*Table1[[#This Row],[Std Nom]]),"")</f>
        <v/>
      </c>
      <c r="P1198" s="1" t="str">
        <f>IFERROR(Table1[[#This Row],[Std Nom]]+(_xlfn.XLOOKUP(Table1[[#This Row],[Manufacturer]]&amp;" "&amp;Table1[[#This Row],[Model]],Table13[MFR &amp; MDL],Table13[Tolerance % CW ],"")/100*Table1[[#This Row],[Std Nom]]),"")</f>
        <v/>
      </c>
      <c r="Q1198" s="1" t="e">
        <f>Table1[[#This Row],[High Tol]]-Table1[[#This Row],[Low Tol]]</f>
        <v>#VALUE!</v>
      </c>
      <c r="R1198" s="1">
        <f>2*Table1[[#This Row],[Std Error]]</f>
        <v>0</v>
      </c>
      <c r="S1198" s="1" t="str">
        <f>IF(Table1[[#This Row],[High Tol]]="","N/A",IFERROR(ABS(Table1[[#This Row],[Tol Span]]/Table1[[#This Row],[Error Span]]),"N/A"))</f>
        <v>N/A</v>
      </c>
      <c r="T1198" s="1" t="str">
        <f>IF(OR(Table1[[#This Row],[Low Tol]]="",Table1[[#This Row],[High Tol]]=""),"Needs Analysis",IF(Table1[[#This Row],[Ratio]]&gt;=4,"Not Significant",IF(Table1[[#This Row],[Ratio]]&gt;=2,"Semi-Significant","Significant")))</f>
        <v>Needs Analysis</v>
      </c>
      <c r="W1198" s="1">
        <f>IF(Table1[[#This Row],[Cal Type]]&lt;&gt;"ACCREDITED 17025 WITH UNCERTAINTIES",0,"")</f>
        <v>0</v>
      </c>
      <c r="X1198" s="1" t="str">
        <f>IF(Table1[[#This Row],[DUT Read]]="","N/A",Table1[[#This Row],[Std Error]]+Table1[[#This Row],[DUT Read]]+Table1[[#This Row],[DUT Ucty]])</f>
        <v>N/A</v>
      </c>
      <c r="Y1198" s="1" t="str">
        <f>IF(Table1[[#This Row],[Std Read]]="","N/A",Table1[[#This Row],[Std Read]]+Table1[[#This Row],[Std Ucty]])</f>
        <v>N/A</v>
      </c>
      <c r="Z11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8" s="1" t="str">
        <f>IF(Table1[[#This Row],[Spec Type]]="","N/A",Table1[[#This Row],[Spec Type]])</f>
        <v>±</v>
      </c>
      <c r="AC1198" s="1" t="str">
        <f>IF(Table1[[#This Row],[Spec Type2]]="N/A","N/A",IF(AND(Table1[[#This Row],[DUT Adj Read]]&gt;=Table1[[#This Row],[Low Tol]],Table1[[#This Row],[DUT Adj Read]]&lt;=Table1[[#This Row],[High Tol]]),"Pass","Fail"))</f>
        <v>Fail</v>
      </c>
      <c r="AD1198" s="1" t="str">
        <f>IF(AND(Table1[[#This Row],[Spec Type2]]="N/A",Table1[[#This Row],[DUT Adj Read]]="N/A",Table1[[#This Row],[Std Adj Read]]="N/A"),"N/A",IF(Table1[[#This Row],[DUT Adj Read]]="N/A",IF(Table1[[#This Row],[Std Adj Read]]&gt;Table1[[#This Row],[Low Tol]],"Pass","Fail"),IF(Table1[[#This Row],[DUT Adj Read]]&gt;Table1[[#This Row],[Low Tol]],"Pass","Fail")))</f>
        <v>Pass</v>
      </c>
      <c r="AE1198" s="1" t="str">
        <f>IF(AND(Table1[[#This Row],[Spec Type2]]="N/A",Table1[[#This Row],[DUT Adj Read]]="N/A",Table1[[#This Row],[Std Adj Read]]="N/A"),"N/A",IF(Table1[[#This Row],[DUT Adj Read]]="N/A",IF(Table1[[#This Row],[Std Adj Read]]&lt;Table1[[#This Row],[High Tol]],"Pass","Fail"),IF(Table1[[#This Row],[DUT Adj Read]]&lt;Table1[[#This Row],[High Tol]],"Pass","Fail")))</f>
        <v>Fail</v>
      </c>
      <c r="AF1198" s="1" t="str">
        <f>IF(AND(Table1[[#This Row],[Spec Type2]]="N/A",Table1[[#This Row],[DUT Adj Read]]="N/A",Table1[[#This Row],[Std Adj Read]]="N/A"),"N/A",IF(Table1[[#This Row],[DUT Adj Read]]="N/A",IF(Table1[[#This Row],[Std Adj Read]]&gt;=Table1[[#This Row],[Low Tol]],"Pass","Fail"),IF(Table1[[#This Row],[DUT Adj Read]]&gt;=Table1[[#This Row],[Low Tol]],"Pass","Fail")))</f>
        <v>Pass</v>
      </c>
      <c r="AG1198" s="1" t="str">
        <f>IF(AND(Table1[[#This Row],[Spec Type2]]="N/A",Table1[[#This Row],[DUT Adj Read]]="N/A",Table1[[#This Row],[Std Adj Read]]="N/A"),"N/A",IF(Table1[[#This Row],[DUT Adj Read]]="N/A",IF(Table1[[#This Row],[Std Adj Read]]&lt;=Table1[[#This Row],[High Tol]],"Pass","Fail"),IF(Table1[[#This Row],[DUT Adj Read]]&lt;=Table1[[#This Row],[High Tol]],"Pass","Fail")))</f>
        <v>Fail</v>
      </c>
      <c r="AH11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8" s="1" t="b">
        <v>0</v>
      </c>
      <c r="AN1198" s="1" t="b">
        <v>0</v>
      </c>
      <c r="AO1198" s="1" t="b">
        <v>0</v>
      </c>
    </row>
    <row r="1199" spans="1:41" x14ac:dyDescent="0.25">
      <c r="A1199" s="10"/>
      <c r="B1199" s="10"/>
      <c r="C1199" s="10"/>
      <c r="D1199" s="10"/>
      <c r="E1199" s="10"/>
      <c r="F1199" s="10"/>
      <c r="G1199" s="10"/>
      <c r="H1199" s="10"/>
      <c r="I1199" s="1" t="str">
        <f t="shared" si="54"/>
        <v/>
      </c>
      <c r="J1199" s="1" t="s">
        <v>35</v>
      </c>
      <c r="K1199" s="1" t="str">
        <f t="shared" si="55"/>
        <v/>
      </c>
      <c r="L1199" s="1" t="str">
        <f t="shared" si="56"/>
        <v/>
      </c>
      <c r="M1199" s="1">
        <f>IF(OR(Table1[[#This Row],[Std Nom]]="",Table1[[#This Row],[Std Read]]=""),0,Table1[[#This Row],[Std Nom]]-Table1[[#This Row],[Std Read]])</f>
        <v>0</v>
      </c>
      <c r="N1199" s="1">
        <f>IF(Calculations!$F$5="ACCREDITED 17025 WITH UNCERTAINTIES",$N$10,0)</f>
        <v>0</v>
      </c>
      <c r="O1199" s="1" t="str">
        <f>IFERROR(Table1[[#This Row],[Std Nom]]-(_xlfn.XLOOKUP(Table1[[#This Row],[Manufacturer]]&amp;" "&amp;Table1[[#This Row],[Model]],Table13[MFR &amp; MDL],Table13[Tolerance % CW ],"")/100*Table1[[#This Row],[Std Nom]]),"")</f>
        <v/>
      </c>
      <c r="P1199" s="1" t="str">
        <f>IFERROR(Table1[[#This Row],[Std Nom]]+(_xlfn.XLOOKUP(Table1[[#This Row],[Manufacturer]]&amp;" "&amp;Table1[[#This Row],[Model]],Table13[MFR &amp; MDL],Table13[Tolerance % CW ],"")/100*Table1[[#This Row],[Std Nom]]),"")</f>
        <v/>
      </c>
      <c r="Q1199" s="1" t="e">
        <f>Table1[[#This Row],[High Tol]]-Table1[[#This Row],[Low Tol]]</f>
        <v>#VALUE!</v>
      </c>
      <c r="R1199" s="1">
        <f>2*Table1[[#This Row],[Std Error]]</f>
        <v>0</v>
      </c>
      <c r="S1199" s="1" t="str">
        <f>IF(Table1[[#This Row],[High Tol]]="","N/A",IFERROR(ABS(Table1[[#This Row],[Tol Span]]/Table1[[#This Row],[Error Span]]),"N/A"))</f>
        <v>N/A</v>
      </c>
      <c r="T1199" s="1" t="str">
        <f>IF(OR(Table1[[#This Row],[Low Tol]]="",Table1[[#This Row],[High Tol]]=""),"Needs Analysis",IF(Table1[[#This Row],[Ratio]]&gt;=4,"Not Significant",IF(Table1[[#This Row],[Ratio]]&gt;=2,"Semi-Significant","Significant")))</f>
        <v>Needs Analysis</v>
      </c>
      <c r="W1199" s="1">
        <f>IF(Table1[[#This Row],[Cal Type]]&lt;&gt;"ACCREDITED 17025 WITH UNCERTAINTIES",0,"")</f>
        <v>0</v>
      </c>
      <c r="X1199" s="1" t="str">
        <f>IF(Table1[[#This Row],[DUT Read]]="","N/A",Table1[[#This Row],[Std Error]]+Table1[[#This Row],[DUT Read]]+Table1[[#This Row],[DUT Ucty]])</f>
        <v>N/A</v>
      </c>
      <c r="Y1199" s="1" t="str">
        <f>IF(Table1[[#This Row],[Std Read]]="","N/A",Table1[[#This Row],[Std Read]]+Table1[[#This Row],[Std Ucty]])</f>
        <v>N/A</v>
      </c>
      <c r="Z11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9" s="1" t="str">
        <f>IF(Table1[[#This Row],[Spec Type]]="","N/A",Table1[[#This Row],[Spec Type]])</f>
        <v>±</v>
      </c>
      <c r="AC1199" s="1" t="str">
        <f>IF(Table1[[#This Row],[Spec Type2]]="N/A","N/A",IF(AND(Table1[[#This Row],[DUT Adj Read]]&gt;=Table1[[#This Row],[Low Tol]],Table1[[#This Row],[DUT Adj Read]]&lt;=Table1[[#This Row],[High Tol]]),"Pass","Fail"))</f>
        <v>Fail</v>
      </c>
      <c r="AD1199" s="1" t="str">
        <f>IF(AND(Table1[[#This Row],[Spec Type2]]="N/A",Table1[[#This Row],[DUT Adj Read]]="N/A",Table1[[#This Row],[Std Adj Read]]="N/A"),"N/A",IF(Table1[[#This Row],[DUT Adj Read]]="N/A",IF(Table1[[#This Row],[Std Adj Read]]&gt;Table1[[#This Row],[Low Tol]],"Pass","Fail"),IF(Table1[[#This Row],[DUT Adj Read]]&gt;Table1[[#This Row],[Low Tol]],"Pass","Fail")))</f>
        <v>Pass</v>
      </c>
      <c r="AE1199" s="1" t="str">
        <f>IF(AND(Table1[[#This Row],[Spec Type2]]="N/A",Table1[[#This Row],[DUT Adj Read]]="N/A",Table1[[#This Row],[Std Adj Read]]="N/A"),"N/A",IF(Table1[[#This Row],[DUT Adj Read]]="N/A",IF(Table1[[#This Row],[Std Adj Read]]&lt;Table1[[#This Row],[High Tol]],"Pass","Fail"),IF(Table1[[#This Row],[DUT Adj Read]]&lt;Table1[[#This Row],[High Tol]],"Pass","Fail")))</f>
        <v>Fail</v>
      </c>
      <c r="AF1199" s="1" t="str">
        <f>IF(AND(Table1[[#This Row],[Spec Type2]]="N/A",Table1[[#This Row],[DUT Adj Read]]="N/A",Table1[[#This Row],[Std Adj Read]]="N/A"),"N/A",IF(Table1[[#This Row],[DUT Adj Read]]="N/A",IF(Table1[[#This Row],[Std Adj Read]]&gt;=Table1[[#This Row],[Low Tol]],"Pass","Fail"),IF(Table1[[#This Row],[DUT Adj Read]]&gt;=Table1[[#This Row],[Low Tol]],"Pass","Fail")))</f>
        <v>Pass</v>
      </c>
      <c r="AG1199" s="1" t="str">
        <f>IF(AND(Table1[[#This Row],[Spec Type2]]="N/A",Table1[[#This Row],[DUT Adj Read]]="N/A",Table1[[#This Row],[Std Adj Read]]="N/A"),"N/A",IF(Table1[[#This Row],[DUT Adj Read]]="N/A",IF(Table1[[#This Row],[Std Adj Read]]&lt;=Table1[[#This Row],[High Tol]],"Pass","Fail"),IF(Table1[[#This Row],[DUT Adj Read]]&lt;=Table1[[#This Row],[High Tol]],"Pass","Fail")))</f>
        <v>Fail</v>
      </c>
      <c r="AH11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9" s="1" t="b">
        <v>0</v>
      </c>
      <c r="AN1199" s="1" t="b">
        <v>0</v>
      </c>
      <c r="AO1199" s="1" t="b">
        <v>0</v>
      </c>
    </row>
    <row r="1200" spans="1:41" x14ac:dyDescent="0.25">
      <c r="A1200" s="10"/>
      <c r="B1200" s="10"/>
      <c r="C1200" s="10"/>
      <c r="D1200" s="10"/>
      <c r="E1200" s="10"/>
      <c r="F1200" s="10"/>
      <c r="G1200" s="10"/>
      <c r="H1200" s="10"/>
      <c r="I1200" s="1" t="str">
        <f t="shared" si="54"/>
        <v/>
      </c>
      <c r="J1200" s="1" t="s">
        <v>35</v>
      </c>
      <c r="K1200" s="1" t="str">
        <f t="shared" si="55"/>
        <v/>
      </c>
      <c r="L1200" s="1" t="str">
        <f t="shared" si="56"/>
        <v/>
      </c>
      <c r="M1200" s="1">
        <f>IF(OR(Table1[[#This Row],[Std Nom]]="",Table1[[#This Row],[Std Read]]=""),0,Table1[[#This Row],[Std Nom]]-Table1[[#This Row],[Std Read]])</f>
        <v>0</v>
      </c>
      <c r="N1200" s="1">
        <f>IF(Calculations!$F$5="ACCREDITED 17025 WITH UNCERTAINTIES",$N$10,0)</f>
        <v>0</v>
      </c>
      <c r="O1200" s="1" t="str">
        <f>IFERROR(Table1[[#This Row],[Std Nom]]-(_xlfn.XLOOKUP(Table1[[#This Row],[Manufacturer]]&amp;" "&amp;Table1[[#This Row],[Model]],Table13[MFR &amp; MDL],Table13[Tolerance % CW ],"")/100*Table1[[#This Row],[Std Nom]]),"")</f>
        <v/>
      </c>
      <c r="P1200" s="1" t="str">
        <f>IFERROR(Table1[[#This Row],[Std Nom]]+(_xlfn.XLOOKUP(Table1[[#This Row],[Manufacturer]]&amp;" "&amp;Table1[[#This Row],[Model]],Table13[MFR &amp; MDL],Table13[Tolerance % CW ],"")/100*Table1[[#This Row],[Std Nom]]),"")</f>
        <v/>
      </c>
      <c r="Q1200" s="1" t="e">
        <f>Table1[[#This Row],[High Tol]]-Table1[[#This Row],[Low Tol]]</f>
        <v>#VALUE!</v>
      </c>
      <c r="R1200" s="1">
        <f>2*Table1[[#This Row],[Std Error]]</f>
        <v>0</v>
      </c>
      <c r="S1200" s="1" t="str">
        <f>IF(Table1[[#This Row],[High Tol]]="","N/A",IFERROR(ABS(Table1[[#This Row],[Tol Span]]/Table1[[#This Row],[Error Span]]),"N/A"))</f>
        <v>N/A</v>
      </c>
      <c r="T1200" s="1" t="str">
        <f>IF(OR(Table1[[#This Row],[Low Tol]]="",Table1[[#This Row],[High Tol]]=""),"Needs Analysis",IF(Table1[[#This Row],[Ratio]]&gt;=4,"Not Significant",IF(Table1[[#This Row],[Ratio]]&gt;=2,"Semi-Significant","Significant")))</f>
        <v>Needs Analysis</v>
      </c>
      <c r="W1200" s="1">
        <f>IF(Table1[[#This Row],[Cal Type]]&lt;&gt;"ACCREDITED 17025 WITH UNCERTAINTIES",0,"")</f>
        <v>0</v>
      </c>
      <c r="X1200" s="1" t="str">
        <f>IF(Table1[[#This Row],[DUT Read]]="","N/A",Table1[[#This Row],[Std Error]]+Table1[[#This Row],[DUT Read]]+Table1[[#This Row],[DUT Ucty]])</f>
        <v>N/A</v>
      </c>
      <c r="Y1200" s="1" t="str">
        <f>IF(Table1[[#This Row],[Std Read]]="","N/A",Table1[[#This Row],[Std Read]]+Table1[[#This Row],[Std Ucty]])</f>
        <v>N/A</v>
      </c>
      <c r="Z12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0" s="1" t="str">
        <f>IF(Table1[[#This Row],[Spec Type]]="","N/A",Table1[[#This Row],[Spec Type]])</f>
        <v>±</v>
      </c>
      <c r="AC1200" s="1" t="str">
        <f>IF(Table1[[#This Row],[Spec Type2]]="N/A","N/A",IF(AND(Table1[[#This Row],[DUT Adj Read]]&gt;=Table1[[#This Row],[Low Tol]],Table1[[#This Row],[DUT Adj Read]]&lt;=Table1[[#This Row],[High Tol]]),"Pass","Fail"))</f>
        <v>Fail</v>
      </c>
      <c r="AD1200" s="1" t="str">
        <f>IF(AND(Table1[[#This Row],[Spec Type2]]="N/A",Table1[[#This Row],[DUT Adj Read]]="N/A",Table1[[#This Row],[Std Adj Read]]="N/A"),"N/A",IF(Table1[[#This Row],[DUT Adj Read]]="N/A",IF(Table1[[#This Row],[Std Adj Read]]&gt;Table1[[#This Row],[Low Tol]],"Pass","Fail"),IF(Table1[[#This Row],[DUT Adj Read]]&gt;Table1[[#This Row],[Low Tol]],"Pass","Fail")))</f>
        <v>Pass</v>
      </c>
      <c r="AE1200" s="1" t="str">
        <f>IF(AND(Table1[[#This Row],[Spec Type2]]="N/A",Table1[[#This Row],[DUT Adj Read]]="N/A",Table1[[#This Row],[Std Adj Read]]="N/A"),"N/A",IF(Table1[[#This Row],[DUT Adj Read]]="N/A",IF(Table1[[#This Row],[Std Adj Read]]&lt;Table1[[#This Row],[High Tol]],"Pass","Fail"),IF(Table1[[#This Row],[DUT Adj Read]]&lt;Table1[[#This Row],[High Tol]],"Pass","Fail")))</f>
        <v>Fail</v>
      </c>
      <c r="AF1200" s="1" t="str">
        <f>IF(AND(Table1[[#This Row],[Spec Type2]]="N/A",Table1[[#This Row],[DUT Adj Read]]="N/A",Table1[[#This Row],[Std Adj Read]]="N/A"),"N/A",IF(Table1[[#This Row],[DUT Adj Read]]="N/A",IF(Table1[[#This Row],[Std Adj Read]]&gt;=Table1[[#This Row],[Low Tol]],"Pass","Fail"),IF(Table1[[#This Row],[DUT Adj Read]]&gt;=Table1[[#This Row],[Low Tol]],"Pass","Fail")))</f>
        <v>Pass</v>
      </c>
      <c r="AG1200" s="1" t="str">
        <f>IF(AND(Table1[[#This Row],[Spec Type2]]="N/A",Table1[[#This Row],[DUT Adj Read]]="N/A",Table1[[#This Row],[Std Adj Read]]="N/A"),"N/A",IF(Table1[[#This Row],[DUT Adj Read]]="N/A",IF(Table1[[#This Row],[Std Adj Read]]&lt;=Table1[[#This Row],[High Tol]],"Pass","Fail"),IF(Table1[[#This Row],[DUT Adj Read]]&lt;=Table1[[#This Row],[High Tol]],"Pass","Fail")))</f>
        <v>Fail</v>
      </c>
      <c r="AH12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0" s="1" t="b">
        <v>0</v>
      </c>
      <c r="AN1200" s="1" t="b">
        <v>0</v>
      </c>
      <c r="AO1200" s="1" t="b">
        <v>0</v>
      </c>
    </row>
    <row r="1201" spans="1:41" x14ac:dyDescent="0.25">
      <c r="A1201" s="10"/>
      <c r="B1201" s="10"/>
      <c r="C1201" s="10"/>
      <c r="D1201" s="10"/>
      <c r="E1201" s="10"/>
      <c r="F1201" s="10"/>
      <c r="G1201" s="10"/>
      <c r="H1201" s="10"/>
      <c r="I1201" s="1" t="str">
        <f t="shared" si="54"/>
        <v/>
      </c>
      <c r="J1201" s="1" t="s">
        <v>35</v>
      </c>
      <c r="K1201" s="1" t="str">
        <f t="shared" si="55"/>
        <v/>
      </c>
      <c r="L1201" s="1" t="str">
        <f t="shared" si="56"/>
        <v/>
      </c>
      <c r="M1201" s="1">
        <f>IF(OR(Table1[[#This Row],[Std Nom]]="",Table1[[#This Row],[Std Read]]=""),0,Table1[[#This Row],[Std Nom]]-Table1[[#This Row],[Std Read]])</f>
        <v>0</v>
      </c>
      <c r="N1201" s="1">
        <f>IF(Calculations!$F$5="ACCREDITED 17025 WITH UNCERTAINTIES",$N$10,0)</f>
        <v>0</v>
      </c>
      <c r="O1201" s="1" t="str">
        <f>IFERROR(Table1[[#This Row],[Std Nom]]-(_xlfn.XLOOKUP(Table1[[#This Row],[Manufacturer]]&amp;" "&amp;Table1[[#This Row],[Model]],Table13[MFR &amp; MDL],Table13[Tolerance % CW ],"")/100*Table1[[#This Row],[Std Nom]]),"")</f>
        <v/>
      </c>
      <c r="P1201" s="1" t="str">
        <f>IFERROR(Table1[[#This Row],[Std Nom]]+(_xlfn.XLOOKUP(Table1[[#This Row],[Manufacturer]]&amp;" "&amp;Table1[[#This Row],[Model]],Table13[MFR &amp; MDL],Table13[Tolerance % CW ],"")/100*Table1[[#This Row],[Std Nom]]),"")</f>
        <v/>
      </c>
      <c r="Q1201" s="1" t="e">
        <f>Table1[[#This Row],[High Tol]]-Table1[[#This Row],[Low Tol]]</f>
        <v>#VALUE!</v>
      </c>
      <c r="R1201" s="1">
        <f>2*Table1[[#This Row],[Std Error]]</f>
        <v>0</v>
      </c>
      <c r="S1201" s="1" t="str">
        <f>IF(Table1[[#This Row],[High Tol]]="","N/A",IFERROR(ABS(Table1[[#This Row],[Tol Span]]/Table1[[#This Row],[Error Span]]),"N/A"))</f>
        <v>N/A</v>
      </c>
      <c r="T1201" s="1" t="str">
        <f>IF(OR(Table1[[#This Row],[Low Tol]]="",Table1[[#This Row],[High Tol]]=""),"Needs Analysis",IF(Table1[[#This Row],[Ratio]]&gt;=4,"Not Significant",IF(Table1[[#This Row],[Ratio]]&gt;=2,"Semi-Significant","Significant")))</f>
        <v>Needs Analysis</v>
      </c>
      <c r="W1201" s="1">
        <f>IF(Table1[[#This Row],[Cal Type]]&lt;&gt;"ACCREDITED 17025 WITH UNCERTAINTIES",0,"")</f>
        <v>0</v>
      </c>
      <c r="X1201" s="1" t="str">
        <f>IF(Table1[[#This Row],[DUT Read]]="","N/A",Table1[[#This Row],[Std Error]]+Table1[[#This Row],[DUT Read]]+Table1[[#This Row],[DUT Ucty]])</f>
        <v>N/A</v>
      </c>
      <c r="Y1201" s="1" t="str">
        <f>IF(Table1[[#This Row],[Std Read]]="","N/A",Table1[[#This Row],[Std Read]]+Table1[[#This Row],[Std Ucty]])</f>
        <v>N/A</v>
      </c>
      <c r="Z12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1" s="1" t="str">
        <f>IF(Table1[[#This Row],[Spec Type]]="","N/A",Table1[[#This Row],[Spec Type]])</f>
        <v>±</v>
      </c>
      <c r="AC1201" s="1" t="str">
        <f>IF(Table1[[#This Row],[Spec Type2]]="N/A","N/A",IF(AND(Table1[[#This Row],[DUT Adj Read]]&gt;=Table1[[#This Row],[Low Tol]],Table1[[#This Row],[DUT Adj Read]]&lt;=Table1[[#This Row],[High Tol]]),"Pass","Fail"))</f>
        <v>Fail</v>
      </c>
      <c r="AD1201" s="1" t="str">
        <f>IF(AND(Table1[[#This Row],[Spec Type2]]="N/A",Table1[[#This Row],[DUT Adj Read]]="N/A",Table1[[#This Row],[Std Adj Read]]="N/A"),"N/A",IF(Table1[[#This Row],[DUT Adj Read]]="N/A",IF(Table1[[#This Row],[Std Adj Read]]&gt;Table1[[#This Row],[Low Tol]],"Pass","Fail"),IF(Table1[[#This Row],[DUT Adj Read]]&gt;Table1[[#This Row],[Low Tol]],"Pass","Fail")))</f>
        <v>Pass</v>
      </c>
      <c r="AE1201" s="1" t="str">
        <f>IF(AND(Table1[[#This Row],[Spec Type2]]="N/A",Table1[[#This Row],[DUT Adj Read]]="N/A",Table1[[#This Row],[Std Adj Read]]="N/A"),"N/A",IF(Table1[[#This Row],[DUT Adj Read]]="N/A",IF(Table1[[#This Row],[Std Adj Read]]&lt;Table1[[#This Row],[High Tol]],"Pass","Fail"),IF(Table1[[#This Row],[DUT Adj Read]]&lt;Table1[[#This Row],[High Tol]],"Pass","Fail")))</f>
        <v>Fail</v>
      </c>
      <c r="AF1201" s="1" t="str">
        <f>IF(AND(Table1[[#This Row],[Spec Type2]]="N/A",Table1[[#This Row],[DUT Adj Read]]="N/A",Table1[[#This Row],[Std Adj Read]]="N/A"),"N/A",IF(Table1[[#This Row],[DUT Adj Read]]="N/A",IF(Table1[[#This Row],[Std Adj Read]]&gt;=Table1[[#This Row],[Low Tol]],"Pass","Fail"),IF(Table1[[#This Row],[DUT Adj Read]]&gt;=Table1[[#This Row],[Low Tol]],"Pass","Fail")))</f>
        <v>Pass</v>
      </c>
      <c r="AG1201" s="1" t="str">
        <f>IF(AND(Table1[[#This Row],[Spec Type2]]="N/A",Table1[[#This Row],[DUT Adj Read]]="N/A",Table1[[#This Row],[Std Adj Read]]="N/A"),"N/A",IF(Table1[[#This Row],[DUT Adj Read]]="N/A",IF(Table1[[#This Row],[Std Adj Read]]&lt;=Table1[[#This Row],[High Tol]],"Pass","Fail"),IF(Table1[[#This Row],[DUT Adj Read]]&lt;=Table1[[#This Row],[High Tol]],"Pass","Fail")))</f>
        <v>Fail</v>
      </c>
      <c r="AH12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1" s="1" t="b">
        <v>0</v>
      </c>
      <c r="AN1201" s="1" t="b">
        <v>0</v>
      </c>
      <c r="AO1201" s="1" t="b">
        <v>0</v>
      </c>
    </row>
    <row r="1202" spans="1:41" x14ac:dyDescent="0.25">
      <c r="A1202" s="10"/>
      <c r="B1202" s="10"/>
      <c r="C1202" s="10"/>
      <c r="D1202" s="10"/>
      <c r="E1202" s="10"/>
      <c r="F1202" s="10"/>
      <c r="G1202" s="10"/>
      <c r="H1202" s="10"/>
      <c r="I1202" s="1" t="str">
        <f t="shared" si="54"/>
        <v/>
      </c>
      <c r="J1202" s="1" t="s">
        <v>35</v>
      </c>
      <c r="K1202" s="1" t="str">
        <f t="shared" si="55"/>
        <v/>
      </c>
      <c r="L1202" s="1" t="str">
        <f t="shared" si="56"/>
        <v/>
      </c>
      <c r="M1202" s="1">
        <f>IF(OR(Table1[[#This Row],[Std Nom]]="",Table1[[#This Row],[Std Read]]=""),0,Table1[[#This Row],[Std Nom]]-Table1[[#This Row],[Std Read]])</f>
        <v>0</v>
      </c>
      <c r="N1202" s="1">
        <f>IF(Calculations!$F$5="ACCREDITED 17025 WITH UNCERTAINTIES",$N$10,0)</f>
        <v>0</v>
      </c>
      <c r="O1202" s="1" t="str">
        <f>IFERROR(Table1[[#This Row],[Std Nom]]-(_xlfn.XLOOKUP(Table1[[#This Row],[Manufacturer]]&amp;" "&amp;Table1[[#This Row],[Model]],Table13[MFR &amp; MDL],Table13[Tolerance % CW ],"")/100*Table1[[#This Row],[Std Nom]]),"")</f>
        <v/>
      </c>
      <c r="P1202" s="1" t="str">
        <f>IFERROR(Table1[[#This Row],[Std Nom]]+(_xlfn.XLOOKUP(Table1[[#This Row],[Manufacturer]]&amp;" "&amp;Table1[[#This Row],[Model]],Table13[MFR &amp; MDL],Table13[Tolerance % CW ],"")/100*Table1[[#This Row],[Std Nom]]),"")</f>
        <v/>
      </c>
      <c r="Q1202" s="1" t="e">
        <f>Table1[[#This Row],[High Tol]]-Table1[[#This Row],[Low Tol]]</f>
        <v>#VALUE!</v>
      </c>
      <c r="R1202" s="1">
        <f>2*Table1[[#This Row],[Std Error]]</f>
        <v>0</v>
      </c>
      <c r="S1202" s="1" t="str">
        <f>IF(Table1[[#This Row],[High Tol]]="","N/A",IFERROR(ABS(Table1[[#This Row],[Tol Span]]/Table1[[#This Row],[Error Span]]),"N/A"))</f>
        <v>N/A</v>
      </c>
      <c r="T1202" s="1" t="str">
        <f>IF(OR(Table1[[#This Row],[Low Tol]]="",Table1[[#This Row],[High Tol]]=""),"Needs Analysis",IF(Table1[[#This Row],[Ratio]]&gt;=4,"Not Significant",IF(Table1[[#This Row],[Ratio]]&gt;=2,"Semi-Significant","Significant")))</f>
        <v>Needs Analysis</v>
      </c>
      <c r="W1202" s="1">
        <f>IF(Table1[[#This Row],[Cal Type]]&lt;&gt;"ACCREDITED 17025 WITH UNCERTAINTIES",0,"")</f>
        <v>0</v>
      </c>
      <c r="X1202" s="1" t="str">
        <f>IF(Table1[[#This Row],[DUT Read]]="","N/A",Table1[[#This Row],[Std Error]]+Table1[[#This Row],[DUT Read]]+Table1[[#This Row],[DUT Ucty]])</f>
        <v>N/A</v>
      </c>
      <c r="Y1202" s="1" t="str">
        <f>IF(Table1[[#This Row],[Std Read]]="","N/A",Table1[[#This Row],[Std Read]]+Table1[[#This Row],[Std Ucty]])</f>
        <v>N/A</v>
      </c>
      <c r="Z12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2" s="1" t="str">
        <f>IF(Table1[[#This Row],[Spec Type]]="","N/A",Table1[[#This Row],[Spec Type]])</f>
        <v>±</v>
      </c>
      <c r="AC1202" s="1" t="str">
        <f>IF(Table1[[#This Row],[Spec Type2]]="N/A","N/A",IF(AND(Table1[[#This Row],[DUT Adj Read]]&gt;=Table1[[#This Row],[Low Tol]],Table1[[#This Row],[DUT Adj Read]]&lt;=Table1[[#This Row],[High Tol]]),"Pass","Fail"))</f>
        <v>Fail</v>
      </c>
      <c r="AD1202" s="1" t="str">
        <f>IF(AND(Table1[[#This Row],[Spec Type2]]="N/A",Table1[[#This Row],[DUT Adj Read]]="N/A",Table1[[#This Row],[Std Adj Read]]="N/A"),"N/A",IF(Table1[[#This Row],[DUT Adj Read]]="N/A",IF(Table1[[#This Row],[Std Adj Read]]&gt;Table1[[#This Row],[Low Tol]],"Pass","Fail"),IF(Table1[[#This Row],[DUT Adj Read]]&gt;Table1[[#This Row],[Low Tol]],"Pass","Fail")))</f>
        <v>Pass</v>
      </c>
      <c r="AE1202" s="1" t="str">
        <f>IF(AND(Table1[[#This Row],[Spec Type2]]="N/A",Table1[[#This Row],[DUT Adj Read]]="N/A",Table1[[#This Row],[Std Adj Read]]="N/A"),"N/A",IF(Table1[[#This Row],[DUT Adj Read]]="N/A",IF(Table1[[#This Row],[Std Adj Read]]&lt;Table1[[#This Row],[High Tol]],"Pass","Fail"),IF(Table1[[#This Row],[DUT Adj Read]]&lt;Table1[[#This Row],[High Tol]],"Pass","Fail")))</f>
        <v>Fail</v>
      </c>
      <c r="AF1202" s="1" t="str">
        <f>IF(AND(Table1[[#This Row],[Spec Type2]]="N/A",Table1[[#This Row],[DUT Adj Read]]="N/A",Table1[[#This Row],[Std Adj Read]]="N/A"),"N/A",IF(Table1[[#This Row],[DUT Adj Read]]="N/A",IF(Table1[[#This Row],[Std Adj Read]]&gt;=Table1[[#This Row],[Low Tol]],"Pass","Fail"),IF(Table1[[#This Row],[DUT Adj Read]]&gt;=Table1[[#This Row],[Low Tol]],"Pass","Fail")))</f>
        <v>Pass</v>
      </c>
      <c r="AG1202" s="1" t="str">
        <f>IF(AND(Table1[[#This Row],[Spec Type2]]="N/A",Table1[[#This Row],[DUT Adj Read]]="N/A",Table1[[#This Row],[Std Adj Read]]="N/A"),"N/A",IF(Table1[[#This Row],[DUT Adj Read]]="N/A",IF(Table1[[#This Row],[Std Adj Read]]&lt;=Table1[[#This Row],[High Tol]],"Pass","Fail"),IF(Table1[[#This Row],[DUT Adj Read]]&lt;=Table1[[#This Row],[High Tol]],"Pass","Fail")))</f>
        <v>Fail</v>
      </c>
      <c r="AH12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2" s="1" t="b">
        <v>0</v>
      </c>
      <c r="AN1202" s="1" t="b">
        <v>0</v>
      </c>
      <c r="AO1202" s="1" t="b">
        <v>0</v>
      </c>
    </row>
    <row r="1203" spans="1:41" x14ac:dyDescent="0.25">
      <c r="A1203" s="10"/>
      <c r="B1203" s="10"/>
      <c r="C1203" s="10"/>
      <c r="D1203" s="10"/>
      <c r="E1203" s="10"/>
      <c r="F1203" s="10"/>
      <c r="G1203" s="10"/>
      <c r="H1203" s="10"/>
      <c r="I1203" s="1" t="str">
        <f t="shared" si="54"/>
        <v/>
      </c>
      <c r="J1203" s="1" t="s">
        <v>35</v>
      </c>
      <c r="K1203" s="1" t="str">
        <f t="shared" si="55"/>
        <v/>
      </c>
      <c r="L1203" s="1" t="str">
        <f t="shared" si="56"/>
        <v/>
      </c>
      <c r="M1203" s="1">
        <f>IF(OR(Table1[[#This Row],[Std Nom]]="",Table1[[#This Row],[Std Read]]=""),0,Table1[[#This Row],[Std Nom]]-Table1[[#This Row],[Std Read]])</f>
        <v>0</v>
      </c>
      <c r="N1203" s="1">
        <f>IF(Calculations!$F$5="ACCREDITED 17025 WITH UNCERTAINTIES",$N$10,0)</f>
        <v>0</v>
      </c>
      <c r="O1203" s="1" t="str">
        <f>IFERROR(Table1[[#This Row],[Std Nom]]-(_xlfn.XLOOKUP(Table1[[#This Row],[Manufacturer]]&amp;" "&amp;Table1[[#This Row],[Model]],Table13[MFR &amp; MDL],Table13[Tolerance % CW ],"")/100*Table1[[#This Row],[Std Nom]]),"")</f>
        <v/>
      </c>
      <c r="P1203" s="1" t="str">
        <f>IFERROR(Table1[[#This Row],[Std Nom]]+(_xlfn.XLOOKUP(Table1[[#This Row],[Manufacturer]]&amp;" "&amp;Table1[[#This Row],[Model]],Table13[MFR &amp; MDL],Table13[Tolerance % CW ],"")/100*Table1[[#This Row],[Std Nom]]),"")</f>
        <v/>
      </c>
      <c r="Q1203" s="1" t="e">
        <f>Table1[[#This Row],[High Tol]]-Table1[[#This Row],[Low Tol]]</f>
        <v>#VALUE!</v>
      </c>
      <c r="R1203" s="1">
        <f>2*Table1[[#This Row],[Std Error]]</f>
        <v>0</v>
      </c>
      <c r="S1203" s="1" t="str">
        <f>IF(Table1[[#This Row],[High Tol]]="","N/A",IFERROR(ABS(Table1[[#This Row],[Tol Span]]/Table1[[#This Row],[Error Span]]),"N/A"))</f>
        <v>N/A</v>
      </c>
      <c r="T1203" s="1" t="str">
        <f>IF(OR(Table1[[#This Row],[Low Tol]]="",Table1[[#This Row],[High Tol]]=""),"Needs Analysis",IF(Table1[[#This Row],[Ratio]]&gt;=4,"Not Significant",IF(Table1[[#This Row],[Ratio]]&gt;=2,"Semi-Significant","Significant")))</f>
        <v>Needs Analysis</v>
      </c>
      <c r="W1203" s="1">
        <f>IF(Table1[[#This Row],[Cal Type]]&lt;&gt;"ACCREDITED 17025 WITH UNCERTAINTIES",0,"")</f>
        <v>0</v>
      </c>
      <c r="X1203" s="1" t="str">
        <f>IF(Table1[[#This Row],[DUT Read]]="","N/A",Table1[[#This Row],[Std Error]]+Table1[[#This Row],[DUT Read]]+Table1[[#This Row],[DUT Ucty]])</f>
        <v>N/A</v>
      </c>
      <c r="Y1203" s="1" t="str">
        <f>IF(Table1[[#This Row],[Std Read]]="","N/A",Table1[[#This Row],[Std Read]]+Table1[[#This Row],[Std Ucty]])</f>
        <v>N/A</v>
      </c>
      <c r="Z12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3" s="1" t="str">
        <f>IF(Table1[[#This Row],[Spec Type]]="","N/A",Table1[[#This Row],[Spec Type]])</f>
        <v>±</v>
      </c>
      <c r="AC1203" s="1" t="str">
        <f>IF(Table1[[#This Row],[Spec Type2]]="N/A","N/A",IF(AND(Table1[[#This Row],[DUT Adj Read]]&gt;=Table1[[#This Row],[Low Tol]],Table1[[#This Row],[DUT Adj Read]]&lt;=Table1[[#This Row],[High Tol]]),"Pass","Fail"))</f>
        <v>Fail</v>
      </c>
      <c r="AD1203" s="1" t="str">
        <f>IF(AND(Table1[[#This Row],[Spec Type2]]="N/A",Table1[[#This Row],[DUT Adj Read]]="N/A",Table1[[#This Row],[Std Adj Read]]="N/A"),"N/A",IF(Table1[[#This Row],[DUT Adj Read]]="N/A",IF(Table1[[#This Row],[Std Adj Read]]&gt;Table1[[#This Row],[Low Tol]],"Pass","Fail"),IF(Table1[[#This Row],[DUT Adj Read]]&gt;Table1[[#This Row],[Low Tol]],"Pass","Fail")))</f>
        <v>Pass</v>
      </c>
      <c r="AE1203" s="1" t="str">
        <f>IF(AND(Table1[[#This Row],[Spec Type2]]="N/A",Table1[[#This Row],[DUT Adj Read]]="N/A",Table1[[#This Row],[Std Adj Read]]="N/A"),"N/A",IF(Table1[[#This Row],[DUT Adj Read]]="N/A",IF(Table1[[#This Row],[Std Adj Read]]&lt;Table1[[#This Row],[High Tol]],"Pass","Fail"),IF(Table1[[#This Row],[DUT Adj Read]]&lt;Table1[[#This Row],[High Tol]],"Pass","Fail")))</f>
        <v>Fail</v>
      </c>
      <c r="AF1203" s="1" t="str">
        <f>IF(AND(Table1[[#This Row],[Spec Type2]]="N/A",Table1[[#This Row],[DUT Adj Read]]="N/A",Table1[[#This Row],[Std Adj Read]]="N/A"),"N/A",IF(Table1[[#This Row],[DUT Adj Read]]="N/A",IF(Table1[[#This Row],[Std Adj Read]]&gt;=Table1[[#This Row],[Low Tol]],"Pass","Fail"),IF(Table1[[#This Row],[DUT Adj Read]]&gt;=Table1[[#This Row],[Low Tol]],"Pass","Fail")))</f>
        <v>Pass</v>
      </c>
      <c r="AG1203" s="1" t="str">
        <f>IF(AND(Table1[[#This Row],[Spec Type2]]="N/A",Table1[[#This Row],[DUT Adj Read]]="N/A",Table1[[#This Row],[Std Adj Read]]="N/A"),"N/A",IF(Table1[[#This Row],[DUT Adj Read]]="N/A",IF(Table1[[#This Row],[Std Adj Read]]&lt;=Table1[[#This Row],[High Tol]],"Pass","Fail"),IF(Table1[[#This Row],[DUT Adj Read]]&lt;=Table1[[#This Row],[High Tol]],"Pass","Fail")))</f>
        <v>Fail</v>
      </c>
      <c r="AH12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3" s="1" t="b">
        <v>0</v>
      </c>
      <c r="AN1203" s="1" t="b">
        <v>0</v>
      </c>
      <c r="AO1203" s="1" t="b">
        <v>0</v>
      </c>
    </row>
    <row r="1204" spans="1:41" x14ac:dyDescent="0.25">
      <c r="A1204" s="10"/>
      <c r="B1204" s="10"/>
      <c r="C1204" s="10"/>
      <c r="D1204" s="10"/>
      <c r="E1204" s="10"/>
      <c r="F1204" s="10"/>
      <c r="G1204" s="10"/>
      <c r="H1204" s="10"/>
      <c r="I1204" s="1" t="str">
        <f t="shared" si="54"/>
        <v/>
      </c>
      <c r="J1204" s="1" t="s">
        <v>35</v>
      </c>
      <c r="K1204" s="1" t="str">
        <f t="shared" si="55"/>
        <v/>
      </c>
      <c r="L1204" s="1" t="str">
        <f t="shared" si="56"/>
        <v/>
      </c>
      <c r="M1204" s="1">
        <f>IF(OR(Table1[[#This Row],[Std Nom]]="",Table1[[#This Row],[Std Read]]=""),0,Table1[[#This Row],[Std Nom]]-Table1[[#This Row],[Std Read]])</f>
        <v>0</v>
      </c>
      <c r="N1204" s="1">
        <f>IF(Calculations!$F$5="ACCREDITED 17025 WITH UNCERTAINTIES",$N$10,0)</f>
        <v>0</v>
      </c>
      <c r="O1204" s="1" t="str">
        <f>IFERROR(Table1[[#This Row],[Std Nom]]-(_xlfn.XLOOKUP(Table1[[#This Row],[Manufacturer]]&amp;" "&amp;Table1[[#This Row],[Model]],Table13[MFR &amp; MDL],Table13[Tolerance % CW ],"")/100*Table1[[#This Row],[Std Nom]]),"")</f>
        <v/>
      </c>
      <c r="P1204" s="1" t="str">
        <f>IFERROR(Table1[[#This Row],[Std Nom]]+(_xlfn.XLOOKUP(Table1[[#This Row],[Manufacturer]]&amp;" "&amp;Table1[[#This Row],[Model]],Table13[MFR &amp; MDL],Table13[Tolerance % CW ],"")/100*Table1[[#This Row],[Std Nom]]),"")</f>
        <v/>
      </c>
      <c r="Q1204" s="1" t="e">
        <f>Table1[[#This Row],[High Tol]]-Table1[[#This Row],[Low Tol]]</f>
        <v>#VALUE!</v>
      </c>
      <c r="R1204" s="1">
        <f>2*Table1[[#This Row],[Std Error]]</f>
        <v>0</v>
      </c>
      <c r="S1204" s="1" t="str">
        <f>IF(Table1[[#This Row],[High Tol]]="","N/A",IFERROR(ABS(Table1[[#This Row],[Tol Span]]/Table1[[#This Row],[Error Span]]),"N/A"))</f>
        <v>N/A</v>
      </c>
      <c r="T1204" s="1" t="str">
        <f>IF(OR(Table1[[#This Row],[Low Tol]]="",Table1[[#This Row],[High Tol]]=""),"Needs Analysis",IF(Table1[[#This Row],[Ratio]]&gt;=4,"Not Significant",IF(Table1[[#This Row],[Ratio]]&gt;=2,"Semi-Significant","Significant")))</f>
        <v>Needs Analysis</v>
      </c>
      <c r="W1204" s="1">
        <f>IF(Table1[[#This Row],[Cal Type]]&lt;&gt;"ACCREDITED 17025 WITH UNCERTAINTIES",0,"")</f>
        <v>0</v>
      </c>
      <c r="X1204" s="1" t="str">
        <f>IF(Table1[[#This Row],[DUT Read]]="","N/A",Table1[[#This Row],[Std Error]]+Table1[[#This Row],[DUT Read]]+Table1[[#This Row],[DUT Ucty]])</f>
        <v>N/A</v>
      </c>
      <c r="Y1204" s="1" t="str">
        <f>IF(Table1[[#This Row],[Std Read]]="","N/A",Table1[[#This Row],[Std Read]]+Table1[[#This Row],[Std Ucty]])</f>
        <v>N/A</v>
      </c>
      <c r="Z12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4" s="1" t="str">
        <f>IF(Table1[[#This Row],[Spec Type]]="","N/A",Table1[[#This Row],[Spec Type]])</f>
        <v>±</v>
      </c>
      <c r="AC1204" s="1" t="str">
        <f>IF(Table1[[#This Row],[Spec Type2]]="N/A","N/A",IF(AND(Table1[[#This Row],[DUT Adj Read]]&gt;=Table1[[#This Row],[Low Tol]],Table1[[#This Row],[DUT Adj Read]]&lt;=Table1[[#This Row],[High Tol]]),"Pass","Fail"))</f>
        <v>Fail</v>
      </c>
      <c r="AD1204" s="1" t="str">
        <f>IF(AND(Table1[[#This Row],[Spec Type2]]="N/A",Table1[[#This Row],[DUT Adj Read]]="N/A",Table1[[#This Row],[Std Adj Read]]="N/A"),"N/A",IF(Table1[[#This Row],[DUT Adj Read]]="N/A",IF(Table1[[#This Row],[Std Adj Read]]&gt;Table1[[#This Row],[Low Tol]],"Pass","Fail"),IF(Table1[[#This Row],[DUT Adj Read]]&gt;Table1[[#This Row],[Low Tol]],"Pass","Fail")))</f>
        <v>Pass</v>
      </c>
      <c r="AE1204" s="1" t="str">
        <f>IF(AND(Table1[[#This Row],[Spec Type2]]="N/A",Table1[[#This Row],[DUT Adj Read]]="N/A",Table1[[#This Row],[Std Adj Read]]="N/A"),"N/A",IF(Table1[[#This Row],[DUT Adj Read]]="N/A",IF(Table1[[#This Row],[Std Adj Read]]&lt;Table1[[#This Row],[High Tol]],"Pass","Fail"),IF(Table1[[#This Row],[DUT Adj Read]]&lt;Table1[[#This Row],[High Tol]],"Pass","Fail")))</f>
        <v>Fail</v>
      </c>
      <c r="AF1204" s="1" t="str">
        <f>IF(AND(Table1[[#This Row],[Spec Type2]]="N/A",Table1[[#This Row],[DUT Adj Read]]="N/A",Table1[[#This Row],[Std Adj Read]]="N/A"),"N/A",IF(Table1[[#This Row],[DUT Adj Read]]="N/A",IF(Table1[[#This Row],[Std Adj Read]]&gt;=Table1[[#This Row],[Low Tol]],"Pass","Fail"),IF(Table1[[#This Row],[DUT Adj Read]]&gt;=Table1[[#This Row],[Low Tol]],"Pass","Fail")))</f>
        <v>Pass</v>
      </c>
      <c r="AG1204" s="1" t="str">
        <f>IF(AND(Table1[[#This Row],[Spec Type2]]="N/A",Table1[[#This Row],[DUT Adj Read]]="N/A",Table1[[#This Row],[Std Adj Read]]="N/A"),"N/A",IF(Table1[[#This Row],[DUT Adj Read]]="N/A",IF(Table1[[#This Row],[Std Adj Read]]&lt;=Table1[[#This Row],[High Tol]],"Pass","Fail"),IF(Table1[[#This Row],[DUT Adj Read]]&lt;=Table1[[#This Row],[High Tol]],"Pass","Fail")))</f>
        <v>Fail</v>
      </c>
      <c r="AH12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4" s="1" t="b">
        <v>0</v>
      </c>
      <c r="AN1204" s="1" t="b">
        <v>0</v>
      </c>
      <c r="AO1204" s="1" t="b">
        <v>0</v>
      </c>
    </row>
    <row r="1205" spans="1:41" x14ac:dyDescent="0.25">
      <c r="A1205" s="10"/>
      <c r="B1205" s="10"/>
      <c r="C1205" s="10"/>
      <c r="D1205" s="10"/>
      <c r="E1205" s="10"/>
      <c r="F1205" s="10"/>
      <c r="G1205" s="10"/>
      <c r="H1205" s="10"/>
      <c r="I1205" s="1" t="str">
        <f t="shared" si="54"/>
        <v/>
      </c>
      <c r="J1205" s="1" t="s">
        <v>35</v>
      </c>
      <c r="K1205" s="1" t="str">
        <f t="shared" si="55"/>
        <v/>
      </c>
      <c r="L1205" s="1" t="str">
        <f t="shared" si="56"/>
        <v/>
      </c>
      <c r="M1205" s="1">
        <f>IF(OR(Table1[[#This Row],[Std Nom]]="",Table1[[#This Row],[Std Read]]=""),0,Table1[[#This Row],[Std Nom]]-Table1[[#This Row],[Std Read]])</f>
        <v>0</v>
      </c>
      <c r="N1205" s="1">
        <f>IF(Calculations!$F$5="ACCREDITED 17025 WITH UNCERTAINTIES",$N$10,0)</f>
        <v>0</v>
      </c>
      <c r="O1205" s="1" t="str">
        <f>IFERROR(Table1[[#This Row],[Std Nom]]-(_xlfn.XLOOKUP(Table1[[#This Row],[Manufacturer]]&amp;" "&amp;Table1[[#This Row],[Model]],Table13[MFR &amp; MDL],Table13[Tolerance % CW ],"")/100*Table1[[#This Row],[Std Nom]]),"")</f>
        <v/>
      </c>
      <c r="P1205" s="1" t="str">
        <f>IFERROR(Table1[[#This Row],[Std Nom]]+(_xlfn.XLOOKUP(Table1[[#This Row],[Manufacturer]]&amp;" "&amp;Table1[[#This Row],[Model]],Table13[MFR &amp; MDL],Table13[Tolerance % CW ],"")/100*Table1[[#This Row],[Std Nom]]),"")</f>
        <v/>
      </c>
      <c r="Q1205" s="1" t="e">
        <f>Table1[[#This Row],[High Tol]]-Table1[[#This Row],[Low Tol]]</f>
        <v>#VALUE!</v>
      </c>
      <c r="R1205" s="1">
        <f>2*Table1[[#This Row],[Std Error]]</f>
        <v>0</v>
      </c>
      <c r="S1205" s="1" t="str">
        <f>IF(Table1[[#This Row],[High Tol]]="","N/A",IFERROR(ABS(Table1[[#This Row],[Tol Span]]/Table1[[#This Row],[Error Span]]),"N/A"))</f>
        <v>N/A</v>
      </c>
      <c r="T1205" s="1" t="str">
        <f>IF(OR(Table1[[#This Row],[Low Tol]]="",Table1[[#This Row],[High Tol]]=""),"Needs Analysis",IF(Table1[[#This Row],[Ratio]]&gt;=4,"Not Significant",IF(Table1[[#This Row],[Ratio]]&gt;=2,"Semi-Significant","Significant")))</f>
        <v>Needs Analysis</v>
      </c>
      <c r="W1205" s="1">
        <f>IF(Table1[[#This Row],[Cal Type]]&lt;&gt;"ACCREDITED 17025 WITH UNCERTAINTIES",0,"")</f>
        <v>0</v>
      </c>
      <c r="X1205" s="1" t="str">
        <f>IF(Table1[[#This Row],[DUT Read]]="","N/A",Table1[[#This Row],[Std Error]]+Table1[[#This Row],[DUT Read]]+Table1[[#This Row],[DUT Ucty]])</f>
        <v>N/A</v>
      </c>
      <c r="Y1205" s="1" t="str">
        <f>IF(Table1[[#This Row],[Std Read]]="","N/A",Table1[[#This Row],[Std Read]]+Table1[[#This Row],[Std Ucty]])</f>
        <v>N/A</v>
      </c>
      <c r="Z12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5" s="1" t="str">
        <f>IF(Table1[[#This Row],[Spec Type]]="","N/A",Table1[[#This Row],[Spec Type]])</f>
        <v>±</v>
      </c>
      <c r="AC1205" s="1" t="str">
        <f>IF(Table1[[#This Row],[Spec Type2]]="N/A","N/A",IF(AND(Table1[[#This Row],[DUT Adj Read]]&gt;=Table1[[#This Row],[Low Tol]],Table1[[#This Row],[DUT Adj Read]]&lt;=Table1[[#This Row],[High Tol]]),"Pass","Fail"))</f>
        <v>Fail</v>
      </c>
      <c r="AD1205" s="1" t="str">
        <f>IF(AND(Table1[[#This Row],[Spec Type2]]="N/A",Table1[[#This Row],[DUT Adj Read]]="N/A",Table1[[#This Row],[Std Adj Read]]="N/A"),"N/A",IF(Table1[[#This Row],[DUT Adj Read]]="N/A",IF(Table1[[#This Row],[Std Adj Read]]&gt;Table1[[#This Row],[Low Tol]],"Pass","Fail"),IF(Table1[[#This Row],[DUT Adj Read]]&gt;Table1[[#This Row],[Low Tol]],"Pass","Fail")))</f>
        <v>Pass</v>
      </c>
      <c r="AE1205" s="1" t="str">
        <f>IF(AND(Table1[[#This Row],[Spec Type2]]="N/A",Table1[[#This Row],[DUT Adj Read]]="N/A",Table1[[#This Row],[Std Adj Read]]="N/A"),"N/A",IF(Table1[[#This Row],[DUT Adj Read]]="N/A",IF(Table1[[#This Row],[Std Adj Read]]&lt;Table1[[#This Row],[High Tol]],"Pass","Fail"),IF(Table1[[#This Row],[DUT Adj Read]]&lt;Table1[[#This Row],[High Tol]],"Pass","Fail")))</f>
        <v>Fail</v>
      </c>
      <c r="AF1205" s="1" t="str">
        <f>IF(AND(Table1[[#This Row],[Spec Type2]]="N/A",Table1[[#This Row],[DUT Adj Read]]="N/A",Table1[[#This Row],[Std Adj Read]]="N/A"),"N/A",IF(Table1[[#This Row],[DUT Adj Read]]="N/A",IF(Table1[[#This Row],[Std Adj Read]]&gt;=Table1[[#This Row],[Low Tol]],"Pass","Fail"),IF(Table1[[#This Row],[DUT Adj Read]]&gt;=Table1[[#This Row],[Low Tol]],"Pass","Fail")))</f>
        <v>Pass</v>
      </c>
      <c r="AG1205" s="1" t="str">
        <f>IF(AND(Table1[[#This Row],[Spec Type2]]="N/A",Table1[[#This Row],[DUT Adj Read]]="N/A",Table1[[#This Row],[Std Adj Read]]="N/A"),"N/A",IF(Table1[[#This Row],[DUT Adj Read]]="N/A",IF(Table1[[#This Row],[Std Adj Read]]&lt;=Table1[[#This Row],[High Tol]],"Pass","Fail"),IF(Table1[[#This Row],[DUT Adj Read]]&lt;=Table1[[#This Row],[High Tol]],"Pass","Fail")))</f>
        <v>Fail</v>
      </c>
      <c r="AH12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5" s="1" t="b">
        <v>0</v>
      </c>
      <c r="AN1205" s="1" t="b">
        <v>0</v>
      </c>
      <c r="AO1205" s="1" t="b">
        <v>0</v>
      </c>
    </row>
    <row r="1206" spans="1:41" x14ac:dyDescent="0.25">
      <c r="A1206" s="10"/>
      <c r="B1206" s="10"/>
      <c r="C1206" s="10"/>
      <c r="D1206" s="10"/>
      <c r="E1206" s="10"/>
      <c r="F1206" s="10"/>
      <c r="G1206" s="10"/>
      <c r="H1206" s="10"/>
      <c r="I1206" s="1" t="str">
        <f t="shared" si="54"/>
        <v/>
      </c>
      <c r="J1206" s="1" t="s">
        <v>35</v>
      </c>
      <c r="K1206" s="1" t="str">
        <f t="shared" si="55"/>
        <v/>
      </c>
      <c r="L1206" s="1" t="str">
        <f t="shared" si="56"/>
        <v/>
      </c>
      <c r="M1206" s="1">
        <f>IF(OR(Table1[[#This Row],[Std Nom]]="",Table1[[#This Row],[Std Read]]=""),0,Table1[[#This Row],[Std Nom]]-Table1[[#This Row],[Std Read]])</f>
        <v>0</v>
      </c>
      <c r="N1206" s="1">
        <f>IF(Calculations!$F$5="ACCREDITED 17025 WITH UNCERTAINTIES",$N$10,0)</f>
        <v>0</v>
      </c>
      <c r="O1206" s="1" t="str">
        <f>IFERROR(Table1[[#This Row],[Std Nom]]-(_xlfn.XLOOKUP(Table1[[#This Row],[Manufacturer]]&amp;" "&amp;Table1[[#This Row],[Model]],Table13[MFR &amp; MDL],Table13[Tolerance % CW ],"")/100*Table1[[#This Row],[Std Nom]]),"")</f>
        <v/>
      </c>
      <c r="P1206" s="1" t="str">
        <f>IFERROR(Table1[[#This Row],[Std Nom]]+(_xlfn.XLOOKUP(Table1[[#This Row],[Manufacturer]]&amp;" "&amp;Table1[[#This Row],[Model]],Table13[MFR &amp; MDL],Table13[Tolerance % CW ],"")/100*Table1[[#This Row],[Std Nom]]),"")</f>
        <v/>
      </c>
      <c r="Q1206" s="1" t="e">
        <f>Table1[[#This Row],[High Tol]]-Table1[[#This Row],[Low Tol]]</f>
        <v>#VALUE!</v>
      </c>
      <c r="R1206" s="1">
        <f>2*Table1[[#This Row],[Std Error]]</f>
        <v>0</v>
      </c>
      <c r="S1206" s="1" t="str">
        <f>IF(Table1[[#This Row],[High Tol]]="","N/A",IFERROR(ABS(Table1[[#This Row],[Tol Span]]/Table1[[#This Row],[Error Span]]),"N/A"))</f>
        <v>N/A</v>
      </c>
      <c r="T1206" s="1" t="str">
        <f>IF(OR(Table1[[#This Row],[Low Tol]]="",Table1[[#This Row],[High Tol]]=""),"Needs Analysis",IF(Table1[[#This Row],[Ratio]]&gt;=4,"Not Significant",IF(Table1[[#This Row],[Ratio]]&gt;=2,"Semi-Significant","Significant")))</f>
        <v>Needs Analysis</v>
      </c>
      <c r="W1206" s="1">
        <f>IF(Table1[[#This Row],[Cal Type]]&lt;&gt;"ACCREDITED 17025 WITH UNCERTAINTIES",0,"")</f>
        <v>0</v>
      </c>
      <c r="X1206" s="1" t="str">
        <f>IF(Table1[[#This Row],[DUT Read]]="","N/A",Table1[[#This Row],[Std Error]]+Table1[[#This Row],[DUT Read]]+Table1[[#This Row],[DUT Ucty]])</f>
        <v>N/A</v>
      </c>
      <c r="Y1206" s="1" t="str">
        <f>IF(Table1[[#This Row],[Std Read]]="","N/A",Table1[[#This Row],[Std Read]]+Table1[[#This Row],[Std Ucty]])</f>
        <v>N/A</v>
      </c>
      <c r="Z12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6" s="1" t="str">
        <f>IF(Table1[[#This Row],[Spec Type]]="","N/A",Table1[[#This Row],[Spec Type]])</f>
        <v>±</v>
      </c>
      <c r="AC1206" s="1" t="str">
        <f>IF(Table1[[#This Row],[Spec Type2]]="N/A","N/A",IF(AND(Table1[[#This Row],[DUT Adj Read]]&gt;=Table1[[#This Row],[Low Tol]],Table1[[#This Row],[DUT Adj Read]]&lt;=Table1[[#This Row],[High Tol]]),"Pass","Fail"))</f>
        <v>Fail</v>
      </c>
      <c r="AD1206" s="1" t="str">
        <f>IF(AND(Table1[[#This Row],[Spec Type2]]="N/A",Table1[[#This Row],[DUT Adj Read]]="N/A",Table1[[#This Row],[Std Adj Read]]="N/A"),"N/A",IF(Table1[[#This Row],[DUT Adj Read]]="N/A",IF(Table1[[#This Row],[Std Adj Read]]&gt;Table1[[#This Row],[Low Tol]],"Pass","Fail"),IF(Table1[[#This Row],[DUT Adj Read]]&gt;Table1[[#This Row],[Low Tol]],"Pass","Fail")))</f>
        <v>Pass</v>
      </c>
      <c r="AE1206" s="1" t="str">
        <f>IF(AND(Table1[[#This Row],[Spec Type2]]="N/A",Table1[[#This Row],[DUT Adj Read]]="N/A",Table1[[#This Row],[Std Adj Read]]="N/A"),"N/A",IF(Table1[[#This Row],[DUT Adj Read]]="N/A",IF(Table1[[#This Row],[Std Adj Read]]&lt;Table1[[#This Row],[High Tol]],"Pass","Fail"),IF(Table1[[#This Row],[DUT Adj Read]]&lt;Table1[[#This Row],[High Tol]],"Pass","Fail")))</f>
        <v>Fail</v>
      </c>
      <c r="AF1206" s="1" t="str">
        <f>IF(AND(Table1[[#This Row],[Spec Type2]]="N/A",Table1[[#This Row],[DUT Adj Read]]="N/A",Table1[[#This Row],[Std Adj Read]]="N/A"),"N/A",IF(Table1[[#This Row],[DUT Adj Read]]="N/A",IF(Table1[[#This Row],[Std Adj Read]]&gt;=Table1[[#This Row],[Low Tol]],"Pass","Fail"),IF(Table1[[#This Row],[DUT Adj Read]]&gt;=Table1[[#This Row],[Low Tol]],"Pass","Fail")))</f>
        <v>Pass</v>
      </c>
      <c r="AG1206" s="1" t="str">
        <f>IF(AND(Table1[[#This Row],[Spec Type2]]="N/A",Table1[[#This Row],[DUT Adj Read]]="N/A",Table1[[#This Row],[Std Adj Read]]="N/A"),"N/A",IF(Table1[[#This Row],[DUT Adj Read]]="N/A",IF(Table1[[#This Row],[Std Adj Read]]&lt;=Table1[[#This Row],[High Tol]],"Pass","Fail"),IF(Table1[[#This Row],[DUT Adj Read]]&lt;=Table1[[#This Row],[High Tol]],"Pass","Fail")))</f>
        <v>Fail</v>
      </c>
      <c r="AH12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6" s="1" t="b">
        <v>0</v>
      </c>
      <c r="AN1206" s="1" t="b">
        <v>0</v>
      </c>
      <c r="AO1206" s="1" t="b">
        <v>0</v>
      </c>
    </row>
    <row r="1207" spans="1:41" x14ac:dyDescent="0.25">
      <c r="A1207" s="10"/>
      <c r="B1207" s="10"/>
      <c r="C1207" s="10"/>
      <c r="D1207" s="10"/>
      <c r="E1207" s="10"/>
      <c r="F1207" s="10"/>
      <c r="G1207" s="10"/>
      <c r="H1207" s="10"/>
      <c r="I1207" s="1" t="str">
        <f t="shared" si="54"/>
        <v/>
      </c>
      <c r="J1207" s="1" t="s">
        <v>35</v>
      </c>
      <c r="K1207" s="1" t="str">
        <f t="shared" si="55"/>
        <v/>
      </c>
      <c r="L1207" s="1" t="str">
        <f t="shared" si="56"/>
        <v/>
      </c>
      <c r="M1207" s="1">
        <f>IF(OR(Table1[[#This Row],[Std Nom]]="",Table1[[#This Row],[Std Read]]=""),0,Table1[[#This Row],[Std Nom]]-Table1[[#This Row],[Std Read]])</f>
        <v>0</v>
      </c>
      <c r="N1207" s="1">
        <f>IF(Calculations!$F$5="ACCREDITED 17025 WITH UNCERTAINTIES",$N$10,0)</f>
        <v>0</v>
      </c>
      <c r="O1207" s="1" t="str">
        <f>IFERROR(Table1[[#This Row],[Std Nom]]-(_xlfn.XLOOKUP(Table1[[#This Row],[Manufacturer]]&amp;" "&amp;Table1[[#This Row],[Model]],Table13[MFR &amp; MDL],Table13[Tolerance % CW ],"")/100*Table1[[#This Row],[Std Nom]]),"")</f>
        <v/>
      </c>
      <c r="P1207" s="1" t="str">
        <f>IFERROR(Table1[[#This Row],[Std Nom]]+(_xlfn.XLOOKUP(Table1[[#This Row],[Manufacturer]]&amp;" "&amp;Table1[[#This Row],[Model]],Table13[MFR &amp; MDL],Table13[Tolerance % CW ],"")/100*Table1[[#This Row],[Std Nom]]),"")</f>
        <v/>
      </c>
      <c r="Q1207" s="1" t="e">
        <f>Table1[[#This Row],[High Tol]]-Table1[[#This Row],[Low Tol]]</f>
        <v>#VALUE!</v>
      </c>
      <c r="R1207" s="1">
        <f>2*Table1[[#This Row],[Std Error]]</f>
        <v>0</v>
      </c>
      <c r="S1207" s="1" t="str">
        <f>IF(Table1[[#This Row],[High Tol]]="","N/A",IFERROR(ABS(Table1[[#This Row],[Tol Span]]/Table1[[#This Row],[Error Span]]),"N/A"))</f>
        <v>N/A</v>
      </c>
      <c r="T1207" s="1" t="str">
        <f>IF(OR(Table1[[#This Row],[Low Tol]]="",Table1[[#This Row],[High Tol]]=""),"Needs Analysis",IF(Table1[[#This Row],[Ratio]]&gt;=4,"Not Significant",IF(Table1[[#This Row],[Ratio]]&gt;=2,"Semi-Significant","Significant")))</f>
        <v>Needs Analysis</v>
      </c>
      <c r="W1207" s="1">
        <f>IF(Table1[[#This Row],[Cal Type]]&lt;&gt;"ACCREDITED 17025 WITH UNCERTAINTIES",0,"")</f>
        <v>0</v>
      </c>
      <c r="X1207" s="1" t="str">
        <f>IF(Table1[[#This Row],[DUT Read]]="","N/A",Table1[[#This Row],[Std Error]]+Table1[[#This Row],[DUT Read]]+Table1[[#This Row],[DUT Ucty]])</f>
        <v>N/A</v>
      </c>
      <c r="Y1207" s="1" t="str">
        <f>IF(Table1[[#This Row],[Std Read]]="","N/A",Table1[[#This Row],[Std Read]]+Table1[[#This Row],[Std Ucty]])</f>
        <v>N/A</v>
      </c>
      <c r="Z12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7" s="1" t="str">
        <f>IF(Table1[[#This Row],[Spec Type]]="","N/A",Table1[[#This Row],[Spec Type]])</f>
        <v>±</v>
      </c>
      <c r="AC1207" s="1" t="str">
        <f>IF(Table1[[#This Row],[Spec Type2]]="N/A","N/A",IF(AND(Table1[[#This Row],[DUT Adj Read]]&gt;=Table1[[#This Row],[Low Tol]],Table1[[#This Row],[DUT Adj Read]]&lt;=Table1[[#This Row],[High Tol]]),"Pass","Fail"))</f>
        <v>Fail</v>
      </c>
      <c r="AD1207" s="1" t="str">
        <f>IF(AND(Table1[[#This Row],[Spec Type2]]="N/A",Table1[[#This Row],[DUT Adj Read]]="N/A",Table1[[#This Row],[Std Adj Read]]="N/A"),"N/A",IF(Table1[[#This Row],[DUT Adj Read]]="N/A",IF(Table1[[#This Row],[Std Adj Read]]&gt;Table1[[#This Row],[Low Tol]],"Pass","Fail"),IF(Table1[[#This Row],[DUT Adj Read]]&gt;Table1[[#This Row],[Low Tol]],"Pass","Fail")))</f>
        <v>Pass</v>
      </c>
      <c r="AE1207" s="1" t="str">
        <f>IF(AND(Table1[[#This Row],[Spec Type2]]="N/A",Table1[[#This Row],[DUT Adj Read]]="N/A",Table1[[#This Row],[Std Adj Read]]="N/A"),"N/A",IF(Table1[[#This Row],[DUT Adj Read]]="N/A",IF(Table1[[#This Row],[Std Adj Read]]&lt;Table1[[#This Row],[High Tol]],"Pass","Fail"),IF(Table1[[#This Row],[DUT Adj Read]]&lt;Table1[[#This Row],[High Tol]],"Pass","Fail")))</f>
        <v>Fail</v>
      </c>
      <c r="AF1207" s="1" t="str">
        <f>IF(AND(Table1[[#This Row],[Spec Type2]]="N/A",Table1[[#This Row],[DUT Adj Read]]="N/A",Table1[[#This Row],[Std Adj Read]]="N/A"),"N/A",IF(Table1[[#This Row],[DUT Adj Read]]="N/A",IF(Table1[[#This Row],[Std Adj Read]]&gt;=Table1[[#This Row],[Low Tol]],"Pass","Fail"),IF(Table1[[#This Row],[DUT Adj Read]]&gt;=Table1[[#This Row],[Low Tol]],"Pass","Fail")))</f>
        <v>Pass</v>
      </c>
      <c r="AG1207" s="1" t="str">
        <f>IF(AND(Table1[[#This Row],[Spec Type2]]="N/A",Table1[[#This Row],[DUT Adj Read]]="N/A",Table1[[#This Row],[Std Adj Read]]="N/A"),"N/A",IF(Table1[[#This Row],[DUT Adj Read]]="N/A",IF(Table1[[#This Row],[Std Adj Read]]&lt;=Table1[[#This Row],[High Tol]],"Pass","Fail"),IF(Table1[[#This Row],[DUT Adj Read]]&lt;=Table1[[#This Row],[High Tol]],"Pass","Fail")))</f>
        <v>Fail</v>
      </c>
      <c r="AH12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7" s="1" t="b">
        <v>0</v>
      </c>
      <c r="AN1207" s="1" t="b">
        <v>0</v>
      </c>
      <c r="AO1207" s="1" t="b">
        <v>0</v>
      </c>
    </row>
    <row r="1208" spans="1:41" x14ac:dyDescent="0.25">
      <c r="A1208" s="10"/>
      <c r="B1208" s="10"/>
      <c r="C1208" s="10"/>
      <c r="D1208" s="10"/>
      <c r="E1208" s="10"/>
      <c r="F1208" s="10"/>
      <c r="G1208" s="10"/>
      <c r="H1208" s="10"/>
      <c r="I1208" s="1" t="str">
        <f t="shared" si="54"/>
        <v/>
      </c>
      <c r="J1208" s="1" t="s">
        <v>35</v>
      </c>
      <c r="K1208" s="1" t="str">
        <f t="shared" si="55"/>
        <v/>
      </c>
      <c r="L1208" s="1" t="str">
        <f t="shared" si="56"/>
        <v/>
      </c>
      <c r="M1208" s="1">
        <f>IF(OR(Table1[[#This Row],[Std Nom]]="",Table1[[#This Row],[Std Read]]=""),0,Table1[[#This Row],[Std Nom]]-Table1[[#This Row],[Std Read]])</f>
        <v>0</v>
      </c>
      <c r="N1208" s="1">
        <f>IF(Calculations!$F$5="ACCREDITED 17025 WITH UNCERTAINTIES",$N$10,0)</f>
        <v>0</v>
      </c>
      <c r="O1208" s="1" t="str">
        <f>IFERROR(Table1[[#This Row],[Std Nom]]-(_xlfn.XLOOKUP(Table1[[#This Row],[Manufacturer]]&amp;" "&amp;Table1[[#This Row],[Model]],Table13[MFR &amp; MDL],Table13[Tolerance % CW ],"")/100*Table1[[#This Row],[Std Nom]]),"")</f>
        <v/>
      </c>
      <c r="P1208" s="1" t="str">
        <f>IFERROR(Table1[[#This Row],[Std Nom]]+(_xlfn.XLOOKUP(Table1[[#This Row],[Manufacturer]]&amp;" "&amp;Table1[[#This Row],[Model]],Table13[MFR &amp; MDL],Table13[Tolerance % CW ],"")/100*Table1[[#This Row],[Std Nom]]),"")</f>
        <v/>
      </c>
      <c r="Q1208" s="1" t="e">
        <f>Table1[[#This Row],[High Tol]]-Table1[[#This Row],[Low Tol]]</f>
        <v>#VALUE!</v>
      </c>
      <c r="R1208" s="1">
        <f>2*Table1[[#This Row],[Std Error]]</f>
        <v>0</v>
      </c>
      <c r="S1208" s="1" t="str">
        <f>IF(Table1[[#This Row],[High Tol]]="","N/A",IFERROR(ABS(Table1[[#This Row],[Tol Span]]/Table1[[#This Row],[Error Span]]),"N/A"))</f>
        <v>N/A</v>
      </c>
      <c r="T1208" s="1" t="str">
        <f>IF(OR(Table1[[#This Row],[Low Tol]]="",Table1[[#This Row],[High Tol]]=""),"Needs Analysis",IF(Table1[[#This Row],[Ratio]]&gt;=4,"Not Significant",IF(Table1[[#This Row],[Ratio]]&gt;=2,"Semi-Significant","Significant")))</f>
        <v>Needs Analysis</v>
      </c>
      <c r="W1208" s="1">
        <f>IF(Table1[[#This Row],[Cal Type]]&lt;&gt;"ACCREDITED 17025 WITH UNCERTAINTIES",0,"")</f>
        <v>0</v>
      </c>
      <c r="X1208" s="1" t="str">
        <f>IF(Table1[[#This Row],[DUT Read]]="","N/A",Table1[[#This Row],[Std Error]]+Table1[[#This Row],[DUT Read]]+Table1[[#This Row],[DUT Ucty]])</f>
        <v>N/A</v>
      </c>
      <c r="Y1208" s="1" t="str">
        <f>IF(Table1[[#This Row],[Std Read]]="","N/A",Table1[[#This Row],[Std Read]]+Table1[[#This Row],[Std Ucty]])</f>
        <v>N/A</v>
      </c>
      <c r="Z12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8" s="1" t="str">
        <f>IF(Table1[[#This Row],[Spec Type]]="","N/A",Table1[[#This Row],[Spec Type]])</f>
        <v>±</v>
      </c>
      <c r="AC1208" s="1" t="str">
        <f>IF(Table1[[#This Row],[Spec Type2]]="N/A","N/A",IF(AND(Table1[[#This Row],[DUT Adj Read]]&gt;=Table1[[#This Row],[Low Tol]],Table1[[#This Row],[DUT Adj Read]]&lt;=Table1[[#This Row],[High Tol]]),"Pass","Fail"))</f>
        <v>Fail</v>
      </c>
      <c r="AD1208" s="1" t="str">
        <f>IF(AND(Table1[[#This Row],[Spec Type2]]="N/A",Table1[[#This Row],[DUT Adj Read]]="N/A",Table1[[#This Row],[Std Adj Read]]="N/A"),"N/A",IF(Table1[[#This Row],[DUT Adj Read]]="N/A",IF(Table1[[#This Row],[Std Adj Read]]&gt;Table1[[#This Row],[Low Tol]],"Pass","Fail"),IF(Table1[[#This Row],[DUT Adj Read]]&gt;Table1[[#This Row],[Low Tol]],"Pass","Fail")))</f>
        <v>Pass</v>
      </c>
      <c r="AE1208" s="1" t="str">
        <f>IF(AND(Table1[[#This Row],[Spec Type2]]="N/A",Table1[[#This Row],[DUT Adj Read]]="N/A",Table1[[#This Row],[Std Adj Read]]="N/A"),"N/A",IF(Table1[[#This Row],[DUT Adj Read]]="N/A",IF(Table1[[#This Row],[Std Adj Read]]&lt;Table1[[#This Row],[High Tol]],"Pass","Fail"),IF(Table1[[#This Row],[DUT Adj Read]]&lt;Table1[[#This Row],[High Tol]],"Pass","Fail")))</f>
        <v>Fail</v>
      </c>
      <c r="AF1208" s="1" t="str">
        <f>IF(AND(Table1[[#This Row],[Spec Type2]]="N/A",Table1[[#This Row],[DUT Adj Read]]="N/A",Table1[[#This Row],[Std Adj Read]]="N/A"),"N/A",IF(Table1[[#This Row],[DUT Adj Read]]="N/A",IF(Table1[[#This Row],[Std Adj Read]]&gt;=Table1[[#This Row],[Low Tol]],"Pass","Fail"),IF(Table1[[#This Row],[DUT Adj Read]]&gt;=Table1[[#This Row],[Low Tol]],"Pass","Fail")))</f>
        <v>Pass</v>
      </c>
      <c r="AG1208" s="1" t="str">
        <f>IF(AND(Table1[[#This Row],[Spec Type2]]="N/A",Table1[[#This Row],[DUT Adj Read]]="N/A",Table1[[#This Row],[Std Adj Read]]="N/A"),"N/A",IF(Table1[[#This Row],[DUT Adj Read]]="N/A",IF(Table1[[#This Row],[Std Adj Read]]&lt;=Table1[[#This Row],[High Tol]],"Pass","Fail"),IF(Table1[[#This Row],[DUT Adj Read]]&lt;=Table1[[#This Row],[High Tol]],"Pass","Fail")))</f>
        <v>Fail</v>
      </c>
      <c r="AH12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8" s="1" t="b">
        <v>0</v>
      </c>
      <c r="AN1208" s="1" t="b">
        <v>0</v>
      </c>
      <c r="AO1208" s="1" t="b">
        <v>0</v>
      </c>
    </row>
    <row r="1209" spans="1:41" x14ac:dyDescent="0.25">
      <c r="A1209" s="10"/>
      <c r="B1209" s="10"/>
      <c r="C1209" s="10"/>
      <c r="D1209" s="10"/>
      <c r="E1209" s="10"/>
      <c r="F1209" s="10"/>
      <c r="G1209" s="10"/>
      <c r="H1209" s="10"/>
      <c r="I1209" s="1" t="str">
        <f t="shared" si="54"/>
        <v/>
      </c>
      <c r="J1209" s="1" t="s">
        <v>35</v>
      </c>
      <c r="K1209" s="1" t="str">
        <f t="shared" si="55"/>
        <v/>
      </c>
      <c r="L1209" s="1" t="str">
        <f t="shared" si="56"/>
        <v/>
      </c>
      <c r="M1209" s="1">
        <f>IF(OR(Table1[[#This Row],[Std Nom]]="",Table1[[#This Row],[Std Read]]=""),0,Table1[[#This Row],[Std Nom]]-Table1[[#This Row],[Std Read]])</f>
        <v>0</v>
      </c>
      <c r="N1209" s="1">
        <f>IF(Calculations!$F$5="ACCREDITED 17025 WITH UNCERTAINTIES",$N$10,0)</f>
        <v>0</v>
      </c>
      <c r="O1209" s="1" t="str">
        <f>IFERROR(Table1[[#This Row],[Std Nom]]-(_xlfn.XLOOKUP(Table1[[#This Row],[Manufacturer]]&amp;" "&amp;Table1[[#This Row],[Model]],Table13[MFR &amp; MDL],Table13[Tolerance % CW ],"")/100*Table1[[#This Row],[Std Nom]]),"")</f>
        <v/>
      </c>
      <c r="P1209" s="1" t="str">
        <f>IFERROR(Table1[[#This Row],[Std Nom]]+(_xlfn.XLOOKUP(Table1[[#This Row],[Manufacturer]]&amp;" "&amp;Table1[[#This Row],[Model]],Table13[MFR &amp; MDL],Table13[Tolerance % CW ],"")/100*Table1[[#This Row],[Std Nom]]),"")</f>
        <v/>
      </c>
      <c r="Q1209" s="1" t="e">
        <f>Table1[[#This Row],[High Tol]]-Table1[[#This Row],[Low Tol]]</f>
        <v>#VALUE!</v>
      </c>
      <c r="R1209" s="1">
        <f>2*Table1[[#This Row],[Std Error]]</f>
        <v>0</v>
      </c>
      <c r="S1209" s="1" t="str">
        <f>IF(Table1[[#This Row],[High Tol]]="","N/A",IFERROR(ABS(Table1[[#This Row],[Tol Span]]/Table1[[#This Row],[Error Span]]),"N/A"))</f>
        <v>N/A</v>
      </c>
      <c r="T1209" s="1" t="str">
        <f>IF(OR(Table1[[#This Row],[Low Tol]]="",Table1[[#This Row],[High Tol]]=""),"Needs Analysis",IF(Table1[[#This Row],[Ratio]]&gt;=4,"Not Significant",IF(Table1[[#This Row],[Ratio]]&gt;=2,"Semi-Significant","Significant")))</f>
        <v>Needs Analysis</v>
      </c>
      <c r="W1209" s="1">
        <f>IF(Table1[[#This Row],[Cal Type]]&lt;&gt;"ACCREDITED 17025 WITH UNCERTAINTIES",0,"")</f>
        <v>0</v>
      </c>
      <c r="X1209" s="1" t="str">
        <f>IF(Table1[[#This Row],[DUT Read]]="","N/A",Table1[[#This Row],[Std Error]]+Table1[[#This Row],[DUT Read]]+Table1[[#This Row],[DUT Ucty]])</f>
        <v>N/A</v>
      </c>
      <c r="Y1209" s="1" t="str">
        <f>IF(Table1[[#This Row],[Std Read]]="","N/A",Table1[[#This Row],[Std Read]]+Table1[[#This Row],[Std Ucty]])</f>
        <v>N/A</v>
      </c>
      <c r="Z12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9" s="1" t="str">
        <f>IF(Table1[[#This Row],[Spec Type]]="","N/A",Table1[[#This Row],[Spec Type]])</f>
        <v>±</v>
      </c>
      <c r="AC1209" s="1" t="str">
        <f>IF(Table1[[#This Row],[Spec Type2]]="N/A","N/A",IF(AND(Table1[[#This Row],[DUT Adj Read]]&gt;=Table1[[#This Row],[Low Tol]],Table1[[#This Row],[DUT Adj Read]]&lt;=Table1[[#This Row],[High Tol]]),"Pass","Fail"))</f>
        <v>Fail</v>
      </c>
      <c r="AD1209" s="1" t="str">
        <f>IF(AND(Table1[[#This Row],[Spec Type2]]="N/A",Table1[[#This Row],[DUT Adj Read]]="N/A",Table1[[#This Row],[Std Adj Read]]="N/A"),"N/A",IF(Table1[[#This Row],[DUT Adj Read]]="N/A",IF(Table1[[#This Row],[Std Adj Read]]&gt;Table1[[#This Row],[Low Tol]],"Pass","Fail"),IF(Table1[[#This Row],[DUT Adj Read]]&gt;Table1[[#This Row],[Low Tol]],"Pass","Fail")))</f>
        <v>Pass</v>
      </c>
      <c r="AE1209" s="1" t="str">
        <f>IF(AND(Table1[[#This Row],[Spec Type2]]="N/A",Table1[[#This Row],[DUT Adj Read]]="N/A",Table1[[#This Row],[Std Adj Read]]="N/A"),"N/A",IF(Table1[[#This Row],[DUT Adj Read]]="N/A",IF(Table1[[#This Row],[Std Adj Read]]&lt;Table1[[#This Row],[High Tol]],"Pass","Fail"),IF(Table1[[#This Row],[DUT Adj Read]]&lt;Table1[[#This Row],[High Tol]],"Pass","Fail")))</f>
        <v>Fail</v>
      </c>
      <c r="AF1209" s="1" t="str">
        <f>IF(AND(Table1[[#This Row],[Spec Type2]]="N/A",Table1[[#This Row],[DUT Adj Read]]="N/A",Table1[[#This Row],[Std Adj Read]]="N/A"),"N/A",IF(Table1[[#This Row],[DUT Adj Read]]="N/A",IF(Table1[[#This Row],[Std Adj Read]]&gt;=Table1[[#This Row],[Low Tol]],"Pass","Fail"),IF(Table1[[#This Row],[DUT Adj Read]]&gt;=Table1[[#This Row],[Low Tol]],"Pass","Fail")))</f>
        <v>Pass</v>
      </c>
      <c r="AG1209" s="1" t="str">
        <f>IF(AND(Table1[[#This Row],[Spec Type2]]="N/A",Table1[[#This Row],[DUT Adj Read]]="N/A",Table1[[#This Row],[Std Adj Read]]="N/A"),"N/A",IF(Table1[[#This Row],[DUT Adj Read]]="N/A",IF(Table1[[#This Row],[Std Adj Read]]&lt;=Table1[[#This Row],[High Tol]],"Pass","Fail"),IF(Table1[[#This Row],[DUT Adj Read]]&lt;=Table1[[#This Row],[High Tol]],"Pass","Fail")))</f>
        <v>Fail</v>
      </c>
      <c r="AH12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9" s="1" t="b">
        <v>0</v>
      </c>
      <c r="AN1209" s="1" t="b">
        <v>0</v>
      </c>
      <c r="AO1209" s="1" t="b">
        <v>0</v>
      </c>
    </row>
    <row r="1210" spans="1:41" x14ac:dyDescent="0.25">
      <c r="A1210" s="10"/>
      <c r="B1210" s="10"/>
      <c r="C1210" s="10"/>
      <c r="D1210" s="10"/>
      <c r="E1210" s="10"/>
      <c r="F1210" s="10"/>
      <c r="G1210" s="10"/>
      <c r="H1210" s="10"/>
      <c r="I1210" s="1" t="str">
        <f t="shared" si="54"/>
        <v/>
      </c>
      <c r="J1210" s="1" t="s">
        <v>35</v>
      </c>
      <c r="K1210" s="1" t="str">
        <f t="shared" si="55"/>
        <v/>
      </c>
      <c r="L1210" s="1" t="str">
        <f t="shared" si="56"/>
        <v/>
      </c>
      <c r="M1210" s="1">
        <f>IF(OR(Table1[[#This Row],[Std Nom]]="",Table1[[#This Row],[Std Read]]=""),0,Table1[[#This Row],[Std Nom]]-Table1[[#This Row],[Std Read]])</f>
        <v>0</v>
      </c>
      <c r="N1210" s="1">
        <f>IF(Calculations!$F$5="ACCREDITED 17025 WITH UNCERTAINTIES",$N$10,0)</f>
        <v>0</v>
      </c>
      <c r="O1210" s="1" t="str">
        <f>IFERROR(Table1[[#This Row],[Std Nom]]-(_xlfn.XLOOKUP(Table1[[#This Row],[Manufacturer]]&amp;" "&amp;Table1[[#This Row],[Model]],Table13[MFR &amp; MDL],Table13[Tolerance % CW ],"")/100*Table1[[#This Row],[Std Nom]]),"")</f>
        <v/>
      </c>
      <c r="P1210" s="1" t="str">
        <f>IFERROR(Table1[[#This Row],[Std Nom]]+(_xlfn.XLOOKUP(Table1[[#This Row],[Manufacturer]]&amp;" "&amp;Table1[[#This Row],[Model]],Table13[MFR &amp; MDL],Table13[Tolerance % CW ],"")/100*Table1[[#This Row],[Std Nom]]),"")</f>
        <v/>
      </c>
      <c r="Q1210" s="1" t="e">
        <f>Table1[[#This Row],[High Tol]]-Table1[[#This Row],[Low Tol]]</f>
        <v>#VALUE!</v>
      </c>
      <c r="R1210" s="1">
        <f>2*Table1[[#This Row],[Std Error]]</f>
        <v>0</v>
      </c>
      <c r="S1210" s="1" t="str">
        <f>IF(Table1[[#This Row],[High Tol]]="","N/A",IFERROR(ABS(Table1[[#This Row],[Tol Span]]/Table1[[#This Row],[Error Span]]),"N/A"))</f>
        <v>N/A</v>
      </c>
      <c r="T1210" s="1" t="str">
        <f>IF(OR(Table1[[#This Row],[Low Tol]]="",Table1[[#This Row],[High Tol]]=""),"Needs Analysis",IF(Table1[[#This Row],[Ratio]]&gt;=4,"Not Significant",IF(Table1[[#This Row],[Ratio]]&gt;=2,"Semi-Significant","Significant")))</f>
        <v>Needs Analysis</v>
      </c>
      <c r="W1210" s="1">
        <f>IF(Table1[[#This Row],[Cal Type]]&lt;&gt;"ACCREDITED 17025 WITH UNCERTAINTIES",0,"")</f>
        <v>0</v>
      </c>
      <c r="X1210" s="1" t="str">
        <f>IF(Table1[[#This Row],[DUT Read]]="","N/A",Table1[[#This Row],[Std Error]]+Table1[[#This Row],[DUT Read]]+Table1[[#This Row],[DUT Ucty]])</f>
        <v>N/A</v>
      </c>
      <c r="Y1210" s="1" t="str">
        <f>IF(Table1[[#This Row],[Std Read]]="","N/A",Table1[[#This Row],[Std Read]]+Table1[[#This Row],[Std Ucty]])</f>
        <v>N/A</v>
      </c>
      <c r="Z12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0" s="1" t="str">
        <f>IF(Table1[[#This Row],[Spec Type]]="","N/A",Table1[[#This Row],[Spec Type]])</f>
        <v>±</v>
      </c>
      <c r="AC1210" s="1" t="str">
        <f>IF(Table1[[#This Row],[Spec Type2]]="N/A","N/A",IF(AND(Table1[[#This Row],[DUT Adj Read]]&gt;=Table1[[#This Row],[Low Tol]],Table1[[#This Row],[DUT Adj Read]]&lt;=Table1[[#This Row],[High Tol]]),"Pass","Fail"))</f>
        <v>Fail</v>
      </c>
      <c r="AD1210" s="1" t="str">
        <f>IF(AND(Table1[[#This Row],[Spec Type2]]="N/A",Table1[[#This Row],[DUT Adj Read]]="N/A",Table1[[#This Row],[Std Adj Read]]="N/A"),"N/A",IF(Table1[[#This Row],[DUT Adj Read]]="N/A",IF(Table1[[#This Row],[Std Adj Read]]&gt;Table1[[#This Row],[Low Tol]],"Pass","Fail"),IF(Table1[[#This Row],[DUT Adj Read]]&gt;Table1[[#This Row],[Low Tol]],"Pass","Fail")))</f>
        <v>Pass</v>
      </c>
      <c r="AE1210" s="1" t="str">
        <f>IF(AND(Table1[[#This Row],[Spec Type2]]="N/A",Table1[[#This Row],[DUT Adj Read]]="N/A",Table1[[#This Row],[Std Adj Read]]="N/A"),"N/A",IF(Table1[[#This Row],[DUT Adj Read]]="N/A",IF(Table1[[#This Row],[Std Adj Read]]&lt;Table1[[#This Row],[High Tol]],"Pass","Fail"),IF(Table1[[#This Row],[DUT Adj Read]]&lt;Table1[[#This Row],[High Tol]],"Pass","Fail")))</f>
        <v>Fail</v>
      </c>
      <c r="AF1210" s="1" t="str">
        <f>IF(AND(Table1[[#This Row],[Spec Type2]]="N/A",Table1[[#This Row],[DUT Adj Read]]="N/A",Table1[[#This Row],[Std Adj Read]]="N/A"),"N/A",IF(Table1[[#This Row],[DUT Adj Read]]="N/A",IF(Table1[[#This Row],[Std Adj Read]]&gt;=Table1[[#This Row],[Low Tol]],"Pass","Fail"),IF(Table1[[#This Row],[DUT Adj Read]]&gt;=Table1[[#This Row],[Low Tol]],"Pass","Fail")))</f>
        <v>Pass</v>
      </c>
      <c r="AG1210" s="1" t="str">
        <f>IF(AND(Table1[[#This Row],[Spec Type2]]="N/A",Table1[[#This Row],[DUT Adj Read]]="N/A",Table1[[#This Row],[Std Adj Read]]="N/A"),"N/A",IF(Table1[[#This Row],[DUT Adj Read]]="N/A",IF(Table1[[#This Row],[Std Adj Read]]&lt;=Table1[[#This Row],[High Tol]],"Pass","Fail"),IF(Table1[[#This Row],[DUT Adj Read]]&lt;=Table1[[#This Row],[High Tol]],"Pass","Fail")))</f>
        <v>Fail</v>
      </c>
      <c r="AH12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0" s="1" t="b">
        <v>0</v>
      </c>
      <c r="AN1210" s="1" t="b">
        <v>0</v>
      </c>
      <c r="AO1210" s="1" t="b">
        <v>0</v>
      </c>
    </row>
    <row r="1211" spans="1:41" x14ac:dyDescent="0.25">
      <c r="A1211" s="10"/>
      <c r="B1211" s="10"/>
      <c r="C1211" s="10"/>
      <c r="D1211" s="10"/>
      <c r="E1211" s="10"/>
      <c r="F1211" s="10"/>
      <c r="G1211" s="10"/>
      <c r="H1211" s="10"/>
      <c r="I1211" s="1" t="str">
        <f t="shared" si="54"/>
        <v/>
      </c>
      <c r="J1211" s="1" t="s">
        <v>35</v>
      </c>
      <c r="K1211" s="1" t="str">
        <f t="shared" si="55"/>
        <v/>
      </c>
      <c r="L1211" s="1" t="str">
        <f t="shared" si="56"/>
        <v/>
      </c>
      <c r="M1211" s="1">
        <f>IF(OR(Table1[[#This Row],[Std Nom]]="",Table1[[#This Row],[Std Read]]=""),0,Table1[[#This Row],[Std Nom]]-Table1[[#This Row],[Std Read]])</f>
        <v>0</v>
      </c>
      <c r="N1211" s="1">
        <f>IF(Calculations!$F$5="ACCREDITED 17025 WITH UNCERTAINTIES",$N$10,0)</f>
        <v>0</v>
      </c>
      <c r="O1211" s="1" t="str">
        <f>IFERROR(Table1[[#This Row],[Std Nom]]-(_xlfn.XLOOKUP(Table1[[#This Row],[Manufacturer]]&amp;" "&amp;Table1[[#This Row],[Model]],Table13[MFR &amp; MDL],Table13[Tolerance % CW ],"")/100*Table1[[#This Row],[Std Nom]]),"")</f>
        <v/>
      </c>
      <c r="P1211" s="1" t="str">
        <f>IFERROR(Table1[[#This Row],[Std Nom]]+(_xlfn.XLOOKUP(Table1[[#This Row],[Manufacturer]]&amp;" "&amp;Table1[[#This Row],[Model]],Table13[MFR &amp; MDL],Table13[Tolerance % CW ],"")/100*Table1[[#This Row],[Std Nom]]),"")</f>
        <v/>
      </c>
      <c r="Q1211" s="1" t="e">
        <f>Table1[[#This Row],[High Tol]]-Table1[[#This Row],[Low Tol]]</f>
        <v>#VALUE!</v>
      </c>
      <c r="R1211" s="1">
        <f>2*Table1[[#This Row],[Std Error]]</f>
        <v>0</v>
      </c>
      <c r="S1211" s="1" t="str">
        <f>IF(Table1[[#This Row],[High Tol]]="","N/A",IFERROR(ABS(Table1[[#This Row],[Tol Span]]/Table1[[#This Row],[Error Span]]),"N/A"))</f>
        <v>N/A</v>
      </c>
      <c r="T1211" s="1" t="str">
        <f>IF(OR(Table1[[#This Row],[Low Tol]]="",Table1[[#This Row],[High Tol]]=""),"Needs Analysis",IF(Table1[[#This Row],[Ratio]]&gt;=4,"Not Significant",IF(Table1[[#This Row],[Ratio]]&gt;=2,"Semi-Significant","Significant")))</f>
        <v>Needs Analysis</v>
      </c>
      <c r="W1211" s="1">
        <f>IF(Table1[[#This Row],[Cal Type]]&lt;&gt;"ACCREDITED 17025 WITH UNCERTAINTIES",0,"")</f>
        <v>0</v>
      </c>
      <c r="X1211" s="1" t="str">
        <f>IF(Table1[[#This Row],[DUT Read]]="","N/A",Table1[[#This Row],[Std Error]]+Table1[[#This Row],[DUT Read]]+Table1[[#This Row],[DUT Ucty]])</f>
        <v>N/A</v>
      </c>
      <c r="Y1211" s="1" t="str">
        <f>IF(Table1[[#This Row],[Std Read]]="","N/A",Table1[[#This Row],[Std Read]]+Table1[[#This Row],[Std Ucty]])</f>
        <v>N/A</v>
      </c>
      <c r="Z12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1" s="1" t="str">
        <f>IF(Table1[[#This Row],[Spec Type]]="","N/A",Table1[[#This Row],[Spec Type]])</f>
        <v>±</v>
      </c>
      <c r="AC1211" s="1" t="str">
        <f>IF(Table1[[#This Row],[Spec Type2]]="N/A","N/A",IF(AND(Table1[[#This Row],[DUT Adj Read]]&gt;=Table1[[#This Row],[Low Tol]],Table1[[#This Row],[DUT Adj Read]]&lt;=Table1[[#This Row],[High Tol]]),"Pass","Fail"))</f>
        <v>Fail</v>
      </c>
      <c r="AD1211" s="1" t="str">
        <f>IF(AND(Table1[[#This Row],[Spec Type2]]="N/A",Table1[[#This Row],[DUT Adj Read]]="N/A",Table1[[#This Row],[Std Adj Read]]="N/A"),"N/A",IF(Table1[[#This Row],[DUT Adj Read]]="N/A",IF(Table1[[#This Row],[Std Adj Read]]&gt;Table1[[#This Row],[Low Tol]],"Pass","Fail"),IF(Table1[[#This Row],[DUT Adj Read]]&gt;Table1[[#This Row],[Low Tol]],"Pass","Fail")))</f>
        <v>Pass</v>
      </c>
      <c r="AE1211" s="1" t="str">
        <f>IF(AND(Table1[[#This Row],[Spec Type2]]="N/A",Table1[[#This Row],[DUT Adj Read]]="N/A",Table1[[#This Row],[Std Adj Read]]="N/A"),"N/A",IF(Table1[[#This Row],[DUT Adj Read]]="N/A",IF(Table1[[#This Row],[Std Adj Read]]&lt;Table1[[#This Row],[High Tol]],"Pass","Fail"),IF(Table1[[#This Row],[DUT Adj Read]]&lt;Table1[[#This Row],[High Tol]],"Pass","Fail")))</f>
        <v>Fail</v>
      </c>
      <c r="AF1211" s="1" t="str">
        <f>IF(AND(Table1[[#This Row],[Spec Type2]]="N/A",Table1[[#This Row],[DUT Adj Read]]="N/A",Table1[[#This Row],[Std Adj Read]]="N/A"),"N/A",IF(Table1[[#This Row],[DUT Adj Read]]="N/A",IF(Table1[[#This Row],[Std Adj Read]]&gt;=Table1[[#This Row],[Low Tol]],"Pass","Fail"),IF(Table1[[#This Row],[DUT Adj Read]]&gt;=Table1[[#This Row],[Low Tol]],"Pass","Fail")))</f>
        <v>Pass</v>
      </c>
      <c r="AG1211" s="1" t="str">
        <f>IF(AND(Table1[[#This Row],[Spec Type2]]="N/A",Table1[[#This Row],[DUT Adj Read]]="N/A",Table1[[#This Row],[Std Adj Read]]="N/A"),"N/A",IF(Table1[[#This Row],[DUT Adj Read]]="N/A",IF(Table1[[#This Row],[Std Adj Read]]&lt;=Table1[[#This Row],[High Tol]],"Pass","Fail"),IF(Table1[[#This Row],[DUT Adj Read]]&lt;=Table1[[#This Row],[High Tol]],"Pass","Fail")))</f>
        <v>Fail</v>
      </c>
      <c r="AH12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1" s="1" t="b">
        <v>0</v>
      </c>
      <c r="AN1211" s="1" t="b">
        <v>0</v>
      </c>
      <c r="AO1211" s="1" t="b">
        <v>0</v>
      </c>
    </row>
    <row r="1212" spans="1:41" x14ac:dyDescent="0.25">
      <c r="A1212" s="10"/>
      <c r="B1212" s="10"/>
      <c r="C1212" s="10"/>
      <c r="D1212" s="10"/>
      <c r="E1212" s="10"/>
      <c r="F1212" s="10"/>
      <c r="G1212" s="10"/>
      <c r="H1212" s="10"/>
      <c r="I1212" s="1" t="str">
        <f t="shared" si="54"/>
        <v/>
      </c>
      <c r="J1212" s="1" t="s">
        <v>35</v>
      </c>
      <c r="K1212" s="1" t="str">
        <f t="shared" si="55"/>
        <v/>
      </c>
      <c r="L1212" s="1" t="str">
        <f t="shared" si="56"/>
        <v/>
      </c>
      <c r="M1212" s="1">
        <f>IF(OR(Table1[[#This Row],[Std Nom]]="",Table1[[#This Row],[Std Read]]=""),0,Table1[[#This Row],[Std Nom]]-Table1[[#This Row],[Std Read]])</f>
        <v>0</v>
      </c>
      <c r="N1212" s="1">
        <f>IF(Calculations!$F$5="ACCREDITED 17025 WITH UNCERTAINTIES",$N$10,0)</f>
        <v>0</v>
      </c>
      <c r="O1212" s="1" t="str">
        <f>IFERROR(Table1[[#This Row],[Std Nom]]-(_xlfn.XLOOKUP(Table1[[#This Row],[Manufacturer]]&amp;" "&amp;Table1[[#This Row],[Model]],Table13[MFR &amp; MDL],Table13[Tolerance % CW ],"")/100*Table1[[#This Row],[Std Nom]]),"")</f>
        <v/>
      </c>
      <c r="P1212" s="1" t="str">
        <f>IFERROR(Table1[[#This Row],[Std Nom]]+(_xlfn.XLOOKUP(Table1[[#This Row],[Manufacturer]]&amp;" "&amp;Table1[[#This Row],[Model]],Table13[MFR &amp; MDL],Table13[Tolerance % CW ],"")/100*Table1[[#This Row],[Std Nom]]),"")</f>
        <v/>
      </c>
      <c r="Q1212" s="1" t="e">
        <f>Table1[[#This Row],[High Tol]]-Table1[[#This Row],[Low Tol]]</f>
        <v>#VALUE!</v>
      </c>
      <c r="R1212" s="1">
        <f>2*Table1[[#This Row],[Std Error]]</f>
        <v>0</v>
      </c>
      <c r="S1212" s="1" t="str">
        <f>IF(Table1[[#This Row],[High Tol]]="","N/A",IFERROR(ABS(Table1[[#This Row],[Tol Span]]/Table1[[#This Row],[Error Span]]),"N/A"))</f>
        <v>N/A</v>
      </c>
      <c r="T1212" s="1" t="str">
        <f>IF(OR(Table1[[#This Row],[Low Tol]]="",Table1[[#This Row],[High Tol]]=""),"Needs Analysis",IF(Table1[[#This Row],[Ratio]]&gt;=4,"Not Significant",IF(Table1[[#This Row],[Ratio]]&gt;=2,"Semi-Significant","Significant")))</f>
        <v>Needs Analysis</v>
      </c>
      <c r="W1212" s="1">
        <f>IF(Table1[[#This Row],[Cal Type]]&lt;&gt;"ACCREDITED 17025 WITH UNCERTAINTIES",0,"")</f>
        <v>0</v>
      </c>
      <c r="X1212" s="1" t="str">
        <f>IF(Table1[[#This Row],[DUT Read]]="","N/A",Table1[[#This Row],[Std Error]]+Table1[[#This Row],[DUT Read]]+Table1[[#This Row],[DUT Ucty]])</f>
        <v>N/A</v>
      </c>
      <c r="Y1212" s="1" t="str">
        <f>IF(Table1[[#This Row],[Std Read]]="","N/A",Table1[[#This Row],[Std Read]]+Table1[[#This Row],[Std Ucty]])</f>
        <v>N/A</v>
      </c>
      <c r="Z12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2" s="1" t="str">
        <f>IF(Table1[[#This Row],[Spec Type]]="","N/A",Table1[[#This Row],[Spec Type]])</f>
        <v>±</v>
      </c>
      <c r="AC1212" s="1" t="str">
        <f>IF(Table1[[#This Row],[Spec Type2]]="N/A","N/A",IF(AND(Table1[[#This Row],[DUT Adj Read]]&gt;=Table1[[#This Row],[Low Tol]],Table1[[#This Row],[DUT Adj Read]]&lt;=Table1[[#This Row],[High Tol]]),"Pass","Fail"))</f>
        <v>Fail</v>
      </c>
      <c r="AD1212" s="1" t="str">
        <f>IF(AND(Table1[[#This Row],[Spec Type2]]="N/A",Table1[[#This Row],[DUT Adj Read]]="N/A",Table1[[#This Row],[Std Adj Read]]="N/A"),"N/A",IF(Table1[[#This Row],[DUT Adj Read]]="N/A",IF(Table1[[#This Row],[Std Adj Read]]&gt;Table1[[#This Row],[Low Tol]],"Pass","Fail"),IF(Table1[[#This Row],[DUT Adj Read]]&gt;Table1[[#This Row],[Low Tol]],"Pass","Fail")))</f>
        <v>Pass</v>
      </c>
      <c r="AE1212" s="1" t="str">
        <f>IF(AND(Table1[[#This Row],[Spec Type2]]="N/A",Table1[[#This Row],[DUT Adj Read]]="N/A",Table1[[#This Row],[Std Adj Read]]="N/A"),"N/A",IF(Table1[[#This Row],[DUT Adj Read]]="N/A",IF(Table1[[#This Row],[Std Adj Read]]&lt;Table1[[#This Row],[High Tol]],"Pass","Fail"),IF(Table1[[#This Row],[DUT Adj Read]]&lt;Table1[[#This Row],[High Tol]],"Pass","Fail")))</f>
        <v>Fail</v>
      </c>
      <c r="AF1212" s="1" t="str">
        <f>IF(AND(Table1[[#This Row],[Spec Type2]]="N/A",Table1[[#This Row],[DUT Adj Read]]="N/A",Table1[[#This Row],[Std Adj Read]]="N/A"),"N/A",IF(Table1[[#This Row],[DUT Adj Read]]="N/A",IF(Table1[[#This Row],[Std Adj Read]]&gt;=Table1[[#This Row],[Low Tol]],"Pass","Fail"),IF(Table1[[#This Row],[DUT Adj Read]]&gt;=Table1[[#This Row],[Low Tol]],"Pass","Fail")))</f>
        <v>Pass</v>
      </c>
      <c r="AG1212" s="1" t="str">
        <f>IF(AND(Table1[[#This Row],[Spec Type2]]="N/A",Table1[[#This Row],[DUT Adj Read]]="N/A",Table1[[#This Row],[Std Adj Read]]="N/A"),"N/A",IF(Table1[[#This Row],[DUT Adj Read]]="N/A",IF(Table1[[#This Row],[Std Adj Read]]&lt;=Table1[[#This Row],[High Tol]],"Pass","Fail"),IF(Table1[[#This Row],[DUT Adj Read]]&lt;=Table1[[#This Row],[High Tol]],"Pass","Fail")))</f>
        <v>Fail</v>
      </c>
      <c r="AH12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2" s="1" t="b">
        <v>0</v>
      </c>
      <c r="AN1212" s="1" t="b">
        <v>0</v>
      </c>
      <c r="AO1212" s="1" t="b">
        <v>0</v>
      </c>
    </row>
    <row r="1213" spans="1:41" x14ac:dyDescent="0.25">
      <c r="A1213" s="10"/>
      <c r="B1213" s="10"/>
      <c r="C1213" s="10"/>
      <c r="D1213" s="10"/>
      <c r="E1213" s="10"/>
      <c r="F1213" s="10"/>
      <c r="G1213" s="10"/>
      <c r="H1213" s="10"/>
      <c r="I1213" s="1" t="str">
        <f t="shared" si="54"/>
        <v/>
      </c>
      <c r="J1213" s="1" t="s">
        <v>35</v>
      </c>
      <c r="K1213" s="1" t="str">
        <f t="shared" si="55"/>
        <v/>
      </c>
      <c r="L1213" s="1" t="str">
        <f t="shared" si="56"/>
        <v/>
      </c>
      <c r="M1213" s="1">
        <f>IF(OR(Table1[[#This Row],[Std Nom]]="",Table1[[#This Row],[Std Read]]=""),0,Table1[[#This Row],[Std Nom]]-Table1[[#This Row],[Std Read]])</f>
        <v>0</v>
      </c>
      <c r="N1213" s="1">
        <f>IF(Calculations!$F$5="ACCREDITED 17025 WITH UNCERTAINTIES",$N$10,0)</f>
        <v>0</v>
      </c>
      <c r="O1213" s="1" t="str">
        <f>IFERROR(Table1[[#This Row],[Std Nom]]-(_xlfn.XLOOKUP(Table1[[#This Row],[Manufacturer]]&amp;" "&amp;Table1[[#This Row],[Model]],Table13[MFR &amp; MDL],Table13[Tolerance % CW ],"")/100*Table1[[#This Row],[Std Nom]]),"")</f>
        <v/>
      </c>
      <c r="P1213" s="1" t="str">
        <f>IFERROR(Table1[[#This Row],[Std Nom]]+(_xlfn.XLOOKUP(Table1[[#This Row],[Manufacturer]]&amp;" "&amp;Table1[[#This Row],[Model]],Table13[MFR &amp; MDL],Table13[Tolerance % CW ],"")/100*Table1[[#This Row],[Std Nom]]),"")</f>
        <v/>
      </c>
      <c r="Q1213" s="1" t="e">
        <f>Table1[[#This Row],[High Tol]]-Table1[[#This Row],[Low Tol]]</f>
        <v>#VALUE!</v>
      </c>
      <c r="R1213" s="1">
        <f>2*Table1[[#This Row],[Std Error]]</f>
        <v>0</v>
      </c>
      <c r="S1213" s="1" t="str">
        <f>IF(Table1[[#This Row],[High Tol]]="","N/A",IFERROR(ABS(Table1[[#This Row],[Tol Span]]/Table1[[#This Row],[Error Span]]),"N/A"))</f>
        <v>N/A</v>
      </c>
      <c r="T1213" s="1" t="str">
        <f>IF(OR(Table1[[#This Row],[Low Tol]]="",Table1[[#This Row],[High Tol]]=""),"Needs Analysis",IF(Table1[[#This Row],[Ratio]]&gt;=4,"Not Significant",IF(Table1[[#This Row],[Ratio]]&gt;=2,"Semi-Significant","Significant")))</f>
        <v>Needs Analysis</v>
      </c>
      <c r="W1213" s="1">
        <f>IF(Table1[[#This Row],[Cal Type]]&lt;&gt;"ACCREDITED 17025 WITH UNCERTAINTIES",0,"")</f>
        <v>0</v>
      </c>
      <c r="X1213" s="1" t="str">
        <f>IF(Table1[[#This Row],[DUT Read]]="","N/A",Table1[[#This Row],[Std Error]]+Table1[[#This Row],[DUT Read]]+Table1[[#This Row],[DUT Ucty]])</f>
        <v>N/A</v>
      </c>
      <c r="Y1213" s="1" t="str">
        <f>IF(Table1[[#This Row],[Std Read]]="","N/A",Table1[[#This Row],[Std Read]]+Table1[[#This Row],[Std Ucty]])</f>
        <v>N/A</v>
      </c>
      <c r="Z12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3" s="1" t="str">
        <f>IF(Table1[[#This Row],[Spec Type]]="","N/A",Table1[[#This Row],[Spec Type]])</f>
        <v>±</v>
      </c>
      <c r="AC1213" s="1" t="str">
        <f>IF(Table1[[#This Row],[Spec Type2]]="N/A","N/A",IF(AND(Table1[[#This Row],[DUT Adj Read]]&gt;=Table1[[#This Row],[Low Tol]],Table1[[#This Row],[DUT Adj Read]]&lt;=Table1[[#This Row],[High Tol]]),"Pass","Fail"))</f>
        <v>Fail</v>
      </c>
      <c r="AD1213" s="1" t="str">
        <f>IF(AND(Table1[[#This Row],[Spec Type2]]="N/A",Table1[[#This Row],[DUT Adj Read]]="N/A",Table1[[#This Row],[Std Adj Read]]="N/A"),"N/A",IF(Table1[[#This Row],[DUT Adj Read]]="N/A",IF(Table1[[#This Row],[Std Adj Read]]&gt;Table1[[#This Row],[Low Tol]],"Pass","Fail"),IF(Table1[[#This Row],[DUT Adj Read]]&gt;Table1[[#This Row],[Low Tol]],"Pass","Fail")))</f>
        <v>Pass</v>
      </c>
      <c r="AE1213" s="1" t="str">
        <f>IF(AND(Table1[[#This Row],[Spec Type2]]="N/A",Table1[[#This Row],[DUT Adj Read]]="N/A",Table1[[#This Row],[Std Adj Read]]="N/A"),"N/A",IF(Table1[[#This Row],[DUT Adj Read]]="N/A",IF(Table1[[#This Row],[Std Adj Read]]&lt;Table1[[#This Row],[High Tol]],"Pass","Fail"),IF(Table1[[#This Row],[DUT Adj Read]]&lt;Table1[[#This Row],[High Tol]],"Pass","Fail")))</f>
        <v>Fail</v>
      </c>
      <c r="AF1213" s="1" t="str">
        <f>IF(AND(Table1[[#This Row],[Spec Type2]]="N/A",Table1[[#This Row],[DUT Adj Read]]="N/A",Table1[[#This Row],[Std Adj Read]]="N/A"),"N/A",IF(Table1[[#This Row],[DUT Adj Read]]="N/A",IF(Table1[[#This Row],[Std Adj Read]]&gt;=Table1[[#This Row],[Low Tol]],"Pass","Fail"),IF(Table1[[#This Row],[DUT Adj Read]]&gt;=Table1[[#This Row],[Low Tol]],"Pass","Fail")))</f>
        <v>Pass</v>
      </c>
      <c r="AG1213" s="1" t="str">
        <f>IF(AND(Table1[[#This Row],[Spec Type2]]="N/A",Table1[[#This Row],[DUT Adj Read]]="N/A",Table1[[#This Row],[Std Adj Read]]="N/A"),"N/A",IF(Table1[[#This Row],[DUT Adj Read]]="N/A",IF(Table1[[#This Row],[Std Adj Read]]&lt;=Table1[[#This Row],[High Tol]],"Pass","Fail"),IF(Table1[[#This Row],[DUT Adj Read]]&lt;=Table1[[#This Row],[High Tol]],"Pass","Fail")))</f>
        <v>Fail</v>
      </c>
      <c r="AH12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3" s="1" t="b">
        <v>0</v>
      </c>
      <c r="AN1213" s="1" t="b">
        <v>0</v>
      </c>
      <c r="AO1213" s="1" t="b">
        <v>0</v>
      </c>
    </row>
    <row r="1214" spans="1:41" x14ac:dyDescent="0.25">
      <c r="A1214" s="10"/>
      <c r="B1214" s="10"/>
      <c r="C1214" s="10"/>
      <c r="D1214" s="10"/>
      <c r="E1214" s="10"/>
      <c r="F1214" s="10"/>
      <c r="G1214" s="10"/>
      <c r="H1214" s="10"/>
      <c r="I1214" s="1" t="str">
        <f t="shared" si="54"/>
        <v/>
      </c>
      <c r="J1214" s="1" t="s">
        <v>35</v>
      </c>
      <c r="K1214" s="1" t="str">
        <f t="shared" si="55"/>
        <v/>
      </c>
      <c r="L1214" s="1" t="str">
        <f t="shared" si="56"/>
        <v/>
      </c>
      <c r="M1214" s="1">
        <f>IF(OR(Table1[[#This Row],[Std Nom]]="",Table1[[#This Row],[Std Read]]=""),0,Table1[[#This Row],[Std Nom]]-Table1[[#This Row],[Std Read]])</f>
        <v>0</v>
      </c>
      <c r="N1214" s="1">
        <f>IF(Calculations!$F$5="ACCREDITED 17025 WITH UNCERTAINTIES",$N$10,0)</f>
        <v>0</v>
      </c>
      <c r="O1214" s="1" t="str">
        <f>IFERROR(Table1[[#This Row],[Std Nom]]-(_xlfn.XLOOKUP(Table1[[#This Row],[Manufacturer]]&amp;" "&amp;Table1[[#This Row],[Model]],Table13[MFR &amp; MDL],Table13[Tolerance % CW ],"")/100*Table1[[#This Row],[Std Nom]]),"")</f>
        <v/>
      </c>
      <c r="P1214" s="1" t="str">
        <f>IFERROR(Table1[[#This Row],[Std Nom]]+(_xlfn.XLOOKUP(Table1[[#This Row],[Manufacturer]]&amp;" "&amp;Table1[[#This Row],[Model]],Table13[MFR &amp; MDL],Table13[Tolerance % CW ],"")/100*Table1[[#This Row],[Std Nom]]),"")</f>
        <v/>
      </c>
      <c r="Q1214" s="1" t="e">
        <f>Table1[[#This Row],[High Tol]]-Table1[[#This Row],[Low Tol]]</f>
        <v>#VALUE!</v>
      </c>
      <c r="R1214" s="1">
        <f>2*Table1[[#This Row],[Std Error]]</f>
        <v>0</v>
      </c>
      <c r="S1214" s="1" t="str">
        <f>IF(Table1[[#This Row],[High Tol]]="","N/A",IFERROR(ABS(Table1[[#This Row],[Tol Span]]/Table1[[#This Row],[Error Span]]),"N/A"))</f>
        <v>N/A</v>
      </c>
      <c r="T1214" s="1" t="str">
        <f>IF(OR(Table1[[#This Row],[Low Tol]]="",Table1[[#This Row],[High Tol]]=""),"Needs Analysis",IF(Table1[[#This Row],[Ratio]]&gt;=4,"Not Significant",IF(Table1[[#This Row],[Ratio]]&gt;=2,"Semi-Significant","Significant")))</f>
        <v>Needs Analysis</v>
      </c>
      <c r="W1214" s="1">
        <f>IF(Table1[[#This Row],[Cal Type]]&lt;&gt;"ACCREDITED 17025 WITH UNCERTAINTIES",0,"")</f>
        <v>0</v>
      </c>
      <c r="X1214" s="1" t="str">
        <f>IF(Table1[[#This Row],[DUT Read]]="","N/A",Table1[[#This Row],[Std Error]]+Table1[[#This Row],[DUT Read]]+Table1[[#This Row],[DUT Ucty]])</f>
        <v>N/A</v>
      </c>
      <c r="Y1214" s="1" t="str">
        <f>IF(Table1[[#This Row],[Std Read]]="","N/A",Table1[[#This Row],[Std Read]]+Table1[[#This Row],[Std Ucty]])</f>
        <v>N/A</v>
      </c>
      <c r="Z12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4" s="1" t="str">
        <f>IF(Table1[[#This Row],[Spec Type]]="","N/A",Table1[[#This Row],[Spec Type]])</f>
        <v>±</v>
      </c>
      <c r="AC1214" s="1" t="str">
        <f>IF(Table1[[#This Row],[Spec Type2]]="N/A","N/A",IF(AND(Table1[[#This Row],[DUT Adj Read]]&gt;=Table1[[#This Row],[Low Tol]],Table1[[#This Row],[DUT Adj Read]]&lt;=Table1[[#This Row],[High Tol]]),"Pass","Fail"))</f>
        <v>Fail</v>
      </c>
      <c r="AD1214" s="1" t="str">
        <f>IF(AND(Table1[[#This Row],[Spec Type2]]="N/A",Table1[[#This Row],[DUT Adj Read]]="N/A",Table1[[#This Row],[Std Adj Read]]="N/A"),"N/A",IF(Table1[[#This Row],[DUT Adj Read]]="N/A",IF(Table1[[#This Row],[Std Adj Read]]&gt;Table1[[#This Row],[Low Tol]],"Pass","Fail"),IF(Table1[[#This Row],[DUT Adj Read]]&gt;Table1[[#This Row],[Low Tol]],"Pass","Fail")))</f>
        <v>Pass</v>
      </c>
      <c r="AE1214" s="1" t="str">
        <f>IF(AND(Table1[[#This Row],[Spec Type2]]="N/A",Table1[[#This Row],[DUT Adj Read]]="N/A",Table1[[#This Row],[Std Adj Read]]="N/A"),"N/A",IF(Table1[[#This Row],[DUT Adj Read]]="N/A",IF(Table1[[#This Row],[Std Adj Read]]&lt;Table1[[#This Row],[High Tol]],"Pass","Fail"),IF(Table1[[#This Row],[DUT Adj Read]]&lt;Table1[[#This Row],[High Tol]],"Pass","Fail")))</f>
        <v>Fail</v>
      </c>
      <c r="AF1214" s="1" t="str">
        <f>IF(AND(Table1[[#This Row],[Spec Type2]]="N/A",Table1[[#This Row],[DUT Adj Read]]="N/A",Table1[[#This Row],[Std Adj Read]]="N/A"),"N/A",IF(Table1[[#This Row],[DUT Adj Read]]="N/A",IF(Table1[[#This Row],[Std Adj Read]]&gt;=Table1[[#This Row],[Low Tol]],"Pass","Fail"),IF(Table1[[#This Row],[DUT Adj Read]]&gt;=Table1[[#This Row],[Low Tol]],"Pass","Fail")))</f>
        <v>Pass</v>
      </c>
      <c r="AG1214" s="1" t="str">
        <f>IF(AND(Table1[[#This Row],[Spec Type2]]="N/A",Table1[[#This Row],[DUT Adj Read]]="N/A",Table1[[#This Row],[Std Adj Read]]="N/A"),"N/A",IF(Table1[[#This Row],[DUT Adj Read]]="N/A",IF(Table1[[#This Row],[Std Adj Read]]&lt;=Table1[[#This Row],[High Tol]],"Pass","Fail"),IF(Table1[[#This Row],[DUT Adj Read]]&lt;=Table1[[#This Row],[High Tol]],"Pass","Fail")))</f>
        <v>Fail</v>
      </c>
      <c r="AH12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4" s="1" t="b">
        <v>0</v>
      </c>
      <c r="AN1214" s="1" t="b">
        <v>0</v>
      </c>
      <c r="AO1214" s="1" t="b">
        <v>0</v>
      </c>
    </row>
    <row r="1215" spans="1:41" x14ac:dyDescent="0.25">
      <c r="A1215" s="10"/>
      <c r="B1215" s="10"/>
      <c r="C1215" s="10"/>
      <c r="D1215" s="10"/>
      <c r="E1215" s="10"/>
      <c r="F1215" s="10"/>
      <c r="G1215" s="10"/>
      <c r="H1215" s="10"/>
      <c r="I1215" s="1" t="str">
        <f t="shared" si="54"/>
        <v/>
      </c>
      <c r="J1215" s="1" t="s">
        <v>35</v>
      </c>
      <c r="K1215" s="1" t="str">
        <f t="shared" si="55"/>
        <v/>
      </c>
      <c r="L1215" s="1" t="str">
        <f t="shared" si="56"/>
        <v/>
      </c>
      <c r="M1215" s="1">
        <f>IF(OR(Table1[[#This Row],[Std Nom]]="",Table1[[#This Row],[Std Read]]=""),0,Table1[[#This Row],[Std Nom]]-Table1[[#This Row],[Std Read]])</f>
        <v>0</v>
      </c>
      <c r="N1215" s="1">
        <f>IF(Calculations!$F$5="ACCREDITED 17025 WITH UNCERTAINTIES",$N$10,0)</f>
        <v>0</v>
      </c>
      <c r="O1215" s="1" t="str">
        <f>IFERROR(Table1[[#This Row],[Std Nom]]-(_xlfn.XLOOKUP(Table1[[#This Row],[Manufacturer]]&amp;" "&amp;Table1[[#This Row],[Model]],Table13[MFR &amp; MDL],Table13[Tolerance % CW ],"")/100*Table1[[#This Row],[Std Nom]]),"")</f>
        <v/>
      </c>
      <c r="P1215" s="1" t="str">
        <f>IFERROR(Table1[[#This Row],[Std Nom]]+(_xlfn.XLOOKUP(Table1[[#This Row],[Manufacturer]]&amp;" "&amp;Table1[[#This Row],[Model]],Table13[MFR &amp; MDL],Table13[Tolerance % CW ],"")/100*Table1[[#This Row],[Std Nom]]),"")</f>
        <v/>
      </c>
      <c r="Q1215" s="1" t="e">
        <f>Table1[[#This Row],[High Tol]]-Table1[[#This Row],[Low Tol]]</f>
        <v>#VALUE!</v>
      </c>
      <c r="R1215" s="1">
        <f>2*Table1[[#This Row],[Std Error]]</f>
        <v>0</v>
      </c>
      <c r="S1215" s="1" t="str">
        <f>IF(Table1[[#This Row],[High Tol]]="","N/A",IFERROR(ABS(Table1[[#This Row],[Tol Span]]/Table1[[#This Row],[Error Span]]),"N/A"))</f>
        <v>N/A</v>
      </c>
      <c r="T1215" s="1" t="str">
        <f>IF(OR(Table1[[#This Row],[Low Tol]]="",Table1[[#This Row],[High Tol]]=""),"Needs Analysis",IF(Table1[[#This Row],[Ratio]]&gt;=4,"Not Significant",IF(Table1[[#This Row],[Ratio]]&gt;=2,"Semi-Significant","Significant")))</f>
        <v>Needs Analysis</v>
      </c>
      <c r="W1215" s="1">
        <f>IF(Table1[[#This Row],[Cal Type]]&lt;&gt;"ACCREDITED 17025 WITH UNCERTAINTIES",0,"")</f>
        <v>0</v>
      </c>
      <c r="X1215" s="1" t="str">
        <f>IF(Table1[[#This Row],[DUT Read]]="","N/A",Table1[[#This Row],[Std Error]]+Table1[[#This Row],[DUT Read]]+Table1[[#This Row],[DUT Ucty]])</f>
        <v>N/A</v>
      </c>
      <c r="Y1215" s="1" t="str">
        <f>IF(Table1[[#This Row],[Std Read]]="","N/A",Table1[[#This Row],[Std Read]]+Table1[[#This Row],[Std Ucty]])</f>
        <v>N/A</v>
      </c>
      <c r="Z12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5" s="1" t="str">
        <f>IF(Table1[[#This Row],[Spec Type]]="","N/A",Table1[[#This Row],[Spec Type]])</f>
        <v>±</v>
      </c>
      <c r="AC1215" s="1" t="str">
        <f>IF(Table1[[#This Row],[Spec Type2]]="N/A","N/A",IF(AND(Table1[[#This Row],[DUT Adj Read]]&gt;=Table1[[#This Row],[Low Tol]],Table1[[#This Row],[DUT Adj Read]]&lt;=Table1[[#This Row],[High Tol]]),"Pass","Fail"))</f>
        <v>Fail</v>
      </c>
      <c r="AD1215" s="1" t="str">
        <f>IF(AND(Table1[[#This Row],[Spec Type2]]="N/A",Table1[[#This Row],[DUT Adj Read]]="N/A",Table1[[#This Row],[Std Adj Read]]="N/A"),"N/A",IF(Table1[[#This Row],[DUT Adj Read]]="N/A",IF(Table1[[#This Row],[Std Adj Read]]&gt;Table1[[#This Row],[Low Tol]],"Pass","Fail"),IF(Table1[[#This Row],[DUT Adj Read]]&gt;Table1[[#This Row],[Low Tol]],"Pass","Fail")))</f>
        <v>Pass</v>
      </c>
      <c r="AE1215" s="1" t="str">
        <f>IF(AND(Table1[[#This Row],[Spec Type2]]="N/A",Table1[[#This Row],[DUT Adj Read]]="N/A",Table1[[#This Row],[Std Adj Read]]="N/A"),"N/A",IF(Table1[[#This Row],[DUT Adj Read]]="N/A",IF(Table1[[#This Row],[Std Adj Read]]&lt;Table1[[#This Row],[High Tol]],"Pass","Fail"),IF(Table1[[#This Row],[DUT Adj Read]]&lt;Table1[[#This Row],[High Tol]],"Pass","Fail")))</f>
        <v>Fail</v>
      </c>
      <c r="AF1215" s="1" t="str">
        <f>IF(AND(Table1[[#This Row],[Spec Type2]]="N/A",Table1[[#This Row],[DUT Adj Read]]="N/A",Table1[[#This Row],[Std Adj Read]]="N/A"),"N/A",IF(Table1[[#This Row],[DUT Adj Read]]="N/A",IF(Table1[[#This Row],[Std Adj Read]]&gt;=Table1[[#This Row],[Low Tol]],"Pass","Fail"),IF(Table1[[#This Row],[DUT Adj Read]]&gt;=Table1[[#This Row],[Low Tol]],"Pass","Fail")))</f>
        <v>Pass</v>
      </c>
      <c r="AG1215" s="1" t="str">
        <f>IF(AND(Table1[[#This Row],[Spec Type2]]="N/A",Table1[[#This Row],[DUT Adj Read]]="N/A",Table1[[#This Row],[Std Adj Read]]="N/A"),"N/A",IF(Table1[[#This Row],[DUT Adj Read]]="N/A",IF(Table1[[#This Row],[Std Adj Read]]&lt;=Table1[[#This Row],[High Tol]],"Pass","Fail"),IF(Table1[[#This Row],[DUT Adj Read]]&lt;=Table1[[#This Row],[High Tol]],"Pass","Fail")))</f>
        <v>Fail</v>
      </c>
      <c r="AH12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5" s="1" t="b">
        <v>0</v>
      </c>
      <c r="AN1215" s="1" t="b">
        <v>0</v>
      </c>
      <c r="AO1215" s="1" t="b">
        <v>0</v>
      </c>
    </row>
    <row r="1216" spans="1:41" x14ac:dyDescent="0.25">
      <c r="A1216" s="10"/>
      <c r="B1216" s="10"/>
      <c r="C1216" s="10"/>
      <c r="D1216" s="10"/>
      <c r="E1216" s="10"/>
      <c r="F1216" s="10"/>
      <c r="G1216" s="10"/>
      <c r="H1216" s="10"/>
      <c r="I1216" s="1" t="str">
        <f t="shared" si="54"/>
        <v/>
      </c>
      <c r="J1216" s="1" t="s">
        <v>35</v>
      </c>
      <c r="K1216" s="1" t="str">
        <f t="shared" si="55"/>
        <v/>
      </c>
      <c r="L1216" s="1" t="str">
        <f t="shared" si="56"/>
        <v/>
      </c>
      <c r="M1216" s="1">
        <f>IF(OR(Table1[[#This Row],[Std Nom]]="",Table1[[#This Row],[Std Read]]=""),0,Table1[[#This Row],[Std Nom]]-Table1[[#This Row],[Std Read]])</f>
        <v>0</v>
      </c>
      <c r="N1216" s="1">
        <f>IF(Calculations!$F$5="ACCREDITED 17025 WITH UNCERTAINTIES",$N$10,0)</f>
        <v>0</v>
      </c>
      <c r="O1216" s="1" t="str">
        <f>IFERROR(Table1[[#This Row],[Std Nom]]-(_xlfn.XLOOKUP(Table1[[#This Row],[Manufacturer]]&amp;" "&amp;Table1[[#This Row],[Model]],Table13[MFR &amp; MDL],Table13[Tolerance % CW ],"")/100*Table1[[#This Row],[Std Nom]]),"")</f>
        <v/>
      </c>
      <c r="P1216" s="1" t="str">
        <f>IFERROR(Table1[[#This Row],[Std Nom]]+(_xlfn.XLOOKUP(Table1[[#This Row],[Manufacturer]]&amp;" "&amp;Table1[[#This Row],[Model]],Table13[MFR &amp; MDL],Table13[Tolerance % CW ],"")/100*Table1[[#This Row],[Std Nom]]),"")</f>
        <v/>
      </c>
      <c r="Q1216" s="1" t="e">
        <f>Table1[[#This Row],[High Tol]]-Table1[[#This Row],[Low Tol]]</f>
        <v>#VALUE!</v>
      </c>
      <c r="R1216" s="1">
        <f>2*Table1[[#This Row],[Std Error]]</f>
        <v>0</v>
      </c>
      <c r="S1216" s="1" t="str">
        <f>IF(Table1[[#This Row],[High Tol]]="","N/A",IFERROR(ABS(Table1[[#This Row],[Tol Span]]/Table1[[#This Row],[Error Span]]),"N/A"))</f>
        <v>N/A</v>
      </c>
      <c r="T1216" s="1" t="str">
        <f>IF(OR(Table1[[#This Row],[Low Tol]]="",Table1[[#This Row],[High Tol]]=""),"Needs Analysis",IF(Table1[[#This Row],[Ratio]]&gt;=4,"Not Significant",IF(Table1[[#This Row],[Ratio]]&gt;=2,"Semi-Significant","Significant")))</f>
        <v>Needs Analysis</v>
      </c>
      <c r="W1216" s="1">
        <f>IF(Table1[[#This Row],[Cal Type]]&lt;&gt;"ACCREDITED 17025 WITH UNCERTAINTIES",0,"")</f>
        <v>0</v>
      </c>
      <c r="X1216" s="1" t="str">
        <f>IF(Table1[[#This Row],[DUT Read]]="","N/A",Table1[[#This Row],[Std Error]]+Table1[[#This Row],[DUT Read]]+Table1[[#This Row],[DUT Ucty]])</f>
        <v>N/A</v>
      </c>
      <c r="Y1216" s="1" t="str">
        <f>IF(Table1[[#This Row],[Std Read]]="","N/A",Table1[[#This Row],[Std Read]]+Table1[[#This Row],[Std Ucty]])</f>
        <v>N/A</v>
      </c>
      <c r="Z12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6" s="1" t="str">
        <f>IF(Table1[[#This Row],[Spec Type]]="","N/A",Table1[[#This Row],[Spec Type]])</f>
        <v>±</v>
      </c>
      <c r="AC1216" s="1" t="str">
        <f>IF(Table1[[#This Row],[Spec Type2]]="N/A","N/A",IF(AND(Table1[[#This Row],[DUT Adj Read]]&gt;=Table1[[#This Row],[Low Tol]],Table1[[#This Row],[DUT Adj Read]]&lt;=Table1[[#This Row],[High Tol]]),"Pass","Fail"))</f>
        <v>Fail</v>
      </c>
      <c r="AD1216" s="1" t="str">
        <f>IF(AND(Table1[[#This Row],[Spec Type2]]="N/A",Table1[[#This Row],[DUT Adj Read]]="N/A",Table1[[#This Row],[Std Adj Read]]="N/A"),"N/A",IF(Table1[[#This Row],[DUT Adj Read]]="N/A",IF(Table1[[#This Row],[Std Adj Read]]&gt;Table1[[#This Row],[Low Tol]],"Pass","Fail"),IF(Table1[[#This Row],[DUT Adj Read]]&gt;Table1[[#This Row],[Low Tol]],"Pass","Fail")))</f>
        <v>Pass</v>
      </c>
      <c r="AE1216" s="1" t="str">
        <f>IF(AND(Table1[[#This Row],[Spec Type2]]="N/A",Table1[[#This Row],[DUT Adj Read]]="N/A",Table1[[#This Row],[Std Adj Read]]="N/A"),"N/A",IF(Table1[[#This Row],[DUT Adj Read]]="N/A",IF(Table1[[#This Row],[Std Adj Read]]&lt;Table1[[#This Row],[High Tol]],"Pass","Fail"),IF(Table1[[#This Row],[DUT Adj Read]]&lt;Table1[[#This Row],[High Tol]],"Pass","Fail")))</f>
        <v>Fail</v>
      </c>
      <c r="AF1216" s="1" t="str">
        <f>IF(AND(Table1[[#This Row],[Spec Type2]]="N/A",Table1[[#This Row],[DUT Adj Read]]="N/A",Table1[[#This Row],[Std Adj Read]]="N/A"),"N/A",IF(Table1[[#This Row],[DUT Adj Read]]="N/A",IF(Table1[[#This Row],[Std Adj Read]]&gt;=Table1[[#This Row],[Low Tol]],"Pass","Fail"),IF(Table1[[#This Row],[DUT Adj Read]]&gt;=Table1[[#This Row],[Low Tol]],"Pass","Fail")))</f>
        <v>Pass</v>
      </c>
      <c r="AG1216" s="1" t="str">
        <f>IF(AND(Table1[[#This Row],[Spec Type2]]="N/A",Table1[[#This Row],[DUT Adj Read]]="N/A",Table1[[#This Row],[Std Adj Read]]="N/A"),"N/A",IF(Table1[[#This Row],[DUT Adj Read]]="N/A",IF(Table1[[#This Row],[Std Adj Read]]&lt;=Table1[[#This Row],[High Tol]],"Pass","Fail"),IF(Table1[[#This Row],[DUT Adj Read]]&lt;=Table1[[#This Row],[High Tol]],"Pass","Fail")))</f>
        <v>Fail</v>
      </c>
      <c r="AH12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6" s="1" t="b">
        <v>0</v>
      </c>
      <c r="AN1216" s="1" t="b">
        <v>0</v>
      </c>
      <c r="AO1216" s="1" t="b">
        <v>0</v>
      </c>
    </row>
    <row r="1217" spans="1:41" x14ac:dyDescent="0.25">
      <c r="A1217" s="10"/>
      <c r="B1217" s="10"/>
      <c r="C1217" s="10"/>
      <c r="D1217" s="10"/>
      <c r="E1217" s="10"/>
      <c r="F1217" s="10"/>
      <c r="G1217" s="10"/>
      <c r="H1217" s="10"/>
      <c r="I1217" s="1" t="str">
        <f t="shared" si="54"/>
        <v/>
      </c>
      <c r="J1217" s="1" t="s">
        <v>35</v>
      </c>
      <c r="K1217" s="1" t="str">
        <f t="shared" si="55"/>
        <v/>
      </c>
      <c r="L1217" s="1" t="str">
        <f t="shared" si="56"/>
        <v/>
      </c>
      <c r="M1217" s="1">
        <f>IF(OR(Table1[[#This Row],[Std Nom]]="",Table1[[#This Row],[Std Read]]=""),0,Table1[[#This Row],[Std Nom]]-Table1[[#This Row],[Std Read]])</f>
        <v>0</v>
      </c>
      <c r="N1217" s="1">
        <f>IF(Calculations!$F$5="ACCREDITED 17025 WITH UNCERTAINTIES",$N$10,0)</f>
        <v>0</v>
      </c>
      <c r="O1217" s="1" t="str">
        <f>IFERROR(Table1[[#This Row],[Std Nom]]-(_xlfn.XLOOKUP(Table1[[#This Row],[Manufacturer]]&amp;" "&amp;Table1[[#This Row],[Model]],Table13[MFR &amp; MDL],Table13[Tolerance % CW ],"")/100*Table1[[#This Row],[Std Nom]]),"")</f>
        <v/>
      </c>
      <c r="P1217" s="1" t="str">
        <f>IFERROR(Table1[[#This Row],[Std Nom]]+(_xlfn.XLOOKUP(Table1[[#This Row],[Manufacturer]]&amp;" "&amp;Table1[[#This Row],[Model]],Table13[MFR &amp; MDL],Table13[Tolerance % CW ],"")/100*Table1[[#This Row],[Std Nom]]),"")</f>
        <v/>
      </c>
      <c r="Q1217" s="1" t="e">
        <f>Table1[[#This Row],[High Tol]]-Table1[[#This Row],[Low Tol]]</f>
        <v>#VALUE!</v>
      </c>
      <c r="R1217" s="1">
        <f>2*Table1[[#This Row],[Std Error]]</f>
        <v>0</v>
      </c>
      <c r="S1217" s="1" t="str">
        <f>IF(Table1[[#This Row],[High Tol]]="","N/A",IFERROR(ABS(Table1[[#This Row],[Tol Span]]/Table1[[#This Row],[Error Span]]),"N/A"))</f>
        <v>N/A</v>
      </c>
      <c r="T1217" s="1" t="str">
        <f>IF(OR(Table1[[#This Row],[Low Tol]]="",Table1[[#This Row],[High Tol]]=""),"Needs Analysis",IF(Table1[[#This Row],[Ratio]]&gt;=4,"Not Significant",IF(Table1[[#This Row],[Ratio]]&gt;=2,"Semi-Significant","Significant")))</f>
        <v>Needs Analysis</v>
      </c>
      <c r="W1217" s="1">
        <f>IF(Table1[[#This Row],[Cal Type]]&lt;&gt;"ACCREDITED 17025 WITH UNCERTAINTIES",0,"")</f>
        <v>0</v>
      </c>
      <c r="X1217" s="1" t="str">
        <f>IF(Table1[[#This Row],[DUT Read]]="","N/A",Table1[[#This Row],[Std Error]]+Table1[[#This Row],[DUT Read]]+Table1[[#This Row],[DUT Ucty]])</f>
        <v>N/A</v>
      </c>
      <c r="Y1217" s="1" t="str">
        <f>IF(Table1[[#This Row],[Std Read]]="","N/A",Table1[[#This Row],[Std Read]]+Table1[[#This Row],[Std Ucty]])</f>
        <v>N/A</v>
      </c>
      <c r="Z12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7" s="1" t="str">
        <f>IF(Table1[[#This Row],[Spec Type]]="","N/A",Table1[[#This Row],[Spec Type]])</f>
        <v>±</v>
      </c>
      <c r="AC1217" s="1" t="str">
        <f>IF(Table1[[#This Row],[Spec Type2]]="N/A","N/A",IF(AND(Table1[[#This Row],[DUT Adj Read]]&gt;=Table1[[#This Row],[Low Tol]],Table1[[#This Row],[DUT Adj Read]]&lt;=Table1[[#This Row],[High Tol]]),"Pass","Fail"))</f>
        <v>Fail</v>
      </c>
      <c r="AD1217" s="1" t="str">
        <f>IF(AND(Table1[[#This Row],[Spec Type2]]="N/A",Table1[[#This Row],[DUT Adj Read]]="N/A",Table1[[#This Row],[Std Adj Read]]="N/A"),"N/A",IF(Table1[[#This Row],[DUT Adj Read]]="N/A",IF(Table1[[#This Row],[Std Adj Read]]&gt;Table1[[#This Row],[Low Tol]],"Pass","Fail"),IF(Table1[[#This Row],[DUT Adj Read]]&gt;Table1[[#This Row],[Low Tol]],"Pass","Fail")))</f>
        <v>Pass</v>
      </c>
      <c r="AE1217" s="1" t="str">
        <f>IF(AND(Table1[[#This Row],[Spec Type2]]="N/A",Table1[[#This Row],[DUT Adj Read]]="N/A",Table1[[#This Row],[Std Adj Read]]="N/A"),"N/A",IF(Table1[[#This Row],[DUT Adj Read]]="N/A",IF(Table1[[#This Row],[Std Adj Read]]&lt;Table1[[#This Row],[High Tol]],"Pass","Fail"),IF(Table1[[#This Row],[DUT Adj Read]]&lt;Table1[[#This Row],[High Tol]],"Pass","Fail")))</f>
        <v>Fail</v>
      </c>
      <c r="AF1217" s="1" t="str">
        <f>IF(AND(Table1[[#This Row],[Spec Type2]]="N/A",Table1[[#This Row],[DUT Adj Read]]="N/A",Table1[[#This Row],[Std Adj Read]]="N/A"),"N/A",IF(Table1[[#This Row],[DUT Adj Read]]="N/A",IF(Table1[[#This Row],[Std Adj Read]]&gt;=Table1[[#This Row],[Low Tol]],"Pass","Fail"),IF(Table1[[#This Row],[DUT Adj Read]]&gt;=Table1[[#This Row],[Low Tol]],"Pass","Fail")))</f>
        <v>Pass</v>
      </c>
      <c r="AG1217" s="1" t="str">
        <f>IF(AND(Table1[[#This Row],[Spec Type2]]="N/A",Table1[[#This Row],[DUT Adj Read]]="N/A",Table1[[#This Row],[Std Adj Read]]="N/A"),"N/A",IF(Table1[[#This Row],[DUT Adj Read]]="N/A",IF(Table1[[#This Row],[Std Adj Read]]&lt;=Table1[[#This Row],[High Tol]],"Pass","Fail"),IF(Table1[[#This Row],[DUT Adj Read]]&lt;=Table1[[#This Row],[High Tol]],"Pass","Fail")))</f>
        <v>Fail</v>
      </c>
      <c r="AH12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7" s="1" t="b">
        <v>0</v>
      </c>
      <c r="AN1217" s="1" t="b">
        <v>0</v>
      </c>
      <c r="AO1217" s="1" t="b">
        <v>0</v>
      </c>
    </row>
    <row r="1218" spans="1:41" x14ac:dyDescent="0.25">
      <c r="A1218" s="10"/>
      <c r="B1218" s="10"/>
      <c r="C1218" s="10"/>
      <c r="D1218" s="10"/>
      <c r="E1218" s="10"/>
      <c r="F1218" s="10"/>
      <c r="G1218" s="10"/>
      <c r="H1218" s="10"/>
      <c r="I1218" s="1" t="str">
        <f t="shared" si="54"/>
        <v/>
      </c>
      <c r="J1218" s="1" t="s">
        <v>35</v>
      </c>
      <c r="K1218" s="1" t="str">
        <f t="shared" si="55"/>
        <v/>
      </c>
      <c r="L1218" s="1" t="str">
        <f t="shared" si="56"/>
        <v/>
      </c>
      <c r="M1218" s="1">
        <f>IF(OR(Table1[[#This Row],[Std Nom]]="",Table1[[#This Row],[Std Read]]=""),0,Table1[[#This Row],[Std Nom]]-Table1[[#This Row],[Std Read]])</f>
        <v>0</v>
      </c>
      <c r="N1218" s="1">
        <f>IF(Calculations!$F$5="ACCREDITED 17025 WITH UNCERTAINTIES",$N$10,0)</f>
        <v>0</v>
      </c>
      <c r="O1218" s="1" t="str">
        <f>IFERROR(Table1[[#This Row],[Std Nom]]-(_xlfn.XLOOKUP(Table1[[#This Row],[Manufacturer]]&amp;" "&amp;Table1[[#This Row],[Model]],Table13[MFR &amp; MDL],Table13[Tolerance % CW ],"")/100*Table1[[#This Row],[Std Nom]]),"")</f>
        <v/>
      </c>
      <c r="P1218" s="1" t="str">
        <f>IFERROR(Table1[[#This Row],[Std Nom]]+(_xlfn.XLOOKUP(Table1[[#This Row],[Manufacturer]]&amp;" "&amp;Table1[[#This Row],[Model]],Table13[MFR &amp; MDL],Table13[Tolerance % CW ],"")/100*Table1[[#This Row],[Std Nom]]),"")</f>
        <v/>
      </c>
      <c r="Q1218" s="1" t="e">
        <f>Table1[[#This Row],[High Tol]]-Table1[[#This Row],[Low Tol]]</f>
        <v>#VALUE!</v>
      </c>
      <c r="R1218" s="1">
        <f>2*Table1[[#This Row],[Std Error]]</f>
        <v>0</v>
      </c>
      <c r="S1218" s="1" t="str">
        <f>IF(Table1[[#This Row],[High Tol]]="","N/A",IFERROR(ABS(Table1[[#This Row],[Tol Span]]/Table1[[#This Row],[Error Span]]),"N/A"))</f>
        <v>N/A</v>
      </c>
      <c r="T1218" s="1" t="str">
        <f>IF(OR(Table1[[#This Row],[Low Tol]]="",Table1[[#This Row],[High Tol]]=""),"Needs Analysis",IF(Table1[[#This Row],[Ratio]]&gt;=4,"Not Significant",IF(Table1[[#This Row],[Ratio]]&gt;=2,"Semi-Significant","Significant")))</f>
        <v>Needs Analysis</v>
      </c>
      <c r="W1218" s="1">
        <f>IF(Table1[[#This Row],[Cal Type]]&lt;&gt;"ACCREDITED 17025 WITH UNCERTAINTIES",0,"")</f>
        <v>0</v>
      </c>
      <c r="X1218" s="1" t="str">
        <f>IF(Table1[[#This Row],[DUT Read]]="","N/A",Table1[[#This Row],[Std Error]]+Table1[[#This Row],[DUT Read]]+Table1[[#This Row],[DUT Ucty]])</f>
        <v>N/A</v>
      </c>
      <c r="Y1218" s="1" t="str">
        <f>IF(Table1[[#This Row],[Std Read]]="","N/A",Table1[[#This Row],[Std Read]]+Table1[[#This Row],[Std Ucty]])</f>
        <v>N/A</v>
      </c>
      <c r="Z12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8" s="1" t="str">
        <f>IF(Table1[[#This Row],[Spec Type]]="","N/A",Table1[[#This Row],[Spec Type]])</f>
        <v>±</v>
      </c>
      <c r="AC1218" s="1" t="str">
        <f>IF(Table1[[#This Row],[Spec Type2]]="N/A","N/A",IF(AND(Table1[[#This Row],[DUT Adj Read]]&gt;=Table1[[#This Row],[Low Tol]],Table1[[#This Row],[DUT Adj Read]]&lt;=Table1[[#This Row],[High Tol]]),"Pass","Fail"))</f>
        <v>Fail</v>
      </c>
      <c r="AD1218" s="1" t="str">
        <f>IF(AND(Table1[[#This Row],[Spec Type2]]="N/A",Table1[[#This Row],[DUT Adj Read]]="N/A",Table1[[#This Row],[Std Adj Read]]="N/A"),"N/A",IF(Table1[[#This Row],[DUT Adj Read]]="N/A",IF(Table1[[#This Row],[Std Adj Read]]&gt;Table1[[#This Row],[Low Tol]],"Pass","Fail"),IF(Table1[[#This Row],[DUT Adj Read]]&gt;Table1[[#This Row],[Low Tol]],"Pass","Fail")))</f>
        <v>Pass</v>
      </c>
      <c r="AE1218" s="1" t="str">
        <f>IF(AND(Table1[[#This Row],[Spec Type2]]="N/A",Table1[[#This Row],[DUT Adj Read]]="N/A",Table1[[#This Row],[Std Adj Read]]="N/A"),"N/A",IF(Table1[[#This Row],[DUT Adj Read]]="N/A",IF(Table1[[#This Row],[Std Adj Read]]&lt;Table1[[#This Row],[High Tol]],"Pass","Fail"),IF(Table1[[#This Row],[DUT Adj Read]]&lt;Table1[[#This Row],[High Tol]],"Pass","Fail")))</f>
        <v>Fail</v>
      </c>
      <c r="AF1218" s="1" t="str">
        <f>IF(AND(Table1[[#This Row],[Spec Type2]]="N/A",Table1[[#This Row],[DUT Adj Read]]="N/A",Table1[[#This Row],[Std Adj Read]]="N/A"),"N/A",IF(Table1[[#This Row],[DUT Adj Read]]="N/A",IF(Table1[[#This Row],[Std Adj Read]]&gt;=Table1[[#This Row],[Low Tol]],"Pass","Fail"),IF(Table1[[#This Row],[DUT Adj Read]]&gt;=Table1[[#This Row],[Low Tol]],"Pass","Fail")))</f>
        <v>Pass</v>
      </c>
      <c r="AG1218" s="1" t="str">
        <f>IF(AND(Table1[[#This Row],[Spec Type2]]="N/A",Table1[[#This Row],[DUT Adj Read]]="N/A",Table1[[#This Row],[Std Adj Read]]="N/A"),"N/A",IF(Table1[[#This Row],[DUT Adj Read]]="N/A",IF(Table1[[#This Row],[Std Adj Read]]&lt;=Table1[[#This Row],[High Tol]],"Pass","Fail"),IF(Table1[[#This Row],[DUT Adj Read]]&lt;=Table1[[#This Row],[High Tol]],"Pass","Fail")))</f>
        <v>Fail</v>
      </c>
      <c r="AH12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8" s="1" t="b">
        <v>0</v>
      </c>
      <c r="AN1218" s="1" t="b">
        <v>0</v>
      </c>
      <c r="AO1218" s="1" t="b">
        <v>0</v>
      </c>
    </row>
    <row r="1219" spans="1:41" x14ac:dyDescent="0.25">
      <c r="A1219" s="10"/>
      <c r="B1219" s="10"/>
      <c r="C1219" s="10"/>
      <c r="D1219" s="10"/>
      <c r="E1219" s="10"/>
      <c r="F1219" s="10"/>
      <c r="G1219" s="10"/>
      <c r="H1219" s="10"/>
      <c r="I1219" s="1" t="str">
        <f t="shared" si="54"/>
        <v/>
      </c>
      <c r="J1219" s="1" t="s">
        <v>35</v>
      </c>
      <c r="K1219" s="1" t="str">
        <f t="shared" si="55"/>
        <v/>
      </c>
      <c r="L1219" s="1" t="str">
        <f t="shared" si="56"/>
        <v/>
      </c>
      <c r="M1219" s="1">
        <f>IF(OR(Table1[[#This Row],[Std Nom]]="",Table1[[#This Row],[Std Read]]=""),0,Table1[[#This Row],[Std Nom]]-Table1[[#This Row],[Std Read]])</f>
        <v>0</v>
      </c>
      <c r="N1219" s="1">
        <f>IF(Calculations!$F$5="ACCREDITED 17025 WITH UNCERTAINTIES",$N$10,0)</f>
        <v>0</v>
      </c>
      <c r="O1219" s="1" t="str">
        <f>IFERROR(Table1[[#This Row],[Std Nom]]-(_xlfn.XLOOKUP(Table1[[#This Row],[Manufacturer]]&amp;" "&amp;Table1[[#This Row],[Model]],Table13[MFR &amp; MDL],Table13[Tolerance % CW ],"")/100*Table1[[#This Row],[Std Nom]]),"")</f>
        <v/>
      </c>
      <c r="P1219" s="1" t="str">
        <f>IFERROR(Table1[[#This Row],[Std Nom]]+(_xlfn.XLOOKUP(Table1[[#This Row],[Manufacturer]]&amp;" "&amp;Table1[[#This Row],[Model]],Table13[MFR &amp; MDL],Table13[Tolerance % CW ],"")/100*Table1[[#This Row],[Std Nom]]),"")</f>
        <v/>
      </c>
      <c r="Q1219" s="1" t="e">
        <f>Table1[[#This Row],[High Tol]]-Table1[[#This Row],[Low Tol]]</f>
        <v>#VALUE!</v>
      </c>
      <c r="R1219" s="1">
        <f>2*Table1[[#This Row],[Std Error]]</f>
        <v>0</v>
      </c>
      <c r="S1219" s="1" t="str">
        <f>IF(Table1[[#This Row],[High Tol]]="","N/A",IFERROR(ABS(Table1[[#This Row],[Tol Span]]/Table1[[#This Row],[Error Span]]),"N/A"))</f>
        <v>N/A</v>
      </c>
      <c r="T1219" s="1" t="str">
        <f>IF(OR(Table1[[#This Row],[Low Tol]]="",Table1[[#This Row],[High Tol]]=""),"Needs Analysis",IF(Table1[[#This Row],[Ratio]]&gt;=4,"Not Significant",IF(Table1[[#This Row],[Ratio]]&gt;=2,"Semi-Significant","Significant")))</f>
        <v>Needs Analysis</v>
      </c>
      <c r="W1219" s="1">
        <f>IF(Table1[[#This Row],[Cal Type]]&lt;&gt;"ACCREDITED 17025 WITH UNCERTAINTIES",0,"")</f>
        <v>0</v>
      </c>
      <c r="X1219" s="1" t="str">
        <f>IF(Table1[[#This Row],[DUT Read]]="","N/A",Table1[[#This Row],[Std Error]]+Table1[[#This Row],[DUT Read]]+Table1[[#This Row],[DUT Ucty]])</f>
        <v>N/A</v>
      </c>
      <c r="Y1219" s="1" t="str">
        <f>IF(Table1[[#This Row],[Std Read]]="","N/A",Table1[[#This Row],[Std Read]]+Table1[[#This Row],[Std Ucty]])</f>
        <v>N/A</v>
      </c>
      <c r="Z12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9" s="1" t="str">
        <f>IF(Table1[[#This Row],[Spec Type]]="","N/A",Table1[[#This Row],[Spec Type]])</f>
        <v>±</v>
      </c>
      <c r="AC1219" s="1" t="str">
        <f>IF(Table1[[#This Row],[Spec Type2]]="N/A","N/A",IF(AND(Table1[[#This Row],[DUT Adj Read]]&gt;=Table1[[#This Row],[Low Tol]],Table1[[#This Row],[DUT Adj Read]]&lt;=Table1[[#This Row],[High Tol]]),"Pass","Fail"))</f>
        <v>Fail</v>
      </c>
      <c r="AD1219" s="1" t="str">
        <f>IF(AND(Table1[[#This Row],[Spec Type2]]="N/A",Table1[[#This Row],[DUT Adj Read]]="N/A",Table1[[#This Row],[Std Adj Read]]="N/A"),"N/A",IF(Table1[[#This Row],[DUT Adj Read]]="N/A",IF(Table1[[#This Row],[Std Adj Read]]&gt;Table1[[#This Row],[Low Tol]],"Pass","Fail"),IF(Table1[[#This Row],[DUT Adj Read]]&gt;Table1[[#This Row],[Low Tol]],"Pass","Fail")))</f>
        <v>Pass</v>
      </c>
      <c r="AE1219" s="1" t="str">
        <f>IF(AND(Table1[[#This Row],[Spec Type2]]="N/A",Table1[[#This Row],[DUT Adj Read]]="N/A",Table1[[#This Row],[Std Adj Read]]="N/A"),"N/A",IF(Table1[[#This Row],[DUT Adj Read]]="N/A",IF(Table1[[#This Row],[Std Adj Read]]&lt;Table1[[#This Row],[High Tol]],"Pass","Fail"),IF(Table1[[#This Row],[DUT Adj Read]]&lt;Table1[[#This Row],[High Tol]],"Pass","Fail")))</f>
        <v>Fail</v>
      </c>
      <c r="AF1219" s="1" t="str">
        <f>IF(AND(Table1[[#This Row],[Spec Type2]]="N/A",Table1[[#This Row],[DUT Adj Read]]="N/A",Table1[[#This Row],[Std Adj Read]]="N/A"),"N/A",IF(Table1[[#This Row],[DUT Adj Read]]="N/A",IF(Table1[[#This Row],[Std Adj Read]]&gt;=Table1[[#This Row],[Low Tol]],"Pass","Fail"),IF(Table1[[#This Row],[DUT Adj Read]]&gt;=Table1[[#This Row],[Low Tol]],"Pass","Fail")))</f>
        <v>Pass</v>
      </c>
      <c r="AG1219" s="1" t="str">
        <f>IF(AND(Table1[[#This Row],[Spec Type2]]="N/A",Table1[[#This Row],[DUT Adj Read]]="N/A",Table1[[#This Row],[Std Adj Read]]="N/A"),"N/A",IF(Table1[[#This Row],[DUT Adj Read]]="N/A",IF(Table1[[#This Row],[Std Adj Read]]&lt;=Table1[[#This Row],[High Tol]],"Pass","Fail"),IF(Table1[[#This Row],[DUT Adj Read]]&lt;=Table1[[#This Row],[High Tol]],"Pass","Fail")))</f>
        <v>Fail</v>
      </c>
      <c r="AH12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9" s="1" t="b">
        <v>0</v>
      </c>
      <c r="AN1219" s="1" t="b">
        <v>0</v>
      </c>
      <c r="AO1219" s="1" t="b">
        <v>0</v>
      </c>
    </row>
    <row r="1220" spans="1:41" x14ac:dyDescent="0.25">
      <c r="A1220" s="10"/>
      <c r="B1220" s="10"/>
      <c r="C1220" s="10"/>
      <c r="D1220" s="10"/>
      <c r="E1220" s="10"/>
      <c r="F1220" s="10"/>
      <c r="G1220" s="10"/>
      <c r="H1220" s="10"/>
      <c r="I1220" s="1" t="str">
        <f t="shared" si="54"/>
        <v/>
      </c>
      <c r="J1220" s="1" t="s">
        <v>35</v>
      </c>
      <c r="K1220" s="1" t="str">
        <f t="shared" si="55"/>
        <v/>
      </c>
      <c r="L1220" s="1" t="str">
        <f t="shared" si="56"/>
        <v/>
      </c>
      <c r="M1220" s="1">
        <f>IF(OR(Table1[[#This Row],[Std Nom]]="",Table1[[#This Row],[Std Read]]=""),0,Table1[[#This Row],[Std Nom]]-Table1[[#This Row],[Std Read]])</f>
        <v>0</v>
      </c>
      <c r="N1220" s="1">
        <f>IF(Calculations!$F$5="ACCREDITED 17025 WITH UNCERTAINTIES",$N$10,0)</f>
        <v>0</v>
      </c>
      <c r="O1220" s="1" t="str">
        <f>IFERROR(Table1[[#This Row],[Std Nom]]-(_xlfn.XLOOKUP(Table1[[#This Row],[Manufacturer]]&amp;" "&amp;Table1[[#This Row],[Model]],Table13[MFR &amp; MDL],Table13[Tolerance % CW ],"")/100*Table1[[#This Row],[Std Nom]]),"")</f>
        <v/>
      </c>
      <c r="P1220" s="1" t="str">
        <f>IFERROR(Table1[[#This Row],[Std Nom]]+(_xlfn.XLOOKUP(Table1[[#This Row],[Manufacturer]]&amp;" "&amp;Table1[[#This Row],[Model]],Table13[MFR &amp; MDL],Table13[Tolerance % CW ],"")/100*Table1[[#This Row],[Std Nom]]),"")</f>
        <v/>
      </c>
      <c r="Q1220" s="1" t="e">
        <f>Table1[[#This Row],[High Tol]]-Table1[[#This Row],[Low Tol]]</f>
        <v>#VALUE!</v>
      </c>
      <c r="R1220" s="1">
        <f>2*Table1[[#This Row],[Std Error]]</f>
        <v>0</v>
      </c>
      <c r="S1220" s="1" t="str">
        <f>IF(Table1[[#This Row],[High Tol]]="","N/A",IFERROR(ABS(Table1[[#This Row],[Tol Span]]/Table1[[#This Row],[Error Span]]),"N/A"))</f>
        <v>N/A</v>
      </c>
      <c r="T1220" s="1" t="str">
        <f>IF(OR(Table1[[#This Row],[Low Tol]]="",Table1[[#This Row],[High Tol]]=""),"Needs Analysis",IF(Table1[[#This Row],[Ratio]]&gt;=4,"Not Significant",IF(Table1[[#This Row],[Ratio]]&gt;=2,"Semi-Significant","Significant")))</f>
        <v>Needs Analysis</v>
      </c>
      <c r="W1220" s="1">
        <f>IF(Table1[[#This Row],[Cal Type]]&lt;&gt;"ACCREDITED 17025 WITH UNCERTAINTIES",0,"")</f>
        <v>0</v>
      </c>
      <c r="X1220" s="1" t="str">
        <f>IF(Table1[[#This Row],[DUT Read]]="","N/A",Table1[[#This Row],[Std Error]]+Table1[[#This Row],[DUT Read]]+Table1[[#This Row],[DUT Ucty]])</f>
        <v>N/A</v>
      </c>
      <c r="Y1220" s="1" t="str">
        <f>IF(Table1[[#This Row],[Std Read]]="","N/A",Table1[[#This Row],[Std Read]]+Table1[[#This Row],[Std Ucty]])</f>
        <v>N/A</v>
      </c>
      <c r="Z12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0" s="1" t="str">
        <f>IF(Table1[[#This Row],[Spec Type]]="","N/A",Table1[[#This Row],[Spec Type]])</f>
        <v>±</v>
      </c>
      <c r="AC1220" s="1" t="str">
        <f>IF(Table1[[#This Row],[Spec Type2]]="N/A","N/A",IF(AND(Table1[[#This Row],[DUT Adj Read]]&gt;=Table1[[#This Row],[Low Tol]],Table1[[#This Row],[DUT Adj Read]]&lt;=Table1[[#This Row],[High Tol]]),"Pass","Fail"))</f>
        <v>Fail</v>
      </c>
      <c r="AD1220" s="1" t="str">
        <f>IF(AND(Table1[[#This Row],[Spec Type2]]="N/A",Table1[[#This Row],[DUT Adj Read]]="N/A",Table1[[#This Row],[Std Adj Read]]="N/A"),"N/A",IF(Table1[[#This Row],[DUT Adj Read]]="N/A",IF(Table1[[#This Row],[Std Adj Read]]&gt;Table1[[#This Row],[Low Tol]],"Pass","Fail"),IF(Table1[[#This Row],[DUT Adj Read]]&gt;Table1[[#This Row],[Low Tol]],"Pass","Fail")))</f>
        <v>Pass</v>
      </c>
      <c r="AE1220" s="1" t="str">
        <f>IF(AND(Table1[[#This Row],[Spec Type2]]="N/A",Table1[[#This Row],[DUT Adj Read]]="N/A",Table1[[#This Row],[Std Adj Read]]="N/A"),"N/A",IF(Table1[[#This Row],[DUT Adj Read]]="N/A",IF(Table1[[#This Row],[Std Adj Read]]&lt;Table1[[#This Row],[High Tol]],"Pass","Fail"),IF(Table1[[#This Row],[DUT Adj Read]]&lt;Table1[[#This Row],[High Tol]],"Pass","Fail")))</f>
        <v>Fail</v>
      </c>
      <c r="AF1220" s="1" t="str">
        <f>IF(AND(Table1[[#This Row],[Spec Type2]]="N/A",Table1[[#This Row],[DUT Adj Read]]="N/A",Table1[[#This Row],[Std Adj Read]]="N/A"),"N/A",IF(Table1[[#This Row],[DUT Adj Read]]="N/A",IF(Table1[[#This Row],[Std Adj Read]]&gt;=Table1[[#This Row],[Low Tol]],"Pass","Fail"),IF(Table1[[#This Row],[DUT Adj Read]]&gt;=Table1[[#This Row],[Low Tol]],"Pass","Fail")))</f>
        <v>Pass</v>
      </c>
      <c r="AG1220" s="1" t="str">
        <f>IF(AND(Table1[[#This Row],[Spec Type2]]="N/A",Table1[[#This Row],[DUT Adj Read]]="N/A",Table1[[#This Row],[Std Adj Read]]="N/A"),"N/A",IF(Table1[[#This Row],[DUT Adj Read]]="N/A",IF(Table1[[#This Row],[Std Adj Read]]&lt;=Table1[[#This Row],[High Tol]],"Pass","Fail"),IF(Table1[[#This Row],[DUT Adj Read]]&lt;=Table1[[#This Row],[High Tol]],"Pass","Fail")))</f>
        <v>Fail</v>
      </c>
      <c r="AH12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0" s="1" t="b">
        <v>0</v>
      </c>
      <c r="AN1220" s="1" t="b">
        <v>0</v>
      </c>
      <c r="AO1220" s="1" t="b">
        <v>0</v>
      </c>
    </row>
    <row r="1221" spans="1:41" x14ac:dyDescent="0.25">
      <c r="A1221" s="10"/>
      <c r="B1221" s="10"/>
      <c r="C1221" s="10"/>
      <c r="D1221" s="10"/>
      <c r="E1221" s="10"/>
      <c r="F1221" s="10"/>
      <c r="G1221" s="10"/>
      <c r="H1221" s="10"/>
      <c r="I1221" s="1" t="str">
        <f t="shared" si="54"/>
        <v/>
      </c>
      <c r="J1221" s="1" t="s">
        <v>35</v>
      </c>
      <c r="K1221" s="1" t="str">
        <f t="shared" si="55"/>
        <v/>
      </c>
      <c r="L1221" s="1" t="str">
        <f t="shared" si="56"/>
        <v/>
      </c>
      <c r="M1221" s="1">
        <f>IF(OR(Table1[[#This Row],[Std Nom]]="",Table1[[#This Row],[Std Read]]=""),0,Table1[[#This Row],[Std Nom]]-Table1[[#This Row],[Std Read]])</f>
        <v>0</v>
      </c>
      <c r="N1221" s="1">
        <f>IF(Calculations!$F$5="ACCREDITED 17025 WITH UNCERTAINTIES",$N$10,0)</f>
        <v>0</v>
      </c>
      <c r="O1221" s="1" t="str">
        <f>IFERROR(Table1[[#This Row],[Std Nom]]-(_xlfn.XLOOKUP(Table1[[#This Row],[Manufacturer]]&amp;" "&amp;Table1[[#This Row],[Model]],Table13[MFR &amp; MDL],Table13[Tolerance % CW ],"")/100*Table1[[#This Row],[Std Nom]]),"")</f>
        <v/>
      </c>
      <c r="P1221" s="1" t="str">
        <f>IFERROR(Table1[[#This Row],[Std Nom]]+(_xlfn.XLOOKUP(Table1[[#This Row],[Manufacturer]]&amp;" "&amp;Table1[[#This Row],[Model]],Table13[MFR &amp; MDL],Table13[Tolerance % CW ],"")/100*Table1[[#This Row],[Std Nom]]),"")</f>
        <v/>
      </c>
      <c r="Q1221" s="1" t="e">
        <f>Table1[[#This Row],[High Tol]]-Table1[[#This Row],[Low Tol]]</f>
        <v>#VALUE!</v>
      </c>
      <c r="R1221" s="1">
        <f>2*Table1[[#This Row],[Std Error]]</f>
        <v>0</v>
      </c>
      <c r="S1221" s="1" t="str">
        <f>IF(Table1[[#This Row],[High Tol]]="","N/A",IFERROR(ABS(Table1[[#This Row],[Tol Span]]/Table1[[#This Row],[Error Span]]),"N/A"))</f>
        <v>N/A</v>
      </c>
      <c r="T1221" s="1" t="str">
        <f>IF(OR(Table1[[#This Row],[Low Tol]]="",Table1[[#This Row],[High Tol]]=""),"Needs Analysis",IF(Table1[[#This Row],[Ratio]]&gt;=4,"Not Significant",IF(Table1[[#This Row],[Ratio]]&gt;=2,"Semi-Significant","Significant")))</f>
        <v>Needs Analysis</v>
      </c>
      <c r="W1221" s="1">
        <f>IF(Table1[[#This Row],[Cal Type]]&lt;&gt;"ACCREDITED 17025 WITH UNCERTAINTIES",0,"")</f>
        <v>0</v>
      </c>
      <c r="X1221" s="1" t="str">
        <f>IF(Table1[[#This Row],[DUT Read]]="","N/A",Table1[[#This Row],[Std Error]]+Table1[[#This Row],[DUT Read]]+Table1[[#This Row],[DUT Ucty]])</f>
        <v>N/A</v>
      </c>
      <c r="Y1221" s="1" t="str">
        <f>IF(Table1[[#This Row],[Std Read]]="","N/A",Table1[[#This Row],[Std Read]]+Table1[[#This Row],[Std Ucty]])</f>
        <v>N/A</v>
      </c>
      <c r="Z12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1" s="1" t="str">
        <f>IF(Table1[[#This Row],[Spec Type]]="","N/A",Table1[[#This Row],[Spec Type]])</f>
        <v>±</v>
      </c>
      <c r="AC1221" s="1" t="str">
        <f>IF(Table1[[#This Row],[Spec Type2]]="N/A","N/A",IF(AND(Table1[[#This Row],[DUT Adj Read]]&gt;=Table1[[#This Row],[Low Tol]],Table1[[#This Row],[DUT Adj Read]]&lt;=Table1[[#This Row],[High Tol]]),"Pass","Fail"))</f>
        <v>Fail</v>
      </c>
      <c r="AD1221" s="1" t="str">
        <f>IF(AND(Table1[[#This Row],[Spec Type2]]="N/A",Table1[[#This Row],[DUT Adj Read]]="N/A",Table1[[#This Row],[Std Adj Read]]="N/A"),"N/A",IF(Table1[[#This Row],[DUT Adj Read]]="N/A",IF(Table1[[#This Row],[Std Adj Read]]&gt;Table1[[#This Row],[Low Tol]],"Pass","Fail"),IF(Table1[[#This Row],[DUT Adj Read]]&gt;Table1[[#This Row],[Low Tol]],"Pass","Fail")))</f>
        <v>Pass</v>
      </c>
      <c r="AE1221" s="1" t="str">
        <f>IF(AND(Table1[[#This Row],[Spec Type2]]="N/A",Table1[[#This Row],[DUT Adj Read]]="N/A",Table1[[#This Row],[Std Adj Read]]="N/A"),"N/A",IF(Table1[[#This Row],[DUT Adj Read]]="N/A",IF(Table1[[#This Row],[Std Adj Read]]&lt;Table1[[#This Row],[High Tol]],"Pass","Fail"),IF(Table1[[#This Row],[DUT Adj Read]]&lt;Table1[[#This Row],[High Tol]],"Pass","Fail")))</f>
        <v>Fail</v>
      </c>
      <c r="AF1221" s="1" t="str">
        <f>IF(AND(Table1[[#This Row],[Spec Type2]]="N/A",Table1[[#This Row],[DUT Adj Read]]="N/A",Table1[[#This Row],[Std Adj Read]]="N/A"),"N/A",IF(Table1[[#This Row],[DUT Adj Read]]="N/A",IF(Table1[[#This Row],[Std Adj Read]]&gt;=Table1[[#This Row],[Low Tol]],"Pass","Fail"),IF(Table1[[#This Row],[DUT Adj Read]]&gt;=Table1[[#This Row],[Low Tol]],"Pass","Fail")))</f>
        <v>Pass</v>
      </c>
      <c r="AG1221" s="1" t="str">
        <f>IF(AND(Table1[[#This Row],[Spec Type2]]="N/A",Table1[[#This Row],[DUT Adj Read]]="N/A",Table1[[#This Row],[Std Adj Read]]="N/A"),"N/A",IF(Table1[[#This Row],[DUT Adj Read]]="N/A",IF(Table1[[#This Row],[Std Adj Read]]&lt;=Table1[[#This Row],[High Tol]],"Pass","Fail"),IF(Table1[[#This Row],[DUT Adj Read]]&lt;=Table1[[#This Row],[High Tol]],"Pass","Fail")))</f>
        <v>Fail</v>
      </c>
      <c r="AH12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1" s="1" t="b">
        <v>0</v>
      </c>
      <c r="AN1221" s="1" t="b">
        <v>0</v>
      </c>
      <c r="AO1221" s="1" t="b">
        <v>0</v>
      </c>
    </row>
    <row r="1222" spans="1:41" x14ac:dyDescent="0.25">
      <c r="A1222" s="10"/>
      <c r="B1222" s="10"/>
      <c r="C1222" s="10"/>
      <c r="D1222" s="10"/>
      <c r="E1222" s="10"/>
      <c r="F1222" s="10"/>
      <c r="G1222" s="10"/>
      <c r="H1222" s="10"/>
      <c r="I1222" s="1" t="str">
        <f t="shared" si="54"/>
        <v/>
      </c>
      <c r="J1222" s="1" t="s">
        <v>35</v>
      </c>
      <c r="K1222" s="1" t="str">
        <f t="shared" si="55"/>
        <v/>
      </c>
      <c r="L1222" s="1" t="str">
        <f t="shared" si="56"/>
        <v/>
      </c>
      <c r="M1222" s="1">
        <f>IF(OR(Table1[[#This Row],[Std Nom]]="",Table1[[#This Row],[Std Read]]=""),0,Table1[[#This Row],[Std Nom]]-Table1[[#This Row],[Std Read]])</f>
        <v>0</v>
      </c>
      <c r="N1222" s="1">
        <f>IF(Calculations!$F$5="ACCREDITED 17025 WITH UNCERTAINTIES",$N$10,0)</f>
        <v>0</v>
      </c>
      <c r="O1222" s="1" t="str">
        <f>IFERROR(Table1[[#This Row],[Std Nom]]-(_xlfn.XLOOKUP(Table1[[#This Row],[Manufacturer]]&amp;" "&amp;Table1[[#This Row],[Model]],Table13[MFR &amp; MDL],Table13[Tolerance % CW ],"")/100*Table1[[#This Row],[Std Nom]]),"")</f>
        <v/>
      </c>
      <c r="P1222" s="1" t="str">
        <f>IFERROR(Table1[[#This Row],[Std Nom]]+(_xlfn.XLOOKUP(Table1[[#This Row],[Manufacturer]]&amp;" "&amp;Table1[[#This Row],[Model]],Table13[MFR &amp; MDL],Table13[Tolerance % CW ],"")/100*Table1[[#This Row],[Std Nom]]),"")</f>
        <v/>
      </c>
      <c r="Q1222" s="1" t="e">
        <f>Table1[[#This Row],[High Tol]]-Table1[[#This Row],[Low Tol]]</f>
        <v>#VALUE!</v>
      </c>
      <c r="R1222" s="1">
        <f>2*Table1[[#This Row],[Std Error]]</f>
        <v>0</v>
      </c>
      <c r="S1222" s="1" t="str">
        <f>IF(Table1[[#This Row],[High Tol]]="","N/A",IFERROR(ABS(Table1[[#This Row],[Tol Span]]/Table1[[#This Row],[Error Span]]),"N/A"))</f>
        <v>N/A</v>
      </c>
      <c r="T1222" s="1" t="str">
        <f>IF(OR(Table1[[#This Row],[Low Tol]]="",Table1[[#This Row],[High Tol]]=""),"Needs Analysis",IF(Table1[[#This Row],[Ratio]]&gt;=4,"Not Significant",IF(Table1[[#This Row],[Ratio]]&gt;=2,"Semi-Significant","Significant")))</f>
        <v>Needs Analysis</v>
      </c>
      <c r="W1222" s="1">
        <f>IF(Table1[[#This Row],[Cal Type]]&lt;&gt;"ACCREDITED 17025 WITH UNCERTAINTIES",0,"")</f>
        <v>0</v>
      </c>
      <c r="X1222" s="1" t="str">
        <f>IF(Table1[[#This Row],[DUT Read]]="","N/A",Table1[[#This Row],[Std Error]]+Table1[[#This Row],[DUT Read]]+Table1[[#This Row],[DUT Ucty]])</f>
        <v>N/A</v>
      </c>
      <c r="Y1222" s="1" t="str">
        <f>IF(Table1[[#This Row],[Std Read]]="","N/A",Table1[[#This Row],[Std Read]]+Table1[[#This Row],[Std Ucty]])</f>
        <v>N/A</v>
      </c>
      <c r="Z12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2" s="1" t="str">
        <f>IF(Table1[[#This Row],[Spec Type]]="","N/A",Table1[[#This Row],[Spec Type]])</f>
        <v>±</v>
      </c>
      <c r="AC1222" s="1" t="str">
        <f>IF(Table1[[#This Row],[Spec Type2]]="N/A","N/A",IF(AND(Table1[[#This Row],[DUT Adj Read]]&gt;=Table1[[#This Row],[Low Tol]],Table1[[#This Row],[DUT Adj Read]]&lt;=Table1[[#This Row],[High Tol]]),"Pass","Fail"))</f>
        <v>Fail</v>
      </c>
      <c r="AD1222" s="1" t="str">
        <f>IF(AND(Table1[[#This Row],[Spec Type2]]="N/A",Table1[[#This Row],[DUT Adj Read]]="N/A",Table1[[#This Row],[Std Adj Read]]="N/A"),"N/A",IF(Table1[[#This Row],[DUT Adj Read]]="N/A",IF(Table1[[#This Row],[Std Adj Read]]&gt;Table1[[#This Row],[Low Tol]],"Pass","Fail"),IF(Table1[[#This Row],[DUT Adj Read]]&gt;Table1[[#This Row],[Low Tol]],"Pass","Fail")))</f>
        <v>Pass</v>
      </c>
      <c r="AE1222" s="1" t="str">
        <f>IF(AND(Table1[[#This Row],[Spec Type2]]="N/A",Table1[[#This Row],[DUT Adj Read]]="N/A",Table1[[#This Row],[Std Adj Read]]="N/A"),"N/A",IF(Table1[[#This Row],[DUT Adj Read]]="N/A",IF(Table1[[#This Row],[Std Adj Read]]&lt;Table1[[#This Row],[High Tol]],"Pass","Fail"),IF(Table1[[#This Row],[DUT Adj Read]]&lt;Table1[[#This Row],[High Tol]],"Pass","Fail")))</f>
        <v>Fail</v>
      </c>
      <c r="AF1222" s="1" t="str">
        <f>IF(AND(Table1[[#This Row],[Spec Type2]]="N/A",Table1[[#This Row],[DUT Adj Read]]="N/A",Table1[[#This Row],[Std Adj Read]]="N/A"),"N/A",IF(Table1[[#This Row],[DUT Adj Read]]="N/A",IF(Table1[[#This Row],[Std Adj Read]]&gt;=Table1[[#This Row],[Low Tol]],"Pass","Fail"),IF(Table1[[#This Row],[DUT Adj Read]]&gt;=Table1[[#This Row],[Low Tol]],"Pass","Fail")))</f>
        <v>Pass</v>
      </c>
      <c r="AG1222" s="1" t="str">
        <f>IF(AND(Table1[[#This Row],[Spec Type2]]="N/A",Table1[[#This Row],[DUT Adj Read]]="N/A",Table1[[#This Row],[Std Adj Read]]="N/A"),"N/A",IF(Table1[[#This Row],[DUT Adj Read]]="N/A",IF(Table1[[#This Row],[Std Adj Read]]&lt;=Table1[[#This Row],[High Tol]],"Pass","Fail"),IF(Table1[[#This Row],[DUT Adj Read]]&lt;=Table1[[#This Row],[High Tol]],"Pass","Fail")))</f>
        <v>Fail</v>
      </c>
      <c r="AH12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2" s="1" t="b">
        <v>0</v>
      </c>
      <c r="AN1222" s="1" t="b">
        <v>0</v>
      </c>
      <c r="AO1222" s="1" t="b">
        <v>0</v>
      </c>
    </row>
    <row r="1223" spans="1:41" x14ac:dyDescent="0.25">
      <c r="A1223" s="10"/>
      <c r="B1223" s="10"/>
      <c r="C1223" s="10"/>
      <c r="D1223" s="10"/>
      <c r="E1223" s="10"/>
      <c r="F1223" s="10"/>
      <c r="G1223" s="10"/>
      <c r="H1223" s="10"/>
      <c r="I1223" s="1" t="str">
        <f t="shared" si="54"/>
        <v/>
      </c>
      <c r="J1223" s="1" t="s">
        <v>35</v>
      </c>
      <c r="K1223" s="1" t="str">
        <f t="shared" si="55"/>
        <v/>
      </c>
      <c r="L1223" s="1" t="str">
        <f t="shared" si="56"/>
        <v/>
      </c>
      <c r="M1223" s="1">
        <f>IF(OR(Table1[[#This Row],[Std Nom]]="",Table1[[#This Row],[Std Read]]=""),0,Table1[[#This Row],[Std Nom]]-Table1[[#This Row],[Std Read]])</f>
        <v>0</v>
      </c>
      <c r="N1223" s="1">
        <f>IF(Calculations!$F$5="ACCREDITED 17025 WITH UNCERTAINTIES",$N$10,0)</f>
        <v>0</v>
      </c>
      <c r="O1223" s="1" t="str">
        <f>IFERROR(Table1[[#This Row],[Std Nom]]-(_xlfn.XLOOKUP(Table1[[#This Row],[Manufacturer]]&amp;" "&amp;Table1[[#This Row],[Model]],Table13[MFR &amp; MDL],Table13[Tolerance % CW ],"")/100*Table1[[#This Row],[Std Nom]]),"")</f>
        <v/>
      </c>
      <c r="P1223" s="1" t="str">
        <f>IFERROR(Table1[[#This Row],[Std Nom]]+(_xlfn.XLOOKUP(Table1[[#This Row],[Manufacturer]]&amp;" "&amp;Table1[[#This Row],[Model]],Table13[MFR &amp; MDL],Table13[Tolerance % CW ],"")/100*Table1[[#This Row],[Std Nom]]),"")</f>
        <v/>
      </c>
      <c r="Q1223" s="1" t="e">
        <f>Table1[[#This Row],[High Tol]]-Table1[[#This Row],[Low Tol]]</f>
        <v>#VALUE!</v>
      </c>
      <c r="R1223" s="1">
        <f>2*Table1[[#This Row],[Std Error]]</f>
        <v>0</v>
      </c>
      <c r="S1223" s="1" t="str">
        <f>IF(Table1[[#This Row],[High Tol]]="","N/A",IFERROR(ABS(Table1[[#This Row],[Tol Span]]/Table1[[#This Row],[Error Span]]),"N/A"))</f>
        <v>N/A</v>
      </c>
      <c r="T1223" s="1" t="str">
        <f>IF(OR(Table1[[#This Row],[Low Tol]]="",Table1[[#This Row],[High Tol]]=""),"Needs Analysis",IF(Table1[[#This Row],[Ratio]]&gt;=4,"Not Significant",IF(Table1[[#This Row],[Ratio]]&gt;=2,"Semi-Significant","Significant")))</f>
        <v>Needs Analysis</v>
      </c>
      <c r="W1223" s="1">
        <f>IF(Table1[[#This Row],[Cal Type]]&lt;&gt;"ACCREDITED 17025 WITH UNCERTAINTIES",0,"")</f>
        <v>0</v>
      </c>
      <c r="X1223" s="1" t="str">
        <f>IF(Table1[[#This Row],[DUT Read]]="","N/A",Table1[[#This Row],[Std Error]]+Table1[[#This Row],[DUT Read]]+Table1[[#This Row],[DUT Ucty]])</f>
        <v>N/A</v>
      </c>
      <c r="Y1223" s="1" t="str">
        <f>IF(Table1[[#This Row],[Std Read]]="","N/A",Table1[[#This Row],[Std Read]]+Table1[[#This Row],[Std Ucty]])</f>
        <v>N/A</v>
      </c>
      <c r="Z12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3" s="1" t="str">
        <f>IF(Table1[[#This Row],[Spec Type]]="","N/A",Table1[[#This Row],[Spec Type]])</f>
        <v>±</v>
      </c>
      <c r="AC1223" s="1" t="str">
        <f>IF(Table1[[#This Row],[Spec Type2]]="N/A","N/A",IF(AND(Table1[[#This Row],[DUT Adj Read]]&gt;=Table1[[#This Row],[Low Tol]],Table1[[#This Row],[DUT Adj Read]]&lt;=Table1[[#This Row],[High Tol]]),"Pass","Fail"))</f>
        <v>Fail</v>
      </c>
      <c r="AD1223" s="1" t="str">
        <f>IF(AND(Table1[[#This Row],[Spec Type2]]="N/A",Table1[[#This Row],[DUT Adj Read]]="N/A",Table1[[#This Row],[Std Adj Read]]="N/A"),"N/A",IF(Table1[[#This Row],[DUT Adj Read]]="N/A",IF(Table1[[#This Row],[Std Adj Read]]&gt;Table1[[#This Row],[Low Tol]],"Pass","Fail"),IF(Table1[[#This Row],[DUT Adj Read]]&gt;Table1[[#This Row],[Low Tol]],"Pass","Fail")))</f>
        <v>Pass</v>
      </c>
      <c r="AE1223" s="1" t="str">
        <f>IF(AND(Table1[[#This Row],[Spec Type2]]="N/A",Table1[[#This Row],[DUT Adj Read]]="N/A",Table1[[#This Row],[Std Adj Read]]="N/A"),"N/A",IF(Table1[[#This Row],[DUT Adj Read]]="N/A",IF(Table1[[#This Row],[Std Adj Read]]&lt;Table1[[#This Row],[High Tol]],"Pass","Fail"),IF(Table1[[#This Row],[DUT Adj Read]]&lt;Table1[[#This Row],[High Tol]],"Pass","Fail")))</f>
        <v>Fail</v>
      </c>
      <c r="AF1223" s="1" t="str">
        <f>IF(AND(Table1[[#This Row],[Spec Type2]]="N/A",Table1[[#This Row],[DUT Adj Read]]="N/A",Table1[[#This Row],[Std Adj Read]]="N/A"),"N/A",IF(Table1[[#This Row],[DUT Adj Read]]="N/A",IF(Table1[[#This Row],[Std Adj Read]]&gt;=Table1[[#This Row],[Low Tol]],"Pass","Fail"),IF(Table1[[#This Row],[DUT Adj Read]]&gt;=Table1[[#This Row],[Low Tol]],"Pass","Fail")))</f>
        <v>Pass</v>
      </c>
      <c r="AG1223" s="1" t="str">
        <f>IF(AND(Table1[[#This Row],[Spec Type2]]="N/A",Table1[[#This Row],[DUT Adj Read]]="N/A",Table1[[#This Row],[Std Adj Read]]="N/A"),"N/A",IF(Table1[[#This Row],[DUT Adj Read]]="N/A",IF(Table1[[#This Row],[Std Adj Read]]&lt;=Table1[[#This Row],[High Tol]],"Pass","Fail"),IF(Table1[[#This Row],[DUT Adj Read]]&lt;=Table1[[#This Row],[High Tol]],"Pass","Fail")))</f>
        <v>Fail</v>
      </c>
      <c r="AH12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3" s="1" t="b">
        <v>0</v>
      </c>
      <c r="AN1223" s="1" t="b">
        <v>0</v>
      </c>
      <c r="AO1223" s="1" t="b">
        <v>0</v>
      </c>
    </row>
    <row r="1224" spans="1:41" x14ac:dyDescent="0.25">
      <c r="A1224" s="10"/>
      <c r="B1224" s="10"/>
      <c r="C1224" s="10"/>
      <c r="D1224" s="10"/>
      <c r="E1224" s="10"/>
      <c r="F1224" s="10"/>
      <c r="G1224" s="10"/>
      <c r="H1224" s="10"/>
      <c r="I1224" s="1" t="str">
        <f t="shared" si="54"/>
        <v/>
      </c>
      <c r="J1224" s="1" t="s">
        <v>35</v>
      </c>
      <c r="K1224" s="1" t="str">
        <f t="shared" si="55"/>
        <v/>
      </c>
      <c r="L1224" s="1" t="str">
        <f t="shared" si="56"/>
        <v/>
      </c>
      <c r="M1224" s="1">
        <f>IF(OR(Table1[[#This Row],[Std Nom]]="",Table1[[#This Row],[Std Read]]=""),0,Table1[[#This Row],[Std Nom]]-Table1[[#This Row],[Std Read]])</f>
        <v>0</v>
      </c>
      <c r="N1224" s="1">
        <f>IF(Calculations!$F$5="ACCREDITED 17025 WITH UNCERTAINTIES",$N$10,0)</f>
        <v>0</v>
      </c>
      <c r="O1224" s="1" t="str">
        <f>IFERROR(Table1[[#This Row],[Std Nom]]-(_xlfn.XLOOKUP(Table1[[#This Row],[Manufacturer]]&amp;" "&amp;Table1[[#This Row],[Model]],Table13[MFR &amp; MDL],Table13[Tolerance % CW ],"")/100*Table1[[#This Row],[Std Nom]]),"")</f>
        <v/>
      </c>
      <c r="P1224" s="1" t="str">
        <f>IFERROR(Table1[[#This Row],[Std Nom]]+(_xlfn.XLOOKUP(Table1[[#This Row],[Manufacturer]]&amp;" "&amp;Table1[[#This Row],[Model]],Table13[MFR &amp; MDL],Table13[Tolerance % CW ],"")/100*Table1[[#This Row],[Std Nom]]),"")</f>
        <v/>
      </c>
      <c r="Q1224" s="1" t="e">
        <f>Table1[[#This Row],[High Tol]]-Table1[[#This Row],[Low Tol]]</f>
        <v>#VALUE!</v>
      </c>
      <c r="R1224" s="1">
        <f>2*Table1[[#This Row],[Std Error]]</f>
        <v>0</v>
      </c>
      <c r="S1224" s="1" t="str">
        <f>IF(Table1[[#This Row],[High Tol]]="","N/A",IFERROR(ABS(Table1[[#This Row],[Tol Span]]/Table1[[#This Row],[Error Span]]),"N/A"))</f>
        <v>N/A</v>
      </c>
      <c r="T1224" s="1" t="str">
        <f>IF(OR(Table1[[#This Row],[Low Tol]]="",Table1[[#This Row],[High Tol]]=""),"Needs Analysis",IF(Table1[[#This Row],[Ratio]]&gt;=4,"Not Significant",IF(Table1[[#This Row],[Ratio]]&gt;=2,"Semi-Significant","Significant")))</f>
        <v>Needs Analysis</v>
      </c>
      <c r="W1224" s="1">
        <f>IF(Table1[[#This Row],[Cal Type]]&lt;&gt;"ACCREDITED 17025 WITH UNCERTAINTIES",0,"")</f>
        <v>0</v>
      </c>
      <c r="X1224" s="1" t="str">
        <f>IF(Table1[[#This Row],[DUT Read]]="","N/A",Table1[[#This Row],[Std Error]]+Table1[[#This Row],[DUT Read]]+Table1[[#This Row],[DUT Ucty]])</f>
        <v>N/A</v>
      </c>
      <c r="Y1224" s="1" t="str">
        <f>IF(Table1[[#This Row],[Std Read]]="","N/A",Table1[[#This Row],[Std Read]]+Table1[[#This Row],[Std Ucty]])</f>
        <v>N/A</v>
      </c>
      <c r="Z12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4" s="1" t="str">
        <f>IF(Table1[[#This Row],[Spec Type]]="","N/A",Table1[[#This Row],[Spec Type]])</f>
        <v>±</v>
      </c>
      <c r="AC1224" s="1" t="str">
        <f>IF(Table1[[#This Row],[Spec Type2]]="N/A","N/A",IF(AND(Table1[[#This Row],[DUT Adj Read]]&gt;=Table1[[#This Row],[Low Tol]],Table1[[#This Row],[DUT Adj Read]]&lt;=Table1[[#This Row],[High Tol]]),"Pass","Fail"))</f>
        <v>Fail</v>
      </c>
      <c r="AD1224" s="1" t="str">
        <f>IF(AND(Table1[[#This Row],[Spec Type2]]="N/A",Table1[[#This Row],[DUT Adj Read]]="N/A",Table1[[#This Row],[Std Adj Read]]="N/A"),"N/A",IF(Table1[[#This Row],[DUT Adj Read]]="N/A",IF(Table1[[#This Row],[Std Adj Read]]&gt;Table1[[#This Row],[Low Tol]],"Pass","Fail"),IF(Table1[[#This Row],[DUT Adj Read]]&gt;Table1[[#This Row],[Low Tol]],"Pass","Fail")))</f>
        <v>Pass</v>
      </c>
      <c r="AE1224" s="1" t="str">
        <f>IF(AND(Table1[[#This Row],[Spec Type2]]="N/A",Table1[[#This Row],[DUT Adj Read]]="N/A",Table1[[#This Row],[Std Adj Read]]="N/A"),"N/A",IF(Table1[[#This Row],[DUT Adj Read]]="N/A",IF(Table1[[#This Row],[Std Adj Read]]&lt;Table1[[#This Row],[High Tol]],"Pass","Fail"),IF(Table1[[#This Row],[DUT Adj Read]]&lt;Table1[[#This Row],[High Tol]],"Pass","Fail")))</f>
        <v>Fail</v>
      </c>
      <c r="AF1224" s="1" t="str">
        <f>IF(AND(Table1[[#This Row],[Spec Type2]]="N/A",Table1[[#This Row],[DUT Adj Read]]="N/A",Table1[[#This Row],[Std Adj Read]]="N/A"),"N/A",IF(Table1[[#This Row],[DUT Adj Read]]="N/A",IF(Table1[[#This Row],[Std Adj Read]]&gt;=Table1[[#This Row],[Low Tol]],"Pass","Fail"),IF(Table1[[#This Row],[DUT Adj Read]]&gt;=Table1[[#This Row],[Low Tol]],"Pass","Fail")))</f>
        <v>Pass</v>
      </c>
      <c r="AG1224" s="1" t="str">
        <f>IF(AND(Table1[[#This Row],[Spec Type2]]="N/A",Table1[[#This Row],[DUT Adj Read]]="N/A",Table1[[#This Row],[Std Adj Read]]="N/A"),"N/A",IF(Table1[[#This Row],[DUT Adj Read]]="N/A",IF(Table1[[#This Row],[Std Adj Read]]&lt;=Table1[[#This Row],[High Tol]],"Pass","Fail"),IF(Table1[[#This Row],[DUT Adj Read]]&lt;=Table1[[#This Row],[High Tol]],"Pass","Fail")))</f>
        <v>Fail</v>
      </c>
      <c r="AH12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4" s="1" t="b">
        <v>0</v>
      </c>
      <c r="AN1224" s="1" t="b">
        <v>0</v>
      </c>
      <c r="AO1224" s="1" t="b">
        <v>0</v>
      </c>
    </row>
    <row r="1225" spans="1:41" x14ac:dyDescent="0.25">
      <c r="A1225" s="10"/>
      <c r="B1225" s="10"/>
      <c r="C1225" s="10"/>
      <c r="D1225" s="10"/>
      <c r="E1225" s="10"/>
      <c r="F1225" s="10"/>
      <c r="G1225" s="10"/>
      <c r="H1225" s="10"/>
      <c r="I1225" s="1" t="str">
        <f t="shared" si="54"/>
        <v/>
      </c>
      <c r="J1225" s="1" t="s">
        <v>35</v>
      </c>
      <c r="K1225" s="1" t="str">
        <f t="shared" si="55"/>
        <v/>
      </c>
      <c r="L1225" s="1" t="str">
        <f t="shared" si="56"/>
        <v/>
      </c>
      <c r="M1225" s="1">
        <f>IF(OR(Table1[[#This Row],[Std Nom]]="",Table1[[#This Row],[Std Read]]=""),0,Table1[[#This Row],[Std Nom]]-Table1[[#This Row],[Std Read]])</f>
        <v>0</v>
      </c>
      <c r="N1225" s="1">
        <f>IF(Calculations!$F$5="ACCREDITED 17025 WITH UNCERTAINTIES",$N$10,0)</f>
        <v>0</v>
      </c>
      <c r="O1225" s="1" t="str">
        <f>IFERROR(Table1[[#This Row],[Std Nom]]-(_xlfn.XLOOKUP(Table1[[#This Row],[Manufacturer]]&amp;" "&amp;Table1[[#This Row],[Model]],Table13[MFR &amp; MDL],Table13[Tolerance % CW ],"")/100*Table1[[#This Row],[Std Nom]]),"")</f>
        <v/>
      </c>
      <c r="P1225" s="1" t="str">
        <f>IFERROR(Table1[[#This Row],[Std Nom]]+(_xlfn.XLOOKUP(Table1[[#This Row],[Manufacturer]]&amp;" "&amp;Table1[[#This Row],[Model]],Table13[MFR &amp; MDL],Table13[Tolerance % CW ],"")/100*Table1[[#This Row],[Std Nom]]),"")</f>
        <v/>
      </c>
      <c r="Q1225" s="1" t="e">
        <f>Table1[[#This Row],[High Tol]]-Table1[[#This Row],[Low Tol]]</f>
        <v>#VALUE!</v>
      </c>
      <c r="R1225" s="1">
        <f>2*Table1[[#This Row],[Std Error]]</f>
        <v>0</v>
      </c>
      <c r="S1225" s="1" t="str">
        <f>IF(Table1[[#This Row],[High Tol]]="","N/A",IFERROR(ABS(Table1[[#This Row],[Tol Span]]/Table1[[#This Row],[Error Span]]),"N/A"))</f>
        <v>N/A</v>
      </c>
      <c r="T1225" s="1" t="str">
        <f>IF(OR(Table1[[#This Row],[Low Tol]]="",Table1[[#This Row],[High Tol]]=""),"Needs Analysis",IF(Table1[[#This Row],[Ratio]]&gt;=4,"Not Significant",IF(Table1[[#This Row],[Ratio]]&gt;=2,"Semi-Significant","Significant")))</f>
        <v>Needs Analysis</v>
      </c>
      <c r="W1225" s="1">
        <f>IF(Table1[[#This Row],[Cal Type]]&lt;&gt;"ACCREDITED 17025 WITH UNCERTAINTIES",0,"")</f>
        <v>0</v>
      </c>
      <c r="X1225" s="1" t="str">
        <f>IF(Table1[[#This Row],[DUT Read]]="","N/A",Table1[[#This Row],[Std Error]]+Table1[[#This Row],[DUT Read]]+Table1[[#This Row],[DUT Ucty]])</f>
        <v>N/A</v>
      </c>
      <c r="Y1225" s="1" t="str">
        <f>IF(Table1[[#This Row],[Std Read]]="","N/A",Table1[[#This Row],[Std Read]]+Table1[[#This Row],[Std Ucty]])</f>
        <v>N/A</v>
      </c>
      <c r="Z12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5" s="1" t="str">
        <f>IF(Table1[[#This Row],[Spec Type]]="","N/A",Table1[[#This Row],[Spec Type]])</f>
        <v>±</v>
      </c>
      <c r="AC1225" s="1" t="str">
        <f>IF(Table1[[#This Row],[Spec Type2]]="N/A","N/A",IF(AND(Table1[[#This Row],[DUT Adj Read]]&gt;=Table1[[#This Row],[Low Tol]],Table1[[#This Row],[DUT Adj Read]]&lt;=Table1[[#This Row],[High Tol]]),"Pass","Fail"))</f>
        <v>Fail</v>
      </c>
      <c r="AD1225" s="1" t="str">
        <f>IF(AND(Table1[[#This Row],[Spec Type2]]="N/A",Table1[[#This Row],[DUT Adj Read]]="N/A",Table1[[#This Row],[Std Adj Read]]="N/A"),"N/A",IF(Table1[[#This Row],[DUT Adj Read]]="N/A",IF(Table1[[#This Row],[Std Adj Read]]&gt;Table1[[#This Row],[Low Tol]],"Pass","Fail"),IF(Table1[[#This Row],[DUT Adj Read]]&gt;Table1[[#This Row],[Low Tol]],"Pass","Fail")))</f>
        <v>Pass</v>
      </c>
      <c r="AE1225" s="1" t="str">
        <f>IF(AND(Table1[[#This Row],[Spec Type2]]="N/A",Table1[[#This Row],[DUT Adj Read]]="N/A",Table1[[#This Row],[Std Adj Read]]="N/A"),"N/A",IF(Table1[[#This Row],[DUT Adj Read]]="N/A",IF(Table1[[#This Row],[Std Adj Read]]&lt;Table1[[#This Row],[High Tol]],"Pass","Fail"),IF(Table1[[#This Row],[DUT Adj Read]]&lt;Table1[[#This Row],[High Tol]],"Pass","Fail")))</f>
        <v>Fail</v>
      </c>
      <c r="AF1225" s="1" t="str">
        <f>IF(AND(Table1[[#This Row],[Spec Type2]]="N/A",Table1[[#This Row],[DUT Adj Read]]="N/A",Table1[[#This Row],[Std Adj Read]]="N/A"),"N/A",IF(Table1[[#This Row],[DUT Adj Read]]="N/A",IF(Table1[[#This Row],[Std Adj Read]]&gt;=Table1[[#This Row],[Low Tol]],"Pass","Fail"),IF(Table1[[#This Row],[DUT Adj Read]]&gt;=Table1[[#This Row],[Low Tol]],"Pass","Fail")))</f>
        <v>Pass</v>
      </c>
      <c r="AG1225" s="1" t="str">
        <f>IF(AND(Table1[[#This Row],[Spec Type2]]="N/A",Table1[[#This Row],[DUT Adj Read]]="N/A",Table1[[#This Row],[Std Adj Read]]="N/A"),"N/A",IF(Table1[[#This Row],[DUT Adj Read]]="N/A",IF(Table1[[#This Row],[Std Adj Read]]&lt;=Table1[[#This Row],[High Tol]],"Pass","Fail"),IF(Table1[[#This Row],[DUT Adj Read]]&lt;=Table1[[#This Row],[High Tol]],"Pass","Fail")))</f>
        <v>Fail</v>
      </c>
      <c r="AH12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5" s="1" t="b">
        <v>0</v>
      </c>
      <c r="AN1225" s="1" t="b">
        <v>0</v>
      </c>
      <c r="AO1225" s="1" t="b">
        <v>0</v>
      </c>
    </row>
    <row r="1226" spans="1:41" x14ac:dyDescent="0.25">
      <c r="A1226" s="10"/>
      <c r="B1226" s="10"/>
      <c r="C1226" s="10"/>
      <c r="D1226" s="10"/>
      <c r="E1226" s="10"/>
      <c r="F1226" s="10"/>
      <c r="G1226" s="10"/>
      <c r="H1226" s="10"/>
      <c r="I1226" s="1" t="str">
        <f t="shared" si="54"/>
        <v/>
      </c>
      <c r="J1226" s="1" t="s">
        <v>35</v>
      </c>
      <c r="K1226" s="1" t="str">
        <f t="shared" si="55"/>
        <v/>
      </c>
      <c r="L1226" s="1" t="str">
        <f t="shared" si="56"/>
        <v/>
      </c>
      <c r="M1226" s="1">
        <f>IF(OR(Table1[[#This Row],[Std Nom]]="",Table1[[#This Row],[Std Read]]=""),0,Table1[[#This Row],[Std Nom]]-Table1[[#This Row],[Std Read]])</f>
        <v>0</v>
      </c>
      <c r="N1226" s="1">
        <f>IF(Calculations!$F$5="ACCREDITED 17025 WITH UNCERTAINTIES",$N$10,0)</f>
        <v>0</v>
      </c>
      <c r="O1226" s="1" t="str">
        <f>IFERROR(Table1[[#This Row],[Std Nom]]-(_xlfn.XLOOKUP(Table1[[#This Row],[Manufacturer]]&amp;" "&amp;Table1[[#This Row],[Model]],Table13[MFR &amp; MDL],Table13[Tolerance % CW ],"")/100*Table1[[#This Row],[Std Nom]]),"")</f>
        <v/>
      </c>
      <c r="P1226" s="1" t="str">
        <f>IFERROR(Table1[[#This Row],[Std Nom]]+(_xlfn.XLOOKUP(Table1[[#This Row],[Manufacturer]]&amp;" "&amp;Table1[[#This Row],[Model]],Table13[MFR &amp; MDL],Table13[Tolerance % CW ],"")/100*Table1[[#This Row],[Std Nom]]),"")</f>
        <v/>
      </c>
      <c r="Q1226" s="1" t="e">
        <f>Table1[[#This Row],[High Tol]]-Table1[[#This Row],[Low Tol]]</f>
        <v>#VALUE!</v>
      </c>
      <c r="R1226" s="1">
        <f>2*Table1[[#This Row],[Std Error]]</f>
        <v>0</v>
      </c>
      <c r="S1226" s="1" t="str">
        <f>IF(Table1[[#This Row],[High Tol]]="","N/A",IFERROR(ABS(Table1[[#This Row],[Tol Span]]/Table1[[#This Row],[Error Span]]),"N/A"))</f>
        <v>N/A</v>
      </c>
      <c r="T1226" s="1" t="str">
        <f>IF(OR(Table1[[#This Row],[Low Tol]]="",Table1[[#This Row],[High Tol]]=""),"Needs Analysis",IF(Table1[[#This Row],[Ratio]]&gt;=4,"Not Significant",IF(Table1[[#This Row],[Ratio]]&gt;=2,"Semi-Significant","Significant")))</f>
        <v>Needs Analysis</v>
      </c>
      <c r="W1226" s="1">
        <f>IF(Table1[[#This Row],[Cal Type]]&lt;&gt;"ACCREDITED 17025 WITH UNCERTAINTIES",0,"")</f>
        <v>0</v>
      </c>
      <c r="X1226" s="1" t="str">
        <f>IF(Table1[[#This Row],[DUT Read]]="","N/A",Table1[[#This Row],[Std Error]]+Table1[[#This Row],[DUT Read]]+Table1[[#This Row],[DUT Ucty]])</f>
        <v>N/A</v>
      </c>
      <c r="Y1226" s="1" t="str">
        <f>IF(Table1[[#This Row],[Std Read]]="","N/A",Table1[[#This Row],[Std Read]]+Table1[[#This Row],[Std Ucty]])</f>
        <v>N/A</v>
      </c>
      <c r="Z12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6" s="1" t="str">
        <f>IF(Table1[[#This Row],[Spec Type]]="","N/A",Table1[[#This Row],[Spec Type]])</f>
        <v>±</v>
      </c>
      <c r="AC1226" s="1" t="str">
        <f>IF(Table1[[#This Row],[Spec Type2]]="N/A","N/A",IF(AND(Table1[[#This Row],[DUT Adj Read]]&gt;=Table1[[#This Row],[Low Tol]],Table1[[#This Row],[DUT Adj Read]]&lt;=Table1[[#This Row],[High Tol]]),"Pass","Fail"))</f>
        <v>Fail</v>
      </c>
      <c r="AD1226" s="1" t="str">
        <f>IF(AND(Table1[[#This Row],[Spec Type2]]="N/A",Table1[[#This Row],[DUT Adj Read]]="N/A",Table1[[#This Row],[Std Adj Read]]="N/A"),"N/A",IF(Table1[[#This Row],[DUT Adj Read]]="N/A",IF(Table1[[#This Row],[Std Adj Read]]&gt;Table1[[#This Row],[Low Tol]],"Pass","Fail"),IF(Table1[[#This Row],[DUT Adj Read]]&gt;Table1[[#This Row],[Low Tol]],"Pass","Fail")))</f>
        <v>Pass</v>
      </c>
      <c r="AE1226" s="1" t="str">
        <f>IF(AND(Table1[[#This Row],[Spec Type2]]="N/A",Table1[[#This Row],[DUT Adj Read]]="N/A",Table1[[#This Row],[Std Adj Read]]="N/A"),"N/A",IF(Table1[[#This Row],[DUT Adj Read]]="N/A",IF(Table1[[#This Row],[Std Adj Read]]&lt;Table1[[#This Row],[High Tol]],"Pass","Fail"),IF(Table1[[#This Row],[DUT Adj Read]]&lt;Table1[[#This Row],[High Tol]],"Pass","Fail")))</f>
        <v>Fail</v>
      </c>
      <c r="AF1226" s="1" t="str">
        <f>IF(AND(Table1[[#This Row],[Spec Type2]]="N/A",Table1[[#This Row],[DUT Adj Read]]="N/A",Table1[[#This Row],[Std Adj Read]]="N/A"),"N/A",IF(Table1[[#This Row],[DUT Adj Read]]="N/A",IF(Table1[[#This Row],[Std Adj Read]]&gt;=Table1[[#This Row],[Low Tol]],"Pass","Fail"),IF(Table1[[#This Row],[DUT Adj Read]]&gt;=Table1[[#This Row],[Low Tol]],"Pass","Fail")))</f>
        <v>Pass</v>
      </c>
      <c r="AG1226" s="1" t="str">
        <f>IF(AND(Table1[[#This Row],[Spec Type2]]="N/A",Table1[[#This Row],[DUT Adj Read]]="N/A",Table1[[#This Row],[Std Adj Read]]="N/A"),"N/A",IF(Table1[[#This Row],[DUT Adj Read]]="N/A",IF(Table1[[#This Row],[Std Adj Read]]&lt;=Table1[[#This Row],[High Tol]],"Pass","Fail"),IF(Table1[[#This Row],[DUT Adj Read]]&lt;=Table1[[#This Row],[High Tol]],"Pass","Fail")))</f>
        <v>Fail</v>
      </c>
      <c r="AH12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6" s="1" t="b">
        <v>0</v>
      </c>
      <c r="AN1226" s="1" t="b">
        <v>0</v>
      </c>
      <c r="AO1226" s="1" t="b">
        <v>0</v>
      </c>
    </row>
    <row r="1227" spans="1:41" x14ac:dyDescent="0.25">
      <c r="A1227" s="10"/>
      <c r="B1227" s="10"/>
      <c r="C1227" s="10"/>
      <c r="D1227" s="10"/>
      <c r="E1227" s="10"/>
      <c r="F1227" s="10"/>
      <c r="G1227" s="10"/>
      <c r="H1227" s="10"/>
      <c r="I1227" s="1" t="str">
        <f t="shared" ref="I1227:I1290" si="57">IF($I$10="","",$I$10)</f>
        <v/>
      </c>
      <c r="J1227" s="1" t="s">
        <v>35</v>
      </c>
      <c r="K1227" s="1" t="str">
        <f t="shared" ref="K1227:K1290" si="58">IF($K$10="","",$K$10)</f>
        <v/>
      </c>
      <c r="L1227" s="1" t="str">
        <f t="shared" ref="L1227:L1290" si="59">IF($L$10="","",$L$10)</f>
        <v/>
      </c>
      <c r="M1227" s="1">
        <f>IF(OR(Table1[[#This Row],[Std Nom]]="",Table1[[#This Row],[Std Read]]=""),0,Table1[[#This Row],[Std Nom]]-Table1[[#This Row],[Std Read]])</f>
        <v>0</v>
      </c>
      <c r="N1227" s="1">
        <f>IF(Calculations!$F$5="ACCREDITED 17025 WITH UNCERTAINTIES",$N$10,0)</f>
        <v>0</v>
      </c>
      <c r="O1227" s="1" t="str">
        <f>IFERROR(Table1[[#This Row],[Std Nom]]-(_xlfn.XLOOKUP(Table1[[#This Row],[Manufacturer]]&amp;" "&amp;Table1[[#This Row],[Model]],Table13[MFR &amp; MDL],Table13[Tolerance % CW ],"")/100*Table1[[#This Row],[Std Nom]]),"")</f>
        <v/>
      </c>
      <c r="P1227" s="1" t="str">
        <f>IFERROR(Table1[[#This Row],[Std Nom]]+(_xlfn.XLOOKUP(Table1[[#This Row],[Manufacturer]]&amp;" "&amp;Table1[[#This Row],[Model]],Table13[MFR &amp; MDL],Table13[Tolerance % CW ],"")/100*Table1[[#This Row],[Std Nom]]),"")</f>
        <v/>
      </c>
      <c r="Q1227" s="1" t="e">
        <f>Table1[[#This Row],[High Tol]]-Table1[[#This Row],[Low Tol]]</f>
        <v>#VALUE!</v>
      </c>
      <c r="R1227" s="1">
        <f>2*Table1[[#This Row],[Std Error]]</f>
        <v>0</v>
      </c>
      <c r="S1227" s="1" t="str">
        <f>IF(Table1[[#This Row],[High Tol]]="","N/A",IFERROR(ABS(Table1[[#This Row],[Tol Span]]/Table1[[#This Row],[Error Span]]),"N/A"))</f>
        <v>N/A</v>
      </c>
      <c r="T1227" s="1" t="str">
        <f>IF(OR(Table1[[#This Row],[Low Tol]]="",Table1[[#This Row],[High Tol]]=""),"Needs Analysis",IF(Table1[[#This Row],[Ratio]]&gt;=4,"Not Significant",IF(Table1[[#This Row],[Ratio]]&gt;=2,"Semi-Significant","Significant")))</f>
        <v>Needs Analysis</v>
      </c>
      <c r="W1227" s="1">
        <f>IF(Table1[[#This Row],[Cal Type]]&lt;&gt;"ACCREDITED 17025 WITH UNCERTAINTIES",0,"")</f>
        <v>0</v>
      </c>
      <c r="X1227" s="1" t="str">
        <f>IF(Table1[[#This Row],[DUT Read]]="","N/A",Table1[[#This Row],[Std Error]]+Table1[[#This Row],[DUT Read]]+Table1[[#This Row],[DUT Ucty]])</f>
        <v>N/A</v>
      </c>
      <c r="Y1227" s="1" t="str">
        <f>IF(Table1[[#This Row],[Std Read]]="","N/A",Table1[[#This Row],[Std Read]]+Table1[[#This Row],[Std Ucty]])</f>
        <v>N/A</v>
      </c>
      <c r="Z12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7" s="1" t="str">
        <f>IF(Table1[[#This Row],[Spec Type]]="","N/A",Table1[[#This Row],[Spec Type]])</f>
        <v>±</v>
      </c>
      <c r="AC1227" s="1" t="str">
        <f>IF(Table1[[#This Row],[Spec Type2]]="N/A","N/A",IF(AND(Table1[[#This Row],[DUT Adj Read]]&gt;=Table1[[#This Row],[Low Tol]],Table1[[#This Row],[DUT Adj Read]]&lt;=Table1[[#This Row],[High Tol]]),"Pass","Fail"))</f>
        <v>Fail</v>
      </c>
      <c r="AD1227" s="1" t="str">
        <f>IF(AND(Table1[[#This Row],[Spec Type2]]="N/A",Table1[[#This Row],[DUT Adj Read]]="N/A",Table1[[#This Row],[Std Adj Read]]="N/A"),"N/A",IF(Table1[[#This Row],[DUT Adj Read]]="N/A",IF(Table1[[#This Row],[Std Adj Read]]&gt;Table1[[#This Row],[Low Tol]],"Pass","Fail"),IF(Table1[[#This Row],[DUT Adj Read]]&gt;Table1[[#This Row],[Low Tol]],"Pass","Fail")))</f>
        <v>Pass</v>
      </c>
      <c r="AE1227" s="1" t="str">
        <f>IF(AND(Table1[[#This Row],[Spec Type2]]="N/A",Table1[[#This Row],[DUT Adj Read]]="N/A",Table1[[#This Row],[Std Adj Read]]="N/A"),"N/A",IF(Table1[[#This Row],[DUT Adj Read]]="N/A",IF(Table1[[#This Row],[Std Adj Read]]&lt;Table1[[#This Row],[High Tol]],"Pass","Fail"),IF(Table1[[#This Row],[DUT Adj Read]]&lt;Table1[[#This Row],[High Tol]],"Pass","Fail")))</f>
        <v>Fail</v>
      </c>
      <c r="AF1227" s="1" t="str">
        <f>IF(AND(Table1[[#This Row],[Spec Type2]]="N/A",Table1[[#This Row],[DUT Adj Read]]="N/A",Table1[[#This Row],[Std Adj Read]]="N/A"),"N/A",IF(Table1[[#This Row],[DUT Adj Read]]="N/A",IF(Table1[[#This Row],[Std Adj Read]]&gt;=Table1[[#This Row],[Low Tol]],"Pass","Fail"),IF(Table1[[#This Row],[DUT Adj Read]]&gt;=Table1[[#This Row],[Low Tol]],"Pass","Fail")))</f>
        <v>Pass</v>
      </c>
      <c r="AG1227" s="1" t="str">
        <f>IF(AND(Table1[[#This Row],[Spec Type2]]="N/A",Table1[[#This Row],[DUT Adj Read]]="N/A",Table1[[#This Row],[Std Adj Read]]="N/A"),"N/A",IF(Table1[[#This Row],[DUT Adj Read]]="N/A",IF(Table1[[#This Row],[Std Adj Read]]&lt;=Table1[[#This Row],[High Tol]],"Pass","Fail"),IF(Table1[[#This Row],[DUT Adj Read]]&lt;=Table1[[#This Row],[High Tol]],"Pass","Fail")))</f>
        <v>Fail</v>
      </c>
      <c r="AH12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7" s="1" t="b">
        <v>0</v>
      </c>
      <c r="AN1227" s="1" t="b">
        <v>0</v>
      </c>
      <c r="AO1227" s="1" t="b">
        <v>0</v>
      </c>
    </row>
    <row r="1228" spans="1:41" x14ac:dyDescent="0.25">
      <c r="A1228" s="10"/>
      <c r="B1228" s="10"/>
      <c r="C1228" s="10"/>
      <c r="D1228" s="10"/>
      <c r="E1228" s="10"/>
      <c r="F1228" s="10"/>
      <c r="G1228" s="10"/>
      <c r="H1228" s="10"/>
      <c r="I1228" s="1" t="str">
        <f t="shared" si="57"/>
        <v/>
      </c>
      <c r="J1228" s="1" t="s">
        <v>35</v>
      </c>
      <c r="K1228" s="1" t="str">
        <f t="shared" si="58"/>
        <v/>
      </c>
      <c r="L1228" s="1" t="str">
        <f t="shared" si="59"/>
        <v/>
      </c>
      <c r="M1228" s="1">
        <f>IF(OR(Table1[[#This Row],[Std Nom]]="",Table1[[#This Row],[Std Read]]=""),0,Table1[[#This Row],[Std Nom]]-Table1[[#This Row],[Std Read]])</f>
        <v>0</v>
      </c>
      <c r="N1228" s="1">
        <f>IF(Calculations!$F$5="ACCREDITED 17025 WITH UNCERTAINTIES",$N$10,0)</f>
        <v>0</v>
      </c>
      <c r="O1228" s="1" t="str">
        <f>IFERROR(Table1[[#This Row],[Std Nom]]-(_xlfn.XLOOKUP(Table1[[#This Row],[Manufacturer]]&amp;" "&amp;Table1[[#This Row],[Model]],Table13[MFR &amp; MDL],Table13[Tolerance % CW ],"")/100*Table1[[#This Row],[Std Nom]]),"")</f>
        <v/>
      </c>
      <c r="P1228" s="1" t="str">
        <f>IFERROR(Table1[[#This Row],[Std Nom]]+(_xlfn.XLOOKUP(Table1[[#This Row],[Manufacturer]]&amp;" "&amp;Table1[[#This Row],[Model]],Table13[MFR &amp; MDL],Table13[Tolerance % CW ],"")/100*Table1[[#This Row],[Std Nom]]),"")</f>
        <v/>
      </c>
      <c r="Q1228" s="1" t="e">
        <f>Table1[[#This Row],[High Tol]]-Table1[[#This Row],[Low Tol]]</f>
        <v>#VALUE!</v>
      </c>
      <c r="R1228" s="1">
        <f>2*Table1[[#This Row],[Std Error]]</f>
        <v>0</v>
      </c>
      <c r="S1228" s="1" t="str">
        <f>IF(Table1[[#This Row],[High Tol]]="","N/A",IFERROR(ABS(Table1[[#This Row],[Tol Span]]/Table1[[#This Row],[Error Span]]),"N/A"))</f>
        <v>N/A</v>
      </c>
      <c r="T1228" s="1" t="str">
        <f>IF(OR(Table1[[#This Row],[Low Tol]]="",Table1[[#This Row],[High Tol]]=""),"Needs Analysis",IF(Table1[[#This Row],[Ratio]]&gt;=4,"Not Significant",IF(Table1[[#This Row],[Ratio]]&gt;=2,"Semi-Significant","Significant")))</f>
        <v>Needs Analysis</v>
      </c>
      <c r="W1228" s="1">
        <f>IF(Table1[[#This Row],[Cal Type]]&lt;&gt;"ACCREDITED 17025 WITH UNCERTAINTIES",0,"")</f>
        <v>0</v>
      </c>
      <c r="X1228" s="1" t="str">
        <f>IF(Table1[[#This Row],[DUT Read]]="","N/A",Table1[[#This Row],[Std Error]]+Table1[[#This Row],[DUT Read]]+Table1[[#This Row],[DUT Ucty]])</f>
        <v>N/A</v>
      </c>
      <c r="Y1228" s="1" t="str">
        <f>IF(Table1[[#This Row],[Std Read]]="","N/A",Table1[[#This Row],[Std Read]]+Table1[[#This Row],[Std Ucty]])</f>
        <v>N/A</v>
      </c>
      <c r="Z12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8" s="1" t="str">
        <f>IF(Table1[[#This Row],[Spec Type]]="","N/A",Table1[[#This Row],[Spec Type]])</f>
        <v>±</v>
      </c>
      <c r="AC1228" s="1" t="str">
        <f>IF(Table1[[#This Row],[Spec Type2]]="N/A","N/A",IF(AND(Table1[[#This Row],[DUT Adj Read]]&gt;=Table1[[#This Row],[Low Tol]],Table1[[#This Row],[DUT Adj Read]]&lt;=Table1[[#This Row],[High Tol]]),"Pass","Fail"))</f>
        <v>Fail</v>
      </c>
      <c r="AD1228" s="1" t="str">
        <f>IF(AND(Table1[[#This Row],[Spec Type2]]="N/A",Table1[[#This Row],[DUT Adj Read]]="N/A",Table1[[#This Row],[Std Adj Read]]="N/A"),"N/A",IF(Table1[[#This Row],[DUT Adj Read]]="N/A",IF(Table1[[#This Row],[Std Adj Read]]&gt;Table1[[#This Row],[Low Tol]],"Pass","Fail"),IF(Table1[[#This Row],[DUT Adj Read]]&gt;Table1[[#This Row],[Low Tol]],"Pass","Fail")))</f>
        <v>Pass</v>
      </c>
      <c r="AE1228" s="1" t="str">
        <f>IF(AND(Table1[[#This Row],[Spec Type2]]="N/A",Table1[[#This Row],[DUT Adj Read]]="N/A",Table1[[#This Row],[Std Adj Read]]="N/A"),"N/A",IF(Table1[[#This Row],[DUT Adj Read]]="N/A",IF(Table1[[#This Row],[Std Adj Read]]&lt;Table1[[#This Row],[High Tol]],"Pass","Fail"),IF(Table1[[#This Row],[DUT Adj Read]]&lt;Table1[[#This Row],[High Tol]],"Pass","Fail")))</f>
        <v>Fail</v>
      </c>
      <c r="AF1228" s="1" t="str">
        <f>IF(AND(Table1[[#This Row],[Spec Type2]]="N/A",Table1[[#This Row],[DUT Adj Read]]="N/A",Table1[[#This Row],[Std Adj Read]]="N/A"),"N/A",IF(Table1[[#This Row],[DUT Adj Read]]="N/A",IF(Table1[[#This Row],[Std Adj Read]]&gt;=Table1[[#This Row],[Low Tol]],"Pass","Fail"),IF(Table1[[#This Row],[DUT Adj Read]]&gt;=Table1[[#This Row],[Low Tol]],"Pass","Fail")))</f>
        <v>Pass</v>
      </c>
      <c r="AG1228" s="1" t="str">
        <f>IF(AND(Table1[[#This Row],[Spec Type2]]="N/A",Table1[[#This Row],[DUT Adj Read]]="N/A",Table1[[#This Row],[Std Adj Read]]="N/A"),"N/A",IF(Table1[[#This Row],[DUT Adj Read]]="N/A",IF(Table1[[#This Row],[Std Adj Read]]&lt;=Table1[[#This Row],[High Tol]],"Pass","Fail"),IF(Table1[[#This Row],[DUT Adj Read]]&lt;=Table1[[#This Row],[High Tol]],"Pass","Fail")))</f>
        <v>Fail</v>
      </c>
      <c r="AH12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8" s="1" t="b">
        <v>0</v>
      </c>
      <c r="AN1228" s="1" t="b">
        <v>0</v>
      </c>
      <c r="AO1228" s="1" t="b">
        <v>0</v>
      </c>
    </row>
    <row r="1229" spans="1:41" x14ac:dyDescent="0.25">
      <c r="A1229" s="10"/>
      <c r="B1229" s="10"/>
      <c r="C1229" s="10"/>
      <c r="D1229" s="10"/>
      <c r="E1229" s="10"/>
      <c r="F1229" s="10"/>
      <c r="G1229" s="10"/>
      <c r="H1229" s="10"/>
      <c r="I1229" s="1" t="str">
        <f t="shared" si="57"/>
        <v/>
      </c>
      <c r="J1229" s="1" t="s">
        <v>35</v>
      </c>
      <c r="K1229" s="1" t="str">
        <f t="shared" si="58"/>
        <v/>
      </c>
      <c r="L1229" s="1" t="str">
        <f t="shared" si="59"/>
        <v/>
      </c>
      <c r="M1229" s="1">
        <f>IF(OR(Table1[[#This Row],[Std Nom]]="",Table1[[#This Row],[Std Read]]=""),0,Table1[[#This Row],[Std Nom]]-Table1[[#This Row],[Std Read]])</f>
        <v>0</v>
      </c>
      <c r="N1229" s="1">
        <f>IF(Calculations!$F$5="ACCREDITED 17025 WITH UNCERTAINTIES",$N$10,0)</f>
        <v>0</v>
      </c>
      <c r="O1229" s="1" t="str">
        <f>IFERROR(Table1[[#This Row],[Std Nom]]-(_xlfn.XLOOKUP(Table1[[#This Row],[Manufacturer]]&amp;" "&amp;Table1[[#This Row],[Model]],Table13[MFR &amp; MDL],Table13[Tolerance % CW ],"")/100*Table1[[#This Row],[Std Nom]]),"")</f>
        <v/>
      </c>
      <c r="P1229" s="1" t="str">
        <f>IFERROR(Table1[[#This Row],[Std Nom]]+(_xlfn.XLOOKUP(Table1[[#This Row],[Manufacturer]]&amp;" "&amp;Table1[[#This Row],[Model]],Table13[MFR &amp; MDL],Table13[Tolerance % CW ],"")/100*Table1[[#This Row],[Std Nom]]),"")</f>
        <v/>
      </c>
      <c r="Q1229" s="1" t="e">
        <f>Table1[[#This Row],[High Tol]]-Table1[[#This Row],[Low Tol]]</f>
        <v>#VALUE!</v>
      </c>
      <c r="R1229" s="1">
        <f>2*Table1[[#This Row],[Std Error]]</f>
        <v>0</v>
      </c>
      <c r="S1229" s="1" t="str">
        <f>IF(Table1[[#This Row],[High Tol]]="","N/A",IFERROR(ABS(Table1[[#This Row],[Tol Span]]/Table1[[#This Row],[Error Span]]),"N/A"))</f>
        <v>N/A</v>
      </c>
      <c r="T1229" s="1" t="str">
        <f>IF(OR(Table1[[#This Row],[Low Tol]]="",Table1[[#This Row],[High Tol]]=""),"Needs Analysis",IF(Table1[[#This Row],[Ratio]]&gt;=4,"Not Significant",IF(Table1[[#This Row],[Ratio]]&gt;=2,"Semi-Significant","Significant")))</f>
        <v>Needs Analysis</v>
      </c>
      <c r="W1229" s="1">
        <f>IF(Table1[[#This Row],[Cal Type]]&lt;&gt;"ACCREDITED 17025 WITH UNCERTAINTIES",0,"")</f>
        <v>0</v>
      </c>
      <c r="X1229" s="1" t="str">
        <f>IF(Table1[[#This Row],[DUT Read]]="","N/A",Table1[[#This Row],[Std Error]]+Table1[[#This Row],[DUT Read]]+Table1[[#This Row],[DUT Ucty]])</f>
        <v>N/A</v>
      </c>
      <c r="Y1229" s="1" t="str">
        <f>IF(Table1[[#This Row],[Std Read]]="","N/A",Table1[[#This Row],[Std Read]]+Table1[[#This Row],[Std Ucty]])</f>
        <v>N/A</v>
      </c>
      <c r="Z12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9" s="1" t="str">
        <f>IF(Table1[[#This Row],[Spec Type]]="","N/A",Table1[[#This Row],[Spec Type]])</f>
        <v>±</v>
      </c>
      <c r="AC1229" s="1" t="str">
        <f>IF(Table1[[#This Row],[Spec Type2]]="N/A","N/A",IF(AND(Table1[[#This Row],[DUT Adj Read]]&gt;=Table1[[#This Row],[Low Tol]],Table1[[#This Row],[DUT Adj Read]]&lt;=Table1[[#This Row],[High Tol]]),"Pass","Fail"))</f>
        <v>Fail</v>
      </c>
      <c r="AD1229" s="1" t="str">
        <f>IF(AND(Table1[[#This Row],[Spec Type2]]="N/A",Table1[[#This Row],[DUT Adj Read]]="N/A",Table1[[#This Row],[Std Adj Read]]="N/A"),"N/A",IF(Table1[[#This Row],[DUT Adj Read]]="N/A",IF(Table1[[#This Row],[Std Adj Read]]&gt;Table1[[#This Row],[Low Tol]],"Pass","Fail"),IF(Table1[[#This Row],[DUT Adj Read]]&gt;Table1[[#This Row],[Low Tol]],"Pass","Fail")))</f>
        <v>Pass</v>
      </c>
      <c r="AE1229" s="1" t="str">
        <f>IF(AND(Table1[[#This Row],[Spec Type2]]="N/A",Table1[[#This Row],[DUT Adj Read]]="N/A",Table1[[#This Row],[Std Adj Read]]="N/A"),"N/A",IF(Table1[[#This Row],[DUT Adj Read]]="N/A",IF(Table1[[#This Row],[Std Adj Read]]&lt;Table1[[#This Row],[High Tol]],"Pass","Fail"),IF(Table1[[#This Row],[DUT Adj Read]]&lt;Table1[[#This Row],[High Tol]],"Pass","Fail")))</f>
        <v>Fail</v>
      </c>
      <c r="AF1229" s="1" t="str">
        <f>IF(AND(Table1[[#This Row],[Spec Type2]]="N/A",Table1[[#This Row],[DUT Adj Read]]="N/A",Table1[[#This Row],[Std Adj Read]]="N/A"),"N/A",IF(Table1[[#This Row],[DUT Adj Read]]="N/A",IF(Table1[[#This Row],[Std Adj Read]]&gt;=Table1[[#This Row],[Low Tol]],"Pass","Fail"),IF(Table1[[#This Row],[DUT Adj Read]]&gt;=Table1[[#This Row],[Low Tol]],"Pass","Fail")))</f>
        <v>Pass</v>
      </c>
      <c r="AG1229" s="1" t="str">
        <f>IF(AND(Table1[[#This Row],[Spec Type2]]="N/A",Table1[[#This Row],[DUT Adj Read]]="N/A",Table1[[#This Row],[Std Adj Read]]="N/A"),"N/A",IF(Table1[[#This Row],[DUT Adj Read]]="N/A",IF(Table1[[#This Row],[Std Adj Read]]&lt;=Table1[[#This Row],[High Tol]],"Pass","Fail"),IF(Table1[[#This Row],[DUT Adj Read]]&lt;=Table1[[#This Row],[High Tol]],"Pass","Fail")))</f>
        <v>Fail</v>
      </c>
      <c r="AH12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9" s="1" t="b">
        <v>0</v>
      </c>
      <c r="AN1229" s="1" t="b">
        <v>0</v>
      </c>
      <c r="AO1229" s="1" t="b">
        <v>0</v>
      </c>
    </row>
    <row r="1230" spans="1:41" x14ac:dyDescent="0.25">
      <c r="A1230" s="10"/>
      <c r="B1230" s="10"/>
      <c r="C1230" s="10"/>
      <c r="D1230" s="10"/>
      <c r="E1230" s="10"/>
      <c r="F1230" s="10"/>
      <c r="G1230" s="10"/>
      <c r="H1230" s="10"/>
      <c r="I1230" s="1" t="str">
        <f t="shared" si="57"/>
        <v/>
      </c>
      <c r="J1230" s="1" t="s">
        <v>35</v>
      </c>
      <c r="K1230" s="1" t="str">
        <f t="shared" si="58"/>
        <v/>
      </c>
      <c r="L1230" s="1" t="str">
        <f t="shared" si="59"/>
        <v/>
      </c>
      <c r="M1230" s="1">
        <f>IF(OR(Table1[[#This Row],[Std Nom]]="",Table1[[#This Row],[Std Read]]=""),0,Table1[[#This Row],[Std Nom]]-Table1[[#This Row],[Std Read]])</f>
        <v>0</v>
      </c>
      <c r="N1230" s="1">
        <f>IF(Calculations!$F$5="ACCREDITED 17025 WITH UNCERTAINTIES",$N$10,0)</f>
        <v>0</v>
      </c>
      <c r="O1230" s="1" t="str">
        <f>IFERROR(Table1[[#This Row],[Std Nom]]-(_xlfn.XLOOKUP(Table1[[#This Row],[Manufacturer]]&amp;" "&amp;Table1[[#This Row],[Model]],Table13[MFR &amp; MDL],Table13[Tolerance % CW ],"")/100*Table1[[#This Row],[Std Nom]]),"")</f>
        <v/>
      </c>
      <c r="P1230" s="1" t="str">
        <f>IFERROR(Table1[[#This Row],[Std Nom]]+(_xlfn.XLOOKUP(Table1[[#This Row],[Manufacturer]]&amp;" "&amp;Table1[[#This Row],[Model]],Table13[MFR &amp; MDL],Table13[Tolerance % CW ],"")/100*Table1[[#This Row],[Std Nom]]),"")</f>
        <v/>
      </c>
      <c r="Q1230" s="1" t="e">
        <f>Table1[[#This Row],[High Tol]]-Table1[[#This Row],[Low Tol]]</f>
        <v>#VALUE!</v>
      </c>
      <c r="R1230" s="1">
        <f>2*Table1[[#This Row],[Std Error]]</f>
        <v>0</v>
      </c>
      <c r="S1230" s="1" t="str">
        <f>IF(Table1[[#This Row],[High Tol]]="","N/A",IFERROR(ABS(Table1[[#This Row],[Tol Span]]/Table1[[#This Row],[Error Span]]),"N/A"))</f>
        <v>N/A</v>
      </c>
      <c r="T1230" s="1" t="str">
        <f>IF(OR(Table1[[#This Row],[Low Tol]]="",Table1[[#This Row],[High Tol]]=""),"Needs Analysis",IF(Table1[[#This Row],[Ratio]]&gt;=4,"Not Significant",IF(Table1[[#This Row],[Ratio]]&gt;=2,"Semi-Significant","Significant")))</f>
        <v>Needs Analysis</v>
      </c>
      <c r="W1230" s="1">
        <f>IF(Table1[[#This Row],[Cal Type]]&lt;&gt;"ACCREDITED 17025 WITH UNCERTAINTIES",0,"")</f>
        <v>0</v>
      </c>
      <c r="X1230" s="1" t="str">
        <f>IF(Table1[[#This Row],[DUT Read]]="","N/A",Table1[[#This Row],[Std Error]]+Table1[[#This Row],[DUT Read]]+Table1[[#This Row],[DUT Ucty]])</f>
        <v>N/A</v>
      </c>
      <c r="Y1230" s="1" t="str">
        <f>IF(Table1[[#This Row],[Std Read]]="","N/A",Table1[[#This Row],[Std Read]]+Table1[[#This Row],[Std Ucty]])</f>
        <v>N/A</v>
      </c>
      <c r="Z12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0" s="1" t="str">
        <f>IF(Table1[[#This Row],[Spec Type]]="","N/A",Table1[[#This Row],[Spec Type]])</f>
        <v>±</v>
      </c>
      <c r="AC1230" s="1" t="str">
        <f>IF(Table1[[#This Row],[Spec Type2]]="N/A","N/A",IF(AND(Table1[[#This Row],[DUT Adj Read]]&gt;=Table1[[#This Row],[Low Tol]],Table1[[#This Row],[DUT Adj Read]]&lt;=Table1[[#This Row],[High Tol]]),"Pass","Fail"))</f>
        <v>Fail</v>
      </c>
      <c r="AD1230" s="1" t="str">
        <f>IF(AND(Table1[[#This Row],[Spec Type2]]="N/A",Table1[[#This Row],[DUT Adj Read]]="N/A",Table1[[#This Row],[Std Adj Read]]="N/A"),"N/A",IF(Table1[[#This Row],[DUT Adj Read]]="N/A",IF(Table1[[#This Row],[Std Adj Read]]&gt;Table1[[#This Row],[Low Tol]],"Pass","Fail"),IF(Table1[[#This Row],[DUT Adj Read]]&gt;Table1[[#This Row],[Low Tol]],"Pass","Fail")))</f>
        <v>Pass</v>
      </c>
      <c r="AE1230" s="1" t="str">
        <f>IF(AND(Table1[[#This Row],[Spec Type2]]="N/A",Table1[[#This Row],[DUT Adj Read]]="N/A",Table1[[#This Row],[Std Adj Read]]="N/A"),"N/A",IF(Table1[[#This Row],[DUT Adj Read]]="N/A",IF(Table1[[#This Row],[Std Adj Read]]&lt;Table1[[#This Row],[High Tol]],"Pass","Fail"),IF(Table1[[#This Row],[DUT Adj Read]]&lt;Table1[[#This Row],[High Tol]],"Pass","Fail")))</f>
        <v>Fail</v>
      </c>
      <c r="AF1230" s="1" t="str">
        <f>IF(AND(Table1[[#This Row],[Spec Type2]]="N/A",Table1[[#This Row],[DUT Adj Read]]="N/A",Table1[[#This Row],[Std Adj Read]]="N/A"),"N/A",IF(Table1[[#This Row],[DUT Adj Read]]="N/A",IF(Table1[[#This Row],[Std Adj Read]]&gt;=Table1[[#This Row],[Low Tol]],"Pass","Fail"),IF(Table1[[#This Row],[DUT Adj Read]]&gt;=Table1[[#This Row],[Low Tol]],"Pass","Fail")))</f>
        <v>Pass</v>
      </c>
      <c r="AG1230" s="1" t="str">
        <f>IF(AND(Table1[[#This Row],[Spec Type2]]="N/A",Table1[[#This Row],[DUT Adj Read]]="N/A",Table1[[#This Row],[Std Adj Read]]="N/A"),"N/A",IF(Table1[[#This Row],[DUT Adj Read]]="N/A",IF(Table1[[#This Row],[Std Adj Read]]&lt;=Table1[[#This Row],[High Tol]],"Pass","Fail"),IF(Table1[[#This Row],[DUT Adj Read]]&lt;=Table1[[#This Row],[High Tol]],"Pass","Fail")))</f>
        <v>Fail</v>
      </c>
      <c r="AH12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0" s="1" t="b">
        <v>0</v>
      </c>
      <c r="AN1230" s="1" t="b">
        <v>0</v>
      </c>
      <c r="AO1230" s="1" t="b">
        <v>0</v>
      </c>
    </row>
    <row r="1231" spans="1:41" x14ac:dyDescent="0.25">
      <c r="A1231" s="10"/>
      <c r="B1231" s="10"/>
      <c r="C1231" s="10"/>
      <c r="D1231" s="10"/>
      <c r="E1231" s="10"/>
      <c r="F1231" s="10"/>
      <c r="G1231" s="10"/>
      <c r="H1231" s="10"/>
      <c r="I1231" s="1" t="str">
        <f t="shared" si="57"/>
        <v/>
      </c>
      <c r="J1231" s="1" t="s">
        <v>35</v>
      </c>
      <c r="K1231" s="1" t="str">
        <f t="shared" si="58"/>
        <v/>
      </c>
      <c r="L1231" s="1" t="str">
        <f t="shared" si="59"/>
        <v/>
      </c>
      <c r="M1231" s="1">
        <f>IF(OR(Table1[[#This Row],[Std Nom]]="",Table1[[#This Row],[Std Read]]=""),0,Table1[[#This Row],[Std Nom]]-Table1[[#This Row],[Std Read]])</f>
        <v>0</v>
      </c>
      <c r="N1231" s="1">
        <f>IF(Calculations!$F$5="ACCREDITED 17025 WITH UNCERTAINTIES",$N$10,0)</f>
        <v>0</v>
      </c>
      <c r="O1231" s="1" t="str">
        <f>IFERROR(Table1[[#This Row],[Std Nom]]-(_xlfn.XLOOKUP(Table1[[#This Row],[Manufacturer]]&amp;" "&amp;Table1[[#This Row],[Model]],Table13[MFR &amp; MDL],Table13[Tolerance % CW ],"")/100*Table1[[#This Row],[Std Nom]]),"")</f>
        <v/>
      </c>
      <c r="P1231" s="1" t="str">
        <f>IFERROR(Table1[[#This Row],[Std Nom]]+(_xlfn.XLOOKUP(Table1[[#This Row],[Manufacturer]]&amp;" "&amp;Table1[[#This Row],[Model]],Table13[MFR &amp; MDL],Table13[Tolerance % CW ],"")/100*Table1[[#This Row],[Std Nom]]),"")</f>
        <v/>
      </c>
      <c r="Q1231" s="1" t="e">
        <f>Table1[[#This Row],[High Tol]]-Table1[[#This Row],[Low Tol]]</f>
        <v>#VALUE!</v>
      </c>
      <c r="R1231" s="1">
        <f>2*Table1[[#This Row],[Std Error]]</f>
        <v>0</v>
      </c>
      <c r="S1231" s="1" t="str">
        <f>IF(Table1[[#This Row],[High Tol]]="","N/A",IFERROR(ABS(Table1[[#This Row],[Tol Span]]/Table1[[#This Row],[Error Span]]),"N/A"))</f>
        <v>N/A</v>
      </c>
      <c r="T1231" s="1" t="str">
        <f>IF(OR(Table1[[#This Row],[Low Tol]]="",Table1[[#This Row],[High Tol]]=""),"Needs Analysis",IF(Table1[[#This Row],[Ratio]]&gt;=4,"Not Significant",IF(Table1[[#This Row],[Ratio]]&gt;=2,"Semi-Significant","Significant")))</f>
        <v>Needs Analysis</v>
      </c>
      <c r="W1231" s="1">
        <f>IF(Table1[[#This Row],[Cal Type]]&lt;&gt;"ACCREDITED 17025 WITH UNCERTAINTIES",0,"")</f>
        <v>0</v>
      </c>
      <c r="X1231" s="1" t="str">
        <f>IF(Table1[[#This Row],[DUT Read]]="","N/A",Table1[[#This Row],[Std Error]]+Table1[[#This Row],[DUT Read]]+Table1[[#This Row],[DUT Ucty]])</f>
        <v>N/A</v>
      </c>
      <c r="Y1231" s="1" t="str">
        <f>IF(Table1[[#This Row],[Std Read]]="","N/A",Table1[[#This Row],[Std Read]]+Table1[[#This Row],[Std Ucty]])</f>
        <v>N/A</v>
      </c>
      <c r="Z12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1" s="1" t="str">
        <f>IF(Table1[[#This Row],[Spec Type]]="","N/A",Table1[[#This Row],[Spec Type]])</f>
        <v>±</v>
      </c>
      <c r="AC1231" s="1" t="str">
        <f>IF(Table1[[#This Row],[Spec Type2]]="N/A","N/A",IF(AND(Table1[[#This Row],[DUT Adj Read]]&gt;=Table1[[#This Row],[Low Tol]],Table1[[#This Row],[DUT Adj Read]]&lt;=Table1[[#This Row],[High Tol]]),"Pass","Fail"))</f>
        <v>Fail</v>
      </c>
      <c r="AD1231" s="1" t="str">
        <f>IF(AND(Table1[[#This Row],[Spec Type2]]="N/A",Table1[[#This Row],[DUT Adj Read]]="N/A",Table1[[#This Row],[Std Adj Read]]="N/A"),"N/A",IF(Table1[[#This Row],[DUT Adj Read]]="N/A",IF(Table1[[#This Row],[Std Adj Read]]&gt;Table1[[#This Row],[Low Tol]],"Pass","Fail"),IF(Table1[[#This Row],[DUT Adj Read]]&gt;Table1[[#This Row],[Low Tol]],"Pass","Fail")))</f>
        <v>Pass</v>
      </c>
      <c r="AE1231" s="1" t="str">
        <f>IF(AND(Table1[[#This Row],[Spec Type2]]="N/A",Table1[[#This Row],[DUT Adj Read]]="N/A",Table1[[#This Row],[Std Adj Read]]="N/A"),"N/A",IF(Table1[[#This Row],[DUT Adj Read]]="N/A",IF(Table1[[#This Row],[Std Adj Read]]&lt;Table1[[#This Row],[High Tol]],"Pass","Fail"),IF(Table1[[#This Row],[DUT Adj Read]]&lt;Table1[[#This Row],[High Tol]],"Pass","Fail")))</f>
        <v>Fail</v>
      </c>
      <c r="AF1231" s="1" t="str">
        <f>IF(AND(Table1[[#This Row],[Spec Type2]]="N/A",Table1[[#This Row],[DUT Adj Read]]="N/A",Table1[[#This Row],[Std Adj Read]]="N/A"),"N/A",IF(Table1[[#This Row],[DUT Adj Read]]="N/A",IF(Table1[[#This Row],[Std Adj Read]]&gt;=Table1[[#This Row],[Low Tol]],"Pass","Fail"),IF(Table1[[#This Row],[DUT Adj Read]]&gt;=Table1[[#This Row],[Low Tol]],"Pass","Fail")))</f>
        <v>Pass</v>
      </c>
      <c r="AG1231" s="1" t="str">
        <f>IF(AND(Table1[[#This Row],[Spec Type2]]="N/A",Table1[[#This Row],[DUT Adj Read]]="N/A",Table1[[#This Row],[Std Adj Read]]="N/A"),"N/A",IF(Table1[[#This Row],[DUT Adj Read]]="N/A",IF(Table1[[#This Row],[Std Adj Read]]&lt;=Table1[[#This Row],[High Tol]],"Pass","Fail"),IF(Table1[[#This Row],[DUT Adj Read]]&lt;=Table1[[#This Row],[High Tol]],"Pass","Fail")))</f>
        <v>Fail</v>
      </c>
      <c r="AH12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1" s="1" t="b">
        <v>0</v>
      </c>
      <c r="AN1231" s="1" t="b">
        <v>0</v>
      </c>
      <c r="AO1231" s="1" t="b">
        <v>0</v>
      </c>
    </row>
    <row r="1232" spans="1:41" x14ac:dyDescent="0.25">
      <c r="A1232" s="10"/>
      <c r="B1232" s="10"/>
      <c r="C1232" s="10"/>
      <c r="D1232" s="10"/>
      <c r="E1232" s="10"/>
      <c r="F1232" s="10"/>
      <c r="G1232" s="10"/>
      <c r="H1232" s="10"/>
      <c r="I1232" s="1" t="str">
        <f t="shared" si="57"/>
        <v/>
      </c>
      <c r="J1232" s="1" t="s">
        <v>35</v>
      </c>
      <c r="K1232" s="1" t="str">
        <f t="shared" si="58"/>
        <v/>
      </c>
      <c r="L1232" s="1" t="str">
        <f t="shared" si="59"/>
        <v/>
      </c>
      <c r="M1232" s="1">
        <f>IF(OR(Table1[[#This Row],[Std Nom]]="",Table1[[#This Row],[Std Read]]=""),0,Table1[[#This Row],[Std Nom]]-Table1[[#This Row],[Std Read]])</f>
        <v>0</v>
      </c>
      <c r="N1232" s="1">
        <f>IF(Calculations!$F$5="ACCREDITED 17025 WITH UNCERTAINTIES",$N$10,0)</f>
        <v>0</v>
      </c>
      <c r="O1232" s="1" t="str">
        <f>IFERROR(Table1[[#This Row],[Std Nom]]-(_xlfn.XLOOKUP(Table1[[#This Row],[Manufacturer]]&amp;" "&amp;Table1[[#This Row],[Model]],Table13[MFR &amp; MDL],Table13[Tolerance % CW ],"")/100*Table1[[#This Row],[Std Nom]]),"")</f>
        <v/>
      </c>
      <c r="P1232" s="1" t="str">
        <f>IFERROR(Table1[[#This Row],[Std Nom]]+(_xlfn.XLOOKUP(Table1[[#This Row],[Manufacturer]]&amp;" "&amp;Table1[[#This Row],[Model]],Table13[MFR &amp; MDL],Table13[Tolerance % CW ],"")/100*Table1[[#This Row],[Std Nom]]),"")</f>
        <v/>
      </c>
      <c r="Q1232" s="1" t="e">
        <f>Table1[[#This Row],[High Tol]]-Table1[[#This Row],[Low Tol]]</f>
        <v>#VALUE!</v>
      </c>
      <c r="R1232" s="1">
        <f>2*Table1[[#This Row],[Std Error]]</f>
        <v>0</v>
      </c>
      <c r="S1232" s="1" t="str">
        <f>IF(Table1[[#This Row],[High Tol]]="","N/A",IFERROR(ABS(Table1[[#This Row],[Tol Span]]/Table1[[#This Row],[Error Span]]),"N/A"))</f>
        <v>N/A</v>
      </c>
      <c r="T1232" s="1" t="str">
        <f>IF(OR(Table1[[#This Row],[Low Tol]]="",Table1[[#This Row],[High Tol]]=""),"Needs Analysis",IF(Table1[[#This Row],[Ratio]]&gt;=4,"Not Significant",IF(Table1[[#This Row],[Ratio]]&gt;=2,"Semi-Significant","Significant")))</f>
        <v>Needs Analysis</v>
      </c>
      <c r="W1232" s="1">
        <f>IF(Table1[[#This Row],[Cal Type]]&lt;&gt;"ACCREDITED 17025 WITH UNCERTAINTIES",0,"")</f>
        <v>0</v>
      </c>
      <c r="X1232" s="1" t="str">
        <f>IF(Table1[[#This Row],[DUT Read]]="","N/A",Table1[[#This Row],[Std Error]]+Table1[[#This Row],[DUT Read]]+Table1[[#This Row],[DUT Ucty]])</f>
        <v>N/A</v>
      </c>
      <c r="Y1232" s="1" t="str">
        <f>IF(Table1[[#This Row],[Std Read]]="","N/A",Table1[[#This Row],[Std Read]]+Table1[[#This Row],[Std Ucty]])</f>
        <v>N/A</v>
      </c>
      <c r="Z12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2" s="1" t="str">
        <f>IF(Table1[[#This Row],[Spec Type]]="","N/A",Table1[[#This Row],[Spec Type]])</f>
        <v>±</v>
      </c>
      <c r="AC1232" s="1" t="str">
        <f>IF(Table1[[#This Row],[Spec Type2]]="N/A","N/A",IF(AND(Table1[[#This Row],[DUT Adj Read]]&gt;=Table1[[#This Row],[Low Tol]],Table1[[#This Row],[DUT Adj Read]]&lt;=Table1[[#This Row],[High Tol]]),"Pass","Fail"))</f>
        <v>Fail</v>
      </c>
      <c r="AD1232" s="1" t="str">
        <f>IF(AND(Table1[[#This Row],[Spec Type2]]="N/A",Table1[[#This Row],[DUT Adj Read]]="N/A",Table1[[#This Row],[Std Adj Read]]="N/A"),"N/A",IF(Table1[[#This Row],[DUT Adj Read]]="N/A",IF(Table1[[#This Row],[Std Adj Read]]&gt;Table1[[#This Row],[Low Tol]],"Pass","Fail"),IF(Table1[[#This Row],[DUT Adj Read]]&gt;Table1[[#This Row],[Low Tol]],"Pass","Fail")))</f>
        <v>Pass</v>
      </c>
      <c r="AE1232" s="1" t="str">
        <f>IF(AND(Table1[[#This Row],[Spec Type2]]="N/A",Table1[[#This Row],[DUT Adj Read]]="N/A",Table1[[#This Row],[Std Adj Read]]="N/A"),"N/A",IF(Table1[[#This Row],[DUT Adj Read]]="N/A",IF(Table1[[#This Row],[Std Adj Read]]&lt;Table1[[#This Row],[High Tol]],"Pass","Fail"),IF(Table1[[#This Row],[DUT Adj Read]]&lt;Table1[[#This Row],[High Tol]],"Pass","Fail")))</f>
        <v>Fail</v>
      </c>
      <c r="AF1232" s="1" t="str">
        <f>IF(AND(Table1[[#This Row],[Spec Type2]]="N/A",Table1[[#This Row],[DUT Adj Read]]="N/A",Table1[[#This Row],[Std Adj Read]]="N/A"),"N/A",IF(Table1[[#This Row],[DUT Adj Read]]="N/A",IF(Table1[[#This Row],[Std Adj Read]]&gt;=Table1[[#This Row],[Low Tol]],"Pass","Fail"),IF(Table1[[#This Row],[DUT Adj Read]]&gt;=Table1[[#This Row],[Low Tol]],"Pass","Fail")))</f>
        <v>Pass</v>
      </c>
      <c r="AG1232" s="1" t="str">
        <f>IF(AND(Table1[[#This Row],[Spec Type2]]="N/A",Table1[[#This Row],[DUT Adj Read]]="N/A",Table1[[#This Row],[Std Adj Read]]="N/A"),"N/A",IF(Table1[[#This Row],[DUT Adj Read]]="N/A",IF(Table1[[#This Row],[Std Adj Read]]&lt;=Table1[[#This Row],[High Tol]],"Pass","Fail"),IF(Table1[[#This Row],[DUT Adj Read]]&lt;=Table1[[#This Row],[High Tol]],"Pass","Fail")))</f>
        <v>Fail</v>
      </c>
      <c r="AH12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2" s="1" t="b">
        <v>0</v>
      </c>
      <c r="AN1232" s="1" t="b">
        <v>0</v>
      </c>
      <c r="AO1232" s="1" t="b">
        <v>0</v>
      </c>
    </row>
    <row r="1233" spans="1:41" x14ac:dyDescent="0.25">
      <c r="A1233" s="10"/>
      <c r="B1233" s="10"/>
      <c r="C1233" s="10"/>
      <c r="D1233" s="10"/>
      <c r="E1233" s="10"/>
      <c r="F1233" s="10"/>
      <c r="G1233" s="10"/>
      <c r="H1233" s="10"/>
      <c r="I1233" s="1" t="str">
        <f t="shared" si="57"/>
        <v/>
      </c>
      <c r="J1233" s="1" t="s">
        <v>35</v>
      </c>
      <c r="K1233" s="1" t="str">
        <f t="shared" si="58"/>
        <v/>
      </c>
      <c r="L1233" s="1" t="str">
        <f t="shared" si="59"/>
        <v/>
      </c>
      <c r="M1233" s="1">
        <f>IF(OR(Table1[[#This Row],[Std Nom]]="",Table1[[#This Row],[Std Read]]=""),0,Table1[[#This Row],[Std Nom]]-Table1[[#This Row],[Std Read]])</f>
        <v>0</v>
      </c>
      <c r="N1233" s="1">
        <f>IF(Calculations!$F$5="ACCREDITED 17025 WITH UNCERTAINTIES",$N$10,0)</f>
        <v>0</v>
      </c>
      <c r="O1233" s="1" t="str">
        <f>IFERROR(Table1[[#This Row],[Std Nom]]-(_xlfn.XLOOKUP(Table1[[#This Row],[Manufacturer]]&amp;" "&amp;Table1[[#This Row],[Model]],Table13[MFR &amp; MDL],Table13[Tolerance % CW ],"")/100*Table1[[#This Row],[Std Nom]]),"")</f>
        <v/>
      </c>
      <c r="P1233" s="1" t="str">
        <f>IFERROR(Table1[[#This Row],[Std Nom]]+(_xlfn.XLOOKUP(Table1[[#This Row],[Manufacturer]]&amp;" "&amp;Table1[[#This Row],[Model]],Table13[MFR &amp; MDL],Table13[Tolerance % CW ],"")/100*Table1[[#This Row],[Std Nom]]),"")</f>
        <v/>
      </c>
      <c r="Q1233" s="1" t="e">
        <f>Table1[[#This Row],[High Tol]]-Table1[[#This Row],[Low Tol]]</f>
        <v>#VALUE!</v>
      </c>
      <c r="R1233" s="1">
        <f>2*Table1[[#This Row],[Std Error]]</f>
        <v>0</v>
      </c>
      <c r="S1233" s="1" t="str">
        <f>IF(Table1[[#This Row],[High Tol]]="","N/A",IFERROR(ABS(Table1[[#This Row],[Tol Span]]/Table1[[#This Row],[Error Span]]),"N/A"))</f>
        <v>N/A</v>
      </c>
      <c r="T1233" s="1" t="str">
        <f>IF(OR(Table1[[#This Row],[Low Tol]]="",Table1[[#This Row],[High Tol]]=""),"Needs Analysis",IF(Table1[[#This Row],[Ratio]]&gt;=4,"Not Significant",IF(Table1[[#This Row],[Ratio]]&gt;=2,"Semi-Significant","Significant")))</f>
        <v>Needs Analysis</v>
      </c>
      <c r="W1233" s="1">
        <f>IF(Table1[[#This Row],[Cal Type]]&lt;&gt;"ACCREDITED 17025 WITH UNCERTAINTIES",0,"")</f>
        <v>0</v>
      </c>
      <c r="X1233" s="1" t="str">
        <f>IF(Table1[[#This Row],[DUT Read]]="","N/A",Table1[[#This Row],[Std Error]]+Table1[[#This Row],[DUT Read]]+Table1[[#This Row],[DUT Ucty]])</f>
        <v>N/A</v>
      </c>
      <c r="Y1233" s="1" t="str">
        <f>IF(Table1[[#This Row],[Std Read]]="","N/A",Table1[[#This Row],[Std Read]]+Table1[[#This Row],[Std Ucty]])</f>
        <v>N/A</v>
      </c>
      <c r="Z12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3" s="1" t="str">
        <f>IF(Table1[[#This Row],[Spec Type]]="","N/A",Table1[[#This Row],[Spec Type]])</f>
        <v>±</v>
      </c>
      <c r="AC1233" s="1" t="str">
        <f>IF(Table1[[#This Row],[Spec Type2]]="N/A","N/A",IF(AND(Table1[[#This Row],[DUT Adj Read]]&gt;=Table1[[#This Row],[Low Tol]],Table1[[#This Row],[DUT Adj Read]]&lt;=Table1[[#This Row],[High Tol]]),"Pass","Fail"))</f>
        <v>Fail</v>
      </c>
      <c r="AD1233" s="1" t="str">
        <f>IF(AND(Table1[[#This Row],[Spec Type2]]="N/A",Table1[[#This Row],[DUT Adj Read]]="N/A",Table1[[#This Row],[Std Adj Read]]="N/A"),"N/A",IF(Table1[[#This Row],[DUT Adj Read]]="N/A",IF(Table1[[#This Row],[Std Adj Read]]&gt;Table1[[#This Row],[Low Tol]],"Pass","Fail"),IF(Table1[[#This Row],[DUT Adj Read]]&gt;Table1[[#This Row],[Low Tol]],"Pass","Fail")))</f>
        <v>Pass</v>
      </c>
      <c r="AE1233" s="1" t="str">
        <f>IF(AND(Table1[[#This Row],[Spec Type2]]="N/A",Table1[[#This Row],[DUT Adj Read]]="N/A",Table1[[#This Row],[Std Adj Read]]="N/A"),"N/A",IF(Table1[[#This Row],[DUT Adj Read]]="N/A",IF(Table1[[#This Row],[Std Adj Read]]&lt;Table1[[#This Row],[High Tol]],"Pass","Fail"),IF(Table1[[#This Row],[DUT Adj Read]]&lt;Table1[[#This Row],[High Tol]],"Pass","Fail")))</f>
        <v>Fail</v>
      </c>
      <c r="AF1233" s="1" t="str">
        <f>IF(AND(Table1[[#This Row],[Spec Type2]]="N/A",Table1[[#This Row],[DUT Adj Read]]="N/A",Table1[[#This Row],[Std Adj Read]]="N/A"),"N/A",IF(Table1[[#This Row],[DUT Adj Read]]="N/A",IF(Table1[[#This Row],[Std Adj Read]]&gt;=Table1[[#This Row],[Low Tol]],"Pass","Fail"),IF(Table1[[#This Row],[DUT Adj Read]]&gt;=Table1[[#This Row],[Low Tol]],"Pass","Fail")))</f>
        <v>Pass</v>
      </c>
      <c r="AG1233" s="1" t="str">
        <f>IF(AND(Table1[[#This Row],[Spec Type2]]="N/A",Table1[[#This Row],[DUT Adj Read]]="N/A",Table1[[#This Row],[Std Adj Read]]="N/A"),"N/A",IF(Table1[[#This Row],[DUT Adj Read]]="N/A",IF(Table1[[#This Row],[Std Adj Read]]&lt;=Table1[[#This Row],[High Tol]],"Pass","Fail"),IF(Table1[[#This Row],[DUT Adj Read]]&lt;=Table1[[#This Row],[High Tol]],"Pass","Fail")))</f>
        <v>Fail</v>
      </c>
      <c r="AH12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3" s="1" t="b">
        <v>0</v>
      </c>
      <c r="AN1233" s="1" t="b">
        <v>0</v>
      </c>
      <c r="AO1233" s="1" t="b">
        <v>0</v>
      </c>
    </row>
    <row r="1234" spans="1:41" x14ac:dyDescent="0.25">
      <c r="A1234" s="10"/>
      <c r="B1234" s="10"/>
      <c r="C1234" s="10"/>
      <c r="D1234" s="10"/>
      <c r="E1234" s="10"/>
      <c r="F1234" s="10"/>
      <c r="G1234" s="10"/>
      <c r="H1234" s="10"/>
      <c r="I1234" s="1" t="str">
        <f t="shared" si="57"/>
        <v/>
      </c>
      <c r="J1234" s="1" t="s">
        <v>35</v>
      </c>
      <c r="K1234" s="1" t="str">
        <f t="shared" si="58"/>
        <v/>
      </c>
      <c r="L1234" s="1" t="str">
        <f t="shared" si="59"/>
        <v/>
      </c>
      <c r="M1234" s="1">
        <f>IF(OR(Table1[[#This Row],[Std Nom]]="",Table1[[#This Row],[Std Read]]=""),0,Table1[[#This Row],[Std Nom]]-Table1[[#This Row],[Std Read]])</f>
        <v>0</v>
      </c>
      <c r="N1234" s="1">
        <f>IF(Calculations!$F$5="ACCREDITED 17025 WITH UNCERTAINTIES",$N$10,0)</f>
        <v>0</v>
      </c>
      <c r="O1234" s="1" t="str">
        <f>IFERROR(Table1[[#This Row],[Std Nom]]-(_xlfn.XLOOKUP(Table1[[#This Row],[Manufacturer]]&amp;" "&amp;Table1[[#This Row],[Model]],Table13[MFR &amp; MDL],Table13[Tolerance % CW ],"")/100*Table1[[#This Row],[Std Nom]]),"")</f>
        <v/>
      </c>
      <c r="P1234" s="1" t="str">
        <f>IFERROR(Table1[[#This Row],[Std Nom]]+(_xlfn.XLOOKUP(Table1[[#This Row],[Manufacturer]]&amp;" "&amp;Table1[[#This Row],[Model]],Table13[MFR &amp; MDL],Table13[Tolerance % CW ],"")/100*Table1[[#This Row],[Std Nom]]),"")</f>
        <v/>
      </c>
      <c r="Q1234" s="1" t="e">
        <f>Table1[[#This Row],[High Tol]]-Table1[[#This Row],[Low Tol]]</f>
        <v>#VALUE!</v>
      </c>
      <c r="R1234" s="1">
        <f>2*Table1[[#This Row],[Std Error]]</f>
        <v>0</v>
      </c>
      <c r="S1234" s="1" t="str">
        <f>IF(Table1[[#This Row],[High Tol]]="","N/A",IFERROR(ABS(Table1[[#This Row],[Tol Span]]/Table1[[#This Row],[Error Span]]),"N/A"))</f>
        <v>N/A</v>
      </c>
      <c r="T1234" s="1" t="str">
        <f>IF(OR(Table1[[#This Row],[Low Tol]]="",Table1[[#This Row],[High Tol]]=""),"Needs Analysis",IF(Table1[[#This Row],[Ratio]]&gt;=4,"Not Significant",IF(Table1[[#This Row],[Ratio]]&gt;=2,"Semi-Significant","Significant")))</f>
        <v>Needs Analysis</v>
      </c>
      <c r="W1234" s="1">
        <f>IF(Table1[[#This Row],[Cal Type]]&lt;&gt;"ACCREDITED 17025 WITH UNCERTAINTIES",0,"")</f>
        <v>0</v>
      </c>
      <c r="X1234" s="1" t="str">
        <f>IF(Table1[[#This Row],[DUT Read]]="","N/A",Table1[[#This Row],[Std Error]]+Table1[[#This Row],[DUT Read]]+Table1[[#This Row],[DUT Ucty]])</f>
        <v>N/A</v>
      </c>
      <c r="Y1234" s="1" t="str">
        <f>IF(Table1[[#This Row],[Std Read]]="","N/A",Table1[[#This Row],[Std Read]]+Table1[[#This Row],[Std Ucty]])</f>
        <v>N/A</v>
      </c>
      <c r="Z12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4" s="1" t="str">
        <f>IF(Table1[[#This Row],[Spec Type]]="","N/A",Table1[[#This Row],[Spec Type]])</f>
        <v>±</v>
      </c>
      <c r="AC1234" s="1" t="str">
        <f>IF(Table1[[#This Row],[Spec Type2]]="N/A","N/A",IF(AND(Table1[[#This Row],[DUT Adj Read]]&gt;=Table1[[#This Row],[Low Tol]],Table1[[#This Row],[DUT Adj Read]]&lt;=Table1[[#This Row],[High Tol]]),"Pass","Fail"))</f>
        <v>Fail</v>
      </c>
      <c r="AD1234" s="1" t="str">
        <f>IF(AND(Table1[[#This Row],[Spec Type2]]="N/A",Table1[[#This Row],[DUT Adj Read]]="N/A",Table1[[#This Row],[Std Adj Read]]="N/A"),"N/A",IF(Table1[[#This Row],[DUT Adj Read]]="N/A",IF(Table1[[#This Row],[Std Adj Read]]&gt;Table1[[#This Row],[Low Tol]],"Pass","Fail"),IF(Table1[[#This Row],[DUT Adj Read]]&gt;Table1[[#This Row],[Low Tol]],"Pass","Fail")))</f>
        <v>Pass</v>
      </c>
      <c r="AE1234" s="1" t="str">
        <f>IF(AND(Table1[[#This Row],[Spec Type2]]="N/A",Table1[[#This Row],[DUT Adj Read]]="N/A",Table1[[#This Row],[Std Adj Read]]="N/A"),"N/A",IF(Table1[[#This Row],[DUT Adj Read]]="N/A",IF(Table1[[#This Row],[Std Adj Read]]&lt;Table1[[#This Row],[High Tol]],"Pass","Fail"),IF(Table1[[#This Row],[DUT Adj Read]]&lt;Table1[[#This Row],[High Tol]],"Pass","Fail")))</f>
        <v>Fail</v>
      </c>
      <c r="AF1234" s="1" t="str">
        <f>IF(AND(Table1[[#This Row],[Spec Type2]]="N/A",Table1[[#This Row],[DUT Adj Read]]="N/A",Table1[[#This Row],[Std Adj Read]]="N/A"),"N/A",IF(Table1[[#This Row],[DUT Adj Read]]="N/A",IF(Table1[[#This Row],[Std Adj Read]]&gt;=Table1[[#This Row],[Low Tol]],"Pass","Fail"),IF(Table1[[#This Row],[DUT Adj Read]]&gt;=Table1[[#This Row],[Low Tol]],"Pass","Fail")))</f>
        <v>Pass</v>
      </c>
      <c r="AG1234" s="1" t="str">
        <f>IF(AND(Table1[[#This Row],[Spec Type2]]="N/A",Table1[[#This Row],[DUT Adj Read]]="N/A",Table1[[#This Row],[Std Adj Read]]="N/A"),"N/A",IF(Table1[[#This Row],[DUT Adj Read]]="N/A",IF(Table1[[#This Row],[Std Adj Read]]&lt;=Table1[[#This Row],[High Tol]],"Pass","Fail"),IF(Table1[[#This Row],[DUT Adj Read]]&lt;=Table1[[#This Row],[High Tol]],"Pass","Fail")))</f>
        <v>Fail</v>
      </c>
      <c r="AH12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4" s="1" t="b">
        <v>0</v>
      </c>
      <c r="AN1234" s="1" t="b">
        <v>0</v>
      </c>
      <c r="AO1234" s="1" t="b">
        <v>0</v>
      </c>
    </row>
    <row r="1235" spans="1:41" x14ac:dyDescent="0.25">
      <c r="A1235" s="10"/>
      <c r="B1235" s="10"/>
      <c r="C1235" s="10"/>
      <c r="D1235" s="10"/>
      <c r="E1235" s="10"/>
      <c r="F1235" s="10"/>
      <c r="G1235" s="10"/>
      <c r="H1235" s="10"/>
      <c r="I1235" s="1" t="str">
        <f t="shared" si="57"/>
        <v/>
      </c>
      <c r="J1235" s="1" t="s">
        <v>35</v>
      </c>
      <c r="K1235" s="1" t="str">
        <f t="shared" si="58"/>
        <v/>
      </c>
      <c r="L1235" s="1" t="str">
        <f t="shared" si="59"/>
        <v/>
      </c>
      <c r="M1235" s="1">
        <f>IF(OR(Table1[[#This Row],[Std Nom]]="",Table1[[#This Row],[Std Read]]=""),0,Table1[[#This Row],[Std Nom]]-Table1[[#This Row],[Std Read]])</f>
        <v>0</v>
      </c>
      <c r="N1235" s="1">
        <f>IF(Calculations!$F$5="ACCREDITED 17025 WITH UNCERTAINTIES",$N$10,0)</f>
        <v>0</v>
      </c>
      <c r="O1235" s="1" t="str">
        <f>IFERROR(Table1[[#This Row],[Std Nom]]-(_xlfn.XLOOKUP(Table1[[#This Row],[Manufacturer]]&amp;" "&amp;Table1[[#This Row],[Model]],Table13[MFR &amp; MDL],Table13[Tolerance % CW ],"")/100*Table1[[#This Row],[Std Nom]]),"")</f>
        <v/>
      </c>
      <c r="P1235" s="1" t="str">
        <f>IFERROR(Table1[[#This Row],[Std Nom]]+(_xlfn.XLOOKUP(Table1[[#This Row],[Manufacturer]]&amp;" "&amp;Table1[[#This Row],[Model]],Table13[MFR &amp; MDL],Table13[Tolerance % CW ],"")/100*Table1[[#This Row],[Std Nom]]),"")</f>
        <v/>
      </c>
      <c r="Q1235" s="1" t="e">
        <f>Table1[[#This Row],[High Tol]]-Table1[[#This Row],[Low Tol]]</f>
        <v>#VALUE!</v>
      </c>
      <c r="R1235" s="1">
        <f>2*Table1[[#This Row],[Std Error]]</f>
        <v>0</v>
      </c>
      <c r="S1235" s="1" t="str">
        <f>IF(Table1[[#This Row],[High Tol]]="","N/A",IFERROR(ABS(Table1[[#This Row],[Tol Span]]/Table1[[#This Row],[Error Span]]),"N/A"))</f>
        <v>N/A</v>
      </c>
      <c r="T1235" s="1" t="str">
        <f>IF(OR(Table1[[#This Row],[Low Tol]]="",Table1[[#This Row],[High Tol]]=""),"Needs Analysis",IF(Table1[[#This Row],[Ratio]]&gt;=4,"Not Significant",IF(Table1[[#This Row],[Ratio]]&gt;=2,"Semi-Significant","Significant")))</f>
        <v>Needs Analysis</v>
      </c>
      <c r="W1235" s="1">
        <f>IF(Table1[[#This Row],[Cal Type]]&lt;&gt;"ACCREDITED 17025 WITH UNCERTAINTIES",0,"")</f>
        <v>0</v>
      </c>
      <c r="X1235" s="1" t="str">
        <f>IF(Table1[[#This Row],[DUT Read]]="","N/A",Table1[[#This Row],[Std Error]]+Table1[[#This Row],[DUT Read]]+Table1[[#This Row],[DUT Ucty]])</f>
        <v>N/A</v>
      </c>
      <c r="Y1235" s="1" t="str">
        <f>IF(Table1[[#This Row],[Std Read]]="","N/A",Table1[[#This Row],[Std Read]]+Table1[[#This Row],[Std Ucty]])</f>
        <v>N/A</v>
      </c>
      <c r="Z12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5" s="1" t="str">
        <f>IF(Table1[[#This Row],[Spec Type]]="","N/A",Table1[[#This Row],[Spec Type]])</f>
        <v>±</v>
      </c>
      <c r="AC1235" s="1" t="str">
        <f>IF(Table1[[#This Row],[Spec Type2]]="N/A","N/A",IF(AND(Table1[[#This Row],[DUT Adj Read]]&gt;=Table1[[#This Row],[Low Tol]],Table1[[#This Row],[DUT Adj Read]]&lt;=Table1[[#This Row],[High Tol]]),"Pass","Fail"))</f>
        <v>Fail</v>
      </c>
      <c r="AD1235" s="1" t="str">
        <f>IF(AND(Table1[[#This Row],[Spec Type2]]="N/A",Table1[[#This Row],[DUT Adj Read]]="N/A",Table1[[#This Row],[Std Adj Read]]="N/A"),"N/A",IF(Table1[[#This Row],[DUT Adj Read]]="N/A",IF(Table1[[#This Row],[Std Adj Read]]&gt;Table1[[#This Row],[Low Tol]],"Pass","Fail"),IF(Table1[[#This Row],[DUT Adj Read]]&gt;Table1[[#This Row],[Low Tol]],"Pass","Fail")))</f>
        <v>Pass</v>
      </c>
      <c r="AE1235" s="1" t="str">
        <f>IF(AND(Table1[[#This Row],[Spec Type2]]="N/A",Table1[[#This Row],[DUT Adj Read]]="N/A",Table1[[#This Row],[Std Adj Read]]="N/A"),"N/A",IF(Table1[[#This Row],[DUT Adj Read]]="N/A",IF(Table1[[#This Row],[Std Adj Read]]&lt;Table1[[#This Row],[High Tol]],"Pass","Fail"),IF(Table1[[#This Row],[DUT Adj Read]]&lt;Table1[[#This Row],[High Tol]],"Pass","Fail")))</f>
        <v>Fail</v>
      </c>
      <c r="AF1235" s="1" t="str">
        <f>IF(AND(Table1[[#This Row],[Spec Type2]]="N/A",Table1[[#This Row],[DUT Adj Read]]="N/A",Table1[[#This Row],[Std Adj Read]]="N/A"),"N/A",IF(Table1[[#This Row],[DUT Adj Read]]="N/A",IF(Table1[[#This Row],[Std Adj Read]]&gt;=Table1[[#This Row],[Low Tol]],"Pass","Fail"),IF(Table1[[#This Row],[DUT Adj Read]]&gt;=Table1[[#This Row],[Low Tol]],"Pass","Fail")))</f>
        <v>Pass</v>
      </c>
      <c r="AG1235" s="1" t="str">
        <f>IF(AND(Table1[[#This Row],[Spec Type2]]="N/A",Table1[[#This Row],[DUT Adj Read]]="N/A",Table1[[#This Row],[Std Adj Read]]="N/A"),"N/A",IF(Table1[[#This Row],[DUT Adj Read]]="N/A",IF(Table1[[#This Row],[Std Adj Read]]&lt;=Table1[[#This Row],[High Tol]],"Pass","Fail"),IF(Table1[[#This Row],[DUT Adj Read]]&lt;=Table1[[#This Row],[High Tol]],"Pass","Fail")))</f>
        <v>Fail</v>
      </c>
      <c r="AH12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5" s="1" t="b">
        <v>0</v>
      </c>
      <c r="AN1235" s="1" t="b">
        <v>0</v>
      </c>
      <c r="AO1235" s="1" t="b">
        <v>0</v>
      </c>
    </row>
    <row r="1236" spans="1:41" x14ac:dyDescent="0.25">
      <c r="A1236" s="10"/>
      <c r="B1236" s="10"/>
      <c r="C1236" s="10"/>
      <c r="D1236" s="10"/>
      <c r="E1236" s="10"/>
      <c r="F1236" s="10"/>
      <c r="G1236" s="10"/>
      <c r="H1236" s="10"/>
      <c r="I1236" s="1" t="str">
        <f t="shared" si="57"/>
        <v/>
      </c>
      <c r="J1236" s="1" t="s">
        <v>35</v>
      </c>
      <c r="K1236" s="1" t="str">
        <f t="shared" si="58"/>
        <v/>
      </c>
      <c r="L1236" s="1" t="str">
        <f t="shared" si="59"/>
        <v/>
      </c>
      <c r="M1236" s="1">
        <f>IF(OR(Table1[[#This Row],[Std Nom]]="",Table1[[#This Row],[Std Read]]=""),0,Table1[[#This Row],[Std Nom]]-Table1[[#This Row],[Std Read]])</f>
        <v>0</v>
      </c>
      <c r="N1236" s="1">
        <f>IF(Calculations!$F$5="ACCREDITED 17025 WITH UNCERTAINTIES",$N$10,0)</f>
        <v>0</v>
      </c>
      <c r="O1236" s="1" t="str">
        <f>IFERROR(Table1[[#This Row],[Std Nom]]-(_xlfn.XLOOKUP(Table1[[#This Row],[Manufacturer]]&amp;" "&amp;Table1[[#This Row],[Model]],Table13[MFR &amp; MDL],Table13[Tolerance % CW ],"")/100*Table1[[#This Row],[Std Nom]]),"")</f>
        <v/>
      </c>
      <c r="P1236" s="1" t="str">
        <f>IFERROR(Table1[[#This Row],[Std Nom]]+(_xlfn.XLOOKUP(Table1[[#This Row],[Manufacturer]]&amp;" "&amp;Table1[[#This Row],[Model]],Table13[MFR &amp; MDL],Table13[Tolerance % CW ],"")/100*Table1[[#This Row],[Std Nom]]),"")</f>
        <v/>
      </c>
      <c r="Q1236" s="1" t="e">
        <f>Table1[[#This Row],[High Tol]]-Table1[[#This Row],[Low Tol]]</f>
        <v>#VALUE!</v>
      </c>
      <c r="R1236" s="1">
        <f>2*Table1[[#This Row],[Std Error]]</f>
        <v>0</v>
      </c>
      <c r="S1236" s="1" t="str">
        <f>IF(Table1[[#This Row],[High Tol]]="","N/A",IFERROR(ABS(Table1[[#This Row],[Tol Span]]/Table1[[#This Row],[Error Span]]),"N/A"))</f>
        <v>N/A</v>
      </c>
      <c r="T1236" s="1" t="str">
        <f>IF(OR(Table1[[#This Row],[Low Tol]]="",Table1[[#This Row],[High Tol]]=""),"Needs Analysis",IF(Table1[[#This Row],[Ratio]]&gt;=4,"Not Significant",IF(Table1[[#This Row],[Ratio]]&gt;=2,"Semi-Significant","Significant")))</f>
        <v>Needs Analysis</v>
      </c>
      <c r="W1236" s="1">
        <f>IF(Table1[[#This Row],[Cal Type]]&lt;&gt;"ACCREDITED 17025 WITH UNCERTAINTIES",0,"")</f>
        <v>0</v>
      </c>
      <c r="X1236" s="1" t="str">
        <f>IF(Table1[[#This Row],[DUT Read]]="","N/A",Table1[[#This Row],[Std Error]]+Table1[[#This Row],[DUT Read]]+Table1[[#This Row],[DUT Ucty]])</f>
        <v>N/A</v>
      </c>
      <c r="Y1236" s="1" t="str">
        <f>IF(Table1[[#This Row],[Std Read]]="","N/A",Table1[[#This Row],[Std Read]]+Table1[[#This Row],[Std Ucty]])</f>
        <v>N/A</v>
      </c>
      <c r="Z12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6" s="1" t="str">
        <f>IF(Table1[[#This Row],[Spec Type]]="","N/A",Table1[[#This Row],[Spec Type]])</f>
        <v>±</v>
      </c>
      <c r="AC1236" s="1" t="str">
        <f>IF(Table1[[#This Row],[Spec Type2]]="N/A","N/A",IF(AND(Table1[[#This Row],[DUT Adj Read]]&gt;=Table1[[#This Row],[Low Tol]],Table1[[#This Row],[DUT Adj Read]]&lt;=Table1[[#This Row],[High Tol]]),"Pass","Fail"))</f>
        <v>Fail</v>
      </c>
      <c r="AD1236" s="1" t="str">
        <f>IF(AND(Table1[[#This Row],[Spec Type2]]="N/A",Table1[[#This Row],[DUT Adj Read]]="N/A",Table1[[#This Row],[Std Adj Read]]="N/A"),"N/A",IF(Table1[[#This Row],[DUT Adj Read]]="N/A",IF(Table1[[#This Row],[Std Adj Read]]&gt;Table1[[#This Row],[Low Tol]],"Pass","Fail"),IF(Table1[[#This Row],[DUT Adj Read]]&gt;Table1[[#This Row],[Low Tol]],"Pass","Fail")))</f>
        <v>Pass</v>
      </c>
      <c r="AE1236" s="1" t="str">
        <f>IF(AND(Table1[[#This Row],[Spec Type2]]="N/A",Table1[[#This Row],[DUT Adj Read]]="N/A",Table1[[#This Row],[Std Adj Read]]="N/A"),"N/A",IF(Table1[[#This Row],[DUT Adj Read]]="N/A",IF(Table1[[#This Row],[Std Adj Read]]&lt;Table1[[#This Row],[High Tol]],"Pass","Fail"),IF(Table1[[#This Row],[DUT Adj Read]]&lt;Table1[[#This Row],[High Tol]],"Pass","Fail")))</f>
        <v>Fail</v>
      </c>
      <c r="AF1236" s="1" t="str">
        <f>IF(AND(Table1[[#This Row],[Spec Type2]]="N/A",Table1[[#This Row],[DUT Adj Read]]="N/A",Table1[[#This Row],[Std Adj Read]]="N/A"),"N/A",IF(Table1[[#This Row],[DUT Adj Read]]="N/A",IF(Table1[[#This Row],[Std Adj Read]]&gt;=Table1[[#This Row],[Low Tol]],"Pass","Fail"),IF(Table1[[#This Row],[DUT Adj Read]]&gt;=Table1[[#This Row],[Low Tol]],"Pass","Fail")))</f>
        <v>Pass</v>
      </c>
      <c r="AG1236" s="1" t="str">
        <f>IF(AND(Table1[[#This Row],[Spec Type2]]="N/A",Table1[[#This Row],[DUT Adj Read]]="N/A",Table1[[#This Row],[Std Adj Read]]="N/A"),"N/A",IF(Table1[[#This Row],[DUT Adj Read]]="N/A",IF(Table1[[#This Row],[Std Adj Read]]&lt;=Table1[[#This Row],[High Tol]],"Pass","Fail"),IF(Table1[[#This Row],[DUT Adj Read]]&lt;=Table1[[#This Row],[High Tol]],"Pass","Fail")))</f>
        <v>Fail</v>
      </c>
      <c r="AH12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6" s="1" t="b">
        <v>0</v>
      </c>
      <c r="AN1236" s="1" t="b">
        <v>0</v>
      </c>
      <c r="AO1236" s="1" t="b">
        <v>0</v>
      </c>
    </row>
    <row r="1237" spans="1:41" x14ac:dyDescent="0.25">
      <c r="A1237" s="10"/>
      <c r="B1237" s="10"/>
      <c r="C1237" s="10"/>
      <c r="D1237" s="10"/>
      <c r="E1237" s="10"/>
      <c r="F1237" s="10"/>
      <c r="G1237" s="10"/>
      <c r="H1237" s="10"/>
      <c r="I1237" s="1" t="str">
        <f t="shared" si="57"/>
        <v/>
      </c>
      <c r="J1237" s="1" t="s">
        <v>35</v>
      </c>
      <c r="K1237" s="1" t="str">
        <f t="shared" si="58"/>
        <v/>
      </c>
      <c r="L1237" s="1" t="str">
        <f t="shared" si="59"/>
        <v/>
      </c>
      <c r="M1237" s="1">
        <f>IF(OR(Table1[[#This Row],[Std Nom]]="",Table1[[#This Row],[Std Read]]=""),0,Table1[[#This Row],[Std Nom]]-Table1[[#This Row],[Std Read]])</f>
        <v>0</v>
      </c>
      <c r="N1237" s="1">
        <f>IF(Calculations!$F$5="ACCREDITED 17025 WITH UNCERTAINTIES",$N$10,0)</f>
        <v>0</v>
      </c>
      <c r="O1237" s="1" t="str">
        <f>IFERROR(Table1[[#This Row],[Std Nom]]-(_xlfn.XLOOKUP(Table1[[#This Row],[Manufacturer]]&amp;" "&amp;Table1[[#This Row],[Model]],Table13[MFR &amp; MDL],Table13[Tolerance % CW ],"")/100*Table1[[#This Row],[Std Nom]]),"")</f>
        <v/>
      </c>
      <c r="P1237" s="1" t="str">
        <f>IFERROR(Table1[[#This Row],[Std Nom]]+(_xlfn.XLOOKUP(Table1[[#This Row],[Manufacturer]]&amp;" "&amp;Table1[[#This Row],[Model]],Table13[MFR &amp; MDL],Table13[Tolerance % CW ],"")/100*Table1[[#This Row],[Std Nom]]),"")</f>
        <v/>
      </c>
      <c r="Q1237" s="1" t="e">
        <f>Table1[[#This Row],[High Tol]]-Table1[[#This Row],[Low Tol]]</f>
        <v>#VALUE!</v>
      </c>
      <c r="R1237" s="1">
        <f>2*Table1[[#This Row],[Std Error]]</f>
        <v>0</v>
      </c>
      <c r="S1237" s="1" t="str">
        <f>IF(Table1[[#This Row],[High Tol]]="","N/A",IFERROR(ABS(Table1[[#This Row],[Tol Span]]/Table1[[#This Row],[Error Span]]),"N/A"))</f>
        <v>N/A</v>
      </c>
      <c r="T1237" s="1" t="str">
        <f>IF(OR(Table1[[#This Row],[Low Tol]]="",Table1[[#This Row],[High Tol]]=""),"Needs Analysis",IF(Table1[[#This Row],[Ratio]]&gt;=4,"Not Significant",IF(Table1[[#This Row],[Ratio]]&gt;=2,"Semi-Significant","Significant")))</f>
        <v>Needs Analysis</v>
      </c>
      <c r="W1237" s="1">
        <f>IF(Table1[[#This Row],[Cal Type]]&lt;&gt;"ACCREDITED 17025 WITH UNCERTAINTIES",0,"")</f>
        <v>0</v>
      </c>
      <c r="X1237" s="1" t="str">
        <f>IF(Table1[[#This Row],[DUT Read]]="","N/A",Table1[[#This Row],[Std Error]]+Table1[[#This Row],[DUT Read]]+Table1[[#This Row],[DUT Ucty]])</f>
        <v>N/A</v>
      </c>
      <c r="Y1237" s="1" t="str">
        <f>IF(Table1[[#This Row],[Std Read]]="","N/A",Table1[[#This Row],[Std Read]]+Table1[[#This Row],[Std Ucty]])</f>
        <v>N/A</v>
      </c>
      <c r="Z12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7" s="1" t="str">
        <f>IF(Table1[[#This Row],[Spec Type]]="","N/A",Table1[[#This Row],[Spec Type]])</f>
        <v>±</v>
      </c>
      <c r="AC1237" s="1" t="str">
        <f>IF(Table1[[#This Row],[Spec Type2]]="N/A","N/A",IF(AND(Table1[[#This Row],[DUT Adj Read]]&gt;=Table1[[#This Row],[Low Tol]],Table1[[#This Row],[DUT Adj Read]]&lt;=Table1[[#This Row],[High Tol]]),"Pass","Fail"))</f>
        <v>Fail</v>
      </c>
      <c r="AD1237" s="1" t="str">
        <f>IF(AND(Table1[[#This Row],[Spec Type2]]="N/A",Table1[[#This Row],[DUT Adj Read]]="N/A",Table1[[#This Row],[Std Adj Read]]="N/A"),"N/A",IF(Table1[[#This Row],[DUT Adj Read]]="N/A",IF(Table1[[#This Row],[Std Adj Read]]&gt;Table1[[#This Row],[Low Tol]],"Pass","Fail"),IF(Table1[[#This Row],[DUT Adj Read]]&gt;Table1[[#This Row],[Low Tol]],"Pass","Fail")))</f>
        <v>Pass</v>
      </c>
      <c r="AE1237" s="1" t="str">
        <f>IF(AND(Table1[[#This Row],[Spec Type2]]="N/A",Table1[[#This Row],[DUT Adj Read]]="N/A",Table1[[#This Row],[Std Adj Read]]="N/A"),"N/A",IF(Table1[[#This Row],[DUT Adj Read]]="N/A",IF(Table1[[#This Row],[Std Adj Read]]&lt;Table1[[#This Row],[High Tol]],"Pass","Fail"),IF(Table1[[#This Row],[DUT Adj Read]]&lt;Table1[[#This Row],[High Tol]],"Pass","Fail")))</f>
        <v>Fail</v>
      </c>
      <c r="AF1237" s="1" t="str">
        <f>IF(AND(Table1[[#This Row],[Spec Type2]]="N/A",Table1[[#This Row],[DUT Adj Read]]="N/A",Table1[[#This Row],[Std Adj Read]]="N/A"),"N/A",IF(Table1[[#This Row],[DUT Adj Read]]="N/A",IF(Table1[[#This Row],[Std Adj Read]]&gt;=Table1[[#This Row],[Low Tol]],"Pass","Fail"),IF(Table1[[#This Row],[DUT Adj Read]]&gt;=Table1[[#This Row],[Low Tol]],"Pass","Fail")))</f>
        <v>Pass</v>
      </c>
      <c r="AG1237" s="1" t="str">
        <f>IF(AND(Table1[[#This Row],[Spec Type2]]="N/A",Table1[[#This Row],[DUT Adj Read]]="N/A",Table1[[#This Row],[Std Adj Read]]="N/A"),"N/A",IF(Table1[[#This Row],[DUT Adj Read]]="N/A",IF(Table1[[#This Row],[Std Adj Read]]&lt;=Table1[[#This Row],[High Tol]],"Pass","Fail"),IF(Table1[[#This Row],[DUT Adj Read]]&lt;=Table1[[#This Row],[High Tol]],"Pass","Fail")))</f>
        <v>Fail</v>
      </c>
      <c r="AH12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7" s="1" t="b">
        <v>0</v>
      </c>
      <c r="AN1237" s="1" t="b">
        <v>0</v>
      </c>
      <c r="AO1237" s="1" t="b">
        <v>0</v>
      </c>
    </row>
    <row r="1238" spans="1:41" x14ac:dyDescent="0.25">
      <c r="A1238" s="10"/>
      <c r="B1238" s="10"/>
      <c r="C1238" s="10"/>
      <c r="D1238" s="10"/>
      <c r="E1238" s="10"/>
      <c r="F1238" s="10"/>
      <c r="G1238" s="10"/>
      <c r="H1238" s="10"/>
      <c r="I1238" s="1" t="str">
        <f t="shared" si="57"/>
        <v/>
      </c>
      <c r="J1238" s="1" t="s">
        <v>35</v>
      </c>
      <c r="K1238" s="1" t="str">
        <f t="shared" si="58"/>
        <v/>
      </c>
      <c r="L1238" s="1" t="str">
        <f t="shared" si="59"/>
        <v/>
      </c>
      <c r="M1238" s="1">
        <f>IF(OR(Table1[[#This Row],[Std Nom]]="",Table1[[#This Row],[Std Read]]=""),0,Table1[[#This Row],[Std Nom]]-Table1[[#This Row],[Std Read]])</f>
        <v>0</v>
      </c>
      <c r="N1238" s="1">
        <f>IF(Calculations!$F$5="ACCREDITED 17025 WITH UNCERTAINTIES",$N$10,0)</f>
        <v>0</v>
      </c>
      <c r="O1238" s="1" t="str">
        <f>IFERROR(Table1[[#This Row],[Std Nom]]-(_xlfn.XLOOKUP(Table1[[#This Row],[Manufacturer]]&amp;" "&amp;Table1[[#This Row],[Model]],Table13[MFR &amp; MDL],Table13[Tolerance % CW ],"")/100*Table1[[#This Row],[Std Nom]]),"")</f>
        <v/>
      </c>
      <c r="P1238" s="1" t="str">
        <f>IFERROR(Table1[[#This Row],[Std Nom]]+(_xlfn.XLOOKUP(Table1[[#This Row],[Manufacturer]]&amp;" "&amp;Table1[[#This Row],[Model]],Table13[MFR &amp; MDL],Table13[Tolerance % CW ],"")/100*Table1[[#This Row],[Std Nom]]),"")</f>
        <v/>
      </c>
      <c r="Q1238" s="1" t="e">
        <f>Table1[[#This Row],[High Tol]]-Table1[[#This Row],[Low Tol]]</f>
        <v>#VALUE!</v>
      </c>
      <c r="R1238" s="1">
        <f>2*Table1[[#This Row],[Std Error]]</f>
        <v>0</v>
      </c>
      <c r="S1238" s="1" t="str">
        <f>IF(Table1[[#This Row],[High Tol]]="","N/A",IFERROR(ABS(Table1[[#This Row],[Tol Span]]/Table1[[#This Row],[Error Span]]),"N/A"))</f>
        <v>N/A</v>
      </c>
      <c r="T1238" s="1" t="str">
        <f>IF(OR(Table1[[#This Row],[Low Tol]]="",Table1[[#This Row],[High Tol]]=""),"Needs Analysis",IF(Table1[[#This Row],[Ratio]]&gt;=4,"Not Significant",IF(Table1[[#This Row],[Ratio]]&gt;=2,"Semi-Significant","Significant")))</f>
        <v>Needs Analysis</v>
      </c>
      <c r="W1238" s="1">
        <f>IF(Table1[[#This Row],[Cal Type]]&lt;&gt;"ACCREDITED 17025 WITH UNCERTAINTIES",0,"")</f>
        <v>0</v>
      </c>
      <c r="X1238" s="1" t="str">
        <f>IF(Table1[[#This Row],[DUT Read]]="","N/A",Table1[[#This Row],[Std Error]]+Table1[[#This Row],[DUT Read]]+Table1[[#This Row],[DUT Ucty]])</f>
        <v>N/A</v>
      </c>
      <c r="Y1238" s="1" t="str">
        <f>IF(Table1[[#This Row],[Std Read]]="","N/A",Table1[[#This Row],[Std Read]]+Table1[[#This Row],[Std Ucty]])</f>
        <v>N/A</v>
      </c>
      <c r="Z12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8" s="1" t="str">
        <f>IF(Table1[[#This Row],[Spec Type]]="","N/A",Table1[[#This Row],[Spec Type]])</f>
        <v>±</v>
      </c>
      <c r="AC1238" s="1" t="str">
        <f>IF(Table1[[#This Row],[Spec Type2]]="N/A","N/A",IF(AND(Table1[[#This Row],[DUT Adj Read]]&gt;=Table1[[#This Row],[Low Tol]],Table1[[#This Row],[DUT Adj Read]]&lt;=Table1[[#This Row],[High Tol]]),"Pass","Fail"))</f>
        <v>Fail</v>
      </c>
      <c r="AD1238" s="1" t="str">
        <f>IF(AND(Table1[[#This Row],[Spec Type2]]="N/A",Table1[[#This Row],[DUT Adj Read]]="N/A",Table1[[#This Row],[Std Adj Read]]="N/A"),"N/A",IF(Table1[[#This Row],[DUT Adj Read]]="N/A",IF(Table1[[#This Row],[Std Adj Read]]&gt;Table1[[#This Row],[Low Tol]],"Pass","Fail"),IF(Table1[[#This Row],[DUT Adj Read]]&gt;Table1[[#This Row],[Low Tol]],"Pass","Fail")))</f>
        <v>Pass</v>
      </c>
      <c r="AE1238" s="1" t="str">
        <f>IF(AND(Table1[[#This Row],[Spec Type2]]="N/A",Table1[[#This Row],[DUT Adj Read]]="N/A",Table1[[#This Row],[Std Adj Read]]="N/A"),"N/A",IF(Table1[[#This Row],[DUT Adj Read]]="N/A",IF(Table1[[#This Row],[Std Adj Read]]&lt;Table1[[#This Row],[High Tol]],"Pass","Fail"),IF(Table1[[#This Row],[DUT Adj Read]]&lt;Table1[[#This Row],[High Tol]],"Pass","Fail")))</f>
        <v>Fail</v>
      </c>
      <c r="AF1238" s="1" t="str">
        <f>IF(AND(Table1[[#This Row],[Spec Type2]]="N/A",Table1[[#This Row],[DUT Adj Read]]="N/A",Table1[[#This Row],[Std Adj Read]]="N/A"),"N/A",IF(Table1[[#This Row],[DUT Adj Read]]="N/A",IF(Table1[[#This Row],[Std Adj Read]]&gt;=Table1[[#This Row],[Low Tol]],"Pass","Fail"),IF(Table1[[#This Row],[DUT Adj Read]]&gt;=Table1[[#This Row],[Low Tol]],"Pass","Fail")))</f>
        <v>Pass</v>
      </c>
      <c r="AG1238" s="1" t="str">
        <f>IF(AND(Table1[[#This Row],[Spec Type2]]="N/A",Table1[[#This Row],[DUT Adj Read]]="N/A",Table1[[#This Row],[Std Adj Read]]="N/A"),"N/A",IF(Table1[[#This Row],[DUT Adj Read]]="N/A",IF(Table1[[#This Row],[Std Adj Read]]&lt;=Table1[[#This Row],[High Tol]],"Pass","Fail"),IF(Table1[[#This Row],[DUT Adj Read]]&lt;=Table1[[#This Row],[High Tol]],"Pass","Fail")))</f>
        <v>Fail</v>
      </c>
      <c r="AH12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8" s="1" t="b">
        <v>0</v>
      </c>
      <c r="AN1238" s="1" t="b">
        <v>0</v>
      </c>
      <c r="AO1238" s="1" t="b">
        <v>0</v>
      </c>
    </row>
    <row r="1239" spans="1:41" x14ac:dyDescent="0.25">
      <c r="A1239" s="10"/>
      <c r="B1239" s="10"/>
      <c r="C1239" s="10"/>
      <c r="D1239" s="10"/>
      <c r="E1239" s="10"/>
      <c r="F1239" s="10"/>
      <c r="G1239" s="10"/>
      <c r="H1239" s="10"/>
      <c r="I1239" s="1" t="str">
        <f t="shared" si="57"/>
        <v/>
      </c>
      <c r="J1239" s="1" t="s">
        <v>35</v>
      </c>
      <c r="K1239" s="1" t="str">
        <f t="shared" si="58"/>
        <v/>
      </c>
      <c r="L1239" s="1" t="str">
        <f t="shared" si="59"/>
        <v/>
      </c>
      <c r="M1239" s="1">
        <f>IF(OR(Table1[[#This Row],[Std Nom]]="",Table1[[#This Row],[Std Read]]=""),0,Table1[[#This Row],[Std Nom]]-Table1[[#This Row],[Std Read]])</f>
        <v>0</v>
      </c>
      <c r="N1239" s="1">
        <f>IF(Calculations!$F$5="ACCREDITED 17025 WITH UNCERTAINTIES",$N$10,0)</f>
        <v>0</v>
      </c>
      <c r="O1239" s="1" t="str">
        <f>IFERROR(Table1[[#This Row],[Std Nom]]-(_xlfn.XLOOKUP(Table1[[#This Row],[Manufacturer]]&amp;" "&amp;Table1[[#This Row],[Model]],Table13[MFR &amp; MDL],Table13[Tolerance % CW ],"")/100*Table1[[#This Row],[Std Nom]]),"")</f>
        <v/>
      </c>
      <c r="P1239" s="1" t="str">
        <f>IFERROR(Table1[[#This Row],[Std Nom]]+(_xlfn.XLOOKUP(Table1[[#This Row],[Manufacturer]]&amp;" "&amp;Table1[[#This Row],[Model]],Table13[MFR &amp; MDL],Table13[Tolerance % CW ],"")/100*Table1[[#This Row],[Std Nom]]),"")</f>
        <v/>
      </c>
      <c r="Q1239" s="1" t="e">
        <f>Table1[[#This Row],[High Tol]]-Table1[[#This Row],[Low Tol]]</f>
        <v>#VALUE!</v>
      </c>
      <c r="R1239" s="1">
        <f>2*Table1[[#This Row],[Std Error]]</f>
        <v>0</v>
      </c>
      <c r="S1239" s="1" t="str">
        <f>IF(Table1[[#This Row],[High Tol]]="","N/A",IFERROR(ABS(Table1[[#This Row],[Tol Span]]/Table1[[#This Row],[Error Span]]),"N/A"))</f>
        <v>N/A</v>
      </c>
      <c r="T1239" s="1" t="str">
        <f>IF(OR(Table1[[#This Row],[Low Tol]]="",Table1[[#This Row],[High Tol]]=""),"Needs Analysis",IF(Table1[[#This Row],[Ratio]]&gt;=4,"Not Significant",IF(Table1[[#This Row],[Ratio]]&gt;=2,"Semi-Significant","Significant")))</f>
        <v>Needs Analysis</v>
      </c>
      <c r="W1239" s="1">
        <f>IF(Table1[[#This Row],[Cal Type]]&lt;&gt;"ACCREDITED 17025 WITH UNCERTAINTIES",0,"")</f>
        <v>0</v>
      </c>
      <c r="X1239" s="1" t="str">
        <f>IF(Table1[[#This Row],[DUT Read]]="","N/A",Table1[[#This Row],[Std Error]]+Table1[[#This Row],[DUT Read]]+Table1[[#This Row],[DUT Ucty]])</f>
        <v>N/A</v>
      </c>
      <c r="Y1239" s="1" t="str">
        <f>IF(Table1[[#This Row],[Std Read]]="","N/A",Table1[[#This Row],[Std Read]]+Table1[[#This Row],[Std Ucty]])</f>
        <v>N/A</v>
      </c>
      <c r="Z12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9" s="1" t="str">
        <f>IF(Table1[[#This Row],[Spec Type]]="","N/A",Table1[[#This Row],[Spec Type]])</f>
        <v>±</v>
      </c>
      <c r="AC1239" s="1" t="str">
        <f>IF(Table1[[#This Row],[Spec Type2]]="N/A","N/A",IF(AND(Table1[[#This Row],[DUT Adj Read]]&gt;=Table1[[#This Row],[Low Tol]],Table1[[#This Row],[DUT Adj Read]]&lt;=Table1[[#This Row],[High Tol]]),"Pass","Fail"))</f>
        <v>Fail</v>
      </c>
      <c r="AD1239" s="1" t="str">
        <f>IF(AND(Table1[[#This Row],[Spec Type2]]="N/A",Table1[[#This Row],[DUT Adj Read]]="N/A",Table1[[#This Row],[Std Adj Read]]="N/A"),"N/A",IF(Table1[[#This Row],[DUT Adj Read]]="N/A",IF(Table1[[#This Row],[Std Adj Read]]&gt;Table1[[#This Row],[Low Tol]],"Pass","Fail"),IF(Table1[[#This Row],[DUT Adj Read]]&gt;Table1[[#This Row],[Low Tol]],"Pass","Fail")))</f>
        <v>Pass</v>
      </c>
      <c r="AE1239" s="1" t="str">
        <f>IF(AND(Table1[[#This Row],[Spec Type2]]="N/A",Table1[[#This Row],[DUT Adj Read]]="N/A",Table1[[#This Row],[Std Adj Read]]="N/A"),"N/A",IF(Table1[[#This Row],[DUT Adj Read]]="N/A",IF(Table1[[#This Row],[Std Adj Read]]&lt;Table1[[#This Row],[High Tol]],"Pass","Fail"),IF(Table1[[#This Row],[DUT Adj Read]]&lt;Table1[[#This Row],[High Tol]],"Pass","Fail")))</f>
        <v>Fail</v>
      </c>
      <c r="AF1239" s="1" t="str">
        <f>IF(AND(Table1[[#This Row],[Spec Type2]]="N/A",Table1[[#This Row],[DUT Adj Read]]="N/A",Table1[[#This Row],[Std Adj Read]]="N/A"),"N/A",IF(Table1[[#This Row],[DUT Adj Read]]="N/A",IF(Table1[[#This Row],[Std Adj Read]]&gt;=Table1[[#This Row],[Low Tol]],"Pass","Fail"),IF(Table1[[#This Row],[DUT Adj Read]]&gt;=Table1[[#This Row],[Low Tol]],"Pass","Fail")))</f>
        <v>Pass</v>
      </c>
      <c r="AG1239" s="1" t="str">
        <f>IF(AND(Table1[[#This Row],[Spec Type2]]="N/A",Table1[[#This Row],[DUT Adj Read]]="N/A",Table1[[#This Row],[Std Adj Read]]="N/A"),"N/A",IF(Table1[[#This Row],[DUT Adj Read]]="N/A",IF(Table1[[#This Row],[Std Adj Read]]&lt;=Table1[[#This Row],[High Tol]],"Pass","Fail"),IF(Table1[[#This Row],[DUT Adj Read]]&lt;=Table1[[#This Row],[High Tol]],"Pass","Fail")))</f>
        <v>Fail</v>
      </c>
      <c r="AH12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9" s="1" t="b">
        <v>0</v>
      </c>
      <c r="AN1239" s="1" t="b">
        <v>0</v>
      </c>
      <c r="AO1239" s="1" t="b">
        <v>0</v>
      </c>
    </row>
    <row r="1240" spans="1:41" x14ac:dyDescent="0.25">
      <c r="A1240" s="10"/>
      <c r="B1240" s="10"/>
      <c r="C1240" s="10"/>
      <c r="D1240" s="10"/>
      <c r="E1240" s="10"/>
      <c r="F1240" s="10"/>
      <c r="G1240" s="10"/>
      <c r="H1240" s="10"/>
      <c r="I1240" s="1" t="str">
        <f t="shared" si="57"/>
        <v/>
      </c>
      <c r="J1240" s="1" t="s">
        <v>35</v>
      </c>
      <c r="K1240" s="1" t="str">
        <f t="shared" si="58"/>
        <v/>
      </c>
      <c r="L1240" s="1" t="str">
        <f t="shared" si="59"/>
        <v/>
      </c>
      <c r="M1240" s="1">
        <f>IF(OR(Table1[[#This Row],[Std Nom]]="",Table1[[#This Row],[Std Read]]=""),0,Table1[[#This Row],[Std Nom]]-Table1[[#This Row],[Std Read]])</f>
        <v>0</v>
      </c>
      <c r="N1240" s="1">
        <f>IF(Calculations!$F$5="ACCREDITED 17025 WITH UNCERTAINTIES",$N$10,0)</f>
        <v>0</v>
      </c>
      <c r="O1240" s="1" t="str">
        <f>IFERROR(Table1[[#This Row],[Std Nom]]-(_xlfn.XLOOKUP(Table1[[#This Row],[Manufacturer]]&amp;" "&amp;Table1[[#This Row],[Model]],Table13[MFR &amp; MDL],Table13[Tolerance % CW ],"")/100*Table1[[#This Row],[Std Nom]]),"")</f>
        <v/>
      </c>
      <c r="P1240" s="1" t="str">
        <f>IFERROR(Table1[[#This Row],[Std Nom]]+(_xlfn.XLOOKUP(Table1[[#This Row],[Manufacturer]]&amp;" "&amp;Table1[[#This Row],[Model]],Table13[MFR &amp; MDL],Table13[Tolerance % CW ],"")/100*Table1[[#This Row],[Std Nom]]),"")</f>
        <v/>
      </c>
      <c r="Q1240" s="1" t="e">
        <f>Table1[[#This Row],[High Tol]]-Table1[[#This Row],[Low Tol]]</f>
        <v>#VALUE!</v>
      </c>
      <c r="R1240" s="1">
        <f>2*Table1[[#This Row],[Std Error]]</f>
        <v>0</v>
      </c>
      <c r="S1240" s="1" t="str">
        <f>IF(Table1[[#This Row],[High Tol]]="","N/A",IFERROR(ABS(Table1[[#This Row],[Tol Span]]/Table1[[#This Row],[Error Span]]),"N/A"))</f>
        <v>N/A</v>
      </c>
      <c r="T1240" s="1" t="str">
        <f>IF(OR(Table1[[#This Row],[Low Tol]]="",Table1[[#This Row],[High Tol]]=""),"Needs Analysis",IF(Table1[[#This Row],[Ratio]]&gt;=4,"Not Significant",IF(Table1[[#This Row],[Ratio]]&gt;=2,"Semi-Significant","Significant")))</f>
        <v>Needs Analysis</v>
      </c>
      <c r="W1240" s="1">
        <f>IF(Table1[[#This Row],[Cal Type]]&lt;&gt;"ACCREDITED 17025 WITH UNCERTAINTIES",0,"")</f>
        <v>0</v>
      </c>
      <c r="X1240" s="1" t="str">
        <f>IF(Table1[[#This Row],[DUT Read]]="","N/A",Table1[[#This Row],[Std Error]]+Table1[[#This Row],[DUT Read]]+Table1[[#This Row],[DUT Ucty]])</f>
        <v>N/A</v>
      </c>
      <c r="Y1240" s="1" t="str">
        <f>IF(Table1[[#This Row],[Std Read]]="","N/A",Table1[[#This Row],[Std Read]]+Table1[[#This Row],[Std Ucty]])</f>
        <v>N/A</v>
      </c>
      <c r="Z12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0" s="1" t="str">
        <f>IF(Table1[[#This Row],[Spec Type]]="","N/A",Table1[[#This Row],[Spec Type]])</f>
        <v>±</v>
      </c>
      <c r="AC1240" s="1" t="str">
        <f>IF(Table1[[#This Row],[Spec Type2]]="N/A","N/A",IF(AND(Table1[[#This Row],[DUT Adj Read]]&gt;=Table1[[#This Row],[Low Tol]],Table1[[#This Row],[DUT Adj Read]]&lt;=Table1[[#This Row],[High Tol]]),"Pass","Fail"))</f>
        <v>Fail</v>
      </c>
      <c r="AD1240" s="1" t="str">
        <f>IF(AND(Table1[[#This Row],[Spec Type2]]="N/A",Table1[[#This Row],[DUT Adj Read]]="N/A",Table1[[#This Row],[Std Adj Read]]="N/A"),"N/A",IF(Table1[[#This Row],[DUT Adj Read]]="N/A",IF(Table1[[#This Row],[Std Adj Read]]&gt;Table1[[#This Row],[Low Tol]],"Pass","Fail"),IF(Table1[[#This Row],[DUT Adj Read]]&gt;Table1[[#This Row],[Low Tol]],"Pass","Fail")))</f>
        <v>Pass</v>
      </c>
      <c r="AE1240" s="1" t="str">
        <f>IF(AND(Table1[[#This Row],[Spec Type2]]="N/A",Table1[[#This Row],[DUT Adj Read]]="N/A",Table1[[#This Row],[Std Adj Read]]="N/A"),"N/A",IF(Table1[[#This Row],[DUT Adj Read]]="N/A",IF(Table1[[#This Row],[Std Adj Read]]&lt;Table1[[#This Row],[High Tol]],"Pass","Fail"),IF(Table1[[#This Row],[DUT Adj Read]]&lt;Table1[[#This Row],[High Tol]],"Pass","Fail")))</f>
        <v>Fail</v>
      </c>
      <c r="AF1240" s="1" t="str">
        <f>IF(AND(Table1[[#This Row],[Spec Type2]]="N/A",Table1[[#This Row],[DUT Adj Read]]="N/A",Table1[[#This Row],[Std Adj Read]]="N/A"),"N/A",IF(Table1[[#This Row],[DUT Adj Read]]="N/A",IF(Table1[[#This Row],[Std Adj Read]]&gt;=Table1[[#This Row],[Low Tol]],"Pass","Fail"),IF(Table1[[#This Row],[DUT Adj Read]]&gt;=Table1[[#This Row],[Low Tol]],"Pass","Fail")))</f>
        <v>Pass</v>
      </c>
      <c r="AG1240" s="1" t="str">
        <f>IF(AND(Table1[[#This Row],[Spec Type2]]="N/A",Table1[[#This Row],[DUT Adj Read]]="N/A",Table1[[#This Row],[Std Adj Read]]="N/A"),"N/A",IF(Table1[[#This Row],[DUT Adj Read]]="N/A",IF(Table1[[#This Row],[Std Adj Read]]&lt;=Table1[[#This Row],[High Tol]],"Pass","Fail"),IF(Table1[[#This Row],[DUT Adj Read]]&lt;=Table1[[#This Row],[High Tol]],"Pass","Fail")))</f>
        <v>Fail</v>
      </c>
      <c r="AH12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0" s="1" t="b">
        <v>0</v>
      </c>
      <c r="AN1240" s="1" t="b">
        <v>0</v>
      </c>
      <c r="AO1240" s="1" t="b">
        <v>0</v>
      </c>
    </row>
    <row r="1241" spans="1:41" x14ac:dyDescent="0.25">
      <c r="A1241" s="10"/>
      <c r="B1241" s="10"/>
      <c r="C1241" s="10"/>
      <c r="D1241" s="10"/>
      <c r="E1241" s="10"/>
      <c r="F1241" s="10"/>
      <c r="G1241" s="10"/>
      <c r="H1241" s="10"/>
      <c r="I1241" s="1" t="str">
        <f t="shared" si="57"/>
        <v/>
      </c>
      <c r="J1241" s="1" t="s">
        <v>35</v>
      </c>
      <c r="K1241" s="1" t="str">
        <f t="shared" si="58"/>
        <v/>
      </c>
      <c r="L1241" s="1" t="str">
        <f t="shared" si="59"/>
        <v/>
      </c>
      <c r="M1241" s="1">
        <f>IF(OR(Table1[[#This Row],[Std Nom]]="",Table1[[#This Row],[Std Read]]=""),0,Table1[[#This Row],[Std Nom]]-Table1[[#This Row],[Std Read]])</f>
        <v>0</v>
      </c>
      <c r="N1241" s="1">
        <f>IF(Calculations!$F$5="ACCREDITED 17025 WITH UNCERTAINTIES",$N$10,0)</f>
        <v>0</v>
      </c>
      <c r="O1241" s="1" t="str">
        <f>IFERROR(Table1[[#This Row],[Std Nom]]-(_xlfn.XLOOKUP(Table1[[#This Row],[Manufacturer]]&amp;" "&amp;Table1[[#This Row],[Model]],Table13[MFR &amp; MDL],Table13[Tolerance % CW ],"")/100*Table1[[#This Row],[Std Nom]]),"")</f>
        <v/>
      </c>
      <c r="P1241" s="1" t="str">
        <f>IFERROR(Table1[[#This Row],[Std Nom]]+(_xlfn.XLOOKUP(Table1[[#This Row],[Manufacturer]]&amp;" "&amp;Table1[[#This Row],[Model]],Table13[MFR &amp; MDL],Table13[Tolerance % CW ],"")/100*Table1[[#This Row],[Std Nom]]),"")</f>
        <v/>
      </c>
      <c r="Q1241" s="1" t="e">
        <f>Table1[[#This Row],[High Tol]]-Table1[[#This Row],[Low Tol]]</f>
        <v>#VALUE!</v>
      </c>
      <c r="R1241" s="1">
        <f>2*Table1[[#This Row],[Std Error]]</f>
        <v>0</v>
      </c>
      <c r="S1241" s="1" t="str">
        <f>IF(Table1[[#This Row],[High Tol]]="","N/A",IFERROR(ABS(Table1[[#This Row],[Tol Span]]/Table1[[#This Row],[Error Span]]),"N/A"))</f>
        <v>N/A</v>
      </c>
      <c r="T1241" s="1" t="str">
        <f>IF(OR(Table1[[#This Row],[Low Tol]]="",Table1[[#This Row],[High Tol]]=""),"Needs Analysis",IF(Table1[[#This Row],[Ratio]]&gt;=4,"Not Significant",IF(Table1[[#This Row],[Ratio]]&gt;=2,"Semi-Significant","Significant")))</f>
        <v>Needs Analysis</v>
      </c>
      <c r="W1241" s="1">
        <f>IF(Table1[[#This Row],[Cal Type]]&lt;&gt;"ACCREDITED 17025 WITH UNCERTAINTIES",0,"")</f>
        <v>0</v>
      </c>
      <c r="X1241" s="1" t="str">
        <f>IF(Table1[[#This Row],[DUT Read]]="","N/A",Table1[[#This Row],[Std Error]]+Table1[[#This Row],[DUT Read]]+Table1[[#This Row],[DUT Ucty]])</f>
        <v>N/A</v>
      </c>
      <c r="Y1241" s="1" t="str">
        <f>IF(Table1[[#This Row],[Std Read]]="","N/A",Table1[[#This Row],[Std Read]]+Table1[[#This Row],[Std Ucty]])</f>
        <v>N/A</v>
      </c>
      <c r="Z12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1" s="1" t="str">
        <f>IF(Table1[[#This Row],[Spec Type]]="","N/A",Table1[[#This Row],[Spec Type]])</f>
        <v>±</v>
      </c>
      <c r="AC1241" s="1" t="str">
        <f>IF(Table1[[#This Row],[Spec Type2]]="N/A","N/A",IF(AND(Table1[[#This Row],[DUT Adj Read]]&gt;=Table1[[#This Row],[Low Tol]],Table1[[#This Row],[DUT Adj Read]]&lt;=Table1[[#This Row],[High Tol]]),"Pass","Fail"))</f>
        <v>Fail</v>
      </c>
      <c r="AD1241" s="1" t="str">
        <f>IF(AND(Table1[[#This Row],[Spec Type2]]="N/A",Table1[[#This Row],[DUT Adj Read]]="N/A",Table1[[#This Row],[Std Adj Read]]="N/A"),"N/A",IF(Table1[[#This Row],[DUT Adj Read]]="N/A",IF(Table1[[#This Row],[Std Adj Read]]&gt;Table1[[#This Row],[Low Tol]],"Pass","Fail"),IF(Table1[[#This Row],[DUT Adj Read]]&gt;Table1[[#This Row],[Low Tol]],"Pass","Fail")))</f>
        <v>Pass</v>
      </c>
      <c r="AE1241" s="1" t="str">
        <f>IF(AND(Table1[[#This Row],[Spec Type2]]="N/A",Table1[[#This Row],[DUT Adj Read]]="N/A",Table1[[#This Row],[Std Adj Read]]="N/A"),"N/A",IF(Table1[[#This Row],[DUT Adj Read]]="N/A",IF(Table1[[#This Row],[Std Adj Read]]&lt;Table1[[#This Row],[High Tol]],"Pass","Fail"),IF(Table1[[#This Row],[DUT Adj Read]]&lt;Table1[[#This Row],[High Tol]],"Pass","Fail")))</f>
        <v>Fail</v>
      </c>
      <c r="AF1241" s="1" t="str">
        <f>IF(AND(Table1[[#This Row],[Spec Type2]]="N/A",Table1[[#This Row],[DUT Adj Read]]="N/A",Table1[[#This Row],[Std Adj Read]]="N/A"),"N/A",IF(Table1[[#This Row],[DUT Adj Read]]="N/A",IF(Table1[[#This Row],[Std Adj Read]]&gt;=Table1[[#This Row],[Low Tol]],"Pass","Fail"),IF(Table1[[#This Row],[DUT Adj Read]]&gt;=Table1[[#This Row],[Low Tol]],"Pass","Fail")))</f>
        <v>Pass</v>
      </c>
      <c r="AG1241" s="1" t="str">
        <f>IF(AND(Table1[[#This Row],[Spec Type2]]="N/A",Table1[[#This Row],[DUT Adj Read]]="N/A",Table1[[#This Row],[Std Adj Read]]="N/A"),"N/A",IF(Table1[[#This Row],[DUT Adj Read]]="N/A",IF(Table1[[#This Row],[Std Adj Read]]&lt;=Table1[[#This Row],[High Tol]],"Pass","Fail"),IF(Table1[[#This Row],[DUT Adj Read]]&lt;=Table1[[#This Row],[High Tol]],"Pass","Fail")))</f>
        <v>Fail</v>
      </c>
      <c r="AH12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1" s="1" t="b">
        <v>0</v>
      </c>
      <c r="AN1241" s="1" t="b">
        <v>0</v>
      </c>
      <c r="AO1241" s="1" t="b">
        <v>0</v>
      </c>
    </row>
    <row r="1242" spans="1:41" x14ac:dyDescent="0.25">
      <c r="A1242" s="10"/>
      <c r="B1242" s="10"/>
      <c r="C1242" s="10"/>
      <c r="D1242" s="10"/>
      <c r="E1242" s="10"/>
      <c r="F1242" s="10"/>
      <c r="G1242" s="10"/>
      <c r="H1242" s="10"/>
      <c r="I1242" s="1" t="str">
        <f t="shared" si="57"/>
        <v/>
      </c>
      <c r="J1242" s="1" t="s">
        <v>35</v>
      </c>
      <c r="K1242" s="1" t="str">
        <f t="shared" si="58"/>
        <v/>
      </c>
      <c r="L1242" s="1" t="str">
        <f t="shared" si="59"/>
        <v/>
      </c>
      <c r="M1242" s="1">
        <f>IF(OR(Table1[[#This Row],[Std Nom]]="",Table1[[#This Row],[Std Read]]=""),0,Table1[[#This Row],[Std Nom]]-Table1[[#This Row],[Std Read]])</f>
        <v>0</v>
      </c>
      <c r="N1242" s="1">
        <f>IF(Calculations!$F$5="ACCREDITED 17025 WITH UNCERTAINTIES",$N$10,0)</f>
        <v>0</v>
      </c>
      <c r="O1242" s="1" t="str">
        <f>IFERROR(Table1[[#This Row],[Std Nom]]-(_xlfn.XLOOKUP(Table1[[#This Row],[Manufacturer]]&amp;" "&amp;Table1[[#This Row],[Model]],Table13[MFR &amp; MDL],Table13[Tolerance % CW ],"")/100*Table1[[#This Row],[Std Nom]]),"")</f>
        <v/>
      </c>
      <c r="P1242" s="1" t="str">
        <f>IFERROR(Table1[[#This Row],[Std Nom]]+(_xlfn.XLOOKUP(Table1[[#This Row],[Manufacturer]]&amp;" "&amp;Table1[[#This Row],[Model]],Table13[MFR &amp; MDL],Table13[Tolerance % CW ],"")/100*Table1[[#This Row],[Std Nom]]),"")</f>
        <v/>
      </c>
      <c r="Q1242" s="1" t="e">
        <f>Table1[[#This Row],[High Tol]]-Table1[[#This Row],[Low Tol]]</f>
        <v>#VALUE!</v>
      </c>
      <c r="R1242" s="1">
        <f>2*Table1[[#This Row],[Std Error]]</f>
        <v>0</v>
      </c>
      <c r="S1242" s="1" t="str">
        <f>IF(Table1[[#This Row],[High Tol]]="","N/A",IFERROR(ABS(Table1[[#This Row],[Tol Span]]/Table1[[#This Row],[Error Span]]),"N/A"))</f>
        <v>N/A</v>
      </c>
      <c r="T1242" s="1" t="str">
        <f>IF(OR(Table1[[#This Row],[Low Tol]]="",Table1[[#This Row],[High Tol]]=""),"Needs Analysis",IF(Table1[[#This Row],[Ratio]]&gt;=4,"Not Significant",IF(Table1[[#This Row],[Ratio]]&gt;=2,"Semi-Significant","Significant")))</f>
        <v>Needs Analysis</v>
      </c>
      <c r="W1242" s="1">
        <f>IF(Table1[[#This Row],[Cal Type]]&lt;&gt;"ACCREDITED 17025 WITH UNCERTAINTIES",0,"")</f>
        <v>0</v>
      </c>
      <c r="X1242" s="1" t="str">
        <f>IF(Table1[[#This Row],[DUT Read]]="","N/A",Table1[[#This Row],[Std Error]]+Table1[[#This Row],[DUT Read]]+Table1[[#This Row],[DUT Ucty]])</f>
        <v>N/A</v>
      </c>
      <c r="Y1242" s="1" t="str">
        <f>IF(Table1[[#This Row],[Std Read]]="","N/A",Table1[[#This Row],[Std Read]]+Table1[[#This Row],[Std Ucty]])</f>
        <v>N/A</v>
      </c>
      <c r="Z12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2" s="1" t="str">
        <f>IF(Table1[[#This Row],[Spec Type]]="","N/A",Table1[[#This Row],[Spec Type]])</f>
        <v>±</v>
      </c>
      <c r="AC1242" s="1" t="str">
        <f>IF(Table1[[#This Row],[Spec Type2]]="N/A","N/A",IF(AND(Table1[[#This Row],[DUT Adj Read]]&gt;=Table1[[#This Row],[Low Tol]],Table1[[#This Row],[DUT Adj Read]]&lt;=Table1[[#This Row],[High Tol]]),"Pass","Fail"))</f>
        <v>Fail</v>
      </c>
      <c r="AD1242" s="1" t="str">
        <f>IF(AND(Table1[[#This Row],[Spec Type2]]="N/A",Table1[[#This Row],[DUT Adj Read]]="N/A",Table1[[#This Row],[Std Adj Read]]="N/A"),"N/A",IF(Table1[[#This Row],[DUT Adj Read]]="N/A",IF(Table1[[#This Row],[Std Adj Read]]&gt;Table1[[#This Row],[Low Tol]],"Pass","Fail"),IF(Table1[[#This Row],[DUT Adj Read]]&gt;Table1[[#This Row],[Low Tol]],"Pass","Fail")))</f>
        <v>Pass</v>
      </c>
      <c r="AE1242" s="1" t="str">
        <f>IF(AND(Table1[[#This Row],[Spec Type2]]="N/A",Table1[[#This Row],[DUT Adj Read]]="N/A",Table1[[#This Row],[Std Adj Read]]="N/A"),"N/A",IF(Table1[[#This Row],[DUT Adj Read]]="N/A",IF(Table1[[#This Row],[Std Adj Read]]&lt;Table1[[#This Row],[High Tol]],"Pass","Fail"),IF(Table1[[#This Row],[DUT Adj Read]]&lt;Table1[[#This Row],[High Tol]],"Pass","Fail")))</f>
        <v>Fail</v>
      </c>
      <c r="AF1242" s="1" t="str">
        <f>IF(AND(Table1[[#This Row],[Spec Type2]]="N/A",Table1[[#This Row],[DUT Adj Read]]="N/A",Table1[[#This Row],[Std Adj Read]]="N/A"),"N/A",IF(Table1[[#This Row],[DUT Adj Read]]="N/A",IF(Table1[[#This Row],[Std Adj Read]]&gt;=Table1[[#This Row],[Low Tol]],"Pass","Fail"),IF(Table1[[#This Row],[DUT Adj Read]]&gt;=Table1[[#This Row],[Low Tol]],"Pass","Fail")))</f>
        <v>Pass</v>
      </c>
      <c r="AG1242" s="1" t="str">
        <f>IF(AND(Table1[[#This Row],[Spec Type2]]="N/A",Table1[[#This Row],[DUT Adj Read]]="N/A",Table1[[#This Row],[Std Adj Read]]="N/A"),"N/A",IF(Table1[[#This Row],[DUT Adj Read]]="N/A",IF(Table1[[#This Row],[Std Adj Read]]&lt;=Table1[[#This Row],[High Tol]],"Pass","Fail"),IF(Table1[[#This Row],[DUT Adj Read]]&lt;=Table1[[#This Row],[High Tol]],"Pass","Fail")))</f>
        <v>Fail</v>
      </c>
      <c r="AH12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2" s="1" t="b">
        <v>0</v>
      </c>
      <c r="AN1242" s="1" t="b">
        <v>0</v>
      </c>
      <c r="AO1242" s="1" t="b">
        <v>0</v>
      </c>
    </row>
    <row r="1243" spans="1:41" x14ac:dyDescent="0.25">
      <c r="A1243" s="10"/>
      <c r="B1243" s="10"/>
      <c r="C1243" s="10"/>
      <c r="D1243" s="10"/>
      <c r="E1243" s="10"/>
      <c r="F1243" s="10"/>
      <c r="G1243" s="10"/>
      <c r="H1243" s="10"/>
      <c r="I1243" s="1" t="str">
        <f t="shared" si="57"/>
        <v/>
      </c>
      <c r="J1243" s="1" t="s">
        <v>35</v>
      </c>
      <c r="K1243" s="1" t="str">
        <f t="shared" si="58"/>
        <v/>
      </c>
      <c r="L1243" s="1" t="str">
        <f t="shared" si="59"/>
        <v/>
      </c>
      <c r="M1243" s="1">
        <f>IF(OR(Table1[[#This Row],[Std Nom]]="",Table1[[#This Row],[Std Read]]=""),0,Table1[[#This Row],[Std Nom]]-Table1[[#This Row],[Std Read]])</f>
        <v>0</v>
      </c>
      <c r="N1243" s="1">
        <f>IF(Calculations!$F$5="ACCREDITED 17025 WITH UNCERTAINTIES",$N$10,0)</f>
        <v>0</v>
      </c>
      <c r="O1243" s="1" t="str">
        <f>IFERROR(Table1[[#This Row],[Std Nom]]-(_xlfn.XLOOKUP(Table1[[#This Row],[Manufacturer]]&amp;" "&amp;Table1[[#This Row],[Model]],Table13[MFR &amp; MDL],Table13[Tolerance % CW ],"")/100*Table1[[#This Row],[Std Nom]]),"")</f>
        <v/>
      </c>
      <c r="P1243" s="1" t="str">
        <f>IFERROR(Table1[[#This Row],[Std Nom]]+(_xlfn.XLOOKUP(Table1[[#This Row],[Manufacturer]]&amp;" "&amp;Table1[[#This Row],[Model]],Table13[MFR &amp; MDL],Table13[Tolerance % CW ],"")/100*Table1[[#This Row],[Std Nom]]),"")</f>
        <v/>
      </c>
      <c r="Q1243" s="1" t="e">
        <f>Table1[[#This Row],[High Tol]]-Table1[[#This Row],[Low Tol]]</f>
        <v>#VALUE!</v>
      </c>
      <c r="R1243" s="1">
        <f>2*Table1[[#This Row],[Std Error]]</f>
        <v>0</v>
      </c>
      <c r="S1243" s="1" t="str">
        <f>IF(Table1[[#This Row],[High Tol]]="","N/A",IFERROR(ABS(Table1[[#This Row],[Tol Span]]/Table1[[#This Row],[Error Span]]),"N/A"))</f>
        <v>N/A</v>
      </c>
      <c r="T1243" s="1" t="str">
        <f>IF(OR(Table1[[#This Row],[Low Tol]]="",Table1[[#This Row],[High Tol]]=""),"Needs Analysis",IF(Table1[[#This Row],[Ratio]]&gt;=4,"Not Significant",IF(Table1[[#This Row],[Ratio]]&gt;=2,"Semi-Significant","Significant")))</f>
        <v>Needs Analysis</v>
      </c>
      <c r="W1243" s="1">
        <f>IF(Table1[[#This Row],[Cal Type]]&lt;&gt;"ACCREDITED 17025 WITH UNCERTAINTIES",0,"")</f>
        <v>0</v>
      </c>
      <c r="X1243" s="1" t="str">
        <f>IF(Table1[[#This Row],[DUT Read]]="","N/A",Table1[[#This Row],[Std Error]]+Table1[[#This Row],[DUT Read]]+Table1[[#This Row],[DUT Ucty]])</f>
        <v>N/A</v>
      </c>
      <c r="Y1243" s="1" t="str">
        <f>IF(Table1[[#This Row],[Std Read]]="","N/A",Table1[[#This Row],[Std Read]]+Table1[[#This Row],[Std Ucty]])</f>
        <v>N/A</v>
      </c>
      <c r="Z12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3" s="1" t="str">
        <f>IF(Table1[[#This Row],[Spec Type]]="","N/A",Table1[[#This Row],[Spec Type]])</f>
        <v>±</v>
      </c>
      <c r="AC1243" s="1" t="str">
        <f>IF(Table1[[#This Row],[Spec Type2]]="N/A","N/A",IF(AND(Table1[[#This Row],[DUT Adj Read]]&gt;=Table1[[#This Row],[Low Tol]],Table1[[#This Row],[DUT Adj Read]]&lt;=Table1[[#This Row],[High Tol]]),"Pass","Fail"))</f>
        <v>Fail</v>
      </c>
      <c r="AD1243" s="1" t="str">
        <f>IF(AND(Table1[[#This Row],[Spec Type2]]="N/A",Table1[[#This Row],[DUT Adj Read]]="N/A",Table1[[#This Row],[Std Adj Read]]="N/A"),"N/A",IF(Table1[[#This Row],[DUT Adj Read]]="N/A",IF(Table1[[#This Row],[Std Adj Read]]&gt;Table1[[#This Row],[Low Tol]],"Pass","Fail"),IF(Table1[[#This Row],[DUT Adj Read]]&gt;Table1[[#This Row],[Low Tol]],"Pass","Fail")))</f>
        <v>Pass</v>
      </c>
      <c r="AE1243" s="1" t="str">
        <f>IF(AND(Table1[[#This Row],[Spec Type2]]="N/A",Table1[[#This Row],[DUT Adj Read]]="N/A",Table1[[#This Row],[Std Adj Read]]="N/A"),"N/A",IF(Table1[[#This Row],[DUT Adj Read]]="N/A",IF(Table1[[#This Row],[Std Adj Read]]&lt;Table1[[#This Row],[High Tol]],"Pass","Fail"),IF(Table1[[#This Row],[DUT Adj Read]]&lt;Table1[[#This Row],[High Tol]],"Pass","Fail")))</f>
        <v>Fail</v>
      </c>
      <c r="AF1243" s="1" t="str">
        <f>IF(AND(Table1[[#This Row],[Spec Type2]]="N/A",Table1[[#This Row],[DUT Adj Read]]="N/A",Table1[[#This Row],[Std Adj Read]]="N/A"),"N/A",IF(Table1[[#This Row],[DUT Adj Read]]="N/A",IF(Table1[[#This Row],[Std Adj Read]]&gt;=Table1[[#This Row],[Low Tol]],"Pass","Fail"),IF(Table1[[#This Row],[DUT Adj Read]]&gt;=Table1[[#This Row],[Low Tol]],"Pass","Fail")))</f>
        <v>Pass</v>
      </c>
      <c r="AG1243" s="1" t="str">
        <f>IF(AND(Table1[[#This Row],[Spec Type2]]="N/A",Table1[[#This Row],[DUT Adj Read]]="N/A",Table1[[#This Row],[Std Adj Read]]="N/A"),"N/A",IF(Table1[[#This Row],[DUT Adj Read]]="N/A",IF(Table1[[#This Row],[Std Adj Read]]&lt;=Table1[[#This Row],[High Tol]],"Pass","Fail"),IF(Table1[[#This Row],[DUT Adj Read]]&lt;=Table1[[#This Row],[High Tol]],"Pass","Fail")))</f>
        <v>Fail</v>
      </c>
      <c r="AH12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3" s="1" t="b">
        <v>0</v>
      </c>
      <c r="AN1243" s="1" t="b">
        <v>0</v>
      </c>
      <c r="AO1243" s="1" t="b">
        <v>0</v>
      </c>
    </row>
    <row r="1244" spans="1:41" x14ac:dyDescent="0.25">
      <c r="A1244" s="10"/>
      <c r="B1244" s="10"/>
      <c r="C1244" s="10"/>
      <c r="D1244" s="10"/>
      <c r="E1244" s="10"/>
      <c r="F1244" s="10"/>
      <c r="G1244" s="10"/>
      <c r="H1244" s="10"/>
      <c r="I1244" s="1" t="str">
        <f t="shared" si="57"/>
        <v/>
      </c>
      <c r="J1244" s="1" t="s">
        <v>35</v>
      </c>
      <c r="K1244" s="1" t="str">
        <f t="shared" si="58"/>
        <v/>
      </c>
      <c r="L1244" s="1" t="str">
        <f t="shared" si="59"/>
        <v/>
      </c>
      <c r="M1244" s="1">
        <f>IF(OR(Table1[[#This Row],[Std Nom]]="",Table1[[#This Row],[Std Read]]=""),0,Table1[[#This Row],[Std Nom]]-Table1[[#This Row],[Std Read]])</f>
        <v>0</v>
      </c>
      <c r="N1244" s="1">
        <f>IF(Calculations!$F$5="ACCREDITED 17025 WITH UNCERTAINTIES",$N$10,0)</f>
        <v>0</v>
      </c>
      <c r="O1244" s="1" t="str">
        <f>IFERROR(Table1[[#This Row],[Std Nom]]-(_xlfn.XLOOKUP(Table1[[#This Row],[Manufacturer]]&amp;" "&amp;Table1[[#This Row],[Model]],Table13[MFR &amp; MDL],Table13[Tolerance % CW ],"")/100*Table1[[#This Row],[Std Nom]]),"")</f>
        <v/>
      </c>
      <c r="P1244" s="1" t="str">
        <f>IFERROR(Table1[[#This Row],[Std Nom]]+(_xlfn.XLOOKUP(Table1[[#This Row],[Manufacturer]]&amp;" "&amp;Table1[[#This Row],[Model]],Table13[MFR &amp; MDL],Table13[Tolerance % CW ],"")/100*Table1[[#This Row],[Std Nom]]),"")</f>
        <v/>
      </c>
      <c r="Q1244" s="1" t="e">
        <f>Table1[[#This Row],[High Tol]]-Table1[[#This Row],[Low Tol]]</f>
        <v>#VALUE!</v>
      </c>
      <c r="R1244" s="1">
        <f>2*Table1[[#This Row],[Std Error]]</f>
        <v>0</v>
      </c>
      <c r="S1244" s="1" t="str">
        <f>IF(Table1[[#This Row],[High Tol]]="","N/A",IFERROR(ABS(Table1[[#This Row],[Tol Span]]/Table1[[#This Row],[Error Span]]),"N/A"))</f>
        <v>N/A</v>
      </c>
      <c r="T1244" s="1" t="str">
        <f>IF(OR(Table1[[#This Row],[Low Tol]]="",Table1[[#This Row],[High Tol]]=""),"Needs Analysis",IF(Table1[[#This Row],[Ratio]]&gt;=4,"Not Significant",IF(Table1[[#This Row],[Ratio]]&gt;=2,"Semi-Significant","Significant")))</f>
        <v>Needs Analysis</v>
      </c>
      <c r="W1244" s="1">
        <f>IF(Table1[[#This Row],[Cal Type]]&lt;&gt;"ACCREDITED 17025 WITH UNCERTAINTIES",0,"")</f>
        <v>0</v>
      </c>
      <c r="X1244" s="1" t="str">
        <f>IF(Table1[[#This Row],[DUT Read]]="","N/A",Table1[[#This Row],[Std Error]]+Table1[[#This Row],[DUT Read]]+Table1[[#This Row],[DUT Ucty]])</f>
        <v>N/A</v>
      </c>
      <c r="Y1244" s="1" t="str">
        <f>IF(Table1[[#This Row],[Std Read]]="","N/A",Table1[[#This Row],[Std Read]]+Table1[[#This Row],[Std Ucty]])</f>
        <v>N/A</v>
      </c>
      <c r="Z12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4" s="1" t="str">
        <f>IF(Table1[[#This Row],[Spec Type]]="","N/A",Table1[[#This Row],[Spec Type]])</f>
        <v>±</v>
      </c>
      <c r="AC1244" s="1" t="str">
        <f>IF(Table1[[#This Row],[Spec Type2]]="N/A","N/A",IF(AND(Table1[[#This Row],[DUT Adj Read]]&gt;=Table1[[#This Row],[Low Tol]],Table1[[#This Row],[DUT Adj Read]]&lt;=Table1[[#This Row],[High Tol]]),"Pass","Fail"))</f>
        <v>Fail</v>
      </c>
      <c r="AD1244" s="1" t="str">
        <f>IF(AND(Table1[[#This Row],[Spec Type2]]="N/A",Table1[[#This Row],[DUT Adj Read]]="N/A",Table1[[#This Row],[Std Adj Read]]="N/A"),"N/A",IF(Table1[[#This Row],[DUT Adj Read]]="N/A",IF(Table1[[#This Row],[Std Adj Read]]&gt;Table1[[#This Row],[Low Tol]],"Pass","Fail"),IF(Table1[[#This Row],[DUT Adj Read]]&gt;Table1[[#This Row],[Low Tol]],"Pass","Fail")))</f>
        <v>Pass</v>
      </c>
      <c r="AE1244" s="1" t="str">
        <f>IF(AND(Table1[[#This Row],[Spec Type2]]="N/A",Table1[[#This Row],[DUT Adj Read]]="N/A",Table1[[#This Row],[Std Adj Read]]="N/A"),"N/A",IF(Table1[[#This Row],[DUT Adj Read]]="N/A",IF(Table1[[#This Row],[Std Adj Read]]&lt;Table1[[#This Row],[High Tol]],"Pass","Fail"),IF(Table1[[#This Row],[DUT Adj Read]]&lt;Table1[[#This Row],[High Tol]],"Pass","Fail")))</f>
        <v>Fail</v>
      </c>
      <c r="AF1244" s="1" t="str">
        <f>IF(AND(Table1[[#This Row],[Spec Type2]]="N/A",Table1[[#This Row],[DUT Adj Read]]="N/A",Table1[[#This Row],[Std Adj Read]]="N/A"),"N/A",IF(Table1[[#This Row],[DUT Adj Read]]="N/A",IF(Table1[[#This Row],[Std Adj Read]]&gt;=Table1[[#This Row],[Low Tol]],"Pass","Fail"),IF(Table1[[#This Row],[DUT Adj Read]]&gt;=Table1[[#This Row],[Low Tol]],"Pass","Fail")))</f>
        <v>Pass</v>
      </c>
      <c r="AG1244" s="1" t="str">
        <f>IF(AND(Table1[[#This Row],[Spec Type2]]="N/A",Table1[[#This Row],[DUT Adj Read]]="N/A",Table1[[#This Row],[Std Adj Read]]="N/A"),"N/A",IF(Table1[[#This Row],[DUT Adj Read]]="N/A",IF(Table1[[#This Row],[Std Adj Read]]&lt;=Table1[[#This Row],[High Tol]],"Pass","Fail"),IF(Table1[[#This Row],[DUT Adj Read]]&lt;=Table1[[#This Row],[High Tol]],"Pass","Fail")))</f>
        <v>Fail</v>
      </c>
      <c r="AH12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4" s="1" t="b">
        <v>0</v>
      </c>
      <c r="AN1244" s="1" t="b">
        <v>0</v>
      </c>
      <c r="AO1244" s="1" t="b">
        <v>0</v>
      </c>
    </row>
    <row r="1245" spans="1:41" x14ac:dyDescent="0.25">
      <c r="A1245" s="10"/>
      <c r="B1245" s="10"/>
      <c r="C1245" s="10"/>
      <c r="D1245" s="10"/>
      <c r="E1245" s="10"/>
      <c r="F1245" s="10"/>
      <c r="G1245" s="10"/>
      <c r="H1245" s="10"/>
      <c r="I1245" s="1" t="str">
        <f t="shared" si="57"/>
        <v/>
      </c>
      <c r="J1245" s="1" t="s">
        <v>35</v>
      </c>
      <c r="K1245" s="1" t="str">
        <f t="shared" si="58"/>
        <v/>
      </c>
      <c r="L1245" s="1" t="str">
        <f t="shared" si="59"/>
        <v/>
      </c>
      <c r="M1245" s="1">
        <f>IF(OR(Table1[[#This Row],[Std Nom]]="",Table1[[#This Row],[Std Read]]=""),0,Table1[[#This Row],[Std Nom]]-Table1[[#This Row],[Std Read]])</f>
        <v>0</v>
      </c>
      <c r="N1245" s="1">
        <f>IF(Calculations!$F$5="ACCREDITED 17025 WITH UNCERTAINTIES",$N$10,0)</f>
        <v>0</v>
      </c>
      <c r="O1245" s="1" t="str">
        <f>IFERROR(Table1[[#This Row],[Std Nom]]-(_xlfn.XLOOKUP(Table1[[#This Row],[Manufacturer]]&amp;" "&amp;Table1[[#This Row],[Model]],Table13[MFR &amp; MDL],Table13[Tolerance % CW ],"")/100*Table1[[#This Row],[Std Nom]]),"")</f>
        <v/>
      </c>
      <c r="P1245" s="1" t="str">
        <f>IFERROR(Table1[[#This Row],[Std Nom]]+(_xlfn.XLOOKUP(Table1[[#This Row],[Manufacturer]]&amp;" "&amp;Table1[[#This Row],[Model]],Table13[MFR &amp; MDL],Table13[Tolerance % CW ],"")/100*Table1[[#This Row],[Std Nom]]),"")</f>
        <v/>
      </c>
      <c r="Q1245" s="1" t="e">
        <f>Table1[[#This Row],[High Tol]]-Table1[[#This Row],[Low Tol]]</f>
        <v>#VALUE!</v>
      </c>
      <c r="R1245" s="1">
        <f>2*Table1[[#This Row],[Std Error]]</f>
        <v>0</v>
      </c>
      <c r="S1245" s="1" t="str">
        <f>IF(Table1[[#This Row],[High Tol]]="","N/A",IFERROR(ABS(Table1[[#This Row],[Tol Span]]/Table1[[#This Row],[Error Span]]),"N/A"))</f>
        <v>N/A</v>
      </c>
      <c r="T1245" s="1" t="str">
        <f>IF(OR(Table1[[#This Row],[Low Tol]]="",Table1[[#This Row],[High Tol]]=""),"Needs Analysis",IF(Table1[[#This Row],[Ratio]]&gt;=4,"Not Significant",IF(Table1[[#This Row],[Ratio]]&gt;=2,"Semi-Significant","Significant")))</f>
        <v>Needs Analysis</v>
      </c>
      <c r="W1245" s="1">
        <f>IF(Table1[[#This Row],[Cal Type]]&lt;&gt;"ACCREDITED 17025 WITH UNCERTAINTIES",0,"")</f>
        <v>0</v>
      </c>
      <c r="X1245" s="1" t="str">
        <f>IF(Table1[[#This Row],[DUT Read]]="","N/A",Table1[[#This Row],[Std Error]]+Table1[[#This Row],[DUT Read]]+Table1[[#This Row],[DUT Ucty]])</f>
        <v>N/A</v>
      </c>
      <c r="Y1245" s="1" t="str">
        <f>IF(Table1[[#This Row],[Std Read]]="","N/A",Table1[[#This Row],[Std Read]]+Table1[[#This Row],[Std Ucty]])</f>
        <v>N/A</v>
      </c>
      <c r="Z12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5" s="1" t="str">
        <f>IF(Table1[[#This Row],[Spec Type]]="","N/A",Table1[[#This Row],[Spec Type]])</f>
        <v>±</v>
      </c>
      <c r="AC1245" s="1" t="str">
        <f>IF(Table1[[#This Row],[Spec Type2]]="N/A","N/A",IF(AND(Table1[[#This Row],[DUT Adj Read]]&gt;=Table1[[#This Row],[Low Tol]],Table1[[#This Row],[DUT Adj Read]]&lt;=Table1[[#This Row],[High Tol]]),"Pass","Fail"))</f>
        <v>Fail</v>
      </c>
      <c r="AD1245" s="1" t="str">
        <f>IF(AND(Table1[[#This Row],[Spec Type2]]="N/A",Table1[[#This Row],[DUT Adj Read]]="N/A",Table1[[#This Row],[Std Adj Read]]="N/A"),"N/A",IF(Table1[[#This Row],[DUT Adj Read]]="N/A",IF(Table1[[#This Row],[Std Adj Read]]&gt;Table1[[#This Row],[Low Tol]],"Pass","Fail"),IF(Table1[[#This Row],[DUT Adj Read]]&gt;Table1[[#This Row],[Low Tol]],"Pass","Fail")))</f>
        <v>Pass</v>
      </c>
      <c r="AE1245" s="1" t="str">
        <f>IF(AND(Table1[[#This Row],[Spec Type2]]="N/A",Table1[[#This Row],[DUT Adj Read]]="N/A",Table1[[#This Row],[Std Adj Read]]="N/A"),"N/A",IF(Table1[[#This Row],[DUT Adj Read]]="N/A",IF(Table1[[#This Row],[Std Adj Read]]&lt;Table1[[#This Row],[High Tol]],"Pass","Fail"),IF(Table1[[#This Row],[DUT Adj Read]]&lt;Table1[[#This Row],[High Tol]],"Pass","Fail")))</f>
        <v>Fail</v>
      </c>
      <c r="AF1245" s="1" t="str">
        <f>IF(AND(Table1[[#This Row],[Spec Type2]]="N/A",Table1[[#This Row],[DUT Adj Read]]="N/A",Table1[[#This Row],[Std Adj Read]]="N/A"),"N/A",IF(Table1[[#This Row],[DUT Adj Read]]="N/A",IF(Table1[[#This Row],[Std Adj Read]]&gt;=Table1[[#This Row],[Low Tol]],"Pass","Fail"),IF(Table1[[#This Row],[DUT Adj Read]]&gt;=Table1[[#This Row],[Low Tol]],"Pass","Fail")))</f>
        <v>Pass</v>
      </c>
      <c r="AG1245" s="1" t="str">
        <f>IF(AND(Table1[[#This Row],[Spec Type2]]="N/A",Table1[[#This Row],[DUT Adj Read]]="N/A",Table1[[#This Row],[Std Adj Read]]="N/A"),"N/A",IF(Table1[[#This Row],[DUT Adj Read]]="N/A",IF(Table1[[#This Row],[Std Adj Read]]&lt;=Table1[[#This Row],[High Tol]],"Pass","Fail"),IF(Table1[[#This Row],[DUT Adj Read]]&lt;=Table1[[#This Row],[High Tol]],"Pass","Fail")))</f>
        <v>Fail</v>
      </c>
      <c r="AH12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5" s="1" t="b">
        <v>0</v>
      </c>
      <c r="AN1245" s="1" t="b">
        <v>0</v>
      </c>
      <c r="AO1245" s="1" t="b">
        <v>0</v>
      </c>
    </row>
    <row r="1246" spans="1:41" x14ac:dyDescent="0.25">
      <c r="A1246" s="10"/>
      <c r="B1246" s="10"/>
      <c r="C1246" s="10"/>
      <c r="D1246" s="10"/>
      <c r="E1246" s="10"/>
      <c r="F1246" s="10"/>
      <c r="G1246" s="10"/>
      <c r="H1246" s="10"/>
      <c r="I1246" s="1" t="str">
        <f t="shared" si="57"/>
        <v/>
      </c>
      <c r="J1246" s="1" t="s">
        <v>35</v>
      </c>
      <c r="K1246" s="1" t="str">
        <f t="shared" si="58"/>
        <v/>
      </c>
      <c r="L1246" s="1" t="str">
        <f t="shared" si="59"/>
        <v/>
      </c>
      <c r="M1246" s="1">
        <f>IF(OR(Table1[[#This Row],[Std Nom]]="",Table1[[#This Row],[Std Read]]=""),0,Table1[[#This Row],[Std Nom]]-Table1[[#This Row],[Std Read]])</f>
        <v>0</v>
      </c>
      <c r="N1246" s="1">
        <f>IF(Calculations!$F$5="ACCREDITED 17025 WITH UNCERTAINTIES",$N$10,0)</f>
        <v>0</v>
      </c>
      <c r="O1246" s="1" t="str">
        <f>IFERROR(Table1[[#This Row],[Std Nom]]-(_xlfn.XLOOKUP(Table1[[#This Row],[Manufacturer]]&amp;" "&amp;Table1[[#This Row],[Model]],Table13[MFR &amp; MDL],Table13[Tolerance % CW ],"")/100*Table1[[#This Row],[Std Nom]]),"")</f>
        <v/>
      </c>
      <c r="P1246" s="1" t="str">
        <f>IFERROR(Table1[[#This Row],[Std Nom]]+(_xlfn.XLOOKUP(Table1[[#This Row],[Manufacturer]]&amp;" "&amp;Table1[[#This Row],[Model]],Table13[MFR &amp; MDL],Table13[Tolerance % CW ],"")/100*Table1[[#This Row],[Std Nom]]),"")</f>
        <v/>
      </c>
      <c r="Q1246" s="1" t="e">
        <f>Table1[[#This Row],[High Tol]]-Table1[[#This Row],[Low Tol]]</f>
        <v>#VALUE!</v>
      </c>
      <c r="R1246" s="1">
        <f>2*Table1[[#This Row],[Std Error]]</f>
        <v>0</v>
      </c>
      <c r="S1246" s="1" t="str">
        <f>IF(Table1[[#This Row],[High Tol]]="","N/A",IFERROR(ABS(Table1[[#This Row],[Tol Span]]/Table1[[#This Row],[Error Span]]),"N/A"))</f>
        <v>N/A</v>
      </c>
      <c r="T1246" s="1" t="str">
        <f>IF(OR(Table1[[#This Row],[Low Tol]]="",Table1[[#This Row],[High Tol]]=""),"Needs Analysis",IF(Table1[[#This Row],[Ratio]]&gt;=4,"Not Significant",IF(Table1[[#This Row],[Ratio]]&gt;=2,"Semi-Significant","Significant")))</f>
        <v>Needs Analysis</v>
      </c>
      <c r="W1246" s="1">
        <f>IF(Table1[[#This Row],[Cal Type]]&lt;&gt;"ACCREDITED 17025 WITH UNCERTAINTIES",0,"")</f>
        <v>0</v>
      </c>
      <c r="X1246" s="1" t="str">
        <f>IF(Table1[[#This Row],[DUT Read]]="","N/A",Table1[[#This Row],[Std Error]]+Table1[[#This Row],[DUT Read]]+Table1[[#This Row],[DUT Ucty]])</f>
        <v>N/A</v>
      </c>
      <c r="Y1246" s="1" t="str">
        <f>IF(Table1[[#This Row],[Std Read]]="","N/A",Table1[[#This Row],[Std Read]]+Table1[[#This Row],[Std Ucty]])</f>
        <v>N/A</v>
      </c>
      <c r="Z12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6" s="1" t="str">
        <f>IF(Table1[[#This Row],[Spec Type]]="","N/A",Table1[[#This Row],[Spec Type]])</f>
        <v>±</v>
      </c>
      <c r="AC1246" s="1" t="str">
        <f>IF(Table1[[#This Row],[Spec Type2]]="N/A","N/A",IF(AND(Table1[[#This Row],[DUT Adj Read]]&gt;=Table1[[#This Row],[Low Tol]],Table1[[#This Row],[DUT Adj Read]]&lt;=Table1[[#This Row],[High Tol]]),"Pass","Fail"))</f>
        <v>Fail</v>
      </c>
      <c r="AD1246" s="1" t="str">
        <f>IF(AND(Table1[[#This Row],[Spec Type2]]="N/A",Table1[[#This Row],[DUT Adj Read]]="N/A",Table1[[#This Row],[Std Adj Read]]="N/A"),"N/A",IF(Table1[[#This Row],[DUT Adj Read]]="N/A",IF(Table1[[#This Row],[Std Adj Read]]&gt;Table1[[#This Row],[Low Tol]],"Pass","Fail"),IF(Table1[[#This Row],[DUT Adj Read]]&gt;Table1[[#This Row],[Low Tol]],"Pass","Fail")))</f>
        <v>Pass</v>
      </c>
      <c r="AE1246" s="1" t="str">
        <f>IF(AND(Table1[[#This Row],[Spec Type2]]="N/A",Table1[[#This Row],[DUT Adj Read]]="N/A",Table1[[#This Row],[Std Adj Read]]="N/A"),"N/A",IF(Table1[[#This Row],[DUT Adj Read]]="N/A",IF(Table1[[#This Row],[Std Adj Read]]&lt;Table1[[#This Row],[High Tol]],"Pass","Fail"),IF(Table1[[#This Row],[DUT Adj Read]]&lt;Table1[[#This Row],[High Tol]],"Pass","Fail")))</f>
        <v>Fail</v>
      </c>
      <c r="AF1246" s="1" t="str">
        <f>IF(AND(Table1[[#This Row],[Spec Type2]]="N/A",Table1[[#This Row],[DUT Adj Read]]="N/A",Table1[[#This Row],[Std Adj Read]]="N/A"),"N/A",IF(Table1[[#This Row],[DUT Adj Read]]="N/A",IF(Table1[[#This Row],[Std Adj Read]]&gt;=Table1[[#This Row],[Low Tol]],"Pass","Fail"),IF(Table1[[#This Row],[DUT Adj Read]]&gt;=Table1[[#This Row],[Low Tol]],"Pass","Fail")))</f>
        <v>Pass</v>
      </c>
      <c r="AG1246" s="1" t="str">
        <f>IF(AND(Table1[[#This Row],[Spec Type2]]="N/A",Table1[[#This Row],[DUT Adj Read]]="N/A",Table1[[#This Row],[Std Adj Read]]="N/A"),"N/A",IF(Table1[[#This Row],[DUT Adj Read]]="N/A",IF(Table1[[#This Row],[Std Adj Read]]&lt;=Table1[[#This Row],[High Tol]],"Pass","Fail"),IF(Table1[[#This Row],[DUT Adj Read]]&lt;=Table1[[#This Row],[High Tol]],"Pass","Fail")))</f>
        <v>Fail</v>
      </c>
      <c r="AH12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6" s="1" t="b">
        <v>0</v>
      </c>
      <c r="AN1246" s="1" t="b">
        <v>0</v>
      </c>
      <c r="AO1246" s="1" t="b">
        <v>0</v>
      </c>
    </row>
    <row r="1247" spans="1:41" x14ac:dyDescent="0.25">
      <c r="A1247" s="10"/>
      <c r="B1247" s="10"/>
      <c r="C1247" s="10"/>
      <c r="D1247" s="10"/>
      <c r="E1247" s="10"/>
      <c r="F1247" s="10"/>
      <c r="G1247" s="10"/>
      <c r="H1247" s="10"/>
      <c r="I1247" s="1" t="str">
        <f t="shared" si="57"/>
        <v/>
      </c>
      <c r="J1247" s="1" t="s">
        <v>35</v>
      </c>
      <c r="K1247" s="1" t="str">
        <f t="shared" si="58"/>
        <v/>
      </c>
      <c r="L1247" s="1" t="str">
        <f t="shared" si="59"/>
        <v/>
      </c>
      <c r="M1247" s="1">
        <f>IF(OR(Table1[[#This Row],[Std Nom]]="",Table1[[#This Row],[Std Read]]=""),0,Table1[[#This Row],[Std Nom]]-Table1[[#This Row],[Std Read]])</f>
        <v>0</v>
      </c>
      <c r="N1247" s="1">
        <f>IF(Calculations!$F$5="ACCREDITED 17025 WITH UNCERTAINTIES",$N$10,0)</f>
        <v>0</v>
      </c>
      <c r="O1247" s="1" t="str">
        <f>IFERROR(Table1[[#This Row],[Std Nom]]-(_xlfn.XLOOKUP(Table1[[#This Row],[Manufacturer]]&amp;" "&amp;Table1[[#This Row],[Model]],Table13[MFR &amp; MDL],Table13[Tolerance % CW ],"")/100*Table1[[#This Row],[Std Nom]]),"")</f>
        <v/>
      </c>
      <c r="P1247" s="1" t="str">
        <f>IFERROR(Table1[[#This Row],[Std Nom]]+(_xlfn.XLOOKUP(Table1[[#This Row],[Manufacturer]]&amp;" "&amp;Table1[[#This Row],[Model]],Table13[MFR &amp; MDL],Table13[Tolerance % CW ],"")/100*Table1[[#This Row],[Std Nom]]),"")</f>
        <v/>
      </c>
      <c r="Q1247" s="1" t="e">
        <f>Table1[[#This Row],[High Tol]]-Table1[[#This Row],[Low Tol]]</f>
        <v>#VALUE!</v>
      </c>
      <c r="R1247" s="1">
        <f>2*Table1[[#This Row],[Std Error]]</f>
        <v>0</v>
      </c>
      <c r="S1247" s="1" t="str">
        <f>IF(Table1[[#This Row],[High Tol]]="","N/A",IFERROR(ABS(Table1[[#This Row],[Tol Span]]/Table1[[#This Row],[Error Span]]),"N/A"))</f>
        <v>N/A</v>
      </c>
      <c r="T1247" s="1" t="str">
        <f>IF(OR(Table1[[#This Row],[Low Tol]]="",Table1[[#This Row],[High Tol]]=""),"Needs Analysis",IF(Table1[[#This Row],[Ratio]]&gt;=4,"Not Significant",IF(Table1[[#This Row],[Ratio]]&gt;=2,"Semi-Significant","Significant")))</f>
        <v>Needs Analysis</v>
      </c>
      <c r="W1247" s="1">
        <f>IF(Table1[[#This Row],[Cal Type]]&lt;&gt;"ACCREDITED 17025 WITH UNCERTAINTIES",0,"")</f>
        <v>0</v>
      </c>
      <c r="X1247" s="1" t="str">
        <f>IF(Table1[[#This Row],[DUT Read]]="","N/A",Table1[[#This Row],[Std Error]]+Table1[[#This Row],[DUT Read]]+Table1[[#This Row],[DUT Ucty]])</f>
        <v>N/A</v>
      </c>
      <c r="Y1247" s="1" t="str">
        <f>IF(Table1[[#This Row],[Std Read]]="","N/A",Table1[[#This Row],[Std Read]]+Table1[[#This Row],[Std Ucty]])</f>
        <v>N/A</v>
      </c>
      <c r="Z12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7" s="1" t="str">
        <f>IF(Table1[[#This Row],[Spec Type]]="","N/A",Table1[[#This Row],[Spec Type]])</f>
        <v>±</v>
      </c>
      <c r="AC1247" s="1" t="str">
        <f>IF(Table1[[#This Row],[Spec Type2]]="N/A","N/A",IF(AND(Table1[[#This Row],[DUT Adj Read]]&gt;=Table1[[#This Row],[Low Tol]],Table1[[#This Row],[DUT Adj Read]]&lt;=Table1[[#This Row],[High Tol]]),"Pass","Fail"))</f>
        <v>Fail</v>
      </c>
      <c r="AD1247" s="1" t="str">
        <f>IF(AND(Table1[[#This Row],[Spec Type2]]="N/A",Table1[[#This Row],[DUT Adj Read]]="N/A",Table1[[#This Row],[Std Adj Read]]="N/A"),"N/A",IF(Table1[[#This Row],[DUT Adj Read]]="N/A",IF(Table1[[#This Row],[Std Adj Read]]&gt;Table1[[#This Row],[Low Tol]],"Pass","Fail"),IF(Table1[[#This Row],[DUT Adj Read]]&gt;Table1[[#This Row],[Low Tol]],"Pass","Fail")))</f>
        <v>Pass</v>
      </c>
      <c r="AE1247" s="1" t="str">
        <f>IF(AND(Table1[[#This Row],[Spec Type2]]="N/A",Table1[[#This Row],[DUT Adj Read]]="N/A",Table1[[#This Row],[Std Adj Read]]="N/A"),"N/A",IF(Table1[[#This Row],[DUT Adj Read]]="N/A",IF(Table1[[#This Row],[Std Adj Read]]&lt;Table1[[#This Row],[High Tol]],"Pass","Fail"),IF(Table1[[#This Row],[DUT Adj Read]]&lt;Table1[[#This Row],[High Tol]],"Pass","Fail")))</f>
        <v>Fail</v>
      </c>
      <c r="AF1247" s="1" t="str">
        <f>IF(AND(Table1[[#This Row],[Spec Type2]]="N/A",Table1[[#This Row],[DUT Adj Read]]="N/A",Table1[[#This Row],[Std Adj Read]]="N/A"),"N/A",IF(Table1[[#This Row],[DUT Adj Read]]="N/A",IF(Table1[[#This Row],[Std Adj Read]]&gt;=Table1[[#This Row],[Low Tol]],"Pass","Fail"),IF(Table1[[#This Row],[DUT Adj Read]]&gt;=Table1[[#This Row],[Low Tol]],"Pass","Fail")))</f>
        <v>Pass</v>
      </c>
      <c r="AG1247" s="1" t="str">
        <f>IF(AND(Table1[[#This Row],[Spec Type2]]="N/A",Table1[[#This Row],[DUT Adj Read]]="N/A",Table1[[#This Row],[Std Adj Read]]="N/A"),"N/A",IF(Table1[[#This Row],[DUT Adj Read]]="N/A",IF(Table1[[#This Row],[Std Adj Read]]&lt;=Table1[[#This Row],[High Tol]],"Pass","Fail"),IF(Table1[[#This Row],[DUT Adj Read]]&lt;=Table1[[#This Row],[High Tol]],"Pass","Fail")))</f>
        <v>Fail</v>
      </c>
      <c r="AH12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7" s="1" t="b">
        <v>0</v>
      </c>
      <c r="AN1247" s="1" t="b">
        <v>0</v>
      </c>
      <c r="AO1247" s="1" t="b">
        <v>0</v>
      </c>
    </row>
    <row r="1248" spans="1:41" x14ac:dyDescent="0.25">
      <c r="A1248" s="10"/>
      <c r="B1248" s="10"/>
      <c r="C1248" s="10"/>
      <c r="D1248" s="10"/>
      <c r="E1248" s="10"/>
      <c r="F1248" s="10"/>
      <c r="G1248" s="10"/>
      <c r="H1248" s="10"/>
      <c r="I1248" s="1" t="str">
        <f t="shared" si="57"/>
        <v/>
      </c>
      <c r="J1248" s="1" t="s">
        <v>35</v>
      </c>
      <c r="K1248" s="1" t="str">
        <f t="shared" si="58"/>
        <v/>
      </c>
      <c r="L1248" s="1" t="str">
        <f t="shared" si="59"/>
        <v/>
      </c>
      <c r="M1248" s="1">
        <f>IF(OR(Table1[[#This Row],[Std Nom]]="",Table1[[#This Row],[Std Read]]=""),0,Table1[[#This Row],[Std Nom]]-Table1[[#This Row],[Std Read]])</f>
        <v>0</v>
      </c>
      <c r="N1248" s="1">
        <f>IF(Calculations!$F$5="ACCREDITED 17025 WITH UNCERTAINTIES",$N$10,0)</f>
        <v>0</v>
      </c>
      <c r="O1248" s="1" t="str">
        <f>IFERROR(Table1[[#This Row],[Std Nom]]-(_xlfn.XLOOKUP(Table1[[#This Row],[Manufacturer]]&amp;" "&amp;Table1[[#This Row],[Model]],Table13[MFR &amp; MDL],Table13[Tolerance % CW ],"")/100*Table1[[#This Row],[Std Nom]]),"")</f>
        <v/>
      </c>
      <c r="P1248" s="1" t="str">
        <f>IFERROR(Table1[[#This Row],[Std Nom]]+(_xlfn.XLOOKUP(Table1[[#This Row],[Manufacturer]]&amp;" "&amp;Table1[[#This Row],[Model]],Table13[MFR &amp; MDL],Table13[Tolerance % CW ],"")/100*Table1[[#This Row],[Std Nom]]),"")</f>
        <v/>
      </c>
      <c r="Q1248" s="1" t="e">
        <f>Table1[[#This Row],[High Tol]]-Table1[[#This Row],[Low Tol]]</f>
        <v>#VALUE!</v>
      </c>
      <c r="R1248" s="1">
        <f>2*Table1[[#This Row],[Std Error]]</f>
        <v>0</v>
      </c>
      <c r="S1248" s="1" t="str">
        <f>IF(Table1[[#This Row],[High Tol]]="","N/A",IFERROR(ABS(Table1[[#This Row],[Tol Span]]/Table1[[#This Row],[Error Span]]),"N/A"))</f>
        <v>N/A</v>
      </c>
      <c r="T1248" s="1" t="str">
        <f>IF(OR(Table1[[#This Row],[Low Tol]]="",Table1[[#This Row],[High Tol]]=""),"Needs Analysis",IF(Table1[[#This Row],[Ratio]]&gt;=4,"Not Significant",IF(Table1[[#This Row],[Ratio]]&gt;=2,"Semi-Significant","Significant")))</f>
        <v>Needs Analysis</v>
      </c>
      <c r="W1248" s="1">
        <f>IF(Table1[[#This Row],[Cal Type]]&lt;&gt;"ACCREDITED 17025 WITH UNCERTAINTIES",0,"")</f>
        <v>0</v>
      </c>
      <c r="X1248" s="1" t="str">
        <f>IF(Table1[[#This Row],[DUT Read]]="","N/A",Table1[[#This Row],[Std Error]]+Table1[[#This Row],[DUT Read]]+Table1[[#This Row],[DUT Ucty]])</f>
        <v>N/A</v>
      </c>
      <c r="Y1248" s="1" t="str">
        <f>IF(Table1[[#This Row],[Std Read]]="","N/A",Table1[[#This Row],[Std Read]]+Table1[[#This Row],[Std Ucty]])</f>
        <v>N/A</v>
      </c>
      <c r="Z12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8" s="1" t="str">
        <f>IF(Table1[[#This Row],[Spec Type]]="","N/A",Table1[[#This Row],[Spec Type]])</f>
        <v>±</v>
      </c>
      <c r="AC1248" s="1" t="str">
        <f>IF(Table1[[#This Row],[Spec Type2]]="N/A","N/A",IF(AND(Table1[[#This Row],[DUT Adj Read]]&gt;=Table1[[#This Row],[Low Tol]],Table1[[#This Row],[DUT Adj Read]]&lt;=Table1[[#This Row],[High Tol]]),"Pass","Fail"))</f>
        <v>Fail</v>
      </c>
      <c r="AD1248" s="1" t="str">
        <f>IF(AND(Table1[[#This Row],[Spec Type2]]="N/A",Table1[[#This Row],[DUT Adj Read]]="N/A",Table1[[#This Row],[Std Adj Read]]="N/A"),"N/A",IF(Table1[[#This Row],[DUT Adj Read]]="N/A",IF(Table1[[#This Row],[Std Adj Read]]&gt;Table1[[#This Row],[Low Tol]],"Pass","Fail"),IF(Table1[[#This Row],[DUT Adj Read]]&gt;Table1[[#This Row],[Low Tol]],"Pass","Fail")))</f>
        <v>Pass</v>
      </c>
      <c r="AE1248" s="1" t="str">
        <f>IF(AND(Table1[[#This Row],[Spec Type2]]="N/A",Table1[[#This Row],[DUT Adj Read]]="N/A",Table1[[#This Row],[Std Adj Read]]="N/A"),"N/A",IF(Table1[[#This Row],[DUT Adj Read]]="N/A",IF(Table1[[#This Row],[Std Adj Read]]&lt;Table1[[#This Row],[High Tol]],"Pass","Fail"),IF(Table1[[#This Row],[DUT Adj Read]]&lt;Table1[[#This Row],[High Tol]],"Pass","Fail")))</f>
        <v>Fail</v>
      </c>
      <c r="AF1248" s="1" t="str">
        <f>IF(AND(Table1[[#This Row],[Spec Type2]]="N/A",Table1[[#This Row],[DUT Adj Read]]="N/A",Table1[[#This Row],[Std Adj Read]]="N/A"),"N/A",IF(Table1[[#This Row],[DUT Adj Read]]="N/A",IF(Table1[[#This Row],[Std Adj Read]]&gt;=Table1[[#This Row],[Low Tol]],"Pass","Fail"),IF(Table1[[#This Row],[DUT Adj Read]]&gt;=Table1[[#This Row],[Low Tol]],"Pass","Fail")))</f>
        <v>Pass</v>
      </c>
      <c r="AG1248" s="1" t="str">
        <f>IF(AND(Table1[[#This Row],[Spec Type2]]="N/A",Table1[[#This Row],[DUT Adj Read]]="N/A",Table1[[#This Row],[Std Adj Read]]="N/A"),"N/A",IF(Table1[[#This Row],[DUT Adj Read]]="N/A",IF(Table1[[#This Row],[Std Adj Read]]&lt;=Table1[[#This Row],[High Tol]],"Pass","Fail"),IF(Table1[[#This Row],[DUT Adj Read]]&lt;=Table1[[#This Row],[High Tol]],"Pass","Fail")))</f>
        <v>Fail</v>
      </c>
      <c r="AH12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8" s="1" t="b">
        <v>0</v>
      </c>
      <c r="AN1248" s="1" t="b">
        <v>0</v>
      </c>
      <c r="AO1248" s="1" t="b">
        <v>0</v>
      </c>
    </row>
    <row r="1249" spans="1:41" x14ac:dyDescent="0.25">
      <c r="A1249" s="10"/>
      <c r="B1249" s="10"/>
      <c r="C1249" s="10"/>
      <c r="D1249" s="10"/>
      <c r="E1249" s="10"/>
      <c r="F1249" s="10"/>
      <c r="G1249" s="10"/>
      <c r="H1249" s="10"/>
      <c r="I1249" s="1" t="str">
        <f t="shared" si="57"/>
        <v/>
      </c>
      <c r="J1249" s="1" t="s">
        <v>35</v>
      </c>
      <c r="K1249" s="1" t="str">
        <f t="shared" si="58"/>
        <v/>
      </c>
      <c r="L1249" s="1" t="str">
        <f t="shared" si="59"/>
        <v/>
      </c>
      <c r="M1249" s="1">
        <f>IF(OR(Table1[[#This Row],[Std Nom]]="",Table1[[#This Row],[Std Read]]=""),0,Table1[[#This Row],[Std Nom]]-Table1[[#This Row],[Std Read]])</f>
        <v>0</v>
      </c>
      <c r="N1249" s="1">
        <f>IF(Calculations!$F$5="ACCREDITED 17025 WITH UNCERTAINTIES",$N$10,0)</f>
        <v>0</v>
      </c>
      <c r="O1249" s="1" t="str">
        <f>IFERROR(Table1[[#This Row],[Std Nom]]-(_xlfn.XLOOKUP(Table1[[#This Row],[Manufacturer]]&amp;" "&amp;Table1[[#This Row],[Model]],Table13[MFR &amp; MDL],Table13[Tolerance % CW ],"")/100*Table1[[#This Row],[Std Nom]]),"")</f>
        <v/>
      </c>
      <c r="P1249" s="1" t="str">
        <f>IFERROR(Table1[[#This Row],[Std Nom]]+(_xlfn.XLOOKUP(Table1[[#This Row],[Manufacturer]]&amp;" "&amp;Table1[[#This Row],[Model]],Table13[MFR &amp; MDL],Table13[Tolerance % CW ],"")/100*Table1[[#This Row],[Std Nom]]),"")</f>
        <v/>
      </c>
      <c r="Q1249" s="1" t="e">
        <f>Table1[[#This Row],[High Tol]]-Table1[[#This Row],[Low Tol]]</f>
        <v>#VALUE!</v>
      </c>
      <c r="R1249" s="1">
        <f>2*Table1[[#This Row],[Std Error]]</f>
        <v>0</v>
      </c>
      <c r="S1249" s="1" t="str">
        <f>IF(Table1[[#This Row],[High Tol]]="","N/A",IFERROR(ABS(Table1[[#This Row],[Tol Span]]/Table1[[#This Row],[Error Span]]),"N/A"))</f>
        <v>N/A</v>
      </c>
      <c r="T1249" s="1" t="str">
        <f>IF(OR(Table1[[#This Row],[Low Tol]]="",Table1[[#This Row],[High Tol]]=""),"Needs Analysis",IF(Table1[[#This Row],[Ratio]]&gt;=4,"Not Significant",IF(Table1[[#This Row],[Ratio]]&gt;=2,"Semi-Significant","Significant")))</f>
        <v>Needs Analysis</v>
      </c>
      <c r="W1249" s="1">
        <f>IF(Table1[[#This Row],[Cal Type]]&lt;&gt;"ACCREDITED 17025 WITH UNCERTAINTIES",0,"")</f>
        <v>0</v>
      </c>
      <c r="X1249" s="1" t="str">
        <f>IF(Table1[[#This Row],[DUT Read]]="","N/A",Table1[[#This Row],[Std Error]]+Table1[[#This Row],[DUT Read]]+Table1[[#This Row],[DUT Ucty]])</f>
        <v>N/A</v>
      </c>
      <c r="Y1249" s="1" t="str">
        <f>IF(Table1[[#This Row],[Std Read]]="","N/A",Table1[[#This Row],[Std Read]]+Table1[[#This Row],[Std Ucty]])</f>
        <v>N/A</v>
      </c>
      <c r="Z12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9" s="1" t="str">
        <f>IF(Table1[[#This Row],[Spec Type]]="","N/A",Table1[[#This Row],[Spec Type]])</f>
        <v>±</v>
      </c>
      <c r="AC1249" s="1" t="str">
        <f>IF(Table1[[#This Row],[Spec Type2]]="N/A","N/A",IF(AND(Table1[[#This Row],[DUT Adj Read]]&gt;=Table1[[#This Row],[Low Tol]],Table1[[#This Row],[DUT Adj Read]]&lt;=Table1[[#This Row],[High Tol]]),"Pass","Fail"))</f>
        <v>Fail</v>
      </c>
      <c r="AD1249" s="1" t="str">
        <f>IF(AND(Table1[[#This Row],[Spec Type2]]="N/A",Table1[[#This Row],[DUT Adj Read]]="N/A",Table1[[#This Row],[Std Adj Read]]="N/A"),"N/A",IF(Table1[[#This Row],[DUT Adj Read]]="N/A",IF(Table1[[#This Row],[Std Adj Read]]&gt;Table1[[#This Row],[Low Tol]],"Pass","Fail"),IF(Table1[[#This Row],[DUT Adj Read]]&gt;Table1[[#This Row],[Low Tol]],"Pass","Fail")))</f>
        <v>Pass</v>
      </c>
      <c r="AE1249" s="1" t="str">
        <f>IF(AND(Table1[[#This Row],[Spec Type2]]="N/A",Table1[[#This Row],[DUT Adj Read]]="N/A",Table1[[#This Row],[Std Adj Read]]="N/A"),"N/A",IF(Table1[[#This Row],[DUT Adj Read]]="N/A",IF(Table1[[#This Row],[Std Adj Read]]&lt;Table1[[#This Row],[High Tol]],"Pass","Fail"),IF(Table1[[#This Row],[DUT Adj Read]]&lt;Table1[[#This Row],[High Tol]],"Pass","Fail")))</f>
        <v>Fail</v>
      </c>
      <c r="AF1249" s="1" t="str">
        <f>IF(AND(Table1[[#This Row],[Spec Type2]]="N/A",Table1[[#This Row],[DUT Adj Read]]="N/A",Table1[[#This Row],[Std Adj Read]]="N/A"),"N/A",IF(Table1[[#This Row],[DUT Adj Read]]="N/A",IF(Table1[[#This Row],[Std Adj Read]]&gt;=Table1[[#This Row],[Low Tol]],"Pass","Fail"),IF(Table1[[#This Row],[DUT Adj Read]]&gt;=Table1[[#This Row],[Low Tol]],"Pass","Fail")))</f>
        <v>Pass</v>
      </c>
      <c r="AG1249" s="1" t="str">
        <f>IF(AND(Table1[[#This Row],[Spec Type2]]="N/A",Table1[[#This Row],[DUT Adj Read]]="N/A",Table1[[#This Row],[Std Adj Read]]="N/A"),"N/A",IF(Table1[[#This Row],[DUT Adj Read]]="N/A",IF(Table1[[#This Row],[Std Adj Read]]&lt;=Table1[[#This Row],[High Tol]],"Pass","Fail"),IF(Table1[[#This Row],[DUT Adj Read]]&lt;=Table1[[#This Row],[High Tol]],"Pass","Fail")))</f>
        <v>Fail</v>
      </c>
      <c r="AH12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9" s="1" t="b">
        <v>0</v>
      </c>
      <c r="AN1249" s="1" t="b">
        <v>0</v>
      </c>
      <c r="AO1249" s="1" t="b">
        <v>0</v>
      </c>
    </row>
    <row r="1250" spans="1:41" x14ac:dyDescent="0.25">
      <c r="A1250" s="10"/>
      <c r="B1250" s="10"/>
      <c r="C1250" s="10"/>
      <c r="D1250" s="10"/>
      <c r="E1250" s="10"/>
      <c r="F1250" s="10"/>
      <c r="G1250" s="10"/>
      <c r="H1250" s="10"/>
      <c r="I1250" s="1" t="str">
        <f t="shared" si="57"/>
        <v/>
      </c>
      <c r="J1250" s="1" t="s">
        <v>35</v>
      </c>
      <c r="K1250" s="1" t="str">
        <f t="shared" si="58"/>
        <v/>
      </c>
      <c r="L1250" s="1" t="str">
        <f t="shared" si="59"/>
        <v/>
      </c>
      <c r="M1250" s="1">
        <f>IF(OR(Table1[[#This Row],[Std Nom]]="",Table1[[#This Row],[Std Read]]=""),0,Table1[[#This Row],[Std Nom]]-Table1[[#This Row],[Std Read]])</f>
        <v>0</v>
      </c>
      <c r="N1250" s="1">
        <f>IF(Calculations!$F$5="ACCREDITED 17025 WITH UNCERTAINTIES",$N$10,0)</f>
        <v>0</v>
      </c>
      <c r="O1250" s="1" t="str">
        <f>IFERROR(Table1[[#This Row],[Std Nom]]-(_xlfn.XLOOKUP(Table1[[#This Row],[Manufacturer]]&amp;" "&amp;Table1[[#This Row],[Model]],Table13[MFR &amp; MDL],Table13[Tolerance % CW ],"")/100*Table1[[#This Row],[Std Nom]]),"")</f>
        <v/>
      </c>
      <c r="P1250" s="1" t="str">
        <f>IFERROR(Table1[[#This Row],[Std Nom]]+(_xlfn.XLOOKUP(Table1[[#This Row],[Manufacturer]]&amp;" "&amp;Table1[[#This Row],[Model]],Table13[MFR &amp; MDL],Table13[Tolerance % CW ],"")/100*Table1[[#This Row],[Std Nom]]),"")</f>
        <v/>
      </c>
      <c r="Q1250" s="1" t="e">
        <f>Table1[[#This Row],[High Tol]]-Table1[[#This Row],[Low Tol]]</f>
        <v>#VALUE!</v>
      </c>
      <c r="R1250" s="1">
        <f>2*Table1[[#This Row],[Std Error]]</f>
        <v>0</v>
      </c>
      <c r="S1250" s="1" t="str">
        <f>IF(Table1[[#This Row],[High Tol]]="","N/A",IFERROR(ABS(Table1[[#This Row],[Tol Span]]/Table1[[#This Row],[Error Span]]),"N/A"))</f>
        <v>N/A</v>
      </c>
      <c r="T1250" s="1" t="str">
        <f>IF(OR(Table1[[#This Row],[Low Tol]]="",Table1[[#This Row],[High Tol]]=""),"Needs Analysis",IF(Table1[[#This Row],[Ratio]]&gt;=4,"Not Significant",IF(Table1[[#This Row],[Ratio]]&gt;=2,"Semi-Significant","Significant")))</f>
        <v>Needs Analysis</v>
      </c>
      <c r="W1250" s="1">
        <f>IF(Table1[[#This Row],[Cal Type]]&lt;&gt;"ACCREDITED 17025 WITH UNCERTAINTIES",0,"")</f>
        <v>0</v>
      </c>
      <c r="X1250" s="1" t="str">
        <f>IF(Table1[[#This Row],[DUT Read]]="","N/A",Table1[[#This Row],[Std Error]]+Table1[[#This Row],[DUT Read]]+Table1[[#This Row],[DUT Ucty]])</f>
        <v>N/A</v>
      </c>
      <c r="Y1250" s="1" t="str">
        <f>IF(Table1[[#This Row],[Std Read]]="","N/A",Table1[[#This Row],[Std Read]]+Table1[[#This Row],[Std Ucty]])</f>
        <v>N/A</v>
      </c>
      <c r="Z12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0" s="1" t="str">
        <f>IF(Table1[[#This Row],[Spec Type]]="","N/A",Table1[[#This Row],[Spec Type]])</f>
        <v>±</v>
      </c>
      <c r="AC1250" s="1" t="str">
        <f>IF(Table1[[#This Row],[Spec Type2]]="N/A","N/A",IF(AND(Table1[[#This Row],[DUT Adj Read]]&gt;=Table1[[#This Row],[Low Tol]],Table1[[#This Row],[DUT Adj Read]]&lt;=Table1[[#This Row],[High Tol]]),"Pass","Fail"))</f>
        <v>Fail</v>
      </c>
      <c r="AD1250" s="1" t="str">
        <f>IF(AND(Table1[[#This Row],[Spec Type2]]="N/A",Table1[[#This Row],[DUT Adj Read]]="N/A",Table1[[#This Row],[Std Adj Read]]="N/A"),"N/A",IF(Table1[[#This Row],[DUT Adj Read]]="N/A",IF(Table1[[#This Row],[Std Adj Read]]&gt;Table1[[#This Row],[Low Tol]],"Pass","Fail"),IF(Table1[[#This Row],[DUT Adj Read]]&gt;Table1[[#This Row],[Low Tol]],"Pass","Fail")))</f>
        <v>Pass</v>
      </c>
      <c r="AE1250" s="1" t="str">
        <f>IF(AND(Table1[[#This Row],[Spec Type2]]="N/A",Table1[[#This Row],[DUT Adj Read]]="N/A",Table1[[#This Row],[Std Adj Read]]="N/A"),"N/A",IF(Table1[[#This Row],[DUT Adj Read]]="N/A",IF(Table1[[#This Row],[Std Adj Read]]&lt;Table1[[#This Row],[High Tol]],"Pass","Fail"),IF(Table1[[#This Row],[DUT Adj Read]]&lt;Table1[[#This Row],[High Tol]],"Pass","Fail")))</f>
        <v>Fail</v>
      </c>
      <c r="AF1250" s="1" t="str">
        <f>IF(AND(Table1[[#This Row],[Spec Type2]]="N/A",Table1[[#This Row],[DUT Adj Read]]="N/A",Table1[[#This Row],[Std Adj Read]]="N/A"),"N/A",IF(Table1[[#This Row],[DUT Adj Read]]="N/A",IF(Table1[[#This Row],[Std Adj Read]]&gt;=Table1[[#This Row],[Low Tol]],"Pass","Fail"),IF(Table1[[#This Row],[DUT Adj Read]]&gt;=Table1[[#This Row],[Low Tol]],"Pass","Fail")))</f>
        <v>Pass</v>
      </c>
      <c r="AG1250" s="1" t="str">
        <f>IF(AND(Table1[[#This Row],[Spec Type2]]="N/A",Table1[[#This Row],[DUT Adj Read]]="N/A",Table1[[#This Row],[Std Adj Read]]="N/A"),"N/A",IF(Table1[[#This Row],[DUT Adj Read]]="N/A",IF(Table1[[#This Row],[Std Adj Read]]&lt;=Table1[[#This Row],[High Tol]],"Pass","Fail"),IF(Table1[[#This Row],[DUT Adj Read]]&lt;=Table1[[#This Row],[High Tol]],"Pass","Fail")))</f>
        <v>Fail</v>
      </c>
      <c r="AH12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0" s="1" t="b">
        <v>0</v>
      </c>
      <c r="AN1250" s="1" t="b">
        <v>0</v>
      </c>
      <c r="AO1250" s="1" t="b">
        <v>0</v>
      </c>
    </row>
    <row r="1251" spans="1:41" x14ac:dyDescent="0.25">
      <c r="A1251" s="10"/>
      <c r="B1251" s="10"/>
      <c r="C1251" s="10"/>
      <c r="D1251" s="10"/>
      <c r="E1251" s="10"/>
      <c r="F1251" s="10"/>
      <c r="G1251" s="10"/>
      <c r="H1251" s="10"/>
      <c r="I1251" s="1" t="str">
        <f t="shared" si="57"/>
        <v/>
      </c>
      <c r="J1251" s="1" t="s">
        <v>35</v>
      </c>
      <c r="K1251" s="1" t="str">
        <f t="shared" si="58"/>
        <v/>
      </c>
      <c r="L1251" s="1" t="str">
        <f t="shared" si="59"/>
        <v/>
      </c>
      <c r="M1251" s="1">
        <f>IF(OR(Table1[[#This Row],[Std Nom]]="",Table1[[#This Row],[Std Read]]=""),0,Table1[[#This Row],[Std Nom]]-Table1[[#This Row],[Std Read]])</f>
        <v>0</v>
      </c>
      <c r="N1251" s="1">
        <f>IF(Calculations!$F$5="ACCREDITED 17025 WITH UNCERTAINTIES",$N$10,0)</f>
        <v>0</v>
      </c>
      <c r="O1251" s="1" t="str">
        <f>IFERROR(Table1[[#This Row],[Std Nom]]-(_xlfn.XLOOKUP(Table1[[#This Row],[Manufacturer]]&amp;" "&amp;Table1[[#This Row],[Model]],Table13[MFR &amp; MDL],Table13[Tolerance % CW ],"")/100*Table1[[#This Row],[Std Nom]]),"")</f>
        <v/>
      </c>
      <c r="P1251" s="1" t="str">
        <f>IFERROR(Table1[[#This Row],[Std Nom]]+(_xlfn.XLOOKUP(Table1[[#This Row],[Manufacturer]]&amp;" "&amp;Table1[[#This Row],[Model]],Table13[MFR &amp; MDL],Table13[Tolerance % CW ],"")/100*Table1[[#This Row],[Std Nom]]),"")</f>
        <v/>
      </c>
      <c r="Q1251" s="1" t="e">
        <f>Table1[[#This Row],[High Tol]]-Table1[[#This Row],[Low Tol]]</f>
        <v>#VALUE!</v>
      </c>
      <c r="R1251" s="1">
        <f>2*Table1[[#This Row],[Std Error]]</f>
        <v>0</v>
      </c>
      <c r="S1251" s="1" t="str">
        <f>IF(Table1[[#This Row],[High Tol]]="","N/A",IFERROR(ABS(Table1[[#This Row],[Tol Span]]/Table1[[#This Row],[Error Span]]),"N/A"))</f>
        <v>N/A</v>
      </c>
      <c r="T1251" s="1" t="str">
        <f>IF(OR(Table1[[#This Row],[Low Tol]]="",Table1[[#This Row],[High Tol]]=""),"Needs Analysis",IF(Table1[[#This Row],[Ratio]]&gt;=4,"Not Significant",IF(Table1[[#This Row],[Ratio]]&gt;=2,"Semi-Significant","Significant")))</f>
        <v>Needs Analysis</v>
      </c>
      <c r="W1251" s="1">
        <f>IF(Table1[[#This Row],[Cal Type]]&lt;&gt;"ACCREDITED 17025 WITH UNCERTAINTIES",0,"")</f>
        <v>0</v>
      </c>
      <c r="X1251" s="1" t="str">
        <f>IF(Table1[[#This Row],[DUT Read]]="","N/A",Table1[[#This Row],[Std Error]]+Table1[[#This Row],[DUT Read]]+Table1[[#This Row],[DUT Ucty]])</f>
        <v>N/A</v>
      </c>
      <c r="Y1251" s="1" t="str">
        <f>IF(Table1[[#This Row],[Std Read]]="","N/A",Table1[[#This Row],[Std Read]]+Table1[[#This Row],[Std Ucty]])</f>
        <v>N/A</v>
      </c>
      <c r="Z12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1" s="1" t="str">
        <f>IF(Table1[[#This Row],[Spec Type]]="","N/A",Table1[[#This Row],[Spec Type]])</f>
        <v>±</v>
      </c>
      <c r="AC1251" s="1" t="str">
        <f>IF(Table1[[#This Row],[Spec Type2]]="N/A","N/A",IF(AND(Table1[[#This Row],[DUT Adj Read]]&gt;=Table1[[#This Row],[Low Tol]],Table1[[#This Row],[DUT Adj Read]]&lt;=Table1[[#This Row],[High Tol]]),"Pass","Fail"))</f>
        <v>Fail</v>
      </c>
      <c r="AD1251" s="1" t="str">
        <f>IF(AND(Table1[[#This Row],[Spec Type2]]="N/A",Table1[[#This Row],[DUT Adj Read]]="N/A",Table1[[#This Row],[Std Adj Read]]="N/A"),"N/A",IF(Table1[[#This Row],[DUT Adj Read]]="N/A",IF(Table1[[#This Row],[Std Adj Read]]&gt;Table1[[#This Row],[Low Tol]],"Pass","Fail"),IF(Table1[[#This Row],[DUT Adj Read]]&gt;Table1[[#This Row],[Low Tol]],"Pass","Fail")))</f>
        <v>Pass</v>
      </c>
      <c r="AE1251" s="1" t="str">
        <f>IF(AND(Table1[[#This Row],[Spec Type2]]="N/A",Table1[[#This Row],[DUT Adj Read]]="N/A",Table1[[#This Row],[Std Adj Read]]="N/A"),"N/A",IF(Table1[[#This Row],[DUT Adj Read]]="N/A",IF(Table1[[#This Row],[Std Adj Read]]&lt;Table1[[#This Row],[High Tol]],"Pass","Fail"),IF(Table1[[#This Row],[DUT Adj Read]]&lt;Table1[[#This Row],[High Tol]],"Pass","Fail")))</f>
        <v>Fail</v>
      </c>
      <c r="AF1251" s="1" t="str">
        <f>IF(AND(Table1[[#This Row],[Spec Type2]]="N/A",Table1[[#This Row],[DUT Adj Read]]="N/A",Table1[[#This Row],[Std Adj Read]]="N/A"),"N/A",IF(Table1[[#This Row],[DUT Adj Read]]="N/A",IF(Table1[[#This Row],[Std Adj Read]]&gt;=Table1[[#This Row],[Low Tol]],"Pass","Fail"),IF(Table1[[#This Row],[DUT Adj Read]]&gt;=Table1[[#This Row],[Low Tol]],"Pass","Fail")))</f>
        <v>Pass</v>
      </c>
      <c r="AG1251" s="1" t="str">
        <f>IF(AND(Table1[[#This Row],[Spec Type2]]="N/A",Table1[[#This Row],[DUT Adj Read]]="N/A",Table1[[#This Row],[Std Adj Read]]="N/A"),"N/A",IF(Table1[[#This Row],[DUT Adj Read]]="N/A",IF(Table1[[#This Row],[Std Adj Read]]&lt;=Table1[[#This Row],[High Tol]],"Pass","Fail"),IF(Table1[[#This Row],[DUT Adj Read]]&lt;=Table1[[#This Row],[High Tol]],"Pass","Fail")))</f>
        <v>Fail</v>
      </c>
      <c r="AH12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1" s="1" t="b">
        <v>0</v>
      </c>
      <c r="AN1251" s="1" t="b">
        <v>0</v>
      </c>
      <c r="AO1251" s="1" t="b">
        <v>0</v>
      </c>
    </row>
    <row r="1252" spans="1:41" x14ac:dyDescent="0.25">
      <c r="A1252" s="10"/>
      <c r="B1252" s="10"/>
      <c r="C1252" s="10"/>
      <c r="D1252" s="10"/>
      <c r="E1252" s="10"/>
      <c r="F1252" s="10"/>
      <c r="G1252" s="10"/>
      <c r="H1252" s="10"/>
      <c r="I1252" s="1" t="str">
        <f t="shared" si="57"/>
        <v/>
      </c>
      <c r="J1252" s="1" t="s">
        <v>35</v>
      </c>
      <c r="K1252" s="1" t="str">
        <f t="shared" si="58"/>
        <v/>
      </c>
      <c r="L1252" s="1" t="str">
        <f t="shared" si="59"/>
        <v/>
      </c>
      <c r="M1252" s="1">
        <f>IF(OR(Table1[[#This Row],[Std Nom]]="",Table1[[#This Row],[Std Read]]=""),0,Table1[[#This Row],[Std Nom]]-Table1[[#This Row],[Std Read]])</f>
        <v>0</v>
      </c>
      <c r="N1252" s="1">
        <f>IF(Calculations!$F$5="ACCREDITED 17025 WITH UNCERTAINTIES",$N$10,0)</f>
        <v>0</v>
      </c>
      <c r="O1252" s="1" t="str">
        <f>IFERROR(Table1[[#This Row],[Std Nom]]-(_xlfn.XLOOKUP(Table1[[#This Row],[Manufacturer]]&amp;" "&amp;Table1[[#This Row],[Model]],Table13[MFR &amp; MDL],Table13[Tolerance % CW ],"")/100*Table1[[#This Row],[Std Nom]]),"")</f>
        <v/>
      </c>
      <c r="P1252" s="1" t="str">
        <f>IFERROR(Table1[[#This Row],[Std Nom]]+(_xlfn.XLOOKUP(Table1[[#This Row],[Manufacturer]]&amp;" "&amp;Table1[[#This Row],[Model]],Table13[MFR &amp; MDL],Table13[Tolerance % CW ],"")/100*Table1[[#This Row],[Std Nom]]),"")</f>
        <v/>
      </c>
      <c r="Q1252" s="1" t="e">
        <f>Table1[[#This Row],[High Tol]]-Table1[[#This Row],[Low Tol]]</f>
        <v>#VALUE!</v>
      </c>
      <c r="R1252" s="1">
        <f>2*Table1[[#This Row],[Std Error]]</f>
        <v>0</v>
      </c>
      <c r="S1252" s="1" t="str">
        <f>IF(Table1[[#This Row],[High Tol]]="","N/A",IFERROR(ABS(Table1[[#This Row],[Tol Span]]/Table1[[#This Row],[Error Span]]),"N/A"))</f>
        <v>N/A</v>
      </c>
      <c r="T1252" s="1" t="str">
        <f>IF(OR(Table1[[#This Row],[Low Tol]]="",Table1[[#This Row],[High Tol]]=""),"Needs Analysis",IF(Table1[[#This Row],[Ratio]]&gt;=4,"Not Significant",IF(Table1[[#This Row],[Ratio]]&gt;=2,"Semi-Significant","Significant")))</f>
        <v>Needs Analysis</v>
      </c>
      <c r="W1252" s="1">
        <f>IF(Table1[[#This Row],[Cal Type]]&lt;&gt;"ACCREDITED 17025 WITH UNCERTAINTIES",0,"")</f>
        <v>0</v>
      </c>
      <c r="X1252" s="1" t="str">
        <f>IF(Table1[[#This Row],[DUT Read]]="","N/A",Table1[[#This Row],[Std Error]]+Table1[[#This Row],[DUT Read]]+Table1[[#This Row],[DUT Ucty]])</f>
        <v>N/A</v>
      </c>
      <c r="Y1252" s="1" t="str">
        <f>IF(Table1[[#This Row],[Std Read]]="","N/A",Table1[[#This Row],[Std Read]]+Table1[[#This Row],[Std Ucty]])</f>
        <v>N/A</v>
      </c>
      <c r="Z12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2" s="1" t="str">
        <f>IF(Table1[[#This Row],[Spec Type]]="","N/A",Table1[[#This Row],[Spec Type]])</f>
        <v>±</v>
      </c>
      <c r="AC1252" s="1" t="str">
        <f>IF(Table1[[#This Row],[Spec Type2]]="N/A","N/A",IF(AND(Table1[[#This Row],[DUT Adj Read]]&gt;=Table1[[#This Row],[Low Tol]],Table1[[#This Row],[DUT Adj Read]]&lt;=Table1[[#This Row],[High Tol]]),"Pass","Fail"))</f>
        <v>Fail</v>
      </c>
      <c r="AD1252" s="1" t="str">
        <f>IF(AND(Table1[[#This Row],[Spec Type2]]="N/A",Table1[[#This Row],[DUT Adj Read]]="N/A",Table1[[#This Row],[Std Adj Read]]="N/A"),"N/A",IF(Table1[[#This Row],[DUT Adj Read]]="N/A",IF(Table1[[#This Row],[Std Adj Read]]&gt;Table1[[#This Row],[Low Tol]],"Pass","Fail"),IF(Table1[[#This Row],[DUT Adj Read]]&gt;Table1[[#This Row],[Low Tol]],"Pass","Fail")))</f>
        <v>Pass</v>
      </c>
      <c r="AE1252" s="1" t="str">
        <f>IF(AND(Table1[[#This Row],[Spec Type2]]="N/A",Table1[[#This Row],[DUT Adj Read]]="N/A",Table1[[#This Row],[Std Adj Read]]="N/A"),"N/A",IF(Table1[[#This Row],[DUT Adj Read]]="N/A",IF(Table1[[#This Row],[Std Adj Read]]&lt;Table1[[#This Row],[High Tol]],"Pass","Fail"),IF(Table1[[#This Row],[DUT Adj Read]]&lt;Table1[[#This Row],[High Tol]],"Pass","Fail")))</f>
        <v>Fail</v>
      </c>
      <c r="AF1252" s="1" t="str">
        <f>IF(AND(Table1[[#This Row],[Spec Type2]]="N/A",Table1[[#This Row],[DUT Adj Read]]="N/A",Table1[[#This Row],[Std Adj Read]]="N/A"),"N/A",IF(Table1[[#This Row],[DUT Adj Read]]="N/A",IF(Table1[[#This Row],[Std Adj Read]]&gt;=Table1[[#This Row],[Low Tol]],"Pass","Fail"),IF(Table1[[#This Row],[DUT Adj Read]]&gt;=Table1[[#This Row],[Low Tol]],"Pass","Fail")))</f>
        <v>Pass</v>
      </c>
      <c r="AG1252" s="1" t="str">
        <f>IF(AND(Table1[[#This Row],[Spec Type2]]="N/A",Table1[[#This Row],[DUT Adj Read]]="N/A",Table1[[#This Row],[Std Adj Read]]="N/A"),"N/A",IF(Table1[[#This Row],[DUT Adj Read]]="N/A",IF(Table1[[#This Row],[Std Adj Read]]&lt;=Table1[[#This Row],[High Tol]],"Pass","Fail"),IF(Table1[[#This Row],[DUT Adj Read]]&lt;=Table1[[#This Row],[High Tol]],"Pass","Fail")))</f>
        <v>Fail</v>
      </c>
      <c r="AH12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2" s="1" t="b">
        <v>0</v>
      </c>
      <c r="AN1252" s="1" t="b">
        <v>0</v>
      </c>
      <c r="AO1252" s="1" t="b">
        <v>0</v>
      </c>
    </row>
    <row r="1253" spans="1:41" x14ac:dyDescent="0.25">
      <c r="A1253" s="10"/>
      <c r="B1253" s="10"/>
      <c r="C1253" s="10"/>
      <c r="D1253" s="10"/>
      <c r="E1253" s="10"/>
      <c r="F1253" s="10"/>
      <c r="G1253" s="10"/>
      <c r="H1253" s="10"/>
      <c r="I1253" s="1" t="str">
        <f t="shared" si="57"/>
        <v/>
      </c>
      <c r="J1253" s="1" t="s">
        <v>35</v>
      </c>
      <c r="K1253" s="1" t="str">
        <f t="shared" si="58"/>
        <v/>
      </c>
      <c r="L1253" s="1" t="str">
        <f t="shared" si="59"/>
        <v/>
      </c>
      <c r="M1253" s="1">
        <f>IF(OR(Table1[[#This Row],[Std Nom]]="",Table1[[#This Row],[Std Read]]=""),0,Table1[[#This Row],[Std Nom]]-Table1[[#This Row],[Std Read]])</f>
        <v>0</v>
      </c>
      <c r="N1253" s="1">
        <f>IF(Calculations!$F$5="ACCREDITED 17025 WITH UNCERTAINTIES",$N$10,0)</f>
        <v>0</v>
      </c>
      <c r="O1253" s="1" t="str">
        <f>IFERROR(Table1[[#This Row],[Std Nom]]-(_xlfn.XLOOKUP(Table1[[#This Row],[Manufacturer]]&amp;" "&amp;Table1[[#This Row],[Model]],Table13[MFR &amp; MDL],Table13[Tolerance % CW ],"")/100*Table1[[#This Row],[Std Nom]]),"")</f>
        <v/>
      </c>
      <c r="P1253" s="1" t="str">
        <f>IFERROR(Table1[[#This Row],[Std Nom]]+(_xlfn.XLOOKUP(Table1[[#This Row],[Manufacturer]]&amp;" "&amp;Table1[[#This Row],[Model]],Table13[MFR &amp; MDL],Table13[Tolerance % CW ],"")/100*Table1[[#This Row],[Std Nom]]),"")</f>
        <v/>
      </c>
      <c r="Q1253" s="1" t="e">
        <f>Table1[[#This Row],[High Tol]]-Table1[[#This Row],[Low Tol]]</f>
        <v>#VALUE!</v>
      </c>
      <c r="R1253" s="1">
        <f>2*Table1[[#This Row],[Std Error]]</f>
        <v>0</v>
      </c>
      <c r="S1253" s="1" t="str">
        <f>IF(Table1[[#This Row],[High Tol]]="","N/A",IFERROR(ABS(Table1[[#This Row],[Tol Span]]/Table1[[#This Row],[Error Span]]),"N/A"))</f>
        <v>N/A</v>
      </c>
      <c r="T1253" s="1" t="str">
        <f>IF(OR(Table1[[#This Row],[Low Tol]]="",Table1[[#This Row],[High Tol]]=""),"Needs Analysis",IF(Table1[[#This Row],[Ratio]]&gt;=4,"Not Significant",IF(Table1[[#This Row],[Ratio]]&gt;=2,"Semi-Significant","Significant")))</f>
        <v>Needs Analysis</v>
      </c>
      <c r="W1253" s="1">
        <f>IF(Table1[[#This Row],[Cal Type]]&lt;&gt;"ACCREDITED 17025 WITH UNCERTAINTIES",0,"")</f>
        <v>0</v>
      </c>
      <c r="X1253" s="1" t="str">
        <f>IF(Table1[[#This Row],[DUT Read]]="","N/A",Table1[[#This Row],[Std Error]]+Table1[[#This Row],[DUT Read]]+Table1[[#This Row],[DUT Ucty]])</f>
        <v>N/A</v>
      </c>
      <c r="Y1253" s="1" t="str">
        <f>IF(Table1[[#This Row],[Std Read]]="","N/A",Table1[[#This Row],[Std Read]]+Table1[[#This Row],[Std Ucty]])</f>
        <v>N/A</v>
      </c>
      <c r="Z12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3" s="1" t="str">
        <f>IF(Table1[[#This Row],[Spec Type]]="","N/A",Table1[[#This Row],[Spec Type]])</f>
        <v>±</v>
      </c>
      <c r="AC1253" s="1" t="str">
        <f>IF(Table1[[#This Row],[Spec Type2]]="N/A","N/A",IF(AND(Table1[[#This Row],[DUT Adj Read]]&gt;=Table1[[#This Row],[Low Tol]],Table1[[#This Row],[DUT Adj Read]]&lt;=Table1[[#This Row],[High Tol]]),"Pass","Fail"))</f>
        <v>Fail</v>
      </c>
      <c r="AD1253" s="1" t="str">
        <f>IF(AND(Table1[[#This Row],[Spec Type2]]="N/A",Table1[[#This Row],[DUT Adj Read]]="N/A",Table1[[#This Row],[Std Adj Read]]="N/A"),"N/A",IF(Table1[[#This Row],[DUT Adj Read]]="N/A",IF(Table1[[#This Row],[Std Adj Read]]&gt;Table1[[#This Row],[Low Tol]],"Pass","Fail"),IF(Table1[[#This Row],[DUT Adj Read]]&gt;Table1[[#This Row],[Low Tol]],"Pass","Fail")))</f>
        <v>Pass</v>
      </c>
      <c r="AE1253" s="1" t="str">
        <f>IF(AND(Table1[[#This Row],[Spec Type2]]="N/A",Table1[[#This Row],[DUT Adj Read]]="N/A",Table1[[#This Row],[Std Adj Read]]="N/A"),"N/A",IF(Table1[[#This Row],[DUT Adj Read]]="N/A",IF(Table1[[#This Row],[Std Adj Read]]&lt;Table1[[#This Row],[High Tol]],"Pass","Fail"),IF(Table1[[#This Row],[DUT Adj Read]]&lt;Table1[[#This Row],[High Tol]],"Pass","Fail")))</f>
        <v>Fail</v>
      </c>
      <c r="AF1253" s="1" t="str">
        <f>IF(AND(Table1[[#This Row],[Spec Type2]]="N/A",Table1[[#This Row],[DUT Adj Read]]="N/A",Table1[[#This Row],[Std Adj Read]]="N/A"),"N/A",IF(Table1[[#This Row],[DUT Adj Read]]="N/A",IF(Table1[[#This Row],[Std Adj Read]]&gt;=Table1[[#This Row],[Low Tol]],"Pass","Fail"),IF(Table1[[#This Row],[DUT Adj Read]]&gt;=Table1[[#This Row],[Low Tol]],"Pass","Fail")))</f>
        <v>Pass</v>
      </c>
      <c r="AG1253" s="1" t="str">
        <f>IF(AND(Table1[[#This Row],[Spec Type2]]="N/A",Table1[[#This Row],[DUT Adj Read]]="N/A",Table1[[#This Row],[Std Adj Read]]="N/A"),"N/A",IF(Table1[[#This Row],[DUT Adj Read]]="N/A",IF(Table1[[#This Row],[Std Adj Read]]&lt;=Table1[[#This Row],[High Tol]],"Pass","Fail"),IF(Table1[[#This Row],[DUT Adj Read]]&lt;=Table1[[#This Row],[High Tol]],"Pass","Fail")))</f>
        <v>Fail</v>
      </c>
      <c r="AH12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3" s="1" t="b">
        <v>0</v>
      </c>
      <c r="AN1253" s="1" t="b">
        <v>0</v>
      </c>
      <c r="AO1253" s="1" t="b">
        <v>0</v>
      </c>
    </row>
    <row r="1254" spans="1:41" x14ac:dyDescent="0.25">
      <c r="A1254" s="10"/>
      <c r="B1254" s="10"/>
      <c r="C1254" s="10"/>
      <c r="D1254" s="10"/>
      <c r="E1254" s="10"/>
      <c r="F1254" s="10"/>
      <c r="G1254" s="10"/>
      <c r="H1254" s="10"/>
      <c r="I1254" s="1" t="str">
        <f t="shared" si="57"/>
        <v/>
      </c>
      <c r="J1254" s="1" t="s">
        <v>35</v>
      </c>
      <c r="K1254" s="1" t="str">
        <f t="shared" si="58"/>
        <v/>
      </c>
      <c r="L1254" s="1" t="str">
        <f t="shared" si="59"/>
        <v/>
      </c>
      <c r="M1254" s="1">
        <f>IF(OR(Table1[[#This Row],[Std Nom]]="",Table1[[#This Row],[Std Read]]=""),0,Table1[[#This Row],[Std Nom]]-Table1[[#This Row],[Std Read]])</f>
        <v>0</v>
      </c>
      <c r="N1254" s="1">
        <f>IF(Calculations!$F$5="ACCREDITED 17025 WITH UNCERTAINTIES",$N$10,0)</f>
        <v>0</v>
      </c>
      <c r="O1254" s="1" t="str">
        <f>IFERROR(Table1[[#This Row],[Std Nom]]-(_xlfn.XLOOKUP(Table1[[#This Row],[Manufacturer]]&amp;" "&amp;Table1[[#This Row],[Model]],Table13[MFR &amp; MDL],Table13[Tolerance % CW ],"")/100*Table1[[#This Row],[Std Nom]]),"")</f>
        <v/>
      </c>
      <c r="P1254" s="1" t="str">
        <f>IFERROR(Table1[[#This Row],[Std Nom]]+(_xlfn.XLOOKUP(Table1[[#This Row],[Manufacturer]]&amp;" "&amp;Table1[[#This Row],[Model]],Table13[MFR &amp; MDL],Table13[Tolerance % CW ],"")/100*Table1[[#This Row],[Std Nom]]),"")</f>
        <v/>
      </c>
      <c r="Q1254" s="1" t="e">
        <f>Table1[[#This Row],[High Tol]]-Table1[[#This Row],[Low Tol]]</f>
        <v>#VALUE!</v>
      </c>
      <c r="R1254" s="1">
        <f>2*Table1[[#This Row],[Std Error]]</f>
        <v>0</v>
      </c>
      <c r="S1254" s="1" t="str">
        <f>IF(Table1[[#This Row],[High Tol]]="","N/A",IFERROR(ABS(Table1[[#This Row],[Tol Span]]/Table1[[#This Row],[Error Span]]),"N/A"))</f>
        <v>N/A</v>
      </c>
      <c r="T1254" s="1" t="str">
        <f>IF(OR(Table1[[#This Row],[Low Tol]]="",Table1[[#This Row],[High Tol]]=""),"Needs Analysis",IF(Table1[[#This Row],[Ratio]]&gt;=4,"Not Significant",IF(Table1[[#This Row],[Ratio]]&gt;=2,"Semi-Significant","Significant")))</f>
        <v>Needs Analysis</v>
      </c>
      <c r="W1254" s="1">
        <f>IF(Table1[[#This Row],[Cal Type]]&lt;&gt;"ACCREDITED 17025 WITH UNCERTAINTIES",0,"")</f>
        <v>0</v>
      </c>
      <c r="X1254" s="1" t="str">
        <f>IF(Table1[[#This Row],[DUT Read]]="","N/A",Table1[[#This Row],[Std Error]]+Table1[[#This Row],[DUT Read]]+Table1[[#This Row],[DUT Ucty]])</f>
        <v>N/A</v>
      </c>
      <c r="Y1254" s="1" t="str">
        <f>IF(Table1[[#This Row],[Std Read]]="","N/A",Table1[[#This Row],[Std Read]]+Table1[[#This Row],[Std Ucty]])</f>
        <v>N/A</v>
      </c>
      <c r="Z12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4" s="1" t="str">
        <f>IF(Table1[[#This Row],[Spec Type]]="","N/A",Table1[[#This Row],[Spec Type]])</f>
        <v>±</v>
      </c>
      <c r="AC1254" s="1" t="str">
        <f>IF(Table1[[#This Row],[Spec Type2]]="N/A","N/A",IF(AND(Table1[[#This Row],[DUT Adj Read]]&gt;=Table1[[#This Row],[Low Tol]],Table1[[#This Row],[DUT Adj Read]]&lt;=Table1[[#This Row],[High Tol]]),"Pass","Fail"))</f>
        <v>Fail</v>
      </c>
      <c r="AD1254" s="1" t="str">
        <f>IF(AND(Table1[[#This Row],[Spec Type2]]="N/A",Table1[[#This Row],[DUT Adj Read]]="N/A",Table1[[#This Row],[Std Adj Read]]="N/A"),"N/A",IF(Table1[[#This Row],[DUT Adj Read]]="N/A",IF(Table1[[#This Row],[Std Adj Read]]&gt;Table1[[#This Row],[Low Tol]],"Pass","Fail"),IF(Table1[[#This Row],[DUT Adj Read]]&gt;Table1[[#This Row],[Low Tol]],"Pass","Fail")))</f>
        <v>Pass</v>
      </c>
      <c r="AE1254" s="1" t="str">
        <f>IF(AND(Table1[[#This Row],[Spec Type2]]="N/A",Table1[[#This Row],[DUT Adj Read]]="N/A",Table1[[#This Row],[Std Adj Read]]="N/A"),"N/A",IF(Table1[[#This Row],[DUT Adj Read]]="N/A",IF(Table1[[#This Row],[Std Adj Read]]&lt;Table1[[#This Row],[High Tol]],"Pass","Fail"),IF(Table1[[#This Row],[DUT Adj Read]]&lt;Table1[[#This Row],[High Tol]],"Pass","Fail")))</f>
        <v>Fail</v>
      </c>
      <c r="AF1254" s="1" t="str">
        <f>IF(AND(Table1[[#This Row],[Spec Type2]]="N/A",Table1[[#This Row],[DUT Adj Read]]="N/A",Table1[[#This Row],[Std Adj Read]]="N/A"),"N/A",IF(Table1[[#This Row],[DUT Adj Read]]="N/A",IF(Table1[[#This Row],[Std Adj Read]]&gt;=Table1[[#This Row],[Low Tol]],"Pass","Fail"),IF(Table1[[#This Row],[DUT Adj Read]]&gt;=Table1[[#This Row],[Low Tol]],"Pass","Fail")))</f>
        <v>Pass</v>
      </c>
      <c r="AG1254" s="1" t="str">
        <f>IF(AND(Table1[[#This Row],[Spec Type2]]="N/A",Table1[[#This Row],[DUT Adj Read]]="N/A",Table1[[#This Row],[Std Adj Read]]="N/A"),"N/A",IF(Table1[[#This Row],[DUT Adj Read]]="N/A",IF(Table1[[#This Row],[Std Adj Read]]&lt;=Table1[[#This Row],[High Tol]],"Pass","Fail"),IF(Table1[[#This Row],[DUT Adj Read]]&lt;=Table1[[#This Row],[High Tol]],"Pass","Fail")))</f>
        <v>Fail</v>
      </c>
      <c r="AH12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4" s="1" t="b">
        <v>0</v>
      </c>
      <c r="AN1254" s="1" t="b">
        <v>0</v>
      </c>
      <c r="AO1254" s="1" t="b">
        <v>0</v>
      </c>
    </row>
    <row r="1255" spans="1:41" x14ac:dyDescent="0.25">
      <c r="A1255" s="10"/>
      <c r="B1255" s="10"/>
      <c r="C1255" s="10"/>
      <c r="D1255" s="10"/>
      <c r="E1255" s="10"/>
      <c r="F1255" s="10"/>
      <c r="G1255" s="10"/>
      <c r="H1255" s="10"/>
      <c r="I1255" s="1" t="str">
        <f t="shared" si="57"/>
        <v/>
      </c>
      <c r="J1255" s="1" t="s">
        <v>35</v>
      </c>
      <c r="K1255" s="1" t="str">
        <f t="shared" si="58"/>
        <v/>
      </c>
      <c r="L1255" s="1" t="str">
        <f t="shared" si="59"/>
        <v/>
      </c>
      <c r="M1255" s="1">
        <f>IF(OR(Table1[[#This Row],[Std Nom]]="",Table1[[#This Row],[Std Read]]=""),0,Table1[[#This Row],[Std Nom]]-Table1[[#This Row],[Std Read]])</f>
        <v>0</v>
      </c>
      <c r="N1255" s="1">
        <f>IF(Calculations!$F$5="ACCREDITED 17025 WITH UNCERTAINTIES",$N$10,0)</f>
        <v>0</v>
      </c>
      <c r="O1255" s="1" t="str">
        <f>IFERROR(Table1[[#This Row],[Std Nom]]-(_xlfn.XLOOKUP(Table1[[#This Row],[Manufacturer]]&amp;" "&amp;Table1[[#This Row],[Model]],Table13[MFR &amp; MDL],Table13[Tolerance % CW ],"")/100*Table1[[#This Row],[Std Nom]]),"")</f>
        <v/>
      </c>
      <c r="P1255" s="1" t="str">
        <f>IFERROR(Table1[[#This Row],[Std Nom]]+(_xlfn.XLOOKUP(Table1[[#This Row],[Manufacturer]]&amp;" "&amp;Table1[[#This Row],[Model]],Table13[MFR &amp; MDL],Table13[Tolerance % CW ],"")/100*Table1[[#This Row],[Std Nom]]),"")</f>
        <v/>
      </c>
      <c r="Q1255" s="1" t="e">
        <f>Table1[[#This Row],[High Tol]]-Table1[[#This Row],[Low Tol]]</f>
        <v>#VALUE!</v>
      </c>
      <c r="R1255" s="1">
        <f>2*Table1[[#This Row],[Std Error]]</f>
        <v>0</v>
      </c>
      <c r="S1255" s="1" t="str">
        <f>IF(Table1[[#This Row],[High Tol]]="","N/A",IFERROR(ABS(Table1[[#This Row],[Tol Span]]/Table1[[#This Row],[Error Span]]),"N/A"))</f>
        <v>N/A</v>
      </c>
      <c r="T1255" s="1" t="str">
        <f>IF(OR(Table1[[#This Row],[Low Tol]]="",Table1[[#This Row],[High Tol]]=""),"Needs Analysis",IF(Table1[[#This Row],[Ratio]]&gt;=4,"Not Significant",IF(Table1[[#This Row],[Ratio]]&gt;=2,"Semi-Significant","Significant")))</f>
        <v>Needs Analysis</v>
      </c>
      <c r="W1255" s="1">
        <f>IF(Table1[[#This Row],[Cal Type]]&lt;&gt;"ACCREDITED 17025 WITH UNCERTAINTIES",0,"")</f>
        <v>0</v>
      </c>
      <c r="X1255" s="1" t="str">
        <f>IF(Table1[[#This Row],[DUT Read]]="","N/A",Table1[[#This Row],[Std Error]]+Table1[[#This Row],[DUT Read]]+Table1[[#This Row],[DUT Ucty]])</f>
        <v>N/A</v>
      </c>
      <c r="Y1255" s="1" t="str">
        <f>IF(Table1[[#This Row],[Std Read]]="","N/A",Table1[[#This Row],[Std Read]]+Table1[[#This Row],[Std Ucty]])</f>
        <v>N/A</v>
      </c>
      <c r="Z12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5" s="1" t="str">
        <f>IF(Table1[[#This Row],[Spec Type]]="","N/A",Table1[[#This Row],[Spec Type]])</f>
        <v>±</v>
      </c>
      <c r="AC1255" s="1" t="str">
        <f>IF(Table1[[#This Row],[Spec Type2]]="N/A","N/A",IF(AND(Table1[[#This Row],[DUT Adj Read]]&gt;=Table1[[#This Row],[Low Tol]],Table1[[#This Row],[DUT Adj Read]]&lt;=Table1[[#This Row],[High Tol]]),"Pass","Fail"))</f>
        <v>Fail</v>
      </c>
      <c r="AD1255" s="1" t="str">
        <f>IF(AND(Table1[[#This Row],[Spec Type2]]="N/A",Table1[[#This Row],[DUT Adj Read]]="N/A",Table1[[#This Row],[Std Adj Read]]="N/A"),"N/A",IF(Table1[[#This Row],[DUT Adj Read]]="N/A",IF(Table1[[#This Row],[Std Adj Read]]&gt;Table1[[#This Row],[Low Tol]],"Pass","Fail"),IF(Table1[[#This Row],[DUT Adj Read]]&gt;Table1[[#This Row],[Low Tol]],"Pass","Fail")))</f>
        <v>Pass</v>
      </c>
      <c r="AE1255" s="1" t="str">
        <f>IF(AND(Table1[[#This Row],[Spec Type2]]="N/A",Table1[[#This Row],[DUT Adj Read]]="N/A",Table1[[#This Row],[Std Adj Read]]="N/A"),"N/A",IF(Table1[[#This Row],[DUT Adj Read]]="N/A",IF(Table1[[#This Row],[Std Adj Read]]&lt;Table1[[#This Row],[High Tol]],"Pass","Fail"),IF(Table1[[#This Row],[DUT Adj Read]]&lt;Table1[[#This Row],[High Tol]],"Pass","Fail")))</f>
        <v>Fail</v>
      </c>
      <c r="AF1255" s="1" t="str">
        <f>IF(AND(Table1[[#This Row],[Spec Type2]]="N/A",Table1[[#This Row],[DUT Adj Read]]="N/A",Table1[[#This Row],[Std Adj Read]]="N/A"),"N/A",IF(Table1[[#This Row],[DUT Adj Read]]="N/A",IF(Table1[[#This Row],[Std Adj Read]]&gt;=Table1[[#This Row],[Low Tol]],"Pass","Fail"),IF(Table1[[#This Row],[DUT Adj Read]]&gt;=Table1[[#This Row],[Low Tol]],"Pass","Fail")))</f>
        <v>Pass</v>
      </c>
      <c r="AG1255" s="1" t="str">
        <f>IF(AND(Table1[[#This Row],[Spec Type2]]="N/A",Table1[[#This Row],[DUT Adj Read]]="N/A",Table1[[#This Row],[Std Adj Read]]="N/A"),"N/A",IF(Table1[[#This Row],[DUT Adj Read]]="N/A",IF(Table1[[#This Row],[Std Adj Read]]&lt;=Table1[[#This Row],[High Tol]],"Pass","Fail"),IF(Table1[[#This Row],[DUT Adj Read]]&lt;=Table1[[#This Row],[High Tol]],"Pass","Fail")))</f>
        <v>Fail</v>
      </c>
      <c r="AH12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5" s="1" t="b">
        <v>0</v>
      </c>
      <c r="AN1255" s="1" t="b">
        <v>0</v>
      </c>
      <c r="AO1255" s="1" t="b">
        <v>0</v>
      </c>
    </row>
    <row r="1256" spans="1:41" x14ac:dyDescent="0.25">
      <c r="A1256" s="10"/>
      <c r="B1256" s="10"/>
      <c r="C1256" s="10"/>
      <c r="D1256" s="10"/>
      <c r="E1256" s="10"/>
      <c r="F1256" s="10"/>
      <c r="G1256" s="10"/>
      <c r="H1256" s="10"/>
      <c r="I1256" s="1" t="str">
        <f t="shared" si="57"/>
        <v/>
      </c>
      <c r="J1256" s="1" t="s">
        <v>35</v>
      </c>
      <c r="K1256" s="1" t="str">
        <f t="shared" si="58"/>
        <v/>
      </c>
      <c r="L1256" s="1" t="str">
        <f t="shared" si="59"/>
        <v/>
      </c>
      <c r="M1256" s="1">
        <f>IF(OR(Table1[[#This Row],[Std Nom]]="",Table1[[#This Row],[Std Read]]=""),0,Table1[[#This Row],[Std Nom]]-Table1[[#This Row],[Std Read]])</f>
        <v>0</v>
      </c>
      <c r="N1256" s="1">
        <f>IF(Calculations!$F$5="ACCREDITED 17025 WITH UNCERTAINTIES",$N$10,0)</f>
        <v>0</v>
      </c>
      <c r="O1256" s="1" t="str">
        <f>IFERROR(Table1[[#This Row],[Std Nom]]-(_xlfn.XLOOKUP(Table1[[#This Row],[Manufacturer]]&amp;" "&amp;Table1[[#This Row],[Model]],Table13[MFR &amp; MDL],Table13[Tolerance % CW ],"")/100*Table1[[#This Row],[Std Nom]]),"")</f>
        <v/>
      </c>
      <c r="P1256" s="1" t="str">
        <f>IFERROR(Table1[[#This Row],[Std Nom]]+(_xlfn.XLOOKUP(Table1[[#This Row],[Manufacturer]]&amp;" "&amp;Table1[[#This Row],[Model]],Table13[MFR &amp; MDL],Table13[Tolerance % CW ],"")/100*Table1[[#This Row],[Std Nom]]),"")</f>
        <v/>
      </c>
      <c r="Q1256" s="1" t="e">
        <f>Table1[[#This Row],[High Tol]]-Table1[[#This Row],[Low Tol]]</f>
        <v>#VALUE!</v>
      </c>
      <c r="R1256" s="1">
        <f>2*Table1[[#This Row],[Std Error]]</f>
        <v>0</v>
      </c>
      <c r="S1256" s="1" t="str">
        <f>IF(Table1[[#This Row],[High Tol]]="","N/A",IFERROR(ABS(Table1[[#This Row],[Tol Span]]/Table1[[#This Row],[Error Span]]),"N/A"))</f>
        <v>N/A</v>
      </c>
      <c r="T1256" s="1" t="str">
        <f>IF(OR(Table1[[#This Row],[Low Tol]]="",Table1[[#This Row],[High Tol]]=""),"Needs Analysis",IF(Table1[[#This Row],[Ratio]]&gt;=4,"Not Significant",IF(Table1[[#This Row],[Ratio]]&gt;=2,"Semi-Significant","Significant")))</f>
        <v>Needs Analysis</v>
      </c>
      <c r="W1256" s="1">
        <f>IF(Table1[[#This Row],[Cal Type]]&lt;&gt;"ACCREDITED 17025 WITH UNCERTAINTIES",0,"")</f>
        <v>0</v>
      </c>
      <c r="X1256" s="1" t="str">
        <f>IF(Table1[[#This Row],[DUT Read]]="","N/A",Table1[[#This Row],[Std Error]]+Table1[[#This Row],[DUT Read]]+Table1[[#This Row],[DUT Ucty]])</f>
        <v>N/A</v>
      </c>
      <c r="Y1256" s="1" t="str">
        <f>IF(Table1[[#This Row],[Std Read]]="","N/A",Table1[[#This Row],[Std Read]]+Table1[[#This Row],[Std Ucty]])</f>
        <v>N/A</v>
      </c>
      <c r="Z12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6" s="1" t="str">
        <f>IF(Table1[[#This Row],[Spec Type]]="","N/A",Table1[[#This Row],[Spec Type]])</f>
        <v>±</v>
      </c>
      <c r="AC1256" s="1" t="str">
        <f>IF(Table1[[#This Row],[Spec Type2]]="N/A","N/A",IF(AND(Table1[[#This Row],[DUT Adj Read]]&gt;=Table1[[#This Row],[Low Tol]],Table1[[#This Row],[DUT Adj Read]]&lt;=Table1[[#This Row],[High Tol]]),"Pass","Fail"))</f>
        <v>Fail</v>
      </c>
      <c r="AD1256" s="1" t="str">
        <f>IF(AND(Table1[[#This Row],[Spec Type2]]="N/A",Table1[[#This Row],[DUT Adj Read]]="N/A",Table1[[#This Row],[Std Adj Read]]="N/A"),"N/A",IF(Table1[[#This Row],[DUT Adj Read]]="N/A",IF(Table1[[#This Row],[Std Adj Read]]&gt;Table1[[#This Row],[Low Tol]],"Pass","Fail"),IF(Table1[[#This Row],[DUT Adj Read]]&gt;Table1[[#This Row],[Low Tol]],"Pass","Fail")))</f>
        <v>Pass</v>
      </c>
      <c r="AE1256" s="1" t="str">
        <f>IF(AND(Table1[[#This Row],[Spec Type2]]="N/A",Table1[[#This Row],[DUT Adj Read]]="N/A",Table1[[#This Row],[Std Adj Read]]="N/A"),"N/A",IF(Table1[[#This Row],[DUT Adj Read]]="N/A",IF(Table1[[#This Row],[Std Adj Read]]&lt;Table1[[#This Row],[High Tol]],"Pass","Fail"),IF(Table1[[#This Row],[DUT Adj Read]]&lt;Table1[[#This Row],[High Tol]],"Pass","Fail")))</f>
        <v>Fail</v>
      </c>
      <c r="AF1256" s="1" t="str">
        <f>IF(AND(Table1[[#This Row],[Spec Type2]]="N/A",Table1[[#This Row],[DUT Adj Read]]="N/A",Table1[[#This Row],[Std Adj Read]]="N/A"),"N/A",IF(Table1[[#This Row],[DUT Adj Read]]="N/A",IF(Table1[[#This Row],[Std Adj Read]]&gt;=Table1[[#This Row],[Low Tol]],"Pass","Fail"),IF(Table1[[#This Row],[DUT Adj Read]]&gt;=Table1[[#This Row],[Low Tol]],"Pass","Fail")))</f>
        <v>Pass</v>
      </c>
      <c r="AG1256" s="1" t="str">
        <f>IF(AND(Table1[[#This Row],[Spec Type2]]="N/A",Table1[[#This Row],[DUT Adj Read]]="N/A",Table1[[#This Row],[Std Adj Read]]="N/A"),"N/A",IF(Table1[[#This Row],[DUT Adj Read]]="N/A",IF(Table1[[#This Row],[Std Adj Read]]&lt;=Table1[[#This Row],[High Tol]],"Pass","Fail"),IF(Table1[[#This Row],[DUT Adj Read]]&lt;=Table1[[#This Row],[High Tol]],"Pass","Fail")))</f>
        <v>Fail</v>
      </c>
      <c r="AH12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6" s="1" t="b">
        <v>0</v>
      </c>
      <c r="AN1256" s="1" t="b">
        <v>0</v>
      </c>
      <c r="AO1256" s="1" t="b">
        <v>0</v>
      </c>
    </row>
    <row r="1257" spans="1:41" x14ac:dyDescent="0.25">
      <c r="A1257" s="10"/>
      <c r="B1257" s="10"/>
      <c r="C1257" s="10"/>
      <c r="D1257" s="10"/>
      <c r="E1257" s="10"/>
      <c r="F1257" s="10"/>
      <c r="G1257" s="10"/>
      <c r="H1257" s="10"/>
      <c r="I1257" s="1" t="str">
        <f t="shared" si="57"/>
        <v/>
      </c>
      <c r="J1257" s="1" t="s">
        <v>35</v>
      </c>
      <c r="K1257" s="1" t="str">
        <f t="shared" si="58"/>
        <v/>
      </c>
      <c r="L1257" s="1" t="str">
        <f t="shared" si="59"/>
        <v/>
      </c>
      <c r="M1257" s="1">
        <f>IF(OR(Table1[[#This Row],[Std Nom]]="",Table1[[#This Row],[Std Read]]=""),0,Table1[[#This Row],[Std Nom]]-Table1[[#This Row],[Std Read]])</f>
        <v>0</v>
      </c>
      <c r="N1257" s="1">
        <f>IF(Calculations!$F$5="ACCREDITED 17025 WITH UNCERTAINTIES",$N$10,0)</f>
        <v>0</v>
      </c>
      <c r="O1257" s="1" t="str">
        <f>IFERROR(Table1[[#This Row],[Std Nom]]-(_xlfn.XLOOKUP(Table1[[#This Row],[Manufacturer]]&amp;" "&amp;Table1[[#This Row],[Model]],Table13[MFR &amp; MDL],Table13[Tolerance % CW ],"")/100*Table1[[#This Row],[Std Nom]]),"")</f>
        <v/>
      </c>
      <c r="P1257" s="1" t="str">
        <f>IFERROR(Table1[[#This Row],[Std Nom]]+(_xlfn.XLOOKUP(Table1[[#This Row],[Manufacturer]]&amp;" "&amp;Table1[[#This Row],[Model]],Table13[MFR &amp; MDL],Table13[Tolerance % CW ],"")/100*Table1[[#This Row],[Std Nom]]),"")</f>
        <v/>
      </c>
      <c r="Q1257" s="1" t="e">
        <f>Table1[[#This Row],[High Tol]]-Table1[[#This Row],[Low Tol]]</f>
        <v>#VALUE!</v>
      </c>
      <c r="R1257" s="1">
        <f>2*Table1[[#This Row],[Std Error]]</f>
        <v>0</v>
      </c>
      <c r="S1257" s="1" t="str">
        <f>IF(Table1[[#This Row],[High Tol]]="","N/A",IFERROR(ABS(Table1[[#This Row],[Tol Span]]/Table1[[#This Row],[Error Span]]),"N/A"))</f>
        <v>N/A</v>
      </c>
      <c r="T1257" s="1" t="str">
        <f>IF(OR(Table1[[#This Row],[Low Tol]]="",Table1[[#This Row],[High Tol]]=""),"Needs Analysis",IF(Table1[[#This Row],[Ratio]]&gt;=4,"Not Significant",IF(Table1[[#This Row],[Ratio]]&gt;=2,"Semi-Significant","Significant")))</f>
        <v>Needs Analysis</v>
      </c>
      <c r="W1257" s="1">
        <f>IF(Table1[[#This Row],[Cal Type]]&lt;&gt;"ACCREDITED 17025 WITH UNCERTAINTIES",0,"")</f>
        <v>0</v>
      </c>
      <c r="X1257" s="1" t="str">
        <f>IF(Table1[[#This Row],[DUT Read]]="","N/A",Table1[[#This Row],[Std Error]]+Table1[[#This Row],[DUT Read]]+Table1[[#This Row],[DUT Ucty]])</f>
        <v>N/A</v>
      </c>
      <c r="Y1257" s="1" t="str">
        <f>IF(Table1[[#This Row],[Std Read]]="","N/A",Table1[[#This Row],[Std Read]]+Table1[[#This Row],[Std Ucty]])</f>
        <v>N/A</v>
      </c>
      <c r="Z12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7" s="1" t="str">
        <f>IF(Table1[[#This Row],[Spec Type]]="","N/A",Table1[[#This Row],[Spec Type]])</f>
        <v>±</v>
      </c>
      <c r="AC1257" s="1" t="str">
        <f>IF(Table1[[#This Row],[Spec Type2]]="N/A","N/A",IF(AND(Table1[[#This Row],[DUT Adj Read]]&gt;=Table1[[#This Row],[Low Tol]],Table1[[#This Row],[DUT Adj Read]]&lt;=Table1[[#This Row],[High Tol]]),"Pass","Fail"))</f>
        <v>Fail</v>
      </c>
      <c r="AD1257" s="1" t="str">
        <f>IF(AND(Table1[[#This Row],[Spec Type2]]="N/A",Table1[[#This Row],[DUT Adj Read]]="N/A",Table1[[#This Row],[Std Adj Read]]="N/A"),"N/A",IF(Table1[[#This Row],[DUT Adj Read]]="N/A",IF(Table1[[#This Row],[Std Adj Read]]&gt;Table1[[#This Row],[Low Tol]],"Pass","Fail"),IF(Table1[[#This Row],[DUT Adj Read]]&gt;Table1[[#This Row],[Low Tol]],"Pass","Fail")))</f>
        <v>Pass</v>
      </c>
      <c r="AE1257" s="1" t="str">
        <f>IF(AND(Table1[[#This Row],[Spec Type2]]="N/A",Table1[[#This Row],[DUT Adj Read]]="N/A",Table1[[#This Row],[Std Adj Read]]="N/A"),"N/A",IF(Table1[[#This Row],[DUT Adj Read]]="N/A",IF(Table1[[#This Row],[Std Adj Read]]&lt;Table1[[#This Row],[High Tol]],"Pass","Fail"),IF(Table1[[#This Row],[DUT Adj Read]]&lt;Table1[[#This Row],[High Tol]],"Pass","Fail")))</f>
        <v>Fail</v>
      </c>
      <c r="AF1257" s="1" t="str">
        <f>IF(AND(Table1[[#This Row],[Spec Type2]]="N/A",Table1[[#This Row],[DUT Adj Read]]="N/A",Table1[[#This Row],[Std Adj Read]]="N/A"),"N/A",IF(Table1[[#This Row],[DUT Adj Read]]="N/A",IF(Table1[[#This Row],[Std Adj Read]]&gt;=Table1[[#This Row],[Low Tol]],"Pass","Fail"),IF(Table1[[#This Row],[DUT Adj Read]]&gt;=Table1[[#This Row],[Low Tol]],"Pass","Fail")))</f>
        <v>Pass</v>
      </c>
      <c r="AG1257" s="1" t="str">
        <f>IF(AND(Table1[[#This Row],[Spec Type2]]="N/A",Table1[[#This Row],[DUT Adj Read]]="N/A",Table1[[#This Row],[Std Adj Read]]="N/A"),"N/A",IF(Table1[[#This Row],[DUT Adj Read]]="N/A",IF(Table1[[#This Row],[Std Adj Read]]&lt;=Table1[[#This Row],[High Tol]],"Pass","Fail"),IF(Table1[[#This Row],[DUT Adj Read]]&lt;=Table1[[#This Row],[High Tol]],"Pass","Fail")))</f>
        <v>Fail</v>
      </c>
      <c r="AH12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7" s="1" t="b">
        <v>0</v>
      </c>
      <c r="AN1257" s="1" t="b">
        <v>0</v>
      </c>
      <c r="AO1257" s="1" t="b">
        <v>0</v>
      </c>
    </row>
    <row r="1258" spans="1:41" x14ac:dyDescent="0.25">
      <c r="A1258" s="10"/>
      <c r="B1258" s="10"/>
      <c r="C1258" s="10"/>
      <c r="D1258" s="10"/>
      <c r="E1258" s="10"/>
      <c r="F1258" s="10"/>
      <c r="G1258" s="10"/>
      <c r="H1258" s="10"/>
      <c r="I1258" s="1" t="str">
        <f t="shared" si="57"/>
        <v/>
      </c>
      <c r="J1258" s="1" t="s">
        <v>35</v>
      </c>
      <c r="K1258" s="1" t="str">
        <f t="shared" si="58"/>
        <v/>
      </c>
      <c r="L1258" s="1" t="str">
        <f t="shared" si="59"/>
        <v/>
      </c>
      <c r="M1258" s="1">
        <f>IF(OR(Table1[[#This Row],[Std Nom]]="",Table1[[#This Row],[Std Read]]=""),0,Table1[[#This Row],[Std Nom]]-Table1[[#This Row],[Std Read]])</f>
        <v>0</v>
      </c>
      <c r="N1258" s="1">
        <f>IF(Calculations!$F$5="ACCREDITED 17025 WITH UNCERTAINTIES",$N$10,0)</f>
        <v>0</v>
      </c>
      <c r="O1258" s="1" t="str">
        <f>IFERROR(Table1[[#This Row],[Std Nom]]-(_xlfn.XLOOKUP(Table1[[#This Row],[Manufacturer]]&amp;" "&amp;Table1[[#This Row],[Model]],Table13[MFR &amp; MDL],Table13[Tolerance % CW ],"")/100*Table1[[#This Row],[Std Nom]]),"")</f>
        <v/>
      </c>
      <c r="P1258" s="1" t="str">
        <f>IFERROR(Table1[[#This Row],[Std Nom]]+(_xlfn.XLOOKUP(Table1[[#This Row],[Manufacturer]]&amp;" "&amp;Table1[[#This Row],[Model]],Table13[MFR &amp; MDL],Table13[Tolerance % CW ],"")/100*Table1[[#This Row],[Std Nom]]),"")</f>
        <v/>
      </c>
      <c r="Q1258" s="1" t="e">
        <f>Table1[[#This Row],[High Tol]]-Table1[[#This Row],[Low Tol]]</f>
        <v>#VALUE!</v>
      </c>
      <c r="R1258" s="1">
        <f>2*Table1[[#This Row],[Std Error]]</f>
        <v>0</v>
      </c>
      <c r="S1258" s="1" t="str">
        <f>IF(Table1[[#This Row],[High Tol]]="","N/A",IFERROR(ABS(Table1[[#This Row],[Tol Span]]/Table1[[#This Row],[Error Span]]),"N/A"))</f>
        <v>N/A</v>
      </c>
      <c r="T1258" s="1" t="str">
        <f>IF(OR(Table1[[#This Row],[Low Tol]]="",Table1[[#This Row],[High Tol]]=""),"Needs Analysis",IF(Table1[[#This Row],[Ratio]]&gt;=4,"Not Significant",IF(Table1[[#This Row],[Ratio]]&gt;=2,"Semi-Significant","Significant")))</f>
        <v>Needs Analysis</v>
      </c>
      <c r="W1258" s="1">
        <f>IF(Table1[[#This Row],[Cal Type]]&lt;&gt;"ACCREDITED 17025 WITH UNCERTAINTIES",0,"")</f>
        <v>0</v>
      </c>
      <c r="X1258" s="1" t="str">
        <f>IF(Table1[[#This Row],[DUT Read]]="","N/A",Table1[[#This Row],[Std Error]]+Table1[[#This Row],[DUT Read]]+Table1[[#This Row],[DUT Ucty]])</f>
        <v>N/A</v>
      </c>
      <c r="Y1258" s="1" t="str">
        <f>IF(Table1[[#This Row],[Std Read]]="","N/A",Table1[[#This Row],[Std Read]]+Table1[[#This Row],[Std Ucty]])</f>
        <v>N/A</v>
      </c>
      <c r="Z12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8" s="1" t="str">
        <f>IF(Table1[[#This Row],[Spec Type]]="","N/A",Table1[[#This Row],[Spec Type]])</f>
        <v>±</v>
      </c>
      <c r="AC1258" s="1" t="str">
        <f>IF(Table1[[#This Row],[Spec Type2]]="N/A","N/A",IF(AND(Table1[[#This Row],[DUT Adj Read]]&gt;=Table1[[#This Row],[Low Tol]],Table1[[#This Row],[DUT Adj Read]]&lt;=Table1[[#This Row],[High Tol]]),"Pass","Fail"))</f>
        <v>Fail</v>
      </c>
      <c r="AD1258" s="1" t="str">
        <f>IF(AND(Table1[[#This Row],[Spec Type2]]="N/A",Table1[[#This Row],[DUT Adj Read]]="N/A",Table1[[#This Row],[Std Adj Read]]="N/A"),"N/A",IF(Table1[[#This Row],[DUT Adj Read]]="N/A",IF(Table1[[#This Row],[Std Adj Read]]&gt;Table1[[#This Row],[Low Tol]],"Pass","Fail"),IF(Table1[[#This Row],[DUT Adj Read]]&gt;Table1[[#This Row],[Low Tol]],"Pass","Fail")))</f>
        <v>Pass</v>
      </c>
      <c r="AE1258" s="1" t="str">
        <f>IF(AND(Table1[[#This Row],[Spec Type2]]="N/A",Table1[[#This Row],[DUT Adj Read]]="N/A",Table1[[#This Row],[Std Adj Read]]="N/A"),"N/A",IF(Table1[[#This Row],[DUT Adj Read]]="N/A",IF(Table1[[#This Row],[Std Adj Read]]&lt;Table1[[#This Row],[High Tol]],"Pass","Fail"),IF(Table1[[#This Row],[DUT Adj Read]]&lt;Table1[[#This Row],[High Tol]],"Pass","Fail")))</f>
        <v>Fail</v>
      </c>
      <c r="AF1258" s="1" t="str">
        <f>IF(AND(Table1[[#This Row],[Spec Type2]]="N/A",Table1[[#This Row],[DUT Adj Read]]="N/A",Table1[[#This Row],[Std Adj Read]]="N/A"),"N/A",IF(Table1[[#This Row],[DUT Adj Read]]="N/A",IF(Table1[[#This Row],[Std Adj Read]]&gt;=Table1[[#This Row],[Low Tol]],"Pass","Fail"),IF(Table1[[#This Row],[DUT Adj Read]]&gt;=Table1[[#This Row],[Low Tol]],"Pass","Fail")))</f>
        <v>Pass</v>
      </c>
      <c r="AG1258" s="1" t="str">
        <f>IF(AND(Table1[[#This Row],[Spec Type2]]="N/A",Table1[[#This Row],[DUT Adj Read]]="N/A",Table1[[#This Row],[Std Adj Read]]="N/A"),"N/A",IF(Table1[[#This Row],[DUT Adj Read]]="N/A",IF(Table1[[#This Row],[Std Adj Read]]&lt;=Table1[[#This Row],[High Tol]],"Pass","Fail"),IF(Table1[[#This Row],[DUT Adj Read]]&lt;=Table1[[#This Row],[High Tol]],"Pass","Fail")))</f>
        <v>Fail</v>
      </c>
      <c r="AH12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8" s="1" t="b">
        <v>0</v>
      </c>
      <c r="AN1258" s="1" t="b">
        <v>0</v>
      </c>
      <c r="AO1258" s="1" t="b">
        <v>0</v>
      </c>
    </row>
    <row r="1259" spans="1:41" x14ac:dyDescent="0.25">
      <c r="A1259" s="10"/>
      <c r="B1259" s="10"/>
      <c r="C1259" s="10"/>
      <c r="D1259" s="10"/>
      <c r="E1259" s="10"/>
      <c r="F1259" s="10"/>
      <c r="G1259" s="10"/>
      <c r="H1259" s="10"/>
      <c r="I1259" s="1" t="str">
        <f t="shared" si="57"/>
        <v/>
      </c>
      <c r="J1259" s="1" t="s">
        <v>35</v>
      </c>
      <c r="K1259" s="1" t="str">
        <f t="shared" si="58"/>
        <v/>
      </c>
      <c r="L1259" s="1" t="str">
        <f t="shared" si="59"/>
        <v/>
      </c>
      <c r="M1259" s="1">
        <f>IF(OR(Table1[[#This Row],[Std Nom]]="",Table1[[#This Row],[Std Read]]=""),0,Table1[[#This Row],[Std Nom]]-Table1[[#This Row],[Std Read]])</f>
        <v>0</v>
      </c>
      <c r="N1259" s="1">
        <f>IF(Calculations!$F$5="ACCREDITED 17025 WITH UNCERTAINTIES",$N$10,0)</f>
        <v>0</v>
      </c>
      <c r="O1259" s="1" t="str">
        <f>IFERROR(Table1[[#This Row],[Std Nom]]-(_xlfn.XLOOKUP(Table1[[#This Row],[Manufacturer]]&amp;" "&amp;Table1[[#This Row],[Model]],Table13[MFR &amp; MDL],Table13[Tolerance % CW ],"")/100*Table1[[#This Row],[Std Nom]]),"")</f>
        <v/>
      </c>
      <c r="P1259" s="1" t="str">
        <f>IFERROR(Table1[[#This Row],[Std Nom]]+(_xlfn.XLOOKUP(Table1[[#This Row],[Manufacturer]]&amp;" "&amp;Table1[[#This Row],[Model]],Table13[MFR &amp; MDL],Table13[Tolerance % CW ],"")/100*Table1[[#This Row],[Std Nom]]),"")</f>
        <v/>
      </c>
      <c r="Q1259" s="1" t="e">
        <f>Table1[[#This Row],[High Tol]]-Table1[[#This Row],[Low Tol]]</f>
        <v>#VALUE!</v>
      </c>
      <c r="R1259" s="1">
        <f>2*Table1[[#This Row],[Std Error]]</f>
        <v>0</v>
      </c>
      <c r="S1259" s="1" t="str">
        <f>IF(Table1[[#This Row],[High Tol]]="","N/A",IFERROR(ABS(Table1[[#This Row],[Tol Span]]/Table1[[#This Row],[Error Span]]),"N/A"))</f>
        <v>N/A</v>
      </c>
      <c r="T1259" s="1" t="str">
        <f>IF(OR(Table1[[#This Row],[Low Tol]]="",Table1[[#This Row],[High Tol]]=""),"Needs Analysis",IF(Table1[[#This Row],[Ratio]]&gt;=4,"Not Significant",IF(Table1[[#This Row],[Ratio]]&gt;=2,"Semi-Significant","Significant")))</f>
        <v>Needs Analysis</v>
      </c>
      <c r="W1259" s="1">
        <f>IF(Table1[[#This Row],[Cal Type]]&lt;&gt;"ACCREDITED 17025 WITH UNCERTAINTIES",0,"")</f>
        <v>0</v>
      </c>
      <c r="X1259" s="1" t="str">
        <f>IF(Table1[[#This Row],[DUT Read]]="","N/A",Table1[[#This Row],[Std Error]]+Table1[[#This Row],[DUT Read]]+Table1[[#This Row],[DUT Ucty]])</f>
        <v>N/A</v>
      </c>
      <c r="Y1259" s="1" t="str">
        <f>IF(Table1[[#This Row],[Std Read]]="","N/A",Table1[[#This Row],[Std Read]]+Table1[[#This Row],[Std Ucty]])</f>
        <v>N/A</v>
      </c>
      <c r="Z12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9" s="1" t="str">
        <f>IF(Table1[[#This Row],[Spec Type]]="","N/A",Table1[[#This Row],[Spec Type]])</f>
        <v>±</v>
      </c>
      <c r="AC1259" s="1" t="str">
        <f>IF(Table1[[#This Row],[Spec Type2]]="N/A","N/A",IF(AND(Table1[[#This Row],[DUT Adj Read]]&gt;=Table1[[#This Row],[Low Tol]],Table1[[#This Row],[DUT Adj Read]]&lt;=Table1[[#This Row],[High Tol]]),"Pass","Fail"))</f>
        <v>Fail</v>
      </c>
      <c r="AD1259" s="1" t="str">
        <f>IF(AND(Table1[[#This Row],[Spec Type2]]="N/A",Table1[[#This Row],[DUT Adj Read]]="N/A",Table1[[#This Row],[Std Adj Read]]="N/A"),"N/A",IF(Table1[[#This Row],[DUT Adj Read]]="N/A",IF(Table1[[#This Row],[Std Adj Read]]&gt;Table1[[#This Row],[Low Tol]],"Pass","Fail"),IF(Table1[[#This Row],[DUT Adj Read]]&gt;Table1[[#This Row],[Low Tol]],"Pass","Fail")))</f>
        <v>Pass</v>
      </c>
      <c r="AE1259" s="1" t="str">
        <f>IF(AND(Table1[[#This Row],[Spec Type2]]="N/A",Table1[[#This Row],[DUT Adj Read]]="N/A",Table1[[#This Row],[Std Adj Read]]="N/A"),"N/A",IF(Table1[[#This Row],[DUT Adj Read]]="N/A",IF(Table1[[#This Row],[Std Adj Read]]&lt;Table1[[#This Row],[High Tol]],"Pass","Fail"),IF(Table1[[#This Row],[DUT Adj Read]]&lt;Table1[[#This Row],[High Tol]],"Pass","Fail")))</f>
        <v>Fail</v>
      </c>
      <c r="AF1259" s="1" t="str">
        <f>IF(AND(Table1[[#This Row],[Spec Type2]]="N/A",Table1[[#This Row],[DUT Adj Read]]="N/A",Table1[[#This Row],[Std Adj Read]]="N/A"),"N/A",IF(Table1[[#This Row],[DUT Adj Read]]="N/A",IF(Table1[[#This Row],[Std Adj Read]]&gt;=Table1[[#This Row],[Low Tol]],"Pass","Fail"),IF(Table1[[#This Row],[DUT Adj Read]]&gt;=Table1[[#This Row],[Low Tol]],"Pass","Fail")))</f>
        <v>Pass</v>
      </c>
      <c r="AG1259" s="1" t="str">
        <f>IF(AND(Table1[[#This Row],[Spec Type2]]="N/A",Table1[[#This Row],[DUT Adj Read]]="N/A",Table1[[#This Row],[Std Adj Read]]="N/A"),"N/A",IF(Table1[[#This Row],[DUT Adj Read]]="N/A",IF(Table1[[#This Row],[Std Adj Read]]&lt;=Table1[[#This Row],[High Tol]],"Pass","Fail"),IF(Table1[[#This Row],[DUT Adj Read]]&lt;=Table1[[#This Row],[High Tol]],"Pass","Fail")))</f>
        <v>Fail</v>
      </c>
      <c r="AH12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9" s="1" t="b">
        <v>0</v>
      </c>
      <c r="AN1259" s="1" t="b">
        <v>0</v>
      </c>
      <c r="AO1259" s="1" t="b">
        <v>0</v>
      </c>
    </row>
    <row r="1260" spans="1:41" x14ac:dyDescent="0.25">
      <c r="A1260" s="10"/>
      <c r="B1260" s="10"/>
      <c r="C1260" s="10"/>
      <c r="D1260" s="10"/>
      <c r="E1260" s="10"/>
      <c r="F1260" s="10"/>
      <c r="G1260" s="10"/>
      <c r="H1260" s="10"/>
      <c r="I1260" s="1" t="str">
        <f t="shared" si="57"/>
        <v/>
      </c>
      <c r="J1260" s="1" t="s">
        <v>35</v>
      </c>
      <c r="K1260" s="1" t="str">
        <f t="shared" si="58"/>
        <v/>
      </c>
      <c r="L1260" s="1" t="str">
        <f t="shared" si="59"/>
        <v/>
      </c>
      <c r="M1260" s="1">
        <f>IF(OR(Table1[[#This Row],[Std Nom]]="",Table1[[#This Row],[Std Read]]=""),0,Table1[[#This Row],[Std Nom]]-Table1[[#This Row],[Std Read]])</f>
        <v>0</v>
      </c>
      <c r="N1260" s="1">
        <f>IF(Calculations!$F$5="ACCREDITED 17025 WITH UNCERTAINTIES",$N$10,0)</f>
        <v>0</v>
      </c>
      <c r="O1260" s="1" t="str">
        <f>IFERROR(Table1[[#This Row],[Std Nom]]-(_xlfn.XLOOKUP(Table1[[#This Row],[Manufacturer]]&amp;" "&amp;Table1[[#This Row],[Model]],Table13[MFR &amp; MDL],Table13[Tolerance % CW ],"")/100*Table1[[#This Row],[Std Nom]]),"")</f>
        <v/>
      </c>
      <c r="P1260" s="1" t="str">
        <f>IFERROR(Table1[[#This Row],[Std Nom]]+(_xlfn.XLOOKUP(Table1[[#This Row],[Manufacturer]]&amp;" "&amp;Table1[[#This Row],[Model]],Table13[MFR &amp; MDL],Table13[Tolerance % CW ],"")/100*Table1[[#This Row],[Std Nom]]),"")</f>
        <v/>
      </c>
      <c r="Q1260" s="1" t="e">
        <f>Table1[[#This Row],[High Tol]]-Table1[[#This Row],[Low Tol]]</f>
        <v>#VALUE!</v>
      </c>
      <c r="R1260" s="1">
        <f>2*Table1[[#This Row],[Std Error]]</f>
        <v>0</v>
      </c>
      <c r="S1260" s="1" t="str">
        <f>IF(Table1[[#This Row],[High Tol]]="","N/A",IFERROR(ABS(Table1[[#This Row],[Tol Span]]/Table1[[#This Row],[Error Span]]),"N/A"))</f>
        <v>N/A</v>
      </c>
      <c r="T1260" s="1" t="str">
        <f>IF(OR(Table1[[#This Row],[Low Tol]]="",Table1[[#This Row],[High Tol]]=""),"Needs Analysis",IF(Table1[[#This Row],[Ratio]]&gt;=4,"Not Significant",IF(Table1[[#This Row],[Ratio]]&gt;=2,"Semi-Significant","Significant")))</f>
        <v>Needs Analysis</v>
      </c>
      <c r="W1260" s="1">
        <f>IF(Table1[[#This Row],[Cal Type]]&lt;&gt;"ACCREDITED 17025 WITH UNCERTAINTIES",0,"")</f>
        <v>0</v>
      </c>
      <c r="X1260" s="1" t="str">
        <f>IF(Table1[[#This Row],[DUT Read]]="","N/A",Table1[[#This Row],[Std Error]]+Table1[[#This Row],[DUT Read]]+Table1[[#This Row],[DUT Ucty]])</f>
        <v>N/A</v>
      </c>
      <c r="Y1260" s="1" t="str">
        <f>IF(Table1[[#This Row],[Std Read]]="","N/A",Table1[[#This Row],[Std Read]]+Table1[[#This Row],[Std Ucty]])</f>
        <v>N/A</v>
      </c>
      <c r="Z12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0" s="1" t="str">
        <f>IF(Table1[[#This Row],[Spec Type]]="","N/A",Table1[[#This Row],[Spec Type]])</f>
        <v>±</v>
      </c>
      <c r="AC1260" s="1" t="str">
        <f>IF(Table1[[#This Row],[Spec Type2]]="N/A","N/A",IF(AND(Table1[[#This Row],[DUT Adj Read]]&gt;=Table1[[#This Row],[Low Tol]],Table1[[#This Row],[DUT Adj Read]]&lt;=Table1[[#This Row],[High Tol]]),"Pass","Fail"))</f>
        <v>Fail</v>
      </c>
      <c r="AD1260" s="1" t="str">
        <f>IF(AND(Table1[[#This Row],[Spec Type2]]="N/A",Table1[[#This Row],[DUT Adj Read]]="N/A",Table1[[#This Row],[Std Adj Read]]="N/A"),"N/A",IF(Table1[[#This Row],[DUT Adj Read]]="N/A",IF(Table1[[#This Row],[Std Adj Read]]&gt;Table1[[#This Row],[Low Tol]],"Pass","Fail"),IF(Table1[[#This Row],[DUT Adj Read]]&gt;Table1[[#This Row],[Low Tol]],"Pass","Fail")))</f>
        <v>Pass</v>
      </c>
      <c r="AE1260" s="1" t="str">
        <f>IF(AND(Table1[[#This Row],[Spec Type2]]="N/A",Table1[[#This Row],[DUT Adj Read]]="N/A",Table1[[#This Row],[Std Adj Read]]="N/A"),"N/A",IF(Table1[[#This Row],[DUT Adj Read]]="N/A",IF(Table1[[#This Row],[Std Adj Read]]&lt;Table1[[#This Row],[High Tol]],"Pass","Fail"),IF(Table1[[#This Row],[DUT Adj Read]]&lt;Table1[[#This Row],[High Tol]],"Pass","Fail")))</f>
        <v>Fail</v>
      </c>
      <c r="AF1260" s="1" t="str">
        <f>IF(AND(Table1[[#This Row],[Spec Type2]]="N/A",Table1[[#This Row],[DUT Adj Read]]="N/A",Table1[[#This Row],[Std Adj Read]]="N/A"),"N/A",IF(Table1[[#This Row],[DUT Adj Read]]="N/A",IF(Table1[[#This Row],[Std Adj Read]]&gt;=Table1[[#This Row],[Low Tol]],"Pass","Fail"),IF(Table1[[#This Row],[DUT Adj Read]]&gt;=Table1[[#This Row],[Low Tol]],"Pass","Fail")))</f>
        <v>Pass</v>
      </c>
      <c r="AG1260" s="1" t="str">
        <f>IF(AND(Table1[[#This Row],[Spec Type2]]="N/A",Table1[[#This Row],[DUT Adj Read]]="N/A",Table1[[#This Row],[Std Adj Read]]="N/A"),"N/A",IF(Table1[[#This Row],[DUT Adj Read]]="N/A",IF(Table1[[#This Row],[Std Adj Read]]&lt;=Table1[[#This Row],[High Tol]],"Pass","Fail"),IF(Table1[[#This Row],[DUT Adj Read]]&lt;=Table1[[#This Row],[High Tol]],"Pass","Fail")))</f>
        <v>Fail</v>
      </c>
      <c r="AH12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0" s="1" t="b">
        <v>0</v>
      </c>
      <c r="AN1260" s="1" t="b">
        <v>0</v>
      </c>
      <c r="AO1260" s="1" t="b">
        <v>0</v>
      </c>
    </row>
    <row r="1261" spans="1:41" x14ac:dyDescent="0.25">
      <c r="A1261" s="10"/>
      <c r="B1261" s="10"/>
      <c r="C1261" s="10"/>
      <c r="D1261" s="10"/>
      <c r="E1261" s="10"/>
      <c r="F1261" s="10"/>
      <c r="G1261" s="10"/>
      <c r="H1261" s="10"/>
      <c r="I1261" s="1" t="str">
        <f t="shared" si="57"/>
        <v/>
      </c>
      <c r="J1261" s="1" t="s">
        <v>35</v>
      </c>
      <c r="K1261" s="1" t="str">
        <f t="shared" si="58"/>
        <v/>
      </c>
      <c r="L1261" s="1" t="str">
        <f t="shared" si="59"/>
        <v/>
      </c>
      <c r="M1261" s="1">
        <f>IF(OR(Table1[[#This Row],[Std Nom]]="",Table1[[#This Row],[Std Read]]=""),0,Table1[[#This Row],[Std Nom]]-Table1[[#This Row],[Std Read]])</f>
        <v>0</v>
      </c>
      <c r="N1261" s="1">
        <f>IF(Calculations!$F$5="ACCREDITED 17025 WITH UNCERTAINTIES",$N$10,0)</f>
        <v>0</v>
      </c>
      <c r="O1261" s="1" t="str">
        <f>IFERROR(Table1[[#This Row],[Std Nom]]-(_xlfn.XLOOKUP(Table1[[#This Row],[Manufacturer]]&amp;" "&amp;Table1[[#This Row],[Model]],Table13[MFR &amp; MDL],Table13[Tolerance % CW ],"")/100*Table1[[#This Row],[Std Nom]]),"")</f>
        <v/>
      </c>
      <c r="P1261" s="1" t="str">
        <f>IFERROR(Table1[[#This Row],[Std Nom]]+(_xlfn.XLOOKUP(Table1[[#This Row],[Manufacturer]]&amp;" "&amp;Table1[[#This Row],[Model]],Table13[MFR &amp; MDL],Table13[Tolerance % CW ],"")/100*Table1[[#This Row],[Std Nom]]),"")</f>
        <v/>
      </c>
      <c r="Q1261" s="1" t="e">
        <f>Table1[[#This Row],[High Tol]]-Table1[[#This Row],[Low Tol]]</f>
        <v>#VALUE!</v>
      </c>
      <c r="R1261" s="1">
        <f>2*Table1[[#This Row],[Std Error]]</f>
        <v>0</v>
      </c>
      <c r="S1261" s="1" t="str">
        <f>IF(Table1[[#This Row],[High Tol]]="","N/A",IFERROR(ABS(Table1[[#This Row],[Tol Span]]/Table1[[#This Row],[Error Span]]),"N/A"))</f>
        <v>N/A</v>
      </c>
      <c r="T1261" s="1" t="str">
        <f>IF(OR(Table1[[#This Row],[Low Tol]]="",Table1[[#This Row],[High Tol]]=""),"Needs Analysis",IF(Table1[[#This Row],[Ratio]]&gt;=4,"Not Significant",IF(Table1[[#This Row],[Ratio]]&gt;=2,"Semi-Significant","Significant")))</f>
        <v>Needs Analysis</v>
      </c>
      <c r="W1261" s="1">
        <f>IF(Table1[[#This Row],[Cal Type]]&lt;&gt;"ACCREDITED 17025 WITH UNCERTAINTIES",0,"")</f>
        <v>0</v>
      </c>
      <c r="X1261" s="1" t="str">
        <f>IF(Table1[[#This Row],[DUT Read]]="","N/A",Table1[[#This Row],[Std Error]]+Table1[[#This Row],[DUT Read]]+Table1[[#This Row],[DUT Ucty]])</f>
        <v>N/A</v>
      </c>
      <c r="Y1261" s="1" t="str">
        <f>IF(Table1[[#This Row],[Std Read]]="","N/A",Table1[[#This Row],[Std Read]]+Table1[[#This Row],[Std Ucty]])</f>
        <v>N/A</v>
      </c>
      <c r="Z12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1" s="1" t="str">
        <f>IF(Table1[[#This Row],[Spec Type]]="","N/A",Table1[[#This Row],[Spec Type]])</f>
        <v>±</v>
      </c>
      <c r="AC1261" s="1" t="str">
        <f>IF(Table1[[#This Row],[Spec Type2]]="N/A","N/A",IF(AND(Table1[[#This Row],[DUT Adj Read]]&gt;=Table1[[#This Row],[Low Tol]],Table1[[#This Row],[DUT Adj Read]]&lt;=Table1[[#This Row],[High Tol]]),"Pass","Fail"))</f>
        <v>Fail</v>
      </c>
      <c r="AD1261" s="1" t="str">
        <f>IF(AND(Table1[[#This Row],[Spec Type2]]="N/A",Table1[[#This Row],[DUT Adj Read]]="N/A",Table1[[#This Row],[Std Adj Read]]="N/A"),"N/A",IF(Table1[[#This Row],[DUT Adj Read]]="N/A",IF(Table1[[#This Row],[Std Adj Read]]&gt;Table1[[#This Row],[Low Tol]],"Pass","Fail"),IF(Table1[[#This Row],[DUT Adj Read]]&gt;Table1[[#This Row],[Low Tol]],"Pass","Fail")))</f>
        <v>Pass</v>
      </c>
      <c r="AE1261" s="1" t="str">
        <f>IF(AND(Table1[[#This Row],[Spec Type2]]="N/A",Table1[[#This Row],[DUT Adj Read]]="N/A",Table1[[#This Row],[Std Adj Read]]="N/A"),"N/A",IF(Table1[[#This Row],[DUT Adj Read]]="N/A",IF(Table1[[#This Row],[Std Adj Read]]&lt;Table1[[#This Row],[High Tol]],"Pass","Fail"),IF(Table1[[#This Row],[DUT Adj Read]]&lt;Table1[[#This Row],[High Tol]],"Pass","Fail")))</f>
        <v>Fail</v>
      </c>
      <c r="AF1261" s="1" t="str">
        <f>IF(AND(Table1[[#This Row],[Spec Type2]]="N/A",Table1[[#This Row],[DUT Adj Read]]="N/A",Table1[[#This Row],[Std Adj Read]]="N/A"),"N/A",IF(Table1[[#This Row],[DUT Adj Read]]="N/A",IF(Table1[[#This Row],[Std Adj Read]]&gt;=Table1[[#This Row],[Low Tol]],"Pass","Fail"),IF(Table1[[#This Row],[DUT Adj Read]]&gt;=Table1[[#This Row],[Low Tol]],"Pass","Fail")))</f>
        <v>Pass</v>
      </c>
      <c r="AG1261" s="1" t="str">
        <f>IF(AND(Table1[[#This Row],[Spec Type2]]="N/A",Table1[[#This Row],[DUT Adj Read]]="N/A",Table1[[#This Row],[Std Adj Read]]="N/A"),"N/A",IF(Table1[[#This Row],[DUT Adj Read]]="N/A",IF(Table1[[#This Row],[Std Adj Read]]&lt;=Table1[[#This Row],[High Tol]],"Pass","Fail"),IF(Table1[[#This Row],[DUT Adj Read]]&lt;=Table1[[#This Row],[High Tol]],"Pass","Fail")))</f>
        <v>Fail</v>
      </c>
      <c r="AH12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1" s="1" t="b">
        <v>0</v>
      </c>
      <c r="AN1261" s="1" t="b">
        <v>0</v>
      </c>
      <c r="AO1261" s="1" t="b">
        <v>0</v>
      </c>
    </row>
    <row r="1262" spans="1:41" x14ac:dyDescent="0.25">
      <c r="A1262" s="10"/>
      <c r="B1262" s="10"/>
      <c r="C1262" s="10"/>
      <c r="D1262" s="10"/>
      <c r="E1262" s="10"/>
      <c r="F1262" s="10"/>
      <c r="G1262" s="10"/>
      <c r="H1262" s="10"/>
      <c r="I1262" s="1" t="str">
        <f t="shared" si="57"/>
        <v/>
      </c>
      <c r="J1262" s="1" t="s">
        <v>35</v>
      </c>
      <c r="K1262" s="1" t="str">
        <f t="shared" si="58"/>
        <v/>
      </c>
      <c r="L1262" s="1" t="str">
        <f t="shared" si="59"/>
        <v/>
      </c>
      <c r="M1262" s="1">
        <f>IF(OR(Table1[[#This Row],[Std Nom]]="",Table1[[#This Row],[Std Read]]=""),0,Table1[[#This Row],[Std Nom]]-Table1[[#This Row],[Std Read]])</f>
        <v>0</v>
      </c>
      <c r="N1262" s="1">
        <f>IF(Calculations!$F$5="ACCREDITED 17025 WITH UNCERTAINTIES",$N$10,0)</f>
        <v>0</v>
      </c>
      <c r="O1262" s="1" t="str">
        <f>IFERROR(Table1[[#This Row],[Std Nom]]-(_xlfn.XLOOKUP(Table1[[#This Row],[Manufacturer]]&amp;" "&amp;Table1[[#This Row],[Model]],Table13[MFR &amp; MDL],Table13[Tolerance % CW ],"")/100*Table1[[#This Row],[Std Nom]]),"")</f>
        <v/>
      </c>
      <c r="P1262" s="1" t="str">
        <f>IFERROR(Table1[[#This Row],[Std Nom]]+(_xlfn.XLOOKUP(Table1[[#This Row],[Manufacturer]]&amp;" "&amp;Table1[[#This Row],[Model]],Table13[MFR &amp; MDL],Table13[Tolerance % CW ],"")/100*Table1[[#This Row],[Std Nom]]),"")</f>
        <v/>
      </c>
      <c r="Q1262" s="1" t="e">
        <f>Table1[[#This Row],[High Tol]]-Table1[[#This Row],[Low Tol]]</f>
        <v>#VALUE!</v>
      </c>
      <c r="R1262" s="1">
        <f>2*Table1[[#This Row],[Std Error]]</f>
        <v>0</v>
      </c>
      <c r="S1262" s="1" t="str">
        <f>IF(Table1[[#This Row],[High Tol]]="","N/A",IFERROR(ABS(Table1[[#This Row],[Tol Span]]/Table1[[#This Row],[Error Span]]),"N/A"))</f>
        <v>N/A</v>
      </c>
      <c r="T1262" s="1" t="str">
        <f>IF(OR(Table1[[#This Row],[Low Tol]]="",Table1[[#This Row],[High Tol]]=""),"Needs Analysis",IF(Table1[[#This Row],[Ratio]]&gt;=4,"Not Significant",IF(Table1[[#This Row],[Ratio]]&gt;=2,"Semi-Significant","Significant")))</f>
        <v>Needs Analysis</v>
      </c>
      <c r="W1262" s="1">
        <f>IF(Table1[[#This Row],[Cal Type]]&lt;&gt;"ACCREDITED 17025 WITH UNCERTAINTIES",0,"")</f>
        <v>0</v>
      </c>
      <c r="X1262" s="1" t="str">
        <f>IF(Table1[[#This Row],[DUT Read]]="","N/A",Table1[[#This Row],[Std Error]]+Table1[[#This Row],[DUT Read]]+Table1[[#This Row],[DUT Ucty]])</f>
        <v>N/A</v>
      </c>
      <c r="Y1262" s="1" t="str">
        <f>IF(Table1[[#This Row],[Std Read]]="","N/A",Table1[[#This Row],[Std Read]]+Table1[[#This Row],[Std Ucty]])</f>
        <v>N/A</v>
      </c>
      <c r="Z12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2" s="1" t="str">
        <f>IF(Table1[[#This Row],[Spec Type]]="","N/A",Table1[[#This Row],[Spec Type]])</f>
        <v>±</v>
      </c>
      <c r="AC1262" s="1" t="str">
        <f>IF(Table1[[#This Row],[Spec Type2]]="N/A","N/A",IF(AND(Table1[[#This Row],[DUT Adj Read]]&gt;=Table1[[#This Row],[Low Tol]],Table1[[#This Row],[DUT Adj Read]]&lt;=Table1[[#This Row],[High Tol]]),"Pass","Fail"))</f>
        <v>Fail</v>
      </c>
      <c r="AD1262" s="1" t="str">
        <f>IF(AND(Table1[[#This Row],[Spec Type2]]="N/A",Table1[[#This Row],[DUT Adj Read]]="N/A",Table1[[#This Row],[Std Adj Read]]="N/A"),"N/A",IF(Table1[[#This Row],[DUT Adj Read]]="N/A",IF(Table1[[#This Row],[Std Adj Read]]&gt;Table1[[#This Row],[Low Tol]],"Pass","Fail"),IF(Table1[[#This Row],[DUT Adj Read]]&gt;Table1[[#This Row],[Low Tol]],"Pass","Fail")))</f>
        <v>Pass</v>
      </c>
      <c r="AE1262" s="1" t="str">
        <f>IF(AND(Table1[[#This Row],[Spec Type2]]="N/A",Table1[[#This Row],[DUT Adj Read]]="N/A",Table1[[#This Row],[Std Adj Read]]="N/A"),"N/A",IF(Table1[[#This Row],[DUT Adj Read]]="N/A",IF(Table1[[#This Row],[Std Adj Read]]&lt;Table1[[#This Row],[High Tol]],"Pass","Fail"),IF(Table1[[#This Row],[DUT Adj Read]]&lt;Table1[[#This Row],[High Tol]],"Pass","Fail")))</f>
        <v>Fail</v>
      </c>
      <c r="AF1262" s="1" t="str">
        <f>IF(AND(Table1[[#This Row],[Spec Type2]]="N/A",Table1[[#This Row],[DUT Adj Read]]="N/A",Table1[[#This Row],[Std Adj Read]]="N/A"),"N/A",IF(Table1[[#This Row],[DUT Adj Read]]="N/A",IF(Table1[[#This Row],[Std Adj Read]]&gt;=Table1[[#This Row],[Low Tol]],"Pass","Fail"),IF(Table1[[#This Row],[DUT Adj Read]]&gt;=Table1[[#This Row],[Low Tol]],"Pass","Fail")))</f>
        <v>Pass</v>
      </c>
      <c r="AG1262" s="1" t="str">
        <f>IF(AND(Table1[[#This Row],[Spec Type2]]="N/A",Table1[[#This Row],[DUT Adj Read]]="N/A",Table1[[#This Row],[Std Adj Read]]="N/A"),"N/A",IF(Table1[[#This Row],[DUT Adj Read]]="N/A",IF(Table1[[#This Row],[Std Adj Read]]&lt;=Table1[[#This Row],[High Tol]],"Pass","Fail"),IF(Table1[[#This Row],[DUT Adj Read]]&lt;=Table1[[#This Row],[High Tol]],"Pass","Fail")))</f>
        <v>Fail</v>
      </c>
      <c r="AH12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2" s="1" t="b">
        <v>0</v>
      </c>
      <c r="AN1262" s="1" t="b">
        <v>0</v>
      </c>
      <c r="AO1262" s="1" t="b">
        <v>0</v>
      </c>
    </row>
    <row r="1263" spans="1:41" x14ac:dyDescent="0.25">
      <c r="A1263" s="10"/>
      <c r="B1263" s="10"/>
      <c r="C1263" s="10"/>
      <c r="D1263" s="10"/>
      <c r="E1263" s="10"/>
      <c r="F1263" s="10"/>
      <c r="G1263" s="10"/>
      <c r="H1263" s="10"/>
      <c r="I1263" s="1" t="str">
        <f t="shared" si="57"/>
        <v/>
      </c>
      <c r="J1263" s="1" t="s">
        <v>35</v>
      </c>
      <c r="K1263" s="1" t="str">
        <f t="shared" si="58"/>
        <v/>
      </c>
      <c r="L1263" s="1" t="str">
        <f t="shared" si="59"/>
        <v/>
      </c>
      <c r="M1263" s="1">
        <f>IF(OR(Table1[[#This Row],[Std Nom]]="",Table1[[#This Row],[Std Read]]=""),0,Table1[[#This Row],[Std Nom]]-Table1[[#This Row],[Std Read]])</f>
        <v>0</v>
      </c>
      <c r="N1263" s="1">
        <f>IF(Calculations!$F$5="ACCREDITED 17025 WITH UNCERTAINTIES",$N$10,0)</f>
        <v>0</v>
      </c>
      <c r="O1263" s="1" t="str">
        <f>IFERROR(Table1[[#This Row],[Std Nom]]-(_xlfn.XLOOKUP(Table1[[#This Row],[Manufacturer]]&amp;" "&amp;Table1[[#This Row],[Model]],Table13[MFR &amp; MDL],Table13[Tolerance % CW ],"")/100*Table1[[#This Row],[Std Nom]]),"")</f>
        <v/>
      </c>
      <c r="P1263" s="1" t="str">
        <f>IFERROR(Table1[[#This Row],[Std Nom]]+(_xlfn.XLOOKUP(Table1[[#This Row],[Manufacturer]]&amp;" "&amp;Table1[[#This Row],[Model]],Table13[MFR &amp; MDL],Table13[Tolerance % CW ],"")/100*Table1[[#This Row],[Std Nom]]),"")</f>
        <v/>
      </c>
      <c r="Q1263" s="1" t="e">
        <f>Table1[[#This Row],[High Tol]]-Table1[[#This Row],[Low Tol]]</f>
        <v>#VALUE!</v>
      </c>
      <c r="R1263" s="1">
        <f>2*Table1[[#This Row],[Std Error]]</f>
        <v>0</v>
      </c>
      <c r="S1263" s="1" t="str">
        <f>IF(Table1[[#This Row],[High Tol]]="","N/A",IFERROR(ABS(Table1[[#This Row],[Tol Span]]/Table1[[#This Row],[Error Span]]),"N/A"))</f>
        <v>N/A</v>
      </c>
      <c r="T1263" s="1" t="str">
        <f>IF(OR(Table1[[#This Row],[Low Tol]]="",Table1[[#This Row],[High Tol]]=""),"Needs Analysis",IF(Table1[[#This Row],[Ratio]]&gt;=4,"Not Significant",IF(Table1[[#This Row],[Ratio]]&gt;=2,"Semi-Significant","Significant")))</f>
        <v>Needs Analysis</v>
      </c>
      <c r="W1263" s="1">
        <f>IF(Table1[[#This Row],[Cal Type]]&lt;&gt;"ACCREDITED 17025 WITH UNCERTAINTIES",0,"")</f>
        <v>0</v>
      </c>
      <c r="X1263" s="1" t="str">
        <f>IF(Table1[[#This Row],[DUT Read]]="","N/A",Table1[[#This Row],[Std Error]]+Table1[[#This Row],[DUT Read]]+Table1[[#This Row],[DUT Ucty]])</f>
        <v>N/A</v>
      </c>
      <c r="Y1263" s="1" t="str">
        <f>IF(Table1[[#This Row],[Std Read]]="","N/A",Table1[[#This Row],[Std Read]]+Table1[[#This Row],[Std Ucty]])</f>
        <v>N/A</v>
      </c>
      <c r="Z12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3" s="1" t="str">
        <f>IF(Table1[[#This Row],[Spec Type]]="","N/A",Table1[[#This Row],[Spec Type]])</f>
        <v>±</v>
      </c>
      <c r="AC1263" s="1" t="str">
        <f>IF(Table1[[#This Row],[Spec Type2]]="N/A","N/A",IF(AND(Table1[[#This Row],[DUT Adj Read]]&gt;=Table1[[#This Row],[Low Tol]],Table1[[#This Row],[DUT Adj Read]]&lt;=Table1[[#This Row],[High Tol]]),"Pass","Fail"))</f>
        <v>Fail</v>
      </c>
      <c r="AD1263" s="1" t="str">
        <f>IF(AND(Table1[[#This Row],[Spec Type2]]="N/A",Table1[[#This Row],[DUT Adj Read]]="N/A",Table1[[#This Row],[Std Adj Read]]="N/A"),"N/A",IF(Table1[[#This Row],[DUT Adj Read]]="N/A",IF(Table1[[#This Row],[Std Adj Read]]&gt;Table1[[#This Row],[Low Tol]],"Pass","Fail"),IF(Table1[[#This Row],[DUT Adj Read]]&gt;Table1[[#This Row],[Low Tol]],"Pass","Fail")))</f>
        <v>Pass</v>
      </c>
      <c r="AE1263" s="1" t="str">
        <f>IF(AND(Table1[[#This Row],[Spec Type2]]="N/A",Table1[[#This Row],[DUT Adj Read]]="N/A",Table1[[#This Row],[Std Adj Read]]="N/A"),"N/A",IF(Table1[[#This Row],[DUT Adj Read]]="N/A",IF(Table1[[#This Row],[Std Adj Read]]&lt;Table1[[#This Row],[High Tol]],"Pass","Fail"),IF(Table1[[#This Row],[DUT Adj Read]]&lt;Table1[[#This Row],[High Tol]],"Pass","Fail")))</f>
        <v>Fail</v>
      </c>
      <c r="AF1263" s="1" t="str">
        <f>IF(AND(Table1[[#This Row],[Spec Type2]]="N/A",Table1[[#This Row],[DUT Adj Read]]="N/A",Table1[[#This Row],[Std Adj Read]]="N/A"),"N/A",IF(Table1[[#This Row],[DUT Adj Read]]="N/A",IF(Table1[[#This Row],[Std Adj Read]]&gt;=Table1[[#This Row],[Low Tol]],"Pass","Fail"),IF(Table1[[#This Row],[DUT Adj Read]]&gt;=Table1[[#This Row],[Low Tol]],"Pass","Fail")))</f>
        <v>Pass</v>
      </c>
      <c r="AG1263" s="1" t="str">
        <f>IF(AND(Table1[[#This Row],[Spec Type2]]="N/A",Table1[[#This Row],[DUT Adj Read]]="N/A",Table1[[#This Row],[Std Adj Read]]="N/A"),"N/A",IF(Table1[[#This Row],[DUT Adj Read]]="N/A",IF(Table1[[#This Row],[Std Adj Read]]&lt;=Table1[[#This Row],[High Tol]],"Pass","Fail"),IF(Table1[[#This Row],[DUT Adj Read]]&lt;=Table1[[#This Row],[High Tol]],"Pass","Fail")))</f>
        <v>Fail</v>
      </c>
      <c r="AH12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3" s="1" t="b">
        <v>0</v>
      </c>
      <c r="AN1263" s="1" t="b">
        <v>0</v>
      </c>
      <c r="AO1263" s="1" t="b">
        <v>0</v>
      </c>
    </row>
    <row r="1264" spans="1:41" x14ac:dyDescent="0.25">
      <c r="A1264" s="10"/>
      <c r="B1264" s="10"/>
      <c r="C1264" s="10"/>
      <c r="D1264" s="10"/>
      <c r="E1264" s="10"/>
      <c r="F1264" s="10"/>
      <c r="G1264" s="10"/>
      <c r="H1264" s="10"/>
      <c r="I1264" s="1" t="str">
        <f t="shared" si="57"/>
        <v/>
      </c>
      <c r="J1264" s="1" t="s">
        <v>35</v>
      </c>
      <c r="K1264" s="1" t="str">
        <f t="shared" si="58"/>
        <v/>
      </c>
      <c r="L1264" s="1" t="str">
        <f t="shared" si="59"/>
        <v/>
      </c>
      <c r="M1264" s="1">
        <f>IF(OR(Table1[[#This Row],[Std Nom]]="",Table1[[#This Row],[Std Read]]=""),0,Table1[[#This Row],[Std Nom]]-Table1[[#This Row],[Std Read]])</f>
        <v>0</v>
      </c>
      <c r="N1264" s="1">
        <f>IF(Calculations!$F$5="ACCREDITED 17025 WITH UNCERTAINTIES",$N$10,0)</f>
        <v>0</v>
      </c>
      <c r="O1264" s="1" t="str">
        <f>IFERROR(Table1[[#This Row],[Std Nom]]-(_xlfn.XLOOKUP(Table1[[#This Row],[Manufacturer]]&amp;" "&amp;Table1[[#This Row],[Model]],Table13[MFR &amp; MDL],Table13[Tolerance % CW ],"")/100*Table1[[#This Row],[Std Nom]]),"")</f>
        <v/>
      </c>
      <c r="P1264" s="1" t="str">
        <f>IFERROR(Table1[[#This Row],[Std Nom]]+(_xlfn.XLOOKUP(Table1[[#This Row],[Manufacturer]]&amp;" "&amp;Table1[[#This Row],[Model]],Table13[MFR &amp; MDL],Table13[Tolerance % CW ],"")/100*Table1[[#This Row],[Std Nom]]),"")</f>
        <v/>
      </c>
      <c r="Q1264" s="1" t="e">
        <f>Table1[[#This Row],[High Tol]]-Table1[[#This Row],[Low Tol]]</f>
        <v>#VALUE!</v>
      </c>
      <c r="R1264" s="1">
        <f>2*Table1[[#This Row],[Std Error]]</f>
        <v>0</v>
      </c>
      <c r="S1264" s="1" t="str">
        <f>IF(Table1[[#This Row],[High Tol]]="","N/A",IFERROR(ABS(Table1[[#This Row],[Tol Span]]/Table1[[#This Row],[Error Span]]),"N/A"))</f>
        <v>N/A</v>
      </c>
      <c r="T1264" s="1" t="str">
        <f>IF(OR(Table1[[#This Row],[Low Tol]]="",Table1[[#This Row],[High Tol]]=""),"Needs Analysis",IF(Table1[[#This Row],[Ratio]]&gt;=4,"Not Significant",IF(Table1[[#This Row],[Ratio]]&gt;=2,"Semi-Significant","Significant")))</f>
        <v>Needs Analysis</v>
      </c>
      <c r="W1264" s="1">
        <f>IF(Table1[[#This Row],[Cal Type]]&lt;&gt;"ACCREDITED 17025 WITH UNCERTAINTIES",0,"")</f>
        <v>0</v>
      </c>
      <c r="X1264" s="1" t="str">
        <f>IF(Table1[[#This Row],[DUT Read]]="","N/A",Table1[[#This Row],[Std Error]]+Table1[[#This Row],[DUT Read]]+Table1[[#This Row],[DUT Ucty]])</f>
        <v>N/A</v>
      </c>
      <c r="Y1264" s="1" t="str">
        <f>IF(Table1[[#This Row],[Std Read]]="","N/A",Table1[[#This Row],[Std Read]]+Table1[[#This Row],[Std Ucty]])</f>
        <v>N/A</v>
      </c>
      <c r="Z12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4" s="1" t="str">
        <f>IF(Table1[[#This Row],[Spec Type]]="","N/A",Table1[[#This Row],[Spec Type]])</f>
        <v>±</v>
      </c>
      <c r="AC1264" s="1" t="str">
        <f>IF(Table1[[#This Row],[Spec Type2]]="N/A","N/A",IF(AND(Table1[[#This Row],[DUT Adj Read]]&gt;=Table1[[#This Row],[Low Tol]],Table1[[#This Row],[DUT Adj Read]]&lt;=Table1[[#This Row],[High Tol]]),"Pass","Fail"))</f>
        <v>Fail</v>
      </c>
      <c r="AD1264" s="1" t="str">
        <f>IF(AND(Table1[[#This Row],[Spec Type2]]="N/A",Table1[[#This Row],[DUT Adj Read]]="N/A",Table1[[#This Row],[Std Adj Read]]="N/A"),"N/A",IF(Table1[[#This Row],[DUT Adj Read]]="N/A",IF(Table1[[#This Row],[Std Adj Read]]&gt;Table1[[#This Row],[Low Tol]],"Pass","Fail"),IF(Table1[[#This Row],[DUT Adj Read]]&gt;Table1[[#This Row],[Low Tol]],"Pass","Fail")))</f>
        <v>Pass</v>
      </c>
      <c r="AE1264" s="1" t="str">
        <f>IF(AND(Table1[[#This Row],[Spec Type2]]="N/A",Table1[[#This Row],[DUT Adj Read]]="N/A",Table1[[#This Row],[Std Adj Read]]="N/A"),"N/A",IF(Table1[[#This Row],[DUT Adj Read]]="N/A",IF(Table1[[#This Row],[Std Adj Read]]&lt;Table1[[#This Row],[High Tol]],"Pass","Fail"),IF(Table1[[#This Row],[DUT Adj Read]]&lt;Table1[[#This Row],[High Tol]],"Pass","Fail")))</f>
        <v>Fail</v>
      </c>
      <c r="AF1264" s="1" t="str">
        <f>IF(AND(Table1[[#This Row],[Spec Type2]]="N/A",Table1[[#This Row],[DUT Adj Read]]="N/A",Table1[[#This Row],[Std Adj Read]]="N/A"),"N/A",IF(Table1[[#This Row],[DUT Adj Read]]="N/A",IF(Table1[[#This Row],[Std Adj Read]]&gt;=Table1[[#This Row],[Low Tol]],"Pass","Fail"),IF(Table1[[#This Row],[DUT Adj Read]]&gt;=Table1[[#This Row],[Low Tol]],"Pass","Fail")))</f>
        <v>Pass</v>
      </c>
      <c r="AG1264" s="1" t="str">
        <f>IF(AND(Table1[[#This Row],[Spec Type2]]="N/A",Table1[[#This Row],[DUT Adj Read]]="N/A",Table1[[#This Row],[Std Adj Read]]="N/A"),"N/A",IF(Table1[[#This Row],[DUT Adj Read]]="N/A",IF(Table1[[#This Row],[Std Adj Read]]&lt;=Table1[[#This Row],[High Tol]],"Pass","Fail"),IF(Table1[[#This Row],[DUT Adj Read]]&lt;=Table1[[#This Row],[High Tol]],"Pass","Fail")))</f>
        <v>Fail</v>
      </c>
      <c r="AH12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4" s="1" t="b">
        <v>0</v>
      </c>
      <c r="AN1264" s="1" t="b">
        <v>0</v>
      </c>
      <c r="AO1264" s="1" t="b">
        <v>0</v>
      </c>
    </row>
    <row r="1265" spans="1:41" x14ac:dyDescent="0.25">
      <c r="A1265" s="10"/>
      <c r="B1265" s="10"/>
      <c r="C1265" s="10"/>
      <c r="D1265" s="10"/>
      <c r="E1265" s="10"/>
      <c r="F1265" s="10"/>
      <c r="G1265" s="10"/>
      <c r="H1265" s="10"/>
      <c r="I1265" s="1" t="str">
        <f t="shared" si="57"/>
        <v/>
      </c>
      <c r="J1265" s="1" t="s">
        <v>35</v>
      </c>
      <c r="K1265" s="1" t="str">
        <f t="shared" si="58"/>
        <v/>
      </c>
      <c r="L1265" s="1" t="str">
        <f t="shared" si="59"/>
        <v/>
      </c>
      <c r="M1265" s="1">
        <f>IF(OR(Table1[[#This Row],[Std Nom]]="",Table1[[#This Row],[Std Read]]=""),0,Table1[[#This Row],[Std Nom]]-Table1[[#This Row],[Std Read]])</f>
        <v>0</v>
      </c>
      <c r="N1265" s="1">
        <f>IF(Calculations!$F$5="ACCREDITED 17025 WITH UNCERTAINTIES",$N$10,0)</f>
        <v>0</v>
      </c>
      <c r="O1265" s="1" t="str">
        <f>IFERROR(Table1[[#This Row],[Std Nom]]-(_xlfn.XLOOKUP(Table1[[#This Row],[Manufacturer]]&amp;" "&amp;Table1[[#This Row],[Model]],Table13[MFR &amp; MDL],Table13[Tolerance % CW ],"")/100*Table1[[#This Row],[Std Nom]]),"")</f>
        <v/>
      </c>
      <c r="P1265" s="1" t="str">
        <f>IFERROR(Table1[[#This Row],[Std Nom]]+(_xlfn.XLOOKUP(Table1[[#This Row],[Manufacturer]]&amp;" "&amp;Table1[[#This Row],[Model]],Table13[MFR &amp; MDL],Table13[Tolerance % CW ],"")/100*Table1[[#This Row],[Std Nom]]),"")</f>
        <v/>
      </c>
      <c r="Q1265" s="1" t="e">
        <f>Table1[[#This Row],[High Tol]]-Table1[[#This Row],[Low Tol]]</f>
        <v>#VALUE!</v>
      </c>
      <c r="R1265" s="1">
        <f>2*Table1[[#This Row],[Std Error]]</f>
        <v>0</v>
      </c>
      <c r="S1265" s="1" t="str">
        <f>IF(Table1[[#This Row],[High Tol]]="","N/A",IFERROR(ABS(Table1[[#This Row],[Tol Span]]/Table1[[#This Row],[Error Span]]),"N/A"))</f>
        <v>N/A</v>
      </c>
      <c r="T1265" s="1" t="str">
        <f>IF(OR(Table1[[#This Row],[Low Tol]]="",Table1[[#This Row],[High Tol]]=""),"Needs Analysis",IF(Table1[[#This Row],[Ratio]]&gt;=4,"Not Significant",IF(Table1[[#This Row],[Ratio]]&gt;=2,"Semi-Significant","Significant")))</f>
        <v>Needs Analysis</v>
      </c>
      <c r="W1265" s="1">
        <f>IF(Table1[[#This Row],[Cal Type]]&lt;&gt;"ACCREDITED 17025 WITH UNCERTAINTIES",0,"")</f>
        <v>0</v>
      </c>
      <c r="X1265" s="1" t="str">
        <f>IF(Table1[[#This Row],[DUT Read]]="","N/A",Table1[[#This Row],[Std Error]]+Table1[[#This Row],[DUT Read]]+Table1[[#This Row],[DUT Ucty]])</f>
        <v>N/A</v>
      </c>
      <c r="Y1265" s="1" t="str">
        <f>IF(Table1[[#This Row],[Std Read]]="","N/A",Table1[[#This Row],[Std Read]]+Table1[[#This Row],[Std Ucty]])</f>
        <v>N/A</v>
      </c>
      <c r="Z12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5" s="1" t="str">
        <f>IF(Table1[[#This Row],[Spec Type]]="","N/A",Table1[[#This Row],[Spec Type]])</f>
        <v>±</v>
      </c>
      <c r="AC1265" s="1" t="str">
        <f>IF(Table1[[#This Row],[Spec Type2]]="N/A","N/A",IF(AND(Table1[[#This Row],[DUT Adj Read]]&gt;=Table1[[#This Row],[Low Tol]],Table1[[#This Row],[DUT Adj Read]]&lt;=Table1[[#This Row],[High Tol]]),"Pass","Fail"))</f>
        <v>Fail</v>
      </c>
      <c r="AD1265" s="1" t="str">
        <f>IF(AND(Table1[[#This Row],[Spec Type2]]="N/A",Table1[[#This Row],[DUT Adj Read]]="N/A",Table1[[#This Row],[Std Adj Read]]="N/A"),"N/A",IF(Table1[[#This Row],[DUT Adj Read]]="N/A",IF(Table1[[#This Row],[Std Adj Read]]&gt;Table1[[#This Row],[Low Tol]],"Pass","Fail"),IF(Table1[[#This Row],[DUT Adj Read]]&gt;Table1[[#This Row],[Low Tol]],"Pass","Fail")))</f>
        <v>Pass</v>
      </c>
      <c r="AE1265" s="1" t="str">
        <f>IF(AND(Table1[[#This Row],[Spec Type2]]="N/A",Table1[[#This Row],[DUT Adj Read]]="N/A",Table1[[#This Row],[Std Adj Read]]="N/A"),"N/A",IF(Table1[[#This Row],[DUT Adj Read]]="N/A",IF(Table1[[#This Row],[Std Adj Read]]&lt;Table1[[#This Row],[High Tol]],"Pass","Fail"),IF(Table1[[#This Row],[DUT Adj Read]]&lt;Table1[[#This Row],[High Tol]],"Pass","Fail")))</f>
        <v>Fail</v>
      </c>
      <c r="AF1265" s="1" t="str">
        <f>IF(AND(Table1[[#This Row],[Spec Type2]]="N/A",Table1[[#This Row],[DUT Adj Read]]="N/A",Table1[[#This Row],[Std Adj Read]]="N/A"),"N/A",IF(Table1[[#This Row],[DUT Adj Read]]="N/A",IF(Table1[[#This Row],[Std Adj Read]]&gt;=Table1[[#This Row],[Low Tol]],"Pass","Fail"),IF(Table1[[#This Row],[DUT Adj Read]]&gt;=Table1[[#This Row],[Low Tol]],"Pass","Fail")))</f>
        <v>Pass</v>
      </c>
      <c r="AG1265" s="1" t="str">
        <f>IF(AND(Table1[[#This Row],[Spec Type2]]="N/A",Table1[[#This Row],[DUT Adj Read]]="N/A",Table1[[#This Row],[Std Adj Read]]="N/A"),"N/A",IF(Table1[[#This Row],[DUT Adj Read]]="N/A",IF(Table1[[#This Row],[Std Adj Read]]&lt;=Table1[[#This Row],[High Tol]],"Pass","Fail"),IF(Table1[[#This Row],[DUT Adj Read]]&lt;=Table1[[#This Row],[High Tol]],"Pass","Fail")))</f>
        <v>Fail</v>
      </c>
      <c r="AH12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5" s="1" t="b">
        <v>0</v>
      </c>
      <c r="AN1265" s="1" t="b">
        <v>0</v>
      </c>
      <c r="AO1265" s="1" t="b">
        <v>0</v>
      </c>
    </row>
    <row r="1266" spans="1:41" x14ac:dyDescent="0.25">
      <c r="A1266" s="10"/>
      <c r="B1266" s="10"/>
      <c r="C1266" s="10"/>
      <c r="D1266" s="10"/>
      <c r="E1266" s="10"/>
      <c r="F1266" s="10"/>
      <c r="G1266" s="10"/>
      <c r="H1266" s="10"/>
      <c r="I1266" s="1" t="str">
        <f t="shared" si="57"/>
        <v/>
      </c>
      <c r="J1266" s="1" t="s">
        <v>35</v>
      </c>
      <c r="K1266" s="1" t="str">
        <f t="shared" si="58"/>
        <v/>
      </c>
      <c r="L1266" s="1" t="str">
        <f t="shared" si="59"/>
        <v/>
      </c>
      <c r="M1266" s="1">
        <f>IF(OR(Table1[[#This Row],[Std Nom]]="",Table1[[#This Row],[Std Read]]=""),0,Table1[[#This Row],[Std Nom]]-Table1[[#This Row],[Std Read]])</f>
        <v>0</v>
      </c>
      <c r="N1266" s="1">
        <f>IF(Calculations!$F$5="ACCREDITED 17025 WITH UNCERTAINTIES",$N$10,0)</f>
        <v>0</v>
      </c>
      <c r="O1266" s="1" t="str">
        <f>IFERROR(Table1[[#This Row],[Std Nom]]-(_xlfn.XLOOKUP(Table1[[#This Row],[Manufacturer]]&amp;" "&amp;Table1[[#This Row],[Model]],Table13[MFR &amp; MDL],Table13[Tolerance % CW ],"")/100*Table1[[#This Row],[Std Nom]]),"")</f>
        <v/>
      </c>
      <c r="P1266" s="1" t="str">
        <f>IFERROR(Table1[[#This Row],[Std Nom]]+(_xlfn.XLOOKUP(Table1[[#This Row],[Manufacturer]]&amp;" "&amp;Table1[[#This Row],[Model]],Table13[MFR &amp; MDL],Table13[Tolerance % CW ],"")/100*Table1[[#This Row],[Std Nom]]),"")</f>
        <v/>
      </c>
      <c r="Q1266" s="1" t="e">
        <f>Table1[[#This Row],[High Tol]]-Table1[[#This Row],[Low Tol]]</f>
        <v>#VALUE!</v>
      </c>
      <c r="R1266" s="1">
        <f>2*Table1[[#This Row],[Std Error]]</f>
        <v>0</v>
      </c>
      <c r="S1266" s="1" t="str">
        <f>IF(Table1[[#This Row],[High Tol]]="","N/A",IFERROR(ABS(Table1[[#This Row],[Tol Span]]/Table1[[#This Row],[Error Span]]),"N/A"))</f>
        <v>N/A</v>
      </c>
      <c r="T1266" s="1" t="str">
        <f>IF(OR(Table1[[#This Row],[Low Tol]]="",Table1[[#This Row],[High Tol]]=""),"Needs Analysis",IF(Table1[[#This Row],[Ratio]]&gt;=4,"Not Significant",IF(Table1[[#This Row],[Ratio]]&gt;=2,"Semi-Significant","Significant")))</f>
        <v>Needs Analysis</v>
      </c>
      <c r="W1266" s="1">
        <f>IF(Table1[[#This Row],[Cal Type]]&lt;&gt;"ACCREDITED 17025 WITH UNCERTAINTIES",0,"")</f>
        <v>0</v>
      </c>
      <c r="X1266" s="1" t="str">
        <f>IF(Table1[[#This Row],[DUT Read]]="","N/A",Table1[[#This Row],[Std Error]]+Table1[[#This Row],[DUT Read]]+Table1[[#This Row],[DUT Ucty]])</f>
        <v>N/A</v>
      </c>
      <c r="Y1266" s="1" t="str">
        <f>IF(Table1[[#This Row],[Std Read]]="","N/A",Table1[[#This Row],[Std Read]]+Table1[[#This Row],[Std Ucty]])</f>
        <v>N/A</v>
      </c>
      <c r="Z12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6" s="1" t="str">
        <f>IF(Table1[[#This Row],[Spec Type]]="","N/A",Table1[[#This Row],[Spec Type]])</f>
        <v>±</v>
      </c>
      <c r="AC1266" s="1" t="str">
        <f>IF(Table1[[#This Row],[Spec Type2]]="N/A","N/A",IF(AND(Table1[[#This Row],[DUT Adj Read]]&gt;=Table1[[#This Row],[Low Tol]],Table1[[#This Row],[DUT Adj Read]]&lt;=Table1[[#This Row],[High Tol]]),"Pass","Fail"))</f>
        <v>Fail</v>
      </c>
      <c r="AD1266" s="1" t="str">
        <f>IF(AND(Table1[[#This Row],[Spec Type2]]="N/A",Table1[[#This Row],[DUT Adj Read]]="N/A",Table1[[#This Row],[Std Adj Read]]="N/A"),"N/A",IF(Table1[[#This Row],[DUT Adj Read]]="N/A",IF(Table1[[#This Row],[Std Adj Read]]&gt;Table1[[#This Row],[Low Tol]],"Pass","Fail"),IF(Table1[[#This Row],[DUT Adj Read]]&gt;Table1[[#This Row],[Low Tol]],"Pass","Fail")))</f>
        <v>Pass</v>
      </c>
      <c r="AE1266" s="1" t="str">
        <f>IF(AND(Table1[[#This Row],[Spec Type2]]="N/A",Table1[[#This Row],[DUT Adj Read]]="N/A",Table1[[#This Row],[Std Adj Read]]="N/A"),"N/A",IF(Table1[[#This Row],[DUT Adj Read]]="N/A",IF(Table1[[#This Row],[Std Adj Read]]&lt;Table1[[#This Row],[High Tol]],"Pass","Fail"),IF(Table1[[#This Row],[DUT Adj Read]]&lt;Table1[[#This Row],[High Tol]],"Pass","Fail")))</f>
        <v>Fail</v>
      </c>
      <c r="AF1266" s="1" t="str">
        <f>IF(AND(Table1[[#This Row],[Spec Type2]]="N/A",Table1[[#This Row],[DUT Adj Read]]="N/A",Table1[[#This Row],[Std Adj Read]]="N/A"),"N/A",IF(Table1[[#This Row],[DUT Adj Read]]="N/A",IF(Table1[[#This Row],[Std Adj Read]]&gt;=Table1[[#This Row],[Low Tol]],"Pass","Fail"),IF(Table1[[#This Row],[DUT Adj Read]]&gt;=Table1[[#This Row],[Low Tol]],"Pass","Fail")))</f>
        <v>Pass</v>
      </c>
      <c r="AG1266" s="1" t="str">
        <f>IF(AND(Table1[[#This Row],[Spec Type2]]="N/A",Table1[[#This Row],[DUT Adj Read]]="N/A",Table1[[#This Row],[Std Adj Read]]="N/A"),"N/A",IF(Table1[[#This Row],[DUT Adj Read]]="N/A",IF(Table1[[#This Row],[Std Adj Read]]&lt;=Table1[[#This Row],[High Tol]],"Pass","Fail"),IF(Table1[[#This Row],[DUT Adj Read]]&lt;=Table1[[#This Row],[High Tol]],"Pass","Fail")))</f>
        <v>Fail</v>
      </c>
      <c r="AH12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6" s="1" t="b">
        <v>0</v>
      </c>
      <c r="AN1266" s="1" t="b">
        <v>0</v>
      </c>
      <c r="AO1266" s="1" t="b">
        <v>0</v>
      </c>
    </row>
    <row r="1267" spans="1:41" x14ac:dyDescent="0.25">
      <c r="A1267" s="10"/>
      <c r="B1267" s="10"/>
      <c r="C1267" s="10"/>
      <c r="D1267" s="10"/>
      <c r="E1267" s="10"/>
      <c r="F1267" s="10"/>
      <c r="G1267" s="10"/>
      <c r="H1267" s="10"/>
      <c r="I1267" s="1" t="str">
        <f t="shared" si="57"/>
        <v/>
      </c>
      <c r="J1267" s="1" t="s">
        <v>35</v>
      </c>
      <c r="K1267" s="1" t="str">
        <f t="shared" si="58"/>
        <v/>
      </c>
      <c r="L1267" s="1" t="str">
        <f t="shared" si="59"/>
        <v/>
      </c>
      <c r="M1267" s="1">
        <f>IF(OR(Table1[[#This Row],[Std Nom]]="",Table1[[#This Row],[Std Read]]=""),0,Table1[[#This Row],[Std Nom]]-Table1[[#This Row],[Std Read]])</f>
        <v>0</v>
      </c>
      <c r="N1267" s="1">
        <f>IF(Calculations!$F$5="ACCREDITED 17025 WITH UNCERTAINTIES",$N$10,0)</f>
        <v>0</v>
      </c>
      <c r="O1267" s="1" t="str">
        <f>IFERROR(Table1[[#This Row],[Std Nom]]-(_xlfn.XLOOKUP(Table1[[#This Row],[Manufacturer]]&amp;" "&amp;Table1[[#This Row],[Model]],Table13[MFR &amp; MDL],Table13[Tolerance % CW ],"")/100*Table1[[#This Row],[Std Nom]]),"")</f>
        <v/>
      </c>
      <c r="P1267" s="1" t="str">
        <f>IFERROR(Table1[[#This Row],[Std Nom]]+(_xlfn.XLOOKUP(Table1[[#This Row],[Manufacturer]]&amp;" "&amp;Table1[[#This Row],[Model]],Table13[MFR &amp; MDL],Table13[Tolerance % CW ],"")/100*Table1[[#This Row],[Std Nom]]),"")</f>
        <v/>
      </c>
      <c r="Q1267" s="1" t="e">
        <f>Table1[[#This Row],[High Tol]]-Table1[[#This Row],[Low Tol]]</f>
        <v>#VALUE!</v>
      </c>
      <c r="R1267" s="1">
        <f>2*Table1[[#This Row],[Std Error]]</f>
        <v>0</v>
      </c>
      <c r="S1267" s="1" t="str">
        <f>IF(Table1[[#This Row],[High Tol]]="","N/A",IFERROR(ABS(Table1[[#This Row],[Tol Span]]/Table1[[#This Row],[Error Span]]),"N/A"))</f>
        <v>N/A</v>
      </c>
      <c r="T1267" s="1" t="str">
        <f>IF(OR(Table1[[#This Row],[Low Tol]]="",Table1[[#This Row],[High Tol]]=""),"Needs Analysis",IF(Table1[[#This Row],[Ratio]]&gt;=4,"Not Significant",IF(Table1[[#This Row],[Ratio]]&gt;=2,"Semi-Significant","Significant")))</f>
        <v>Needs Analysis</v>
      </c>
      <c r="W1267" s="1">
        <f>IF(Table1[[#This Row],[Cal Type]]&lt;&gt;"ACCREDITED 17025 WITH UNCERTAINTIES",0,"")</f>
        <v>0</v>
      </c>
      <c r="X1267" s="1" t="str">
        <f>IF(Table1[[#This Row],[DUT Read]]="","N/A",Table1[[#This Row],[Std Error]]+Table1[[#This Row],[DUT Read]]+Table1[[#This Row],[DUT Ucty]])</f>
        <v>N/A</v>
      </c>
      <c r="Y1267" s="1" t="str">
        <f>IF(Table1[[#This Row],[Std Read]]="","N/A",Table1[[#This Row],[Std Read]]+Table1[[#This Row],[Std Ucty]])</f>
        <v>N/A</v>
      </c>
      <c r="Z12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7" s="1" t="str">
        <f>IF(Table1[[#This Row],[Spec Type]]="","N/A",Table1[[#This Row],[Spec Type]])</f>
        <v>±</v>
      </c>
      <c r="AC1267" s="1" t="str">
        <f>IF(Table1[[#This Row],[Spec Type2]]="N/A","N/A",IF(AND(Table1[[#This Row],[DUT Adj Read]]&gt;=Table1[[#This Row],[Low Tol]],Table1[[#This Row],[DUT Adj Read]]&lt;=Table1[[#This Row],[High Tol]]),"Pass","Fail"))</f>
        <v>Fail</v>
      </c>
      <c r="AD1267" s="1" t="str">
        <f>IF(AND(Table1[[#This Row],[Spec Type2]]="N/A",Table1[[#This Row],[DUT Adj Read]]="N/A",Table1[[#This Row],[Std Adj Read]]="N/A"),"N/A",IF(Table1[[#This Row],[DUT Adj Read]]="N/A",IF(Table1[[#This Row],[Std Adj Read]]&gt;Table1[[#This Row],[Low Tol]],"Pass","Fail"),IF(Table1[[#This Row],[DUT Adj Read]]&gt;Table1[[#This Row],[Low Tol]],"Pass","Fail")))</f>
        <v>Pass</v>
      </c>
      <c r="AE1267" s="1" t="str">
        <f>IF(AND(Table1[[#This Row],[Spec Type2]]="N/A",Table1[[#This Row],[DUT Adj Read]]="N/A",Table1[[#This Row],[Std Adj Read]]="N/A"),"N/A",IF(Table1[[#This Row],[DUT Adj Read]]="N/A",IF(Table1[[#This Row],[Std Adj Read]]&lt;Table1[[#This Row],[High Tol]],"Pass","Fail"),IF(Table1[[#This Row],[DUT Adj Read]]&lt;Table1[[#This Row],[High Tol]],"Pass","Fail")))</f>
        <v>Fail</v>
      </c>
      <c r="AF1267" s="1" t="str">
        <f>IF(AND(Table1[[#This Row],[Spec Type2]]="N/A",Table1[[#This Row],[DUT Adj Read]]="N/A",Table1[[#This Row],[Std Adj Read]]="N/A"),"N/A",IF(Table1[[#This Row],[DUT Adj Read]]="N/A",IF(Table1[[#This Row],[Std Adj Read]]&gt;=Table1[[#This Row],[Low Tol]],"Pass","Fail"),IF(Table1[[#This Row],[DUT Adj Read]]&gt;=Table1[[#This Row],[Low Tol]],"Pass","Fail")))</f>
        <v>Pass</v>
      </c>
      <c r="AG1267" s="1" t="str">
        <f>IF(AND(Table1[[#This Row],[Spec Type2]]="N/A",Table1[[#This Row],[DUT Adj Read]]="N/A",Table1[[#This Row],[Std Adj Read]]="N/A"),"N/A",IF(Table1[[#This Row],[DUT Adj Read]]="N/A",IF(Table1[[#This Row],[Std Adj Read]]&lt;=Table1[[#This Row],[High Tol]],"Pass","Fail"),IF(Table1[[#This Row],[DUT Adj Read]]&lt;=Table1[[#This Row],[High Tol]],"Pass","Fail")))</f>
        <v>Fail</v>
      </c>
      <c r="AH12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7" s="1" t="b">
        <v>0</v>
      </c>
      <c r="AN1267" s="1" t="b">
        <v>0</v>
      </c>
      <c r="AO1267" s="1" t="b">
        <v>0</v>
      </c>
    </row>
    <row r="1268" spans="1:41" x14ac:dyDescent="0.25">
      <c r="A1268" s="10"/>
      <c r="B1268" s="10"/>
      <c r="C1268" s="10"/>
      <c r="D1268" s="10"/>
      <c r="E1268" s="10"/>
      <c r="F1268" s="10"/>
      <c r="G1268" s="10"/>
      <c r="H1268" s="10"/>
      <c r="I1268" s="1" t="str">
        <f t="shared" si="57"/>
        <v/>
      </c>
      <c r="J1268" s="1" t="s">
        <v>35</v>
      </c>
      <c r="K1268" s="1" t="str">
        <f t="shared" si="58"/>
        <v/>
      </c>
      <c r="L1268" s="1" t="str">
        <f t="shared" si="59"/>
        <v/>
      </c>
      <c r="M1268" s="1">
        <f>IF(OR(Table1[[#This Row],[Std Nom]]="",Table1[[#This Row],[Std Read]]=""),0,Table1[[#This Row],[Std Nom]]-Table1[[#This Row],[Std Read]])</f>
        <v>0</v>
      </c>
      <c r="N1268" s="1">
        <f>IF(Calculations!$F$5="ACCREDITED 17025 WITH UNCERTAINTIES",$N$10,0)</f>
        <v>0</v>
      </c>
      <c r="O1268" s="1" t="str">
        <f>IFERROR(Table1[[#This Row],[Std Nom]]-(_xlfn.XLOOKUP(Table1[[#This Row],[Manufacturer]]&amp;" "&amp;Table1[[#This Row],[Model]],Table13[MFR &amp; MDL],Table13[Tolerance % CW ],"")/100*Table1[[#This Row],[Std Nom]]),"")</f>
        <v/>
      </c>
      <c r="P1268" s="1" t="str">
        <f>IFERROR(Table1[[#This Row],[Std Nom]]+(_xlfn.XLOOKUP(Table1[[#This Row],[Manufacturer]]&amp;" "&amp;Table1[[#This Row],[Model]],Table13[MFR &amp; MDL],Table13[Tolerance % CW ],"")/100*Table1[[#This Row],[Std Nom]]),"")</f>
        <v/>
      </c>
      <c r="Q1268" s="1" t="e">
        <f>Table1[[#This Row],[High Tol]]-Table1[[#This Row],[Low Tol]]</f>
        <v>#VALUE!</v>
      </c>
      <c r="R1268" s="1">
        <f>2*Table1[[#This Row],[Std Error]]</f>
        <v>0</v>
      </c>
      <c r="S1268" s="1" t="str">
        <f>IF(Table1[[#This Row],[High Tol]]="","N/A",IFERROR(ABS(Table1[[#This Row],[Tol Span]]/Table1[[#This Row],[Error Span]]),"N/A"))</f>
        <v>N/A</v>
      </c>
      <c r="T1268" s="1" t="str">
        <f>IF(OR(Table1[[#This Row],[Low Tol]]="",Table1[[#This Row],[High Tol]]=""),"Needs Analysis",IF(Table1[[#This Row],[Ratio]]&gt;=4,"Not Significant",IF(Table1[[#This Row],[Ratio]]&gt;=2,"Semi-Significant","Significant")))</f>
        <v>Needs Analysis</v>
      </c>
      <c r="W1268" s="1">
        <f>IF(Table1[[#This Row],[Cal Type]]&lt;&gt;"ACCREDITED 17025 WITH UNCERTAINTIES",0,"")</f>
        <v>0</v>
      </c>
      <c r="X1268" s="1" t="str">
        <f>IF(Table1[[#This Row],[DUT Read]]="","N/A",Table1[[#This Row],[Std Error]]+Table1[[#This Row],[DUT Read]]+Table1[[#This Row],[DUT Ucty]])</f>
        <v>N/A</v>
      </c>
      <c r="Y1268" s="1" t="str">
        <f>IF(Table1[[#This Row],[Std Read]]="","N/A",Table1[[#This Row],[Std Read]]+Table1[[#This Row],[Std Ucty]])</f>
        <v>N/A</v>
      </c>
      <c r="Z12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8" s="1" t="str">
        <f>IF(Table1[[#This Row],[Spec Type]]="","N/A",Table1[[#This Row],[Spec Type]])</f>
        <v>±</v>
      </c>
      <c r="AC1268" s="1" t="str">
        <f>IF(Table1[[#This Row],[Spec Type2]]="N/A","N/A",IF(AND(Table1[[#This Row],[DUT Adj Read]]&gt;=Table1[[#This Row],[Low Tol]],Table1[[#This Row],[DUT Adj Read]]&lt;=Table1[[#This Row],[High Tol]]),"Pass","Fail"))</f>
        <v>Fail</v>
      </c>
      <c r="AD1268" s="1" t="str">
        <f>IF(AND(Table1[[#This Row],[Spec Type2]]="N/A",Table1[[#This Row],[DUT Adj Read]]="N/A",Table1[[#This Row],[Std Adj Read]]="N/A"),"N/A",IF(Table1[[#This Row],[DUT Adj Read]]="N/A",IF(Table1[[#This Row],[Std Adj Read]]&gt;Table1[[#This Row],[Low Tol]],"Pass","Fail"),IF(Table1[[#This Row],[DUT Adj Read]]&gt;Table1[[#This Row],[Low Tol]],"Pass","Fail")))</f>
        <v>Pass</v>
      </c>
      <c r="AE1268" s="1" t="str">
        <f>IF(AND(Table1[[#This Row],[Spec Type2]]="N/A",Table1[[#This Row],[DUT Adj Read]]="N/A",Table1[[#This Row],[Std Adj Read]]="N/A"),"N/A",IF(Table1[[#This Row],[DUT Adj Read]]="N/A",IF(Table1[[#This Row],[Std Adj Read]]&lt;Table1[[#This Row],[High Tol]],"Pass","Fail"),IF(Table1[[#This Row],[DUT Adj Read]]&lt;Table1[[#This Row],[High Tol]],"Pass","Fail")))</f>
        <v>Fail</v>
      </c>
      <c r="AF1268" s="1" t="str">
        <f>IF(AND(Table1[[#This Row],[Spec Type2]]="N/A",Table1[[#This Row],[DUT Adj Read]]="N/A",Table1[[#This Row],[Std Adj Read]]="N/A"),"N/A",IF(Table1[[#This Row],[DUT Adj Read]]="N/A",IF(Table1[[#This Row],[Std Adj Read]]&gt;=Table1[[#This Row],[Low Tol]],"Pass","Fail"),IF(Table1[[#This Row],[DUT Adj Read]]&gt;=Table1[[#This Row],[Low Tol]],"Pass","Fail")))</f>
        <v>Pass</v>
      </c>
      <c r="AG1268" s="1" t="str">
        <f>IF(AND(Table1[[#This Row],[Spec Type2]]="N/A",Table1[[#This Row],[DUT Adj Read]]="N/A",Table1[[#This Row],[Std Adj Read]]="N/A"),"N/A",IF(Table1[[#This Row],[DUT Adj Read]]="N/A",IF(Table1[[#This Row],[Std Adj Read]]&lt;=Table1[[#This Row],[High Tol]],"Pass","Fail"),IF(Table1[[#This Row],[DUT Adj Read]]&lt;=Table1[[#This Row],[High Tol]],"Pass","Fail")))</f>
        <v>Fail</v>
      </c>
      <c r="AH12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8" s="1" t="b">
        <v>0</v>
      </c>
      <c r="AN1268" s="1" t="b">
        <v>0</v>
      </c>
      <c r="AO1268" s="1" t="b">
        <v>0</v>
      </c>
    </row>
    <row r="1269" spans="1:41" x14ac:dyDescent="0.25">
      <c r="A1269" s="10"/>
      <c r="B1269" s="10"/>
      <c r="C1269" s="10"/>
      <c r="D1269" s="10"/>
      <c r="E1269" s="10"/>
      <c r="F1269" s="10"/>
      <c r="G1269" s="10"/>
      <c r="H1269" s="10"/>
      <c r="I1269" s="1" t="str">
        <f t="shared" si="57"/>
        <v/>
      </c>
      <c r="J1269" s="1" t="s">
        <v>35</v>
      </c>
      <c r="K1269" s="1" t="str">
        <f t="shared" si="58"/>
        <v/>
      </c>
      <c r="L1269" s="1" t="str">
        <f t="shared" si="59"/>
        <v/>
      </c>
      <c r="M1269" s="1">
        <f>IF(OR(Table1[[#This Row],[Std Nom]]="",Table1[[#This Row],[Std Read]]=""),0,Table1[[#This Row],[Std Nom]]-Table1[[#This Row],[Std Read]])</f>
        <v>0</v>
      </c>
      <c r="N1269" s="1">
        <f>IF(Calculations!$F$5="ACCREDITED 17025 WITH UNCERTAINTIES",$N$10,0)</f>
        <v>0</v>
      </c>
      <c r="O1269" s="1" t="str">
        <f>IFERROR(Table1[[#This Row],[Std Nom]]-(_xlfn.XLOOKUP(Table1[[#This Row],[Manufacturer]]&amp;" "&amp;Table1[[#This Row],[Model]],Table13[MFR &amp; MDL],Table13[Tolerance % CW ],"")/100*Table1[[#This Row],[Std Nom]]),"")</f>
        <v/>
      </c>
      <c r="P1269" s="1" t="str">
        <f>IFERROR(Table1[[#This Row],[Std Nom]]+(_xlfn.XLOOKUP(Table1[[#This Row],[Manufacturer]]&amp;" "&amp;Table1[[#This Row],[Model]],Table13[MFR &amp; MDL],Table13[Tolerance % CW ],"")/100*Table1[[#This Row],[Std Nom]]),"")</f>
        <v/>
      </c>
      <c r="Q1269" s="1" t="e">
        <f>Table1[[#This Row],[High Tol]]-Table1[[#This Row],[Low Tol]]</f>
        <v>#VALUE!</v>
      </c>
      <c r="R1269" s="1">
        <f>2*Table1[[#This Row],[Std Error]]</f>
        <v>0</v>
      </c>
      <c r="S1269" s="1" t="str">
        <f>IF(Table1[[#This Row],[High Tol]]="","N/A",IFERROR(ABS(Table1[[#This Row],[Tol Span]]/Table1[[#This Row],[Error Span]]),"N/A"))</f>
        <v>N/A</v>
      </c>
      <c r="T1269" s="1" t="str">
        <f>IF(OR(Table1[[#This Row],[Low Tol]]="",Table1[[#This Row],[High Tol]]=""),"Needs Analysis",IF(Table1[[#This Row],[Ratio]]&gt;=4,"Not Significant",IF(Table1[[#This Row],[Ratio]]&gt;=2,"Semi-Significant","Significant")))</f>
        <v>Needs Analysis</v>
      </c>
      <c r="W1269" s="1">
        <f>IF(Table1[[#This Row],[Cal Type]]&lt;&gt;"ACCREDITED 17025 WITH UNCERTAINTIES",0,"")</f>
        <v>0</v>
      </c>
      <c r="X1269" s="1" t="str">
        <f>IF(Table1[[#This Row],[DUT Read]]="","N/A",Table1[[#This Row],[Std Error]]+Table1[[#This Row],[DUT Read]]+Table1[[#This Row],[DUT Ucty]])</f>
        <v>N/A</v>
      </c>
      <c r="Y1269" s="1" t="str">
        <f>IF(Table1[[#This Row],[Std Read]]="","N/A",Table1[[#This Row],[Std Read]]+Table1[[#This Row],[Std Ucty]])</f>
        <v>N/A</v>
      </c>
      <c r="Z12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9" s="1" t="str">
        <f>IF(Table1[[#This Row],[Spec Type]]="","N/A",Table1[[#This Row],[Spec Type]])</f>
        <v>±</v>
      </c>
      <c r="AC1269" s="1" t="str">
        <f>IF(Table1[[#This Row],[Spec Type2]]="N/A","N/A",IF(AND(Table1[[#This Row],[DUT Adj Read]]&gt;=Table1[[#This Row],[Low Tol]],Table1[[#This Row],[DUT Adj Read]]&lt;=Table1[[#This Row],[High Tol]]),"Pass","Fail"))</f>
        <v>Fail</v>
      </c>
      <c r="AD1269" s="1" t="str">
        <f>IF(AND(Table1[[#This Row],[Spec Type2]]="N/A",Table1[[#This Row],[DUT Adj Read]]="N/A",Table1[[#This Row],[Std Adj Read]]="N/A"),"N/A",IF(Table1[[#This Row],[DUT Adj Read]]="N/A",IF(Table1[[#This Row],[Std Adj Read]]&gt;Table1[[#This Row],[Low Tol]],"Pass","Fail"),IF(Table1[[#This Row],[DUT Adj Read]]&gt;Table1[[#This Row],[Low Tol]],"Pass","Fail")))</f>
        <v>Pass</v>
      </c>
      <c r="AE1269" s="1" t="str">
        <f>IF(AND(Table1[[#This Row],[Spec Type2]]="N/A",Table1[[#This Row],[DUT Adj Read]]="N/A",Table1[[#This Row],[Std Adj Read]]="N/A"),"N/A",IF(Table1[[#This Row],[DUT Adj Read]]="N/A",IF(Table1[[#This Row],[Std Adj Read]]&lt;Table1[[#This Row],[High Tol]],"Pass","Fail"),IF(Table1[[#This Row],[DUT Adj Read]]&lt;Table1[[#This Row],[High Tol]],"Pass","Fail")))</f>
        <v>Fail</v>
      </c>
      <c r="AF1269" s="1" t="str">
        <f>IF(AND(Table1[[#This Row],[Spec Type2]]="N/A",Table1[[#This Row],[DUT Adj Read]]="N/A",Table1[[#This Row],[Std Adj Read]]="N/A"),"N/A",IF(Table1[[#This Row],[DUT Adj Read]]="N/A",IF(Table1[[#This Row],[Std Adj Read]]&gt;=Table1[[#This Row],[Low Tol]],"Pass","Fail"),IF(Table1[[#This Row],[DUT Adj Read]]&gt;=Table1[[#This Row],[Low Tol]],"Pass","Fail")))</f>
        <v>Pass</v>
      </c>
      <c r="AG1269" s="1" t="str">
        <f>IF(AND(Table1[[#This Row],[Spec Type2]]="N/A",Table1[[#This Row],[DUT Adj Read]]="N/A",Table1[[#This Row],[Std Adj Read]]="N/A"),"N/A",IF(Table1[[#This Row],[DUT Adj Read]]="N/A",IF(Table1[[#This Row],[Std Adj Read]]&lt;=Table1[[#This Row],[High Tol]],"Pass","Fail"),IF(Table1[[#This Row],[DUT Adj Read]]&lt;=Table1[[#This Row],[High Tol]],"Pass","Fail")))</f>
        <v>Fail</v>
      </c>
      <c r="AH12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9" s="1" t="b">
        <v>0</v>
      </c>
      <c r="AN1269" s="1" t="b">
        <v>0</v>
      </c>
      <c r="AO1269" s="1" t="b">
        <v>0</v>
      </c>
    </row>
    <row r="1270" spans="1:41" x14ac:dyDescent="0.25">
      <c r="A1270" s="10"/>
      <c r="B1270" s="10"/>
      <c r="C1270" s="10"/>
      <c r="D1270" s="10"/>
      <c r="E1270" s="10"/>
      <c r="F1270" s="10"/>
      <c r="G1270" s="10"/>
      <c r="H1270" s="10"/>
      <c r="I1270" s="1" t="str">
        <f t="shared" si="57"/>
        <v/>
      </c>
      <c r="J1270" s="1" t="s">
        <v>35</v>
      </c>
      <c r="K1270" s="1" t="str">
        <f t="shared" si="58"/>
        <v/>
      </c>
      <c r="L1270" s="1" t="str">
        <f t="shared" si="59"/>
        <v/>
      </c>
      <c r="M1270" s="1">
        <f>IF(OR(Table1[[#This Row],[Std Nom]]="",Table1[[#This Row],[Std Read]]=""),0,Table1[[#This Row],[Std Nom]]-Table1[[#This Row],[Std Read]])</f>
        <v>0</v>
      </c>
      <c r="N1270" s="1">
        <f>IF(Calculations!$F$5="ACCREDITED 17025 WITH UNCERTAINTIES",$N$10,0)</f>
        <v>0</v>
      </c>
      <c r="O1270" s="1" t="str">
        <f>IFERROR(Table1[[#This Row],[Std Nom]]-(_xlfn.XLOOKUP(Table1[[#This Row],[Manufacturer]]&amp;" "&amp;Table1[[#This Row],[Model]],Table13[MFR &amp; MDL],Table13[Tolerance % CW ],"")/100*Table1[[#This Row],[Std Nom]]),"")</f>
        <v/>
      </c>
      <c r="P1270" s="1" t="str">
        <f>IFERROR(Table1[[#This Row],[Std Nom]]+(_xlfn.XLOOKUP(Table1[[#This Row],[Manufacturer]]&amp;" "&amp;Table1[[#This Row],[Model]],Table13[MFR &amp; MDL],Table13[Tolerance % CW ],"")/100*Table1[[#This Row],[Std Nom]]),"")</f>
        <v/>
      </c>
      <c r="Q1270" s="1" t="e">
        <f>Table1[[#This Row],[High Tol]]-Table1[[#This Row],[Low Tol]]</f>
        <v>#VALUE!</v>
      </c>
      <c r="R1270" s="1">
        <f>2*Table1[[#This Row],[Std Error]]</f>
        <v>0</v>
      </c>
      <c r="S1270" s="1" t="str">
        <f>IF(Table1[[#This Row],[High Tol]]="","N/A",IFERROR(ABS(Table1[[#This Row],[Tol Span]]/Table1[[#This Row],[Error Span]]),"N/A"))</f>
        <v>N/A</v>
      </c>
      <c r="T1270" s="1" t="str">
        <f>IF(OR(Table1[[#This Row],[Low Tol]]="",Table1[[#This Row],[High Tol]]=""),"Needs Analysis",IF(Table1[[#This Row],[Ratio]]&gt;=4,"Not Significant",IF(Table1[[#This Row],[Ratio]]&gt;=2,"Semi-Significant","Significant")))</f>
        <v>Needs Analysis</v>
      </c>
      <c r="W1270" s="1">
        <f>IF(Table1[[#This Row],[Cal Type]]&lt;&gt;"ACCREDITED 17025 WITH UNCERTAINTIES",0,"")</f>
        <v>0</v>
      </c>
      <c r="X1270" s="1" t="str">
        <f>IF(Table1[[#This Row],[DUT Read]]="","N/A",Table1[[#This Row],[Std Error]]+Table1[[#This Row],[DUT Read]]+Table1[[#This Row],[DUT Ucty]])</f>
        <v>N/A</v>
      </c>
      <c r="Y1270" s="1" t="str">
        <f>IF(Table1[[#This Row],[Std Read]]="","N/A",Table1[[#This Row],[Std Read]]+Table1[[#This Row],[Std Ucty]])</f>
        <v>N/A</v>
      </c>
      <c r="Z12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0" s="1" t="str">
        <f>IF(Table1[[#This Row],[Spec Type]]="","N/A",Table1[[#This Row],[Spec Type]])</f>
        <v>±</v>
      </c>
      <c r="AC1270" s="1" t="str">
        <f>IF(Table1[[#This Row],[Spec Type2]]="N/A","N/A",IF(AND(Table1[[#This Row],[DUT Adj Read]]&gt;=Table1[[#This Row],[Low Tol]],Table1[[#This Row],[DUT Adj Read]]&lt;=Table1[[#This Row],[High Tol]]),"Pass","Fail"))</f>
        <v>Fail</v>
      </c>
      <c r="AD1270" s="1" t="str">
        <f>IF(AND(Table1[[#This Row],[Spec Type2]]="N/A",Table1[[#This Row],[DUT Adj Read]]="N/A",Table1[[#This Row],[Std Adj Read]]="N/A"),"N/A",IF(Table1[[#This Row],[DUT Adj Read]]="N/A",IF(Table1[[#This Row],[Std Adj Read]]&gt;Table1[[#This Row],[Low Tol]],"Pass","Fail"),IF(Table1[[#This Row],[DUT Adj Read]]&gt;Table1[[#This Row],[Low Tol]],"Pass","Fail")))</f>
        <v>Pass</v>
      </c>
      <c r="AE1270" s="1" t="str">
        <f>IF(AND(Table1[[#This Row],[Spec Type2]]="N/A",Table1[[#This Row],[DUT Adj Read]]="N/A",Table1[[#This Row],[Std Adj Read]]="N/A"),"N/A",IF(Table1[[#This Row],[DUT Adj Read]]="N/A",IF(Table1[[#This Row],[Std Adj Read]]&lt;Table1[[#This Row],[High Tol]],"Pass","Fail"),IF(Table1[[#This Row],[DUT Adj Read]]&lt;Table1[[#This Row],[High Tol]],"Pass","Fail")))</f>
        <v>Fail</v>
      </c>
      <c r="AF1270" s="1" t="str">
        <f>IF(AND(Table1[[#This Row],[Spec Type2]]="N/A",Table1[[#This Row],[DUT Adj Read]]="N/A",Table1[[#This Row],[Std Adj Read]]="N/A"),"N/A",IF(Table1[[#This Row],[DUT Adj Read]]="N/A",IF(Table1[[#This Row],[Std Adj Read]]&gt;=Table1[[#This Row],[Low Tol]],"Pass","Fail"),IF(Table1[[#This Row],[DUT Adj Read]]&gt;=Table1[[#This Row],[Low Tol]],"Pass","Fail")))</f>
        <v>Pass</v>
      </c>
      <c r="AG1270" s="1" t="str">
        <f>IF(AND(Table1[[#This Row],[Spec Type2]]="N/A",Table1[[#This Row],[DUT Adj Read]]="N/A",Table1[[#This Row],[Std Adj Read]]="N/A"),"N/A",IF(Table1[[#This Row],[DUT Adj Read]]="N/A",IF(Table1[[#This Row],[Std Adj Read]]&lt;=Table1[[#This Row],[High Tol]],"Pass","Fail"),IF(Table1[[#This Row],[DUT Adj Read]]&lt;=Table1[[#This Row],[High Tol]],"Pass","Fail")))</f>
        <v>Fail</v>
      </c>
      <c r="AH12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0" s="1" t="b">
        <v>0</v>
      </c>
      <c r="AN1270" s="1" t="b">
        <v>0</v>
      </c>
      <c r="AO1270" s="1" t="b">
        <v>0</v>
      </c>
    </row>
    <row r="1271" spans="1:41" x14ac:dyDescent="0.25">
      <c r="A1271" s="10"/>
      <c r="B1271" s="10"/>
      <c r="C1271" s="10"/>
      <c r="D1271" s="10"/>
      <c r="E1271" s="10"/>
      <c r="F1271" s="10"/>
      <c r="G1271" s="10"/>
      <c r="H1271" s="10"/>
      <c r="I1271" s="1" t="str">
        <f t="shared" si="57"/>
        <v/>
      </c>
      <c r="J1271" s="1" t="s">
        <v>35</v>
      </c>
      <c r="K1271" s="1" t="str">
        <f t="shared" si="58"/>
        <v/>
      </c>
      <c r="L1271" s="1" t="str">
        <f t="shared" si="59"/>
        <v/>
      </c>
      <c r="M1271" s="1">
        <f>IF(OR(Table1[[#This Row],[Std Nom]]="",Table1[[#This Row],[Std Read]]=""),0,Table1[[#This Row],[Std Nom]]-Table1[[#This Row],[Std Read]])</f>
        <v>0</v>
      </c>
      <c r="N1271" s="1">
        <f>IF(Calculations!$F$5="ACCREDITED 17025 WITH UNCERTAINTIES",$N$10,0)</f>
        <v>0</v>
      </c>
      <c r="O1271" s="1" t="str">
        <f>IFERROR(Table1[[#This Row],[Std Nom]]-(_xlfn.XLOOKUP(Table1[[#This Row],[Manufacturer]]&amp;" "&amp;Table1[[#This Row],[Model]],Table13[MFR &amp; MDL],Table13[Tolerance % CW ],"")/100*Table1[[#This Row],[Std Nom]]),"")</f>
        <v/>
      </c>
      <c r="P1271" s="1" t="str">
        <f>IFERROR(Table1[[#This Row],[Std Nom]]+(_xlfn.XLOOKUP(Table1[[#This Row],[Manufacturer]]&amp;" "&amp;Table1[[#This Row],[Model]],Table13[MFR &amp; MDL],Table13[Tolerance % CW ],"")/100*Table1[[#This Row],[Std Nom]]),"")</f>
        <v/>
      </c>
      <c r="Q1271" s="1" t="e">
        <f>Table1[[#This Row],[High Tol]]-Table1[[#This Row],[Low Tol]]</f>
        <v>#VALUE!</v>
      </c>
      <c r="R1271" s="1">
        <f>2*Table1[[#This Row],[Std Error]]</f>
        <v>0</v>
      </c>
      <c r="S1271" s="1" t="str">
        <f>IF(Table1[[#This Row],[High Tol]]="","N/A",IFERROR(ABS(Table1[[#This Row],[Tol Span]]/Table1[[#This Row],[Error Span]]),"N/A"))</f>
        <v>N/A</v>
      </c>
      <c r="T1271" s="1" t="str">
        <f>IF(OR(Table1[[#This Row],[Low Tol]]="",Table1[[#This Row],[High Tol]]=""),"Needs Analysis",IF(Table1[[#This Row],[Ratio]]&gt;=4,"Not Significant",IF(Table1[[#This Row],[Ratio]]&gt;=2,"Semi-Significant","Significant")))</f>
        <v>Needs Analysis</v>
      </c>
      <c r="W1271" s="1">
        <f>IF(Table1[[#This Row],[Cal Type]]&lt;&gt;"ACCREDITED 17025 WITH UNCERTAINTIES",0,"")</f>
        <v>0</v>
      </c>
      <c r="X1271" s="1" t="str">
        <f>IF(Table1[[#This Row],[DUT Read]]="","N/A",Table1[[#This Row],[Std Error]]+Table1[[#This Row],[DUT Read]]+Table1[[#This Row],[DUT Ucty]])</f>
        <v>N/A</v>
      </c>
      <c r="Y1271" s="1" t="str">
        <f>IF(Table1[[#This Row],[Std Read]]="","N/A",Table1[[#This Row],[Std Read]]+Table1[[#This Row],[Std Ucty]])</f>
        <v>N/A</v>
      </c>
      <c r="Z12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1" s="1" t="str">
        <f>IF(Table1[[#This Row],[Spec Type]]="","N/A",Table1[[#This Row],[Spec Type]])</f>
        <v>±</v>
      </c>
      <c r="AC1271" s="1" t="str">
        <f>IF(Table1[[#This Row],[Spec Type2]]="N/A","N/A",IF(AND(Table1[[#This Row],[DUT Adj Read]]&gt;=Table1[[#This Row],[Low Tol]],Table1[[#This Row],[DUT Adj Read]]&lt;=Table1[[#This Row],[High Tol]]),"Pass","Fail"))</f>
        <v>Fail</v>
      </c>
      <c r="AD1271" s="1" t="str">
        <f>IF(AND(Table1[[#This Row],[Spec Type2]]="N/A",Table1[[#This Row],[DUT Adj Read]]="N/A",Table1[[#This Row],[Std Adj Read]]="N/A"),"N/A",IF(Table1[[#This Row],[DUT Adj Read]]="N/A",IF(Table1[[#This Row],[Std Adj Read]]&gt;Table1[[#This Row],[Low Tol]],"Pass","Fail"),IF(Table1[[#This Row],[DUT Adj Read]]&gt;Table1[[#This Row],[Low Tol]],"Pass","Fail")))</f>
        <v>Pass</v>
      </c>
      <c r="AE1271" s="1" t="str">
        <f>IF(AND(Table1[[#This Row],[Spec Type2]]="N/A",Table1[[#This Row],[DUT Adj Read]]="N/A",Table1[[#This Row],[Std Adj Read]]="N/A"),"N/A",IF(Table1[[#This Row],[DUT Adj Read]]="N/A",IF(Table1[[#This Row],[Std Adj Read]]&lt;Table1[[#This Row],[High Tol]],"Pass","Fail"),IF(Table1[[#This Row],[DUT Adj Read]]&lt;Table1[[#This Row],[High Tol]],"Pass","Fail")))</f>
        <v>Fail</v>
      </c>
      <c r="AF1271" s="1" t="str">
        <f>IF(AND(Table1[[#This Row],[Spec Type2]]="N/A",Table1[[#This Row],[DUT Adj Read]]="N/A",Table1[[#This Row],[Std Adj Read]]="N/A"),"N/A",IF(Table1[[#This Row],[DUT Adj Read]]="N/A",IF(Table1[[#This Row],[Std Adj Read]]&gt;=Table1[[#This Row],[Low Tol]],"Pass","Fail"),IF(Table1[[#This Row],[DUT Adj Read]]&gt;=Table1[[#This Row],[Low Tol]],"Pass","Fail")))</f>
        <v>Pass</v>
      </c>
      <c r="AG1271" s="1" t="str">
        <f>IF(AND(Table1[[#This Row],[Spec Type2]]="N/A",Table1[[#This Row],[DUT Adj Read]]="N/A",Table1[[#This Row],[Std Adj Read]]="N/A"),"N/A",IF(Table1[[#This Row],[DUT Adj Read]]="N/A",IF(Table1[[#This Row],[Std Adj Read]]&lt;=Table1[[#This Row],[High Tol]],"Pass","Fail"),IF(Table1[[#This Row],[DUT Adj Read]]&lt;=Table1[[#This Row],[High Tol]],"Pass","Fail")))</f>
        <v>Fail</v>
      </c>
      <c r="AH12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1" s="1" t="b">
        <v>0</v>
      </c>
      <c r="AN1271" s="1" t="b">
        <v>0</v>
      </c>
      <c r="AO1271" s="1" t="b">
        <v>0</v>
      </c>
    </row>
    <row r="1272" spans="1:41" x14ac:dyDescent="0.25">
      <c r="A1272" s="10"/>
      <c r="B1272" s="10"/>
      <c r="C1272" s="10"/>
      <c r="D1272" s="10"/>
      <c r="E1272" s="10"/>
      <c r="F1272" s="10"/>
      <c r="G1272" s="10"/>
      <c r="H1272" s="10"/>
      <c r="I1272" s="1" t="str">
        <f t="shared" si="57"/>
        <v/>
      </c>
      <c r="J1272" s="1" t="s">
        <v>35</v>
      </c>
      <c r="K1272" s="1" t="str">
        <f t="shared" si="58"/>
        <v/>
      </c>
      <c r="L1272" s="1" t="str">
        <f t="shared" si="59"/>
        <v/>
      </c>
      <c r="M1272" s="1">
        <f>IF(OR(Table1[[#This Row],[Std Nom]]="",Table1[[#This Row],[Std Read]]=""),0,Table1[[#This Row],[Std Nom]]-Table1[[#This Row],[Std Read]])</f>
        <v>0</v>
      </c>
      <c r="N1272" s="1">
        <f>IF(Calculations!$F$5="ACCREDITED 17025 WITH UNCERTAINTIES",$N$10,0)</f>
        <v>0</v>
      </c>
      <c r="O1272" s="1" t="str">
        <f>IFERROR(Table1[[#This Row],[Std Nom]]-(_xlfn.XLOOKUP(Table1[[#This Row],[Manufacturer]]&amp;" "&amp;Table1[[#This Row],[Model]],Table13[MFR &amp; MDL],Table13[Tolerance % CW ],"")/100*Table1[[#This Row],[Std Nom]]),"")</f>
        <v/>
      </c>
      <c r="P1272" s="1" t="str">
        <f>IFERROR(Table1[[#This Row],[Std Nom]]+(_xlfn.XLOOKUP(Table1[[#This Row],[Manufacturer]]&amp;" "&amp;Table1[[#This Row],[Model]],Table13[MFR &amp; MDL],Table13[Tolerance % CW ],"")/100*Table1[[#This Row],[Std Nom]]),"")</f>
        <v/>
      </c>
      <c r="Q1272" s="1" t="e">
        <f>Table1[[#This Row],[High Tol]]-Table1[[#This Row],[Low Tol]]</f>
        <v>#VALUE!</v>
      </c>
      <c r="R1272" s="1">
        <f>2*Table1[[#This Row],[Std Error]]</f>
        <v>0</v>
      </c>
      <c r="S1272" s="1" t="str">
        <f>IF(Table1[[#This Row],[High Tol]]="","N/A",IFERROR(ABS(Table1[[#This Row],[Tol Span]]/Table1[[#This Row],[Error Span]]),"N/A"))</f>
        <v>N/A</v>
      </c>
      <c r="T1272" s="1" t="str">
        <f>IF(OR(Table1[[#This Row],[Low Tol]]="",Table1[[#This Row],[High Tol]]=""),"Needs Analysis",IF(Table1[[#This Row],[Ratio]]&gt;=4,"Not Significant",IF(Table1[[#This Row],[Ratio]]&gt;=2,"Semi-Significant","Significant")))</f>
        <v>Needs Analysis</v>
      </c>
      <c r="W1272" s="1">
        <f>IF(Table1[[#This Row],[Cal Type]]&lt;&gt;"ACCREDITED 17025 WITH UNCERTAINTIES",0,"")</f>
        <v>0</v>
      </c>
      <c r="X1272" s="1" t="str">
        <f>IF(Table1[[#This Row],[DUT Read]]="","N/A",Table1[[#This Row],[Std Error]]+Table1[[#This Row],[DUT Read]]+Table1[[#This Row],[DUT Ucty]])</f>
        <v>N/A</v>
      </c>
      <c r="Y1272" s="1" t="str">
        <f>IF(Table1[[#This Row],[Std Read]]="","N/A",Table1[[#This Row],[Std Read]]+Table1[[#This Row],[Std Ucty]])</f>
        <v>N/A</v>
      </c>
      <c r="Z12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2" s="1" t="str">
        <f>IF(Table1[[#This Row],[Spec Type]]="","N/A",Table1[[#This Row],[Spec Type]])</f>
        <v>±</v>
      </c>
      <c r="AC1272" s="1" t="str">
        <f>IF(Table1[[#This Row],[Spec Type2]]="N/A","N/A",IF(AND(Table1[[#This Row],[DUT Adj Read]]&gt;=Table1[[#This Row],[Low Tol]],Table1[[#This Row],[DUT Adj Read]]&lt;=Table1[[#This Row],[High Tol]]),"Pass","Fail"))</f>
        <v>Fail</v>
      </c>
      <c r="AD1272" s="1" t="str">
        <f>IF(AND(Table1[[#This Row],[Spec Type2]]="N/A",Table1[[#This Row],[DUT Adj Read]]="N/A",Table1[[#This Row],[Std Adj Read]]="N/A"),"N/A",IF(Table1[[#This Row],[DUT Adj Read]]="N/A",IF(Table1[[#This Row],[Std Adj Read]]&gt;Table1[[#This Row],[Low Tol]],"Pass","Fail"),IF(Table1[[#This Row],[DUT Adj Read]]&gt;Table1[[#This Row],[Low Tol]],"Pass","Fail")))</f>
        <v>Pass</v>
      </c>
      <c r="AE1272" s="1" t="str">
        <f>IF(AND(Table1[[#This Row],[Spec Type2]]="N/A",Table1[[#This Row],[DUT Adj Read]]="N/A",Table1[[#This Row],[Std Adj Read]]="N/A"),"N/A",IF(Table1[[#This Row],[DUT Adj Read]]="N/A",IF(Table1[[#This Row],[Std Adj Read]]&lt;Table1[[#This Row],[High Tol]],"Pass","Fail"),IF(Table1[[#This Row],[DUT Adj Read]]&lt;Table1[[#This Row],[High Tol]],"Pass","Fail")))</f>
        <v>Fail</v>
      </c>
      <c r="AF1272" s="1" t="str">
        <f>IF(AND(Table1[[#This Row],[Spec Type2]]="N/A",Table1[[#This Row],[DUT Adj Read]]="N/A",Table1[[#This Row],[Std Adj Read]]="N/A"),"N/A",IF(Table1[[#This Row],[DUT Adj Read]]="N/A",IF(Table1[[#This Row],[Std Adj Read]]&gt;=Table1[[#This Row],[Low Tol]],"Pass","Fail"),IF(Table1[[#This Row],[DUT Adj Read]]&gt;=Table1[[#This Row],[Low Tol]],"Pass","Fail")))</f>
        <v>Pass</v>
      </c>
      <c r="AG1272" s="1" t="str">
        <f>IF(AND(Table1[[#This Row],[Spec Type2]]="N/A",Table1[[#This Row],[DUT Adj Read]]="N/A",Table1[[#This Row],[Std Adj Read]]="N/A"),"N/A",IF(Table1[[#This Row],[DUT Adj Read]]="N/A",IF(Table1[[#This Row],[Std Adj Read]]&lt;=Table1[[#This Row],[High Tol]],"Pass","Fail"),IF(Table1[[#This Row],[DUT Adj Read]]&lt;=Table1[[#This Row],[High Tol]],"Pass","Fail")))</f>
        <v>Fail</v>
      </c>
      <c r="AH12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2" s="1" t="b">
        <v>0</v>
      </c>
      <c r="AN1272" s="1" t="b">
        <v>0</v>
      </c>
      <c r="AO1272" s="1" t="b">
        <v>0</v>
      </c>
    </row>
    <row r="1273" spans="1:41" x14ac:dyDescent="0.25">
      <c r="A1273" s="10"/>
      <c r="B1273" s="10"/>
      <c r="C1273" s="10"/>
      <c r="D1273" s="10"/>
      <c r="E1273" s="10"/>
      <c r="F1273" s="10"/>
      <c r="G1273" s="10"/>
      <c r="H1273" s="10"/>
      <c r="I1273" s="1" t="str">
        <f t="shared" si="57"/>
        <v/>
      </c>
      <c r="J1273" s="1" t="s">
        <v>35</v>
      </c>
      <c r="K1273" s="1" t="str">
        <f t="shared" si="58"/>
        <v/>
      </c>
      <c r="L1273" s="1" t="str">
        <f t="shared" si="59"/>
        <v/>
      </c>
      <c r="M1273" s="1">
        <f>IF(OR(Table1[[#This Row],[Std Nom]]="",Table1[[#This Row],[Std Read]]=""),0,Table1[[#This Row],[Std Nom]]-Table1[[#This Row],[Std Read]])</f>
        <v>0</v>
      </c>
      <c r="N1273" s="1">
        <f>IF(Calculations!$F$5="ACCREDITED 17025 WITH UNCERTAINTIES",$N$10,0)</f>
        <v>0</v>
      </c>
      <c r="O1273" s="1" t="str">
        <f>IFERROR(Table1[[#This Row],[Std Nom]]-(_xlfn.XLOOKUP(Table1[[#This Row],[Manufacturer]]&amp;" "&amp;Table1[[#This Row],[Model]],Table13[MFR &amp; MDL],Table13[Tolerance % CW ],"")/100*Table1[[#This Row],[Std Nom]]),"")</f>
        <v/>
      </c>
      <c r="P1273" s="1" t="str">
        <f>IFERROR(Table1[[#This Row],[Std Nom]]+(_xlfn.XLOOKUP(Table1[[#This Row],[Manufacturer]]&amp;" "&amp;Table1[[#This Row],[Model]],Table13[MFR &amp; MDL],Table13[Tolerance % CW ],"")/100*Table1[[#This Row],[Std Nom]]),"")</f>
        <v/>
      </c>
      <c r="Q1273" s="1" t="e">
        <f>Table1[[#This Row],[High Tol]]-Table1[[#This Row],[Low Tol]]</f>
        <v>#VALUE!</v>
      </c>
      <c r="R1273" s="1">
        <f>2*Table1[[#This Row],[Std Error]]</f>
        <v>0</v>
      </c>
      <c r="S1273" s="1" t="str">
        <f>IF(Table1[[#This Row],[High Tol]]="","N/A",IFERROR(ABS(Table1[[#This Row],[Tol Span]]/Table1[[#This Row],[Error Span]]),"N/A"))</f>
        <v>N/A</v>
      </c>
      <c r="T1273" s="1" t="str">
        <f>IF(OR(Table1[[#This Row],[Low Tol]]="",Table1[[#This Row],[High Tol]]=""),"Needs Analysis",IF(Table1[[#This Row],[Ratio]]&gt;=4,"Not Significant",IF(Table1[[#This Row],[Ratio]]&gt;=2,"Semi-Significant","Significant")))</f>
        <v>Needs Analysis</v>
      </c>
      <c r="W1273" s="1">
        <f>IF(Table1[[#This Row],[Cal Type]]&lt;&gt;"ACCREDITED 17025 WITH UNCERTAINTIES",0,"")</f>
        <v>0</v>
      </c>
      <c r="X1273" s="1" t="str">
        <f>IF(Table1[[#This Row],[DUT Read]]="","N/A",Table1[[#This Row],[Std Error]]+Table1[[#This Row],[DUT Read]]+Table1[[#This Row],[DUT Ucty]])</f>
        <v>N/A</v>
      </c>
      <c r="Y1273" s="1" t="str">
        <f>IF(Table1[[#This Row],[Std Read]]="","N/A",Table1[[#This Row],[Std Read]]+Table1[[#This Row],[Std Ucty]])</f>
        <v>N/A</v>
      </c>
      <c r="Z12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3" s="1" t="str">
        <f>IF(Table1[[#This Row],[Spec Type]]="","N/A",Table1[[#This Row],[Spec Type]])</f>
        <v>±</v>
      </c>
      <c r="AC1273" s="1" t="str">
        <f>IF(Table1[[#This Row],[Spec Type2]]="N/A","N/A",IF(AND(Table1[[#This Row],[DUT Adj Read]]&gt;=Table1[[#This Row],[Low Tol]],Table1[[#This Row],[DUT Adj Read]]&lt;=Table1[[#This Row],[High Tol]]),"Pass","Fail"))</f>
        <v>Fail</v>
      </c>
      <c r="AD1273" s="1" t="str">
        <f>IF(AND(Table1[[#This Row],[Spec Type2]]="N/A",Table1[[#This Row],[DUT Adj Read]]="N/A",Table1[[#This Row],[Std Adj Read]]="N/A"),"N/A",IF(Table1[[#This Row],[DUT Adj Read]]="N/A",IF(Table1[[#This Row],[Std Adj Read]]&gt;Table1[[#This Row],[Low Tol]],"Pass","Fail"),IF(Table1[[#This Row],[DUT Adj Read]]&gt;Table1[[#This Row],[Low Tol]],"Pass","Fail")))</f>
        <v>Pass</v>
      </c>
      <c r="AE1273" s="1" t="str">
        <f>IF(AND(Table1[[#This Row],[Spec Type2]]="N/A",Table1[[#This Row],[DUT Adj Read]]="N/A",Table1[[#This Row],[Std Adj Read]]="N/A"),"N/A",IF(Table1[[#This Row],[DUT Adj Read]]="N/A",IF(Table1[[#This Row],[Std Adj Read]]&lt;Table1[[#This Row],[High Tol]],"Pass","Fail"),IF(Table1[[#This Row],[DUT Adj Read]]&lt;Table1[[#This Row],[High Tol]],"Pass","Fail")))</f>
        <v>Fail</v>
      </c>
      <c r="AF1273" s="1" t="str">
        <f>IF(AND(Table1[[#This Row],[Spec Type2]]="N/A",Table1[[#This Row],[DUT Adj Read]]="N/A",Table1[[#This Row],[Std Adj Read]]="N/A"),"N/A",IF(Table1[[#This Row],[DUT Adj Read]]="N/A",IF(Table1[[#This Row],[Std Adj Read]]&gt;=Table1[[#This Row],[Low Tol]],"Pass","Fail"),IF(Table1[[#This Row],[DUT Adj Read]]&gt;=Table1[[#This Row],[Low Tol]],"Pass","Fail")))</f>
        <v>Pass</v>
      </c>
      <c r="AG1273" s="1" t="str">
        <f>IF(AND(Table1[[#This Row],[Spec Type2]]="N/A",Table1[[#This Row],[DUT Adj Read]]="N/A",Table1[[#This Row],[Std Adj Read]]="N/A"),"N/A",IF(Table1[[#This Row],[DUT Adj Read]]="N/A",IF(Table1[[#This Row],[Std Adj Read]]&lt;=Table1[[#This Row],[High Tol]],"Pass","Fail"),IF(Table1[[#This Row],[DUT Adj Read]]&lt;=Table1[[#This Row],[High Tol]],"Pass","Fail")))</f>
        <v>Fail</v>
      </c>
      <c r="AH12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3" s="1" t="b">
        <v>0</v>
      </c>
      <c r="AN1273" s="1" t="b">
        <v>0</v>
      </c>
      <c r="AO1273" s="1" t="b">
        <v>0</v>
      </c>
    </row>
    <row r="1274" spans="1:41" x14ac:dyDescent="0.25">
      <c r="A1274" s="10"/>
      <c r="B1274" s="10"/>
      <c r="C1274" s="10"/>
      <c r="D1274" s="10"/>
      <c r="E1274" s="10"/>
      <c r="F1274" s="10"/>
      <c r="G1274" s="10"/>
      <c r="H1274" s="10"/>
      <c r="I1274" s="1" t="str">
        <f t="shared" si="57"/>
        <v/>
      </c>
      <c r="J1274" s="1" t="s">
        <v>35</v>
      </c>
      <c r="K1274" s="1" t="str">
        <f t="shared" si="58"/>
        <v/>
      </c>
      <c r="L1274" s="1" t="str">
        <f t="shared" si="59"/>
        <v/>
      </c>
      <c r="M1274" s="1">
        <f>IF(OR(Table1[[#This Row],[Std Nom]]="",Table1[[#This Row],[Std Read]]=""),0,Table1[[#This Row],[Std Nom]]-Table1[[#This Row],[Std Read]])</f>
        <v>0</v>
      </c>
      <c r="N1274" s="1">
        <f>IF(Calculations!$F$5="ACCREDITED 17025 WITH UNCERTAINTIES",$N$10,0)</f>
        <v>0</v>
      </c>
      <c r="O1274" s="1" t="str">
        <f>IFERROR(Table1[[#This Row],[Std Nom]]-(_xlfn.XLOOKUP(Table1[[#This Row],[Manufacturer]]&amp;" "&amp;Table1[[#This Row],[Model]],Table13[MFR &amp; MDL],Table13[Tolerance % CW ],"")/100*Table1[[#This Row],[Std Nom]]),"")</f>
        <v/>
      </c>
      <c r="P1274" s="1" t="str">
        <f>IFERROR(Table1[[#This Row],[Std Nom]]+(_xlfn.XLOOKUP(Table1[[#This Row],[Manufacturer]]&amp;" "&amp;Table1[[#This Row],[Model]],Table13[MFR &amp; MDL],Table13[Tolerance % CW ],"")/100*Table1[[#This Row],[Std Nom]]),"")</f>
        <v/>
      </c>
      <c r="Q1274" s="1" t="e">
        <f>Table1[[#This Row],[High Tol]]-Table1[[#This Row],[Low Tol]]</f>
        <v>#VALUE!</v>
      </c>
      <c r="R1274" s="1">
        <f>2*Table1[[#This Row],[Std Error]]</f>
        <v>0</v>
      </c>
      <c r="S1274" s="1" t="str">
        <f>IF(Table1[[#This Row],[High Tol]]="","N/A",IFERROR(ABS(Table1[[#This Row],[Tol Span]]/Table1[[#This Row],[Error Span]]),"N/A"))</f>
        <v>N/A</v>
      </c>
      <c r="T1274" s="1" t="str">
        <f>IF(OR(Table1[[#This Row],[Low Tol]]="",Table1[[#This Row],[High Tol]]=""),"Needs Analysis",IF(Table1[[#This Row],[Ratio]]&gt;=4,"Not Significant",IF(Table1[[#This Row],[Ratio]]&gt;=2,"Semi-Significant","Significant")))</f>
        <v>Needs Analysis</v>
      </c>
      <c r="W1274" s="1">
        <f>IF(Table1[[#This Row],[Cal Type]]&lt;&gt;"ACCREDITED 17025 WITH UNCERTAINTIES",0,"")</f>
        <v>0</v>
      </c>
      <c r="X1274" s="1" t="str">
        <f>IF(Table1[[#This Row],[DUT Read]]="","N/A",Table1[[#This Row],[Std Error]]+Table1[[#This Row],[DUT Read]]+Table1[[#This Row],[DUT Ucty]])</f>
        <v>N/A</v>
      </c>
      <c r="Y1274" s="1" t="str">
        <f>IF(Table1[[#This Row],[Std Read]]="","N/A",Table1[[#This Row],[Std Read]]+Table1[[#This Row],[Std Ucty]])</f>
        <v>N/A</v>
      </c>
      <c r="Z12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4" s="1" t="str">
        <f>IF(Table1[[#This Row],[Spec Type]]="","N/A",Table1[[#This Row],[Spec Type]])</f>
        <v>±</v>
      </c>
      <c r="AC1274" s="1" t="str">
        <f>IF(Table1[[#This Row],[Spec Type2]]="N/A","N/A",IF(AND(Table1[[#This Row],[DUT Adj Read]]&gt;=Table1[[#This Row],[Low Tol]],Table1[[#This Row],[DUT Adj Read]]&lt;=Table1[[#This Row],[High Tol]]),"Pass","Fail"))</f>
        <v>Fail</v>
      </c>
      <c r="AD1274" s="1" t="str">
        <f>IF(AND(Table1[[#This Row],[Spec Type2]]="N/A",Table1[[#This Row],[DUT Adj Read]]="N/A",Table1[[#This Row],[Std Adj Read]]="N/A"),"N/A",IF(Table1[[#This Row],[DUT Adj Read]]="N/A",IF(Table1[[#This Row],[Std Adj Read]]&gt;Table1[[#This Row],[Low Tol]],"Pass","Fail"),IF(Table1[[#This Row],[DUT Adj Read]]&gt;Table1[[#This Row],[Low Tol]],"Pass","Fail")))</f>
        <v>Pass</v>
      </c>
      <c r="AE1274" s="1" t="str">
        <f>IF(AND(Table1[[#This Row],[Spec Type2]]="N/A",Table1[[#This Row],[DUT Adj Read]]="N/A",Table1[[#This Row],[Std Adj Read]]="N/A"),"N/A",IF(Table1[[#This Row],[DUT Adj Read]]="N/A",IF(Table1[[#This Row],[Std Adj Read]]&lt;Table1[[#This Row],[High Tol]],"Pass","Fail"),IF(Table1[[#This Row],[DUT Adj Read]]&lt;Table1[[#This Row],[High Tol]],"Pass","Fail")))</f>
        <v>Fail</v>
      </c>
      <c r="AF1274" s="1" t="str">
        <f>IF(AND(Table1[[#This Row],[Spec Type2]]="N/A",Table1[[#This Row],[DUT Adj Read]]="N/A",Table1[[#This Row],[Std Adj Read]]="N/A"),"N/A",IF(Table1[[#This Row],[DUT Adj Read]]="N/A",IF(Table1[[#This Row],[Std Adj Read]]&gt;=Table1[[#This Row],[Low Tol]],"Pass","Fail"),IF(Table1[[#This Row],[DUT Adj Read]]&gt;=Table1[[#This Row],[Low Tol]],"Pass","Fail")))</f>
        <v>Pass</v>
      </c>
      <c r="AG1274" s="1" t="str">
        <f>IF(AND(Table1[[#This Row],[Spec Type2]]="N/A",Table1[[#This Row],[DUT Adj Read]]="N/A",Table1[[#This Row],[Std Adj Read]]="N/A"),"N/A",IF(Table1[[#This Row],[DUT Adj Read]]="N/A",IF(Table1[[#This Row],[Std Adj Read]]&lt;=Table1[[#This Row],[High Tol]],"Pass","Fail"),IF(Table1[[#This Row],[DUT Adj Read]]&lt;=Table1[[#This Row],[High Tol]],"Pass","Fail")))</f>
        <v>Fail</v>
      </c>
      <c r="AH12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4" s="1" t="b">
        <v>0</v>
      </c>
      <c r="AN1274" s="1" t="b">
        <v>0</v>
      </c>
      <c r="AO1274" s="1" t="b">
        <v>0</v>
      </c>
    </row>
    <row r="1275" spans="1:41" x14ac:dyDescent="0.25">
      <c r="A1275" s="10"/>
      <c r="B1275" s="10"/>
      <c r="C1275" s="10"/>
      <c r="D1275" s="10"/>
      <c r="E1275" s="10"/>
      <c r="F1275" s="10"/>
      <c r="G1275" s="10"/>
      <c r="H1275" s="10"/>
      <c r="I1275" s="1" t="str">
        <f t="shared" si="57"/>
        <v/>
      </c>
      <c r="J1275" s="1" t="s">
        <v>35</v>
      </c>
      <c r="K1275" s="1" t="str">
        <f t="shared" si="58"/>
        <v/>
      </c>
      <c r="L1275" s="1" t="str">
        <f t="shared" si="59"/>
        <v/>
      </c>
      <c r="M1275" s="1">
        <f>IF(OR(Table1[[#This Row],[Std Nom]]="",Table1[[#This Row],[Std Read]]=""),0,Table1[[#This Row],[Std Nom]]-Table1[[#This Row],[Std Read]])</f>
        <v>0</v>
      </c>
      <c r="N1275" s="1">
        <f>IF(Calculations!$F$5="ACCREDITED 17025 WITH UNCERTAINTIES",$N$10,0)</f>
        <v>0</v>
      </c>
      <c r="O1275" s="1" t="str">
        <f>IFERROR(Table1[[#This Row],[Std Nom]]-(_xlfn.XLOOKUP(Table1[[#This Row],[Manufacturer]]&amp;" "&amp;Table1[[#This Row],[Model]],Table13[MFR &amp; MDL],Table13[Tolerance % CW ],"")/100*Table1[[#This Row],[Std Nom]]),"")</f>
        <v/>
      </c>
      <c r="P1275" s="1" t="str">
        <f>IFERROR(Table1[[#This Row],[Std Nom]]+(_xlfn.XLOOKUP(Table1[[#This Row],[Manufacturer]]&amp;" "&amp;Table1[[#This Row],[Model]],Table13[MFR &amp; MDL],Table13[Tolerance % CW ],"")/100*Table1[[#This Row],[Std Nom]]),"")</f>
        <v/>
      </c>
      <c r="Q1275" s="1" t="e">
        <f>Table1[[#This Row],[High Tol]]-Table1[[#This Row],[Low Tol]]</f>
        <v>#VALUE!</v>
      </c>
      <c r="R1275" s="1">
        <f>2*Table1[[#This Row],[Std Error]]</f>
        <v>0</v>
      </c>
      <c r="S1275" s="1" t="str">
        <f>IF(Table1[[#This Row],[High Tol]]="","N/A",IFERROR(ABS(Table1[[#This Row],[Tol Span]]/Table1[[#This Row],[Error Span]]),"N/A"))</f>
        <v>N/A</v>
      </c>
      <c r="T1275" s="1" t="str">
        <f>IF(OR(Table1[[#This Row],[Low Tol]]="",Table1[[#This Row],[High Tol]]=""),"Needs Analysis",IF(Table1[[#This Row],[Ratio]]&gt;=4,"Not Significant",IF(Table1[[#This Row],[Ratio]]&gt;=2,"Semi-Significant","Significant")))</f>
        <v>Needs Analysis</v>
      </c>
      <c r="W1275" s="1">
        <f>IF(Table1[[#This Row],[Cal Type]]&lt;&gt;"ACCREDITED 17025 WITH UNCERTAINTIES",0,"")</f>
        <v>0</v>
      </c>
      <c r="X1275" s="1" t="str">
        <f>IF(Table1[[#This Row],[DUT Read]]="","N/A",Table1[[#This Row],[Std Error]]+Table1[[#This Row],[DUT Read]]+Table1[[#This Row],[DUT Ucty]])</f>
        <v>N/A</v>
      </c>
      <c r="Y1275" s="1" t="str">
        <f>IF(Table1[[#This Row],[Std Read]]="","N/A",Table1[[#This Row],[Std Read]]+Table1[[#This Row],[Std Ucty]])</f>
        <v>N/A</v>
      </c>
      <c r="Z12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5" s="1" t="str">
        <f>IF(Table1[[#This Row],[Spec Type]]="","N/A",Table1[[#This Row],[Spec Type]])</f>
        <v>±</v>
      </c>
      <c r="AC1275" s="1" t="str">
        <f>IF(Table1[[#This Row],[Spec Type2]]="N/A","N/A",IF(AND(Table1[[#This Row],[DUT Adj Read]]&gt;=Table1[[#This Row],[Low Tol]],Table1[[#This Row],[DUT Adj Read]]&lt;=Table1[[#This Row],[High Tol]]),"Pass","Fail"))</f>
        <v>Fail</v>
      </c>
      <c r="AD1275" s="1" t="str">
        <f>IF(AND(Table1[[#This Row],[Spec Type2]]="N/A",Table1[[#This Row],[DUT Adj Read]]="N/A",Table1[[#This Row],[Std Adj Read]]="N/A"),"N/A",IF(Table1[[#This Row],[DUT Adj Read]]="N/A",IF(Table1[[#This Row],[Std Adj Read]]&gt;Table1[[#This Row],[Low Tol]],"Pass","Fail"),IF(Table1[[#This Row],[DUT Adj Read]]&gt;Table1[[#This Row],[Low Tol]],"Pass","Fail")))</f>
        <v>Pass</v>
      </c>
      <c r="AE1275" s="1" t="str">
        <f>IF(AND(Table1[[#This Row],[Spec Type2]]="N/A",Table1[[#This Row],[DUT Adj Read]]="N/A",Table1[[#This Row],[Std Adj Read]]="N/A"),"N/A",IF(Table1[[#This Row],[DUT Adj Read]]="N/A",IF(Table1[[#This Row],[Std Adj Read]]&lt;Table1[[#This Row],[High Tol]],"Pass","Fail"),IF(Table1[[#This Row],[DUT Adj Read]]&lt;Table1[[#This Row],[High Tol]],"Pass","Fail")))</f>
        <v>Fail</v>
      </c>
      <c r="AF1275" s="1" t="str">
        <f>IF(AND(Table1[[#This Row],[Spec Type2]]="N/A",Table1[[#This Row],[DUT Adj Read]]="N/A",Table1[[#This Row],[Std Adj Read]]="N/A"),"N/A",IF(Table1[[#This Row],[DUT Adj Read]]="N/A",IF(Table1[[#This Row],[Std Adj Read]]&gt;=Table1[[#This Row],[Low Tol]],"Pass","Fail"),IF(Table1[[#This Row],[DUT Adj Read]]&gt;=Table1[[#This Row],[Low Tol]],"Pass","Fail")))</f>
        <v>Pass</v>
      </c>
      <c r="AG1275" s="1" t="str">
        <f>IF(AND(Table1[[#This Row],[Spec Type2]]="N/A",Table1[[#This Row],[DUT Adj Read]]="N/A",Table1[[#This Row],[Std Adj Read]]="N/A"),"N/A",IF(Table1[[#This Row],[DUT Adj Read]]="N/A",IF(Table1[[#This Row],[Std Adj Read]]&lt;=Table1[[#This Row],[High Tol]],"Pass","Fail"),IF(Table1[[#This Row],[DUT Adj Read]]&lt;=Table1[[#This Row],[High Tol]],"Pass","Fail")))</f>
        <v>Fail</v>
      </c>
      <c r="AH12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5" s="1" t="b">
        <v>0</v>
      </c>
      <c r="AN1275" s="1" t="b">
        <v>0</v>
      </c>
      <c r="AO1275" s="1" t="b">
        <v>0</v>
      </c>
    </row>
    <row r="1276" spans="1:41" x14ac:dyDescent="0.25">
      <c r="A1276" s="10"/>
      <c r="B1276" s="10"/>
      <c r="C1276" s="10"/>
      <c r="D1276" s="10"/>
      <c r="E1276" s="10"/>
      <c r="F1276" s="10"/>
      <c r="G1276" s="10"/>
      <c r="H1276" s="10"/>
      <c r="I1276" s="1" t="str">
        <f t="shared" si="57"/>
        <v/>
      </c>
      <c r="J1276" s="1" t="s">
        <v>35</v>
      </c>
      <c r="K1276" s="1" t="str">
        <f t="shared" si="58"/>
        <v/>
      </c>
      <c r="L1276" s="1" t="str">
        <f t="shared" si="59"/>
        <v/>
      </c>
      <c r="M1276" s="1">
        <f>IF(OR(Table1[[#This Row],[Std Nom]]="",Table1[[#This Row],[Std Read]]=""),0,Table1[[#This Row],[Std Nom]]-Table1[[#This Row],[Std Read]])</f>
        <v>0</v>
      </c>
      <c r="N1276" s="1">
        <f>IF(Calculations!$F$5="ACCREDITED 17025 WITH UNCERTAINTIES",$N$10,0)</f>
        <v>0</v>
      </c>
      <c r="O1276" s="1" t="str">
        <f>IFERROR(Table1[[#This Row],[Std Nom]]-(_xlfn.XLOOKUP(Table1[[#This Row],[Manufacturer]]&amp;" "&amp;Table1[[#This Row],[Model]],Table13[MFR &amp; MDL],Table13[Tolerance % CW ],"")/100*Table1[[#This Row],[Std Nom]]),"")</f>
        <v/>
      </c>
      <c r="P1276" s="1" t="str">
        <f>IFERROR(Table1[[#This Row],[Std Nom]]+(_xlfn.XLOOKUP(Table1[[#This Row],[Manufacturer]]&amp;" "&amp;Table1[[#This Row],[Model]],Table13[MFR &amp; MDL],Table13[Tolerance % CW ],"")/100*Table1[[#This Row],[Std Nom]]),"")</f>
        <v/>
      </c>
      <c r="Q1276" s="1" t="e">
        <f>Table1[[#This Row],[High Tol]]-Table1[[#This Row],[Low Tol]]</f>
        <v>#VALUE!</v>
      </c>
      <c r="R1276" s="1">
        <f>2*Table1[[#This Row],[Std Error]]</f>
        <v>0</v>
      </c>
      <c r="S1276" s="1" t="str">
        <f>IF(Table1[[#This Row],[High Tol]]="","N/A",IFERROR(ABS(Table1[[#This Row],[Tol Span]]/Table1[[#This Row],[Error Span]]),"N/A"))</f>
        <v>N/A</v>
      </c>
      <c r="T1276" s="1" t="str">
        <f>IF(OR(Table1[[#This Row],[Low Tol]]="",Table1[[#This Row],[High Tol]]=""),"Needs Analysis",IF(Table1[[#This Row],[Ratio]]&gt;=4,"Not Significant",IF(Table1[[#This Row],[Ratio]]&gt;=2,"Semi-Significant","Significant")))</f>
        <v>Needs Analysis</v>
      </c>
      <c r="W1276" s="1">
        <f>IF(Table1[[#This Row],[Cal Type]]&lt;&gt;"ACCREDITED 17025 WITH UNCERTAINTIES",0,"")</f>
        <v>0</v>
      </c>
      <c r="X1276" s="1" t="str">
        <f>IF(Table1[[#This Row],[DUT Read]]="","N/A",Table1[[#This Row],[Std Error]]+Table1[[#This Row],[DUT Read]]+Table1[[#This Row],[DUT Ucty]])</f>
        <v>N/A</v>
      </c>
      <c r="Y1276" s="1" t="str">
        <f>IF(Table1[[#This Row],[Std Read]]="","N/A",Table1[[#This Row],[Std Read]]+Table1[[#This Row],[Std Ucty]])</f>
        <v>N/A</v>
      </c>
      <c r="Z12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6" s="1" t="str">
        <f>IF(Table1[[#This Row],[Spec Type]]="","N/A",Table1[[#This Row],[Spec Type]])</f>
        <v>±</v>
      </c>
      <c r="AC1276" s="1" t="str">
        <f>IF(Table1[[#This Row],[Spec Type2]]="N/A","N/A",IF(AND(Table1[[#This Row],[DUT Adj Read]]&gt;=Table1[[#This Row],[Low Tol]],Table1[[#This Row],[DUT Adj Read]]&lt;=Table1[[#This Row],[High Tol]]),"Pass","Fail"))</f>
        <v>Fail</v>
      </c>
      <c r="AD1276" s="1" t="str">
        <f>IF(AND(Table1[[#This Row],[Spec Type2]]="N/A",Table1[[#This Row],[DUT Adj Read]]="N/A",Table1[[#This Row],[Std Adj Read]]="N/A"),"N/A",IF(Table1[[#This Row],[DUT Adj Read]]="N/A",IF(Table1[[#This Row],[Std Adj Read]]&gt;Table1[[#This Row],[Low Tol]],"Pass","Fail"),IF(Table1[[#This Row],[DUT Adj Read]]&gt;Table1[[#This Row],[Low Tol]],"Pass","Fail")))</f>
        <v>Pass</v>
      </c>
      <c r="AE1276" s="1" t="str">
        <f>IF(AND(Table1[[#This Row],[Spec Type2]]="N/A",Table1[[#This Row],[DUT Adj Read]]="N/A",Table1[[#This Row],[Std Adj Read]]="N/A"),"N/A",IF(Table1[[#This Row],[DUT Adj Read]]="N/A",IF(Table1[[#This Row],[Std Adj Read]]&lt;Table1[[#This Row],[High Tol]],"Pass","Fail"),IF(Table1[[#This Row],[DUT Adj Read]]&lt;Table1[[#This Row],[High Tol]],"Pass","Fail")))</f>
        <v>Fail</v>
      </c>
      <c r="AF1276" s="1" t="str">
        <f>IF(AND(Table1[[#This Row],[Spec Type2]]="N/A",Table1[[#This Row],[DUT Adj Read]]="N/A",Table1[[#This Row],[Std Adj Read]]="N/A"),"N/A",IF(Table1[[#This Row],[DUT Adj Read]]="N/A",IF(Table1[[#This Row],[Std Adj Read]]&gt;=Table1[[#This Row],[Low Tol]],"Pass","Fail"),IF(Table1[[#This Row],[DUT Adj Read]]&gt;=Table1[[#This Row],[Low Tol]],"Pass","Fail")))</f>
        <v>Pass</v>
      </c>
      <c r="AG1276" s="1" t="str">
        <f>IF(AND(Table1[[#This Row],[Spec Type2]]="N/A",Table1[[#This Row],[DUT Adj Read]]="N/A",Table1[[#This Row],[Std Adj Read]]="N/A"),"N/A",IF(Table1[[#This Row],[DUT Adj Read]]="N/A",IF(Table1[[#This Row],[Std Adj Read]]&lt;=Table1[[#This Row],[High Tol]],"Pass","Fail"),IF(Table1[[#This Row],[DUT Adj Read]]&lt;=Table1[[#This Row],[High Tol]],"Pass","Fail")))</f>
        <v>Fail</v>
      </c>
      <c r="AH12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6" s="1" t="b">
        <v>0</v>
      </c>
      <c r="AN1276" s="1" t="b">
        <v>0</v>
      </c>
      <c r="AO1276" s="1" t="b">
        <v>0</v>
      </c>
    </row>
    <row r="1277" spans="1:41" x14ac:dyDescent="0.25">
      <c r="A1277" s="10"/>
      <c r="B1277" s="10"/>
      <c r="C1277" s="10"/>
      <c r="D1277" s="10"/>
      <c r="E1277" s="10"/>
      <c r="F1277" s="10"/>
      <c r="G1277" s="10"/>
      <c r="H1277" s="10"/>
      <c r="I1277" s="1" t="str">
        <f t="shared" si="57"/>
        <v/>
      </c>
      <c r="J1277" s="1" t="s">
        <v>35</v>
      </c>
      <c r="K1277" s="1" t="str">
        <f t="shared" si="58"/>
        <v/>
      </c>
      <c r="L1277" s="1" t="str">
        <f t="shared" si="59"/>
        <v/>
      </c>
      <c r="M1277" s="1">
        <f>IF(OR(Table1[[#This Row],[Std Nom]]="",Table1[[#This Row],[Std Read]]=""),0,Table1[[#This Row],[Std Nom]]-Table1[[#This Row],[Std Read]])</f>
        <v>0</v>
      </c>
      <c r="N1277" s="1">
        <f>IF(Calculations!$F$5="ACCREDITED 17025 WITH UNCERTAINTIES",$N$10,0)</f>
        <v>0</v>
      </c>
      <c r="O1277" s="1" t="str">
        <f>IFERROR(Table1[[#This Row],[Std Nom]]-(_xlfn.XLOOKUP(Table1[[#This Row],[Manufacturer]]&amp;" "&amp;Table1[[#This Row],[Model]],Table13[MFR &amp; MDL],Table13[Tolerance % CW ],"")/100*Table1[[#This Row],[Std Nom]]),"")</f>
        <v/>
      </c>
      <c r="P1277" s="1" t="str">
        <f>IFERROR(Table1[[#This Row],[Std Nom]]+(_xlfn.XLOOKUP(Table1[[#This Row],[Manufacturer]]&amp;" "&amp;Table1[[#This Row],[Model]],Table13[MFR &amp; MDL],Table13[Tolerance % CW ],"")/100*Table1[[#This Row],[Std Nom]]),"")</f>
        <v/>
      </c>
      <c r="Q1277" s="1" t="e">
        <f>Table1[[#This Row],[High Tol]]-Table1[[#This Row],[Low Tol]]</f>
        <v>#VALUE!</v>
      </c>
      <c r="R1277" s="1">
        <f>2*Table1[[#This Row],[Std Error]]</f>
        <v>0</v>
      </c>
      <c r="S1277" s="1" t="str">
        <f>IF(Table1[[#This Row],[High Tol]]="","N/A",IFERROR(ABS(Table1[[#This Row],[Tol Span]]/Table1[[#This Row],[Error Span]]),"N/A"))</f>
        <v>N/A</v>
      </c>
      <c r="T1277" s="1" t="str">
        <f>IF(OR(Table1[[#This Row],[Low Tol]]="",Table1[[#This Row],[High Tol]]=""),"Needs Analysis",IF(Table1[[#This Row],[Ratio]]&gt;=4,"Not Significant",IF(Table1[[#This Row],[Ratio]]&gt;=2,"Semi-Significant","Significant")))</f>
        <v>Needs Analysis</v>
      </c>
      <c r="W1277" s="1">
        <f>IF(Table1[[#This Row],[Cal Type]]&lt;&gt;"ACCREDITED 17025 WITH UNCERTAINTIES",0,"")</f>
        <v>0</v>
      </c>
      <c r="X1277" s="1" t="str">
        <f>IF(Table1[[#This Row],[DUT Read]]="","N/A",Table1[[#This Row],[Std Error]]+Table1[[#This Row],[DUT Read]]+Table1[[#This Row],[DUT Ucty]])</f>
        <v>N/A</v>
      </c>
      <c r="Y1277" s="1" t="str">
        <f>IF(Table1[[#This Row],[Std Read]]="","N/A",Table1[[#This Row],[Std Read]]+Table1[[#This Row],[Std Ucty]])</f>
        <v>N/A</v>
      </c>
      <c r="Z12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7" s="1" t="str">
        <f>IF(Table1[[#This Row],[Spec Type]]="","N/A",Table1[[#This Row],[Spec Type]])</f>
        <v>±</v>
      </c>
      <c r="AC1277" s="1" t="str">
        <f>IF(Table1[[#This Row],[Spec Type2]]="N/A","N/A",IF(AND(Table1[[#This Row],[DUT Adj Read]]&gt;=Table1[[#This Row],[Low Tol]],Table1[[#This Row],[DUT Adj Read]]&lt;=Table1[[#This Row],[High Tol]]),"Pass","Fail"))</f>
        <v>Fail</v>
      </c>
      <c r="AD1277" s="1" t="str">
        <f>IF(AND(Table1[[#This Row],[Spec Type2]]="N/A",Table1[[#This Row],[DUT Adj Read]]="N/A",Table1[[#This Row],[Std Adj Read]]="N/A"),"N/A",IF(Table1[[#This Row],[DUT Adj Read]]="N/A",IF(Table1[[#This Row],[Std Adj Read]]&gt;Table1[[#This Row],[Low Tol]],"Pass","Fail"),IF(Table1[[#This Row],[DUT Adj Read]]&gt;Table1[[#This Row],[Low Tol]],"Pass","Fail")))</f>
        <v>Pass</v>
      </c>
      <c r="AE1277" s="1" t="str">
        <f>IF(AND(Table1[[#This Row],[Spec Type2]]="N/A",Table1[[#This Row],[DUT Adj Read]]="N/A",Table1[[#This Row],[Std Adj Read]]="N/A"),"N/A",IF(Table1[[#This Row],[DUT Adj Read]]="N/A",IF(Table1[[#This Row],[Std Adj Read]]&lt;Table1[[#This Row],[High Tol]],"Pass","Fail"),IF(Table1[[#This Row],[DUT Adj Read]]&lt;Table1[[#This Row],[High Tol]],"Pass","Fail")))</f>
        <v>Fail</v>
      </c>
      <c r="AF1277" s="1" t="str">
        <f>IF(AND(Table1[[#This Row],[Spec Type2]]="N/A",Table1[[#This Row],[DUT Adj Read]]="N/A",Table1[[#This Row],[Std Adj Read]]="N/A"),"N/A",IF(Table1[[#This Row],[DUT Adj Read]]="N/A",IF(Table1[[#This Row],[Std Adj Read]]&gt;=Table1[[#This Row],[Low Tol]],"Pass","Fail"),IF(Table1[[#This Row],[DUT Adj Read]]&gt;=Table1[[#This Row],[Low Tol]],"Pass","Fail")))</f>
        <v>Pass</v>
      </c>
      <c r="AG1277" s="1" t="str">
        <f>IF(AND(Table1[[#This Row],[Spec Type2]]="N/A",Table1[[#This Row],[DUT Adj Read]]="N/A",Table1[[#This Row],[Std Adj Read]]="N/A"),"N/A",IF(Table1[[#This Row],[DUT Adj Read]]="N/A",IF(Table1[[#This Row],[Std Adj Read]]&lt;=Table1[[#This Row],[High Tol]],"Pass","Fail"),IF(Table1[[#This Row],[DUT Adj Read]]&lt;=Table1[[#This Row],[High Tol]],"Pass","Fail")))</f>
        <v>Fail</v>
      </c>
      <c r="AH12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7" s="1" t="b">
        <v>0</v>
      </c>
      <c r="AN1277" s="1" t="b">
        <v>0</v>
      </c>
      <c r="AO1277" s="1" t="b">
        <v>0</v>
      </c>
    </row>
    <row r="1278" spans="1:41" x14ac:dyDescent="0.25">
      <c r="A1278" s="10"/>
      <c r="B1278" s="10"/>
      <c r="C1278" s="10"/>
      <c r="D1278" s="10"/>
      <c r="E1278" s="10"/>
      <c r="F1278" s="10"/>
      <c r="G1278" s="10"/>
      <c r="H1278" s="10"/>
      <c r="I1278" s="1" t="str">
        <f t="shared" si="57"/>
        <v/>
      </c>
      <c r="J1278" s="1" t="s">
        <v>35</v>
      </c>
      <c r="K1278" s="1" t="str">
        <f t="shared" si="58"/>
        <v/>
      </c>
      <c r="L1278" s="1" t="str">
        <f t="shared" si="59"/>
        <v/>
      </c>
      <c r="M1278" s="1">
        <f>IF(OR(Table1[[#This Row],[Std Nom]]="",Table1[[#This Row],[Std Read]]=""),0,Table1[[#This Row],[Std Nom]]-Table1[[#This Row],[Std Read]])</f>
        <v>0</v>
      </c>
      <c r="N1278" s="1">
        <f>IF(Calculations!$F$5="ACCREDITED 17025 WITH UNCERTAINTIES",$N$10,0)</f>
        <v>0</v>
      </c>
      <c r="O1278" s="1" t="str">
        <f>IFERROR(Table1[[#This Row],[Std Nom]]-(_xlfn.XLOOKUP(Table1[[#This Row],[Manufacturer]]&amp;" "&amp;Table1[[#This Row],[Model]],Table13[MFR &amp; MDL],Table13[Tolerance % CW ],"")/100*Table1[[#This Row],[Std Nom]]),"")</f>
        <v/>
      </c>
      <c r="P1278" s="1" t="str">
        <f>IFERROR(Table1[[#This Row],[Std Nom]]+(_xlfn.XLOOKUP(Table1[[#This Row],[Manufacturer]]&amp;" "&amp;Table1[[#This Row],[Model]],Table13[MFR &amp; MDL],Table13[Tolerance % CW ],"")/100*Table1[[#This Row],[Std Nom]]),"")</f>
        <v/>
      </c>
      <c r="Q1278" s="1" t="e">
        <f>Table1[[#This Row],[High Tol]]-Table1[[#This Row],[Low Tol]]</f>
        <v>#VALUE!</v>
      </c>
      <c r="R1278" s="1">
        <f>2*Table1[[#This Row],[Std Error]]</f>
        <v>0</v>
      </c>
      <c r="S1278" s="1" t="str">
        <f>IF(Table1[[#This Row],[High Tol]]="","N/A",IFERROR(ABS(Table1[[#This Row],[Tol Span]]/Table1[[#This Row],[Error Span]]),"N/A"))</f>
        <v>N/A</v>
      </c>
      <c r="T1278" s="1" t="str">
        <f>IF(OR(Table1[[#This Row],[Low Tol]]="",Table1[[#This Row],[High Tol]]=""),"Needs Analysis",IF(Table1[[#This Row],[Ratio]]&gt;=4,"Not Significant",IF(Table1[[#This Row],[Ratio]]&gt;=2,"Semi-Significant","Significant")))</f>
        <v>Needs Analysis</v>
      </c>
      <c r="W1278" s="1">
        <f>IF(Table1[[#This Row],[Cal Type]]&lt;&gt;"ACCREDITED 17025 WITH UNCERTAINTIES",0,"")</f>
        <v>0</v>
      </c>
      <c r="X1278" s="1" t="str">
        <f>IF(Table1[[#This Row],[DUT Read]]="","N/A",Table1[[#This Row],[Std Error]]+Table1[[#This Row],[DUT Read]]+Table1[[#This Row],[DUT Ucty]])</f>
        <v>N/A</v>
      </c>
      <c r="Y1278" s="1" t="str">
        <f>IF(Table1[[#This Row],[Std Read]]="","N/A",Table1[[#This Row],[Std Read]]+Table1[[#This Row],[Std Ucty]])</f>
        <v>N/A</v>
      </c>
      <c r="Z12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8" s="1" t="str">
        <f>IF(Table1[[#This Row],[Spec Type]]="","N/A",Table1[[#This Row],[Spec Type]])</f>
        <v>±</v>
      </c>
      <c r="AC1278" s="1" t="str">
        <f>IF(Table1[[#This Row],[Spec Type2]]="N/A","N/A",IF(AND(Table1[[#This Row],[DUT Adj Read]]&gt;=Table1[[#This Row],[Low Tol]],Table1[[#This Row],[DUT Adj Read]]&lt;=Table1[[#This Row],[High Tol]]),"Pass","Fail"))</f>
        <v>Fail</v>
      </c>
      <c r="AD1278" s="1" t="str">
        <f>IF(AND(Table1[[#This Row],[Spec Type2]]="N/A",Table1[[#This Row],[DUT Adj Read]]="N/A",Table1[[#This Row],[Std Adj Read]]="N/A"),"N/A",IF(Table1[[#This Row],[DUT Adj Read]]="N/A",IF(Table1[[#This Row],[Std Adj Read]]&gt;Table1[[#This Row],[Low Tol]],"Pass","Fail"),IF(Table1[[#This Row],[DUT Adj Read]]&gt;Table1[[#This Row],[Low Tol]],"Pass","Fail")))</f>
        <v>Pass</v>
      </c>
      <c r="AE1278" s="1" t="str">
        <f>IF(AND(Table1[[#This Row],[Spec Type2]]="N/A",Table1[[#This Row],[DUT Adj Read]]="N/A",Table1[[#This Row],[Std Adj Read]]="N/A"),"N/A",IF(Table1[[#This Row],[DUT Adj Read]]="N/A",IF(Table1[[#This Row],[Std Adj Read]]&lt;Table1[[#This Row],[High Tol]],"Pass","Fail"),IF(Table1[[#This Row],[DUT Adj Read]]&lt;Table1[[#This Row],[High Tol]],"Pass","Fail")))</f>
        <v>Fail</v>
      </c>
      <c r="AF1278" s="1" t="str">
        <f>IF(AND(Table1[[#This Row],[Spec Type2]]="N/A",Table1[[#This Row],[DUT Adj Read]]="N/A",Table1[[#This Row],[Std Adj Read]]="N/A"),"N/A",IF(Table1[[#This Row],[DUT Adj Read]]="N/A",IF(Table1[[#This Row],[Std Adj Read]]&gt;=Table1[[#This Row],[Low Tol]],"Pass","Fail"),IF(Table1[[#This Row],[DUT Adj Read]]&gt;=Table1[[#This Row],[Low Tol]],"Pass","Fail")))</f>
        <v>Pass</v>
      </c>
      <c r="AG1278" s="1" t="str">
        <f>IF(AND(Table1[[#This Row],[Spec Type2]]="N/A",Table1[[#This Row],[DUT Adj Read]]="N/A",Table1[[#This Row],[Std Adj Read]]="N/A"),"N/A",IF(Table1[[#This Row],[DUT Adj Read]]="N/A",IF(Table1[[#This Row],[Std Adj Read]]&lt;=Table1[[#This Row],[High Tol]],"Pass","Fail"),IF(Table1[[#This Row],[DUT Adj Read]]&lt;=Table1[[#This Row],[High Tol]],"Pass","Fail")))</f>
        <v>Fail</v>
      </c>
      <c r="AH12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8" s="1" t="b">
        <v>0</v>
      </c>
      <c r="AN1278" s="1" t="b">
        <v>0</v>
      </c>
      <c r="AO1278" s="1" t="b">
        <v>0</v>
      </c>
    </row>
    <row r="1279" spans="1:41" x14ac:dyDescent="0.25">
      <c r="A1279" s="10"/>
      <c r="B1279" s="10"/>
      <c r="C1279" s="10"/>
      <c r="D1279" s="10"/>
      <c r="E1279" s="10"/>
      <c r="F1279" s="10"/>
      <c r="G1279" s="10"/>
      <c r="H1279" s="10"/>
      <c r="I1279" s="1" t="str">
        <f t="shared" si="57"/>
        <v/>
      </c>
      <c r="J1279" s="1" t="s">
        <v>35</v>
      </c>
      <c r="K1279" s="1" t="str">
        <f t="shared" si="58"/>
        <v/>
      </c>
      <c r="L1279" s="1" t="str">
        <f t="shared" si="59"/>
        <v/>
      </c>
      <c r="M1279" s="1">
        <f>IF(OR(Table1[[#This Row],[Std Nom]]="",Table1[[#This Row],[Std Read]]=""),0,Table1[[#This Row],[Std Nom]]-Table1[[#This Row],[Std Read]])</f>
        <v>0</v>
      </c>
      <c r="N1279" s="1">
        <f>IF(Calculations!$F$5="ACCREDITED 17025 WITH UNCERTAINTIES",$N$10,0)</f>
        <v>0</v>
      </c>
      <c r="O1279" s="1" t="str">
        <f>IFERROR(Table1[[#This Row],[Std Nom]]-(_xlfn.XLOOKUP(Table1[[#This Row],[Manufacturer]]&amp;" "&amp;Table1[[#This Row],[Model]],Table13[MFR &amp; MDL],Table13[Tolerance % CW ],"")/100*Table1[[#This Row],[Std Nom]]),"")</f>
        <v/>
      </c>
      <c r="P1279" s="1" t="str">
        <f>IFERROR(Table1[[#This Row],[Std Nom]]+(_xlfn.XLOOKUP(Table1[[#This Row],[Manufacturer]]&amp;" "&amp;Table1[[#This Row],[Model]],Table13[MFR &amp; MDL],Table13[Tolerance % CW ],"")/100*Table1[[#This Row],[Std Nom]]),"")</f>
        <v/>
      </c>
      <c r="Q1279" s="1" t="e">
        <f>Table1[[#This Row],[High Tol]]-Table1[[#This Row],[Low Tol]]</f>
        <v>#VALUE!</v>
      </c>
      <c r="R1279" s="1">
        <f>2*Table1[[#This Row],[Std Error]]</f>
        <v>0</v>
      </c>
      <c r="S1279" s="1" t="str">
        <f>IF(Table1[[#This Row],[High Tol]]="","N/A",IFERROR(ABS(Table1[[#This Row],[Tol Span]]/Table1[[#This Row],[Error Span]]),"N/A"))</f>
        <v>N/A</v>
      </c>
      <c r="T1279" s="1" t="str">
        <f>IF(OR(Table1[[#This Row],[Low Tol]]="",Table1[[#This Row],[High Tol]]=""),"Needs Analysis",IF(Table1[[#This Row],[Ratio]]&gt;=4,"Not Significant",IF(Table1[[#This Row],[Ratio]]&gt;=2,"Semi-Significant","Significant")))</f>
        <v>Needs Analysis</v>
      </c>
      <c r="W1279" s="1">
        <f>IF(Table1[[#This Row],[Cal Type]]&lt;&gt;"ACCREDITED 17025 WITH UNCERTAINTIES",0,"")</f>
        <v>0</v>
      </c>
      <c r="X1279" s="1" t="str">
        <f>IF(Table1[[#This Row],[DUT Read]]="","N/A",Table1[[#This Row],[Std Error]]+Table1[[#This Row],[DUT Read]]+Table1[[#This Row],[DUT Ucty]])</f>
        <v>N/A</v>
      </c>
      <c r="Y1279" s="1" t="str">
        <f>IF(Table1[[#This Row],[Std Read]]="","N/A",Table1[[#This Row],[Std Read]]+Table1[[#This Row],[Std Ucty]])</f>
        <v>N/A</v>
      </c>
      <c r="Z12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9" s="1" t="str">
        <f>IF(Table1[[#This Row],[Spec Type]]="","N/A",Table1[[#This Row],[Spec Type]])</f>
        <v>±</v>
      </c>
      <c r="AC1279" s="1" t="str">
        <f>IF(Table1[[#This Row],[Spec Type2]]="N/A","N/A",IF(AND(Table1[[#This Row],[DUT Adj Read]]&gt;=Table1[[#This Row],[Low Tol]],Table1[[#This Row],[DUT Adj Read]]&lt;=Table1[[#This Row],[High Tol]]),"Pass","Fail"))</f>
        <v>Fail</v>
      </c>
      <c r="AD1279" s="1" t="str">
        <f>IF(AND(Table1[[#This Row],[Spec Type2]]="N/A",Table1[[#This Row],[DUT Adj Read]]="N/A",Table1[[#This Row],[Std Adj Read]]="N/A"),"N/A",IF(Table1[[#This Row],[DUT Adj Read]]="N/A",IF(Table1[[#This Row],[Std Adj Read]]&gt;Table1[[#This Row],[Low Tol]],"Pass","Fail"),IF(Table1[[#This Row],[DUT Adj Read]]&gt;Table1[[#This Row],[Low Tol]],"Pass","Fail")))</f>
        <v>Pass</v>
      </c>
      <c r="AE1279" s="1" t="str">
        <f>IF(AND(Table1[[#This Row],[Spec Type2]]="N/A",Table1[[#This Row],[DUT Adj Read]]="N/A",Table1[[#This Row],[Std Adj Read]]="N/A"),"N/A",IF(Table1[[#This Row],[DUT Adj Read]]="N/A",IF(Table1[[#This Row],[Std Adj Read]]&lt;Table1[[#This Row],[High Tol]],"Pass","Fail"),IF(Table1[[#This Row],[DUT Adj Read]]&lt;Table1[[#This Row],[High Tol]],"Pass","Fail")))</f>
        <v>Fail</v>
      </c>
      <c r="AF1279" s="1" t="str">
        <f>IF(AND(Table1[[#This Row],[Spec Type2]]="N/A",Table1[[#This Row],[DUT Adj Read]]="N/A",Table1[[#This Row],[Std Adj Read]]="N/A"),"N/A",IF(Table1[[#This Row],[DUT Adj Read]]="N/A",IF(Table1[[#This Row],[Std Adj Read]]&gt;=Table1[[#This Row],[Low Tol]],"Pass","Fail"),IF(Table1[[#This Row],[DUT Adj Read]]&gt;=Table1[[#This Row],[Low Tol]],"Pass","Fail")))</f>
        <v>Pass</v>
      </c>
      <c r="AG1279" s="1" t="str">
        <f>IF(AND(Table1[[#This Row],[Spec Type2]]="N/A",Table1[[#This Row],[DUT Adj Read]]="N/A",Table1[[#This Row],[Std Adj Read]]="N/A"),"N/A",IF(Table1[[#This Row],[DUT Adj Read]]="N/A",IF(Table1[[#This Row],[Std Adj Read]]&lt;=Table1[[#This Row],[High Tol]],"Pass","Fail"),IF(Table1[[#This Row],[DUT Adj Read]]&lt;=Table1[[#This Row],[High Tol]],"Pass","Fail")))</f>
        <v>Fail</v>
      </c>
      <c r="AH12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9" s="1" t="b">
        <v>0</v>
      </c>
      <c r="AN1279" s="1" t="b">
        <v>0</v>
      </c>
      <c r="AO1279" s="1" t="b">
        <v>0</v>
      </c>
    </row>
    <row r="1280" spans="1:41" x14ac:dyDescent="0.25">
      <c r="A1280" s="10"/>
      <c r="B1280" s="10"/>
      <c r="C1280" s="10"/>
      <c r="D1280" s="10"/>
      <c r="E1280" s="10"/>
      <c r="F1280" s="10"/>
      <c r="G1280" s="10"/>
      <c r="H1280" s="10"/>
      <c r="I1280" s="1" t="str">
        <f t="shared" si="57"/>
        <v/>
      </c>
      <c r="J1280" s="1" t="s">
        <v>35</v>
      </c>
      <c r="K1280" s="1" t="str">
        <f t="shared" si="58"/>
        <v/>
      </c>
      <c r="L1280" s="1" t="str">
        <f t="shared" si="59"/>
        <v/>
      </c>
      <c r="M1280" s="1">
        <f>IF(OR(Table1[[#This Row],[Std Nom]]="",Table1[[#This Row],[Std Read]]=""),0,Table1[[#This Row],[Std Nom]]-Table1[[#This Row],[Std Read]])</f>
        <v>0</v>
      </c>
      <c r="N1280" s="1">
        <f>IF(Calculations!$F$5="ACCREDITED 17025 WITH UNCERTAINTIES",$N$10,0)</f>
        <v>0</v>
      </c>
      <c r="O1280" s="1" t="str">
        <f>IFERROR(Table1[[#This Row],[Std Nom]]-(_xlfn.XLOOKUP(Table1[[#This Row],[Manufacturer]]&amp;" "&amp;Table1[[#This Row],[Model]],Table13[MFR &amp; MDL],Table13[Tolerance % CW ],"")/100*Table1[[#This Row],[Std Nom]]),"")</f>
        <v/>
      </c>
      <c r="P1280" s="1" t="str">
        <f>IFERROR(Table1[[#This Row],[Std Nom]]+(_xlfn.XLOOKUP(Table1[[#This Row],[Manufacturer]]&amp;" "&amp;Table1[[#This Row],[Model]],Table13[MFR &amp; MDL],Table13[Tolerance % CW ],"")/100*Table1[[#This Row],[Std Nom]]),"")</f>
        <v/>
      </c>
      <c r="Q1280" s="1" t="e">
        <f>Table1[[#This Row],[High Tol]]-Table1[[#This Row],[Low Tol]]</f>
        <v>#VALUE!</v>
      </c>
      <c r="R1280" s="1">
        <f>2*Table1[[#This Row],[Std Error]]</f>
        <v>0</v>
      </c>
      <c r="S1280" s="1" t="str">
        <f>IF(Table1[[#This Row],[High Tol]]="","N/A",IFERROR(ABS(Table1[[#This Row],[Tol Span]]/Table1[[#This Row],[Error Span]]),"N/A"))</f>
        <v>N/A</v>
      </c>
      <c r="T1280" s="1" t="str">
        <f>IF(OR(Table1[[#This Row],[Low Tol]]="",Table1[[#This Row],[High Tol]]=""),"Needs Analysis",IF(Table1[[#This Row],[Ratio]]&gt;=4,"Not Significant",IF(Table1[[#This Row],[Ratio]]&gt;=2,"Semi-Significant","Significant")))</f>
        <v>Needs Analysis</v>
      </c>
      <c r="W1280" s="1">
        <f>IF(Table1[[#This Row],[Cal Type]]&lt;&gt;"ACCREDITED 17025 WITH UNCERTAINTIES",0,"")</f>
        <v>0</v>
      </c>
      <c r="X1280" s="1" t="str">
        <f>IF(Table1[[#This Row],[DUT Read]]="","N/A",Table1[[#This Row],[Std Error]]+Table1[[#This Row],[DUT Read]]+Table1[[#This Row],[DUT Ucty]])</f>
        <v>N/A</v>
      </c>
      <c r="Y1280" s="1" t="str">
        <f>IF(Table1[[#This Row],[Std Read]]="","N/A",Table1[[#This Row],[Std Read]]+Table1[[#This Row],[Std Ucty]])</f>
        <v>N/A</v>
      </c>
      <c r="Z12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0" s="1" t="str">
        <f>IF(Table1[[#This Row],[Spec Type]]="","N/A",Table1[[#This Row],[Spec Type]])</f>
        <v>±</v>
      </c>
      <c r="AC1280" s="1" t="str">
        <f>IF(Table1[[#This Row],[Spec Type2]]="N/A","N/A",IF(AND(Table1[[#This Row],[DUT Adj Read]]&gt;=Table1[[#This Row],[Low Tol]],Table1[[#This Row],[DUT Adj Read]]&lt;=Table1[[#This Row],[High Tol]]),"Pass","Fail"))</f>
        <v>Fail</v>
      </c>
      <c r="AD1280" s="1" t="str">
        <f>IF(AND(Table1[[#This Row],[Spec Type2]]="N/A",Table1[[#This Row],[DUT Adj Read]]="N/A",Table1[[#This Row],[Std Adj Read]]="N/A"),"N/A",IF(Table1[[#This Row],[DUT Adj Read]]="N/A",IF(Table1[[#This Row],[Std Adj Read]]&gt;Table1[[#This Row],[Low Tol]],"Pass","Fail"),IF(Table1[[#This Row],[DUT Adj Read]]&gt;Table1[[#This Row],[Low Tol]],"Pass","Fail")))</f>
        <v>Pass</v>
      </c>
      <c r="AE1280" s="1" t="str">
        <f>IF(AND(Table1[[#This Row],[Spec Type2]]="N/A",Table1[[#This Row],[DUT Adj Read]]="N/A",Table1[[#This Row],[Std Adj Read]]="N/A"),"N/A",IF(Table1[[#This Row],[DUT Adj Read]]="N/A",IF(Table1[[#This Row],[Std Adj Read]]&lt;Table1[[#This Row],[High Tol]],"Pass","Fail"),IF(Table1[[#This Row],[DUT Adj Read]]&lt;Table1[[#This Row],[High Tol]],"Pass","Fail")))</f>
        <v>Fail</v>
      </c>
      <c r="AF1280" s="1" t="str">
        <f>IF(AND(Table1[[#This Row],[Spec Type2]]="N/A",Table1[[#This Row],[DUT Adj Read]]="N/A",Table1[[#This Row],[Std Adj Read]]="N/A"),"N/A",IF(Table1[[#This Row],[DUT Adj Read]]="N/A",IF(Table1[[#This Row],[Std Adj Read]]&gt;=Table1[[#This Row],[Low Tol]],"Pass","Fail"),IF(Table1[[#This Row],[DUT Adj Read]]&gt;=Table1[[#This Row],[Low Tol]],"Pass","Fail")))</f>
        <v>Pass</v>
      </c>
      <c r="AG1280" s="1" t="str">
        <f>IF(AND(Table1[[#This Row],[Spec Type2]]="N/A",Table1[[#This Row],[DUT Adj Read]]="N/A",Table1[[#This Row],[Std Adj Read]]="N/A"),"N/A",IF(Table1[[#This Row],[DUT Adj Read]]="N/A",IF(Table1[[#This Row],[Std Adj Read]]&lt;=Table1[[#This Row],[High Tol]],"Pass","Fail"),IF(Table1[[#This Row],[DUT Adj Read]]&lt;=Table1[[#This Row],[High Tol]],"Pass","Fail")))</f>
        <v>Fail</v>
      </c>
      <c r="AH12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0" s="1" t="b">
        <v>0</v>
      </c>
      <c r="AN1280" s="1" t="b">
        <v>0</v>
      </c>
      <c r="AO1280" s="1" t="b">
        <v>0</v>
      </c>
    </row>
    <row r="1281" spans="1:41" x14ac:dyDescent="0.25">
      <c r="A1281" s="10"/>
      <c r="B1281" s="10"/>
      <c r="C1281" s="10"/>
      <c r="D1281" s="10"/>
      <c r="E1281" s="10"/>
      <c r="F1281" s="10"/>
      <c r="G1281" s="10"/>
      <c r="H1281" s="10"/>
      <c r="I1281" s="1" t="str">
        <f t="shared" si="57"/>
        <v/>
      </c>
      <c r="J1281" s="1" t="s">
        <v>35</v>
      </c>
      <c r="K1281" s="1" t="str">
        <f t="shared" si="58"/>
        <v/>
      </c>
      <c r="L1281" s="1" t="str">
        <f t="shared" si="59"/>
        <v/>
      </c>
      <c r="M1281" s="1">
        <f>IF(OR(Table1[[#This Row],[Std Nom]]="",Table1[[#This Row],[Std Read]]=""),0,Table1[[#This Row],[Std Nom]]-Table1[[#This Row],[Std Read]])</f>
        <v>0</v>
      </c>
      <c r="N1281" s="1">
        <f>IF(Calculations!$F$5="ACCREDITED 17025 WITH UNCERTAINTIES",$N$10,0)</f>
        <v>0</v>
      </c>
      <c r="O1281" s="1" t="str">
        <f>IFERROR(Table1[[#This Row],[Std Nom]]-(_xlfn.XLOOKUP(Table1[[#This Row],[Manufacturer]]&amp;" "&amp;Table1[[#This Row],[Model]],Table13[MFR &amp; MDL],Table13[Tolerance % CW ],"")/100*Table1[[#This Row],[Std Nom]]),"")</f>
        <v/>
      </c>
      <c r="P1281" s="1" t="str">
        <f>IFERROR(Table1[[#This Row],[Std Nom]]+(_xlfn.XLOOKUP(Table1[[#This Row],[Manufacturer]]&amp;" "&amp;Table1[[#This Row],[Model]],Table13[MFR &amp; MDL],Table13[Tolerance % CW ],"")/100*Table1[[#This Row],[Std Nom]]),"")</f>
        <v/>
      </c>
      <c r="Q1281" s="1" t="e">
        <f>Table1[[#This Row],[High Tol]]-Table1[[#This Row],[Low Tol]]</f>
        <v>#VALUE!</v>
      </c>
      <c r="R1281" s="1">
        <f>2*Table1[[#This Row],[Std Error]]</f>
        <v>0</v>
      </c>
      <c r="S1281" s="1" t="str">
        <f>IF(Table1[[#This Row],[High Tol]]="","N/A",IFERROR(ABS(Table1[[#This Row],[Tol Span]]/Table1[[#This Row],[Error Span]]),"N/A"))</f>
        <v>N/A</v>
      </c>
      <c r="T1281" s="1" t="str">
        <f>IF(OR(Table1[[#This Row],[Low Tol]]="",Table1[[#This Row],[High Tol]]=""),"Needs Analysis",IF(Table1[[#This Row],[Ratio]]&gt;=4,"Not Significant",IF(Table1[[#This Row],[Ratio]]&gt;=2,"Semi-Significant","Significant")))</f>
        <v>Needs Analysis</v>
      </c>
      <c r="W1281" s="1">
        <f>IF(Table1[[#This Row],[Cal Type]]&lt;&gt;"ACCREDITED 17025 WITH UNCERTAINTIES",0,"")</f>
        <v>0</v>
      </c>
      <c r="X1281" s="1" t="str">
        <f>IF(Table1[[#This Row],[DUT Read]]="","N/A",Table1[[#This Row],[Std Error]]+Table1[[#This Row],[DUT Read]]+Table1[[#This Row],[DUT Ucty]])</f>
        <v>N/A</v>
      </c>
      <c r="Y1281" s="1" t="str">
        <f>IF(Table1[[#This Row],[Std Read]]="","N/A",Table1[[#This Row],[Std Read]]+Table1[[#This Row],[Std Ucty]])</f>
        <v>N/A</v>
      </c>
      <c r="Z12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1" s="1" t="str">
        <f>IF(Table1[[#This Row],[Spec Type]]="","N/A",Table1[[#This Row],[Spec Type]])</f>
        <v>±</v>
      </c>
      <c r="AC1281" s="1" t="str">
        <f>IF(Table1[[#This Row],[Spec Type2]]="N/A","N/A",IF(AND(Table1[[#This Row],[DUT Adj Read]]&gt;=Table1[[#This Row],[Low Tol]],Table1[[#This Row],[DUT Adj Read]]&lt;=Table1[[#This Row],[High Tol]]),"Pass","Fail"))</f>
        <v>Fail</v>
      </c>
      <c r="AD1281" s="1" t="str">
        <f>IF(AND(Table1[[#This Row],[Spec Type2]]="N/A",Table1[[#This Row],[DUT Adj Read]]="N/A",Table1[[#This Row],[Std Adj Read]]="N/A"),"N/A",IF(Table1[[#This Row],[DUT Adj Read]]="N/A",IF(Table1[[#This Row],[Std Adj Read]]&gt;Table1[[#This Row],[Low Tol]],"Pass","Fail"),IF(Table1[[#This Row],[DUT Adj Read]]&gt;Table1[[#This Row],[Low Tol]],"Pass","Fail")))</f>
        <v>Pass</v>
      </c>
      <c r="AE1281" s="1" t="str">
        <f>IF(AND(Table1[[#This Row],[Spec Type2]]="N/A",Table1[[#This Row],[DUT Adj Read]]="N/A",Table1[[#This Row],[Std Adj Read]]="N/A"),"N/A",IF(Table1[[#This Row],[DUT Adj Read]]="N/A",IF(Table1[[#This Row],[Std Adj Read]]&lt;Table1[[#This Row],[High Tol]],"Pass","Fail"),IF(Table1[[#This Row],[DUT Adj Read]]&lt;Table1[[#This Row],[High Tol]],"Pass","Fail")))</f>
        <v>Fail</v>
      </c>
      <c r="AF1281" s="1" t="str">
        <f>IF(AND(Table1[[#This Row],[Spec Type2]]="N/A",Table1[[#This Row],[DUT Adj Read]]="N/A",Table1[[#This Row],[Std Adj Read]]="N/A"),"N/A",IF(Table1[[#This Row],[DUT Adj Read]]="N/A",IF(Table1[[#This Row],[Std Adj Read]]&gt;=Table1[[#This Row],[Low Tol]],"Pass","Fail"),IF(Table1[[#This Row],[DUT Adj Read]]&gt;=Table1[[#This Row],[Low Tol]],"Pass","Fail")))</f>
        <v>Pass</v>
      </c>
      <c r="AG1281" s="1" t="str">
        <f>IF(AND(Table1[[#This Row],[Spec Type2]]="N/A",Table1[[#This Row],[DUT Adj Read]]="N/A",Table1[[#This Row],[Std Adj Read]]="N/A"),"N/A",IF(Table1[[#This Row],[DUT Adj Read]]="N/A",IF(Table1[[#This Row],[Std Adj Read]]&lt;=Table1[[#This Row],[High Tol]],"Pass","Fail"),IF(Table1[[#This Row],[DUT Adj Read]]&lt;=Table1[[#This Row],[High Tol]],"Pass","Fail")))</f>
        <v>Fail</v>
      </c>
      <c r="AH12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1" s="1" t="b">
        <v>0</v>
      </c>
      <c r="AN1281" s="1" t="b">
        <v>0</v>
      </c>
      <c r="AO1281" s="1" t="b">
        <v>0</v>
      </c>
    </row>
    <row r="1282" spans="1:41" x14ac:dyDescent="0.25">
      <c r="A1282" s="10"/>
      <c r="B1282" s="10"/>
      <c r="C1282" s="10"/>
      <c r="D1282" s="10"/>
      <c r="E1282" s="10"/>
      <c r="F1282" s="10"/>
      <c r="G1282" s="10"/>
      <c r="H1282" s="10"/>
      <c r="I1282" s="1" t="str">
        <f t="shared" si="57"/>
        <v/>
      </c>
      <c r="J1282" s="1" t="s">
        <v>35</v>
      </c>
      <c r="K1282" s="1" t="str">
        <f t="shared" si="58"/>
        <v/>
      </c>
      <c r="L1282" s="1" t="str">
        <f t="shared" si="59"/>
        <v/>
      </c>
      <c r="M1282" s="1">
        <f>IF(OR(Table1[[#This Row],[Std Nom]]="",Table1[[#This Row],[Std Read]]=""),0,Table1[[#This Row],[Std Nom]]-Table1[[#This Row],[Std Read]])</f>
        <v>0</v>
      </c>
      <c r="N1282" s="1">
        <f>IF(Calculations!$F$5="ACCREDITED 17025 WITH UNCERTAINTIES",$N$10,0)</f>
        <v>0</v>
      </c>
      <c r="O1282" s="1" t="str">
        <f>IFERROR(Table1[[#This Row],[Std Nom]]-(_xlfn.XLOOKUP(Table1[[#This Row],[Manufacturer]]&amp;" "&amp;Table1[[#This Row],[Model]],Table13[MFR &amp; MDL],Table13[Tolerance % CW ],"")/100*Table1[[#This Row],[Std Nom]]),"")</f>
        <v/>
      </c>
      <c r="P1282" s="1" t="str">
        <f>IFERROR(Table1[[#This Row],[Std Nom]]+(_xlfn.XLOOKUP(Table1[[#This Row],[Manufacturer]]&amp;" "&amp;Table1[[#This Row],[Model]],Table13[MFR &amp; MDL],Table13[Tolerance % CW ],"")/100*Table1[[#This Row],[Std Nom]]),"")</f>
        <v/>
      </c>
      <c r="Q1282" s="1" t="e">
        <f>Table1[[#This Row],[High Tol]]-Table1[[#This Row],[Low Tol]]</f>
        <v>#VALUE!</v>
      </c>
      <c r="R1282" s="1">
        <f>2*Table1[[#This Row],[Std Error]]</f>
        <v>0</v>
      </c>
      <c r="S1282" s="1" t="str">
        <f>IF(Table1[[#This Row],[High Tol]]="","N/A",IFERROR(ABS(Table1[[#This Row],[Tol Span]]/Table1[[#This Row],[Error Span]]),"N/A"))</f>
        <v>N/A</v>
      </c>
      <c r="T1282" s="1" t="str">
        <f>IF(OR(Table1[[#This Row],[Low Tol]]="",Table1[[#This Row],[High Tol]]=""),"Needs Analysis",IF(Table1[[#This Row],[Ratio]]&gt;=4,"Not Significant",IF(Table1[[#This Row],[Ratio]]&gt;=2,"Semi-Significant","Significant")))</f>
        <v>Needs Analysis</v>
      </c>
      <c r="W1282" s="1">
        <f>IF(Table1[[#This Row],[Cal Type]]&lt;&gt;"ACCREDITED 17025 WITH UNCERTAINTIES",0,"")</f>
        <v>0</v>
      </c>
      <c r="X1282" s="1" t="str">
        <f>IF(Table1[[#This Row],[DUT Read]]="","N/A",Table1[[#This Row],[Std Error]]+Table1[[#This Row],[DUT Read]]+Table1[[#This Row],[DUT Ucty]])</f>
        <v>N/A</v>
      </c>
      <c r="Y1282" s="1" t="str">
        <f>IF(Table1[[#This Row],[Std Read]]="","N/A",Table1[[#This Row],[Std Read]]+Table1[[#This Row],[Std Ucty]])</f>
        <v>N/A</v>
      </c>
      <c r="Z12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2" s="1" t="str">
        <f>IF(Table1[[#This Row],[Spec Type]]="","N/A",Table1[[#This Row],[Spec Type]])</f>
        <v>±</v>
      </c>
      <c r="AC1282" s="1" t="str">
        <f>IF(Table1[[#This Row],[Spec Type2]]="N/A","N/A",IF(AND(Table1[[#This Row],[DUT Adj Read]]&gt;=Table1[[#This Row],[Low Tol]],Table1[[#This Row],[DUT Adj Read]]&lt;=Table1[[#This Row],[High Tol]]),"Pass","Fail"))</f>
        <v>Fail</v>
      </c>
      <c r="AD1282" s="1" t="str">
        <f>IF(AND(Table1[[#This Row],[Spec Type2]]="N/A",Table1[[#This Row],[DUT Adj Read]]="N/A",Table1[[#This Row],[Std Adj Read]]="N/A"),"N/A",IF(Table1[[#This Row],[DUT Adj Read]]="N/A",IF(Table1[[#This Row],[Std Adj Read]]&gt;Table1[[#This Row],[Low Tol]],"Pass","Fail"),IF(Table1[[#This Row],[DUT Adj Read]]&gt;Table1[[#This Row],[Low Tol]],"Pass","Fail")))</f>
        <v>Pass</v>
      </c>
      <c r="AE1282" s="1" t="str">
        <f>IF(AND(Table1[[#This Row],[Spec Type2]]="N/A",Table1[[#This Row],[DUT Adj Read]]="N/A",Table1[[#This Row],[Std Adj Read]]="N/A"),"N/A",IF(Table1[[#This Row],[DUT Adj Read]]="N/A",IF(Table1[[#This Row],[Std Adj Read]]&lt;Table1[[#This Row],[High Tol]],"Pass","Fail"),IF(Table1[[#This Row],[DUT Adj Read]]&lt;Table1[[#This Row],[High Tol]],"Pass","Fail")))</f>
        <v>Fail</v>
      </c>
      <c r="AF1282" s="1" t="str">
        <f>IF(AND(Table1[[#This Row],[Spec Type2]]="N/A",Table1[[#This Row],[DUT Adj Read]]="N/A",Table1[[#This Row],[Std Adj Read]]="N/A"),"N/A",IF(Table1[[#This Row],[DUT Adj Read]]="N/A",IF(Table1[[#This Row],[Std Adj Read]]&gt;=Table1[[#This Row],[Low Tol]],"Pass","Fail"),IF(Table1[[#This Row],[DUT Adj Read]]&gt;=Table1[[#This Row],[Low Tol]],"Pass","Fail")))</f>
        <v>Pass</v>
      </c>
      <c r="AG1282" s="1" t="str">
        <f>IF(AND(Table1[[#This Row],[Spec Type2]]="N/A",Table1[[#This Row],[DUT Adj Read]]="N/A",Table1[[#This Row],[Std Adj Read]]="N/A"),"N/A",IF(Table1[[#This Row],[DUT Adj Read]]="N/A",IF(Table1[[#This Row],[Std Adj Read]]&lt;=Table1[[#This Row],[High Tol]],"Pass","Fail"),IF(Table1[[#This Row],[DUT Adj Read]]&lt;=Table1[[#This Row],[High Tol]],"Pass","Fail")))</f>
        <v>Fail</v>
      </c>
      <c r="AH12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2" s="1" t="b">
        <v>0</v>
      </c>
      <c r="AN1282" s="1" t="b">
        <v>0</v>
      </c>
      <c r="AO1282" s="1" t="b">
        <v>0</v>
      </c>
    </row>
    <row r="1283" spans="1:41" x14ac:dyDescent="0.25">
      <c r="A1283" s="10"/>
      <c r="B1283" s="10"/>
      <c r="C1283" s="10"/>
      <c r="D1283" s="10"/>
      <c r="E1283" s="10"/>
      <c r="F1283" s="10"/>
      <c r="G1283" s="10"/>
      <c r="H1283" s="10"/>
      <c r="I1283" s="1" t="str">
        <f t="shared" si="57"/>
        <v/>
      </c>
      <c r="J1283" s="1" t="s">
        <v>35</v>
      </c>
      <c r="K1283" s="1" t="str">
        <f t="shared" si="58"/>
        <v/>
      </c>
      <c r="L1283" s="1" t="str">
        <f t="shared" si="59"/>
        <v/>
      </c>
      <c r="M1283" s="1">
        <f>IF(OR(Table1[[#This Row],[Std Nom]]="",Table1[[#This Row],[Std Read]]=""),0,Table1[[#This Row],[Std Nom]]-Table1[[#This Row],[Std Read]])</f>
        <v>0</v>
      </c>
      <c r="N1283" s="1">
        <f>IF(Calculations!$F$5="ACCREDITED 17025 WITH UNCERTAINTIES",$N$10,0)</f>
        <v>0</v>
      </c>
      <c r="O1283" s="1" t="str">
        <f>IFERROR(Table1[[#This Row],[Std Nom]]-(_xlfn.XLOOKUP(Table1[[#This Row],[Manufacturer]]&amp;" "&amp;Table1[[#This Row],[Model]],Table13[MFR &amp; MDL],Table13[Tolerance % CW ],"")/100*Table1[[#This Row],[Std Nom]]),"")</f>
        <v/>
      </c>
      <c r="P1283" s="1" t="str">
        <f>IFERROR(Table1[[#This Row],[Std Nom]]+(_xlfn.XLOOKUP(Table1[[#This Row],[Manufacturer]]&amp;" "&amp;Table1[[#This Row],[Model]],Table13[MFR &amp; MDL],Table13[Tolerance % CW ],"")/100*Table1[[#This Row],[Std Nom]]),"")</f>
        <v/>
      </c>
      <c r="Q1283" s="1" t="e">
        <f>Table1[[#This Row],[High Tol]]-Table1[[#This Row],[Low Tol]]</f>
        <v>#VALUE!</v>
      </c>
      <c r="R1283" s="1">
        <f>2*Table1[[#This Row],[Std Error]]</f>
        <v>0</v>
      </c>
      <c r="S1283" s="1" t="str">
        <f>IF(Table1[[#This Row],[High Tol]]="","N/A",IFERROR(ABS(Table1[[#This Row],[Tol Span]]/Table1[[#This Row],[Error Span]]),"N/A"))</f>
        <v>N/A</v>
      </c>
      <c r="T1283" s="1" t="str">
        <f>IF(OR(Table1[[#This Row],[Low Tol]]="",Table1[[#This Row],[High Tol]]=""),"Needs Analysis",IF(Table1[[#This Row],[Ratio]]&gt;=4,"Not Significant",IF(Table1[[#This Row],[Ratio]]&gt;=2,"Semi-Significant","Significant")))</f>
        <v>Needs Analysis</v>
      </c>
      <c r="W1283" s="1">
        <f>IF(Table1[[#This Row],[Cal Type]]&lt;&gt;"ACCREDITED 17025 WITH UNCERTAINTIES",0,"")</f>
        <v>0</v>
      </c>
      <c r="X1283" s="1" t="str">
        <f>IF(Table1[[#This Row],[DUT Read]]="","N/A",Table1[[#This Row],[Std Error]]+Table1[[#This Row],[DUT Read]]+Table1[[#This Row],[DUT Ucty]])</f>
        <v>N/A</v>
      </c>
      <c r="Y1283" s="1" t="str">
        <f>IF(Table1[[#This Row],[Std Read]]="","N/A",Table1[[#This Row],[Std Read]]+Table1[[#This Row],[Std Ucty]])</f>
        <v>N/A</v>
      </c>
      <c r="Z12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3" s="1" t="str">
        <f>IF(Table1[[#This Row],[Spec Type]]="","N/A",Table1[[#This Row],[Spec Type]])</f>
        <v>±</v>
      </c>
      <c r="AC1283" s="1" t="str">
        <f>IF(Table1[[#This Row],[Spec Type2]]="N/A","N/A",IF(AND(Table1[[#This Row],[DUT Adj Read]]&gt;=Table1[[#This Row],[Low Tol]],Table1[[#This Row],[DUT Adj Read]]&lt;=Table1[[#This Row],[High Tol]]),"Pass","Fail"))</f>
        <v>Fail</v>
      </c>
      <c r="AD1283" s="1" t="str">
        <f>IF(AND(Table1[[#This Row],[Spec Type2]]="N/A",Table1[[#This Row],[DUT Adj Read]]="N/A",Table1[[#This Row],[Std Adj Read]]="N/A"),"N/A",IF(Table1[[#This Row],[DUT Adj Read]]="N/A",IF(Table1[[#This Row],[Std Adj Read]]&gt;Table1[[#This Row],[Low Tol]],"Pass","Fail"),IF(Table1[[#This Row],[DUT Adj Read]]&gt;Table1[[#This Row],[Low Tol]],"Pass","Fail")))</f>
        <v>Pass</v>
      </c>
      <c r="AE1283" s="1" t="str">
        <f>IF(AND(Table1[[#This Row],[Spec Type2]]="N/A",Table1[[#This Row],[DUT Adj Read]]="N/A",Table1[[#This Row],[Std Adj Read]]="N/A"),"N/A",IF(Table1[[#This Row],[DUT Adj Read]]="N/A",IF(Table1[[#This Row],[Std Adj Read]]&lt;Table1[[#This Row],[High Tol]],"Pass","Fail"),IF(Table1[[#This Row],[DUT Adj Read]]&lt;Table1[[#This Row],[High Tol]],"Pass","Fail")))</f>
        <v>Fail</v>
      </c>
      <c r="AF1283" s="1" t="str">
        <f>IF(AND(Table1[[#This Row],[Spec Type2]]="N/A",Table1[[#This Row],[DUT Adj Read]]="N/A",Table1[[#This Row],[Std Adj Read]]="N/A"),"N/A",IF(Table1[[#This Row],[DUT Adj Read]]="N/A",IF(Table1[[#This Row],[Std Adj Read]]&gt;=Table1[[#This Row],[Low Tol]],"Pass","Fail"),IF(Table1[[#This Row],[DUT Adj Read]]&gt;=Table1[[#This Row],[Low Tol]],"Pass","Fail")))</f>
        <v>Pass</v>
      </c>
      <c r="AG1283" s="1" t="str">
        <f>IF(AND(Table1[[#This Row],[Spec Type2]]="N/A",Table1[[#This Row],[DUT Adj Read]]="N/A",Table1[[#This Row],[Std Adj Read]]="N/A"),"N/A",IF(Table1[[#This Row],[DUT Adj Read]]="N/A",IF(Table1[[#This Row],[Std Adj Read]]&lt;=Table1[[#This Row],[High Tol]],"Pass","Fail"),IF(Table1[[#This Row],[DUT Adj Read]]&lt;=Table1[[#This Row],[High Tol]],"Pass","Fail")))</f>
        <v>Fail</v>
      </c>
      <c r="AH12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3" s="1" t="b">
        <v>0</v>
      </c>
      <c r="AN1283" s="1" t="b">
        <v>0</v>
      </c>
      <c r="AO1283" s="1" t="b">
        <v>0</v>
      </c>
    </row>
    <row r="1284" spans="1:41" x14ac:dyDescent="0.25">
      <c r="A1284" s="10"/>
      <c r="B1284" s="10"/>
      <c r="C1284" s="10"/>
      <c r="D1284" s="10"/>
      <c r="E1284" s="10"/>
      <c r="F1284" s="10"/>
      <c r="G1284" s="10"/>
      <c r="H1284" s="10"/>
      <c r="I1284" s="1" t="str">
        <f t="shared" si="57"/>
        <v/>
      </c>
      <c r="J1284" s="1" t="s">
        <v>35</v>
      </c>
      <c r="K1284" s="1" t="str">
        <f t="shared" si="58"/>
        <v/>
      </c>
      <c r="L1284" s="1" t="str">
        <f t="shared" si="59"/>
        <v/>
      </c>
      <c r="M1284" s="1">
        <f>IF(OR(Table1[[#This Row],[Std Nom]]="",Table1[[#This Row],[Std Read]]=""),0,Table1[[#This Row],[Std Nom]]-Table1[[#This Row],[Std Read]])</f>
        <v>0</v>
      </c>
      <c r="N1284" s="1">
        <f>IF(Calculations!$F$5="ACCREDITED 17025 WITH UNCERTAINTIES",$N$10,0)</f>
        <v>0</v>
      </c>
      <c r="O1284" s="1" t="str">
        <f>IFERROR(Table1[[#This Row],[Std Nom]]-(_xlfn.XLOOKUP(Table1[[#This Row],[Manufacturer]]&amp;" "&amp;Table1[[#This Row],[Model]],Table13[MFR &amp; MDL],Table13[Tolerance % CW ],"")/100*Table1[[#This Row],[Std Nom]]),"")</f>
        <v/>
      </c>
      <c r="P1284" s="1" t="str">
        <f>IFERROR(Table1[[#This Row],[Std Nom]]+(_xlfn.XLOOKUP(Table1[[#This Row],[Manufacturer]]&amp;" "&amp;Table1[[#This Row],[Model]],Table13[MFR &amp; MDL],Table13[Tolerance % CW ],"")/100*Table1[[#This Row],[Std Nom]]),"")</f>
        <v/>
      </c>
      <c r="Q1284" s="1" t="e">
        <f>Table1[[#This Row],[High Tol]]-Table1[[#This Row],[Low Tol]]</f>
        <v>#VALUE!</v>
      </c>
      <c r="R1284" s="1">
        <f>2*Table1[[#This Row],[Std Error]]</f>
        <v>0</v>
      </c>
      <c r="S1284" s="1" t="str">
        <f>IF(Table1[[#This Row],[High Tol]]="","N/A",IFERROR(ABS(Table1[[#This Row],[Tol Span]]/Table1[[#This Row],[Error Span]]),"N/A"))</f>
        <v>N/A</v>
      </c>
      <c r="T1284" s="1" t="str">
        <f>IF(OR(Table1[[#This Row],[Low Tol]]="",Table1[[#This Row],[High Tol]]=""),"Needs Analysis",IF(Table1[[#This Row],[Ratio]]&gt;=4,"Not Significant",IF(Table1[[#This Row],[Ratio]]&gt;=2,"Semi-Significant","Significant")))</f>
        <v>Needs Analysis</v>
      </c>
      <c r="W1284" s="1">
        <f>IF(Table1[[#This Row],[Cal Type]]&lt;&gt;"ACCREDITED 17025 WITH UNCERTAINTIES",0,"")</f>
        <v>0</v>
      </c>
      <c r="X1284" s="1" t="str">
        <f>IF(Table1[[#This Row],[DUT Read]]="","N/A",Table1[[#This Row],[Std Error]]+Table1[[#This Row],[DUT Read]]+Table1[[#This Row],[DUT Ucty]])</f>
        <v>N/A</v>
      </c>
      <c r="Y1284" s="1" t="str">
        <f>IF(Table1[[#This Row],[Std Read]]="","N/A",Table1[[#This Row],[Std Read]]+Table1[[#This Row],[Std Ucty]])</f>
        <v>N/A</v>
      </c>
      <c r="Z12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4" s="1" t="str">
        <f>IF(Table1[[#This Row],[Spec Type]]="","N/A",Table1[[#This Row],[Spec Type]])</f>
        <v>±</v>
      </c>
      <c r="AC1284" s="1" t="str">
        <f>IF(Table1[[#This Row],[Spec Type2]]="N/A","N/A",IF(AND(Table1[[#This Row],[DUT Adj Read]]&gt;=Table1[[#This Row],[Low Tol]],Table1[[#This Row],[DUT Adj Read]]&lt;=Table1[[#This Row],[High Tol]]),"Pass","Fail"))</f>
        <v>Fail</v>
      </c>
      <c r="AD1284" s="1" t="str">
        <f>IF(AND(Table1[[#This Row],[Spec Type2]]="N/A",Table1[[#This Row],[DUT Adj Read]]="N/A",Table1[[#This Row],[Std Adj Read]]="N/A"),"N/A",IF(Table1[[#This Row],[DUT Adj Read]]="N/A",IF(Table1[[#This Row],[Std Adj Read]]&gt;Table1[[#This Row],[Low Tol]],"Pass","Fail"),IF(Table1[[#This Row],[DUT Adj Read]]&gt;Table1[[#This Row],[Low Tol]],"Pass","Fail")))</f>
        <v>Pass</v>
      </c>
      <c r="AE1284" s="1" t="str">
        <f>IF(AND(Table1[[#This Row],[Spec Type2]]="N/A",Table1[[#This Row],[DUT Adj Read]]="N/A",Table1[[#This Row],[Std Adj Read]]="N/A"),"N/A",IF(Table1[[#This Row],[DUT Adj Read]]="N/A",IF(Table1[[#This Row],[Std Adj Read]]&lt;Table1[[#This Row],[High Tol]],"Pass","Fail"),IF(Table1[[#This Row],[DUT Adj Read]]&lt;Table1[[#This Row],[High Tol]],"Pass","Fail")))</f>
        <v>Fail</v>
      </c>
      <c r="AF1284" s="1" t="str">
        <f>IF(AND(Table1[[#This Row],[Spec Type2]]="N/A",Table1[[#This Row],[DUT Adj Read]]="N/A",Table1[[#This Row],[Std Adj Read]]="N/A"),"N/A",IF(Table1[[#This Row],[DUT Adj Read]]="N/A",IF(Table1[[#This Row],[Std Adj Read]]&gt;=Table1[[#This Row],[Low Tol]],"Pass","Fail"),IF(Table1[[#This Row],[DUT Adj Read]]&gt;=Table1[[#This Row],[Low Tol]],"Pass","Fail")))</f>
        <v>Pass</v>
      </c>
      <c r="AG1284" s="1" t="str">
        <f>IF(AND(Table1[[#This Row],[Spec Type2]]="N/A",Table1[[#This Row],[DUT Adj Read]]="N/A",Table1[[#This Row],[Std Adj Read]]="N/A"),"N/A",IF(Table1[[#This Row],[DUT Adj Read]]="N/A",IF(Table1[[#This Row],[Std Adj Read]]&lt;=Table1[[#This Row],[High Tol]],"Pass","Fail"),IF(Table1[[#This Row],[DUT Adj Read]]&lt;=Table1[[#This Row],[High Tol]],"Pass","Fail")))</f>
        <v>Fail</v>
      </c>
      <c r="AH12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4" s="1" t="b">
        <v>0</v>
      </c>
      <c r="AN1284" s="1" t="b">
        <v>0</v>
      </c>
      <c r="AO1284" s="1" t="b">
        <v>0</v>
      </c>
    </row>
    <row r="1285" spans="1:41" x14ac:dyDescent="0.25">
      <c r="A1285" s="10"/>
      <c r="B1285" s="10"/>
      <c r="C1285" s="10"/>
      <c r="D1285" s="10"/>
      <c r="E1285" s="10"/>
      <c r="F1285" s="10"/>
      <c r="G1285" s="10"/>
      <c r="H1285" s="10"/>
      <c r="I1285" s="1" t="str">
        <f t="shared" si="57"/>
        <v/>
      </c>
      <c r="J1285" s="1" t="s">
        <v>35</v>
      </c>
      <c r="K1285" s="1" t="str">
        <f t="shared" si="58"/>
        <v/>
      </c>
      <c r="L1285" s="1" t="str">
        <f t="shared" si="59"/>
        <v/>
      </c>
      <c r="M1285" s="1">
        <f>IF(OR(Table1[[#This Row],[Std Nom]]="",Table1[[#This Row],[Std Read]]=""),0,Table1[[#This Row],[Std Nom]]-Table1[[#This Row],[Std Read]])</f>
        <v>0</v>
      </c>
      <c r="N1285" s="1">
        <f>IF(Calculations!$F$5="ACCREDITED 17025 WITH UNCERTAINTIES",$N$10,0)</f>
        <v>0</v>
      </c>
      <c r="O1285" s="1" t="str">
        <f>IFERROR(Table1[[#This Row],[Std Nom]]-(_xlfn.XLOOKUP(Table1[[#This Row],[Manufacturer]]&amp;" "&amp;Table1[[#This Row],[Model]],Table13[MFR &amp; MDL],Table13[Tolerance % CW ],"")/100*Table1[[#This Row],[Std Nom]]),"")</f>
        <v/>
      </c>
      <c r="P1285" s="1" t="str">
        <f>IFERROR(Table1[[#This Row],[Std Nom]]+(_xlfn.XLOOKUP(Table1[[#This Row],[Manufacturer]]&amp;" "&amp;Table1[[#This Row],[Model]],Table13[MFR &amp; MDL],Table13[Tolerance % CW ],"")/100*Table1[[#This Row],[Std Nom]]),"")</f>
        <v/>
      </c>
      <c r="Q1285" s="1" t="e">
        <f>Table1[[#This Row],[High Tol]]-Table1[[#This Row],[Low Tol]]</f>
        <v>#VALUE!</v>
      </c>
      <c r="R1285" s="1">
        <f>2*Table1[[#This Row],[Std Error]]</f>
        <v>0</v>
      </c>
      <c r="S1285" s="1" t="str">
        <f>IF(Table1[[#This Row],[High Tol]]="","N/A",IFERROR(ABS(Table1[[#This Row],[Tol Span]]/Table1[[#This Row],[Error Span]]),"N/A"))</f>
        <v>N/A</v>
      </c>
      <c r="T1285" s="1" t="str">
        <f>IF(OR(Table1[[#This Row],[Low Tol]]="",Table1[[#This Row],[High Tol]]=""),"Needs Analysis",IF(Table1[[#This Row],[Ratio]]&gt;=4,"Not Significant",IF(Table1[[#This Row],[Ratio]]&gt;=2,"Semi-Significant","Significant")))</f>
        <v>Needs Analysis</v>
      </c>
      <c r="W1285" s="1">
        <f>IF(Table1[[#This Row],[Cal Type]]&lt;&gt;"ACCREDITED 17025 WITH UNCERTAINTIES",0,"")</f>
        <v>0</v>
      </c>
      <c r="X1285" s="1" t="str">
        <f>IF(Table1[[#This Row],[DUT Read]]="","N/A",Table1[[#This Row],[Std Error]]+Table1[[#This Row],[DUT Read]]+Table1[[#This Row],[DUT Ucty]])</f>
        <v>N/A</v>
      </c>
      <c r="Y1285" s="1" t="str">
        <f>IF(Table1[[#This Row],[Std Read]]="","N/A",Table1[[#This Row],[Std Read]]+Table1[[#This Row],[Std Ucty]])</f>
        <v>N/A</v>
      </c>
      <c r="Z12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5" s="1" t="str">
        <f>IF(Table1[[#This Row],[Spec Type]]="","N/A",Table1[[#This Row],[Spec Type]])</f>
        <v>±</v>
      </c>
      <c r="AC1285" s="1" t="str">
        <f>IF(Table1[[#This Row],[Spec Type2]]="N/A","N/A",IF(AND(Table1[[#This Row],[DUT Adj Read]]&gt;=Table1[[#This Row],[Low Tol]],Table1[[#This Row],[DUT Adj Read]]&lt;=Table1[[#This Row],[High Tol]]),"Pass","Fail"))</f>
        <v>Fail</v>
      </c>
      <c r="AD1285" s="1" t="str">
        <f>IF(AND(Table1[[#This Row],[Spec Type2]]="N/A",Table1[[#This Row],[DUT Adj Read]]="N/A",Table1[[#This Row],[Std Adj Read]]="N/A"),"N/A",IF(Table1[[#This Row],[DUT Adj Read]]="N/A",IF(Table1[[#This Row],[Std Adj Read]]&gt;Table1[[#This Row],[Low Tol]],"Pass","Fail"),IF(Table1[[#This Row],[DUT Adj Read]]&gt;Table1[[#This Row],[Low Tol]],"Pass","Fail")))</f>
        <v>Pass</v>
      </c>
      <c r="AE1285" s="1" t="str">
        <f>IF(AND(Table1[[#This Row],[Spec Type2]]="N/A",Table1[[#This Row],[DUT Adj Read]]="N/A",Table1[[#This Row],[Std Adj Read]]="N/A"),"N/A",IF(Table1[[#This Row],[DUT Adj Read]]="N/A",IF(Table1[[#This Row],[Std Adj Read]]&lt;Table1[[#This Row],[High Tol]],"Pass","Fail"),IF(Table1[[#This Row],[DUT Adj Read]]&lt;Table1[[#This Row],[High Tol]],"Pass","Fail")))</f>
        <v>Fail</v>
      </c>
      <c r="AF1285" s="1" t="str">
        <f>IF(AND(Table1[[#This Row],[Spec Type2]]="N/A",Table1[[#This Row],[DUT Adj Read]]="N/A",Table1[[#This Row],[Std Adj Read]]="N/A"),"N/A",IF(Table1[[#This Row],[DUT Adj Read]]="N/A",IF(Table1[[#This Row],[Std Adj Read]]&gt;=Table1[[#This Row],[Low Tol]],"Pass","Fail"),IF(Table1[[#This Row],[DUT Adj Read]]&gt;=Table1[[#This Row],[Low Tol]],"Pass","Fail")))</f>
        <v>Pass</v>
      </c>
      <c r="AG1285" s="1" t="str">
        <f>IF(AND(Table1[[#This Row],[Spec Type2]]="N/A",Table1[[#This Row],[DUT Adj Read]]="N/A",Table1[[#This Row],[Std Adj Read]]="N/A"),"N/A",IF(Table1[[#This Row],[DUT Adj Read]]="N/A",IF(Table1[[#This Row],[Std Adj Read]]&lt;=Table1[[#This Row],[High Tol]],"Pass","Fail"),IF(Table1[[#This Row],[DUT Adj Read]]&lt;=Table1[[#This Row],[High Tol]],"Pass","Fail")))</f>
        <v>Fail</v>
      </c>
      <c r="AH12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5" s="1" t="b">
        <v>0</v>
      </c>
      <c r="AN1285" s="1" t="b">
        <v>0</v>
      </c>
      <c r="AO1285" s="1" t="b">
        <v>0</v>
      </c>
    </row>
    <row r="1286" spans="1:41" x14ac:dyDescent="0.25">
      <c r="A1286" s="10"/>
      <c r="B1286" s="10"/>
      <c r="C1286" s="10"/>
      <c r="D1286" s="10"/>
      <c r="E1286" s="10"/>
      <c r="F1286" s="10"/>
      <c r="G1286" s="10"/>
      <c r="H1286" s="10"/>
      <c r="I1286" s="1" t="str">
        <f t="shared" si="57"/>
        <v/>
      </c>
      <c r="J1286" s="1" t="s">
        <v>35</v>
      </c>
      <c r="K1286" s="1" t="str">
        <f t="shared" si="58"/>
        <v/>
      </c>
      <c r="L1286" s="1" t="str">
        <f t="shared" si="59"/>
        <v/>
      </c>
      <c r="M1286" s="1">
        <f>IF(OR(Table1[[#This Row],[Std Nom]]="",Table1[[#This Row],[Std Read]]=""),0,Table1[[#This Row],[Std Nom]]-Table1[[#This Row],[Std Read]])</f>
        <v>0</v>
      </c>
      <c r="N1286" s="1">
        <f>IF(Calculations!$F$5="ACCREDITED 17025 WITH UNCERTAINTIES",$N$10,0)</f>
        <v>0</v>
      </c>
      <c r="O1286" s="1" t="str">
        <f>IFERROR(Table1[[#This Row],[Std Nom]]-(_xlfn.XLOOKUP(Table1[[#This Row],[Manufacturer]]&amp;" "&amp;Table1[[#This Row],[Model]],Table13[MFR &amp; MDL],Table13[Tolerance % CW ],"")/100*Table1[[#This Row],[Std Nom]]),"")</f>
        <v/>
      </c>
      <c r="P1286" s="1" t="str">
        <f>IFERROR(Table1[[#This Row],[Std Nom]]+(_xlfn.XLOOKUP(Table1[[#This Row],[Manufacturer]]&amp;" "&amp;Table1[[#This Row],[Model]],Table13[MFR &amp; MDL],Table13[Tolerance % CW ],"")/100*Table1[[#This Row],[Std Nom]]),"")</f>
        <v/>
      </c>
      <c r="Q1286" s="1" t="e">
        <f>Table1[[#This Row],[High Tol]]-Table1[[#This Row],[Low Tol]]</f>
        <v>#VALUE!</v>
      </c>
      <c r="R1286" s="1">
        <f>2*Table1[[#This Row],[Std Error]]</f>
        <v>0</v>
      </c>
      <c r="S1286" s="1" t="str">
        <f>IF(Table1[[#This Row],[High Tol]]="","N/A",IFERROR(ABS(Table1[[#This Row],[Tol Span]]/Table1[[#This Row],[Error Span]]),"N/A"))</f>
        <v>N/A</v>
      </c>
      <c r="T1286" s="1" t="str">
        <f>IF(OR(Table1[[#This Row],[Low Tol]]="",Table1[[#This Row],[High Tol]]=""),"Needs Analysis",IF(Table1[[#This Row],[Ratio]]&gt;=4,"Not Significant",IF(Table1[[#This Row],[Ratio]]&gt;=2,"Semi-Significant","Significant")))</f>
        <v>Needs Analysis</v>
      </c>
      <c r="W1286" s="1">
        <f>IF(Table1[[#This Row],[Cal Type]]&lt;&gt;"ACCREDITED 17025 WITH UNCERTAINTIES",0,"")</f>
        <v>0</v>
      </c>
      <c r="X1286" s="1" t="str">
        <f>IF(Table1[[#This Row],[DUT Read]]="","N/A",Table1[[#This Row],[Std Error]]+Table1[[#This Row],[DUT Read]]+Table1[[#This Row],[DUT Ucty]])</f>
        <v>N/A</v>
      </c>
      <c r="Y1286" s="1" t="str">
        <f>IF(Table1[[#This Row],[Std Read]]="","N/A",Table1[[#This Row],[Std Read]]+Table1[[#This Row],[Std Ucty]])</f>
        <v>N/A</v>
      </c>
      <c r="Z12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6" s="1" t="str">
        <f>IF(Table1[[#This Row],[Spec Type]]="","N/A",Table1[[#This Row],[Spec Type]])</f>
        <v>±</v>
      </c>
      <c r="AC1286" s="1" t="str">
        <f>IF(Table1[[#This Row],[Spec Type2]]="N/A","N/A",IF(AND(Table1[[#This Row],[DUT Adj Read]]&gt;=Table1[[#This Row],[Low Tol]],Table1[[#This Row],[DUT Adj Read]]&lt;=Table1[[#This Row],[High Tol]]),"Pass","Fail"))</f>
        <v>Fail</v>
      </c>
      <c r="AD1286" s="1" t="str">
        <f>IF(AND(Table1[[#This Row],[Spec Type2]]="N/A",Table1[[#This Row],[DUT Adj Read]]="N/A",Table1[[#This Row],[Std Adj Read]]="N/A"),"N/A",IF(Table1[[#This Row],[DUT Adj Read]]="N/A",IF(Table1[[#This Row],[Std Adj Read]]&gt;Table1[[#This Row],[Low Tol]],"Pass","Fail"),IF(Table1[[#This Row],[DUT Adj Read]]&gt;Table1[[#This Row],[Low Tol]],"Pass","Fail")))</f>
        <v>Pass</v>
      </c>
      <c r="AE1286" s="1" t="str">
        <f>IF(AND(Table1[[#This Row],[Spec Type2]]="N/A",Table1[[#This Row],[DUT Adj Read]]="N/A",Table1[[#This Row],[Std Adj Read]]="N/A"),"N/A",IF(Table1[[#This Row],[DUT Adj Read]]="N/A",IF(Table1[[#This Row],[Std Adj Read]]&lt;Table1[[#This Row],[High Tol]],"Pass","Fail"),IF(Table1[[#This Row],[DUT Adj Read]]&lt;Table1[[#This Row],[High Tol]],"Pass","Fail")))</f>
        <v>Fail</v>
      </c>
      <c r="AF1286" s="1" t="str">
        <f>IF(AND(Table1[[#This Row],[Spec Type2]]="N/A",Table1[[#This Row],[DUT Adj Read]]="N/A",Table1[[#This Row],[Std Adj Read]]="N/A"),"N/A",IF(Table1[[#This Row],[DUT Adj Read]]="N/A",IF(Table1[[#This Row],[Std Adj Read]]&gt;=Table1[[#This Row],[Low Tol]],"Pass","Fail"),IF(Table1[[#This Row],[DUT Adj Read]]&gt;=Table1[[#This Row],[Low Tol]],"Pass","Fail")))</f>
        <v>Pass</v>
      </c>
      <c r="AG1286" s="1" t="str">
        <f>IF(AND(Table1[[#This Row],[Spec Type2]]="N/A",Table1[[#This Row],[DUT Adj Read]]="N/A",Table1[[#This Row],[Std Adj Read]]="N/A"),"N/A",IF(Table1[[#This Row],[DUT Adj Read]]="N/A",IF(Table1[[#This Row],[Std Adj Read]]&lt;=Table1[[#This Row],[High Tol]],"Pass","Fail"),IF(Table1[[#This Row],[DUT Adj Read]]&lt;=Table1[[#This Row],[High Tol]],"Pass","Fail")))</f>
        <v>Fail</v>
      </c>
      <c r="AH12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6" s="1" t="b">
        <v>0</v>
      </c>
      <c r="AN1286" s="1" t="b">
        <v>0</v>
      </c>
      <c r="AO1286" s="1" t="b">
        <v>0</v>
      </c>
    </row>
    <row r="1287" spans="1:41" x14ac:dyDescent="0.25">
      <c r="A1287" s="10"/>
      <c r="B1287" s="10"/>
      <c r="C1287" s="10"/>
      <c r="D1287" s="10"/>
      <c r="E1287" s="10"/>
      <c r="F1287" s="10"/>
      <c r="G1287" s="10"/>
      <c r="H1287" s="10"/>
      <c r="I1287" s="1" t="str">
        <f t="shared" si="57"/>
        <v/>
      </c>
      <c r="J1287" s="1" t="s">
        <v>35</v>
      </c>
      <c r="K1287" s="1" t="str">
        <f t="shared" si="58"/>
        <v/>
      </c>
      <c r="L1287" s="1" t="str">
        <f t="shared" si="59"/>
        <v/>
      </c>
      <c r="M1287" s="1">
        <f>IF(OR(Table1[[#This Row],[Std Nom]]="",Table1[[#This Row],[Std Read]]=""),0,Table1[[#This Row],[Std Nom]]-Table1[[#This Row],[Std Read]])</f>
        <v>0</v>
      </c>
      <c r="N1287" s="1">
        <f>IF(Calculations!$F$5="ACCREDITED 17025 WITH UNCERTAINTIES",$N$10,0)</f>
        <v>0</v>
      </c>
      <c r="O1287" s="1" t="str">
        <f>IFERROR(Table1[[#This Row],[Std Nom]]-(_xlfn.XLOOKUP(Table1[[#This Row],[Manufacturer]]&amp;" "&amp;Table1[[#This Row],[Model]],Table13[MFR &amp; MDL],Table13[Tolerance % CW ],"")/100*Table1[[#This Row],[Std Nom]]),"")</f>
        <v/>
      </c>
      <c r="P1287" s="1" t="str">
        <f>IFERROR(Table1[[#This Row],[Std Nom]]+(_xlfn.XLOOKUP(Table1[[#This Row],[Manufacturer]]&amp;" "&amp;Table1[[#This Row],[Model]],Table13[MFR &amp; MDL],Table13[Tolerance % CW ],"")/100*Table1[[#This Row],[Std Nom]]),"")</f>
        <v/>
      </c>
      <c r="Q1287" s="1" t="e">
        <f>Table1[[#This Row],[High Tol]]-Table1[[#This Row],[Low Tol]]</f>
        <v>#VALUE!</v>
      </c>
      <c r="R1287" s="1">
        <f>2*Table1[[#This Row],[Std Error]]</f>
        <v>0</v>
      </c>
      <c r="S1287" s="1" t="str">
        <f>IF(Table1[[#This Row],[High Tol]]="","N/A",IFERROR(ABS(Table1[[#This Row],[Tol Span]]/Table1[[#This Row],[Error Span]]),"N/A"))</f>
        <v>N/A</v>
      </c>
      <c r="T1287" s="1" t="str">
        <f>IF(OR(Table1[[#This Row],[Low Tol]]="",Table1[[#This Row],[High Tol]]=""),"Needs Analysis",IF(Table1[[#This Row],[Ratio]]&gt;=4,"Not Significant",IF(Table1[[#This Row],[Ratio]]&gt;=2,"Semi-Significant","Significant")))</f>
        <v>Needs Analysis</v>
      </c>
      <c r="W1287" s="1">
        <f>IF(Table1[[#This Row],[Cal Type]]&lt;&gt;"ACCREDITED 17025 WITH UNCERTAINTIES",0,"")</f>
        <v>0</v>
      </c>
      <c r="X1287" s="1" t="str">
        <f>IF(Table1[[#This Row],[DUT Read]]="","N/A",Table1[[#This Row],[Std Error]]+Table1[[#This Row],[DUT Read]]+Table1[[#This Row],[DUT Ucty]])</f>
        <v>N/A</v>
      </c>
      <c r="Y1287" s="1" t="str">
        <f>IF(Table1[[#This Row],[Std Read]]="","N/A",Table1[[#This Row],[Std Read]]+Table1[[#This Row],[Std Ucty]])</f>
        <v>N/A</v>
      </c>
      <c r="Z12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7" s="1" t="str">
        <f>IF(Table1[[#This Row],[Spec Type]]="","N/A",Table1[[#This Row],[Spec Type]])</f>
        <v>±</v>
      </c>
      <c r="AC1287" s="1" t="str">
        <f>IF(Table1[[#This Row],[Spec Type2]]="N/A","N/A",IF(AND(Table1[[#This Row],[DUT Adj Read]]&gt;=Table1[[#This Row],[Low Tol]],Table1[[#This Row],[DUT Adj Read]]&lt;=Table1[[#This Row],[High Tol]]),"Pass","Fail"))</f>
        <v>Fail</v>
      </c>
      <c r="AD1287" s="1" t="str">
        <f>IF(AND(Table1[[#This Row],[Spec Type2]]="N/A",Table1[[#This Row],[DUT Adj Read]]="N/A",Table1[[#This Row],[Std Adj Read]]="N/A"),"N/A",IF(Table1[[#This Row],[DUT Adj Read]]="N/A",IF(Table1[[#This Row],[Std Adj Read]]&gt;Table1[[#This Row],[Low Tol]],"Pass","Fail"),IF(Table1[[#This Row],[DUT Adj Read]]&gt;Table1[[#This Row],[Low Tol]],"Pass","Fail")))</f>
        <v>Pass</v>
      </c>
      <c r="AE1287" s="1" t="str">
        <f>IF(AND(Table1[[#This Row],[Spec Type2]]="N/A",Table1[[#This Row],[DUT Adj Read]]="N/A",Table1[[#This Row],[Std Adj Read]]="N/A"),"N/A",IF(Table1[[#This Row],[DUT Adj Read]]="N/A",IF(Table1[[#This Row],[Std Adj Read]]&lt;Table1[[#This Row],[High Tol]],"Pass","Fail"),IF(Table1[[#This Row],[DUT Adj Read]]&lt;Table1[[#This Row],[High Tol]],"Pass","Fail")))</f>
        <v>Fail</v>
      </c>
      <c r="AF1287" s="1" t="str">
        <f>IF(AND(Table1[[#This Row],[Spec Type2]]="N/A",Table1[[#This Row],[DUT Adj Read]]="N/A",Table1[[#This Row],[Std Adj Read]]="N/A"),"N/A",IF(Table1[[#This Row],[DUT Adj Read]]="N/A",IF(Table1[[#This Row],[Std Adj Read]]&gt;=Table1[[#This Row],[Low Tol]],"Pass","Fail"),IF(Table1[[#This Row],[DUT Adj Read]]&gt;=Table1[[#This Row],[Low Tol]],"Pass","Fail")))</f>
        <v>Pass</v>
      </c>
      <c r="AG1287" s="1" t="str">
        <f>IF(AND(Table1[[#This Row],[Spec Type2]]="N/A",Table1[[#This Row],[DUT Adj Read]]="N/A",Table1[[#This Row],[Std Adj Read]]="N/A"),"N/A",IF(Table1[[#This Row],[DUT Adj Read]]="N/A",IF(Table1[[#This Row],[Std Adj Read]]&lt;=Table1[[#This Row],[High Tol]],"Pass","Fail"),IF(Table1[[#This Row],[DUT Adj Read]]&lt;=Table1[[#This Row],[High Tol]],"Pass","Fail")))</f>
        <v>Fail</v>
      </c>
      <c r="AH12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7" s="1" t="b">
        <v>0</v>
      </c>
      <c r="AN1287" s="1" t="b">
        <v>0</v>
      </c>
      <c r="AO1287" s="1" t="b">
        <v>0</v>
      </c>
    </row>
    <row r="1288" spans="1:41" x14ac:dyDescent="0.25">
      <c r="A1288" s="10"/>
      <c r="B1288" s="10"/>
      <c r="C1288" s="10"/>
      <c r="D1288" s="10"/>
      <c r="E1288" s="10"/>
      <c r="F1288" s="10"/>
      <c r="G1288" s="10"/>
      <c r="H1288" s="10"/>
      <c r="I1288" s="1" t="str">
        <f t="shared" si="57"/>
        <v/>
      </c>
      <c r="J1288" s="1" t="s">
        <v>35</v>
      </c>
      <c r="K1288" s="1" t="str">
        <f t="shared" si="58"/>
        <v/>
      </c>
      <c r="L1288" s="1" t="str">
        <f t="shared" si="59"/>
        <v/>
      </c>
      <c r="M1288" s="1">
        <f>IF(OR(Table1[[#This Row],[Std Nom]]="",Table1[[#This Row],[Std Read]]=""),0,Table1[[#This Row],[Std Nom]]-Table1[[#This Row],[Std Read]])</f>
        <v>0</v>
      </c>
      <c r="N1288" s="1">
        <f>IF(Calculations!$F$5="ACCREDITED 17025 WITH UNCERTAINTIES",$N$10,0)</f>
        <v>0</v>
      </c>
      <c r="O1288" s="1" t="str">
        <f>IFERROR(Table1[[#This Row],[Std Nom]]-(_xlfn.XLOOKUP(Table1[[#This Row],[Manufacturer]]&amp;" "&amp;Table1[[#This Row],[Model]],Table13[MFR &amp; MDL],Table13[Tolerance % CW ],"")/100*Table1[[#This Row],[Std Nom]]),"")</f>
        <v/>
      </c>
      <c r="P1288" s="1" t="str">
        <f>IFERROR(Table1[[#This Row],[Std Nom]]+(_xlfn.XLOOKUP(Table1[[#This Row],[Manufacturer]]&amp;" "&amp;Table1[[#This Row],[Model]],Table13[MFR &amp; MDL],Table13[Tolerance % CW ],"")/100*Table1[[#This Row],[Std Nom]]),"")</f>
        <v/>
      </c>
      <c r="Q1288" s="1" t="e">
        <f>Table1[[#This Row],[High Tol]]-Table1[[#This Row],[Low Tol]]</f>
        <v>#VALUE!</v>
      </c>
      <c r="R1288" s="1">
        <f>2*Table1[[#This Row],[Std Error]]</f>
        <v>0</v>
      </c>
      <c r="S1288" s="1" t="str">
        <f>IF(Table1[[#This Row],[High Tol]]="","N/A",IFERROR(ABS(Table1[[#This Row],[Tol Span]]/Table1[[#This Row],[Error Span]]),"N/A"))</f>
        <v>N/A</v>
      </c>
      <c r="T1288" s="1" t="str">
        <f>IF(OR(Table1[[#This Row],[Low Tol]]="",Table1[[#This Row],[High Tol]]=""),"Needs Analysis",IF(Table1[[#This Row],[Ratio]]&gt;=4,"Not Significant",IF(Table1[[#This Row],[Ratio]]&gt;=2,"Semi-Significant","Significant")))</f>
        <v>Needs Analysis</v>
      </c>
      <c r="W1288" s="1">
        <f>IF(Table1[[#This Row],[Cal Type]]&lt;&gt;"ACCREDITED 17025 WITH UNCERTAINTIES",0,"")</f>
        <v>0</v>
      </c>
      <c r="X1288" s="1" t="str">
        <f>IF(Table1[[#This Row],[DUT Read]]="","N/A",Table1[[#This Row],[Std Error]]+Table1[[#This Row],[DUT Read]]+Table1[[#This Row],[DUT Ucty]])</f>
        <v>N/A</v>
      </c>
      <c r="Y1288" s="1" t="str">
        <f>IF(Table1[[#This Row],[Std Read]]="","N/A",Table1[[#This Row],[Std Read]]+Table1[[#This Row],[Std Ucty]])</f>
        <v>N/A</v>
      </c>
      <c r="Z12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8" s="1" t="str">
        <f>IF(Table1[[#This Row],[Spec Type]]="","N/A",Table1[[#This Row],[Spec Type]])</f>
        <v>±</v>
      </c>
      <c r="AC1288" s="1" t="str">
        <f>IF(Table1[[#This Row],[Spec Type2]]="N/A","N/A",IF(AND(Table1[[#This Row],[DUT Adj Read]]&gt;=Table1[[#This Row],[Low Tol]],Table1[[#This Row],[DUT Adj Read]]&lt;=Table1[[#This Row],[High Tol]]),"Pass","Fail"))</f>
        <v>Fail</v>
      </c>
      <c r="AD1288" s="1" t="str">
        <f>IF(AND(Table1[[#This Row],[Spec Type2]]="N/A",Table1[[#This Row],[DUT Adj Read]]="N/A",Table1[[#This Row],[Std Adj Read]]="N/A"),"N/A",IF(Table1[[#This Row],[DUT Adj Read]]="N/A",IF(Table1[[#This Row],[Std Adj Read]]&gt;Table1[[#This Row],[Low Tol]],"Pass","Fail"),IF(Table1[[#This Row],[DUT Adj Read]]&gt;Table1[[#This Row],[Low Tol]],"Pass","Fail")))</f>
        <v>Pass</v>
      </c>
      <c r="AE1288" s="1" t="str">
        <f>IF(AND(Table1[[#This Row],[Spec Type2]]="N/A",Table1[[#This Row],[DUT Adj Read]]="N/A",Table1[[#This Row],[Std Adj Read]]="N/A"),"N/A",IF(Table1[[#This Row],[DUT Adj Read]]="N/A",IF(Table1[[#This Row],[Std Adj Read]]&lt;Table1[[#This Row],[High Tol]],"Pass","Fail"),IF(Table1[[#This Row],[DUT Adj Read]]&lt;Table1[[#This Row],[High Tol]],"Pass","Fail")))</f>
        <v>Fail</v>
      </c>
      <c r="AF1288" s="1" t="str">
        <f>IF(AND(Table1[[#This Row],[Spec Type2]]="N/A",Table1[[#This Row],[DUT Adj Read]]="N/A",Table1[[#This Row],[Std Adj Read]]="N/A"),"N/A",IF(Table1[[#This Row],[DUT Adj Read]]="N/A",IF(Table1[[#This Row],[Std Adj Read]]&gt;=Table1[[#This Row],[Low Tol]],"Pass","Fail"),IF(Table1[[#This Row],[DUT Adj Read]]&gt;=Table1[[#This Row],[Low Tol]],"Pass","Fail")))</f>
        <v>Pass</v>
      </c>
      <c r="AG1288" s="1" t="str">
        <f>IF(AND(Table1[[#This Row],[Spec Type2]]="N/A",Table1[[#This Row],[DUT Adj Read]]="N/A",Table1[[#This Row],[Std Adj Read]]="N/A"),"N/A",IF(Table1[[#This Row],[DUT Adj Read]]="N/A",IF(Table1[[#This Row],[Std Adj Read]]&lt;=Table1[[#This Row],[High Tol]],"Pass","Fail"),IF(Table1[[#This Row],[DUT Adj Read]]&lt;=Table1[[#This Row],[High Tol]],"Pass","Fail")))</f>
        <v>Fail</v>
      </c>
      <c r="AH12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8" s="1" t="b">
        <v>0</v>
      </c>
      <c r="AN1288" s="1" t="b">
        <v>0</v>
      </c>
      <c r="AO1288" s="1" t="b">
        <v>0</v>
      </c>
    </row>
    <row r="1289" spans="1:41" x14ac:dyDescent="0.25">
      <c r="A1289" s="10"/>
      <c r="B1289" s="10"/>
      <c r="C1289" s="10"/>
      <c r="D1289" s="10"/>
      <c r="E1289" s="10"/>
      <c r="F1289" s="10"/>
      <c r="G1289" s="10"/>
      <c r="H1289" s="10"/>
      <c r="I1289" s="1" t="str">
        <f t="shared" si="57"/>
        <v/>
      </c>
      <c r="J1289" s="1" t="s">
        <v>35</v>
      </c>
      <c r="K1289" s="1" t="str">
        <f t="shared" si="58"/>
        <v/>
      </c>
      <c r="L1289" s="1" t="str">
        <f t="shared" si="59"/>
        <v/>
      </c>
      <c r="M1289" s="1">
        <f>IF(OR(Table1[[#This Row],[Std Nom]]="",Table1[[#This Row],[Std Read]]=""),0,Table1[[#This Row],[Std Nom]]-Table1[[#This Row],[Std Read]])</f>
        <v>0</v>
      </c>
      <c r="N1289" s="1">
        <f>IF(Calculations!$F$5="ACCREDITED 17025 WITH UNCERTAINTIES",$N$10,0)</f>
        <v>0</v>
      </c>
      <c r="O1289" s="1" t="str">
        <f>IFERROR(Table1[[#This Row],[Std Nom]]-(_xlfn.XLOOKUP(Table1[[#This Row],[Manufacturer]]&amp;" "&amp;Table1[[#This Row],[Model]],Table13[MFR &amp; MDL],Table13[Tolerance % CW ],"")/100*Table1[[#This Row],[Std Nom]]),"")</f>
        <v/>
      </c>
      <c r="P1289" s="1" t="str">
        <f>IFERROR(Table1[[#This Row],[Std Nom]]+(_xlfn.XLOOKUP(Table1[[#This Row],[Manufacturer]]&amp;" "&amp;Table1[[#This Row],[Model]],Table13[MFR &amp; MDL],Table13[Tolerance % CW ],"")/100*Table1[[#This Row],[Std Nom]]),"")</f>
        <v/>
      </c>
      <c r="Q1289" s="1" t="e">
        <f>Table1[[#This Row],[High Tol]]-Table1[[#This Row],[Low Tol]]</f>
        <v>#VALUE!</v>
      </c>
      <c r="R1289" s="1">
        <f>2*Table1[[#This Row],[Std Error]]</f>
        <v>0</v>
      </c>
      <c r="S1289" s="1" t="str">
        <f>IF(Table1[[#This Row],[High Tol]]="","N/A",IFERROR(ABS(Table1[[#This Row],[Tol Span]]/Table1[[#This Row],[Error Span]]),"N/A"))</f>
        <v>N/A</v>
      </c>
      <c r="T1289" s="1" t="str">
        <f>IF(OR(Table1[[#This Row],[Low Tol]]="",Table1[[#This Row],[High Tol]]=""),"Needs Analysis",IF(Table1[[#This Row],[Ratio]]&gt;=4,"Not Significant",IF(Table1[[#This Row],[Ratio]]&gt;=2,"Semi-Significant","Significant")))</f>
        <v>Needs Analysis</v>
      </c>
      <c r="W1289" s="1">
        <f>IF(Table1[[#This Row],[Cal Type]]&lt;&gt;"ACCREDITED 17025 WITH UNCERTAINTIES",0,"")</f>
        <v>0</v>
      </c>
      <c r="X1289" s="1" t="str">
        <f>IF(Table1[[#This Row],[DUT Read]]="","N/A",Table1[[#This Row],[Std Error]]+Table1[[#This Row],[DUT Read]]+Table1[[#This Row],[DUT Ucty]])</f>
        <v>N/A</v>
      </c>
      <c r="Y1289" s="1" t="str">
        <f>IF(Table1[[#This Row],[Std Read]]="","N/A",Table1[[#This Row],[Std Read]]+Table1[[#This Row],[Std Ucty]])</f>
        <v>N/A</v>
      </c>
      <c r="Z12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9" s="1" t="str">
        <f>IF(Table1[[#This Row],[Spec Type]]="","N/A",Table1[[#This Row],[Spec Type]])</f>
        <v>±</v>
      </c>
      <c r="AC1289" s="1" t="str">
        <f>IF(Table1[[#This Row],[Spec Type2]]="N/A","N/A",IF(AND(Table1[[#This Row],[DUT Adj Read]]&gt;=Table1[[#This Row],[Low Tol]],Table1[[#This Row],[DUT Adj Read]]&lt;=Table1[[#This Row],[High Tol]]),"Pass","Fail"))</f>
        <v>Fail</v>
      </c>
      <c r="AD1289" s="1" t="str">
        <f>IF(AND(Table1[[#This Row],[Spec Type2]]="N/A",Table1[[#This Row],[DUT Adj Read]]="N/A",Table1[[#This Row],[Std Adj Read]]="N/A"),"N/A",IF(Table1[[#This Row],[DUT Adj Read]]="N/A",IF(Table1[[#This Row],[Std Adj Read]]&gt;Table1[[#This Row],[Low Tol]],"Pass","Fail"),IF(Table1[[#This Row],[DUT Adj Read]]&gt;Table1[[#This Row],[Low Tol]],"Pass","Fail")))</f>
        <v>Pass</v>
      </c>
      <c r="AE1289" s="1" t="str">
        <f>IF(AND(Table1[[#This Row],[Spec Type2]]="N/A",Table1[[#This Row],[DUT Adj Read]]="N/A",Table1[[#This Row],[Std Adj Read]]="N/A"),"N/A",IF(Table1[[#This Row],[DUT Adj Read]]="N/A",IF(Table1[[#This Row],[Std Adj Read]]&lt;Table1[[#This Row],[High Tol]],"Pass","Fail"),IF(Table1[[#This Row],[DUT Adj Read]]&lt;Table1[[#This Row],[High Tol]],"Pass","Fail")))</f>
        <v>Fail</v>
      </c>
      <c r="AF1289" s="1" t="str">
        <f>IF(AND(Table1[[#This Row],[Spec Type2]]="N/A",Table1[[#This Row],[DUT Adj Read]]="N/A",Table1[[#This Row],[Std Adj Read]]="N/A"),"N/A",IF(Table1[[#This Row],[DUT Adj Read]]="N/A",IF(Table1[[#This Row],[Std Adj Read]]&gt;=Table1[[#This Row],[Low Tol]],"Pass","Fail"),IF(Table1[[#This Row],[DUT Adj Read]]&gt;=Table1[[#This Row],[Low Tol]],"Pass","Fail")))</f>
        <v>Pass</v>
      </c>
      <c r="AG1289" s="1" t="str">
        <f>IF(AND(Table1[[#This Row],[Spec Type2]]="N/A",Table1[[#This Row],[DUT Adj Read]]="N/A",Table1[[#This Row],[Std Adj Read]]="N/A"),"N/A",IF(Table1[[#This Row],[DUT Adj Read]]="N/A",IF(Table1[[#This Row],[Std Adj Read]]&lt;=Table1[[#This Row],[High Tol]],"Pass","Fail"),IF(Table1[[#This Row],[DUT Adj Read]]&lt;=Table1[[#This Row],[High Tol]],"Pass","Fail")))</f>
        <v>Fail</v>
      </c>
      <c r="AH12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9" s="1" t="b">
        <v>0</v>
      </c>
      <c r="AN1289" s="1" t="b">
        <v>0</v>
      </c>
      <c r="AO1289" s="1" t="b">
        <v>0</v>
      </c>
    </row>
    <row r="1290" spans="1:41" x14ac:dyDescent="0.25">
      <c r="A1290" s="10"/>
      <c r="B1290" s="10"/>
      <c r="C1290" s="10"/>
      <c r="D1290" s="10"/>
      <c r="E1290" s="10"/>
      <c r="F1290" s="10"/>
      <c r="G1290" s="10"/>
      <c r="H1290" s="10"/>
      <c r="I1290" s="1" t="str">
        <f t="shared" si="57"/>
        <v/>
      </c>
      <c r="J1290" s="1" t="s">
        <v>35</v>
      </c>
      <c r="K1290" s="1" t="str">
        <f t="shared" si="58"/>
        <v/>
      </c>
      <c r="L1290" s="1" t="str">
        <f t="shared" si="59"/>
        <v/>
      </c>
      <c r="M1290" s="1">
        <f>IF(OR(Table1[[#This Row],[Std Nom]]="",Table1[[#This Row],[Std Read]]=""),0,Table1[[#This Row],[Std Nom]]-Table1[[#This Row],[Std Read]])</f>
        <v>0</v>
      </c>
      <c r="N1290" s="1">
        <f>IF(Calculations!$F$5="ACCREDITED 17025 WITH UNCERTAINTIES",$N$10,0)</f>
        <v>0</v>
      </c>
      <c r="O1290" s="1" t="str">
        <f>IFERROR(Table1[[#This Row],[Std Nom]]-(_xlfn.XLOOKUP(Table1[[#This Row],[Manufacturer]]&amp;" "&amp;Table1[[#This Row],[Model]],Table13[MFR &amp; MDL],Table13[Tolerance % CW ],"")/100*Table1[[#This Row],[Std Nom]]),"")</f>
        <v/>
      </c>
      <c r="P1290" s="1" t="str">
        <f>IFERROR(Table1[[#This Row],[Std Nom]]+(_xlfn.XLOOKUP(Table1[[#This Row],[Manufacturer]]&amp;" "&amp;Table1[[#This Row],[Model]],Table13[MFR &amp; MDL],Table13[Tolerance % CW ],"")/100*Table1[[#This Row],[Std Nom]]),"")</f>
        <v/>
      </c>
      <c r="Q1290" s="1" t="e">
        <f>Table1[[#This Row],[High Tol]]-Table1[[#This Row],[Low Tol]]</f>
        <v>#VALUE!</v>
      </c>
      <c r="R1290" s="1">
        <f>2*Table1[[#This Row],[Std Error]]</f>
        <v>0</v>
      </c>
      <c r="S1290" s="1" t="str">
        <f>IF(Table1[[#This Row],[High Tol]]="","N/A",IFERROR(ABS(Table1[[#This Row],[Tol Span]]/Table1[[#This Row],[Error Span]]),"N/A"))</f>
        <v>N/A</v>
      </c>
      <c r="T1290" s="1" t="str">
        <f>IF(OR(Table1[[#This Row],[Low Tol]]="",Table1[[#This Row],[High Tol]]=""),"Needs Analysis",IF(Table1[[#This Row],[Ratio]]&gt;=4,"Not Significant",IF(Table1[[#This Row],[Ratio]]&gt;=2,"Semi-Significant","Significant")))</f>
        <v>Needs Analysis</v>
      </c>
      <c r="W1290" s="1">
        <f>IF(Table1[[#This Row],[Cal Type]]&lt;&gt;"ACCREDITED 17025 WITH UNCERTAINTIES",0,"")</f>
        <v>0</v>
      </c>
      <c r="X1290" s="1" t="str">
        <f>IF(Table1[[#This Row],[DUT Read]]="","N/A",Table1[[#This Row],[Std Error]]+Table1[[#This Row],[DUT Read]]+Table1[[#This Row],[DUT Ucty]])</f>
        <v>N/A</v>
      </c>
      <c r="Y1290" s="1" t="str">
        <f>IF(Table1[[#This Row],[Std Read]]="","N/A",Table1[[#This Row],[Std Read]]+Table1[[#This Row],[Std Ucty]])</f>
        <v>N/A</v>
      </c>
      <c r="Z12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0" s="1" t="str">
        <f>IF(Table1[[#This Row],[Spec Type]]="","N/A",Table1[[#This Row],[Spec Type]])</f>
        <v>±</v>
      </c>
      <c r="AC1290" s="1" t="str">
        <f>IF(Table1[[#This Row],[Spec Type2]]="N/A","N/A",IF(AND(Table1[[#This Row],[DUT Adj Read]]&gt;=Table1[[#This Row],[Low Tol]],Table1[[#This Row],[DUT Adj Read]]&lt;=Table1[[#This Row],[High Tol]]),"Pass","Fail"))</f>
        <v>Fail</v>
      </c>
      <c r="AD1290" s="1" t="str">
        <f>IF(AND(Table1[[#This Row],[Spec Type2]]="N/A",Table1[[#This Row],[DUT Adj Read]]="N/A",Table1[[#This Row],[Std Adj Read]]="N/A"),"N/A",IF(Table1[[#This Row],[DUT Adj Read]]="N/A",IF(Table1[[#This Row],[Std Adj Read]]&gt;Table1[[#This Row],[Low Tol]],"Pass","Fail"),IF(Table1[[#This Row],[DUT Adj Read]]&gt;Table1[[#This Row],[Low Tol]],"Pass","Fail")))</f>
        <v>Pass</v>
      </c>
      <c r="AE1290" s="1" t="str">
        <f>IF(AND(Table1[[#This Row],[Spec Type2]]="N/A",Table1[[#This Row],[DUT Adj Read]]="N/A",Table1[[#This Row],[Std Adj Read]]="N/A"),"N/A",IF(Table1[[#This Row],[DUT Adj Read]]="N/A",IF(Table1[[#This Row],[Std Adj Read]]&lt;Table1[[#This Row],[High Tol]],"Pass","Fail"),IF(Table1[[#This Row],[DUT Adj Read]]&lt;Table1[[#This Row],[High Tol]],"Pass","Fail")))</f>
        <v>Fail</v>
      </c>
      <c r="AF1290" s="1" t="str">
        <f>IF(AND(Table1[[#This Row],[Spec Type2]]="N/A",Table1[[#This Row],[DUT Adj Read]]="N/A",Table1[[#This Row],[Std Adj Read]]="N/A"),"N/A",IF(Table1[[#This Row],[DUT Adj Read]]="N/A",IF(Table1[[#This Row],[Std Adj Read]]&gt;=Table1[[#This Row],[Low Tol]],"Pass","Fail"),IF(Table1[[#This Row],[DUT Adj Read]]&gt;=Table1[[#This Row],[Low Tol]],"Pass","Fail")))</f>
        <v>Pass</v>
      </c>
      <c r="AG1290" s="1" t="str">
        <f>IF(AND(Table1[[#This Row],[Spec Type2]]="N/A",Table1[[#This Row],[DUT Adj Read]]="N/A",Table1[[#This Row],[Std Adj Read]]="N/A"),"N/A",IF(Table1[[#This Row],[DUT Adj Read]]="N/A",IF(Table1[[#This Row],[Std Adj Read]]&lt;=Table1[[#This Row],[High Tol]],"Pass","Fail"),IF(Table1[[#This Row],[DUT Adj Read]]&lt;=Table1[[#This Row],[High Tol]],"Pass","Fail")))</f>
        <v>Fail</v>
      </c>
      <c r="AH12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0" s="1" t="b">
        <v>0</v>
      </c>
      <c r="AN1290" s="1" t="b">
        <v>0</v>
      </c>
      <c r="AO1290" s="1" t="b">
        <v>0</v>
      </c>
    </row>
    <row r="1291" spans="1:41" x14ac:dyDescent="0.25">
      <c r="A1291" s="10"/>
      <c r="B1291" s="10"/>
      <c r="C1291" s="10"/>
      <c r="D1291" s="10"/>
      <c r="E1291" s="10"/>
      <c r="F1291" s="10"/>
      <c r="G1291" s="10"/>
      <c r="H1291" s="10"/>
      <c r="I1291" s="1" t="str">
        <f t="shared" ref="I1291:I1354" si="60">IF($I$10="","",$I$10)</f>
        <v/>
      </c>
      <c r="J1291" s="1" t="s">
        <v>35</v>
      </c>
      <c r="K1291" s="1" t="str">
        <f t="shared" ref="K1291:K1354" si="61">IF($K$10="","",$K$10)</f>
        <v/>
      </c>
      <c r="L1291" s="1" t="str">
        <f t="shared" ref="L1291:L1354" si="62">IF($L$10="","",$L$10)</f>
        <v/>
      </c>
      <c r="M1291" s="1">
        <f>IF(OR(Table1[[#This Row],[Std Nom]]="",Table1[[#This Row],[Std Read]]=""),0,Table1[[#This Row],[Std Nom]]-Table1[[#This Row],[Std Read]])</f>
        <v>0</v>
      </c>
      <c r="N1291" s="1">
        <f>IF(Calculations!$F$5="ACCREDITED 17025 WITH UNCERTAINTIES",$N$10,0)</f>
        <v>0</v>
      </c>
      <c r="O1291" s="1" t="str">
        <f>IFERROR(Table1[[#This Row],[Std Nom]]-(_xlfn.XLOOKUP(Table1[[#This Row],[Manufacturer]]&amp;" "&amp;Table1[[#This Row],[Model]],Table13[MFR &amp; MDL],Table13[Tolerance % CW ],"")/100*Table1[[#This Row],[Std Nom]]),"")</f>
        <v/>
      </c>
      <c r="P1291" s="1" t="str">
        <f>IFERROR(Table1[[#This Row],[Std Nom]]+(_xlfn.XLOOKUP(Table1[[#This Row],[Manufacturer]]&amp;" "&amp;Table1[[#This Row],[Model]],Table13[MFR &amp; MDL],Table13[Tolerance % CW ],"")/100*Table1[[#This Row],[Std Nom]]),"")</f>
        <v/>
      </c>
      <c r="Q1291" s="1" t="e">
        <f>Table1[[#This Row],[High Tol]]-Table1[[#This Row],[Low Tol]]</f>
        <v>#VALUE!</v>
      </c>
      <c r="R1291" s="1">
        <f>2*Table1[[#This Row],[Std Error]]</f>
        <v>0</v>
      </c>
      <c r="S1291" s="1" t="str">
        <f>IF(Table1[[#This Row],[High Tol]]="","N/A",IFERROR(ABS(Table1[[#This Row],[Tol Span]]/Table1[[#This Row],[Error Span]]),"N/A"))</f>
        <v>N/A</v>
      </c>
      <c r="T1291" s="1" t="str">
        <f>IF(OR(Table1[[#This Row],[Low Tol]]="",Table1[[#This Row],[High Tol]]=""),"Needs Analysis",IF(Table1[[#This Row],[Ratio]]&gt;=4,"Not Significant",IF(Table1[[#This Row],[Ratio]]&gt;=2,"Semi-Significant","Significant")))</f>
        <v>Needs Analysis</v>
      </c>
      <c r="W1291" s="1">
        <f>IF(Table1[[#This Row],[Cal Type]]&lt;&gt;"ACCREDITED 17025 WITH UNCERTAINTIES",0,"")</f>
        <v>0</v>
      </c>
      <c r="X1291" s="1" t="str">
        <f>IF(Table1[[#This Row],[DUT Read]]="","N/A",Table1[[#This Row],[Std Error]]+Table1[[#This Row],[DUT Read]]+Table1[[#This Row],[DUT Ucty]])</f>
        <v>N/A</v>
      </c>
      <c r="Y1291" s="1" t="str">
        <f>IF(Table1[[#This Row],[Std Read]]="","N/A",Table1[[#This Row],[Std Read]]+Table1[[#This Row],[Std Ucty]])</f>
        <v>N/A</v>
      </c>
      <c r="Z12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1" s="1" t="str">
        <f>IF(Table1[[#This Row],[Spec Type]]="","N/A",Table1[[#This Row],[Spec Type]])</f>
        <v>±</v>
      </c>
      <c r="AC1291" s="1" t="str">
        <f>IF(Table1[[#This Row],[Spec Type2]]="N/A","N/A",IF(AND(Table1[[#This Row],[DUT Adj Read]]&gt;=Table1[[#This Row],[Low Tol]],Table1[[#This Row],[DUT Adj Read]]&lt;=Table1[[#This Row],[High Tol]]),"Pass","Fail"))</f>
        <v>Fail</v>
      </c>
      <c r="AD1291" s="1" t="str">
        <f>IF(AND(Table1[[#This Row],[Spec Type2]]="N/A",Table1[[#This Row],[DUT Adj Read]]="N/A",Table1[[#This Row],[Std Adj Read]]="N/A"),"N/A",IF(Table1[[#This Row],[DUT Adj Read]]="N/A",IF(Table1[[#This Row],[Std Adj Read]]&gt;Table1[[#This Row],[Low Tol]],"Pass","Fail"),IF(Table1[[#This Row],[DUT Adj Read]]&gt;Table1[[#This Row],[Low Tol]],"Pass","Fail")))</f>
        <v>Pass</v>
      </c>
      <c r="AE1291" s="1" t="str">
        <f>IF(AND(Table1[[#This Row],[Spec Type2]]="N/A",Table1[[#This Row],[DUT Adj Read]]="N/A",Table1[[#This Row],[Std Adj Read]]="N/A"),"N/A",IF(Table1[[#This Row],[DUT Adj Read]]="N/A",IF(Table1[[#This Row],[Std Adj Read]]&lt;Table1[[#This Row],[High Tol]],"Pass","Fail"),IF(Table1[[#This Row],[DUT Adj Read]]&lt;Table1[[#This Row],[High Tol]],"Pass","Fail")))</f>
        <v>Fail</v>
      </c>
      <c r="AF1291" s="1" t="str">
        <f>IF(AND(Table1[[#This Row],[Spec Type2]]="N/A",Table1[[#This Row],[DUT Adj Read]]="N/A",Table1[[#This Row],[Std Adj Read]]="N/A"),"N/A",IF(Table1[[#This Row],[DUT Adj Read]]="N/A",IF(Table1[[#This Row],[Std Adj Read]]&gt;=Table1[[#This Row],[Low Tol]],"Pass","Fail"),IF(Table1[[#This Row],[DUT Adj Read]]&gt;=Table1[[#This Row],[Low Tol]],"Pass","Fail")))</f>
        <v>Pass</v>
      </c>
      <c r="AG1291" s="1" t="str">
        <f>IF(AND(Table1[[#This Row],[Spec Type2]]="N/A",Table1[[#This Row],[DUT Adj Read]]="N/A",Table1[[#This Row],[Std Adj Read]]="N/A"),"N/A",IF(Table1[[#This Row],[DUT Adj Read]]="N/A",IF(Table1[[#This Row],[Std Adj Read]]&lt;=Table1[[#This Row],[High Tol]],"Pass","Fail"),IF(Table1[[#This Row],[DUT Adj Read]]&lt;=Table1[[#This Row],[High Tol]],"Pass","Fail")))</f>
        <v>Fail</v>
      </c>
      <c r="AH12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1" s="1" t="b">
        <v>0</v>
      </c>
      <c r="AN1291" s="1" t="b">
        <v>0</v>
      </c>
      <c r="AO1291" s="1" t="b">
        <v>0</v>
      </c>
    </row>
    <row r="1292" spans="1:41" x14ac:dyDescent="0.25">
      <c r="A1292" s="10"/>
      <c r="B1292" s="10"/>
      <c r="C1292" s="10"/>
      <c r="D1292" s="10"/>
      <c r="E1292" s="10"/>
      <c r="F1292" s="10"/>
      <c r="G1292" s="10"/>
      <c r="H1292" s="10"/>
      <c r="I1292" s="1" t="str">
        <f t="shared" si="60"/>
        <v/>
      </c>
      <c r="J1292" s="1" t="s">
        <v>35</v>
      </c>
      <c r="K1292" s="1" t="str">
        <f t="shared" si="61"/>
        <v/>
      </c>
      <c r="L1292" s="1" t="str">
        <f t="shared" si="62"/>
        <v/>
      </c>
      <c r="M1292" s="1">
        <f>IF(OR(Table1[[#This Row],[Std Nom]]="",Table1[[#This Row],[Std Read]]=""),0,Table1[[#This Row],[Std Nom]]-Table1[[#This Row],[Std Read]])</f>
        <v>0</v>
      </c>
      <c r="N1292" s="1">
        <f>IF(Calculations!$F$5="ACCREDITED 17025 WITH UNCERTAINTIES",$N$10,0)</f>
        <v>0</v>
      </c>
      <c r="O1292" s="1" t="str">
        <f>IFERROR(Table1[[#This Row],[Std Nom]]-(_xlfn.XLOOKUP(Table1[[#This Row],[Manufacturer]]&amp;" "&amp;Table1[[#This Row],[Model]],Table13[MFR &amp; MDL],Table13[Tolerance % CW ],"")/100*Table1[[#This Row],[Std Nom]]),"")</f>
        <v/>
      </c>
      <c r="P1292" s="1" t="str">
        <f>IFERROR(Table1[[#This Row],[Std Nom]]+(_xlfn.XLOOKUP(Table1[[#This Row],[Manufacturer]]&amp;" "&amp;Table1[[#This Row],[Model]],Table13[MFR &amp; MDL],Table13[Tolerance % CW ],"")/100*Table1[[#This Row],[Std Nom]]),"")</f>
        <v/>
      </c>
      <c r="Q1292" s="1" t="e">
        <f>Table1[[#This Row],[High Tol]]-Table1[[#This Row],[Low Tol]]</f>
        <v>#VALUE!</v>
      </c>
      <c r="R1292" s="1">
        <f>2*Table1[[#This Row],[Std Error]]</f>
        <v>0</v>
      </c>
      <c r="S1292" s="1" t="str">
        <f>IF(Table1[[#This Row],[High Tol]]="","N/A",IFERROR(ABS(Table1[[#This Row],[Tol Span]]/Table1[[#This Row],[Error Span]]),"N/A"))</f>
        <v>N/A</v>
      </c>
      <c r="T1292" s="1" t="str">
        <f>IF(OR(Table1[[#This Row],[Low Tol]]="",Table1[[#This Row],[High Tol]]=""),"Needs Analysis",IF(Table1[[#This Row],[Ratio]]&gt;=4,"Not Significant",IF(Table1[[#This Row],[Ratio]]&gt;=2,"Semi-Significant","Significant")))</f>
        <v>Needs Analysis</v>
      </c>
      <c r="W1292" s="1">
        <f>IF(Table1[[#This Row],[Cal Type]]&lt;&gt;"ACCREDITED 17025 WITH UNCERTAINTIES",0,"")</f>
        <v>0</v>
      </c>
      <c r="X1292" s="1" t="str">
        <f>IF(Table1[[#This Row],[DUT Read]]="","N/A",Table1[[#This Row],[Std Error]]+Table1[[#This Row],[DUT Read]]+Table1[[#This Row],[DUT Ucty]])</f>
        <v>N/A</v>
      </c>
      <c r="Y1292" s="1" t="str">
        <f>IF(Table1[[#This Row],[Std Read]]="","N/A",Table1[[#This Row],[Std Read]]+Table1[[#This Row],[Std Ucty]])</f>
        <v>N/A</v>
      </c>
      <c r="Z12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2" s="1" t="str">
        <f>IF(Table1[[#This Row],[Spec Type]]="","N/A",Table1[[#This Row],[Spec Type]])</f>
        <v>±</v>
      </c>
      <c r="AC1292" s="1" t="str">
        <f>IF(Table1[[#This Row],[Spec Type2]]="N/A","N/A",IF(AND(Table1[[#This Row],[DUT Adj Read]]&gt;=Table1[[#This Row],[Low Tol]],Table1[[#This Row],[DUT Adj Read]]&lt;=Table1[[#This Row],[High Tol]]),"Pass","Fail"))</f>
        <v>Fail</v>
      </c>
      <c r="AD1292" s="1" t="str">
        <f>IF(AND(Table1[[#This Row],[Spec Type2]]="N/A",Table1[[#This Row],[DUT Adj Read]]="N/A",Table1[[#This Row],[Std Adj Read]]="N/A"),"N/A",IF(Table1[[#This Row],[DUT Adj Read]]="N/A",IF(Table1[[#This Row],[Std Adj Read]]&gt;Table1[[#This Row],[Low Tol]],"Pass","Fail"),IF(Table1[[#This Row],[DUT Adj Read]]&gt;Table1[[#This Row],[Low Tol]],"Pass","Fail")))</f>
        <v>Pass</v>
      </c>
      <c r="AE1292" s="1" t="str">
        <f>IF(AND(Table1[[#This Row],[Spec Type2]]="N/A",Table1[[#This Row],[DUT Adj Read]]="N/A",Table1[[#This Row],[Std Adj Read]]="N/A"),"N/A",IF(Table1[[#This Row],[DUT Adj Read]]="N/A",IF(Table1[[#This Row],[Std Adj Read]]&lt;Table1[[#This Row],[High Tol]],"Pass","Fail"),IF(Table1[[#This Row],[DUT Adj Read]]&lt;Table1[[#This Row],[High Tol]],"Pass","Fail")))</f>
        <v>Fail</v>
      </c>
      <c r="AF1292" s="1" t="str">
        <f>IF(AND(Table1[[#This Row],[Spec Type2]]="N/A",Table1[[#This Row],[DUT Adj Read]]="N/A",Table1[[#This Row],[Std Adj Read]]="N/A"),"N/A",IF(Table1[[#This Row],[DUT Adj Read]]="N/A",IF(Table1[[#This Row],[Std Adj Read]]&gt;=Table1[[#This Row],[Low Tol]],"Pass","Fail"),IF(Table1[[#This Row],[DUT Adj Read]]&gt;=Table1[[#This Row],[Low Tol]],"Pass","Fail")))</f>
        <v>Pass</v>
      </c>
      <c r="AG1292" s="1" t="str">
        <f>IF(AND(Table1[[#This Row],[Spec Type2]]="N/A",Table1[[#This Row],[DUT Adj Read]]="N/A",Table1[[#This Row],[Std Adj Read]]="N/A"),"N/A",IF(Table1[[#This Row],[DUT Adj Read]]="N/A",IF(Table1[[#This Row],[Std Adj Read]]&lt;=Table1[[#This Row],[High Tol]],"Pass","Fail"),IF(Table1[[#This Row],[DUT Adj Read]]&lt;=Table1[[#This Row],[High Tol]],"Pass","Fail")))</f>
        <v>Fail</v>
      </c>
      <c r="AH12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2" s="1" t="b">
        <v>0</v>
      </c>
      <c r="AN1292" s="1" t="b">
        <v>0</v>
      </c>
      <c r="AO1292" s="1" t="b">
        <v>0</v>
      </c>
    </row>
    <row r="1293" spans="1:41" x14ac:dyDescent="0.25">
      <c r="A1293" s="10"/>
      <c r="B1293" s="10"/>
      <c r="C1293" s="10"/>
      <c r="D1293" s="10"/>
      <c r="E1293" s="10"/>
      <c r="F1293" s="10"/>
      <c r="G1293" s="10"/>
      <c r="H1293" s="10"/>
      <c r="I1293" s="1" t="str">
        <f t="shared" si="60"/>
        <v/>
      </c>
      <c r="J1293" s="1" t="s">
        <v>35</v>
      </c>
      <c r="K1293" s="1" t="str">
        <f t="shared" si="61"/>
        <v/>
      </c>
      <c r="L1293" s="1" t="str">
        <f t="shared" si="62"/>
        <v/>
      </c>
      <c r="M1293" s="1">
        <f>IF(OR(Table1[[#This Row],[Std Nom]]="",Table1[[#This Row],[Std Read]]=""),0,Table1[[#This Row],[Std Nom]]-Table1[[#This Row],[Std Read]])</f>
        <v>0</v>
      </c>
      <c r="N1293" s="1">
        <f>IF(Calculations!$F$5="ACCREDITED 17025 WITH UNCERTAINTIES",$N$10,0)</f>
        <v>0</v>
      </c>
      <c r="O1293" s="1" t="str">
        <f>IFERROR(Table1[[#This Row],[Std Nom]]-(_xlfn.XLOOKUP(Table1[[#This Row],[Manufacturer]]&amp;" "&amp;Table1[[#This Row],[Model]],Table13[MFR &amp; MDL],Table13[Tolerance % CW ],"")/100*Table1[[#This Row],[Std Nom]]),"")</f>
        <v/>
      </c>
      <c r="P1293" s="1" t="str">
        <f>IFERROR(Table1[[#This Row],[Std Nom]]+(_xlfn.XLOOKUP(Table1[[#This Row],[Manufacturer]]&amp;" "&amp;Table1[[#This Row],[Model]],Table13[MFR &amp; MDL],Table13[Tolerance % CW ],"")/100*Table1[[#This Row],[Std Nom]]),"")</f>
        <v/>
      </c>
      <c r="Q1293" s="1" t="e">
        <f>Table1[[#This Row],[High Tol]]-Table1[[#This Row],[Low Tol]]</f>
        <v>#VALUE!</v>
      </c>
      <c r="R1293" s="1">
        <f>2*Table1[[#This Row],[Std Error]]</f>
        <v>0</v>
      </c>
      <c r="S1293" s="1" t="str">
        <f>IF(Table1[[#This Row],[High Tol]]="","N/A",IFERROR(ABS(Table1[[#This Row],[Tol Span]]/Table1[[#This Row],[Error Span]]),"N/A"))</f>
        <v>N/A</v>
      </c>
      <c r="T1293" s="1" t="str">
        <f>IF(OR(Table1[[#This Row],[Low Tol]]="",Table1[[#This Row],[High Tol]]=""),"Needs Analysis",IF(Table1[[#This Row],[Ratio]]&gt;=4,"Not Significant",IF(Table1[[#This Row],[Ratio]]&gt;=2,"Semi-Significant","Significant")))</f>
        <v>Needs Analysis</v>
      </c>
      <c r="W1293" s="1">
        <f>IF(Table1[[#This Row],[Cal Type]]&lt;&gt;"ACCREDITED 17025 WITH UNCERTAINTIES",0,"")</f>
        <v>0</v>
      </c>
      <c r="X1293" s="1" t="str">
        <f>IF(Table1[[#This Row],[DUT Read]]="","N/A",Table1[[#This Row],[Std Error]]+Table1[[#This Row],[DUT Read]]+Table1[[#This Row],[DUT Ucty]])</f>
        <v>N/A</v>
      </c>
      <c r="Y1293" s="1" t="str">
        <f>IF(Table1[[#This Row],[Std Read]]="","N/A",Table1[[#This Row],[Std Read]]+Table1[[#This Row],[Std Ucty]])</f>
        <v>N/A</v>
      </c>
      <c r="Z12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3" s="1" t="str">
        <f>IF(Table1[[#This Row],[Spec Type]]="","N/A",Table1[[#This Row],[Spec Type]])</f>
        <v>±</v>
      </c>
      <c r="AC1293" s="1" t="str">
        <f>IF(Table1[[#This Row],[Spec Type2]]="N/A","N/A",IF(AND(Table1[[#This Row],[DUT Adj Read]]&gt;=Table1[[#This Row],[Low Tol]],Table1[[#This Row],[DUT Adj Read]]&lt;=Table1[[#This Row],[High Tol]]),"Pass","Fail"))</f>
        <v>Fail</v>
      </c>
      <c r="AD1293" s="1" t="str">
        <f>IF(AND(Table1[[#This Row],[Spec Type2]]="N/A",Table1[[#This Row],[DUT Adj Read]]="N/A",Table1[[#This Row],[Std Adj Read]]="N/A"),"N/A",IF(Table1[[#This Row],[DUT Adj Read]]="N/A",IF(Table1[[#This Row],[Std Adj Read]]&gt;Table1[[#This Row],[Low Tol]],"Pass","Fail"),IF(Table1[[#This Row],[DUT Adj Read]]&gt;Table1[[#This Row],[Low Tol]],"Pass","Fail")))</f>
        <v>Pass</v>
      </c>
      <c r="AE1293" s="1" t="str">
        <f>IF(AND(Table1[[#This Row],[Spec Type2]]="N/A",Table1[[#This Row],[DUT Adj Read]]="N/A",Table1[[#This Row],[Std Adj Read]]="N/A"),"N/A",IF(Table1[[#This Row],[DUT Adj Read]]="N/A",IF(Table1[[#This Row],[Std Adj Read]]&lt;Table1[[#This Row],[High Tol]],"Pass","Fail"),IF(Table1[[#This Row],[DUT Adj Read]]&lt;Table1[[#This Row],[High Tol]],"Pass","Fail")))</f>
        <v>Fail</v>
      </c>
      <c r="AF1293" s="1" t="str">
        <f>IF(AND(Table1[[#This Row],[Spec Type2]]="N/A",Table1[[#This Row],[DUT Adj Read]]="N/A",Table1[[#This Row],[Std Adj Read]]="N/A"),"N/A",IF(Table1[[#This Row],[DUT Adj Read]]="N/A",IF(Table1[[#This Row],[Std Adj Read]]&gt;=Table1[[#This Row],[Low Tol]],"Pass","Fail"),IF(Table1[[#This Row],[DUT Adj Read]]&gt;=Table1[[#This Row],[Low Tol]],"Pass","Fail")))</f>
        <v>Pass</v>
      </c>
      <c r="AG1293" s="1" t="str">
        <f>IF(AND(Table1[[#This Row],[Spec Type2]]="N/A",Table1[[#This Row],[DUT Adj Read]]="N/A",Table1[[#This Row],[Std Adj Read]]="N/A"),"N/A",IF(Table1[[#This Row],[DUT Adj Read]]="N/A",IF(Table1[[#This Row],[Std Adj Read]]&lt;=Table1[[#This Row],[High Tol]],"Pass","Fail"),IF(Table1[[#This Row],[DUT Adj Read]]&lt;=Table1[[#This Row],[High Tol]],"Pass","Fail")))</f>
        <v>Fail</v>
      </c>
      <c r="AH12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3" s="1" t="b">
        <v>0</v>
      </c>
      <c r="AN1293" s="1" t="b">
        <v>0</v>
      </c>
      <c r="AO1293" s="1" t="b">
        <v>0</v>
      </c>
    </row>
    <row r="1294" spans="1:41" x14ac:dyDescent="0.25">
      <c r="A1294" s="10"/>
      <c r="B1294" s="10"/>
      <c r="C1294" s="10"/>
      <c r="D1294" s="10"/>
      <c r="E1294" s="10"/>
      <c r="F1294" s="10"/>
      <c r="G1294" s="10"/>
      <c r="H1294" s="10"/>
      <c r="I1294" s="1" t="str">
        <f t="shared" si="60"/>
        <v/>
      </c>
      <c r="J1294" s="1" t="s">
        <v>35</v>
      </c>
      <c r="K1294" s="1" t="str">
        <f t="shared" si="61"/>
        <v/>
      </c>
      <c r="L1294" s="1" t="str">
        <f t="shared" si="62"/>
        <v/>
      </c>
      <c r="M1294" s="1">
        <f>IF(OR(Table1[[#This Row],[Std Nom]]="",Table1[[#This Row],[Std Read]]=""),0,Table1[[#This Row],[Std Nom]]-Table1[[#This Row],[Std Read]])</f>
        <v>0</v>
      </c>
      <c r="N1294" s="1">
        <f>IF(Calculations!$F$5="ACCREDITED 17025 WITH UNCERTAINTIES",$N$10,0)</f>
        <v>0</v>
      </c>
      <c r="O1294" s="1" t="str">
        <f>IFERROR(Table1[[#This Row],[Std Nom]]-(_xlfn.XLOOKUP(Table1[[#This Row],[Manufacturer]]&amp;" "&amp;Table1[[#This Row],[Model]],Table13[MFR &amp; MDL],Table13[Tolerance % CW ],"")/100*Table1[[#This Row],[Std Nom]]),"")</f>
        <v/>
      </c>
      <c r="P1294" s="1" t="str">
        <f>IFERROR(Table1[[#This Row],[Std Nom]]+(_xlfn.XLOOKUP(Table1[[#This Row],[Manufacturer]]&amp;" "&amp;Table1[[#This Row],[Model]],Table13[MFR &amp; MDL],Table13[Tolerance % CW ],"")/100*Table1[[#This Row],[Std Nom]]),"")</f>
        <v/>
      </c>
      <c r="Q1294" s="1" t="e">
        <f>Table1[[#This Row],[High Tol]]-Table1[[#This Row],[Low Tol]]</f>
        <v>#VALUE!</v>
      </c>
      <c r="R1294" s="1">
        <f>2*Table1[[#This Row],[Std Error]]</f>
        <v>0</v>
      </c>
      <c r="S1294" s="1" t="str">
        <f>IF(Table1[[#This Row],[High Tol]]="","N/A",IFERROR(ABS(Table1[[#This Row],[Tol Span]]/Table1[[#This Row],[Error Span]]),"N/A"))</f>
        <v>N/A</v>
      </c>
      <c r="T1294" s="1" t="str">
        <f>IF(OR(Table1[[#This Row],[Low Tol]]="",Table1[[#This Row],[High Tol]]=""),"Needs Analysis",IF(Table1[[#This Row],[Ratio]]&gt;=4,"Not Significant",IF(Table1[[#This Row],[Ratio]]&gt;=2,"Semi-Significant","Significant")))</f>
        <v>Needs Analysis</v>
      </c>
      <c r="W1294" s="1">
        <f>IF(Table1[[#This Row],[Cal Type]]&lt;&gt;"ACCREDITED 17025 WITH UNCERTAINTIES",0,"")</f>
        <v>0</v>
      </c>
      <c r="X1294" s="1" t="str">
        <f>IF(Table1[[#This Row],[DUT Read]]="","N/A",Table1[[#This Row],[Std Error]]+Table1[[#This Row],[DUT Read]]+Table1[[#This Row],[DUT Ucty]])</f>
        <v>N/A</v>
      </c>
      <c r="Y1294" s="1" t="str">
        <f>IF(Table1[[#This Row],[Std Read]]="","N/A",Table1[[#This Row],[Std Read]]+Table1[[#This Row],[Std Ucty]])</f>
        <v>N/A</v>
      </c>
      <c r="Z12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4" s="1" t="str">
        <f>IF(Table1[[#This Row],[Spec Type]]="","N/A",Table1[[#This Row],[Spec Type]])</f>
        <v>±</v>
      </c>
      <c r="AC1294" s="1" t="str">
        <f>IF(Table1[[#This Row],[Spec Type2]]="N/A","N/A",IF(AND(Table1[[#This Row],[DUT Adj Read]]&gt;=Table1[[#This Row],[Low Tol]],Table1[[#This Row],[DUT Adj Read]]&lt;=Table1[[#This Row],[High Tol]]),"Pass","Fail"))</f>
        <v>Fail</v>
      </c>
      <c r="AD1294" s="1" t="str">
        <f>IF(AND(Table1[[#This Row],[Spec Type2]]="N/A",Table1[[#This Row],[DUT Adj Read]]="N/A",Table1[[#This Row],[Std Adj Read]]="N/A"),"N/A",IF(Table1[[#This Row],[DUT Adj Read]]="N/A",IF(Table1[[#This Row],[Std Adj Read]]&gt;Table1[[#This Row],[Low Tol]],"Pass","Fail"),IF(Table1[[#This Row],[DUT Adj Read]]&gt;Table1[[#This Row],[Low Tol]],"Pass","Fail")))</f>
        <v>Pass</v>
      </c>
      <c r="AE1294" s="1" t="str">
        <f>IF(AND(Table1[[#This Row],[Spec Type2]]="N/A",Table1[[#This Row],[DUT Adj Read]]="N/A",Table1[[#This Row],[Std Adj Read]]="N/A"),"N/A",IF(Table1[[#This Row],[DUT Adj Read]]="N/A",IF(Table1[[#This Row],[Std Adj Read]]&lt;Table1[[#This Row],[High Tol]],"Pass","Fail"),IF(Table1[[#This Row],[DUT Adj Read]]&lt;Table1[[#This Row],[High Tol]],"Pass","Fail")))</f>
        <v>Fail</v>
      </c>
      <c r="AF1294" s="1" t="str">
        <f>IF(AND(Table1[[#This Row],[Spec Type2]]="N/A",Table1[[#This Row],[DUT Adj Read]]="N/A",Table1[[#This Row],[Std Adj Read]]="N/A"),"N/A",IF(Table1[[#This Row],[DUT Adj Read]]="N/A",IF(Table1[[#This Row],[Std Adj Read]]&gt;=Table1[[#This Row],[Low Tol]],"Pass","Fail"),IF(Table1[[#This Row],[DUT Adj Read]]&gt;=Table1[[#This Row],[Low Tol]],"Pass","Fail")))</f>
        <v>Pass</v>
      </c>
      <c r="AG1294" s="1" t="str">
        <f>IF(AND(Table1[[#This Row],[Spec Type2]]="N/A",Table1[[#This Row],[DUT Adj Read]]="N/A",Table1[[#This Row],[Std Adj Read]]="N/A"),"N/A",IF(Table1[[#This Row],[DUT Adj Read]]="N/A",IF(Table1[[#This Row],[Std Adj Read]]&lt;=Table1[[#This Row],[High Tol]],"Pass","Fail"),IF(Table1[[#This Row],[DUT Adj Read]]&lt;=Table1[[#This Row],[High Tol]],"Pass","Fail")))</f>
        <v>Fail</v>
      </c>
      <c r="AH12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4" s="1" t="b">
        <v>0</v>
      </c>
      <c r="AN1294" s="1" t="b">
        <v>0</v>
      </c>
      <c r="AO1294" s="1" t="b">
        <v>0</v>
      </c>
    </row>
    <row r="1295" spans="1:41" x14ac:dyDescent="0.25">
      <c r="A1295" s="10"/>
      <c r="B1295" s="10"/>
      <c r="C1295" s="10"/>
      <c r="D1295" s="10"/>
      <c r="E1295" s="10"/>
      <c r="F1295" s="10"/>
      <c r="G1295" s="10"/>
      <c r="H1295" s="10"/>
      <c r="I1295" s="1" t="str">
        <f t="shared" si="60"/>
        <v/>
      </c>
      <c r="J1295" s="1" t="s">
        <v>35</v>
      </c>
      <c r="K1295" s="1" t="str">
        <f t="shared" si="61"/>
        <v/>
      </c>
      <c r="L1295" s="1" t="str">
        <f t="shared" si="62"/>
        <v/>
      </c>
      <c r="M1295" s="1">
        <f>IF(OR(Table1[[#This Row],[Std Nom]]="",Table1[[#This Row],[Std Read]]=""),0,Table1[[#This Row],[Std Nom]]-Table1[[#This Row],[Std Read]])</f>
        <v>0</v>
      </c>
      <c r="N1295" s="1">
        <f>IF(Calculations!$F$5="ACCREDITED 17025 WITH UNCERTAINTIES",$N$10,0)</f>
        <v>0</v>
      </c>
      <c r="O1295" s="1" t="str">
        <f>IFERROR(Table1[[#This Row],[Std Nom]]-(_xlfn.XLOOKUP(Table1[[#This Row],[Manufacturer]]&amp;" "&amp;Table1[[#This Row],[Model]],Table13[MFR &amp; MDL],Table13[Tolerance % CW ],"")/100*Table1[[#This Row],[Std Nom]]),"")</f>
        <v/>
      </c>
      <c r="P1295" s="1" t="str">
        <f>IFERROR(Table1[[#This Row],[Std Nom]]+(_xlfn.XLOOKUP(Table1[[#This Row],[Manufacturer]]&amp;" "&amp;Table1[[#This Row],[Model]],Table13[MFR &amp; MDL],Table13[Tolerance % CW ],"")/100*Table1[[#This Row],[Std Nom]]),"")</f>
        <v/>
      </c>
      <c r="Q1295" s="1" t="e">
        <f>Table1[[#This Row],[High Tol]]-Table1[[#This Row],[Low Tol]]</f>
        <v>#VALUE!</v>
      </c>
      <c r="R1295" s="1">
        <f>2*Table1[[#This Row],[Std Error]]</f>
        <v>0</v>
      </c>
      <c r="S1295" s="1" t="str">
        <f>IF(Table1[[#This Row],[High Tol]]="","N/A",IFERROR(ABS(Table1[[#This Row],[Tol Span]]/Table1[[#This Row],[Error Span]]),"N/A"))</f>
        <v>N/A</v>
      </c>
      <c r="T1295" s="1" t="str">
        <f>IF(OR(Table1[[#This Row],[Low Tol]]="",Table1[[#This Row],[High Tol]]=""),"Needs Analysis",IF(Table1[[#This Row],[Ratio]]&gt;=4,"Not Significant",IF(Table1[[#This Row],[Ratio]]&gt;=2,"Semi-Significant","Significant")))</f>
        <v>Needs Analysis</v>
      </c>
      <c r="W1295" s="1">
        <f>IF(Table1[[#This Row],[Cal Type]]&lt;&gt;"ACCREDITED 17025 WITH UNCERTAINTIES",0,"")</f>
        <v>0</v>
      </c>
      <c r="X1295" s="1" t="str">
        <f>IF(Table1[[#This Row],[DUT Read]]="","N/A",Table1[[#This Row],[Std Error]]+Table1[[#This Row],[DUT Read]]+Table1[[#This Row],[DUT Ucty]])</f>
        <v>N/A</v>
      </c>
      <c r="Y1295" s="1" t="str">
        <f>IF(Table1[[#This Row],[Std Read]]="","N/A",Table1[[#This Row],[Std Read]]+Table1[[#This Row],[Std Ucty]])</f>
        <v>N/A</v>
      </c>
      <c r="Z12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5" s="1" t="str">
        <f>IF(Table1[[#This Row],[Spec Type]]="","N/A",Table1[[#This Row],[Spec Type]])</f>
        <v>±</v>
      </c>
      <c r="AC1295" s="1" t="str">
        <f>IF(Table1[[#This Row],[Spec Type2]]="N/A","N/A",IF(AND(Table1[[#This Row],[DUT Adj Read]]&gt;=Table1[[#This Row],[Low Tol]],Table1[[#This Row],[DUT Adj Read]]&lt;=Table1[[#This Row],[High Tol]]),"Pass","Fail"))</f>
        <v>Fail</v>
      </c>
      <c r="AD1295" s="1" t="str">
        <f>IF(AND(Table1[[#This Row],[Spec Type2]]="N/A",Table1[[#This Row],[DUT Adj Read]]="N/A",Table1[[#This Row],[Std Adj Read]]="N/A"),"N/A",IF(Table1[[#This Row],[DUT Adj Read]]="N/A",IF(Table1[[#This Row],[Std Adj Read]]&gt;Table1[[#This Row],[Low Tol]],"Pass","Fail"),IF(Table1[[#This Row],[DUT Adj Read]]&gt;Table1[[#This Row],[Low Tol]],"Pass","Fail")))</f>
        <v>Pass</v>
      </c>
      <c r="AE1295" s="1" t="str">
        <f>IF(AND(Table1[[#This Row],[Spec Type2]]="N/A",Table1[[#This Row],[DUT Adj Read]]="N/A",Table1[[#This Row],[Std Adj Read]]="N/A"),"N/A",IF(Table1[[#This Row],[DUT Adj Read]]="N/A",IF(Table1[[#This Row],[Std Adj Read]]&lt;Table1[[#This Row],[High Tol]],"Pass","Fail"),IF(Table1[[#This Row],[DUT Adj Read]]&lt;Table1[[#This Row],[High Tol]],"Pass","Fail")))</f>
        <v>Fail</v>
      </c>
      <c r="AF1295" s="1" t="str">
        <f>IF(AND(Table1[[#This Row],[Spec Type2]]="N/A",Table1[[#This Row],[DUT Adj Read]]="N/A",Table1[[#This Row],[Std Adj Read]]="N/A"),"N/A",IF(Table1[[#This Row],[DUT Adj Read]]="N/A",IF(Table1[[#This Row],[Std Adj Read]]&gt;=Table1[[#This Row],[Low Tol]],"Pass","Fail"),IF(Table1[[#This Row],[DUT Adj Read]]&gt;=Table1[[#This Row],[Low Tol]],"Pass","Fail")))</f>
        <v>Pass</v>
      </c>
      <c r="AG1295" s="1" t="str">
        <f>IF(AND(Table1[[#This Row],[Spec Type2]]="N/A",Table1[[#This Row],[DUT Adj Read]]="N/A",Table1[[#This Row],[Std Adj Read]]="N/A"),"N/A",IF(Table1[[#This Row],[DUT Adj Read]]="N/A",IF(Table1[[#This Row],[Std Adj Read]]&lt;=Table1[[#This Row],[High Tol]],"Pass","Fail"),IF(Table1[[#This Row],[DUT Adj Read]]&lt;=Table1[[#This Row],[High Tol]],"Pass","Fail")))</f>
        <v>Fail</v>
      </c>
      <c r="AH12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5" s="1" t="b">
        <v>0</v>
      </c>
      <c r="AN1295" s="1" t="b">
        <v>0</v>
      </c>
      <c r="AO1295" s="1" t="b">
        <v>0</v>
      </c>
    </row>
    <row r="1296" spans="1:41" x14ac:dyDescent="0.25">
      <c r="A1296" s="10"/>
      <c r="B1296" s="10"/>
      <c r="C1296" s="10"/>
      <c r="D1296" s="10"/>
      <c r="E1296" s="10"/>
      <c r="F1296" s="10"/>
      <c r="G1296" s="10"/>
      <c r="H1296" s="10"/>
      <c r="I1296" s="1" t="str">
        <f t="shared" si="60"/>
        <v/>
      </c>
      <c r="J1296" s="1" t="s">
        <v>35</v>
      </c>
      <c r="K1296" s="1" t="str">
        <f t="shared" si="61"/>
        <v/>
      </c>
      <c r="L1296" s="1" t="str">
        <f t="shared" si="62"/>
        <v/>
      </c>
      <c r="M1296" s="1">
        <f>IF(OR(Table1[[#This Row],[Std Nom]]="",Table1[[#This Row],[Std Read]]=""),0,Table1[[#This Row],[Std Nom]]-Table1[[#This Row],[Std Read]])</f>
        <v>0</v>
      </c>
      <c r="N1296" s="1">
        <f>IF(Calculations!$F$5="ACCREDITED 17025 WITH UNCERTAINTIES",$N$10,0)</f>
        <v>0</v>
      </c>
      <c r="O1296" s="1" t="str">
        <f>IFERROR(Table1[[#This Row],[Std Nom]]-(_xlfn.XLOOKUP(Table1[[#This Row],[Manufacturer]]&amp;" "&amp;Table1[[#This Row],[Model]],Table13[MFR &amp; MDL],Table13[Tolerance % CW ],"")/100*Table1[[#This Row],[Std Nom]]),"")</f>
        <v/>
      </c>
      <c r="P1296" s="1" t="str">
        <f>IFERROR(Table1[[#This Row],[Std Nom]]+(_xlfn.XLOOKUP(Table1[[#This Row],[Manufacturer]]&amp;" "&amp;Table1[[#This Row],[Model]],Table13[MFR &amp; MDL],Table13[Tolerance % CW ],"")/100*Table1[[#This Row],[Std Nom]]),"")</f>
        <v/>
      </c>
      <c r="Q1296" s="1" t="e">
        <f>Table1[[#This Row],[High Tol]]-Table1[[#This Row],[Low Tol]]</f>
        <v>#VALUE!</v>
      </c>
      <c r="R1296" s="1">
        <f>2*Table1[[#This Row],[Std Error]]</f>
        <v>0</v>
      </c>
      <c r="S1296" s="1" t="str">
        <f>IF(Table1[[#This Row],[High Tol]]="","N/A",IFERROR(ABS(Table1[[#This Row],[Tol Span]]/Table1[[#This Row],[Error Span]]),"N/A"))</f>
        <v>N/A</v>
      </c>
      <c r="T1296" s="1" t="str">
        <f>IF(OR(Table1[[#This Row],[Low Tol]]="",Table1[[#This Row],[High Tol]]=""),"Needs Analysis",IF(Table1[[#This Row],[Ratio]]&gt;=4,"Not Significant",IF(Table1[[#This Row],[Ratio]]&gt;=2,"Semi-Significant","Significant")))</f>
        <v>Needs Analysis</v>
      </c>
      <c r="W1296" s="1">
        <f>IF(Table1[[#This Row],[Cal Type]]&lt;&gt;"ACCREDITED 17025 WITH UNCERTAINTIES",0,"")</f>
        <v>0</v>
      </c>
      <c r="X1296" s="1" t="str">
        <f>IF(Table1[[#This Row],[DUT Read]]="","N/A",Table1[[#This Row],[Std Error]]+Table1[[#This Row],[DUT Read]]+Table1[[#This Row],[DUT Ucty]])</f>
        <v>N/A</v>
      </c>
      <c r="Y1296" s="1" t="str">
        <f>IF(Table1[[#This Row],[Std Read]]="","N/A",Table1[[#This Row],[Std Read]]+Table1[[#This Row],[Std Ucty]])</f>
        <v>N/A</v>
      </c>
      <c r="Z12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6" s="1" t="str">
        <f>IF(Table1[[#This Row],[Spec Type]]="","N/A",Table1[[#This Row],[Spec Type]])</f>
        <v>±</v>
      </c>
      <c r="AC1296" s="1" t="str">
        <f>IF(Table1[[#This Row],[Spec Type2]]="N/A","N/A",IF(AND(Table1[[#This Row],[DUT Adj Read]]&gt;=Table1[[#This Row],[Low Tol]],Table1[[#This Row],[DUT Adj Read]]&lt;=Table1[[#This Row],[High Tol]]),"Pass","Fail"))</f>
        <v>Fail</v>
      </c>
      <c r="AD1296" s="1" t="str">
        <f>IF(AND(Table1[[#This Row],[Spec Type2]]="N/A",Table1[[#This Row],[DUT Adj Read]]="N/A",Table1[[#This Row],[Std Adj Read]]="N/A"),"N/A",IF(Table1[[#This Row],[DUT Adj Read]]="N/A",IF(Table1[[#This Row],[Std Adj Read]]&gt;Table1[[#This Row],[Low Tol]],"Pass","Fail"),IF(Table1[[#This Row],[DUT Adj Read]]&gt;Table1[[#This Row],[Low Tol]],"Pass","Fail")))</f>
        <v>Pass</v>
      </c>
      <c r="AE1296" s="1" t="str">
        <f>IF(AND(Table1[[#This Row],[Spec Type2]]="N/A",Table1[[#This Row],[DUT Adj Read]]="N/A",Table1[[#This Row],[Std Adj Read]]="N/A"),"N/A",IF(Table1[[#This Row],[DUT Adj Read]]="N/A",IF(Table1[[#This Row],[Std Adj Read]]&lt;Table1[[#This Row],[High Tol]],"Pass","Fail"),IF(Table1[[#This Row],[DUT Adj Read]]&lt;Table1[[#This Row],[High Tol]],"Pass","Fail")))</f>
        <v>Fail</v>
      </c>
      <c r="AF1296" s="1" t="str">
        <f>IF(AND(Table1[[#This Row],[Spec Type2]]="N/A",Table1[[#This Row],[DUT Adj Read]]="N/A",Table1[[#This Row],[Std Adj Read]]="N/A"),"N/A",IF(Table1[[#This Row],[DUT Adj Read]]="N/A",IF(Table1[[#This Row],[Std Adj Read]]&gt;=Table1[[#This Row],[Low Tol]],"Pass","Fail"),IF(Table1[[#This Row],[DUT Adj Read]]&gt;=Table1[[#This Row],[Low Tol]],"Pass","Fail")))</f>
        <v>Pass</v>
      </c>
      <c r="AG1296" s="1" t="str">
        <f>IF(AND(Table1[[#This Row],[Spec Type2]]="N/A",Table1[[#This Row],[DUT Adj Read]]="N/A",Table1[[#This Row],[Std Adj Read]]="N/A"),"N/A",IF(Table1[[#This Row],[DUT Adj Read]]="N/A",IF(Table1[[#This Row],[Std Adj Read]]&lt;=Table1[[#This Row],[High Tol]],"Pass","Fail"),IF(Table1[[#This Row],[DUT Adj Read]]&lt;=Table1[[#This Row],[High Tol]],"Pass","Fail")))</f>
        <v>Fail</v>
      </c>
      <c r="AH12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6" s="1" t="b">
        <v>0</v>
      </c>
      <c r="AN1296" s="1" t="b">
        <v>0</v>
      </c>
      <c r="AO1296" s="1" t="b">
        <v>0</v>
      </c>
    </row>
    <row r="1297" spans="1:41" x14ac:dyDescent="0.25">
      <c r="A1297" s="10"/>
      <c r="B1297" s="10"/>
      <c r="C1297" s="10"/>
      <c r="D1297" s="10"/>
      <c r="E1297" s="10"/>
      <c r="F1297" s="10"/>
      <c r="G1297" s="10"/>
      <c r="H1297" s="10"/>
      <c r="I1297" s="1" t="str">
        <f t="shared" si="60"/>
        <v/>
      </c>
      <c r="J1297" s="1" t="s">
        <v>35</v>
      </c>
      <c r="K1297" s="1" t="str">
        <f t="shared" si="61"/>
        <v/>
      </c>
      <c r="L1297" s="1" t="str">
        <f t="shared" si="62"/>
        <v/>
      </c>
      <c r="M1297" s="1">
        <f>IF(OR(Table1[[#This Row],[Std Nom]]="",Table1[[#This Row],[Std Read]]=""),0,Table1[[#This Row],[Std Nom]]-Table1[[#This Row],[Std Read]])</f>
        <v>0</v>
      </c>
      <c r="N1297" s="1">
        <f>IF(Calculations!$F$5="ACCREDITED 17025 WITH UNCERTAINTIES",$N$10,0)</f>
        <v>0</v>
      </c>
      <c r="O1297" s="1" t="str">
        <f>IFERROR(Table1[[#This Row],[Std Nom]]-(_xlfn.XLOOKUP(Table1[[#This Row],[Manufacturer]]&amp;" "&amp;Table1[[#This Row],[Model]],Table13[MFR &amp; MDL],Table13[Tolerance % CW ],"")/100*Table1[[#This Row],[Std Nom]]),"")</f>
        <v/>
      </c>
      <c r="P1297" s="1" t="str">
        <f>IFERROR(Table1[[#This Row],[Std Nom]]+(_xlfn.XLOOKUP(Table1[[#This Row],[Manufacturer]]&amp;" "&amp;Table1[[#This Row],[Model]],Table13[MFR &amp; MDL],Table13[Tolerance % CW ],"")/100*Table1[[#This Row],[Std Nom]]),"")</f>
        <v/>
      </c>
      <c r="Q1297" s="1" t="e">
        <f>Table1[[#This Row],[High Tol]]-Table1[[#This Row],[Low Tol]]</f>
        <v>#VALUE!</v>
      </c>
      <c r="R1297" s="1">
        <f>2*Table1[[#This Row],[Std Error]]</f>
        <v>0</v>
      </c>
      <c r="S1297" s="1" t="str">
        <f>IF(Table1[[#This Row],[High Tol]]="","N/A",IFERROR(ABS(Table1[[#This Row],[Tol Span]]/Table1[[#This Row],[Error Span]]),"N/A"))</f>
        <v>N/A</v>
      </c>
      <c r="T1297" s="1" t="str">
        <f>IF(OR(Table1[[#This Row],[Low Tol]]="",Table1[[#This Row],[High Tol]]=""),"Needs Analysis",IF(Table1[[#This Row],[Ratio]]&gt;=4,"Not Significant",IF(Table1[[#This Row],[Ratio]]&gt;=2,"Semi-Significant","Significant")))</f>
        <v>Needs Analysis</v>
      </c>
      <c r="W1297" s="1">
        <f>IF(Table1[[#This Row],[Cal Type]]&lt;&gt;"ACCREDITED 17025 WITH UNCERTAINTIES",0,"")</f>
        <v>0</v>
      </c>
      <c r="X1297" s="1" t="str">
        <f>IF(Table1[[#This Row],[DUT Read]]="","N/A",Table1[[#This Row],[Std Error]]+Table1[[#This Row],[DUT Read]]+Table1[[#This Row],[DUT Ucty]])</f>
        <v>N/A</v>
      </c>
      <c r="Y1297" s="1" t="str">
        <f>IF(Table1[[#This Row],[Std Read]]="","N/A",Table1[[#This Row],[Std Read]]+Table1[[#This Row],[Std Ucty]])</f>
        <v>N/A</v>
      </c>
      <c r="Z12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7" s="1" t="str">
        <f>IF(Table1[[#This Row],[Spec Type]]="","N/A",Table1[[#This Row],[Spec Type]])</f>
        <v>±</v>
      </c>
      <c r="AC1297" s="1" t="str">
        <f>IF(Table1[[#This Row],[Spec Type2]]="N/A","N/A",IF(AND(Table1[[#This Row],[DUT Adj Read]]&gt;=Table1[[#This Row],[Low Tol]],Table1[[#This Row],[DUT Adj Read]]&lt;=Table1[[#This Row],[High Tol]]),"Pass","Fail"))</f>
        <v>Fail</v>
      </c>
      <c r="AD1297" s="1" t="str">
        <f>IF(AND(Table1[[#This Row],[Spec Type2]]="N/A",Table1[[#This Row],[DUT Adj Read]]="N/A",Table1[[#This Row],[Std Adj Read]]="N/A"),"N/A",IF(Table1[[#This Row],[DUT Adj Read]]="N/A",IF(Table1[[#This Row],[Std Adj Read]]&gt;Table1[[#This Row],[Low Tol]],"Pass","Fail"),IF(Table1[[#This Row],[DUT Adj Read]]&gt;Table1[[#This Row],[Low Tol]],"Pass","Fail")))</f>
        <v>Pass</v>
      </c>
      <c r="AE1297" s="1" t="str">
        <f>IF(AND(Table1[[#This Row],[Spec Type2]]="N/A",Table1[[#This Row],[DUT Adj Read]]="N/A",Table1[[#This Row],[Std Adj Read]]="N/A"),"N/A",IF(Table1[[#This Row],[DUT Adj Read]]="N/A",IF(Table1[[#This Row],[Std Adj Read]]&lt;Table1[[#This Row],[High Tol]],"Pass","Fail"),IF(Table1[[#This Row],[DUT Adj Read]]&lt;Table1[[#This Row],[High Tol]],"Pass","Fail")))</f>
        <v>Fail</v>
      </c>
      <c r="AF1297" s="1" t="str">
        <f>IF(AND(Table1[[#This Row],[Spec Type2]]="N/A",Table1[[#This Row],[DUT Adj Read]]="N/A",Table1[[#This Row],[Std Adj Read]]="N/A"),"N/A",IF(Table1[[#This Row],[DUT Adj Read]]="N/A",IF(Table1[[#This Row],[Std Adj Read]]&gt;=Table1[[#This Row],[Low Tol]],"Pass","Fail"),IF(Table1[[#This Row],[DUT Adj Read]]&gt;=Table1[[#This Row],[Low Tol]],"Pass","Fail")))</f>
        <v>Pass</v>
      </c>
      <c r="AG1297" s="1" t="str">
        <f>IF(AND(Table1[[#This Row],[Spec Type2]]="N/A",Table1[[#This Row],[DUT Adj Read]]="N/A",Table1[[#This Row],[Std Adj Read]]="N/A"),"N/A",IF(Table1[[#This Row],[DUT Adj Read]]="N/A",IF(Table1[[#This Row],[Std Adj Read]]&lt;=Table1[[#This Row],[High Tol]],"Pass","Fail"),IF(Table1[[#This Row],[DUT Adj Read]]&lt;=Table1[[#This Row],[High Tol]],"Pass","Fail")))</f>
        <v>Fail</v>
      </c>
      <c r="AH12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7" s="1" t="b">
        <v>0</v>
      </c>
      <c r="AN1297" s="1" t="b">
        <v>0</v>
      </c>
      <c r="AO1297" s="1" t="b">
        <v>0</v>
      </c>
    </row>
    <row r="1298" spans="1:41" x14ac:dyDescent="0.25">
      <c r="A1298" s="10"/>
      <c r="B1298" s="10"/>
      <c r="C1298" s="10"/>
      <c r="D1298" s="10"/>
      <c r="E1298" s="10"/>
      <c r="F1298" s="10"/>
      <c r="G1298" s="10"/>
      <c r="H1298" s="10"/>
      <c r="I1298" s="1" t="str">
        <f t="shared" si="60"/>
        <v/>
      </c>
      <c r="J1298" s="1" t="s">
        <v>35</v>
      </c>
      <c r="K1298" s="1" t="str">
        <f t="shared" si="61"/>
        <v/>
      </c>
      <c r="L1298" s="1" t="str">
        <f t="shared" si="62"/>
        <v/>
      </c>
      <c r="M1298" s="1">
        <f>IF(OR(Table1[[#This Row],[Std Nom]]="",Table1[[#This Row],[Std Read]]=""),0,Table1[[#This Row],[Std Nom]]-Table1[[#This Row],[Std Read]])</f>
        <v>0</v>
      </c>
      <c r="N1298" s="1">
        <f>IF(Calculations!$F$5="ACCREDITED 17025 WITH UNCERTAINTIES",$N$10,0)</f>
        <v>0</v>
      </c>
      <c r="O1298" s="1" t="str">
        <f>IFERROR(Table1[[#This Row],[Std Nom]]-(_xlfn.XLOOKUP(Table1[[#This Row],[Manufacturer]]&amp;" "&amp;Table1[[#This Row],[Model]],Table13[MFR &amp; MDL],Table13[Tolerance % CW ],"")/100*Table1[[#This Row],[Std Nom]]),"")</f>
        <v/>
      </c>
      <c r="P1298" s="1" t="str">
        <f>IFERROR(Table1[[#This Row],[Std Nom]]+(_xlfn.XLOOKUP(Table1[[#This Row],[Manufacturer]]&amp;" "&amp;Table1[[#This Row],[Model]],Table13[MFR &amp; MDL],Table13[Tolerance % CW ],"")/100*Table1[[#This Row],[Std Nom]]),"")</f>
        <v/>
      </c>
      <c r="Q1298" s="1" t="e">
        <f>Table1[[#This Row],[High Tol]]-Table1[[#This Row],[Low Tol]]</f>
        <v>#VALUE!</v>
      </c>
      <c r="R1298" s="1">
        <f>2*Table1[[#This Row],[Std Error]]</f>
        <v>0</v>
      </c>
      <c r="S1298" s="1" t="str">
        <f>IF(Table1[[#This Row],[High Tol]]="","N/A",IFERROR(ABS(Table1[[#This Row],[Tol Span]]/Table1[[#This Row],[Error Span]]),"N/A"))</f>
        <v>N/A</v>
      </c>
      <c r="T1298" s="1" t="str">
        <f>IF(OR(Table1[[#This Row],[Low Tol]]="",Table1[[#This Row],[High Tol]]=""),"Needs Analysis",IF(Table1[[#This Row],[Ratio]]&gt;=4,"Not Significant",IF(Table1[[#This Row],[Ratio]]&gt;=2,"Semi-Significant","Significant")))</f>
        <v>Needs Analysis</v>
      </c>
      <c r="W1298" s="1">
        <f>IF(Table1[[#This Row],[Cal Type]]&lt;&gt;"ACCREDITED 17025 WITH UNCERTAINTIES",0,"")</f>
        <v>0</v>
      </c>
      <c r="X1298" s="1" t="str">
        <f>IF(Table1[[#This Row],[DUT Read]]="","N/A",Table1[[#This Row],[Std Error]]+Table1[[#This Row],[DUT Read]]+Table1[[#This Row],[DUT Ucty]])</f>
        <v>N/A</v>
      </c>
      <c r="Y1298" s="1" t="str">
        <f>IF(Table1[[#This Row],[Std Read]]="","N/A",Table1[[#This Row],[Std Read]]+Table1[[#This Row],[Std Ucty]])</f>
        <v>N/A</v>
      </c>
      <c r="Z12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8" s="1" t="str">
        <f>IF(Table1[[#This Row],[Spec Type]]="","N/A",Table1[[#This Row],[Spec Type]])</f>
        <v>±</v>
      </c>
      <c r="AC1298" s="1" t="str">
        <f>IF(Table1[[#This Row],[Spec Type2]]="N/A","N/A",IF(AND(Table1[[#This Row],[DUT Adj Read]]&gt;=Table1[[#This Row],[Low Tol]],Table1[[#This Row],[DUT Adj Read]]&lt;=Table1[[#This Row],[High Tol]]),"Pass","Fail"))</f>
        <v>Fail</v>
      </c>
      <c r="AD1298" s="1" t="str">
        <f>IF(AND(Table1[[#This Row],[Spec Type2]]="N/A",Table1[[#This Row],[DUT Adj Read]]="N/A",Table1[[#This Row],[Std Adj Read]]="N/A"),"N/A",IF(Table1[[#This Row],[DUT Adj Read]]="N/A",IF(Table1[[#This Row],[Std Adj Read]]&gt;Table1[[#This Row],[Low Tol]],"Pass","Fail"),IF(Table1[[#This Row],[DUT Adj Read]]&gt;Table1[[#This Row],[Low Tol]],"Pass","Fail")))</f>
        <v>Pass</v>
      </c>
      <c r="AE1298" s="1" t="str">
        <f>IF(AND(Table1[[#This Row],[Spec Type2]]="N/A",Table1[[#This Row],[DUT Adj Read]]="N/A",Table1[[#This Row],[Std Adj Read]]="N/A"),"N/A",IF(Table1[[#This Row],[DUT Adj Read]]="N/A",IF(Table1[[#This Row],[Std Adj Read]]&lt;Table1[[#This Row],[High Tol]],"Pass","Fail"),IF(Table1[[#This Row],[DUT Adj Read]]&lt;Table1[[#This Row],[High Tol]],"Pass","Fail")))</f>
        <v>Fail</v>
      </c>
      <c r="AF1298" s="1" t="str">
        <f>IF(AND(Table1[[#This Row],[Spec Type2]]="N/A",Table1[[#This Row],[DUT Adj Read]]="N/A",Table1[[#This Row],[Std Adj Read]]="N/A"),"N/A",IF(Table1[[#This Row],[DUT Adj Read]]="N/A",IF(Table1[[#This Row],[Std Adj Read]]&gt;=Table1[[#This Row],[Low Tol]],"Pass","Fail"),IF(Table1[[#This Row],[DUT Adj Read]]&gt;=Table1[[#This Row],[Low Tol]],"Pass","Fail")))</f>
        <v>Pass</v>
      </c>
      <c r="AG1298" s="1" t="str">
        <f>IF(AND(Table1[[#This Row],[Spec Type2]]="N/A",Table1[[#This Row],[DUT Adj Read]]="N/A",Table1[[#This Row],[Std Adj Read]]="N/A"),"N/A",IF(Table1[[#This Row],[DUT Adj Read]]="N/A",IF(Table1[[#This Row],[Std Adj Read]]&lt;=Table1[[#This Row],[High Tol]],"Pass","Fail"),IF(Table1[[#This Row],[DUT Adj Read]]&lt;=Table1[[#This Row],[High Tol]],"Pass","Fail")))</f>
        <v>Fail</v>
      </c>
      <c r="AH12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8" s="1" t="b">
        <v>0</v>
      </c>
      <c r="AN1298" s="1" t="b">
        <v>0</v>
      </c>
      <c r="AO1298" s="1" t="b">
        <v>0</v>
      </c>
    </row>
    <row r="1299" spans="1:41" x14ac:dyDescent="0.25">
      <c r="A1299" s="10"/>
      <c r="B1299" s="10"/>
      <c r="C1299" s="10"/>
      <c r="D1299" s="10"/>
      <c r="E1299" s="10"/>
      <c r="F1299" s="10"/>
      <c r="G1299" s="10"/>
      <c r="H1299" s="10"/>
      <c r="I1299" s="1" t="str">
        <f t="shared" si="60"/>
        <v/>
      </c>
      <c r="J1299" s="1" t="s">
        <v>35</v>
      </c>
      <c r="K1299" s="1" t="str">
        <f t="shared" si="61"/>
        <v/>
      </c>
      <c r="L1299" s="1" t="str">
        <f t="shared" si="62"/>
        <v/>
      </c>
      <c r="M1299" s="1">
        <f>IF(OR(Table1[[#This Row],[Std Nom]]="",Table1[[#This Row],[Std Read]]=""),0,Table1[[#This Row],[Std Nom]]-Table1[[#This Row],[Std Read]])</f>
        <v>0</v>
      </c>
      <c r="N1299" s="1">
        <f>IF(Calculations!$F$5="ACCREDITED 17025 WITH UNCERTAINTIES",$N$10,0)</f>
        <v>0</v>
      </c>
      <c r="O1299" s="1" t="str">
        <f>IFERROR(Table1[[#This Row],[Std Nom]]-(_xlfn.XLOOKUP(Table1[[#This Row],[Manufacturer]]&amp;" "&amp;Table1[[#This Row],[Model]],Table13[MFR &amp; MDL],Table13[Tolerance % CW ],"")/100*Table1[[#This Row],[Std Nom]]),"")</f>
        <v/>
      </c>
      <c r="P1299" s="1" t="str">
        <f>IFERROR(Table1[[#This Row],[Std Nom]]+(_xlfn.XLOOKUP(Table1[[#This Row],[Manufacturer]]&amp;" "&amp;Table1[[#This Row],[Model]],Table13[MFR &amp; MDL],Table13[Tolerance % CW ],"")/100*Table1[[#This Row],[Std Nom]]),"")</f>
        <v/>
      </c>
      <c r="Q1299" s="1" t="e">
        <f>Table1[[#This Row],[High Tol]]-Table1[[#This Row],[Low Tol]]</f>
        <v>#VALUE!</v>
      </c>
      <c r="R1299" s="1">
        <f>2*Table1[[#This Row],[Std Error]]</f>
        <v>0</v>
      </c>
      <c r="S1299" s="1" t="str">
        <f>IF(Table1[[#This Row],[High Tol]]="","N/A",IFERROR(ABS(Table1[[#This Row],[Tol Span]]/Table1[[#This Row],[Error Span]]),"N/A"))</f>
        <v>N/A</v>
      </c>
      <c r="T1299" s="1" t="str">
        <f>IF(OR(Table1[[#This Row],[Low Tol]]="",Table1[[#This Row],[High Tol]]=""),"Needs Analysis",IF(Table1[[#This Row],[Ratio]]&gt;=4,"Not Significant",IF(Table1[[#This Row],[Ratio]]&gt;=2,"Semi-Significant","Significant")))</f>
        <v>Needs Analysis</v>
      </c>
      <c r="W1299" s="1">
        <f>IF(Table1[[#This Row],[Cal Type]]&lt;&gt;"ACCREDITED 17025 WITH UNCERTAINTIES",0,"")</f>
        <v>0</v>
      </c>
      <c r="X1299" s="1" t="str">
        <f>IF(Table1[[#This Row],[DUT Read]]="","N/A",Table1[[#This Row],[Std Error]]+Table1[[#This Row],[DUT Read]]+Table1[[#This Row],[DUT Ucty]])</f>
        <v>N/A</v>
      </c>
      <c r="Y1299" s="1" t="str">
        <f>IF(Table1[[#This Row],[Std Read]]="","N/A",Table1[[#This Row],[Std Read]]+Table1[[#This Row],[Std Ucty]])</f>
        <v>N/A</v>
      </c>
      <c r="Z12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9" s="1" t="str">
        <f>IF(Table1[[#This Row],[Spec Type]]="","N/A",Table1[[#This Row],[Spec Type]])</f>
        <v>±</v>
      </c>
      <c r="AC1299" s="1" t="str">
        <f>IF(Table1[[#This Row],[Spec Type2]]="N/A","N/A",IF(AND(Table1[[#This Row],[DUT Adj Read]]&gt;=Table1[[#This Row],[Low Tol]],Table1[[#This Row],[DUT Adj Read]]&lt;=Table1[[#This Row],[High Tol]]),"Pass","Fail"))</f>
        <v>Fail</v>
      </c>
      <c r="AD1299" s="1" t="str">
        <f>IF(AND(Table1[[#This Row],[Spec Type2]]="N/A",Table1[[#This Row],[DUT Adj Read]]="N/A",Table1[[#This Row],[Std Adj Read]]="N/A"),"N/A",IF(Table1[[#This Row],[DUT Adj Read]]="N/A",IF(Table1[[#This Row],[Std Adj Read]]&gt;Table1[[#This Row],[Low Tol]],"Pass","Fail"),IF(Table1[[#This Row],[DUT Adj Read]]&gt;Table1[[#This Row],[Low Tol]],"Pass","Fail")))</f>
        <v>Pass</v>
      </c>
      <c r="AE1299" s="1" t="str">
        <f>IF(AND(Table1[[#This Row],[Spec Type2]]="N/A",Table1[[#This Row],[DUT Adj Read]]="N/A",Table1[[#This Row],[Std Adj Read]]="N/A"),"N/A",IF(Table1[[#This Row],[DUT Adj Read]]="N/A",IF(Table1[[#This Row],[Std Adj Read]]&lt;Table1[[#This Row],[High Tol]],"Pass","Fail"),IF(Table1[[#This Row],[DUT Adj Read]]&lt;Table1[[#This Row],[High Tol]],"Pass","Fail")))</f>
        <v>Fail</v>
      </c>
      <c r="AF1299" s="1" t="str">
        <f>IF(AND(Table1[[#This Row],[Spec Type2]]="N/A",Table1[[#This Row],[DUT Adj Read]]="N/A",Table1[[#This Row],[Std Adj Read]]="N/A"),"N/A",IF(Table1[[#This Row],[DUT Adj Read]]="N/A",IF(Table1[[#This Row],[Std Adj Read]]&gt;=Table1[[#This Row],[Low Tol]],"Pass","Fail"),IF(Table1[[#This Row],[DUT Adj Read]]&gt;=Table1[[#This Row],[Low Tol]],"Pass","Fail")))</f>
        <v>Pass</v>
      </c>
      <c r="AG1299" s="1" t="str">
        <f>IF(AND(Table1[[#This Row],[Spec Type2]]="N/A",Table1[[#This Row],[DUT Adj Read]]="N/A",Table1[[#This Row],[Std Adj Read]]="N/A"),"N/A",IF(Table1[[#This Row],[DUT Adj Read]]="N/A",IF(Table1[[#This Row],[Std Adj Read]]&lt;=Table1[[#This Row],[High Tol]],"Pass","Fail"),IF(Table1[[#This Row],[DUT Adj Read]]&lt;=Table1[[#This Row],[High Tol]],"Pass","Fail")))</f>
        <v>Fail</v>
      </c>
      <c r="AH12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9" s="1" t="b">
        <v>0</v>
      </c>
      <c r="AN1299" s="1" t="b">
        <v>0</v>
      </c>
      <c r="AO1299" s="1" t="b">
        <v>0</v>
      </c>
    </row>
    <row r="1300" spans="1:41" x14ac:dyDescent="0.25">
      <c r="A1300" s="10"/>
      <c r="B1300" s="10"/>
      <c r="C1300" s="10"/>
      <c r="D1300" s="10"/>
      <c r="E1300" s="10"/>
      <c r="F1300" s="10"/>
      <c r="G1300" s="10"/>
      <c r="H1300" s="10"/>
      <c r="I1300" s="1" t="str">
        <f t="shared" si="60"/>
        <v/>
      </c>
      <c r="J1300" s="1" t="s">
        <v>35</v>
      </c>
      <c r="K1300" s="1" t="str">
        <f t="shared" si="61"/>
        <v/>
      </c>
      <c r="L1300" s="1" t="str">
        <f t="shared" si="62"/>
        <v/>
      </c>
      <c r="M1300" s="1">
        <f>IF(OR(Table1[[#This Row],[Std Nom]]="",Table1[[#This Row],[Std Read]]=""),0,Table1[[#This Row],[Std Nom]]-Table1[[#This Row],[Std Read]])</f>
        <v>0</v>
      </c>
      <c r="N1300" s="1">
        <f>IF(Calculations!$F$5="ACCREDITED 17025 WITH UNCERTAINTIES",$N$10,0)</f>
        <v>0</v>
      </c>
      <c r="O1300" s="1" t="str">
        <f>IFERROR(Table1[[#This Row],[Std Nom]]-(_xlfn.XLOOKUP(Table1[[#This Row],[Manufacturer]]&amp;" "&amp;Table1[[#This Row],[Model]],Table13[MFR &amp; MDL],Table13[Tolerance % CW ],"")/100*Table1[[#This Row],[Std Nom]]),"")</f>
        <v/>
      </c>
      <c r="P1300" s="1" t="str">
        <f>IFERROR(Table1[[#This Row],[Std Nom]]+(_xlfn.XLOOKUP(Table1[[#This Row],[Manufacturer]]&amp;" "&amp;Table1[[#This Row],[Model]],Table13[MFR &amp; MDL],Table13[Tolerance % CW ],"")/100*Table1[[#This Row],[Std Nom]]),"")</f>
        <v/>
      </c>
      <c r="Q1300" s="1" t="e">
        <f>Table1[[#This Row],[High Tol]]-Table1[[#This Row],[Low Tol]]</f>
        <v>#VALUE!</v>
      </c>
      <c r="R1300" s="1">
        <f>2*Table1[[#This Row],[Std Error]]</f>
        <v>0</v>
      </c>
      <c r="S1300" s="1" t="str">
        <f>IF(Table1[[#This Row],[High Tol]]="","N/A",IFERROR(ABS(Table1[[#This Row],[Tol Span]]/Table1[[#This Row],[Error Span]]),"N/A"))</f>
        <v>N/A</v>
      </c>
      <c r="T1300" s="1" t="str">
        <f>IF(OR(Table1[[#This Row],[Low Tol]]="",Table1[[#This Row],[High Tol]]=""),"Needs Analysis",IF(Table1[[#This Row],[Ratio]]&gt;=4,"Not Significant",IF(Table1[[#This Row],[Ratio]]&gt;=2,"Semi-Significant","Significant")))</f>
        <v>Needs Analysis</v>
      </c>
      <c r="W1300" s="1">
        <f>IF(Table1[[#This Row],[Cal Type]]&lt;&gt;"ACCREDITED 17025 WITH UNCERTAINTIES",0,"")</f>
        <v>0</v>
      </c>
      <c r="X1300" s="1" t="str">
        <f>IF(Table1[[#This Row],[DUT Read]]="","N/A",Table1[[#This Row],[Std Error]]+Table1[[#This Row],[DUT Read]]+Table1[[#This Row],[DUT Ucty]])</f>
        <v>N/A</v>
      </c>
      <c r="Y1300" s="1" t="str">
        <f>IF(Table1[[#This Row],[Std Read]]="","N/A",Table1[[#This Row],[Std Read]]+Table1[[#This Row],[Std Ucty]])</f>
        <v>N/A</v>
      </c>
      <c r="Z13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0" s="1" t="str">
        <f>IF(Table1[[#This Row],[Spec Type]]="","N/A",Table1[[#This Row],[Spec Type]])</f>
        <v>±</v>
      </c>
      <c r="AC1300" s="1" t="str">
        <f>IF(Table1[[#This Row],[Spec Type2]]="N/A","N/A",IF(AND(Table1[[#This Row],[DUT Adj Read]]&gt;=Table1[[#This Row],[Low Tol]],Table1[[#This Row],[DUT Adj Read]]&lt;=Table1[[#This Row],[High Tol]]),"Pass","Fail"))</f>
        <v>Fail</v>
      </c>
      <c r="AD1300" s="1" t="str">
        <f>IF(AND(Table1[[#This Row],[Spec Type2]]="N/A",Table1[[#This Row],[DUT Adj Read]]="N/A",Table1[[#This Row],[Std Adj Read]]="N/A"),"N/A",IF(Table1[[#This Row],[DUT Adj Read]]="N/A",IF(Table1[[#This Row],[Std Adj Read]]&gt;Table1[[#This Row],[Low Tol]],"Pass","Fail"),IF(Table1[[#This Row],[DUT Adj Read]]&gt;Table1[[#This Row],[Low Tol]],"Pass","Fail")))</f>
        <v>Pass</v>
      </c>
      <c r="AE1300" s="1" t="str">
        <f>IF(AND(Table1[[#This Row],[Spec Type2]]="N/A",Table1[[#This Row],[DUT Adj Read]]="N/A",Table1[[#This Row],[Std Adj Read]]="N/A"),"N/A",IF(Table1[[#This Row],[DUT Adj Read]]="N/A",IF(Table1[[#This Row],[Std Adj Read]]&lt;Table1[[#This Row],[High Tol]],"Pass","Fail"),IF(Table1[[#This Row],[DUT Adj Read]]&lt;Table1[[#This Row],[High Tol]],"Pass","Fail")))</f>
        <v>Fail</v>
      </c>
      <c r="AF1300" s="1" t="str">
        <f>IF(AND(Table1[[#This Row],[Spec Type2]]="N/A",Table1[[#This Row],[DUT Adj Read]]="N/A",Table1[[#This Row],[Std Adj Read]]="N/A"),"N/A",IF(Table1[[#This Row],[DUT Adj Read]]="N/A",IF(Table1[[#This Row],[Std Adj Read]]&gt;=Table1[[#This Row],[Low Tol]],"Pass","Fail"),IF(Table1[[#This Row],[DUT Adj Read]]&gt;=Table1[[#This Row],[Low Tol]],"Pass","Fail")))</f>
        <v>Pass</v>
      </c>
      <c r="AG1300" s="1" t="str">
        <f>IF(AND(Table1[[#This Row],[Spec Type2]]="N/A",Table1[[#This Row],[DUT Adj Read]]="N/A",Table1[[#This Row],[Std Adj Read]]="N/A"),"N/A",IF(Table1[[#This Row],[DUT Adj Read]]="N/A",IF(Table1[[#This Row],[Std Adj Read]]&lt;=Table1[[#This Row],[High Tol]],"Pass","Fail"),IF(Table1[[#This Row],[DUT Adj Read]]&lt;=Table1[[#This Row],[High Tol]],"Pass","Fail")))</f>
        <v>Fail</v>
      </c>
      <c r="AH13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0" s="1" t="b">
        <v>0</v>
      </c>
      <c r="AN1300" s="1" t="b">
        <v>0</v>
      </c>
      <c r="AO1300" s="1" t="b">
        <v>0</v>
      </c>
    </row>
    <row r="1301" spans="1:41" x14ac:dyDescent="0.25">
      <c r="A1301" s="10"/>
      <c r="B1301" s="10"/>
      <c r="C1301" s="10"/>
      <c r="D1301" s="10"/>
      <c r="E1301" s="10"/>
      <c r="F1301" s="10"/>
      <c r="G1301" s="10"/>
      <c r="H1301" s="10"/>
      <c r="I1301" s="1" t="str">
        <f t="shared" si="60"/>
        <v/>
      </c>
      <c r="J1301" s="1" t="s">
        <v>35</v>
      </c>
      <c r="K1301" s="1" t="str">
        <f t="shared" si="61"/>
        <v/>
      </c>
      <c r="L1301" s="1" t="str">
        <f t="shared" si="62"/>
        <v/>
      </c>
      <c r="M1301" s="1">
        <f>IF(OR(Table1[[#This Row],[Std Nom]]="",Table1[[#This Row],[Std Read]]=""),0,Table1[[#This Row],[Std Nom]]-Table1[[#This Row],[Std Read]])</f>
        <v>0</v>
      </c>
      <c r="N1301" s="1">
        <f>IF(Calculations!$F$5="ACCREDITED 17025 WITH UNCERTAINTIES",$N$10,0)</f>
        <v>0</v>
      </c>
      <c r="O1301" s="1" t="str">
        <f>IFERROR(Table1[[#This Row],[Std Nom]]-(_xlfn.XLOOKUP(Table1[[#This Row],[Manufacturer]]&amp;" "&amp;Table1[[#This Row],[Model]],Table13[MFR &amp; MDL],Table13[Tolerance % CW ],"")/100*Table1[[#This Row],[Std Nom]]),"")</f>
        <v/>
      </c>
      <c r="P1301" s="1" t="str">
        <f>IFERROR(Table1[[#This Row],[Std Nom]]+(_xlfn.XLOOKUP(Table1[[#This Row],[Manufacturer]]&amp;" "&amp;Table1[[#This Row],[Model]],Table13[MFR &amp; MDL],Table13[Tolerance % CW ],"")/100*Table1[[#This Row],[Std Nom]]),"")</f>
        <v/>
      </c>
      <c r="Q1301" s="1" t="e">
        <f>Table1[[#This Row],[High Tol]]-Table1[[#This Row],[Low Tol]]</f>
        <v>#VALUE!</v>
      </c>
      <c r="R1301" s="1">
        <f>2*Table1[[#This Row],[Std Error]]</f>
        <v>0</v>
      </c>
      <c r="S1301" s="1" t="str">
        <f>IF(Table1[[#This Row],[High Tol]]="","N/A",IFERROR(ABS(Table1[[#This Row],[Tol Span]]/Table1[[#This Row],[Error Span]]),"N/A"))</f>
        <v>N/A</v>
      </c>
      <c r="T1301" s="1" t="str">
        <f>IF(OR(Table1[[#This Row],[Low Tol]]="",Table1[[#This Row],[High Tol]]=""),"Needs Analysis",IF(Table1[[#This Row],[Ratio]]&gt;=4,"Not Significant",IF(Table1[[#This Row],[Ratio]]&gt;=2,"Semi-Significant","Significant")))</f>
        <v>Needs Analysis</v>
      </c>
      <c r="W1301" s="1">
        <f>IF(Table1[[#This Row],[Cal Type]]&lt;&gt;"ACCREDITED 17025 WITH UNCERTAINTIES",0,"")</f>
        <v>0</v>
      </c>
      <c r="X1301" s="1" t="str">
        <f>IF(Table1[[#This Row],[DUT Read]]="","N/A",Table1[[#This Row],[Std Error]]+Table1[[#This Row],[DUT Read]]+Table1[[#This Row],[DUT Ucty]])</f>
        <v>N/A</v>
      </c>
      <c r="Y1301" s="1" t="str">
        <f>IF(Table1[[#This Row],[Std Read]]="","N/A",Table1[[#This Row],[Std Read]]+Table1[[#This Row],[Std Ucty]])</f>
        <v>N/A</v>
      </c>
      <c r="Z13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1" s="1" t="str">
        <f>IF(Table1[[#This Row],[Spec Type]]="","N/A",Table1[[#This Row],[Spec Type]])</f>
        <v>±</v>
      </c>
      <c r="AC1301" s="1" t="str">
        <f>IF(Table1[[#This Row],[Spec Type2]]="N/A","N/A",IF(AND(Table1[[#This Row],[DUT Adj Read]]&gt;=Table1[[#This Row],[Low Tol]],Table1[[#This Row],[DUT Adj Read]]&lt;=Table1[[#This Row],[High Tol]]),"Pass","Fail"))</f>
        <v>Fail</v>
      </c>
      <c r="AD1301" s="1" t="str">
        <f>IF(AND(Table1[[#This Row],[Spec Type2]]="N/A",Table1[[#This Row],[DUT Adj Read]]="N/A",Table1[[#This Row],[Std Adj Read]]="N/A"),"N/A",IF(Table1[[#This Row],[DUT Adj Read]]="N/A",IF(Table1[[#This Row],[Std Adj Read]]&gt;Table1[[#This Row],[Low Tol]],"Pass","Fail"),IF(Table1[[#This Row],[DUT Adj Read]]&gt;Table1[[#This Row],[Low Tol]],"Pass","Fail")))</f>
        <v>Pass</v>
      </c>
      <c r="AE1301" s="1" t="str">
        <f>IF(AND(Table1[[#This Row],[Spec Type2]]="N/A",Table1[[#This Row],[DUT Adj Read]]="N/A",Table1[[#This Row],[Std Adj Read]]="N/A"),"N/A",IF(Table1[[#This Row],[DUT Adj Read]]="N/A",IF(Table1[[#This Row],[Std Adj Read]]&lt;Table1[[#This Row],[High Tol]],"Pass","Fail"),IF(Table1[[#This Row],[DUT Adj Read]]&lt;Table1[[#This Row],[High Tol]],"Pass","Fail")))</f>
        <v>Fail</v>
      </c>
      <c r="AF1301" s="1" t="str">
        <f>IF(AND(Table1[[#This Row],[Spec Type2]]="N/A",Table1[[#This Row],[DUT Adj Read]]="N/A",Table1[[#This Row],[Std Adj Read]]="N/A"),"N/A",IF(Table1[[#This Row],[DUT Adj Read]]="N/A",IF(Table1[[#This Row],[Std Adj Read]]&gt;=Table1[[#This Row],[Low Tol]],"Pass","Fail"),IF(Table1[[#This Row],[DUT Adj Read]]&gt;=Table1[[#This Row],[Low Tol]],"Pass","Fail")))</f>
        <v>Pass</v>
      </c>
      <c r="AG1301" s="1" t="str">
        <f>IF(AND(Table1[[#This Row],[Spec Type2]]="N/A",Table1[[#This Row],[DUT Adj Read]]="N/A",Table1[[#This Row],[Std Adj Read]]="N/A"),"N/A",IF(Table1[[#This Row],[DUT Adj Read]]="N/A",IF(Table1[[#This Row],[Std Adj Read]]&lt;=Table1[[#This Row],[High Tol]],"Pass","Fail"),IF(Table1[[#This Row],[DUT Adj Read]]&lt;=Table1[[#This Row],[High Tol]],"Pass","Fail")))</f>
        <v>Fail</v>
      </c>
      <c r="AH13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1" s="1" t="b">
        <v>0</v>
      </c>
      <c r="AN1301" s="1" t="b">
        <v>0</v>
      </c>
      <c r="AO1301" s="1" t="b">
        <v>0</v>
      </c>
    </row>
    <row r="1302" spans="1:41" x14ac:dyDescent="0.25">
      <c r="A1302" s="10"/>
      <c r="B1302" s="10"/>
      <c r="C1302" s="10"/>
      <c r="D1302" s="10"/>
      <c r="E1302" s="10"/>
      <c r="F1302" s="10"/>
      <c r="G1302" s="10"/>
      <c r="H1302" s="10"/>
      <c r="I1302" s="1" t="str">
        <f t="shared" si="60"/>
        <v/>
      </c>
      <c r="J1302" s="1" t="s">
        <v>35</v>
      </c>
      <c r="K1302" s="1" t="str">
        <f t="shared" si="61"/>
        <v/>
      </c>
      <c r="L1302" s="1" t="str">
        <f t="shared" si="62"/>
        <v/>
      </c>
      <c r="M1302" s="1">
        <f>IF(OR(Table1[[#This Row],[Std Nom]]="",Table1[[#This Row],[Std Read]]=""),0,Table1[[#This Row],[Std Nom]]-Table1[[#This Row],[Std Read]])</f>
        <v>0</v>
      </c>
      <c r="N1302" s="1">
        <f>IF(Calculations!$F$5="ACCREDITED 17025 WITH UNCERTAINTIES",$N$10,0)</f>
        <v>0</v>
      </c>
      <c r="O1302" s="1" t="str">
        <f>IFERROR(Table1[[#This Row],[Std Nom]]-(_xlfn.XLOOKUP(Table1[[#This Row],[Manufacturer]]&amp;" "&amp;Table1[[#This Row],[Model]],Table13[MFR &amp; MDL],Table13[Tolerance % CW ],"")/100*Table1[[#This Row],[Std Nom]]),"")</f>
        <v/>
      </c>
      <c r="P1302" s="1" t="str">
        <f>IFERROR(Table1[[#This Row],[Std Nom]]+(_xlfn.XLOOKUP(Table1[[#This Row],[Manufacturer]]&amp;" "&amp;Table1[[#This Row],[Model]],Table13[MFR &amp; MDL],Table13[Tolerance % CW ],"")/100*Table1[[#This Row],[Std Nom]]),"")</f>
        <v/>
      </c>
      <c r="Q1302" s="1" t="e">
        <f>Table1[[#This Row],[High Tol]]-Table1[[#This Row],[Low Tol]]</f>
        <v>#VALUE!</v>
      </c>
      <c r="R1302" s="1">
        <f>2*Table1[[#This Row],[Std Error]]</f>
        <v>0</v>
      </c>
      <c r="S1302" s="1" t="str">
        <f>IF(Table1[[#This Row],[High Tol]]="","N/A",IFERROR(ABS(Table1[[#This Row],[Tol Span]]/Table1[[#This Row],[Error Span]]),"N/A"))</f>
        <v>N/A</v>
      </c>
      <c r="T1302" s="1" t="str">
        <f>IF(OR(Table1[[#This Row],[Low Tol]]="",Table1[[#This Row],[High Tol]]=""),"Needs Analysis",IF(Table1[[#This Row],[Ratio]]&gt;=4,"Not Significant",IF(Table1[[#This Row],[Ratio]]&gt;=2,"Semi-Significant","Significant")))</f>
        <v>Needs Analysis</v>
      </c>
      <c r="W1302" s="1">
        <f>IF(Table1[[#This Row],[Cal Type]]&lt;&gt;"ACCREDITED 17025 WITH UNCERTAINTIES",0,"")</f>
        <v>0</v>
      </c>
      <c r="X1302" s="1" t="str">
        <f>IF(Table1[[#This Row],[DUT Read]]="","N/A",Table1[[#This Row],[Std Error]]+Table1[[#This Row],[DUT Read]]+Table1[[#This Row],[DUT Ucty]])</f>
        <v>N/A</v>
      </c>
      <c r="Y1302" s="1" t="str">
        <f>IF(Table1[[#This Row],[Std Read]]="","N/A",Table1[[#This Row],[Std Read]]+Table1[[#This Row],[Std Ucty]])</f>
        <v>N/A</v>
      </c>
      <c r="Z13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2" s="1" t="str">
        <f>IF(Table1[[#This Row],[Spec Type]]="","N/A",Table1[[#This Row],[Spec Type]])</f>
        <v>±</v>
      </c>
      <c r="AC1302" s="1" t="str">
        <f>IF(Table1[[#This Row],[Spec Type2]]="N/A","N/A",IF(AND(Table1[[#This Row],[DUT Adj Read]]&gt;=Table1[[#This Row],[Low Tol]],Table1[[#This Row],[DUT Adj Read]]&lt;=Table1[[#This Row],[High Tol]]),"Pass","Fail"))</f>
        <v>Fail</v>
      </c>
      <c r="AD1302" s="1" t="str">
        <f>IF(AND(Table1[[#This Row],[Spec Type2]]="N/A",Table1[[#This Row],[DUT Adj Read]]="N/A",Table1[[#This Row],[Std Adj Read]]="N/A"),"N/A",IF(Table1[[#This Row],[DUT Adj Read]]="N/A",IF(Table1[[#This Row],[Std Adj Read]]&gt;Table1[[#This Row],[Low Tol]],"Pass","Fail"),IF(Table1[[#This Row],[DUT Adj Read]]&gt;Table1[[#This Row],[Low Tol]],"Pass","Fail")))</f>
        <v>Pass</v>
      </c>
      <c r="AE1302" s="1" t="str">
        <f>IF(AND(Table1[[#This Row],[Spec Type2]]="N/A",Table1[[#This Row],[DUT Adj Read]]="N/A",Table1[[#This Row],[Std Adj Read]]="N/A"),"N/A",IF(Table1[[#This Row],[DUT Adj Read]]="N/A",IF(Table1[[#This Row],[Std Adj Read]]&lt;Table1[[#This Row],[High Tol]],"Pass","Fail"),IF(Table1[[#This Row],[DUT Adj Read]]&lt;Table1[[#This Row],[High Tol]],"Pass","Fail")))</f>
        <v>Fail</v>
      </c>
      <c r="AF1302" s="1" t="str">
        <f>IF(AND(Table1[[#This Row],[Spec Type2]]="N/A",Table1[[#This Row],[DUT Adj Read]]="N/A",Table1[[#This Row],[Std Adj Read]]="N/A"),"N/A",IF(Table1[[#This Row],[DUT Adj Read]]="N/A",IF(Table1[[#This Row],[Std Adj Read]]&gt;=Table1[[#This Row],[Low Tol]],"Pass","Fail"),IF(Table1[[#This Row],[DUT Adj Read]]&gt;=Table1[[#This Row],[Low Tol]],"Pass","Fail")))</f>
        <v>Pass</v>
      </c>
      <c r="AG1302" s="1" t="str">
        <f>IF(AND(Table1[[#This Row],[Spec Type2]]="N/A",Table1[[#This Row],[DUT Adj Read]]="N/A",Table1[[#This Row],[Std Adj Read]]="N/A"),"N/A",IF(Table1[[#This Row],[DUT Adj Read]]="N/A",IF(Table1[[#This Row],[Std Adj Read]]&lt;=Table1[[#This Row],[High Tol]],"Pass","Fail"),IF(Table1[[#This Row],[DUT Adj Read]]&lt;=Table1[[#This Row],[High Tol]],"Pass","Fail")))</f>
        <v>Fail</v>
      </c>
      <c r="AH13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2" s="1" t="b">
        <v>0</v>
      </c>
      <c r="AN1302" s="1" t="b">
        <v>0</v>
      </c>
      <c r="AO1302" s="1" t="b">
        <v>0</v>
      </c>
    </row>
    <row r="1303" spans="1:41" x14ac:dyDescent="0.25">
      <c r="A1303" s="10"/>
      <c r="B1303" s="10"/>
      <c r="C1303" s="10"/>
      <c r="D1303" s="10"/>
      <c r="E1303" s="10"/>
      <c r="F1303" s="10"/>
      <c r="G1303" s="10"/>
      <c r="H1303" s="10"/>
      <c r="I1303" s="1" t="str">
        <f t="shared" si="60"/>
        <v/>
      </c>
      <c r="J1303" s="1" t="s">
        <v>35</v>
      </c>
      <c r="K1303" s="1" t="str">
        <f t="shared" si="61"/>
        <v/>
      </c>
      <c r="L1303" s="1" t="str">
        <f t="shared" si="62"/>
        <v/>
      </c>
      <c r="M1303" s="1">
        <f>IF(OR(Table1[[#This Row],[Std Nom]]="",Table1[[#This Row],[Std Read]]=""),0,Table1[[#This Row],[Std Nom]]-Table1[[#This Row],[Std Read]])</f>
        <v>0</v>
      </c>
      <c r="N1303" s="1">
        <f>IF(Calculations!$F$5="ACCREDITED 17025 WITH UNCERTAINTIES",$N$10,0)</f>
        <v>0</v>
      </c>
      <c r="O1303" s="1" t="str">
        <f>IFERROR(Table1[[#This Row],[Std Nom]]-(_xlfn.XLOOKUP(Table1[[#This Row],[Manufacturer]]&amp;" "&amp;Table1[[#This Row],[Model]],Table13[MFR &amp; MDL],Table13[Tolerance % CW ],"")/100*Table1[[#This Row],[Std Nom]]),"")</f>
        <v/>
      </c>
      <c r="P1303" s="1" t="str">
        <f>IFERROR(Table1[[#This Row],[Std Nom]]+(_xlfn.XLOOKUP(Table1[[#This Row],[Manufacturer]]&amp;" "&amp;Table1[[#This Row],[Model]],Table13[MFR &amp; MDL],Table13[Tolerance % CW ],"")/100*Table1[[#This Row],[Std Nom]]),"")</f>
        <v/>
      </c>
      <c r="Q1303" s="1" t="e">
        <f>Table1[[#This Row],[High Tol]]-Table1[[#This Row],[Low Tol]]</f>
        <v>#VALUE!</v>
      </c>
      <c r="R1303" s="1">
        <f>2*Table1[[#This Row],[Std Error]]</f>
        <v>0</v>
      </c>
      <c r="S1303" s="1" t="str">
        <f>IF(Table1[[#This Row],[High Tol]]="","N/A",IFERROR(ABS(Table1[[#This Row],[Tol Span]]/Table1[[#This Row],[Error Span]]),"N/A"))</f>
        <v>N/A</v>
      </c>
      <c r="T1303" s="1" t="str">
        <f>IF(OR(Table1[[#This Row],[Low Tol]]="",Table1[[#This Row],[High Tol]]=""),"Needs Analysis",IF(Table1[[#This Row],[Ratio]]&gt;=4,"Not Significant",IF(Table1[[#This Row],[Ratio]]&gt;=2,"Semi-Significant","Significant")))</f>
        <v>Needs Analysis</v>
      </c>
      <c r="W1303" s="1">
        <f>IF(Table1[[#This Row],[Cal Type]]&lt;&gt;"ACCREDITED 17025 WITH UNCERTAINTIES",0,"")</f>
        <v>0</v>
      </c>
      <c r="X1303" s="1" t="str">
        <f>IF(Table1[[#This Row],[DUT Read]]="","N/A",Table1[[#This Row],[Std Error]]+Table1[[#This Row],[DUT Read]]+Table1[[#This Row],[DUT Ucty]])</f>
        <v>N/A</v>
      </c>
      <c r="Y1303" s="1" t="str">
        <f>IF(Table1[[#This Row],[Std Read]]="","N/A",Table1[[#This Row],[Std Read]]+Table1[[#This Row],[Std Ucty]])</f>
        <v>N/A</v>
      </c>
      <c r="Z13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3" s="1" t="str">
        <f>IF(Table1[[#This Row],[Spec Type]]="","N/A",Table1[[#This Row],[Spec Type]])</f>
        <v>±</v>
      </c>
      <c r="AC1303" s="1" t="str">
        <f>IF(Table1[[#This Row],[Spec Type2]]="N/A","N/A",IF(AND(Table1[[#This Row],[DUT Adj Read]]&gt;=Table1[[#This Row],[Low Tol]],Table1[[#This Row],[DUT Adj Read]]&lt;=Table1[[#This Row],[High Tol]]),"Pass","Fail"))</f>
        <v>Fail</v>
      </c>
      <c r="AD1303" s="1" t="str">
        <f>IF(AND(Table1[[#This Row],[Spec Type2]]="N/A",Table1[[#This Row],[DUT Adj Read]]="N/A",Table1[[#This Row],[Std Adj Read]]="N/A"),"N/A",IF(Table1[[#This Row],[DUT Adj Read]]="N/A",IF(Table1[[#This Row],[Std Adj Read]]&gt;Table1[[#This Row],[Low Tol]],"Pass","Fail"),IF(Table1[[#This Row],[DUT Adj Read]]&gt;Table1[[#This Row],[Low Tol]],"Pass","Fail")))</f>
        <v>Pass</v>
      </c>
      <c r="AE1303" s="1" t="str">
        <f>IF(AND(Table1[[#This Row],[Spec Type2]]="N/A",Table1[[#This Row],[DUT Adj Read]]="N/A",Table1[[#This Row],[Std Adj Read]]="N/A"),"N/A",IF(Table1[[#This Row],[DUT Adj Read]]="N/A",IF(Table1[[#This Row],[Std Adj Read]]&lt;Table1[[#This Row],[High Tol]],"Pass","Fail"),IF(Table1[[#This Row],[DUT Adj Read]]&lt;Table1[[#This Row],[High Tol]],"Pass","Fail")))</f>
        <v>Fail</v>
      </c>
      <c r="AF1303" s="1" t="str">
        <f>IF(AND(Table1[[#This Row],[Spec Type2]]="N/A",Table1[[#This Row],[DUT Adj Read]]="N/A",Table1[[#This Row],[Std Adj Read]]="N/A"),"N/A",IF(Table1[[#This Row],[DUT Adj Read]]="N/A",IF(Table1[[#This Row],[Std Adj Read]]&gt;=Table1[[#This Row],[Low Tol]],"Pass","Fail"),IF(Table1[[#This Row],[DUT Adj Read]]&gt;=Table1[[#This Row],[Low Tol]],"Pass","Fail")))</f>
        <v>Pass</v>
      </c>
      <c r="AG1303" s="1" t="str">
        <f>IF(AND(Table1[[#This Row],[Spec Type2]]="N/A",Table1[[#This Row],[DUT Adj Read]]="N/A",Table1[[#This Row],[Std Adj Read]]="N/A"),"N/A",IF(Table1[[#This Row],[DUT Adj Read]]="N/A",IF(Table1[[#This Row],[Std Adj Read]]&lt;=Table1[[#This Row],[High Tol]],"Pass","Fail"),IF(Table1[[#This Row],[DUT Adj Read]]&lt;=Table1[[#This Row],[High Tol]],"Pass","Fail")))</f>
        <v>Fail</v>
      </c>
      <c r="AH13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3" s="1" t="b">
        <v>0</v>
      </c>
      <c r="AN1303" s="1" t="b">
        <v>0</v>
      </c>
      <c r="AO1303" s="1" t="b">
        <v>0</v>
      </c>
    </row>
    <row r="1304" spans="1:41" x14ac:dyDescent="0.25">
      <c r="A1304" s="10"/>
      <c r="B1304" s="10"/>
      <c r="C1304" s="10"/>
      <c r="D1304" s="10"/>
      <c r="E1304" s="10"/>
      <c r="F1304" s="10"/>
      <c r="G1304" s="10"/>
      <c r="H1304" s="10"/>
      <c r="I1304" s="1" t="str">
        <f t="shared" si="60"/>
        <v/>
      </c>
      <c r="J1304" s="1" t="s">
        <v>35</v>
      </c>
      <c r="K1304" s="1" t="str">
        <f t="shared" si="61"/>
        <v/>
      </c>
      <c r="L1304" s="1" t="str">
        <f t="shared" si="62"/>
        <v/>
      </c>
      <c r="M1304" s="1">
        <f>IF(OR(Table1[[#This Row],[Std Nom]]="",Table1[[#This Row],[Std Read]]=""),0,Table1[[#This Row],[Std Nom]]-Table1[[#This Row],[Std Read]])</f>
        <v>0</v>
      </c>
      <c r="N1304" s="1">
        <f>IF(Calculations!$F$5="ACCREDITED 17025 WITH UNCERTAINTIES",$N$10,0)</f>
        <v>0</v>
      </c>
      <c r="O1304" s="1" t="str">
        <f>IFERROR(Table1[[#This Row],[Std Nom]]-(_xlfn.XLOOKUP(Table1[[#This Row],[Manufacturer]]&amp;" "&amp;Table1[[#This Row],[Model]],Table13[MFR &amp; MDL],Table13[Tolerance % CW ],"")/100*Table1[[#This Row],[Std Nom]]),"")</f>
        <v/>
      </c>
      <c r="P1304" s="1" t="str">
        <f>IFERROR(Table1[[#This Row],[Std Nom]]+(_xlfn.XLOOKUP(Table1[[#This Row],[Manufacturer]]&amp;" "&amp;Table1[[#This Row],[Model]],Table13[MFR &amp; MDL],Table13[Tolerance % CW ],"")/100*Table1[[#This Row],[Std Nom]]),"")</f>
        <v/>
      </c>
      <c r="Q1304" s="1" t="e">
        <f>Table1[[#This Row],[High Tol]]-Table1[[#This Row],[Low Tol]]</f>
        <v>#VALUE!</v>
      </c>
      <c r="R1304" s="1">
        <f>2*Table1[[#This Row],[Std Error]]</f>
        <v>0</v>
      </c>
      <c r="S1304" s="1" t="str">
        <f>IF(Table1[[#This Row],[High Tol]]="","N/A",IFERROR(ABS(Table1[[#This Row],[Tol Span]]/Table1[[#This Row],[Error Span]]),"N/A"))</f>
        <v>N/A</v>
      </c>
      <c r="T1304" s="1" t="str">
        <f>IF(OR(Table1[[#This Row],[Low Tol]]="",Table1[[#This Row],[High Tol]]=""),"Needs Analysis",IF(Table1[[#This Row],[Ratio]]&gt;=4,"Not Significant",IF(Table1[[#This Row],[Ratio]]&gt;=2,"Semi-Significant","Significant")))</f>
        <v>Needs Analysis</v>
      </c>
      <c r="W1304" s="1">
        <f>IF(Table1[[#This Row],[Cal Type]]&lt;&gt;"ACCREDITED 17025 WITH UNCERTAINTIES",0,"")</f>
        <v>0</v>
      </c>
      <c r="X1304" s="1" t="str">
        <f>IF(Table1[[#This Row],[DUT Read]]="","N/A",Table1[[#This Row],[Std Error]]+Table1[[#This Row],[DUT Read]]+Table1[[#This Row],[DUT Ucty]])</f>
        <v>N/A</v>
      </c>
      <c r="Y1304" s="1" t="str">
        <f>IF(Table1[[#This Row],[Std Read]]="","N/A",Table1[[#This Row],[Std Read]]+Table1[[#This Row],[Std Ucty]])</f>
        <v>N/A</v>
      </c>
      <c r="Z13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4" s="1" t="str">
        <f>IF(Table1[[#This Row],[Spec Type]]="","N/A",Table1[[#This Row],[Spec Type]])</f>
        <v>±</v>
      </c>
      <c r="AC1304" s="1" t="str">
        <f>IF(Table1[[#This Row],[Spec Type2]]="N/A","N/A",IF(AND(Table1[[#This Row],[DUT Adj Read]]&gt;=Table1[[#This Row],[Low Tol]],Table1[[#This Row],[DUT Adj Read]]&lt;=Table1[[#This Row],[High Tol]]),"Pass","Fail"))</f>
        <v>Fail</v>
      </c>
      <c r="AD1304" s="1" t="str">
        <f>IF(AND(Table1[[#This Row],[Spec Type2]]="N/A",Table1[[#This Row],[DUT Adj Read]]="N/A",Table1[[#This Row],[Std Adj Read]]="N/A"),"N/A",IF(Table1[[#This Row],[DUT Adj Read]]="N/A",IF(Table1[[#This Row],[Std Adj Read]]&gt;Table1[[#This Row],[Low Tol]],"Pass","Fail"),IF(Table1[[#This Row],[DUT Adj Read]]&gt;Table1[[#This Row],[Low Tol]],"Pass","Fail")))</f>
        <v>Pass</v>
      </c>
      <c r="AE1304" s="1" t="str">
        <f>IF(AND(Table1[[#This Row],[Spec Type2]]="N/A",Table1[[#This Row],[DUT Adj Read]]="N/A",Table1[[#This Row],[Std Adj Read]]="N/A"),"N/A",IF(Table1[[#This Row],[DUT Adj Read]]="N/A",IF(Table1[[#This Row],[Std Adj Read]]&lt;Table1[[#This Row],[High Tol]],"Pass","Fail"),IF(Table1[[#This Row],[DUT Adj Read]]&lt;Table1[[#This Row],[High Tol]],"Pass","Fail")))</f>
        <v>Fail</v>
      </c>
      <c r="AF1304" s="1" t="str">
        <f>IF(AND(Table1[[#This Row],[Spec Type2]]="N/A",Table1[[#This Row],[DUT Adj Read]]="N/A",Table1[[#This Row],[Std Adj Read]]="N/A"),"N/A",IF(Table1[[#This Row],[DUT Adj Read]]="N/A",IF(Table1[[#This Row],[Std Adj Read]]&gt;=Table1[[#This Row],[Low Tol]],"Pass","Fail"),IF(Table1[[#This Row],[DUT Adj Read]]&gt;=Table1[[#This Row],[Low Tol]],"Pass","Fail")))</f>
        <v>Pass</v>
      </c>
      <c r="AG1304" s="1" t="str">
        <f>IF(AND(Table1[[#This Row],[Spec Type2]]="N/A",Table1[[#This Row],[DUT Adj Read]]="N/A",Table1[[#This Row],[Std Adj Read]]="N/A"),"N/A",IF(Table1[[#This Row],[DUT Adj Read]]="N/A",IF(Table1[[#This Row],[Std Adj Read]]&lt;=Table1[[#This Row],[High Tol]],"Pass","Fail"),IF(Table1[[#This Row],[DUT Adj Read]]&lt;=Table1[[#This Row],[High Tol]],"Pass","Fail")))</f>
        <v>Fail</v>
      </c>
      <c r="AH13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4" s="1" t="b">
        <v>0</v>
      </c>
      <c r="AN1304" s="1" t="b">
        <v>0</v>
      </c>
      <c r="AO1304" s="1" t="b">
        <v>0</v>
      </c>
    </row>
    <row r="1305" spans="1:41" x14ac:dyDescent="0.25">
      <c r="A1305" s="10"/>
      <c r="B1305" s="10"/>
      <c r="C1305" s="10"/>
      <c r="D1305" s="10"/>
      <c r="E1305" s="10"/>
      <c r="F1305" s="10"/>
      <c r="G1305" s="10"/>
      <c r="H1305" s="10"/>
      <c r="I1305" s="1" t="str">
        <f t="shared" si="60"/>
        <v/>
      </c>
      <c r="J1305" s="1" t="s">
        <v>35</v>
      </c>
      <c r="K1305" s="1" t="str">
        <f t="shared" si="61"/>
        <v/>
      </c>
      <c r="L1305" s="1" t="str">
        <f t="shared" si="62"/>
        <v/>
      </c>
      <c r="M1305" s="1">
        <f>IF(OR(Table1[[#This Row],[Std Nom]]="",Table1[[#This Row],[Std Read]]=""),0,Table1[[#This Row],[Std Nom]]-Table1[[#This Row],[Std Read]])</f>
        <v>0</v>
      </c>
      <c r="N1305" s="1">
        <f>IF(Calculations!$F$5="ACCREDITED 17025 WITH UNCERTAINTIES",$N$10,0)</f>
        <v>0</v>
      </c>
      <c r="O1305" s="1" t="str">
        <f>IFERROR(Table1[[#This Row],[Std Nom]]-(_xlfn.XLOOKUP(Table1[[#This Row],[Manufacturer]]&amp;" "&amp;Table1[[#This Row],[Model]],Table13[MFR &amp; MDL],Table13[Tolerance % CW ],"")/100*Table1[[#This Row],[Std Nom]]),"")</f>
        <v/>
      </c>
      <c r="P1305" s="1" t="str">
        <f>IFERROR(Table1[[#This Row],[Std Nom]]+(_xlfn.XLOOKUP(Table1[[#This Row],[Manufacturer]]&amp;" "&amp;Table1[[#This Row],[Model]],Table13[MFR &amp; MDL],Table13[Tolerance % CW ],"")/100*Table1[[#This Row],[Std Nom]]),"")</f>
        <v/>
      </c>
      <c r="Q1305" s="1" t="e">
        <f>Table1[[#This Row],[High Tol]]-Table1[[#This Row],[Low Tol]]</f>
        <v>#VALUE!</v>
      </c>
      <c r="R1305" s="1">
        <f>2*Table1[[#This Row],[Std Error]]</f>
        <v>0</v>
      </c>
      <c r="S1305" s="1" t="str">
        <f>IF(Table1[[#This Row],[High Tol]]="","N/A",IFERROR(ABS(Table1[[#This Row],[Tol Span]]/Table1[[#This Row],[Error Span]]),"N/A"))</f>
        <v>N/A</v>
      </c>
      <c r="T1305" s="1" t="str">
        <f>IF(OR(Table1[[#This Row],[Low Tol]]="",Table1[[#This Row],[High Tol]]=""),"Needs Analysis",IF(Table1[[#This Row],[Ratio]]&gt;=4,"Not Significant",IF(Table1[[#This Row],[Ratio]]&gt;=2,"Semi-Significant","Significant")))</f>
        <v>Needs Analysis</v>
      </c>
      <c r="W1305" s="1">
        <f>IF(Table1[[#This Row],[Cal Type]]&lt;&gt;"ACCREDITED 17025 WITH UNCERTAINTIES",0,"")</f>
        <v>0</v>
      </c>
      <c r="X1305" s="1" t="str">
        <f>IF(Table1[[#This Row],[DUT Read]]="","N/A",Table1[[#This Row],[Std Error]]+Table1[[#This Row],[DUT Read]]+Table1[[#This Row],[DUT Ucty]])</f>
        <v>N/A</v>
      </c>
      <c r="Y1305" s="1" t="str">
        <f>IF(Table1[[#This Row],[Std Read]]="","N/A",Table1[[#This Row],[Std Read]]+Table1[[#This Row],[Std Ucty]])</f>
        <v>N/A</v>
      </c>
      <c r="Z13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5" s="1" t="str">
        <f>IF(Table1[[#This Row],[Spec Type]]="","N/A",Table1[[#This Row],[Spec Type]])</f>
        <v>±</v>
      </c>
      <c r="AC1305" s="1" t="str">
        <f>IF(Table1[[#This Row],[Spec Type2]]="N/A","N/A",IF(AND(Table1[[#This Row],[DUT Adj Read]]&gt;=Table1[[#This Row],[Low Tol]],Table1[[#This Row],[DUT Adj Read]]&lt;=Table1[[#This Row],[High Tol]]),"Pass","Fail"))</f>
        <v>Fail</v>
      </c>
      <c r="AD1305" s="1" t="str">
        <f>IF(AND(Table1[[#This Row],[Spec Type2]]="N/A",Table1[[#This Row],[DUT Adj Read]]="N/A",Table1[[#This Row],[Std Adj Read]]="N/A"),"N/A",IF(Table1[[#This Row],[DUT Adj Read]]="N/A",IF(Table1[[#This Row],[Std Adj Read]]&gt;Table1[[#This Row],[Low Tol]],"Pass","Fail"),IF(Table1[[#This Row],[DUT Adj Read]]&gt;Table1[[#This Row],[Low Tol]],"Pass","Fail")))</f>
        <v>Pass</v>
      </c>
      <c r="AE1305" s="1" t="str">
        <f>IF(AND(Table1[[#This Row],[Spec Type2]]="N/A",Table1[[#This Row],[DUT Adj Read]]="N/A",Table1[[#This Row],[Std Adj Read]]="N/A"),"N/A",IF(Table1[[#This Row],[DUT Adj Read]]="N/A",IF(Table1[[#This Row],[Std Adj Read]]&lt;Table1[[#This Row],[High Tol]],"Pass","Fail"),IF(Table1[[#This Row],[DUT Adj Read]]&lt;Table1[[#This Row],[High Tol]],"Pass","Fail")))</f>
        <v>Fail</v>
      </c>
      <c r="AF1305" s="1" t="str">
        <f>IF(AND(Table1[[#This Row],[Spec Type2]]="N/A",Table1[[#This Row],[DUT Adj Read]]="N/A",Table1[[#This Row],[Std Adj Read]]="N/A"),"N/A",IF(Table1[[#This Row],[DUT Adj Read]]="N/A",IF(Table1[[#This Row],[Std Adj Read]]&gt;=Table1[[#This Row],[Low Tol]],"Pass","Fail"),IF(Table1[[#This Row],[DUT Adj Read]]&gt;=Table1[[#This Row],[Low Tol]],"Pass","Fail")))</f>
        <v>Pass</v>
      </c>
      <c r="AG1305" s="1" t="str">
        <f>IF(AND(Table1[[#This Row],[Spec Type2]]="N/A",Table1[[#This Row],[DUT Adj Read]]="N/A",Table1[[#This Row],[Std Adj Read]]="N/A"),"N/A",IF(Table1[[#This Row],[DUT Adj Read]]="N/A",IF(Table1[[#This Row],[Std Adj Read]]&lt;=Table1[[#This Row],[High Tol]],"Pass","Fail"),IF(Table1[[#This Row],[DUT Adj Read]]&lt;=Table1[[#This Row],[High Tol]],"Pass","Fail")))</f>
        <v>Fail</v>
      </c>
      <c r="AH13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5" s="1" t="b">
        <v>0</v>
      </c>
      <c r="AN1305" s="1" t="b">
        <v>0</v>
      </c>
      <c r="AO1305" s="1" t="b">
        <v>0</v>
      </c>
    </row>
    <row r="1306" spans="1:41" x14ac:dyDescent="0.25">
      <c r="A1306" s="10"/>
      <c r="B1306" s="10"/>
      <c r="C1306" s="10"/>
      <c r="D1306" s="10"/>
      <c r="E1306" s="10"/>
      <c r="F1306" s="10"/>
      <c r="G1306" s="10"/>
      <c r="H1306" s="10"/>
      <c r="I1306" s="1" t="str">
        <f t="shared" si="60"/>
        <v/>
      </c>
      <c r="J1306" s="1" t="s">
        <v>35</v>
      </c>
      <c r="K1306" s="1" t="str">
        <f t="shared" si="61"/>
        <v/>
      </c>
      <c r="L1306" s="1" t="str">
        <f t="shared" si="62"/>
        <v/>
      </c>
      <c r="M1306" s="1">
        <f>IF(OR(Table1[[#This Row],[Std Nom]]="",Table1[[#This Row],[Std Read]]=""),0,Table1[[#This Row],[Std Nom]]-Table1[[#This Row],[Std Read]])</f>
        <v>0</v>
      </c>
      <c r="N1306" s="1">
        <f>IF(Calculations!$F$5="ACCREDITED 17025 WITH UNCERTAINTIES",$N$10,0)</f>
        <v>0</v>
      </c>
      <c r="O1306" s="1" t="str">
        <f>IFERROR(Table1[[#This Row],[Std Nom]]-(_xlfn.XLOOKUP(Table1[[#This Row],[Manufacturer]]&amp;" "&amp;Table1[[#This Row],[Model]],Table13[MFR &amp; MDL],Table13[Tolerance % CW ],"")/100*Table1[[#This Row],[Std Nom]]),"")</f>
        <v/>
      </c>
      <c r="P1306" s="1" t="str">
        <f>IFERROR(Table1[[#This Row],[Std Nom]]+(_xlfn.XLOOKUP(Table1[[#This Row],[Manufacturer]]&amp;" "&amp;Table1[[#This Row],[Model]],Table13[MFR &amp; MDL],Table13[Tolerance % CW ],"")/100*Table1[[#This Row],[Std Nom]]),"")</f>
        <v/>
      </c>
      <c r="Q1306" s="1" t="e">
        <f>Table1[[#This Row],[High Tol]]-Table1[[#This Row],[Low Tol]]</f>
        <v>#VALUE!</v>
      </c>
      <c r="R1306" s="1">
        <f>2*Table1[[#This Row],[Std Error]]</f>
        <v>0</v>
      </c>
      <c r="S1306" s="1" t="str">
        <f>IF(Table1[[#This Row],[High Tol]]="","N/A",IFERROR(ABS(Table1[[#This Row],[Tol Span]]/Table1[[#This Row],[Error Span]]),"N/A"))</f>
        <v>N/A</v>
      </c>
      <c r="T1306" s="1" t="str">
        <f>IF(OR(Table1[[#This Row],[Low Tol]]="",Table1[[#This Row],[High Tol]]=""),"Needs Analysis",IF(Table1[[#This Row],[Ratio]]&gt;=4,"Not Significant",IF(Table1[[#This Row],[Ratio]]&gt;=2,"Semi-Significant","Significant")))</f>
        <v>Needs Analysis</v>
      </c>
      <c r="W1306" s="1">
        <f>IF(Table1[[#This Row],[Cal Type]]&lt;&gt;"ACCREDITED 17025 WITH UNCERTAINTIES",0,"")</f>
        <v>0</v>
      </c>
      <c r="X1306" s="1" t="str">
        <f>IF(Table1[[#This Row],[DUT Read]]="","N/A",Table1[[#This Row],[Std Error]]+Table1[[#This Row],[DUT Read]]+Table1[[#This Row],[DUT Ucty]])</f>
        <v>N/A</v>
      </c>
      <c r="Y1306" s="1" t="str">
        <f>IF(Table1[[#This Row],[Std Read]]="","N/A",Table1[[#This Row],[Std Read]]+Table1[[#This Row],[Std Ucty]])</f>
        <v>N/A</v>
      </c>
      <c r="Z13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6" s="1" t="str">
        <f>IF(Table1[[#This Row],[Spec Type]]="","N/A",Table1[[#This Row],[Spec Type]])</f>
        <v>±</v>
      </c>
      <c r="AC1306" s="1" t="str">
        <f>IF(Table1[[#This Row],[Spec Type2]]="N/A","N/A",IF(AND(Table1[[#This Row],[DUT Adj Read]]&gt;=Table1[[#This Row],[Low Tol]],Table1[[#This Row],[DUT Adj Read]]&lt;=Table1[[#This Row],[High Tol]]),"Pass","Fail"))</f>
        <v>Fail</v>
      </c>
      <c r="AD1306" s="1" t="str">
        <f>IF(AND(Table1[[#This Row],[Spec Type2]]="N/A",Table1[[#This Row],[DUT Adj Read]]="N/A",Table1[[#This Row],[Std Adj Read]]="N/A"),"N/A",IF(Table1[[#This Row],[DUT Adj Read]]="N/A",IF(Table1[[#This Row],[Std Adj Read]]&gt;Table1[[#This Row],[Low Tol]],"Pass","Fail"),IF(Table1[[#This Row],[DUT Adj Read]]&gt;Table1[[#This Row],[Low Tol]],"Pass","Fail")))</f>
        <v>Pass</v>
      </c>
      <c r="AE1306" s="1" t="str">
        <f>IF(AND(Table1[[#This Row],[Spec Type2]]="N/A",Table1[[#This Row],[DUT Adj Read]]="N/A",Table1[[#This Row],[Std Adj Read]]="N/A"),"N/A",IF(Table1[[#This Row],[DUT Adj Read]]="N/A",IF(Table1[[#This Row],[Std Adj Read]]&lt;Table1[[#This Row],[High Tol]],"Pass","Fail"),IF(Table1[[#This Row],[DUT Adj Read]]&lt;Table1[[#This Row],[High Tol]],"Pass","Fail")))</f>
        <v>Fail</v>
      </c>
      <c r="AF1306" s="1" t="str">
        <f>IF(AND(Table1[[#This Row],[Spec Type2]]="N/A",Table1[[#This Row],[DUT Adj Read]]="N/A",Table1[[#This Row],[Std Adj Read]]="N/A"),"N/A",IF(Table1[[#This Row],[DUT Adj Read]]="N/A",IF(Table1[[#This Row],[Std Adj Read]]&gt;=Table1[[#This Row],[Low Tol]],"Pass","Fail"),IF(Table1[[#This Row],[DUT Adj Read]]&gt;=Table1[[#This Row],[Low Tol]],"Pass","Fail")))</f>
        <v>Pass</v>
      </c>
      <c r="AG1306" s="1" t="str">
        <f>IF(AND(Table1[[#This Row],[Spec Type2]]="N/A",Table1[[#This Row],[DUT Adj Read]]="N/A",Table1[[#This Row],[Std Adj Read]]="N/A"),"N/A",IF(Table1[[#This Row],[DUT Adj Read]]="N/A",IF(Table1[[#This Row],[Std Adj Read]]&lt;=Table1[[#This Row],[High Tol]],"Pass","Fail"),IF(Table1[[#This Row],[DUT Adj Read]]&lt;=Table1[[#This Row],[High Tol]],"Pass","Fail")))</f>
        <v>Fail</v>
      </c>
      <c r="AH13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6" s="1" t="b">
        <v>0</v>
      </c>
      <c r="AN1306" s="1" t="b">
        <v>0</v>
      </c>
      <c r="AO1306" s="1" t="b">
        <v>0</v>
      </c>
    </row>
    <row r="1307" spans="1:41" x14ac:dyDescent="0.25">
      <c r="A1307" s="10"/>
      <c r="B1307" s="10"/>
      <c r="C1307" s="10"/>
      <c r="D1307" s="10"/>
      <c r="E1307" s="10"/>
      <c r="F1307" s="10"/>
      <c r="G1307" s="10"/>
      <c r="H1307" s="10"/>
      <c r="I1307" s="1" t="str">
        <f t="shared" si="60"/>
        <v/>
      </c>
      <c r="J1307" s="1" t="s">
        <v>35</v>
      </c>
      <c r="K1307" s="1" t="str">
        <f t="shared" si="61"/>
        <v/>
      </c>
      <c r="L1307" s="1" t="str">
        <f t="shared" si="62"/>
        <v/>
      </c>
      <c r="M1307" s="1">
        <f>IF(OR(Table1[[#This Row],[Std Nom]]="",Table1[[#This Row],[Std Read]]=""),0,Table1[[#This Row],[Std Nom]]-Table1[[#This Row],[Std Read]])</f>
        <v>0</v>
      </c>
      <c r="N1307" s="1">
        <f>IF(Calculations!$F$5="ACCREDITED 17025 WITH UNCERTAINTIES",$N$10,0)</f>
        <v>0</v>
      </c>
      <c r="O1307" s="1" t="str">
        <f>IFERROR(Table1[[#This Row],[Std Nom]]-(_xlfn.XLOOKUP(Table1[[#This Row],[Manufacturer]]&amp;" "&amp;Table1[[#This Row],[Model]],Table13[MFR &amp; MDL],Table13[Tolerance % CW ],"")/100*Table1[[#This Row],[Std Nom]]),"")</f>
        <v/>
      </c>
      <c r="P1307" s="1" t="str">
        <f>IFERROR(Table1[[#This Row],[Std Nom]]+(_xlfn.XLOOKUP(Table1[[#This Row],[Manufacturer]]&amp;" "&amp;Table1[[#This Row],[Model]],Table13[MFR &amp; MDL],Table13[Tolerance % CW ],"")/100*Table1[[#This Row],[Std Nom]]),"")</f>
        <v/>
      </c>
      <c r="Q1307" s="1" t="e">
        <f>Table1[[#This Row],[High Tol]]-Table1[[#This Row],[Low Tol]]</f>
        <v>#VALUE!</v>
      </c>
      <c r="R1307" s="1">
        <f>2*Table1[[#This Row],[Std Error]]</f>
        <v>0</v>
      </c>
      <c r="S1307" s="1" t="str">
        <f>IF(Table1[[#This Row],[High Tol]]="","N/A",IFERROR(ABS(Table1[[#This Row],[Tol Span]]/Table1[[#This Row],[Error Span]]),"N/A"))</f>
        <v>N/A</v>
      </c>
      <c r="T1307" s="1" t="str">
        <f>IF(OR(Table1[[#This Row],[Low Tol]]="",Table1[[#This Row],[High Tol]]=""),"Needs Analysis",IF(Table1[[#This Row],[Ratio]]&gt;=4,"Not Significant",IF(Table1[[#This Row],[Ratio]]&gt;=2,"Semi-Significant","Significant")))</f>
        <v>Needs Analysis</v>
      </c>
      <c r="W1307" s="1">
        <f>IF(Table1[[#This Row],[Cal Type]]&lt;&gt;"ACCREDITED 17025 WITH UNCERTAINTIES",0,"")</f>
        <v>0</v>
      </c>
      <c r="X1307" s="1" t="str">
        <f>IF(Table1[[#This Row],[DUT Read]]="","N/A",Table1[[#This Row],[Std Error]]+Table1[[#This Row],[DUT Read]]+Table1[[#This Row],[DUT Ucty]])</f>
        <v>N/A</v>
      </c>
      <c r="Y1307" s="1" t="str">
        <f>IF(Table1[[#This Row],[Std Read]]="","N/A",Table1[[#This Row],[Std Read]]+Table1[[#This Row],[Std Ucty]])</f>
        <v>N/A</v>
      </c>
      <c r="Z13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7" s="1" t="str">
        <f>IF(Table1[[#This Row],[Spec Type]]="","N/A",Table1[[#This Row],[Spec Type]])</f>
        <v>±</v>
      </c>
      <c r="AC1307" s="1" t="str">
        <f>IF(Table1[[#This Row],[Spec Type2]]="N/A","N/A",IF(AND(Table1[[#This Row],[DUT Adj Read]]&gt;=Table1[[#This Row],[Low Tol]],Table1[[#This Row],[DUT Adj Read]]&lt;=Table1[[#This Row],[High Tol]]),"Pass","Fail"))</f>
        <v>Fail</v>
      </c>
      <c r="AD1307" s="1" t="str">
        <f>IF(AND(Table1[[#This Row],[Spec Type2]]="N/A",Table1[[#This Row],[DUT Adj Read]]="N/A",Table1[[#This Row],[Std Adj Read]]="N/A"),"N/A",IF(Table1[[#This Row],[DUT Adj Read]]="N/A",IF(Table1[[#This Row],[Std Adj Read]]&gt;Table1[[#This Row],[Low Tol]],"Pass","Fail"),IF(Table1[[#This Row],[DUT Adj Read]]&gt;Table1[[#This Row],[Low Tol]],"Pass","Fail")))</f>
        <v>Pass</v>
      </c>
      <c r="AE1307" s="1" t="str">
        <f>IF(AND(Table1[[#This Row],[Spec Type2]]="N/A",Table1[[#This Row],[DUT Adj Read]]="N/A",Table1[[#This Row],[Std Adj Read]]="N/A"),"N/A",IF(Table1[[#This Row],[DUT Adj Read]]="N/A",IF(Table1[[#This Row],[Std Adj Read]]&lt;Table1[[#This Row],[High Tol]],"Pass","Fail"),IF(Table1[[#This Row],[DUT Adj Read]]&lt;Table1[[#This Row],[High Tol]],"Pass","Fail")))</f>
        <v>Fail</v>
      </c>
      <c r="AF1307" s="1" t="str">
        <f>IF(AND(Table1[[#This Row],[Spec Type2]]="N/A",Table1[[#This Row],[DUT Adj Read]]="N/A",Table1[[#This Row],[Std Adj Read]]="N/A"),"N/A",IF(Table1[[#This Row],[DUT Adj Read]]="N/A",IF(Table1[[#This Row],[Std Adj Read]]&gt;=Table1[[#This Row],[Low Tol]],"Pass","Fail"),IF(Table1[[#This Row],[DUT Adj Read]]&gt;=Table1[[#This Row],[Low Tol]],"Pass","Fail")))</f>
        <v>Pass</v>
      </c>
      <c r="AG1307" s="1" t="str">
        <f>IF(AND(Table1[[#This Row],[Spec Type2]]="N/A",Table1[[#This Row],[DUT Adj Read]]="N/A",Table1[[#This Row],[Std Adj Read]]="N/A"),"N/A",IF(Table1[[#This Row],[DUT Adj Read]]="N/A",IF(Table1[[#This Row],[Std Adj Read]]&lt;=Table1[[#This Row],[High Tol]],"Pass","Fail"),IF(Table1[[#This Row],[DUT Adj Read]]&lt;=Table1[[#This Row],[High Tol]],"Pass","Fail")))</f>
        <v>Fail</v>
      </c>
      <c r="AH13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7" s="1" t="b">
        <v>0</v>
      </c>
      <c r="AN1307" s="1" t="b">
        <v>0</v>
      </c>
      <c r="AO1307" s="1" t="b">
        <v>0</v>
      </c>
    </row>
    <row r="1308" spans="1:41" x14ac:dyDescent="0.25">
      <c r="A1308" s="10"/>
      <c r="B1308" s="10"/>
      <c r="C1308" s="10"/>
      <c r="D1308" s="10"/>
      <c r="E1308" s="10"/>
      <c r="F1308" s="10"/>
      <c r="G1308" s="10"/>
      <c r="H1308" s="10"/>
      <c r="I1308" s="1" t="str">
        <f t="shared" si="60"/>
        <v/>
      </c>
      <c r="J1308" s="1" t="s">
        <v>35</v>
      </c>
      <c r="K1308" s="1" t="str">
        <f t="shared" si="61"/>
        <v/>
      </c>
      <c r="L1308" s="1" t="str">
        <f t="shared" si="62"/>
        <v/>
      </c>
      <c r="M1308" s="1">
        <f>IF(OR(Table1[[#This Row],[Std Nom]]="",Table1[[#This Row],[Std Read]]=""),0,Table1[[#This Row],[Std Nom]]-Table1[[#This Row],[Std Read]])</f>
        <v>0</v>
      </c>
      <c r="N1308" s="1">
        <f>IF(Calculations!$F$5="ACCREDITED 17025 WITH UNCERTAINTIES",$N$10,0)</f>
        <v>0</v>
      </c>
      <c r="O1308" s="1" t="str">
        <f>IFERROR(Table1[[#This Row],[Std Nom]]-(_xlfn.XLOOKUP(Table1[[#This Row],[Manufacturer]]&amp;" "&amp;Table1[[#This Row],[Model]],Table13[MFR &amp; MDL],Table13[Tolerance % CW ],"")/100*Table1[[#This Row],[Std Nom]]),"")</f>
        <v/>
      </c>
      <c r="P1308" s="1" t="str">
        <f>IFERROR(Table1[[#This Row],[Std Nom]]+(_xlfn.XLOOKUP(Table1[[#This Row],[Manufacturer]]&amp;" "&amp;Table1[[#This Row],[Model]],Table13[MFR &amp; MDL],Table13[Tolerance % CW ],"")/100*Table1[[#This Row],[Std Nom]]),"")</f>
        <v/>
      </c>
      <c r="Q1308" s="1" t="e">
        <f>Table1[[#This Row],[High Tol]]-Table1[[#This Row],[Low Tol]]</f>
        <v>#VALUE!</v>
      </c>
      <c r="R1308" s="1">
        <f>2*Table1[[#This Row],[Std Error]]</f>
        <v>0</v>
      </c>
      <c r="S1308" s="1" t="str">
        <f>IF(Table1[[#This Row],[High Tol]]="","N/A",IFERROR(ABS(Table1[[#This Row],[Tol Span]]/Table1[[#This Row],[Error Span]]),"N/A"))</f>
        <v>N/A</v>
      </c>
      <c r="T1308" s="1" t="str">
        <f>IF(OR(Table1[[#This Row],[Low Tol]]="",Table1[[#This Row],[High Tol]]=""),"Needs Analysis",IF(Table1[[#This Row],[Ratio]]&gt;=4,"Not Significant",IF(Table1[[#This Row],[Ratio]]&gt;=2,"Semi-Significant","Significant")))</f>
        <v>Needs Analysis</v>
      </c>
      <c r="W1308" s="1">
        <f>IF(Table1[[#This Row],[Cal Type]]&lt;&gt;"ACCREDITED 17025 WITH UNCERTAINTIES",0,"")</f>
        <v>0</v>
      </c>
      <c r="X1308" s="1" t="str">
        <f>IF(Table1[[#This Row],[DUT Read]]="","N/A",Table1[[#This Row],[Std Error]]+Table1[[#This Row],[DUT Read]]+Table1[[#This Row],[DUT Ucty]])</f>
        <v>N/A</v>
      </c>
      <c r="Y1308" s="1" t="str">
        <f>IF(Table1[[#This Row],[Std Read]]="","N/A",Table1[[#This Row],[Std Read]]+Table1[[#This Row],[Std Ucty]])</f>
        <v>N/A</v>
      </c>
      <c r="Z13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8" s="1" t="str">
        <f>IF(Table1[[#This Row],[Spec Type]]="","N/A",Table1[[#This Row],[Spec Type]])</f>
        <v>±</v>
      </c>
      <c r="AC1308" s="1" t="str">
        <f>IF(Table1[[#This Row],[Spec Type2]]="N/A","N/A",IF(AND(Table1[[#This Row],[DUT Adj Read]]&gt;=Table1[[#This Row],[Low Tol]],Table1[[#This Row],[DUT Adj Read]]&lt;=Table1[[#This Row],[High Tol]]),"Pass","Fail"))</f>
        <v>Fail</v>
      </c>
      <c r="AD1308" s="1" t="str">
        <f>IF(AND(Table1[[#This Row],[Spec Type2]]="N/A",Table1[[#This Row],[DUT Adj Read]]="N/A",Table1[[#This Row],[Std Adj Read]]="N/A"),"N/A",IF(Table1[[#This Row],[DUT Adj Read]]="N/A",IF(Table1[[#This Row],[Std Adj Read]]&gt;Table1[[#This Row],[Low Tol]],"Pass","Fail"),IF(Table1[[#This Row],[DUT Adj Read]]&gt;Table1[[#This Row],[Low Tol]],"Pass","Fail")))</f>
        <v>Pass</v>
      </c>
      <c r="AE1308" s="1" t="str">
        <f>IF(AND(Table1[[#This Row],[Spec Type2]]="N/A",Table1[[#This Row],[DUT Adj Read]]="N/A",Table1[[#This Row],[Std Adj Read]]="N/A"),"N/A",IF(Table1[[#This Row],[DUT Adj Read]]="N/A",IF(Table1[[#This Row],[Std Adj Read]]&lt;Table1[[#This Row],[High Tol]],"Pass","Fail"),IF(Table1[[#This Row],[DUT Adj Read]]&lt;Table1[[#This Row],[High Tol]],"Pass","Fail")))</f>
        <v>Fail</v>
      </c>
      <c r="AF1308" s="1" t="str">
        <f>IF(AND(Table1[[#This Row],[Spec Type2]]="N/A",Table1[[#This Row],[DUT Adj Read]]="N/A",Table1[[#This Row],[Std Adj Read]]="N/A"),"N/A",IF(Table1[[#This Row],[DUT Adj Read]]="N/A",IF(Table1[[#This Row],[Std Adj Read]]&gt;=Table1[[#This Row],[Low Tol]],"Pass","Fail"),IF(Table1[[#This Row],[DUT Adj Read]]&gt;=Table1[[#This Row],[Low Tol]],"Pass","Fail")))</f>
        <v>Pass</v>
      </c>
      <c r="AG1308" s="1" t="str">
        <f>IF(AND(Table1[[#This Row],[Spec Type2]]="N/A",Table1[[#This Row],[DUT Adj Read]]="N/A",Table1[[#This Row],[Std Adj Read]]="N/A"),"N/A",IF(Table1[[#This Row],[DUT Adj Read]]="N/A",IF(Table1[[#This Row],[Std Adj Read]]&lt;=Table1[[#This Row],[High Tol]],"Pass","Fail"),IF(Table1[[#This Row],[DUT Adj Read]]&lt;=Table1[[#This Row],[High Tol]],"Pass","Fail")))</f>
        <v>Fail</v>
      </c>
      <c r="AH13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8" s="1" t="b">
        <v>0</v>
      </c>
      <c r="AN1308" s="1" t="b">
        <v>0</v>
      </c>
      <c r="AO1308" s="1" t="b">
        <v>0</v>
      </c>
    </row>
    <row r="1309" spans="1:41" x14ac:dyDescent="0.25">
      <c r="A1309" s="10"/>
      <c r="B1309" s="10"/>
      <c r="C1309" s="10"/>
      <c r="D1309" s="10"/>
      <c r="E1309" s="10"/>
      <c r="F1309" s="10"/>
      <c r="G1309" s="10"/>
      <c r="H1309" s="10"/>
      <c r="I1309" s="1" t="str">
        <f t="shared" si="60"/>
        <v/>
      </c>
      <c r="J1309" s="1" t="s">
        <v>35</v>
      </c>
      <c r="K1309" s="1" t="str">
        <f t="shared" si="61"/>
        <v/>
      </c>
      <c r="L1309" s="1" t="str">
        <f t="shared" si="62"/>
        <v/>
      </c>
      <c r="M1309" s="1">
        <f>IF(OR(Table1[[#This Row],[Std Nom]]="",Table1[[#This Row],[Std Read]]=""),0,Table1[[#This Row],[Std Nom]]-Table1[[#This Row],[Std Read]])</f>
        <v>0</v>
      </c>
      <c r="N1309" s="1">
        <f>IF(Calculations!$F$5="ACCREDITED 17025 WITH UNCERTAINTIES",$N$10,0)</f>
        <v>0</v>
      </c>
      <c r="O1309" s="1" t="str">
        <f>IFERROR(Table1[[#This Row],[Std Nom]]-(_xlfn.XLOOKUP(Table1[[#This Row],[Manufacturer]]&amp;" "&amp;Table1[[#This Row],[Model]],Table13[MFR &amp; MDL],Table13[Tolerance % CW ],"")/100*Table1[[#This Row],[Std Nom]]),"")</f>
        <v/>
      </c>
      <c r="P1309" s="1" t="str">
        <f>IFERROR(Table1[[#This Row],[Std Nom]]+(_xlfn.XLOOKUP(Table1[[#This Row],[Manufacturer]]&amp;" "&amp;Table1[[#This Row],[Model]],Table13[MFR &amp; MDL],Table13[Tolerance % CW ],"")/100*Table1[[#This Row],[Std Nom]]),"")</f>
        <v/>
      </c>
      <c r="Q1309" s="1" t="e">
        <f>Table1[[#This Row],[High Tol]]-Table1[[#This Row],[Low Tol]]</f>
        <v>#VALUE!</v>
      </c>
      <c r="R1309" s="1">
        <f>2*Table1[[#This Row],[Std Error]]</f>
        <v>0</v>
      </c>
      <c r="S1309" s="1" t="str">
        <f>IF(Table1[[#This Row],[High Tol]]="","N/A",IFERROR(ABS(Table1[[#This Row],[Tol Span]]/Table1[[#This Row],[Error Span]]),"N/A"))</f>
        <v>N/A</v>
      </c>
      <c r="T1309" s="1" t="str">
        <f>IF(OR(Table1[[#This Row],[Low Tol]]="",Table1[[#This Row],[High Tol]]=""),"Needs Analysis",IF(Table1[[#This Row],[Ratio]]&gt;=4,"Not Significant",IF(Table1[[#This Row],[Ratio]]&gt;=2,"Semi-Significant","Significant")))</f>
        <v>Needs Analysis</v>
      </c>
      <c r="W1309" s="1">
        <f>IF(Table1[[#This Row],[Cal Type]]&lt;&gt;"ACCREDITED 17025 WITH UNCERTAINTIES",0,"")</f>
        <v>0</v>
      </c>
      <c r="X1309" s="1" t="str">
        <f>IF(Table1[[#This Row],[DUT Read]]="","N/A",Table1[[#This Row],[Std Error]]+Table1[[#This Row],[DUT Read]]+Table1[[#This Row],[DUT Ucty]])</f>
        <v>N/A</v>
      </c>
      <c r="Y1309" s="1" t="str">
        <f>IF(Table1[[#This Row],[Std Read]]="","N/A",Table1[[#This Row],[Std Read]]+Table1[[#This Row],[Std Ucty]])</f>
        <v>N/A</v>
      </c>
      <c r="Z13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9" s="1" t="str">
        <f>IF(Table1[[#This Row],[Spec Type]]="","N/A",Table1[[#This Row],[Spec Type]])</f>
        <v>±</v>
      </c>
      <c r="AC1309" s="1" t="str">
        <f>IF(Table1[[#This Row],[Spec Type2]]="N/A","N/A",IF(AND(Table1[[#This Row],[DUT Adj Read]]&gt;=Table1[[#This Row],[Low Tol]],Table1[[#This Row],[DUT Adj Read]]&lt;=Table1[[#This Row],[High Tol]]),"Pass","Fail"))</f>
        <v>Fail</v>
      </c>
      <c r="AD1309" s="1" t="str">
        <f>IF(AND(Table1[[#This Row],[Spec Type2]]="N/A",Table1[[#This Row],[DUT Adj Read]]="N/A",Table1[[#This Row],[Std Adj Read]]="N/A"),"N/A",IF(Table1[[#This Row],[DUT Adj Read]]="N/A",IF(Table1[[#This Row],[Std Adj Read]]&gt;Table1[[#This Row],[Low Tol]],"Pass","Fail"),IF(Table1[[#This Row],[DUT Adj Read]]&gt;Table1[[#This Row],[Low Tol]],"Pass","Fail")))</f>
        <v>Pass</v>
      </c>
      <c r="AE1309" s="1" t="str">
        <f>IF(AND(Table1[[#This Row],[Spec Type2]]="N/A",Table1[[#This Row],[DUT Adj Read]]="N/A",Table1[[#This Row],[Std Adj Read]]="N/A"),"N/A",IF(Table1[[#This Row],[DUT Adj Read]]="N/A",IF(Table1[[#This Row],[Std Adj Read]]&lt;Table1[[#This Row],[High Tol]],"Pass","Fail"),IF(Table1[[#This Row],[DUT Adj Read]]&lt;Table1[[#This Row],[High Tol]],"Pass","Fail")))</f>
        <v>Fail</v>
      </c>
      <c r="AF1309" s="1" t="str">
        <f>IF(AND(Table1[[#This Row],[Spec Type2]]="N/A",Table1[[#This Row],[DUT Adj Read]]="N/A",Table1[[#This Row],[Std Adj Read]]="N/A"),"N/A",IF(Table1[[#This Row],[DUT Adj Read]]="N/A",IF(Table1[[#This Row],[Std Adj Read]]&gt;=Table1[[#This Row],[Low Tol]],"Pass","Fail"),IF(Table1[[#This Row],[DUT Adj Read]]&gt;=Table1[[#This Row],[Low Tol]],"Pass","Fail")))</f>
        <v>Pass</v>
      </c>
      <c r="AG1309" s="1" t="str">
        <f>IF(AND(Table1[[#This Row],[Spec Type2]]="N/A",Table1[[#This Row],[DUT Adj Read]]="N/A",Table1[[#This Row],[Std Adj Read]]="N/A"),"N/A",IF(Table1[[#This Row],[DUT Adj Read]]="N/A",IF(Table1[[#This Row],[Std Adj Read]]&lt;=Table1[[#This Row],[High Tol]],"Pass","Fail"),IF(Table1[[#This Row],[DUT Adj Read]]&lt;=Table1[[#This Row],[High Tol]],"Pass","Fail")))</f>
        <v>Fail</v>
      </c>
      <c r="AH13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9" s="1" t="b">
        <v>0</v>
      </c>
      <c r="AN1309" s="1" t="b">
        <v>0</v>
      </c>
      <c r="AO1309" s="1" t="b">
        <v>0</v>
      </c>
    </row>
    <row r="1310" spans="1:41" x14ac:dyDescent="0.25">
      <c r="A1310" s="10"/>
      <c r="B1310" s="10"/>
      <c r="C1310" s="10"/>
      <c r="D1310" s="10"/>
      <c r="E1310" s="10"/>
      <c r="F1310" s="10"/>
      <c r="G1310" s="10"/>
      <c r="H1310" s="10"/>
      <c r="I1310" s="1" t="str">
        <f t="shared" si="60"/>
        <v/>
      </c>
      <c r="J1310" s="1" t="s">
        <v>35</v>
      </c>
      <c r="K1310" s="1" t="str">
        <f t="shared" si="61"/>
        <v/>
      </c>
      <c r="L1310" s="1" t="str">
        <f t="shared" si="62"/>
        <v/>
      </c>
      <c r="M1310" s="1">
        <f>IF(OR(Table1[[#This Row],[Std Nom]]="",Table1[[#This Row],[Std Read]]=""),0,Table1[[#This Row],[Std Nom]]-Table1[[#This Row],[Std Read]])</f>
        <v>0</v>
      </c>
      <c r="N1310" s="1">
        <f>IF(Calculations!$F$5="ACCREDITED 17025 WITH UNCERTAINTIES",$N$10,0)</f>
        <v>0</v>
      </c>
      <c r="O1310" s="1" t="str">
        <f>IFERROR(Table1[[#This Row],[Std Nom]]-(_xlfn.XLOOKUP(Table1[[#This Row],[Manufacturer]]&amp;" "&amp;Table1[[#This Row],[Model]],Table13[MFR &amp; MDL],Table13[Tolerance % CW ],"")/100*Table1[[#This Row],[Std Nom]]),"")</f>
        <v/>
      </c>
      <c r="P1310" s="1" t="str">
        <f>IFERROR(Table1[[#This Row],[Std Nom]]+(_xlfn.XLOOKUP(Table1[[#This Row],[Manufacturer]]&amp;" "&amp;Table1[[#This Row],[Model]],Table13[MFR &amp; MDL],Table13[Tolerance % CW ],"")/100*Table1[[#This Row],[Std Nom]]),"")</f>
        <v/>
      </c>
      <c r="Q1310" s="1" t="e">
        <f>Table1[[#This Row],[High Tol]]-Table1[[#This Row],[Low Tol]]</f>
        <v>#VALUE!</v>
      </c>
      <c r="R1310" s="1">
        <f>2*Table1[[#This Row],[Std Error]]</f>
        <v>0</v>
      </c>
      <c r="S1310" s="1" t="str">
        <f>IF(Table1[[#This Row],[High Tol]]="","N/A",IFERROR(ABS(Table1[[#This Row],[Tol Span]]/Table1[[#This Row],[Error Span]]),"N/A"))</f>
        <v>N/A</v>
      </c>
      <c r="T1310" s="1" t="str">
        <f>IF(OR(Table1[[#This Row],[Low Tol]]="",Table1[[#This Row],[High Tol]]=""),"Needs Analysis",IF(Table1[[#This Row],[Ratio]]&gt;=4,"Not Significant",IF(Table1[[#This Row],[Ratio]]&gt;=2,"Semi-Significant","Significant")))</f>
        <v>Needs Analysis</v>
      </c>
      <c r="W1310" s="1">
        <f>IF(Table1[[#This Row],[Cal Type]]&lt;&gt;"ACCREDITED 17025 WITH UNCERTAINTIES",0,"")</f>
        <v>0</v>
      </c>
      <c r="X1310" s="1" t="str">
        <f>IF(Table1[[#This Row],[DUT Read]]="","N/A",Table1[[#This Row],[Std Error]]+Table1[[#This Row],[DUT Read]]+Table1[[#This Row],[DUT Ucty]])</f>
        <v>N/A</v>
      </c>
      <c r="Y1310" s="1" t="str">
        <f>IF(Table1[[#This Row],[Std Read]]="","N/A",Table1[[#This Row],[Std Read]]+Table1[[#This Row],[Std Ucty]])</f>
        <v>N/A</v>
      </c>
      <c r="Z13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0" s="1" t="str">
        <f>IF(Table1[[#This Row],[Spec Type]]="","N/A",Table1[[#This Row],[Spec Type]])</f>
        <v>±</v>
      </c>
      <c r="AC1310" s="1" t="str">
        <f>IF(Table1[[#This Row],[Spec Type2]]="N/A","N/A",IF(AND(Table1[[#This Row],[DUT Adj Read]]&gt;=Table1[[#This Row],[Low Tol]],Table1[[#This Row],[DUT Adj Read]]&lt;=Table1[[#This Row],[High Tol]]),"Pass","Fail"))</f>
        <v>Fail</v>
      </c>
      <c r="AD1310" s="1" t="str">
        <f>IF(AND(Table1[[#This Row],[Spec Type2]]="N/A",Table1[[#This Row],[DUT Adj Read]]="N/A",Table1[[#This Row],[Std Adj Read]]="N/A"),"N/A",IF(Table1[[#This Row],[DUT Adj Read]]="N/A",IF(Table1[[#This Row],[Std Adj Read]]&gt;Table1[[#This Row],[Low Tol]],"Pass","Fail"),IF(Table1[[#This Row],[DUT Adj Read]]&gt;Table1[[#This Row],[Low Tol]],"Pass","Fail")))</f>
        <v>Pass</v>
      </c>
      <c r="AE1310" s="1" t="str">
        <f>IF(AND(Table1[[#This Row],[Spec Type2]]="N/A",Table1[[#This Row],[DUT Adj Read]]="N/A",Table1[[#This Row],[Std Adj Read]]="N/A"),"N/A",IF(Table1[[#This Row],[DUT Adj Read]]="N/A",IF(Table1[[#This Row],[Std Adj Read]]&lt;Table1[[#This Row],[High Tol]],"Pass","Fail"),IF(Table1[[#This Row],[DUT Adj Read]]&lt;Table1[[#This Row],[High Tol]],"Pass","Fail")))</f>
        <v>Fail</v>
      </c>
      <c r="AF1310" s="1" t="str">
        <f>IF(AND(Table1[[#This Row],[Spec Type2]]="N/A",Table1[[#This Row],[DUT Adj Read]]="N/A",Table1[[#This Row],[Std Adj Read]]="N/A"),"N/A",IF(Table1[[#This Row],[DUT Adj Read]]="N/A",IF(Table1[[#This Row],[Std Adj Read]]&gt;=Table1[[#This Row],[Low Tol]],"Pass","Fail"),IF(Table1[[#This Row],[DUT Adj Read]]&gt;=Table1[[#This Row],[Low Tol]],"Pass","Fail")))</f>
        <v>Pass</v>
      </c>
      <c r="AG1310" s="1" t="str">
        <f>IF(AND(Table1[[#This Row],[Spec Type2]]="N/A",Table1[[#This Row],[DUT Adj Read]]="N/A",Table1[[#This Row],[Std Adj Read]]="N/A"),"N/A",IF(Table1[[#This Row],[DUT Adj Read]]="N/A",IF(Table1[[#This Row],[Std Adj Read]]&lt;=Table1[[#This Row],[High Tol]],"Pass","Fail"),IF(Table1[[#This Row],[DUT Adj Read]]&lt;=Table1[[#This Row],[High Tol]],"Pass","Fail")))</f>
        <v>Fail</v>
      </c>
      <c r="AH13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0" s="1" t="b">
        <v>0</v>
      </c>
      <c r="AN1310" s="1" t="b">
        <v>0</v>
      </c>
      <c r="AO1310" s="1" t="b">
        <v>0</v>
      </c>
    </row>
    <row r="1311" spans="1:41" x14ac:dyDescent="0.25">
      <c r="A1311" s="10"/>
      <c r="B1311" s="10"/>
      <c r="C1311" s="10"/>
      <c r="D1311" s="10"/>
      <c r="E1311" s="10"/>
      <c r="F1311" s="10"/>
      <c r="G1311" s="10"/>
      <c r="H1311" s="10"/>
      <c r="I1311" s="1" t="str">
        <f t="shared" si="60"/>
        <v/>
      </c>
      <c r="J1311" s="1" t="s">
        <v>35</v>
      </c>
      <c r="K1311" s="1" t="str">
        <f t="shared" si="61"/>
        <v/>
      </c>
      <c r="L1311" s="1" t="str">
        <f t="shared" si="62"/>
        <v/>
      </c>
      <c r="M1311" s="1">
        <f>IF(OR(Table1[[#This Row],[Std Nom]]="",Table1[[#This Row],[Std Read]]=""),0,Table1[[#This Row],[Std Nom]]-Table1[[#This Row],[Std Read]])</f>
        <v>0</v>
      </c>
      <c r="N1311" s="1">
        <f>IF(Calculations!$F$5="ACCREDITED 17025 WITH UNCERTAINTIES",$N$10,0)</f>
        <v>0</v>
      </c>
      <c r="O1311" s="1" t="str">
        <f>IFERROR(Table1[[#This Row],[Std Nom]]-(_xlfn.XLOOKUP(Table1[[#This Row],[Manufacturer]]&amp;" "&amp;Table1[[#This Row],[Model]],Table13[MFR &amp; MDL],Table13[Tolerance % CW ],"")/100*Table1[[#This Row],[Std Nom]]),"")</f>
        <v/>
      </c>
      <c r="P1311" s="1" t="str">
        <f>IFERROR(Table1[[#This Row],[Std Nom]]+(_xlfn.XLOOKUP(Table1[[#This Row],[Manufacturer]]&amp;" "&amp;Table1[[#This Row],[Model]],Table13[MFR &amp; MDL],Table13[Tolerance % CW ],"")/100*Table1[[#This Row],[Std Nom]]),"")</f>
        <v/>
      </c>
      <c r="Q1311" s="1" t="e">
        <f>Table1[[#This Row],[High Tol]]-Table1[[#This Row],[Low Tol]]</f>
        <v>#VALUE!</v>
      </c>
      <c r="R1311" s="1">
        <f>2*Table1[[#This Row],[Std Error]]</f>
        <v>0</v>
      </c>
      <c r="S1311" s="1" t="str">
        <f>IF(Table1[[#This Row],[High Tol]]="","N/A",IFERROR(ABS(Table1[[#This Row],[Tol Span]]/Table1[[#This Row],[Error Span]]),"N/A"))</f>
        <v>N/A</v>
      </c>
      <c r="T1311" s="1" t="str">
        <f>IF(OR(Table1[[#This Row],[Low Tol]]="",Table1[[#This Row],[High Tol]]=""),"Needs Analysis",IF(Table1[[#This Row],[Ratio]]&gt;=4,"Not Significant",IF(Table1[[#This Row],[Ratio]]&gt;=2,"Semi-Significant","Significant")))</f>
        <v>Needs Analysis</v>
      </c>
      <c r="W1311" s="1">
        <f>IF(Table1[[#This Row],[Cal Type]]&lt;&gt;"ACCREDITED 17025 WITH UNCERTAINTIES",0,"")</f>
        <v>0</v>
      </c>
      <c r="X1311" s="1" t="str">
        <f>IF(Table1[[#This Row],[DUT Read]]="","N/A",Table1[[#This Row],[Std Error]]+Table1[[#This Row],[DUT Read]]+Table1[[#This Row],[DUT Ucty]])</f>
        <v>N/A</v>
      </c>
      <c r="Y1311" s="1" t="str">
        <f>IF(Table1[[#This Row],[Std Read]]="","N/A",Table1[[#This Row],[Std Read]]+Table1[[#This Row],[Std Ucty]])</f>
        <v>N/A</v>
      </c>
      <c r="Z13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1" s="1" t="str">
        <f>IF(Table1[[#This Row],[Spec Type]]="","N/A",Table1[[#This Row],[Spec Type]])</f>
        <v>±</v>
      </c>
      <c r="AC1311" s="1" t="str">
        <f>IF(Table1[[#This Row],[Spec Type2]]="N/A","N/A",IF(AND(Table1[[#This Row],[DUT Adj Read]]&gt;=Table1[[#This Row],[Low Tol]],Table1[[#This Row],[DUT Adj Read]]&lt;=Table1[[#This Row],[High Tol]]),"Pass","Fail"))</f>
        <v>Fail</v>
      </c>
      <c r="AD1311" s="1" t="str">
        <f>IF(AND(Table1[[#This Row],[Spec Type2]]="N/A",Table1[[#This Row],[DUT Adj Read]]="N/A",Table1[[#This Row],[Std Adj Read]]="N/A"),"N/A",IF(Table1[[#This Row],[DUT Adj Read]]="N/A",IF(Table1[[#This Row],[Std Adj Read]]&gt;Table1[[#This Row],[Low Tol]],"Pass","Fail"),IF(Table1[[#This Row],[DUT Adj Read]]&gt;Table1[[#This Row],[Low Tol]],"Pass","Fail")))</f>
        <v>Pass</v>
      </c>
      <c r="AE1311" s="1" t="str">
        <f>IF(AND(Table1[[#This Row],[Spec Type2]]="N/A",Table1[[#This Row],[DUT Adj Read]]="N/A",Table1[[#This Row],[Std Adj Read]]="N/A"),"N/A",IF(Table1[[#This Row],[DUT Adj Read]]="N/A",IF(Table1[[#This Row],[Std Adj Read]]&lt;Table1[[#This Row],[High Tol]],"Pass","Fail"),IF(Table1[[#This Row],[DUT Adj Read]]&lt;Table1[[#This Row],[High Tol]],"Pass","Fail")))</f>
        <v>Fail</v>
      </c>
      <c r="AF1311" s="1" t="str">
        <f>IF(AND(Table1[[#This Row],[Spec Type2]]="N/A",Table1[[#This Row],[DUT Adj Read]]="N/A",Table1[[#This Row],[Std Adj Read]]="N/A"),"N/A",IF(Table1[[#This Row],[DUT Adj Read]]="N/A",IF(Table1[[#This Row],[Std Adj Read]]&gt;=Table1[[#This Row],[Low Tol]],"Pass","Fail"),IF(Table1[[#This Row],[DUT Adj Read]]&gt;=Table1[[#This Row],[Low Tol]],"Pass","Fail")))</f>
        <v>Pass</v>
      </c>
      <c r="AG1311" s="1" t="str">
        <f>IF(AND(Table1[[#This Row],[Spec Type2]]="N/A",Table1[[#This Row],[DUT Adj Read]]="N/A",Table1[[#This Row],[Std Adj Read]]="N/A"),"N/A",IF(Table1[[#This Row],[DUT Adj Read]]="N/A",IF(Table1[[#This Row],[Std Adj Read]]&lt;=Table1[[#This Row],[High Tol]],"Pass","Fail"),IF(Table1[[#This Row],[DUT Adj Read]]&lt;=Table1[[#This Row],[High Tol]],"Pass","Fail")))</f>
        <v>Fail</v>
      </c>
      <c r="AH13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1" s="1" t="b">
        <v>0</v>
      </c>
      <c r="AN1311" s="1" t="b">
        <v>0</v>
      </c>
      <c r="AO1311" s="1" t="b">
        <v>0</v>
      </c>
    </row>
    <row r="1312" spans="1:41" x14ac:dyDescent="0.25">
      <c r="A1312" s="10"/>
      <c r="B1312" s="10"/>
      <c r="C1312" s="10"/>
      <c r="D1312" s="10"/>
      <c r="E1312" s="10"/>
      <c r="F1312" s="10"/>
      <c r="G1312" s="10"/>
      <c r="H1312" s="10"/>
      <c r="I1312" s="1" t="str">
        <f t="shared" si="60"/>
        <v/>
      </c>
      <c r="J1312" s="1" t="s">
        <v>35</v>
      </c>
      <c r="K1312" s="1" t="str">
        <f t="shared" si="61"/>
        <v/>
      </c>
      <c r="L1312" s="1" t="str">
        <f t="shared" si="62"/>
        <v/>
      </c>
      <c r="M1312" s="1">
        <f>IF(OR(Table1[[#This Row],[Std Nom]]="",Table1[[#This Row],[Std Read]]=""),0,Table1[[#This Row],[Std Nom]]-Table1[[#This Row],[Std Read]])</f>
        <v>0</v>
      </c>
      <c r="N1312" s="1">
        <f>IF(Calculations!$F$5="ACCREDITED 17025 WITH UNCERTAINTIES",$N$10,0)</f>
        <v>0</v>
      </c>
      <c r="O1312" s="1" t="str">
        <f>IFERROR(Table1[[#This Row],[Std Nom]]-(_xlfn.XLOOKUP(Table1[[#This Row],[Manufacturer]]&amp;" "&amp;Table1[[#This Row],[Model]],Table13[MFR &amp; MDL],Table13[Tolerance % CW ],"")/100*Table1[[#This Row],[Std Nom]]),"")</f>
        <v/>
      </c>
      <c r="P1312" s="1" t="str">
        <f>IFERROR(Table1[[#This Row],[Std Nom]]+(_xlfn.XLOOKUP(Table1[[#This Row],[Manufacturer]]&amp;" "&amp;Table1[[#This Row],[Model]],Table13[MFR &amp; MDL],Table13[Tolerance % CW ],"")/100*Table1[[#This Row],[Std Nom]]),"")</f>
        <v/>
      </c>
      <c r="Q1312" s="1" t="e">
        <f>Table1[[#This Row],[High Tol]]-Table1[[#This Row],[Low Tol]]</f>
        <v>#VALUE!</v>
      </c>
      <c r="R1312" s="1">
        <f>2*Table1[[#This Row],[Std Error]]</f>
        <v>0</v>
      </c>
      <c r="S1312" s="1" t="str">
        <f>IF(Table1[[#This Row],[High Tol]]="","N/A",IFERROR(ABS(Table1[[#This Row],[Tol Span]]/Table1[[#This Row],[Error Span]]),"N/A"))</f>
        <v>N/A</v>
      </c>
      <c r="T1312" s="1" t="str">
        <f>IF(OR(Table1[[#This Row],[Low Tol]]="",Table1[[#This Row],[High Tol]]=""),"Needs Analysis",IF(Table1[[#This Row],[Ratio]]&gt;=4,"Not Significant",IF(Table1[[#This Row],[Ratio]]&gt;=2,"Semi-Significant","Significant")))</f>
        <v>Needs Analysis</v>
      </c>
      <c r="W1312" s="1">
        <f>IF(Table1[[#This Row],[Cal Type]]&lt;&gt;"ACCREDITED 17025 WITH UNCERTAINTIES",0,"")</f>
        <v>0</v>
      </c>
      <c r="X1312" s="1" t="str">
        <f>IF(Table1[[#This Row],[DUT Read]]="","N/A",Table1[[#This Row],[Std Error]]+Table1[[#This Row],[DUT Read]]+Table1[[#This Row],[DUT Ucty]])</f>
        <v>N/A</v>
      </c>
      <c r="Y1312" s="1" t="str">
        <f>IF(Table1[[#This Row],[Std Read]]="","N/A",Table1[[#This Row],[Std Read]]+Table1[[#This Row],[Std Ucty]])</f>
        <v>N/A</v>
      </c>
      <c r="Z13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2" s="1" t="str">
        <f>IF(Table1[[#This Row],[Spec Type]]="","N/A",Table1[[#This Row],[Spec Type]])</f>
        <v>±</v>
      </c>
      <c r="AC1312" s="1" t="str">
        <f>IF(Table1[[#This Row],[Spec Type2]]="N/A","N/A",IF(AND(Table1[[#This Row],[DUT Adj Read]]&gt;=Table1[[#This Row],[Low Tol]],Table1[[#This Row],[DUT Adj Read]]&lt;=Table1[[#This Row],[High Tol]]),"Pass","Fail"))</f>
        <v>Fail</v>
      </c>
      <c r="AD1312" s="1" t="str">
        <f>IF(AND(Table1[[#This Row],[Spec Type2]]="N/A",Table1[[#This Row],[DUT Adj Read]]="N/A",Table1[[#This Row],[Std Adj Read]]="N/A"),"N/A",IF(Table1[[#This Row],[DUT Adj Read]]="N/A",IF(Table1[[#This Row],[Std Adj Read]]&gt;Table1[[#This Row],[Low Tol]],"Pass","Fail"),IF(Table1[[#This Row],[DUT Adj Read]]&gt;Table1[[#This Row],[Low Tol]],"Pass","Fail")))</f>
        <v>Pass</v>
      </c>
      <c r="AE1312" s="1" t="str">
        <f>IF(AND(Table1[[#This Row],[Spec Type2]]="N/A",Table1[[#This Row],[DUT Adj Read]]="N/A",Table1[[#This Row],[Std Adj Read]]="N/A"),"N/A",IF(Table1[[#This Row],[DUT Adj Read]]="N/A",IF(Table1[[#This Row],[Std Adj Read]]&lt;Table1[[#This Row],[High Tol]],"Pass","Fail"),IF(Table1[[#This Row],[DUT Adj Read]]&lt;Table1[[#This Row],[High Tol]],"Pass","Fail")))</f>
        <v>Fail</v>
      </c>
      <c r="AF1312" s="1" t="str">
        <f>IF(AND(Table1[[#This Row],[Spec Type2]]="N/A",Table1[[#This Row],[DUT Adj Read]]="N/A",Table1[[#This Row],[Std Adj Read]]="N/A"),"N/A",IF(Table1[[#This Row],[DUT Adj Read]]="N/A",IF(Table1[[#This Row],[Std Adj Read]]&gt;=Table1[[#This Row],[Low Tol]],"Pass","Fail"),IF(Table1[[#This Row],[DUT Adj Read]]&gt;=Table1[[#This Row],[Low Tol]],"Pass","Fail")))</f>
        <v>Pass</v>
      </c>
      <c r="AG1312" s="1" t="str">
        <f>IF(AND(Table1[[#This Row],[Spec Type2]]="N/A",Table1[[#This Row],[DUT Adj Read]]="N/A",Table1[[#This Row],[Std Adj Read]]="N/A"),"N/A",IF(Table1[[#This Row],[DUT Adj Read]]="N/A",IF(Table1[[#This Row],[Std Adj Read]]&lt;=Table1[[#This Row],[High Tol]],"Pass","Fail"),IF(Table1[[#This Row],[DUT Adj Read]]&lt;=Table1[[#This Row],[High Tol]],"Pass","Fail")))</f>
        <v>Fail</v>
      </c>
      <c r="AH13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2" s="1" t="b">
        <v>0</v>
      </c>
      <c r="AN1312" s="1" t="b">
        <v>0</v>
      </c>
      <c r="AO1312" s="1" t="b">
        <v>0</v>
      </c>
    </row>
    <row r="1313" spans="1:41" x14ac:dyDescent="0.25">
      <c r="A1313" s="10"/>
      <c r="B1313" s="10"/>
      <c r="C1313" s="10"/>
      <c r="D1313" s="10"/>
      <c r="E1313" s="10"/>
      <c r="F1313" s="10"/>
      <c r="G1313" s="10"/>
      <c r="H1313" s="10"/>
      <c r="I1313" s="1" t="str">
        <f t="shared" si="60"/>
        <v/>
      </c>
      <c r="J1313" s="1" t="s">
        <v>35</v>
      </c>
      <c r="K1313" s="1" t="str">
        <f t="shared" si="61"/>
        <v/>
      </c>
      <c r="L1313" s="1" t="str">
        <f t="shared" si="62"/>
        <v/>
      </c>
      <c r="M1313" s="1">
        <f>IF(OR(Table1[[#This Row],[Std Nom]]="",Table1[[#This Row],[Std Read]]=""),0,Table1[[#This Row],[Std Nom]]-Table1[[#This Row],[Std Read]])</f>
        <v>0</v>
      </c>
      <c r="N1313" s="1">
        <f>IF(Calculations!$F$5="ACCREDITED 17025 WITH UNCERTAINTIES",$N$10,0)</f>
        <v>0</v>
      </c>
      <c r="O1313" s="1" t="str">
        <f>IFERROR(Table1[[#This Row],[Std Nom]]-(_xlfn.XLOOKUP(Table1[[#This Row],[Manufacturer]]&amp;" "&amp;Table1[[#This Row],[Model]],Table13[MFR &amp; MDL],Table13[Tolerance % CW ],"")/100*Table1[[#This Row],[Std Nom]]),"")</f>
        <v/>
      </c>
      <c r="P1313" s="1" t="str">
        <f>IFERROR(Table1[[#This Row],[Std Nom]]+(_xlfn.XLOOKUP(Table1[[#This Row],[Manufacturer]]&amp;" "&amp;Table1[[#This Row],[Model]],Table13[MFR &amp; MDL],Table13[Tolerance % CW ],"")/100*Table1[[#This Row],[Std Nom]]),"")</f>
        <v/>
      </c>
      <c r="Q1313" s="1" t="e">
        <f>Table1[[#This Row],[High Tol]]-Table1[[#This Row],[Low Tol]]</f>
        <v>#VALUE!</v>
      </c>
      <c r="R1313" s="1">
        <f>2*Table1[[#This Row],[Std Error]]</f>
        <v>0</v>
      </c>
      <c r="S1313" s="1" t="str">
        <f>IF(Table1[[#This Row],[High Tol]]="","N/A",IFERROR(ABS(Table1[[#This Row],[Tol Span]]/Table1[[#This Row],[Error Span]]),"N/A"))</f>
        <v>N/A</v>
      </c>
      <c r="T1313" s="1" t="str">
        <f>IF(OR(Table1[[#This Row],[Low Tol]]="",Table1[[#This Row],[High Tol]]=""),"Needs Analysis",IF(Table1[[#This Row],[Ratio]]&gt;=4,"Not Significant",IF(Table1[[#This Row],[Ratio]]&gt;=2,"Semi-Significant","Significant")))</f>
        <v>Needs Analysis</v>
      </c>
      <c r="W1313" s="1">
        <f>IF(Table1[[#This Row],[Cal Type]]&lt;&gt;"ACCREDITED 17025 WITH UNCERTAINTIES",0,"")</f>
        <v>0</v>
      </c>
      <c r="X1313" s="1" t="str">
        <f>IF(Table1[[#This Row],[DUT Read]]="","N/A",Table1[[#This Row],[Std Error]]+Table1[[#This Row],[DUT Read]]+Table1[[#This Row],[DUT Ucty]])</f>
        <v>N/A</v>
      </c>
      <c r="Y1313" s="1" t="str">
        <f>IF(Table1[[#This Row],[Std Read]]="","N/A",Table1[[#This Row],[Std Read]]+Table1[[#This Row],[Std Ucty]])</f>
        <v>N/A</v>
      </c>
      <c r="Z13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3" s="1" t="str">
        <f>IF(Table1[[#This Row],[Spec Type]]="","N/A",Table1[[#This Row],[Spec Type]])</f>
        <v>±</v>
      </c>
      <c r="AC1313" s="1" t="str">
        <f>IF(Table1[[#This Row],[Spec Type2]]="N/A","N/A",IF(AND(Table1[[#This Row],[DUT Adj Read]]&gt;=Table1[[#This Row],[Low Tol]],Table1[[#This Row],[DUT Adj Read]]&lt;=Table1[[#This Row],[High Tol]]),"Pass","Fail"))</f>
        <v>Fail</v>
      </c>
      <c r="AD1313" s="1" t="str">
        <f>IF(AND(Table1[[#This Row],[Spec Type2]]="N/A",Table1[[#This Row],[DUT Adj Read]]="N/A",Table1[[#This Row],[Std Adj Read]]="N/A"),"N/A",IF(Table1[[#This Row],[DUT Adj Read]]="N/A",IF(Table1[[#This Row],[Std Adj Read]]&gt;Table1[[#This Row],[Low Tol]],"Pass","Fail"),IF(Table1[[#This Row],[DUT Adj Read]]&gt;Table1[[#This Row],[Low Tol]],"Pass","Fail")))</f>
        <v>Pass</v>
      </c>
      <c r="AE1313" s="1" t="str">
        <f>IF(AND(Table1[[#This Row],[Spec Type2]]="N/A",Table1[[#This Row],[DUT Adj Read]]="N/A",Table1[[#This Row],[Std Adj Read]]="N/A"),"N/A",IF(Table1[[#This Row],[DUT Adj Read]]="N/A",IF(Table1[[#This Row],[Std Adj Read]]&lt;Table1[[#This Row],[High Tol]],"Pass","Fail"),IF(Table1[[#This Row],[DUT Adj Read]]&lt;Table1[[#This Row],[High Tol]],"Pass","Fail")))</f>
        <v>Fail</v>
      </c>
      <c r="AF1313" s="1" t="str">
        <f>IF(AND(Table1[[#This Row],[Spec Type2]]="N/A",Table1[[#This Row],[DUT Adj Read]]="N/A",Table1[[#This Row],[Std Adj Read]]="N/A"),"N/A",IF(Table1[[#This Row],[DUT Adj Read]]="N/A",IF(Table1[[#This Row],[Std Adj Read]]&gt;=Table1[[#This Row],[Low Tol]],"Pass","Fail"),IF(Table1[[#This Row],[DUT Adj Read]]&gt;=Table1[[#This Row],[Low Tol]],"Pass","Fail")))</f>
        <v>Pass</v>
      </c>
      <c r="AG1313" s="1" t="str">
        <f>IF(AND(Table1[[#This Row],[Spec Type2]]="N/A",Table1[[#This Row],[DUT Adj Read]]="N/A",Table1[[#This Row],[Std Adj Read]]="N/A"),"N/A",IF(Table1[[#This Row],[DUT Adj Read]]="N/A",IF(Table1[[#This Row],[Std Adj Read]]&lt;=Table1[[#This Row],[High Tol]],"Pass","Fail"),IF(Table1[[#This Row],[DUT Adj Read]]&lt;=Table1[[#This Row],[High Tol]],"Pass","Fail")))</f>
        <v>Fail</v>
      </c>
      <c r="AH13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3" s="1" t="b">
        <v>0</v>
      </c>
      <c r="AN1313" s="1" t="b">
        <v>0</v>
      </c>
      <c r="AO1313" s="1" t="b">
        <v>0</v>
      </c>
    </row>
    <row r="1314" spans="1:41" x14ac:dyDescent="0.25">
      <c r="A1314" s="10"/>
      <c r="B1314" s="10"/>
      <c r="C1314" s="10"/>
      <c r="D1314" s="10"/>
      <c r="E1314" s="10"/>
      <c r="F1314" s="10"/>
      <c r="G1314" s="10"/>
      <c r="H1314" s="10"/>
      <c r="I1314" s="1" t="str">
        <f t="shared" si="60"/>
        <v/>
      </c>
      <c r="J1314" s="1" t="s">
        <v>35</v>
      </c>
      <c r="K1314" s="1" t="str">
        <f t="shared" si="61"/>
        <v/>
      </c>
      <c r="L1314" s="1" t="str">
        <f t="shared" si="62"/>
        <v/>
      </c>
      <c r="M1314" s="1">
        <f>IF(OR(Table1[[#This Row],[Std Nom]]="",Table1[[#This Row],[Std Read]]=""),0,Table1[[#This Row],[Std Nom]]-Table1[[#This Row],[Std Read]])</f>
        <v>0</v>
      </c>
      <c r="N1314" s="1">
        <f>IF(Calculations!$F$5="ACCREDITED 17025 WITH UNCERTAINTIES",$N$10,0)</f>
        <v>0</v>
      </c>
      <c r="O1314" s="1" t="str">
        <f>IFERROR(Table1[[#This Row],[Std Nom]]-(_xlfn.XLOOKUP(Table1[[#This Row],[Manufacturer]]&amp;" "&amp;Table1[[#This Row],[Model]],Table13[MFR &amp; MDL],Table13[Tolerance % CW ],"")/100*Table1[[#This Row],[Std Nom]]),"")</f>
        <v/>
      </c>
      <c r="P1314" s="1" t="str">
        <f>IFERROR(Table1[[#This Row],[Std Nom]]+(_xlfn.XLOOKUP(Table1[[#This Row],[Manufacturer]]&amp;" "&amp;Table1[[#This Row],[Model]],Table13[MFR &amp; MDL],Table13[Tolerance % CW ],"")/100*Table1[[#This Row],[Std Nom]]),"")</f>
        <v/>
      </c>
      <c r="Q1314" s="1" t="e">
        <f>Table1[[#This Row],[High Tol]]-Table1[[#This Row],[Low Tol]]</f>
        <v>#VALUE!</v>
      </c>
      <c r="R1314" s="1">
        <f>2*Table1[[#This Row],[Std Error]]</f>
        <v>0</v>
      </c>
      <c r="S1314" s="1" t="str">
        <f>IF(Table1[[#This Row],[High Tol]]="","N/A",IFERROR(ABS(Table1[[#This Row],[Tol Span]]/Table1[[#This Row],[Error Span]]),"N/A"))</f>
        <v>N/A</v>
      </c>
      <c r="T1314" s="1" t="str">
        <f>IF(OR(Table1[[#This Row],[Low Tol]]="",Table1[[#This Row],[High Tol]]=""),"Needs Analysis",IF(Table1[[#This Row],[Ratio]]&gt;=4,"Not Significant",IF(Table1[[#This Row],[Ratio]]&gt;=2,"Semi-Significant","Significant")))</f>
        <v>Needs Analysis</v>
      </c>
      <c r="W1314" s="1">
        <f>IF(Table1[[#This Row],[Cal Type]]&lt;&gt;"ACCREDITED 17025 WITH UNCERTAINTIES",0,"")</f>
        <v>0</v>
      </c>
      <c r="X1314" s="1" t="str">
        <f>IF(Table1[[#This Row],[DUT Read]]="","N/A",Table1[[#This Row],[Std Error]]+Table1[[#This Row],[DUT Read]]+Table1[[#This Row],[DUT Ucty]])</f>
        <v>N/A</v>
      </c>
      <c r="Y1314" s="1" t="str">
        <f>IF(Table1[[#This Row],[Std Read]]="","N/A",Table1[[#This Row],[Std Read]]+Table1[[#This Row],[Std Ucty]])</f>
        <v>N/A</v>
      </c>
      <c r="Z13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4" s="1" t="str">
        <f>IF(Table1[[#This Row],[Spec Type]]="","N/A",Table1[[#This Row],[Spec Type]])</f>
        <v>±</v>
      </c>
      <c r="AC1314" s="1" t="str">
        <f>IF(Table1[[#This Row],[Spec Type2]]="N/A","N/A",IF(AND(Table1[[#This Row],[DUT Adj Read]]&gt;=Table1[[#This Row],[Low Tol]],Table1[[#This Row],[DUT Adj Read]]&lt;=Table1[[#This Row],[High Tol]]),"Pass","Fail"))</f>
        <v>Fail</v>
      </c>
      <c r="AD1314" s="1" t="str">
        <f>IF(AND(Table1[[#This Row],[Spec Type2]]="N/A",Table1[[#This Row],[DUT Adj Read]]="N/A",Table1[[#This Row],[Std Adj Read]]="N/A"),"N/A",IF(Table1[[#This Row],[DUT Adj Read]]="N/A",IF(Table1[[#This Row],[Std Adj Read]]&gt;Table1[[#This Row],[Low Tol]],"Pass","Fail"),IF(Table1[[#This Row],[DUT Adj Read]]&gt;Table1[[#This Row],[Low Tol]],"Pass","Fail")))</f>
        <v>Pass</v>
      </c>
      <c r="AE1314" s="1" t="str">
        <f>IF(AND(Table1[[#This Row],[Spec Type2]]="N/A",Table1[[#This Row],[DUT Adj Read]]="N/A",Table1[[#This Row],[Std Adj Read]]="N/A"),"N/A",IF(Table1[[#This Row],[DUT Adj Read]]="N/A",IF(Table1[[#This Row],[Std Adj Read]]&lt;Table1[[#This Row],[High Tol]],"Pass","Fail"),IF(Table1[[#This Row],[DUT Adj Read]]&lt;Table1[[#This Row],[High Tol]],"Pass","Fail")))</f>
        <v>Fail</v>
      </c>
      <c r="AF1314" s="1" t="str">
        <f>IF(AND(Table1[[#This Row],[Spec Type2]]="N/A",Table1[[#This Row],[DUT Adj Read]]="N/A",Table1[[#This Row],[Std Adj Read]]="N/A"),"N/A",IF(Table1[[#This Row],[DUT Adj Read]]="N/A",IF(Table1[[#This Row],[Std Adj Read]]&gt;=Table1[[#This Row],[Low Tol]],"Pass","Fail"),IF(Table1[[#This Row],[DUT Adj Read]]&gt;=Table1[[#This Row],[Low Tol]],"Pass","Fail")))</f>
        <v>Pass</v>
      </c>
      <c r="AG1314" s="1" t="str">
        <f>IF(AND(Table1[[#This Row],[Spec Type2]]="N/A",Table1[[#This Row],[DUT Adj Read]]="N/A",Table1[[#This Row],[Std Adj Read]]="N/A"),"N/A",IF(Table1[[#This Row],[DUT Adj Read]]="N/A",IF(Table1[[#This Row],[Std Adj Read]]&lt;=Table1[[#This Row],[High Tol]],"Pass","Fail"),IF(Table1[[#This Row],[DUT Adj Read]]&lt;=Table1[[#This Row],[High Tol]],"Pass","Fail")))</f>
        <v>Fail</v>
      </c>
      <c r="AH13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4" s="1" t="b">
        <v>0</v>
      </c>
      <c r="AN1314" s="1" t="b">
        <v>0</v>
      </c>
      <c r="AO1314" s="1" t="b">
        <v>0</v>
      </c>
    </row>
    <row r="1315" spans="1:41" x14ac:dyDescent="0.25">
      <c r="A1315" s="10"/>
      <c r="B1315" s="10"/>
      <c r="C1315" s="10"/>
      <c r="D1315" s="10"/>
      <c r="E1315" s="10"/>
      <c r="F1315" s="10"/>
      <c r="G1315" s="10"/>
      <c r="H1315" s="10"/>
      <c r="I1315" s="1" t="str">
        <f t="shared" si="60"/>
        <v/>
      </c>
      <c r="J1315" s="1" t="s">
        <v>35</v>
      </c>
      <c r="K1315" s="1" t="str">
        <f t="shared" si="61"/>
        <v/>
      </c>
      <c r="L1315" s="1" t="str">
        <f t="shared" si="62"/>
        <v/>
      </c>
      <c r="M1315" s="1">
        <f>IF(OR(Table1[[#This Row],[Std Nom]]="",Table1[[#This Row],[Std Read]]=""),0,Table1[[#This Row],[Std Nom]]-Table1[[#This Row],[Std Read]])</f>
        <v>0</v>
      </c>
      <c r="N1315" s="1">
        <f>IF(Calculations!$F$5="ACCREDITED 17025 WITH UNCERTAINTIES",$N$10,0)</f>
        <v>0</v>
      </c>
      <c r="O1315" s="1" t="str">
        <f>IFERROR(Table1[[#This Row],[Std Nom]]-(_xlfn.XLOOKUP(Table1[[#This Row],[Manufacturer]]&amp;" "&amp;Table1[[#This Row],[Model]],Table13[MFR &amp; MDL],Table13[Tolerance % CW ],"")/100*Table1[[#This Row],[Std Nom]]),"")</f>
        <v/>
      </c>
      <c r="P1315" s="1" t="str">
        <f>IFERROR(Table1[[#This Row],[Std Nom]]+(_xlfn.XLOOKUP(Table1[[#This Row],[Manufacturer]]&amp;" "&amp;Table1[[#This Row],[Model]],Table13[MFR &amp; MDL],Table13[Tolerance % CW ],"")/100*Table1[[#This Row],[Std Nom]]),"")</f>
        <v/>
      </c>
      <c r="Q1315" s="1" t="e">
        <f>Table1[[#This Row],[High Tol]]-Table1[[#This Row],[Low Tol]]</f>
        <v>#VALUE!</v>
      </c>
      <c r="R1315" s="1">
        <f>2*Table1[[#This Row],[Std Error]]</f>
        <v>0</v>
      </c>
      <c r="S1315" s="1" t="str">
        <f>IF(Table1[[#This Row],[High Tol]]="","N/A",IFERROR(ABS(Table1[[#This Row],[Tol Span]]/Table1[[#This Row],[Error Span]]),"N/A"))</f>
        <v>N/A</v>
      </c>
      <c r="T1315" s="1" t="str">
        <f>IF(OR(Table1[[#This Row],[Low Tol]]="",Table1[[#This Row],[High Tol]]=""),"Needs Analysis",IF(Table1[[#This Row],[Ratio]]&gt;=4,"Not Significant",IF(Table1[[#This Row],[Ratio]]&gt;=2,"Semi-Significant","Significant")))</f>
        <v>Needs Analysis</v>
      </c>
      <c r="W1315" s="1">
        <f>IF(Table1[[#This Row],[Cal Type]]&lt;&gt;"ACCREDITED 17025 WITH UNCERTAINTIES",0,"")</f>
        <v>0</v>
      </c>
      <c r="X1315" s="1" t="str">
        <f>IF(Table1[[#This Row],[DUT Read]]="","N/A",Table1[[#This Row],[Std Error]]+Table1[[#This Row],[DUT Read]]+Table1[[#This Row],[DUT Ucty]])</f>
        <v>N/A</v>
      </c>
      <c r="Y1315" s="1" t="str">
        <f>IF(Table1[[#This Row],[Std Read]]="","N/A",Table1[[#This Row],[Std Read]]+Table1[[#This Row],[Std Ucty]])</f>
        <v>N/A</v>
      </c>
      <c r="Z13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5" s="1" t="str">
        <f>IF(Table1[[#This Row],[Spec Type]]="","N/A",Table1[[#This Row],[Spec Type]])</f>
        <v>±</v>
      </c>
      <c r="AC1315" s="1" t="str">
        <f>IF(Table1[[#This Row],[Spec Type2]]="N/A","N/A",IF(AND(Table1[[#This Row],[DUT Adj Read]]&gt;=Table1[[#This Row],[Low Tol]],Table1[[#This Row],[DUT Adj Read]]&lt;=Table1[[#This Row],[High Tol]]),"Pass","Fail"))</f>
        <v>Fail</v>
      </c>
      <c r="AD1315" s="1" t="str">
        <f>IF(AND(Table1[[#This Row],[Spec Type2]]="N/A",Table1[[#This Row],[DUT Adj Read]]="N/A",Table1[[#This Row],[Std Adj Read]]="N/A"),"N/A",IF(Table1[[#This Row],[DUT Adj Read]]="N/A",IF(Table1[[#This Row],[Std Adj Read]]&gt;Table1[[#This Row],[Low Tol]],"Pass","Fail"),IF(Table1[[#This Row],[DUT Adj Read]]&gt;Table1[[#This Row],[Low Tol]],"Pass","Fail")))</f>
        <v>Pass</v>
      </c>
      <c r="AE1315" s="1" t="str">
        <f>IF(AND(Table1[[#This Row],[Spec Type2]]="N/A",Table1[[#This Row],[DUT Adj Read]]="N/A",Table1[[#This Row],[Std Adj Read]]="N/A"),"N/A",IF(Table1[[#This Row],[DUT Adj Read]]="N/A",IF(Table1[[#This Row],[Std Adj Read]]&lt;Table1[[#This Row],[High Tol]],"Pass","Fail"),IF(Table1[[#This Row],[DUT Adj Read]]&lt;Table1[[#This Row],[High Tol]],"Pass","Fail")))</f>
        <v>Fail</v>
      </c>
      <c r="AF1315" s="1" t="str">
        <f>IF(AND(Table1[[#This Row],[Spec Type2]]="N/A",Table1[[#This Row],[DUT Adj Read]]="N/A",Table1[[#This Row],[Std Adj Read]]="N/A"),"N/A",IF(Table1[[#This Row],[DUT Adj Read]]="N/A",IF(Table1[[#This Row],[Std Adj Read]]&gt;=Table1[[#This Row],[Low Tol]],"Pass","Fail"),IF(Table1[[#This Row],[DUT Adj Read]]&gt;=Table1[[#This Row],[Low Tol]],"Pass","Fail")))</f>
        <v>Pass</v>
      </c>
      <c r="AG1315" s="1" t="str">
        <f>IF(AND(Table1[[#This Row],[Spec Type2]]="N/A",Table1[[#This Row],[DUT Adj Read]]="N/A",Table1[[#This Row],[Std Adj Read]]="N/A"),"N/A",IF(Table1[[#This Row],[DUT Adj Read]]="N/A",IF(Table1[[#This Row],[Std Adj Read]]&lt;=Table1[[#This Row],[High Tol]],"Pass","Fail"),IF(Table1[[#This Row],[DUT Adj Read]]&lt;=Table1[[#This Row],[High Tol]],"Pass","Fail")))</f>
        <v>Fail</v>
      </c>
      <c r="AH13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5" s="1" t="b">
        <v>0</v>
      </c>
      <c r="AN1315" s="1" t="b">
        <v>0</v>
      </c>
      <c r="AO1315" s="1" t="b">
        <v>0</v>
      </c>
    </row>
    <row r="1316" spans="1:41" x14ac:dyDescent="0.25">
      <c r="A1316" s="10"/>
      <c r="B1316" s="10"/>
      <c r="C1316" s="10"/>
      <c r="D1316" s="10"/>
      <c r="E1316" s="10"/>
      <c r="F1316" s="10"/>
      <c r="G1316" s="10"/>
      <c r="H1316" s="10"/>
      <c r="I1316" s="1" t="str">
        <f t="shared" si="60"/>
        <v/>
      </c>
      <c r="J1316" s="1" t="s">
        <v>35</v>
      </c>
      <c r="K1316" s="1" t="str">
        <f t="shared" si="61"/>
        <v/>
      </c>
      <c r="L1316" s="1" t="str">
        <f t="shared" si="62"/>
        <v/>
      </c>
      <c r="M1316" s="1">
        <f>IF(OR(Table1[[#This Row],[Std Nom]]="",Table1[[#This Row],[Std Read]]=""),0,Table1[[#This Row],[Std Nom]]-Table1[[#This Row],[Std Read]])</f>
        <v>0</v>
      </c>
      <c r="N1316" s="1">
        <f>IF(Calculations!$F$5="ACCREDITED 17025 WITH UNCERTAINTIES",$N$10,0)</f>
        <v>0</v>
      </c>
      <c r="O1316" s="1" t="str">
        <f>IFERROR(Table1[[#This Row],[Std Nom]]-(_xlfn.XLOOKUP(Table1[[#This Row],[Manufacturer]]&amp;" "&amp;Table1[[#This Row],[Model]],Table13[MFR &amp; MDL],Table13[Tolerance % CW ],"")/100*Table1[[#This Row],[Std Nom]]),"")</f>
        <v/>
      </c>
      <c r="P1316" s="1" t="str">
        <f>IFERROR(Table1[[#This Row],[Std Nom]]+(_xlfn.XLOOKUP(Table1[[#This Row],[Manufacturer]]&amp;" "&amp;Table1[[#This Row],[Model]],Table13[MFR &amp; MDL],Table13[Tolerance % CW ],"")/100*Table1[[#This Row],[Std Nom]]),"")</f>
        <v/>
      </c>
      <c r="Q1316" s="1" t="e">
        <f>Table1[[#This Row],[High Tol]]-Table1[[#This Row],[Low Tol]]</f>
        <v>#VALUE!</v>
      </c>
      <c r="R1316" s="1">
        <f>2*Table1[[#This Row],[Std Error]]</f>
        <v>0</v>
      </c>
      <c r="S1316" s="1" t="str">
        <f>IF(Table1[[#This Row],[High Tol]]="","N/A",IFERROR(ABS(Table1[[#This Row],[Tol Span]]/Table1[[#This Row],[Error Span]]),"N/A"))</f>
        <v>N/A</v>
      </c>
      <c r="T1316" s="1" t="str">
        <f>IF(OR(Table1[[#This Row],[Low Tol]]="",Table1[[#This Row],[High Tol]]=""),"Needs Analysis",IF(Table1[[#This Row],[Ratio]]&gt;=4,"Not Significant",IF(Table1[[#This Row],[Ratio]]&gt;=2,"Semi-Significant","Significant")))</f>
        <v>Needs Analysis</v>
      </c>
      <c r="W1316" s="1">
        <f>IF(Table1[[#This Row],[Cal Type]]&lt;&gt;"ACCREDITED 17025 WITH UNCERTAINTIES",0,"")</f>
        <v>0</v>
      </c>
      <c r="X1316" s="1" t="str">
        <f>IF(Table1[[#This Row],[DUT Read]]="","N/A",Table1[[#This Row],[Std Error]]+Table1[[#This Row],[DUT Read]]+Table1[[#This Row],[DUT Ucty]])</f>
        <v>N/A</v>
      </c>
      <c r="Y1316" s="1" t="str">
        <f>IF(Table1[[#This Row],[Std Read]]="","N/A",Table1[[#This Row],[Std Read]]+Table1[[#This Row],[Std Ucty]])</f>
        <v>N/A</v>
      </c>
      <c r="Z13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6" s="1" t="str">
        <f>IF(Table1[[#This Row],[Spec Type]]="","N/A",Table1[[#This Row],[Spec Type]])</f>
        <v>±</v>
      </c>
      <c r="AC1316" s="1" t="str">
        <f>IF(Table1[[#This Row],[Spec Type2]]="N/A","N/A",IF(AND(Table1[[#This Row],[DUT Adj Read]]&gt;=Table1[[#This Row],[Low Tol]],Table1[[#This Row],[DUT Adj Read]]&lt;=Table1[[#This Row],[High Tol]]),"Pass","Fail"))</f>
        <v>Fail</v>
      </c>
      <c r="AD1316" s="1" t="str">
        <f>IF(AND(Table1[[#This Row],[Spec Type2]]="N/A",Table1[[#This Row],[DUT Adj Read]]="N/A",Table1[[#This Row],[Std Adj Read]]="N/A"),"N/A",IF(Table1[[#This Row],[DUT Adj Read]]="N/A",IF(Table1[[#This Row],[Std Adj Read]]&gt;Table1[[#This Row],[Low Tol]],"Pass","Fail"),IF(Table1[[#This Row],[DUT Adj Read]]&gt;Table1[[#This Row],[Low Tol]],"Pass","Fail")))</f>
        <v>Pass</v>
      </c>
      <c r="AE1316" s="1" t="str">
        <f>IF(AND(Table1[[#This Row],[Spec Type2]]="N/A",Table1[[#This Row],[DUT Adj Read]]="N/A",Table1[[#This Row],[Std Adj Read]]="N/A"),"N/A",IF(Table1[[#This Row],[DUT Adj Read]]="N/A",IF(Table1[[#This Row],[Std Adj Read]]&lt;Table1[[#This Row],[High Tol]],"Pass","Fail"),IF(Table1[[#This Row],[DUT Adj Read]]&lt;Table1[[#This Row],[High Tol]],"Pass","Fail")))</f>
        <v>Fail</v>
      </c>
      <c r="AF1316" s="1" t="str">
        <f>IF(AND(Table1[[#This Row],[Spec Type2]]="N/A",Table1[[#This Row],[DUT Adj Read]]="N/A",Table1[[#This Row],[Std Adj Read]]="N/A"),"N/A",IF(Table1[[#This Row],[DUT Adj Read]]="N/A",IF(Table1[[#This Row],[Std Adj Read]]&gt;=Table1[[#This Row],[Low Tol]],"Pass","Fail"),IF(Table1[[#This Row],[DUT Adj Read]]&gt;=Table1[[#This Row],[Low Tol]],"Pass","Fail")))</f>
        <v>Pass</v>
      </c>
      <c r="AG1316" s="1" t="str">
        <f>IF(AND(Table1[[#This Row],[Spec Type2]]="N/A",Table1[[#This Row],[DUT Adj Read]]="N/A",Table1[[#This Row],[Std Adj Read]]="N/A"),"N/A",IF(Table1[[#This Row],[DUT Adj Read]]="N/A",IF(Table1[[#This Row],[Std Adj Read]]&lt;=Table1[[#This Row],[High Tol]],"Pass","Fail"),IF(Table1[[#This Row],[DUT Adj Read]]&lt;=Table1[[#This Row],[High Tol]],"Pass","Fail")))</f>
        <v>Fail</v>
      </c>
      <c r="AH13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6" s="1" t="b">
        <v>0</v>
      </c>
      <c r="AN1316" s="1" t="b">
        <v>0</v>
      </c>
      <c r="AO1316" s="1" t="b">
        <v>0</v>
      </c>
    </row>
    <row r="1317" spans="1:41" x14ac:dyDescent="0.25">
      <c r="A1317" s="10"/>
      <c r="B1317" s="10"/>
      <c r="C1317" s="10"/>
      <c r="D1317" s="10"/>
      <c r="E1317" s="10"/>
      <c r="F1317" s="10"/>
      <c r="G1317" s="10"/>
      <c r="H1317" s="10"/>
      <c r="I1317" s="1" t="str">
        <f t="shared" si="60"/>
        <v/>
      </c>
      <c r="J1317" s="1" t="s">
        <v>35</v>
      </c>
      <c r="K1317" s="1" t="str">
        <f t="shared" si="61"/>
        <v/>
      </c>
      <c r="L1317" s="1" t="str">
        <f t="shared" si="62"/>
        <v/>
      </c>
      <c r="M1317" s="1">
        <f>IF(OR(Table1[[#This Row],[Std Nom]]="",Table1[[#This Row],[Std Read]]=""),0,Table1[[#This Row],[Std Nom]]-Table1[[#This Row],[Std Read]])</f>
        <v>0</v>
      </c>
      <c r="N1317" s="1">
        <f>IF(Calculations!$F$5="ACCREDITED 17025 WITH UNCERTAINTIES",$N$10,0)</f>
        <v>0</v>
      </c>
      <c r="O1317" s="1" t="str">
        <f>IFERROR(Table1[[#This Row],[Std Nom]]-(_xlfn.XLOOKUP(Table1[[#This Row],[Manufacturer]]&amp;" "&amp;Table1[[#This Row],[Model]],Table13[MFR &amp; MDL],Table13[Tolerance % CW ],"")/100*Table1[[#This Row],[Std Nom]]),"")</f>
        <v/>
      </c>
      <c r="P1317" s="1" t="str">
        <f>IFERROR(Table1[[#This Row],[Std Nom]]+(_xlfn.XLOOKUP(Table1[[#This Row],[Manufacturer]]&amp;" "&amp;Table1[[#This Row],[Model]],Table13[MFR &amp; MDL],Table13[Tolerance % CW ],"")/100*Table1[[#This Row],[Std Nom]]),"")</f>
        <v/>
      </c>
      <c r="Q1317" s="1" t="e">
        <f>Table1[[#This Row],[High Tol]]-Table1[[#This Row],[Low Tol]]</f>
        <v>#VALUE!</v>
      </c>
      <c r="R1317" s="1">
        <f>2*Table1[[#This Row],[Std Error]]</f>
        <v>0</v>
      </c>
      <c r="S1317" s="1" t="str">
        <f>IF(Table1[[#This Row],[High Tol]]="","N/A",IFERROR(ABS(Table1[[#This Row],[Tol Span]]/Table1[[#This Row],[Error Span]]),"N/A"))</f>
        <v>N/A</v>
      </c>
      <c r="T1317" s="1" t="str">
        <f>IF(OR(Table1[[#This Row],[Low Tol]]="",Table1[[#This Row],[High Tol]]=""),"Needs Analysis",IF(Table1[[#This Row],[Ratio]]&gt;=4,"Not Significant",IF(Table1[[#This Row],[Ratio]]&gt;=2,"Semi-Significant","Significant")))</f>
        <v>Needs Analysis</v>
      </c>
      <c r="W1317" s="1">
        <f>IF(Table1[[#This Row],[Cal Type]]&lt;&gt;"ACCREDITED 17025 WITH UNCERTAINTIES",0,"")</f>
        <v>0</v>
      </c>
      <c r="X1317" s="1" t="str">
        <f>IF(Table1[[#This Row],[DUT Read]]="","N/A",Table1[[#This Row],[Std Error]]+Table1[[#This Row],[DUT Read]]+Table1[[#This Row],[DUT Ucty]])</f>
        <v>N/A</v>
      </c>
      <c r="Y1317" s="1" t="str">
        <f>IF(Table1[[#This Row],[Std Read]]="","N/A",Table1[[#This Row],[Std Read]]+Table1[[#This Row],[Std Ucty]])</f>
        <v>N/A</v>
      </c>
      <c r="Z13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7" s="1" t="str">
        <f>IF(Table1[[#This Row],[Spec Type]]="","N/A",Table1[[#This Row],[Spec Type]])</f>
        <v>±</v>
      </c>
      <c r="AC1317" s="1" t="str">
        <f>IF(Table1[[#This Row],[Spec Type2]]="N/A","N/A",IF(AND(Table1[[#This Row],[DUT Adj Read]]&gt;=Table1[[#This Row],[Low Tol]],Table1[[#This Row],[DUT Adj Read]]&lt;=Table1[[#This Row],[High Tol]]),"Pass","Fail"))</f>
        <v>Fail</v>
      </c>
      <c r="AD1317" s="1" t="str">
        <f>IF(AND(Table1[[#This Row],[Spec Type2]]="N/A",Table1[[#This Row],[DUT Adj Read]]="N/A",Table1[[#This Row],[Std Adj Read]]="N/A"),"N/A",IF(Table1[[#This Row],[DUT Adj Read]]="N/A",IF(Table1[[#This Row],[Std Adj Read]]&gt;Table1[[#This Row],[Low Tol]],"Pass","Fail"),IF(Table1[[#This Row],[DUT Adj Read]]&gt;Table1[[#This Row],[Low Tol]],"Pass","Fail")))</f>
        <v>Pass</v>
      </c>
      <c r="AE1317" s="1" t="str">
        <f>IF(AND(Table1[[#This Row],[Spec Type2]]="N/A",Table1[[#This Row],[DUT Adj Read]]="N/A",Table1[[#This Row],[Std Adj Read]]="N/A"),"N/A",IF(Table1[[#This Row],[DUT Adj Read]]="N/A",IF(Table1[[#This Row],[Std Adj Read]]&lt;Table1[[#This Row],[High Tol]],"Pass","Fail"),IF(Table1[[#This Row],[DUT Adj Read]]&lt;Table1[[#This Row],[High Tol]],"Pass","Fail")))</f>
        <v>Fail</v>
      </c>
      <c r="AF1317" s="1" t="str">
        <f>IF(AND(Table1[[#This Row],[Spec Type2]]="N/A",Table1[[#This Row],[DUT Adj Read]]="N/A",Table1[[#This Row],[Std Adj Read]]="N/A"),"N/A",IF(Table1[[#This Row],[DUT Adj Read]]="N/A",IF(Table1[[#This Row],[Std Adj Read]]&gt;=Table1[[#This Row],[Low Tol]],"Pass","Fail"),IF(Table1[[#This Row],[DUT Adj Read]]&gt;=Table1[[#This Row],[Low Tol]],"Pass","Fail")))</f>
        <v>Pass</v>
      </c>
      <c r="AG1317" s="1" t="str">
        <f>IF(AND(Table1[[#This Row],[Spec Type2]]="N/A",Table1[[#This Row],[DUT Adj Read]]="N/A",Table1[[#This Row],[Std Adj Read]]="N/A"),"N/A",IF(Table1[[#This Row],[DUT Adj Read]]="N/A",IF(Table1[[#This Row],[Std Adj Read]]&lt;=Table1[[#This Row],[High Tol]],"Pass","Fail"),IF(Table1[[#This Row],[DUT Adj Read]]&lt;=Table1[[#This Row],[High Tol]],"Pass","Fail")))</f>
        <v>Fail</v>
      </c>
      <c r="AH13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7" s="1" t="b">
        <v>0</v>
      </c>
      <c r="AN1317" s="1" t="b">
        <v>0</v>
      </c>
      <c r="AO1317" s="1" t="b">
        <v>0</v>
      </c>
    </row>
    <row r="1318" spans="1:41" x14ac:dyDescent="0.25">
      <c r="A1318" s="10"/>
      <c r="B1318" s="10"/>
      <c r="C1318" s="10"/>
      <c r="D1318" s="10"/>
      <c r="E1318" s="10"/>
      <c r="F1318" s="10"/>
      <c r="G1318" s="10"/>
      <c r="H1318" s="10"/>
      <c r="I1318" s="1" t="str">
        <f t="shared" si="60"/>
        <v/>
      </c>
      <c r="J1318" s="1" t="s">
        <v>35</v>
      </c>
      <c r="K1318" s="1" t="str">
        <f t="shared" si="61"/>
        <v/>
      </c>
      <c r="L1318" s="1" t="str">
        <f t="shared" si="62"/>
        <v/>
      </c>
      <c r="M1318" s="1">
        <f>IF(OR(Table1[[#This Row],[Std Nom]]="",Table1[[#This Row],[Std Read]]=""),0,Table1[[#This Row],[Std Nom]]-Table1[[#This Row],[Std Read]])</f>
        <v>0</v>
      </c>
      <c r="N1318" s="1">
        <f>IF(Calculations!$F$5="ACCREDITED 17025 WITH UNCERTAINTIES",$N$10,0)</f>
        <v>0</v>
      </c>
      <c r="O1318" s="1" t="str">
        <f>IFERROR(Table1[[#This Row],[Std Nom]]-(_xlfn.XLOOKUP(Table1[[#This Row],[Manufacturer]]&amp;" "&amp;Table1[[#This Row],[Model]],Table13[MFR &amp; MDL],Table13[Tolerance % CW ],"")/100*Table1[[#This Row],[Std Nom]]),"")</f>
        <v/>
      </c>
      <c r="P1318" s="1" t="str">
        <f>IFERROR(Table1[[#This Row],[Std Nom]]+(_xlfn.XLOOKUP(Table1[[#This Row],[Manufacturer]]&amp;" "&amp;Table1[[#This Row],[Model]],Table13[MFR &amp; MDL],Table13[Tolerance % CW ],"")/100*Table1[[#This Row],[Std Nom]]),"")</f>
        <v/>
      </c>
      <c r="Q1318" s="1" t="e">
        <f>Table1[[#This Row],[High Tol]]-Table1[[#This Row],[Low Tol]]</f>
        <v>#VALUE!</v>
      </c>
      <c r="R1318" s="1">
        <f>2*Table1[[#This Row],[Std Error]]</f>
        <v>0</v>
      </c>
      <c r="S1318" s="1" t="str">
        <f>IF(Table1[[#This Row],[High Tol]]="","N/A",IFERROR(ABS(Table1[[#This Row],[Tol Span]]/Table1[[#This Row],[Error Span]]),"N/A"))</f>
        <v>N/A</v>
      </c>
      <c r="T1318" s="1" t="str">
        <f>IF(OR(Table1[[#This Row],[Low Tol]]="",Table1[[#This Row],[High Tol]]=""),"Needs Analysis",IF(Table1[[#This Row],[Ratio]]&gt;=4,"Not Significant",IF(Table1[[#This Row],[Ratio]]&gt;=2,"Semi-Significant","Significant")))</f>
        <v>Needs Analysis</v>
      </c>
      <c r="W1318" s="1">
        <f>IF(Table1[[#This Row],[Cal Type]]&lt;&gt;"ACCREDITED 17025 WITH UNCERTAINTIES",0,"")</f>
        <v>0</v>
      </c>
      <c r="X1318" s="1" t="str">
        <f>IF(Table1[[#This Row],[DUT Read]]="","N/A",Table1[[#This Row],[Std Error]]+Table1[[#This Row],[DUT Read]]+Table1[[#This Row],[DUT Ucty]])</f>
        <v>N/A</v>
      </c>
      <c r="Y1318" s="1" t="str">
        <f>IF(Table1[[#This Row],[Std Read]]="","N/A",Table1[[#This Row],[Std Read]]+Table1[[#This Row],[Std Ucty]])</f>
        <v>N/A</v>
      </c>
      <c r="Z13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8" s="1" t="str">
        <f>IF(Table1[[#This Row],[Spec Type]]="","N/A",Table1[[#This Row],[Spec Type]])</f>
        <v>±</v>
      </c>
      <c r="AC1318" s="1" t="str">
        <f>IF(Table1[[#This Row],[Spec Type2]]="N/A","N/A",IF(AND(Table1[[#This Row],[DUT Adj Read]]&gt;=Table1[[#This Row],[Low Tol]],Table1[[#This Row],[DUT Adj Read]]&lt;=Table1[[#This Row],[High Tol]]),"Pass","Fail"))</f>
        <v>Fail</v>
      </c>
      <c r="AD1318" s="1" t="str">
        <f>IF(AND(Table1[[#This Row],[Spec Type2]]="N/A",Table1[[#This Row],[DUT Adj Read]]="N/A",Table1[[#This Row],[Std Adj Read]]="N/A"),"N/A",IF(Table1[[#This Row],[DUT Adj Read]]="N/A",IF(Table1[[#This Row],[Std Adj Read]]&gt;Table1[[#This Row],[Low Tol]],"Pass","Fail"),IF(Table1[[#This Row],[DUT Adj Read]]&gt;Table1[[#This Row],[Low Tol]],"Pass","Fail")))</f>
        <v>Pass</v>
      </c>
      <c r="AE1318" s="1" t="str">
        <f>IF(AND(Table1[[#This Row],[Spec Type2]]="N/A",Table1[[#This Row],[DUT Adj Read]]="N/A",Table1[[#This Row],[Std Adj Read]]="N/A"),"N/A",IF(Table1[[#This Row],[DUT Adj Read]]="N/A",IF(Table1[[#This Row],[Std Adj Read]]&lt;Table1[[#This Row],[High Tol]],"Pass","Fail"),IF(Table1[[#This Row],[DUT Adj Read]]&lt;Table1[[#This Row],[High Tol]],"Pass","Fail")))</f>
        <v>Fail</v>
      </c>
      <c r="AF1318" s="1" t="str">
        <f>IF(AND(Table1[[#This Row],[Spec Type2]]="N/A",Table1[[#This Row],[DUT Adj Read]]="N/A",Table1[[#This Row],[Std Adj Read]]="N/A"),"N/A",IF(Table1[[#This Row],[DUT Adj Read]]="N/A",IF(Table1[[#This Row],[Std Adj Read]]&gt;=Table1[[#This Row],[Low Tol]],"Pass","Fail"),IF(Table1[[#This Row],[DUT Adj Read]]&gt;=Table1[[#This Row],[Low Tol]],"Pass","Fail")))</f>
        <v>Pass</v>
      </c>
      <c r="AG1318" s="1" t="str">
        <f>IF(AND(Table1[[#This Row],[Spec Type2]]="N/A",Table1[[#This Row],[DUT Adj Read]]="N/A",Table1[[#This Row],[Std Adj Read]]="N/A"),"N/A",IF(Table1[[#This Row],[DUT Adj Read]]="N/A",IF(Table1[[#This Row],[Std Adj Read]]&lt;=Table1[[#This Row],[High Tol]],"Pass","Fail"),IF(Table1[[#This Row],[DUT Adj Read]]&lt;=Table1[[#This Row],[High Tol]],"Pass","Fail")))</f>
        <v>Fail</v>
      </c>
      <c r="AH13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8" s="1" t="b">
        <v>0</v>
      </c>
      <c r="AN1318" s="1" t="b">
        <v>0</v>
      </c>
      <c r="AO1318" s="1" t="b">
        <v>0</v>
      </c>
    </row>
    <row r="1319" spans="1:41" x14ac:dyDescent="0.25">
      <c r="A1319" s="10"/>
      <c r="B1319" s="10"/>
      <c r="C1319" s="10"/>
      <c r="D1319" s="10"/>
      <c r="E1319" s="10"/>
      <c r="F1319" s="10"/>
      <c r="G1319" s="10"/>
      <c r="H1319" s="10"/>
      <c r="I1319" s="1" t="str">
        <f t="shared" si="60"/>
        <v/>
      </c>
      <c r="J1319" s="1" t="s">
        <v>35</v>
      </c>
      <c r="K1319" s="1" t="str">
        <f t="shared" si="61"/>
        <v/>
      </c>
      <c r="L1319" s="1" t="str">
        <f t="shared" si="62"/>
        <v/>
      </c>
      <c r="M1319" s="1">
        <f>IF(OR(Table1[[#This Row],[Std Nom]]="",Table1[[#This Row],[Std Read]]=""),0,Table1[[#This Row],[Std Nom]]-Table1[[#This Row],[Std Read]])</f>
        <v>0</v>
      </c>
      <c r="N1319" s="1">
        <f>IF(Calculations!$F$5="ACCREDITED 17025 WITH UNCERTAINTIES",$N$10,0)</f>
        <v>0</v>
      </c>
      <c r="O1319" s="1" t="str">
        <f>IFERROR(Table1[[#This Row],[Std Nom]]-(_xlfn.XLOOKUP(Table1[[#This Row],[Manufacturer]]&amp;" "&amp;Table1[[#This Row],[Model]],Table13[MFR &amp; MDL],Table13[Tolerance % CW ],"")/100*Table1[[#This Row],[Std Nom]]),"")</f>
        <v/>
      </c>
      <c r="P1319" s="1" t="str">
        <f>IFERROR(Table1[[#This Row],[Std Nom]]+(_xlfn.XLOOKUP(Table1[[#This Row],[Manufacturer]]&amp;" "&amp;Table1[[#This Row],[Model]],Table13[MFR &amp; MDL],Table13[Tolerance % CW ],"")/100*Table1[[#This Row],[Std Nom]]),"")</f>
        <v/>
      </c>
      <c r="Q1319" s="1" t="e">
        <f>Table1[[#This Row],[High Tol]]-Table1[[#This Row],[Low Tol]]</f>
        <v>#VALUE!</v>
      </c>
      <c r="R1319" s="1">
        <f>2*Table1[[#This Row],[Std Error]]</f>
        <v>0</v>
      </c>
      <c r="S1319" s="1" t="str">
        <f>IF(Table1[[#This Row],[High Tol]]="","N/A",IFERROR(ABS(Table1[[#This Row],[Tol Span]]/Table1[[#This Row],[Error Span]]),"N/A"))</f>
        <v>N/A</v>
      </c>
      <c r="T1319" s="1" t="str">
        <f>IF(OR(Table1[[#This Row],[Low Tol]]="",Table1[[#This Row],[High Tol]]=""),"Needs Analysis",IF(Table1[[#This Row],[Ratio]]&gt;=4,"Not Significant",IF(Table1[[#This Row],[Ratio]]&gt;=2,"Semi-Significant","Significant")))</f>
        <v>Needs Analysis</v>
      </c>
      <c r="W1319" s="1">
        <f>IF(Table1[[#This Row],[Cal Type]]&lt;&gt;"ACCREDITED 17025 WITH UNCERTAINTIES",0,"")</f>
        <v>0</v>
      </c>
      <c r="X1319" s="1" t="str">
        <f>IF(Table1[[#This Row],[DUT Read]]="","N/A",Table1[[#This Row],[Std Error]]+Table1[[#This Row],[DUT Read]]+Table1[[#This Row],[DUT Ucty]])</f>
        <v>N/A</v>
      </c>
      <c r="Y1319" s="1" t="str">
        <f>IF(Table1[[#This Row],[Std Read]]="","N/A",Table1[[#This Row],[Std Read]]+Table1[[#This Row],[Std Ucty]])</f>
        <v>N/A</v>
      </c>
      <c r="Z13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9" s="1" t="str">
        <f>IF(Table1[[#This Row],[Spec Type]]="","N/A",Table1[[#This Row],[Spec Type]])</f>
        <v>±</v>
      </c>
      <c r="AC1319" s="1" t="str">
        <f>IF(Table1[[#This Row],[Spec Type2]]="N/A","N/A",IF(AND(Table1[[#This Row],[DUT Adj Read]]&gt;=Table1[[#This Row],[Low Tol]],Table1[[#This Row],[DUT Adj Read]]&lt;=Table1[[#This Row],[High Tol]]),"Pass","Fail"))</f>
        <v>Fail</v>
      </c>
      <c r="AD1319" s="1" t="str">
        <f>IF(AND(Table1[[#This Row],[Spec Type2]]="N/A",Table1[[#This Row],[DUT Adj Read]]="N/A",Table1[[#This Row],[Std Adj Read]]="N/A"),"N/A",IF(Table1[[#This Row],[DUT Adj Read]]="N/A",IF(Table1[[#This Row],[Std Adj Read]]&gt;Table1[[#This Row],[Low Tol]],"Pass","Fail"),IF(Table1[[#This Row],[DUT Adj Read]]&gt;Table1[[#This Row],[Low Tol]],"Pass","Fail")))</f>
        <v>Pass</v>
      </c>
      <c r="AE1319" s="1" t="str">
        <f>IF(AND(Table1[[#This Row],[Spec Type2]]="N/A",Table1[[#This Row],[DUT Adj Read]]="N/A",Table1[[#This Row],[Std Adj Read]]="N/A"),"N/A",IF(Table1[[#This Row],[DUT Adj Read]]="N/A",IF(Table1[[#This Row],[Std Adj Read]]&lt;Table1[[#This Row],[High Tol]],"Pass","Fail"),IF(Table1[[#This Row],[DUT Adj Read]]&lt;Table1[[#This Row],[High Tol]],"Pass","Fail")))</f>
        <v>Fail</v>
      </c>
      <c r="AF1319" s="1" t="str">
        <f>IF(AND(Table1[[#This Row],[Spec Type2]]="N/A",Table1[[#This Row],[DUT Adj Read]]="N/A",Table1[[#This Row],[Std Adj Read]]="N/A"),"N/A",IF(Table1[[#This Row],[DUT Adj Read]]="N/A",IF(Table1[[#This Row],[Std Adj Read]]&gt;=Table1[[#This Row],[Low Tol]],"Pass","Fail"),IF(Table1[[#This Row],[DUT Adj Read]]&gt;=Table1[[#This Row],[Low Tol]],"Pass","Fail")))</f>
        <v>Pass</v>
      </c>
      <c r="AG1319" s="1" t="str">
        <f>IF(AND(Table1[[#This Row],[Spec Type2]]="N/A",Table1[[#This Row],[DUT Adj Read]]="N/A",Table1[[#This Row],[Std Adj Read]]="N/A"),"N/A",IF(Table1[[#This Row],[DUT Adj Read]]="N/A",IF(Table1[[#This Row],[Std Adj Read]]&lt;=Table1[[#This Row],[High Tol]],"Pass","Fail"),IF(Table1[[#This Row],[DUT Adj Read]]&lt;=Table1[[#This Row],[High Tol]],"Pass","Fail")))</f>
        <v>Fail</v>
      </c>
      <c r="AH13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9" s="1" t="b">
        <v>0</v>
      </c>
      <c r="AN1319" s="1" t="b">
        <v>0</v>
      </c>
      <c r="AO1319" s="1" t="b">
        <v>0</v>
      </c>
    </row>
    <row r="1320" spans="1:41" x14ac:dyDescent="0.25">
      <c r="A1320" s="10"/>
      <c r="B1320" s="10"/>
      <c r="C1320" s="10"/>
      <c r="D1320" s="10"/>
      <c r="E1320" s="10"/>
      <c r="F1320" s="10"/>
      <c r="G1320" s="10"/>
      <c r="H1320" s="10"/>
      <c r="I1320" s="1" t="str">
        <f t="shared" si="60"/>
        <v/>
      </c>
      <c r="J1320" s="1" t="s">
        <v>35</v>
      </c>
      <c r="K1320" s="1" t="str">
        <f t="shared" si="61"/>
        <v/>
      </c>
      <c r="L1320" s="1" t="str">
        <f t="shared" si="62"/>
        <v/>
      </c>
      <c r="M1320" s="1">
        <f>IF(OR(Table1[[#This Row],[Std Nom]]="",Table1[[#This Row],[Std Read]]=""),0,Table1[[#This Row],[Std Nom]]-Table1[[#This Row],[Std Read]])</f>
        <v>0</v>
      </c>
      <c r="N1320" s="1">
        <f>IF(Calculations!$F$5="ACCREDITED 17025 WITH UNCERTAINTIES",$N$10,0)</f>
        <v>0</v>
      </c>
      <c r="O1320" s="1" t="str">
        <f>IFERROR(Table1[[#This Row],[Std Nom]]-(_xlfn.XLOOKUP(Table1[[#This Row],[Manufacturer]]&amp;" "&amp;Table1[[#This Row],[Model]],Table13[MFR &amp; MDL],Table13[Tolerance % CW ],"")/100*Table1[[#This Row],[Std Nom]]),"")</f>
        <v/>
      </c>
      <c r="P1320" s="1" t="str">
        <f>IFERROR(Table1[[#This Row],[Std Nom]]+(_xlfn.XLOOKUP(Table1[[#This Row],[Manufacturer]]&amp;" "&amp;Table1[[#This Row],[Model]],Table13[MFR &amp; MDL],Table13[Tolerance % CW ],"")/100*Table1[[#This Row],[Std Nom]]),"")</f>
        <v/>
      </c>
      <c r="Q1320" s="1" t="e">
        <f>Table1[[#This Row],[High Tol]]-Table1[[#This Row],[Low Tol]]</f>
        <v>#VALUE!</v>
      </c>
      <c r="R1320" s="1">
        <f>2*Table1[[#This Row],[Std Error]]</f>
        <v>0</v>
      </c>
      <c r="S1320" s="1" t="str">
        <f>IF(Table1[[#This Row],[High Tol]]="","N/A",IFERROR(ABS(Table1[[#This Row],[Tol Span]]/Table1[[#This Row],[Error Span]]),"N/A"))</f>
        <v>N/A</v>
      </c>
      <c r="T1320" s="1" t="str">
        <f>IF(OR(Table1[[#This Row],[Low Tol]]="",Table1[[#This Row],[High Tol]]=""),"Needs Analysis",IF(Table1[[#This Row],[Ratio]]&gt;=4,"Not Significant",IF(Table1[[#This Row],[Ratio]]&gt;=2,"Semi-Significant","Significant")))</f>
        <v>Needs Analysis</v>
      </c>
      <c r="W1320" s="1">
        <f>IF(Table1[[#This Row],[Cal Type]]&lt;&gt;"ACCREDITED 17025 WITH UNCERTAINTIES",0,"")</f>
        <v>0</v>
      </c>
      <c r="X1320" s="1" t="str">
        <f>IF(Table1[[#This Row],[DUT Read]]="","N/A",Table1[[#This Row],[Std Error]]+Table1[[#This Row],[DUT Read]]+Table1[[#This Row],[DUT Ucty]])</f>
        <v>N/A</v>
      </c>
      <c r="Y1320" s="1" t="str">
        <f>IF(Table1[[#This Row],[Std Read]]="","N/A",Table1[[#This Row],[Std Read]]+Table1[[#This Row],[Std Ucty]])</f>
        <v>N/A</v>
      </c>
      <c r="Z13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0" s="1" t="str">
        <f>IF(Table1[[#This Row],[Spec Type]]="","N/A",Table1[[#This Row],[Spec Type]])</f>
        <v>±</v>
      </c>
      <c r="AC1320" s="1" t="str">
        <f>IF(Table1[[#This Row],[Spec Type2]]="N/A","N/A",IF(AND(Table1[[#This Row],[DUT Adj Read]]&gt;=Table1[[#This Row],[Low Tol]],Table1[[#This Row],[DUT Adj Read]]&lt;=Table1[[#This Row],[High Tol]]),"Pass","Fail"))</f>
        <v>Fail</v>
      </c>
      <c r="AD1320" s="1" t="str">
        <f>IF(AND(Table1[[#This Row],[Spec Type2]]="N/A",Table1[[#This Row],[DUT Adj Read]]="N/A",Table1[[#This Row],[Std Adj Read]]="N/A"),"N/A",IF(Table1[[#This Row],[DUT Adj Read]]="N/A",IF(Table1[[#This Row],[Std Adj Read]]&gt;Table1[[#This Row],[Low Tol]],"Pass","Fail"),IF(Table1[[#This Row],[DUT Adj Read]]&gt;Table1[[#This Row],[Low Tol]],"Pass","Fail")))</f>
        <v>Pass</v>
      </c>
      <c r="AE1320" s="1" t="str">
        <f>IF(AND(Table1[[#This Row],[Spec Type2]]="N/A",Table1[[#This Row],[DUT Adj Read]]="N/A",Table1[[#This Row],[Std Adj Read]]="N/A"),"N/A",IF(Table1[[#This Row],[DUT Adj Read]]="N/A",IF(Table1[[#This Row],[Std Adj Read]]&lt;Table1[[#This Row],[High Tol]],"Pass","Fail"),IF(Table1[[#This Row],[DUT Adj Read]]&lt;Table1[[#This Row],[High Tol]],"Pass","Fail")))</f>
        <v>Fail</v>
      </c>
      <c r="AF1320" s="1" t="str">
        <f>IF(AND(Table1[[#This Row],[Spec Type2]]="N/A",Table1[[#This Row],[DUT Adj Read]]="N/A",Table1[[#This Row],[Std Adj Read]]="N/A"),"N/A",IF(Table1[[#This Row],[DUT Adj Read]]="N/A",IF(Table1[[#This Row],[Std Adj Read]]&gt;=Table1[[#This Row],[Low Tol]],"Pass","Fail"),IF(Table1[[#This Row],[DUT Adj Read]]&gt;=Table1[[#This Row],[Low Tol]],"Pass","Fail")))</f>
        <v>Pass</v>
      </c>
      <c r="AG1320" s="1" t="str">
        <f>IF(AND(Table1[[#This Row],[Spec Type2]]="N/A",Table1[[#This Row],[DUT Adj Read]]="N/A",Table1[[#This Row],[Std Adj Read]]="N/A"),"N/A",IF(Table1[[#This Row],[DUT Adj Read]]="N/A",IF(Table1[[#This Row],[Std Adj Read]]&lt;=Table1[[#This Row],[High Tol]],"Pass","Fail"),IF(Table1[[#This Row],[DUT Adj Read]]&lt;=Table1[[#This Row],[High Tol]],"Pass","Fail")))</f>
        <v>Fail</v>
      </c>
      <c r="AH13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0" s="1" t="b">
        <v>0</v>
      </c>
      <c r="AN1320" s="1" t="b">
        <v>0</v>
      </c>
      <c r="AO1320" s="1" t="b">
        <v>0</v>
      </c>
    </row>
    <row r="1321" spans="1:41" x14ac:dyDescent="0.25">
      <c r="A1321" s="10"/>
      <c r="B1321" s="10"/>
      <c r="C1321" s="10"/>
      <c r="D1321" s="10"/>
      <c r="E1321" s="10"/>
      <c r="F1321" s="10"/>
      <c r="G1321" s="10"/>
      <c r="H1321" s="10"/>
      <c r="I1321" s="1" t="str">
        <f t="shared" si="60"/>
        <v/>
      </c>
      <c r="J1321" s="1" t="s">
        <v>35</v>
      </c>
      <c r="K1321" s="1" t="str">
        <f t="shared" si="61"/>
        <v/>
      </c>
      <c r="L1321" s="1" t="str">
        <f t="shared" si="62"/>
        <v/>
      </c>
      <c r="M1321" s="1">
        <f>IF(OR(Table1[[#This Row],[Std Nom]]="",Table1[[#This Row],[Std Read]]=""),0,Table1[[#This Row],[Std Nom]]-Table1[[#This Row],[Std Read]])</f>
        <v>0</v>
      </c>
      <c r="N1321" s="1">
        <f>IF(Calculations!$F$5="ACCREDITED 17025 WITH UNCERTAINTIES",$N$10,0)</f>
        <v>0</v>
      </c>
      <c r="O1321" s="1" t="str">
        <f>IFERROR(Table1[[#This Row],[Std Nom]]-(_xlfn.XLOOKUP(Table1[[#This Row],[Manufacturer]]&amp;" "&amp;Table1[[#This Row],[Model]],Table13[MFR &amp; MDL],Table13[Tolerance % CW ],"")/100*Table1[[#This Row],[Std Nom]]),"")</f>
        <v/>
      </c>
      <c r="P1321" s="1" t="str">
        <f>IFERROR(Table1[[#This Row],[Std Nom]]+(_xlfn.XLOOKUP(Table1[[#This Row],[Manufacturer]]&amp;" "&amp;Table1[[#This Row],[Model]],Table13[MFR &amp; MDL],Table13[Tolerance % CW ],"")/100*Table1[[#This Row],[Std Nom]]),"")</f>
        <v/>
      </c>
      <c r="Q1321" s="1" t="e">
        <f>Table1[[#This Row],[High Tol]]-Table1[[#This Row],[Low Tol]]</f>
        <v>#VALUE!</v>
      </c>
      <c r="R1321" s="1">
        <f>2*Table1[[#This Row],[Std Error]]</f>
        <v>0</v>
      </c>
      <c r="S1321" s="1" t="str">
        <f>IF(Table1[[#This Row],[High Tol]]="","N/A",IFERROR(ABS(Table1[[#This Row],[Tol Span]]/Table1[[#This Row],[Error Span]]),"N/A"))</f>
        <v>N/A</v>
      </c>
      <c r="T1321" s="1" t="str">
        <f>IF(OR(Table1[[#This Row],[Low Tol]]="",Table1[[#This Row],[High Tol]]=""),"Needs Analysis",IF(Table1[[#This Row],[Ratio]]&gt;=4,"Not Significant",IF(Table1[[#This Row],[Ratio]]&gt;=2,"Semi-Significant","Significant")))</f>
        <v>Needs Analysis</v>
      </c>
      <c r="W1321" s="1">
        <f>IF(Table1[[#This Row],[Cal Type]]&lt;&gt;"ACCREDITED 17025 WITH UNCERTAINTIES",0,"")</f>
        <v>0</v>
      </c>
      <c r="X1321" s="1" t="str">
        <f>IF(Table1[[#This Row],[DUT Read]]="","N/A",Table1[[#This Row],[Std Error]]+Table1[[#This Row],[DUT Read]]+Table1[[#This Row],[DUT Ucty]])</f>
        <v>N/A</v>
      </c>
      <c r="Y1321" s="1" t="str">
        <f>IF(Table1[[#This Row],[Std Read]]="","N/A",Table1[[#This Row],[Std Read]]+Table1[[#This Row],[Std Ucty]])</f>
        <v>N/A</v>
      </c>
      <c r="Z13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1" s="1" t="str">
        <f>IF(Table1[[#This Row],[Spec Type]]="","N/A",Table1[[#This Row],[Spec Type]])</f>
        <v>±</v>
      </c>
      <c r="AC1321" s="1" t="str">
        <f>IF(Table1[[#This Row],[Spec Type2]]="N/A","N/A",IF(AND(Table1[[#This Row],[DUT Adj Read]]&gt;=Table1[[#This Row],[Low Tol]],Table1[[#This Row],[DUT Adj Read]]&lt;=Table1[[#This Row],[High Tol]]),"Pass","Fail"))</f>
        <v>Fail</v>
      </c>
      <c r="AD1321" s="1" t="str">
        <f>IF(AND(Table1[[#This Row],[Spec Type2]]="N/A",Table1[[#This Row],[DUT Adj Read]]="N/A",Table1[[#This Row],[Std Adj Read]]="N/A"),"N/A",IF(Table1[[#This Row],[DUT Adj Read]]="N/A",IF(Table1[[#This Row],[Std Adj Read]]&gt;Table1[[#This Row],[Low Tol]],"Pass","Fail"),IF(Table1[[#This Row],[DUT Adj Read]]&gt;Table1[[#This Row],[Low Tol]],"Pass","Fail")))</f>
        <v>Pass</v>
      </c>
      <c r="AE1321" s="1" t="str">
        <f>IF(AND(Table1[[#This Row],[Spec Type2]]="N/A",Table1[[#This Row],[DUT Adj Read]]="N/A",Table1[[#This Row],[Std Adj Read]]="N/A"),"N/A",IF(Table1[[#This Row],[DUT Adj Read]]="N/A",IF(Table1[[#This Row],[Std Adj Read]]&lt;Table1[[#This Row],[High Tol]],"Pass","Fail"),IF(Table1[[#This Row],[DUT Adj Read]]&lt;Table1[[#This Row],[High Tol]],"Pass","Fail")))</f>
        <v>Fail</v>
      </c>
      <c r="AF1321" s="1" t="str">
        <f>IF(AND(Table1[[#This Row],[Spec Type2]]="N/A",Table1[[#This Row],[DUT Adj Read]]="N/A",Table1[[#This Row],[Std Adj Read]]="N/A"),"N/A",IF(Table1[[#This Row],[DUT Adj Read]]="N/A",IF(Table1[[#This Row],[Std Adj Read]]&gt;=Table1[[#This Row],[Low Tol]],"Pass","Fail"),IF(Table1[[#This Row],[DUT Adj Read]]&gt;=Table1[[#This Row],[Low Tol]],"Pass","Fail")))</f>
        <v>Pass</v>
      </c>
      <c r="AG1321" s="1" t="str">
        <f>IF(AND(Table1[[#This Row],[Spec Type2]]="N/A",Table1[[#This Row],[DUT Adj Read]]="N/A",Table1[[#This Row],[Std Adj Read]]="N/A"),"N/A",IF(Table1[[#This Row],[DUT Adj Read]]="N/A",IF(Table1[[#This Row],[Std Adj Read]]&lt;=Table1[[#This Row],[High Tol]],"Pass","Fail"),IF(Table1[[#This Row],[DUT Adj Read]]&lt;=Table1[[#This Row],[High Tol]],"Pass","Fail")))</f>
        <v>Fail</v>
      </c>
      <c r="AH13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1" s="1" t="b">
        <v>0</v>
      </c>
      <c r="AN1321" s="1" t="b">
        <v>0</v>
      </c>
      <c r="AO1321" s="1" t="b">
        <v>0</v>
      </c>
    </row>
    <row r="1322" spans="1:41" x14ac:dyDescent="0.25">
      <c r="A1322" s="10"/>
      <c r="B1322" s="10"/>
      <c r="C1322" s="10"/>
      <c r="D1322" s="10"/>
      <c r="E1322" s="10"/>
      <c r="F1322" s="10"/>
      <c r="G1322" s="10"/>
      <c r="H1322" s="10"/>
      <c r="I1322" s="1" t="str">
        <f t="shared" si="60"/>
        <v/>
      </c>
      <c r="J1322" s="1" t="s">
        <v>35</v>
      </c>
      <c r="K1322" s="1" t="str">
        <f t="shared" si="61"/>
        <v/>
      </c>
      <c r="L1322" s="1" t="str">
        <f t="shared" si="62"/>
        <v/>
      </c>
      <c r="M1322" s="1">
        <f>IF(OR(Table1[[#This Row],[Std Nom]]="",Table1[[#This Row],[Std Read]]=""),0,Table1[[#This Row],[Std Nom]]-Table1[[#This Row],[Std Read]])</f>
        <v>0</v>
      </c>
      <c r="N1322" s="1">
        <f>IF(Calculations!$F$5="ACCREDITED 17025 WITH UNCERTAINTIES",$N$10,0)</f>
        <v>0</v>
      </c>
      <c r="O1322" s="1" t="str">
        <f>IFERROR(Table1[[#This Row],[Std Nom]]-(_xlfn.XLOOKUP(Table1[[#This Row],[Manufacturer]]&amp;" "&amp;Table1[[#This Row],[Model]],Table13[MFR &amp; MDL],Table13[Tolerance % CW ],"")/100*Table1[[#This Row],[Std Nom]]),"")</f>
        <v/>
      </c>
      <c r="P1322" s="1" t="str">
        <f>IFERROR(Table1[[#This Row],[Std Nom]]+(_xlfn.XLOOKUP(Table1[[#This Row],[Manufacturer]]&amp;" "&amp;Table1[[#This Row],[Model]],Table13[MFR &amp; MDL],Table13[Tolerance % CW ],"")/100*Table1[[#This Row],[Std Nom]]),"")</f>
        <v/>
      </c>
      <c r="Q1322" s="1" t="e">
        <f>Table1[[#This Row],[High Tol]]-Table1[[#This Row],[Low Tol]]</f>
        <v>#VALUE!</v>
      </c>
      <c r="R1322" s="1">
        <f>2*Table1[[#This Row],[Std Error]]</f>
        <v>0</v>
      </c>
      <c r="S1322" s="1" t="str">
        <f>IF(Table1[[#This Row],[High Tol]]="","N/A",IFERROR(ABS(Table1[[#This Row],[Tol Span]]/Table1[[#This Row],[Error Span]]),"N/A"))</f>
        <v>N/A</v>
      </c>
      <c r="T1322" s="1" t="str">
        <f>IF(OR(Table1[[#This Row],[Low Tol]]="",Table1[[#This Row],[High Tol]]=""),"Needs Analysis",IF(Table1[[#This Row],[Ratio]]&gt;=4,"Not Significant",IF(Table1[[#This Row],[Ratio]]&gt;=2,"Semi-Significant","Significant")))</f>
        <v>Needs Analysis</v>
      </c>
      <c r="W1322" s="1">
        <f>IF(Table1[[#This Row],[Cal Type]]&lt;&gt;"ACCREDITED 17025 WITH UNCERTAINTIES",0,"")</f>
        <v>0</v>
      </c>
      <c r="X1322" s="1" t="str">
        <f>IF(Table1[[#This Row],[DUT Read]]="","N/A",Table1[[#This Row],[Std Error]]+Table1[[#This Row],[DUT Read]]+Table1[[#This Row],[DUT Ucty]])</f>
        <v>N/A</v>
      </c>
      <c r="Y1322" s="1" t="str">
        <f>IF(Table1[[#This Row],[Std Read]]="","N/A",Table1[[#This Row],[Std Read]]+Table1[[#This Row],[Std Ucty]])</f>
        <v>N/A</v>
      </c>
      <c r="Z13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2" s="1" t="str">
        <f>IF(Table1[[#This Row],[Spec Type]]="","N/A",Table1[[#This Row],[Spec Type]])</f>
        <v>±</v>
      </c>
      <c r="AC1322" s="1" t="str">
        <f>IF(Table1[[#This Row],[Spec Type2]]="N/A","N/A",IF(AND(Table1[[#This Row],[DUT Adj Read]]&gt;=Table1[[#This Row],[Low Tol]],Table1[[#This Row],[DUT Adj Read]]&lt;=Table1[[#This Row],[High Tol]]),"Pass","Fail"))</f>
        <v>Fail</v>
      </c>
      <c r="AD1322" s="1" t="str">
        <f>IF(AND(Table1[[#This Row],[Spec Type2]]="N/A",Table1[[#This Row],[DUT Adj Read]]="N/A",Table1[[#This Row],[Std Adj Read]]="N/A"),"N/A",IF(Table1[[#This Row],[DUT Adj Read]]="N/A",IF(Table1[[#This Row],[Std Adj Read]]&gt;Table1[[#This Row],[Low Tol]],"Pass","Fail"),IF(Table1[[#This Row],[DUT Adj Read]]&gt;Table1[[#This Row],[Low Tol]],"Pass","Fail")))</f>
        <v>Pass</v>
      </c>
      <c r="AE1322" s="1" t="str">
        <f>IF(AND(Table1[[#This Row],[Spec Type2]]="N/A",Table1[[#This Row],[DUT Adj Read]]="N/A",Table1[[#This Row],[Std Adj Read]]="N/A"),"N/A",IF(Table1[[#This Row],[DUT Adj Read]]="N/A",IF(Table1[[#This Row],[Std Adj Read]]&lt;Table1[[#This Row],[High Tol]],"Pass","Fail"),IF(Table1[[#This Row],[DUT Adj Read]]&lt;Table1[[#This Row],[High Tol]],"Pass","Fail")))</f>
        <v>Fail</v>
      </c>
      <c r="AF1322" s="1" t="str">
        <f>IF(AND(Table1[[#This Row],[Spec Type2]]="N/A",Table1[[#This Row],[DUT Adj Read]]="N/A",Table1[[#This Row],[Std Adj Read]]="N/A"),"N/A",IF(Table1[[#This Row],[DUT Adj Read]]="N/A",IF(Table1[[#This Row],[Std Adj Read]]&gt;=Table1[[#This Row],[Low Tol]],"Pass","Fail"),IF(Table1[[#This Row],[DUT Adj Read]]&gt;=Table1[[#This Row],[Low Tol]],"Pass","Fail")))</f>
        <v>Pass</v>
      </c>
      <c r="AG1322" s="1" t="str">
        <f>IF(AND(Table1[[#This Row],[Spec Type2]]="N/A",Table1[[#This Row],[DUT Adj Read]]="N/A",Table1[[#This Row],[Std Adj Read]]="N/A"),"N/A",IF(Table1[[#This Row],[DUT Adj Read]]="N/A",IF(Table1[[#This Row],[Std Adj Read]]&lt;=Table1[[#This Row],[High Tol]],"Pass","Fail"),IF(Table1[[#This Row],[DUT Adj Read]]&lt;=Table1[[#This Row],[High Tol]],"Pass","Fail")))</f>
        <v>Fail</v>
      </c>
      <c r="AH13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2" s="1" t="b">
        <v>0</v>
      </c>
      <c r="AN1322" s="1" t="b">
        <v>0</v>
      </c>
      <c r="AO1322" s="1" t="b">
        <v>0</v>
      </c>
    </row>
    <row r="1323" spans="1:41" x14ac:dyDescent="0.25">
      <c r="A1323" s="10"/>
      <c r="B1323" s="10"/>
      <c r="C1323" s="10"/>
      <c r="D1323" s="10"/>
      <c r="E1323" s="10"/>
      <c r="F1323" s="10"/>
      <c r="G1323" s="10"/>
      <c r="H1323" s="10"/>
      <c r="I1323" s="1" t="str">
        <f t="shared" si="60"/>
        <v/>
      </c>
      <c r="J1323" s="1" t="s">
        <v>35</v>
      </c>
      <c r="K1323" s="1" t="str">
        <f t="shared" si="61"/>
        <v/>
      </c>
      <c r="L1323" s="1" t="str">
        <f t="shared" si="62"/>
        <v/>
      </c>
      <c r="M1323" s="1">
        <f>IF(OR(Table1[[#This Row],[Std Nom]]="",Table1[[#This Row],[Std Read]]=""),0,Table1[[#This Row],[Std Nom]]-Table1[[#This Row],[Std Read]])</f>
        <v>0</v>
      </c>
      <c r="N1323" s="1">
        <f>IF(Calculations!$F$5="ACCREDITED 17025 WITH UNCERTAINTIES",$N$10,0)</f>
        <v>0</v>
      </c>
      <c r="O1323" s="1" t="str">
        <f>IFERROR(Table1[[#This Row],[Std Nom]]-(_xlfn.XLOOKUP(Table1[[#This Row],[Manufacturer]]&amp;" "&amp;Table1[[#This Row],[Model]],Table13[MFR &amp; MDL],Table13[Tolerance % CW ],"")/100*Table1[[#This Row],[Std Nom]]),"")</f>
        <v/>
      </c>
      <c r="P1323" s="1" t="str">
        <f>IFERROR(Table1[[#This Row],[Std Nom]]+(_xlfn.XLOOKUP(Table1[[#This Row],[Manufacturer]]&amp;" "&amp;Table1[[#This Row],[Model]],Table13[MFR &amp; MDL],Table13[Tolerance % CW ],"")/100*Table1[[#This Row],[Std Nom]]),"")</f>
        <v/>
      </c>
      <c r="Q1323" s="1" t="e">
        <f>Table1[[#This Row],[High Tol]]-Table1[[#This Row],[Low Tol]]</f>
        <v>#VALUE!</v>
      </c>
      <c r="R1323" s="1">
        <f>2*Table1[[#This Row],[Std Error]]</f>
        <v>0</v>
      </c>
      <c r="S1323" s="1" t="str">
        <f>IF(Table1[[#This Row],[High Tol]]="","N/A",IFERROR(ABS(Table1[[#This Row],[Tol Span]]/Table1[[#This Row],[Error Span]]),"N/A"))</f>
        <v>N/A</v>
      </c>
      <c r="T1323" s="1" t="str">
        <f>IF(OR(Table1[[#This Row],[Low Tol]]="",Table1[[#This Row],[High Tol]]=""),"Needs Analysis",IF(Table1[[#This Row],[Ratio]]&gt;=4,"Not Significant",IF(Table1[[#This Row],[Ratio]]&gt;=2,"Semi-Significant","Significant")))</f>
        <v>Needs Analysis</v>
      </c>
      <c r="W1323" s="1">
        <f>IF(Table1[[#This Row],[Cal Type]]&lt;&gt;"ACCREDITED 17025 WITH UNCERTAINTIES",0,"")</f>
        <v>0</v>
      </c>
      <c r="X1323" s="1" t="str">
        <f>IF(Table1[[#This Row],[DUT Read]]="","N/A",Table1[[#This Row],[Std Error]]+Table1[[#This Row],[DUT Read]]+Table1[[#This Row],[DUT Ucty]])</f>
        <v>N/A</v>
      </c>
      <c r="Y1323" s="1" t="str">
        <f>IF(Table1[[#This Row],[Std Read]]="","N/A",Table1[[#This Row],[Std Read]]+Table1[[#This Row],[Std Ucty]])</f>
        <v>N/A</v>
      </c>
      <c r="Z13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3" s="1" t="str">
        <f>IF(Table1[[#This Row],[Spec Type]]="","N/A",Table1[[#This Row],[Spec Type]])</f>
        <v>±</v>
      </c>
      <c r="AC1323" s="1" t="str">
        <f>IF(Table1[[#This Row],[Spec Type2]]="N/A","N/A",IF(AND(Table1[[#This Row],[DUT Adj Read]]&gt;=Table1[[#This Row],[Low Tol]],Table1[[#This Row],[DUT Adj Read]]&lt;=Table1[[#This Row],[High Tol]]),"Pass","Fail"))</f>
        <v>Fail</v>
      </c>
      <c r="AD1323" s="1" t="str">
        <f>IF(AND(Table1[[#This Row],[Spec Type2]]="N/A",Table1[[#This Row],[DUT Adj Read]]="N/A",Table1[[#This Row],[Std Adj Read]]="N/A"),"N/A",IF(Table1[[#This Row],[DUT Adj Read]]="N/A",IF(Table1[[#This Row],[Std Adj Read]]&gt;Table1[[#This Row],[Low Tol]],"Pass","Fail"),IF(Table1[[#This Row],[DUT Adj Read]]&gt;Table1[[#This Row],[Low Tol]],"Pass","Fail")))</f>
        <v>Pass</v>
      </c>
      <c r="AE1323" s="1" t="str">
        <f>IF(AND(Table1[[#This Row],[Spec Type2]]="N/A",Table1[[#This Row],[DUT Adj Read]]="N/A",Table1[[#This Row],[Std Adj Read]]="N/A"),"N/A",IF(Table1[[#This Row],[DUT Adj Read]]="N/A",IF(Table1[[#This Row],[Std Adj Read]]&lt;Table1[[#This Row],[High Tol]],"Pass","Fail"),IF(Table1[[#This Row],[DUT Adj Read]]&lt;Table1[[#This Row],[High Tol]],"Pass","Fail")))</f>
        <v>Fail</v>
      </c>
      <c r="AF1323" s="1" t="str">
        <f>IF(AND(Table1[[#This Row],[Spec Type2]]="N/A",Table1[[#This Row],[DUT Adj Read]]="N/A",Table1[[#This Row],[Std Adj Read]]="N/A"),"N/A",IF(Table1[[#This Row],[DUT Adj Read]]="N/A",IF(Table1[[#This Row],[Std Adj Read]]&gt;=Table1[[#This Row],[Low Tol]],"Pass","Fail"),IF(Table1[[#This Row],[DUT Adj Read]]&gt;=Table1[[#This Row],[Low Tol]],"Pass","Fail")))</f>
        <v>Pass</v>
      </c>
      <c r="AG1323" s="1" t="str">
        <f>IF(AND(Table1[[#This Row],[Spec Type2]]="N/A",Table1[[#This Row],[DUT Adj Read]]="N/A",Table1[[#This Row],[Std Adj Read]]="N/A"),"N/A",IF(Table1[[#This Row],[DUT Adj Read]]="N/A",IF(Table1[[#This Row],[Std Adj Read]]&lt;=Table1[[#This Row],[High Tol]],"Pass","Fail"),IF(Table1[[#This Row],[DUT Adj Read]]&lt;=Table1[[#This Row],[High Tol]],"Pass","Fail")))</f>
        <v>Fail</v>
      </c>
      <c r="AH13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3" s="1" t="b">
        <v>0</v>
      </c>
      <c r="AN1323" s="1" t="b">
        <v>0</v>
      </c>
      <c r="AO1323" s="1" t="b">
        <v>0</v>
      </c>
    </row>
    <row r="1324" spans="1:41" x14ac:dyDescent="0.25">
      <c r="A1324" s="10"/>
      <c r="B1324" s="10"/>
      <c r="C1324" s="10"/>
      <c r="D1324" s="10"/>
      <c r="E1324" s="10"/>
      <c r="F1324" s="10"/>
      <c r="G1324" s="10"/>
      <c r="H1324" s="10"/>
      <c r="I1324" s="1" t="str">
        <f t="shared" si="60"/>
        <v/>
      </c>
      <c r="J1324" s="1" t="s">
        <v>35</v>
      </c>
      <c r="K1324" s="1" t="str">
        <f t="shared" si="61"/>
        <v/>
      </c>
      <c r="L1324" s="1" t="str">
        <f t="shared" si="62"/>
        <v/>
      </c>
      <c r="M1324" s="1">
        <f>IF(OR(Table1[[#This Row],[Std Nom]]="",Table1[[#This Row],[Std Read]]=""),0,Table1[[#This Row],[Std Nom]]-Table1[[#This Row],[Std Read]])</f>
        <v>0</v>
      </c>
      <c r="N1324" s="1">
        <f>IF(Calculations!$F$5="ACCREDITED 17025 WITH UNCERTAINTIES",$N$10,0)</f>
        <v>0</v>
      </c>
      <c r="O1324" s="1" t="str">
        <f>IFERROR(Table1[[#This Row],[Std Nom]]-(_xlfn.XLOOKUP(Table1[[#This Row],[Manufacturer]]&amp;" "&amp;Table1[[#This Row],[Model]],Table13[MFR &amp; MDL],Table13[Tolerance % CW ],"")/100*Table1[[#This Row],[Std Nom]]),"")</f>
        <v/>
      </c>
      <c r="P1324" s="1" t="str">
        <f>IFERROR(Table1[[#This Row],[Std Nom]]+(_xlfn.XLOOKUP(Table1[[#This Row],[Manufacturer]]&amp;" "&amp;Table1[[#This Row],[Model]],Table13[MFR &amp; MDL],Table13[Tolerance % CW ],"")/100*Table1[[#This Row],[Std Nom]]),"")</f>
        <v/>
      </c>
      <c r="Q1324" s="1" t="e">
        <f>Table1[[#This Row],[High Tol]]-Table1[[#This Row],[Low Tol]]</f>
        <v>#VALUE!</v>
      </c>
      <c r="R1324" s="1">
        <f>2*Table1[[#This Row],[Std Error]]</f>
        <v>0</v>
      </c>
      <c r="S1324" s="1" t="str">
        <f>IF(Table1[[#This Row],[High Tol]]="","N/A",IFERROR(ABS(Table1[[#This Row],[Tol Span]]/Table1[[#This Row],[Error Span]]),"N/A"))</f>
        <v>N/A</v>
      </c>
      <c r="T1324" s="1" t="str">
        <f>IF(OR(Table1[[#This Row],[Low Tol]]="",Table1[[#This Row],[High Tol]]=""),"Needs Analysis",IF(Table1[[#This Row],[Ratio]]&gt;=4,"Not Significant",IF(Table1[[#This Row],[Ratio]]&gt;=2,"Semi-Significant","Significant")))</f>
        <v>Needs Analysis</v>
      </c>
      <c r="W1324" s="1">
        <f>IF(Table1[[#This Row],[Cal Type]]&lt;&gt;"ACCREDITED 17025 WITH UNCERTAINTIES",0,"")</f>
        <v>0</v>
      </c>
      <c r="X1324" s="1" t="str">
        <f>IF(Table1[[#This Row],[DUT Read]]="","N/A",Table1[[#This Row],[Std Error]]+Table1[[#This Row],[DUT Read]]+Table1[[#This Row],[DUT Ucty]])</f>
        <v>N/A</v>
      </c>
      <c r="Y1324" s="1" t="str">
        <f>IF(Table1[[#This Row],[Std Read]]="","N/A",Table1[[#This Row],[Std Read]]+Table1[[#This Row],[Std Ucty]])</f>
        <v>N/A</v>
      </c>
      <c r="Z13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4" s="1" t="str">
        <f>IF(Table1[[#This Row],[Spec Type]]="","N/A",Table1[[#This Row],[Spec Type]])</f>
        <v>±</v>
      </c>
      <c r="AC1324" s="1" t="str">
        <f>IF(Table1[[#This Row],[Spec Type2]]="N/A","N/A",IF(AND(Table1[[#This Row],[DUT Adj Read]]&gt;=Table1[[#This Row],[Low Tol]],Table1[[#This Row],[DUT Adj Read]]&lt;=Table1[[#This Row],[High Tol]]),"Pass","Fail"))</f>
        <v>Fail</v>
      </c>
      <c r="AD1324" s="1" t="str">
        <f>IF(AND(Table1[[#This Row],[Spec Type2]]="N/A",Table1[[#This Row],[DUT Adj Read]]="N/A",Table1[[#This Row],[Std Adj Read]]="N/A"),"N/A",IF(Table1[[#This Row],[DUT Adj Read]]="N/A",IF(Table1[[#This Row],[Std Adj Read]]&gt;Table1[[#This Row],[Low Tol]],"Pass","Fail"),IF(Table1[[#This Row],[DUT Adj Read]]&gt;Table1[[#This Row],[Low Tol]],"Pass","Fail")))</f>
        <v>Pass</v>
      </c>
      <c r="AE1324" s="1" t="str">
        <f>IF(AND(Table1[[#This Row],[Spec Type2]]="N/A",Table1[[#This Row],[DUT Adj Read]]="N/A",Table1[[#This Row],[Std Adj Read]]="N/A"),"N/A",IF(Table1[[#This Row],[DUT Adj Read]]="N/A",IF(Table1[[#This Row],[Std Adj Read]]&lt;Table1[[#This Row],[High Tol]],"Pass","Fail"),IF(Table1[[#This Row],[DUT Adj Read]]&lt;Table1[[#This Row],[High Tol]],"Pass","Fail")))</f>
        <v>Fail</v>
      </c>
      <c r="AF1324" s="1" t="str">
        <f>IF(AND(Table1[[#This Row],[Spec Type2]]="N/A",Table1[[#This Row],[DUT Adj Read]]="N/A",Table1[[#This Row],[Std Adj Read]]="N/A"),"N/A",IF(Table1[[#This Row],[DUT Adj Read]]="N/A",IF(Table1[[#This Row],[Std Adj Read]]&gt;=Table1[[#This Row],[Low Tol]],"Pass","Fail"),IF(Table1[[#This Row],[DUT Adj Read]]&gt;=Table1[[#This Row],[Low Tol]],"Pass","Fail")))</f>
        <v>Pass</v>
      </c>
      <c r="AG1324" s="1" t="str">
        <f>IF(AND(Table1[[#This Row],[Spec Type2]]="N/A",Table1[[#This Row],[DUT Adj Read]]="N/A",Table1[[#This Row],[Std Adj Read]]="N/A"),"N/A",IF(Table1[[#This Row],[DUT Adj Read]]="N/A",IF(Table1[[#This Row],[Std Adj Read]]&lt;=Table1[[#This Row],[High Tol]],"Pass","Fail"),IF(Table1[[#This Row],[DUT Adj Read]]&lt;=Table1[[#This Row],[High Tol]],"Pass","Fail")))</f>
        <v>Fail</v>
      </c>
      <c r="AH13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4" s="1" t="b">
        <v>0</v>
      </c>
      <c r="AN1324" s="1" t="b">
        <v>0</v>
      </c>
      <c r="AO1324" s="1" t="b">
        <v>0</v>
      </c>
    </row>
    <row r="1325" spans="1:41" x14ac:dyDescent="0.25">
      <c r="A1325" s="10"/>
      <c r="B1325" s="10"/>
      <c r="C1325" s="10"/>
      <c r="D1325" s="10"/>
      <c r="E1325" s="10"/>
      <c r="F1325" s="10"/>
      <c r="G1325" s="10"/>
      <c r="H1325" s="10"/>
      <c r="I1325" s="1" t="str">
        <f t="shared" si="60"/>
        <v/>
      </c>
      <c r="J1325" s="1" t="s">
        <v>35</v>
      </c>
      <c r="K1325" s="1" t="str">
        <f t="shared" si="61"/>
        <v/>
      </c>
      <c r="L1325" s="1" t="str">
        <f t="shared" si="62"/>
        <v/>
      </c>
      <c r="M1325" s="1">
        <f>IF(OR(Table1[[#This Row],[Std Nom]]="",Table1[[#This Row],[Std Read]]=""),0,Table1[[#This Row],[Std Nom]]-Table1[[#This Row],[Std Read]])</f>
        <v>0</v>
      </c>
      <c r="N1325" s="1">
        <f>IF(Calculations!$F$5="ACCREDITED 17025 WITH UNCERTAINTIES",$N$10,0)</f>
        <v>0</v>
      </c>
      <c r="O1325" s="1" t="str">
        <f>IFERROR(Table1[[#This Row],[Std Nom]]-(_xlfn.XLOOKUP(Table1[[#This Row],[Manufacturer]]&amp;" "&amp;Table1[[#This Row],[Model]],Table13[MFR &amp; MDL],Table13[Tolerance % CW ],"")/100*Table1[[#This Row],[Std Nom]]),"")</f>
        <v/>
      </c>
      <c r="P1325" s="1" t="str">
        <f>IFERROR(Table1[[#This Row],[Std Nom]]+(_xlfn.XLOOKUP(Table1[[#This Row],[Manufacturer]]&amp;" "&amp;Table1[[#This Row],[Model]],Table13[MFR &amp; MDL],Table13[Tolerance % CW ],"")/100*Table1[[#This Row],[Std Nom]]),"")</f>
        <v/>
      </c>
      <c r="Q1325" s="1" t="e">
        <f>Table1[[#This Row],[High Tol]]-Table1[[#This Row],[Low Tol]]</f>
        <v>#VALUE!</v>
      </c>
      <c r="R1325" s="1">
        <f>2*Table1[[#This Row],[Std Error]]</f>
        <v>0</v>
      </c>
      <c r="S1325" s="1" t="str">
        <f>IF(Table1[[#This Row],[High Tol]]="","N/A",IFERROR(ABS(Table1[[#This Row],[Tol Span]]/Table1[[#This Row],[Error Span]]),"N/A"))</f>
        <v>N/A</v>
      </c>
      <c r="T1325" s="1" t="str">
        <f>IF(OR(Table1[[#This Row],[Low Tol]]="",Table1[[#This Row],[High Tol]]=""),"Needs Analysis",IF(Table1[[#This Row],[Ratio]]&gt;=4,"Not Significant",IF(Table1[[#This Row],[Ratio]]&gt;=2,"Semi-Significant","Significant")))</f>
        <v>Needs Analysis</v>
      </c>
      <c r="W1325" s="1">
        <f>IF(Table1[[#This Row],[Cal Type]]&lt;&gt;"ACCREDITED 17025 WITH UNCERTAINTIES",0,"")</f>
        <v>0</v>
      </c>
      <c r="X1325" s="1" t="str">
        <f>IF(Table1[[#This Row],[DUT Read]]="","N/A",Table1[[#This Row],[Std Error]]+Table1[[#This Row],[DUT Read]]+Table1[[#This Row],[DUT Ucty]])</f>
        <v>N/A</v>
      </c>
      <c r="Y1325" s="1" t="str">
        <f>IF(Table1[[#This Row],[Std Read]]="","N/A",Table1[[#This Row],[Std Read]]+Table1[[#This Row],[Std Ucty]])</f>
        <v>N/A</v>
      </c>
      <c r="Z13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5" s="1" t="str">
        <f>IF(Table1[[#This Row],[Spec Type]]="","N/A",Table1[[#This Row],[Spec Type]])</f>
        <v>±</v>
      </c>
      <c r="AC1325" s="1" t="str">
        <f>IF(Table1[[#This Row],[Spec Type2]]="N/A","N/A",IF(AND(Table1[[#This Row],[DUT Adj Read]]&gt;=Table1[[#This Row],[Low Tol]],Table1[[#This Row],[DUT Adj Read]]&lt;=Table1[[#This Row],[High Tol]]),"Pass","Fail"))</f>
        <v>Fail</v>
      </c>
      <c r="AD1325" s="1" t="str">
        <f>IF(AND(Table1[[#This Row],[Spec Type2]]="N/A",Table1[[#This Row],[DUT Adj Read]]="N/A",Table1[[#This Row],[Std Adj Read]]="N/A"),"N/A",IF(Table1[[#This Row],[DUT Adj Read]]="N/A",IF(Table1[[#This Row],[Std Adj Read]]&gt;Table1[[#This Row],[Low Tol]],"Pass","Fail"),IF(Table1[[#This Row],[DUT Adj Read]]&gt;Table1[[#This Row],[Low Tol]],"Pass","Fail")))</f>
        <v>Pass</v>
      </c>
      <c r="AE1325" s="1" t="str">
        <f>IF(AND(Table1[[#This Row],[Spec Type2]]="N/A",Table1[[#This Row],[DUT Adj Read]]="N/A",Table1[[#This Row],[Std Adj Read]]="N/A"),"N/A",IF(Table1[[#This Row],[DUT Adj Read]]="N/A",IF(Table1[[#This Row],[Std Adj Read]]&lt;Table1[[#This Row],[High Tol]],"Pass","Fail"),IF(Table1[[#This Row],[DUT Adj Read]]&lt;Table1[[#This Row],[High Tol]],"Pass","Fail")))</f>
        <v>Fail</v>
      </c>
      <c r="AF1325" s="1" t="str">
        <f>IF(AND(Table1[[#This Row],[Spec Type2]]="N/A",Table1[[#This Row],[DUT Adj Read]]="N/A",Table1[[#This Row],[Std Adj Read]]="N/A"),"N/A",IF(Table1[[#This Row],[DUT Adj Read]]="N/A",IF(Table1[[#This Row],[Std Adj Read]]&gt;=Table1[[#This Row],[Low Tol]],"Pass","Fail"),IF(Table1[[#This Row],[DUT Adj Read]]&gt;=Table1[[#This Row],[Low Tol]],"Pass","Fail")))</f>
        <v>Pass</v>
      </c>
      <c r="AG1325" s="1" t="str">
        <f>IF(AND(Table1[[#This Row],[Spec Type2]]="N/A",Table1[[#This Row],[DUT Adj Read]]="N/A",Table1[[#This Row],[Std Adj Read]]="N/A"),"N/A",IF(Table1[[#This Row],[DUT Adj Read]]="N/A",IF(Table1[[#This Row],[Std Adj Read]]&lt;=Table1[[#This Row],[High Tol]],"Pass","Fail"),IF(Table1[[#This Row],[DUT Adj Read]]&lt;=Table1[[#This Row],[High Tol]],"Pass","Fail")))</f>
        <v>Fail</v>
      </c>
      <c r="AH13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5" s="1" t="b">
        <v>0</v>
      </c>
      <c r="AN1325" s="1" t="b">
        <v>0</v>
      </c>
      <c r="AO1325" s="1" t="b">
        <v>0</v>
      </c>
    </row>
    <row r="1326" spans="1:41" x14ac:dyDescent="0.25">
      <c r="A1326" s="10"/>
      <c r="B1326" s="10"/>
      <c r="C1326" s="10"/>
      <c r="D1326" s="10"/>
      <c r="E1326" s="10"/>
      <c r="F1326" s="10"/>
      <c r="G1326" s="10"/>
      <c r="H1326" s="10"/>
      <c r="I1326" s="1" t="str">
        <f t="shared" si="60"/>
        <v/>
      </c>
      <c r="J1326" s="1" t="s">
        <v>35</v>
      </c>
      <c r="K1326" s="1" t="str">
        <f t="shared" si="61"/>
        <v/>
      </c>
      <c r="L1326" s="1" t="str">
        <f t="shared" si="62"/>
        <v/>
      </c>
      <c r="M1326" s="1">
        <f>IF(OR(Table1[[#This Row],[Std Nom]]="",Table1[[#This Row],[Std Read]]=""),0,Table1[[#This Row],[Std Nom]]-Table1[[#This Row],[Std Read]])</f>
        <v>0</v>
      </c>
      <c r="N1326" s="1">
        <f>IF(Calculations!$F$5="ACCREDITED 17025 WITH UNCERTAINTIES",$N$10,0)</f>
        <v>0</v>
      </c>
      <c r="O1326" s="1" t="str">
        <f>IFERROR(Table1[[#This Row],[Std Nom]]-(_xlfn.XLOOKUP(Table1[[#This Row],[Manufacturer]]&amp;" "&amp;Table1[[#This Row],[Model]],Table13[MFR &amp; MDL],Table13[Tolerance % CW ],"")/100*Table1[[#This Row],[Std Nom]]),"")</f>
        <v/>
      </c>
      <c r="P1326" s="1" t="str">
        <f>IFERROR(Table1[[#This Row],[Std Nom]]+(_xlfn.XLOOKUP(Table1[[#This Row],[Manufacturer]]&amp;" "&amp;Table1[[#This Row],[Model]],Table13[MFR &amp; MDL],Table13[Tolerance % CW ],"")/100*Table1[[#This Row],[Std Nom]]),"")</f>
        <v/>
      </c>
      <c r="Q1326" s="1" t="e">
        <f>Table1[[#This Row],[High Tol]]-Table1[[#This Row],[Low Tol]]</f>
        <v>#VALUE!</v>
      </c>
      <c r="R1326" s="1">
        <f>2*Table1[[#This Row],[Std Error]]</f>
        <v>0</v>
      </c>
      <c r="S1326" s="1" t="str">
        <f>IF(Table1[[#This Row],[High Tol]]="","N/A",IFERROR(ABS(Table1[[#This Row],[Tol Span]]/Table1[[#This Row],[Error Span]]),"N/A"))</f>
        <v>N/A</v>
      </c>
      <c r="T1326" s="1" t="str">
        <f>IF(OR(Table1[[#This Row],[Low Tol]]="",Table1[[#This Row],[High Tol]]=""),"Needs Analysis",IF(Table1[[#This Row],[Ratio]]&gt;=4,"Not Significant",IF(Table1[[#This Row],[Ratio]]&gt;=2,"Semi-Significant","Significant")))</f>
        <v>Needs Analysis</v>
      </c>
      <c r="W1326" s="1">
        <f>IF(Table1[[#This Row],[Cal Type]]&lt;&gt;"ACCREDITED 17025 WITH UNCERTAINTIES",0,"")</f>
        <v>0</v>
      </c>
      <c r="X1326" s="1" t="str">
        <f>IF(Table1[[#This Row],[DUT Read]]="","N/A",Table1[[#This Row],[Std Error]]+Table1[[#This Row],[DUT Read]]+Table1[[#This Row],[DUT Ucty]])</f>
        <v>N/A</v>
      </c>
      <c r="Y1326" s="1" t="str">
        <f>IF(Table1[[#This Row],[Std Read]]="","N/A",Table1[[#This Row],[Std Read]]+Table1[[#This Row],[Std Ucty]])</f>
        <v>N/A</v>
      </c>
      <c r="Z13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6" s="1" t="str">
        <f>IF(Table1[[#This Row],[Spec Type]]="","N/A",Table1[[#This Row],[Spec Type]])</f>
        <v>±</v>
      </c>
      <c r="AC1326" s="1" t="str">
        <f>IF(Table1[[#This Row],[Spec Type2]]="N/A","N/A",IF(AND(Table1[[#This Row],[DUT Adj Read]]&gt;=Table1[[#This Row],[Low Tol]],Table1[[#This Row],[DUT Adj Read]]&lt;=Table1[[#This Row],[High Tol]]),"Pass","Fail"))</f>
        <v>Fail</v>
      </c>
      <c r="AD1326" s="1" t="str">
        <f>IF(AND(Table1[[#This Row],[Spec Type2]]="N/A",Table1[[#This Row],[DUT Adj Read]]="N/A",Table1[[#This Row],[Std Adj Read]]="N/A"),"N/A",IF(Table1[[#This Row],[DUT Adj Read]]="N/A",IF(Table1[[#This Row],[Std Adj Read]]&gt;Table1[[#This Row],[Low Tol]],"Pass","Fail"),IF(Table1[[#This Row],[DUT Adj Read]]&gt;Table1[[#This Row],[Low Tol]],"Pass","Fail")))</f>
        <v>Pass</v>
      </c>
      <c r="AE1326" s="1" t="str">
        <f>IF(AND(Table1[[#This Row],[Spec Type2]]="N/A",Table1[[#This Row],[DUT Adj Read]]="N/A",Table1[[#This Row],[Std Adj Read]]="N/A"),"N/A",IF(Table1[[#This Row],[DUT Adj Read]]="N/A",IF(Table1[[#This Row],[Std Adj Read]]&lt;Table1[[#This Row],[High Tol]],"Pass","Fail"),IF(Table1[[#This Row],[DUT Adj Read]]&lt;Table1[[#This Row],[High Tol]],"Pass","Fail")))</f>
        <v>Fail</v>
      </c>
      <c r="AF1326" s="1" t="str">
        <f>IF(AND(Table1[[#This Row],[Spec Type2]]="N/A",Table1[[#This Row],[DUT Adj Read]]="N/A",Table1[[#This Row],[Std Adj Read]]="N/A"),"N/A",IF(Table1[[#This Row],[DUT Adj Read]]="N/A",IF(Table1[[#This Row],[Std Adj Read]]&gt;=Table1[[#This Row],[Low Tol]],"Pass","Fail"),IF(Table1[[#This Row],[DUT Adj Read]]&gt;=Table1[[#This Row],[Low Tol]],"Pass","Fail")))</f>
        <v>Pass</v>
      </c>
      <c r="AG1326" s="1" t="str">
        <f>IF(AND(Table1[[#This Row],[Spec Type2]]="N/A",Table1[[#This Row],[DUT Adj Read]]="N/A",Table1[[#This Row],[Std Adj Read]]="N/A"),"N/A",IF(Table1[[#This Row],[DUT Adj Read]]="N/A",IF(Table1[[#This Row],[Std Adj Read]]&lt;=Table1[[#This Row],[High Tol]],"Pass","Fail"),IF(Table1[[#This Row],[DUT Adj Read]]&lt;=Table1[[#This Row],[High Tol]],"Pass","Fail")))</f>
        <v>Fail</v>
      </c>
      <c r="AH13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6" s="1" t="b">
        <v>0</v>
      </c>
      <c r="AN1326" s="1" t="b">
        <v>0</v>
      </c>
      <c r="AO1326" s="1" t="b">
        <v>0</v>
      </c>
    </row>
    <row r="1327" spans="1:41" x14ac:dyDescent="0.25">
      <c r="A1327" s="10"/>
      <c r="B1327" s="10"/>
      <c r="C1327" s="10"/>
      <c r="D1327" s="10"/>
      <c r="E1327" s="10"/>
      <c r="F1327" s="10"/>
      <c r="G1327" s="10"/>
      <c r="H1327" s="10"/>
      <c r="I1327" s="1" t="str">
        <f t="shared" si="60"/>
        <v/>
      </c>
      <c r="J1327" s="1" t="s">
        <v>35</v>
      </c>
      <c r="K1327" s="1" t="str">
        <f t="shared" si="61"/>
        <v/>
      </c>
      <c r="L1327" s="1" t="str">
        <f t="shared" si="62"/>
        <v/>
      </c>
      <c r="M1327" s="1">
        <f>IF(OR(Table1[[#This Row],[Std Nom]]="",Table1[[#This Row],[Std Read]]=""),0,Table1[[#This Row],[Std Nom]]-Table1[[#This Row],[Std Read]])</f>
        <v>0</v>
      </c>
      <c r="N1327" s="1">
        <f>IF(Calculations!$F$5="ACCREDITED 17025 WITH UNCERTAINTIES",$N$10,0)</f>
        <v>0</v>
      </c>
      <c r="O1327" s="1" t="str">
        <f>IFERROR(Table1[[#This Row],[Std Nom]]-(_xlfn.XLOOKUP(Table1[[#This Row],[Manufacturer]]&amp;" "&amp;Table1[[#This Row],[Model]],Table13[MFR &amp; MDL],Table13[Tolerance % CW ],"")/100*Table1[[#This Row],[Std Nom]]),"")</f>
        <v/>
      </c>
      <c r="P1327" s="1" t="str">
        <f>IFERROR(Table1[[#This Row],[Std Nom]]+(_xlfn.XLOOKUP(Table1[[#This Row],[Manufacturer]]&amp;" "&amp;Table1[[#This Row],[Model]],Table13[MFR &amp; MDL],Table13[Tolerance % CW ],"")/100*Table1[[#This Row],[Std Nom]]),"")</f>
        <v/>
      </c>
      <c r="Q1327" s="1" t="e">
        <f>Table1[[#This Row],[High Tol]]-Table1[[#This Row],[Low Tol]]</f>
        <v>#VALUE!</v>
      </c>
      <c r="R1327" s="1">
        <f>2*Table1[[#This Row],[Std Error]]</f>
        <v>0</v>
      </c>
      <c r="S1327" s="1" t="str">
        <f>IF(Table1[[#This Row],[High Tol]]="","N/A",IFERROR(ABS(Table1[[#This Row],[Tol Span]]/Table1[[#This Row],[Error Span]]),"N/A"))</f>
        <v>N/A</v>
      </c>
      <c r="T1327" s="1" t="str">
        <f>IF(OR(Table1[[#This Row],[Low Tol]]="",Table1[[#This Row],[High Tol]]=""),"Needs Analysis",IF(Table1[[#This Row],[Ratio]]&gt;=4,"Not Significant",IF(Table1[[#This Row],[Ratio]]&gt;=2,"Semi-Significant","Significant")))</f>
        <v>Needs Analysis</v>
      </c>
      <c r="W1327" s="1">
        <f>IF(Table1[[#This Row],[Cal Type]]&lt;&gt;"ACCREDITED 17025 WITH UNCERTAINTIES",0,"")</f>
        <v>0</v>
      </c>
      <c r="X1327" s="1" t="str">
        <f>IF(Table1[[#This Row],[DUT Read]]="","N/A",Table1[[#This Row],[Std Error]]+Table1[[#This Row],[DUT Read]]+Table1[[#This Row],[DUT Ucty]])</f>
        <v>N/A</v>
      </c>
      <c r="Y1327" s="1" t="str">
        <f>IF(Table1[[#This Row],[Std Read]]="","N/A",Table1[[#This Row],[Std Read]]+Table1[[#This Row],[Std Ucty]])</f>
        <v>N/A</v>
      </c>
      <c r="Z13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7" s="1" t="str">
        <f>IF(Table1[[#This Row],[Spec Type]]="","N/A",Table1[[#This Row],[Spec Type]])</f>
        <v>±</v>
      </c>
      <c r="AC1327" s="1" t="str">
        <f>IF(Table1[[#This Row],[Spec Type2]]="N/A","N/A",IF(AND(Table1[[#This Row],[DUT Adj Read]]&gt;=Table1[[#This Row],[Low Tol]],Table1[[#This Row],[DUT Adj Read]]&lt;=Table1[[#This Row],[High Tol]]),"Pass","Fail"))</f>
        <v>Fail</v>
      </c>
      <c r="AD1327" s="1" t="str">
        <f>IF(AND(Table1[[#This Row],[Spec Type2]]="N/A",Table1[[#This Row],[DUT Adj Read]]="N/A",Table1[[#This Row],[Std Adj Read]]="N/A"),"N/A",IF(Table1[[#This Row],[DUT Adj Read]]="N/A",IF(Table1[[#This Row],[Std Adj Read]]&gt;Table1[[#This Row],[Low Tol]],"Pass","Fail"),IF(Table1[[#This Row],[DUT Adj Read]]&gt;Table1[[#This Row],[Low Tol]],"Pass","Fail")))</f>
        <v>Pass</v>
      </c>
      <c r="AE1327" s="1" t="str">
        <f>IF(AND(Table1[[#This Row],[Spec Type2]]="N/A",Table1[[#This Row],[DUT Adj Read]]="N/A",Table1[[#This Row],[Std Adj Read]]="N/A"),"N/A",IF(Table1[[#This Row],[DUT Adj Read]]="N/A",IF(Table1[[#This Row],[Std Adj Read]]&lt;Table1[[#This Row],[High Tol]],"Pass","Fail"),IF(Table1[[#This Row],[DUT Adj Read]]&lt;Table1[[#This Row],[High Tol]],"Pass","Fail")))</f>
        <v>Fail</v>
      </c>
      <c r="AF1327" s="1" t="str">
        <f>IF(AND(Table1[[#This Row],[Spec Type2]]="N/A",Table1[[#This Row],[DUT Adj Read]]="N/A",Table1[[#This Row],[Std Adj Read]]="N/A"),"N/A",IF(Table1[[#This Row],[DUT Adj Read]]="N/A",IF(Table1[[#This Row],[Std Adj Read]]&gt;=Table1[[#This Row],[Low Tol]],"Pass","Fail"),IF(Table1[[#This Row],[DUT Adj Read]]&gt;=Table1[[#This Row],[Low Tol]],"Pass","Fail")))</f>
        <v>Pass</v>
      </c>
      <c r="AG1327" s="1" t="str">
        <f>IF(AND(Table1[[#This Row],[Spec Type2]]="N/A",Table1[[#This Row],[DUT Adj Read]]="N/A",Table1[[#This Row],[Std Adj Read]]="N/A"),"N/A",IF(Table1[[#This Row],[DUT Adj Read]]="N/A",IF(Table1[[#This Row],[Std Adj Read]]&lt;=Table1[[#This Row],[High Tol]],"Pass","Fail"),IF(Table1[[#This Row],[DUT Adj Read]]&lt;=Table1[[#This Row],[High Tol]],"Pass","Fail")))</f>
        <v>Fail</v>
      </c>
      <c r="AH13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7" s="1" t="b">
        <v>0</v>
      </c>
      <c r="AN1327" s="1" t="b">
        <v>0</v>
      </c>
      <c r="AO1327" s="1" t="b">
        <v>0</v>
      </c>
    </row>
    <row r="1328" spans="1:41" x14ac:dyDescent="0.25">
      <c r="A1328" s="10"/>
      <c r="B1328" s="10"/>
      <c r="C1328" s="10"/>
      <c r="D1328" s="10"/>
      <c r="E1328" s="10"/>
      <c r="F1328" s="10"/>
      <c r="G1328" s="10"/>
      <c r="H1328" s="10"/>
      <c r="I1328" s="1" t="str">
        <f t="shared" si="60"/>
        <v/>
      </c>
      <c r="J1328" s="1" t="s">
        <v>35</v>
      </c>
      <c r="K1328" s="1" t="str">
        <f t="shared" si="61"/>
        <v/>
      </c>
      <c r="L1328" s="1" t="str">
        <f t="shared" si="62"/>
        <v/>
      </c>
      <c r="M1328" s="1">
        <f>IF(OR(Table1[[#This Row],[Std Nom]]="",Table1[[#This Row],[Std Read]]=""),0,Table1[[#This Row],[Std Nom]]-Table1[[#This Row],[Std Read]])</f>
        <v>0</v>
      </c>
      <c r="N1328" s="1">
        <f>IF(Calculations!$F$5="ACCREDITED 17025 WITH UNCERTAINTIES",$N$10,0)</f>
        <v>0</v>
      </c>
      <c r="O1328" s="1" t="str">
        <f>IFERROR(Table1[[#This Row],[Std Nom]]-(_xlfn.XLOOKUP(Table1[[#This Row],[Manufacturer]]&amp;" "&amp;Table1[[#This Row],[Model]],Table13[MFR &amp; MDL],Table13[Tolerance % CW ],"")/100*Table1[[#This Row],[Std Nom]]),"")</f>
        <v/>
      </c>
      <c r="P1328" s="1" t="str">
        <f>IFERROR(Table1[[#This Row],[Std Nom]]+(_xlfn.XLOOKUP(Table1[[#This Row],[Manufacturer]]&amp;" "&amp;Table1[[#This Row],[Model]],Table13[MFR &amp; MDL],Table13[Tolerance % CW ],"")/100*Table1[[#This Row],[Std Nom]]),"")</f>
        <v/>
      </c>
      <c r="Q1328" s="1" t="e">
        <f>Table1[[#This Row],[High Tol]]-Table1[[#This Row],[Low Tol]]</f>
        <v>#VALUE!</v>
      </c>
      <c r="R1328" s="1">
        <f>2*Table1[[#This Row],[Std Error]]</f>
        <v>0</v>
      </c>
      <c r="S1328" s="1" t="str">
        <f>IF(Table1[[#This Row],[High Tol]]="","N/A",IFERROR(ABS(Table1[[#This Row],[Tol Span]]/Table1[[#This Row],[Error Span]]),"N/A"))</f>
        <v>N/A</v>
      </c>
      <c r="T1328" s="1" t="str">
        <f>IF(OR(Table1[[#This Row],[Low Tol]]="",Table1[[#This Row],[High Tol]]=""),"Needs Analysis",IF(Table1[[#This Row],[Ratio]]&gt;=4,"Not Significant",IF(Table1[[#This Row],[Ratio]]&gt;=2,"Semi-Significant","Significant")))</f>
        <v>Needs Analysis</v>
      </c>
      <c r="W1328" s="1">
        <f>IF(Table1[[#This Row],[Cal Type]]&lt;&gt;"ACCREDITED 17025 WITH UNCERTAINTIES",0,"")</f>
        <v>0</v>
      </c>
      <c r="X1328" s="1" t="str">
        <f>IF(Table1[[#This Row],[DUT Read]]="","N/A",Table1[[#This Row],[Std Error]]+Table1[[#This Row],[DUT Read]]+Table1[[#This Row],[DUT Ucty]])</f>
        <v>N/A</v>
      </c>
      <c r="Y1328" s="1" t="str">
        <f>IF(Table1[[#This Row],[Std Read]]="","N/A",Table1[[#This Row],[Std Read]]+Table1[[#This Row],[Std Ucty]])</f>
        <v>N/A</v>
      </c>
      <c r="Z13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8" s="1" t="str">
        <f>IF(Table1[[#This Row],[Spec Type]]="","N/A",Table1[[#This Row],[Spec Type]])</f>
        <v>±</v>
      </c>
      <c r="AC1328" s="1" t="str">
        <f>IF(Table1[[#This Row],[Spec Type2]]="N/A","N/A",IF(AND(Table1[[#This Row],[DUT Adj Read]]&gt;=Table1[[#This Row],[Low Tol]],Table1[[#This Row],[DUT Adj Read]]&lt;=Table1[[#This Row],[High Tol]]),"Pass","Fail"))</f>
        <v>Fail</v>
      </c>
      <c r="AD1328" s="1" t="str">
        <f>IF(AND(Table1[[#This Row],[Spec Type2]]="N/A",Table1[[#This Row],[DUT Adj Read]]="N/A",Table1[[#This Row],[Std Adj Read]]="N/A"),"N/A",IF(Table1[[#This Row],[DUT Adj Read]]="N/A",IF(Table1[[#This Row],[Std Adj Read]]&gt;Table1[[#This Row],[Low Tol]],"Pass","Fail"),IF(Table1[[#This Row],[DUT Adj Read]]&gt;Table1[[#This Row],[Low Tol]],"Pass","Fail")))</f>
        <v>Pass</v>
      </c>
      <c r="AE1328" s="1" t="str">
        <f>IF(AND(Table1[[#This Row],[Spec Type2]]="N/A",Table1[[#This Row],[DUT Adj Read]]="N/A",Table1[[#This Row],[Std Adj Read]]="N/A"),"N/A",IF(Table1[[#This Row],[DUT Adj Read]]="N/A",IF(Table1[[#This Row],[Std Adj Read]]&lt;Table1[[#This Row],[High Tol]],"Pass","Fail"),IF(Table1[[#This Row],[DUT Adj Read]]&lt;Table1[[#This Row],[High Tol]],"Pass","Fail")))</f>
        <v>Fail</v>
      </c>
      <c r="AF1328" s="1" t="str">
        <f>IF(AND(Table1[[#This Row],[Spec Type2]]="N/A",Table1[[#This Row],[DUT Adj Read]]="N/A",Table1[[#This Row],[Std Adj Read]]="N/A"),"N/A",IF(Table1[[#This Row],[DUT Adj Read]]="N/A",IF(Table1[[#This Row],[Std Adj Read]]&gt;=Table1[[#This Row],[Low Tol]],"Pass","Fail"),IF(Table1[[#This Row],[DUT Adj Read]]&gt;=Table1[[#This Row],[Low Tol]],"Pass","Fail")))</f>
        <v>Pass</v>
      </c>
      <c r="AG1328" s="1" t="str">
        <f>IF(AND(Table1[[#This Row],[Spec Type2]]="N/A",Table1[[#This Row],[DUT Adj Read]]="N/A",Table1[[#This Row],[Std Adj Read]]="N/A"),"N/A",IF(Table1[[#This Row],[DUT Adj Read]]="N/A",IF(Table1[[#This Row],[Std Adj Read]]&lt;=Table1[[#This Row],[High Tol]],"Pass","Fail"),IF(Table1[[#This Row],[DUT Adj Read]]&lt;=Table1[[#This Row],[High Tol]],"Pass","Fail")))</f>
        <v>Fail</v>
      </c>
      <c r="AH13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8" s="1" t="b">
        <v>0</v>
      </c>
      <c r="AN1328" s="1" t="b">
        <v>0</v>
      </c>
      <c r="AO1328" s="1" t="b">
        <v>0</v>
      </c>
    </row>
    <row r="1329" spans="1:41" x14ac:dyDescent="0.25">
      <c r="A1329" s="10"/>
      <c r="B1329" s="10"/>
      <c r="C1329" s="10"/>
      <c r="D1329" s="10"/>
      <c r="E1329" s="10"/>
      <c r="F1329" s="10"/>
      <c r="G1329" s="10"/>
      <c r="H1329" s="10"/>
      <c r="I1329" s="1" t="str">
        <f t="shared" si="60"/>
        <v/>
      </c>
      <c r="J1329" s="1" t="s">
        <v>35</v>
      </c>
      <c r="K1329" s="1" t="str">
        <f t="shared" si="61"/>
        <v/>
      </c>
      <c r="L1329" s="1" t="str">
        <f t="shared" si="62"/>
        <v/>
      </c>
      <c r="M1329" s="1">
        <f>IF(OR(Table1[[#This Row],[Std Nom]]="",Table1[[#This Row],[Std Read]]=""),0,Table1[[#This Row],[Std Nom]]-Table1[[#This Row],[Std Read]])</f>
        <v>0</v>
      </c>
      <c r="N1329" s="1">
        <f>IF(Calculations!$F$5="ACCREDITED 17025 WITH UNCERTAINTIES",$N$10,0)</f>
        <v>0</v>
      </c>
      <c r="O1329" s="1" t="str">
        <f>IFERROR(Table1[[#This Row],[Std Nom]]-(_xlfn.XLOOKUP(Table1[[#This Row],[Manufacturer]]&amp;" "&amp;Table1[[#This Row],[Model]],Table13[MFR &amp; MDL],Table13[Tolerance % CW ],"")/100*Table1[[#This Row],[Std Nom]]),"")</f>
        <v/>
      </c>
      <c r="P1329" s="1" t="str">
        <f>IFERROR(Table1[[#This Row],[Std Nom]]+(_xlfn.XLOOKUP(Table1[[#This Row],[Manufacturer]]&amp;" "&amp;Table1[[#This Row],[Model]],Table13[MFR &amp; MDL],Table13[Tolerance % CW ],"")/100*Table1[[#This Row],[Std Nom]]),"")</f>
        <v/>
      </c>
      <c r="Q1329" s="1" t="e">
        <f>Table1[[#This Row],[High Tol]]-Table1[[#This Row],[Low Tol]]</f>
        <v>#VALUE!</v>
      </c>
      <c r="R1329" s="1">
        <f>2*Table1[[#This Row],[Std Error]]</f>
        <v>0</v>
      </c>
      <c r="S1329" s="1" t="str">
        <f>IF(Table1[[#This Row],[High Tol]]="","N/A",IFERROR(ABS(Table1[[#This Row],[Tol Span]]/Table1[[#This Row],[Error Span]]),"N/A"))</f>
        <v>N/A</v>
      </c>
      <c r="T1329" s="1" t="str">
        <f>IF(OR(Table1[[#This Row],[Low Tol]]="",Table1[[#This Row],[High Tol]]=""),"Needs Analysis",IF(Table1[[#This Row],[Ratio]]&gt;=4,"Not Significant",IF(Table1[[#This Row],[Ratio]]&gt;=2,"Semi-Significant","Significant")))</f>
        <v>Needs Analysis</v>
      </c>
      <c r="W1329" s="1">
        <f>IF(Table1[[#This Row],[Cal Type]]&lt;&gt;"ACCREDITED 17025 WITH UNCERTAINTIES",0,"")</f>
        <v>0</v>
      </c>
      <c r="X1329" s="1" t="str">
        <f>IF(Table1[[#This Row],[DUT Read]]="","N/A",Table1[[#This Row],[Std Error]]+Table1[[#This Row],[DUT Read]]+Table1[[#This Row],[DUT Ucty]])</f>
        <v>N/A</v>
      </c>
      <c r="Y1329" s="1" t="str">
        <f>IF(Table1[[#This Row],[Std Read]]="","N/A",Table1[[#This Row],[Std Read]]+Table1[[#This Row],[Std Ucty]])</f>
        <v>N/A</v>
      </c>
      <c r="Z13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9" s="1" t="str">
        <f>IF(Table1[[#This Row],[Spec Type]]="","N/A",Table1[[#This Row],[Spec Type]])</f>
        <v>±</v>
      </c>
      <c r="AC1329" s="1" t="str">
        <f>IF(Table1[[#This Row],[Spec Type2]]="N/A","N/A",IF(AND(Table1[[#This Row],[DUT Adj Read]]&gt;=Table1[[#This Row],[Low Tol]],Table1[[#This Row],[DUT Adj Read]]&lt;=Table1[[#This Row],[High Tol]]),"Pass","Fail"))</f>
        <v>Fail</v>
      </c>
      <c r="AD1329" s="1" t="str">
        <f>IF(AND(Table1[[#This Row],[Spec Type2]]="N/A",Table1[[#This Row],[DUT Adj Read]]="N/A",Table1[[#This Row],[Std Adj Read]]="N/A"),"N/A",IF(Table1[[#This Row],[DUT Adj Read]]="N/A",IF(Table1[[#This Row],[Std Adj Read]]&gt;Table1[[#This Row],[Low Tol]],"Pass","Fail"),IF(Table1[[#This Row],[DUT Adj Read]]&gt;Table1[[#This Row],[Low Tol]],"Pass","Fail")))</f>
        <v>Pass</v>
      </c>
      <c r="AE1329" s="1" t="str">
        <f>IF(AND(Table1[[#This Row],[Spec Type2]]="N/A",Table1[[#This Row],[DUT Adj Read]]="N/A",Table1[[#This Row],[Std Adj Read]]="N/A"),"N/A",IF(Table1[[#This Row],[DUT Adj Read]]="N/A",IF(Table1[[#This Row],[Std Adj Read]]&lt;Table1[[#This Row],[High Tol]],"Pass","Fail"),IF(Table1[[#This Row],[DUT Adj Read]]&lt;Table1[[#This Row],[High Tol]],"Pass","Fail")))</f>
        <v>Fail</v>
      </c>
      <c r="AF1329" s="1" t="str">
        <f>IF(AND(Table1[[#This Row],[Spec Type2]]="N/A",Table1[[#This Row],[DUT Adj Read]]="N/A",Table1[[#This Row],[Std Adj Read]]="N/A"),"N/A",IF(Table1[[#This Row],[DUT Adj Read]]="N/A",IF(Table1[[#This Row],[Std Adj Read]]&gt;=Table1[[#This Row],[Low Tol]],"Pass","Fail"),IF(Table1[[#This Row],[DUT Adj Read]]&gt;=Table1[[#This Row],[Low Tol]],"Pass","Fail")))</f>
        <v>Pass</v>
      </c>
      <c r="AG1329" s="1" t="str">
        <f>IF(AND(Table1[[#This Row],[Spec Type2]]="N/A",Table1[[#This Row],[DUT Adj Read]]="N/A",Table1[[#This Row],[Std Adj Read]]="N/A"),"N/A",IF(Table1[[#This Row],[DUT Adj Read]]="N/A",IF(Table1[[#This Row],[Std Adj Read]]&lt;=Table1[[#This Row],[High Tol]],"Pass","Fail"),IF(Table1[[#This Row],[DUT Adj Read]]&lt;=Table1[[#This Row],[High Tol]],"Pass","Fail")))</f>
        <v>Fail</v>
      </c>
      <c r="AH13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9" s="1" t="b">
        <v>0</v>
      </c>
      <c r="AN1329" s="1" t="b">
        <v>0</v>
      </c>
      <c r="AO1329" s="1" t="b">
        <v>0</v>
      </c>
    </row>
    <row r="1330" spans="1:41" x14ac:dyDescent="0.25">
      <c r="A1330" s="10"/>
      <c r="B1330" s="10"/>
      <c r="C1330" s="10"/>
      <c r="D1330" s="10"/>
      <c r="E1330" s="10"/>
      <c r="F1330" s="10"/>
      <c r="G1330" s="10"/>
      <c r="H1330" s="10"/>
      <c r="I1330" s="1" t="str">
        <f t="shared" si="60"/>
        <v/>
      </c>
      <c r="J1330" s="1" t="s">
        <v>35</v>
      </c>
      <c r="K1330" s="1" t="str">
        <f t="shared" si="61"/>
        <v/>
      </c>
      <c r="L1330" s="1" t="str">
        <f t="shared" si="62"/>
        <v/>
      </c>
      <c r="M1330" s="1">
        <f>IF(OR(Table1[[#This Row],[Std Nom]]="",Table1[[#This Row],[Std Read]]=""),0,Table1[[#This Row],[Std Nom]]-Table1[[#This Row],[Std Read]])</f>
        <v>0</v>
      </c>
      <c r="N1330" s="1">
        <f>IF(Calculations!$F$5="ACCREDITED 17025 WITH UNCERTAINTIES",$N$10,0)</f>
        <v>0</v>
      </c>
      <c r="O1330" s="1" t="str">
        <f>IFERROR(Table1[[#This Row],[Std Nom]]-(_xlfn.XLOOKUP(Table1[[#This Row],[Manufacturer]]&amp;" "&amp;Table1[[#This Row],[Model]],Table13[MFR &amp; MDL],Table13[Tolerance % CW ],"")/100*Table1[[#This Row],[Std Nom]]),"")</f>
        <v/>
      </c>
      <c r="P1330" s="1" t="str">
        <f>IFERROR(Table1[[#This Row],[Std Nom]]+(_xlfn.XLOOKUP(Table1[[#This Row],[Manufacturer]]&amp;" "&amp;Table1[[#This Row],[Model]],Table13[MFR &amp; MDL],Table13[Tolerance % CW ],"")/100*Table1[[#This Row],[Std Nom]]),"")</f>
        <v/>
      </c>
      <c r="Q1330" s="1" t="e">
        <f>Table1[[#This Row],[High Tol]]-Table1[[#This Row],[Low Tol]]</f>
        <v>#VALUE!</v>
      </c>
      <c r="R1330" s="1">
        <f>2*Table1[[#This Row],[Std Error]]</f>
        <v>0</v>
      </c>
      <c r="S1330" s="1" t="str">
        <f>IF(Table1[[#This Row],[High Tol]]="","N/A",IFERROR(ABS(Table1[[#This Row],[Tol Span]]/Table1[[#This Row],[Error Span]]),"N/A"))</f>
        <v>N/A</v>
      </c>
      <c r="T1330" s="1" t="str">
        <f>IF(OR(Table1[[#This Row],[Low Tol]]="",Table1[[#This Row],[High Tol]]=""),"Needs Analysis",IF(Table1[[#This Row],[Ratio]]&gt;=4,"Not Significant",IF(Table1[[#This Row],[Ratio]]&gt;=2,"Semi-Significant","Significant")))</f>
        <v>Needs Analysis</v>
      </c>
      <c r="W1330" s="1">
        <f>IF(Table1[[#This Row],[Cal Type]]&lt;&gt;"ACCREDITED 17025 WITH UNCERTAINTIES",0,"")</f>
        <v>0</v>
      </c>
      <c r="X1330" s="1" t="str">
        <f>IF(Table1[[#This Row],[DUT Read]]="","N/A",Table1[[#This Row],[Std Error]]+Table1[[#This Row],[DUT Read]]+Table1[[#This Row],[DUT Ucty]])</f>
        <v>N/A</v>
      </c>
      <c r="Y1330" s="1" t="str">
        <f>IF(Table1[[#This Row],[Std Read]]="","N/A",Table1[[#This Row],[Std Read]]+Table1[[#This Row],[Std Ucty]])</f>
        <v>N/A</v>
      </c>
      <c r="Z13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0" s="1" t="str">
        <f>IF(Table1[[#This Row],[Spec Type]]="","N/A",Table1[[#This Row],[Spec Type]])</f>
        <v>±</v>
      </c>
      <c r="AC1330" s="1" t="str">
        <f>IF(Table1[[#This Row],[Spec Type2]]="N/A","N/A",IF(AND(Table1[[#This Row],[DUT Adj Read]]&gt;=Table1[[#This Row],[Low Tol]],Table1[[#This Row],[DUT Adj Read]]&lt;=Table1[[#This Row],[High Tol]]),"Pass","Fail"))</f>
        <v>Fail</v>
      </c>
      <c r="AD1330" s="1" t="str">
        <f>IF(AND(Table1[[#This Row],[Spec Type2]]="N/A",Table1[[#This Row],[DUT Adj Read]]="N/A",Table1[[#This Row],[Std Adj Read]]="N/A"),"N/A",IF(Table1[[#This Row],[DUT Adj Read]]="N/A",IF(Table1[[#This Row],[Std Adj Read]]&gt;Table1[[#This Row],[Low Tol]],"Pass","Fail"),IF(Table1[[#This Row],[DUT Adj Read]]&gt;Table1[[#This Row],[Low Tol]],"Pass","Fail")))</f>
        <v>Pass</v>
      </c>
      <c r="AE1330" s="1" t="str">
        <f>IF(AND(Table1[[#This Row],[Spec Type2]]="N/A",Table1[[#This Row],[DUT Adj Read]]="N/A",Table1[[#This Row],[Std Adj Read]]="N/A"),"N/A",IF(Table1[[#This Row],[DUT Adj Read]]="N/A",IF(Table1[[#This Row],[Std Adj Read]]&lt;Table1[[#This Row],[High Tol]],"Pass","Fail"),IF(Table1[[#This Row],[DUT Adj Read]]&lt;Table1[[#This Row],[High Tol]],"Pass","Fail")))</f>
        <v>Fail</v>
      </c>
      <c r="AF1330" s="1" t="str">
        <f>IF(AND(Table1[[#This Row],[Spec Type2]]="N/A",Table1[[#This Row],[DUT Adj Read]]="N/A",Table1[[#This Row],[Std Adj Read]]="N/A"),"N/A",IF(Table1[[#This Row],[DUT Adj Read]]="N/A",IF(Table1[[#This Row],[Std Adj Read]]&gt;=Table1[[#This Row],[Low Tol]],"Pass","Fail"),IF(Table1[[#This Row],[DUT Adj Read]]&gt;=Table1[[#This Row],[Low Tol]],"Pass","Fail")))</f>
        <v>Pass</v>
      </c>
      <c r="AG1330" s="1" t="str">
        <f>IF(AND(Table1[[#This Row],[Spec Type2]]="N/A",Table1[[#This Row],[DUT Adj Read]]="N/A",Table1[[#This Row],[Std Adj Read]]="N/A"),"N/A",IF(Table1[[#This Row],[DUT Adj Read]]="N/A",IF(Table1[[#This Row],[Std Adj Read]]&lt;=Table1[[#This Row],[High Tol]],"Pass","Fail"),IF(Table1[[#This Row],[DUT Adj Read]]&lt;=Table1[[#This Row],[High Tol]],"Pass","Fail")))</f>
        <v>Fail</v>
      </c>
      <c r="AH13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0" s="1" t="b">
        <v>0</v>
      </c>
      <c r="AN1330" s="1" t="b">
        <v>0</v>
      </c>
      <c r="AO1330" s="1" t="b">
        <v>0</v>
      </c>
    </row>
    <row r="1331" spans="1:41" x14ac:dyDescent="0.25">
      <c r="A1331" s="10"/>
      <c r="B1331" s="10"/>
      <c r="C1331" s="10"/>
      <c r="D1331" s="10"/>
      <c r="E1331" s="10"/>
      <c r="F1331" s="10"/>
      <c r="G1331" s="10"/>
      <c r="H1331" s="10"/>
      <c r="I1331" s="1" t="str">
        <f t="shared" si="60"/>
        <v/>
      </c>
      <c r="J1331" s="1" t="s">
        <v>35</v>
      </c>
      <c r="K1331" s="1" t="str">
        <f t="shared" si="61"/>
        <v/>
      </c>
      <c r="L1331" s="1" t="str">
        <f t="shared" si="62"/>
        <v/>
      </c>
      <c r="M1331" s="1">
        <f>IF(OR(Table1[[#This Row],[Std Nom]]="",Table1[[#This Row],[Std Read]]=""),0,Table1[[#This Row],[Std Nom]]-Table1[[#This Row],[Std Read]])</f>
        <v>0</v>
      </c>
      <c r="N1331" s="1">
        <f>IF(Calculations!$F$5="ACCREDITED 17025 WITH UNCERTAINTIES",$N$10,0)</f>
        <v>0</v>
      </c>
      <c r="O1331" s="1" t="str">
        <f>IFERROR(Table1[[#This Row],[Std Nom]]-(_xlfn.XLOOKUP(Table1[[#This Row],[Manufacturer]]&amp;" "&amp;Table1[[#This Row],[Model]],Table13[MFR &amp; MDL],Table13[Tolerance % CW ],"")/100*Table1[[#This Row],[Std Nom]]),"")</f>
        <v/>
      </c>
      <c r="P1331" s="1" t="str">
        <f>IFERROR(Table1[[#This Row],[Std Nom]]+(_xlfn.XLOOKUP(Table1[[#This Row],[Manufacturer]]&amp;" "&amp;Table1[[#This Row],[Model]],Table13[MFR &amp; MDL],Table13[Tolerance % CW ],"")/100*Table1[[#This Row],[Std Nom]]),"")</f>
        <v/>
      </c>
      <c r="Q1331" s="1" t="e">
        <f>Table1[[#This Row],[High Tol]]-Table1[[#This Row],[Low Tol]]</f>
        <v>#VALUE!</v>
      </c>
      <c r="R1331" s="1">
        <f>2*Table1[[#This Row],[Std Error]]</f>
        <v>0</v>
      </c>
      <c r="S1331" s="1" t="str">
        <f>IF(Table1[[#This Row],[High Tol]]="","N/A",IFERROR(ABS(Table1[[#This Row],[Tol Span]]/Table1[[#This Row],[Error Span]]),"N/A"))</f>
        <v>N/A</v>
      </c>
      <c r="T1331" s="1" t="str">
        <f>IF(OR(Table1[[#This Row],[Low Tol]]="",Table1[[#This Row],[High Tol]]=""),"Needs Analysis",IF(Table1[[#This Row],[Ratio]]&gt;=4,"Not Significant",IF(Table1[[#This Row],[Ratio]]&gt;=2,"Semi-Significant","Significant")))</f>
        <v>Needs Analysis</v>
      </c>
      <c r="W1331" s="1">
        <f>IF(Table1[[#This Row],[Cal Type]]&lt;&gt;"ACCREDITED 17025 WITH UNCERTAINTIES",0,"")</f>
        <v>0</v>
      </c>
      <c r="X1331" s="1" t="str">
        <f>IF(Table1[[#This Row],[DUT Read]]="","N/A",Table1[[#This Row],[Std Error]]+Table1[[#This Row],[DUT Read]]+Table1[[#This Row],[DUT Ucty]])</f>
        <v>N/A</v>
      </c>
      <c r="Y1331" s="1" t="str">
        <f>IF(Table1[[#This Row],[Std Read]]="","N/A",Table1[[#This Row],[Std Read]]+Table1[[#This Row],[Std Ucty]])</f>
        <v>N/A</v>
      </c>
      <c r="Z13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1" s="1" t="str">
        <f>IF(Table1[[#This Row],[Spec Type]]="","N/A",Table1[[#This Row],[Spec Type]])</f>
        <v>±</v>
      </c>
      <c r="AC1331" s="1" t="str">
        <f>IF(Table1[[#This Row],[Spec Type2]]="N/A","N/A",IF(AND(Table1[[#This Row],[DUT Adj Read]]&gt;=Table1[[#This Row],[Low Tol]],Table1[[#This Row],[DUT Adj Read]]&lt;=Table1[[#This Row],[High Tol]]),"Pass","Fail"))</f>
        <v>Fail</v>
      </c>
      <c r="AD1331" s="1" t="str">
        <f>IF(AND(Table1[[#This Row],[Spec Type2]]="N/A",Table1[[#This Row],[DUT Adj Read]]="N/A",Table1[[#This Row],[Std Adj Read]]="N/A"),"N/A",IF(Table1[[#This Row],[DUT Adj Read]]="N/A",IF(Table1[[#This Row],[Std Adj Read]]&gt;Table1[[#This Row],[Low Tol]],"Pass","Fail"),IF(Table1[[#This Row],[DUT Adj Read]]&gt;Table1[[#This Row],[Low Tol]],"Pass","Fail")))</f>
        <v>Pass</v>
      </c>
      <c r="AE1331" s="1" t="str">
        <f>IF(AND(Table1[[#This Row],[Spec Type2]]="N/A",Table1[[#This Row],[DUT Adj Read]]="N/A",Table1[[#This Row],[Std Adj Read]]="N/A"),"N/A",IF(Table1[[#This Row],[DUT Adj Read]]="N/A",IF(Table1[[#This Row],[Std Adj Read]]&lt;Table1[[#This Row],[High Tol]],"Pass","Fail"),IF(Table1[[#This Row],[DUT Adj Read]]&lt;Table1[[#This Row],[High Tol]],"Pass","Fail")))</f>
        <v>Fail</v>
      </c>
      <c r="AF1331" s="1" t="str">
        <f>IF(AND(Table1[[#This Row],[Spec Type2]]="N/A",Table1[[#This Row],[DUT Adj Read]]="N/A",Table1[[#This Row],[Std Adj Read]]="N/A"),"N/A",IF(Table1[[#This Row],[DUT Adj Read]]="N/A",IF(Table1[[#This Row],[Std Adj Read]]&gt;=Table1[[#This Row],[Low Tol]],"Pass","Fail"),IF(Table1[[#This Row],[DUT Adj Read]]&gt;=Table1[[#This Row],[Low Tol]],"Pass","Fail")))</f>
        <v>Pass</v>
      </c>
      <c r="AG1331" s="1" t="str">
        <f>IF(AND(Table1[[#This Row],[Spec Type2]]="N/A",Table1[[#This Row],[DUT Adj Read]]="N/A",Table1[[#This Row],[Std Adj Read]]="N/A"),"N/A",IF(Table1[[#This Row],[DUT Adj Read]]="N/A",IF(Table1[[#This Row],[Std Adj Read]]&lt;=Table1[[#This Row],[High Tol]],"Pass","Fail"),IF(Table1[[#This Row],[DUT Adj Read]]&lt;=Table1[[#This Row],[High Tol]],"Pass","Fail")))</f>
        <v>Fail</v>
      </c>
      <c r="AH13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1" s="1" t="b">
        <v>0</v>
      </c>
      <c r="AN1331" s="1" t="b">
        <v>0</v>
      </c>
      <c r="AO1331" s="1" t="b">
        <v>0</v>
      </c>
    </row>
    <row r="1332" spans="1:41" x14ac:dyDescent="0.25">
      <c r="A1332" s="10"/>
      <c r="B1332" s="10"/>
      <c r="C1332" s="10"/>
      <c r="D1332" s="10"/>
      <c r="E1332" s="10"/>
      <c r="F1332" s="10"/>
      <c r="G1332" s="10"/>
      <c r="H1332" s="10"/>
      <c r="I1332" s="1" t="str">
        <f t="shared" si="60"/>
        <v/>
      </c>
      <c r="J1332" s="1" t="s">
        <v>35</v>
      </c>
      <c r="K1332" s="1" t="str">
        <f t="shared" si="61"/>
        <v/>
      </c>
      <c r="L1332" s="1" t="str">
        <f t="shared" si="62"/>
        <v/>
      </c>
      <c r="M1332" s="1">
        <f>IF(OR(Table1[[#This Row],[Std Nom]]="",Table1[[#This Row],[Std Read]]=""),0,Table1[[#This Row],[Std Nom]]-Table1[[#This Row],[Std Read]])</f>
        <v>0</v>
      </c>
      <c r="N1332" s="1">
        <f>IF(Calculations!$F$5="ACCREDITED 17025 WITH UNCERTAINTIES",$N$10,0)</f>
        <v>0</v>
      </c>
      <c r="O1332" s="1" t="str">
        <f>IFERROR(Table1[[#This Row],[Std Nom]]-(_xlfn.XLOOKUP(Table1[[#This Row],[Manufacturer]]&amp;" "&amp;Table1[[#This Row],[Model]],Table13[MFR &amp; MDL],Table13[Tolerance % CW ],"")/100*Table1[[#This Row],[Std Nom]]),"")</f>
        <v/>
      </c>
      <c r="P1332" s="1" t="str">
        <f>IFERROR(Table1[[#This Row],[Std Nom]]+(_xlfn.XLOOKUP(Table1[[#This Row],[Manufacturer]]&amp;" "&amp;Table1[[#This Row],[Model]],Table13[MFR &amp; MDL],Table13[Tolerance % CW ],"")/100*Table1[[#This Row],[Std Nom]]),"")</f>
        <v/>
      </c>
      <c r="Q1332" s="1" t="e">
        <f>Table1[[#This Row],[High Tol]]-Table1[[#This Row],[Low Tol]]</f>
        <v>#VALUE!</v>
      </c>
      <c r="R1332" s="1">
        <f>2*Table1[[#This Row],[Std Error]]</f>
        <v>0</v>
      </c>
      <c r="S1332" s="1" t="str">
        <f>IF(Table1[[#This Row],[High Tol]]="","N/A",IFERROR(ABS(Table1[[#This Row],[Tol Span]]/Table1[[#This Row],[Error Span]]),"N/A"))</f>
        <v>N/A</v>
      </c>
      <c r="T1332" s="1" t="str">
        <f>IF(OR(Table1[[#This Row],[Low Tol]]="",Table1[[#This Row],[High Tol]]=""),"Needs Analysis",IF(Table1[[#This Row],[Ratio]]&gt;=4,"Not Significant",IF(Table1[[#This Row],[Ratio]]&gt;=2,"Semi-Significant","Significant")))</f>
        <v>Needs Analysis</v>
      </c>
      <c r="W1332" s="1">
        <f>IF(Table1[[#This Row],[Cal Type]]&lt;&gt;"ACCREDITED 17025 WITH UNCERTAINTIES",0,"")</f>
        <v>0</v>
      </c>
      <c r="X1332" s="1" t="str">
        <f>IF(Table1[[#This Row],[DUT Read]]="","N/A",Table1[[#This Row],[Std Error]]+Table1[[#This Row],[DUT Read]]+Table1[[#This Row],[DUT Ucty]])</f>
        <v>N/A</v>
      </c>
      <c r="Y1332" s="1" t="str">
        <f>IF(Table1[[#This Row],[Std Read]]="","N/A",Table1[[#This Row],[Std Read]]+Table1[[#This Row],[Std Ucty]])</f>
        <v>N/A</v>
      </c>
      <c r="Z13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2" s="1" t="str">
        <f>IF(Table1[[#This Row],[Spec Type]]="","N/A",Table1[[#This Row],[Spec Type]])</f>
        <v>±</v>
      </c>
      <c r="AC1332" s="1" t="str">
        <f>IF(Table1[[#This Row],[Spec Type2]]="N/A","N/A",IF(AND(Table1[[#This Row],[DUT Adj Read]]&gt;=Table1[[#This Row],[Low Tol]],Table1[[#This Row],[DUT Adj Read]]&lt;=Table1[[#This Row],[High Tol]]),"Pass","Fail"))</f>
        <v>Fail</v>
      </c>
      <c r="AD1332" s="1" t="str">
        <f>IF(AND(Table1[[#This Row],[Spec Type2]]="N/A",Table1[[#This Row],[DUT Adj Read]]="N/A",Table1[[#This Row],[Std Adj Read]]="N/A"),"N/A",IF(Table1[[#This Row],[DUT Adj Read]]="N/A",IF(Table1[[#This Row],[Std Adj Read]]&gt;Table1[[#This Row],[Low Tol]],"Pass","Fail"),IF(Table1[[#This Row],[DUT Adj Read]]&gt;Table1[[#This Row],[Low Tol]],"Pass","Fail")))</f>
        <v>Pass</v>
      </c>
      <c r="AE1332" s="1" t="str">
        <f>IF(AND(Table1[[#This Row],[Spec Type2]]="N/A",Table1[[#This Row],[DUT Adj Read]]="N/A",Table1[[#This Row],[Std Adj Read]]="N/A"),"N/A",IF(Table1[[#This Row],[DUT Adj Read]]="N/A",IF(Table1[[#This Row],[Std Adj Read]]&lt;Table1[[#This Row],[High Tol]],"Pass","Fail"),IF(Table1[[#This Row],[DUT Adj Read]]&lt;Table1[[#This Row],[High Tol]],"Pass","Fail")))</f>
        <v>Fail</v>
      </c>
      <c r="AF1332" s="1" t="str">
        <f>IF(AND(Table1[[#This Row],[Spec Type2]]="N/A",Table1[[#This Row],[DUT Adj Read]]="N/A",Table1[[#This Row],[Std Adj Read]]="N/A"),"N/A",IF(Table1[[#This Row],[DUT Adj Read]]="N/A",IF(Table1[[#This Row],[Std Adj Read]]&gt;=Table1[[#This Row],[Low Tol]],"Pass","Fail"),IF(Table1[[#This Row],[DUT Adj Read]]&gt;=Table1[[#This Row],[Low Tol]],"Pass","Fail")))</f>
        <v>Pass</v>
      </c>
      <c r="AG1332" s="1" t="str">
        <f>IF(AND(Table1[[#This Row],[Spec Type2]]="N/A",Table1[[#This Row],[DUT Adj Read]]="N/A",Table1[[#This Row],[Std Adj Read]]="N/A"),"N/A",IF(Table1[[#This Row],[DUT Adj Read]]="N/A",IF(Table1[[#This Row],[Std Adj Read]]&lt;=Table1[[#This Row],[High Tol]],"Pass","Fail"),IF(Table1[[#This Row],[DUT Adj Read]]&lt;=Table1[[#This Row],[High Tol]],"Pass","Fail")))</f>
        <v>Fail</v>
      </c>
      <c r="AH13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2" s="1" t="b">
        <v>0</v>
      </c>
      <c r="AN1332" s="1" t="b">
        <v>0</v>
      </c>
      <c r="AO1332" s="1" t="b">
        <v>0</v>
      </c>
    </row>
    <row r="1333" spans="1:41" x14ac:dyDescent="0.25">
      <c r="A1333" s="10"/>
      <c r="B1333" s="10"/>
      <c r="C1333" s="10"/>
      <c r="D1333" s="10"/>
      <c r="E1333" s="10"/>
      <c r="F1333" s="10"/>
      <c r="G1333" s="10"/>
      <c r="H1333" s="10"/>
      <c r="I1333" s="1" t="str">
        <f t="shared" si="60"/>
        <v/>
      </c>
      <c r="J1333" s="1" t="s">
        <v>35</v>
      </c>
      <c r="K1333" s="1" t="str">
        <f t="shared" si="61"/>
        <v/>
      </c>
      <c r="L1333" s="1" t="str">
        <f t="shared" si="62"/>
        <v/>
      </c>
      <c r="M1333" s="1">
        <f>IF(OR(Table1[[#This Row],[Std Nom]]="",Table1[[#This Row],[Std Read]]=""),0,Table1[[#This Row],[Std Nom]]-Table1[[#This Row],[Std Read]])</f>
        <v>0</v>
      </c>
      <c r="N1333" s="1">
        <f>IF(Calculations!$F$5="ACCREDITED 17025 WITH UNCERTAINTIES",$N$10,0)</f>
        <v>0</v>
      </c>
      <c r="O1333" s="1" t="str">
        <f>IFERROR(Table1[[#This Row],[Std Nom]]-(_xlfn.XLOOKUP(Table1[[#This Row],[Manufacturer]]&amp;" "&amp;Table1[[#This Row],[Model]],Table13[MFR &amp; MDL],Table13[Tolerance % CW ],"")/100*Table1[[#This Row],[Std Nom]]),"")</f>
        <v/>
      </c>
      <c r="P1333" s="1" t="str">
        <f>IFERROR(Table1[[#This Row],[Std Nom]]+(_xlfn.XLOOKUP(Table1[[#This Row],[Manufacturer]]&amp;" "&amp;Table1[[#This Row],[Model]],Table13[MFR &amp; MDL],Table13[Tolerance % CW ],"")/100*Table1[[#This Row],[Std Nom]]),"")</f>
        <v/>
      </c>
      <c r="Q1333" s="1" t="e">
        <f>Table1[[#This Row],[High Tol]]-Table1[[#This Row],[Low Tol]]</f>
        <v>#VALUE!</v>
      </c>
      <c r="R1333" s="1">
        <f>2*Table1[[#This Row],[Std Error]]</f>
        <v>0</v>
      </c>
      <c r="S1333" s="1" t="str">
        <f>IF(Table1[[#This Row],[High Tol]]="","N/A",IFERROR(ABS(Table1[[#This Row],[Tol Span]]/Table1[[#This Row],[Error Span]]),"N/A"))</f>
        <v>N/A</v>
      </c>
      <c r="T1333" s="1" t="str">
        <f>IF(OR(Table1[[#This Row],[Low Tol]]="",Table1[[#This Row],[High Tol]]=""),"Needs Analysis",IF(Table1[[#This Row],[Ratio]]&gt;=4,"Not Significant",IF(Table1[[#This Row],[Ratio]]&gt;=2,"Semi-Significant","Significant")))</f>
        <v>Needs Analysis</v>
      </c>
      <c r="W1333" s="1">
        <f>IF(Table1[[#This Row],[Cal Type]]&lt;&gt;"ACCREDITED 17025 WITH UNCERTAINTIES",0,"")</f>
        <v>0</v>
      </c>
      <c r="X1333" s="1" t="str">
        <f>IF(Table1[[#This Row],[DUT Read]]="","N/A",Table1[[#This Row],[Std Error]]+Table1[[#This Row],[DUT Read]]+Table1[[#This Row],[DUT Ucty]])</f>
        <v>N/A</v>
      </c>
      <c r="Y1333" s="1" t="str">
        <f>IF(Table1[[#This Row],[Std Read]]="","N/A",Table1[[#This Row],[Std Read]]+Table1[[#This Row],[Std Ucty]])</f>
        <v>N/A</v>
      </c>
      <c r="Z13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3" s="1" t="str">
        <f>IF(Table1[[#This Row],[Spec Type]]="","N/A",Table1[[#This Row],[Spec Type]])</f>
        <v>±</v>
      </c>
      <c r="AC1333" s="1" t="str">
        <f>IF(Table1[[#This Row],[Spec Type2]]="N/A","N/A",IF(AND(Table1[[#This Row],[DUT Adj Read]]&gt;=Table1[[#This Row],[Low Tol]],Table1[[#This Row],[DUT Adj Read]]&lt;=Table1[[#This Row],[High Tol]]),"Pass","Fail"))</f>
        <v>Fail</v>
      </c>
      <c r="AD1333" s="1" t="str">
        <f>IF(AND(Table1[[#This Row],[Spec Type2]]="N/A",Table1[[#This Row],[DUT Adj Read]]="N/A",Table1[[#This Row],[Std Adj Read]]="N/A"),"N/A",IF(Table1[[#This Row],[DUT Adj Read]]="N/A",IF(Table1[[#This Row],[Std Adj Read]]&gt;Table1[[#This Row],[Low Tol]],"Pass","Fail"),IF(Table1[[#This Row],[DUT Adj Read]]&gt;Table1[[#This Row],[Low Tol]],"Pass","Fail")))</f>
        <v>Pass</v>
      </c>
      <c r="AE1333" s="1" t="str">
        <f>IF(AND(Table1[[#This Row],[Spec Type2]]="N/A",Table1[[#This Row],[DUT Adj Read]]="N/A",Table1[[#This Row],[Std Adj Read]]="N/A"),"N/A",IF(Table1[[#This Row],[DUT Adj Read]]="N/A",IF(Table1[[#This Row],[Std Adj Read]]&lt;Table1[[#This Row],[High Tol]],"Pass","Fail"),IF(Table1[[#This Row],[DUT Adj Read]]&lt;Table1[[#This Row],[High Tol]],"Pass","Fail")))</f>
        <v>Fail</v>
      </c>
      <c r="AF1333" s="1" t="str">
        <f>IF(AND(Table1[[#This Row],[Spec Type2]]="N/A",Table1[[#This Row],[DUT Adj Read]]="N/A",Table1[[#This Row],[Std Adj Read]]="N/A"),"N/A",IF(Table1[[#This Row],[DUT Adj Read]]="N/A",IF(Table1[[#This Row],[Std Adj Read]]&gt;=Table1[[#This Row],[Low Tol]],"Pass","Fail"),IF(Table1[[#This Row],[DUT Adj Read]]&gt;=Table1[[#This Row],[Low Tol]],"Pass","Fail")))</f>
        <v>Pass</v>
      </c>
      <c r="AG1333" s="1" t="str">
        <f>IF(AND(Table1[[#This Row],[Spec Type2]]="N/A",Table1[[#This Row],[DUT Adj Read]]="N/A",Table1[[#This Row],[Std Adj Read]]="N/A"),"N/A",IF(Table1[[#This Row],[DUT Adj Read]]="N/A",IF(Table1[[#This Row],[Std Adj Read]]&lt;=Table1[[#This Row],[High Tol]],"Pass","Fail"),IF(Table1[[#This Row],[DUT Adj Read]]&lt;=Table1[[#This Row],[High Tol]],"Pass","Fail")))</f>
        <v>Fail</v>
      </c>
      <c r="AH13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3" s="1" t="b">
        <v>0</v>
      </c>
      <c r="AN1333" s="1" t="b">
        <v>0</v>
      </c>
      <c r="AO1333" s="1" t="b">
        <v>0</v>
      </c>
    </row>
    <row r="1334" spans="1:41" x14ac:dyDescent="0.25">
      <c r="A1334" s="10"/>
      <c r="B1334" s="10"/>
      <c r="C1334" s="10"/>
      <c r="D1334" s="10"/>
      <c r="E1334" s="10"/>
      <c r="F1334" s="10"/>
      <c r="G1334" s="10"/>
      <c r="H1334" s="10"/>
      <c r="I1334" s="1" t="str">
        <f t="shared" si="60"/>
        <v/>
      </c>
      <c r="J1334" s="1" t="s">
        <v>35</v>
      </c>
      <c r="K1334" s="1" t="str">
        <f t="shared" si="61"/>
        <v/>
      </c>
      <c r="L1334" s="1" t="str">
        <f t="shared" si="62"/>
        <v/>
      </c>
      <c r="M1334" s="1">
        <f>IF(OR(Table1[[#This Row],[Std Nom]]="",Table1[[#This Row],[Std Read]]=""),0,Table1[[#This Row],[Std Nom]]-Table1[[#This Row],[Std Read]])</f>
        <v>0</v>
      </c>
      <c r="N1334" s="1">
        <f>IF(Calculations!$F$5="ACCREDITED 17025 WITH UNCERTAINTIES",$N$10,0)</f>
        <v>0</v>
      </c>
      <c r="O1334" s="1" t="str">
        <f>IFERROR(Table1[[#This Row],[Std Nom]]-(_xlfn.XLOOKUP(Table1[[#This Row],[Manufacturer]]&amp;" "&amp;Table1[[#This Row],[Model]],Table13[MFR &amp; MDL],Table13[Tolerance % CW ],"")/100*Table1[[#This Row],[Std Nom]]),"")</f>
        <v/>
      </c>
      <c r="P1334" s="1" t="str">
        <f>IFERROR(Table1[[#This Row],[Std Nom]]+(_xlfn.XLOOKUP(Table1[[#This Row],[Manufacturer]]&amp;" "&amp;Table1[[#This Row],[Model]],Table13[MFR &amp; MDL],Table13[Tolerance % CW ],"")/100*Table1[[#This Row],[Std Nom]]),"")</f>
        <v/>
      </c>
      <c r="Q1334" s="1" t="e">
        <f>Table1[[#This Row],[High Tol]]-Table1[[#This Row],[Low Tol]]</f>
        <v>#VALUE!</v>
      </c>
      <c r="R1334" s="1">
        <f>2*Table1[[#This Row],[Std Error]]</f>
        <v>0</v>
      </c>
      <c r="S1334" s="1" t="str">
        <f>IF(Table1[[#This Row],[High Tol]]="","N/A",IFERROR(ABS(Table1[[#This Row],[Tol Span]]/Table1[[#This Row],[Error Span]]),"N/A"))</f>
        <v>N/A</v>
      </c>
      <c r="T1334" s="1" t="str">
        <f>IF(OR(Table1[[#This Row],[Low Tol]]="",Table1[[#This Row],[High Tol]]=""),"Needs Analysis",IF(Table1[[#This Row],[Ratio]]&gt;=4,"Not Significant",IF(Table1[[#This Row],[Ratio]]&gt;=2,"Semi-Significant","Significant")))</f>
        <v>Needs Analysis</v>
      </c>
      <c r="W1334" s="1">
        <f>IF(Table1[[#This Row],[Cal Type]]&lt;&gt;"ACCREDITED 17025 WITH UNCERTAINTIES",0,"")</f>
        <v>0</v>
      </c>
      <c r="X1334" s="1" t="str">
        <f>IF(Table1[[#This Row],[DUT Read]]="","N/A",Table1[[#This Row],[Std Error]]+Table1[[#This Row],[DUT Read]]+Table1[[#This Row],[DUT Ucty]])</f>
        <v>N/A</v>
      </c>
      <c r="Y1334" s="1" t="str">
        <f>IF(Table1[[#This Row],[Std Read]]="","N/A",Table1[[#This Row],[Std Read]]+Table1[[#This Row],[Std Ucty]])</f>
        <v>N/A</v>
      </c>
      <c r="Z13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4" s="1" t="str">
        <f>IF(Table1[[#This Row],[Spec Type]]="","N/A",Table1[[#This Row],[Spec Type]])</f>
        <v>±</v>
      </c>
      <c r="AC1334" s="1" t="str">
        <f>IF(Table1[[#This Row],[Spec Type2]]="N/A","N/A",IF(AND(Table1[[#This Row],[DUT Adj Read]]&gt;=Table1[[#This Row],[Low Tol]],Table1[[#This Row],[DUT Adj Read]]&lt;=Table1[[#This Row],[High Tol]]),"Pass","Fail"))</f>
        <v>Fail</v>
      </c>
      <c r="AD1334" s="1" t="str">
        <f>IF(AND(Table1[[#This Row],[Spec Type2]]="N/A",Table1[[#This Row],[DUT Adj Read]]="N/A",Table1[[#This Row],[Std Adj Read]]="N/A"),"N/A",IF(Table1[[#This Row],[DUT Adj Read]]="N/A",IF(Table1[[#This Row],[Std Adj Read]]&gt;Table1[[#This Row],[Low Tol]],"Pass","Fail"),IF(Table1[[#This Row],[DUT Adj Read]]&gt;Table1[[#This Row],[Low Tol]],"Pass","Fail")))</f>
        <v>Pass</v>
      </c>
      <c r="AE1334" s="1" t="str">
        <f>IF(AND(Table1[[#This Row],[Spec Type2]]="N/A",Table1[[#This Row],[DUT Adj Read]]="N/A",Table1[[#This Row],[Std Adj Read]]="N/A"),"N/A",IF(Table1[[#This Row],[DUT Adj Read]]="N/A",IF(Table1[[#This Row],[Std Adj Read]]&lt;Table1[[#This Row],[High Tol]],"Pass","Fail"),IF(Table1[[#This Row],[DUT Adj Read]]&lt;Table1[[#This Row],[High Tol]],"Pass","Fail")))</f>
        <v>Fail</v>
      </c>
      <c r="AF1334" s="1" t="str">
        <f>IF(AND(Table1[[#This Row],[Spec Type2]]="N/A",Table1[[#This Row],[DUT Adj Read]]="N/A",Table1[[#This Row],[Std Adj Read]]="N/A"),"N/A",IF(Table1[[#This Row],[DUT Adj Read]]="N/A",IF(Table1[[#This Row],[Std Adj Read]]&gt;=Table1[[#This Row],[Low Tol]],"Pass","Fail"),IF(Table1[[#This Row],[DUT Adj Read]]&gt;=Table1[[#This Row],[Low Tol]],"Pass","Fail")))</f>
        <v>Pass</v>
      </c>
      <c r="AG1334" s="1" t="str">
        <f>IF(AND(Table1[[#This Row],[Spec Type2]]="N/A",Table1[[#This Row],[DUT Adj Read]]="N/A",Table1[[#This Row],[Std Adj Read]]="N/A"),"N/A",IF(Table1[[#This Row],[DUT Adj Read]]="N/A",IF(Table1[[#This Row],[Std Adj Read]]&lt;=Table1[[#This Row],[High Tol]],"Pass","Fail"),IF(Table1[[#This Row],[DUT Adj Read]]&lt;=Table1[[#This Row],[High Tol]],"Pass","Fail")))</f>
        <v>Fail</v>
      </c>
      <c r="AH13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4" s="1" t="b">
        <v>0</v>
      </c>
      <c r="AN1334" s="1" t="b">
        <v>0</v>
      </c>
      <c r="AO1334" s="1" t="b">
        <v>0</v>
      </c>
    </row>
    <row r="1335" spans="1:41" x14ac:dyDescent="0.25">
      <c r="A1335" s="10"/>
      <c r="B1335" s="10"/>
      <c r="C1335" s="10"/>
      <c r="D1335" s="10"/>
      <c r="E1335" s="10"/>
      <c r="F1335" s="10"/>
      <c r="G1335" s="10"/>
      <c r="H1335" s="10"/>
      <c r="I1335" s="1" t="str">
        <f t="shared" si="60"/>
        <v/>
      </c>
      <c r="J1335" s="1" t="s">
        <v>35</v>
      </c>
      <c r="K1335" s="1" t="str">
        <f t="shared" si="61"/>
        <v/>
      </c>
      <c r="L1335" s="1" t="str">
        <f t="shared" si="62"/>
        <v/>
      </c>
      <c r="M1335" s="1">
        <f>IF(OR(Table1[[#This Row],[Std Nom]]="",Table1[[#This Row],[Std Read]]=""),0,Table1[[#This Row],[Std Nom]]-Table1[[#This Row],[Std Read]])</f>
        <v>0</v>
      </c>
      <c r="N1335" s="1">
        <f>IF(Calculations!$F$5="ACCREDITED 17025 WITH UNCERTAINTIES",$N$10,0)</f>
        <v>0</v>
      </c>
      <c r="O1335" s="1" t="str">
        <f>IFERROR(Table1[[#This Row],[Std Nom]]-(_xlfn.XLOOKUP(Table1[[#This Row],[Manufacturer]]&amp;" "&amp;Table1[[#This Row],[Model]],Table13[MFR &amp; MDL],Table13[Tolerance % CW ],"")/100*Table1[[#This Row],[Std Nom]]),"")</f>
        <v/>
      </c>
      <c r="P1335" s="1" t="str">
        <f>IFERROR(Table1[[#This Row],[Std Nom]]+(_xlfn.XLOOKUP(Table1[[#This Row],[Manufacturer]]&amp;" "&amp;Table1[[#This Row],[Model]],Table13[MFR &amp; MDL],Table13[Tolerance % CW ],"")/100*Table1[[#This Row],[Std Nom]]),"")</f>
        <v/>
      </c>
      <c r="Q1335" s="1" t="e">
        <f>Table1[[#This Row],[High Tol]]-Table1[[#This Row],[Low Tol]]</f>
        <v>#VALUE!</v>
      </c>
      <c r="R1335" s="1">
        <f>2*Table1[[#This Row],[Std Error]]</f>
        <v>0</v>
      </c>
      <c r="S1335" s="1" t="str">
        <f>IF(Table1[[#This Row],[High Tol]]="","N/A",IFERROR(ABS(Table1[[#This Row],[Tol Span]]/Table1[[#This Row],[Error Span]]),"N/A"))</f>
        <v>N/A</v>
      </c>
      <c r="T1335" s="1" t="str">
        <f>IF(OR(Table1[[#This Row],[Low Tol]]="",Table1[[#This Row],[High Tol]]=""),"Needs Analysis",IF(Table1[[#This Row],[Ratio]]&gt;=4,"Not Significant",IF(Table1[[#This Row],[Ratio]]&gt;=2,"Semi-Significant","Significant")))</f>
        <v>Needs Analysis</v>
      </c>
      <c r="W1335" s="1">
        <f>IF(Table1[[#This Row],[Cal Type]]&lt;&gt;"ACCREDITED 17025 WITH UNCERTAINTIES",0,"")</f>
        <v>0</v>
      </c>
      <c r="X1335" s="1" t="str">
        <f>IF(Table1[[#This Row],[DUT Read]]="","N/A",Table1[[#This Row],[Std Error]]+Table1[[#This Row],[DUT Read]]+Table1[[#This Row],[DUT Ucty]])</f>
        <v>N/A</v>
      </c>
      <c r="Y1335" s="1" t="str">
        <f>IF(Table1[[#This Row],[Std Read]]="","N/A",Table1[[#This Row],[Std Read]]+Table1[[#This Row],[Std Ucty]])</f>
        <v>N/A</v>
      </c>
      <c r="Z13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5" s="1" t="str">
        <f>IF(Table1[[#This Row],[Spec Type]]="","N/A",Table1[[#This Row],[Spec Type]])</f>
        <v>±</v>
      </c>
      <c r="AC1335" s="1" t="str">
        <f>IF(Table1[[#This Row],[Spec Type2]]="N/A","N/A",IF(AND(Table1[[#This Row],[DUT Adj Read]]&gt;=Table1[[#This Row],[Low Tol]],Table1[[#This Row],[DUT Adj Read]]&lt;=Table1[[#This Row],[High Tol]]),"Pass","Fail"))</f>
        <v>Fail</v>
      </c>
      <c r="AD1335" s="1" t="str">
        <f>IF(AND(Table1[[#This Row],[Spec Type2]]="N/A",Table1[[#This Row],[DUT Adj Read]]="N/A",Table1[[#This Row],[Std Adj Read]]="N/A"),"N/A",IF(Table1[[#This Row],[DUT Adj Read]]="N/A",IF(Table1[[#This Row],[Std Adj Read]]&gt;Table1[[#This Row],[Low Tol]],"Pass","Fail"),IF(Table1[[#This Row],[DUT Adj Read]]&gt;Table1[[#This Row],[Low Tol]],"Pass","Fail")))</f>
        <v>Pass</v>
      </c>
      <c r="AE1335" s="1" t="str">
        <f>IF(AND(Table1[[#This Row],[Spec Type2]]="N/A",Table1[[#This Row],[DUT Adj Read]]="N/A",Table1[[#This Row],[Std Adj Read]]="N/A"),"N/A",IF(Table1[[#This Row],[DUT Adj Read]]="N/A",IF(Table1[[#This Row],[Std Adj Read]]&lt;Table1[[#This Row],[High Tol]],"Pass","Fail"),IF(Table1[[#This Row],[DUT Adj Read]]&lt;Table1[[#This Row],[High Tol]],"Pass","Fail")))</f>
        <v>Fail</v>
      </c>
      <c r="AF1335" s="1" t="str">
        <f>IF(AND(Table1[[#This Row],[Spec Type2]]="N/A",Table1[[#This Row],[DUT Adj Read]]="N/A",Table1[[#This Row],[Std Adj Read]]="N/A"),"N/A",IF(Table1[[#This Row],[DUT Adj Read]]="N/A",IF(Table1[[#This Row],[Std Adj Read]]&gt;=Table1[[#This Row],[Low Tol]],"Pass","Fail"),IF(Table1[[#This Row],[DUT Adj Read]]&gt;=Table1[[#This Row],[Low Tol]],"Pass","Fail")))</f>
        <v>Pass</v>
      </c>
      <c r="AG1335" s="1" t="str">
        <f>IF(AND(Table1[[#This Row],[Spec Type2]]="N/A",Table1[[#This Row],[DUT Adj Read]]="N/A",Table1[[#This Row],[Std Adj Read]]="N/A"),"N/A",IF(Table1[[#This Row],[DUT Adj Read]]="N/A",IF(Table1[[#This Row],[Std Adj Read]]&lt;=Table1[[#This Row],[High Tol]],"Pass","Fail"),IF(Table1[[#This Row],[DUT Adj Read]]&lt;=Table1[[#This Row],[High Tol]],"Pass","Fail")))</f>
        <v>Fail</v>
      </c>
      <c r="AH13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5" s="1" t="b">
        <v>0</v>
      </c>
      <c r="AN1335" s="1" t="b">
        <v>0</v>
      </c>
      <c r="AO1335" s="1" t="b">
        <v>0</v>
      </c>
    </row>
    <row r="1336" spans="1:41" x14ac:dyDescent="0.25">
      <c r="A1336" s="10"/>
      <c r="B1336" s="10"/>
      <c r="C1336" s="10"/>
      <c r="D1336" s="10"/>
      <c r="E1336" s="10"/>
      <c r="F1336" s="10"/>
      <c r="G1336" s="10"/>
      <c r="H1336" s="10"/>
      <c r="I1336" s="1" t="str">
        <f t="shared" si="60"/>
        <v/>
      </c>
      <c r="J1336" s="1" t="s">
        <v>35</v>
      </c>
      <c r="K1336" s="1" t="str">
        <f t="shared" si="61"/>
        <v/>
      </c>
      <c r="L1336" s="1" t="str">
        <f t="shared" si="62"/>
        <v/>
      </c>
      <c r="M1336" s="1">
        <f>IF(OR(Table1[[#This Row],[Std Nom]]="",Table1[[#This Row],[Std Read]]=""),0,Table1[[#This Row],[Std Nom]]-Table1[[#This Row],[Std Read]])</f>
        <v>0</v>
      </c>
      <c r="N1336" s="1">
        <f>IF(Calculations!$F$5="ACCREDITED 17025 WITH UNCERTAINTIES",$N$10,0)</f>
        <v>0</v>
      </c>
      <c r="O1336" s="1" t="str">
        <f>IFERROR(Table1[[#This Row],[Std Nom]]-(_xlfn.XLOOKUP(Table1[[#This Row],[Manufacturer]]&amp;" "&amp;Table1[[#This Row],[Model]],Table13[MFR &amp; MDL],Table13[Tolerance % CW ],"")/100*Table1[[#This Row],[Std Nom]]),"")</f>
        <v/>
      </c>
      <c r="P1336" s="1" t="str">
        <f>IFERROR(Table1[[#This Row],[Std Nom]]+(_xlfn.XLOOKUP(Table1[[#This Row],[Manufacturer]]&amp;" "&amp;Table1[[#This Row],[Model]],Table13[MFR &amp; MDL],Table13[Tolerance % CW ],"")/100*Table1[[#This Row],[Std Nom]]),"")</f>
        <v/>
      </c>
      <c r="Q1336" s="1" t="e">
        <f>Table1[[#This Row],[High Tol]]-Table1[[#This Row],[Low Tol]]</f>
        <v>#VALUE!</v>
      </c>
      <c r="R1336" s="1">
        <f>2*Table1[[#This Row],[Std Error]]</f>
        <v>0</v>
      </c>
      <c r="S1336" s="1" t="str">
        <f>IF(Table1[[#This Row],[High Tol]]="","N/A",IFERROR(ABS(Table1[[#This Row],[Tol Span]]/Table1[[#This Row],[Error Span]]),"N/A"))</f>
        <v>N/A</v>
      </c>
      <c r="T1336" s="1" t="str">
        <f>IF(OR(Table1[[#This Row],[Low Tol]]="",Table1[[#This Row],[High Tol]]=""),"Needs Analysis",IF(Table1[[#This Row],[Ratio]]&gt;=4,"Not Significant",IF(Table1[[#This Row],[Ratio]]&gt;=2,"Semi-Significant","Significant")))</f>
        <v>Needs Analysis</v>
      </c>
      <c r="W1336" s="1">
        <f>IF(Table1[[#This Row],[Cal Type]]&lt;&gt;"ACCREDITED 17025 WITH UNCERTAINTIES",0,"")</f>
        <v>0</v>
      </c>
      <c r="X1336" s="1" t="str">
        <f>IF(Table1[[#This Row],[DUT Read]]="","N/A",Table1[[#This Row],[Std Error]]+Table1[[#This Row],[DUT Read]]+Table1[[#This Row],[DUT Ucty]])</f>
        <v>N/A</v>
      </c>
      <c r="Y1336" s="1" t="str">
        <f>IF(Table1[[#This Row],[Std Read]]="","N/A",Table1[[#This Row],[Std Read]]+Table1[[#This Row],[Std Ucty]])</f>
        <v>N/A</v>
      </c>
      <c r="Z13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6" s="1" t="str">
        <f>IF(Table1[[#This Row],[Spec Type]]="","N/A",Table1[[#This Row],[Spec Type]])</f>
        <v>±</v>
      </c>
      <c r="AC1336" s="1" t="str">
        <f>IF(Table1[[#This Row],[Spec Type2]]="N/A","N/A",IF(AND(Table1[[#This Row],[DUT Adj Read]]&gt;=Table1[[#This Row],[Low Tol]],Table1[[#This Row],[DUT Adj Read]]&lt;=Table1[[#This Row],[High Tol]]),"Pass","Fail"))</f>
        <v>Fail</v>
      </c>
      <c r="AD1336" s="1" t="str">
        <f>IF(AND(Table1[[#This Row],[Spec Type2]]="N/A",Table1[[#This Row],[DUT Adj Read]]="N/A",Table1[[#This Row],[Std Adj Read]]="N/A"),"N/A",IF(Table1[[#This Row],[DUT Adj Read]]="N/A",IF(Table1[[#This Row],[Std Adj Read]]&gt;Table1[[#This Row],[Low Tol]],"Pass","Fail"),IF(Table1[[#This Row],[DUT Adj Read]]&gt;Table1[[#This Row],[Low Tol]],"Pass","Fail")))</f>
        <v>Pass</v>
      </c>
      <c r="AE1336" s="1" t="str">
        <f>IF(AND(Table1[[#This Row],[Spec Type2]]="N/A",Table1[[#This Row],[DUT Adj Read]]="N/A",Table1[[#This Row],[Std Adj Read]]="N/A"),"N/A",IF(Table1[[#This Row],[DUT Adj Read]]="N/A",IF(Table1[[#This Row],[Std Adj Read]]&lt;Table1[[#This Row],[High Tol]],"Pass","Fail"),IF(Table1[[#This Row],[DUT Adj Read]]&lt;Table1[[#This Row],[High Tol]],"Pass","Fail")))</f>
        <v>Fail</v>
      </c>
      <c r="AF1336" s="1" t="str">
        <f>IF(AND(Table1[[#This Row],[Spec Type2]]="N/A",Table1[[#This Row],[DUT Adj Read]]="N/A",Table1[[#This Row],[Std Adj Read]]="N/A"),"N/A",IF(Table1[[#This Row],[DUT Adj Read]]="N/A",IF(Table1[[#This Row],[Std Adj Read]]&gt;=Table1[[#This Row],[Low Tol]],"Pass","Fail"),IF(Table1[[#This Row],[DUT Adj Read]]&gt;=Table1[[#This Row],[Low Tol]],"Pass","Fail")))</f>
        <v>Pass</v>
      </c>
      <c r="AG1336" s="1" t="str">
        <f>IF(AND(Table1[[#This Row],[Spec Type2]]="N/A",Table1[[#This Row],[DUT Adj Read]]="N/A",Table1[[#This Row],[Std Adj Read]]="N/A"),"N/A",IF(Table1[[#This Row],[DUT Adj Read]]="N/A",IF(Table1[[#This Row],[Std Adj Read]]&lt;=Table1[[#This Row],[High Tol]],"Pass","Fail"),IF(Table1[[#This Row],[DUT Adj Read]]&lt;=Table1[[#This Row],[High Tol]],"Pass","Fail")))</f>
        <v>Fail</v>
      </c>
      <c r="AH13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6" s="1" t="b">
        <v>0</v>
      </c>
      <c r="AN1336" s="1" t="b">
        <v>0</v>
      </c>
      <c r="AO1336" s="1" t="b">
        <v>0</v>
      </c>
    </row>
    <row r="1337" spans="1:41" x14ac:dyDescent="0.25">
      <c r="A1337" s="10"/>
      <c r="B1337" s="10"/>
      <c r="C1337" s="10"/>
      <c r="D1337" s="10"/>
      <c r="E1337" s="10"/>
      <c r="F1337" s="10"/>
      <c r="G1337" s="10"/>
      <c r="H1337" s="10"/>
      <c r="I1337" s="1" t="str">
        <f t="shared" si="60"/>
        <v/>
      </c>
      <c r="J1337" s="1" t="s">
        <v>35</v>
      </c>
      <c r="K1337" s="1" t="str">
        <f t="shared" si="61"/>
        <v/>
      </c>
      <c r="L1337" s="1" t="str">
        <f t="shared" si="62"/>
        <v/>
      </c>
      <c r="M1337" s="1">
        <f>IF(OR(Table1[[#This Row],[Std Nom]]="",Table1[[#This Row],[Std Read]]=""),0,Table1[[#This Row],[Std Nom]]-Table1[[#This Row],[Std Read]])</f>
        <v>0</v>
      </c>
      <c r="N1337" s="1">
        <f>IF(Calculations!$F$5="ACCREDITED 17025 WITH UNCERTAINTIES",$N$10,0)</f>
        <v>0</v>
      </c>
      <c r="O1337" s="1" t="str">
        <f>IFERROR(Table1[[#This Row],[Std Nom]]-(_xlfn.XLOOKUP(Table1[[#This Row],[Manufacturer]]&amp;" "&amp;Table1[[#This Row],[Model]],Table13[MFR &amp; MDL],Table13[Tolerance % CW ],"")/100*Table1[[#This Row],[Std Nom]]),"")</f>
        <v/>
      </c>
      <c r="P1337" s="1" t="str">
        <f>IFERROR(Table1[[#This Row],[Std Nom]]+(_xlfn.XLOOKUP(Table1[[#This Row],[Manufacturer]]&amp;" "&amp;Table1[[#This Row],[Model]],Table13[MFR &amp; MDL],Table13[Tolerance % CW ],"")/100*Table1[[#This Row],[Std Nom]]),"")</f>
        <v/>
      </c>
      <c r="Q1337" s="1" t="e">
        <f>Table1[[#This Row],[High Tol]]-Table1[[#This Row],[Low Tol]]</f>
        <v>#VALUE!</v>
      </c>
      <c r="R1337" s="1">
        <f>2*Table1[[#This Row],[Std Error]]</f>
        <v>0</v>
      </c>
      <c r="S1337" s="1" t="str">
        <f>IF(Table1[[#This Row],[High Tol]]="","N/A",IFERROR(ABS(Table1[[#This Row],[Tol Span]]/Table1[[#This Row],[Error Span]]),"N/A"))</f>
        <v>N/A</v>
      </c>
      <c r="T1337" s="1" t="str">
        <f>IF(OR(Table1[[#This Row],[Low Tol]]="",Table1[[#This Row],[High Tol]]=""),"Needs Analysis",IF(Table1[[#This Row],[Ratio]]&gt;=4,"Not Significant",IF(Table1[[#This Row],[Ratio]]&gt;=2,"Semi-Significant","Significant")))</f>
        <v>Needs Analysis</v>
      </c>
      <c r="W1337" s="1">
        <f>IF(Table1[[#This Row],[Cal Type]]&lt;&gt;"ACCREDITED 17025 WITH UNCERTAINTIES",0,"")</f>
        <v>0</v>
      </c>
      <c r="X1337" s="1" t="str">
        <f>IF(Table1[[#This Row],[DUT Read]]="","N/A",Table1[[#This Row],[Std Error]]+Table1[[#This Row],[DUT Read]]+Table1[[#This Row],[DUT Ucty]])</f>
        <v>N/A</v>
      </c>
      <c r="Y1337" s="1" t="str">
        <f>IF(Table1[[#This Row],[Std Read]]="","N/A",Table1[[#This Row],[Std Read]]+Table1[[#This Row],[Std Ucty]])</f>
        <v>N/A</v>
      </c>
      <c r="Z13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7" s="1" t="str">
        <f>IF(Table1[[#This Row],[Spec Type]]="","N/A",Table1[[#This Row],[Spec Type]])</f>
        <v>±</v>
      </c>
      <c r="AC1337" s="1" t="str">
        <f>IF(Table1[[#This Row],[Spec Type2]]="N/A","N/A",IF(AND(Table1[[#This Row],[DUT Adj Read]]&gt;=Table1[[#This Row],[Low Tol]],Table1[[#This Row],[DUT Adj Read]]&lt;=Table1[[#This Row],[High Tol]]),"Pass","Fail"))</f>
        <v>Fail</v>
      </c>
      <c r="AD1337" s="1" t="str">
        <f>IF(AND(Table1[[#This Row],[Spec Type2]]="N/A",Table1[[#This Row],[DUT Adj Read]]="N/A",Table1[[#This Row],[Std Adj Read]]="N/A"),"N/A",IF(Table1[[#This Row],[DUT Adj Read]]="N/A",IF(Table1[[#This Row],[Std Adj Read]]&gt;Table1[[#This Row],[Low Tol]],"Pass","Fail"),IF(Table1[[#This Row],[DUT Adj Read]]&gt;Table1[[#This Row],[Low Tol]],"Pass","Fail")))</f>
        <v>Pass</v>
      </c>
      <c r="AE1337" s="1" t="str">
        <f>IF(AND(Table1[[#This Row],[Spec Type2]]="N/A",Table1[[#This Row],[DUT Adj Read]]="N/A",Table1[[#This Row],[Std Adj Read]]="N/A"),"N/A",IF(Table1[[#This Row],[DUT Adj Read]]="N/A",IF(Table1[[#This Row],[Std Adj Read]]&lt;Table1[[#This Row],[High Tol]],"Pass","Fail"),IF(Table1[[#This Row],[DUT Adj Read]]&lt;Table1[[#This Row],[High Tol]],"Pass","Fail")))</f>
        <v>Fail</v>
      </c>
      <c r="AF1337" s="1" t="str">
        <f>IF(AND(Table1[[#This Row],[Spec Type2]]="N/A",Table1[[#This Row],[DUT Adj Read]]="N/A",Table1[[#This Row],[Std Adj Read]]="N/A"),"N/A",IF(Table1[[#This Row],[DUT Adj Read]]="N/A",IF(Table1[[#This Row],[Std Adj Read]]&gt;=Table1[[#This Row],[Low Tol]],"Pass","Fail"),IF(Table1[[#This Row],[DUT Adj Read]]&gt;=Table1[[#This Row],[Low Tol]],"Pass","Fail")))</f>
        <v>Pass</v>
      </c>
      <c r="AG1337" s="1" t="str">
        <f>IF(AND(Table1[[#This Row],[Spec Type2]]="N/A",Table1[[#This Row],[DUT Adj Read]]="N/A",Table1[[#This Row],[Std Adj Read]]="N/A"),"N/A",IF(Table1[[#This Row],[DUT Adj Read]]="N/A",IF(Table1[[#This Row],[Std Adj Read]]&lt;=Table1[[#This Row],[High Tol]],"Pass","Fail"),IF(Table1[[#This Row],[DUT Adj Read]]&lt;=Table1[[#This Row],[High Tol]],"Pass","Fail")))</f>
        <v>Fail</v>
      </c>
      <c r="AH13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7" s="1" t="b">
        <v>0</v>
      </c>
      <c r="AN1337" s="1" t="b">
        <v>0</v>
      </c>
      <c r="AO1337" s="1" t="b">
        <v>0</v>
      </c>
    </row>
    <row r="1338" spans="1:41" x14ac:dyDescent="0.25">
      <c r="A1338" s="10"/>
      <c r="B1338" s="10"/>
      <c r="C1338" s="10"/>
      <c r="D1338" s="10"/>
      <c r="E1338" s="10"/>
      <c r="F1338" s="10"/>
      <c r="G1338" s="10"/>
      <c r="H1338" s="10"/>
      <c r="I1338" s="1" t="str">
        <f t="shared" si="60"/>
        <v/>
      </c>
      <c r="J1338" s="1" t="s">
        <v>35</v>
      </c>
      <c r="K1338" s="1" t="str">
        <f t="shared" si="61"/>
        <v/>
      </c>
      <c r="L1338" s="1" t="str">
        <f t="shared" si="62"/>
        <v/>
      </c>
      <c r="M1338" s="1">
        <f>IF(OR(Table1[[#This Row],[Std Nom]]="",Table1[[#This Row],[Std Read]]=""),0,Table1[[#This Row],[Std Nom]]-Table1[[#This Row],[Std Read]])</f>
        <v>0</v>
      </c>
      <c r="N1338" s="1">
        <f>IF(Calculations!$F$5="ACCREDITED 17025 WITH UNCERTAINTIES",$N$10,0)</f>
        <v>0</v>
      </c>
      <c r="O1338" s="1" t="str">
        <f>IFERROR(Table1[[#This Row],[Std Nom]]-(_xlfn.XLOOKUP(Table1[[#This Row],[Manufacturer]]&amp;" "&amp;Table1[[#This Row],[Model]],Table13[MFR &amp; MDL],Table13[Tolerance % CW ],"")/100*Table1[[#This Row],[Std Nom]]),"")</f>
        <v/>
      </c>
      <c r="P1338" s="1" t="str">
        <f>IFERROR(Table1[[#This Row],[Std Nom]]+(_xlfn.XLOOKUP(Table1[[#This Row],[Manufacturer]]&amp;" "&amp;Table1[[#This Row],[Model]],Table13[MFR &amp; MDL],Table13[Tolerance % CW ],"")/100*Table1[[#This Row],[Std Nom]]),"")</f>
        <v/>
      </c>
      <c r="Q1338" s="1" t="e">
        <f>Table1[[#This Row],[High Tol]]-Table1[[#This Row],[Low Tol]]</f>
        <v>#VALUE!</v>
      </c>
      <c r="R1338" s="1">
        <f>2*Table1[[#This Row],[Std Error]]</f>
        <v>0</v>
      </c>
      <c r="S1338" s="1" t="str">
        <f>IF(Table1[[#This Row],[High Tol]]="","N/A",IFERROR(ABS(Table1[[#This Row],[Tol Span]]/Table1[[#This Row],[Error Span]]),"N/A"))</f>
        <v>N/A</v>
      </c>
      <c r="T1338" s="1" t="str">
        <f>IF(OR(Table1[[#This Row],[Low Tol]]="",Table1[[#This Row],[High Tol]]=""),"Needs Analysis",IF(Table1[[#This Row],[Ratio]]&gt;=4,"Not Significant",IF(Table1[[#This Row],[Ratio]]&gt;=2,"Semi-Significant","Significant")))</f>
        <v>Needs Analysis</v>
      </c>
      <c r="W1338" s="1">
        <f>IF(Table1[[#This Row],[Cal Type]]&lt;&gt;"ACCREDITED 17025 WITH UNCERTAINTIES",0,"")</f>
        <v>0</v>
      </c>
      <c r="X1338" s="1" t="str">
        <f>IF(Table1[[#This Row],[DUT Read]]="","N/A",Table1[[#This Row],[Std Error]]+Table1[[#This Row],[DUT Read]]+Table1[[#This Row],[DUT Ucty]])</f>
        <v>N/A</v>
      </c>
      <c r="Y1338" s="1" t="str">
        <f>IF(Table1[[#This Row],[Std Read]]="","N/A",Table1[[#This Row],[Std Read]]+Table1[[#This Row],[Std Ucty]])</f>
        <v>N/A</v>
      </c>
      <c r="Z13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8" s="1" t="str">
        <f>IF(Table1[[#This Row],[Spec Type]]="","N/A",Table1[[#This Row],[Spec Type]])</f>
        <v>±</v>
      </c>
      <c r="AC1338" s="1" t="str">
        <f>IF(Table1[[#This Row],[Spec Type2]]="N/A","N/A",IF(AND(Table1[[#This Row],[DUT Adj Read]]&gt;=Table1[[#This Row],[Low Tol]],Table1[[#This Row],[DUT Adj Read]]&lt;=Table1[[#This Row],[High Tol]]),"Pass","Fail"))</f>
        <v>Fail</v>
      </c>
      <c r="AD1338" s="1" t="str">
        <f>IF(AND(Table1[[#This Row],[Spec Type2]]="N/A",Table1[[#This Row],[DUT Adj Read]]="N/A",Table1[[#This Row],[Std Adj Read]]="N/A"),"N/A",IF(Table1[[#This Row],[DUT Adj Read]]="N/A",IF(Table1[[#This Row],[Std Adj Read]]&gt;Table1[[#This Row],[Low Tol]],"Pass","Fail"),IF(Table1[[#This Row],[DUT Adj Read]]&gt;Table1[[#This Row],[Low Tol]],"Pass","Fail")))</f>
        <v>Pass</v>
      </c>
      <c r="AE1338" s="1" t="str">
        <f>IF(AND(Table1[[#This Row],[Spec Type2]]="N/A",Table1[[#This Row],[DUT Adj Read]]="N/A",Table1[[#This Row],[Std Adj Read]]="N/A"),"N/A",IF(Table1[[#This Row],[DUT Adj Read]]="N/A",IF(Table1[[#This Row],[Std Adj Read]]&lt;Table1[[#This Row],[High Tol]],"Pass","Fail"),IF(Table1[[#This Row],[DUT Adj Read]]&lt;Table1[[#This Row],[High Tol]],"Pass","Fail")))</f>
        <v>Fail</v>
      </c>
      <c r="AF1338" s="1" t="str">
        <f>IF(AND(Table1[[#This Row],[Spec Type2]]="N/A",Table1[[#This Row],[DUT Adj Read]]="N/A",Table1[[#This Row],[Std Adj Read]]="N/A"),"N/A",IF(Table1[[#This Row],[DUT Adj Read]]="N/A",IF(Table1[[#This Row],[Std Adj Read]]&gt;=Table1[[#This Row],[Low Tol]],"Pass","Fail"),IF(Table1[[#This Row],[DUT Adj Read]]&gt;=Table1[[#This Row],[Low Tol]],"Pass","Fail")))</f>
        <v>Pass</v>
      </c>
      <c r="AG1338" s="1" t="str">
        <f>IF(AND(Table1[[#This Row],[Spec Type2]]="N/A",Table1[[#This Row],[DUT Adj Read]]="N/A",Table1[[#This Row],[Std Adj Read]]="N/A"),"N/A",IF(Table1[[#This Row],[DUT Adj Read]]="N/A",IF(Table1[[#This Row],[Std Adj Read]]&lt;=Table1[[#This Row],[High Tol]],"Pass","Fail"),IF(Table1[[#This Row],[DUT Adj Read]]&lt;=Table1[[#This Row],[High Tol]],"Pass","Fail")))</f>
        <v>Fail</v>
      </c>
      <c r="AH13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8" s="1" t="b">
        <v>0</v>
      </c>
      <c r="AN1338" s="1" t="b">
        <v>0</v>
      </c>
      <c r="AO1338" s="1" t="b">
        <v>0</v>
      </c>
    </row>
    <row r="1339" spans="1:41" x14ac:dyDescent="0.25">
      <c r="A1339" s="10"/>
      <c r="B1339" s="10"/>
      <c r="C1339" s="10"/>
      <c r="D1339" s="10"/>
      <c r="E1339" s="10"/>
      <c r="F1339" s="10"/>
      <c r="G1339" s="10"/>
      <c r="H1339" s="10"/>
      <c r="I1339" s="1" t="str">
        <f t="shared" si="60"/>
        <v/>
      </c>
      <c r="J1339" s="1" t="s">
        <v>35</v>
      </c>
      <c r="K1339" s="1" t="str">
        <f t="shared" si="61"/>
        <v/>
      </c>
      <c r="L1339" s="1" t="str">
        <f t="shared" si="62"/>
        <v/>
      </c>
      <c r="M1339" s="1">
        <f>IF(OR(Table1[[#This Row],[Std Nom]]="",Table1[[#This Row],[Std Read]]=""),0,Table1[[#This Row],[Std Nom]]-Table1[[#This Row],[Std Read]])</f>
        <v>0</v>
      </c>
      <c r="N1339" s="1">
        <f>IF(Calculations!$F$5="ACCREDITED 17025 WITH UNCERTAINTIES",$N$10,0)</f>
        <v>0</v>
      </c>
      <c r="O1339" s="1" t="str">
        <f>IFERROR(Table1[[#This Row],[Std Nom]]-(_xlfn.XLOOKUP(Table1[[#This Row],[Manufacturer]]&amp;" "&amp;Table1[[#This Row],[Model]],Table13[MFR &amp; MDL],Table13[Tolerance % CW ],"")/100*Table1[[#This Row],[Std Nom]]),"")</f>
        <v/>
      </c>
      <c r="P1339" s="1" t="str">
        <f>IFERROR(Table1[[#This Row],[Std Nom]]+(_xlfn.XLOOKUP(Table1[[#This Row],[Manufacturer]]&amp;" "&amp;Table1[[#This Row],[Model]],Table13[MFR &amp; MDL],Table13[Tolerance % CW ],"")/100*Table1[[#This Row],[Std Nom]]),"")</f>
        <v/>
      </c>
      <c r="Q1339" s="1" t="e">
        <f>Table1[[#This Row],[High Tol]]-Table1[[#This Row],[Low Tol]]</f>
        <v>#VALUE!</v>
      </c>
      <c r="R1339" s="1">
        <f>2*Table1[[#This Row],[Std Error]]</f>
        <v>0</v>
      </c>
      <c r="S1339" s="1" t="str">
        <f>IF(Table1[[#This Row],[High Tol]]="","N/A",IFERROR(ABS(Table1[[#This Row],[Tol Span]]/Table1[[#This Row],[Error Span]]),"N/A"))</f>
        <v>N/A</v>
      </c>
      <c r="T1339" s="1" t="str">
        <f>IF(OR(Table1[[#This Row],[Low Tol]]="",Table1[[#This Row],[High Tol]]=""),"Needs Analysis",IF(Table1[[#This Row],[Ratio]]&gt;=4,"Not Significant",IF(Table1[[#This Row],[Ratio]]&gt;=2,"Semi-Significant","Significant")))</f>
        <v>Needs Analysis</v>
      </c>
      <c r="W1339" s="1">
        <f>IF(Table1[[#This Row],[Cal Type]]&lt;&gt;"ACCREDITED 17025 WITH UNCERTAINTIES",0,"")</f>
        <v>0</v>
      </c>
      <c r="X1339" s="1" t="str">
        <f>IF(Table1[[#This Row],[DUT Read]]="","N/A",Table1[[#This Row],[Std Error]]+Table1[[#This Row],[DUT Read]]+Table1[[#This Row],[DUT Ucty]])</f>
        <v>N/A</v>
      </c>
      <c r="Y1339" s="1" t="str">
        <f>IF(Table1[[#This Row],[Std Read]]="","N/A",Table1[[#This Row],[Std Read]]+Table1[[#This Row],[Std Ucty]])</f>
        <v>N/A</v>
      </c>
      <c r="Z13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9" s="1" t="str">
        <f>IF(Table1[[#This Row],[Spec Type]]="","N/A",Table1[[#This Row],[Spec Type]])</f>
        <v>±</v>
      </c>
      <c r="AC1339" s="1" t="str">
        <f>IF(Table1[[#This Row],[Spec Type2]]="N/A","N/A",IF(AND(Table1[[#This Row],[DUT Adj Read]]&gt;=Table1[[#This Row],[Low Tol]],Table1[[#This Row],[DUT Adj Read]]&lt;=Table1[[#This Row],[High Tol]]),"Pass","Fail"))</f>
        <v>Fail</v>
      </c>
      <c r="AD1339" s="1" t="str">
        <f>IF(AND(Table1[[#This Row],[Spec Type2]]="N/A",Table1[[#This Row],[DUT Adj Read]]="N/A",Table1[[#This Row],[Std Adj Read]]="N/A"),"N/A",IF(Table1[[#This Row],[DUT Adj Read]]="N/A",IF(Table1[[#This Row],[Std Adj Read]]&gt;Table1[[#This Row],[Low Tol]],"Pass","Fail"),IF(Table1[[#This Row],[DUT Adj Read]]&gt;Table1[[#This Row],[Low Tol]],"Pass","Fail")))</f>
        <v>Pass</v>
      </c>
      <c r="AE1339" s="1" t="str">
        <f>IF(AND(Table1[[#This Row],[Spec Type2]]="N/A",Table1[[#This Row],[DUT Adj Read]]="N/A",Table1[[#This Row],[Std Adj Read]]="N/A"),"N/A",IF(Table1[[#This Row],[DUT Adj Read]]="N/A",IF(Table1[[#This Row],[Std Adj Read]]&lt;Table1[[#This Row],[High Tol]],"Pass","Fail"),IF(Table1[[#This Row],[DUT Adj Read]]&lt;Table1[[#This Row],[High Tol]],"Pass","Fail")))</f>
        <v>Fail</v>
      </c>
      <c r="AF1339" s="1" t="str">
        <f>IF(AND(Table1[[#This Row],[Spec Type2]]="N/A",Table1[[#This Row],[DUT Adj Read]]="N/A",Table1[[#This Row],[Std Adj Read]]="N/A"),"N/A",IF(Table1[[#This Row],[DUT Adj Read]]="N/A",IF(Table1[[#This Row],[Std Adj Read]]&gt;=Table1[[#This Row],[Low Tol]],"Pass","Fail"),IF(Table1[[#This Row],[DUT Adj Read]]&gt;=Table1[[#This Row],[Low Tol]],"Pass","Fail")))</f>
        <v>Pass</v>
      </c>
      <c r="AG1339" s="1" t="str">
        <f>IF(AND(Table1[[#This Row],[Spec Type2]]="N/A",Table1[[#This Row],[DUT Adj Read]]="N/A",Table1[[#This Row],[Std Adj Read]]="N/A"),"N/A",IF(Table1[[#This Row],[DUT Adj Read]]="N/A",IF(Table1[[#This Row],[Std Adj Read]]&lt;=Table1[[#This Row],[High Tol]],"Pass","Fail"),IF(Table1[[#This Row],[DUT Adj Read]]&lt;=Table1[[#This Row],[High Tol]],"Pass","Fail")))</f>
        <v>Fail</v>
      </c>
      <c r="AH13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9" s="1" t="b">
        <v>0</v>
      </c>
      <c r="AN1339" s="1" t="b">
        <v>0</v>
      </c>
      <c r="AO1339" s="1" t="b">
        <v>0</v>
      </c>
    </row>
    <row r="1340" spans="1:41" x14ac:dyDescent="0.25">
      <c r="A1340" s="10"/>
      <c r="B1340" s="10"/>
      <c r="C1340" s="10"/>
      <c r="D1340" s="10"/>
      <c r="E1340" s="10"/>
      <c r="F1340" s="10"/>
      <c r="G1340" s="10"/>
      <c r="H1340" s="10"/>
      <c r="I1340" s="1" t="str">
        <f t="shared" si="60"/>
        <v/>
      </c>
      <c r="J1340" s="1" t="s">
        <v>35</v>
      </c>
      <c r="K1340" s="1" t="str">
        <f t="shared" si="61"/>
        <v/>
      </c>
      <c r="L1340" s="1" t="str">
        <f t="shared" si="62"/>
        <v/>
      </c>
      <c r="M1340" s="1">
        <f>IF(OR(Table1[[#This Row],[Std Nom]]="",Table1[[#This Row],[Std Read]]=""),0,Table1[[#This Row],[Std Nom]]-Table1[[#This Row],[Std Read]])</f>
        <v>0</v>
      </c>
      <c r="N1340" s="1">
        <f>IF(Calculations!$F$5="ACCREDITED 17025 WITH UNCERTAINTIES",$N$10,0)</f>
        <v>0</v>
      </c>
      <c r="O1340" s="1" t="str">
        <f>IFERROR(Table1[[#This Row],[Std Nom]]-(_xlfn.XLOOKUP(Table1[[#This Row],[Manufacturer]]&amp;" "&amp;Table1[[#This Row],[Model]],Table13[MFR &amp; MDL],Table13[Tolerance % CW ],"")/100*Table1[[#This Row],[Std Nom]]),"")</f>
        <v/>
      </c>
      <c r="P1340" s="1" t="str">
        <f>IFERROR(Table1[[#This Row],[Std Nom]]+(_xlfn.XLOOKUP(Table1[[#This Row],[Manufacturer]]&amp;" "&amp;Table1[[#This Row],[Model]],Table13[MFR &amp; MDL],Table13[Tolerance % CW ],"")/100*Table1[[#This Row],[Std Nom]]),"")</f>
        <v/>
      </c>
      <c r="Q1340" s="1" t="e">
        <f>Table1[[#This Row],[High Tol]]-Table1[[#This Row],[Low Tol]]</f>
        <v>#VALUE!</v>
      </c>
      <c r="R1340" s="1">
        <f>2*Table1[[#This Row],[Std Error]]</f>
        <v>0</v>
      </c>
      <c r="S1340" s="1" t="str">
        <f>IF(Table1[[#This Row],[High Tol]]="","N/A",IFERROR(ABS(Table1[[#This Row],[Tol Span]]/Table1[[#This Row],[Error Span]]),"N/A"))</f>
        <v>N/A</v>
      </c>
      <c r="T1340" s="1" t="str">
        <f>IF(OR(Table1[[#This Row],[Low Tol]]="",Table1[[#This Row],[High Tol]]=""),"Needs Analysis",IF(Table1[[#This Row],[Ratio]]&gt;=4,"Not Significant",IF(Table1[[#This Row],[Ratio]]&gt;=2,"Semi-Significant","Significant")))</f>
        <v>Needs Analysis</v>
      </c>
      <c r="W1340" s="1">
        <f>IF(Table1[[#This Row],[Cal Type]]&lt;&gt;"ACCREDITED 17025 WITH UNCERTAINTIES",0,"")</f>
        <v>0</v>
      </c>
      <c r="X1340" s="1" t="str">
        <f>IF(Table1[[#This Row],[DUT Read]]="","N/A",Table1[[#This Row],[Std Error]]+Table1[[#This Row],[DUT Read]]+Table1[[#This Row],[DUT Ucty]])</f>
        <v>N/A</v>
      </c>
      <c r="Y1340" s="1" t="str">
        <f>IF(Table1[[#This Row],[Std Read]]="","N/A",Table1[[#This Row],[Std Read]]+Table1[[#This Row],[Std Ucty]])</f>
        <v>N/A</v>
      </c>
      <c r="Z13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0" s="1" t="str">
        <f>IF(Table1[[#This Row],[Spec Type]]="","N/A",Table1[[#This Row],[Spec Type]])</f>
        <v>±</v>
      </c>
      <c r="AC1340" s="1" t="str">
        <f>IF(Table1[[#This Row],[Spec Type2]]="N/A","N/A",IF(AND(Table1[[#This Row],[DUT Adj Read]]&gt;=Table1[[#This Row],[Low Tol]],Table1[[#This Row],[DUT Adj Read]]&lt;=Table1[[#This Row],[High Tol]]),"Pass","Fail"))</f>
        <v>Fail</v>
      </c>
      <c r="AD1340" s="1" t="str">
        <f>IF(AND(Table1[[#This Row],[Spec Type2]]="N/A",Table1[[#This Row],[DUT Adj Read]]="N/A",Table1[[#This Row],[Std Adj Read]]="N/A"),"N/A",IF(Table1[[#This Row],[DUT Adj Read]]="N/A",IF(Table1[[#This Row],[Std Adj Read]]&gt;Table1[[#This Row],[Low Tol]],"Pass","Fail"),IF(Table1[[#This Row],[DUT Adj Read]]&gt;Table1[[#This Row],[Low Tol]],"Pass","Fail")))</f>
        <v>Pass</v>
      </c>
      <c r="AE1340" s="1" t="str">
        <f>IF(AND(Table1[[#This Row],[Spec Type2]]="N/A",Table1[[#This Row],[DUT Adj Read]]="N/A",Table1[[#This Row],[Std Adj Read]]="N/A"),"N/A",IF(Table1[[#This Row],[DUT Adj Read]]="N/A",IF(Table1[[#This Row],[Std Adj Read]]&lt;Table1[[#This Row],[High Tol]],"Pass","Fail"),IF(Table1[[#This Row],[DUT Adj Read]]&lt;Table1[[#This Row],[High Tol]],"Pass","Fail")))</f>
        <v>Fail</v>
      </c>
      <c r="AF1340" s="1" t="str">
        <f>IF(AND(Table1[[#This Row],[Spec Type2]]="N/A",Table1[[#This Row],[DUT Adj Read]]="N/A",Table1[[#This Row],[Std Adj Read]]="N/A"),"N/A",IF(Table1[[#This Row],[DUT Adj Read]]="N/A",IF(Table1[[#This Row],[Std Adj Read]]&gt;=Table1[[#This Row],[Low Tol]],"Pass","Fail"),IF(Table1[[#This Row],[DUT Adj Read]]&gt;=Table1[[#This Row],[Low Tol]],"Pass","Fail")))</f>
        <v>Pass</v>
      </c>
      <c r="AG1340" s="1" t="str">
        <f>IF(AND(Table1[[#This Row],[Spec Type2]]="N/A",Table1[[#This Row],[DUT Adj Read]]="N/A",Table1[[#This Row],[Std Adj Read]]="N/A"),"N/A",IF(Table1[[#This Row],[DUT Adj Read]]="N/A",IF(Table1[[#This Row],[Std Adj Read]]&lt;=Table1[[#This Row],[High Tol]],"Pass","Fail"),IF(Table1[[#This Row],[DUT Adj Read]]&lt;=Table1[[#This Row],[High Tol]],"Pass","Fail")))</f>
        <v>Fail</v>
      </c>
      <c r="AH13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0" s="1" t="b">
        <v>0</v>
      </c>
      <c r="AN1340" s="1" t="b">
        <v>0</v>
      </c>
      <c r="AO1340" s="1" t="b">
        <v>0</v>
      </c>
    </row>
    <row r="1341" spans="1:41" x14ac:dyDescent="0.25">
      <c r="A1341" s="10"/>
      <c r="B1341" s="10"/>
      <c r="C1341" s="10"/>
      <c r="D1341" s="10"/>
      <c r="E1341" s="10"/>
      <c r="F1341" s="10"/>
      <c r="G1341" s="10"/>
      <c r="H1341" s="10"/>
      <c r="I1341" s="1" t="str">
        <f t="shared" si="60"/>
        <v/>
      </c>
      <c r="J1341" s="1" t="s">
        <v>35</v>
      </c>
      <c r="K1341" s="1" t="str">
        <f t="shared" si="61"/>
        <v/>
      </c>
      <c r="L1341" s="1" t="str">
        <f t="shared" si="62"/>
        <v/>
      </c>
      <c r="M1341" s="1">
        <f>IF(OR(Table1[[#This Row],[Std Nom]]="",Table1[[#This Row],[Std Read]]=""),0,Table1[[#This Row],[Std Nom]]-Table1[[#This Row],[Std Read]])</f>
        <v>0</v>
      </c>
      <c r="N1341" s="1">
        <f>IF(Calculations!$F$5="ACCREDITED 17025 WITH UNCERTAINTIES",$N$10,0)</f>
        <v>0</v>
      </c>
      <c r="O1341" s="1" t="str">
        <f>IFERROR(Table1[[#This Row],[Std Nom]]-(_xlfn.XLOOKUP(Table1[[#This Row],[Manufacturer]]&amp;" "&amp;Table1[[#This Row],[Model]],Table13[MFR &amp; MDL],Table13[Tolerance % CW ],"")/100*Table1[[#This Row],[Std Nom]]),"")</f>
        <v/>
      </c>
      <c r="P1341" s="1" t="str">
        <f>IFERROR(Table1[[#This Row],[Std Nom]]+(_xlfn.XLOOKUP(Table1[[#This Row],[Manufacturer]]&amp;" "&amp;Table1[[#This Row],[Model]],Table13[MFR &amp; MDL],Table13[Tolerance % CW ],"")/100*Table1[[#This Row],[Std Nom]]),"")</f>
        <v/>
      </c>
      <c r="Q1341" s="1" t="e">
        <f>Table1[[#This Row],[High Tol]]-Table1[[#This Row],[Low Tol]]</f>
        <v>#VALUE!</v>
      </c>
      <c r="R1341" s="1">
        <f>2*Table1[[#This Row],[Std Error]]</f>
        <v>0</v>
      </c>
      <c r="S1341" s="1" t="str">
        <f>IF(Table1[[#This Row],[High Tol]]="","N/A",IFERROR(ABS(Table1[[#This Row],[Tol Span]]/Table1[[#This Row],[Error Span]]),"N/A"))</f>
        <v>N/A</v>
      </c>
      <c r="T1341" s="1" t="str">
        <f>IF(OR(Table1[[#This Row],[Low Tol]]="",Table1[[#This Row],[High Tol]]=""),"Needs Analysis",IF(Table1[[#This Row],[Ratio]]&gt;=4,"Not Significant",IF(Table1[[#This Row],[Ratio]]&gt;=2,"Semi-Significant","Significant")))</f>
        <v>Needs Analysis</v>
      </c>
      <c r="W1341" s="1">
        <f>IF(Table1[[#This Row],[Cal Type]]&lt;&gt;"ACCREDITED 17025 WITH UNCERTAINTIES",0,"")</f>
        <v>0</v>
      </c>
      <c r="X1341" s="1" t="str">
        <f>IF(Table1[[#This Row],[DUT Read]]="","N/A",Table1[[#This Row],[Std Error]]+Table1[[#This Row],[DUT Read]]+Table1[[#This Row],[DUT Ucty]])</f>
        <v>N/A</v>
      </c>
      <c r="Y1341" s="1" t="str">
        <f>IF(Table1[[#This Row],[Std Read]]="","N/A",Table1[[#This Row],[Std Read]]+Table1[[#This Row],[Std Ucty]])</f>
        <v>N/A</v>
      </c>
      <c r="Z13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1" s="1" t="str">
        <f>IF(Table1[[#This Row],[Spec Type]]="","N/A",Table1[[#This Row],[Spec Type]])</f>
        <v>±</v>
      </c>
      <c r="AC1341" s="1" t="str">
        <f>IF(Table1[[#This Row],[Spec Type2]]="N/A","N/A",IF(AND(Table1[[#This Row],[DUT Adj Read]]&gt;=Table1[[#This Row],[Low Tol]],Table1[[#This Row],[DUT Adj Read]]&lt;=Table1[[#This Row],[High Tol]]),"Pass","Fail"))</f>
        <v>Fail</v>
      </c>
      <c r="AD1341" s="1" t="str">
        <f>IF(AND(Table1[[#This Row],[Spec Type2]]="N/A",Table1[[#This Row],[DUT Adj Read]]="N/A",Table1[[#This Row],[Std Adj Read]]="N/A"),"N/A",IF(Table1[[#This Row],[DUT Adj Read]]="N/A",IF(Table1[[#This Row],[Std Adj Read]]&gt;Table1[[#This Row],[Low Tol]],"Pass","Fail"),IF(Table1[[#This Row],[DUT Adj Read]]&gt;Table1[[#This Row],[Low Tol]],"Pass","Fail")))</f>
        <v>Pass</v>
      </c>
      <c r="AE1341" s="1" t="str">
        <f>IF(AND(Table1[[#This Row],[Spec Type2]]="N/A",Table1[[#This Row],[DUT Adj Read]]="N/A",Table1[[#This Row],[Std Adj Read]]="N/A"),"N/A",IF(Table1[[#This Row],[DUT Adj Read]]="N/A",IF(Table1[[#This Row],[Std Adj Read]]&lt;Table1[[#This Row],[High Tol]],"Pass","Fail"),IF(Table1[[#This Row],[DUT Adj Read]]&lt;Table1[[#This Row],[High Tol]],"Pass","Fail")))</f>
        <v>Fail</v>
      </c>
      <c r="AF1341" s="1" t="str">
        <f>IF(AND(Table1[[#This Row],[Spec Type2]]="N/A",Table1[[#This Row],[DUT Adj Read]]="N/A",Table1[[#This Row],[Std Adj Read]]="N/A"),"N/A",IF(Table1[[#This Row],[DUT Adj Read]]="N/A",IF(Table1[[#This Row],[Std Adj Read]]&gt;=Table1[[#This Row],[Low Tol]],"Pass","Fail"),IF(Table1[[#This Row],[DUT Adj Read]]&gt;=Table1[[#This Row],[Low Tol]],"Pass","Fail")))</f>
        <v>Pass</v>
      </c>
      <c r="AG1341" s="1" t="str">
        <f>IF(AND(Table1[[#This Row],[Spec Type2]]="N/A",Table1[[#This Row],[DUT Adj Read]]="N/A",Table1[[#This Row],[Std Adj Read]]="N/A"),"N/A",IF(Table1[[#This Row],[DUT Adj Read]]="N/A",IF(Table1[[#This Row],[Std Adj Read]]&lt;=Table1[[#This Row],[High Tol]],"Pass","Fail"),IF(Table1[[#This Row],[DUT Adj Read]]&lt;=Table1[[#This Row],[High Tol]],"Pass","Fail")))</f>
        <v>Fail</v>
      </c>
      <c r="AH13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1" s="1" t="b">
        <v>0</v>
      </c>
      <c r="AN1341" s="1" t="b">
        <v>0</v>
      </c>
      <c r="AO1341" s="1" t="b">
        <v>0</v>
      </c>
    </row>
    <row r="1342" spans="1:41" x14ac:dyDescent="0.25">
      <c r="A1342" s="10"/>
      <c r="B1342" s="10"/>
      <c r="C1342" s="10"/>
      <c r="D1342" s="10"/>
      <c r="E1342" s="10"/>
      <c r="F1342" s="10"/>
      <c r="G1342" s="10"/>
      <c r="H1342" s="10"/>
      <c r="I1342" s="1" t="str">
        <f t="shared" si="60"/>
        <v/>
      </c>
      <c r="J1342" s="1" t="s">
        <v>35</v>
      </c>
      <c r="K1342" s="1" t="str">
        <f t="shared" si="61"/>
        <v/>
      </c>
      <c r="L1342" s="1" t="str">
        <f t="shared" si="62"/>
        <v/>
      </c>
      <c r="M1342" s="1">
        <f>IF(OR(Table1[[#This Row],[Std Nom]]="",Table1[[#This Row],[Std Read]]=""),0,Table1[[#This Row],[Std Nom]]-Table1[[#This Row],[Std Read]])</f>
        <v>0</v>
      </c>
      <c r="N1342" s="1">
        <f>IF(Calculations!$F$5="ACCREDITED 17025 WITH UNCERTAINTIES",$N$10,0)</f>
        <v>0</v>
      </c>
      <c r="O1342" s="1" t="str">
        <f>IFERROR(Table1[[#This Row],[Std Nom]]-(_xlfn.XLOOKUP(Table1[[#This Row],[Manufacturer]]&amp;" "&amp;Table1[[#This Row],[Model]],Table13[MFR &amp; MDL],Table13[Tolerance % CW ],"")/100*Table1[[#This Row],[Std Nom]]),"")</f>
        <v/>
      </c>
      <c r="P1342" s="1" t="str">
        <f>IFERROR(Table1[[#This Row],[Std Nom]]+(_xlfn.XLOOKUP(Table1[[#This Row],[Manufacturer]]&amp;" "&amp;Table1[[#This Row],[Model]],Table13[MFR &amp; MDL],Table13[Tolerance % CW ],"")/100*Table1[[#This Row],[Std Nom]]),"")</f>
        <v/>
      </c>
      <c r="Q1342" s="1" t="e">
        <f>Table1[[#This Row],[High Tol]]-Table1[[#This Row],[Low Tol]]</f>
        <v>#VALUE!</v>
      </c>
      <c r="R1342" s="1">
        <f>2*Table1[[#This Row],[Std Error]]</f>
        <v>0</v>
      </c>
      <c r="S1342" s="1" t="str">
        <f>IF(Table1[[#This Row],[High Tol]]="","N/A",IFERROR(ABS(Table1[[#This Row],[Tol Span]]/Table1[[#This Row],[Error Span]]),"N/A"))</f>
        <v>N/A</v>
      </c>
      <c r="T1342" s="1" t="str">
        <f>IF(OR(Table1[[#This Row],[Low Tol]]="",Table1[[#This Row],[High Tol]]=""),"Needs Analysis",IF(Table1[[#This Row],[Ratio]]&gt;=4,"Not Significant",IF(Table1[[#This Row],[Ratio]]&gt;=2,"Semi-Significant","Significant")))</f>
        <v>Needs Analysis</v>
      </c>
      <c r="W1342" s="1">
        <f>IF(Table1[[#This Row],[Cal Type]]&lt;&gt;"ACCREDITED 17025 WITH UNCERTAINTIES",0,"")</f>
        <v>0</v>
      </c>
      <c r="X1342" s="1" t="str">
        <f>IF(Table1[[#This Row],[DUT Read]]="","N/A",Table1[[#This Row],[Std Error]]+Table1[[#This Row],[DUT Read]]+Table1[[#This Row],[DUT Ucty]])</f>
        <v>N/A</v>
      </c>
      <c r="Y1342" s="1" t="str">
        <f>IF(Table1[[#This Row],[Std Read]]="","N/A",Table1[[#This Row],[Std Read]]+Table1[[#This Row],[Std Ucty]])</f>
        <v>N/A</v>
      </c>
      <c r="Z13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2" s="1" t="str">
        <f>IF(Table1[[#This Row],[Spec Type]]="","N/A",Table1[[#This Row],[Spec Type]])</f>
        <v>±</v>
      </c>
      <c r="AC1342" s="1" t="str">
        <f>IF(Table1[[#This Row],[Spec Type2]]="N/A","N/A",IF(AND(Table1[[#This Row],[DUT Adj Read]]&gt;=Table1[[#This Row],[Low Tol]],Table1[[#This Row],[DUT Adj Read]]&lt;=Table1[[#This Row],[High Tol]]),"Pass","Fail"))</f>
        <v>Fail</v>
      </c>
      <c r="AD1342" s="1" t="str">
        <f>IF(AND(Table1[[#This Row],[Spec Type2]]="N/A",Table1[[#This Row],[DUT Adj Read]]="N/A",Table1[[#This Row],[Std Adj Read]]="N/A"),"N/A",IF(Table1[[#This Row],[DUT Adj Read]]="N/A",IF(Table1[[#This Row],[Std Adj Read]]&gt;Table1[[#This Row],[Low Tol]],"Pass","Fail"),IF(Table1[[#This Row],[DUT Adj Read]]&gt;Table1[[#This Row],[Low Tol]],"Pass","Fail")))</f>
        <v>Pass</v>
      </c>
      <c r="AE1342" s="1" t="str">
        <f>IF(AND(Table1[[#This Row],[Spec Type2]]="N/A",Table1[[#This Row],[DUT Adj Read]]="N/A",Table1[[#This Row],[Std Adj Read]]="N/A"),"N/A",IF(Table1[[#This Row],[DUT Adj Read]]="N/A",IF(Table1[[#This Row],[Std Adj Read]]&lt;Table1[[#This Row],[High Tol]],"Pass","Fail"),IF(Table1[[#This Row],[DUT Adj Read]]&lt;Table1[[#This Row],[High Tol]],"Pass","Fail")))</f>
        <v>Fail</v>
      </c>
      <c r="AF1342" s="1" t="str">
        <f>IF(AND(Table1[[#This Row],[Spec Type2]]="N/A",Table1[[#This Row],[DUT Adj Read]]="N/A",Table1[[#This Row],[Std Adj Read]]="N/A"),"N/A",IF(Table1[[#This Row],[DUT Adj Read]]="N/A",IF(Table1[[#This Row],[Std Adj Read]]&gt;=Table1[[#This Row],[Low Tol]],"Pass","Fail"),IF(Table1[[#This Row],[DUT Adj Read]]&gt;=Table1[[#This Row],[Low Tol]],"Pass","Fail")))</f>
        <v>Pass</v>
      </c>
      <c r="AG1342" s="1" t="str">
        <f>IF(AND(Table1[[#This Row],[Spec Type2]]="N/A",Table1[[#This Row],[DUT Adj Read]]="N/A",Table1[[#This Row],[Std Adj Read]]="N/A"),"N/A",IF(Table1[[#This Row],[DUT Adj Read]]="N/A",IF(Table1[[#This Row],[Std Adj Read]]&lt;=Table1[[#This Row],[High Tol]],"Pass","Fail"),IF(Table1[[#This Row],[DUT Adj Read]]&lt;=Table1[[#This Row],[High Tol]],"Pass","Fail")))</f>
        <v>Fail</v>
      </c>
      <c r="AH13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2" s="1" t="b">
        <v>0</v>
      </c>
      <c r="AN1342" s="1" t="b">
        <v>0</v>
      </c>
      <c r="AO1342" s="1" t="b">
        <v>0</v>
      </c>
    </row>
    <row r="1343" spans="1:41" x14ac:dyDescent="0.25">
      <c r="A1343" s="10"/>
      <c r="B1343" s="10"/>
      <c r="C1343" s="10"/>
      <c r="D1343" s="10"/>
      <c r="E1343" s="10"/>
      <c r="F1343" s="10"/>
      <c r="G1343" s="10"/>
      <c r="H1343" s="10"/>
      <c r="I1343" s="1" t="str">
        <f t="shared" si="60"/>
        <v/>
      </c>
      <c r="J1343" s="1" t="s">
        <v>35</v>
      </c>
      <c r="K1343" s="1" t="str">
        <f t="shared" si="61"/>
        <v/>
      </c>
      <c r="L1343" s="1" t="str">
        <f t="shared" si="62"/>
        <v/>
      </c>
      <c r="M1343" s="1">
        <f>IF(OR(Table1[[#This Row],[Std Nom]]="",Table1[[#This Row],[Std Read]]=""),0,Table1[[#This Row],[Std Nom]]-Table1[[#This Row],[Std Read]])</f>
        <v>0</v>
      </c>
      <c r="N1343" s="1">
        <f>IF(Calculations!$F$5="ACCREDITED 17025 WITH UNCERTAINTIES",$N$10,0)</f>
        <v>0</v>
      </c>
      <c r="O1343" s="1" t="str">
        <f>IFERROR(Table1[[#This Row],[Std Nom]]-(_xlfn.XLOOKUP(Table1[[#This Row],[Manufacturer]]&amp;" "&amp;Table1[[#This Row],[Model]],Table13[MFR &amp; MDL],Table13[Tolerance % CW ],"")/100*Table1[[#This Row],[Std Nom]]),"")</f>
        <v/>
      </c>
      <c r="P1343" s="1" t="str">
        <f>IFERROR(Table1[[#This Row],[Std Nom]]+(_xlfn.XLOOKUP(Table1[[#This Row],[Manufacturer]]&amp;" "&amp;Table1[[#This Row],[Model]],Table13[MFR &amp; MDL],Table13[Tolerance % CW ],"")/100*Table1[[#This Row],[Std Nom]]),"")</f>
        <v/>
      </c>
      <c r="Q1343" s="1" t="e">
        <f>Table1[[#This Row],[High Tol]]-Table1[[#This Row],[Low Tol]]</f>
        <v>#VALUE!</v>
      </c>
      <c r="R1343" s="1">
        <f>2*Table1[[#This Row],[Std Error]]</f>
        <v>0</v>
      </c>
      <c r="S1343" s="1" t="str">
        <f>IF(Table1[[#This Row],[High Tol]]="","N/A",IFERROR(ABS(Table1[[#This Row],[Tol Span]]/Table1[[#This Row],[Error Span]]),"N/A"))</f>
        <v>N/A</v>
      </c>
      <c r="T1343" s="1" t="str">
        <f>IF(OR(Table1[[#This Row],[Low Tol]]="",Table1[[#This Row],[High Tol]]=""),"Needs Analysis",IF(Table1[[#This Row],[Ratio]]&gt;=4,"Not Significant",IF(Table1[[#This Row],[Ratio]]&gt;=2,"Semi-Significant","Significant")))</f>
        <v>Needs Analysis</v>
      </c>
      <c r="W1343" s="1">
        <f>IF(Table1[[#This Row],[Cal Type]]&lt;&gt;"ACCREDITED 17025 WITH UNCERTAINTIES",0,"")</f>
        <v>0</v>
      </c>
      <c r="X1343" s="1" t="str">
        <f>IF(Table1[[#This Row],[DUT Read]]="","N/A",Table1[[#This Row],[Std Error]]+Table1[[#This Row],[DUT Read]]+Table1[[#This Row],[DUT Ucty]])</f>
        <v>N/A</v>
      </c>
      <c r="Y1343" s="1" t="str">
        <f>IF(Table1[[#This Row],[Std Read]]="","N/A",Table1[[#This Row],[Std Read]]+Table1[[#This Row],[Std Ucty]])</f>
        <v>N/A</v>
      </c>
      <c r="Z13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3" s="1" t="str">
        <f>IF(Table1[[#This Row],[Spec Type]]="","N/A",Table1[[#This Row],[Spec Type]])</f>
        <v>±</v>
      </c>
      <c r="AC1343" s="1" t="str">
        <f>IF(Table1[[#This Row],[Spec Type2]]="N/A","N/A",IF(AND(Table1[[#This Row],[DUT Adj Read]]&gt;=Table1[[#This Row],[Low Tol]],Table1[[#This Row],[DUT Adj Read]]&lt;=Table1[[#This Row],[High Tol]]),"Pass","Fail"))</f>
        <v>Fail</v>
      </c>
      <c r="AD1343" s="1" t="str">
        <f>IF(AND(Table1[[#This Row],[Spec Type2]]="N/A",Table1[[#This Row],[DUT Adj Read]]="N/A",Table1[[#This Row],[Std Adj Read]]="N/A"),"N/A",IF(Table1[[#This Row],[DUT Adj Read]]="N/A",IF(Table1[[#This Row],[Std Adj Read]]&gt;Table1[[#This Row],[Low Tol]],"Pass","Fail"),IF(Table1[[#This Row],[DUT Adj Read]]&gt;Table1[[#This Row],[Low Tol]],"Pass","Fail")))</f>
        <v>Pass</v>
      </c>
      <c r="AE1343" s="1" t="str">
        <f>IF(AND(Table1[[#This Row],[Spec Type2]]="N/A",Table1[[#This Row],[DUT Adj Read]]="N/A",Table1[[#This Row],[Std Adj Read]]="N/A"),"N/A",IF(Table1[[#This Row],[DUT Adj Read]]="N/A",IF(Table1[[#This Row],[Std Adj Read]]&lt;Table1[[#This Row],[High Tol]],"Pass","Fail"),IF(Table1[[#This Row],[DUT Adj Read]]&lt;Table1[[#This Row],[High Tol]],"Pass","Fail")))</f>
        <v>Fail</v>
      </c>
      <c r="AF1343" s="1" t="str">
        <f>IF(AND(Table1[[#This Row],[Spec Type2]]="N/A",Table1[[#This Row],[DUT Adj Read]]="N/A",Table1[[#This Row],[Std Adj Read]]="N/A"),"N/A",IF(Table1[[#This Row],[DUT Adj Read]]="N/A",IF(Table1[[#This Row],[Std Adj Read]]&gt;=Table1[[#This Row],[Low Tol]],"Pass","Fail"),IF(Table1[[#This Row],[DUT Adj Read]]&gt;=Table1[[#This Row],[Low Tol]],"Pass","Fail")))</f>
        <v>Pass</v>
      </c>
      <c r="AG1343" s="1" t="str">
        <f>IF(AND(Table1[[#This Row],[Spec Type2]]="N/A",Table1[[#This Row],[DUT Adj Read]]="N/A",Table1[[#This Row],[Std Adj Read]]="N/A"),"N/A",IF(Table1[[#This Row],[DUT Adj Read]]="N/A",IF(Table1[[#This Row],[Std Adj Read]]&lt;=Table1[[#This Row],[High Tol]],"Pass","Fail"),IF(Table1[[#This Row],[DUT Adj Read]]&lt;=Table1[[#This Row],[High Tol]],"Pass","Fail")))</f>
        <v>Fail</v>
      </c>
      <c r="AH13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3" s="1" t="b">
        <v>0</v>
      </c>
      <c r="AN1343" s="1" t="b">
        <v>0</v>
      </c>
      <c r="AO1343" s="1" t="b">
        <v>0</v>
      </c>
    </row>
    <row r="1344" spans="1:41" x14ac:dyDescent="0.25">
      <c r="A1344" s="10"/>
      <c r="B1344" s="10"/>
      <c r="C1344" s="10"/>
      <c r="D1344" s="10"/>
      <c r="E1344" s="10"/>
      <c r="F1344" s="10"/>
      <c r="G1344" s="10"/>
      <c r="H1344" s="10"/>
      <c r="I1344" s="1" t="str">
        <f t="shared" si="60"/>
        <v/>
      </c>
      <c r="J1344" s="1" t="s">
        <v>35</v>
      </c>
      <c r="K1344" s="1" t="str">
        <f t="shared" si="61"/>
        <v/>
      </c>
      <c r="L1344" s="1" t="str">
        <f t="shared" si="62"/>
        <v/>
      </c>
      <c r="M1344" s="1">
        <f>IF(OR(Table1[[#This Row],[Std Nom]]="",Table1[[#This Row],[Std Read]]=""),0,Table1[[#This Row],[Std Nom]]-Table1[[#This Row],[Std Read]])</f>
        <v>0</v>
      </c>
      <c r="N1344" s="1">
        <f>IF(Calculations!$F$5="ACCREDITED 17025 WITH UNCERTAINTIES",$N$10,0)</f>
        <v>0</v>
      </c>
      <c r="O1344" s="1" t="str">
        <f>IFERROR(Table1[[#This Row],[Std Nom]]-(_xlfn.XLOOKUP(Table1[[#This Row],[Manufacturer]]&amp;" "&amp;Table1[[#This Row],[Model]],Table13[MFR &amp; MDL],Table13[Tolerance % CW ],"")/100*Table1[[#This Row],[Std Nom]]),"")</f>
        <v/>
      </c>
      <c r="P1344" s="1" t="str">
        <f>IFERROR(Table1[[#This Row],[Std Nom]]+(_xlfn.XLOOKUP(Table1[[#This Row],[Manufacturer]]&amp;" "&amp;Table1[[#This Row],[Model]],Table13[MFR &amp; MDL],Table13[Tolerance % CW ],"")/100*Table1[[#This Row],[Std Nom]]),"")</f>
        <v/>
      </c>
      <c r="Q1344" s="1" t="e">
        <f>Table1[[#This Row],[High Tol]]-Table1[[#This Row],[Low Tol]]</f>
        <v>#VALUE!</v>
      </c>
      <c r="R1344" s="1">
        <f>2*Table1[[#This Row],[Std Error]]</f>
        <v>0</v>
      </c>
      <c r="S1344" s="1" t="str">
        <f>IF(Table1[[#This Row],[High Tol]]="","N/A",IFERROR(ABS(Table1[[#This Row],[Tol Span]]/Table1[[#This Row],[Error Span]]),"N/A"))</f>
        <v>N/A</v>
      </c>
      <c r="T1344" s="1" t="str">
        <f>IF(OR(Table1[[#This Row],[Low Tol]]="",Table1[[#This Row],[High Tol]]=""),"Needs Analysis",IF(Table1[[#This Row],[Ratio]]&gt;=4,"Not Significant",IF(Table1[[#This Row],[Ratio]]&gt;=2,"Semi-Significant","Significant")))</f>
        <v>Needs Analysis</v>
      </c>
      <c r="W1344" s="1">
        <f>IF(Table1[[#This Row],[Cal Type]]&lt;&gt;"ACCREDITED 17025 WITH UNCERTAINTIES",0,"")</f>
        <v>0</v>
      </c>
      <c r="X1344" s="1" t="str">
        <f>IF(Table1[[#This Row],[DUT Read]]="","N/A",Table1[[#This Row],[Std Error]]+Table1[[#This Row],[DUT Read]]+Table1[[#This Row],[DUT Ucty]])</f>
        <v>N/A</v>
      </c>
      <c r="Y1344" s="1" t="str">
        <f>IF(Table1[[#This Row],[Std Read]]="","N/A",Table1[[#This Row],[Std Read]]+Table1[[#This Row],[Std Ucty]])</f>
        <v>N/A</v>
      </c>
      <c r="Z13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4" s="1" t="str">
        <f>IF(Table1[[#This Row],[Spec Type]]="","N/A",Table1[[#This Row],[Spec Type]])</f>
        <v>±</v>
      </c>
      <c r="AC1344" s="1" t="str">
        <f>IF(Table1[[#This Row],[Spec Type2]]="N/A","N/A",IF(AND(Table1[[#This Row],[DUT Adj Read]]&gt;=Table1[[#This Row],[Low Tol]],Table1[[#This Row],[DUT Adj Read]]&lt;=Table1[[#This Row],[High Tol]]),"Pass","Fail"))</f>
        <v>Fail</v>
      </c>
      <c r="AD1344" s="1" t="str">
        <f>IF(AND(Table1[[#This Row],[Spec Type2]]="N/A",Table1[[#This Row],[DUT Adj Read]]="N/A",Table1[[#This Row],[Std Adj Read]]="N/A"),"N/A",IF(Table1[[#This Row],[DUT Adj Read]]="N/A",IF(Table1[[#This Row],[Std Adj Read]]&gt;Table1[[#This Row],[Low Tol]],"Pass","Fail"),IF(Table1[[#This Row],[DUT Adj Read]]&gt;Table1[[#This Row],[Low Tol]],"Pass","Fail")))</f>
        <v>Pass</v>
      </c>
      <c r="AE1344" s="1" t="str">
        <f>IF(AND(Table1[[#This Row],[Spec Type2]]="N/A",Table1[[#This Row],[DUT Adj Read]]="N/A",Table1[[#This Row],[Std Adj Read]]="N/A"),"N/A",IF(Table1[[#This Row],[DUT Adj Read]]="N/A",IF(Table1[[#This Row],[Std Adj Read]]&lt;Table1[[#This Row],[High Tol]],"Pass","Fail"),IF(Table1[[#This Row],[DUT Adj Read]]&lt;Table1[[#This Row],[High Tol]],"Pass","Fail")))</f>
        <v>Fail</v>
      </c>
      <c r="AF1344" s="1" t="str">
        <f>IF(AND(Table1[[#This Row],[Spec Type2]]="N/A",Table1[[#This Row],[DUT Adj Read]]="N/A",Table1[[#This Row],[Std Adj Read]]="N/A"),"N/A",IF(Table1[[#This Row],[DUT Adj Read]]="N/A",IF(Table1[[#This Row],[Std Adj Read]]&gt;=Table1[[#This Row],[Low Tol]],"Pass","Fail"),IF(Table1[[#This Row],[DUT Adj Read]]&gt;=Table1[[#This Row],[Low Tol]],"Pass","Fail")))</f>
        <v>Pass</v>
      </c>
      <c r="AG1344" s="1" t="str">
        <f>IF(AND(Table1[[#This Row],[Spec Type2]]="N/A",Table1[[#This Row],[DUT Adj Read]]="N/A",Table1[[#This Row],[Std Adj Read]]="N/A"),"N/A",IF(Table1[[#This Row],[DUT Adj Read]]="N/A",IF(Table1[[#This Row],[Std Adj Read]]&lt;=Table1[[#This Row],[High Tol]],"Pass","Fail"),IF(Table1[[#This Row],[DUT Adj Read]]&lt;=Table1[[#This Row],[High Tol]],"Pass","Fail")))</f>
        <v>Fail</v>
      </c>
      <c r="AH13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4" s="1" t="b">
        <v>0</v>
      </c>
      <c r="AN1344" s="1" t="b">
        <v>0</v>
      </c>
      <c r="AO1344" s="1" t="b">
        <v>0</v>
      </c>
    </row>
    <row r="1345" spans="1:41" x14ac:dyDescent="0.25">
      <c r="A1345" s="10"/>
      <c r="B1345" s="10"/>
      <c r="C1345" s="10"/>
      <c r="D1345" s="10"/>
      <c r="E1345" s="10"/>
      <c r="F1345" s="10"/>
      <c r="G1345" s="10"/>
      <c r="H1345" s="10"/>
      <c r="I1345" s="1" t="str">
        <f t="shared" si="60"/>
        <v/>
      </c>
      <c r="J1345" s="1" t="s">
        <v>35</v>
      </c>
      <c r="K1345" s="1" t="str">
        <f t="shared" si="61"/>
        <v/>
      </c>
      <c r="L1345" s="1" t="str">
        <f t="shared" si="62"/>
        <v/>
      </c>
      <c r="M1345" s="1">
        <f>IF(OR(Table1[[#This Row],[Std Nom]]="",Table1[[#This Row],[Std Read]]=""),0,Table1[[#This Row],[Std Nom]]-Table1[[#This Row],[Std Read]])</f>
        <v>0</v>
      </c>
      <c r="N1345" s="1">
        <f>IF(Calculations!$F$5="ACCREDITED 17025 WITH UNCERTAINTIES",$N$10,0)</f>
        <v>0</v>
      </c>
      <c r="O1345" s="1" t="str">
        <f>IFERROR(Table1[[#This Row],[Std Nom]]-(_xlfn.XLOOKUP(Table1[[#This Row],[Manufacturer]]&amp;" "&amp;Table1[[#This Row],[Model]],Table13[MFR &amp; MDL],Table13[Tolerance % CW ],"")/100*Table1[[#This Row],[Std Nom]]),"")</f>
        <v/>
      </c>
      <c r="P1345" s="1" t="str">
        <f>IFERROR(Table1[[#This Row],[Std Nom]]+(_xlfn.XLOOKUP(Table1[[#This Row],[Manufacturer]]&amp;" "&amp;Table1[[#This Row],[Model]],Table13[MFR &amp; MDL],Table13[Tolerance % CW ],"")/100*Table1[[#This Row],[Std Nom]]),"")</f>
        <v/>
      </c>
      <c r="Q1345" s="1" t="e">
        <f>Table1[[#This Row],[High Tol]]-Table1[[#This Row],[Low Tol]]</f>
        <v>#VALUE!</v>
      </c>
      <c r="R1345" s="1">
        <f>2*Table1[[#This Row],[Std Error]]</f>
        <v>0</v>
      </c>
      <c r="S1345" s="1" t="str">
        <f>IF(Table1[[#This Row],[High Tol]]="","N/A",IFERROR(ABS(Table1[[#This Row],[Tol Span]]/Table1[[#This Row],[Error Span]]),"N/A"))</f>
        <v>N/A</v>
      </c>
      <c r="T1345" s="1" t="str">
        <f>IF(OR(Table1[[#This Row],[Low Tol]]="",Table1[[#This Row],[High Tol]]=""),"Needs Analysis",IF(Table1[[#This Row],[Ratio]]&gt;=4,"Not Significant",IF(Table1[[#This Row],[Ratio]]&gt;=2,"Semi-Significant","Significant")))</f>
        <v>Needs Analysis</v>
      </c>
      <c r="W1345" s="1">
        <f>IF(Table1[[#This Row],[Cal Type]]&lt;&gt;"ACCREDITED 17025 WITH UNCERTAINTIES",0,"")</f>
        <v>0</v>
      </c>
      <c r="X1345" s="1" t="str">
        <f>IF(Table1[[#This Row],[DUT Read]]="","N/A",Table1[[#This Row],[Std Error]]+Table1[[#This Row],[DUT Read]]+Table1[[#This Row],[DUT Ucty]])</f>
        <v>N/A</v>
      </c>
      <c r="Y1345" s="1" t="str">
        <f>IF(Table1[[#This Row],[Std Read]]="","N/A",Table1[[#This Row],[Std Read]]+Table1[[#This Row],[Std Ucty]])</f>
        <v>N/A</v>
      </c>
      <c r="Z13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5" s="1" t="str">
        <f>IF(Table1[[#This Row],[Spec Type]]="","N/A",Table1[[#This Row],[Spec Type]])</f>
        <v>±</v>
      </c>
      <c r="AC1345" s="1" t="str">
        <f>IF(Table1[[#This Row],[Spec Type2]]="N/A","N/A",IF(AND(Table1[[#This Row],[DUT Adj Read]]&gt;=Table1[[#This Row],[Low Tol]],Table1[[#This Row],[DUT Adj Read]]&lt;=Table1[[#This Row],[High Tol]]),"Pass","Fail"))</f>
        <v>Fail</v>
      </c>
      <c r="AD1345" s="1" t="str">
        <f>IF(AND(Table1[[#This Row],[Spec Type2]]="N/A",Table1[[#This Row],[DUT Adj Read]]="N/A",Table1[[#This Row],[Std Adj Read]]="N/A"),"N/A",IF(Table1[[#This Row],[DUT Adj Read]]="N/A",IF(Table1[[#This Row],[Std Adj Read]]&gt;Table1[[#This Row],[Low Tol]],"Pass","Fail"),IF(Table1[[#This Row],[DUT Adj Read]]&gt;Table1[[#This Row],[Low Tol]],"Pass","Fail")))</f>
        <v>Pass</v>
      </c>
      <c r="AE1345" s="1" t="str">
        <f>IF(AND(Table1[[#This Row],[Spec Type2]]="N/A",Table1[[#This Row],[DUT Adj Read]]="N/A",Table1[[#This Row],[Std Adj Read]]="N/A"),"N/A",IF(Table1[[#This Row],[DUT Adj Read]]="N/A",IF(Table1[[#This Row],[Std Adj Read]]&lt;Table1[[#This Row],[High Tol]],"Pass","Fail"),IF(Table1[[#This Row],[DUT Adj Read]]&lt;Table1[[#This Row],[High Tol]],"Pass","Fail")))</f>
        <v>Fail</v>
      </c>
      <c r="AF1345" s="1" t="str">
        <f>IF(AND(Table1[[#This Row],[Spec Type2]]="N/A",Table1[[#This Row],[DUT Adj Read]]="N/A",Table1[[#This Row],[Std Adj Read]]="N/A"),"N/A",IF(Table1[[#This Row],[DUT Adj Read]]="N/A",IF(Table1[[#This Row],[Std Adj Read]]&gt;=Table1[[#This Row],[Low Tol]],"Pass","Fail"),IF(Table1[[#This Row],[DUT Adj Read]]&gt;=Table1[[#This Row],[Low Tol]],"Pass","Fail")))</f>
        <v>Pass</v>
      </c>
      <c r="AG1345" s="1" t="str">
        <f>IF(AND(Table1[[#This Row],[Spec Type2]]="N/A",Table1[[#This Row],[DUT Adj Read]]="N/A",Table1[[#This Row],[Std Adj Read]]="N/A"),"N/A",IF(Table1[[#This Row],[DUT Adj Read]]="N/A",IF(Table1[[#This Row],[Std Adj Read]]&lt;=Table1[[#This Row],[High Tol]],"Pass","Fail"),IF(Table1[[#This Row],[DUT Adj Read]]&lt;=Table1[[#This Row],[High Tol]],"Pass","Fail")))</f>
        <v>Fail</v>
      </c>
      <c r="AH13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5" s="1" t="b">
        <v>0</v>
      </c>
      <c r="AN1345" s="1" t="b">
        <v>0</v>
      </c>
      <c r="AO1345" s="1" t="b">
        <v>0</v>
      </c>
    </row>
    <row r="1346" spans="1:41" x14ac:dyDescent="0.25">
      <c r="A1346" s="10"/>
      <c r="B1346" s="10"/>
      <c r="C1346" s="10"/>
      <c r="D1346" s="10"/>
      <c r="E1346" s="10"/>
      <c r="F1346" s="10"/>
      <c r="G1346" s="10"/>
      <c r="H1346" s="10"/>
      <c r="I1346" s="1" t="str">
        <f t="shared" si="60"/>
        <v/>
      </c>
      <c r="J1346" s="1" t="s">
        <v>35</v>
      </c>
      <c r="K1346" s="1" t="str">
        <f t="shared" si="61"/>
        <v/>
      </c>
      <c r="L1346" s="1" t="str">
        <f t="shared" si="62"/>
        <v/>
      </c>
      <c r="M1346" s="1">
        <f>IF(OR(Table1[[#This Row],[Std Nom]]="",Table1[[#This Row],[Std Read]]=""),0,Table1[[#This Row],[Std Nom]]-Table1[[#This Row],[Std Read]])</f>
        <v>0</v>
      </c>
      <c r="N1346" s="1">
        <f>IF(Calculations!$F$5="ACCREDITED 17025 WITH UNCERTAINTIES",$N$10,0)</f>
        <v>0</v>
      </c>
      <c r="O1346" s="1" t="str">
        <f>IFERROR(Table1[[#This Row],[Std Nom]]-(_xlfn.XLOOKUP(Table1[[#This Row],[Manufacturer]]&amp;" "&amp;Table1[[#This Row],[Model]],Table13[MFR &amp; MDL],Table13[Tolerance % CW ],"")/100*Table1[[#This Row],[Std Nom]]),"")</f>
        <v/>
      </c>
      <c r="P1346" s="1" t="str">
        <f>IFERROR(Table1[[#This Row],[Std Nom]]+(_xlfn.XLOOKUP(Table1[[#This Row],[Manufacturer]]&amp;" "&amp;Table1[[#This Row],[Model]],Table13[MFR &amp; MDL],Table13[Tolerance % CW ],"")/100*Table1[[#This Row],[Std Nom]]),"")</f>
        <v/>
      </c>
      <c r="Q1346" s="1" t="e">
        <f>Table1[[#This Row],[High Tol]]-Table1[[#This Row],[Low Tol]]</f>
        <v>#VALUE!</v>
      </c>
      <c r="R1346" s="1">
        <f>2*Table1[[#This Row],[Std Error]]</f>
        <v>0</v>
      </c>
      <c r="S1346" s="1" t="str">
        <f>IF(Table1[[#This Row],[High Tol]]="","N/A",IFERROR(ABS(Table1[[#This Row],[Tol Span]]/Table1[[#This Row],[Error Span]]),"N/A"))</f>
        <v>N/A</v>
      </c>
      <c r="T1346" s="1" t="str">
        <f>IF(OR(Table1[[#This Row],[Low Tol]]="",Table1[[#This Row],[High Tol]]=""),"Needs Analysis",IF(Table1[[#This Row],[Ratio]]&gt;=4,"Not Significant",IF(Table1[[#This Row],[Ratio]]&gt;=2,"Semi-Significant","Significant")))</f>
        <v>Needs Analysis</v>
      </c>
      <c r="W1346" s="1">
        <f>IF(Table1[[#This Row],[Cal Type]]&lt;&gt;"ACCREDITED 17025 WITH UNCERTAINTIES",0,"")</f>
        <v>0</v>
      </c>
      <c r="X1346" s="1" t="str">
        <f>IF(Table1[[#This Row],[DUT Read]]="","N/A",Table1[[#This Row],[Std Error]]+Table1[[#This Row],[DUT Read]]+Table1[[#This Row],[DUT Ucty]])</f>
        <v>N/A</v>
      </c>
      <c r="Y1346" s="1" t="str">
        <f>IF(Table1[[#This Row],[Std Read]]="","N/A",Table1[[#This Row],[Std Read]]+Table1[[#This Row],[Std Ucty]])</f>
        <v>N/A</v>
      </c>
      <c r="Z13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6" s="1" t="str">
        <f>IF(Table1[[#This Row],[Spec Type]]="","N/A",Table1[[#This Row],[Spec Type]])</f>
        <v>±</v>
      </c>
      <c r="AC1346" s="1" t="str">
        <f>IF(Table1[[#This Row],[Spec Type2]]="N/A","N/A",IF(AND(Table1[[#This Row],[DUT Adj Read]]&gt;=Table1[[#This Row],[Low Tol]],Table1[[#This Row],[DUT Adj Read]]&lt;=Table1[[#This Row],[High Tol]]),"Pass","Fail"))</f>
        <v>Fail</v>
      </c>
      <c r="AD1346" s="1" t="str">
        <f>IF(AND(Table1[[#This Row],[Spec Type2]]="N/A",Table1[[#This Row],[DUT Adj Read]]="N/A",Table1[[#This Row],[Std Adj Read]]="N/A"),"N/A",IF(Table1[[#This Row],[DUT Adj Read]]="N/A",IF(Table1[[#This Row],[Std Adj Read]]&gt;Table1[[#This Row],[Low Tol]],"Pass","Fail"),IF(Table1[[#This Row],[DUT Adj Read]]&gt;Table1[[#This Row],[Low Tol]],"Pass","Fail")))</f>
        <v>Pass</v>
      </c>
      <c r="AE1346" s="1" t="str">
        <f>IF(AND(Table1[[#This Row],[Spec Type2]]="N/A",Table1[[#This Row],[DUT Adj Read]]="N/A",Table1[[#This Row],[Std Adj Read]]="N/A"),"N/A",IF(Table1[[#This Row],[DUT Adj Read]]="N/A",IF(Table1[[#This Row],[Std Adj Read]]&lt;Table1[[#This Row],[High Tol]],"Pass","Fail"),IF(Table1[[#This Row],[DUT Adj Read]]&lt;Table1[[#This Row],[High Tol]],"Pass","Fail")))</f>
        <v>Fail</v>
      </c>
      <c r="AF1346" s="1" t="str">
        <f>IF(AND(Table1[[#This Row],[Spec Type2]]="N/A",Table1[[#This Row],[DUT Adj Read]]="N/A",Table1[[#This Row],[Std Adj Read]]="N/A"),"N/A",IF(Table1[[#This Row],[DUT Adj Read]]="N/A",IF(Table1[[#This Row],[Std Adj Read]]&gt;=Table1[[#This Row],[Low Tol]],"Pass","Fail"),IF(Table1[[#This Row],[DUT Adj Read]]&gt;=Table1[[#This Row],[Low Tol]],"Pass","Fail")))</f>
        <v>Pass</v>
      </c>
      <c r="AG1346" s="1" t="str">
        <f>IF(AND(Table1[[#This Row],[Spec Type2]]="N/A",Table1[[#This Row],[DUT Adj Read]]="N/A",Table1[[#This Row],[Std Adj Read]]="N/A"),"N/A",IF(Table1[[#This Row],[DUT Adj Read]]="N/A",IF(Table1[[#This Row],[Std Adj Read]]&lt;=Table1[[#This Row],[High Tol]],"Pass","Fail"),IF(Table1[[#This Row],[DUT Adj Read]]&lt;=Table1[[#This Row],[High Tol]],"Pass","Fail")))</f>
        <v>Fail</v>
      </c>
      <c r="AH13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6" s="1" t="b">
        <v>0</v>
      </c>
      <c r="AN1346" s="1" t="b">
        <v>0</v>
      </c>
      <c r="AO1346" s="1" t="b">
        <v>0</v>
      </c>
    </row>
    <row r="1347" spans="1:41" x14ac:dyDescent="0.25">
      <c r="A1347" s="10"/>
      <c r="B1347" s="10"/>
      <c r="C1347" s="10"/>
      <c r="D1347" s="10"/>
      <c r="E1347" s="10"/>
      <c r="F1347" s="10"/>
      <c r="G1347" s="10"/>
      <c r="H1347" s="10"/>
      <c r="I1347" s="1" t="str">
        <f t="shared" si="60"/>
        <v/>
      </c>
      <c r="J1347" s="1" t="s">
        <v>35</v>
      </c>
      <c r="K1347" s="1" t="str">
        <f t="shared" si="61"/>
        <v/>
      </c>
      <c r="L1347" s="1" t="str">
        <f t="shared" si="62"/>
        <v/>
      </c>
      <c r="M1347" s="1">
        <f>IF(OR(Table1[[#This Row],[Std Nom]]="",Table1[[#This Row],[Std Read]]=""),0,Table1[[#This Row],[Std Nom]]-Table1[[#This Row],[Std Read]])</f>
        <v>0</v>
      </c>
      <c r="N1347" s="1">
        <f>IF(Calculations!$F$5="ACCREDITED 17025 WITH UNCERTAINTIES",$N$10,0)</f>
        <v>0</v>
      </c>
      <c r="O1347" s="1" t="str">
        <f>IFERROR(Table1[[#This Row],[Std Nom]]-(_xlfn.XLOOKUP(Table1[[#This Row],[Manufacturer]]&amp;" "&amp;Table1[[#This Row],[Model]],Table13[MFR &amp; MDL],Table13[Tolerance % CW ],"")/100*Table1[[#This Row],[Std Nom]]),"")</f>
        <v/>
      </c>
      <c r="P1347" s="1" t="str">
        <f>IFERROR(Table1[[#This Row],[Std Nom]]+(_xlfn.XLOOKUP(Table1[[#This Row],[Manufacturer]]&amp;" "&amp;Table1[[#This Row],[Model]],Table13[MFR &amp; MDL],Table13[Tolerance % CW ],"")/100*Table1[[#This Row],[Std Nom]]),"")</f>
        <v/>
      </c>
      <c r="Q1347" s="1" t="e">
        <f>Table1[[#This Row],[High Tol]]-Table1[[#This Row],[Low Tol]]</f>
        <v>#VALUE!</v>
      </c>
      <c r="R1347" s="1">
        <f>2*Table1[[#This Row],[Std Error]]</f>
        <v>0</v>
      </c>
      <c r="S1347" s="1" t="str">
        <f>IF(Table1[[#This Row],[High Tol]]="","N/A",IFERROR(ABS(Table1[[#This Row],[Tol Span]]/Table1[[#This Row],[Error Span]]),"N/A"))</f>
        <v>N/A</v>
      </c>
      <c r="T1347" s="1" t="str">
        <f>IF(OR(Table1[[#This Row],[Low Tol]]="",Table1[[#This Row],[High Tol]]=""),"Needs Analysis",IF(Table1[[#This Row],[Ratio]]&gt;=4,"Not Significant",IF(Table1[[#This Row],[Ratio]]&gt;=2,"Semi-Significant","Significant")))</f>
        <v>Needs Analysis</v>
      </c>
      <c r="W1347" s="1">
        <f>IF(Table1[[#This Row],[Cal Type]]&lt;&gt;"ACCREDITED 17025 WITH UNCERTAINTIES",0,"")</f>
        <v>0</v>
      </c>
      <c r="X1347" s="1" t="str">
        <f>IF(Table1[[#This Row],[DUT Read]]="","N/A",Table1[[#This Row],[Std Error]]+Table1[[#This Row],[DUT Read]]+Table1[[#This Row],[DUT Ucty]])</f>
        <v>N/A</v>
      </c>
      <c r="Y1347" s="1" t="str">
        <f>IF(Table1[[#This Row],[Std Read]]="","N/A",Table1[[#This Row],[Std Read]]+Table1[[#This Row],[Std Ucty]])</f>
        <v>N/A</v>
      </c>
      <c r="Z13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7" s="1" t="str">
        <f>IF(Table1[[#This Row],[Spec Type]]="","N/A",Table1[[#This Row],[Spec Type]])</f>
        <v>±</v>
      </c>
      <c r="AC1347" s="1" t="str">
        <f>IF(Table1[[#This Row],[Spec Type2]]="N/A","N/A",IF(AND(Table1[[#This Row],[DUT Adj Read]]&gt;=Table1[[#This Row],[Low Tol]],Table1[[#This Row],[DUT Adj Read]]&lt;=Table1[[#This Row],[High Tol]]),"Pass","Fail"))</f>
        <v>Fail</v>
      </c>
      <c r="AD1347" s="1" t="str">
        <f>IF(AND(Table1[[#This Row],[Spec Type2]]="N/A",Table1[[#This Row],[DUT Adj Read]]="N/A",Table1[[#This Row],[Std Adj Read]]="N/A"),"N/A",IF(Table1[[#This Row],[DUT Adj Read]]="N/A",IF(Table1[[#This Row],[Std Adj Read]]&gt;Table1[[#This Row],[Low Tol]],"Pass","Fail"),IF(Table1[[#This Row],[DUT Adj Read]]&gt;Table1[[#This Row],[Low Tol]],"Pass","Fail")))</f>
        <v>Pass</v>
      </c>
      <c r="AE1347" s="1" t="str">
        <f>IF(AND(Table1[[#This Row],[Spec Type2]]="N/A",Table1[[#This Row],[DUT Adj Read]]="N/A",Table1[[#This Row],[Std Adj Read]]="N/A"),"N/A",IF(Table1[[#This Row],[DUT Adj Read]]="N/A",IF(Table1[[#This Row],[Std Adj Read]]&lt;Table1[[#This Row],[High Tol]],"Pass","Fail"),IF(Table1[[#This Row],[DUT Adj Read]]&lt;Table1[[#This Row],[High Tol]],"Pass","Fail")))</f>
        <v>Fail</v>
      </c>
      <c r="AF1347" s="1" t="str">
        <f>IF(AND(Table1[[#This Row],[Spec Type2]]="N/A",Table1[[#This Row],[DUT Adj Read]]="N/A",Table1[[#This Row],[Std Adj Read]]="N/A"),"N/A",IF(Table1[[#This Row],[DUT Adj Read]]="N/A",IF(Table1[[#This Row],[Std Adj Read]]&gt;=Table1[[#This Row],[Low Tol]],"Pass","Fail"),IF(Table1[[#This Row],[DUT Adj Read]]&gt;=Table1[[#This Row],[Low Tol]],"Pass","Fail")))</f>
        <v>Pass</v>
      </c>
      <c r="AG1347" s="1" t="str">
        <f>IF(AND(Table1[[#This Row],[Spec Type2]]="N/A",Table1[[#This Row],[DUT Adj Read]]="N/A",Table1[[#This Row],[Std Adj Read]]="N/A"),"N/A",IF(Table1[[#This Row],[DUT Adj Read]]="N/A",IF(Table1[[#This Row],[Std Adj Read]]&lt;=Table1[[#This Row],[High Tol]],"Pass","Fail"),IF(Table1[[#This Row],[DUT Adj Read]]&lt;=Table1[[#This Row],[High Tol]],"Pass","Fail")))</f>
        <v>Fail</v>
      </c>
      <c r="AH13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7" s="1" t="b">
        <v>0</v>
      </c>
      <c r="AN1347" s="1" t="b">
        <v>0</v>
      </c>
      <c r="AO1347" s="1" t="b">
        <v>0</v>
      </c>
    </row>
    <row r="1348" spans="1:41" x14ac:dyDescent="0.25">
      <c r="A1348" s="10"/>
      <c r="B1348" s="10"/>
      <c r="C1348" s="10"/>
      <c r="D1348" s="10"/>
      <c r="E1348" s="10"/>
      <c r="F1348" s="10"/>
      <c r="G1348" s="10"/>
      <c r="H1348" s="10"/>
      <c r="I1348" s="1" t="str">
        <f t="shared" si="60"/>
        <v/>
      </c>
      <c r="J1348" s="1" t="s">
        <v>35</v>
      </c>
      <c r="K1348" s="1" t="str">
        <f t="shared" si="61"/>
        <v/>
      </c>
      <c r="L1348" s="1" t="str">
        <f t="shared" si="62"/>
        <v/>
      </c>
      <c r="M1348" s="1">
        <f>IF(OR(Table1[[#This Row],[Std Nom]]="",Table1[[#This Row],[Std Read]]=""),0,Table1[[#This Row],[Std Nom]]-Table1[[#This Row],[Std Read]])</f>
        <v>0</v>
      </c>
      <c r="N1348" s="1">
        <f>IF(Calculations!$F$5="ACCREDITED 17025 WITH UNCERTAINTIES",$N$10,0)</f>
        <v>0</v>
      </c>
      <c r="O1348" s="1" t="str">
        <f>IFERROR(Table1[[#This Row],[Std Nom]]-(_xlfn.XLOOKUP(Table1[[#This Row],[Manufacturer]]&amp;" "&amp;Table1[[#This Row],[Model]],Table13[MFR &amp; MDL],Table13[Tolerance % CW ],"")/100*Table1[[#This Row],[Std Nom]]),"")</f>
        <v/>
      </c>
      <c r="P1348" s="1" t="str">
        <f>IFERROR(Table1[[#This Row],[Std Nom]]+(_xlfn.XLOOKUP(Table1[[#This Row],[Manufacturer]]&amp;" "&amp;Table1[[#This Row],[Model]],Table13[MFR &amp; MDL],Table13[Tolerance % CW ],"")/100*Table1[[#This Row],[Std Nom]]),"")</f>
        <v/>
      </c>
      <c r="Q1348" s="1" t="e">
        <f>Table1[[#This Row],[High Tol]]-Table1[[#This Row],[Low Tol]]</f>
        <v>#VALUE!</v>
      </c>
      <c r="R1348" s="1">
        <f>2*Table1[[#This Row],[Std Error]]</f>
        <v>0</v>
      </c>
      <c r="S1348" s="1" t="str">
        <f>IF(Table1[[#This Row],[High Tol]]="","N/A",IFERROR(ABS(Table1[[#This Row],[Tol Span]]/Table1[[#This Row],[Error Span]]),"N/A"))</f>
        <v>N/A</v>
      </c>
      <c r="T1348" s="1" t="str">
        <f>IF(OR(Table1[[#This Row],[Low Tol]]="",Table1[[#This Row],[High Tol]]=""),"Needs Analysis",IF(Table1[[#This Row],[Ratio]]&gt;=4,"Not Significant",IF(Table1[[#This Row],[Ratio]]&gt;=2,"Semi-Significant","Significant")))</f>
        <v>Needs Analysis</v>
      </c>
      <c r="W1348" s="1">
        <f>IF(Table1[[#This Row],[Cal Type]]&lt;&gt;"ACCREDITED 17025 WITH UNCERTAINTIES",0,"")</f>
        <v>0</v>
      </c>
      <c r="X1348" s="1" t="str">
        <f>IF(Table1[[#This Row],[DUT Read]]="","N/A",Table1[[#This Row],[Std Error]]+Table1[[#This Row],[DUT Read]]+Table1[[#This Row],[DUT Ucty]])</f>
        <v>N/A</v>
      </c>
      <c r="Y1348" s="1" t="str">
        <f>IF(Table1[[#This Row],[Std Read]]="","N/A",Table1[[#This Row],[Std Read]]+Table1[[#This Row],[Std Ucty]])</f>
        <v>N/A</v>
      </c>
      <c r="Z13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8" s="1" t="str">
        <f>IF(Table1[[#This Row],[Spec Type]]="","N/A",Table1[[#This Row],[Spec Type]])</f>
        <v>±</v>
      </c>
      <c r="AC1348" s="1" t="str">
        <f>IF(Table1[[#This Row],[Spec Type2]]="N/A","N/A",IF(AND(Table1[[#This Row],[DUT Adj Read]]&gt;=Table1[[#This Row],[Low Tol]],Table1[[#This Row],[DUT Adj Read]]&lt;=Table1[[#This Row],[High Tol]]),"Pass","Fail"))</f>
        <v>Fail</v>
      </c>
      <c r="AD1348" s="1" t="str">
        <f>IF(AND(Table1[[#This Row],[Spec Type2]]="N/A",Table1[[#This Row],[DUT Adj Read]]="N/A",Table1[[#This Row],[Std Adj Read]]="N/A"),"N/A",IF(Table1[[#This Row],[DUT Adj Read]]="N/A",IF(Table1[[#This Row],[Std Adj Read]]&gt;Table1[[#This Row],[Low Tol]],"Pass","Fail"),IF(Table1[[#This Row],[DUT Adj Read]]&gt;Table1[[#This Row],[Low Tol]],"Pass","Fail")))</f>
        <v>Pass</v>
      </c>
      <c r="AE1348" s="1" t="str">
        <f>IF(AND(Table1[[#This Row],[Spec Type2]]="N/A",Table1[[#This Row],[DUT Adj Read]]="N/A",Table1[[#This Row],[Std Adj Read]]="N/A"),"N/A",IF(Table1[[#This Row],[DUT Adj Read]]="N/A",IF(Table1[[#This Row],[Std Adj Read]]&lt;Table1[[#This Row],[High Tol]],"Pass","Fail"),IF(Table1[[#This Row],[DUT Adj Read]]&lt;Table1[[#This Row],[High Tol]],"Pass","Fail")))</f>
        <v>Fail</v>
      </c>
      <c r="AF1348" s="1" t="str">
        <f>IF(AND(Table1[[#This Row],[Spec Type2]]="N/A",Table1[[#This Row],[DUT Adj Read]]="N/A",Table1[[#This Row],[Std Adj Read]]="N/A"),"N/A",IF(Table1[[#This Row],[DUT Adj Read]]="N/A",IF(Table1[[#This Row],[Std Adj Read]]&gt;=Table1[[#This Row],[Low Tol]],"Pass","Fail"),IF(Table1[[#This Row],[DUT Adj Read]]&gt;=Table1[[#This Row],[Low Tol]],"Pass","Fail")))</f>
        <v>Pass</v>
      </c>
      <c r="AG1348" s="1" t="str">
        <f>IF(AND(Table1[[#This Row],[Spec Type2]]="N/A",Table1[[#This Row],[DUT Adj Read]]="N/A",Table1[[#This Row],[Std Adj Read]]="N/A"),"N/A",IF(Table1[[#This Row],[DUT Adj Read]]="N/A",IF(Table1[[#This Row],[Std Adj Read]]&lt;=Table1[[#This Row],[High Tol]],"Pass","Fail"),IF(Table1[[#This Row],[DUT Adj Read]]&lt;=Table1[[#This Row],[High Tol]],"Pass","Fail")))</f>
        <v>Fail</v>
      </c>
      <c r="AH13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8" s="1" t="b">
        <v>0</v>
      </c>
      <c r="AN1348" s="1" t="b">
        <v>0</v>
      </c>
      <c r="AO1348" s="1" t="b">
        <v>0</v>
      </c>
    </row>
    <row r="1349" spans="1:41" x14ac:dyDescent="0.25">
      <c r="A1349" s="10"/>
      <c r="B1349" s="10"/>
      <c r="C1349" s="10"/>
      <c r="D1349" s="10"/>
      <c r="E1349" s="10"/>
      <c r="F1349" s="10"/>
      <c r="G1349" s="10"/>
      <c r="H1349" s="10"/>
      <c r="I1349" s="1" t="str">
        <f t="shared" si="60"/>
        <v/>
      </c>
      <c r="J1349" s="1" t="s">
        <v>35</v>
      </c>
      <c r="K1349" s="1" t="str">
        <f t="shared" si="61"/>
        <v/>
      </c>
      <c r="L1349" s="1" t="str">
        <f t="shared" si="62"/>
        <v/>
      </c>
      <c r="M1349" s="1">
        <f>IF(OR(Table1[[#This Row],[Std Nom]]="",Table1[[#This Row],[Std Read]]=""),0,Table1[[#This Row],[Std Nom]]-Table1[[#This Row],[Std Read]])</f>
        <v>0</v>
      </c>
      <c r="N1349" s="1">
        <f>IF(Calculations!$F$5="ACCREDITED 17025 WITH UNCERTAINTIES",$N$10,0)</f>
        <v>0</v>
      </c>
      <c r="O1349" s="1" t="str">
        <f>IFERROR(Table1[[#This Row],[Std Nom]]-(_xlfn.XLOOKUP(Table1[[#This Row],[Manufacturer]]&amp;" "&amp;Table1[[#This Row],[Model]],Table13[MFR &amp; MDL],Table13[Tolerance % CW ],"")/100*Table1[[#This Row],[Std Nom]]),"")</f>
        <v/>
      </c>
      <c r="P1349" s="1" t="str">
        <f>IFERROR(Table1[[#This Row],[Std Nom]]+(_xlfn.XLOOKUP(Table1[[#This Row],[Manufacturer]]&amp;" "&amp;Table1[[#This Row],[Model]],Table13[MFR &amp; MDL],Table13[Tolerance % CW ],"")/100*Table1[[#This Row],[Std Nom]]),"")</f>
        <v/>
      </c>
      <c r="Q1349" s="1" t="e">
        <f>Table1[[#This Row],[High Tol]]-Table1[[#This Row],[Low Tol]]</f>
        <v>#VALUE!</v>
      </c>
      <c r="R1349" s="1">
        <f>2*Table1[[#This Row],[Std Error]]</f>
        <v>0</v>
      </c>
      <c r="S1349" s="1" t="str">
        <f>IF(Table1[[#This Row],[High Tol]]="","N/A",IFERROR(ABS(Table1[[#This Row],[Tol Span]]/Table1[[#This Row],[Error Span]]),"N/A"))</f>
        <v>N/A</v>
      </c>
      <c r="T1349" s="1" t="str">
        <f>IF(OR(Table1[[#This Row],[Low Tol]]="",Table1[[#This Row],[High Tol]]=""),"Needs Analysis",IF(Table1[[#This Row],[Ratio]]&gt;=4,"Not Significant",IF(Table1[[#This Row],[Ratio]]&gt;=2,"Semi-Significant","Significant")))</f>
        <v>Needs Analysis</v>
      </c>
      <c r="W1349" s="1">
        <f>IF(Table1[[#This Row],[Cal Type]]&lt;&gt;"ACCREDITED 17025 WITH UNCERTAINTIES",0,"")</f>
        <v>0</v>
      </c>
      <c r="X1349" s="1" t="str">
        <f>IF(Table1[[#This Row],[DUT Read]]="","N/A",Table1[[#This Row],[Std Error]]+Table1[[#This Row],[DUT Read]]+Table1[[#This Row],[DUT Ucty]])</f>
        <v>N/A</v>
      </c>
      <c r="Y1349" s="1" t="str">
        <f>IF(Table1[[#This Row],[Std Read]]="","N/A",Table1[[#This Row],[Std Read]]+Table1[[#This Row],[Std Ucty]])</f>
        <v>N/A</v>
      </c>
      <c r="Z13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9" s="1" t="str">
        <f>IF(Table1[[#This Row],[Spec Type]]="","N/A",Table1[[#This Row],[Spec Type]])</f>
        <v>±</v>
      </c>
      <c r="AC1349" s="1" t="str">
        <f>IF(Table1[[#This Row],[Spec Type2]]="N/A","N/A",IF(AND(Table1[[#This Row],[DUT Adj Read]]&gt;=Table1[[#This Row],[Low Tol]],Table1[[#This Row],[DUT Adj Read]]&lt;=Table1[[#This Row],[High Tol]]),"Pass","Fail"))</f>
        <v>Fail</v>
      </c>
      <c r="AD1349" s="1" t="str">
        <f>IF(AND(Table1[[#This Row],[Spec Type2]]="N/A",Table1[[#This Row],[DUT Adj Read]]="N/A",Table1[[#This Row],[Std Adj Read]]="N/A"),"N/A",IF(Table1[[#This Row],[DUT Adj Read]]="N/A",IF(Table1[[#This Row],[Std Adj Read]]&gt;Table1[[#This Row],[Low Tol]],"Pass","Fail"),IF(Table1[[#This Row],[DUT Adj Read]]&gt;Table1[[#This Row],[Low Tol]],"Pass","Fail")))</f>
        <v>Pass</v>
      </c>
      <c r="AE1349" s="1" t="str">
        <f>IF(AND(Table1[[#This Row],[Spec Type2]]="N/A",Table1[[#This Row],[DUT Adj Read]]="N/A",Table1[[#This Row],[Std Adj Read]]="N/A"),"N/A",IF(Table1[[#This Row],[DUT Adj Read]]="N/A",IF(Table1[[#This Row],[Std Adj Read]]&lt;Table1[[#This Row],[High Tol]],"Pass","Fail"),IF(Table1[[#This Row],[DUT Adj Read]]&lt;Table1[[#This Row],[High Tol]],"Pass","Fail")))</f>
        <v>Fail</v>
      </c>
      <c r="AF1349" s="1" t="str">
        <f>IF(AND(Table1[[#This Row],[Spec Type2]]="N/A",Table1[[#This Row],[DUT Adj Read]]="N/A",Table1[[#This Row],[Std Adj Read]]="N/A"),"N/A",IF(Table1[[#This Row],[DUT Adj Read]]="N/A",IF(Table1[[#This Row],[Std Adj Read]]&gt;=Table1[[#This Row],[Low Tol]],"Pass","Fail"),IF(Table1[[#This Row],[DUT Adj Read]]&gt;=Table1[[#This Row],[Low Tol]],"Pass","Fail")))</f>
        <v>Pass</v>
      </c>
      <c r="AG1349" s="1" t="str">
        <f>IF(AND(Table1[[#This Row],[Spec Type2]]="N/A",Table1[[#This Row],[DUT Adj Read]]="N/A",Table1[[#This Row],[Std Adj Read]]="N/A"),"N/A",IF(Table1[[#This Row],[DUT Adj Read]]="N/A",IF(Table1[[#This Row],[Std Adj Read]]&lt;=Table1[[#This Row],[High Tol]],"Pass","Fail"),IF(Table1[[#This Row],[DUT Adj Read]]&lt;=Table1[[#This Row],[High Tol]],"Pass","Fail")))</f>
        <v>Fail</v>
      </c>
      <c r="AH13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9" s="1" t="b">
        <v>0</v>
      </c>
      <c r="AN1349" s="1" t="b">
        <v>0</v>
      </c>
      <c r="AO1349" s="1" t="b">
        <v>0</v>
      </c>
    </row>
    <row r="1350" spans="1:41" x14ac:dyDescent="0.25">
      <c r="A1350" s="10"/>
      <c r="B1350" s="10"/>
      <c r="C1350" s="10"/>
      <c r="D1350" s="10"/>
      <c r="E1350" s="10"/>
      <c r="F1350" s="10"/>
      <c r="G1350" s="10"/>
      <c r="H1350" s="10"/>
      <c r="I1350" s="1" t="str">
        <f t="shared" si="60"/>
        <v/>
      </c>
      <c r="J1350" s="1" t="s">
        <v>35</v>
      </c>
      <c r="K1350" s="1" t="str">
        <f t="shared" si="61"/>
        <v/>
      </c>
      <c r="L1350" s="1" t="str">
        <f t="shared" si="62"/>
        <v/>
      </c>
      <c r="M1350" s="1">
        <f>IF(OR(Table1[[#This Row],[Std Nom]]="",Table1[[#This Row],[Std Read]]=""),0,Table1[[#This Row],[Std Nom]]-Table1[[#This Row],[Std Read]])</f>
        <v>0</v>
      </c>
      <c r="N1350" s="1">
        <f>IF(Calculations!$F$5="ACCREDITED 17025 WITH UNCERTAINTIES",$N$10,0)</f>
        <v>0</v>
      </c>
      <c r="O1350" s="1" t="str">
        <f>IFERROR(Table1[[#This Row],[Std Nom]]-(_xlfn.XLOOKUP(Table1[[#This Row],[Manufacturer]]&amp;" "&amp;Table1[[#This Row],[Model]],Table13[MFR &amp; MDL],Table13[Tolerance % CW ],"")/100*Table1[[#This Row],[Std Nom]]),"")</f>
        <v/>
      </c>
      <c r="P1350" s="1" t="str">
        <f>IFERROR(Table1[[#This Row],[Std Nom]]+(_xlfn.XLOOKUP(Table1[[#This Row],[Manufacturer]]&amp;" "&amp;Table1[[#This Row],[Model]],Table13[MFR &amp; MDL],Table13[Tolerance % CW ],"")/100*Table1[[#This Row],[Std Nom]]),"")</f>
        <v/>
      </c>
      <c r="Q1350" s="1" t="e">
        <f>Table1[[#This Row],[High Tol]]-Table1[[#This Row],[Low Tol]]</f>
        <v>#VALUE!</v>
      </c>
      <c r="R1350" s="1">
        <f>2*Table1[[#This Row],[Std Error]]</f>
        <v>0</v>
      </c>
      <c r="S1350" s="1" t="str">
        <f>IF(Table1[[#This Row],[High Tol]]="","N/A",IFERROR(ABS(Table1[[#This Row],[Tol Span]]/Table1[[#This Row],[Error Span]]),"N/A"))</f>
        <v>N/A</v>
      </c>
      <c r="T1350" s="1" t="str">
        <f>IF(OR(Table1[[#This Row],[Low Tol]]="",Table1[[#This Row],[High Tol]]=""),"Needs Analysis",IF(Table1[[#This Row],[Ratio]]&gt;=4,"Not Significant",IF(Table1[[#This Row],[Ratio]]&gt;=2,"Semi-Significant","Significant")))</f>
        <v>Needs Analysis</v>
      </c>
      <c r="W1350" s="1">
        <f>IF(Table1[[#This Row],[Cal Type]]&lt;&gt;"ACCREDITED 17025 WITH UNCERTAINTIES",0,"")</f>
        <v>0</v>
      </c>
      <c r="X1350" s="1" t="str">
        <f>IF(Table1[[#This Row],[DUT Read]]="","N/A",Table1[[#This Row],[Std Error]]+Table1[[#This Row],[DUT Read]]+Table1[[#This Row],[DUT Ucty]])</f>
        <v>N/A</v>
      </c>
      <c r="Y1350" s="1" t="str">
        <f>IF(Table1[[#This Row],[Std Read]]="","N/A",Table1[[#This Row],[Std Read]]+Table1[[#This Row],[Std Ucty]])</f>
        <v>N/A</v>
      </c>
      <c r="Z13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0" s="1" t="str">
        <f>IF(Table1[[#This Row],[Spec Type]]="","N/A",Table1[[#This Row],[Spec Type]])</f>
        <v>±</v>
      </c>
      <c r="AC1350" s="1" t="str">
        <f>IF(Table1[[#This Row],[Spec Type2]]="N/A","N/A",IF(AND(Table1[[#This Row],[DUT Adj Read]]&gt;=Table1[[#This Row],[Low Tol]],Table1[[#This Row],[DUT Adj Read]]&lt;=Table1[[#This Row],[High Tol]]),"Pass","Fail"))</f>
        <v>Fail</v>
      </c>
      <c r="AD1350" s="1" t="str">
        <f>IF(AND(Table1[[#This Row],[Spec Type2]]="N/A",Table1[[#This Row],[DUT Adj Read]]="N/A",Table1[[#This Row],[Std Adj Read]]="N/A"),"N/A",IF(Table1[[#This Row],[DUT Adj Read]]="N/A",IF(Table1[[#This Row],[Std Adj Read]]&gt;Table1[[#This Row],[Low Tol]],"Pass","Fail"),IF(Table1[[#This Row],[DUT Adj Read]]&gt;Table1[[#This Row],[Low Tol]],"Pass","Fail")))</f>
        <v>Pass</v>
      </c>
      <c r="AE1350" s="1" t="str">
        <f>IF(AND(Table1[[#This Row],[Spec Type2]]="N/A",Table1[[#This Row],[DUT Adj Read]]="N/A",Table1[[#This Row],[Std Adj Read]]="N/A"),"N/A",IF(Table1[[#This Row],[DUT Adj Read]]="N/A",IF(Table1[[#This Row],[Std Adj Read]]&lt;Table1[[#This Row],[High Tol]],"Pass","Fail"),IF(Table1[[#This Row],[DUT Adj Read]]&lt;Table1[[#This Row],[High Tol]],"Pass","Fail")))</f>
        <v>Fail</v>
      </c>
      <c r="AF1350" s="1" t="str">
        <f>IF(AND(Table1[[#This Row],[Spec Type2]]="N/A",Table1[[#This Row],[DUT Adj Read]]="N/A",Table1[[#This Row],[Std Adj Read]]="N/A"),"N/A",IF(Table1[[#This Row],[DUT Adj Read]]="N/A",IF(Table1[[#This Row],[Std Adj Read]]&gt;=Table1[[#This Row],[Low Tol]],"Pass","Fail"),IF(Table1[[#This Row],[DUT Adj Read]]&gt;=Table1[[#This Row],[Low Tol]],"Pass","Fail")))</f>
        <v>Pass</v>
      </c>
      <c r="AG1350" s="1" t="str">
        <f>IF(AND(Table1[[#This Row],[Spec Type2]]="N/A",Table1[[#This Row],[DUT Adj Read]]="N/A",Table1[[#This Row],[Std Adj Read]]="N/A"),"N/A",IF(Table1[[#This Row],[DUT Adj Read]]="N/A",IF(Table1[[#This Row],[Std Adj Read]]&lt;=Table1[[#This Row],[High Tol]],"Pass","Fail"),IF(Table1[[#This Row],[DUT Adj Read]]&lt;=Table1[[#This Row],[High Tol]],"Pass","Fail")))</f>
        <v>Fail</v>
      </c>
      <c r="AH13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0" s="1" t="b">
        <v>0</v>
      </c>
      <c r="AN1350" s="1" t="b">
        <v>0</v>
      </c>
      <c r="AO1350" s="1" t="b">
        <v>0</v>
      </c>
    </row>
    <row r="1351" spans="1:41" x14ac:dyDescent="0.25">
      <c r="A1351" s="10"/>
      <c r="B1351" s="10"/>
      <c r="C1351" s="10"/>
      <c r="D1351" s="10"/>
      <c r="E1351" s="10"/>
      <c r="F1351" s="10"/>
      <c r="G1351" s="10"/>
      <c r="H1351" s="10"/>
      <c r="I1351" s="1" t="str">
        <f t="shared" si="60"/>
        <v/>
      </c>
      <c r="J1351" s="1" t="s">
        <v>35</v>
      </c>
      <c r="K1351" s="1" t="str">
        <f t="shared" si="61"/>
        <v/>
      </c>
      <c r="L1351" s="1" t="str">
        <f t="shared" si="62"/>
        <v/>
      </c>
      <c r="M1351" s="1">
        <f>IF(OR(Table1[[#This Row],[Std Nom]]="",Table1[[#This Row],[Std Read]]=""),0,Table1[[#This Row],[Std Nom]]-Table1[[#This Row],[Std Read]])</f>
        <v>0</v>
      </c>
      <c r="N1351" s="1">
        <f>IF(Calculations!$F$5="ACCREDITED 17025 WITH UNCERTAINTIES",$N$10,0)</f>
        <v>0</v>
      </c>
      <c r="O1351" s="1" t="str">
        <f>IFERROR(Table1[[#This Row],[Std Nom]]-(_xlfn.XLOOKUP(Table1[[#This Row],[Manufacturer]]&amp;" "&amp;Table1[[#This Row],[Model]],Table13[MFR &amp; MDL],Table13[Tolerance % CW ],"")/100*Table1[[#This Row],[Std Nom]]),"")</f>
        <v/>
      </c>
      <c r="P1351" s="1" t="str">
        <f>IFERROR(Table1[[#This Row],[Std Nom]]+(_xlfn.XLOOKUP(Table1[[#This Row],[Manufacturer]]&amp;" "&amp;Table1[[#This Row],[Model]],Table13[MFR &amp; MDL],Table13[Tolerance % CW ],"")/100*Table1[[#This Row],[Std Nom]]),"")</f>
        <v/>
      </c>
      <c r="Q1351" s="1" t="e">
        <f>Table1[[#This Row],[High Tol]]-Table1[[#This Row],[Low Tol]]</f>
        <v>#VALUE!</v>
      </c>
      <c r="R1351" s="1">
        <f>2*Table1[[#This Row],[Std Error]]</f>
        <v>0</v>
      </c>
      <c r="S1351" s="1" t="str">
        <f>IF(Table1[[#This Row],[High Tol]]="","N/A",IFERROR(ABS(Table1[[#This Row],[Tol Span]]/Table1[[#This Row],[Error Span]]),"N/A"))</f>
        <v>N/A</v>
      </c>
      <c r="T1351" s="1" t="str">
        <f>IF(OR(Table1[[#This Row],[Low Tol]]="",Table1[[#This Row],[High Tol]]=""),"Needs Analysis",IF(Table1[[#This Row],[Ratio]]&gt;=4,"Not Significant",IF(Table1[[#This Row],[Ratio]]&gt;=2,"Semi-Significant","Significant")))</f>
        <v>Needs Analysis</v>
      </c>
      <c r="W1351" s="1">
        <f>IF(Table1[[#This Row],[Cal Type]]&lt;&gt;"ACCREDITED 17025 WITH UNCERTAINTIES",0,"")</f>
        <v>0</v>
      </c>
      <c r="X1351" s="1" t="str">
        <f>IF(Table1[[#This Row],[DUT Read]]="","N/A",Table1[[#This Row],[Std Error]]+Table1[[#This Row],[DUT Read]]+Table1[[#This Row],[DUT Ucty]])</f>
        <v>N/A</v>
      </c>
      <c r="Y1351" s="1" t="str">
        <f>IF(Table1[[#This Row],[Std Read]]="","N/A",Table1[[#This Row],[Std Read]]+Table1[[#This Row],[Std Ucty]])</f>
        <v>N/A</v>
      </c>
      <c r="Z13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1" s="1" t="str">
        <f>IF(Table1[[#This Row],[Spec Type]]="","N/A",Table1[[#This Row],[Spec Type]])</f>
        <v>±</v>
      </c>
      <c r="AC1351" s="1" t="str">
        <f>IF(Table1[[#This Row],[Spec Type2]]="N/A","N/A",IF(AND(Table1[[#This Row],[DUT Adj Read]]&gt;=Table1[[#This Row],[Low Tol]],Table1[[#This Row],[DUT Adj Read]]&lt;=Table1[[#This Row],[High Tol]]),"Pass","Fail"))</f>
        <v>Fail</v>
      </c>
      <c r="AD1351" s="1" t="str">
        <f>IF(AND(Table1[[#This Row],[Spec Type2]]="N/A",Table1[[#This Row],[DUT Adj Read]]="N/A",Table1[[#This Row],[Std Adj Read]]="N/A"),"N/A",IF(Table1[[#This Row],[DUT Adj Read]]="N/A",IF(Table1[[#This Row],[Std Adj Read]]&gt;Table1[[#This Row],[Low Tol]],"Pass","Fail"),IF(Table1[[#This Row],[DUT Adj Read]]&gt;Table1[[#This Row],[Low Tol]],"Pass","Fail")))</f>
        <v>Pass</v>
      </c>
      <c r="AE1351" s="1" t="str">
        <f>IF(AND(Table1[[#This Row],[Spec Type2]]="N/A",Table1[[#This Row],[DUT Adj Read]]="N/A",Table1[[#This Row],[Std Adj Read]]="N/A"),"N/A",IF(Table1[[#This Row],[DUT Adj Read]]="N/A",IF(Table1[[#This Row],[Std Adj Read]]&lt;Table1[[#This Row],[High Tol]],"Pass","Fail"),IF(Table1[[#This Row],[DUT Adj Read]]&lt;Table1[[#This Row],[High Tol]],"Pass","Fail")))</f>
        <v>Fail</v>
      </c>
      <c r="AF1351" s="1" t="str">
        <f>IF(AND(Table1[[#This Row],[Spec Type2]]="N/A",Table1[[#This Row],[DUT Adj Read]]="N/A",Table1[[#This Row],[Std Adj Read]]="N/A"),"N/A",IF(Table1[[#This Row],[DUT Adj Read]]="N/A",IF(Table1[[#This Row],[Std Adj Read]]&gt;=Table1[[#This Row],[Low Tol]],"Pass","Fail"),IF(Table1[[#This Row],[DUT Adj Read]]&gt;=Table1[[#This Row],[Low Tol]],"Pass","Fail")))</f>
        <v>Pass</v>
      </c>
      <c r="AG1351" s="1" t="str">
        <f>IF(AND(Table1[[#This Row],[Spec Type2]]="N/A",Table1[[#This Row],[DUT Adj Read]]="N/A",Table1[[#This Row],[Std Adj Read]]="N/A"),"N/A",IF(Table1[[#This Row],[DUT Adj Read]]="N/A",IF(Table1[[#This Row],[Std Adj Read]]&lt;=Table1[[#This Row],[High Tol]],"Pass","Fail"),IF(Table1[[#This Row],[DUT Adj Read]]&lt;=Table1[[#This Row],[High Tol]],"Pass","Fail")))</f>
        <v>Fail</v>
      </c>
      <c r="AH13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1" s="1" t="b">
        <v>0</v>
      </c>
      <c r="AN1351" s="1" t="b">
        <v>0</v>
      </c>
      <c r="AO1351" s="1" t="b">
        <v>0</v>
      </c>
    </row>
    <row r="1352" spans="1:41" x14ac:dyDescent="0.25">
      <c r="A1352" s="10"/>
      <c r="B1352" s="10"/>
      <c r="C1352" s="10"/>
      <c r="D1352" s="10"/>
      <c r="E1352" s="10"/>
      <c r="F1352" s="10"/>
      <c r="G1352" s="10"/>
      <c r="H1352" s="10"/>
      <c r="I1352" s="1" t="str">
        <f t="shared" si="60"/>
        <v/>
      </c>
      <c r="J1352" s="1" t="s">
        <v>35</v>
      </c>
      <c r="K1352" s="1" t="str">
        <f t="shared" si="61"/>
        <v/>
      </c>
      <c r="L1352" s="1" t="str">
        <f t="shared" si="62"/>
        <v/>
      </c>
      <c r="M1352" s="1">
        <f>IF(OR(Table1[[#This Row],[Std Nom]]="",Table1[[#This Row],[Std Read]]=""),0,Table1[[#This Row],[Std Nom]]-Table1[[#This Row],[Std Read]])</f>
        <v>0</v>
      </c>
      <c r="N1352" s="1">
        <f>IF(Calculations!$F$5="ACCREDITED 17025 WITH UNCERTAINTIES",$N$10,0)</f>
        <v>0</v>
      </c>
      <c r="O1352" s="1" t="str">
        <f>IFERROR(Table1[[#This Row],[Std Nom]]-(_xlfn.XLOOKUP(Table1[[#This Row],[Manufacturer]]&amp;" "&amp;Table1[[#This Row],[Model]],Table13[MFR &amp; MDL],Table13[Tolerance % CW ],"")/100*Table1[[#This Row],[Std Nom]]),"")</f>
        <v/>
      </c>
      <c r="P1352" s="1" t="str">
        <f>IFERROR(Table1[[#This Row],[Std Nom]]+(_xlfn.XLOOKUP(Table1[[#This Row],[Manufacturer]]&amp;" "&amp;Table1[[#This Row],[Model]],Table13[MFR &amp; MDL],Table13[Tolerance % CW ],"")/100*Table1[[#This Row],[Std Nom]]),"")</f>
        <v/>
      </c>
      <c r="Q1352" s="1" t="e">
        <f>Table1[[#This Row],[High Tol]]-Table1[[#This Row],[Low Tol]]</f>
        <v>#VALUE!</v>
      </c>
      <c r="R1352" s="1">
        <f>2*Table1[[#This Row],[Std Error]]</f>
        <v>0</v>
      </c>
      <c r="S1352" s="1" t="str">
        <f>IF(Table1[[#This Row],[High Tol]]="","N/A",IFERROR(ABS(Table1[[#This Row],[Tol Span]]/Table1[[#This Row],[Error Span]]),"N/A"))</f>
        <v>N/A</v>
      </c>
      <c r="T1352" s="1" t="str">
        <f>IF(OR(Table1[[#This Row],[Low Tol]]="",Table1[[#This Row],[High Tol]]=""),"Needs Analysis",IF(Table1[[#This Row],[Ratio]]&gt;=4,"Not Significant",IF(Table1[[#This Row],[Ratio]]&gt;=2,"Semi-Significant","Significant")))</f>
        <v>Needs Analysis</v>
      </c>
      <c r="W1352" s="1">
        <f>IF(Table1[[#This Row],[Cal Type]]&lt;&gt;"ACCREDITED 17025 WITH UNCERTAINTIES",0,"")</f>
        <v>0</v>
      </c>
      <c r="X1352" s="1" t="str">
        <f>IF(Table1[[#This Row],[DUT Read]]="","N/A",Table1[[#This Row],[Std Error]]+Table1[[#This Row],[DUT Read]]+Table1[[#This Row],[DUT Ucty]])</f>
        <v>N/A</v>
      </c>
      <c r="Y1352" s="1" t="str">
        <f>IF(Table1[[#This Row],[Std Read]]="","N/A",Table1[[#This Row],[Std Read]]+Table1[[#This Row],[Std Ucty]])</f>
        <v>N/A</v>
      </c>
      <c r="Z13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2" s="1" t="str">
        <f>IF(Table1[[#This Row],[Spec Type]]="","N/A",Table1[[#This Row],[Spec Type]])</f>
        <v>±</v>
      </c>
      <c r="AC1352" s="1" t="str">
        <f>IF(Table1[[#This Row],[Spec Type2]]="N/A","N/A",IF(AND(Table1[[#This Row],[DUT Adj Read]]&gt;=Table1[[#This Row],[Low Tol]],Table1[[#This Row],[DUT Adj Read]]&lt;=Table1[[#This Row],[High Tol]]),"Pass","Fail"))</f>
        <v>Fail</v>
      </c>
      <c r="AD1352" s="1" t="str">
        <f>IF(AND(Table1[[#This Row],[Spec Type2]]="N/A",Table1[[#This Row],[DUT Adj Read]]="N/A",Table1[[#This Row],[Std Adj Read]]="N/A"),"N/A",IF(Table1[[#This Row],[DUT Adj Read]]="N/A",IF(Table1[[#This Row],[Std Adj Read]]&gt;Table1[[#This Row],[Low Tol]],"Pass","Fail"),IF(Table1[[#This Row],[DUT Adj Read]]&gt;Table1[[#This Row],[Low Tol]],"Pass","Fail")))</f>
        <v>Pass</v>
      </c>
      <c r="AE1352" s="1" t="str">
        <f>IF(AND(Table1[[#This Row],[Spec Type2]]="N/A",Table1[[#This Row],[DUT Adj Read]]="N/A",Table1[[#This Row],[Std Adj Read]]="N/A"),"N/A",IF(Table1[[#This Row],[DUT Adj Read]]="N/A",IF(Table1[[#This Row],[Std Adj Read]]&lt;Table1[[#This Row],[High Tol]],"Pass","Fail"),IF(Table1[[#This Row],[DUT Adj Read]]&lt;Table1[[#This Row],[High Tol]],"Pass","Fail")))</f>
        <v>Fail</v>
      </c>
      <c r="AF1352" s="1" t="str">
        <f>IF(AND(Table1[[#This Row],[Spec Type2]]="N/A",Table1[[#This Row],[DUT Adj Read]]="N/A",Table1[[#This Row],[Std Adj Read]]="N/A"),"N/A",IF(Table1[[#This Row],[DUT Adj Read]]="N/A",IF(Table1[[#This Row],[Std Adj Read]]&gt;=Table1[[#This Row],[Low Tol]],"Pass","Fail"),IF(Table1[[#This Row],[DUT Adj Read]]&gt;=Table1[[#This Row],[Low Tol]],"Pass","Fail")))</f>
        <v>Pass</v>
      </c>
      <c r="AG1352" s="1" t="str">
        <f>IF(AND(Table1[[#This Row],[Spec Type2]]="N/A",Table1[[#This Row],[DUT Adj Read]]="N/A",Table1[[#This Row],[Std Adj Read]]="N/A"),"N/A",IF(Table1[[#This Row],[DUT Adj Read]]="N/A",IF(Table1[[#This Row],[Std Adj Read]]&lt;=Table1[[#This Row],[High Tol]],"Pass","Fail"),IF(Table1[[#This Row],[DUT Adj Read]]&lt;=Table1[[#This Row],[High Tol]],"Pass","Fail")))</f>
        <v>Fail</v>
      </c>
      <c r="AH13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2" s="1" t="b">
        <v>0</v>
      </c>
      <c r="AN1352" s="1" t="b">
        <v>0</v>
      </c>
      <c r="AO1352" s="1" t="b">
        <v>0</v>
      </c>
    </row>
    <row r="1353" spans="1:41" x14ac:dyDescent="0.25">
      <c r="A1353" s="10"/>
      <c r="B1353" s="10"/>
      <c r="C1353" s="10"/>
      <c r="D1353" s="10"/>
      <c r="E1353" s="10"/>
      <c r="F1353" s="10"/>
      <c r="G1353" s="10"/>
      <c r="H1353" s="10"/>
      <c r="I1353" s="1" t="str">
        <f t="shared" si="60"/>
        <v/>
      </c>
      <c r="J1353" s="1" t="s">
        <v>35</v>
      </c>
      <c r="K1353" s="1" t="str">
        <f t="shared" si="61"/>
        <v/>
      </c>
      <c r="L1353" s="1" t="str">
        <f t="shared" si="62"/>
        <v/>
      </c>
      <c r="M1353" s="1">
        <f>IF(OR(Table1[[#This Row],[Std Nom]]="",Table1[[#This Row],[Std Read]]=""),0,Table1[[#This Row],[Std Nom]]-Table1[[#This Row],[Std Read]])</f>
        <v>0</v>
      </c>
      <c r="N1353" s="1">
        <f>IF(Calculations!$F$5="ACCREDITED 17025 WITH UNCERTAINTIES",$N$10,0)</f>
        <v>0</v>
      </c>
      <c r="O1353" s="1" t="str">
        <f>IFERROR(Table1[[#This Row],[Std Nom]]-(_xlfn.XLOOKUP(Table1[[#This Row],[Manufacturer]]&amp;" "&amp;Table1[[#This Row],[Model]],Table13[MFR &amp; MDL],Table13[Tolerance % CW ],"")/100*Table1[[#This Row],[Std Nom]]),"")</f>
        <v/>
      </c>
      <c r="P1353" s="1" t="str">
        <f>IFERROR(Table1[[#This Row],[Std Nom]]+(_xlfn.XLOOKUP(Table1[[#This Row],[Manufacturer]]&amp;" "&amp;Table1[[#This Row],[Model]],Table13[MFR &amp; MDL],Table13[Tolerance % CW ],"")/100*Table1[[#This Row],[Std Nom]]),"")</f>
        <v/>
      </c>
      <c r="Q1353" s="1" t="e">
        <f>Table1[[#This Row],[High Tol]]-Table1[[#This Row],[Low Tol]]</f>
        <v>#VALUE!</v>
      </c>
      <c r="R1353" s="1">
        <f>2*Table1[[#This Row],[Std Error]]</f>
        <v>0</v>
      </c>
      <c r="S1353" s="1" t="str">
        <f>IF(Table1[[#This Row],[High Tol]]="","N/A",IFERROR(ABS(Table1[[#This Row],[Tol Span]]/Table1[[#This Row],[Error Span]]),"N/A"))</f>
        <v>N/A</v>
      </c>
      <c r="T1353" s="1" t="str">
        <f>IF(OR(Table1[[#This Row],[Low Tol]]="",Table1[[#This Row],[High Tol]]=""),"Needs Analysis",IF(Table1[[#This Row],[Ratio]]&gt;=4,"Not Significant",IF(Table1[[#This Row],[Ratio]]&gt;=2,"Semi-Significant","Significant")))</f>
        <v>Needs Analysis</v>
      </c>
      <c r="W1353" s="1">
        <f>IF(Table1[[#This Row],[Cal Type]]&lt;&gt;"ACCREDITED 17025 WITH UNCERTAINTIES",0,"")</f>
        <v>0</v>
      </c>
      <c r="X1353" s="1" t="str">
        <f>IF(Table1[[#This Row],[DUT Read]]="","N/A",Table1[[#This Row],[Std Error]]+Table1[[#This Row],[DUT Read]]+Table1[[#This Row],[DUT Ucty]])</f>
        <v>N/A</v>
      </c>
      <c r="Y1353" s="1" t="str">
        <f>IF(Table1[[#This Row],[Std Read]]="","N/A",Table1[[#This Row],[Std Read]]+Table1[[#This Row],[Std Ucty]])</f>
        <v>N/A</v>
      </c>
      <c r="Z13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3" s="1" t="str">
        <f>IF(Table1[[#This Row],[Spec Type]]="","N/A",Table1[[#This Row],[Spec Type]])</f>
        <v>±</v>
      </c>
      <c r="AC1353" s="1" t="str">
        <f>IF(Table1[[#This Row],[Spec Type2]]="N/A","N/A",IF(AND(Table1[[#This Row],[DUT Adj Read]]&gt;=Table1[[#This Row],[Low Tol]],Table1[[#This Row],[DUT Adj Read]]&lt;=Table1[[#This Row],[High Tol]]),"Pass","Fail"))</f>
        <v>Fail</v>
      </c>
      <c r="AD1353" s="1" t="str">
        <f>IF(AND(Table1[[#This Row],[Spec Type2]]="N/A",Table1[[#This Row],[DUT Adj Read]]="N/A",Table1[[#This Row],[Std Adj Read]]="N/A"),"N/A",IF(Table1[[#This Row],[DUT Adj Read]]="N/A",IF(Table1[[#This Row],[Std Adj Read]]&gt;Table1[[#This Row],[Low Tol]],"Pass","Fail"),IF(Table1[[#This Row],[DUT Adj Read]]&gt;Table1[[#This Row],[Low Tol]],"Pass","Fail")))</f>
        <v>Pass</v>
      </c>
      <c r="AE1353" s="1" t="str">
        <f>IF(AND(Table1[[#This Row],[Spec Type2]]="N/A",Table1[[#This Row],[DUT Adj Read]]="N/A",Table1[[#This Row],[Std Adj Read]]="N/A"),"N/A",IF(Table1[[#This Row],[DUT Adj Read]]="N/A",IF(Table1[[#This Row],[Std Adj Read]]&lt;Table1[[#This Row],[High Tol]],"Pass","Fail"),IF(Table1[[#This Row],[DUT Adj Read]]&lt;Table1[[#This Row],[High Tol]],"Pass","Fail")))</f>
        <v>Fail</v>
      </c>
      <c r="AF1353" s="1" t="str">
        <f>IF(AND(Table1[[#This Row],[Spec Type2]]="N/A",Table1[[#This Row],[DUT Adj Read]]="N/A",Table1[[#This Row],[Std Adj Read]]="N/A"),"N/A",IF(Table1[[#This Row],[DUT Adj Read]]="N/A",IF(Table1[[#This Row],[Std Adj Read]]&gt;=Table1[[#This Row],[Low Tol]],"Pass","Fail"),IF(Table1[[#This Row],[DUT Adj Read]]&gt;=Table1[[#This Row],[Low Tol]],"Pass","Fail")))</f>
        <v>Pass</v>
      </c>
      <c r="AG1353" s="1" t="str">
        <f>IF(AND(Table1[[#This Row],[Spec Type2]]="N/A",Table1[[#This Row],[DUT Adj Read]]="N/A",Table1[[#This Row],[Std Adj Read]]="N/A"),"N/A",IF(Table1[[#This Row],[DUT Adj Read]]="N/A",IF(Table1[[#This Row],[Std Adj Read]]&lt;=Table1[[#This Row],[High Tol]],"Pass","Fail"),IF(Table1[[#This Row],[DUT Adj Read]]&lt;=Table1[[#This Row],[High Tol]],"Pass","Fail")))</f>
        <v>Fail</v>
      </c>
      <c r="AH13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3" s="1" t="b">
        <v>0</v>
      </c>
      <c r="AN1353" s="1" t="b">
        <v>0</v>
      </c>
      <c r="AO1353" s="1" t="b">
        <v>0</v>
      </c>
    </row>
    <row r="1354" spans="1:41" x14ac:dyDescent="0.25">
      <c r="A1354" s="10"/>
      <c r="B1354" s="10"/>
      <c r="C1354" s="10"/>
      <c r="D1354" s="10"/>
      <c r="E1354" s="10"/>
      <c r="F1354" s="10"/>
      <c r="G1354" s="10"/>
      <c r="H1354" s="10"/>
      <c r="I1354" s="1" t="str">
        <f t="shared" si="60"/>
        <v/>
      </c>
      <c r="J1354" s="1" t="s">
        <v>35</v>
      </c>
      <c r="K1354" s="1" t="str">
        <f t="shared" si="61"/>
        <v/>
      </c>
      <c r="L1354" s="1" t="str">
        <f t="shared" si="62"/>
        <v/>
      </c>
      <c r="M1354" s="1">
        <f>IF(OR(Table1[[#This Row],[Std Nom]]="",Table1[[#This Row],[Std Read]]=""),0,Table1[[#This Row],[Std Nom]]-Table1[[#This Row],[Std Read]])</f>
        <v>0</v>
      </c>
      <c r="N1354" s="1">
        <f>IF(Calculations!$F$5="ACCREDITED 17025 WITH UNCERTAINTIES",$N$10,0)</f>
        <v>0</v>
      </c>
      <c r="O1354" s="1" t="str">
        <f>IFERROR(Table1[[#This Row],[Std Nom]]-(_xlfn.XLOOKUP(Table1[[#This Row],[Manufacturer]]&amp;" "&amp;Table1[[#This Row],[Model]],Table13[MFR &amp; MDL],Table13[Tolerance % CW ],"")/100*Table1[[#This Row],[Std Nom]]),"")</f>
        <v/>
      </c>
      <c r="P1354" s="1" t="str">
        <f>IFERROR(Table1[[#This Row],[Std Nom]]+(_xlfn.XLOOKUP(Table1[[#This Row],[Manufacturer]]&amp;" "&amp;Table1[[#This Row],[Model]],Table13[MFR &amp; MDL],Table13[Tolerance % CW ],"")/100*Table1[[#This Row],[Std Nom]]),"")</f>
        <v/>
      </c>
      <c r="Q1354" s="1" t="e">
        <f>Table1[[#This Row],[High Tol]]-Table1[[#This Row],[Low Tol]]</f>
        <v>#VALUE!</v>
      </c>
      <c r="R1354" s="1">
        <f>2*Table1[[#This Row],[Std Error]]</f>
        <v>0</v>
      </c>
      <c r="S1354" s="1" t="str">
        <f>IF(Table1[[#This Row],[High Tol]]="","N/A",IFERROR(ABS(Table1[[#This Row],[Tol Span]]/Table1[[#This Row],[Error Span]]),"N/A"))</f>
        <v>N/A</v>
      </c>
      <c r="T1354" s="1" t="str">
        <f>IF(OR(Table1[[#This Row],[Low Tol]]="",Table1[[#This Row],[High Tol]]=""),"Needs Analysis",IF(Table1[[#This Row],[Ratio]]&gt;=4,"Not Significant",IF(Table1[[#This Row],[Ratio]]&gt;=2,"Semi-Significant","Significant")))</f>
        <v>Needs Analysis</v>
      </c>
      <c r="W1354" s="1">
        <f>IF(Table1[[#This Row],[Cal Type]]&lt;&gt;"ACCREDITED 17025 WITH UNCERTAINTIES",0,"")</f>
        <v>0</v>
      </c>
      <c r="X1354" s="1" t="str">
        <f>IF(Table1[[#This Row],[DUT Read]]="","N/A",Table1[[#This Row],[Std Error]]+Table1[[#This Row],[DUT Read]]+Table1[[#This Row],[DUT Ucty]])</f>
        <v>N/A</v>
      </c>
      <c r="Y1354" s="1" t="str">
        <f>IF(Table1[[#This Row],[Std Read]]="","N/A",Table1[[#This Row],[Std Read]]+Table1[[#This Row],[Std Ucty]])</f>
        <v>N/A</v>
      </c>
      <c r="Z13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4" s="1" t="str">
        <f>IF(Table1[[#This Row],[Spec Type]]="","N/A",Table1[[#This Row],[Spec Type]])</f>
        <v>±</v>
      </c>
      <c r="AC1354" s="1" t="str">
        <f>IF(Table1[[#This Row],[Spec Type2]]="N/A","N/A",IF(AND(Table1[[#This Row],[DUT Adj Read]]&gt;=Table1[[#This Row],[Low Tol]],Table1[[#This Row],[DUT Adj Read]]&lt;=Table1[[#This Row],[High Tol]]),"Pass","Fail"))</f>
        <v>Fail</v>
      </c>
      <c r="AD1354" s="1" t="str">
        <f>IF(AND(Table1[[#This Row],[Spec Type2]]="N/A",Table1[[#This Row],[DUT Adj Read]]="N/A",Table1[[#This Row],[Std Adj Read]]="N/A"),"N/A",IF(Table1[[#This Row],[DUT Adj Read]]="N/A",IF(Table1[[#This Row],[Std Adj Read]]&gt;Table1[[#This Row],[Low Tol]],"Pass","Fail"),IF(Table1[[#This Row],[DUT Adj Read]]&gt;Table1[[#This Row],[Low Tol]],"Pass","Fail")))</f>
        <v>Pass</v>
      </c>
      <c r="AE1354" s="1" t="str">
        <f>IF(AND(Table1[[#This Row],[Spec Type2]]="N/A",Table1[[#This Row],[DUT Adj Read]]="N/A",Table1[[#This Row],[Std Adj Read]]="N/A"),"N/A",IF(Table1[[#This Row],[DUT Adj Read]]="N/A",IF(Table1[[#This Row],[Std Adj Read]]&lt;Table1[[#This Row],[High Tol]],"Pass","Fail"),IF(Table1[[#This Row],[DUT Adj Read]]&lt;Table1[[#This Row],[High Tol]],"Pass","Fail")))</f>
        <v>Fail</v>
      </c>
      <c r="AF1354" s="1" t="str">
        <f>IF(AND(Table1[[#This Row],[Spec Type2]]="N/A",Table1[[#This Row],[DUT Adj Read]]="N/A",Table1[[#This Row],[Std Adj Read]]="N/A"),"N/A",IF(Table1[[#This Row],[DUT Adj Read]]="N/A",IF(Table1[[#This Row],[Std Adj Read]]&gt;=Table1[[#This Row],[Low Tol]],"Pass","Fail"),IF(Table1[[#This Row],[DUT Adj Read]]&gt;=Table1[[#This Row],[Low Tol]],"Pass","Fail")))</f>
        <v>Pass</v>
      </c>
      <c r="AG1354" s="1" t="str">
        <f>IF(AND(Table1[[#This Row],[Spec Type2]]="N/A",Table1[[#This Row],[DUT Adj Read]]="N/A",Table1[[#This Row],[Std Adj Read]]="N/A"),"N/A",IF(Table1[[#This Row],[DUT Adj Read]]="N/A",IF(Table1[[#This Row],[Std Adj Read]]&lt;=Table1[[#This Row],[High Tol]],"Pass","Fail"),IF(Table1[[#This Row],[DUT Adj Read]]&lt;=Table1[[#This Row],[High Tol]],"Pass","Fail")))</f>
        <v>Fail</v>
      </c>
      <c r="AH13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4" s="1" t="b">
        <v>0</v>
      </c>
      <c r="AN1354" s="1" t="b">
        <v>0</v>
      </c>
      <c r="AO1354" s="1" t="b">
        <v>0</v>
      </c>
    </row>
    <row r="1355" spans="1:41" x14ac:dyDescent="0.25">
      <c r="A1355" s="10"/>
      <c r="B1355" s="10"/>
      <c r="C1355" s="10"/>
      <c r="D1355" s="10"/>
      <c r="E1355" s="10"/>
      <c r="F1355" s="10"/>
      <c r="G1355" s="10"/>
      <c r="H1355" s="10"/>
      <c r="I1355" s="1" t="str">
        <f t="shared" ref="I1355:I1418" si="63">IF($I$10="","",$I$10)</f>
        <v/>
      </c>
      <c r="J1355" s="1" t="s">
        <v>35</v>
      </c>
      <c r="K1355" s="1" t="str">
        <f t="shared" ref="K1355:K1418" si="64">IF($K$10="","",$K$10)</f>
        <v/>
      </c>
      <c r="L1355" s="1" t="str">
        <f t="shared" ref="L1355:L1418" si="65">IF($L$10="","",$L$10)</f>
        <v/>
      </c>
      <c r="M1355" s="1">
        <f>IF(OR(Table1[[#This Row],[Std Nom]]="",Table1[[#This Row],[Std Read]]=""),0,Table1[[#This Row],[Std Nom]]-Table1[[#This Row],[Std Read]])</f>
        <v>0</v>
      </c>
      <c r="N1355" s="1">
        <f>IF(Calculations!$F$5="ACCREDITED 17025 WITH UNCERTAINTIES",$N$10,0)</f>
        <v>0</v>
      </c>
      <c r="O1355" s="1" t="str">
        <f>IFERROR(Table1[[#This Row],[Std Nom]]-(_xlfn.XLOOKUP(Table1[[#This Row],[Manufacturer]]&amp;" "&amp;Table1[[#This Row],[Model]],Table13[MFR &amp; MDL],Table13[Tolerance % CW ],"")/100*Table1[[#This Row],[Std Nom]]),"")</f>
        <v/>
      </c>
      <c r="P1355" s="1" t="str">
        <f>IFERROR(Table1[[#This Row],[Std Nom]]+(_xlfn.XLOOKUP(Table1[[#This Row],[Manufacturer]]&amp;" "&amp;Table1[[#This Row],[Model]],Table13[MFR &amp; MDL],Table13[Tolerance % CW ],"")/100*Table1[[#This Row],[Std Nom]]),"")</f>
        <v/>
      </c>
      <c r="Q1355" s="1" t="e">
        <f>Table1[[#This Row],[High Tol]]-Table1[[#This Row],[Low Tol]]</f>
        <v>#VALUE!</v>
      </c>
      <c r="R1355" s="1">
        <f>2*Table1[[#This Row],[Std Error]]</f>
        <v>0</v>
      </c>
      <c r="S1355" s="1" t="str">
        <f>IF(Table1[[#This Row],[High Tol]]="","N/A",IFERROR(ABS(Table1[[#This Row],[Tol Span]]/Table1[[#This Row],[Error Span]]),"N/A"))</f>
        <v>N/A</v>
      </c>
      <c r="T1355" s="1" t="str">
        <f>IF(OR(Table1[[#This Row],[Low Tol]]="",Table1[[#This Row],[High Tol]]=""),"Needs Analysis",IF(Table1[[#This Row],[Ratio]]&gt;=4,"Not Significant",IF(Table1[[#This Row],[Ratio]]&gt;=2,"Semi-Significant","Significant")))</f>
        <v>Needs Analysis</v>
      </c>
      <c r="W1355" s="1">
        <f>IF(Table1[[#This Row],[Cal Type]]&lt;&gt;"ACCREDITED 17025 WITH UNCERTAINTIES",0,"")</f>
        <v>0</v>
      </c>
      <c r="X1355" s="1" t="str">
        <f>IF(Table1[[#This Row],[DUT Read]]="","N/A",Table1[[#This Row],[Std Error]]+Table1[[#This Row],[DUT Read]]+Table1[[#This Row],[DUT Ucty]])</f>
        <v>N/A</v>
      </c>
      <c r="Y1355" s="1" t="str">
        <f>IF(Table1[[#This Row],[Std Read]]="","N/A",Table1[[#This Row],[Std Read]]+Table1[[#This Row],[Std Ucty]])</f>
        <v>N/A</v>
      </c>
      <c r="Z13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5" s="1" t="str">
        <f>IF(Table1[[#This Row],[Spec Type]]="","N/A",Table1[[#This Row],[Spec Type]])</f>
        <v>±</v>
      </c>
      <c r="AC1355" s="1" t="str">
        <f>IF(Table1[[#This Row],[Spec Type2]]="N/A","N/A",IF(AND(Table1[[#This Row],[DUT Adj Read]]&gt;=Table1[[#This Row],[Low Tol]],Table1[[#This Row],[DUT Adj Read]]&lt;=Table1[[#This Row],[High Tol]]),"Pass","Fail"))</f>
        <v>Fail</v>
      </c>
      <c r="AD1355" s="1" t="str">
        <f>IF(AND(Table1[[#This Row],[Spec Type2]]="N/A",Table1[[#This Row],[DUT Adj Read]]="N/A",Table1[[#This Row],[Std Adj Read]]="N/A"),"N/A",IF(Table1[[#This Row],[DUT Adj Read]]="N/A",IF(Table1[[#This Row],[Std Adj Read]]&gt;Table1[[#This Row],[Low Tol]],"Pass","Fail"),IF(Table1[[#This Row],[DUT Adj Read]]&gt;Table1[[#This Row],[Low Tol]],"Pass","Fail")))</f>
        <v>Pass</v>
      </c>
      <c r="AE1355" s="1" t="str">
        <f>IF(AND(Table1[[#This Row],[Spec Type2]]="N/A",Table1[[#This Row],[DUT Adj Read]]="N/A",Table1[[#This Row],[Std Adj Read]]="N/A"),"N/A",IF(Table1[[#This Row],[DUT Adj Read]]="N/A",IF(Table1[[#This Row],[Std Adj Read]]&lt;Table1[[#This Row],[High Tol]],"Pass","Fail"),IF(Table1[[#This Row],[DUT Adj Read]]&lt;Table1[[#This Row],[High Tol]],"Pass","Fail")))</f>
        <v>Fail</v>
      </c>
      <c r="AF1355" s="1" t="str">
        <f>IF(AND(Table1[[#This Row],[Spec Type2]]="N/A",Table1[[#This Row],[DUT Adj Read]]="N/A",Table1[[#This Row],[Std Adj Read]]="N/A"),"N/A",IF(Table1[[#This Row],[DUT Adj Read]]="N/A",IF(Table1[[#This Row],[Std Adj Read]]&gt;=Table1[[#This Row],[Low Tol]],"Pass","Fail"),IF(Table1[[#This Row],[DUT Adj Read]]&gt;=Table1[[#This Row],[Low Tol]],"Pass","Fail")))</f>
        <v>Pass</v>
      </c>
      <c r="AG1355" s="1" t="str">
        <f>IF(AND(Table1[[#This Row],[Spec Type2]]="N/A",Table1[[#This Row],[DUT Adj Read]]="N/A",Table1[[#This Row],[Std Adj Read]]="N/A"),"N/A",IF(Table1[[#This Row],[DUT Adj Read]]="N/A",IF(Table1[[#This Row],[Std Adj Read]]&lt;=Table1[[#This Row],[High Tol]],"Pass","Fail"),IF(Table1[[#This Row],[DUT Adj Read]]&lt;=Table1[[#This Row],[High Tol]],"Pass","Fail")))</f>
        <v>Fail</v>
      </c>
      <c r="AH13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5" s="1" t="b">
        <v>0</v>
      </c>
      <c r="AN1355" s="1" t="b">
        <v>0</v>
      </c>
      <c r="AO1355" s="1" t="b">
        <v>0</v>
      </c>
    </row>
    <row r="1356" spans="1:41" x14ac:dyDescent="0.25">
      <c r="A1356" s="10"/>
      <c r="B1356" s="10"/>
      <c r="C1356" s="10"/>
      <c r="D1356" s="10"/>
      <c r="E1356" s="10"/>
      <c r="F1356" s="10"/>
      <c r="G1356" s="10"/>
      <c r="H1356" s="10"/>
      <c r="I1356" s="1" t="str">
        <f t="shared" si="63"/>
        <v/>
      </c>
      <c r="J1356" s="1" t="s">
        <v>35</v>
      </c>
      <c r="K1356" s="1" t="str">
        <f t="shared" si="64"/>
        <v/>
      </c>
      <c r="L1356" s="1" t="str">
        <f t="shared" si="65"/>
        <v/>
      </c>
      <c r="M1356" s="1">
        <f>IF(OR(Table1[[#This Row],[Std Nom]]="",Table1[[#This Row],[Std Read]]=""),0,Table1[[#This Row],[Std Nom]]-Table1[[#This Row],[Std Read]])</f>
        <v>0</v>
      </c>
      <c r="N1356" s="1">
        <f>IF(Calculations!$F$5="ACCREDITED 17025 WITH UNCERTAINTIES",$N$10,0)</f>
        <v>0</v>
      </c>
      <c r="O1356" s="1" t="str">
        <f>IFERROR(Table1[[#This Row],[Std Nom]]-(_xlfn.XLOOKUP(Table1[[#This Row],[Manufacturer]]&amp;" "&amp;Table1[[#This Row],[Model]],Table13[MFR &amp; MDL],Table13[Tolerance % CW ],"")/100*Table1[[#This Row],[Std Nom]]),"")</f>
        <v/>
      </c>
      <c r="P1356" s="1" t="str">
        <f>IFERROR(Table1[[#This Row],[Std Nom]]+(_xlfn.XLOOKUP(Table1[[#This Row],[Manufacturer]]&amp;" "&amp;Table1[[#This Row],[Model]],Table13[MFR &amp; MDL],Table13[Tolerance % CW ],"")/100*Table1[[#This Row],[Std Nom]]),"")</f>
        <v/>
      </c>
      <c r="Q1356" s="1" t="e">
        <f>Table1[[#This Row],[High Tol]]-Table1[[#This Row],[Low Tol]]</f>
        <v>#VALUE!</v>
      </c>
      <c r="R1356" s="1">
        <f>2*Table1[[#This Row],[Std Error]]</f>
        <v>0</v>
      </c>
      <c r="S1356" s="1" t="str">
        <f>IF(Table1[[#This Row],[High Tol]]="","N/A",IFERROR(ABS(Table1[[#This Row],[Tol Span]]/Table1[[#This Row],[Error Span]]),"N/A"))</f>
        <v>N/A</v>
      </c>
      <c r="T1356" s="1" t="str">
        <f>IF(OR(Table1[[#This Row],[Low Tol]]="",Table1[[#This Row],[High Tol]]=""),"Needs Analysis",IF(Table1[[#This Row],[Ratio]]&gt;=4,"Not Significant",IF(Table1[[#This Row],[Ratio]]&gt;=2,"Semi-Significant","Significant")))</f>
        <v>Needs Analysis</v>
      </c>
      <c r="W1356" s="1">
        <f>IF(Table1[[#This Row],[Cal Type]]&lt;&gt;"ACCREDITED 17025 WITH UNCERTAINTIES",0,"")</f>
        <v>0</v>
      </c>
      <c r="X1356" s="1" t="str">
        <f>IF(Table1[[#This Row],[DUT Read]]="","N/A",Table1[[#This Row],[Std Error]]+Table1[[#This Row],[DUT Read]]+Table1[[#This Row],[DUT Ucty]])</f>
        <v>N/A</v>
      </c>
      <c r="Y1356" s="1" t="str">
        <f>IF(Table1[[#This Row],[Std Read]]="","N/A",Table1[[#This Row],[Std Read]]+Table1[[#This Row],[Std Ucty]])</f>
        <v>N/A</v>
      </c>
      <c r="Z13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6" s="1" t="str">
        <f>IF(Table1[[#This Row],[Spec Type]]="","N/A",Table1[[#This Row],[Spec Type]])</f>
        <v>±</v>
      </c>
      <c r="AC1356" s="1" t="str">
        <f>IF(Table1[[#This Row],[Spec Type2]]="N/A","N/A",IF(AND(Table1[[#This Row],[DUT Adj Read]]&gt;=Table1[[#This Row],[Low Tol]],Table1[[#This Row],[DUT Adj Read]]&lt;=Table1[[#This Row],[High Tol]]),"Pass","Fail"))</f>
        <v>Fail</v>
      </c>
      <c r="AD1356" s="1" t="str">
        <f>IF(AND(Table1[[#This Row],[Spec Type2]]="N/A",Table1[[#This Row],[DUT Adj Read]]="N/A",Table1[[#This Row],[Std Adj Read]]="N/A"),"N/A",IF(Table1[[#This Row],[DUT Adj Read]]="N/A",IF(Table1[[#This Row],[Std Adj Read]]&gt;Table1[[#This Row],[Low Tol]],"Pass","Fail"),IF(Table1[[#This Row],[DUT Adj Read]]&gt;Table1[[#This Row],[Low Tol]],"Pass","Fail")))</f>
        <v>Pass</v>
      </c>
      <c r="AE1356" s="1" t="str">
        <f>IF(AND(Table1[[#This Row],[Spec Type2]]="N/A",Table1[[#This Row],[DUT Adj Read]]="N/A",Table1[[#This Row],[Std Adj Read]]="N/A"),"N/A",IF(Table1[[#This Row],[DUT Adj Read]]="N/A",IF(Table1[[#This Row],[Std Adj Read]]&lt;Table1[[#This Row],[High Tol]],"Pass","Fail"),IF(Table1[[#This Row],[DUT Adj Read]]&lt;Table1[[#This Row],[High Tol]],"Pass","Fail")))</f>
        <v>Fail</v>
      </c>
      <c r="AF1356" s="1" t="str">
        <f>IF(AND(Table1[[#This Row],[Spec Type2]]="N/A",Table1[[#This Row],[DUT Adj Read]]="N/A",Table1[[#This Row],[Std Adj Read]]="N/A"),"N/A",IF(Table1[[#This Row],[DUT Adj Read]]="N/A",IF(Table1[[#This Row],[Std Adj Read]]&gt;=Table1[[#This Row],[Low Tol]],"Pass","Fail"),IF(Table1[[#This Row],[DUT Adj Read]]&gt;=Table1[[#This Row],[Low Tol]],"Pass","Fail")))</f>
        <v>Pass</v>
      </c>
      <c r="AG1356" s="1" t="str">
        <f>IF(AND(Table1[[#This Row],[Spec Type2]]="N/A",Table1[[#This Row],[DUT Adj Read]]="N/A",Table1[[#This Row],[Std Adj Read]]="N/A"),"N/A",IF(Table1[[#This Row],[DUT Adj Read]]="N/A",IF(Table1[[#This Row],[Std Adj Read]]&lt;=Table1[[#This Row],[High Tol]],"Pass","Fail"),IF(Table1[[#This Row],[DUT Adj Read]]&lt;=Table1[[#This Row],[High Tol]],"Pass","Fail")))</f>
        <v>Fail</v>
      </c>
      <c r="AH13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6" s="1" t="b">
        <v>0</v>
      </c>
      <c r="AN1356" s="1" t="b">
        <v>0</v>
      </c>
      <c r="AO1356" s="1" t="b">
        <v>0</v>
      </c>
    </row>
    <row r="1357" spans="1:41" x14ac:dyDescent="0.25">
      <c r="A1357" s="10"/>
      <c r="B1357" s="10"/>
      <c r="C1357" s="10"/>
      <c r="D1357" s="10"/>
      <c r="E1357" s="10"/>
      <c r="F1357" s="10"/>
      <c r="G1357" s="10"/>
      <c r="H1357" s="10"/>
      <c r="I1357" s="1" t="str">
        <f t="shared" si="63"/>
        <v/>
      </c>
      <c r="J1357" s="1" t="s">
        <v>35</v>
      </c>
      <c r="K1357" s="1" t="str">
        <f t="shared" si="64"/>
        <v/>
      </c>
      <c r="L1357" s="1" t="str">
        <f t="shared" si="65"/>
        <v/>
      </c>
      <c r="M1357" s="1">
        <f>IF(OR(Table1[[#This Row],[Std Nom]]="",Table1[[#This Row],[Std Read]]=""),0,Table1[[#This Row],[Std Nom]]-Table1[[#This Row],[Std Read]])</f>
        <v>0</v>
      </c>
      <c r="N1357" s="1">
        <f>IF(Calculations!$F$5="ACCREDITED 17025 WITH UNCERTAINTIES",$N$10,0)</f>
        <v>0</v>
      </c>
      <c r="O1357" s="1" t="str">
        <f>IFERROR(Table1[[#This Row],[Std Nom]]-(_xlfn.XLOOKUP(Table1[[#This Row],[Manufacturer]]&amp;" "&amp;Table1[[#This Row],[Model]],Table13[MFR &amp; MDL],Table13[Tolerance % CW ],"")/100*Table1[[#This Row],[Std Nom]]),"")</f>
        <v/>
      </c>
      <c r="P1357" s="1" t="str">
        <f>IFERROR(Table1[[#This Row],[Std Nom]]+(_xlfn.XLOOKUP(Table1[[#This Row],[Manufacturer]]&amp;" "&amp;Table1[[#This Row],[Model]],Table13[MFR &amp; MDL],Table13[Tolerance % CW ],"")/100*Table1[[#This Row],[Std Nom]]),"")</f>
        <v/>
      </c>
      <c r="Q1357" s="1" t="e">
        <f>Table1[[#This Row],[High Tol]]-Table1[[#This Row],[Low Tol]]</f>
        <v>#VALUE!</v>
      </c>
      <c r="R1357" s="1">
        <f>2*Table1[[#This Row],[Std Error]]</f>
        <v>0</v>
      </c>
      <c r="S1357" s="1" t="str">
        <f>IF(Table1[[#This Row],[High Tol]]="","N/A",IFERROR(ABS(Table1[[#This Row],[Tol Span]]/Table1[[#This Row],[Error Span]]),"N/A"))</f>
        <v>N/A</v>
      </c>
      <c r="T1357" s="1" t="str">
        <f>IF(OR(Table1[[#This Row],[Low Tol]]="",Table1[[#This Row],[High Tol]]=""),"Needs Analysis",IF(Table1[[#This Row],[Ratio]]&gt;=4,"Not Significant",IF(Table1[[#This Row],[Ratio]]&gt;=2,"Semi-Significant","Significant")))</f>
        <v>Needs Analysis</v>
      </c>
      <c r="W1357" s="1">
        <f>IF(Table1[[#This Row],[Cal Type]]&lt;&gt;"ACCREDITED 17025 WITH UNCERTAINTIES",0,"")</f>
        <v>0</v>
      </c>
      <c r="X1357" s="1" t="str">
        <f>IF(Table1[[#This Row],[DUT Read]]="","N/A",Table1[[#This Row],[Std Error]]+Table1[[#This Row],[DUT Read]]+Table1[[#This Row],[DUT Ucty]])</f>
        <v>N/A</v>
      </c>
      <c r="Y1357" s="1" t="str">
        <f>IF(Table1[[#This Row],[Std Read]]="","N/A",Table1[[#This Row],[Std Read]]+Table1[[#This Row],[Std Ucty]])</f>
        <v>N/A</v>
      </c>
      <c r="Z13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7" s="1" t="str">
        <f>IF(Table1[[#This Row],[Spec Type]]="","N/A",Table1[[#This Row],[Spec Type]])</f>
        <v>±</v>
      </c>
      <c r="AC1357" s="1" t="str">
        <f>IF(Table1[[#This Row],[Spec Type2]]="N/A","N/A",IF(AND(Table1[[#This Row],[DUT Adj Read]]&gt;=Table1[[#This Row],[Low Tol]],Table1[[#This Row],[DUT Adj Read]]&lt;=Table1[[#This Row],[High Tol]]),"Pass","Fail"))</f>
        <v>Fail</v>
      </c>
      <c r="AD1357" s="1" t="str">
        <f>IF(AND(Table1[[#This Row],[Spec Type2]]="N/A",Table1[[#This Row],[DUT Adj Read]]="N/A",Table1[[#This Row],[Std Adj Read]]="N/A"),"N/A",IF(Table1[[#This Row],[DUT Adj Read]]="N/A",IF(Table1[[#This Row],[Std Adj Read]]&gt;Table1[[#This Row],[Low Tol]],"Pass","Fail"),IF(Table1[[#This Row],[DUT Adj Read]]&gt;Table1[[#This Row],[Low Tol]],"Pass","Fail")))</f>
        <v>Pass</v>
      </c>
      <c r="AE1357" s="1" t="str">
        <f>IF(AND(Table1[[#This Row],[Spec Type2]]="N/A",Table1[[#This Row],[DUT Adj Read]]="N/A",Table1[[#This Row],[Std Adj Read]]="N/A"),"N/A",IF(Table1[[#This Row],[DUT Adj Read]]="N/A",IF(Table1[[#This Row],[Std Adj Read]]&lt;Table1[[#This Row],[High Tol]],"Pass","Fail"),IF(Table1[[#This Row],[DUT Adj Read]]&lt;Table1[[#This Row],[High Tol]],"Pass","Fail")))</f>
        <v>Fail</v>
      </c>
      <c r="AF1357" s="1" t="str">
        <f>IF(AND(Table1[[#This Row],[Spec Type2]]="N/A",Table1[[#This Row],[DUT Adj Read]]="N/A",Table1[[#This Row],[Std Adj Read]]="N/A"),"N/A",IF(Table1[[#This Row],[DUT Adj Read]]="N/A",IF(Table1[[#This Row],[Std Adj Read]]&gt;=Table1[[#This Row],[Low Tol]],"Pass","Fail"),IF(Table1[[#This Row],[DUT Adj Read]]&gt;=Table1[[#This Row],[Low Tol]],"Pass","Fail")))</f>
        <v>Pass</v>
      </c>
      <c r="AG1357" s="1" t="str">
        <f>IF(AND(Table1[[#This Row],[Spec Type2]]="N/A",Table1[[#This Row],[DUT Adj Read]]="N/A",Table1[[#This Row],[Std Adj Read]]="N/A"),"N/A",IF(Table1[[#This Row],[DUT Adj Read]]="N/A",IF(Table1[[#This Row],[Std Adj Read]]&lt;=Table1[[#This Row],[High Tol]],"Pass","Fail"),IF(Table1[[#This Row],[DUT Adj Read]]&lt;=Table1[[#This Row],[High Tol]],"Pass","Fail")))</f>
        <v>Fail</v>
      </c>
      <c r="AH13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7" s="1" t="b">
        <v>0</v>
      </c>
      <c r="AN1357" s="1" t="b">
        <v>0</v>
      </c>
      <c r="AO1357" s="1" t="b">
        <v>0</v>
      </c>
    </row>
    <row r="1358" spans="1:41" x14ac:dyDescent="0.25">
      <c r="A1358" s="10"/>
      <c r="B1358" s="10"/>
      <c r="C1358" s="10"/>
      <c r="D1358" s="10"/>
      <c r="E1358" s="10"/>
      <c r="F1358" s="10"/>
      <c r="G1358" s="10"/>
      <c r="H1358" s="10"/>
      <c r="I1358" s="1" t="str">
        <f t="shared" si="63"/>
        <v/>
      </c>
      <c r="J1358" s="1" t="s">
        <v>35</v>
      </c>
      <c r="K1358" s="1" t="str">
        <f t="shared" si="64"/>
        <v/>
      </c>
      <c r="L1358" s="1" t="str">
        <f t="shared" si="65"/>
        <v/>
      </c>
      <c r="M1358" s="1">
        <f>IF(OR(Table1[[#This Row],[Std Nom]]="",Table1[[#This Row],[Std Read]]=""),0,Table1[[#This Row],[Std Nom]]-Table1[[#This Row],[Std Read]])</f>
        <v>0</v>
      </c>
      <c r="N1358" s="1">
        <f>IF(Calculations!$F$5="ACCREDITED 17025 WITH UNCERTAINTIES",$N$10,0)</f>
        <v>0</v>
      </c>
      <c r="O1358" s="1" t="str">
        <f>IFERROR(Table1[[#This Row],[Std Nom]]-(_xlfn.XLOOKUP(Table1[[#This Row],[Manufacturer]]&amp;" "&amp;Table1[[#This Row],[Model]],Table13[MFR &amp; MDL],Table13[Tolerance % CW ],"")/100*Table1[[#This Row],[Std Nom]]),"")</f>
        <v/>
      </c>
      <c r="P1358" s="1" t="str">
        <f>IFERROR(Table1[[#This Row],[Std Nom]]+(_xlfn.XLOOKUP(Table1[[#This Row],[Manufacturer]]&amp;" "&amp;Table1[[#This Row],[Model]],Table13[MFR &amp; MDL],Table13[Tolerance % CW ],"")/100*Table1[[#This Row],[Std Nom]]),"")</f>
        <v/>
      </c>
      <c r="Q1358" s="1" t="e">
        <f>Table1[[#This Row],[High Tol]]-Table1[[#This Row],[Low Tol]]</f>
        <v>#VALUE!</v>
      </c>
      <c r="R1358" s="1">
        <f>2*Table1[[#This Row],[Std Error]]</f>
        <v>0</v>
      </c>
      <c r="S1358" s="1" t="str">
        <f>IF(Table1[[#This Row],[High Tol]]="","N/A",IFERROR(ABS(Table1[[#This Row],[Tol Span]]/Table1[[#This Row],[Error Span]]),"N/A"))</f>
        <v>N/A</v>
      </c>
      <c r="T1358" s="1" t="str">
        <f>IF(OR(Table1[[#This Row],[Low Tol]]="",Table1[[#This Row],[High Tol]]=""),"Needs Analysis",IF(Table1[[#This Row],[Ratio]]&gt;=4,"Not Significant",IF(Table1[[#This Row],[Ratio]]&gt;=2,"Semi-Significant","Significant")))</f>
        <v>Needs Analysis</v>
      </c>
      <c r="W1358" s="1">
        <f>IF(Table1[[#This Row],[Cal Type]]&lt;&gt;"ACCREDITED 17025 WITH UNCERTAINTIES",0,"")</f>
        <v>0</v>
      </c>
      <c r="X1358" s="1" t="str">
        <f>IF(Table1[[#This Row],[DUT Read]]="","N/A",Table1[[#This Row],[Std Error]]+Table1[[#This Row],[DUT Read]]+Table1[[#This Row],[DUT Ucty]])</f>
        <v>N/A</v>
      </c>
      <c r="Y1358" s="1" t="str">
        <f>IF(Table1[[#This Row],[Std Read]]="","N/A",Table1[[#This Row],[Std Read]]+Table1[[#This Row],[Std Ucty]])</f>
        <v>N/A</v>
      </c>
      <c r="Z13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8" s="1" t="str">
        <f>IF(Table1[[#This Row],[Spec Type]]="","N/A",Table1[[#This Row],[Spec Type]])</f>
        <v>±</v>
      </c>
      <c r="AC1358" s="1" t="str">
        <f>IF(Table1[[#This Row],[Spec Type2]]="N/A","N/A",IF(AND(Table1[[#This Row],[DUT Adj Read]]&gt;=Table1[[#This Row],[Low Tol]],Table1[[#This Row],[DUT Adj Read]]&lt;=Table1[[#This Row],[High Tol]]),"Pass","Fail"))</f>
        <v>Fail</v>
      </c>
      <c r="AD1358" s="1" t="str">
        <f>IF(AND(Table1[[#This Row],[Spec Type2]]="N/A",Table1[[#This Row],[DUT Adj Read]]="N/A",Table1[[#This Row],[Std Adj Read]]="N/A"),"N/A",IF(Table1[[#This Row],[DUT Adj Read]]="N/A",IF(Table1[[#This Row],[Std Adj Read]]&gt;Table1[[#This Row],[Low Tol]],"Pass","Fail"),IF(Table1[[#This Row],[DUT Adj Read]]&gt;Table1[[#This Row],[Low Tol]],"Pass","Fail")))</f>
        <v>Pass</v>
      </c>
      <c r="AE1358" s="1" t="str">
        <f>IF(AND(Table1[[#This Row],[Spec Type2]]="N/A",Table1[[#This Row],[DUT Adj Read]]="N/A",Table1[[#This Row],[Std Adj Read]]="N/A"),"N/A",IF(Table1[[#This Row],[DUT Adj Read]]="N/A",IF(Table1[[#This Row],[Std Adj Read]]&lt;Table1[[#This Row],[High Tol]],"Pass","Fail"),IF(Table1[[#This Row],[DUT Adj Read]]&lt;Table1[[#This Row],[High Tol]],"Pass","Fail")))</f>
        <v>Fail</v>
      </c>
      <c r="AF1358" s="1" t="str">
        <f>IF(AND(Table1[[#This Row],[Spec Type2]]="N/A",Table1[[#This Row],[DUT Adj Read]]="N/A",Table1[[#This Row],[Std Adj Read]]="N/A"),"N/A",IF(Table1[[#This Row],[DUT Adj Read]]="N/A",IF(Table1[[#This Row],[Std Adj Read]]&gt;=Table1[[#This Row],[Low Tol]],"Pass","Fail"),IF(Table1[[#This Row],[DUT Adj Read]]&gt;=Table1[[#This Row],[Low Tol]],"Pass","Fail")))</f>
        <v>Pass</v>
      </c>
      <c r="AG1358" s="1" t="str">
        <f>IF(AND(Table1[[#This Row],[Spec Type2]]="N/A",Table1[[#This Row],[DUT Adj Read]]="N/A",Table1[[#This Row],[Std Adj Read]]="N/A"),"N/A",IF(Table1[[#This Row],[DUT Adj Read]]="N/A",IF(Table1[[#This Row],[Std Adj Read]]&lt;=Table1[[#This Row],[High Tol]],"Pass","Fail"),IF(Table1[[#This Row],[DUT Adj Read]]&lt;=Table1[[#This Row],[High Tol]],"Pass","Fail")))</f>
        <v>Fail</v>
      </c>
      <c r="AH13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8" s="1" t="b">
        <v>0</v>
      </c>
      <c r="AN1358" s="1" t="b">
        <v>0</v>
      </c>
      <c r="AO1358" s="1" t="b">
        <v>0</v>
      </c>
    </row>
    <row r="1359" spans="1:41" x14ac:dyDescent="0.25">
      <c r="A1359" s="10"/>
      <c r="B1359" s="10"/>
      <c r="C1359" s="10"/>
      <c r="D1359" s="10"/>
      <c r="E1359" s="10"/>
      <c r="F1359" s="10"/>
      <c r="G1359" s="10"/>
      <c r="H1359" s="10"/>
      <c r="I1359" s="1" t="str">
        <f t="shared" si="63"/>
        <v/>
      </c>
      <c r="J1359" s="1" t="s">
        <v>35</v>
      </c>
      <c r="K1359" s="1" t="str">
        <f t="shared" si="64"/>
        <v/>
      </c>
      <c r="L1359" s="1" t="str">
        <f t="shared" si="65"/>
        <v/>
      </c>
      <c r="M1359" s="1">
        <f>IF(OR(Table1[[#This Row],[Std Nom]]="",Table1[[#This Row],[Std Read]]=""),0,Table1[[#This Row],[Std Nom]]-Table1[[#This Row],[Std Read]])</f>
        <v>0</v>
      </c>
      <c r="N1359" s="1">
        <f>IF(Calculations!$F$5="ACCREDITED 17025 WITH UNCERTAINTIES",$N$10,0)</f>
        <v>0</v>
      </c>
      <c r="O1359" s="1" t="str">
        <f>IFERROR(Table1[[#This Row],[Std Nom]]-(_xlfn.XLOOKUP(Table1[[#This Row],[Manufacturer]]&amp;" "&amp;Table1[[#This Row],[Model]],Table13[MFR &amp; MDL],Table13[Tolerance % CW ],"")/100*Table1[[#This Row],[Std Nom]]),"")</f>
        <v/>
      </c>
      <c r="P1359" s="1" t="str">
        <f>IFERROR(Table1[[#This Row],[Std Nom]]+(_xlfn.XLOOKUP(Table1[[#This Row],[Manufacturer]]&amp;" "&amp;Table1[[#This Row],[Model]],Table13[MFR &amp; MDL],Table13[Tolerance % CW ],"")/100*Table1[[#This Row],[Std Nom]]),"")</f>
        <v/>
      </c>
      <c r="Q1359" s="1" t="e">
        <f>Table1[[#This Row],[High Tol]]-Table1[[#This Row],[Low Tol]]</f>
        <v>#VALUE!</v>
      </c>
      <c r="R1359" s="1">
        <f>2*Table1[[#This Row],[Std Error]]</f>
        <v>0</v>
      </c>
      <c r="S1359" s="1" t="str">
        <f>IF(Table1[[#This Row],[High Tol]]="","N/A",IFERROR(ABS(Table1[[#This Row],[Tol Span]]/Table1[[#This Row],[Error Span]]),"N/A"))</f>
        <v>N/A</v>
      </c>
      <c r="T1359" s="1" t="str">
        <f>IF(OR(Table1[[#This Row],[Low Tol]]="",Table1[[#This Row],[High Tol]]=""),"Needs Analysis",IF(Table1[[#This Row],[Ratio]]&gt;=4,"Not Significant",IF(Table1[[#This Row],[Ratio]]&gt;=2,"Semi-Significant","Significant")))</f>
        <v>Needs Analysis</v>
      </c>
      <c r="W1359" s="1">
        <f>IF(Table1[[#This Row],[Cal Type]]&lt;&gt;"ACCREDITED 17025 WITH UNCERTAINTIES",0,"")</f>
        <v>0</v>
      </c>
      <c r="X1359" s="1" t="str">
        <f>IF(Table1[[#This Row],[DUT Read]]="","N/A",Table1[[#This Row],[Std Error]]+Table1[[#This Row],[DUT Read]]+Table1[[#This Row],[DUT Ucty]])</f>
        <v>N/A</v>
      </c>
      <c r="Y1359" s="1" t="str">
        <f>IF(Table1[[#This Row],[Std Read]]="","N/A",Table1[[#This Row],[Std Read]]+Table1[[#This Row],[Std Ucty]])</f>
        <v>N/A</v>
      </c>
      <c r="Z13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9" s="1" t="str">
        <f>IF(Table1[[#This Row],[Spec Type]]="","N/A",Table1[[#This Row],[Spec Type]])</f>
        <v>±</v>
      </c>
      <c r="AC1359" s="1" t="str">
        <f>IF(Table1[[#This Row],[Spec Type2]]="N/A","N/A",IF(AND(Table1[[#This Row],[DUT Adj Read]]&gt;=Table1[[#This Row],[Low Tol]],Table1[[#This Row],[DUT Adj Read]]&lt;=Table1[[#This Row],[High Tol]]),"Pass","Fail"))</f>
        <v>Fail</v>
      </c>
      <c r="AD1359" s="1" t="str">
        <f>IF(AND(Table1[[#This Row],[Spec Type2]]="N/A",Table1[[#This Row],[DUT Adj Read]]="N/A",Table1[[#This Row],[Std Adj Read]]="N/A"),"N/A",IF(Table1[[#This Row],[DUT Adj Read]]="N/A",IF(Table1[[#This Row],[Std Adj Read]]&gt;Table1[[#This Row],[Low Tol]],"Pass","Fail"),IF(Table1[[#This Row],[DUT Adj Read]]&gt;Table1[[#This Row],[Low Tol]],"Pass","Fail")))</f>
        <v>Pass</v>
      </c>
      <c r="AE1359" s="1" t="str">
        <f>IF(AND(Table1[[#This Row],[Spec Type2]]="N/A",Table1[[#This Row],[DUT Adj Read]]="N/A",Table1[[#This Row],[Std Adj Read]]="N/A"),"N/A",IF(Table1[[#This Row],[DUT Adj Read]]="N/A",IF(Table1[[#This Row],[Std Adj Read]]&lt;Table1[[#This Row],[High Tol]],"Pass","Fail"),IF(Table1[[#This Row],[DUT Adj Read]]&lt;Table1[[#This Row],[High Tol]],"Pass","Fail")))</f>
        <v>Fail</v>
      </c>
      <c r="AF1359" s="1" t="str">
        <f>IF(AND(Table1[[#This Row],[Spec Type2]]="N/A",Table1[[#This Row],[DUT Adj Read]]="N/A",Table1[[#This Row],[Std Adj Read]]="N/A"),"N/A",IF(Table1[[#This Row],[DUT Adj Read]]="N/A",IF(Table1[[#This Row],[Std Adj Read]]&gt;=Table1[[#This Row],[Low Tol]],"Pass","Fail"),IF(Table1[[#This Row],[DUT Adj Read]]&gt;=Table1[[#This Row],[Low Tol]],"Pass","Fail")))</f>
        <v>Pass</v>
      </c>
      <c r="AG1359" s="1" t="str">
        <f>IF(AND(Table1[[#This Row],[Spec Type2]]="N/A",Table1[[#This Row],[DUT Adj Read]]="N/A",Table1[[#This Row],[Std Adj Read]]="N/A"),"N/A",IF(Table1[[#This Row],[DUT Adj Read]]="N/A",IF(Table1[[#This Row],[Std Adj Read]]&lt;=Table1[[#This Row],[High Tol]],"Pass","Fail"),IF(Table1[[#This Row],[DUT Adj Read]]&lt;=Table1[[#This Row],[High Tol]],"Pass","Fail")))</f>
        <v>Fail</v>
      </c>
      <c r="AH13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9" s="1" t="b">
        <v>0</v>
      </c>
      <c r="AN1359" s="1" t="b">
        <v>0</v>
      </c>
      <c r="AO1359" s="1" t="b">
        <v>0</v>
      </c>
    </row>
    <row r="1360" spans="1:41" x14ac:dyDescent="0.25">
      <c r="A1360" s="10"/>
      <c r="B1360" s="10"/>
      <c r="C1360" s="10"/>
      <c r="D1360" s="10"/>
      <c r="E1360" s="10"/>
      <c r="F1360" s="10"/>
      <c r="G1360" s="10"/>
      <c r="H1360" s="10"/>
      <c r="I1360" s="1" t="str">
        <f t="shared" si="63"/>
        <v/>
      </c>
      <c r="J1360" s="1" t="s">
        <v>35</v>
      </c>
      <c r="K1360" s="1" t="str">
        <f t="shared" si="64"/>
        <v/>
      </c>
      <c r="L1360" s="1" t="str">
        <f t="shared" si="65"/>
        <v/>
      </c>
      <c r="M1360" s="1">
        <f>IF(OR(Table1[[#This Row],[Std Nom]]="",Table1[[#This Row],[Std Read]]=""),0,Table1[[#This Row],[Std Nom]]-Table1[[#This Row],[Std Read]])</f>
        <v>0</v>
      </c>
      <c r="N1360" s="1">
        <f>IF(Calculations!$F$5="ACCREDITED 17025 WITH UNCERTAINTIES",$N$10,0)</f>
        <v>0</v>
      </c>
      <c r="O1360" s="1" t="str">
        <f>IFERROR(Table1[[#This Row],[Std Nom]]-(_xlfn.XLOOKUP(Table1[[#This Row],[Manufacturer]]&amp;" "&amp;Table1[[#This Row],[Model]],Table13[MFR &amp; MDL],Table13[Tolerance % CW ],"")/100*Table1[[#This Row],[Std Nom]]),"")</f>
        <v/>
      </c>
      <c r="P1360" s="1" t="str">
        <f>IFERROR(Table1[[#This Row],[Std Nom]]+(_xlfn.XLOOKUP(Table1[[#This Row],[Manufacturer]]&amp;" "&amp;Table1[[#This Row],[Model]],Table13[MFR &amp; MDL],Table13[Tolerance % CW ],"")/100*Table1[[#This Row],[Std Nom]]),"")</f>
        <v/>
      </c>
      <c r="Q1360" s="1" t="e">
        <f>Table1[[#This Row],[High Tol]]-Table1[[#This Row],[Low Tol]]</f>
        <v>#VALUE!</v>
      </c>
      <c r="R1360" s="1">
        <f>2*Table1[[#This Row],[Std Error]]</f>
        <v>0</v>
      </c>
      <c r="S1360" s="1" t="str">
        <f>IF(Table1[[#This Row],[High Tol]]="","N/A",IFERROR(ABS(Table1[[#This Row],[Tol Span]]/Table1[[#This Row],[Error Span]]),"N/A"))</f>
        <v>N/A</v>
      </c>
      <c r="T1360" s="1" t="str">
        <f>IF(OR(Table1[[#This Row],[Low Tol]]="",Table1[[#This Row],[High Tol]]=""),"Needs Analysis",IF(Table1[[#This Row],[Ratio]]&gt;=4,"Not Significant",IF(Table1[[#This Row],[Ratio]]&gt;=2,"Semi-Significant","Significant")))</f>
        <v>Needs Analysis</v>
      </c>
      <c r="W1360" s="1">
        <f>IF(Table1[[#This Row],[Cal Type]]&lt;&gt;"ACCREDITED 17025 WITH UNCERTAINTIES",0,"")</f>
        <v>0</v>
      </c>
      <c r="X1360" s="1" t="str">
        <f>IF(Table1[[#This Row],[DUT Read]]="","N/A",Table1[[#This Row],[Std Error]]+Table1[[#This Row],[DUT Read]]+Table1[[#This Row],[DUT Ucty]])</f>
        <v>N/A</v>
      </c>
      <c r="Y1360" s="1" t="str">
        <f>IF(Table1[[#This Row],[Std Read]]="","N/A",Table1[[#This Row],[Std Read]]+Table1[[#This Row],[Std Ucty]])</f>
        <v>N/A</v>
      </c>
      <c r="Z13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0" s="1" t="str">
        <f>IF(Table1[[#This Row],[Spec Type]]="","N/A",Table1[[#This Row],[Spec Type]])</f>
        <v>±</v>
      </c>
      <c r="AC1360" s="1" t="str">
        <f>IF(Table1[[#This Row],[Spec Type2]]="N/A","N/A",IF(AND(Table1[[#This Row],[DUT Adj Read]]&gt;=Table1[[#This Row],[Low Tol]],Table1[[#This Row],[DUT Adj Read]]&lt;=Table1[[#This Row],[High Tol]]),"Pass","Fail"))</f>
        <v>Fail</v>
      </c>
      <c r="AD1360" s="1" t="str">
        <f>IF(AND(Table1[[#This Row],[Spec Type2]]="N/A",Table1[[#This Row],[DUT Adj Read]]="N/A",Table1[[#This Row],[Std Adj Read]]="N/A"),"N/A",IF(Table1[[#This Row],[DUT Adj Read]]="N/A",IF(Table1[[#This Row],[Std Adj Read]]&gt;Table1[[#This Row],[Low Tol]],"Pass","Fail"),IF(Table1[[#This Row],[DUT Adj Read]]&gt;Table1[[#This Row],[Low Tol]],"Pass","Fail")))</f>
        <v>Pass</v>
      </c>
      <c r="AE1360" s="1" t="str">
        <f>IF(AND(Table1[[#This Row],[Spec Type2]]="N/A",Table1[[#This Row],[DUT Adj Read]]="N/A",Table1[[#This Row],[Std Adj Read]]="N/A"),"N/A",IF(Table1[[#This Row],[DUT Adj Read]]="N/A",IF(Table1[[#This Row],[Std Adj Read]]&lt;Table1[[#This Row],[High Tol]],"Pass","Fail"),IF(Table1[[#This Row],[DUT Adj Read]]&lt;Table1[[#This Row],[High Tol]],"Pass","Fail")))</f>
        <v>Fail</v>
      </c>
      <c r="AF1360" s="1" t="str">
        <f>IF(AND(Table1[[#This Row],[Spec Type2]]="N/A",Table1[[#This Row],[DUT Adj Read]]="N/A",Table1[[#This Row],[Std Adj Read]]="N/A"),"N/A",IF(Table1[[#This Row],[DUT Adj Read]]="N/A",IF(Table1[[#This Row],[Std Adj Read]]&gt;=Table1[[#This Row],[Low Tol]],"Pass","Fail"),IF(Table1[[#This Row],[DUT Adj Read]]&gt;=Table1[[#This Row],[Low Tol]],"Pass","Fail")))</f>
        <v>Pass</v>
      </c>
      <c r="AG1360" s="1" t="str">
        <f>IF(AND(Table1[[#This Row],[Spec Type2]]="N/A",Table1[[#This Row],[DUT Adj Read]]="N/A",Table1[[#This Row],[Std Adj Read]]="N/A"),"N/A",IF(Table1[[#This Row],[DUT Adj Read]]="N/A",IF(Table1[[#This Row],[Std Adj Read]]&lt;=Table1[[#This Row],[High Tol]],"Pass","Fail"),IF(Table1[[#This Row],[DUT Adj Read]]&lt;=Table1[[#This Row],[High Tol]],"Pass","Fail")))</f>
        <v>Fail</v>
      </c>
      <c r="AH13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0" s="1" t="b">
        <v>0</v>
      </c>
      <c r="AN1360" s="1" t="b">
        <v>0</v>
      </c>
      <c r="AO1360" s="1" t="b">
        <v>0</v>
      </c>
    </row>
    <row r="1361" spans="1:41" x14ac:dyDescent="0.25">
      <c r="A1361" s="10"/>
      <c r="B1361" s="10"/>
      <c r="C1361" s="10"/>
      <c r="D1361" s="10"/>
      <c r="E1361" s="10"/>
      <c r="F1361" s="10"/>
      <c r="G1361" s="10"/>
      <c r="H1361" s="10"/>
      <c r="I1361" s="1" t="str">
        <f t="shared" si="63"/>
        <v/>
      </c>
      <c r="J1361" s="1" t="s">
        <v>35</v>
      </c>
      <c r="K1361" s="1" t="str">
        <f t="shared" si="64"/>
        <v/>
      </c>
      <c r="L1361" s="1" t="str">
        <f t="shared" si="65"/>
        <v/>
      </c>
      <c r="M1361" s="1">
        <f>IF(OR(Table1[[#This Row],[Std Nom]]="",Table1[[#This Row],[Std Read]]=""),0,Table1[[#This Row],[Std Nom]]-Table1[[#This Row],[Std Read]])</f>
        <v>0</v>
      </c>
      <c r="N1361" s="1">
        <f>IF(Calculations!$F$5="ACCREDITED 17025 WITH UNCERTAINTIES",$N$10,0)</f>
        <v>0</v>
      </c>
      <c r="O1361" s="1" t="str">
        <f>IFERROR(Table1[[#This Row],[Std Nom]]-(_xlfn.XLOOKUP(Table1[[#This Row],[Manufacturer]]&amp;" "&amp;Table1[[#This Row],[Model]],Table13[MFR &amp; MDL],Table13[Tolerance % CW ],"")/100*Table1[[#This Row],[Std Nom]]),"")</f>
        <v/>
      </c>
      <c r="P1361" s="1" t="str">
        <f>IFERROR(Table1[[#This Row],[Std Nom]]+(_xlfn.XLOOKUP(Table1[[#This Row],[Manufacturer]]&amp;" "&amp;Table1[[#This Row],[Model]],Table13[MFR &amp; MDL],Table13[Tolerance % CW ],"")/100*Table1[[#This Row],[Std Nom]]),"")</f>
        <v/>
      </c>
      <c r="Q1361" s="1" t="e">
        <f>Table1[[#This Row],[High Tol]]-Table1[[#This Row],[Low Tol]]</f>
        <v>#VALUE!</v>
      </c>
      <c r="R1361" s="1">
        <f>2*Table1[[#This Row],[Std Error]]</f>
        <v>0</v>
      </c>
      <c r="S1361" s="1" t="str">
        <f>IF(Table1[[#This Row],[High Tol]]="","N/A",IFERROR(ABS(Table1[[#This Row],[Tol Span]]/Table1[[#This Row],[Error Span]]),"N/A"))</f>
        <v>N/A</v>
      </c>
      <c r="T1361" s="1" t="str">
        <f>IF(OR(Table1[[#This Row],[Low Tol]]="",Table1[[#This Row],[High Tol]]=""),"Needs Analysis",IF(Table1[[#This Row],[Ratio]]&gt;=4,"Not Significant",IF(Table1[[#This Row],[Ratio]]&gt;=2,"Semi-Significant","Significant")))</f>
        <v>Needs Analysis</v>
      </c>
      <c r="W1361" s="1">
        <f>IF(Table1[[#This Row],[Cal Type]]&lt;&gt;"ACCREDITED 17025 WITH UNCERTAINTIES",0,"")</f>
        <v>0</v>
      </c>
      <c r="X1361" s="1" t="str">
        <f>IF(Table1[[#This Row],[DUT Read]]="","N/A",Table1[[#This Row],[Std Error]]+Table1[[#This Row],[DUT Read]]+Table1[[#This Row],[DUT Ucty]])</f>
        <v>N/A</v>
      </c>
      <c r="Y1361" s="1" t="str">
        <f>IF(Table1[[#This Row],[Std Read]]="","N/A",Table1[[#This Row],[Std Read]]+Table1[[#This Row],[Std Ucty]])</f>
        <v>N/A</v>
      </c>
      <c r="Z13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1" s="1" t="str">
        <f>IF(Table1[[#This Row],[Spec Type]]="","N/A",Table1[[#This Row],[Spec Type]])</f>
        <v>±</v>
      </c>
      <c r="AC1361" s="1" t="str">
        <f>IF(Table1[[#This Row],[Spec Type2]]="N/A","N/A",IF(AND(Table1[[#This Row],[DUT Adj Read]]&gt;=Table1[[#This Row],[Low Tol]],Table1[[#This Row],[DUT Adj Read]]&lt;=Table1[[#This Row],[High Tol]]),"Pass","Fail"))</f>
        <v>Fail</v>
      </c>
      <c r="AD1361" s="1" t="str">
        <f>IF(AND(Table1[[#This Row],[Spec Type2]]="N/A",Table1[[#This Row],[DUT Adj Read]]="N/A",Table1[[#This Row],[Std Adj Read]]="N/A"),"N/A",IF(Table1[[#This Row],[DUT Adj Read]]="N/A",IF(Table1[[#This Row],[Std Adj Read]]&gt;Table1[[#This Row],[Low Tol]],"Pass","Fail"),IF(Table1[[#This Row],[DUT Adj Read]]&gt;Table1[[#This Row],[Low Tol]],"Pass","Fail")))</f>
        <v>Pass</v>
      </c>
      <c r="AE1361" s="1" t="str">
        <f>IF(AND(Table1[[#This Row],[Spec Type2]]="N/A",Table1[[#This Row],[DUT Adj Read]]="N/A",Table1[[#This Row],[Std Adj Read]]="N/A"),"N/A",IF(Table1[[#This Row],[DUT Adj Read]]="N/A",IF(Table1[[#This Row],[Std Adj Read]]&lt;Table1[[#This Row],[High Tol]],"Pass","Fail"),IF(Table1[[#This Row],[DUT Adj Read]]&lt;Table1[[#This Row],[High Tol]],"Pass","Fail")))</f>
        <v>Fail</v>
      </c>
      <c r="AF1361" s="1" t="str">
        <f>IF(AND(Table1[[#This Row],[Spec Type2]]="N/A",Table1[[#This Row],[DUT Adj Read]]="N/A",Table1[[#This Row],[Std Adj Read]]="N/A"),"N/A",IF(Table1[[#This Row],[DUT Adj Read]]="N/A",IF(Table1[[#This Row],[Std Adj Read]]&gt;=Table1[[#This Row],[Low Tol]],"Pass","Fail"),IF(Table1[[#This Row],[DUT Adj Read]]&gt;=Table1[[#This Row],[Low Tol]],"Pass","Fail")))</f>
        <v>Pass</v>
      </c>
      <c r="AG1361" s="1" t="str">
        <f>IF(AND(Table1[[#This Row],[Spec Type2]]="N/A",Table1[[#This Row],[DUT Adj Read]]="N/A",Table1[[#This Row],[Std Adj Read]]="N/A"),"N/A",IF(Table1[[#This Row],[DUT Adj Read]]="N/A",IF(Table1[[#This Row],[Std Adj Read]]&lt;=Table1[[#This Row],[High Tol]],"Pass","Fail"),IF(Table1[[#This Row],[DUT Adj Read]]&lt;=Table1[[#This Row],[High Tol]],"Pass","Fail")))</f>
        <v>Fail</v>
      </c>
      <c r="AH13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1" s="1" t="b">
        <v>0</v>
      </c>
      <c r="AN1361" s="1" t="b">
        <v>0</v>
      </c>
      <c r="AO1361" s="1" t="b">
        <v>0</v>
      </c>
    </row>
    <row r="1362" spans="1:41" x14ac:dyDescent="0.25">
      <c r="A1362" s="10"/>
      <c r="B1362" s="10"/>
      <c r="C1362" s="10"/>
      <c r="D1362" s="10"/>
      <c r="E1362" s="10"/>
      <c r="F1362" s="10"/>
      <c r="G1362" s="10"/>
      <c r="H1362" s="10"/>
      <c r="I1362" s="1" t="str">
        <f t="shared" si="63"/>
        <v/>
      </c>
      <c r="J1362" s="1" t="s">
        <v>35</v>
      </c>
      <c r="K1362" s="1" t="str">
        <f t="shared" si="64"/>
        <v/>
      </c>
      <c r="L1362" s="1" t="str">
        <f t="shared" si="65"/>
        <v/>
      </c>
      <c r="M1362" s="1">
        <f>IF(OR(Table1[[#This Row],[Std Nom]]="",Table1[[#This Row],[Std Read]]=""),0,Table1[[#This Row],[Std Nom]]-Table1[[#This Row],[Std Read]])</f>
        <v>0</v>
      </c>
      <c r="N1362" s="1">
        <f>IF(Calculations!$F$5="ACCREDITED 17025 WITH UNCERTAINTIES",$N$10,0)</f>
        <v>0</v>
      </c>
      <c r="O1362" s="1" t="str">
        <f>IFERROR(Table1[[#This Row],[Std Nom]]-(_xlfn.XLOOKUP(Table1[[#This Row],[Manufacturer]]&amp;" "&amp;Table1[[#This Row],[Model]],Table13[MFR &amp; MDL],Table13[Tolerance % CW ],"")/100*Table1[[#This Row],[Std Nom]]),"")</f>
        <v/>
      </c>
      <c r="P1362" s="1" t="str">
        <f>IFERROR(Table1[[#This Row],[Std Nom]]+(_xlfn.XLOOKUP(Table1[[#This Row],[Manufacturer]]&amp;" "&amp;Table1[[#This Row],[Model]],Table13[MFR &amp; MDL],Table13[Tolerance % CW ],"")/100*Table1[[#This Row],[Std Nom]]),"")</f>
        <v/>
      </c>
      <c r="Q1362" s="1" t="e">
        <f>Table1[[#This Row],[High Tol]]-Table1[[#This Row],[Low Tol]]</f>
        <v>#VALUE!</v>
      </c>
      <c r="R1362" s="1">
        <f>2*Table1[[#This Row],[Std Error]]</f>
        <v>0</v>
      </c>
      <c r="S1362" s="1" t="str">
        <f>IF(Table1[[#This Row],[High Tol]]="","N/A",IFERROR(ABS(Table1[[#This Row],[Tol Span]]/Table1[[#This Row],[Error Span]]),"N/A"))</f>
        <v>N/A</v>
      </c>
      <c r="T1362" s="1" t="str">
        <f>IF(OR(Table1[[#This Row],[Low Tol]]="",Table1[[#This Row],[High Tol]]=""),"Needs Analysis",IF(Table1[[#This Row],[Ratio]]&gt;=4,"Not Significant",IF(Table1[[#This Row],[Ratio]]&gt;=2,"Semi-Significant","Significant")))</f>
        <v>Needs Analysis</v>
      </c>
      <c r="W1362" s="1">
        <f>IF(Table1[[#This Row],[Cal Type]]&lt;&gt;"ACCREDITED 17025 WITH UNCERTAINTIES",0,"")</f>
        <v>0</v>
      </c>
      <c r="X1362" s="1" t="str">
        <f>IF(Table1[[#This Row],[DUT Read]]="","N/A",Table1[[#This Row],[Std Error]]+Table1[[#This Row],[DUT Read]]+Table1[[#This Row],[DUT Ucty]])</f>
        <v>N/A</v>
      </c>
      <c r="Y1362" s="1" t="str">
        <f>IF(Table1[[#This Row],[Std Read]]="","N/A",Table1[[#This Row],[Std Read]]+Table1[[#This Row],[Std Ucty]])</f>
        <v>N/A</v>
      </c>
      <c r="Z13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2" s="1" t="str">
        <f>IF(Table1[[#This Row],[Spec Type]]="","N/A",Table1[[#This Row],[Spec Type]])</f>
        <v>±</v>
      </c>
      <c r="AC1362" s="1" t="str">
        <f>IF(Table1[[#This Row],[Spec Type2]]="N/A","N/A",IF(AND(Table1[[#This Row],[DUT Adj Read]]&gt;=Table1[[#This Row],[Low Tol]],Table1[[#This Row],[DUT Adj Read]]&lt;=Table1[[#This Row],[High Tol]]),"Pass","Fail"))</f>
        <v>Fail</v>
      </c>
      <c r="AD1362" s="1" t="str">
        <f>IF(AND(Table1[[#This Row],[Spec Type2]]="N/A",Table1[[#This Row],[DUT Adj Read]]="N/A",Table1[[#This Row],[Std Adj Read]]="N/A"),"N/A",IF(Table1[[#This Row],[DUT Adj Read]]="N/A",IF(Table1[[#This Row],[Std Adj Read]]&gt;Table1[[#This Row],[Low Tol]],"Pass","Fail"),IF(Table1[[#This Row],[DUT Adj Read]]&gt;Table1[[#This Row],[Low Tol]],"Pass","Fail")))</f>
        <v>Pass</v>
      </c>
      <c r="AE1362" s="1" t="str">
        <f>IF(AND(Table1[[#This Row],[Spec Type2]]="N/A",Table1[[#This Row],[DUT Adj Read]]="N/A",Table1[[#This Row],[Std Adj Read]]="N/A"),"N/A",IF(Table1[[#This Row],[DUT Adj Read]]="N/A",IF(Table1[[#This Row],[Std Adj Read]]&lt;Table1[[#This Row],[High Tol]],"Pass","Fail"),IF(Table1[[#This Row],[DUT Adj Read]]&lt;Table1[[#This Row],[High Tol]],"Pass","Fail")))</f>
        <v>Fail</v>
      </c>
      <c r="AF1362" s="1" t="str">
        <f>IF(AND(Table1[[#This Row],[Spec Type2]]="N/A",Table1[[#This Row],[DUT Adj Read]]="N/A",Table1[[#This Row],[Std Adj Read]]="N/A"),"N/A",IF(Table1[[#This Row],[DUT Adj Read]]="N/A",IF(Table1[[#This Row],[Std Adj Read]]&gt;=Table1[[#This Row],[Low Tol]],"Pass","Fail"),IF(Table1[[#This Row],[DUT Adj Read]]&gt;=Table1[[#This Row],[Low Tol]],"Pass","Fail")))</f>
        <v>Pass</v>
      </c>
      <c r="AG1362" s="1" t="str">
        <f>IF(AND(Table1[[#This Row],[Spec Type2]]="N/A",Table1[[#This Row],[DUT Adj Read]]="N/A",Table1[[#This Row],[Std Adj Read]]="N/A"),"N/A",IF(Table1[[#This Row],[DUT Adj Read]]="N/A",IF(Table1[[#This Row],[Std Adj Read]]&lt;=Table1[[#This Row],[High Tol]],"Pass","Fail"),IF(Table1[[#This Row],[DUT Adj Read]]&lt;=Table1[[#This Row],[High Tol]],"Pass","Fail")))</f>
        <v>Fail</v>
      </c>
      <c r="AH13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2" s="1" t="b">
        <v>0</v>
      </c>
      <c r="AN1362" s="1" t="b">
        <v>0</v>
      </c>
      <c r="AO1362" s="1" t="b">
        <v>0</v>
      </c>
    </row>
    <row r="1363" spans="1:41" x14ac:dyDescent="0.25">
      <c r="A1363" s="10"/>
      <c r="B1363" s="10"/>
      <c r="C1363" s="10"/>
      <c r="D1363" s="10"/>
      <c r="E1363" s="10"/>
      <c r="F1363" s="10"/>
      <c r="G1363" s="10"/>
      <c r="H1363" s="10"/>
      <c r="I1363" s="1" t="str">
        <f t="shared" si="63"/>
        <v/>
      </c>
      <c r="J1363" s="1" t="s">
        <v>35</v>
      </c>
      <c r="K1363" s="1" t="str">
        <f t="shared" si="64"/>
        <v/>
      </c>
      <c r="L1363" s="1" t="str">
        <f t="shared" si="65"/>
        <v/>
      </c>
      <c r="M1363" s="1">
        <f>IF(OR(Table1[[#This Row],[Std Nom]]="",Table1[[#This Row],[Std Read]]=""),0,Table1[[#This Row],[Std Nom]]-Table1[[#This Row],[Std Read]])</f>
        <v>0</v>
      </c>
      <c r="N1363" s="1">
        <f>IF(Calculations!$F$5="ACCREDITED 17025 WITH UNCERTAINTIES",$N$10,0)</f>
        <v>0</v>
      </c>
      <c r="O1363" s="1" t="str">
        <f>IFERROR(Table1[[#This Row],[Std Nom]]-(_xlfn.XLOOKUP(Table1[[#This Row],[Manufacturer]]&amp;" "&amp;Table1[[#This Row],[Model]],Table13[MFR &amp; MDL],Table13[Tolerance % CW ],"")/100*Table1[[#This Row],[Std Nom]]),"")</f>
        <v/>
      </c>
      <c r="P1363" s="1" t="str">
        <f>IFERROR(Table1[[#This Row],[Std Nom]]+(_xlfn.XLOOKUP(Table1[[#This Row],[Manufacturer]]&amp;" "&amp;Table1[[#This Row],[Model]],Table13[MFR &amp; MDL],Table13[Tolerance % CW ],"")/100*Table1[[#This Row],[Std Nom]]),"")</f>
        <v/>
      </c>
      <c r="Q1363" s="1" t="e">
        <f>Table1[[#This Row],[High Tol]]-Table1[[#This Row],[Low Tol]]</f>
        <v>#VALUE!</v>
      </c>
      <c r="R1363" s="1">
        <f>2*Table1[[#This Row],[Std Error]]</f>
        <v>0</v>
      </c>
      <c r="S1363" s="1" t="str">
        <f>IF(Table1[[#This Row],[High Tol]]="","N/A",IFERROR(ABS(Table1[[#This Row],[Tol Span]]/Table1[[#This Row],[Error Span]]),"N/A"))</f>
        <v>N/A</v>
      </c>
      <c r="T1363" s="1" t="str">
        <f>IF(OR(Table1[[#This Row],[Low Tol]]="",Table1[[#This Row],[High Tol]]=""),"Needs Analysis",IF(Table1[[#This Row],[Ratio]]&gt;=4,"Not Significant",IF(Table1[[#This Row],[Ratio]]&gt;=2,"Semi-Significant","Significant")))</f>
        <v>Needs Analysis</v>
      </c>
      <c r="W1363" s="1">
        <f>IF(Table1[[#This Row],[Cal Type]]&lt;&gt;"ACCREDITED 17025 WITH UNCERTAINTIES",0,"")</f>
        <v>0</v>
      </c>
      <c r="X1363" s="1" t="str">
        <f>IF(Table1[[#This Row],[DUT Read]]="","N/A",Table1[[#This Row],[Std Error]]+Table1[[#This Row],[DUT Read]]+Table1[[#This Row],[DUT Ucty]])</f>
        <v>N/A</v>
      </c>
      <c r="Y1363" s="1" t="str">
        <f>IF(Table1[[#This Row],[Std Read]]="","N/A",Table1[[#This Row],[Std Read]]+Table1[[#This Row],[Std Ucty]])</f>
        <v>N/A</v>
      </c>
      <c r="Z13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3" s="1" t="str">
        <f>IF(Table1[[#This Row],[Spec Type]]="","N/A",Table1[[#This Row],[Spec Type]])</f>
        <v>±</v>
      </c>
      <c r="AC1363" s="1" t="str">
        <f>IF(Table1[[#This Row],[Spec Type2]]="N/A","N/A",IF(AND(Table1[[#This Row],[DUT Adj Read]]&gt;=Table1[[#This Row],[Low Tol]],Table1[[#This Row],[DUT Adj Read]]&lt;=Table1[[#This Row],[High Tol]]),"Pass","Fail"))</f>
        <v>Fail</v>
      </c>
      <c r="AD1363" s="1" t="str">
        <f>IF(AND(Table1[[#This Row],[Spec Type2]]="N/A",Table1[[#This Row],[DUT Adj Read]]="N/A",Table1[[#This Row],[Std Adj Read]]="N/A"),"N/A",IF(Table1[[#This Row],[DUT Adj Read]]="N/A",IF(Table1[[#This Row],[Std Adj Read]]&gt;Table1[[#This Row],[Low Tol]],"Pass","Fail"),IF(Table1[[#This Row],[DUT Adj Read]]&gt;Table1[[#This Row],[Low Tol]],"Pass","Fail")))</f>
        <v>Pass</v>
      </c>
      <c r="AE1363" s="1" t="str">
        <f>IF(AND(Table1[[#This Row],[Spec Type2]]="N/A",Table1[[#This Row],[DUT Adj Read]]="N/A",Table1[[#This Row],[Std Adj Read]]="N/A"),"N/A",IF(Table1[[#This Row],[DUT Adj Read]]="N/A",IF(Table1[[#This Row],[Std Adj Read]]&lt;Table1[[#This Row],[High Tol]],"Pass","Fail"),IF(Table1[[#This Row],[DUT Adj Read]]&lt;Table1[[#This Row],[High Tol]],"Pass","Fail")))</f>
        <v>Fail</v>
      </c>
      <c r="AF1363" s="1" t="str">
        <f>IF(AND(Table1[[#This Row],[Spec Type2]]="N/A",Table1[[#This Row],[DUT Adj Read]]="N/A",Table1[[#This Row],[Std Adj Read]]="N/A"),"N/A",IF(Table1[[#This Row],[DUT Adj Read]]="N/A",IF(Table1[[#This Row],[Std Adj Read]]&gt;=Table1[[#This Row],[Low Tol]],"Pass","Fail"),IF(Table1[[#This Row],[DUT Adj Read]]&gt;=Table1[[#This Row],[Low Tol]],"Pass","Fail")))</f>
        <v>Pass</v>
      </c>
      <c r="AG1363" s="1" t="str">
        <f>IF(AND(Table1[[#This Row],[Spec Type2]]="N/A",Table1[[#This Row],[DUT Adj Read]]="N/A",Table1[[#This Row],[Std Adj Read]]="N/A"),"N/A",IF(Table1[[#This Row],[DUT Adj Read]]="N/A",IF(Table1[[#This Row],[Std Adj Read]]&lt;=Table1[[#This Row],[High Tol]],"Pass","Fail"),IF(Table1[[#This Row],[DUT Adj Read]]&lt;=Table1[[#This Row],[High Tol]],"Pass","Fail")))</f>
        <v>Fail</v>
      </c>
      <c r="AH13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3" s="1" t="b">
        <v>0</v>
      </c>
      <c r="AN1363" s="1" t="b">
        <v>0</v>
      </c>
      <c r="AO1363" s="1" t="b">
        <v>0</v>
      </c>
    </row>
    <row r="1364" spans="1:41" x14ac:dyDescent="0.25">
      <c r="A1364" s="10"/>
      <c r="B1364" s="10"/>
      <c r="C1364" s="10"/>
      <c r="D1364" s="10"/>
      <c r="E1364" s="10"/>
      <c r="F1364" s="10"/>
      <c r="G1364" s="10"/>
      <c r="H1364" s="10"/>
      <c r="I1364" s="1" t="str">
        <f t="shared" si="63"/>
        <v/>
      </c>
      <c r="J1364" s="1" t="s">
        <v>35</v>
      </c>
      <c r="K1364" s="1" t="str">
        <f t="shared" si="64"/>
        <v/>
      </c>
      <c r="L1364" s="1" t="str">
        <f t="shared" si="65"/>
        <v/>
      </c>
      <c r="M1364" s="1">
        <f>IF(OR(Table1[[#This Row],[Std Nom]]="",Table1[[#This Row],[Std Read]]=""),0,Table1[[#This Row],[Std Nom]]-Table1[[#This Row],[Std Read]])</f>
        <v>0</v>
      </c>
      <c r="N1364" s="1">
        <f>IF(Calculations!$F$5="ACCREDITED 17025 WITH UNCERTAINTIES",$N$10,0)</f>
        <v>0</v>
      </c>
      <c r="O1364" s="1" t="str">
        <f>IFERROR(Table1[[#This Row],[Std Nom]]-(_xlfn.XLOOKUP(Table1[[#This Row],[Manufacturer]]&amp;" "&amp;Table1[[#This Row],[Model]],Table13[MFR &amp; MDL],Table13[Tolerance % CW ],"")/100*Table1[[#This Row],[Std Nom]]),"")</f>
        <v/>
      </c>
      <c r="P1364" s="1" t="str">
        <f>IFERROR(Table1[[#This Row],[Std Nom]]+(_xlfn.XLOOKUP(Table1[[#This Row],[Manufacturer]]&amp;" "&amp;Table1[[#This Row],[Model]],Table13[MFR &amp; MDL],Table13[Tolerance % CW ],"")/100*Table1[[#This Row],[Std Nom]]),"")</f>
        <v/>
      </c>
      <c r="Q1364" s="1" t="e">
        <f>Table1[[#This Row],[High Tol]]-Table1[[#This Row],[Low Tol]]</f>
        <v>#VALUE!</v>
      </c>
      <c r="R1364" s="1">
        <f>2*Table1[[#This Row],[Std Error]]</f>
        <v>0</v>
      </c>
      <c r="S1364" s="1" t="str">
        <f>IF(Table1[[#This Row],[High Tol]]="","N/A",IFERROR(ABS(Table1[[#This Row],[Tol Span]]/Table1[[#This Row],[Error Span]]),"N/A"))</f>
        <v>N/A</v>
      </c>
      <c r="T1364" s="1" t="str">
        <f>IF(OR(Table1[[#This Row],[Low Tol]]="",Table1[[#This Row],[High Tol]]=""),"Needs Analysis",IF(Table1[[#This Row],[Ratio]]&gt;=4,"Not Significant",IF(Table1[[#This Row],[Ratio]]&gt;=2,"Semi-Significant","Significant")))</f>
        <v>Needs Analysis</v>
      </c>
      <c r="W1364" s="1">
        <f>IF(Table1[[#This Row],[Cal Type]]&lt;&gt;"ACCREDITED 17025 WITH UNCERTAINTIES",0,"")</f>
        <v>0</v>
      </c>
      <c r="X1364" s="1" t="str">
        <f>IF(Table1[[#This Row],[DUT Read]]="","N/A",Table1[[#This Row],[Std Error]]+Table1[[#This Row],[DUT Read]]+Table1[[#This Row],[DUT Ucty]])</f>
        <v>N/A</v>
      </c>
      <c r="Y1364" s="1" t="str">
        <f>IF(Table1[[#This Row],[Std Read]]="","N/A",Table1[[#This Row],[Std Read]]+Table1[[#This Row],[Std Ucty]])</f>
        <v>N/A</v>
      </c>
      <c r="Z13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4" s="1" t="str">
        <f>IF(Table1[[#This Row],[Spec Type]]="","N/A",Table1[[#This Row],[Spec Type]])</f>
        <v>±</v>
      </c>
      <c r="AC1364" s="1" t="str">
        <f>IF(Table1[[#This Row],[Spec Type2]]="N/A","N/A",IF(AND(Table1[[#This Row],[DUT Adj Read]]&gt;=Table1[[#This Row],[Low Tol]],Table1[[#This Row],[DUT Adj Read]]&lt;=Table1[[#This Row],[High Tol]]),"Pass","Fail"))</f>
        <v>Fail</v>
      </c>
      <c r="AD1364" s="1" t="str">
        <f>IF(AND(Table1[[#This Row],[Spec Type2]]="N/A",Table1[[#This Row],[DUT Adj Read]]="N/A",Table1[[#This Row],[Std Adj Read]]="N/A"),"N/A",IF(Table1[[#This Row],[DUT Adj Read]]="N/A",IF(Table1[[#This Row],[Std Adj Read]]&gt;Table1[[#This Row],[Low Tol]],"Pass","Fail"),IF(Table1[[#This Row],[DUT Adj Read]]&gt;Table1[[#This Row],[Low Tol]],"Pass","Fail")))</f>
        <v>Pass</v>
      </c>
      <c r="AE1364" s="1" t="str">
        <f>IF(AND(Table1[[#This Row],[Spec Type2]]="N/A",Table1[[#This Row],[DUT Adj Read]]="N/A",Table1[[#This Row],[Std Adj Read]]="N/A"),"N/A",IF(Table1[[#This Row],[DUT Adj Read]]="N/A",IF(Table1[[#This Row],[Std Adj Read]]&lt;Table1[[#This Row],[High Tol]],"Pass","Fail"),IF(Table1[[#This Row],[DUT Adj Read]]&lt;Table1[[#This Row],[High Tol]],"Pass","Fail")))</f>
        <v>Fail</v>
      </c>
      <c r="AF1364" s="1" t="str">
        <f>IF(AND(Table1[[#This Row],[Spec Type2]]="N/A",Table1[[#This Row],[DUT Adj Read]]="N/A",Table1[[#This Row],[Std Adj Read]]="N/A"),"N/A",IF(Table1[[#This Row],[DUT Adj Read]]="N/A",IF(Table1[[#This Row],[Std Adj Read]]&gt;=Table1[[#This Row],[Low Tol]],"Pass","Fail"),IF(Table1[[#This Row],[DUT Adj Read]]&gt;=Table1[[#This Row],[Low Tol]],"Pass","Fail")))</f>
        <v>Pass</v>
      </c>
      <c r="AG1364" s="1" t="str">
        <f>IF(AND(Table1[[#This Row],[Spec Type2]]="N/A",Table1[[#This Row],[DUT Adj Read]]="N/A",Table1[[#This Row],[Std Adj Read]]="N/A"),"N/A",IF(Table1[[#This Row],[DUT Adj Read]]="N/A",IF(Table1[[#This Row],[Std Adj Read]]&lt;=Table1[[#This Row],[High Tol]],"Pass","Fail"),IF(Table1[[#This Row],[DUT Adj Read]]&lt;=Table1[[#This Row],[High Tol]],"Pass","Fail")))</f>
        <v>Fail</v>
      </c>
      <c r="AH13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4" s="1" t="b">
        <v>0</v>
      </c>
      <c r="AN1364" s="1" t="b">
        <v>0</v>
      </c>
      <c r="AO1364" s="1" t="b">
        <v>0</v>
      </c>
    </row>
    <row r="1365" spans="1:41" x14ac:dyDescent="0.25">
      <c r="A1365" s="10"/>
      <c r="B1365" s="10"/>
      <c r="C1365" s="10"/>
      <c r="D1365" s="10"/>
      <c r="E1365" s="10"/>
      <c r="F1365" s="10"/>
      <c r="G1365" s="10"/>
      <c r="H1365" s="10"/>
      <c r="I1365" s="1" t="str">
        <f t="shared" si="63"/>
        <v/>
      </c>
      <c r="J1365" s="1" t="s">
        <v>35</v>
      </c>
      <c r="K1365" s="1" t="str">
        <f t="shared" si="64"/>
        <v/>
      </c>
      <c r="L1365" s="1" t="str">
        <f t="shared" si="65"/>
        <v/>
      </c>
      <c r="M1365" s="1">
        <f>IF(OR(Table1[[#This Row],[Std Nom]]="",Table1[[#This Row],[Std Read]]=""),0,Table1[[#This Row],[Std Nom]]-Table1[[#This Row],[Std Read]])</f>
        <v>0</v>
      </c>
      <c r="N1365" s="1">
        <f>IF(Calculations!$F$5="ACCREDITED 17025 WITH UNCERTAINTIES",$N$10,0)</f>
        <v>0</v>
      </c>
      <c r="O1365" s="1" t="str">
        <f>IFERROR(Table1[[#This Row],[Std Nom]]-(_xlfn.XLOOKUP(Table1[[#This Row],[Manufacturer]]&amp;" "&amp;Table1[[#This Row],[Model]],Table13[MFR &amp; MDL],Table13[Tolerance % CW ],"")/100*Table1[[#This Row],[Std Nom]]),"")</f>
        <v/>
      </c>
      <c r="P1365" s="1" t="str">
        <f>IFERROR(Table1[[#This Row],[Std Nom]]+(_xlfn.XLOOKUP(Table1[[#This Row],[Manufacturer]]&amp;" "&amp;Table1[[#This Row],[Model]],Table13[MFR &amp; MDL],Table13[Tolerance % CW ],"")/100*Table1[[#This Row],[Std Nom]]),"")</f>
        <v/>
      </c>
      <c r="Q1365" s="1" t="e">
        <f>Table1[[#This Row],[High Tol]]-Table1[[#This Row],[Low Tol]]</f>
        <v>#VALUE!</v>
      </c>
      <c r="R1365" s="1">
        <f>2*Table1[[#This Row],[Std Error]]</f>
        <v>0</v>
      </c>
      <c r="S1365" s="1" t="str">
        <f>IF(Table1[[#This Row],[High Tol]]="","N/A",IFERROR(ABS(Table1[[#This Row],[Tol Span]]/Table1[[#This Row],[Error Span]]),"N/A"))</f>
        <v>N/A</v>
      </c>
      <c r="T1365" s="1" t="str">
        <f>IF(OR(Table1[[#This Row],[Low Tol]]="",Table1[[#This Row],[High Tol]]=""),"Needs Analysis",IF(Table1[[#This Row],[Ratio]]&gt;=4,"Not Significant",IF(Table1[[#This Row],[Ratio]]&gt;=2,"Semi-Significant","Significant")))</f>
        <v>Needs Analysis</v>
      </c>
      <c r="W1365" s="1">
        <f>IF(Table1[[#This Row],[Cal Type]]&lt;&gt;"ACCREDITED 17025 WITH UNCERTAINTIES",0,"")</f>
        <v>0</v>
      </c>
      <c r="X1365" s="1" t="str">
        <f>IF(Table1[[#This Row],[DUT Read]]="","N/A",Table1[[#This Row],[Std Error]]+Table1[[#This Row],[DUT Read]]+Table1[[#This Row],[DUT Ucty]])</f>
        <v>N/A</v>
      </c>
      <c r="Y1365" s="1" t="str">
        <f>IF(Table1[[#This Row],[Std Read]]="","N/A",Table1[[#This Row],[Std Read]]+Table1[[#This Row],[Std Ucty]])</f>
        <v>N/A</v>
      </c>
      <c r="Z13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5" s="1" t="str">
        <f>IF(Table1[[#This Row],[Spec Type]]="","N/A",Table1[[#This Row],[Spec Type]])</f>
        <v>±</v>
      </c>
      <c r="AC1365" s="1" t="str">
        <f>IF(Table1[[#This Row],[Spec Type2]]="N/A","N/A",IF(AND(Table1[[#This Row],[DUT Adj Read]]&gt;=Table1[[#This Row],[Low Tol]],Table1[[#This Row],[DUT Adj Read]]&lt;=Table1[[#This Row],[High Tol]]),"Pass","Fail"))</f>
        <v>Fail</v>
      </c>
      <c r="AD1365" s="1" t="str">
        <f>IF(AND(Table1[[#This Row],[Spec Type2]]="N/A",Table1[[#This Row],[DUT Adj Read]]="N/A",Table1[[#This Row],[Std Adj Read]]="N/A"),"N/A",IF(Table1[[#This Row],[DUT Adj Read]]="N/A",IF(Table1[[#This Row],[Std Adj Read]]&gt;Table1[[#This Row],[Low Tol]],"Pass","Fail"),IF(Table1[[#This Row],[DUT Adj Read]]&gt;Table1[[#This Row],[Low Tol]],"Pass","Fail")))</f>
        <v>Pass</v>
      </c>
      <c r="AE1365" s="1" t="str">
        <f>IF(AND(Table1[[#This Row],[Spec Type2]]="N/A",Table1[[#This Row],[DUT Adj Read]]="N/A",Table1[[#This Row],[Std Adj Read]]="N/A"),"N/A",IF(Table1[[#This Row],[DUT Adj Read]]="N/A",IF(Table1[[#This Row],[Std Adj Read]]&lt;Table1[[#This Row],[High Tol]],"Pass","Fail"),IF(Table1[[#This Row],[DUT Adj Read]]&lt;Table1[[#This Row],[High Tol]],"Pass","Fail")))</f>
        <v>Fail</v>
      </c>
      <c r="AF1365" s="1" t="str">
        <f>IF(AND(Table1[[#This Row],[Spec Type2]]="N/A",Table1[[#This Row],[DUT Adj Read]]="N/A",Table1[[#This Row],[Std Adj Read]]="N/A"),"N/A",IF(Table1[[#This Row],[DUT Adj Read]]="N/A",IF(Table1[[#This Row],[Std Adj Read]]&gt;=Table1[[#This Row],[Low Tol]],"Pass","Fail"),IF(Table1[[#This Row],[DUT Adj Read]]&gt;=Table1[[#This Row],[Low Tol]],"Pass","Fail")))</f>
        <v>Pass</v>
      </c>
      <c r="AG1365" s="1" t="str">
        <f>IF(AND(Table1[[#This Row],[Spec Type2]]="N/A",Table1[[#This Row],[DUT Adj Read]]="N/A",Table1[[#This Row],[Std Adj Read]]="N/A"),"N/A",IF(Table1[[#This Row],[DUT Adj Read]]="N/A",IF(Table1[[#This Row],[Std Adj Read]]&lt;=Table1[[#This Row],[High Tol]],"Pass","Fail"),IF(Table1[[#This Row],[DUT Adj Read]]&lt;=Table1[[#This Row],[High Tol]],"Pass","Fail")))</f>
        <v>Fail</v>
      </c>
      <c r="AH13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5" s="1" t="b">
        <v>0</v>
      </c>
      <c r="AN1365" s="1" t="b">
        <v>0</v>
      </c>
      <c r="AO1365" s="1" t="b">
        <v>0</v>
      </c>
    </row>
    <row r="1366" spans="1:41" x14ac:dyDescent="0.25">
      <c r="A1366" s="10"/>
      <c r="B1366" s="10"/>
      <c r="C1366" s="10"/>
      <c r="D1366" s="10"/>
      <c r="E1366" s="10"/>
      <c r="F1366" s="10"/>
      <c r="G1366" s="10"/>
      <c r="H1366" s="10"/>
      <c r="I1366" s="1" t="str">
        <f t="shared" si="63"/>
        <v/>
      </c>
      <c r="J1366" s="1" t="s">
        <v>35</v>
      </c>
      <c r="K1366" s="1" t="str">
        <f t="shared" si="64"/>
        <v/>
      </c>
      <c r="L1366" s="1" t="str">
        <f t="shared" si="65"/>
        <v/>
      </c>
      <c r="M1366" s="1">
        <f>IF(OR(Table1[[#This Row],[Std Nom]]="",Table1[[#This Row],[Std Read]]=""),0,Table1[[#This Row],[Std Nom]]-Table1[[#This Row],[Std Read]])</f>
        <v>0</v>
      </c>
      <c r="N1366" s="1">
        <f>IF(Calculations!$F$5="ACCREDITED 17025 WITH UNCERTAINTIES",$N$10,0)</f>
        <v>0</v>
      </c>
      <c r="O1366" s="1" t="str">
        <f>IFERROR(Table1[[#This Row],[Std Nom]]-(_xlfn.XLOOKUP(Table1[[#This Row],[Manufacturer]]&amp;" "&amp;Table1[[#This Row],[Model]],Table13[MFR &amp; MDL],Table13[Tolerance % CW ],"")/100*Table1[[#This Row],[Std Nom]]),"")</f>
        <v/>
      </c>
      <c r="P1366" s="1" t="str">
        <f>IFERROR(Table1[[#This Row],[Std Nom]]+(_xlfn.XLOOKUP(Table1[[#This Row],[Manufacturer]]&amp;" "&amp;Table1[[#This Row],[Model]],Table13[MFR &amp; MDL],Table13[Tolerance % CW ],"")/100*Table1[[#This Row],[Std Nom]]),"")</f>
        <v/>
      </c>
      <c r="Q1366" s="1" t="e">
        <f>Table1[[#This Row],[High Tol]]-Table1[[#This Row],[Low Tol]]</f>
        <v>#VALUE!</v>
      </c>
      <c r="R1366" s="1">
        <f>2*Table1[[#This Row],[Std Error]]</f>
        <v>0</v>
      </c>
      <c r="S1366" s="1" t="str">
        <f>IF(Table1[[#This Row],[High Tol]]="","N/A",IFERROR(ABS(Table1[[#This Row],[Tol Span]]/Table1[[#This Row],[Error Span]]),"N/A"))</f>
        <v>N/A</v>
      </c>
      <c r="T1366" s="1" t="str">
        <f>IF(OR(Table1[[#This Row],[Low Tol]]="",Table1[[#This Row],[High Tol]]=""),"Needs Analysis",IF(Table1[[#This Row],[Ratio]]&gt;=4,"Not Significant",IF(Table1[[#This Row],[Ratio]]&gt;=2,"Semi-Significant","Significant")))</f>
        <v>Needs Analysis</v>
      </c>
      <c r="W1366" s="1">
        <f>IF(Table1[[#This Row],[Cal Type]]&lt;&gt;"ACCREDITED 17025 WITH UNCERTAINTIES",0,"")</f>
        <v>0</v>
      </c>
      <c r="X1366" s="1" t="str">
        <f>IF(Table1[[#This Row],[DUT Read]]="","N/A",Table1[[#This Row],[Std Error]]+Table1[[#This Row],[DUT Read]]+Table1[[#This Row],[DUT Ucty]])</f>
        <v>N/A</v>
      </c>
      <c r="Y1366" s="1" t="str">
        <f>IF(Table1[[#This Row],[Std Read]]="","N/A",Table1[[#This Row],[Std Read]]+Table1[[#This Row],[Std Ucty]])</f>
        <v>N/A</v>
      </c>
      <c r="Z13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6" s="1" t="str">
        <f>IF(Table1[[#This Row],[Spec Type]]="","N/A",Table1[[#This Row],[Spec Type]])</f>
        <v>±</v>
      </c>
      <c r="AC1366" s="1" t="str">
        <f>IF(Table1[[#This Row],[Spec Type2]]="N/A","N/A",IF(AND(Table1[[#This Row],[DUT Adj Read]]&gt;=Table1[[#This Row],[Low Tol]],Table1[[#This Row],[DUT Adj Read]]&lt;=Table1[[#This Row],[High Tol]]),"Pass","Fail"))</f>
        <v>Fail</v>
      </c>
      <c r="AD1366" s="1" t="str">
        <f>IF(AND(Table1[[#This Row],[Spec Type2]]="N/A",Table1[[#This Row],[DUT Adj Read]]="N/A",Table1[[#This Row],[Std Adj Read]]="N/A"),"N/A",IF(Table1[[#This Row],[DUT Adj Read]]="N/A",IF(Table1[[#This Row],[Std Adj Read]]&gt;Table1[[#This Row],[Low Tol]],"Pass","Fail"),IF(Table1[[#This Row],[DUT Adj Read]]&gt;Table1[[#This Row],[Low Tol]],"Pass","Fail")))</f>
        <v>Pass</v>
      </c>
      <c r="AE1366" s="1" t="str">
        <f>IF(AND(Table1[[#This Row],[Spec Type2]]="N/A",Table1[[#This Row],[DUT Adj Read]]="N/A",Table1[[#This Row],[Std Adj Read]]="N/A"),"N/A",IF(Table1[[#This Row],[DUT Adj Read]]="N/A",IF(Table1[[#This Row],[Std Adj Read]]&lt;Table1[[#This Row],[High Tol]],"Pass","Fail"),IF(Table1[[#This Row],[DUT Adj Read]]&lt;Table1[[#This Row],[High Tol]],"Pass","Fail")))</f>
        <v>Fail</v>
      </c>
      <c r="AF1366" s="1" t="str">
        <f>IF(AND(Table1[[#This Row],[Spec Type2]]="N/A",Table1[[#This Row],[DUT Adj Read]]="N/A",Table1[[#This Row],[Std Adj Read]]="N/A"),"N/A",IF(Table1[[#This Row],[DUT Adj Read]]="N/A",IF(Table1[[#This Row],[Std Adj Read]]&gt;=Table1[[#This Row],[Low Tol]],"Pass","Fail"),IF(Table1[[#This Row],[DUT Adj Read]]&gt;=Table1[[#This Row],[Low Tol]],"Pass","Fail")))</f>
        <v>Pass</v>
      </c>
      <c r="AG1366" s="1" t="str">
        <f>IF(AND(Table1[[#This Row],[Spec Type2]]="N/A",Table1[[#This Row],[DUT Adj Read]]="N/A",Table1[[#This Row],[Std Adj Read]]="N/A"),"N/A",IF(Table1[[#This Row],[DUT Adj Read]]="N/A",IF(Table1[[#This Row],[Std Adj Read]]&lt;=Table1[[#This Row],[High Tol]],"Pass","Fail"),IF(Table1[[#This Row],[DUT Adj Read]]&lt;=Table1[[#This Row],[High Tol]],"Pass","Fail")))</f>
        <v>Fail</v>
      </c>
      <c r="AH13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6" s="1" t="b">
        <v>0</v>
      </c>
      <c r="AN1366" s="1" t="b">
        <v>0</v>
      </c>
      <c r="AO1366" s="1" t="b">
        <v>0</v>
      </c>
    </row>
    <row r="1367" spans="1:41" x14ac:dyDescent="0.25">
      <c r="A1367" s="10"/>
      <c r="B1367" s="10"/>
      <c r="C1367" s="10"/>
      <c r="D1367" s="10"/>
      <c r="E1367" s="10"/>
      <c r="F1367" s="10"/>
      <c r="G1367" s="10"/>
      <c r="H1367" s="10"/>
      <c r="I1367" s="1" t="str">
        <f t="shared" si="63"/>
        <v/>
      </c>
      <c r="J1367" s="1" t="s">
        <v>35</v>
      </c>
      <c r="K1367" s="1" t="str">
        <f t="shared" si="64"/>
        <v/>
      </c>
      <c r="L1367" s="1" t="str">
        <f t="shared" si="65"/>
        <v/>
      </c>
      <c r="M1367" s="1">
        <f>IF(OR(Table1[[#This Row],[Std Nom]]="",Table1[[#This Row],[Std Read]]=""),0,Table1[[#This Row],[Std Nom]]-Table1[[#This Row],[Std Read]])</f>
        <v>0</v>
      </c>
      <c r="N1367" s="1">
        <f>IF(Calculations!$F$5="ACCREDITED 17025 WITH UNCERTAINTIES",$N$10,0)</f>
        <v>0</v>
      </c>
      <c r="O1367" s="1" t="str">
        <f>IFERROR(Table1[[#This Row],[Std Nom]]-(_xlfn.XLOOKUP(Table1[[#This Row],[Manufacturer]]&amp;" "&amp;Table1[[#This Row],[Model]],Table13[MFR &amp; MDL],Table13[Tolerance % CW ],"")/100*Table1[[#This Row],[Std Nom]]),"")</f>
        <v/>
      </c>
      <c r="P1367" s="1" t="str">
        <f>IFERROR(Table1[[#This Row],[Std Nom]]+(_xlfn.XLOOKUP(Table1[[#This Row],[Manufacturer]]&amp;" "&amp;Table1[[#This Row],[Model]],Table13[MFR &amp; MDL],Table13[Tolerance % CW ],"")/100*Table1[[#This Row],[Std Nom]]),"")</f>
        <v/>
      </c>
      <c r="Q1367" s="1" t="e">
        <f>Table1[[#This Row],[High Tol]]-Table1[[#This Row],[Low Tol]]</f>
        <v>#VALUE!</v>
      </c>
      <c r="R1367" s="1">
        <f>2*Table1[[#This Row],[Std Error]]</f>
        <v>0</v>
      </c>
      <c r="S1367" s="1" t="str">
        <f>IF(Table1[[#This Row],[High Tol]]="","N/A",IFERROR(ABS(Table1[[#This Row],[Tol Span]]/Table1[[#This Row],[Error Span]]),"N/A"))</f>
        <v>N/A</v>
      </c>
      <c r="T1367" s="1" t="str">
        <f>IF(OR(Table1[[#This Row],[Low Tol]]="",Table1[[#This Row],[High Tol]]=""),"Needs Analysis",IF(Table1[[#This Row],[Ratio]]&gt;=4,"Not Significant",IF(Table1[[#This Row],[Ratio]]&gt;=2,"Semi-Significant","Significant")))</f>
        <v>Needs Analysis</v>
      </c>
      <c r="W1367" s="1">
        <f>IF(Table1[[#This Row],[Cal Type]]&lt;&gt;"ACCREDITED 17025 WITH UNCERTAINTIES",0,"")</f>
        <v>0</v>
      </c>
      <c r="X1367" s="1" t="str">
        <f>IF(Table1[[#This Row],[DUT Read]]="","N/A",Table1[[#This Row],[Std Error]]+Table1[[#This Row],[DUT Read]]+Table1[[#This Row],[DUT Ucty]])</f>
        <v>N/A</v>
      </c>
      <c r="Y1367" s="1" t="str">
        <f>IF(Table1[[#This Row],[Std Read]]="","N/A",Table1[[#This Row],[Std Read]]+Table1[[#This Row],[Std Ucty]])</f>
        <v>N/A</v>
      </c>
      <c r="Z13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7" s="1" t="str">
        <f>IF(Table1[[#This Row],[Spec Type]]="","N/A",Table1[[#This Row],[Spec Type]])</f>
        <v>±</v>
      </c>
      <c r="AC1367" s="1" t="str">
        <f>IF(Table1[[#This Row],[Spec Type2]]="N/A","N/A",IF(AND(Table1[[#This Row],[DUT Adj Read]]&gt;=Table1[[#This Row],[Low Tol]],Table1[[#This Row],[DUT Adj Read]]&lt;=Table1[[#This Row],[High Tol]]),"Pass","Fail"))</f>
        <v>Fail</v>
      </c>
      <c r="AD1367" s="1" t="str">
        <f>IF(AND(Table1[[#This Row],[Spec Type2]]="N/A",Table1[[#This Row],[DUT Adj Read]]="N/A",Table1[[#This Row],[Std Adj Read]]="N/A"),"N/A",IF(Table1[[#This Row],[DUT Adj Read]]="N/A",IF(Table1[[#This Row],[Std Adj Read]]&gt;Table1[[#This Row],[Low Tol]],"Pass","Fail"),IF(Table1[[#This Row],[DUT Adj Read]]&gt;Table1[[#This Row],[Low Tol]],"Pass","Fail")))</f>
        <v>Pass</v>
      </c>
      <c r="AE1367" s="1" t="str">
        <f>IF(AND(Table1[[#This Row],[Spec Type2]]="N/A",Table1[[#This Row],[DUT Adj Read]]="N/A",Table1[[#This Row],[Std Adj Read]]="N/A"),"N/A",IF(Table1[[#This Row],[DUT Adj Read]]="N/A",IF(Table1[[#This Row],[Std Adj Read]]&lt;Table1[[#This Row],[High Tol]],"Pass","Fail"),IF(Table1[[#This Row],[DUT Adj Read]]&lt;Table1[[#This Row],[High Tol]],"Pass","Fail")))</f>
        <v>Fail</v>
      </c>
      <c r="AF1367" s="1" t="str">
        <f>IF(AND(Table1[[#This Row],[Spec Type2]]="N/A",Table1[[#This Row],[DUT Adj Read]]="N/A",Table1[[#This Row],[Std Adj Read]]="N/A"),"N/A",IF(Table1[[#This Row],[DUT Adj Read]]="N/A",IF(Table1[[#This Row],[Std Adj Read]]&gt;=Table1[[#This Row],[Low Tol]],"Pass","Fail"),IF(Table1[[#This Row],[DUT Adj Read]]&gt;=Table1[[#This Row],[Low Tol]],"Pass","Fail")))</f>
        <v>Pass</v>
      </c>
      <c r="AG1367" s="1" t="str">
        <f>IF(AND(Table1[[#This Row],[Spec Type2]]="N/A",Table1[[#This Row],[DUT Adj Read]]="N/A",Table1[[#This Row],[Std Adj Read]]="N/A"),"N/A",IF(Table1[[#This Row],[DUT Adj Read]]="N/A",IF(Table1[[#This Row],[Std Adj Read]]&lt;=Table1[[#This Row],[High Tol]],"Pass","Fail"),IF(Table1[[#This Row],[DUT Adj Read]]&lt;=Table1[[#This Row],[High Tol]],"Pass","Fail")))</f>
        <v>Fail</v>
      </c>
      <c r="AH13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7" s="1" t="b">
        <v>0</v>
      </c>
      <c r="AN1367" s="1" t="b">
        <v>0</v>
      </c>
      <c r="AO1367" s="1" t="b">
        <v>0</v>
      </c>
    </row>
    <row r="1368" spans="1:41" x14ac:dyDescent="0.25">
      <c r="A1368" s="10"/>
      <c r="B1368" s="10"/>
      <c r="C1368" s="10"/>
      <c r="D1368" s="10"/>
      <c r="E1368" s="10"/>
      <c r="F1368" s="10"/>
      <c r="G1368" s="10"/>
      <c r="H1368" s="10"/>
      <c r="I1368" s="1" t="str">
        <f t="shared" si="63"/>
        <v/>
      </c>
      <c r="J1368" s="1" t="s">
        <v>35</v>
      </c>
      <c r="K1368" s="1" t="str">
        <f t="shared" si="64"/>
        <v/>
      </c>
      <c r="L1368" s="1" t="str">
        <f t="shared" si="65"/>
        <v/>
      </c>
      <c r="M1368" s="1">
        <f>IF(OR(Table1[[#This Row],[Std Nom]]="",Table1[[#This Row],[Std Read]]=""),0,Table1[[#This Row],[Std Nom]]-Table1[[#This Row],[Std Read]])</f>
        <v>0</v>
      </c>
      <c r="N1368" s="1">
        <f>IF(Calculations!$F$5="ACCREDITED 17025 WITH UNCERTAINTIES",$N$10,0)</f>
        <v>0</v>
      </c>
      <c r="O1368" s="1" t="str">
        <f>IFERROR(Table1[[#This Row],[Std Nom]]-(_xlfn.XLOOKUP(Table1[[#This Row],[Manufacturer]]&amp;" "&amp;Table1[[#This Row],[Model]],Table13[MFR &amp; MDL],Table13[Tolerance % CW ],"")/100*Table1[[#This Row],[Std Nom]]),"")</f>
        <v/>
      </c>
      <c r="P1368" s="1" t="str">
        <f>IFERROR(Table1[[#This Row],[Std Nom]]+(_xlfn.XLOOKUP(Table1[[#This Row],[Manufacturer]]&amp;" "&amp;Table1[[#This Row],[Model]],Table13[MFR &amp; MDL],Table13[Tolerance % CW ],"")/100*Table1[[#This Row],[Std Nom]]),"")</f>
        <v/>
      </c>
      <c r="Q1368" s="1" t="e">
        <f>Table1[[#This Row],[High Tol]]-Table1[[#This Row],[Low Tol]]</f>
        <v>#VALUE!</v>
      </c>
      <c r="R1368" s="1">
        <f>2*Table1[[#This Row],[Std Error]]</f>
        <v>0</v>
      </c>
      <c r="S1368" s="1" t="str">
        <f>IF(Table1[[#This Row],[High Tol]]="","N/A",IFERROR(ABS(Table1[[#This Row],[Tol Span]]/Table1[[#This Row],[Error Span]]),"N/A"))</f>
        <v>N/A</v>
      </c>
      <c r="T1368" s="1" t="str">
        <f>IF(OR(Table1[[#This Row],[Low Tol]]="",Table1[[#This Row],[High Tol]]=""),"Needs Analysis",IF(Table1[[#This Row],[Ratio]]&gt;=4,"Not Significant",IF(Table1[[#This Row],[Ratio]]&gt;=2,"Semi-Significant","Significant")))</f>
        <v>Needs Analysis</v>
      </c>
      <c r="W1368" s="1">
        <f>IF(Table1[[#This Row],[Cal Type]]&lt;&gt;"ACCREDITED 17025 WITH UNCERTAINTIES",0,"")</f>
        <v>0</v>
      </c>
      <c r="X1368" s="1" t="str">
        <f>IF(Table1[[#This Row],[DUT Read]]="","N/A",Table1[[#This Row],[Std Error]]+Table1[[#This Row],[DUT Read]]+Table1[[#This Row],[DUT Ucty]])</f>
        <v>N/A</v>
      </c>
      <c r="Y1368" s="1" t="str">
        <f>IF(Table1[[#This Row],[Std Read]]="","N/A",Table1[[#This Row],[Std Read]]+Table1[[#This Row],[Std Ucty]])</f>
        <v>N/A</v>
      </c>
      <c r="Z13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8" s="1" t="str">
        <f>IF(Table1[[#This Row],[Spec Type]]="","N/A",Table1[[#This Row],[Spec Type]])</f>
        <v>±</v>
      </c>
      <c r="AC1368" s="1" t="str">
        <f>IF(Table1[[#This Row],[Spec Type2]]="N/A","N/A",IF(AND(Table1[[#This Row],[DUT Adj Read]]&gt;=Table1[[#This Row],[Low Tol]],Table1[[#This Row],[DUT Adj Read]]&lt;=Table1[[#This Row],[High Tol]]),"Pass","Fail"))</f>
        <v>Fail</v>
      </c>
      <c r="AD1368" s="1" t="str">
        <f>IF(AND(Table1[[#This Row],[Spec Type2]]="N/A",Table1[[#This Row],[DUT Adj Read]]="N/A",Table1[[#This Row],[Std Adj Read]]="N/A"),"N/A",IF(Table1[[#This Row],[DUT Adj Read]]="N/A",IF(Table1[[#This Row],[Std Adj Read]]&gt;Table1[[#This Row],[Low Tol]],"Pass","Fail"),IF(Table1[[#This Row],[DUT Adj Read]]&gt;Table1[[#This Row],[Low Tol]],"Pass","Fail")))</f>
        <v>Pass</v>
      </c>
      <c r="AE1368" s="1" t="str">
        <f>IF(AND(Table1[[#This Row],[Spec Type2]]="N/A",Table1[[#This Row],[DUT Adj Read]]="N/A",Table1[[#This Row],[Std Adj Read]]="N/A"),"N/A",IF(Table1[[#This Row],[DUT Adj Read]]="N/A",IF(Table1[[#This Row],[Std Adj Read]]&lt;Table1[[#This Row],[High Tol]],"Pass","Fail"),IF(Table1[[#This Row],[DUT Adj Read]]&lt;Table1[[#This Row],[High Tol]],"Pass","Fail")))</f>
        <v>Fail</v>
      </c>
      <c r="AF1368" s="1" t="str">
        <f>IF(AND(Table1[[#This Row],[Spec Type2]]="N/A",Table1[[#This Row],[DUT Adj Read]]="N/A",Table1[[#This Row],[Std Adj Read]]="N/A"),"N/A",IF(Table1[[#This Row],[DUT Adj Read]]="N/A",IF(Table1[[#This Row],[Std Adj Read]]&gt;=Table1[[#This Row],[Low Tol]],"Pass","Fail"),IF(Table1[[#This Row],[DUT Adj Read]]&gt;=Table1[[#This Row],[Low Tol]],"Pass","Fail")))</f>
        <v>Pass</v>
      </c>
      <c r="AG1368" s="1" t="str">
        <f>IF(AND(Table1[[#This Row],[Spec Type2]]="N/A",Table1[[#This Row],[DUT Adj Read]]="N/A",Table1[[#This Row],[Std Adj Read]]="N/A"),"N/A",IF(Table1[[#This Row],[DUT Adj Read]]="N/A",IF(Table1[[#This Row],[Std Adj Read]]&lt;=Table1[[#This Row],[High Tol]],"Pass","Fail"),IF(Table1[[#This Row],[DUT Adj Read]]&lt;=Table1[[#This Row],[High Tol]],"Pass","Fail")))</f>
        <v>Fail</v>
      </c>
      <c r="AH13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8" s="1" t="b">
        <v>0</v>
      </c>
      <c r="AN1368" s="1" t="b">
        <v>0</v>
      </c>
      <c r="AO1368" s="1" t="b">
        <v>0</v>
      </c>
    </row>
    <row r="1369" spans="1:41" x14ac:dyDescent="0.25">
      <c r="A1369" s="10"/>
      <c r="B1369" s="10"/>
      <c r="C1369" s="10"/>
      <c r="D1369" s="10"/>
      <c r="E1369" s="10"/>
      <c r="F1369" s="10"/>
      <c r="G1369" s="10"/>
      <c r="H1369" s="10"/>
      <c r="I1369" s="1" t="str">
        <f t="shared" si="63"/>
        <v/>
      </c>
      <c r="J1369" s="1" t="s">
        <v>35</v>
      </c>
      <c r="K1369" s="1" t="str">
        <f t="shared" si="64"/>
        <v/>
      </c>
      <c r="L1369" s="1" t="str">
        <f t="shared" si="65"/>
        <v/>
      </c>
      <c r="M1369" s="1">
        <f>IF(OR(Table1[[#This Row],[Std Nom]]="",Table1[[#This Row],[Std Read]]=""),0,Table1[[#This Row],[Std Nom]]-Table1[[#This Row],[Std Read]])</f>
        <v>0</v>
      </c>
      <c r="N1369" s="1">
        <f>IF(Calculations!$F$5="ACCREDITED 17025 WITH UNCERTAINTIES",$N$10,0)</f>
        <v>0</v>
      </c>
      <c r="O1369" s="1" t="str">
        <f>IFERROR(Table1[[#This Row],[Std Nom]]-(_xlfn.XLOOKUP(Table1[[#This Row],[Manufacturer]]&amp;" "&amp;Table1[[#This Row],[Model]],Table13[MFR &amp; MDL],Table13[Tolerance % CW ],"")/100*Table1[[#This Row],[Std Nom]]),"")</f>
        <v/>
      </c>
      <c r="P1369" s="1" t="str">
        <f>IFERROR(Table1[[#This Row],[Std Nom]]+(_xlfn.XLOOKUP(Table1[[#This Row],[Manufacturer]]&amp;" "&amp;Table1[[#This Row],[Model]],Table13[MFR &amp; MDL],Table13[Tolerance % CW ],"")/100*Table1[[#This Row],[Std Nom]]),"")</f>
        <v/>
      </c>
      <c r="Q1369" s="1" t="e">
        <f>Table1[[#This Row],[High Tol]]-Table1[[#This Row],[Low Tol]]</f>
        <v>#VALUE!</v>
      </c>
      <c r="R1369" s="1">
        <f>2*Table1[[#This Row],[Std Error]]</f>
        <v>0</v>
      </c>
      <c r="S1369" s="1" t="str">
        <f>IF(Table1[[#This Row],[High Tol]]="","N/A",IFERROR(ABS(Table1[[#This Row],[Tol Span]]/Table1[[#This Row],[Error Span]]),"N/A"))</f>
        <v>N/A</v>
      </c>
      <c r="T1369" s="1" t="str">
        <f>IF(OR(Table1[[#This Row],[Low Tol]]="",Table1[[#This Row],[High Tol]]=""),"Needs Analysis",IF(Table1[[#This Row],[Ratio]]&gt;=4,"Not Significant",IF(Table1[[#This Row],[Ratio]]&gt;=2,"Semi-Significant","Significant")))</f>
        <v>Needs Analysis</v>
      </c>
      <c r="W1369" s="1">
        <f>IF(Table1[[#This Row],[Cal Type]]&lt;&gt;"ACCREDITED 17025 WITH UNCERTAINTIES",0,"")</f>
        <v>0</v>
      </c>
      <c r="X1369" s="1" t="str">
        <f>IF(Table1[[#This Row],[DUT Read]]="","N/A",Table1[[#This Row],[Std Error]]+Table1[[#This Row],[DUT Read]]+Table1[[#This Row],[DUT Ucty]])</f>
        <v>N/A</v>
      </c>
      <c r="Y1369" s="1" t="str">
        <f>IF(Table1[[#This Row],[Std Read]]="","N/A",Table1[[#This Row],[Std Read]]+Table1[[#This Row],[Std Ucty]])</f>
        <v>N/A</v>
      </c>
      <c r="Z13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9" s="1" t="str">
        <f>IF(Table1[[#This Row],[Spec Type]]="","N/A",Table1[[#This Row],[Spec Type]])</f>
        <v>±</v>
      </c>
      <c r="AC1369" s="1" t="str">
        <f>IF(Table1[[#This Row],[Spec Type2]]="N/A","N/A",IF(AND(Table1[[#This Row],[DUT Adj Read]]&gt;=Table1[[#This Row],[Low Tol]],Table1[[#This Row],[DUT Adj Read]]&lt;=Table1[[#This Row],[High Tol]]),"Pass","Fail"))</f>
        <v>Fail</v>
      </c>
      <c r="AD1369" s="1" t="str">
        <f>IF(AND(Table1[[#This Row],[Spec Type2]]="N/A",Table1[[#This Row],[DUT Adj Read]]="N/A",Table1[[#This Row],[Std Adj Read]]="N/A"),"N/A",IF(Table1[[#This Row],[DUT Adj Read]]="N/A",IF(Table1[[#This Row],[Std Adj Read]]&gt;Table1[[#This Row],[Low Tol]],"Pass","Fail"),IF(Table1[[#This Row],[DUT Adj Read]]&gt;Table1[[#This Row],[Low Tol]],"Pass","Fail")))</f>
        <v>Pass</v>
      </c>
      <c r="AE1369" s="1" t="str">
        <f>IF(AND(Table1[[#This Row],[Spec Type2]]="N/A",Table1[[#This Row],[DUT Adj Read]]="N/A",Table1[[#This Row],[Std Adj Read]]="N/A"),"N/A",IF(Table1[[#This Row],[DUT Adj Read]]="N/A",IF(Table1[[#This Row],[Std Adj Read]]&lt;Table1[[#This Row],[High Tol]],"Pass","Fail"),IF(Table1[[#This Row],[DUT Adj Read]]&lt;Table1[[#This Row],[High Tol]],"Pass","Fail")))</f>
        <v>Fail</v>
      </c>
      <c r="AF1369" s="1" t="str">
        <f>IF(AND(Table1[[#This Row],[Spec Type2]]="N/A",Table1[[#This Row],[DUT Adj Read]]="N/A",Table1[[#This Row],[Std Adj Read]]="N/A"),"N/A",IF(Table1[[#This Row],[DUT Adj Read]]="N/A",IF(Table1[[#This Row],[Std Adj Read]]&gt;=Table1[[#This Row],[Low Tol]],"Pass","Fail"),IF(Table1[[#This Row],[DUT Adj Read]]&gt;=Table1[[#This Row],[Low Tol]],"Pass","Fail")))</f>
        <v>Pass</v>
      </c>
      <c r="AG1369" s="1" t="str">
        <f>IF(AND(Table1[[#This Row],[Spec Type2]]="N/A",Table1[[#This Row],[DUT Adj Read]]="N/A",Table1[[#This Row],[Std Adj Read]]="N/A"),"N/A",IF(Table1[[#This Row],[DUT Adj Read]]="N/A",IF(Table1[[#This Row],[Std Adj Read]]&lt;=Table1[[#This Row],[High Tol]],"Pass","Fail"),IF(Table1[[#This Row],[DUT Adj Read]]&lt;=Table1[[#This Row],[High Tol]],"Pass","Fail")))</f>
        <v>Fail</v>
      </c>
      <c r="AH13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9" s="1" t="b">
        <v>0</v>
      </c>
      <c r="AN1369" s="1" t="b">
        <v>0</v>
      </c>
      <c r="AO1369" s="1" t="b">
        <v>0</v>
      </c>
    </row>
    <row r="1370" spans="1:41" x14ac:dyDescent="0.25">
      <c r="A1370" s="10"/>
      <c r="B1370" s="10"/>
      <c r="C1370" s="10"/>
      <c r="D1370" s="10"/>
      <c r="E1370" s="10"/>
      <c r="F1370" s="10"/>
      <c r="G1370" s="10"/>
      <c r="H1370" s="10"/>
      <c r="I1370" s="1" t="str">
        <f t="shared" si="63"/>
        <v/>
      </c>
      <c r="J1370" s="1" t="s">
        <v>35</v>
      </c>
      <c r="K1370" s="1" t="str">
        <f t="shared" si="64"/>
        <v/>
      </c>
      <c r="L1370" s="1" t="str">
        <f t="shared" si="65"/>
        <v/>
      </c>
      <c r="M1370" s="1">
        <f>IF(OR(Table1[[#This Row],[Std Nom]]="",Table1[[#This Row],[Std Read]]=""),0,Table1[[#This Row],[Std Nom]]-Table1[[#This Row],[Std Read]])</f>
        <v>0</v>
      </c>
      <c r="N1370" s="1">
        <f>IF(Calculations!$F$5="ACCREDITED 17025 WITH UNCERTAINTIES",$N$10,0)</f>
        <v>0</v>
      </c>
      <c r="O1370" s="1" t="str">
        <f>IFERROR(Table1[[#This Row],[Std Nom]]-(_xlfn.XLOOKUP(Table1[[#This Row],[Manufacturer]]&amp;" "&amp;Table1[[#This Row],[Model]],Table13[MFR &amp; MDL],Table13[Tolerance % CW ],"")/100*Table1[[#This Row],[Std Nom]]),"")</f>
        <v/>
      </c>
      <c r="P1370" s="1" t="str">
        <f>IFERROR(Table1[[#This Row],[Std Nom]]+(_xlfn.XLOOKUP(Table1[[#This Row],[Manufacturer]]&amp;" "&amp;Table1[[#This Row],[Model]],Table13[MFR &amp; MDL],Table13[Tolerance % CW ],"")/100*Table1[[#This Row],[Std Nom]]),"")</f>
        <v/>
      </c>
      <c r="Q1370" s="1" t="e">
        <f>Table1[[#This Row],[High Tol]]-Table1[[#This Row],[Low Tol]]</f>
        <v>#VALUE!</v>
      </c>
      <c r="R1370" s="1">
        <f>2*Table1[[#This Row],[Std Error]]</f>
        <v>0</v>
      </c>
      <c r="S1370" s="1" t="str">
        <f>IF(Table1[[#This Row],[High Tol]]="","N/A",IFERROR(ABS(Table1[[#This Row],[Tol Span]]/Table1[[#This Row],[Error Span]]),"N/A"))</f>
        <v>N/A</v>
      </c>
      <c r="T1370" s="1" t="str">
        <f>IF(OR(Table1[[#This Row],[Low Tol]]="",Table1[[#This Row],[High Tol]]=""),"Needs Analysis",IF(Table1[[#This Row],[Ratio]]&gt;=4,"Not Significant",IF(Table1[[#This Row],[Ratio]]&gt;=2,"Semi-Significant","Significant")))</f>
        <v>Needs Analysis</v>
      </c>
      <c r="W1370" s="1">
        <f>IF(Table1[[#This Row],[Cal Type]]&lt;&gt;"ACCREDITED 17025 WITH UNCERTAINTIES",0,"")</f>
        <v>0</v>
      </c>
      <c r="X1370" s="1" t="str">
        <f>IF(Table1[[#This Row],[DUT Read]]="","N/A",Table1[[#This Row],[Std Error]]+Table1[[#This Row],[DUT Read]]+Table1[[#This Row],[DUT Ucty]])</f>
        <v>N/A</v>
      </c>
      <c r="Y1370" s="1" t="str">
        <f>IF(Table1[[#This Row],[Std Read]]="","N/A",Table1[[#This Row],[Std Read]]+Table1[[#This Row],[Std Ucty]])</f>
        <v>N/A</v>
      </c>
      <c r="Z13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0" s="1" t="str">
        <f>IF(Table1[[#This Row],[Spec Type]]="","N/A",Table1[[#This Row],[Spec Type]])</f>
        <v>±</v>
      </c>
      <c r="AC1370" s="1" t="str">
        <f>IF(Table1[[#This Row],[Spec Type2]]="N/A","N/A",IF(AND(Table1[[#This Row],[DUT Adj Read]]&gt;=Table1[[#This Row],[Low Tol]],Table1[[#This Row],[DUT Adj Read]]&lt;=Table1[[#This Row],[High Tol]]),"Pass","Fail"))</f>
        <v>Fail</v>
      </c>
      <c r="AD1370" s="1" t="str">
        <f>IF(AND(Table1[[#This Row],[Spec Type2]]="N/A",Table1[[#This Row],[DUT Adj Read]]="N/A",Table1[[#This Row],[Std Adj Read]]="N/A"),"N/A",IF(Table1[[#This Row],[DUT Adj Read]]="N/A",IF(Table1[[#This Row],[Std Adj Read]]&gt;Table1[[#This Row],[Low Tol]],"Pass","Fail"),IF(Table1[[#This Row],[DUT Adj Read]]&gt;Table1[[#This Row],[Low Tol]],"Pass","Fail")))</f>
        <v>Pass</v>
      </c>
      <c r="AE1370" s="1" t="str">
        <f>IF(AND(Table1[[#This Row],[Spec Type2]]="N/A",Table1[[#This Row],[DUT Adj Read]]="N/A",Table1[[#This Row],[Std Adj Read]]="N/A"),"N/A",IF(Table1[[#This Row],[DUT Adj Read]]="N/A",IF(Table1[[#This Row],[Std Adj Read]]&lt;Table1[[#This Row],[High Tol]],"Pass","Fail"),IF(Table1[[#This Row],[DUT Adj Read]]&lt;Table1[[#This Row],[High Tol]],"Pass","Fail")))</f>
        <v>Fail</v>
      </c>
      <c r="AF1370" s="1" t="str">
        <f>IF(AND(Table1[[#This Row],[Spec Type2]]="N/A",Table1[[#This Row],[DUT Adj Read]]="N/A",Table1[[#This Row],[Std Adj Read]]="N/A"),"N/A",IF(Table1[[#This Row],[DUT Adj Read]]="N/A",IF(Table1[[#This Row],[Std Adj Read]]&gt;=Table1[[#This Row],[Low Tol]],"Pass","Fail"),IF(Table1[[#This Row],[DUT Adj Read]]&gt;=Table1[[#This Row],[Low Tol]],"Pass","Fail")))</f>
        <v>Pass</v>
      </c>
      <c r="AG1370" s="1" t="str">
        <f>IF(AND(Table1[[#This Row],[Spec Type2]]="N/A",Table1[[#This Row],[DUT Adj Read]]="N/A",Table1[[#This Row],[Std Adj Read]]="N/A"),"N/A",IF(Table1[[#This Row],[DUT Adj Read]]="N/A",IF(Table1[[#This Row],[Std Adj Read]]&lt;=Table1[[#This Row],[High Tol]],"Pass","Fail"),IF(Table1[[#This Row],[DUT Adj Read]]&lt;=Table1[[#This Row],[High Tol]],"Pass","Fail")))</f>
        <v>Fail</v>
      </c>
      <c r="AH13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0" s="1" t="b">
        <v>0</v>
      </c>
      <c r="AN1370" s="1" t="b">
        <v>0</v>
      </c>
      <c r="AO1370" s="1" t="b">
        <v>0</v>
      </c>
    </row>
    <row r="1371" spans="1:41" x14ac:dyDescent="0.25">
      <c r="A1371" s="10"/>
      <c r="B1371" s="10"/>
      <c r="C1371" s="10"/>
      <c r="D1371" s="10"/>
      <c r="E1371" s="10"/>
      <c r="F1371" s="10"/>
      <c r="G1371" s="10"/>
      <c r="H1371" s="10"/>
      <c r="I1371" s="1" t="str">
        <f t="shared" si="63"/>
        <v/>
      </c>
      <c r="J1371" s="1" t="s">
        <v>35</v>
      </c>
      <c r="K1371" s="1" t="str">
        <f t="shared" si="64"/>
        <v/>
      </c>
      <c r="L1371" s="1" t="str">
        <f t="shared" si="65"/>
        <v/>
      </c>
      <c r="M1371" s="1">
        <f>IF(OR(Table1[[#This Row],[Std Nom]]="",Table1[[#This Row],[Std Read]]=""),0,Table1[[#This Row],[Std Nom]]-Table1[[#This Row],[Std Read]])</f>
        <v>0</v>
      </c>
      <c r="N1371" s="1">
        <f>IF(Calculations!$F$5="ACCREDITED 17025 WITH UNCERTAINTIES",$N$10,0)</f>
        <v>0</v>
      </c>
      <c r="O1371" s="1" t="str">
        <f>IFERROR(Table1[[#This Row],[Std Nom]]-(_xlfn.XLOOKUP(Table1[[#This Row],[Manufacturer]]&amp;" "&amp;Table1[[#This Row],[Model]],Table13[MFR &amp; MDL],Table13[Tolerance % CW ],"")/100*Table1[[#This Row],[Std Nom]]),"")</f>
        <v/>
      </c>
      <c r="P1371" s="1" t="str">
        <f>IFERROR(Table1[[#This Row],[Std Nom]]+(_xlfn.XLOOKUP(Table1[[#This Row],[Manufacturer]]&amp;" "&amp;Table1[[#This Row],[Model]],Table13[MFR &amp; MDL],Table13[Tolerance % CW ],"")/100*Table1[[#This Row],[Std Nom]]),"")</f>
        <v/>
      </c>
      <c r="Q1371" s="1" t="e">
        <f>Table1[[#This Row],[High Tol]]-Table1[[#This Row],[Low Tol]]</f>
        <v>#VALUE!</v>
      </c>
      <c r="R1371" s="1">
        <f>2*Table1[[#This Row],[Std Error]]</f>
        <v>0</v>
      </c>
      <c r="S1371" s="1" t="str">
        <f>IF(Table1[[#This Row],[High Tol]]="","N/A",IFERROR(ABS(Table1[[#This Row],[Tol Span]]/Table1[[#This Row],[Error Span]]),"N/A"))</f>
        <v>N/A</v>
      </c>
      <c r="T1371" s="1" t="str">
        <f>IF(OR(Table1[[#This Row],[Low Tol]]="",Table1[[#This Row],[High Tol]]=""),"Needs Analysis",IF(Table1[[#This Row],[Ratio]]&gt;=4,"Not Significant",IF(Table1[[#This Row],[Ratio]]&gt;=2,"Semi-Significant","Significant")))</f>
        <v>Needs Analysis</v>
      </c>
      <c r="W1371" s="1">
        <f>IF(Table1[[#This Row],[Cal Type]]&lt;&gt;"ACCREDITED 17025 WITH UNCERTAINTIES",0,"")</f>
        <v>0</v>
      </c>
      <c r="X1371" s="1" t="str">
        <f>IF(Table1[[#This Row],[DUT Read]]="","N/A",Table1[[#This Row],[Std Error]]+Table1[[#This Row],[DUT Read]]+Table1[[#This Row],[DUT Ucty]])</f>
        <v>N/A</v>
      </c>
      <c r="Y1371" s="1" t="str">
        <f>IF(Table1[[#This Row],[Std Read]]="","N/A",Table1[[#This Row],[Std Read]]+Table1[[#This Row],[Std Ucty]])</f>
        <v>N/A</v>
      </c>
      <c r="Z13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1" s="1" t="str">
        <f>IF(Table1[[#This Row],[Spec Type]]="","N/A",Table1[[#This Row],[Spec Type]])</f>
        <v>±</v>
      </c>
      <c r="AC1371" s="1" t="str">
        <f>IF(Table1[[#This Row],[Spec Type2]]="N/A","N/A",IF(AND(Table1[[#This Row],[DUT Adj Read]]&gt;=Table1[[#This Row],[Low Tol]],Table1[[#This Row],[DUT Adj Read]]&lt;=Table1[[#This Row],[High Tol]]),"Pass","Fail"))</f>
        <v>Fail</v>
      </c>
      <c r="AD1371" s="1" t="str">
        <f>IF(AND(Table1[[#This Row],[Spec Type2]]="N/A",Table1[[#This Row],[DUT Adj Read]]="N/A",Table1[[#This Row],[Std Adj Read]]="N/A"),"N/A",IF(Table1[[#This Row],[DUT Adj Read]]="N/A",IF(Table1[[#This Row],[Std Adj Read]]&gt;Table1[[#This Row],[Low Tol]],"Pass","Fail"),IF(Table1[[#This Row],[DUT Adj Read]]&gt;Table1[[#This Row],[Low Tol]],"Pass","Fail")))</f>
        <v>Pass</v>
      </c>
      <c r="AE1371" s="1" t="str">
        <f>IF(AND(Table1[[#This Row],[Spec Type2]]="N/A",Table1[[#This Row],[DUT Adj Read]]="N/A",Table1[[#This Row],[Std Adj Read]]="N/A"),"N/A",IF(Table1[[#This Row],[DUT Adj Read]]="N/A",IF(Table1[[#This Row],[Std Adj Read]]&lt;Table1[[#This Row],[High Tol]],"Pass","Fail"),IF(Table1[[#This Row],[DUT Adj Read]]&lt;Table1[[#This Row],[High Tol]],"Pass","Fail")))</f>
        <v>Fail</v>
      </c>
      <c r="AF1371" s="1" t="str">
        <f>IF(AND(Table1[[#This Row],[Spec Type2]]="N/A",Table1[[#This Row],[DUT Adj Read]]="N/A",Table1[[#This Row],[Std Adj Read]]="N/A"),"N/A",IF(Table1[[#This Row],[DUT Adj Read]]="N/A",IF(Table1[[#This Row],[Std Adj Read]]&gt;=Table1[[#This Row],[Low Tol]],"Pass","Fail"),IF(Table1[[#This Row],[DUT Adj Read]]&gt;=Table1[[#This Row],[Low Tol]],"Pass","Fail")))</f>
        <v>Pass</v>
      </c>
      <c r="AG1371" s="1" t="str">
        <f>IF(AND(Table1[[#This Row],[Spec Type2]]="N/A",Table1[[#This Row],[DUT Adj Read]]="N/A",Table1[[#This Row],[Std Adj Read]]="N/A"),"N/A",IF(Table1[[#This Row],[DUT Adj Read]]="N/A",IF(Table1[[#This Row],[Std Adj Read]]&lt;=Table1[[#This Row],[High Tol]],"Pass","Fail"),IF(Table1[[#This Row],[DUT Adj Read]]&lt;=Table1[[#This Row],[High Tol]],"Pass","Fail")))</f>
        <v>Fail</v>
      </c>
      <c r="AH13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1" s="1" t="b">
        <v>0</v>
      </c>
      <c r="AN1371" s="1" t="b">
        <v>0</v>
      </c>
      <c r="AO1371" s="1" t="b">
        <v>0</v>
      </c>
    </row>
    <row r="1372" spans="1:41" x14ac:dyDescent="0.25">
      <c r="A1372" s="10"/>
      <c r="B1372" s="10"/>
      <c r="C1372" s="10"/>
      <c r="D1372" s="10"/>
      <c r="E1372" s="10"/>
      <c r="F1372" s="10"/>
      <c r="G1372" s="10"/>
      <c r="H1372" s="10"/>
      <c r="I1372" s="1" t="str">
        <f t="shared" si="63"/>
        <v/>
      </c>
      <c r="J1372" s="1" t="s">
        <v>35</v>
      </c>
      <c r="K1372" s="1" t="str">
        <f t="shared" si="64"/>
        <v/>
      </c>
      <c r="L1372" s="1" t="str">
        <f t="shared" si="65"/>
        <v/>
      </c>
      <c r="M1372" s="1">
        <f>IF(OR(Table1[[#This Row],[Std Nom]]="",Table1[[#This Row],[Std Read]]=""),0,Table1[[#This Row],[Std Nom]]-Table1[[#This Row],[Std Read]])</f>
        <v>0</v>
      </c>
      <c r="N1372" s="1">
        <f>IF(Calculations!$F$5="ACCREDITED 17025 WITH UNCERTAINTIES",$N$10,0)</f>
        <v>0</v>
      </c>
      <c r="O1372" s="1" t="str">
        <f>IFERROR(Table1[[#This Row],[Std Nom]]-(_xlfn.XLOOKUP(Table1[[#This Row],[Manufacturer]]&amp;" "&amp;Table1[[#This Row],[Model]],Table13[MFR &amp; MDL],Table13[Tolerance % CW ],"")/100*Table1[[#This Row],[Std Nom]]),"")</f>
        <v/>
      </c>
      <c r="P1372" s="1" t="str">
        <f>IFERROR(Table1[[#This Row],[Std Nom]]+(_xlfn.XLOOKUP(Table1[[#This Row],[Manufacturer]]&amp;" "&amp;Table1[[#This Row],[Model]],Table13[MFR &amp; MDL],Table13[Tolerance % CW ],"")/100*Table1[[#This Row],[Std Nom]]),"")</f>
        <v/>
      </c>
      <c r="Q1372" s="1" t="e">
        <f>Table1[[#This Row],[High Tol]]-Table1[[#This Row],[Low Tol]]</f>
        <v>#VALUE!</v>
      </c>
      <c r="R1372" s="1">
        <f>2*Table1[[#This Row],[Std Error]]</f>
        <v>0</v>
      </c>
      <c r="S1372" s="1" t="str">
        <f>IF(Table1[[#This Row],[High Tol]]="","N/A",IFERROR(ABS(Table1[[#This Row],[Tol Span]]/Table1[[#This Row],[Error Span]]),"N/A"))</f>
        <v>N/A</v>
      </c>
      <c r="T1372" s="1" t="str">
        <f>IF(OR(Table1[[#This Row],[Low Tol]]="",Table1[[#This Row],[High Tol]]=""),"Needs Analysis",IF(Table1[[#This Row],[Ratio]]&gt;=4,"Not Significant",IF(Table1[[#This Row],[Ratio]]&gt;=2,"Semi-Significant","Significant")))</f>
        <v>Needs Analysis</v>
      </c>
      <c r="W1372" s="1">
        <f>IF(Table1[[#This Row],[Cal Type]]&lt;&gt;"ACCREDITED 17025 WITH UNCERTAINTIES",0,"")</f>
        <v>0</v>
      </c>
      <c r="X1372" s="1" t="str">
        <f>IF(Table1[[#This Row],[DUT Read]]="","N/A",Table1[[#This Row],[Std Error]]+Table1[[#This Row],[DUT Read]]+Table1[[#This Row],[DUT Ucty]])</f>
        <v>N/A</v>
      </c>
      <c r="Y1372" s="1" t="str">
        <f>IF(Table1[[#This Row],[Std Read]]="","N/A",Table1[[#This Row],[Std Read]]+Table1[[#This Row],[Std Ucty]])</f>
        <v>N/A</v>
      </c>
      <c r="Z13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2" s="1" t="str">
        <f>IF(Table1[[#This Row],[Spec Type]]="","N/A",Table1[[#This Row],[Spec Type]])</f>
        <v>±</v>
      </c>
      <c r="AC1372" s="1" t="str">
        <f>IF(Table1[[#This Row],[Spec Type2]]="N/A","N/A",IF(AND(Table1[[#This Row],[DUT Adj Read]]&gt;=Table1[[#This Row],[Low Tol]],Table1[[#This Row],[DUT Adj Read]]&lt;=Table1[[#This Row],[High Tol]]),"Pass","Fail"))</f>
        <v>Fail</v>
      </c>
      <c r="AD1372" s="1" t="str">
        <f>IF(AND(Table1[[#This Row],[Spec Type2]]="N/A",Table1[[#This Row],[DUT Adj Read]]="N/A",Table1[[#This Row],[Std Adj Read]]="N/A"),"N/A",IF(Table1[[#This Row],[DUT Adj Read]]="N/A",IF(Table1[[#This Row],[Std Adj Read]]&gt;Table1[[#This Row],[Low Tol]],"Pass","Fail"),IF(Table1[[#This Row],[DUT Adj Read]]&gt;Table1[[#This Row],[Low Tol]],"Pass","Fail")))</f>
        <v>Pass</v>
      </c>
      <c r="AE1372" s="1" t="str">
        <f>IF(AND(Table1[[#This Row],[Spec Type2]]="N/A",Table1[[#This Row],[DUT Adj Read]]="N/A",Table1[[#This Row],[Std Adj Read]]="N/A"),"N/A",IF(Table1[[#This Row],[DUT Adj Read]]="N/A",IF(Table1[[#This Row],[Std Adj Read]]&lt;Table1[[#This Row],[High Tol]],"Pass","Fail"),IF(Table1[[#This Row],[DUT Adj Read]]&lt;Table1[[#This Row],[High Tol]],"Pass","Fail")))</f>
        <v>Fail</v>
      </c>
      <c r="AF1372" s="1" t="str">
        <f>IF(AND(Table1[[#This Row],[Spec Type2]]="N/A",Table1[[#This Row],[DUT Adj Read]]="N/A",Table1[[#This Row],[Std Adj Read]]="N/A"),"N/A",IF(Table1[[#This Row],[DUT Adj Read]]="N/A",IF(Table1[[#This Row],[Std Adj Read]]&gt;=Table1[[#This Row],[Low Tol]],"Pass","Fail"),IF(Table1[[#This Row],[DUT Adj Read]]&gt;=Table1[[#This Row],[Low Tol]],"Pass","Fail")))</f>
        <v>Pass</v>
      </c>
      <c r="AG1372" s="1" t="str">
        <f>IF(AND(Table1[[#This Row],[Spec Type2]]="N/A",Table1[[#This Row],[DUT Adj Read]]="N/A",Table1[[#This Row],[Std Adj Read]]="N/A"),"N/A",IF(Table1[[#This Row],[DUT Adj Read]]="N/A",IF(Table1[[#This Row],[Std Adj Read]]&lt;=Table1[[#This Row],[High Tol]],"Pass","Fail"),IF(Table1[[#This Row],[DUT Adj Read]]&lt;=Table1[[#This Row],[High Tol]],"Pass","Fail")))</f>
        <v>Fail</v>
      </c>
      <c r="AH13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2" s="1" t="b">
        <v>0</v>
      </c>
      <c r="AN1372" s="1" t="b">
        <v>0</v>
      </c>
      <c r="AO1372" s="1" t="b">
        <v>0</v>
      </c>
    </row>
    <row r="1373" spans="1:41" x14ac:dyDescent="0.25">
      <c r="A1373" s="10"/>
      <c r="B1373" s="10"/>
      <c r="C1373" s="10"/>
      <c r="D1373" s="10"/>
      <c r="E1373" s="10"/>
      <c r="F1373" s="10"/>
      <c r="G1373" s="10"/>
      <c r="H1373" s="10"/>
      <c r="I1373" s="1" t="str">
        <f t="shared" si="63"/>
        <v/>
      </c>
      <c r="J1373" s="1" t="s">
        <v>35</v>
      </c>
      <c r="K1373" s="1" t="str">
        <f t="shared" si="64"/>
        <v/>
      </c>
      <c r="L1373" s="1" t="str">
        <f t="shared" si="65"/>
        <v/>
      </c>
      <c r="M1373" s="1">
        <f>IF(OR(Table1[[#This Row],[Std Nom]]="",Table1[[#This Row],[Std Read]]=""),0,Table1[[#This Row],[Std Nom]]-Table1[[#This Row],[Std Read]])</f>
        <v>0</v>
      </c>
      <c r="N1373" s="1">
        <f>IF(Calculations!$F$5="ACCREDITED 17025 WITH UNCERTAINTIES",$N$10,0)</f>
        <v>0</v>
      </c>
      <c r="O1373" s="1" t="str">
        <f>IFERROR(Table1[[#This Row],[Std Nom]]-(_xlfn.XLOOKUP(Table1[[#This Row],[Manufacturer]]&amp;" "&amp;Table1[[#This Row],[Model]],Table13[MFR &amp; MDL],Table13[Tolerance % CW ],"")/100*Table1[[#This Row],[Std Nom]]),"")</f>
        <v/>
      </c>
      <c r="P1373" s="1" t="str">
        <f>IFERROR(Table1[[#This Row],[Std Nom]]+(_xlfn.XLOOKUP(Table1[[#This Row],[Manufacturer]]&amp;" "&amp;Table1[[#This Row],[Model]],Table13[MFR &amp; MDL],Table13[Tolerance % CW ],"")/100*Table1[[#This Row],[Std Nom]]),"")</f>
        <v/>
      </c>
      <c r="Q1373" s="1" t="e">
        <f>Table1[[#This Row],[High Tol]]-Table1[[#This Row],[Low Tol]]</f>
        <v>#VALUE!</v>
      </c>
      <c r="R1373" s="1">
        <f>2*Table1[[#This Row],[Std Error]]</f>
        <v>0</v>
      </c>
      <c r="S1373" s="1" t="str">
        <f>IF(Table1[[#This Row],[High Tol]]="","N/A",IFERROR(ABS(Table1[[#This Row],[Tol Span]]/Table1[[#This Row],[Error Span]]),"N/A"))</f>
        <v>N/A</v>
      </c>
      <c r="T1373" s="1" t="str">
        <f>IF(OR(Table1[[#This Row],[Low Tol]]="",Table1[[#This Row],[High Tol]]=""),"Needs Analysis",IF(Table1[[#This Row],[Ratio]]&gt;=4,"Not Significant",IF(Table1[[#This Row],[Ratio]]&gt;=2,"Semi-Significant","Significant")))</f>
        <v>Needs Analysis</v>
      </c>
      <c r="W1373" s="1">
        <f>IF(Table1[[#This Row],[Cal Type]]&lt;&gt;"ACCREDITED 17025 WITH UNCERTAINTIES",0,"")</f>
        <v>0</v>
      </c>
      <c r="X1373" s="1" t="str">
        <f>IF(Table1[[#This Row],[DUT Read]]="","N/A",Table1[[#This Row],[Std Error]]+Table1[[#This Row],[DUT Read]]+Table1[[#This Row],[DUT Ucty]])</f>
        <v>N/A</v>
      </c>
      <c r="Y1373" s="1" t="str">
        <f>IF(Table1[[#This Row],[Std Read]]="","N/A",Table1[[#This Row],[Std Read]]+Table1[[#This Row],[Std Ucty]])</f>
        <v>N/A</v>
      </c>
      <c r="Z13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3" s="1" t="str">
        <f>IF(Table1[[#This Row],[Spec Type]]="","N/A",Table1[[#This Row],[Spec Type]])</f>
        <v>±</v>
      </c>
      <c r="AC1373" s="1" t="str">
        <f>IF(Table1[[#This Row],[Spec Type2]]="N/A","N/A",IF(AND(Table1[[#This Row],[DUT Adj Read]]&gt;=Table1[[#This Row],[Low Tol]],Table1[[#This Row],[DUT Adj Read]]&lt;=Table1[[#This Row],[High Tol]]),"Pass","Fail"))</f>
        <v>Fail</v>
      </c>
      <c r="AD1373" s="1" t="str">
        <f>IF(AND(Table1[[#This Row],[Spec Type2]]="N/A",Table1[[#This Row],[DUT Adj Read]]="N/A",Table1[[#This Row],[Std Adj Read]]="N/A"),"N/A",IF(Table1[[#This Row],[DUT Adj Read]]="N/A",IF(Table1[[#This Row],[Std Adj Read]]&gt;Table1[[#This Row],[Low Tol]],"Pass","Fail"),IF(Table1[[#This Row],[DUT Adj Read]]&gt;Table1[[#This Row],[Low Tol]],"Pass","Fail")))</f>
        <v>Pass</v>
      </c>
      <c r="AE1373" s="1" t="str">
        <f>IF(AND(Table1[[#This Row],[Spec Type2]]="N/A",Table1[[#This Row],[DUT Adj Read]]="N/A",Table1[[#This Row],[Std Adj Read]]="N/A"),"N/A",IF(Table1[[#This Row],[DUT Adj Read]]="N/A",IF(Table1[[#This Row],[Std Adj Read]]&lt;Table1[[#This Row],[High Tol]],"Pass","Fail"),IF(Table1[[#This Row],[DUT Adj Read]]&lt;Table1[[#This Row],[High Tol]],"Pass","Fail")))</f>
        <v>Fail</v>
      </c>
      <c r="AF1373" s="1" t="str">
        <f>IF(AND(Table1[[#This Row],[Spec Type2]]="N/A",Table1[[#This Row],[DUT Adj Read]]="N/A",Table1[[#This Row],[Std Adj Read]]="N/A"),"N/A",IF(Table1[[#This Row],[DUT Adj Read]]="N/A",IF(Table1[[#This Row],[Std Adj Read]]&gt;=Table1[[#This Row],[Low Tol]],"Pass","Fail"),IF(Table1[[#This Row],[DUT Adj Read]]&gt;=Table1[[#This Row],[Low Tol]],"Pass","Fail")))</f>
        <v>Pass</v>
      </c>
      <c r="AG1373" s="1" t="str">
        <f>IF(AND(Table1[[#This Row],[Spec Type2]]="N/A",Table1[[#This Row],[DUT Adj Read]]="N/A",Table1[[#This Row],[Std Adj Read]]="N/A"),"N/A",IF(Table1[[#This Row],[DUT Adj Read]]="N/A",IF(Table1[[#This Row],[Std Adj Read]]&lt;=Table1[[#This Row],[High Tol]],"Pass","Fail"),IF(Table1[[#This Row],[DUT Adj Read]]&lt;=Table1[[#This Row],[High Tol]],"Pass","Fail")))</f>
        <v>Fail</v>
      </c>
      <c r="AH13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3" s="1" t="b">
        <v>0</v>
      </c>
      <c r="AN1373" s="1" t="b">
        <v>0</v>
      </c>
      <c r="AO1373" s="1" t="b">
        <v>0</v>
      </c>
    </row>
    <row r="1374" spans="1:41" x14ac:dyDescent="0.25">
      <c r="A1374" s="10"/>
      <c r="B1374" s="10"/>
      <c r="C1374" s="10"/>
      <c r="D1374" s="10"/>
      <c r="E1374" s="10"/>
      <c r="F1374" s="10"/>
      <c r="G1374" s="10"/>
      <c r="H1374" s="10"/>
      <c r="I1374" s="1" t="str">
        <f t="shared" si="63"/>
        <v/>
      </c>
      <c r="J1374" s="1" t="s">
        <v>35</v>
      </c>
      <c r="K1374" s="1" t="str">
        <f t="shared" si="64"/>
        <v/>
      </c>
      <c r="L1374" s="1" t="str">
        <f t="shared" si="65"/>
        <v/>
      </c>
      <c r="M1374" s="1">
        <f>IF(OR(Table1[[#This Row],[Std Nom]]="",Table1[[#This Row],[Std Read]]=""),0,Table1[[#This Row],[Std Nom]]-Table1[[#This Row],[Std Read]])</f>
        <v>0</v>
      </c>
      <c r="N1374" s="1">
        <f>IF(Calculations!$F$5="ACCREDITED 17025 WITH UNCERTAINTIES",$N$10,0)</f>
        <v>0</v>
      </c>
      <c r="O1374" s="1" t="str">
        <f>IFERROR(Table1[[#This Row],[Std Nom]]-(_xlfn.XLOOKUP(Table1[[#This Row],[Manufacturer]]&amp;" "&amp;Table1[[#This Row],[Model]],Table13[MFR &amp; MDL],Table13[Tolerance % CW ],"")/100*Table1[[#This Row],[Std Nom]]),"")</f>
        <v/>
      </c>
      <c r="P1374" s="1" t="str">
        <f>IFERROR(Table1[[#This Row],[Std Nom]]+(_xlfn.XLOOKUP(Table1[[#This Row],[Manufacturer]]&amp;" "&amp;Table1[[#This Row],[Model]],Table13[MFR &amp; MDL],Table13[Tolerance % CW ],"")/100*Table1[[#This Row],[Std Nom]]),"")</f>
        <v/>
      </c>
      <c r="Q1374" s="1" t="e">
        <f>Table1[[#This Row],[High Tol]]-Table1[[#This Row],[Low Tol]]</f>
        <v>#VALUE!</v>
      </c>
      <c r="R1374" s="1">
        <f>2*Table1[[#This Row],[Std Error]]</f>
        <v>0</v>
      </c>
      <c r="S1374" s="1" t="str">
        <f>IF(Table1[[#This Row],[High Tol]]="","N/A",IFERROR(ABS(Table1[[#This Row],[Tol Span]]/Table1[[#This Row],[Error Span]]),"N/A"))</f>
        <v>N/A</v>
      </c>
      <c r="T1374" s="1" t="str">
        <f>IF(OR(Table1[[#This Row],[Low Tol]]="",Table1[[#This Row],[High Tol]]=""),"Needs Analysis",IF(Table1[[#This Row],[Ratio]]&gt;=4,"Not Significant",IF(Table1[[#This Row],[Ratio]]&gt;=2,"Semi-Significant","Significant")))</f>
        <v>Needs Analysis</v>
      </c>
      <c r="W1374" s="1">
        <f>IF(Table1[[#This Row],[Cal Type]]&lt;&gt;"ACCREDITED 17025 WITH UNCERTAINTIES",0,"")</f>
        <v>0</v>
      </c>
      <c r="X1374" s="1" t="str">
        <f>IF(Table1[[#This Row],[DUT Read]]="","N/A",Table1[[#This Row],[Std Error]]+Table1[[#This Row],[DUT Read]]+Table1[[#This Row],[DUT Ucty]])</f>
        <v>N/A</v>
      </c>
      <c r="Y1374" s="1" t="str">
        <f>IF(Table1[[#This Row],[Std Read]]="","N/A",Table1[[#This Row],[Std Read]]+Table1[[#This Row],[Std Ucty]])</f>
        <v>N/A</v>
      </c>
      <c r="Z13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4" s="1" t="str">
        <f>IF(Table1[[#This Row],[Spec Type]]="","N/A",Table1[[#This Row],[Spec Type]])</f>
        <v>±</v>
      </c>
      <c r="AC1374" s="1" t="str">
        <f>IF(Table1[[#This Row],[Spec Type2]]="N/A","N/A",IF(AND(Table1[[#This Row],[DUT Adj Read]]&gt;=Table1[[#This Row],[Low Tol]],Table1[[#This Row],[DUT Adj Read]]&lt;=Table1[[#This Row],[High Tol]]),"Pass","Fail"))</f>
        <v>Fail</v>
      </c>
      <c r="AD1374" s="1" t="str">
        <f>IF(AND(Table1[[#This Row],[Spec Type2]]="N/A",Table1[[#This Row],[DUT Adj Read]]="N/A",Table1[[#This Row],[Std Adj Read]]="N/A"),"N/A",IF(Table1[[#This Row],[DUT Adj Read]]="N/A",IF(Table1[[#This Row],[Std Adj Read]]&gt;Table1[[#This Row],[Low Tol]],"Pass","Fail"),IF(Table1[[#This Row],[DUT Adj Read]]&gt;Table1[[#This Row],[Low Tol]],"Pass","Fail")))</f>
        <v>Pass</v>
      </c>
      <c r="AE1374" s="1" t="str">
        <f>IF(AND(Table1[[#This Row],[Spec Type2]]="N/A",Table1[[#This Row],[DUT Adj Read]]="N/A",Table1[[#This Row],[Std Adj Read]]="N/A"),"N/A",IF(Table1[[#This Row],[DUT Adj Read]]="N/A",IF(Table1[[#This Row],[Std Adj Read]]&lt;Table1[[#This Row],[High Tol]],"Pass","Fail"),IF(Table1[[#This Row],[DUT Adj Read]]&lt;Table1[[#This Row],[High Tol]],"Pass","Fail")))</f>
        <v>Fail</v>
      </c>
      <c r="AF1374" s="1" t="str">
        <f>IF(AND(Table1[[#This Row],[Spec Type2]]="N/A",Table1[[#This Row],[DUT Adj Read]]="N/A",Table1[[#This Row],[Std Adj Read]]="N/A"),"N/A",IF(Table1[[#This Row],[DUT Adj Read]]="N/A",IF(Table1[[#This Row],[Std Adj Read]]&gt;=Table1[[#This Row],[Low Tol]],"Pass","Fail"),IF(Table1[[#This Row],[DUT Adj Read]]&gt;=Table1[[#This Row],[Low Tol]],"Pass","Fail")))</f>
        <v>Pass</v>
      </c>
      <c r="AG1374" s="1" t="str">
        <f>IF(AND(Table1[[#This Row],[Spec Type2]]="N/A",Table1[[#This Row],[DUT Adj Read]]="N/A",Table1[[#This Row],[Std Adj Read]]="N/A"),"N/A",IF(Table1[[#This Row],[DUT Adj Read]]="N/A",IF(Table1[[#This Row],[Std Adj Read]]&lt;=Table1[[#This Row],[High Tol]],"Pass","Fail"),IF(Table1[[#This Row],[DUT Adj Read]]&lt;=Table1[[#This Row],[High Tol]],"Pass","Fail")))</f>
        <v>Fail</v>
      </c>
      <c r="AH13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4" s="1" t="b">
        <v>0</v>
      </c>
      <c r="AN1374" s="1" t="b">
        <v>0</v>
      </c>
      <c r="AO1374" s="1" t="b">
        <v>0</v>
      </c>
    </row>
    <row r="1375" spans="1:41" x14ac:dyDescent="0.25">
      <c r="A1375" s="10"/>
      <c r="B1375" s="10"/>
      <c r="C1375" s="10"/>
      <c r="D1375" s="10"/>
      <c r="E1375" s="10"/>
      <c r="F1375" s="10"/>
      <c r="G1375" s="10"/>
      <c r="H1375" s="10"/>
      <c r="I1375" s="1" t="str">
        <f t="shared" si="63"/>
        <v/>
      </c>
      <c r="J1375" s="1" t="s">
        <v>35</v>
      </c>
      <c r="K1375" s="1" t="str">
        <f t="shared" si="64"/>
        <v/>
      </c>
      <c r="L1375" s="1" t="str">
        <f t="shared" si="65"/>
        <v/>
      </c>
      <c r="M1375" s="1">
        <f>IF(OR(Table1[[#This Row],[Std Nom]]="",Table1[[#This Row],[Std Read]]=""),0,Table1[[#This Row],[Std Nom]]-Table1[[#This Row],[Std Read]])</f>
        <v>0</v>
      </c>
      <c r="N1375" s="1">
        <f>IF(Calculations!$F$5="ACCREDITED 17025 WITH UNCERTAINTIES",$N$10,0)</f>
        <v>0</v>
      </c>
      <c r="O1375" s="1" t="str">
        <f>IFERROR(Table1[[#This Row],[Std Nom]]-(_xlfn.XLOOKUP(Table1[[#This Row],[Manufacturer]]&amp;" "&amp;Table1[[#This Row],[Model]],Table13[MFR &amp; MDL],Table13[Tolerance % CW ],"")/100*Table1[[#This Row],[Std Nom]]),"")</f>
        <v/>
      </c>
      <c r="P1375" s="1" t="str">
        <f>IFERROR(Table1[[#This Row],[Std Nom]]+(_xlfn.XLOOKUP(Table1[[#This Row],[Manufacturer]]&amp;" "&amp;Table1[[#This Row],[Model]],Table13[MFR &amp; MDL],Table13[Tolerance % CW ],"")/100*Table1[[#This Row],[Std Nom]]),"")</f>
        <v/>
      </c>
      <c r="Q1375" s="1" t="e">
        <f>Table1[[#This Row],[High Tol]]-Table1[[#This Row],[Low Tol]]</f>
        <v>#VALUE!</v>
      </c>
      <c r="R1375" s="1">
        <f>2*Table1[[#This Row],[Std Error]]</f>
        <v>0</v>
      </c>
      <c r="S1375" s="1" t="str">
        <f>IF(Table1[[#This Row],[High Tol]]="","N/A",IFERROR(ABS(Table1[[#This Row],[Tol Span]]/Table1[[#This Row],[Error Span]]),"N/A"))</f>
        <v>N/A</v>
      </c>
      <c r="T1375" s="1" t="str">
        <f>IF(OR(Table1[[#This Row],[Low Tol]]="",Table1[[#This Row],[High Tol]]=""),"Needs Analysis",IF(Table1[[#This Row],[Ratio]]&gt;=4,"Not Significant",IF(Table1[[#This Row],[Ratio]]&gt;=2,"Semi-Significant","Significant")))</f>
        <v>Needs Analysis</v>
      </c>
      <c r="W1375" s="1">
        <f>IF(Table1[[#This Row],[Cal Type]]&lt;&gt;"ACCREDITED 17025 WITH UNCERTAINTIES",0,"")</f>
        <v>0</v>
      </c>
      <c r="X1375" s="1" t="str">
        <f>IF(Table1[[#This Row],[DUT Read]]="","N/A",Table1[[#This Row],[Std Error]]+Table1[[#This Row],[DUT Read]]+Table1[[#This Row],[DUT Ucty]])</f>
        <v>N/A</v>
      </c>
      <c r="Y1375" s="1" t="str">
        <f>IF(Table1[[#This Row],[Std Read]]="","N/A",Table1[[#This Row],[Std Read]]+Table1[[#This Row],[Std Ucty]])</f>
        <v>N/A</v>
      </c>
      <c r="Z13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5" s="1" t="str">
        <f>IF(Table1[[#This Row],[Spec Type]]="","N/A",Table1[[#This Row],[Spec Type]])</f>
        <v>±</v>
      </c>
      <c r="AC1375" s="1" t="str">
        <f>IF(Table1[[#This Row],[Spec Type2]]="N/A","N/A",IF(AND(Table1[[#This Row],[DUT Adj Read]]&gt;=Table1[[#This Row],[Low Tol]],Table1[[#This Row],[DUT Adj Read]]&lt;=Table1[[#This Row],[High Tol]]),"Pass","Fail"))</f>
        <v>Fail</v>
      </c>
      <c r="AD1375" s="1" t="str">
        <f>IF(AND(Table1[[#This Row],[Spec Type2]]="N/A",Table1[[#This Row],[DUT Adj Read]]="N/A",Table1[[#This Row],[Std Adj Read]]="N/A"),"N/A",IF(Table1[[#This Row],[DUT Adj Read]]="N/A",IF(Table1[[#This Row],[Std Adj Read]]&gt;Table1[[#This Row],[Low Tol]],"Pass","Fail"),IF(Table1[[#This Row],[DUT Adj Read]]&gt;Table1[[#This Row],[Low Tol]],"Pass","Fail")))</f>
        <v>Pass</v>
      </c>
      <c r="AE1375" s="1" t="str">
        <f>IF(AND(Table1[[#This Row],[Spec Type2]]="N/A",Table1[[#This Row],[DUT Adj Read]]="N/A",Table1[[#This Row],[Std Adj Read]]="N/A"),"N/A",IF(Table1[[#This Row],[DUT Adj Read]]="N/A",IF(Table1[[#This Row],[Std Adj Read]]&lt;Table1[[#This Row],[High Tol]],"Pass","Fail"),IF(Table1[[#This Row],[DUT Adj Read]]&lt;Table1[[#This Row],[High Tol]],"Pass","Fail")))</f>
        <v>Fail</v>
      </c>
      <c r="AF1375" s="1" t="str">
        <f>IF(AND(Table1[[#This Row],[Spec Type2]]="N/A",Table1[[#This Row],[DUT Adj Read]]="N/A",Table1[[#This Row],[Std Adj Read]]="N/A"),"N/A",IF(Table1[[#This Row],[DUT Adj Read]]="N/A",IF(Table1[[#This Row],[Std Adj Read]]&gt;=Table1[[#This Row],[Low Tol]],"Pass","Fail"),IF(Table1[[#This Row],[DUT Adj Read]]&gt;=Table1[[#This Row],[Low Tol]],"Pass","Fail")))</f>
        <v>Pass</v>
      </c>
      <c r="AG1375" s="1" t="str">
        <f>IF(AND(Table1[[#This Row],[Spec Type2]]="N/A",Table1[[#This Row],[DUT Adj Read]]="N/A",Table1[[#This Row],[Std Adj Read]]="N/A"),"N/A",IF(Table1[[#This Row],[DUT Adj Read]]="N/A",IF(Table1[[#This Row],[Std Adj Read]]&lt;=Table1[[#This Row],[High Tol]],"Pass","Fail"),IF(Table1[[#This Row],[DUT Adj Read]]&lt;=Table1[[#This Row],[High Tol]],"Pass","Fail")))</f>
        <v>Fail</v>
      </c>
      <c r="AH13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5" s="1" t="b">
        <v>0</v>
      </c>
      <c r="AN1375" s="1" t="b">
        <v>0</v>
      </c>
      <c r="AO1375" s="1" t="b">
        <v>0</v>
      </c>
    </row>
    <row r="1376" spans="1:41" x14ac:dyDescent="0.25">
      <c r="A1376" s="10"/>
      <c r="B1376" s="10"/>
      <c r="C1376" s="10"/>
      <c r="D1376" s="10"/>
      <c r="E1376" s="10"/>
      <c r="F1376" s="10"/>
      <c r="G1376" s="10"/>
      <c r="H1376" s="10"/>
      <c r="I1376" s="1" t="str">
        <f t="shared" si="63"/>
        <v/>
      </c>
      <c r="J1376" s="1" t="s">
        <v>35</v>
      </c>
      <c r="K1376" s="1" t="str">
        <f t="shared" si="64"/>
        <v/>
      </c>
      <c r="L1376" s="1" t="str">
        <f t="shared" si="65"/>
        <v/>
      </c>
      <c r="M1376" s="1">
        <f>IF(OR(Table1[[#This Row],[Std Nom]]="",Table1[[#This Row],[Std Read]]=""),0,Table1[[#This Row],[Std Nom]]-Table1[[#This Row],[Std Read]])</f>
        <v>0</v>
      </c>
      <c r="N1376" s="1">
        <f>IF(Calculations!$F$5="ACCREDITED 17025 WITH UNCERTAINTIES",$N$10,0)</f>
        <v>0</v>
      </c>
      <c r="O1376" s="1" t="str">
        <f>IFERROR(Table1[[#This Row],[Std Nom]]-(_xlfn.XLOOKUP(Table1[[#This Row],[Manufacturer]]&amp;" "&amp;Table1[[#This Row],[Model]],Table13[MFR &amp; MDL],Table13[Tolerance % CW ],"")/100*Table1[[#This Row],[Std Nom]]),"")</f>
        <v/>
      </c>
      <c r="P1376" s="1" t="str">
        <f>IFERROR(Table1[[#This Row],[Std Nom]]+(_xlfn.XLOOKUP(Table1[[#This Row],[Manufacturer]]&amp;" "&amp;Table1[[#This Row],[Model]],Table13[MFR &amp; MDL],Table13[Tolerance % CW ],"")/100*Table1[[#This Row],[Std Nom]]),"")</f>
        <v/>
      </c>
      <c r="Q1376" s="1" t="e">
        <f>Table1[[#This Row],[High Tol]]-Table1[[#This Row],[Low Tol]]</f>
        <v>#VALUE!</v>
      </c>
      <c r="R1376" s="1">
        <f>2*Table1[[#This Row],[Std Error]]</f>
        <v>0</v>
      </c>
      <c r="S1376" s="1" t="str">
        <f>IF(Table1[[#This Row],[High Tol]]="","N/A",IFERROR(ABS(Table1[[#This Row],[Tol Span]]/Table1[[#This Row],[Error Span]]),"N/A"))</f>
        <v>N/A</v>
      </c>
      <c r="T1376" s="1" t="str">
        <f>IF(OR(Table1[[#This Row],[Low Tol]]="",Table1[[#This Row],[High Tol]]=""),"Needs Analysis",IF(Table1[[#This Row],[Ratio]]&gt;=4,"Not Significant",IF(Table1[[#This Row],[Ratio]]&gt;=2,"Semi-Significant","Significant")))</f>
        <v>Needs Analysis</v>
      </c>
      <c r="W1376" s="1">
        <f>IF(Table1[[#This Row],[Cal Type]]&lt;&gt;"ACCREDITED 17025 WITH UNCERTAINTIES",0,"")</f>
        <v>0</v>
      </c>
      <c r="X1376" s="1" t="str">
        <f>IF(Table1[[#This Row],[DUT Read]]="","N/A",Table1[[#This Row],[Std Error]]+Table1[[#This Row],[DUT Read]]+Table1[[#This Row],[DUT Ucty]])</f>
        <v>N/A</v>
      </c>
      <c r="Y1376" s="1" t="str">
        <f>IF(Table1[[#This Row],[Std Read]]="","N/A",Table1[[#This Row],[Std Read]]+Table1[[#This Row],[Std Ucty]])</f>
        <v>N/A</v>
      </c>
      <c r="Z13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6" s="1" t="str">
        <f>IF(Table1[[#This Row],[Spec Type]]="","N/A",Table1[[#This Row],[Spec Type]])</f>
        <v>±</v>
      </c>
      <c r="AC1376" s="1" t="str">
        <f>IF(Table1[[#This Row],[Spec Type2]]="N/A","N/A",IF(AND(Table1[[#This Row],[DUT Adj Read]]&gt;=Table1[[#This Row],[Low Tol]],Table1[[#This Row],[DUT Adj Read]]&lt;=Table1[[#This Row],[High Tol]]),"Pass","Fail"))</f>
        <v>Fail</v>
      </c>
      <c r="AD1376" s="1" t="str">
        <f>IF(AND(Table1[[#This Row],[Spec Type2]]="N/A",Table1[[#This Row],[DUT Adj Read]]="N/A",Table1[[#This Row],[Std Adj Read]]="N/A"),"N/A",IF(Table1[[#This Row],[DUT Adj Read]]="N/A",IF(Table1[[#This Row],[Std Adj Read]]&gt;Table1[[#This Row],[Low Tol]],"Pass","Fail"),IF(Table1[[#This Row],[DUT Adj Read]]&gt;Table1[[#This Row],[Low Tol]],"Pass","Fail")))</f>
        <v>Pass</v>
      </c>
      <c r="AE1376" s="1" t="str">
        <f>IF(AND(Table1[[#This Row],[Spec Type2]]="N/A",Table1[[#This Row],[DUT Adj Read]]="N/A",Table1[[#This Row],[Std Adj Read]]="N/A"),"N/A",IF(Table1[[#This Row],[DUT Adj Read]]="N/A",IF(Table1[[#This Row],[Std Adj Read]]&lt;Table1[[#This Row],[High Tol]],"Pass","Fail"),IF(Table1[[#This Row],[DUT Adj Read]]&lt;Table1[[#This Row],[High Tol]],"Pass","Fail")))</f>
        <v>Fail</v>
      </c>
      <c r="AF1376" s="1" t="str">
        <f>IF(AND(Table1[[#This Row],[Spec Type2]]="N/A",Table1[[#This Row],[DUT Adj Read]]="N/A",Table1[[#This Row],[Std Adj Read]]="N/A"),"N/A",IF(Table1[[#This Row],[DUT Adj Read]]="N/A",IF(Table1[[#This Row],[Std Adj Read]]&gt;=Table1[[#This Row],[Low Tol]],"Pass","Fail"),IF(Table1[[#This Row],[DUT Adj Read]]&gt;=Table1[[#This Row],[Low Tol]],"Pass","Fail")))</f>
        <v>Pass</v>
      </c>
      <c r="AG1376" s="1" t="str">
        <f>IF(AND(Table1[[#This Row],[Spec Type2]]="N/A",Table1[[#This Row],[DUT Adj Read]]="N/A",Table1[[#This Row],[Std Adj Read]]="N/A"),"N/A",IF(Table1[[#This Row],[DUT Adj Read]]="N/A",IF(Table1[[#This Row],[Std Adj Read]]&lt;=Table1[[#This Row],[High Tol]],"Pass","Fail"),IF(Table1[[#This Row],[DUT Adj Read]]&lt;=Table1[[#This Row],[High Tol]],"Pass","Fail")))</f>
        <v>Fail</v>
      </c>
      <c r="AH13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6" s="1" t="b">
        <v>0</v>
      </c>
      <c r="AN1376" s="1" t="b">
        <v>0</v>
      </c>
      <c r="AO1376" s="1" t="b">
        <v>0</v>
      </c>
    </row>
    <row r="1377" spans="1:41" x14ac:dyDescent="0.25">
      <c r="A1377" s="10"/>
      <c r="B1377" s="10"/>
      <c r="C1377" s="10"/>
      <c r="D1377" s="10"/>
      <c r="E1377" s="10"/>
      <c r="F1377" s="10"/>
      <c r="G1377" s="10"/>
      <c r="H1377" s="10"/>
      <c r="I1377" s="1" t="str">
        <f t="shared" si="63"/>
        <v/>
      </c>
      <c r="J1377" s="1" t="s">
        <v>35</v>
      </c>
      <c r="K1377" s="1" t="str">
        <f t="shared" si="64"/>
        <v/>
      </c>
      <c r="L1377" s="1" t="str">
        <f t="shared" si="65"/>
        <v/>
      </c>
      <c r="M1377" s="1">
        <f>IF(OR(Table1[[#This Row],[Std Nom]]="",Table1[[#This Row],[Std Read]]=""),0,Table1[[#This Row],[Std Nom]]-Table1[[#This Row],[Std Read]])</f>
        <v>0</v>
      </c>
      <c r="N1377" s="1">
        <f>IF(Calculations!$F$5="ACCREDITED 17025 WITH UNCERTAINTIES",$N$10,0)</f>
        <v>0</v>
      </c>
      <c r="O1377" s="1" t="str">
        <f>IFERROR(Table1[[#This Row],[Std Nom]]-(_xlfn.XLOOKUP(Table1[[#This Row],[Manufacturer]]&amp;" "&amp;Table1[[#This Row],[Model]],Table13[MFR &amp; MDL],Table13[Tolerance % CW ],"")/100*Table1[[#This Row],[Std Nom]]),"")</f>
        <v/>
      </c>
      <c r="P1377" s="1" t="str">
        <f>IFERROR(Table1[[#This Row],[Std Nom]]+(_xlfn.XLOOKUP(Table1[[#This Row],[Manufacturer]]&amp;" "&amp;Table1[[#This Row],[Model]],Table13[MFR &amp; MDL],Table13[Tolerance % CW ],"")/100*Table1[[#This Row],[Std Nom]]),"")</f>
        <v/>
      </c>
      <c r="Q1377" s="1" t="e">
        <f>Table1[[#This Row],[High Tol]]-Table1[[#This Row],[Low Tol]]</f>
        <v>#VALUE!</v>
      </c>
      <c r="R1377" s="1">
        <f>2*Table1[[#This Row],[Std Error]]</f>
        <v>0</v>
      </c>
      <c r="S1377" s="1" t="str">
        <f>IF(Table1[[#This Row],[High Tol]]="","N/A",IFERROR(ABS(Table1[[#This Row],[Tol Span]]/Table1[[#This Row],[Error Span]]),"N/A"))</f>
        <v>N/A</v>
      </c>
      <c r="T1377" s="1" t="str">
        <f>IF(OR(Table1[[#This Row],[Low Tol]]="",Table1[[#This Row],[High Tol]]=""),"Needs Analysis",IF(Table1[[#This Row],[Ratio]]&gt;=4,"Not Significant",IF(Table1[[#This Row],[Ratio]]&gt;=2,"Semi-Significant","Significant")))</f>
        <v>Needs Analysis</v>
      </c>
      <c r="W1377" s="1">
        <f>IF(Table1[[#This Row],[Cal Type]]&lt;&gt;"ACCREDITED 17025 WITH UNCERTAINTIES",0,"")</f>
        <v>0</v>
      </c>
      <c r="X1377" s="1" t="str">
        <f>IF(Table1[[#This Row],[DUT Read]]="","N/A",Table1[[#This Row],[Std Error]]+Table1[[#This Row],[DUT Read]]+Table1[[#This Row],[DUT Ucty]])</f>
        <v>N/A</v>
      </c>
      <c r="Y1377" s="1" t="str">
        <f>IF(Table1[[#This Row],[Std Read]]="","N/A",Table1[[#This Row],[Std Read]]+Table1[[#This Row],[Std Ucty]])</f>
        <v>N/A</v>
      </c>
      <c r="Z13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7" s="1" t="str">
        <f>IF(Table1[[#This Row],[Spec Type]]="","N/A",Table1[[#This Row],[Spec Type]])</f>
        <v>±</v>
      </c>
      <c r="AC1377" s="1" t="str">
        <f>IF(Table1[[#This Row],[Spec Type2]]="N/A","N/A",IF(AND(Table1[[#This Row],[DUT Adj Read]]&gt;=Table1[[#This Row],[Low Tol]],Table1[[#This Row],[DUT Adj Read]]&lt;=Table1[[#This Row],[High Tol]]),"Pass","Fail"))</f>
        <v>Fail</v>
      </c>
      <c r="AD1377" s="1" t="str">
        <f>IF(AND(Table1[[#This Row],[Spec Type2]]="N/A",Table1[[#This Row],[DUT Adj Read]]="N/A",Table1[[#This Row],[Std Adj Read]]="N/A"),"N/A",IF(Table1[[#This Row],[DUT Adj Read]]="N/A",IF(Table1[[#This Row],[Std Adj Read]]&gt;Table1[[#This Row],[Low Tol]],"Pass","Fail"),IF(Table1[[#This Row],[DUT Adj Read]]&gt;Table1[[#This Row],[Low Tol]],"Pass","Fail")))</f>
        <v>Pass</v>
      </c>
      <c r="AE1377" s="1" t="str">
        <f>IF(AND(Table1[[#This Row],[Spec Type2]]="N/A",Table1[[#This Row],[DUT Adj Read]]="N/A",Table1[[#This Row],[Std Adj Read]]="N/A"),"N/A",IF(Table1[[#This Row],[DUT Adj Read]]="N/A",IF(Table1[[#This Row],[Std Adj Read]]&lt;Table1[[#This Row],[High Tol]],"Pass","Fail"),IF(Table1[[#This Row],[DUT Adj Read]]&lt;Table1[[#This Row],[High Tol]],"Pass","Fail")))</f>
        <v>Fail</v>
      </c>
      <c r="AF1377" s="1" t="str">
        <f>IF(AND(Table1[[#This Row],[Spec Type2]]="N/A",Table1[[#This Row],[DUT Adj Read]]="N/A",Table1[[#This Row],[Std Adj Read]]="N/A"),"N/A",IF(Table1[[#This Row],[DUT Adj Read]]="N/A",IF(Table1[[#This Row],[Std Adj Read]]&gt;=Table1[[#This Row],[Low Tol]],"Pass","Fail"),IF(Table1[[#This Row],[DUT Adj Read]]&gt;=Table1[[#This Row],[Low Tol]],"Pass","Fail")))</f>
        <v>Pass</v>
      </c>
      <c r="AG1377" s="1" t="str">
        <f>IF(AND(Table1[[#This Row],[Spec Type2]]="N/A",Table1[[#This Row],[DUT Adj Read]]="N/A",Table1[[#This Row],[Std Adj Read]]="N/A"),"N/A",IF(Table1[[#This Row],[DUT Adj Read]]="N/A",IF(Table1[[#This Row],[Std Adj Read]]&lt;=Table1[[#This Row],[High Tol]],"Pass","Fail"),IF(Table1[[#This Row],[DUT Adj Read]]&lt;=Table1[[#This Row],[High Tol]],"Pass","Fail")))</f>
        <v>Fail</v>
      </c>
      <c r="AH13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7" s="1" t="b">
        <v>0</v>
      </c>
      <c r="AN1377" s="1" t="b">
        <v>0</v>
      </c>
      <c r="AO1377" s="1" t="b">
        <v>0</v>
      </c>
    </row>
    <row r="1378" spans="1:41" x14ac:dyDescent="0.25">
      <c r="A1378" s="10"/>
      <c r="B1378" s="10"/>
      <c r="C1378" s="10"/>
      <c r="D1378" s="10"/>
      <c r="E1378" s="10"/>
      <c r="F1378" s="10"/>
      <c r="G1378" s="10"/>
      <c r="H1378" s="10"/>
      <c r="I1378" s="1" t="str">
        <f t="shared" si="63"/>
        <v/>
      </c>
      <c r="J1378" s="1" t="s">
        <v>35</v>
      </c>
      <c r="K1378" s="1" t="str">
        <f t="shared" si="64"/>
        <v/>
      </c>
      <c r="L1378" s="1" t="str">
        <f t="shared" si="65"/>
        <v/>
      </c>
      <c r="M1378" s="1">
        <f>IF(OR(Table1[[#This Row],[Std Nom]]="",Table1[[#This Row],[Std Read]]=""),0,Table1[[#This Row],[Std Nom]]-Table1[[#This Row],[Std Read]])</f>
        <v>0</v>
      </c>
      <c r="N1378" s="1">
        <f>IF(Calculations!$F$5="ACCREDITED 17025 WITH UNCERTAINTIES",$N$10,0)</f>
        <v>0</v>
      </c>
      <c r="O1378" s="1" t="str">
        <f>IFERROR(Table1[[#This Row],[Std Nom]]-(_xlfn.XLOOKUP(Table1[[#This Row],[Manufacturer]]&amp;" "&amp;Table1[[#This Row],[Model]],Table13[MFR &amp; MDL],Table13[Tolerance % CW ],"")/100*Table1[[#This Row],[Std Nom]]),"")</f>
        <v/>
      </c>
      <c r="P1378" s="1" t="str">
        <f>IFERROR(Table1[[#This Row],[Std Nom]]+(_xlfn.XLOOKUP(Table1[[#This Row],[Manufacturer]]&amp;" "&amp;Table1[[#This Row],[Model]],Table13[MFR &amp; MDL],Table13[Tolerance % CW ],"")/100*Table1[[#This Row],[Std Nom]]),"")</f>
        <v/>
      </c>
      <c r="Q1378" s="1" t="e">
        <f>Table1[[#This Row],[High Tol]]-Table1[[#This Row],[Low Tol]]</f>
        <v>#VALUE!</v>
      </c>
      <c r="R1378" s="1">
        <f>2*Table1[[#This Row],[Std Error]]</f>
        <v>0</v>
      </c>
      <c r="S1378" s="1" t="str">
        <f>IF(Table1[[#This Row],[High Tol]]="","N/A",IFERROR(ABS(Table1[[#This Row],[Tol Span]]/Table1[[#This Row],[Error Span]]),"N/A"))</f>
        <v>N/A</v>
      </c>
      <c r="T1378" s="1" t="str">
        <f>IF(OR(Table1[[#This Row],[Low Tol]]="",Table1[[#This Row],[High Tol]]=""),"Needs Analysis",IF(Table1[[#This Row],[Ratio]]&gt;=4,"Not Significant",IF(Table1[[#This Row],[Ratio]]&gt;=2,"Semi-Significant","Significant")))</f>
        <v>Needs Analysis</v>
      </c>
      <c r="W1378" s="1">
        <f>IF(Table1[[#This Row],[Cal Type]]&lt;&gt;"ACCREDITED 17025 WITH UNCERTAINTIES",0,"")</f>
        <v>0</v>
      </c>
      <c r="X1378" s="1" t="str">
        <f>IF(Table1[[#This Row],[DUT Read]]="","N/A",Table1[[#This Row],[Std Error]]+Table1[[#This Row],[DUT Read]]+Table1[[#This Row],[DUT Ucty]])</f>
        <v>N/A</v>
      </c>
      <c r="Y1378" s="1" t="str">
        <f>IF(Table1[[#This Row],[Std Read]]="","N/A",Table1[[#This Row],[Std Read]]+Table1[[#This Row],[Std Ucty]])</f>
        <v>N/A</v>
      </c>
      <c r="Z13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8" s="1" t="str">
        <f>IF(Table1[[#This Row],[Spec Type]]="","N/A",Table1[[#This Row],[Spec Type]])</f>
        <v>±</v>
      </c>
      <c r="AC1378" s="1" t="str">
        <f>IF(Table1[[#This Row],[Spec Type2]]="N/A","N/A",IF(AND(Table1[[#This Row],[DUT Adj Read]]&gt;=Table1[[#This Row],[Low Tol]],Table1[[#This Row],[DUT Adj Read]]&lt;=Table1[[#This Row],[High Tol]]),"Pass","Fail"))</f>
        <v>Fail</v>
      </c>
      <c r="AD1378" s="1" t="str">
        <f>IF(AND(Table1[[#This Row],[Spec Type2]]="N/A",Table1[[#This Row],[DUT Adj Read]]="N/A",Table1[[#This Row],[Std Adj Read]]="N/A"),"N/A",IF(Table1[[#This Row],[DUT Adj Read]]="N/A",IF(Table1[[#This Row],[Std Adj Read]]&gt;Table1[[#This Row],[Low Tol]],"Pass","Fail"),IF(Table1[[#This Row],[DUT Adj Read]]&gt;Table1[[#This Row],[Low Tol]],"Pass","Fail")))</f>
        <v>Pass</v>
      </c>
      <c r="AE1378" s="1" t="str">
        <f>IF(AND(Table1[[#This Row],[Spec Type2]]="N/A",Table1[[#This Row],[DUT Adj Read]]="N/A",Table1[[#This Row],[Std Adj Read]]="N/A"),"N/A",IF(Table1[[#This Row],[DUT Adj Read]]="N/A",IF(Table1[[#This Row],[Std Adj Read]]&lt;Table1[[#This Row],[High Tol]],"Pass","Fail"),IF(Table1[[#This Row],[DUT Adj Read]]&lt;Table1[[#This Row],[High Tol]],"Pass","Fail")))</f>
        <v>Fail</v>
      </c>
      <c r="AF1378" s="1" t="str">
        <f>IF(AND(Table1[[#This Row],[Spec Type2]]="N/A",Table1[[#This Row],[DUT Adj Read]]="N/A",Table1[[#This Row],[Std Adj Read]]="N/A"),"N/A",IF(Table1[[#This Row],[DUT Adj Read]]="N/A",IF(Table1[[#This Row],[Std Adj Read]]&gt;=Table1[[#This Row],[Low Tol]],"Pass","Fail"),IF(Table1[[#This Row],[DUT Adj Read]]&gt;=Table1[[#This Row],[Low Tol]],"Pass","Fail")))</f>
        <v>Pass</v>
      </c>
      <c r="AG1378" s="1" t="str">
        <f>IF(AND(Table1[[#This Row],[Spec Type2]]="N/A",Table1[[#This Row],[DUT Adj Read]]="N/A",Table1[[#This Row],[Std Adj Read]]="N/A"),"N/A",IF(Table1[[#This Row],[DUT Adj Read]]="N/A",IF(Table1[[#This Row],[Std Adj Read]]&lt;=Table1[[#This Row],[High Tol]],"Pass","Fail"),IF(Table1[[#This Row],[DUT Adj Read]]&lt;=Table1[[#This Row],[High Tol]],"Pass","Fail")))</f>
        <v>Fail</v>
      </c>
      <c r="AH13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8" s="1" t="b">
        <v>0</v>
      </c>
      <c r="AN1378" s="1" t="b">
        <v>0</v>
      </c>
      <c r="AO1378" s="1" t="b">
        <v>0</v>
      </c>
    </row>
    <row r="1379" spans="1:41" x14ac:dyDescent="0.25">
      <c r="A1379" s="10"/>
      <c r="B1379" s="10"/>
      <c r="C1379" s="10"/>
      <c r="D1379" s="10"/>
      <c r="E1379" s="10"/>
      <c r="F1379" s="10"/>
      <c r="G1379" s="10"/>
      <c r="H1379" s="10"/>
      <c r="I1379" s="1" t="str">
        <f t="shared" si="63"/>
        <v/>
      </c>
      <c r="J1379" s="1" t="s">
        <v>35</v>
      </c>
      <c r="K1379" s="1" t="str">
        <f t="shared" si="64"/>
        <v/>
      </c>
      <c r="L1379" s="1" t="str">
        <f t="shared" si="65"/>
        <v/>
      </c>
      <c r="M1379" s="1">
        <f>IF(OR(Table1[[#This Row],[Std Nom]]="",Table1[[#This Row],[Std Read]]=""),0,Table1[[#This Row],[Std Nom]]-Table1[[#This Row],[Std Read]])</f>
        <v>0</v>
      </c>
      <c r="N1379" s="1">
        <f>IF(Calculations!$F$5="ACCREDITED 17025 WITH UNCERTAINTIES",$N$10,0)</f>
        <v>0</v>
      </c>
      <c r="O1379" s="1" t="str">
        <f>IFERROR(Table1[[#This Row],[Std Nom]]-(_xlfn.XLOOKUP(Table1[[#This Row],[Manufacturer]]&amp;" "&amp;Table1[[#This Row],[Model]],Table13[MFR &amp; MDL],Table13[Tolerance % CW ],"")/100*Table1[[#This Row],[Std Nom]]),"")</f>
        <v/>
      </c>
      <c r="P1379" s="1" t="str">
        <f>IFERROR(Table1[[#This Row],[Std Nom]]+(_xlfn.XLOOKUP(Table1[[#This Row],[Manufacturer]]&amp;" "&amp;Table1[[#This Row],[Model]],Table13[MFR &amp; MDL],Table13[Tolerance % CW ],"")/100*Table1[[#This Row],[Std Nom]]),"")</f>
        <v/>
      </c>
      <c r="Q1379" s="1" t="e">
        <f>Table1[[#This Row],[High Tol]]-Table1[[#This Row],[Low Tol]]</f>
        <v>#VALUE!</v>
      </c>
      <c r="R1379" s="1">
        <f>2*Table1[[#This Row],[Std Error]]</f>
        <v>0</v>
      </c>
      <c r="S1379" s="1" t="str">
        <f>IF(Table1[[#This Row],[High Tol]]="","N/A",IFERROR(ABS(Table1[[#This Row],[Tol Span]]/Table1[[#This Row],[Error Span]]),"N/A"))</f>
        <v>N/A</v>
      </c>
      <c r="T1379" s="1" t="str">
        <f>IF(OR(Table1[[#This Row],[Low Tol]]="",Table1[[#This Row],[High Tol]]=""),"Needs Analysis",IF(Table1[[#This Row],[Ratio]]&gt;=4,"Not Significant",IF(Table1[[#This Row],[Ratio]]&gt;=2,"Semi-Significant","Significant")))</f>
        <v>Needs Analysis</v>
      </c>
      <c r="W1379" s="1">
        <f>IF(Table1[[#This Row],[Cal Type]]&lt;&gt;"ACCREDITED 17025 WITH UNCERTAINTIES",0,"")</f>
        <v>0</v>
      </c>
      <c r="X1379" s="1" t="str">
        <f>IF(Table1[[#This Row],[DUT Read]]="","N/A",Table1[[#This Row],[Std Error]]+Table1[[#This Row],[DUT Read]]+Table1[[#This Row],[DUT Ucty]])</f>
        <v>N/A</v>
      </c>
      <c r="Y1379" s="1" t="str">
        <f>IF(Table1[[#This Row],[Std Read]]="","N/A",Table1[[#This Row],[Std Read]]+Table1[[#This Row],[Std Ucty]])</f>
        <v>N/A</v>
      </c>
      <c r="Z13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9" s="1" t="str">
        <f>IF(Table1[[#This Row],[Spec Type]]="","N/A",Table1[[#This Row],[Spec Type]])</f>
        <v>±</v>
      </c>
      <c r="AC1379" s="1" t="str">
        <f>IF(Table1[[#This Row],[Spec Type2]]="N/A","N/A",IF(AND(Table1[[#This Row],[DUT Adj Read]]&gt;=Table1[[#This Row],[Low Tol]],Table1[[#This Row],[DUT Adj Read]]&lt;=Table1[[#This Row],[High Tol]]),"Pass","Fail"))</f>
        <v>Fail</v>
      </c>
      <c r="AD1379" s="1" t="str">
        <f>IF(AND(Table1[[#This Row],[Spec Type2]]="N/A",Table1[[#This Row],[DUT Adj Read]]="N/A",Table1[[#This Row],[Std Adj Read]]="N/A"),"N/A",IF(Table1[[#This Row],[DUT Adj Read]]="N/A",IF(Table1[[#This Row],[Std Adj Read]]&gt;Table1[[#This Row],[Low Tol]],"Pass","Fail"),IF(Table1[[#This Row],[DUT Adj Read]]&gt;Table1[[#This Row],[Low Tol]],"Pass","Fail")))</f>
        <v>Pass</v>
      </c>
      <c r="AE1379" s="1" t="str">
        <f>IF(AND(Table1[[#This Row],[Spec Type2]]="N/A",Table1[[#This Row],[DUT Adj Read]]="N/A",Table1[[#This Row],[Std Adj Read]]="N/A"),"N/A",IF(Table1[[#This Row],[DUT Adj Read]]="N/A",IF(Table1[[#This Row],[Std Adj Read]]&lt;Table1[[#This Row],[High Tol]],"Pass","Fail"),IF(Table1[[#This Row],[DUT Adj Read]]&lt;Table1[[#This Row],[High Tol]],"Pass","Fail")))</f>
        <v>Fail</v>
      </c>
      <c r="AF1379" s="1" t="str">
        <f>IF(AND(Table1[[#This Row],[Spec Type2]]="N/A",Table1[[#This Row],[DUT Adj Read]]="N/A",Table1[[#This Row],[Std Adj Read]]="N/A"),"N/A",IF(Table1[[#This Row],[DUT Adj Read]]="N/A",IF(Table1[[#This Row],[Std Adj Read]]&gt;=Table1[[#This Row],[Low Tol]],"Pass","Fail"),IF(Table1[[#This Row],[DUT Adj Read]]&gt;=Table1[[#This Row],[Low Tol]],"Pass","Fail")))</f>
        <v>Pass</v>
      </c>
      <c r="AG1379" s="1" t="str">
        <f>IF(AND(Table1[[#This Row],[Spec Type2]]="N/A",Table1[[#This Row],[DUT Adj Read]]="N/A",Table1[[#This Row],[Std Adj Read]]="N/A"),"N/A",IF(Table1[[#This Row],[DUT Adj Read]]="N/A",IF(Table1[[#This Row],[Std Adj Read]]&lt;=Table1[[#This Row],[High Tol]],"Pass","Fail"),IF(Table1[[#This Row],[DUT Adj Read]]&lt;=Table1[[#This Row],[High Tol]],"Pass","Fail")))</f>
        <v>Fail</v>
      </c>
      <c r="AH13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9" s="1" t="b">
        <v>0</v>
      </c>
      <c r="AN1379" s="1" t="b">
        <v>0</v>
      </c>
      <c r="AO1379" s="1" t="b">
        <v>0</v>
      </c>
    </row>
    <row r="1380" spans="1:41" x14ac:dyDescent="0.25">
      <c r="A1380" s="10"/>
      <c r="B1380" s="10"/>
      <c r="C1380" s="10"/>
      <c r="D1380" s="10"/>
      <c r="E1380" s="10"/>
      <c r="F1380" s="10"/>
      <c r="G1380" s="10"/>
      <c r="H1380" s="10"/>
      <c r="I1380" s="1" t="str">
        <f t="shared" si="63"/>
        <v/>
      </c>
      <c r="J1380" s="1" t="s">
        <v>35</v>
      </c>
      <c r="K1380" s="1" t="str">
        <f t="shared" si="64"/>
        <v/>
      </c>
      <c r="L1380" s="1" t="str">
        <f t="shared" si="65"/>
        <v/>
      </c>
      <c r="M1380" s="1">
        <f>IF(OR(Table1[[#This Row],[Std Nom]]="",Table1[[#This Row],[Std Read]]=""),0,Table1[[#This Row],[Std Nom]]-Table1[[#This Row],[Std Read]])</f>
        <v>0</v>
      </c>
      <c r="N1380" s="1">
        <f>IF(Calculations!$F$5="ACCREDITED 17025 WITH UNCERTAINTIES",$N$10,0)</f>
        <v>0</v>
      </c>
      <c r="O1380" s="1" t="str">
        <f>IFERROR(Table1[[#This Row],[Std Nom]]-(_xlfn.XLOOKUP(Table1[[#This Row],[Manufacturer]]&amp;" "&amp;Table1[[#This Row],[Model]],Table13[MFR &amp; MDL],Table13[Tolerance % CW ],"")/100*Table1[[#This Row],[Std Nom]]),"")</f>
        <v/>
      </c>
      <c r="P1380" s="1" t="str">
        <f>IFERROR(Table1[[#This Row],[Std Nom]]+(_xlfn.XLOOKUP(Table1[[#This Row],[Manufacturer]]&amp;" "&amp;Table1[[#This Row],[Model]],Table13[MFR &amp; MDL],Table13[Tolerance % CW ],"")/100*Table1[[#This Row],[Std Nom]]),"")</f>
        <v/>
      </c>
      <c r="Q1380" s="1" t="e">
        <f>Table1[[#This Row],[High Tol]]-Table1[[#This Row],[Low Tol]]</f>
        <v>#VALUE!</v>
      </c>
      <c r="R1380" s="1">
        <f>2*Table1[[#This Row],[Std Error]]</f>
        <v>0</v>
      </c>
      <c r="S1380" s="1" t="str">
        <f>IF(Table1[[#This Row],[High Tol]]="","N/A",IFERROR(ABS(Table1[[#This Row],[Tol Span]]/Table1[[#This Row],[Error Span]]),"N/A"))</f>
        <v>N/A</v>
      </c>
      <c r="T1380" s="1" t="str">
        <f>IF(OR(Table1[[#This Row],[Low Tol]]="",Table1[[#This Row],[High Tol]]=""),"Needs Analysis",IF(Table1[[#This Row],[Ratio]]&gt;=4,"Not Significant",IF(Table1[[#This Row],[Ratio]]&gt;=2,"Semi-Significant","Significant")))</f>
        <v>Needs Analysis</v>
      </c>
      <c r="W1380" s="1">
        <f>IF(Table1[[#This Row],[Cal Type]]&lt;&gt;"ACCREDITED 17025 WITH UNCERTAINTIES",0,"")</f>
        <v>0</v>
      </c>
      <c r="X1380" s="1" t="str">
        <f>IF(Table1[[#This Row],[DUT Read]]="","N/A",Table1[[#This Row],[Std Error]]+Table1[[#This Row],[DUT Read]]+Table1[[#This Row],[DUT Ucty]])</f>
        <v>N/A</v>
      </c>
      <c r="Y1380" s="1" t="str">
        <f>IF(Table1[[#This Row],[Std Read]]="","N/A",Table1[[#This Row],[Std Read]]+Table1[[#This Row],[Std Ucty]])</f>
        <v>N/A</v>
      </c>
      <c r="Z13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0" s="1" t="str">
        <f>IF(Table1[[#This Row],[Spec Type]]="","N/A",Table1[[#This Row],[Spec Type]])</f>
        <v>±</v>
      </c>
      <c r="AC1380" s="1" t="str">
        <f>IF(Table1[[#This Row],[Spec Type2]]="N/A","N/A",IF(AND(Table1[[#This Row],[DUT Adj Read]]&gt;=Table1[[#This Row],[Low Tol]],Table1[[#This Row],[DUT Adj Read]]&lt;=Table1[[#This Row],[High Tol]]),"Pass","Fail"))</f>
        <v>Fail</v>
      </c>
      <c r="AD1380" s="1" t="str">
        <f>IF(AND(Table1[[#This Row],[Spec Type2]]="N/A",Table1[[#This Row],[DUT Adj Read]]="N/A",Table1[[#This Row],[Std Adj Read]]="N/A"),"N/A",IF(Table1[[#This Row],[DUT Adj Read]]="N/A",IF(Table1[[#This Row],[Std Adj Read]]&gt;Table1[[#This Row],[Low Tol]],"Pass","Fail"),IF(Table1[[#This Row],[DUT Adj Read]]&gt;Table1[[#This Row],[Low Tol]],"Pass","Fail")))</f>
        <v>Pass</v>
      </c>
      <c r="AE1380" s="1" t="str">
        <f>IF(AND(Table1[[#This Row],[Spec Type2]]="N/A",Table1[[#This Row],[DUT Adj Read]]="N/A",Table1[[#This Row],[Std Adj Read]]="N/A"),"N/A",IF(Table1[[#This Row],[DUT Adj Read]]="N/A",IF(Table1[[#This Row],[Std Adj Read]]&lt;Table1[[#This Row],[High Tol]],"Pass","Fail"),IF(Table1[[#This Row],[DUT Adj Read]]&lt;Table1[[#This Row],[High Tol]],"Pass","Fail")))</f>
        <v>Fail</v>
      </c>
      <c r="AF1380" s="1" t="str">
        <f>IF(AND(Table1[[#This Row],[Spec Type2]]="N/A",Table1[[#This Row],[DUT Adj Read]]="N/A",Table1[[#This Row],[Std Adj Read]]="N/A"),"N/A",IF(Table1[[#This Row],[DUT Adj Read]]="N/A",IF(Table1[[#This Row],[Std Adj Read]]&gt;=Table1[[#This Row],[Low Tol]],"Pass","Fail"),IF(Table1[[#This Row],[DUT Adj Read]]&gt;=Table1[[#This Row],[Low Tol]],"Pass","Fail")))</f>
        <v>Pass</v>
      </c>
      <c r="AG1380" s="1" t="str">
        <f>IF(AND(Table1[[#This Row],[Spec Type2]]="N/A",Table1[[#This Row],[DUT Adj Read]]="N/A",Table1[[#This Row],[Std Adj Read]]="N/A"),"N/A",IF(Table1[[#This Row],[DUT Adj Read]]="N/A",IF(Table1[[#This Row],[Std Adj Read]]&lt;=Table1[[#This Row],[High Tol]],"Pass","Fail"),IF(Table1[[#This Row],[DUT Adj Read]]&lt;=Table1[[#This Row],[High Tol]],"Pass","Fail")))</f>
        <v>Fail</v>
      </c>
      <c r="AH13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0" s="1" t="b">
        <v>0</v>
      </c>
      <c r="AN1380" s="1" t="b">
        <v>0</v>
      </c>
      <c r="AO1380" s="1" t="b">
        <v>0</v>
      </c>
    </row>
    <row r="1381" spans="1:41" x14ac:dyDescent="0.25">
      <c r="A1381" s="10"/>
      <c r="B1381" s="10"/>
      <c r="C1381" s="10"/>
      <c r="D1381" s="10"/>
      <c r="E1381" s="10"/>
      <c r="F1381" s="10"/>
      <c r="G1381" s="10"/>
      <c r="H1381" s="10"/>
      <c r="I1381" s="1" t="str">
        <f t="shared" si="63"/>
        <v/>
      </c>
      <c r="J1381" s="1" t="s">
        <v>35</v>
      </c>
      <c r="K1381" s="1" t="str">
        <f t="shared" si="64"/>
        <v/>
      </c>
      <c r="L1381" s="1" t="str">
        <f t="shared" si="65"/>
        <v/>
      </c>
      <c r="M1381" s="1">
        <f>IF(OR(Table1[[#This Row],[Std Nom]]="",Table1[[#This Row],[Std Read]]=""),0,Table1[[#This Row],[Std Nom]]-Table1[[#This Row],[Std Read]])</f>
        <v>0</v>
      </c>
      <c r="N1381" s="1">
        <f>IF(Calculations!$F$5="ACCREDITED 17025 WITH UNCERTAINTIES",$N$10,0)</f>
        <v>0</v>
      </c>
      <c r="O1381" s="1" t="str">
        <f>IFERROR(Table1[[#This Row],[Std Nom]]-(_xlfn.XLOOKUP(Table1[[#This Row],[Manufacturer]]&amp;" "&amp;Table1[[#This Row],[Model]],Table13[MFR &amp; MDL],Table13[Tolerance % CW ],"")/100*Table1[[#This Row],[Std Nom]]),"")</f>
        <v/>
      </c>
      <c r="P1381" s="1" t="str">
        <f>IFERROR(Table1[[#This Row],[Std Nom]]+(_xlfn.XLOOKUP(Table1[[#This Row],[Manufacturer]]&amp;" "&amp;Table1[[#This Row],[Model]],Table13[MFR &amp; MDL],Table13[Tolerance % CW ],"")/100*Table1[[#This Row],[Std Nom]]),"")</f>
        <v/>
      </c>
      <c r="Q1381" s="1" t="e">
        <f>Table1[[#This Row],[High Tol]]-Table1[[#This Row],[Low Tol]]</f>
        <v>#VALUE!</v>
      </c>
      <c r="R1381" s="1">
        <f>2*Table1[[#This Row],[Std Error]]</f>
        <v>0</v>
      </c>
      <c r="S1381" s="1" t="str">
        <f>IF(Table1[[#This Row],[High Tol]]="","N/A",IFERROR(ABS(Table1[[#This Row],[Tol Span]]/Table1[[#This Row],[Error Span]]),"N/A"))</f>
        <v>N/A</v>
      </c>
      <c r="T1381" s="1" t="str">
        <f>IF(OR(Table1[[#This Row],[Low Tol]]="",Table1[[#This Row],[High Tol]]=""),"Needs Analysis",IF(Table1[[#This Row],[Ratio]]&gt;=4,"Not Significant",IF(Table1[[#This Row],[Ratio]]&gt;=2,"Semi-Significant","Significant")))</f>
        <v>Needs Analysis</v>
      </c>
      <c r="W1381" s="1">
        <f>IF(Table1[[#This Row],[Cal Type]]&lt;&gt;"ACCREDITED 17025 WITH UNCERTAINTIES",0,"")</f>
        <v>0</v>
      </c>
      <c r="X1381" s="1" t="str">
        <f>IF(Table1[[#This Row],[DUT Read]]="","N/A",Table1[[#This Row],[Std Error]]+Table1[[#This Row],[DUT Read]]+Table1[[#This Row],[DUT Ucty]])</f>
        <v>N/A</v>
      </c>
      <c r="Y1381" s="1" t="str">
        <f>IF(Table1[[#This Row],[Std Read]]="","N/A",Table1[[#This Row],[Std Read]]+Table1[[#This Row],[Std Ucty]])</f>
        <v>N/A</v>
      </c>
      <c r="Z13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1" s="1" t="str">
        <f>IF(Table1[[#This Row],[Spec Type]]="","N/A",Table1[[#This Row],[Spec Type]])</f>
        <v>±</v>
      </c>
      <c r="AC1381" s="1" t="str">
        <f>IF(Table1[[#This Row],[Spec Type2]]="N/A","N/A",IF(AND(Table1[[#This Row],[DUT Adj Read]]&gt;=Table1[[#This Row],[Low Tol]],Table1[[#This Row],[DUT Adj Read]]&lt;=Table1[[#This Row],[High Tol]]),"Pass","Fail"))</f>
        <v>Fail</v>
      </c>
      <c r="AD1381" s="1" t="str">
        <f>IF(AND(Table1[[#This Row],[Spec Type2]]="N/A",Table1[[#This Row],[DUT Adj Read]]="N/A",Table1[[#This Row],[Std Adj Read]]="N/A"),"N/A",IF(Table1[[#This Row],[DUT Adj Read]]="N/A",IF(Table1[[#This Row],[Std Adj Read]]&gt;Table1[[#This Row],[Low Tol]],"Pass","Fail"),IF(Table1[[#This Row],[DUT Adj Read]]&gt;Table1[[#This Row],[Low Tol]],"Pass","Fail")))</f>
        <v>Pass</v>
      </c>
      <c r="AE1381" s="1" t="str">
        <f>IF(AND(Table1[[#This Row],[Spec Type2]]="N/A",Table1[[#This Row],[DUT Adj Read]]="N/A",Table1[[#This Row],[Std Adj Read]]="N/A"),"N/A",IF(Table1[[#This Row],[DUT Adj Read]]="N/A",IF(Table1[[#This Row],[Std Adj Read]]&lt;Table1[[#This Row],[High Tol]],"Pass","Fail"),IF(Table1[[#This Row],[DUT Adj Read]]&lt;Table1[[#This Row],[High Tol]],"Pass","Fail")))</f>
        <v>Fail</v>
      </c>
      <c r="AF1381" s="1" t="str">
        <f>IF(AND(Table1[[#This Row],[Spec Type2]]="N/A",Table1[[#This Row],[DUT Adj Read]]="N/A",Table1[[#This Row],[Std Adj Read]]="N/A"),"N/A",IF(Table1[[#This Row],[DUT Adj Read]]="N/A",IF(Table1[[#This Row],[Std Adj Read]]&gt;=Table1[[#This Row],[Low Tol]],"Pass","Fail"),IF(Table1[[#This Row],[DUT Adj Read]]&gt;=Table1[[#This Row],[Low Tol]],"Pass","Fail")))</f>
        <v>Pass</v>
      </c>
      <c r="AG1381" s="1" t="str">
        <f>IF(AND(Table1[[#This Row],[Spec Type2]]="N/A",Table1[[#This Row],[DUT Adj Read]]="N/A",Table1[[#This Row],[Std Adj Read]]="N/A"),"N/A",IF(Table1[[#This Row],[DUT Adj Read]]="N/A",IF(Table1[[#This Row],[Std Adj Read]]&lt;=Table1[[#This Row],[High Tol]],"Pass","Fail"),IF(Table1[[#This Row],[DUT Adj Read]]&lt;=Table1[[#This Row],[High Tol]],"Pass","Fail")))</f>
        <v>Fail</v>
      </c>
      <c r="AH13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1" s="1" t="b">
        <v>0</v>
      </c>
      <c r="AN1381" s="1" t="b">
        <v>0</v>
      </c>
      <c r="AO1381" s="1" t="b">
        <v>0</v>
      </c>
    </row>
    <row r="1382" spans="1:41" x14ac:dyDescent="0.25">
      <c r="A1382" s="10"/>
      <c r="B1382" s="10"/>
      <c r="C1382" s="10"/>
      <c r="D1382" s="10"/>
      <c r="E1382" s="10"/>
      <c r="F1382" s="10"/>
      <c r="G1382" s="10"/>
      <c r="H1382" s="10"/>
      <c r="I1382" s="1" t="str">
        <f t="shared" si="63"/>
        <v/>
      </c>
      <c r="J1382" s="1" t="s">
        <v>35</v>
      </c>
      <c r="K1382" s="1" t="str">
        <f t="shared" si="64"/>
        <v/>
      </c>
      <c r="L1382" s="1" t="str">
        <f t="shared" si="65"/>
        <v/>
      </c>
      <c r="M1382" s="1">
        <f>IF(OR(Table1[[#This Row],[Std Nom]]="",Table1[[#This Row],[Std Read]]=""),0,Table1[[#This Row],[Std Nom]]-Table1[[#This Row],[Std Read]])</f>
        <v>0</v>
      </c>
      <c r="N1382" s="1">
        <f>IF(Calculations!$F$5="ACCREDITED 17025 WITH UNCERTAINTIES",$N$10,0)</f>
        <v>0</v>
      </c>
      <c r="O1382" s="1" t="str">
        <f>IFERROR(Table1[[#This Row],[Std Nom]]-(_xlfn.XLOOKUP(Table1[[#This Row],[Manufacturer]]&amp;" "&amp;Table1[[#This Row],[Model]],Table13[MFR &amp; MDL],Table13[Tolerance % CW ],"")/100*Table1[[#This Row],[Std Nom]]),"")</f>
        <v/>
      </c>
      <c r="P1382" s="1" t="str">
        <f>IFERROR(Table1[[#This Row],[Std Nom]]+(_xlfn.XLOOKUP(Table1[[#This Row],[Manufacturer]]&amp;" "&amp;Table1[[#This Row],[Model]],Table13[MFR &amp; MDL],Table13[Tolerance % CW ],"")/100*Table1[[#This Row],[Std Nom]]),"")</f>
        <v/>
      </c>
      <c r="Q1382" s="1" t="e">
        <f>Table1[[#This Row],[High Tol]]-Table1[[#This Row],[Low Tol]]</f>
        <v>#VALUE!</v>
      </c>
      <c r="R1382" s="1">
        <f>2*Table1[[#This Row],[Std Error]]</f>
        <v>0</v>
      </c>
      <c r="S1382" s="1" t="str">
        <f>IF(Table1[[#This Row],[High Tol]]="","N/A",IFERROR(ABS(Table1[[#This Row],[Tol Span]]/Table1[[#This Row],[Error Span]]),"N/A"))</f>
        <v>N/A</v>
      </c>
      <c r="T1382" s="1" t="str">
        <f>IF(OR(Table1[[#This Row],[Low Tol]]="",Table1[[#This Row],[High Tol]]=""),"Needs Analysis",IF(Table1[[#This Row],[Ratio]]&gt;=4,"Not Significant",IF(Table1[[#This Row],[Ratio]]&gt;=2,"Semi-Significant","Significant")))</f>
        <v>Needs Analysis</v>
      </c>
      <c r="W1382" s="1">
        <f>IF(Table1[[#This Row],[Cal Type]]&lt;&gt;"ACCREDITED 17025 WITH UNCERTAINTIES",0,"")</f>
        <v>0</v>
      </c>
      <c r="X1382" s="1" t="str">
        <f>IF(Table1[[#This Row],[DUT Read]]="","N/A",Table1[[#This Row],[Std Error]]+Table1[[#This Row],[DUT Read]]+Table1[[#This Row],[DUT Ucty]])</f>
        <v>N/A</v>
      </c>
      <c r="Y1382" s="1" t="str">
        <f>IF(Table1[[#This Row],[Std Read]]="","N/A",Table1[[#This Row],[Std Read]]+Table1[[#This Row],[Std Ucty]])</f>
        <v>N/A</v>
      </c>
      <c r="Z13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2" s="1" t="str">
        <f>IF(Table1[[#This Row],[Spec Type]]="","N/A",Table1[[#This Row],[Spec Type]])</f>
        <v>±</v>
      </c>
      <c r="AC1382" s="1" t="str">
        <f>IF(Table1[[#This Row],[Spec Type2]]="N/A","N/A",IF(AND(Table1[[#This Row],[DUT Adj Read]]&gt;=Table1[[#This Row],[Low Tol]],Table1[[#This Row],[DUT Adj Read]]&lt;=Table1[[#This Row],[High Tol]]),"Pass","Fail"))</f>
        <v>Fail</v>
      </c>
      <c r="AD1382" s="1" t="str">
        <f>IF(AND(Table1[[#This Row],[Spec Type2]]="N/A",Table1[[#This Row],[DUT Adj Read]]="N/A",Table1[[#This Row],[Std Adj Read]]="N/A"),"N/A",IF(Table1[[#This Row],[DUT Adj Read]]="N/A",IF(Table1[[#This Row],[Std Adj Read]]&gt;Table1[[#This Row],[Low Tol]],"Pass","Fail"),IF(Table1[[#This Row],[DUT Adj Read]]&gt;Table1[[#This Row],[Low Tol]],"Pass","Fail")))</f>
        <v>Pass</v>
      </c>
      <c r="AE1382" s="1" t="str">
        <f>IF(AND(Table1[[#This Row],[Spec Type2]]="N/A",Table1[[#This Row],[DUT Adj Read]]="N/A",Table1[[#This Row],[Std Adj Read]]="N/A"),"N/A",IF(Table1[[#This Row],[DUT Adj Read]]="N/A",IF(Table1[[#This Row],[Std Adj Read]]&lt;Table1[[#This Row],[High Tol]],"Pass","Fail"),IF(Table1[[#This Row],[DUT Adj Read]]&lt;Table1[[#This Row],[High Tol]],"Pass","Fail")))</f>
        <v>Fail</v>
      </c>
      <c r="AF1382" s="1" t="str">
        <f>IF(AND(Table1[[#This Row],[Spec Type2]]="N/A",Table1[[#This Row],[DUT Adj Read]]="N/A",Table1[[#This Row],[Std Adj Read]]="N/A"),"N/A",IF(Table1[[#This Row],[DUT Adj Read]]="N/A",IF(Table1[[#This Row],[Std Adj Read]]&gt;=Table1[[#This Row],[Low Tol]],"Pass","Fail"),IF(Table1[[#This Row],[DUT Adj Read]]&gt;=Table1[[#This Row],[Low Tol]],"Pass","Fail")))</f>
        <v>Pass</v>
      </c>
      <c r="AG1382" s="1" t="str">
        <f>IF(AND(Table1[[#This Row],[Spec Type2]]="N/A",Table1[[#This Row],[DUT Adj Read]]="N/A",Table1[[#This Row],[Std Adj Read]]="N/A"),"N/A",IF(Table1[[#This Row],[DUT Adj Read]]="N/A",IF(Table1[[#This Row],[Std Adj Read]]&lt;=Table1[[#This Row],[High Tol]],"Pass","Fail"),IF(Table1[[#This Row],[DUT Adj Read]]&lt;=Table1[[#This Row],[High Tol]],"Pass","Fail")))</f>
        <v>Fail</v>
      </c>
      <c r="AH13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2" s="1" t="b">
        <v>0</v>
      </c>
      <c r="AN1382" s="1" t="b">
        <v>0</v>
      </c>
      <c r="AO1382" s="1" t="b">
        <v>0</v>
      </c>
    </row>
    <row r="1383" spans="1:41" x14ac:dyDescent="0.25">
      <c r="A1383" s="10"/>
      <c r="B1383" s="10"/>
      <c r="C1383" s="10"/>
      <c r="D1383" s="10"/>
      <c r="E1383" s="10"/>
      <c r="F1383" s="10"/>
      <c r="G1383" s="10"/>
      <c r="H1383" s="10"/>
      <c r="I1383" s="1" t="str">
        <f t="shared" si="63"/>
        <v/>
      </c>
      <c r="J1383" s="1" t="s">
        <v>35</v>
      </c>
      <c r="K1383" s="1" t="str">
        <f t="shared" si="64"/>
        <v/>
      </c>
      <c r="L1383" s="1" t="str">
        <f t="shared" si="65"/>
        <v/>
      </c>
      <c r="M1383" s="1">
        <f>IF(OR(Table1[[#This Row],[Std Nom]]="",Table1[[#This Row],[Std Read]]=""),0,Table1[[#This Row],[Std Nom]]-Table1[[#This Row],[Std Read]])</f>
        <v>0</v>
      </c>
      <c r="N1383" s="1">
        <f>IF(Calculations!$F$5="ACCREDITED 17025 WITH UNCERTAINTIES",$N$10,0)</f>
        <v>0</v>
      </c>
      <c r="O1383" s="1" t="str">
        <f>IFERROR(Table1[[#This Row],[Std Nom]]-(_xlfn.XLOOKUP(Table1[[#This Row],[Manufacturer]]&amp;" "&amp;Table1[[#This Row],[Model]],Table13[MFR &amp; MDL],Table13[Tolerance % CW ],"")/100*Table1[[#This Row],[Std Nom]]),"")</f>
        <v/>
      </c>
      <c r="P1383" s="1" t="str">
        <f>IFERROR(Table1[[#This Row],[Std Nom]]+(_xlfn.XLOOKUP(Table1[[#This Row],[Manufacturer]]&amp;" "&amp;Table1[[#This Row],[Model]],Table13[MFR &amp; MDL],Table13[Tolerance % CW ],"")/100*Table1[[#This Row],[Std Nom]]),"")</f>
        <v/>
      </c>
      <c r="Q1383" s="1" t="e">
        <f>Table1[[#This Row],[High Tol]]-Table1[[#This Row],[Low Tol]]</f>
        <v>#VALUE!</v>
      </c>
      <c r="R1383" s="1">
        <f>2*Table1[[#This Row],[Std Error]]</f>
        <v>0</v>
      </c>
      <c r="S1383" s="1" t="str">
        <f>IF(Table1[[#This Row],[High Tol]]="","N/A",IFERROR(ABS(Table1[[#This Row],[Tol Span]]/Table1[[#This Row],[Error Span]]),"N/A"))</f>
        <v>N/A</v>
      </c>
      <c r="T1383" s="1" t="str">
        <f>IF(OR(Table1[[#This Row],[Low Tol]]="",Table1[[#This Row],[High Tol]]=""),"Needs Analysis",IF(Table1[[#This Row],[Ratio]]&gt;=4,"Not Significant",IF(Table1[[#This Row],[Ratio]]&gt;=2,"Semi-Significant","Significant")))</f>
        <v>Needs Analysis</v>
      </c>
      <c r="W1383" s="1">
        <f>IF(Table1[[#This Row],[Cal Type]]&lt;&gt;"ACCREDITED 17025 WITH UNCERTAINTIES",0,"")</f>
        <v>0</v>
      </c>
      <c r="X1383" s="1" t="str">
        <f>IF(Table1[[#This Row],[DUT Read]]="","N/A",Table1[[#This Row],[Std Error]]+Table1[[#This Row],[DUT Read]]+Table1[[#This Row],[DUT Ucty]])</f>
        <v>N/A</v>
      </c>
      <c r="Y1383" s="1" t="str">
        <f>IF(Table1[[#This Row],[Std Read]]="","N/A",Table1[[#This Row],[Std Read]]+Table1[[#This Row],[Std Ucty]])</f>
        <v>N/A</v>
      </c>
      <c r="Z13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3" s="1" t="str">
        <f>IF(Table1[[#This Row],[Spec Type]]="","N/A",Table1[[#This Row],[Spec Type]])</f>
        <v>±</v>
      </c>
      <c r="AC1383" s="1" t="str">
        <f>IF(Table1[[#This Row],[Spec Type2]]="N/A","N/A",IF(AND(Table1[[#This Row],[DUT Adj Read]]&gt;=Table1[[#This Row],[Low Tol]],Table1[[#This Row],[DUT Adj Read]]&lt;=Table1[[#This Row],[High Tol]]),"Pass","Fail"))</f>
        <v>Fail</v>
      </c>
      <c r="AD1383" s="1" t="str">
        <f>IF(AND(Table1[[#This Row],[Spec Type2]]="N/A",Table1[[#This Row],[DUT Adj Read]]="N/A",Table1[[#This Row],[Std Adj Read]]="N/A"),"N/A",IF(Table1[[#This Row],[DUT Adj Read]]="N/A",IF(Table1[[#This Row],[Std Adj Read]]&gt;Table1[[#This Row],[Low Tol]],"Pass","Fail"),IF(Table1[[#This Row],[DUT Adj Read]]&gt;Table1[[#This Row],[Low Tol]],"Pass","Fail")))</f>
        <v>Pass</v>
      </c>
      <c r="AE1383" s="1" t="str">
        <f>IF(AND(Table1[[#This Row],[Spec Type2]]="N/A",Table1[[#This Row],[DUT Adj Read]]="N/A",Table1[[#This Row],[Std Adj Read]]="N/A"),"N/A",IF(Table1[[#This Row],[DUT Adj Read]]="N/A",IF(Table1[[#This Row],[Std Adj Read]]&lt;Table1[[#This Row],[High Tol]],"Pass","Fail"),IF(Table1[[#This Row],[DUT Adj Read]]&lt;Table1[[#This Row],[High Tol]],"Pass","Fail")))</f>
        <v>Fail</v>
      </c>
      <c r="AF1383" s="1" t="str">
        <f>IF(AND(Table1[[#This Row],[Spec Type2]]="N/A",Table1[[#This Row],[DUT Adj Read]]="N/A",Table1[[#This Row],[Std Adj Read]]="N/A"),"N/A",IF(Table1[[#This Row],[DUT Adj Read]]="N/A",IF(Table1[[#This Row],[Std Adj Read]]&gt;=Table1[[#This Row],[Low Tol]],"Pass","Fail"),IF(Table1[[#This Row],[DUT Adj Read]]&gt;=Table1[[#This Row],[Low Tol]],"Pass","Fail")))</f>
        <v>Pass</v>
      </c>
      <c r="AG1383" s="1" t="str">
        <f>IF(AND(Table1[[#This Row],[Spec Type2]]="N/A",Table1[[#This Row],[DUT Adj Read]]="N/A",Table1[[#This Row],[Std Adj Read]]="N/A"),"N/A",IF(Table1[[#This Row],[DUT Adj Read]]="N/A",IF(Table1[[#This Row],[Std Adj Read]]&lt;=Table1[[#This Row],[High Tol]],"Pass","Fail"),IF(Table1[[#This Row],[DUT Adj Read]]&lt;=Table1[[#This Row],[High Tol]],"Pass","Fail")))</f>
        <v>Fail</v>
      </c>
      <c r="AH13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3" s="1" t="b">
        <v>0</v>
      </c>
      <c r="AN1383" s="1" t="b">
        <v>0</v>
      </c>
      <c r="AO1383" s="1" t="b">
        <v>0</v>
      </c>
    </row>
    <row r="1384" spans="1:41" x14ac:dyDescent="0.25">
      <c r="A1384" s="10"/>
      <c r="B1384" s="10"/>
      <c r="C1384" s="10"/>
      <c r="D1384" s="10"/>
      <c r="E1384" s="10"/>
      <c r="F1384" s="10"/>
      <c r="G1384" s="10"/>
      <c r="H1384" s="10"/>
      <c r="I1384" s="1" t="str">
        <f t="shared" si="63"/>
        <v/>
      </c>
      <c r="J1384" s="1" t="s">
        <v>35</v>
      </c>
      <c r="K1384" s="1" t="str">
        <f t="shared" si="64"/>
        <v/>
      </c>
      <c r="L1384" s="1" t="str">
        <f t="shared" si="65"/>
        <v/>
      </c>
      <c r="M1384" s="1">
        <f>IF(OR(Table1[[#This Row],[Std Nom]]="",Table1[[#This Row],[Std Read]]=""),0,Table1[[#This Row],[Std Nom]]-Table1[[#This Row],[Std Read]])</f>
        <v>0</v>
      </c>
      <c r="N1384" s="1">
        <f>IF(Calculations!$F$5="ACCREDITED 17025 WITH UNCERTAINTIES",$N$10,0)</f>
        <v>0</v>
      </c>
      <c r="O1384" s="1" t="str">
        <f>IFERROR(Table1[[#This Row],[Std Nom]]-(_xlfn.XLOOKUP(Table1[[#This Row],[Manufacturer]]&amp;" "&amp;Table1[[#This Row],[Model]],Table13[MFR &amp; MDL],Table13[Tolerance % CW ],"")/100*Table1[[#This Row],[Std Nom]]),"")</f>
        <v/>
      </c>
      <c r="P1384" s="1" t="str">
        <f>IFERROR(Table1[[#This Row],[Std Nom]]+(_xlfn.XLOOKUP(Table1[[#This Row],[Manufacturer]]&amp;" "&amp;Table1[[#This Row],[Model]],Table13[MFR &amp; MDL],Table13[Tolerance % CW ],"")/100*Table1[[#This Row],[Std Nom]]),"")</f>
        <v/>
      </c>
      <c r="Q1384" s="1" t="e">
        <f>Table1[[#This Row],[High Tol]]-Table1[[#This Row],[Low Tol]]</f>
        <v>#VALUE!</v>
      </c>
      <c r="R1384" s="1">
        <f>2*Table1[[#This Row],[Std Error]]</f>
        <v>0</v>
      </c>
      <c r="S1384" s="1" t="str">
        <f>IF(Table1[[#This Row],[High Tol]]="","N/A",IFERROR(ABS(Table1[[#This Row],[Tol Span]]/Table1[[#This Row],[Error Span]]),"N/A"))</f>
        <v>N/A</v>
      </c>
      <c r="T1384" s="1" t="str">
        <f>IF(OR(Table1[[#This Row],[Low Tol]]="",Table1[[#This Row],[High Tol]]=""),"Needs Analysis",IF(Table1[[#This Row],[Ratio]]&gt;=4,"Not Significant",IF(Table1[[#This Row],[Ratio]]&gt;=2,"Semi-Significant","Significant")))</f>
        <v>Needs Analysis</v>
      </c>
      <c r="W1384" s="1">
        <f>IF(Table1[[#This Row],[Cal Type]]&lt;&gt;"ACCREDITED 17025 WITH UNCERTAINTIES",0,"")</f>
        <v>0</v>
      </c>
      <c r="X1384" s="1" t="str">
        <f>IF(Table1[[#This Row],[DUT Read]]="","N/A",Table1[[#This Row],[Std Error]]+Table1[[#This Row],[DUT Read]]+Table1[[#This Row],[DUT Ucty]])</f>
        <v>N/A</v>
      </c>
      <c r="Y1384" s="1" t="str">
        <f>IF(Table1[[#This Row],[Std Read]]="","N/A",Table1[[#This Row],[Std Read]]+Table1[[#This Row],[Std Ucty]])</f>
        <v>N/A</v>
      </c>
      <c r="Z13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4" s="1" t="str">
        <f>IF(Table1[[#This Row],[Spec Type]]="","N/A",Table1[[#This Row],[Spec Type]])</f>
        <v>±</v>
      </c>
      <c r="AC1384" s="1" t="str">
        <f>IF(Table1[[#This Row],[Spec Type2]]="N/A","N/A",IF(AND(Table1[[#This Row],[DUT Adj Read]]&gt;=Table1[[#This Row],[Low Tol]],Table1[[#This Row],[DUT Adj Read]]&lt;=Table1[[#This Row],[High Tol]]),"Pass","Fail"))</f>
        <v>Fail</v>
      </c>
      <c r="AD1384" s="1" t="str">
        <f>IF(AND(Table1[[#This Row],[Spec Type2]]="N/A",Table1[[#This Row],[DUT Adj Read]]="N/A",Table1[[#This Row],[Std Adj Read]]="N/A"),"N/A",IF(Table1[[#This Row],[DUT Adj Read]]="N/A",IF(Table1[[#This Row],[Std Adj Read]]&gt;Table1[[#This Row],[Low Tol]],"Pass","Fail"),IF(Table1[[#This Row],[DUT Adj Read]]&gt;Table1[[#This Row],[Low Tol]],"Pass","Fail")))</f>
        <v>Pass</v>
      </c>
      <c r="AE1384" s="1" t="str">
        <f>IF(AND(Table1[[#This Row],[Spec Type2]]="N/A",Table1[[#This Row],[DUT Adj Read]]="N/A",Table1[[#This Row],[Std Adj Read]]="N/A"),"N/A",IF(Table1[[#This Row],[DUT Adj Read]]="N/A",IF(Table1[[#This Row],[Std Adj Read]]&lt;Table1[[#This Row],[High Tol]],"Pass","Fail"),IF(Table1[[#This Row],[DUT Adj Read]]&lt;Table1[[#This Row],[High Tol]],"Pass","Fail")))</f>
        <v>Fail</v>
      </c>
      <c r="AF1384" s="1" t="str">
        <f>IF(AND(Table1[[#This Row],[Spec Type2]]="N/A",Table1[[#This Row],[DUT Adj Read]]="N/A",Table1[[#This Row],[Std Adj Read]]="N/A"),"N/A",IF(Table1[[#This Row],[DUT Adj Read]]="N/A",IF(Table1[[#This Row],[Std Adj Read]]&gt;=Table1[[#This Row],[Low Tol]],"Pass","Fail"),IF(Table1[[#This Row],[DUT Adj Read]]&gt;=Table1[[#This Row],[Low Tol]],"Pass","Fail")))</f>
        <v>Pass</v>
      </c>
      <c r="AG1384" s="1" t="str">
        <f>IF(AND(Table1[[#This Row],[Spec Type2]]="N/A",Table1[[#This Row],[DUT Adj Read]]="N/A",Table1[[#This Row],[Std Adj Read]]="N/A"),"N/A",IF(Table1[[#This Row],[DUT Adj Read]]="N/A",IF(Table1[[#This Row],[Std Adj Read]]&lt;=Table1[[#This Row],[High Tol]],"Pass","Fail"),IF(Table1[[#This Row],[DUT Adj Read]]&lt;=Table1[[#This Row],[High Tol]],"Pass","Fail")))</f>
        <v>Fail</v>
      </c>
      <c r="AH13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4" s="1" t="b">
        <v>0</v>
      </c>
      <c r="AN1384" s="1" t="b">
        <v>0</v>
      </c>
      <c r="AO1384" s="1" t="b">
        <v>0</v>
      </c>
    </row>
    <row r="1385" spans="1:41" x14ac:dyDescent="0.25">
      <c r="A1385" s="10"/>
      <c r="B1385" s="10"/>
      <c r="C1385" s="10"/>
      <c r="D1385" s="10"/>
      <c r="E1385" s="10"/>
      <c r="F1385" s="10"/>
      <c r="G1385" s="10"/>
      <c r="H1385" s="10"/>
      <c r="I1385" s="1" t="str">
        <f t="shared" si="63"/>
        <v/>
      </c>
      <c r="J1385" s="1" t="s">
        <v>35</v>
      </c>
      <c r="K1385" s="1" t="str">
        <f t="shared" si="64"/>
        <v/>
      </c>
      <c r="L1385" s="1" t="str">
        <f t="shared" si="65"/>
        <v/>
      </c>
      <c r="M1385" s="1">
        <f>IF(OR(Table1[[#This Row],[Std Nom]]="",Table1[[#This Row],[Std Read]]=""),0,Table1[[#This Row],[Std Nom]]-Table1[[#This Row],[Std Read]])</f>
        <v>0</v>
      </c>
      <c r="N1385" s="1">
        <f>IF(Calculations!$F$5="ACCREDITED 17025 WITH UNCERTAINTIES",$N$10,0)</f>
        <v>0</v>
      </c>
      <c r="O1385" s="1" t="str">
        <f>IFERROR(Table1[[#This Row],[Std Nom]]-(_xlfn.XLOOKUP(Table1[[#This Row],[Manufacturer]]&amp;" "&amp;Table1[[#This Row],[Model]],Table13[MFR &amp; MDL],Table13[Tolerance % CW ],"")/100*Table1[[#This Row],[Std Nom]]),"")</f>
        <v/>
      </c>
      <c r="P1385" s="1" t="str">
        <f>IFERROR(Table1[[#This Row],[Std Nom]]+(_xlfn.XLOOKUP(Table1[[#This Row],[Manufacturer]]&amp;" "&amp;Table1[[#This Row],[Model]],Table13[MFR &amp; MDL],Table13[Tolerance % CW ],"")/100*Table1[[#This Row],[Std Nom]]),"")</f>
        <v/>
      </c>
      <c r="Q1385" s="1" t="e">
        <f>Table1[[#This Row],[High Tol]]-Table1[[#This Row],[Low Tol]]</f>
        <v>#VALUE!</v>
      </c>
      <c r="R1385" s="1">
        <f>2*Table1[[#This Row],[Std Error]]</f>
        <v>0</v>
      </c>
      <c r="S1385" s="1" t="str">
        <f>IF(Table1[[#This Row],[High Tol]]="","N/A",IFERROR(ABS(Table1[[#This Row],[Tol Span]]/Table1[[#This Row],[Error Span]]),"N/A"))</f>
        <v>N/A</v>
      </c>
      <c r="T1385" s="1" t="str">
        <f>IF(OR(Table1[[#This Row],[Low Tol]]="",Table1[[#This Row],[High Tol]]=""),"Needs Analysis",IF(Table1[[#This Row],[Ratio]]&gt;=4,"Not Significant",IF(Table1[[#This Row],[Ratio]]&gt;=2,"Semi-Significant","Significant")))</f>
        <v>Needs Analysis</v>
      </c>
      <c r="W1385" s="1">
        <f>IF(Table1[[#This Row],[Cal Type]]&lt;&gt;"ACCREDITED 17025 WITH UNCERTAINTIES",0,"")</f>
        <v>0</v>
      </c>
      <c r="X1385" s="1" t="str">
        <f>IF(Table1[[#This Row],[DUT Read]]="","N/A",Table1[[#This Row],[Std Error]]+Table1[[#This Row],[DUT Read]]+Table1[[#This Row],[DUT Ucty]])</f>
        <v>N/A</v>
      </c>
      <c r="Y1385" s="1" t="str">
        <f>IF(Table1[[#This Row],[Std Read]]="","N/A",Table1[[#This Row],[Std Read]]+Table1[[#This Row],[Std Ucty]])</f>
        <v>N/A</v>
      </c>
      <c r="Z13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5" s="1" t="str">
        <f>IF(Table1[[#This Row],[Spec Type]]="","N/A",Table1[[#This Row],[Spec Type]])</f>
        <v>±</v>
      </c>
      <c r="AC1385" s="1" t="str">
        <f>IF(Table1[[#This Row],[Spec Type2]]="N/A","N/A",IF(AND(Table1[[#This Row],[DUT Adj Read]]&gt;=Table1[[#This Row],[Low Tol]],Table1[[#This Row],[DUT Adj Read]]&lt;=Table1[[#This Row],[High Tol]]),"Pass","Fail"))</f>
        <v>Fail</v>
      </c>
      <c r="AD1385" s="1" t="str">
        <f>IF(AND(Table1[[#This Row],[Spec Type2]]="N/A",Table1[[#This Row],[DUT Adj Read]]="N/A",Table1[[#This Row],[Std Adj Read]]="N/A"),"N/A",IF(Table1[[#This Row],[DUT Adj Read]]="N/A",IF(Table1[[#This Row],[Std Adj Read]]&gt;Table1[[#This Row],[Low Tol]],"Pass","Fail"),IF(Table1[[#This Row],[DUT Adj Read]]&gt;Table1[[#This Row],[Low Tol]],"Pass","Fail")))</f>
        <v>Pass</v>
      </c>
      <c r="AE1385" s="1" t="str">
        <f>IF(AND(Table1[[#This Row],[Spec Type2]]="N/A",Table1[[#This Row],[DUT Adj Read]]="N/A",Table1[[#This Row],[Std Adj Read]]="N/A"),"N/A",IF(Table1[[#This Row],[DUT Adj Read]]="N/A",IF(Table1[[#This Row],[Std Adj Read]]&lt;Table1[[#This Row],[High Tol]],"Pass","Fail"),IF(Table1[[#This Row],[DUT Adj Read]]&lt;Table1[[#This Row],[High Tol]],"Pass","Fail")))</f>
        <v>Fail</v>
      </c>
      <c r="AF1385" s="1" t="str">
        <f>IF(AND(Table1[[#This Row],[Spec Type2]]="N/A",Table1[[#This Row],[DUT Adj Read]]="N/A",Table1[[#This Row],[Std Adj Read]]="N/A"),"N/A",IF(Table1[[#This Row],[DUT Adj Read]]="N/A",IF(Table1[[#This Row],[Std Adj Read]]&gt;=Table1[[#This Row],[Low Tol]],"Pass","Fail"),IF(Table1[[#This Row],[DUT Adj Read]]&gt;=Table1[[#This Row],[Low Tol]],"Pass","Fail")))</f>
        <v>Pass</v>
      </c>
      <c r="AG1385" s="1" t="str">
        <f>IF(AND(Table1[[#This Row],[Spec Type2]]="N/A",Table1[[#This Row],[DUT Adj Read]]="N/A",Table1[[#This Row],[Std Adj Read]]="N/A"),"N/A",IF(Table1[[#This Row],[DUT Adj Read]]="N/A",IF(Table1[[#This Row],[Std Adj Read]]&lt;=Table1[[#This Row],[High Tol]],"Pass","Fail"),IF(Table1[[#This Row],[DUT Adj Read]]&lt;=Table1[[#This Row],[High Tol]],"Pass","Fail")))</f>
        <v>Fail</v>
      </c>
      <c r="AH13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5" s="1" t="b">
        <v>0</v>
      </c>
      <c r="AN1385" s="1" t="b">
        <v>0</v>
      </c>
      <c r="AO1385" s="1" t="b">
        <v>0</v>
      </c>
    </row>
    <row r="1386" spans="1:41" x14ac:dyDescent="0.25">
      <c r="A1386" s="10"/>
      <c r="B1386" s="10"/>
      <c r="C1386" s="10"/>
      <c r="D1386" s="10"/>
      <c r="E1386" s="10"/>
      <c r="F1386" s="10"/>
      <c r="G1386" s="10"/>
      <c r="H1386" s="10"/>
      <c r="I1386" s="1" t="str">
        <f t="shared" si="63"/>
        <v/>
      </c>
      <c r="J1386" s="1" t="s">
        <v>35</v>
      </c>
      <c r="K1386" s="1" t="str">
        <f t="shared" si="64"/>
        <v/>
      </c>
      <c r="L1386" s="1" t="str">
        <f t="shared" si="65"/>
        <v/>
      </c>
      <c r="M1386" s="1">
        <f>IF(OR(Table1[[#This Row],[Std Nom]]="",Table1[[#This Row],[Std Read]]=""),0,Table1[[#This Row],[Std Nom]]-Table1[[#This Row],[Std Read]])</f>
        <v>0</v>
      </c>
      <c r="N1386" s="1">
        <f>IF(Calculations!$F$5="ACCREDITED 17025 WITH UNCERTAINTIES",$N$10,0)</f>
        <v>0</v>
      </c>
      <c r="O1386" s="1" t="str">
        <f>IFERROR(Table1[[#This Row],[Std Nom]]-(_xlfn.XLOOKUP(Table1[[#This Row],[Manufacturer]]&amp;" "&amp;Table1[[#This Row],[Model]],Table13[MFR &amp; MDL],Table13[Tolerance % CW ],"")/100*Table1[[#This Row],[Std Nom]]),"")</f>
        <v/>
      </c>
      <c r="P1386" s="1" t="str">
        <f>IFERROR(Table1[[#This Row],[Std Nom]]+(_xlfn.XLOOKUP(Table1[[#This Row],[Manufacturer]]&amp;" "&amp;Table1[[#This Row],[Model]],Table13[MFR &amp; MDL],Table13[Tolerance % CW ],"")/100*Table1[[#This Row],[Std Nom]]),"")</f>
        <v/>
      </c>
      <c r="Q1386" s="1" t="e">
        <f>Table1[[#This Row],[High Tol]]-Table1[[#This Row],[Low Tol]]</f>
        <v>#VALUE!</v>
      </c>
      <c r="R1386" s="1">
        <f>2*Table1[[#This Row],[Std Error]]</f>
        <v>0</v>
      </c>
      <c r="S1386" s="1" t="str">
        <f>IF(Table1[[#This Row],[High Tol]]="","N/A",IFERROR(ABS(Table1[[#This Row],[Tol Span]]/Table1[[#This Row],[Error Span]]),"N/A"))</f>
        <v>N/A</v>
      </c>
      <c r="T1386" s="1" t="str">
        <f>IF(OR(Table1[[#This Row],[Low Tol]]="",Table1[[#This Row],[High Tol]]=""),"Needs Analysis",IF(Table1[[#This Row],[Ratio]]&gt;=4,"Not Significant",IF(Table1[[#This Row],[Ratio]]&gt;=2,"Semi-Significant","Significant")))</f>
        <v>Needs Analysis</v>
      </c>
      <c r="W1386" s="1">
        <f>IF(Table1[[#This Row],[Cal Type]]&lt;&gt;"ACCREDITED 17025 WITH UNCERTAINTIES",0,"")</f>
        <v>0</v>
      </c>
      <c r="X1386" s="1" t="str">
        <f>IF(Table1[[#This Row],[DUT Read]]="","N/A",Table1[[#This Row],[Std Error]]+Table1[[#This Row],[DUT Read]]+Table1[[#This Row],[DUT Ucty]])</f>
        <v>N/A</v>
      </c>
      <c r="Y1386" s="1" t="str">
        <f>IF(Table1[[#This Row],[Std Read]]="","N/A",Table1[[#This Row],[Std Read]]+Table1[[#This Row],[Std Ucty]])</f>
        <v>N/A</v>
      </c>
      <c r="Z13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6" s="1" t="str">
        <f>IF(Table1[[#This Row],[Spec Type]]="","N/A",Table1[[#This Row],[Spec Type]])</f>
        <v>±</v>
      </c>
      <c r="AC1386" s="1" t="str">
        <f>IF(Table1[[#This Row],[Spec Type2]]="N/A","N/A",IF(AND(Table1[[#This Row],[DUT Adj Read]]&gt;=Table1[[#This Row],[Low Tol]],Table1[[#This Row],[DUT Adj Read]]&lt;=Table1[[#This Row],[High Tol]]),"Pass","Fail"))</f>
        <v>Fail</v>
      </c>
      <c r="AD1386" s="1" t="str">
        <f>IF(AND(Table1[[#This Row],[Spec Type2]]="N/A",Table1[[#This Row],[DUT Adj Read]]="N/A",Table1[[#This Row],[Std Adj Read]]="N/A"),"N/A",IF(Table1[[#This Row],[DUT Adj Read]]="N/A",IF(Table1[[#This Row],[Std Adj Read]]&gt;Table1[[#This Row],[Low Tol]],"Pass","Fail"),IF(Table1[[#This Row],[DUT Adj Read]]&gt;Table1[[#This Row],[Low Tol]],"Pass","Fail")))</f>
        <v>Pass</v>
      </c>
      <c r="AE1386" s="1" t="str">
        <f>IF(AND(Table1[[#This Row],[Spec Type2]]="N/A",Table1[[#This Row],[DUT Adj Read]]="N/A",Table1[[#This Row],[Std Adj Read]]="N/A"),"N/A",IF(Table1[[#This Row],[DUT Adj Read]]="N/A",IF(Table1[[#This Row],[Std Adj Read]]&lt;Table1[[#This Row],[High Tol]],"Pass","Fail"),IF(Table1[[#This Row],[DUT Adj Read]]&lt;Table1[[#This Row],[High Tol]],"Pass","Fail")))</f>
        <v>Fail</v>
      </c>
      <c r="AF1386" s="1" t="str">
        <f>IF(AND(Table1[[#This Row],[Spec Type2]]="N/A",Table1[[#This Row],[DUT Adj Read]]="N/A",Table1[[#This Row],[Std Adj Read]]="N/A"),"N/A",IF(Table1[[#This Row],[DUT Adj Read]]="N/A",IF(Table1[[#This Row],[Std Adj Read]]&gt;=Table1[[#This Row],[Low Tol]],"Pass","Fail"),IF(Table1[[#This Row],[DUT Adj Read]]&gt;=Table1[[#This Row],[Low Tol]],"Pass","Fail")))</f>
        <v>Pass</v>
      </c>
      <c r="AG1386" s="1" t="str">
        <f>IF(AND(Table1[[#This Row],[Spec Type2]]="N/A",Table1[[#This Row],[DUT Adj Read]]="N/A",Table1[[#This Row],[Std Adj Read]]="N/A"),"N/A",IF(Table1[[#This Row],[DUT Adj Read]]="N/A",IF(Table1[[#This Row],[Std Adj Read]]&lt;=Table1[[#This Row],[High Tol]],"Pass","Fail"),IF(Table1[[#This Row],[DUT Adj Read]]&lt;=Table1[[#This Row],[High Tol]],"Pass","Fail")))</f>
        <v>Fail</v>
      </c>
      <c r="AH13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6" s="1" t="b">
        <v>0</v>
      </c>
      <c r="AN1386" s="1" t="b">
        <v>0</v>
      </c>
      <c r="AO1386" s="1" t="b">
        <v>0</v>
      </c>
    </row>
    <row r="1387" spans="1:41" x14ac:dyDescent="0.25">
      <c r="A1387" s="10"/>
      <c r="B1387" s="10"/>
      <c r="C1387" s="10"/>
      <c r="D1387" s="10"/>
      <c r="E1387" s="10"/>
      <c r="F1387" s="10"/>
      <c r="G1387" s="10"/>
      <c r="H1387" s="10"/>
      <c r="I1387" s="1" t="str">
        <f t="shared" si="63"/>
        <v/>
      </c>
      <c r="J1387" s="1" t="s">
        <v>35</v>
      </c>
      <c r="K1387" s="1" t="str">
        <f t="shared" si="64"/>
        <v/>
      </c>
      <c r="L1387" s="1" t="str">
        <f t="shared" si="65"/>
        <v/>
      </c>
      <c r="M1387" s="1">
        <f>IF(OR(Table1[[#This Row],[Std Nom]]="",Table1[[#This Row],[Std Read]]=""),0,Table1[[#This Row],[Std Nom]]-Table1[[#This Row],[Std Read]])</f>
        <v>0</v>
      </c>
      <c r="N1387" s="1">
        <f>IF(Calculations!$F$5="ACCREDITED 17025 WITH UNCERTAINTIES",$N$10,0)</f>
        <v>0</v>
      </c>
      <c r="O1387" s="1" t="str">
        <f>IFERROR(Table1[[#This Row],[Std Nom]]-(_xlfn.XLOOKUP(Table1[[#This Row],[Manufacturer]]&amp;" "&amp;Table1[[#This Row],[Model]],Table13[MFR &amp; MDL],Table13[Tolerance % CW ],"")/100*Table1[[#This Row],[Std Nom]]),"")</f>
        <v/>
      </c>
      <c r="P1387" s="1" t="str">
        <f>IFERROR(Table1[[#This Row],[Std Nom]]+(_xlfn.XLOOKUP(Table1[[#This Row],[Manufacturer]]&amp;" "&amp;Table1[[#This Row],[Model]],Table13[MFR &amp; MDL],Table13[Tolerance % CW ],"")/100*Table1[[#This Row],[Std Nom]]),"")</f>
        <v/>
      </c>
      <c r="Q1387" s="1" t="e">
        <f>Table1[[#This Row],[High Tol]]-Table1[[#This Row],[Low Tol]]</f>
        <v>#VALUE!</v>
      </c>
      <c r="R1387" s="1">
        <f>2*Table1[[#This Row],[Std Error]]</f>
        <v>0</v>
      </c>
      <c r="S1387" s="1" t="str">
        <f>IF(Table1[[#This Row],[High Tol]]="","N/A",IFERROR(ABS(Table1[[#This Row],[Tol Span]]/Table1[[#This Row],[Error Span]]),"N/A"))</f>
        <v>N/A</v>
      </c>
      <c r="T1387" s="1" t="str">
        <f>IF(OR(Table1[[#This Row],[Low Tol]]="",Table1[[#This Row],[High Tol]]=""),"Needs Analysis",IF(Table1[[#This Row],[Ratio]]&gt;=4,"Not Significant",IF(Table1[[#This Row],[Ratio]]&gt;=2,"Semi-Significant","Significant")))</f>
        <v>Needs Analysis</v>
      </c>
      <c r="W1387" s="1">
        <f>IF(Table1[[#This Row],[Cal Type]]&lt;&gt;"ACCREDITED 17025 WITH UNCERTAINTIES",0,"")</f>
        <v>0</v>
      </c>
      <c r="X1387" s="1" t="str">
        <f>IF(Table1[[#This Row],[DUT Read]]="","N/A",Table1[[#This Row],[Std Error]]+Table1[[#This Row],[DUT Read]]+Table1[[#This Row],[DUT Ucty]])</f>
        <v>N/A</v>
      </c>
      <c r="Y1387" s="1" t="str">
        <f>IF(Table1[[#This Row],[Std Read]]="","N/A",Table1[[#This Row],[Std Read]]+Table1[[#This Row],[Std Ucty]])</f>
        <v>N/A</v>
      </c>
      <c r="Z13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7" s="1" t="str">
        <f>IF(Table1[[#This Row],[Spec Type]]="","N/A",Table1[[#This Row],[Spec Type]])</f>
        <v>±</v>
      </c>
      <c r="AC1387" s="1" t="str">
        <f>IF(Table1[[#This Row],[Spec Type2]]="N/A","N/A",IF(AND(Table1[[#This Row],[DUT Adj Read]]&gt;=Table1[[#This Row],[Low Tol]],Table1[[#This Row],[DUT Adj Read]]&lt;=Table1[[#This Row],[High Tol]]),"Pass","Fail"))</f>
        <v>Fail</v>
      </c>
      <c r="AD1387" s="1" t="str">
        <f>IF(AND(Table1[[#This Row],[Spec Type2]]="N/A",Table1[[#This Row],[DUT Adj Read]]="N/A",Table1[[#This Row],[Std Adj Read]]="N/A"),"N/A",IF(Table1[[#This Row],[DUT Adj Read]]="N/A",IF(Table1[[#This Row],[Std Adj Read]]&gt;Table1[[#This Row],[Low Tol]],"Pass","Fail"),IF(Table1[[#This Row],[DUT Adj Read]]&gt;Table1[[#This Row],[Low Tol]],"Pass","Fail")))</f>
        <v>Pass</v>
      </c>
      <c r="AE1387" s="1" t="str">
        <f>IF(AND(Table1[[#This Row],[Spec Type2]]="N/A",Table1[[#This Row],[DUT Adj Read]]="N/A",Table1[[#This Row],[Std Adj Read]]="N/A"),"N/A",IF(Table1[[#This Row],[DUT Adj Read]]="N/A",IF(Table1[[#This Row],[Std Adj Read]]&lt;Table1[[#This Row],[High Tol]],"Pass","Fail"),IF(Table1[[#This Row],[DUT Adj Read]]&lt;Table1[[#This Row],[High Tol]],"Pass","Fail")))</f>
        <v>Fail</v>
      </c>
      <c r="AF1387" s="1" t="str">
        <f>IF(AND(Table1[[#This Row],[Spec Type2]]="N/A",Table1[[#This Row],[DUT Adj Read]]="N/A",Table1[[#This Row],[Std Adj Read]]="N/A"),"N/A",IF(Table1[[#This Row],[DUT Adj Read]]="N/A",IF(Table1[[#This Row],[Std Adj Read]]&gt;=Table1[[#This Row],[Low Tol]],"Pass","Fail"),IF(Table1[[#This Row],[DUT Adj Read]]&gt;=Table1[[#This Row],[Low Tol]],"Pass","Fail")))</f>
        <v>Pass</v>
      </c>
      <c r="AG1387" s="1" t="str">
        <f>IF(AND(Table1[[#This Row],[Spec Type2]]="N/A",Table1[[#This Row],[DUT Adj Read]]="N/A",Table1[[#This Row],[Std Adj Read]]="N/A"),"N/A",IF(Table1[[#This Row],[DUT Adj Read]]="N/A",IF(Table1[[#This Row],[Std Adj Read]]&lt;=Table1[[#This Row],[High Tol]],"Pass","Fail"),IF(Table1[[#This Row],[DUT Adj Read]]&lt;=Table1[[#This Row],[High Tol]],"Pass","Fail")))</f>
        <v>Fail</v>
      </c>
      <c r="AH13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7" s="1" t="b">
        <v>0</v>
      </c>
      <c r="AN1387" s="1" t="b">
        <v>0</v>
      </c>
      <c r="AO1387" s="1" t="b">
        <v>0</v>
      </c>
    </row>
    <row r="1388" spans="1:41" x14ac:dyDescent="0.25">
      <c r="A1388" s="10"/>
      <c r="B1388" s="10"/>
      <c r="C1388" s="10"/>
      <c r="D1388" s="10"/>
      <c r="E1388" s="10"/>
      <c r="F1388" s="10"/>
      <c r="G1388" s="10"/>
      <c r="H1388" s="10"/>
      <c r="I1388" s="1" t="str">
        <f t="shared" si="63"/>
        <v/>
      </c>
      <c r="J1388" s="1" t="s">
        <v>35</v>
      </c>
      <c r="K1388" s="1" t="str">
        <f t="shared" si="64"/>
        <v/>
      </c>
      <c r="L1388" s="1" t="str">
        <f t="shared" si="65"/>
        <v/>
      </c>
      <c r="M1388" s="1">
        <f>IF(OR(Table1[[#This Row],[Std Nom]]="",Table1[[#This Row],[Std Read]]=""),0,Table1[[#This Row],[Std Nom]]-Table1[[#This Row],[Std Read]])</f>
        <v>0</v>
      </c>
      <c r="N1388" s="1">
        <f>IF(Calculations!$F$5="ACCREDITED 17025 WITH UNCERTAINTIES",$N$10,0)</f>
        <v>0</v>
      </c>
      <c r="O1388" s="1" t="str">
        <f>IFERROR(Table1[[#This Row],[Std Nom]]-(_xlfn.XLOOKUP(Table1[[#This Row],[Manufacturer]]&amp;" "&amp;Table1[[#This Row],[Model]],Table13[MFR &amp; MDL],Table13[Tolerance % CW ],"")/100*Table1[[#This Row],[Std Nom]]),"")</f>
        <v/>
      </c>
      <c r="P1388" s="1" t="str">
        <f>IFERROR(Table1[[#This Row],[Std Nom]]+(_xlfn.XLOOKUP(Table1[[#This Row],[Manufacturer]]&amp;" "&amp;Table1[[#This Row],[Model]],Table13[MFR &amp; MDL],Table13[Tolerance % CW ],"")/100*Table1[[#This Row],[Std Nom]]),"")</f>
        <v/>
      </c>
      <c r="Q1388" s="1" t="e">
        <f>Table1[[#This Row],[High Tol]]-Table1[[#This Row],[Low Tol]]</f>
        <v>#VALUE!</v>
      </c>
      <c r="R1388" s="1">
        <f>2*Table1[[#This Row],[Std Error]]</f>
        <v>0</v>
      </c>
      <c r="S1388" s="1" t="str">
        <f>IF(Table1[[#This Row],[High Tol]]="","N/A",IFERROR(ABS(Table1[[#This Row],[Tol Span]]/Table1[[#This Row],[Error Span]]),"N/A"))</f>
        <v>N/A</v>
      </c>
      <c r="T1388" s="1" t="str">
        <f>IF(OR(Table1[[#This Row],[Low Tol]]="",Table1[[#This Row],[High Tol]]=""),"Needs Analysis",IF(Table1[[#This Row],[Ratio]]&gt;=4,"Not Significant",IF(Table1[[#This Row],[Ratio]]&gt;=2,"Semi-Significant","Significant")))</f>
        <v>Needs Analysis</v>
      </c>
      <c r="W1388" s="1">
        <f>IF(Table1[[#This Row],[Cal Type]]&lt;&gt;"ACCREDITED 17025 WITH UNCERTAINTIES",0,"")</f>
        <v>0</v>
      </c>
      <c r="X1388" s="1" t="str">
        <f>IF(Table1[[#This Row],[DUT Read]]="","N/A",Table1[[#This Row],[Std Error]]+Table1[[#This Row],[DUT Read]]+Table1[[#This Row],[DUT Ucty]])</f>
        <v>N/A</v>
      </c>
      <c r="Y1388" s="1" t="str">
        <f>IF(Table1[[#This Row],[Std Read]]="","N/A",Table1[[#This Row],[Std Read]]+Table1[[#This Row],[Std Ucty]])</f>
        <v>N/A</v>
      </c>
      <c r="Z13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8" s="1" t="str">
        <f>IF(Table1[[#This Row],[Spec Type]]="","N/A",Table1[[#This Row],[Spec Type]])</f>
        <v>±</v>
      </c>
      <c r="AC1388" s="1" t="str">
        <f>IF(Table1[[#This Row],[Spec Type2]]="N/A","N/A",IF(AND(Table1[[#This Row],[DUT Adj Read]]&gt;=Table1[[#This Row],[Low Tol]],Table1[[#This Row],[DUT Adj Read]]&lt;=Table1[[#This Row],[High Tol]]),"Pass","Fail"))</f>
        <v>Fail</v>
      </c>
      <c r="AD1388" s="1" t="str">
        <f>IF(AND(Table1[[#This Row],[Spec Type2]]="N/A",Table1[[#This Row],[DUT Adj Read]]="N/A",Table1[[#This Row],[Std Adj Read]]="N/A"),"N/A",IF(Table1[[#This Row],[DUT Adj Read]]="N/A",IF(Table1[[#This Row],[Std Adj Read]]&gt;Table1[[#This Row],[Low Tol]],"Pass","Fail"),IF(Table1[[#This Row],[DUT Adj Read]]&gt;Table1[[#This Row],[Low Tol]],"Pass","Fail")))</f>
        <v>Pass</v>
      </c>
      <c r="AE1388" s="1" t="str">
        <f>IF(AND(Table1[[#This Row],[Spec Type2]]="N/A",Table1[[#This Row],[DUT Adj Read]]="N/A",Table1[[#This Row],[Std Adj Read]]="N/A"),"N/A",IF(Table1[[#This Row],[DUT Adj Read]]="N/A",IF(Table1[[#This Row],[Std Adj Read]]&lt;Table1[[#This Row],[High Tol]],"Pass","Fail"),IF(Table1[[#This Row],[DUT Adj Read]]&lt;Table1[[#This Row],[High Tol]],"Pass","Fail")))</f>
        <v>Fail</v>
      </c>
      <c r="AF1388" s="1" t="str">
        <f>IF(AND(Table1[[#This Row],[Spec Type2]]="N/A",Table1[[#This Row],[DUT Adj Read]]="N/A",Table1[[#This Row],[Std Adj Read]]="N/A"),"N/A",IF(Table1[[#This Row],[DUT Adj Read]]="N/A",IF(Table1[[#This Row],[Std Adj Read]]&gt;=Table1[[#This Row],[Low Tol]],"Pass","Fail"),IF(Table1[[#This Row],[DUT Adj Read]]&gt;=Table1[[#This Row],[Low Tol]],"Pass","Fail")))</f>
        <v>Pass</v>
      </c>
      <c r="AG1388" s="1" t="str">
        <f>IF(AND(Table1[[#This Row],[Spec Type2]]="N/A",Table1[[#This Row],[DUT Adj Read]]="N/A",Table1[[#This Row],[Std Adj Read]]="N/A"),"N/A",IF(Table1[[#This Row],[DUT Adj Read]]="N/A",IF(Table1[[#This Row],[Std Adj Read]]&lt;=Table1[[#This Row],[High Tol]],"Pass","Fail"),IF(Table1[[#This Row],[DUT Adj Read]]&lt;=Table1[[#This Row],[High Tol]],"Pass","Fail")))</f>
        <v>Fail</v>
      </c>
      <c r="AH13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8" s="1" t="b">
        <v>0</v>
      </c>
      <c r="AN1388" s="1" t="b">
        <v>0</v>
      </c>
      <c r="AO1388" s="1" t="b">
        <v>0</v>
      </c>
    </row>
    <row r="1389" spans="1:41" x14ac:dyDescent="0.25">
      <c r="A1389" s="10"/>
      <c r="B1389" s="10"/>
      <c r="C1389" s="10"/>
      <c r="D1389" s="10"/>
      <c r="E1389" s="10"/>
      <c r="F1389" s="10"/>
      <c r="G1389" s="10"/>
      <c r="H1389" s="10"/>
      <c r="I1389" s="1" t="str">
        <f t="shared" si="63"/>
        <v/>
      </c>
      <c r="J1389" s="1" t="s">
        <v>35</v>
      </c>
      <c r="K1389" s="1" t="str">
        <f t="shared" si="64"/>
        <v/>
      </c>
      <c r="L1389" s="1" t="str">
        <f t="shared" si="65"/>
        <v/>
      </c>
      <c r="M1389" s="1">
        <f>IF(OR(Table1[[#This Row],[Std Nom]]="",Table1[[#This Row],[Std Read]]=""),0,Table1[[#This Row],[Std Nom]]-Table1[[#This Row],[Std Read]])</f>
        <v>0</v>
      </c>
      <c r="N1389" s="1">
        <f>IF(Calculations!$F$5="ACCREDITED 17025 WITH UNCERTAINTIES",$N$10,0)</f>
        <v>0</v>
      </c>
      <c r="O1389" s="1" t="str">
        <f>IFERROR(Table1[[#This Row],[Std Nom]]-(_xlfn.XLOOKUP(Table1[[#This Row],[Manufacturer]]&amp;" "&amp;Table1[[#This Row],[Model]],Table13[MFR &amp; MDL],Table13[Tolerance % CW ],"")/100*Table1[[#This Row],[Std Nom]]),"")</f>
        <v/>
      </c>
      <c r="P1389" s="1" t="str">
        <f>IFERROR(Table1[[#This Row],[Std Nom]]+(_xlfn.XLOOKUP(Table1[[#This Row],[Manufacturer]]&amp;" "&amp;Table1[[#This Row],[Model]],Table13[MFR &amp; MDL],Table13[Tolerance % CW ],"")/100*Table1[[#This Row],[Std Nom]]),"")</f>
        <v/>
      </c>
      <c r="Q1389" s="1" t="e">
        <f>Table1[[#This Row],[High Tol]]-Table1[[#This Row],[Low Tol]]</f>
        <v>#VALUE!</v>
      </c>
      <c r="R1389" s="1">
        <f>2*Table1[[#This Row],[Std Error]]</f>
        <v>0</v>
      </c>
      <c r="S1389" s="1" t="str">
        <f>IF(Table1[[#This Row],[High Tol]]="","N/A",IFERROR(ABS(Table1[[#This Row],[Tol Span]]/Table1[[#This Row],[Error Span]]),"N/A"))</f>
        <v>N/A</v>
      </c>
      <c r="T1389" s="1" t="str">
        <f>IF(OR(Table1[[#This Row],[Low Tol]]="",Table1[[#This Row],[High Tol]]=""),"Needs Analysis",IF(Table1[[#This Row],[Ratio]]&gt;=4,"Not Significant",IF(Table1[[#This Row],[Ratio]]&gt;=2,"Semi-Significant","Significant")))</f>
        <v>Needs Analysis</v>
      </c>
      <c r="W1389" s="1">
        <f>IF(Table1[[#This Row],[Cal Type]]&lt;&gt;"ACCREDITED 17025 WITH UNCERTAINTIES",0,"")</f>
        <v>0</v>
      </c>
      <c r="X1389" s="1" t="str">
        <f>IF(Table1[[#This Row],[DUT Read]]="","N/A",Table1[[#This Row],[Std Error]]+Table1[[#This Row],[DUT Read]]+Table1[[#This Row],[DUT Ucty]])</f>
        <v>N/A</v>
      </c>
      <c r="Y1389" s="1" t="str">
        <f>IF(Table1[[#This Row],[Std Read]]="","N/A",Table1[[#This Row],[Std Read]]+Table1[[#This Row],[Std Ucty]])</f>
        <v>N/A</v>
      </c>
      <c r="Z13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9" s="1" t="str">
        <f>IF(Table1[[#This Row],[Spec Type]]="","N/A",Table1[[#This Row],[Spec Type]])</f>
        <v>±</v>
      </c>
      <c r="AC1389" s="1" t="str">
        <f>IF(Table1[[#This Row],[Spec Type2]]="N/A","N/A",IF(AND(Table1[[#This Row],[DUT Adj Read]]&gt;=Table1[[#This Row],[Low Tol]],Table1[[#This Row],[DUT Adj Read]]&lt;=Table1[[#This Row],[High Tol]]),"Pass","Fail"))</f>
        <v>Fail</v>
      </c>
      <c r="AD1389" s="1" t="str">
        <f>IF(AND(Table1[[#This Row],[Spec Type2]]="N/A",Table1[[#This Row],[DUT Adj Read]]="N/A",Table1[[#This Row],[Std Adj Read]]="N/A"),"N/A",IF(Table1[[#This Row],[DUT Adj Read]]="N/A",IF(Table1[[#This Row],[Std Adj Read]]&gt;Table1[[#This Row],[Low Tol]],"Pass","Fail"),IF(Table1[[#This Row],[DUT Adj Read]]&gt;Table1[[#This Row],[Low Tol]],"Pass","Fail")))</f>
        <v>Pass</v>
      </c>
      <c r="AE1389" s="1" t="str">
        <f>IF(AND(Table1[[#This Row],[Spec Type2]]="N/A",Table1[[#This Row],[DUT Adj Read]]="N/A",Table1[[#This Row],[Std Adj Read]]="N/A"),"N/A",IF(Table1[[#This Row],[DUT Adj Read]]="N/A",IF(Table1[[#This Row],[Std Adj Read]]&lt;Table1[[#This Row],[High Tol]],"Pass","Fail"),IF(Table1[[#This Row],[DUT Adj Read]]&lt;Table1[[#This Row],[High Tol]],"Pass","Fail")))</f>
        <v>Fail</v>
      </c>
      <c r="AF1389" s="1" t="str">
        <f>IF(AND(Table1[[#This Row],[Spec Type2]]="N/A",Table1[[#This Row],[DUT Adj Read]]="N/A",Table1[[#This Row],[Std Adj Read]]="N/A"),"N/A",IF(Table1[[#This Row],[DUT Adj Read]]="N/A",IF(Table1[[#This Row],[Std Adj Read]]&gt;=Table1[[#This Row],[Low Tol]],"Pass","Fail"),IF(Table1[[#This Row],[DUT Adj Read]]&gt;=Table1[[#This Row],[Low Tol]],"Pass","Fail")))</f>
        <v>Pass</v>
      </c>
      <c r="AG1389" s="1" t="str">
        <f>IF(AND(Table1[[#This Row],[Spec Type2]]="N/A",Table1[[#This Row],[DUT Adj Read]]="N/A",Table1[[#This Row],[Std Adj Read]]="N/A"),"N/A",IF(Table1[[#This Row],[DUT Adj Read]]="N/A",IF(Table1[[#This Row],[Std Adj Read]]&lt;=Table1[[#This Row],[High Tol]],"Pass","Fail"),IF(Table1[[#This Row],[DUT Adj Read]]&lt;=Table1[[#This Row],[High Tol]],"Pass","Fail")))</f>
        <v>Fail</v>
      </c>
      <c r="AH13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9" s="1" t="b">
        <v>0</v>
      </c>
      <c r="AN1389" s="1" t="b">
        <v>0</v>
      </c>
      <c r="AO1389" s="1" t="b">
        <v>0</v>
      </c>
    </row>
    <row r="1390" spans="1:41" x14ac:dyDescent="0.25">
      <c r="A1390" s="10"/>
      <c r="B1390" s="10"/>
      <c r="C1390" s="10"/>
      <c r="D1390" s="10"/>
      <c r="E1390" s="10"/>
      <c r="F1390" s="10"/>
      <c r="G1390" s="10"/>
      <c r="H1390" s="10"/>
      <c r="I1390" s="1" t="str">
        <f t="shared" si="63"/>
        <v/>
      </c>
      <c r="J1390" s="1" t="s">
        <v>35</v>
      </c>
      <c r="K1390" s="1" t="str">
        <f t="shared" si="64"/>
        <v/>
      </c>
      <c r="L1390" s="1" t="str">
        <f t="shared" si="65"/>
        <v/>
      </c>
      <c r="M1390" s="1">
        <f>IF(OR(Table1[[#This Row],[Std Nom]]="",Table1[[#This Row],[Std Read]]=""),0,Table1[[#This Row],[Std Nom]]-Table1[[#This Row],[Std Read]])</f>
        <v>0</v>
      </c>
      <c r="N1390" s="1">
        <f>IF(Calculations!$F$5="ACCREDITED 17025 WITH UNCERTAINTIES",$N$10,0)</f>
        <v>0</v>
      </c>
      <c r="O1390" s="1" t="str">
        <f>IFERROR(Table1[[#This Row],[Std Nom]]-(_xlfn.XLOOKUP(Table1[[#This Row],[Manufacturer]]&amp;" "&amp;Table1[[#This Row],[Model]],Table13[MFR &amp; MDL],Table13[Tolerance % CW ],"")/100*Table1[[#This Row],[Std Nom]]),"")</f>
        <v/>
      </c>
      <c r="P1390" s="1" t="str">
        <f>IFERROR(Table1[[#This Row],[Std Nom]]+(_xlfn.XLOOKUP(Table1[[#This Row],[Manufacturer]]&amp;" "&amp;Table1[[#This Row],[Model]],Table13[MFR &amp; MDL],Table13[Tolerance % CW ],"")/100*Table1[[#This Row],[Std Nom]]),"")</f>
        <v/>
      </c>
      <c r="Q1390" s="1" t="e">
        <f>Table1[[#This Row],[High Tol]]-Table1[[#This Row],[Low Tol]]</f>
        <v>#VALUE!</v>
      </c>
      <c r="R1390" s="1">
        <f>2*Table1[[#This Row],[Std Error]]</f>
        <v>0</v>
      </c>
      <c r="S1390" s="1" t="str">
        <f>IF(Table1[[#This Row],[High Tol]]="","N/A",IFERROR(ABS(Table1[[#This Row],[Tol Span]]/Table1[[#This Row],[Error Span]]),"N/A"))</f>
        <v>N/A</v>
      </c>
      <c r="T1390" s="1" t="str">
        <f>IF(OR(Table1[[#This Row],[Low Tol]]="",Table1[[#This Row],[High Tol]]=""),"Needs Analysis",IF(Table1[[#This Row],[Ratio]]&gt;=4,"Not Significant",IF(Table1[[#This Row],[Ratio]]&gt;=2,"Semi-Significant","Significant")))</f>
        <v>Needs Analysis</v>
      </c>
      <c r="W1390" s="1">
        <f>IF(Table1[[#This Row],[Cal Type]]&lt;&gt;"ACCREDITED 17025 WITH UNCERTAINTIES",0,"")</f>
        <v>0</v>
      </c>
      <c r="X1390" s="1" t="str">
        <f>IF(Table1[[#This Row],[DUT Read]]="","N/A",Table1[[#This Row],[Std Error]]+Table1[[#This Row],[DUT Read]]+Table1[[#This Row],[DUT Ucty]])</f>
        <v>N/A</v>
      </c>
      <c r="Y1390" s="1" t="str">
        <f>IF(Table1[[#This Row],[Std Read]]="","N/A",Table1[[#This Row],[Std Read]]+Table1[[#This Row],[Std Ucty]])</f>
        <v>N/A</v>
      </c>
      <c r="Z13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0" s="1" t="str">
        <f>IF(Table1[[#This Row],[Spec Type]]="","N/A",Table1[[#This Row],[Spec Type]])</f>
        <v>±</v>
      </c>
      <c r="AC1390" s="1" t="str">
        <f>IF(Table1[[#This Row],[Spec Type2]]="N/A","N/A",IF(AND(Table1[[#This Row],[DUT Adj Read]]&gt;=Table1[[#This Row],[Low Tol]],Table1[[#This Row],[DUT Adj Read]]&lt;=Table1[[#This Row],[High Tol]]),"Pass","Fail"))</f>
        <v>Fail</v>
      </c>
      <c r="AD1390" s="1" t="str">
        <f>IF(AND(Table1[[#This Row],[Spec Type2]]="N/A",Table1[[#This Row],[DUT Adj Read]]="N/A",Table1[[#This Row],[Std Adj Read]]="N/A"),"N/A",IF(Table1[[#This Row],[DUT Adj Read]]="N/A",IF(Table1[[#This Row],[Std Adj Read]]&gt;Table1[[#This Row],[Low Tol]],"Pass","Fail"),IF(Table1[[#This Row],[DUT Adj Read]]&gt;Table1[[#This Row],[Low Tol]],"Pass","Fail")))</f>
        <v>Pass</v>
      </c>
      <c r="AE1390" s="1" t="str">
        <f>IF(AND(Table1[[#This Row],[Spec Type2]]="N/A",Table1[[#This Row],[DUT Adj Read]]="N/A",Table1[[#This Row],[Std Adj Read]]="N/A"),"N/A",IF(Table1[[#This Row],[DUT Adj Read]]="N/A",IF(Table1[[#This Row],[Std Adj Read]]&lt;Table1[[#This Row],[High Tol]],"Pass","Fail"),IF(Table1[[#This Row],[DUT Adj Read]]&lt;Table1[[#This Row],[High Tol]],"Pass","Fail")))</f>
        <v>Fail</v>
      </c>
      <c r="AF1390" s="1" t="str">
        <f>IF(AND(Table1[[#This Row],[Spec Type2]]="N/A",Table1[[#This Row],[DUT Adj Read]]="N/A",Table1[[#This Row],[Std Adj Read]]="N/A"),"N/A",IF(Table1[[#This Row],[DUT Adj Read]]="N/A",IF(Table1[[#This Row],[Std Adj Read]]&gt;=Table1[[#This Row],[Low Tol]],"Pass","Fail"),IF(Table1[[#This Row],[DUT Adj Read]]&gt;=Table1[[#This Row],[Low Tol]],"Pass","Fail")))</f>
        <v>Pass</v>
      </c>
      <c r="AG1390" s="1" t="str">
        <f>IF(AND(Table1[[#This Row],[Spec Type2]]="N/A",Table1[[#This Row],[DUT Adj Read]]="N/A",Table1[[#This Row],[Std Adj Read]]="N/A"),"N/A",IF(Table1[[#This Row],[DUT Adj Read]]="N/A",IF(Table1[[#This Row],[Std Adj Read]]&lt;=Table1[[#This Row],[High Tol]],"Pass","Fail"),IF(Table1[[#This Row],[DUT Adj Read]]&lt;=Table1[[#This Row],[High Tol]],"Pass","Fail")))</f>
        <v>Fail</v>
      </c>
      <c r="AH13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0" s="1" t="b">
        <v>0</v>
      </c>
      <c r="AN1390" s="1" t="b">
        <v>0</v>
      </c>
      <c r="AO1390" s="1" t="b">
        <v>0</v>
      </c>
    </row>
    <row r="1391" spans="1:41" x14ac:dyDescent="0.25">
      <c r="A1391" s="10"/>
      <c r="B1391" s="10"/>
      <c r="C1391" s="10"/>
      <c r="D1391" s="10"/>
      <c r="E1391" s="10"/>
      <c r="F1391" s="10"/>
      <c r="G1391" s="10"/>
      <c r="H1391" s="10"/>
      <c r="I1391" s="1" t="str">
        <f t="shared" si="63"/>
        <v/>
      </c>
      <c r="J1391" s="1" t="s">
        <v>35</v>
      </c>
      <c r="K1391" s="1" t="str">
        <f t="shared" si="64"/>
        <v/>
      </c>
      <c r="L1391" s="1" t="str">
        <f t="shared" si="65"/>
        <v/>
      </c>
      <c r="M1391" s="1">
        <f>IF(OR(Table1[[#This Row],[Std Nom]]="",Table1[[#This Row],[Std Read]]=""),0,Table1[[#This Row],[Std Nom]]-Table1[[#This Row],[Std Read]])</f>
        <v>0</v>
      </c>
      <c r="N1391" s="1">
        <f>IF(Calculations!$F$5="ACCREDITED 17025 WITH UNCERTAINTIES",$N$10,0)</f>
        <v>0</v>
      </c>
      <c r="O1391" s="1" t="str">
        <f>IFERROR(Table1[[#This Row],[Std Nom]]-(_xlfn.XLOOKUP(Table1[[#This Row],[Manufacturer]]&amp;" "&amp;Table1[[#This Row],[Model]],Table13[MFR &amp; MDL],Table13[Tolerance % CW ],"")/100*Table1[[#This Row],[Std Nom]]),"")</f>
        <v/>
      </c>
      <c r="P1391" s="1" t="str">
        <f>IFERROR(Table1[[#This Row],[Std Nom]]+(_xlfn.XLOOKUP(Table1[[#This Row],[Manufacturer]]&amp;" "&amp;Table1[[#This Row],[Model]],Table13[MFR &amp; MDL],Table13[Tolerance % CW ],"")/100*Table1[[#This Row],[Std Nom]]),"")</f>
        <v/>
      </c>
      <c r="Q1391" s="1" t="e">
        <f>Table1[[#This Row],[High Tol]]-Table1[[#This Row],[Low Tol]]</f>
        <v>#VALUE!</v>
      </c>
      <c r="R1391" s="1">
        <f>2*Table1[[#This Row],[Std Error]]</f>
        <v>0</v>
      </c>
      <c r="S1391" s="1" t="str">
        <f>IF(Table1[[#This Row],[High Tol]]="","N/A",IFERROR(ABS(Table1[[#This Row],[Tol Span]]/Table1[[#This Row],[Error Span]]),"N/A"))</f>
        <v>N/A</v>
      </c>
      <c r="T1391" s="1" t="str">
        <f>IF(OR(Table1[[#This Row],[Low Tol]]="",Table1[[#This Row],[High Tol]]=""),"Needs Analysis",IF(Table1[[#This Row],[Ratio]]&gt;=4,"Not Significant",IF(Table1[[#This Row],[Ratio]]&gt;=2,"Semi-Significant","Significant")))</f>
        <v>Needs Analysis</v>
      </c>
      <c r="W1391" s="1">
        <f>IF(Table1[[#This Row],[Cal Type]]&lt;&gt;"ACCREDITED 17025 WITH UNCERTAINTIES",0,"")</f>
        <v>0</v>
      </c>
      <c r="X1391" s="1" t="str">
        <f>IF(Table1[[#This Row],[DUT Read]]="","N/A",Table1[[#This Row],[Std Error]]+Table1[[#This Row],[DUT Read]]+Table1[[#This Row],[DUT Ucty]])</f>
        <v>N/A</v>
      </c>
      <c r="Y1391" s="1" t="str">
        <f>IF(Table1[[#This Row],[Std Read]]="","N/A",Table1[[#This Row],[Std Read]]+Table1[[#This Row],[Std Ucty]])</f>
        <v>N/A</v>
      </c>
      <c r="Z13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1" s="1" t="str">
        <f>IF(Table1[[#This Row],[Spec Type]]="","N/A",Table1[[#This Row],[Spec Type]])</f>
        <v>±</v>
      </c>
      <c r="AC1391" s="1" t="str">
        <f>IF(Table1[[#This Row],[Spec Type2]]="N/A","N/A",IF(AND(Table1[[#This Row],[DUT Adj Read]]&gt;=Table1[[#This Row],[Low Tol]],Table1[[#This Row],[DUT Adj Read]]&lt;=Table1[[#This Row],[High Tol]]),"Pass","Fail"))</f>
        <v>Fail</v>
      </c>
      <c r="AD1391" s="1" t="str">
        <f>IF(AND(Table1[[#This Row],[Spec Type2]]="N/A",Table1[[#This Row],[DUT Adj Read]]="N/A",Table1[[#This Row],[Std Adj Read]]="N/A"),"N/A",IF(Table1[[#This Row],[DUT Adj Read]]="N/A",IF(Table1[[#This Row],[Std Adj Read]]&gt;Table1[[#This Row],[Low Tol]],"Pass","Fail"),IF(Table1[[#This Row],[DUT Adj Read]]&gt;Table1[[#This Row],[Low Tol]],"Pass","Fail")))</f>
        <v>Pass</v>
      </c>
      <c r="AE1391" s="1" t="str">
        <f>IF(AND(Table1[[#This Row],[Spec Type2]]="N/A",Table1[[#This Row],[DUT Adj Read]]="N/A",Table1[[#This Row],[Std Adj Read]]="N/A"),"N/A",IF(Table1[[#This Row],[DUT Adj Read]]="N/A",IF(Table1[[#This Row],[Std Adj Read]]&lt;Table1[[#This Row],[High Tol]],"Pass","Fail"),IF(Table1[[#This Row],[DUT Adj Read]]&lt;Table1[[#This Row],[High Tol]],"Pass","Fail")))</f>
        <v>Fail</v>
      </c>
      <c r="AF1391" s="1" t="str">
        <f>IF(AND(Table1[[#This Row],[Spec Type2]]="N/A",Table1[[#This Row],[DUT Adj Read]]="N/A",Table1[[#This Row],[Std Adj Read]]="N/A"),"N/A",IF(Table1[[#This Row],[DUT Adj Read]]="N/A",IF(Table1[[#This Row],[Std Adj Read]]&gt;=Table1[[#This Row],[Low Tol]],"Pass","Fail"),IF(Table1[[#This Row],[DUT Adj Read]]&gt;=Table1[[#This Row],[Low Tol]],"Pass","Fail")))</f>
        <v>Pass</v>
      </c>
      <c r="AG1391" s="1" t="str">
        <f>IF(AND(Table1[[#This Row],[Spec Type2]]="N/A",Table1[[#This Row],[DUT Adj Read]]="N/A",Table1[[#This Row],[Std Adj Read]]="N/A"),"N/A",IF(Table1[[#This Row],[DUT Adj Read]]="N/A",IF(Table1[[#This Row],[Std Adj Read]]&lt;=Table1[[#This Row],[High Tol]],"Pass","Fail"),IF(Table1[[#This Row],[DUT Adj Read]]&lt;=Table1[[#This Row],[High Tol]],"Pass","Fail")))</f>
        <v>Fail</v>
      </c>
      <c r="AH13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1" s="1" t="b">
        <v>0</v>
      </c>
      <c r="AN1391" s="1" t="b">
        <v>0</v>
      </c>
      <c r="AO1391" s="1" t="b">
        <v>0</v>
      </c>
    </row>
    <row r="1392" spans="1:41" x14ac:dyDescent="0.25">
      <c r="A1392" s="10"/>
      <c r="B1392" s="10"/>
      <c r="C1392" s="10"/>
      <c r="D1392" s="10"/>
      <c r="E1392" s="10"/>
      <c r="F1392" s="10"/>
      <c r="G1392" s="10"/>
      <c r="H1392" s="10"/>
      <c r="I1392" s="1" t="str">
        <f t="shared" si="63"/>
        <v/>
      </c>
      <c r="J1392" s="1" t="s">
        <v>35</v>
      </c>
      <c r="K1392" s="1" t="str">
        <f t="shared" si="64"/>
        <v/>
      </c>
      <c r="L1392" s="1" t="str">
        <f t="shared" si="65"/>
        <v/>
      </c>
      <c r="M1392" s="1">
        <f>IF(OR(Table1[[#This Row],[Std Nom]]="",Table1[[#This Row],[Std Read]]=""),0,Table1[[#This Row],[Std Nom]]-Table1[[#This Row],[Std Read]])</f>
        <v>0</v>
      </c>
      <c r="N1392" s="1">
        <f>IF(Calculations!$F$5="ACCREDITED 17025 WITH UNCERTAINTIES",$N$10,0)</f>
        <v>0</v>
      </c>
      <c r="O1392" s="1" t="str">
        <f>IFERROR(Table1[[#This Row],[Std Nom]]-(_xlfn.XLOOKUP(Table1[[#This Row],[Manufacturer]]&amp;" "&amp;Table1[[#This Row],[Model]],Table13[MFR &amp; MDL],Table13[Tolerance % CW ],"")/100*Table1[[#This Row],[Std Nom]]),"")</f>
        <v/>
      </c>
      <c r="P1392" s="1" t="str">
        <f>IFERROR(Table1[[#This Row],[Std Nom]]+(_xlfn.XLOOKUP(Table1[[#This Row],[Manufacturer]]&amp;" "&amp;Table1[[#This Row],[Model]],Table13[MFR &amp; MDL],Table13[Tolerance % CW ],"")/100*Table1[[#This Row],[Std Nom]]),"")</f>
        <v/>
      </c>
      <c r="Q1392" s="1" t="e">
        <f>Table1[[#This Row],[High Tol]]-Table1[[#This Row],[Low Tol]]</f>
        <v>#VALUE!</v>
      </c>
      <c r="R1392" s="1">
        <f>2*Table1[[#This Row],[Std Error]]</f>
        <v>0</v>
      </c>
      <c r="S1392" s="1" t="str">
        <f>IF(Table1[[#This Row],[High Tol]]="","N/A",IFERROR(ABS(Table1[[#This Row],[Tol Span]]/Table1[[#This Row],[Error Span]]),"N/A"))</f>
        <v>N/A</v>
      </c>
      <c r="T1392" s="1" t="str">
        <f>IF(OR(Table1[[#This Row],[Low Tol]]="",Table1[[#This Row],[High Tol]]=""),"Needs Analysis",IF(Table1[[#This Row],[Ratio]]&gt;=4,"Not Significant",IF(Table1[[#This Row],[Ratio]]&gt;=2,"Semi-Significant","Significant")))</f>
        <v>Needs Analysis</v>
      </c>
      <c r="W1392" s="1">
        <f>IF(Table1[[#This Row],[Cal Type]]&lt;&gt;"ACCREDITED 17025 WITH UNCERTAINTIES",0,"")</f>
        <v>0</v>
      </c>
      <c r="X1392" s="1" t="str">
        <f>IF(Table1[[#This Row],[DUT Read]]="","N/A",Table1[[#This Row],[Std Error]]+Table1[[#This Row],[DUT Read]]+Table1[[#This Row],[DUT Ucty]])</f>
        <v>N/A</v>
      </c>
      <c r="Y1392" s="1" t="str">
        <f>IF(Table1[[#This Row],[Std Read]]="","N/A",Table1[[#This Row],[Std Read]]+Table1[[#This Row],[Std Ucty]])</f>
        <v>N/A</v>
      </c>
      <c r="Z13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2" s="1" t="str">
        <f>IF(Table1[[#This Row],[Spec Type]]="","N/A",Table1[[#This Row],[Spec Type]])</f>
        <v>±</v>
      </c>
      <c r="AC1392" s="1" t="str">
        <f>IF(Table1[[#This Row],[Spec Type2]]="N/A","N/A",IF(AND(Table1[[#This Row],[DUT Adj Read]]&gt;=Table1[[#This Row],[Low Tol]],Table1[[#This Row],[DUT Adj Read]]&lt;=Table1[[#This Row],[High Tol]]),"Pass","Fail"))</f>
        <v>Fail</v>
      </c>
      <c r="AD1392" s="1" t="str">
        <f>IF(AND(Table1[[#This Row],[Spec Type2]]="N/A",Table1[[#This Row],[DUT Adj Read]]="N/A",Table1[[#This Row],[Std Adj Read]]="N/A"),"N/A",IF(Table1[[#This Row],[DUT Adj Read]]="N/A",IF(Table1[[#This Row],[Std Adj Read]]&gt;Table1[[#This Row],[Low Tol]],"Pass","Fail"),IF(Table1[[#This Row],[DUT Adj Read]]&gt;Table1[[#This Row],[Low Tol]],"Pass","Fail")))</f>
        <v>Pass</v>
      </c>
      <c r="AE1392" s="1" t="str">
        <f>IF(AND(Table1[[#This Row],[Spec Type2]]="N/A",Table1[[#This Row],[DUT Adj Read]]="N/A",Table1[[#This Row],[Std Adj Read]]="N/A"),"N/A",IF(Table1[[#This Row],[DUT Adj Read]]="N/A",IF(Table1[[#This Row],[Std Adj Read]]&lt;Table1[[#This Row],[High Tol]],"Pass","Fail"),IF(Table1[[#This Row],[DUT Adj Read]]&lt;Table1[[#This Row],[High Tol]],"Pass","Fail")))</f>
        <v>Fail</v>
      </c>
      <c r="AF1392" s="1" t="str">
        <f>IF(AND(Table1[[#This Row],[Spec Type2]]="N/A",Table1[[#This Row],[DUT Adj Read]]="N/A",Table1[[#This Row],[Std Adj Read]]="N/A"),"N/A",IF(Table1[[#This Row],[DUT Adj Read]]="N/A",IF(Table1[[#This Row],[Std Adj Read]]&gt;=Table1[[#This Row],[Low Tol]],"Pass","Fail"),IF(Table1[[#This Row],[DUT Adj Read]]&gt;=Table1[[#This Row],[Low Tol]],"Pass","Fail")))</f>
        <v>Pass</v>
      </c>
      <c r="AG1392" s="1" t="str">
        <f>IF(AND(Table1[[#This Row],[Spec Type2]]="N/A",Table1[[#This Row],[DUT Adj Read]]="N/A",Table1[[#This Row],[Std Adj Read]]="N/A"),"N/A",IF(Table1[[#This Row],[DUT Adj Read]]="N/A",IF(Table1[[#This Row],[Std Adj Read]]&lt;=Table1[[#This Row],[High Tol]],"Pass","Fail"),IF(Table1[[#This Row],[DUT Adj Read]]&lt;=Table1[[#This Row],[High Tol]],"Pass","Fail")))</f>
        <v>Fail</v>
      </c>
      <c r="AH13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2" s="1" t="b">
        <v>0</v>
      </c>
      <c r="AN1392" s="1" t="b">
        <v>0</v>
      </c>
      <c r="AO1392" s="1" t="b">
        <v>0</v>
      </c>
    </row>
    <row r="1393" spans="1:41" x14ac:dyDescent="0.25">
      <c r="A1393" s="10"/>
      <c r="B1393" s="10"/>
      <c r="C1393" s="10"/>
      <c r="D1393" s="10"/>
      <c r="E1393" s="10"/>
      <c r="F1393" s="10"/>
      <c r="G1393" s="10"/>
      <c r="H1393" s="10"/>
      <c r="I1393" s="1" t="str">
        <f t="shared" si="63"/>
        <v/>
      </c>
      <c r="J1393" s="1" t="s">
        <v>35</v>
      </c>
      <c r="K1393" s="1" t="str">
        <f t="shared" si="64"/>
        <v/>
      </c>
      <c r="L1393" s="1" t="str">
        <f t="shared" si="65"/>
        <v/>
      </c>
      <c r="M1393" s="1">
        <f>IF(OR(Table1[[#This Row],[Std Nom]]="",Table1[[#This Row],[Std Read]]=""),0,Table1[[#This Row],[Std Nom]]-Table1[[#This Row],[Std Read]])</f>
        <v>0</v>
      </c>
      <c r="N1393" s="1">
        <f>IF(Calculations!$F$5="ACCREDITED 17025 WITH UNCERTAINTIES",$N$10,0)</f>
        <v>0</v>
      </c>
      <c r="O1393" s="1" t="str">
        <f>IFERROR(Table1[[#This Row],[Std Nom]]-(_xlfn.XLOOKUP(Table1[[#This Row],[Manufacturer]]&amp;" "&amp;Table1[[#This Row],[Model]],Table13[MFR &amp; MDL],Table13[Tolerance % CW ],"")/100*Table1[[#This Row],[Std Nom]]),"")</f>
        <v/>
      </c>
      <c r="P1393" s="1" t="str">
        <f>IFERROR(Table1[[#This Row],[Std Nom]]+(_xlfn.XLOOKUP(Table1[[#This Row],[Manufacturer]]&amp;" "&amp;Table1[[#This Row],[Model]],Table13[MFR &amp; MDL],Table13[Tolerance % CW ],"")/100*Table1[[#This Row],[Std Nom]]),"")</f>
        <v/>
      </c>
      <c r="Q1393" s="1" t="e">
        <f>Table1[[#This Row],[High Tol]]-Table1[[#This Row],[Low Tol]]</f>
        <v>#VALUE!</v>
      </c>
      <c r="R1393" s="1">
        <f>2*Table1[[#This Row],[Std Error]]</f>
        <v>0</v>
      </c>
      <c r="S1393" s="1" t="str">
        <f>IF(Table1[[#This Row],[High Tol]]="","N/A",IFERROR(ABS(Table1[[#This Row],[Tol Span]]/Table1[[#This Row],[Error Span]]),"N/A"))</f>
        <v>N/A</v>
      </c>
      <c r="T1393" s="1" t="str">
        <f>IF(OR(Table1[[#This Row],[Low Tol]]="",Table1[[#This Row],[High Tol]]=""),"Needs Analysis",IF(Table1[[#This Row],[Ratio]]&gt;=4,"Not Significant",IF(Table1[[#This Row],[Ratio]]&gt;=2,"Semi-Significant","Significant")))</f>
        <v>Needs Analysis</v>
      </c>
      <c r="W1393" s="1">
        <f>IF(Table1[[#This Row],[Cal Type]]&lt;&gt;"ACCREDITED 17025 WITH UNCERTAINTIES",0,"")</f>
        <v>0</v>
      </c>
      <c r="X1393" s="1" t="str">
        <f>IF(Table1[[#This Row],[DUT Read]]="","N/A",Table1[[#This Row],[Std Error]]+Table1[[#This Row],[DUT Read]]+Table1[[#This Row],[DUT Ucty]])</f>
        <v>N/A</v>
      </c>
      <c r="Y1393" s="1" t="str">
        <f>IF(Table1[[#This Row],[Std Read]]="","N/A",Table1[[#This Row],[Std Read]]+Table1[[#This Row],[Std Ucty]])</f>
        <v>N/A</v>
      </c>
      <c r="Z13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3" s="1" t="str">
        <f>IF(Table1[[#This Row],[Spec Type]]="","N/A",Table1[[#This Row],[Spec Type]])</f>
        <v>±</v>
      </c>
      <c r="AC1393" s="1" t="str">
        <f>IF(Table1[[#This Row],[Spec Type2]]="N/A","N/A",IF(AND(Table1[[#This Row],[DUT Adj Read]]&gt;=Table1[[#This Row],[Low Tol]],Table1[[#This Row],[DUT Adj Read]]&lt;=Table1[[#This Row],[High Tol]]),"Pass","Fail"))</f>
        <v>Fail</v>
      </c>
      <c r="AD1393" s="1" t="str">
        <f>IF(AND(Table1[[#This Row],[Spec Type2]]="N/A",Table1[[#This Row],[DUT Adj Read]]="N/A",Table1[[#This Row],[Std Adj Read]]="N/A"),"N/A",IF(Table1[[#This Row],[DUT Adj Read]]="N/A",IF(Table1[[#This Row],[Std Adj Read]]&gt;Table1[[#This Row],[Low Tol]],"Pass","Fail"),IF(Table1[[#This Row],[DUT Adj Read]]&gt;Table1[[#This Row],[Low Tol]],"Pass","Fail")))</f>
        <v>Pass</v>
      </c>
      <c r="AE1393" s="1" t="str">
        <f>IF(AND(Table1[[#This Row],[Spec Type2]]="N/A",Table1[[#This Row],[DUT Adj Read]]="N/A",Table1[[#This Row],[Std Adj Read]]="N/A"),"N/A",IF(Table1[[#This Row],[DUT Adj Read]]="N/A",IF(Table1[[#This Row],[Std Adj Read]]&lt;Table1[[#This Row],[High Tol]],"Pass","Fail"),IF(Table1[[#This Row],[DUT Adj Read]]&lt;Table1[[#This Row],[High Tol]],"Pass","Fail")))</f>
        <v>Fail</v>
      </c>
      <c r="AF1393" s="1" t="str">
        <f>IF(AND(Table1[[#This Row],[Spec Type2]]="N/A",Table1[[#This Row],[DUT Adj Read]]="N/A",Table1[[#This Row],[Std Adj Read]]="N/A"),"N/A",IF(Table1[[#This Row],[DUT Adj Read]]="N/A",IF(Table1[[#This Row],[Std Adj Read]]&gt;=Table1[[#This Row],[Low Tol]],"Pass","Fail"),IF(Table1[[#This Row],[DUT Adj Read]]&gt;=Table1[[#This Row],[Low Tol]],"Pass","Fail")))</f>
        <v>Pass</v>
      </c>
      <c r="AG1393" s="1" t="str">
        <f>IF(AND(Table1[[#This Row],[Spec Type2]]="N/A",Table1[[#This Row],[DUT Adj Read]]="N/A",Table1[[#This Row],[Std Adj Read]]="N/A"),"N/A",IF(Table1[[#This Row],[DUT Adj Read]]="N/A",IF(Table1[[#This Row],[Std Adj Read]]&lt;=Table1[[#This Row],[High Tol]],"Pass","Fail"),IF(Table1[[#This Row],[DUT Adj Read]]&lt;=Table1[[#This Row],[High Tol]],"Pass","Fail")))</f>
        <v>Fail</v>
      </c>
      <c r="AH13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3" s="1" t="b">
        <v>0</v>
      </c>
      <c r="AN1393" s="1" t="b">
        <v>0</v>
      </c>
      <c r="AO1393" s="1" t="b">
        <v>0</v>
      </c>
    </row>
    <row r="1394" spans="1:41" x14ac:dyDescent="0.25">
      <c r="A1394" s="10"/>
      <c r="B1394" s="10"/>
      <c r="C1394" s="10"/>
      <c r="D1394" s="10"/>
      <c r="E1394" s="10"/>
      <c r="F1394" s="10"/>
      <c r="G1394" s="10"/>
      <c r="H1394" s="10"/>
      <c r="I1394" s="1" t="str">
        <f t="shared" si="63"/>
        <v/>
      </c>
      <c r="J1394" s="1" t="s">
        <v>35</v>
      </c>
      <c r="K1394" s="1" t="str">
        <f t="shared" si="64"/>
        <v/>
      </c>
      <c r="L1394" s="1" t="str">
        <f t="shared" si="65"/>
        <v/>
      </c>
      <c r="M1394" s="1">
        <f>IF(OR(Table1[[#This Row],[Std Nom]]="",Table1[[#This Row],[Std Read]]=""),0,Table1[[#This Row],[Std Nom]]-Table1[[#This Row],[Std Read]])</f>
        <v>0</v>
      </c>
      <c r="N1394" s="1">
        <f>IF(Calculations!$F$5="ACCREDITED 17025 WITH UNCERTAINTIES",$N$10,0)</f>
        <v>0</v>
      </c>
      <c r="O1394" s="1" t="str">
        <f>IFERROR(Table1[[#This Row],[Std Nom]]-(_xlfn.XLOOKUP(Table1[[#This Row],[Manufacturer]]&amp;" "&amp;Table1[[#This Row],[Model]],Table13[MFR &amp; MDL],Table13[Tolerance % CW ],"")/100*Table1[[#This Row],[Std Nom]]),"")</f>
        <v/>
      </c>
      <c r="P1394" s="1" t="str">
        <f>IFERROR(Table1[[#This Row],[Std Nom]]+(_xlfn.XLOOKUP(Table1[[#This Row],[Manufacturer]]&amp;" "&amp;Table1[[#This Row],[Model]],Table13[MFR &amp; MDL],Table13[Tolerance % CW ],"")/100*Table1[[#This Row],[Std Nom]]),"")</f>
        <v/>
      </c>
      <c r="Q1394" s="1" t="e">
        <f>Table1[[#This Row],[High Tol]]-Table1[[#This Row],[Low Tol]]</f>
        <v>#VALUE!</v>
      </c>
      <c r="R1394" s="1">
        <f>2*Table1[[#This Row],[Std Error]]</f>
        <v>0</v>
      </c>
      <c r="S1394" s="1" t="str">
        <f>IF(Table1[[#This Row],[High Tol]]="","N/A",IFERROR(ABS(Table1[[#This Row],[Tol Span]]/Table1[[#This Row],[Error Span]]),"N/A"))</f>
        <v>N/A</v>
      </c>
      <c r="T1394" s="1" t="str">
        <f>IF(OR(Table1[[#This Row],[Low Tol]]="",Table1[[#This Row],[High Tol]]=""),"Needs Analysis",IF(Table1[[#This Row],[Ratio]]&gt;=4,"Not Significant",IF(Table1[[#This Row],[Ratio]]&gt;=2,"Semi-Significant","Significant")))</f>
        <v>Needs Analysis</v>
      </c>
      <c r="W1394" s="1">
        <f>IF(Table1[[#This Row],[Cal Type]]&lt;&gt;"ACCREDITED 17025 WITH UNCERTAINTIES",0,"")</f>
        <v>0</v>
      </c>
      <c r="X1394" s="1" t="str">
        <f>IF(Table1[[#This Row],[DUT Read]]="","N/A",Table1[[#This Row],[Std Error]]+Table1[[#This Row],[DUT Read]]+Table1[[#This Row],[DUT Ucty]])</f>
        <v>N/A</v>
      </c>
      <c r="Y1394" s="1" t="str">
        <f>IF(Table1[[#This Row],[Std Read]]="","N/A",Table1[[#This Row],[Std Read]]+Table1[[#This Row],[Std Ucty]])</f>
        <v>N/A</v>
      </c>
      <c r="Z13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4" s="1" t="str">
        <f>IF(Table1[[#This Row],[Spec Type]]="","N/A",Table1[[#This Row],[Spec Type]])</f>
        <v>±</v>
      </c>
      <c r="AC1394" s="1" t="str">
        <f>IF(Table1[[#This Row],[Spec Type2]]="N/A","N/A",IF(AND(Table1[[#This Row],[DUT Adj Read]]&gt;=Table1[[#This Row],[Low Tol]],Table1[[#This Row],[DUT Adj Read]]&lt;=Table1[[#This Row],[High Tol]]),"Pass","Fail"))</f>
        <v>Fail</v>
      </c>
      <c r="AD1394" s="1" t="str">
        <f>IF(AND(Table1[[#This Row],[Spec Type2]]="N/A",Table1[[#This Row],[DUT Adj Read]]="N/A",Table1[[#This Row],[Std Adj Read]]="N/A"),"N/A",IF(Table1[[#This Row],[DUT Adj Read]]="N/A",IF(Table1[[#This Row],[Std Adj Read]]&gt;Table1[[#This Row],[Low Tol]],"Pass","Fail"),IF(Table1[[#This Row],[DUT Adj Read]]&gt;Table1[[#This Row],[Low Tol]],"Pass","Fail")))</f>
        <v>Pass</v>
      </c>
      <c r="AE1394" s="1" t="str">
        <f>IF(AND(Table1[[#This Row],[Spec Type2]]="N/A",Table1[[#This Row],[DUT Adj Read]]="N/A",Table1[[#This Row],[Std Adj Read]]="N/A"),"N/A",IF(Table1[[#This Row],[DUT Adj Read]]="N/A",IF(Table1[[#This Row],[Std Adj Read]]&lt;Table1[[#This Row],[High Tol]],"Pass","Fail"),IF(Table1[[#This Row],[DUT Adj Read]]&lt;Table1[[#This Row],[High Tol]],"Pass","Fail")))</f>
        <v>Fail</v>
      </c>
      <c r="AF1394" s="1" t="str">
        <f>IF(AND(Table1[[#This Row],[Spec Type2]]="N/A",Table1[[#This Row],[DUT Adj Read]]="N/A",Table1[[#This Row],[Std Adj Read]]="N/A"),"N/A",IF(Table1[[#This Row],[DUT Adj Read]]="N/A",IF(Table1[[#This Row],[Std Adj Read]]&gt;=Table1[[#This Row],[Low Tol]],"Pass","Fail"),IF(Table1[[#This Row],[DUT Adj Read]]&gt;=Table1[[#This Row],[Low Tol]],"Pass","Fail")))</f>
        <v>Pass</v>
      </c>
      <c r="AG1394" s="1" t="str">
        <f>IF(AND(Table1[[#This Row],[Spec Type2]]="N/A",Table1[[#This Row],[DUT Adj Read]]="N/A",Table1[[#This Row],[Std Adj Read]]="N/A"),"N/A",IF(Table1[[#This Row],[DUT Adj Read]]="N/A",IF(Table1[[#This Row],[Std Adj Read]]&lt;=Table1[[#This Row],[High Tol]],"Pass","Fail"),IF(Table1[[#This Row],[DUT Adj Read]]&lt;=Table1[[#This Row],[High Tol]],"Pass","Fail")))</f>
        <v>Fail</v>
      </c>
      <c r="AH13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4" s="1" t="b">
        <v>0</v>
      </c>
      <c r="AN1394" s="1" t="b">
        <v>0</v>
      </c>
      <c r="AO1394" s="1" t="b">
        <v>0</v>
      </c>
    </row>
    <row r="1395" spans="1:41" x14ac:dyDescent="0.25">
      <c r="A1395" s="10"/>
      <c r="B1395" s="10"/>
      <c r="C1395" s="10"/>
      <c r="D1395" s="10"/>
      <c r="E1395" s="10"/>
      <c r="F1395" s="10"/>
      <c r="G1395" s="10"/>
      <c r="H1395" s="10"/>
      <c r="I1395" s="1" t="str">
        <f t="shared" si="63"/>
        <v/>
      </c>
      <c r="J1395" s="1" t="s">
        <v>35</v>
      </c>
      <c r="K1395" s="1" t="str">
        <f t="shared" si="64"/>
        <v/>
      </c>
      <c r="L1395" s="1" t="str">
        <f t="shared" si="65"/>
        <v/>
      </c>
      <c r="M1395" s="1">
        <f>IF(OR(Table1[[#This Row],[Std Nom]]="",Table1[[#This Row],[Std Read]]=""),0,Table1[[#This Row],[Std Nom]]-Table1[[#This Row],[Std Read]])</f>
        <v>0</v>
      </c>
      <c r="N1395" s="1">
        <f>IF(Calculations!$F$5="ACCREDITED 17025 WITH UNCERTAINTIES",$N$10,0)</f>
        <v>0</v>
      </c>
      <c r="O1395" s="1" t="str">
        <f>IFERROR(Table1[[#This Row],[Std Nom]]-(_xlfn.XLOOKUP(Table1[[#This Row],[Manufacturer]]&amp;" "&amp;Table1[[#This Row],[Model]],Table13[MFR &amp; MDL],Table13[Tolerance % CW ],"")/100*Table1[[#This Row],[Std Nom]]),"")</f>
        <v/>
      </c>
      <c r="P1395" s="1" t="str">
        <f>IFERROR(Table1[[#This Row],[Std Nom]]+(_xlfn.XLOOKUP(Table1[[#This Row],[Manufacturer]]&amp;" "&amp;Table1[[#This Row],[Model]],Table13[MFR &amp; MDL],Table13[Tolerance % CW ],"")/100*Table1[[#This Row],[Std Nom]]),"")</f>
        <v/>
      </c>
      <c r="Q1395" s="1" t="e">
        <f>Table1[[#This Row],[High Tol]]-Table1[[#This Row],[Low Tol]]</f>
        <v>#VALUE!</v>
      </c>
      <c r="R1395" s="1">
        <f>2*Table1[[#This Row],[Std Error]]</f>
        <v>0</v>
      </c>
      <c r="S1395" s="1" t="str">
        <f>IF(Table1[[#This Row],[High Tol]]="","N/A",IFERROR(ABS(Table1[[#This Row],[Tol Span]]/Table1[[#This Row],[Error Span]]),"N/A"))</f>
        <v>N/A</v>
      </c>
      <c r="T1395" s="1" t="str">
        <f>IF(OR(Table1[[#This Row],[Low Tol]]="",Table1[[#This Row],[High Tol]]=""),"Needs Analysis",IF(Table1[[#This Row],[Ratio]]&gt;=4,"Not Significant",IF(Table1[[#This Row],[Ratio]]&gt;=2,"Semi-Significant","Significant")))</f>
        <v>Needs Analysis</v>
      </c>
      <c r="W1395" s="1">
        <f>IF(Table1[[#This Row],[Cal Type]]&lt;&gt;"ACCREDITED 17025 WITH UNCERTAINTIES",0,"")</f>
        <v>0</v>
      </c>
      <c r="X1395" s="1" t="str">
        <f>IF(Table1[[#This Row],[DUT Read]]="","N/A",Table1[[#This Row],[Std Error]]+Table1[[#This Row],[DUT Read]]+Table1[[#This Row],[DUT Ucty]])</f>
        <v>N/A</v>
      </c>
      <c r="Y1395" s="1" t="str">
        <f>IF(Table1[[#This Row],[Std Read]]="","N/A",Table1[[#This Row],[Std Read]]+Table1[[#This Row],[Std Ucty]])</f>
        <v>N/A</v>
      </c>
      <c r="Z13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5" s="1" t="str">
        <f>IF(Table1[[#This Row],[Spec Type]]="","N/A",Table1[[#This Row],[Spec Type]])</f>
        <v>±</v>
      </c>
      <c r="AC1395" s="1" t="str">
        <f>IF(Table1[[#This Row],[Spec Type2]]="N/A","N/A",IF(AND(Table1[[#This Row],[DUT Adj Read]]&gt;=Table1[[#This Row],[Low Tol]],Table1[[#This Row],[DUT Adj Read]]&lt;=Table1[[#This Row],[High Tol]]),"Pass","Fail"))</f>
        <v>Fail</v>
      </c>
      <c r="AD1395" s="1" t="str">
        <f>IF(AND(Table1[[#This Row],[Spec Type2]]="N/A",Table1[[#This Row],[DUT Adj Read]]="N/A",Table1[[#This Row],[Std Adj Read]]="N/A"),"N/A",IF(Table1[[#This Row],[DUT Adj Read]]="N/A",IF(Table1[[#This Row],[Std Adj Read]]&gt;Table1[[#This Row],[Low Tol]],"Pass","Fail"),IF(Table1[[#This Row],[DUT Adj Read]]&gt;Table1[[#This Row],[Low Tol]],"Pass","Fail")))</f>
        <v>Pass</v>
      </c>
      <c r="AE1395" s="1" t="str">
        <f>IF(AND(Table1[[#This Row],[Spec Type2]]="N/A",Table1[[#This Row],[DUT Adj Read]]="N/A",Table1[[#This Row],[Std Adj Read]]="N/A"),"N/A",IF(Table1[[#This Row],[DUT Adj Read]]="N/A",IF(Table1[[#This Row],[Std Adj Read]]&lt;Table1[[#This Row],[High Tol]],"Pass","Fail"),IF(Table1[[#This Row],[DUT Adj Read]]&lt;Table1[[#This Row],[High Tol]],"Pass","Fail")))</f>
        <v>Fail</v>
      </c>
      <c r="AF1395" s="1" t="str">
        <f>IF(AND(Table1[[#This Row],[Spec Type2]]="N/A",Table1[[#This Row],[DUT Adj Read]]="N/A",Table1[[#This Row],[Std Adj Read]]="N/A"),"N/A",IF(Table1[[#This Row],[DUT Adj Read]]="N/A",IF(Table1[[#This Row],[Std Adj Read]]&gt;=Table1[[#This Row],[Low Tol]],"Pass","Fail"),IF(Table1[[#This Row],[DUT Adj Read]]&gt;=Table1[[#This Row],[Low Tol]],"Pass","Fail")))</f>
        <v>Pass</v>
      </c>
      <c r="AG1395" s="1" t="str">
        <f>IF(AND(Table1[[#This Row],[Spec Type2]]="N/A",Table1[[#This Row],[DUT Adj Read]]="N/A",Table1[[#This Row],[Std Adj Read]]="N/A"),"N/A",IF(Table1[[#This Row],[DUT Adj Read]]="N/A",IF(Table1[[#This Row],[Std Adj Read]]&lt;=Table1[[#This Row],[High Tol]],"Pass","Fail"),IF(Table1[[#This Row],[DUT Adj Read]]&lt;=Table1[[#This Row],[High Tol]],"Pass","Fail")))</f>
        <v>Fail</v>
      </c>
      <c r="AH13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5" s="1" t="b">
        <v>0</v>
      </c>
      <c r="AN1395" s="1" t="b">
        <v>0</v>
      </c>
      <c r="AO1395" s="1" t="b">
        <v>0</v>
      </c>
    </row>
    <row r="1396" spans="1:41" x14ac:dyDescent="0.25">
      <c r="A1396" s="10"/>
      <c r="B1396" s="10"/>
      <c r="C1396" s="10"/>
      <c r="D1396" s="10"/>
      <c r="E1396" s="10"/>
      <c r="F1396" s="10"/>
      <c r="G1396" s="10"/>
      <c r="H1396" s="10"/>
      <c r="I1396" s="1" t="str">
        <f t="shared" si="63"/>
        <v/>
      </c>
      <c r="J1396" s="1" t="s">
        <v>35</v>
      </c>
      <c r="K1396" s="1" t="str">
        <f t="shared" si="64"/>
        <v/>
      </c>
      <c r="L1396" s="1" t="str">
        <f t="shared" si="65"/>
        <v/>
      </c>
      <c r="M1396" s="1">
        <f>IF(OR(Table1[[#This Row],[Std Nom]]="",Table1[[#This Row],[Std Read]]=""),0,Table1[[#This Row],[Std Nom]]-Table1[[#This Row],[Std Read]])</f>
        <v>0</v>
      </c>
      <c r="N1396" s="1">
        <f>IF(Calculations!$F$5="ACCREDITED 17025 WITH UNCERTAINTIES",$N$10,0)</f>
        <v>0</v>
      </c>
      <c r="O1396" s="1" t="str">
        <f>IFERROR(Table1[[#This Row],[Std Nom]]-(_xlfn.XLOOKUP(Table1[[#This Row],[Manufacturer]]&amp;" "&amp;Table1[[#This Row],[Model]],Table13[MFR &amp; MDL],Table13[Tolerance % CW ],"")/100*Table1[[#This Row],[Std Nom]]),"")</f>
        <v/>
      </c>
      <c r="P1396" s="1" t="str">
        <f>IFERROR(Table1[[#This Row],[Std Nom]]+(_xlfn.XLOOKUP(Table1[[#This Row],[Manufacturer]]&amp;" "&amp;Table1[[#This Row],[Model]],Table13[MFR &amp; MDL],Table13[Tolerance % CW ],"")/100*Table1[[#This Row],[Std Nom]]),"")</f>
        <v/>
      </c>
      <c r="Q1396" s="1" t="e">
        <f>Table1[[#This Row],[High Tol]]-Table1[[#This Row],[Low Tol]]</f>
        <v>#VALUE!</v>
      </c>
      <c r="R1396" s="1">
        <f>2*Table1[[#This Row],[Std Error]]</f>
        <v>0</v>
      </c>
      <c r="S1396" s="1" t="str">
        <f>IF(Table1[[#This Row],[High Tol]]="","N/A",IFERROR(ABS(Table1[[#This Row],[Tol Span]]/Table1[[#This Row],[Error Span]]),"N/A"))</f>
        <v>N/A</v>
      </c>
      <c r="T1396" s="1" t="str">
        <f>IF(OR(Table1[[#This Row],[Low Tol]]="",Table1[[#This Row],[High Tol]]=""),"Needs Analysis",IF(Table1[[#This Row],[Ratio]]&gt;=4,"Not Significant",IF(Table1[[#This Row],[Ratio]]&gt;=2,"Semi-Significant","Significant")))</f>
        <v>Needs Analysis</v>
      </c>
      <c r="W1396" s="1">
        <f>IF(Table1[[#This Row],[Cal Type]]&lt;&gt;"ACCREDITED 17025 WITH UNCERTAINTIES",0,"")</f>
        <v>0</v>
      </c>
      <c r="X1396" s="1" t="str">
        <f>IF(Table1[[#This Row],[DUT Read]]="","N/A",Table1[[#This Row],[Std Error]]+Table1[[#This Row],[DUT Read]]+Table1[[#This Row],[DUT Ucty]])</f>
        <v>N/A</v>
      </c>
      <c r="Y1396" s="1" t="str">
        <f>IF(Table1[[#This Row],[Std Read]]="","N/A",Table1[[#This Row],[Std Read]]+Table1[[#This Row],[Std Ucty]])</f>
        <v>N/A</v>
      </c>
      <c r="Z13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6" s="1" t="str">
        <f>IF(Table1[[#This Row],[Spec Type]]="","N/A",Table1[[#This Row],[Spec Type]])</f>
        <v>±</v>
      </c>
      <c r="AC1396" s="1" t="str">
        <f>IF(Table1[[#This Row],[Spec Type2]]="N/A","N/A",IF(AND(Table1[[#This Row],[DUT Adj Read]]&gt;=Table1[[#This Row],[Low Tol]],Table1[[#This Row],[DUT Adj Read]]&lt;=Table1[[#This Row],[High Tol]]),"Pass","Fail"))</f>
        <v>Fail</v>
      </c>
      <c r="AD1396" s="1" t="str">
        <f>IF(AND(Table1[[#This Row],[Spec Type2]]="N/A",Table1[[#This Row],[DUT Adj Read]]="N/A",Table1[[#This Row],[Std Adj Read]]="N/A"),"N/A",IF(Table1[[#This Row],[DUT Adj Read]]="N/A",IF(Table1[[#This Row],[Std Adj Read]]&gt;Table1[[#This Row],[Low Tol]],"Pass","Fail"),IF(Table1[[#This Row],[DUT Adj Read]]&gt;Table1[[#This Row],[Low Tol]],"Pass","Fail")))</f>
        <v>Pass</v>
      </c>
      <c r="AE1396" s="1" t="str">
        <f>IF(AND(Table1[[#This Row],[Spec Type2]]="N/A",Table1[[#This Row],[DUT Adj Read]]="N/A",Table1[[#This Row],[Std Adj Read]]="N/A"),"N/A",IF(Table1[[#This Row],[DUT Adj Read]]="N/A",IF(Table1[[#This Row],[Std Adj Read]]&lt;Table1[[#This Row],[High Tol]],"Pass","Fail"),IF(Table1[[#This Row],[DUT Adj Read]]&lt;Table1[[#This Row],[High Tol]],"Pass","Fail")))</f>
        <v>Fail</v>
      </c>
      <c r="AF1396" s="1" t="str">
        <f>IF(AND(Table1[[#This Row],[Spec Type2]]="N/A",Table1[[#This Row],[DUT Adj Read]]="N/A",Table1[[#This Row],[Std Adj Read]]="N/A"),"N/A",IF(Table1[[#This Row],[DUT Adj Read]]="N/A",IF(Table1[[#This Row],[Std Adj Read]]&gt;=Table1[[#This Row],[Low Tol]],"Pass","Fail"),IF(Table1[[#This Row],[DUT Adj Read]]&gt;=Table1[[#This Row],[Low Tol]],"Pass","Fail")))</f>
        <v>Pass</v>
      </c>
      <c r="AG1396" s="1" t="str">
        <f>IF(AND(Table1[[#This Row],[Spec Type2]]="N/A",Table1[[#This Row],[DUT Adj Read]]="N/A",Table1[[#This Row],[Std Adj Read]]="N/A"),"N/A",IF(Table1[[#This Row],[DUT Adj Read]]="N/A",IF(Table1[[#This Row],[Std Adj Read]]&lt;=Table1[[#This Row],[High Tol]],"Pass","Fail"),IF(Table1[[#This Row],[DUT Adj Read]]&lt;=Table1[[#This Row],[High Tol]],"Pass","Fail")))</f>
        <v>Fail</v>
      </c>
      <c r="AH13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6" s="1" t="b">
        <v>0</v>
      </c>
      <c r="AN1396" s="1" t="b">
        <v>0</v>
      </c>
      <c r="AO1396" s="1" t="b">
        <v>0</v>
      </c>
    </row>
    <row r="1397" spans="1:41" x14ac:dyDescent="0.25">
      <c r="A1397" s="10"/>
      <c r="B1397" s="10"/>
      <c r="C1397" s="10"/>
      <c r="D1397" s="10"/>
      <c r="E1397" s="10"/>
      <c r="F1397" s="10"/>
      <c r="G1397" s="10"/>
      <c r="H1397" s="10"/>
      <c r="I1397" s="1" t="str">
        <f t="shared" si="63"/>
        <v/>
      </c>
      <c r="J1397" s="1" t="s">
        <v>35</v>
      </c>
      <c r="K1397" s="1" t="str">
        <f t="shared" si="64"/>
        <v/>
      </c>
      <c r="L1397" s="1" t="str">
        <f t="shared" si="65"/>
        <v/>
      </c>
      <c r="M1397" s="1">
        <f>IF(OR(Table1[[#This Row],[Std Nom]]="",Table1[[#This Row],[Std Read]]=""),0,Table1[[#This Row],[Std Nom]]-Table1[[#This Row],[Std Read]])</f>
        <v>0</v>
      </c>
      <c r="N1397" s="1">
        <f>IF(Calculations!$F$5="ACCREDITED 17025 WITH UNCERTAINTIES",$N$10,0)</f>
        <v>0</v>
      </c>
      <c r="O1397" s="1" t="str">
        <f>IFERROR(Table1[[#This Row],[Std Nom]]-(_xlfn.XLOOKUP(Table1[[#This Row],[Manufacturer]]&amp;" "&amp;Table1[[#This Row],[Model]],Table13[MFR &amp; MDL],Table13[Tolerance % CW ],"")/100*Table1[[#This Row],[Std Nom]]),"")</f>
        <v/>
      </c>
      <c r="P1397" s="1" t="str">
        <f>IFERROR(Table1[[#This Row],[Std Nom]]+(_xlfn.XLOOKUP(Table1[[#This Row],[Manufacturer]]&amp;" "&amp;Table1[[#This Row],[Model]],Table13[MFR &amp; MDL],Table13[Tolerance % CW ],"")/100*Table1[[#This Row],[Std Nom]]),"")</f>
        <v/>
      </c>
      <c r="Q1397" s="1" t="e">
        <f>Table1[[#This Row],[High Tol]]-Table1[[#This Row],[Low Tol]]</f>
        <v>#VALUE!</v>
      </c>
      <c r="R1397" s="1">
        <f>2*Table1[[#This Row],[Std Error]]</f>
        <v>0</v>
      </c>
      <c r="S1397" s="1" t="str">
        <f>IF(Table1[[#This Row],[High Tol]]="","N/A",IFERROR(ABS(Table1[[#This Row],[Tol Span]]/Table1[[#This Row],[Error Span]]),"N/A"))</f>
        <v>N/A</v>
      </c>
      <c r="T1397" s="1" t="str">
        <f>IF(OR(Table1[[#This Row],[Low Tol]]="",Table1[[#This Row],[High Tol]]=""),"Needs Analysis",IF(Table1[[#This Row],[Ratio]]&gt;=4,"Not Significant",IF(Table1[[#This Row],[Ratio]]&gt;=2,"Semi-Significant","Significant")))</f>
        <v>Needs Analysis</v>
      </c>
      <c r="W1397" s="1">
        <f>IF(Table1[[#This Row],[Cal Type]]&lt;&gt;"ACCREDITED 17025 WITH UNCERTAINTIES",0,"")</f>
        <v>0</v>
      </c>
      <c r="X1397" s="1" t="str">
        <f>IF(Table1[[#This Row],[DUT Read]]="","N/A",Table1[[#This Row],[Std Error]]+Table1[[#This Row],[DUT Read]]+Table1[[#This Row],[DUT Ucty]])</f>
        <v>N/A</v>
      </c>
      <c r="Y1397" s="1" t="str">
        <f>IF(Table1[[#This Row],[Std Read]]="","N/A",Table1[[#This Row],[Std Read]]+Table1[[#This Row],[Std Ucty]])</f>
        <v>N/A</v>
      </c>
      <c r="Z13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7" s="1" t="str">
        <f>IF(Table1[[#This Row],[Spec Type]]="","N/A",Table1[[#This Row],[Spec Type]])</f>
        <v>±</v>
      </c>
      <c r="AC1397" s="1" t="str">
        <f>IF(Table1[[#This Row],[Spec Type2]]="N/A","N/A",IF(AND(Table1[[#This Row],[DUT Adj Read]]&gt;=Table1[[#This Row],[Low Tol]],Table1[[#This Row],[DUT Adj Read]]&lt;=Table1[[#This Row],[High Tol]]),"Pass","Fail"))</f>
        <v>Fail</v>
      </c>
      <c r="AD1397" s="1" t="str">
        <f>IF(AND(Table1[[#This Row],[Spec Type2]]="N/A",Table1[[#This Row],[DUT Adj Read]]="N/A",Table1[[#This Row],[Std Adj Read]]="N/A"),"N/A",IF(Table1[[#This Row],[DUT Adj Read]]="N/A",IF(Table1[[#This Row],[Std Adj Read]]&gt;Table1[[#This Row],[Low Tol]],"Pass","Fail"),IF(Table1[[#This Row],[DUT Adj Read]]&gt;Table1[[#This Row],[Low Tol]],"Pass","Fail")))</f>
        <v>Pass</v>
      </c>
      <c r="AE1397" s="1" t="str">
        <f>IF(AND(Table1[[#This Row],[Spec Type2]]="N/A",Table1[[#This Row],[DUT Adj Read]]="N/A",Table1[[#This Row],[Std Adj Read]]="N/A"),"N/A",IF(Table1[[#This Row],[DUT Adj Read]]="N/A",IF(Table1[[#This Row],[Std Adj Read]]&lt;Table1[[#This Row],[High Tol]],"Pass","Fail"),IF(Table1[[#This Row],[DUT Adj Read]]&lt;Table1[[#This Row],[High Tol]],"Pass","Fail")))</f>
        <v>Fail</v>
      </c>
      <c r="AF1397" s="1" t="str">
        <f>IF(AND(Table1[[#This Row],[Spec Type2]]="N/A",Table1[[#This Row],[DUT Adj Read]]="N/A",Table1[[#This Row],[Std Adj Read]]="N/A"),"N/A",IF(Table1[[#This Row],[DUT Adj Read]]="N/A",IF(Table1[[#This Row],[Std Adj Read]]&gt;=Table1[[#This Row],[Low Tol]],"Pass","Fail"),IF(Table1[[#This Row],[DUT Adj Read]]&gt;=Table1[[#This Row],[Low Tol]],"Pass","Fail")))</f>
        <v>Pass</v>
      </c>
      <c r="AG1397" s="1" t="str">
        <f>IF(AND(Table1[[#This Row],[Spec Type2]]="N/A",Table1[[#This Row],[DUT Adj Read]]="N/A",Table1[[#This Row],[Std Adj Read]]="N/A"),"N/A",IF(Table1[[#This Row],[DUT Adj Read]]="N/A",IF(Table1[[#This Row],[Std Adj Read]]&lt;=Table1[[#This Row],[High Tol]],"Pass","Fail"),IF(Table1[[#This Row],[DUT Adj Read]]&lt;=Table1[[#This Row],[High Tol]],"Pass","Fail")))</f>
        <v>Fail</v>
      </c>
      <c r="AH13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7" s="1" t="b">
        <v>0</v>
      </c>
      <c r="AN1397" s="1" t="b">
        <v>0</v>
      </c>
      <c r="AO1397" s="1" t="b">
        <v>0</v>
      </c>
    </row>
    <row r="1398" spans="1:41" x14ac:dyDescent="0.25">
      <c r="A1398" s="10"/>
      <c r="B1398" s="10"/>
      <c r="C1398" s="10"/>
      <c r="D1398" s="10"/>
      <c r="E1398" s="10"/>
      <c r="F1398" s="10"/>
      <c r="G1398" s="10"/>
      <c r="H1398" s="10"/>
      <c r="I1398" s="1" t="str">
        <f t="shared" si="63"/>
        <v/>
      </c>
      <c r="J1398" s="1" t="s">
        <v>35</v>
      </c>
      <c r="K1398" s="1" t="str">
        <f t="shared" si="64"/>
        <v/>
      </c>
      <c r="L1398" s="1" t="str">
        <f t="shared" si="65"/>
        <v/>
      </c>
      <c r="M1398" s="1">
        <f>IF(OR(Table1[[#This Row],[Std Nom]]="",Table1[[#This Row],[Std Read]]=""),0,Table1[[#This Row],[Std Nom]]-Table1[[#This Row],[Std Read]])</f>
        <v>0</v>
      </c>
      <c r="N1398" s="1">
        <f>IF(Calculations!$F$5="ACCREDITED 17025 WITH UNCERTAINTIES",$N$10,0)</f>
        <v>0</v>
      </c>
      <c r="O1398" s="1" t="str">
        <f>IFERROR(Table1[[#This Row],[Std Nom]]-(_xlfn.XLOOKUP(Table1[[#This Row],[Manufacturer]]&amp;" "&amp;Table1[[#This Row],[Model]],Table13[MFR &amp; MDL],Table13[Tolerance % CW ],"")/100*Table1[[#This Row],[Std Nom]]),"")</f>
        <v/>
      </c>
      <c r="P1398" s="1" t="str">
        <f>IFERROR(Table1[[#This Row],[Std Nom]]+(_xlfn.XLOOKUP(Table1[[#This Row],[Manufacturer]]&amp;" "&amp;Table1[[#This Row],[Model]],Table13[MFR &amp; MDL],Table13[Tolerance % CW ],"")/100*Table1[[#This Row],[Std Nom]]),"")</f>
        <v/>
      </c>
      <c r="Q1398" s="1" t="e">
        <f>Table1[[#This Row],[High Tol]]-Table1[[#This Row],[Low Tol]]</f>
        <v>#VALUE!</v>
      </c>
      <c r="R1398" s="1">
        <f>2*Table1[[#This Row],[Std Error]]</f>
        <v>0</v>
      </c>
      <c r="S1398" s="1" t="str">
        <f>IF(Table1[[#This Row],[High Tol]]="","N/A",IFERROR(ABS(Table1[[#This Row],[Tol Span]]/Table1[[#This Row],[Error Span]]),"N/A"))</f>
        <v>N/A</v>
      </c>
      <c r="T1398" s="1" t="str">
        <f>IF(OR(Table1[[#This Row],[Low Tol]]="",Table1[[#This Row],[High Tol]]=""),"Needs Analysis",IF(Table1[[#This Row],[Ratio]]&gt;=4,"Not Significant",IF(Table1[[#This Row],[Ratio]]&gt;=2,"Semi-Significant","Significant")))</f>
        <v>Needs Analysis</v>
      </c>
      <c r="W1398" s="1">
        <f>IF(Table1[[#This Row],[Cal Type]]&lt;&gt;"ACCREDITED 17025 WITH UNCERTAINTIES",0,"")</f>
        <v>0</v>
      </c>
      <c r="X1398" s="1" t="str">
        <f>IF(Table1[[#This Row],[DUT Read]]="","N/A",Table1[[#This Row],[Std Error]]+Table1[[#This Row],[DUT Read]]+Table1[[#This Row],[DUT Ucty]])</f>
        <v>N/A</v>
      </c>
      <c r="Y1398" s="1" t="str">
        <f>IF(Table1[[#This Row],[Std Read]]="","N/A",Table1[[#This Row],[Std Read]]+Table1[[#This Row],[Std Ucty]])</f>
        <v>N/A</v>
      </c>
      <c r="Z13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8" s="1" t="str">
        <f>IF(Table1[[#This Row],[Spec Type]]="","N/A",Table1[[#This Row],[Spec Type]])</f>
        <v>±</v>
      </c>
      <c r="AC1398" s="1" t="str">
        <f>IF(Table1[[#This Row],[Spec Type2]]="N/A","N/A",IF(AND(Table1[[#This Row],[DUT Adj Read]]&gt;=Table1[[#This Row],[Low Tol]],Table1[[#This Row],[DUT Adj Read]]&lt;=Table1[[#This Row],[High Tol]]),"Pass","Fail"))</f>
        <v>Fail</v>
      </c>
      <c r="AD1398" s="1" t="str">
        <f>IF(AND(Table1[[#This Row],[Spec Type2]]="N/A",Table1[[#This Row],[DUT Adj Read]]="N/A",Table1[[#This Row],[Std Adj Read]]="N/A"),"N/A",IF(Table1[[#This Row],[DUT Adj Read]]="N/A",IF(Table1[[#This Row],[Std Adj Read]]&gt;Table1[[#This Row],[Low Tol]],"Pass","Fail"),IF(Table1[[#This Row],[DUT Adj Read]]&gt;Table1[[#This Row],[Low Tol]],"Pass","Fail")))</f>
        <v>Pass</v>
      </c>
      <c r="AE1398" s="1" t="str">
        <f>IF(AND(Table1[[#This Row],[Spec Type2]]="N/A",Table1[[#This Row],[DUT Adj Read]]="N/A",Table1[[#This Row],[Std Adj Read]]="N/A"),"N/A",IF(Table1[[#This Row],[DUT Adj Read]]="N/A",IF(Table1[[#This Row],[Std Adj Read]]&lt;Table1[[#This Row],[High Tol]],"Pass","Fail"),IF(Table1[[#This Row],[DUT Adj Read]]&lt;Table1[[#This Row],[High Tol]],"Pass","Fail")))</f>
        <v>Fail</v>
      </c>
      <c r="AF1398" s="1" t="str">
        <f>IF(AND(Table1[[#This Row],[Spec Type2]]="N/A",Table1[[#This Row],[DUT Adj Read]]="N/A",Table1[[#This Row],[Std Adj Read]]="N/A"),"N/A",IF(Table1[[#This Row],[DUT Adj Read]]="N/A",IF(Table1[[#This Row],[Std Adj Read]]&gt;=Table1[[#This Row],[Low Tol]],"Pass","Fail"),IF(Table1[[#This Row],[DUT Adj Read]]&gt;=Table1[[#This Row],[Low Tol]],"Pass","Fail")))</f>
        <v>Pass</v>
      </c>
      <c r="AG1398" s="1" t="str">
        <f>IF(AND(Table1[[#This Row],[Spec Type2]]="N/A",Table1[[#This Row],[DUT Adj Read]]="N/A",Table1[[#This Row],[Std Adj Read]]="N/A"),"N/A",IF(Table1[[#This Row],[DUT Adj Read]]="N/A",IF(Table1[[#This Row],[Std Adj Read]]&lt;=Table1[[#This Row],[High Tol]],"Pass","Fail"),IF(Table1[[#This Row],[DUT Adj Read]]&lt;=Table1[[#This Row],[High Tol]],"Pass","Fail")))</f>
        <v>Fail</v>
      </c>
      <c r="AH13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8" s="1" t="b">
        <v>0</v>
      </c>
      <c r="AN1398" s="1" t="b">
        <v>0</v>
      </c>
      <c r="AO1398" s="1" t="b">
        <v>0</v>
      </c>
    </row>
    <row r="1399" spans="1:41" x14ac:dyDescent="0.25">
      <c r="A1399" s="10"/>
      <c r="B1399" s="10"/>
      <c r="C1399" s="10"/>
      <c r="D1399" s="10"/>
      <c r="E1399" s="10"/>
      <c r="F1399" s="10"/>
      <c r="G1399" s="10"/>
      <c r="H1399" s="10"/>
      <c r="I1399" s="1" t="str">
        <f t="shared" si="63"/>
        <v/>
      </c>
      <c r="J1399" s="1" t="s">
        <v>35</v>
      </c>
      <c r="K1399" s="1" t="str">
        <f t="shared" si="64"/>
        <v/>
      </c>
      <c r="L1399" s="1" t="str">
        <f t="shared" si="65"/>
        <v/>
      </c>
      <c r="M1399" s="1">
        <f>IF(OR(Table1[[#This Row],[Std Nom]]="",Table1[[#This Row],[Std Read]]=""),0,Table1[[#This Row],[Std Nom]]-Table1[[#This Row],[Std Read]])</f>
        <v>0</v>
      </c>
      <c r="N1399" s="1">
        <f>IF(Calculations!$F$5="ACCREDITED 17025 WITH UNCERTAINTIES",$N$10,0)</f>
        <v>0</v>
      </c>
      <c r="O1399" s="1" t="str">
        <f>IFERROR(Table1[[#This Row],[Std Nom]]-(_xlfn.XLOOKUP(Table1[[#This Row],[Manufacturer]]&amp;" "&amp;Table1[[#This Row],[Model]],Table13[MFR &amp; MDL],Table13[Tolerance % CW ],"")/100*Table1[[#This Row],[Std Nom]]),"")</f>
        <v/>
      </c>
      <c r="P1399" s="1" t="str">
        <f>IFERROR(Table1[[#This Row],[Std Nom]]+(_xlfn.XLOOKUP(Table1[[#This Row],[Manufacturer]]&amp;" "&amp;Table1[[#This Row],[Model]],Table13[MFR &amp; MDL],Table13[Tolerance % CW ],"")/100*Table1[[#This Row],[Std Nom]]),"")</f>
        <v/>
      </c>
      <c r="Q1399" s="1" t="e">
        <f>Table1[[#This Row],[High Tol]]-Table1[[#This Row],[Low Tol]]</f>
        <v>#VALUE!</v>
      </c>
      <c r="R1399" s="1">
        <f>2*Table1[[#This Row],[Std Error]]</f>
        <v>0</v>
      </c>
      <c r="S1399" s="1" t="str">
        <f>IF(Table1[[#This Row],[High Tol]]="","N/A",IFERROR(ABS(Table1[[#This Row],[Tol Span]]/Table1[[#This Row],[Error Span]]),"N/A"))</f>
        <v>N/A</v>
      </c>
      <c r="T1399" s="1" t="str">
        <f>IF(OR(Table1[[#This Row],[Low Tol]]="",Table1[[#This Row],[High Tol]]=""),"Needs Analysis",IF(Table1[[#This Row],[Ratio]]&gt;=4,"Not Significant",IF(Table1[[#This Row],[Ratio]]&gt;=2,"Semi-Significant","Significant")))</f>
        <v>Needs Analysis</v>
      </c>
      <c r="W1399" s="1">
        <f>IF(Table1[[#This Row],[Cal Type]]&lt;&gt;"ACCREDITED 17025 WITH UNCERTAINTIES",0,"")</f>
        <v>0</v>
      </c>
      <c r="X1399" s="1" t="str">
        <f>IF(Table1[[#This Row],[DUT Read]]="","N/A",Table1[[#This Row],[Std Error]]+Table1[[#This Row],[DUT Read]]+Table1[[#This Row],[DUT Ucty]])</f>
        <v>N/A</v>
      </c>
      <c r="Y1399" s="1" t="str">
        <f>IF(Table1[[#This Row],[Std Read]]="","N/A",Table1[[#This Row],[Std Read]]+Table1[[#This Row],[Std Ucty]])</f>
        <v>N/A</v>
      </c>
      <c r="Z13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9" s="1" t="str">
        <f>IF(Table1[[#This Row],[Spec Type]]="","N/A",Table1[[#This Row],[Spec Type]])</f>
        <v>±</v>
      </c>
      <c r="AC1399" s="1" t="str">
        <f>IF(Table1[[#This Row],[Spec Type2]]="N/A","N/A",IF(AND(Table1[[#This Row],[DUT Adj Read]]&gt;=Table1[[#This Row],[Low Tol]],Table1[[#This Row],[DUT Adj Read]]&lt;=Table1[[#This Row],[High Tol]]),"Pass","Fail"))</f>
        <v>Fail</v>
      </c>
      <c r="AD1399" s="1" t="str">
        <f>IF(AND(Table1[[#This Row],[Spec Type2]]="N/A",Table1[[#This Row],[DUT Adj Read]]="N/A",Table1[[#This Row],[Std Adj Read]]="N/A"),"N/A",IF(Table1[[#This Row],[DUT Adj Read]]="N/A",IF(Table1[[#This Row],[Std Adj Read]]&gt;Table1[[#This Row],[Low Tol]],"Pass","Fail"),IF(Table1[[#This Row],[DUT Adj Read]]&gt;Table1[[#This Row],[Low Tol]],"Pass","Fail")))</f>
        <v>Pass</v>
      </c>
      <c r="AE1399" s="1" t="str">
        <f>IF(AND(Table1[[#This Row],[Spec Type2]]="N/A",Table1[[#This Row],[DUT Adj Read]]="N/A",Table1[[#This Row],[Std Adj Read]]="N/A"),"N/A",IF(Table1[[#This Row],[DUT Adj Read]]="N/A",IF(Table1[[#This Row],[Std Adj Read]]&lt;Table1[[#This Row],[High Tol]],"Pass","Fail"),IF(Table1[[#This Row],[DUT Adj Read]]&lt;Table1[[#This Row],[High Tol]],"Pass","Fail")))</f>
        <v>Fail</v>
      </c>
      <c r="AF1399" s="1" t="str">
        <f>IF(AND(Table1[[#This Row],[Spec Type2]]="N/A",Table1[[#This Row],[DUT Adj Read]]="N/A",Table1[[#This Row],[Std Adj Read]]="N/A"),"N/A",IF(Table1[[#This Row],[DUT Adj Read]]="N/A",IF(Table1[[#This Row],[Std Adj Read]]&gt;=Table1[[#This Row],[Low Tol]],"Pass","Fail"),IF(Table1[[#This Row],[DUT Adj Read]]&gt;=Table1[[#This Row],[Low Tol]],"Pass","Fail")))</f>
        <v>Pass</v>
      </c>
      <c r="AG1399" s="1" t="str">
        <f>IF(AND(Table1[[#This Row],[Spec Type2]]="N/A",Table1[[#This Row],[DUT Adj Read]]="N/A",Table1[[#This Row],[Std Adj Read]]="N/A"),"N/A",IF(Table1[[#This Row],[DUT Adj Read]]="N/A",IF(Table1[[#This Row],[Std Adj Read]]&lt;=Table1[[#This Row],[High Tol]],"Pass","Fail"),IF(Table1[[#This Row],[DUT Adj Read]]&lt;=Table1[[#This Row],[High Tol]],"Pass","Fail")))</f>
        <v>Fail</v>
      </c>
      <c r="AH13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9" s="1" t="b">
        <v>0</v>
      </c>
      <c r="AN1399" s="1" t="b">
        <v>0</v>
      </c>
      <c r="AO1399" s="1" t="b">
        <v>0</v>
      </c>
    </row>
    <row r="1400" spans="1:41" x14ac:dyDescent="0.25">
      <c r="A1400" s="10"/>
      <c r="B1400" s="10"/>
      <c r="C1400" s="10"/>
      <c r="D1400" s="10"/>
      <c r="E1400" s="10"/>
      <c r="F1400" s="10"/>
      <c r="G1400" s="10"/>
      <c r="H1400" s="10"/>
      <c r="I1400" s="1" t="str">
        <f t="shared" si="63"/>
        <v/>
      </c>
      <c r="J1400" s="1" t="s">
        <v>35</v>
      </c>
      <c r="K1400" s="1" t="str">
        <f t="shared" si="64"/>
        <v/>
      </c>
      <c r="L1400" s="1" t="str">
        <f t="shared" si="65"/>
        <v/>
      </c>
      <c r="M1400" s="1">
        <f>IF(OR(Table1[[#This Row],[Std Nom]]="",Table1[[#This Row],[Std Read]]=""),0,Table1[[#This Row],[Std Nom]]-Table1[[#This Row],[Std Read]])</f>
        <v>0</v>
      </c>
      <c r="N1400" s="1">
        <f>IF(Calculations!$F$5="ACCREDITED 17025 WITH UNCERTAINTIES",$N$10,0)</f>
        <v>0</v>
      </c>
      <c r="O1400" s="1" t="str">
        <f>IFERROR(Table1[[#This Row],[Std Nom]]-(_xlfn.XLOOKUP(Table1[[#This Row],[Manufacturer]]&amp;" "&amp;Table1[[#This Row],[Model]],Table13[MFR &amp; MDL],Table13[Tolerance % CW ],"")/100*Table1[[#This Row],[Std Nom]]),"")</f>
        <v/>
      </c>
      <c r="P1400" s="1" t="str">
        <f>IFERROR(Table1[[#This Row],[Std Nom]]+(_xlfn.XLOOKUP(Table1[[#This Row],[Manufacturer]]&amp;" "&amp;Table1[[#This Row],[Model]],Table13[MFR &amp; MDL],Table13[Tolerance % CW ],"")/100*Table1[[#This Row],[Std Nom]]),"")</f>
        <v/>
      </c>
      <c r="Q1400" s="1" t="e">
        <f>Table1[[#This Row],[High Tol]]-Table1[[#This Row],[Low Tol]]</f>
        <v>#VALUE!</v>
      </c>
      <c r="R1400" s="1">
        <f>2*Table1[[#This Row],[Std Error]]</f>
        <v>0</v>
      </c>
      <c r="S1400" s="1" t="str">
        <f>IF(Table1[[#This Row],[High Tol]]="","N/A",IFERROR(ABS(Table1[[#This Row],[Tol Span]]/Table1[[#This Row],[Error Span]]),"N/A"))</f>
        <v>N/A</v>
      </c>
      <c r="T1400" s="1" t="str">
        <f>IF(OR(Table1[[#This Row],[Low Tol]]="",Table1[[#This Row],[High Tol]]=""),"Needs Analysis",IF(Table1[[#This Row],[Ratio]]&gt;=4,"Not Significant",IF(Table1[[#This Row],[Ratio]]&gt;=2,"Semi-Significant","Significant")))</f>
        <v>Needs Analysis</v>
      </c>
      <c r="W1400" s="1">
        <f>IF(Table1[[#This Row],[Cal Type]]&lt;&gt;"ACCREDITED 17025 WITH UNCERTAINTIES",0,"")</f>
        <v>0</v>
      </c>
      <c r="X1400" s="1" t="str">
        <f>IF(Table1[[#This Row],[DUT Read]]="","N/A",Table1[[#This Row],[Std Error]]+Table1[[#This Row],[DUT Read]]+Table1[[#This Row],[DUT Ucty]])</f>
        <v>N/A</v>
      </c>
      <c r="Y1400" s="1" t="str">
        <f>IF(Table1[[#This Row],[Std Read]]="","N/A",Table1[[#This Row],[Std Read]]+Table1[[#This Row],[Std Ucty]])</f>
        <v>N/A</v>
      </c>
      <c r="Z14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0" s="1" t="str">
        <f>IF(Table1[[#This Row],[Spec Type]]="","N/A",Table1[[#This Row],[Spec Type]])</f>
        <v>±</v>
      </c>
      <c r="AC1400" s="1" t="str">
        <f>IF(Table1[[#This Row],[Spec Type2]]="N/A","N/A",IF(AND(Table1[[#This Row],[DUT Adj Read]]&gt;=Table1[[#This Row],[Low Tol]],Table1[[#This Row],[DUT Adj Read]]&lt;=Table1[[#This Row],[High Tol]]),"Pass","Fail"))</f>
        <v>Fail</v>
      </c>
      <c r="AD1400" s="1" t="str">
        <f>IF(AND(Table1[[#This Row],[Spec Type2]]="N/A",Table1[[#This Row],[DUT Adj Read]]="N/A",Table1[[#This Row],[Std Adj Read]]="N/A"),"N/A",IF(Table1[[#This Row],[DUT Adj Read]]="N/A",IF(Table1[[#This Row],[Std Adj Read]]&gt;Table1[[#This Row],[Low Tol]],"Pass","Fail"),IF(Table1[[#This Row],[DUT Adj Read]]&gt;Table1[[#This Row],[Low Tol]],"Pass","Fail")))</f>
        <v>Pass</v>
      </c>
      <c r="AE1400" s="1" t="str">
        <f>IF(AND(Table1[[#This Row],[Spec Type2]]="N/A",Table1[[#This Row],[DUT Adj Read]]="N/A",Table1[[#This Row],[Std Adj Read]]="N/A"),"N/A",IF(Table1[[#This Row],[DUT Adj Read]]="N/A",IF(Table1[[#This Row],[Std Adj Read]]&lt;Table1[[#This Row],[High Tol]],"Pass","Fail"),IF(Table1[[#This Row],[DUT Adj Read]]&lt;Table1[[#This Row],[High Tol]],"Pass","Fail")))</f>
        <v>Fail</v>
      </c>
      <c r="AF1400" s="1" t="str">
        <f>IF(AND(Table1[[#This Row],[Spec Type2]]="N/A",Table1[[#This Row],[DUT Adj Read]]="N/A",Table1[[#This Row],[Std Adj Read]]="N/A"),"N/A",IF(Table1[[#This Row],[DUT Adj Read]]="N/A",IF(Table1[[#This Row],[Std Adj Read]]&gt;=Table1[[#This Row],[Low Tol]],"Pass","Fail"),IF(Table1[[#This Row],[DUT Adj Read]]&gt;=Table1[[#This Row],[Low Tol]],"Pass","Fail")))</f>
        <v>Pass</v>
      </c>
      <c r="AG1400" s="1" t="str">
        <f>IF(AND(Table1[[#This Row],[Spec Type2]]="N/A",Table1[[#This Row],[DUT Adj Read]]="N/A",Table1[[#This Row],[Std Adj Read]]="N/A"),"N/A",IF(Table1[[#This Row],[DUT Adj Read]]="N/A",IF(Table1[[#This Row],[Std Adj Read]]&lt;=Table1[[#This Row],[High Tol]],"Pass","Fail"),IF(Table1[[#This Row],[DUT Adj Read]]&lt;=Table1[[#This Row],[High Tol]],"Pass","Fail")))</f>
        <v>Fail</v>
      </c>
      <c r="AH14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0" s="1" t="b">
        <v>0</v>
      </c>
      <c r="AN1400" s="1" t="b">
        <v>0</v>
      </c>
      <c r="AO1400" s="1" t="b">
        <v>0</v>
      </c>
    </row>
    <row r="1401" spans="1:41" x14ac:dyDescent="0.25">
      <c r="A1401" s="10"/>
      <c r="B1401" s="10"/>
      <c r="C1401" s="10"/>
      <c r="D1401" s="10"/>
      <c r="E1401" s="10"/>
      <c r="F1401" s="10"/>
      <c r="G1401" s="10"/>
      <c r="H1401" s="10"/>
      <c r="I1401" s="1" t="str">
        <f t="shared" si="63"/>
        <v/>
      </c>
      <c r="J1401" s="1" t="s">
        <v>35</v>
      </c>
      <c r="K1401" s="1" t="str">
        <f t="shared" si="64"/>
        <v/>
      </c>
      <c r="L1401" s="1" t="str">
        <f t="shared" si="65"/>
        <v/>
      </c>
      <c r="M1401" s="1">
        <f>IF(OR(Table1[[#This Row],[Std Nom]]="",Table1[[#This Row],[Std Read]]=""),0,Table1[[#This Row],[Std Nom]]-Table1[[#This Row],[Std Read]])</f>
        <v>0</v>
      </c>
      <c r="N1401" s="1">
        <f>IF(Calculations!$F$5="ACCREDITED 17025 WITH UNCERTAINTIES",$N$10,0)</f>
        <v>0</v>
      </c>
      <c r="O1401" s="1" t="str">
        <f>IFERROR(Table1[[#This Row],[Std Nom]]-(_xlfn.XLOOKUP(Table1[[#This Row],[Manufacturer]]&amp;" "&amp;Table1[[#This Row],[Model]],Table13[MFR &amp; MDL],Table13[Tolerance % CW ],"")/100*Table1[[#This Row],[Std Nom]]),"")</f>
        <v/>
      </c>
      <c r="P1401" s="1" t="str">
        <f>IFERROR(Table1[[#This Row],[Std Nom]]+(_xlfn.XLOOKUP(Table1[[#This Row],[Manufacturer]]&amp;" "&amp;Table1[[#This Row],[Model]],Table13[MFR &amp; MDL],Table13[Tolerance % CW ],"")/100*Table1[[#This Row],[Std Nom]]),"")</f>
        <v/>
      </c>
      <c r="Q1401" s="1" t="e">
        <f>Table1[[#This Row],[High Tol]]-Table1[[#This Row],[Low Tol]]</f>
        <v>#VALUE!</v>
      </c>
      <c r="R1401" s="1">
        <f>2*Table1[[#This Row],[Std Error]]</f>
        <v>0</v>
      </c>
      <c r="S1401" s="1" t="str">
        <f>IF(Table1[[#This Row],[High Tol]]="","N/A",IFERROR(ABS(Table1[[#This Row],[Tol Span]]/Table1[[#This Row],[Error Span]]),"N/A"))</f>
        <v>N/A</v>
      </c>
      <c r="T1401" s="1" t="str">
        <f>IF(OR(Table1[[#This Row],[Low Tol]]="",Table1[[#This Row],[High Tol]]=""),"Needs Analysis",IF(Table1[[#This Row],[Ratio]]&gt;=4,"Not Significant",IF(Table1[[#This Row],[Ratio]]&gt;=2,"Semi-Significant","Significant")))</f>
        <v>Needs Analysis</v>
      </c>
      <c r="W1401" s="1">
        <f>IF(Table1[[#This Row],[Cal Type]]&lt;&gt;"ACCREDITED 17025 WITH UNCERTAINTIES",0,"")</f>
        <v>0</v>
      </c>
      <c r="X1401" s="1" t="str">
        <f>IF(Table1[[#This Row],[DUT Read]]="","N/A",Table1[[#This Row],[Std Error]]+Table1[[#This Row],[DUT Read]]+Table1[[#This Row],[DUT Ucty]])</f>
        <v>N/A</v>
      </c>
      <c r="Y1401" s="1" t="str">
        <f>IF(Table1[[#This Row],[Std Read]]="","N/A",Table1[[#This Row],[Std Read]]+Table1[[#This Row],[Std Ucty]])</f>
        <v>N/A</v>
      </c>
      <c r="Z14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1" s="1" t="str">
        <f>IF(Table1[[#This Row],[Spec Type]]="","N/A",Table1[[#This Row],[Spec Type]])</f>
        <v>±</v>
      </c>
      <c r="AC1401" s="1" t="str">
        <f>IF(Table1[[#This Row],[Spec Type2]]="N/A","N/A",IF(AND(Table1[[#This Row],[DUT Adj Read]]&gt;=Table1[[#This Row],[Low Tol]],Table1[[#This Row],[DUT Adj Read]]&lt;=Table1[[#This Row],[High Tol]]),"Pass","Fail"))</f>
        <v>Fail</v>
      </c>
      <c r="AD1401" s="1" t="str">
        <f>IF(AND(Table1[[#This Row],[Spec Type2]]="N/A",Table1[[#This Row],[DUT Adj Read]]="N/A",Table1[[#This Row],[Std Adj Read]]="N/A"),"N/A",IF(Table1[[#This Row],[DUT Adj Read]]="N/A",IF(Table1[[#This Row],[Std Adj Read]]&gt;Table1[[#This Row],[Low Tol]],"Pass","Fail"),IF(Table1[[#This Row],[DUT Adj Read]]&gt;Table1[[#This Row],[Low Tol]],"Pass","Fail")))</f>
        <v>Pass</v>
      </c>
      <c r="AE1401" s="1" t="str">
        <f>IF(AND(Table1[[#This Row],[Spec Type2]]="N/A",Table1[[#This Row],[DUT Adj Read]]="N/A",Table1[[#This Row],[Std Adj Read]]="N/A"),"N/A",IF(Table1[[#This Row],[DUT Adj Read]]="N/A",IF(Table1[[#This Row],[Std Adj Read]]&lt;Table1[[#This Row],[High Tol]],"Pass","Fail"),IF(Table1[[#This Row],[DUT Adj Read]]&lt;Table1[[#This Row],[High Tol]],"Pass","Fail")))</f>
        <v>Fail</v>
      </c>
      <c r="AF1401" s="1" t="str">
        <f>IF(AND(Table1[[#This Row],[Spec Type2]]="N/A",Table1[[#This Row],[DUT Adj Read]]="N/A",Table1[[#This Row],[Std Adj Read]]="N/A"),"N/A",IF(Table1[[#This Row],[DUT Adj Read]]="N/A",IF(Table1[[#This Row],[Std Adj Read]]&gt;=Table1[[#This Row],[Low Tol]],"Pass","Fail"),IF(Table1[[#This Row],[DUT Adj Read]]&gt;=Table1[[#This Row],[Low Tol]],"Pass","Fail")))</f>
        <v>Pass</v>
      </c>
      <c r="AG1401" s="1" t="str">
        <f>IF(AND(Table1[[#This Row],[Spec Type2]]="N/A",Table1[[#This Row],[DUT Adj Read]]="N/A",Table1[[#This Row],[Std Adj Read]]="N/A"),"N/A",IF(Table1[[#This Row],[DUT Adj Read]]="N/A",IF(Table1[[#This Row],[Std Adj Read]]&lt;=Table1[[#This Row],[High Tol]],"Pass","Fail"),IF(Table1[[#This Row],[DUT Adj Read]]&lt;=Table1[[#This Row],[High Tol]],"Pass","Fail")))</f>
        <v>Fail</v>
      </c>
      <c r="AH14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1" s="1" t="b">
        <v>0</v>
      </c>
      <c r="AN1401" s="1" t="b">
        <v>0</v>
      </c>
      <c r="AO1401" s="1" t="b">
        <v>0</v>
      </c>
    </row>
    <row r="1402" spans="1:41" x14ac:dyDescent="0.25">
      <c r="A1402" s="10"/>
      <c r="B1402" s="10"/>
      <c r="C1402" s="10"/>
      <c r="D1402" s="10"/>
      <c r="E1402" s="10"/>
      <c r="F1402" s="10"/>
      <c r="G1402" s="10"/>
      <c r="H1402" s="10"/>
      <c r="I1402" s="1" t="str">
        <f t="shared" si="63"/>
        <v/>
      </c>
      <c r="J1402" s="1" t="s">
        <v>35</v>
      </c>
      <c r="K1402" s="1" t="str">
        <f t="shared" si="64"/>
        <v/>
      </c>
      <c r="L1402" s="1" t="str">
        <f t="shared" si="65"/>
        <v/>
      </c>
      <c r="M1402" s="1">
        <f>IF(OR(Table1[[#This Row],[Std Nom]]="",Table1[[#This Row],[Std Read]]=""),0,Table1[[#This Row],[Std Nom]]-Table1[[#This Row],[Std Read]])</f>
        <v>0</v>
      </c>
      <c r="N1402" s="1">
        <f>IF(Calculations!$F$5="ACCREDITED 17025 WITH UNCERTAINTIES",$N$10,0)</f>
        <v>0</v>
      </c>
      <c r="O1402" s="1" t="str">
        <f>IFERROR(Table1[[#This Row],[Std Nom]]-(_xlfn.XLOOKUP(Table1[[#This Row],[Manufacturer]]&amp;" "&amp;Table1[[#This Row],[Model]],Table13[MFR &amp; MDL],Table13[Tolerance % CW ],"")/100*Table1[[#This Row],[Std Nom]]),"")</f>
        <v/>
      </c>
      <c r="P1402" s="1" t="str">
        <f>IFERROR(Table1[[#This Row],[Std Nom]]+(_xlfn.XLOOKUP(Table1[[#This Row],[Manufacturer]]&amp;" "&amp;Table1[[#This Row],[Model]],Table13[MFR &amp; MDL],Table13[Tolerance % CW ],"")/100*Table1[[#This Row],[Std Nom]]),"")</f>
        <v/>
      </c>
      <c r="Q1402" s="1" t="e">
        <f>Table1[[#This Row],[High Tol]]-Table1[[#This Row],[Low Tol]]</f>
        <v>#VALUE!</v>
      </c>
      <c r="R1402" s="1">
        <f>2*Table1[[#This Row],[Std Error]]</f>
        <v>0</v>
      </c>
      <c r="S1402" s="1" t="str">
        <f>IF(Table1[[#This Row],[High Tol]]="","N/A",IFERROR(ABS(Table1[[#This Row],[Tol Span]]/Table1[[#This Row],[Error Span]]),"N/A"))</f>
        <v>N/A</v>
      </c>
      <c r="T1402" s="1" t="str">
        <f>IF(OR(Table1[[#This Row],[Low Tol]]="",Table1[[#This Row],[High Tol]]=""),"Needs Analysis",IF(Table1[[#This Row],[Ratio]]&gt;=4,"Not Significant",IF(Table1[[#This Row],[Ratio]]&gt;=2,"Semi-Significant","Significant")))</f>
        <v>Needs Analysis</v>
      </c>
      <c r="W1402" s="1">
        <f>IF(Table1[[#This Row],[Cal Type]]&lt;&gt;"ACCREDITED 17025 WITH UNCERTAINTIES",0,"")</f>
        <v>0</v>
      </c>
      <c r="X1402" s="1" t="str">
        <f>IF(Table1[[#This Row],[DUT Read]]="","N/A",Table1[[#This Row],[Std Error]]+Table1[[#This Row],[DUT Read]]+Table1[[#This Row],[DUT Ucty]])</f>
        <v>N/A</v>
      </c>
      <c r="Y1402" s="1" t="str">
        <f>IF(Table1[[#This Row],[Std Read]]="","N/A",Table1[[#This Row],[Std Read]]+Table1[[#This Row],[Std Ucty]])</f>
        <v>N/A</v>
      </c>
      <c r="Z14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2" s="1" t="str">
        <f>IF(Table1[[#This Row],[Spec Type]]="","N/A",Table1[[#This Row],[Spec Type]])</f>
        <v>±</v>
      </c>
      <c r="AC1402" s="1" t="str">
        <f>IF(Table1[[#This Row],[Spec Type2]]="N/A","N/A",IF(AND(Table1[[#This Row],[DUT Adj Read]]&gt;=Table1[[#This Row],[Low Tol]],Table1[[#This Row],[DUT Adj Read]]&lt;=Table1[[#This Row],[High Tol]]),"Pass","Fail"))</f>
        <v>Fail</v>
      </c>
      <c r="AD1402" s="1" t="str">
        <f>IF(AND(Table1[[#This Row],[Spec Type2]]="N/A",Table1[[#This Row],[DUT Adj Read]]="N/A",Table1[[#This Row],[Std Adj Read]]="N/A"),"N/A",IF(Table1[[#This Row],[DUT Adj Read]]="N/A",IF(Table1[[#This Row],[Std Adj Read]]&gt;Table1[[#This Row],[Low Tol]],"Pass","Fail"),IF(Table1[[#This Row],[DUT Adj Read]]&gt;Table1[[#This Row],[Low Tol]],"Pass","Fail")))</f>
        <v>Pass</v>
      </c>
      <c r="AE1402" s="1" t="str">
        <f>IF(AND(Table1[[#This Row],[Spec Type2]]="N/A",Table1[[#This Row],[DUT Adj Read]]="N/A",Table1[[#This Row],[Std Adj Read]]="N/A"),"N/A",IF(Table1[[#This Row],[DUT Adj Read]]="N/A",IF(Table1[[#This Row],[Std Adj Read]]&lt;Table1[[#This Row],[High Tol]],"Pass","Fail"),IF(Table1[[#This Row],[DUT Adj Read]]&lt;Table1[[#This Row],[High Tol]],"Pass","Fail")))</f>
        <v>Fail</v>
      </c>
      <c r="AF1402" s="1" t="str">
        <f>IF(AND(Table1[[#This Row],[Spec Type2]]="N/A",Table1[[#This Row],[DUT Adj Read]]="N/A",Table1[[#This Row],[Std Adj Read]]="N/A"),"N/A",IF(Table1[[#This Row],[DUT Adj Read]]="N/A",IF(Table1[[#This Row],[Std Adj Read]]&gt;=Table1[[#This Row],[Low Tol]],"Pass","Fail"),IF(Table1[[#This Row],[DUT Adj Read]]&gt;=Table1[[#This Row],[Low Tol]],"Pass","Fail")))</f>
        <v>Pass</v>
      </c>
      <c r="AG1402" s="1" t="str">
        <f>IF(AND(Table1[[#This Row],[Spec Type2]]="N/A",Table1[[#This Row],[DUT Adj Read]]="N/A",Table1[[#This Row],[Std Adj Read]]="N/A"),"N/A",IF(Table1[[#This Row],[DUT Adj Read]]="N/A",IF(Table1[[#This Row],[Std Adj Read]]&lt;=Table1[[#This Row],[High Tol]],"Pass","Fail"),IF(Table1[[#This Row],[DUT Adj Read]]&lt;=Table1[[#This Row],[High Tol]],"Pass","Fail")))</f>
        <v>Fail</v>
      </c>
      <c r="AH14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2" s="1" t="b">
        <v>0</v>
      </c>
      <c r="AN1402" s="1" t="b">
        <v>0</v>
      </c>
      <c r="AO1402" s="1" t="b">
        <v>0</v>
      </c>
    </row>
    <row r="1403" spans="1:41" x14ac:dyDescent="0.25">
      <c r="A1403" s="10"/>
      <c r="B1403" s="10"/>
      <c r="C1403" s="10"/>
      <c r="D1403" s="10"/>
      <c r="E1403" s="10"/>
      <c r="F1403" s="10"/>
      <c r="G1403" s="10"/>
      <c r="H1403" s="10"/>
      <c r="I1403" s="1" t="str">
        <f t="shared" si="63"/>
        <v/>
      </c>
      <c r="J1403" s="1" t="s">
        <v>35</v>
      </c>
      <c r="K1403" s="1" t="str">
        <f t="shared" si="64"/>
        <v/>
      </c>
      <c r="L1403" s="1" t="str">
        <f t="shared" si="65"/>
        <v/>
      </c>
      <c r="M1403" s="1">
        <f>IF(OR(Table1[[#This Row],[Std Nom]]="",Table1[[#This Row],[Std Read]]=""),0,Table1[[#This Row],[Std Nom]]-Table1[[#This Row],[Std Read]])</f>
        <v>0</v>
      </c>
      <c r="N1403" s="1">
        <f>IF(Calculations!$F$5="ACCREDITED 17025 WITH UNCERTAINTIES",$N$10,0)</f>
        <v>0</v>
      </c>
      <c r="O1403" s="1" t="str">
        <f>IFERROR(Table1[[#This Row],[Std Nom]]-(_xlfn.XLOOKUP(Table1[[#This Row],[Manufacturer]]&amp;" "&amp;Table1[[#This Row],[Model]],Table13[MFR &amp; MDL],Table13[Tolerance % CW ],"")/100*Table1[[#This Row],[Std Nom]]),"")</f>
        <v/>
      </c>
      <c r="P1403" s="1" t="str">
        <f>IFERROR(Table1[[#This Row],[Std Nom]]+(_xlfn.XLOOKUP(Table1[[#This Row],[Manufacturer]]&amp;" "&amp;Table1[[#This Row],[Model]],Table13[MFR &amp; MDL],Table13[Tolerance % CW ],"")/100*Table1[[#This Row],[Std Nom]]),"")</f>
        <v/>
      </c>
      <c r="Q1403" s="1" t="e">
        <f>Table1[[#This Row],[High Tol]]-Table1[[#This Row],[Low Tol]]</f>
        <v>#VALUE!</v>
      </c>
      <c r="R1403" s="1">
        <f>2*Table1[[#This Row],[Std Error]]</f>
        <v>0</v>
      </c>
      <c r="S1403" s="1" t="str">
        <f>IF(Table1[[#This Row],[High Tol]]="","N/A",IFERROR(ABS(Table1[[#This Row],[Tol Span]]/Table1[[#This Row],[Error Span]]),"N/A"))</f>
        <v>N/A</v>
      </c>
      <c r="T1403" s="1" t="str">
        <f>IF(OR(Table1[[#This Row],[Low Tol]]="",Table1[[#This Row],[High Tol]]=""),"Needs Analysis",IF(Table1[[#This Row],[Ratio]]&gt;=4,"Not Significant",IF(Table1[[#This Row],[Ratio]]&gt;=2,"Semi-Significant","Significant")))</f>
        <v>Needs Analysis</v>
      </c>
      <c r="W1403" s="1">
        <f>IF(Table1[[#This Row],[Cal Type]]&lt;&gt;"ACCREDITED 17025 WITH UNCERTAINTIES",0,"")</f>
        <v>0</v>
      </c>
      <c r="X1403" s="1" t="str">
        <f>IF(Table1[[#This Row],[DUT Read]]="","N/A",Table1[[#This Row],[Std Error]]+Table1[[#This Row],[DUT Read]]+Table1[[#This Row],[DUT Ucty]])</f>
        <v>N/A</v>
      </c>
      <c r="Y1403" s="1" t="str">
        <f>IF(Table1[[#This Row],[Std Read]]="","N/A",Table1[[#This Row],[Std Read]]+Table1[[#This Row],[Std Ucty]])</f>
        <v>N/A</v>
      </c>
      <c r="Z14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3" s="1" t="str">
        <f>IF(Table1[[#This Row],[Spec Type]]="","N/A",Table1[[#This Row],[Spec Type]])</f>
        <v>±</v>
      </c>
      <c r="AC1403" s="1" t="str">
        <f>IF(Table1[[#This Row],[Spec Type2]]="N/A","N/A",IF(AND(Table1[[#This Row],[DUT Adj Read]]&gt;=Table1[[#This Row],[Low Tol]],Table1[[#This Row],[DUT Adj Read]]&lt;=Table1[[#This Row],[High Tol]]),"Pass","Fail"))</f>
        <v>Fail</v>
      </c>
      <c r="AD1403" s="1" t="str">
        <f>IF(AND(Table1[[#This Row],[Spec Type2]]="N/A",Table1[[#This Row],[DUT Adj Read]]="N/A",Table1[[#This Row],[Std Adj Read]]="N/A"),"N/A",IF(Table1[[#This Row],[DUT Adj Read]]="N/A",IF(Table1[[#This Row],[Std Adj Read]]&gt;Table1[[#This Row],[Low Tol]],"Pass","Fail"),IF(Table1[[#This Row],[DUT Adj Read]]&gt;Table1[[#This Row],[Low Tol]],"Pass","Fail")))</f>
        <v>Pass</v>
      </c>
      <c r="AE1403" s="1" t="str">
        <f>IF(AND(Table1[[#This Row],[Spec Type2]]="N/A",Table1[[#This Row],[DUT Adj Read]]="N/A",Table1[[#This Row],[Std Adj Read]]="N/A"),"N/A",IF(Table1[[#This Row],[DUT Adj Read]]="N/A",IF(Table1[[#This Row],[Std Adj Read]]&lt;Table1[[#This Row],[High Tol]],"Pass","Fail"),IF(Table1[[#This Row],[DUT Adj Read]]&lt;Table1[[#This Row],[High Tol]],"Pass","Fail")))</f>
        <v>Fail</v>
      </c>
      <c r="AF1403" s="1" t="str">
        <f>IF(AND(Table1[[#This Row],[Spec Type2]]="N/A",Table1[[#This Row],[DUT Adj Read]]="N/A",Table1[[#This Row],[Std Adj Read]]="N/A"),"N/A",IF(Table1[[#This Row],[DUT Adj Read]]="N/A",IF(Table1[[#This Row],[Std Adj Read]]&gt;=Table1[[#This Row],[Low Tol]],"Pass","Fail"),IF(Table1[[#This Row],[DUT Adj Read]]&gt;=Table1[[#This Row],[Low Tol]],"Pass","Fail")))</f>
        <v>Pass</v>
      </c>
      <c r="AG1403" s="1" t="str">
        <f>IF(AND(Table1[[#This Row],[Spec Type2]]="N/A",Table1[[#This Row],[DUT Adj Read]]="N/A",Table1[[#This Row],[Std Adj Read]]="N/A"),"N/A",IF(Table1[[#This Row],[DUT Adj Read]]="N/A",IF(Table1[[#This Row],[Std Adj Read]]&lt;=Table1[[#This Row],[High Tol]],"Pass","Fail"),IF(Table1[[#This Row],[DUT Adj Read]]&lt;=Table1[[#This Row],[High Tol]],"Pass","Fail")))</f>
        <v>Fail</v>
      </c>
      <c r="AH14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3" s="1" t="b">
        <v>0</v>
      </c>
      <c r="AN1403" s="1" t="b">
        <v>0</v>
      </c>
      <c r="AO1403" s="1" t="b">
        <v>0</v>
      </c>
    </row>
    <row r="1404" spans="1:41" x14ac:dyDescent="0.25">
      <c r="A1404" s="10"/>
      <c r="B1404" s="10"/>
      <c r="C1404" s="10"/>
      <c r="D1404" s="10"/>
      <c r="E1404" s="10"/>
      <c r="F1404" s="10"/>
      <c r="G1404" s="10"/>
      <c r="H1404" s="10"/>
      <c r="I1404" s="1" t="str">
        <f t="shared" si="63"/>
        <v/>
      </c>
      <c r="J1404" s="1" t="s">
        <v>35</v>
      </c>
      <c r="K1404" s="1" t="str">
        <f t="shared" si="64"/>
        <v/>
      </c>
      <c r="L1404" s="1" t="str">
        <f t="shared" si="65"/>
        <v/>
      </c>
      <c r="M1404" s="1">
        <f>IF(OR(Table1[[#This Row],[Std Nom]]="",Table1[[#This Row],[Std Read]]=""),0,Table1[[#This Row],[Std Nom]]-Table1[[#This Row],[Std Read]])</f>
        <v>0</v>
      </c>
      <c r="N1404" s="1">
        <f>IF(Calculations!$F$5="ACCREDITED 17025 WITH UNCERTAINTIES",$N$10,0)</f>
        <v>0</v>
      </c>
      <c r="O1404" s="1" t="str">
        <f>IFERROR(Table1[[#This Row],[Std Nom]]-(_xlfn.XLOOKUP(Table1[[#This Row],[Manufacturer]]&amp;" "&amp;Table1[[#This Row],[Model]],Table13[MFR &amp; MDL],Table13[Tolerance % CW ],"")/100*Table1[[#This Row],[Std Nom]]),"")</f>
        <v/>
      </c>
      <c r="P1404" s="1" t="str">
        <f>IFERROR(Table1[[#This Row],[Std Nom]]+(_xlfn.XLOOKUP(Table1[[#This Row],[Manufacturer]]&amp;" "&amp;Table1[[#This Row],[Model]],Table13[MFR &amp; MDL],Table13[Tolerance % CW ],"")/100*Table1[[#This Row],[Std Nom]]),"")</f>
        <v/>
      </c>
      <c r="Q1404" s="1" t="e">
        <f>Table1[[#This Row],[High Tol]]-Table1[[#This Row],[Low Tol]]</f>
        <v>#VALUE!</v>
      </c>
      <c r="R1404" s="1">
        <f>2*Table1[[#This Row],[Std Error]]</f>
        <v>0</v>
      </c>
      <c r="S1404" s="1" t="str">
        <f>IF(Table1[[#This Row],[High Tol]]="","N/A",IFERROR(ABS(Table1[[#This Row],[Tol Span]]/Table1[[#This Row],[Error Span]]),"N/A"))</f>
        <v>N/A</v>
      </c>
      <c r="T1404" s="1" t="str">
        <f>IF(OR(Table1[[#This Row],[Low Tol]]="",Table1[[#This Row],[High Tol]]=""),"Needs Analysis",IF(Table1[[#This Row],[Ratio]]&gt;=4,"Not Significant",IF(Table1[[#This Row],[Ratio]]&gt;=2,"Semi-Significant","Significant")))</f>
        <v>Needs Analysis</v>
      </c>
      <c r="W1404" s="1">
        <f>IF(Table1[[#This Row],[Cal Type]]&lt;&gt;"ACCREDITED 17025 WITH UNCERTAINTIES",0,"")</f>
        <v>0</v>
      </c>
      <c r="X1404" s="1" t="str">
        <f>IF(Table1[[#This Row],[DUT Read]]="","N/A",Table1[[#This Row],[Std Error]]+Table1[[#This Row],[DUT Read]]+Table1[[#This Row],[DUT Ucty]])</f>
        <v>N/A</v>
      </c>
      <c r="Y1404" s="1" t="str">
        <f>IF(Table1[[#This Row],[Std Read]]="","N/A",Table1[[#This Row],[Std Read]]+Table1[[#This Row],[Std Ucty]])</f>
        <v>N/A</v>
      </c>
      <c r="Z14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4" s="1" t="str">
        <f>IF(Table1[[#This Row],[Spec Type]]="","N/A",Table1[[#This Row],[Spec Type]])</f>
        <v>±</v>
      </c>
      <c r="AC1404" s="1" t="str">
        <f>IF(Table1[[#This Row],[Spec Type2]]="N/A","N/A",IF(AND(Table1[[#This Row],[DUT Adj Read]]&gt;=Table1[[#This Row],[Low Tol]],Table1[[#This Row],[DUT Adj Read]]&lt;=Table1[[#This Row],[High Tol]]),"Pass","Fail"))</f>
        <v>Fail</v>
      </c>
      <c r="AD1404" s="1" t="str">
        <f>IF(AND(Table1[[#This Row],[Spec Type2]]="N/A",Table1[[#This Row],[DUT Adj Read]]="N/A",Table1[[#This Row],[Std Adj Read]]="N/A"),"N/A",IF(Table1[[#This Row],[DUT Adj Read]]="N/A",IF(Table1[[#This Row],[Std Adj Read]]&gt;Table1[[#This Row],[Low Tol]],"Pass","Fail"),IF(Table1[[#This Row],[DUT Adj Read]]&gt;Table1[[#This Row],[Low Tol]],"Pass","Fail")))</f>
        <v>Pass</v>
      </c>
      <c r="AE1404" s="1" t="str">
        <f>IF(AND(Table1[[#This Row],[Spec Type2]]="N/A",Table1[[#This Row],[DUT Adj Read]]="N/A",Table1[[#This Row],[Std Adj Read]]="N/A"),"N/A",IF(Table1[[#This Row],[DUT Adj Read]]="N/A",IF(Table1[[#This Row],[Std Adj Read]]&lt;Table1[[#This Row],[High Tol]],"Pass","Fail"),IF(Table1[[#This Row],[DUT Adj Read]]&lt;Table1[[#This Row],[High Tol]],"Pass","Fail")))</f>
        <v>Fail</v>
      </c>
      <c r="AF1404" s="1" t="str">
        <f>IF(AND(Table1[[#This Row],[Spec Type2]]="N/A",Table1[[#This Row],[DUT Adj Read]]="N/A",Table1[[#This Row],[Std Adj Read]]="N/A"),"N/A",IF(Table1[[#This Row],[DUT Adj Read]]="N/A",IF(Table1[[#This Row],[Std Adj Read]]&gt;=Table1[[#This Row],[Low Tol]],"Pass","Fail"),IF(Table1[[#This Row],[DUT Adj Read]]&gt;=Table1[[#This Row],[Low Tol]],"Pass","Fail")))</f>
        <v>Pass</v>
      </c>
      <c r="AG1404" s="1" t="str">
        <f>IF(AND(Table1[[#This Row],[Spec Type2]]="N/A",Table1[[#This Row],[DUT Adj Read]]="N/A",Table1[[#This Row],[Std Adj Read]]="N/A"),"N/A",IF(Table1[[#This Row],[DUT Adj Read]]="N/A",IF(Table1[[#This Row],[Std Adj Read]]&lt;=Table1[[#This Row],[High Tol]],"Pass","Fail"),IF(Table1[[#This Row],[DUT Adj Read]]&lt;=Table1[[#This Row],[High Tol]],"Pass","Fail")))</f>
        <v>Fail</v>
      </c>
      <c r="AH14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4" s="1" t="b">
        <v>0</v>
      </c>
      <c r="AN1404" s="1" t="b">
        <v>0</v>
      </c>
      <c r="AO1404" s="1" t="b">
        <v>0</v>
      </c>
    </row>
    <row r="1405" spans="1:41" x14ac:dyDescent="0.25">
      <c r="A1405" s="10"/>
      <c r="B1405" s="10"/>
      <c r="C1405" s="10"/>
      <c r="D1405" s="10"/>
      <c r="E1405" s="10"/>
      <c r="F1405" s="10"/>
      <c r="G1405" s="10"/>
      <c r="H1405" s="10"/>
      <c r="I1405" s="1" t="str">
        <f t="shared" si="63"/>
        <v/>
      </c>
      <c r="J1405" s="1" t="s">
        <v>35</v>
      </c>
      <c r="K1405" s="1" t="str">
        <f t="shared" si="64"/>
        <v/>
      </c>
      <c r="L1405" s="1" t="str">
        <f t="shared" si="65"/>
        <v/>
      </c>
      <c r="M1405" s="1">
        <f>IF(OR(Table1[[#This Row],[Std Nom]]="",Table1[[#This Row],[Std Read]]=""),0,Table1[[#This Row],[Std Nom]]-Table1[[#This Row],[Std Read]])</f>
        <v>0</v>
      </c>
      <c r="N1405" s="1">
        <f>IF(Calculations!$F$5="ACCREDITED 17025 WITH UNCERTAINTIES",$N$10,0)</f>
        <v>0</v>
      </c>
      <c r="O1405" s="1" t="str">
        <f>IFERROR(Table1[[#This Row],[Std Nom]]-(_xlfn.XLOOKUP(Table1[[#This Row],[Manufacturer]]&amp;" "&amp;Table1[[#This Row],[Model]],Table13[MFR &amp; MDL],Table13[Tolerance % CW ],"")/100*Table1[[#This Row],[Std Nom]]),"")</f>
        <v/>
      </c>
      <c r="P1405" s="1" t="str">
        <f>IFERROR(Table1[[#This Row],[Std Nom]]+(_xlfn.XLOOKUP(Table1[[#This Row],[Manufacturer]]&amp;" "&amp;Table1[[#This Row],[Model]],Table13[MFR &amp; MDL],Table13[Tolerance % CW ],"")/100*Table1[[#This Row],[Std Nom]]),"")</f>
        <v/>
      </c>
      <c r="Q1405" s="1" t="e">
        <f>Table1[[#This Row],[High Tol]]-Table1[[#This Row],[Low Tol]]</f>
        <v>#VALUE!</v>
      </c>
      <c r="R1405" s="1">
        <f>2*Table1[[#This Row],[Std Error]]</f>
        <v>0</v>
      </c>
      <c r="S1405" s="1" t="str">
        <f>IF(Table1[[#This Row],[High Tol]]="","N/A",IFERROR(ABS(Table1[[#This Row],[Tol Span]]/Table1[[#This Row],[Error Span]]),"N/A"))</f>
        <v>N/A</v>
      </c>
      <c r="T1405" s="1" t="str">
        <f>IF(OR(Table1[[#This Row],[Low Tol]]="",Table1[[#This Row],[High Tol]]=""),"Needs Analysis",IF(Table1[[#This Row],[Ratio]]&gt;=4,"Not Significant",IF(Table1[[#This Row],[Ratio]]&gt;=2,"Semi-Significant","Significant")))</f>
        <v>Needs Analysis</v>
      </c>
      <c r="W1405" s="1">
        <f>IF(Table1[[#This Row],[Cal Type]]&lt;&gt;"ACCREDITED 17025 WITH UNCERTAINTIES",0,"")</f>
        <v>0</v>
      </c>
      <c r="X1405" s="1" t="str">
        <f>IF(Table1[[#This Row],[DUT Read]]="","N/A",Table1[[#This Row],[Std Error]]+Table1[[#This Row],[DUT Read]]+Table1[[#This Row],[DUT Ucty]])</f>
        <v>N/A</v>
      </c>
      <c r="Y1405" s="1" t="str">
        <f>IF(Table1[[#This Row],[Std Read]]="","N/A",Table1[[#This Row],[Std Read]]+Table1[[#This Row],[Std Ucty]])</f>
        <v>N/A</v>
      </c>
      <c r="Z14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5" s="1" t="str">
        <f>IF(Table1[[#This Row],[Spec Type]]="","N/A",Table1[[#This Row],[Spec Type]])</f>
        <v>±</v>
      </c>
      <c r="AC1405" s="1" t="str">
        <f>IF(Table1[[#This Row],[Spec Type2]]="N/A","N/A",IF(AND(Table1[[#This Row],[DUT Adj Read]]&gt;=Table1[[#This Row],[Low Tol]],Table1[[#This Row],[DUT Adj Read]]&lt;=Table1[[#This Row],[High Tol]]),"Pass","Fail"))</f>
        <v>Fail</v>
      </c>
      <c r="AD1405" s="1" t="str">
        <f>IF(AND(Table1[[#This Row],[Spec Type2]]="N/A",Table1[[#This Row],[DUT Adj Read]]="N/A",Table1[[#This Row],[Std Adj Read]]="N/A"),"N/A",IF(Table1[[#This Row],[DUT Adj Read]]="N/A",IF(Table1[[#This Row],[Std Adj Read]]&gt;Table1[[#This Row],[Low Tol]],"Pass","Fail"),IF(Table1[[#This Row],[DUT Adj Read]]&gt;Table1[[#This Row],[Low Tol]],"Pass","Fail")))</f>
        <v>Pass</v>
      </c>
      <c r="AE1405" s="1" t="str">
        <f>IF(AND(Table1[[#This Row],[Spec Type2]]="N/A",Table1[[#This Row],[DUT Adj Read]]="N/A",Table1[[#This Row],[Std Adj Read]]="N/A"),"N/A",IF(Table1[[#This Row],[DUT Adj Read]]="N/A",IF(Table1[[#This Row],[Std Adj Read]]&lt;Table1[[#This Row],[High Tol]],"Pass","Fail"),IF(Table1[[#This Row],[DUT Adj Read]]&lt;Table1[[#This Row],[High Tol]],"Pass","Fail")))</f>
        <v>Fail</v>
      </c>
      <c r="AF1405" s="1" t="str">
        <f>IF(AND(Table1[[#This Row],[Spec Type2]]="N/A",Table1[[#This Row],[DUT Adj Read]]="N/A",Table1[[#This Row],[Std Adj Read]]="N/A"),"N/A",IF(Table1[[#This Row],[DUT Adj Read]]="N/A",IF(Table1[[#This Row],[Std Adj Read]]&gt;=Table1[[#This Row],[Low Tol]],"Pass","Fail"),IF(Table1[[#This Row],[DUT Adj Read]]&gt;=Table1[[#This Row],[Low Tol]],"Pass","Fail")))</f>
        <v>Pass</v>
      </c>
      <c r="AG1405" s="1" t="str">
        <f>IF(AND(Table1[[#This Row],[Spec Type2]]="N/A",Table1[[#This Row],[DUT Adj Read]]="N/A",Table1[[#This Row],[Std Adj Read]]="N/A"),"N/A",IF(Table1[[#This Row],[DUT Adj Read]]="N/A",IF(Table1[[#This Row],[Std Adj Read]]&lt;=Table1[[#This Row],[High Tol]],"Pass","Fail"),IF(Table1[[#This Row],[DUT Adj Read]]&lt;=Table1[[#This Row],[High Tol]],"Pass","Fail")))</f>
        <v>Fail</v>
      </c>
      <c r="AH14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5" s="1" t="b">
        <v>0</v>
      </c>
      <c r="AN1405" s="1" t="b">
        <v>0</v>
      </c>
      <c r="AO1405" s="1" t="b">
        <v>0</v>
      </c>
    </row>
    <row r="1406" spans="1:41" x14ac:dyDescent="0.25">
      <c r="A1406" s="10"/>
      <c r="B1406" s="10"/>
      <c r="C1406" s="10"/>
      <c r="D1406" s="10"/>
      <c r="E1406" s="10"/>
      <c r="F1406" s="10"/>
      <c r="G1406" s="10"/>
      <c r="H1406" s="10"/>
      <c r="I1406" s="1" t="str">
        <f t="shared" si="63"/>
        <v/>
      </c>
      <c r="J1406" s="1" t="s">
        <v>35</v>
      </c>
      <c r="K1406" s="1" t="str">
        <f t="shared" si="64"/>
        <v/>
      </c>
      <c r="L1406" s="1" t="str">
        <f t="shared" si="65"/>
        <v/>
      </c>
      <c r="M1406" s="1">
        <f>IF(OR(Table1[[#This Row],[Std Nom]]="",Table1[[#This Row],[Std Read]]=""),0,Table1[[#This Row],[Std Nom]]-Table1[[#This Row],[Std Read]])</f>
        <v>0</v>
      </c>
      <c r="N1406" s="1">
        <f>IF(Calculations!$F$5="ACCREDITED 17025 WITH UNCERTAINTIES",$N$10,0)</f>
        <v>0</v>
      </c>
      <c r="O1406" s="1" t="str">
        <f>IFERROR(Table1[[#This Row],[Std Nom]]-(_xlfn.XLOOKUP(Table1[[#This Row],[Manufacturer]]&amp;" "&amp;Table1[[#This Row],[Model]],Table13[MFR &amp; MDL],Table13[Tolerance % CW ],"")/100*Table1[[#This Row],[Std Nom]]),"")</f>
        <v/>
      </c>
      <c r="P1406" s="1" t="str">
        <f>IFERROR(Table1[[#This Row],[Std Nom]]+(_xlfn.XLOOKUP(Table1[[#This Row],[Manufacturer]]&amp;" "&amp;Table1[[#This Row],[Model]],Table13[MFR &amp; MDL],Table13[Tolerance % CW ],"")/100*Table1[[#This Row],[Std Nom]]),"")</f>
        <v/>
      </c>
      <c r="Q1406" s="1" t="e">
        <f>Table1[[#This Row],[High Tol]]-Table1[[#This Row],[Low Tol]]</f>
        <v>#VALUE!</v>
      </c>
      <c r="R1406" s="1">
        <f>2*Table1[[#This Row],[Std Error]]</f>
        <v>0</v>
      </c>
      <c r="S1406" s="1" t="str">
        <f>IF(Table1[[#This Row],[High Tol]]="","N/A",IFERROR(ABS(Table1[[#This Row],[Tol Span]]/Table1[[#This Row],[Error Span]]),"N/A"))</f>
        <v>N/A</v>
      </c>
      <c r="T1406" s="1" t="str">
        <f>IF(OR(Table1[[#This Row],[Low Tol]]="",Table1[[#This Row],[High Tol]]=""),"Needs Analysis",IF(Table1[[#This Row],[Ratio]]&gt;=4,"Not Significant",IF(Table1[[#This Row],[Ratio]]&gt;=2,"Semi-Significant","Significant")))</f>
        <v>Needs Analysis</v>
      </c>
      <c r="W1406" s="1">
        <f>IF(Table1[[#This Row],[Cal Type]]&lt;&gt;"ACCREDITED 17025 WITH UNCERTAINTIES",0,"")</f>
        <v>0</v>
      </c>
      <c r="X1406" s="1" t="str">
        <f>IF(Table1[[#This Row],[DUT Read]]="","N/A",Table1[[#This Row],[Std Error]]+Table1[[#This Row],[DUT Read]]+Table1[[#This Row],[DUT Ucty]])</f>
        <v>N/A</v>
      </c>
      <c r="Y1406" s="1" t="str">
        <f>IF(Table1[[#This Row],[Std Read]]="","N/A",Table1[[#This Row],[Std Read]]+Table1[[#This Row],[Std Ucty]])</f>
        <v>N/A</v>
      </c>
      <c r="Z14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6" s="1" t="str">
        <f>IF(Table1[[#This Row],[Spec Type]]="","N/A",Table1[[#This Row],[Spec Type]])</f>
        <v>±</v>
      </c>
      <c r="AC1406" s="1" t="str">
        <f>IF(Table1[[#This Row],[Spec Type2]]="N/A","N/A",IF(AND(Table1[[#This Row],[DUT Adj Read]]&gt;=Table1[[#This Row],[Low Tol]],Table1[[#This Row],[DUT Adj Read]]&lt;=Table1[[#This Row],[High Tol]]),"Pass","Fail"))</f>
        <v>Fail</v>
      </c>
      <c r="AD1406" s="1" t="str">
        <f>IF(AND(Table1[[#This Row],[Spec Type2]]="N/A",Table1[[#This Row],[DUT Adj Read]]="N/A",Table1[[#This Row],[Std Adj Read]]="N/A"),"N/A",IF(Table1[[#This Row],[DUT Adj Read]]="N/A",IF(Table1[[#This Row],[Std Adj Read]]&gt;Table1[[#This Row],[Low Tol]],"Pass","Fail"),IF(Table1[[#This Row],[DUT Adj Read]]&gt;Table1[[#This Row],[Low Tol]],"Pass","Fail")))</f>
        <v>Pass</v>
      </c>
      <c r="AE1406" s="1" t="str">
        <f>IF(AND(Table1[[#This Row],[Spec Type2]]="N/A",Table1[[#This Row],[DUT Adj Read]]="N/A",Table1[[#This Row],[Std Adj Read]]="N/A"),"N/A",IF(Table1[[#This Row],[DUT Adj Read]]="N/A",IF(Table1[[#This Row],[Std Adj Read]]&lt;Table1[[#This Row],[High Tol]],"Pass","Fail"),IF(Table1[[#This Row],[DUT Adj Read]]&lt;Table1[[#This Row],[High Tol]],"Pass","Fail")))</f>
        <v>Fail</v>
      </c>
      <c r="AF1406" s="1" t="str">
        <f>IF(AND(Table1[[#This Row],[Spec Type2]]="N/A",Table1[[#This Row],[DUT Adj Read]]="N/A",Table1[[#This Row],[Std Adj Read]]="N/A"),"N/A",IF(Table1[[#This Row],[DUT Adj Read]]="N/A",IF(Table1[[#This Row],[Std Adj Read]]&gt;=Table1[[#This Row],[Low Tol]],"Pass","Fail"),IF(Table1[[#This Row],[DUT Adj Read]]&gt;=Table1[[#This Row],[Low Tol]],"Pass","Fail")))</f>
        <v>Pass</v>
      </c>
      <c r="AG1406" s="1" t="str">
        <f>IF(AND(Table1[[#This Row],[Spec Type2]]="N/A",Table1[[#This Row],[DUT Adj Read]]="N/A",Table1[[#This Row],[Std Adj Read]]="N/A"),"N/A",IF(Table1[[#This Row],[DUT Adj Read]]="N/A",IF(Table1[[#This Row],[Std Adj Read]]&lt;=Table1[[#This Row],[High Tol]],"Pass","Fail"),IF(Table1[[#This Row],[DUT Adj Read]]&lt;=Table1[[#This Row],[High Tol]],"Pass","Fail")))</f>
        <v>Fail</v>
      </c>
      <c r="AH14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6" s="1" t="b">
        <v>0</v>
      </c>
      <c r="AN1406" s="1" t="b">
        <v>0</v>
      </c>
      <c r="AO1406" s="1" t="b">
        <v>0</v>
      </c>
    </row>
    <row r="1407" spans="1:41" x14ac:dyDescent="0.25">
      <c r="A1407" s="10"/>
      <c r="B1407" s="10"/>
      <c r="C1407" s="10"/>
      <c r="D1407" s="10"/>
      <c r="E1407" s="10"/>
      <c r="F1407" s="10"/>
      <c r="G1407" s="10"/>
      <c r="H1407" s="10"/>
      <c r="I1407" s="1" t="str">
        <f t="shared" si="63"/>
        <v/>
      </c>
      <c r="J1407" s="1" t="s">
        <v>35</v>
      </c>
      <c r="K1407" s="1" t="str">
        <f t="shared" si="64"/>
        <v/>
      </c>
      <c r="L1407" s="1" t="str">
        <f t="shared" si="65"/>
        <v/>
      </c>
      <c r="M1407" s="1">
        <f>IF(OR(Table1[[#This Row],[Std Nom]]="",Table1[[#This Row],[Std Read]]=""),0,Table1[[#This Row],[Std Nom]]-Table1[[#This Row],[Std Read]])</f>
        <v>0</v>
      </c>
      <c r="N1407" s="1">
        <f>IF(Calculations!$F$5="ACCREDITED 17025 WITH UNCERTAINTIES",$N$10,0)</f>
        <v>0</v>
      </c>
      <c r="O1407" s="1" t="str">
        <f>IFERROR(Table1[[#This Row],[Std Nom]]-(_xlfn.XLOOKUP(Table1[[#This Row],[Manufacturer]]&amp;" "&amp;Table1[[#This Row],[Model]],Table13[MFR &amp; MDL],Table13[Tolerance % CW ],"")/100*Table1[[#This Row],[Std Nom]]),"")</f>
        <v/>
      </c>
      <c r="P1407" s="1" t="str">
        <f>IFERROR(Table1[[#This Row],[Std Nom]]+(_xlfn.XLOOKUP(Table1[[#This Row],[Manufacturer]]&amp;" "&amp;Table1[[#This Row],[Model]],Table13[MFR &amp; MDL],Table13[Tolerance % CW ],"")/100*Table1[[#This Row],[Std Nom]]),"")</f>
        <v/>
      </c>
      <c r="Q1407" s="1" t="e">
        <f>Table1[[#This Row],[High Tol]]-Table1[[#This Row],[Low Tol]]</f>
        <v>#VALUE!</v>
      </c>
      <c r="R1407" s="1">
        <f>2*Table1[[#This Row],[Std Error]]</f>
        <v>0</v>
      </c>
      <c r="S1407" s="1" t="str">
        <f>IF(Table1[[#This Row],[High Tol]]="","N/A",IFERROR(ABS(Table1[[#This Row],[Tol Span]]/Table1[[#This Row],[Error Span]]),"N/A"))</f>
        <v>N/A</v>
      </c>
      <c r="T1407" s="1" t="str">
        <f>IF(OR(Table1[[#This Row],[Low Tol]]="",Table1[[#This Row],[High Tol]]=""),"Needs Analysis",IF(Table1[[#This Row],[Ratio]]&gt;=4,"Not Significant",IF(Table1[[#This Row],[Ratio]]&gt;=2,"Semi-Significant","Significant")))</f>
        <v>Needs Analysis</v>
      </c>
      <c r="W1407" s="1">
        <f>IF(Table1[[#This Row],[Cal Type]]&lt;&gt;"ACCREDITED 17025 WITH UNCERTAINTIES",0,"")</f>
        <v>0</v>
      </c>
      <c r="X1407" s="1" t="str">
        <f>IF(Table1[[#This Row],[DUT Read]]="","N/A",Table1[[#This Row],[Std Error]]+Table1[[#This Row],[DUT Read]]+Table1[[#This Row],[DUT Ucty]])</f>
        <v>N/A</v>
      </c>
      <c r="Y1407" s="1" t="str">
        <f>IF(Table1[[#This Row],[Std Read]]="","N/A",Table1[[#This Row],[Std Read]]+Table1[[#This Row],[Std Ucty]])</f>
        <v>N/A</v>
      </c>
      <c r="Z14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7" s="1" t="str">
        <f>IF(Table1[[#This Row],[Spec Type]]="","N/A",Table1[[#This Row],[Spec Type]])</f>
        <v>±</v>
      </c>
      <c r="AC1407" s="1" t="str">
        <f>IF(Table1[[#This Row],[Spec Type2]]="N/A","N/A",IF(AND(Table1[[#This Row],[DUT Adj Read]]&gt;=Table1[[#This Row],[Low Tol]],Table1[[#This Row],[DUT Adj Read]]&lt;=Table1[[#This Row],[High Tol]]),"Pass","Fail"))</f>
        <v>Fail</v>
      </c>
      <c r="AD1407" s="1" t="str">
        <f>IF(AND(Table1[[#This Row],[Spec Type2]]="N/A",Table1[[#This Row],[DUT Adj Read]]="N/A",Table1[[#This Row],[Std Adj Read]]="N/A"),"N/A",IF(Table1[[#This Row],[DUT Adj Read]]="N/A",IF(Table1[[#This Row],[Std Adj Read]]&gt;Table1[[#This Row],[Low Tol]],"Pass","Fail"),IF(Table1[[#This Row],[DUT Adj Read]]&gt;Table1[[#This Row],[Low Tol]],"Pass","Fail")))</f>
        <v>Pass</v>
      </c>
      <c r="AE1407" s="1" t="str">
        <f>IF(AND(Table1[[#This Row],[Spec Type2]]="N/A",Table1[[#This Row],[DUT Adj Read]]="N/A",Table1[[#This Row],[Std Adj Read]]="N/A"),"N/A",IF(Table1[[#This Row],[DUT Adj Read]]="N/A",IF(Table1[[#This Row],[Std Adj Read]]&lt;Table1[[#This Row],[High Tol]],"Pass","Fail"),IF(Table1[[#This Row],[DUT Adj Read]]&lt;Table1[[#This Row],[High Tol]],"Pass","Fail")))</f>
        <v>Fail</v>
      </c>
      <c r="AF1407" s="1" t="str">
        <f>IF(AND(Table1[[#This Row],[Spec Type2]]="N/A",Table1[[#This Row],[DUT Adj Read]]="N/A",Table1[[#This Row],[Std Adj Read]]="N/A"),"N/A",IF(Table1[[#This Row],[DUT Adj Read]]="N/A",IF(Table1[[#This Row],[Std Adj Read]]&gt;=Table1[[#This Row],[Low Tol]],"Pass","Fail"),IF(Table1[[#This Row],[DUT Adj Read]]&gt;=Table1[[#This Row],[Low Tol]],"Pass","Fail")))</f>
        <v>Pass</v>
      </c>
      <c r="AG1407" s="1" t="str">
        <f>IF(AND(Table1[[#This Row],[Spec Type2]]="N/A",Table1[[#This Row],[DUT Adj Read]]="N/A",Table1[[#This Row],[Std Adj Read]]="N/A"),"N/A",IF(Table1[[#This Row],[DUT Adj Read]]="N/A",IF(Table1[[#This Row],[Std Adj Read]]&lt;=Table1[[#This Row],[High Tol]],"Pass","Fail"),IF(Table1[[#This Row],[DUT Adj Read]]&lt;=Table1[[#This Row],[High Tol]],"Pass","Fail")))</f>
        <v>Fail</v>
      </c>
      <c r="AH14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7" s="1" t="b">
        <v>0</v>
      </c>
      <c r="AN1407" s="1" t="b">
        <v>0</v>
      </c>
      <c r="AO1407" s="1" t="b">
        <v>0</v>
      </c>
    </row>
    <row r="1408" spans="1:41" x14ac:dyDescent="0.25">
      <c r="A1408" s="10"/>
      <c r="B1408" s="10"/>
      <c r="C1408" s="10"/>
      <c r="D1408" s="10"/>
      <c r="E1408" s="10"/>
      <c r="F1408" s="10"/>
      <c r="G1408" s="10"/>
      <c r="H1408" s="10"/>
      <c r="I1408" s="1" t="str">
        <f t="shared" si="63"/>
        <v/>
      </c>
      <c r="J1408" s="1" t="s">
        <v>35</v>
      </c>
      <c r="K1408" s="1" t="str">
        <f t="shared" si="64"/>
        <v/>
      </c>
      <c r="L1408" s="1" t="str">
        <f t="shared" si="65"/>
        <v/>
      </c>
      <c r="M1408" s="1">
        <f>IF(OR(Table1[[#This Row],[Std Nom]]="",Table1[[#This Row],[Std Read]]=""),0,Table1[[#This Row],[Std Nom]]-Table1[[#This Row],[Std Read]])</f>
        <v>0</v>
      </c>
      <c r="N1408" s="1">
        <f>IF(Calculations!$F$5="ACCREDITED 17025 WITH UNCERTAINTIES",$N$10,0)</f>
        <v>0</v>
      </c>
      <c r="O1408" s="1" t="str">
        <f>IFERROR(Table1[[#This Row],[Std Nom]]-(_xlfn.XLOOKUP(Table1[[#This Row],[Manufacturer]]&amp;" "&amp;Table1[[#This Row],[Model]],Table13[MFR &amp; MDL],Table13[Tolerance % CW ],"")/100*Table1[[#This Row],[Std Nom]]),"")</f>
        <v/>
      </c>
      <c r="P1408" s="1" t="str">
        <f>IFERROR(Table1[[#This Row],[Std Nom]]+(_xlfn.XLOOKUP(Table1[[#This Row],[Manufacturer]]&amp;" "&amp;Table1[[#This Row],[Model]],Table13[MFR &amp; MDL],Table13[Tolerance % CW ],"")/100*Table1[[#This Row],[Std Nom]]),"")</f>
        <v/>
      </c>
      <c r="Q1408" s="1" t="e">
        <f>Table1[[#This Row],[High Tol]]-Table1[[#This Row],[Low Tol]]</f>
        <v>#VALUE!</v>
      </c>
      <c r="R1408" s="1">
        <f>2*Table1[[#This Row],[Std Error]]</f>
        <v>0</v>
      </c>
      <c r="S1408" s="1" t="str">
        <f>IF(Table1[[#This Row],[High Tol]]="","N/A",IFERROR(ABS(Table1[[#This Row],[Tol Span]]/Table1[[#This Row],[Error Span]]),"N/A"))</f>
        <v>N/A</v>
      </c>
      <c r="T1408" s="1" t="str">
        <f>IF(OR(Table1[[#This Row],[Low Tol]]="",Table1[[#This Row],[High Tol]]=""),"Needs Analysis",IF(Table1[[#This Row],[Ratio]]&gt;=4,"Not Significant",IF(Table1[[#This Row],[Ratio]]&gt;=2,"Semi-Significant","Significant")))</f>
        <v>Needs Analysis</v>
      </c>
      <c r="W1408" s="1">
        <f>IF(Table1[[#This Row],[Cal Type]]&lt;&gt;"ACCREDITED 17025 WITH UNCERTAINTIES",0,"")</f>
        <v>0</v>
      </c>
      <c r="X1408" s="1" t="str">
        <f>IF(Table1[[#This Row],[DUT Read]]="","N/A",Table1[[#This Row],[Std Error]]+Table1[[#This Row],[DUT Read]]+Table1[[#This Row],[DUT Ucty]])</f>
        <v>N/A</v>
      </c>
      <c r="Y1408" s="1" t="str">
        <f>IF(Table1[[#This Row],[Std Read]]="","N/A",Table1[[#This Row],[Std Read]]+Table1[[#This Row],[Std Ucty]])</f>
        <v>N/A</v>
      </c>
      <c r="Z14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8" s="1" t="str">
        <f>IF(Table1[[#This Row],[Spec Type]]="","N/A",Table1[[#This Row],[Spec Type]])</f>
        <v>±</v>
      </c>
      <c r="AC1408" s="1" t="str">
        <f>IF(Table1[[#This Row],[Spec Type2]]="N/A","N/A",IF(AND(Table1[[#This Row],[DUT Adj Read]]&gt;=Table1[[#This Row],[Low Tol]],Table1[[#This Row],[DUT Adj Read]]&lt;=Table1[[#This Row],[High Tol]]),"Pass","Fail"))</f>
        <v>Fail</v>
      </c>
      <c r="AD1408" s="1" t="str">
        <f>IF(AND(Table1[[#This Row],[Spec Type2]]="N/A",Table1[[#This Row],[DUT Adj Read]]="N/A",Table1[[#This Row],[Std Adj Read]]="N/A"),"N/A",IF(Table1[[#This Row],[DUT Adj Read]]="N/A",IF(Table1[[#This Row],[Std Adj Read]]&gt;Table1[[#This Row],[Low Tol]],"Pass","Fail"),IF(Table1[[#This Row],[DUT Adj Read]]&gt;Table1[[#This Row],[Low Tol]],"Pass","Fail")))</f>
        <v>Pass</v>
      </c>
      <c r="AE1408" s="1" t="str">
        <f>IF(AND(Table1[[#This Row],[Spec Type2]]="N/A",Table1[[#This Row],[DUT Adj Read]]="N/A",Table1[[#This Row],[Std Adj Read]]="N/A"),"N/A",IF(Table1[[#This Row],[DUT Adj Read]]="N/A",IF(Table1[[#This Row],[Std Adj Read]]&lt;Table1[[#This Row],[High Tol]],"Pass","Fail"),IF(Table1[[#This Row],[DUT Adj Read]]&lt;Table1[[#This Row],[High Tol]],"Pass","Fail")))</f>
        <v>Fail</v>
      </c>
      <c r="AF1408" s="1" t="str">
        <f>IF(AND(Table1[[#This Row],[Spec Type2]]="N/A",Table1[[#This Row],[DUT Adj Read]]="N/A",Table1[[#This Row],[Std Adj Read]]="N/A"),"N/A",IF(Table1[[#This Row],[DUT Adj Read]]="N/A",IF(Table1[[#This Row],[Std Adj Read]]&gt;=Table1[[#This Row],[Low Tol]],"Pass","Fail"),IF(Table1[[#This Row],[DUT Adj Read]]&gt;=Table1[[#This Row],[Low Tol]],"Pass","Fail")))</f>
        <v>Pass</v>
      </c>
      <c r="AG1408" s="1" t="str">
        <f>IF(AND(Table1[[#This Row],[Spec Type2]]="N/A",Table1[[#This Row],[DUT Adj Read]]="N/A",Table1[[#This Row],[Std Adj Read]]="N/A"),"N/A",IF(Table1[[#This Row],[DUT Adj Read]]="N/A",IF(Table1[[#This Row],[Std Adj Read]]&lt;=Table1[[#This Row],[High Tol]],"Pass","Fail"),IF(Table1[[#This Row],[DUT Adj Read]]&lt;=Table1[[#This Row],[High Tol]],"Pass","Fail")))</f>
        <v>Fail</v>
      </c>
      <c r="AH14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8" s="1" t="b">
        <v>0</v>
      </c>
      <c r="AN1408" s="1" t="b">
        <v>0</v>
      </c>
      <c r="AO1408" s="1" t="b">
        <v>0</v>
      </c>
    </row>
    <row r="1409" spans="1:41" x14ac:dyDescent="0.25">
      <c r="A1409" s="10"/>
      <c r="B1409" s="10"/>
      <c r="C1409" s="10"/>
      <c r="D1409" s="10"/>
      <c r="E1409" s="10"/>
      <c r="F1409" s="10"/>
      <c r="G1409" s="10"/>
      <c r="H1409" s="10"/>
      <c r="I1409" s="1" t="str">
        <f t="shared" si="63"/>
        <v/>
      </c>
      <c r="J1409" s="1" t="s">
        <v>35</v>
      </c>
      <c r="K1409" s="1" t="str">
        <f t="shared" si="64"/>
        <v/>
      </c>
      <c r="L1409" s="1" t="str">
        <f t="shared" si="65"/>
        <v/>
      </c>
      <c r="M1409" s="1">
        <f>IF(OR(Table1[[#This Row],[Std Nom]]="",Table1[[#This Row],[Std Read]]=""),0,Table1[[#This Row],[Std Nom]]-Table1[[#This Row],[Std Read]])</f>
        <v>0</v>
      </c>
      <c r="N1409" s="1">
        <f>IF(Calculations!$F$5="ACCREDITED 17025 WITH UNCERTAINTIES",$N$10,0)</f>
        <v>0</v>
      </c>
      <c r="O1409" s="1" t="str">
        <f>IFERROR(Table1[[#This Row],[Std Nom]]-(_xlfn.XLOOKUP(Table1[[#This Row],[Manufacturer]]&amp;" "&amp;Table1[[#This Row],[Model]],Table13[MFR &amp; MDL],Table13[Tolerance % CW ],"")/100*Table1[[#This Row],[Std Nom]]),"")</f>
        <v/>
      </c>
      <c r="P1409" s="1" t="str">
        <f>IFERROR(Table1[[#This Row],[Std Nom]]+(_xlfn.XLOOKUP(Table1[[#This Row],[Manufacturer]]&amp;" "&amp;Table1[[#This Row],[Model]],Table13[MFR &amp; MDL],Table13[Tolerance % CW ],"")/100*Table1[[#This Row],[Std Nom]]),"")</f>
        <v/>
      </c>
      <c r="Q1409" s="1" t="e">
        <f>Table1[[#This Row],[High Tol]]-Table1[[#This Row],[Low Tol]]</f>
        <v>#VALUE!</v>
      </c>
      <c r="R1409" s="1">
        <f>2*Table1[[#This Row],[Std Error]]</f>
        <v>0</v>
      </c>
      <c r="S1409" s="1" t="str">
        <f>IF(Table1[[#This Row],[High Tol]]="","N/A",IFERROR(ABS(Table1[[#This Row],[Tol Span]]/Table1[[#This Row],[Error Span]]),"N/A"))</f>
        <v>N/A</v>
      </c>
      <c r="T1409" s="1" t="str">
        <f>IF(OR(Table1[[#This Row],[Low Tol]]="",Table1[[#This Row],[High Tol]]=""),"Needs Analysis",IF(Table1[[#This Row],[Ratio]]&gt;=4,"Not Significant",IF(Table1[[#This Row],[Ratio]]&gt;=2,"Semi-Significant","Significant")))</f>
        <v>Needs Analysis</v>
      </c>
      <c r="W1409" s="1">
        <f>IF(Table1[[#This Row],[Cal Type]]&lt;&gt;"ACCREDITED 17025 WITH UNCERTAINTIES",0,"")</f>
        <v>0</v>
      </c>
      <c r="X1409" s="1" t="str">
        <f>IF(Table1[[#This Row],[DUT Read]]="","N/A",Table1[[#This Row],[Std Error]]+Table1[[#This Row],[DUT Read]]+Table1[[#This Row],[DUT Ucty]])</f>
        <v>N/A</v>
      </c>
      <c r="Y1409" s="1" t="str">
        <f>IF(Table1[[#This Row],[Std Read]]="","N/A",Table1[[#This Row],[Std Read]]+Table1[[#This Row],[Std Ucty]])</f>
        <v>N/A</v>
      </c>
      <c r="Z14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9" s="1" t="str">
        <f>IF(Table1[[#This Row],[Spec Type]]="","N/A",Table1[[#This Row],[Spec Type]])</f>
        <v>±</v>
      </c>
      <c r="AC1409" s="1" t="str">
        <f>IF(Table1[[#This Row],[Spec Type2]]="N/A","N/A",IF(AND(Table1[[#This Row],[DUT Adj Read]]&gt;=Table1[[#This Row],[Low Tol]],Table1[[#This Row],[DUT Adj Read]]&lt;=Table1[[#This Row],[High Tol]]),"Pass","Fail"))</f>
        <v>Fail</v>
      </c>
      <c r="AD1409" s="1" t="str">
        <f>IF(AND(Table1[[#This Row],[Spec Type2]]="N/A",Table1[[#This Row],[DUT Adj Read]]="N/A",Table1[[#This Row],[Std Adj Read]]="N/A"),"N/A",IF(Table1[[#This Row],[DUT Adj Read]]="N/A",IF(Table1[[#This Row],[Std Adj Read]]&gt;Table1[[#This Row],[Low Tol]],"Pass","Fail"),IF(Table1[[#This Row],[DUT Adj Read]]&gt;Table1[[#This Row],[Low Tol]],"Pass","Fail")))</f>
        <v>Pass</v>
      </c>
      <c r="AE1409" s="1" t="str">
        <f>IF(AND(Table1[[#This Row],[Spec Type2]]="N/A",Table1[[#This Row],[DUT Adj Read]]="N/A",Table1[[#This Row],[Std Adj Read]]="N/A"),"N/A",IF(Table1[[#This Row],[DUT Adj Read]]="N/A",IF(Table1[[#This Row],[Std Adj Read]]&lt;Table1[[#This Row],[High Tol]],"Pass","Fail"),IF(Table1[[#This Row],[DUT Adj Read]]&lt;Table1[[#This Row],[High Tol]],"Pass","Fail")))</f>
        <v>Fail</v>
      </c>
      <c r="AF1409" s="1" t="str">
        <f>IF(AND(Table1[[#This Row],[Spec Type2]]="N/A",Table1[[#This Row],[DUT Adj Read]]="N/A",Table1[[#This Row],[Std Adj Read]]="N/A"),"N/A",IF(Table1[[#This Row],[DUT Adj Read]]="N/A",IF(Table1[[#This Row],[Std Adj Read]]&gt;=Table1[[#This Row],[Low Tol]],"Pass","Fail"),IF(Table1[[#This Row],[DUT Adj Read]]&gt;=Table1[[#This Row],[Low Tol]],"Pass","Fail")))</f>
        <v>Pass</v>
      </c>
      <c r="AG1409" s="1" t="str">
        <f>IF(AND(Table1[[#This Row],[Spec Type2]]="N/A",Table1[[#This Row],[DUT Adj Read]]="N/A",Table1[[#This Row],[Std Adj Read]]="N/A"),"N/A",IF(Table1[[#This Row],[DUT Adj Read]]="N/A",IF(Table1[[#This Row],[Std Adj Read]]&lt;=Table1[[#This Row],[High Tol]],"Pass","Fail"),IF(Table1[[#This Row],[DUT Adj Read]]&lt;=Table1[[#This Row],[High Tol]],"Pass","Fail")))</f>
        <v>Fail</v>
      </c>
      <c r="AH14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9" s="1" t="b">
        <v>0</v>
      </c>
      <c r="AN1409" s="1" t="b">
        <v>0</v>
      </c>
      <c r="AO1409" s="1" t="b">
        <v>0</v>
      </c>
    </row>
    <row r="1410" spans="1:41" x14ac:dyDescent="0.25">
      <c r="A1410" s="10"/>
      <c r="B1410" s="10"/>
      <c r="C1410" s="10"/>
      <c r="D1410" s="10"/>
      <c r="E1410" s="10"/>
      <c r="F1410" s="10"/>
      <c r="G1410" s="10"/>
      <c r="H1410" s="10"/>
      <c r="I1410" s="1" t="str">
        <f t="shared" si="63"/>
        <v/>
      </c>
      <c r="J1410" s="1" t="s">
        <v>35</v>
      </c>
      <c r="K1410" s="1" t="str">
        <f t="shared" si="64"/>
        <v/>
      </c>
      <c r="L1410" s="1" t="str">
        <f t="shared" si="65"/>
        <v/>
      </c>
      <c r="M1410" s="1">
        <f>IF(OR(Table1[[#This Row],[Std Nom]]="",Table1[[#This Row],[Std Read]]=""),0,Table1[[#This Row],[Std Nom]]-Table1[[#This Row],[Std Read]])</f>
        <v>0</v>
      </c>
      <c r="N1410" s="1">
        <f>IF(Calculations!$F$5="ACCREDITED 17025 WITH UNCERTAINTIES",$N$10,0)</f>
        <v>0</v>
      </c>
      <c r="O1410" s="1" t="str">
        <f>IFERROR(Table1[[#This Row],[Std Nom]]-(_xlfn.XLOOKUP(Table1[[#This Row],[Manufacturer]]&amp;" "&amp;Table1[[#This Row],[Model]],Table13[MFR &amp; MDL],Table13[Tolerance % CW ],"")/100*Table1[[#This Row],[Std Nom]]),"")</f>
        <v/>
      </c>
      <c r="P1410" s="1" t="str">
        <f>IFERROR(Table1[[#This Row],[Std Nom]]+(_xlfn.XLOOKUP(Table1[[#This Row],[Manufacturer]]&amp;" "&amp;Table1[[#This Row],[Model]],Table13[MFR &amp; MDL],Table13[Tolerance % CW ],"")/100*Table1[[#This Row],[Std Nom]]),"")</f>
        <v/>
      </c>
      <c r="Q1410" s="1" t="e">
        <f>Table1[[#This Row],[High Tol]]-Table1[[#This Row],[Low Tol]]</f>
        <v>#VALUE!</v>
      </c>
      <c r="R1410" s="1">
        <f>2*Table1[[#This Row],[Std Error]]</f>
        <v>0</v>
      </c>
      <c r="S1410" s="1" t="str">
        <f>IF(Table1[[#This Row],[High Tol]]="","N/A",IFERROR(ABS(Table1[[#This Row],[Tol Span]]/Table1[[#This Row],[Error Span]]),"N/A"))</f>
        <v>N/A</v>
      </c>
      <c r="T1410" s="1" t="str">
        <f>IF(OR(Table1[[#This Row],[Low Tol]]="",Table1[[#This Row],[High Tol]]=""),"Needs Analysis",IF(Table1[[#This Row],[Ratio]]&gt;=4,"Not Significant",IF(Table1[[#This Row],[Ratio]]&gt;=2,"Semi-Significant","Significant")))</f>
        <v>Needs Analysis</v>
      </c>
      <c r="W1410" s="1">
        <f>IF(Table1[[#This Row],[Cal Type]]&lt;&gt;"ACCREDITED 17025 WITH UNCERTAINTIES",0,"")</f>
        <v>0</v>
      </c>
      <c r="X1410" s="1" t="str">
        <f>IF(Table1[[#This Row],[DUT Read]]="","N/A",Table1[[#This Row],[Std Error]]+Table1[[#This Row],[DUT Read]]+Table1[[#This Row],[DUT Ucty]])</f>
        <v>N/A</v>
      </c>
      <c r="Y1410" s="1" t="str">
        <f>IF(Table1[[#This Row],[Std Read]]="","N/A",Table1[[#This Row],[Std Read]]+Table1[[#This Row],[Std Ucty]])</f>
        <v>N/A</v>
      </c>
      <c r="Z14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0" s="1" t="str">
        <f>IF(Table1[[#This Row],[Spec Type]]="","N/A",Table1[[#This Row],[Spec Type]])</f>
        <v>±</v>
      </c>
      <c r="AC1410" s="1" t="str">
        <f>IF(Table1[[#This Row],[Spec Type2]]="N/A","N/A",IF(AND(Table1[[#This Row],[DUT Adj Read]]&gt;=Table1[[#This Row],[Low Tol]],Table1[[#This Row],[DUT Adj Read]]&lt;=Table1[[#This Row],[High Tol]]),"Pass","Fail"))</f>
        <v>Fail</v>
      </c>
      <c r="AD1410" s="1" t="str">
        <f>IF(AND(Table1[[#This Row],[Spec Type2]]="N/A",Table1[[#This Row],[DUT Adj Read]]="N/A",Table1[[#This Row],[Std Adj Read]]="N/A"),"N/A",IF(Table1[[#This Row],[DUT Adj Read]]="N/A",IF(Table1[[#This Row],[Std Adj Read]]&gt;Table1[[#This Row],[Low Tol]],"Pass","Fail"),IF(Table1[[#This Row],[DUT Adj Read]]&gt;Table1[[#This Row],[Low Tol]],"Pass","Fail")))</f>
        <v>Pass</v>
      </c>
      <c r="AE1410" s="1" t="str">
        <f>IF(AND(Table1[[#This Row],[Spec Type2]]="N/A",Table1[[#This Row],[DUT Adj Read]]="N/A",Table1[[#This Row],[Std Adj Read]]="N/A"),"N/A",IF(Table1[[#This Row],[DUT Adj Read]]="N/A",IF(Table1[[#This Row],[Std Adj Read]]&lt;Table1[[#This Row],[High Tol]],"Pass","Fail"),IF(Table1[[#This Row],[DUT Adj Read]]&lt;Table1[[#This Row],[High Tol]],"Pass","Fail")))</f>
        <v>Fail</v>
      </c>
      <c r="AF1410" s="1" t="str">
        <f>IF(AND(Table1[[#This Row],[Spec Type2]]="N/A",Table1[[#This Row],[DUT Adj Read]]="N/A",Table1[[#This Row],[Std Adj Read]]="N/A"),"N/A",IF(Table1[[#This Row],[DUT Adj Read]]="N/A",IF(Table1[[#This Row],[Std Adj Read]]&gt;=Table1[[#This Row],[Low Tol]],"Pass","Fail"),IF(Table1[[#This Row],[DUT Adj Read]]&gt;=Table1[[#This Row],[Low Tol]],"Pass","Fail")))</f>
        <v>Pass</v>
      </c>
      <c r="AG1410" s="1" t="str">
        <f>IF(AND(Table1[[#This Row],[Spec Type2]]="N/A",Table1[[#This Row],[DUT Adj Read]]="N/A",Table1[[#This Row],[Std Adj Read]]="N/A"),"N/A",IF(Table1[[#This Row],[DUT Adj Read]]="N/A",IF(Table1[[#This Row],[Std Adj Read]]&lt;=Table1[[#This Row],[High Tol]],"Pass","Fail"),IF(Table1[[#This Row],[DUT Adj Read]]&lt;=Table1[[#This Row],[High Tol]],"Pass","Fail")))</f>
        <v>Fail</v>
      </c>
      <c r="AH14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0" s="1" t="b">
        <v>0</v>
      </c>
      <c r="AN1410" s="1" t="b">
        <v>0</v>
      </c>
      <c r="AO1410" s="1" t="b">
        <v>0</v>
      </c>
    </row>
    <row r="1411" spans="1:41" x14ac:dyDescent="0.25">
      <c r="A1411" s="10"/>
      <c r="B1411" s="10"/>
      <c r="C1411" s="10"/>
      <c r="D1411" s="10"/>
      <c r="E1411" s="10"/>
      <c r="F1411" s="10"/>
      <c r="G1411" s="10"/>
      <c r="H1411" s="10"/>
      <c r="I1411" s="1" t="str">
        <f t="shared" si="63"/>
        <v/>
      </c>
      <c r="J1411" s="1" t="s">
        <v>35</v>
      </c>
      <c r="K1411" s="1" t="str">
        <f t="shared" si="64"/>
        <v/>
      </c>
      <c r="L1411" s="1" t="str">
        <f t="shared" si="65"/>
        <v/>
      </c>
      <c r="M1411" s="1">
        <f>IF(OR(Table1[[#This Row],[Std Nom]]="",Table1[[#This Row],[Std Read]]=""),0,Table1[[#This Row],[Std Nom]]-Table1[[#This Row],[Std Read]])</f>
        <v>0</v>
      </c>
      <c r="N1411" s="1">
        <f>IF(Calculations!$F$5="ACCREDITED 17025 WITH UNCERTAINTIES",$N$10,0)</f>
        <v>0</v>
      </c>
      <c r="O1411" s="1" t="str">
        <f>IFERROR(Table1[[#This Row],[Std Nom]]-(_xlfn.XLOOKUP(Table1[[#This Row],[Manufacturer]]&amp;" "&amp;Table1[[#This Row],[Model]],Table13[MFR &amp; MDL],Table13[Tolerance % CW ],"")/100*Table1[[#This Row],[Std Nom]]),"")</f>
        <v/>
      </c>
      <c r="P1411" s="1" t="str">
        <f>IFERROR(Table1[[#This Row],[Std Nom]]+(_xlfn.XLOOKUP(Table1[[#This Row],[Manufacturer]]&amp;" "&amp;Table1[[#This Row],[Model]],Table13[MFR &amp; MDL],Table13[Tolerance % CW ],"")/100*Table1[[#This Row],[Std Nom]]),"")</f>
        <v/>
      </c>
      <c r="Q1411" s="1" t="e">
        <f>Table1[[#This Row],[High Tol]]-Table1[[#This Row],[Low Tol]]</f>
        <v>#VALUE!</v>
      </c>
      <c r="R1411" s="1">
        <f>2*Table1[[#This Row],[Std Error]]</f>
        <v>0</v>
      </c>
      <c r="S1411" s="1" t="str">
        <f>IF(Table1[[#This Row],[High Tol]]="","N/A",IFERROR(ABS(Table1[[#This Row],[Tol Span]]/Table1[[#This Row],[Error Span]]),"N/A"))</f>
        <v>N/A</v>
      </c>
      <c r="T1411" s="1" t="str">
        <f>IF(OR(Table1[[#This Row],[Low Tol]]="",Table1[[#This Row],[High Tol]]=""),"Needs Analysis",IF(Table1[[#This Row],[Ratio]]&gt;=4,"Not Significant",IF(Table1[[#This Row],[Ratio]]&gt;=2,"Semi-Significant","Significant")))</f>
        <v>Needs Analysis</v>
      </c>
      <c r="W1411" s="1">
        <f>IF(Table1[[#This Row],[Cal Type]]&lt;&gt;"ACCREDITED 17025 WITH UNCERTAINTIES",0,"")</f>
        <v>0</v>
      </c>
      <c r="X1411" s="1" t="str">
        <f>IF(Table1[[#This Row],[DUT Read]]="","N/A",Table1[[#This Row],[Std Error]]+Table1[[#This Row],[DUT Read]]+Table1[[#This Row],[DUT Ucty]])</f>
        <v>N/A</v>
      </c>
      <c r="Y1411" s="1" t="str">
        <f>IF(Table1[[#This Row],[Std Read]]="","N/A",Table1[[#This Row],[Std Read]]+Table1[[#This Row],[Std Ucty]])</f>
        <v>N/A</v>
      </c>
      <c r="Z14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1" s="1" t="str">
        <f>IF(Table1[[#This Row],[Spec Type]]="","N/A",Table1[[#This Row],[Spec Type]])</f>
        <v>±</v>
      </c>
      <c r="AC1411" s="1" t="str">
        <f>IF(Table1[[#This Row],[Spec Type2]]="N/A","N/A",IF(AND(Table1[[#This Row],[DUT Adj Read]]&gt;=Table1[[#This Row],[Low Tol]],Table1[[#This Row],[DUT Adj Read]]&lt;=Table1[[#This Row],[High Tol]]),"Pass","Fail"))</f>
        <v>Fail</v>
      </c>
      <c r="AD1411" s="1" t="str">
        <f>IF(AND(Table1[[#This Row],[Spec Type2]]="N/A",Table1[[#This Row],[DUT Adj Read]]="N/A",Table1[[#This Row],[Std Adj Read]]="N/A"),"N/A",IF(Table1[[#This Row],[DUT Adj Read]]="N/A",IF(Table1[[#This Row],[Std Adj Read]]&gt;Table1[[#This Row],[Low Tol]],"Pass","Fail"),IF(Table1[[#This Row],[DUT Adj Read]]&gt;Table1[[#This Row],[Low Tol]],"Pass","Fail")))</f>
        <v>Pass</v>
      </c>
      <c r="AE1411" s="1" t="str">
        <f>IF(AND(Table1[[#This Row],[Spec Type2]]="N/A",Table1[[#This Row],[DUT Adj Read]]="N/A",Table1[[#This Row],[Std Adj Read]]="N/A"),"N/A",IF(Table1[[#This Row],[DUT Adj Read]]="N/A",IF(Table1[[#This Row],[Std Adj Read]]&lt;Table1[[#This Row],[High Tol]],"Pass","Fail"),IF(Table1[[#This Row],[DUT Adj Read]]&lt;Table1[[#This Row],[High Tol]],"Pass","Fail")))</f>
        <v>Fail</v>
      </c>
      <c r="AF1411" s="1" t="str">
        <f>IF(AND(Table1[[#This Row],[Spec Type2]]="N/A",Table1[[#This Row],[DUT Adj Read]]="N/A",Table1[[#This Row],[Std Adj Read]]="N/A"),"N/A",IF(Table1[[#This Row],[DUT Adj Read]]="N/A",IF(Table1[[#This Row],[Std Adj Read]]&gt;=Table1[[#This Row],[Low Tol]],"Pass","Fail"),IF(Table1[[#This Row],[DUT Adj Read]]&gt;=Table1[[#This Row],[Low Tol]],"Pass","Fail")))</f>
        <v>Pass</v>
      </c>
      <c r="AG1411" s="1" t="str">
        <f>IF(AND(Table1[[#This Row],[Spec Type2]]="N/A",Table1[[#This Row],[DUT Adj Read]]="N/A",Table1[[#This Row],[Std Adj Read]]="N/A"),"N/A",IF(Table1[[#This Row],[DUT Adj Read]]="N/A",IF(Table1[[#This Row],[Std Adj Read]]&lt;=Table1[[#This Row],[High Tol]],"Pass","Fail"),IF(Table1[[#This Row],[DUT Adj Read]]&lt;=Table1[[#This Row],[High Tol]],"Pass","Fail")))</f>
        <v>Fail</v>
      </c>
      <c r="AH14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1" s="1" t="b">
        <v>0</v>
      </c>
      <c r="AN1411" s="1" t="b">
        <v>0</v>
      </c>
      <c r="AO1411" s="1" t="b">
        <v>0</v>
      </c>
    </row>
    <row r="1412" spans="1:41" x14ac:dyDescent="0.25">
      <c r="A1412" s="10"/>
      <c r="B1412" s="10"/>
      <c r="C1412" s="10"/>
      <c r="D1412" s="10"/>
      <c r="E1412" s="10"/>
      <c r="F1412" s="10"/>
      <c r="G1412" s="10"/>
      <c r="H1412" s="10"/>
      <c r="I1412" s="1" t="str">
        <f t="shared" si="63"/>
        <v/>
      </c>
      <c r="J1412" s="1" t="s">
        <v>35</v>
      </c>
      <c r="K1412" s="1" t="str">
        <f t="shared" si="64"/>
        <v/>
      </c>
      <c r="L1412" s="1" t="str">
        <f t="shared" si="65"/>
        <v/>
      </c>
      <c r="M1412" s="1">
        <f>IF(OR(Table1[[#This Row],[Std Nom]]="",Table1[[#This Row],[Std Read]]=""),0,Table1[[#This Row],[Std Nom]]-Table1[[#This Row],[Std Read]])</f>
        <v>0</v>
      </c>
      <c r="N1412" s="1">
        <f>IF(Calculations!$F$5="ACCREDITED 17025 WITH UNCERTAINTIES",$N$10,0)</f>
        <v>0</v>
      </c>
      <c r="O1412" s="1" t="str">
        <f>IFERROR(Table1[[#This Row],[Std Nom]]-(_xlfn.XLOOKUP(Table1[[#This Row],[Manufacturer]]&amp;" "&amp;Table1[[#This Row],[Model]],Table13[MFR &amp; MDL],Table13[Tolerance % CW ],"")/100*Table1[[#This Row],[Std Nom]]),"")</f>
        <v/>
      </c>
      <c r="P1412" s="1" t="str">
        <f>IFERROR(Table1[[#This Row],[Std Nom]]+(_xlfn.XLOOKUP(Table1[[#This Row],[Manufacturer]]&amp;" "&amp;Table1[[#This Row],[Model]],Table13[MFR &amp; MDL],Table13[Tolerance % CW ],"")/100*Table1[[#This Row],[Std Nom]]),"")</f>
        <v/>
      </c>
      <c r="Q1412" s="1" t="e">
        <f>Table1[[#This Row],[High Tol]]-Table1[[#This Row],[Low Tol]]</f>
        <v>#VALUE!</v>
      </c>
      <c r="R1412" s="1">
        <f>2*Table1[[#This Row],[Std Error]]</f>
        <v>0</v>
      </c>
      <c r="S1412" s="1" t="str">
        <f>IF(Table1[[#This Row],[High Tol]]="","N/A",IFERROR(ABS(Table1[[#This Row],[Tol Span]]/Table1[[#This Row],[Error Span]]),"N/A"))</f>
        <v>N/A</v>
      </c>
      <c r="T1412" s="1" t="str">
        <f>IF(OR(Table1[[#This Row],[Low Tol]]="",Table1[[#This Row],[High Tol]]=""),"Needs Analysis",IF(Table1[[#This Row],[Ratio]]&gt;=4,"Not Significant",IF(Table1[[#This Row],[Ratio]]&gt;=2,"Semi-Significant","Significant")))</f>
        <v>Needs Analysis</v>
      </c>
      <c r="W1412" s="1">
        <f>IF(Table1[[#This Row],[Cal Type]]&lt;&gt;"ACCREDITED 17025 WITH UNCERTAINTIES",0,"")</f>
        <v>0</v>
      </c>
      <c r="X1412" s="1" t="str">
        <f>IF(Table1[[#This Row],[DUT Read]]="","N/A",Table1[[#This Row],[Std Error]]+Table1[[#This Row],[DUT Read]]+Table1[[#This Row],[DUT Ucty]])</f>
        <v>N/A</v>
      </c>
      <c r="Y1412" s="1" t="str">
        <f>IF(Table1[[#This Row],[Std Read]]="","N/A",Table1[[#This Row],[Std Read]]+Table1[[#This Row],[Std Ucty]])</f>
        <v>N/A</v>
      </c>
      <c r="Z14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2" s="1" t="str">
        <f>IF(Table1[[#This Row],[Spec Type]]="","N/A",Table1[[#This Row],[Spec Type]])</f>
        <v>±</v>
      </c>
      <c r="AC1412" s="1" t="str">
        <f>IF(Table1[[#This Row],[Spec Type2]]="N/A","N/A",IF(AND(Table1[[#This Row],[DUT Adj Read]]&gt;=Table1[[#This Row],[Low Tol]],Table1[[#This Row],[DUT Adj Read]]&lt;=Table1[[#This Row],[High Tol]]),"Pass","Fail"))</f>
        <v>Fail</v>
      </c>
      <c r="AD1412" s="1" t="str">
        <f>IF(AND(Table1[[#This Row],[Spec Type2]]="N/A",Table1[[#This Row],[DUT Adj Read]]="N/A",Table1[[#This Row],[Std Adj Read]]="N/A"),"N/A",IF(Table1[[#This Row],[DUT Adj Read]]="N/A",IF(Table1[[#This Row],[Std Adj Read]]&gt;Table1[[#This Row],[Low Tol]],"Pass","Fail"),IF(Table1[[#This Row],[DUT Adj Read]]&gt;Table1[[#This Row],[Low Tol]],"Pass","Fail")))</f>
        <v>Pass</v>
      </c>
      <c r="AE1412" s="1" t="str">
        <f>IF(AND(Table1[[#This Row],[Spec Type2]]="N/A",Table1[[#This Row],[DUT Adj Read]]="N/A",Table1[[#This Row],[Std Adj Read]]="N/A"),"N/A",IF(Table1[[#This Row],[DUT Adj Read]]="N/A",IF(Table1[[#This Row],[Std Adj Read]]&lt;Table1[[#This Row],[High Tol]],"Pass","Fail"),IF(Table1[[#This Row],[DUT Adj Read]]&lt;Table1[[#This Row],[High Tol]],"Pass","Fail")))</f>
        <v>Fail</v>
      </c>
      <c r="AF1412" s="1" t="str">
        <f>IF(AND(Table1[[#This Row],[Spec Type2]]="N/A",Table1[[#This Row],[DUT Adj Read]]="N/A",Table1[[#This Row],[Std Adj Read]]="N/A"),"N/A",IF(Table1[[#This Row],[DUT Adj Read]]="N/A",IF(Table1[[#This Row],[Std Adj Read]]&gt;=Table1[[#This Row],[Low Tol]],"Pass","Fail"),IF(Table1[[#This Row],[DUT Adj Read]]&gt;=Table1[[#This Row],[Low Tol]],"Pass","Fail")))</f>
        <v>Pass</v>
      </c>
      <c r="AG1412" s="1" t="str">
        <f>IF(AND(Table1[[#This Row],[Spec Type2]]="N/A",Table1[[#This Row],[DUT Adj Read]]="N/A",Table1[[#This Row],[Std Adj Read]]="N/A"),"N/A",IF(Table1[[#This Row],[DUT Adj Read]]="N/A",IF(Table1[[#This Row],[Std Adj Read]]&lt;=Table1[[#This Row],[High Tol]],"Pass","Fail"),IF(Table1[[#This Row],[DUT Adj Read]]&lt;=Table1[[#This Row],[High Tol]],"Pass","Fail")))</f>
        <v>Fail</v>
      </c>
      <c r="AH14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2" s="1" t="b">
        <v>0</v>
      </c>
      <c r="AN1412" s="1" t="b">
        <v>0</v>
      </c>
      <c r="AO1412" s="1" t="b">
        <v>0</v>
      </c>
    </row>
    <row r="1413" spans="1:41" x14ac:dyDescent="0.25">
      <c r="A1413" s="10"/>
      <c r="B1413" s="10"/>
      <c r="C1413" s="10"/>
      <c r="D1413" s="10"/>
      <c r="E1413" s="10"/>
      <c r="F1413" s="10"/>
      <c r="G1413" s="10"/>
      <c r="H1413" s="10"/>
      <c r="I1413" s="1" t="str">
        <f t="shared" si="63"/>
        <v/>
      </c>
      <c r="J1413" s="1" t="s">
        <v>35</v>
      </c>
      <c r="K1413" s="1" t="str">
        <f t="shared" si="64"/>
        <v/>
      </c>
      <c r="L1413" s="1" t="str">
        <f t="shared" si="65"/>
        <v/>
      </c>
      <c r="M1413" s="1">
        <f>IF(OR(Table1[[#This Row],[Std Nom]]="",Table1[[#This Row],[Std Read]]=""),0,Table1[[#This Row],[Std Nom]]-Table1[[#This Row],[Std Read]])</f>
        <v>0</v>
      </c>
      <c r="N1413" s="1">
        <f>IF(Calculations!$F$5="ACCREDITED 17025 WITH UNCERTAINTIES",$N$10,0)</f>
        <v>0</v>
      </c>
      <c r="O1413" s="1" t="str">
        <f>IFERROR(Table1[[#This Row],[Std Nom]]-(_xlfn.XLOOKUP(Table1[[#This Row],[Manufacturer]]&amp;" "&amp;Table1[[#This Row],[Model]],Table13[MFR &amp; MDL],Table13[Tolerance % CW ],"")/100*Table1[[#This Row],[Std Nom]]),"")</f>
        <v/>
      </c>
      <c r="P1413" s="1" t="str">
        <f>IFERROR(Table1[[#This Row],[Std Nom]]+(_xlfn.XLOOKUP(Table1[[#This Row],[Manufacturer]]&amp;" "&amp;Table1[[#This Row],[Model]],Table13[MFR &amp; MDL],Table13[Tolerance % CW ],"")/100*Table1[[#This Row],[Std Nom]]),"")</f>
        <v/>
      </c>
      <c r="Q1413" s="1" t="e">
        <f>Table1[[#This Row],[High Tol]]-Table1[[#This Row],[Low Tol]]</f>
        <v>#VALUE!</v>
      </c>
      <c r="R1413" s="1">
        <f>2*Table1[[#This Row],[Std Error]]</f>
        <v>0</v>
      </c>
      <c r="S1413" s="1" t="str">
        <f>IF(Table1[[#This Row],[High Tol]]="","N/A",IFERROR(ABS(Table1[[#This Row],[Tol Span]]/Table1[[#This Row],[Error Span]]),"N/A"))</f>
        <v>N/A</v>
      </c>
      <c r="T1413" s="1" t="str">
        <f>IF(OR(Table1[[#This Row],[Low Tol]]="",Table1[[#This Row],[High Tol]]=""),"Needs Analysis",IF(Table1[[#This Row],[Ratio]]&gt;=4,"Not Significant",IF(Table1[[#This Row],[Ratio]]&gt;=2,"Semi-Significant","Significant")))</f>
        <v>Needs Analysis</v>
      </c>
      <c r="W1413" s="1">
        <f>IF(Table1[[#This Row],[Cal Type]]&lt;&gt;"ACCREDITED 17025 WITH UNCERTAINTIES",0,"")</f>
        <v>0</v>
      </c>
      <c r="X1413" s="1" t="str">
        <f>IF(Table1[[#This Row],[DUT Read]]="","N/A",Table1[[#This Row],[Std Error]]+Table1[[#This Row],[DUT Read]]+Table1[[#This Row],[DUT Ucty]])</f>
        <v>N/A</v>
      </c>
      <c r="Y1413" s="1" t="str">
        <f>IF(Table1[[#This Row],[Std Read]]="","N/A",Table1[[#This Row],[Std Read]]+Table1[[#This Row],[Std Ucty]])</f>
        <v>N/A</v>
      </c>
      <c r="Z14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3" s="1" t="str">
        <f>IF(Table1[[#This Row],[Spec Type]]="","N/A",Table1[[#This Row],[Spec Type]])</f>
        <v>±</v>
      </c>
      <c r="AC1413" s="1" t="str">
        <f>IF(Table1[[#This Row],[Spec Type2]]="N/A","N/A",IF(AND(Table1[[#This Row],[DUT Adj Read]]&gt;=Table1[[#This Row],[Low Tol]],Table1[[#This Row],[DUT Adj Read]]&lt;=Table1[[#This Row],[High Tol]]),"Pass","Fail"))</f>
        <v>Fail</v>
      </c>
      <c r="AD1413" s="1" t="str">
        <f>IF(AND(Table1[[#This Row],[Spec Type2]]="N/A",Table1[[#This Row],[DUT Adj Read]]="N/A",Table1[[#This Row],[Std Adj Read]]="N/A"),"N/A",IF(Table1[[#This Row],[DUT Adj Read]]="N/A",IF(Table1[[#This Row],[Std Adj Read]]&gt;Table1[[#This Row],[Low Tol]],"Pass","Fail"),IF(Table1[[#This Row],[DUT Adj Read]]&gt;Table1[[#This Row],[Low Tol]],"Pass","Fail")))</f>
        <v>Pass</v>
      </c>
      <c r="AE1413" s="1" t="str">
        <f>IF(AND(Table1[[#This Row],[Spec Type2]]="N/A",Table1[[#This Row],[DUT Adj Read]]="N/A",Table1[[#This Row],[Std Adj Read]]="N/A"),"N/A",IF(Table1[[#This Row],[DUT Adj Read]]="N/A",IF(Table1[[#This Row],[Std Adj Read]]&lt;Table1[[#This Row],[High Tol]],"Pass","Fail"),IF(Table1[[#This Row],[DUT Adj Read]]&lt;Table1[[#This Row],[High Tol]],"Pass","Fail")))</f>
        <v>Fail</v>
      </c>
      <c r="AF1413" s="1" t="str">
        <f>IF(AND(Table1[[#This Row],[Spec Type2]]="N/A",Table1[[#This Row],[DUT Adj Read]]="N/A",Table1[[#This Row],[Std Adj Read]]="N/A"),"N/A",IF(Table1[[#This Row],[DUT Adj Read]]="N/A",IF(Table1[[#This Row],[Std Adj Read]]&gt;=Table1[[#This Row],[Low Tol]],"Pass","Fail"),IF(Table1[[#This Row],[DUT Adj Read]]&gt;=Table1[[#This Row],[Low Tol]],"Pass","Fail")))</f>
        <v>Pass</v>
      </c>
      <c r="AG1413" s="1" t="str">
        <f>IF(AND(Table1[[#This Row],[Spec Type2]]="N/A",Table1[[#This Row],[DUT Adj Read]]="N/A",Table1[[#This Row],[Std Adj Read]]="N/A"),"N/A",IF(Table1[[#This Row],[DUT Adj Read]]="N/A",IF(Table1[[#This Row],[Std Adj Read]]&lt;=Table1[[#This Row],[High Tol]],"Pass","Fail"),IF(Table1[[#This Row],[DUT Adj Read]]&lt;=Table1[[#This Row],[High Tol]],"Pass","Fail")))</f>
        <v>Fail</v>
      </c>
      <c r="AH14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3" s="1" t="b">
        <v>0</v>
      </c>
      <c r="AN1413" s="1" t="b">
        <v>0</v>
      </c>
      <c r="AO1413" s="1" t="b">
        <v>0</v>
      </c>
    </row>
    <row r="1414" spans="1:41" x14ac:dyDescent="0.25">
      <c r="A1414" s="10"/>
      <c r="B1414" s="10"/>
      <c r="C1414" s="10"/>
      <c r="D1414" s="10"/>
      <c r="E1414" s="10"/>
      <c r="F1414" s="10"/>
      <c r="G1414" s="10"/>
      <c r="H1414" s="10"/>
      <c r="I1414" s="1" t="str">
        <f t="shared" si="63"/>
        <v/>
      </c>
      <c r="J1414" s="1" t="s">
        <v>35</v>
      </c>
      <c r="K1414" s="1" t="str">
        <f t="shared" si="64"/>
        <v/>
      </c>
      <c r="L1414" s="1" t="str">
        <f t="shared" si="65"/>
        <v/>
      </c>
      <c r="M1414" s="1">
        <f>IF(OR(Table1[[#This Row],[Std Nom]]="",Table1[[#This Row],[Std Read]]=""),0,Table1[[#This Row],[Std Nom]]-Table1[[#This Row],[Std Read]])</f>
        <v>0</v>
      </c>
      <c r="N1414" s="1">
        <f>IF(Calculations!$F$5="ACCREDITED 17025 WITH UNCERTAINTIES",$N$10,0)</f>
        <v>0</v>
      </c>
      <c r="O1414" s="1" t="str">
        <f>IFERROR(Table1[[#This Row],[Std Nom]]-(_xlfn.XLOOKUP(Table1[[#This Row],[Manufacturer]]&amp;" "&amp;Table1[[#This Row],[Model]],Table13[MFR &amp; MDL],Table13[Tolerance % CW ],"")/100*Table1[[#This Row],[Std Nom]]),"")</f>
        <v/>
      </c>
      <c r="P1414" s="1" t="str">
        <f>IFERROR(Table1[[#This Row],[Std Nom]]+(_xlfn.XLOOKUP(Table1[[#This Row],[Manufacturer]]&amp;" "&amp;Table1[[#This Row],[Model]],Table13[MFR &amp; MDL],Table13[Tolerance % CW ],"")/100*Table1[[#This Row],[Std Nom]]),"")</f>
        <v/>
      </c>
      <c r="Q1414" s="1" t="e">
        <f>Table1[[#This Row],[High Tol]]-Table1[[#This Row],[Low Tol]]</f>
        <v>#VALUE!</v>
      </c>
      <c r="R1414" s="1">
        <f>2*Table1[[#This Row],[Std Error]]</f>
        <v>0</v>
      </c>
      <c r="S1414" s="1" t="str">
        <f>IF(Table1[[#This Row],[High Tol]]="","N/A",IFERROR(ABS(Table1[[#This Row],[Tol Span]]/Table1[[#This Row],[Error Span]]),"N/A"))</f>
        <v>N/A</v>
      </c>
      <c r="T1414" s="1" t="str">
        <f>IF(OR(Table1[[#This Row],[Low Tol]]="",Table1[[#This Row],[High Tol]]=""),"Needs Analysis",IF(Table1[[#This Row],[Ratio]]&gt;=4,"Not Significant",IF(Table1[[#This Row],[Ratio]]&gt;=2,"Semi-Significant","Significant")))</f>
        <v>Needs Analysis</v>
      </c>
      <c r="W1414" s="1">
        <f>IF(Table1[[#This Row],[Cal Type]]&lt;&gt;"ACCREDITED 17025 WITH UNCERTAINTIES",0,"")</f>
        <v>0</v>
      </c>
      <c r="X1414" s="1" t="str">
        <f>IF(Table1[[#This Row],[DUT Read]]="","N/A",Table1[[#This Row],[Std Error]]+Table1[[#This Row],[DUT Read]]+Table1[[#This Row],[DUT Ucty]])</f>
        <v>N/A</v>
      </c>
      <c r="Y1414" s="1" t="str">
        <f>IF(Table1[[#This Row],[Std Read]]="","N/A",Table1[[#This Row],[Std Read]]+Table1[[#This Row],[Std Ucty]])</f>
        <v>N/A</v>
      </c>
      <c r="Z14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4" s="1" t="str">
        <f>IF(Table1[[#This Row],[Spec Type]]="","N/A",Table1[[#This Row],[Spec Type]])</f>
        <v>±</v>
      </c>
      <c r="AC1414" s="1" t="str">
        <f>IF(Table1[[#This Row],[Spec Type2]]="N/A","N/A",IF(AND(Table1[[#This Row],[DUT Adj Read]]&gt;=Table1[[#This Row],[Low Tol]],Table1[[#This Row],[DUT Adj Read]]&lt;=Table1[[#This Row],[High Tol]]),"Pass","Fail"))</f>
        <v>Fail</v>
      </c>
      <c r="AD1414" s="1" t="str">
        <f>IF(AND(Table1[[#This Row],[Spec Type2]]="N/A",Table1[[#This Row],[DUT Adj Read]]="N/A",Table1[[#This Row],[Std Adj Read]]="N/A"),"N/A",IF(Table1[[#This Row],[DUT Adj Read]]="N/A",IF(Table1[[#This Row],[Std Adj Read]]&gt;Table1[[#This Row],[Low Tol]],"Pass","Fail"),IF(Table1[[#This Row],[DUT Adj Read]]&gt;Table1[[#This Row],[Low Tol]],"Pass","Fail")))</f>
        <v>Pass</v>
      </c>
      <c r="AE1414" s="1" t="str">
        <f>IF(AND(Table1[[#This Row],[Spec Type2]]="N/A",Table1[[#This Row],[DUT Adj Read]]="N/A",Table1[[#This Row],[Std Adj Read]]="N/A"),"N/A",IF(Table1[[#This Row],[DUT Adj Read]]="N/A",IF(Table1[[#This Row],[Std Adj Read]]&lt;Table1[[#This Row],[High Tol]],"Pass","Fail"),IF(Table1[[#This Row],[DUT Adj Read]]&lt;Table1[[#This Row],[High Tol]],"Pass","Fail")))</f>
        <v>Fail</v>
      </c>
      <c r="AF1414" s="1" t="str">
        <f>IF(AND(Table1[[#This Row],[Spec Type2]]="N/A",Table1[[#This Row],[DUT Adj Read]]="N/A",Table1[[#This Row],[Std Adj Read]]="N/A"),"N/A",IF(Table1[[#This Row],[DUT Adj Read]]="N/A",IF(Table1[[#This Row],[Std Adj Read]]&gt;=Table1[[#This Row],[Low Tol]],"Pass","Fail"),IF(Table1[[#This Row],[DUT Adj Read]]&gt;=Table1[[#This Row],[Low Tol]],"Pass","Fail")))</f>
        <v>Pass</v>
      </c>
      <c r="AG1414" s="1" t="str">
        <f>IF(AND(Table1[[#This Row],[Spec Type2]]="N/A",Table1[[#This Row],[DUT Adj Read]]="N/A",Table1[[#This Row],[Std Adj Read]]="N/A"),"N/A",IF(Table1[[#This Row],[DUT Adj Read]]="N/A",IF(Table1[[#This Row],[Std Adj Read]]&lt;=Table1[[#This Row],[High Tol]],"Pass","Fail"),IF(Table1[[#This Row],[DUT Adj Read]]&lt;=Table1[[#This Row],[High Tol]],"Pass","Fail")))</f>
        <v>Fail</v>
      </c>
      <c r="AH14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4" s="1" t="b">
        <v>0</v>
      </c>
      <c r="AN1414" s="1" t="b">
        <v>0</v>
      </c>
      <c r="AO1414" s="1" t="b">
        <v>0</v>
      </c>
    </row>
    <row r="1415" spans="1:41" x14ac:dyDescent="0.25">
      <c r="A1415" s="10"/>
      <c r="B1415" s="10"/>
      <c r="C1415" s="10"/>
      <c r="D1415" s="10"/>
      <c r="E1415" s="10"/>
      <c r="F1415" s="10"/>
      <c r="G1415" s="10"/>
      <c r="H1415" s="10"/>
      <c r="I1415" s="1" t="str">
        <f t="shared" si="63"/>
        <v/>
      </c>
      <c r="J1415" s="1" t="s">
        <v>35</v>
      </c>
      <c r="K1415" s="1" t="str">
        <f t="shared" si="64"/>
        <v/>
      </c>
      <c r="L1415" s="1" t="str">
        <f t="shared" si="65"/>
        <v/>
      </c>
      <c r="M1415" s="1">
        <f>IF(OR(Table1[[#This Row],[Std Nom]]="",Table1[[#This Row],[Std Read]]=""),0,Table1[[#This Row],[Std Nom]]-Table1[[#This Row],[Std Read]])</f>
        <v>0</v>
      </c>
      <c r="N1415" s="1">
        <f>IF(Calculations!$F$5="ACCREDITED 17025 WITH UNCERTAINTIES",$N$10,0)</f>
        <v>0</v>
      </c>
      <c r="O1415" s="1" t="str">
        <f>IFERROR(Table1[[#This Row],[Std Nom]]-(_xlfn.XLOOKUP(Table1[[#This Row],[Manufacturer]]&amp;" "&amp;Table1[[#This Row],[Model]],Table13[MFR &amp; MDL],Table13[Tolerance % CW ],"")/100*Table1[[#This Row],[Std Nom]]),"")</f>
        <v/>
      </c>
      <c r="P1415" s="1" t="str">
        <f>IFERROR(Table1[[#This Row],[Std Nom]]+(_xlfn.XLOOKUP(Table1[[#This Row],[Manufacturer]]&amp;" "&amp;Table1[[#This Row],[Model]],Table13[MFR &amp; MDL],Table13[Tolerance % CW ],"")/100*Table1[[#This Row],[Std Nom]]),"")</f>
        <v/>
      </c>
      <c r="Q1415" s="1" t="e">
        <f>Table1[[#This Row],[High Tol]]-Table1[[#This Row],[Low Tol]]</f>
        <v>#VALUE!</v>
      </c>
      <c r="R1415" s="1">
        <f>2*Table1[[#This Row],[Std Error]]</f>
        <v>0</v>
      </c>
      <c r="S1415" s="1" t="str">
        <f>IF(Table1[[#This Row],[High Tol]]="","N/A",IFERROR(ABS(Table1[[#This Row],[Tol Span]]/Table1[[#This Row],[Error Span]]),"N/A"))</f>
        <v>N/A</v>
      </c>
      <c r="T1415" s="1" t="str">
        <f>IF(OR(Table1[[#This Row],[Low Tol]]="",Table1[[#This Row],[High Tol]]=""),"Needs Analysis",IF(Table1[[#This Row],[Ratio]]&gt;=4,"Not Significant",IF(Table1[[#This Row],[Ratio]]&gt;=2,"Semi-Significant","Significant")))</f>
        <v>Needs Analysis</v>
      </c>
      <c r="W1415" s="1">
        <f>IF(Table1[[#This Row],[Cal Type]]&lt;&gt;"ACCREDITED 17025 WITH UNCERTAINTIES",0,"")</f>
        <v>0</v>
      </c>
      <c r="X1415" s="1" t="str">
        <f>IF(Table1[[#This Row],[DUT Read]]="","N/A",Table1[[#This Row],[Std Error]]+Table1[[#This Row],[DUT Read]]+Table1[[#This Row],[DUT Ucty]])</f>
        <v>N/A</v>
      </c>
      <c r="Y1415" s="1" t="str">
        <f>IF(Table1[[#This Row],[Std Read]]="","N/A",Table1[[#This Row],[Std Read]]+Table1[[#This Row],[Std Ucty]])</f>
        <v>N/A</v>
      </c>
      <c r="Z14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5" s="1" t="str">
        <f>IF(Table1[[#This Row],[Spec Type]]="","N/A",Table1[[#This Row],[Spec Type]])</f>
        <v>±</v>
      </c>
      <c r="AC1415" s="1" t="str">
        <f>IF(Table1[[#This Row],[Spec Type2]]="N/A","N/A",IF(AND(Table1[[#This Row],[DUT Adj Read]]&gt;=Table1[[#This Row],[Low Tol]],Table1[[#This Row],[DUT Adj Read]]&lt;=Table1[[#This Row],[High Tol]]),"Pass","Fail"))</f>
        <v>Fail</v>
      </c>
      <c r="AD1415" s="1" t="str">
        <f>IF(AND(Table1[[#This Row],[Spec Type2]]="N/A",Table1[[#This Row],[DUT Adj Read]]="N/A",Table1[[#This Row],[Std Adj Read]]="N/A"),"N/A",IF(Table1[[#This Row],[DUT Adj Read]]="N/A",IF(Table1[[#This Row],[Std Adj Read]]&gt;Table1[[#This Row],[Low Tol]],"Pass","Fail"),IF(Table1[[#This Row],[DUT Adj Read]]&gt;Table1[[#This Row],[Low Tol]],"Pass","Fail")))</f>
        <v>Pass</v>
      </c>
      <c r="AE1415" s="1" t="str">
        <f>IF(AND(Table1[[#This Row],[Spec Type2]]="N/A",Table1[[#This Row],[DUT Adj Read]]="N/A",Table1[[#This Row],[Std Adj Read]]="N/A"),"N/A",IF(Table1[[#This Row],[DUT Adj Read]]="N/A",IF(Table1[[#This Row],[Std Adj Read]]&lt;Table1[[#This Row],[High Tol]],"Pass","Fail"),IF(Table1[[#This Row],[DUT Adj Read]]&lt;Table1[[#This Row],[High Tol]],"Pass","Fail")))</f>
        <v>Fail</v>
      </c>
      <c r="AF1415" s="1" t="str">
        <f>IF(AND(Table1[[#This Row],[Spec Type2]]="N/A",Table1[[#This Row],[DUT Adj Read]]="N/A",Table1[[#This Row],[Std Adj Read]]="N/A"),"N/A",IF(Table1[[#This Row],[DUT Adj Read]]="N/A",IF(Table1[[#This Row],[Std Adj Read]]&gt;=Table1[[#This Row],[Low Tol]],"Pass","Fail"),IF(Table1[[#This Row],[DUT Adj Read]]&gt;=Table1[[#This Row],[Low Tol]],"Pass","Fail")))</f>
        <v>Pass</v>
      </c>
      <c r="AG1415" s="1" t="str">
        <f>IF(AND(Table1[[#This Row],[Spec Type2]]="N/A",Table1[[#This Row],[DUT Adj Read]]="N/A",Table1[[#This Row],[Std Adj Read]]="N/A"),"N/A",IF(Table1[[#This Row],[DUT Adj Read]]="N/A",IF(Table1[[#This Row],[Std Adj Read]]&lt;=Table1[[#This Row],[High Tol]],"Pass","Fail"),IF(Table1[[#This Row],[DUT Adj Read]]&lt;=Table1[[#This Row],[High Tol]],"Pass","Fail")))</f>
        <v>Fail</v>
      </c>
      <c r="AH14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5" s="1" t="b">
        <v>0</v>
      </c>
      <c r="AN1415" s="1" t="b">
        <v>0</v>
      </c>
      <c r="AO1415" s="1" t="b">
        <v>0</v>
      </c>
    </row>
    <row r="1416" spans="1:41" x14ac:dyDescent="0.25">
      <c r="A1416" s="10"/>
      <c r="B1416" s="10"/>
      <c r="C1416" s="10"/>
      <c r="D1416" s="10"/>
      <c r="E1416" s="10"/>
      <c r="F1416" s="10"/>
      <c r="G1416" s="10"/>
      <c r="H1416" s="10"/>
      <c r="I1416" s="1" t="str">
        <f t="shared" si="63"/>
        <v/>
      </c>
      <c r="J1416" s="1" t="s">
        <v>35</v>
      </c>
      <c r="K1416" s="1" t="str">
        <f t="shared" si="64"/>
        <v/>
      </c>
      <c r="L1416" s="1" t="str">
        <f t="shared" si="65"/>
        <v/>
      </c>
      <c r="M1416" s="1">
        <f>IF(OR(Table1[[#This Row],[Std Nom]]="",Table1[[#This Row],[Std Read]]=""),0,Table1[[#This Row],[Std Nom]]-Table1[[#This Row],[Std Read]])</f>
        <v>0</v>
      </c>
      <c r="N1416" s="1">
        <f>IF(Calculations!$F$5="ACCREDITED 17025 WITH UNCERTAINTIES",$N$10,0)</f>
        <v>0</v>
      </c>
      <c r="O1416" s="1" t="str">
        <f>IFERROR(Table1[[#This Row],[Std Nom]]-(_xlfn.XLOOKUP(Table1[[#This Row],[Manufacturer]]&amp;" "&amp;Table1[[#This Row],[Model]],Table13[MFR &amp; MDL],Table13[Tolerance % CW ],"")/100*Table1[[#This Row],[Std Nom]]),"")</f>
        <v/>
      </c>
      <c r="P1416" s="1" t="str">
        <f>IFERROR(Table1[[#This Row],[Std Nom]]+(_xlfn.XLOOKUP(Table1[[#This Row],[Manufacturer]]&amp;" "&amp;Table1[[#This Row],[Model]],Table13[MFR &amp; MDL],Table13[Tolerance % CW ],"")/100*Table1[[#This Row],[Std Nom]]),"")</f>
        <v/>
      </c>
      <c r="Q1416" s="1" t="e">
        <f>Table1[[#This Row],[High Tol]]-Table1[[#This Row],[Low Tol]]</f>
        <v>#VALUE!</v>
      </c>
      <c r="R1416" s="1">
        <f>2*Table1[[#This Row],[Std Error]]</f>
        <v>0</v>
      </c>
      <c r="S1416" s="1" t="str">
        <f>IF(Table1[[#This Row],[High Tol]]="","N/A",IFERROR(ABS(Table1[[#This Row],[Tol Span]]/Table1[[#This Row],[Error Span]]),"N/A"))</f>
        <v>N/A</v>
      </c>
      <c r="T1416" s="1" t="str">
        <f>IF(OR(Table1[[#This Row],[Low Tol]]="",Table1[[#This Row],[High Tol]]=""),"Needs Analysis",IF(Table1[[#This Row],[Ratio]]&gt;=4,"Not Significant",IF(Table1[[#This Row],[Ratio]]&gt;=2,"Semi-Significant","Significant")))</f>
        <v>Needs Analysis</v>
      </c>
      <c r="W1416" s="1">
        <f>IF(Table1[[#This Row],[Cal Type]]&lt;&gt;"ACCREDITED 17025 WITH UNCERTAINTIES",0,"")</f>
        <v>0</v>
      </c>
      <c r="X1416" s="1" t="str">
        <f>IF(Table1[[#This Row],[DUT Read]]="","N/A",Table1[[#This Row],[Std Error]]+Table1[[#This Row],[DUT Read]]+Table1[[#This Row],[DUT Ucty]])</f>
        <v>N/A</v>
      </c>
      <c r="Y1416" s="1" t="str">
        <f>IF(Table1[[#This Row],[Std Read]]="","N/A",Table1[[#This Row],[Std Read]]+Table1[[#This Row],[Std Ucty]])</f>
        <v>N/A</v>
      </c>
      <c r="Z14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6" s="1" t="str">
        <f>IF(Table1[[#This Row],[Spec Type]]="","N/A",Table1[[#This Row],[Spec Type]])</f>
        <v>±</v>
      </c>
      <c r="AC1416" s="1" t="str">
        <f>IF(Table1[[#This Row],[Spec Type2]]="N/A","N/A",IF(AND(Table1[[#This Row],[DUT Adj Read]]&gt;=Table1[[#This Row],[Low Tol]],Table1[[#This Row],[DUT Adj Read]]&lt;=Table1[[#This Row],[High Tol]]),"Pass","Fail"))</f>
        <v>Fail</v>
      </c>
      <c r="AD1416" s="1" t="str">
        <f>IF(AND(Table1[[#This Row],[Spec Type2]]="N/A",Table1[[#This Row],[DUT Adj Read]]="N/A",Table1[[#This Row],[Std Adj Read]]="N/A"),"N/A",IF(Table1[[#This Row],[DUT Adj Read]]="N/A",IF(Table1[[#This Row],[Std Adj Read]]&gt;Table1[[#This Row],[Low Tol]],"Pass","Fail"),IF(Table1[[#This Row],[DUT Adj Read]]&gt;Table1[[#This Row],[Low Tol]],"Pass","Fail")))</f>
        <v>Pass</v>
      </c>
      <c r="AE1416" s="1" t="str">
        <f>IF(AND(Table1[[#This Row],[Spec Type2]]="N/A",Table1[[#This Row],[DUT Adj Read]]="N/A",Table1[[#This Row],[Std Adj Read]]="N/A"),"N/A",IF(Table1[[#This Row],[DUT Adj Read]]="N/A",IF(Table1[[#This Row],[Std Adj Read]]&lt;Table1[[#This Row],[High Tol]],"Pass","Fail"),IF(Table1[[#This Row],[DUT Adj Read]]&lt;Table1[[#This Row],[High Tol]],"Pass","Fail")))</f>
        <v>Fail</v>
      </c>
      <c r="AF1416" s="1" t="str">
        <f>IF(AND(Table1[[#This Row],[Spec Type2]]="N/A",Table1[[#This Row],[DUT Adj Read]]="N/A",Table1[[#This Row],[Std Adj Read]]="N/A"),"N/A",IF(Table1[[#This Row],[DUT Adj Read]]="N/A",IF(Table1[[#This Row],[Std Adj Read]]&gt;=Table1[[#This Row],[Low Tol]],"Pass","Fail"),IF(Table1[[#This Row],[DUT Adj Read]]&gt;=Table1[[#This Row],[Low Tol]],"Pass","Fail")))</f>
        <v>Pass</v>
      </c>
      <c r="AG1416" s="1" t="str">
        <f>IF(AND(Table1[[#This Row],[Spec Type2]]="N/A",Table1[[#This Row],[DUT Adj Read]]="N/A",Table1[[#This Row],[Std Adj Read]]="N/A"),"N/A",IF(Table1[[#This Row],[DUT Adj Read]]="N/A",IF(Table1[[#This Row],[Std Adj Read]]&lt;=Table1[[#This Row],[High Tol]],"Pass","Fail"),IF(Table1[[#This Row],[DUT Adj Read]]&lt;=Table1[[#This Row],[High Tol]],"Pass","Fail")))</f>
        <v>Fail</v>
      </c>
      <c r="AH14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6" s="1" t="b">
        <v>0</v>
      </c>
      <c r="AN1416" s="1" t="b">
        <v>0</v>
      </c>
      <c r="AO1416" s="1" t="b">
        <v>0</v>
      </c>
    </row>
    <row r="1417" spans="1:41" x14ac:dyDescent="0.25">
      <c r="A1417" s="10"/>
      <c r="B1417" s="10"/>
      <c r="C1417" s="10"/>
      <c r="D1417" s="10"/>
      <c r="E1417" s="10"/>
      <c r="F1417" s="10"/>
      <c r="G1417" s="10"/>
      <c r="H1417" s="10"/>
      <c r="I1417" s="1" t="str">
        <f t="shared" si="63"/>
        <v/>
      </c>
      <c r="J1417" s="1" t="s">
        <v>35</v>
      </c>
      <c r="K1417" s="1" t="str">
        <f t="shared" si="64"/>
        <v/>
      </c>
      <c r="L1417" s="1" t="str">
        <f t="shared" si="65"/>
        <v/>
      </c>
      <c r="M1417" s="1">
        <f>IF(OR(Table1[[#This Row],[Std Nom]]="",Table1[[#This Row],[Std Read]]=""),0,Table1[[#This Row],[Std Nom]]-Table1[[#This Row],[Std Read]])</f>
        <v>0</v>
      </c>
      <c r="N1417" s="1">
        <f>IF(Calculations!$F$5="ACCREDITED 17025 WITH UNCERTAINTIES",$N$10,0)</f>
        <v>0</v>
      </c>
      <c r="O1417" s="1" t="str">
        <f>IFERROR(Table1[[#This Row],[Std Nom]]-(_xlfn.XLOOKUP(Table1[[#This Row],[Manufacturer]]&amp;" "&amp;Table1[[#This Row],[Model]],Table13[MFR &amp; MDL],Table13[Tolerance % CW ],"")/100*Table1[[#This Row],[Std Nom]]),"")</f>
        <v/>
      </c>
      <c r="P1417" s="1" t="str">
        <f>IFERROR(Table1[[#This Row],[Std Nom]]+(_xlfn.XLOOKUP(Table1[[#This Row],[Manufacturer]]&amp;" "&amp;Table1[[#This Row],[Model]],Table13[MFR &amp; MDL],Table13[Tolerance % CW ],"")/100*Table1[[#This Row],[Std Nom]]),"")</f>
        <v/>
      </c>
      <c r="Q1417" s="1" t="e">
        <f>Table1[[#This Row],[High Tol]]-Table1[[#This Row],[Low Tol]]</f>
        <v>#VALUE!</v>
      </c>
      <c r="R1417" s="1">
        <f>2*Table1[[#This Row],[Std Error]]</f>
        <v>0</v>
      </c>
      <c r="S1417" s="1" t="str">
        <f>IF(Table1[[#This Row],[High Tol]]="","N/A",IFERROR(ABS(Table1[[#This Row],[Tol Span]]/Table1[[#This Row],[Error Span]]),"N/A"))</f>
        <v>N/A</v>
      </c>
      <c r="T1417" s="1" t="str">
        <f>IF(OR(Table1[[#This Row],[Low Tol]]="",Table1[[#This Row],[High Tol]]=""),"Needs Analysis",IF(Table1[[#This Row],[Ratio]]&gt;=4,"Not Significant",IF(Table1[[#This Row],[Ratio]]&gt;=2,"Semi-Significant","Significant")))</f>
        <v>Needs Analysis</v>
      </c>
      <c r="W1417" s="1">
        <f>IF(Table1[[#This Row],[Cal Type]]&lt;&gt;"ACCREDITED 17025 WITH UNCERTAINTIES",0,"")</f>
        <v>0</v>
      </c>
      <c r="X1417" s="1" t="str">
        <f>IF(Table1[[#This Row],[DUT Read]]="","N/A",Table1[[#This Row],[Std Error]]+Table1[[#This Row],[DUT Read]]+Table1[[#This Row],[DUT Ucty]])</f>
        <v>N/A</v>
      </c>
      <c r="Y1417" s="1" t="str">
        <f>IF(Table1[[#This Row],[Std Read]]="","N/A",Table1[[#This Row],[Std Read]]+Table1[[#This Row],[Std Ucty]])</f>
        <v>N/A</v>
      </c>
      <c r="Z14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7" s="1" t="str">
        <f>IF(Table1[[#This Row],[Spec Type]]="","N/A",Table1[[#This Row],[Spec Type]])</f>
        <v>±</v>
      </c>
      <c r="AC1417" s="1" t="str">
        <f>IF(Table1[[#This Row],[Spec Type2]]="N/A","N/A",IF(AND(Table1[[#This Row],[DUT Adj Read]]&gt;=Table1[[#This Row],[Low Tol]],Table1[[#This Row],[DUT Adj Read]]&lt;=Table1[[#This Row],[High Tol]]),"Pass","Fail"))</f>
        <v>Fail</v>
      </c>
      <c r="AD1417" s="1" t="str">
        <f>IF(AND(Table1[[#This Row],[Spec Type2]]="N/A",Table1[[#This Row],[DUT Adj Read]]="N/A",Table1[[#This Row],[Std Adj Read]]="N/A"),"N/A",IF(Table1[[#This Row],[DUT Adj Read]]="N/A",IF(Table1[[#This Row],[Std Adj Read]]&gt;Table1[[#This Row],[Low Tol]],"Pass","Fail"),IF(Table1[[#This Row],[DUT Adj Read]]&gt;Table1[[#This Row],[Low Tol]],"Pass","Fail")))</f>
        <v>Pass</v>
      </c>
      <c r="AE1417" s="1" t="str">
        <f>IF(AND(Table1[[#This Row],[Spec Type2]]="N/A",Table1[[#This Row],[DUT Adj Read]]="N/A",Table1[[#This Row],[Std Adj Read]]="N/A"),"N/A",IF(Table1[[#This Row],[DUT Adj Read]]="N/A",IF(Table1[[#This Row],[Std Adj Read]]&lt;Table1[[#This Row],[High Tol]],"Pass","Fail"),IF(Table1[[#This Row],[DUT Adj Read]]&lt;Table1[[#This Row],[High Tol]],"Pass","Fail")))</f>
        <v>Fail</v>
      </c>
      <c r="AF1417" s="1" t="str">
        <f>IF(AND(Table1[[#This Row],[Spec Type2]]="N/A",Table1[[#This Row],[DUT Adj Read]]="N/A",Table1[[#This Row],[Std Adj Read]]="N/A"),"N/A",IF(Table1[[#This Row],[DUT Adj Read]]="N/A",IF(Table1[[#This Row],[Std Adj Read]]&gt;=Table1[[#This Row],[Low Tol]],"Pass","Fail"),IF(Table1[[#This Row],[DUT Adj Read]]&gt;=Table1[[#This Row],[Low Tol]],"Pass","Fail")))</f>
        <v>Pass</v>
      </c>
      <c r="AG1417" s="1" t="str">
        <f>IF(AND(Table1[[#This Row],[Spec Type2]]="N/A",Table1[[#This Row],[DUT Adj Read]]="N/A",Table1[[#This Row],[Std Adj Read]]="N/A"),"N/A",IF(Table1[[#This Row],[DUT Adj Read]]="N/A",IF(Table1[[#This Row],[Std Adj Read]]&lt;=Table1[[#This Row],[High Tol]],"Pass","Fail"),IF(Table1[[#This Row],[DUT Adj Read]]&lt;=Table1[[#This Row],[High Tol]],"Pass","Fail")))</f>
        <v>Fail</v>
      </c>
      <c r="AH14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7" s="1" t="b">
        <v>0</v>
      </c>
      <c r="AN1417" s="1" t="b">
        <v>0</v>
      </c>
      <c r="AO1417" s="1" t="b">
        <v>0</v>
      </c>
    </row>
    <row r="1418" spans="1:41" x14ac:dyDescent="0.25">
      <c r="A1418" s="10"/>
      <c r="B1418" s="10"/>
      <c r="C1418" s="10"/>
      <c r="D1418" s="10"/>
      <c r="E1418" s="10"/>
      <c r="F1418" s="10"/>
      <c r="G1418" s="10"/>
      <c r="H1418" s="10"/>
      <c r="I1418" s="1" t="str">
        <f t="shared" si="63"/>
        <v/>
      </c>
      <c r="J1418" s="1" t="s">
        <v>35</v>
      </c>
      <c r="K1418" s="1" t="str">
        <f t="shared" si="64"/>
        <v/>
      </c>
      <c r="L1418" s="1" t="str">
        <f t="shared" si="65"/>
        <v/>
      </c>
      <c r="M1418" s="1">
        <f>IF(OR(Table1[[#This Row],[Std Nom]]="",Table1[[#This Row],[Std Read]]=""),0,Table1[[#This Row],[Std Nom]]-Table1[[#This Row],[Std Read]])</f>
        <v>0</v>
      </c>
      <c r="N1418" s="1">
        <f>IF(Calculations!$F$5="ACCREDITED 17025 WITH UNCERTAINTIES",$N$10,0)</f>
        <v>0</v>
      </c>
      <c r="O1418" s="1" t="str">
        <f>IFERROR(Table1[[#This Row],[Std Nom]]-(_xlfn.XLOOKUP(Table1[[#This Row],[Manufacturer]]&amp;" "&amp;Table1[[#This Row],[Model]],Table13[MFR &amp; MDL],Table13[Tolerance % CW ],"")/100*Table1[[#This Row],[Std Nom]]),"")</f>
        <v/>
      </c>
      <c r="P1418" s="1" t="str">
        <f>IFERROR(Table1[[#This Row],[Std Nom]]+(_xlfn.XLOOKUP(Table1[[#This Row],[Manufacturer]]&amp;" "&amp;Table1[[#This Row],[Model]],Table13[MFR &amp; MDL],Table13[Tolerance % CW ],"")/100*Table1[[#This Row],[Std Nom]]),"")</f>
        <v/>
      </c>
      <c r="Q1418" s="1" t="e">
        <f>Table1[[#This Row],[High Tol]]-Table1[[#This Row],[Low Tol]]</f>
        <v>#VALUE!</v>
      </c>
      <c r="R1418" s="1">
        <f>2*Table1[[#This Row],[Std Error]]</f>
        <v>0</v>
      </c>
      <c r="S1418" s="1" t="str">
        <f>IF(Table1[[#This Row],[High Tol]]="","N/A",IFERROR(ABS(Table1[[#This Row],[Tol Span]]/Table1[[#This Row],[Error Span]]),"N/A"))</f>
        <v>N/A</v>
      </c>
      <c r="T1418" s="1" t="str">
        <f>IF(OR(Table1[[#This Row],[Low Tol]]="",Table1[[#This Row],[High Tol]]=""),"Needs Analysis",IF(Table1[[#This Row],[Ratio]]&gt;=4,"Not Significant",IF(Table1[[#This Row],[Ratio]]&gt;=2,"Semi-Significant","Significant")))</f>
        <v>Needs Analysis</v>
      </c>
      <c r="W1418" s="1">
        <f>IF(Table1[[#This Row],[Cal Type]]&lt;&gt;"ACCREDITED 17025 WITH UNCERTAINTIES",0,"")</f>
        <v>0</v>
      </c>
      <c r="X1418" s="1" t="str">
        <f>IF(Table1[[#This Row],[DUT Read]]="","N/A",Table1[[#This Row],[Std Error]]+Table1[[#This Row],[DUT Read]]+Table1[[#This Row],[DUT Ucty]])</f>
        <v>N/A</v>
      </c>
      <c r="Y1418" s="1" t="str">
        <f>IF(Table1[[#This Row],[Std Read]]="","N/A",Table1[[#This Row],[Std Read]]+Table1[[#This Row],[Std Ucty]])</f>
        <v>N/A</v>
      </c>
      <c r="Z14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8" s="1" t="str">
        <f>IF(Table1[[#This Row],[Spec Type]]="","N/A",Table1[[#This Row],[Spec Type]])</f>
        <v>±</v>
      </c>
      <c r="AC1418" s="1" t="str">
        <f>IF(Table1[[#This Row],[Spec Type2]]="N/A","N/A",IF(AND(Table1[[#This Row],[DUT Adj Read]]&gt;=Table1[[#This Row],[Low Tol]],Table1[[#This Row],[DUT Adj Read]]&lt;=Table1[[#This Row],[High Tol]]),"Pass","Fail"))</f>
        <v>Fail</v>
      </c>
      <c r="AD1418" s="1" t="str">
        <f>IF(AND(Table1[[#This Row],[Spec Type2]]="N/A",Table1[[#This Row],[DUT Adj Read]]="N/A",Table1[[#This Row],[Std Adj Read]]="N/A"),"N/A",IF(Table1[[#This Row],[DUT Adj Read]]="N/A",IF(Table1[[#This Row],[Std Adj Read]]&gt;Table1[[#This Row],[Low Tol]],"Pass","Fail"),IF(Table1[[#This Row],[DUT Adj Read]]&gt;Table1[[#This Row],[Low Tol]],"Pass","Fail")))</f>
        <v>Pass</v>
      </c>
      <c r="AE1418" s="1" t="str">
        <f>IF(AND(Table1[[#This Row],[Spec Type2]]="N/A",Table1[[#This Row],[DUT Adj Read]]="N/A",Table1[[#This Row],[Std Adj Read]]="N/A"),"N/A",IF(Table1[[#This Row],[DUT Adj Read]]="N/A",IF(Table1[[#This Row],[Std Adj Read]]&lt;Table1[[#This Row],[High Tol]],"Pass","Fail"),IF(Table1[[#This Row],[DUT Adj Read]]&lt;Table1[[#This Row],[High Tol]],"Pass","Fail")))</f>
        <v>Fail</v>
      </c>
      <c r="AF1418" s="1" t="str">
        <f>IF(AND(Table1[[#This Row],[Spec Type2]]="N/A",Table1[[#This Row],[DUT Adj Read]]="N/A",Table1[[#This Row],[Std Adj Read]]="N/A"),"N/A",IF(Table1[[#This Row],[DUT Adj Read]]="N/A",IF(Table1[[#This Row],[Std Adj Read]]&gt;=Table1[[#This Row],[Low Tol]],"Pass","Fail"),IF(Table1[[#This Row],[DUT Adj Read]]&gt;=Table1[[#This Row],[Low Tol]],"Pass","Fail")))</f>
        <v>Pass</v>
      </c>
      <c r="AG1418" s="1" t="str">
        <f>IF(AND(Table1[[#This Row],[Spec Type2]]="N/A",Table1[[#This Row],[DUT Adj Read]]="N/A",Table1[[#This Row],[Std Adj Read]]="N/A"),"N/A",IF(Table1[[#This Row],[DUT Adj Read]]="N/A",IF(Table1[[#This Row],[Std Adj Read]]&lt;=Table1[[#This Row],[High Tol]],"Pass","Fail"),IF(Table1[[#This Row],[DUT Adj Read]]&lt;=Table1[[#This Row],[High Tol]],"Pass","Fail")))</f>
        <v>Fail</v>
      </c>
      <c r="AH14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8" s="1" t="b">
        <v>0</v>
      </c>
      <c r="AN1418" s="1" t="b">
        <v>0</v>
      </c>
      <c r="AO1418" s="1" t="b">
        <v>0</v>
      </c>
    </row>
    <row r="1419" spans="1:41" x14ac:dyDescent="0.25">
      <c r="A1419" s="10"/>
      <c r="B1419" s="10"/>
      <c r="C1419" s="10"/>
      <c r="D1419" s="10"/>
      <c r="E1419" s="10"/>
      <c r="F1419" s="10"/>
      <c r="G1419" s="10"/>
      <c r="H1419" s="10"/>
      <c r="I1419" s="1" t="str">
        <f t="shared" ref="I1419:I1482" si="66">IF($I$10="","",$I$10)</f>
        <v/>
      </c>
      <c r="J1419" s="1" t="s">
        <v>35</v>
      </c>
      <c r="K1419" s="1" t="str">
        <f t="shared" ref="K1419:K1482" si="67">IF($K$10="","",$K$10)</f>
        <v/>
      </c>
      <c r="L1419" s="1" t="str">
        <f t="shared" ref="L1419:L1482" si="68">IF($L$10="","",$L$10)</f>
        <v/>
      </c>
      <c r="M1419" s="1">
        <f>IF(OR(Table1[[#This Row],[Std Nom]]="",Table1[[#This Row],[Std Read]]=""),0,Table1[[#This Row],[Std Nom]]-Table1[[#This Row],[Std Read]])</f>
        <v>0</v>
      </c>
      <c r="N1419" s="1">
        <f>IF(Calculations!$F$5="ACCREDITED 17025 WITH UNCERTAINTIES",$N$10,0)</f>
        <v>0</v>
      </c>
      <c r="O1419" s="1" t="str">
        <f>IFERROR(Table1[[#This Row],[Std Nom]]-(_xlfn.XLOOKUP(Table1[[#This Row],[Manufacturer]]&amp;" "&amp;Table1[[#This Row],[Model]],Table13[MFR &amp; MDL],Table13[Tolerance % CW ],"")/100*Table1[[#This Row],[Std Nom]]),"")</f>
        <v/>
      </c>
      <c r="P1419" s="1" t="str">
        <f>IFERROR(Table1[[#This Row],[Std Nom]]+(_xlfn.XLOOKUP(Table1[[#This Row],[Manufacturer]]&amp;" "&amp;Table1[[#This Row],[Model]],Table13[MFR &amp; MDL],Table13[Tolerance % CW ],"")/100*Table1[[#This Row],[Std Nom]]),"")</f>
        <v/>
      </c>
      <c r="Q1419" s="1" t="e">
        <f>Table1[[#This Row],[High Tol]]-Table1[[#This Row],[Low Tol]]</f>
        <v>#VALUE!</v>
      </c>
      <c r="R1419" s="1">
        <f>2*Table1[[#This Row],[Std Error]]</f>
        <v>0</v>
      </c>
      <c r="S1419" s="1" t="str">
        <f>IF(Table1[[#This Row],[High Tol]]="","N/A",IFERROR(ABS(Table1[[#This Row],[Tol Span]]/Table1[[#This Row],[Error Span]]),"N/A"))</f>
        <v>N/A</v>
      </c>
      <c r="T1419" s="1" t="str">
        <f>IF(OR(Table1[[#This Row],[Low Tol]]="",Table1[[#This Row],[High Tol]]=""),"Needs Analysis",IF(Table1[[#This Row],[Ratio]]&gt;=4,"Not Significant",IF(Table1[[#This Row],[Ratio]]&gt;=2,"Semi-Significant","Significant")))</f>
        <v>Needs Analysis</v>
      </c>
      <c r="W1419" s="1">
        <f>IF(Table1[[#This Row],[Cal Type]]&lt;&gt;"ACCREDITED 17025 WITH UNCERTAINTIES",0,"")</f>
        <v>0</v>
      </c>
      <c r="X1419" s="1" t="str">
        <f>IF(Table1[[#This Row],[DUT Read]]="","N/A",Table1[[#This Row],[Std Error]]+Table1[[#This Row],[DUT Read]]+Table1[[#This Row],[DUT Ucty]])</f>
        <v>N/A</v>
      </c>
      <c r="Y1419" s="1" t="str">
        <f>IF(Table1[[#This Row],[Std Read]]="","N/A",Table1[[#This Row],[Std Read]]+Table1[[#This Row],[Std Ucty]])</f>
        <v>N/A</v>
      </c>
      <c r="Z14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9" s="1" t="str">
        <f>IF(Table1[[#This Row],[Spec Type]]="","N/A",Table1[[#This Row],[Spec Type]])</f>
        <v>±</v>
      </c>
      <c r="AC1419" s="1" t="str">
        <f>IF(Table1[[#This Row],[Spec Type2]]="N/A","N/A",IF(AND(Table1[[#This Row],[DUT Adj Read]]&gt;=Table1[[#This Row],[Low Tol]],Table1[[#This Row],[DUT Adj Read]]&lt;=Table1[[#This Row],[High Tol]]),"Pass","Fail"))</f>
        <v>Fail</v>
      </c>
      <c r="AD1419" s="1" t="str">
        <f>IF(AND(Table1[[#This Row],[Spec Type2]]="N/A",Table1[[#This Row],[DUT Adj Read]]="N/A",Table1[[#This Row],[Std Adj Read]]="N/A"),"N/A",IF(Table1[[#This Row],[DUT Adj Read]]="N/A",IF(Table1[[#This Row],[Std Adj Read]]&gt;Table1[[#This Row],[Low Tol]],"Pass","Fail"),IF(Table1[[#This Row],[DUT Adj Read]]&gt;Table1[[#This Row],[Low Tol]],"Pass","Fail")))</f>
        <v>Pass</v>
      </c>
      <c r="AE1419" s="1" t="str">
        <f>IF(AND(Table1[[#This Row],[Spec Type2]]="N/A",Table1[[#This Row],[DUT Adj Read]]="N/A",Table1[[#This Row],[Std Adj Read]]="N/A"),"N/A",IF(Table1[[#This Row],[DUT Adj Read]]="N/A",IF(Table1[[#This Row],[Std Adj Read]]&lt;Table1[[#This Row],[High Tol]],"Pass","Fail"),IF(Table1[[#This Row],[DUT Adj Read]]&lt;Table1[[#This Row],[High Tol]],"Pass","Fail")))</f>
        <v>Fail</v>
      </c>
      <c r="AF1419" s="1" t="str">
        <f>IF(AND(Table1[[#This Row],[Spec Type2]]="N/A",Table1[[#This Row],[DUT Adj Read]]="N/A",Table1[[#This Row],[Std Adj Read]]="N/A"),"N/A",IF(Table1[[#This Row],[DUT Adj Read]]="N/A",IF(Table1[[#This Row],[Std Adj Read]]&gt;=Table1[[#This Row],[Low Tol]],"Pass","Fail"),IF(Table1[[#This Row],[DUT Adj Read]]&gt;=Table1[[#This Row],[Low Tol]],"Pass","Fail")))</f>
        <v>Pass</v>
      </c>
      <c r="AG1419" s="1" t="str">
        <f>IF(AND(Table1[[#This Row],[Spec Type2]]="N/A",Table1[[#This Row],[DUT Adj Read]]="N/A",Table1[[#This Row],[Std Adj Read]]="N/A"),"N/A",IF(Table1[[#This Row],[DUT Adj Read]]="N/A",IF(Table1[[#This Row],[Std Adj Read]]&lt;=Table1[[#This Row],[High Tol]],"Pass","Fail"),IF(Table1[[#This Row],[DUT Adj Read]]&lt;=Table1[[#This Row],[High Tol]],"Pass","Fail")))</f>
        <v>Fail</v>
      </c>
      <c r="AH14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9" s="1" t="b">
        <v>0</v>
      </c>
      <c r="AN1419" s="1" t="b">
        <v>0</v>
      </c>
      <c r="AO1419" s="1" t="b">
        <v>0</v>
      </c>
    </row>
    <row r="1420" spans="1:41" x14ac:dyDescent="0.25">
      <c r="A1420" s="10"/>
      <c r="B1420" s="10"/>
      <c r="C1420" s="10"/>
      <c r="D1420" s="10"/>
      <c r="E1420" s="10"/>
      <c r="F1420" s="10"/>
      <c r="G1420" s="10"/>
      <c r="H1420" s="10"/>
      <c r="I1420" s="1" t="str">
        <f t="shared" si="66"/>
        <v/>
      </c>
      <c r="J1420" s="1" t="s">
        <v>35</v>
      </c>
      <c r="K1420" s="1" t="str">
        <f t="shared" si="67"/>
        <v/>
      </c>
      <c r="L1420" s="1" t="str">
        <f t="shared" si="68"/>
        <v/>
      </c>
      <c r="M1420" s="1">
        <f>IF(OR(Table1[[#This Row],[Std Nom]]="",Table1[[#This Row],[Std Read]]=""),0,Table1[[#This Row],[Std Nom]]-Table1[[#This Row],[Std Read]])</f>
        <v>0</v>
      </c>
      <c r="N1420" s="1">
        <f>IF(Calculations!$F$5="ACCREDITED 17025 WITH UNCERTAINTIES",$N$10,0)</f>
        <v>0</v>
      </c>
      <c r="O1420" s="1" t="str">
        <f>IFERROR(Table1[[#This Row],[Std Nom]]-(_xlfn.XLOOKUP(Table1[[#This Row],[Manufacturer]]&amp;" "&amp;Table1[[#This Row],[Model]],Table13[MFR &amp; MDL],Table13[Tolerance % CW ],"")/100*Table1[[#This Row],[Std Nom]]),"")</f>
        <v/>
      </c>
      <c r="P1420" s="1" t="str">
        <f>IFERROR(Table1[[#This Row],[Std Nom]]+(_xlfn.XLOOKUP(Table1[[#This Row],[Manufacturer]]&amp;" "&amp;Table1[[#This Row],[Model]],Table13[MFR &amp; MDL],Table13[Tolerance % CW ],"")/100*Table1[[#This Row],[Std Nom]]),"")</f>
        <v/>
      </c>
      <c r="Q1420" s="1" t="e">
        <f>Table1[[#This Row],[High Tol]]-Table1[[#This Row],[Low Tol]]</f>
        <v>#VALUE!</v>
      </c>
      <c r="R1420" s="1">
        <f>2*Table1[[#This Row],[Std Error]]</f>
        <v>0</v>
      </c>
      <c r="S1420" s="1" t="str">
        <f>IF(Table1[[#This Row],[High Tol]]="","N/A",IFERROR(ABS(Table1[[#This Row],[Tol Span]]/Table1[[#This Row],[Error Span]]),"N/A"))</f>
        <v>N/A</v>
      </c>
      <c r="T1420" s="1" t="str">
        <f>IF(OR(Table1[[#This Row],[Low Tol]]="",Table1[[#This Row],[High Tol]]=""),"Needs Analysis",IF(Table1[[#This Row],[Ratio]]&gt;=4,"Not Significant",IF(Table1[[#This Row],[Ratio]]&gt;=2,"Semi-Significant","Significant")))</f>
        <v>Needs Analysis</v>
      </c>
      <c r="W1420" s="1">
        <f>IF(Table1[[#This Row],[Cal Type]]&lt;&gt;"ACCREDITED 17025 WITH UNCERTAINTIES",0,"")</f>
        <v>0</v>
      </c>
      <c r="X1420" s="1" t="str">
        <f>IF(Table1[[#This Row],[DUT Read]]="","N/A",Table1[[#This Row],[Std Error]]+Table1[[#This Row],[DUT Read]]+Table1[[#This Row],[DUT Ucty]])</f>
        <v>N/A</v>
      </c>
      <c r="Y1420" s="1" t="str">
        <f>IF(Table1[[#This Row],[Std Read]]="","N/A",Table1[[#This Row],[Std Read]]+Table1[[#This Row],[Std Ucty]])</f>
        <v>N/A</v>
      </c>
      <c r="Z14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0" s="1" t="str">
        <f>IF(Table1[[#This Row],[Spec Type]]="","N/A",Table1[[#This Row],[Spec Type]])</f>
        <v>±</v>
      </c>
      <c r="AC1420" s="1" t="str">
        <f>IF(Table1[[#This Row],[Spec Type2]]="N/A","N/A",IF(AND(Table1[[#This Row],[DUT Adj Read]]&gt;=Table1[[#This Row],[Low Tol]],Table1[[#This Row],[DUT Adj Read]]&lt;=Table1[[#This Row],[High Tol]]),"Pass","Fail"))</f>
        <v>Fail</v>
      </c>
      <c r="AD1420" s="1" t="str">
        <f>IF(AND(Table1[[#This Row],[Spec Type2]]="N/A",Table1[[#This Row],[DUT Adj Read]]="N/A",Table1[[#This Row],[Std Adj Read]]="N/A"),"N/A",IF(Table1[[#This Row],[DUT Adj Read]]="N/A",IF(Table1[[#This Row],[Std Adj Read]]&gt;Table1[[#This Row],[Low Tol]],"Pass","Fail"),IF(Table1[[#This Row],[DUT Adj Read]]&gt;Table1[[#This Row],[Low Tol]],"Pass","Fail")))</f>
        <v>Pass</v>
      </c>
      <c r="AE1420" s="1" t="str">
        <f>IF(AND(Table1[[#This Row],[Spec Type2]]="N/A",Table1[[#This Row],[DUT Adj Read]]="N/A",Table1[[#This Row],[Std Adj Read]]="N/A"),"N/A",IF(Table1[[#This Row],[DUT Adj Read]]="N/A",IF(Table1[[#This Row],[Std Adj Read]]&lt;Table1[[#This Row],[High Tol]],"Pass","Fail"),IF(Table1[[#This Row],[DUT Adj Read]]&lt;Table1[[#This Row],[High Tol]],"Pass","Fail")))</f>
        <v>Fail</v>
      </c>
      <c r="AF1420" s="1" t="str">
        <f>IF(AND(Table1[[#This Row],[Spec Type2]]="N/A",Table1[[#This Row],[DUT Adj Read]]="N/A",Table1[[#This Row],[Std Adj Read]]="N/A"),"N/A",IF(Table1[[#This Row],[DUT Adj Read]]="N/A",IF(Table1[[#This Row],[Std Adj Read]]&gt;=Table1[[#This Row],[Low Tol]],"Pass","Fail"),IF(Table1[[#This Row],[DUT Adj Read]]&gt;=Table1[[#This Row],[Low Tol]],"Pass","Fail")))</f>
        <v>Pass</v>
      </c>
      <c r="AG1420" s="1" t="str">
        <f>IF(AND(Table1[[#This Row],[Spec Type2]]="N/A",Table1[[#This Row],[DUT Adj Read]]="N/A",Table1[[#This Row],[Std Adj Read]]="N/A"),"N/A",IF(Table1[[#This Row],[DUT Adj Read]]="N/A",IF(Table1[[#This Row],[Std Adj Read]]&lt;=Table1[[#This Row],[High Tol]],"Pass","Fail"),IF(Table1[[#This Row],[DUT Adj Read]]&lt;=Table1[[#This Row],[High Tol]],"Pass","Fail")))</f>
        <v>Fail</v>
      </c>
      <c r="AH14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0" s="1" t="b">
        <v>0</v>
      </c>
      <c r="AN1420" s="1" t="b">
        <v>0</v>
      </c>
      <c r="AO1420" s="1" t="b">
        <v>0</v>
      </c>
    </row>
    <row r="1421" spans="1:41" x14ac:dyDescent="0.25">
      <c r="A1421" s="10"/>
      <c r="B1421" s="10"/>
      <c r="C1421" s="10"/>
      <c r="D1421" s="10"/>
      <c r="E1421" s="10"/>
      <c r="F1421" s="10"/>
      <c r="G1421" s="10"/>
      <c r="H1421" s="10"/>
      <c r="I1421" s="1" t="str">
        <f t="shared" si="66"/>
        <v/>
      </c>
      <c r="J1421" s="1" t="s">
        <v>35</v>
      </c>
      <c r="K1421" s="1" t="str">
        <f t="shared" si="67"/>
        <v/>
      </c>
      <c r="L1421" s="1" t="str">
        <f t="shared" si="68"/>
        <v/>
      </c>
      <c r="M1421" s="1">
        <f>IF(OR(Table1[[#This Row],[Std Nom]]="",Table1[[#This Row],[Std Read]]=""),0,Table1[[#This Row],[Std Nom]]-Table1[[#This Row],[Std Read]])</f>
        <v>0</v>
      </c>
      <c r="N1421" s="1">
        <f>IF(Calculations!$F$5="ACCREDITED 17025 WITH UNCERTAINTIES",$N$10,0)</f>
        <v>0</v>
      </c>
      <c r="O1421" s="1" t="str">
        <f>IFERROR(Table1[[#This Row],[Std Nom]]-(_xlfn.XLOOKUP(Table1[[#This Row],[Manufacturer]]&amp;" "&amp;Table1[[#This Row],[Model]],Table13[MFR &amp; MDL],Table13[Tolerance % CW ],"")/100*Table1[[#This Row],[Std Nom]]),"")</f>
        <v/>
      </c>
      <c r="P1421" s="1" t="str">
        <f>IFERROR(Table1[[#This Row],[Std Nom]]+(_xlfn.XLOOKUP(Table1[[#This Row],[Manufacturer]]&amp;" "&amp;Table1[[#This Row],[Model]],Table13[MFR &amp; MDL],Table13[Tolerance % CW ],"")/100*Table1[[#This Row],[Std Nom]]),"")</f>
        <v/>
      </c>
      <c r="Q1421" s="1" t="e">
        <f>Table1[[#This Row],[High Tol]]-Table1[[#This Row],[Low Tol]]</f>
        <v>#VALUE!</v>
      </c>
      <c r="R1421" s="1">
        <f>2*Table1[[#This Row],[Std Error]]</f>
        <v>0</v>
      </c>
      <c r="S1421" s="1" t="str">
        <f>IF(Table1[[#This Row],[High Tol]]="","N/A",IFERROR(ABS(Table1[[#This Row],[Tol Span]]/Table1[[#This Row],[Error Span]]),"N/A"))</f>
        <v>N/A</v>
      </c>
      <c r="T1421" s="1" t="str">
        <f>IF(OR(Table1[[#This Row],[Low Tol]]="",Table1[[#This Row],[High Tol]]=""),"Needs Analysis",IF(Table1[[#This Row],[Ratio]]&gt;=4,"Not Significant",IF(Table1[[#This Row],[Ratio]]&gt;=2,"Semi-Significant","Significant")))</f>
        <v>Needs Analysis</v>
      </c>
      <c r="W1421" s="1">
        <f>IF(Table1[[#This Row],[Cal Type]]&lt;&gt;"ACCREDITED 17025 WITH UNCERTAINTIES",0,"")</f>
        <v>0</v>
      </c>
      <c r="X1421" s="1" t="str">
        <f>IF(Table1[[#This Row],[DUT Read]]="","N/A",Table1[[#This Row],[Std Error]]+Table1[[#This Row],[DUT Read]]+Table1[[#This Row],[DUT Ucty]])</f>
        <v>N/A</v>
      </c>
      <c r="Y1421" s="1" t="str">
        <f>IF(Table1[[#This Row],[Std Read]]="","N/A",Table1[[#This Row],[Std Read]]+Table1[[#This Row],[Std Ucty]])</f>
        <v>N/A</v>
      </c>
      <c r="Z14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1" s="1" t="str">
        <f>IF(Table1[[#This Row],[Spec Type]]="","N/A",Table1[[#This Row],[Spec Type]])</f>
        <v>±</v>
      </c>
      <c r="AC1421" s="1" t="str">
        <f>IF(Table1[[#This Row],[Spec Type2]]="N/A","N/A",IF(AND(Table1[[#This Row],[DUT Adj Read]]&gt;=Table1[[#This Row],[Low Tol]],Table1[[#This Row],[DUT Adj Read]]&lt;=Table1[[#This Row],[High Tol]]),"Pass","Fail"))</f>
        <v>Fail</v>
      </c>
      <c r="AD1421" s="1" t="str">
        <f>IF(AND(Table1[[#This Row],[Spec Type2]]="N/A",Table1[[#This Row],[DUT Adj Read]]="N/A",Table1[[#This Row],[Std Adj Read]]="N/A"),"N/A",IF(Table1[[#This Row],[DUT Adj Read]]="N/A",IF(Table1[[#This Row],[Std Adj Read]]&gt;Table1[[#This Row],[Low Tol]],"Pass","Fail"),IF(Table1[[#This Row],[DUT Adj Read]]&gt;Table1[[#This Row],[Low Tol]],"Pass","Fail")))</f>
        <v>Pass</v>
      </c>
      <c r="AE1421" s="1" t="str">
        <f>IF(AND(Table1[[#This Row],[Spec Type2]]="N/A",Table1[[#This Row],[DUT Adj Read]]="N/A",Table1[[#This Row],[Std Adj Read]]="N/A"),"N/A",IF(Table1[[#This Row],[DUT Adj Read]]="N/A",IF(Table1[[#This Row],[Std Adj Read]]&lt;Table1[[#This Row],[High Tol]],"Pass","Fail"),IF(Table1[[#This Row],[DUT Adj Read]]&lt;Table1[[#This Row],[High Tol]],"Pass","Fail")))</f>
        <v>Fail</v>
      </c>
      <c r="AF1421" s="1" t="str">
        <f>IF(AND(Table1[[#This Row],[Spec Type2]]="N/A",Table1[[#This Row],[DUT Adj Read]]="N/A",Table1[[#This Row],[Std Adj Read]]="N/A"),"N/A",IF(Table1[[#This Row],[DUT Adj Read]]="N/A",IF(Table1[[#This Row],[Std Adj Read]]&gt;=Table1[[#This Row],[Low Tol]],"Pass","Fail"),IF(Table1[[#This Row],[DUT Adj Read]]&gt;=Table1[[#This Row],[Low Tol]],"Pass","Fail")))</f>
        <v>Pass</v>
      </c>
      <c r="AG1421" s="1" t="str">
        <f>IF(AND(Table1[[#This Row],[Spec Type2]]="N/A",Table1[[#This Row],[DUT Adj Read]]="N/A",Table1[[#This Row],[Std Adj Read]]="N/A"),"N/A",IF(Table1[[#This Row],[DUT Adj Read]]="N/A",IF(Table1[[#This Row],[Std Adj Read]]&lt;=Table1[[#This Row],[High Tol]],"Pass","Fail"),IF(Table1[[#This Row],[DUT Adj Read]]&lt;=Table1[[#This Row],[High Tol]],"Pass","Fail")))</f>
        <v>Fail</v>
      </c>
      <c r="AH14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1" s="1" t="b">
        <v>0</v>
      </c>
      <c r="AN1421" s="1" t="b">
        <v>0</v>
      </c>
      <c r="AO1421" s="1" t="b">
        <v>0</v>
      </c>
    </row>
    <row r="1422" spans="1:41" x14ac:dyDescent="0.25">
      <c r="A1422" s="10"/>
      <c r="B1422" s="10"/>
      <c r="C1422" s="10"/>
      <c r="D1422" s="10"/>
      <c r="E1422" s="10"/>
      <c r="F1422" s="10"/>
      <c r="G1422" s="10"/>
      <c r="H1422" s="10"/>
      <c r="I1422" s="1" t="str">
        <f t="shared" si="66"/>
        <v/>
      </c>
      <c r="J1422" s="1" t="s">
        <v>35</v>
      </c>
      <c r="K1422" s="1" t="str">
        <f t="shared" si="67"/>
        <v/>
      </c>
      <c r="L1422" s="1" t="str">
        <f t="shared" si="68"/>
        <v/>
      </c>
      <c r="M1422" s="1">
        <f>IF(OR(Table1[[#This Row],[Std Nom]]="",Table1[[#This Row],[Std Read]]=""),0,Table1[[#This Row],[Std Nom]]-Table1[[#This Row],[Std Read]])</f>
        <v>0</v>
      </c>
      <c r="N1422" s="1">
        <f>IF(Calculations!$F$5="ACCREDITED 17025 WITH UNCERTAINTIES",$N$10,0)</f>
        <v>0</v>
      </c>
      <c r="O1422" s="1" t="str">
        <f>IFERROR(Table1[[#This Row],[Std Nom]]-(_xlfn.XLOOKUP(Table1[[#This Row],[Manufacturer]]&amp;" "&amp;Table1[[#This Row],[Model]],Table13[MFR &amp; MDL],Table13[Tolerance % CW ],"")/100*Table1[[#This Row],[Std Nom]]),"")</f>
        <v/>
      </c>
      <c r="P1422" s="1" t="str">
        <f>IFERROR(Table1[[#This Row],[Std Nom]]+(_xlfn.XLOOKUP(Table1[[#This Row],[Manufacturer]]&amp;" "&amp;Table1[[#This Row],[Model]],Table13[MFR &amp; MDL],Table13[Tolerance % CW ],"")/100*Table1[[#This Row],[Std Nom]]),"")</f>
        <v/>
      </c>
      <c r="Q1422" s="1" t="e">
        <f>Table1[[#This Row],[High Tol]]-Table1[[#This Row],[Low Tol]]</f>
        <v>#VALUE!</v>
      </c>
      <c r="R1422" s="1">
        <f>2*Table1[[#This Row],[Std Error]]</f>
        <v>0</v>
      </c>
      <c r="S1422" s="1" t="str">
        <f>IF(Table1[[#This Row],[High Tol]]="","N/A",IFERROR(ABS(Table1[[#This Row],[Tol Span]]/Table1[[#This Row],[Error Span]]),"N/A"))</f>
        <v>N/A</v>
      </c>
      <c r="T1422" s="1" t="str">
        <f>IF(OR(Table1[[#This Row],[Low Tol]]="",Table1[[#This Row],[High Tol]]=""),"Needs Analysis",IF(Table1[[#This Row],[Ratio]]&gt;=4,"Not Significant",IF(Table1[[#This Row],[Ratio]]&gt;=2,"Semi-Significant","Significant")))</f>
        <v>Needs Analysis</v>
      </c>
      <c r="W1422" s="1">
        <f>IF(Table1[[#This Row],[Cal Type]]&lt;&gt;"ACCREDITED 17025 WITH UNCERTAINTIES",0,"")</f>
        <v>0</v>
      </c>
      <c r="X1422" s="1" t="str">
        <f>IF(Table1[[#This Row],[DUT Read]]="","N/A",Table1[[#This Row],[Std Error]]+Table1[[#This Row],[DUT Read]]+Table1[[#This Row],[DUT Ucty]])</f>
        <v>N/A</v>
      </c>
      <c r="Y1422" s="1" t="str">
        <f>IF(Table1[[#This Row],[Std Read]]="","N/A",Table1[[#This Row],[Std Read]]+Table1[[#This Row],[Std Ucty]])</f>
        <v>N/A</v>
      </c>
      <c r="Z14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2" s="1" t="str">
        <f>IF(Table1[[#This Row],[Spec Type]]="","N/A",Table1[[#This Row],[Spec Type]])</f>
        <v>±</v>
      </c>
      <c r="AC1422" s="1" t="str">
        <f>IF(Table1[[#This Row],[Spec Type2]]="N/A","N/A",IF(AND(Table1[[#This Row],[DUT Adj Read]]&gt;=Table1[[#This Row],[Low Tol]],Table1[[#This Row],[DUT Adj Read]]&lt;=Table1[[#This Row],[High Tol]]),"Pass","Fail"))</f>
        <v>Fail</v>
      </c>
      <c r="AD1422" s="1" t="str">
        <f>IF(AND(Table1[[#This Row],[Spec Type2]]="N/A",Table1[[#This Row],[DUT Adj Read]]="N/A",Table1[[#This Row],[Std Adj Read]]="N/A"),"N/A",IF(Table1[[#This Row],[DUT Adj Read]]="N/A",IF(Table1[[#This Row],[Std Adj Read]]&gt;Table1[[#This Row],[Low Tol]],"Pass","Fail"),IF(Table1[[#This Row],[DUT Adj Read]]&gt;Table1[[#This Row],[Low Tol]],"Pass","Fail")))</f>
        <v>Pass</v>
      </c>
      <c r="AE1422" s="1" t="str">
        <f>IF(AND(Table1[[#This Row],[Spec Type2]]="N/A",Table1[[#This Row],[DUT Adj Read]]="N/A",Table1[[#This Row],[Std Adj Read]]="N/A"),"N/A",IF(Table1[[#This Row],[DUT Adj Read]]="N/A",IF(Table1[[#This Row],[Std Adj Read]]&lt;Table1[[#This Row],[High Tol]],"Pass","Fail"),IF(Table1[[#This Row],[DUT Adj Read]]&lt;Table1[[#This Row],[High Tol]],"Pass","Fail")))</f>
        <v>Fail</v>
      </c>
      <c r="AF1422" s="1" t="str">
        <f>IF(AND(Table1[[#This Row],[Spec Type2]]="N/A",Table1[[#This Row],[DUT Adj Read]]="N/A",Table1[[#This Row],[Std Adj Read]]="N/A"),"N/A",IF(Table1[[#This Row],[DUT Adj Read]]="N/A",IF(Table1[[#This Row],[Std Adj Read]]&gt;=Table1[[#This Row],[Low Tol]],"Pass","Fail"),IF(Table1[[#This Row],[DUT Adj Read]]&gt;=Table1[[#This Row],[Low Tol]],"Pass","Fail")))</f>
        <v>Pass</v>
      </c>
      <c r="AG1422" s="1" t="str">
        <f>IF(AND(Table1[[#This Row],[Spec Type2]]="N/A",Table1[[#This Row],[DUT Adj Read]]="N/A",Table1[[#This Row],[Std Adj Read]]="N/A"),"N/A",IF(Table1[[#This Row],[DUT Adj Read]]="N/A",IF(Table1[[#This Row],[Std Adj Read]]&lt;=Table1[[#This Row],[High Tol]],"Pass","Fail"),IF(Table1[[#This Row],[DUT Adj Read]]&lt;=Table1[[#This Row],[High Tol]],"Pass","Fail")))</f>
        <v>Fail</v>
      </c>
      <c r="AH14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2" s="1" t="b">
        <v>0</v>
      </c>
      <c r="AN1422" s="1" t="b">
        <v>0</v>
      </c>
      <c r="AO1422" s="1" t="b">
        <v>0</v>
      </c>
    </row>
    <row r="1423" spans="1:41" x14ac:dyDescent="0.25">
      <c r="A1423" s="10"/>
      <c r="B1423" s="10"/>
      <c r="C1423" s="10"/>
      <c r="D1423" s="10"/>
      <c r="E1423" s="10"/>
      <c r="F1423" s="10"/>
      <c r="G1423" s="10"/>
      <c r="H1423" s="10"/>
      <c r="I1423" s="1" t="str">
        <f t="shared" si="66"/>
        <v/>
      </c>
      <c r="J1423" s="1" t="s">
        <v>35</v>
      </c>
      <c r="K1423" s="1" t="str">
        <f t="shared" si="67"/>
        <v/>
      </c>
      <c r="L1423" s="1" t="str">
        <f t="shared" si="68"/>
        <v/>
      </c>
      <c r="M1423" s="1">
        <f>IF(OR(Table1[[#This Row],[Std Nom]]="",Table1[[#This Row],[Std Read]]=""),0,Table1[[#This Row],[Std Nom]]-Table1[[#This Row],[Std Read]])</f>
        <v>0</v>
      </c>
      <c r="N1423" s="1">
        <f>IF(Calculations!$F$5="ACCREDITED 17025 WITH UNCERTAINTIES",$N$10,0)</f>
        <v>0</v>
      </c>
      <c r="O1423" s="1" t="str">
        <f>IFERROR(Table1[[#This Row],[Std Nom]]-(_xlfn.XLOOKUP(Table1[[#This Row],[Manufacturer]]&amp;" "&amp;Table1[[#This Row],[Model]],Table13[MFR &amp; MDL],Table13[Tolerance % CW ],"")/100*Table1[[#This Row],[Std Nom]]),"")</f>
        <v/>
      </c>
      <c r="P1423" s="1" t="str">
        <f>IFERROR(Table1[[#This Row],[Std Nom]]+(_xlfn.XLOOKUP(Table1[[#This Row],[Manufacturer]]&amp;" "&amp;Table1[[#This Row],[Model]],Table13[MFR &amp; MDL],Table13[Tolerance % CW ],"")/100*Table1[[#This Row],[Std Nom]]),"")</f>
        <v/>
      </c>
      <c r="Q1423" s="1" t="e">
        <f>Table1[[#This Row],[High Tol]]-Table1[[#This Row],[Low Tol]]</f>
        <v>#VALUE!</v>
      </c>
      <c r="R1423" s="1">
        <f>2*Table1[[#This Row],[Std Error]]</f>
        <v>0</v>
      </c>
      <c r="S1423" s="1" t="str">
        <f>IF(Table1[[#This Row],[High Tol]]="","N/A",IFERROR(ABS(Table1[[#This Row],[Tol Span]]/Table1[[#This Row],[Error Span]]),"N/A"))</f>
        <v>N/A</v>
      </c>
      <c r="T1423" s="1" t="str">
        <f>IF(OR(Table1[[#This Row],[Low Tol]]="",Table1[[#This Row],[High Tol]]=""),"Needs Analysis",IF(Table1[[#This Row],[Ratio]]&gt;=4,"Not Significant",IF(Table1[[#This Row],[Ratio]]&gt;=2,"Semi-Significant","Significant")))</f>
        <v>Needs Analysis</v>
      </c>
      <c r="W1423" s="1">
        <f>IF(Table1[[#This Row],[Cal Type]]&lt;&gt;"ACCREDITED 17025 WITH UNCERTAINTIES",0,"")</f>
        <v>0</v>
      </c>
      <c r="X1423" s="1" t="str">
        <f>IF(Table1[[#This Row],[DUT Read]]="","N/A",Table1[[#This Row],[Std Error]]+Table1[[#This Row],[DUT Read]]+Table1[[#This Row],[DUT Ucty]])</f>
        <v>N/A</v>
      </c>
      <c r="Y1423" s="1" t="str">
        <f>IF(Table1[[#This Row],[Std Read]]="","N/A",Table1[[#This Row],[Std Read]]+Table1[[#This Row],[Std Ucty]])</f>
        <v>N/A</v>
      </c>
      <c r="Z14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3" s="1" t="str">
        <f>IF(Table1[[#This Row],[Spec Type]]="","N/A",Table1[[#This Row],[Spec Type]])</f>
        <v>±</v>
      </c>
      <c r="AC1423" s="1" t="str">
        <f>IF(Table1[[#This Row],[Spec Type2]]="N/A","N/A",IF(AND(Table1[[#This Row],[DUT Adj Read]]&gt;=Table1[[#This Row],[Low Tol]],Table1[[#This Row],[DUT Adj Read]]&lt;=Table1[[#This Row],[High Tol]]),"Pass","Fail"))</f>
        <v>Fail</v>
      </c>
      <c r="AD1423" s="1" t="str">
        <f>IF(AND(Table1[[#This Row],[Spec Type2]]="N/A",Table1[[#This Row],[DUT Adj Read]]="N/A",Table1[[#This Row],[Std Adj Read]]="N/A"),"N/A",IF(Table1[[#This Row],[DUT Adj Read]]="N/A",IF(Table1[[#This Row],[Std Adj Read]]&gt;Table1[[#This Row],[Low Tol]],"Pass","Fail"),IF(Table1[[#This Row],[DUT Adj Read]]&gt;Table1[[#This Row],[Low Tol]],"Pass","Fail")))</f>
        <v>Pass</v>
      </c>
      <c r="AE1423" s="1" t="str">
        <f>IF(AND(Table1[[#This Row],[Spec Type2]]="N/A",Table1[[#This Row],[DUT Adj Read]]="N/A",Table1[[#This Row],[Std Adj Read]]="N/A"),"N/A",IF(Table1[[#This Row],[DUT Adj Read]]="N/A",IF(Table1[[#This Row],[Std Adj Read]]&lt;Table1[[#This Row],[High Tol]],"Pass","Fail"),IF(Table1[[#This Row],[DUT Adj Read]]&lt;Table1[[#This Row],[High Tol]],"Pass","Fail")))</f>
        <v>Fail</v>
      </c>
      <c r="AF1423" s="1" t="str">
        <f>IF(AND(Table1[[#This Row],[Spec Type2]]="N/A",Table1[[#This Row],[DUT Adj Read]]="N/A",Table1[[#This Row],[Std Adj Read]]="N/A"),"N/A",IF(Table1[[#This Row],[DUT Adj Read]]="N/A",IF(Table1[[#This Row],[Std Adj Read]]&gt;=Table1[[#This Row],[Low Tol]],"Pass","Fail"),IF(Table1[[#This Row],[DUT Adj Read]]&gt;=Table1[[#This Row],[Low Tol]],"Pass","Fail")))</f>
        <v>Pass</v>
      </c>
      <c r="AG1423" s="1" t="str">
        <f>IF(AND(Table1[[#This Row],[Spec Type2]]="N/A",Table1[[#This Row],[DUT Adj Read]]="N/A",Table1[[#This Row],[Std Adj Read]]="N/A"),"N/A",IF(Table1[[#This Row],[DUT Adj Read]]="N/A",IF(Table1[[#This Row],[Std Adj Read]]&lt;=Table1[[#This Row],[High Tol]],"Pass","Fail"),IF(Table1[[#This Row],[DUT Adj Read]]&lt;=Table1[[#This Row],[High Tol]],"Pass","Fail")))</f>
        <v>Fail</v>
      </c>
      <c r="AH14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3" s="1" t="b">
        <v>0</v>
      </c>
      <c r="AN1423" s="1" t="b">
        <v>0</v>
      </c>
      <c r="AO1423" s="1" t="b">
        <v>0</v>
      </c>
    </row>
    <row r="1424" spans="1:41" x14ac:dyDescent="0.25">
      <c r="A1424" s="10"/>
      <c r="B1424" s="10"/>
      <c r="C1424" s="10"/>
      <c r="D1424" s="10"/>
      <c r="E1424" s="10"/>
      <c r="F1424" s="10"/>
      <c r="G1424" s="10"/>
      <c r="H1424" s="10"/>
      <c r="I1424" s="1" t="str">
        <f t="shared" si="66"/>
        <v/>
      </c>
      <c r="J1424" s="1" t="s">
        <v>35</v>
      </c>
      <c r="K1424" s="1" t="str">
        <f t="shared" si="67"/>
        <v/>
      </c>
      <c r="L1424" s="1" t="str">
        <f t="shared" si="68"/>
        <v/>
      </c>
      <c r="M1424" s="1">
        <f>IF(OR(Table1[[#This Row],[Std Nom]]="",Table1[[#This Row],[Std Read]]=""),0,Table1[[#This Row],[Std Nom]]-Table1[[#This Row],[Std Read]])</f>
        <v>0</v>
      </c>
      <c r="N1424" s="1">
        <f>IF(Calculations!$F$5="ACCREDITED 17025 WITH UNCERTAINTIES",$N$10,0)</f>
        <v>0</v>
      </c>
      <c r="O1424" s="1" t="str">
        <f>IFERROR(Table1[[#This Row],[Std Nom]]-(_xlfn.XLOOKUP(Table1[[#This Row],[Manufacturer]]&amp;" "&amp;Table1[[#This Row],[Model]],Table13[MFR &amp; MDL],Table13[Tolerance % CW ],"")/100*Table1[[#This Row],[Std Nom]]),"")</f>
        <v/>
      </c>
      <c r="P1424" s="1" t="str">
        <f>IFERROR(Table1[[#This Row],[Std Nom]]+(_xlfn.XLOOKUP(Table1[[#This Row],[Manufacturer]]&amp;" "&amp;Table1[[#This Row],[Model]],Table13[MFR &amp; MDL],Table13[Tolerance % CW ],"")/100*Table1[[#This Row],[Std Nom]]),"")</f>
        <v/>
      </c>
      <c r="Q1424" s="1" t="e">
        <f>Table1[[#This Row],[High Tol]]-Table1[[#This Row],[Low Tol]]</f>
        <v>#VALUE!</v>
      </c>
      <c r="R1424" s="1">
        <f>2*Table1[[#This Row],[Std Error]]</f>
        <v>0</v>
      </c>
      <c r="S1424" s="1" t="str">
        <f>IF(Table1[[#This Row],[High Tol]]="","N/A",IFERROR(ABS(Table1[[#This Row],[Tol Span]]/Table1[[#This Row],[Error Span]]),"N/A"))</f>
        <v>N/A</v>
      </c>
      <c r="T1424" s="1" t="str">
        <f>IF(OR(Table1[[#This Row],[Low Tol]]="",Table1[[#This Row],[High Tol]]=""),"Needs Analysis",IF(Table1[[#This Row],[Ratio]]&gt;=4,"Not Significant",IF(Table1[[#This Row],[Ratio]]&gt;=2,"Semi-Significant","Significant")))</f>
        <v>Needs Analysis</v>
      </c>
      <c r="W1424" s="1">
        <f>IF(Table1[[#This Row],[Cal Type]]&lt;&gt;"ACCREDITED 17025 WITH UNCERTAINTIES",0,"")</f>
        <v>0</v>
      </c>
      <c r="X1424" s="1" t="str">
        <f>IF(Table1[[#This Row],[DUT Read]]="","N/A",Table1[[#This Row],[Std Error]]+Table1[[#This Row],[DUT Read]]+Table1[[#This Row],[DUT Ucty]])</f>
        <v>N/A</v>
      </c>
      <c r="Y1424" s="1" t="str">
        <f>IF(Table1[[#This Row],[Std Read]]="","N/A",Table1[[#This Row],[Std Read]]+Table1[[#This Row],[Std Ucty]])</f>
        <v>N/A</v>
      </c>
      <c r="Z14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4" s="1" t="str">
        <f>IF(Table1[[#This Row],[Spec Type]]="","N/A",Table1[[#This Row],[Spec Type]])</f>
        <v>±</v>
      </c>
      <c r="AC1424" s="1" t="str">
        <f>IF(Table1[[#This Row],[Spec Type2]]="N/A","N/A",IF(AND(Table1[[#This Row],[DUT Adj Read]]&gt;=Table1[[#This Row],[Low Tol]],Table1[[#This Row],[DUT Adj Read]]&lt;=Table1[[#This Row],[High Tol]]),"Pass","Fail"))</f>
        <v>Fail</v>
      </c>
      <c r="AD1424" s="1" t="str">
        <f>IF(AND(Table1[[#This Row],[Spec Type2]]="N/A",Table1[[#This Row],[DUT Adj Read]]="N/A",Table1[[#This Row],[Std Adj Read]]="N/A"),"N/A",IF(Table1[[#This Row],[DUT Adj Read]]="N/A",IF(Table1[[#This Row],[Std Adj Read]]&gt;Table1[[#This Row],[Low Tol]],"Pass","Fail"),IF(Table1[[#This Row],[DUT Adj Read]]&gt;Table1[[#This Row],[Low Tol]],"Pass","Fail")))</f>
        <v>Pass</v>
      </c>
      <c r="AE1424" s="1" t="str">
        <f>IF(AND(Table1[[#This Row],[Spec Type2]]="N/A",Table1[[#This Row],[DUT Adj Read]]="N/A",Table1[[#This Row],[Std Adj Read]]="N/A"),"N/A",IF(Table1[[#This Row],[DUT Adj Read]]="N/A",IF(Table1[[#This Row],[Std Adj Read]]&lt;Table1[[#This Row],[High Tol]],"Pass","Fail"),IF(Table1[[#This Row],[DUT Adj Read]]&lt;Table1[[#This Row],[High Tol]],"Pass","Fail")))</f>
        <v>Fail</v>
      </c>
      <c r="AF1424" s="1" t="str">
        <f>IF(AND(Table1[[#This Row],[Spec Type2]]="N/A",Table1[[#This Row],[DUT Adj Read]]="N/A",Table1[[#This Row],[Std Adj Read]]="N/A"),"N/A",IF(Table1[[#This Row],[DUT Adj Read]]="N/A",IF(Table1[[#This Row],[Std Adj Read]]&gt;=Table1[[#This Row],[Low Tol]],"Pass","Fail"),IF(Table1[[#This Row],[DUT Adj Read]]&gt;=Table1[[#This Row],[Low Tol]],"Pass","Fail")))</f>
        <v>Pass</v>
      </c>
      <c r="AG1424" s="1" t="str">
        <f>IF(AND(Table1[[#This Row],[Spec Type2]]="N/A",Table1[[#This Row],[DUT Adj Read]]="N/A",Table1[[#This Row],[Std Adj Read]]="N/A"),"N/A",IF(Table1[[#This Row],[DUT Adj Read]]="N/A",IF(Table1[[#This Row],[Std Adj Read]]&lt;=Table1[[#This Row],[High Tol]],"Pass","Fail"),IF(Table1[[#This Row],[DUT Adj Read]]&lt;=Table1[[#This Row],[High Tol]],"Pass","Fail")))</f>
        <v>Fail</v>
      </c>
      <c r="AH14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4" s="1" t="b">
        <v>0</v>
      </c>
      <c r="AN1424" s="1" t="b">
        <v>0</v>
      </c>
      <c r="AO1424" s="1" t="b">
        <v>0</v>
      </c>
    </row>
    <row r="1425" spans="1:41" x14ac:dyDescent="0.25">
      <c r="A1425" s="10"/>
      <c r="B1425" s="10"/>
      <c r="C1425" s="10"/>
      <c r="D1425" s="10"/>
      <c r="E1425" s="10"/>
      <c r="F1425" s="10"/>
      <c r="G1425" s="10"/>
      <c r="H1425" s="10"/>
      <c r="I1425" s="1" t="str">
        <f t="shared" si="66"/>
        <v/>
      </c>
      <c r="J1425" s="1" t="s">
        <v>35</v>
      </c>
      <c r="K1425" s="1" t="str">
        <f t="shared" si="67"/>
        <v/>
      </c>
      <c r="L1425" s="1" t="str">
        <f t="shared" si="68"/>
        <v/>
      </c>
      <c r="M1425" s="1">
        <f>IF(OR(Table1[[#This Row],[Std Nom]]="",Table1[[#This Row],[Std Read]]=""),0,Table1[[#This Row],[Std Nom]]-Table1[[#This Row],[Std Read]])</f>
        <v>0</v>
      </c>
      <c r="N1425" s="1">
        <f>IF(Calculations!$F$5="ACCREDITED 17025 WITH UNCERTAINTIES",$N$10,0)</f>
        <v>0</v>
      </c>
      <c r="O1425" s="1" t="str">
        <f>IFERROR(Table1[[#This Row],[Std Nom]]-(_xlfn.XLOOKUP(Table1[[#This Row],[Manufacturer]]&amp;" "&amp;Table1[[#This Row],[Model]],Table13[MFR &amp; MDL],Table13[Tolerance % CW ],"")/100*Table1[[#This Row],[Std Nom]]),"")</f>
        <v/>
      </c>
      <c r="P1425" s="1" t="str">
        <f>IFERROR(Table1[[#This Row],[Std Nom]]+(_xlfn.XLOOKUP(Table1[[#This Row],[Manufacturer]]&amp;" "&amp;Table1[[#This Row],[Model]],Table13[MFR &amp; MDL],Table13[Tolerance % CW ],"")/100*Table1[[#This Row],[Std Nom]]),"")</f>
        <v/>
      </c>
      <c r="Q1425" s="1" t="e">
        <f>Table1[[#This Row],[High Tol]]-Table1[[#This Row],[Low Tol]]</f>
        <v>#VALUE!</v>
      </c>
      <c r="R1425" s="1">
        <f>2*Table1[[#This Row],[Std Error]]</f>
        <v>0</v>
      </c>
      <c r="S1425" s="1" t="str">
        <f>IF(Table1[[#This Row],[High Tol]]="","N/A",IFERROR(ABS(Table1[[#This Row],[Tol Span]]/Table1[[#This Row],[Error Span]]),"N/A"))</f>
        <v>N/A</v>
      </c>
      <c r="T1425" s="1" t="str">
        <f>IF(OR(Table1[[#This Row],[Low Tol]]="",Table1[[#This Row],[High Tol]]=""),"Needs Analysis",IF(Table1[[#This Row],[Ratio]]&gt;=4,"Not Significant",IF(Table1[[#This Row],[Ratio]]&gt;=2,"Semi-Significant","Significant")))</f>
        <v>Needs Analysis</v>
      </c>
      <c r="W1425" s="1">
        <f>IF(Table1[[#This Row],[Cal Type]]&lt;&gt;"ACCREDITED 17025 WITH UNCERTAINTIES",0,"")</f>
        <v>0</v>
      </c>
      <c r="X1425" s="1" t="str">
        <f>IF(Table1[[#This Row],[DUT Read]]="","N/A",Table1[[#This Row],[Std Error]]+Table1[[#This Row],[DUT Read]]+Table1[[#This Row],[DUT Ucty]])</f>
        <v>N/A</v>
      </c>
      <c r="Y1425" s="1" t="str">
        <f>IF(Table1[[#This Row],[Std Read]]="","N/A",Table1[[#This Row],[Std Read]]+Table1[[#This Row],[Std Ucty]])</f>
        <v>N/A</v>
      </c>
      <c r="Z14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5" s="1" t="str">
        <f>IF(Table1[[#This Row],[Spec Type]]="","N/A",Table1[[#This Row],[Spec Type]])</f>
        <v>±</v>
      </c>
      <c r="AC1425" s="1" t="str">
        <f>IF(Table1[[#This Row],[Spec Type2]]="N/A","N/A",IF(AND(Table1[[#This Row],[DUT Adj Read]]&gt;=Table1[[#This Row],[Low Tol]],Table1[[#This Row],[DUT Adj Read]]&lt;=Table1[[#This Row],[High Tol]]),"Pass","Fail"))</f>
        <v>Fail</v>
      </c>
      <c r="AD1425" s="1" t="str">
        <f>IF(AND(Table1[[#This Row],[Spec Type2]]="N/A",Table1[[#This Row],[DUT Adj Read]]="N/A",Table1[[#This Row],[Std Adj Read]]="N/A"),"N/A",IF(Table1[[#This Row],[DUT Adj Read]]="N/A",IF(Table1[[#This Row],[Std Adj Read]]&gt;Table1[[#This Row],[Low Tol]],"Pass","Fail"),IF(Table1[[#This Row],[DUT Adj Read]]&gt;Table1[[#This Row],[Low Tol]],"Pass","Fail")))</f>
        <v>Pass</v>
      </c>
      <c r="AE1425" s="1" t="str">
        <f>IF(AND(Table1[[#This Row],[Spec Type2]]="N/A",Table1[[#This Row],[DUT Adj Read]]="N/A",Table1[[#This Row],[Std Adj Read]]="N/A"),"N/A",IF(Table1[[#This Row],[DUT Adj Read]]="N/A",IF(Table1[[#This Row],[Std Adj Read]]&lt;Table1[[#This Row],[High Tol]],"Pass","Fail"),IF(Table1[[#This Row],[DUT Adj Read]]&lt;Table1[[#This Row],[High Tol]],"Pass","Fail")))</f>
        <v>Fail</v>
      </c>
      <c r="AF1425" s="1" t="str">
        <f>IF(AND(Table1[[#This Row],[Spec Type2]]="N/A",Table1[[#This Row],[DUT Adj Read]]="N/A",Table1[[#This Row],[Std Adj Read]]="N/A"),"N/A",IF(Table1[[#This Row],[DUT Adj Read]]="N/A",IF(Table1[[#This Row],[Std Adj Read]]&gt;=Table1[[#This Row],[Low Tol]],"Pass","Fail"),IF(Table1[[#This Row],[DUT Adj Read]]&gt;=Table1[[#This Row],[Low Tol]],"Pass","Fail")))</f>
        <v>Pass</v>
      </c>
      <c r="AG1425" s="1" t="str">
        <f>IF(AND(Table1[[#This Row],[Spec Type2]]="N/A",Table1[[#This Row],[DUT Adj Read]]="N/A",Table1[[#This Row],[Std Adj Read]]="N/A"),"N/A",IF(Table1[[#This Row],[DUT Adj Read]]="N/A",IF(Table1[[#This Row],[Std Adj Read]]&lt;=Table1[[#This Row],[High Tol]],"Pass","Fail"),IF(Table1[[#This Row],[DUT Adj Read]]&lt;=Table1[[#This Row],[High Tol]],"Pass","Fail")))</f>
        <v>Fail</v>
      </c>
      <c r="AH14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5" s="1" t="b">
        <v>0</v>
      </c>
      <c r="AN1425" s="1" t="b">
        <v>0</v>
      </c>
      <c r="AO1425" s="1" t="b">
        <v>0</v>
      </c>
    </row>
    <row r="1426" spans="1:41" x14ac:dyDescent="0.25">
      <c r="A1426" s="10"/>
      <c r="B1426" s="10"/>
      <c r="C1426" s="10"/>
      <c r="D1426" s="10"/>
      <c r="E1426" s="10"/>
      <c r="F1426" s="10"/>
      <c r="G1426" s="10"/>
      <c r="H1426" s="10"/>
      <c r="I1426" s="1" t="str">
        <f t="shared" si="66"/>
        <v/>
      </c>
      <c r="J1426" s="1" t="s">
        <v>35</v>
      </c>
      <c r="K1426" s="1" t="str">
        <f t="shared" si="67"/>
        <v/>
      </c>
      <c r="L1426" s="1" t="str">
        <f t="shared" si="68"/>
        <v/>
      </c>
      <c r="M1426" s="1">
        <f>IF(OR(Table1[[#This Row],[Std Nom]]="",Table1[[#This Row],[Std Read]]=""),0,Table1[[#This Row],[Std Nom]]-Table1[[#This Row],[Std Read]])</f>
        <v>0</v>
      </c>
      <c r="N1426" s="1">
        <f>IF(Calculations!$F$5="ACCREDITED 17025 WITH UNCERTAINTIES",$N$10,0)</f>
        <v>0</v>
      </c>
      <c r="O1426" s="1" t="str">
        <f>IFERROR(Table1[[#This Row],[Std Nom]]-(_xlfn.XLOOKUP(Table1[[#This Row],[Manufacturer]]&amp;" "&amp;Table1[[#This Row],[Model]],Table13[MFR &amp; MDL],Table13[Tolerance % CW ],"")/100*Table1[[#This Row],[Std Nom]]),"")</f>
        <v/>
      </c>
      <c r="P1426" s="1" t="str">
        <f>IFERROR(Table1[[#This Row],[Std Nom]]+(_xlfn.XLOOKUP(Table1[[#This Row],[Manufacturer]]&amp;" "&amp;Table1[[#This Row],[Model]],Table13[MFR &amp; MDL],Table13[Tolerance % CW ],"")/100*Table1[[#This Row],[Std Nom]]),"")</f>
        <v/>
      </c>
      <c r="Q1426" s="1" t="e">
        <f>Table1[[#This Row],[High Tol]]-Table1[[#This Row],[Low Tol]]</f>
        <v>#VALUE!</v>
      </c>
      <c r="R1426" s="1">
        <f>2*Table1[[#This Row],[Std Error]]</f>
        <v>0</v>
      </c>
      <c r="S1426" s="1" t="str">
        <f>IF(Table1[[#This Row],[High Tol]]="","N/A",IFERROR(ABS(Table1[[#This Row],[Tol Span]]/Table1[[#This Row],[Error Span]]),"N/A"))</f>
        <v>N/A</v>
      </c>
      <c r="T1426" s="1" t="str">
        <f>IF(OR(Table1[[#This Row],[Low Tol]]="",Table1[[#This Row],[High Tol]]=""),"Needs Analysis",IF(Table1[[#This Row],[Ratio]]&gt;=4,"Not Significant",IF(Table1[[#This Row],[Ratio]]&gt;=2,"Semi-Significant","Significant")))</f>
        <v>Needs Analysis</v>
      </c>
      <c r="W1426" s="1">
        <f>IF(Table1[[#This Row],[Cal Type]]&lt;&gt;"ACCREDITED 17025 WITH UNCERTAINTIES",0,"")</f>
        <v>0</v>
      </c>
      <c r="X1426" s="1" t="str">
        <f>IF(Table1[[#This Row],[DUT Read]]="","N/A",Table1[[#This Row],[Std Error]]+Table1[[#This Row],[DUT Read]]+Table1[[#This Row],[DUT Ucty]])</f>
        <v>N/A</v>
      </c>
      <c r="Y1426" s="1" t="str">
        <f>IF(Table1[[#This Row],[Std Read]]="","N/A",Table1[[#This Row],[Std Read]]+Table1[[#This Row],[Std Ucty]])</f>
        <v>N/A</v>
      </c>
      <c r="Z14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6" s="1" t="str">
        <f>IF(Table1[[#This Row],[Spec Type]]="","N/A",Table1[[#This Row],[Spec Type]])</f>
        <v>±</v>
      </c>
      <c r="AC1426" s="1" t="str">
        <f>IF(Table1[[#This Row],[Spec Type2]]="N/A","N/A",IF(AND(Table1[[#This Row],[DUT Adj Read]]&gt;=Table1[[#This Row],[Low Tol]],Table1[[#This Row],[DUT Adj Read]]&lt;=Table1[[#This Row],[High Tol]]),"Pass","Fail"))</f>
        <v>Fail</v>
      </c>
      <c r="AD1426" s="1" t="str">
        <f>IF(AND(Table1[[#This Row],[Spec Type2]]="N/A",Table1[[#This Row],[DUT Adj Read]]="N/A",Table1[[#This Row],[Std Adj Read]]="N/A"),"N/A",IF(Table1[[#This Row],[DUT Adj Read]]="N/A",IF(Table1[[#This Row],[Std Adj Read]]&gt;Table1[[#This Row],[Low Tol]],"Pass","Fail"),IF(Table1[[#This Row],[DUT Adj Read]]&gt;Table1[[#This Row],[Low Tol]],"Pass","Fail")))</f>
        <v>Pass</v>
      </c>
      <c r="AE1426" s="1" t="str">
        <f>IF(AND(Table1[[#This Row],[Spec Type2]]="N/A",Table1[[#This Row],[DUT Adj Read]]="N/A",Table1[[#This Row],[Std Adj Read]]="N/A"),"N/A",IF(Table1[[#This Row],[DUT Adj Read]]="N/A",IF(Table1[[#This Row],[Std Adj Read]]&lt;Table1[[#This Row],[High Tol]],"Pass","Fail"),IF(Table1[[#This Row],[DUT Adj Read]]&lt;Table1[[#This Row],[High Tol]],"Pass","Fail")))</f>
        <v>Fail</v>
      </c>
      <c r="AF1426" s="1" t="str">
        <f>IF(AND(Table1[[#This Row],[Spec Type2]]="N/A",Table1[[#This Row],[DUT Adj Read]]="N/A",Table1[[#This Row],[Std Adj Read]]="N/A"),"N/A",IF(Table1[[#This Row],[DUT Adj Read]]="N/A",IF(Table1[[#This Row],[Std Adj Read]]&gt;=Table1[[#This Row],[Low Tol]],"Pass","Fail"),IF(Table1[[#This Row],[DUT Adj Read]]&gt;=Table1[[#This Row],[Low Tol]],"Pass","Fail")))</f>
        <v>Pass</v>
      </c>
      <c r="AG1426" s="1" t="str">
        <f>IF(AND(Table1[[#This Row],[Spec Type2]]="N/A",Table1[[#This Row],[DUT Adj Read]]="N/A",Table1[[#This Row],[Std Adj Read]]="N/A"),"N/A",IF(Table1[[#This Row],[DUT Adj Read]]="N/A",IF(Table1[[#This Row],[Std Adj Read]]&lt;=Table1[[#This Row],[High Tol]],"Pass","Fail"),IF(Table1[[#This Row],[DUT Adj Read]]&lt;=Table1[[#This Row],[High Tol]],"Pass","Fail")))</f>
        <v>Fail</v>
      </c>
      <c r="AH14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6" s="1" t="b">
        <v>0</v>
      </c>
      <c r="AN1426" s="1" t="b">
        <v>0</v>
      </c>
      <c r="AO1426" s="1" t="b">
        <v>0</v>
      </c>
    </row>
    <row r="1427" spans="1:41" x14ac:dyDescent="0.25">
      <c r="A1427" s="10"/>
      <c r="B1427" s="10"/>
      <c r="C1427" s="10"/>
      <c r="D1427" s="10"/>
      <c r="E1427" s="10"/>
      <c r="F1427" s="10"/>
      <c r="G1427" s="10"/>
      <c r="H1427" s="10"/>
      <c r="I1427" s="1" t="str">
        <f t="shared" si="66"/>
        <v/>
      </c>
      <c r="J1427" s="1" t="s">
        <v>35</v>
      </c>
      <c r="K1427" s="1" t="str">
        <f t="shared" si="67"/>
        <v/>
      </c>
      <c r="L1427" s="1" t="str">
        <f t="shared" si="68"/>
        <v/>
      </c>
      <c r="M1427" s="1">
        <f>IF(OR(Table1[[#This Row],[Std Nom]]="",Table1[[#This Row],[Std Read]]=""),0,Table1[[#This Row],[Std Nom]]-Table1[[#This Row],[Std Read]])</f>
        <v>0</v>
      </c>
      <c r="N1427" s="1">
        <f>IF(Calculations!$F$5="ACCREDITED 17025 WITH UNCERTAINTIES",$N$10,0)</f>
        <v>0</v>
      </c>
      <c r="O1427" s="1" t="str">
        <f>IFERROR(Table1[[#This Row],[Std Nom]]-(_xlfn.XLOOKUP(Table1[[#This Row],[Manufacturer]]&amp;" "&amp;Table1[[#This Row],[Model]],Table13[MFR &amp; MDL],Table13[Tolerance % CW ],"")/100*Table1[[#This Row],[Std Nom]]),"")</f>
        <v/>
      </c>
      <c r="P1427" s="1" t="str">
        <f>IFERROR(Table1[[#This Row],[Std Nom]]+(_xlfn.XLOOKUP(Table1[[#This Row],[Manufacturer]]&amp;" "&amp;Table1[[#This Row],[Model]],Table13[MFR &amp; MDL],Table13[Tolerance % CW ],"")/100*Table1[[#This Row],[Std Nom]]),"")</f>
        <v/>
      </c>
      <c r="Q1427" s="1" t="e">
        <f>Table1[[#This Row],[High Tol]]-Table1[[#This Row],[Low Tol]]</f>
        <v>#VALUE!</v>
      </c>
      <c r="R1427" s="1">
        <f>2*Table1[[#This Row],[Std Error]]</f>
        <v>0</v>
      </c>
      <c r="S1427" s="1" t="str">
        <f>IF(Table1[[#This Row],[High Tol]]="","N/A",IFERROR(ABS(Table1[[#This Row],[Tol Span]]/Table1[[#This Row],[Error Span]]),"N/A"))</f>
        <v>N/A</v>
      </c>
      <c r="T1427" s="1" t="str">
        <f>IF(OR(Table1[[#This Row],[Low Tol]]="",Table1[[#This Row],[High Tol]]=""),"Needs Analysis",IF(Table1[[#This Row],[Ratio]]&gt;=4,"Not Significant",IF(Table1[[#This Row],[Ratio]]&gt;=2,"Semi-Significant","Significant")))</f>
        <v>Needs Analysis</v>
      </c>
      <c r="W1427" s="1">
        <f>IF(Table1[[#This Row],[Cal Type]]&lt;&gt;"ACCREDITED 17025 WITH UNCERTAINTIES",0,"")</f>
        <v>0</v>
      </c>
      <c r="X1427" s="1" t="str">
        <f>IF(Table1[[#This Row],[DUT Read]]="","N/A",Table1[[#This Row],[Std Error]]+Table1[[#This Row],[DUT Read]]+Table1[[#This Row],[DUT Ucty]])</f>
        <v>N/A</v>
      </c>
      <c r="Y1427" s="1" t="str">
        <f>IF(Table1[[#This Row],[Std Read]]="","N/A",Table1[[#This Row],[Std Read]]+Table1[[#This Row],[Std Ucty]])</f>
        <v>N/A</v>
      </c>
      <c r="Z14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7" s="1" t="str">
        <f>IF(Table1[[#This Row],[Spec Type]]="","N/A",Table1[[#This Row],[Spec Type]])</f>
        <v>±</v>
      </c>
      <c r="AC1427" s="1" t="str">
        <f>IF(Table1[[#This Row],[Spec Type2]]="N/A","N/A",IF(AND(Table1[[#This Row],[DUT Adj Read]]&gt;=Table1[[#This Row],[Low Tol]],Table1[[#This Row],[DUT Adj Read]]&lt;=Table1[[#This Row],[High Tol]]),"Pass","Fail"))</f>
        <v>Fail</v>
      </c>
      <c r="AD1427" s="1" t="str">
        <f>IF(AND(Table1[[#This Row],[Spec Type2]]="N/A",Table1[[#This Row],[DUT Adj Read]]="N/A",Table1[[#This Row],[Std Adj Read]]="N/A"),"N/A",IF(Table1[[#This Row],[DUT Adj Read]]="N/A",IF(Table1[[#This Row],[Std Adj Read]]&gt;Table1[[#This Row],[Low Tol]],"Pass","Fail"),IF(Table1[[#This Row],[DUT Adj Read]]&gt;Table1[[#This Row],[Low Tol]],"Pass","Fail")))</f>
        <v>Pass</v>
      </c>
      <c r="AE1427" s="1" t="str">
        <f>IF(AND(Table1[[#This Row],[Spec Type2]]="N/A",Table1[[#This Row],[DUT Adj Read]]="N/A",Table1[[#This Row],[Std Adj Read]]="N/A"),"N/A",IF(Table1[[#This Row],[DUT Adj Read]]="N/A",IF(Table1[[#This Row],[Std Adj Read]]&lt;Table1[[#This Row],[High Tol]],"Pass","Fail"),IF(Table1[[#This Row],[DUT Adj Read]]&lt;Table1[[#This Row],[High Tol]],"Pass","Fail")))</f>
        <v>Fail</v>
      </c>
      <c r="AF1427" s="1" t="str">
        <f>IF(AND(Table1[[#This Row],[Spec Type2]]="N/A",Table1[[#This Row],[DUT Adj Read]]="N/A",Table1[[#This Row],[Std Adj Read]]="N/A"),"N/A",IF(Table1[[#This Row],[DUT Adj Read]]="N/A",IF(Table1[[#This Row],[Std Adj Read]]&gt;=Table1[[#This Row],[Low Tol]],"Pass","Fail"),IF(Table1[[#This Row],[DUT Adj Read]]&gt;=Table1[[#This Row],[Low Tol]],"Pass","Fail")))</f>
        <v>Pass</v>
      </c>
      <c r="AG1427" s="1" t="str">
        <f>IF(AND(Table1[[#This Row],[Spec Type2]]="N/A",Table1[[#This Row],[DUT Adj Read]]="N/A",Table1[[#This Row],[Std Adj Read]]="N/A"),"N/A",IF(Table1[[#This Row],[DUT Adj Read]]="N/A",IF(Table1[[#This Row],[Std Adj Read]]&lt;=Table1[[#This Row],[High Tol]],"Pass","Fail"),IF(Table1[[#This Row],[DUT Adj Read]]&lt;=Table1[[#This Row],[High Tol]],"Pass","Fail")))</f>
        <v>Fail</v>
      </c>
      <c r="AH14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7" s="1" t="b">
        <v>0</v>
      </c>
      <c r="AN1427" s="1" t="b">
        <v>0</v>
      </c>
      <c r="AO1427" s="1" t="b">
        <v>0</v>
      </c>
    </row>
    <row r="1428" spans="1:41" x14ac:dyDescent="0.25">
      <c r="A1428" s="10"/>
      <c r="B1428" s="10"/>
      <c r="C1428" s="10"/>
      <c r="D1428" s="10"/>
      <c r="E1428" s="10"/>
      <c r="F1428" s="10"/>
      <c r="G1428" s="10"/>
      <c r="H1428" s="10"/>
      <c r="I1428" s="1" t="str">
        <f t="shared" si="66"/>
        <v/>
      </c>
      <c r="J1428" s="1" t="s">
        <v>35</v>
      </c>
      <c r="K1428" s="1" t="str">
        <f t="shared" si="67"/>
        <v/>
      </c>
      <c r="L1428" s="1" t="str">
        <f t="shared" si="68"/>
        <v/>
      </c>
      <c r="M1428" s="1">
        <f>IF(OR(Table1[[#This Row],[Std Nom]]="",Table1[[#This Row],[Std Read]]=""),0,Table1[[#This Row],[Std Nom]]-Table1[[#This Row],[Std Read]])</f>
        <v>0</v>
      </c>
      <c r="N1428" s="1">
        <f>IF(Calculations!$F$5="ACCREDITED 17025 WITH UNCERTAINTIES",$N$10,0)</f>
        <v>0</v>
      </c>
      <c r="O1428" s="1" t="str">
        <f>IFERROR(Table1[[#This Row],[Std Nom]]-(_xlfn.XLOOKUP(Table1[[#This Row],[Manufacturer]]&amp;" "&amp;Table1[[#This Row],[Model]],Table13[MFR &amp; MDL],Table13[Tolerance % CW ],"")/100*Table1[[#This Row],[Std Nom]]),"")</f>
        <v/>
      </c>
      <c r="P1428" s="1" t="str">
        <f>IFERROR(Table1[[#This Row],[Std Nom]]+(_xlfn.XLOOKUP(Table1[[#This Row],[Manufacturer]]&amp;" "&amp;Table1[[#This Row],[Model]],Table13[MFR &amp; MDL],Table13[Tolerance % CW ],"")/100*Table1[[#This Row],[Std Nom]]),"")</f>
        <v/>
      </c>
      <c r="Q1428" s="1" t="e">
        <f>Table1[[#This Row],[High Tol]]-Table1[[#This Row],[Low Tol]]</f>
        <v>#VALUE!</v>
      </c>
      <c r="R1428" s="1">
        <f>2*Table1[[#This Row],[Std Error]]</f>
        <v>0</v>
      </c>
      <c r="S1428" s="1" t="str">
        <f>IF(Table1[[#This Row],[High Tol]]="","N/A",IFERROR(ABS(Table1[[#This Row],[Tol Span]]/Table1[[#This Row],[Error Span]]),"N/A"))</f>
        <v>N/A</v>
      </c>
      <c r="T1428" s="1" t="str">
        <f>IF(OR(Table1[[#This Row],[Low Tol]]="",Table1[[#This Row],[High Tol]]=""),"Needs Analysis",IF(Table1[[#This Row],[Ratio]]&gt;=4,"Not Significant",IF(Table1[[#This Row],[Ratio]]&gt;=2,"Semi-Significant","Significant")))</f>
        <v>Needs Analysis</v>
      </c>
      <c r="W1428" s="1">
        <f>IF(Table1[[#This Row],[Cal Type]]&lt;&gt;"ACCREDITED 17025 WITH UNCERTAINTIES",0,"")</f>
        <v>0</v>
      </c>
      <c r="X1428" s="1" t="str">
        <f>IF(Table1[[#This Row],[DUT Read]]="","N/A",Table1[[#This Row],[Std Error]]+Table1[[#This Row],[DUT Read]]+Table1[[#This Row],[DUT Ucty]])</f>
        <v>N/A</v>
      </c>
      <c r="Y1428" s="1" t="str">
        <f>IF(Table1[[#This Row],[Std Read]]="","N/A",Table1[[#This Row],[Std Read]]+Table1[[#This Row],[Std Ucty]])</f>
        <v>N/A</v>
      </c>
      <c r="Z14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8" s="1" t="str">
        <f>IF(Table1[[#This Row],[Spec Type]]="","N/A",Table1[[#This Row],[Spec Type]])</f>
        <v>±</v>
      </c>
      <c r="AC1428" s="1" t="str">
        <f>IF(Table1[[#This Row],[Spec Type2]]="N/A","N/A",IF(AND(Table1[[#This Row],[DUT Adj Read]]&gt;=Table1[[#This Row],[Low Tol]],Table1[[#This Row],[DUT Adj Read]]&lt;=Table1[[#This Row],[High Tol]]),"Pass","Fail"))</f>
        <v>Fail</v>
      </c>
      <c r="AD1428" s="1" t="str">
        <f>IF(AND(Table1[[#This Row],[Spec Type2]]="N/A",Table1[[#This Row],[DUT Adj Read]]="N/A",Table1[[#This Row],[Std Adj Read]]="N/A"),"N/A",IF(Table1[[#This Row],[DUT Adj Read]]="N/A",IF(Table1[[#This Row],[Std Adj Read]]&gt;Table1[[#This Row],[Low Tol]],"Pass","Fail"),IF(Table1[[#This Row],[DUT Adj Read]]&gt;Table1[[#This Row],[Low Tol]],"Pass","Fail")))</f>
        <v>Pass</v>
      </c>
      <c r="AE1428" s="1" t="str">
        <f>IF(AND(Table1[[#This Row],[Spec Type2]]="N/A",Table1[[#This Row],[DUT Adj Read]]="N/A",Table1[[#This Row],[Std Adj Read]]="N/A"),"N/A",IF(Table1[[#This Row],[DUT Adj Read]]="N/A",IF(Table1[[#This Row],[Std Adj Read]]&lt;Table1[[#This Row],[High Tol]],"Pass","Fail"),IF(Table1[[#This Row],[DUT Adj Read]]&lt;Table1[[#This Row],[High Tol]],"Pass","Fail")))</f>
        <v>Fail</v>
      </c>
      <c r="AF1428" s="1" t="str">
        <f>IF(AND(Table1[[#This Row],[Spec Type2]]="N/A",Table1[[#This Row],[DUT Adj Read]]="N/A",Table1[[#This Row],[Std Adj Read]]="N/A"),"N/A",IF(Table1[[#This Row],[DUT Adj Read]]="N/A",IF(Table1[[#This Row],[Std Adj Read]]&gt;=Table1[[#This Row],[Low Tol]],"Pass","Fail"),IF(Table1[[#This Row],[DUT Adj Read]]&gt;=Table1[[#This Row],[Low Tol]],"Pass","Fail")))</f>
        <v>Pass</v>
      </c>
      <c r="AG1428" s="1" t="str">
        <f>IF(AND(Table1[[#This Row],[Spec Type2]]="N/A",Table1[[#This Row],[DUT Adj Read]]="N/A",Table1[[#This Row],[Std Adj Read]]="N/A"),"N/A",IF(Table1[[#This Row],[DUT Adj Read]]="N/A",IF(Table1[[#This Row],[Std Adj Read]]&lt;=Table1[[#This Row],[High Tol]],"Pass","Fail"),IF(Table1[[#This Row],[DUT Adj Read]]&lt;=Table1[[#This Row],[High Tol]],"Pass","Fail")))</f>
        <v>Fail</v>
      </c>
      <c r="AH14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8" s="1" t="b">
        <v>0</v>
      </c>
      <c r="AN1428" s="1" t="b">
        <v>0</v>
      </c>
      <c r="AO1428" s="1" t="b">
        <v>0</v>
      </c>
    </row>
    <row r="1429" spans="1:41" x14ac:dyDescent="0.25">
      <c r="A1429" s="10"/>
      <c r="B1429" s="10"/>
      <c r="C1429" s="10"/>
      <c r="D1429" s="10"/>
      <c r="E1429" s="10"/>
      <c r="F1429" s="10"/>
      <c r="G1429" s="10"/>
      <c r="H1429" s="10"/>
      <c r="I1429" s="1" t="str">
        <f t="shared" si="66"/>
        <v/>
      </c>
      <c r="J1429" s="1" t="s">
        <v>35</v>
      </c>
      <c r="K1429" s="1" t="str">
        <f t="shared" si="67"/>
        <v/>
      </c>
      <c r="L1429" s="1" t="str">
        <f t="shared" si="68"/>
        <v/>
      </c>
      <c r="M1429" s="1">
        <f>IF(OR(Table1[[#This Row],[Std Nom]]="",Table1[[#This Row],[Std Read]]=""),0,Table1[[#This Row],[Std Nom]]-Table1[[#This Row],[Std Read]])</f>
        <v>0</v>
      </c>
      <c r="N1429" s="1">
        <f>IF(Calculations!$F$5="ACCREDITED 17025 WITH UNCERTAINTIES",$N$10,0)</f>
        <v>0</v>
      </c>
      <c r="O1429" s="1" t="str">
        <f>IFERROR(Table1[[#This Row],[Std Nom]]-(_xlfn.XLOOKUP(Table1[[#This Row],[Manufacturer]]&amp;" "&amp;Table1[[#This Row],[Model]],Table13[MFR &amp; MDL],Table13[Tolerance % CW ],"")/100*Table1[[#This Row],[Std Nom]]),"")</f>
        <v/>
      </c>
      <c r="P1429" s="1" t="str">
        <f>IFERROR(Table1[[#This Row],[Std Nom]]+(_xlfn.XLOOKUP(Table1[[#This Row],[Manufacturer]]&amp;" "&amp;Table1[[#This Row],[Model]],Table13[MFR &amp; MDL],Table13[Tolerance % CW ],"")/100*Table1[[#This Row],[Std Nom]]),"")</f>
        <v/>
      </c>
      <c r="Q1429" s="1" t="e">
        <f>Table1[[#This Row],[High Tol]]-Table1[[#This Row],[Low Tol]]</f>
        <v>#VALUE!</v>
      </c>
      <c r="R1429" s="1">
        <f>2*Table1[[#This Row],[Std Error]]</f>
        <v>0</v>
      </c>
      <c r="S1429" s="1" t="str">
        <f>IF(Table1[[#This Row],[High Tol]]="","N/A",IFERROR(ABS(Table1[[#This Row],[Tol Span]]/Table1[[#This Row],[Error Span]]),"N/A"))</f>
        <v>N/A</v>
      </c>
      <c r="T1429" s="1" t="str">
        <f>IF(OR(Table1[[#This Row],[Low Tol]]="",Table1[[#This Row],[High Tol]]=""),"Needs Analysis",IF(Table1[[#This Row],[Ratio]]&gt;=4,"Not Significant",IF(Table1[[#This Row],[Ratio]]&gt;=2,"Semi-Significant","Significant")))</f>
        <v>Needs Analysis</v>
      </c>
      <c r="W1429" s="1">
        <f>IF(Table1[[#This Row],[Cal Type]]&lt;&gt;"ACCREDITED 17025 WITH UNCERTAINTIES",0,"")</f>
        <v>0</v>
      </c>
      <c r="X1429" s="1" t="str">
        <f>IF(Table1[[#This Row],[DUT Read]]="","N/A",Table1[[#This Row],[Std Error]]+Table1[[#This Row],[DUT Read]]+Table1[[#This Row],[DUT Ucty]])</f>
        <v>N/A</v>
      </c>
      <c r="Y1429" s="1" t="str">
        <f>IF(Table1[[#This Row],[Std Read]]="","N/A",Table1[[#This Row],[Std Read]]+Table1[[#This Row],[Std Ucty]])</f>
        <v>N/A</v>
      </c>
      <c r="Z14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9" s="1" t="str">
        <f>IF(Table1[[#This Row],[Spec Type]]="","N/A",Table1[[#This Row],[Spec Type]])</f>
        <v>±</v>
      </c>
      <c r="AC1429" s="1" t="str">
        <f>IF(Table1[[#This Row],[Spec Type2]]="N/A","N/A",IF(AND(Table1[[#This Row],[DUT Adj Read]]&gt;=Table1[[#This Row],[Low Tol]],Table1[[#This Row],[DUT Adj Read]]&lt;=Table1[[#This Row],[High Tol]]),"Pass","Fail"))</f>
        <v>Fail</v>
      </c>
      <c r="AD1429" s="1" t="str">
        <f>IF(AND(Table1[[#This Row],[Spec Type2]]="N/A",Table1[[#This Row],[DUT Adj Read]]="N/A",Table1[[#This Row],[Std Adj Read]]="N/A"),"N/A",IF(Table1[[#This Row],[DUT Adj Read]]="N/A",IF(Table1[[#This Row],[Std Adj Read]]&gt;Table1[[#This Row],[Low Tol]],"Pass","Fail"),IF(Table1[[#This Row],[DUT Adj Read]]&gt;Table1[[#This Row],[Low Tol]],"Pass","Fail")))</f>
        <v>Pass</v>
      </c>
      <c r="AE1429" s="1" t="str">
        <f>IF(AND(Table1[[#This Row],[Spec Type2]]="N/A",Table1[[#This Row],[DUT Adj Read]]="N/A",Table1[[#This Row],[Std Adj Read]]="N/A"),"N/A",IF(Table1[[#This Row],[DUT Adj Read]]="N/A",IF(Table1[[#This Row],[Std Adj Read]]&lt;Table1[[#This Row],[High Tol]],"Pass","Fail"),IF(Table1[[#This Row],[DUT Adj Read]]&lt;Table1[[#This Row],[High Tol]],"Pass","Fail")))</f>
        <v>Fail</v>
      </c>
      <c r="AF1429" s="1" t="str">
        <f>IF(AND(Table1[[#This Row],[Spec Type2]]="N/A",Table1[[#This Row],[DUT Adj Read]]="N/A",Table1[[#This Row],[Std Adj Read]]="N/A"),"N/A",IF(Table1[[#This Row],[DUT Adj Read]]="N/A",IF(Table1[[#This Row],[Std Adj Read]]&gt;=Table1[[#This Row],[Low Tol]],"Pass","Fail"),IF(Table1[[#This Row],[DUT Adj Read]]&gt;=Table1[[#This Row],[Low Tol]],"Pass","Fail")))</f>
        <v>Pass</v>
      </c>
      <c r="AG1429" s="1" t="str">
        <f>IF(AND(Table1[[#This Row],[Spec Type2]]="N/A",Table1[[#This Row],[DUT Adj Read]]="N/A",Table1[[#This Row],[Std Adj Read]]="N/A"),"N/A",IF(Table1[[#This Row],[DUT Adj Read]]="N/A",IF(Table1[[#This Row],[Std Adj Read]]&lt;=Table1[[#This Row],[High Tol]],"Pass","Fail"),IF(Table1[[#This Row],[DUT Adj Read]]&lt;=Table1[[#This Row],[High Tol]],"Pass","Fail")))</f>
        <v>Fail</v>
      </c>
      <c r="AH14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9" s="1" t="b">
        <v>0</v>
      </c>
      <c r="AN1429" s="1" t="b">
        <v>0</v>
      </c>
      <c r="AO1429" s="1" t="b">
        <v>0</v>
      </c>
    </row>
    <row r="1430" spans="1:41" x14ac:dyDescent="0.25">
      <c r="A1430" s="10"/>
      <c r="B1430" s="10"/>
      <c r="C1430" s="10"/>
      <c r="D1430" s="10"/>
      <c r="E1430" s="10"/>
      <c r="F1430" s="10"/>
      <c r="G1430" s="10"/>
      <c r="H1430" s="10"/>
      <c r="I1430" s="1" t="str">
        <f t="shared" si="66"/>
        <v/>
      </c>
      <c r="J1430" s="1" t="s">
        <v>35</v>
      </c>
      <c r="K1430" s="1" t="str">
        <f t="shared" si="67"/>
        <v/>
      </c>
      <c r="L1430" s="1" t="str">
        <f t="shared" si="68"/>
        <v/>
      </c>
      <c r="M1430" s="1">
        <f>IF(OR(Table1[[#This Row],[Std Nom]]="",Table1[[#This Row],[Std Read]]=""),0,Table1[[#This Row],[Std Nom]]-Table1[[#This Row],[Std Read]])</f>
        <v>0</v>
      </c>
      <c r="N1430" s="1">
        <f>IF(Calculations!$F$5="ACCREDITED 17025 WITH UNCERTAINTIES",$N$10,0)</f>
        <v>0</v>
      </c>
      <c r="O1430" s="1" t="str">
        <f>IFERROR(Table1[[#This Row],[Std Nom]]-(_xlfn.XLOOKUP(Table1[[#This Row],[Manufacturer]]&amp;" "&amp;Table1[[#This Row],[Model]],Table13[MFR &amp; MDL],Table13[Tolerance % CW ],"")/100*Table1[[#This Row],[Std Nom]]),"")</f>
        <v/>
      </c>
      <c r="P1430" s="1" t="str">
        <f>IFERROR(Table1[[#This Row],[Std Nom]]+(_xlfn.XLOOKUP(Table1[[#This Row],[Manufacturer]]&amp;" "&amp;Table1[[#This Row],[Model]],Table13[MFR &amp; MDL],Table13[Tolerance % CW ],"")/100*Table1[[#This Row],[Std Nom]]),"")</f>
        <v/>
      </c>
      <c r="Q1430" s="1" t="e">
        <f>Table1[[#This Row],[High Tol]]-Table1[[#This Row],[Low Tol]]</f>
        <v>#VALUE!</v>
      </c>
      <c r="R1430" s="1">
        <f>2*Table1[[#This Row],[Std Error]]</f>
        <v>0</v>
      </c>
      <c r="S1430" s="1" t="str">
        <f>IF(Table1[[#This Row],[High Tol]]="","N/A",IFERROR(ABS(Table1[[#This Row],[Tol Span]]/Table1[[#This Row],[Error Span]]),"N/A"))</f>
        <v>N/A</v>
      </c>
      <c r="T1430" s="1" t="str">
        <f>IF(OR(Table1[[#This Row],[Low Tol]]="",Table1[[#This Row],[High Tol]]=""),"Needs Analysis",IF(Table1[[#This Row],[Ratio]]&gt;=4,"Not Significant",IF(Table1[[#This Row],[Ratio]]&gt;=2,"Semi-Significant","Significant")))</f>
        <v>Needs Analysis</v>
      </c>
      <c r="W1430" s="1">
        <f>IF(Table1[[#This Row],[Cal Type]]&lt;&gt;"ACCREDITED 17025 WITH UNCERTAINTIES",0,"")</f>
        <v>0</v>
      </c>
      <c r="X1430" s="1" t="str">
        <f>IF(Table1[[#This Row],[DUT Read]]="","N/A",Table1[[#This Row],[Std Error]]+Table1[[#This Row],[DUT Read]]+Table1[[#This Row],[DUT Ucty]])</f>
        <v>N/A</v>
      </c>
      <c r="Y1430" s="1" t="str">
        <f>IF(Table1[[#This Row],[Std Read]]="","N/A",Table1[[#This Row],[Std Read]]+Table1[[#This Row],[Std Ucty]])</f>
        <v>N/A</v>
      </c>
      <c r="Z14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0" s="1" t="str">
        <f>IF(Table1[[#This Row],[Spec Type]]="","N/A",Table1[[#This Row],[Spec Type]])</f>
        <v>±</v>
      </c>
      <c r="AC1430" s="1" t="str">
        <f>IF(Table1[[#This Row],[Spec Type2]]="N/A","N/A",IF(AND(Table1[[#This Row],[DUT Adj Read]]&gt;=Table1[[#This Row],[Low Tol]],Table1[[#This Row],[DUT Adj Read]]&lt;=Table1[[#This Row],[High Tol]]),"Pass","Fail"))</f>
        <v>Fail</v>
      </c>
      <c r="AD1430" s="1" t="str">
        <f>IF(AND(Table1[[#This Row],[Spec Type2]]="N/A",Table1[[#This Row],[DUT Adj Read]]="N/A",Table1[[#This Row],[Std Adj Read]]="N/A"),"N/A",IF(Table1[[#This Row],[DUT Adj Read]]="N/A",IF(Table1[[#This Row],[Std Adj Read]]&gt;Table1[[#This Row],[Low Tol]],"Pass","Fail"),IF(Table1[[#This Row],[DUT Adj Read]]&gt;Table1[[#This Row],[Low Tol]],"Pass","Fail")))</f>
        <v>Pass</v>
      </c>
      <c r="AE1430" s="1" t="str">
        <f>IF(AND(Table1[[#This Row],[Spec Type2]]="N/A",Table1[[#This Row],[DUT Adj Read]]="N/A",Table1[[#This Row],[Std Adj Read]]="N/A"),"N/A",IF(Table1[[#This Row],[DUT Adj Read]]="N/A",IF(Table1[[#This Row],[Std Adj Read]]&lt;Table1[[#This Row],[High Tol]],"Pass","Fail"),IF(Table1[[#This Row],[DUT Adj Read]]&lt;Table1[[#This Row],[High Tol]],"Pass","Fail")))</f>
        <v>Fail</v>
      </c>
      <c r="AF1430" s="1" t="str">
        <f>IF(AND(Table1[[#This Row],[Spec Type2]]="N/A",Table1[[#This Row],[DUT Adj Read]]="N/A",Table1[[#This Row],[Std Adj Read]]="N/A"),"N/A",IF(Table1[[#This Row],[DUT Adj Read]]="N/A",IF(Table1[[#This Row],[Std Adj Read]]&gt;=Table1[[#This Row],[Low Tol]],"Pass","Fail"),IF(Table1[[#This Row],[DUT Adj Read]]&gt;=Table1[[#This Row],[Low Tol]],"Pass","Fail")))</f>
        <v>Pass</v>
      </c>
      <c r="AG1430" s="1" t="str">
        <f>IF(AND(Table1[[#This Row],[Spec Type2]]="N/A",Table1[[#This Row],[DUT Adj Read]]="N/A",Table1[[#This Row],[Std Adj Read]]="N/A"),"N/A",IF(Table1[[#This Row],[DUT Adj Read]]="N/A",IF(Table1[[#This Row],[Std Adj Read]]&lt;=Table1[[#This Row],[High Tol]],"Pass","Fail"),IF(Table1[[#This Row],[DUT Adj Read]]&lt;=Table1[[#This Row],[High Tol]],"Pass","Fail")))</f>
        <v>Fail</v>
      </c>
      <c r="AH14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0" s="1" t="b">
        <v>0</v>
      </c>
      <c r="AN1430" s="1" t="b">
        <v>0</v>
      </c>
      <c r="AO1430" s="1" t="b">
        <v>0</v>
      </c>
    </row>
    <row r="1431" spans="1:41" x14ac:dyDescent="0.25">
      <c r="A1431" s="10"/>
      <c r="B1431" s="10"/>
      <c r="C1431" s="10"/>
      <c r="D1431" s="10"/>
      <c r="E1431" s="10"/>
      <c r="F1431" s="10"/>
      <c r="G1431" s="10"/>
      <c r="H1431" s="10"/>
      <c r="I1431" s="1" t="str">
        <f t="shared" si="66"/>
        <v/>
      </c>
      <c r="J1431" s="1" t="s">
        <v>35</v>
      </c>
      <c r="K1431" s="1" t="str">
        <f t="shared" si="67"/>
        <v/>
      </c>
      <c r="L1431" s="1" t="str">
        <f t="shared" si="68"/>
        <v/>
      </c>
      <c r="M1431" s="1">
        <f>IF(OR(Table1[[#This Row],[Std Nom]]="",Table1[[#This Row],[Std Read]]=""),0,Table1[[#This Row],[Std Nom]]-Table1[[#This Row],[Std Read]])</f>
        <v>0</v>
      </c>
      <c r="N1431" s="1">
        <f>IF(Calculations!$F$5="ACCREDITED 17025 WITH UNCERTAINTIES",$N$10,0)</f>
        <v>0</v>
      </c>
      <c r="O1431" s="1" t="str">
        <f>IFERROR(Table1[[#This Row],[Std Nom]]-(_xlfn.XLOOKUP(Table1[[#This Row],[Manufacturer]]&amp;" "&amp;Table1[[#This Row],[Model]],Table13[MFR &amp; MDL],Table13[Tolerance % CW ],"")/100*Table1[[#This Row],[Std Nom]]),"")</f>
        <v/>
      </c>
      <c r="P1431" s="1" t="str">
        <f>IFERROR(Table1[[#This Row],[Std Nom]]+(_xlfn.XLOOKUP(Table1[[#This Row],[Manufacturer]]&amp;" "&amp;Table1[[#This Row],[Model]],Table13[MFR &amp; MDL],Table13[Tolerance % CW ],"")/100*Table1[[#This Row],[Std Nom]]),"")</f>
        <v/>
      </c>
      <c r="Q1431" s="1" t="e">
        <f>Table1[[#This Row],[High Tol]]-Table1[[#This Row],[Low Tol]]</f>
        <v>#VALUE!</v>
      </c>
      <c r="R1431" s="1">
        <f>2*Table1[[#This Row],[Std Error]]</f>
        <v>0</v>
      </c>
      <c r="S1431" s="1" t="str">
        <f>IF(Table1[[#This Row],[High Tol]]="","N/A",IFERROR(ABS(Table1[[#This Row],[Tol Span]]/Table1[[#This Row],[Error Span]]),"N/A"))</f>
        <v>N/A</v>
      </c>
      <c r="T1431" s="1" t="str">
        <f>IF(OR(Table1[[#This Row],[Low Tol]]="",Table1[[#This Row],[High Tol]]=""),"Needs Analysis",IF(Table1[[#This Row],[Ratio]]&gt;=4,"Not Significant",IF(Table1[[#This Row],[Ratio]]&gt;=2,"Semi-Significant","Significant")))</f>
        <v>Needs Analysis</v>
      </c>
      <c r="W1431" s="1">
        <f>IF(Table1[[#This Row],[Cal Type]]&lt;&gt;"ACCREDITED 17025 WITH UNCERTAINTIES",0,"")</f>
        <v>0</v>
      </c>
      <c r="X1431" s="1" t="str">
        <f>IF(Table1[[#This Row],[DUT Read]]="","N/A",Table1[[#This Row],[Std Error]]+Table1[[#This Row],[DUT Read]]+Table1[[#This Row],[DUT Ucty]])</f>
        <v>N/A</v>
      </c>
      <c r="Y1431" s="1" t="str">
        <f>IF(Table1[[#This Row],[Std Read]]="","N/A",Table1[[#This Row],[Std Read]]+Table1[[#This Row],[Std Ucty]])</f>
        <v>N/A</v>
      </c>
      <c r="Z14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1" s="1" t="str">
        <f>IF(Table1[[#This Row],[Spec Type]]="","N/A",Table1[[#This Row],[Spec Type]])</f>
        <v>±</v>
      </c>
      <c r="AC1431" s="1" t="str">
        <f>IF(Table1[[#This Row],[Spec Type2]]="N/A","N/A",IF(AND(Table1[[#This Row],[DUT Adj Read]]&gt;=Table1[[#This Row],[Low Tol]],Table1[[#This Row],[DUT Adj Read]]&lt;=Table1[[#This Row],[High Tol]]),"Pass","Fail"))</f>
        <v>Fail</v>
      </c>
      <c r="AD1431" s="1" t="str">
        <f>IF(AND(Table1[[#This Row],[Spec Type2]]="N/A",Table1[[#This Row],[DUT Adj Read]]="N/A",Table1[[#This Row],[Std Adj Read]]="N/A"),"N/A",IF(Table1[[#This Row],[DUT Adj Read]]="N/A",IF(Table1[[#This Row],[Std Adj Read]]&gt;Table1[[#This Row],[Low Tol]],"Pass","Fail"),IF(Table1[[#This Row],[DUT Adj Read]]&gt;Table1[[#This Row],[Low Tol]],"Pass","Fail")))</f>
        <v>Pass</v>
      </c>
      <c r="AE1431" s="1" t="str">
        <f>IF(AND(Table1[[#This Row],[Spec Type2]]="N/A",Table1[[#This Row],[DUT Adj Read]]="N/A",Table1[[#This Row],[Std Adj Read]]="N/A"),"N/A",IF(Table1[[#This Row],[DUT Adj Read]]="N/A",IF(Table1[[#This Row],[Std Adj Read]]&lt;Table1[[#This Row],[High Tol]],"Pass","Fail"),IF(Table1[[#This Row],[DUT Adj Read]]&lt;Table1[[#This Row],[High Tol]],"Pass","Fail")))</f>
        <v>Fail</v>
      </c>
      <c r="AF1431" s="1" t="str">
        <f>IF(AND(Table1[[#This Row],[Spec Type2]]="N/A",Table1[[#This Row],[DUT Adj Read]]="N/A",Table1[[#This Row],[Std Adj Read]]="N/A"),"N/A",IF(Table1[[#This Row],[DUT Adj Read]]="N/A",IF(Table1[[#This Row],[Std Adj Read]]&gt;=Table1[[#This Row],[Low Tol]],"Pass","Fail"),IF(Table1[[#This Row],[DUT Adj Read]]&gt;=Table1[[#This Row],[Low Tol]],"Pass","Fail")))</f>
        <v>Pass</v>
      </c>
      <c r="AG1431" s="1" t="str">
        <f>IF(AND(Table1[[#This Row],[Spec Type2]]="N/A",Table1[[#This Row],[DUT Adj Read]]="N/A",Table1[[#This Row],[Std Adj Read]]="N/A"),"N/A",IF(Table1[[#This Row],[DUT Adj Read]]="N/A",IF(Table1[[#This Row],[Std Adj Read]]&lt;=Table1[[#This Row],[High Tol]],"Pass","Fail"),IF(Table1[[#This Row],[DUT Adj Read]]&lt;=Table1[[#This Row],[High Tol]],"Pass","Fail")))</f>
        <v>Fail</v>
      </c>
      <c r="AH14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1" s="1" t="b">
        <v>0</v>
      </c>
      <c r="AN1431" s="1" t="b">
        <v>0</v>
      </c>
      <c r="AO1431" s="1" t="b">
        <v>0</v>
      </c>
    </row>
    <row r="1432" spans="1:41" x14ac:dyDescent="0.25">
      <c r="A1432" s="10"/>
      <c r="B1432" s="10"/>
      <c r="C1432" s="10"/>
      <c r="D1432" s="10"/>
      <c r="E1432" s="10"/>
      <c r="F1432" s="10"/>
      <c r="G1432" s="10"/>
      <c r="H1432" s="10"/>
      <c r="I1432" s="1" t="str">
        <f t="shared" si="66"/>
        <v/>
      </c>
      <c r="J1432" s="1" t="s">
        <v>35</v>
      </c>
      <c r="K1432" s="1" t="str">
        <f t="shared" si="67"/>
        <v/>
      </c>
      <c r="L1432" s="1" t="str">
        <f t="shared" si="68"/>
        <v/>
      </c>
      <c r="M1432" s="1">
        <f>IF(OR(Table1[[#This Row],[Std Nom]]="",Table1[[#This Row],[Std Read]]=""),0,Table1[[#This Row],[Std Nom]]-Table1[[#This Row],[Std Read]])</f>
        <v>0</v>
      </c>
      <c r="N1432" s="1">
        <f>IF(Calculations!$F$5="ACCREDITED 17025 WITH UNCERTAINTIES",$N$10,0)</f>
        <v>0</v>
      </c>
      <c r="O1432" s="1" t="str">
        <f>IFERROR(Table1[[#This Row],[Std Nom]]-(_xlfn.XLOOKUP(Table1[[#This Row],[Manufacturer]]&amp;" "&amp;Table1[[#This Row],[Model]],Table13[MFR &amp; MDL],Table13[Tolerance % CW ],"")/100*Table1[[#This Row],[Std Nom]]),"")</f>
        <v/>
      </c>
      <c r="P1432" s="1" t="str">
        <f>IFERROR(Table1[[#This Row],[Std Nom]]+(_xlfn.XLOOKUP(Table1[[#This Row],[Manufacturer]]&amp;" "&amp;Table1[[#This Row],[Model]],Table13[MFR &amp; MDL],Table13[Tolerance % CW ],"")/100*Table1[[#This Row],[Std Nom]]),"")</f>
        <v/>
      </c>
      <c r="Q1432" s="1" t="e">
        <f>Table1[[#This Row],[High Tol]]-Table1[[#This Row],[Low Tol]]</f>
        <v>#VALUE!</v>
      </c>
      <c r="R1432" s="1">
        <f>2*Table1[[#This Row],[Std Error]]</f>
        <v>0</v>
      </c>
      <c r="S1432" s="1" t="str">
        <f>IF(Table1[[#This Row],[High Tol]]="","N/A",IFERROR(ABS(Table1[[#This Row],[Tol Span]]/Table1[[#This Row],[Error Span]]),"N/A"))</f>
        <v>N/A</v>
      </c>
      <c r="T1432" s="1" t="str">
        <f>IF(OR(Table1[[#This Row],[Low Tol]]="",Table1[[#This Row],[High Tol]]=""),"Needs Analysis",IF(Table1[[#This Row],[Ratio]]&gt;=4,"Not Significant",IF(Table1[[#This Row],[Ratio]]&gt;=2,"Semi-Significant","Significant")))</f>
        <v>Needs Analysis</v>
      </c>
      <c r="W1432" s="1">
        <f>IF(Table1[[#This Row],[Cal Type]]&lt;&gt;"ACCREDITED 17025 WITH UNCERTAINTIES",0,"")</f>
        <v>0</v>
      </c>
      <c r="X1432" s="1" t="str">
        <f>IF(Table1[[#This Row],[DUT Read]]="","N/A",Table1[[#This Row],[Std Error]]+Table1[[#This Row],[DUT Read]]+Table1[[#This Row],[DUT Ucty]])</f>
        <v>N/A</v>
      </c>
      <c r="Y1432" s="1" t="str">
        <f>IF(Table1[[#This Row],[Std Read]]="","N/A",Table1[[#This Row],[Std Read]]+Table1[[#This Row],[Std Ucty]])</f>
        <v>N/A</v>
      </c>
      <c r="Z14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2" s="1" t="str">
        <f>IF(Table1[[#This Row],[Spec Type]]="","N/A",Table1[[#This Row],[Spec Type]])</f>
        <v>±</v>
      </c>
      <c r="AC1432" s="1" t="str">
        <f>IF(Table1[[#This Row],[Spec Type2]]="N/A","N/A",IF(AND(Table1[[#This Row],[DUT Adj Read]]&gt;=Table1[[#This Row],[Low Tol]],Table1[[#This Row],[DUT Adj Read]]&lt;=Table1[[#This Row],[High Tol]]),"Pass","Fail"))</f>
        <v>Fail</v>
      </c>
      <c r="AD1432" s="1" t="str">
        <f>IF(AND(Table1[[#This Row],[Spec Type2]]="N/A",Table1[[#This Row],[DUT Adj Read]]="N/A",Table1[[#This Row],[Std Adj Read]]="N/A"),"N/A",IF(Table1[[#This Row],[DUT Adj Read]]="N/A",IF(Table1[[#This Row],[Std Adj Read]]&gt;Table1[[#This Row],[Low Tol]],"Pass","Fail"),IF(Table1[[#This Row],[DUT Adj Read]]&gt;Table1[[#This Row],[Low Tol]],"Pass","Fail")))</f>
        <v>Pass</v>
      </c>
      <c r="AE1432" s="1" t="str">
        <f>IF(AND(Table1[[#This Row],[Spec Type2]]="N/A",Table1[[#This Row],[DUT Adj Read]]="N/A",Table1[[#This Row],[Std Adj Read]]="N/A"),"N/A",IF(Table1[[#This Row],[DUT Adj Read]]="N/A",IF(Table1[[#This Row],[Std Adj Read]]&lt;Table1[[#This Row],[High Tol]],"Pass","Fail"),IF(Table1[[#This Row],[DUT Adj Read]]&lt;Table1[[#This Row],[High Tol]],"Pass","Fail")))</f>
        <v>Fail</v>
      </c>
      <c r="AF1432" s="1" t="str">
        <f>IF(AND(Table1[[#This Row],[Spec Type2]]="N/A",Table1[[#This Row],[DUT Adj Read]]="N/A",Table1[[#This Row],[Std Adj Read]]="N/A"),"N/A",IF(Table1[[#This Row],[DUT Adj Read]]="N/A",IF(Table1[[#This Row],[Std Adj Read]]&gt;=Table1[[#This Row],[Low Tol]],"Pass","Fail"),IF(Table1[[#This Row],[DUT Adj Read]]&gt;=Table1[[#This Row],[Low Tol]],"Pass","Fail")))</f>
        <v>Pass</v>
      </c>
      <c r="AG1432" s="1" t="str">
        <f>IF(AND(Table1[[#This Row],[Spec Type2]]="N/A",Table1[[#This Row],[DUT Adj Read]]="N/A",Table1[[#This Row],[Std Adj Read]]="N/A"),"N/A",IF(Table1[[#This Row],[DUT Adj Read]]="N/A",IF(Table1[[#This Row],[Std Adj Read]]&lt;=Table1[[#This Row],[High Tol]],"Pass","Fail"),IF(Table1[[#This Row],[DUT Adj Read]]&lt;=Table1[[#This Row],[High Tol]],"Pass","Fail")))</f>
        <v>Fail</v>
      </c>
      <c r="AH14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2" s="1" t="b">
        <v>0</v>
      </c>
      <c r="AN1432" s="1" t="b">
        <v>0</v>
      </c>
      <c r="AO1432" s="1" t="b">
        <v>0</v>
      </c>
    </row>
    <row r="1433" spans="1:41" x14ac:dyDescent="0.25">
      <c r="A1433" s="10"/>
      <c r="B1433" s="10"/>
      <c r="C1433" s="10"/>
      <c r="D1433" s="10"/>
      <c r="E1433" s="10"/>
      <c r="F1433" s="10"/>
      <c r="G1433" s="10"/>
      <c r="H1433" s="10"/>
      <c r="I1433" s="1" t="str">
        <f t="shared" si="66"/>
        <v/>
      </c>
      <c r="J1433" s="1" t="s">
        <v>35</v>
      </c>
      <c r="K1433" s="1" t="str">
        <f t="shared" si="67"/>
        <v/>
      </c>
      <c r="L1433" s="1" t="str">
        <f t="shared" si="68"/>
        <v/>
      </c>
      <c r="M1433" s="1">
        <f>IF(OR(Table1[[#This Row],[Std Nom]]="",Table1[[#This Row],[Std Read]]=""),0,Table1[[#This Row],[Std Nom]]-Table1[[#This Row],[Std Read]])</f>
        <v>0</v>
      </c>
      <c r="N1433" s="1">
        <f>IF(Calculations!$F$5="ACCREDITED 17025 WITH UNCERTAINTIES",$N$10,0)</f>
        <v>0</v>
      </c>
      <c r="O1433" s="1" t="str">
        <f>IFERROR(Table1[[#This Row],[Std Nom]]-(_xlfn.XLOOKUP(Table1[[#This Row],[Manufacturer]]&amp;" "&amp;Table1[[#This Row],[Model]],Table13[MFR &amp; MDL],Table13[Tolerance % CW ],"")/100*Table1[[#This Row],[Std Nom]]),"")</f>
        <v/>
      </c>
      <c r="P1433" s="1" t="str">
        <f>IFERROR(Table1[[#This Row],[Std Nom]]+(_xlfn.XLOOKUP(Table1[[#This Row],[Manufacturer]]&amp;" "&amp;Table1[[#This Row],[Model]],Table13[MFR &amp; MDL],Table13[Tolerance % CW ],"")/100*Table1[[#This Row],[Std Nom]]),"")</f>
        <v/>
      </c>
      <c r="Q1433" s="1" t="e">
        <f>Table1[[#This Row],[High Tol]]-Table1[[#This Row],[Low Tol]]</f>
        <v>#VALUE!</v>
      </c>
      <c r="R1433" s="1">
        <f>2*Table1[[#This Row],[Std Error]]</f>
        <v>0</v>
      </c>
      <c r="S1433" s="1" t="str">
        <f>IF(Table1[[#This Row],[High Tol]]="","N/A",IFERROR(ABS(Table1[[#This Row],[Tol Span]]/Table1[[#This Row],[Error Span]]),"N/A"))</f>
        <v>N/A</v>
      </c>
      <c r="T1433" s="1" t="str">
        <f>IF(OR(Table1[[#This Row],[Low Tol]]="",Table1[[#This Row],[High Tol]]=""),"Needs Analysis",IF(Table1[[#This Row],[Ratio]]&gt;=4,"Not Significant",IF(Table1[[#This Row],[Ratio]]&gt;=2,"Semi-Significant","Significant")))</f>
        <v>Needs Analysis</v>
      </c>
      <c r="W1433" s="1">
        <f>IF(Table1[[#This Row],[Cal Type]]&lt;&gt;"ACCREDITED 17025 WITH UNCERTAINTIES",0,"")</f>
        <v>0</v>
      </c>
      <c r="X1433" s="1" t="str">
        <f>IF(Table1[[#This Row],[DUT Read]]="","N/A",Table1[[#This Row],[Std Error]]+Table1[[#This Row],[DUT Read]]+Table1[[#This Row],[DUT Ucty]])</f>
        <v>N/A</v>
      </c>
      <c r="Y1433" s="1" t="str">
        <f>IF(Table1[[#This Row],[Std Read]]="","N/A",Table1[[#This Row],[Std Read]]+Table1[[#This Row],[Std Ucty]])</f>
        <v>N/A</v>
      </c>
      <c r="Z14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3" s="1" t="str">
        <f>IF(Table1[[#This Row],[Spec Type]]="","N/A",Table1[[#This Row],[Spec Type]])</f>
        <v>±</v>
      </c>
      <c r="AC1433" s="1" t="str">
        <f>IF(Table1[[#This Row],[Spec Type2]]="N/A","N/A",IF(AND(Table1[[#This Row],[DUT Adj Read]]&gt;=Table1[[#This Row],[Low Tol]],Table1[[#This Row],[DUT Adj Read]]&lt;=Table1[[#This Row],[High Tol]]),"Pass","Fail"))</f>
        <v>Fail</v>
      </c>
      <c r="AD1433" s="1" t="str">
        <f>IF(AND(Table1[[#This Row],[Spec Type2]]="N/A",Table1[[#This Row],[DUT Adj Read]]="N/A",Table1[[#This Row],[Std Adj Read]]="N/A"),"N/A",IF(Table1[[#This Row],[DUT Adj Read]]="N/A",IF(Table1[[#This Row],[Std Adj Read]]&gt;Table1[[#This Row],[Low Tol]],"Pass","Fail"),IF(Table1[[#This Row],[DUT Adj Read]]&gt;Table1[[#This Row],[Low Tol]],"Pass","Fail")))</f>
        <v>Pass</v>
      </c>
      <c r="AE1433" s="1" t="str">
        <f>IF(AND(Table1[[#This Row],[Spec Type2]]="N/A",Table1[[#This Row],[DUT Adj Read]]="N/A",Table1[[#This Row],[Std Adj Read]]="N/A"),"N/A",IF(Table1[[#This Row],[DUT Adj Read]]="N/A",IF(Table1[[#This Row],[Std Adj Read]]&lt;Table1[[#This Row],[High Tol]],"Pass","Fail"),IF(Table1[[#This Row],[DUT Adj Read]]&lt;Table1[[#This Row],[High Tol]],"Pass","Fail")))</f>
        <v>Fail</v>
      </c>
      <c r="AF1433" s="1" t="str">
        <f>IF(AND(Table1[[#This Row],[Spec Type2]]="N/A",Table1[[#This Row],[DUT Adj Read]]="N/A",Table1[[#This Row],[Std Adj Read]]="N/A"),"N/A",IF(Table1[[#This Row],[DUT Adj Read]]="N/A",IF(Table1[[#This Row],[Std Adj Read]]&gt;=Table1[[#This Row],[Low Tol]],"Pass","Fail"),IF(Table1[[#This Row],[DUT Adj Read]]&gt;=Table1[[#This Row],[Low Tol]],"Pass","Fail")))</f>
        <v>Pass</v>
      </c>
      <c r="AG1433" s="1" t="str">
        <f>IF(AND(Table1[[#This Row],[Spec Type2]]="N/A",Table1[[#This Row],[DUT Adj Read]]="N/A",Table1[[#This Row],[Std Adj Read]]="N/A"),"N/A",IF(Table1[[#This Row],[DUT Adj Read]]="N/A",IF(Table1[[#This Row],[Std Adj Read]]&lt;=Table1[[#This Row],[High Tol]],"Pass","Fail"),IF(Table1[[#This Row],[DUT Adj Read]]&lt;=Table1[[#This Row],[High Tol]],"Pass","Fail")))</f>
        <v>Fail</v>
      </c>
      <c r="AH14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3" s="1" t="b">
        <v>0</v>
      </c>
      <c r="AN1433" s="1" t="b">
        <v>0</v>
      </c>
      <c r="AO1433" s="1" t="b">
        <v>0</v>
      </c>
    </row>
    <row r="1434" spans="1:41" x14ac:dyDescent="0.25">
      <c r="A1434" s="10"/>
      <c r="B1434" s="10"/>
      <c r="C1434" s="10"/>
      <c r="D1434" s="10"/>
      <c r="E1434" s="10"/>
      <c r="F1434" s="10"/>
      <c r="G1434" s="10"/>
      <c r="H1434" s="10"/>
      <c r="I1434" s="1" t="str">
        <f t="shared" si="66"/>
        <v/>
      </c>
      <c r="J1434" s="1" t="s">
        <v>35</v>
      </c>
      <c r="K1434" s="1" t="str">
        <f t="shared" si="67"/>
        <v/>
      </c>
      <c r="L1434" s="1" t="str">
        <f t="shared" si="68"/>
        <v/>
      </c>
      <c r="M1434" s="1">
        <f>IF(OR(Table1[[#This Row],[Std Nom]]="",Table1[[#This Row],[Std Read]]=""),0,Table1[[#This Row],[Std Nom]]-Table1[[#This Row],[Std Read]])</f>
        <v>0</v>
      </c>
      <c r="N1434" s="1">
        <f>IF(Calculations!$F$5="ACCREDITED 17025 WITH UNCERTAINTIES",$N$10,0)</f>
        <v>0</v>
      </c>
      <c r="O1434" s="1" t="str">
        <f>IFERROR(Table1[[#This Row],[Std Nom]]-(_xlfn.XLOOKUP(Table1[[#This Row],[Manufacturer]]&amp;" "&amp;Table1[[#This Row],[Model]],Table13[MFR &amp; MDL],Table13[Tolerance % CW ],"")/100*Table1[[#This Row],[Std Nom]]),"")</f>
        <v/>
      </c>
      <c r="P1434" s="1" t="str">
        <f>IFERROR(Table1[[#This Row],[Std Nom]]+(_xlfn.XLOOKUP(Table1[[#This Row],[Manufacturer]]&amp;" "&amp;Table1[[#This Row],[Model]],Table13[MFR &amp; MDL],Table13[Tolerance % CW ],"")/100*Table1[[#This Row],[Std Nom]]),"")</f>
        <v/>
      </c>
      <c r="Q1434" s="1" t="e">
        <f>Table1[[#This Row],[High Tol]]-Table1[[#This Row],[Low Tol]]</f>
        <v>#VALUE!</v>
      </c>
      <c r="R1434" s="1">
        <f>2*Table1[[#This Row],[Std Error]]</f>
        <v>0</v>
      </c>
      <c r="S1434" s="1" t="str">
        <f>IF(Table1[[#This Row],[High Tol]]="","N/A",IFERROR(ABS(Table1[[#This Row],[Tol Span]]/Table1[[#This Row],[Error Span]]),"N/A"))</f>
        <v>N/A</v>
      </c>
      <c r="T1434" s="1" t="str">
        <f>IF(OR(Table1[[#This Row],[Low Tol]]="",Table1[[#This Row],[High Tol]]=""),"Needs Analysis",IF(Table1[[#This Row],[Ratio]]&gt;=4,"Not Significant",IF(Table1[[#This Row],[Ratio]]&gt;=2,"Semi-Significant","Significant")))</f>
        <v>Needs Analysis</v>
      </c>
      <c r="W1434" s="1">
        <f>IF(Table1[[#This Row],[Cal Type]]&lt;&gt;"ACCREDITED 17025 WITH UNCERTAINTIES",0,"")</f>
        <v>0</v>
      </c>
      <c r="X1434" s="1" t="str">
        <f>IF(Table1[[#This Row],[DUT Read]]="","N/A",Table1[[#This Row],[Std Error]]+Table1[[#This Row],[DUT Read]]+Table1[[#This Row],[DUT Ucty]])</f>
        <v>N/A</v>
      </c>
      <c r="Y1434" s="1" t="str">
        <f>IF(Table1[[#This Row],[Std Read]]="","N/A",Table1[[#This Row],[Std Read]]+Table1[[#This Row],[Std Ucty]])</f>
        <v>N/A</v>
      </c>
      <c r="Z14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4" s="1" t="str">
        <f>IF(Table1[[#This Row],[Spec Type]]="","N/A",Table1[[#This Row],[Spec Type]])</f>
        <v>±</v>
      </c>
      <c r="AC1434" s="1" t="str">
        <f>IF(Table1[[#This Row],[Spec Type2]]="N/A","N/A",IF(AND(Table1[[#This Row],[DUT Adj Read]]&gt;=Table1[[#This Row],[Low Tol]],Table1[[#This Row],[DUT Adj Read]]&lt;=Table1[[#This Row],[High Tol]]),"Pass","Fail"))</f>
        <v>Fail</v>
      </c>
      <c r="AD1434" s="1" t="str">
        <f>IF(AND(Table1[[#This Row],[Spec Type2]]="N/A",Table1[[#This Row],[DUT Adj Read]]="N/A",Table1[[#This Row],[Std Adj Read]]="N/A"),"N/A",IF(Table1[[#This Row],[DUT Adj Read]]="N/A",IF(Table1[[#This Row],[Std Adj Read]]&gt;Table1[[#This Row],[Low Tol]],"Pass","Fail"),IF(Table1[[#This Row],[DUT Adj Read]]&gt;Table1[[#This Row],[Low Tol]],"Pass","Fail")))</f>
        <v>Pass</v>
      </c>
      <c r="AE1434" s="1" t="str">
        <f>IF(AND(Table1[[#This Row],[Spec Type2]]="N/A",Table1[[#This Row],[DUT Adj Read]]="N/A",Table1[[#This Row],[Std Adj Read]]="N/A"),"N/A",IF(Table1[[#This Row],[DUT Adj Read]]="N/A",IF(Table1[[#This Row],[Std Adj Read]]&lt;Table1[[#This Row],[High Tol]],"Pass","Fail"),IF(Table1[[#This Row],[DUT Adj Read]]&lt;Table1[[#This Row],[High Tol]],"Pass","Fail")))</f>
        <v>Fail</v>
      </c>
      <c r="AF1434" s="1" t="str">
        <f>IF(AND(Table1[[#This Row],[Spec Type2]]="N/A",Table1[[#This Row],[DUT Adj Read]]="N/A",Table1[[#This Row],[Std Adj Read]]="N/A"),"N/A",IF(Table1[[#This Row],[DUT Adj Read]]="N/A",IF(Table1[[#This Row],[Std Adj Read]]&gt;=Table1[[#This Row],[Low Tol]],"Pass","Fail"),IF(Table1[[#This Row],[DUT Adj Read]]&gt;=Table1[[#This Row],[Low Tol]],"Pass","Fail")))</f>
        <v>Pass</v>
      </c>
      <c r="AG1434" s="1" t="str">
        <f>IF(AND(Table1[[#This Row],[Spec Type2]]="N/A",Table1[[#This Row],[DUT Adj Read]]="N/A",Table1[[#This Row],[Std Adj Read]]="N/A"),"N/A",IF(Table1[[#This Row],[DUT Adj Read]]="N/A",IF(Table1[[#This Row],[Std Adj Read]]&lt;=Table1[[#This Row],[High Tol]],"Pass","Fail"),IF(Table1[[#This Row],[DUT Adj Read]]&lt;=Table1[[#This Row],[High Tol]],"Pass","Fail")))</f>
        <v>Fail</v>
      </c>
      <c r="AH14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4" s="1" t="b">
        <v>0</v>
      </c>
      <c r="AN1434" s="1" t="b">
        <v>0</v>
      </c>
      <c r="AO1434" s="1" t="b">
        <v>0</v>
      </c>
    </row>
    <row r="1435" spans="1:41" x14ac:dyDescent="0.25">
      <c r="A1435" s="10"/>
      <c r="B1435" s="10"/>
      <c r="C1435" s="10"/>
      <c r="D1435" s="10"/>
      <c r="E1435" s="10"/>
      <c r="F1435" s="10"/>
      <c r="G1435" s="10"/>
      <c r="H1435" s="10"/>
      <c r="I1435" s="1" t="str">
        <f t="shared" si="66"/>
        <v/>
      </c>
      <c r="J1435" s="1" t="s">
        <v>35</v>
      </c>
      <c r="K1435" s="1" t="str">
        <f t="shared" si="67"/>
        <v/>
      </c>
      <c r="L1435" s="1" t="str">
        <f t="shared" si="68"/>
        <v/>
      </c>
      <c r="M1435" s="1">
        <f>IF(OR(Table1[[#This Row],[Std Nom]]="",Table1[[#This Row],[Std Read]]=""),0,Table1[[#This Row],[Std Nom]]-Table1[[#This Row],[Std Read]])</f>
        <v>0</v>
      </c>
      <c r="N1435" s="1">
        <f>IF(Calculations!$F$5="ACCREDITED 17025 WITH UNCERTAINTIES",$N$10,0)</f>
        <v>0</v>
      </c>
      <c r="O1435" s="1" t="str">
        <f>IFERROR(Table1[[#This Row],[Std Nom]]-(_xlfn.XLOOKUP(Table1[[#This Row],[Manufacturer]]&amp;" "&amp;Table1[[#This Row],[Model]],Table13[MFR &amp; MDL],Table13[Tolerance % CW ],"")/100*Table1[[#This Row],[Std Nom]]),"")</f>
        <v/>
      </c>
      <c r="P1435" s="1" t="str">
        <f>IFERROR(Table1[[#This Row],[Std Nom]]+(_xlfn.XLOOKUP(Table1[[#This Row],[Manufacturer]]&amp;" "&amp;Table1[[#This Row],[Model]],Table13[MFR &amp; MDL],Table13[Tolerance % CW ],"")/100*Table1[[#This Row],[Std Nom]]),"")</f>
        <v/>
      </c>
      <c r="Q1435" s="1" t="e">
        <f>Table1[[#This Row],[High Tol]]-Table1[[#This Row],[Low Tol]]</f>
        <v>#VALUE!</v>
      </c>
      <c r="R1435" s="1">
        <f>2*Table1[[#This Row],[Std Error]]</f>
        <v>0</v>
      </c>
      <c r="S1435" s="1" t="str">
        <f>IF(Table1[[#This Row],[High Tol]]="","N/A",IFERROR(ABS(Table1[[#This Row],[Tol Span]]/Table1[[#This Row],[Error Span]]),"N/A"))</f>
        <v>N/A</v>
      </c>
      <c r="T1435" s="1" t="str">
        <f>IF(OR(Table1[[#This Row],[Low Tol]]="",Table1[[#This Row],[High Tol]]=""),"Needs Analysis",IF(Table1[[#This Row],[Ratio]]&gt;=4,"Not Significant",IF(Table1[[#This Row],[Ratio]]&gt;=2,"Semi-Significant","Significant")))</f>
        <v>Needs Analysis</v>
      </c>
      <c r="W1435" s="1">
        <f>IF(Table1[[#This Row],[Cal Type]]&lt;&gt;"ACCREDITED 17025 WITH UNCERTAINTIES",0,"")</f>
        <v>0</v>
      </c>
      <c r="X1435" s="1" t="str">
        <f>IF(Table1[[#This Row],[DUT Read]]="","N/A",Table1[[#This Row],[Std Error]]+Table1[[#This Row],[DUT Read]]+Table1[[#This Row],[DUT Ucty]])</f>
        <v>N/A</v>
      </c>
      <c r="Y1435" s="1" t="str">
        <f>IF(Table1[[#This Row],[Std Read]]="","N/A",Table1[[#This Row],[Std Read]]+Table1[[#This Row],[Std Ucty]])</f>
        <v>N/A</v>
      </c>
      <c r="Z14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5" s="1" t="str">
        <f>IF(Table1[[#This Row],[Spec Type]]="","N/A",Table1[[#This Row],[Spec Type]])</f>
        <v>±</v>
      </c>
      <c r="AC1435" s="1" t="str">
        <f>IF(Table1[[#This Row],[Spec Type2]]="N/A","N/A",IF(AND(Table1[[#This Row],[DUT Adj Read]]&gt;=Table1[[#This Row],[Low Tol]],Table1[[#This Row],[DUT Adj Read]]&lt;=Table1[[#This Row],[High Tol]]),"Pass","Fail"))</f>
        <v>Fail</v>
      </c>
      <c r="AD1435" s="1" t="str">
        <f>IF(AND(Table1[[#This Row],[Spec Type2]]="N/A",Table1[[#This Row],[DUT Adj Read]]="N/A",Table1[[#This Row],[Std Adj Read]]="N/A"),"N/A",IF(Table1[[#This Row],[DUT Adj Read]]="N/A",IF(Table1[[#This Row],[Std Adj Read]]&gt;Table1[[#This Row],[Low Tol]],"Pass","Fail"),IF(Table1[[#This Row],[DUT Adj Read]]&gt;Table1[[#This Row],[Low Tol]],"Pass","Fail")))</f>
        <v>Pass</v>
      </c>
      <c r="AE1435" s="1" t="str">
        <f>IF(AND(Table1[[#This Row],[Spec Type2]]="N/A",Table1[[#This Row],[DUT Adj Read]]="N/A",Table1[[#This Row],[Std Adj Read]]="N/A"),"N/A",IF(Table1[[#This Row],[DUT Adj Read]]="N/A",IF(Table1[[#This Row],[Std Adj Read]]&lt;Table1[[#This Row],[High Tol]],"Pass","Fail"),IF(Table1[[#This Row],[DUT Adj Read]]&lt;Table1[[#This Row],[High Tol]],"Pass","Fail")))</f>
        <v>Fail</v>
      </c>
      <c r="AF1435" s="1" t="str">
        <f>IF(AND(Table1[[#This Row],[Spec Type2]]="N/A",Table1[[#This Row],[DUT Adj Read]]="N/A",Table1[[#This Row],[Std Adj Read]]="N/A"),"N/A",IF(Table1[[#This Row],[DUT Adj Read]]="N/A",IF(Table1[[#This Row],[Std Adj Read]]&gt;=Table1[[#This Row],[Low Tol]],"Pass","Fail"),IF(Table1[[#This Row],[DUT Adj Read]]&gt;=Table1[[#This Row],[Low Tol]],"Pass","Fail")))</f>
        <v>Pass</v>
      </c>
      <c r="AG1435" s="1" t="str">
        <f>IF(AND(Table1[[#This Row],[Spec Type2]]="N/A",Table1[[#This Row],[DUT Adj Read]]="N/A",Table1[[#This Row],[Std Adj Read]]="N/A"),"N/A",IF(Table1[[#This Row],[DUT Adj Read]]="N/A",IF(Table1[[#This Row],[Std Adj Read]]&lt;=Table1[[#This Row],[High Tol]],"Pass","Fail"),IF(Table1[[#This Row],[DUT Adj Read]]&lt;=Table1[[#This Row],[High Tol]],"Pass","Fail")))</f>
        <v>Fail</v>
      </c>
      <c r="AH14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5" s="1" t="b">
        <v>0</v>
      </c>
      <c r="AN1435" s="1" t="b">
        <v>0</v>
      </c>
      <c r="AO1435" s="1" t="b">
        <v>0</v>
      </c>
    </row>
    <row r="1436" spans="1:41" x14ac:dyDescent="0.25">
      <c r="A1436" s="10"/>
      <c r="B1436" s="10"/>
      <c r="C1436" s="10"/>
      <c r="D1436" s="10"/>
      <c r="E1436" s="10"/>
      <c r="F1436" s="10"/>
      <c r="G1436" s="10"/>
      <c r="H1436" s="10"/>
      <c r="I1436" s="1" t="str">
        <f t="shared" si="66"/>
        <v/>
      </c>
      <c r="J1436" s="1" t="s">
        <v>35</v>
      </c>
      <c r="K1436" s="1" t="str">
        <f t="shared" si="67"/>
        <v/>
      </c>
      <c r="L1436" s="1" t="str">
        <f t="shared" si="68"/>
        <v/>
      </c>
      <c r="M1436" s="1">
        <f>IF(OR(Table1[[#This Row],[Std Nom]]="",Table1[[#This Row],[Std Read]]=""),0,Table1[[#This Row],[Std Nom]]-Table1[[#This Row],[Std Read]])</f>
        <v>0</v>
      </c>
      <c r="N1436" s="1">
        <f>IF(Calculations!$F$5="ACCREDITED 17025 WITH UNCERTAINTIES",$N$10,0)</f>
        <v>0</v>
      </c>
      <c r="O1436" s="1" t="str">
        <f>IFERROR(Table1[[#This Row],[Std Nom]]-(_xlfn.XLOOKUP(Table1[[#This Row],[Manufacturer]]&amp;" "&amp;Table1[[#This Row],[Model]],Table13[MFR &amp; MDL],Table13[Tolerance % CW ],"")/100*Table1[[#This Row],[Std Nom]]),"")</f>
        <v/>
      </c>
      <c r="P1436" s="1" t="str">
        <f>IFERROR(Table1[[#This Row],[Std Nom]]+(_xlfn.XLOOKUP(Table1[[#This Row],[Manufacturer]]&amp;" "&amp;Table1[[#This Row],[Model]],Table13[MFR &amp; MDL],Table13[Tolerance % CW ],"")/100*Table1[[#This Row],[Std Nom]]),"")</f>
        <v/>
      </c>
      <c r="Q1436" s="1" t="e">
        <f>Table1[[#This Row],[High Tol]]-Table1[[#This Row],[Low Tol]]</f>
        <v>#VALUE!</v>
      </c>
      <c r="R1436" s="1">
        <f>2*Table1[[#This Row],[Std Error]]</f>
        <v>0</v>
      </c>
      <c r="S1436" s="1" t="str">
        <f>IF(Table1[[#This Row],[High Tol]]="","N/A",IFERROR(ABS(Table1[[#This Row],[Tol Span]]/Table1[[#This Row],[Error Span]]),"N/A"))</f>
        <v>N/A</v>
      </c>
      <c r="T1436" s="1" t="str">
        <f>IF(OR(Table1[[#This Row],[Low Tol]]="",Table1[[#This Row],[High Tol]]=""),"Needs Analysis",IF(Table1[[#This Row],[Ratio]]&gt;=4,"Not Significant",IF(Table1[[#This Row],[Ratio]]&gt;=2,"Semi-Significant","Significant")))</f>
        <v>Needs Analysis</v>
      </c>
      <c r="W1436" s="1">
        <f>IF(Table1[[#This Row],[Cal Type]]&lt;&gt;"ACCREDITED 17025 WITH UNCERTAINTIES",0,"")</f>
        <v>0</v>
      </c>
      <c r="X1436" s="1" t="str">
        <f>IF(Table1[[#This Row],[DUT Read]]="","N/A",Table1[[#This Row],[Std Error]]+Table1[[#This Row],[DUT Read]]+Table1[[#This Row],[DUT Ucty]])</f>
        <v>N/A</v>
      </c>
      <c r="Y1436" s="1" t="str">
        <f>IF(Table1[[#This Row],[Std Read]]="","N/A",Table1[[#This Row],[Std Read]]+Table1[[#This Row],[Std Ucty]])</f>
        <v>N/A</v>
      </c>
      <c r="Z14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6" s="1" t="str">
        <f>IF(Table1[[#This Row],[Spec Type]]="","N/A",Table1[[#This Row],[Spec Type]])</f>
        <v>±</v>
      </c>
      <c r="AC1436" s="1" t="str">
        <f>IF(Table1[[#This Row],[Spec Type2]]="N/A","N/A",IF(AND(Table1[[#This Row],[DUT Adj Read]]&gt;=Table1[[#This Row],[Low Tol]],Table1[[#This Row],[DUT Adj Read]]&lt;=Table1[[#This Row],[High Tol]]),"Pass","Fail"))</f>
        <v>Fail</v>
      </c>
      <c r="AD1436" s="1" t="str">
        <f>IF(AND(Table1[[#This Row],[Spec Type2]]="N/A",Table1[[#This Row],[DUT Adj Read]]="N/A",Table1[[#This Row],[Std Adj Read]]="N/A"),"N/A",IF(Table1[[#This Row],[DUT Adj Read]]="N/A",IF(Table1[[#This Row],[Std Adj Read]]&gt;Table1[[#This Row],[Low Tol]],"Pass","Fail"),IF(Table1[[#This Row],[DUT Adj Read]]&gt;Table1[[#This Row],[Low Tol]],"Pass","Fail")))</f>
        <v>Pass</v>
      </c>
      <c r="AE1436" s="1" t="str">
        <f>IF(AND(Table1[[#This Row],[Spec Type2]]="N/A",Table1[[#This Row],[DUT Adj Read]]="N/A",Table1[[#This Row],[Std Adj Read]]="N/A"),"N/A",IF(Table1[[#This Row],[DUT Adj Read]]="N/A",IF(Table1[[#This Row],[Std Adj Read]]&lt;Table1[[#This Row],[High Tol]],"Pass","Fail"),IF(Table1[[#This Row],[DUT Adj Read]]&lt;Table1[[#This Row],[High Tol]],"Pass","Fail")))</f>
        <v>Fail</v>
      </c>
      <c r="AF1436" s="1" t="str">
        <f>IF(AND(Table1[[#This Row],[Spec Type2]]="N/A",Table1[[#This Row],[DUT Adj Read]]="N/A",Table1[[#This Row],[Std Adj Read]]="N/A"),"N/A",IF(Table1[[#This Row],[DUT Adj Read]]="N/A",IF(Table1[[#This Row],[Std Adj Read]]&gt;=Table1[[#This Row],[Low Tol]],"Pass","Fail"),IF(Table1[[#This Row],[DUT Adj Read]]&gt;=Table1[[#This Row],[Low Tol]],"Pass","Fail")))</f>
        <v>Pass</v>
      </c>
      <c r="AG1436" s="1" t="str">
        <f>IF(AND(Table1[[#This Row],[Spec Type2]]="N/A",Table1[[#This Row],[DUT Adj Read]]="N/A",Table1[[#This Row],[Std Adj Read]]="N/A"),"N/A",IF(Table1[[#This Row],[DUT Adj Read]]="N/A",IF(Table1[[#This Row],[Std Adj Read]]&lt;=Table1[[#This Row],[High Tol]],"Pass","Fail"),IF(Table1[[#This Row],[DUT Adj Read]]&lt;=Table1[[#This Row],[High Tol]],"Pass","Fail")))</f>
        <v>Fail</v>
      </c>
      <c r="AH14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6" s="1" t="b">
        <v>0</v>
      </c>
      <c r="AN1436" s="1" t="b">
        <v>0</v>
      </c>
      <c r="AO1436" s="1" t="b">
        <v>0</v>
      </c>
    </row>
    <row r="1437" spans="1:41" x14ac:dyDescent="0.25">
      <c r="A1437" s="10"/>
      <c r="B1437" s="10"/>
      <c r="C1437" s="10"/>
      <c r="D1437" s="10"/>
      <c r="E1437" s="10"/>
      <c r="F1437" s="10"/>
      <c r="G1437" s="10"/>
      <c r="H1437" s="10"/>
      <c r="I1437" s="1" t="str">
        <f t="shared" si="66"/>
        <v/>
      </c>
      <c r="J1437" s="1" t="s">
        <v>35</v>
      </c>
      <c r="K1437" s="1" t="str">
        <f t="shared" si="67"/>
        <v/>
      </c>
      <c r="L1437" s="1" t="str">
        <f t="shared" si="68"/>
        <v/>
      </c>
      <c r="M1437" s="1">
        <f>IF(OR(Table1[[#This Row],[Std Nom]]="",Table1[[#This Row],[Std Read]]=""),0,Table1[[#This Row],[Std Nom]]-Table1[[#This Row],[Std Read]])</f>
        <v>0</v>
      </c>
      <c r="N1437" s="1">
        <f>IF(Calculations!$F$5="ACCREDITED 17025 WITH UNCERTAINTIES",$N$10,0)</f>
        <v>0</v>
      </c>
      <c r="O1437" s="1" t="str">
        <f>IFERROR(Table1[[#This Row],[Std Nom]]-(_xlfn.XLOOKUP(Table1[[#This Row],[Manufacturer]]&amp;" "&amp;Table1[[#This Row],[Model]],Table13[MFR &amp; MDL],Table13[Tolerance % CW ],"")/100*Table1[[#This Row],[Std Nom]]),"")</f>
        <v/>
      </c>
      <c r="P1437" s="1" t="str">
        <f>IFERROR(Table1[[#This Row],[Std Nom]]+(_xlfn.XLOOKUP(Table1[[#This Row],[Manufacturer]]&amp;" "&amp;Table1[[#This Row],[Model]],Table13[MFR &amp; MDL],Table13[Tolerance % CW ],"")/100*Table1[[#This Row],[Std Nom]]),"")</f>
        <v/>
      </c>
      <c r="Q1437" s="1" t="e">
        <f>Table1[[#This Row],[High Tol]]-Table1[[#This Row],[Low Tol]]</f>
        <v>#VALUE!</v>
      </c>
      <c r="R1437" s="1">
        <f>2*Table1[[#This Row],[Std Error]]</f>
        <v>0</v>
      </c>
      <c r="S1437" s="1" t="str">
        <f>IF(Table1[[#This Row],[High Tol]]="","N/A",IFERROR(ABS(Table1[[#This Row],[Tol Span]]/Table1[[#This Row],[Error Span]]),"N/A"))</f>
        <v>N/A</v>
      </c>
      <c r="T1437" s="1" t="str">
        <f>IF(OR(Table1[[#This Row],[Low Tol]]="",Table1[[#This Row],[High Tol]]=""),"Needs Analysis",IF(Table1[[#This Row],[Ratio]]&gt;=4,"Not Significant",IF(Table1[[#This Row],[Ratio]]&gt;=2,"Semi-Significant","Significant")))</f>
        <v>Needs Analysis</v>
      </c>
      <c r="W1437" s="1">
        <f>IF(Table1[[#This Row],[Cal Type]]&lt;&gt;"ACCREDITED 17025 WITH UNCERTAINTIES",0,"")</f>
        <v>0</v>
      </c>
      <c r="X1437" s="1" t="str">
        <f>IF(Table1[[#This Row],[DUT Read]]="","N/A",Table1[[#This Row],[Std Error]]+Table1[[#This Row],[DUT Read]]+Table1[[#This Row],[DUT Ucty]])</f>
        <v>N/A</v>
      </c>
      <c r="Y1437" s="1" t="str">
        <f>IF(Table1[[#This Row],[Std Read]]="","N/A",Table1[[#This Row],[Std Read]]+Table1[[#This Row],[Std Ucty]])</f>
        <v>N/A</v>
      </c>
      <c r="Z14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7" s="1" t="str">
        <f>IF(Table1[[#This Row],[Spec Type]]="","N/A",Table1[[#This Row],[Spec Type]])</f>
        <v>±</v>
      </c>
      <c r="AC1437" s="1" t="str">
        <f>IF(Table1[[#This Row],[Spec Type2]]="N/A","N/A",IF(AND(Table1[[#This Row],[DUT Adj Read]]&gt;=Table1[[#This Row],[Low Tol]],Table1[[#This Row],[DUT Adj Read]]&lt;=Table1[[#This Row],[High Tol]]),"Pass","Fail"))</f>
        <v>Fail</v>
      </c>
      <c r="AD1437" s="1" t="str">
        <f>IF(AND(Table1[[#This Row],[Spec Type2]]="N/A",Table1[[#This Row],[DUT Adj Read]]="N/A",Table1[[#This Row],[Std Adj Read]]="N/A"),"N/A",IF(Table1[[#This Row],[DUT Adj Read]]="N/A",IF(Table1[[#This Row],[Std Adj Read]]&gt;Table1[[#This Row],[Low Tol]],"Pass","Fail"),IF(Table1[[#This Row],[DUT Adj Read]]&gt;Table1[[#This Row],[Low Tol]],"Pass","Fail")))</f>
        <v>Pass</v>
      </c>
      <c r="AE1437" s="1" t="str">
        <f>IF(AND(Table1[[#This Row],[Spec Type2]]="N/A",Table1[[#This Row],[DUT Adj Read]]="N/A",Table1[[#This Row],[Std Adj Read]]="N/A"),"N/A",IF(Table1[[#This Row],[DUT Adj Read]]="N/A",IF(Table1[[#This Row],[Std Adj Read]]&lt;Table1[[#This Row],[High Tol]],"Pass","Fail"),IF(Table1[[#This Row],[DUT Adj Read]]&lt;Table1[[#This Row],[High Tol]],"Pass","Fail")))</f>
        <v>Fail</v>
      </c>
      <c r="AF1437" s="1" t="str">
        <f>IF(AND(Table1[[#This Row],[Spec Type2]]="N/A",Table1[[#This Row],[DUT Adj Read]]="N/A",Table1[[#This Row],[Std Adj Read]]="N/A"),"N/A",IF(Table1[[#This Row],[DUT Adj Read]]="N/A",IF(Table1[[#This Row],[Std Adj Read]]&gt;=Table1[[#This Row],[Low Tol]],"Pass","Fail"),IF(Table1[[#This Row],[DUT Adj Read]]&gt;=Table1[[#This Row],[Low Tol]],"Pass","Fail")))</f>
        <v>Pass</v>
      </c>
      <c r="AG1437" s="1" t="str">
        <f>IF(AND(Table1[[#This Row],[Spec Type2]]="N/A",Table1[[#This Row],[DUT Adj Read]]="N/A",Table1[[#This Row],[Std Adj Read]]="N/A"),"N/A",IF(Table1[[#This Row],[DUT Adj Read]]="N/A",IF(Table1[[#This Row],[Std Adj Read]]&lt;=Table1[[#This Row],[High Tol]],"Pass","Fail"),IF(Table1[[#This Row],[DUT Adj Read]]&lt;=Table1[[#This Row],[High Tol]],"Pass","Fail")))</f>
        <v>Fail</v>
      </c>
      <c r="AH14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7" s="1" t="b">
        <v>0</v>
      </c>
      <c r="AN1437" s="1" t="b">
        <v>0</v>
      </c>
      <c r="AO1437" s="1" t="b">
        <v>0</v>
      </c>
    </row>
    <row r="1438" spans="1:41" x14ac:dyDescent="0.25">
      <c r="A1438" s="10"/>
      <c r="B1438" s="10"/>
      <c r="C1438" s="10"/>
      <c r="D1438" s="10"/>
      <c r="E1438" s="10"/>
      <c r="F1438" s="10"/>
      <c r="G1438" s="10"/>
      <c r="H1438" s="10"/>
      <c r="I1438" s="1" t="str">
        <f t="shared" si="66"/>
        <v/>
      </c>
      <c r="J1438" s="1" t="s">
        <v>35</v>
      </c>
      <c r="K1438" s="1" t="str">
        <f t="shared" si="67"/>
        <v/>
      </c>
      <c r="L1438" s="1" t="str">
        <f t="shared" si="68"/>
        <v/>
      </c>
      <c r="M1438" s="1">
        <f>IF(OR(Table1[[#This Row],[Std Nom]]="",Table1[[#This Row],[Std Read]]=""),0,Table1[[#This Row],[Std Nom]]-Table1[[#This Row],[Std Read]])</f>
        <v>0</v>
      </c>
      <c r="N1438" s="1">
        <f>IF(Calculations!$F$5="ACCREDITED 17025 WITH UNCERTAINTIES",$N$10,0)</f>
        <v>0</v>
      </c>
      <c r="O1438" s="1" t="str">
        <f>IFERROR(Table1[[#This Row],[Std Nom]]-(_xlfn.XLOOKUP(Table1[[#This Row],[Manufacturer]]&amp;" "&amp;Table1[[#This Row],[Model]],Table13[MFR &amp; MDL],Table13[Tolerance % CW ],"")/100*Table1[[#This Row],[Std Nom]]),"")</f>
        <v/>
      </c>
      <c r="P1438" s="1" t="str">
        <f>IFERROR(Table1[[#This Row],[Std Nom]]+(_xlfn.XLOOKUP(Table1[[#This Row],[Manufacturer]]&amp;" "&amp;Table1[[#This Row],[Model]],Table13[MFR &amp; MDL],Table13[Tolerance % CW ],"")/100*Table1[[#This Row],[Std Nom]]),"")</f>
        <v/>
      </c>
      <c r="Q1438" s="1" t="e">
        <f>Table1[[#This Row],[High Tol]]-Table1[[#This Row],[Low Tol]]</f>
        <v>#VALUE!</v>
      </c>
      <c r="R1438" s="1">
        <f>2*Table1[[#This Row],[Std Error]]</f>
        <v>0</v>
      </c>
      <c r="S1438" s="1" t="str">
        <f>IF(Table1[[#This Row],[High Tol]]="","N/A",IFERROR(ABS(Table1[[#This Row],[Tol Span]]/Table1[[#This Row],[Error Span]]),"N/A"))</f>
        <v>N/A</v>
      </c>
      <c r="T1438" s="1" t="str">
        <f>IF(OR(Table1[[#This Row],[Low Tol]]="",Table1[[#This Row],[High Tol]]=""),"Needs Analysis",IF(Table1[[#This Row],[Ratio]]&gt;=4,"Not Significant",IF(Table1[[#This Row],[Ratio]]&gt;=2,"Semi-Significant","Significant")))</f>
        <v>Needs Analysis</v>
      </c>
      <c r="W1438" s="1">
        <f>IF(Table1[[#This Row],[Cal Type]]&lt;&gt;"ACCREDITED 17025 WITH UNCERTAINTIES",0,"")</f>
        <v>0</v>
      </c>
      <c r="X1438" s="1" t="str">
        <f>IF(Table1[[#This Row],[DUT Read]]="","N/A",Table1[[#This Row],[Std Error]]+Table1[[#This Row],[DUT Read]]+Table1[[#This Row],[DUT Ucty]])</f>
        <v>N/A</v>
      </c>
      <c r="Y1438" s="1" t="str">
        <f>IF(Table1[[#This Row],[Std Read]]="","N/A",Table1[[#This Row],[Std Read]]+Table1[[#This Row],[Std Ucty]])</f>
        <v>N/A</v>
      </c>
      <c r="Z14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8" s="1" t="str">
        <f>IF(Table1[[#This Row],[Spec Type]]="","N/A",Table1[[#This Row],[Spec Type]])</f>
        <v>±</v>
      </c>
      <c r="AC1438" s="1" t="str">
        <f>IF(Table1[[#This Row],[Spec Type2]]="N/A","N/A",IF(AND(Table1[[#This Row],[DUT Adj Read]]&gt;=Table1[[#This Row],[Low Tol]],Table1[[#This Row],[DUT Adj Read]]&lt;=Table1[[#This Row],[High Tol]]),"Pass","Fail"))</f>
        <v>Fail</v>
      </c>
      <c r="AD1438" s="1" t="str">
        <f>IF(AND(Table1[[#This Row],[Spec Type2]]="N/A",Table1[[#This Row],[DUT Adj Read]]="N/A",Table1[[#This Row],[Std Adj Read]]="N/A"),"N/A",IF(Table1[[#This Row],[DUT Adj Read]]="N/A",IF(Table1[[#This Row],[Std Adj Read]]&gt;Table1[[#This Row],[Low Tol]],"Pass","Fail"),IF(Table1[[#This Row],[DUT Adj Read]]&gt;Table1[[#This Row],[Low Tol]],"Pass","Fail")))</f>
        <v>Pass</v>
      </c>
      <c r="AE1438" s="1" t="str">
        <f>IF(AND(Table1[[#This Row],[Spec Type2]]="N/A",Table1[[#This Row],[DUT Adj Read]]="N/A",Table1[[#This Row],[Std Adj Read]]="N/A"),"N/A",IF(Table1[[#This Row],[DUT Adj Read]]="N/A",IF(Table1[[#This Row],[Std Adj Read]]&lt;Table1[[#This Row],[High Tol]],"Pass","Fail"),IF(Table1[[#This Row],[DUT Adj Read]]&lt;Table1[[#This Row],[High Tol]],"Pass","Fail")))</f>
        <v>Fail</v>
      </c>
      <c r="AF1438" s="1" t="str">
        <f>IF(AND(Table1[[#This Row],[Spec Type2]]="N/A",Table1[[#This Row],[DUT Adj Read]]="N/A",Table1[[#This Row],[Std Adj Read]]="N/A"),"N/A",IF(Table1[[#This Row],[DUT Adj Read]]="N/A",IF(Table1[[#This Row],[Std Adj Read]]&gt;=Table1[[#This Row],[Low Tol]],"Pass","Fail"),IF(Table1[[#This Row],[DUT Adj Read]]&gt;=Table1[[#This Row],[Low Tol]],"Pass","Fail")))</f>
        <v>Pass</v>
      </c>
      <c r="AG1438" s="1" t="str">
        <f>IF(AND(Table1[[#This Row],[Spec Type2]]="N/A",Table1[[#This Row],[DUT Adj Read]]="N/A",Table1[[#This Row],[Std Adj Read]]="N/A"),"N/A",IF(Table1[[#This Row],[DUT Adj Read]]="N/A",IF(Table1[[#This Row],[Std Adj Read]]&lt;=Table1[[#This Row],[High Tol]],"Pass","Fail"),IF(Table1[[#This Row],[DUT Adj Read]]&lt;=Table1[[#This Row],[High Tol]],"Pass","Fail")))</f>
        <v>Fail</v>
      </c>
      <c r="AH14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8" s="1" t="b">
        <v>0</v>
      </c>
      <c r="AN1438" s="1" t="b">
        <v>0</v>
      </c>
      <c r="AO1438" s="1" t="b">
        <v>0</v>
      </c>
    </row>
    <row r="1439" spans="1:41" x14ac:dyDescent="0.25">
      <c r="A1439" s="10"/>
      <c r="B1439" s="10"/>
      <c r="C1439" s="10"/>
      <c r="D1439" s="10"/>
      <c r="E1439" s="10"/>
      <c r="F1439" s="10"/>
      <c r="G1439" s="10"/>
      <c r="H1439" s="10"/>
      <c r="I1439" s="1" t="str">
        <f t="shared" si="66"/>
        <v/>
      </c>
      <c r="J1439" s="1" t="s">
        <v>35</v>
      </c>
      <c r="K1439" s="1" t="str">
        <f t="shared" si="67"/>
        <v/>
      </c>
      <c r="L1439" s="1" t="str">
        <f t="shared" si="68"/>
        <v/>
      </c>
      <c r="M1439" s="1">
        <f>IF(OR(Table1[[#This Row],[Std Nom]]="",Table1[[#This Row],[Std Read]]=""),0,Table1[[#This Row],[Std Nom]]-Table1[[#This Row],[Std Read]])</f>
        <v>0</v>
      </c>
      <c r="N1439" s="1">
        <f>IF(Calculations!$F$5="ACCREDITED 17025 WITH UNCERTAINTIES",$N$10,0)</f>
        <v>0</v>
      </c>
      <c r="O1439" s="1" t="str">
        <f>IFERROR(Table1[[#This Row],[Std Nom]]-(_xlfn.XLOOKUP(Table1[[#This Row],[Manufacturer]]&amp;" "&amp;Table1[[#This Row],[Model]],Table13[MFR &amp; MDL],Table13[Tolerance % CW ],"")/100*Table1[[#This Row],[Std Nom]]),"")</f>
        <v/>
      </c>
      <c r="P1439" s="1" t="str">
        <f>IFERROR(Table1[[#This Row],[Std Nom]]+(_xlfn.XLOOKUP(Table1[[#This Row],[Manufacturer]]&amp;" "&amp;Table1[[#This Row],[Model]],Table13[MFR &amp; MDL],Table13[Tolerance % CW ],"")/100*Table1[[#This Row],[Std Nom]]),"")</f>
        <v/>
      </c>
      <c r="Q1439" s="1" t="e">
        <f>Table1[[#This Row],[High Tol]]-Table1[[#This Row],[Low Tol]]</f>
        <v>#VALUE!</v>
      </c>
      <c r="R1439" s="1">
        <f>2*Table1[[#This Row],[Std Error]]</f>
        <v>0</v>
      </c>
      <c r="S1439" s="1" t="str">
        <f>IF(Table1[[#This Row],[High Tol]]="","N/A",IFERROR(ABS(Table1[[#This Row],[Tol Span]]/Table1[[#This Row],[Error Span]]),"N/A"))</f>
        <v>N/A</v>
      </c>
      <c r="T1439" s="1" t="str">
        <f>IF(OR(Table1[[#This Row],[Low Tol]]="",Table1[[#This Row],[High Tol]]=""),"Needs Analysis",IF(Table1[[#This Row],[Ratio]]&gt;=4,"Not Significant",IF(Table1[[#This Row],[Ratio]]&gt;=2,"Semi-Significant","Significant")))</f>
        <v>Needs Analysis</v>
      </c>
      <c r="W1439" s="1">
        <f>IF(Table1[[#This Row],[Cal Type]]&lt;&gt;"ACCREDITED 17025 WITH UNCERTAINTIES",0,"")</f>
        <v>0</v>
      </c>
      <c r="X1439" s="1" t="str">
        <f>IF(Table1[[#This Row],[DUT Read]]="","N/A",Table1[[#This Row],[Std Error]]+Table1[[#This Row],[DUT Read]]+Table1[[#This Row],[DUT Ucty]])</f>
        <v>N/A</v>
      </c>
      <c r="Y1439" s="1" t="str">
        <f>IF(Table1[[#This Row],[Std Read]]="","N/A",Table1[[#This Row],[Std Read]]+Table1[[#This Row],[Std Ucty]])</f>
        <v>N/A</v>
      </c>
      <c r="Z14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9" s="1" t="str">
        <f>IF(Table1[[#This Row],[Spec Type]]="","N/A",Table1[[#This Row],[Spec Type]])</f>
        <v>±</v>
      </c>
      <c r="AC1439" s="1" t="str">
        <f>IF(Table1[[#This Row],[Spec Type2]]="N/A","N/A",IF(AND(Table1[[#This Row],[DUT Adj Read]]&gt;=Table1[[#This Row],[Low Tol]],Table1[[#This Row],[DUT Adj Read]]&lt;=Table1[[#This Row],[High Tol]]),"Pass","Fail"))</f>
        <v>Fail</v>
      </c>
      <c r="AD1439" s="1" t="str">
        <f>IF(AND(Table1[[#This Row],[Spec Type2]]="N/A",Table1[[#This Row],[DUT Adj Read]]="N/A",Table1[[#This Row],[Std Adj Read]]="N/A"),"N/A",IF(Table1[[#This Row],[DUT Adj Read]]="N/A",IF(Table1[[#This Row],[Std Adj Read]]&gt;Table1[[#This Row],[Low Tol]],"Pass","Fail"),IF(Table1[[#This Row],[DUT Adj Read]]&gt;Table1[[#This Row],[Low Tol]],"Pass","Fail")))</f>
        <v>Pass</v>
      </c>
      <c r="AE1439" s="1" t="str">
        <f>IF(AND(Table1[[#This Row],[Spec Type2]]="N/A",Table1[[#This Row],[DUT Adj Read]]="N/A",Table1[[#This Row],[Std Adj Read]]="N/A"),"N/A",IF(Table1[[#This Row],[DUT Adj Read]]="N/A",IF(Table1[[#This Row],[Std Adj Read]]&lt;Table1[[#This Row],[High Tol]],"Pass","Fail"),IF(Table1[[#This Row],[DUT Adj Read]]&lt;Table1[[#This Row],[High Tol]],"Pass","Fail")))</f>
        <v>Fail</v>
      </c>
      <c r="AF1439" s="1" t="str">
        <f>IF(AND(Table1[[#This Row],[Spec Type2]]="N/A",Table1[[#This Row],[DUT Adj Read]]="N/A",Table1[[#This Row],[Std Adj Read]]="N/A"),"N/A",IF(Table1[[#This Row],[DUT Adj Read]]="N/A",IF(Table1[[#This Row],[Std Adj Read]]&gt;=Table1[[#This Row],[Low Tol]],"Pass","Fail"),IF(Table1[[#This Row],[DUT Adj Read]]&gt;=Table1[[#This Row],[Low Tol]],"Pass","Fail")))</f>
        <v>Pass</v>
      </c>
      <c r="AG1439" s="1" t="str">
        <f>IF(AND(Table1[[#This Row],[Spec Type2]]="N/A",Table1[[#This Row],[DUT Adj Read]]="N/A",Table1[[#This Row],[Std Adj Read]]="N/A"),"N/A",IF(Table1[[#This Row],[DUT Adj Read]]="N/A",IF(Table1[[#This Row],[Std Adj Read]]&lt;=Table1[[#This Row],[High Tol]],"Pass","Fail"),IF(Table1[[#This Row],[DUT Adj Read]]&lt;=Table1[[#This Row],[High Tol]],"Pass","Fail")))</f>
        <v>Fail</v>
      </c>
      <c r="AH14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9" s="1" t="b">
        <v>0</v>
      </c>
      <c r="AN1439" s="1" t="b">
        <v>0</v>
      </c>
      <c r="AO1439" s="1" t="b">
        <v>0</v>
      </c>
    </row>
    <row r="1440" spans="1:41" x14ac:dyDescent="0.25">
      <c r="A1440" s="10"/>
      <c r="B1440" s="10"/>
      <c r="C1440" s="10"/>
      <c r="D1440" s="10"/>
      <c r="E1440" s="10"/>
      <c r="F1440" s="10"/>
      <c r="G1440" s="10"/>
      <c r="H1440" s="10"/>
      <c r="I1440" s="1" t="str">
        <f t="shared" si="66"/>
        <v/>
      </c>
      <c r="J1440" s="1" t="s">
        <v>35</v>
      </c>
      <c r="K1440" s="1" t="str">
        <f t="shared" si="67"/>
        <v/>
      </c>
      <c r="L1440" s="1" t="str">
        <f t="shared" si="68"/>
        <v/>
      </c>
      <c r="M1440" s="1">
        <f>IF(OR(Table1[[#This Row],[Std Nom]]="",Table1[[#This Row],[Std Read]]=""),0,Table1[[#This Row],[Std Nom]]-Table1[[#This Row],[Std Read]])</f>
        <v>0</v>
      </c>
      <c r="N1440" s="1">
        <f>IF(Calculations!$F$5="ACCREDITED 17025 WITH UNCERTAINTIES",$N$10,0)</f>
        <v>0</v>
      </c>
      <c r="O1440" s="1" t="str">
        <f>IFERROR(Table1[[#This Row],[Std Nom]]-(_xlfn.XLOOKUP(Table1[[#This Row],[Manufacturer]]&amp;" "&amp;Table1[[#This Row],[Model]],Table13[MFR &amp; MDL],Table13[Tolerance % CW ],"")/100*Table1[[#This Row],[Std Nom]]),"")</f>
        <v/>
      </c>
      <c r="P1440" s="1" t="str">
        <f>IFERROR(Table1[[#This Row],[Std Nom]]+(_xlfn.XLOOKUP(Table1[[#This Row],[Manufacturer]]&amp;" "&amp;Table1[[#This Row],[Model]],Table13[MFR &amp; MDL],Table13[Tolerance % CW ],"")/100*Table1[[#This Row],[Std Nom]]),"")</f>
        <v/>
      </c>
      <c r="Q1440" s="1" t="e">
        <f>Table1[[#This Row],[High Tol]]-Table1[[#This Row],[Low Tol]]</f>
        <v>#VALUE!</v>
      </c>
      <c r="R1440" s="1">
        <f>2*Table1[[#This Row],[Std Error]]</f>
        <v>0</v>
      </c>
      <c r="S1440" s="1" t="str">
        <f>IF(Table1[[#This Row],[High Tol]]="","N/A",IFERROR(ABS(Table1[[#This Row],[Tol Span]]/Table1[[#This Row],[Error Span]]),"N/A"))</f>
        <v>N/A</v>
      </c>
      <c r="T1440" s="1" t="str">
        <f>IF(OR(Table1[[#This Row],[Low Tol]]="",Table1[[#This Row],[High Tol]]=""),"Needs Analysis",IF(Table1[[#This Row],[Ratio]]&gt;=4,"Not Significant",IF(Table1[[#This Row],[Ratio]]&gt;=2,"Semi-Significant","Significant")))</f>
        <v>Needs Analysis</v>
      </c>
      <c r="W1440" s="1">
        <f>IF(Table1[[#This Row],[Cal Type]]&lt;&gt;"ACCREDITED 17025 WITH UNCERTAINTIES",0,"")</f>
        <v>0</v>
      </c>
      <c r="X1440" s="1" t="str">
        <f>IF(Table1[[#This Row],[DUT Read]]="","N/A",Table1[[#This Row],[Std Error]]+Table1[[#This Row],[DUT Read]]+Table1[[#This Row],[DUT Ucty]])</f>
        <v>N/A</v>
      </c>
      <c r="Y1440" s="1" t="str">
        <f>IF(Table1[[#This Row],[Std Read]]="","N/A",Table1[[#This Row],[Std Read]]+Table1[[#This Row],[Std Ucty]])</f>
        <v>N/A</v>
      </c>
      <c r="Z14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0" s="1" t="str">
        <f>IF(Table1[[#This Row],[Spec Type]]="","N/A",Table1[[#This Row],[Spec Type]])</f>
        <v>±</v>
      </c>
      <c r="AC1440" s="1" t="str">
        <f>IF(Table1[[#This Row],[Spec Type2]]="N/A","N/A",IF(AND(Table1[[#This Row],[DUT Adj Read]]&gt;=Table1[[#This Row],[Low Tol]],Table1[[#This Row],[DUT Adj Read]]&lt;=Table1[[#This Row],[High Tol]]),"Pass","Fail"))</f>
        <v>Fail</v>
      </c>
      <c r="AD1440" s="1" t="str">
        <f>IF(AND(Table1[[#This Row],[Spec Type2]]="N/A",Table1[[#This Row],[DUT Adj Read]]="N/A",Table1[[#This Row],[Std Adj Read]]="N/A"),"N/A",IF(Table1[[#This Row],[DUT Adj Read]]="N/A",IF(Table1[[#This Row],[Std Adj Read]]&gt;Table1[[#This Row],[Low Tol]],"Pass","Fail"),IF(Table1[[#This Row],[DUT Adj Read]]&gt;Table1[[#This Row],[Low Tol]],"Pass","Fail")))</f>
        <v>Pass</v>
      </c>
      <c r="AE1440" s="1" t="str">
        <f>IF(AND(Table1[[#This Row],[Spec Type2]]="N/A",Table1[[#This Row],[DUT Adj Read]]="N/A",Table1[[#This Row],[Std Adj Read]]="N/A"),"N/A",IF(Table1[[#This Row],[DUT Adj Read]]="N/A",IF(Table1[[#This Row],[Std Adj Read]]&lt;Table1[[#This Row],[High Tol]],"Pass","Fail"),IF(Table1[[#This Row],[DUT Adj Read]]&lt;Table1[[#This Row],[High Tol]],"Pass","Fail")))</f>
        <v>Fail</v>
      </c>
      <c r="AF1440" s="1" t="str">
        <f>IF(AND(Table1[[#This Row],[Spec Type2]]="N/A",Table1[[#This Row],[DUT Adj Read]]="N/A",Table1[[#This Row],[Std Adj Read]]="N/A"),"N/A",IF(Table1[[#This Row],[DUT Adj Read]]="N/A",IF(Table1[[#This Row],[Std Adj Read]]&gt;=Table1[[#This Row],[Low Tol]],"Pass","Fail"),IF(Table1[[#This Row],[DUT Adj Read]]&gt;=Table1[[#This Row],[Low Tol]],"Pass","Fail")))</f>
        <v>Pass</v>
      </c>
      <c r="AG1440" s="1" t="str">
        <f>IF(AND(Table1[[#This Row],[Spec Type2]]="N/A",Table1[[#This Row],[DUT Adj Read]]="N/A",Table1[[#This Row],[Std Adj Read]]="N/A"),"N/A",IF(Table1[[#This Row],[DUT Adj Read]]="N/A",IF(Table1[[#This Row],[Std Adj Read]]&lt;=Table1[[#This Row],[High Tol]],"Pass","Fail"),IF(Table1[[#This Row],[DUT Adj Read]]&lt;=Table1[[#This Row],[High Tol]],"Pass","Fail")))</f>
        <v>Fail</v>
      </c>
      <c r="AH14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0" s="1" t="b">
        <v>0</v>
      </c>
      <c r="AN1440" s="1" t="b">
        <v>0</v>
      </c>
      <c r="AO1440" s="1" t="b">
        <v>0</v>
      </c>
    </row>
    <row r="1441" spans="1:41" x14ac:dyDescent="0.25">
      <c r="A1441" s="10"/>
      <c r="B1441" s="10"/>
      <c r="C1441" s="10"/>
      <c r="D1441" s="10"/>
      <c r="E1441" s="10"/>
      <c r="F1441" s="10"/>
      <c r="G1441" s="10"/>
      <c r="H1441" s="10"/>
      <c r="I1441" s="1" t="str">
        <f t="shared" si="66"/>
        <v/>
      </c>
      <c r="J1441" s="1" t="s">
        <v>35</v>
      </c>
      <c r="K1441" s="1" t="str">
        <f t="shared" si="67"/>
        <v/>
      </c>
      <c r="L1441" s="1" t="str">
        <f t="shared" si="68"/>
        <v/>
      </c>
      <c r="M1441" s="1">
        <f>IF(OR(Table1[[#This Row],[Std Nom]]="",Table1[[#This Row],[Std Read]]=""),0,Table1[[#This Row],[Std Nom]]-Table1[[#This Row],[Std Read]])</f>
        <v>0</v>
      </c>
      <c r="N1441" s="1">
        <f>IF(Calculations!$F$5="ACCREDITED 17025 WITH UNCERTAINTIES",$N$10,0)</f>
        <v>0</v>
      </c>
      <c r="O1441" s="1" t="str">
        <f>IFERROR(Table1[[#This Row],[Std Nom]]-(_xlfn.XLOOKUP(Table1[[#This Row],[Manufacturer]]&amp;" "&amp;Table1[[#This Row],[Model]],Table13[MFR &amp; MDL],Table13[Tolerance % CW ],"")/100*Table1[[#This Row],[Std Nom]]),"")</f>
        <v/>
      </c>
      <c r="P1441" s="1" t="str">
        <f>IFERROR(Table1[[#This Row],[Std Nom]]+(_xlfn.XLOOKUP(Table1[[#This Row],[Manufacturer]]&amp;" "&amp;Table1[[#This Row],[Model]],Table13[MFR &amp; MDL],Table13[Tolerance % CW ],"")/100*Table1[[#This Row],[Std Nom]]),"")</f>
        <v/>
      </c>
      <c r="Q1441" s="1" t="e">
        <f>Table1[[#This Row],[High Tol]]-Table1[[#This Row],[Low Tol]]</f>
        <v>#VALUE!</v>
      </c>
      <c r="R1441" s="1">
        <f>2*Table1[[#This Row],[Std Error]]</f>
        <v>0</v>
      </c>
      <c r="S1441" s="1" t="str">
        <f>IF(Table1[[#This Row],[High Tol]]="","N/A",IFERROR(ABS(Table1[[#This Row],[Tol Span]]/Table1[[#This Row],[Error Span]]),"N/A"))</f>
        <v>N/A</v>
      </c>
      <c r="T1441" s="1" t="str">
        <f>IF(OR(Table1[[#This Row],[Low Tol]]="",Table1[[#This Row],[High Tol]]=""),"Needs Analysis",IF(Table1[[#This Row],[Ratio]]&gt;=4,"Not Significant",IF(Table1[[#This Row],[Ratio]]&gt;=2,"Semi-Significant","Significant")))</f>
        <v>Needs Analysis</v>
      </c>
      <c r="W1441" s="1">
        <f>IF(Table1[[#This Row],[Cal Type]]&lt;&gt;"ACCREDITED 17025 WITH UNCERTAINTIES",0,"")</f>
        <v>0</v>
      </c>
      <c r="X1441" s="1" t="str">
        <f>IF(Table1[[#This Row],[DUT Read]]="","N/A",Table1[[#This Row],[Std Error]]+Table1[[#This Row],[DUT Read]]+Table1[[#This Row],[DUT Ucty]])</f>
        <v>N/A</v>
      </c>
      <c r="Y1441" s="1" t="str">
        <f>IF(Table1[[#This Row],[Std Read]]="","N/A",Table1[[#This Row],[Std Read]]+Table1[[#This Row],[Std Ucty]])</f>
        <v>N/A</v>
      </c>
      <c r="Z14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1" s="1" t="str">
        <f>IF(Table1[[#This Row],[Spec Type]]="","N/A",Table1[[#This Row],[Spec Type]])</f>
        <v>±</v>
      </c>
      <c r="AC1441" s="1" t="str">
        <f>IF(Table1[[#This Row],[Spec Type2]]="N/A","N/A",IF(AND(Table1[[#This Row],[DUT Adj Read]]&gt;=Table1[[#This Row],[Low Tol]],Table1[[#This Row],[DUT Adj Read]]&lt;=Table1[[#This Row],[High Tol]]),"Pass","Fail"))</f>
        <v>Fail</v>
      </c>
      <c r="AD1441" s="1" t="str">
        <f>IF(AND(Table1[[#This Row],[Spec Type2]]="N/A",Table1[[#This Row],[DUT Adj Read]]="N/A",Table1[[#This Row],[Std Adj Read]]="N/A"),"N/A",IF(Table1[[#This Row],[DUT Adj Read]]="N/A",IF(Table1[[#This Row],[Std Adj Read]]&gt;Table1[[#This Row],[Low Tol]],"Pass","Fail"),IF(Table1[[#This Row],[DUT Adj Read]]&gt;Table1[[#This Row],[Low Tol]],"Pass","Fail")))</f>
        <v>Pass</v>
      </c>
      <c r="AE1441" s="1" t="str">
        <f>IF(AND(Table1[[#This Row],[Spec Type2]]="N/A",Table1[[#This Row],[DUT Adj Read]]="N/A",Table1[[#This Row],[Std Adj Read]]="N/A"),"N/A",IF(Table1[[#This Row],[DUT Adj Read]]="N/A",IF(Table1[[#This Row],[Std Adj Read]]&lt;Table1[[#This Row],[High Tol]],"Pass","Fail"),IF(Table1[[#This Row],[DUT Adj Read]]&lt;Table1[[#This Row],[High Tol]],"Pass","Fail")))</f>
        <v>Fail</v>
      </c>
      <c r="AF1441" s="1" t="str">
        <f>IF(AND(Table1[[#This Row],[Spec Type2]]="N/A",Table1[[#This Row],[DUT Adj Read]]="N/A",Table1[[#This Row],[Std Adj Read]]="N/A"),"N/A",IF(Table1[[#This Row],[DUT Adj Read]]="N/A",IF(Table1[[#This Row],[Std Adj Read]]&gt;=Table1[[#This Row],[Low Tol]],"Pass","Fail"),IF(Table1[[#This Row],[DUT Adj Read]]&gt;=Table1[[#This Row],[Low Tol]],"Pass","Fail")))</f>
        <v>Pass</v>
      </c>
      <c r="AG1441" s="1" t="str">
        <f>IF(AND(Table1[[#This Row],[Spec Type2]]="N/A",Table1[[#This Row],[DUT Adj Read]]="N/A",Table1[[#This Row],[Std Adj Read]]="N/A"),"N/A",IF(Table1[[#This Row],[DUT Adj Read]]="N/A",IF(Table1[[#This Row],[Std Adj Read]]&lt;=Table1[[#This Row],[High Tol]],"Pass","Fail"),IF(Table1[[#This Row],[DUT Adj Read]]&lt;=Table1[[#This Row],[High Tol]],"Pass","Fail")))</f>
        <v>Fail</v>
      </c>
      <c r="AH14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1" s="1" t="b">
        <v>0</v>
      </c>
      <c r="AN1441" s="1" t="b">
        <v>0</v>
      </c>
      <c r="AO1441" s="1" t="b">
        <v>0</v>
      </c>
    </row>
    <row r="1442" spans="1:41" x14ac:dyDescent="0.25">
      <c r="A1442" s="10"/>
      <c r="B1442" s="10"/>
      <c r="C1442" s="10"/>
      <c r="D1442" s="10"/>
      <c r="E1442" s="10"/>
      <c r="F1442" s="10"/>
      <c r="G1442" s="10"/>
      <c r="H1442" s="10"/>
      <c r="I1442" s="1" t="str">
        <f t="shared" si="66"/>
        <v/>
      </c>
      <c r="J1442" s="1" t="s">
        <v>35</v>
      </c>
      <c r="K1442" s="1" t="str">
        <f t="shared" si="67"/>
        <v/>
      </c>
      <c r="L1442" s="1" t="str">
        <f t="shared" si="68"/>
        <v/>
      </c>
      <c r="M1442" s="1">
        <f>IF(OR(Table1[[#This Row],[Std Nom]]="",Table1[[#This Row],[Std Read]]=""),0,Table1[[#This Row],[Std Nom]]-Table1[[#This Row],[Std Read]])</f>
        <v>0</v>
      </c>
      <c r="N1442" s="1">
        <f>IF(Calculations!$F$5="ACCREDITED 17025 WITH UNCERTAINTIES",$N$10,0)</f>
        <v>0</v>
      </c>
      <c r="O1442" s="1" t="str">
        <f>IFERROR(Table1[[#This Row],[Std Nom]]-(_xlfn.XLOOKUP(Table1[[#This Row],[Manufacturer]]&amp;" "&amp;Table1[[#This Row],[Model]],Table13[MFR &amp; MDL],Table13[Tolerance % CW ],"")/100*Table1[[#This Row],[Std Nom]]),"")</f>
        <v/>
      </c>
      <c r="P1442" s="1" t="str">
        <f>IFERROR(Table1[[#This Row],[Std Nom]]+(_xlfn.XLOOKUP(Table1[[#This Row],[Manufacturer]]&amp;" "&amp;Table1[[#This Row],[Model]],Table13[MFR &amp; MDL],Table13[Tolerance % CW ],"")/100*Table1[[#This Row],[Std Nom]]),"")</f>
        <v/>
      </c>
      <c r="Q1442" s="1" t="e">
        <f>Table1[[#This Row],[High Tol]]-Table1[[#This Row],[Low Tol]]</f>
        <v>#VALUE!</v>
      </c>
      <c r="R1442" s="1">
        <f>2*Table1[[#This Row],[Std Error]]</f>
        <v>0</v>
      </c>
      <c r="S1442" s="1" t="str">
        <f>IF(Table1[[#This Row],[High Tol]]="","N/A",IFERROR(ABS(Table1[[#This Row],[Tol Span]]/Table1[[#This Row],[Error Span]]),"N/A"))</f>
        <v>N/A</v>
      </c>
      <c r="T1442" s="1" t="str">
        <f>IF(OR(Table1[[#This Row],[Low Tol]]="",Table1[[#This Row],[High Tol]]=""),"Needs Analysis",IF(Table1[[#This Row],[Ratio]]&gt;=4,"Not Significant",IF(Table1[[#This Row],[Ratio]]&gt;=2,"Semi-Significant","Significant")))</f>
        <v>Needs Analysis</v>
      </c>
      <c r="W1442" s="1">
        <f>IF(Table1[[#This Row],[Cal Type]]&lt;&gt;"ACCREDITED 17025 WITH UNCERTAINTIES",0,"")</f>
        <v>0</v>
      </c>
      <c r="X1442" s="1" t="str">
        <f>IF(Table1[[#This Row],[DUT Read]]="","N/A",Table1[[#This Row],[Std Error]]+Table1[[#This Row],[DUT Read]]+Table1[[#This Row],[DUT Ucty]])</f>
        <v>N/A</v>
      </c>
      <c r="Y1442" s="1" t="str">
        <f>IF(Table1[[#This Row],[Std Read]]="","N/A",Table1[[#This Row],[Std Read]]+Table1[[#This Row],[Std Ucty]])</f>
        <v>N/A</v>
      </c>
      <c r="Z14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2" s="1" t="str">
        <f>IF(Table1[[#This Row],[Spec Type]]="","N/A",Table1[[#This Row],[Spec Type]])</f>
        <v>±</v>
      </c>
      <c r="AC1442" s="1" t="str">
        <f>IF(Table1[[#This Row],[Spec Type2]]="N/A","N/A",IF(AND(Table1[[#This Row],[DUT Adj Read]]&gt;=Table1[[#This Row],[Low Tol]],Table1[[#This Row],[DUT Adj Read]]&lt;=Table1[[#This Row],[High Tol]]),"Pass","Fail"))</f>
        <v>Fail</v>
      </c>
      <c r="AD1442" s="1" t="str">
        <f>IF(AND(Table1[[#This Row],[Spec Type2]]="N/A",Table1[[#This Row],[DUT Adj Read]]="N/A",Table1[[#This Row],[Std Adj Read]]="N/A"),"N/A",IF(Table1[[#This Row],[DUT Adj Read]]="N/A",IF(Table1[[#This Row],[Std Adj Read]]&gt;Table1[[#This Row],[Low Tol]],"Pass","Fail"),IF(Table1[[#This Row],[DUT Adj Read]]&gt;Table1[[#This Row],[Low Tol]],"Pass","Fail")))</f>
        <v>Pass</v>
      </c>
      <c r="AE1442" s="1" t="str">
        <f>IF(AND(Table1[[#This Row],[Spec Type2]]="N/A",Table1[[#This Row],[DUT Adj Read]]="N/A",Table1[[#This Row],[Std Adj Read]]="N/A"),"N/A",IF(Table1[[#This Row],[DUT Adj Read]]="N/A",IF(Table1[[#This Row],[Std Adj Read]]&lt;Table1[[#This Row],[High Tol]],"Pass","Fail"),IF(Table1[[#This Row],[DUT Adj Read]]&lt;Table1[[#This Row],[High Tol]],"Pass","Fail")))</f>
        <v>Fail</v>
      </c>
      <c r="AF1442" s="1" t="str">
        <f>IF(AND(Table1[[#This Row],[Spec Type2]]="N/A",Table1[[#This Row],[DUT Adj Read]]="N/A",Table1[[#This Row],[Std Adj Read]]="N/A"),"N/A",IF(Table1[[#This Row],[DUT Adj Read]]="N/A",IF(Table1[[#This Row],[Std Adj Read]]&gt;=Table1[[#This Row],[Low Tol]],"Pass","Fail"),IF(Table1[[#This Row],[DUT Adj Read]]&gt;=Table1[[#This Row],[Low Tol]],"Pass","Fail")))</f>
        <v>Pass</v>
      </c>
      <c r="AG1442" s="1" t="str">
        <f>IF(AND(Table1[[#This Row],[Spec Type2]]="N/A",Table1[[#This Row],[DUT Adj Read]]="N/A",Table1[[#This Row],[Std Adj Read]]="N/A"),"N/A",IF(Table1[[#This Row],[DUT Adj Read]]="N/A",IF(Table1[[#This Row],[Std Adj Read]]&lt;=Table1[[#This Row],[High Tol]],"Pass","Fail"),IF(Table1[[#This Row],[DUT Adj Read]]&lt;=Table1[[#This Row],[High Tol]],"Pass","Fail")))</f>
        <v>Fail</v>
      </c>
      <c r="AH14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2" s="1" t="b">
        <v>0</v>
      </c>
      <c r="AN1442" s="1" t="b">
        <v>0</v>
      </c>
      <c r="AO1442" s="1" t="b">
        <v>0</v>
      </c>
    </row>
    <row r="1443" spans="1:41" x14ac:dyDescent="0.25">
      <c r="A1443" s="10"/>
      <c r="B1443" s="10"/>
      <c r="C1443" s="10"/>
      <c r="D1443" s="10"/>
      <c r="E1443" s="10"/>
      <c r="F1443" s="10"/>
      <c r="G1443" s="10"/>
      <c r="H1443" s="10"/>
      <c r="I1443" s="1" t="str">
        <f t="shared" si="66"/>
        <v/>
      </c>
      <c r="J1443" s="1" t="s">
        <v>35</v>
      </c>
      <c r="K1443" s="1" t="str">
        <f t="shared" si="67"/>
        <v/>
      </c>
      <c r="L1443" s="1" t="str">
        <f t="shared" si="68"/>
        <v/>
      </c>
      <c r="M1443" s="1">
        <f>IF(OR(Table1[[#This Row],[Std Nom]]="",Table1[[#This Row],[Std Read]]=""),0,Table1[[#This Row],[Std Nom]]-Table1[[#This Row],[Std Read]])</f>
        <v>0</v>
      </c>
      <c r="N1443" s="1">
        <f>IF(Calculations!$F$5="ACCREDITED 17025 WITH UNCERTAINTIES",$N$10,0)</f>
        <v>0</v>
      </c>
      <c r="O1443" s="1" t="str">
        <f>IFERROR(Table1[[#This Row],[Std Nom]]-(_xlfn.XLOOKUP(Table1[[#This Row],[Manufacturer]]&amp;" "&amp;Table1[[#This Row],[Model]],Table13[MFR &amp; MDL],Table13[Tolerance % CW ],"")/100*Table1[[#This Row],[Std Nom]]),"")</f>
        <v/>
      </c>
      <c r="P1443" s="1" t="str">
        <f>IFERROR(Table1[[#This Row],[Std Nom]]+(_xlfn.XLOOKUP(Table1[[#This Row],[Manufacturer]]&amp;" "&amp;Table1[[#This Row],[Model]],Table13[MFR &amp; MDL],Table13[Tolerance % CW ],"")/100*Table1[[#This Row],[Std Nom]]),"")</f>
        <v/>
      </c>
      <c r="Q1443" s="1" t="e">
        <f>Table1[[#This Row],[High Tol]]-Table1[[#This Row],[Low Tol]]</f>
        <v>#VALUE!</v>
      </c>
      <c r="R1443" s="1">
        <f>2*Table1[[#This Row],[Std Error]]</f>
        <v>0</v>
      </c>
      <c r="S1443" s="1" t="str">
        <f>IF(Table1[[#This Row],[High Tol]]="","N/A",IFERROR(ABS(Table1[[#This Row],[Tol Span]]/Table1[[#This Row],[Error Span]]),"N/A"))</f>
        <v>N/A</v>
      </c>
      <c r="T1443" s="1" t="str">
        <f>IF(OR(Table1[[#This Row],[Low Tol]]="",Table1[[#This Row],[High Tol]]=""),"Needs Analysis",IF(Table1[[#This Row],[Ratio]]&gt;=4,"Not Significant",IF(Table1[[#This Row],[Ratio]]&gt;=2,"Semi-Significant","Significant")))</f>
        <v>Needs Analysis</v>
      </c>
      <c r="W1443" s="1">
        <f>IF(Table1[[#This Row],[Cal Type]]&lt;&gt;"ACCREDITED 17025 WITH UNCERTAINTIES",0,"")</f>
        <v>0</v>
      </c>
      <c r="X1443" s="1" t="str">
        <f>IF(Table1[[#This Row],[DUT Read]]="","N/A",Table1[[#This Row],[Std Error]]+Table1[[#This Row],[DUT Read]]+Table1[[#This Row],[DUT Ucty]])</f>
        <v>N/A</v>
      </c>
      <c r="Y1443" s="1" t="str">
        <f>IF(Table1[[#This Row],[Std Read]]="","N/A",Table1[[#This Row],[Std Read]]+Table1[[#This Row],[Std Ucty]])</f>
        <v>N/A</v>
      </c>
      <c r="Z14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3" s="1" t="str">
        <f>IF(Table1[[#This Row],[Spec Type]]="","N/A",Table1[[#This Row],[Spec Type]])</f>
        <v>±</v>
      </c>
      <c r="AC1443" s="1" t="str">
        <f>IF(Table1[[#This Row],[Spec Type2]]="N/A","N/A",IF(AND(Table1[[#This Row],[DUT Adj Read]]&gt;=Table1[[#This Row],[Low Tol]],Table1[[#This Row],[DUT Adj Read]]&lt;=Table1[[#This Row],[High Tol]]),"Pass","Fail"))</f>
        <v>Fail</v>
      </c>
      <c r="AD1443" s="1" t="str">
        <f>IF(AND(Table1[[#This Row],[Spec Type2]]="N/A",Table1[[#This Row],[DUT Adj Read]]="N/A",Table1[[#This Row],[Std Adj Read]]="N/A"),"N/A",IF(Table1[[#This Row],[DUT Adj Read]]="N/A",IF(Table1[[#This Row],[Std Adj Read]]&gt;Table1[[#This Row],[Low Tol]],"Pass","Fail"),IF(Table1[[#This Row],[DUT Adj Read]]&gt;Table1[[#This Row],[Low Tol]],"Pass","Fail")))</f>
        <v>Pass</v>
      </c>
      <c r="AE1443" s="1" t="str">
        <f>IF(AND(Table1[[#This Row],[Spec Type2]]="N/A",Table1[[#This Row],[DUT Adj Read]]="N/A",Table1[[#This Row],[Std Adj Read]]="N/A"),"N/A",IF(Table1[[#This Row],[DUT Adj Read]]="N/A",IF(Table1[[#This Row],[Std Adj Read]]&lt;Table1[[#This Row],[High Tol]],"Pass","Fail"),IF(Table1[[#This Row],[DUT Adj Read]]&lt;Table1[[#This Row],[High Tol]],"Pass","Fail")))</f>
        <v>Fail</v>
      </c>
      <c r="AF1443" s="1" t="str">
        <f>IF(AND(Table1[[#This Row],[Spec Type2]]="N/A",Table1[[#This Row],[DUT Adj Read]]="N/A",Table1[[#This Row],[Std Adj Read]]="N/A"),"N/A",IF(Table1[[#This Row],[DUT Adj Read]]="N/A",IF(Table1[[#This Row],[Std Adj Read]]&gt;=Table1[[#This Row],[Low Tol]],"Pass","Fail"),IF(Table1[[#This Row],[DUT Adj Read]]&gt;=Table1[[#This Row],[Low Tol]],"Pass","Fail")))</f>
        <v>Pass</v>
      </c>
      <c r="AG1443" s="1" t="str">
        <f>IF(AND(Table1[[#This Row],[Spec Type2]]="N/A",Table1[[#This Row],[DUT Adj Read]]="N/A",Table1[[#This Row],[Std Adj Read]]="N/A"),"N/A",IF(Table1[[#This Row],[DUT Adj Read]]="N/A",IF(Table1[[#This Row],[Std Adj Read]]&lt;=Table1[[#This Row],[High Tol]],"Pass","Fail"),IF(Table1[[#This Row],[DUT Adj Read]]&lt;=Table1[[#This Row],[High Tol]],"Pass","Fail")))</f>
        <v>Fail</v>
      </c>
      <c r="AH14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3" s="1" t="b">
        <v>0</v>
      </c>
      <c r="AN1443" s="1" t="b">
        <v>0</v>
      </c>
      <c r="AO1443" s="1" t="b">
        <v>0</v>
      </c>
    </row>
    <row r="1444" spans="1:41" x14ac:dyDescent="0.25">
      <c r="A1444" s="10"/>
      <c r="B1444" s="10"/>
      <c r="C1444" s="10"/>
      <c r="D1444" s="10"/>
      <c r="E1444" s="10"/>
      <c r="F1444" s="10"/>
      <c r="G1444" s="10"/>
      <c r="H1444" s="10"/>
      <c r="I1444" s="1" t="str">
        <f t="shared" si="66"/>
        <v/>
      </c>
      <c r="J1444" s="1" t="s">
        <v>35</v>
      </c>
      <c r="K1444" s="1" t="str">
        <f t="shared" si="67"/>
        <v/>
      </c>
      <c r="L1444" s="1" t="str">
        <f t="shared" si="68"/>
        <v/>
      </c>
      <c r="M1444" s="1">
        <f>IF(OR(Table1[[#This Row],[Std Nom]]="",Table1[[#This Row],[Std Read]]=""),0,Table1[[#This Row],[Std Nom]]-Table1[[#This Row],[Std Read]])</f>
        <v>0</v>
      </c>
      <c r="N1444" s="1">
        <f>IF(Calculations!$F$5="ACCREDITED 17025 WITH UNCERTAINTIES",$N$10,0)</f>
        <v>0</v>
      </c>
      <c r="O1444" s="1" t="str">
        <f>IFERROR(Table1[[#This Row],[Std Nom]]-(_xlfn.XLOOKUP(Table1[[#This Row],[Manufacturer]]&amp;" "&amp;Table1[[#This Row],[Model]],Table13[MFR &amp; MDL],Table13[Tolerance % CW ],"")/100*Table1[[#This Row],[Std Nom]]),"")</f>
        <v/>
      </c>
      <c r="P1444" s="1" t="str">
        <f>IFERROR(Table1[[#This Row],[Std Nom]]+(_xlfn.XLOOKUP(Table1[[#This Row],[Manufacturer]]&amp;" "&amp;Table1[[#This Row],[Model]],Table13[MFR &amp; MDL],Table13[Tolerance % CW ],"")/100*Table1[[#This Row],[Std Nom]]),"")</f>
        <v/>
      </c>
      <c r="Q1444" s="1" t="e">
        <f>Table1[[#This Row],[High Tol]]-Table1[[#This Row],[Low Tol]]</f>
        <v>#VALUE!</v>
      </c>
      <c r="R1444" s="1">
        <f>2*Table1[[#This Row],[Std Error]]</f>
        <v>0</v>
      </c>
      <c r="S1444" s="1" t="str">
        <f>IF(Table1[[#This Row],[High Tol]]="","N/A",IFERROR(ABS(Table1[[#This Row],[Tol Span]]/Table1[[#This Row],[Error Span]]),"N/A"))</f>
        <v>N/A</v>
      </c>
      <c r="T1444" s="1" t="str">
        <f>IF(OR(Table1[[#This Row],[Low Tol]]="",Table1[[#This Row],[High Tol]]=""),"Needs Analysis",IF(Table1[[#This Row],[Ratio]]&gt;=4,"Not Significant",IF(Table1[[#This Row],[Ratio]]&gt;=2,"Semi-Significant","Significant")))</f>
        <v>Needs Analysis</v>
      </c>
      <c r="W1444" s="1">
        <f>IF(Table1[[#This Row],[Cal Type]]&lt;&gt;"ACCREDITED 17025 WITH UNCERTAINTIES",0,"")</f>
        <v>0</v>
      </c>
      <c r="X1444" s="1" t="str">
        <f>IF(Table1[[#This Row],[DUT Read]]="","N/A",Table1[[#This Row],[Std Error]]+Table1[[#This Row],[DUT Read]]+Table1[[#This Row],[DUT Ucty]])</f>
        <v>N/A</v>
      </c>
      <c r="Y1444" s="1" t="str">
        <f>IF(Table1[[#This Row],[Std Read]]="","N/A",Table1[[#This Row],[Std Read]]+Table1[[#This Row],[Std Ucty]])</f>
        <v>N/A</v>
      </c>
      <c r="Z14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4" s="1" t="str">
        <f>IF(Table1[[#This Row],[Spec Type]]="","N/A",Table1[[#This Row],[Spec Type]])</f>
        <v>±</v>
      </c>
      <c r="AC1444" s="1" t="str">
        <f>IF(Table1[[#This Row],[Spec Type2]]="N/A","N/A",IF(AND(Table1[[#This Row],[DUT Adj Read]]&gt;=Table1[[#This Row],[Low Tol]],Table1[[#This Row],[DUT Adj Read]]&lt;=Table1[[#This Row],[High Tol]]),"Pass","Fail"))</f>
        <v>Fail</v>
      </c>
      <c r="AD1444" s="1" t="str">
        <f>IF(AND(Table1[[#This Row],[Spec Type2]]="N/A",Table1[[#This Row],[DUT Adj Read]]="N/A",Table1[[#This Row],[Std Adj Read]]="N/A"),"N/A",IF(Table1[[#This Row],[DUT Adj Read]]="N/A",IF(Table1[[#This Row],[Std Adj Read]]&gt;Table1[[#This Row],[Low Tol]],"Pass","Fail"),IF(Table1[[#This Row],[DUT Adj Read]]&gt;Table1[[#This Row],[Low Tol]],"Pass","Fail")))</f>
        <v>Pass</v>
      </c>
      <c r="AE1444" s="1" t="str">
        <f>IF(AND(Table1[[#This Row],[Spec Type2]]="N/A",Table1[[#This Row],[DUT Adj Read]]="N/A",Table1[[#This Row],[Std Adj Read]]="N/A"),"N/A",IF(Table1[[#This Row],[DUT Adj Read]]="N/A",IF(Table1[[#This Row],[Std Adj Read]]&lt;Table1[[#This Row],[High Tol]],"Pass","Fail"),IF(Table1[[#This Row],[DUT Adj Read]]&lt;Table1[[#This Row],[High Tol]],"Pass","Fail")))</f>
        <v>Fail</v>
      </c>
      <c r="AF1444" s="1" t="str">
        <f>IF(AND(Table1[[#This Row],[Spec Type2]]="N/A",Table1[[#This Row],[DUT Adj Read]]="N/A",Table1[[#This Row],[Std Adj Read]]="N/A"),"N/A",IF(Table1[[#This Row],[DUT Adj Read]]="N/A",IF(Table1[[#This Row],[Std Adj Read]]&gt;=Table1[[#This Row],[Low Tol]],"Pass","Fail"),IF(Table1[[#This Row],[DUT Adj Read]]&gt;=Table1[[#This Row],[Low Tol]],"Pass","Fail")))</f>
        <v>Pass</v>
      </c>
      <c r="AG1444" s="1" t="str">
        <f>IF(AND(Table1[[#This Row],[Spec Type2]]="N/A",Table1[[#This Row],[DUT Adj Read]]="N/A",Table1[[#This Row],[Std Adj Read]]="N/A"),"N/A",IF(Table1[[#This Row],[DUT Adj Read]]="N/A",IF(Table1[[#This Row],[Std Adj Read]]&lt;=Table1[[#This Row],[High Tol]],"Pass","Fail"),IF(Table1[[#This Row],[DUT Adj Read]]&lt;=Table1[[#This Row],[High Tol]],"Pass","Fail")))</f>
        <v>Fail</v>
      </c>
      <c r="AH14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4" s="1" t="b">
        <v>0</v>
      </c>
      <c r="AN1444" s="1" t="b">
        <v>0</v>
      </c>
      <c r="AO1444" s="1" t="b">
        <v>0</v>
      </c>
    </row>
    <row r="1445" spans="1:41" x14ac:dyDescent="0.25">
      <c r="A1445" s="10"/>
      <c r="B1445" s="10"/>
      <c r="C1445" s="10"/>
      <c r="D1445" s="10"/>
      <c r="E1445" s="10"/>
      <c r="F1445" s="10"/>
      <c r="G1445" s="10"/>
      <c r="H1445" s="10"/>
      <c r="I1445" s="1" t="str">
        <f t="shared" si="66"/>
        <v/>
      </c>
      <c r="J1445" s="1" t="s">
        <v>35</v>
      </c>
      <c r="K1445" s="1" t="str">
        <f t="shared" si="67"/>
        <v/>
      </c>
      <c r="L1445" s="1" t="str">
        <f t="shared" si="68"/>
        <v/>
      </c>
      <c r="M1445" s="1">
        <f>IF(OR(Table1[[#This Row],[Std Nom]]="",Table1[[#This Row],[Std Read]]=""),0,Table1[[#This Row],[Std Nom]]-Table1[[#This Row],[Std Read]])</f>
        <v>0</v>
      </c>
      <c r="N1445" s="1">
        <f>IF(Calculations!$F$5="ACCREDITED 17025 WITH UNCERTAINTIES",$N$10,0)</f>
        <v>0</v>
      </c>
      <c r="O1445" s="1" t="str">
        <f>IFERROR(Table1[[#This Row],[Std Nom]]-(_xlfn.XLOOKUP(Table1[[#This Row],[Manufacturer]]&amp;" "&amp;Table1[[#This Row],[Model]],Table13[MFR &amp; MDL],Table13[Tolerance % CW ],"")/100*Table1[[#This Row],[Std Nom]]),"")</f>
        <v/>
      </c>
      <c r="P1445" s="1" t="str">
        <f>IFERROR(Table1[[#This Row],[Std Nom]]+(_xlfn.XLOOKUP(Table1[[#This Row],[Manufacturer]]&amp;" "&amp;Table1[[#This Row],[Model]],Table13[MFR &amp; MDL],Table13[Tolerance % CW ],"")/100*Table1[[#This Row],[Std Nom]]),"")</f>
        <v/>
      </c>
      <c r="Q1445" s="1" t="e">
        <f>Table1[[#This Row],[High Tol]]-Table1[[#This Row],[Low Tol]]</f>
        <v>#VALUE!</v>
      </c>
      <c r="R1445" s="1">
        <f>2*Table1[[#This Row],[Std Error]]</f>
        <v>0</v>
      </c>
      <c r="S1445" s="1" t="str">
        <f>IF(Table1[[#This Row],[High Tol]]="","N/A",IFERROR(ABS(Table1[[#This Row],[Tol Span]]/Table1[[#This Row],[Error Span]]),"N/A"))</f>
        <v>N/A</v>
      </c>
      <c r="T1445" s="1" t="str">
        <f>IF(OR(Table1[[#This Row],[Low Tol]]="",Table1[[#This Row],[High Tol]]=""),"Needs Analysis",IF(Table1[[#This Row],[Ratio]]&gt;=4,"Not Significant",IF(Table1[[#This Row],[Ratio]]&gt;=2,"Semi-Significant","Significant")))</f>
        <v>Needs Analysis</v>
      </c>
      <c r="W1445" s="1">
        <f>IF(Table1[[#This Row],[Cal Type]]&lt;&gt;"ACCREDITED 17025 WITH UNCERTAINTIES",0,"")</f>
        <v>0</v>
      </c>
      <c r="X1445" s="1" t="str">
        <f>IF(Table1[[#This Row],[DUT Read]]="","N/A",Table1[[#This Row],[Std Error]]+Table1[[#This Row],[DUT Read]]+Table1[[#This Row],[DUT Ucty]])</f>
        <v>N/A</v>
      </c>
      <c r="Y1445" s="1" t="str">
        <f>IF(Table1[[#This Row],[Std Read]]="","N/A",Table1[[#This Row],[Std Read]]+Table1[[#This Row],[Std Ucty]])</f>
        <v>N/A</v>
      </c>
      <c r="Z14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5" s="1" t="str">
        <f>IF(Table1[[#This Row],[Spec Type]]="","N/A",Table1[[#This Row],[Spec Type]])</f>
        <v>±</v>
      </c>
      <c r="AC1445" s="1" t="str">
        <f>IF(Table1[[#This Row],[Spec Type2]]="N/A","N/A",IF(AND(Table1[[#This Row],[DUT Adj Read]]&gt;=Table1[[#This Row],[Low Tol]],Table1[[#This Row],[DUT Adj Read]]&lt;=Table1[[#This Row],[High Tol]]),"Pass","Fail"))</f>
        <v>Fail</v>
      </c>
      <c r="AD1445" s="1" t="str">
        <f>IF(AND(Table1[[#This Row],[Spec Type2]]="N/A",Table1[[#This Row],[DUT Adj Read]]="N/A",Table1[[#This Row],[Std Adj Read]]="N/A"),"N/A",IF(Table1[[#This Row],[DUT Adj Read]]="N/A",IF(Table1[[#This Row],[Std Adj Read]]&gt;Table1[[#This Row],[Low Tol]],"Pass","Fail"),IF(Table1[[#This Row],[DUT Adj Read]]&gt;Table1[[#This Row],[Low Tol]],"Pass","Fail")))</f>
        <v>Pass</v>
      </c>
      <c r="AE1445" s="1" t="str">
        <f>IF(AND(Table1[[#This Row],[Spec Type2]]="N/A",Table1[[#This Row],[DUT Adj Read]]="N/A",Table1[[#This Row],[Std Adj Read]]="N/A"),"N/A",IF(Table1[[#This Row],[DUT Adj Read]]="N/A",IF(Table1[[#This Row],[Std Adj Read]]&lt;Table1[[#This Row],[High Tol]],"Pass","Fail"),IF(Table1[[#This Row],[DUT Adj Read]]&lt;Table1[[#This Row],[High Tol]],"Pass","Fail")))</f>
        <v>Fail</v>
      </c>
      <c r="AF1445" s="1" t="str">
        <f>IF(AND(Table1[[#This Row],[Spec Type2]]="N/A",Table1[[#This Row],[DUT Adj Read]]="N/A",Table1[[#This Row],[Std Adj Read]]="N/A"),"N/A",IF(Table1[[#This Row],[DUT Adj Read]]="N/A",IF(Table1[[#This Row],[Std Adj Read]]&gt;=Table1[[#This Row],[Low Tol]],"Pass","Fail"),IF(Table1[[#This Row],[DUT Adj Read]]&gt;=Table1[[#This Row],[Low Tol]],"Pass","Fail")))</f>
        <v>Pass</v>
      </c>
      <c r="AG1445" s="1" t="str">
        <f>IF(AND(Table1[[#This Row],[Spec Type2]]="N/A",Table1[[#This Row],[DUT Adj Read]]="N/A",Table1[[#This Row],[Std Adj Read]]="N/A"),"N/A",IF(Table1[[#This Row],[DUT Adj Read]]="N/A",IF(Table1[[#This Row],[Std Adj Read]]&lt;=Table1[[#This Row],[High Tol]],"Pass","Fail"),IF(Table1[[#This Row],[DUT Adj Read]]&lt;=Table1[[#This Row],[High Tol]],"Pass","Fail")))</f>
        <v>Fail</v>
      </c>
      <c r="AH14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5" s="1" t="b">
        <v>0</v>
      </c>
      <c r="AN1445" s="1" t="b">
        <v>0</v>
      </c>
      <c r="AO1445" s="1" t="b">
        <v>0</v>
      </c>
    </row>
    <row r="1446" spans="1:41" x14ac:dyDescent="0.25">
      <c r="A1446" s="10"/>
      <c r="B1446" s="10"/>
      <c r="C1446" s="10"/>
      <c r="D1446" s="10"/>
      <c r="E1446" s="10"/>
      <c r="F1446" s="10"/>
      <c r="G1446" s="10"/>
      <c r="H1446" s="10"/>
      <c r="I1446" s="1" t="str">
        <f t="shared" si="66"/>
        <v/>
      </c>
      <c r="J1446" s="1" t="s">
        <v>35</v>
      </c>
      <c r="K1446" s="1" t="str">
        <f t="shared" si="67"/>
        <v/>
      </c>
      <c r="L1446" s="1" t="str">
        <f t="shared" si="68"/>
        <v/>
      </c>
      <c r="M1446" s="1">
        <f>IF(OR(Table1[[#This Row],[Std Nom]]="",Table1[[#This Row],[Std Read]]=""),0,Table1[[#This Row],[Std Nom]]-Table1[[#This Row],[Std Read]])</f>
        <v>0</v>
      </c>
      <c r="N1446" s="1">
        <f>IF(Calculations!$F$5="ACCREDITED 17025 WITH UNCERTAINTIES",$N$10,0)</f>
        <v>0</v>
      </c>
      <c r="O1446" s="1" t="str">
        <f>IFERROR(Table1[[#This Row],[Std Nom]]-(_xlfn.XLOOKUP(Table1[[#This Row],[Manufacturer]]&amp;" "&amp;Table1[[#This Row],[Model]],Table13[MFR &amp; MDL],Table13[Tolerance % CW ],"")/100*Table1[[#This Row],[Std Nom]]),"")</f>
        <v/>
      </c>
      <c r="P1446" s="1" t="str">
        <f>IFERROR(Table1[[#This Row],[Std Nom]]+(_xlfn.XLOOKUP(Table1[[#This Row],[Manufacturer]]&amp;" "&amp;Table1[[#This Row],[Model]],Table13[MFR &amp; MDL],Table13[Tolerance % CW ],"")/100*Table1[[#This Row],[Std Nom]]),"")</f>
        <v/>
      </c>
      <c r="Q1446" s="1" t="e">
        <f>Table1[[#This Row],[High Tol]]-Table1[[#This Row],[Low Tol]]</f>
        <v>#VALUE!</v>
      </c>
      <c r="R1446" s="1">
        <f>2*Table1[[#This Row],[Std Error]]</f>
        <v>0</v>
      </c>
      <c r="S1446" s="1" t="str">
        <f>IF(Table1[[#This Row],[High Tol]]="","N/A",IFERROR(ABS(Table1[[#This Row],[Tol Span]]/Table1[[#This Row],[Error Span]]),"N/A"))</f>
        <v>N/A</v>
      </c>
      <c r="T1446" s="1" t="str">
        <f>IF(OR(Table1[[#This Row],[Low Tol]]="",Table1[[#This Row],[High Tol]]=""),"Needs Analysis",IF(Table1[[#This Row],[Ratio]]&gt;=4,"Not Significant",IF(Table1[[#This Row],[Ratio]]&gt;=2,"Semi-Significant","Significant")))</f>
        <v>Needs Analysis</v>
      </c>
      <c r="W1446" s="1">
        <f>IF(Table1[[#This Row],[Cal Type]]&lt;&gt;"ACCREDITED 17025 WITH UNCERTAINTIES",0,"")</f>
        <v>0</v>
      </c>
      <c r="X1446" s="1" t="str">
        <f>IF(Table1[[#This Row],[DUT Read]]="","N/A",Table1[[#This Row],[Std Error]]+Table1[[#This Row],[DUT Read]]+Table1[[#This Row],[DUT Ucty]])</f>
        <v>N/A</v>
      </c>
      <c r="Y1446" s="1" t="str">
        <f>IF(Table1[[#This Row],[Std Read]]="","N/A",Table1[[#This Row],[Std Read]]+Table1[[#This Row],[Std Ucty]])</f>
        <v>N/A</v>
      </c>
      <c r="Z14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6" s="1" t="str">
        <f>IF(Table1[[#This Row],[Spec Type]]="","N/A",Table1[[#This Row],[Spec Type]])</f>
        <v>±</v>
      </c>
      <c r="AC1446" s="1" t="str">
        <f>IF(Table1[[#This Row],[Spec Type2]]="N/A","N/A",IF(AND(Table1[[#This Row],[DUT Adj Read]]&gt;=Table1[[#This Row],[Low Tol]],Table1[[#This Row],[DUT Adj Read]]&lt;=Table1[[#This Row],[High Tol]]),"Pass","Fail"))</f>
        <v>Fail</v>
      </c>
      <c r="AD1446" s="1" t="str">
        <f>IF(AND(Table1[[#This Row],[Spec Type2]]="N/A",Table1[[#This Row],[DUT Adj Read]]="N/A",Table1[[#This Row],[Std Adj Read]]="N/A"),"N/A",IF(Table1[[#This Row],[DUT Adj Read]]="N/A",IF(Table1[[#This Row],[Std Adj Read]]&gt;Table1[[#This Row],[Low Tol]],"Pass","Fail"),IF(Table1[[#This Row],[DUT Adj Read]]&gt;Table1[[#This Row],[Low Tol]],"Pass","Fail")))</f>
        <v>Pass</v>
      </c>
      <c r="AE1446" s="1" t="str">
        <f>IF(AND(Table1[[#This Row],[Spec Type2]]="N/A",Table1[[#This Row],[DUT Adj Read]]="N/A",Table1[[#This Row],[Std Adj Read]]="N/A"),"N/A",IF(Table1[[#This Row],[DUT Adj Read]]="N/A",IF(Table1[[#This Row],[Std Adj Read]]&lt;Table1[[#This Row],[High Tol]],"Pass","Fail"),IF(Table1[[#This Row],[DUT Adj Read]]&lt;Table1[[#This Row],[High Tol]],"Pass","Fail")))</f>
        <v>Fail</v>
      </c>
      <c r="AF1446" s="1" t="str">
        <f>IF(AND(Table1[[#This Row],[Spec Type2]]="N/A",Table1[[#This Row],[DUT Adj Read]]="N/A",Table1[[#This Row],[Std Adj Read]]="N/A"),"N/A",IF(Table1[[#This Row],[DUT Adj Read]]="N/A",IF(Table1[[#This Row],[Std Adj Read]]&gt;=Table1[[#This Row],[Low Tol]],"Pass","Fail"),IF(Table1[[#This Row],[DUT Adj Read]]&gt;=Table1[[#This Row],[Low Tol]],"Pass","Fail")))</f>
        <v>Pass</v>
      </c>
      <c r="AG1446" s="1" t="str">
        <f>IF(AND(Table1[[#This Row],[Spec Type2]]="N/A",Table1[[#This Row],[DUT Adj Read]]="N/A",Table1[[#This Row],[Std Adj Read]]="N/A"),"N/A",IF(Table1[[#This Row],[DUT Adj Read]]="N/A",IF(Table1[[#This Row],[Std Adj Read]]&lt;=Table1[[#This Row],[High Tol]],"Pass","Fail"),IF(Table1[[#This Row],[DUT Adj Read]]&lt;=Table1[[#This Row],[High Tol]],"Pass","Fail")))</f>
        <v>Fail</v>
      </c>
      <c r="AH14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6" s="1" t="b">
        <v>0</v>
      </c>
      <c r="AN1446" s="1" t="b">
        <v>0</v>
      </c>
      <c r="AO1446" s="1" t="b">
        <v>0</v>
      </c>
    </row>
    <row r="1447" spans="1:41" x14ac:dyDescent="0.25">
      <c r="A1447" s="10"/>
      <c r="B1447" s="10"/>
      <c r="C1447" s="10"/>
      <c r="D1447" s="10"/>
      <c r="E1447" s="10"/>
      <c r="F1447" s="10"/>
      <c r="G1447" s="10"/>
      <c r="H1447" s="10"/>
      <c r="I1447" s="1" t="str">
        <f t="shared" si="66"/>
        <v/>
      </c>
      <c r="J1447" s="1" t="s">
        <v>35</v>
      </c>
      <c r="K1447" s="1" t="str">
        <f t="shared" si="67"/>
        <v/>
      </c>
      <c r="L1447" s="1" t="str">
        <f t="shared" si="68"/>
        <v/>
      </c>
      <c r="M1447" s="1">
        <f>IF(OR(Table1[[#This Row],[Std Nom]]="",Table1[[#This Row],[Std Read]]=""),0,Table1[[#This Row],[Std Nom]]-Table1[[#This Row],[Std Read]])</f>
        <v>0</v>
      </c>
      <c r="N1447" s="1">
        <f>IF(Calculations!$F$5="ACCREDITED 17025 WITH UNCERTAINTIES",$N$10,0)</f>
        <v>0</v>
      </c>
      <c r="O1447" s="1" t="str">
        <f>IFERROR(Table1[[#This Row],[Std Nom]]-(_xlfn.XLOOKUP(Table1[[#This Row],[Manufacturer]]&amp;" "&amp;Table1[[#This Row],[Model]],Table13[MFR &amp; MDL],Table13[Tolerance % CW ],"")/100*Table1[[#This Row],[Std Nom]]),"")</f>
        <v/>
      </c>
      <c r="P1447" s="1" t="str">
        <f>IFERROR(Table1[[#This Row],[Std Nom]]+(_xlfn.XLOOKUP(Table1[[#This Row],[Manufacturer]]&amp;" "&amp;Table1[[#This Row],[Model]],Table13[MFR &amp; MDL],Table13[Tolerance % CW ],"")/100*Table1[[#This Row],[Std Nom]]),"")</f>
        <v/>
      </c>
      <c r="Q1447" s="1" t="e">
        <f>Table1[[#This Row],[High Tol]]-Table1[[#This Row],[Low Tol]]</f>
        <v>#VALUE!</v>
      </c>
      <c r="R1447" s="1">
        <f>2*Table1[[#This Row],[Std Error]]</f>
        <v>0</v>
      </c>
      <c r="S1447" s="1" t="str">
        <f>IF(Table1[[#This Row],[High Tol]]="","N/A",IFERROR(ABS(Table1[[#This Row],[Tol Span]]/Table1[[#This Row],[Error Span]]),"N/A"))</f>
        <v>N/A</v>
      </c>
      <c r="T1447" s="1" t="str">
        <f>IF(OR(Table1[[#This Row],[Low Tol]]="",Table1[[#This Row],[High Tol]]=""),"Needs Analysis",IF(Table1[[#This Row],[Ratio]]&gt;=4,"Not Significant",IF(Table1[[#This Row],[Ratio]]&gt;=2,"Semi-Significant","Significant")))</f>
        <v>Needs Analysis</v>
      </c>
      <c r="W1447" s="1">
        <f>IF(Table1[[#This Row],[Cal Type]]&lt;&gt;"ACCREDITED 17025 WITH UNCERTAINTIES",0,"")</f>
        <v>0</v>
      </c>
      <c r="X1447" s="1" t="str">
        <f>IF(Table1[[#This Row],[DUT Read]]="","N/A",Table1[[#This Row],[Std Error]]+Table1[[#This Row],[DUT Read]]+Table1[[#This Row],[DUT Ucty]])</f>
        <v>N/A</v>
      </c>
      <c r="Y1447" s="1" t="str">
        <f>IF(Table1[[#This Row],[Std Read]]="","N/A",Table1[[#This Row],[Std Read]]+Table1[[#This Row],[Std Ucty]])</f>
        <v>N/A</v>
      </c>
      <c r="Z14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7" s="1" t="str">
        <f>IF(Table1[[#This Row],[Spec Type]]="","N/A",Table1[[#This Row],[Spec Type]])</f>
        <v>±</v>
      </c>
      <c r="AC1447" s="1" t="str">
        <f>IF(Table1[[#This Row],[Spec Type2]]="N/A","N/A",IF(AND(Table1[[#This Row],[DUT Adj Read]]&gt;=Table1[[#This Row],[Low Tol]],Table1[[#This Row],[DUT Adj Read]]&lt;=Table1[[#This Row],[High Tol]]),"Pass","Fail"))</f>
        <v>Fail</v>
      </c>
      <c r="AD1447" s="1" t="str">
        <f>IF(AND(Table1[[#This Row],[Spec Type2]]="N/A",Table1[[#This Row],[DUT Adj Read]]="N/A",Table1[[#This Row],[Std Adj Read]]="N/A"),"N/A",IF(Table1[[#This Row],[DUT Adj Read]]="N/A",IF(Table1[[#This Row],[Std Adj Read]]&gt;Table1[[#This Row],[Low Tol]],"Pass","Fail"),IF(Table1[[#This Row],[DUT Adj Read]]&gt;Table1[[#This Row],[Low Tol]],"Pass","Fail")))</f>
        <v>Pass</v>
      </c>
      <c r="AE1447" s="1" t="str">
        <f>IF(AND(Table1[[#This Row],[Spec Type2]]="N/A",Table1[[#This Row],[DUT Adj Read]]="N/A",Table1[[#This Row],[Std Adj Read]]="N/A"),"N/A",IF(Table1[[#This Row],[DUT Adj Read]]="N/A",IF(Table1[[#This Row],[Std Adj Read]]&lt;Table1[[#This Row],[High Tol]],"Pass","Fail"),IF(Table1[[#This Row],[DUT Adj Read]]&lt;Table1[[#This Row],[High Tol]],"Pass","Fail")))</f>
        <v>Fail</v>
      </c>
      <c r="AF1447" s="1" t="str">
        <f>IF(AND(Table1[[#This Row],[Spec Type2]]="N/A",Table1[[#This Row],[DUT Adj Read]]="N/A",Table1[[#This Row],[Std Adj Read]]="N/A"),"N/A",IF(Table1[[#This Row],[DUT Adj Read]]="N/A",IF(Table1[[#This Row],[Std Adj Read]]&gt;=Table1[[#This Row],[Low Tol]],"Pass","Fail"),IF(Table1[[#This Row],[DUT Adj Read]]&gt;=Table1[[#This Row],[Low Tol]],"Pass","Fail")))</f>
        <v>Pass</v>
      </c>
      <c r="AG1447" s="1" t="str">
        <f>IF(AND(Table1[[#This Row],[Spec Type2]]="N/A",Table1[[#This Row],[DUT Adj Read]]="N/A",Table1[[#This Row],[Std Adj Read]]="N/A"),"N/A",IF(Table1[[#This Row],[DUT Adj Read]]="N/A",IF(Table1[[#This Row],[Std Adj Read]]&lt;=Table1[[#This Row],[High Tol]],"Pass","Fail"),IF(Table1[[#This Row],[DUT Adj Read]]&lt;=Table1[[#This Row],[High Tol]],"Pass","Fail")))</f>
        <v>Fail</v>
      </c>
      <c r="AH14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7" s="1" t="b">
        <v>0</v>
      </c>
      <c r="AN1447" s="1" t="b">
        <v>0</v>
      </c>
      <c r="AO1447" s="1" t="b">
        <v>0</v>
      </c>
    </row>
    <row r="1448" spans="1:41" x14ac:dyDescent="0.25">
      <c r="A1448" s="10"/>
      <c r="B1448" s="10"/>
      <c r="C1448" s="10"/>
      <c r="D1448" s="10"/>
      <c r="E1448" s="10"/>
      <c r="F1448" s="10"/>
      <c r="G1448" s="10"/>
      <c r="H1448" s="10"/>
      <c r="I1448" s="1" t="str">
        <f t="shared" si="66"/>
        <v/>
      </c>
      <c r="J1448" s="1" t="s">
        <v>35</v>
      </c>
      <c r="K1448" s="1" t="str">
        <f t="shared" si="67"/>
        <v/>
      </c>
      <c r="L1448" s="1" t="str">
        <f t="shared" si="68"/>
        <v/>
      </c>
      <c r="M1448" s="1">
        <f>IF(OR(Table1[[#This Row],[Std Nom]]="",Table1[[#This Row],[Std Read]]=""),0,Table1[[#This Row],[Std Nom]]-Table1[[#This Row],[Std Read]])</f>
        <v>0</v>
      </c>
      <c r="N1448" s="1">
        <f>IF(Calculations!$F$5="ACCREDITED 17025 WITH UNCERTAINTIES",$N$10,0)</f>
        <v>0</v>
      </c>
      <c r="O1448" s="1" t="str">
        <f>IFERROR(Table1[[#This Row],[Std Nom]]-(_xlfn.XLOOKUP(Table1[[#This Row],[Manufacturer]]&amp;" "&amp;Table1[[#This Row],[Model]],Table13[MFR &amp; MDL],Table13[Tolerance % CW ],"")/100*Table1[[#This Row],[Std Nom]]),"")</f>
        <v/>
      </c>
      <c r="P1448" s="1" t="str">
        <f>IFERROR(Table1[[#This Row],[Std Nom]]+(_xlfn.XLOOKUP(Table1[[#This Row],[Manufacturer]]&amp;" "&amp;Table1[[#This Row],[Model]],Table13[MFR &amp; MDL],Table13[Tolerance % CW ],"")/100*Table1[[#This Row],[Std Nom]]),"")</f>
        <v/>
      </c>
      <c r="Q1448" s="1" t="e">
        <f>Table1[[#This Row],[High Tol]]-Table1[[#This Row],[Low Tol]]</f>
        <v>#VALUE!</v>
      </c>
      <c r="R1448" s="1">
        <f>2*Table1[[#This Row],[Std Error]]</f>
        <v>0</v>
      </c>
      <c r="S1448" s="1" t="str">
        <f>IF(Table1[[#This Row],[High Tol]]="","N/A",IFERROR(ABS(Table1[[#This Row],[Tol Span]]/Table1[[#This Row],[Error Span]]),"N/A"))</f>
        <v>N/A</v>
      </c>
      <c r="T1448" s="1" t="str">
        <f>IF(OR(Table1[[#This Row],[Low Tol]]="",Table1[[#This Row],[High Tol]]=""),"Needs Analysis",IF(Table1[[#This Row],[Ratio]]&gt;=4,"Not Significant",IF(Table1[[#This Row],[Ratio]]&gt;=2,"Semi-Significant","Significant")))</f>
        <v>Needs Analysis</v>
      </c>
      <c r="W1448" s="1">
        <f>IF(Table1[[#This Row],[Cal Type]]&lt;&gt;"ACCREDITED 17025 WITH UNCERTAINTIES",0,"")</f>
        <v>0</v>
      </c>
      <c r="X1448" s="1" t="str">
        <f>IF(Table1[[#This Row],[DUT Read]]="","N/A",Table1[[#This Row],[Std Error]]+Table1[[#This Row],[DUT Read]]+Table1[[#This Row],[DUT Ucty]])</f>
        <v>N/A</v>
      </c>
      <c r="Y1448" s="1" t="str">
        <f>IF(Table1[[#This Row],[Std Read]]="","N/A",Table1[[#This Row],[Std Read]]+Table1[[#This Row],[Std Ucty]])</f>
        <v>N/A</v>
      </c>
      <c r="Z14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8" s="1" t="str">
        <f>IF(Table1[[#This Row],[Spec Type]]="","N/A",Table1[[#This Row],[Spec Type]])</f>
        <v>±</v>
      </c>
      <c r="AC1448" s="1" t="str">
        <f>IF(Table1[[#This Row],[Spec Type2]]="N/A","N/A",IF(AND(Table1[[#This Row],[DUT Adj Read]]&gt;=Table1[[#This Row],[Low Tol]],Table1[[#This Row],[DUT Adj Read]]&lt;=Table1[[#This Row],[High Tol]]),"Pass","Fail"))</f>
        <v>Fail</v>
      </c>
      <c r="AD1448" s="1" t="str">
        <f>IF(AND(Table1[[#This Row],[Spec Type2]]="N/A",Table1[[#This Row],[DUT Adj Read]]="N/A",Table1[[#This Row],[Std Adj Read]]="N/A"),"N/A",IF(Table1[[#This Row],[DUT Adj Read]]="N/A",IF(Table1[[#This Row],[Std Adj Read]]&gt;Table1[[#This Row],[Low Tol]],"Pass","Fail"),IF(Table1[[#This Row],[DUT Adj Read]]&gt;Table1[[#This Row],[Low Tol]],"Pass","Fail")))</f>
        <v>Pass</v>
      </c>
      <c r="AE1448" s="1" t="str">
        <f>IF(AND(Table1[[#This Row],[Spec Type2]]="N/A",Table1[[#This Row],[DUT Adj Read]]="N/A",Table1[[#This Row],[Std Adj Read]]="N/A"),"N/A",IF(Table1[[#This Row],[DUT Adj Read]]="N/A",IF(Table1[[#This Row],[Std Adj Read]]&lt;Table1[[#This Row],[High Tol]],"Pass","Fail"),IF(Table1[[#This Row],[DUT Adj Read]]&lt;Table1[[#This Row],[High Tol]],"Pass","Fail")))</f>
        <v>Fail</v>
      </c>
      <c r="AF1448" s="1" t="str">
        <f>IF(AND(Table1[[#This Row],[Spec Type2]]="N/A",Table1[[#This Row],[DUT Adj Read]]="N/A",Table1[[#This Row],[Std Adj Read]]="N/A"),"N/A",IF(Table1[[#This Row],[DUT Adj Read]]="N/A",IF(Table1[[#This Row],[Std Adj Read]]&gt;=Table1[[#This Row],[Low Tol]],"Pass","Fail"),IF(Table1[[#This Row],[DUT Adj Read]]&gt;=Table1[[#This Row],[Low Tol]],"Pass","Fail")))</f>
        <v>Pass</v>
      </c>
      <c r="AG1448" s="1" t="str">
        <f>IF(AND(Table1[[#This Row],[Spec Type2]]="N/A",Table1[[#This Row],[DUT Adj Read]]="N/A",Table1[[#This Row],[Std Adj Read]]="N/A"),"N/A",IF(Table1[[#This Row],[DUT Adj Read]]="N/A",IF(Table1[[#This Row],[Std Adj Read]]&lt;=Table1[[#This Row],[High Tol]],"Pass","Fail"),IF(Table1[[#This Row],[DUT Adj Read]]&lt;=Table1[[#This Row],[High Tol]],"Pass","Fail")))</f>
        <v>Fail</v>
      </c>
      <c r="AH14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8" s="1" t="b">
        <v>0</v>
      </c>
      <c r="AN1448" s="1" t="b">
        <v>0</v>
      </c>
      <c r="AO1448" s="1" t="b">
        <v>0</v>
      </c>
    </row>
    <row r="1449" spans="1:41" x14ac:dyDescent="0.25">
      <c r="A1449" s="10"/>
      <c r="B1449" s="10"/>
      <c r="C1449" s="10"/>
      <c r="D1449" s="10"/>
      <c r="E1449" s="10"/>
      <c r="F1449" s="10"/>
      <c r="G1449" s="10"/>
      <c r="H1449" s="10"/>
      <c r="I1449" s="1" t="str">
        <f t="shared" si="66"/>
        <v/>
      </c>
      <c r="J1449" s="1" t="s">
        <v>35</v>
      </c>
      <c r="K1449" s="1" t="str">
        <f t="shared" si="67"/>
        <v/>
      </c>
      <c r="L1449" s="1" t="str">
        <f t="shared" si="68"/>
        <v/>
      </c>
      <c r="M1449" s="1">
        <f>IF(OR(Table1[[#This Row],[Std Nom]]="",Table1[[#This Row],[Std Read]]=""),0,Table1[[#This Row],[Std Nom]]-Table1[[#This Row],[Std Read]])</f>
        <v>0</v>
      </c>
      <c r="N1449" s="1">
        <f>IF(Calculations!$F$5="ACCREDITED 17025 WITH UNCERTAINTIES",$N$10,0)</f>
        <v>0</v>
      </c>
      <c r="O1449" s="1" t="str">
        <f>IFERROR(Table1[[#This Row],[Std Nom]]-(_xlfn.XLOOKUP(Table1[[#This Row],[Manufacturer]]&amp;" "&amp;Table1[[#This Row],[Model]],Table13[MFR &amp; MDL],Table13[Tolerance % CW ],"")/100*Table1[[#This Row],[Std Nom]]),"")</f>
        <v/>
      </c>
      <c r="P1449" s="1" t="str">
        <f>IFERROR(Table1[[#This Row],[Std Nom]]+(_xlfn.XLOOKUP(Table1[[#This Row],[Manufacturer]]&amp;" "&amp;Table1[[#This Row],[Model]],Table13[MFR &amp; MDL],Table13[Tolerance % CW ],"")/100*Table1[[#This Row],[Std Nom]]),"")</f>
        <v/>
      </c>
      <c r="Q1449" s="1" t="e">
        <f>Table1[[#This Row],[High Tol]]-Table1[[#This Row],[Low Tol]]</f>
        <v>#VALUE!</v>
      </c>
      <c r="R1449" s="1">
        <f>2*Table1[[#This Row],[Std Error]]</f>
        <v>0</v>
      </c>
      <c r="S1449" s="1" t="str">
        <f>IF(Table1[[#This Row],[High Tol]]="","N/A",IFERROR(ABS(Table1[[#This Row],[Tol Span]]/Table1[[#This Row],[Error Span]]),"N/A"))</f>
        <v>N/A</v>
      </c>
      <c r="T1449" s="1" t="str">
        <f>IF(OR(Table1[[#This Row],[Low Tol]]="",Table1[[#This Row],[High Tol]]=""),"Needs Analysis",IF(Table1[[#This Row],[Ratio]]&gt;=4,"Not Significant",IF(Table1[[#This Row],[Ratio]]&gt;=2,"Semi-Significant","Significant")))</f>
        <v>Needs Analysis</v>
      </c>
      <c r="W1449" s="1">
        <f>IF(Table1[[#This Row],[Cal Type]]&lt;&gt;"ACCREDITED 17025 WITH UNCERTAINTIES",0,"")</f>
        <v>0</v>
      </c>
      <c r="X1449" s="1" t="str">
        <f>IF(Table1[[#This Row],[DUT Read]]="","N/A",Table1[[#This Row],[Std Error]]+Table1[[#This Row],[DUT Read]]+Table1[[#This Row],[DUT Ucty]])</f>
        <v>N/A</v>
      </c>
      <c r="Y1449" s="1" t="str">
        <f>IF(Table1[[#This Row],[Std Read]]="","N/A",Table1[[#This Row],[Std Read]]+Table1[[#This Row],[Std Ucty]])</f>
        <v>N/A</v>
      </c>
      <c r="Z14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9" s="1" t="str">
        <f>IF(Table1[[#This Row],[Spec Type]]="","N/A",Table1[[#This Row],[Spec Type]])</f>
        <v>±</v>
      </c>
      <c r="AC1449" s="1" t="str">
        <f>IF(Table1[[#This Row],[Spec Type2]]="N/A","N/A",IF(AND(Table1[[#This Row],[DUT Adj Read]]&gt;=Table1[[#This Row],[Low Tol]],Table1[[#This Row],[DUT Adj Read]]&lt;=Table1[[#This Row],[High Tol]]),"Pass","Fail"))</f>
        <v>Fail</v>
      </c>
      <c r="AD1449" s="1" t="str">
        <f>IF(AND(Table1[[#This Row],[Spec Type2]]="N/A",Table1[[#This Row],[DUT Adj Read]]="N/A",Table1[[#This Row],[Std Adj Read]]="N/A"),"N/A",IF(Table1[[#This Row],[DUT Adj Read]]="N/A",IF(Table1[[#This Row],[Std Adj Read]]&gt;Table1[[#This Row],[Low Tol]],"Pass","Fail"),IF(Table1[[#This Row],[DUT Adj Read]]&gt;Table1[[#This Row],[Low Tol]],"Pass","Fail")))</f>
        <v>Pass</v>
      </c>
      <c r="AE1449" s="1" t="str">
        <f>IF(AND(Table1[[#This Row],[Spec Type2]]="N/A",Table1[[#This Row],[DUT Adj Read]]="N/A",Table1[[#This Row],[Std Adj Read]]="N/A"),"N/A",IF(Table1[[#This Row],[DUT Adj Read]]="N/A",IF(Table1[[#This Row],[Std Adj Read]]&lt;Table1[[#This Row],[High Tol]],"Pass","Fail"),IF(Table1[[#This Row],[DUT Adj Read]]&lt;Table1[[#This Row],[High Tol]],"Pass","Fail")))</f>
        <v>Fail</v>
      </c>
      <c r="AF1449" s="1" t="str">
        <f>IF(AND(Table1[[#This Row],[Spec Type2]]="N/A",Table1[[#This Row],[DUT Adj Read]]="N/A",Table1[[#This Row],[Std Adj Read]]="N/A"),"N/A",IF(Table1[[#This Row],[DUT Adj Read]]="N/A",IF(Table1[[#This Row],[Std Adj Read]]&gt;=Table1[[#This Row],[Low Tol]],"Pass","Fail"),IF(Table1[[#This Row],[DUT Adj Read]]&gt;=Table1[[#This Row],[Low Tol]],"Pass","Fail")))</f>
        <v>Pass</v>
      </c>
      <c r="AG1449" s="1" t="str">
        <f>IF(AND(Table1[[#This Row],[Spec Type2]]="N/A",Table1[[#This Row],[DUT Adj Read]]="N/A",Table1[[#This Row],[Std Adj Read]]="N/A"),"N/A",IF(Table1[[#This Row],[DUT Adj Read]]="N/A",IF(Table1[[#This Row],[Std Adj Read]]&lt;=Table1[[#This Row],[High Tol]],"Pass","Fail"),IF(Table1[[#This Row],[DUT Adj Read]]&lt;=Table1[[#This Row],[High Tol]],"Pass","Fail")))</f>
        <v>Fail</v>
      </c>
      <c r="AH14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9" s="1" t="b">
        <v>0</v>
      </c>
      <c r="AN1449" s="1" t="b">
        <v>0</v>
      </c>
      <c r="AO1449" s="1" t="b">
        <v>0</v>
      </c>
    </row>
    <row r="1450" spans="1:41" x14ac:dyDescent="0.25">
      <c r="A1450" s="10"/>
      <c r="B1450" s="10"/>
      <c r="C1450" s="10"/>
      <c r="D1450" s="10"/>
      <c r="E1450" s="10"/>
      <c r="F1450" s="10"/>
      <c r="G1450" s="10"/>
      <c r="H1450" s="10"/>
      <c r="I1450" s="1" t="str">
        <f t="shared" si="66"/>
        <v/>
      </c>
      <c r="J1450" s="1" t="s">
        <v>35</v>
      </c>
      <c r="K1450" s="1" t="str">
        <f t="shared" si="67"/>
        <v/>
      </c>
      <c r="L1450" s="1" t="str">
        <f t="shared" si="68"/>
        <v/>
      </c>
      <c r="M1450" s="1">
        <f>IF(OR(Table1[[#This Row],[Std Nom]]="",Table1[[#This Row],[Std Read]]=""),0,Table1[[#This Row],[Std Nom]]-Table1[[#This Row],[Std Read]])</f>
        <v>0</v>
      </c>
      <c r="N1450" s="1">
        <f>IF(Calculations!$F$5="ACCREDITED 17025 WITH UNCERTAINTIES",$N$10,0)</f>
        <v>0</v>
      </c>
      <c r="O1450" s="1" t="str">
        <f>IFERROR(Table1[[#This Row],[Std Nom]]-(_xlfn.XLOOKUP(Table1[[#This Row],[Manufacturer]]&amp;" "&amp;Table1[[#This Row],[Model]],Table13[MFR &amp; MDL],Table13[Tolerance % CW ],"")/100*Table1[[#This Row],[Std Nom]]),"")</f>
        <v/>
      </c>
      <c r="P1450" s="1" t="str">
        <f>IFERROR(Table1[[#This Row],[Std Nom]]+(_xlfn.XLOOKUP(Table1[[#This Row],[Manufacturer]]&amp;" "&amp;Table1[[#This Row],[Model]],Table13[MFR &amp; MDL],Table13[Tolerance % CW ],"")/100*Table1[[#This Row],[Std Nom]]),"")</f>
        <v/>
      </c>
      <c r="Q1450" s="1" t="e">
        <f>Table1[[#This Row],[High Tol]]-Table1[[#This Row],[Low Tol]]</f>
        <v>#VALUE!</v>
      </c>
      <c r="R1450" s="1">
        <f>2*Table1[[#This Row],[Std Error]]</f>
        <v>0</v>
      </c>
      <c r="S1450" s="1" t="str">
        <f>IF(Table1[[#This Row],[High Tol]]="","N/A",IFERROR(ABS(Table1[[#This Row],[Tol Span]]/Table1[[#This Row],[Error Span]]),"N/A"))</f>
        <v>N/A</v>
      </c>
      <c r="T1450" s="1" t="str">
        <f>IF(OR(Table1[[#This Row],[Low Tol]]="",Table1[[#This Row],[High Tol]]=""),"Needs Analysis",IF(Table1[[#This Row],[Ratio]]&gt;=4,"Not Significant",IF(Table1[[#This Row],[Ratio]]&gt;=2,"Semi-Significant","Significant")))</f>
        <v>Needs Analysis</v>
      </c>
      <c r="W1450" s="1">
        <f>IF(Table1[[#This Row],[Cal Type]]&lt;&gt;"ACCREDITED 17025 WITH UNCERTAINTIES",0,"")</f>
        <v>0</v>
      </c>
      <c r="X1450" s="1" t="str">
        <f>IF(Table1[[#This Row],[DUT Read]]="","N/A",Table1[[#This Row],[Std Error]]+Table1[[#This Row],[DUT Read]]+Table1[[#This Row],[DUT Ucty]])</f>
        <v>N/A</v>
      </c>
      <c r="Y1450" s="1" t="str">
        <f>IF(Table1[[#This Row],[Std Read]]="","N/A",Table1[[#This Row],[Std Read]]+Table1[[#This Row],[Std Ucty]])</f>
        <v>N/A</v>
      </c>
      <c r="Z14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0" s="1" t="str">
        <f>IF(Table1[[#This Row],[Spec Type]]="","N/A",Table1[[#This Row],[Spec Type]])</f>
        <v>±</v>
      </c>
      <c r="AC1450" s="1" t="str">
        <f>IF(Table1[[#This Row],[Spec Type2]]="N/A","N/A",IF(AND(Table1[[#This Row],[DUT Adj Read]]&gt;=Table1[[#This Row],[Low Tol]],Table1[[#This Row],[DUT Adj Read]]&lt;=Table1[[#This Row],[High Tol]]),"Pass","Fail"))</f>
        <v>Fail</v>
      </c>
      <c r="AD1450" s="1" t="str">
        <f>IF(AND(Table1[[#This Row],[Spec Type2]]="N/A",Table1[[#This Row],[DUT Adj Read]]="N/A",Table1[[#This Row],[Std Adj Read]]="N/A"),"N/A",IF(Table1[[#This Row],[DUT Adj Read]]="N/A",IF(Table1[[#This Row],[Std Adj Read]]&gt;Table1[[#This Row],[Low Tol]],"Pass","Fail"),IF(Table1[[#This Row],[DUT Adj Read]]&gt;Table1[[#This Row],[Low Tol]],"Pass","Fail")))</f>
        <v>Pass</v>
      </c>
      <c r="AE1450" s="1" t="str">
        <f>IF(AND(Table1[[#This Row],[Spec Type2]]="N/A",Table1[[#This Row],[DUT Adj Read]]="N/A",Table1[[#This Row],[Std Adj Read]]="N/A"),"N/A",IF(Table1[[#This Row],[DUT Adj Read]]="N/A",IF(Table1[[#This Row],[Std Adj Read]]&lt;Table1[[#This Row],[High Tol]],"Pass","Fail"),IF(Table1[[#This Row],[DUT Adj Read]]&lt;Table1[[#This Row],[High Tol]],"Pass","Fail")))</f>
        <v>Fail</v>
      </c>
      <c r="AF1450" s="1" t="str">
        <f>IF(AND(Table1[[#This Row],[Spec Type2]]="N/A",Table1[[#This Row],[DUT Adj Read]]="N/A",Table1[[#This Row],[Std Adj Read]]="N/A"),"N/A",IF(Table1[[#This Row],[DUT Adj Read]]="N/A",IF(Table1[[#This Row],[Std Adj Read]]&gt;=Table1[[#This Row],[Low Tol]],"Pass","Fail"),IF(Table1[[#This Row],[DUT Adj Read]]&gt;=Table1[[#This Row],[Low Tol]],"Pass","Fail")))</f>
        <v>Pass</v>
      </c>
      <c r="AG1450" s="1" t="str">
        <f>IF(AND(Table1[[#This Row],[Spec Type2]]="N/A",Table1[[#This Row],[DUT Adj Read]]="N/A",Table1[[#This Row],[Std Adj Read]]="N/A"),"N/A",IF(Table1[[#This Row],[DUT Adj Read]]="N/A",IF(Table1[[#This Row],[Std Adj Read]]&lt;=Table1[[#This Row],[High Tol]],"Pass","Fail"),IF(Table1[[#This Row],[DUT Adj Read]]&lt;=Table1[[#This Row],[High Tol]],"Pass","Fail")))</f>
        <v>Fail</v>
      </c>
      <c r="AH14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0" s="1" t="b">
        <v>0</v>
      </c>
      <c r="AN1450" s="1" t="b">
        <v>0</v>
      </c>
      <c r="AO1450" s="1" t="b">
        <v>0</v>
      </c>
    </row>
    <row r="1451" spans="1:41" x14ac:dyDescent="0.25">
      <c r="A1451" s="10"/>
      <c r="B1451" s="10"/>
      <c r="C1451" s="10"/>
      <c r="D1451" s="10"/>
      <c r="E1451" s="10"/>
      <c r="F1451" s="10"/>
      <c r="G1451" s="10"/>
      <c r="H1451" s="10"/>
      <c r="I1451" s="1" t="str">
        <f t="shared" si="66"/>
        <v/>
      </c>
      <c r="J1451" s="1" t="s">
        <v>35</v>
      </c>
      <c r="K1451" s="1" t="str">
        <f t="shared" si="67"/>
        <v/>
      </c>
      <c r="L1451" s="1" t="str">
        <f t="shared" si="68"/>
        <v/>
      </c>
      <c r="M1451" s="1">
        <f>IF(OR(Table1[[#This Row],[Std Nom]]="",Table1[[#This Row],[Std Read]]=""),0,Table1[[#This Row],[Std Nom]]-Table1[[#This Row],[Std Read]])</f>
        <v>0</v>
      </c>
      <c r="N1451" s="1">
        <f>IF(Calculations!$F$5="ACCREDITED 17025 WITH UNCERTAINTIES",$N$10,0)</f>
        <v>0</v>
      </c>
      <c r="O1451" s="1" t="str">
        <f>IFERROR(Table1[[#This Row],[Std Nom]]-(_xlfn.XLOOKUP(Table1[[#This Row],[Manufacturer]]&amp;" "&amp;Table1[[#This Row],[Model]],Table13[MFR &amp; MDL],Table13[Tolerance % CW ],"")/100*Table1[[#This Row],[Std Nom]]),"")</f>
        <v/>
      </c>
      <c r="P1451" s="1" t="str">
        <f>IFERROR(Table1[[#This Row],[Std Nom]]+(_xlfn.XLOOKUP(Table1[[#This Row],[Manufacturer]]&amp;" "&amp;Table1[[#This Row],[Model]],Table13[MFR &amp; MDL],Table13[Tolerance % CW ],"")/100*Table1[[#This Row],[Std Nom]]),"")</f>
        <v/>
      </c>
      <c r="Q1451" s="1" t="e">
        <f>Table1[[#This Row],[High Tol]]-Table1[[#This Row],[Low Tol]]</f>
        <v>#VALUE!</v>
      </c>
      <c r="R1451" s="1">
        <f>2*Table1[[#This Row],[Std Error]]</f>
        <v>0</v>
      </c>
      <c r="S1451" s="1" t="str">
        <f>IF(Table1[[#This Row],[High Tol]]="","N/A",IFERROR(ABS(Table1[[#This Row],[Tol Span]]/Table1[[#This Row],[Error Span]]),"N/A"))</f>
        <v>N/A</v>
      </c>
      <c r="T1451" s="1" t="str">
        <f>IF(OR(Table1[[#This Row],[Low Tol]]="",Table1[[#This Row],[High Tol]]=""),"Needs Analysis",IF(Table1[[#This Row],[Ratio]]&gt;=4,"Not Significant",IF(Table1[[#This Row],[Ratio]]&gt;=2,"Semi-Significant","Significant")))</f>
        <v>Needs Analysis</v>
      </c>
      <c r="W1451" s="1">
        <f>IF(Table1[[#This Row],[Cal Type]]&lt;&gt;"ACCREDITED 17025 WITH UNCERTAINTIES",0,"")</f>
        <v>0</v>
      </c>
      <c r="X1451" s="1" t="str">
        <f>IF(Table1[[#This Row],[DUT Read]]="","N/A",Table1[[#This Row],[Std Error]]+Table1[[#This Row],[DUT Read]]+Table1[[#This Row],[DUT Ucty]])</f>
        <v>N/A</v>
      </c>
      <c r="Y1451" s="1" t="str">
        <f>IF(Table1[[#This Row],[Std Read]]="","N/A",Table1[[#This Row],[Std Read]]+Table1[[#This Row],[Std Ucty]])</f>
        <v>N/A</v>
      </c>
      <c r="Z14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1" s="1" t="str">
        <f>IF(Table1[[#This Row],[Spec Type]]="","N/A",Table1[[#This Row],[Spec Type]])</f>
        <v>±</v>
      </c>
      <c r="AC1451" s="1" t="str">
        <f>IF(Table1[[#This Row],[Spec Type2]]="N/A","N/A",IF(AND(Table1[[#This Row],[DUT Adj Read]]&gt;=Table1[[#This Row],[Low Tol]],Table1[[#This Row],[DUT Adj Read]]&lt;=Table1[[#This Row],[High Tol]]),"Pass","Fail"))</f>
        <v>Fail</v>
      </c>
      <c r="AD1451" s="1" t="str">
        <f>IF(AND(Table1[[#This Row],[Spec Type2]]="N/A",Table1[[#This Row],[DUT Adj Read]]="N/A",Table1[[#This Row],[Std Adj Read]]="N/A"),"N/A",IF(Table1[[#This Row],[DUT Adj Read]]="N/A",IF(Table1[[#This Row],[Std Adj Read]]&gt;Table1[[#This Row],[Low Tol]],"Pass","Fail"),IF(Table1[[#This Row],[DUT Adj Read]]&gt;Table1[[#This Row],[Low Tol]],"Pass","Fail")))</f>
        <v>Pass</v>
      </c>
      <c r="AE1451" s="1" t="str">
        <f>IF(AND(Table1[[#This Row],[Spec Type2]]="N/A",Table1[[#This Row],[DUT Adj Read]]="N/A",Table1[[#This Row],[Std Adj Read]]="N/A"),"N/A",IF(Table1[[#This Row],[DUT Adj Read]]="N/A",IF(Table1[[#This Row],[Std Adj Read]]&lt;Table1[[#This Row],[High Tol]],"Pass","Fail"),IF(Table1[[#This Row],[DUT Adj Read]]&lt;Table1[[#This Row],[High Tol]],"Pass","Fail")))</f>
        <v>Fail</v>
      </c>
      <c r="AF1451" s="1" t="str">
        <f>IF(AND(Table1[[#This Row],[Spec Type2]]="N/A",Table1[[#This Row],[DUT Adj Read]]="N/A",Table1[[#This Row],[Std Adj Read]]="N/A"),"N/A",IF(Table1[[#This Row],[DUT Adj Read]]="N/A",IF(Table1[[#This Row],[Std Adj Read]]&gt;=Table1[[#This Row],[Low Tol]],"Pass","Fail"),IF(Table1[[#This Row],[DUT Adj Read]]&gt;=Table1[[#This Row],[Low Tol]],"Pass","Fail")))</f>
        <v>Pass</v>
      </c>
      <c r="AG1451" s="1" t="str">
        <f>IF(AND(Table1[[#This Row],[Spec Type2]]="N/A",Table1[[#This Row],[DUT Adj Read]]="N/A",Table1[[#This Row],[Std Adj Read]]="N/A"),"N/A",IF(Table1[[#This Row],[DUT Adj Read]]="N/A",IF(Table1[[#This Row],[Std Adj Read]]&lt;=Table1[[#This Row],[High Tol]],"Pass","Fail"),IF(Table1[[#This Row],[DUT Adj Read]]&lt;=Table1[[#This Row],[High Tol]],"Pass","Fail")))</f>
        <v>Fail</v>
      </c>
      <c r="AH14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1" s="1" t="b">
        <v>0</v>
      </c>
      <c r="AN1451" s="1" t="b">
        <v>0</v>
      </c>
      <c r="AO1451" s="1" t="b">
        <v>0</v>
      </c>
    </row>
    <row r="1452" spans="1:41" x14ac:dyDescent="0.25">
      <c r="A1452" s="10"/>
      <c r="B1452" s="10"/>
      <c r="C1452" s="10"/>
      <c r="D1452" s="10"/>
      <c r="E1452" s="10"/>
      <c r="F1452" s="10"/>
      <c r="G1452" s="10"/>
      <c r="H1452" s="10"/>
      <c r="I1452" s="1" t="str">
        <f t="shared" si="66"/>
        <v/>
      </c>
      <c r="J1452" s="1" t="s">
        <v>35</v>
      </c>
      <c r="K1452" s="1" t="str">
        <f t="shared" si="67"/>
        <v/>
      </c>
      <c r="L1452" s="1" t="str">
        <f t="shared" si="68"/>
        <v/>
      </c>
      <c r="M1452" s="1">
        <f>IF(OR(Table1[[#This Row],[Std Nom]]="",Table1[[#This Row],[Std Read]]=""),0,Table1[[#This Row],[Std Nom]]-Table1[[#This Row],[Std Read]])</f>
        <v>0</v>
      </c>
      <c r="N1452" s="1">
        <f>IF(Calculations!$F$5="ACCREDITED 17025 WITH UNCERTAINTIES",$N$10,0)</f>
        <v>0</v>
      </c>
      <c r="O1452" s="1" t="str">
        <f>IFERROR(Table1[[#This Row],[Std Nom]]-(_xlfn.XLOOKUP(Table1[[#This Row],[Manufacturer]]&amp;" "&amp;Table1[[#This Row],[Model]],Table13[MFR &amp; MDL],Table13[Tolerance % CW ],"")/100*Table1[[#This Row],[Std Nom]]),"")</f>
        <v/>
      </c>
      <c r="P1452" s="1" t="str">
        <f>IFERROR(Table1[[#This Row],[Std Nom]]+(_xlfn.XLOOKUP(Table1[[#This Row],[Manufacturer]]&amp;" "&amp;Table1[[#This Row],[Model]],Table13[MFR &amp; MDL],Table13[Tolerance % CW ],"")/100*Table1[[#This Row],[Std Nom]]),"")</f>
        <v/>
      </c>
      <c r="Q1452" s="1" t="e">
        <f>Table1[[#This Row],[High Tol]]-Table1[[#This Row],[Low Tol]]</f>
        <v>#VALUE!</v>
      </c>
      <c r="R1452" s="1">
        <f>2*Table1[[#This Row],[Std Error]]</f>
        <v>0</v>
      </c>
      <c r="S1452" s="1" t="str">
        <f>IF(Table1[[#This Row],[High Tol]]="","N/A",IFERROR(ABS(Table1[[#This Row],[Tol Span]]/Table1[[#This Row],[Error Span]]),"N/A"))</f>
        <v>N/A</v>
      </c>
      <c r="T1452" s="1" t="str">
        <f>IF(OR(Table1[[#This Row],[Low Tol]]="",Table1[[#This Row],[High Tol]]=""),"Needs Analysis",IF(Table1[[#This Row],[Ratio]]&gt;=4,"Not Significant",IF(Table1[[#This Row],[Ratio]]&gt;=2,"Semi-Significant","Significant")))</f>
        <v>Needs Analysis</v>
      </c>
      <c r="W1452" s="1">
        <f>IF(Table1[[#This Row],[Cal Type]]&lt;&gt;"ACCREDITED 17025 WITH UNCERTAINTIES",0,"")</f>
        <v>0</v>
      </c>
      <c r="X1452" s="1" t="str">
        <f>IF(Table1[[#This Row],[DUT Read]]="","N/A",Table1[[#This Row],[Std Error]]+Table1[[#This Row],[DUT Read]]+Table1[[#This Row],[DUT Ucty]])</f>
        <v>N/A</v>
      </c>
      <c r="Y1452" s="1" t="str">
        <f>IF(Table1[[#This Row],[Std Read]]="","N/A",Table1[[#This Row],[Std Read]]+Table1[[#This Row],[Std Ucty]])</f>
        <v>N/A</v>
      </c>
      <c r="Z14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2" s="1" t="str">
        <f>IF(Table1[[#This Row],[Spec Type]]="","N/A",Table1[[#This Row],[Spec Type]])</f>
        <v>±</v>
      </c>
      <c r="AC1452" s="1" t="str">
        <f>IF(Table1[[#This Row],[Spec Type2]]="N/A","N/A",IF(AND(Table1[[#This Row],[DUT Adj Read]]&gt;=Table1[[#This Row],[Low Tol]],Table1[[#This Row],[DUT Adj Read]]&lt;=Table1[[#This Row],[High Tol]]),"Pass","Fail"))</f>
        <v>Fail</v>
      </c>
      <c r="AD1452" s="1" t="str">
        <f>IF(AND(Table1[[#This Row],[Spec Type2]]="N/A",Table1[[#This Row],[DUT Adj Read]]="N/A",Table1[[#This Row],[Std Adj Read]]="N/A"),"N/A",IF(Table1[[#This Row],[DUT Adj Read]]="N/A",IF(Table1[[#This Row],[Std Adj Read]]&gt;Table1[[#This Row],[Low Tol]],"Pass","Fail"),IF(Table1[[#This Row],[DUT Adj Read]]&gt;Table1[[#This Row],[Low Tol]],"Pass","Fail")))</f>
        <v>Pass</v>
      </c>
      <c r="AE1452" s="1" t="str">
        <f>IF(AND(Table1[[#This Row],[Spec Type2]]="N/A",Table1[[#This Row],[DUT Adj Read]]="N/A",Table1[[#This Row],[Std Adj Read]]="N/A"),"N/A",IF(Table1[[#This Row],[DUT Adj Read]]="N/A",IF(Table1[[#This Row],[Std Adj Read]]&lt;Table1[[#This Row],[High Tol]],"Pass","Fail"),IF(Table1[[#This Row],[DUT Adj Read]]&lt;Table1[[#This Row],[High Tol]],"Pass","Fail")))</f>
        <v>Fail</v>
      </c>
      <c r="AF1452" s="1" t="str">
        <f>IF(AND(Table1[[#This Row],[Spec Type2]]="N/A",Table1[[#This Row],[DUT Adj Read]]="N/A",Table1[[#This Row],[Std Adj Read]]="N/A"),"N/A",IF(Table1[[#This Row],[DUT Adj Read]]="N/A",IF(Table1[[#This Row],[Std Adj Read]]&gt;=Table1[[#This Row],[Low Tol]],"Pass","Fail"),IF(Table1[[#This Row],[DUT Adj Read]]&gt;=Table1[[#This Row],[Low Tol]],"Pass","Fail")))</f>
        <v>Pass</v>
      </c>
      <c r="AG1452" s="1" t="str">
        <f>IF(AND(Table1[[#This Row],[Spec Type2]]="N/A",Table1[[#This Row],[DUT Adj Read]]="N/A",Table1[[#This Row],[Std Adj Read]]="N/A"),"N/A",IF(Table1[[#This Row],[DUT Adj Read]]="N/A",IF(Table1[[#This Row],[Std Adj Read]]&lt;=Table1[[#This Row],[High Tol]],"Pass","Fail"),IF(Table1[[#This Row],[DUT Adj Read]]&lt;=Table1[[#This Row],[High Tol]],"Pass","Fail")))</f>
        <v>Fail</v>
      </c>
      <c r="AH14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2" s="1" t="b">
        <v>0</v>
      </c>
      <c r="AN1452" s="1" t="b">
        <v>0</v>
      </c>
      <c r="AO1452" s="1" t="b">
        <v>0</v>
      </c>
    </row>
    <row r="1453" spans="1:41" x14ac:dyDescent="0.25">
      <c r="A1453" s="10"/>
      <c r="B1453" s="10"/>
      <c r="C1453" s="10"/>
      <c r="D1453" s="10"/>
      <c r="E1453" s="10"/>
      <c r="F1453" s="10"/>
      <c r="G1453" s="10"/>
      <c r="H1453" s="10"/>
      <c r="I1453" s="1" t="str">
        <f t="shared" si="66"/>
        <v/>
      </c>
      <c r="J1453" s="1" t="s">
        <v>35</v>
      </c>
      <c r="K1453" s="1" t="str">
        <f t="shared" si="67"/>
        <v/>
      </c>
      <c r="L1453" s="1" t="str">
        <f t="shared" si="68"/>
        <v/>
      </c>
      <c r="M1453" s="1">
        <f>IF(OR(Table1[[#This Row],[Std Nom]]="",Table1[[#This Row],[Std Read]]=""),0,Table1[[#This Row],[Std Nom]]-Table1[[#This Row],[Std Read]])</f>
        <v>0</v>
      </c>
      <c r="N1453" s="1">
        <f>IF(Calculations!$F$5="ACCREDITED 17025 WITH UNCERTAINTIES",$N$10,0)</f>
        <v>0</v>
      </c>
      <c r="O1453" s="1" t="str">
        <f>IFERROR(Table1[[#This Row],[Std Nom]]-(_xlfn.XLOOKUP(Table1[[#This Row],[Manufacturer]]&amp;" "&amp;Table1[[#This Row],[Model]],Table13[MFR &amp; MDL],Table13[Tolerance % CW ],"")/100*Table1[[#This Row],[Std Nom]]),"")</f>
        <v/>
      </c>
      <c r="P1453" s="1" t="str">
        <f>IFERROR(Table1[[#This Row],[Std Nom]]+(_xlfn.XLOOKUP(Table1[[#This Row],[Manufacturer]]&amp;" "&amp;Table1[[#This Row],[Model]],Table13[MFR &amp; MDL],Table13[Tolerance % CW ],"")/100*Table1[[#This Row],[Std Nom]]),"")</f>
        <v/>
      </c>
      <c r="Q1453" s="1" t="e">
        <f>Table1[[#This Row],[High Tol]]-Table1[[#This Row],[Low Tol]]</f>
        <v>#VALUE!</v>
      </c>
      <c r="R1453" s="1">
        <f>2*Table1[[#This Row],[Std Error]]</f>
        <v>0</v>
      </c>
      <c r="S1453" s="1" t="str">
        <f>IF(Table1[[#This Row],[High Tol]]="","N/A",IFERROR(ABS(Table1[[#This Row],[Tol Span]]/Table1[[#This Row],[Error Span]]),"N/A"))</f>
        <v>N/A</v>
      </c>
      <c r="T1453" s="1" t="str">
        <f>IF(OR(Table1[[#This Row],[Low Tol]]="",Table1[[#This Row],[High Tol]]=""),"Needs Analysis",IF(Table1[[#This Row],[Ratio]]&gt;=4,"Not Significant",IF(Table1[[#This Row],[Ratio]]&gt;=2,"Semi-Significant","Significant")))</f>
        <v>Needs Analysis</v>
      </c>
      <c r="W1453" s="1">
        <f>IF(Table1[[#This Row],[Cal Type]]&lt;&gt;"ACCREDITED 17025 WITH UNCERTAINTIES",0,"")</f>
        <v>0</v>
      </c>
      <c r="X1453" s="1" t="str">
        <f>IF(Table1[[#This Row],[DUT Read]]="","N/A",Table1[[#This Row],[Std Error]]+Table1[[#This Row],[DUT Read]]+Table1[[#This Row],[DUT Ucty]])</f>
        <v>N/A</v>
      </c>
      <c r="Y1453" s="1" t="str">
        <f>IF(Table1[[#This Row],[Std Read]]="","N/A",Table1[[#This Row],[Std Read]]+Table1[[#This Row],[Std Ucty]])</f>
        <v>N/A</v>
      </c>
      <c r="Z14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3" s="1" t="str">
        <f>IF(Table1[[#This Row],[Spec Type]]="","N/A",Table1[[#This Row],[Spec Type]])</f>
        <v>±</v>
      </c>
      <c r="AC1453" s="1" t="str">
        <f>IF(Table1[[#This Row],[Spec Type2]]="N/A","N/A",IF(AND(Table1[[#This Row],[DUT Adj Read]]&gt;=Table1[[#This Row],[Low Tol]],Table1[[#This Row],[DUT Adj Read]]&lt;=Table1[[#This Row],[High Tol]]),"Pass","Fail"))</f>
        <v>Fail</v>
      </c>
      <c r="AD1453" s="1" t="str">
        <f>IF(AND(Table1[[#This Row],[Spec Type2]]="N/A",Table1[[#This Row],[DUT Adj Read]]="N/A",Table1[[#This Row],[Std Adj Read]]="N/A"),"N/A",IF(Table1[[#This Row],[DUT Adj Read]]="N/A",IF(Table1[[#This Row],[Std Adj Read]]&gt;Table1[[#This Row],[Low Tol]],"Pass","Fail"),IF(Table1[[#This Row],[DUT Adj Read]]&gt;Table1[[#This Row],[Low Tol]],"Pass","Fail")))</f>
        <v>Pass</v>
      </c>
      <c r="AE1453" s="1" t="str">
        <f>IF(AND(Table1[[#This Row],[Spec Type2]]="N/A",Table1[[#This Row],[DUT Adj Read]]="N/A",Table1[[#This Row],[Std Adj Read]]="N/A"),"N/A",IF(Table1[[#This Row],[DUT Adj Read]]="N/A",IF(Table1[[#This Row],[Std Adj Read]]&lt;Table1[[#This Row],[High Tol]],"Pass","Fail"),IF(Table1[[#This Row],[DUT Adj Read]]&lt;Table1[[#This Row],[High Tol]],"Pass","Fail")))</f>
        <v>Fail</v>
      </c>
      <c r="AF1453" s="1" t="str">
        <f>IF(AND(Table1[[#This Row],[Spec Type2]]="N/A",Table1[[#This Row],[DUT Adj Read]]="N/A",Table1[[#This Row],[Std Adj Read]]="N/A"),"N/A",IF(Table1[[#This Row],[DUT Adj Read]]="N/A",IF(Table1[[#This Row],[Std Adj Read]]&gt;=Table1[[#This Row],[Low Tol]],"Pass","Fail"),IF(Table1[[#This Row],[DUT Adj Read]]&gt;=Table1[[#This Row],[Low Tol]],"Pass","Fail")))</f>
        <v>Pass</v>
      </c>
      <c r="AG1453" s="1" t="str">
        <f>IF(AND(Table1[[#This Row],[Spec Type2]]="N/A",Table1[[#This Row],[DUT Adj Read]]="N/A",Table1[[#This Row],[Std Adj Read]]="N/A"),"N/A",IF(Table1[[#This Row],[DUT Adj Read]]="N/A",IF(Table1[[#This Row],[Std Adj Read]]&lt;=Table1[[#This Row],[High Tol]],"Pass","Fail"),IF(Table1[[#This Row],[DUT Adj Read]]&lt;=Table1[[#This Row],[High Tol]],"Pass","Fail")))</f>
        <v>Fail</v>
      </c>
      <c r="AH14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3" s="1" t="b">
        <v>0</v>
      </c>
      <c r="AN1453" s="1" t="b">
        <v>0</v>
      </c>
      <c r="AO1453" s="1" t="b">
        <v>0</v>
      </c>
    </row>
    <row r="1454" spans="1:41" x14ac:dyDescent="0.25">
      <c r="A1454" s="10"/>
      <c r="B1454" s="10"/>
      <c r="C1454" s="10"/>
      <c r="D1454" s="10"/>
      <c r="E1454" s="10"/>
      <c r="F1454" s="10"/>
      <c r="G1454" s="10"/>
      <c r="H1454" s="10"/>
      <c r="I1454" s="1" t="str">
        <f t="shared" si="66"/>
        <v/>
      </c>
      <c r="J1454" s="1" t="s">
        <v>35</v>
      </c>
      <c r="K1454" s="1" t="str">
        <f t="shared" si="67"/>
        <v/>
      </c>
      <c r="L1454" s="1" t="str">
        <f t="shared" si="68"/>
        <v/>
      </c>
      <c r="M1454" s="1">
        <f>IF(OR(Table1[[#This Row],[Std Nom]]="",Table1[[#This Row],[Std Read]]=""),0,Table1[[#This Row],[Std Nom]]-Table1[[#This Row],[Std Read]])</f>
        <v>0</v>
      </c>
      <c r="N1454" s="1">
        <f>IF(Calculations!$F$5="ACCREDITED 17025 WITH UNCERTAINTIES",$N$10,0)</f>
        <v>0</v>
      </c>
      <c r="O1454" s="1" t="str">
        <f>IFERROR(Table1[[#This Row],[Std Nom]]-(_xlfn.XLOOKUP(Table1[[#This Row],[Manufacturer]]&amp;" "&amp;Table1[[#This Row],[Model]],Table13[MFR &amp; MDL],Table13[Tolerance % CW ],"")/100*Table1[[#This Row],[Std Nom]]),"")</f>
        <v/>
      </c>
      <c r="P1454" s="1" t="str">
        <f>IFERROR(Table1[[#This Row],[Std Nom]]+(_xlfn.XLOOKUP(Table1[[#This Row],[Manufacturer]]&amp;" "&amp;Table1[[#This Row],[Model]],Table13[MFR &amp; MDL],Table13[Tolerance % CW ],"")/100*Table1[[#This Row],[Std Nom]]),"")</f>
        <v/>
      </c>
      <c r="Q1454" s="1" t="e">
        <f>Table1[[#This Row],[High Tol]]-Table1[[#This Row],[Low Tol]]</f>
        <v>#VALUE!</v>
      </c>
      <c r="R1454" s="1">
        <f>2*Table1[[#This Row],[Std Error]]</f>
        <v>0</v>
      </c>
      <c r="S1454" s="1" t="str">
        <f>IF(Table1[[#This Row],[High Tol]]="","N/A",IFERROR(ABS(Table1[[#This Row],[Tol Span]]/Table1[[#This Row],[Error Span]]),"N/A"))</f>
        <v>N/A</v>
      </c>
      <c r="T1454" s="1" t="str">
        <f>IF(OR(Table1[[#This Row],[Low Tol]]="",Table1[[#This Row],[High Tol]]=""),"Needs Analysis",IF(Table1[[#This Row],[Ratio]]&gt;=4,"Not Significant",IF(Table1[[#This Row],[Ratio]]&gt;=2,"Semi-Significant","Significant")))</f>
        <v>Needs Analysis</v>
      </c>
      <c r="W1454" s="1">
        <f>IF(Table1[[#This Row],[Cal Type]]&lt;&gt;"ACCREDITED 17025 WITH UNCERTAINTIES",0,"")</f>
        <v>0</v>
      </c>
      <c r="X1454" s="1" t="str">
        <f>IF(Table1[[#This Row],[DUT Read]]="","N/A",Table1[[#This Row],[Std Error]]+Table1[[#This Row],[DUT Read]]+Table1[[#This Row],[DUT Ucty]])</f>
        <v>N/A</v>
      </c>
      <c r="Y1454" s="1" t="str">
        <f>IF(Table1[[#This Row],[Std Read]]="","N/A",Table1[[#This Row],[Std Read]]+Table1[[#This Row],[Std Ucty]])</f>
        <v>N/A</v>
      </c>
      <c r="Z14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4" s="1" t="str">
        <f>IF(Table1[[#This Row],[Spec Type]]="","N/A",Table1[[#This Row],[Spec Type]])</f>
        <v>±</v>
      </c>
      <c r="AC1454" s="1" t="str">
        <f>IF(Table1[[#This Row],[Spec Type2]]="N/A","N/A",IF(AND(Table1[[#This Row],[DUT Adj Read]]&gt;=Table1[[#This Row],[Low Tol]],Table1[[#This Row],[DUT Adj Read]]&lt;=Table1[[#This Row],[High Tol]]),"Pass","Fail"))</f>
        <v>Fail</v>
      </c>
      <c r="AD1454" s="1" t="str">
        <f>IF(AND(Table1[[#This Row],[Spec Type2]]="N/A",Table1[[#This Row],[DUT Adj Read]]="N/A",Table1[[#This Row],[Std Adj Read]]="N/A"),"N/A",IF(Table1[[#This Row],[DUT Adj Read]]="N/A",IF(Table1[[#This Row],[Std Adj Read]]&gt;Table1[[#This Row],[Low Tol]],"Pass","Fail"),IF(Table1[[#This Row],[DUT Adj Read]]&gt;Table1[[#This Row],[Low Tol]],"Pass","Fail")))</f>
        <v>Pass</v>
      </c>
      <c r="AE1454" s="1" t="str">
        <f>IF(AND(Table1[[#This Row],[Spec Type2]]="N/A",Table1[[#This Row],[DUT Adj Read]]="N/A",Table1[[#This Row],[Std Adj Read]]="N/A"),"N/A",IF(Table1[[#This Row],[DUT Adj Read]]="N/A",IF(Table1[[#This Row],[Std Adj Read]]&lt;Table1[[#This Row],[High Tol]],"Pass","Fail"),IF(Table1[[#This Row],[DUT Adj Read]]&lt;Table1[[#This Row],[High Tol]],"Pass","Fail")))</f>
        <v>Fail</v>
      </c>
      <c r="AF1454" s="1" t="str">
        <f>IF(AND(Table1[[#This Row],[Spec Type2]]="N/A",Table1[[#This Row],[DUT Adj Read]]="N/A",Table1[[#This Row],[Std Adj Read]]="N/A"),"N/A",IF(Table1[[#This Row],[DUT Adj Read]]="N/A",IF(Table1[[#This Row],[Std Adj Read]]&gt;=Table1[[#This Row],[Low Tol]],"Pass","Fail"),IF(Table1[[#This Row],[DUT Adj Read]]&gt;=Table1[[#This Row],[Low Tol]],"Pass","Fail")))</f>
        <v>Pass</v>
      </c>
      <c r="AG1454" s="1" t="str">
        <f>IF(AND(Table1[[#This Row],[Spec Type2]]="N/A",Table1[[#This Row],[DUT Adj Read]]="N/A",Table1[[#This Row],[Std Adj Read]]="N/A"),"N/A",IF(Table1[[#This Row],[DUT Adj Read]]="N/A",IF(Table1[[#This Row],[Std Adj Read]]&lt;=Table1[[#This Row],[High Tol]],"Pass","Fail"),IF(Table1[[#This Row],[DUT Adj Read]]&lt;=Table1[[#This Row],[High Tol]],"Pass","Fail")))</f>
        <v>Fail</v>
      </c>
      <c r="AH14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4" s="1" t="b">
        <v>0</v>
      </c>
      <c r="AN1454" s="1" t="b">
        <v>0</v>
      </c>
      <c r="AO1454" s="1" t="b">
        <v>0</v>
      </c>
    </row>
    <row r="1455" spans="1:41" x14ac:dyDescent="0.25">
      <c r="A1455" s="10"/>
      <c r="B1455" s="10"/>
      <c r="C1455" s="10"/>
      <c r="D1455" s="10"/>
      <c r="E1455" s="10"/>
      <c r="F1455" s="10"/>
      <c r="G1455" s="10"/>
      <c r="H1455" s="10"/>
      <c r="I1455" s="1" t="str">
        <f t="shared" si="66"/>
        <v/>
      </c>
      <c r="J1455" s="1" t="s">
        <v>35</v>
      </c>
      <c r="K1455" s="1" t="str">
        <f t="shared" si="67"/>
        <v/>
      </c>
      <c r="L1455" s="1" t="str">
        <f t="shared" si="68"/>
        <v/>
      </c>
      <c r="M1455" s="1">
        <f>IF(OR(Table1[[#This Row],[Std Nom]]="",Table1[[#This Row],[Std Read]]=""),0,Table1[[#This Row],[Std Nom]]-Table1[[#This Row],[Std Read]])</f>
        <v>0</v>
      </c>
      <c r="N1455" s="1">
        <f>IF(Calculations!$F$5="ACCREDITED 17025 WITH UNCERTAINTIES",$N$10,0)</f>
        <v>0</v>
      </c>
      <c r="O1455" s="1" t="str">
        <f>IFERROR(Table1[[#This Row],[Std Nom]]-(_xlfn.XLOOKUP(Table1[[#This Row],[Manufacturer]]&amp;" "&amp;Table1[[#This Row],[Model]],Table13[MFR &amp; MDL],Table13[Tolerance % CW ],"")/100*Table1[[#This Row],[Std Nom]]),"")</f>
        <v/>
      </c>
      <c r="P1455" s="1" t="str">
        <f>IFERROR(Table1[[#This Row],[Std Nom]]+(_xlfn.XLOOKUP(Table1[[#This Row],[Manufacturer]]&amp;" "&amp;Table1[[#This Row],[Model]],Table13[MFR &amp; MDL],Table13[Tolerance % CW ],"")/100*Table1[[#This Row],[Std Nom]]),"")</f>
        <v/>
      </c>
      <c r="Q1455" s="1" t="e">
        <f>Table1[[#This Row],[High Tol]]-Table1[[#This Row],[Low Tol]]</f>
        <v>#VALUE!</v>
      </c>
      <c r="R1455" s="1">
        <f>2*Table1[[#This Row],[Std Error]]</f>
        <v>0</v>
      </c>
      <c r="S1455" s="1" t="str">
        <f>IF(Table1[[#This Row],[High Tol]]="","N/A",IFERROR(ABS(Table1[[#This Row],[Tol Span]]/Table1[[#This Row],[Error Span]]),"N/A"))</f>
        <v>N/A</v>
      </c>
      <c r="T1455" s="1" t="str">
        <f>IF(OR(Table1[[#This Row],[Low Tol]]="",Table1[[#This Row],[High Tol]]=""),"Needs Analysis",IF(Table1[[#This Row],[Ratio]]&gt;=4,"Not Significant",IF(Table1[[#This Row],[Ratio]]&gt;=2,"Semi-Significant","Significant")))</f>
        <v>Needs Analysis</v>
      </c>
      <c r="W1455" s="1">
        <f>IF(Table1[[#This Row],[Cal Type]]&lt;&gt;"ACCREDITED 17025 WITH UNCERTAINTIES",0,"")</f>
        <v>0</v>
      </c>
      <c r="X1455" s="1" t="str">
        <f>IF(Table1[[#This Row],[DUT Read]]="","N/A",Table1[[#This Row],[Std Error]]+Table1[[#This Row],[DUT Read]]+Table1[[#This Row],[DUT Ucty]])</f>
        <v>N/A</v>
      </c>
      <c r="Y1455" s="1" t="str">
        <f>IF(Table1[[#This Row],[Std Read]]="","N/A",Table1[[#This Row],[Std Read]]+Table1[[#This Row],[Std Ucty]])</f>
        <v>N/A</v>
      </c>
      <c r="Z14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5" s="1" t="str">
        <f>IF(Table1[[#This Row],[Spec Type]]="","N/A",Table1[[#This Row],[Spec Type]])</f>
        <v>±</v>
      </c>
      <c r="AC1455" s="1" t="str">
        <f>IF(Table1[[#This Row],[Spec Type2]]="N/A","N/A",IF(AND(Table1[[#This Row],[DUT Adj Read]]&gt;=Table1[[#This Row],[Low Tol]],Table1[[#This Row],[DUT Adj Read]]&lt;=Table1[[#This Row],[High Tol]]),"Pass","Fail"))</f>
        <v>Fail</v>
      </c>
      <c r="AD1455" s="1" t="str">
        <f>IF(AND(Table1[[#This Row],[Spec Type2]]="N/A",Table1[[#This Row],[DUT Adj Read]]="N/A",Table1[[#This Row],[Std Adj Read]]="N/A"),"N/A",IF(Table1[[#This Row],[DUT Adj Read]]="N/A",IF(Table1[[#This Row],[Std Adj Read]]&gt;Table1[[#This Row],[Low Tol]],"Pass","Fail"),IF(Table1[[#This Row],[DUT Adj Read]]&gt;Table1[[#This Row],[Low Tol]],"Pass","Fail")))</f>
        <v>Pass</v>
      </c>
      <c r="AE1455" s="1" t="str">
        <f>IF(AND(Table1[[#This Row],[Spec Type2]]="N/A",Table1[[#This Row],[DUT Adj Read]]="N/A",Table1[[#This Row],[Std Adj Read]]="N/A"),"N/A",IF(Table1[[#This Row],[DUT Adj Read]]="N/A",IF(Table1[[#This Row],[Std Adj Read]]&lt;Table1[[#This Row],[High Tol]],"Pass","Fail"),IF(Table1[[#This Row],[DUT Adj Read]]&lt;Table1[[#This Row],[High Tol]],"Pass","Fail")))</f>
        <v>Fail</v>
      </c>
      <c r="AF1455" s="1" t="str">
        <f>IF(AND(Table1[[#This Row],[Spec Type2]]="N/A",Table1[[#This Row],[DUT Adj Read]]="N/A",Table1[[#This Row],[Std Adj Read]]="N/A"),"N/A",IF(Table1[[#This Row],[DUT Adj Read]]="N/A",IF(Table1[[#This Row],[Std Adj Read]]&gt;=Table1[[#This Row],[Low Tol]],"Pass","Fail"),IF(Table1[[#This Row],[DUT Adj Read]]&gt;=Table1[[#This Row],[Low Tol]],"Pass","Fail")))</f>
        <v>Pass</v>
      </c>
      <c r="AG1455" s="1" t="str">
        <f>IF(AND(Table1[[#This Row],[Spec Type2]]="N/A",Table1[[#This Row],[DUT Adj Read]]="N/A",Table1[[#This Row],[Std Adj Read]]="N/A"),"N/A",IF(Table1[[#This Row],[DUT Adj Read]]="N/A",IF(Table1[[#This Row],[Std Adj Read]]&lt;=Table1[[#This Row],[High Tol]],"Pass","Fail"),IF(Table1[[#This Row],[DUT Adj Read]]&lt;=Table1[[#This Row],[High Tol]],"Pass","Fail")))</f>
        <v>Fail</v>
      </c>
      <c r="AH14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5" s="1" t="b">
        <v>0</v>
      </c>
      <c r="AN1455" s="1" t="b">
        <v>0</v>
      </c>
      <c r="AO1455" s="1" t="b">
        <v>0</v>
      </c>
    </row>
    <row r="1456" spans="1:41" x14ac:dyDescent="0.25">
      <c r="A1456" s="10"/>
      <c r="B1456" s="10"/>
      <c r="C1456" s="10"/>
      <c r="D1456" s="10"/>
      <c r="E1456" s="10"/>
      <c r="F1456" s="10"/>
      <c r="G1456" s="10"/>
      <c r="H1456" s="10"/>
      <c r="I1456" s="1" t="str">
        <f t="shared" si="66"/>
        <v/>
      </c>
      <c r="J1456" s="1" t="s">
        <v>35</v>
      </c>
      <c r="K1456" s="1" t="str">
        <f t="shared" si="67"/>
        <v/>
      </c>
      <c r="L1456" s="1" t="str">
        <f t="shared" si="68"/>
        <v/>
      </c>
      <c r="M1456" s="1">
        <f>IF(OR(Table1[[#This Row],[Std Nom]]="",Table1[[#This Row],[Std Read]]=""),0,Table1[[#This Row],[Std Nom]]-Table1[[#This Row],[Std Read]])</f>
        <v>0</v>
      </c>
      <c r="N1456" s="1">
        <f>IF(Calculations!$F$5="ACCREDITED 17025 WITH UNCERTAINTIES",$N$10,0)</f>
        <v>0</v>
      </c>
      <c r="O1456" s="1" t="str">
        <f>IFERROR(Table1[[#This Row],[Std Nom]]-(_xlfn.XLOOKUP(Table1[[#This Row],[Manufacturer]]&amp;" "&amp;Table1[[#This Row],[Model]],Table13[MFR &amp; MDL],Table13[Tolerance % CW ],"")/100*Table1[[#This Row],[Std Nom]]),"")</f>
        <v/>
      </c>
      <c r="P1456" s="1" t="str">
        <f>IFERROR(Table1[[#This Row],[Std Nom]]+(_xlfn.XLOOKUP(Table1[[#This Row],[Manufacturer]]&amp;" "&amp;Table1[[#This Row],[Model]],Table13[MFR &amp; MDL],Table13[Tolerance % CW ],"")/100*Table1[[#This Row],[Std Nom]]),"")</f>
        <v/>
      </c>
      <c r="Q1456" s="1" t="e">
        <f>Table1[[#This Row],[High Tol]]-Table1[[#This Row],[Low Tol]]</f>
        <v>#VALUE!</v>
      </c>
      <c r="R1456" s="1">
        <f>2*Table1[[#This Row],[Std Error]]</f>
        <v>0</v>
      </c>
      <c r="S1456" s="1" t="str">
        <f>IF(Table1[[#This Row],[High Tol]]="","N/A",IFERROR(ABS(Table1[[#This Row],[Tol Span]]/Table1[[#This Row],[Error Span]]),"N/A"))</f>
        <v>N/A</v>
      </c>
      <c r="T1456" s="1" t="str">
        <f>IF(OR(Table1[[#This Row],[Low Tol]]="",Table1[[#This Row],[High Tol]]=""),"Needs Analysis",IF(Table1[[#This Row],[Ratio]]&gt;=4,"Not Significant",IF(Table1[[#This Row],[Ratio]]&gt;=2,"Semi-Significant","Significant")))</f>
        <v>Needs Analysis</v>
      </c>
      <c r="W1456" s="1">
        <f>IF(Table1[[#This Row],[Cal Type]]&lt;&gt;"ACCREDITED 17025 WITH UNCERTAINTIES",0,"")</f>
        <v>0</v>
      </c>
      <c r="X1456" s="1" t="str">
        <f>IF(Table1[[#This Row],[DUT Read]]="","N/A",Table1[[#This Row],[Std Error]]+Table1[[#This Row],[DUT Read]]+Table1[[#This Row],[DUT Ucty]])</f>
        <v>N/A</v>
      </c>
      <c r="Y1456" s="1" t="str">
        <f>IF(Table1[[#This Row],[Std Read]]="","N/A",Table1[[#This Row],[Std Read]]+Table1[[#This Row],[Std Ucty]])</f>
        <v>N/A</v>
      </c>
      <c r="Z14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6" s="1" t="str">
        <f>IF(Table1[[#This Row],[Spec Type]]="","N/A",Table1[[#This Row],[Spec Type]])</f>
        <v>±</v>
      </c>
      <c r="AC1456" s="1" t="str">
        <f>IF(Table1[[#This Row],[Spec Type2]]="N/A","N/A",IF(AND(Table1[[#This Row],[DUT Adj Read]]&gt;=Table1[[#This Row],[Low Tol]],Table1[[#This Row],[DUT Adj Read]]&lt;=Table1[[#This Row],[High Tol]]),"Pass","Fail"))</f>
        <v>Fail</v>
      </c>
      <c r="AD1456" s="1" t="str">
        <f>IF(AND(Table1[[#This Row],[Spec Type2]]="N/A",Table1[[#This Row],[DUT Adj Read]]="N/A",Table1[[#This Row],[Std Adj Read]]="N/A"),"N/A",IF(Table1[[#This Row],[DUT Adj Read]]="N/A",IF(Table1[[#This Row],[Std Adj Read]]&gt;Table1[[#This Row],[Low Tol]],"Pass","Fail"),IF(Table1[[#This Row],[DUT Adj Read]]&gt;Table1[[#This Row],[Low Tol]],"Pass","Fail")))</f>
        <v>Pass</v>
      </c>
      <c r="AE1456" s="1" t="str">
        <f>IF(AND(Table1[[#This Row],[Spec Type2]]="N/A",Table1[[#This Row],[DUT Adj Read]]="N/A",Table1[[#This Row],[Std Adj Read]]="N/A"),"N/A",IF(Table1[[#This Row],[DUT Adj Read]]="N/A",IF(Table1[[#This Row],[Std Adj Read]]&lt;Table1[[#This Row],[High Tol]],"Pass","Fail"),IF(Table1[[#This Row],[DUT Adj Read]]&lt;Table1[[#This Row],[High Tol]],"Pass","Fail")))</f>
        <v>Fail</v>
      </c>
      <c r="AF1456" s="1" t="str">
        <f>IF(AND(Table1[[#This Row],[Spec Type2]]="N/A",Table1[[#This Row],[DUT Adj Read]]="N/A",Table1[[#This Row],[Std Adj Read]]="N/A"),"N/A",IF(Table1[[#This Row],[DUT Adj Read]]="N/A",IF(Table1[[#This Row],[Std Adj Read]]&gt;=Table1[[#This Row],[Low Tol]],"Pass","Fail"),IF(Table1[[#This Row],[DUT Adj Read]]&gt;=Table1[[#This Row],[Low Tol]],"Pass","Fail")))</f>
        <v>Pass</v>
      </c>
      <c r="AG1456" s="1" t="str">
        <f>IF(AND(Table1[[#This Row],[Spec Type2]]="N/A",Table1[[#This Row],[DUT Adj Read]]="N/A",Table1[[#This Row],[Std Adj Read]]="N/A"),"N/A",IF(Table1[[#This Row],[DUT Adj Read]]="N/A",IF(Table1[[#This Row],[Std Adj Read]]&lt;=Table1[[#This Row],[High Tol]],"Pass","Fail"),IF(Table1[[#This Row],[DUT Adj Read]]&lt;=Table1[[#This Row],[High Tol]],"Pass","Fail")))</f>
        <v>Fail</v>
      </c>
      <c r="AH14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6" s="1" t="b">
        <v>0</v>
      </c>
      <c r="AN1456" s="1" t="b">
        <v>0</v>
      </c>
      <c r="AO1456" s="1" t="b">
        <v>0</v>
      </c>
    </row>
    <row r="1457" spans="1:41" x14ac:dyDescent="0.25">
      <c r="A1457" s="10"/>
      <c r="B1457" s="10"/>
      <c r="C1457" s="10"/>
      <c r="D1457" s="10"/>
      <c r="E1457" s="10"/>
      <c r="F1457" s="10"/>
      <c r="G1457" s="10"/>
      <c r="H1457" s="10"/>
      <c r="I1457" s="1" t="str">
        <f t="shared" si="66"/>
        <v/>
      </c>
      <c r="J1457" s="1" t="s">
        <v>35</v>
      </c>
      <c r="K1457" s="1" t="str">
        <f t="shared" si="67"/>
        <v/>
      </c>
      <c r="L1457" s="1" t="str">
        <f t="shared" si="68"/>
        <v/>
      </c>
      <c r="M1457" s="1">
        <f>IF(OR(Table1[[#This Row],[Std Nom]]="",Table1[[#This Row],[Std Read]]=""),0,Table1[[#This Row],[Std Nom]]-Table1[[#This Row],[Std Read]])</f>
        <v>0</v>
      </c>
      <c r="N1457" s="1">
        <f>IF(Calculations!$F$5="ACCREDITED 17025 WITH UNCERTAINTIES",$N$10,0)</f>
        <v>0</v>
      </c>
      <c r="O1457" s="1" t="str">
        <f>IFERROR(Table1[[#This Row],[Std Nom]]-(_xlfn.XLOOKUP(Table1[[#This Row],[Manufacturer]]&amp;" "&amp;Table1[[#This Row],[Model]],Table13[MFR &amp; MDL],Table13[Tolerance % CW ],"")/100*Table1[[#This Row],[Std Nom]]),"")</f>
        <v/>
      </c>
      <c r="P1457" s="1" t="str">
        <f>IFERROR(Table1[[#This Row],[Std Nom]]+(_xlfn.XLOOKUP(Table1[[#This Row],[Manufacturer]]&amp;" "&amp;Table1[[#This Row],[Model]],Table13[MFR &amp; MDL],Table13[Tolerance % CW ],"")/100*Table1[[#This Row],[Std Nom]]),"")</f>
        <v/>
      </c>
      <c r="Q1457" s="1" t="e">
        <f>Table1[[#This Row],[High Tol]]-Table1[[#This Row],[Low Tol]]</f>
        <v>#VALUE!</v>
      </c>
      <c r="R1457" s="1">
        <f>2*Table1[[#This Row],[Std Error]]</f>
        <v>0</v>
      </c>
      <c r="S1457" s="1" t="str">
        <f>IF(Table1[[#This Row],[High Tol]]="","N/A",IFERROR(ABS(Table1[[#This Row],[Tol Span]]/Table1[[#This Row],[Error Span]]),"N/A"))</f>
        <v>N/A</v>
      </c>
      <c r="T1457" s="1" t="str">
        <f>IF(OR(Table1[[#This Row],[Low Tol]]="",Table1[[#This Row],[High Tol]]=""),"Needs Analysis",IF(Table1[[#This Row],[Ratio]]&gt;=4,"Not Significant",IF(Table1[[#This Row],[Ratio]]&gt;=2,"Semi-Significant","Significant")))</f>
        <v>Needs Analysis</v>
      </c>
      <c r="W1457" s="1">
        <f>IF(Table1[[#This Row],[Cal Type]]&lt;&gt;"ACCREDITED 17025 WITH UNCERTAINTIES",0,"")</f>
        <v>0</v>
      </c>
      <c r="X1457" s="1" t="str">
        <f>IF(Table1[[#This Row],[DUT Read]]="","N/A",Table1[[#This Row],[Std Error]]+Table1[[#This Row],[DUT Read]]+Table1[[#This Row],[DUT Ucty]])</f>
        <v>N/A</v>
      </c>
      <c r="Y1457" s="1" t="str">
        <f>IF(Table1[[#This Row],[Std Read]]="","N/A",Table1[[#This Row],[Std Read]]+Table1[[#This Row],[Std Ucty]])</f>
        <v>N/A</v>
      </c>
      <c r="Z14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7" s="1" t="str">
        <f>IF(Table1[[#This Row],[Spec Type]]="","N/A",Table1[[#This Row],[Spec Type]])</f>
        <v>±</v>
      </c>
      <c r="AC1457" s="1" t="str">
        <f>IF(Table1[[#This Row],[Spec Type2]]="N/A","N/A",IF(AND(Table1[[#This Row],[DUT Adj Read]]&gt;=Table1[[#This Row],[Low Tol]],Table1[[#This Row],[DUT Adj Read]]&lt;=Table1[[#This Row],[High Tol]]),"Pass","Fail"))</f>
        <v>Fail</v>
      </c>
      <c r="AD1457" s="1" t="str">
        <f>IF(AND(Table1[[#This Row],[Spec Type2]]="N/A",Table1[[#This Row],[DUT Adj Read]]="N/A",Table1[[#This Row],[Std Adj Read]]="N/A"),"N/A",IF(Table1[[#This Row],[DUT Adj Read]]="N/A",IF(Table1[[#This Row],[Std Adj Read]]&gt;Table1[[#This Row],[Low Tol]],"Pass","Fail"),IF(Table1[[#This Row],[DUT Adj Read]]&gt;Table1[[#This Row],[Low Tol]],"Pass","Fail")))</f>
        <v>Pass</v>
      </c>
      <c r="AE1457" s="1" t="str">
        <f>IF(AND(Table1[[#This Row],[Spec Type2]]="N/A",Table1[[#This Row],[DUT Adj Read]]="N/A",Table1[[#This Row],[Std Adj Read]]="N/A"),"N/A",IF(Table1[[#This Row],[DUT Adj Read]]="N/A",IF(Table1[[#This Row],[Std Adj Read]]&lt;Table1[[#This Row],[High Tol]],"Pass","Fail"),IF(Table1[[#This Row],[DUT Adj Read]]&lt;Table1[[#This Row],[High Tol]],"Pass","Fail")))</f>
        <v>Fail</v>
      </c>
      <c r="AF1457" s="1" t="str">
        <f>IF(AND(Table1[[#This Row],[Spec Type2]]="N/A",Table1[[#This Row],[DUT Adj Read]]="N/A",Table1[[#This Row],[Std Adj Read]]="N/A"),"N/A",IF(Table1[[#This Row],[DUT Adj Read]]="N/A",IF(Table1[[#This Row],[Std Adj Read]]&gt;=Table1[[#This Row],[Low Tol]],"Pass","Fail"),IF(Table1[[#This Row],[DUT Adj Read]]&gt;=Table1[[#This Row],[Low Tol]],"Pass","Fail")))</f>
        <v>Pass</v>
      </c>
      <c r="AG1457" s="1" t="str">
        <f>IF(AND(Table1[[#This Row],[Spec Type2]]="N/A",Table1[[#This Row],[DUT Adj Read]]="N/A",Table1[[#This Row],[Std Adj Read]]="N/A"),"N/A",IF(Table1[[#This Row],[DUT Adj Read]]="N/A",IF(Table1[[#This Row],[Std Adj Read]]&lt;=Table1[[#This Row],[High Tol]],"Pass","Fail"),IF(Table1[[#This Row],[DUT Adj Read]]&lt;=Table1[[#This Row],[High Tol]],"Pass","Fail")))</f>
        <v>Fail</v>
      </c>
      <c r="AH14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7" s="1" t="b">
        <v>0</v>
      </c>
      <c r="AN1457" s="1" t="b">
        <v>0</v>
      </c>
      <c r="AO1457" s="1" t="b">
        <v>0</v>
      </c>
    </row>
    <row r="1458" spans="1:41" x14ac:dyDescent="0.25">
      <c r="A1458" s="10"/>
      <c r="B1458" s="10"/>
      <c r="C1458" s="10"/>
      <c r="D1458" s="10"/>
      <c r="E1458" s="10"/>
      <c r="F1458" s="10"/>
      <c r="G1458" s="10"/>
      <c r="H1458" s="10"/>
      <c r="I1458" s="1" t="str">
        <f t="shared" si="66"/>
        <v/>
      </c>
      <c r="J1458" s="1" t="s">
        <v>35</v>
      </c>
      <c r="K1458" s="1" t="str">
        <f t="shared" si="67"/>
        <v/>
      </c>
      <c r="L1458" s="1" t="str">
        <f t="shared" si="68"/>
        <v/>
      </c>
      <c r="M1458" s="1">
        <f>IF(OR(Table1[[#This Row],[Std Nom]]="",Table1[[#This Row],[Std Read]]=""),0,Table1[[#This Row],[Std Nom]]-Table1[[#This Row],[Std Read]])</f>
        <v>0</v>
      </c>
      <c r="N1458" s="1">
        <f>IF(Calculations!$F$5="ACCREDITED 17025 WITH UNCERTAINTIES",$N$10,0)</f>
        <v>0</v>
      </c>
      <c r="O1458" s="1" t="str">
        <f>IFERROR(Table1[[#This Row],[Std Nom]]-(_xlfn.XLOOKUP(Table1[[#This Row],[Manufacturer]]&amp;" "&amp;Table1[[#This Row],[Model]],Table13[MFR &amp; MDL],Table13[Tolerance % CW ],"")/100*Table1[[#This Row],[Std Nom]]),"")</f>
        <v/>
      </c>
      <c r="P1458" s="1" t="str">
        <f>IFERROR(Table1[[#This Row],[Std Nom]]+(_xlfn.XLOOKUP(Table1[[#This Row],[Manufacturer]]&amp;" "&amp;Table1[[#This Row],[Model]],Table13[MFR &amp; MDL],Table13[Tolerance % CW ],"")/100*Table1[[#This Row],[Std Nom]]),"")</f>
        <v/>
      </c>
      <c r="Q1458" s="1" t="e">
        <f>Table1[[#This Row],[High Tol]]-Table1[[#This Row],[Low Tol]]</f>
        <v>#VALUE!</v>
      </c>
      <c r="R1458" s="1">
        <f>2*Table1[[#This Row],[Std Error]]</f>
        <v>0</v>
      </c>
      <c r="S1458" s="1" t="str">
        <f>IF(Table1[[#This Row],[High Tol]]="","N/A",IFERROR(ABS(Table1[[#This Row],[Tol Span]]/Table1[[#This Row],[Error Span]]),"N/A"))</f>
        <v>N/A</v>
      </c>
      <c r="T1458" s="1" t="str">
        <f>IF(OR(Table1[[#This Row],[Low Tol]]="",Table1[[#This Row],[High Tol]]=""),"Needs Analysis",IF(Table1[[#This Row],[Ratio]]&gt;=4,"Not Significant",IF(Table1[[#This Row],[Ratio]]&gt;=2,"Semi-Significant","Significant")))</f>
        <v>Needs Analysis</v>
      </c>
      <c r="W1458" s="1">
        <f>IF(Table1[[#This Row],[Cal Type]]&lt;&gt;"ACCREDITED 17025 WITH UNCERTAINTIES",0,"")</f>
        <v>0</v>
      </c>
      <c r="X1458" s="1" t="str">
        <f>IF(Table1[[#This Row],[DUT Read]]="","N/A",Table1[[#This Row],[Std Error]]+Table1[[#This Row],[DUT Read]]+Table1[[#This Row],[DUT Ucty]])</f>
        <v>N/A</v>
      </c>
      <c r="Y1458" s="1" t="str">
        <f>IF(Table1[[#This Row],[Std Read]]="","N/A",Table1[[#This Row],[Std Read]]+Table1[[#This Row],[Std Ucty]])</f>
        <v>N/A</v>
      </c>
      <c r="Z14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8" s="1" t="str">
        <f>IF(Table1[[#This Row],[Spec Type]]="","N/A",Table1[[#This Row],[Spec Type]])</f>
        <v>±</v>
      </c>
      <c r="AC1458" s="1" t="str">
        <f>IF(Table1[[#This Row],[Spec Type2]]="N/A","N/A",IF(AND(Table1[[#This Row],[DUT Adj Read]]&gt;=Table1[[#This Row],[Low Tol]],Table1[[#This Row],[DUT Adj Read]]&lt;=Table1[[#This Row],[High Tol]]),"Pass","Fail"))</f>
        <v>Fail</v>
      </c>
      <c r="AD1458" s="1" t="str">
        <f>IF(AND(Table1[[#This Row],[Spec Type2]]="N/A",Table1[[#This Row],[DUT Adj Read]]="N/A",Table1[[#This Row],[Std Adj Read]]="N/A"),"N/A",IF(Table1[[#This Row],[DUT Adj Read]]="N/A",IF(Table1[[#This Row],[Std Adj Read]]&gt;Table1[[#This Row],[Low Tol]],"Pass","Fail"),IF(Table1[[#This Row],[DUT Adj Read]]&gt;Table1[[#This Row],[Low Tol]],"Pass","Fail")))</f>
        <v>Pass</v>
      </c>
      <c r="AE1458" s="1" t="str">
        <f>IF(AND(Table1[[#This Row],[Spec Type2]]="N/A",Table1[[#This Row],[DUT Adj Read]]="N/A",Table1[[#This Row],[Std Adj Read]]="N/A"),"N/A",IF(Table1[[#This Row],[DUT Adj Read]]="N/A",IF(Table1[[#This Row],[Std Adj Read]]&lt;Table1[[#This Row],[High Tol]],"Pass","Fail"),IF(Table1[[#This Row],[DUT Adj Read]]&lt;Table1[[#This Row],[High Tol]],"Pass","Fail")))</f>
        <v>Fail</v>
      </c>
      <c r="AF1458" s="1" t="str">
        <f>IF(AND(Table1[[#This Row],[Spec Type2]]="N/A",Table1[[#This Row],[DUT Adj Read]]="N/A",Table1[[#This Row],[Std Adj Read]]="N/A"),"N/A",IF(Table1[[#This Row],[DUT Adj Read]]="N/A",IF(Table1[[#This Row],[Std Adj Read]]&gt;=Table1[[#This Row],[Low Tol]],"Pass","Fail"),IF(Table1[[#This Row],[DUT Adj Read]]&gt;=Table1[[#This Row],[Low Tol]],"Pass","Fail")))</f>
        <v>Pass</v>
      </c>
      <c r="AG1458" s="1" t="str">
        <f>IF(AND(Table1[[#This Row],[Spec Type2]]="N/A",Table1[[#This Row],[DUT Adj Read]]="N/A",Table1[[#This Row],[Std Adj Read]]="N/A"),"N/A",IF(Table1[[#This Row],[DUT Adj Read]]="N/A",IF(Table1[[#This Row],[Std Adj Read]]&lt;=Table1[[#This Row],[High Tol]],"Pass","Fail"),IF(Table1[[#This Row],[DUT Adj Read]]&lt;=Table1[[#This Row],[High Tol]],"Pass","Fail")))</f>
        <v>Fail</v>
      </c>
      <c r="AH14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8" s="1" t="b">
        <v>0</v>
      </c>
      <c r="AN1458" s="1" t="b">
        <v>0</v>
      </c>
      <c r="AO1458" s="1" t="b">
        <v>0</v>
      </c>
    </row>
    <row r="1459" spans="1:41" x14ac:dyDescent="0.25">
      <c r="A1459" s="10"/>
      <c r="B1459" s="10"/>
      <c r="C1459" s="10"/>
      <c r="D1459" s="10"/>
      <c r="E1459" s="10"/>
      <c r="F1459" s="10"/>
      <c r="G1459" s="10"/>
      <c r="H1459" s="10"/>
      <c r="I1459" s="1" t="str">
        <f t="shared" si="66"/>
        <v/>
      </c>
      <c r="J1459" s="1" t="s">
        <v>35</v>
      </c>
      <c r="K1459" s="1" t="str">
        <f t="shared" si="67"/>
        <v/>
      </c>
      <c r="L1459" s="1" t="str">
        <f t="shared" si="68"/>
        <v/>
      </c>
      <c r="M1459" s="1">
        <f>IF(OR(Table1[[#This Row],[Std Nom]]="",Table1[[#This Row],[Std Read]]=""),0,Table1[[#This Row],[Std Nom]]-Table1[[#This Row],[Std Read]])</f>
        <v>0</v>
      </c>
      <c r="N1459" s="1">
        <f>IF(Calculations!$F$5="ACCREDITED 17025 WITH UNCERTAINTIES",$N$10,0)</f>
        <v>0</v>
      </c>
      <c r="O1459" s="1" t="str">
        <f>IFERROR(Table1[[#This Row],[Std Nom]]-(_xlfn.XLOOKUP(Table1[[#This Row],[Manufacturer]]&amp;" "&amp;Table1[[#This Row],[Model]],Table13[MFR &amp; MDL],Table13[Tolerance % CW ],"")/100*Table1[[#This Row],[Std Nom]]),"")</f>
        <v/>
      </c>
      <c r="P1459" s="1" t="str">
        <f>IFERROR(Table1[[#This Row],[Std Nom]]+(_xlfn.XLOOKUP(Table1[[#This Row],[Manufacturer]]&amp;" "&amp;Table1[[#This Row],[Model]],Table13[MFR &amp; MDL],Table13[Tolerance % CW ],"")/100*Table1[[#This Row],[Std Nom]]),"")</f>
        <v/>
      </c>
      <c r="Q1459" s="1" t="e">
        <f>Table1[[#This Row],[High Tol]]-Table1[[#This Row],[Low Tol]]</f>
        <v>#VALUE!</v>
      </c>
      <c r="R1459" s="1">
        <f>2*Table1[[#This Row],[Std Error]]</f>
        <v>0</v>
      </c>
      <c r="S1459" s="1" t="str">
        <f>IF(Table1[[#This Row],[High Tol]]="","N/A",IFERROR(ABS(Table1[[#This Row],[Tol Span]]/Table1[[#This Row],[Error Span]]),"N/A"))</f>
        <v>N/A</v>
      </c>
      <c r="T1459" s="1" t="str">
        <f>IF(OR(Table1[[#This Row],[Low Tol]]="",Table1[[#This Row],[High Tol]]=""),"Needs Analysis",IF(Table1[[#This Row],[Ratio]]&gt;=4,"Not Significant",IF(Table1[[#This Row],[Ratio]]&gt;=2,"Semi-Significant","Significant")))</f>
        <v>Needs Analysis</v>
      </c>
      <c r="W1459" s="1">
        <f>IF(Table1[[#This Row],[Cal Type]]&lt;&gt;"ACCREDITED 17025 WITH UNCERTAINTIES",0,"")</f>
        <v>0</v>
      </c>
      <c r="X1459" s="1" t="str">
        <f>IF(Table1[[#This Row],[DUT Read]]="","N/A",Table1[[#This Row],[Std Error]]+Table1[[#This Row],[DUT Read]]+Table1[[#This Row],[DUT Ucty]])</f>
        <v>N/A</v>
      </c>
      <c r="Y1459" s="1" t="str">
        <f>IF(Table1[[#This Row],[Std Read]]="","N/A",Table1[[#This Row],[Std Read]]+Table1[[#This Row],[Std Ucty]])</f>
        <v>N/A</v>
      </c>
      <c r="Z14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9" s="1" t="str">
        <f>IF(Table1[[#This Row],[Spec Type]]="","N/A",Table1[[#This Row],[Spec Type]])</f>
        <v>±</v>
      </c>
      <c r="AC1459" s="1" t="str">
        <f>IF(Table1[[#This Row],[Spec Type2]]="N/A","N/A",IF(AND(Table1[[#This Row],[DUT Adj Read]]&gt;=Table1[[#This Row],[Low Tol]],Table1[[#This Row],[DUT Adj Read]]&lt;=Table1[[#This Row],[High Tol]]),"Pass","Fail"))</f>
        <v>Fail</v>
      </c>
      <c r="AD1459" s="1" t="str">
        <f>IF(AND(Table1[[#This Row],[Spec Type2]]="N/A",Table1[[#This Row],[DUT Adj Read]]="N/A",Table1[[#This Row],[Std Adj Read]]="N/A"),"N/A",IF(Table1[[#This Row],[DUT Adj Read]]="N/A",IF(Table1[[#This Row],[Std Adj Read]]&gt;Table1[[#This Row],[Low Tol]],"Pass","Fail"),IF(Table1[[#This Row],[DUT Adj Read]]&gt;Table1[[#This Row],[Low Tol]],"Pass","Fail")))</f>
        <v>Pass</v>
      </c>
      <c r="AE1459" s="1" t="str">
        <f>IF(AND(Table1[[#This Row],[Spec Type2]]="N/A",Table1[[#This Row],[DUT Adj Read]]="N/A",Table1[[#This Row],[Std Adj Read]]="N/A"),"N/A",IF(Table1[[#This Row],[DUT Adj Read]]="N/A",IF(Table1[[#This Row],[Std Adj Read]]&lt;Table1[[#This Row],[High Tol]],"Pass","Fail"),IF(Table1[[#This Row],[DUT Adj Read]]&lt;Table1[[#This Row],[High Tol]],"Pass","Fail")))</f>
        <v>Fail</v>
      </c>
      <c r="AF1459" s="1" t="str">
        <f>IF(AND(Table1[[#This Row],[Spec Type2]]="N/A",Table1[[#This Row],[DUT Adj Read]]="N/A",Table1[[#This Row],[Std Adj Read]]="N/A"),"N/A",IF(Table1[[#This Row],[DUT Adj Read]]="N/A",IF(Table1[[#This Row],[Std Adj Read]]&gt;=Table1[[#This Row],[Low Tol]],"Pass","Fail"),IF(Table1[[#This Row],[DUT Adj Read]]&gt;=Table1[[#This Row],[Low Tol]],"Pass","Fail")))</f>
        <v>Pass</v>
      </c>
      <c r="AG1459" s="1" t="str">
        <f>IF(AND(Table1[[#This Row],[Spec Type2]]="N/A",Table1[[#This Row],[DUT Adj Read]]="N/A",Table1[[#This Row],[Std Adj Read]]="N/A"),"N/A",IF(Table1[[#This Row],[DUT Adj Read]]="N/A",IF(Table1[[#This Row],[Std Adj Read]]&lt;=Table1[[#This Row],[High Tol]],"Pass","Fail"),IF(Table1[[#This Row],[DUT Adj Read]]&lt;=Table1[[#This Row],[High Tol]],"Pass","Fail")))</f>
        <v>Fail</v>
      </c>
      <c r="AH14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9" s="1" t="b">
        <v>0</v>
      </c>
      <c r="AN1459" s="1" t="b">
        <v>0</v>
      </c>
      <c r="AO1459" s="1" t="b">
        <v>0</v>
      </c>
    </row>
    <row r="1460" spans="1:41" x14ac:dyDescent="0.25">
      <c r="A1460" s="10"/>
      <c r="B1460" s="10"/>
      <c r="C1460" s="10"/>
      <c r="D1460" s="10"/>
      <c r="E1460" s="10"/>
      <c r="F1460" s="10"/>
      <c r="G1460" s="10"/>
      <c r="H1460" s="10"/>
      <c r="I1460" s="1" t="str">
        <f t="shared" si="66"/>
        <v/>
      </c>
      <c r="J1460" s="1" t="s">
        <v>35</v>
      </c>
      <c r="K1460" s="1" t="str">
        <f t="shared" si="67"/>
        <v/>
      </c>
      <c r="L1460" s="1" t="str">
        <f t="shared" si="68"/>
        <v/>
      </c>
      <c r="M1460" s="1">
        <f>IF(OR(Table1[[#This Row],[Std Nom]]="",Table1[[#This Row],[Std Read]]=""),0,Table1[[#This Row],[Std Nom]]-Table1[[#This Row],[Std Read]])</f>
        <v>0</v>
      </c>
      <c r="N1460" s="1">
        <f>IF(Calculations!$F$5="ACCREDITED 17025 WITH UNCERTAINTIES",$N$10,0)</f>
        <v>0</v>
      </c>
      <c r="O1460" s="1" t="str">
        <f>IFERROR(Table1[[#This Row],[Std Nom]]-(_xlfn.XLOOKUP(Table1[[#This Row],[Manufacturer]]&amp;" "&amp;Table1[[#This Row],[Model]],Table13[MFR &amp; MDL],Table13[Tolerance % CW ],"")/100*Table1[[#This Row],[Std Nom]]),"")</f>
        <v/>
      </c>
      <c r="P1460" s="1" t="str">
        <f>IFERROR(Table1[[#This Row],[Std Nom]]+(_xlfn.XLOOKUP(Table1[[#This Row],[Manufacturer]]&amp;" "&amp;Table1[[#This Row],[Model]],Table13[MFR &amp; MDL],Table13[Tolerance % CW ],"")/100*Table1[[#This Row],[Std Nom]]),"")</f>
        <v/>
      </c>
      <c r="Q1460" s="1" t="e">
        <f>Table1[[#This Row],[High Tol]]-Table1[[#This Row],[Low Tol]]</f>
        <v>#VALUE!</v>
      </c>
      <c r="R1460" s="1">
        <f>2*Table1[[#This Row],[Std Error]]</f>
        <v>0</v>
      </c>
      <c r="S1460" s="1" t="str">
        <f>IF(Table1[[#This Row],[High Tol]]="","N/A",IFERROR(ABS(Table1[[#This Row],[Tol Span]]/Table1[[#This Row],[Error Span]]),"N/A"))</f>
        <v>N/A</v>
      </c>
      <c r="T1460" s="1" t="str">
        <f>IF(OR(Table1[[#This Row],[Low Tol]]="",Table1[[#This Row],[High Tol]]=""),"Needs Analysis",IF(Table1[[#This Row],[Ratio]]&gt;=4,"Not Significant",IF(Table1[[#This Row],[Ratio]]&gt;=2,"Semi-Significant","Significant")))</f>
        <v>Needs Analysis</v>
      </c>
      <c r="W1460" s="1">
        <f>IF(Table1[[#This Row],[Cal Type]]&lt;&gt;"ACCREDITED 17025 WITH UNCERTAINTIES",0,"")</f>
        <v>0</v>
      </c>
      <c r="X1460" s="1" t="str">
        <f>IF(Table1[[#This Row],[DUT Read]]="","N/A",Table1[[#This Row],[Std Error]]+Table1[[#This Row],[DUT Read]]+Table1[[#This Row],[DUT Ucty]])</f>
        <v>N/A</v>
      </c>
      <c r="Y1460" s="1" t="str">
        <f>IF(Table1[[#This Row],[Std Read]]="","N/A",Table1[[#This Row],[Std Read]]+Table1[[#This Row],[Std Ucty]])</f>
        <v>N/A</v>
      </c>
      <c r="Z14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0" s="1" t="str">
        <f>IF(Table1[[#This Row],[Spec Type]]="","N/A",Table1[[#This Row],[Spec Type]])</f>
        <v>±</v>
      </c>
      <c r="AC1460" s="1" t="str">
        <f>IF(Table1[[#This Row],[Spec Type2]]="N/A","N/A",IF(AND(Table1[[#This Row],[DUT Adj Read]]&gt;=Table1[[#This Row],[Low Tol]],Table1[[#This Row],[DUT Adj Read]]&lt;=Table1[[#This Row],[High Tol]]),"Pass","Fail"))</f>
        <v>Fail</v>
      </c>
      <c r="AD1460" s="1" t="str">
        <f>IF(AND(Table1[[#This Row],[Spec Type2]]="N/A",Table1[[#This Row],[DUT Adj Read]]="N/A",Table1[[#This Row],[Std Adj Read]]="N/A"),"N/A",IF(Table1[[#This Row],[DUT Adj Read]]="N/A",IF(Table1[[#This Row],[Std Adj Read]]&gt;Table1[[#This Row],[Low Tol]],"Pass","Fail"),IF(Table1[[#This Row],[DUT Adj Read]]&gt;Table1[[#This Row],[Low Tol]],"Pass","Fail")))</f>
        <v>Pass</v>
      </c>
      <c r="AE1460" s="1" t="str">
        <f>IF(AND(Table1[[#This Row],[Spec Type2]]="N/A",Table1[[#This Row],[DUT Adj Read]]="N/A",Table1[[#This Row],[Std Adj Read]]="N/A"),"N/A",IF(Table1[[#This Row],[DUT Adj Read]]="N/A",IF(Table1[[#This Row],[Std Adj Read]]&lt;Table1[[#This Row],[High Tol]],"Pass","Fail"),IF(Table1[[#This Row],[DUT Adj Read]]&lt;Table1[[#This Row],[High Tol]],"Pass","Fail")))</f>
        <v>Fail</v>
      </c>
      <c r="AF1460" s="1" t="str">
        <f>IF(AND(Table1[[#This Row],[Spec Type2]]="N/A",Table1[[#This Row],[DUT Adj Read]]="N/A",Table1[[#This Row],[Std Adj Read]]="N/A"),"N/A",IF(Table1[[#This Row],[DUT Adj Read]]="N/A",IF(Table1[[#This Row],[Std Adj Read]]&gt;=Table1[[#This Row],[Low Tol]],"Pass","Fail"),IF(Table1[[#This Row],[DUT Adj Read]]&gt;=Table1[[#This Row],[Low Tol]],"Pass","Fail")))</f>
        <v>Pass</v>
      </c>
      <c r="AG1460" s="1" t="str">
        <f>IF(AND(Table1[[#This Row],[Spec Type2]]="N/A",Table1[[#This Row],[DUT Adj Read]]="N/A",Table1[[#This Row],[Std Adj Read]]="N/A"),"N/A",IF(Table1[[#This Row],[DUT Adj Read]]="N/A",IF(Table1[[#This Row],[Std Adj Read]]&lt;=Table1[[#This Row],[High Tol]],"Pass","Fail"),IF(Table1[[#This Row],[DUT Adj Read]]&lt;=Table1[[#This Row],[High Tol]],"Pass","Fail")))</f>
        <v>Fail</v>
      </c>
      <c r="AH14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0" s="1" t="b">
        <v>0</v>
      </c>
      <c r="AN1460" s="1" t="b">
        <v>0</v>
      </c>
      <c r="AO1460" s="1" t="b">
        <v>0</v>
      </c>
    </row>
    <row r="1461" spans="1:41" x14ac:dyDescent="0.25">
      <c r="A1461" s="10"/>
      <c r="B1461" s="10"/>
      <c r="C1461" s="10"/>
      <c r="D1461" s="10"/>
      <c r="E1461" s="10"/>
      <c r="F1461" s="10"/>
      <c r="G1461" s="10"/>
      <c r="H1461" s="10"/>
      <c r="I1461" s="1" t="str">
        <f t="shared" si="66"/>
        <v/>
      </c>
      <c r="J1461" s="1" t="s">
        <v>35</v>
      </c>
      <c r="K1461" s="1" t="str">
        <f t="shared" si="67"/>
        <v/>
      </c>
      <c r="L1461" s="1" t="str">
        <f t="shared" si="68"/>
        <v/>
      </c>
      <c r="M1461" s="1">
        <f>IF(OR(Table1[[#This Row],[Std Nom]]="",Table1[[#This Row],[Std Read]]=""),0,Table1[[#This Row],[Std Nom]]-Table1[[#This Row],[Std Read]])</f>
        <v>0</v>
      </c>
      <c r="N1461" s="1">
        <f>IF(Calculations!$F$5="ACCREDITED 17025 WITH UNCERTAINTIES",$N$10,0)</f>
        <v>0</v>
      </c>
      <c r="O1461" s="1" t="str">
        <f>IFERROR(Table1[[#This Row],[Std Nom]]-(_xlfn.XLOOKUP(Table1[[#This Row],[Manufacturer]]&amp;" "&amp;Table1[[#This Row],[Model]],Table13[MFR &amp; MDL],Table13[Tolerance % CW ],"")/100*Table1[[#This Row],[Std Nom]]),"")</f>
        <v/>
      </c>
      <c r="P1461" s="1" t="str">
        <f>IFERROR(Table1[[#This Row],[Std Nom]]+(_xlfn.XLOOKUP(Table1[[#This Row],[Manufacturer]]&amp;" "&amp;Table1[[#This Row],[Model]],Table13[MFR &amp; MDL],Table13[Tolerance % CW ],"")/100*Table1[[#This Row],[Std Nom]]),"")</f>
        <v/>
      </c>
      <c r="Q1461" s="1" t="e">
        <f>Table1[[#This Row],[High Tol]]-Table1[[#This Row],[Low Tol]]</f>
        <v>#VALUE!</v>
      </c>
      <c r="R1461" s="1">
        <f>2*Table1[[#This Row],[Std Error]]</f>
        <v>0</v>
      </c>
      <c r="S1461" s="1" t="str">
        <f>IF(Table1[[#This Row],[High Tol]]="","N/A",IFERROR(ABS(Table1[[#This Row],[Tol Span]]/Table1[[#This Row],[Error Span]]),"N/A"))</f>
        <v>N/A</v>
      </c>
      <c r="T1461" s="1" t="str">
        <f>IF(OR(Table1[[#This Row],[Low Tol]]="",Table1[[#This Row],[High Tol]]=""),"Needs Analysis",IF(Table1[[#This Row],[Ratio]]&gt;=4,"Not Significant",IF(Table1[[#This Row],[Ratio]]&gt;=2,"Semi-Significant","Significant")))</f>
        <v>Needs Analysis</v>
      </c>
      <c r="W1461" s="1">
        <f>IF(Table1[[#This Row],[Cal Type]]&lt;&gt;"ACCREDITED 17025 WITH UNCERTAINTIES",0,"")</f>
        <v>0</v>
      </c>
      <c r="X1461" s="1" t="str">
        <f>IF(Table1[[#This Row],[DUT Read]]="","N/A",Table1[[#This Row],[Std Error]]+Table1[[#This Row],[DUT Read]]+Table1[[#This Row],[DUT Ucty]])</f>
        <v>N/A</v>
      </c>
      <c r="Y1461" s="1" t="str">
        <f>IF(Table1[[#This Row],[Std Read]]="","N/A",Table1[[#This Row],[Std Read]]+Table1[[#This Row],[Std Ucty]])</f>
        <v>N/A</v>
      </c>
      <c r="Z14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1" s="1" t="str">
        <f>IF(Table1[[#This Row],[Spec Type]]="","N/A",Table1[[#This Row],[Spec Type]])</f>
        <v>±</v>
      </c>
      <c r="AC1461" s="1" t="str">
        <f>IF(Table1[[#This Row],[Spec Type2]]="N/A","N/A",IF(AND(Table1[[#This Row],[DUT Adj Read]]&gt;=Table1[[#This Row],[Low Tol]],Table1[[#This Row],[DUT Adj Read]]&lt;=Table1[[#This Row],[High Tol]]),"Pass","Fail"))</f>
        <v>Fail</v>
      </c>
      <c r="AD1461" s="1" t="str">
        <f>IF(AND(Table1[[#This Row],[Spec Type2]]="N/A",Table1[[#This Row],[DUT Adj Read]]="N/A",Table1[[#This Row],[Std Adj Read]]="N/A"),"N/A",IF(Table1[[#This Row],[DUT Adj Read]]="N/A",IF(Table1[[#This Row],[Std Adj Read]]&gt;Table1[[#This Row],[Low Tol]],"Pass","Fail"),IF(Table1[[#This Row],[DUT Adj Read]]&gt;Table1[[#This Row],[Low Tol]],"Pass","Fail")))</f>
        <v>Pass</v>
      </c>
      <c r="AE1461" s="1" t="str">
        <f>IF(AND(Table1[[#This Row],[Spec Type2]]="N/A",Table1[[#This Row],[DUT Adj Read]]="N/A",Table1[[#This Row],[Std Adj Read]]="N/A"),"N/A",IF(Table1[[#This Row],[DUT Adj Read]]="N/A",IF(Table1[[#This Row],[Std Adj Read]]&lt;Table1[[#This Row],[High Tol]],"Pass","Fail"),IF(Table1[[#This Row],[DUT Adj Read]]&lt;Table1[[#This Row],[High Tol]],"Pass","Fail")))</f>
        <v>Fail</v>
      </c>
      <c r="AF1461" s="1" t="str">
        <f>IF(AND(Table1[[#This Row],[Spec Type2]]="N/A",Table1[[#This Row],[DUT Adj Read]]="N/A",Table1[[#This Row],[Std Adj Read]]="N/A"),"N/A",IF(Table1[[#This Row],[DUT Adj Read]]="N/A",IF(Table1[[#This Row],[Std Adj Read]]&gt;=Table1[[#This Row],[Low Tol]],"Pass","Fail"),IF(Table1[[#This Row],[DUT Adj Read]]&gt;=Table1[[#This Row],[Low Tol]],"Pass","Fail")))</f>
        <v>Pass</v>
      </c>
      <c r="AG1461" s="1" t="str">
        <f>IF(AND(Table1[[#This Row],[Spec Type2]]="N/A",Table1[[#This Row],[DUT Adj Read]]="N/A",Table1[[#This Row],[Std Adj Read]]="N/A"),"N/A",IF(Table1[[#This Row],[DUT Adj Read]]="N/A",IF(Table1[[#This Row],[Std Adj Read]]&lt;=Table1[[#This Row],[High Tol]],"Pass","Fail"),IF(Table1[[#This Row],[DUT Adj Read]]&lt;=Table1[[#This Row],[High Tol]],"Pass","Fail")))</f>
        <v>Fail</v>
      </c>
      <c r="AH14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1" s="1" t="b">
        <v>0</v>
      </c>
      <c r="AN1461" s="1" t="b">
        <v>0</v>
      </c>
      <c r="AO1461" s="1" t="b">
        <v>0</v>
      </c>
    </row>
    <row r="1462" spans="1:41" x14ac:dyDescent="0.25">
      <c r="A1462" s="10"/>
      <c r="B1462" s="10"/>
      <c r="C1462" s="10"/>
      <c r="D1462" s="10"/>
      <c r="E1462" s="10"/>
      <c r="F1462" s="10"/>
      <c r="G1462" s="10"/>
      <c r="H1462" s="10"/>
      <c r="I1462" s="1" t="str">
        <f t="shared" si="66"/>
        <v/>
      </c>
      <c r="J1462" s="1" t="s">
        <v>35</v>
      </c>
      <c r="K1462" s="1" t="str">
        <f t="shared" si="67"/>
        <v/>
      </c>
      <c r="L1462" s="1" t="str">
        <f t="shared" si="68"/>
        <v/>
      </c>
      <c r="M1462" s="1">
        <f>IF(OR(Table1[[#This Row],[Std Nom]]="",Table1[[#This Row],[Std Read]]=""),0,Table1[[#This Row],[Std Nom]]-Table1[[#This Row],[Std Read]])</f>
        <v>0</v>
      </c>
      <c r="N1462" s="1">
        <f>IF(Calculations!$F$5="ACCREDITED 17025 WITH UNCERTAINTIES",$N$10,0)</f>
        <v>0</v>
      </c>
      <c r="O1462" s="1" t="str">
        <f>IFERROR(Table1[[#This Row],[Std Nom]]-(_xlfn.XLOOKUP(Table1[[#This Row],[Manufacturer]]&amp;" "&amp;Table1[[#This Row],[Model]],Table13[MFR &amp; MDL],Table13[Tolerance % CW ],"")/100*Table1[[#This Row],[Std Nom]]),"")</f>
        <v/>
      </c>
      <c r="P1462" s="1" t="str">
        <f>IFERROR(Table1[[#This Row],[Std Nom]]+(_xlfn.XLOOKUP(Table1[[#This Row],[Manufacturer]]&amp;" "&amp;Table1[[#This Row],[Model]],Table13[MFR &amp; MDL],Table13[Tolerance % CW ],"")/100*Table1[[#This Row],[Std Nom]]),"")</f>
        <v/>
      </c>
      <c r="Q1462" s="1" t="e">
        <f>Table1[[#This Row],[High Tol]]-Table1[[#This Row],[Low Tol]]</f>
        <v>#VALUE!</v>
      </c>
      <c r="R1462" s="1">
        <f>2*Table1[[#This Row],[Std Error]]</f>
        <v>0</v>
      </c>
      <c r="S1462" s="1" t="str">
        <f>IF(Table1[[#This Row],[High Tol]]="","N/A",IFERROR(ABS(Table1[[#This Row],[Tol Span]]/Table1[[#This Row],[Error Span]]),"N/A"))</f>
        <v>N/A</v>
      </c>
      <c r="T1462" s="1" t="str">
        <f>IF(OR(Table1[[#This Row],[Low Tol]]="",Table1[[#This Row],[High Tol]]=""),"Needs Analysis",IF(Table1[[#This Row],[Ratio]]&gt;=4,"Not Significant",IF(Table1[[#This Row],[Ratio]]&gt;=2,"Semi-Significant","Significant")))</f>
        <v>Needs Analysis</v>
      </c>
      <c r="W1462" s="1">
        <f>IF(Table1[[#This Row],[Cal Type]]&lt;&gt;"ACCREDITED 17025 WITH UNCERTAINTIES",0,"")</f>
        <v>0</v>
      </c>
      <c r="X1462" s="1" t="str">
        <f>IF(Table1[[#This Row],[DUT Read]]="","N/A",Table1[[#This Row],[Std Error]]+Table1[[#This Row],[DUT Read]]+Table1[[#This Row],[DUT Ucty]])</f>
        <v>N/A</v>
      </c>
      <c r="Y1462" s="1" t="str">
        <f>IF(Table1[[#This Row],[Std Read]]="","N/A",Table1[[#This Row],[Std Read]]+Table1[[#This Row],[Std Ucty]])</f>
        <v>N/A</v>
      </c>
      <c r="Z14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2" s="1" t="str">
        <f>IF(Table1[[#This Row],[Spec Type]]="","N/A",Table1[[#This Row],[Spec Type]])</f>
        <v>±</v>
      </c>
      <c r="AC1462" s="1" t="str">
        <f>IF(Table1[[#This Row],[Spec Type2]]="N/A","N/A",IF(AND(Table1[[#This Row],[DUT Adj Read]]&gt;=Table1[[#This Row],[Low Tol]],Table1[[#This Row],[DUT Adj Read]]&lt;=Table1[[#This Row],[High Tol]]),"Pass","Fail"))</f>
        <v>Fail</v>
      </c>
      <c r="AD1462" s="1" t="str">
        <f>IF(AND(Table1[[#This Row],[Spec Type2]]="N/A",Table1[[#This Row],[DUT Adj Read]]="N/A",Table1[[#This Row],[Std Adj Read]]="N/A"),"N/A",IF(Table1[[#This Row],[DUT Adj Read]]="N/A",IF(Table1[[#This Row],[Std Adj Read]]&gt;Table1[[#This Row],[Low Tol]],"Pass","Fail"),IF(Table1[[#This Row],[DUT Adj Read]]&gt;Table1[[#This Row],[Low Tol]],"Pass","Fail")))</f>
        <v>Pass</v>
      </c>
      <c r="AE1462" s="1" t="str">
        <f>IF(AND(Table1[[#This Row],[Spec Type2]]="N/A",Table1[[#This Row],[DUT Adj Read]]="N/A",Table1[[#This Row],[Std Adj Read]]="N/A"),"N/A",IF(Table1[[#This Row],[DUT Adj Read]]="N/A",IF(Table1[[#This Row],[Std Adj Read]]&lt;Table1[[#This Row],[High Tol]],"Pass","Fail"),IF(Table1[[#This Row],[DUT Adj Read]]&lt;Table1[[#This Row],[High Tol]],"Pass","Fail")))</f>
        <v>Fail</v>
      </c>
      <c r="AF1462" s="1" t="str">
        <f>IF(AND(Table1[[#This Row],[Spec Type2]]="N/A",Table1[[#This Row],[DUT Adj Read]]="N/A",Table1[[#This Row],[Std Adj Read]]="N/A"),"N/A",IF(Table1[[#This Row],[DUT Adj Read]]="N/A",IF(Table1[[#This Row],[Std Adj Read]]&gt;=Table1[[#This Row],[Low Tol]],"Pass","Fail"),IF(Table1[[#This Row],[DUT Adj Read]]&gt;=Table1[[#This Row],[Low Tol]],"Pass","Fail")))</f>
        <v>Pass</v>
      </c>
      <c r="AG1462" s="1" t="str">
        <f>IF(AND(Table1[[#This Row],[Spec Type2]]="N/A",Table1[[#This Row],[DUT Adj Read]]="N/A",Table1[[#This Row],[Std Adj Read]]="N/A"),"N/A",IF(Table1[[#This Row],[DUT Adj Read]]="N/A",IF(Table1[[#This Row],[Std Adj Read]]&lt;=Table1[[#This Row],[High Tol]],"Pass","Fail"),IF(Table1[[#This Row],[DUT Adj Read]]&lt;=Table1[[#This Row],[High Tol]],"Pass","Fail")))</f>
        <v>Fail</v>
      </c>
      <c r="AH14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2" s="1" t="b">
        <v>0</v>
      </c>
      <c r="AN1462" s="1" t="b">
        <v>0</v>
      </c>
      <c r="AO1462" s="1" t="b">
        <v>0</v>
      </c>
    </row>
    <row r="1463" spans="1:41" x14ac:dyDescent="0.25">
      <c r="A1463" s="10"/>
      <c r="B1463" s="10"/>
      <c r="C1463" s="10"/>
      <c r="D1463" s="10"/>
      <c r="E1463" s="10"/>
      <c r="F1463" s="10"/>
      <c r="G1463" s="10"/>
      <c r="H1463" s="10"/>
      <c r="I1463" s="1" t="str">
        <f t="shared" si="66"/>
        <v/>
      </c>
      <c r="J1463" s="1" t="s">
        <v>35</v>
      </c>
      <c r="K1463" s="1" t="str">
        <f t="shared" si="67"/>
        <v/>
      </c>
      <c r="L1463" s="1" t="str">
        <f t="shared" si="68"/>
        <v/>
      </c>
      <c r="M1463" s="1">
        <f>IF(OR(Table1[[#This Row],[Std Nom]]="",Table1[[#This Row],[Std Read]]=""),0,Table1[[#This Row],[Std Nom]]-Table1[[#This Row],[Std Read]])</f>
        <v>0</v>
      </c>
      <c r="N1463" s="1">
        <f>IF(Calculations!$F$5="ACCREDITED 17025 WITH UNCERTAINTIES",$N$10,0)</f>
        <v>0</v>
      </c>
      <c r="O1463" s="1" t="str">
        <f>IFERROR(Table1[[#This Row],[Std Nom]]-(_xlfn.XLOOKUP(Table1[[#This Row],[Manufacturer]]&amp;" "&amp;Table1[[#This Row],[Model]],Table13[MFR &amp; MDL],Table13[Tolerance % CW ],"")/100*Table1[[#This Row],[Std Nom]]),"")</f>
        <v/>
      </c>
      <c r="P1463" s="1" t="str">
        <f>IFERROR(Table1[[#This Row],[Std Nom]]+(_xlfn.XLOOKUP(Table1[[#This Row],[Manufacturer]]&amp;" "&amp;Table1[[#This Row],[Model]],Table13[MFR &amp; MDL],Table13[Tolerance % CW ],"")/100*Table1[[#This Row],[Std Nom]]),"")</f>
        <v/>
      </c>
      <c r="Q1463" s="1" t="e">
        <f>Table1[[#This Row],[High Tol]]-Table1[[#This Row],[Low Tol]]</f>
        <v>#VALUE!</v>
      </c>
      <c r="R1463" s="1">
        <f>2*Table1[[#This Row],[Std Error]]</f>
        <v>0</v>
      </c>
      <c r="S1463" s="1" t="str">
        <f>IF(Table1[[#This Row],[High Tol]]="","N/A",IFERROR(ABS(Table1[[#This Row],[Tol Span]]/Table1[[#This Row],[Error Span]]),"N/A"))</f>
        <v>N/A</v>
      </c>
      <c r="T1463" s="1" t="str">
        <f>IF(OR(Table1[[#This Row],[Low Tol]]="",Table1[[#This Row],[High Tol]]=""),"Needs Analysis",IF(Table1[[#This Row],[Ratio]]&gt;=4,"Not Significant",IF(Table1[[#This Row],[Ratio]]&gt;=2,"Semi-Significant","Significant")))</f>
        <v>Needs Analysis</v>
      </c>
      <c r="W1463" s="1">
        <f>IF(Table1[[#This Row],[Cal Type]]&lt;&gt;"ACCREDITED 17025 WITH UNCERTAINTIES",0,"")</f>
        <v>0</v>
      </c>
      <c r="X1463" s="1" t="str">
        <f>IF(Table1[[#This Row],[DUT Read]]="","N/A",Table1[[#This Row],[Std Error]]+Table1[[#This Row],[DUT Read]]+Table1[[#This Row],[DUT Ucty]])</f>
        <v>N/A</v>
      </c>
      <c r="Y1463" s="1" t="str">
        <f>IF(Table1[[#This Row],[Std Read]]="","N/A",Table1[[#This Row],[Std Read]]+Table1[[#This Row],[Std Ucty]])</f>
        <v>N/A</v>
      </c>
      <c r="Z14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3" s="1" t="str">
        <f>IF(Table1[[#This Row],[Spec Type]]="","N/A",Table1[[#This Row],[Spec Type]])</f>
        <v>±</v>
      </c>
      <c r="AC1463" s="1" t="str">
        <f>IF(Table1[[#This Row],[Spec Type2]]="N/A","N/A",IF(AND(Table1[[#This Row],[DUT Adj Read]]&gt;=Table1[[#This Row],[Low Tol]],Table1[[#This Row],[DUT Adj Read]]&lt;=Table1[[#This Row],[High Tol]]),"Pass","Fail"))</f>
        <v>Fail</v>
      </c>
      <c r="AD1463" s="1" t="str">
        <f>IF(AND(Table1[[#This Row],[Spec Type2]]="N/A",Table1[[#This Row],[DUT Adj Read]]="N/A",Table1[[#This Row],[Std Adj Read]]="N/A"),"N/A",IF(Table1[[#This Row],[DUT Adj Read]]="N/A",IF(Table1[[#This Row],[Std Adj Read]]&gt;Table1[[#This Row],[Low Tol]],"Pass","Fail"),IF(Table1[[#This Row],[DUT Adj Read]]&gt;Table1[[#This Row],[Low Tol]],"Pass","Fail")))</f>
        <v>Pass</v>
      </c>
      <c r="AE1463" s="1" t="str">
        <f>IF(AND(Table1[[#This Row],[Spec Type2]]="N/A",Table1[[#This Row],[DUT Adj Read]]="N/A",Table1[[#This Row],[Std Adj Read]]="N/A"),"N/A",IF(Table1[[#This Row],[DUT Adj Read]]="N/A",IF(Table1[[#This Row],[Std Adj Read]]&lt;Table1[[#This Row],[High Tol]],"Pass","Fail"),IF(Table1[[#This Row],[DUT Adj Read]]&lt;Table1[[#This Row],[High Tol]],"Pass","Fail")))</f>
        <v>Fail</v>
      </c>
      <c r="AF1463" s="1" t="str">
        <f>IF(AND(Table1[[#This Row],[Spec Type2]]="N/A",Table1[[#This Row],[DUT Adj Read]]="N/A",Table1[[#This Row],[Std Adj Read]]="N/A"),"N/A",IF(Table1[[#This Row],[DUT Adj Read]]="N/A",IF(Table1[[#This Row],[Std Adj Read]]&gt;=Table1[[#This Row],[Low Tol]],"Pass","Fail"),IF(Table1[[#This Row],[DUT Adj Read]]&gt;=Table1[[#This Row],[Low Tol]],"Pass","Fail")))</f>
        <v>Pass</v>
      </c>
      <c r="AG1463" s="1" t="str">
        <f>IF(AND(Table1[[#This Row],[Spec Type2]]="N/A",Table1[[#This Row],[DUT Adj Read]]="N/A",Table1[[#This Row],[Std Adj Read]]="N/A"),"N/A",IF(Table1[[#This Row],[DUT Adj Read]]="N/A",IF(Table1[[#This Row],[Std Adj Read]]&lt;=Table1[[#This Row],[High Tol]],"Pass","Fail"),IF(Table1[[#This Row],[DUT Adj Read]]&lt;=Table1[[#This Row],[High Tol]],"Pass","Fail")))</f>
        <v>Fail</v>
      </c>
      <c r="AH14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3" s="1" t="b">
        <v>0</v>
      </c>
      <c r="AN1463" s="1" t="b">
        <v>0</v>
      </c>
      <c r="AO1463" s="1" t="b">
        <v>0</v>
      </c>
    </row>
    <row r="1464" spans="1:41" x14ac:dyDescent="0.25">
      <c r="A1464" s="10"/>
      <c r="B1464" s="10"/>
      <c r="C1464" s="10"/>
      <c r="D1464" s="10"/>
      <c r="E1464" s="10"/>
      <c r="F1464" s="10"/>
      <c r="G1464" s="10"/>
      <c r="H1464" s="10"/>
      <c r="I1464" s="1" t="str">
        <f t="shared" si="66"/>
        <v/>
      </c>
      <c r="J1464" s="1" t="s">
        <v>35</v>
      </c>
      <c r="K1464" s="1" t="str">
        <f t="shared" si="67"/>
        <v/>
      </c>
      <c r="L1464" s="1" t="str">
        <f t="shared" si="68"/>
        <v/>
      </c>
      <c r="M1464" s="1">
        <f>IF(OR(Table1[[#This Row],[Std Nom]]="",Table1[[#This Row],[Std Read]]=""),0,Table1[[#This Row],[Std Nom]]-Table1[[#This Row],[Std Read]])</f>
        <v>0</v>
      </c>
      <c r="N1464" s="1">
        <f>IF(Calculations!$F$5="ACCREDITED 17025 WITH UNCERTAINTIES",$N$10,0)</f>
        <v>0</v>
      </c>
      <c r="O1464" s="1" t="str">
        <f>IFERROR(Table1[[#This Row],[Std Nom]]-(_xlfn.XLOOKUP(Table1[[#This Row],[Manufacturer]]&amp;" "&amp;Table1[[#This Row],[Model]],Table13[MFR &amp; MDL],Table13[Tolerance % CW ],"")/100*Table1[[#This Row],[Std Nom]]),"")</f>
        <v/>
      </c>
      <c r="P1464" s="1" t="str">
        <f>IFERROR(Table1[[#This Row],[Std Nom]]+(_xlfn.XLOOKUP(Table1[[#This Row],[Manufacturer]]&amp;" "&amp;Table1[[#This Row],[Model]],Table13[MFR &amp; MDL],Table13[Tolerance % CW ],"")/100*Table1[[#This Row],[Std Nom]]),"")</f>
        <v/>
      </c>
      <c r="Q1464" s="1" t="e">
        <f>Table1[[#This Row],[High Tol]]-Table1[[#This Row],[Low Tol]]</f>
        <v>#VALUE!</v>
      </c>
      <c r="R1464" s="1">
        <f>2*Table1[[#This Row],[Std Error]]</f>
        <v>0</v>
      </c>
      <c r="S1464" s="1" t="str">
        <f>IF(Table1[[#This Row],[High Tol]]="","N/A",IFERROR(ABS(Table1[[#This Row],[Tol Span]]/Table1[[#This Row],[Error Span]]),"N/A"))</f>
        <v>N/A</v>
      </c>
      <c r="T1464" s="1" t="str">
        <f>IF(OR(Table1[[#This Row],[Low Tol]]="",Table1[[#This Row],[High Tol]]=""),"Needs Analysis",IF(Table1[[#This Row],[Ratio]]&gt;=4,"Not Significant",IF(Table1[[#This Row],[Ratio]]&gt;=2,"Semi-Significant","Significant")))</f>
        <v>Needs Analysis</v>
      </c>
      <c r="W1464" s="1">
        <f>IF(Table1[[#This Row],[Cal Type]]&lt;&gt;"ACCREDITED 17025 WITH UNCERTAINTIES",0,"")</f>
        <v>0</v>
      </c>
      <c r="X1464" s="1" t="str">
        <f>IF(Table1[[#This Row],[DUT Read]]="","N/A",Table1[[#This Row],[Std Error]]+Table1[[#This Row],[DUT Read]]+Table1[[#This Row],[DUT Ucty]])</f>
        <v>N/A</v>
      </c>
      <c r="Y1464" s="1" t="str">
        <f>IF(Table1[[#This Row],[Std Read]]="","N/A",Table1[[#This Row],[Std Read]]+Table1[[#This Row],[Std Ucty]])</f>
        <v>N/A</v>
      </c>
      <c r="Z14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4" s="1" t="str">
        <f>IF(Table1[[#This Row],[Spec Type]]="","N/A",Table1[[#This Row],[Spec Type]])</f>
        <v>±</v>
      </c>
      <c r="AC1464" s="1" t="str">
        <f>IF(Table1[[#This Row],[Spec Type2]]="N/A","N/A",IF(AND(Table1[[#This Row],[DUT Adj Read]]&gt;=Table1[[#This Row],[Low Tol]],Table1[[#This Row],[DUT Adj Read]]&lt;=Table1[[#This Row],[High Tol]]),"Pass","Fail"))</f>
        <v>Fail</v>
      </c>
      <c r="AD1464" s="1" t="str">
        <f>IF(AND(Table1[[#This Row],[Spec Type2]]="N/A",Table1[[#This Row],[DUT Adj Read]]="N/A",Table1[[#This Row],[Std Adj Read]]="N/A"),"N/A",IF(Table1[[#This Row],[DUT Adj Read]]="N/A",IF(Table1[[#This Row],[Std Adj Read]]&gt;Table1[[#This Row],[Low Tol]],"Pass","Fail"),IF(Table1[[#This Row],[DUT Adj Read]]&gt;Table1[[#This Row],[Low Tol]],"Pass","Fail")))</f>
        <v>Pass</v>
      </c>
      <c r="AE1464" s="1" t="str">
        <f>IF(AND(Table1[[#This Row],[Spec Type2]]="N/A",Table1[[#This Row],[DUT Adj Read]]="N/A",Table1[[#This Row],[Std Adj Read]]="N/A"),"N/A",IF(Table1[[#This Row],[DUT Adj Read]]="N/A",IF(Table1[[#This Row],[Std Adj Read]]&lt;Table1[[#This Row],[High Tol]],"Pass","Fail"),IF(Table1[[#This Row],[DUT Adj Read]]&lt;Table1[[#This Row],[High Tol]],"Pass","Fail")))</f>
        <v>Fail</v>
      </c>
      <c r="AF1464" s="1" t="str">
        <f>IF(AND(Table1[[#This Row],[Spec Type2]]="N/A",Table1[[#This Row],[DUT Adj Read]]="N/A",Table1[[#This Row],[Std Adj Read]]="N/A"),"N/A",IF(Table1[[#This Row],[DUT Adj Read]]="N/A",IF(Table1[[#This Row],[Std Adj Read]]&gt;=Table1[[#This Row],[Low Tol]],"Pass","Fail"),IF(Table1[[#This Row],[DUT Adj Read]]&gt;=Table1[[#This Row],[Low Tol]],"Pass","Fail")))</f>
        <v>Pass</v>
      </c>
      <c r="AG1464" s="1" t="str">
        <f>IF(AND(Table1[[#This Row],[Spec Type2]]="N/A",Table1[[#This Row],[DUT Adj Read]]="N/A",Table1[[#This Row],[Std Adj Read]]="N/A"),"N/A",IF(Table1[[#This Row],[DUT Adj Read]]="N/A",IF(Table1[[#This Row],[Std Adj Read]]&lt;=Table1[[#This Row],[High Tol]],"Pass","Fail"),IF(Table1[[#This Row],[DUT Adj Read]]&lt;=Table1[[#This Row],[High Tol]],"Pass","Fail")))</f>
        <v>Fail</v>
      </c>
      <c r="AH14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4" s="1" t="b">
        <v>0</v>
      </c>
      <c r="AN1464" s="1" t="b">
        <v>0</v>
      </c>
      <c r="AO1464" s="1" t="b">
        <v>0</v>
      </c>
    </row>
    <row r="1465" spans="1:41" x14ac:dyDescent="0.25">
      <c r="A1465" s="10"/>
      <c r="B1465" s="10"/>
      <c r="C1465" s="10"/>
      <c r="D1465" s="10"/>
      <c r="E1465" s="10"/>
      <c r="F1465" s="10"/>
      <c r="G1465" s="10"/>
      <c r="H1465" s="10"/>
      <c r="I1465" s="1" t="str">
        <f t="shared" si="66"/>
        <v/>
      </c>
      <c r="J1465" s="1" t="s">
        <v>35</v>
      </c>
      <c r="K1465" s="1" t="str">
        <f t="shared" si="67"/>
        <v/>
      </c>
      <c r="L1465" s="1" t="str">
        <f t="shared" si="68"/>
        <v/>
      </c>
      <c r="M1465" s="1">
        <f>IF(OR(Table1[[#This Row],[Std Nom]]="",Table1[[#This Row],[Std Read]]=""),0,Table1[[#This Row],[Std Nom]]-Table1[[#This Row],[Std Read]])</f>
        <v>0</v>
      </c>
      <c r="N1465" s="1">
        <f>IF(Calculations!$F$5="ACCREDITED 17025 WITH UNCERTAINTIES",$N$10,0)</f>
        <v>0</v>
      </c>
      <c r="O1465" s="1" t="str">
        <f>IFERROR(Table1[[#This Row],[Std Nom]]-(_xlfn.XLOOKUP(Table1[[#This Row],[Manufacturer]]&amp;" "&amp;Table1[[#This Row],[Model]],Table13[MFR &amp; MDL],Table13[Tolerance % CW ],"")/100*Table1[[#This Row],[Std Nom]]),"")</f>
        <v/>
      </c>
      <c r="P1465" s="1" t="str">
        <f>IFERROR(Table1[[#This Row],[Std Nom]]+(_xlfn.XLOOKUP(Table1[[#This Row],[Manufacturer]]&amp;" "&amp;Table1[[#This Row],[Model]],Table13[MFR &amp; MDL],Table13[Tolerance % CW ],"")/100*Table1[[#This Row],[Std Nom]]),"")</f>
        <v/>
      </c>
      <c r="Q1465" s="1" t="e">
        <f>Table1[[#This Row],[High Tol]]-Table1[[#This Row],[Low Tol]]</f>
        <v>#VALUE!</v>
      </c>
      <c r="R1465" s="1">
        <f>2*Table1[[#This Row],[Std Error]]</f>
        <v>0</v>
      </c>
      <c r="S1465" s="1" t="str">
        <f>IF(Table1[[#This Row],[High Tol]]="","N/A",IFERROR(ABS(Table1[[#This Row],[Tol Span]]/Table1[[#This Row],[Error Span]]),"N/A"))</f>
        <v>N/A</v>
      </c>
      <c r="T1465" s="1" t="str">
        <f>IF(OR(Table1[[#This Row],[Low Tol]]="",Table1[[#This Row],[High Tol]]=""),"Needs Analysis",IF(Table1[[#This Row],[Ratio]]&gt;=4,"Not Significant",IF(Table1[[#This Row],[Ratio]]&gt;=2,"Semi-Significant","Significant")))</f>
        <v>Needs Analysis</v>
      </c>
      <c r="W1465" s="1">
        <f>IF(Table1[[#This Row],[Cal Type]]&lt;&gt;"ACCREDITED 17025 WITH UNCERTAINTIES",0,"")</f>
        <v>0</v>
      </c>
      <c r="X1465" s="1" t="str">
        <f>IF(Table1[[#This Row],[DUT Read]]="","N/A",Table1[[#This Row],[Std Error]]+Table1[[#This Row],[DUT Read]]+Table1[[#This Row],[DUT Ucty]])</f>
        <v>N/A</v>
      </c>
      <c r="Y1465" s="1" t="str">
        <f>IF(Table1[[#This Row],[Std Read]]="","N/A",Table1[[#This Row],[Std Read]]+Table1[[#This Row],[Std Ucty]])</f>
        <v>N/A</v>
      </c>
      <c r="Z14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5" s="1" t="str">
        <f>IF(Table1[[#This Row],[Spec Type]]="","N/A",Table1[[#This Row],[Spec Type]])</f>
        <v>±</v>
      </c>
      <c r="AC1465" s="1" t="str">
        <f>IF(Table1[[#This Row],[Spec Type2]]="N/A","N/A",IF(AND(Table1[[#This Row],[DUT Adj Read]]&gt;=Table1[[#This Row],[Low Tol]],Table1[[#This Row],[DUT Adj Read]]&lt;=Table1[[#This Row],[High Tol]]),"Pass","Fail"))</f>
        <v>Fail</v>
      </c>
      <c r="AD1465" s="1" t="str">
        <f>IF(AND(Table1[[#This Row],[Spec Type2]]="N/A",Table1[[#This Row],[DUT Adj Read]]="N/A",Table1[[#This Row],[Std Adj Read]]="N/A"),"N/A",IF(Table1[[#This Row],[DUT Adj Read]]="N/A",IF(Table1[[#This Row],[Std Adj Read]]&gt;Table1[[#This Row],[Low Tol]],"Pass","Fail"),IF(Table1[[#This Row],[DUT Adj Read]]&gt;Table1[[#This Row],[Low Tol]],"Pass","Fail")))</f>
        <v>Pass</v>
      </c>
      <c r="AE1465" s="1" t="str">
        <f>IF(AND(Table1[[#This Row],[Spec Type2]]="N/A",Table1[[#This Row],[DUT Adj Read]]="N/A",Table1[[#This Row],[Std Adj Read]]="N/A"),"N/A",IF(Table1[[#This Row],[DUT Adj Read]]="N/A",IF(Table1[[#This Row],[Std Adj Read]]&lt;Table1[[#This Row],[High Tol]],"Pass","Fail"),IF(Table1[[#This Row],[DUT Adj Read]]&lt;Table1[[#This Row],[High Tol]],"Pass","Fail")))</f>
        <v>Fail</v>
      </c>
      <c r="AF1465" s="1" t="str">
        <f>IF(AND(Table1[[#This Row],[Spec Type2]]="N/A",Table1[[#This Row],[DUT Adj Read]]="N/A",Table1[[#This Row],[Std Adj Read]]="N/A"),"N/A",IF(Table1[[#This Row],[DUT Adj Read]]="N/A",IF(Table1[[#This Row],[Std Adj Read]]&gt;=Table1[[#This Row],[Low Tol]],"Pass","Fail"),IF(Table1[[#This Row],[DUT Adj Read]]&gt;=Table1[[#This Row],[Low Tol]],"Pass","Fail")))</f>
        <v>Pass</v>
      </c>
      <c r="AG1465" s="1" t="str">
        <f>IF(AND(Table1[[#This Row],[Spec Type2]]="N/A",Table1[[#This Row],[DUT Adj Read]]="N/A",Table1[[#This Row],[Std Adj Read]]="N/A"),"N/A",IF(Table1[[#This Row],[DUT Adj Read]]="N/A",IF(Table1[[#This Row],[Std Adj Read]]&lt;=Table1[[#This Row],[High Tol]],"Pass","Fail"),IF(Table1[[#This Row],[DUT Adj Read]]&lt;=Table1[[#This Row],[High Tol]],"Pass","Fail")))</f>
        <v>Fail</v>
      </c>
      <c r="AH14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5" s="1" t="b">
        <v>0</v>
      </c>
      <c r="AN1465" s="1" t="b">
        <v>0</v>
      </c>
      <c r="AO1465" s="1" t="b">
        <v>0</v>
      </c>
    </row>
    <row r="1466" spans="1:41" x14ac:dyDescent="0.25">
      <c r="A1466" s="10"/>
      <c r="B1466" s="10"/>
      <c r="C1466" s="10"/>
      <c r="D1466" s="10"/>
      <c r="E1466" s="10"/>
      <c r="F1466" s="10"/>
      <c r="G1466" s="10"/>
      <c r="H1466" s="10"/>
      <c r="I1466" s="1" t="str">
        <f t="shared" si="66"/>
        <v/>
      </c>
      <c r="J1466" s="1" t="s">
        <v>35</v>
      </c>
      <c r="K1466" s="1" t="str">
        <f t="shared" si="67"/>
        <v/>
      </c>
      <c r="L1466" s="1" t="str">
        <f t="shared" si="68"/>
        <v/>
      </c>
      <c r="M1466" s="1">
        <f>IF(OR(Table1[[#This Row],[Std Nom]]="",Table1[[#This Row],[Std Read]]=""),0,Table1[[#This Row],[Std Nom]]-Table1[[#This Row],[Std Read]])</f>
        <v>0</v>
      </c>
      <c r="N1466" s="1">
        <f>IF(Calculations!$F$5="ACCREDITED 17025 WITH UNCERTAINTIES",$N$10,0)</f>
        <v>0</v>
      </c>
      <c r="O1466" s="1" t="str">
        <f>IFERROR(Table1[[#This Row],[Std Nom]]-(_xlfn.XLOOKUP(Table1[[#This Row],[Manufacturer]]&amp;" "&amp;Table1[[#This Row],[Model]],Table13[MFR &amp; MDL],Table13[Tolerance % CW ],"")/100*Table1[[#This Row],[Std Nom]]),"")</f>
        <v/>
      </c>
      <c r="P1466" s="1" t="str">
        <f>IFERROR(Table1[[#This Row],[Std Nom]]+(_xlfn.XLOOKUP(Table1[[#This Row],[Manufacturer]]&amp;" "&amp;Table1[[#This Row],[Model]],Table13[MFR &amp; MDL],Table13[Tolerance % CW ],"")/100*Table1[[#This Row],[Std Nom]]),"")</f>
        <v/>
      </c>
      <c r="Q1466" s="1" t="e">
        <f>Table1[[#This Row],[High Tol]]-Table1[[#This Row],[Low Tol]]</f>
        <v>#VALUE!</v>
      </c>
      <c r="R1466" s="1">
        <f>2*Table1[[#This Row],[Std Error]]</f>
        <v>0</v>
      </c>
      <c r="S1466" s="1" t="str">
        <f>IF(Table1[[#This Row],[High Tol]]="","N/A",IFERROR(ABS(Table1[[#This Row],[Tol Span]]/Table1[[#This Row],[Error Span]]),"N/A"))</f>
        <v>N/A</v>
      </c>
      <c r="T1466" s="1" t="str">
        <f>IF(OR(Table1[[#This Row],[Low Tol]]="",Table1[[#This Row],[High Tol]]=""),"Needs Analysis",IF(Table1[[#This Row],[Ratio]]&gt;=4,"Not Significant",IF(Table1[[#This Row],[Ratio]]&gt;=2,"Semi-Significant","Significant")))</f>
        <v>Needs Analysis</v>
      </c>
      <c r="W1466" s="1">
        <f>IF(Table1[[#This Row],[Cal Type]]&lt;&gt;"ACCREDITED 17025 WITH UNCERTAINTIES",0,"")</f>
        <v>0</v>
      </c>
      <c r="X1466" s="1" t="str">
        <f>IF(Table1[[#This Row],[DUT Read]]="","N/A",Table1[[#This Row],[Std Error]]+Table1[[#This Row],[DUT Read]]+Table1[[#This Row],[DUT Ucty]])</f>
        <v>N/A</v>
      </c>
      <c r="Y1466" s="1" t="str">
        <f>IF(Table1[[#This Row],[Std Read]]="","N/A",Table1[[#This Row],[Std Read]]+Table1[[#This Row],[Std Ucty]])</f>
        <v>N/A</v>
      </c>
      <c r="Z14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6" s="1" t="str">
        <f>IF(Table1[[#This Row],[Spec Type]]="","N/A",Table1[[#This Row],[Spec Type]])</f>
        <v>±</v>
      </c>
      <c r="AC1466" s="1" t="str">
        <f>IF(Table1[[#This Row],[Spec Type2]]="N/A","N/A",IF(AND(Table1[[#This Row],[DUT Adj Read]]&gt;=Table1[[#This Row],[Low Tol]],Table1[[#This Row],[DUT Adj Read]]&lt;=Table1[[#This Row],[High Tol]]),"Pass","Fail"))</f>
        <v>Fail</v>
      </c>
      <c r="AD1466" s="1" t="str">
        <f>IF(AND(Table1[[#This Row],[Spec Type2]]="N/A",Table1[[#This Row],[DUT Adj Read]]="N/A",Table1[[#This Row],[Std Adj Read]]="N/A"),"N/A",IF(Table1[[#This Row],[DUT Adj Read]]="N/A",IF(Table1[[#This Row],[Std Adj Read]]&gt;Table1[[#This Row],[Low Tol]],"Pass","Fail"),IF(Table1[[#This Row],[DUT Adj Read]]&gt;Table1[[#This Row],[Low Tol]],"Pass","Fail")))</f>
        <v>Pass</v>
      </c>
      <c r="AE1466" s="1" t="str">
        <f>IF(AND(Table1[[#This Row],[Spec Type2]]="N/A",Table1[[#This Row],[DUT Adj Read]]="N/A",Table1[[#This Row],[Std Adj Read]]="N/A"),"N/A",IF(Table1[[#This Row],[DUT Adj Read]]="N/A",IF(Table1[[#This Row],[Std Adj Read]]&lt;Table1[[#This Row],[High Tol]],"Pass","Fail"),IF(Table1[[#This Row],[DUT Adj Read]]&lt;Table1[[#This Row],[High Tol]],"Pass","Fail")))</f>
        <v>Fail</v>
      </c>
      <c r="AF1466" s="1" t="str">
        <f>IF(AND(Table1[[#This Row],[Spec Type2]]="N/A",Table1[[#This Row],[DUT Adj Read]]="N/A",Table1[[#This Row],[Std Adj Read]]="N/A"),"N/A",IF(Table1[[#This Row],[DUT Adj Read]]="N/A",IF(Table1[[#This Row],[Std Adj Read]]&gt;=Table1[[#This Row],[Low Tol]],"Pass","Fail"),IF(Table1[[#This Row],[DUT Adj Read]]&gt;=Table1[[#This Row],[Low Tol]],"Pass","Fail")))</f>
        <v>Pass</v>
      </c>
      <c r="AG1466" s="1" t="str">
        <f>IF(AND(Table1[[#This Row],[Spec Type2]]="N/A",Table1[[#This Row],[DUT Adj Read]]="N/A",Table1[[#This Row],[Std Adj Read]]="N/A"),"N/A",IF(Table1[[#This Row],[DUT Adj Read]]="N/A",IF(Table1[[#This Row],[Std Adj Read]]&lt;=Table1[[#This Row],[High Tol]],"Pass","Fail"),IF(Table1[[#This Row],[DUT Adj Read]]&lt;=Table1[[#This Row],[High Tol]],"Pass","Fail")))</f>
        <v>Fail</v>
      </c>
      <c r="AH14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6" s="1" t="b">
        <v>0</v>
      </c>
      <c r="AN1466" s="1" t="b">
        <v>0</v>
      </c>
      <c r="AO1466" s="1" t="b">
        <v>0</v>
      </c>
    </row>
    <row r="1467" spans="1:41" x14ac:dyDescent="0.25">
      <c r="A1467" s="10"/>
      <c r="B1467" s="10"/>
      <c r="C1467" s="10"/>
      <c r="D1467" s="10"/>
      <c r="E1467" s="10"/>
      <c r="F1467" s="10"/>
      <c r="G1467" s="10"/>
      <c r="H1467" s="10"/>
      <c r="I1467" s="1" t="str">
        <f t="shared" si="66"/>
        <v/>
      </c>
      <c r="J1467" s="1" t="s">
        <v>35</v>
      </c>
      <c r="K1467" s="1" t="str">
        <f t="shared" si="67"/>
        <v/>
      </c>
      <c r="L1467" s="1" t="str">
        <f t="shared" si="68"/>
        <v/>
      </c>
      <c r="M1467" s="1">
        <f>IF(OR(Table1[[#This Row],[Std Nom]]="",Table1[[#This Row],[Std Read]]=""),0,Table1[[#This Row],[Std Nom]]-Table1[[#This Row],[Std Read]])</f>
        <v>0</v>
      </c>
      <c r="N1467" s="1">
        <f>IF(Calculations!$F$5="ACCREDITED 17025 WITH UNCERTAINTIES",$N$10,0)</f>
        <v>0</v>
      </c>
      <c r="O1467" s="1" t="str">
        <f>IFERROR(Table1[[#This Row],[Std Nom]]-(_xlfn.XLOOKUP(Table1[[#This Row],[Manufacturer]]&amp;" "&amp;Table1[[#This Row],[Model]],Table13[MFR &amp; MDL],Table13[Tolerance % CW ],"")/100*Table1[[#This Row],[Std Nom]]),"")</f>
        <v/>
      </c>
      <c r="P1467" s="1" t="str">
        <f>IFERROR(Table1[[#This Row],[Std Nom]]+(_xlfn.XLOOKUP(Table1[[#This Row],[Manufacturer]]&amp;" "&amp;Table1[[#This Row],[Model]],Table13[MFR &amp; MDL],Table13[Tolerance % CW ],"")/100*Table1[[#This Row],[Std Nom]]),"")</f>
        <v/>
      </c>
      <c r="Q1467" s="1" t="e">
        <f>Table1[[#This Row],[High Tol]]-Table1[[#This Row],[Low Tol]]</f>
        <v>#VALUE!</v>
      </c>
      <c r="R1467" s="1">
        <f>2*Table1[[#This Row],[Std Error]]</f>
        <v>0</v>
      </c>
      <c r="S1467" s="1" t="str">
        <f>IF(Table1[[#This Row],[High Tol]]="","N/A",IFERROR(ABS(Table1[[#This Row],[Tol Span]]/Table1[[#This Row],[Error Span]]),"N/A"))</f>
        <v>N/A</v>
      </c>
      <c r="T1467" s="1" t="str">
        <f>IF(OR(Table1[[#This Row],[Low Tol]]="",Table1[[#This Row],[High Tol]]=""),"Needs Analysis",IF(Table1[[#This Row],[Ratio]]&gt;=4,"Not Significant",IF(Table1[[#This Row],[Ratio]]&gt;=2,"Semi-Significant","Significant")))</f>
        <v>Needs Analysis</v>
      </c>
      <c r="W1467" s="1">
        <f>IF(Table1[[#This Row],[Cal Type]]&lt;&gt;"ACCREDITED 17025 WITH UNCERTAINTIES",0,"")</f>
        <v>0</v>
      </c>
      <c r="X1467" s="1" t="str">
        <f>IF(Table1[[#This Row],[DUT Read]]="","N/A",Table1[[#This Row],[Std Error]]+Table1[[#This Row],[DUT Read]]+Table1[[#This Row],[DUT Ucty]])</f>
        <v>N/A</v>
      </c>
      <c r="Y1467" s="1" t="str">
        <f>IF(Table1[[#This Row],[Std Read]]="","N/A",Table1[[#This Row],[Std Read]]+Table1[[#This Row],[Std Ucty]])</f>
        <v>N/A</v>
      </c>
      <c r="Z14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7" s="1" t="str">
        <f>IF(Table1[[#This Row],[Spec Type]]="","N/A",Table1[[#This Row],[Spec Type]])</f>
        <v>±</v>
      </c>
      <c r="AC1467" s="1" t="str">
        <f>IF(Table1[[#This Row],[Spec Type2]]="N/A","N/A",IF(AND(Table1[[#This Row],[DUT Adj Read]]&gt;=Table1[[#This Row],[Low Tol]],Table1[[#This Row],[DUT Adj Read]]&lt;=Table1[[#This Row],[High Tol]]),"Pass","Fail"))</f>
        <v>Fail</v>
      </c>
      <c r="AD1467" s="1" t="str">
        <f>IF(AND(Table1[[#This Row],[Spec Type2]]="N/A",Table1[[#This Row],[DUT Adj Read]]="N/A",Table1[[#This Row],[Std Adj Read]]="N/A"),"N/A",IF(Table1[[#This Row],[DUT Adj Read]]="N/A",IF(Table1[[#This Row],[Std Adj Read]]&gt;Table1[[#This Row],[Low Tol]],"Pass","Fail"),IF(Table1[[#This Row],[DUT Adj Read]]&gt;Table1[[#This Row],[Low Tol]],"Pass","Fail")))</f>
        <v>Pass</v>
      </c>
      <c r="AE1467" s="1" t="str">
        <f>IF(AND(Table1[[#This Row],[Spec Type2]]="N/A",Table1[[#This Row],[DUT Adj Read]]="N/A",Table1[[#This Row],[Std Adj Read]]="N/A"),"N/A",IF(Table1[[#This Row],[DUT Adj Read]]="N/A",IF(Table1[[#This Row],[Std Adj Read]]&lt;Table1[[#This Row],[High Tol]],"Pass","Fail"),IF(Table1[[#This Row],[DUT Adj Read]]&lt;Table1[[#This Row],[High Tol]],"Pass","Fail")))</f>
        <v>Fail</v>
      </c>
      <c r="AF1467" s="1" t="str">
        <f>IF(AND(Table1[[#This Row],[Spec Type2]]="N/A",Table1[[#This Row],[DUT Adj Read]]="N/A",Table1[[#This Row],[Std Adj Read]]="N/A"),"N/A",IF(Table1[[#This Row],[DUT Adj Read]]="N/A",IF(Table1[[#This Row],[Std Adj Read]]&gt;=Table1[[#This Row],[Low Tol]],"Pass","Fail"),IF(Table1[[#This Row],[DUT Adj Read]]&gt;=Table1[[#This Row],[Low Tol]],"Pass","Fail")))</f>
        <v>Pass</v>
      </c>
      <c r="AG1467" s="1" t="str">
        <f>IF(AND(Table1[[#This Row],[Spec Type2]]="N/A",Table1[[#This Row],[DUT Adj Read]]="N/A",Table1[[#This Row],[Std Adj Read]]="N/A"),"N/A",IF(Table1[[#This Row],[DUT Adj Read]]="N/A",IF(Table1[[#This Row],[Std Adj Read]]&lt;=Table1[[#This Row],[High Tol]],"Pass","Fail"),IF(Table1[[#This Row],[DUT Adj Read]]&lt;=Table1[[#This Row],[High Tol]],"Pass","Fail")))</f>
        <v>Fail</v>
      </c>
      <c r="AH14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7" s="1" t="b">
        <v>0</v>
      </c>
      <c r="AN1467" s="1" t="b">
        <v>0</v>
      </c>
      <c r="AO1467" s="1" t="b">
        <v>0</v>
      </c>
    </row>
    <row r="1468" spans="1:41" x14ac:dyDescent="0.25">
      <c r="A1468" s="10"/>
      <c r="B1468" s="10"/>
      <c r="C1468" s="10"/>
      <c r="D1468" s="10"/>
      <c r="E1468" s="10"/>
      <c r="F1468" s="10"/>
      <c r="G1468" s="10"/>
      <c r="H1468" s="10"/>
      <c r="I1468" s="1" t="str">
        <f t="shared" si="66"/>
        <v/>
      </c>
      <c r="J1468" s="1" t="s">
        <v>35</v>
      </c>
      <c r="K1468" s="1" t="str">
        <f t="shared" si="67"/>
        <v/>
      </c>
      <c r="L1468" s="1" t="str">
        <f t="shared" si="68"/>
        <v/>
      </c>
      <c r="M1468" s="1">
        <f>IF(OR(Table1[[#This Row],[Std Nom]]="",Table1[[#This Row],[Std Read]]=""),0,Table1[[#This Row],[Std Nom]]-Table1[[#This Row],[Std Read]])</f>
        <v>0</v>
      </c>
      <c r="N1468" s="1">
        <f>IF(Calculations!$F$5="ACCREDITED 17025 WITH UNCERTAINTIES",$N$10,0)</f>
        <v>0</v>
      </c>
      <c r="O1468" s="1" t="str">
        <f>IFERROR(Table1[[#This Row],[Std Nom]]-(_xlfn.XLOOKUP(Table1[[#This Row],[Manufacturer]]&amp;" "&amp;Table1[[#This Row],[Model]],Table13[MFR &amp; MDL],Table13[Tolerance % CW ],"")/100*Table1[[#This Row],[Std Nom]]),"")</f>
        <v/>
      </c>
      <c r="P1468" s="1" t="str">
        <f>IFERROR(Table1[[#This Row],[Std Nom]]+(_xlfn.XLOOKUP(Table1[[#This Row],[Manufacturer]]&amp;" "&amp;Table1[[#This Row],[Model]],Table13[MFR &amp; MDL],Table13[Tolerance % CW ],"")/100*Table1[[#This Row],[Std Nom]]),"")</f>
        <v/>
      </c>
      <c r="Q1468" s="1" t="e">
        <f>Table1[[#This Row],[High Tol]]-Table1[[#This Row],[Low Tol]]</f>
        <v>#VALUE!</v>
      </c>
      <c r="R1468" s="1">
        <f>2*Table1[[#This Row],[Std Error]]</f>
        <v>0</v>
      </c>
      <c r="S1468" s="1" t="str">
        <f>IF(Table1[[#This Row],[High Tol]]="","N/A",IFERROR(ABS(Table1[[#This Row],[Tol Span]]/Table1[[#This Row],[Error Span]]),"N/A"))</f>
        <v>N/A</v>
      </c>
      <c r="T1468" s="1" t="str">
        <f>IF(OR(Table1[[#This Row],[Low Tol]]="",Table1[[#This Row],[High Tol]]=""),"Needs Analysis",IF(Table1[[#This Row],[Ratio]]&gt;=4,"Not Significant",IF(Table1[[#This Row],[Ratio]]&gt;=2,"Semi-Significant","Significant")))</f>
        <v>Needs Analysis</v>
      </c>
      <c r="W1468" s="1">
        <f>IF(Table1[[#This Row],[Cal Type]]&lt;&gt;"ACCREDITED 17025 WITH UNCERTAINTIES",0,"")</f>
        <v>0</v>
      </c>
      <c r="X1468" s="1" t="str">
        <f>IF(Table1[[#This Row],[DUT Read]]="","N/A",Table1[[#This Row],[Std Error]]+Table1[[#This Row],[DUT Read]]+Table1[[#This Row],[DUT Ucty]])</f>
        <v>N/A</v>
      </c>
      <c r="Y1468" s="1" t="str">
        <f>IF(Table1[[#This Row],[Std Read]]="","N/A",Table1[[#This Row],[Std Read]]+Table1[[#This Row],[Std Ucty]])</f>
        <v>N/A</v>
      </c>
      <c r="Z14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8" s="1" t="str">
        <f>IF(Table1[[#This Row],[Spec Type]]="","N/A",Table1[[#This Row],[Spec Type]])</f>
        <v>±</v>
      </c>
      <c r="AC1468" s="1" t="str">
        <f>IF(Table1[[#This Row],[Spec Type2]]="N/A","N/A",IF(AND(Table1[[#This Row],[DUT Adj Read]]&gt;=Table1[[#This Row],[Low Tol]],Table1[[#This Row],[DUT Adj Read]]&lt;=Table1[[#This Row],[High Tol]]),"Pass","Fail"))</f>
        <v>Fail</v>
      </c>
      <c r="AD1468" s="1" t="str">
        <f>IF(AND(Table1[[#This Row],[Spec Type2]]="N/A",Table1[[#This Row],[DUT Adj Read]]="N/A",Table1[[#This Row],[Std Adj Read]]="N/A"),"N/A",IF(Table1[[#This Row],[DUT Adj Read]]="N/A",IF(Table1[[#This Row],[Std Adj Read]]&gt;Table1[[#This Row],[Low Tol]],"Pass","Fail"),IF(Table1[[#This Row],[DUT Adj Read]]&gt;Table1[[#This Row],[Low Tol]],"Pass","Fail")))</f>
        <v>Pass</v>
      </c>
      <c r="AE1468" s="1" t="str">
        <f>IF(AND(Table1[[#This Row],[Spec Type2]]="N/A",Table1[[#This Row],[DUT Adj Read]]="N/A",Table1[[#This Row],[Std Adj Read]]="N/A"),"N/A",IF(Table1[[#This Row],[DUT Adj Read]]="N/A",IF(Table1[[#This Row],[Std Adj Read]]&lt;Table1[[#This Row],[High Tol]],"Pass","Fail"),IF(Table1[[#This Row],[DUT Adj Read]]&lt;Table1[[#This Row],[High Tol]],"Pass","Fail")))</f>
        <v>Fail</v>
      </c>
      <c r="AF1468" s="1" t="str">
        <f>IF(AND(Table1[[#This Row],[Spec Type2]]="N/A",Table1[[#This Row],[DUT Adj Read]]="N/A",Table1[[#This Row],[Std Adj Read]]="N/A"),"N/A",IF(Table1[[#This Row],[DUT Adj Read]]="N/A",IF(Table1[[#This Row],[Std Adj Read]]&gt;=Table1[[#This Row],[Low Tol]],"Pass","Fail"),IF(Table1[[#This Row],[DUT Adj Read]]&gt;=Table1[[#This Row],[Low Tol]],"Pass","Fail")))</f>
        <v>Pass</v>
      </c>
      <c r="AG1468" s="1" t="str">
        <f>IF(AND(Table1[[#This Row],[Spec Type2]]="N/A",Table1[[#This Row],[DUT Adj Read]]="N/A",Table1[[#This Row],[Std Adj Read]]="N/A"),"N/A",IF(Table1[[#This Row],[DUT Adj Read]]="N/A",IF(Table1[[#This Row],[Std Adj Read]]&lt;=Table1[[#This Row],[High Tol]],"Pass","Fail"),IF(Table1[[#This Row],[DUT Adj Read]]&lt;=Table1[[#This Row],[High Tol]],"Pass","Fail")))</f>
        <v>Fail</v>
      </c>
      <c r="AH14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8" s="1" t="b">
        <v>0</v>
      </c>
      <c r="AN1468" s="1" t="b">
        <v>0</v>
      </c>
      <c r="AO1468" s="1" t="b">
        <v>0</v>
      </c>
    </row>
    <row r="1469" spans="1:41" x14ac:dyDescent="0.25">
      <c r="A1469" s="10"/>
      <c r="B1469" s="10"/>
      <c r="C1469" s="10"/>
      <c r="D1469" s="10"/>
      <c r="E1469" s="10"/>
      <c r="F1469" s="10"/>
      <c r="G1469" s="10"/>
      <c r="H1469" s="10"/>
      <c r="I1469" s="1" t="str">
        <f t="shared" si="66"/>
        <v/>
      </c>
      <c r="J1469" s="1" t="s">
        <v>35</v>
      </c>
      <c r="K1469" s="1" t="str">
        <f t="shared" si="67"/>
        <v/>
      </c>
      <c r="L1469" s="1" t="str">
        <f t="shared" si="68"/>
        <v/>
      </c>
      <c r="M1469" s="1">
        <f>IF(OR(Table1[[#This Row],[Std Nom]]="",Table1[[#This Row],[Std Read]]=""),0,Table1[[#This Row],[Std Nom]]-Table1[[#This Row],[Std Read]])</f>
        <v>0</v>
      </c>
      <c r="N1469" s="1">
        <f>IF(Calculations!$F$5="ACCREDITED 17025 WITH UNCERTAINTIES",$N$10,0)</f>
        <v>0</v>
      </c>
      <c r="O1469" s="1" t="str">
        <f>IFERROR(Table1[[#This Row],[Std Nom]]-(_xlfn.XLOOKUP(Table1[[#This Row],[Manufacturer]]&amp;" "&amp;Table1[[#This Row],[Model]],Table13[MFR &amp; MDL],Table13[Tolerance % CW ],"")/100*Table1[[#This Row],[Std Nom]]),"")</f>
        <v/>
      </c>
      <c r="P1469" s="1" t="str">
        <f>IFERROR(Table1[[#This Row],[Std Nom]]+(_xlfn.XLOOKUP(Table1[[#This Row],[Manufacturer]]&amp;" "&amp;Table1[[#This Row],[Model]],Table13[MFR &amp; MDL],Table13[Tolerance % CW ],"")/100*Table1[[#This Row],[Std Nom]]),"")</f>
        <v/>
      </c>
      <c r="Q1469" s="1" t="e">
        <f>Table1[[#This Row],[High Tol]]-Table1[[#This Row],[Low Tol]]</f>
        <v>#VALUE!</v>
      </c>
      <c r="R1469" s="1">
        <f>2*Table1[[#This Row],[Std Error]]</f>
        <v>0</v>
      </c>
      <c r="S1469" s="1" t="str">
        <f>IF(Table1[[#This Row],[High Tol]]="","N/A",IFERROR(ABS(Table1[[#This Row],[Tol Span]]/Table1[[#This Row],[Error Span]]),"N/A"))</f>
        <v>N/A</v>
      </c>
      <c r="T1469" s="1" t="str">
        <f>IF(OR(Table1[[#This Row],[Low Tol]]="",Table1[[#This Row],[High Tol]]=""),"Needs Analysis",IF(Table1[[#This Row],[Ratio]]&gt;=4,"Not Significant",IF(Table1[[#This Row],[Ratio]]&gt;=2,"Semi-Significant","Significant")))</f>
        <v>Needs Analysis</v>
      </c>
      <c r="W1469" s="1">
        <f>IF(Table1[[#This Row],[Cal Type]]&lt;&gt;"ACCREDITED 17025 WITH UNCERTAINTIES",0,"")</f>
        <v>0</v>
      </c>
      <c r="X1469" s="1" t="str">
        <f>IF(Table1[[#This Row],[DUT Read]]="","N/A",Table1[[#This Row],[Std Error]]+Table1[[#This Row],[DUT Read]]+Table1[[#This Row],[DUT Ucty]])</f>
        <v>N/A</v>
      </c>
      <c r="Y1469" s="1" t="str">
        <f>IF(Table1[[#This Row],[Std Read]]="","N/A",Table1[[#This Row],[Std Read]]+Table1[[#This Row],[Std Ucty]])</f>
        <v>N/A</v>
      </c>
      <c r="Z14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9" s="1" t="str">
        <f>IF(Table1[[#This Row],[Spec Type]]="","N/A",Table1[[#This Row],[Spec Type]])</f>
        <v>±</v>
      </c>
      <c r="AC1469" s="1" t="str">
        <f>IF(Table1[[#This Row],[Spec Type2]]="N/A","N/A",IF(AND(Table1[[#This Row],[DUT Adj Read]]&gt;=Table1[[#This Row],[Low Tol]],Table1[[#This Row],[DUT Adj Read]]&lt;=Table1[[#This Row],[High Tol]]),"Pass","Fail"))</f>
        <v>Fail</v>
      </c>
      <c r="AD1469" s="1" t="str">
        <f>IF(AND(Table1[[#This Row],[Spec Type2]]="N/A",Table1[[#This Row],[DUT Adj Read]]="N/A",Table1[[#This Row],[Std Adj Read]]="N/A"),"N/A",IF(Table1[[#This Row],[DUT Adj Read]]="N/A",IF(Table1[[#This Row],[Std Adj Read]]&gt;Table1[[#This Row],[Low Tol]],"Pass","Fail"),IF(Table1[[#This Row],[DUT Adj Read]]&gt;Table1[[#This Row],[Low Tol]],"Pass","Fail")))</f>
        <v>Pass</v>
      </c>
      <c r="AE1469" s="1" t="str">
        <f>IF(AND(Table1[[#This Row],[Spec Type2]]="N/A",Table1[[#This Row],[DUT Adj Read]]="N/A",Table1[[#This Row],[Std Adj Read]]="N/A"),"N/A",IF(Table1[[#This Row],[DUT Adj Read]]="N/A",IF(Table1[[#This Row],[Std Adj Read]]&lt;Table1[[#This Row],[High Tol]],"Pass","Fail"),IF(Table1[[#This Row],[DUT Adj Read]]&lt;Table1[[#This Row],[High Tol]],"Pass","Fail")))</f>
        <v>Fail</v>
      </c>
      <c r="AF1469" s="1" t="str">
        <f>IF(AND(Table1[[#This Row],[Spec Type2]]="N/A",Table1[[#This Row],[DUT Adj Read]]="N/A",Table1[[#This Row],[Std Adj Read]]="N/A"),"N/A",IF(Table1[[#This Row],[DUT Adj Read]]="N/A",IF(Table1[[#This Row],[Std Adj Read]]&gt;=Table1[[#This Row],[Low Tol]],"Pass","Fail"),IF(Table1[[#This Row],[DUT Adj Read]]&gt;=Table1[[#This Row],[Low Tol]],"Pass","Fail")))</f>
        <v>Pass</v>
      </c>
      <c r="AG1469" s="1" t="str">
        <f>IF(AND(Table1[[#This Row],[Spec Type2]]="N/A",Table1[[#This Row],[DUT Adj Read]]="N/A",Table1[[#This Row],[Std Adj Read]]="N/A"),"N/A",IF(Table1[[#This Row],[DUT Adj Read]]="N/A",IF(Table1[[#This Row],[Std Adj Read]]&lt;=Table1[[#This Row],[High Tol]],"Pass","Fail"),IF(Table1[[#This Row],[DUT Adj Read]]&lt;=Table1[[#This Row],[High Tol]],"Pass","Fail")))</f>
        <v>Fail</v>
      </c>
      <c r="AH14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9" s="1" t="b">
        <v>0</v>
      </c>
      <c r="AN1469" s="1" t="b">
        <v>0</v>
      </c>
      <c r="AO1469" s="1" t="b">
        <v>0</v>
      </c>
    </row>
    <row r="1470" spans="1:41" x14ac:dyDescent="0.25">
      <c r="A1470" s="10"/>
      <c r="B1470" s="10"/>
      <c r="C1470" s="10"/>
      <c r="D1470" s="10"/>
      <c r="E1470" s="10"/>
      <c r="F1470" s="10"/>
      <c r="G1470" s="10"/>
      <c r="H1470" s="10"/>
      <c r="I1470" s="1" t="str">
        <f t="shared" si="66"/>
        <v/>
      </c>
      <c r="J1470" s="1" t="s">
        <v>35</v>
      </c>
      <c r="K1470" s="1" t="str">
        <f t="shared" si="67"/>
        <v/>
      </c>
      <c r="L1470" s="1" t="str">
        <f t="shared" si="68"/>
        <v/>
      </c>
      <c r="M1470" s="1">
        <f>IF(OR(Table1[[#This Row],[Std Nom]]="",Table1[[#This Row],[Std Read]]=""),0,Table1[[#This Row],[Std Nom]]-Table1[[#This Row],[Std Read]])</f>
        <v>0</v>
      </c>
      <c r="N1470" s="1">
        <f>IF(Calculations!$F$5="ACCREDITED 17025 WITH UNCERTAINTIES",$N$10,0)</f>
        <v>0</v>
      </c>
      <c r="O1470" s="1" t="str">
        <f>IFERROR(Table1[[#This Row],[Std Nom]]-(_xlfn.XLOOKUP(Table1[[#This Row],[Manufacturer]]&amp;" "&amp;Table1[[#This Row],[Model]],Table13[MFR &amp; MDL],Table13[Tolerance % CW ],"")/100*Table1[[#This Row],[Std Nom]]),"")</f>
        <v/>
      </c>
      <c r="P1470" s="1" t="str">
        <f>IFERROR(Table1[[#This Row],[Std Nom]]+(_xlfn.XLOOKUP(Table1[[#This Row],[Manufacturer]]&amp;" "&amp;Table1[[#This Row],[Model]],Table13[MFR &amp; MDL],Table13[Tolerance % CW ],"")/100*Table1[[#This Row],[Std Nom]]),"")</f>
        <v/>
      </c>
      <c r="Q1470" s="1" t="e">
        <f>Table1[[#This Row],[High Tol]]-Table1[[#This Row],[Low Tol]]</f>
        <v>#VALUE!</v>
      </c>
      <c r="R1470" s="1">
        <f>2*Table1[[#This Row],[Std Error]]</f>
        <v>0</v>
      </c>
      <c r="S1470" s="1" t="str">
        <f>IF(Table1[[#This Row],[High Tol]]="","N/A",IFERROR(ABS(Table1[[#This Row],[Tol Span]]/Table1[[#This Row],[Error Span]]),"N/A"))</f>
        <v>N/A</v>
      </c>
      <c r="T1470" s="1" t="str">
        <f>IF(OR(Table1[[#This Row],[Low Tol]]="",Table1[[#This Row],[High Tol]]=""),"Needs Analysis",IF(Table1[[#This Row],[Ratio]]&gt;=4,"Not Significant",IF(Table1[[#This Row],[Ratio]]&gt;=2,"Semi-Significant","Significant")))</f>
        <v>Needs Analysis</v>
      </c>
      <c r="W1470" s="1">
        <f>IF(Table1[[#This Row],[Cal Type]]&lt;&gt;"ACCREDITED 17025 WITH UNCERTAINTIES",0,"")</f>
        <v>0</v>
      </c>
      <c r="X1470" s="1" t="str">
        <f>IF(Table1[[#This Row],[DUT Read]]="","N/A",Table1[[#This Row],[Std Error]]+Table1[[#This Row],[DUT Read]]+Table1[[#This Row],[DUT Ucty]])</f>
        <v>N/A</v>
      </c>
      <c r="Y1470" s="1" t="str">
        <f>IF(Table1[[#This Row],[Std Read]]="","N/A",Table1[[#This Row],[Std Read]]+Table1[[#This Row],[Std Ucty]])</f>
        <v>N/A</v>
      </c>
      <c r="Z14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0" s="1" t="str">
        <f>IF(Table1[[#This Row],[Spec Type]]="","N/A",Table1[[#This Row],[Spec Type]])</f>
        <v>±</v>
      </c>
      <c r="AC1470" s="1" t="str">
        <f>IF(Table1[[#This Row],[Spec Type2]]="N/A","N/A",IF(AND(Table1[[#This Row],[DUT Adj Read]]&gt;=Table1[[#This Row],[Low Tol]],Table1[[#This Row],[DUT Adj Read]]&lt;=Table1[[#This Row],[High Tol]]),"Pass","Fail"))</f>
        <v>Fail</v>
      </c>
      <c r="AD1470" s="1" t="str">
        <f>IF(AND(Table1[[#This Row],[Spec Type2]]="N/A",Table1[[#This Row],[DUT Adj Read]]="N/A",Table1[[#This Row],[Std Adj Read]]="N/A"),"N/A",IF(Table1[[#This Row],[DUT Adj Read]]="N/A",IF(Table1[[#This Row],[Std Adj Read]]&gt;Table1[[#This Row],[Low Tol]],"Pass","Fail"),IF(Table1[[#This Row],[DUT Adj Read]]&gt;Table1[[#This Row],[Low Tol]],"Pass","Fail")))</f>
        <v>Pass</v>
      </c>
      <c r="AE1470" s="1" t="str">
        <f>IF(AND(Table1[[#This Row],[Spec Type2]]="N/A",Table1[[#This Row],[DUT Adj Read]]="N/A",Table1[[#This Row],[Std Adj Read]]="N/A"),"N/A",IF(Table1[[#This Row],[DUT Adj Read]]="N/A",IF(Table1[[#This Row],[Std Adj Read]]&lt;Table1[[#This Row],[High Tol]],"Pass","Fail"),IF(Table1[[#This Row],[DUT Adj Read]]&lt;Table1[[#This Row],[High Tol]],"Pass","Fail")))</f>
        <v>Fail</v>
      </c>
      <c r="AF1470" s="1" t="str">
        <f>IF(AND(Table1[[#This Row],[Spec Type2]]="N/A",Table1[[#This Row],[DUT Adj Read]]="N/A",Table1[[#This Row],[Std Adj Read]]="N/A"),"N/A",IF(Table1[[#This Row],[DUT Adj Read]]="N/A",IF(Table1[[#This Row],[Std Adj Read]]&gt;=Table1[[#This Row],[Low Tol]],"Pass","Fail"),IF(Table1[[#This Row],[DUT Adj Read]]&gt;=Table1[[#This Row],[Low Tol]],"Pass","Fail")))</f>
        <v>Pass</v>
      </c>
      <c r="AG1470" s="1" t="str">
        <f>IF(AND(Table1[[#This Row],[Spec Type2]]="N/A",Table1[[#This Row],[DUT Adj Read]]="N/A",Table1[[#This Row],[Std Adj Read]]="N/A"),"N/A",IF(Table1[[#This Row],[DUT Adj Read]]="N/A",IF(Table1[[#This Row],[Std Adj Read]]&lt;=Table1[[#This Row],[High Tol]],"Pass","Fail"),IF(Table1[[#This Row],[DUT Adj Read]]&lt;=Table1[[#This Row],[High Tol]],"Pass","Fail")))</f>
        <v>Fail</v>
      </c>
      <c r="AH14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0" s="1" t="b">
        <v>0</v>
      </c>
      <c r="AN1470" s="1" t="b">
        <v>0</v>
      </c>
      <c r="AO1470" s="1" t="b">
        <v>0</v>
      </c>
    </row>
    <row r="1471" spans="1:41" x14ac:dyDescent="0.25">
      <c r="A1471" s="10"/>
      <c r="B1471" s="10"/>
      <c r="C1471" s="10"/>
      <c r="D1471" s="10"/>
      <c r="E1471" s="10"/>
      <c r="F1471" s="10"/>
      <c r="G1471" s="10"/>
      <c r="H1471" s="10"/>
      <c r="I1471" s="1" t="str">
        <f t="shared" si="66"/>
        <v/>
      </c>
      <c r="J1471" s="1" t="s">
        <v>35</v>
      </c>
      <c r="K1471" s="1" t="str">
        <f t="shared" si="67"/>
        <v/>
      </c>
      <c r="L1471" s="1" t="str">
        <f t="shared" si="68"/>
        <v/>
      </c>
      <c r="M1471" s="1">
        <f>IF(OR(Table1[[#This Row],[Std Nom]]="",Table1[[#This Row],[Std Read]]=""),0,Table1[[#This Row],[Std Nom]]-Table1[[#This Row],[Std Read]])</f>
        <v>0</v>
      </c>
      <c r="N1471" s="1">
        <f>IF(Calculations!$F$5="ACCREDITED 17025 WITH UNCERTAINTIES",$N$10,0)</f>
        <v>0</v>
      </c>
      <c r="O1471" s="1" t="str">
        <f>IFERROR(Table1[[#This Row],[Std Nom]]-(_xlfn.XLOOKUP(Table1[[#This Row],[Manufacturer]]&amp;" "&amp;Table1[[#This Row],[Model]],Table13[MFR &amp; MDL],Table13[Tolerance % CW ],"")/100*Table1[[#This Row],[Std Nom]]),"")</f>
        <v/>
      </c>
      <c r="P1471" s="1" t="str">
        <f>IFERROR(Table1[[#This Row],[Std Nom]]+(_xlfn.XLOOKUP(Table1[[#This Row],[Manufacturer]]&amp;" "&amp;Table1[[#This Row],[Model]],Table13[MFR &amp; MDL],Table13[Tolerance % CW ],"")/100*Table1[[#This Row],[Std Nom]]),"")</f>
        <v/>
      </c>
      <c r="Q1471" s="1" t="e">
        <f>Table1[[#This Row],[High Tol]]-Table1[[#This Row],[Low Tol]]</f>
        <v>#VALUE!</v>
      </c>
      <c r="R1471" s="1">
        <f>2*Table1[[#This Row],[Std Error]]</f>
        <v>0</v>
      </c>
      <c r="S1471" s="1" t="str">
        <f>IF(Table1[[#This Row],[High Tol]]="","N/A",IFERROR(ABS(Table1[[#This Row],[Tol Span]]/Table1[[#This Row],[Error Span]]),"N/A"))</f>
        <v>N/A</v>
      </c>
      <c r="T1471" s="1" t="str">
        <f>IF(OR(Table1[[#This Row],[Low Tol]]="",Table1[[#This Row],[High Tol]]=""),"Needs Analysis",IF(Table1[[#This Row],[Ratio]]&gt;=4,"Not Significant",IF(Table1[[#This Row],[Ratio]]&gt;=2,"Semi-Significant","Significant")))</f>
        <v>Needs Analysis</v>
      </c>
      <c r="W1471" s="1">
        <f>IF(Table1[[#This Row],[Cal Type]]&lt;&gt;"ACCREDITED 17025 WITH UNCERTAINTIES",0,"")</f>
        <v>0</v>
      </c>
      <c r="X1471" s="1" t="str">
        <f>IF(Table1[[#This Row],[DUT Read]]="","N/A",Table1[[#This Row],[Std Error]]+Table1[[#This Row],[DUT Read]]+Table1[[#This Row],[DUT Ucty]])</f>
        <v>N/A</v>
      </c>
      <c r="Y1471" s="1" t="str">
        <f>IF(Table1[[#This Row],[Std Read]]="","N/A",Table1[[#This Row],[Std Read]]+Table1[[#This Row],[Std Ucty]])</f>
        <v>N/A</v>
      </c>
      <c r="Z14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1" s="1" t="str">
        <f>IF(Table1[[#This Row],[Spec Type]]="","N/A",Table1[[#This Row],[Spec Type]])</f>
        <v>±</v>
      </c>
      <c r="AC1471" s="1" t="str">
        <f>IF(Table1[[#This Row],[Spec Type2]]="N/A","N/A",IF(AND(Table1[[#This Row],[DUT Adj Read]]&gt;=Table1[[#This Row],[Low Tol]],Table1[[#This Row],[DUT Adj Read]]&lt;=Table1[[#This Row],[High Tol]]),"Pass","Fail"))</f>
        <v>Fail</v>
      </c>
      <c r="AD1471" s="1" t="str">
        <f>IF(AND(Table1[[#This Row],[Spec Type2]]="N/A",Table1[[#This Row],[DUT Adj Read]]="N/A",Table1[[#This Row],[Std Adj Read]]="N/A"),"N/A",IF(Table1[[#This Row],[DUT Adj Read]]="N/A",IF(Table1[[#This Row],[Std Adj Read]]&gt;Table1[[#This Row],[Low Tol]],"Pass","Fail"),IF(Table1[[#This Row],[DUT Adj Read]]&gt;Table1[[#This Row],[Low Tol]],"Pass","Fail")))</f>
        <v>Pass</v>
      </c>
      <c r="AE1471" s="1" t="str">
        <f>IF(AND(Table1[[#This Row],[Spec Type2]]="N/A",Table1[[#This Row],[DUT Adj Read]]="N/A",Table1[[#This Row],[Std Adj Read]]="N/A"),"N/A",IF(Table1[[#This Row],[DUT Adj Read]]="N/A",IF(Table1[[#This Row],[Std Adj Read]]&lt;Table1[[#This Row],[High Tol]],"Pass","Fail"),IF(Table1[[#This Row],[DUT Adj Read]]&lt;Table1[[#This Row],[High Tol]],"Pass","Fail")))</f>
        <v>Fail</v>
      </c>
      <c r="AF1471" s="1" t="str">
        <f>IF(AND(Table1[[#This Row],[Spec Type2]]="N/A",Table1[[#This Row],[DUT Adj Read]]="N/A",Table1[[#This Row],[Std Adj Read]]="N/A"),"N/A",IF(Table1[[#This Row],[DUT Adj Read]]="N/A",IF(Table1[[#This Row],[Std Adj Read]]&gt;=Table1[[#This Row],[Low Tol]],"Pass","Fail"),IF(Table1[[#This Row],[DUT Adj Read]]&gt;=Table1[[#This Row],[Low Tol]],"Pass","Fail")))</f>
        <v>Pass</v>
      </c>
      <c r="AG1471" s="1" t="str">
        <f>IF(AND(Table1[[#This Row],[Spec Type2]]="N/A",Table1[[#This Row],[DUT Adj Read]]="N/A",Table1[[#This Row],[Std Adj Read]]="N/A"),"N/A",IF(Table1[[#This Row],[DUT Adj Read]]="N/A",IF(Table1[[#This Row],[Std Adj Read]]&lt;=Table1[[#This Row],[High Tol]],"Pass","Fail"),IF(Table1[[#This Row],[DUT Adj Read]]&lt;=Table1[[#This Row],[High Tol]],"Pass","Fail")))</f>
        <v>Fail</v>
      </c>
      <c r="AH14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1" s="1" t="b">
        <v>0</v>
      </c>
      <c r="AN1471" s="1" t="b">
        <v>0</v>
      </c>
      <c r="AO1471" s="1" t="b">
        <v>0</v>
      </c>
    </row>
    <row r="1472" spans="1:41" x14ac:dyDescent="0.25">
      <c r="A1472" s="10"/>
      <c r="B1472" s="10"/>
      <c r="C1472" s="10"/>
      <c r="D1472" s="10"/>
      <c r="E1472" s="10"/>
      <c r="F1472" s="10"/>
      <c r="G1472" s="10"/>
      <c r="H1472" s="10"/>
      <c r="I1472" s="1" t="str">
        <f t="shared" si="66"/>
        <v/>
      </c>
      <c r="J1472" s="1" t="s">
        <v>35</v>
      </c>
      <c r="K1472" s="1" t="str">
        <f t="shared" si="67"/>
        <v/>
      </c>
      <c r="L1472" s="1" t="str">
        <f t="shared" si="68"/>
        <v/>
      </c>
      <c r="M1472" s="1">
        <f>IF(OR(Table1[[#This Row],[Std Nom]]="",Table1[[#This Row],[Std Read]]=""),0,Table1[[#This Row],[Std Nom]]-Table1[[#This Row],[Std Read]])</f>
        <v>0</v>
      </c>
      <c r="N1472" s="1">
        <f>IF(Calculations!$F$5="ACCREDITED 17025 WITH UNCERTAINTIES",$N$10,0)</f>
        <v>0</v>
      </c>
      <c r="O1472" s="1" t="str">
        <f>IFERROR(Table1[[#This Row],[Std Nom]]-(_xlfn.XLOOKUP(Table1[[#This Row],[Manufacturer]]&amp;" "&amp;Table1[[#This Row],[Model]],Table13[MFR &amp; MDL],Table13[Tolerance % CW ],"")/100*Table1[[#This Row],[Std Nom]]),"")</f>
        <v/>
      </c>
      <c r="P1472" s="1" t="str">
        <f>IFERROR(Table1[[#This Row],[Std Nom]]+(_xlfn.XLOOKUP(Table1[[#This Row],[Manufacturer]]&amp;" "&amp;Table1[[#This Row],[Model]],Table13[MFR &amp; MDL],Table13[Tolerance % CW ],"")/100*Table1[[#This Row],[Std Nom]]),"")</f>
        <v/>
      </c>
      <c r="Q1472" s="1" t="e">
        <f>Table1[[#This Row],[High Tol]]-Table1[[#This Row],[Low Tol]]</f>
        <v>#VALUE!</v>
      </c>
      <c r="R1472" s="1">
        <f>2*Table1[[#This Row],[Std Error]]</f>
        <v>0</v>
      </c>
      <c r="S1472" s="1" t="str">
        <f>IF(Table1[[#This Row],[High Tol]]="","N/A",IFERROR(ABS(Table1[[#This Row],[Tol Span]]/Table1[[#This Row],[Error Span]]),"N/A"))</f>
        <v>N/A</v>
      </c>
      <c r="T1472" s="1" t="str">
        <f>IF(OR(Table1[[#This Row],[Low Tol]]="",Table1[[#This Row],[High Tol]]=""),"Needs Analysis",IF(Table1[[#This Row],[Ratio]]&gt;=4,"Not Significant",IF(Table1[[#This Row],[Ratio]]&gt;=2,"Semi-Significant","Significant")))</f>
        <v>Needs Analysis</v>
      </c>
      <c r="W1472" s="1">
        <f>IF(Table1[[#This Row],[Cal Type]]&lt;&gt;"ACCREDITED 17025 WITH UNCERTAINTIES",0,"")</f>
        <v>0</v>
      </c>
      <c r="X1472" s="1" t="str">
        <f>IF(Table1[[#This Row],[DUT Read]]="","N/A",Table1[[#This Row],[Std Error]]+Table1[[#This Row],[DUT Read]]+Table1[[#This Row],[DUT Ucty]])</f>
        <v>N/A</v>
      </c>
      <c r="Y1472" s="1" t="str">
        <f>IF(Table1[[#This Row],[Std Read]]="","N/A",Table1[[#This Row],[Std Read]]+Table1[[#This Row],[Std Ucty]])</f>
        <v>N/A</v>
      </c>
      <c r="Z14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2" s="1" t="str">
        <f>IF(Table1[[#This Row],[Spec Type]]="","N/A",Table1[[#This Row],[Spec Type]])</f>
        <v>±</v>
      </c>
      <c r="AC1472" s="1" t="str">
        <f>IF(Table1[[#This Row],[Spec Type2]]="N/A","N/A",IF(AND(Table1[[#This Row],[DUT Adj Read]]&gt;=Table1[[#This Row],[Low Tol]],Table1[[#This Row],[DUT Adj Read]]&lt;=Table1[[#This Row],[High Tol]]),"Pass","Fail"))</f>
        <v>Fail</v>
      </c>
      <c r="AD1472" s="1" t="str">
        <f>IF(AND(Table1[[#This Row],[Spec Type2]]="N/A",Table1[[#This Row],[DUT Adj Read]]="N/A",Table1[[#This Row],[Std Adj Read]]="N/A"),"N/A",IF(Table1[[#This Row],[DUT Adj Read]]="N/A",IF(Table1[[#This Row],[Std Adj Read]]&gt;Table1[[#This Row],[Low Tol]],"Pass","Fail"),IF(Table1[[#This Row],[DUT Adj Read]]&gt;Table1[[#This Row],[Low Tol]],"Pass","Fail")))</f>
        <v>Pass</v>
      </c>
      <c r="AE1472" s="1" t="str">
        <f>IF(AND(Table1[[#This Row],[Spec Type2]]="N/A",Table1[[#This Row],[DUT Adj Read]]="N/A",Table1[[#This Row],[Std Adj Read]]="N/A"),"N/A",IF(Table1[[#This Row],[DUT Adj Read]]="N/A",IF(Table1[[#This Row],[Std Adj Read]]&lt;Table1[[#This Row],[High Tol]],"Pass","Fail"),IF(Table1[[#This Row],[DUT Adj Read]]&lt;Table1[[#This Row],[High Tol]],"Pass","Fail")))</f>
        <v>Fail</v>
      </c>
      <c r="AF1472" s="1" t="str">
        <f>IF(AND(Table1[[#This Row],[Spec Type2]]="N/A",Table1[[#This Row],[DUT Adj Read]]="N/A",Table1[[#This Row],[Std Adj Read]]="N/A"),"N/A",IF(Table1[[#This Row],[DUT Adj Read]]="N/A",IF(Table1[[#This Row],[Std Adj Read]]&gt;=Table1[[#This Row],[Low Tol]],"Pass","Fail"),IF(Table1[[#This Row],[DUT Adj Read]]&gt;=Table1[[#This Row],[Low Tol]],"Pass","Fail")))</f>
        <v>Pass</v>
      </c>
      <c r="AG1472" s="1" t="str">
        <f>IF(AND(Table1[[#This Row],[Spec Type2]]="N/A",Table1[[#This Row],[DUT Adj Read]]="N/A",Table1[[#This Row],[Std Adj Read]]="N/A"),"N/A",IF(Table1[[#This Row],[DUT Adj Read]]="N/A",IF(Table1[[#This Row],[Std Adj Read]]&lt;=Table1[[#This Row],[High Tol]],"Pass","Fail"),IF(Table1[[#This Row],[DUT Adj Read]]&lt;=Table1[[#This Row],[High Tol]],"Pass","Fail")))</f>
        <v>Fail</v>
      </c>
      <c r="AH14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2" s="1" t="b">
        <v>0</v>
      </c>
      <c r="AN1472" s="1" t="b">
        <v>0</v>
      </c>
      <c r="AO1472" s="1" t="b">
        <v>0</v>
      </c>
    </row>
    <row r="1473" spans="1:41" x14ac:dyDescent="0.25">
      <c r="A1473" s="10"/>
      <c r="B1473" s="10"/>
      <c r="C1473" s="10"/>
      <c r="D1473" s="10"/>
      <c r="E1473" s="10"/>
      <c r="F1473" s="10"/>
      <c r="G1473" s="10"/>
      <c r="H1473" s="10"/>
      <c r="I1473" s="1" t="str">
        <f t="shared" si="66"/>
        <v/>
      </c>
      <c r="J1473" s="1" t="s">
        <v>35</v>
      </c>
      <c r="K1473" s="1" t="str">
        <f t="shared" si="67"/>
        <v/>
      </c>
      <c r="L1473" s="1" t="str">
        <f t="shared" si="68"/>
        <v/>
      </c>
      <c r="M1473" s="1">
        <f>IF(OR(Table1[[#This Row],[Std Nom]]="",Table1[[#This Row],[Std Read]]=""),0,Table1[[#This Row],[Std Nom]]-Table1[[#This Row],[Std Read]])</f>
        <v>0</v>
      </c>
      <c r="N1473" s="1">
        <f>IF(Calculations!$F$5="ACCREDITED 17025 WITH UNCERTAINTIES",$N$10,0)</f>
        <v>0</v>
      </c>
      <c r="O1473" s="1" t="str">
        <f>IFERROR(Table1[[#This Row],[Std Nom]]-(_xlfn.XLOOKUP(Table1[[#This Row],[Manufacturer]]&amp;" "&amp;Table1[[#This Row],[Model]],Table13[MFR &amp; MDL],Table13[Tolerance % CW ],"")/100*Table1[[#This Row],[Std Nom]]),"")</f>
        <v/>
      </c>
      <c r="P1473" s="1" t="str">
        <f>IFERROR(Table1[[#This Row],[Std Nom]]+(_xlfn.XLOOKUP(Table1[[#This Row],[Manufacturer]]&amp;" "&amp;Table1[[#This Row],[Model]],Table13[MFR &amp; MDL],Table13[Tolerance % CW ],"")/100*Table1[[#This Row],[Std Nom]]),"")</f>
        <v/>
      </c>
      <c r="Q1473" s="1" t="e">
        <f>Table1[[#This Row],[High Tol]]-Table1[[#This Row],[Low Tol]]</f>
        <v>#VALUE!</v>
      </c>
      <c r="R1473" s="1">
        <f>2*Table1[[#This Row],[Std Error]]</f>
        <v>0</v>
      </c>
      <c r="S1473" s="1" t="str">
        <f>IF(Table1[[#This Row],[High Tol]]="","N/A",IFERROR(ABS(Table1[[#This Row],[Tol Span]]/Table1[[#This Row],[Error Span]]),"N/A"))</f>
        <v>N/A</v>
      </c>
      <c r="T1473" s="1" t="str">
        <f>IF(OR(Table1[[#This Row],[Low Tol]]="",Table1[[#This Row],[High Tol]]=""),"Needs Analysis",IF(Table1[[#This Row],[Ratio]]&gt;=4,"Not Significant",IF(Table1[[#This Row],[Ratio]]&gt;=2,"Semi-Significant","Significant")))</f>
        <v>Needs Analysis</v>
      </c>
      <c r="W1473" s="1">
        <f>IF(Table1[[#This Row],[Cal Type]]&lt;&gt;"ACCREDITED 17025 WITH UNCERTAINTIES",0,"")</f>
        <v>0</v>
      </c>
      <c r="X1473" s="1" t="str">
        <f>IF(Table1[[#This Row],[DUT Read]]="","N/A",Table1[[#This Row],[Std Error]]+Table1[[#This Row],[DUT Read]]+Table1[[#This Row],[DUT Ucty]])</f>
        <v>N/A</v>
      </c>
      <c r="Y1473" s="1" t="str">
        <f>IF(Table1[[#This Row],[Std Read]]="","N/A",Table1[[#This Row],[Std Read]]+Table1[[#This Row],[Std Ucty]])</f>
        <v>N/A</v>
      </c>
      <c r="Z14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3" s="1" t="str">
        <f>IF(Table1[[#This Row],[Spec Type]]="","N/A",Table1[[#This Row],[Spec Type]])</f>
        <v>±</v>
      </c>
      <c r="AC1473" s="1" t="str">
        <f>IF(Table1[[#This Row],[Spec Type2]]="N/A","N/A",IF(AND(Table1[[#This Row],[DUT Adj Read]]&gt;=Table1[[#This Row],[Low Tol]],Table1[[#This Row],[DUT Adj Read]]&lt;=Table1[[#This Row],[High Tol]]),"Pass","Fail"))</f>
        <v>Fail</v>
      </c>
      <c r="AD1473" s="1" t="str">
        <f>IF(AND(Table1[[#This Row],[Spec Type2]]="N/A",Table1[[#This Row],[DUT Adj Read]]="N/A",Table1[[#This Row],[Std Adj Read]]="N/A"),"N/A",IF(Table1[[#This Row],[DUT Adj Read]]="N/A",IF(Table1[[#This Row],[Std Adj Read]]&gt;Table1[[#This Row],[Low Tol]],"Pass","Fail"),IF(Table1[[#This Row],[DUT Adj Read]]&gt;Table1[[#This Row],[Low Tol]],"Pass","Fail")))</f>
        <v>Pass</v>
      </c>
      <c r="AE1473" s="1" t="str">
        <f>IF(AND(Table1[[#This Row],[Spec Type2]]="N/A",Table1[[#This Row],[DUT Adj Read]]="N/A",Table1[[#This Row],[Std Adj Read]]="N/A"),"N/A",IF(Table1[[#This Row],[DUT Adj Read]]="N/A",IF(Table1[[#This Row],[Std Adj Read]]&lt;Table1[[#This Row],[High Tol]],"Pass","Fail"),IF(Table1[[#This Row],[DUT Adj Read]]&lt;Table1[[#This Row],[High Tol]],"Pass","Fail")))</f>
        <v>Fail</v>
      </c>
      <c r="AF1473" s="1" t="str">
        <f>IF(AND(Table1[[#This Row],[Spec Type2]]="N/A",Table1[[#This Row],[DUT Adj Read]]="N/A",Table1[[#This Row],[Std Adj Read]]="N/A"),"N/A",IF(Table1[[#This Row],[DUT Adj Read]]="N/A",IF(Table1[[#This Row],[Std Adj Read]]&gt;=Table1[[#This Row],[Low Tol]],"Pass","Fail"),IF(Table1[[#This Row],[DUT Adj Read]]&gt;=Table1[[#This Row],[Low Tol]],"Pass","Fail")))</f>
        <v>Pass</v>
      </c>
      <c r="AG1473" s="1" t="str">
        <f>IF(AND(Table1[[#This Row],[Spec Type2]]="N/A",Table1[[#This Row],[DUT Adj Read]]="N/A",Table1[[#This Row],[Std Adj Read]]="N/A"),"N/A",IF(Table1[[#This Row],[DUT Adj Read]]="N/A",IF(Table1[[#This Row],[Std Adj Read]]&lt;=Table1[[#This Row],[High Tol]],"Pass","Fail"),IF(Table1[[#This Row],[DUT Adj Read]]&lt;=Table1[[#This Row],[High Tol]],"Pass","Fail")))</f>
        <v>Fail</v>
      </c>
      <c r="AH14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3" s="1" t="b">
        <v>0</v>
      </c>
      <c r="AN1473" s="1" t="b">
        <v>0</v>
      </c>
      <c r="AO1473" s="1" t="b">
        <v>0</v>
      </c>
    </row>
    <row r="1474" spans="1:41" x14ac:dyDescent="0.25">
      <c r="A1474" s="10"/>
      <c r="B1474" s="10"/>
      <c r="C1474" s="10"/>
      <c r="D1474" s="10"/>
      <c r="E1474" s="10"/>
      <c r="F1474" s="10"/>
      <c r="G1474" s="10"/>
      <c r="H1474" s="10"/>
      <c r="I1474" s="1" t="str">
        <f t="shared" si="66"/>
        <v/>
      </c>
      <c r="J1474" s="1" t="s">
        <v>35</v>
      </c>
      <c r="K1474" s="1" t="str">
        <f t="shared" si="67"/>
        <v/>
      </c>
      <c r="L1474" s="1" t="str">
        <f t="shared" si="68"/>
        <v/>
      </c>
      <c r="M1474" s="1">
        <f>IF(OR(Table1[[#This Row],[Std Nom]]="",Table1[[#This Row],[Std Read]]=""),0,Table1[[#This Row],[Std Nom]]-Table1[[#This Row],[Std Read]])</f>
        <v>0</v>
      </c>
      <c r="N1474" s="1">
        <f>IF(Calculations!$F$5="ACCREDITED 17025 WITH UNCERTAINTIES",$N$10,0)</f>
        <v>0</v>
      </c>
      <c r="O1474" s="1" t="str">
        <f>IFERROR(Table1[[#This Row],[Std Nom]]-(_xlfn.XLOOKUP(Table1[[#This Row],[Manufacturer]]&amp;" "&amp;Table1[[#This Row],[Model]],Table13[MFR &amp; MDL],Table13[Tolerance % CW ],"")/100*Table1[[#This Row],[Std Nom]]),"")</f>
        <v/>
      </c>
      <c r="P1474" s="1" t="str">
        <f>IFERROR(Table1[[#This Row],[Std Nom]]+(_xlfn.XLOOKUP(Table1[[#This Row],[Manufacturer]]&amp;" "&amp;Table1[[#This Row],[Model]],Table13[MFR &amp; MDL],Table13[Tolerance % CW ],"")/100*Table1[[#This Row],[Std Nom]]),"")</f>
        <v/>
      </c>
      <c r="Q1474" s="1" t="e">
        <f>Table1[[#This Row],[High Tol]]-Table1[[#This Row],[Low Tol]]</f>
        <v>#VALUE!</v>
      </c>
      <c r="R1474" s="1">
        <f>2*Table1[[#This Row],[Std Error]]</f>
        <v>0</v>
      </c>
      <c r="S1474" s="1" t="str">
        <f>IF(Table1[[#This Row],[High Tol]]="","N/A",IFERROR(ABS(Table1[[#This Row],[Tol Span]]/Table1[[#This Row],[Error Span]]),"N/A"))</f>
        <v>N/A</v>
      </c>
      <c r="T1474" s="1" t="str">
        <f>IF(OR(Table1[[#This Row],[Low Tol]]="",Table1[[#This Row],[High Tol]]=""),"Needs Analysis",IF(Table1[[#This Row],[Ratio]]&gt;=4,"Not Significant",IF(Table1[[#This Row],[Ratio]]&gt;=2,"Semi-Significant","Significant")))</f>
        <v>Needs Analysis</v>
      </c>
      <c r="W1474" s="1">
        <f>IF(Table1[[#This Row],[Cal Type]]&lt;&gt;"ACCREDITED 17025 WITH UNCERTAINTIES",0,"")</f>
        <v>0</v>
      </c>
      <c r="X1474" s="1" t="str">
        <f>IF(Table1[[#This Row],[DUT Read]]="","N/A",Table1[[#This Row],[Std Error]]+Table1[[#This Row],[DUT Read]]+Table1[[#This Row],[DUT Ucty]])</f>
        <v>N/A</v>
      </c>
      <c r="Y1474" s="1" t="str">
        <f>IF(Table1[[#This Row],[Std Read]]="","N/A",Table1[[#This Row],[Std Read]]+Table1[[#This Row],[Std Ucty]])</f>
        <v>N/A</v>
      </c>
      <c r="Z14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4" s="1" t="str">
        <f>IF(Table1[[#This Row],[Spec Type]]="","N/A",Table1[[#This Row],[Spec Type]])</f>
        <v>±</v>
      </c>
      <c r="AC1474" s="1" t="str">
        <f>IF(Table1[[#This Row],[Spec Type2]]="N/A","N/A",IF(AND(Table1[[#This Row],[DUT Adj Read]]&gt;=Table1[[#This Row],[Low Tol]],Table1[[#This Row],[DUT Adj Read]]&lt;=Table1[[#This Row],[High Tol]]),"Pass","Fail"))</f>
        <v>Fail</v>
      </c>
      <c r="AD1474" s="1" t="str">
        <f>IF(AND(Table1[[#This Row],[Spec Type2]]="N/A",Table1[[#This Row],[DUT Adj Read]]="N/A",Table1[[#This Row],[Std Adj Read]]="N/A"),"N/A",IF(Table1[[#This Row],[DUT Adj Read]]="N/A",IF(Table1[[#This Row],[Std Adj Read]]&gt;Table1[[#This Row],[Low Tol]],"Pass","Fail"),IF(Table1[[#This Row],[DUT Adj Read]]&gt;Table1[[#This Row],[Low Tol]],"Pass","Fail")))</f>
        <v>Pass</v>
      </c>
      <c r="AE1474" s="1" t="str">
        <f>IF(AND(Table1[[#This Row],[Spec Type2]]="N/A",Table1[[#This Row],[DUT Adj Read]]="N/A",Table1[[#This Row],[Std Adj Read]]="N/A"),"N/A",IF(Table1[[#This Row],[DUT Adj Read]]="N/A",IF(Table1[[#This Row],[Std Adj Read]]&lt;Table1[[#This Row],[High Tol]],"Pass","Fail"),IF(Table1[[#This Row],[DUT Adj Read]]&lt;Table1[[#This Row],[High Tol]],"Pass","Fail")))</f>
        <v>Fail</v>
      </c>
      <c r="AF1474" s="1" t="str">
        <f>IF(AND(Table1[[#This Row],[Spec Type2]]="N/A",Table1[[#This Row],[DUT Adj Read]]="N/A",Table1[[#This Row],[Std Adj Read]]="N/A"),"N/A",IF(Table1[[#This Row],[DUT Adj Read]]="N/A",IF(Table1[[#This Row],[Std Adj Read]]&gt;=Table1[[#This Row],[Low Tol]],"Pass","Fail"),IF(Table1[[#This Row],[DUT Adj Read]]&gt;=Table1[[#This Row],[Low Tol]],"Pass","Fail")))</f>
        <v>Pass</v>
      </c>
      <c r="AG1474" s="1" t="str">
        <f>IF(AND(Table1[[#This Row],[Spec Type2]]="N/A",Table1[[#This Row],[DUT Adj Read]]="N/A",Table1[[#This Row],[Std Adj Read]]="N/A"),"N/A",IF(Table1[[#This Row],[DUT Adj Read]]="N/A",IF(Table1[[#This Row],[Std Adj Read]]&lt;=Table1[[#This Row],[High Tol]],"Pass","Fail"),IF(Table1[[#This Row],[DUT Adj Read]]&lt;=Table1[[#This Row],[High Tol]],"Pass","Fail")))</f>
        <v>Fail</v>
      </c>
      <c r="AH14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4" s="1" t="b">
        <v>0</v>
      </c>
      <c r="AN1474" s="1" t="b">
        <v>0</v>
      </c>
      <c r="AO1474" s="1" t="b">
        <v>0</v>
      </c>
    </row>
    <row r="1475" spans="1:41" x14ac:dyDescent="0.25">
      <c r="A1475" s="10"/>
      <c r="B1475" s="10"/>
      <c r="C1475" s="10"/>
      <c r="D1475" s="10"/>
      <c r="E1475" s="10"/>
      <c r="F1475" s="10"/>
      <c r="G1475" s="10"/>
      <c r="H1475" s="10"/>
      <c r="I1475" s="1" t="str">
        <f t="shared" si="66"/>
        <v/>
      </c>
      <c r="J1475" s="1" t="s">
        <v>35</v>
      </c>
      <c r="K1475" s="1" t="str">
        <f t="shared" si="67"/>
        <v/>
      </c>
      <c r="L1475" s="1" t="str">
        <f t="shared" si="68"/>
        <v/>
      </c>
      <c r="M1475" s="1">
        <f>IF(OR(Table1[[#This Row],[Std Nom]]="",Table1[[#This Row],[Std Read]]=""),0,Table1[[#This Row],[Std Nom]]-Table1[[#This Row],[Std Read]])</f>
        <v>0</v>
      </c>
      <c r="N1475" s="1">
        <f>IF(Calculations!$F$5="ACCREDITED 17025 WITH UNCERTAINTIES",$N$10,0)</f>
        <v>0</v>
      </c>
      <c r="O1475" s="1" t="str">
        <f>IFERROR(Table1[[#This Row],[Std Nom]]-(_xlfn.XLOOKUP(Table1[[#This Row],[Manufacturer]]&amp;" "&amp;Table1[[#This Row],[Model]],Table13[MFR &amp; MDL],Table13[Tolerance % CW ],"")/100*Table1[[#This Row],[Std Nom]]),"")</f>
        <v/>
      </c>
      <c r="P1475" s="1" t="str">
        <f>IFERROR(Table1[[#This Row],[Std Nom]]+(_xlfn.XLOOKUP(Table1[[#This Row],[Manufacturer]]&amp;" "&amp;Table1[[#This Row],[Model]],Table13[MFR &amp; MDL],Table13[Tolerance % CW ],"")/100*Table1[[#This Row],[Std Nom]]),"")</f>
        <v/>
      </c>
      <c r="Q1475" s="1" t="e">
        <f>Table1[[#This Row],[High Tol]]-Table1[[#This Row],[Low Tol]]</f>
        <v>#VALUE!</v>
      </c>
      <c r="R1475" s="1">
        <f>2*Table1[[#This Row],[Std Error]]</f>
        <v>0</v>
      </c>
      <c r="S1475" s="1" t="str">
        <f>IF(Table1[[#This Row],[High Tol]]="","N/A",IFERROR(ABS(Table1[[#This Row],[Tol Span]]/Table1[[#This Row],[Error Span]]),"N/A"))</f>
        <v>N/A</v>
      </c>
      <c r="T1475" s="1" t="str">
        <f>IF(OR(Table1[[#This Row],[Low Tol]]="",Table1[[#This Row],[High Tol]]=""),"Needs Analysis",IF(Table1[[#This Row],[Ratio]]&gt;=4,"Not Significant",IF(Table1[[#This Row],[Ratio]]&gt;=2,"Semi-Significant","Significant")))</f>
        <v>Needs Analysis</v>
      </c>
      <c r="W1475" s="1">
        <f>IF(Table1[[#This Row],[Cal Type]]&lt;&gt;"ACCREDITED 17025 WITH UNCERTAINTIES",0,"")</f>
        <v>0</v>
      </c>
      <c r="X1475" s="1" t="str">
        <f>IF(Table1[[#This Row],[DUT Read]]="","N/A",Table1[[#This Row],[Std Error]]+Table1[[#This Row],[DUT Read]]+Table1[[#This Row],[DUT Ucty]])</f>
        <v>N/A</v>
      </c>
      <c r="Y1475" s="1" t="str">
        <f>IF(Table1[[#This Row],[Std Read]]="","N/A",Table1[[#This Row],[Std Read]]+Table1[[#This Row],[Std Ucty]])</f>
        <v>N/A</v>
      </c>
      <c r="Z14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5" s="1" t="str">
        <f>IF(Table1[[#This Row],[Spec Type]]="","N/A",Table1[[#This Row],[Spec Type]])</f>
        <v>±</v>
      </c>
      <c r="AC1475" s="1" t="str">
        <f>IF(Table1[[#This Row],[Spec Type2]]="N/A","N/A",IF(AND(Table1[[#This Row],[DUT Adj Read]]&gt;=Table1[[#This Row],[Low Tol]],Table1[[#This Row],[DUT Adj Read]]&lt;=Table1[[#This Row],[High Tol]]),"Pass","Fail"))</f>
        <v>Fail</v>
      </c>
      <c r="AD1475" s="1" t="str">
        <f>IF(AND(Table1[[#This Row],[Spec Type2]]="N/A",Table1[[#This Row],[DUT Adj Read]]="N/A",Table1[[#This Row],[Std Adj Read]]="N/A"),"N/A",IF(Table1[[#This Row],[DUT Adj Read]]="N/A",IF(Table1[[#This Row],[Std Adj Read]]&gt;Table1[[#This Row],[Low Tol]],"Pass","Fail"),IF(Table1[[#This Row],[DUT Adj Read]]&gt;Table1[[#This Row],[Low Tol]],"Pass","Fail")))</f>
        <v>Pass</v>
      </c>
      <c r="AE1475" s="1" t="str">
        <f>IF(AND(Table1[[#This Row],[Spec Type2]]="N/A",Table1[[#This Row],[DUT Adj Read]]="N/A",Table1[[#This Row],[Std Adj Read]]="N/A"),"N/A",IF(Table1[[#This Row],[DUT Adj Read]]="N/A",IF(Table1[[#This Row],[Std Adj Read]]&lt;Table1[[#This Row],[High Tol]],"Pass","Fail"),IF(Table1[[#This Row],[DUT Adj Read]]&lt;Table1[[#This Row],[High Tol]],"Pass","Fail")))</f>
        <v>Fail</v>
      </c>
      <c r="AF1475" s="1" t="str">
        <f>IF(AND(Table1[[#This Row],[Spec Type2]]="N/A",Table1[[#This Row],[DUT Adj Read]]="N/A",Table1[[#This Row],[Std Adj Read]]="N/A"),"N/A",IF(Table1[[#This Row],[DUT Adj Read]]="N/A",IF(Table1[[#This Row],[Std Adj Read]]&gt;=Table1[[#This Row],[Low Tol]],"Pass","Fail"),IF(Table1[[#This Row],[DUT Adj Read]]&gt;=Table1[[#This Row],[Low Tol]],"Pass","Fail")))</f>
        <v>Pass</v>
      </c>
      <c r="AG1475" s="1" t="str">
        <f>IF(AND(Table1[[#This Row],[Spec Type2]]="N/A",Table1[[#This Row],[DUT Adj Read]]="N/A",Table1[[#This Row],[Std Adj Read]]="N/A"),"N/A",IF(Table1[[#This Row],[DUT Adj Read]]="N/A",IF(Table1[[#This Row],[Std Adj Read]]&lt;=Table1[[#This Row],[High Tol]],"Pass","Fail"),IF(Table1[[#This Row],[DUT Adj Read]]&lt;=Table1[[#This Row],[High Tol]],"Pass","Fail")))</f>
        <v>Fail</v>
      </c>
      <c r="AH14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5" s="1" t="b">
        <v>0</v>
      </c>
      <c r="AN1475" s="1" t="b">
        <v>0</v>
      </c>
      <c r="AO1475" s="1" t="b">
        <v>0</v>
      </c>
    </row>
    <row r="1476" spans="1:41" x14ac:dyDescent="0.25">
      <c r="A1476" s="10"/>
      <c r="B1476" s="10"/>
      <c r="C1476" s="10"/>
      <c r="D1476" s="10"/>
      <c r="E1476" s="10"/>
      <c r="F1476" s="10"/>
      <c r="G1476" s="10"/>
      <c r="H1476" s="10"/>
      <c r="I1476" s="1" t="str">
        <f t="shared" si="66"/>
        <v/>
      </c>
      <c r="J1476" s="1" t="s">
        <v>35</v>
      </c>
      <c r="K1476" s="1" t="str">
        <f t="shared" si="67"/>
        <v/>
      </c>
      <c r="L1476" s="1" t="str">
        <f t="shared" si="68"/>
        <v/>
      </c>
      <c r="M1476" s="1">
        <f>IF(OR(Table1[[#This Row],[Std Nom]]="",Table1[[#This Row],[Std Read]]=""),0,Table1[[#This Row],[Std Nom]]-Table1[[#This Row],[Std Read]])</f>
        <v>0</v>
      </c>
      <c r="N1476" s="1">
        <f>IF(Calculations!$F$5="ACCREDITED 17025 WITH UNCERTAINTIES",$N$10,0)</f>
        <v>0</v>
      </c>
      <c r="O1476" s="1" t="str">
        <f>IFERROR(Table1[[#This Row],[Std Nom]]-(_xlfn.XLOOKUP(Table1[[#This Row],[Manufacturer]]&amp;" "&amp;Table1[[#This Row],[Model]],Table13[MFR &amp; MDL],Table13[Tolerance % CW ],"")/100*Table1[[#This Row],[Std Nom]]),"")</f>
        <v/>
      </c>
      <c r="P1476" s="1" t="str">
        <f>IFERROR(Table1[[#This Row],[Std Nom]]+(_xlfn.XLOOKUP(Table1[[#This Row],[Manufacturer]]&amp;" "&amp;Table1[[#This Row],[Model]],Table13[MFR &amp; MDL],Table13[Tolerance % CW ],"")/100*Table1[[#This Row],[Std Nom]]),"")</f>
        <v/>
      </c>
      <c r="Q1476" s="1" t="e">
        <f>Table1[[#This Row],[High Tol]]-Table1[[#This Row],[Low Tol]]</f>
        <v>#VALUE!</v>
      </c>
      <c r="R1476" s="1">
        <f>2*Table1[[#This Row],[Std Error]]</f>
        <v>0</v>
      </c>
      <c r="S1476" s="1" t="str">
        <f>IF(Table1[[#This Row],[High Tol]]="","N/A",IFERROR(ABS(Table1[[#This Row],[Tol Span]]/Table1[[#This Row],[Error Span]]),"N/A"))</f>
        <v>N/A</v>
      </c>
      <c r="T1476" s="1" t="str">
        <f>IF(OR(Table1[[#This Row],[Low Tol]]="",Table1[[#This Row],[High Tol]]=""),"Needs Analysis",IF(Table1[[#This Row],[Ratio]]&gt;=4,"Not Significant",IF(Table1[[#This Row],[Ratio]]&gt;=2,"Semi-Significant","Significant")))</f>
        <v>Needs Analysis</v>
      </c>
      <c r="W1476" s="1">
        <f>IF(Table1[[#This Row],[Cal Type]]&lt;&gt;"ACCREDITED 17025 WITH UNCERTAINTIES",0,"")</f>
        <v>0</v>
      </c>
      <c r="X1476" s="1" t="str">
        <f>IF(Table1[[#This Row],[DUT Read]]="","N/A",Table1[[#This Row],[Std Error]]+Table1[[#This Row],[DUT Read]]+Table1[[#This Row],[DUT Ucty]])</f>
        <v>N/A</v>
      </c>
      <c r="Y1476" s="1" t="str">
        <f>IF(Table1[[#This Row],[Std Read]]="","N/A",Table1[[#This Row],[Std Read]]+Table1[[#This Row],[Std Ucty]])</f>
        <v>N/A</v>
      </c>
      <c r="Z14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6" s="1" t="str">
        <f>IF(Table1[[#This Row],[Spec Type]]="","N/A",Table1[[#This Row],[Spec Type]])</f>
        <v>±</v>
      </c>
      <c r="AC1476" s="1" t="str">
        <f>IF(Table1[[#This Row],[Spec Type2]]="N/A","N/A",IF(AND(Table1[[#This Row],[DUT Adj Read]]&gt;=Table1[[#This Row],[Low Tol]],Table1[[#This Row],[DUT Adj Read]]&lt;=Table1[[#This Row],[High Tol]]),"Pass","Fail"))</f>
        <v>Fail</v>
      </c>
      <c r="AD1476" s="1" t="str">
        <f>IF(AND(Table1[[#This Row],[Spec Type2]]="N/A",Table1[[#This Row],[DUT Adj Read]]="N/A",Table1[[#This Row],[Std Adj Read]]="N/A"),"N/A",IF(Table1[[#This Row],[DUT Adj Read]]="N/A",IF(Table1[[#This Row],[Std Adj Read]]&gt;Table1[[#This Row],[Low Tol]],"Pass","Fail"),IF(Table1[[#This Row],[DUT Adj Read]]&gt;Table1[[#This Row],[Low Tol]],"Pass","Fail")))</f>
        <v>Pass</v>
      </c>
      <c r="AE1476" s="1" t="str">
        <f>IF(AND(Table1[[#This Row],[Spec Type2]]="N/A",Table1[[#This Row],[DUT Adj Read]]="N/A",Table1[[#This Row],[Std Adj Read]]="N/A"),"N/A",IF(Table1[[#This Row],[DUT Adj Read]]="N/A",IF(Table1[[#This Row],[Std Adj Read]]&lt;Table1[[#This Row],[High Tol]],"Pass","Fail"),IF(Table1[[#This Row],[DUT Adj Read]]&lt;Table1[[#This Row],[High Tol]],"Pass","Fail")))</f>
        <v>Fail</v>
      </c>
      <c r="AF1476" s="1" t="str">
        <f>IF(AND(Table1[[#This Row],[Spec Type2]]="N/A",Table1[[#This Row],[DUT Adj Read]]="N/A",Table1[[#This Row],[Std Adj Read]]="N/A"),"N/A",IF(Table1[[#This Row],[DUT Adj Read]]="N/A",IF(Table1[[#This Row],[Std Adj Read]]&gt;=Table1[[#This Row],[Low Tol]],"Pass","Fail"),IF(Table1[[#This Row],[DUT Adj Read]]&gt;=Table1[[#This Row],[Low Tol]],"Pass","Fail")))</f>
        <v>Pass</v>
      </c>
      <c r="AG1476" s="1" t="str">
        <f>IF(AND(Table1[[#This Row],[Spec Type2]]="N/A",Table1[[#This Row],[DUT Adj Read]]="N/A",Table1[[#This Row],[Std Adj Read]]="N/A"),"N/A",IF(Table1[[#This Row],[DUT Adj Read]]="N/A",IF(Table1[[#This Row],[Std Adj Read]]&lt;=Table1[[#This Row],[High Tol]],"Pass","Fail"),IF(Table1[[#This Row],[DUT Adj Read]]&lt;=Table1[[#This Row],[High Tol]],"Pass","Fail")))</f>
        <v>Fail</v>
      </c>
      <c r="AH14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6" s="1" t="b">
        <v>0</v>
      </c>
      <c r="AN1476" s="1" t="b">
        <v>0</v>
      </c>
      <c r="AO1476" s="1" t="b">
        <v>0</v>
      </c>
    </row>
    <row r="1477" spans="1:41" x14ac:dyDescent="0.25">
      <c r="A1477" s="10"/>
      <c r="B1477" s="10"/>
      <c r="C1477" s="10"/>
      <c r="D1477" s="10"/>
      <c r="E1477" s="10"/>
      <c r="F1477" s="10"/>
      <c r="G1477" s="10"/>
      <c r="H1477" s="10"/>
      <c r="I1477" s="1" t="str">
        <f t="shared" si="66"/>
        <v/>
      </c>
      <c r="J1477" s="1" t="s">
        <v>35</v>
      </c>
      <c r="K1477" s="1" t="str">
        <f t="shared" si="67"/>
        <v/>
      </c>
      <c r="L1477" s="1" t="str">
        <f t="shared" si="68"/>
        <v/>
      </c>
      <c r="M1477" s="1">
        <f>IF(OR(Table1[[#This Row],[Std Nom]]="",Table1[[#This Row],[Std Read]]=""),0,Table1[[#This Row],[Std Nom]]-Table1[[#This Row],[Std Read]])</f>
        <v>0</v>
      </c>
      <c r="N1477" s="1">
        <f>IF(Calculations!$F$5="ACCREDITED 17025 WITH UNCERTAINTIES",$N$10,0)</f>
        <v>0</v>
      </c>
      <c r="O1477" s="1" t="str">
        <f>IFERROR(Table1[[#This Row],[Std Nom]]-(_xlfn.XLOOKUP(Table1[[#This Row],[Manufacturer]]&amp;" "&amp;Table1[[#This Row],[Model]],Table13[MFR &amp; MDL],Table13[Tolerance % CW ],"")/100*Table1[[#This Row],[Std Nom]]),"")</f>
        <v/>
      </c>
      <c r="P1477" s="1" t="str">
        <f>IFERROR(Table1[[#This Row],[Std Nom]]+(_xlfn.XLOOKUP(Table1[[#This Row],[Manufacturer]]&amp;" "&amp;Table1[[#This Row],[Model]],Table13[MFR &amp; MDL],Table13[Tolerance % CW ],"")/100*Table1[[#This Row],[Std Nom]]),"")</f>
        <v/>
      </c>
      <c r="Q1477" s="1" t="e">
        <f>Table1[[#This Row],[High Tol]]-Table1[[#This Row],[Low Tol]]</f>
        <v>#VALUE!</v>
      </c>
      <c r="R1477" s="1">
        <f>2*Table1[[#This Row],[Std Error]]</f>
        <v>0</v>
      </c>
      <c r="S1477" s="1" t="str">
        <f>IF(Table1[[#This Row],[High Tol]]="","N/A",IFERROR(ABS(Table1[[#This Row],[Tol Span]]/Table1[[#This Row],[Error Span]]),"N/A"))</f>
        <v>N/A</v>
      </c>
      <c r="T1477" s="1" t="str">
        <f>IF(OR(Table1[[#This Row],[Low Tol]]="",Table1[[#This Row],[High Tol]]=""),"Needs Analysis",IF(Table1[[#This Row],[Ratio]]&gt;=4,"Not Significant",IF(Table1[[#This Row],[Ratio]]&gt;=2,"Semi-Significant","Significant")))</f>
        <v>Needs Analysis</v>
      </c>
      <c r="W1477" s="1">
        <f>IF(Table1[[#This Row],[Cal Type]]&lt;&gt;"ACCREDITED 17025 WITH UNCERTAINTIES",0,"")</f>
        <v>0</v>
      </c>
      <c r="X1477" s="1" t="str">
        <f>IF(Table1[[#This Row],[DUT Read]]="","N/A",Table1[[#This Row],[Std Error]]+Table1[[#This Row],[DUT Read]]+Table1[[#This Row],[DUT Ucty]])</f>
        <v>N/A</v>
      </c>
      <c r="Y1477" s="1" t="str">
        <f>IF(Table1[[#This Row],[Std Read]]="","N/A",Table1[[#This Row],[Std Read]]+Table1[[#This Row],[Std Ucty]])</f>
        <v>N/A</v>
      </c>
      <c r="Z14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7" s="1" t="str">
        <f>IF(Table1[[#This Row],[Spec Type]]="","N/A",Table1[[#This Row],[Spec Type]])</f>
        <v>±</v>
      </c>
      <c r="AC1477" s="1" t="str">
        <f>IF(Table1[[#This Row],[Spec Type2]]="N/A","N/A",IF(AND(Table1[[#This Row],[DUT Adj Read]]&gt;=Table1[[#This Row],[Low Tol]],Table1[[#This Row],[DUT Adj Read]]&lt;=Table1[[#This Row],[High Tol]]),"Pass","Fail"))</f>
        <v>Fail</v>
      </c>
      <c r="AD1477" s="1" t="str">
        <f>IF(AND(Table1[[#This Row],[Spec Type2]]="N/A",Table1[[#This Row],[DUT Adj Read]]="N/A",Table1[[#This Row],[Std Adj Read]]="N/A"),"N/A",IF(Table1[[#This Row],[DUT Adj Read]]="N/A",IF(Table1[[#This Row],[Std Adj Read]]&gt;Table1[[#This Row],[Low Tol]],"Pass","Fail"),IF(Table1[[#This Row],[DUT Adj Read]]&gt;Table1[[#This Row],[Low Tol]],"Pass","Fail")))</f>
        <v>Pass</v>
      </c>
      <c r="AE1477" s="1" t="str">
        <f>IF(AND(Table1[[#This Row],[Spec Type2]]="N/A",Table1[[#This Row],[DUT Adj Read]]="N/A",Table1[[#This Row],[Std Adj Read]]="N/A"),"N/A",IF(Table1[[#This Row],[DUT Adj Read]]="N/A",IF(Table1[[#This Row],[Std Adj Read]]&lt;Table1[[#This Row],[High Tol]],"Pass","Fail"),IF(Table1[[#This Row],[DUT Adj Read]]&lt;Table1[[#This Row],[High Tol]],"Pass","Fail")))</f>
        <v>Fail</v>
      </c>
      <c r="AF1477" s="1" t="str">
        <f>IF(AND(Table1[[#This Row],[Spec Type2]]="N/A",Table1[[#This Row],[DUT Adj Read]]="N/A",Table1[[#This Row],[Std Adj Read]]="N/A"),"N/A",IF(Table1[[#This Row],[DUT Adj Read]]="N/A",IF(Table1[[#This Row],[Std Adj Read]]&gt;=Table1[[#This Row],[Low Tol]],"Pass","Fail"),IF(Table1[[#This Row],[DUT Adj Read]]&gt;=Table1[[#This Row],[Low Tol]],"Pass","Fail")))</f>
        <v>Pass</v>
      </c>
      <c r="AG1477" s="1" t="str">
        <f>IF(AND(Table1[[#This Row],[Spec Type2]]="N/A",Table1[[#This Row],[DUT Adj Read]]="N/A",Table1[[#This Row],[Std Adj Read]]="N/A"),"N/A",IF(Table1[[#This Row],[DUT Adj Read]]="N/A",IF(Table1[[#This Row],[Std Adj Read]]&lt;=Table1[[#This Row],[High Tol]],"Pass","Fail"),IF(Table1[[#This Row],[DUT Adj Read]]&lt;=Table1[[#This Row],[High Tol]],"Pass","Fail")))</f>
        <v>Fail</v>
      </c>
      <c r="AH14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7" s="1" t="b">
        <v>0</v>
      </c>
      <c r="AN1477" s="1" t="b">
        <v>0</v>
      </c>
      <c r="AO1477" s="1" t="b">
        <v>0</v>
      </c>
    </row>
    <row r="1478" spans="1:41" x14ac:dyDescent="0.25">
      <c r="A1478" s="10"/>
      <c r="B1478" s="10"/>
      <c r="C1478" s="10"/>
      <c r="D1478" s="10"/>
      <c r="E1478" s="10"/>
      <c r="F1478" s="10"/>
      <c r="G1478" s="10"/>
      <c r="H1478" s="10"/>
      <c r="I1478" s="1" t="str">
        <f t="shared" si="66"/>
        <v/>
      </c>
      <c r="J1478" s="1" t="s">
        <v>35</v>
      </c>
      <c r="K1478" s="1" t="str">
        <f t="shared" si="67"/>
        <v/>
      </c>
      <c r="L1478" s="1" t="str">
        <f t="shared" si="68"/>
        <v/>
      </c>
      <c r="M1478" s="1">
        <f>IF(OR(Table1[[#This Row],[Std Nom]]="",Table1[[#This Row],[Std Read]]=""),0,Table1[[#This Row],[Std Nom]]-Table1[[#This Row],[Std Read]])</f>
        <v>0</v>
      </c>
      <c r="N1478" s="1">
        <f>IF(Calculations!$F$5="ACCREDITED 17025 WITH UNCERTAINTIES",$N$10,0)</f>
        <v>0</v>
      </c>
      <c r="O1478" s="1" t="str">
        <f>IFERROR(Table1[[#This Row],[Std Nom]]-(_xlfn.XLOOKUP(Table1[[#This Row],[Manufacturer]]&amp;" "&amp;Table1[[#This Row],[Model]],Table13[MFR &amp; MDL],Table13[Tolerance % CW ],"")/100*Table1[[#This Row],[Std Nom]]),"")</f>
        <v/>
      </c>
      <c r="P1478" s="1" t="str">
        <f>IFERROR(Table1[[#This Row],[Std Nom]]+(_xlfn.XLOOKUP(Table1[[#This Row],[Manufacturer]]&amp;" "&amp;Table1[[#This Row],[Model]],Table13[MFR &amp; MDL],Table13[Tolerance % CW ],"")/100*Table1[[#This Row],[Std Nom]]),"")</f>
        <v/>
      </c>
      <c r="Q1478" s="1" t="e">
        <f>Table1[[#This Row],[High Tol]]-Table1[[#This Row],[Low Tol]]</f>
        <v>#VALUE!</v>
      </c>
      <c r="R1478" s="1">
        <f>2*Table1[[#This Row],[Std Error]]</f>
        <v>0</v>
      </c>
      <c r="S1478" s="1" t="str">
        <f>IF(Table1[[#This Row],[High Tol]]="","N/A",IFERROR(ABS(Table1[[#This Row],[Tol Span]]/Table1[[#This Row],[Error Span]]),"N/A"))</f>
        <v>N/A</v>
      </c>
      <c r="T1478" s="1" t="str">
        <f>IF(OR(Table1[[#This Row],[Low Tol]]="",Table1[[#This Row],[High Tol]]=""),"Needs Analysis",IF(Table1[[#This Row],[Ratio]]&gt;=4,"Not Significant",IF(Table1[[#This Row],[Ratio]]&gt;=2,"Semi-Significant","Significant")))</f>
        <v>Needs Analysis</v>
      </c>
      <c r="W1478" s="1">
        <f>IF(Table1[[#This Row],[Cal Type]]&lt;&gt;"ACCREDITED 17025 WITH UNCERTAINTIES",0,"")</f>
        <v>0</v>
      </c>
      <c r="X1478" s="1" t="str">
        <f>IF(Table1[[#This Row],[DUT Read]]="","N/A",Table1[[#This Row],[Std Error]]+Table1[[#This Row],[DUT Read]]+Table1[[#This Row],[DUT Ucty]])</f>
        <v>N/A</v>
      </c>
      <c r="Y1478" s="1" t="str">
        <f>IF(Table1[[#This Row],[Std Read]]="","N/A",Table1[[#This Row],[Std Read]]+Table1[[#This Row],[Std Ucty]])</f>
        <v>N/A</v>
      </c>
      <c r="Z14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8" s="1" t="str">
        <f>IF(Table1[[#This Row],[Spec Type]]="","N/A",Table1[[#This Row],[Spec Type]])</f>
        <v>±</v>
      </c>
      <c r="AC1478" s="1" t="str">
        <f>IF(Table1[[#This Row],[Spec Type2]]="N/A","N/A",IF(AND(Table1[[#This Row],[DUT Adj Read]]&gt;=Table1[[#This Row],[Low Tol]],Table1[[#This Row],[DUT Adj Read]]&lt;=Table1[[#This Row],[High Tol]]),"Pass","Fail"))</f>
        <v>Fail</v>
      </c>
      <c r="AD1478" s="1" t="str">
        <f>IF(AND(Table1[[#This Row],[Spec Type2]]="N/A",Table1[[#This Row],[DUT Adj Read]]="N/A",Table1[[#This Row],[Std Adj Read]]="N/A"),"N/A",IF(Table1[[#This Row],[DUT Adj Read]]="N/A",IF(Table1[[#This Row],[Std Adj Read]]&gt;Table1[[#This Row],[Low Tol]],"Pass","Fail"),IF(Table1[[#This Row],[DUT Adj Read]]&gt;Table1[[#This Row],[Low Tol]],"Pass","Fail")))</f>
        <v>Pass</v>
      </c>
      <c r="AE1478" s="1" t="str">
        <f>IF(AND(Table1[[#This Row],[Spec Type2]]="N/A",Table1[[#This Row],[DUT Adj Read]]="N/A",Table1[[#This Row],[Std Adj Read]]="N/A"),"N/A",IF(Table1[[#This Row],[DUT Adj Read]]="N/A",IF(Table1[[#This Row],[Std Adj Read]]&lt;Table1[[#This Row],[High Tol]],"Pass","Fail"),IF(Table1[[#This Row],[DUT Adj Read]]&lt;Table1[[#This Row],[High Tol]],"Pass","Fail")))</f>
        <v>Fail</v>
      </c>
      <c r="AF1478" s="1" t="str">
        <f>IF(AND(Table1[[#This Row],[Spec Type2]]="N/A",Table1[[#This Row],[DUT Adj Read]]="N/A",Table1[[#This Row],[Std Adj Read]]="N/A"),"N/A",IF(Table1[[#This Row],[DUT Adj Read]]="N/A",IF(Table1[[#This Row],[Std Adj Read]]&gt;=Table1[[#This Row],[Low Tol]],"Pass","Fail"),IF(Table1[[#This Row],[DUT Adj Read]]&gt;=Table1[[#This Row],[Low Tol]],"Pass","Fail")))</f>
        <v>Pass</v>
      </c>
      <c r="AG1478" s="1" t="str">
        <f>IF(AND(Table1[[#This Row],[Spec Type2]]="N/A",Table1[[#This Row],[DUT Adj Read]]="N/A",Table1[[#This Row],[Std Adj Read]]="N/A"),"N/A",IF(Table1[[#This Row],[DUT Adj Read]]="N/A",IF(Table1[[#This Row],[Std Adj Read]]&lt;=Table1[[#This Row],[High Tol]],"Pass","Fail"),IF(Table1[[#This Row],[DUT Adj Read]]&lt;=Table1[[#This Row],[High Tol]],"Pass","Fail")))</f>
        <v>Fail</v>
      </c>
      <c r="AH14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8" s="1" t="b">
        <v>0</v>
      </c>
      <c r="AN1478" s="1" t="b">
        <v>0</v>
      </c>
      <c r="AO1478" s="1" t="b">
        <v>0</v>
      </c>
    </row>
    <row r="1479" spans="1:41" x14ac:dyDescent="0.25">
      <c r="A1479" s="10"/>
      <c r="B1479" s="10"/>
      <c r="C1479" s="10"/>
      <c r="D1479" s="10"/>
      <c r="E1479" s="10"/>
      <c r="F1479" s="10"/>
      <c r="G1479" s="10"/>
      <c r="H1479" s="10"/>
      <c r="I1479" s="1" t="str">
        <f t="shared" si="66"/>
        <v/>
      </c>
      <c r="J1479" s="1" t="s">
        <v>35</v>
      </c>
      <c r="K1479" s="1" t="str">
        <f t="shared" si="67"/>
        <v/>
      </c>
      <c r="L1479" s="1" t="str">
        <f t="shared" si="68"/>
        <v/>
      </c>
      <c r="M1479" s="1">
        <f>IF(OR(Table1[[#This Row],[Std Nom]]="",Table1[[#This Row],[Std Read]]=""),0,Table1[[#This Row],[Std Nom]]-Table1[[#This Row],[Std Read]])</f>
        <v>0</v>
      </c>
      <c r="N1479" s="1">
        <f>IF(Calculations!$F$5="ACCREDITED 17025 WITH UNCERTAINTIES",$N$10,0)</f>
        <v>0</v>
      </c>
      <c r="O1479" s="1" t="str">
        <f>IFERROR(Table1[[#This Row],[Std Nom]]-(_xlfn.XLOOKUP(Table1[[#This Row],[Manufacturer]]&amp;" "&amp;Table1[[#This Row],[Model]],Table13[MFR &amp; MDL],Table13[Tolerance % CW ],"")/100*Table1[[#This Row],[Std Nom]]),"")</f>
        <v/>
      </c>
      <c r="P1479" s="1" t="str">
        <f>IFERROR(Table1[[#This Row],[Std Nom]]+(_xlfn.XLOOKUP(Table1[[#This Row],[Manufacturer]]&amp;" "&amp;Table1[[#This Row],[Model]],Table13[MFR &amp; MDL],Table13[Tolerance % CW ],"")/100*Table1[[#This Row],[Std Nom]]),"")</f>
        <v/>
      </c>
      <c r="Q1479" s="1" t="e">
        <f>Table1[[#This Row],[High Tol]]-Table1[[#This Row],[Low Tol]]</f>
        <v>#VALUE!</v>
      </c>
      <c r="R1479" s="1">
        <f>2*Table1[[#This Row],[Std Error]]</f>
        <v>0</v>
      </c>
      <c r="S1479" s="1" t="str">
        <f>IF(Table1[[#This Row],[High Tol]]="","N/A",IFERROR(ABS(Table1[[#This Row],[Tol Span]]/Table1[[#This Row],[Error Span]]),"N/A"))</f>
        <v>N/A</v>
      </c>
      <c r="T1479" s="1" t="str">
        <f>IF(OR(Table1[[#This Row],[Low Tol]]="",Table1[[#This Row],[High Tol]]=""),"Needs Analysis",IF(Table1[[#This Row],[Ratio]]&gt;=4,"Not Significant",IF(Table1[[#This Row],[Ratio]]&gt;=2,"Semi-Significant","Significant")))</f>
        <v>Needs Analysis</v>
      </c>
      <c r="W1479" s="1">
        <f>IF(Table1[[#This Row],[Cal Type]]&lt;&gt;"ACCREDITED 17025 WITH UNCERTAINTIES",0,"")</f>
        <v>0</v>
      </c>
      <c r="X1479" s="1" t="str">
        <f>IF(Table1[[#This Row],[DUT Read]]="","N/A",Table1[[#This Row],[Std Error]]+Table1[[#This Row],[DUT Read]]+Table1[[#This Row],[DUT Ucty]])</f>
        <v>N/A</v>
      </c>
      <c r="Y1479" s="1" t="str">
        <f>IF(Table1[[#This Row],[Std Read]]="","N/A",Table1[[#This Row],[Std Read]]+Table1[[#This Row],[Std Ucty]])</f>
        <v>N/A</v>
      </c>
      <c r="Z14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9" s="1" t="str">
        <f>IF(Table1[[#This Row],[Spec Type]]="","N/A",Table1[[#This Row],[Spec Type]])</f>
        <v>±</v>
      </c>
      <c r="AC1479" s="1" t="str">
        <f>IF(Table1[[#This Row],[Spec Type2]]="N/A","N/A",IF(AND(Table1[[#This Row],[DUT Adj Read]]&gt;=Table1[[#This Row],[Low Tol]],Table1[[#This Row],[DUT Adj Read]]&lt;=Table1[[#This Row],[High Tol]]),"Pass","Fail"))</f>
        <v>Fail</v>
      </c>
      <c r="AD1479" s="1" t="str">
        <f>IF(AND(Table1[[#This Row],[Spec Type2]]="N/A",Table1[[#This Row],[DUT Adj Read]]="N/A",Table1[[#This Row],[Std Adj Read]]="N/A"),"N/A",IF(Table1[[#This Row],[DUT Adj Read]]="N/A",IF(Table1[[#This Row],[Std Adj Read]]&gt;Table1[[#This Row],[Low Tol]],"Pass","Fail"),IF(Table1[[#This Row],[DUT Adj Read]]&gt;Table1[[#This Row],[Low Tol]],"Pass","Fail")))</f>
        <v>Pass</v>
      </c>
      <c r="AE1479" s="1" t="str">
        <f>IF(AND(Table1[[#This Row],[Spec Type2]]="N/A",Table1[[#This Row],[DUT Adj Read]]="N/A",Table1[[#This Row],[Std Adj Read]]="N/A"),"N/A",IF(Table1[[#This Row],[DUT Adj Read]]="N/A",IF(Table1[[#This Row],[Std Adj Read]]&lt;Table1[[#This Row],[High Tol]],"Pass","Fail"),IF(Table1[[#This Row],[DUT Adj Read]]&lt;Table1[[#This Row],[High Tol]],"Pass","Fail")))</f>
        <v>Fail</v>
      </c>
      <c r="AF1479" s="1" t="str">
        <f>IF(AND(Table1[[#This Row],[Spec Type2]]="N/A",Table1[[#This Row],[DUT Adj Read]]="N/A",Table1[[#This Row],[Std Adj Read]]="N/A"),"N/A",IF(Table1[[#This Row],[DUT Adj Read]]="N/A",IF(Table1[[#This Row],[Std Adj Read]]&gt;=Table1[[#This Row],[Low Tol]],"Pass","Fail"),IF(Table1[[#This Row],[DUT Adj Read]]&gt;=Table1[[#This Row],[Low Tol]],"Pass","Fail")))</f>
        <v>Pass</v>
      </c>
      <c r="AG1479" s="1" t="str">
        <f>IF(AND(Table1[[#This Row],[Spec Type2]]="N/A",Table1[[#This Row],[DUT Adj Read]]="N/A",Table1[[#This Row],[Std Adj Read]]="N/A"),"N/A",IF(Table1[[#This Row],[DUT Adj Read]]="N/A",IF(Table1[[#This Row],[Std Adj Read]]&lt;=Table1[[#This Row],[High Tol]],"Pass","Fail"),IF(Table1[[#This Row],[DUT Adj Read]]&lt;=Table1[[#This Row],[High Tol]],"Pass","Fail")))</f>
        <v>Fail</v>
      </c>
      <c r="AH14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9" s="1" t="b">
        <v>0</v>
      </c>
      <c r="AN1479" s="1" t="b">
        <v>0</v>
      </c>
      <c r="AO1479" s="1" t="b">
        <v>0</v>
      </c>
    </row>
    <row r="1480" spans="1:41" x14ac:dyDescent="0.25">
      <c r="A1480" s="10"/>
      <c r="B1480" s="10"/>
      <c r="C1480" s="10"/>
      <c r="D1480" s="10"/>
      <c r="E1480" s="10"/>
      <c r="F1480" s="10"/>
      <c r="G1480" s="10"/>
      <c r="H1480" s="10"/>
      <c r="I1480" s="1" t="str">
        <f t="shared" si="66"/>
        <v/>
      </c>
      <c r="J1480" s="1" t="s">
        <v>35</v>
      </c>
      <c r="K1480" s="1" t="str">
        <f t="shared" si="67"/>
        <v/>
      </c>
      <c r="L1480" s="1" t="str">
        <f t="shared" si="68"/>
        <v/>
      </c>
      <c r="M1480" s="1">
        <f>IF(OR(Table1[[#This Row],[Std Nom]]="",Table1[[#This Row],[Std Read]]=""),0,Table1[[#This Row],[Std Nom]]-Table1[[#This Row],[Std Read]])</f>
        <v>0</v>
      </c>
      <c r="N1480" s="1">
        <f>IF(Calculations!$F$5="ACCREDITED 17025 WITH UNCERTAINTIES",$N$10,0)</f>
        <v>0</v>
      </c>
      <c r="O1480" s="1" t="str">
        <f>IFERROR(Table1[[#This Row],[Std Nom]]-(_xlfn.XLOOKUP(Table1[[#This Row],[Manufacturer]]&amp;" "&amp;Table1[[#This Row],[Model]],Table13[MFR &amp; MDL],Table13[Tolerance % CW ],"")/100*Table1[[#This Row],[Std Nom]]),"")</f>
        <v/>
      </c>
      <c r="P1480" s="1" t="str">
        <f>IFERROR(Table1[[#This Row],[Std Nom]]+(_xlfn.XLOOKUP(Table1[[#This Row],[Manufacturer]]&amp;" "&amp;Table1[[#This Row],[Model]],Table13[MFR &amp; MDL],Table13[Tolerance % CW ],"")/100*Table1[[#This Row],[Std Nom]]),"")</f>
        <v/>
      </c>
      <c r="Q1480" s="1" t="e">
        <f>Table1[[#This Row],[High Tol]]-Table1[[#This Row],[Low Tol]]</f>
        <v>#VALUE!</v>
      </c>
      <c r="R1480" s="1">
        <f>2*Table1[[#This Row],[Std Error]]</f>
        <v>0</v>
      </c>
      <c r="S1480" s="1" t="str">
        <f>IF(Table1[[#This Row],[High Tol]]="","N/A",IFERROR(ABS(Table1[[#This Row],[Tol Span]]/Table1[[#This Row],[Error Span]]),"N/A"))</f>
        <v>N/A</v>
      </c>
      <c r="T1480" s="1" t="str">
        <f>IF(OR(Table1[[#This Row],[Low Tol]]="",Table1[[#This Row],[High Tol]]=""),"Needs Analysis",IF(Table1[[#This Row],[Ratio]]&gt;=4,"Not Significant",IF(Table1[[#This Row],[Ratio]]&gt;=2,"Semi-Significant","Significant")))</f>
        <v>Needs Analysis</v>
      </c>
      <c r="W1480" s="1">
        <f>IF(Table1[[#This Row],[Cal Type]]&lt;&gt;"ACCREDITED 17025 WITH UNCERTAINTIES",0,"")</f>
        <v>0</v>
      </c>
      <c r="X1480" s="1" t="str">
        <f>IF(Table1[[#This Row],[DUT Read]]="","N/A",Table1[[#This Row],[Std Error]]+Table1[[#This Row],[DUT Read]]+Table1[[#This Row],[DUT Ucty]])</f>
        <v>N/A</v>
      </c>
      <c r="Y1480" s="1" t="str">
        <f>IF(Table1[[#This Row],[Std Read]]="","N/A",Table1[[#This Row],[Std Read]]+Table1[[#This Row],[Std Ucty]])</f>
        <v>N/A</v>
      </c>
      <c r="Z14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0" s="1" t="str">
        <f>IF(Table1[[#This Row],[Spec Type]]="","N/A",Table1[[#This Row],[Spec Type]])</f>
        <v>±</v>
      </c>
      <c r="AC1480" s="1" t="str">
        <f>IF(Table1[[#This Row],[Spec Type2]]="N/A","N/A",IF(AND(Table1[[#This Row],[DUT Adj Read]]&gt;=Table1[[#This Row],[Low Tol]],Table1[[#This Row],[DUT Adj Read]]&lt;=Table1[[#This Row],[High Tol]]),"Pass","Fail"))</f>
        <v>Fail</v>
      </c>
      <c r="AD1480" s="1" t="str">
        <f>IF(AND(Table1[[#This Row],[Spec Type2]]="N/A",Table1[[#This Row],[DUT Adj Read]]="N/A",Table1[[#This Row],[Std Adj Read]]="N/A"),"N/A",IF(Table1[[#This Row],[DUT Adj Read]]="N/A",IF(Table1[[#This Row],[Std Adj Read]]&gt;Table1[[#This Row],[Low Tol]],"Pass","Fail"),IF(Table1[[#This Row],[DUT Adj Read]]&gt;Table1[[#This Row],[Low Tol]],"Pass","Fail")))</f>
        <v>Pass</v>
      </c>
      <c r="AE1480" s="1" t="str">
        <f>IF(AND(Table1[[#This Row],[Spec Type2]]="N/A",Table1[[#This Row],[DUT Adj Read]]="N/A",Table1[[#This Row],[Std Adj Read]]="N/A"),"N/A",IF(Table1[[#This Row],[DUT Adj Read]]="N/A",IF(Table1[[#This Row],[Std Adj Read]]&lt;Table1[[#This Row],[High Tol]],"Pass","Fail"),IF(Table1[[#This Row],[DUT Adj Read]]&lt;Table1[[#This Row],[High Tol]],"Pass","Fail")))</f>
        <v>Fail</v>
      </c>
      <c r="AF1480" s="1" t="str">
        <f>IF(AND(Table1[[#This Row],[Spec Type2]]="N/A",Table1[[#This Row],[DUT Adj Read]]="N/A",Table1[[#This Row],[Std Adj Read]]="N/A"),"N/A",IF(Table1[[#This Row],[DUT Adj Read]]="N/A",IF(Table1[[#This Row],[Std Adj Read]]&gt;=Table1[[#This Row],[Low Tol]],"Pass","Fail"),IF(Table1[[#This Row],[DUT Adj Read]]&gt;=Table1[[#This Row],[Low Tol]],"Pass","Fail")))</f>
        <v>Pass</v>
      </c>
      <c r="AG1480" s="1" t="str">
        <f>IF(AND(Table1[[#This Row],[Spec Type2]]="N/A",Table1[[#This Row],[DUT Adj Read]]="N/A",Table1[[#This Row],[Std Adj Read]]="N/A"),"N/A",IF(Table1[[#This Row],[DUT Adj Read]]="N/A",IF(Table1[[#This Row],[Std Adj Read]]&lt;=Table1[[#This Row],[High Tol]],"Pass","Fail"),IF(Table1[[#This Row],[DUT Adj Read]]&lt;=Table1[[#This Row],[High Tol]],"Pass","Fail")))</f>
        <v>Fail</v>
      </c>
      <c r="AH14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0" s="1" t="b">
        <v>0</v>
      </c>
      <c r="AN1480" s="1" t="b">
        <v>0</v>
      </c>
      <c r="AO1480" s="1" t="b">
        <v>0</v>
      </c>
    </row>
    <row r="1481" spans="1:41" x14ac:dyDescent="0.25">
      <c r="A1481" s="10"/>
      <c r="B1481" s="10"/>
      <c r="C1481" s="10"/>
      <c r="D1481" s="10"/>
      <c r="E1481" s="10"/>
      <c r="F1481" s="10"/>
      <c r="G1481" s="10"/>
      <c r="H1481" s="10"/>
      <c r="I1481" s="1" t="str">
        <f t="shared" si="66"/>
        <v/>
      </c>
      <c r="J1481" s="1" t="s">
        <v>35</v>
      </c>
      <c r="K1481" s="1" t="str">
        <f t="shared" si="67"/>
        <v/>
      </c>
      <c r="L1481" s="1" t="str">
        <f t="shared" si="68"/>
        <v/>
      </c>
      <c r="M1481" s="1">
        <f>IF(OR(Table1[[#This Row],[Std Nom]]="",Table1[[#This Row],[Std Read]]=""),0,Table1[[#This Row],[Std Nom]]-Table1[[#This Row],[Std Read]])</f>
        <v>0</v>
      </c>
      <c r="N1481" s="1">
        <f>IF(Calculations!$F$5="ACCREDITED 17025 WITH UNCERTAINTIES",$N$10,0)</f>
        <v>0</v>
      </c>
      <c r="O1481" s="1" t="str">
        <f>IFERROR(Table1[[#This Row],[Std Nom]]-(_xlfn.XLOOKUP(Table1[[#This Row],[Manufacturer]]&amp;" "&amp;Table1[[#This Row],[Model]],Table13[MFR &amp; MDL],Table13[Tolerance % CW ],"")/100*Table1[[#This Row],[Std Nom]]),"")</f>
        <v/>
      </c>
      <c r="P1481" s="1" t="str">
        <f>IFERROR(Table1[[#This Row],[Std Nom]]+(_xlfn.XLOOKUP(Table1[[#This Row],[Manufacturer]]&amp;" "&amp;Table1[[#This Row],[Model]],Table13[MFR &amp; MDL],Table13[Tolerance % CW ],"")/100*Table1[[#This Row],[Std Nom]]),"")</f>
        <v/>
      </c>
      <c r="Q1481" s="1" t="e">
        <f>Table1[[#This Row],[High Tol]]-Table1[[#This Row],[Low Tol]]</f>
        <v>#VALUE!</v>
      </c>
      <c r="R1481" s="1">
        <f>2*Table1[[#This Row],[Std Error]]</f>
        <v>0</v>
      </c>
      <c r="S1481" s="1" t="str">
        <f>IF(Table1[[#This Row],[High Tol]]="","N/A",IFERROR(ABS(Table1[[#This Row],[Tol Span]]/Table1[[#This Row],[Error Span]]),"N/A"))</f>
        <v>N/A</v>
      </c>
      <c r="T1481" s="1" t="str">
        <f>IF(OR(Table1[[#This Row],[Low Tol]]="",Table1[[#This Row],[High Tol]]=""),"Needs Analysis",IF(Table1[[#This Row],[Ratio]]&gt;=4,"Not Significant",IF(Table1[[#This Row],[Ratio]]&gt;=2,"Semi-Significant","Significant")))</f>
        <v>Needs Analysis</v>
      </c>
      <c r="W1481" s="1">
        <f>IF(Table1[[#This Row],[Cal Type]]&lt;&gt;"ACCREDITED 17025 WITH UNCERTAINTIES",0,"")</f>
        <v>0</v>
      </c>
      <c r="X1481" s="1" t="str">
        <f>IF(Table1[[#This Row],[DUT Read]]="","N/A",Table1[[#This Row],[Std Error]]+Table1[[#This Row],[DUT Read]]+Table1[[#This Row],[DUT Ucty]])</f>
        <v>N/A</v>
      </c>
      <c r="Y1481" s="1" t="str">
        <f>IF(Table1[[#This Row],[Std Read]]="","N/A",Table1[[#This Row],[Std Read]]+Table1[[#This Row],[Std Ucty]])</f>
        <v>N/A</v>
      </c>
      <c r="Z14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1" s="1" t="str">
        <f>IF(Table1[[#This Row],[Spec Type]]="","N/A",Table1[[#This Row],[Spec Type]])</f>
        <v>±</v>
      </c>
      <c r="AC1481" s="1" t="str">
        <f>IF(Table1[[#This Row],[Spec Type2]]="N/A","N/A",IF(AND(Table1[[#This Row],[DUT Adj Read]]&gt;=Table1[[#This Row],[Low Tol]],Table1[[#This Row],[DUT Adj Read]]&lt;=Table1[[#This Row],[High Tol]]),"Pass","Fail"))</f>
        <v>Fail</v>
      </c>
      <c r="AD1481" s="1" t="str">
        <f>IF(AND(Table1[[#This Row],[Spec Type2]]="N/A",Table1[[#This Row],[DUT Adj Read]]="N/A",Table1[[#This Row],[Std Adj Read]]="N/A"),"N/A",IF(Table1[[#This Row],[DUT Adj Read]]="N/A",IF(Table1[[#This Row],[Std Adj Read]]&gt;Table1[[#This Row],[Low Tol]],"Pass","Fail"),IF(Table1[[#This Row],[DUT Adj Read]]&gt;Table1[[#This Row],[Low Tol]],"Pass","Fail")))</f>
        <v>Pass</v>
      </c>
      <c r="AE1481" s="1" t="str">
        <f>IF(AND(Table1[[#This Row],[Spec Type2]]="N/A",Table1[[#This Row],[DUT Adj Read]]="N/A",Table1[[#This Row],[Std Adj Read]]="N/A"),"N/A",IF(Table1[[#This Row],[DUT Adj Read]]="N/A",IF(Table1[[#This Row],[Std Adj Read]]&lt;Table1[[#This Row],[High Tol]],"Pass","Fail"),IF(Table1[[#This Row],[DUT Adj Read]]&lt;Table1[[#This Row],[High Tol]],"Pass","Fail")))</f>
        <v>Fail</v>
      </c>
      <c r="AF1481" s="1" t="str">
        <f>IF(AND(Table1[[#This Row],[Spec Type2]]="N/A",Table1[[#This Row],[DUT Adj Read]]="N/A",Table1[[#This Row],[Std Adj Read]]="N/A"),"N/A",IF(Table1[[#This Row],[DUT Adj Read]]="N/A",IF(Table1[[#This Row],[Std Adj Read]]&gt;=Table1[[#This Row],[Low Tol]],"Pass","Fail"),IF(Table1[[#This Row],[DUT Adj Read]]&gt;=Table1[[#This Row],[Low Tol]],"Pass","Fail")))</f>
        <v>Pass</v>
      </c>
      <c r="AG1481" s="1" t="str">
        <f>IF(AND(Table1[[#This Row],[Spec Type2]]="N/A",Table1[[#This Row],[DUT Adj Read]]="N/A",Table1[[#This Row],[Std Adj Read]]="N/A"),"N/A",IF(Table1[[#This Row],[DUT Adj Read]]="N/A",IF(Table1[[#This Row],[Std Adj Read]]&lt;=Table1[[#This Row],[High Tol]],"Pass","Fail"),IF(Table1[[#This Row],[DUT Adj Read]]&lt;=Table1[[#This Row],[High Tol]],"Pass","Fail")))</f>
        <v>Fail</v>
      </c>
      <c r="AH14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1" s="1" t="b">
        <v>0</v>
      </c>
      <c r="AN1481" s="1" t="b">
        <v>0</v>
      </c>
      <c r="AO1481" s="1" t="b">
        <v>0</v>
      </c>
    </row>
    <row r="1482" spans="1:41" x14ac:dyDescent="0.25">
      <c r="A1482" s="10"/>
      <c r="B1482" s="10"/>
      <c r="C1482" s="10"/>
      <c r="D1482" s="10"/>
      <c r="E1482" s="10"/>
      <c r="F1482" s="10"/>
      <c r="G1482" s="10"/>
      <c r="H1482" s="10"/>
      <c r="I1482" s="1" t="str">
        <f t="shared" si="66"/>
        <v/>
      </c>
      <c r="J1482" s="1" t="s">
        <v>35</v>
      </c>
      <c r="K1482" s="1" t="str">
        <f t="shared" si="67"/>
        <v/>
      </c>
      <c r="L1482" s="1" t="str">
        <f t="shared" si="68"/>
        <v/>
      </c>
      <c r="M1482" s="1">
        <f>IF(OR(Table1[[#This Row],[Std Nom]]="",Table1[[#This Row],[Std Read]]=""),0,Table1[[#This Row],[Std Nom]]-Table1[[#This Row],[Std Read]])</f>
        <v>0</v>
      </c>
      <c r="N1482" s="1">
        <f>IF(Calculations!$F$5="ACCREDITED 17025 WITH UNCERTAINTIES",$N$10,0)</f>
        <v>0</v>
      </c>
      <c r="O1482" s="1" t="str">
        <f>IFERROR(Table1[[#This Row],[Std Nom]]-(_xlfn.XLOOKUP(Table1[[#This Row],[Manufacturer]]&amp;" "&amp;Table1[[#This Row],[Model]],Table13[MFR &amp; MDL],Table13[Tolerance % CW ],"")/100*Table1[[#This Row],[Std Nom]]),"")</f>
        <v/>
      </c>
      <c r="P1482" s="1" t="str">
        <f>IFERROR(Table1[[#This Row],[Std Nom]]+(_xlfn.XLOOKUP(Table1[[#This Row],[Manufacturer]]&amp;" "&amp;Table1[[#This Row],[Model]],Table13[MFR &amp; MDL],Table13[Tolerance % CW ],"")/100*Table1[[#This Row],[Std Nom]]),"")</f>
        <v/>
      </c>
      <c r="Q1482" s="1" t="e">
        <f>Table1[[#This Row],[High Tol]]-Table1[[#This Row],[Low Tol]]</f>
        <v>#VALUE!</v>
      </c>
      <c r="R1482" s="1">
        <f>2*Table1[[#This Row],[Std Error]]</f>
        <v>0</v>
      </c>
      <c r="S1482" s="1" t="str">
        <f>IF(Table1[[#This Row],[High Tol]]="","N/A",IFERROR(ABS(Table1[[#This Row],[Tol Span]]/Table1[[#This Row],[Error Span]]),"N/A"))</f>
        <v>N/A</v>
      </c>
      <c r="T1482" s="1" t="str">
        <f>IF(OR(Table1[[#This Row],[Low Tol]]="",Table1[[#This Row],[High Tol]]=""),"Needs Analysis",IF(Table1[[#This Row],[Ratio]]&gt;=4,"Not Significant",IF(Table1[[#This Row],[Ratio]]&gt;=2,"Semi-Significant","Significant")))</f>
        <v>Needs Analysis</v>
      </c>
      <c r="W1482" s="1">
        <f>IF(Table1[[#This Row],[Cal Type]]&lt;&gt;"ACCREDITED 17025 WITH UNCERTAINTIES",0,"")</f>
        <v>0</v>
      </c>
      <c r="X1482" s="1" t="str">
        <f>IF(Table1[[#This Row],[DUT Read]]="","N/A",Table1[[#This Row],[Std Error]]+Table1[[#This Row],[DUT Read]]+Table1[[#This Row],[DUT Ucty]])</f>
        <v>N/A</v>
      </c>
      <c r="Y1482" s="1" t="str">
        <f>IF(Table1[[#This Row],[Std Read]]="","N/A",Table1[[#This Row],[Std Read]]+Table1[[#This Row],[Std Ucty]])</f>
        <v>N/A</v>
      </c>
      <c r="Z14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2" s="1" t="str">
        <f>IF(Table1[[#This Row],[Spec Type]]="","N/A",Table1[[#This Row],[Spec Type]])</f>
        <v>±</v>
      </c>
      <c r="AC1482" s="1" t="str">
        <f>IF(Table1[[#This Row],[Spec Type2]]="N/A","N/A",IF(AND(Table1[[#This Row],[DUT Adj Read]]&gt;=Table1[[#This Row],[Low Tol]],Table1[[#This Row],[DUT Adj Read]]&lt;=Table1[[#This Row],[High Tol]]),"Pass","Fail"))</f>
        <v>Fail</v>
      </c>
      <c r="AD1482" s="1" t="str">
        <f>IF(AND(Table1[[#This Row],[Spec Type2]]="N/A",Table1[[#This Row],[DUT Adj Read]]="N/A",Table1[[#This Row],[Std Adj Read]]="N/A"),"N/A",IF(Table1[[#This Row],[DUT Adj Read]]="N/A",IF(Table1[[#This Row],[Std Adj Read]]&gt;Table1[[#This Row],[Low Tol]],"Pass","Fail"),IF(Table1[[#This Row],[DUT Adj Read]]&gt;Table1[[#This Row],[Low Tol]],"Pass","Fail")))</f>
        <v>Pass</v>
      </c>
      <c r="AE1482" s="1" t="str">
        <f>IF(AND(Table1[[#This Row],[Spec Type2]]="N/A",Table1[[#This Row],[DUT Adj Read]]="N/A",Table1[[#This Row],[Std Adj Read]]="N/A"),"N/A",IF(Table1[[#This Row],[DUT Adj Read]]="N/A",IF(Table1[[#This Row],[Std Adj Read]]&lt;Table1[[#This Row],[High Tol]],"Pass","Fail"),IF(Table1[[#This Row],[DUT Adj Read]]&lt;Table1[[#This Row],[High Tol]],"Pass","Fail")))</f>
        <v>Fail</v>
      </c>
      <c r="AF1482" s="1" t="str">
        <f>IF(AND(Table1[[#This Row],[Spec Type2]]="N/A",Table1[[#This Row],[DUT Adj Read]]="N/A",Table1[[#This Row],[Std Adj Read]]="N/A"),"N/A",IF(Table1[[#This Row],[DUT Adj Read]]="N/A",IF(Table1[[#This Row],[Std Adj Read]]&gt;=Table1[[#This Row],[Low Tol]],"Pass","Fail"),IF(Table1[[#This Row],[DUT Adj Read]]&gt;=Table1[[#This Row],[Low Tol]],"Pass","Fail")))</f>
        <v>Pass</v>
      </c>
      <c r="AG1482" s="1" t="str">
        <f>IF(AND(Table1[[#This Row],[Spec Type2]]="N/A",Table1[[#This Row],[DUT Adj Read]]="N/A",Table1[[#This Row],[Std Adj Read]]="N/A"),"N/A",IF(Table1[[#This Row],[DUT Adj Read]]="N/A",IF(Table1[[#This Row],[Std Adj Read]]&lt;=Table1[[#This Row],[High Tol]],"Pass","Fail"),IF(Table1[[#This Row],[DUT Adj Read]]&lt;=Table1[[#This Row],[High Tol]],"Pass","Fail")))</f>
        <v>Fail</v>
      </c>
      <c r="AH14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2" s="1" t="b">
        <v>0</v>
      </c>
      <c r="AN1482" s="1" t="b">
        <v>0</v>
      </c>
      <c r="AO1482" s="1" t="b">
        <v>0</v>
      </c>
    </row>
    <row r="1483" spans="1:41" x14ac:dyDescent="0.25">
      <c r="A1483" s="10"/>
      <c r="B1483" s="10"/>
      <c r="C1483" s="10"/>
      <c r="D1483" s="10"/>
      <c r="E1483" s="10"/>
      <c r="F1483" s="10"/>
      <c r="G1483" s="10"/>
      <c r="H1483" s="10"/>
      <c r="I1483" s="1" t="str">
        <f t="shared" ref="I1483:I1546" si="69">IF($I$10="","",$I$10)</f>
        <v/>
      </c>
      <c r="J1483" s="1" t="s">
        <v>35</v>
      </c>
      <c r="K1483" s="1" t="str">
        <f t="shared" ref="K1483:K1546" si="70">IF($K$10="","",$K$10)</f>
        <v/>
      </c>
      <c r="L1483" s="1" t="str">
        <f t="shared" ref="L1483:L1546" si="71">IF($L$10="","",$L$10)</f>
        <v/>
      </c>
      <c r="M1483" s="1">
        <f>IF(OR(Table1[[#This Row],[Std Nom]]="",Table1[[#This Row],[Std Read]]=""),0,Table1[[#This Row],[Std Nom]]-Table1[[#This Row],[Std Read]])</f>
        <v>0</v>
      </c>
      <c r="N1483" s="1">
        <f>IF(Calculations!$F$5="ACCREDITED 17025 WITH UNCERTAINTIES",$N$10,0)</f>
        <v>0</v>
      </c>
      <c r="O1483" s="1" t="str">
        <f>IFERROR(Table1[[#This Row],[Std Nom]]-(_xlfn.XLOOKUP(Table1[[#This Row],[Manufacturer]]&amp;" "&amp;Table1[[#This Row],[Model]],Table13[MFR &amp; MDL],Table13[Tolerance % CW ],"")/100*Table1[[#This Row],[Std Nom]]),"")</f>
        <v/>
      </c>
      <c r="P1483" s="1" t="str">
        <f>IFERROR(Table1[[#This Row],[Std Nom]]+(_xlfn.XLOOKUP(Table1[[#This Row],[Manufacturer]]&amp;" "&amp;Table1[[#This Row],[Model]],Table13[MFR &amp; MDL],Table13[Tolerance % CW ],"")/100*Table1[[#This Row],[Std Nom]]),"")</f>
        <v/>
      </c>
      <c r="Q1483" s="1" t="e">
        <f>Table1[[#This Row],[High Tol]]-Table1[[#This Row],[Low Tol]]</f>
        <v>#VALUE!</v>
      </c>
      <c r="R1483" s="1">
        <f>2*Table1[[#This Row],[Std Error]]</f>
        <v>0</v>
      </c>
      <c r="S1483" s="1" t="str">
        <f>IF(Table1[[#This Row],[High Tol]]="","N/A",IFERROR(ABS(Table1[[#This Row],[Tol Span]]/Table1[[#This Row],[Error Span]]),"N/A"))</f>
        <v>N/A</v>
      </c>
      <c r="T1483" s="1" t="str">
        <f>IF(OR(Table1[[#This Row],[Low Tol]]="",Table1[[#This Row],[High Tol]]=""),"Needs Analysis",IF(Table1[[#This Row],[Ratio]]&gt;=4,"Not Significant",IF(Table1[[#This Row],[Ratio]]&gt;=2,"Semi-Significant","Significant")))</f>
        <v>Needs Analysis</v>
      </c>
      <c r="W1483" s="1">
        <f>IF(Table1[[#This Row],[Cal Type]]&lt;&gt;"ACCREDITED 17025 WITH UNCERTAINTIES",0,"")</f>
        <v>0</v>
      </c>
      <c r="X1483" s="1" t="str">
        <f>IF(Table1[[#This Row],[DUT Read]]="","N/A",Table1[[#This Row],[Std Error]]+Table1[[#This Row],[DUT Read]]+Table1[[#This Row],[DUT Ucty]])</f>
        <v>N/A</v>
      </c>
      <c r="Y1483" s="1" t="str">
        <f>IF(Table1[[#This Row],[Std Read]]="","N/A",Table1[[#This Row],[Std Read]]+Table1[[#This Row],[Std Ucty]])</f>
        <v>N/A</v>
      </c>
      <c r="Z14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3" s="1" t="str">
        <f>IF(Table1[[#This Row],[Spec Type]]="","N/A",Table1[[#This Row],[Spec Type]])</f>
        <v>±</v>
      </c>
      <c r="AC1483" s="1" t="str">
        <f>IF(Table1[[#This Row],[Spec Type2]]="N/A","N/A",IF(AND(Table1[[#This Row],[DUT Adj Read]]&gt;=Table1[[#This Row],[Low Tol]],Table1[[#This Row],[DUT Adj Read]]&lt;=Table1[[#This Row],[High Tol]]),"Pass","Fail"))</f>
        <v>Fail</v>
      </c>
      <c r="AD1483" s="1" t="str">
        <f>IF(AND(Table1[[#This Row],[Spec Type2]]="N/A",Table1[[#This Row],[DUT Adj Read]]="N/A",Table1[[#This Row],[Std Adj Read]]="N/A"),"N/A",IF(Table1[[#This Row],[DUT Adj Read]]="N/A",IF(Table1[[#This Row],[Std Adj Read]]&gt;Table1[[#This Row],[Low Tol]],"Pass","Fail"),IF(Table1[[#This Row],[DUT Adj Read]]&gt;Table1[[#This Row],[Low Tol]],"Pass","Fail")))</f>
        <v>Pass</v>
      </c>
      <c r="AE1483" s="1" t="str">
        <f>IF(AND(Table1[[#This Row],[Spec Type2]]="N/A",Table1[[#This Row],[DUT Adj Read]]="N/A",Table1[[#This Row],[Std Adj Read]]="N/A"),"N/A",IF(Table1[[#This Row],[DUT Adj Read]]="N/A",IF(Table1[[#This Row],[Std Adj Read]]&lt;Table1[[#This Row],[High Tol]],"Pass","Fail"),IF(Table1[[#This Row],[DUT Adj Read]]&lt;Table1[[#This Row],[High Tol]],"Pass","Fail")))</f>
        <v>Fail</v>
      </c>
      <c r="AF1483" s="1" t="str">
        <f>IF(AND(Table1[[#This Row],[Spec Type2]]="N/A",Table1[[#This Row],[DUT Adj Read]]="N/A",Table1[[#This Row],[Std Adj Read]]="N/A"),"N/A",IF(Table1[[#This Row],[DUT Adj Read]]="N/A",IF(Table1[[#This Row],[Std Adj Read]]&gt;=Table1[[#This Row],[Low Tol]],"Pass","Fail"),IF(Table1[[#This Row],[DUT Adj Read]]&gt;=Table1[[#This Row],[Low Tol]],"Pass","Fail")))</f>
        <v>Pass</v>
      </c>
      <c r="AG1483" s="1" t="str">
        <f>IF(AND(Table1[[#This Row],[Spec Type2]]="N/A",Table1[[#This Row],[DUT Adj Read]]="N/A",Table1[[#This Row],[Std Adj Read]]="N/A"),"N/A",IF(Table1[[#This Row],[DUT Adj Read]]="N/A",IF(Table1[[#This Row],[Std Adj Read]]&lt;=Table1[[#This Row],[High Tol]],"Pass","Fail"),IF(Table1[[#This Row],[DUT Adj Read]]&lt;=Table1[[#This Row],[High Tol]],"Pass","Fail")))</f>
        <v>Fail</v>
      </c>
      <c r="AH14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3" s="1" t="b">
        <v>0</v>
      </c>
      <c r="AN1483" s="1" t="b">
        <v>0</v>
      </c>
      <c r="AO1483" s="1" t="b">
        <v>0</v>
      </c>
    </row>
    <row r="1484" spans="1:41" x14ac:dyDescent="0.25">
      <c r="A1484" s="10"/>
      <c r="B1484" s="10"/>
      <c r="C1484" s="10"/>
      <c r="D1484" s="10"/>
      <c r="E1484" s="10"/>
      <c r="F1484" s="10"/>
      <c r="G1484" s="10"/>
      <c r="H1484" s="10"/>
      <c r="I1484" s="1" t="str">
        <f t="shared" si="69"/>
        <v/>
      </c>
      <c r="J1484" s="1" t="s">
        <v>35</v>
      </c>
      <c r="K1484" s="1" t="str">
        <f t="shared" si="70"/>
        <v/>
      </c>
      <c r="L1484" s="1" t="str">
        <f t="shared" si="71"/>
        <v/>
      </c>
      <c r="M1484" s="1">
        <f>IF(OR(Table1[[#This Row],[Std Nom]]="",Table1[[#This Row],[Std Read]]=""),0,Table1[[#This Row],[Std Nom]]-Table1[[#This Row],[Std Read]])</f>
        <v>0</v>
      </c>
      <c r="N1484" s="1">
        <f>IF(Calculations!$F$5="ACCREDITED 17025 WITH UNCERTAINTIES",$N$10,0)</f>
        <v>0</v>
      </c>
      <c r="O1484" s="1" t="str">
        <f>IFERROR(Table1[[#This Row],[Std Nom]]-(_xlfn.XLOOKUP(Table1[[#This Row],[Manufacturer]]&amp;" "&amp;Table1[[#This Row],[Model]],Table13[MFR &amp; MDL],Table13[Tolerance % CW ],"")/100*Table1[[#This Row],[Std Nom]]),"")</f>
        <v/>
      </c>
      <c r="P1484" s="1" t="str">
        <f>IFERROR(Table1[[#This Row],[Std Nom]]+(_xlfn.XLOOKUP(Table1[[#This Row],[Manufacturer]]&amp;" "&amp;Table1[[#This Row],[Model]],Table13[MFR &amp; MDL],Table13[Tolerance % CW ],"")/100*Table1[[#This Row],[Std Nom]]),"")</f>
        <v/>
      </c>
      <c r="Q1484" s="1" t="e">
        <f>Table1[[#This Row],[High Tol]]-Table1[[#This Row],[Low Tol]]</f>
        <v>#VALUE!</v>
      </c>
      <c r="R1484" s="1">
        <f>2*Table1[[#This Row],[Std Error]]</f>
        <v>0</v>
      </c>
      <c r="S1484" s="1" t="str">
        <f>IF(Table1[[#This Row],[High Tol]]="","N/A",IFERROR(ABS(Table1[[#This Row],[Tol Span]]/Table1[[#This Row],[Error Span]]),"N/A"))</f>
        <v>N/A</v>
      </c>
      <c r="T1484" s="1" t="str">
        <f>IF(OR(Table1[[#This Row],[Low Tol]]="",Table1[[#This Row],[High Tol]]=""),"Needs Analysis",IF(Table1[[#This Row],[Ratio]]&gt;=4,"Not Significant",IF(Table1[[#This Row],[Ratio]]&gt;=2,"Semi-Significant","Significant")))</f>
        <v>Needs Analysis</v>
      </c>
      <c r="W1484" s="1">
        <f>IF(Table1[[#This Row],[Cal Type]]&lt;&gt;"ACCREDITED 17025 WITH UNCERTAINTIES",0,"")</f>
        <v>0</v>
      </c>
      <c r="X1484" s="1" t="str">
        <f>IF(Table1[[#This Row],[DUT Read]]="","N/A",Table1[[#This Row],[Std Error]]+Table1[[#This Row],[DUT Read]]+Table1[[#This Row],[DUT Ucty]])</f>
        <v>N/A</v>
      </c>
      <c r="Y1484" s="1" t="str">
        <f>IF(Table1[[#This Row],[Std Read]]="","N/A",Table1[[#This Row],[Std Read]]+Table1[[#This Row],[Std Ucty]])</f>
        <v>N/A</v>
      </c>
      <c r="Z14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4" s="1" t="str">
        <f>IF(Table1[[#This Row],[Spec Type]]="","N/A",Table1[[#This Row],[Spec Type]])</f>
        <v>±</v>
      </c>
      <c r="AC1484" s="1" t="str">
        <f>IF(Table1[[#This Row],[Spec Type2]]="N/A","N/A",IF(AND(Table1[[#This Row],[DUT Adj Read]]&gt;=Table1[[#This Row],[Low Tol]],Table1[[#This Row],[DUT Adj Read]]&lt;=Table1[[#This Row],[High Tol]]),"Pass","Fail"))</f>
        <v>Fail</v>
      </c>
      <c r="AD1484" s="1" t="str">
        <f>IF(AND(Table1[[#This Row],[Spec Type2]]="N/A",Table1[[#This Row],[DUT Adj Read]]="N/A",Table1[[#This Row],[Std Adj Read]]="N/A"),"N/A",IF(Table1[[#This Row],[DUT Adj Read]]="N/A",IF(Table1[[#This Row],[Std Adj Read]]&gt;Table1[[#This Row],[Low Tol]],"Pass","Fail"),IF(Table1[[#This Row],[DUT Adj Read]]&gt;Table1[[#This Row],[Low Tol]],"Pass","Fail")))</f>
        <v>Pass</v>
      </c>
      <c r="AE1484" s="1" t="str">
        <f>IF(AND(Table1[[#This Row],[Spec Type2]]="N/A",Table1[[#This Row],[DUT Adj Read]]="N/A",Table1[[#This Row],[Std Adj Read]]="N/A"),"N/A",IF(Table1[[#This Row],[DUT Adj Read]]="N/A",IF(Table1[[#This Row],[Std Adj Read]]&lt;Table1[[#This Row],[High Tol]],"Pass","Fail"),IF(Table1[[#This Row],[DUT Adj Read]]&lt;Table1[[#This Row],[High Tol]],"Pass","Fail")))</f>
        <v>Fail</v>
      </c>
      <c r="AF1484" s="1" t="str">
        <f>IF(AND(Table1[[#This Row],[Spec Type2]]="N/A",Table1[[#This Row],[DUT Adj Read]]="N/A",Table1[[#This Row],[Std Adj Read]]="N/A"),"N/A",IF(Table1[[#This Row],[DUT Adj Read]]="N/A",IF(Table1[[#This Row],[Std Adj Read]]&gt;=Table1[[#This Row],[Low Tol]],"Pass","Fail"),IF(Table1[[#This Row],[DUT Adj Read]]&gt;=Table1[[#This Row],[Low Tol]],"Pass","Fail")))</f>
        <v>Pass</v>
      </c>
      <c r="AG1484" s="1" t="str">
        <f>IF(AND(Table1[[#This Row],[Spec Type2]]="N/A",Table1[[#This Row],[DUT Adj Read]]="N/A",Table1[[#This Row],[Std Adj Read]]="N/A"),"N/A",IF(Table1[[#This Row],[DUT Adj Read]]="N/A",IF(Table1[[#This Row],[Std Adj Read]]&lt;=Table1[[#This Row],[High Tol]],"Pass","Fail"),IF(Table1[[#This Row],[DUT Adj Read]]&lt;=Table1[[#This Row],[High Tol]],"Pass","Fail")))</f>
        <v>Fail</v>
      </c>
      <c r="AH14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4" s="1" t="b">
        <v>0</v>
      </c>
      <c r="AN1484" s="1" t="b">
        <v>0</v>
      </c>
      <c r="AO1484" s="1" t="b">
        <v>0</v>
      </c>
    </row>
    <row r="1485" spans="1:41" x14ac:dyDescent="0.25">
      <c r="A1485" s="10"/>
      <c r="B1485" s="10"/>
      <c r="C1485" s="10"/>
      <c r="D1485" s="10"/>
      <c r="E1485" s="10"/>
      <c r="F1485" s="10"/>
      <c r="G1485" s="10"/>
      <c r="H1485" s="10"/>
      <c r="I1485" s="1" t="str">
        <f t="shared" si="69"/>
        <v/>
      </c>
      <c r="J1485" s="1" t="s">
        <v>35</v>
      </c>
      <c r="K1485" s="1" t="str">
        <f t="shared" si="70"/>
        <v/>
      </c>
      <c r="L1485" s="1" t="str">
        <f t="shared" si="71"/>
        <v/>
      </c>
      <c r="M1485" s="1">
        <f>IF(OR(Table1[[#This Row],[Std Nom]]="",Table1[[#This Row],[Std Read]]=""),0,Table1[[#This Row],[Std Nom]]-Table1[[#This Row],[Std Read]])</f>
        <v>0</v>
      </c>
      <c r="N1485" s="1">
        <f>IF(Calculations!$F$5="ACCREDITED 17025 WITH UNCERTAINTIES",$N$10,0)</f>
        <v>0</v>
      </c>
      <c r="O1485" s="1" t="str">
        <f>IFERROR(Table1[[#This Row],[Std Nom]]-(_xlfn.XLOOKUP(Table1[[#This Row],[Manufacturer]]&amp;" "&amp;Table1[[#This Row],[Model]],Table13[MFR &amp; MDL],Table13[Tolerance % CW ],"")/100*Table1[[#This Row],[Std Nom]]),"")</f>
        <v/>
      </c>
      <c r="P1485" s="1" t="str">
        <f>IFERROR(Table1[[#This Row],[Std Nom]]+(_xlfn.XLOOKUP(Table1[[#This Row],[Manufacturer]]&amp;" "&amp;Table1[[#This Row],[Model]],Table13[MFR &amp; MDL],Table13[Tolerance % CW ],"")/100*Table1[[#This Row],[Std Nom]]),"")</f>
        <v/>
      </c>
      <c r="Q1485" s="1" t="e">
        <f>Table1[[#This Row],[High Tol]]-Table1[[#This Row],[Low Tol]]</f>
        <v>#VALUE!</v>
      </c>
      <c r="R1485" s="1">
        <f>2*Table1[[#This Row],[Std Error]]</f>
        <v>0</v>
      </c>
      <c r="S1485" s="1" t="str">
        <f>IF(Table1[[#This Row],[High Tol]]="","N/A",IFERROR(ABS(Table1[[#This Row],[Tol Span]]/Table1[[#This Row],[Error Span]]),"N/A"))</f>
        <v>N/A</v>
      </c>
      <c r="T1485" s="1" t="str">
        <f>IF(OR(Table1[[#This Row],[Low Tol]]="",Table1[[#This Row],[High Tol]]=""),"Needs Analysis",IF(Table1[[#This Row],[Ratio]]&gt;=4,"Not Significant",IF(Table1[[#This Row],[Ratio]]&gt;=2,"Semi-Significant","Significant")))</f>
        <v>Needs Analysis</v>
      </c>
      <c r="W1485" s="1">
        <f>IF(Table1[[#This Row],[Cal Type]]&lt;&gt;"ACCREDITED 17025 WITH UNCERTAINTIES",0,"")</f>
        <v>0</v>
      </c>
      <c r="X1485" s="1" t="str">
        <f>IF(Table1[[#This Row],[DUT Read]]="","N/A",Table1[[#This Row],[Std Error]]+Table1[[#This Row],[DUT Read]]+Table1[[#This Row],[DUT Ucty]])</f>
        <v>N/A</v>
      </c>
      <c r="Y1485" s="1" t="str">
        <f>IF(Table1[[#This Row],[Std Read]]="","N/A",Table1[[#This Row],[Std Read]]+Table1[[#This Row],[Std Ucty]])</f>
        <v>N/A</v>
      </c>
      <c r="Z14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5" s="1" t="str">
        <f>IF(Table1[[#This Row],[Spec Type]]="","N/A",Table1[[#This Row],[Spec Type]])</f>
        <v>±</v>
      </c>
      <c r="AC1485" s="1" t="str">
        <f>IF(Table1[[#This Row],[Spec Type2]]="N/A","N/A",IF(AND(Table1[[#This Row],[DUT Adj Read]]&gt;=Table1[[#This Row],[Low Tol]],Table1[[#This Row],[DUT Adj Read]]&lt;=Table1[[#This Row],[High Tol]]),"Pass","Fail"))</f>
        <v>Fail</v>
      </c>
      <c r="AD1485" s="1" t="str">
        <f>IF(AND(Table1[[#This Row],[Spec Type2]]="N/A",Table1[[#This Row],[DUT Adj Read]]="N/A",Table1[[#This Row],[Std Adj Read]]="N/A"),"N/A",IF(Table1[[#This Row],[DUT Adj Read]]="N/A",IF(Table1[[#This Row],[Std Adj Read]]&gt;Table1[[#This Row],[Low Tol]],"Pass","Fail"),IF(Table1[[#This Row],[DUT Adj Read]]&gt;Table1[[#This Row],[Low Tol]],"Pass","Fail")))</f>
        <v>Pass</v>
      </c>
      <c r="AE1485" s="1" t="str">
        <f>IF(AND(Table1[[#This Row],[Spec Type2]]="N/A",Table1[[#This Row],[DUT Adj Read]]="N/A",Table1[[#This Row],[Std Adj Read]]="N/A"),"N/A",IF(Table1[[#This Row],[DUT Adj Read]]="N/A",IF(Table1[[#This Row],[Std Adj Read]]&lt;Table1[[#This Row],[High Tol]],"Pass","Fail"),IF(Table1[[#This Row],[DUT Adj Read]]&lt;Table1[[#This Row],[High Tol]],"Pass","Fail")))</f>
        <v>Fail</v>
      </c>
      <c r="AF1485" s="1" t="str">
        <f>IF(AND(Table1[[#This Row],[Spec Type2]]="N/A",Table1[[#This Row],[DUT Adj Read]]="N/A",Table1[[#This Row],[Std Adj Read]]="N/A"),"N/A",IF(Table1[[#This Row],[DUT Adj Read]]="N/A",IF(Table1[[#This Row],[Std Adj Read]]&gt;=Table1[[#This Row],[Low Tol]],"Pass","Fail"),IF(Table1[[#This Row],[DUT Adj Read]]&gt;=Table1[[#This Row],[Low Tol]],"Pass","Fail")))</f>
        <v>Pass</v>
      </c>
      <c r="AG1485" s="1" t="str">
        <f>IF(AND(Table1[[#This Row],[Spec Type2]]="N/A",Table1[[#This Row],[DUT Adj Read]]="N/A",Table1[[#This Row],[Std Adj Read]]="N/A"),"N/A",IF(Table1[[#This Row],[DUT Adj Read]]="N/A",IF(Table1[[#This Row],[Std Adj Read]]&lt;=Table1[[#This Row],[High Tol]],"Pass","Fail"),IF(Table1[[#This Row],[DUT Adj Read]]&lt;=Table1[[#This Row],[High Tol]],"Pass","Fail")))</f>
        <v>Fail</v>
      </c>
      <c r="AH14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5" s="1" t="b">
        <v>0</v>
      </c>
      <c r="AN1485" s="1" t="b">
        <v>0</v>
      </c>
      <c r="AO1485" s="1" t="b">
        <v>0</v>
      </c>
    </row>
    <row r="1486" spans="1:41" x14ac:dyDescent="0.25">
      <c r="A1486" s="10"/>
      <c r="B1486" s="10"/>
      <c r="C1486" s="10"/>
      <c r="D1486" s="10"/>
      <c r="E1486" s="10"/>
      <c r="F1486" s="10"/>
      <c r="G1486" s="10"/>
      <c r="H1486" s="10"/>
      <c r="I1486" s="1" t="str">
        <f t="shared" si="69"/>
        <v/>
      </c>
      <c r="J1486" s="1" t="s">
        <v>35</v>
      </c>
      <c r="K1486" s="1" t="str">
        <f t="shared" si="70"/>
        <v/>
      </c>
      <c r="L1486" s="1" t="str">
        <f t="shared" si="71"/>
        <v/>
      </c>
      <c r="M1486" s="1">
        <f>IF(OR(Table1[[#This Row],[Std Nom]]="",Table1[[#This Row],[Std Read]]=""),0,Table1[[#This Row],[Std Nom]]-Table1[[#This Row],[Std Read]])</f>
        <v>0</v>
      </c>
      <c r="N1486" s="1">
        <f>IF(Calculations!$F$5="ACCREDITED 17025 WITH UNCERTAINTIES",$N$10,0)</f>
        <v>0</v>
      </c>
      <c r="O1486" s="1" t="str">
        <f>IFERROR(Table1[[#This Row],[Std Nom]]-(_xlfn.XLOOKUP(Table1[[#This Row],[Manufacturer]]&amp;" "&amp;Table1[[#This Row],[Model]],Table13[MFR &amp; MDL],Table13[Tolerance % CW ],"")/100*Table1[[#This Row],[Std Nom]]),"")</f>
        <v/>
      </c>
      <c r="P1486" s="1" t="str">
        <f>IFERROR(Table1[[#This Row],[Std Nom]]+(_xlfn.XLOOKUP(Table1[[#This Row],[Manufacturer]]&amp;" "&amp;Table1[[#This Row],[Model]],Table13[MFR &amp; MDL],Table13[Tolerance % CW ],"")/100*Table1[[#This Row],[Std Nom]]),"")</f>
        <v/>
      </c>
      <c r="Q1486" s="1" t="e">
        <f>Table1[[#This Row],[High Tol]]-Table1[[#This Row],[Low Tol]]</f>
        <v>#VALUE!</v>
      </c>
      <c r="R1486" s="1">
        <f>2*Table1[[#This Row],[Std Error]]</f>
        <v>0</v>
      </c>
      <c r="S1486" s="1" t="str">
        <f>IF(Table1[[#This Row],[High Tol]]="","N/A",IFERROR(ABS(Table1[[#This Row],[Tol Span]]/Table1[[#This Row],[Error Span]]),"N/A"))</f>
        <v>N/A</v>
      </c>
      <c r="T1486" s="1" t="str">
        <f>IF(OR(Table1[[#This Row],[Low Tol]]="",Table1[[#This Row],[High Tol]]=""),"Needs Analysis",IF(Table1[[#This Row],[Ratio]]&gt;=4,"Not Significant",IF(Table1[[#This Row],[Ratio]]&gt;=2,"Semi-Significant","Significant")))</f>
        <v>Needs Analysis</v>
      </c>
      <c r="W1486" s="1">
        <f>IF(Table1[[#This Row],[Cal Type]]&lt;&gt;"ACCREDITED 17025 WITH UNCERTAINTIES",0,"")</f>
        <v>0</v>
      </c>
      <c r="X1486" s="1" t="str">
        <f>IF(Table1[[#This Row],[DUT Read]]="","N/A",Table1[[#This Row],[Std Error]]+Table1[[#This Row],[DUT Read]]+Table1[[#This Row],[DUT Ucty]])</f>
        <v>N/A</v>
      </c>
      <c r="Y1486" s="1" t="str">
        <f>IF(Table1[[#This Row],[Std Read]]="","N/A",Table1[[#This Row],[Std Read]]+Table1[[#This Row],[Std Ucty]])</f>
        <v>N/A</v>
      </c>
      <c r="Z14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6" s="1" t="str">
        <f>IF(Table1[[#This Row],[Spec Type]]="","N/A",Table1[[#This Row],[Spec Type]])</f>
        <v>±</v>
      </c>
      <c r="AC1486" s="1" t="str">
        <f>IF(Table1[[#This Row],[Spec Type2]]="N/A","N/A",IF(AND(Table1[[#This Row],[DUT Adj Read]]&gt;=Table1[[#This Row],[Low Tol]],Table1[[#This Row],[DUT Adj Read]]&lt;=Table1[[#This Row],[High Tol]]),"Pass","Fail"))</f>
        <v>Fail</v>
      </c>
      <c r="AD1486" s="1" t="str">
        <f>IF(AND(Table1[[#This Row],[Spec Type2]]="N/A",Table1[[#This Row],[DUT Adj Read]]="N/A",Table1[[#This Row],[Std Adj Read]]="N/A"),"N/A",IF(Table1[[#This Row],[DUT Adj Read]]="N/A",IF(Table1[[#This Row],[Std Adj Read]]&gt;Table1[[#This Row],[Low Tol]],"Pass","Fail"),IF(Table1[[#This Row],[DUT Adj Read]]&gt;Table1[[#This Row],[Low Tol]],"Pass","Fail")))</f>
        <v>Pass</v>
      </c>
      <c r="AE1486" s="1" t="str">
        <f>IF(AND(Table1[[#This Row],[Spec Type2]]="N/A",Table1[[#This Row],[DUT Adj Read]]="N/A",Table1[[#This Row],[Std Adj Read]]="N/A"),"N/A",IF(Table1[[#This Row],[DUT Adj Read]]="N/A",IF(Table1[[#This Row],[Std Adj Read]]&lt;Table1[[#This Row],[High Tol]],"Pass","Fail"),IF(Table1[[#This Row],[DUT Adj Read]]&lt;Table1[[#This Row],[High Tol]],"Pass","Fail")))</f>
        <v>Fail</v>
      </c>
      <c r="AF1486" s="1" t="str">
        <f>IF(AND(Table1[[#This Row],[Spec Type2]]="N/A",Table1[[#This Row],[DUT Adj Read]]="N/A",Table1[[#This Row],[Std Adj Read]]="N/A"),"N/A",IF(Table1[[#This Row],[DUT Adj Read]]="N/A",IF(Table1[[#This Row],[Std Adj Read]]&gt;=Table1[[#This Row],[Low Tol]],"Pass","Fail"),IF(Table1[[#This Row],[DUT Adj Read]]&gt;=Table1[[#This Row],[Low Tol]],"Pass","Fail")))</f>
        <v>Pass</v>
      </c>
      <c r="AG1486" s="1" t="str">
        <f>IF(AND(Table1[[#This Row],[Spec Type2]]="N/A",Table1[[#This Row],[DUT Adj Read]]="N/A",Table1[[#This Row],[Std Adj Read]]="N/A"),"N/A",IF(Table1[[#This Row],[DUT Adj Read]]="N/A",IF(Table1[[#This Row],[Std Adj Read]]&lt;=Table1[[#This Row],[High Tol]],"Pass","Fail"),IF(Table1[[#This Row],[DUT Adj Read]]&lt;=Table1[[#This Row],[High Tol]],"Pass","Fail")))</f>
        <v>Fail</v>
      </c>
      <c r="AH14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6" s="1" t="b">
        <v>0</v>
      </c>
      <c r="AN1486" s="1" t="b">
        <v>0</v>
      </c>
      <c r="AO1486" s="1" t="b">
        <v>0</v>
      </c>
    </row>
    <row r="1487" spans="1:41" x14ac:dyDescent="0.25">
      <c r="A1487" s="10"/>
      <c r="B1487" s="10"/>
      <c r="C1487" s="10"/>
      <c r="D1487" s="10"/>
      <c r="E1487" s="10"/>
      <c r="F1487" s="10"/>
      <c r="G1487" s="10"/>
      <c r="H1487" s="10"/>
      <c r="I1487" s="1" t="str">
        <f t="shared" si="69"/>
        <v/>
      </c>
      <c r="J1487" s="1" t="s">
        <v>35</v>
      </c>
      <c r="K1487" s="1" t="str">
        <f t="shared" si="70"/>
        <v/>
      </c>
      <c r="L1487" s="1" t="str">
        <f t="shared" si="71"/>
        <v/>
      </c>
      <c r="M1487" s="1">
        <f>IF(OR(Table1[[#This Row],[Std Nom]]="",Table1[[#This Row],[Std Read]]=""),0,Table1[[#This Row],[Std Nom]]-Table1[[#This Row],[Std Read]])</f>
        <v>0</v>
      </c>
      <c r="N1487" s="1">
        <f>IF(Calculations!$F$5="ACCREDITED 17025 WITH UNCERTAINTIES",$N$10,0)</f>
        <v>0</v>
      </c>
      <c r="O1487" s="1" t="str">
        <f>IFERROR(Table1[[#This Row],[Std Nom]]-(_xlfn.XLOOKUP(Table1[[#This Row],[Manufacturer]]&amp;" "&amp;Table1[[#This Row],[Model]],Table13[MFR &amp; MDL],Table13[Tolerance % CW ],"")/100*Table1[[#This Row],[Std Nom]]),"")</f>
        <v/>
      </c>
      <c r="P1487" s="1" t="str">
        <f>IFERROR(Table1[[#This Row],[Std Nom]]+(_xlfn.XLOOKUP(Table1[[#This Row],[Manufacturer]]&amp;" "&amp;Table1[[#This Row],[Model]],Table13[MFR &amp; MDL],Table13[Tolerance % CW ],"")/100*Table1[[#This Row],[Std Nom]]),"")</f>
        <v/>
      </c>
      <c r="Q1487" s="1" t="e">
        <f>Table1[[#This Row],[High Tol]]-Table1[[#This Row],[Low Tol]]</f>
        <v>#VALUE!</v>
      </c>
      <c r="R1487" s="1">
        <f>2*Table1[[#This Row],[Std Error]]</f>
        <v>0</v>
      </c>
      <c r="S1487" s="1" t="str">
        <f>IF(Table1[[#This Row],[High Tol]]="","N/A",IFERROR(ABS(Table1[[#This Row],[Tol Span]]/Table1[[#This Row],[Error Span]]),"N/A"))</f>
        <v>N/A</v>
      </c>
      <c r="T1487" s="1" t="str">
        <f>IF(OR(Table1[[#This Row],[Low Tol]]="",Table1[[#This Row],[High Tol]]=""),"Needs Analysis",IF(Table1[[#This Row],[Ratio]]&gt;=4,"Not Significant",IF(Table1[[#This Row],[Ratio]]&gt;=2,"Semi-Significant","Significant")))</f>
        <v>Needs Analysis</v>
      </c>
      <c r="W1487" s="1">
        <f>IF(Table1[[#This Row],[Cal Type]]&lt;&gt;"ACCREDITED 17025 WITH UNCERTAINTIES",0,"")</f>
        <v>0</v>
      </c>
      <c r="X1487" s="1" t="str">
        <f>IF(Table1[[#This Row],[DUT Read]]="","N/A",Table1[[#This Row],[Std Error]]+Table1[[#This Row],[DUT Read]]+Table1[[#This Row],[DUT Ucty]])</f>
        <v>N/A</v>
      </c>
      <c r="Y1487" s="1" t="str">
        <f>IF(Table1[[#This Row],[Std Read]]="","N/A",Table1[[#This Row],[Std Read]]+Table1[[#This Row],[Std Ucty]])</f>
        <v>N/A</v>
      </c>
      <c r="Z14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7" s="1" t="str">
        <f>IF(Table1[[#This Row],[Spec Type]]="","N/A",Table1[[#This Row],[Spec Type]])</f>
        <v>±</v>
      </c>
      <c r="AC1487" s="1" t="str">
        <f>IF(Table1[[#This Row],[Spec Type2]]="N/A","N/A",IF(AND(Table1[[#This Row],[DUT Adj Read]]&gt;=Table1[[#This Row],[Low Tol]],Table1[[#This Row],[DUT Adj Read]]&lt;=Table1[[#This Row],[High Tol]]),"Pass","Fail"))</f>
        <v>Fail</v>
      </c>
      <c r="AD1487" s="1" t="str">
        <f>IF(AND(Table1[[#This Row],[Spec Type2]]="N/A",Table1[[#This Row],[DUT Adj Read]]="N/A",Table1[[#This Row],[Std Adj Read]]="N/A"),"N/A",IF(Table1[[#This Row],[DUT Adj Read]]="N/A",IF(Table1[[#This Row],[Std Adj Read]]&gt;Table1[[#This Row],[Low Tol]],"Pass","Fail"),IF(Table1[[#This Row],[DUT Adj Read]]&gt;Table1[[#This Row],[Low Tol]],"Pass","Fail")))</f>
        <v>Pass</v>
      </c>
      <c r="AE1487" s="1" t="str">
        <f>IF(AND(Table1[[#This Row],[Spec Type2]]="N/A",Table1[[#This Row],[DUT Adj Read]]="N/A",Table1[[#This Row],[Std Adj Read]]="N/A"),"N/A",IF(Table1[[#This Row],[DUT Adj Read]]="N/A",IF(Table1[[#This Row],[Std Adj Read]]&lt;Table1[[#This Row],[High Tol]],"Pass","Fail"),IF(Table1[[#This Row],[DUT Adj Read]]&lt;Table1[[#This Row],[High Tol]],"Pass","Fail")))</f>
        <v>Fail</v>
      </c>
      <c r="AF1487" s="1" t="str">
        <f>IF(AND(Table1[[#This Row],[Spec Type2]]="N/A",Table1[[#This Row],[DUT Adj Read]]="N/A",Table1[[#This Row],[Std Adj Read]]="N/A"),"N/A",IF(Table1[[#This Row],[DUT Adj Read]]="N/A",IF(Table1[[#This Row],[Std Adj Read]]&gt;=Table1[[#This Row],[Low Tol]],"Pass","Fail"),IF(Table1[[#This Row],[DUT Adj Read]]&gt;=Table1[[#This Row],[Low Tol]],"Pass","Fail")))</f>
        <v>Pass</v>
      </c>
      <c r="AG1487" s="1" t="str">
        <f>IF(AND(Table1[[#This Row],[Spec Type2]]="N/A",Table1[[#This Row],[DUT Adj Read]]="N/A",Table1[[#This Row],[Std Adj Read]]="N/A"),"N/A",IF(Table1[[#This Row],[DUT Adj Read]]="N/A",IF(Table1[[#This Row],[Std Adj Read]]&lt;=Table1[[#This Row],[High Tol]],"Pass","Fail"),IF(Table1[[#This Row],[DUT Adj Read]]&lt;=Table1[[#This Row],[High Tol]],"Pass","Fail")))</f>
        <v>Fail</v>
      </c>
      <c r="AH14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7" s="1" t="b">
        <v>0</v>
      </c>
      <c r="AN1487" s="1" t="b">
        <v>0</v>
      </c>
      <c r="AO1487" s="1" t="b">
        <v>0</v>
      </c>
    </row>
    <row r="1488" spans="1:41" x14ac:dyDescent="0.25">
      <c r="A1488" s="10"/>
      <c r="B1488" s="10"/>
      <c r="C1488" s="10"/>
      <c r="D1488" s="10"/>
      <c r="E1488" s="10"/>
      <c r="F1488" s="10"/>
      <c r="G1488" s="10"/>
      <c r="H1488" s="10"/>
      <c r="I1488" s="1" t="str">
        <f t="shared" si="69"/>
        <v/>
      </c>
      <c r="J1488" s="1" t="s">
        <v>35</v>
      </c>
      <c r="K1488" s="1" t="str">
        <f t="shared" si="70"/>
        <v/>
      </c>
      <c r="L1488" s="1" t="str">
        <f t="shared" si="71"/>
        <v/>
      </c>
      <c r="M1488" s="1">
        <f>IF(OR(Table1[[#This Row],[Std Nom]]="",Table1[[#This Row],[Std Read]]=""),0,Table1[[#This Row],[Std Nom]]-Table1[[#This Row],[Std Read]])</f>
        <v>0</v>
      </c>
      <c r="N1488" s="1">
        <f>IF(Calculations!$F$5="ACCREDITED 17025 WITH UNCERTAINTIES",$N$10,0)</f>
        <v>0</v>
      </c>
      <c r="O1488" s="1" t="str">
        <f>IFERROR(Table1[[#This Row],[Std Nom]]-(_xlfn.XLOOKUP(Table1[[#This Row],[Manufacturer]]&amp;" "&amp;Table1[[#This Row],[Model]],Table13[MFR &amp; MDL],Table13[Tolerance % CW ],"")/100*Table1[[#This Row],[Std Nom]]),"")</f>
        <v/>
      </c>
      <c r="P1488" s="1" t="str">
        <f>IFERROR(Table1[[#This Row],[Std Nom]]+(_xlfn.XLOOKUP(Table1[[#This Row],[Manufacturer]]&amp;" "&amp;Table1[[#This Row],[Model]],Table13[MFR &amp; MDL],Table13[Tolerance % CW ],"")/100*Table1[[#This Row],[Std Nom]]),"")</f>
        <v/>
      </c>
      <c r="Q1488" s="1" t="e">
        <f>Table1[[#This Row],[High Tol]]-Table1[[#This Row],[Low Tol]]</f>
        <v>#VALUE!</v>
      </c>
      <c r="R1488" s="1">
        <f>2*Table1[[#This Row],[Std Error]]</f>
        <v>0</v>
      </c>
      <c r="S1488" s="1" t="str">
        <f>IF(Table1[[#This Row],[High Tol]]="","N/A",IFERROR(ABS(Table1[[#This Row],[Tol Span]]/Table1[[#This Row],[Error Span]]),"N/A"))</f>
        <v>N/A</v>
      </c>
      <c r="T1488" s="1" t="str">
        <f>IF(OR(Table1[[#This Row],[Low Tol]]="",Table1[[#This Row],[High Tol]]=""),"Needs Analysis",IF(Table1[[#This Row],[Ratio]]&gt;=4,"Not Significant",IF(Table1[[#This Row],[Ratio]]&gt;=2,"Semi-Significant","Significant")))</f>
        <v>Needs Analysis</v>
      </c>
      <c r="W1488" s="1">
        <f>IF(Table1[[#This Row],[Cal Type]]&lt;&gt;"ACCREDITED 17025 WITH UNCERTAINTIES",0,"")</f>
        <v>0</v>
      </c>
      <c r="X1488" s="1" t="str">
        <f>IF(Table1[[#This Row],[DUT Read]]="","N/A",Table1[[#This Row],[Std Error]]+Table1[[#This Row],[DUT Read]]+Table1[[#This Row],[DUT Ucty]])</f>
        <v>N/A</v>
      </c>
      <c r="Y1488" s="1" t="str">
        <f>IF(Table1[[#This Row],[Std Read]]="","N/A",Table1[[#This Row],[Std Read]]+Table1[[#This Row],[Std Ucty]])</f>
        <v>N/A</v>
      </c>
      <c r="Z14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8" s="1" t="str">
        <f>IF(Table1[[#This Row],[Spec Type]]="","N/A",Table1[[#This Row],[Spec Type]])</f>
        <v>±</v>
      </c>
      <c r="AC1488" s="1" t="str">
        <f>IF(Table1[[#This Row],[Spec Type2]]="N/A","N/A",IF(AND(Table1[[#This Row],[DUT Adj Read]]&gt;=Table1[[#This Row],[Low Tol]],Table1[[#This Row],[DUT Adj Read]]&lt;=Table1[[#This Row],[High Tol]]),"Pass","Fail"))</f>
        <v>Fail</v>
      </c>
      <c r="AD1488" s="1" t="str">
        <f>IF(AND(Table1[[#This Row],[Spec Type2]]="N/A",Table1[[#This Row],[DUT Adj Read]]="N/A",Table1[[#This Row],[Std Adj Read]]="N/A"),"N/A",IF(Table1[[#This Row],[DUT Adj Read]]="N/A",IF(Table1[[#This Row],[Std Adj Read]]&gt;Table1[[#This Row],[Low Tol]],"Pass","Fail"),IF(Table1[[#This Row],[DUT Adj Read]]&gt;Table1[[#This Row],[Low Tol]],"Pass","Fail")))</f>
        <v>Pass</v>
      </c>
      <c r="AE1488" s="1" t="str">
        <f>IF(AND(Table1[[#This Row],[Spec Type2]]="N/A",Table1[[#This Row],[DUT Adj Read]]="N/A",Table1[[#This Row],[Std Adj Read]]="N/A"),"N/A",IF(Table1[[#This Row],[DUT Adj Read]]="N/A",IF(Table1[[#This Row],[Std Adj Read]]&lt;Table1[[#This Row],[High Tol]],"Pass","Fail"),IF(Table1[[#This Row],[DUT Adj Read]]&lt;Table1[[#This Row],[High Tol]],"Pass","Fail")))</f>
        <v>Fail</v>
      </c>
      <c r="AF1488" s="1" t="str">
        <f>IF(AND(Table1[[#This Row],[Spec Type2]]="N/A",Table1[[#This Row],[DUT Adj Read]]="N/A",Table1[[#This Row],[Std Adj Read]]="N/A"),"N/A",IF(Table1[[#This Row],[DUT Adj Read]]="N/A",IF(Table1[[#This Row],[Std Adj Read]]&gt;=Table1[[#This Row],[Low Tol]],"Pass","Fail"),IF(Table1[[#This Row],[DUT Adj Read]]&gt;=Table1[[#This Row],[Low Tol]],"Pass","Fail")))</f>
        <v>Pass</v>
      </c>
      <c r="AG1488" s="1" t="str">
        <f>IF(AND(Table1[[#This Row],[Spec Type2]]="N/A",Table1[[#This Row],[DUT Adj Read]]="N/A",Table1[[#This Row],[Std Adj Read]]="N/A"),"N/A",IF(Table1[[#This Row],[DUT Adj Read]]="N/A",IF(Table1[[#This Row],[Std Adj Read]]&lt;=Table1[[#This Row],[High Tol]],"Pass","Fail"),IF(Table1[[#This Row],[DUT Adj Read]]&lt;=Table1[[#This Row],[High Tol]],"Pass","Fail")))</f>
        <v>Fail</v>
      </c>
      <c r="AH14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8" s="1" t="b">
        <v>0</v>
      </c>
      <c r="AN1488" s="1" t="b">
        <v>0</v>
      </c>
      <c r="AO1488" s="1" t="b">
        <v>0</v>
      </c>
    </row>
    <row r="1489" spans="1:41" x14ac:dyDescent="0.25">
      <c r="A1489" s="10"/>
      <c r="B1489" s="10"/>
      <c r="C1489" s="10"/>
      <c r="D1489" s="10"/>
      <c r="E1489" s="10"/>
      <c r="F1489" s="10"/>
      <c r="G1489" s="10"/>
      <c r="H1489" s="10"/>
      <c r="I1489" s="1" t="str">
        <f t="shared" si="69"/>
        <v/>
      </c>
      <c r="J1489" s="1" t="s">
        <v>35</v>
      </c>
      <c r="K1489" s="1" t="str">
        <f t="shared" si="70"/>
        <v/>
      </c>
      <c r="L1489" s="1" t="str">
        <f t="shared" si="71"/>
        <v/>
      </c>
      <c r="M1489" s="1">
        <f>IF(OR(Table1[[#This Row],[Std Nom]]="",Table1[[#This Row],[Std Read]]=""),0,Table1[[#This Row],[Std Nom]]-Table1[[#This Row],[Std Read]])</f>
        <v>0</v>
      </c>
      <c r="N1489" s="1">
        <f>IF(Calculations!$F$5="ACCREDITED 17025 WITH UNCERTAINTIES",$N$10,0)</f>
        <v>0</v>
      </c>
      <c r="O1489" s="1" t="str">
        <f>IFERROR(Table1[[#This Row],[Std Nom]]-(_xlfn.XLOOKUP(Table1[[#This Row],[Manufacturer]]&amp;" "&amp;Table1[[#This Row],[Model]],Table13[MFR &amp; MDL],Table13[Tolerance % CW ],"")/100*Table1[[#This Row],[Std Nom]]),"")</f>
        <v/>
      </c>
      <c r="P1489" s="1" t="str">
        <f>IFERROR(Table1[[#This Row],[Std Nom]]+(_xlfn.XLOOKUP(Table1[[#This Row],[Manufacturer]]&amp;" "&amp;Table1[[#This Row],[Model]],Table13[MFR &amp; MDL],Table13[Tolerance % CW ],"")/100*Table1[[#This Row],[Std Nom]]),"")</f>
        <v/>
      </c>
      <c r="Q1489" s="1" t="e">
        <f>Table1[[#This Row],[High Tol]]-Table1[[#This Row],[Low Tol]]</f>
        <v>#VALUE!</v>
      </c>
      <c r="R1489" s="1">
        <f>2*Table1[[#This Row],[Std Error]]</f>
        <v>0</v>
      </c>
      <c r="S1489" s="1" t="str">
        <f>IF(Table1[[#This Row],[High Tol]]="","N/A",IFERROR(ABS(Table1[[#This Row],[Tol Span]]/Table1[[#This Row],[Error Span]]),"N/A"))</f>
        <v>N/A</v>
      </c>
      <c r="T1489" s="1" t="str">
        <f>IF(OR(Table1[[#This Row],[Low Tol]]="",Table1[[#This Row],[High Tol]]=""),"Needs Analysis",IF(Table1[[#This Row],[Ratio]]&gt;=4,"Not Significant",IF(Table1[[#This Row],[Ratio]]&gt;=2,"Semi-Significant","Significant")))</f>
        <v>Needs Analysis</v>
      </c>
      <c r="W1489" s="1">
        <f>IF(Table1[[#This Row],[Cal Type]]&lt;&gt;"ACCREDITED 17025 WITH UNCERTAINTIES",0,"")</f>
        <v>0</v>
      </c>
      <c r="X1489" s="1" t="str">
        <f>IF(Table1[[#This Row],[DUT Read]]="","N/A",Table1[[#This Row],[Std Error]]+Table1[[#This Row],[DUT Read]]+Table1[[#This Row],[DUT Ucty]])</f>
        <v>N/A</v>
      </c>
      <c r="Y1489" s="1" t="str">
        <f>IF(Table1[[#This Row],[Std Read]]="","N/A",Table1[[#This Row],[Std Read]]+Table1[[#This Row],[Std Ucty]])</f>
        <v>N/A</v>
      </c>
      <c r="Z14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9" s="1" t="str">
        <f>IF(Table1[[#This Row],[Spec Type]]="","N/A",Table1[[#This Row],[Spec Type]])</f>
        <v>±</v>
      </c>
      <c r="AC1489" s="1" t="str">
        <f>IF(Table1[[#This Row],[Spec Type2]]="N/A","N/A",IF(AND(Table1[[#This Row],[DUT Adj Read]]&gt;=Table1[[#This Row],[Low Tol]],Table1[[#This Row],[DUT Adj Read]]&lt;=Table1[[#This Row],[High Tol]]),"Pass","Fail"))</f>
        <v>Fail</v>
      </c>
      <c r="AD1489" s="1" t="str">
        <f>IF(AND(Table1[[#This Row],[Spec Type2]]="N/A",Table1[[#This Row],[DUT Adj Read]]="N/A",Table1[[#This Row],[Std Adj Read]]="N/A"),"N/A",IF(Table1[[#This Row],[DUT Adj Read]]="N/A",IF(Table1[[#This Row],[Std Adj Read]]&gt;Table1[[#This Row],[Low Tol]],"Pass","Fail"),IF(Table1[[#This Row],[DUT Adj Read]]&gt;Table1[[#This Row],[Low Tol]],"Pass","Fail")))</f>
        <v>Pass</v>
      </c>
      <c r="AE1489" s="1" t="str">
        <f>IF(AND(Table1[[#This Row],[Spec Type2]]="N/A",Table1[[#This Row],[DUT Adj Read]]="N/A",Table1[[#This Row],[Std Adj Read]]="N/A"),"N/A",IF(Table1[[#This Row],[DUT Adj Read]]="N/A",IF(Table1[[#This Row],[Std Adj Read]]&lt;Table1[[#This Row],[High Tol]],"Pass","Fail"),IF(Table1[[#This Row],[DUT Adj Read]]&lt;Table1[[#This Row],[High Tol]],"Pass","Fail")))</f>
        <v>Fail</v>
      </c>
      <c r="AF1489" s="1" t="str">
        <f>IF(AND(Table1[[#This Row],[Spec Type2]]="N/A",Table1[[#This Row],[DUT Adj Read]]="N/A",Table1[[#This Row],[Std Adj Read]]="N/A"),"N/A",IF(Table1[[#This Row],[DUT Adj Read]]="N/A",IF(Table1[[#This Row],[Std Adj Read]]&gt;=Table1[[#This Row],[Low Tol]],"Pass","Fail"),IF(Table1[[#This Row],[DUT Adj Read]]&gt;=Table1[[#This Row],[Low Tol]],"Pass","Fail")))</f>
        <v>Pass</v>
      </c>
      <c r="AG1489" s="1" t="str">
        <f>IF(AND(Table1[[#This Row],[Spec Type2]]="N/A",Table1[[#This Row],[DUT Adj Read]]="N/A",Table1[[#This Row],[Std Adj Read]]="N/A"),"N/A",IF(Table1[[#This Row],[DUT Adj Read]]="N/A",IF(Table1[[#This Row],[Std Adj Read]]&lt;=Table1[[#This Row],[High Tol]],"Pass","Fail"),IF(Table1[[#This Row],[DUT Adj Read]]&lt;=Table1[[#This Row],[High Tol]],"Pass","Fail")))</f>
        <v>Fail</v>
      </c>
      <c r="AH14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9" s="1" t="b">
        <v>0</v>
      </c>
      <c r="AN1489" s="1" t="b">
        <v>0</v>
      </c>
      <c r="AO1489" s="1" t="b">
        <v>0</v>
      </c>
    </row>
    <row r="1490" spans="1:41" x14ac:dyDescent="0.25">
      <c r="A1490" s="10"/>
      <c r="B1490" s="10"/>
      <c r="C1490" s="10"/>
      <c r="D1490" s="10"/>
      <c r="E1490" s="10"/>
      <c r="F1490" s="10"/>
      <c r="G1490" s="10"/>
      <c r="H1490" s="10"/>
      <c r="I1490" s="1" t="str">
        <f t="shared" si="69"/>
        <v/>
      </c>
      <c r="J1490" s="1" t="s">
        <v>35</v>
      </c>
      <c r="K1490" s="1" t="str">
        <f t="shared" si="70"/>
        <v/>
      </c>
      <c r="L1490" s="1" t="str">
        <f t="shared" si="71"/>
        <v/>
      </c>
      <c r="M1490" s="1">
        <f>IF(OR(Table1[[#This Row],[Std Nom]]="",Table1[[#This Row],[Std Read]]=""),0,Table1[[#This Row],[Std Nom]]-Table1[[#This Row],[Std Read]])</f>
        <v>0</v>
      </c>
      <c r="N1490" s="1">
        <f>IF(Calculations!$F$5="ACCREDITED 17025 WITH UNCERTAINTIES",$N$10,0)</f>
        <v>0</v>
      </c>
      <c r="O1490" s="1" t="str">
        <f>IFERROR(Table1[[#This Row],[Std Nom]]-(_xlfn.XLOOKUP(Table1[[#This Row],[Manufacturer]]&amp;" "&amp;Table1[[#This Row],[Model]],Table13[MFR &amp; MDL],Table13[Tolerance % CW ],"")/100*Table1[[#This Row],[Std Nom]]),"")</f>
        <v/>
      </c>
      <c r="P1490" s="1" t="str">
        <f>IFERROR(Table1[[#This Row],[Std Nom]]+(_xlfn.XLOOKUP(Table1[[#This Row],[Manufacturer]]&amp;" "&amp;Table1[[#This Row],[Model]],Table13[MFR &amp; MDL],Table13[Tolerance % CW ],"")/100*Table1[[#This Row],[Std Nom]]),"")</f>
        <v/>
      </c>
      <c r="Q1490" s="1" t="e">
        <f>Table1[[#This Row],[High Tol]]-Table1[[#This Row],[Low Tol]]</f>
        <v>#VALUE!</v>
      </c>
      <c r="R1490" s="1">
        <f>2*Table1[[#This Row],[Std Error]]</f>
        <v>0</v>
      </c>
      <c r="S1490" s="1" t="str">
        <f>IF(Table1[[#This Row],[High Tol]]="","N/A",IFERROR(ABS(Table1[[#This Row],[Tol Span]]/Table1[[#This Row],[Error Span]]),"N/A"))</f>
        <v>N/A</v>
      </c>
      <c r="T1490" s="1" t="str">
        <f>IF(OR(Table1[[#This Row],[Low Tol]]="",Table1[[#This Row],[High Tol]]=""),"Needs Analysis",IF(Table1[[#This Row],[Ratio]]&gt;=4,"Not Significant",IF(Table1[[#This Row],[Ratio]]&gt;=2,"Semi-Significant","Significant")))</f>
        <v>Needs Analysis</v>
      </c>
      <c r="W1490" s="1">
        <f>IF(Table1[[#This Row],[Cal Type]]&lt;&gt;"ACCREDITED 17025 WITH UNCERTAINTIES",0,"")</f>
        <v>0</v>
      </c>
      <c r="X1490" s="1" t="str">
        <f>IF(Table1[[#This Row],[DUT Read]]="","N/A",Table1[[#This Row],[Std Error]]+Table1[[#This Row],[DUT Read]]+Table1[[#This Row],[DUT Ucty]])</f>
        <v>N/A</v>
      </c>
      <c r="Y1490" s="1" t="str">
        <f>IF(Table1[[#This Row],[Std Read]]="","N/A",Table1[[#This Row],[Std Read]]+Table1[[#This Row],[Std Ucty]])</f>
        <v>N/A</v>
      </c>
      <c r="Z14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0" s="1" t="str">
        <f>IF(Table1[[#This Row],[Spec Type]]="","N/A",Table1[[#This Row],[Spec Type]])</f>
        <v>±</v>
      </c>
      <c r="AC1490" s="1" t="str">
        <f>IF(Table1[[#This Row],[Spec Type2]]="N/A","N/A",IF(AND(Table1[[#This Row],[DUT Adj Read]]&gt;=Table1[[#This Row],[Low Tol]],Table1[[#This Row],[DUT Adj Read]]&lt;=Table1[[#This Row],[High Tol]]),"Pass","Fail"))</f>
        <v>Fail</v>
      </c>
      <c r="AD1490" s="1" t="str">
        <f>IF(AND(Table1[[#This Row],[Spec Type2]]="N/A",Table1[[#This Row],[DUT Adj Read]]="N/A",Table1[[#This Row],[Std Adj Read]]="N/A"),"N/A",IF(Table1[[#This Row],[DUT Adj Read]]="N/A",IF(Table1[[#This Row],[Std Adj Read]]&gt;Table1[[#This Row],[Low Tol]],"Pass","Fail"),IF(Table1[[#This Row],[DUT Adj Read]]&gt;Table1[[#This Row],[Low Tol]],"Pass","Fail")))</f>
        <v>Pass</v>
      </c>
      <c r="AE1490" s="1" t="str">
        <f>IF(AND(Table1[[#This Row],[Spec Type2]]="N/A",Table1[[#This Row],[DUT Adj Read]]="N/A",Table1[[#This Row],[Std Adj Read]]="N/A"),"N/A",IF(Table1[[#This Row],[DUT Adj Read]]="N/A",IF(Table1[[#This Row],[Std Adj Read]]&lt;Table1[[#This Row],[High Tol]],"Pass","Fail"),IF(Table1[[#This Row],[DUT Adj Read]]&lt;Table1[[#This Row],[High Tol]],"Pass","Fail")))</f>
        <v>Fail</v>
      </c>
      <c r="AF1490" s="1" t="str">
        <f>IF(AND(Table1[[#This Row],[Spec Type2]]="N/A",Table1[[#This Row],[DUT Adj Read]]="N/A",Table1[[#This Row],[Std Adj Read]]="N/A"),"N/A",IF(Table1[[#This Row],[DUT Adj Read]]="N/A",IF(Table1[[#This Row],[Std Adj Read]]&gt;=Table1[[#This Row],[Low Tol]],"Pass","Fail"),IF(Table1[[#This Row],[DUT Adj Read]]&gt;=Table1[[#This Row],[Low Tol]],"Pass","Fail")))</f>
        <v>Pass</v>
      </c>
      <c r="AG1490" s="1" t="str">
        <f>IF(AND(Table1[[#This Row],[Spec Type2]]="N/A",Table1[[#This Row],[DUT Adj Read]]="N/A",Table1[[#This Row],[Std Adj Read]]="N/A"),"N/A",IF(Table1[[#This Row],[DUT Adj Read]]="N/A",IF(Table1[[#This Row],[Std Adj Read]]&lt;=Table1[[#This Row],[High Tol]],"Pass","Fail"),IF(Table1[[#This Row],[DUT Adj Read]]&lt;=Table1[[#This Row],[High Tol]],"Pass","Fail")))</f>
        <v>Fail</v>
      </c>
      <c r="AH14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0" s="1" t="b">
        <v>0</v>
      </c>
      <c r="AN1490" s="1" t="b">
        <v>0</v>
      </c>
      <c r="AO1490" s="1" t="b">
        <v>0</v>
      </c>
    </row>
    <row r="1491" spans="1:41" x14ac:dyDescent="0.25">
      <c r="A1491" s="10"/>
      <c r="B1491" s="10"/>
      <c r="C1491" s="10"/>
      <c r="D1491" s="10"/>
      <c r="E1491" s="10"/>
      <c r="F1491" s="10"/>
      <c r="G1491" s="10"/>
      <c r="H1491" s="10"/>
      <c r="I1491" s="1" t="str">
        <f t="shared" si="69"/>
        <v/>
      </c>
      <c r="J1491" s="1" t="s">
        <v>35</v>
      </c>
      <c r="K1491" s="1" t="str">
        <f t="shared" si="70"/>
        <v/>
      </c>
      <c r="L1491" s="1" t="str">
        <f t="shared" si="71"/>
        <v/>
      </c>
      <c r="M1491" s="1">
        <f>IF(OR(Table1[[#This Row],[Std Nom]]="",Table1[[#This Row],[Std Read]]=""),0,Table1[[#This Row],[Std Nom]]-Table1[[#This Row],[Std Read]])</f>
        <v>0</v>
      </c>
      <c r="N1491" s="1">
        <f>IF(Calculations!$F$5="ACCREDITED 17025 WITH UNCERTAINTIES",$N$10,0)</f>
        <v>0</v>
      </c>
      <c r="O1491" s="1" t="str">
        <f>IFERROR(Table1[[#This Row],[Std Nom]]-(_xlfn.XLOOKUP(Table1[[#This Row],[Manufacturer]]&amp;" "&amp;Table1[[#This Row],[Model]],Table13[MFR &amp; MDL],Table13[Tolerance % CW ],"")/100*Table1[[#This Row],[Std Nom]]),"")</f>
        <v/>
      </c>
      <c r="P1491" s="1" t="str">
        <f>IFERROR(Table1[[#This Row],[Std Nom]]+(_xlfn.XLOOKUP(Table1[[#This Row],[Manufacturer]]&amp;" "&amp;Table1[[#This Row],[Model]],Table13[MFR &amp; MDL],Table13[Tolerance % CW ],"")/100*Table1[[#This Row],[Std Nom]]),"")</f>
        <v/>
      </c>
      <c r="Q1491" s="1" t="e">
        <f>Table1[[#This Row],[High Tol]]-Table1[[#This Row],[Low Tol]]</f>
        <v>#VALUE!</v>
      </c>
      <c r="R1491" s="1">
        <f>2*Table1[[#This Row],[Std Error]]</f>
        <v>0</v>
      </c>
      <c r="S1491" s="1" t="str">
        <f>IF(Table1[[#This Row],[High Tol]]="","N/A",IFERROR(ABS(Table1[[#This Row],[Tol Span]]/Table1[[#This Row],[Error Span]]),"N/A"))</f>
        <v>N/A</v>
      </c>
      <c r="T1491" s="1" t="str">
        <f>IF(OR(Table1[[#This Row],[Low Tol]]="",Table1[[#This Row],[High Tol]]=""),"Needs Analysis",IF(Table1[[#This Row],[Ratio]]&gt;=4,"Not Significant",IF(Table1[[#This Row],[Ratio]]&gt;=2,"Semi-Significant","Significant")))</f>
        <v>Needs Analysis</v>
      </c>
      <c r="W1491" s="1">
        <f>IF(Table1[[#This Row],[Cal Type]]&lt;&gt;"ACCREDITED 17025 WITH UNCERTAINTIES",0,"")</f>
        <v>0</v>
      </c>
      <c r="X1491" s="1" t="str">
        <f>IF(Table1[[#This Row],[DUT Read]]="","N/A",Table1[[#This Row],[Std Error]]+Table1[[#This Row],[DUT Read]]+Table1[[#This Row],[DUT Ucty]])</f>
        <v>N/A</v>
      </c>
      <c r="Y1491" s="1" t="str">
        <f>IF(Table1[[#This Row],[Std Read]]="","N/A",Table1[[#This Row],[Std Read]]+Table1[[#This Row],[Std Ucty]])</f>
        <v>N/A</v>
      </c>
      <c r="Z14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1" s="1" t="str">
        <f>IF(Table1[[#This Row],[Spec Type]]="","N/A",Table1[[#This Row],[Spec Type]])</f>
        <v>±</v>
      </c>
      <c r="AC1491" s="1" t="str">
        <f>IF(Table1[[#This Row],[Spec Type2]]="N/A","N/A",IF(AND(Table1[[#This Row],[DUT Adj Read]]&gt;=Table1[[#This Row],[Low Tol]],Table1[[#This Row],[DUT Adj Read]]&lt;=Table1[[#This Row],[High Tol]]),"Pass","Fail"))</f>
        <v>Fail</v>
      </c>
      <c r="AD1491" s="1" t="str">
        <f>IF(AND(Table1[[#This Row],[Spec Type2]]="N/A",Table1[[#This Row],[DUT Adj Read]]="N/A",Table1[[#This Row],[Std Adj Read]]="N/A"),"N/A",IF(Table1[[#This Row],[DUT Adj Read]]="N/A",IF(Table1[[#This Row],[Std Adj Read]]&gt;Table1[[#This Row],[Low Tol]],"Pass","Fail"),IF(Table1[[#This Row],[DUT Adj Read]]&gt;Table1[[#This Row],[Low Tol]],"Pass","Fail")))</f>
        <v>Pass</v>
      </c>
      <c r="AE1491" s="1" t="str">
        <f>IF(AND(Table1[[#This Row],[Spec Type2]]="N/A",Table1[[#This Row],[DUT Adj Read]]="N/A",Table1[[#This Row],[Std Adj Read]]="N/A"),"N/A",IF(Table1[[#This Row],[DUT Adj Read]]="N/A",IF(Table1[[#This Row],[Std Adj Read]]&lt;Table1[[#This Row],[High Tol]],"Pass","Fail"),IF(Table1[[#This Row],[DUT Adj Read]]&lt;Table1[[#This Row],[High Tol]],"Pass","Fail")))</f>
        <v>Fail</v>
      </c>
      <c r="AF1491" s="1" t="str">
        <f>IF(AND(Table1[[#This Row],[Spec Type2]]="N/A",Table1[[#This Row],[DUT Adj Read]]="N/A",Table1[[#This Row],[Std Adj Read]]="N/A"),"N/A",IF(Table1[[#This Row],[DUT Adj Read]]="N/A",IF(Table1[[#This Row],[Std Adj Read]]&gt;=Table1[[#This Row],[Low Tol]],"Pass","Fail"),IF(Table1[[#This Row],[DUT Adj Read]]&gt;=Table1[[#This Row],[Low Tol]],"Pass","Fail")))</f>
        <v>Pass</v>
      </c>
      <c r="AG1491" s="1" t="str">
        <f>IF(AND(Table1[[#This Row],[Spec Type2]]="N/A",Table1[[#This Row],[DUT Adj Read]]="N/A",Table1[[#This Row],[Std Adj Read]]="N/A"),"N/A",IF(Table1[[#This Row],[DUT Adj Read]]="N/A",IF(Table1[[#This Row],[Std Adj Read]]&lt;=Table1[[#This Row],[High Tol]],"Pass","Fail"),IF(Table1[[#This Row],[DUT Adj Read]]&lt;=Table1[[#This Row],[High Tol]],"Pass","Fail")))</f>
        <v>Fail</v>
      </c>
      <c r="AH14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1" s="1" t="b">
        <v>0</v>
      </c>
      <c r="AN1491" s="1" t="b">
        <v>0</v>
      </c>
      <c r="AO1491" s="1" t="b">
        <v>0</v>
      </c>
    </row>
    <row r="1492" spans="1:41" x14ac:dyDescent="0.25">
      <c r="A1492" s="10"/>
      <c r="B1492" s="10"/>
      <c r="C1492" s="10"/>
      <c r="D1492" s="10"/>
      <c r="E1492" s="10"/>
      <c r="F1492" s="10"/>
      <c r="G1492" s="10"/>
      <c r="H1492" s="10"/>
      <c r="I1492" s="1" t="str">
        <f t="shared" si="69"/>
        <v/>
      </c>
      <c r="J1492" s="1" t="s">
        <v>35</v>
      </c>
      <c r="K1492" s="1" t="str">
        <f t="shared" si="70"/>
        <v/>
      </c>
      <c r="L1492" s="1" t="str">
        <f t="shared" si="71"/>
        <v/>
      </c>
      <c r="M1492" s="1">
        <f>IF(OR(Table1[[#This Row],[Std Nom]]="",Table1[[#This Row],[Std Read]]=""),0,Table1[[#This Row],[Std Nom]]-Table1[[#This Row],[Std Read]])</f>
        <v>0</v>
      </c>
      <c r="N1492" s="1">
        <f>IF(Calculations!$F$5="ACCREDITED 17025 WITH UNCERTAINTIES",$N$10,0)</f>
        <v>0</v>
      </c>
      <c r="O1492" s="1" t="str">
        <f>IFERROR(Table1[[#This Row],[Std Nom]]-(_xlfn.XLOOKUP(Table1[[#This Row],[Manufacturer]]&amp;" "&amp;Table1[[#This Row],[Model]],Table13[MFR &amp; MDL],Table13[Tolerance % CW ],"")/100*Table1[[#This Row],[Std Nom]]),"")</f>
        <v/>
      </c>
      <c r="P1492" s="1" t="str">
        <f>IFERROR(Table1[[#This Row],[Std Nom]]+(_xlfn.XLOOKUP(Table1[[#This Row],[Manufacturer]]&amp;" "&amp;Table1[[#This Row],[Model]],Table13[MFR &amp; MDL],Table13[Tolerance % CW ],"")/100*Table1[[#This Row],[Std Nom]]),"")</f>
        <v/>
      </c>
      <c r="Q1492" s="1" t="e">
        <f>Table1[[#This Row],[High Tol]]-Table1[[#This Row],[Low Tol]]</f>
        <v>#VALUE!</v>
      </c>
      <c r="R1492" s="1">
        <f>2*Table1[[#This Row],[Std Error]]</f>
        <v>0</v>
      </c>
      <c r="S1492" s="1" t="str">
        <f>IF(Table1[[#This Row],[High Tol]]="","N/A",IFERROR(ABS(Table1[[#This Row],[Tol Span]]/Table1[[#This Row],[Error Span]]),"N/A"))</f>
        <v>N/A</v>
      </c>
      <c r="T1492" s="1" t="str">
        <f>IF(OR(Table1[[#This Row],[Low Tol]]="",Table1[[#This Row],[High Tol]]=""),"Needs Analysis",IF(Table1[[#This Row],[Ratio]]&gt;=4,"Not Significant",IF(Table1[[#This Row],[Ratio]]&gt;=2,"Semi-Significant","Significant")))</f>
        <v>Needs Analysis</v>
      </c>
      <c r="W1492" s="1">
        <f>IF(Table1[[#This Row],[Cal Type]]&lt;&gt;"ACCREDITED 17025 WITH UNCERTAINTIES",0,"")</f>
        <v>0</v>
      </c>
      <c r="X1492" s="1" t="str">
        <f>IF(Table1[[#This Row],[DUT Read]]="","N/A",Table1[[#This Row],[Std Error]]+Table1[[#This Row],[DUT Read]]+Table1[[#This Row],[DUT Ucty]])</f>
        <v>N/A</v>
      </c>
      <c r="Y1492" s="1" t="str">
        <f>IF(Table1[[#This Row],[Std Read]]="","N/A",Table1[[#This Row],[Std Read]]+Table1[[#This Row],[Std Ucty]])</f>
        <v>N/A</v>
      </c>
      <c r="Z14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2" s="1" t="str">
        <f>IF(Table1[[#This Row],[Spec Type]]="","N/A",Table1[[#This Row],[Spec Type]])</f>
        <v>±</v>
      </c>
      <c r="AC1492" s="1" t="str">
        <f>IF(Table1[[#This Row],[Spec Type2]]="N/A","N/A",IF(AND(Table1[[#This Row],[DUT Adj Read]]&gt;=Table1[[#This Row],[Low Tol]],Table1[[#This Row],[DUT Adj Read]]&lt;=Table1[[#This Row],[High Tol]]),"Pass","Fail"))</f>
        <v>Fail</v>
      </c>
      <c r="AD1492" s="1" t="str">
        <f>IF(AND(Table1[[#This Row],[Spec Type2]]="N/A",Table1[[#This Row],[DUT Adj Read]]="N/A",Table1[[#This Row],[Std Adj Read]]="N/A"),"N/A",IF(Table1[[#This Row],[DUT Adj Read]]="N/A",IF(Table1[[#This Row],[Std Adj Read]]&gt;Table1[[#This Row],[Low Tol]],"Pass","Fail"),IF(Table1[[#This Row],[DUT Adj Read]]&gt;Table1[[#This Row],[Low Tol]],"Pass","Fail")))</f>
        <v>Pass</v>
      </c>
      <c r="AE1492" s="1" t="str">
        <f>IF(AND(Table1[[#This Row],[Spec Type2]]="N/A",Table1[[#This Row],[DUT Adj Read]]="N/A",Table1[[#This Row],[Std Adj Read]]="N/A"),"N/A",IF(Table1[[#This Row],[DUT Adj Read]]="N/A",IF(Table1[[#This Row],[Std Adj Read]]&lt;Table1[[#This Row],[High Tol]],"Pass","Fail"),IF(Table1[[#This Row],[DUT Adj Read]]&lt;Table1[[#This Row],[High Tol]],"Pass","Fail")))</f>
        <v>Fail</v>
      </c>
      <c r="AF1492" s="1" t="str">
        <f>IF(AND(Table1[[#This Row],[Spec Type2]]="N/A",Table1[[#This Row],[DUT Adj Read]]="N/A",Table1[[#This Row],[Std Adj Read]]="N/A"),"N/A",IF(Table1[[#This Row],[DUT Adj Read]]="N/A",IF(Table1[[#This Row],[Std Adj Read]]&gt;=Table1[[#This Row],[Low Tol]],"Pass","Fail"),IF(Table1[[#This Row],[DUT Adj Read]]&gt;=Table1[[#This Row],[Low Tol]],"Pass","Fail")))</f>
        <v>Pass</v>
      </c>
      <c r="AG1492" s="1" t="str">
        <f>IF(AND(Table1[[#This Row],[Spec Type2]]="N/A",Table1[[#This Row],[DUT Adj Read]]="N/A",Table1[[#This Row],[Std Adj Read]]="N/A"),"N/A",IF(Table1[[#This Row],[DUT Adj Read]]="N/A",IF(Table1[[#This Row],[Std Adj Read]]&lt;=Table1[[#This Row],[High Tol]],"Pass","Fail"),IF(Table1[[#This Row],[DUT Adj Read]]&lt;=Table1[[#This Row],[High Tol]],"Pass","Fail")))</f>
        <v>Fail</v>
      </c>
      <c r="AH14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2" s="1" t="b">
        <v>0</v>
      </c>
      <c r="AN1492" s="1" t="b">
        <v>0</v>
      </c>
      <c r="AO1492" s="1" t="b">
        <v>0</v>
      </c>
    </row>
    <row r="1493" spans="1:41" x14ac:dyDescent="0.25">
      <c r="A1493" s="10"/>
      <c r="B1493" s="10"/>
      <c r="C1493" s="10"/>
      <c r="D1493" s="10"/>
      <c r="E1493" s="10"/>
      <c r="F1493" s="10"/>
      <c r="G1493" s="10"/>
      <c r="H1493" s="10"/>
      <c r="I1493" s="1" t="str">
        <f t="shared" si="69"/>
        <v/>
      </c>
      <c r="J1493" s="1" t="s">
        <v>35</v>
      </c>
      <c r="K1493" s="1" t="str">
        <f t="shared" si="70"/>
        <v/>
      </c>
      <c r="L1493" s="1" t="str">
        <f t="shared" si="71"/>
        <v/>
      </c>
      <c r="M1493" s="1">
        <f>IF(OR(Table1[[#This Row],[Std Nom]]="",Table1[[#This Row],[Std Read]]=""),0,Table1[[#This Row],[Std Nom]]-Table1[[#This Row],[Std Read]])</f>
        <v>0</v>
      </c>
      <c r="N1493" s="1">
        <f>IF(Calculations!$F$5="ACCREDITED 17025 WITH UNCERTAINTIES",$N$10,0)</f>
        <v>0</v>
      </c>
      <c r="O1493" s="1" t="str">
        <f>IFERROR(Table1[[#This Row],[Std Nom]]-(_xlfn.XLOOKUP(Table1[[#This Row],[Manufacturer]]&amp;" "&amp;Table1[[#This Row],[Model]],Table13[MFR &amp; MDL],Table13[Tolerance % CW ],"")/100*Table1[[#This Row],[Std Nom]]),"")</f>
        <v/>
      </c>
      <c r="P1493" s="1" t="str">
        <f>IFERROR(Table1[[#This Row],[Std Nom]]+(_xlfn.XLOOKUP(Table1[[#This Row],[Manufacturer]]&amp;" "&amp;Table1[[#This Row],[Model]],Table13[MFR &amp; MDL],Table13[Tolerance % CW ],"")/100*Table1[[#This Row],[Std Nom]]),"")</f>
        <v/>
      </c>
      <c r="Q1493" s="1" t="e">
        <f>Table1[[#This Row],[High Tol]]-Table1[[#This Row],[Low Tol]]</f>
        <v>#VALUE!</v>
      </c>
      <c r="R1493" s="1">
        <f>2*Table1[[#This Row],[Std Error]]</f>
        <v>0</v>
      </c>
      <c r="S1493" s="1" t="str">
        <f>IF(Table1[[#This Row],[High Tol]]="","N/A",IFERROR(ABS(Table1[[#This Row],[Tol Span]]/Table1[[#This Row],[Error Span]]),"N/A"))</f>
        <v>N/A</v>
      </c>
      <c r="T1493" s="1" t="str">
        <f>IF(OR(Table1[[#This Row],[Low Tol]]="",Table1[[#This Row],[High Tol]]=""),"Needs Analysis",IF(Table1[[#This Row],[Ratio]]&gt;=4,"Not Significant",IF(Table1[[#This Row],[Ratio]]&gt;=2,"Semi-Significant","Significant")))</f>
        <v>Needs Analysis</v>
      </c>
      <c r="W1493" s="1">
        <f>IF(Table1[[#This Row],[Cal Type]]&lt;&gt;"ACCREDITED 17025 WITH UNCERTAINTIES",0,"")</f>
        <v>0</v>
      </c>
      <c r="X1493" s="1" t="str">
        <f>IF(Table1[[#This Row],[DUT Read]]="","N/A",Table1[[#This Row],[Std Error]]+Table1[[#This Row],[DUT Read]]+Table1[[#This Row],[DUT Ucty]])</f>
        <v>N/A</v>
      </c>
      <c r="Y1493" s="1" t="str">
        <f>IF(Table1[[#This Row],[Std Read]]="","N/A",Table1[[#This Row],[Std Read]]+Table1[[#This Row],[Std Ucty]])</f>
        <v>N/A</v>
      </c>
      <c r="Z14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3" s="1" t="str">
        <f>IF(Table1[[#This Row],[Spec Type]]="","N/A",Table1[[#This Row],[Spec Type]])</f>
        <v>±</v>
      </c>
      <c r="AC1493" s="1" t="str">
        <f>IF(Table1[[#This Row],[Spec Type2]]="N/A","N/A",IF(AND(Table1[[#This Row],[DUT Adj Read]]&gt;=Table1[[#This Row],[Low Tol]],Table1[[#This Row],[DUT Adj Read]]&lt;=Table1[[#This Row],[High Tol]]),"Pass","Fail"))</f>
        <v>Fail</v>
      </c>
      <c r="AD1493" s="1" t="str">
        <f>IF(AND(Table1[[#This Row],[Spec Type2]]="N/A",Table1[[#This Row],[DUT Adj Read]]="N/A",Table1[[#This Row],[Std Adj Read]]="N/A"),"N/A",IF(Table1[[#This Row],[DUT Adj Read]]="N/A",IF(Table1[[#This Row],[Std Adj Read]]&gt;Table1[[#This Row],[Low Tol]],"Pass","Fail"),IF(Table1[[#This Row],[DUT Adj Read]]&gt;Table1[[#This Row],[Low Tol]],"Pass","Fail")))</f>
        <v>Pass</v>
      </c>
      <c r="AE1493" s="1" t="str">
        <f>IF(AND(Table1[[#This Row],[Spec Type2]]="N/A",Table1[[#This Row],[DUT Adj Read]]="N/A",Table1[[#This Row],[Std Adj Read]]="N/A"),"N/A",IF(Table1[[#This Row],[DUT Adj Read]]="N/A",IF(Table1[[#This Row],[Std Adj Read]]&lt;Table1[[#This Row],[High Tol]],"Pass","Fail"),IF(Table1[[#This Row],[DUT Adj Read]]&lt;Table1[[#This Row],[High Tol]],"Pass","Fail")))</f>
        <v>Fail</v>
      </c>
      <c r="AF1493" s="1" t="str">
        <f>IF(AND(Table1[[#This Row],[Spec Type2]]="N/A",Table1[[#This Row],[DUT Adj Read]]="N/A",Table1[[#This Row],[Std Adj Read]]="N/A"),"N/A",IF(Table1[[#This Row],[DUT Adj Read]]="N/A",IF(Table1[[#This Row],[Std Adj Read]]&gt;=Table1[[#This Row],[Low Tol]],"Pass","Fail"),IF(Table1[[#This Row],[DUT Adj Read]]&gt;=Table1[[#This Row],[Low Tol]],"Pass","Fail")))</f>
        <v>Pass</v>
      </c>
      <c r="AG1493" s="1" t="str">
        <f>IF(AND(Table1[[#This Row],[Spec Type2]]="N/A",Table1[[#This Row],[DUT Adj Read]]="N/A",Table1[[#This Row],[Std Adj Read]]="N/A"),"N/A",IF(Table1[[#This Row],[DUT Adj Read]]="N/A",IF(Table1[[#This Row],[Std Adj Read]]&lt;=Table1[[#This Row],[High Tol]],"Pass","Fail"),IF(Table1[[#This Row],[DUT Adj Read]]&lt;=Table1[[#This Row],[High Tol]],"Pass","Fail")))</f>
        <v>Fail</v>
      </c>
      <c r="AH14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3" s="1" t="b">
        <v>0</v>
      </c>
      <c r="AN1493" s="1" t="b">
        <v>0</v>
      </c>
      <c r="AO1493" s="1" t="b">
        <v>0</v>
      </c>
    </row>
    <row r="1494" spans="1:41" x14ac:dyDescent="0.25">
      <c r="A1494" s="10"/>
      <c r="B1494" s="10"/>
      <c r="C1494" s="10"/>
      <c r="D1494" s="10"/>
      <c r="E1494" s="10"/>
      <c r="F1494" s="10"/>
      <c r="G1494" s="10"/>
      <c r="H1494" s="10"/>
      <c r="I1494" s="1" t="str">
        <f t="shared" si="69"/>
        <v/>
      </c>
      <c r="J1494" s="1" t="s">
        <v>35</v>
      </c>
      <c r="K1494" s="1" t="str">
        <f t="shared" si="70"/>
        <v/>
      </c>
      <c r="L1494" s="1" t="str">
        <f t="shared" si="71"/>
        <v/>
      </c>
      <c r="M1494" s="1">
        <f>IF(OR(Table1[[#This Row],[Std Nom]]="",Table1[[#This Row],[Std Read]]=""),0,Table1[[#This Row],[Std Nom]]-Table1[[#This Row],[Std Read]])</f>
        <v>0</v>
      </c>
      <c r="N1494" s="1">
        <f>IF(Calculations!$F$5="ACCREDITED 17025 WITH UNCERTAINTIES",$N$10,0)</f>
        <v>0</v>
      </c>
      <c r="O1494" s="1" t="str">
        <f>IFERROR(Table1[[#This Row],[Std Nom]]-(_xlfn.XLOOKUP(Table1[[#This Row],[Manufacturer]]&amp;" "&amp;Table1[[#This Row],[Model]],Table13[MFR &amp; MDL],Table13[Tolerance % CW ],"")/100*Table1[[#This Row],[Std Nom]]),"")</f>
        <v/>
      </c>
      <c r="P1494" s="1" t="str">
        <f>IFERROR(Table1[[#This Row],[Std Nom]]+(_xlfn.XLOOKUP(Table1[[#This Row],[Manufacturer]]&amp;" "&amp;Table1[[#This Row],[Model]],Table13[MFR &amp; MDL],Table13[Tolerance % CW ],"")/100*Table1[[#This Row],[Std Nom]]),"")</f>
        <v/>
      </c>
      <c r="Q1494" s="1" t="e">
        <f>Table1[[#This Row],[High Tol]]-Table1[[#This Row],[Low Tol]]</f>
        <v>#VALUE!</v>
      </c>
      <c r="R1494" s="1">
        <f>2*Table1[[#This Row],[Std Error]]</f>
        <v>0</v>
      </c>
      <c r="S1494" s="1" t="str">
        <f>IF(Table1[[#This Row],[High Tol]]="","N/A",IFERROR(ABS(Table1[[#This Row],[Tol Span]]/Table1[[#This Row],[Error Span]]),"N/A"))</f>
        <v>N/A</v>
      </c>
      <c r="T1494" s="1" t="str">
        <f>IF(OR(Table1[[#This Row],[Low Tol]]="",Table1[[#This Row],[High Tol]]=""),"Needs Analysis",IF(Table1[[#This Row],[Ratio]]&gt;=4,"Not Significant",IF(Table1[[#This Row],[Ratio]]&gt;=2,"Semi-Significant","Significant")))</f>
        <v>Needs Analysis</v>
      </c>
      <c r="W1494" s="1">
        <f>IF(Table1[[#This Row],[Cal Type]]&lt;&gt;"ACCREDITED 17025 WITH UNCERTAINTIES",0,"")</f>
        <v>0</v>
      </c>
      <c r="X1494" s="1" t="str">
        <f>IF(Table1[[#This Row],[DUT Read]]="","N/A",Table1[[#This Row],[Std Error]]+Table1[[#This Row],[DUT Read]]+Table1[[#This Row],[DUT Ucty]])</f>
        <v>N/A</v>
      </c>
      <c r="Y1494" s="1" t="str">
        <f>IF(Table1[[#This Row],[Std Read]]="","N/A",Table1[[#This Row],[Std Read]]+Table1[[#This Row],[Std Ucty]])</f>
        <v>N/A</v>
      </c>
      <c r="Z14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4" s="1" t="str">
        <f>IF(Table1[[#This Row],[Spec Type]]="","N/A",Table1[[#This Row],[Spec Type]])</f>
        <v>±</v>
      </c>
      <c r="AC1494" s="1" t="str">
        <f>IF(Table1[[#This Row],[Spec Type2]]="N/A","N/A",IF(AND(Table1[[#This Row],[DUT Adj Read]]&gt;=Table1[[#This Row],[Low Tol]],Table1[[#This Row],[DUT Adj Read]]&lt;=Table1[[#This Row],[High Tol]]),"Pass","Fail"))</f>
        <v>Fail</v>
      </c>
      <c r="AD1494" s="1" t="str">
        <f>IF(AND(Table1[[#This Row],[Spec Type2]]="N/A",Table1[[#This Row],[DUT Adj Read]]="N/A",Table1[[#This Row],[Std Adj Read]]="N/A"),"N/A",IF(Table1[[#This Row],[DUT Adj Read]]="N/A",IF(Table1[[#This Row],[Std Adj Read]]&gt;Table1[[#This Row],[Low Tol]],"Pass","Fail"),IF(Table1[[#This Row],[DUT Adj Read]]&gt;Table1[[#This Row],[Low Tol]],"Pass","Fail")))</f>
        <v>Pass</v>
      </c>
      <c r="AE1494" s="1" t="str">
        <f>IF(AND(Table1[[#This Row],[Spec Type2]]="N/A",Table1[[#This Row],[DUT Adj Read]]="N/A",Table1[[#This Row],[Std Adj Read]]="N/A"),"N/A",IF(Table1[[#This Row],[DUT Adj Read]]="N/A",IF(Table1[[#This Row],[Std Adj Read]]&lt;Table1[[#This Row],[High Tol]],"Pass","Fail"),IF(Table1[[#This Row],[DUT Adj Read]]&lt;Table1[[#This Row],[High Tol]],"Pass","Fail")))</f>
        <v>Fail</v>
      </c>
      <c r="AF1494" s="1" t="str">
        <f>IF(AND(Table1[[#This Row],[Spec Type2]]="N/A",Table1[[#This Row],[DUT Adj Read]]="N/A",Table1[[#This Row],[Std Adj Read]]="N/A"),"N/A",IF(Table1[[#This Row],[DUT Adj Read]]="N/A",IF(Table1[[#This Row],[Std Adj Read]]&gt;=Table1[[#This Row],[Low Tol]],"Pass","Fail"),IF(Table1[[#This Row],[DUT Adj Read]]&gt;=Table1[[#This Row],[Low Tol]],"Pass","Fail")))</f>
        <v>Pass</v>
      </c>
      <c r="AG1494" s="1" t="str">
        <f>IF(AND(Table1[[#This Row],[Spec Type2]]="N/A",Table1[[#This Row],[DUT Adj Read]]="N/A",Table1[[#This Row],[Std Adj Read]]="N/A"),"N/A",IF(Table1[[#This Row],[DUT Adj Read]]="N/A",IF(Table1[[#This Row],[Std Adj Read]]&lt;=Table1[[#This Row],[High Tol]],"Pass","Fail"),IF(Table1[[#This Row],[DUT Adj Read]]&lt;=Table1[[#This Row],[High Tol]],"Pass","Fail")))</f>
        <v>Fail</v>
      </c>
      <c r="AH14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4" s="1" t="b">
        <v>0</v>
      </c>
      <c r="AN1494" s="1" t="b">
        <v>0</v>
      </c>
      <c r="AO1494" s="1" t="b">
        <v>0</v>
      </c>
    </row>
    <row r="1495" spans="1:41" x14ac:dyDescent="0.25">
      <c r="A1495" s="10"/>
      <c r="B1495" s="10"/>
      <c r="C1495" s="10"/>
      <c r="D1495" s="10"/>
      <c r="E1495" s="10"/>
      <c r="F1495" s="10"/>
      <c r="G1495" s="10"/>
      <c r="H1495" s="10"/>
      <c r="I1495" s="1" t="str">
        <f t="shared" si="69"/>
        <v/>
      </c>
      <c r="J1495" s="1" t="s">
        <v>35</v>
      </c>
      <c r="K1495" s="1" t="str">
        <f t="shared" si="70"/>
        <v/>
      </c>
      <c r="L1495" s="1" t="str">
        <f t="shared" si="71"/>
        <v/>
      </c>
      <c r="M1495" s="1">
        <f>IF(OR(Table1[[#This Row],[Std Nom]]="",Table1[[#This Row],[Std Read]]=""),0,Table1[[#This Row],[Std Nom]]-Table1[[#This Row],[Std Read]])</f>
        <v>0</v>
      </c>
      <c r="N1495" s="1">
        <f>IF(Calculations!$F$5="ACCREDITED 17025 WITH UNCERTAINTIES",$N$10,0)</f>
        <v>0</v>
      </c>
      <c r="O1495" s="1" t="str">
        <f>IFERROR(Table1[[#This Row],[Std Nom]]-(_xlfn.XLOOKUP(Table1[[#This Row],[Manufacturer]]&amp;" "&amp;Table1[[#This Row],[Model]],Table13[MFR &amp; MDL],Table13[Tolerance % CW ],"")/100*Table1[[#This Row],[Std Nom]]),"")</f>
        <v/>
      </c>
      <c r="P1495" s="1" t="str">
        <f>IFERROR(Table1[[#This Row],[Std Nom]]+(_xlfn.XLOOKUP(Table1[[#This Row],[Manufacturer]]&amp;" "&amp;Table1[[#This Row],[Model]],Table13[MFR &amp; MDL],Table13[Tolerance % CW ],"")/100*Table1[[#This Row],[Std Nom]]),"")</f>
        <v/>
      </c>
      <c r="Q1495" s="1" t="e">
        <f>Table1[[#This Row],[High Tol]]-Table1[[#This Row],[Low Tol]]</f>
        <v>#VALUE!</v>
      </c>
      <c r="R1495" s="1">
        <f>2*Table1[[#This Row],[Std Error]]</f>
        <v>0</v>
      </c>
      <c r="S1495" s="1" t="str">
        <f>IF(Table1[[#This Row],[High Tol]]="","N/A",IFERROR(ABS(Table1[[#This Row],[Tol Span]]/Table1[[#This Row],[Error Span]]),"N/A"))</f>
        <v>N/A</v>
      </c>
      <c r="T1495" s="1" t="str">
        <f>IF(OR(Table1[[#This Row],[Low Tol]]="",Table1[[#This Row],[High Tol]]=""),"Needs Analysis",IF(Table1[[#This Row],[Ratio]]&gt;=4,"Not Significant",IF(Table1[[#This Row],[Ratio]]&gt;=2,"Semi-Significant","Significant")))</f>
        <v>Needs Analysis</v>
      </c>
      <c r="W1495" s="1">
        <f>IF(Table1[[#This Row],[Cal Type]]&lt;&gt;"ACCREDITED 17025 WITH UNCERTAINTIES",0,"")</f>
        <v>0</v>
      </c>
      <c r="X1495" s="1" t="str">
        <f>IF(Table1[[#This Row],[DUT Read]]="","N/A",Table1[[#This Row],[Std Error]]+Table1[[#This Row],[DUT Read]]+Table1[[#This Row],[DUT Ucty]])</f>
        <v>N/A</v>
      </c>
      <c r="Y1495" s="1" t="str">
        <f>IF(Table1[[#This Row],[Std Read]]="","N/A",Table1[[#This Row],[Std Read]]+Table1[[#This Row],[Std Ucty]])</f>
        <v>N/A</v>
      </c>
      <c r="Z14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5" s="1" t="str">
        <f>IF(Table1[[#This Row],[Spec Type]]="","N/A",Table1[[#This Row],[Spec Type]])</f>
        <v>±</v>
      </c>
      <c r="AC1495" s="1" t="str">
        <f>IF(Table1[[#This Row],[Spec Type2]]="N/A","N/A",IF(AND(Table1[[#This Row],[DUT Adj Read]]&gt;=Table1[[#This Row],[Low Tol]],Table1[[#This Row],[DUT Adj Read]]&lt;=Table1[[#This Row],[High Tol]]),"Pass","Fail"))</f>
        <v>Fail</v>
      </c>
      <c r="AD1495" s="1" t="str">
        <f>IF(AND(Table1[[#This Row],[Spec Type2]]="N/A",Table1[[#This Row],[DUT Adj Read]]="N/A",Table1[[#This Row],[Std Adj Read]]="N/A"),"N/A",IF(Table1[[#This Row],[DUT Adj Read]]="N/A",IF(Table1[[#This Row],[Std Adj Read]]&gt;Table1[[#This Row],[Low Tol]],"Pass","Fail"),IF(Table1[[#This Row],[DUT Adj Read]]&gt;Table1[[#This Row],[Low Tol]],"Pass","Fail")))</f>
        <v>Pass</v>
      </c>
      <c r="AE1495" s="1" t="str">
        <f>IF(AND(Table1[[#This Row],[Spec Type2]]="N/A",Table1[[#This Row],[DUT Adj Read]]="N/A",Table1[[#This Row],[Std Adj Read]]="N/A"),"N/A",IF(Table1[[#This Row],[DUT Adj Read]]="N/A",IF(Table1[[#This Row],[Std Adj Read]]&lt;Table1[[#This Row],[High Tol]],"Pass","Fail"),IF(Table1[[#This Row],[DUT Adj Read]]&lt;Table1[[#This Row],[High Tol]],"Pass","Fail")))</f>
        <v>Fail</v>
      </c>
      <c r="AF1495" s="1" t="str">
        <f>IF(AND(Table1[[#This Row],[Spec Type2]]="N/A",Table1[[#This Row],[DUT Adj Read]]="N/A",Table1[[#This Row],[Std Adj Read]]="N/A"),"N/A",IF(Table1[[#This Row],[DUT Adj Read]]="N/A",IF(Table1[[#This Row],[Std Adj Read]]&gt;=Table1[[#This Row],[Low Tol]],"Pass","Fail"),IF(Table1[[#This Row],[DUT Adj Read]]&gt;=Table1[[#This Row],[Low Tol]],"Pass","Fail")))</f>
        <v>Pass</v>
      </c>
      <c r="AG1495" s="1" t="str">
        <f>IF(AND(Table1[[#This Row],[Spec Type2]]="N/A",Table1[[#This Row],[DUT Adj Read]]="N/A",Table1[[#This Row],[Std Adj Read]]="N/A"),"N/A",IF(Table1[[#This Row],[DUT Adj Read]]="N/A",IF(Table1[[#This Row],[Std Adj Read]]&lt;=Table1[[#This Row],[High Tol]],"Pass","Fail"),IF(Table1[[#This Row],[DUT Adj Read]]&lt;=Table1[[#This Row],[High Tol]],"Pass","Fail")))</f>
        <v>Fail</v>
      </c>
      <c r="AH14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5" s="1" t="b">
        <v>0</v>
      </c>
      <c r="AN1495" s="1" t="b">
        <v>0</v>
      </c>
      <c r="AO1495" s="1" t="b">
        <v>0</v>
      </c>
    </row>
    <row r="1496" spans="1:41" x14ac:dyDescent="0.25">
      <c r="A1496" s="10"/>
      <c r="B1496" s="10"/>
      <c r="C1496" s="10"/>
      <c r="D1496" s="10"/>
      <c r="E1496" s="10"/>
      <c r="F1496" s="10"/>
      <c r="G1496" s="10"/>
      <c r="H1496" s="10"/>
      <c r="I1496" s="1" t="str">
        <f t="shared" si="69"/>
        <v/>
      </c>
      <c r="J1496" s="1" t="s">
        <v>35</v>
      </c>
      <c r="K1496" s="1" t="str">
        <f t="shared" si="70"/>
        <v/>
      </c>
      <c r="L1496" s="1" t="str">
        <f t="shared" si="71"/>
        <v/>
      </c>
      <c r="M1496" s="1">
        <f>IF(OR(Table1[[#This Row],[Std Nom]]="",Table1[[#This Row],[Std Read]]=""),0,Table1[[#This Row],[Std Nom]]-Table1[[#This Row],[Std Read]])</f>
        <v>0</v>
      </c>
      <c r="N1496" s="1">
        <f>IF(Calculations!$F$5="ACCREDITED 17025 WITH UNCERTAINTIES",$N$10,0)</f>
        <v>0</v>
      </c>
      <c r="O1496" s="1" t="str">
        <f>IFERROR(Table1[[#This Row],[Std Nom]]-(_xlfn.XLOOKUP(Table1[[#This Row],[Manufacturer]]&amp;" "&amp;Table1[[#This Row],[Model]],Table13[MFR &amp; MDL],Table13[Tolerance % CW ],"")/100*Table1[[#This Row],[Std Nom]]),"")</f>
        <v/>
      </c>
      <c r="P1496" s="1" t="str">
        <f>IFERROR(Table1[[#This Row],[Std Nom]]+(_xlfn.XLOOKUP(Table1[[#This Row],[Manufacturer]]&amp;" "&amp;Table1[[#This Row],[Model]],Table13[MFR &amp; MDL],Table13[Tolerance % CW ],"")/100*Table1[[#This Row],[Std Nom]]),"")</f>
        <v/>
      </c>
      <c r="Q1496" s="1" t="e">
        <f>Table1[[#This Row],[High Tol]]-Table1[[#This Row],[Low Tol]]</f>
        <v>#VALUE!</v>
      </c>
      <c r="R1496" s="1">
        <f>2*Table1[[#This Row],[Std Error]]</f>
        <v>0</v>
      </c>
      <c r="S1496" s="1" t="str">
        <f>IF(Table1[[#This Row],[High Tol]]="","N/A",IFERROR(ABS(Table1[[#This Row],[Tol Span]]/Table1[[#This Row],[Error Span]]),"N/A"))</f>
        <v>N/A</v>
      </c>
      <c r="T1496" s="1" t="str">
        <f>IF(OR(Table1[[#This Row],[Low Tol]]="",Table1[[#This Row],[High Tol]]=""),"Needs Analysis",IF(Table1[[#This Row],[Ratio]]&gt;=4,"Not Significant",IF(Table1[[#This Row],[Ratio]]&gt;=2,"Semi-Significant","Significant")))</f>
        <v>Needs Analysis</v>
      </c>
      <c r="W1496" s="1">
        <f>IF(Table1[[#This Row],[Cal Type]]&lt;&gt;"ACCREDITED 17025 WITH UNCERTAINTIES",0,"")</f>
        <v>0</v>
      </c>
      <c r="X1496" s="1" t="str">
        <f>IF(Table1[[#This Row],[DUT Read]]="","N/A",Table1[[#This Row],[Std Error]]+Table1[[#This Row],[DUT Read]]+Table1[[#This Row],[DUT Ucty]])</f>
        <v>N/A</v>
      </c>
      <c r="Y1496" s="1" t="str">
        <f>IF(Table1[[#This Row],[Std Read]]="","N/A",Table1[[#This Row],[Std Read]]+Table1[[#This Row],[Std Ucty]])</f>
        <v>N/A</v>
      </c>
      <c r="Z14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6" s="1" t="str">
        <f>IF(Table1[[#This Row],[Spec Type]]="","N/A",Table1[[#This Row],[Spec Type]])</f>
        <v>±</v>
      </c>
      <c r="AC1496" s="1" t="str">
        <f>IF(Table1[[#This Row],[Spec Type2]]="N/A","N/A",IF(AND(Table1[[#This Row],[DUT Adj Read]]&gt;=Table1[[#This Row],[Low Tol]],Table1[[#This Row],[DUT Adj Read]]&lt;=Table1[[#This Row],[High Tol]]),"Pass","Fail"))</f>
        <v>Fail</v>
      </c>
      <c r="AD1496" s="1" t="str">
        <f>IF(AND(Table1[[#This Row],[Spec Type2]]="N/A",Table1[[#This Row],[DUT Adj Read]]="N/A",Table1[[#This Row],[Std Adj Read]]="N/A"),"N/A",IF(Table1[[#This Row],[DUT Adj Read]]="N/A",IF(Table1[[#This Row],[Std Adj Read]]&gt;Table1[[#This Row],[Low Tol]],"Pass","Fail"),IF(Table1[[#This Row],[DUT Adj Read]]&gt;Table1[[#This Row],[Low Tol]],"Pass","Fail")))</f>
        <v>Pass</v>
      </c>
      <c r="AE1496" s="1" t="str">
        <f>IF(AND(Table1[[#This Row],[Spec Type2]]="N/A",Table1[[#This Row],[DUT Adj Read]]="N/A",Table1[[#This Row],[Std Adj Read]]="N/A"),"N/A",IF(Table1[[#This Row],[DUT Adj Read]]="N/A",IF(Table1[[#This Row],[Std Adj Read]]&lt;Table1[[#This Row],[High Tol]],"Pass","Fail"),IF(Table1[[#This Row],[DUT Adj Read]]&lt;Table1[[#This Row],[High Tol]],"Pass","Fail")))</f>
        <v>Fail</v>
      </c>
      <c r="AF1496" s="1" t="str">
        <f>IF(AND(Table1[[#This Row],[Spec Type2]]="N/A",Table1[[#This Row],[DUT Adj Read]]="N/A",Table1[[#This Row],[Std Adj Read]]="N/A"),"N/A",IF(Table1[[#This Row],[DUT Adj Read]]="N/A",IF(Table1[[#This Row],[Std Adj Read]]&gt;=Table1[[#This Row],[Low Tol]],"Pass","Fail"),IF(Table1[[#This Row],[DUT Adj Read]]&gt;=Table1[[#This Row],[Low Tol]],"Pass","Fail")))</f>
        <v>Pass</v>
      </c>
      <c r="AG1496" s="1" t="str">
        <f>IF(AND(Table1[[#This Row],[Spec Type2]]="N/A",Table1[[#This Row],[DUT Adj Read]]="N/A",Table1[[#This Row],[Std Adj Read]]="N/A"),"N/A",IF(Table1[[#This Row],[DUT Adj Read]]="N/A",IF(Table1[[#This Row],[Std Adj Read]]&lt;=Table1[[#This Row],[High Tol]],"Pass","Fail"),IF(Table1[[#This Row],[DUT Adj Read]]&lt;=Table1[[#This Row],[High Tol]],"Pass","Fail")))</f>
        <v>Fail</v>
      </c>
      <c r="AH14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6" s="1" t="b">
        <v>0</v>
      </c>
      <c r="AN1496" s="1" t="b">
        <v>0</v>
      </c>
      <c r="AO1496" s="1" t="b">
        <v>0</v>
      </c>
    </row>
    <row r="1497" spans="1:41" x14ac:dyDescent="0.25">
      <c r="A1497" s="10"/>
      <c r="B1497" s="10"/>
      <c r="C1497" s="10"/>
      <c r="D1497" s="10"/>
      <c r="E1497" s="10"/>
      <c r="F1497" s="10"/>
      <c r="G1497" s="10"/>
      <c r="H1497" s="10"/>
      <c r="I1497" s="1" t="str">
        <f t="shared" si="69"/>
        <v/>
      </c>
      <c r="J1497" s="1" t="s">
        <v>35</v>
      </c>
      <c r="K1497" s="1" t="str">
        <f t="shared" si="70"/>
        <v/>
      </c>
      <c r="L1497" s="1" t="str">
        <f t="shared" si="71"/>
        <v/>
      </c>
      <c r="M1497" s="1">
        <f>IF(OR(Table1[[#This Row],[Std Nom]]="",Table1[[#This Row],[Std Read]]=""),0,Table1[[#This Row],[Std Nom]]-Table1[[#This Row],[Std Read]])</f>
        <v>0</v>
      </c>
      <c r="N1497" s="1">
        <f>IF(Calculations!$F$5="ACCREDITED 17025 WITH UNCERTAINTIES",$N$10,0)</f>
        <v>0</v>
      </c>
      <c r="O1497" s="1" t="str">
        <f>IFERROR(Table1[[#This Row],[Std Nom]]-(_xlfn.XLOOKUP(Table1[[#This Row],[Manufacturer]]&amp;" "&amp;Table1[[#This Row],[Model]],Table13[MFR &amp; MDL],Table13[Tolerance % CW ],"")/100*Table1[[#This Row],[Std Nom]]),"")</f>
        <v/>
      </c>
      <c r="P1497" s="1" t="str">
        <f>IFERROR(Table1[[#This Row],[Std Nom]]+(_xlfn.XLOOKUP(Table1[[#This Row],[Manufacturer]]&amp;" "&amp;Table1[[#This Row],[Model]],Table13[MFR &amp; MDL],Table13[Tolerance % CW ],"")/100*Table1[[#This Row],[Std Nom]]),"")</f>
        <v/>
      </c>
      <c r="Q1497" s="1" t="e">
        <f>Table1[[#This Row],[High Tol]]-Table1[[#This Row],[Low Tol]]</f>
        <v>#VALUE!</v>
      </c>
      <c r="R1497" s="1">
        <f>2*Table1[[#This Row],[Std Error]]</f>
        <v>0</v>
      </c>
      <c r="S1497" s="1" t="str">
        <f>IF(Table1[[#This Row],[High Tol]]="","N/A",IFERROR(ABS(Table1[[#This Row],[Tol Span]]/Table1[[#This Row],[Error Span]]),"N/A"))</f>
        <v>N/A</v>
      </c>
      <c r="T1497" s="1" t="str">
        <f>IF(OR(Table1[[#This Row],[Low Tol]]="",Table1[[#This Row],[High Tol]]=""),"Needs Analysis",IF(Table1[[#This Row],[Ratio]]&gt;=4,"Not Significant",IF(Table1[[#This Row],[Ratio]]&gt;=2,"Semi-Significant","Significant")))</f>
        <v>Needs Analysis</v>
      </c>
      <c r="W1497" s="1">
        <f>IF(Table1[[#This Row],[Cal Type]]&lt;&gt;"ACCREDITED 17025 WITH UNCERTAINTIES",0,"")</f>
        <v>0</v>
      </c>
      <c r="X1497" s="1" t="str">
        <f>IF(Table1[[#This Row],[DUT Read]]="","N/A",Table1[[#This Row],[Std Error]]+Table1[[#This Row],[DUT Read]]+Table1[[#This Row],[DUT Ucty]])</f>
        <v>N/A</v>
      </c>
      <c r="Y1497" s="1" t="str">
        <f>IF(Table1[[#This Row],[Std Read]]="","N/A",Table1[[#This Row],[Std Read]]+Table1[[#This Row],[Std Ucty]])</f>
        <v>N/A</v>
      </c>
      <c r="Z14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7" s="1" t="str">
        <f>IF(Table1[[#This Row],[Spec Type]]="","N/A",Table1[[#This Row],[Spec Type]])</f>
        <v>±</v>
      </c>
      <c r="AC1497" s="1" t="str">
        <f>IF(Table1[[#This Row],[Spec Type2]]="N/A","N/A",IF(AND(Table1[[#This Row],[DUT Adj Read]]&gt;=Table1[[#This Row],[Low Tol]],Table1[[#This Row],[DUT Adj Read]]&lt;=Table1[[#This Row],[High Tol]]),"Pass","Fail"))</f>
        <v>Fail</v>
      </c>
      <c r="AD1497" s="1" t="str">
        <f>IF(AND(Table1[[#This Row],[Spec Type2]]="N/A",Table1[[#This Row],[DUT Adj Read]]="N/A",Table1[[#This Row],[Std Adj Read]]="N/A"),"N/A",IF(Table1[[#This Row],[DUT Adj Read]]="N/A",IF(Table1[[#This Row],[Std Adj Read]]&gt;Table1[[#This Row],[Low Tol]],"Pass","Fail"),IF(Table1[[#This Row],[DUT Adj Read]]&gt;Table1[[#This Row],[Low Tol]],"Pass","Fail")))</f>
        <v>Pass</v>
      </c>
      <c r="AE1497" s="1" t="str">
        <f>IF(AND(Table1[[#This Row],[Spec Type2]]="N/A",Table1[[#This Row],[DUT Adj Read]]="N/A",Table1[[#This Row],[Std Adj Read]]="N/A"),"N/A",IF(Table1[[#This Row],[DUT Adj Read]]="N/A",IF(Table1[[#This Row],[Std Adj Read]]&lt;Table1[[#This Row],[High Tol]],"Pass","Fail"),IF(Table1[[#This Row],[DUT Adj Read]]&lt;Table1[[#This Row],[High Tol]],"Pass","Fail")))</f>
        <v>Fail</v>
      </c>
      <c r="AF1497" s="1" t="str">
        <f>IF(AND(Table1[[#This Row],[Spec Type2]]="N/A",Table1[[#This Row],[DUT Adj Read]]="N/A",Table1[[#This Row],[Std Adj Read]]="N/A"),"N/A",IF(Table1[[#This Row],[DUT Adj Read]]="N/A",IF(Table1[[#This Row],[Std Adj Read]]&gt;=Table1[[#This Row],[Low Tol]],"Pass","Fail"),IF(Table1[[#This Row],[DUT Adj Read]]&gt;=Table1[[#This Row],[Low Tol]],"Pass","Fail")))</f>
        <v>Pass</v>
      </c>
      <c r="AG1497" s="1" t="str">
        <f>IF(AND(Table1[[#This Row],[Spec Type2]]="N/A",Table1[[#This Row],[DUT Adj Read]]="N/A",Table1[[#This Row],[Std Adj Read]]="N/A"),"N/A",IF(Table1[[#This Row],[DUT Adj Read]]="N/A",IF(Table1[[#This Row],[Std Adj Read]]&lt;=Table1[[#This Row],[High Tol]],"Pass","Fail"),IF(Table1[[#This Row],[DUT Adj Read]]&lt;=Table1[[#This Row],[High Tol]],"Pass","Fail")))</f>
        <v>Fail</v>
      </c>
      <c r="AH14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7" s="1" t="b">
        <v>0</v>
      </c>
      <c r="AN1497" s="1" t="b">
        <v>0</v>
      </c>
      <c r="AO1497" s="1" t="b">
        <v>0</v>
      </c>
    </row>
    <row r="1498" spans="1:41" x14ac:dyDescent="0.25">
      <c r="A1498" s="10"/>
      <c r="B1498" s="10"/>
      <c r="C1498" s="10"/>
      <c r="D1498" s="10"/>
      <c r="E1498" s="10"/>
      <c r="F1498" s="10"/>
      <c r="G1498" s="10"/>
      <c r="H1498" s="10"/>
      <c r="I1498" s="1" t="str">
        <f t="shared" si="69"/>
        <v/>
      </c>
      <c r="J1498" s="1" t="s">
        <v>35</v>
      </c>
      <c r="K1498" s="1" t="str">
        <f t="shared" si="70"/>
        <v/>
      </c>
      <c r="L1498" s="1" t="str">
        <f t="shared" si="71"/>
        <v/>
      </c>
      <c r="M1498" s="1">
        <f>IF(OR(Table1[[#This Row],[Std Nom]]="",Table1[[#This Row],[Std Read]]=""),0,Table1[[#This Row],[Std Nom]]-Table1[[#This Row],[Std Read]])</f>
        <v>0</v>
      </c>
      <c r="N1498" s="1">
        <f>IF(Calculations!$F$5="ACCREDITED 17025 WITH UNCERTAINTIES",$N$10,0)</f>
        <v>0</v>
      </c>
      <c r="O1498" s="1" t="str">
        <f>IFERROR(Table1[[#This Row],[Std Nom]]-(_xlfn.XLOOKUP(Table1[[#This Row],[Manufacturer]]&amp;" "&amp;Table1[[#This Row],[Model]],Table13[MFR &amp; MDL],Table13[Tolerance % CW ],"")/100*Table1[[#This Row],[Std Nom]]),"")</f>
        <v/>
      </c>
      <c r="P1498" s="1" t="str">
        <f>IFERROR(Table1[[#This Row],[Std Nom]]+(_xlfn.XLOOKUP(Table1[[#This Row],[Manufacturer]]&amp;" "&amp;Table1[[#This Row],[Model]],Table13[MFR &amp; MDL],Table13[Tolerance % CW ],"")/100*Table1[[#This Row],[Std Nom]]),"")</f>
        <v/>
      </c>
      <c r="Q1498" s="1" t="e">
        <f>Table1[[#This Row],[High Tol]]-Table1[[#This Row],[Low Tol]]</f>
        <v>#VALUE!</v>
      </c>
      <c r="R1498" s="1">
        <f>2*Table1[[#This Row],[Std Error]]</f>
        <v>0</v>
      </c>
      <c r="S1498" s="1" t="str">
        <f>IF(Table1[[#This Row],[High Tol]]="","N/A",IFERROR(ABS(Table1[[#This Row],[Tol Span]]/Table1[[#This Row],[Error Span]]),"N/A"))</f>
        <v>N/A</v>
      </c>
      <c r="T1498" s="1" t="str">
        <f>IF(OR(Table1[[#This Row],[Low Tol]]="",Table1[[#This Row],[High Tol]]=""),"Needs Analysis",IF(Table1[[#This Row],[Ratio]]&gt;=4,"Not Significant",IF(Table1[[#This Row],[Ratio]]&gt;=2,"Semi-Significant","Significant")))</f>
        <v>Needs Analysis</v>
      </c>
      <c r="W1498" s="1">
        <f>IF(Table1[[#This Row],[Cal Type]]&lt;&gt;"ACCREDITED 17025 WITH UNCERTAINTIES",0,"")</f>
        <v>0</v>
      </c>
      <c r="X1498" s="1" t="str">
        <f>IF(Table1[[#This Row],[DUT Read]]="","N/A",Table1[[#This Row],[Std Error]]+Table1[[#This Row],[DUT Read]]+Table1[[#This Row],[DUT Ucty]])</f>
        <v>N/A</v>
      </c>
      <c r="Y1498" s="1" t="str">
        <f>IF(Table1[[#This Row],[Std Read]]="","N/A",Table1[[#This Row],[Std Read]]+Table1[[#This Row],[Std Ucty]])</f>
        <v>N/A</v>
      </c>
      <c r="Z14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8" s="1" t="str">
        <f>IF(Table1[[#This Row],[Spec Type]]="","N/A",Table1[[#This Row],[Spec Type]])</f>
        <v>±</v>
      </c>
      <c r="AC1498" s="1" t="str">
        <f>IF(Table1[[#This Row],[Spec Type2]]="N/A","N/A",IF(AND(Table1[[#This Row],[DUT Adj Read]]&gt;=Table1[[#This Row],[Low Tol]],Table1[[#This Row],[DUT Adj Read]]&lt;=Table1[[#This Row],[High Tol]]),"Pass","Fail"))</f>
        <v>Fail</v>
      </c>
      <c r="AD1498" s="1" t="str">
        <f>IF(AND(Table1[[#This Row],[Spec Type2]]="N/A",Table1[[#This Row],[DUT Adj Read]]="N/A",Table1[[#This Row],[Std Adj Read]]="N/A"),"N/A",IF(Table1[[#This Row],[DUT Adj Read]]="N/A",IF(Table1[[#This Row],[Std Adj Read]]&gt;Table1[[#This Row],[Low Tol]],"Pass","Fail"),IF(Table1[[#This Row],[DUT Adj Read]]&gt;Table1[[#This Row],[Low Tol]],"Pass","Fail")))</f>
        <v>Pass</v>
      </c>
      <c r="AE1498" s="1" t="str">
        <f>IF(AND(Table1[[#This Row],[Spec Type2]]="N/A",Table1[[#This Row],[DUT Adj Read]]="N/A",Table1[[#This Row],[Std Adj Read]]="N/A"),"N/A",IF(Table1[[#This Row],[DUT Adj Read]]="N/A",IF(Table1[[#This Row],[Std Adj Read]]&lt;Table1[[#This Row],[High Tol]],"Pass","Fail"),IF(Table1[[#This Row],[DUT Adj Read]]&lt;Table1[[#This Row],[High Tol]],"Pass","Fail")))</f>
        <v>Fail</v>
      </c>
      <c r="AF1498" s="1" t="str">
        <f>IF(AND(Table1[[#This Row],[Spec Type2]]="N/A",Table1[[#This Row],[DUT Adj Read]]="N/A",Table1[[#This Row],[Std Adj Read]]="N/A"),"N/A",IF(Table1[[#This Row],[DUT Adj Read]]="N/A",IF(Table1[[#This Row],[Std Adj Read]]&gt;=Table1[[#This Row],[Low Tol]],"Pass","Fail"),IF(Table1[[#This Row],[DUT Adj Read]]&gt;=Table1[[#This Row],[Low Tol]],"Pass","Fail")))</f>
        <v>Pass</v>
      </c>
      <c r="AG1498" s="1" t="str">
        <f>IF(AND(Table1[[#This Row],[Spec Type2]]="N/A",Table1[[#This Row],[DUT Adj Read]]="N/A",Table1[[#This Row],[Std Adj Read]]="N/A"),"N/A",IF(Table1[[#This Row],[DUT Adj Read]]="N/A",IF(Table1[[#This Row],[Std Adj Read]]&lt;=Table1[[#This Row],[High Tol]],"Pass","Fail"),IF(Table1[[#This Row],[DUT Adj Read]]&lt;=Table1[[#This Row],[High Tol]],"Pass","Fail")))</f>
        <v>Fail</v>
      </c>
      <c r="AH14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8" s="1" t="b">
        <v>0</v>
      </c>
      <c r="AN1498" s="1" t="b">
        <v>0</v>
      </c>
      <c r="AO1498" s="1" t="b">
        <v>0</v>
      </c>
    </row>
    <row r="1499" spans="1:41" x14ac:dyDescent="0.25">
      <c r="A1499" s="10"/>
      <c r="B1499" s="10"/>
      <c r="C1499" s="10"/>
      <c r="D1499" s="10"/>
      <c r="E1499" s="10"/>
      <c r="F1499" s="10"/>
      <c r="G1499" s="10"/>
      <c r="H1499" s="10"/>
      <c r="I1499" s="1" t="str">
        <f t="shared" si="69"/>
        <v/>
      </c>
      <c r="J1499" s="1" t="s">
        <v>35</v>
      </c>
      <c r="K1499" s="1" t="str">
        <f t="shared" si="70"/>
        <v/>
      </c>
      <c r="L1499" s="1" t="str">
        <f t="shared" si="71"/>
        <v/>
      </c>
      <c r="M1499" s="1">
        <f>IF(OR(Table1[[#This Row],[Std Nom]]="",Table1[[#This Row],[Std Read]]=""),0,Table1[[#This Row],[Std Nom]]-Table1[[#This Row],[Std Read]])</f>
        <v>0</v>
      </c>
      <c r="N1499" s="1">
        <f>IF(Calculations!$F$5="ACCREDITED 17025 WITH UNCERTAINTIES",$N$10,0)</f>
        <v>0</v>
      </c>
      <c r="O1499" s="1" t="str">
        <f>IFERROR(Table1[[#This Row],[Std Nom]]-(_xlfn.XLOOKUP(Table1[[#This Row],[Manufacturer]]&amp;" "&amp;Table1[[#This Row],[Model]],Table13[MFR &amp; MDL],Table13[Tolerance % CW ],"")/100*Table1[[#This Row],[Std Nom]]),"")</f>
        <v/>
      </c>
      <c r="P1499" s="1" t="str">
        <f>IFERROR(Table1[[#This Row],[Std Nom]]+(_xlfn.XLOOKUP(Table1[[#This Row],[Manufacturer]]&amp;" "&amp;Table1[[#This Row],[Model]],Table13[MFR &amp; MDL],Table13[Tolerance % CW ],"")/100*Table1[[#This Row],[Std Nom]]),"")</f>
        <v/>
      </c>
      <c r="Q1499" s="1" t="e">
        <f>Table1[[#This Row],[High Tol]]-Table1[[#This Row],[Low Tol]]</f>
        <v>#VALUE!</v>
      </c>
      <c r="R1499" s="1">
        <f>2*Table1[[#This Row],[Std Error]]</f>
        <v>0</v>
      </c>
      <c r="S1499" s="1" t="str">
        <f>IF(Table1[[#This Row],[High Tol]]="","N/A",IFERROR(ABS(Table1[[#This Row],[Tol Span]]/Table1[[#This Row],[Error Span]]),"N/A"))</f>
        <v>N/A</v>
      </c>
      <c r="T1499" s="1" t="str">
        <f>IF(OR(Table1[[#This Row],[Low Tol]]="",Table1[[#This Row],[High Tol]]=""),"Needs Analysis",IF(Table1[[#This Row],[Ratio]]&gt;=4,"Not Significant",IF(Table1[[#This Row],[Ratio]]&gt;=2,"Semi-Significant","Significant")))</f>
        <v>Needs Analysis</v>
      </c>
      <c r="W1499" s="1">
        <f>IF(Table1[[#This Row],[Cal Type]]&lt;&gt;"ACCREDITED 17025 WITH UNCERTAINTIES",0,"")</f>
        <v>0</v>
      </c>
      <c r="X1499" s="1" t="str">
        <f>IF(Table1[[#This Row],[DUT Read]]="","N/A",Table1[[#This Row],[Std Error]]+Table1[[#This Row],[DUT Read]]+Table1[[#This Row],[DUT Ucty]])</f>
        <v>N/A</v>
      </c>
      <c r="Y1499" s="1" t="str">
        <f>IF(Table1[[#This Row],[Std Read]]="","N/A",Table1[[#This Row],[Std Read]]+Table1[[#This Row],[Std Ucty]])</f>
        <v>N/A</v>
      </c>
      <c r="Z14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9" s="1" t="str">
        <f>IF(Table1[[#This Row],[Spec Type]]="","N/A",Table1[[#This Row],[Spec Type]])</f>
        <v>±</v>
      </c>
      <c r="AC1499" s="1" t="str">
        <f>IF(Table1[[#This Row],[Spec Type2]]="N/A","N/A",IF(AND(Table1[[#This Row],[DUT Adj Read]]&gt;=Table1[[#This Row],[Low Tol]],Table1[[#This Row],[DUT Adj Read]]&lt;=Table1[[#This Row],[High Tol]]),"Pass","Fail"))</f>
        <v>Fail</v>
      </c>
      <c r="AD1499" s="1" t="str">
        <f>IF(AND(Table1[[#This Row],[Spec Type2]]="N/A",Table1[[#This Row],[DUT Adj Read]]="N/A",Table1[[#This Row],[Std Adj Read]]="N/A"),"N/A",IF(Table1[[#This Row],[DUT Adj Read]]="N/A",IF(Table1[[#This Row],[Std Adj Read]]&gt;Table1[[#This Row],[Low Tol]],"Pass","Fail"),IF(Table1[[#This Row],[DUT Adj Read]]&gt;Table1[[#This Row],[Low Tol]],"Pass","Fail")))</f>
        <v>Pass</v>
      </c>
      <c r="AE1499" s="1" t="str">
        <f>IF(AND(Table1[[#This Row],[Spec Type2]]="N/A",Table1[[#This Row],[DUT Adj Read]]="N/A",Table1[[#This Row],[Std Adj Read]]="N/A"),"N/A",IF(Table1[[#This Row],[DUT Adj Read]]="N/A",IF(Table1[[#This Row],[Std Adj Read]]&lt;Table1[[#This Row],[High Tol]],"Pass","Fail"),IF(Table1[[#This Row],[DUT Adj Read]]&lt;Table1[[#This Row],[High Tol]],"Pass","Fail")))</f>
        <v>Fail</v>
      </c>
      <c r="AF1499" s="1" t="str">
        <f>IF(AND(Table1[[#This Row],[Spec Type2]]="N/A",Table1[[#This Row],[DUT Adj Read]]="N/A",Table1[[#This Row],[Std Adj Read]]="N/A"),"N/A",IF(Table1[[#This Row],[DUT Adj Read]]="N/A",IF(Table1[[#This Row],[Std Adj Read]]&gt;=Table1[[#This Row],[Low Tol]],"Pass","Fail"),IF(Table1[[#This Row],[DUT Adj Read]]&gt;=Table1[[#This Row],[Low Tol]],"Pass","Fail")))</f>
        <v>Pass</v>
      </c>
      <c r="AG1499" s="1" t="str">
        <f>IF(AND(Table1[[#This Row],[Spec Type2]]="N/A",Table1[[#This Row],[DUT Adj Read]]="N/A",Table1[[#This Row],[Std Adj Read]]="N/A"),"N/A",IF(Table1[[#This Row],[DUT Adj Read]]="N/A",IF(Table1[[#This Row],[Std Adj Read]]&lt;=Table1[[#This Row],[High Tol]],"Pass","Fail"),IF(Table1[[#This Row],[DUT Adj Read]]&lt;=Table1[[#This Row],[High Tol]],"Pass","Fail")))</f>
        <v>Fail</v>
      </c>
      <c r="AH14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9" s="1" t="b">
        <v>0</v>
      </c>
      <c r="AN1499" s="1" t="b">
        <v>0</v>
      </c>
      <c r="AO1499" s="1" t="b">
        <v>0</v>
      </c>
    </row>
    <row r="1500" spans="1:41" x14ac:dyDescent="0.25">
      <c r="A1500" s="10"/>
      <c r="B1500" s="10"/>
      <c r="C1500" s="10"/>
      <c r="D1500" s="10"/>
      <c r="E1500" s="10"/>
      <c r="F1500" s="10"/>
      <c r="G1500" s="10"/>
      <c r="H1500" s="10"/>
      <c r="I1500" s="1" t="str">
        <f t="shared" si="69"/>
        <v/>
      </c>
      <c r="J1500" s="1" t="s">
        <v>35</v>
      </c>
      <c r="K1500" s="1" t="str">
        <f t="shared" si="70"/>
        <v/>
      </c>
      <c r="L1500" s="1" t="str">
        <f t="shared" si="71"/>
        <v/>
      </c>
      <c r="M1500" s="1">
        <f>IF(OR(Table1[[#This Row],[Std Nom]]="",Table1[[#This Row],[Std Read]]=""),0,Table1[[#This Row],[Std Nom]]-Table1[[#This Row],[Std Read]])</f>
        <v>0</v>
      </c>
      <c r="N1500" s="1">
        <f>IF(Calculations!$F$5="ACCREDITED 17025 WITH UNCERTAINTIES",$N$10,0)</f>
        <v>0</v>
      </c>
      <c r="O1500" s="1" t="str">
        <f>IFERROR(Table1[[#This Row],[Std Nom]]-(_xlfn.XLOOKUP(Table1[[#This Row],[Manufacturer]]&amp;" "&amp;Table1[[#This Row],[Model]],Table13[MFR &amp; MDL],Table13[Tolerance % CW ],"")/100*Table1[[#This Row],[Std Nom]]),"")</f>
        <v/>
      </c>
      <c r="P1500" s="1" t="str">
        <f>IFERROR(Table1[[#This Row],[Std Nom]]+(_xlfn.XLOOKUP(Table1[[#This Row],[Manufacturer]]&amp;" "&amp;Table1[[#This Row],[Model]],Table13[MFR &amp; MDL],Table13[Tolerance % CW ],"")/100*Table1[[#This Row],[Std Nom]]),"")</f>
        <v/>
      </c>
      <c r="Q1500" s="1" t="e">
        <f>Table1[[#This Row],[High Tol]]-Table1[[#This Row],[Low Tol]]</f>
        <v>#VALUE!</v>
      </c>
      <c r="R1500" s="1">
        <f>2*Table1[[#This Row],[Std Error]]</f>
        <v>0</v>
      </c>
      <c r="S1500" s="1" t="str">
        <f>IF(Table1[[#This Row],[High Tol]]="","N/A",IFERROR(ABS(Table1[[#This Row],[Tol Span]]/Table1[[#This Row],[Error Span]]),"N/A"))</f>
        <v>N/A</v>
      </c>
      <c r="T1500" s="1" t="str">
        <f>IF(OR(Table1[[#This Row],[Low Tol]]="",Table1[[#This Row],[High Tol]]=""),"Needs Analysis",IF(Table1[[#This Row],[Ratio]]&gt;=4,"Not Significant",IF(Table1[[#This Row],[Ratio]]&gt;=2,"Semi-Significant","Significant")))</f>
        <v>Needs Analysis</v>
      </c>
      <c r="W1500" s="1">
        <f>IF(Table1[[#This Row],[Cal Type]]&lt;&gt;"ACCREDITED 17025 WITH UNCERTAINTIES",0,"")</f>
        <v>0</v>
      </c>
      <c r="X1500" s="1" t="str">
        <f>IF(Table1[[#This Row],[DUT Read]]="","N/A",Table1[[#This Row],[Std Error]]+Table1[[#This Row],[DUT Read]]+Table1[[#This Row],[DUT Ucty]])</f>
        <v>N/A</v>
      </c>
      <c r="Y1500" s="1" t="str">
        <f>IF(Table1[[#This Row],[Std Read]]="","N/A",Table1[[#This Row],[Std Read]]+Table1[[#This Row],[Std Ucty]])</f>
        <v>N/A</v>
      </c>
      <c r="Z15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0" s="1" t="str">
        <f>IF(Table1[[#This Row],[Spec Type]]="","N/A",Table1[[#This Row],[Spec Type]])</f>
        <v>±</v>
      </c>
      <c r="AC1500" s="1" t="str">
        <f>IF(Table1[[#This Row],[Spec Type2]]="N/A","N/A",IF(AND(Table1[[#This Row],[DUT Adj Read]]&gt;=Table1[[#This Row],[Low Tol]],Table1[[#This Row],[DUT Adj Read]]&lt;=Table1[[#This Row],[High Tol]]),"Pass","Fail"))</f>
        <v>Fail</v>
      </c>
      <c r="AD1500" s="1" t="str">
        <f>IF(AND(Table1[[#This Row],[Spec Type2]]="N/A",Table1[[#This Row],[DUT Adj Read]]="N/A",Table1[[#This Row],[Std Adj Read]]="N/A"),"N/A",IF(Table1[[#This Row],[DUT Adj Read]]="N/A",IF(Table1[[#This Row],[Std Adj Read]]&gt;Table1[[#This Row],[Low Tol]],"Pass","Fail"),IF(Table1[[#This Row],[DUT Adj Read]]&gt;Table1[[#This Row],[Low Tol]],"Pass","Fail")))</f>
        <v>Pass</v>
      </c>
      <c r="AE1500" s="1" t="str">
        <f>IF(AND(Table1[[#This Row],[Spec Type2]]="N/A",Table1[[#This Row],[DUT Adj Read]]="N/A",Table1[[#This Row],[Std Adj Read]]="N/A"),"N/A",IF(Table1[[#This Row],[DUT Adj Read]]="N/A",IF(Table1[[#This Row],[Std Adj Read]]&lt;Table1[[#This Row],[High Tol]],"Pass","Fail"),IF(Table1[[#This Row],[DUT Adj Read]]&lt;Table1[[#This Row],[High Tol]],"Pass","Fail")))</f>
        <v>Fail</v>
      </c>
      <c r="AF1500" s="1" t="str">
        <f>IF(AND(Table1[[#This Row],[Spec Type2]]="N/A",Table1[[#This Row],[DUT Adj Read]]="N/A",Table1[[#This Row],[Std Adj Read]]="N/A"),"N/A",IF(Table1[[#This Row],[DUT Adj Read]]="N/A",IF(Table1[[#This Row],[Std Adj Read]]&gt;=Table1[[#This Row],[Low Tol]],"Pass","Fail"),IF(Table1[[#This Row],[DUT Adj Read]]&gt;=Table1[[#This Row],[Low Tol]],"Pass","Fail")))</f>
        <v>Pass</v>
      </c>
      <c r="AG1500" s="1" t="str">
        <f>IF(AND(Table1[[#This Row],[Spec Type2]]="N/A",Table1[[#This Row],[DUT Adj Read]]="N/A",Table1[[#This Row],[Std Adj Read]]="N/A"),"N/A",IF(Table1[[#This Row],[DUT Adj Read]]="N/A",IF(Table1[[#This Row],[Std Adj Read]]&lt;=Table1[[#This Row],[High Tol]],"Pass","Fail"),IF(Table1[[#This Row],[DUT Adj Read]]&lt;=Table1[[#This Row],[High Tol]],"Pass","Fail")))</f>
        <v>Fail</v>
      </c>
      <c r="AH15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0" s="1" t="b">
        <v>0</v>
      </c>
      <c r="AN1500" s="1" t="b">
        <v>0</v>
      </c>
      <c r="AO1500" s="1" t="b">
        <v>0</v>
      </c>
    </row>
    <row r="1501" spans="1:41" x14ac:dyDescent="0.25">
      <c r="A1501" s="10"/>
      <c r="B1501" s="10"/>
      <c r="C1501" s="10"/>
      <c r="D1501" s="10"/>
      <c r="E1501" s="10"/>
      <c r="F1501" s="10"/>
      <c r="G1501" s="10"/>
      <c r="H1501" s="10"/>
      <c r="I1501" s="1" t="str">
        <f t="shared" si="69"/>
        <v/>
      </c>
      <c r="J1501" s="1" t="s">
        <v>35</v>
      </c>
      <c r="K1501" s="1" t="str">
        <f t="shared" si="70"/>
        <v/>
      </c>
      <c r="L1501" s="1" t="str">
        <f t="shared" si="71"/>
        <v/>
      </c>
      <c r="M1501" s="1">
        <f>IF(OR(Table1[[#This Row],[Std Nom]]="",Table1[[#This Row],[Std Read]]=""),0,Table1[[#This Row],[Std Nom]]-Table1[[#This Row],[Std Read]])</f>
        <v>0</v>
      </c>
      <c r="N1501" s="1">
        <f>IF(Calculations!$F$5="ACCREDITED 17025 WITH UNCERTAINTIES",$N$10,0)</f>
        <v>0</v>
      </c>
      <c r="O1501" s="1" t="str">
        <f>IFERROR(Table1[[#This Row],[Std Nom]]-(_xlfn.XLOOKUP(Table1[[#This Row],[Manufacturer]]&amp;" "&amp;Table1[[#This Row],[Model]],Table13[MFR &amp; MDL],Table13[Tolerance % CW ],"")/100*Table1[[#This Row],[Std Nom]]),"")</f>
        <v/>
      </c>
      <c r="P1501" s="1" t="str">
        <f>IFERROR(Table1[[#This Row],[Std Nom]]+(_xlfn.XLOOKUP(Table1[[#This Row],[Manufacturer]]&amp;" "&amp;Table1[[#This Row],[Model]],Table13[MFR &amp; MDL],Table13[Tolerance % CW ],"")/100*Table1[[#This Row],[Std Nom]]),"")</f>
        <v/>
      </c>
      <c r="Q1501" s="1" t="e">
        <f>Table1[[#This Row],[High Tol]]-Table1[[#This Row],[Low Tol]]</f>
        <v>#VALUE!</v>
      </c>
      <c r="R1501" s="1">
        <f>2*Table1[[#This Row],[Std Error]]</f>
        <v>0</v>
      </c>
      <c r="S1501" s="1" t="str">
        <f>IF(Table1[[#This Row],[High Tol]]="","N/A",IFERROR(ABS(Table1[[#This Row],[Tol Span]]/Table1[[#This Row],[Error Span]]),"N/A"))</f>
        <v>N/A</v>
      </c>
      <c r="T1501" s="1" t="str">
        <f>IF(OR(Table1[[#This Row],[Low Tol]]="",Table1[[#This Row],[High Tol]]=""),"Needs Analysis",IF(Table1[[#This Row],[Ratio]]&gt;=4,"Not Significant",IF(Table1[[#This Row],[Ratio]]&gt;=2,"Semi-Significant","Significant")))</f>
        <v>Needs Analysis</v>
      </c>
      <c r="W1501" s="1">
        <f>IF(Table1[[#This Row],[Cal Type]]&lt;&gt;"ACCREDITED 17025 WITH UNCERTAINTIES",0,"")</f>
        <v>0</v>
      </c>
      <c r="X1501" s="1" t="str">
        <f>IF(Table1[[#This Row],[DUT Read]]="","N/A",Table1[[#This Row],[Std Error]]+Table1[[#This Row],[DUT Read]]+Table1[[#This Row],[DUT Ucty]])</f>
        <v>N/A</v>
      </c>
      <c r="Y1501" s="1" t="str">
        <f>IF(Table1[[#This Row],[Std Read]]="","N/A",Table1[[#This Row],[Std Read]]+Table1[[#This Row],[Std Ucty]])</f>
        <v>N/A</v>
      </c>
      <c r="Z15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1" s="1" t="str">
        <f>IF(Table1[[#This Row],[Spec Type]]="","N/A",Table1[[#This Row],[Spec Type]])</f>
        <v>±</v>
      </c>
      <c r="AC1501" s="1" t="str">
        <f>IF(Table1[[#This Row],[Spec Type2]]="N/A","N/A",IF(AND(Table1[[#This Row],[DUT Adj Read]]&gt;=Table1[[#This Row],[Low Tol]],Table1[[#This Row],[DUT Adj Read]]&lt;=Table1[[#This Row],[High Tol]]),"Pass","Fail"))</f>
        <v>Fail</v>
      </c>
      <c r="AD1501" s="1" t="str">
        <f>IF(AND(Table1[[#This Row],[Spec Type2]]="N/A",Table1[[#This Row],[DUT Adj Read]]="N/A",Table1[[#This Row],[Std Adj Read]]="N/A"),"N/A",IF(Table1[[#This Row],[DUT Adj Read]]="N/A",IF(Table1[[#This Row],[Std Adj Read]]&gt;Table1[[#This Row],[Low Tol]],"Pass","Fail"),IF(Table1[[#This Row],[DUT Adj Read]]&gt;Table1[[#This Row],[Low Tol]],"Pass","Fail")))</f>
        <v>Pass</v>
      </c>
      <c r="AE1501" s="1" t="str">
        <f>IF(AND(Table1[[#This Row],[Spec Type2]]="N/A",Table1[[#This Row],[DUT Adj Read]]="N/A",Table1[[#This Row],[Std Adj Read]]="N/A"),"N/A",IF(Table1[[#This Row],[DUT Adj Read]]="N/A",IF(Table1[[#This Row],[Std Adj Read]]&lt;Table1[[#This Row],[High Tol]],"Pass","Fail"),IF(Table1[[#This Row],[DUT Adj Read]]&lt;Table1[[#This Row],[High Tol]],"Pass","Fail")))</f>
        <v>Fail</v>
      </c>
      <c r="AF1501" s="1" t="str">
        <f>IF(AND(Table1[[#This Row],[Spec Type2]]="N/A",Table1[[#This Row],[DUT Adj Read]]="N/A",Table1[[#This Row],[Std Adj Read]]="N/A"),"N/A",IF(Table1[[#This Row],[DUT Adj Read]]="N/A",IF(Table1[[#This Row],[Std Adj Read]]&gt;=Table1[[#This Row],[Low Tol]],"Pass","Fail"),IF(Table1[[#This Row],[DUT Adj Read]]&gt;=Table1[[#This Row],[Low Tol]],"Pass","Fail")))</f>
        <v>Pass</v>
      </c>
      <c r="AG1501" s="1" t="str">
        <f>IF(AND(Table1[[#This Row],[Spec Type2]]="N/A",Table1[[#This Row],[DUT Adj Read]]="N/A",Table1[[#This Row],[Std Adj Read]]="N/A"),"N/A",IF(Table1[[#This Row],[DUT Adj Read]]="N/A",IF(Table1[[#This Row],[Std Adj Read]]&lt;=Table1[[#This Row],[High Tol]],"Pass","Fail"),IF(Table1[[#This Row],[DUT Adj Read]]&lt;=Table1[[#This Row],[High Tol]],"Pass","Fail")))</f>
        <v>Fail</v>
      </c>
      <c r="AH15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1" s="1" t="b">
        <v>0</v>
      </c>
      <c r="AN1501" s="1" t="b">
        <v>0</v>
      </c>
      <c r="AO1501" s="1" t="b">
        <v>0</v>
      </c>
    </row>
    <row r="1502" spans="1:41" x14ac:dyDescent="0.25">
      <c r="A1502" s="10"/>
      <c r="B1502" s="10"/>
      <c r="C1502" s="10"/>
      <c r="D1502" s="10"/>
      <c r="E1502" s="10"/>
      <c r="F1502" s="10"/>
      <c r="G1502" s="10"/>
      <c r="H1502" s="10"/>
      <c r="I1502" s="1" t="str">
        <f t="shared" si="69"/>
        <v/>
      </c>
      <c r="J1502" s="1" t="s">
        <v>35</v>
      </c>
      <c r="K1502" s="1" t="str">
        <f t="shared" si="70"/>
        <v/>
      </c>
      <c r="L1502" s="1" t="str">
        <f t="shared" si="71"/>
        <v/>
      </c>
      <c r="M1502" s="1">
        <f>IF(OR(Table1[[#This Row],[Std Nom]]="",Table1[[#This Row],[Std Read]]=""),0,Table1[[#This Row],[Std Nom]]-Table1[[#This Row],[Std Read]])</f>
        <v>0</v>
      </c>
      <c r="N1502" s="1">
        <f>IF(Calculations!$F$5="ACCREDITED 17025 WITH UNCERTAINTIES",$N$10,0)</f>
        <v>0</v>
      </c>
      <c r="O1502" s="1" t="str">
        <f>IFERROR(Table1[[#This Row],[Std Nom]]-(_xlfn.XLOOKUP(Table1[[#This Row],[Manufacturer]]&amp;" "&amp;Table1[[#This Row],[Model]],Table13[MFR &amp; MDL],Table13[Tolerance % CW ],"")/100*Table1[[#This Row],[Std Nom]]),"")</f>
        <v/>
      </c>
      <c r="P1502" s="1" t="str">
        <f>IFERROR(Table1[[#This Row],[Std Nom]]+(_xlfn.XLOOKUP(Table1[[#This Row],[Manufacturer]]&amp;" "&amp;Table1[[#This Row],[Model]],Table13[MFR &amp; MDL],Table13[Tolerance % CW ],"")/100*Table1[[#This Row],[Std Nom]]),"")</f>
        <v/>
      </c>
      <c r="Q1502" s="1" t="e">
        <f>Table1[[#This Row],[High Tol]]-Table1[[#This Row],[Low Tol]]</f>
        <v>#VALUE!</v>
      </c>
      <c r="R1502" s="1">
        <f>2*Table1[[#This Row],[Std Error]]</f>
        <v>0</v>
      </c>
      <c r="S1502" s="1" t="str">
        <f>IF(Table1[[#This Row],[High Tol]]="","N/A",IFERROR(ABS(Table1[[#This Row],[Tol Span]]/Table1[[#This Row],[Error Span]]),"N/A"))</f>
        <v>N/A</v>
      </c>
      <c r="T1502" s="1" t="str">
        <f>IF(OR(Table1[[#This Row],[Low Tol]]="",Table1[[#This Row],[High Tol]]=""),"Needs Analysis",IF(Table1[[#This Row],[Ratio]]&gt;=4,"Not Significant",IF(Table1[[#This Row],[Ratio]]&gt;=2,"Semi-Significant","Significant")))</f>
        <v>Needs Analysis</v>
      </c>
      <c r="W1502" s="1">
        <f>IF(Table1[[#This Row],[Cal Type]]&lt;&gt;"ACCREDITED 17025 WITH UNCERTAINTIES",0,"")</f>
        <v>0</v>
      </c>
      <c r="X1502" s="1" t="str">
        <f>IF(Table1[[#This Row],[DUT Read]]="","N/A",Table1[[#This Row],[Std Error]]+Table1[[#This Row],[DUT Read]]+Table1[[#This Row],[DUT Ucty]])</f>
        <v>N/A</v>
      </c>
      <c r="Y1502" s="1" t="str">
        <f>IF(Table1[[#This Row],[Std Read]]="","N/A",Table1[[#This Row],[Std Read]]+Table1[[#This Row],[Std Ucty]])</f>
        <v>N/A</v>
      </c>
      <c r="Z15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2" s="1" t="str">
        <f>IF(Table1[[#This Row],[Spec Type]]="","N/A",Table1[[#This Row],[Spec Type]])</f>
        <v>±</v>
      </c>
      <c r="AC1502" s="1" t="str">
        <f>IF(Table1[[#This Row],[Spec Type2]]="N/A","N/A",IF(AND(Table1[[#This Row],[DUT Adj Read]]&gt;=Table1[[#This Row],[Low Tol]],Table1[[#This Row],[DUT Adj Read]]&lt;=Table1[[#This Row],[High Tol]]),"Pass","Fail"))</f>
        <v>Fail</v>
      </c>
      <c r="AD1502" s="1" t="str">
        <f>IF(AND(Table1[[#This Row],[Spec Type2]]="N/A",Table1[[#This Row],[DUT Adj Read]]="N/A",Table1[[#This Row],[Std Adj Read]]="N/A"),"N/A",IF(Table1[[#This Row],[DUT Adj Read]]="N/A",IF(Table1[[#This Row],[Std Adj Read]]&gt;Table1[[#This Row],[Low Tol]],"Pass","Fail"),IF(Table1[[#This Row],[DUT Adj Read]]&gt;Table1[[#This Row],[Low Tol]],"Pass","Fail")))</f>
        <v>Pass</v>
      </c>
      <c r="AE1502" s="1" t="str">
        <f>IF(AND(Table1[[#This Row],[Spec Type2]]="N/A",Table1[[#This Row],[DUT Adj Read]]="N/A",Table1[[#This Row],[Std Adj Read]]="N/A"),"N/A",IF(Table1[[#This Row],[DUT Adj Read]]="N/A",IF(Table1[[#This Row],[Std Adj Read]]&lt;Table1[[#This Row],[High Tol]],"Pass","Fail"),IF(Table1[[#This Row],[DUT Adj Read]]&lt;Table1[[#This Row],[High Tol]],"Pass","Fail")))</f>
        <v>Fail</v>
      </c>
      <c r="AF1502" s="1" t="str">
        <f>IF(AND(Table1[[#This Row],[Spec Type2]]="N/A",Table1[[#This Row],[DUT Adj Read]]="N/A",Table1[[#This Row],[Std Adj Read]]="N/A"),"N/A",IF(Table1[[#This Row],[DUT Adj Read]]="N/A",IF(Table1[[#This Row],[Std Adj Read]]&gt;=Table1[[#This Row],[Low Tol]],"Pass","Fail"),IF(Table1[[#This Row],[DUT Adj Read]]&gt;=Table1[[#This Row],[Low Tol]],"Pass","Fail")))</f>
        <v>Pass</v>
      </c>
      <c r="AG1502" s="1" t="str">
        <f>IF(AND(Table1[[#This Row],[Spec Type2]]="N/A",Table1[[#This Row],[DUT Adj Read]]="N/A",Table1[[#This Row],[Std Adj Read]]="N/A"),"N/A",IF(Table1[[#This Row],[DUT Adj Read]]="N/A",IF(Table1[[#This Row],[Std Adj Read]]&lt;=Table1[[#This Row],[High Tol]],"Pass","Fail"),IF(Table1[[#This Row],[DUT Adj Read]]&lt;=Table1[[#This Row],[High Tol]],"Pass","Fail")))</f>
        <v>Fail</v>
      </c>
      <c r="AH15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2" s="1" t="b">
        <v>0</v>
      </c>
      <c r="AN1502" s="1" t="b">
        <v>0</v>
      </c>
      <c r="AO1502" s="1" t="b">
        <v>0</v>
      </c>
    </row>
    <row r="1503" spans="1:41" x14ac:dyDescent="0.25">
      <c r="A1503" s="10"/>
      <c r="B1503" s="10"/>
      <c r="C1503" s="10"/>
      <c r="D1503" s="10"/>
      <c r="E1503" s="10"/>
      <c r="F1503" s="10"/>
      <c r="G1503" s="10"/>
      <c r="H1503" s="10"/>
      <c r="I1503" s="1" t="str">
        <f t="shared" si="69"/>
        <v/>
      </c>
      <c r="J1503" s="1" t="s">
        <v>35</v>
      </c>
      <c r="K1503" s="1" t="str">
        <f t="shared" si="70"/>
        <v/>
      </c>
      <c r="L1503" s="1" t="str">
        <f t="shared" si="71"/>
        <v/>
      </c>
      <c r="M1503" s="1">
        <f>IF(OR(Table1[[#This Row],[Std Nom]]="",Table1[[#This Row],[Std Read]]=""),0,Table1[[#This Row],[Std Nom]]-Table1[[#This Row],[Std Read]])</f>
        <v>0</v>
      </c>
      <c r="N1503" s="1">
        <f>IF(Calculations!$F$5="ACCREDITED 17025 WITH UNCERTAINTIES",$N$10,0)</f>
        <v>0</v>
      </c>
      <c r="O1503" s="1" t="str">
        <f>IFERROR(Table1[[#This Row],[Std Nom]]-(_xlfn.XLOOKUP(Table1[[#This Row],[Manufacturer]]&amp;" "&amp;Table1[[#This Row],[Model]],Table13[MFR &amp; MDL],Table13[Tolerance % CW ],"")/100*Table1[[#This Row],[Std Nom]]),"")</f>
        <v/>
      </c>
      <c r="P1503" s="1" t="str">
        <f>IFERROR(Table1[[#This Row],[Std Nom]]+(_xlfn.XLOOKUP(Table1[[#This Row],[Manufacturer]]&amp;" "&amp;Table1[[#This Row],[Model]],Table13[MFR &amp; MDL],Table13[Tolerance % CW ],"")/100*Table1[[#This Row],[Std Nom]]),"")</f>
        <v/>
      </c>
      <c r="Q1503" s="1" t="e">
        <f>Table1[[#This Row],[High Tol]]-Table1[[#This Row],[Low Tol]]</f>
        <v>#VALUE!</v>
      </c>
      <c r="R1503" s="1">
        <f>2*Table1[[#This Row],[Std Error]]</f>
        <v>0</v>
      </c>
      <c r="S1503" s="1" t="str">
        <f>IF(Table1[[#This Row],[High Tol]]="","N/A",IFERROR(ABS(Table1[[#This Row],[Tol Span]]/Table1[[#This Row],[Error Span]]),"N/A"))</f>
        <v>N/A</v>
      </c>
      <c r="T1503" s="1" t="str">
        <f>IF(OR(Table1[[#This Row],[Low Tol]]="",Table1[[#This Row],[High Tol]]=""),"Needs Analysis",IF(Table1[[#This Row],[Ratio]]&gt;=4,"Not Significant",IF(Table1[[#This Row],[Ratio]]&gt;=2,"Semi-Significant","Significant")))</f>
        <v>Needs Analysis</v>
      </c>
      <c r="W1503" s="1">
        <f>IF(Table1[[#This Row],[Cal Type]]&lt;&gt;"ACCREDITED 17025 WITH UNCERTAINTIES",0,"")</f>
        <v>0</v>
      </c>
      <c r="X1503" s="1" t="str">
        <f>IF(Table1[[#This Row],[DUT Read]]="","N/A",Table1[[#This Row],[Std Error]]+Table1[[#This Row],[DUT Read]]+Table1[[#This Row],[DUT Ucty]])</f>
        <v>N/A</v>
      </c>
      <c r="Y1503" s="1" t="str">
        <f>IF(Table1[[#This Row],[Std Read]]="","N/A",Table1[[#This Row],[Std Read]]+Table1[[#This Row],[Std Ucty]])</f>
        <v>N/A</v>
      </c>
      <c r="Z15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3" s="1" t="str">
        <f>IF(Table1[[#This Row],[Spec Type]]="","N/A",Table1[[#This Row],[Spec Type]])</f>
        <v>±</v>
      </c>
      <c r="AC1503" s="1" t="str">
        <f>IF(Table1[[#This Row],[Spec Type2]]="N/A","N/A",IF(AND(Table1[[#This Row],[DUT Adj Read]]&gt;=Table1[[#This Row],[Low Tol]],Table1[[#This Row],[DUT Adj Read]]&lt;=Table1[[#This Row],[High Tol]]),"Pass","Fail"))</f>
        <v>Fail</v>
      </c>
      <c r="AD1503" s="1" t="str">
        <f>IF(AND(Table1[[#This Row],[Spec Type2]]="N/A",Table1[[#This Row],[DUT Adj Read]]="N/A",Table1[[#This Row],[Std Adj Read]]="N/A"),"N/A",IF(Table1[[#This Row],[DUT Adj Read]]="N/A",IF(Table1[[#This Row],[Std Adj Read]]&gt;Table1[[#This Row],[Low Tol]],"Pass","Fail"),IF(Table1[[#This Row],[DUT Adj Read]]&gt;Table1[[#This Row],[Low Tol]],"Pass","Fail")))</f>
        <v>Pass</v>
      </c>
      <c r="AE1503" s="1" t="str">
        <f>IF(AND(Table1[[#This Row],[Spec Type2]]="N/A",Table1[[#This Row],[DUT Adj Read]]="N/A",Table1[[#This Row],[Std Adj Read]]="N/A"),"N/A",IF(Table1[[#This Row],[DUT Adj Read]]="N/A",IF(Table1[[#This Row],[Std Adj Read]]&lt;Table1[[#This Row],[High Tol]],"Pass","Fail"),IF(Table1[[#This Row],[DUT Adj Read]]&lt;Table1[[#This Row],[High Tol]],"Pass","Fail")))</f>
        <v>Fail</v>
      </c>
      <c r="AF1503" s="1" t="str">
        <f>IF(AND(Table1[[#This Row],[Spec Type2]]="N/A",Table1[[#This Row],[DUT Adj Read]]="N/A",Table1[[#This Row],[Std Adj Read]]="N/A"),"N/A",IF(Table1[[#This Row],[DUT Adj Read]]="N/A",IF(Table1[[#This Row],[Std Adj Read]]&gt;=Table1[[#This Row],[Low Tol]],"Pass","Fail"),IF(Table1[[#This Row],[DUT Adj Read]]&gt;=Table1[[#This Row],[Low Tol]],"Pass","Fail")))</f>
        <v>Pass</v>
      </c>
      <c r="AG1503" s="1" t="str">
        <f>IF(AND(Table1[[#This Row],[Spec Type2]]="N/A",Table1[[#This Row],[DUT Adj Read]]="N/A",Table1[[#This Row],[Std Adj Read]]="N/A"),"N/A",IF(Table1[[#This Row],[DUT Adj Read]]="N/A",IF(Table1[[#This Row],[Std Adj Read]]&lt;=Table1[[#This Row],[High Tol]],"Pass","Fail"),IF(Table1[[#This Row],[DUT Adj Read]]&lt;=Table1[[#This Row],[High Tol]],"Pass","Fail")))</f>
        <v>Fail</v>
      </c>
      <c r="AH15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3" s="1" t="b">
        <v>0</v>
      </c>
      <c r="AN1503" s="1" t="b">
        <v>0</v>
      </c>
      <c r="AO1503" s="1" t="b">
        <v>0</v>
      </c>
    </row>
    <row r="1504" spans="1:41" x14ac:dyDescent="0.25">
      <c r="A1504" s="10"/>
      <c r="B1504" s="10"/>
      <c r="C1504" s="10"/>
      <c r="D1504" s="10"/>
      <c r="E1504" s="10"/>
      <c r="F1504" s="10"/>
      <c r="G1504" s="10"/>
      <c r="H1504" s="10"/>
      <c r="I1504" s="1" t="str">
        <f t="shared" si="69"/>
        <v/>
      </c>
      <c r="J1504" s="1" t="s">
        <v>35</v>
      </c>
      <c r="K1504" s="1" t="str">
        <f t="shared" si="70"/>
        <v/>
      </c>
      <c r="L1504" s="1" t="str">
        <f t="shared" si="71"/>
        <v/>
      </c>
      <c r="M1504" s="1">
        <f>IF(OR(Table1[[#This Row],[Std Nom]]="",Table1[[#This Row],[Std Read]]=""),0,Table1[[#This Row],[Std Nom]]-Table1[[#This Row],[Std Read]])</f>
        <v>0</v>
      </c>
      <c r="N1504" s="1">
        <f>IF(Calculations!$F$5="ACCREDITED 17025 WITH UNCERTAINTIES",$N$10,0)</f>
        <v>0</v>
      </c>
      <c r="O1504" s="1" t="str">
        <f>IFERROR(Table1[[#This Row],[Std Nom]]-(_xlfn.XLOOKUP(Table1[[#This Row],[Manufacturer]]&amp;" "&amp;Table1[[#This Row],[Model]],Table13[MFR &amp; MDL],Table13[Tolerance % CW ],"")/100*Table1[[#This Row],[Std Nom]]),"")</f>
        <v/>
      </c>
      <c r="P1504" s="1" t="str">
        <f>IFERROR(Table1[[#This Row],[Std Nom]]+(_xlfn.XLOOKUP(Table1[[#This Row],[Manufacturer]]&amp;" "&amp;Table1[[#This Row],[Model]],Table13[MFR &amp; MDL],Table13[Tolerance % CW ],"")/100*Table1[[#This Row],[Std Nom]]),"")</f>
        <v/>
      </c>
      <c r="Q1504" s="1" t="e">
        <f>Table1[[#This Row],[High Tol]]-Table1[[#This Row],[Low Tol]]</f>
        <v>#VALUE!</v>
      </c>
      <c r="R1504" s="1">
        <f>2*Table1[[#This Row],[Std Error]]</f>
        <v>0</v>
      </c>
      <c r="S1504" s="1" t="str">
        <f>IF(Table1[[#This Row],[High Tol]]="","N/A",IFERROR(ABS(Table1[[#This Row],[Tol Span]]/Table1[[#This Row],[Error Span]]),"N/A"))</f>
        <v>N/A</v>
      </c>
      <c r="T1504" s="1" t="str">
        <f>IF(OR(Table1[[#This Row],[Low Tol]]="",Table1[[#This Row],[High Tol]]=""),"Needs Analysis",IF(Table1[[#This Row],[Ratio]]&gt;=4,"Not Significant",IF(Table1[[#This Row],[Ratio]]&gt;=2,"Semi-Significant","Significant")))</f>
        <v>Needs Analysis</v>
      </c>
      <c r="W1504" s="1">
        <f>IF(Table1[[#This Row],[Cal Type]]&lt;&gt;"ACCREDITED 17025 WITH UNCERTAINTIES",0,"")</f>
        <v>0</v>
      </c>
      <c r="X1504" s="1" t="str">
        <f>IF(Table1[[#This Row],[DUT Read]]="","N/A",Table1[[#This Row],[Std Error]]+Table1[[#This Row],[DUT Read]]+Table1[[#This Row],[DUT Ucty]])</f>
        <v>N/A</v>
      </c>
      <c r="Y1504" s="1" t="str">
        <f>IF(Table1[[#This Row],[Std Read]]="","N/A",Table1[[#This Row],[Std Read]]+Table1[[#This Row],[Std Ucty]])</f>
        <v>N/A</v>
      </c>
      <c r="Z15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4" s="1" t="str">
        <f>IF(Table1[[#This Row],[Spec Type]]="","N/A",Table1[[#This Row],[Spec Type]])</f>
        <v>±</v>
      </c>
      <c r="AC1504" s="1" t="str">
        <f>IF(Table1[[#This Row],[Spec Type2]]="N/A","N/A",IF(AND(Table1[[#This Row],[DUT Adj Read]]&gt;=Table1[[#This Row],[Low Tol]],Table1[[#This Row],[DUT Adj Read]]&lt;=Table1[[#This Row],[High Tol]]),"Pass","Fail"))</f>
        <v>Fail</v>
      </c>
      <c r="AD1504" s="1" t="str">
        <f>IF(AND(Table1[[#This Row],[Spec Type2]]="N/A",Table1[[#This Row],[DUT Adj Read]]="N/A",Table1[[#This Row],[Std Adj Read]]="N/A"),"N/A",IF(Table1[[#This Row],[DUT Adj Read]]="N/A",IF(Table1[[#This Row],[Std Adj Read]]&gt;Table1[[#This Row],[Low Tol]],"Pass","Fail"),IF(Table1[[#This Row],[DUT Adj Read]]&gt;Table1[[#This Row],[Low Tol]],"Pass","Fail")))</f>
        <v>Pass</v>
      </c>
      <c r="AE1504" s="1" t="str">
        <f>IF(AND(Table1[[#This Row],[Spec Type2]]="N/A",Table1[[#This Row],[DUT Adj Read]]="N/A",Table1[[#This Row],[Std Adj Read]]="N/A"),"N/A",IF(Table1[[#This Row],[DUT Adj Read]]="N/A",IF(Table1[[#This Row],[Std Adj Read]]&lt;Table1[[#This Row],[High Tol]],"Pass","Fail"),IF(Table1[[#This Row],[DUT Adj Read]]&lt;Table1[[#This Row],[High Tol]],"Pass","Fail")))</f>
        <v>Fail</v>
      </c>
      <c r="AF1504" s="1" t="str">
        <f>IF(AND(Table1[[#This Row],[Spec Type2]]="N/A",Table1[[#This Row],[DUT Adj Read]]="N/A",Table1[[#This Row],[Std Adj Read]]="N/A"),"N/A",IF(Table1[[#This Row],[DUT Adj Read]]="N/A",IF(Table1[[#This Row],[Std Adj Read]]&gt;=Table1[[#This Row],[Low Tol]],"Pass","Fail"),IF(Table1[[#This Row],[DUT Adj Read]]&gt;=Table1[[#This Row],[Low Tol]],"Pass","Fail")))</f>
        <v>Pass</v>
      </c>
      <c r="AG1504" s="1" t="str">
        <f>IF(AND(Table1[[#This Row],[Spec Type2]]="N/A",Table1[[#This Row],[DUT Adj Read]]="N/A",Table1[[#This Row],[Std Adj Read]]="N/A"),"N/A",IF(Table1[[#This Row],[DUT Adj Read]]="N/A",IF(Table1[[#This Row],[Std Adj Read]]&lt;=Table1[[#This Row],[High Tol]],"Pass","Fail"),IF(Table1[[#This Row],[DUT Adj Read]]&lt;=Table1[[#This Row],[High Tol]],"Pass","Fail")))</f>
        <v>Fail</v>
      </c>
      <c r="AH15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4" s="1" t="b">
        <v>0</v>
      </c>
      <c r="AN1504" s="1" t="b">
        <v>0</v>
      </c>
      <c r="AO1504" s="1" t="b">
        <v>0</v>
      </c>
    </row>
    <row r="1505" spans="1:41" x14ac:dyDescent="0.25">
      <c r="A1505" s="10"/>
      <c r="B1505" s="10"/>
      <c r="C1505" s="10"/>
      <c r="D1505" s="10"/>
      <c r="E1505" s="10"/>
      <c r="F1505" s="10"/>
      <c r="G1505" s="10"/>
      <c r="H1505" s="10"/>
      <c r="I1505" s="1" t="str">
        <f t="shared" si="69"/>
        <v/>
      </c>
      <c r="J1505" s="1" t="s">
        <v>35</v>
      </c>
      <c r="K1505" s="1" t="str">
        <f t="shared" si="70"/>
        <v/>
      </c>
      <c r="L1505" s="1" t="str">
        <f t="shared" si="71"/>
        <v/>
      </c>
      <c r="M1505" s="1">
        <f>IF(OR(Table1[[#This Row],[Std Nom]]="",Table1[[#This Row],[Std Read]]=""),0,Table1[[#This Row],[Std Nom]]-Table1[[#This Row],[Std Read]])</f>
        <v>0</v>
      </c>
      <c r="N1505" s="1">
        <f>IF(Calculations!$F$5="ACCREDITED 17025 WITH UNCERTAINTIES",$N$10,0)</f>
        <v>0</v>
      </c>
      <c r="O1505" s="1" t="str">
        <f>IFERROR(Table1[[#This Row],[Std Nom]]-(_xlfn.XLOOKUP(Table1[[#This Row],[Manufacturer]]&amp;" "&amp;Table1[[#This Row],[Model]],Table13[MFR &amp; MDL],Table13[Tolerance % CW ],"")/100*Table1[[#This Row],[Std Nom]]),"")</f>
        <v/>
      </c>
      <c r="P1505" s="1" t="str">
        <f>IFERROR(Table1[[#This Row],[Std Nom]]+(_xlfn.XLOOKUP(Table1[[#This Row],[Manufacturer]]&amp;" "&amp;Table1[[#This Row],[Model]],Table13[MFR &amp; MDL],Table13[Tolerance % CW ],"")/100*Table1[[#This Row],[Std Nom]]),"")</f>
        <v/>
      </c>
      <c r="Q1505" s="1" t="e">
        <f>Table1[[#This Row],[High Tol]]-Table1[[#This Row],[Low Tol]]</f>
        <v>#VALUE!</v>
      </c>
      <c r="R1505" s="1">
        <f>2*Table1[[#This Row],[Std Error]]</f>
        <v>0</v>
      </c>
      <c r="S1505" s="1" t="str">
        <f>IF(Table1[[#This Row],[High Tol]]="","N/A",IFERROR(ABS(Table1[[#This Row],[Tol Span]]/Table1[[#This Row],[Error Span]]),"N/A"))</f>
        <v>N/A</v>
      </c>
      <c r="T1505" s="1" t="str">
        <f>IF(OR(Table1[[#This Row],[Low Tol]]="",Table1[[#This Row],[High Tol]]=""),"Needs Analysis",IF(Table1[[#This Row],[Ratio]]&gt;=4,"Not Significant",IF(Table1[[#This Row],[Ratio]]&gt;=2,"Semi-Significant","Significant")))</f>
        <v>Needs Analysis</v>
      </c>
      <c r="W1505" s="1">
        <f>IF(Table1[[#This Row],[Cal Type]]&lt;&gt;"ACCREDITED 17025 WITH UNCERTAINTIES",0,"")</f>
        <v>0</v>
      </c>
      <c r="X1505" s="1" t="str">
        <f>IF(Table1[[#This Row],[DUT Read]]="","N/A",Table1[[#This Row],[Std Error]]+Table1[[#This Row],[DUT Read]]+Table1[[#This Row],[DUT Ucty]])</f>
        <v>N/A</v>
      </c>
      <c r="Y1505" s="1" t="str">
        <f>IF(Table1[[#This Row],[Std Read]]="","N/A",Table1[[#This Row],[Std Read]]+Table1[[#This Row],[Std Ucty]])</f>
        <v>N/A</v>
      </c>
      <c r="Z15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5" s="1" t="str">
        <f>IF(Table1[[#This Row],[Spec Type]]="","N/A",Table1[[#This Row],[Spec Type]])</f>
        <v>±</v>
      </c>
      <c r="AC1505" s="1" t="str">
        <f>IF(Table1[[#This Row],[Spec Type2]]="N/A","N/A",IF(AND(Table1[[#This Row],[DUT Adj Read]]&gt;=Table1[[#This Row],[Low Tol]],Table1[[#This Row],[DUT Adj Read]]&lt;=Table1[[#This Row],[High Tol]]),"Pass","Fail"))</f>
        <v>Fail</v>
      </c>
      <c r="AD1505" s="1" t="str">
        <f>IF(AND(Table1[[#This Row],[Spec Type2]]="N/A",Table1[[#This Row],[DUT Adj Read]]="N/A",Table1[[#This Row],[Std Adj Read]]="N/A"),"N/A",IF(Table1[[#This Row],[DUT Adj Read]]="N/A",IF(Table1[[#This Row],[Std Adj Read]]&gt;Table1[[#This Row],[Low Tol]],"Pass","Fail"),IF(Table1[[#This Row],[DUT Adj Read]]&gt;Table1[[#This Row],[Low Tol]],"Pass","Fail")))</f>
        <v>Pass</v>
      </c>
      <c r="AE1505" s="1" t="str">
        <f>IF(AND(Table1[[#This Row],[Spec Type2]]="N/A",Table1[[#This Row],[DUT Adj Read]]="N/A",Table1[[#This Row],[Std Adj Read]]="N/A"),"N/A",IF(Table1[[#This Row],[DUT Adj Read]]="N/A",IF(Table1[[#This Row],[Std Adj Read]]&lt;Table1[[#This Row],[High Tol]],"Pass","Fail"),IF(Table1[[#This Row],[DUT Adj Read]]&lt;Table1[[#This Row],[High Tol]],"Pass","Fail")))</f>
        <v>Fail</v>
      </c>
      <c r="AF1505" s="1" t="str">
        <f>IF(AND(Table1[[#This Row],[Spec Type2]]="N/A",Table1[[#This Row],[DUT Adj Read]]="N/A",Table1[[#This Row],[Std Adj Read]]="N/A"),"N/A",IF(Table1[[#This Row],[DUT Adj Read]]="N/A",IF(Table1[[#This Row],[Std Adj Read]]&gt;=Table1[[#This Row],[Low Tol]],"Pass","Fail"),IF(Table1[[#This Row],[DUT Adj Read]]&gt;=Table1[[#This Row],[Low Tol]],"Pass","Fail")))</f>
        <v>Pass</v>
      </c>
      <c r="AG1505" s="1" t="str">
        <f>IF(AND(Table1[[#This Row],[Spec Type2]]="N/A",Table1[[#This Row],[DUT Adj Read]]="N/A",Table1[[#This Row],[Std Adj Read]]="N/A"),"N/A",IF(Table1[[#This Row],[DUT Adj Read]]="N/A",IF(Table1[[#This Row],[Std Adj Read]]&lt;=Table1[[#This Row],[High Tol]],"Pass","Fail"),IF(Table1[[#This Row],[DUT Adj Read]]&lt;=Table1[[#This Row],[High Tol]],"Pass","Fail")))</f>
        <v>Fail</v>
      </c>
      <c r="AH15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5" s="1" t="b">
        <v>0</v>
      </c>
      <c r="AN1505" s="1" t="b">
        <v>0</v>
      </c>
      <c r="AO1505" s="1" t="b">
        <v>0</v>
      </c>
    </row>
    <row r="1506" spans="1:41" x14ac:dyDescent="0.25">
      <c r="A1506" s="10"/>
      <c r="B1506" s="10"/>
      <c r="C1506" s="10"/>
      <c r="D1506" s="10"/>
      <c r="E1506" s="10"/>
      <c r="F1506" s="10"/>
      <c r="G1506" s="10"/>
      <c r="H1506" s="10"/>
      <c r="I1506" s="1" t="str">
        <f t="shared" si="69"/>
        <v/>
      </c>
      <c r="J1506" s="1" t="s">
        <v>35</v>
      </c>
      <c r="K1506" s="1" t="str">
        <f t="shared" si="70"/>
        <v/>
      </c>
      <c r="L1506" s="1" t="str">
        <f t="shared" si="71"/>
        <v/>
      </c>
      <c r="M1506" s="1">
        <f>IF(OR(Table1[[#This Row],[Std Nom]]="",Table1[[#This Row],[Std Read]]=""),0,Table1[[#This Row],[Std Nom]]-Table1[[#This Row],[Std Read]])</f>
        <v>0</v>
      </c>
      <c r="N1506" s="1">
        <f>IF(Calculations!$F$5="ACCREDITED 17025 WITH UNCERTAINTIES",$N$10,0)</f>
        <v>0</v>
      </c>
      <c r="O1506" s="1" t="str">
        <f>IFERROR(Table1[[#This Row],[Std Nom]]-(_xlfn.XLOOKUP(Table1[[#This Row],[Manufacturer]]&amp;" "&amp;Table1[[#This Row],[Model]],Table13[MFR &amp; MDL],Table13[Tolerance % CW ],"")/100*Table1[[#This Row],[Std Nom]]),"")</f>
        <v/>
      </c>
      <c r="P1506" s="1" t="str">
        <f>IFERROR(Table1[[#This Row],[Std Nom]]+(_xlfn.XLOOKUP(Table1[[#This Row],[Manufacturer]]&amp;" "&amp;Table1[[#This Row],[Model]],Table13[MFR &amp; MDL],Table13[Tolerance % CW ],"")/100*Table1[[#This Row],[Std Nom]]),"")</f>
        <v/>
      </c>
      <c r="Q1506" s="1" t="e">
        <f>Table1[[#This Row],[High Tol]]-Table1[[#This Row],[Low Tol]]</f>
        <v>#VALUE!</v>
      </c>
      <c r="R1506" s="1">
        <f>2*Table1[[#This Row],[Std Error]]</f>
        <v>0</v>
      </c>
      <c r="S1506" s="1" t="str">
        <f>IF(Table1[[#This Row],[High Tol]]="","N/A",IFERROR(ABS(Table1[[#This Row],[Tol Span]]/Table1[[#This Row],[Error Span]]),"N/A"))</f>
        <v>N/A</v>
      </c>
      <c r="T1506" s="1" t="str">
        <f>IF(OR(Table1[[#This Row],[Low Tol]]="",Table1[[#This Row],[High Tol]]=""),"Needs Analysis",IF(Table1[[#This Row],[Ratio]]&gt;=4,"Not Significant",IF(Table1[[#This Row],[Ratio]]&gt;=2,"Semi-Significant","Significant")))</f>
        <v>Needs Analysis</v>
      </c>
      <c r="W1506" s="1">
        <f>IF(Table1[[#This Row],[Cal Type]]&lt;&gt;"ACCREDITED 17025 WITH UNCERTAINTIES",0,"")</f>
        <v>0</v>
      </c>
      <c r="X1506" s="1" t="str">
        <f>IF(Table1[[#This Row],[DUT Read]]="","N/A",Table1[[#This Row],[Std Error]]+Table1[[#This Row],[DUT Read]]+Table1[[#This Row],[DUT Ucty]])</f>
        <v>N/A</v>
      </c>
      <c r="Y1506" s="1" t="str">
        <f>IF(Table1[[#This Row],[Std Read]]="","N/A",Table1[[#This Row],[Std Read]]+Table1[[#This Row],[Std Ucty]])</f>
        <v>N/A</v>
      </c>
      <c r="Z15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6" s="1" t="str">
        <f>IF(Table1[[#This Row],[Spec Type]]="","N/A",Table1[[#This Row],[Spec Type]])</f>
        <v>±</v>
      </c>
      <c r="AC1506" s="1" t="str">
        <f>IF(Table1[[#This Row],[Spec Type2]]="N/A","N/A",IF(AND(Table1[[#This Row],[DUT Adj Read]]&gt;=Table1[[#This Row],[Low Tol]],Table1[[#This Row],[DUT Adj Read]]&lt;=Table1[[#This Row],[High Tol]]),"Pass","Fail"))</f>
        <v>Fail</v>
      </c>
      <c r="AD1506" s="1" t="str">
        <f>IF(AND(Table1[[#This Row],[Spec Type2]]="N/A",Table1[[#This Row],[DUT Adj Read]]="N/A",Table1[[#This Row],[Std Adj Read]]="N/A"),"N/A",IF(Table1[[#This Row],[DUT Adj Read]]="N/A",IF(Table1[[#This Row],[Std Adj Read]]&gt;Table1[[#This Row],[Low Tol]],"Pass","Fail"),IF(Table1[[#This Row],[DUT Adj Read]]&gt;Table1[[#This Row],[Low Tol]],"Pass","Fail")))</f>
        <v>Pass</v>
      </c>
      <c r="AE1506" s="1" t="str">
        <f>IF(AND(Table1[[#This Row],[Spec Type2]]="N/A",Table1[[#This Row],[DUT Adj Read]]="N/A",Table1[[#This Row],[Std Adj Read]]="N/A"),"N/A",IF(Table1[[#This Row],[DUT Adj Read]]="N/A",IF(Table1[[#This Row],[Std Adj Read]]&lt;Table1[[#This Row],[High Tol]],"Pass","Fail"),IF(Table1[[#This Row],[DUT Adj Read]]&lt;Table1[[#This Row],[High Tol]],"Pass","Fail")))</f>
        <v>Fail</v>
      </c>
      <c r="AF1506" s="1" t="str">
        <f>IF(AND(Table1[[#This Row],[Spec Type2]]="N/A",Table1[[#This Row],[DUT Adj Read]]="N/A",Table1[[#This Row],[Std Adj Read]]="N/A"),"N/A",IF(Table1[[#This Row],[DUT Adj Read]]="N/A",IF(Table1[[#This Row],[Std Adj Read]]&gt;=Table1[[#This Row],[Low Tol]],"Pass","Fail"),IF(Table1[[#This Row],[DUT Adj Read]]&gt;=Table1[[#This Row],[Low Tol]],"Pass","Fail")))</f>
        <v>Pass</v>
      </c>
      <c r="AG1506" s="1" t="str">
        <f>IF(AND(Table1[[#This Row],[Spec Type2]]="N/A",Table1[[#This Row],[DUT Adj Read]]="N/A",Table1[[#This Row],[Std Adj Read]]="N/A"),"N/A",IF(Table1[[#This Row],[DUT Adj Read]]="N/A",IF(Table1[[#This Row],[Std Adj Read]]&lt;=Table1[[#This Row],[High Tol]],"Pass","Fail"),IF(Table1[[#This Row],[DUT Adj Read]]&lt;=Table1[[#This Row],[High Tol]],"Pass","Fail")))</f>
        <v>Fail</v>
      </c>
      <c r="AH15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6" s="1" t="b">
        <v>0</v>
      </c>
      <c r="AN1506" s="1" t="b">
        <v>0</v>
      </c>
      <c r="AO1506" s="1" t="b">
        <v>0</v>
      </c>
    </row>
    <row r="1507" spans="1:41" x14ac:dyDescent="0.25">
      <c r="A1507" s="10"/>
      <c r="B1507" s="10"/>
      <c r="C1507" s="10"/>
      <c r="D1507" s="10"/>
      <c r="E1507" s="10"/>
      <c r="F1507" s="10"/>
      <c r="G1507" s="10"/>
      <c r="H1507" s="10"/>
      <c r="I1507" s="1" t="str">
        <f t="shared" si="69"/>
        <v/>
      </c>
      <c r="J1507" s="1" t="s">
        <v>35</v>
      </c>
      <c r="K1507" s="1" t="str">
        <f t="shared" si="70"/>
        <v/>
      </c>
      <c r="L1507" s="1" t="str">
        <f t="shared" si="71"/>
        <v/>
      </c>
      <c r="M1507" s="1">
        <f>IF(OR(Table1[[#This Row],[Std Nom]]="",Table1[[#This Row],[Std Read]]=""),0,Table1[[#This Row],[Std Nom]]-Table1[[#This Row],[Std Read]])</f>
        <v>0</v>
      </c>
      <c r="N1507" s="1">
        <f>IF(Calculations!$F$5="ACCREDITED 17025 WITH UNCERTAINTIES",$N$10,0)</f>
        <v>0</v>
      </c>
      <c r="O1507" s="1" t="str">
        <f>IFERROR(Table1[[#This Row],[Std Nom]]-(_xlfn.XLOOKUP(Table1[[#This Row],[Manufacturer]]&amp;" "&amp;Table1[[#This Row],[Model]],Table13[MFR &amp; MDL],Table13[Tolerance % CW ],"")/100*Table1[[#This Row],[Std Nom]]),"")</f>
        <v/>
      </c>
      <c r="P1507" s="1" t="str">
        <f>IFERROR(Table1[[#This Row],[Std Nom]]+(_xlfn.XLOOKUP(Table1[[#This Row],[Manufacturer]]&amp;" "&amp;Table1[[#This Row],[Model]],Table13[MFR &amp; MDL],Table13[Tolerance % CW ],"")/100*Table1[[#This Row],[Std Nom]]),"")</f>
        <v/>
      </c>
      <c r="Q1507" s="1" t="e">
        <f>Table1[[#This Row],[High Tol]]-Table1[[#This Row],[Low Tol]]</f>
        <v>#VALUE!</v>
      </c>
      <c r="R1507" s="1">
        <f>2*Table1[[#This Row],[Std Error]]</f>
        <v>0</v>
      </c>
      <c r="S1507" s="1" t="str">
        <f>IF(Table1[[#This Row],[High Tol]]="","N/A",IFERROR(ABS(Table1[[#This Row],[Tol Span]]/Table1[[#This Row],[Error Span]]),"N/A"))</f>
        <v>N/A</v>
      </c>
      <c r="T1507" s="1" t="str">
        <f>IF(OR(Table1[[#This Row],[Low Tol]]="",Table1[[#This Row],[High Tol]]=""),"Needs Analysis",IF(Table1[[#This Row],[Ratio]]&gt;=4,"Not Significant",IF(Table1[[#This Row],[Ratio]]&gt;=2,"Semi-Significant","Significant")))</f>
        <v>Needs Analysis</v>
      </c>
      <c r="W1507" s="1">
        <f>IF(Table1[[#This Row],[Cal Type]]&lt;&gt;"ACCREDITED 17025 WITH UNCERTAINTIES",0,"")</f>
        <v>0</v>
      </c>
      <c r="X1507" s="1" t="str">
        <f>IF(Table1[[#This Row],[DUT Read]]="","N/A",Table1[[#This Row],[Std Error]]+Table1[[#This Row],[DUT Read]]+Table1[[#This Row],[DUT Ucty]])</f>
        <v>N/A</v>
      </c>
      <c r="Y1507" s="1" t="str">
        <f>IF(Table1[[#This Row],[Std Read]]="","N/A",Table1[[#This Row],[Std Read]]+Table1[[#This Row],[Std Ucty]])</f>
        <v>N/A</v>
      </c>
      <c r="Z15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7" s="1" t="str">
        <f>IF(Table1[[#This Row],[Spec Type]]="","N/A",Table1[[#This Row],[Spec Type]])</f>
        <v>±</v>
      </c>
      <c r="AC1507" s="1" t="str">
        <f>IF(Table1[[#This Row],[Spec Type2]]="N/A","N/A",IF(AND(Table1[[#This Row],[DUT Adj Read]]&gt;=Table1[[#This Row],[Low Tol]],Table1[[#This Row],[DUT Adj Read]]&lt;=Table1[[#This Row],[High Tol]]),"Pass","Fail"))</f>
        <v>Fail</v>
      </c>
      <c r="AD1507" s="1" t="str">
        <f>IF(AND(Table1[[#This Row],[Spec Type2]]="N/A",Table1[[#This Row],[DUT Adj Read]]="N/A",Table1[[#This Row],[Std Adj Read]]="N/A"),"N/A",IF(Table1[[#This Row],[DUT Adj Read]]="N/A",IF(Table1[[#This Row],[Std Adj Read]]&gt;Table1[[#This Row],[Low Tol]],"Pass","Fail"),IF(Table1[[#This Row],[DUT Adj Read]]&gt;Table1[[#This Row],[Low Tol]],"Pass","Fail")))</f>
        <v>Pass</v>
      </c>
      <c r="AE1507" s="1" t="str">
        <f>IF(AND(Table1[[#This Row],[Spec Type2]]="N/A",Table1[[#This Row],[DUT Adj Read]]="N/A",Table1[[#This Row],[Std Adj Read]]="N/A"),"N/A",IF(Table1[[#This Row],[DUT Adj Read]]="N/A",IF(Table1[[#This Row],[Std Adj Read]]&lt;Table1[[#This Row],[High Tol]],"Pass","Fail"),IF(Table1[[#This Row],[DUT Adj Read]]&lt;Table1[[#This Row],[High Tol]],"Pass","Fail")))</f>
        <v>Fail</v>
      </c>
      <c r="AF1507" s="1" t="str">
        <f>IF(AND(Table1[[#This Row],[Spec Type2]]="N/A",Table1[[#This Row],[DUT Adj Read]]="N/A",Table1[[#This Row],[Std Adj Read]]="N/A"),"N/A",IF(Table1[[#This Row],[DUT Adj Read]]="N/A",IF(Table1[[#This Row],[Std Adj Read]]&gt;=Table1[[#This Row],[Low Tol]],"Pass","Fail"),IF(Table1[[#This Row],[DUT Adj Read]]&gt;=Table1[[#This Row],[Low Tol]],"Pass","Fail")))</f>
        <v>Pass</v>
      </c>
      <c r="AG1507" s="1" t="str">
        <f>IF(AND(Table1[[#This Row],[Spec Type2]]="N/A",Table1[[#This Row],[DUT Adj Read]]="N/A",Table1[[#This Row],[Std Adj Read]]="N/A"),"N/A",IF(Table1[[#This Row],[DUT Adj Read]]="N/A",IF(Table1[[#This Row],[Std Adj Read]]&lt;=Table1[[#This Row],[High Tol]],"Pass","Fail"),IF(Table1[[#This Row],[DUT Adj Read]]&lt;=Table1[[#This Row],[High Tol]],"Pass","Fail")))</f>
        <v>Fail</v>
      </c>
      <c r="AH15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7" s="1" t="b">
        <v>0</v>
      </c>
      <c r="AN1507" s="1" t="b">
        <v>0</v>
      </c>
      <c r="AO1507" s="1" t="b">
        <v>0</v>
      </c>
    </row>
    <row r="1508" spans="1:41" x14ac:dyDescent="0.25">
      <c r="A1508" s="10"/>
      <c r="B1508" s="10"/>
      <c r="C1508" s="10"/>
      <c r="D1508" s="10"/>
      <c r="E1508" s="10"/>
      <c r="F1508" s="10"/>
      <c r="G1508" s="10"/>
      <c r="H1508" s="10"/>
      <c r="I1508" s="1" t="str">
        <f t="shared" si="69"/>
        <v/>
      </c>
      <c r="J1508" s="1" t="s">
        <v>35</v>
      </c>
      <c r="K1508" s="1" t="str">
        <f t="shared" si="70"/>
        <v/>
      </c>
      <c r="L1508" s="1" t="str">
        <f t="shared" si="71"/>
        <v/>
      </c>
      <c r="M1508" s="1">
        <f>IF(OR(Table1[[#This Row],[Std Nom]]="",Table1[[#This Row],[Std Read]]=""),0,Table1[[#This Row],[Std Nom]]-Table1[[#This Row],[Std Read]])</f>
        <v>0</v>
      </c>
      <c r="N1508" s="1">
        <f>IF(Calculations!$F$5="ACCREDITED 17025 WITH UNCERTAINTIES",$N$10,0)</f>
        <v>0</v>
      </c>
      <c r="O1508" s="1" t="str">
        <f>IFERROR(Table1[[#This Row],[Std Nom]]-(_xlfn.XLOOKUP(Table1[[#This Row],[Manufacturer]]&amp;" "&amp;Table1[[#This Row],[Model]],Table13[MFR &amp; MDL],Table13[Tolerance % CW ],"")/100*Table1[[#This Row],[Std Nom]]),"")</f>
        <v/>
      </c>
      <c r="P1508" s="1" t="str">
        <f>IFERROR(Table1[[#This Row],[Std Nom]]+(_xlfn.XLOOKUP(Table1[[#This Row],[Manufacturer]]&amp;" "&amp;Table1[[#This Row],[Model]],Table13[MFR &amp; MDL],Table13[Tolerance % CW ],"")/100*Table1[[#This Row],[Std Nom]]),"")</f>
        <v/>
      </c>
      <c r="Q1508" s="1" t="e">
        <f>Table1[[#This Row],[High Tol]]-Table1[[#This Row],[Low Tol]]</f>
        <v>#VALUE!</v>
      </c>
      <c r="R1508" s="1">
        <f>2*Table1[[#This Row],[Std Error]]</f>
        <v>0</v>
      </c>
      <c r="S1508" s="1" t="str">
        <f>IF(Table1[[#This Row],[High Tol]]="","N/A",IFERROR(ABS(Table1[[#This Row],[Tol Span]]/Table1[[#This Row],[Error Span]]),"N/A"))</f>
        <v>N/A</v>
      </c>
      <c r="T1508" s="1" t="str">
        <f>IF(OR(Table1[[#This Row],[Low Tol]]="",Table1[[#This Row],[High Tol]]=""),"Needs Analysis",IF(Table1[[#This Row],[Ratio]]&gt;=4,"Not Significant",IF(Table1[[#This Row],[Ratio]]&gt;=2,"Semi-Significant","Significant")))</f>
        <v>Needs Analysis</v>
      </c>
      <c r="W1508" s="1">
        <f>IF(Table1[[#This Row],[Cal Type]]&lt;&gt;"ACCREDITED 17025 WITH UNCERTAINTIES",0,"")</f>
        <v>0</v>
      </c>
      <c r="X1508" s="1" t="str">
        <f>IF(Table1[[#This Row],[DUT Read]]="","N/A",Table1[[#This Row],[Std Error]]+Table1[[#This Row],[DUT Read]]+Table1[[#This Row],[DUT Ucty]])</f>
        <v>N/A</v>
      </c>
      <c r="Y1508" s="1" t="str">
        <f>IF(Table1[[#This Row],[Std Read]]="","N/A",Table1[[#This Row],[Std Read]]+Table1[[#This Row],[Std Ucty]])</f>
        <v>N/A</v>
      </c>
      <c r="Z15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8" s="1" t="str">
        <f>IF(Table1[[#This Row],[Spec Type]]="","N/A",Table1[[#This Row],[Spec Type]])</f>
        <v>±</v>
      </c>
      <c r="AC1508" s="1" t="str">
        <f>IF(Table1[[#This Row],[Spec Type2]]="N/A","N/A",IF(AND(Table1[[#This Row],[DUT Adj Read]]&gt;=Table1[[#This Row],[Low Tol]],Table1[[#This Row],[DUT Adj Read]]&lt;=Table1[[#This Row],[High Tol]]),"Pass","Fail"))</f>
        <v>Fail</v>
      </c>
      <c r="AD1508" s="1" t="str">
        <f>IF(AND(Table1[[#This Row],[Spec Type2]]="N/A",Table1[[#This Row],[DUT Adj Read]]="N/A",Table1[[#This Row],[Std Adj Read]]="N/A"),"N/A",IF(Table1[[#This Row],[DUT Adj Read]]="N/A",IF(Table1[[#This Row],[Std Adj Read]]&gt;Table1[[#This Row],[Low Tol]],"Pass","Fail"),IF(Table1[[#This Row],[DUT Adj Read]]&gt;Table1[[#This Row],[Low Tol]],"Pass","Fail")))</f>
        <v>Pass</v>
      </c>
      <c r="AE1508" s="1" t="str">
        <f>IF(AND(Table1[[#This Row],[Spec Type2]]="N/A",Table1[[#This Row],[DUT Adj Read]]="N/A",Table1[[#This Row],[Std Adj Read]]="N/A"),"N/A",IF(Table1[[#This Row],[DUT Adj Read]]="N/A",IF(Table1[[#This Row],[Std Adj Read]]&lt;Table1[[#This Row],[High Tol]],"Pass","Fail"),IF(Table1[[#This Row],[DUT Adj Read]]&lt;Table1[[#This Row],[High Tol]],"Pass","Fail")))</f>
        <v>Fail</v>
      </c>
      <c r="AF1508" s="1" t="str">
        <f>IF(AND(Table1[[#This Row],[Spec Type2]]="N/A",Table1[[#This Row],[DUT Adj Read]]="N/A",Table1[[#This Row],[Std Adj Read]]="N/A"),"N/A",IF(Table1[[#This Row],[DUT Adj Read]]="N/A",IF(Table1[[#This Row],[Std Adj Read]]&gt;=Table1[[#This Row],[Low Tol]],"Pass","Fail"),IF(Table1[[#This Row],[DUT Adj Read]]&gt;=Table1[[#This Row],[Low Tol]],"Pass","Fail")))</f>
        <v>Pass</v>
      </c>
      <c r="AG1508" s="1" t="str">
        <f>IF(AND(Table1[[#This Row],[Spec Type2]]="N/A",Table1[[#This Row],[DUT Adj Read]]="N/A",Table1[[#This Row],[Std Adj Read]]="N/A"),"N/A",IF(Table1[[#This Row],[DUT Adj Read]]="N/A",IF(Table1[[#This Row],[Std Adj Read]]&lt;=Table1[[#This Row],[High Tol]],"Pass","Fail"),IF(Table1[[#This Row],[DUT Adj Read]]&lt;=Table1[[#This Row],[High Tol]],"Pass","Fail")))</f>
        <v>Fail</v>
      </c>
      <c r="AH15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8" s="1" t="b">
        <v>0</v>
      </c>
      <c r="AN1508" s="1" t="b">
        <v>0</v>
      </c>
      <c r="AO1508" s="1" t="b">
        <v>0</v>
      </c>
    </row>
    <row r="1509" spans="1:41" x14ac:dyDescent="0.25">
      <c r="A1509" s="10"/>
      <c r="B1509" s="10"/>
      <c r="C1509" s="10"/>
      <c r="D1509" s="10"/>
      <c r="E1509" s="10"/>
      <c r="F1509" s="10"/>
      <c r="G1509" s="10"/>
      <c r="H1509" s="10"/>
      <c r="I1509" s="1" t="str">
        <f t="shared" si="69"/>
        <v/>
      </c>
      <c r="J1509" s="1" t="s">
        <v>35</v>
      </c>
      <c r="K1509" s="1" t="str">
        <f t="shared" si="70"/>
        <v/>
      </c>
      <c r="L1509" s="1" t="str">
        <f t="shared" si="71"/>
        <v/>
      </c>
      <c r="M1509" s="1">
        <f>IF(OR(Table1[[#This Row],[Std Nom]]="",Table1[[#This Row],[Std Read]]=""),0,Table1[[#This Row],[Std Nom]]-Table1[[#This Row],[Std Read]])</f>
        <v>0</v>
      </c>
      <c r="N1509" s="1">
        <f>IF(Calculations!$F$5="ACCREDITED 17025 WITH UNCERTAINTIES",$N$10,0)</f>
        <v>0</v>
      </c>
      <c r="O1509" s="1" t="str">
        <f>IFERROR(Table1[[#This Row],[Std Nom]]-(_xlfn.XLOOKUP(Table1[[#This Row],[Manufacturer]]&amp;" "&amp;Table1[[#This Row],[Model]],Table13[MFR &amp; MDL],Table13[Tolerance % CW ],"")/100*Table1[[#This Row],[Std Nom]]),"")</f>
        <v/>
      </c>
      <c r="P1509" s="1" t="str">
        <f>IFERROR(Table1[[#This Row],[Std Nom]]+(_xlfn.XLOOKUP(Table1[[#This Row],[Manufacturer]]&amp;" "&amp;Table1[[#This Row],[Model]],Table13[MFR &amp; MDL],Table13[Tolerance % CW ],"")/100*Table1[[#This Row],[Std Nom]]),"")</f>
        <v/>
      </c>
      <c r="Q1509" s="1" t="e">
        <f>Table1[[#This Row],[High Tol]]-Table1[[#This Row],[Low Tol]]</f>
        <v>#VALUE!</v>
      </c>
      <c r="R1509" s="1">
        <f>2*Table1[[#This Row],[Std Error]]</f>
        <v>0</v>
      </c>
      <c r="S1509" s="1" t="str">
        <f>IF(Table1[[#This Row],[High Tol]]="","N/A",IFERROR(ABS(Table1[[#This Row],[Tol Span]]/Table1[[#This Row],[Error Span]]),"N/A"))</f>
        <v>N/A</v>
      </c>
      <c r="T1509" s="1" t="str">
        <f>IF(OR(Table1[[#This Row],[Low Tol]]="",Table1[[#This Row],[High Tol]]=""),"Needs Analysis",IF(Table1[[#This Row],[Ratio]]&gt;=4,"Not Significant",IF(Table1[[#This Row],[Ratio]]&gt;=2,"Semi-Significant","Significant")))</f>
        <v>Needs Analysis</v>
      </c>
      <c r="W1509" s="1">
        <f>IF(Table1[[#This Row],[Cal Type]]&lt;&gt;"ACCREDITED 17025 WITH UNCERTAINTIES",0,"")</f>
        <v>0</v>
      </c>
      <c r="X1509" s="1" t="str">
        <f>IF(Table1[[#This Row],[DUT Read]]="","N/A",Table1[[#This Row],[Std Error]]+Table1[[#This Row],[DUT Read]]+Table1[[#This Row],[DUT Ucty]])</f>
        <v>N/A</v>
      </c>
      <c r="Y1509" s="1" t="str">
        <f>IF(Table1[[#This Row],[Std Read]]="","N/A",Table1[[#This Row],[Std Read]]+Table1[[#This Row],[Std Ucty]])</f>
        <v>N/A</v>
      </c>
      <c r="Z15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9" s="1" t="str">
        <f>IF(Table1[[#This Row],[Spec Type]]="","N/A",Table1[[#This Row],[Spec Type]])</f>
        <v>±</v>
      </c>
      <c r="AC1509" s="1" t="str">
        <f>IF(Table1[[#This Row],[Spec Type2]]="N/A","N/A",IF(AND(Table1[[#This Row],[DUT Adj Read]]&gt;=Table1[[#This Row],[Low Tol]],Table1[[#This Row],[DUT Adj Read]]&lt;=Table1[[#This Row],[High Tol]]),"Pass","Fail"))</f>
        <v>Fail</v>
      </c>
      <c r="AD1509" s="1" t="str">
        <f>IF(AND(Table1[[#This Row],[Spec Type2]]="N/A",Table1[[#This Row],[DUT Adj Read]]="N/A",Table1[[#This Row],[Std Adj Read]]="N/A"),"N/A",IF(Table1[[#This Row],[DUT Adj Read]]="N/A",IF(Table1[[#This Row],[Std Adj Read]]&gt;Table1[[#This Row],[Low Tol]],"Pass","Fail"),IF(Table1[[#This Row],[DUT Adj Read]]&gt;Table1[[#This Row],[Low Tol]],"Pass","Fail")))</f>
        <v>Pass</v>
      </c>
      <c r="AE1509" s="1" t="str">
        <f>IF(AND(Table1[[#This Row],[Spec Type2]]="N/A",Table1[[#This Row],[DUT Adj Read]]="N/A",Table1[[#This Row],[Std Adj Read]]="N/A"),"N/A",IF(Table1[[#This Row],[DUT Adj Read]]="N/A",IF(Table1[[#This Row],[Std Adj Read]]&lt;Table1[[#This Row],[High Tol]],"Pass","Fail"),IF(Table1[[#This Row],[DUT Adj Read]]&lt;Table1[[#This Row],[High Tol]],"Pass","Fail")))</f>
        <v>Fail</v>
      </c>
      <c r="AF1509" s="1" t="str">
        <f>IF(AND(Table1[[#This Row],[Spec Type2]]="N/A",Table1[[#This Row],[DUT Adj Read]]="N/A",Table1[[#This Row],[Std Adj Read]]="N/A"),"N/A",IF(Table1[[#This Row],[DUT Adj Read]]="N/A",IF(Table1[[#This Row],[Std Adj Read]]&gt;=Table1[[#This Row],[Low Tol]],"Pass","Fail"),IF(Table1[[#This Row],[DUT Adj Read]]&gt;=Table1[[#This Row],[Low Tol]],"Pass","Fail")))</f>
        <v>Pass</v>
      </c>
      <c r="AG1509" s="1" t="str">
        <f>IF(AND(Table1[[#This Row],[Spec Type2]]="N/A",Table1[[#This Row],[DUT Adj Read]]="N/A",Table1[[#This Row],[Std Adj Read]]="N/A"),"N/A",IF(Table1[[#This Row],[DUT Adj Read]]="N/A",IF(Table1[[#This Row],[Std Adj Read]]&lt;=Table1[[#This Row],[High Tol]],"Pass","Fail"),IF(Table1[[#This Row],[DUT Adj Read]]&lt;=Table1[[#This Row],[High Tol]],"Pass","Fail")))</f>
        <v>Fail</v>
      </c>
      <c r="AH15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9" s="1" t="b">
        <v>0</v>
      </c>
      <c r="AN1509" s="1" t="b">
        <v>0</v>
      </c>
      <c r="AO1509" s="1" t="b">
        <v>0</v>
      </c>
    </row>
    <row r="1510" spans="1:41" x14ac:dyDescent="0.25">
      <c r="A1510" s="10"/>
      <c r="B1510" s="10"/>
      <c r="C1510" s="10"/>
      <c r="D1510" s="10"/>
      <c r="E1510" s="10"/>
      <c r="F1510" s="10"/>
      <c r="G1510" s="10"/>
      <c r="H1510" s="10"/>
      <c r="I1510" s="1" t="str">
        <f t="shared" si="69"/>
        <v/>
      </c>
      <c r="J1510" s="1" t="s">
        <v>35</v>
      </c>
      <c r="K1510" s="1" t="str">
        <f t="shared" si="70"/>
        <v/>
      </c>
      <c r="L1510" s="1" t="str">
        <f t="shared" si="71"/>
        <v/>
      </c>
      <c r="M1510" s="1">
        <f>IF(OR(Table1[[#This Row],[Std Nom]]="",Table1[[#This Row],[Std Read]]=""),0,Table1[[#This Row],[Std Nom]]-Table1[[#This Row],[Std Read]])</f>
        <v>0</v>
      </c>
      <c r="N1510" s="1">
        <f>IF(Calculations!$F$5="ACCREDITED 17025 WITH UNCERTAINTIES",$N$10,0)</f>
        <v>0</v>
      </c>
      <c r="O1510" s="1" t="str">
        <f>IFERROR(Table1[[#This Row],[Std Nom]]-(_xlfn.XLOOKUP(Table1[[#This Row],[Manufacturer]]&amp;" "&amp;Table1[[#This Row],[Model]],Table13[MFR &amp; MDL],Table13[Tolerance % CW ],"")/100*Table1[[#This Row],[Std Nom]]),"")</f>
        <v/>
      </c>
      <c r="P1510" s="1" t="str">
        <f>IFERROR(Table1[[#This Row],[Std Nom]]+(_xlfn.XLOOKUP(Table1[[#This Row],[Manufacturer]]&amp;" "&amp;Table1[[#This Row],[Model]],Table13[MFR &amp; MDL],Table13[Tolerance % CW ],"")/100*Table1[[#This Row],[Std Nom]]),"")</f>
        <v/>
      </c>
      <c r="Q1510" s="1" t="e">
        <f>Table1[[#This Row],[High Tol]]-Table1[[#This Row],[Low Tol]]</f>
        <v>#VALUE!</v>
      </c>
      <c r="R1510" s="1">
        <f>2*Table1[[#This Row],[Std Error]]</f>
        <v>0</v>
      </c>
      <c r="S1510" s="1" t="str">
        <f>IF(Table1[[#This Row],[High Tol]]="","N/A",IFERROR(ABS(Table1[[#This Row],[Tol Span]]/Table1[[#This Row],[Error Span]]),"N/A"))</f>
        <v>N/A</v>
      </c>
      <c r="T1510" s="1" t="str">
        <f>IF(OR(Table1[[#This Row],[Low Tol]]="",Table1[[#This Row],[High Tol]]=""),"Needs Analysis",IF(Table1[[#This Row],[Ratio]]&gt;=4,"Not Significant",IF(Table1[[#This Row],[Ratio]]&gt;=2,"Semi-Significant","Significant")))</f>
        <v>Needs Analysis</v>
      </c>
      <c r="W1510" s="1">
        <f>IF(Table1[[#This Row],[Cal Type]]&lt;&gt;"ACCREDITED 17025 WITH UNCERTAINTIES",0,"")</f>
        <v>0</v>
      </c>
      <c r="X1510" s="1" t="str">
        <f>IF(Table1[[#This Row],[DUT Read]]="","N/A",Table1[[#This Row],[Std Error]]+Table1[[#This Row],[DUT Read]]+Table1[[#This Row],[DUT Ucty]])</f>
        <v>N/A</v>
      </c>
      <c r="Y1510" s="1" t="str">
        <f>IF(Table1[[#This Row],[Std Read]]="","N/A",Table1[[#This Row],[Std Read]]+Table1[[#This Row],[Std Ucty]])</f>
        <v>N/A</v>
      </c>
      <c r="Z15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0" s="1" t="str">
        <f>IF(Table1[[#This Row],[Spec Type]]="","N/A",Table1[[#This Row],[Spec Type]])</f>
        <v>±</v>
      </c>
      <c r="AC1510" s="1" t="str">
        <f>IF(Table1[[#This Row],[Spec Type2]]="N/A","N/A",IF(AND(Table1[[#This Row],[DUT Adj Read]]&gt;=Table1[[#This Row],[Low Tol]],Table1[[#This Row],[DUT Adj Read]]&lt;=Table1[[#This Row],[High Tol]]),"Pass","Fail"))</f>
        <v>Fail</v>
      </c>
      <c r="AD1510" s="1" t="str">
        <f>IF(AND(Table1[[#This Row],[Spec Type2]]="N/A",Table1[[#This Row],[DUT Adj Read]]="N/A",Table1[[#This Row],[Std Adj Read]]="N/A"),"N/A",IF(Table1[[#This Row],[DUT Adj Read]]="N/A",IF(Table1[[#This Row],[Std Adj Read]]&gt;Table1[[#This Row],[Low Tol]],"Pass","Fail"),IF(Table1[[#This Row],[DUT Adj Read]]&gt;Table1[[#This Row],[Low Tol]],"Pass","Fail")))</f>
        <v>Pass</v>
      </c>
      <c r="AE1510" s="1" t="str">
        <f>IF(AND(Table1[[#This Row],[Spec Type2]]="N/A",Table1[[#This Row],[DUT Adj Read]]="N/A",Table1[[#This Row],[Std Adj Read]]="N/A"),"N/A",IF(Table1[[#This Row],[DUT Adj Read]]="N/A",IF(Table1[[#This Row],[Std Adj Read]]&lt;Table1[[#This Row],[High Tol]],"Pass","Fail"),IF(Table1[[#This Row],[DUT Adj Read]]&lt;Table1[[#This Row],[High Tol]],"Pass","Fail")))</f>
        <v>Fail</v>
      </c>
      <c r="AF1510" s="1" t="str">
        <f>IF(AND(Table1[[#This Row],[Spec Type2]]="N/A",Table1[[#This Row],[DUT Adj Read]]="N/A",Table1[[#This Row],[Std Adj Read]]="N/A"),"N/A",IF(Table1[[#This Row],[DUT Adj Read]]="N/A",IF(Table1[[#This Row],[Std Adj Read]]&gt;=Table1[[#This Row],[Low Tol]],"Pass","Fail"),IF(Table1[[#This Row],[DUT Adj Read]]&gt;=Table1[[#This Row],[Low Tol]],"Pass","Fail")))</f>
        <v>Pass</v>
      </c>
      <c r="AG1510" s="1" t="str">
        <f>IF(AND(Table1[[#This Row],[Spec Type2]]="N/A",Table1[[#This Row],[DUT Adj Read]]="N/A",Table1[[#This Row],[Std Adj Read]]="N/A"),"N/A",IF(Table1[[#This Row],[DUT Adj Read]]="N/A",IF(Table1[[#This Row],[Std Adj Read]]&lt;=Table1[[#This Row],[High Tol]],"Pass","Fail"),IF(Table1[[#This Row],[DUT Adj Read]]&lt;=Table1[[#This Row],[High Tol]],"Pass","Fail")))</f>
        <v>Fail</v>
      </c>
      <c r="AH15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0" s="1" t="b">
        <v>0</v>
      </c>
      <c r="AN1510" s="1" t="b">
        <v>0</v>
      </c>
      <c r="AO1510" s="1" t="b">
        <v>0</v>
      </c>
    </row>
    <row r="1511" spans="1:41" x14ac:dyDescent="0.25">
      <c r="A1511" s="10"/>
      <c r="B1511" s="10"/>
      <c r="C1511" s="10"/>
      <c r="D1511" s="10"/>
      <c r="E1511" s="10"/>
      <c r="F1511" s="10"/>
      <c r="G1511" s="10"/>
      <c r="H1511" s="10"/>
      <c r="I1511" s="1" t="str">
        <f t="shared" si="69"/>
        <v/>
      </c>
      <c r="J1511" s="1" t="s">
        <v>35</v>
      </c>
      <c r="K1511" s="1" t="str">
        <f t="shared" si="70"/>
        <v/>
      </c>
      <c r="L1511" s="1" t="str">
        <f t="shared" si="71"/>
        <v/>
      </c>
      <c r="M1511" s="1">
        <f>IF(OR(Table1[[#This Row],[Std Nom]]="",Table1[[#This Row],[Std Read]]=""),0,Table1[[#This Row],[Std Nom]]-Table1[[#This Row],[Std Read]])</f>
        <v>0</v>
      </c>
      <c r="N1511" s="1">
        <f>IF(Calculations!$F$5="ACCREDITED 17025 WITH UNCERTAINTIES",$N$10,0)</f>
        <v>0</v>
      </c>
      <c r="O1511" s="1" t="str">
        <f>IFERROR(Table1[[#This Row],[Std Nom]]-(_xlfn.XLOOKUP(Table1[[#This Row],[Manufacturer]]&amp;" "&amp;Table1[[#This Row],[Model]],Table13[MFR &amp; MDL],Table13[Tolerance % CW ],"")/100*Table1[[#This Row],[Std Nom]]),"")</f>
        <v/>
      </c>
      <c r="P1511" s="1" t="str">
        <f>IFERROR(Table1[[#This Row],[Std Nom]]+(_xlfn.XLOOKUP(Table1[[#This Row],[Manufacturer]]&amp;" "&amp;Table1[[#This Row],[Model]],Table13[MFR &amp; MDL],Table13[Tolerance % CW ],"")/100*Table1[[#This Row],[Std Nom]]),"")</f>
        <v/>
      </c>
      <c r="Q1511" s="1" t="e">
        <f>Table1[[#This Row],[High Tol]]-Table1[[#This Row],[Low Tol]]</f>
        <v>#VALUE!</v>
      </c>
      <c r="R1511" s="1">
        <f>2*Table1[[#This Row],[Std Error]]</f>
        <v>0</v>
      </c>
      <c r="S1511" s="1" t="str">
        <f>IF(Table1[[#This Row],[High Tol]]="","N/A",IFERROR(ABS(Table1[[#This Row],[Tol Span]]/Table1[[#This Row],[Error Span]]),"N/A"))</f>
        <v>N/A</v>
      </c>
      <c r="T1511" s="1" t="str">
        <f>IF(OR(Table1[[#This Row],[Low Tol]]="",Table1[[#This Row],[High Tol]]=""),"Needs Analysis",IF(Table1[[#This Row],[Ratio]]&gt;=4,"Not Significant",IF(Table1[[#This Row],[Ratio]]&gt;=2,"Semi-Significant","Significant")))</f>
        <v>Needs Analysis</v>
      </c>
      <c r="W1511" s="1">
        <f>IF(Table1[[#This Row],[Cal Type]]&lt;&gt;"ACCREDITED 17025 WITH UNCERTAINTIES",0,"")</f>
        <v>0</v>
      </c>
      <c r="X1511" s="1" t="str">
        <f>IF(Table1[[#This Row],[DUT Read]]="","N/A",Table1[[#This Row],[Std Error]]+Table1[[#This Row],[DUT Read]]+Table1[[#This Row],[DUT Ucty]])</f>
        <v>N/A</v>
      </c>
      <c r="Y1511" s="1" t="str">
        <f>IF(Table1[[#This Row],[Std Read]]="","N/A",Table1[[#This Row],[Std Read]]+Table1[[#This Row],[Std Ucty]])</f>
        <v>N/A</v>
      </c>
      <c r="Z15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1" s="1" t="str">
        <f>IF(Table1[[#This Row],[Spec Type]]="","N/A",Table1[[#This Row],[Spec Type]])</f>
        <v>±</v>
      </c>
      <c r="AC1511" s="1" t="str">
        <f>IF(Table1[[#This Row],[Spec Type2]]="N/A","N/A",IF(AND(Table1[[#This Row],[DUT Adj Read]]&gt;=Table1[[#This Row],[Low Tol]],Table1[[#This Row],[DUT Adj Read]]&lt;=Table1[[#This Row],[High Tol]]),"Pass","Fail"))</f>
        <v>Fail</v>
      </c>
      <c r="AD1511" s="1" t="str">
        <f>IF(AND(Table1[[#This Row],[Spec Type2]]="N/A",Table1[[#This Row],[DUT Adj Read]]="N/A",Table1[[#This Row],[Std Adj Read]]="N/A"),"N/A",IF(Table1[[#This Row],[DUT Adj Read]]="N/A",IF(Table1[[#This Row],[Std Adj Read]]&gt;Table1[[#This Row],[Low Tol]],"Pass","Fail"),IF(Table1[[#This Row],[DUT Adj Read]]&gt;Table1[[#This Row],[Low Tol]],"Pass","Fail")))</f>
        <v>Pass</v>
      </c>
      <c r="AE1511" s="1" t="str">
        <f>IF(AND(Table1[[#This Row],[Spec Type2]]="N/A",Table1[[#This Row],[DUT Adj Read]]="N/A",Table1[[#This Row],[Std Adj Read]]="N/A"),"N/A",IF(Table1[[#This Row],[DUT Adj Read]]="N/A",IF(Table1[[#This Row],[Std Adj Read]]&lt;Table1[[#This Row],[High Tol]],"Pass","Fail"),IF(Table1[[#This Row],[DUT Adj Read]]&lt;Table1[[#This Row],[High Tol]],"Pass","Fail")))</f>
        <v>Fail</v>
      </c>
      <c r="AF1511" s="1" t="str">
        <f>IF(AND(Table1[[#This Row],[Spec Type2]]="N/A",Table1[[#This Row],[DUT Adj Read]]="N/A",Table1[[#This Row],[Std Adj Read]]="N/A"),"N/A",IF(Table1[[#This Row],[DUT Adj Read]]="N/A",IF(Table1[[#This Row],[Std Adj Read]]&gt;=Table1[[#This Row],[Low Tol]],"Pass","Fail"),IF(Table1[[#This Row],[DUT Adj Read]]&gt;=Table1[[#This Row],[Low Tol]],"Pass","Fail")))</f>
        <v>Pass</v>
      </c>
      <c r="AG1511" s="1" t="str">
        <f>IF(AND(Table1[[#This Row],[Spec Type2]]="N/A",Table1[[#This Row],[DUT Adj Read]]="N/A",Table1[[#This Row],[Std Adj Read]]="N/A"),"N/A",IF(Table1[[#This Row],[DUT Adj Read]]="N/A",IF(Table1[[#This Row],[Std Adj Read]]&lt;=Table1[[#This Row],[High Tol]],"Pass","Fail"),IF(Table1[[#This Row],[DUT Adj Read]]&lt;=Table1[[#This Row],[High Tol]],"Pass","Fail")))</f>
        <v>Fail</v>
      </c>
      <c r="AH15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1" s="1" t="b">
        <v>0</v>
      </c>
      <c r="AN1511" s="1" t="b">
        <v>0</v>
      </c>
      <c r="AO1511" s="1" t="b">
        <v>0</v>
      </c>
    </row>
    <row r="1512" spans="1:41" x14ac:dyDescent="0.25">
      <c r="A1512" s="10"/>
      <c r="B1512" s="10"/>
      <c r="C1512" s="10"/>
      <c r="D1512" s="10"/>
      <c r="E1512" s="10"/>
      <c r="F1512" s="10"/>
      <c r="G1512" s="10"/>
      <c r="H1512" s="10"/>
      <c r="I1512" s="1" t="str">
        <f t="shared" si="69"/>
        <v/>
      </c>
      <c r="J1512" s="1" t="s">
        <v>35</v>
      </c>
      <c r="K1512" s="1" t="str">
        <f t="shared" si="70"/>
        <v/>
      </c>
      <c r="L1512" s="1" t="str">
        <f t="shared" si="71"/>
        <v/>
      </c>
      <c r="M1512" s="1">
        <f>IF(OR(Table1[[#This Row],[Std Nom]]="",Table1[[#This Row],[Std Read]]=""),0,Table1[[#This Row],[Std Nom]]-Table1[[#This Row],[Std Read]])</f>
        <v>0</v>
      </c>
      <c r="N1512" s="1">
        <f>IF(Calculations!$F$5="ACCREDITED 17025 WITH UNCERTAINTIES",$N$10,0)</f>
        <v>0</v>
      </c>
      <c r="O1512" s="1" t="str">
        <f>IFERROR(Table1[[#This Row],[Std Nom]]-(_xlfn.XLOOKUP(Table1[[#This Row],[Manufacturer]]&amp;" "&amp;Table1[[#This Row],[Model]],Table13[MFR &amp; MDL],Table13[Tolerance % CW ],"")/100*Table1[[#This Row],[Std Nom]]),"")</f>
        <v/>
      </c>
      <c r="P1512" s="1" t="str">
        <f>IFERROR(Table1[[#This Row],[Std Nom]]+(_xlfn.XLOOKUP(Table1[[#This Row],[Manufacturer]]&amp;" "&amp;Table1[[#This Row],[Model]],Table13[MFR &amp; MDL],Table13[Tolerance % CW ],"")/100*Table1[[#This Row],[Std Nom]]),"")</f>
        <v/>
      </c>
      <c r="Q1512" s="1" t="e">
        <f>Table1[[#This Row],[High Tol]]-Table1[[#This Row],[Low Tol]]</f>
        <v>#VALUE!</v>
      </c>
      <c r="R1512" s="1">
        <f>2*Table1[[#This Row],[Std Error]]</f>
        <v>0</v>
      </c>
      <c r="S1512" s="1" t="str">
        <f>IF(Table1[[#This Row],[High Tol]]="","N/A",IFERROR(ABS(Table1[[#This Row],[Tol Span]]/Table1[[#This Row],[Error Span]]),"N/A"))</f>
        <v>N/A</v>
      </c>
      <c r="T1512" s="1" t="str">
        <f>IF(OR(Table1[[#This Row],[Low Tol]]="",Table1[[#This Row],[High Tol]]=""),"Needs Analysis",IF(Table1[[#This Row],[Ratio]]&gt;=4,"Not Significant",IF(Table1[[#This Row],[Ratio]]&gt;=2,"Semi-Significant","Significant")))</f>
        <v>Needs Analysis</v>
      </c>
      <c r="W1512" s="1">
        <f>IF(Table1[[#This Row],[Cal Type]]&lt;&gt;"ACCREDITED 17025 WITH UNCERTAINTIES",0,"")</f>
        <v>0</v>
      </c>
      <c r="X1512" s="1" t="str">
        <f>IF(Table1[[#This Row],[DUT Read]]="","N/A",Table1[[#This Row],[Std Error]]+Table1[[#This Row],[DUT Read]]+Table1[[#This Row],[DUT Ucty]])</f>
        <v>N/A</v>
      </c>
      <c r="Y1512" s="1" t="str">
        <f>IF(Table1[[#This Row],[Std Read]]="","N/A",Table1[[#This Row],[Std Read]]+Table1[[#This Row],[Std Ucty]])</f>
        <v>N/A</v>
      </c>
      <c r="Z15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2" s="1" t="str">
        <f>IF(Table1[[#This Row],[Spec Type]]="","N/A",Table1[[#This Row],[Spec Type]])</f>
        <v>±</v>
      </c>
      <c r="AC1512" s="1" t="str">
        <f>IF(Table1[[#This Row],[Spec Type2]]="N/A","N/A",IF(AND(Table1[[#This Row],[DUT Adj Read]]&gt;=Table1[[#This Row],[Low Tol]],Table1[[#This Row],[DUT Adj Read]]&lt;=Table1[[#This Row],[High Tol]]),"Pass","Fail"))</f>
        <v>Fail</v>
      </c>
      <c r="AD1512" s="1" t="str">
        <f>IF(AND(Table1[[#This Row],[Spec Type2]]="N/A",Table1[[#This Row],[DUT Adj Read]]="N/A",Table1[[#This Row],[Std Adj Read]]="N/A"),"N/A",IF(Table1[[#This Row],[DUT Adj Read]]="N/A",IF(Table1[[#This Row],[Std Adj Read]]&gt;Table1[[#This Row],[Low Tol]],"Pass","Fail"),IF(Table1[[#This Row],[DUT Adj Read]]&gt;Table1[[#This Row],[Low Tol]],"Pass","Fail")))</f>
        <v>Pass</v>
      </c>
      <c r="AE1512" s="1" t="str">
        <f>IF(AND(Table1[[#This Row],[Spec Type2]]="N/A",Table1[[#This Row],[DUT Adj Read]]="N/A",Table1[[#This Row],[Std Adj Read]]="N/A"),"N/A",IF(Table1[[#This Row],[DUT Adj Read]]="N/A",IF(Table1[[#This Row],[Std Adj Read]]&lt;Table1[[#This Row],[High Tol]],"Pass","Fail"),IF(Table1[[#This Row],[DUT Adj Read]]&lt;Table1[[#This Row],[High Tol]],"Pass","Fail")))</f>
        <v>Fail</v>
      </c>
      <c r="AF1512" s="1" t="str">
        <f>IF(AND(Table1[[#This Row],[Spec Type2]]="N/A",Table1[[#This Row],[DUT Adj Read]]="N/A",Table1[[#This Row],[Std Adj Read]]="N/A"),"N/A",IF(Table1[[#This Row],[DUT Adj Read]]="N/A",IF(Table1[[#This Row],[Std Adj Read]]&gt;=Table1[[#This Row],[Low Tol]],"Pass","Fail"),IF(Table1[[#This Row],[DUT Adj Read]]&gt;=Table1[[#This Row],[Low Tol]],"Pass","Fail")))</f>
        <v>Pass</v>
      </c>
      <c r="AG1512" s="1" t="str">
        <f>IF(AND(Table1[[#This Row],[Spec Type2]]="N/A",Table1[[#This Row],[DUT Adj Read]]="N/A",Table1[[#This Row],[Std Adj Read]]="N/A"),"N/A",IF(Table1[[#This Row],[DUT Adj Read]]="N/A",IF(Table1[[#This Row],[Std Adj Read]]&lt;=Table1[[#This Row],[High Tol]],"Pass","Fail"),IF(Table1[[#This Row],[DUT Adj Read]]&lt;=Table1[[#This Row],[High Tol]],"Pass","Fail")))</f>
        <v>Fail</v>
      </c>
      <c r="AH15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2" s="1" t="b">
        <v>0</v>
      </c>
      <c r="AN1512" s="1" t="b">
        <v>0</v>
      </c>
      <c r="AO1512" s="1" t="b">
        <v>0</v>
      </c>
    </row>
    <row r="1513" spans="1:41" x14ac:dyDescent="0.25">
      <c r="A1513" s="10"/>
      <c r="B1513" s="10"/>
      <c r="C1513" s="10"/>
      <c r="D1513" s="10"/>
      <c r="E1513" s="10"/>
      <c r="F1513" s="10"/>
      <c r="G1513" s="10"/>
      <c r="H1513" s="10"/>
      <c r="I1513" s="1" t="str">
        <f t="shared" si="69"/>
        <v/>
      </c>
      <c r="J1513" s="1" t="s">
        <v>35</v>
      </c>
      <c r="K1513" s="1" t="str">
        <f t="shared" si="70"/>
        <v/>
      </c>
      <c r="L1513" s="1" t="str">
        <f t="shared" si="71"/>
        <v/>
      </c>
      <c r="M1513" s="1">
        <f>IF(OR(Table1[[#This Row],[Std Nom]]="",Table1[[#This Row],[Std Read]]=""),0,Table1[[#This Row],[Std Nom]]-Table1[[#This Row],[Std Read]])</f>
        <v>0</v>
      </c>
      <c r="N1513" s="1">
        <f>IF(Calculations!$F$5="ACCREDITED 17025 WITH UNCERTAINTIES",$N$10,0)</f>
        <v>0</v>
      </c>
      <c r="O1513" s="1" t="str">
        <f>IFERROR(Table1[[#This Row],[Std Nom]]-(_xlfn.XLOOKUP(Table1[[#This Row],[Manufacturer]]&amp;" "&amp;Table1[[#This Row],[Model]],Table13[MFR &amp; MDL],Table13[Tolerance % CW ],"")/100*Table1[[#This Row],[Std Nom]]),"")</f>
        <v/>
      </c>
      <c r="P1513" s="1" t="str">
        <f>IFERROR(Table1[[#This Row],[Std Nom]]+(_xlfn.XLOOKUP(Table1[[#This Row],[Manufacturer]]&amp;" "&amp;Table1[[#This Row],[Model]],Table13[MFR &amp; MDL],Table13[Tolerance % CW ],"")/100*Table1[[#This Row],[Std Nom]]),"")</f>
        <v/>
      </c>
      <c r="Q1513" s="1" t="e">
        <f>Table1[[#This Row],[High Tol]]-Table1[[#This Row],[Low Tol]]</f>
        <v>#VALUE!</v>
      </c>
      <c r="R1513" s="1">
        <f>2*Table1[[#This Row],[Std Error]]</f>
        <v>0</v>
      </c>
      <c r="S1513" s="1" t="str">
        <f>IF(Table1[[#This Row],[High Tol]]="","N/A",IFERROR(ABS(Table1[[#This Row],[Tol Span]]/Table1[[#This Row],[Error Span]]),"N/A"))</f>
        <v>N/A</v>
      </c>
      <c r="T1513" s="1" t="str">
        <f>IF(OR(Table1[[#This Row],[Low Tol]]="",Table1[[#This Row],[High Tol]]=""),"Needs Analysis",IF(Table1[[#This Row],[Ratio]]&gt;=4,"Not Significant",IF(Table1[[#This Row],[Ratio]]&gt;=2,"Semi-Significant","Significant")))</f>
        <v>Needs Analysis</v>
      </c>
      <c r="W1513" s="1">
        <f>IF(Table1[[#This Row],[Cal Type]]&lt;&gt;"ACCREDITED 17025 WITH UNCERTAINTIES",0,"")</f>
        <v>0</v>
      </c>
      <c r="X1513" s="1" t="str">
        <f>IF(Table1[[#This Row],[DUT Read]]="","N/A",Table1[[#This Row],[Std Error]]+Table1[[#This Row],[DUT Read]]+Table1[[#This Row],[DUT Ucty]])</f>
        <v>N/A</v>
      </c>
      <c r="Y1513" s="1" t="str">
        <f>IF(Table1[[#This Row],[Std Read]]="","N/A",Table1[[#This Row],[Std Read]]+Table1[[#This Row],[Std Ucty]])</f>
        <v>N/A</v>
      </c>
      <c r="Z15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3" s="1" t="str">
        <f>IF(Table1[[#This Row],[Spec Type]]="","N/A",Table1[[#This Row],[Spec Type]])</f>
        <v>±</v>
      </c>
      <c r="AC1513" s="1" t="str">
        <f>IF(Table1[[#This Row],[Spec Type2]]="N/A","N/A",IF(AND(Table1[[#This Row],[DUT Adj Read]]&gt;=Table1[[#This Row],[Low Tol]],Table1[[#This Row],[DUT Adj Read]]&lt;=Table1[[#This Row],[High Tol]]),"Pass","Fail"))</f>
        <v>Fail</v>
      </c>
      <c r="AD1513" s="1" t="str">
        <f>IF(AND(Table1[[#This Row],[Spec Type2]]="N/A",Table1[[#This Row],[DUT Adj Read]]="N/A",Table1[[#This Row],[Std Adj Read]]="N/A"),"N/A",IF(Table1[[#This Row],[DUT Adj Read]]="N/A",IF(Table1[[#This Row],[Std Adj Read]]&gt;Table1[[#This Row],[Low Tol]],"Pass","Fail"),IF(Table1[[#This Row],[DUT Adj Read]]&gt;Table1[[#This Row],[Low Tol]],"Pass","Fail")))</f>
        <v>Pass</v>
      </c>
      <c r="AE1513" s="1" t="str">
        <f>IF(AND(Table1[[#This Row],[Spec Type2]]="N/A",Table1[[#This Row],[DUT Adj Read]]="N/A",Table1[[#This Row],[Std Adj Read]]="N/A"),"N/A",IF(Table1[[#This Row],[DUT Adj Read]]="N/A",IF(Table1[[#This Row],[Std Adj Read]]&lt;Table1[[#This Row],[High Tol]],"Pass","Fail"),IF(Table1[[#This Row],[DUT Adj Read]]&lt;Table1[[#This Row],[High Tol]],"Pass","Fail")))</f>
        <v>Fail</v>
      </c>
      <c r="AF1513" s="1" t="str">
        <f>IF(AND(Table1[[#This Row],[Spec Type2]]="N/A",Table1[[#This Row],[DUT Adj Read]]="N/A",Table1[[#This Row],[Std Adj Read]]="N/A"),"N/A",IF(Table1[[#This Row],[DUT Adj Read]]="N/A",IF(Table1[[#This Row],[Std Adj Read]]&gt;=Table1[[#This Row],[Low Tol]],"Pass","Fail"),IF(Table1[[#This Row],[DUT Adj Read]]&gt;=Table1[[#This Row],[Low Tol]],"Pass","Fail")))</f>
        <v>Pass</v>
      </c>
      <c r="AG1513" s="1" t="str">
        <f>IF(AND(Table1[[#This Row],[Spec Type2]]="N/A",Table1[[#This Row],[DUT Adj Read]]="N/A",Table1[[#This Row],[Std Adj Read]]="N/A"),"N/A",IF(Table1[[#This Row],[DUT Adj Read]]="N/A",IF(Table1[[#This Row],[Std Adj Read]]&lt;=Table1[[#This Row],[High Tol]],"Pass","Fail"),IF(Table1[[#This Row],[DUT Adj Read]]&lt;=Table1[[#This Row],[High Tol]],"Pass","Fail")))</f>
        <v>Fail</v>
      </c>
      <c r="AH15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3" s="1" t="b">
        <v>0</v>
      </c>
      <c r="AN1513" s="1" t="b">
        <v>0</v>
      </c>
      <c r="AO1513" s="1" t="b">
        <v>0</v>
      </c>
    </row>
    <row r="1514" spans="1:41" x14ac:dyDescent="0.25">
      <c r="A1514" s="10"/>
      <c r="B1514" s="10"/>
      <c r="C1514" s="10"/>
      <c r="D1514" s="10"/>
      <c r="E1514" s="10"/>
      <c r="F1514" s="10"/>
      <c r="G1514" s="10"/>
      <c r="H1514" s="10"/>
      <c r="I1514" s="1" t="str">
        <f t="shared" si="69"/>
        <v/>
      </c>
      <c r="J1514" s="1" t="s">
        <v>35</v>
      </c>
      <c r="K1514" s="1" t="str">
        <f t="shared" si="70"/>
        <v/>
      </c>
      <c r="L1514" s="1" t="str">
        <f t="shared" si="71"/>
        <v/>
      </c>
      <c r="M1514" s="1">
        <f>IF(OR(Table1[[#This Row],[Std Nom]]="",Table1[[#This Row],[Std Read]]=""),0,Table1[[#This Row],[Std Nom]]-Table1[[#This Row],[Std Read]])</f>
        <v>0</v>
      </c>
      <c r="N1514" s="1">
        <f>IF(Calculations!$F$5="ACCREDITED 17025 WITH UNCERTAINTIES",$N$10,0)</f>
        <v>0</v>
      </c>
      <c r="O1514" s="1" t="str">
        <f>IFERROR(Table1[[#This Row],[Std Nom]]-(_xlfn.XLOOKUP(Table1[[#This Row],[Manufacturer]]&amp;" "&amp;Table1[[#This Row],[Model]],Table13[MFR &amp; MDL],Table13[Tolerance % CW ],"")/100*Table1[[#This Row],[Std Nom]]),"")</f>
        <v/>
      </c>
      <c r="P1514" s="1" t="str">
        <f>IFERROR(Table1[[#This Row],[Std Nom]]+(_xlfn.XLOOKUP(Table1[[#This Row],[Manufacturer]]&amp;" "&amp;Table1[[#This Row],[Model]],Table13[MFR &amp; MDL],Table13[Tolerance % CW ],"")/100*Table1[[#This Row],[Std Nom]]),"")</f>
        <v/>
      </c>
      <c r="Q1514" s="1" t="e">
        <f>Table1[[#This Row],[High Tol]]-Table1[[#This Row],[Low Tol]]</f>
        <v>#VALUE!</v>
      </c>
      <c r="R1514" s="1">
        <f>2*Table1[[#This Row],[Std Error]]</f>
        <v>0</v>
      </c>
      <c r="S1514" s="1" t="str">
        <f>IF(Table1[[#This Row],[High Tol]]="","N/A",IFERROR(ABS(Table1[[#This Row],[Tol Span]]/Table1[[#This Row],[Error Span]]),"N/A"))</f>
        <v>N/A</v>
      </c>
      <c r="T1514" s="1" t="str">
        <f>IF(OR(Table1[[#This Row],[Low Tol]]="",Table1[[#This Row],[High Tol]]=""),"Needs Analysis",IF(Table1[[#This Row],[Ratio]]&gt;=4,"Not Significant",IF(Table1[[#This Row],[Ratio]]&gt;=2,"Semi-Significant","Significant")))</f>
        <v>Needs Analysis</v>
      </c>
      <c r="W1514" s="1">
        <f>IF(Table1[[#This Row],[Cal Type]]&lt;&gt;"ACCREDITED 17025 WITH UNCERTAINTIES",0,"")</f>
        <v>0</v>
      </c>
      <c r="X1514" s="1" t="str">
        <f>IF(Table1[[#This Row],[DUT Read]]="","N/A",Table1[[#This Row],[Std Error]]+Table1[[#This Row],[DUT Read]]+Table1[[#This Row],[DUT Ucty]])</f>
        <v>N/A</v>
      </c>
      <c r="Y1514" s="1" t="str">
        <f>IF(Table1[[#This Row],[Std Read]]="","N/A",Table1[[#This Row],[Std Read]]+Table1[[#This Row],[Std Ucty]])</f>
        <v>N/A</v>
      </c>
      <c r="Z15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4" s="1" t="str">
        <f>IF(Table1[[#This Row],[Spec Type]]="","N/A",Table1[[#This Row],[Spec Type]])</f>
        <v>±</v>
      </c>
      <c r="AC1514" s="1" t="str">
        <f>IF(Table1[[#This Row],[Spec Type2]]="N/A","N/A",IF(AND(Table1[[#This Row],[DUT Adj Read]]&gt;=Table1[[#This Row],[Low Tol]],Table1[[#This Row],[DUT Adj Read]]&lt;=Table1[[#This Row],[High Tol]]),"Pass","Fail"))</f>
        <v>Fail</v>
      </c>
      <c r="AD1514" s="1" t="str">
        <f>IF(AND(Table1[[#This Row],[Spec Type2]]="N/A",Table1[[#This Row],[DUT Adj Read]]="N/A",Table1[[#This Row],[Std Adj Read]]="N/A"),"N/A",IF(Table1[[#This Row],[DUT Adj Read]]="N/A",IF(Table1[[#This Row],[Std Adj Read]]&gt;Table1[[#This Row],[Low Tol]],"Pass","Fail"),IF(Table1[[#This Row],[DUT Adj Read]]&gt;Table1[[#This Row],[Low Tol]],"Pass","Fail")))</f>
        <v>Pass</v>
      </c>
      <c r="AE1514" s="1" t="str">
        <f>IF(AND(Table1[[#This Row],[Spec Type2]]="N/A",Table1[[#This Row],[DUT Adj Read]]="N/A",Table1[[#This Row],[Std Adj Read]]="N/A"),"N/A",IF(Table1[[#This Row],[DUT Adj Read]]="N/A",IF(Table1[[#This Row],[Std Adj Read]]&lt;Table1[[#This Row],[High Tol]],"Pass","Fail"),IF(Table1[[#This Row],[DUT Adj Read]]&lt;Table1[[#This Row],[High Tol]],"Pass","Fail")))</f>
        <v>Fail</v>
      </c>
      <c r="AF1514" s="1" t="str">
        <f>IF(AND(Table1[[#This Row],[Spec Type2]]="N/A",Table1[[#This Row],[DUT Adj Read]]="N/A",Table1[[#This Row],[Std Adj Read]]="N/A"),"N/A",IF(Table1[[#This Row],[DUT Adj Read]]="N/A",IF(Table1[[#This Row],[Std Adj Read]]&gt;=Table1[[#This Row],[Low Tol]],"Pass","Fail"),IF(Table1[[#This Row],[DUT Adj Read]]&gt;=Table1[[#This Row],[Low Tol]],"Pass","Fail")))</f>
        <v>Pass</v>
      </c>
      <c r="AG1514" s="1" t="str">
        <f>IF(AND(Table1[[#This Row],[Spec Type2]]="N/A",Table1[[#This Row],[DUT Adj Read]]="N/A",Table1[[#This Row],[Std Adj Read]]="N/A"),"N/A",IF(Table1[[#This Row],[DUT Adj Read]]="N/A",IF(Table1[[#This Row],[Std Adj Read]]&lt;=Table1[[#This Row],[High Tol]],"Pass","Fail"),IF(Table1[[#This Row],[DUT Adj Read]]&lt;=Table1[[#This Row],[High Tol]],"Pass","Fail")))</f>
        <v>Fail</v>
      </c>
      <c r="AH15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4" s="1" t="b">
        <v>0</v>
      </c>
      <c r="AN1514" s="1" t="b">
        <v>0</v>
      </c>
      <c r="AO1514" s="1" t="b">
        <v>0</v>
      </c>
    </row>
    <row r="1515" spans="1:41" x14ac:dyDescent="0.25">
      <c r="A1515" s="10"/>
      <c r="B1515" s="10"/>
      <c r="C1515" s="10"/>
      <c r="D1515" s="10"/>
      <c r="E1515" s="10"/>
      <c r="F1515" s="10"/>
      <c r="G1515" s="10"/>
      <c r="H1515" s="10"/>
      <c r="I1515" s="1" t="str">
        <f t="shared" si="69"/>
        <v/>
      </c>
      <c r="J1515" s="1" t="s">
        <v>35</v>
      </c>
      <c r="K1515" s="1" t="str">
        <f t="shared" si="70"/>
        <v/>
      </c>
      <c r="L1515" s="1" t="str">
        <f t="shared" si="71"/>
        <v/>
      </c>
      <c r="M1515" s="1">
        <f>IF(OR(Table1[[#This Row],[Std Nom]]="",Table1[[#This Row],[Std Read]]=""),0,Table1[[#This Row],[Std Nom]]-Table1[[#This Row],[Std Read]])</f>
        <v>0</v>
      </c>
      <c r="N1515" s="1">
        <f>IF(Calculations!$F$5="ACCREDITED 17025 WITH UNCERTAINTIES",$N$10,0)</f>
        <v>0</v>
      </c>
      <c r="O1515" s="1" t="str">
        <f>IFERROR(Table1[[#This Row],[Std Nom]]-(_xlfn.XLOOKUP(Table1[[#This Row],[Manufacturer]]&amp;" "&amp;Table1[[#This Row],[Model]],Table13[MFR &amp; MDL],Table13[Tolerance % CW ],"")/100*Table1[[#This Row],[Std Nom]]),"")</f>
        <v/>
      </c>
      <c r="P1515" s="1" t="str">
        <f>IFERROR(Table1[[#This Row],[Std Nom]]+(_xlfn.XLOOKUP(Table1[[#This Row],[Manufacturer]]&amp;" "&amp;Table1[[#This Row],[Model]],Table13[MFR &amp; MDL],Table13[Tolerance % CW ],"")/100*Table1[[#This Row],[Std Nom]]),"")</f>
        <v/>
      </c>
      <c r="Q1515" s="1" t="e">
        <f>Table1[[#This Row],[High Tol]]-Table1[[#This Row],[Low Tol]]</f>
        <v>#VALUE!</v>
      </c>
      <c r="R1515" s="1">
        <f>2*Table1[[#This Row],[Std Error]]</f>
        <v>0</v>
      </c>
      <c r="S1515" s="1" t="str">
        <f>IF(Table1[[#This Row],[High Tol]]="","N/A",IFERROR(ABS(Table1[[#This Row],[Tol Span]]/Table1[[#This Row],[Error Span]]),"N/A"))</f>
        <v>N/A</v>
      </c>
      <c r="T1515" s="1" t="str">
        <f>IF(OR(Table1[[#This Row],[Low Tol]]="",Table1[[#This Row],[High Tol]]=""),"Needs Analysis",IF(Table1[[#This Row],[Ratio]]&gt;=4,"Not Significant",IF(Table1[[#This Row],[Ratio]]&gt;=2,"Semi-Significant","Significant")))</f>
        <v>Needs Analysis</v>
      </c>
      <c r="W1515" s="1">
        <f>IF(Table1[[#This Row],[Cal Type]]&lt;&gt;"ACCREDITED 17025 WITH UNCERTAINTIES",0,"")</f>
        <v>0</v>
      </c>
      <c r="X1515" s="1" t="str">
        <f>IF(Table1[[#This Row],[DUT Read]]="","N/A",Table1[[#This Row],[Std Error]]+Table1[[#This Row],[DUT Read]]+Table1[[#This Row],[DUT Ucty]])</f>
        <v>N/A</v>
      </c>
      <c r="Y1515" s="1" t="str">
        <f>IF(Table1[[#This Row],[Std Read]]="","N/A",Table1[[#This Row],[Std Read]]+Table1[[#This Row],[Std Ucty]])</f>
        <v>N/A</v>
      </c>
      <c r="Z15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5" s="1" t="str">
        <f>IF(Table1[[#This Row],[Spec Type]]="","N/A",Table1[[#This Row],[Spec Type]])</f>
        <v>±</v>
      </c>
      <c r="AC1515" s="1" t="str">
        <f>IF(Table1[[#This Row],[Spec Type2]]="N/A","N/A",IF(AND(Table1[[#This Row],[DUT Adj Read]]&gt;=Table1[[#This Row],[Low Tol]],Table1[[#This Row],[DUT Adj Read]]&lt;=Table1[[#This Row],[High Tol]]),"Pass","Fail"))</f>
        <v>Fail</v>
      </c>
      <c r="AD1515" s="1" t="str">
        <f>IF(AND(Table1[[#This Row],[Spec Type2]]="N/A",Table1[[#This Row],[DUT Adj Read]]="N/A",Table1[[#This Row],[Std Adj Read]]="N/A"),"N/A",IF(Table1[[#This Row],[DUT Adj Read]]="N/A",IF(Table1[[#This Row],[Std Adj Read]]&gt;Table1[[#This Row],[Low Tol]],"Pass","Fail"),IF(Table1[[#This Row],[DUT Adj Read]]&gt;Table1[[#This Row],[Low Tol]],"Pass","Fail")))</f>
        <v>Pass</v>
      </c>
      <c r="AE1515" s="1" t="str">
        <f>IF(AND(Table1[[#This Row],[Spec Type2]]="N/A",Table1[[#This Row],[DUT Adj Read]]="N/A",Table1[[#This Row],[Std Adj Read]]="N/A"),"N/A",IF(Table1[[#This Row],[DUT Adj Read]]="N/A",IF(Table1[[#This Row],[Std Adj Read]]&lt;Table1[[#This Row],[High Tol]],"Pass","Fail"),IF(Table1[[#This Row],[DUT Adj Read]]&lt;Table1[[#This Row],[High Tol]],"Pass","Fail")))</f>
        <v>Fail</v>
      </c>
      <c r="AF1515" s="1" t="str">
        <f>IF(AND(Table1[[#This Row],[Spec Type2]]="N/A",Table1[[#This Row],[DUT Adj Read]]="N/A",Table1[[#This Row],[Std Adj Read]]="N/A"),"N/A",IF(Table1[[#This Row],[DUT Adj Read]]="N/A",IF(Table1[[#This Row],[Std Adj Read]]&gt;=Table1[[#This Row],[Low Tol]],"Pass","Fail"),IF(Table1[[#This Row],[DUT Adj Read]]&gt;=Table1[[#This Row],[Low Tol]],"Pass","Fail")))</f>
        <v>Pass</v>
      </c>
      <c r="AG1515" s="1" t="str">
        <f>IF(AND(Table1[[#This Row],[Spec Type2]]="N/A",Table1[[#This Row],[DUT Adj Read]]="N/A",Table1[[#This Row],[Std Adj Read]]="N/A"),"N/A",IF(Table1[[#This Row],[DUT Adj Read]]="N/A",IF(Table1[[#This Row],[Std Adj Read]]&lt;=Table1[[#This Row],[High Tol]],"Pass","Fail"),IF(Table1[[#This Row],[DUT Adj Read]]&lt;=Table1[[#This Row],[High Tol]],"Pass","Fail")))</f>
        <v>Fail</v>
      </c>
      <c r="AH15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5" s="1" t="b">
        <v>0</v>
      </c>
      <c r="AN1515" s="1" t="b">
        <v>0</v>
      </c>
      <c r="AO1515" s="1" t="b">
        <v>0</v>
      </c>
    </row>
    <row r="1516" spans="1:41" x14ac:dyDescent="0.25">
      <c r="A1516" s="10"/>
      <c r="B1516" s="10"/>
      <c r="C1516" s="10"/>
      <c r="D1516" s="10"/>
      <c r="E1516" s="10"/>
      <c r="F1516" s="10"/>
      <c r="G1516" s="10"/>
      <c r="H1516" s="10"/>
      <c r="I1516" s="1" t="str">
        <f t="shared" si="69"/>
        <v/>
      </c>
      <c r="J1516" s="1" t="s">
        <v>35</v>
      </c>
      <c r="K1516" s="1" t="str">
        <f t="shared" si="70"/>
        <v/>
      </c>
      <c r="L1516" s="1" t="str">
        <f t="shared" si="71"/>
        <v/>
      </c>
      <c r="M1516" s="1">
        <f>IF(OR(Table1[[#This Row],[Std Nom]]="",Table1[[#This Row],[Std Read]]=""),0,Table1[[#This Row],[Std Nom]]-Table1[[#This Row],[Std Read]])</f>
        <v>0</v>
      </c>
      <c r="N1516" s="1">
        <f>IF(Calculations!$F$5="ACCREDITED 17025 WITH UNCERTAINTIES",$N$10,0)</f>
        <v>0</v>
      </c>
      <c r="O1516" s="1" t="str">
        <f>IFERROR(Table1[[#This Row],[Std Nom]]-(_xlfn.XLOOKUP(Table1[[#This Row],[Manufacturer]]&amp;" "&amp;Table1[[#This Row],[Model]],Table13[MFR &amp; MDL],Table13[Tolerance % CW ],"")/100*Table1[[#This Row],[Std Nom]]),"")</f>
        <v/>
      </c>
      <c r="P1516" s="1" t="str">
        <f>IFERROR(Table1[[#This Row],[Std Nom]]+(_xlfn.XLOOKUP(Table1[[#This Row],[Manufacturer]]&amp;" "&amp;Table1[[#This Row],[Model]],Table13[MFR &amp; MDL],Table13[Tolerance % CW ],"")/100*Table1[[#This Row],[Std Nom]]),"")</f>
        <v/>
      </c>
      <c r="Q1516" s="1" t="e">
        <f>Table1[[#This Row],[High Tol]]-Table1[[#This Row],[Low Tol]]</f>
        <v>#VALUE!</v>
      </c>
      <c r="R1516" s="1">
        <f>2*Table1[[#This Row],[Std Error]]</f>
        <v>0</v>
      </c>
      <c r="S1516" s="1" t="str">
        <f>IF(Table1[[#This Row],[High Tol]]="","N/A",IFERROR(ABS(Table1[[#This Row],[Tol Span]]/Table1[[#This Row],[Error Span]]),"N/A"))</f>
        <v>N/A</v>
      </c>
      <c r="T1516" s="1" t="str">
        <f>IF(OR(Table1[[#This Row],[Low Tol]]="",Table1[[#This Row],[High Tol]]=""),"Needs Analysis",IF(Table1[[#This Row],[Ratio]]&gt;=4,"Not Significant",IF(Table1[[#This Row],[Ratio]]&gt;=2,"Semi-Significant","Significant")))</f>
        <v>Needs Analysis</v>
      </c>
      <c r="W1516" s="1">
        <f>IF(Table1[[#This Row],[Cal Type]]&lt;&gt;"ACCREDITED 17025 WITH UNCERTAINTIES",0,"")</f>
        <v>0</v>
      </c>
      <c r="X1516" s="1" t="str">
        <f>IF(Table1[[#This Row],[DUT Read]]="","N/A",Table1[[#This Row],[Std Error]]+Table1[[#This Row],[DUT Read]]+Table1[[#This Row],[DUT Ucty]])</f>
        <v>N/A</v>
      </c>
      <c r="Y1516" s="1" t="str">
        <f>IF(Table1[[#This Row],[Std Read]]="","N/A",Table1[[#This Row],[Std Read]]+Table1[[#This Row],[Std Ucty]])</f>
        <v>N/A</v>
      </c>
      <c r="Z15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6" s="1" t="str">
        <f>IF(Table1[[#This Row],[Spec Type]]="","N/A",Table1[[#This Row],[Spec Type]])</f>
        <v>±</v>
      </c>
      <c r="AC1516" s="1" t="str">
        <f>IF(Table1[[#This Row],[Spec Type2]]="N/A","N/A",IF(AND(Table1[[#This Row],[DUT Adj Read]]&gt;=Table1[[#This Row],[Low Tol]],Table1[[#This Row],[DUT Adj Read]]&lt;=Table1[[#This Row],[High Tol]]),"Pass","Fail"))</f>
        <v>Fail</v>
      </c>
      <c r="AD1516" s="1" t="str">
        <f>IF(AND(Table1[[#This Row],[Spec Type2]]="N/A",Table1[[#This Row],[DUT Adj Read]]="N/A",Table1[[#This Row],[Std Adj Read]]="N/A"),"N/A",IF(Table1[[#This Row],[DUT Adj Read]]="N/A",IF(Table1[[#This Row],[Std Adj Read]]&gt;Table1[[#This Row],[Low Tol]],"Pass","Fail"),IF(Table1[[#This Row],[DUT Adj Read]]&gt;Table1[[#This Row],[Low Tol]],"Pass","Fail")))</f>
        <v>Pass</v>
      </c>
      <c r="AE1516" s="1" t="str">
        <f>IF(AND(Table1[[#This Row],[Spec Type2]]="N/A",Table1[[#This Row],[DUT Adj Read]]="N/A",Table1[[#This Row],[Std Adj Read]]="N/A"),"N/A",IF(Table1[[#This Row],[DUT Adj Read]]="N/A",IF(Table1[[#This Row],[Std Adj Read]]&lt;Table1[[#This Row],[High Tol]],"Pass","Fail"),IF(Table1[[#This Row],[DUT Adj Read]]&lt;Table1[[#This Row],[High Tol]],"Pass","Fail")))</f>
        <v>Fail</v>
      </c>
      <c r="AF1516" s="1" t="str">
        <f>IF(AND(Table1[[#This Row],[Spec Type2]]="N/A",Table1[[#This Row],[DUT Adj Read]]="N/A",Table1[[#This Row],[Std Adj Read]]="N/A"),"N/A",IF(Table1[[#This Row],[DUT Adj Read]]="N/A",IF(Table1[[#This Row],[Std Adj Read]]&gt;=Table1[[#This Row],[Low Tol]],"Pass","Fail"),IF(Table1[[#This Row],[DUT Adj Read]]&gt;=Table1[[#This Row],[Low Tol]],"Pass","Fail")))</f>
        <v>Pass</v>
      </c>
      <c r="AG1516" s="1" t="str">
        <f>IF(AND(Table1[[#This Row],[Spec Type2]]="N/A",Table1[[#This Row],[DUT Adj Read]]="N/A",Table1[[#This Row],[Std Adj Read]]="N/A"),"N/A",IF(Table1[[#This Row],[DUT Adj Read]]="N/A",IF(Table1[[#This Row],[Std Adj Read]]&lt;=Table1[[#This Row],[High Tol]],"Pass","Fail"),IF(Table1[[#This Row],[DUT Adj Read]]&lt;=Table1[[#This Row],[High Tol]],"Pass","Fail")))</f>
        <v>Fail</v>
      </c>
      <c r="AH15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6" s="1" t="b">
        <v>0</v>
      </c>
      <c r="AN1516" s="1" t="b">
        <v>0</v>
      </c>
      <c r="AO1516" s="1" t="b">
        <v>0</v>
      </c>
    </row>
    <row r="1517" spans="1:41" x14ac:dyDescent="0.25">
      <c r="A1517" s="10"/>
      <c r="B1517" s="10"/>
      <c r="C1517" s="10"/>
      <c r="D1517" s="10"/>
      <c r="E1517" s="10"/>
      <c r="F1517" s="10"/>
      <c r="G1517" s="10"/>
      <c r="H1517" s="10"/>
      <c r="I1517" s="1" t="str">
        <f t="shared" si="69"/>
        <v/>
      </c>
      <c r="J1517" s="1" t="s">
        <v>35</v>
      </c>
      <c r="K1517" s="1" t="str">
        <f t="shared" si="70"/>
        <v/>
      </c>
      <c r="L1517" s="1" t="str">
        <f t="shared" si="71"/>
        <v/>
      </c>
      <c r="M1517" s="1">
        <f>IF(OR(Table1[[#This Row],[Std Nom]]="",Table1[[#This Row],[Std Read]]=""),0,Table1[[#This Row],[Std Nom]]-Table1[[#This Row],[Std Read]])</f>
        <v>0</v>
      </c>
      <c r="N1517" s="1">
        <f>IF(Calculations!$F$5="ACCREDITED 17025 WITH UNCERTAINTIES",$N$10,0)</f>
        <v>0</v>
      </c>
      <c r="O1517" s="1" t="str">
        <f>IFERROR(Table1[[#This Row],[Std Nom]]-(_xlfn.XLOOKUP(Table1[[#This Row],[Manufacturer]]&amp;" "&amp;Table1[[#This Row],[Model]],Table13[MFR &amp; MDL],Table13[Tolerance % CW ],"")/100*Table1[[#This Row],[Std Nom]]),"")</f>
        <v/>
      </c>
      <c r="P1517" s="1" t="str">
        <f>IFERROR(Table1[[#This Row],[Std Nom]]+(_xlfn.XLOOKUP(Table1[[#This Row],[Manufacturer]]&amp;" "&amp;Table1[[#This Row],[Model]],Table13[MFR &amp; MDL],Table13[Tolerance % CW ],"")/100*Table1[[#This Row],[Std Nom]]),"")</f>
        <v/>
      </c>
      <c r="Q1517" s="1" t="e">
        <f>Table1[[#This Row],[High Tol]]-Table1[[#This Row],[Low Tol]]</f>
        <v>#VALUE!</v>
      </c>
      <c r="R1517" s="1">
        <f>2*Table1[[#This Row],[Std Error]]</f>
        <v>0</v>
      </c>
      <c r="S1517" s="1" t="str">
        <f>IF(Table1[[#This Row],[High Tol]]="","N/A",IFERROR(ABS(Table1[[#This Row],[Tol Span]]/Table1[[#This Row],[Error Span]]),"N/A"))</f>
        <v>N/A</v>
      </c>
      <c r="T1517" s="1" t="str">
        <f>IF(OR(Table1[[#This Row],[Low Tol]]="",Table1[[#This Row],[High Tol]]=""),"Needs Analysis",IF(Table1[[#This Row],[Ratio]]&gt;=4,"Not Significant",IF(Table1[[#This Row],[Ratio]]&gt;=2,"Semi-Significant","Significant")))</f>
        <v>Needs Analysis</v>
      </c>
      <c r="W1517" s="1">
        <f>IF(Table1[[#This Row],[Cal Type]]&lt;&gt;"ACCREDITED 17025 WITH UNCERTAINTIES",0,"")</f>
        <v>0</v>
      </c>
      <c r="X1517" s="1" t="str">
        <f>IF(Table1[[#This Row],[DUT Read]]="","N/A",Table1[[#This Row],[Std Error]]+Table1[[#This Row],[DUT Read]]+Table1[[#This Row],[DUT Ucty]])</f>
        <v>N/A</v>
      </c>
      <c r="Y1517" s="1" t="str">
        <f>IF(Table1[[#This Row],[Std Read]]="","N/A",Table1[[#This Row],[Std Read]]+Table1[[#This Row],[Std Ucty]])</f>
        <v>N/A</v>
      </c>
      <c r="Z15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7" s="1" t="str">
        <f>IF(Table1[[#This Row],[Spec Type]]="","N/A",Table1[[#This Row],[Spec Type]])</f>
        <v>±</v>
      </c>
      <c r="AC1517" s="1" t="str">
        <f>IF(Table1[[#This Row],[Spec Type2]]="N/A","N/A",IF(AND(Table1[[#This Row],[DUT Adj Read]]&gt;=Table1[[#This Row],[Low Tol]],Table1[[#This Row],[DUT Adj Read]]&lt;=Table1[[#This Row],[High Tol]]),"Pass","Fail"))</f>
        <v>Fail</v>
      </c>
      <c r="AD1517" s="1" t="str">
        <f>IF(AND(Table1[[#This Row],[Spec Type2]]="N/A",Table1[[#This Row],[DUT Adj Read]]="N/A",Table1[[#This Row],[Std Adj Read]]="N/A"),"N/A",IF(Table1[[#This Row],[DUT Adj Read]]="N/A",IF(Table1[[#This Row],[Std Adj Read]]&gt;Table1[[#This Row],[Low Tol]],"Pass","Fail"),IF(Table1[[#This Row],[DUT Adj Read]]&gt;Table1[[#This Row],[Low Tol]],"Pass","Fail")))</f>
        <v>Pass</v>
      </c>
      <c r="AE1517" s="1" t="str">
        <f>IF(AND(Table1[[#This Row],[Spec Type2]]="N/A",Table1[[#This Row],[DUT Adj Read]]="N/A",Table1[[#This Row],[Std Adj Read]]="N/A"),"N/A",IF(Table1[[#This Row],[DUT Adj Read]]="N/A",IF(Table1[[#This Row],[Std Adj Read]]&lt;Table1[[#This Row],[High Tol]],"Pass","Fail"),IF(Table1[[#This Row],[DUT Adj Read]]&lt;Table1[[#This Row],[High Tol]],"Pass","Fail")))</f>
        <v>Fail</v>
      </c>
      <c r="AF1517" s="1" t="str">
        <f>IF(AND(Table1[[#This Row],[Spec Type2]]="N/A",Table1[[#This Row],[DUT Adj Read]]="N/A",Table1[[#This Row],[Std Adj Read]]="N/A"),"N/A",IF(Table1[[#This Row],[DUT Adj Read]]="N/A",IF(Table1[[#This Row],[Std Adj Read]]&gt;=Table1[[#This Row],[Low Tol]],"Pass","Fail"),IF(Table1[[#This Row],[DUT Adj Read]]&gt;=Table1[[#This Row],[Low Tol]],"Pass","Fail")))</f>
        <v>Pass</v>
      </c>
      <c r="AG1517" s="1" t="str">
        <f>IF(AND(Table1[[#This Row],[Spec Type2]]="N/A",Table1[[#This Row],[DUT Adj Read]]="N/A",Table1[[#This Row],[Std Adj Read]]="N/A"),"N/A",IF(Table1[[#This Row],[DUT Adj Read]]="N/A",IF(Table1[[#This Row],[Std Adj Read]]&lt;=Table1[[#This Row],[High Tol]],"Pass","Fail"),IF(Table1[[#This Row],[DUT Adj Read]]&lt;=Table1[[#This Row],[High Tol]],"Pass","Fail")))</f>
        <v>Fail</v>
      </c>
      <c r="AH15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7" s="1" t="b">
        <v>0</v>
      </c>
      <c r="AN1517" s="1" t="b">
        <v>0</v>
      </c>
      <c r="AO1517" s="1" t="b">
        <v>0</v>
      </c>
    </row>
    <row r="1518" spans="1:41" x14ac:dyDescent="0.25">
      <c r="A1518" s="10"/>
      <c r="B1518" s="10"/>
      <c r="C1518" s="10"/>
      <c r="D1518" s="10"/>
      <c r="E1518" s="10"/>
      <c r="F1518" s="10"/>
      <c r="G1518" s="10"/>
      <c r="H1518" s="10"/>
      <c r="I1518" s="1" t="str">
        <f t="shared" si="69"/>
        <v/>
      </c>
      <c r="J1518" s="1" t="s">
        <v>35</v>
      </c>
      <c r="K1518" s="1" t="str">
        <f t="shared" si="70"/>
        <v/>
      </c>
      <c r="L1518" s="1" t="str">
        <f t="shared" si="71"/>
        <v/>
      </c>
      <c r="M1518" s="1">
        <f>IF(OR(Table1[[#This Row],[Std Nom]]="",Table1[[#This Row],[Std Read]]=""),0,Table1[[#This Row],[Std Nom]]-Table1[[#This Row],[Std Read]])</f>
        <v>0</v>
      </c>
      <c r="N1518" s="1">
        <f>IF(Calculations!$F$5="ACCREDITED 17025 WITH UNCERTAINTIES",$N$10,0)</f>
        <v>0</v>
      </c>
      <c r="O1518" s="1" t="str">
        <f>IFERROR(Table1[[#This Row],[Std Nom]]-(_xlfn.XLOOKUP(Table1[[#This Row],[Manufacturer]]&amp;" "&amp;Table1[[#This Row],[Model]],Table13[MFR &amp; MDL],Table13[Tolerance % CW ],"")/100*Table1[[#This Row],[Std Nom]]),"")</f>
        <v/>
      </c>
      <c r="P1518" s="1" t="str">
        <f>IFERROR(Table1[[#This Row],[Std Nom]]+(_xlfn.XLOOKUP(Table1[[#This Row],[Manufacturer]]&amp;" "&amp;Table1[[#This Row],[Model]],Table13[MFR &amp; MDL],Table13[Tolerance % CW ],"")/100*Table1[[#This Row],[Std Nom]]),"")</f>
        <v/>
      </c>
      <c r="Q1518" s="1" t="e">
        <f>Table1[[#This Row],[High Tol]]-Table1[[#This Row],[Low Tol]]</f>
        <v>#VALUE!</v>
      </c>
      <c r="R1518" s="1">
        <f>2*Table1[[#This Row],[Std Error]]</f>
        <v>0</v>
      </c>
      <c r="S1518" s="1" t="str">
        <f>IF(Table1[[#This Row],[High Tol]]="","N/A",IFERROR(ABS(Table1[[#This Row],[Tol Span]]/Table1[[#This Row],[Error Span]]),"N/A"))</f>
        <v>N/A</v>
      </c>
      <c r="T1518" s="1" t="str">
        <f>IF(OR(Table1[[#This Row],[Low Tol]]="",Table1[[#This Row],[High Tol]]=""),"Needs Analysis",IF(Table1[[#This Row],[Ratio]]&gt;=4,"Not Significant",IF(Table1[[#This Row],[Ratio]]&gt;=2,"Semi-Significant","Significant")))</f>
        <v>Needs Analysis</v>
      </c>
      <c r="W1518" s="1">
        <f>IF(Table1[[#This Row],[Cal Type]]&lt;&gt;"ACCREDITED 17025 WITH UNCERTAINTIES",0,"")</f>
        <v>0</v>
      </c>
      <c r="X1518" s="1" t="str">
        <f>IF(Table1[[#This Row],[DUT Read]]="","N/A",Table1[[#This Row],[Std Error]]+Table1[[#This Row],[DUT Read]]+Table1[[#This Row],[DUT Ucty]])</f>
        <v>N/A</v>
      </c>
      <c r="Y1518" s="1" t="str">
        <f>IF(Table1[[#This Row],[Std Read]]="","N/A",Table1[[#This Row],[Std Read]]+Table1[[#This Row],[Std Ucty]])</f>
        <v>N/A</v>
      </c>
      <c r="Z15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8" s="1" t="str">
        <f>IF(Table1[[#This Row],[Spec Type]]="","N/A",Table1[[#This Row],[Spec Type]])</f>
        <v>±</v>
      </c>
      <c r="AC1518" s="1" t="str">
        <f>IF(Table1[[#This Row],[Spec Type2]]="N/A","N/A",IF(AND(Table1[[#This Row],[DUT Adj Read]]&gt;=Table1[[#This Row],[Low Tol]],Table1[[#This Row],[DUT Adj Read]]&lt;=Table1[[#This Row],[High Tol]]),"Pass","Fail"))</f>
        <v>Fail</v>
      </c>
      <c r="AD1518" s="1" t="str">
        <f>IF(AND(Table1[[#This Row],[Spec Type2]]="N/A",Table1[[#This Row],[DUT Adj Read]]="N/A",Table1[[#This Row],[Std Adj Read]]="N/A"),"N/A",IF(Table1[[#This Row],[DUT Adj Read]]="N/A",IF(Table1[[#This Row],[Std Adj Read]]&gt;Table1[[#This Row],[Low Tol]],"Pass","Fail"),IF(Table1[[#This Row],[DUT Adj Read]]&gt;Table1[[#This Row],[Low Tol]],"Pass","Fail")))</f>
        <v>Pass</v>
      </c>
      <c r="AE1518" s="1" t="str">
        <f>IF(AND(Table1[[#This Row],[Spec Type2]]="N/A",Table1[[#This Row],[DUT Adj Read]]="N/A",Table1[[#This Row],[Std Adj Read]]="N/A"),"N/A",IF(Table1[[#This Row],[DUT Adj Read]]="N/A",IF(Table1[[#This Row],[Std Adj Read]]&lt;Table1[[#This Row],[High Tol]],"Pass","Fail"),IF(Table1[[#This Row],[DUT Adj Read]]&lt;Table1[[#This Row],[High Tol]],"Pass","Fail")))</f>
        <v>Fail</v>
      </c>
      <c r="AF1518" s="1" t="str">
        <f>IF(AND(Table1[[#This Row],[Spec Type2]]="N/A",Table1[[#This Row],[DUT Adj Read]]="N/A",Table1[[#This Row],[Std Adj Read]]="N/A"),"N/A",IF(Table1[[#This Row],[DUT Adj Read]]="N/A",IF(Table1[[#This Row],[Std Adj Read]]&gt;=Table1[[#This Row],[Low Tol]],"Pass","Fail"),IF(Table1[[#This Row],[DUT Adj Read]]&gt;=Table1[[#This Row],[Low Tol]],"Pass","Fail")))</f>
        <v>Pass</v>
      </c>
      <c r="AG1518" s="1" t="str">
        <f>IF(AND(Table1[[#This Row],[Spec Type2]]="N/A",Table1[[#This Row],[DUT Adj Read]]="N/A",Table1[[#This Row],[Std Adj Read]]="N/A"),"N/A",IF(Table1[[#This Row],[DUT Adj Read]]="N/A",IF(Table1[[#This Row],[Std Adj Read]]&lt;=Table1[[#This Row],[High Tol]],"Pass","Fail"),IF(Table1[[#This Row],[DUT Adj Read]]&lt;=Table1[[#This Row],[High Tol]],"Pass","Fail")))</f>
        <v>Fail</v>
      </c>
      <c r="AH15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8" s="1" t="b">
        <v>0</v>
      </c>
      <c r="AN1518" s="1" t="b">
        <v>0</v>
      </c>
      <c r="AO1518" s="1" t="b">
        <v>0</v>
      </c>
    </row>
    <row r="1519" spans="1:41" x14ac:dyDescent="0.25">
      <c r="A1519" s="10"/>
      <c r="B1519" s="10"/>
      <c r="C1519" s="10"/>
      <c r="D1519" s="10"/>
      <c r="E1519" s="10"/>
      <c r="F1519" s="10"/>
      <c r="G1519" s="10"/>
      <c r="H1519" s="10"/>
      <c r="I1519" s="1" t="str">
        <f t="shared" si="69"/>
        <v/>
      </c>
      <c r="J1519" s="1" t="s">
        <v>35</v>
      </c>
      <c r="K1519" s="1" t="str">
        <f t="shared" si="70"/>
        <v/>
      </c>
      <c r="L1519" s="1" t="str">
        <f t="shared" si="71"/>
        <v/>
      </c>
      <c r="M1519" s="1">
        <f>IF(OR(Table1[[#This Row],[Std Nom]]="",Table1[[#This Row],[Std Read]]=""),0,Table1[[#This Row],[Std Nom]]-Table1[[#This Row],[Std Read]])</f>
        <v>0</v>
      </c>
      <c r="N1519" s="1">
        <f>IF(Calculations!$F$5="ACCREDITED 17025 WITH UNCERTAINTIES",$N$10,0)</f>
        <v>0</v>
      </c>
      <c r="O1519" s="1" t="str">
        <f>IFERROR(Table1[[#This Row],[Std Nom]]-(_xlfn.XLOOKUP(Table1[[#This Row],[Manufacturer]]&amp;" "&amp;Table1[[#This Row],[Model]],Table13[MFR &amp; MDL],Table13[Tolerance % CW ],"")/100*Table1[[#This Row],[Std Nom]]),"")</f>
        <v/>
      </c>
      <c r="P1519" s="1" t="str">
        <f>IFERROR(Table1[[#This Row],[Std Nom]]+(_xlfn.XLOOKUP(Table1[[#This Row],[Manufacturer]]&amp;" "&amp;Table1[[#This Row],[Model]],Table13[MFR &amp; MDL],Table13[Tolerance % CW ],"")/100*Table1[[#This Row],[Std Nom]]),"")</f>
        <v/>
      </c>
      <c r="Q1519" s="1" t="e">
        <f>Table1[[#This Row],[High Tol]]-Table1[[#This Row],[Low Tol]]</f>
        <v>#VALUE!</v>
      </c>
      <c r="R1519" s="1">
        <f>2*Table1[[#This Row],[Std Error]]</f>
        <v>0</v>
      </c>
      <c r="S1519" s="1" t="str">
        <f>IF(Table1[[#This Row],[High Tol]]="","N/A",IFERROR(ABS(Table1[[#This Row],[Tol Span]]/Table1[[#This Row],[Error Span]]),"N/A"))</f>
        <v>N/A</v>
      </c>
      <c r="T1519" s="1" t="str">
        <f>IF(OR(Table1[[#This Row],[Low Tol]]="",Table1[[#This Row],[High Tol]]=""),"Needs Analysis",IF(Table1[[#This Row],[Ratio]]&gt;=4,"Not Significant",IF(Table1[[#This Row],[Ratio]]&gt;=2,"Semi-Significant","Significant")))</f>
        <v>Needs Analysis</v>
      </c>
      <c r="W1519" s="1">
        <f>IF(Table1[[#This Row],[Cal Type]]&lt;&gt;"ACCREDITED 17025 WITH UNCERTAINTIES",0,"")</f>
        <v>0</v>
      </c>
      <c r="X1519" s="1" t="str">
        <f>IF(Table1[[#This Row],[DUT Read]]="","N/A",Table1[[#This Row],[Std Error]]+Table1[[#This Row],[DUT Read]]+Table1[[#This Row],[DUT Ucty]])</f>
        <v>N/A</v>
      </c>
      <c r="Y1519" s="1" t="str">
        <f>IF(Table1[[#This Row],[Std Read]]="","N/A",Table1[[#This Row],[Std Read]]+Table1[[#This Row],[Std Ucty]])</f>
        <v>N/A</v>
      </c>
      <c r="Z15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9" s="1" t="str">
        <f>IF(Table1[[#This Row],[Spec Type]]="","N/A",Table1[[#This Row],[Spec Type]])</f>
        <v>±</v>
      </c>
      <c r="AC1519" s="1" t="str">
        <f>IF(Table1[[#This Row],[Spec Type2]]="N/A","N/A",IF(AND(Table1[[#This Row],[DUT Adj Read]]&gt;=Table1[[#This Row],[Low Tol]],Table1[[#This Row],[DUT Adj Read]]&lt;=Table1[[#This Row],[High Tol]]),"Pass","Fail"))</f>
        <v>Fail</v>
      </c>
      <c r="AD1519" s="1" t="str">
        <f>IF(AND(Table1[[#This Row],[Spec Type2]]="N/A",Table1[[#This Row],[DUT Adj Read]]="N/A",Table1[[#This Row],[Std Adj Read]]="N/A"),"N/A",IF(Table1[[#This Row],[DUT Adj Read]]="N/A",IF(Table1[[#This Row],[Std Adj Read]]&gt;Table1[[#This Row],[Low Tol]],"Pass","Fail"),IF(Table1[[#This Row],[DUT Adj Read]]&gt;Table1[[#This Row],[Low Tol]],"Pass","Fail")))</f>
        <v>Pass</v>
      </c>
      <c r="AE1519" s="1" t="str">
        <f>IF(AND(Table1[[#This Row],[Spec Type2]]="N/A",Table1[[#This Row],[DUT Adj Read]]="N/A",Table1[[#This Row],[Std Adj Read]]="N/A"),"N/A",IF(Table1[[#This Row],[DUT Adj Read]]="N/A",IF(Table1[[#This Row],[Std Adj Read]]&lt;Table1[[#This Row],[High Tol]],"Pass","Fail"),IF(Table1[[#This Row],[DUT Adj Read]]&lt;Table1[[#This Row],[High Tol]],"Pass","Fail")))</f>
        <v>Fail</v>
      </c>
      <c r="AF1519" s="1" t="str">
        <f>IF(AND(Table1[[#This Row],[Spec Type2]]="N/A",Table1[[#This Row],[DUT Adj Read]]="N/A",Table1[[#This Row],[Std Adj Read]]="N/A"),"N/A",IF(Table1[[#This Row],[DUT Adj Read]]="N/A",IF(Table1[[#This Row],[Std Adj Read]]&gt;=Table1[[#This Row],[Low Tol]],"Pass","Fail"),IF(Table1[[#This Row],[DUT Adj Read]]&gt;=Table1[[#This Row],[Low Tol]],"Pass","Fail")))</f>
        <v>Pass</v>
      </c>
      <c r="AG1519" s="1" t="str">
        <f>IF(AND(Table1[[#This Row],[Spec Type2]]="N/A",Table1[[#This Row],[DUT Adj Read]]="N/A",Table1[[#This Row],[Std Adj Read]]="N/A"),"N/A",IF(Table1[[#This Row],[DUT Adj Read]]="N/A",IF(Table1[[#This Row],[Std Adj Read]]&lt;=Table1[[#This Row],[High Tol]],"Pass","Fail"),IF(Table1[[#This Row],[DUT Adj Read]]&lt;=Table1[[#This Row],[High Tol]],"Pass","Fail")))</f>
        <v>Fail</v>
      </c>
      <c r="AH15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9" s="1" t="b">
        <v>0</v>
      </c>
      <c r="AN1519" s="1" t="b">
        <v>0</v>
      </c>
      <c r="AO1519" s="1" t="b">
        <v>0</v>
      </c>
    </row>
    <row r="1520" spans="1:41" x14ac:dyDescent="0.25">
      <c r="A1520" s="10"/>
      <c r="B1520" s="10"/>
      <c r="C1520" s="10"/>
      <c r="D1520" s="10"/>
      <c r="E1520" s="10"/>
      <c r="F1520" s="10"/>
      <c r="G1520" s="10"/>
      <c r="H1520" s="10"/>
      <c r="I1520" s="1" t="str">
        <f t="shared" si="69"/>
        <v/>
      </c>
      <c r="J1520" s="1" t="s">
        <v>35</v>
      </c>
      <c r="K1520" s="1" t="str">
        <f t="shared" si="70"/>
        <v/>
      </c>
      <c r="L1520" s="1" t="str">
        <f t="shared" si="71"/>
        <v/>
      </c>
      <c r="M1520" s="1">
        <f>IF(OR(Table1[[#This Row],[Std Nom]]="",Table1[[#This Row],[Std Read]]=""),0,Table1[[#This Row],[Std Nom]]-Table1[[#This Row],[Std Read]])</f>
        <v>0</v>
      </c>
      <c r="N1520" s="1">
        <f>IF(Calculations!$F$5="ACCREDITED 17025 WITH UNCERTAINTIES",$N$10,0)</f>
        <v>0</v>
      </c>
      <c r="O1520" s="1" t="str">
        <f>IFERROR(Table1[[#This Row],[Std Nom]]-(_xlfn.XLOOKUP(Table1[[#This Row],[Manufacturer]]&amp;" "&amp;Table1[[#This Row],[Model]],Table13[MFR &amp; MDL],Table13[Tolerance % CW ],"")/100*Table1[[#This Row],[Std Nom]]),"")</f>
        <v/>
      </c>
      <c r="P1520" s="1" t="str">
        <f>IFERROR(Table1[[#This Row],[Std Nom]]+(_xlfn.XLOOKUP(Table1[[#This Row],[Manufacturer]]&amp;" "&amp;Table1[[#This Row],[Model]],Table13[MFR &amp; MDL],Table13[Tolerance % CW ],"")/100*Table1[[#This Row],[Std Nom]]),"")</f>
        <v/>
      </c>
      <c r="Q1520" s="1" t="e">
        <f>Table1[[#This Row],[High Tol]]-Table1[[#This Row],[Low Tol]]</f>
        <v>#VALUE!</v>
      </c>
      <c r="R1520" s="1">
        <f>2*Table1[[#This Row],[Std Error]]</f>
        <v>0</v>
      </c>
      <c r="S1520" s="1" t="str">
        <f>IF(Table1[[#This Row],[High Tol]]="","N/A",IFERROR(ABS(Table1[[#This Row],[Tol Span]]/Table1[[#This Row],[Error Span]]),"N/A"))</f>
        <v>N/A</v>
      </c>
      <c r="T1520" s="1" t="str">
        <f>IF(OR(Table1[[#This Row],[Low Tol]]="",Table1[[#This Row],[High Tol]]=""),"Needs Analysis",IF(Table1[[#This Row],[Ratio]]&gt;=4,"Not Significant",IF(Table1[[#This Row],[Ratio]]&gt;=2,"Semi-Significant","Significant")))</f>
        <v>Needs Analysis</v>
      </c>
      <c r="W1520" s="1">
        <f>IF(Table1[[#This Row],[Cal Type]]&lt;&gt;"ACCREDITED 17025 WITH UNCERTAINTIES",0,"")</f>
        <v>0</v>
      </c>
      <c r="X1520" s="1" t="str">
        <f>IF(Table1[[#This Row],[DUT Read]]="","N/A",Table1[[#This Row],[Std Error]]+Table1[[#This Row],[DUT Read]]+Table1[[#This Row],[DUT Ucty]])</f>
        <v>N/A</v>
      </c>
      <c r="Y1520" s="1" t="str">
        <f>IF(Table1[[#This Row],[Std Read]]="","N/A",Table1[[#This Row],[Std Read]]+Table1[[#This Row],[Std Ucty]])</f>
        <v>N/A</v>
      </c>
      <c r="Z15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0" s="1" t="str">
        <f>IF(Table1[[#This Row],[Spec Type]]="","N/A",Table1[[#This Row],[Spec Type]])</f>
        <v>±</v>
      </c>
      <c r="AC1520" s="1" t="str">
        <f>IF(Table1[[#This Row],[Spec Type2]]="N/A","N/A",IF(AND(Table1[[#This Row],[DUT Adj Read]]&gt;=Table1[[#This Row],[Low Tol]],Table1[[#This Row],[DUT Adj Read]]&lt;=Table1[[#This Row],[High Tol]]),"Pass","Fail"))</f>
        <v>Fail</v>
      </c>
      <c r="AD1520" s="1" t="str">
        <f>IF(AND(Table1[[#This Row],[Spec Type2]]="N/A",Table1[[#This Row],[DUT Adj Read]]="N/A",Table1[[#This Row],[Std Adj Read]]="N/A"),"N/A",IF(Table1[[#This Row],[DUT Adj Read]]="N/A",IF(Table1[[#This Row],[Std Adj Read]]&gt;Table1[[#This Row],[Low Tol]],"Pass","Fail"),IF(Table1[[#This Row],[DUT Adj Read]]&gt;Table1[[#This Row],[Low Tol]],"Pass","Fail")))</f>
        <v>Pass</v>
      </c>
      <c r="AE1520" s="1" t="str">
        <f>IF(AND(Table1[[#This Row],[Spec Type2]]="N/A",Table1[[#This Row],[DUT Adj Read]]="N/A",Table1[[#This Row],[Std Adj Read]]="N/A"),"N/A",IF(Table1[[#This Row],[DUT Adj Read]]="N/A",IF(Table1[[#This Row],[Std Adj Read]]&lt;Table1[[#This Row],[High Tol]],"Pass","Fail"),IF(Table1[[#This Row],[DUT Adj Read]]&lt;Table1[[#This Row],[High Tol]],"Pass","Fail")))</f>
        <v>Fail</v>
      </c>
      <c r="AF1520" s="1" t="str">
        <f>IF(AND(Table1[[#This Row],[Spec Type2]]="N/A",Table1[[#This Row],[DUT Adj Read]]="N/A",Table1[[#This Row],[Std Adj Read]]="N/A"),"N/A",IF(Table1[[#This Row],[DUT Adj Read]]="N/A",IF(Table1[[#This Row],[Std Adj Read]]&gt;=Table1[[#This Row],[Low Tol]],"Pass","Fail"),IF(Table1[[#This Row],[DUT Adj Read]]&gt;=Table1[[#This Row],[Low Tol]],"Pass","Fail")))</f>
        <v>Pass</v>
      </c>
      <c r="AG1520" s="1" t="str">
        <f>IF(AND(Table1[[#This Row],[Spec Type2]]="N/A",Table1[[#This Row],[DUT Adj Read]]="N/A",Table1[[#This Row],[Std Adj Read]]="N/A"),"N/A",IF(Table1[[#This Row],[DUT Adj Read]]="N/A",IF(Table1[[#This Row],[Std Adj Read]]&lt;=Table1[[#This Row],[High Tol]],"Pass","Fail"),IF(Table1[[#This Row],[DUT Adj Read]]&lt;=Table1[[#This Row],[High Tol]],"Pass","Fail")))</f>
        <v>Fail</v>
      </c>
      <c r="AH15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0" s="1" t="b">
        <v>0</v>
      </c>
      <c r="AN1520" s="1" t="b">
        <v>0</v>
      </c>
      <c r="AO1520" s="1" t="b">
        <v>0</v>
      </c>
    </row>
    <row r="1521" spans="1:41" x14ac:dyDescent="0.25">
      <c r="A1521" s="10"/>
      <c r="B1521" s="10"/>
      <c r="C1521" s="10"/>
      <c r="D1521" s="10"/>
      <c r="E1521" s="10"/>
      <c r="F1521" s="10"/>
      <c r="G1521" s="10"/>
      <c r="H1521" s="10"/>
      <c r="I1521" s="1" t="str">
        <f t="shared" si="69"/>
        <v/>
      </c>
      <c r="J1521" s="1" t="s">
        <v>35</v>
      </c>
      <c r="K1521" s="1" t="str">
        <f t="shared" si="70"/>
        <v/>
      </c>
      <c r="L1521" s="1" t="str">
        <f t="shared" si="71"/>
        <v/>
      </c>
      <c r="M1521" s="1">
        <f>IF(OR(Table1[[#This Row],[Std Nom]]="",Table1[[#This Row],[Std Read]]=""),0,Table1[[#This Row],[Std Nom]]-Table1[[#This Row],[Std Read]])</f>
        <v>0</v>
      </c>
      <c r="N1521" s="1">
        <f>IF(Calculations!$F$5="ACCREDITED 17025 WITH UNCERTAINTIES",$N$10,0)</f>
        <v>0</v>
      </c>
      <c r="O1521" s="1" t="str">
        <f>IFERROR(Table1[[#This Row],[Std Nom]]-(_xlfn.XLOOKUP(Table1[[#This Row],[Manufacturer]]&amp;" "&amp;Table1[[#This Row],[Model]],Table13[MFR &amp; MDL],Table13[Tolerance % CW ],"")/100*Table1[[#This Row],[Std Nom]]),"")</f>
        <v/>
      </c>
      <c r="P1521" s="1" t="str">
        <f>IFERROR(Table1[[#This Row],[Std Nom]]+(_xlfn.XLOOKUP(Table1[[#This Row],[Manufacturer]]&amp;" "&amp;Table1[[#This Row],[Model]],Table13[MFR &amp; MDL],Table13[Tolerance % CW ],"")/100*Table1[[#This Row],[Std Nom]]),"")</f>
        <v/>
      </c>
      <c r="Q1521" s="1" t="e">
        <f>Table1[[#This Row],[High Tol]]-Table1[[#This Row],[Low Tol]]</f>
        <v>#VALUE!</v>
      </c>
      <c r="R1521" s="1">
        <f>2*Table1[[#This Row],[Std Error]]</f>
        <v>0</v>
      </c>
      <c r="S1521" s="1" t="str">
        <f>IF(Table1[[#This Row],[High Tol]]="","N/A",IFERROR(ABS(Table1[[#This Row],[Tol Span]]/Table1[[#This Row],[Error Span]]),"N/A"))</f>
        <v>N/A</v>
      </c>
      <c r="T1521" s="1" t="str">
        <f>IF(OR(Table1[[#This Row],[Low Tol]]="",Table1[[#This Row],[High Tol]]=""),"Needs Analysis",IF(Table1[[#This Row],[Ratio]]&gt;=4,"Not Significant",IF(Table1[[#This Row],[Ratio]]&gt;=2,"Semi-Significant","Significant")))</f>
        <v>Needs Analysis</v>
      </c>
      <c r="W1521" s="1">
        <f>IF(Table1[[#This Row],[Cal Type]]&lt;&gt;"ACCREDITED 17025 WITH UNCERTAINTIES",0,"")</f>
        <v>0</v>
      </c>
      <c r="X1521" s="1" t="str">
        <f>IF(Table1[[#This Row],[DUT Read]]="","N/A",Table1[[#This Row],[Std Error]]+Table1[[#This Row],[DUT Read]]+Table1[[#This Row],[DUT Ucty]])</f>
        <v>N/A</v>
      </c>
      <c r="Y1521" s="1" t="str">
        <f>IF(Table1[[#This Row],[Std Read]]="","N/A",Table1[[#This Row],[Std Read]]+Table1[[#This Row],[Std Ucty]])</f>
        <v>N/A</v>
      </c>
      <c r="Z15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1" s="1" t="str">
        <f>IF(Table1[[#This Row],[Spec Type]]="","N/A",Table1[[#This Row],[Spec Type]])</f>
        <v>±</v>
      </c>
      <c r="AC1521" s="1" t="str">
        <f>IF(Table1[[#This Row],[Spec Type2]]="N/A","N/A",IF(AND(Table1[[#This Row],[DUT Adj Read]]&gt;=Table1[[#This Row],[Low Tol]],Table1[[#This Row],[DUT Adj Read]]&lt;=Table1[[#This Row],[High Tol]]),"Pass","Fail"))</f>
        <v>Fail</v>
      </c>
      <c r="AD1521" s="1" t="str">
        <f>IF(AND(Table1[[#This Row],[Spec Type2]]="N/A",Table1[[#This Row],[DUT Adj Read]]="N/A",Table1[[#This Row],[Std Adj Read]]="N/A"),"N/A",IF(Table1[[#This Row],[DUT Adj Read]]="N/A",IF(Table1[[#This Row],[Std Adj Read]]&gt;Table1[[#This Row],[Low Tol]],"Pass","Fail"),IF(Table1[[#This Row],[DUT Adj Read]]&gt;Table1[[#This Row],[Low Tol]],"Pass","Fail")))</f>
        <v>Pass</v>
      </c>
      <c r="AE1521" s="1" t="str">
        <f>IF(AND(Table1[[#This Row],[Spec Type2]]="N/A",Table1[[#This Row],[DUT Adj Read]]="N/A",Table1[[#This Row],[Std Adj Read]]="N/A"),"N/A",IF(Table1[[#This Row],[DUT Adj Read]]="N/A",IF(Table1[[#This Row],[Std Adj Read]]&lt;Table1[[#This Row],[High Tol]],"Pass","Fail"),IF(Table1[[#This Row],[DUT Adj Read]]&lt;Table1[[#This Row],[High Tol]],"Pass","Fail")))</f>
        <v>Fail</v>
      </c>
      <c r="AF1521" s="1" t="str">
        <f>IF(AND(Table1[[#This Row],[Spec Type2]]="N/A",Table1[[#This Row],[DUT Adj Read]]="N/A",Table1[[#This Row],[Std Adj Read]]="N/A"),"N/A",IF(Table1[[#This Row],[DUT Adj Read]]="N/A",IF(Table1[[#This Row],[Std Adj Read]]&gt;=Table1[[#This Row],[Low Tol]],"Pass","Fail"),IF(Table1[[#This Row],[DUT Adj Read]]&gt;=Table1[[#This Row],[Low Tol]],"Pass","Fail")))</f>
        <v>Pass</v>
      </c>
      <c r="AG1521" s="1" t="str">
        <f>IF(AND(Table1[[#This Row],[Spec Type2]]="N/A",Table1[[#This Row],[DUT Adj Read]]="N/A",Table1[[#This Row],[Std Adj Read]]="N/A"),"N/A",IF(Table1[[#This Row],[DUT Adj Read]]="N/A",IF(Table1[[#This Row],[Std Adj Read]]&lt;=Table1[[#This Row],[High Tol]],"Pass","Fail"),IF(Table1[[#This Row],[DUT Adj Read]]&lt;=Table1[[#This Row],[High Tol]],"Pass","Fail")))</f>
        <v>Fail</v>
      </c>
      <c r="AH15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1" s="1" t="b">
        <v>0</v>
      </c>
      <c r="AN1521" s="1" t="b">
        <v>0</v>
      </c>
      <c r="AO1521" s="1" t="b">
        <v>0</v>
      </c>
    </row>
    <row r="1522" spans="1:41" x14ac:dyDescent="0.25">
      <c r="A1522" s="10"/>
      <c r="B1522" s="10"/>
      <c r="C1522" s="10"/>
      <c r="D1522" s="10"/>
      <c r="E1522" s="10"/>
      <c r="F1522" s="10"/>
      <c r="G1522" s="10"/>
      <c r="H1522" s="10"/>
      <c r="I1522" s="1" t="str">
        <f t="shared" si="69"/>
        <v/>
      </c>
      <c r="J1522" s="1" t="s">
        <v>35</v>
      </c>
      <c r="K1522" s="1" t="str">
        <f t="shared" si="70"/>
        <v/>
      </c>
      <c r="L1522" s="1" t="str">
        <f t="shared" si="71"/>
        <v/>
      </c>
      <c r="M1522" s="1">
        <f>IF(OR(Table1[[#This Row],[Std Nom]]="",Table1[[#This Row],[Std Read]]=""),0,Table1[[#This Row],[Std Nom]]-Table1[[#This Row],[Std Read]])</f>
        <v>0</v>
      </c>
      <c r="N1522" s="1">
        <f>IF(Calculations!$F$5="ACCREDITED 17025 WITH UNCERTAINTIES",$N$10,0)</f>
        <v>0</v>
      </c>
      <c r="O1522" s="1" t="str">
        <f>IFERROR(Table1[[#This Row],[Std Nom]]-(_xlfn.XLOOKUP(Table1[[#This Row],[Manufacturer]]&amp;" "&amp;Table1[[#This Row],[Model]],Table13[MFR &amp; MDL],Table13[Tolerance % CW ],"")/100*Table1[[#This Row],[Std Nom]]),"")</f>
        <v/>
      </c>
      <c r="P1522" s="1" t="str">
        <f>IFERROR(Table1[[#This Row],[Std Nom]]+(_xlfn.XLOOKUP(Table1[[#This Row],[Manufacturer]]&amp;" "&amp;Table1[[#This Row],[Model]],Table13[MFR &amp; MDL],Table13[Tolerance % CW ],"")/100*Table1[[#This Row],[Std Nom]]),"")</f>
        <v/>
      </c>
      <c r="Q1522" s="1" t="e">
        <f>Table1[[#This Row],[High Tol]]-Table1[[#This Row],[Low Tol]]</f>
        <v>#VALUE!</v>
      </c>
      <c r="R1522" s="1">
        <f>2*Table1[[#This Row],[Std Error]]</f>
        <v>0</v>
      </c>
      <c r="S1522" s="1" t="str">
        <f>IF(Table1[[#This Row],[High Tol]]="","N/A",IFERROR(ABS(Table1[[#This Row],[Tol Span]]/Table1[[#This Row],[Error Span]]),"N/A"))</f>
        <v>N/A</v>
      </c>
      <c r="T1522" s="1" t="str">
        <f>IF(OR(Table1[[#This Row],[Low Tol]]="",Table1[[#This Row],[High Tol]]=""),"Needs Analysis",IF(Table1[[#This Row],[Ratio]]&gt;=4,"Not Significant",IF(Table1[[#This Row],[Ratio]]&gt;=2,"Semi-Significant","Significant")))</f>
        <v>Needs Analysis</v>
      </c>
      <c r="W1522" s="1">
        <f>IF(Table1[[#This Row],[Cal Type]]&lt;&gt;"ACCREDITED 17025 WITH UNCERTAINTIES",0,"")</f>
        <v>0</v>
      </c>
      <c r="X1522" s="1" t="str">
        <f>IF(Table1[[#This Row],[DUT Read]]="","N/A",Table1[[#This Row],[Std Error]]+Table1[[#This Row],[DUT Read]]+Table1[[#This Row],[DUT Ucty]])</f>
        <v>N/A</v>
      </c>
      <c r="Y1522" s="1" t="str">
        <f>IF(Table1[[#This Row],[Std Read]]="","N/A",Table1[[#This Row],[Std Read]]+Table1[[#This Row],[Std Ucty]])</f>
        <v>N/A</v>
      </c>
      <c r="Z15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2" s="1" t="str">
        <f>IF(Table1[[#This Row],[Spec Type]]="","N/A",Table1[[#This Row],[Spec Type]])</f>
        <v>±</v>
      </c>
      <c r="AC1522" s="1" t="str">
        <f>IF(Table1[[#This Row],[Spec Type2]]="N/A","N/A",IF(AND(Table1[[#This Row],[DUT Adj Read]]&gt;=Table1[[#This Row],[Low Tol]],Table1[[#This Row],[DUT Adj Read]]&lt;=Table1[[#This Row],[High Tol]]),"Pass","Fail"))</f>
        <v>Fail</v>
      </c>
      <c r="AD1522" s="1" t="str">
        <f>IF(AND(Table1[[#This Row],[Spec Type2]]="N/A",Table1[[#This Row],[DUT Adj Read]]="N/A",Table1[[#This Row],[Std Adj Read]]="N/A"),"N/A",IF(Table1[[#This Row],[DUT Adj Read]]="N/A",IF(Table1[[#This Row],[Std Adj Read]]&gt;Table1[[#This Row],[Low Tol]],"Pass","Fail"),IF(Table1[[#This Row],[DUT Adj Read]]&gt;Table1[[#This Row],[Low Tol]],"Pass","Fail")))</f>
        <v>Pass</v>
      </c>
      <c r="AE1522" s="1" t="str">
        <f>IF(AND(Table1[[#This Row],[Spec Type2]]="N/A",Table1[[#This Row],[DUT Adj Read]]="N/A",Table1[[#This Row],[Std Adj Read]]="N/A"),"N/A",IF(Table1[[#This Row],[DUT Adj Read]]="N/A",IF(Table1[[#This Row],[Std Adj Read]]&lt;Table1[[#This Row],[High Tol]],"Pass","Fail"),IF(Table1[[#This Row],[DUT Adj Read]]&lt;Table1[[#This Row],[High Tol]],"Pass","Fail")))</f>
        <v>Fail</v>
      </c>
      <c r="AF1522" s="1" t="str">
        <f>IF(AND(Table1[[#This Row],[Spec Type2]]="N/A",Table1[[#This Row],[DUT Adj Read]]="N/A",Table1[[#This Row],[Std Adj Read]]="N/A"),"N/A",IF(Table1[[#This Row],[DUT Adj Read]]="N/A",IF(Table1[[#This Row],[Std Adj Read]]&gt;=Table1[[#This Row],[Low Tol]],"Pass","Fail"),IF(Table1[[#This Row],[DUT Adj Read]]&gt;=Table1[[#This Row],[Low Tol]],"Pass","Fail")))</f>
        <v>Pass</v>
      </c>
      <c r="AG1522" s="1" t="str">
        <f>IF(AND(Table1[[#This Row],[Spec Type2]]="N/A",Table1[[#This Row],[DUT Adj Read]]="N/A",Table1[[#This Row],[Std Adj Read]]="N/A"),"N/A",IF(Table1[[#This Row],[DUT Adj Read]]="N/A",IF(Table1[[#This Row],[Std Adj Read]]&lt;=Table1[[#This Row],[High Tol]],"Pass","Fail"),IF(Table1[[#This Row],[DUT Adj Read]]&lt;=Table1[[#This Row],[High Tol]],"Pass","Fail")))</f>
        <v>Fail</v>
      </c>
      <c r="AH15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2" s="1" t="b">
        <v>0</v>
      </c>
      <c r="AN1522" s="1" t="b">
        <v>0</v>
      </c>
      <c r="AO1522" s="1" t="b">
        <v>0</v>
      </c>
    </row>
    <row r="1523" spans="1:41" x14ac:dyDescent="0.25">
      <c r="A1523" s="10"/>
      <c r="B1523" s="10"/>
      <c r="C1523" s="10"/>
      <c r="D1523" s="10"/>
      <c r="E1523" s="10"/>
      <c r="F1523" s="10"/>
      <c r="G1523" s="10"/>
      <c r="H1523" s="10"/>
      <c r="I1523" s="1" t="str">
        <f t="shared" si="69"/>
        <v/>
      </c>
      <c r="J1523" s="1" t="s">
        <v>35</v>
      </c>
      <c r="K1523" s="1" t="str">
        <f t="shared" si="70"/>
        <v/>
      </c>
      <c r="L1523" s="1" t="str">
        <f t="shared" si="71"/>
        <v/>
      </c>
      <c r="M1523" s="1">
        <f>IF(OR(Table1[[#This Row],[Std Nom]]="",Table1[[#This Row],[Std Read]]=""),0,Table1[[#This Row],[Std Nom]]-Table1[[#This Row],[Std Read]])</f>
        <v>0</v>
      </c>
      <c r="N1523" s="1">
        <f>IF(Calculations!$F$5="ACCREDITED 17025 WITH UNCERTAINTIES",$N$10,0)</f>
        <v>0</v>
      </c>
      <c r="O1523" s="1" t="str">
        <f>IFERROR(Table1[[#This Row],[Std Nom]]-(_xlfn.XLOOKUP(Table1[[#This Row],[Manufacturer]]&amp;" "&amp;Table1[[#This Row],[Model]],Table13[MFR &amp; MDL],Table13[Tolerance % CW ],"")/100*Table1[[#This Row],[Std Nom]]),"")</f>
        <v/>
      </c>
      <c r="P1523" s="1" t="str">
        <f>IFERROR(Table1[[#This Row],[Std Nom]]+(_xlfn.XLOOKUP(Table1[[#This Row],[Manufacturer]]&amp;" "&amp;Table1[[#This Row],[Model]],Table13[MFR &amp; MDL],Table13[Tolerance % CW ],"")/100*Table1[[#This Row],[Std Nom]]),"")</f>
        <v/>
      </c>
      <c r="Q1523" s="1" t="e">
        <f>Table1[[#This Row],[High Tol]]-Table1[[#This Row],[Low Tol]]</f>
        <v>#VALUE!</v>
      </c>
      <c r="R1523" s="1">
        <f>2*Table1[[#This Row],[Std Error]]</f>
        <v>0</v>
      </c>
      <c r="S1523" s="1" t="str">
        <f>IF(Table1[[#This Row],[High Tol]]="","N/A",IFERROR(ABS(Table1[[#This Row],[Tol Span]]/Table1[[#This Row],[Error Span]]),"N/A"))</f>
        <v>N/A</v>
      </c>
      <c r="T1523" s="1" t="str">
        <f>IF(OR(Table1[[#This Row],[Low Tol]]="",Table1[[#This Row],[High Tol]]=""),"Needs Analysis",IF(Table1[[#This Row],[Ratio]]&gt;=4,"Not Significant",IF(Table1[[#This Row],[Ratio]]&gt;=2,"Semi-Significant","Significant")))</f>
        <v>Needs Analysis</v>
      </c>
      <c r="W1523" s="1">
        <f>IF(Table1[[#This Row],[Cal Type]]&lt;&gt;"ACCREDITED 17025 WITH UNCERTAINTIES",0,"")</f>
        <v>0</v>
      </c>
      <c r="X1523" s="1" t="str">
        <f>IF(Table1[[#This Row],[DUT Read]]="","N/A",Table1[[#This Row],[Std Error]]+Table1[[#This Row],[DUT Read]]+Table1[[#This Row],[DUT Ucty]])</f>
        <v>N/A</v>
      </c>
      <c r="Y1523" s="1" t="str">
        <f>IF(Table1[[#This Row],[Std Read]]="","N/A",Table1[[#This Row],[Std Read]]+Table1[[#This Row],[Std Ucty]])</f>
        <v>N/A</v>
      </c>
      <c r="Z15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3" s="1" t="str">
        <f>IF(Table1[[#This Row],[Spec Type]]="","N/A",Table1[[#This Row],[Spec Type]])</f>
        <v>±</v>
      </c>
      <c r="AC1523" s="1" t="str">
        <f>IF(Table1[[#This Row],[Spec Type2]]="N/A","N/A",IF(AND(Table1[[#This Row],[DUT Adj Read]]&gt;=Table1[[#This Row],[Low Tol]],Table1[[#This Row],[DUT Adj Read]]&lt;=Table1[[#This Row],[High Tol]]),"Pass","Fail"))</f>
        <v>Fail</v>
      </c>
      <c r="AD1523" s="1" t="str">
        <f>IF(AND(Table1[[#This Row],[Spec Type2]]="N/A",Table1[[#This Row],[DUT Adj Read]]="N/A",Table1[[#This Row],[Std Adj Read]]="N/A"),"N/A",IF(Table1[[#This Row],[DUT Adj Read]]="N/A",IF(Table1[[#This Row],[Std Adj Read]]&gt;Table1[[#This Row],[Low Tol]],"Pass","Fail"),IF(Table1[[#This Row],[DUT Adj Read]]&gt;Table1[[#This Row],[Low Tol]],"Pass","Fail")))</f>
        <v>Pass</v>
      </c>
      <c r="AE1523" s="1" t="str">
        <f>IF(AND(Table1[[#This Row],[Spec Type2]]="N/A",Table1[[#This Row],[DUT Adj Read]]="N/A",Table1[[#This Row],[Std Adj Read]]="N/A"),"N/A",IF(Table1[[#This Row],[DUT Adj Read]]="N/A",IF(Table1[[#This Row],[Std Adj Read]]&lt;Table1[[#This Row],[High Tol]],"Pass","Fail"),IF(Table1[[#This Row],[DUT Adj Read]]&lt;Table1[[#This Row],[High Tol]],"Pass","Fail")))</f>
        <v>Fail</v>
      </c>
      <c r="AF1523" s="1" t="str">
        <f>IF(AND(Table1[[#This Row],[Spec Type2]]="N/A",Table1[[#This Row],[DUT Adj Read]]="N/A",Table1[[#This Row],[Std Adj Read]]="N/A"),"N/A",IF(Table1[[#This Row],[DUT Adj Read]]="N/A",IF(Table1[[#This Row],[Std Adj Read]]&gt;=Table1[[#This Row],[Low Tol]],"Pass","Fail"),IF(Table1[[#This Row],[DUT Adj Read]]&gt;=Table1[[#This Row],[Low Tol]],"Pass","Fail")))</f>
        <v>Pass</v>
      </c>
      <c r="AG1523" s="1" t="str">
        <f>IF(AND(Table1[[#This Row],[Spec Type2]]="N/A",Table1[[#This Row],[DUT Adj Read]]="N/A",Table1[[#This Row],[Std Adj Read]]="N/A"),"N/A",IF(Table1[[#This Row],[DUT Adj Read]]="N/A",IF(Table1[[#This Row],[Std Adj Read]]&lt;=Table1[[#This Row],[High Tol]],"Pass","Fail"),IF(Table1[[#This Row],[DUT Adj Read]]&lt;=Table1[[#This Row],[High Tol]],"Pass","Fail")))</f>
        <v>Fail</v>
      </c>
      <c r="AH15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3" s="1" t="b">
        <v>0</v>
      </c>
      <c r="AN1523" s="1" t="b">
        <v>0</v>
      </c>
      <c r="AO1523" s="1" t="b">
        <v>0</v>
      </c>
    </row>
    <row r="1524" spans="1:41" x14ac:dyDescent="0.25">
      <c r="A1524" s="10"/>
      <c r="B1524" s="10"/>
      <c r="C1524" s="10"/>
      <c r="D1524" s="10"/>
      <c r="E1524" s="10"/>
      <c r="F1524" s="10"/>
      <c r="G1524" s="10"/>
      <c r="H1524" s="10"/>
      <c r="I1524" s="1" t="str">
        <f t="shared" si="69"/>
        <v/>
      </c>
      <c r="J1524" s="1" t="s">
        <v>35</v>
      </c>
      <c r="K1524" s="1" t="str">
        <f t="shared" si="70"/>
        <v/>
      </c>
      <c r="L1524" s="1" t="str">
        <f t="shared" si="71"/>
        <v/>
      </c>
      <c r="M1524" s="1">
        <f>IF(OR(Table1[[#This Row],[Std Nom]]="",Table1[[#This Row],[Std Read]]=""),0,Table1[[#This Row],[Std Nom]]-Table1[[#This Row],[Std Read]])</f>
        <v>0</v>
      </c>
      <c r="N1524" s="1">
        <f>IF(Calculations!$F$5="ACCREDITED 17025 WITH UNCERTAINTIES",$N$10,0)</f>
        <v>0</v>
      </c>
      <c r="O1524" s="1" t="str">
        <f>IFERROR(Table1[[#This Row],[Std Nom]]-(_xlfn.XLOOKUP(Table1[[#This Row],[Manufacturer]]&amp;" "&amp;Table1[[#This Row],[Model]],Table13[MFR &amp; MDL],Table13[Tolerance % CW ],"")/100*Table1[[#This Row],[Std Nom]]),"")</f>
        <v/>
      </c>
      <c r="P1524" s="1" t="str">
        <f>IFERROR(Table1[[#This Row],[Std Nom]]+(_xlfn.XLOOKUP(Table1[[#This Row],[Manufacturer]]&amp;" "&amp;Table1[[#This Row],[Model]],Table13[MFR &amp; MDL],Table13[Tolerance % CW ],"")/100*Table1[[#This Row],[Std Nom]]),"")</f>
        <v/>
      </c>
      <c r="Q1524" s="1" t="e">
        <f>Table1[[#This Row],[High Tol]]-Table1[[#This Row],[Low Tol]]</f>
        <v>#VALUE!</v>
      </c>
      <c r="R1524" s="1">
        <f>2*Table1[[#This Row],[Std Error]]</f>
        <v>0</v>
      </c>
      <c r="S1524" s="1" t="str">
        <f>IF(Table1[[#This Row],[High Tol]]="","N/A",IFERROR(ABS(Table1[[#This Row],[Tol Span]]/Table1[[#This Row],[Error Span]]),"N/A"))</f>
        <v>N/A</v>
      </c>
      <c r="T1524" s="1" t="str">
        <f>IF(OR(Table1[[#This Row],[Low Tol]]="",Table1[[#This Row],[High Tol]]=""),"Needs Analysis",IF(Table1[[#This Row],[Ratio]]&gt;=4,"Not Significant",IF(Table1[[#This Row],[Ratio]]&gt;=2,"Semi-Significant","Significant")))</f>
        <v>Needs Analysis</v>
      </c>
      <c r="W1524" s="1">
        <f>IF(Table1[[#This Row],[Cal Type]]&lt;&gt;"ACCREDITED 17025 WITH UNCERTAINTIES",0,"")</f>
        <v>0</v>
      </c>
      <c r="X1524" s="1" t="str">
        <f>IF(Table1[[#This Row],[DUT Read]]="","N/A",Table1[[#This Row],[Std Error]]+Table1[[#This Row],[DUT Read]]+Table1[[#This Row],[DUT Ucty]])</f>
        <v>N/A</v>
      </c>
      <c r="Y1524" s="1" t="str">
        <f>IF(Table1[[#This Row],[Std Read]]="","N/A",Table1[[#This Row],[Std Read]]+Table1[[#This Row],[Std Ucty]])</f>
        <v>N/A</v>
      </c>
      <c r="Z15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4" s="1" t="str">
        <f>IF(Table1[[#This Row],[Spec Type]]="","N/A",Table1[[#This Row],[Spec Type]])</f>
        <v>±</v>
      </c>
      <c r="AC1524" s="1" t="str">
        <f>IF(Table1[[#This Row],[Spec Type2]]="N/A","N/A",IF(AND(Table1[[#This Row],[DUT Adj Read]]&gt;=Table1[[#This Row],[Low Tol]],Table1[[#This Row],[DUT Adj Read]]&lt;=Table1[[#This Row],[High Tol]]),"Pass","Fail"))</f>
        <v>Fail</v>
      </c>
      <c r="AD1524" s="1" t="str">
        <f>IF(AND(Table1[[#This Row],[Spec Type2]]="N/A",Table1[[#This Row],[DUT Adj Read]]="N/A",Table1[[#This Row],[Std Adj Read]]="N/A"),"N/A",IF(Table1[[#This Row],[DUT Adj Read]]="N/A",IF(Table1[[#This Row],[Std Adj Read]]&gt;Table1[[#This Row],[Low Tol]],"Pass","Fail"),IF(Table1[[#This Row],[DUT Adj Read]]&gt;Table1[[#This Row],[Low Tol]],"Pass","Fail")))</f>
        <v>Pass</v>
      </c>
      <c r="AE1524" s="1" t="str">
        <f>IF(AND(Table1[[#This Row],[Spec Type2]]="N/A",Table1[[#This Row],[DUT Adj Read]]="N/A",Table1[[#This Row],[Std Adj Read]]="N/A"),"N/A",IF(Table1[[#This Row],[DUT Adj Read]]="N/A",IF(Table1[[#This Row],[Std Adj Read]]&lt;Table1[[#This Row],[High Tol]],"Pass","Fail"),IF(Table1[[#This Row],[DUT Adj Read]]&lt;Table1[[#This Row],[High Tol]],"Pass","Fail")))</f>
        <v>Fail</v>
      </c>
      <c r="AF1524" s="1" t="str">
        <f>IF(AND(Table1[[#This Row],[Spec Type2]]="N/A",Table1[[#This Row],[DUT Adj Read]]="N/A",Table1[[#This Row],[Std Adj Read]]="N/A"),"N/A",IF(Table1[[#This Row],[DUT Adj Read]]="N/A",IF(Table1[[#This Row],[Std Adj Read]]&gt;=Table1[[#This Row],[Low Tol]],"Pass","Fail"),IF(Table1[[#This Row],[DUT Adj Read]]&gt;=Table1[[#This Row],[Low Tol]],"Pass","Fail")))</f>
        <v>Pass</v>
      </c>
      <c r="AG1524" s="1" t="str">
        <f>IF(AND(Table1[[#This Row],[Spec Type2]]="N/A",Table1[[#This Row],[DUT Adj Read]]="N/A",Table1[[#This Row],[Std Adj Read]]="N/A"),"N/A",IF(Table1[[#This Row],[DUT Adj Read]]="N/A",IF(Table1[[#This Row],[Std Adj Read]]&lt;=Table1[[#This Row],[High Tol]],"Pass","Fail"),IF(Table1[[#This Row],[DUT Adj Read]]&lt;=Table1[[#This Row],[High Tol]],"Pass","Fail")))</f>
        <v>Fail</v>
      </c>
      <c r="AH15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4" s="1" t="b">
        <v>0</v>
      </c>
      <c r="AN1524" s="1" t="b">
        <v>0</v>
      </c>
      <c r="AO1524" s="1" t="b">
        <v>0</v>
      </c>
    </row>
    <row r="1525" spans="1:41" x14ac:dyDescent="0.25">
      <c r="A1525" s="10"/>
      <c r="B1525" s="10"/>
      <c r="C1525" s="10"/>
      <c r="D1525" s="10"/>
      <c r="E1525" s="10"/>
      <c r="F1525" s="10"/>
      <c r="G1525" s="10"/>
      <c r="H1525" s="10"/>
      <c r="I1525" s="1" t="str">
        <f t="shared" si="69"/>
        <v/>
      </c>
      <c r="J1525" s="1" t="s">
        <v>35</v>
      </c>
      <c r="K1525" s="1" t="str">
        <f t="shared" si="70"/>
        <v/>
      </c>
      <c r="L1525" s="1" t="str">
        <f t="shared" si="71"/>
        <v/>
      </c>
      <c r="M1525" s="1">
        <f>IF(OR(Table1[[#This Row],[Std Nom]]="",Table1[[#This Row],[Std Read]]=""),0,Table1[[#This Row],[Std Nom]]-Table1[[#This Row],[Std Read]])</f>
        <v>0</v>
      </c>
      <c r="N1525" s="1">
        <f>IF(Calculations!$F$5="ACCREDITED 17025 WITH UNCERTAINTIES",$N$10,0)</f>
        <v>0</v>
      </c>
      <c r="O1525" s="1" t="str">
        <f>IFERROR(Table1[[#This Row],[Std Nom]]-(_xlfn.XLOOKUP(Table1[[#This Row],[Manufacturer]]&amp;" "&amp;Table1[[#This Row],[Model]],Table13[MFR &amp; MDL],Table13[Tolerance % CW ],"")/100*Table1[[#This Row],[Std Nom]]),"")</f>
        <v/>
      </c>
      <c r="P1525" s="1" t="str">
        <f>IFERROR(Table1[[#This Row],[Std Nom]]+(_xlfn.XLOOKUP(Table1[[#This Row],[Manufacturer]]&amp;" "&amp;Table1[[#This Row],[Model]],Table13[MFR &amp; MDL],Table13[Tolerance % CW ],"")/100*Table1[[#This Row],[Std Nom]]),"")</f>
        <v/>
      </c>
      <c r="Q1525" s="1" t="e">
        <f>Table1[[#This Row],[High Tol]]-Table1[[#This Row],[Low Tol]]</f>
        <v>#VALUE!</v>
      </c>
      <c r="R1525" s="1">
        <f>2*Table1[[#This Row],[Std Error]]</f>
        <v>0</v>
      </c>
      <c r="S1525" s="1" t="str">
        <f>IF(Table1[[#This Row],[High Tol]]="","N/A",IFERROR(ABS(Table1[[#This Row],[Tol Span]]/Table1[[#This Row],[Error Span]]),"N/A"))</f>
        <v>N/A</v>
      </c>
      <c r="T1525" s="1" t="str">
        <f>IF(OR(Table1[[#This Row],[Low Tol]]="",Table1[[#This Row],[High Tol]]=""),"Needs Analysis",IF(Table1[[#This Row],[Ratio]]&gt;=4,"Not Significant",IF(Table1[[#This Row],[Ratio]]&gt;=2,"Semi-Significant","Significant")))</f>
        <v>Needs Analysis</v>
      </c>
      <c r="W1525" s="1">
        <f>IF(Table1[[#This Row],[Cal Type]]&lt;&gt;"ACCREDITED 17025 WITH UNCERTAINTIES",0,"")</f>
        <v>0</v>
      </c>
      <c r="X1525" s="1" t="str">
        <f>IF(Table1[[#This Row],[DUT Read]]="","N/A",Table1[[#This Row],[Std Error]]+Table1[[#This Row],[DUT Read]]+Table1[[#This Row],[DUT Ucty]])</f>
        <v>N/A</v>
      </c>
      <c r="Y1525" s="1" t="str">
        <f>IF(Table1[[#This Row],[Std Read]]="","N/A",Table1[[#This Row],[Std Read]]+Table1[[#This Row],[Std Ucty]])</f>
        <v>N/A</v>
      </c>
      <c r="Z15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5" s="1" t="str">
        <f>IF(Table1[[#This Row],[Spec Type]]="","N/A",Table1[[#This Row],[Spec Type]])</f>
        <v>±</v>
      </c>
      <c r="AC1525" s="1" t="str">
        <f>IF(Table1[[#This Row],[Spec Type2]]="N/A","N/A",IF(AND(Table1[[#This Row],[DUT Adj Read]]&gt;=Table1[[#This Row],[Low Tol]],Table1[[#This Row],[DUT Adj Read]]&lt;=Table1[[#This Row],[High Tol]]),"Pass","Fail"))</f>
        <v>Fail</v>
      </c>
      <c r="AD1525" s="1" t="str">
        <f>IF(AND(Table1[[#This Row],[Spec Type2]]="N/A",Table1[[#This Row],[DUT Adj Read]]="N/A",Table1[[#This Row],[Std Adj Read]]="N/A"),"N/A",IF(Table1[[#This Row],[DUT Adj Read]]="N/A",IF(Table1[[#This Row],[Std Adj Read]]&gt;Table1[[#This Row],[Low Tol]],"Pass","Fail"),IF(Table1[[#This Row],[DUT Adj Read]]&gt;Table1[[#This Row],[Low Tol]],"Pass","Fail")))</f>
        <v>Pass</v>
      </c>
      <c r="AE1525" s="1" t="str">
        <f>IF(AND(Table1[[#This Row],[Spec Type2]]="N/A",Table1[[#This Row],[DUT Adj Read]]="N/A",Table1[[#This Row],[Std Adj Read]]="N/A"),"N/A",IF(Table1[[#This Row],[DUT Adj Read]]="N/A",IF(Table1[[#This Row],[Std Adj Read]]&lt;Table1[[#This Row],[High Tol]],"Pass","Fail"),IF(Table1[[#This Row],[DUT Adj Read]]&lt;Table1[[#This Row],[High Tol]],"Pass","Fail")))</f>
        <v>Fail</v>
      </c>
      <c r="AF1525" s="1" t="str">
        <f>IF(AND(Table1[[#This Row],[Spec Type2]]="N/A",Table1[[#This Row],[DUT Adj Read]]="N/A",Table1[[#This Row],[Std Adj Read]]="N/A"),"N/A",IF(Table1[[#This Row],[DUT Adj Read]]="N/A",IF(Table1[[#This Row],[Std Adj Read]]&gt;=Table1[[#This Row],[Low Tol]],"Pass","Fail"),IF(Table1[[#This Row],[DUT Adj Read]]&gt;=Table1[[#This Row],[Low Tol]],"Pass","Fail")))</f>
        <v>Pass</v>
      </c>
      <c r="AG1525" s="1" t="str">
        <f>IF(AND(Table1[[#This Row],[Spec Type2]]="N/A",Table1[[#This Row],[DUT Adj Read]]="N/A",Table1[[#This Row],[Std Adj Read]]="N/A"),"N/A",IF(Table1[[#This Row],[DUT Adj Read]]="N/A",IF(Table1[[#This Row],[Std Adj Read]]&lt;=Table1[[#This Row],[High Tol]],"Pass","Fail"),IF(Table1[[#This Row],[DUT Adj Read]]&lt;=Table1[[#This Row],[High Tol]],"Pass","Fail")))</f>
        <v>Fail</v>
      </c>
      <c r="AH15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5" s="1" t="b">
        <v>0</v>
      </c>
      <c r="AN1525" s="1" t="b">
        <v>0</v>
      </c>
      <c r="AO1525" s="1" t="b">
        <v>0</v>
      </c>
    </row>
    <row r="1526" spans="1:41" x14ac:dyDescent="0.25">
      <c r="A1526" s="10"/>
      <c r="B1526" s="10"/>
      <c r="C1526" s="10"/>
      <c r="D1526" s="10"/>
      <c r="E1526" s="10"/>
      <c r="F1526" s="10"/>
      <c r="G1526" s="10"/>
      <c r="H1526" s="10"/>
      <c r="I1526" s="1" t="str">
        <f t="shared" si="69"/>
        <v/>
      </c>
      <c r="J1526" s="1" t="s">
        <v>35</v>
      </c>
      <c r="K1526" s="1" t="str">
        <f t="shared" si="70"/>
        <v/>
      </c>
      <c r="L1526" s="1" t="str">
        <f t="shared" si="71"/>
        <v/>
      </c>
      <c r="M1526" s="1">
        <f>IF(OR(Table1[[#This Row],[Std Nom]]="",Table1[[#This Row],[Std Read]]=""),0,Table1[[#This Row],[Std Nom]]-Table1[[#This Row],[Std Read]])</f>
        <v>0</v>
      </c>
      <c r="N1526" s="1">
        <f>IF(Calculations!$F$5="ACCREDITED 17025 WITH UNCERTAINTIES",$N$10,0)</f>
        <v>0</v>
      </c>
      <c r="O1526" s="1" t="str">
        <f>IFERROR(Table1[[#This Row],[Std Nom]]-(_xlfn.XLOOKUP(Table1[[#This Row],[Manufacturer]]&amp;" "&amp;Table1[[#This Row],[Model]],Table13[MFR &amp; MDL],Table13[Tolerance % CW ],"")/100*Table1[[#This Row],[Std Nom]]),"")</f>
        <v/>
      </c>
      <c r="P1526" s="1" t="str">
        <f>IFERROR(Table1[[#This Row],[Std Nom]]+(_xlfn.XLOOKUP(Table1[[#This Row],[Manufacturer]]&amp;" "&amp;Table1[[#This Row],[Model]],Table13[MFR &amp; MDL],Table13[Tolerance % CW ],"")/100*Table1[[#This Row],[Std Nom]]),"")</f>
        <v/>
      </c>
      <c r="Q1526" s="1" t="e">
        <f>Table1[[#This Row],[High Tol]]-Table1[[#This Row],[Low Tol]]</f>
        <v>#VALUE!</v>
      </c>
      <c r="R1526" s="1">
        <f>2*Table1[[#This Row],[Std Error]]</f>
        <v>0</v>
      </c>
      <c r="S1526" s="1" t="str">
        <f>IF(Table1[[#This Row],[High Tol]]="","N/A",IFERROR(ABS(Table1[[#This Row],[Tol Span]]/Table1[[#This Row],[Error Span]]),"N/A"))</f>
        <v>N/A</v>
      </c>
      <c r="T1526" s="1" t="str">
        <f>IF(OR(Table1[[#This Row],[Low Tol]]="",Table1[[#This Row],[High Tol]]=""),"Needs Analysis",IF(Table1[[#This Row],[Ratio]]&gt;=4,"Not Significant",IF(Table1[[#This Row],[Ratio]]&gt;=2,"Semi-Significant","Significant")))</f>
        <v>Needs Analysis</v>
      </c>
      <c r="W1526" s="1">
        <f>IF(Table1[[#This Row],[Cal Type]]&lt;&gt;"ACCREDITED 17025 WITH UNCERTAINTIES",0,"")</f>
        <v>0</v>
      </c>
      <c r="X1526" s="1" t="str">
        <f>IF(Table1[[#This Row],[DUT Read]]="","N/A",Table1[[#This Row],[Std Error]]+Table1[[#This Row],[DUT Read]]+Table1[[#This Row],[DUT Ucty]])</f>
        <v>N/A</v>
      </c>
      <c r="Y1526" s="1" t="str">
        <f>IF(Table1[[#This Row],[Std Read]]="","N/A",Table1[[#This Row],[Std Read]]+Table1[[#This Row],[Std Ucty]])</f>
        <v>N/A</v>
      </c>
      <c r="Z15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6" s="1" t="str">
        <f>IF(Table1[[#This Row],[Spec Type]]="","N/A",Table1[[#This Row],[Spec Type]])</f>
        <v>±</v>
      </c>
      <c r="AC1526" s="1" t="str">
        <f>IF(Table1[[#This Row],[Spec Type2]]="N/A","N/A",IF(AND(Table1[[#This Row],[DUT Adj Read]]&gt;=Table1[[#This Row],[Low Tol]],Table1[[#This Row],[DUT Adj Read]]&lt;=Table1[[#This Row],[High Tol]]),"Pass","Fail"))</f>
        <v>Fail</v>
      </c>
      <c r="AD1526" s="1" t="str">
        <f>IF(AND(Table1[[#This Row],[Spec Type2]]="N/A",Table1[[#This Row],[DUT Adj Read]]="N/A",Table1[[#This Row],[Std Adj Read]]="N/A"),"N/A",IF(Table1[[#This Row],[DUT Adj Read]]="N/A",IF(Table1[[#This Row],[Std Adj Read]]&gt;Table1[[#This Row],[Low Tol]],"Pass","Fail"),IF(Table1[[#This Row],[DUT Adj Read]]&gt;Table1[[#This Row],[Low Tol]],"Pass","Fail")))</f>
        <v>Pass</v>
      </c>
      <c r="AE1526" s="1" t="str">
        <f>IF(AND(Table1[[#This Row],[Spec Type2]]="N/A",Table1[[#This Row],[DUT Adj Read]]="N/A",Table1[[#This Row],[Std Adj Read]]="N/A"),"N/A",IF(Table1[[#This Row],[DUT Adj Read]]="N/A",IF(Table1[[#This Row],[Std Adj Read]]&lt;Table1[[#This Row],[High Tol]],"Pass","Fail"),IF(Table1[[#This Row],[DUT Adj Read]]&lt;Table1[[#This Row],[High Tol]],"Pass","Fail")))</f>
        <v>Fail</v>
      </c>
      <c r="AF1526" s="1" t="str">
        <f>IF(AND(Table1[[#This Row],[Spec Type2]]="N/A",Table1[[#This Row],[DUT Adj Read]]="N/A",Table1[[#This Row],[Std Adj Read]]="N/A"),"N/A",IF(Table1[[#This Row],[DUT Adj Read]]="N/A",IF(Table1[[#This Row],[Std Adj Read]]&gt;=Table1[[#This Row],[Low Tol]],"Pass","Fail"),IF(Table1[[#This Row],[DUT Adj Read]]&gt;=Table1[[#This Row],[Low Tol]],"Pass","Fail")))</f>
        <v>Pass</v>
      </c>
      <c r="AG1526" s="1" t="str">
        <f>IF(AND(Table1[[#This Row],[Spec Type2]]="N/A",Table1[[#This Row],[DUT Adj Read]]="N/A",Table1[[#This Row],[Std Adj Read]]="N/A"),"N/A",IF(Table1[[#This Row],[DUT Adj Read]]="N/A",IF(Table1[[#This Row],[Std Adj Read]]&lt;=Table1[[#This Row],[High Tol]],"Pass","Fail"),IF(Table1[[#This Row],[DUT Adj Read]]&lt;=Table1[[#This Row],[High Tol]],"Pass","Fail")))</f>
        <v>Fail</v>
      </c>
      <c r="AH15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6" s="1" t="b">
        <v>0</v>
      </c>
      <c r="AN1526" s="1" t="b">
        <v>0</v>
      </c>
      <c r="AO1526" s="1" t="b">
        <v>0</v>
      </c>
    </row>
    <row r="1527" spans="1:41" x14ac:dyDescent="0.25">
      <c r="A1527" s="10"/>
      <c r="B1527" s="10"/>
      <c r="C1527" s="10"/>
      <c r="D1527" s="10"/>
      <c r="E1527" s="10"/>
      <c r="F1527" s="10"/>
      <c r="G1527" s="10"/>
      <c r="H1527" s="10"/>
      <c r="I1527" s="1" t="str">
        <f t="shared" si="69"/>
        <v/>
      </c>
      <c r="J1527" s="1" t="s">
        <v>35</v>
      </c>
      <c r="K1527" s="1" t="str">
        <f t="shared" si="70"/>
        <v/>
      </c>
      <c r="L1527" s="1" t="str">
        <f t="shared" si="71"/>
        <v/>
      </c>
      <c r="M1527" s="1">
        <f>IF(OR(Table1[[#This Row],[Std Nom]]="",Table1[[#This Row],[Std Read]]=""),0,Table1[[#This Row],[Std Nom]]-Table1[[#This Row],[Std Read]])</f>
        <v>0</v>
      </c>
      <c r="N1527" s="1">
        <f>IF(Calculations!$F$5="ACCREDITED 17025 WITH UNCERTAINTIES",$N$10,0)</f>
        <v>0</v>
      </c>
      <c r="O1527" s="1" t="str">
        <f>IFERROR(Table1[[#This Row],[Std Nom]]-(_xlfn.XLOOKUP(Table1[[#This Row],[Manufacturer]]&amp;" "&amp;Table1[[#This Row],[Model]],Table13[MFR &amp; MDL],Table13[Tolerance % CW ],"")/100*Table1[[#This Row],[Std Nom]]),"")</f>
        <v/>
      </c>
      <c r="P1527" s="1" t="str">
        <f>IFERROR(Table1[[#This Row],[Std Nom]]+(_xlfn.XLOOKUP(Table1[[#This Row],[Manufacturer]]&amp;" "&amp;Table1[[#This Row],[Model]],Table13[MFR &amp; MDL],Table13[Tolerance % CW ],"")/100*Table1[[#This Row],[Std Nom]]),"")</f>
        <v/>
      </c>
      <c r="Q1527" s="1" t="e">
        <f>Table1[[#This Row],[High Tol]]-Table1[[#This Row],[Low Tol]]</f>
        <v>#VALUE!</v>
      </c>
      <c r="R1527" s="1">
        <f>2*Table1[[#This Row],[Std Error]]</f>
        <v>0</v>
      </c>
      <c r="S1527" s="1" t="str">
        <f>IF(Table1[[#This Row],[High Tol]]="","N/A",IFERROR(ABS(Table1[[#This Row],[Tol Span]]/Table1[[#This Row],[Error Span]]),"N/A"))</f>
        <v>N/A</v>
      </c>
      <c r="T1527" s="1" t="str">
        <f>IF(OR(Table1[[#This Row],[Low Tol]]="",Table1[[#This Row],[High Tol]]=""),"Needs Analysis",IF(Table1[[#This Row],[Ratio]]&gt;=4,"Not Significant",IF(Table1[[#This Row],[Ratio]]&gt;=2,"Semi-Significant","Significant")))</f>
        <v>Needs Analysis</v>
      </c>
      <c r="W1527" s="1">
        <f>IF(Table1[[#This Row],[Cal Type]]&lt;&gt;"ACCREDITED 17025 WITH UNCERTAINTIES",0,"")</f>
        <v>0</v>
      </c>
      <c r="X1527" s="1" t="str">
        <f>IF(Table1[[#This Row],[DUT Read]]="","N/A",Table1[[#This Row],[Std Error]]+Table1[[#This Row],[DUT Read]]+Table1[[#This Row],[DUT Ucty]])</f>
        <v>N/A</v>
      </c>
      <c r="Y1527" s="1" t="str">
        <f>IF(Table1[[#This Row],[Std Read]]="","N/A",Table1[[#This Row],[Std Read]]+Table1[[#This Row],[Std Ucty]])</f>
        <v>N/A</v>
      </c>
      <c r="Z15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7" s="1" t="str">
        <f>IF(Table1[[#This Row],[Spec Type]]="","N/A",Table1[[#This Row],[Spec Type]])</f>
        <v>±</v>
      </c>
      <c r="AC1527" s="1" t="str">
        <f>IF(Table1[[#This Row],[Spec Type2]]="N/A","N/A",IF(AND(Table1[[#This Row],[DUT Adj Read]]&gt;=Table1[[#This Row],[Low Tol]],Table1[[#This Row],[DUT Adj Read]]&lt;=Table1[[#This Row],[High Tol]]),"Pass","Fail"))</f>
        <v>Fail</v>
      </c>
      <c r="AD1527" s="1" t="str">
        <f>IF(AND(Table1[[#This Row],[Spec Type2]]="N/A",Table1[[#This Row],[DUT Adj Read]]="N/A",Table1[[#This Row],[Std Adj Read]]="N/A"),"N/A",IF(Table1[[#This Row],[DUT Adj Read]]="N/A",IF(Table1[[#This Row],[Std Adj Read]]&gt;Table1[[#This Row],[Low Tol]],"Pass","Fail"),IF(Table1[[#This Row],[DUT Adj Read]]&gt;Table1[[#This Row],[Low Tol]],"Pass","Fail")))</f>
        <v>Pass</v>
      </c>
      <c r="AE1527" s="1" t="str">
        <f>IF(AND(Table1[[#This Row],[Spec Type2]]="N/A",Table1[[#This Row],[DUT Adj Read]]="N/A",Table1[[#This Row],[Std Adj Read]]="N/A"),"N/A",IF(Table1[[#This Row],[DUT Adj Read]]="N/A",IF(Table1[[#This Row],[Std Adj Read]]&lt;Table1[[#This Row],[High Tol]],"Pass","Fail"),IF(Table1[[#This Row],[DUT Adj Read]]&lt;Table1[[#This Row],[High Tol]],"Pass","Fail")))</f>
        <v>Fail</v>
      </c>
      <c r="AF1527" s="1" t="str">
        <f>IF(AND(Table1[[#This Row],[Spec Type2]]="N/A",Table1[[#This Row],[DUT Adj Read]]="N/A",Table1[[#This Row],[Std Adj Read]]="N/A"),"N/A",IF(Table1[[#This Row],[DUT Adj Read]]="N/A",IF(Table1[[#This Row],[Std Adj Read]]&gt;=Table1[[#This Row],[Low Tol]],"Pass","Fail"),IF(Table1[[#This Row],[DUT Adj Read]]&gt;=Table1[[#This Row],[Low Tol]],"Pass","Fail")))</f>
        <v>Pass</v>
      </c>
      <c r="AG1527" s="1" t="str">
        <f>IF(AND(Table1[[#This Row],[Spec Type2]]="N/A",Table1[[#This Row],[DUT Adj Read]]="N/A",Table1[[#This Row],[Std Adj Read]]="N/A"),"N/A",IF(Table1[[#This Row],[DUT Adj Read]]="N/A",IF(Table1[[#This Row],[Std Adj Read]]&lt;=Table1[[#This Row],[High Tol]],"Pass","Fail"),IF(Table1[[#This Row],[DUT Adj Read]]&lt;=Table1[[#This Row],[High Tol]],"Pass","Fail")))</f>
        <v>Fail</v>
      </c>
      <c r="AH15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7" s="1" t="b">
        <v>0</v>
      </c>
      <c r="AN1527" s="1" t="b">
        <v>0</v>
      </c>
      <c r="AO1527" s="1" t="b">
        <v>0</v>
      </c>
    </row>
    <row r="1528" spans="1:41" x14ac:dyDescent="0.25">
      <c r="A1528" s="10"/>
      <c r="B1528" s="10"/>
      <c r="C1528" s="10"/>
      <c r="D1528" s="10"/>
      <c r="E1528" s="10"/>
      <c r="F1528" s="10"/>
      <c r="G1528" s="10"/>
      <c r="H1528" s="10"/>
      <c r="I1528" s="1" t="str">
        <f t="shared" si="69"/>
        <v/>
      </c>
      <c r="J1528" s="1" t="s">
        <v>35</v>
      </c>
      <c r="K1528" s="1" t="str">
        <f t="shared" si="70"/>
        <v/>
      </c>
      <c r="L1528" s="1" t="str">
        <f t="shared" si="71"/>
        <v/>
      </c>
      <c r="M1528" s="1">
        <f>IF(OR(Table1[[#This Row],[Std Nom]]="",Table1[[#This Row],[Std Read]]=""),0,Table1[[#This Row],[Std Nom]]-Table1[[#This Row],[Std Read]])</f>
        <v>0</v>
      </c>
      <c r="N1528" s="1">
        <f>IF(Calculations!$F$5="ACCREDITED 17025 WITH UNCERTAINTIES",$N$10,0)</f>
        <v>0</v>
      </c>
      <c r="O1528" s="1" t="str">
        <f>IFERROR(Table1[[#This Row],[Std Nom]]-(_xlfn.XLOOKUP(Table1[[#This Row],[Manufacturer]]&amp;" "&amp;Table1[[#This Row],[Model]],Table13[MFR &amp; MDL],Table13[Tolerance % CW ],"")/100*Table1[[#This Row],[Std Nom]]),"")</f>
        <v/>
      </c>
      <c r="P1528" s="1" t="str">
        <f>IFERROR(Table1[[#This Row],[Std Nom]]+(_xlfn.XLOOKUP(Table1[[#This Row],[Manufacturer]]&amp;" "&amp;Table1[[#This Row],[Model]],Table13[MFR &amp; MDL],Table13[Tolerance % CW ],"")/100*Table1[[#This Row],[Std Nom]]),"")</f>
        <v/>
      </c>
      <c r="Q1528" s="1" t="e">
        <f>Table1[[#This Row],[High Tol]]-Table1[[#This Row],[Low Tol]]</f>
        <v>#VALUE!</v>
      </c>
      <c r="R1528" s="1">
        <f>2*Table1[[#This Row],[Std Error]]</f>
        <v>0</v>
      </c>
      <c r="S1528" s="1" t="str">
        <f>IF(Table1[[#This Row],[High Tol]]="","N/A",IFERROR(ABS(Table1[[#This Row],[Tol Span]]/Table1[[#This Row],[Error Span]]),"N/A"))</f>
        <v>N/A</v>
      </c>
      <c r="T1528" s="1" t="str">
        <f>IF(OR(Table1[[#This Row],[Low Tol]]="",Table1[[#This Row],[High Tol]]=""),"Needs Analysis",IF(Table1[[#This Row],[Ratio]]&gt;=4,"Not Significant",IF(Table1[[#This Row],[Ratio]]&gt;=2,"Semi-Significant","Significant")))</f>
        <v>Needs Analysis</v>
      </c>
      <c r="W1528" s="1">
        <f>IF(Table1[[#This Row],[Cal Type]]&lt;&gt;"ACCREDITED 17025 WITH UNCERTAINTIES",0,"")</f>
        <v>0</v>
      </c>
      <c r="X1528" s="1" t="str">
        <f>IF(Table1[[#This Row],[DUT Read]]="","N/A",Table1[[#This Row],[Std Error]]+Table1[[#This Row],[DUT Read]]+Table1[[#This Row],[DUT Ucty]])</f>
        <v>N/A</v>
      </c>
      <c r="Y1528" s="1" t="str">
        <f>IF(Table1[[#This Row],[Std Read]]="","N/A",Table1[[#This Row],[Std Read]]+Table1[[#This Row],[Std Ucty]])</f>
        <v>N/A</v>
      </c>
      <c r="Z15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8" s="1" t="str">
        <f>IF(Table1[[#This Row],[Spec Type]]="","N/A",Table1[[#This Row],[Spec Type]])</f>
        <v>±</v>
      </c>
      <c r="AC1528" s="1" t="str">
        <f>IF(Table1[[#This Row],[Spec Type2]]="N/A","N/A",IF(AND(Table1[[#This Row],[DUT Adj Read]]&gt;=Table1[[#This Row],[Low Tol]],Table1[[#This Row],[DUT Adj Read]]&lt;=Table1[[#This Row],[High Tol]]),"Pass","Fail"))</f>
        <v>Fail</v>
      </c>
      <c r="AD1528" s="1" t="str">
        <f>IF(AND(Table1[[#This Row],[Spec Type2]]="N/A",Table1[[#This Row],[DUT Adj Read]]="N/A",Table1[[#This Row],[Std Adj Read]]="N/A"),"N/A",IF(Table1[[#This Row],[DUT Adj Read]]="N/A",IF(Table1[[#This Row],[Std Adj Read]]&gt;Table1[[#This Row],[Low Tol]],"Pass","Fail"),IF(Table1[[#This Row],[DUT Adj Read]]&gt;Table1[[#This Row],[Low Tol]],"Pass","Fail")))</f>
        <v>Pass</v>
      </c>
      <c r="AE1528" s="1" t="str">
        <f>IF(AND(Table1[[#This Row],[Spec Type2]]="N/A",Table1[[#This Row],[DUT Adj Read]]="N/A",Table1[[#This Row],[Std Adj Read]]="N/A"),"N/A",IF(Table1[[#This Row],[DUT Adj Read]]="N/A",IF(Table1[[#This Row],[Std Adj Read]]&lt;Table1[[#This Row],[High Tol]],"Pass","Fail"),IF(Table1[[#This Row],[DUT Adj Read]]&lt;Table1[[#This Row],[High Tol]],"Pass","Fail")))</f>
        <v>Fail</v>
      </c>
      <c r="AF1528" s="1" t="str">
        <f>IF(AND(Table1[[#This Row],[Spec Type2]]="N/A",Table1[[#This Row],[DUT Adj Read]]="N/A",Table1[[#This Row],[Std Adj Read]]="N/A"),"N/A",IF(Table1[[#This Row],[DUT Adj Read]]="N/A",IF(Table1[[#This Row],[Std Adj Read]]&gt;=Table1[[#This Row],[Low Tol]],"Pass","Fail"),IF(Table1[[#This Row],[DUT Adj Read]]&gt;=Table1[[#This Row],[Low Tol]],"Pass","Fail")))</f>
        <v>Pass</v>
      </c>
      <c r="AG1528" s="1" t="str">
        <f>IF(AND(Table1[[#This Row],[Spec Type2]]="N/A",Table1[[#This Row],[DUT Adj Read]]="N/A",Table1[[#This Row],[Std Adj Read]]="N/A"),"N/A",IF(Table1[[#This Row],[DUT Adj Read]]="N/A",IF(Table1[[#This Row],[Std Adj Read]]&lt;=Table1[[#This Row],[High Tol]],"Pass","Fail"),IF(Table1[[#This Row],[DUT Adj Read]]&lt;=Table1[[#This Row],[High Tol]],"Pass","Fail")))</f>
        <v>Fail</v>
      </c>
      <c r="AH15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8" s="1" t="b">
        <v>0</v>
      </c>
      <c r="AN1528" s="1" t="b">
        <v>0</v>
      </c>
      <c r="AO1528" s="1" t="b">
        <v>0</v>
      </c>
    </row>
    <row r="1529" spans="1:41" x14ac:dyDescent="0.25">
      <c r="A1529" s="10"/>
      <c r="B1529" s="10"/>
      <c r="C1529" s="10"/>
      <c r="D1529" s="10"/>
      <c r="E1529" s="10"/>
      <c r="F1529" s="10"/>
      <c r="G1529" s="10"/>
      <c r="H1529" s="10"/>
      <c r="I1529" s="1" t="str">
        <f t="shared" si="69"/>
        <v/>
      </c>
      <c r="J1529" s="1" t="s">
        <v>35</v>
      </c>
      <c r="K1529" s="1" t="str">
        <f t="shared" si="70"/>
        <v/>
      </c>
      <c r="L1529" s="1" t="str">
        <f t="shared" si="71"/>
        <v/>
      </c>
      <c r="M1529" s="1">
        <f>IF(OR(Table1[[#This Row],[Std Nom]]="",Table1[[#This Row],[Std Read]]=""),0,Table1[[#This Row],[Std Nom]]-Table1[[#This Row],[Std Read]])</f>
        <v>0</v>
      </c>
      <c r="N1529" s="1">
        <f>IF(Calculations!$F$5="ACCREDITED 17025 WITH UNCERTAINTIES",$N$10,0)</f>
        <v>0</v>
      </c>
      <c r="O1529" s="1" t="str">
        <f>IFERROR(Table1[[#This Row],[Std Nom]]-(_xlfn.XLOOKUP(Table1[[#This Row],[Manufacturer]]&amp;" "&amp;Table1[[#This Row],[Model]],Table13[MFR &amp; MDL],Table13[Tolerance % CW ],"")/100*Table1[[#This Row],[Std Nom]]),"")</f>
        <v/>
      </c>
      <c r="P1529" s="1" t="str">
        <f>IFERROR(Table1[[#This Row],[Std Nom]]+(_xlfn.XLOOKUP(Table1[[#This Row],[Manufacturer]]&amp;" "&amp;Table1[[#This Row],[Model]],Table13[MFR &amp; MDL],Table13[Tolerance % CW ],"")/100*Table1[[#This Row],[Std Nom]]),"")</f>
        <v/>
      </c>
      <c r="Q1529" s="1" t="e">
        <f>Table1[[#This Row],[High Tol]]-Table1[[#This Row],[Low Tol]]</f>
        <v>#VALUE!</v>
      </c>
      <c r="R1529" s="1">
        <f>2*Table1[[#This Row],[Std Error]]</f>
        <v>0</v>
      </c>
      <c r="S1529" s="1" t="str">
        <f>IF(Table1[[#This Row],[High Tol]]="","N/A",IFERROR(ABS(Table1[[#This Row],[Tol Span]]/Table1[[#This Row],[Error Span]]),"N/A"))</f>
        <v>N/A</v>
      </c>
      <c r="T1529" s="1" t="str">
        <f>IF(OR(Table1[[#This Row],[Low Tol]]="",Table1[[#This Row],[High Tol]]=""),"Needs Analysis",IF(Table1[[#This Row],[Ratio]]&gt;=4,"Not Significant",IF(Table1[[#This Row],[Ratio]]&gt;=2,"Semi-Significant","Significant")))</f>
        <v>Needs Analysis</v>
      </c>
      <c r="W1529" s="1">
        <f>IF(Table1[[#This Row],[Cal Type]]&lt;&gt;"ACCREDITED 17025 WITH UNCERTAINTIES",0,"")</f>
        <v>0</v>
      </c>
      <c r="X1529" s="1" t="str">
        <f>IF(Table1[[#This Row],[DUT Read]]="","N/A",Table1[[#This Row],[Std Error]]+Table1[[#This Row],[DUT Read]]+Table1[[#This Row],[DUT Ucty]])</f>
        <v>N/A</v>
      </c>
      <c r="Y1529" s="1" t="str">
        <f>IF(Table1[[#This Row],[Std Read]]="","N/A",Table1[[#This Row],[Std Read]]+Table1[[#This Row],[Std Ucty]])</f>
        <v>N/A</v>
      </c>
      <c r="Z15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9" s="1" t="str">
        <f>IF(Table1[[#This Row],[Spec Type]]="","N/A",Table1[[#This Row],[Spec Type]])</f>
        <v>±</v>
      </c>
      <c r="AC1529" s="1" t="str">
        <f>IF(Table1[[#This Row],[Spec Type2]]="N/A","N/A",IF(AND(Table1[[#This Row],[DUT Adj Read]]&gt;=Table1[[#This Row],[Low Tol]],Table1[[#This Row],[DUT Adj Read]]&lt;=Table1[[#This Row],[High Tol]]),"Pass","Fail"))</f>
        <v>Fail</v>
      </c>
      <c r="AD1529" s="1" t="str">
        <f>IF(AND(Table1[[#This Row],[Spec Type2]]="N/A",Table1[[#This Row],[DUT Adj Read]]="N/A",Table1[[#This Row],[Std Adj Read]]="N/A"),"N/A",IF(Table1[[#This Row],[DUT Adj Read]]="N/A",IF(Table1[[#This Row],[Std Adj Read]]&gt;Table1[[#This Row],[Low Tol]],"Pass","Fail"),IF(Table1[[#This Row],[DUT Adj Read]]&gt;Table1[[#This Row],[Low Tol]],"Pass","Fail")))</f>
        <v>Pass</v>
      </c>
      <c r="AE1529" s="1" t="str">
        <f>IF(AND(Table1[[#This Row],[Spec Type2]]="N/A",Table1[[#This Row],[DUT Adj Read]]="N/A",Table1[[#This Row],[Std Adj Read]]="N/A"),"N/A",IF(Table1[[#This Row],[DUT Adj Read]]="N/A",IF(Table1[[#This Row],[Std Adj Read]]&lt;Table1[[#This Row],[High Tol]],"Pass","Fail"),IF(Table1[[#This Row],[DUT Adj Read]]&lt;Table1[[#This Row],[High Tol]],"Pass","Fail")))</f>
        <v>Fail</v>
      </c>
      <c r="AF1529" s="1" t="str">
        <f>IF(AND(Table1[[#This Row],[Spec Type2]]="N/A",Table1[[#This Row],[DUT Adj Read]]="N/A",Table1[[#This Row],[Std Adj Read]]="N/A"),"N/A",IF(Table1[[#This Row],[DUT Adj Read]]="N/A",IF(Table1[[#This Row],[Std Adj Read]]&gt;=Table1[[#This Row],[Low Tol]],"Pass","Fail"),IF(Table1[[#This Row],[DUT Adj Read]]&gt;=Table1[[#This Row],[Low Tol]],"Pass","Fail")))</f>
        <v>Pass</v>
      </c>
      <c r="AG1529" s="1" t="str">
        <f>IF(AND(Table1[[#This Row],[Spec Type2]]="N/A",Table1[[#This Row],[DUT Adj Read]]="N/A",Table1[[#This Row],[Std Adj Read]]="N/A"),"N/A",IF(Table1[[#This Row],[DUT Adj Read]]="N/A",IF(Table1[[#This Row],[Std Adj Read]]&lt;=Table1[[#This Row],[High Tol]],"Pass","Fail"),IF(Table1[[#This Row],[DUT Adj Read]]&lt;=Table1[[#This Row],[High Tol]],"Pass","Fail")))</f>
        <v>Fail</v>
      </c>
      <c r="AH15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9" s="1" t="b">
        <v>0</v>
      </c>
      <c r="AN1529" s="1" t="b">
        <v>0</v>
      </c>
      <c r="AO1529" s="1" t="b">
        <v>0</v>
      </c>
    </row>
    <row r="1530" spans="1:41" x14ac:dyDescent="0.25">
      <c r="A1530" s="10"/>
      <c r="B1530" s="10"/>
      <c r="C1530" s="10"/>
      <c r="D1530" s="10"/>
      <c r="E1530" s="10"/>
      <c r="F1530" s="10"/>
      <c r="G1530" s="10"/>
      <c r="H1530" s="10"/>
      <c r="I1530" s="1" t="str">
        <f t="shared" si="69"/>
        <v/>
      </c>
      <c r="J1530" s="1" t="s">
        <v>35</v>
      </c>
      <c r="K1530" s="1" t="str">
        <f t="shared" si="70"/>
        <v/>
      </c>
      <c r="L1530" s="1" t="str">
        <f t="shared" si="71"/>
        <v/>
      </c>
      <c r="M1530" s="1">
        <f>IF(OR(Table1[[#This Row],[Std Nom]]="",Table1[[#This Row],[Std Read]]=""),0,Table1[[#This Row],[Std Nom]]-Table1[[#This Row],[Std Read]])</f>
        <v>0</v>
      </c>
      <c r="N1530" s="1">
        <f>IF(Calculations!$F$5="ACCREDITED 17025 WITH UNCERTAINTIES",$N$10,0)</f>
        <v>0</v>
      </c>
      <c r="O1530" s="1" t="str">
        <f>IFERROR(Table1[[#This Row],[Std Nom]]-(_xlfn.XLOOKUP(Table1[[#This Row],[Manufacturer]]&amp;" "&amp;Table1[[#This Row],[Model]],Table13[MFR &amp; MDL],Table13[Tolerance % CW ],"")/100*Table1[[#This Row],[Std Nom]]),"")</f>
        <v/>
      </c>
      <c r="P1530" s="1" t="str">
        <f>IFERROR(Table1[[#This Row],[Std Nom]]+(_xlfn.XLOOKUP(Table1[[#This Row],[Manufacturer]]&amp;" "&amp;Table1[[#This Row],[Model]],Table13[MFR &amp; MDL],Table13[Tolerance % CW ],"")/100*Table1[[#This Row],[Std Nom]]),"")</f>
        <v/>
      </c>
      <c r="Q1530" s="1" t="e">
        <f>Table1[[#This Row],[High Tol]]-Table1[[#This Row],[Low Tol]]</f>
        <v>#VALUE!</v>
      </c>
      <c r="R1530" s="1">
        <f>2*Table1[[#This Row],[Std Error]]</f>
        <v>0</v>
      </c>
      <c r="S1530" s="1" t="str">
        <f>IF(Table1[[#This Row],[High Tol]]="","N/A",IFERROR(ABS(Table1[[#This Row],[Tol Span]]/Table1[[#This Row],[Error Span]]),"N/A"))</f>
        <v>N/A</v>
      </c>
      <c r="T1530" s="1" t="str">
        <f>IF(OR(Table1[[#This Row],[Low Tol]]="",Table1[[#This Row],[High Tol]]=""),"Needs Analysis",IF(Table1[[#This Row],[Ratio]]&gt;=4,"Not Significant",IF(Table1[[#This Row],[Ratio]]&gt;=2,"Semi-Significant","Significant")))</f>
        <v>Needs Analysis</v>
      </c>
      <c r="W1530" s="1">
        <f>IF(Table1[[#This Row],[Cal Type]]&lt;&gt;"ACCREDITED 17025 WITH UNCERTAINTIES",0,"")</f>
        <v>0</v>
      </c>
      <c r="X1530" s="1" t="str">
        <f>IF(Table1[[#This Row],[DUT Read]]="","N/A",Table1[[#This Row],[Std Error]]+Table1[[#This Row],[DUT Read]]+Table1[[#This Row],[DUT Ucty]])</f>
        <v>N/A</v>
      </c>
      <c r="Y1530" s="1" t="str">
        <f>IF(Table1[[#This Row],[Std Read]]="","N/A",Table1[[#This Row],[Std Read]]+Table1[[#This Row],[Std Ucty]])</f>
        <v>N/A</v>
      </c>
      <c r="Z15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0" s="1" t="str">
        <f>IF(Table1[[#This Row],[Spec Type]]="","N/A",Table1[[#This Row],[Spec Type]])</f>
        <v>±</v>
      </c>
      <c r="AC1530" s="1" t="str">
        <f>IF(Table1[[#This Row],[Spec Type2]]="N/A","N/A",IF(AND(Table1[[#This Row],[DUT Adj Read]]&gt;=Table1[[#This Row],[Low Tol]],Table1[[#This Row],[DUT Adj Read]]&lt;=Table1[[#This Row],[High Tol]]),"Pass","Fail"))</f>
        <v>Fail</v>
      </c>
      <c r="AD1530" s="1" t="str">
        <f>IF(AND(Table1[[#This Row],[Spec Type2]]="N/A",Table1[[#This Row],[DUT Adj Read]]="N/A",Table1[[#This Row],[Std Adj Read]]="N/A"),"N/A",IF(Table1[[#This Row],[DUT Adj Read]]="N/A",IF(Table1[[#This Row],[Std Adj Read]]&gt;Table1[[#This Row],[Low Tol]],"Pass","Fail"),IF(Table1[[#This Row],[DUT Adj Read]]&gt;Table1[[#This Row],[Low Tol]],"Pass","Fail")))</f>
        <v>Pass</v>
      </c>
      <c r="AE1530" s="1" t="str">
        <f>IF(AND(Table1[[#This Row],[Spec Type2]]="N/A",Table1[[#This Row],[DUT Adj Read]]="N/A",Table1[[#This Row],[Std Adj Read]]="N/A"),"N/A",IF(Table1[[#This Row],[DUT Adj Read]]="N/A",IF(Table1[[#This Row],[Std Adj Read]]&lt;Table1[[#This Row],[High Tol]],"Pass","Fail"),IF(Table1[[#This Row],[DUT Adj Read]]&lt;Table1[[#This Row],[High Tol]],"Pass","Fail")))</f>
        <v>Fail</v>
      </c>
      <c r="AF1530" s="1" t="str">
        <f>IF(AND(Table1[[#This Row],[Spec Type2]]="N/A",Table1[[#This Row],[DUT Adj Read]]="N/A",Table1[[#This Row],[Std Adj Read]]="N/A"),"N/A",IF(Table1[[#This Row],[DUT Adj Read]]="N/A",IF(Table1[[#This Row],[Std Adj Read]]&gt;=Table1[[#This Row],[Low Tol]],"Pass","Fail"),IF(Table1[[#This Row],[DUT Adj Read]]&gt;=Table1[[#This Row],[Low Tol]],"Pass","Fail")))</f>
        <v>Pass</v>
      </c>
      <c r="AG1530" s="1" t="str">
        <f>IF(AND(Table1[[#This Row],[Spec Type2]]="N/A",Table1[[#This Row],[DUT Adj Read]]="N/A",Table1[[#This Row],[Std Adj Read]]="N/A"),"N/A",IF(Table1[[#This Row],[DUT Adj Read]]="N/A",IF(Table1[[#This Row],[Std Adj Read]]&lt;=Table1[[#This Row],[High Tol]],"Pass","Fail"),IF(Table1[[#This Row],[DUT Adj Read]]&lt;=Table1[[#This Row],[High Tol]],"Pass","Fail")))</f>
        <v>Fail</v>
      </c>
      <c r="AH15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0" s="1" t="b">
        <v>0</v>
      </c>
      <c r="AN1530" s="1" t="b">
        <v>0</v>
      </c>
      <c r="AO1530" s="1" t="b">
        <v>0</v>
      </c>
    </row>
    <row r="1531" spans="1:41" x14ac:dyDescent="0.25">
      <c r="A1531" s="10"/>
      <c r="B1531" s="10"/>
      <c r="C1531" s="10"/>
      <c r="D1531" s="10"/>
      <c r="E1531" s="10"/>
      <c r="F1531" s="10"/>
      <c r="G1531" s="10"/>
      <c r="H1531" s="10"/>
      <c r="I1531" s="1" t="str">
        <f t="shared" si="69"/>
        <v/>
      </c>
      <c r="J1531" s="1" t="s">
        <v>35</v>
      </c>
      <c r="K1531" s="1" t="str">
        <f t="shared" si="70"/>
        <v/>
      </c>
      <c r="L1531" s="1" t="str">
        <f t="shared" si="71"/>
        <v/>
      </c>
      <c r="M1531" s="1">
        <f>IF(OR(Table1[[#This Row],[Std Nom]]="",Table1[[#This Row],[Std Read]]=""),0,Table1[[#This Row],[Std Nom]]-Table1[[#This Row],[Std Read]])</f>
        <v>0</v>
      </c>
      <c r="N1531" s="1">
        <f>IF(Calculations!$F$5="ACCREDITED 17025 WITH UNCERTAINTIES",$N$10,0)</f>
        <v>0</v>
      </c>
      <c r="O1531" s="1" t="str">
        <f>IFERROR(Table1[[#This Row],[Std Nom]]-(_xlfn.XLOOKUP(Table1[[#This Row],[Manufacturer]]&amp;" "&amp;Table1[[#This Row],[Model]],Table13[MFR &amp; MDL],Table13[Tolerance % CW ],"")/100*Table1[[#This Row],[Std Nom]]),"")</f>
        <v/>
      </c>
      <c r="P1531" s="1" t="str">
        <f>IFERROR(Table1[[#This Row],[Std Nom]]+(_xlfn.XLOOKUP(Table1[[#This Row],[Manufacturer]]&amp;" "&amp;Table1[[#This Row],[Model]],Table13[MFR &amp; MDL],Table13[Tolerance % CW ],"")/100*Table1[[#This Row],[Std Nom]]),"")</f>
        <v/>
      </c>
      <c r="Q1531" s="1" t="e">
        <f>Table1[[#This Row],[High Tol]]-Table1[[#This Row],[Low Tol]]</f>
        <v>#VALUE!</v>
      </c>
      <c r="R1531" s="1">
        <f>2*Table1[[#This Row],[Std Error]]</f>
        <v>0</v>
      </c>
      <c r="S1531" s="1" t="str">
        <f>IF(Table1[[#This Row],[High Tol]]="","N/A",IFERROR(ABS(Table1[[#This Row],[Tol Span]]/Table1[[#This Row],[Error Span]]),"N/A"))</f>
        <v>N/A</v>
      </c>
      <c r="T1531" s="1" t="str">
        <f>IF(OR(Table1[[#This Row],[Low Tol]]="",Table1[[#This Row],[High Tol]]=""),"Needs Analysis",IF(Table1[[#This Row],[Ratio]]&gt;=4,"Not Significant",IF(Table1[[#This Row],[Ratio]]&gt;=2,"Semi-Significant","Significant")))</f>
        <v>Needs Analysis</v>
      </c>
      <c r="W1531" s="1">
        <f>IF(Table1[[#This Row],[Cal Type]]&lt;&gt;"ACCREDITED 17025 WITH UNCERTAINTIES",0,"")</f>
        <v>0</v>
      </c>
      <c r="X1531" s="1" t="str">
        <f>IF(Table1[[#This Row],[DUT Read]]="","N/A",Table1[[#This Row],[Std Error]]+Table1[[#This Row],[DUT Read]]+Table1[[#This Row],[DUT Ucty]])</f>
        <v>N/A</v>
      </c>
      <c r="Y1531" s="1" t="str">
        <f>IF(Table1[[#This Row],[Std Read]]="","N/A",Table1[[#This Row],[Std Read]]+Table1[[#This Row],[Std Ucty]])</f>
        <v>N/A</v>
      </c>
      <c r="Z15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1" s="1" t="str">
        <f>IF(Table1[[#This Row],[Spec Type]]="","N/A",Table1[[#This Row],[Spec Type]])</f>
        <v>±</v>
      </c>
      <c r="AC1531" s="1" t="str">
        <f>IF(Table1[[#This Row],[Spec Type2]]="N/A","N/A",IF(AND(Table1[[#This Row],[DUT Adj Read]]&gt;=Table1[[#This Row],[Low Tol]],Table1[[#This Row],[DUT Adj Read]]&lt;=Table1[[#This Row],[High Tol]]),"Pass","Fail"))</f>
        <v>Fail</v>
      </c>
      <c r="AD1531" s="1" t="str">
        <f>IF(AND(Table1[[#This Row],[Spec Type2]]="N/A",Table1[[#This Row],[DUT Adj Read]]="N/A",Table1[[#This Row],[Std Adj Read]]="N/A"),"N/A",IF(Table1[[#This Row],[DUT Adj Read]]="N/A",IF(Table1[[#This Row],[Std Adj Read]]&gt;Table1[[#This Row],[Low Tol]],"Pass","Fail"),IF(Table1[[#This Row],[DUT Adj Read]]&gt;Table1[[#This Row],[Low Tol]],"Pass","Fail")))</f>
        <v>Pass</v>
      </c>
      <c r="AE1531" s="1" t="str">
        <f>IF(AND(Table1[[#This Row],[Spec Type2]]="N/A",Table1[[#This Row],[DUT Adj Read]]="N/A",Table1[[#This Row],[Std Adj Read]]="N/A"),"N/A",IF(Table1[[#This Row],[DUT Adj Read]]="N/A",IF(Table1[[#This Row],[Std Adj Read]]&lt;Table1[[#This Row],[High Tol]],"Pass","Fail"),IF(Table1[[#This Row],[DUT Adj Read]]&lt;Table1[[#This Row],[High Tol]],"Pass","Fail")))</f>
        <v>Fail</v>
      </c>
      <c r="AF1531" s="1" t="str">
        <f>IF(AND(Table1[[#This Row],[Spec Type2]]="N/A",Table1[[#This Row],[DUT Adj Read]]="N/A",Table1[[#This Row],[Std Adj Read]]="N/A"),"N/A",IF(Table1[[#This Row],[DUT Adj Read]]="N/A",IF(Table1[[#This Row],[Std Adj Read]]&gt;=Table1[[#This Row],[Low Tol]],"Pass","Fail"),IF(Table1[[#This Row],[DUT Adj Read]]&gt;=Table1[[#This Row],[Low Tol]],"Pass","Fail")))</f>
        <v>Pass</v>
      </c>
      <c r="AG1531" s="1" t="str">
        <f>IF(AND(Table1[[#This Row],[Spec Type2]]="N/A",Table1[[#This Row],[DUT Adj Read]]="N/A",Table1[[#This Row],[Std Adj Read]]="N/A"),"N/A",IF(Table1[[#This Row],[DUT Adj Read]]="N/A",IF(Table1[[#This Row],[Std Adj Read]]&lt;=Table1[[#This Row],[High Tol]],"Pass","Fail"),IF(Table1[[#This Row],[DUT Adj Read]]&lt;=Table1[[#This Row],[High Tol]],"Pass","Fail")))</f>
        <v>Fail</v>
      </c>
      <c r="AH15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1" s="1" t="b">
        <v>0</v>
      </c>
      <c r="AN1531" s="1" t="b">
        <v>0</v>
      </c>
      <c r="AO1531" s="1" t="b">
        <v>0</v>
      </c>
    </row>
    <row r="1532" spans="1:41" x14ac:dyDescent="0.25">
      <c r="A1532" s="10"/>
      <c r="B1532" s="10"/>
      <c r="C1532" s="10"/>
      <c r="D1532" s="10"/>
      <c r="E1532" s="10"/>
      <c r="F1532" s="10"/>
      <c r="G1532" s="10"/>
      <c r="H1532" s="10"/>
      <c r="I1532" s="1" t="str">
        <f t="shared" si="69"/>
        <v/>
      </c>
      <c r="J1532" s="1" t="s">
        <v>35</v>
      </c>
      <c r="K1532" s="1" t="str">
        <f t="shared" si="70"/>
        <v/>
      </c>
      <c r="L1532" s="1" t="str">
        <f t="shared" si="71"/>
        <v/>
      </c>
      <c r="M1532" s="1">
        <f>IF(OR(Table1[[#This Row],[Std Nom]]="",Table1[[#This Row],[Std Read]]=""),0,Table1[[#This Row],[Std Nom]]-Table1[[#This Row],[Std Read]])</f>
        <v>0</v>
      </c>
      <c r="N1532" s="1">
        <f>IF(Calculations!$F$5="ACCREDITED 17025 WITH UNCERTAINTIES",$N$10,0)</f>
        <v>0</v>
      </c>
      <c r="O1532" s="1" t="str">
        <f>IFERROR(Table1[[#This Row],[Std Nom]]-(_xlfn.XLOOKUP(Table1[[#This Row],[Manufacturer]]&amp;" "&amp;Table1[[#This Row],[Model]],Table13[MFR &amp; MDL],Table13[Tolerance % CW ],"")/100*Table1[[#This Row],[Std Nom]]),"")</f>
        <v/>
      </c>
      <c r="P1532" s="1" t="str">
        <f>IFERROR(Table1[[#This Row],[Std Nom]]+(_xlfn.XLOOKUP(Table1[[#This Row],[Manufacturer]]&amp;" "&amp;Table1[[#This Row],[Model]],Table13[MFR &amp; MDL],Table13[Tolerance % CW ],"")/100*Table1[[#This Row],[Std Nom]]),"")</f>
        <v/>
      </c>
      <c r="Q1532" s="1" t="e">
        <f>Table1[[#This Row],[High Tol]]-Table1[[#This Row],[Low Tol]]</f>
        <v>#VALUE!</v>
      </c>
      <c r="R1532" s="1">
        <f>2*Table1[[#This Row],[Std Error]]</f>
        <v>0</v>
      </c>
      <c r="S1532" s="1" t="str">
        <f>IF(Table1[[#This Row],[High Tol]]="","N/A",IFERROR(ABS(Table1[[#This Row],[Tol Span]]/Table1[[#This Row],[Error Span]]),"N/A"))</f>
        <v>N/A</v>
      </c>
      <c r="T1532" s="1" t="str">
        <f>IF(OR(Table1[[#This Row],[Low Tol]]="",Table1[[#This Row],[High Tol]]=""),"Needs Analysis",IF(Table1[[#This Row],[Ratio]]&gt;=4,"Not Significant",IF(Table1[[#This Row],[Ratio]]&gt;=2,"Semi-Significant","Significant")))</f>
        <v>Needs Analysis</v>
      </c>
      <c r="W1532" s="1">
        <f>IF(Table1[[#This Row],[Cal Type]]&lt;&gt;"ACCREDITED 17025 WITH UNCERTAINTIES",0,"")</f>
        <v>0</v>
      </c>
      <c r="X1532" s="1" t="str">
        <f>IF(Table1[[#This Row],[DUT Read]]="","N/A",Table1[[#This Row],[Std Error]]+Table1[[#This Row],[DUT Read]]+Table1[[#This Row],[DUT Ucty]])</f>
        <v>N/A</v>
      </c>
      <c r="Y1532" s="1" t="str">
        <f>IF(Table1[[#This Row],[Std Read]]="","N/A",Table1[[#This Row],[Std Read]]+Table1[[#This Row],[Std Ucty]])</f>
        <v>N/A</v>
      </c>
      <c r="Z15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2" s="1" t="str">
        <f>IF(Table1[[#This Row],[Spec Type]]="","N/A",Table1[[#This Row],[Spec Type]])</f>
        <v>±</v>
      </c>
      <c r="AC1532" s="1" t="str">
        <f>IF(Table1[[#This Row],[Spec Type2]]="N/A","N/A",IF(AND(Table1[[#This Row],[DUT Adj Read]]&gt;=Table1[[#This Row],[Low Tol]],Table1[[#This Row],[DUT Adj Read]]&lt;=Table1[[#This Row],[High Tol]]),"Pass","Fail"))</f>
        <v>Fail</v>
      </c>
      <c r="AD1532" s="1" t="str">
        <f>IF(AND(Table1[[#This Row],[Spec Type2]]="N/A",Table1[[#This Row],[DUT Adj Read]]="N/A",Table1[[#This Row],[Std Adj Read]]="N/A"),"N/A",IF(Table1[[#This Row],[DUT Adj Read]]="N/A",IF(Table1[[#This Row],[Std Adj Read]]&gt;Table1[[#This Row],[Low Tol]],"Pass","Fail"),IF(Table1[[#This Row],[DUT Adj Read]]&gt;Table1[[#This Row],[Low Tol]],"Pass","Fail")))</f>
        <v>Pass</v>
      </c>
      <c r="AE1532" s="1" t="str">
        <f>IF(AND(Table1[[#This Row],[Spec Type2]]="N/A",Table1[[#This Row],[DUT Adj Read]]="N/A",Table1[[#This Row],[Std Adj Read]]="N/A"),"N/A",IF(Table1[[#This Row],[DUT Adj Read]]="N/A",IF(Table1[[#This Row],[Std Adj Read]]&lt;Table1[[#This Row],[High Tol]],"Pass","Fail"),IF(Table1[[#This Row],[DUT Adj Read]]&lt;Table1[[#This Row],[High Tol]],"Pass","Fail")))</f>
        <v>Fail</v>
      </c>
      <c r="AF1532" s="1" t="str">
        <f>IF(AND(Table1[[#This Row],[Spec Type2]]="N/A",Table1[[#This Row],[DUT Adj Read]]="N/A",Table1[[#This Row],[Std Adj Read]]="N/A"),"N/A",IF(Table1[[#This Row],[DUT Adj Read]]="N/A",IF(Table1[[#This Row],[Std Adj Read]]&gt;=Table1[[#This Row],[Low Tol]],"Pass","Fail"),IF(Table1[[#This Row],[DUT Adj Read]]&gt;=Table1[[#This Row],[Low Tol]],"Pass","Fail")))</f>
        <v>Pass</v>
      </c>
      <c r="AG1532" s="1" t="str">
        <f>IF(AND(Table1[[#This Row],[Spec Type2]]="N/A",Table1[[#This Row],[DUT Adj Read]]="N/A",Table1[[#This Row],[Std Adj Read]]="N/A"),"N/A",IF(Table1[[#This Row],[DUT Adj Read]]="N/A",IF(Table1[[#This Row],[Std Adj Read]]&lt;=Table1[[#This Row],[High Tol]],"Pass","Fail"),IF(Table1[[#This Row],[DUT Adj Read]]&lt;=Table1[[#This Row],[High Tol]],"Pass","Fail")))</f>
        <v>Fail</v>
      </c>
      <c r="AH15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2" s="1" t="b">
        <v>0</v>
      </c>
      <c r="AN1532" s="1" t="b">
        <v>0</v>
      </c>
      <c r="AO1532" s="1" t="b">
        <v>0</v>
      </c>
    </row>
    <row r="1533" spans="1:41" x14ac:dyDescent="0.25">
      <c r="A1533" s="10"/>
      <c r="B1533" s="10"/>
      <c r="C1533" s="10"/>
      <c r="D1533" s="10"/>
      <c r="E1533" s="10"/>
      <c r="F1533" s="10"/>
      <c r="G1533" s="10"/>
      <c r="H1533" s="10"/>
      <c r="I1533" s="1" t="str">
        <f t="shared" si="69"/>
        <v/>
      </c>
      <c r="J1533" s="1" t="s">
        <v>35</v>
      </c>
      <c r="K1533" s="1" t="str">
        <f t="shared" si="70"/>
        <v/>
      </c>
      <c r="L1533" s="1" t="str">
        <f t="shared" si="71"/>
        <v/>
      </c>
      <c r="M1533" s="1">
        <f>IF(OR(Table1[[#This Row],[Std Nom]]="",Table1[[#This Row],[Std Read]]=""),0,Table1[[#This Row],[Std Nom]]-Table1[[#This Row],[Std Read]])</f>
        <v>0</v>
      </c>
      <c r="N1533" s="1">
        <f>IF(Calculations!$F$5="ACCREDITED 17025 WITH UNCERTAINTIES",$N$10,0)</f>
        <v>0</v>
      </c>
      <c r="O1533" s="1" t="str">
        <f>IFERROR(Table1[[#This Row],[Std Nom]]-(_xlfn.XLOOKUP(Table1[[#This Row],[Manufacturer]]&amp;" "&amp;Table1[[#This Row],[Model]],Table13[MFR &amp; MDL],Table13[Tolerance % CW ],"")/100*Table1[[#This Row],[Std Nom]]),"")</f>
        <v/>
      </c>
      <c r="P1533" s="1" t="str">
        <f>IFERROR(Table1[[#This Row],[Std Nom]]+(_xlfn.XLOOKUP(Table1[[#This Row],[Manufacturer]]&amp;" "&amp;Table1[[#This Row],[Model]],Table13[MFR &amp; MDL],Table13[Tolerance % CW ],"")/100*Table1[[#This Row],[Std Nom]]),"")</f>
        <v/>
      </c>
      <c r="Q1533" s="1" t="e">
        <f>Table1[[#This Row],[High Tol]]-Table1[[#This Row],[Low Tol]]</f>
        <v>#VALUE!</v>
      </c>
      <c r="R1533" s="1">
        <f>2*Table1[[#This Row],[Std Error]]</f>
        <v>0</v>
      </c>
      <c r="S1533" s="1" t="str">
        <f>IF(Table1[[#This Row],[High Tol]]="","N/A",IFERROR(ABS(Table1[[#This Row],[Tol Span]]/Table1[[#This Row],[Error Span]]),"N/A"))</f>
        <v>N/A</v>
      </c>
      <c r="T1533" s="1" t="str">
        <f>IF(OR(Table1[[#This Row],[Low Tol]]="",Table1[[#This Row],[High Tol]]=""),"Needs Analysis",IF(Table1[[#This Row],[Ratio]]&gt;=4,"Not Significant",IF(Table1[[#This Row],[Ratio]]&gt;=2,"Semi-Significant","Significant")))</f>
        <v>Needs Analysis</v>
      </c>
      <c r="W1533" s="1">
        <f>IF(Table1[[#This Row],[Cal Type]]&lt;&gt;"ACCREDITED 17025 WITH UNCERTAINTIES",0,"")</f>
        <v>0</v>
      </c>
      <c r="X1533" s="1" t="str">
        <f>IF(Table1[[#This Row],[DUT Read]]="","N/A",Table1[[#This Row],[Std Error]]+Table1[[#This Row],[DUT Read]]+Table1[[#This Row],[DUT Ucty]])</f>
        <v>N/A</v>
      </c>
      <c r="Y1533" s="1" t="str">
        <f>IF(Table1[[#This Row],[Std Read]]="","N/A",Table1[[#This Row],[Std Read]]+Table1[[#This Row],[Std Ucty]])</f>
        <v>N/A</v>
      </c>
      <c r="Z15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3" s="1" t="str">
        <f>IF(Table1[[#This Row],[Spec Type]]="","N/A",Table1[[#This Row],[Spec Type]])</f>
        <v>±</v>
      </c>
      <c r="AC1533" s="1" t="str">
        <f>IF(Table1[[#This Row],[Spec Type2]]="N/A","N/A",IF(AND(Table1[[#This Row],[DUT Adj Read]]&gt;=Table1[[#This Row],[Low Tol]],Table1[[#This Row],[DUT Adj Read]]&lt;=Table1[[#This Row],[High Tol]]),"Pass","Fail"))</f>
        <v>Fail</v>
      </c>
      <c r="AD1533" s="1" t="str">
        <f>IF(AND(Table1[[#This Row],[Spec Type2]]="N/A",Table1[[#This Row],[DUT Adj Read]]="N/A",Table1[[#This Row],[Std Adj Read]]="N/A"),"N/A",IF(Table1[[#This Row],[DUT Adj Read]]="N/A",IF(Table1[[#This Row],[Std Adj Read]]&gt;Table1[[#This Row],[Low Tol]],"Pass","Fail"),IF(Table1[[#This Row],[DUT Adj Read]]&gt;Table1[[#This Row],[Low Tol]],"Pass","Fail")))</f>
        <v>Pass</v>
      </c>
      <c r="AE1533" s="1" t="str">
        <f>IF(AND(Table1[[#This Row],[Spec Type2]]="N/A",Table1[[#This Row],[DUT Adj Read]]="N/A",Table1[[#This Row],[Std Adj Read]]="N/A"),"N/A",IF(Table1[[#This Row],[DUT Adj Read]]="N/A",IF(Table1[[#This Row],[Std Adj Read]]&lt;Table1[[#This Row],[High Tol]],"Pass","Fail"),IF(Table1[[#This Row],[DUT Adj Read]]&lt;Table1[[#This Row],[High Tol]],"Pass","Fail")))</f>
        <v>Fail</v>
      </c>
      <c r="AF1533" s="1" t="str">
        <f>IF(AND(Table1[[#This Row],[Spec Type2]]="N/A",Table1[[#This Row],[DUT Adj Read]]="N/A",Table1[[#This Row],[Std Adj Read]]="N/A"),"N/A",IF(Table1[[#This Row],[DUT Adj Read]]="N/A",IF(Table1[[#This Row],[Std Adj Read]]&gt;=Table1[[#This Row],[Low Tol]],"Pass","Fail"),IF(Table1[[#This Row],[DUT Adj Read]]&gt;=Table1[[#This Row],[Low Tol]],"Pass","Fail")))</f>
        <v>Pass</v>
      </c>
      <c r="AG1533" s="1" t="str">
        <f>IF(AND(Table1[[#This Row],[Spec Type2]]="N/A",Table1[[#This Row],[DUT Adj Read]]="N/A",Table1[[#This Row],[Std Adj Read]]="N/A"),"N/A",IF(Table1[[#This Row],[DUT Adj Read]]="N/A",IF(Table1[[#This Row],[Std Adj Read]]&lt;=Table1[[#This Row],[High Tol]],"Pass","Fail"),IF(Table1[[#This Row],[DUT Adj Read]]&lt;=Table1[[#This Row],[High Tol]],"Pass","Fail")))</f>
        <v>Fail</v>
      </c>
      <c r="AH15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3" s="1" t="b">
        <v>0</v>
      </c>
      <c r="AN1533" s="1" t="b">
        <v>0</v>
      </c>
      <c r="AO1533" s="1" t="b">
        <v>0</v>
      </c>
    </row>
    <row r="1534" spans="1:41" x14ac:dyDescent="0.25">
      <c r="A1534" s="10"/>
      <c r="B1534" s="10"/>
      <c r="C1534" s="10"/>
      <c r="D1534" s="10"/>
      <c r="E1534" s="10"/>
      <c r="F1534" s="10"/>
      <c r="G1534" s="10"/>
      <c r="H1534" s="10"/>
      <c r="I1534" s="1" t="str">
        <f t="shared" si="69"/>
        <v/>
      </c>
      <c r="J1534" s="1" t="s">
        <v>35</v>
      </c>
      <c r="K1534" s="1" t="str">
        <f t="shared" si="70"/>
        <v/>
      </c>
      <c r="L1534" s="1" t="str">
        <f t="shared" si="71"/>
        <v/>
      </c>
      <c r="M1534" s="1">
        <f>IF(OR(Table1[[#This Row],[Std Nom]]="",Table1[[#This Row],[Std Read]]=""),0,Table1[[#This Row],[Std Nom]]-Table1[[#This Row],[Std Read]])</f>
        <v>0</v>
      </c>
      <c r="N1534" s="1">
        <f>IF(Calculations!$F$5="ACCREDITED 17025 WITH UNCERTAINTIES",$N$10,0)</f>
        <v>0</v>
      </c>
      <c r="O1534" s="1" t="str">
        <f>IFERROR(Table1[[#This Row],[Std Nom]]-(_xlfn.XLOOKUP(Table1[[#This Row],[Manufacturer]]&amp;" "&amp;Table1[[#This Row],[Model]],Table13[MFR &amp; MDL],Table13[Tolerance % CW ],"")/100*Table1[[#This Row],[Std Nom]]),"")</f>
        <v/>
      </c>
      <c r="P1534" s="1" t="str">
        <f>IFERROR(Table1[[#This Row],[Std Nom]]+(_xlfn.XLOOKUP(Table1[[#This Row],[Manufacturer]]&amp;" "&amp;Table1[[#This Row],[Model]],Table13[MFR &amp; MDL],Table13[Tolerance % CW ],"")/100*Table1[[#This Row],[Std Nom]]),"")</f>
        <v/>
      </c>
      <c r="Q1534" s="1" t="e">
        <f>Table1[[#This Row],[High Tol]]-Table1[[#This Row],[Low Tol]]</f>
        <v>#VALUE!</v>
      </c>
      <c r="R1534" s="1">
        <f>2*Table1[[#This Row],[Std Error]]</f>
        <v>0</v>
      </c>
      <c r="S1534" s="1" t="str">
        <f>IF(Table1[[#This Row],[High Tol]]="","N/A",IFERROR(ABS(Table1[[#This Row],[Tol Span]]/Table1[[#This Row],[Error Span]]),"N/A"))</f>
        <v>N/A</v>
      </c>
      <c r="T1534" s="1" t="str">
        <f>IF(OR(Table1[[#This Row],[Low Tol]]="",Table1[[#This Row],[High Tol]]=""),"Needs Analysis",IF(Table1[[#This Row],[Ratio]]&gt;=4,"Not Significant",IF(Table1[[#This Row],[Ratio]]&gt;=2,"Semi-Significant","Significant")))</f>
        <v>Needs Analysis</v>
      </c>
      <c r="W1534" s="1">
        <f>IF(Table1[[#This Row],[Cal Type]]&lt;&gt;"ACCREDITED 17025 WITH UNCERTAINTIES",0,"")</f>
        <v>0</v>
      </c>
      <c r="X1534" s="1" t="str">
        <f>IF(Table1[[#This Row],[DUT Read]]="","N/A",Table1[[#This Row],[Std Error]]+Table1[[#This Row],[DUT Read]]+Table1[[#This Row],[DUT Ucty]])</f>
        <v>N/A</v>
      </c>
      <c r="Y1534" s="1" t="str">
        <f>IF(Table1[[#This Row],[Std Read]]="","N/A",Table1[[#This Row],[Std Read]]+Table1[[#This Row],[Std Ucty]])</f>
        <v>N/A</v>
      </c>
      <c r="Z15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4" s="1" t="str">
        <f>IF(Table1[[#This Row],[Spec Type]]="","N/A",Table1[[#This Row],[Spec Type]])</f>
        <v>±</v>
      </c>
      <c r="AC1534" s="1" t="str">
        <f>IF(Table1[[#This Row],[Spec Type2]]="N/A","N/A",IF(AND(Table1[[#This Row],[DUT Adj Read]]&gt;=Table1[[#This Row],[Low Tol]],Table1[[#This Row],[DUT Adj Read]]&lt;=Table1[[#This Row],[High Tol]]),"Pass","Fail"))</f>
        <v>Fail</v>
      </c>
      <c r="AD1534" s="1" t="str">
        <f>IF(AND(Table1[[#This Row],[Spec Type2]]="N/A",Table1[[#This Row],[DUT Adj Read]]="N/A",Table1[[#This Row],[Std Adj Read]]="N/A"),"N/A",IF(Table1[[#This Row],[DUT Adj Read]]="N/A",IF(Table1[[#This Row],[Std Adj Read]]&gt;Table1[[#This Row],[Low Tol]],"Pass","Fail"),IF(Table1[[#This Row],[DUT Adj Read]]&gt;Table1[[#This Row],[Low Tol]],"Pass","Fail")))</f>
        <v>Pass</v>
      </c>
      <c r="AE1534" s="1" t="str">
        <f>IF(AND(Table1[[#This Row],[Spec Type2]]="N/A",Table1[[#This Row],[DUT Adj Read]]="N/A",Table1[[#This Row],[Std Adj Read]]="N/A"),"N/A",IF(Table1[[#This Row],[DUT Adj Read]]="N/A",IF(Table1[[#This Row],[Std Adj Read]]&lt;Table1[[#This Row],[High Tol]],"Pass","Fail"),IF(Table1[[#This Row],[DUT Adj Read]]&lt;Table1[[#This Row],[High Tol]],"Pass","Fail")))</f>
        <v>Fail</v>
      </c>
      <c r="AF1534" s="1" t="str">
        <f>IF(AND(Table1[[#This Row],[Spec Type2]]="N/A",Table1[[#This Row],[DUT Adj Read]]="N/A",Table1[[#This Row],[Std Adj Read]]="N/A"),"N/A",IF(Table1[[#This Row],[DUT Adj Read]]="N/A",IF(Table1[[#This Row],[Std Adj Read]]&gt;=Table1[[#This Row],[Low Tol]],"Pass","Fail"),IF(Table1[[#This Row],[DUT Adj Read]]&gt;=Table1[[#This Row],[Low Tol]],"Pass","Fail")))</f>
        <v>Pass</v>
      </c>
      <c r="AG1534" s="1" t="str">
        <f>IF(AND(Table1[[#This Row],[Spec Type2]]="N/A",Table1[[#This Row],[DUT Adj Read]]="N/A",Table1[[#This Row],[Std Adj Read]]="N/A"),"N/A",IF(Table1[[#This Row],[DUT Adj Read]]="N/A",IF(Table1[[#This Row],[Std Adj Read]]&lt;=Table1[[#This Row],[High Tol]],"Pass","Fail"),IF(Table1[[#This Row],[DUT Adj Read]]&lt;=Table1[[#This Row],[High Tol]],"Pass","Fail")))</f>
        <v>Fail</v>
      </c>
      <c r="AH15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4" s="1" t="b">
        <v>0</v>
      </c>
      <c r="AN1534" s="1" t="b">
        <v>0</v>
      </c>
      <c r="AO1534" s="1" t="b">
        <v>0</v>
      </c>
    </row>
    <row r="1535" spans="1:41" x14ac:dyDescent="0.25">
      <c r="A1535" s="10"/>
      <c r="B1535" s="10"/>
      <c r="C1535" s="10"/>
      <c r="D1535" s="10"/>
      <c r="E1535" s="10"/>
      <c r="F1535" s="10"/>
      <c r="G1535" s="10"/>
      <c r="H1535" s="10"/>
      <c r="I1535" s="1" t="str">
        <f t="shared" si="69"/>
        <v/>
      </c>
      <c r="J1535" s="1" t="s">
        <v>35</v>
      </c>
      <c r="K1535" s="1" t="str">
        <f t="shared" si="70"/>
        <v/>
      </c>
      <c r="L1535" s="1" t="str">
        <f t="shared" si="71"/>
        <v/>
      </c>
      <c r="M1535" s="1">
        <f>IF(OR(Table1[[#This Row],[Std Nom]]="",Table1[[#This Row],[Std Read]]=""),0,Table1[[#This Row],[Std Nom]]-Table1[[#This Row],[Std Read]])</f>
        <v>0</v>
      </c>
      <c r="N1535" s="1">
        <f>IF(Calculations!$F$5="ACCREDITED 17025 WITH UNCERTAINTIES",$N$10,0)</f>
        <v>0</v>
      </c>
      <c r="O1535" s="1" t="str">
        <f>IFERROR(Table1[[#This Row],[Std Nom]]-(_xlfn.XLOOKUP(Table1[[#This Row],[Manufacturer]]&amp;" "&amp;Table1[[#This Row],[Model]],Table13[MFR &amp; MDL],Table13[Tolerance % CW ],"")/100*Table1[[#This Row],[Std Nom]]),"")</f>
        <v/>
      </c>
      <c r="P1535" s="1" t="str">
        <f>IFERROR(Table1[[#This Row],[Std Nom]]+(_xlfn.XLOOKUP(Table1[[#This Row],[Manufacturer]]&amp;" "&amp;Table1[[#This Row],[Model]],Table13[MFR &amp; MDL],Table13[Tolerance % CW ],"")/100*Table1[[#This Row],[Std Nom]]),"")</f>
        <v/>
      </c>
      <c r="Q1535" s="1" t="e">
        <f>Table1[[#This Row],[High Tol]]-Table1[[#This Row],[Low Tol]]</f>
        <v>#VALUE!</v>
      </c>
      <c r="R1535" s="1">
        <f>2*Table1[[#This Row],[Std Error]]</f>
        <v>0</v>
      </c>
      <c r="S1535" s="1" t="str">
        <f>IF(Table1[[#This Row],[High Tol]]="","N/A",IFERROR(ABS(Table1[[#This Row],[Tol Span]]/Table1[[#This Row],[Error Span]]),"N/A"))</f>
        <v>N/A</v>
      </c>
      <c r="T1535" s="1" t="str">
        <f>IF(OR(Table1[[#This Row],[Low Tol]]="",Table1[[#This Row],[High Tol]]=""),"Needs Analysis",IF(Table1[[#This Row],[Ratio]]&gt;=4,"Not Significant",IF(Table1[[#This Row],[Ratio]]&gt;=2,"Semi-Significant","Significant")))</f>
        <v>Needs Analysis</v>
      </c>
      <c r="W1535" s="1">
        <f>IF(Table1[[#This Row],[Cal Type]]&lt;&gt;"ACCREDITED 17025 WITH UNCERTAINTIES",0,"")</f>
        <v>0</v>
      </c>
      <c r="X1535" s="1" t="str">
        <f>IF(Table1[[#This Row],[DUT Read]]="","N/A",Table1[[#This Row],[Std Error]]+Table1[[#This Row],[DUT Read]]+Table1[[#This Row],[DUT Ucty]])</f>
        <v>N/A</v>
      </c>
      <c r="Y1535" s="1" t="str">
        <f>IF(Table1[[#This Row],[Std Read]]="","N/A",Table1[[#This Row],[Std Read]]+Table1[[#This Row],[Std Ucty]])</f>
        <v>N/A</v>
      </c>
      <c r="Z15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5" s="1" t="str">
        <f>IF(Table1[[#This Row],[Spec Type]]="","N/A",Table1[[#This Row],[Spec Type]])</f>
        <v>±</v>
      </c>
      <c r="AC1535" s="1" t="str">
        <f>IF(Table1[[#This Row],[Spec Type2]]="N/A","N/A",IF(AND(Table1[[#This Row],[DUT Adj Read]]&gt;=Table1[[#This Row],[Low Tol]],Table1[[#This Row],[DUT Adj Read]]&lt;=Table1[[#This Row],[High Tol]]),"Pass","Fail"))</f>
        <v>Fail</v>
      </c>
      <c r="AD1535" s="1" t="str">
        <f>IF(AND(Table1[[#This Row],[Spec Type2]]="N/A",Table1[[#This Row],[DUT Adj Read]]="N/A",Table1[[#This Row],[Std Adj Read]]="N/A"),"N/A",IF(Table1[[#This Row],[DUT Adj Read]]="N/A",IF(Table1[[#This Row],[Std Adj Read]]&gt;Table1[[#This Row],[Low Tol]],"Pass","Fail"),IF(Table1[[#This Row],[DUT Adj Read]]&gt;Table1[[#This Row],[Low Tol]],"Pass","Fail")))</f>
        <v>Pass</v>
      </c>
      <c r="AE1535" s="1" t="str">
        <f>IF(AND(Table1[[#This Row],[Spec Type2]]="N/A",Table1[[#This Row],[DUT Adj Read]]="N/A",Table1[[#This Row],[Std Adj Read]]="N/A"),"N/A",IF(Table1[[#This Row],[DUT Adj Read]]="N/A",IF(Table1[[#This Row],[Std Adj Read]]&lt;Table1[[#This Row],[High Tol]],"Pass","Fail"),IF(Table1[[#This Row],[DUT Adj Read]]&lt;Table1[[#This Row],[High Tol]],"Pass","Fail")))</f>
        <v>Fail</v>
      </c>
      <c r="AF1535" s="1" t="str">
        <f>IF(AND(Table1[[#This Row],[Spec Type2]]="N/A",Table1[[#This Row],[DUT Adj Read]]="N/A",Table1[[#This Row],[Std Adj Read]]="N/A"),"N/A",IF(Table1[[#This Row],[DUT Adj Read]]="N/A",IF(Table1[[#This Row],[Std Adj Read]]&gt;=Table1[[#This Row],[Low Tol]],"Pass","Fail"),IF(Table1[[#This Row],[DUT Adj Read]]&gt;=Table1[[#This Row],[Low Tol]],"Pass","Fail")))</f>
        <v>Pass</v>
      </c>
      <c r="AG1535" s="1" t="str">
        <f>IF(AND(Table1[[#This Row],[Spec Type2]]="N/A",Table1[[#This Row],[DUT Adj Read]]="N/A",Table1[[#This Row],[Std Adj Read]]="N/A"),"N/A",IF(Table1[[#This Row],[DUT Adj Read]]="N/A",IF(Table1[[#This Row],[Std Adj Read]]&lt;=Table1[[#This Row],[High Tol]],"Pass","Fail"),IF(Table1[[#This Row],[DUT Adj Read]]&lt;=Table1[[#This Row],[High Tol]],"Pass","Fail")))</f>
        <v>Fail</v>
      </c>
      <c r="AH15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5" s="1" t="b">
        <v>0</v>
      </c>
      <c r="AN1535" s="1" t="b">
        <v>0</v>
      </c>
      <c r="AO1535" s="1" t="b">
        <v>0</v>
      </c>
    </row>
    <row r="1536" spans="1:41" x14ac:dyDescent="0.25">
      <c r="A1536" s="10"/>
      <c r="B1536" s="10"/>
      <c r="C1536" s="10"/>
      <c r="D1536" s="10"/>
      <c r="E1536" s="10"/>
      <c r="F1536" s="10"/>
      <c r="G1536" s="10"/>
      <c r="H1536" s="10"/>
      <c r="I1536" s="1" t="str">
        <f t="shared" si="69"/>
        <v/>
      </c>
      <c r="J1536" s="1" t="s">
        <v>35</v>
      </c>
      <c r="K1536" s="1" t="str">
        <f t="shared" si="70"/>
        <v/>
      </c>
      <c r="L1536" s="1" t="str">
        <f t="shared" si="71"/>
        <v/>
      </c>
      <c r="M1536" s="1">
        <f>IF(OR(Table1[[#This Row],[Std Nom]]="",Table1[[#This Row],[Std Read]]=""),0,Table1[[#This Row],[Std Nom]]-Table1[[#This Row],[Std Read]])</f>
        <v>0</v>
      </c>
      <c r="N1536" s="1">
        <f>IF(Calculations!$F$5="ACCREDITED 17025 WITH UNCERTAINTIES",$N$10,0)</f>
        <v>0</v>
      </c>
      <c r="O1536" s="1" t="str">
        <f>IFERROR(Table1[[#This Row],[Std Nom]]-(_xlfn.XLOOKUP(Table1[[#This Row],[Manufacturer]]&amp;" "&amp;Table1[[#This Row],[Model]],Table13[MFR &amp; MDL],Table13[Tolerance % CW ],"")/100*Table1[[#This Row],[Std Nom]]),"")</f>
        <v/>
      </c>
      <c r="P1536" s="1" t="str">
        <f>IFERROR(Table1[[#This Row],[Std Nom]]+(_xlfn.XLOOKUP(Table1[[#This Row],[Manufacturer]]&amp;" "&amp;Table1[[#This Row],[Model]],Table13[MFR &amp; MDL],Table13[Tolerance % CW ],"")/100*Table1[[#This Row],[Std Nom]]),"")</f>
        <v/>
      </c>
      <c r="Q1536" s="1" t="e">
        <f>Table1[[#This Row],[High Tol]]-Table1[[#This Row],[Low Tol]]</f>
        <v>#VALUE!</v>
      </c>
      <c r="R1536" s="1">
        <f>2*Table1[[#This Row],[Std Error]]</f>
        <v>0</v>
      </c>
      <c r="S1536" s="1" t="str">
        <f>IF(Table1[[#This Row],[High Tol]]="","N/A",IFERROR(ABS(Table1[[#This Row],[Tol Span]]/Table1[[#This Row],[Error Span]]),"N/A"))</f>
        <v>N/A</v>
      </c>
      <c r="T1536" s="1" t="str">
        <f>IF(OR(Table1[[#This Row],[Low Tol]]="",Table1[[#This Row],[High Tol]]=""),"Needs Analysis",IF(Table1[[#This Row],[Ratio]]&gt;=4,"Not Significant",IF(Table1[[#This Row],[Ratio]]&gt;=2,"Semi-Significant","Significant")))</f>
        <v>Needs Analysis</v>
      </c>
      <c r="W1536" s="1">
        <f>IF(Table1[[#This Row],[Cal Type]]&lt;&gt;"ACCREDITED 17025 WITH UNCERTAINTIES",0,"")</f>
        <v>0</v>
      </c>
      <c r="X1536" s="1" t="str">
        <f>IF(Table1[[#This Row],[DUT Read]]="","N/A",Table1[[#This Row],[Std Error]]+Table1[[#This Row],[DUT Read]]+Table1[[#This Row],[DUT Ucty]])</f>
        <v>N/A</v>
      </c>
      <c r="Y1536" s="1" t="str">
        <f>IF(Table1[[#This Row],[Std Read]]="","N/A",Table1[[#This Row],[Std Read]]+Table1[[#This Row],[Std Ucty]])</f>
        <v>N/A</v>
      </c>
      <c r="Z15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6" s="1" t="str">
        <f>IF(Table1[[#This Row],[Spec Type]]="","N/A",Table1[[#This Row],[Spec Type]])</f>
        <v>±</v>
      </c>
      <c r="AC1536" s="1" t="str">
        <f>IF(Table1[[#This Row],[Spec Type2]]="N/A","N/A",IF(AND(Table1[[#This Row],[DUT Adj Read]]&gt;=Table1[[#This Row],[Low Tol]],Table1[[#This Row],[DUT Adj Read]]&lt;=Table1[[#This Row],[High Tol]]),"Pass","Fail"))</f>
        <v>Fail</v>
      </c>
      <c r="AD1536" s="1" t="str">
        <f>IF(AND(Table1[[#This Row],[Spec Type2]]="N/A",Table1[[#This Row],[DUT Adj Read]]="N/A",Table1[[#This Row],[Std Adj Read]]="N/A"),"N/A",IF(Table1[[#This Row],[DUT Adj Read]]="N/A",IF(Table1[[#This Row],[Std Adj Read]]&gt;Table1[[#This Row],[Low Tol]],"Pass","Fail"),IF(Table1[[#This Row],[DUT Adj Read]]&gt;Table1[[#This Row],[Low Tol]],"Pass","Fail")))</f>
        <v>Pass</v>
      </c>
      <c r="AE1536" s="1" t="str">
        <f>IF(AND(Table1[[#This Row],[Spec Type2]]="N/A",Table1[[#This Row],[DUT Adj Read]]="N/A",Table1[[#This Row],[Std Adj Read]]="N/A"),"N/A",IF(Table1[[#This Row],[DUT Adj Read]]="N/A",IF(Table1[[#This Row],[Std Adj Read]]&lt;Table1[[#This Row],[High Tol]],"Pass","Fail"),IF(Table1[[#This Row],[DUT Adj Read]]&lt;Table1[[#This Row],[High Tol]],"Pass","Fail")))</f>
        <v>Fail</v>
      </c>
      <c r="AF1536" s="1" t="str">
        <f>IF(AND(Table1[[#This Row],[Spec Type2]]="N/A",Table1[[#This Row],[DUT Adj Read]]="N/A",Table1[[#This Row],[Std Adj Read]]="N/A"),"N/A",IF(Table1[[#This Row],[DUT Adj Read]]="N/A",IF(Table1[[#This Row],[Std Adj Read]]&gt;=Table1[[#This Row],[Low Tol]],"Pass","Fail"),IF(Table1[[#This Row],[DUT Adj Read]]&gt;=Table1[[#This Row],[Low Tol]],"Pass","Fail")))</f>
        <v>Pass</v>
      </c>
      <c r="AG1536" s="1" t="str">
        <f>IF(AND(Table1[[#This Row],[Spec Type2]]="N/A",Table1[[#This Row],[DUT Adj Read]]="N/A",Table1[[#This Row],[Std Adj Read]]="N/A"),"N/A",IF(Table1[[#This Row],[DUT Adj Read]]="N/A",IF(Table1[[#This Row],[Std Adj Read]]&lt;=Table1[[#This Row],[High Tol]],"Pass","Fail"),IF(Table1[[#This Row],[DUT Adj Read]]&lt;=Table1[[#This Row],[High Tol]],"Pass","Fail")))</f>
        <v>Fail</v>
      </c>
      <c r="AH15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6" s="1" t="b">
        <v>0</v>
      </c>
      <c r="AN1536" s="1" t="b">
        <v>0</v>
      </c>
      <c r="AO1536" s="1" t="b">
        <v>0</v>
      </c>
    </row>
    <row r="1537" spans="1:41" x14ac:dyDescent="0.25">
      <c r="A1537" s="10"/>
      <c r="B1537" s="10"/>
      <c r="C1537" s="10"/>
      <c r="D1537" s="10"/>
      <c r="E1537" s="10"/>
      <c r="F1537" s="10"/>
      <c r="G1537" s="10"/>
      <c r="H1537" s="10"/>
      <c r="I1537" s="1" t="str">
        <f t="shared" si="69"/>
        <v/>
      </c>
      <c r="J1537" s="1" t="s">
        <v>35</v>
      </c>
      <c r="K1537" s="1" t="str">
        <f t="shared" si="70"/>
        <v/>
      </c>
      <c r="L1537" s="1" t="str">
        <f t="shared" si="71"/>
        <v/>
      </c>
      <c r="M1537" s="1">
        <f>IF(OR(Table1[[#This Row],[Std Nom]]="",Table1[[#This Row],[Std Read]]=""),0,Table1[[#This Row],[Std Nom]]-Table1[[#This Row],[Std Read]])</f>
        <v>0</v>
      </c>
      <c r="N1537" s="1">
        <f>IF(Calculations!$F$5="ACCREDITED 17025 WITH UNCERTAINTIES",$N$10,0)</f>
        <v>0</v>
      </c>
      <c r="O1537" s="1" t="str">
        <f>IFERROR(Table1[[#This Row],[Std Nom]]-(_xlfn.XLOOKUP(Table1[[#This Row],[Manufacturer]]&amp;" "&amp;Table1[[#This Row],[Model]],Table13[MFR &amp; MDL],Table13[Tolerance % CW ],"")/100*Table1[[#This Row],[Std Nom]]),"")</f>
        <v/>
      </c>
      <c r="P1537" s="1" t="str">
        <f>IFERROR(Table1[[#This Row],[Std Nom]]+(_xlfn.XLOOKUP(Table1[[#This Row],[Manufacturer]]&amp;" "&amp;Table1[[#This Row],[Model]],Table13[MFR &amp; MDL],Table13[Tolerance % CW ],"")/100*Table1[[#This Row],[Std Nom]]),"")</f>
        <v/>
      </c>
      <c r="Q1537" s="1" t="e">
        <f>Table1[[#This Row],[High Tol]]-Table1[[#This Row],[Low Tol]]</f>
        <v>#VALUE!</v>
      </c>
      <c r="R1537" s="1">
        <f>2*Table1[[#This Row],[Std Error]]</f>
        <v>0</v>
      </c>
      <c r="S1537" s="1" t="str">
        <f>IF(Table1[[#This Row],[High Tol]]="","N/A",IFERROR(ABS(Table1[[#This Row],[Tol Span]]/Table1[[#This Row],[Error Span]]),"N/A"))</f>
        <v>N/A</v>
      </c>
      <c r="T1537" s="1" t="str">
        <f>IF(OR(Table1[[#This Row],[Low Tol]]="",Table1[[#This Row],[High Tol]]=""),"Needs Analysis",IF(Table1[[#This Row],[Ratio]]&gt;=4,"Not Significant",IF(Table1[[#This Row],[Ratio]]&gt;=2,"Semi-Significant","Significant")))</f>
        <v>Needs Analysis</v>
      </c>
      <c r="W1537" s="1">
        <f>IF(Table1[[#This Row],[Cal Type]]&lt;&gt;"ACCREDITED 17025 WITH UNCERTAINTIES",0,"")</f>
        <v>0</v>
      </c>
      <c r="X1537" s="1" t="str">
        <f>IF(Table1[[#This Row],[DUT Read]]="","N/A",Table1[[#This Row],[Std Error]]+Table1[[#This Row],[DUT Read]]+Table1[[#This Row],[DUT Ucty]])</f>
        <v>N/A</v>
      </c>
      <c r="Y1537" s="1" t="str">
        <f>IF(Table1[[#This Row],[Std Read]]="","N/A",Table1[[#This Row],[Std Read]]+Table1[[#This Row],[Std Ucty]])</f>
        <v>N/A</v>
      </c>
      <c r="Z15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7" s="1" t="str">
        <f>IF(Table1[[#This Row],[Spec Type]]="","N/A",Table1[[#This Row],[Spec Type]])</f>
        <v>±</v>
      </c>
      <c r="AC1537" s="1" t="str">
        <f>IF(Table1[[#This Row],[Spec Type2]]="N/A","N/A",IF(AND(Table1[[#This Row],[DUT Adj Read]]&gt;=Table1[[#This Row],[Low Tol]],Table1[[#This Row],[DUT Adj Read]]&lt;=Table1[[#This Row],[High Tol]]),"Pass","Fail"))</f>
        <v>Fail</v>
      </c>
      <c r="AD1537" s="1" t="str">
        <f>IF(AND(Table1[[#This Row],[Spec Type2]]="N/A",Table1[[#This Row],[DUT Adj Read]]="N/A",Table1[[#This Row],[Std Adj Read]]="N/A"),"N/A",IF(Table1[[#This Row],[DUT Adj Read]]="N/A",IF(Table1[[#This Row],[Std Adj Read]]&gt;Table1[[#This Row],[Low Tol]],"Pass","Fail"),IF(Table1[[#This Row],[DUT Adj Read]]&gt;Table1[[#This Row],[Low Tol]],"Pass","Fail")))</f>
        <v>Pass</v>
      </c>
      <c r="AE1537" s="1" t="str">
        <f>IF(AND(Table1[[#This Row],[Spec Type2]]="N/A",Table1[[#This Row],[DUT Adj Read]]="N/A",Table1[[#This Row],[Std Adj Read]]="N/A"),"N/A",IF(Table1[[#This Row],[DUT Adj Read]]="N/A",IF(Table1[[#This Row],[Std Adj Read]]&lt;Table1[[#This Row],[High Tol]],"Pass","Fail"),IF(Table1[[#This Row],[DUT Adj Read]]&lt;Table1[[#This Row],[High Tol]],"Pass","Fail")))</f>
        <v>Fail</v>
      </c>
      <c r="AF1537" s="1" t="str">
        <f>IF(AND(Table1[[#This Row],[Spec Type2]]="N/A",Table1[[#This Row],[DUT Adj Read]]="N/A",Table1[[#This Row],[Std Adj Read]]="N/A"),"N/A",IF(Table1[[#This Row],[DUT Adj Read]]="N/A",IF(Table1[[#This Row],[Std Adj Read]]&gt;=Table1[[#This Row],[Low Tol]],"Pass","Fail"),IF(Table1[[#This Row],[DUT Adj Read]]&gt;=Table1[[#This Row],[Low Tol]],"Pass","Fail")))</f>
        <v>Pass</v>
      </c>
      <c r="AG1537" s="1" t="str">
        <f>IF(AND(Table1[[#This Row],[Spec Type2]]="N/A",Table1[[#This Row],[DUT Adj Read]]="N/A",Table1[[#This Row],[Std Adj Read]]="N/A"),"N/A",IF(Table1[[#This Row],[DUT Adj Read]]="N/A",IF(Table1[[#This Row],[Std Adj Read]]&lt;=Table1[[#This Row],[High Tol]],"Pass","Fail"),IF(Table1[[#This Row],[DUT Adj Read]]&lt;=Table1[[#This Row],[High Tol]],"Pass","Fail")))</f>
        <v>Fail</v>
      </c>
      <c r="AH15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7" s="1" t="b">
        <v>0</v>
      </c>
      <c r="AN1537" s="1" t="b">
        <v>0</v>
      </c>
      <c r="AO1537" s="1" t="b">
        <v>0</v>
      </c>
    </row>
    <row r="1538" spans="1:41" x14ac:dyDescent="0.25">
      <c r="A1538" s="10"/>
      <c r="B1538" s="10"/>
      <c r="C1538" s="10"/>
      <c r="D1538" s="10"/>
      <c r="E1538" s="10"/>
      <c r="F1538" s="10"/>
      <c r="G1538" s="10"/>
      <c r="H1538" s="10"/>
      <c r="I1538" s="1" t="str">
        <f t="shared" si="69"/>
        <v/>
      </c>
      <c r="J1538" s="1" t="s">
        <v>35</v>
      </c>
      <c r="K1538" s="1" t="str">
        <f t="shared" si="70"/>
        <v/>
      </c>
      <c r="L1538" s="1" t="str">
        <f t="shared" si="71"/>
        <v/>
      </c>
      <c r="M1538" s="1">
        <f>IF(OR(Table1[[#This Row],[Std Nom]]="",Table1[[#This Row],[Std Read]]=""),0,Table1[[#This Row],[Std Nom]]-Table1[[#This Row],[Std Read]])</f>
        <v>0</v>
      </c>
      <c r="N1538" s="1">
        <f>IF(Calculations!$F$5="ACCREDITED 17025 WITH UNCERTAINTIES",$N$10,0)</f>
        <v>0</v>
      </c>
      <c r="O1538" s="1" t="str">
        <f>IFERROR(Table1[[#This Row],[Std Nom]]-(_xlfn.XLOOKUP(Table1[[#This Row],[Manufacturer]]&amp;" "&amp;Table1[[#This Row],[Model]],Table13[MFR &amp; MDL],Table13[Tolerance % CW ],"")/100*Table1[[#This Row],[Std Nom]]),"")</f>
        <v/>
      </c>
      <c r="P1538" s="1" t="str">
        <f>IFERROR(Table1[[#This Row],[Std Nom]]+(_xlfn.XLOOKUP(Table1[[#This Row],[Manufacturer]]&amp;" "&amp;Table1[[#This Row],[Model]],Table13[MFR &amp; MDL],Table13[Tolerance % CW ],"")/100*Table1[[#This Row],[Std Nom]]),"")</f>
        <v/>
      </c>
      <c r="Q1538" s="1" t="e">
        <f>Table1[[#This Row],[High Tol]]-Table1[[#This Row],[Low Tol]]</f>
        <v>#VALUE!</v>
      </c>
      <c r="R1538" s="1">
        <f>2*Table1[[#This Row],[Std Error]]</f>
        <v>0</v>
      </c>
      <c r="S1538" s="1" t="str">
        <f>IF(Table1[[#This Row],[High Tol]]="","N/A",IFERROR(ABS(Table1[[#This Row],[Tol Span]]/Table1[[#This Row],[Error Span]]),"N/A"))</f>
        <v>N/A</v>
      </c>
      <c r="T1538" s="1" t="str">
        <f>IF(OR(Table1[[#This Row],[Low Tol]]="",Table1[[#This Row],[High Tol]]=""),"Needs Analysis",IF(Table1[[#This Row],[Ratio]]&gt;=4,"Not Significant",IF(Table1[[#This Row],[Ratio]]&gt;=2,"Semi-Significant","Significant")))</f>
        <v>Needs Analysis</v>
      </c>
      <c r="W1538" s="1">
        <f>IF(Table1[[#This Row],[Cal Type]]&lt;&gt;"ACCREDITED 17025 WITH UNCERTAINTIES",0,"")</f>
        <v>0</v>
      </c>
      <c r="X1538" s="1" t="str">
        <f>IF(Table1[[#This Row],[DUT Read]]="","N/A",Table1[[#This Row],[Std Error]]+Table1[[#This Row],[DUT Read]]+Table1[[#This Row],[DUT Ucty]])</f>
        <v>N/A</v>
      </c>
      <c r="Y1538" s="1" t="str">
        <f>IF(Table1[[#This Row],[Std Read]]="","N/A",Table1[[#This Row],[Std Read]]+Table1[[#This Row],[Std Ucty]])</f>
        <v>N/A</v>
      </c>
      <c r="Z15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8" s="1" t="str">
        <f>IF(Table1[[#This Row],[Spec Type]]="","N/A",Table1[[#This Row],[Spec Type]])</f>
        <v>±</v>
      </c>
      <c r="AC1538" s="1" t="str">
        <f>IF(Table1[[#This Row],[Spec Type2]]="N/A","N/A",IF(AND(Table1[[#This Row],[DUT Adj Read]]&gt;=Table1[[#This Row],[Low Tol]],Table1[[#This Row],[DUT Adj Read]]&lt;=Table1[[#This Row],[High Tol]]),"Pass","Fail"))</f>
        <v>Fail</v>
      </c>
      <c r="AD1538" s="1" t="str">
        <f>IF(AND(Table1[[#This Row],[Spec Type2]]="N/A",Table1[[#This Row],[DUT Adj Read]]="N/A",Table1[[#This Row],[Std Adj Read]]="N/A"),"N/A",IF(Table1[[#This Row],[DUT Adj Read]]="N/A",IF(Table1[[#This Row],[Std Adj Read]]&gt;Table1[[#This Row],[Low Tol]],"Pass","Fail"),IF(Table1[[#This Row],[DUT Adj Read]]&gt;Table1[[#This Row],[Low Tol]],"Pass","Fail")))</f>
        <v>Pass</v>
      </c>
      <c r="AE1538" s="1" t="str">
        <f>IF(AND(Table1[[#This Row],[Spec Type2]]="N/A",Table1[[#This Row],[DUT Adj Read]]="N/A",Table1[[#This Row],[Std Adj Read]]="N/A"),"N/A",IF(Table1[[#This Row],[DUT Adj Read]]="N/A",IF(Table1[[#This Row],[Std Adj Read]]&lt;Table1[[#This Row],[High Tol]],"Pass","Fail"),IF(Table1[[#This Row],[DUT Adj Read]]&lt;Table1[[#This Row],[High Tol]],"Pass","Fail")))</f>
        <v>Fail</v>
      </c>
      <c r="AF1538" s="1" t="str">
        <f>IF(AND(Table1[[#This Row],[Spec Type2]]="N/A",Table1[[#This Row],[DUT Adj Read]]="N/A",Table1[[#This Row],[Std Adj Read]]="N/A"),"N/A",IF(Table1[[#This Row],[DUT Adj Read]]="N/A",IF(Table1[[#This Row],[Std Adj Read]]&gt;=Table1[[#This Row],[Low Tol]],"Pass","Fail"),IF(Table1[[#This Row],[DUT Adj Read]]&gt;=Table1[[#This Row],[Low Tol]],"Pass","Fail")))</f>
        <v>Pass</v>
      </c>
      <c r="AG1538" s="1" t="str">
        <f>IF(AND(Table1[[#This Row],[Spec Type2]]="N/A",Table1[[#This Row],[DUT Adj Read]]="N/A",Table1[[#This Row],[Std Adj Read]]="N/A"),"N/A",IF(Table1[[#This Row],[DUT Adj Read]]="N/A",IF(Table1[[#This Row],[Std Adj Read]]&lt;=Table1[[#This Row],[High Tol]],"Pass","Fail"),IF(Table1[[#This Row],[DUT Adj Read]]&lt;=Table1[[#This Row],[High Tol]],"Pass","Fail")))</f>
        <v>Fail</v>
      </c>
      <c r="AH15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8" s="1" t="b">
        <v>0</v>
      </c>
      <c r="AN1538" s="1" t="b">
        <v>0</v>
      </c>
      <c r="AO1538" s="1" t="b">
        <v>0</v>
      </c>
    </row>
    <row r="1539" spans="1:41" x14ac:dyDescent="0.25">
      <c r="A1539" s="10"/>
      <c r="B1539" s="10"/>
      <c r="C1539" s="10"/>
      <c r="D1539" s="10"/>
      <c r="E1539" s="10"/>
      <c r="F1539" s="10"/>
      <c r="G1539" s="10"/>
      <c r="H1539" s="10"/>
      <c r="I1539" s="1" t="str">
        <f t="shared" si="69"/>
        <v/>
      </c>
      <c r="J1539" s="1" t="s">
        <v>35</v>
      </c>
      <c r="K1539" s="1" t="str">
        <f t="shared" si="70"/>
        <v/>
      </c>
      <c r="L1539" s="1" t="str">
        <f t="shared" si="71"/>
        <v/>
      </c>
      <c r="M1539" s="1">
        <f>IF(OR(Table1[[#This Row],[Std Nom]]="",Table1[[#This Row],[Std Read]]=""),0,Table1[[#This Row],[Std Nom]]-Table1[[#This Row],[Std Read]])</f>
        <v>0</v>
      </c>
      <c r="N1539" s="1">
        <f>IF(Calculations!$F$5="ACCREDITED 17025 WITH UNCERTAINTIES",$N$10,0)</f>
        <v>0</v>
      </c>
      <c r="O1539" s="1" t="str">
        <f>IFERROR(Table1[[#This Row],[Std Nom]]-(_xlfn.XLOOKUP(Table1[[#This Row],[Manufacturer]]&amp;" "&amp;Table1[[#This Row],[Model]],Table13[MFR &amp; MDL],Table13[Tolerance % CW ],"")/100*Table1[[#This Row],[Std Nom]]),"")</f>
        <v/>
      </c>
      <c r="P1539" s="1" t="str">
        <f>IFERROR(Table1[[#This Row],[Std Nom]]+(_xlfn.XLOOKUP(Table1[[#This Row],[Manufacturer]]&amp;" "&amp;Table1[[#This Row],[Model]],Table13[MFR &amp; MDL],Table13[Tolerance % CW ],"")/100*Table1[[#This Row],[Std Nom]]),"")</f>
        <v/>
      </c>
      <c r="Q1539" s="1" t="e">
        <f>Table1[[#This Row],[High Tol]]-Table1[[#This Row],[Low Tol]]</f>
        <v>#VALUE!</v>
      </c>
      <c r="R1539" s="1">
        <f>2*Table1[[#This Row],[Std Error]]</f>
        <v>0</v>
      </c>
      <c r="S1539" s="1" t="str">
        <f>IF(Table1[[#This Row],[High Tol]]="","N/A",IFERROR(ABS(Table1[[#This Row],[Tol Span]]/Table1[[#This Row],[Error Span]]),"N/A"))</f>
        <v>N/A</v>
      </c>
      <c r="T1539" s="1" t="str">
        <f>IF(OR(Table1[[#This Row],[Low Tol]]="",Table1[[#This Row],[High Tol]]=""),"Needs Analysis",IF(Table1[[#This Row],[Ratio]]&gt;=4,"Not Significant",IF(Table1[[#This Row],[Ratio]]&gt;=2,"Semi-Significant","Significant")))</f>
        <v>Needs Analysis</v>
      </c>
      <c r="W1539" s="1">
        <f>IF(Table1[[#This Row],[Cal Type]]&lt;&gt;"ACCREDITED 17025 WITH UNCERTAINTIES",0,"")</f>
        <v>0</v>
      </c>
      <c r="X1539" s="1" t="str">
        <f>IF(Table1[[#This Row],[DUT Read]]="","N/A",Table1[[#This Row],[Std Error]]+Table1[[#This Row],[DUT Read]]+Table1[[#This Row],[DUT Ucty]])</f>
        <v>N/A</v>
      </c>
      <c r="Y1539" s="1" t="str">
        <f>IF(Table1[[#This Row],[Std Read]]="","N/A",Table1[[#This Row],[Std Read]]+Table1[[#This Row],[Std Ucty]])</f>
        <v>N/A</v>
      </c>
      <c r="Z15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9" s="1" t="str">
        <f>IF(Table1[[#This Row],[Spec Type]]="","N/A",Table1[[#This Row],[Spec Type]])</f>
        <v>±</v>
      </c>
      <c r="AC1539" s="1" t="str">
        <f>IF(Table1[[#This Row],[Spec Type2]]="N/A","N/A",IF(AND(Table1[[#This Row],[DUT Adj Read]]&gt;=Table1[[#This Row],[Low Tol]],Table1[[#This Row],[DUT Adj Read]]&lt;=Table1[[#This Row],[High Tol]]),"Pass","Fail"))</f>
        <v>Fail</v>
      </c>
      <c r="AD1539" s="1" t="str">
        <f>IF(AND(Table1[[#This Row],[Spec Type2]]="N/A",Table1[[#This Row],[DUT Adj Read]]="N/A",Table1[[#This Row],[Std Adj Read]]="N/A"),"N/A",IF(Table1[[#This Row],[DUT Adj Read]]="N/A",IF(Table1[[#This Row],[Std Adj Read]]&gt;Table1[[#This Row],[Low Tol]],"Pass","Fail"),IF(Table1[[#This Row],[DUT Adj Read]]&gt;Table1[[#This Row],[Low Tol]],"Pass","Fail")))</f>
        <v>Pass</v>
      </c>
      <c r="AE1539" s="1" t="str">
        <f>IF(AND(Table1[[#This Row],[Spec Type2]]="N/A",Table1[[#This Row],[DUT Adj Read]]="N/A",Table1[[#This Row],[Std Adj Read]]="N/A"),"N/A",IF(Table1[[#This Row],[DUT Adj Read]]="N/A",IF(Table1[[#This Row],[Std Adj Read]]&lt;Table1[[#This Row],[High Tol]],"Pass","Fail"),IF(Table1[[#This Row],[DUT Adj Read]]&lt;Table1[[#This Row],[High Tol]],"Pass","Fail")))</f>
        <v>Fail</v>
      </c>
      <c r="AF1539" s="1" t="str">
        <f>IF(AND(Table1[[#This Row],[Spec Type2]]="N/A",Table1[[#This Row],[DUT Adj Read]]="N/A",Table1[[#This Row],[Std Adj Read]]="N/A"),"N/A",IF(Table1[[#This Row],[DUT Adj Read]]="N/A",IF(Table1[[#This Row],[Std Adj Read]]&gt;=Table1[[#This Row],[Low Tol]],"Pass","Fail"),IF(Table1[[#This Row],[DUT Adj Read]]&gt;=Table1[[#This Row],[Low Tol]],"Pass","Fail")))</f>
        <v>Pass</v>
      </c>
      <c r="AG1539" s="1" t="str">
        <f>IF(AND(Table1[[#This Row],[Spec Type2]]="N/A",Table1[[#This Row],[DUT Adj Read]]="N/A",Table1[[#This Row],[Std Adj Read]]="N/A"),"N/A",IF(Table1[[#This Row],[DUT Adj Read]]="N/A",IF(Table1[[#This Row],[Std Adj Read]]&lt;=Table1[[#This Row],[High Tol]],"Pass","Fail"),IF(Table1[[#This Row],[DUT Adj Read]]&lt;=Table1[[#This Row],[High Tol]],"Pass","Fail")))</f>
        <v>Fail</v>
      </c>
      <c r="AH15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9" s="1" t="b">
        <v>0</v>
      </c>
      <c r="AN1539" s="1" t="b">
        <v>0</v>
      </c>
      <c r="AO1539" s="1" t="b">
        <v>0</v>
      </c>
    </row>
    <row r="1540" spans="1:41" x14ac:dyDescent="0.25">
      <c r="A1540" s="10"/>
      <c r="B1540" s="10"/>
      <c r="C1540" s="10"/>
      <c r="D1540" s="10"/>
      <c r="E1540" s="10"/>
      <c r="F1540" s="10"/>
      <c r="G1540" s="10"/>
      <c r="H1540" s="10"/>
      <c r="I1540" s="1" t="str">
        <f t="shared" si="69"/>
        <v/>
      </c>
      <c r="J1540" s="1" t="s">
        <v>35</v>
      </c>
      <c r="K1540" s="1" t="str">
        <f t="shared" si="70"/>
        <v/>
      </c>
      <c r="L1540" s="1" t="str">
        <f t="shared" si="71"/>
        <v/>
      </c>
      <c r="M1540" s="1">
        <f>IF(OR(Table1[[#This Row],[Std Nom]]="",Table1[[#This Row],[Std Read]]=""),0,Table1[[#This Row],[Std Nom]]-Table1[[#This Row],[Std Read]])</f>
        <v>0</v>
      </c>
      <c r="N1540" s="1">
        <f>IF(Calculations!$F$5="ACCREDITED 17025 WITH UNCERTAINTIES",$N$10,0)</f>
        <v>0</v>
      </c>
      <c r="O1540" s="1" t="str">
        <f>IFERROR(Table1[[#This Row],[Std Nom]]-(_xlfn.XLOOKUP(Table1[[#This Row],[Manufacturer]]&amp;" "&amp;Table1[[#This Row],[Model]],Table13[MFR &amp; MDL],Table13[Tolerance % CW ],"")/100*Table1[[#This Row],[Std Nom]]),"")</f>
        <v/>
      </c>
      <c r="P1540" s="1" t="str">
        <f>IFERROR(Table1[[#This Row],[Std Nom]]+(_xlfn.XLOOKUP(Table1[[#This Row],[Manufacturer]]&amp;" "&amp;Table1[[#This Row],[Model]],Table13[MFR &amp; MDL],Table13[Tolerance % CW ],"")/100*Table1[[#This Row],[Std Nom]]),"")</f>
        <v/>
      </c>
      <c r="Q1540" s="1" t="e">
        <f>Table1[[#This Row],[High Tol]]-Table1[[#This Row],[Low Tol]]</f>
        <v>#VALUE!</v>
      </c>
      <c r="R1540" s="1">
        <f>2*Table1[[#This Row],[Std Error]]</f>
        <v>0</v>
      </c>
      <c r="S1540" s="1" t="str">
        <f>IF(Table1[[#This Row],[High Tol]]="","N/A",IFERROR(ABS(Table1[[#This Row],[Tol Span]]/Table1[[#This Row],[Error Span]]),"N/A"))</f>
        <v>N/A</v>
      </c>
      <c r="T1540" s="1" t="str">
        <f>IF(OR(Table1[[#This Row],[Low Tol]]="",Table1[[#This Row],[High Tol]]=""),"Needs Analysis",IF(Table1[[#This Row],[Ratio]]&gt;=4,"Not Significant",IF(Table1[[#This Row],[Ratio]]&gt;=2,"Semi-Significant","Significant")))</f>
        <v>Needs Analysis</v>
      </c>
      <c r="W1540" s="1">
        <f>IF(Table1[[#This Row],[Cal Type]]&lt;&gt;"ACCREDITED 17025 WITH UNCERTAINTIES",0,"")</f>
        <v>0</v>
      </c>
      <c r="X1540" s="1" t="str">
        <f>IF(Table1[[#This Row],[DUT Read]]="","N/A",Table1[[#This Row],[Std Error]]+Table1[[#This Row],[DUT Read]]+Table1[[#This Row],[DUT Ucty]])</f>
        <v>N/A</v>
      </c>
      <c r="Y1540" s="1" t="str">
        <f>IF(Table1[[#This Row],[Std Read]]="","N/A",Table1[[#This Row],[Std Read]]+Table1[[#This Row],[Std Ucty]])</f>
        <v>N/A</v>
      </c>
      <c r="Z15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0" s="1" t="str">
        <f>IF(Table1[[#This Row],[Spec Type]]="","N/A",Table1[[#This Row],[Spec Type]])</f>
        <v>±</v>
      </c>
      <c r="AC1540" s="1" t="str">
        <f>IF(Table1[[#This Row],[Spec Type2]]="N/A","N/A",IF(AND(Table1[[#This Row],[DUT Adj Read]]&gt;=Table1[[#This Row],[Low Tol]],Table1[[#This Row],[DUT Adj Read]]&lt;=Table1[[#This Row],[High Tol]]),"Pass","Fail"))</f>
        <v>Fail</v>
      </c>
      <c r="AD1540" s="1" t="str">
        <f>IF(AND(Table1[[#This Row],[Spec Type2]]="N/A",Table1[[#This Row],[DUT Adj Read]]="N/A",Table1[[#This Row],[Std Adj Read]]="N/A"),"N/A",IF(Table1[[#This Row],[DUT Adj Read]]="N/A",IF(Table1[[#This Row],[Std Adj Read]]&gt;Table1[[#This Row],[Low Tol]],"Pass","Fail"),IF(Table1[[#This Row],[DUT Adj Read]]&gt;Table1[[#This Row],[Low Tol]],"Pass","Fail")))</f>
        <v>Pass</v>
      </c>
      <c r="AE1540" s="1" t="str">
        <f>IF(AND(Table1[[#This Row],[Spec Type2]]="N/A",Table1[[#This Row],[DUT Adj Read]]="N/A",Table1[[#This Row],[Std Adj Read]]="N/A"),"N/A",IF(Table1[[#This Row],[DUT Adj Read]]="N/A",IF(Table1[[#This Row],[Std Adj Read]]&lt;Table1[[#This Row],[High Tol]],"Pass","Fail"),IF(Table1[[#This Row],[DUT Adj Read]]&lt;Table1[[#This Row],[High Tol]],"Pass","Fail")))</f>
        <v>Fail</v>
      </c>
      <c r="AF1540" s="1" t="str">
        <f>IF(AND(Table1[[#This Row],[Spec Type2]]="N/A",Table1[[#This Row],[DUT Adj Read]]="N/A",Table1[[#This Row],[Std Adj Read]]="N/A"),"N/A",IF(Table1[[#This Row],[DUT Adj Read]]="N/A",IF(Table1[[#This Row],[Std Adj Read]]&gt;=Table1[[#This Row],[Low Tol]],"Pass","Fail"),IF(Table1[[#This Row],[DUT Adj Read]]&gt;=Table1[[#This Row],[Low Tol]],"Pass","Fail")))</f>
        <v>Pass</v>
      </c>
      <c r="AG1540" s="1" t="str">
        <f>IF(AND(Table1[[#This Row],[Spec Type2]]="N/A",Table1[[#This Row],[DUT Adj Read]]="N/A",Table1[[#This Row],[Std Adj Read]]="N/A"),"N/A",IF(Table1[[#This Row],[DUT Adj Read]]="N/A",IF(Table1[[#This Row],[Std Adj Read]]&lt;=Table1[[#This Row],[High Tol]],"Pass","Fail"),IF(Table1[[#This Row],[DUT Adj Read]]&lt;=Table1[[#This Row],[High Tol]],"Pass","Fail")))</f>
        <v>Fail</v>
      </c>
      <c r="AH15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0" s="1" t="b">
        <v>0</v>
      </c>
      <c r="AN1540" s="1" t="b">
        <v>0</v>
      </c>
      <c r="AO1540" s="1" t="b">
        <v>0</v>
      </c>
    </row>
    <row r="1541" spans="1:41" x14ac:dyDescent="0.25">
      <c r="A1541" s="10"/>
      <c r="B1541" s="10"/>
      <c r="C1541" s="10"/>
      <c r="D1541" s="10"/>
      <c r="E1541" s="10"/>
      <c r="F1541" s="10"/>
      <c r="G1541" s="10"/>
      <c r="H1541" s="10"/>
      <c r="I1541" s="1" t="str">
        <f t="shared" si="69"/>
        <v/>
      </c>
      <c r="J1541" s="1" t="s">
        <v>35</v>
      </c>
      <c r="K1541" s="1" t="str">
        <f t="shared" si="70"/>
        <v/>
      </c>
      <c r="L1541" s="1" t="str">
        <f t="shared" si="71"/>
        <v/>
      </c>
      <c r="M1541" s="1">
        <f>IF(OR(Table1[[#This Row],[Std Nom]]="",Table1[[#This Row],[Std Read]]=""),0,Table1[[#This Row],[Std Nom]]-Table1[[#This Row],[Std Read]])</f>
        <v>0</v>
      </c>
      <c r="N1541" s="1">
        <f>IF(Calculations!$F$5="ACCREDITED 17025 WITH UNCERTAINTIES",$N$10,0)</f>
        <v>0</v>
      </c>
      <c r="O1541" s="1" t="str">
        <f>IFERROR(Table1[[#This Row],[Std Nom]]-(_xlfn.XLOOKUP(Table1[[#This Row],[Manufacturer]]&amp;" "&amp;Table1[[#This Row],[Model]],Table13[MFR &amp; MDL],Table13[Tolerance % CW ],"")/100*Table1[[#This Row],[Std Nom]]),"")</f>
        <v/>
      </c>
      <c r="P1541" s="1" t="str">
        <f>IFERROR(Table1[[#This Row],[Std Nom]]+(_xlfn.XLOOKUP(Table1[[#This Row],[Manufacturer]]&amp;" "&amp;Table1[[#This Row],[Model]],Table13[MFR &amp; MDL],Table13[Tolerance % CW ],"")/100*Table1[[#This Row],[Std Nom]]),"")</f>
        <v/>
      </c>
      <c r="Q1541" s="1" t="e">
        <f>Table1[[#This Row],[High Tol]]-Table1[[#This Row],[Low Tol]]</f>
        <v>#VALUE!</v>
      </c>
      <c r="R1541" s="1">
        <f>2*Table1[[#This Row],[Std Error]]</f>
        <v>0</v>
      </c>
      <c r="S1541" s="1" t="str">
        <f>IF(Table1[[#This Row],[High Tol]]="","N/A",IFERROR(ABS(Table1[[#This Row],[Tol Span]]/Table1[[#This Row],[Error Span]]),"N/A"))</f>
        <v>N/A</v>
      </c>
      <c r="T1541" s="1" t="str">
        <f>IF(OR(Table1[[#This Row],[Low Tol]]="",Table1[[#This Row],[High Tol]]=""),"Needs Analysis",IF(Table1[[#This Row],[Ratio]]&gt;=4,"Not Significant",IF(Table1[[#This Row],[Ratio]]&gt;=2,"Semi-Significant","Significant")))</f>
        <v>Needs Analysis</v>
      </c>
      <c r="W1541" s="1">
        <f>IF(Table1[[#This Row],[Cal Type]]&lt;&gt;"ACCREDITED 17025 WITH UNCERTAINTIES",0,"")</f>
        <v>0</v>
      </c>
      <c r="X1541" s="1" t="str">
        <f>IF(Table1[[#This Row],[DUT Read]]="","N/A",Table1[[#This Row],[Std Error]]+Table1[[#This Row],[DUT Read]]+Table1[[#This Row],[DUT Ucty]])</f>
        <v>N/A</v>
      </c>
      <c r="Y1541" s="1" t="str">
        <f>IF(Table1[[#This Row],[Std Read]]="","N/A",Table1[[#This Row],[Std Read]]+Table1[[#This Row],[Std Ucty]])</f>
        <v>N/A</v>
      </c>
      <c r="Z15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1" s="1" t="str">
        <f>IF(Table1[[#This Row],[Spec Type]]="","N/A",Table1[[#This Row],[Spec Type]])</f>
        <v>±</v>
      </c>
      <c r="AC1541" s="1" t="str">
        <f>IF(Table1[[#This Row],[Spec Type2]]="N/A","N/A",IF(AND(Table1[[#This Row],[DUT Adj Read]]&gt;=Table1[[#This Row],[Low Tol]],Table1[[#This Row],[DUT Adj Read]]&lt;=Table1[[#This Row],[High Tol]]),"Pass","Fail"))</f>
        <v>Fail</v>
      </c>
      <c r="AD1541" s="1" t="str">
        <f>IF(AND(Table1[[#This Row],[Spec Type2]]="N/A",Table1[[#This Row],[DUT Adj Read]]="N/A",Table1[[#This Row],[Std Adj Read]]="N/A"),"N/A",IF(Table1[[#This Row],[DUT Adj Read]]="N/A",IF(Table1[[#This Row],[Std Adj Read]]&gt;Table1[[#This Row],[Low Tol]],"Pass","Fail"),IF(Table1[[#This Row],[DUT Adj Read]]&gt;Table1[[#This Row],[Low Tol]],"Pass","Fail")))</f>
        <v>Pass</v>
      </c>
      <c r="AE1541" s="1" t="str">
        <f>IF(AND(Table1[[#This Row],[Spec Type2]]="N/A",Table1[[#This Row],[DUT Adj Read]]="N/A",Table1[[#This Row],[Std Adj Read]]="N/A"),"N/A",IF(Table1[[#This Row],[DUT Adj Read]]="N/A",IF(Table1[[#This Row],[Std Adj Read]]&lt;Table1[[#This Row],[High Tol]],"Pass","Fail"),IF(Table1[[#This Row],[DUT Adj Read]]&lt;Table1[[#This Row],[High Tol]],"Pass","Fail")))</f>
        <v>Fail</v>
      </c>
      <c r="AF1541" s="1" t="str">
        <f>IF(AND(Table1[[#This Row],[Spec Type2]]="N/A",Table1[[#This Row],[DUT Adj Read]]="N/A",Table1[[#This Row],[Std Adj Read]]="N/A"),"N/A",IF(Table1[[#This Row],[DUT Adj Read]]="N/A",IF(Table1[[#This Row],[Std Adj Read]]&gt;=Table1[[#This Row],[Low Tol]],"Pass","Fail"),IF(Table1[[#This Row],[DUT Adj Read]]&gt;=Table1[[#This Row],[Low Tol]],"Pass","Fail")))</f>
        <v>Pass</v>
      </c>
      <c r="AG1541" s="1" t="str">
        <f>IF(AND(Table1[[#This Row],[Spec Type2]]="N/A",Table1[[#This Row],[DUT Adj Read]]="N/A",Table1[[#This Row],[Std Adj Read]]="N/A"),"N/A",IF(Table1[[#This Row],[DUT Adj Read]]="N/A",IF(Table1[[#This Row],[Std Adj Read]]&lt;=Table1[[#This Row],[High Tol]],"Pass","Fail"),IF(Table1[[#This Row],[DUT Adj Read]]&lt;=Table1[[#This Row],[High Tol]],"Pass","Fail")))</f>
        <v>Fail</v>
      </c>
      <c r="AH15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1" s="1" t="b">
        <v>0</v>
      </c>
      <c r="AN1541" s="1" t="b">
        <v>0</v>
      </c>
      <c r="AO1541" s="1" t="b">
        <v>0</v>
      </c>
    </row>
    <row r="1542" spans="1:41" x14ac:dyDescent="0.25">
      <c r="A1542" s="10"/>
      <c r="B1542" s="10"/>
      <c r="C1542" s="10"/>
      <c r="D1542" s="10"/>
      <c r="E1542" s="10"/>
      <c r="F1542" s="10"/>
      <c r="G1542" s="10"/>
      <c r="H1542" s="10"/>
      <c r="I1542" s="1" t="str">
        <f t="shared" si="69"/>
        <v/>
      </c>
      <c r="J1542" s="1" t="s">
        <v>35</v>
      </c>
      <c r="K1542" s="1" t="str">
        <f t="shared" si="70"/>
        <v/>
      </c>
      <c r="L1542" s="1" t="str">
        <f t="shared" si="71"/>
        <v/>
      </c>
      <c r="M1542" s="1">
        <f>IF(OR(Table1[[#This Row],[Std Nom]]="",Table1[[#This Row],[Std Read]]=""),0,Table1[[#This Row],[Std Nom]]-Table1[[#This Row],[Std Read]])</f>
        <v>0</v>
      </c>
      <c r="N1542" s="1">
        <f>IF(Calculations!$F$5="ACCREDITED 17025 WITH UNCERTAINTIES",$N$10,0)</f>
        <v>0</v>
      </c>
      <c r="O1542" s="1" t="str">
        <f>IFERROR(Table1[[#This Row],[Std Nom]]-(_xlfn.XLOOKUP(Table1[[#This Row],[Manufacturer]]&amp;" "&amp;Table1[[#This Row],[Model]],Table13[MFR &amp; MDL],Table13[Tolerance % CW ],"")/100*Table1[[#This Row],[Std Nom]]),"")</f>
        <v/>
      </c>
      <c r="P1542" s="1" t="str">
        <f>IFERROR(Table1[[#This Row],[Std Nom]]+(_xlfn.XLOOKUP(Table1[[#This Row],[Manufacturer]]&amp;" "&amp;Table1[[#This Row],[Model]],Table13[MFR &amp; MDL],Table13[Tolerance % CW ],"")/100*Table1[[#This Row],[Std Nom]]),"")</f>
        <v/>
      </c>
      <c r="Q1542" s="1" t="e">
        <f>Table1[[#This Row],[High Tol]]-Table1[[#This Row],[Low Tol]]</f>
        <v>#VALUE!</v>
      </c>
      <c r="R1542" s="1">
        <f>2*Table1[[#This Row],[Std Error]]</f>
        <v>0</v>
      </c>
      <c r="S1542" s="1" t="str">
        <f>IF(Table1[[#This Row],[High Tol]]="","N/A",IFERROR(ABS(Table1[[#This Row],[Tol Span]]/Table1[[#This Row],[Error Span]]),"N/A"))</f>
        <v>N/A</v>
      </c>
      <c r="T1542" s="1" t="str">
        <f>IF(OR(Table1[[#This Row],[Low Tol]]="",Table1[[#This Row],[High Tol]]=""),"Needs Analysis",IF(Table1[[#This Row],[Ratio]]&gt;=4,"Not Significant",IF(Table1[[#This Row],[Ratio]]&gt;=2,"Semi-Significant","Significant")))</f>
        <v>Needs Analysis</v>
      </c>
      <c r="W1542" s="1">
        <f>IF(Table1[[#This Row],[Cal Type]]&lt;&gt;"ACCREDITED 17025 WITH UNCERTAINTIES",0,"")</f>
        <v>0</v>
      </c>
      <c r="X1542" s="1" t="str">
        <f>IF(Table1[[#This Row],[DUT Read]]="","N/A",Table1[[#This Row],[Std Error]]+Table1[[#This Row],[DUT Read]]+Table1[[#This Row],[DUT Ucty]])</f>
        <v>N/A</v>
      </c>
      <c r="Y1542" s="1" t="str">
        <f>IF(Table1[[#This Row],[Std Read]]="","N/A",Table1[[#This Row],[Std Read]]+Table1[[#This Row],[Std Ucty]])</f>
        <v>N/A</v>
      </c>
      <c r="Z15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2" s="1" t="str">
        <f>IF(Table1[[#This Row],[Spec Type]]="","N/A",Table1[[#This Row],[Spec Type]])</f>
        <v>±</v>
      </c>
      <c r="AC1542" s="1" t="str">
        <f>IF(Table1[[#This Row],[Spec Type2]]="N/A","N/A",IF(AND(Table1[[#This Row],[DUT Adj Read]]&gt;=Table1[[#This Row],[Low Tol]],Table1[[#This Row],[DUT Adj Read]]&lt;=Table1[[#This Row],[High Tol]]),"Pass","Fail"))</f>
        <v>Fail</v>
      </c>
      <c r="AD1542" s="1" t="str">
        <f>IF(AND(Table1[[#This Row],[Spec Type2]]="N/A",Table1[[#This Row],[DUT Adj Read]]="N/A",Table1[[#This Row],[Std Adj Read]]="N/A"),"N/A",IF(Table1[[#This Row],[DUT Adj Read]]="N/A",IF(Table1[[#This Row],[Std Adj Read]]&gt;Table1[[#This Row],[Low Tol]],"Pass","Fail"),IF(Table1[[#This Row],[DUT Adj Read]]&gt;Table1[[#This Row],[Low Tol]],"Pass","Fail")))</f>
        <v>Pass</v>
      </c>
      <c r="AE1542" s="1" t="str">
        <f>IF(AND(Table1[[#This Row],[Spec Type2]]="N/A",Table1[[#This Row],[DUT Adj Read]]="N/A",Table1[[#This Row],[Std Adj Read]]="N/A"),"N/A",IF(Table1[[#This Row],[DUT Adj Read]]="N/A",IF(Table1[[#This Row],[Std Adj Read]]&lt;Table1[[#This Row],[High Tol]],"Pass","Fail"),IF(Table1[[#This Row],[DUT Adj Read]]&lt;Table1[[#This Row],[High Tol]],"Pass","Fail")))</f>
        <v>Fail</v>
      </c>
      <c r="AF1542" s="1" t="str">
        <f>IF(AND(Table1[[#This Row],[Spec Type2]]="N/A",Table1[[#This Row],[DUT Adj Read]]="N/A",Table1[[#This Row],[Std Adj Read]]="N/A"),"N/A",IF(Table1[[#This Row],[DUT Adj Read]]="N/A",IF(Table1[[#This Row],[Std Adj Read]]&gt;=Table1[[#This Row],[Low Tol]],"Pass","Fail"),IF(Table1[[#This Row],[DUT Adj Read]]&gt;=Table1[[#This Row],[Low Tol]],"Pass","Fail")))</f>
        <v>Pass</v>
      </c>
      <c r="AG1542" s="1" t="str">
        <f>IF(AND(Table1[[#This Row],[Spec Type2]]="N/A",Table1[[#This Row],[DUT Adj Read]]="N/A",Table1[[#This Row],[Std Adj Read]]="N/A"),"N/A",IF(Table1[[#This Row],[DUT Adj Read]]="N/A",IF(Table1[[#This Row],[Std Adj Read]]&lt;=Table1[[#This Row],[High Tol]],"Pass","Fail"),IF(Table1[[#This Row],[DUT Adj Read]]&lt;=Table1[[#This Row],[High Tol]],"Pass","Fail")))</f>
        <v>Fail</v>
      </c>
      <c r="AH15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2" s="1" t="b">
        <v>0</v>
      </c>
      <c r="AN1542" s="1" t="b">
        <v>0</v>
      </c>
      <c r="AO1542" s="1" t="b">
        <v>0</v>
      </c>
    </row>
    <row r="1543" spans="1:41" x14ac:dyDescent="0.25">
      <c r="A1543" s="10"/>
      <c r="B1543" s="10"/>
      <c r="C1543" s="10"/>
      <c r="D1543" s="10"/>
      <c r="E1543" s="10"/>
      <c r="F1543" s="10"/>
      <c r="G1543" s="10"/>
      <c r="H1543" s="10"/>
      <c r="I1543" s="1" t="str">
        <f t="shared" si="69"/>
        <v/>
      </c>
      <c r="J1543" s="1" t="s">
        <v>35</v>
      </c>
      <c r="K1543" s="1" t="str">
        <f t="shared" si="70"/>
        <v/>
      </c>
      <c r="L1543" s="1" t="str">
        <f t="shared" si="71"/>
        <v/>
      </c>
      <c r="M1543" s="1">
        <f>IF(OR(Table1[[#This Row],[Std Nom]]="",Table1[[#This Row],[Std Read]]=""),0,Table1[[#This Row],[Std Nom]]-Table1[[#This Row],[Std Read]])</f>
        <v>0</v>
      </c>
      <c r="N1543" s="1">
        <f>IF(Calculations!$F$5="ACCREDITED 17025 WITH UNCERTAINTIES",$N$10,0)</f>
        <v>0</v>
      </c>
      <c r="O1543" s="1" t="str">
        <f>IFERROR(Table1[[#This Row],[Std Nom]]-(_xlfn.XLOOKUP(Table1[[#This Row],[Manufacturer]]&amp;" "&amp;Table1[[#This Row],[Model]],Table13[MFR &amp; MDL],Table13[Tolerance % CW ],"")/100*Table1[[#This Row],[Std Nom]]),"")</f>
        <v/>
      </c>
      <c r="P1543" s="1" t="str">
        <f>IFERROR(Table1[[#This Row],[Std Nom]]+(_xlfn.XLOOKUP(Table1[[#This Row],[Manufacturer]]&amp;" "&amp;Table1[[#This Row],[Model]],Table13[MFR &amp; MDL],Table13[Tolerance % CW ],"")/100*Table1[[#This Row],[Std Nom]]),"")</f>
        <v/>
      </c>
      <c r="Q1543" s="1" t="e">
        <f>Table1[[#This Row],[High Tol]]-Table1[[#This Row],[Low Tol]]</f>
        <v>#VALUE!</v>
      </c>
      <c r="R1543" s="1">
        <f>2*Table1[[#This Row],[Std Error]]</f>
        <v>0</v>
      </c>
      <c r="S1543" s="1" t="str">
        <f>IF(Table1[[#This Row],[High Tol]]="","N/A",IFERROR(ABS(Table1[[#This Row],[Tol Span]]/Table1[[#This Row],[Error Span]]),"N/A"))</f>
        <v>N/A</v>
      </c>
      <c r="T1543" s="1" t="str">
        <f>IF(OR(Table1[[#This Row],[Low Tol]]="",Table1[[#This Row],[High Tol]]=""),"Needs Analysis",IF(Table1[[#This Row],[Ratio]]&gt;=4,"Not Significant",IF(Table1[[#This Row],[Ratio]]&gt;=2,"Semi-Significant","Significant")))</f>
        <v>Needs Analysis</v>
      </c>
      <c r="W1543" s="1">
        <f>IF(Table1[[#This Row],[Cal Type]]&lt;&gt;"ACCREDITED 17025 WITH UNCERTAINTIES",0,"")</f>
        <v>0</v>
      </c>
      <c r="X1543" s="1" t="str">
        <f>IF(Table1[[#This Row],[DUT Read]]="","N/A",Table1[[#This Row],[Std Error]]+Table1[[#This Row],[DUT Read]]+Table1[[#This Row],[DUT Ucty]])</f>
        <v>N/A</v>
      </c>
      <c r="Y1543" s="1" t="str">
        <f>IF(Table1[[#This Row],[Std Read]]="","N/A",Table1[[#This Row],[Std Read]]+Table1[[#This Row],[Std Ucty]])</f>
        <v>N/A</v>
      </c>
      <c r="Z15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3" s="1" t="str">
        <f>IF(Table1[[#This Row],[Spec Type]]="","N/A",Table1[[#This Row],[Spec Type]])</f>
        <v>±</v>
      </c>
      <c r="AC1543" s="1" t="str">
        <f>IF(Table1[[#This Row],[Spec Type2]]="N/A","N/A",IF(AND(Table1[[#This Row],[DUT Adj Read]]&gt;=Table1[[#This Row],[Low Tol]],Table1[[#This Row],[DUT Adj Read]]&lt;=Table1[[#This Row],[High Tol]]),"Pass","Fail"))</f>
        <v>Fail</v>
      </c>
      <c r="AD1543" s="1" t="str">
        <f>IF(AND(Table1[[#This Row],[Spec Type2]]="N/A",Table1[[#This Row],[DUT Adj Read]]="N/A",Table1[[#This Row],[Std Adj Read]]="N/A"),"N/A",IF(Table1[[#This Row],[DUT Adj Read]]="N/A",IF(Table1[[#This Row],[Std Adj Read]]&gt;Table1[[#This Row],[Low Tol]],"Pass","Fail"),IF(Table1[[#This Row],[DUT Adj Read]]&gt;Table1[[#This Row],[Low Tol]],"Pass","Fail")))</f>
        <v>Pass</v>
      </c>
      <c r="AE1543" s="1" t="str">
        <f>IF(AND(Table1[[#This Row],[Spec Type2]]="N/A",Table1[[#This Row],[DUT Adj Read]]="N/A",Table1[[#This Row],[Std Adj Read]]="N/A"),"N/A",IF(Table1[[#This Row],[DUT Adj Read]]="N/A",IF(Table1[[#This Row],[Std Adj Read]]&lt;Table1[[#This Row],[High Tol]],"Pass","Fail"),IF(Table1[[#This Row],[DUT Adj Read]]&lt;Table1[[#This Row],[High Tol]],"Pass","Fail")))</f>
        <v>Fail</v>
      </c>
      <c r="AF1543" s="1" t="str">
        <f>IF(AND(Table1[[#This Row],[Spec Type2]]="N/A",Table1[[#This Row],[DUT Adj Read]]="N/A",Table1[[#This Row],[Std Adj Read]]="N/A"),"N/A",IF(Table1[[#This Row],[DUT Adj Read]]="N/A",IF(Table1[[#This Row],[Std Adj Read]]&gt;=Table1[[#This Row],[Low Tol]],"Pass","Fail"),IF(Table1[[#This Row],[DUT Adj Read]]&gt;=Table1[[#This Row],[Low Tol]],"Pass","Fail")))</f>
        <v>Pass</v>
      </c>
      <c r="AG1543" s="1" t="str">
        <f>IF(AND(Table1[[#This Row],[Spec Type2]]="N/A",Table1[[#This Row],[DUT Adj Read]]="N/A",Table1[[#This Row],[Std Adj Read]]="N/A"),"N/A",IF(Table1[[#This Row],[DUT Adj Read]]="N/A",IF(Table1[[#This Row],[Std Adj Read]]&lt;=Table1[[#This Row],[High Tol]],"Pass","Fail"),IF(Table1[[#This Row],[DUT Adj Read]]&lt;=Table1[[#This Row],[High Tol]],"Pass","Fail")))</f>
        <v>Fail</v>
      </c>
      <c r="AH15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3" s="1" t="b">
        <v>0</v>
      </c>
      <c r="AN1543" s="1" t="b">
        <v>0</v>
      </c>
      <c r="AO1543" s="1" t="b">
        <v>0</v>
      </c>
    </row>
    <row r="1544" spans="1:41" x14ac:dyDescent="0.25">
      <c r="A1544" s="10"/>
      <c r="B1544" s="10"/>
      <c r="C1544" s="10"/>
      <c r="D1544" s="10"/>
      <c r="E1544" s="10"/>
      <c r="F1544" s="10"/>
      <c r="G1544" s="10"/>
      <c r="H1544" s="10"/>
      <c r="I1544" s="1" t="str">
        <f t="shared" si="69"/>
        <v/>
      </c>
      <c r="J1544" s="1" t="s">
        <v>35</v>
      </c>
      <c r="K1544" s="1" t="str">
        <f t="shared" si="70"/>
        <v/>
      </c>
      <c r="L1544" s="1" t="str">
        <f t="shared" si="71"/>
        <v/>
      </c>
      <c r="M1544" s="1">
        <f>IF(OR(Table1[[#This Row],[Std Nom]]="",Table1[[#This Row],[Std Read]]=""),0,Table1[[#This Row],[Std Nom]]-Table1[[#This Row],[Std Read]])</f>
        <v>0</v>
      </c>
      <c r="N1544" s="1">
        <f>IF(Calculations!$F$5="ACCREDITED 17025 WITH UNCERTAINTIES",$N$10,0)</f>
        <v>0</v>
      </c>
      <c r="O1544" s="1" t="str">
        <f>IFERROR(Table1[[#This Row],[Std Nom]]-(_xlfn.XLOOKUP(Table1[[#This Row],[Manufacturer]]&amp;" "&amp;Table1[[#This Row],[Model]],Table13[MFR &amp; MDL],Table13[Tolerance % CW ],"")/100*Table1[[#This Row],[Std Nom]]),"")</f>
        <v/>
      </c>
      <c r="P1544" s="1" t="str">
        <f>IFERROR(Table1[[#This Row],[Std Nom]]+(_xlfn.XLOOKUP(Table1[[#This Row],[Manufacturer]]&amp;" "&amp;Table1[[#This Row],[Model]],Table13[MFR &amp; MDL],Table13[Tolerance % CW ],"")/100*Table1[[#This Row],[Std Nom]]),"")</f>
        <v/>
      </c>
      <c r="Q1544" s="1" t="e">
        <f>Table1[[#This Row],[High Tol]]-Table1[[#This Row],[Low Tol]]</f>
        <v>#VALUE!</v>
      </c>
      <c r="R1544" s="1">
        <f>2*Table1[[#This Row],[Std Error]]</f>
        <v>0</v>
      </c>
      <c r="S1544" s="1" t="str">
        <f>IF(Table1[[#This Row],[High Tol]]="","N/A",IFERROR(ABS(Table1[[#This Row],[Tol Span]]/Table1[[#This Row],[Error Span]]),"N/A"))</f>
        <v>N/A</v>
      </c>
      <c r="T1544" s="1" t="str">
        <f>IF(OR(Table1[[#This Row],[Low Tol]]="",Table1[[#This Row],[High Tol]]=""),"Needs Analysis",IF(Table1[[#This Row],[Ratio]]&gt;=4,"Not Significant",IF(Table1[[#This Row],[Ratio]]&gt;=2,"Semi-Significant","Significant")))</f>
        <v>Needs Analysis</v>
      </c>
      <c r="W1544" s="1">
        <f>IF(Table1[[#This Row],[Cal Type]]&lt;&gt;"ACCREDITED 17025 WITH UNCERTAINTIES",0,"")</f>
        <v>0</v>
      </c>
      <c r="X1544" s="1" t="str">
        <f>IF(Table1[[#This Row],[DUT Read]]="","N/A",Table1[[#This Row],[Std Error]]+Table1[[#This Row],[DUT Read]]+Table1[[#This Row],[DUT Ucty]])</f>
        <v>N/A</v>
      </c>
      <c r="Y1544" s="1" t="str">
        <f>IF(Table1[[#This Row],[Std Read]]="","N/A",Table1[[#This Row],[Std Read]]+Table1[[#This Row],[Std Ucty]])</f>
        <v>N/A</v>
      </c>
      <c r="Z15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4" s="1" t="str">
        <f>IF(Table1[[#This Row],[Spec Type]]="","N/A",Table1[[#This Row],[Spec Type]])</f>
        <v>±</v>
      </c>
      <c r="AC1544" s="1" t="str">
        <f>IF(Table1[[#This Row],[Spec Type2]]="N/A","N/A",IF(AND(Table1[[#This Row],[DUT Adj Read]]&gt;=Table1[[#This Row],[Low Tol]],Table1[[#This Row],[DUT Adj Read]]&lt;=Table1[[#This Row],[High Tol]]),"Pass","Fail"))</f>
        <v>Fail</v>
      </c>
      <c r="AD1544" s="1" t="str">
        <f>IF(AND(Table1[[#This Row],[Spec Type2]]="N/A",Table1[[#This Row],[DUT Adj Read]]="N/A",Table1[[#This Row],[Std Adj Read]]="N/A"),"N/A",IF(Table1[[#This Row],[DUT Adj Read]]="N/A",IF(Table1[[#This Row],[Std Adj Read]]&gt;Table1[[#This Row],[Low Tol]],"Pass","Fail"),IF(Table1[[#This Row],[DUT Adj Read]]&gt;Table1[[#This Row],[Low Tol]],"Pass","Fail")))</f>
        <v>Pass</v>
      </c>
      <c r="AE1544" s="1" t="str">
        <f>IF(AND(Table1[[#This Row],[Spec Type2]]="N/A",Table1[[#This Row],[DUT Adj Read]]="N/A",Table1[[#This Row],[Std Adj Read]]="N/A"),"N/A",IF(Table1[[#This Row],[DUT Adj Read]]="N/A",IF(Table1[[#This Row],[Std Adj Read]]&lt;Table1[[#This Row],[High Tol]],"Pass","Fail"),IF(Table1[[#This Row],[DUT Adj Read]]&lt;Table1[[#This Row],[High Tol]],"Pass","Fail")))</f>
        <v>Fail</v>
      </c>
      <c r="AF1544" s="1" t="str">
        <f>IF(AND(Table1[[#This Row],[Spec Type2]]="N/A",Table1[[#This Row],[DUT Adj Read]]="N/A",Table1[[#This Row],[Std Adj Read]]="N/A"),"N/A",IF(Table1[[#This Row],[DUT Adj Read]]="N/A",IF(Table1[[#This Row],[Std Adj Read]]&gt;=Table1[[#This Row],[Low Tol]],"Pass","Fail"),IF(Table1[[#This Row],[DUT Adj Read]]&gt;=Table1[[#This Row],[Low Tol]],"Pass","Fail")))</f>
        <v>Pass</v>
      </c>
      <c r="AG1544" s="1" t="str">
        <f>IF(AND(Table1[[#This Row],[Spec Type2]]="N/A",Table1[[#This Row],[DUT Adj Read]]="N/A",Table1[[#This Row],[Std Adj Read]]="N/A"),"N/A",IF(Table1[[#This Row],[DUT Adj Read]]="N/A",IF(Table1[[#This Row],[Std Adj Read]]&lt;=Table1[[#This Row],[High Tol]],"Pass","Fail"),IF(Table1[[#This Row],[DUT Adj Read]]&lt;=Table1[[#This Row],[High Tol]],"Pass","Fail")))</f>
        <v>Fail</v>
      </c>
      <c r="AH15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4" s="1" t="b">
        <v>0</v>
      </c>
      <c r="AN1544" s="1" t="b">
        <v>0</v>
      </c>
      <c r="AO1544" s="1" t="b">
        <v>0</v>
      </c>
    </row>
    <row r="1545" spans="1:41" x14ac:dyDescent="0.25">
      <c r="A1545" s="10"/>
      <c r="B1545" s="10"/>
      <c r="C1545" s="10"/>
      <c r="D1545" s="10"/>
      <c r="E1545" s="10"/>
      <c r="F1545" s="10"/>
      <c r="G1545" s="10"/>
      <c r="H1545" s="10"/>
      <c r="I1545" s="1" t="str">
        <f t="shared" si="69"/>
        <v/>
      </c>
      <c r="J1545" s="1" t="s">
        <v>35</v>
      </c>
      <c r="K1545" s="1" t="str">
        <f t="shared" si="70"/>
        <v/>
      </c>
      <c r="L1545" s="1" t="str">
        <f t="shared" si="71"/>
        <v/>
      </c>
      <c r="M1545" s="1">
        <f>IF(OR(Table1[[#This Row],[Std Nom]]="",Table1[[#This Row],[Std Read]]=""),0,Table1[[#This Row],[Std Nom]]-Table1[[#This Row],[Std Read]])</f>
        <v>0</v>
      </c>
      <c r="N1545" s="1">
        <f>IF(Calculations!$F$5="ACCREDITED 17025 WITH UNCERTAINTIES",$N$10,0)</f>
        <v>0</v>
      </c>
      <c r="O1545" s="1" t="str">
        <f>IFERROR(Table1[[#This Row],[Std Nom]]-(_xlfn.XLOOKUP(Table1[[#This Row],[Manufacturer]]&amp;" "&amp;Table1[[#This Row],[Model]],Table13[MFR &amp; MDL],Table13[Tolerance % CW ],"")/100*Table1[[#This Row],[Std Nom]]),"")</f>
        <v/>
      </c>
      <c r="P1545" s="1" t="str">
        <f>IFERROR(Table1[[#This Row],[Std Nom]]+(_xlfn.XLOOKUP(Table1[[#This Row],[Manufacturer]]&amp;" "&amp;Table1[[#This Row],[Model]],Table13[MFR &amp; MDL],Table13[Tolerance % CW ],"")/100*Table1[[#This Row],[Std Nom]]),"")</f>
        <v/>
      </c>
      <c r="Q1545" s="1" t="e">
        <f>Table1[[#This Row],[High Tol]]-Table1[[#This Row],[Low Tol]]</f>
        <v>#VALUE!</v>
      </c>
      <c r="R1545" s="1">
        <f>2*Table1[[#This Row],[Std Error]]</f>
        <v>0</v>
      </c>
      <c r="S1545" s="1" t="str">
        <f>IF(Table1[[#This Row],[High Tol]]="","N/A",IFERROR(ABS(Table1[[#This Row],[Tol Span]]/Table1[[#This Row],[Error Span]]),"N/A"))</f>
        <v>N/A</v>
      </c>
      <c r="T1545" s="1" t="str">
        <f>IF(OR(Table1[[#This Row],[Low Tol]]="",Table1[[#This Row],[High Tol]]=""),"Needs Analysis",IF(Table1[[#This Row],[Ratio]]&gt;=4,"Not Significant",IF(Table1[[#This Row],[Ratio]]&gt;=2,"Semi-Significant","Significant")))</f>
        <v>Needs Analysis</v>
      </c>
      <c r="W1545" s="1">
        <f>IF(Table1[[#This Row],[Cal Type]]&lt;&gt;"ACCREDITED 17025 WITH UNCERTAINTIES",0,"")</f>
        <v>0</v>
      </c>
      <c r="X1545" s="1" t="str">
        <f>IF(Table1[[#This Row],[DUT Read]]="","N/A",Table1[[#This Row],[Std Error]]+Table1[[#This Row],[DUT Read]]+Table1[[#This Row],[DUT Ucty]])</f>
        <v>N/A</v>
      </c>
      <c r="Y1545" s="1" t="str">
        <f>IF(Table1[[#This Row],[Std Read]]="","N/A",Table1[[#This Row],[Std Read]]+Table1[[#This Row],[Std Ucty]])</f>
        <v>N/A</v>
      </c>
      <c r="Z15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5" s="1" t="str">
        <f>IF(Table1[[#This Row],[Spec Type]]="","N/A",Table1[[#This Row],[Spec Type]])</f>
        <v>±</v>
      </c>
      <c r="AC1545" s="1" t="str">
        <f>IF(Table1[[#This Row],[Spec Type2]]="N/A","N/A",IF(AND(Table1[[#This Row],[DUT Adj Read]]&gt;=Table1[[#This Row],[Low Tol]],Table1[[#This Row],[DUT Adj Read]]&lt;=Table1[[#This Row],[High Tol]]),"Pass","Fail"))</f>
        <v>Fail</v>
      </c>
      <c r="AD1545" s="1" t="str">
        <f>IF(AND(Table1[[#This Row],[Spec Type2]]="N/A",Table1[[#This Row],[DUT Adj Read]]="N/A",Table1[[#This Row],[Std Adj Read]]="N/A"),"N/A",IF(Table1[[#This Row],[DUT Adj Read]]="N/A",IF(Table1[[#This Row],[Std Adj Read]]&gt;Table1[[#This Row],[Low Tol]],"Pass","Fail"),IF(Table1[[#This Row],[DUT Adj Read]]&gt;Table1[[#This Row],[Low Tol]],"Pass","Fail")))</f>
        <v>Pass</v>
      </c>
      <c r="AE1545" s="1" t="str">
        <f>IF(AND(Table1[[#This Row],[Spec Type2]]="N/A",Table1[[#This Row],[DUT Adj Read]]="N/A",Table1[[#This Row],[Std Adj Read]]="N/A"),"N/A",IF(Table1[[#This Row],[DUT Adj Read]]="N/A",IF(Table1[[#This Row],[Std Adj Read]]&lt;Table1[[#This Row],[High Tol]],"Pass","Fail"),IF(Table1[[#This Row],[DUT Adj Read]]&lt;Table1[[#This Row],[High Tol]],"Pass","Fail")))</f>
        <v>Fail</v>
      </c>
      <c r="AF1545" s="1" t="str">
        <f>IF(AND(Table1[[#This Row],[Spec Type2]]="N/A",Table1[[#This Row],[DUT Adj Read]]="N/A",Table1[[#This Row],[Std Adj Read]]="N/A"),"N/A",IF(Table1[[#This Row],[DUT Adj Read]]="N/A",IF(Table1[[#This Row],[Std Adj Read]]&gt;=Table1[[#This Row],[Low Tol]],"Pass","Fail"),IF(Table1[[#This Row],[DUT Adj Read]]&gt;=Table1[[#This Row],[Low Tol]],"Pass","Fail")))</f>
        <v>Pass</v>
      </c>
      <c r="AG1545" s="1" t="str">
        <f>IF(AND(Table1[[#This Row],[Spec Type2]]="N/A",Table1[[#This Row],[DUT Adj Read]]="N/A",Table1[[#This Row],[Std Adj Read]]="N/A"),"N/A",IF(Table1[[#This Row],[DUT Adj Read]]="N/A",IF(Table1[[#This Row],[Std Adj Read]]&lt;=Table1[[#This Row],[High Tol]],"Pass","Fail"),IF(Table1[[#This Row],[DUT Adj Read]]&lt;=Table1[[#This Row],[High Tol]],"Pass","Fail")))</f>
        <v>Fail</v>
      </c>
      <c r="AH15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5" s="1" t="b">
        <v>0</v>
      </c>
      <c r="AN1545" s="1" t="b">
        <v>0</v>
      </c>
      <c r="AO1545" s="1" t="b">
        <v>0</v>
      </c>
    </row>
    <row r="1546" spans="1:41" x14ac:dyDescent="0.25">
      <c r="A1546" s="10"/>
      <c r="B1546" s="10"/>
      <c r="C1546" s="10"/>
      <c r="D1546" s="10"/>
      <c r="E1546" s="10"/>
      <c r="F1546" s="10"/>
      <c r="G1546" s="10"/>
      <c r="H1546" s="10"/>
      <c r="I1546" s="1" t="str">
        <f t="shared" si="69"/>
        <v/>
      </c>
      <c r="J1546" s="1" t="s">
        <v>35</v>
      </c>
      <c r="K1546" s="1" t="str">
        <f t="shared" si="70"/>
        <v/>
      </c>
      <c r="L1546" s="1" t="str">
        <f t="shared" si="71"/>
        <v/>
      </c>
      <c r="M1546" s="1">
        <f>IF(OR(Table1[[#This Row],[Std Nom]]="",Table1[[#This Row],[Std Read]]=""),0,Table1[[#This Row],[Std Nom]]-Table1[[#This Row],[Std Read]])</f>
        <v>0</v>
      </c>
      <c r="N1546" s="1">
        <f>IF(Calculations!$F$5="ACCREDITED 17025 WITH UNCERTAINTIES",$N$10,0)</f>
        <v>0</v>
      </c>
      <c r="O1546" s="1" t="str">
        <f>IFERROR(Table1[[#This Row],[Std Nom]]-(_xlfn.XLOOKUP(Table1[[#This Row],[Manufacturer]]&amp;" "&amp;Table1[[#This Row],[Model]],Table13[MFR &amp; MDL],Table13[Tolerance % CW ],"")/100*Table1[[#This Row],[Std Nom]]),"")</f>
        <v/>
      </c>
      <c r="P1546" s="1" t="str">
        <f>IFERROR(Table1[[#This Row],[Std Nom]]+(_xlfn.XLOOKUP(Table1[[#This Row],[Manufacturer]]&amp;" "&amp;Table1[[#This Row],[Model]],Table13[MFR &amp; MDL],Table13[Tolerance % CW ],"")/100*Table1[[#This Row],[Std Nom]]),"")</f>
        <v/>
      </c>
      <c r="Q1546" s="1" t="e">
        <f>Table1[[#This Row],[High Tol]]-Table1[[#This Row],[Low Tol]]</f>
        <v>#VALUE!</v>
      </c>
      <c r="R1546" s="1">
        <f>2*Table1[[#This Row],[Std Error]]</f>
        <v>0</v>
      </c>
      <c r="S1546" s="1" t="str">
        <f>IF(Table1[[#This Row],[High Tol]]="","N/A",IFERROR(ABS(Table1[[#This Row],[Tol Span]]/Table1[[#This Row],[Error Span]]),"N/A"))</f>
        <v>N/A</v>
      </c>
      <c r="T1546" s="1" t="str">
        <f>IF(OR(Table1[[#This Row],[Low Tol]]="",Table1[[#This Row],[High Tol]]=""),"Needs Analysis",IF(Table1[[#This Row],[Ratio]]&gt;=4,"Not Significant",IF(Table1[[#This Row],[Ratio]]&gt;=2,"Semi-Significant","Significant")))</f>
        <v>Needs Analysis</v>
      </c>
      <c r="W1546" s="1">
        <f>IF(Table1[[#This Row],[Cal Type]]&lt;&gt;"ACCREDITED 17025 WITH UNCERTAINTIES",0,"")</f>
        <v>0</v>
      </c>
      <c r="X1546" s="1" t="str">
        <f>IF(Table1[[#This Row],[DUT Read]]="","N/A",Table1[[#This Row],[Std Error]]+Table1[[#This Row],[DUT Read]]+Table1[[#This Row],[DUT Ucty]])</f>
        <v>N/A</v>
      </c>
      <c r="Y1546" s="1" t="str">
        <f>IF(Table1[[#This Row],[Std Read]]="","N/A",Table1[[#This Row],[Std Read]]+Table1[[#This Row],[Std Ucty]])</f>
        <v>N/A</v>
      </c>
      <c r="Z15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6" s="1" t="str">
        <f>IF(Table1[[#This Row],[Spec Type]]="","N/A",Table1[[#This Row],[Spec Type]])</f>
        <v>±</v>
      </c>
      <c r="AC1546" s="1" t="str">
        <f>IF(Table1[[#This Row],[Spec Type2]]="N/A","N/A",IF(AND(Table1[[#This Row],[DUT Adj Read]]&gt;=Table1[[#This Row],[Low Tol]],Table1[[#This Row],[DUT Adj Read]]&lt;=Table1[[#This Row],[High Tol]]),"Pass","Fail"))</f>
        <v>Fail</v>
      </c>
      <c r="AD1546" s="1" t="str">
        <f>IF(AND(Table1[[#This Row],[Spec Type2]]="N/A",Table1[[#This Row],[DUT Adj Read]]="N/A",Table1[[#This Row],[Std Adj Read]]="N/A"),"N/A",IF(Table1[[#This Row],[DUT Adj Read]]="N/A",IF(Table1[[#This Row],[Std Adj Read]]&gt;Table1[[#This Row],[Low Tol]],"Pass","Fail"),IF(Table1[[#This Row],[DUT Adj Read]]&gt;Table1[[#This Row],[Low Tol]],"Pass","Fail")))</f>
        <v>Pass</v>
      </c>
      <c r="AE1546" s="1" t="str">
        <f>IF(AND(Table1[[#This Row],[Spec Type2]]="N/A",Table1[[#This Row],[DUT Adj Read]]="N/A",Table1[[#This Row],[Std Adj Read]]="N/A"),"N/A",IF(Table1[[#This Row],[DUT Adj Read]]="N/A",IF(Table1[[#This Row],[Std Adj Read]]&lt;Table1[[#This Row],[High Tol]],"Pass","Fail"),IF(Table1[[#This Row],[DUT Adj Read]]&lt;Table1[[#This Row],[High Tol]],"Pass","Fail")))</f>
        <v>Fail</v>
      </c>
      <c r="AF1546" s="1" t="str">
        <f>IF(AND(Table1[[#This Row],[Spec Type2]]="N/A",Table1[[#This Row],[DUT Adj Read]]="N/A",Table1[[#This Row],[Std Adj Read]]="N/A"),"N/A",IF(Table1[[#This Row],[DUT Adj Read]]="N/A",IF(Table1[[#This Row],[Std Adj Read]]&gt;=Table1[[#This Row],[Low Tol]],"Pass","Fail"),IF(Table1[[#This Row],[DUT Adj Read]]&gt;=Table1[[#This Row],[Low Tol]],"Pass","Fail")))</f>
        <v>Pass</v>
      </c>
      <c r="AG1546" s="1" t="str">
        <f>IF(AND(Table1[[#This Row],[Spec Type2]]="N/A",Table1[[#This Row],[DUT Adj Read]]="N/A",Table1[[#This Row],[Std Adj Read]]="N/A"),"N/A",IF(Table1[[#This Row],[DUT Adj Read]]="N/A",IF(Table1[[#This Row],[Std Adj Read]]&lt;=Table1[[#This Row],[High Tol]],"Pass","Fail"),IF(Table1[[#This Row],[DUT Adj Read]]&lt;=Table1[[#This Row],[High Tol]],"Pass","Fail")))</f>
        <v>Fail</v>
      </c>
      <c r="AH15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6" s="1" t="b">
        <v>0</v>
      </c>
      <c r="AN1546" s="1" t="b">
        <v>0</v>
      </c>
      <c r="AO1546" s="1" t="b">
        <v>0</v>
      </c>
    </row>
    <row r="1547" spans="1:41" x14ac:dyDescent="0.25">
      <c r="A1547" s="10"/>
      <c r="B1547" s="10"/>
      <c r="C1547" s="10"/>
      <c r="D1547" s="10"/>
      <c r="E1547" s="10"/>
      <c r="F1547" s="10"/>
      <c r="G1547" s="10"/>
      <c r="H1547" s="10"/>
      <c r="I1547" s="1" t="str">
        <f t="shared" ref="I1547:I1610" si="72">IF($I$10="","",$I$10)</f>
        <v/>
      </c>
      <c r="J1547" s="1" t="s">
        <v>35</v>
      </c>
      <c r="K1547" s="1" t="str">
        <f t="shared" ref="K1547:K1610" si="73">IF($K$10="","",$K$10)</f>
        <v/>
      </c>
      <c r="L1547" s="1" t="str">
        <f t="shared" ref="L1547:L1610" si="74">IF($L$10="","",$L$10)</f>
        <v/>
      </c>
      <c r="M1547" s="1">
        <f>IF(OR(Table1[[#This Row],[Std Nom]]="",Table1[[#This Row],[Std Read]]=""),0,Table1[[#This Row],[Std Nom]]-Table1[[#This Row],[Std Read]])</f>
        <v>0</v>
      </c>
      <c r="N1547" s="1">
        <f>IF(Calculations!$F$5="ACCREDITED 17025 WITH UNCERTAINTIES",$N$10,0)</f>
        <v>0</v>
      </c>
      <c r="O1547" s="1" t="str">
        <f>IFERROR(Table1[[#This Row],[Std Nom]]-(_xlfn.XLOOKUP(Table1[[#This Row],[Manufacturer]]&amp;" "&amp;Table1[[#This Row],[Model]],Table13[MFR &amp; MDL],Table13[Tolerance % CW ],"")/100*Table1[[#This Row],[Std Nom]]),"")</f>
        <v/>
      </c>
      <c r="P1547" s="1" t="str">
        <f>IFERROR(Table1[[#This Row],[Std Nom]]+(_xlfn.XLOOKUP(Table1[[#This Row],[Manufacturer]]&amp;" "&amp;Table1[[#This Row],[Model]],Table13[MFR &amp; MDL],Table13[Tolerance % CW ],"")/100*Table1[[#This Row],[Std Nom]]),"")</f>
        <v/>
      </c>
      <c r="Q1547" s="1" t="e">
        <f>Table1[[#This Row],[High Tol]]-Table1[[#This Row],[Low Tol]]</f>
        <v>#VALUE!</v>
      </c>
      <c r="R1547" s="1">
        <f>2*Table1[[#This Row],[Std Error]]</f>
        <v>0</v>
      </c>
      <c r="S1547" s="1" t="str">
        <f>IF(Table1[[#This Row],[High Tol]]="","N/A",IFERROR(ABS(Table1[[#This Row],[Tol Span]]/Table1[[#This Row],[Error Span]]),"N/A"))</f>
        <v>N/A</v>
      </c>
      <c r="T1547" s="1" t="str">
        <f>IF(OR(Table1[[#This Row],[Low Tol]]="",Table1[[#This Row],[High Tol]]=""),"Needs Analysis",IF(Table1[[#This Row],[Ratio]]&gt;=4,"Not Significant",IF(Table1[[#This Row],[Ratio]]&gt;=2,"Semi-Significant","Significant")))</f>
        <v>Needs Analysis</v>
      </c>
      <c r="W1547" s="1">
        <f>IF(Table1[[#This Row],[Cal Type]]&lt;&gt;"ACCREDITED 17025 WITH UNCERTAINTIES",0,"")</f>
        <v>0</v>
      </c>
      <c r="X1547" s="1" t="str">
        <f>IF(Table1[[#This Row],[DUT Read]]="","N/A",Table1[[#This Row],[Std Error]]+Table1[[#This Row],[DUT Read]]+Table1[[#This Row],[DUT Ucty]])</f>
        <v>N/A</v>
      </c>
      <c r="Y1547" s="1" t="str">
        <f>IF(Table1[[#This Row],[Std Read]]="","N/A",Table1[[#This Row],[Std Read]]+Table1[[#This Row],[Std Ucty]])</f>
        <v>N/A</v>
      </c>
      <c r="Z15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7" s="1" t="str">
        <f>IF(Table1[[#This Row],[Spec Type]]="","N/A",Table1[[#This Row],[Spec Type]])</f>
        <v>±</v>
      </c>
      <c r="AC1547" s="1" t="str">
        <f>IF(Table1[[#This Row],[Spec Type2]]="N/A","N/A",IF(AND(Table1[[#This Row],[DUT Adj Read]]&gt;=Table1[[#This Row],[Low Tol]],Table1[[#This Row],[DUT Adj Read]]&lt;=Table1[[#This Row],[High Tol]]),"Pass","Fail"))</f>
        <v>Fail</v>
      </c>
      <c r="AD1547" s="1" t="str">
        <f>IF(AND(Table1[[#This Row],[Spec Type2]]="N/A",Table1[[#This Row],[DUT Adj Read]]="N/A",Table1[[#This Row],[Std Adj Read]]="N/A"),"N/A",IF(Table1[[#This Row],[DUT Adj Read]]="N/A",IF(Table1[[#This Row],[Std Adj Read]]&gt;Table1[[#This Row],[Low Tol]],"Pass","Fail"),IF(Table1[[#This Row],[DUT Adj Read]]&gt;Table1[[#This Row],[Low Tol]],"Pass","Fail")))</f>
        <v>Pass</v>
      </c>
      <c r="AE1547" s="1" t="str">
        <f>IF(AND(Table1[[#This Row],[Spec Type2]]="N/A",Table1[[#This Row],[DUT Adj Read]]="N/A",Table1[[#This Row],[Std Adj Read]]="N/A"),"N/A",IF(Table1[[#This Row],[DUT Adj Read]]="N/A",IF(Table1[[#This Row],[Std Adj Read]]&lt;Table1[[#This Row],[High Tol]],"Pass","Fail"),IF(Table1[[#This Row],[DUT Adj Read]]&lt;Table1[[#This Row],[High Tol]],"Pass","Fail")))</f>
        <v>Fail</v>
      </c>
      <c r="AF1547" s="1" t="str">
        <f>IF(AND(Table1[[#This Row],[Spec Type2]]="N/A",Table1[[#This Row],[DUT Adj Read]]="N/A",Table1[[#This Row],[Std Adj Read]]="N/A"),"N/A",IF(Table1[[#This Row],[DUT Adj Read]]="N/A",IF(Table1[[#This Row],[Std Adj Read]]&gt;=Table1[[#This Row],[Low Tol]],"Pass","Fail"),IF(Table1[[#This Row],[DUT Adj Read]]&gt;=Table1[[#This Row],[Low Tol]],"Pass","Fail")))</f>
        <v>Pass</v>
      </c>
      <c r="AG1547" s="1" t="str">
        <f>IF(AND(Table1[[#This Row],[Spec Type2]]="N/A",Table1[[#This Row],[DUT Adj Read]]="N/A",Table1[[#This Row],[Std Adj Read]]="N/A"),"N/A",IF(Table1[[#This Row],[DUT Adj Read]]="N/A",IF(Table1[[#This Row],[Std Adj Read]]&lt;=Table1[[#This Row],[High Tol]],"Pass","Fail"),IF(Table1[[#This Row],[DUT Adj Read]]&lt;=Table1[[#This Row],[High Tol]],"Pass","Fail")))</f>
        <v>Fail</v>
      </c>
      <c r="AH15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7" s="1" t="b">
        <v>0</v>
      </c>
      <c r="AN1547" s="1" t="b">
        <v>0</v>
      </c>
      <c r="AO1547" s="1" t="b">
        <v>0</v>
      </c>
    </row>
    <row r="1548" spans="1:41" x14ac:dyDescent="0.25">
      <c r="A1548" s="10"/>
      <c r="B1548" s="10"/>
      <c r="C1548" s="10"/>
      <c r="D1548" s="10"/>
      <c r="E1548" s="10"/>
      <c r="F1548" s="10"/>
      <c r="G1548" s="10"/>
      <c r="H1548" s="10"/>
      <c r="I1548" s="1" t="str">
        <f t="shared" si="72"/>
        <v/>
      </c>
      <c r="J1548" s="1" t="s">
        <v>35</v>
      </c>
      <c r="K1548" s="1" t="str">
        <f t="shared" si="73"/>
        <v/>
      </c>
      <c r="L1548" s="1" t="str">
        <f t="shared" si="74"/>
        <v/>
      </c>
      <c r="M1548" s="1">
        <f>IF(OR(Table1[[#This Row],[Std Nom]]="",Table1[[#This Row],[Std Read]]=""),0,Table1[[#This Row],[Std Nom]]-Table1[[#This Row],[Std Read]])</f>
        <v>0</v>
      </c>
      <c r="N1548" s="1">
        <f>IF(Calculations!$F$5="ACCREDITED 17025 WITH UNCERTAINTIES",$N$10,0)</f>
        <v>0</v>
      </c>
      <c r="O1548" s="1" t="str">
        <f>IFERROR(Table1[[#This Row],[Std Nom]]-(_xlfn.XLOOKUP(Table1[[#This Row],[Manufacturer]]&amp;" "&amp;Table1[[#This Row],[Model]],Table13[MFR &amp; MDL],Table13[Tolerance % CW ],"")/100*Table1[[#This Row],[Std Nom]]),"")</f>
        <v/>
      </c>
      <c r="P1548" s="1" t="str">
        <f>IFERROR(Table1[[#This Row],[Std Nom]]+(_xlfn.XLOOKUP(Table1[[#This Row],[Manufacturer]]&amp;" "&amp;Table1[[#This Row],[Model]],Table13[MFR &amp; MDL],Table13[Tolerance % CW ],"")/100*Table1[[#This Row],[Std Nom]]),"")</f>
        <v/>
      </c>
      <c r="Q1548" s="1" t="e">
        <f>Table1[[#This Row],[High Tol]]-Table1[[#This Row],[Low Tol]]</f>
        <v>#VALUE!</v>
      </c>
      <c r="R1548" s="1">
        <f>2*Table1[[#This Row],[Std Error]]</f>
        <v>0</v>
      </c>
      <c r="S1548" s="1" t="str">
        <f>IF(Table1[[#This Row],[High Tol]]="","N/A",IFERROR(ABS(Table1[[#This Row],[Tol Span]]/Table1[[#This Row],[Error Span]]),"N/A"))</f>
        <v>N/A</v>
      </c>
      <c r="T1548" s="1" t="str">
        <f>IF(OR(Table1[[#This Row],[Low Tol]]="",Table1[[#This Row],[High Tol]]=""),"Needs Analysis",IF(Table1[[#This Row],[Ratio]]&gt;=4,"Not Significant",IF(Table1[[#This Row],[Ratio]]&gt;=2,"Semi-Significant","Significant")))</f>
        <v>Needs Analysis</v>
      </c>
      <c r="W1548" s="1">
        <f>IF(Table1[[#This Row],[Cal Type]]&lt;&gt;"ACCREDITED 17025 WITH UNCERTAINTIES",0,"")</f>
        <v>0</v>
      </c>
      <c r="X1548" s="1" t="str">
        <f>IF(Table1[[#This Row],[DUT Read]]="","N/A",Table1[[#This Row],[Std Error]]+Table1[[#This Row],[DUT Read]]+Table1[[#This Row],[DUT Ucty]])</f>
        <v>N/A</v>
      </c>
      <c r="Y1548" s="1" t="str">
        <f>IF(Table1[[#This Row],[Std Read]]="","N/A",Table1[[#This Row],[Std Read]]+Table1[[#This Row],[Std Ucty]])</f>
        <v>N/A</v>
      </c>
      <c r="Z15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8" s="1" t="str">
        <f>IF(Table1[[#This Row],[Spec Type]]="","N/A",Table1[[#This Row],[Spec Type]])</f>
        <v>±</v>
      </c>
      <c r="AC1548" s="1" t="str">
        <f>IF(Table1[[#This Row],[Spec Type2]]="N/A","N/A",IF(AND(Table1[[#This Row],[DUT Adj Read]]&gt;=Table1[[#This Row],[Low Tol]],Table1[[#This Row],[DUT Adj Read]]&lt;=Table1[[#This Row],[High Tol]]),"Pass","Fail"))</f>
        <v>Fail</v>
      </c>
      <c r="AD1548" s="1" t="str">
        <f>IF(AND(Table1[[#This Row],[Spec Type2]]="N/A",Table1[[#This Row],[DUT Adj Read]]="N/A",Table1[[#This Row],[Std Adj Read]]="N/A"),"N/A",IF(Table1[[#This Row],[DUT Adj Read]]="N/A",IF(Table1[[#This Row],[Std Adj Read]]&gt;Table1[[#This Row],[Low Tol]],"Pass","Fail"),IF(Table1[[#This Row],[DUT Adj Read]]&gt;Table1[[#This Row],[Low Tol]],"Pass","Fail")))</f>
        <v>Pass</v>
      </c>
      <c r="AE1548" s="1" t="str">
        <f>IF(AND(Table1[[#This Row],[Spec Type2]]="N/A",Table1[[#This Row],[DUT Adj Read]]="N/A",Table1[[#This Row],[Std Adj Read]]="N/A"),"N/A",IF(Table1[[#This Row],[DUT Adj Read]]="N/A",IF(Table1[[#This Row],[Std Adj Read]]&lt;Table1[[#This Row],[High Tol]],"Pass","Fail"),IF(Table1[[#This Row],[DUT Adj Read]]&lt;Table1[[#This Row],[High Tol]],"Pass","Fail")))</f>
        <v>Fail</v>
      </c>
      <c r="AF1548" s="1" t="str">
        <f>IF(AND(Table1[[#This Row],[Spec Type2]]="N/A",Table1[[#This Row],[DUT Adj Read]]="N/A",Table1[[#This Row],[Std Adj Read]]="N/A"),"N/A",IF(Table1[[#This Row],[DUT Adj Read]]="N/A",IF(Table1[[#This Row],[Std Adj Read]]&gt;=Table1[[#This Row],[Low Tol]],"Pass","Fail"),IF(Table1[[#This Row],[DUT Adj Read]]&gt;=Table1[[#This Row],[Low Tol]],"Pass","Fail")))</f>
        <v>Pass</v>
      </c>
      <c r="AG1548" s="1" t="str">
        <f>IF(AND(Table1[[#This Row],[Spec Type2]]="N/A",Table1[[#This Row],[DUT Adj Read]]="N/A",Table1[[#This Row],[Std Adj Read]]="N/A"),"N/A",IF(Table1[[#This Row],[DUT Adj Read]]="N/A",IF(Table1[[#This Row],[Std Adj Read]]&lt;=Table1[[#This Row],[High Tol]],"Pass","Fail"),IF(Table1[[#This Row],[DUT Adj Read]]&lt;=Table1[[#This Row],[High Tol]],"Pass","Fail")))</f>
        <v>Fail</v>
      </c>
      <c r="AH15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8" s="1" t="b">
        <v>0</v>
      </c>
      <c r="AN1548" s="1" t="b">
        <v>0</v>
      </c>
      <c r="AO1548" s="1" t="b">
        <v>0</v>
      </c>
    </row>
    <row r="1549" spans="1:41" x14ac:dyDescent="0.25">
      <c r="A1549" s="10"/>
      <c r="B1549" s="10"/>
      <c r="C1549" s="10"/>
      <c r="D1549" s="10"/>
      <c r="E1549" s="10"/>
      <c r="F1549" s="10"/>
      <c r="G1549" s="10"/>
      <c r="H1549" s="10"/>
      <c r="I1549" s="1" t="str">
        <f t="shared" si="72"/>
        <v/>
      </c>
      <c r="J1549" s="1" t="s">
        <v>35</v>
      </c>
      <c r="K1549" s="1" t="str">
        <f t="shared" si="73"/>
        <v/>
      </c>
      <c r="L1549" s="1" t="str">
        <f t="shared" si="74"/>
        <v/>
      </c>
      <c r="M1549" s="1">
        <f>IF(OR(Table1[[#This Row],[Std Nom]]="",Table1[[#This Row],[Std Read]]=""),0,Table1[[#This Row],[Std Nom]]-Table1[[#This Row],[Std Read]])</f>
        <v>0</v>
      </c>
      <c r="N1549" s="1">
        <f>IF(Calculations!$F$5="ACCREDITED 17025 WITH UNCERTAINTIES",$N$10,0)</f>
        <v>0</v>
      </c>
      <c r="O1549" s="1" t="str">
        <f>IFERROR(Table1[[#This Row],[Std Nom]]-(_xlfn.XLOOKUP(Table1[[#This Row],[Manufacturer]]&amp;" "&amp;Table1[[#This Row],[Model]],Table13[MFR &amp; MDL],Table13[Tolerance % CW ],"")/100*Table1[[#This Row],[Std Nom]]),"")</f>
        <v/>
      </c>
      <c r="P1549" s="1" t="str">
        <f>IFERROR(Table1[[#This Row],[Std Nom]]+(_xlfn.XLOOKUP(Table1[[#This Row],[Manufacturer]]&amp;" "&amp;Table1[[#This Row],[Model]],Table13[MFR &amp; MDL],Table13[Tolerance % CW ],"")/100*Table1[[#This Row],[Std Nom]]),"")</f>
        <v/>
      </c>
      <c r="Q1549" s="1" t="e">
        <f>Table1[[#This Row],[High Tol]]-Table1[[#This Row],[Low Tol]]</f>
        <v>#VALUE!</v>
      </c>
      <c r="R1549" s="1">
        <f>2*Table1[[#This Row],[Std Error]]</f>
        <v>0</v>
      </c>
      <c r="S1549" s="1" t="str">
        <f>IF(Table1[[#This Row],[High Tol]]="","N/A",IFERROR(ABS(Table1[[#This Row],[Tol Span]]/Table1[[#This Row],[Error Span]]),"N/A"))</f>
        <v>N/A</v>
      </c>
      <c r="T1549" s="1" t="str">
        <f>IF(OR(Table1[[#This Row],[Low Tol]]="",Table1[[#This Row],[High Tol]]=""),"Needs Analysis",IF(Table1[[#This Row],[Ratio]]&gt;=4,"Not Significant",IF(Table1[[#This Row],[Ratio]]&gt;=2,"Semi-Significant","Significant")))</f>
        <v>Needs Analysis</v>
      </c>
      <c r="W1549" s="1">
        <f>IF(Table1[[#This Row],[Cal Type]]&lt;&gt;"ACCREDITED 17025 WITH UNCERTAINTIES",0,"")</f>
        <v>0</v>
      </c>
      <c r="X1549" s="1" t="str">
        <f>IF(Table1[[#This Row],[DUT Read]]="","N/A",Table1[[#This Row],[Std Error]]+Table1[[#This Row],[DUT Read]]+Table1[[#This Row],[DUT Ucty]])</f>
        <v>N/A</v>
      </c>
      <c r="Y1549" s="1" t="str">
        <f>IF(Table1[[#This Row],[Std Read]]="","N/A",Table1[[#This Row],[Std Read]]+Table1[[#This Row],[Std Ucty]])</f>
        <v>N/A</v>
      </c>
      <c r="Z15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9" s="1" t="str">
        <f>IF(Table1[[#This Row],[Spec Type]]="","N/A",Table1[[#This Row],[Spec Type]])</f>
        <v>±</v>
      </c>
      <c r="AC1549" s="1" t="str">
        <f>IF(Table1[[#This Row],[Spec Type2]]="N/A","N/A",IF(AND(Table1[[#This Row],[DUT Adj Read]]&gt;=Table1[[#This Row],[Low Tol]],Table1[[#This Row],[DUT Adj Read]]&lt;=Table1[[#This Row],[High Tol]]),"Pass","Fail"))</f>
        <v>Fail</v>
      </c>
      <c r="AD1549" s="1" t="str">
        <f>IF(AND(Table1[[#This Row],[Spec Type2]]="N/A",Table1[[#This Row],[DUT Adj Read]]="N/A",Table1[[#This Row],[Std Adj Read]]="N/A"),"N/A",IF(Table1[[#This Row],[DUT Adj Read]]="N/A",IF(Table1[[#This Row],[Std Adj Read]]&gt;Table1[[#This Row],[Low Tol]],"Pass","Fail"),IF(Table1[[#This Row],[DUT Adj Read]]&gt;Table1[[#This Row],[Low Tol]],"Pass","Fail")))</f>
        <v>Pass</v>
      </c>
      <c r="AE1549" s="1" t="str">
        <f>IF(AND(Table1[[#This Row],[Spec Type2]]="N/A",Table1[[#This Row],[DUT Adj Read]]="N/A",Table1[[#This Row],[Std Adj Read]]="N/A"),"N/A",IF(Table1[[#This Row],[DUT Adj Read]]="N/A",IF(Table1[[#This Row],[Std Adj Read]]&lt;Table1[[#This Row],[High Tol]],"Pass","Fail"),IF(Table1[[#This Row],[DUT Adj Read]]&lt;Table1[[#This Row],[High Tol]],"Pass","Fail")))</f>
        <v>Fail</v>
      </c>
      <c r="AF1549" s="1" t="str">
        <f>IF(AND(Table1[[#This Row],[Spec Type2]]="N/A",Table1[[#This Row],[DUT Adj Read]]="N/A",Table1[[#This Row],[Std Adj Read]]="N/A"),"N/A",IF(Table1[[#This Row],[DUT Adj Read]]="N/A",IF(Table1[[#This Row],[Std Adj Read]]&gt;=Table1[[#This Row],[Low Tol]],"Pass","Fail"),IF(Table1[[#This Row],[DUT Adj Read]]&gt;=Table1[[#This Row],[Low Tol]],"Pass","Fail")))</f>
        <v>Pass</v>
      </c>
      <c r="AG1549" s="1" t="str">
        <f>IF(AND(Table1[[#This Row],[Spec Type2]]="N/A",Table1[[#This Row],[DUT Adj Read]]="N/A",Table1[[#This Row],[Std Adj Read]]="N/A"),"N/A",IF(Table1[[#This Row],[DUT Adj Read]]="N/A",IF(Table1[[#This Row],[Std Adj Read]]&lt;=Table1[[#This Row],[High Tol]],"Pass","Fail"),IF(Table1[[#This Row],[DUT Adj Read]]&lt;=Table1[[#This Row],[High Tol]],"Pass","Fail")))</f>
        <v>Fail</v>
      </c>
      <c r="AH15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9" s="1" t="b">
        <v>0</v>
      </c>
      <c r="AN1549" s="1" t="b">
        <v>0</v>
      </c>
      <c r="AO1549" s="1" t="b">
        <v>0</v>
      </c>
    </row>
    <row r="1550" spans="1:41" x14ac:dyDescent="0.25">
      <c r="A1550" s="10"/>
      <c r="B1550" s="10"/>
      <c r="C1550" s="10"/>
      <c r="D1550" s="10"/>
      <c r="E1550" s="10"/>
      <c r="F1550" s="10"/>
      <c r="G1550" s="10"/>
      <c r="H1550" s="10"/>
      <c r="I1550" s="1" t="str">
        <f t="shared" si="72"/>
        <v/>
      </c>
      <c r="J1550" s="1" t="s">
        <v>35</v>
      </c>
      <c r="K1550" s="1" t="str">
        <f t="shared" si="73"/>
        <v/>
      </c>
      <c r="L1550" s="1" t="str">
        <f t="shared" si="74"/>
        <v/>
      </c>
      <c r="M1550" s="1">
        <f>IF(OR(Table1[[#This Row],[Std Nom]]="",Table1[[#This Row],[Std Read]]=""),0,Table1[[#This Row],[Std Nom]]-Table1[[#This Row],[Std Read]])</f>
        <v>0</v>
      </c>
      <c r="N1550" s="1">
        <f>IF(Calculations!$F$5="ACCREDITED 17025 WITH UNCERTAINTIES",$N$10,0)</f>
        <v>0</v>
      </c>
      <c r="O1550" s="1" t="str">
        <f>IFERROR(Table1[[#This Row],[Std Nom]]-(_xlfn.XLOOKUP(Table1[[#This Row],[Manufacturer]]&amp;" "&amp;Table1[[#This Row],[Model]],Table13[MFR &amp; MDL],Table13[Tolerance % CW ],"")/100*Table1[[#This Row],[Std Nom]]),"")</f>
        <v/>
      </c>
      <c r="P1550" s="1" t="str">
        <f>IFERROR(Table1[[#This Row],[Std Nom]]+(_xlfn.XLOOKUP(Table1[[#This Row],[Manufacturer]]&amp;" "&amp;Table1[[#This Row],[Model]],Table13[MFR &amp; MDL],Table13[Tolerance % CW ],"")/100*Table1[[#This Row],[Std Nom]]),"")</f>
        <v/>
      </c>
      <c r="Q1550" s="1" t="e">
        <f>Table1[[#This Row],[High Tol]]-Table1[[#This Row],[Low Tol]]</f>
        <v>#VALUE!</v>
      </c>
      <c r="R1550" s="1">
        <f>2*Table1[[#This Row],[Std Error]]</f>
        <v>0</v>
      </c>
      <c r="S1550" s="1" t="str">
        <f>IF(Table1[[#This Row],[High Tol]]="","N/A",IFERROR(ABS(Table1[[#This Row],[Tol Span]]/Table1[[#This Row],[Error Span]]),"N/A"))</f>
        <v>N/A</v>
      </c>
      <c r="T1550" s="1" t="str">
        <f>IF(OR(Table1[[#This Row],[Low Tol]]="",Table1[[#This Row],[High Tol]]=""),"Needs Analysis",IF(Table1[[#This Row],[Ratio]]&gt;=4,"Not Significant",IF(Table1[[#This Row],[Ratio]]&gt;=2,"Semi-Significant","Significant")))</f>
        <v>Needs Analysis</v>
      </c>
      <c r="W1550" s="1">
        <f>IF(Table1[[#This Row],[Cal Type]]&lt;&gt;"ACCREDITED 17025 WITH UNCERTAINTIES",0,"")</f>
        <v>0</v>
      </c>
      <c r="X1550" s="1" t="str">
        <f>IF(Table1[[#This Row],[DUT Read]]="","N/A",Table1[[#This Row],[Std Error]]+Table1[[#This Row],[DUT Read]]+Table1[[#This Row],[DUT Ucty]])</f>
        <v>N/A</v>
      </c>
      <c r="Y1550" s="1" t="str">
        <f>IF(Table1[[#This Row],[Std Read]]="","N/A",Table1[[#This Row],[Std Read]]+Table1[[#This Row],[Std Ucty]])</f>
        <v>N/A</v>
      </c>
      <c r="Z15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0" s="1" t="str">
        <f>IF(Table1[[#This Row],[Spec Type]]="","N/A",Table1[[#This Row],[Spec Type]])</f>
        <v>±</v>
      </c>
      <c r="AC1550" s="1" t="str">
        <f>IF(Table1[[#This Row],[Spec Type2]]="N/A","N/A",IF(AND(Table1[[#This Row],[DUT Adj Read]]&gt;=Table1[[#This Row],[Low Tol]],Table1[[#This Row],[DUT Adj Read]]&lt;=Table1[[#This Row],[High Tol]]),"Pass","Fail"))</f>
        <v>Fail</v>
      </c>
      <c r="AD1550" s="1" t="str">
        <f>IF(AND(Table1[[#This Row],[Spec Type2]]="N/A",Table1[[#This Row],[DUT Adj Read]]="N/A",Table1[[#This Row],[Std Adj Read]]="N/A"),"N/A",IF(Table1[[#This Row],[DUT Adj Read]]="N/A",IF(Table1[[#This Row],[Std Adj Read]]&gt;Table1[[#This Row],[Low Tol]],"Pass","Fail"),IF(Table1[[#This Row],[DUT Adj Read]]&gt;Table1[[#This Row],[Low Tol]],"Pass","Fail")))</f>
        <v>Pass</v>
      </c>
      <c r="AE1550" s="1" t="str">
        <f>IF(AND(Table1[[#This Row],[Spec Type2]]="N/A",Table1[[#This Row],[DUT Adj Read]]="N/A",Table1[[#This Row],[Std Adj Read]]="N/A"),"N/A",IF(Table1[[#This Row],[DUT Adj Read]]="N/A",IF(Table1[[#This Row],[Std Adj Read]]&lt;Table1[[#This Row],[High Tol]],"Pass","Fail"),IF(Table1[[#This Row],[DUT Adj Read]]&lt;Table1[[#This Row],[High Tol]],"Pass","Fail")))</f>
        <v>Fail</v>
      </c>
      <c r="AF1550" s="1" t="str">
        <f>IF(AND(Table1[[#This Row],[Spec Type2]]="N/A",Table1[[#This Row],[DUT Adj Read]]="N/A",Table1[[#This Row],[Std Adj Read]]="N/A"),"N/A",IF(Table1[[#This Row],[DUT Adj Read]]="N/A",IF(Table1[[#This Row],[Std Adj Read]]&gt;=Table1[[#This Row],[Low Tol]],"Pass","Fail"),IF(Table1[[#This Row],[DUT Adj Read]]&gt;=Table1[[#This Row],[Low Tol]],"Pass","Fail")))</f>
        <v>Pass</v>
      </c>
      <c r="AG1550" s="1" t="str">
        <f>IF(AND(Table1[[#This Row],[Spec Type2]]="N/A",Table1[[#This Row],[DUT Adj Read]]="N/A",Table1[[#This Row],[Std Adj Read]]="N/A"),"N/A",IF(Table1[[#This Row],[DUT Adj Read]]="N/A",IF(Table1[[#This Row],[Std Adj Read]]&lt;=Table1[[#This Row],[High Tol]],"Pass","Fail"),IF(Table1[[#This Row],[DUT Adj Read]]&lt;=Table1[[#This Row],[High Tol]],"Pass","Fail")))</f>
        <v>Fail</v>
      </c>
      <c r="AH15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0" s="1" t="b">
        <v>0</v>
      </c>
      <c r="AN1550" s="1" t="b">
        <v>0</v>
      </c>
      <c r="AO1550" s="1" t="b">
        <v>0</v>
      </c>
    </row>
    <row r="1551" spans="1:41" x14ac:dyDescent="0.25">
      <c r="A1551" s="10"/>
      <c r="B1551" s="10"/>
      <c r="C1551" s="10"/>
      <c r="D1551" s="10"/>
      <c r="E1551" s="10"/>
      <c r="F1551" s="10"/>
      <c r="G1551" s="10"/>
      <c r="H1551" s="10"/>
      <c r="I1551" s="1" t="str">
        <f t="shared" si="72"/>
        <v/>
      </c>
      <c r="J1551" s="1" t="s">
        <v>35</v>
      </c>
      <c r="K1551" s="1" t="str">
        <f t="shared" si="73"/>
        <v/>
      </c>
      <c r="L1551" s="1" t="str">
        <f t="shared" si="74"/>
        <v/>
      </c>
      <c r="M1551" s="1">
        <f>IF(OR(Table1[[#This Row],[Std Nom]]="",Table1[[#This Row],[Std Read]]=""),0,Table1[[#This Row],[Std Nom]]-Table1[[#This Row],[Std Read]])</f>
        <v>0</v>
      </c>
      <c r="N1551" s="1">
        <f>IF(Calculations!$F$5="ACCREDITED 17025 WITH UNCERTAINTIES",$N$10,0)</f>
        <v>0</v>
      </c>
      <c r="O1551" s="1" t="str">
        <f>IFERROR(Table1[[#This Row],[Std Nom]]-(_xlfn.XLOOKUP(Table1[[#This Row],[Manufacturer]]&amp;" "&amp;Table1[[#This Row],[Model]],Table13[MFR &amp; MDL],Table13[Tolerance % CW ],"")/100*Table1[[#This Row],[Std Nom]]),"")</f>
        <v/>
      </c>
      <c r="P1551" s="1" t="str">
        <f>IFERROR(Table1[[#This Row],[Std Nom]]+(_xlfn.XLOOKUP(Table1[[#This Row],[Manufacturer]]&amp;" "&amp;Table1[[#This Row],[Model]],Table13[MFR &amp; MDL],Table13[Tolerance % CW ],"")/100*Table1[[#This Row],[Std Nom]]),"")</f>
        <v/>
      </c>
      <c r="Q1551" s="1" t="e">
        <f>Table1[[#This Row],[High Tol]]-Table1[[#This Row],[Low Tol]]</f>
        <v>#VALUE!</v>
      </c>
      <c r="R1551" s="1">
        <f>2*Table1[[#This Row],[Std Error]]</f>
        <v>0</v>
      </c>
      <c r="S1551" s="1" t="str">
        <f>IF(Table1[[#This Row],[High Tol]]="","N/A",IFERROR(ABS(Table1[[#This Row],[Tol Span]]/Table1[[#This Row],[Error Span]]),"N/A"))</f>
        <v>N/A</v>
      </c>
      <c r="T1551" s="1" t="str">
        <f>IF(OR(Table1[[#This Row],[Low Tol]]="",Table1[[#This Row],[High Tol]]=""),"Needs Analysis",IF(Table1[[#This Row],[Ratio]]&gt;=4,"Not Significant",IF(Table1[[#This Row],[Ratio]]&gt;=2,"Semi-Significant","Significant")))</f>
        <v>Needs Analysis</v>
      </c>
      <c r="W1551" s="1">
        <f>IF(Table1[[#This Row],[Cal Type]]&lt;&gt;"ACCREDITED 17025 WITH UNCERTAINTIES",0,"")</f>
        <v>0</v>
      </c>
      <c r="X1551" s="1" t="str">
        <f>IF(Table1[[#This Row],[DUT Read]]="","N/A",Table1[[#This Row],[Std Error]]+Table1[[#This Row],[DUT Read]]+Table1[[#This Row],[DUT Ucty]])</f>
        <v>N/A</v>
      </c>
      <c r="Y1551" s="1" t="str">
        <f>IF(Table1[[#This Row],[Std Read]]="","N/A",Table1[[#This Row],[Std Read]]+Table1[[#This Row],[Std Ucty]])</f>
        <v>N/A</v>
      </c>
      <c r="Z15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1" s="1" t="str">
        <f>IF(Table1[[#This Row],[Spec Type]]="","N/A",Table1[[#This Row],[Spec Type]])</f>
        <v>±</v>
      </c>
      <c r="AC1551" s="1" t="str">
        <f>IF(Table1[[#This Row],[Spec Type2]]="N/A","N/A",IF(AND(Table1[[#This Row],[DUT Adj Read]]&gt;=Table1[[#This Row],[Low Tol]],Table1[[#This Row],[DUT Adj Read]]&lt;=Table1[[#This Row],[High Tol]]),"Pass","Fail"))</f>
        <v>Fail</v>
      </c>
      <c r="AD1551" s="1" t="str">
        <f>IF(AND(Table1[[#This Row],[Spec Type2]]="N/A",Table1[[#This Row],[DUT Adj Read]]="N/A",Table1[[#This Row],[Std Adj Read]]="N/A"),"N/A",IF(Table1[[#This Row],[DUT Adj Read]]="N/A",IF(Table1[[#This Row],[Std Adj Read]]&gt;Table1[[#This Row],[Low Tol]],"Pass","Fail"),IF(Table1[[#This Row],[DUT Adj Read]]&gt;Table1[[#This Row],[Low Tol]],"Pass","Fail")))</f>
        <v>Pass</v>
      </c>
      <c r="AE1551" s="1" t="str">
        <f>IF(AND(Table1[[#This Row],[Spec Type2]]="N/A",Table1[[#This Row],[DUT Adj Read]]="N/A",Table1[[#This Row],[Std Adj Read]]="N/A"),"N/A",IF(Table1[[#This Row],[DUT Adj Read]]="N/A",IF(Table1[[#This Row],[Std Adj Read]]&lt;Table1[[#This Row],[High Tol]],"Pass","Fail"),IF(Table1[[#This Row],[DUT Adj Read]]&lt;Table1[[#This Row],[High Tol]],"Pass","Fail")))</f>
        <v>Fail</v>
      </c>
      <c r="AF1551" s="1" t="str">
        <f>IF(AND(Table1[[#This Row],[Spec Type2]]="N/A",Table1[[#This Row],[DUT Adj Read]]="N/A",Table1[[#This Row],[Std Adj Read]]="N/A"),"N/A",IF(Table1[[#This Row],[DUT Adj Read]]="N/A",IF(Table1[[#This Row],[Std Adj Read]]&gt;=Table1[[#This Row],[Low Tol]],"Pass","Fail"),IF(Table1[[#This Row],[DUT Adj Read]]&gt;=Table1[[#This Row],[Low Tol]],"Pass","Fail")))</f>
        <v>Pass</v>
      </c>
      <c r="AG1551" s="1" t="str">
        <f>IF(AND(Table1[[#This Row],[Spec Type2]]="N/A",Table1[[#This Row],[DUT Adj Read]]="N/A",Table1[[#This Row],[Std Adj Read]]="N/A"),"N/A",IF(Table1[[#This Row],[DUT Adj Read]]="N/A",IF(Table1[[#This Row],[Std Adj Read]]&lt;=Table1[[#This Row],[High Tol]],"Pass","Fail"),IF(Table1[[#This Row],[DUT Adj Read]]&lt;=Table1[[#This Row],[High Tol]],"Pass","Fail")))</f>
        <v>Fail</v>
      </c>
      <c r="AH15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1" s="1" t="b">
        <v>0</v>
      </c>
      <c r="AN1551" s="1" t="b">
        <v>0</v>
      </c>
      <c r="AO1551" s="1" t="b">
        <v>0</v>
      </c>
    </row>
    <row r="1552" spans="1:41" x14ac:dyDescent="0.25">
      <c r="A1552" s="10"/>
      <c r="B1552" s="10"/>
      <c r="C1552" s="10"/>
      <c r="D1552" s="10"/>
      <c r="E1552" s="10"/>
      <c r="F1552" s="10"/>
      <c r="G1552" s="10"/>
      <c r="H1552" s="10"/>
      <c r="I1552" s="1" t="str">
        <f t="shared" si="72"/>
        <v/>
      </c>
      <c r="J1552" s="1" t="s">
        <v>35</v>
      </c>
      <c r="K1552" s="1" t="str">
        <f t="shared" si="73"/>
        <v/>
      </c>
      <c r="L1552" s="1" t="str">
        <f t="shared" si="74"/>
        <v/>
      </c>
      <c r="M1552" s="1">
        <f>IF(OR(Table1[[#This Row],[Std Nom]]="",Table1[[#This Row],[Std Read]]=""),0,Table1[[#This Row],[Std Nom]]-Table1[[#This Row],[Std Read]])</f>
        <v>0</v>
      </c>
      <c r="N1552" s="1">
        <f>IF(Calculations!$F$5="ACCREDITED 17025 WITH UNCERTAINTIES",$N$10,0)</f>
        <v>0</v>
      </c>
      <c r="O1552" s="1" t="str">
        <f>IFERROR(Table1[[#This Row],[Std Nom]]-(_xlfn.XLOOKUP(Table1[[#This Row],[Manufacturer]]&amp;" "&amp;Table1[[#This Row],[Model]],Table13[MFR &amp; MDL],Table13[Tolerance % CW ],"")/100*Table1[[#This Row],[Std Nom]]),"")</f>
        <v/>
      </c>
      <c r="P1552" s="1" t="str">
        <f>IFERROR(Table1[[#This Row],[Std Nom]]+(_xlfn.XLOOKUP(Table1[[#This Row],[Manufacturer]]&amp;" "&amp;Table1[[#This Row],[Model]],Table13[MFR &amp; MDL],Table13[Tolerance % CW ],"")/100*Table1[[#This Row],[Std Nom]]),"")</f>
        <v/>
      </c>
      <c r="Q1552" s="1" t="e">
        <f>Table1[[#This Row],[High Tol]]-Table1[[#This Row],[Low Tol]]</f>
        <v>#VALUE!</v>
      </c>
      <c r="R1552" s="1">
        <f>2*Table1[[#This Row],[Std Error]]</f>
        <v>0</v>
      </c>
      <c r="S1552" s="1" t="str">
        <f>IF(Table1[[#This Row],[High Tol]]="","N/A",IFERROR(ABS(Table1[[#This Row],[Tol Span]]/Table1[[#This Row],[Error Span]]),"N/A"))</f>
        <v>N/A</v>
      </c>
      <c r="T1552" s="1" t="str">
        <f>IF(OR(Table1[[#This Row],[Low Tol]]="",Table1[[#This Row],[High Tol]]=""),"Needs Analysis",IF(Table1[[#This Row],[Ratio]]&gt;=4,"Not Significant",IF(Table1[[#This Row],[Ratio]]&gt;=2,"Semi-Significant","Significant")))</f>
        <v>Needs Analysis</v>
      </c>
      <c r="W1552" s="1">
        <f>IF(Table1[[#This Row],[Cal Type]]&lt;&gt;"ACCREDITED 17025 WITH UNCERTAINTIES",0,"")</f>
        <v>0</v>
      </c>
      <c r="X1552" s="1" t="str">
        <f>IF(Table1[[#This Row],[DUT Read]]="","N/A",Table1[[#This Row],[Std Error]]+Table1[[#This Row],[DUT Read]]+Table1[[#This Row],[DUT Ucty]])</f>
        <v>N/A</v>
      </c>
      <c r="Y1552" s="1" t="str">
        <f>IF(Table1[[#This Row],[Std Read]]="","N/A",Table1[[#This Row],[Std Read]]+Table1[[#This Row],[Std Ucty]])</f>
        <v>N/A</v>
      </c>
      <c r="Z15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2" s="1" t="str">
        <f>IF(Table1[[#This Row],[Spec Type]]="","N/A",Table1[[#This Row],[Spec Type]])</f>
        <v>±</v>
      </c>
      <c r="AC1552" s="1" t="str">
        <f>IF(Table1[[#This Row],[Spec Type2]]="N/A","N/A",IF(AND(Table1[[#This Row],[DUT Adj Read]]&gt;=Table1[[#This Row],[Low Tol]],Table1[[#This Row],[DUT Adj Read]]&lt;=Table1[[#This Row],[High Tol]]),"Pass","Fail"))</f>
        <v>Fail</v>
      </c>
      <c r="AD1552" s="1" t="str">
        <f>IF(AND(Table1[[#This Row],[Spec Type2]]="N/A",Table1[[#This Row],[DUT Adj Read]]="N/A",Table1[[#This Row],[Std Adj Read]]="N/A"),"N/A",IF(Table1[[#This Row],[DUT Adj Read]]="N/A",IF(Table1[[#This Row],[Std Adj Read]]&gt;Table1[[#This Row],[Low Tol]],"Pass","Fail"),IF(Table1[[#This Row],[DUT Adj Read]]&gt;Table1[[#This Row],[Low Tol]],"Pass","Fail")))</f>
        <v>Pass</v>
      </c>
      <c r="AE1552" s="1" t="str">
        <f>IF(AND(Table1[[#This Row],[Spec Type2]]="N/A",Table1[[#This Row],[DUT Adj Read]]="N/A",Table1[[#This Row],[Std Adj Read]]="N/A"),"N/A",IF(Table1[[#This Row],[DUT Adj Read]]="N/A",IF(Table1[[#This Row],[Std Adj Read]]&lt;Table1[[#This Row],[High Tol]],"Pass","Fail"),IF(Table1[[#This Row],[DUT Adj Read]]&lt;Table1[[#This Row],[High Tol]],"Pass","Fail")))</f>
        <v>Fail</v>
      </c>
      <c r="AF1552" s="1" t="str">
        <f>IF(AND(Table1[[#This Row],[Spec Type2]]="N/A",Table1[[#This Row],[DUT Adj Read]]="N/A",Table1[[#This Row],[Std Adj Read]]="N/A"),"N/A",IF(Table1[[#This Row],[DUT Adj Read]]="N/A",IF(Table1[[#This Row],[Std Adj Read]]&gt;=Table1[[#This Row],[Low Tol]],"Pass","Fail"),IF(Table1[[#This Row],[DUT Adj Read]]&gt;=Table1[[#This Row],[Low Tol]],"Pass","Fail")))</f>
        <v>Pass</v>
      </c>
      <c r="AG1552" s="1" t="str">
        <f>IF(AND(Table1[[#This Row],[Spec Type2]]="N/A",Table1[[#This Row],[DUT Adj Read]]="N/A",Table1[[#This Row],[Std Adj Read]]="N/A"),"N/A",IF(Table1[[#This Row],[DUT Adj Read]]="N/A",IF(Table1[[#This Row],[Std Adj Read]]&lt;=Table1[[#This Row],[High Tol]],"Pass","Fail"),IF(Table1[[#This Row],[DUT Adj Read]]&lt;=Table1[[#This Row],[High Tol]],"Pass","Fail")))</f>
        <v>Fail</v>
      </c>
      <c r="AH15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2" s="1" t="b">
        <v>0</v>
      </c>
      <c r="AN1552" s="1" t="b">
        <v>0</v>
      </c>
      <c r="AO1552" s="1" t="b">
        <v>0</v>
      </c>
    </row>
    <row r="1553" spans="1:41" x14ac:dyDescent="0.25">
      <c r="A1553" s="10"/>
      <c r="B1553" s="10"/>
      <c r="C1553" s="10"/>
      <c r="D1553" s="10"/>
      <c r="E1553" s="10"/>
      <c r="F1553" s="10"/>
      <c r="G1553" s="10"/>
      <c r="H1553" s="10"/>
      <c r="I1553" s="1" t="str">
        <f t="shared" si="72"/>
        <v/>
      </c>
      <c r="J1553" s="1" t="s">
        <v>35</v>
      </c>
      <c r="K1553" s="1" t="str">
        <f t="shared" si="73"/>
        <v/>
      </c>
      <c r="L1553" s="1" t="str">
        <f t="shared" si="74"/>
        <v/>
      </c>
      <c r="M1553" s="1">
        <f>IF(OR(Table1[[#This Row],[Std Nom]]="",Table1[[#This Row],[Std Read]]=""),0,Table1[[#This Row],[Std Nom]]-Table1[[#This Row],[Std Read]])</f>
        <v>0</v>
      </c>
      <c r="N1553" s="1">
        <f>IF(Calculations!$F$5="ACCREDITED 17025 WITH UNCERTAINTIES",$N$10,0)</f>
        <v>0</v>
      </c>
      <c r="O1553" s="1" t="str">
        <f>IFERROR(Table1[[#This Row],[Std Nom]]-(_xlfn.XLOOKUP(Table1[[#This Row],[Manufacturer]]&amp;" "&amp;Table1[[#This Row],[Model]],Table13[MFR &amp; MDL],Table13[Tolerance % CW ],"")/100*Table1[[#This Row],[Std Nom]]),"")</f>
        <v/>
      </c>
      <c r="P1553" s="1" t="str">
        <f>IFERROR(Table1[[#This Row],[Std Nom]]+(_xlfn.XLOOKUP(Table1[[#This Row],[Manufacturer]]&amp;" "&amp;Table1[[#This Row],[Model]],Table13[MFR &amp; MDL],Table13[Tolerance % CW ],"")/100*Table1[[#This Row],[Std Nom]]),"")</f>
        <v/>
      </c>
      <c r="Q1553" s="1" t="e">
        <f>Table1[[#This Row],[High Tol]]-Table1[[#This Row],[Low Tol]]</f>
        <v>#VALUE!</v>
      </c>
      <c r="R1553" s="1">
        <f>2*Table1[[#This Row],[Std Error]]</f>
        <v>0</v>
      </c>
      <c r="S1553" s="1" t="str">
        <f>IF(Table1[[#This Row],[High Tol]]="","N/A",IFERROR(ABS(Table1[[#This Row],[Tol Span]]/Table1[[#This Row],[Error Span]]),"N/A"))</f>
        <v>N/A</v>
      </c>
      <c r="T1553" s="1" t="str">
        <f>IF(OR(Table1[[#This Row],[Low Tol]]="",Table1[[#This Row],[High Tol]]=""),"Needs Analysis",IF(Table1[[#This Row],[Ratio]]&gt;=4,"Not Significant",IF(Table1[[#This Row],[Ratio]]&gt;=2,"Semi-Significant","Significant")))</f>
        <v>Needs Analysis</v>
      </c>
      <c r="W1553" s="1">
        <f>IF(Table1[[#This Row],[Cal Type]]&lt;&gt;"ACCREDITED 17025 WITH UNCERTAINTIES",0,"")</f>
        <v>0</v>
      </c>
      <c r="X1553" s="1" t="str">
        <f>IF(Table1[[#This Row],[DUT Read]]="","N/A",Table1[[#This Row],[Std Error]]+Table1[[#This Row],[DUT Read]]+Table1[[#This Row],[DUT Ucty]])</f>
        <v>N/A</v>
      </c>
      <c r="Y1553" s="1" t="str">
        <f>IF(Table1[[#This Row],[Std Read]]="","N/A",Table1[[#This Row],[Std Read]]+Table1[[#This Row],[Std Ucty]])</f>
        <v>N/A</v>
      </c>
      <c r="Z15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3" s="1" t="str">
        <f>IF(Table1[[#This Row],[Spec Type]]="","N/A",Table1[[#This Row],[Spec Type]])</f>
        <v>±</v>
      </c>
      <c r="AC1553" s="1" t="str">
        <f>IF(Table1[[#This Row],[Spec Type2]]="N/A","N/A",IF(AND(Table1[[#This Row],[DUT Adj Read]]&gt;=Table1[[#This Row],[Low Tol]],Table1[[#This Row],[DUT Adj Read]]&lt;=Table1[[#This Row],[High Tol]]),"Pass","Fail"))</f>
        <v>Fail</v>
      </c>
      <c r="AD1553" s="1" t="str">
        <f>IF(AND(Table1[[#This Row],[Spec Type2]]="N/A",Table1[[#This Row],[DUT Adj Read]]="N/A",Table1[[#This Row],[Std Adj Read]]="N/A"),"N/A",IF(Table1[[#This Row],[DUT Adj Read]]="N/A",IF(Table1[[#This Row],[Std Adj Read]]&gt;Table1[[#This Row],[Low Tol]],"Pass","Fail"),IF(Table1[[#This Row],[DUT Adj Read]]&gt;Table1[[#This Row],[Low Tol]],"Pass","Fail")))</f>
        <v>Pass</v>
      </c>
      <c r="AE1553" s="1" t="str">
        <f>IF(AND(Table1[[#This Row],[Spec Type2]]="N/A",Table1[[#This Row],[DUT Adj Read]]="N/A",Table1[[#This Row],[Std Adj Read]]="N/A"),"N/A",IF(Table1[[#This Row],[DUT Adj Read]]="N/A",IF(Table1[[#This Row],[Std Adj Read]]&lt;Table1[[#This Row],[High Tol]],"Pass","Fail"),IF(Table1[[#This Row],[DUT Adj Read]]&lt;Table1[[#This Row],[High Tol]],"Pass","Fail")))</f>
        <v>Fail</v>
      </c>
      <c r="AF1553" s="1" t="str">
        <f>IF(AND(Table1[[#This Row],[Spec Type2]]="N/A",Table1[[#This Row],[DUT Adj Read]]="N/A",Table1[[#This Row],[Std Adj Read]]="N/A"),"N/A",IF(Table1[[#This Row],[DUT Adj Read]]="N/A",IF(Table1[[#This Row],[Std Adj Read]]&gt;=Table1[[#This Row],[Low Tol]],"Pass","Fail"),IF(Table1[[#This Row],[DUT Adj Read]]&gt;=Table1[[#This Row],[Low Tol]],"Pass","Fail")))</f>
        <v>Pass</v>
      </c>
      <c r="AG1553" s="1" t="str">
        <f>IF(AND(Table1[[#This Row],[Spec Type2]]="N/A",Table1[[#This Row],[DUT Adj Read]]="N/A",Table1[[#This Row],[Std Adj Read]]="N/A"),"N/A",IF(Table1[[#This Row],[DUT Adj Read]]="N/A",IF(Table1[[#This Row],[Std Adj Read]]&lt;=Table1[[#This Row],[High Tol]],"Pass","Fail"),IF(Table1[[#This Row],[DUT Adj Read]]&lt;=Table1[[#This Row],[High Tol]],"Pass","Fail")))</f>
        <v>Fail</v>
      </c>
      <c r="AH15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3" s="1" t="b">
        <v>0</v>
      </c>
      <c r="AN1553" s="1" t="b">
        <v>0</v>
      </c>
      <c r="AO1553" s="1" t="b">
        <v>0</v>
      </c>
    </row>
    <row r="1554" spans="1:41" x14ac:dyDescent="0.25">
      <c r="A1554" s="10"/>
      <c r="B1554" s="10"/>
      <c r="C1554" s="10"/>
      <c r="D1554" s="10"/>
      <c r="E1554" s="10"/>
      <c r="F1554" s="10"/>
      <c r="G1554" s="10"/>
      <c r="H1554" s="10"/>
      <c r="I1554" s="1" t="str">
        <f t="shared" si="72"/>
        <v/>
      </c>
      <c r="J1554" s="1" t="s">
        <v>35</v>
      </c>
      <c r="K1554" s="1" t="str">
        <f t="shared" si="73"/>
        <v/>
      </c>
      <c r="L1554" s="1" t="str">
        <f t="shared" si="74"/>
        <v/>
      </c>
      <c r="M1554" s="1">
        <f>IF(OR(Table1[[#This Row],[Std Nom]]="",Table1[[#This Row],[Std Read]]=""),0,Table1[[#This Row],[Std Nom]]-Table1[[#This Row],[Std Read]])</f>
        <v>0</v>
      </c>
      <c r="N1554" s="1">
        <f>IF(Calculations!$F$5="ACCREDITED 17025 WITH UNCERTAINTIES",$N$10,0)</f>
        <v>0</v>
      </c>
      <c r="O1554" s="1" t="str">
        <f>IFERROR(Table1[[#This Row],[Std Nom]]-(_xlfn.XLOOKUP(Table1[[#This Row],[Manufacturer]]&amp;" "&amp;Table1[[#This Row],[Model]],Table13[MFR &amp; MDL],Table13[Tolerance % CW ],"")/100*Table1[[#This Row],[Std Nom]]),"")</f>
        <v/>
      </c>
      <c r="P1554" s="1" t="str">
        <f>IFERROR(Table1[[#This Row],[Std Nom]]+(_xlfn.XLOOKUP(Table1[[#This Row],[Manufacturer]]&amp;" "&amp;Table1[[#This Row],[Model]],Table13[MFR &amp; MDL],Table13[Tolerance % CW ],"")/100*Table1[[#This Row],[Std Nom]]),"")</f>
        <v/>
      </c>
      <c r="Q1554" s="1" t="e">
        <f>Table1[[#This Row],[High Tol]]-Table1[[#This Row],[Low Tol]]</f>
        <v>#VALUE!</v>
      </c>
      <c r="R1554" s="1">
        <f>2*Table1[[#This Row],[Std Error]]</f>
        <v>0</v>
      </c>
      <c r="S1554" s="1" t="str">
        <f>IF(Table1[[#This Row],[High Tol]]="","N/A",IFERROR(ABS(Table1[[#This Row],[Tol Span]]/Table1[[#This Row],[Error Span]]),"N/A"))</f>
        <v>N/A</v>
      </c>
      <c r="T1554" s="1" t="str">
        <f>IF(OR(Table1[[#This Row],[Low Tol]]="",Table1[[#This Row],[High Tol]]=""),"Needs Analysis",IF(Table1[[#This Row],[Ratio]]&gt;=4,"Not Significant",IF(Table1[[#This Row],[Ratio]]&gt;=2,"Semi-Significant","Significant")))</f>
        <v>Needs Analysis</v>
      </c>
      <c r="W1554" s="1">
        <f>IF(Table1[[#This Row],[Cal Type]]&lt;&gt;"ACCREDITED 17025 WITH UNCERTAINTIES",0,"")</f>
        <v>0</v>
      </c>
      <c r="X1554" s="1" t="str">
        <f>IF(Table1[[#This Row],[DUT Read]]="","N/A",Table1[[#This Row],[Std Error]]+Table1[[#This Row],[DUT Read]]+Table1[[#This Row],[DUT Ucty]])</f>
        <v>N/A</v>
      </c>
      <c r="Y1554" s="1" t="str">
        <f>IF(Table1[[#This Row],[Std Read]]="","N/A",Table1[[#This Row],[Std Read]]+Table1[[#This Row],[Std Ucty]])</f>
        <v>N/A</v>
      </c>
      <c r="Z15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4" s="1" t="str">
        <f>IF(Table1[[#This Row],[Spec Type]]="","N/A",Table1[[#This Row],[Spec Type]])</f>
        <v>±</v>
      </c>
      <c r="AC1554" s="1" t="str">
        <f>IF(Table1[[#This Row],[Spec Type2]]="N/A","N/A",IF(AND(Table1[[#This Row],[DUT Adj Read]]&gt;=Table1[[#This Row],[Low Tol]],Table1[[#This Row],[DUT Adj Read]]&lt;=Table1[[#This Row],[High Tol]]),"Pass","Fail"))</f>
        <v>Fail</v>
      </c>
      <c r="AD1554" s="1" t="str">
        <f>IF(AND(Table1[[#This Row],[Spec Type2]]="N/A",Table1[[#This Row],[DUT Adj Read]]="N/A",Table1[[#This Row],[Std Adj Read]]="N/A"),"N/A",IF(Table1[[#This Row],[DUT Adj Read]]="N/A",IF(Table1[[#This Row],[Std Adj Read]]&gt;Table1[[#This Row],[Low Tol]],"Pass","Fail"),IF(Table1[[#This Row],[DUT Adj Read]]&gt;Table1[[#This Row],[Low Tol]],"Pass","Fail")))</f>
        <v>Pass</v>
      </c>
      <c r="AE1554" s="1" t="str">
        <f>IF(AND(Table1[[#This Row],[Spec Type2]]="N/A",Table1[[#This Row],[DUT Adj Read]]="N/A",Table1[[#This Row],[Std Adj Read]]="N/A"),"N/A",IF(Table1[[#This Row],[DUT Adj Read]]="N/A",IF(Table1[[#This Row],[Std Adj Read]]&lt;Table1[[#This Row],[High Tol]],"Pass","Fail"),IF(Table1[[#This Row],[DUT Adj Read]]&lt;Table1[[#This Row],[High Tol]],"Pass","Fail")))</f>
        <v>Fail</v>
      </c>
      <c r="AF1554" s="1" t="str">
        <f>IF(AND(Table1[[#This Row],[Spec Type2]]="N/A",Table1[[#This Row],[DUT Adj Read]]="N/A",Table1[[#This Row],[Std Adj Read]]="N/A"),"N/A",IF(Table1[[#This Row],[DUT Adj Read]]="N/A",IF(Table1[[#This Row],[Std Adj Read]]&gt;=Table1[[#This Row],[Low Tol]],"Pass","Fail"),IF(Table1[[#This Row],[DUT Adj Read]]&gt;=Table1[[#This Row],[Low Tol]],"Pass","Fail")))</f>
        <v>Pass</v>
      </c>
      <c r="AG1554" s="1" t="str">
        <f>IF(AND(Table1[[#This Row],[Spec Type2]]="N/A",Table1[[#This Row],[DUT Adj Read]]="N/A",Table1[[#This Row],[Std Adj Read]]="N/A"),"N/A",IF(Table1[[#This Row],[DUT Adj Read]]="N/A",IF(Table1[[#This Row],[Std Adj Read]]&lt;=Table1[[#This Row],[High Tol]],"Pass","Fail"),IF(Table1[[#This Row],[DUT Adj Read]]&lt;=Table1[[#This Row],[High Tol]],"Pass","Fail")))</f>
        <v>Fail</v>
      </c>
      <c r="AH15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4" s="1" t="b">
        <v>0</v>
      </c>
      <c r="AN1554" s="1" t="b">
        <v>0</v>
      </c>
      <c r="AO1554" s="1" t="b">
        <v>0</v>
      </c>
    </row>
    <row r="1555" spans="1:41" x14ac:dyDescent="0.25">
      <c r="A1555" s="10"/>
      <c r="B1555" s="10"/>
      <c r="C1555" s="10"/>
      <c r="D1555" s="10"/>
      <c r="E1555" s="10"/>
      <c r="F1555" s="10"/>
      <c r="G1555" s="10"/>
      <c r="H1555" s="10"/>
      <c r="I1555" s="1" t="str">
        <f t="shared" si="72"/>
        <v/>
      </c>
      <c r="J1555" s="1" t="s">
        <v>35</v>
      </c>
      <c r="K1555" s="1" t="str">
        <f t="shared" si="73"/>
        <v/>
      </c>
      <c r="L1555" s="1" t="str">
        <f t="shared" si="74"/>
        <v/>
      </c>
      <c r="M1555" s="1">
        <f>IF(OR(Table1[[#This Row],[Std Nom]]="",Table1[[#This Row],[Std Read]]=""),0,Table1[[#This Row],[Std Nom]]-Table1[[#This Row],[Std Read]])</f>
        <v>0</v>
      </c>
      <c r="N1555" s="1">
        <f>IF(Calculations!$F$5="ACCREDITED 17025 WITH UNCERTAINTIES",$N$10,0)</f>
        <v>0</v>
      </c>
      <c r="O1555" s="1" t="str">
        <f>IFERROR(Table1[[#This Row],[Std Nom]]-(_xlfn.XLOOKUP(Table1[[#This Row],[Manufacturer]]&amp;" "&amp;Table1[[#This Row],[Model]],Table13[MFR &amp; MDL],Table13[Tolerance % CW ],"")/100*Table1[[#This Row],[Std Nom]]),"")</f>
        <v/>
      </c>
      <c r="P1555" s="1" t="str">
        <f>IFERROR(Table1[[#This Row],[Std Nom]]+(_xlfn.XLOOKUP(Table1[[#This Row],[Manufacturer]]&amp;" "&amp;Table1[[#This Row],[Model]],Table13[MFR &amp; MDL],Table13[Tolerance % CW ],"")/100*Table1[[#This Row],[Std Nom]]),"")</f>
        <v/>
      </c>
      <c r="Q1555" s="1" t="e">
        <f>Table1[[#This Row],[High Tol]]-Table1[[#This Row],[Low Tol]]</f>
        <v>#VALUE!</v>
      </c>
      <c r="R1555" s="1">
        <f>2*Table1[[#This Row],[Std Error]]</f>
        <v>0</v>
      </c>
      <c r="S1555" s="1" t="str">
        <f>IF(Table1[[#This Row],[High Tol]]="","N/A",IFERROR(ABS(Table1[[#This Row],[Tol Span]]/Table1[[#This Row],[Error Span]]),"N/A"))</f>
        <v>N/A</v>
      </c>
      <c r="T1555" s="1" t="str">
        <f>IF(OR(Table1[[#This Row],[Low Tol]]="",Table1[[#This Row],[High Tol]]=""),"Needs Analysis",IF(Table1[[#This Row],[Ratio]]&gt;=4,"Not Significant",IF(Table1[[#This Row],[Ratio]]&gt;=2,"Semi-Significant","Significant")))</f>
        <v>Needs Analysis</v>
      </c>
      <c r="W1555" s="1">
        <f>IF(Table1[[#This Row],[Cal Type]]&lt;&gt;"ACCREDITED 17025 WITH UNCERTAINTIES",0,"")</f>
        <v>0</v>
      </c>
      <c r="X1555" s="1" t="str">
        <f>IF(Table1[[#This Row],[DUT Read]]="","N/A",Table1[[#This Row],[Std Error]]+Table1[[#This Row],[DUT Read]]+Table1[[#This Row],[DUT Ucty]])</f>
        <v>N/A</v>
      </c>
      <c r="Y1555" s="1" t="str">
        <f>IF(Table1[[#This Row],[Std Read]]="","N/A",Table1[[#This Row],[Std Read]]+Table1[[#This Row],[Std Ucty]])</f>
        <v>N/A</v>
      </c>
      <c r="Z15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5" s="1" t="str">
        <f>IF(Table1[[#This Row],[Spec Type]]="","N/A",Table1[[#This Row],[Spec Type]])</f>
        <v>±</v>
      </c>
      <c r="AC1555" s="1" t="str">
        <f>IF(Table1[[#This Row],[Spec Type2]]="N/A","N/A",IF(AND(Table1[[#This Row],[DUT Adj Read]]&gt;=Table1[[#This Row],[Low Tol]],Table1[[#This Row],[DUT Adj Read]]&lt;=Table1[[#This Row],[High Tol]]),"Pass","Fail"))</f>
        <v>Fail</v>
      </c>
      <c r="AD1555" s="1" t="str">
        <f>IF(AND(Table1[[#This Row],[Spec Type2]]="N/A",Table1[[#This Row],[DUT Adj Read]]="N/A",Table1[[#This Row],[Std Adj Read]]="N/A"),"N/A",IF(Table1[[#This Row],[DUT Adj Read]]="N/A",IF(Table1[[#This Row],[Std Adj Read]]&gt;Table1[[#This Row],[Low Tol]],"Pass","Fail"),IF(Table1[[#This Row],[DUT Adj Read]]&gt;Table1[[#This Row],[Low Tol]],"Pass","Fail")))</f>
        <v>Pass</v>
      </c>
      <c r="AE1555" s="1" t="str">
        <f>IF(AND(Table1[[#This Row],[Spec Type2]]="N/A",Table1[[#This Row],[DUT Adj Read]]="N/A",Table1[[#This Row],[Std Adj Read]]="N/A"),"N/A",IF(Table1[[#This Row],[DUT Adj Read]]="N/A",IF(Table1[[#This Row],[Std Adj Read]]&lt;Table1[[#This Row],[High Tol]],"Pass","Fail"),IF(Table1[[#This Row],[DUT Adj Read]]&lt;Table1[[#This Row],[High Tol]],"Pass","Fail")))</f>
        <v>Fail</v>
      </c>
      <c r="AF1555" s="1" t="str">
        <f>IF(AND(Table1[[#This Row],[Spec Type2]]="N/A",Table1[[#This Row],[DUT Adj Read]]="N/A",Table1[[#This Row],[Std Adj Read]]="N/A"),"N/A",IF(Table1[[#This Row],[DUT Adj Read]]="N/A",IF(Table1[[#This Row],[Std Adj Read]]&gt;=Table1[[#This Row],[Low Tol]],"Pass","Fail"),IF(Table1[[#This Row],[DUT Adj Read]]&gt;=Table1[[#This Row],[Low Tol]],"Pass","Fail")))</f>
        <v>Pass</v>
      </c>
      <c r="AG1555" s="1" t="str">
        <f>IF(AND(Table1[[#This Row],[Spec Type2]]="N/A",Table1[[#This Row],[DUT Adj Read]]="N/A",Table1[[#This Row],[Std Adj Read]]="N/A"),"N/A",IF(Table1[[#This Row],[DUT Adj Read]]="N/A",IF(Table1[[#This Row],[Std Adj Read]]&lt;=Table1[[#This Row],[High Tol]],"Pass","Fail"),IF(Table1[[#This Row],[DUT Adj Read]]&lt;=Table1[[#This Row],[High Tol]],"Pass","Fail")))</f>
        <v>Fail</v>
      </c>
      <c r="AH15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5" s="1" t="b">
        <v>0</v>
      </c>
      <c r="AN1555" s="1" t="b">
        <v>0</v>
      </c>
      <c r="AO1555" s="1" t="b">
        <v>0</v>
      </c>
    </row>
    <row r="1556" spans="1:41" x14ac:dyDescent="0.25">
      <c r="A1556" s="10"/>
      <c r="B1556" s="10"/>
      <c r="C1556" s="10"/>
      <c r="D1556" s="10"/>
      <c r="E1556" s="10"/>
      <c r="F1556" s="10"/>
      <c r="G1556" s="10"/>
      <c r="H1556" s="10"/>
      <c r="I1556" s="1" t="str">
        <f t="shared" si="72"/>
        <v/>
      </c>
      <c r="J1556" s="1" t="s">
        <v>35</v>
      </c>
      <c r="K1556" s="1" t="str">
        <f t="shared" si="73"/>
        <v/>
      </c>
      <c r="L1556" s="1" t="str">
        <f t="shared" si="74"/>
        <v/>
      </c>
      <c r="M1556" s="1">
        <f>IF(OR(Table1[[#This Row],[Std Nom]]="",Table1[[#This Row],[Std Read]]=""),0,Table1[[#This Row],[Std Nom]]-Table1[[#This Row],[Std Read]])</f>
        <v>0</v>
      </c>
      <c r="N1556" s="1">
        <f>IF(Calculations!$F$5="ACCREDITED 17025 WITH UNCERTAINTIES",$N$10,0)</f>
        <v>0</v>
      </c>
      <c r="O1556" s="1" t="str">
        <f>IFERROR(Table1[[#This Row],[Std Nom]]-(_xlfn.XLOOKUP(Table1[[#This Row],[Manufacturer]]&amp;" "&amp;Table1[[#This Row],[Model]],Table13[MFR &amp; MDL],Table13[Tolerance % CW ],"")/100*Table1[[#This Row],[Std Nom]]),"")</f>
        <v/>
      </c>
      <c r="P1556" s="1" t="str">
        <f>IFERROR(Table1[[#This Row],[Std Nom]]+(_xlfn.XLOOKUP(Table1[[#This Row],[Manufacturer]]&amp;" "&amp;Table1[[#This Row],[Model]],Table13[MFR &amp; MDL],Table13[Tolerance % CW ],"")/100*Table1[[#This Row],[Std Nom]]),"")</f>
        <v/>
      </c>
      <c r="Q1556" s="1" t="e">
        <f>Table1[[#This Row],[High Tol]]-Table1[[#This Row],[Low Tol]]</f>
        <v>#VALUE!</v>
      </c>
      <c r="R1556" s="1">
        <f>2*Table1[[#This Row],[Std Error]]</f>
        <v>0</v>
      </c>
      <c r="S1556" s="1" t="str">
        <f>IF(Table1[[#This Row],[High Tol]]="","N/A",IFERROR(ABS(Table1[[#This Row],[Tol Span]]/Table1[[#This Row],[Error Span]]),"N/A"))</f>
        <v>N/A</v>
      </c>
      <c r="T1556" s="1" t="str">
        <f>IF(OR(Table1[[#This Row],[Low Tol]]="",Table1[[#This Row],[High Tol]]=""),"Needs Analysis",IF(Table1[[#This Row],[Ratio]]&gt;=4,"Not Significant",IF(Table1[[#This Row],[Ratio]]&gt;=2,"Semi-Significant","Significant")))</f>
        <v>Needs Analysis</v>
      </c>
      <c r="W1556" s="1">
        <f>IF(Table1[[#This Row],[Cal Type]]&lt;&gt;"ACCREDITED 17025 WITH UNCERTAINTIES",0,"")</f>
        <v>0</v>
      </c>
      <c r="X1556" s="1" t="str">
        <f>IF(Table1[[#This Row],[DUT Read]]="","N/A",Table1[[#This Row],[Std Error]]+Table1[[#This Row],[DUT Read]]+Table1[[#This Row],[DUT Ucty]])</f>
        <v>N/A</v>
      </c>
      <c r="Y1556" s="1" t="str">
        <f>IF(Table1[[#This Row],[Std Read]]="","N/A",Table1[[#This Row],[Std Read]]+Table1[[#This Row],[Std Ucty]])</f>
        <v>N/A</v>
      </c>
      <c r="Z15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6" s="1" t="str">
        <f>IF(Table1[[#This Row],[Spec Type]]="","N/A",Table1[[#This Row],[Spec Type]])</f>
        <v>±</v>
      </c>
      <c r="AC1556" s="1" t="str">
        <f>IF(Table1[[#This Row],[Spec Type2]]="N/A","N/A",IF(AND(Table1[[#This Row],[DUT Adj Read]]&gt;=Table1[[#This Row],[Low Tol]],Table1[[#This Row],[DUT Adj Read]]&lt;=Table1[[#This Row],[High Tol]]),"Pass","Fail"))</f>
        <v>Fail</v>
      </c>
      <c r="AD1556" s="1" t="str">
        <f>IF(AND(Table1[[#This Row],[Spec Type2]]="N/A",Table1[[#This Row],[DUT Adj Read]]="N/A",Table1[[#This Row],[Std Adj Read]]="N/A"),"N/A",IF(Table1[[#This Row],[DUT Adj Read]]="N/A",IF(Table1[[#This Row],[Std Adj Read]]&gt;Table1[[#This Row],[Low Tol]],"Pass","Fail"),IF(Table1[[#This Row],[DUT Adj Read]]&gt;Table1[[#This Row],[Low Tol]],"Pass","Fail")))</f>
        <v>Pass</v>
      </c>
      <c r="AE1556" s="1" t="str">
        <f>IF(AND(Table1[[#This Row],[Spec Type2]]="N/A",Table1[[#This Row],[DUT Adj Read]]="N/A",Table1[[#This Row],[Std Adj Read]]="N/A"),"N/A",IF(Table1[[#This Row],[DUT Adj Read]]="N/A",IF(Table1[[#This Row],[Std Adj Read]]&lt;Table1[[#This Row],[High Tol]],"Pass","Fail"),IF(Table1[[#This Row],[DUT Adj Read]]&lt;Table1[[#This Row],[High Tol]],"Pass","Fail")))</f>
        <v>Fail</v>
      </c>
      <c r="AF1556" s="1" t="str">
        <f>IF(AND(Table1[[#This Row],[Spec Type2]]="N/A",Table1[[#This Row],[DUT Adj Read]]="N/A",Table1[[#This Row],[Std Adj Read]]="N/A"),"N/A",IF(Table1[[#This Row],[DUT Adj Read]]="N/A",IF(Table1[[#This Row],[Std Adj Read]]&gt;=Table1[[#This Row],[Low Tol]],"Pass","Fail"),IF(Table1[[#This Row],[DUT Adj Read]]&gt;=Table1[[#This Row],[Low Tol]],"Pass","Fail")))</f>
        <v>Pass</v>
      </c>
      <c r="AG1556" s="1" t="str">
        <f>IF(AND(Table1[[#This Row],[Spec Type2]]="N/A",Table1[[#This Row],[DUT Adj Read]]="N/A",Table1[[#This Row],[Std Adj Read]]="N/A"),"N/A",IF(Table1[[#This Row],[DUT Adj Read]]="N/A",IF(Table1[[#This Row],[Std Adj Read]]&lt;=Table1[[#This Row],[High Tol]],"Pass","Fail"),IF(Table1[[#This Row],[DUT Adj Read]]&lt;=Table1[[#This Row],[High Tol]],"Pass","Fail")))</f>
        <v>Fail</v>
      </c>
      <c r="AH15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6" s="1" t="b">
        <v>0</v>
      </c>
      <c r="AN1556" s="1" t="b">
        <v>0</v>
      </c>
      <c r="AO1556" s="1" t="b">
        <v>0</v>
      </c>
    </row>
    <row r="1557" spans="1:41" x14ac:dyDescent="0.25">
      <c r="A1557" s="10"/>
      <c r="B1557" s="10"/>
      <c r="C1557" s="10"/>
      <c r="D1557" s="10"/>
      <c r="E1557" s="10"/>
      <c r="F1557" s="10"/>
      <c r="G1557" s="10"/>
      <c r="H1557" s="10"/>
      <c r="I1557" s="1" t="str">
        <f t="shared" si="72"/>
        <v/>
      </c>
      <c r="J1557" s="1" t="s">
        <v>35</v>
      </c>
      <c r="K1557" s="1" t="str">
        <f t="shared" si="73"/>
        <v/>
      </c>
      <c r="L1557" s="1" t="str">
        <f t="shared" si="74"/>
        <v/>
      </c>
      <c r="M1557" s="1">
        <f>IF(OR(Table1[[#This Row],[Std Nom]]="",Table1[[#This Row],[Std Read]]=""),0,Table1[[#This Row],[Std Nom]]-Table1[[#This Row],[Std Read]])</f>
        <v>0</v>
      </c>
      <c r="N1557" s="1">
        <f>IF(Calculations!$F$5="ACCREDITED 17025 WITH UNCERTAINTIES",$N$10,0)</f>
        <v>0</v>
      </c>
      <c r="O1557" s="1" t="str">
        <f>IFERROR(Table1[[#This Row],[Std Nom]]-(_xlfn.XLOOKUP(Table1[[#This Row],[Manufacturer]]&amp;" "&amp;Table1[[#This Row],[Model]],Table13[MFR &amp; MDL],Table13[Tolerance % CW ],"")/100*Table1[[#This Row],[Std Nom]]),"")</f>
        <v/>
      </c>
      <c r="P1557" s="1" t="str">
        <f>IFERROR(Table1[[#This Row],[Std Nom]]+(_xlfn.XLOOKUP(Table1[[#This Row],[Manufacturer]]&amp;" "&amp;Table1[[#This Row],[Model]],Table13[MFR &amp; MDL],Table13[Tolerance % CW ],"")/100*Table1[[#This Row],[Std Nom]]),"")</f>
        <v/>
      </c>
      <c r="Q1557" s="1" t="e">
        <f>Table1[[#This Row],[High Tol]]-Table1[[#This Row],[Low Tol]]</f>
        <v>#VALUE!</v>
      </c>
      <c r="R1557" s="1">
        <f>2*Table1[[#This Row],[Std Error]]</f>
        <v>0</v>
      </c>
      <c r="S1557" s="1" t="str">
        <f>IF(Table1[[#This Row],[High Tol]]="","N/A",IFERROR(ABS(Table1[[#This Row],[Tol Span]]/Table1[[#This Row],[Error Span]]),"N/A"))</f>
        <v>N/A</v>
      </c>
      <c r="T1557" s="1" t="str">
        <f>IF(OR(Table1[[#This Row],[Low Tol]]="",Table1[[#This Row],[High Tol]]=""),"Needs Analysis",IF(Table1[[#This Row],[Ratio]]&gt;=4,"Not Significant",IF(Table1[[#This Row],[Ratio]]&gt;=2,"Semi-Significant","Significant")))</f>
        <v>Needs Analysis</v>
      </c>
      <c r="W1557" s="1">
        <f>IF(Table1[[#This Row],[Cal Type]]&lt;&gt;"ACCREDITED 17025 WITH UNCERTAINTIES",0,"")</f>
        <v>0</v>
      </c>
      <c r="X1557" s="1" t="str">
        <f>IF(Table1[[#This Row],[DUT Read]]="","N/A",Table1[[#This Row],[Std Error]]+Table1[[#This Row],[DUT Read]]+Table1[[#This Row],[DUT Ucty]])</f>
        <v>N/A</v>
      </c>
      <c r="Y1557" s="1" t="str">
        <f>IF(Table1[[#This Row],[Std Read]]="","N/A",Table1[[#This Row],[Std Read]]+Table1[[#This Row],[Std Ucty]])</f>
        <v>N/A</v>
      </c>
      <c r="Z15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7" s="1" t="str">
        <f>IF(Table1[[#This Row],[Spec Type]]="","N/A",Table1[[#This Row],[Spec Type]])</f>
        <v>±</v>
      </c>
      <c r="AC1557" s="1" t="str">
        <f>IF(Table1[[#This Row],[Spec Type2]]="N/A","N/A",IF(AND(Table1[[#This Row],[DUT Adj Read]]&gt;=Table1[[#This Row],[Low Tol]],Table1[[#This Row],[DUT Adj Read]]&lt;=Table1[[#This Row],[High Tol]]),"Pass","Fail"))</f>
        <v>Fail</v>
      </c>
      <c r="AD1557" s="1" t="str">
        <f>IF(AND(Table1[[#This Row],[Spec Type2]]="N/A",Table1[[#This Row],[DUT Adj Read]]="N/A",Table1[[#This Row],[Std Adj Read]]="N/A"),"N/A",IF(Table1[[#This Row],[DUT Adj Read]]="N/A",IF(Table1[[#This Row],[Std Adj Read]]&gt;Table1[[#This Row],[Low Tol]],"Pass","Fail"),IF(Table1[[#This Row],[DUT Adj Read]]&gt;Table1[[#This Row],[Low Tol]],"Pass","Fail")))</f>
        <v>Pass</v>
      </c>
      <c r="AE1557" s="1" t="str">
        <f>IF(AND(Table1[[#This Row],[Spec Type2]]="N/A",Table1[[#This Row],[DUT Adj Read]]="N/A",Table1[[#This Row],[Std Adj Read]]="N/A"),"N/A",IF(Table1[[#This Row],[DUT Adj Read]]="N/A",IF(Table1[[#This Row],[Std Adj Read]]&lt;Table1[[#This Row],[High Tol]],"Pass","Fail"),IF(Table1[[#This Row],[DUT Adj Read]]&lt;Table1[[#This Row],[High Tol]],"Pass","Fail")))</f>
        <v>Fail</v>
      </c>
      <c r="AF1557" s="1" t="str">
        <f>IF(AND(Table1[[#This Row],[Spec Type2]]="N/A",Table1[[#This Row],[DUT Adj Read]]="N/A",Table1[[#This Row],[Std Adj Read]]="N/A"),"N/A",IF(Table1[[#This Row],[DUT Adj Read]]="N/A",IF(Table1[[#This Row],[Std Adj Read]]&gt;=Table1[[#This Row],[Low Tol]],"Pass","Fail"),IF(Table1[[#This Row],[DUT Adj Read]]&gt;=Table1[[#This Row],[Low Tol]],"Pass","Fail")))</f>
        <v>Pass</v>
      </c>
      <c r="AG1557" s="1" t="str">
        <f>IF(AND(Table1[[#This Row],[Spec Type2]]="N/A",Table1[[#This Row],[DUT Adj Read]]="N/A",Table1[[#This Row],[Std Adj Read]]="N/A"),"N/A",IF(Table1[[#This Row],[DUT Adj Read]]="N/A",IF(Table1[[#This Row],[Std Adj Read]]&lt;=Table1[[#This Row],[High Tol]],"Pass","Fail"),IF(Table1[[#This Row],[DUT Adj Read]]&lt;=Table1[[#This Row],[High Tol]],"Pass","Fail")))</f>
        <v>Fail</v>
      </c>
      <c r="AH15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7" s="1" t="b">
        <v>0</v>
      </c>
      <c r="AN1557" s="1" t="b">
        <v>0</v>
      </c>
      <c r="AO1557" s="1" t="b">
        <v>0</v>
      </c>
    </row>
    <row r="1558" spans="1:41" x14ac:dyDescent="0.25">
      <c r="A1558" s="10"/>
      <c r="B1558" s="10"/>
      <c r="C1558" s="10"/>
      <c r="D1558" s="10"/>
      <c r="E1558" s="10"/>
      <c r="F1558" s="10"/>
      <c r="G1558" s="10"/>
      <c r="H1558" s="10"/>
      <c r="I1558" s="1" t="str">
        <f t="shared" si="72"/>
        <v/>
      </c>
      <c r="J1558" s="1" t="s">
        <v>35</v>
      </c>
      <c r="K1558" s="1" t="str">
        <f t="shared" si="73"/>
        <v/>
      </c>
      <c r="L1558" s="1" t="str">
        <f t="shared" si="74"/>
        <v/>
      </c>
      <c r="M1558" s="1">
        <f>IF(OR(Table1[[#This Row],[Std Nom]]="",Table1[[#This Row],[Std Read]]=""),0,Table1[[#This Row],[Std Nom]]-Table1[[#This Row],[Std Read]])</f>
        <v>0</v>
      </c>
      <c r="N1558" s="1">
        <f>IF(Calculations!$F$5="ACCREDITED 17025 WITH UNCERTAINTIES",$N$10,0)</f>
        <v>0</v>
      </c>
      <c r="O1558" s="1" t="str">
        <f>IFERROR(Table1[[#This Row],[Std Nom]]-(_xlfn.XLOOKUP(Table1[[#This Row],[Manufacturer]]&amp;" "&amp;Table1[[#This Row],[Model]],Table13[MFR &amp; MDL],Table13[Tolerance % CW ],"")/100*Table1[[#This Row],[Std Nom]]),"")</f>
        <v/>
      </c>
      <c r="P1558" s="1" t="str">
        <f>IFERROR(Table1[[#This Row],[Std Nom]]+(_xlfn.XLOOKUP(Table1[[#This Row],[Manufacturer]]&amp;" "&amp;Table1[[#This Row],[Model]],Table13[MFR &amp; MDL],Table13[Tolerance % CW ],"")/100*Table1[[#This Row],[Std Nom]]),"")</f>
        <v/>
      </c>
      <c r="Q1558" s="1" t="e">
        <f>Table1[[#This Row],[High Tol]]-Table1[[#This Row],[Low Tol]]</f>
        <v>#VALUE!</v>
      </c>
      <c r="R1558" s="1">
        <f>2*Table1[[#This Row],[Std Error]]</f>
        <v>0</v>
      </c>
      <c r="S1558" s="1" t="str">
        <f>IF(Table1[[#This Row],[High Tol]]="","N/A",IFERROR(ABS(Table1[[#This Row],[Tol Span]]/Table1[[#This Row],[Error Span]]),"N/A"))</f>
        <v>N/A</v>
      </c>
      <c r="T1558" s="1" t="str">
        <f>IF(OR(Table1[[#This Row],[Low Tol]]="",Table1[[#This Row],[High Tol]]=""),"Needs Analysis",IF(Table1[[#This Row],[Ratio]]&gt;=4,"Not Significant",IF(Table1[[#This Row],[Ratio]]&gt;=2,"Semi-Significant","Significant")))</f>
        <v>Needs Analysis</v>
      </c>
      <c r="W1558" s="1">
        <f>IF(Table1[[#This Row],[Cal Type]]&lt;&gt;"ACCREDITED 17025 WITH UNCERTAINTIES",0,"")</f>
        <v>0</v>
      </c>
      <c r="X1558" s="1" t="str">
        <f>IF(Table1[[#This Row],[DUT Read]]="","N/A",Table1[[#This Row],[Std Error]]+Table1[[#This Row],[DUT Read]]+Table1[[#This Row],[DUT Ucty]])</f>
        <v>N/A</v>
      </c>
      <c r="Y1558" s="1" t="str">
        <f>IF(Table1[[#This Row],[Std Read]]="","N/A",Table1[[#This Row],[Std Read]]+Table1[[#This Row],[Std Ucty]])</f>
        <v>N/A</v>
      </c>
      <c r="Z15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8" s="1" t="str">
        <f>IF(Table1[[#This Row],[Spec Type]]="","N/A",Table1[[#This Row],[Spec Type]])</f>
        <v>±</v>
      </c>
      <c r="AC1558" s="1" t="str">
        <f>IF(Table1[[#This Row],[Spec Type2]]="N/A","N/A",IF(AND(Table1[[#This Row],[DUT Adj Read]]&gt;=Table1[[#This Row],[Low Tol]],Table1[[#This Row],[DUT Adj Read]]&lt;=Table1[[#This Row],[High Tol]]),"Pass","Fail"))</f>
        <v>Fail</v>
      </c>
      <c r="AD1558" s="1" t="str">
        <f>IF(AND(Table1[[#This Row],[Spec Type2]]="N/A",Table1[[#This Row],[DUT Adj Read]]="N/A",Table1[[#This Row],[Std Adj Read]]="N/A"),"N/A",IF(Table1[[#This Row],[DUT Adj Read]]="N/A",IF(Table1[[#This Row],[Std Adj Read]]&gt;Table1[[#This Row],[Low Tol]],"Pass","Fail"),IF(Table1[[#This Row],[DUT Adj Read]]&gt;Table1[[#This Row],[Low Tol]],"Pass","Fail")))</f>
        <v>Pass</v>
      </c>
      <c r="AE1558" s="1" t="str">
        <f>IF(AND(Table1[[#This Row],[Spec Type2]]="N/A",Table1[[#This Row],[DUT Adj Read]]="N/A",Table1[[#This Row],[Std Adj Read]]="N/A"),"N/A",IF(Table1[[#This Row],[DUT Adj Read]]="N/A",IF(Table1[[#This Row],[Std Adj Read]]&lt;Table1[[#This Row],[High Tol]],"Pass","Fail"),IF(Table1[[#This Row],[DUT Adj Read]]&lt;Table1[[#This Row],[High Tol]],"Pass","Fail")))</f>
        <v>Fail</v>
      </c>
      <c r="AF1558" s="1" t="str">
        <f>IF(AND(Table1[[#This Row],[Spec Type2]]="N/A",Table1[[#This Row],[DUT Adj Read]]="N/A",Table1[[#This Row],[Std Adj Read]]="N/A"),"N/A",IF(Table1[[#This Row],[DUT Adj Read]]="N/A",IF(Table1[[#This Row],[Std Adj Read]]&gt;=Table1[[#This Row],[Low Tol]],"Pass","Fail"),IF(Table1[[#This Row],[DUT Adj Read]]&gt;=Table1[[#This Row],[Low Tol]],"Pass","Fail")))</f>
        <v>Pass</v>
      </c>
      <c r="AG1558" s="1" t="str">
        <f>IF(AND(Table1[[#This Row],[Spec Type2]]="N/A",Table1[[#This Row],[DUT Adj Read]]="N/A",Table1[[#This Row],[Std Adj Read]]="N/A"),"N/A",IF(Table1[[#This Row],[DUT Adj Read]]="N/A",IF(Table1[[#This Row],[Std Adj Read]]&lt;=Table1[[#This Row],[High Tol]],"Pass","Fail"),IF(Table1[[#This Row],[DUT Adj Read]]&lt;=Table1[[#This Row],[High Tol]],"Pass","Fail")))</f>
        <v>Fail</v>
      </c>
      <c r="AH15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8" s="1" t="b">
        <v>0</v>
      </c>
      <c r="AN1558" s="1" t="b">
        <v>0</v>
      </c>
      <c r="AO1558" s="1" t="b">
        <v>0</v>
      </c>
    </row>
    <row r="1559" spans="1:41" x14ac:dyDescent="0.25">
      <c r="A1559" s="10"/>
      <c r="B1559" s="10"/>
      <c r="C1559" s="10"/>
      <c r="D1559" s="10"/>
      <c r="E1559" s="10"/>
      <c r="F1559" s="10"/>
      <c r="G1559" s="10"/>
      <c r="H1559" s="10"/>
      <c r="I1559" s="1" t="str">
        <f t="shared" si="72"/>
        <v/>
      </c>
      <c r="J1559" s="1" t="s">
        <v>35</v>
      </c>
      <c r="K1559" s="1" t="str">
        <f t="shared" si="73"/>
        <v/>
      </c>
      <c r="L1559" s="1" t="str">
        <f t="shared" si="74"/>
        <v/>
      </c>
      <c r="M1559" s="1">
        <f>IF(OR(Table1[[#This Row],[Std Nom]]="",Table1[[#This Row],[Std Read]]=""),0,Table1[[#This Row],[Std Nom]]-Table1[[#This Row],[Std Read]])</f>
        <v>0</v>
      </c>
      <c r="N1559" s="1">
        <f>IF(Calculations!$F$5="ACCREDITED 17025 WITH UNCERTAINTIES",$N$10,0)</f>
        <v>0</v>
      </c>
      <c r="O1559" s="1" t="str">
        <f>IFERROR(Table1[[#This Row],[Std Nom]]-(_xlfn.XLOOKUP(Table1[[#This Row],[Manufacturer]]&amp;" "&amp;Table1[[#This Row],[Model]],Table13[MFR &amp; MDL],Table13[Tolerance % CW ],"")/100*Table1[[#This Row],[Std Nom]]),"")</f>
        <v/>
      </c>
      <c r="P1559" s="1" t="str">
        <f>IFERROR(Table1[[#This Row],[Std Nom]]+(_xlfn.XLOOKUP(Table1[[#This Row],[Manufacturer]]&amp;" "&amp;Table1[[#This Row],[Model]],Table13[MFR &amp; MDL],Table13[Tolerance % CW ],"")/100*Table1[[#This Row],[Std Nom]]),"")</f>
        <v/>
      </c>
      <c r="Q1559" s="1" t="e">
        <f>Table1[[#This Row],[High Tol]]-Table1[[#This Row],[Low Tol]]</f>
        <v>#VALUE!</v>
      </c>
      <c r="R1559" s="1">
        <f>2*Table1[[#This Row],[Std Error]]</f>
        <v>0</v>
      </c>
      <c r="S1559" s="1" t="str">
        <f>IF(Table1[[#This Row],[High Tol]]="","N/A",IFERROR(ABS(Table1[[#This Row],[Tol Span]]/Table1[[#This Row],[Error Span]]),"N/A"))</f>
        <v>N/A</v>
      </c>
      <c r="T1559" s="1" t="str">
        <f>IF(OR(Table1[[#This Row],[Low Tol]]="",Table1[[#This Row],[High Tol]]=""),"Needs Analysis",IF(Table1[[#This Row],[Ratio]]&gt;=4,"Not Significant",IF(Table1[[#This Row],[Ratio]]&gt;=2,"Semi-Significant","Significant")))</f>
        <v>Needs Analysis</v>
      </c>
      <c r="W1559" s="1">
        <f>IF(Table1[[#This Row],[Cal Type]]&lt;&gt;"ACCREDITED 17025 WITH UNCERTAINTIES",0,"")</f>
        <v>0</v>
      </c>
      <c r="X1559" s="1" t="str">
        <f>IF(Table1[[#This Row],[DUT Read]]="","N/A",Table1[[#This Row],[Std Error]]+Table1[[#This Row],[DUT Read]]+Table1[[#This Row],[DUT Ucty]])</f>
        <v>N/A</v>
      </c>
      <c r="Y1559" s="1" t="str">
        <f>IF(Table1[[#This Row],[Std Read]]="","N/A",Table1[[#This Row],[Std Read]]+Table1[[#This Row],[Std Ucty]])</f>
        <v>N/A</v>
      </c>
      <c r="Z15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9" s="1" t="str">
        <f>IF(Table1[[#This Row],[Spec Type]]="","N/A",Table1[[#This Row],[Spec Type]])</f>
        <v>±</v>
      </c>
      <c r="AC1559" s="1" t="str">
        <f>IF(Table1[[#This Row],[Spec Type2]]="N/A","N/A",IF(AND(Table1[[#This Row],[DUT Adj Read]]&gt;=Table1[[#This Row],[Low Tol]],Table1[[#This Row],[DUT Adj Read]]&lt;=Table1[[#This Row],[High Tol]]),"Pass","Fail"))</f>
        <v>Fail</v>
      </c>
      <c r="AD1559" s="1" t="str">
        <f>IF(AND(Table1[[#This Row],[Spec Type2]]="N/A",Table1[[#This Row],[DUT Adj Read]]="N/A",Table1[[#This Row],[Std Adj Read]]="N/A"),"N/A",IF(Table1[[#This Row],[DUT Adj Read]]="N/A",IF(Table1[[#This Row],[Std Adj Read]]&gt;Table1[[#This Row],[Low Tol]],"Pass","Fail"),IF(Table1[[#This Row],[DUT Adj Read]]&gt;Table1[[#This Row],[Low Tol]],"Pass","Fail")))</f>
        <v>Pass</v>
      </c>
      <c r="AE1559" s="1" t="str">
        <f>IF(AND(Table1[[#This Row],[Spec Type2]]="N/A",Table1[[#This Row],[DUT Adj Read]]="N/A",Table1[[#This Row],[Std Adj Read]]="N/A"),"N/A",IF(Table1[[#This Row],[DUT Adj Read]]="N/A",IF(Table1[[#This Row],[Std Adj Read]]&lt;Table1[[#This Row],[High Tol]],"Pass","Fail"),IF(Table1[[#This Row],[DUT Adj Read]]&lt;Table1[[#This Row],[High Tol]],"Pass","Fail")))</f>
        <v>Fail</v>
      </c>
      <c r="AF1559" s="1" t="str">
        <f>IF(AND(Table1[[#This Row],[Spec Type2]]="N/A",Table1[[#This Row],[DUT Adj Read]]="N/A",Table1[[#This Row],[Std Adj Read]]="N/A"),"N/A",IF(Table1[[#This Row],[DUT Adj Read]]="N/A",IF(Table1[[#This Row],[Std Adj Read]]&gt;=Table1[[#This Row],[Low Tol]],"Pass","Fail"),IF(Table1[[#This Row],[DUT Adj Read]]&gt;=Table1[[#This Row],[Low Tol]],"Pass","Fail")))</f>
        <v>Pass</v>
      </c>
      <c r="AG1559" s="1" t="str">
        <f>IF(AND(Table1[[#This Row],[Spec Type2]]="N/A",Table1[[#This Row],[DUT Adj Read]]="N/A",Table1[[#This Row],[Std Adj Read]]="N/A"),"N/A",IF(Table1[[#This Row],[DUT Adj Read]]="N/A",IF(Table1[[#This Row],[Std Adj Read]]&lt;=Table1[[#This Row],[High Tol]],"Pass","Fail"),IF(Table1[[#This Row],[DUT Adj Read]]&lt;=Table1[[#This Row],[High Tol]],"Pass","Fail")))</f>
        <v>Fail</v>
      </c>
      <c r="AH15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9" s="1" t="b">
        <v>0</v>
      </c>
      <c r="AN1559" s="1" t="b">
        <v>0</v>
      </c>
      <c r="AO1559" s="1" t="b">
        <v>0</v>
      </c>
    </row>
    <row r="1560" spans="1:41" x14ac:dyDescent="0.25">
      <c r="A1560" s="10"/>
      <c r="B1560" s="10"/>
      <c r="C1560" s="10"/>
      <c r="D1560" s="10"/>
      <c r="E1560" s="10"/>
      <c r="F1560" s="10"/>
      <c r="G1560" s="10"/>
      <c r="H1560" s="10"/>
      <c r="I1560" s="1" t="str">
        <f t="shared" si="72"/>
        <v/>
      </c>
      <c r="J1560" s="1" t="s">
        <v>35</v>
      </c>
      <c r="K1560" s="1" t="str">
        <f t="shared" si="73"/>
        <v/>
      </c>
      <c r="L1560" s="1" t="str">
        <f t="shared" si="74"/>
        <v/>
      </c>
      <c r="M1560" s="1">
        <f>IF(OR(Table1[[#This Row],[Std Nom]]="",Table1[[#This Row],[Std Read]]=""),0,Table1[[#This Row],[Std Nom]]-Table1[[#This Row],[Std Read]])</f>
        <v>0</v>
      </c>
      <c r="N1560" s="1">
        <f>IF(Calculations!$F$5="ACCREDITED 17025 WITH UNCERTAINTIES",$N$10,0)</f>
        <v>0</v>
      </c>
      <c r="O1560" s="1" t="str">
        <f>IFERROR(Table1[[#This Row],[Std Nom]]-(_xlfn.XLOOKUP(Table1[[#This Row],[Manufacturer]]&amp;" "&amp;Table1[[#This Row],[Model]],Table13[MFR &amp; MDL],Table13[Tolerance % CW ],"")/100*Table1[[#This Row],[Std Nom]]),"")</f>
        <v/>
      </c>
      <c r="P1560" s="1" t="str">
        <f>IFERROR(Table1[[#This Row],[Std Nom]]+(_xlfn.XLOOKUP(Table1[[#This Row],[Manufacturer]]&amp;" "&amp;Table1[[#This Row],[Model]],Table13[MFR &amp; MDL],Table13[Tolerance % CW ],"")/100*Table1[[#This Row],[Std Nom]]),"")</f>
        <v/>
      </c>
      <c r="Q1560" s="1" t="e">
        <f>Table1[[#This Row],[High Tol]]-Table1[[#This Row],[Low Tol]]</f>
        <v>#VALUE!</v>
      </c>
      <c r="R1560" s="1">
        <f>2*Table1[[#This Row],[Std Error]]</f>
        <v>0</v>
      </c>
      <c r="S1560" s="1" t="str">
        <f>IF(Table1[[#This Row],[High Tol]]="","N/A",IFERROR(ABS(Table1[[#This Row],[Tol Span]]/Table1[[#This Row],[Error Span]]),"N/A"))</f>
        <v>N/A</v>
      </c>
      <c r="T1560" s="1" t="str">
        <f>IF(OR(Table1[[#This Row],[Low Tol]]="",Table1[[#This Row],[High Tol]]=""),"Needs Analysis",IF(Table1[[#This Row],[Ratio]]&gt;=4,"Not Significant",IF(Table1[[#This Row],[Ratio]]&gt;=2,"Semi-Significant","Significant")))</f>
        <v>Needs Analysis</v>
      </c>
      <c r="W1560" s="1">
        <f>IF(Table1[[#This Row],[Cal Type]]&lt;&gt;"ACCREDITED 17025 WITH UNCERTAINTIES",0,"")</f>
        <v>0</v>
      </c>
      <c r="X1560" s="1" t="str">
        <f>IF(Table1[[#This Row],[DUT Read]]="","N/A",Table1[[#This Row],[Std Error]]+Table1[[#This Row],[DUT Read]]+Table1[[#This Row],[DUT Ucty]])</f>
        <v>N/A</v>
      </c>
      <c r="Y1560" s="1" t="str">
        <f>IF(Table1[[#This Row],[Std Read]]="","N/A",Table1[[#This Row],[Std Read]]+Table1[[#This Row],[Std Ucty]])</f>
        <v>N/A</v>
      </c>
      <c r="Z15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0" s="1" t="str">
        <f>IF(Table1[[#This Row],[Spec Type]]="","N/A",Table1[[#This Row],[Spec Type]])</f>
        <v>±</v>
      </c>
      <c r="AC1560" s="1" t="str">
        <f>IF(Table1[[#This Row],[Spec Type2]]="N/A","N/A",IF(AND(Table1[[#This Row],[DUT Adj Read]]&gt;=Table1[[#This Row],[Low Tol]],Table1[[#This Row],[DUT Adj Read]]&lt;=Table1[[#This Row],[High Tol]]),"Pass","Fail"))</f>
        <v>Fail</v>
      </c>
      <c r="AD1560" s="1" t="str">
        <f>IF(AND(Table1[[#This Row],[Spec Type2]]="N/A",Table1[[#This Row],[DUT Adj Read]]="N/A",Table1[[#This Row],[Std Adj Read]]="N/A"),"N/A",IF(Table1[[#This Row],[DUT Adj Read]]="N/A",IF(Table1[[#This Row],[Std Adj Read]]&gt;Table1[[#This Row],[Low Tol]],"Pass","Fail"),IF(Table1[[#This Row],[DUT Adj Read]]&gt;Table1[[#This Row],[Low Tol]],"Pass","Fail")))</f>
        <v>Pass</v>
      </c>
      <c r="AE1560" s="1" t="str">
        <f>IF(AND(Table1[[#This Row],[Spec Type2]]="N/A",Table1[[#This Row],[DUT Adj Read]]="N/A",Table1[[#This Row],[Std Adj Read]]="N/A"),"N/A",IF(Table1[[#This Row],[DUT Adj Read]]="N/A",IF(Table1[[#This Row],[Std Adj Read]]&lt;Table1[[#This Row],[High Tol]],"Pass","Fail"),IF(Table1[[#This Row],[DUT Adj Read]]&lt;Table1[[#This Row],[High Tol]],"Pass","Fail")))</f>
        <v>Fail</v>
      </c>
      <c r="AF1560" s="1" t="str">
        <f>IF(AND(Table1[[#This Row],[Spec Type2]]="N/A",Table1[[#This Row],[DUT Adj Read]]="N/A",Table1[[#This Row],[Std Adj Read]]="N/A"),"N/A",IF(Table1[[#This Row],[DUT Adj Read]]="N/A",IF(Table1[[#This Row],[Std Adj Read]]&gt;=Table1[[#This Row],[Low Tol]],"Pass","Fail"),IF(Table1[[#This Row],[DUT Adj Read]]&gt;=Table1[[#This Row],[Low Tol]],"Pass","Fail")))</f>
        <v>Pass</v>
      </c>
      <c r="AG1560" s="1" t="str">
        <f>IF(AND(Table1[[#This Row],[Spec Type2]]="N/A",Table1[[#This Row],[DUT Adj Read]]="N/A",Table1[[#This Row],[Std Adj Read]]="N/A"),"N/A",IF(Table1[[#This Row],[DUT Adj Read]]="N/A",IF(Table1[[#This Row],[Std Adj Read]]&lt;=Table1[[#This Row],[High Tol]],"Pass","Fail"),IF(Table1[[#This Row],[DUT Adj Read]]&lt;=Table1[[#This Row],[High Tol]],"Pass","Fail")))</f>
        <v>Fail</v>
      </c>
      <c r="AH15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0" s="1" t="b">
        <v>0</v>
      </c>
      <c r="AN1560" s="1" t="b">
        <v>0</v>
      </c>
      <c r="AO1560" s="1" t="b">
        <v>0</v>
      </c>
    </row>
    <row r="1561" spans="1:41" x14ac:dyDescent="0.25">
      <c r="A1561" s="10"/>
      <c r="B1561" s="10"/>
      <c r="C1561" s="10"/>
      <c r="D1561" s="10"/>
      <c r="E1561" s="10"/>
      <c r="F1561" s="10"/>
      <c r="G1561" s="10"/>
      <c r="H1561" s="10"/>
      <c r="I1561" s="1" t="str">
        <f t="shared" si="72"/>
        <v/>
      </c>
      <c r="J1561" s="1" t="s">
        <v>35</v>
      </c>
      <c r="K1561" s="1" t="str">
        <f t="shared" si="73"/>
        <v/>
      </c>
      <c r="L1561" s="1" t="str">
        <f t="shared" si="74"/>
        <v/>
      </c>
      <c r="M1561" s="1">
        <f>IF(OR(Table1[[#This Row],[Std Nom]]="",Table1[[#This Row],[Std Read]]=""),0,Table1[[#This Row],[Std Nom]]-Table1[[#This Row],[Std Read]])</f>
        <v>0</v>
      </c>
      <c r="N1561" s="1">
        <f>IF(Calculations!$F$5="ACCREDITED 17025 WITH UNCERTAINTIES",$N$10,0)</f>
        <v>0</v>
      </c>
      <c r="O1561" s="1" t="str">
        <f>IFERROR(Table1[[#This Row],[Std Nom]]-(_xlfn.XLOOKUP(Table1[[#This Row],[Manufacturer]]&amp;" "&amp;Table1[[#This Row],[Model]],Table13[MFR &amp; MDL],Table13[Tolerance % CW ],"")/100*Table1[[#This Row],[Std Nom]]),"")</f>
        <v/>
      </c>
      <c r="P1561" s="1" t="str">
        <f>IFERROR(Table1[[#This Row],[Std Nom]]+(_xlfn.XLOOKUP(Table1[[#This Row],[Manufacturer]]&amp;" "&amp;Table1[[#This Row],[Model]],Table13[MFR &amp; MDL],Table13[Tolerance % CW ],"")/100*Table1[[#This Row],[Std Nom]]),"")</f>
        <v/>
      </c>
      <c r="Q1561" s="1" t="e">
        <f>Table1[[#This Row],[High Tol]]-Table1[[#This Row],[Low Tol]]</f>
        <v>#VALUE!</v>
      </c>
      <c r="R1561" s="1">
        <f>2*Table1[[#This Row],[Std Error]]</f>
        <v>0</v>
      </c>
      <c r="S1561" s="1" t="str">
        <f>IF(Table1[[#This Row],[High Tol]]="","N/A",IFERROR(ABS(Table1[[#This Row],[Tol Span]]/Table1[[#This Row],[Error Span]]),"N/A"))</f>
        <v>N/A</v>
      </c>
      <c r="T1561" s="1" t="str">
        <f>IF(OR(Table1[[#This Row],[Low Tol]]="",Table1[[#This Row],[High Tol]]=""),"Needs Analysis",IF(Table1[[#This Row],[Ratio]]&gt;=4,"Not Significant",IF(Table1[[#This Row],[Ratio]]&gt;=2,"Semi-Significant","Significant")))</f>
        <v>Needs Analysis</v>
      </c>
      <c r="W1561" s="1">
        <f>IF(Table1[[#This Row],[Cal Type]]&lt;&gt;"ACCREDITED 17025 WITH UNCERTAINTIES",0,"")</f>
        <v>0</v>
      </c>
      <c r="X1561" s="1" t="str">
        <f>IF(Table1[[#This Row],[DUT Read]]="","N/A",Table1[[#This Row],[Std Error]]+Table1[[#This Row],[DUT Read]]+Table1[[#This Row],[DUT Ucty]])</f>
        <v>N/A</v>
      </c>
      <c r="Y1561" s="1" t="str">
        <f>IF(Table1[[#This Row],[Std Read]]="","N/A",Table1[[#This Row],[Std Read]]+Table1[[#This Row],[Std Ucty]])</f>
        <v>N/A</v>
      </c>
      <c r="Z15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1" s="1" t="str">
        <f>IF(Table1[[#This Row],[Spec Type]]="","N/A",Table1[[#This Row],[Spec Type]])</f>
        <v>±</v>
      </c>
      <c r="AC1561" s="1" t="str">
        <f>IF(Table1[[#This Row],[Spec Type2]]="N/A","N/A",IF(AND(Table1[[#This Row],[DUT Adj Read]]&gt;=Table1[[#This Row],[Low Tol]],Table1[[#This Row],[DUT Adj Read]]&lt;=Table1[[#This Row],[High Tol]]),"Pass","Fail"))</f>
        <v>Fail</v>
      </c>
      <c r="AD1561" s="1" t="str">
        <f>IF(AND(Table1[[#This Row],[Spec Type2]]="N/A",Table1[[#This Row],[DUT Adj Read]]="N/A",Table1[[#This Row],[Std Adj Read]]="N/A"),"N/A",IF(Table1[[#This Row],[DUT Adj Read]]="N/A",IF(Table1[[#This Row],[Std Adj Read]]&gt;Table1[[#This Row],[Low Tol]],"Pass","Fail"),IF(Table1[[#This Row],[DUT Adj Read]]&gt;Table1[[#This Row],[Low Tol]],"Pass","Fail")))</f>
        <v>Pass</v>
      </c>
      <c r="AE1561" s="1" t="str">
        <f>IF(AND(Table1[[#This Row],[Spec Type2]]="N/A",Table1[[#This Row],[DUT Adj Read]]="N/A",Table1[[#This Row],[Std Adj Read]]="N/A"),"N/A",IF(Table1[[#This Row],[DUT Adj Read]]="N/A",IF(Table1[[#This Row],[Std Adj Read]]&lt;Table1[[#This Row],[High Tol]],"Pass","Fail"),IF(Table1[[#This Row],[DUT Adj Read]]&lt;Table1[[#This Row],[High Tol]],"Pass","Fail")))</f>
        <v>Fail</v>
      </c>
      <c r="AF1561" s="1" t="str">
        <f>IF(AND(Table1[[#This Row],[Spec Type2]]="N/A",Table1[[#This Row],[DUT Adj Read]]="N/A",Table1[[#This Row],[Std Adj Read]]="N/A"),"N/A",IF(Table1[[#This Row],[DUT Adj Read]]="N/A",IF(Table1[[#This Row],[Std Adj Read]]&gt;=Table1[[#This Row],[Low Tol]],"Pass","Fail"),IF(Table1[[#This Row],[DUT Adj Read]]&gt;=Table1[[#This Row],[Low Tol]],"Pass","Fail")))</f>
        <v>Pass</v>
      </c>
      <c r="AG1561" s="1" t="str">
        <f>IF(AND(Table1[[#This Row],[Spec Type2]]="N/A",Table1[[#This Row],[DUT Adj Read]]="N/A",Table1[[#This Row],[Std Adj Read]]="N/A"),"N/A",IF(Table1[[#This Row],[DUT Adj Read]]="N/A",IF(Table1[[#This Row],[Std Adj Read]]&lt;=Table1[[#This Row],[High Tol]],"Pass","Fail"),IF(Table1[[#This Row],[DUT Adj Read]]&lt;=Table1[[#This Row],[High Tol]],"Pass","Fail")))</f>
        <v>Fail</v>
      </c>
      <c r="AH15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1" s="1" t="b">
        <v>0</v>
      </c>
      <c r="AN1561" s="1" t="b">
        <v>0</v>
      </c>
      <c r="AO1561" s="1" t="b">
        <v>0</v>
      </c>
    </row>
    <row r="1562" spans="1:41" x14ac:dyDescent="0.25">
      <c r="A1562" s="10"/>
      <c r="B1562" s="10"/>
      <c r="C1562" s="10"/>
      <c r="D1562" s="10"/>
      <c r="E1562" s="10"/>
      <c r="F1562" s="10"/>
      <c r="G1562" s="10"/>
      <c r="H1562" s="10"/>
      <c r="I1562" s="1" t="str">
        <f t="shared" si="72"/>
        <v/>
      </c>
      <c r="J1562" s="1" t="s">
        <v>35</v>
      </c>
      <c r="K1562" s="1" t="str">
        <f t="shared" si="73"/>
        <v/>
      </c>
      <c r="L1562" s="1" t="str">
        <f t="shared" si="74"/>
        <v/>
      </c>
      <c r="M1562" s="1">
        <f>IF(OR(Table1[[#This Row],[Std Nom]]="",Table1[[#This Row],[Std Read]]=""),0,Table1[[#This Row],[Std Nom]]-Table1[[#This Row],[Std Read]])</f>
        <v>0</v>
      </c>
      <c r="N1562" s="1">
        <f>IF(Calculations!$F$5="ACCREDITED 17025 WITH UNCERTAINTIES",$N$10,0)</f>
        <v>0</v>
      </c>
      <c r="O1562" s="1" t="str">
        <f>IFERROR(Table1[[#This Row],[Std Nom]]-(_xlfn.XLOOKUP(Table1[[#This Row],[Manufacturer]]&amp;" "&amp;Table1[[#This Row],[Model]],Table13[MFR &amp; MDL],Table13[Tolerance % CW ],"")/100*Table1[[#This Row],[Std Nom]]),"")</f>
        <v/>
      </c>
      <c r="P1562" s="1" t="str">
        <f>IFERROR(Table1[[#This Row],[Std Nom]]+(_xlfn.XLOOKUP(Table1[[#This Row],[Manufacturer]]&amp;" "&amp;Table1[[#This Row],[Model]],Table13[MFR &amp; MDL],Table13[Tolerance % CW ],"")/100*Table1[[#This Row],[Std Nom]]),"")</f>
        <v/>
      </c>
      <c r="Q1562" s="1" t="e">
        <f>Table1[[#This Row],[High Tol]]-Table1[[#This Row],[Low Tol]]</f>
        <v>#VALUE!</v>
      </c>
      <c r="R1562" s="1">
        <f>2*Table1[[#This Row],[Std Error]]</f>
        <v>0</v>
      </c>
      <c r="S1562" s="1" t="str">
        <f>IF(Table1[[#This Row],[High Tol]]="","N/A",IFERROR(ABS(Table1[[#This Row],[Tol Span]]/Table1[[#This Row],[Error Span]]),"N/A"))</f>
        <v>N/A</v>
      </c>
      <c r="T1562" s="1" t="str">
        <f>IF(OR(Table1[[#This Row],[Low Tol]]="",Table1[[#This Row],[High Tol]]=""),"Needs Analysis",IF(Table1[[#This Row],[Ratio]]&gt;=4,"Not Significant",IF(Table1[[#This Row],[Ratio]]&gt;=2,"Semi-Significant","Significant")))</f>
        <v>Needs Analysis</v>
      </c>
      <c r="W1562" s="1">
        <f>IF(Table1[[#This Row],[Cal Type]]&lt;&gt;"ACCREDITED 17025 WITH UNCERTAINTIES",0,"")</f>
        <v>0</v>
      </c>
      <c r="X1562" s="1" t="str">
        <f>IF(Table1[[#This Row],[DUT Read]]="","N/A",Table1[[#This Row],[Std Error]]+Table1[[#This Row],[DUT Read]]+Table1[[#This Row],[DUT Ucty]])</f>
        <v>N/A</v>
      </c>
      <c r="Y1562" s="1" t="str">
        <f>IF(Table1[[#This Row],[Std Read]]="","N/A",Table1[[#This Row],[Std Read]]+Table1[[#This Row],[Std Ucty]])</f>
        <v>N/A</v>
      </c>
      <c r="Z15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2" s="1" t="str">
        <f>IF(Table1[[#This Row],[Spec Type]]="","N/A",Table1[[#This Row],[Spec Type]])</f>
        <v>±</v>
      </c>
      <c r="AC1562" s="1" t="str">
        <f>IF(Table1[[#This Row],[Spec Type2]]="N/A","N/A",IF(AND(Table1[[#This Row],[DUT Adj Read]]&gt;=Table1[[#This Row],[Low Tol]],Table1[[#This Row],[DUT Adj Read]]&lt;=Table1[[#This Row],[High Tol]]),"Pass","Fail"))</f>
        <v>Fail</v>
      </c>
      <c r="AD1562" s="1" t="str">
        <f>IF(AND(Table1[[#This Row],[Spec Type2]]="N/A",Table1[[#This Row],[DUT Adj Read]]="N/A",Table1[[#This Row],[Std Adj Read]]="N/A"),"N/A",IF(Table1[[#This Row],[DUT Adj Read]]="N/A",IF(Table1[[#This Row],[Std Adj Read]]&gt;Table1[[#This Row],[Low Tol]],"Pass","Fail"),IF(Table1[[#This Row],[DUT Adj Read]]&gt;Table1[[#This Row],[Low Tol]],"Pass","Fail")))</f>
        <v>Pass</v>
      </c>
      <c r="AE1562" s="1" t="str">
        <f>IF(AND(Table1[[#This Row],[Spec Type2]]="N/A",Table1[[#This Row],[DUT Adj Read]]="N/A",Table1[[#This Row],[Std Adj Read]]="N/A"),"N/A",IF(Table1[[#This Row],[DUT Adj Read]]="N/A",IF(Table1[[#This Row],[Std Adj Read]]&lt;Table1[[#This Row],[High Tol]],"Pass","Fail"),IF(Table1[[#This Row],[DUT Adj Read]]&lt;Table1[[#This Row],[High Tol]],"Pass","Fail")))</f>
        <v>Fail</v>
      </c>
      <c r="AF1562" s="1" t="str">
        <f>IF(AND(Table1[[#This Row],[Spec Type2]]="N/A",Table1[[#This Row],[DUT Adj Read]]="N/A",Table1[[#This Row],[Std Adj Read]]="N/A"),"N/A",IF(Table1[[#This Row],[DUT Adj Read]]="N/A",IF(Table1[[#This Row],[Std Adj Read]]&gt;=Table1[[#This Row],[Low Tol]],"Pass","Fail"),IF(Table1[[#This Row],[DUT Adj Read]]&gt;=Table1[[#This Row],[Low Tol]],"Pass","Fail")))</f>
        <v>Pass</v>
      </c>
      <c r="AG1562" s="1" t="str">
        <f>IF(AND(Table1[[#This Row],[Spec Type2]]="N/A",Table1[[#This Row],[DUT Adj Read]]="N/A",Table1[[#This Row],[Std Adj Read]]="N/A"),"N/A",IF(Table1[[#This Row],[DUT Adj Read]]="N/A",IF(Table1[[#This Row],[Std Adj Read]]&lt;=Table1[[#This Row],[High Tol]],"Pass","Fail"),IF(Table1[[#This Row],[DUT Adj Read]]&lt;=Table1[[#This Row],[High Tol]],"Pass","Fail")))</f>
        <v>Fail</v>
      </c>
      <c r="AH15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2" s="1" t="b">
        <v>0</v>
      </c>
      <c r="AN1562" s="1" t="b">
        <v>0</v>
      </c>
      <c r="AO1562" s="1" t="b">
        <v>0</v>
      </c>
    </row>
    <row r="1563" spans="1:41" x14ac:dyDescent="0.25">
      <c r="A1563" s="10"/>
      <c r="B1563" s="10"/>
      <c r="C1563" s="10"/>
      <c r="D1563" s="10"/>
      <c r="E1563" s="10"/>
      <c r="F1563" s="10"/>
      <c r="G1563" s="10"/>
      <c r="H1563" s="10"/>
      <c r="I1563" s="1" t="str">
        <f t="shared" si="72"/>
        <v/>
      </c>
      <c r="J1563" s="1" t="s">
        <v>35</v>
      </c>
      <c r="K1563" s="1" t="str">
        <f t="shared" si="73"/>
        <v/>
      </c>
      <c r="L1563" s="1" t="str">
        <f t="shared" si="74"/>
        <v/>
      </c>
      <c r="M1563" s="1">
        <f>IF(OR(Table1[[#This Row],[Std Nom]]="",Table1[[#This Row],[Std Read]]=""),0,Table1[[#This Row],[Std Nom]]-Table1[[#This Row],[Std Read]])</f>
        <v>0</v>
      </c>
      <c r="N1563" s="1">
        <f>IF(Calculations!$F$5="ACCREDITED 17025 WITH UNCERTAINTIES",$N$10,0)</f>
        <v>0</v>
      </c>
      <c r="O1563" s="1" t="str">
        <f>IFERROR(Table1[[#This Row],[Std Nom]]-(_xlfn.XLOOKUP(Table1[[#This Row],[Manufacturer]]&amp;" "&amp;Table1[[#This Row],[Model]],Table13[MFR &amp; MDL],Table13[Tolerance % CW ],"")/100*Table1[[#This Row],[Std Nom]]),"")</f>
        <v/>
      </c>
      <c r="P1563" s="1" t="str">
        <f>IFERROR(Table1[[#This Row],[Std Nom]]+(_xlfn.XLOOKUP(Table1[[#This Row],[Manufacturer]]&amp;" "&amp;Table1[[#This Row],[Model]],Table13[MFR &amp; MDL],Table13[Tolerance % CW ],"")/100*Table1[[#This Row],[Std Nom]]),"")</f>
        <v/>
      </c>
      <c r="Q1563" s="1" t="e">
        <f>Table1[[#This Row],[High Tol]]-Table1[[#This Row],[Low Tol]]</f>
        <v>#VALUE!</v>
      </c>
      <c r="R1563" s="1">
        <f>2*Table1[[#This Row],[Std Error]]</f>
        <v>0</v>
      </c>
      <c r="S1563" s="1" t="str">
        <f>IF(Table1[[#This Row],[High Tol]]="","N/A",IFERROR(ABS(Table1[[#This Row],[Tol Span]]/Table1[[#This Row],[Error Span]]),"N/A"))</f>
        <v>N/A</v>
      </c>
      <c r="T1563" s="1" t="str">
        <f>IF(OR(Table1[[#This Row],[Low Tol]]="",Table1[[#This Row],[High Tol]]=""),"Needs Analysis",IF(Table1[[#This Row],[Ratio]]&gt;=4,"Not Significant",IF(Table1[[#This Row],[Ratio]]&gt;=2,"Semi-Significant","Significant")))</f>
        <v>Needs Analysis</v>
      </c>
      <c r="W1563" s="1">
        <f>IF(Table1[[#This Row],[Cal Type]]&lt;&gt;"ACCREDITED 17025 WITH UNCERTAINTIES",0,"")</f>
        <v>0</v>
      </c>
      <c r="X1563" s="1" t="str">
        <f>IF(Table1[[#This Row],[DUT Read]]="","N/A",Table1[[#This Row],[Std Error]]+Table1[[#This Row],[DUT Read]]+Table1[[#This Row],[DUT Ucty]])</f>
        <v>N/A</v>
      </c>
      <c r="Y1563" s="1" t="str">
        <f>IF(Table1[[#This Row],[Std Read]]="","N/A",Table1[[#This Row],[Std Read]]+Table1[[#This Row],[Std Ucty]])</f>
        <v>N/A</v>
      </c>
      <c r="Z15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3" s="1" t="str">
        <f>IF(Table1[[#This Row],[Spec Type]]="","N/A",Table1[[#This Row],[Spec Type]])</f>
        <v>±</v>
      </c>
      <c r="AC1563" s="1" t="str">
        <f>IF(Table1[[#This Row],[Spec Type2]]="N/A","N/A",IF(AND(Table1[[#This Row],[DUT Adj Read]]&gt;=Table1[[#This Row],[Low Tol]],Table1[[#This Row],[DUT Adj Read]]&lt;=Table1[[#This Row],[High Tol]]),"Pass","Fail"))</f>
        <v>Fail</v>
      </c>
      <c r="AD1563" s="1" t="str">
        <f>IF(AND(Table1[[#This Row],[Spec Type2]]="N/A",Table1[[#This Row],[DUT Adj Read]]="N/A",Table1[[#This Row],[Std Adj Read]]="N/A"),"N/A",IF(Table1[[#This Row],[DUT Adj Read]]="N/A",IF(Table1[[#This Row],[Std Adj Read]]&gt;Table1[[#This Row],[Low Tol]],"Pass","Fail"),IF(Table1[[#This Row],[DUT Adj Read]]&gt;Table1[[#This Row],[Low Tol]],"Pass","Fail")))</f>
        <v>Pass</v>
      </c>
      <c r="AE1563" s="1" t="str">
        <f>IF(AND(Table1[[#This Row],[Spec Type2]]="N/A",Table1[[#This Row],[DUT Adj Read]]="N/A",Table1[[#This Row],[Std Adj Read]]="N/A"),"N/A",IF(Table1[[#This Row],[DUT Adj Read]]="N/A",IF(Table1[[#This Row],[Std Adj Read]]&lt;Table1[[#This Row],[High Tol]],"Pass","Fail"),IF(Table1[[#This Row],[DUT Adj Read]]&lt;Table1[[#This Row],[High Tol]],"Pass","Fail")))</f>
        <v>Fail</v>
      </c>
      <c r="AF1563" s="1" t="str">
        <f>IF(AND(Table1[[#This Row],[Spec Type2]]="N/A",Table1[[#This Row],[DUT Adj Read]]="N/A",Table1[[#This Row],[Std Adj Read]]="N/A"),"N/A",IF(Table1[[#This Row],[DUT Adj Read]]="N/A",IF(Table1[[#This Row],[Std Adj Read]]&gt;=Table1[[#This Row],[Low Tol]],"Pass","Fail"),IF(Table1[[#This Row],[DUT Adj Read]]&gt;=Table1[[#This Row],[Low Tol]],"Pass","Fail")))</f>
        <v>Pass</v>
      </c>
      <c r="AG1563" s="1" t="str">
        <f>IF(AND(Table1[[#This Row],[Spec Type2]]="N/A",Table1[[#This Row],[DUT Adj Read]]="N/A",Table1[[#This Row],[Std Adj Read]]="N/A"),"N/A",IF(Table1[[#This Row],[DUT Adj Read]]="N/A",IF(Table1[[#This Row],[Std Adj Read]]&lt;=Table1[[#This Row],[High Tol]],"Pass","Fail"),IF(Table1[[#This Row],[DUT Adj Read]]&lt;=Table1[[#This Row],[High Tol]],"Pass","Fail")))</f>
        <v>Fail</v>
      </c>
      <c r="AH15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3" s="1" t="b">
        <v>0</v>
      </c>
      <c r="AN1563" s="1" t="b">
        <v>0</v>
      </c>
      <c r="AO1563" s="1" t="b">
        <v>0</v>
      </c>
    </row>
    <row r="1564" spans="1:41" x14ac:dyDescent="0.25">
      <c r="A1564" s="10"/>
      <c r="B1564" s="10"/>
      <c r="C1564" s="10"/>
      <c r="D1564" s="10"/>
      <c r="E1564" s="10"/>
      <c r="F1564" s="10"/>
      <c r="G1564" s="10"/>
      <c r="H1564" s="10"/>
      <c r="I1564" s="1" t="str">
        <f t="shared" si="72"/>
        <v/>
      </c>
      <c r="J1564" s="1" t="s">
        <v>35</v>
      </c>
      <c r="K1564" s="1" t="str">
        <f t="shared" si="73"/>
        <v/>
      </c>
      <c r="L1564" s="1" t="str">
        <f t="shared" si="74"/>
        <v/>
      </c>
      <c r="M1564" s="1">
        <f>IF(OR(Table1[[#This Row],[Std Nom]]="",Table1[[#This Row],[Std Read]]=""),0,Table1[[#This Row],[Std Nom]]-Table1[[#This Row],[Std Read]])</f>
        <v>0</v>
      </c>
      <c r="N1564" s="1">
        <f>IF(Calculations!$F$5="ACCREDITED 17025 WITH UNCERTAINTIES",$N$10,0)</f>
        <v>0</v>
      </c>
      <c r="O1564" s="1" t="str">
        <f>IFERROR(Table1[[#This Row],[Std Nom]]-(_xlfn.XLOOKUP(Table1[[#This Row],[Manufacturer]]&amp;" "&amp;Table1[[#This Row],[Model]],Table13[MFR &amp; MDL],Table13[Tolerance % CW ],"")/100*Table1[[#This Row],[Std Nom]]),"")</f>
        <v/>
      </c>
      <c r="P1564" s="1" t="str">
        <f>IFERROR(Table1[[#This Row],[Std Nom]]+(_xlfn.XLOOKUP(Table1[[#This Row],[Manufacturer]]&amp;" "&amp;Table1[[#This Row],[Model]],Table13[MFR &amp; MDL],Table13[Tolerance % CW ],"")/100*Table1[[#This Row],[Std Nom]]),"")</f>
        <v/>
      </c>
      <c r="Q1564" s="1" t="e">
        <f>Table1[[#This Row],[High Tol]]-Table1[[#This Row],[Low Tol]]</f>
        <v>#VALUE!</v>
      </c>
      <c r="R1564" s="1">
        <f>2*Table1[[#This Row],[Std Error]]</f>
        <v>0</v>
      </c>
      <c r="S1564" s="1" t="str">
        <f>IF(Table1[[#This Row],[High Tol]]="","N/A",IFERROR(ABS(Table1[[#This Row],[Tol Span]]/Table1[[#This Row],[Error Span]]),"N/A"))</f>
        <v>N/A</v>
      </c>
      <c r="T1564" s="1" t="str">
        <f>IF(OR(Table1[[#This Row],[Low Tol]]="",Table1[[#This Row],[High Tol]]=""),"Needs Analysis",IF(Table1[[#This Row],[Ratio]]&gt;=4,"Not Significant",IF(Table1[[#This Row],[Ratio]]&gt;=2,"Semi-Significant","Significant")))</f>
        <v>Needs Analysis</v>
      </c>
      <c r="W1564" s="1">
        <f>IF(Table1[[#This Row],[Cal Type]]&lt;&gt;"ACCREDITED 17025 WITH UNCERTAINTIES",0,"")</f>
        <v>0</v>
      </c>
      <c r="X1564" s="1" t="str">
        <f>IF(Table1[[#This Row],[DUT Read]]="","N/A",Table1[[#This Row],[Std Error]]+Table1[[#This Row],[DUT Read]]+Table1[[#This Row],[DUT Ucty]])</f>
        <v>N/A</v>
      </c>
      <c r="Y1564" s="1" t="str">
        <f>IF(Table1[[#This Row],[Std Read]]="","N/A",Table1[[#This Row],[Std Read]]+Table1[[#This Row],[Std Ucty]])</f>
        <v>N/A</v>
      </c>
      <c r="Z15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4" s="1" t="str">
        <f>IF(Table1[[#This Row],[Spec Type]]="","N/A",Table1[[#This Row],[Spec Type]])</f>
        <v>±</v>
      </c>
      <c r="AC1564" s="1" t="str">
        <f>IF(Table1[[#This Row],[Spec Type2]]="N/A","N/A",IF(AND(Table1[[#This Row],[DUT Adj Read]]&gt;=Table1[[#This Row],[Low Tol]],Table1[[#This Row],[DUT Adj Read]]&lt;=Table1[[#This Row],[High Tol]]),"Pass","Fail"))</f>
        <v>Fail</v>
      </c>
      <c r="AD1564" s="1" t="str">
        <f>IF(AND(Table1[[#This Row],[Spec Type2]]="N/A",Table1[[#This Row],[DUT Adj Read]]="N/A",Table1[[#This Row],[Std Adj Read]]="N/A"),"N/A",IF(Table1[[#This Row],[DUT Adj Read]]="N/A",IF(Table1[[#This Row],[Std Adj Read]]&gt;Table1[[#This Row],[Low Tol]],"Pass","Fail"),IF(Table1[[#This Row],[DUT Adj Read]]&gt;Table1[[#This Row],[Low Tol]],"Pass","Fail")))</f>
        <v>Pass</v>
      </c>
      <c r="AE1564" s="1" t="str">
        <f>IF(AND(Table1[[#This Row],[Spec Type2]]="N/A",Table1[[#This Row],[DUT Adj Read]]="N/A",Table1[[#This Row],[Std Adj Read]]="N/A"),"N/A",IF(Table1[[#This Row],[DUT Adj Read]]="N/A",IF(Table1[[#This Row],[Std Adj Read]]&lt;Table1[[#This Row],[High Tol]],"Pass","Fail"),IF(Table1[[#This Row],[DUT Adj Read]]&lt;Table1[[#This Row],[High Tol]],"Pass","Fail")))</f>
        <v>Fail</v>
      </c>
      <c r="AF1564" s="1" t="str">
        <f>IF(AND(Table1[[#This Row],[Spec Type2]]="N/A",Table1[[#This Row],[DUT Adj Read]]="N/A",Table1[[#This Row],[Std Adj Read]]="N/A"),"N/A",IF(Table1[[#This Row],[DUT Adj Read]]="N/A",IF(Table1[[#This Row],[Std Adj Read]]&gt;=Table1[[#This Row],[Low Tol]],"Pass","Fail"),IF(Table1[[#This Row],[DUT Adj Read]]&gt;=Table1[[#This Row],[Low Tol]],"Pass","Fail")))</f>
        <v>Pass</v>
      </c>
      <c r="AG1564" s="1" t="str">
        <f>IF(AND(Table1[[#This Row],[Spec Type2]]="N/A",Table1[[#This Row],[DUT Adj Read]]="N/A",Table1[[#This Row],[Std Adj Read]]="N/A"),"N/A",IF(Table1[[#This Row],[DUT Adj Read]]="N/A",IF(Table1[[#This Row],[Std Adj Read]]&lt;=Table1[[#This Row],[High Tol]],"Pass","Fail"),IF(Table1[[#This Row],[DUT Adj Read]]&lt;=Table1[[#This Row],[High Tol]],"Pass","Fail")))</f>
        <v>Fail</v>
      </c>
      <c r="AH15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4" s="1" t="b">
        <v>0</v>
      </c>
      <c r="AN1564" s="1" t="b">
        <v>0</v>
      </c>
      <c r="AO1564" s="1" t="b">
        <v>0</v>
      </c>
    </row>
    <row r="1565" spans="1:41" x14ac:dyDescent="0.25">
      <c r="A1565" s="10"/>
      <c r="B1565" s="10"/>
      <c r="C1565" s="10"/>
      <c r="D1565" s="10"/>
      <c r="E1565" s="10"/>
      <c r="F1565" s="10"/>
      <c r="G1565" s="10"/>
      <c r="H1565" s="10"/>
      <c r="I1565" s="1" t="str">
        <f t="shared" si="72"/>
        <v/>
      </c>
      <c r="J1565" s="1" t="s">
        <v>35</v>
      </c>
      <c r="K1565" s="1" t="str">
        <f t="shared" si="73"/>
        <v/>
      </c>
      <c r="L1565" s="1" t="str">
        <f t="shared" si="74"/>
        <v/>
      </c>
      <c r="M1565" s="1">
        <f>IF(OR(Table1[[#This Row],[Std Nom]]="",Table1[[#This Row],[Std Read]]=""),0,Table1[[#This Row],[Std Nom]]-Table1[[#This Row],[Std Read]])</f>
        <v>0</v>
      </c>
      <c r="N1565" s="1">
        <f>IF(Calculations!$F$5="ACCREDITED 17025 WITH UNCERTAINTIES",$N$10,0)</f>
        <v>0</v>
      </c>
      <c r="O1565" s="1" t="str">
        <f>IFERROR(Table1[[#This Row],[Std Nom]]-(_xlfn.XLOOKUP(Table1[[#This Row],[Manufacturer]]&amp;" "&amp;Table1[[#This Row],[Model]],Table13[MFR &amp; MDL],Table13[Tolerance % CW ],"")/100*Table1[[#This Row],[Std Nom]]),"")</f>
        <v/>
      </c>
      <c r="P1565" s="1" t="str">
        <f>IFERROR(Table1[[#This Row],[Std Nom]]+(_xlfn.XLOOKUP(Table1[[#This Row],[Manufacturer]]&amp;" "&amp;Table1[[#This Row],[Model]],Table13[MFR &amp; MDL],Table13[Tolerance % CW ],"")/100*Table1[[#This Row],[Std Nom]]),"")</f>
        <v/>
      </c>
      <c r="Q1565" s="1" t="e">
        <f>Table1[[#This Row],[High Tol]]-Table1[[#This Row],[Low Tol]]</f>
        <v>#VALUE!</v>
      </c>
      <c r="R1565" s="1">
        <f>2*Table1[[#This Row],[Std Error]]</f>
        <v>0</v>
      </c>
      <c r="S1565" s="1" t="str">
        <f>IF(Table1[[#This Row],[High Tol]]="","N/A",IFERROR(ABS(Table1[[#This Row],[Tol Span]]/Table1[[#This Row],[Error Span]]),"N/A"))</f>
        <v>N/A</v>
      </c>
      <c r="T1565" s="1" t="str">
        <f>IF(OR(Table1[[#This Row],[Low Tol]]="",Table1[[#This Row],[High Tol]]=""),"Needs Analysis",IF(Table1[[#This Row],[Ratio]]&gt;=4,"Not Significant",IF(Table1[[#This Row],[Ratio]]&gt;=2,"Semi-Significant","Significant")))</f>
        <v>Needs Analysis</v>
      </c>
      <c r="W1565" s="1">
        <f>IF(Table1[[#This Row],[Cal Type]]&lt;&gt;"ACCREDITED 17025 WITH UNCERTAINTIES",0,"")</f>
        <v>0</v>
      </c>
      <c r="X1565" s="1" t="str">
        <f>IF(Table1[[#This Row],[DUT Read]]="","N/A",Table1[[#This Row],[Std Error]]+Table1[[#This Row],[DUT Read]]+Table1[[#This Row],[DUT Ucty]])</f>
        <v>N/A</v>
      </c>
      <c r="Y1565" s="1" t="str">
        <f>IF(Table1[[#This Row],[Std Read]]="","N/A",Table1[[#This Row],[Std Read]]+Table1[[#This Row],[Std Ucty]])</f>
        <v>N/A</v>
      </c>
      <c r="Z15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5" s="1" t="str">
        <f>IF(Table1[[#This Row],[Spec Type]]="","N/A",Table1[[#This Row],[Spec Type]])</f>
        <v>±</v>
      </c>
      <c r="AC1565" s="1" t="str">
        <f>IF(Table1[[#This Row],[Spec Type2]]="N/A","N/A",IF(AND(Table1[[#This Row],[DUT Adj Read]]&gt;=Table1[[#This Row],[Low Tol]],Table1[[#This Row],[DUT Adj Read]]&lt;=Table1[[#This Row],[High Tol]]),"Pass","Fail"))</f>
        <v>Fail</v>
      </c>
      <c r="AD1565" s="1" t="str">
        <f>IF(AND(Table1[[#This Row],[Spec Type2]]="N/A",Table1[[#This Row],[DUT Adj Read]]="N/A",Table1[[#This Row],[Std Adj Read]]="N/A"),"N/A",IF(Table1[[#This Row],[DUT Adj Read]]="N/A",IF(Table1[[#This Row],[Std Adj Read]]&gt;Table1[[#This Row],[Low Tol]],"Pass","Fail"),IF(Table1[[#This Row],[DUT Adj Read]]&gt;Table1[[#This Row],[Low Tol]],"Pass","Fail")))</f>
        <v>Pass</v>
      </c>
      <c r="AE1565" s="1" t="str">
        <f>IF(AND(Table1[[#This Row],[Spec Type2]]="N/A",Table1[[#This Row],[DUT Adj Read]]="N/A",Table1[[#This Row],[Std Adj Read]]="N/A"),"N/A",IF(Table1[[#This Row],[DUT Adj Read]]="N/A",IF(Table1[[#This Row],[Std Adj Read]]&lt;Table1[[#This Row],[High Tol]],"Pass","Fail"),IF(Table1[[#This Row],[DUT Adj Read]]&lt;Table1[[#This Row],[High Tol]],"Pass","Fail")))</f>
        <v>Fail</v>
      </c>
      <c r="AF1565" s="1" t="str">
        <f>IF(AND(Table1[[#This Row],[Spec Type2]]="N/A",Table1[[#This Row],[DUT Adj Read]]="N/A",Table1[[#This Row],[Std Adj Read]]="N/A"),"N/A",IF(Table1[[#This Row],[DUT Adj Read]]="N/A",IF(Table1[[#This Row],[Std Adj Read]]&gt;=Table1[[#This Row],[Low Tol]],"Pass","Fail"),IF(Table1[[#This Row],[DUT Adj Read]]&gt;=Table1[[#This Row],[Low Tol]],"Pass","Fail")))</f>
        <v>Pass</v>
      </c>
      <c r="AG1565" s="1" t="str">
        <f>IF(AND(Table1[[#This Row],[Spec Type2]]="N/A",Table1[[#This Row],[DUT Adj Read]]="N/A",Table1[[#This Row],[Std Adj Read]]="N/A"),"N/A",IF(Table1[[#This Row],[DUT Adj Read]]="N/A",IF(Table1[[#This Row],[Std Adj Read]]&lt;=Table1[[#This Row],[High Tol]],"Pass","Fail"),IF(Table1[[#This Row],[DUT Adj Read]]&lt;=Table1[[#This Row],[High Tol]],"Pass","Fail")))</f>
        <v>Fail</v>
      </c>
      <c r="AH15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5" s="1" t="b">
        <v>0</v>
      </c>
      <c r="AN1565" s="1" t="b">
        <v>0</v>
      </c>
      <c r="AO1565" s="1" t="b">
        <v>0</v>
      </c>
    </row>
    <row r="1566" spans="1:41" x14ac:dyDescent="0.25">
      <c r="A1566" s="10"/>
      <c r="B1566" s="10"/>
      <c r="C1566" s="10"/>
      <c r="D1566" s="10"/>
      <c r="E1566" s="10"/>
      <c r="F1566" s="10"/>
      <c r="G1566" s="10"/>
      <c r="H1566" s="10"/>
      <c r="I1566" s="1" t="str">
        <f t="shared" si="72"/>
        <v/>
      </c>
      <c r="J1566" s="1" t="s">
        <v>35</v>
      </c>
      <c r="K1566" s="1" t="str">
        <f t="shared" si="73"/>
        <v/>
      </c>
      <c r="L1566" s="1" t="str">
        <f t="shared" si="74"/>
        <v/>
      </c>
      <c r="M1566" s="1">
        <f>IF(OR(Table1[[#This Row],[Std Nom]]="",Table1[[#This Row],[Std Read]]=""),0,Table1[[#This Row],[Std Nom]]-Table1[[#This Row],[Std Read]])</f>
        <v>0</v>
      </c>
      <c r="N1566" s="1">
        <f>IF(Calculations!$F$5="ACCREDITED 17025 WITH UNCERTAINTIES",$N$10,0)</f>
        <v>0</v>
      </c>
      <c r="O1566" s="1" t="str">
        <f>IFERROR(Table1[[#This Row],[Std Nom]]-(_xlfn.XLOOKUP(Table1[[#This Row],[Manufacturer]]&amp;" "&amp;Table1[[#This Row],[Model]],Table13[MFR &amp; MDL],Table13[Tolerance % CW ],"")/100*Table1[[#This Row],[Std Nom]]),"")</f>
        <v/>
      </c>
      <c r="P1566" s="1" t="str">
        <f>IFERROR(Table1[[#This Row],[Std Nom]]+(_xlfn.XLOOKUP(Table1[[#This Row],[Manufacturer]]&amp;" "&amp;Table1[[#This Row],[Model]],Table13[MFR &amp; MDL],Table13[Tolerance % CW ],"")/100*Table1[[#This Row],[Std Nom]]),"")</f>
        <v/>
      </c>
      <c r="Q1566" s="1" t="e">
        <f>Table1[[#This Row],[High Tol]]-Table1[[#This Row],[Low Tol]]</f>
        <v>#VALUE!</v>
      </c>
      <c r="R1566" s="1">
        <f>2*Table1[[#This Row],[Std Error]]</f>
        <v>0</v>
      </c>
      <c r="S1566" s="1" t="str">
        <f>IF(Table1[[#This Row],[High Tol]]="","N/A",IFERROR(ABS(Table1[[#This Row],[Tol Span]]/Table1[[#This Row],[Error Span]]),"N/A"))</f>
        <v>N/A</v>
      </c>
      <c r="T1566" s="1" t="str">
        <f>IF(OR(Table1[[#This Row],[Low Tol]]="",Table1[[#This Row],[High Tol]]=""),"Needs Analysis",IF(Table1[[#This Row],[Ratio]]&gt;=4,"Not Significant",IF(Table1[[#This Row],[Ratio]]&gt;=2,"Semi-Significant","Significant")))</f>
        <v>Needs Analysis</v>
      </c>
      <c r="W1566" s="1">
        <f>IF(Table1[[#This Row],[Cal Type]]&lt;&gt;"ACCREDITED 17025 WITH UNCERTAINTIES",0,"")</f>
        <v>0</v>
      </c>
      <c r="X1566" s="1" t="str">
        <f>IF(Table1[[#This Row],[DUT Read]]="","N/A",Table1[[#This Row],[Std Error]]+Table1[[#This Row],[DUT Read]]+Table1[[#This Row],[DUT Ucty]])</f>
        <v>N/A</v>
      </c>
      <c r="Y1566" s="1" t="str">
        <f>IF(Table1[[#This Row],[Std Read]]="","N/A",Table1[[#This Row],[Std Read]]+Table1[[#This Row],[Std Ucty]])</f>
        <v>N/A</v>
      </c>
      <c r="Z15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6" s="1" t="str">
        <f>IF(Table1[[#This Row],[Spec Type]]="","N/A",Table1[[#This Row],[Spec Type]])</f>
        <v>±</v>
      </c>
      <c r="AC1566" s="1" t="str">
        <f>IF(Table1[[#This Row],[Spec Type2]]="N/A","N/A",IF(AND(Table1[[#This Row],[DUT Adj Read]]&gt;=Table1[[#This Row],[Low Tol]],Table1[[#This Row],[DUT Adj Read]]&lt;=Table1[[#This Row],[High Tol]]),"Pass","Fail"))</f>
        <v>Fail</v>
      </c>
      <c r="AD1566" s="1" t="str">
        <f>IF(AND(Table1[[#This Row],[Spec Type2]]="N/A",Table1[[#This Row],[DUT Adj Read]]="N/A",Table1[[#This Row],[Std Adj Read]]="N/A"),"N/A",IF(Table1[[#This Row],[DUT Adj Read]]="N/A",IF(Table1[[#This Row],[Std Adj Read]]&gt;Table1[[#This Row],[Low Tol]],"Pass","Fail"),IF(Table1[[#This Row],[DUT Adj Read]]&gt;Table1[[#This Row],[Low Tol]],"Pass","Fail")))</f>
        <v>Pass</v>
      </c>
      <c r="AE1566" s="1" t="str">
        <f>IF(AND(Table1[[#This Row],[Spec Type2]]="N/A",Table1[[#This Row],[DUT Adj Read]]="N/A",Table1[[#This Row],[Std Adj Read]]="N/A"),"N/A",IF(Table1[[#This Row],[DUT Adj Read]]="N/A",IF(Table1[[#This Row],[Std Adj Read]]&lt;Table1[[#This Row],[High Tol]],"Pass","Fail"),IF(Table1[[#This Row],[DUT Adj Read]]&lt;Table1[[#This Row],[High Tol]],"Pass","Fail")))</f>
        <v>Fail</v>
      </c>
      <c r="AF1566" s="1" t="str">
        <f>IF(AND(Table1[[#This Row],[Spec Type2]]="N/A",Table1[[#This Row],[DUT Adj Read]]="N/A",Table1[[#This Row],[Std Adj Read]]="N/A"),"N/A",IF(Table1[[#This Row],[DUT Adj Read]]="N/A",IF(Table1[[#This Row],[Std Adj Read]]&gt;=Table1[[#This Row],[Low Tol]],"Pass","Fail"),IF(Table1[[#This Row],[DUT Adj Read]]&gt;=Table1[[#This Row],[Low Tol]],"Pass","Fail")))</f>
        <v>Pass</v>
      </c>
      <c r="AG1566" s="1" t="str">
        <f>IF(AND(Table1[[#This Row],[Spec Type2]]="N/A",Table1[[#This Row],[DUT Adj Read]]="N/A",Table1[[#This Row],[Std Adj Read]]="N/A"),"N/A",IF(Table1[[#This Row],[DUT Adj Read]]="N/A",IF(Table1[[#This Row],[Std Adj Read]]&lt;=Table1[[#This Row],[High Tol]],"Pass","Fail"),IF(Table1[[#This Row],[DUT Adj Read]]&lt;=Table1[[#This Row],[High Tol]],"Pass","Fail")))</f>
        <v>Fail</v>
      </c>
      <c r="AH15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6" s="1" t="b">
        <v>0</v>
      </c>
      <c r="AN1566" s="1" t="b">
        <v>0</v>
      </c>
      <c r="AO1566" s="1" t="b">
        <v>0</v>
      </c>
    </row>
    <row r="1567" spans="1:41" x14ac:dyDescent="0.25">
      <c r="A1567" s="10"/>
      <c r="B1567" s="10"/>
      <c r="C1567" s="10"/>
      <c r="D1567" s="10"/>
      <c r="E1567" s="10"/>
      <c r="F1567" s="10"/>
      <c r="G1567" s="10"/>
      <c r="H1567" s="10"/>
      <c r="I1567" s="1" t="str">
        <f t="shared" si="72"/>
        <v/>
      </c>
      <c r="J1567" s="1" t="s">
        <v>35</v>
      </c>
      <c r="K1567" s="1" t="str">
        <f t="shared" si="73"/>
        <v/>
      </c>
      <c r="L1567" s="1" t="str">
        <f t="shared" si="74"/>
        <v/>
      </c>
      <c r="M1567" s="1">
        <f>IF(OR(Table1[[#This Row],[Std Nom]]="",Table1[[#This Row],[Std Read]]=""),0,Table1[[#This Row],[Std Nom]]-Table1[[#This Row],[Std Read]])</f>
        <v>0</v>
      </c>
      <c r="N1567" s="1">
        <f>IF(Calculations!$F$5="ACCREDITED 17025 WITH UNCERTAINTIES",$N$10,0)</f>
        <v>0</v>
      </c>
      <c r="O1567" s="1" t="str">
        <f>IFERROR(Table1[[#This Row],[Std Nom]]-(_xlfn.XLOOKUP(Table1[[#This Row],[Manufacturer]]&amp;" "&amp;Table1[[#This Row],[Model]],Table13[MFR &amp; MDL],Table13[Tolerance % CW ],"")/100*Table1[[#This Row],[Std Nom]]),"")</f>
        <v/>
      </c>
      <c r="P1567" s="1" t="str">
        <f>IFERROR(Table1[[#This Row],[Std Nom]]+(_xlfn.XLOOKUP(Table1[[#This Row],[Manufacturer]]&amp;" "&amp;Table1[[#This Row],[Model]],Table13[MFR &amp; MDL],Table13[Tolerance % CW ],"")/100*Table1[[#This Row],[Std Nom]]),"")</f>
        <v/>
      </c>
      <c r="Q1567" s="1" t="e">
        <f>Table1[[#This Row],[High Tol]]-Table1[[#This Row],[Low Tol]]</f>
        <v>#VALUE!</v>
      </c>
      <c r="R1567" s="1">
        <f>2*Table1[[#This Row],[Std Error]]</f>
        <v>0</v>
      </c>
      <c r="S1567" s="1" t="str">
        <f>IF(Table1[[#This Row],[High Tol]]="","N/A",IFERROR(ABS(Table1[[#This Row],[Tol Span]]/Table1[[#This Row],[Error Span]]),"N/A"))</f>
        <v>N/A</v>
      </c>
      <c r="T1567" s="1" t="str">
        <f>IF(OR(Table1[[#This Row],[Low Tol]]="",Table1[[#This Row],[High Tol]]=""),"Needs Analysis",IF(Table1[[#This Row],[Ratio]]&gt;=4,"Not Significant",IF(Table1[[#This Row],[Ratio]]&gt;=2,"Semi-Significant","Significant")))</f>
        <v>Needs Analysis</v>
      </c>
      <c r="W1567" s="1">
        <f>IF(Table1[[#This Row],[Cal Type]]&lt;&gt;"ACCREDITED 17025 WITH UNCERTAINTIES",0,"")</f>
        <v>0</v>
      </c>
      <c r="X1567" s="1" t="str">
        <f>IF(Table1[[#This Row],[DUT Read]]="","N/A",Table1[[#This Row],[Std Error]]+Table1[[#This Row],[DUT Read]]+Table1[[#This Row],[DUT Ucty]])</f>
        <v>N/A</v>
      </c>
      <c r="Y1567" s="1" t="str">
        <f>IF(Table1[[#This Row],[Std Read]]="","N/A",Table1[[#This Row],[Std Read]]+Table1[[#This Row],[Std Ucty]])</f>
        <v>N/A</v>
      </c>
      <c r="Z15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7" s="1" t="str">
        <f>IF(Table1[[#This Row],[Spec Type]]="","N/A",Table1[[#This Row],[Spec Type]])</f>
        <v>±</v>
      </c>
      <c r="AC1567" s="1" t="str">
        <f>IF(Table1[[#This Row],[Spec Type2]]="N/A","N/A",IF(AND(Table1[[#This Row],[DUT Adj Read]]&gt;=Table1[[#This Row],[Low Tol]],Table1[[#This Row],[DUT Adj Read]]&lt;=Table1[[#This Row],[High Tol]]),"Pass","Fail"))</f>
        <v>Fail</v>
      </c>
      <c r="AD1567" s="1" t="str">
        <f>IF(AND(Table1[[#This Row],[Spec Type2]]="N/A",Table1[[#This Row],[DUT Adj Read]]="N/A",Table1[[#This Row],[Std Adj Read]]="N/A"),"N/A",IF(Table1[[#This Row],[DUT Adj Read]]="N/A",IF(Table1[[#This Row],[Std Adj Read]]&gt;Table1[[#This Row],[Low Tol]],"Pass","Fail"),IF(Table1[[#This Row],[DUT Adj Read]]&gt;Table1[[#This Row],[Low Tol]],"Pass","Fail")))</f>
        <v>Pass</v>
      </c>
      <c r="AE1567" s="1" t="str">
        <f>IF(AND(Table1[[#This Row],[Spec Type2]]="N/A",Table1[[#This Row],[DUT Adj Read]]="N/A",Table1[[#This Row],[Std Adj Read]]="N/A"),"N/A",IF(Table1[[#This Row],[DUT Adj Read]]="N/A",IF(Table1[[#This Row],[Std Adj Read]]&lt;Table1[[#This Row],[High Tol]],"Pass","Fail"),IF(Table1[[#This Row],[DUT Adj Read]]&lt;Table1[[#This Row],[High Tol]],"Pass","Fail")))</f>
        <v>Fail</v>
      </c>
      <c r="AF1567" s="1" t="str">
        <f>IF(AND(Table1[[#This Row],[Spec Type2]]="N/A",Table1[[#This Row],[DUT Adj Read]]="N/A",Table1[[#This Row],[Std Adj Read]]="N/A"),"N/A",IF(Table1[[#This Row],[DUT Adj Read]]="N/A",IF(Table1[[#This Row],[Std Adj Read]]&gt;=Table1[[#This Row],[Low Tol]],"Pass","Fail"),IF(Table1[[#This Row],[DUT Adj Read]]&gt;=Table1[[#This Row],[Low Tol]],"Pass","Fail")))</f>
        <v>Pass</v>
      </c>
      <c r="AG1567" s="1" t="str">
        <f>IF(AND(Table1[[#This Row],[Spec Type2]]="N/A",Table1[[#This Row],[DUT Adj Read]]="N/A",Table1[[#This Row],[Std Adj Read]]="N/A"),"N/A",IF(Table1[[#This Row],[DUT Adj Read]]="N/A",IF(Table1[[#This Row],[Std Adj Read]]&lt;=Table1[[#This Row],[High Tol]],"Pass","Fail"),IF(Table1[[#This Row],[DUT Adj Read]]&lt;=Table1[[#This Row],[High Tol]],"Pass","Fail")))</f>
        <v>Fail</v>
      </c>
      <c r="AH15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7" s="1" t="b">
        <v>0</v>
      </c>
      <c r="AN1567" s="1" t="b">
        <v>0</v>
      </c>
      <c r="AO1567" s="1" t="b">
        <v>0</v>
      </c>
    </row>
    <row r="1568" spans="1:41" x14ac:dyDescent="0.25">
      <c r="A1568" s="10"/>
      <c r="B1568" s="10"/>
      <c r="C1568" s="10"/>
      <c r="D1568" s="10"/>
      <c r="E1568" s="10"/>
      <c r="F1568" s="10"/>
      <c r="G1568" s="10"/>
      <c r="H1568" s="10"/>
      <c r="I1568" s="1" t="str">
        <f t="shared" si="72"/>
        <v/>
      </c>
      <c r="J1568" s="1" t="s">
        <v>35</v>
      </c>
      <c r="K1568" s="1" t="str">
        <f t="shared" si="73"/>
        <v/>
      </c>
      <c r="L1568" s="1" t="str">
        <f t="shared" si="74"/>
        <v/>
      </c>
      <c r="M1568" s="1">
        <f>IF(OR(Table1[[#This Row],[Std Nom]]="",Table1[[#This Row],[Std Read]]=""),0,Table1[[#This Row],[Std Nom]]-Table1[[#This Row],[Std Read]])</f>
        <v>0</v>
      </c>
      <c r="N1568" s="1">
        <f>IF(Calculations!$F$5="ACCREDITED 17025 WITH UNCERTAINTIES",$N$10,0)</f>
        <v>0</v>
      </c>
      <c r="O1568" s="1" t="str">
        <f>IFERROR(Table1[[#This Row],[Std Nom]]-(_xlfn.XLOOKUP(Table1[[#This Row],[Manufacturer]]&amp;" "&amp;Table1[[#This Row],[Model]],Table13[MFR &amp; MDL],Table13[Tolerance % CW ],"")/100*Table1[[#This Row],[Std Nom]]),"")</f>
        <v/>
      </c>
      <c r="P1568" s="1" t="str">
        <f>IFERROR(Table1[[#This Row],[Std Nom]]+(_xlfn.XLOOKUP(Table1[[#This Row],[Manufacturer]]&amp;" "&amp;Table1[[#This Row],[Model]],Table13[MFR &amp; MDL],Table13[Tolerance % CW ],"")/100*Table1[[#This Row],[Std Nom]]),"")</f>
        <v/>
      </c>
      <c r="Q1568" s="1" t="e">
        <f>Table1[[#This Row],[High Tol]]-Table1[[#This Row],[Low Tol]]</f>
        <v>#VALUE!</v>
      </c>
      <c r="R1568" s="1">
        <f>2*Table1[[#This Row],[Std Error]]</f>
        <v>0</v>
      </c>
      <c r="S1568" s="1" t="str">
        <f>IF(Table1[[#This Row],[High Tol]]="","N/A",IFERROR(ABS(Table1[[#This Row],[Tol Span]]/Table1[[#This Row],[Error Span]]),"N/A"))</f>
        <v>N/A</v>
      </c>
      <c r="T1568" s="1" t="str">
        <f>IF(OR(Table1[[#This Row],[Low Tol]]="",Table1[[#This Row],[High Tol]]=""),"Needs Analysis",IF(Table1[[#This Row],[Ratio]]&gt;=4,"Not Significant",IF(Table1[[#This Row],[Ratio]]&gt;=2,"Semi-Significant","Significant")))</f>
        <v>Needs Analysis</v>
      </c>
      <c r="W1568" s="1">
        <f>IF(Table1[[#This Row],[Cal Type]]&lt;&gt;"ACCREDITED 17025 WITH UNCERTAINTIES",0,"")</f>
        <v>0</v>
      </c>
      <c r="X1568" s="1" t="str">
        <f>IF(Table1[[#This Row],[DUT Read]]="","N/A",Table1[[#This Row],[Std Error]]+Table1[[#This Row],[DUT Read]]+Table1[[#This Row],[DUT Ucty]])</f>
        <v>N/A</v>
      </c>
      <c r="Y1568" s="1" t="str">
        <f>IF(Table1[[#This Row],[Std Read]]="","N/A",Table1[[#This Row],[Std Read]]+Table1[[#This Row],[Std Ucty]])</f>
        <v>N/A</v>
      </c>
      <c r="Z15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8" s="1" t="str">
        <f>IF(Table1[[#This Row],[Spec Type]]="","N/A",Table1[[#This Row],[Spec Type]])</f>
        <v>±</v>
      </c>
      <c r="AC1568" s="1" t="str">
        <f>IF(Table1[[#This Row],[Spec Type2]]="N/A","N/A",IF(AND(Table1[[#This Row],[DUT Adj Read]]&gt;=Table1[[#This Row],[Low Tol]],Table1[[#This Row],[DUT Adj Read]]&lt;=Table1[[#This Row],[High Tol]]),"Pass","Fail"))</f>
        <v>Fail</v>
      </c>
      <c r="AD1568" s="1" t="str">
        <f>IF(AND(Table1[[#This Row],[Spec Type2]]="N/A",Table1[[#This Row],[DUT Adj Read]]="N/A",Table1[[#This Row],[Std Adj Read]]="N/A"),"N/A",IF(Table1[[#This Row],[DUT Adj Read]]="N/A",IF(Table1[[#This Row],[Std Adj Read]]&gt;Table1[[#This Row],[Low Tol]],"Pass","Fail"),IF(Table1[[#This Row],[DUT Adj Read]]&gt;Table1[[#This Row],[Low Tol]],"Pass","Fail")))</f>
        <v>Pass</v>
      </c>
      <c r="AE1568" s="1" t="str">
        <f>IF(AND(Table1[[#This Row],[Spec Type2]]="N/A",Table1[[#This Row],[DUT Adj Read]]="N/A",Table1[[#This Row],[Std Adj Read]]="N/A"),"N/A",IF(Table1[[#This Row],[DUT Adj Read]]="N/A",IF(Table1[[#This Row],[Std Adj Read]]&lt;Table1[[#This Row],[High Tol]],"Pass","Fail"),IF(Table1[[#This Row],[DUT Adj Read]]&lt;Table1[[#This Row],[High Tol]],"Pass","Fail")))</f>
        <v>Fail</v>
      </c>
      <c r="AF1568" s="1" t="str">
        <f>IF(AND(Table1[[#This Row],[Spec Type2]]="N/A",Table1[[#This Row],[DUT Adj Read]]="N/A",Table1[[#This Row],[Std Adj Read]]="N/A"),"N/A",IF(Table1[[#This Row],[DUT Adj Read]]="N/A",IF(Table1[[#This Row],[Std Adj Read]]&gt;=Table1[[#This Row],[Low Tol]],"Pass","Fail"),IF(Table1[[#This Row],[DUT Adj Read]]&gt;=Table1[[#This Row],[Low Tol]],"Pass","Fail")))</f>
        <v>Pass</v>
      </c>
      <c r="AG1568" s="1" t="str">
        <f>IF(AND(Table1[[#This Row],[Spec Type2]]="N/A",Table1[[#This Row],[DUT Adj Read]]="N/A",Table1[[#This Row],[Std Adj Read]]="N/A"),"N/A",IF(Table1[[#This Row],[DUT Adj Read]]="N/A",IF(Table1[[#This Row],[Std Adj Read]]&lt;=Table1[[#This Row],[High Tol]],"Pass","Fail"),IF(Table1[[#This Row],[DUT Adj Read]]&lt;=Table1[[#This Row],[High Tol]],"Pass","Fail")))</f>
        <v>Fail</v>
      </c>
      <c r="AH15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8" s="1" t="b">
        <v>0</v>
      </c>
      <c r="AN1568" s="1" t="b">
        <v>0</v>
      </c>
      <c r="AO1568" s="1" t="b">
        <v>0</v>
      </c>
    </row>
    <row r="1569" spans="1:41" x14ac:dyDescent="0.25">
      <c r="A1569" s="10"/>
      <c r="B1569" s="10"/>
      <c r="C1569" s="10"/>
      <c r="D1569" s="10"/>
      <c r="E1569" s="10"/>
      <c r="F1569" s="10"/>
      <c r="G1569" s="10"/>
      <c r="H1569" s="10"/>
      <c r="I1569" s="1" t="str">
        <f t="shared" si="72"/>
        <v/>
      </c>
      <c r="J1569" s="1" t="s">
        <v>35</v>
      </c>
      <c r="K1569" s="1" t="str">
        <f t="shared" si="73"/>
        <v/>
      </c>
      <c r="L1569" s="1" t="str">
        <f t="shared" si="74"/>
        <v/>
      </c>
      <c r="M1569" s="1">
        <f>IF(OR(Table1[[#This Row],[Std Nom]]="",Table1[[#This Row],[Std Read]]=""),0,Table1[[#This Row],[Std Nom]]-Table1[[#This Row],[Std Read]])</f>
        <v>0</v>
      </c>
      <c r="N1569" s="1">
        <f>IF(Calculations!$F$5="ACCREDITED 17025 WITH UNCERTAINTIES",$N$10,0)</f>
        <v>0</v>
      </c>
      <c r="O1569" s="1" t="str">
        <f>IFERROR(Table1[[#This Row],[Std Nom]]-(_xlfn.XLOOKUP(Table1[[#This Row],[Manufacturer]]&amp;" "&amp;Table1[[#This Row],[Model]],Table13[MFR &amp; MDL],Table13[Tolerance % CW ],"")/100*Table1[[#This Row],[Std Nom]]),"")</f>
        <v/>
      </c>
      <c r="P1569" s="1" t="str">
        <f>IFERROR(Table1[[#This Row],[Std Nom]]+(_xlfn.XLOOKUP(Table1[[#This Row],[Manufacturer]]&amp;" "&amp;Table1[[#This Row],[Model]],Table13[MFR &amp; MDL],Table13[Tolerance % CW ],"")/100*Table1[[#This Row],[Std Nom]]),"")</f>
        <v/>
      </c>
      <c r="Q1569" s="1" t="e">
        <f>Table1[[#This Row],[High Tol]]-Table1[[#This Row],[Low Tol]]</f>
        <v>#VALUE!</v>
      </c>
      <c r="R1569" s="1">
        <f>2*Table1[[#This Row],[Std Error]]</f>
        <v>0</v>
      </c>
      <c r="S1569" s="1" t="str">
        <f>IF(Table1[[#This Row],[High Tol]]="","N/A",IFERROR(ABS(Table1[[#This Row],[Tol Span]]/Table1[[#This Row],[Error Span]]),"N/A"))</f>
        <v>N/A</v>
      </c>
      <c r="T1569" s="1" t="str">
        <f>IF(OR(Table1[[#This Row],[Low Tol]]="",Table1[[#This Row],[High Tol]]=""),"Needs Analysis",IF(Table1[[#This Row],[Ratio]]&gt;=4,"Not Significant",IF(Table1[[#This Row],[Ratio]]&gt;=2,"Semi-Significant","Significant")))</f>
        <v>Needs Analysis</v>
      </c>
      <c r="W1569" s="1">
        <f>IF(Table1[[#This Row],[Cal Type]]&lt;&gt;"ACCREDITED 17025 WITH UNCERTAINTIES",0,"")</f>
        <v>0</v>
      </c>
      <c r="X1569" s="1" t="str">
        <f>IF(Table1[[#This Row],[DUT Read]]="","N/A",Table1[[#This Row],[Std Error]]+Table1[[#This Row],[DUT Read]]+Table1[[#This Row],[DUT Ucty]])</f>
        <v>N/A</v>
      </c>
      <c r="Y1569" s="1" t="str">
        <f>IF(Table1[[#This Row],[Std Read]]="","N/A",Table1[[#This Row],[Std Read]]+Table1[[#This Row],[Std Ucty]])</f>
        <v>N/A</v>
      </c>
      <c r="Z15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9" s="1" t="str">
        <f>IF(Table1[[#This Row],[Spec Type]]="","N/A",Table1[[#This Row],[Spec Type]])</f>
        <v>±</v>
      </c>
      <c r="AC1569" s="1" t="str">
        <f>IF(Table1[[#This Row],[Spec Type2]]="N/A","N/A",IF(AND(Table1[[#This Row],[DUT Adj Read]]&gt;=Table1[[#This Row],[Low Tol]],Table1[[#This Row],[DUT Adj Read]]&lt;=Table1[[#This Row],[High Tol]]),"Pass","Fail"))</f>
        <v>Fail</v>
      </c>
      <c r="AD1569" s="1" t="str">
        <f>IF(AND(Table1[[#This Row],[Spec Type2]]="N/A",Table1[[#This Row],[DUT Adj Read]]="N/A",Table1[[#This Row],[Std Adj Read]]="N/A"),"N/A",IF(Table1[[#This Row],[DUT Adj Read]]="N/A",IF(Table1[[#This Row],[Std Adj Read]]&gt;Table1[[#This Row],[Low Tol]],"Pass","Fail"),IF(Table1[[#This Row],[DUT Adj Read]]&gt;Table1[[#This Row],[Low Tol]],"Pass","Fail")))</f>
        <v>Pass</v>
      </c>
      <c r="AE1569" s="1" t="str">
        <f>IF(AND(Table1[[#This Row],[Spec Type2]]="N/A",Table1[[#This Row],[DUT Adj Read]]="N/A",Table1[[#This Row],[Std Adj Read]]="N/A"),"N/A",IF(Table1[[#This Row],[DUT Adj Read]]="N/A",IF(Table1[[#This Row],[Std Adj Read]]&lt;Table1[[#This Row],[High Tol]],"Pass","Fail"),IF(Table1[[#This Row],[DUT Adj Read]]&lt;Table1[[#This Row],[High Tol]],"Pass","Fail")))</f>
        <v>Fail</v>
      </c>
      <c r="AF1569" s="1" t="str">
        <f>IF(AND(Table1[[#This Row],[Spec Type2]]="N/A",Table1[[#This Row],[DUT Adj Read]]="N/A",Table1[[#This Row],[Std Adj Read]]="N/A"),"N/A",IF(Table1[[#This Row],[DUT Adj Read]]="N/A",IF(Table1[[#This Row],[Std Adj Read]]&gt;=Table1[[#This Row],[Low Tol]],"Pass","Fail"),IF(Table1[[#This Row],[DUT Adj Read]]&gt;=Table1[[#This Row],[Low Tol]],"Pass","Fail")))</f>
        <v>Pass</v>
      </c>
      <c r="AG1569" s="1" t="str">
        <f>IF(AND(Table1[[#This Row],[Spec Type2]]="N/A",Table1[[#This Row],[DUT Adj Read]]="N/A",Table1[[#This Row],[Std Adj Read]]="N/A"),"N/A",IF(Table1[[#This Row],[DUT Adj Read]]="N/A",IF(Table1[[#This Row],[Std Adj Read]]&lt;=Table1[[#This Row],[High Tol]],"Pass","Fail"),IF(Table1[[#This Row],[DUT Adj Read]]&lt;=Table1[[#This Row],[High Tol]],"Pass","Fail")))</f>
        <v>Fail</v>
      </c>
      <c r="AH15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9" s="1" t="b">
        <v>0</v>
      </c>
      <c r="AN1569" s="1" t="b">
        <v>0</v>
      </c>
      <c r="AO1569" s="1" t="b">
        <v>0</v>
      </c>
    </row>
    <row r="1570" spans="1:41" x14ac:dyDescent="0.25">
      <c r="A1570" s="10"/>
      <c r="B1570" s="10"/>
      <c r="C1570" s="10"/>
      <c r="D1570" s="10"/>
      <c r="E1570" s="10"/>
      <c r="F1570" s="10"/>
      <c r="G1570" s="10"/>
      <c r="H1570" s="10"/>
      <c r="I1570" s="1" t="str">
        <f t="shared" si="72"/>
        <v/>
      </c>
      <c r="J1570" s="1" t="s">
        <v>35</v>
      </c>
      <c r="K1570" s="1" t="str">
        <f t="shared" si="73"/>
        <v/>
      </c>
      <c r="L1570" s="1" t="str">
        <f t="shared" si="74"/>
        <v/>
      </c>
      <c r="M1570" s="1">
        <f>IF(OR(Table1[[#This Row],[Std Nom]]="",Table1[[#This Row],[Std Read]]=""),0,Table1[[#This Row],[Std Nom]]-Table1[[#This Row],[Std Read]])</f>
        <v>0</v>
      </c>
      <c r="N1570" s="1">
        <f>IF(Calculations!$F$5="ACCREDITED 17025 WITH UNCERTAINTIES",$N$10,0)</f>
        <v>0</v>
      </c>
      <c r="O1570" s="1" t="str">
        <f>IFERROR(Table1[[#This Row],[Std Nom]]-(_xlfn.XLOOKUP(Table1[[#This Row],[Manufacturer]]&amp;" "&amp;Table1[[#This Row],[Model]],Table13[MFR &amp; MDL],Table13[Tolerance % CW ],"")/100*Table1[[#This Row],[Std Nom]]),"")</f>
        <v/>
      </c>
      <c r="P1570" s="1" t="str">
        <f>IFERROR(Table1[[#This Row],[Std Nom]]+(_xlfn.XLOOKUP(Table1[[#This Row],[Manufacturer]]&amp;" "&amp;Table1[[#This Row],[Model]],Table13[MFR &amp; MDL],Table13[Tolerance % CW ],"")/100*Table1[[#This Row],[Std Nom]]),"")</f>
        <v/>
      </c>
      <c r="Q1570" s="1" t="e">
        <f>Table1[[#This Row],[High Tol]]-Table1[[#This Row],[Low Tol]]</f>
        <v>#VALUE!</v>
      </c>
      <c r="R1570" s="1">
        <f>2*Table1[[#This Row],[Std Error]]</f>
        <v>0</v>
      </c>
      <c r="S1570" s="1" t="str">
        <f>IF(Table1[[#This Row],[High Tol]]="","N/A",IFERROR(ABS(Table1[[#This Row],[Tol Span]]/Table1[[#This Row],[Error Span]]),"N/A"))</f>
        <v>N/A</v>
      </c>
      <c r="T1570" s="1" t="str">
        <f>IF(OR(Table1[[#This Row],[Low Tol]]="",Table1[[#This Row],[High Tol]]=""),"Needs Analysis",IF(Table1[[#This Row],[Ratio]]&gt;=4,"Not Significant",IF(Table1[[#This Row],[Ratio]]&gt;=2,"Semi-Significant","Significant")))</f>
        <v>Needs Analysis</v>
      </c>
      <c r="W1570" s="1">
        <f>IF(Table1[[#This Row],[Cal Type]]&lt;&gt;"ACCREDITED 17025 WITH UNCERTAINTIES",0,"")</f>
        <v>0</v>
      </c>
      <c r="X1570" s="1" t="str">
        <f>IF(Table1[[#This Row],[DUT Read]]="","N/A",Table1[[#This Row],[Std Error]]+Table1[[#This Row],[DUT Read]]+Table1[[#This Row],[DUT Ucty]])</f>
        <v>N/A</v>
      </c>
      <c r="Y1570" s="1" t="str">
        <f>IF(Table1[[#This Row],[Std Read]]="","N/A",Table1[[#This Row],[Std Read]]+Table1[[#This Row],[Std Ucty]])</f>
        <v>N/A</v>
      </c>
      <c r="Z15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0" s="1" t="str">
        <f>IF(Table1[[#This Row],[Spec Type]]="","N/A",Table1[[#This Row],[Spec Type]])</f>
        <v>±</v>
      </c>
      <c r="AC1570" s="1" t="str">
        <f>IF(Table1[[#This Row],[Spec Type2]]="N/A","N/A",IF(AND(Table1[[#This Row],[DUT Adj Read]]&gt;=Table1[[#This Row],[Low Tol]],Table1[[#This Row],[DUT Adj Read]]&lt;=Table1[[#This Row],[High Tol]]),"Pass","Fail"))</f>
        <v>Fail</v>
      </c>
      <c r="AD1570" s="1" t="str">
        <f>IF(AND(Table1[[#This Row],[Spec Type2]]="N/A",Table1[[#This Row],[DUT Adj Read]]="N/A",Table1[[#This Row],[Std Adj Read]]="N/A"),"N/A",IF(Table1[[#This Row],[DUT Adj Read]]="N/A",IF(Table1[[#This Row],[Std Adj Read]]&gt;Table1[[#This Row],[Low Tol]],"Pass","Fail"),IF(Table1[[#This Row],[DUT Adj Read]]&gt;Table1[[#This Row],[Low Tol]],"Pass","Fail")))</f>
        <v>Pass</v>
      </c>
      <c r="AE1570" s="1" t="str">
        <f>IF(AND(Table1[[#This Row],[Spec Type2]]="N/A",Table1[[#This Row],[DUT Adj Read]]="N/A",Table1[[#This Row],[Std Adj Read]]="N/A"),"N/A",IF(Table1[[#This Row],[DUT Adj Read]]="N/A",IF(Table1[[#This Row],[Std Adj Read]]&lt;Table1[[#This Row],[High Tol]],"Pass","Fail"),IF(Table1[[#This Row],[DUT Adj Read]]&lt;Table1[[#This Row],[High Tol]],"Pass","Fail")))</f>
        <v>Fail</v>
      </c>
      <c r="AF1570" s="1" t="str">
        <f>IF(AND(Table1[[#This Row],[Spec Type2]]="N/A",Table1[[#This Row],[DUT Adj Read]]="N/A",Table1[[#This Row],[Std Adj Read]]="N/A"),"N/A",IF(Table1[[#This Row],[DUT Adj Read]]="N/A",IF(Table1[[#This Row],[Std Adj Read]]&gt;=Table1[[#This Row],[Low Tol]],"Pass","Fail"),IF(Table1[[#This Row],[DUT Adj Read]]&gt;=Table1[[#This Row],[Low Tol]],"Pass","Fail")))</f>
        <v>Pass</v>
      </c>
      <c r="AG1570" s="1" t="str">
        <f>IF(AND(Table1[[#This Row],[Spec Type2]]="N/A",Table1[[#This Row],[DUT Adj Read]]="N/A",Table1[[#This Row],[Std Adj Read]]="N/A"),"N/A",IF(Table1[[#This Row],[DUT Adj Read]]="N/A",IF(Table1[[#This Row],[Std Adj Read]]&lt;=Table1[[#This Row],[High Tol]],"Pass","Fail"),IF(Table1[[#This Row],[DUT Adj Read]]&lt;=Table1[[#This Row],[High Tol]],"Pass","Fail")))</f>
        <v>Fail</v>
      </c>
      <c r="AH15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0" s="1" t="b">
        <v>0</v>
      </c>
      <c r="AN1570" s="1" t="b">
        <v>0</v>
      </c>
      <c r="AO1570" s="1" t="b">
        <v>0</v>
      </c>
    </row>
    <row r="1571" spans="1:41" x14ac:dyDescent="0.25">
      <c r="A1571" s="10"/>
      <c r="B1571" s="10"/>
      <c r="C1571" s="10"/>
      <c r="D1571" s="10"/>
      <c r="E1571" s="10"/>
      <c r="F1571" s="10"/>
      <c r="G1571" s="10"/>
      <c r="H1571" s="10"/>
      <c r="I1571" s="1" t="str">
        <f t="shared" si="72"/>
        <v/>
      </c>
      <c r="J1571" s="1" t="s">
        <v>35</v>
      </c>
      <c r="K1571" s="1" t="str">
        <f t="shared" si="73"/>
        <v/>
      </c>
      <c r="L1571" s="1" t="str">
        <f t="shared" si="74"/>
        <v/>
      </c>
      <c r="M1571" s="1">
        <f>IF(OR(Table1[[#This Row],[Std Nom]]="",Table1[[#This Row],[Std Read]]=""),0,Table1[[#This Row],[Std Nom]]-Table1[[#This Row],[Std Read]])</f>
        <v>0</v>
      </c>
      <c r="N1571" s="1">
        <f>IF(Calculations!$F$5="ACCREDITED 17025 WITH UNCERTAINTIES",$N$10,0)</f>
        <v>0</v>
      </c>
      <c r="O1571" s="1" t="str">
        <f>IFERROR(Table1[[#This Row],[Std Nom]]-(_xlfn.XLOOKUP(Table1[[#This Row],[Manufacturer]]&amp;" "&amp;Table1[[#This Row],[Model]],Table13[MFR &amp; MDL],Table13[Tolerance % CW ],"")/100*Table1[[#This Row],[Std Nom]]),"")</f>
        <v/>
      </c>
      <c r="P1571" s="1" t="str">
        <f>IFERROR(Table1[[#This Row],[Std Nom]]+(_xlfn.XLOOKUP(Table1[[#This Row],[Manufacturer]]&amp;" "&amp;Table1[[#This Row],[Model]],Table13[MFR &amp; MDL],Table13[Tolerance % CW ],"")/100*Table1[[#This Row],[Std Nom]]),"")</f>
        <v/>
      </c>
      <c r="Q1571" s="1" t="e">
        <f>Table1[[#This Row],[High Tol]]-Table1[[#This Row],[Low Tol]]</f>
        <v>#VALUE!</v>
      </c>
      <c r="R1571" s="1">
        <f>2*Table1[[#This Row],[Std Error]]</f>
        <v>0</v>
      </c>
      <c r="S1571" s="1" t="str">
        <f>IF(Table1[[#This Row],[High Tol]]="","N/A",IFERROR(ABS(Table1[[#This Row],[Tol Span]]/Table1[[#This Row],[Error Span]]),"N/A"))</f>
        <v>N/A</v>
      </c>
      <c r="T1571" s="1" t="str">
        <f>IF(OR(Table1[[#This Row],[Low Tol]]="",Table1[[#This Row],[High Tol]]=""),"Needs Analysis",IF(Table1[[#This Row],[Ratio]]&gt;=4,"Not Significant",IF(Table1[[#This Row],[Ratio]]&gt;=2,"Semi-Significant","Significant")))</f>
        <v>Needs Analysis</v>
      </c>
      <c r="W1571" s="1">
        <f>IF(Table1[[#This Row],[Cal Type]]&lt;&gt;"ACCREDITED 17025 WITH UNCERTAINTIES",0,"")</f>
        <v>0</v>
      </c>
      <c r="X1571" s="1" t="str">
        <f>IF(Table1[[#This Row],[DUT Read]]="","N/A",Table1[[#This Row],[Std Error]]+Table1[[#This Row],[DUT Read]]+Table1[[#This Row],[DUT Ucty]])</f>
        <v>N/A</v>
      </c>
      <c r="Y1571" s="1" t="str">
        <f>IF(Table1[[#This Row],[Std Read]]="","N/A",Table1[[#This Row],[Std Read]]+Table1[[#This Row],[Std Ucty]])</f>
        <v>N/A</v>
      </c>
      <c r="Z15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1" s="1" t="str">
        <f>IF(Table1[[#This Row],[Spec Type]]="","N/A",Table1[[#This Row],[Spec Type]])</f>
        <v>±</v>
      </c>
      <c r="AC1571" s="1" t="str">
        <f>IF(Table1[[#This Row],[Spec Type2]]="N/A","N/A",IF(AND(Table1[[#This Row],[DUT Adj Read]]&gt;=Table1[[#This Row],[Low Tol]],Table1[[#This Row],[DUT Adj Read]]&lt;=Table1[[#This Row],[High Tol]]),"Pass","Fail"))</f>
        <v>Fail</v>
      </c>
      <c r="AD1571" s="1" t="str">
        <f>IF(AND(Table1[[#This Row],[Spec Type2]]="N/A",Table1[[#This Row],[DUT Adj Read]]="N/A",Table1[[#This Row],[Std Adj Read]]="N/A"),"N/A",IF(Table1[[#This Row],[DUT Adj Read]]="N/A",IF(Table1[[#This Row],[Std Adj Read]]&gt;Table1[[#This Row],[Low Tol]],"Pass","Fail"),IF(Table1[[#This Row],[DUT Adj Read]]&gt;Table1[[#This Row],[Low Tol]],"Pass","Fail")))</f>
        <v>Pass</v>
      </c>
      <c r="AE1571" s="1" t="str">
        <f>IF(AND(Table1[[#This Row],[Spec Type2]]="N/A",Table1[[#This Row],[DUT Adj Read]]="N/A",Table1[[#This Row],[Std Adj Read]]="N/A"),"N/A",IF(Table1[[#This Row],[DUT Adj Read]]="N/A",IF(Table1[[#This Row],[Std Adj Read]]&lt;Table1[[#This Row],[High Tol]],"Pass","Fail"),IF(Table1[[#This Row],[DUT Adj Read]]&lt;Table1[[#This Row],[High Tol]],"Pass","Fail")))</f>
        <v>Fail</v>
      </c>
      <c r="AF1571" s="1" t="str">
        <f>IF(AND(Table1[[#This Row],[Spec Type2]]="N/A",Table1[[#This Row],[DUT Adj Read]]="N/A",Table1[[#This Row],[Std Adj Read]]="N/A"),"N/A",IF(Table1[[#This Row],[DUT Adj Read]]="N/A",IF(Table1[[#This Row],[Std Adj Read]]&gt;=Table1[[#This Row],[Low Tol]],"Pass","Fail"),IF(Table1[[#This Row],[DUT Adj Read]]&gt;=Table1[[#This Row],[Low Tol]],"Pass","Fail")))</f>
        <v>Pass</v>
      </c>
      <c r="AG1571" s="1" t="str">
        <f>IF(AND(Table1[[#This Row],[Spec Type2]]="N/A",Table1[[#This Row],[DUT Adj Read]]="N/A",Table1[[#This Row],[Std Adj Read]]="N/A"),"N/A",IF(Table1[[#This Row],[DUT Adj Read]]="N/A",IF(Table1[[#This Row],[Std Adj Read]]&lt;=Table1[[#This Row],[High Tol]],"Pass","Fail"),IF(Table1[[#This Row],[DUT Adj Read]]&lt;=Table1[[#This Row],[High Tol]],"Pass","Fail")))</f>
        <v>Fail</v>
      </c>
      <c r="AH15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1" s="1" t="b">
        <v>0</v>
      </c>
      <c r="AN1571" s="1" t="b">
        <v>0</v>
      </c>
      <c r="AO1571" s="1" t="b">
        <v>0</v>
      </c>
    </row>
    <row r="1572" spans="1:41" x14ac:dyDescent="0.25">
      <c r="A1572" s="10"/>
      <c r="B1572" s="10"/>
      <c r="C1572" s="10"/>
      <c r="D1572" s="10"/>
      <c r="E1572" s="10"/>
      <c r="F1572" s="10"/>
      <c r="G1572" s="10"/>
      <c r="H1572" s="10"/>
      <c r="I1572" s="1" t="str">
        <f t="shared" si="72"/>
        <v/>
      </c>
      <c r="J1572" s="1" t="s">
        <v>35</v>
      </c>
      <c r="K1572" s="1" t="str">
        <f t="shared" si="73"/>
        <v/>
      </c>
      <c r="L1572" s="1" t="str">
        <f t="shared" si="74"/>
        <v/>
      </c>
      <c r="M1572" s="1">
        <f>IF(OR(Table1[[#This Row],[Std Nom]]="",Table1[[#This Row],[Std Read]]=""),0,Table1[[#This Row],[Std Nom]]-Table1[[#This Row],[Std Read]])</f>
        <v>0</v>
      </c>
      <c r="N1572" s="1">
        <f>IF(Calculations!$F$5="ACCREDITED 17025 WITH UNCERTAINTIES",$N$10,0)</f>
        <v>0</v>
      </c>
      <c r="O1572" s="1" t="str">
        <f>IFERROR(Table1[[#This Row],[Std Nom]]-(_xlfn.XLOOKUP(Table1[[#This Row],[Manufacturer]]&amp;" "&amp;Table1[[#This Row],[Model]],Table13[MFR &amp; MDL],Table13[Tolerance % CW ],"")/100*Table1[[#This Row],[Std Nom]]),"")</f>
        <v/>
      </c>
      <c r="P1572" s="1" t="str">
        <f>IFERROR(Table1[[#This Row],[Std Nom]]+(_xlfn.XLOOKUP(Table1[[#This Row],[Manufacturer]]&amp;" "&amp;Table1[[#This Row],[Model]],Table13[MFR &amp; MDL],Table13[Tolerance % CW ],"")/100*Table1[[#This Row],[Std Nom]]),"")</f>
        <v/>
      </c>
      <c r="Q1572" s="1" t="e">
        <f>Table1[[#This Row],[High Tol]]-Table1[[#This Row],[Low Tol]]</f>
        <v>#VALUE!</v>
      </c>
      <c r="R1572" s="1">
        <f>2*Table1[[#This Row],[Std Error]]</f>
        <v>0</v>
      </c>
      <c r="S1572" s="1" t="str">
        <f>IF(Table1[[#This Row],[High Tol]]="","N/A",IFERROR(ABS(Table1[[#This Row],[Tol Span]]/Table1[[#This Row],[Error Span]]),"N/A"))</f>
        <v>N/A</v>
      </c>
      <c r="T1572" s="1" t="str">
        <f>IF(OR(Table1[[#This Row],[Low Tol]]="",Table1[[#This Row],[High Tol]]=""),"Needs Analysis",IF(Table1[[#This Row],[Ratio]]&gt;=4,"Not Significant",IF(Table1[[#This Row],[Ratio]]&gt;=2,"Semi-Significant","Significant")))</f>
        <v>Needs Analysis</v>
      </c>
      <c r="W1572" s="1">
        <f>IF(Table1[[#This Row],[Cal Type]]&lt;&gt;"ACCREDITED 17025 WITH UNCERTAINTIES",0,"")</f>
        <v>0</v>
      </c>
      <c r="X1572" s="1" t="str">
        <f>IF(Table1[[#This Row],[DUT Read]]="","N/A",Table1[[#This Row],[Std Error]]+Table1[[#This Row],[DUT Read]]+Table1[[#This Row],[DUT Ucty]])</f>
        <v>N/A</v>
      </c>
      <c r="Y1572" s="1" t="str">
        <f>IF(Table1[[#This Row],[Std Read]]="","N/A",Table1[[#This Row],[Std Read]]+Table1[[#This Row],[Std Ucty]])</f>
        <v>N/A</v>
      </c>
      <c r="Z15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2" s="1" t="str">
        <f>IF(Table1[[#This Row],[Spec Type]]="","N/A",Table1[[#This Row],[Spec Type]])</f>
        <v>±</v>
      </c>
      <c r="AC1572" s="1" t="str">
        <f>IF(Table1[[#This Row],[Spec Type2]]="N/A","N/A",IF(AND(Table1[[#This Row],[DUT Adj Read]]&gt;=Table1[[#This Row],[Low Tol]],Table1[[#This Row],[DUT Adj Read]]&lt;=Table1[[#This Row],[High Tol]]),"Pass","Fail"))</f>
        <v>Fail</v>
      </c>
      <c r="AD1572" s="1" t="str">
        <f>IF(AND(Table1[[#This Row],[Spec Type2]]="N/A",Table1[[#This Row],[DUT Adj Read]]="N/A",Table1[[#This Row],[Std Adj Read]]="N/A"),"N/A",IF(Table1[[#This Row],[DUT Adj Read]]="N/A",IF(Table1[[#This Row],[Std Adj Read]]&gt;Table1[[#This Row],[Low Tol]],"Pass","Fail"),IF(Table1[[#This Row],[DUT Adj Read]]&gt;Table1[[#This Row],[Low Tol]],"Pass","Fail")))</f>
        <v>Pass</v>
      </c>
      <c r="AE1572" s="1" t="str">
        <f>IF(AND(Table1[[#This Row],[Spec Type2]]="N/A",Table1[[#This Row],[DUT Adj Read]]="N/A",Table1[[#This Row],[Std Adj Read]]="N/A"),"N/A",IF(Table1[[#This Row],[DUT Adj Read]]="N/A",IF(Table1[[#This Row],[Std Adj Read]]&lt;Table1[[#This Row],[High Tol]],"Pass","Fail"),IF(Table1[[#This Row],[DUT Adj Read]]&lt;Table1[[#This Row],[High Tol]],"Pass","Fail")))</f>
        <v>Fail</v>
      </c>
      <c r="AF1572" s="1" t="str">
        <f>IF(AND(Table1[[#This Row],[Spec Type2]]="N/A",Table1[[#This Row],[DUT Adj Read]]="N/A",Table1[[#This Row],[Std Adj Read]]="N/A"),"N/A",IF(Table1[[#This Row],[DUT Adj Read]]="N/A",IF(Table1[[#This Row],[Std Adj Read]]&gt;=Table1[[#This Row],[Low Tol]],"Pass","Fail"),IF(Table1[[#This Row],[DUT Adj Read]]&gt;=Table1[[#This Row],[Low Tol]],"Pass","Fail")))</f>
        <v>Pass</v>
      </c>
      <c r="AG1572" s="1" t="str">
        <f>IF(AND(Table1[[#This Row],[Spec Type2]]="N/A",Table1[[#This Row],[DUT Adj Read]]="N/A",Table1[[#This Row],[Std Adj Read]]="N/A"),"N/A",IF(Table1[[#This Row],[DUT Adj Read]]="N/A",IF(Table1[[#This Row],[Std Adj Read]]&lt;=Table1[[#This Row],[High Tol]],"Pass","Fail"),IF(Table1[[#This Row],[DUT Adj Read]]&lt;=Table1[[#This Row],[High Tol]],"Pass","Fail")))</f>
        <v>Fail</v>
      </c>
      <c r="AH15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2" s="1" t="b">
        <v>0</v>
      </c>
      <c r="AN1572" s="1" t="b">
        <v>0</v>
      </c>
      <c r="AO1572" s="1" t="b">
        <v>0</v>
      </c>
    </row>
    <row r="1573" spans="1:41" x14ac:dyDescent="0.25">
      <c r="A1573" s="10"/>
      <c r="B1573" s="10"/>
      <c r="C1573" s="10"/>
      <c r="D1573" s="10"/>
      <c r="E1573" s="10"/>
      <c r="F1573" s="10"/>
      <c r="G1573" s="10"/>
      <c r="H1573" s="10"/>
      <c r="I1573" s="1" t="str">
        <f t="shared" si="72"/>
        <v/>
      </c>
      <c r="J1573" s="1" t="s">
        <v>35</v>
      </c>
      <c r="K1573" s="1" t="str">
        <f t="shared" si="73"/>
        <v/>
      </c>
      <c r="L1573" s="1" t="str">
        <f t="shared" si="74"/>
        <v/>
      </c>
      <c r="M1573" s="1">
        <f>IF(OR(Table1[[#This Row],[Std Nom]]="",Table1[[#This Row],[Std Read]]=""),0,Table1[[#This Row],[Std Nom]]-Table1[[#This Row],[Std Read]])</f>
        <v>0</v>
      </c>
      <c r="N1573" s="1">
        <f>IF(Calculations!$F$5="ACCREDITED 17025 WITH UNCERTAINTIES",$N$10,0)</f>
        <v>0</v>
      </c>
      <c r="O1573" s="1" t="str">
        <f>IFERROR(Table1[[#This Row],[Std Nom]]-(_xlfn.XLOOKUP(Table1[[#This Row],[Manufacturer]]&amp;" "&amp;Table1[[#This Row],[Model]],Table13[MFR &amp; MDL],Table13[Tolerance % CW ],"")/100*Table1[[#This Row],[Std Nom]]),"")</f>
        <v/>
      </c>
      <c r="P1573" s="1" t="str">
        <f>IFERROR(Table1[[#This Row],[Std Nom]]+(_xlfn.XLOOKUP(Table1[[#This Row],[Manufacturer]]&amp;" "&amp;Table1[[#This Row],[Model]],Table13[MFR &amp; MDL],Table13[Tolerance % CW ],"")/100*Table1[[#This Row],[Std Nom]]),"")</f>
        <v/>
      </c>
      <c r="Q1573" s="1" t="e">
        <f>Table1[[#This Row],[High Tol]]-Table1[[#This Row],[Low Tol]]</f>
        <v>#VALUE!</v>
      </c>
      <c r="R1573" s="1">
        <f>2*Table1[[#This Row],[Std Error]]</f>
        <v>0</v>
      </c>
      <c r="S1573" s="1" t="str">
        <f>IF(Table1[[#This Row],[High Tol]]="","N/A",IFERROR(ABS(Table1[[#This Row],[Tol Span]]/Table1[[#This Row],[Error Span]]),"N/A"))</f>
        <v>N/A</v>
      </c>
      <c r="T1573" s="1" t="str">
        <f>IF(OR(Table1[[#This Row],[Low Tol]]="",Table1[[#This Row],[High Tol]]=""),"Needs Analysis",IF(Table1[[#This Row],[Ratio]]&gt;=4,"Not Significant",IF(Table1[[#This Row],[Ratio]]&gt;=2,"Semi-Significant","Significant")))</f>
        <v>Needs Analysis</v>
      </c>
      <c r="W1573" s="1">
        <f>IF(Table1[[#This Row],[Cal Type]]&lt;&gt;"ACCREDITED 17025 WITH UNCERTAINTIES",0,"")</f>
        <v>0</v>
      </c>
      <c r="X1573" s="1" t="str">
        <f>IF(Table1[[#This Row],[DUT Read]]="","N/A",Table1[[#This Row],[Std Error]]+Table1[[#This Row],[DUT Read]]+Table1[[#This Row],[DUT Ucty]])</f>
        <v>N/A</v>
      </c>
      <c r="Y1573" s="1" t="str">
        <f>IF(Table1[[#This Row],[Std Read]]="","N/A",Table1[[#This Row],[Std Read]]+Table1[[#This Row],[Std Ucty]])</f>
        <v>N/A</v>
      </c>
      <c r="Z15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3" s="1" t="str">
        <f>IF(Table1[[#This Row],[Spec Type]]="","N/A",Table1[[#This Row],[Spec Type]])</f>
        <v>±</v>
      </c>
      <c r="AC1573" s="1" t="str">
        <f>IF(Table1[[#This Row],[Spec Type2]]="N/A","N/A",IF(AND(Table1[[#This Row],[DUT Adj Read]]&gt;=Table1[[#This Row],[Low Tol]],Table1[[#This Row],[DUT Adj Read]]&lt;=Table1[[#This Row],[High Tol]]),"Pass","Fail"))</f>
        <v>Fail</v>
      </c>
      <c r="AD1573" s="1" t="str">
        <f>IF(AND(Table1[[#This Row],[Spec Type2]]="N/A",Table1[[#This Row],[DUT Adj Read]]="N/A",Table1[[#This Row],[Std Adj Read]]="N/A"),"N/A",IF(Table1[[#This Row],[DUT Adj Read]]="N/A",IF(Table1[[#This Row],[Std Adj Read]]&gt;Table1[[#This Row],[Low Tol]],"Pass","Fail"),IF(Table1[[#This Row],[DUT Adj Read]]&gt;Table1[[#This Row],[Low Tol]],"Pass","Fail")))</f>
        <v>Pass</v>
      </c>
      <c r="AE1573" s="1" t="str">
        <f>IF(AND(Table1[[#This Row],[Spec Type2]]="N/A",Table1[[#This Row],[DUT Adj Read]]="N/A",Table1[[#This Row],[Std Adj Read]]="N/A"),"N/A",IF(Table1[[#This Row],[DUT Adj Read]]="N/A",IF(Table1[[#This Row],[Std Adj Read]]&lt;Table1[[#This Row],[High Tol]],"Pass","Fail"),IF(Table1[[#This Row],[DUT Adj Read]]&lt;Table1[[#This Row],[High Tol]],"Pass","Fail")))</f>
        <v>Fail</v>
      </c>
      <c r="AF1573" s="1" t="str">
        <f>IF(AND(Table1[[#This Row],[Spec Type2]]="N/A",Table1[[#This Row],[DUT Adj Read]]="N/A",Table1[[#This Row],[Std Adj Read]]="N/A"),"N/A",IF(Table1[[#This Row],[DUT Adj Read]]="N/A",IF(Table1[[#This Row],[Std Adj Read]]&gt;=Table1[[#This Row],[Low Tol]],"Pass","Fail"),IF(Table1[[#This Row],[DUT Adj Read]]&gt;=Table1[[#This Row],[Low Tol]],"Pass","Fail")))</f>
        <v>Pass</v>
      </c>
      <c r="AG1573" s="1" t="str">
        <f>IF(AND(Table1[[#This Row],[Spec Type2]]="N/A",Table1[[#This Row],[DUT Adj Read]]="N/A",Table1[[#This Row],[Std Adj Read]]="N/A"),"N/A",IF(Table1[[#This Row],[DUT Adj Read]]="N/A",IF(Table1[[#This Row],[Std Adj Read]]&lt;=Table1[[#This Row],[High Tol]],"Pass","Fail"),IF(Table1[[#This Row],[DUT Adj Read]]&lt;=Table1[[#This Row],[High Tol]],"Pass","Fail")))</f>
        <v>Fail</v>
      </c>
      <c r="AH15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3" s="1" t="b">
        <v>0</v>
      </c>
      <c r="AN1573" s="1" t="b">
        <v>0</v>
      </c>
      <c r="AO1573" s="1" t="b">
        <v>0</v>
      </c>
    </row>
    <row r="1574" spans="1:41" x14ac:dyDescent="0.25">
      <c r="A1574" s="10"/>
      <c r="B1574" s="10"/>
      <c r="C1574" s="10"/>
      <c r="D1574" s="10"/>
      <c r="E1574" s="10"/>
      <c r="F1574" s="10"/>
      <c r="G1574" s="10"/>
      <c r="H1574" s="10"/>
      <c r="I1574" s="1" t="str">
        <f t="shared" si="72"/>
        <v/>
      </c>
      <c r="J1574" s="1" t="s">
        <v>35</v>
      </c>
      <c r="K1574" s="1" t="str">
        <f t="shared" si="73"/>
        <v/>
      </c>
      <c r="L1574" s="1" t="str">
        <f t="shared" si="74"/>
        <v/>
      </c>
      <c r="M1574" s="1">
        <f>IF(OR(Table1[[#This Row],[Std Nom]]="",Table1[[#This Row],[Std Read]]=""),0,Table1[[#This Row],[Std Nom]]-Table1[[#This Row],[Std Read]])</f>
        <v>0</v>
      </c>
      <c r="N1574" s="1">
        <f>IF(Calculations!$F$5="ACCREDITED 17025 WITH UNCERTAINTIES",$N$10,0)</f>
        <v>0</v>
      </c>
      <c r="O1574" s="1" t="str">
        <f>IFERROR(Table1[[#This Row],[Std Nom]]-(_xlfn.XLOOKUP(Table1[[#This Row],[Manufacturer]]&amp;" "&amp;Table1[[#This Row],[Model]],Table13[MFR &amp; MDL],Table13[Tolerance % CW ],"")/100*Table1[[#This Row],[Std Nom]]),"")</f>
        <v/>
      </c>
      <c r="P1574" s="1" t="str">
        <f>IFERROR(Table1[[#This Row],[Std Nom]]+(_xlfn.XLOOKUP(Table1[[#This Row],[Manufacturer]]&amp;" "&amp;Table1[[#This Row],[Model]],Table13[MFR &amp; MDL],Table13[Tolerance % CW ],"")/100*Table1[[#This Row],[Std Nom]]),"")</f>
        <v/>
      </c>
      <c r="Q1574" s="1" t="e">
        <f>Table1[[#This Row],[High Tol]]-Table1[[#This Row],[Low Tol]]</f>
        <v>#VALUE!</v>
      </c>
      <c r="R1574" s="1">
        <f>2*Table1[[#This Row],[Std Error]]</f>
        <v>0</v>
      </c>
      <c r="S1574" s="1" t="str">
        <f>IF(Table1[[#This Row],[High Tol]]="","N/A",IFERROR(ABS(Table1[[#This Row],[Tol Span]]/Table1[[#This Row],[Error Span]]),"N/A"))</f>
        <v>N/A</v>
      </c>
      <c r="T1574" s="1" t="str">
        <f>IF(OR(Table1[[#This Row],[Low Tol]]="",Table1[[#This Row],[High Tol]]=""),"Needs Analysis",IF(Table1[[#This Row],[Ratio]]&gt;=4,"Not Significant",IF(Table1[[#This Row],[Ratio]]&gt;=2,"Semi-Significant","Significant")))</f>
        <v>Needs Analysis</v>
      </c>
      <c r="W1574" s="1">
        <f>IF(Table1[[#This Row],[Cal Type]]&lt;&gt;"ACCREDITED 17025 WITH UNCERTAINTIES",0,"")</f>
        <v>0</v>
      </c>
      <c r="X1574" s="1" t="str">
        <f>IF(Table1[[#This Row],[DUT Read]]="","N/A",Table1[[#This Row],[Std Error]]+Table1[[#This Row],[DUT Read]]+Table1[[#This Row],[DUT Ucty]])</f>
        <v>N/A</v>
      </c>
      <c r="Y1574" s="1" t="str">
        <f>IF(Table1[[#This Row],[Std Read]]="","N/A",Table1[[#This Row],[Std Read]]+Table1[[#This Row],[Std Ucty]])</f>
        <v>N/A</v>
      </c>
      <c r="Z15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4" s="1" t="str">
        <f>IF(Table1[[#This Row],[Spec Type]]="","N/A",Table1[[#This Row],[Spec Type]])</f>
        <v>±</v>
      </c>
      <c r="AC1574" s="1" t="str">
        <f>IF(Table1[[#This Row],[Spec Type2]]="N/A","N/A",IF(AND(Table1[[#This Row],[DUT Adj Read]]&gt;=Table1[[#This Row],[Low Tol]],Table1[[#This Row],[DUT Adj Read]]&lt;=Table1[[#This Row],[High Tol]]),"Pass","Fail"))</f>
        <v>Fail</v>
      </c>
      <c r="AD1574" s="1" t="str">
        <f>IF(AND(Table1[[#This Row],[Spec Type2]]="N/A",Table1[[#This Row],[DUT Adj Read]]="N/A",Table1[[#This Row],[Std Adj Read]]="N/A"),"N/A",IF(Table1[[#This Row],[DUT Adj Read]]="N/A",IF(Table1[[#This Row],[Std Adj Read]]&gt;Table1[[#This Row],[Low Tol]],"Pass","Fail"),IF(Table1[[#This Row],[DUT Adj Read]]&gt;Table1[[#This Row],[Low Tol]],"Pass","Fail")))</f>
        <v>Pass</v>
      </c>
      <c r="AE1574" s="1" t="str">
        <f>IF(AND(Table1[[#This Row],[Spec Type2]]="N/A",Table1[[#This Row],[DUT Adj Read]]="N/A",Table1[[#This Row],[Std Adj Read]]="N/A"),"N/A",IF(Table1[[#This Row],[DUT Adj Read]]="N/A",IF(Table1[[#This Row],[Std Adj Read]]&lt;Table1[[#This Row],[High Tol]],"Pass","Fail"),IF(Table1[[#This Row],[DUT Adj Read]]&lt;Table1[[#This Row],[High Tol]],"Pass","Fail")))</f>
        <v>Fail</v>
      </c>
      <c r="AF1574" s="1" t="str">
        <f>IF(AND(Table1[[#This Row],[Spec Type2]]="N/A",Table1[[#This Row],[DUT Adj Read]]="N/A",Table1[[#This Row],[Std Adj Read]]="N/A"),"N/A",IF(Table1[[#This Row],[DUT Adj Read]]="N/A",IF(Table1[[#This Row],[Std Adj Read]]&gt;=Table1[[#This Row],[Low Tol]],"Pass","Fail"),IF(Table1[[#This Row],[DUT Adj Read]]&gt;=Table1[[#This Row],[Low Tol]],"Pass","Fail")))</f>
        <v>Pass</v>
      </c>
      <c r="AG1574" s="1" t="str">
        <f>IF(AND(Table1[[#This Row],[Spec Type2]]="N/A",Table1[[#This Row],[DUT Adj Read]]="N/A",Table1[[#This Row],[Std Adj Read]]="N/A"),"N/A",IF(Table1[[#This Row],[DUT Adj Read]]="N/A",IF(Table1[[#This Row],[Std Adj Read]]&lt;=Table1[[#This Row],[High Tol]],"Pass","Fail"),IF(Table1[[#This Row],[DUT Adj Read]]&lt;=Table1[[#This Row],[High Tol]],"Pass","Fail")))</f>
        <v>Fail</v>
      </c>
      <c r="AH15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4" s="1" t="b">
        <v>0</v>
      </c>
      <c r="AN1574" s="1" t="b">
        <v>0</v>
      </c>
      <c r="AO1574" s="1" t="b">
        <v>0</v>
      </c>
    </row>
    <row r="1575" spans="1:41" x14ac:dyDescent="0.25">
      <c r="A1575" s="10"/>
      <c r="B1575" s="10"/>
      <c r="C1575" s="10"/>
      <c r="D1575" s="10"/>
      <c r="E1575" s="10"/>
      <c r="F1575" s="10"/>
      <c r="G1575" s="10"/>
      <c r="H1575" s="10"/>
      <c r="I1575" s="1" t="str">
        <f t="shared" si="72"/>
        <v/>
      </c>
      <c r="J1575" s="1" t="s">
        <v>35</v>
      </c>
      <c r="K1575" s="1" t="str">
        <f t="shared" si="73"/>
        <v/>
      </c>
      <c r="L1575" s="1" t="str">
        <f t="shared" si="74"/>
        <v/>
      </c>
      <c r="M1575" s="1">
        <f>IF(OR(Table1[[#This Row],[Std Nom]]="",Table1[[#This Row],[Std Read]]=""),0,Table1[[#This Row],[Std Nom]]-Table1[[#This Row],[Std Read]])</f>
        <v>0</v>
      </c>
      <c r="N1575" s="1">
        <f>IF(Calculations!$F$5="ACCREDITED 17025 WITH UNCERTAINTIES",$N$10,0)</f>
        <v>0</v>
      </c>
      <c r="O1575" s="1" t="str">
        <f>IFERROR(Table1[[#This Row],[Std Nom]]-(_xlfn.XLOOKUP(Table1[[#This Row],[Manufacturer]]&amp;" "&amp;Table1[[#This Row],[Model]],Table13[MFR &amp; MDL],Table13[Tolerance % CW ],"")/100*Table1[[#This Row],[Std Nom]]),"")</f>
        <v/>
      </c>
      <c r="P1575" s="1" t="str">
        <f>IFERROR(Table1[[#This Row],[Std Nom]]+(_xlfn.XLOOKUP(Table1[[#This Row],[Manufacturer]]&amp;" "&amp;Table1[[#This Row],[Model]],Table13[MFR &amp; MDL],Table13[Tolerance % CW ],"")/100*Table1[[#This Row],[Std Nom]]),"")</f>
        <v/>
      </c>
      <c r="Q1575" s="1" t="e">
        <f>Table1[[#This Row],[High Tol]]-Table1[[#This Row],[Low Tol]]</f>
        <v>#VALUE!</v>
      </c>
      <c r="R1575" s="1">
        <f>2*Table1[[#This Row],[Std Error]]</f>
        <v>0</v>
      </c>
      <c r="S1575" s="1" t="str">
        <f>IF(Table1[[#This Row],[High Tol]]="","N/A",IFERROR(ABS(Table1[[#This Row],[Tol Span]]/Table1[[#This Row],[Error Span]]),"N/A"))</f>
        <v>N/A</v>
      </c>
      <c r="T1575" s="1" t="str">
        <f>IF(OR(Table1[[#This Row],[Low Tol]]="",Table1[[#This Row],[High Tol]]=""),"Needs Analysis",IF(Table1[[#This Row],[Ratio]]&gt;=4,"Not Significant",IF(Table1[[#This Row],[Ratio]]&gt;=2,"Semi-Significant","Significant")))</f>
        <v>Needs Analysis</v>
      </c>
      <c r="W1575" s="1">
        <f>IF(Table1[[#This Row],[Cal Type]]&lt;&gt;"ACCREDITED 17025 WITH UNCERTAINTIES",0,"")</f>
        <v>0</v>
      </c>
      <c r="X1575" s="1" t="str">
        <f>IF(Table1[[#This Row],[DUT Read]]="","N/A",Table1[[#This Row],[Std Error]]+Table1[[#This Row],[DUT Read]]+Table1[[#This Row],[DUT Ucty]])</f>
        <v>N/A</v>
      </c>
      <c r="Y1575" s="1" t="str">
        <f>IF(Table1[[#This Row],[Std Read]]="","N/A",Table1[[#This Row],[Std Read]]+Table1[[#This Row],[Std Ucty]])</f>
        <v>N/A</v>
      </c>
      <c r="Z15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5" s="1" t="str">
        <f>IF(Table1[[#This Row],[Spec Type]]="","N/A",Table1[[#This Row],[Spec Type]])</f>
        <v>±</v>
      </c>
      <c r="AC1575" s="1" t="str">
        <f>IF(Table1[[#This Row],[Spec Type2]]="N/A","N/A",IF(AND(Table1[[#This Row],[DUT Adj Read]]&gt;=Table1[[#This Row],[Low Tol]],Table1[[#This Row],[DUT Adj Read]]&lt;=Table1[[#This Row],[High Tol]]),"Pass","Fail"))</f>
        <v>Fail</v>
      </c>
      <c r="AD1575" s="1" t="str">
        <f>IF(AND(Table1[[#This Row],[Spec Type2]]="N/A",Table1[[#This Row],[DUT Adj Read]]="N/A",Table1[[#This Row],[Std Adj Read]]="N/A"),"N/A",IF(Table1[[#This Row],[DUT Adj Read]]="N/A",IF(Table1[[#This Row],[Std Adj Read]]&gt;Table1[[#This Row],[Low Tol]],"Pass","Fail"),IF(Table1[[#This Row],[DUT Adj Read]]&gt;Table1[[#This Row],[Low Tol]],"Pass","Fail")))</f>
        <v>Pass</v>
      </c>
      <c r="AE1575" s="1" t="str">
        <f>IF(AND(Table1[[#This Row],[Spec Type2]]="N/A",Table1[[#This Row],[DUT Adj Read]]="N/A",Table1[[#This Row],[Std Adj Read]]="N/A"),"N/A",IF(Table1[[#This Row],[DUT Adj Read]]="N/A",IF(Table1[[#This Row],[Std Adj Read]]&lt;Table1[[#This Row],[High Tol]],"Pass","Fail"),IF(Table1[[#This Row],[DUT Adj Read]]&lt;Table1[[#This Row],[High Tol]],"Pass","Fail")))</f>
        <v>Fail</v>
      </c>
      <c r="AF1575" s="1" t="str">
        <f>IF(AND(Table1[[#This Row],[Spec Type2]]="N/A",Table1[[#This Row],[DUT Adj Read]]="N/A",Table1[[#This Row],[Std Adj Read]]="N/A"),"N/A",IF(Table1[[#This Row],[DUT Adj Read]]="N/A",IF(Table1[[#This Row],[Std Adj Read]]&gt;=Table1[[#This Row],[Low Tol]],"Pass","Fail"),IF(Table1[[#This Row],[DUT Adj Read]]&gt;=Table1[[#This Row],[Low Tol]],"Pass","Fail")))</f>
        <v>Pass</v>
      </c>
      <c r="AG1575" s="1" t="str">
        <f>IF(AND(Table1[[#This Row],[Spec Type2]]="N/A",Table1[[#This Row],[DUT Adj Read]]="N/A",Table1[[#This Row],[Std Adj Read]]="N/A"),"N/A",IF(Table1[[#This Row],[DUT Adj Read]]="N/A",IF(Table1[[#This Row],[Std Adj Read]]&lt;=Table1[[#This Row],[High Tol]],"Pass","Fail"),IF(Table1[[#This Row],[DUT Adj Read]]&lt;=Table1[[#This Row],[High Tol]],"Pass","Fail")))</f>
        <v>Fail</v>
      </c>
      <c r="AH15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5" s="1" t="b">
        <v>0</v>
      </c>
      <c r="AN1575" s="1" t="b">
        <v>0</v>
      </c>
      <c r="AO1575" s="1" t="b">
        <v>0</v>
      </c>
    </row>
    <row r="1576" spans="1:41" x14ac:dyDescent="0.25">
      <c r="A1576" s="10"/>
      <c r="B1576" s="10"/>
      <c r="C1576" s="10"/>
      <c r="D1576" s="10"/>
      <c r="E1576" s="10"/>
      <c r="F1576" s="10"/>
      <c r="G1576" s="10"/>
      <c r="H1576" s="10"/>
      <c r="I1576" s="1" t="str">
        <f t="shared" si="72"/>
        <v/>
      </c>
      <c r="J1576" s="1" t="s">
        <v>35</v>
      </c>
      <c r="K1576" s="1" t="str">
        <f t="shared" si="73"/>
        <v/>
      </c>
      <c r="L1576" s="1" t="str">
        <f t="shared" si="74"/>
        <v/>
      </c>
      <c r="M1576" s="1">
        <f>IF(OR(Table1[[#This Row],[Std Nom]]="",Table1[[#This Row],[Std Read]]=""),0,Table1[[#This Row],[Std Nom]]-Table1[[#This Row],[Std Read]])</f>
        <v>0</v>
      </c>
      <c r="N1576" s="1">
        <f>IF(Calculations!$F$5="ACCREDITED 17025 WITH UNCERTAINTIES",$N$10,0)</f>
        <v>0</v>
      </c>
      <c r="O1576" s="1" t="str">
        <f>IFERROR(Table1[[#This Row],[Std Nom]]-(_xlfn.XLOOKUP(Table1[[#This Row],[Manufacturer]]&amp;" "&amp;Table1[[#This Row],[Model]],Table13[MFR &amp; MDL],Table13[Tolerance % CW ],"")/100*Table1[[#This Row],[Std Nom]]),"")</f>
        <v/>
      </c>
      <c r="P1576" s="1" t="str">
        <f>IFERROR(Table1[[#This Row],[Std Nom]]+(_xlfn.XLOOKUP(Table1[[#This Row],[Manufacturer]]&amp;" "&amp;Table1[[#This Row],[Model]],Table13[MFR &amp; MDL],Table13[Tolerance % CW ],"")/100*Table1[[#This Row],[Std Nom]]),"")</f>
        <v/>
      </c>
      <c r="Q1576" s="1" t="e">
        <f>Table1[[#This Row],[High Tol]]-Table1[[#This Row],[Low Tol]]</f>
        <v>#VALUE!</v>
      </c>
      <c r="R1576" s="1">
        <f>2*Table1[[#This Row],[Std Error]]</f>
        <v>0</v>
      </c>
      <c r="S1576" s="1" t="str">
        <f>IF(Table1[[#This Row],[High Tol]]="","N/A",IFERROR(ABS(Table1[[#This Row],[Tol Span]]/Table1[[#This Row],[Error Span]]),"N/A"))</f>
        <v>N/A</v>
      </c>
      <c r="T1576" s="1" t="str">
        <f>IF(OR(Table1[[#This Row],[Low Tol]]="",Table1[[#This Row],[High Tol]]=""),"Needs Analysis",IF(Table1[[#This Row],[Ratio]]&gt;=4,"Not Significant",IF(Table1[[#This Row],[Ratio]]&gt;=2,"Semi-Significant","Significant")))</f>
        <v>Needs Analysis</v>
      </c>
      <c r="W1576" s="1">
        <f>IF(Table1[[#This Row],[Cal Type]]&lt;&gt;"ACCREDITED 17025 WITH UNCERTAINTIES",0,"")</f>
        <v>0</v>
      </c>
      <c r="X1576" s="1" t="str">
        <f>IF(Table1[[#This Row],[DUT Read]]="","N/A",Table1[[#This Row],[Std Error]]+Table1[[#This Row],[DUT Read]]+Table1[[#This Row],[DUT Ucty]])</f>
        <v>N/A</v>
      </c>
      <c r="Y1576" s="1" t="str">
        <f>IF(Table1[[#This Row],[Std Read]]="","N/A",Table1[[#This Row],[Std Read]]+Table1[[#This Row],[Std Ucty]])</f>
        <v>N/A</v>
      </c>
      <c r="Z15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6" s="1" t="str">
        <f>IF(Table1[[#This Row],[Spec Type]]="","N/A",Table1[[#This Row],[Spec Type]])</f>
        <v>±</v>
      </c>
      <c r="AC1576" s="1" t="str">
        <f>IF(Table1[[#This Row],[Spec Type2]]="N/A","N/A",IF(AND(Table1[[#This Row],[DUT Adj Read]]&gt;=Table1[[#This Row],[Low Tol]],Table1[[#This Row],[DUT Adj Read]]&lt;=Table1[[#This Row],[High Tol]]),"Pass","Fail"))</f>
        <v>Fail</v>
      </c>
      <c r="AD1576" s="1" t="str">
        <f>IF(AND(Table1[[#This Row],[Spec Type2]]="N/A",Table1[[#This Row],[DUT Adj Read]]="N/A",Table1[[#This Row],[Std Adj Read]]="N/A"),"N/A",IF(Table1[[#This Row],[DUT Adj Read]]="N/A",IF(Table1[[#This Row],[Std Adj Read]]&gt;Table1[[#This Row],[Low Tol]],"Pass","Fail"),IF(Table1[[#This Row],[DUT Adj Read]]&gt;Table1[[#This Row],[Low Tol]],"Pass","Fail")))</f>
        <v>Pass</v>
      </c>
      <c r="AE1576" s="1" t="str">
        <f>IF(AND(Table1[[#This Row],[Spec Type2]]="N/A",Table1[[#This Row],[DUT Adj Read]]="N/A",Table1[[#This Row],[Std Adj Read]]="N/A"),"N/A",IF(Table1[[#This Row],[DUT Adj Read]]="N/A",IF(Table1[[#This Row],[Std Adj Read]]&lt;Table1[[#This Row],[High Tol]],"Pass","Fail"),IF(Table1[[#This Row],[DUT Adj Read]]&lt;Table1[[#This Row],[High Tol]],"Pass","Fail")))</f>
        <v>Fail</v>
      </c>
      <c r="AF1576" s="1" t="str">
        <f>IF(AND(Table1[[#This Row],[Spec Type2]]="N/A",Table1[[#This Row],[DUT Adj Read]]="N/A",Table1[[#This Row],[Std Adj Read]]="N/A"),"N/A",IF(Table1[[#This Row],[DUT Adj Read]]="N/A",IF(Table1[[#This Row],[Std Adj Read]]&gt;=Table1[[#This Row],[Low Tol]],"Pass","Fail"),IF(Table1[[#This Row],[DUT Adj Read]]&gt;=Table1[[#This Row],[Low Tol]],"Pass","Fail")))</f>
        <v>Pass</v>
      </c>
      <c r="AG1576" s="1" t="str">
        <f>IF(AND(Table1[[#This Row],[Spec Type2]]="N/A",Table1[[#This Row],[DUT Adj Read]]="N/A",Table1[[#This Row],[Std Adj Read]]="N/A"),"N/A",IF(Table1[[#This Row],[DUT Adj Read]]="N/A",IF(Table1[[#This Row],[Std Adj Read]]&lt;=Table1[[#This Row],[High Tol]],"Pass","Fail"),IF(Table1[[#This Row],[DUT Adj Read]]&lt;=Table1[[#This Row],[High Tol]],"Pass","Fail")))</f>
        <v>Fail</v>
      </c>
      <c r="AH15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6" s="1" t="b">
        <v>0</v>
      </c>
      <c r="AN1576" s="1" t="b">
        <v>0</v>
      </c>
      <c r="AO1576" s="1" t="b">
        <v>0</v>
      </c>
    </row>
    <row r="1577" spans="1:41" x14ac:dyDescent="0.25">
      <c r="A1577" s="10"/>
      <c r="B1577" s="10"/>
      <c r="C1577" s="10"/>
      <c r="D1577" s="10"/>
      <c r="E1577" s="10"/>
      <c r="F1577" s="10"/>
      <c r="G1577" s="10"/>
      <c r="H1577" s="10"/>
      <c r="I1577" s="1" t="str">
        <f t="shared" si="72"/>
        <v/>
      </c>
      <c r="J1577" s="1" t="s">
        <v>35</v>
      </c>
      <c r="K1577" s="1" t="str">
        <f t="shared" si="73"/>
        <v/>
      </c>
      <c r="L1577" s="1" t="str">
        <f t="shared" si="74"/>
        <v/>
      </c>
      <c r="M1577" s="1">
        <f>IF(OR(Table1[[#This Row],[Std Nom]]="",Table1[[#This Row],[Std Read]]=""),0,Table1[[#This Row],[Std Nom]]-Table1[[#This Row],[Std Read]])</f>
        <v>0</v>
      </c>
      <c r="N1577" s="1">
        <f>IF(Calculations!$F$5="ACCREDITED 17025 WITH UNCERTAINTIES",$N$10,0)</f>
        <v>0</v>
      </c>
      <c r="O1577" s="1" t="str">
        <f>IFERROR(Table1[[#This Row],[Std Nom]]-(_xlfn.XLOOKUP(Table1[[#This Row],[Manufacturer]]&amp;" "&amp;Table1[[#This Row],[Model]],Table13[MFR &amp; MDL],Table13[Tolerance % CW ],"")/100*Table1[[#This Row],[Std Nom]]),"")</f>
        <v/>
      </c>
      <c r="P1577" s="1" t="str">
        <f>IFERROR(Table1[[#This Row],[Std Nom]]+(_xlfn.XLOOKUP(Table1[[#This Row],[Manufacturer]]&amp;" "&amp;Table1[[#This Row],[Model]],Table13[MFR &amp; MDL],Table13[Tolerance % CW ],"")/100*Table1[[#This Row],[Std Nom]]),"")</f>
        <v/>
      </c>
      <c r="Q1577" s="1" t="e">
        <f>Table1[[#This Row],[High Tol]]-Table1[[#This Row],[Low Tol]]</f>
        <v>#VALUE!</v>
      </c>
      <c r="R1577" s="1">
        <f>2*Table1[[#This Row],[Std Error]]</f>
        <v>0</v>
      </c>
      <c r="S1577" s="1" t="str">
        <f>IF(Table1[[#This Row],[High Tol]]="","N/A",IFERROR(ABS(Table1[[#This Row],[Tol Span]]/Table1[[#This Row],[Error Span]]),"N/A"))</f>
        <v>N/A</v>
      </c>
      <c r="T1577" s="1" t="str">
        <f>IF(OR(Table1[[#This Row],[Low Tol]]="",Table1[[#This Row],[High Tol]]=""),"Needs Analysis",IF(Table1[[#This Row],[Ratio]]&gt;=4,"Not Significant",IF(Table1[[#This Row],[Ratio]]&gt;=2,"Semi-Significant","Significant")))</f>
        <v>Needs Analysis</v>
      </c>
      <c r="W1577" s="1">
        <f>IF(Table1[[#This Row],[Cal Type]]&lt;&gt;"ACCREDITED 17025 WITH UNCERTAINTIES",0,"")</f>
        <v>0</v>
      </c>
      <c r="X1577" s="1" t="str">
        <f>IF(Table1[[#This Row],[DUT Read]]="","N/A",Table1[[#This Row],[Std Error]]+Table1[[#This Row],[DUT Read]]+Table1[[#This Row],[DUT Ucty]])</f>
        <v>N/A</v>
      </c>
      <c r="Y1577" s="1" t="str">
        <f>IF(Table1[[#This Row],[Std Read]]="","N/A",Table1[[#This Row],[Std Read]]+Table1[[#This Row],[Std Ucty]])</f>
        <v>N/A</v>
      </c>
      <c r="Z15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7" s="1" t="str">
        <f>IF(Table1[[#This Row],[Spec Type]]="","N/A",Table1[[#This Row],[Spec Type]])</f>
        <v>±</v>
      </c>
      <c r="AC1577" s="1" t="str">
        <f>IF(Table1[[#This Row],[Spec Type2]]="N/A","N/A",IF(AND(Table1[[#This Row],[DUT Adj Read]]&gt;=Table1[[#This Row],[Low Tol]],Table1[[#This Row],[DUT Adj Read]]&lt;=Table1[[#This Row],[High Tol]]),"Pass","Fail"))</f>
        <v>Fail</v>
      </c>
      <c r="AD1577" s="1" t="str">
        <f>IF(AND(Table1[[#This Row],[Spec Type2]]="N/A",Table1[[#This Row],[DUT Adj Read]]="N/A",Table1[[#This Row],[Std Adj Read]]="N/A"),"N/A",IF(Table1[[#This Row],[DUT Adj Read]]="N/A",IF(Table1[[#This Row],[Std Adj Read]]&gt;Table1[[#This Row],[Low Tol]],"Pass","Fail"),IF(Table1[[#This Row],[DUT Adj Read]]&gt;Table1[[#This Row],[Low Tol]],"Pass","Fail")))</f>
        <v>Pass</v>
      </c>
      <c r="AE1577" s="1" t="str">
        <f>IF(AND(Table1[[#This Row],[Spec Type2]]="N/A",Table1[[#This Row],[DUT Adj Read]]="N/A",Table1[[#This Row],[Std Adj Read]]="N/A"),"N/A",IF(Table1[[#This Row],[DUT Adj Read]]="N/A",IF(Table1[[#This Row],[Std Adj Read]]&lt;Table1[[#This Row],[High Tol]],"Pass","Fail"),IF(Table1[[#This Row],[DUT Adj Read]]&lt;Table1[[#This Row],[High Tol]],"Pass","Fail")))</f>
        <v>Fail</v>
      </c>
      <c r="AF1577" s="1" t="str">
        <f>IF(AND(Table1[[#This Row],[Spec Type2]]="N/A",Table1[[#This Row],[DUT Adj Read]]="N/A",Table1[[#This Row],[Std Adj Read]]="N/A"),"N/A",IF(Table1[[#This Row],[DUT Adj Read]]="N/A",IF(Table1[[#This Row],[Std Adj Read]]&gt;=Table1[[#This Row],[Low Tol]],"Pass","Fail"),IF(Table1[[#This Row],[DUT Adj Read]]&gt;=Table1[[#This Row],[Low Tol]],"Pass","Fail")))</f>
        <v>Pass</v>
      </c>
      <c r="AG1577" s="1" t="str">
        <f>IF(AND(Table1[[#This Row],[Spec Type2]]="N/A",Table1[[#This Row],[DUT Adj Read]]="N/A",Table1[[#This Row],[Std Adj Read]]="N/A"),"N/A",IF(Table1[[#This Row],[DUT Adj Read]]="N/A",IF(Table1[[#This Row],[Std Adj Read]]&lt;=Table1[[#This Row],[High Tol]],"Pass","Fail"),IF(Table1[[#This Row],[DUT Adj Read]]&lt;=Table1[[#This Row],[High Tol]],"Pass","Fail")))</f>
        <v>Fail</v>
      </c>
      <c r="AH15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7" s="1" t="b">
        <v>0</v>
      </c>
      <c r="AN1577" s="1" t="b">
        <v>0</v>
      </c>
      <c r="AO1577" s="1" t="b">
        <v>0</v>
      </c>
    </row>
    <row r="1578" spans="1:41" x14ac:dyDescent="0.25">
      <c r="A1578" s="10"/>
      <c r="B1578" s="10"/>
      <c r="C1578" s="10"/>
      <c r="D1578" s="10"/>
      <c r="E1578" s="10"/>
      <c r="F1578" s="10"/>
      <c r="G1578" s="10"/>
      <c r="H1578" s="10"/>
      <c r="I1578" s="1" t="str">
        <f t="shared" si="72"/>
        <v/>
      </c>
      <c r="J1578" s="1" t="s">
        <v>35</v>
      </c>
      <c r="K1578" s="1" t="str">
        <f t="shared" si="73"/>
        <v/>
      </c>
      <c r="L1578" s="1" t="str">
        <f t="shared" si="74"/>
        <v/>
      </c>
      <c r="M1578" s="1">
        <f>IF(OR(Table1[[#This Row],[Std Nom]]="",Table1[[#This Row],[Std Read]]=""),0,Table1[[#This Row],[Std Nom]]-Table1[[#This Row],[Std Read]])</f>
        <v>0</v>
      </c>
      <c r="N1578" s="1">
        <f>IF(Calculations!$F$5="ACCREDITED 17025 WITH UNCERTAINTIES",$N$10,0)</f>
        <v>0</v>
      </c>
      <c r="O1578" s="1" t="str">
        <f>IFERROR(Table1[[#This Row],[Std Nom]]-(_xlfn.XLOOKUP(Table1[[#This Row],[Manufacturer]]&amp;" "&amp;Table1[[#This Row],[Model]],Table13[MFR &amp; MDL],Table13[Tolerance % CW ],"")/100*Table1[[#This Row],[Std Nom]]),"")</f>
        <v/>
      </c>
      <c r="P1578" s="1" t="str">
        <f>IFERROR(Table1[[#This Row],[Std Nom]]+(_xlfn.XLOOKUP(Table1[[#This Row],[Manufacturer]]&amp;" "&amp;Table1[[#This Row],[Model]],Table13[MFR &amp; MDL],Table13[Tolerance % CW ],"")/100*Table1[[#This Row],[Std Nom]]),"")</f>
        <v/>
      </c>
      <c r="Q1578" s="1" t="e">
        <f>Table1[[#This Row],[High Tol]]-Table1[[#This Row],[Low Tol]]</f>
        <v>#VALUE!</v>
      </c>
      <c r="R1578" s="1">
        <f>2*Table1[[#This Row],[Std Error]]</f>
        <v>0</v>
      </c>
      <c r="S1578" s="1" t="str">
        <f>IF(Table1[[#This Row],[High Tol]]="","N/A",IFERROR(ABS(Table1[[#This Row],[Tol Span]]/Table1[[#This Row],[Error Span]]),"N/A"))</f>
        <v>N/A</v>
      </c>
      <c r="T1578" s="1" t="str">
        <f>IF(OR(Table1[[#This Row],[Low Tol]]="",Table1[[#This Row],[High Tol]]=""),"Needs Analysis",IF(Table1[[#This Row],[Ratio]]&gt;=4,"Not Significant",IF(Table1[[#This Row],[Ratio]]&gt;=2,"Semi-Significant","Significant")))</f>
        <v>Needs Analysis</v>
      </c>
      <c r="W1578" s="1">
        <f>IF(Table1[[#This Row],[Cal Type]]&lt;&gt;"ACCREDITED 17025 WITH UNCERTAINTIES",0,"")</f>
        <v>0</v>
      </c>
      <c r="X1578" s="1" t="str">
        <f>IF(Table1[[#This Row],[DUT Read]]="","N/A",Table1[[#This Row],[Std Error]]+Table1[[#This Row],[DUT Read]]+Table1[[#This Row],[DUT Ucty]])</f>
        <v>N/A</v>
      </c>
      <c r="Y1578" s="1" t="str">
        <f>IF(Table1[[#This Row],[Std Read]]="","N/A",Table1[[#This Row],[Std Read]]+Table1[[#This Row],[Std Ucty]])</f>
        <v>N/A</v>
      </c>
      <c r="Z15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8" s="1" t="str">
        <f>IF(Table1[[#This Row],[Spec Type]]="","N/A",Table1[[#This Row],[Spec Type]])</f>
        <v>±</v>
      </c>
      <c r="AC1578" s="1" t="str">
        <f>IF(Table1[[#This Row],[Spec Type2]]="N/A","N/A",IF(AND(Table1[[#This Row],[DUT Adj Read]]&gt;=Table1[[#This Row],[Low Tol]],Table1[[#This Row],[DUT Adj Read]]&lt;=Table1[[#This Row],[High Tol]]),"Pass","Fail"))</f>
        <v>Fail</v>
      </c>
      <c r="AD1578" s="1" t="str">
        <f>IF(AND(Table1[[#This Row],[Spec Type2]]="N/A",Table1[[#This Row],[DUT Adj Read]]="N/A",Table1[[#This Row],[Std Adj Read]]="N/A"),"N/A",IF(Table1[[#This Row],[DUT Adj Read]]="N/A",IF(Table1[[#This Row],[Std Adj Read]]&gt;Table1[[#This Row],[Low Tol]],"Pass","Fail"),IF(Table1[[#This Row],[DUT Adj Read]]&gt;Table1[[#This Row],[Low Tol]],"Pass","Fail")))</f>
        <v>Pass</v>
      </c>
      <c r="AE1578" s="1" t="str">
        <f>IF(AND(Table1[[#This Row],[Spec Type2]]="N/A",Table1[[#This Row],[DUT Adj Read]]="N/A",Table1[[#This Row],[Std Adj Read]]="N/A"),"N/A",IF(Table1[[#This Row],[DUT Adj Read]]="N/A",IF(Table1[[#This Row],[Std Adj Read]]&lt;Table1[[#This Row],[High Tol]],"Pass","Fail"),IF(Table1[[#This Row],[DUT Adj Read]]&lt;Table1[[#This Row],[High Tol]],"Pass","Fail")))</f>
        <v>Fail</v>
      </c>
      <c r="AF1578" s="1" t="str">
        <f>IF(AND(Table1[[#This Row],[Spec Type2]]="N/A",Table1[[#This Row],[DUT Adj Read]]="N/A",Table1[[#This Row],[Std Adj Read]]="N/A"),"N/A",IF(Table1[[#This Row],[DUT Adj Read]]="N/A",IF(Table1[[#This Row],[Std Adj Read]]&gt;=Table1[[#This Row],[Low Tol]],"Pass","Fail"),IF(Table1[[#This Row],[DUT Adj Read]]&gt;=Table1[[#This Row],[Low Tol]],"Pass","Fail")))</f>
        <v>Pass</v>
      </c>
      <c r="AG1578" s="1" t="str">
        <f>IF(AND(Table1[[#This Row],[Spec Type2]]="N/A",Table1[[#This Row],[DUT Adj Read]]="N/A",Table1[[#This Row],[Std Adj Read]]="N/A"),"N/A",IF(Table1[[#This Row],[DUT Adj Read]]="N/A",IF(Table1[[#This Row],[Std Adj Read]]&lt;=Table1[[#This Row],[High Tol]],"Pass","Fail"),IF(Table1[[#This Row],[DUT Adj Read]]&lt;=Table1[[#This Row],[High Tol]],"Pass","Fail")))</f>
        <v>Fail</v>
      </c>
      <c r="AH15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8" s="1" t="b">
        <v>0</v>
      </c>
      <c r="AN1578" s="1" t="b">
        <v>0</v>
      </c>
      <c r="AO1578" s="1" t="b">
        <v>0</v>
      </c>
    </row>
    <row r="1579" spans="1:41" x14ac:dyDescent="0.25">
      <c r="A1579" s="10"/>
      <c r="B1579" s="10"/>
      <c r="C1579" s="10"/>
      <c r="D1579" s="10"/>
      <c r="E1579" s="10"/>
      <c r="F1579" s="10"/>
      <c r="G1579" s="10"/>
      <c r="H1579" s="10"/>
      <c r="I1579" s="1" t="str">
        <f t="shared" si="72"/>
        <v/>
      </c>
      <c r="J1579" s="1" t="s">
        <v>35</v>
      </c>
      <c r="K1579" s="1" t="str">
        <f t="shared" si="73"/>
        <v/>
      </c>
      <c r="L1579" s="1" t="str">
        <f t="shared" si="74"/>
        <v/>
      </c>
      <c r="M1579" s="1">
        <f>IF(OR(Table1[[#This Row],[Std Nom]]="",Table1[[#This Row],[Std Read]]=""),0,Table1[[#This Row],[Std Nom]]-Table1[[#This Row],[Std Read]])</f>
        <v>0</v>
      </c>
      <c r="N1579" s="1">
        <f>IF(Calculations!$F$5="ACCREDITED 17025 WITH UNCERTAINTIES",$N$10,0)</f>
        <v>0</v>
      </c>
      <c r="O1579" s="1" t="str">
        <f>IFERROR(Table1[[#This Row],[Std Nom]]-(_xlfn.XLOOKUP(Table1[[#This Row],[Manufacturer]]&amp;" "&amp;Table1[[#This Row],[Model]],Table13[MFR &amp; MDL],Table13[Tolerance % CW ],"")/100*Table1[[#This Row],[Std Nom]]),"")</f>
        <v/>
      </c>
      <c r="P1579" s="1" t="str">
        <f>IFERROR(Table1[[#This Row],[Std Nom]]+(_xlfn.XLOOKUP(Table1[[#This Row],[Manufacturer]]&amp;" "&amp;Table1[[#This Row],[Model]],Table13[MFR &amp; MDL],Table13[Tolerance % CW ],"")/100*Table1[[#This Row],[Std Nom]]),"")</f>
        <v/>
      </c>
      <c r="Q1579" s="1" t="e">
        <f>Table1[[#This Row],[High Tol]]-Table1[[#This Row],[Low Tol]]</f>
        <v>#VALUE!</v>
      </c>
      <c r="R1579" s="1">
        <f>2*Table1[[#This Row],[Std Error]]</f>
        <v>0</v>
      </c>
      <c r="S1579" s="1" t="str">
        <f>IF(Table1[[#This Row],[High Tol]]="","N/A",IFERROR(ABS(Table1[[#This Row],[Tol Span]]/Table1[[#This Row],[Error Span]]),"N/A"))</f>
        <v>N/A</v>
      </c>
      <c r="T1579" s="1" t="str">
        <f>IF(OR(Table1[[#This Row],[Low Tol]]="",Table1[[#This Row],[High Tol]]=""),"Needs Analysis",IF(Table1[[#This Row],[Ratio]]&gt;=4,"Not Significant",IF(Table1[[#This Row],[Ratio]]&gt;=2,"Semi-Significant","Significant")))</f>
        <v>Needs Analysis</v>
      </c>
      <c r="W1579" s="1">
        <f>IF(Table1[[#This Row],[Cal Type]]&lt;&gt;"ACCREDITED 17025 WITH UNCERTAINTIES",0,"")</f>
        <v>0</v>
      </c>
      <c r="X1579" s="1" t="str">
        <f>IF(Table1[[#This Row],[DUT Read]]="","N/A",Table1[[#This Row],[Std Error]]+Table1[[#This Row],[DUT Read]]+Table1[[#This Row],[DUT Ucty]])</f>
        <v>N/A</v>
      </c>
      <c r="Y1579" s="1" t="str">
        <f>IF(Table1[[#This Row],[Std Read]]="","N/A",Table1[[#This Row],[Std Read]]+Table1[[#This Row],[Std Ucty]])</f>
        <v>N/A</v>
      </c>
      <c r="Z15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9" s="1" t="str">
        <f>IF(Table1[[#This Row],[Spec Type]]="","N/A",Table1[[#This Row],[Spec Type]])</f>
        <v>±</v>
      </c>
      <c r="AC1579" s="1" t="str">
        <f>IF(Table1[[#This Row],[Spec Type2]]="N/A","N/A",IF(AND(Table1[[#This Row],[DUT Adj Read]]&gt;=Table1[[#This Row],[Low Tol]],Table1[[#This Row],[DUT Adj Read]]&lt;=Table1[[#This Row],[High Tol]]),"Pass","Fail"))</f>
        <v>Fail</v>
      </c>
      <c r="AD1579" s="1" t="str">
        <f>IF(AND(Table1[[#This Row],[Spec Type2]]="N/A",Table1[[#This Row],[DUT Adj Read]]="N/A",Table1[[#This Row],[Std Adj Read]]="N/A"),"N/A",IF(Table1[[#This Row],[DUT Adj Read]]="N/A",IF(Table1[[#This Row],[Std Adj Read]]&gt;Table1[[#This Row],[Low Tol]],"Pass","Fail"),IF(Table1[[#This Row],[DUT Adj Read]]&gt;Table1[[#This Row],[Low Tol]],"Pass","Fail")))</f>
        <v>Pass</v>
      </c>
      <c r="AE1579" s="1" t="str">
        <f>IF(AND(Table1[[#This Row],[Spec Type2]]="N/A",Table1[[#This Row],[DUT Adj Read]]="N/A",Table1[[#This Row],[Std Adj Read]]="N/A"),"N/A",IF(Table1[[#This Row],[DUT Adj Read]]="N/A",IF(Table1[[#This Row],[Std Adj Read]]&lt;Table1[[#This Row],[High Tol]],"Pass","Fail"),IF(Table1[[#This Row],[DUT Adj Read]]&lt;Table1[[#This Row],[High Tol]],"Pass","Fail")))</f>
        <v>Fail</v>
      </c>
      <c r="AF1579" s="1" t="str">
        <f>IF(AND(Table1[[#This Row],[Spec Type2]]="N/A",Table1[[#This Row],[DUT Adj Read]]="N/A",Table1[[#This Row],[Std Adj Read]]="N/A"),"N/A",IF(Table1[[#This Row],[DUT Adj Read]]="N/A",IF(Table1[[#This Row],[Std Adj Read]]&gt;=Table1[[#This Row],[Low Tol]],"Pass","Fail"),IF(Table1[[#This Row],[DUT Adj Read]]&gt;=Table1[[#This Row],[Low Tol]],"Pass","Fail")))</f>
        <v>Pass</v>
      </c>
      <c r="AG1579" s="1" t="str">
        <f>IF(AND(Table1[[#This Row],[Spec Type2]]="N/A",Table1[[#This Row],[DUT Adj Read]]="N/A",Table1[[#This Row],[Std Adj Read]]="N/A"),"N/A",IF(Table1[[#This Row],[DUT Adj Read]]="N/A",IF(Table1[[#This Row],[Std Adj Read]]&lt;=Table1[[#This Row],[High Tol]],"Pass","Fail"),IF(Table1[[#This Row],[DUT Adj Read]]&lt;=Table1[[#This Row],[High Tol]],"Pass","Fail")))</f>
        <v>Fail</v>
      </c>
      <c r="AH15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9" s="1" t="b">
        <v>0</v>
      </c>
      <c r="AN1579" s="1" t="b">
        <v>0</v>
      </c>
      <c r="AO1579" s="1" t="b">
        <v>0</v>
      </c>
    </row>
    <row r="1580" spans="1:41" x14ac:dyDescent="0.25">
      <c r="A1580" s="10"/>
      <c r="B1580" s="10"/>
      <c r="C1580" s="10"/>
      <c r="D1580" s="10"/>
      <c r="E1580" s="10"/>
      <c r="F1580" s="10"/>
      <c r="G1580" s="10"/>
      <c r="H1580" s="10"/>
      <c r="I1580" s="1" t="str">
        <f t="shared" si="72"/>
        <v/>
      </c>
      <c r="J1580" s="1" t="s">
        <v>35</v>
      </c>
      <c r="K1580" s="1" t="str">
        <f t="shared" si="73"/>
        <v/>
      </c>
      <c r="L1580" s="1" t="str">
        <f t="shared" si="74"/>
        <v/>
      </c>
      <c r="M1580" s="1">
        <f>IF(OR(Table1[[#This Row],[Std Nom]]="",Table1[[#This Row],[Std Read]]=""),0,Table1[[#This Row],[Std Nom]]-Table1[[#This Row],[Std Read]])</f>
        <v>0</v>
      </c>
      <c r="N1580" s="1">
        <f>IF(Calculations!$F$5="ACCREDITED 17025 WITH UNCERTAINTIES",$N$10,0)</f>
        <v>0</v>
      </c>
      <c r="O1580" s="1" t="str">
        <f>IFERROR(Table1[[#This Row],[Std Nom]]-(_xlfn.XLOOKUP(Table1[[#This Row],[Manufacturer]]&amp;" "&amp;Table1[[#This Row],[Model]],Table13[MFR &amp; MDL],Table13[Tolerance % CW ],"")/100*Table1[[#This Row],[Std Nom]]),"")</f>
        <v/>
      </c>
      <c r="P1580" s="1" t="str">
        <f>IFERROR(Table1[[#This Row],[Std Nom]]+(_xlfn.XLOOKUP(Table1[[#This Row],[Manufacturer]]&amp;" "&amp;Table1[[#This Row],[Model]],Table13[MFR &amp; MDL],Table13[Tolerance % CW ],"")/100*Table1[[#This Row],[Std Nom]]),"")</f>
        <v/>
      </c>
      <c r="Q1580" s="1" t="e">
        <f>Table1[[#This Row],[High Tol]]-Table1[[#This Row],[Low Tol]]</f>
        <v>#VALUE!</v>
      </c>
      <c r="R1580" s="1">
        <f>2*Table1[[#This Row],[Std Error]]</f>
        <v>0</v>
      </c>
      <c r="S1580" s="1" t="str">
        <f>IF(Table1[[#This Row],[High Tol]]="","N/A",IFERROR(ABS(Table1[[#This Row],[Tol Span]]/Table1[[#This Row],[Error Span]]),"N/A"))</f>
        <v>N/A</v>
      </c>
      <c r="T1580" s="1" t="str">
        <f>IF(OR(Table1[[#This Row],[Low Tol]]="",Table1[[#This Row],[High Tol]]=""),"Needs Analysis",IF(Table1[[#This Row],[Ratio]]&gt;=4,"Not Significant",IF(Table1[[#This Row],[Ratio]]&gt;=2,"Semi-Significant","Significant")))</f>
        <v>Needs Analysis</v>
      </c>
      <c r="W1580" s="1">
        <f>IF(Table1[[#This Row],[Cal Type]]&lt;&gt;"ACCREDITED 17025 WITH UNCERTAINTIES",0,"")</f>
        <v>0</v>
      </c>
      <c r="X1580" s="1" t="str">
        <f>IF(Table1[[#This Row],[DUT Read]]="","N/A",Table1[[#This Row],[Std Error]]+Table1[[#This Row],[DUT Read]]+Table1[[#This Row],[DUT Ucty]])</f>
        <v>N/A</v>
      </c>
      <c r="Y1580" s="1" t="str">
        <f>IF(Table1[[#This Row],[Std Read]]="","N/A",Table1[[#This Row],[Std Read]]+Table1[[#This Row],[Std Ucty]])</f>
        <v>N/A</v>
      </c>
      <c r="Z15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0" s="1" t="str">
        <f>IF(Table1[[#This Row],[Spec Type]]="","N/A",Table1[[#This Row],[Spec Type]])</f>
        <v>±</v>
      </c>
      <c r="AC1580" s="1" t="str">
        <f>IF(Table1[[#This Row],[Spec Type2]]="N/A","N/A",IF(AND(Table1[[#This Row],[DUT Adj Read]]&gt;=Table1[[#This Row],[Low Tol]],Table1[[#This Row],[DUT Adj Read]]&lt;=Table1[[#This Row],[High Tol]]),"Pass","Fail"))</f>
        <v>Fail</v>
      </c>
      <c r="AD1580" s="1" t="str">
        <f>IF(AND(Table1[[#This Row],[Spec Type2]]="N/A",Table1[[#This Row],[DUT Adj Read]]="N/A",Table1[[#This Row],[Std Adj Read]]="N/A"),"N/A",IF(Table1[[#This Row],[DUT Adj Read]]="N/A",IF(Table1[[#This Row],[Std Adj Read]]&gt;Table1[[#This Row],[Low Tol]],"Pass","Fail"),IF(Table1[[#This Row],[DUT Adj Read]]&gt;Table1[[#This Row],[Low Tol]],"Pass","Fail")))</f>
        <v>Pass</v>
      </c>
      <c r="AE1580" s="1" t="str">
        <f>IF(AND(Table1[[#This Row],[Spec Type2]]="N/A",Table1[[#This Row],[DUT Adj Read]]="N/A",Table1[[#This Row],[Std Adj Read]]="N/A"),"N/A",IF(Table1[[#This Row],[DUT Adj Read]]="N/A",IF(Table1[[#This Row],[Std Adj Read]]&lt;Table1[[#This Row],[High Tol]],"Pass","Fail"),IF(Table1[[#This Row],[DUT Adj Read]]&lt;Table1[[#This Row],[High Tol]],"Pass","Fail")))</f>
        <v>Fail</v>
      </c>
      <c r="AF1580" s="1" t="str">
        <f>IF(AND(Table1[[#This Row],[Spec Type2]]="N/A",Table1[[#This Row],[DUT Adj Read]]="N/A",Table1[[#This Row],[Std Adj Read]]="N/A"),"N/A",IF(Table1[[#This Row],[DUT Adj Read]]="N/A",IF(Table1[[#This Row],[Std Adj Read]]&gt;=Table1[[#This Row],[Low Tol]],"Pass","Fail"),IF(Table1[[#This Row],[DUT Adj Read]]&gt;=Table1[[#This Row],[Low Tol]],"Pass","Fail")))</f>
        <v>Pass</v>
      </c>
      <c r="AG1580" s="1" t="str">
        <f>IF(AND(Table1[[#This Row],[Spec Type2]]="N/A",Table1[[#This Row],[DUT Adj Read]]="N/A",Table1[[#This Row],[Std Adj Read]]="N/A"),"N/A",IF(Table1[[#This Row],[DUT Adj Read]]="N/A",IF(Table1[[#This Row],[Std Adj Read]]&lt;=Table1[[#This Row],[High Tol]],"Pass","Fail"),IF(Table1[[#This Row],[DUT Adj Read]]&lt;=Table1[[#This Row],[High Tol]],"Pass","Fail")))</f>
        <v>Fail</v>
      </c>
      <c r="AH15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0" s="1" t="b">
        <v>0</v>
      </c>
      <c r="AN1580" s="1" t="b">
        <v>0</v>
      </c>
      <c r="AO1580" s="1" t="b">
        <v>0</v>
      </c>
    </row>
    <row r="1581" spans="1:41" x14ac:dyDescent="0.25">
      <c r="A1581" s="10"/>
      <c r="B1581" s="10"/>
      <c r="C1581" s="10"/>
      <c r="D1581" s="10"/>
      <c r="E1581" s="10"/>
      <c r="F1581" s="10"/>
      <c r="G1581" s="10"/>
      <c r="H1581" s="10"/>
      <c r="I1581" s="1" t="str">
        <f t="shared" si="72"/>
        <v/>
      </c>
      <c r="J1581" s="1" t="s">
        <v>35</v>
      </c>
      <c r="K1581" s="1" t="str">
        <f t="shared" si="73"/>
        <v/>
      </c>
      <c r="L1581" s="1" t="str">
        <f t="shared" si="74"/>
        <v/>
      </c>
      <c r="M1581" s="1">
        <f>IF(OR(Table1[[#This Row],[Std Nom]]="",Table1[[#This Row],[Std Read]]=""),0,Table1[[#This Row],[Std Nom]]-Table1[[#This Row],[Std Read]])</f>
        <v>0</v>
      </c>
      <c r="N1581" s="1">
        <f>IF(Calculations!$F$5="ACCREDITED 17025 WITH UNCERTAINTIES",$N$10,0)</f>
        <v>0</v>
      </c>
      <c r="O1581" s="1" t="str">
        <f>IFERROR(Table1[[#This Row],[Std Nom]]-(_xlfn.XLOOKUP(Table1[[#This Row],[Manufacturer]]&amp;" "&amp;Table1[[#This Row],[Model]],Table13[MFR &amp; MDL],Table13[Tolerance % CW ],"")/100*Table1[[#This Row],[Std Nom]]),"")</f>
        <v/>
      </c>
      <c r="P1581" s="1" t="str">
        <f>IFERROR(Table1[[#This Row],[Std Nom]]+(_xlfn.XLOOKUP(Table1[[#This Row],[Manufacturer]]&amp;" "&amp;Table1[[#This Row],[Model]],Table13[MFR &amp; MDL],Table13[Tolerance % CW ],"")/100*Table1[[#This Row],[Std Nom]]),"")</f>
        <v/>
      </c>
      <c r="Q1581" s="1" t="e">
        <f>Table1[[#This Row],[High Tol]]-Table1[[#This Row],[Low Tol]]</f>
        <v>#VALUE!</v>
      </c>
      <c r="R1581" s="1">
        <f>2*Table1[[#This Row],[Std Error]]</f>
        <v>0</v>
      </c>
      <c r="S1581" s="1" t="str">
        <f>IF(Table1[[#This Row],[High Tol]]="","N/A",IFERROR(ABS(Table1[[#This Row],[Tol Span]]/Table1[[#This Row],[Error Span]]),"N/A"))</f>
        <v>N/A</v>
      </c>
      <c r="T1581" s="1" t="str">
        <f>IF(OR(Table1[[#This Row],[Low Tol]]="",Table1[[#This Row],[High Tol]]=""),"Needs Analysis",IF(Table1[[#This Row],[Ratio]]&gt;=4,"Not Significant",IF(Table1[[#This Row],[Ratio]]&gt;=2,"Semi-Significant","Significant")))</f>
        <v>Needs Analysis</v>
      </c>
      <c r="W1581" s="1">
        <f>IF(Table1[[#This Row],[Cal Type]]&lt;&gt;"ACCREDITED 17025 WITH UNCERTAINTIES",0,"")</f>
        <v>0</v>
      </c>
      <c r="X1581" s="1" t="str">
        <f>IF(Table1[[#This Row],[DUT Read]]="","N/A",Table1[[#This Row],[Std Error]]+Table1[[#This Row],[DUT Read]]+Table1[[#This Row],[DUT Ucty]])</f>
        <v>N/A</v>
      </c>
      <c r="Y1581" s="1" t="str">
        <f>IF(Table1[[#This Row],[Std Read]]="","N/A",Table1[[#This Row],[Std Read]]+Table1[[#This Row],[Std Ucty]])</f>
        <v>N/A</v>
      </c>
      <c r="Z15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1" s="1" t="str">
        <f>IF(Table1[[#This Row],[Spec Type]]="","N/A",Table1[[#This Row],[Spec Type]])</f>
        <v>±</v>
      </c>
      <c r="AC1581" s="1" t="str">
        <f>IF(Table1[[#This Row],[Spec Type2]]="N/A","N/A",IF(AND(Table1[[#This Row],[DUT Adj Read]]&gt;=Table1[[#This Row],[Low Tol]],Table1[[#This Row],[DUT Adj Read]]&lt;=Table1[[#This Row],[High Tol]]),"Pass","Fail"))</f>
        <v>Fail</v>
      </c>
      <c r="AD1581" s="1" t="str">
        <f>IF(AND(Table1[[#This Row],[Spec Type2]]="N/A",Table1[[#This Row],[DUT Adj Read]]="N/A",Table1[[#This Row],[Std Adj Read]]="N/A"),"N/A",IF(Table1[[#This Row],[DUT Adj Read]]="N/A",IF(Table1[[#This Row],[Std Adj Read]]&gt;Table1[[#This Row],[Low Tol]],"Pass","Fail"),IF(Table1[[#This Row],[DUT Adj Read]]&gt;Table1[[#This Row],[Low Tol]],"Pass","Fail")))</f>
        <v>Pass</v>
      </c>
      <c r="AE1581" s="1" t="str">
        <f>IF(AND(Table1[[#This Row],[Spec Type2]]="N/A",Table1[[#This Row],[DUT Adj Read]]="N/A",Table1[[#This Row],[Std Adj Read]]="N/A"),"N/A",IF(Table1[[#This Row],[DUT Adj Read]]="N/A",IF(Table1[[#This Row],[Std Adj Read]]&lt;Table1[[#This Row],[High Tol]],"Pass","Fail"),IF(Table1[[#This Row],[DUT Adj Read]]&lt;Table1[[#This Row],[High Tol]],"Pass","Fail")))</f>
        <v>Fail</v>
      </c>
      <c r="AF1581" s="1" t="str">
        <f>IF(AND(Table1[[#This Row],[Spec Type2]]="N/A",Table1[[#This Row],[DUT Adj Read]]="N/A",Table1[[#This Row],[Std Adj Read]]="N/A"),"N/A",IF(Table1[[#This Row],[DUT Adj Read]]="N/A",IF(Table1[[#This Row],[Std Adj Read]]&gt;=Table1[[#This Row],[Low Tol]],"Pass","Fail"),IF(Table1[[#This Row],[DUT Adj Read]]&gt;=Table1[[#This Row],[Low Tol]],"Pass","Fail")))</f>
        <v>Pass</v>
      </c>
      <c r="AG1581" s="1" t="str">
        <f>IF(AND(Table1[[#This Row],[Spec Type2]]="N/A",Table1[[#This Row],[DUT Adj Read]]="N/A",Table1[[#This Row],[Std Adj Read]]="N/A"),"N/A",IF(Table1[[#This Row],[DUT Adj Read]]="N/A",IF(Table1[[#This Row],[Std Adj Read]]&lt;=Table1[[#This Row],[High Tol]],"Pass","Fail"),IF(Table1[[#This Row],[DUT Adj Read]]&lt;=Table1[[#This Row],[High Tol]],"Pass","Fail")))</f>
        <v>Fail</v>
      </c>
      <c r="AH15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1" s="1" t="b">
        <v>0</v>
      </c>
      <c r="AN1581" s="1" t="b">
        <v>0</v>
      </c>
      <c r="AO1581" s="1" t="b">
        <v>0</v>
      </c>
    </row>
    <row r="1582" spans="1:41" x14ac:dyDescent="0.25">
      <c r="A1582" s="10"/>
      <c r="B1582" s="10"/>
      <c r="C1582" s="10"/>
      <c r="D1582" s="10"/>
      <c r="E1582" s="10"/>
      <c r="F1582" s="10"/>
      <c r="G1582" s="10"/>
      <c r="H1582" s="10"/>
      <c r="I1582" s="1" t="str">
        <f t="shared" si="72"/>
        <v/>
      </c>
      <c r="J1582" s="1" t="s">
        <v>35</v>
      </c>
      <c r="K1582" s="1" t="str">
        <f t="shared" si="73"/>
        <v/>
      </c>
      <c r="L1582" s="1" t="str">
        <f t="shared" si="74"/>
        <v/>
      </c>
      <c r="M1582" s="1">
        <f>IF(OR(Table1[[#This Row],[Std Nom]]="",Table1[[#This Row],[Std Read]]=""),0,Table1[[#This Row],[Std Nom]]-Table1[[#This Row],[Std Read]])</f>
        <v>0</v>
      </c>
      <c r="N1582" s="1">
        <f>IF(Calculations!$F$5="ACCREDITED 17025 WITH UNCERTAINTIES",$N$10,0)</f>
        <v>0</v>
      </c>
      <c r="O1582" s="1" t="str">
        <f>IFERROR(Table1[[#This Row],[Std Nom]]-(_xlfn.XLOOKUP(Table1[[#This Row],[Manufacturer]]&amp;" "&amp;Table1[[#This Row],[Model]],Table13[MFR &amp; MDL],Table13[Tolerance % CW ],"")/100*Table1[[#This Row],[Std Nom]]),"")</f>
        <v/>
      </c>
      <c r="P1582" s="1" t="str">
        <f>IFERROR(Table1[[#This Row],[Std Nom]]+(_xlfn.XLOOKUP(Table1[[#This Row],[Manufacturer]]&amp;" "&amp;Table1[[#This Row],[Model]],Table13[MFR &amp; MDL],Table13[Tolerance % CW ],"")/100*Table1[[#This Row],[Std Nom]]),"")</f>
        <v/>
      </c>
      <c r="Q1582" s="1" t="e">
        <f>Table1[[#This Row],[High Tol]]-Table1[[#This Row],[Low Tol]]</f>
        <v>#VALUE!</v>
      </c>
      <c r="R1582" s="1">
        <f>2*Table1[[#This Row],[Std Error]]</f>
        <v>0</v>
      </c>
      <c r="S1582" s="1" t="str">
        <f>IF(Table1[[#This Row],[High Tol]]="","N/A",IFERROR(ABS(Table1[[#This Row],[Tol Span]]/Table1[[#This Row],[Error Span]]),"N/A"))</f>
        <v>N/A</v>
      </c>
      <c r="T1582" s="1" t="str">
        <f>IF(OR(Table1[[#This Row],[Low Tol]]="",Table1[[#This Row],[High Tol]]=""),"Needs Analysis",IF(Table1[[#This Row],[Ratio]]&gt;=4,"Not Significant",IF(Table1[[#This Row],[Ratio]]&gt;=2,"Semi-Significant","Significant")))</f>
        <v>Needs Analysis</v>
      </c>
      <c r="W1582" s="1">
        <f>IF(Table1[[#This Row],[Cal Type]]&lt;&gt;"ACCREDITED 17025 WITH UNCERTAINTIES",0,"")</f>
        <v>0</v>
      </c>
      <c r="X1582" s="1" t="str">
        <f>IF(Table1[[#This Row],[DUT Read]]="","N/A",Table1[[#This Row],[Std Error]]+Table1[[#This Row],[DUT Read]]+Table1[[#This Row],[DUT Ucty]])</f>
        <v>N/A</v>
      </c>
      <c r="Y1582" s="1" t="str">
        <f>IF(Table1[[#This Row],[Std Read]]="","N/A",Table1[[#This Row],[Std Read]]+Table1[[#This Row],[Std Ucty]])</f>
        <v>N/A</v>
      </c>
      <c r="Z15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2" s="1" t="str">
        <f>IF(Table1[[#This Row],[Spec Type]]="","N/A",Table1[[#This Row],[Spec Type]])</f>
        <v>±</v>
      </c>
      <c r="AC1582" s="1" t="str">
        <f>IF(Table1[[#This Row],[Spec Type2]]="N/A","N/A",IF(AND(Table1[[#This Row],[DUT Adj Read]]&gt;=Table1[[#This Row],[Low Tol]],Table1[[#This Row],[DUT Adj Read]]&lt;=Table1[[#This Row],[High Tol]]),"Pass","Fail"))</f>
        <v>Fail</v>
      </c>
      <c r="AD1582" s="1" t="str">
        <f>IF(AND(Table1[[#This Row],[Spec Type2]]="N/A",Table1[[#This Row],[DUT Adj Read]]="N/A",Table1[[#This Row],[Std Adj Read]]="N/A"),"N/A",IF(Table1[[#This Row],[DUT Adj Read]]="N/A",IF(Table1[[#This Row],[Std Adj Read]]&gt;Table1[[#This Row],[Low Tol]],"Pass","Fail"),IF(Table1[[#This Row],[DUT Adj Read]]&gt;Table1[[#This Row],[Low Tol]],"Pass","Fail")))</f>
        <v>Pass</v>
      </c>
      <c r="AE1582" s="1" t="str">
        <f>IF(AND(Table1[[#This Row],[Spec Type2]]="N/A",Table1[[#This Row],[DUT Adj Read]]="N/A",Table1[[#This Row],[Std Adj Read]]="N/A"),"N/A",IF(Table1[[#This Row],[DUT Adj Read]]="N/A",IF(Table1[[#This Row],[Std Adj Read]]&lt;Table1[[#This Row],[High Tol]],"Pass","Fail"),IF(Table1[[#This Row],[DUT Adj Read]]&lt;Table1[[#This Row],[High Tol]],"Pass","Fail")))</f>
        <v>Fail</v>
      </c>
      <c r="AF1582" s="1" t="str">
        <f>IF(AND(Table1[[#This Row],[Spec Type2]]="N/A",Table1[[#This Row],[DUT Adj Read]]="N/A",Table1[[#This Row],[Std Adj Read]]="N/A"),"N/A",IF(Table1[[#This Row],[DUT Adj Read]]="N/A",IF(Table1[[#This Row],[Std Adj Read]]&gt;=Table1[[#This Row],[Low Tol]],"Pass","Fail"),IF(Table1[[#This Row],[DUT Adj Read]]&gt;=Table1[[#This Row],[Low Tol]],"Pass","Fail")))</f>
        <v>Pass</v>
      </c>
      <c r="AG1582" s="1" t="str">
        <f>IF(AND(Table1[[#This Row],[Spec Type2]]="N/A",Table1[[#This Row],[DUT Adj Read]]="N/A",Table1[[#This Row],[Std Adj Read]]="N/A"),"N/A",IF(Table1[[#This Row],[DUT Adj Read]]="N/A",IF(Table1[[#This Row],[Std Adj Read]]&lt;=Table1[[#This Row],[High Tol]],"Pass","Fail"),IF(Table1[[#This Row],[DUT Adj Read]]&lt;=Table1[[#This Row],[High Tol]],"Pass","Fail")))</f>
        <v>Fail</v>
      </c>
      <c r="AH15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2" s="1" t="b">
        <v>0</v>
      </c>
      <c r="AN1582" s="1" t="b">
        <v>0</v>
      </c>
      <c r="AO1582" s="1" t="b">
        <v>0</v>
      </c>
    </row>
    <row r="1583" spans="1:41" x14ac:dyDescent="0.25">
      <c r="A1583" s="10"/>
      <c r="B1583" s="10"/>
      <c r="C1583" s="10"/>
      <c r="D1583" s="10"/>
      <c r="E1583" s="10"/>
      <c r="F1583" s="10"/>
      <c r="G1583" s="10"/>
      <c r="H1583" s="10"/>
      <c r="I1583" s="1" t="str">
        <f t="shared" si="72"/>
        <v/>
      </c>
      <c r="J1583" s="1" t="s">
        <v>35</v>
      </c>
      <c r="K1583" s="1" t="str">
        <f t="shared" si="73"/>
        <v/>
      </c>
      <c r="L1583" s="1" t="str">
        <f t="shared" si="74"/>
        <v/>
      </c>
      <c r="M1583" s="1">
        <f>IF(OR(Table1[[#This Row],[Std Nom]]="",Table1[[#This Row],[Std Read]]=""),0,Table1[[#This Row],[Std Nom]]-Table1[[#This Row],[Std Read]])</f>
        <v>0</v>
      </c>
      <c r="N1583" s="1">
        <f>IF(Calculations!$F$5="ACCREDITED 17025 WITH UNCERTAINTIES",$N$10,0)</f>
        <v>0</v>
      </c>
      <c r="O1583" s="1" t="str">
        <f>IFERROR(Table1[[#This Row],[Std Nom]]-(_xlfn.XLOOKUP(Table1[[#This Row],[Manufacturer]]&amp;" "&amp;Table1[[#This Row],[Model]],Table13[MFR &amp; MDL],Table13[Tolerance % CW ],"")/100*Table1[[#This Row],[Std Nom]]),"")</f>
        <v/>
      </c>
      <c r="P1583" s="1" t="str">
        <f>IFERROR(Table1[[#This Row],[Std Nom]]+(_xlfn.XLOOKUP(Table1[[#This Row],[Manufacturer]]&amp;" "&amp;Table1[[#This Row],[Model]],Table13[MFR &amp; MDL],Table13[Tolerance % CW ],"")/100*Table1[[#This Row],[Std Nom]]),"")</f>
        <v/>
      </c>
      <c r="Q1583" s="1" t="e">
        <f>Table1[[#This Row],[High Tol]]-Table1[[#This Row],[Low Tol]]</f>
        <v>#VALUE!</v>
      </c>
      <c r="R1583" s="1">
        <f>2*Table1[[#This Row],[Std Error]]</f>
        <v>0</v>
      </c>
      <c r="S1583" s="1" t="str">
        <f>IF(Table1[[#This Row],[High Tol]]="","N/A",IFERROR(ABS(Table1[[#This Row],[Tol Span]]/Table1[[#This Row],[Error Span]]),"N/A"))</f>
        <v>N/A</v>
      </c>
      <c r="T1583" s="1" t="str">
        <f>IF(OR(Table1[[#This Row],[Low Tol]]="",Table1[[#This Row],[High Tol]]=""),"Needs Analysis",IF(Table1[[#This Row],[Ratio]]&gt;=4,"Not Significant",IF(Table1[[#This Row],[Ratio]]&gt;=2,"Semi-Significant","Significant")))</f>
        <v>Needs Analysis</v>
      </c>
      <c r="W1583" s="1">
        <f>IF(Table1[[#This Row],[Cal Type]]&lt;&gt;"ACCREDITED 17025 WITH UNCERTAINTIES",0,"")</f>
        <v>0</v>
      </c>
      <c r="X1583" s="1" t="str">
        <f>IF(Table1[[#This Row],[DUT Read]]="","N/A",Table1[[#This Row],[Std Error]]+Table1[[#This Row],[DUT Read]]+Table1[[#This Row],[DUT Ucty]])</f>
        <v>N/A</v>
      </c>
      <c r="Y1583" s="1" t="str">
        <f>IF(Table1[[#This Row],[Std Read]]="","N/A",Table1[[#This Row],[Std Read]]+Table1[[#This Row],[Std Ucty]])</f>
        <v>N/A</v>
      </c>
      <c r="Z15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3" s="1" t="str">
        <f>IF(Table1[[#This Row],[Spec Type]]="","N/A",Table1[[#This Row],[Spec Type]])</f>
        <v>±</v>
      </c>
      <c r="AC1583" s="1" t="str">
        <f>IF(Table1[[#This Row],[Spec Type2]]="N/A","N/A",IF(AND(Table1[[#This Row],[DUT Adj Read]]&gt;=Table1[[#This Row],[Low Tol]],Table1[[#This Row],[DUT Adj Read]]&lt;=Table1[[#This Row],[High Tol]]),"Pass","Fail"))</f>
        <v>Fail</v>
      </c>
      <c r="AD1583" s="1" t="str">
        <f>IF(AND(Table1[[#This Row],[Spec Type2]]="N/A",Table1[[#This Row],[DUT Adj Read]]="N/A",Table1[[#This Row],[Std Adj Read]]="N/A"),"N/A",IF(Table1[[#This Row],[DUT Adj Read]]="N/A",IF(Table1[[#This Row],[Std Adj Read]]&gt;Table1[[#This Row],[Low Tol]],"Pass","Fail"),IF(Table1[[#This Row],[DUT Adj Read]]&gt;Table1[[#This Row],[Low Tol]],"Pass","Fail")))</f>
        <v>Pass</v>
      </c>
      <c r="AE1583" s="1" t="str">
        <f>IF(AND(Table1[[#This Row],[Spec Type2]]="N/A",Table1[[#This Row],[DUT Adj Read]]="N/A",Table1[[#This Row],[Std Adj Read]]="N/A"),"N/A",IF(Table1[[#This Row],[DUT Adj Read]]="N/A",IF(Table1[[#This Row],[Std Adj Read]]&lt;Table1[[#This Row],[High Tol]],"Pass","Fail"),IF(Table1[[#This Row],[DUT Adj Read]]&lt;Table1[[#This Row],[High Tol]],"Pass","Fail")))</f>
        <v>Fail</v>
      </c>
      <c r="AF1583" s="1" t="str">
        <f>IF(AND(Table1[[#This Row],[Spec Type2]]="N/A",Table1[[#This Row],[DUT Adj Read]]="N/A",Table1[[#This Row],[Std Adj Read]]="N/A"),"N/A",IF(Table1[[#This Row],[DUT Adj Read]]="N/A",IF(Table1[[#This Row],[Std Adj Read]]&gt;=Table1[[#This Row],[Low Tol]],"Pass","Fail"),IF(Table1[[#This Row],[DUT Adj Read]]&gt;=Table1[[#This Row],[Low Tol]],"Pass","Fail")))</f>
        <v>Pass</v>
      </c>
      <c r="AG1583" s="1" t="str">
        <f>IF(AND(Table1[[#This Row],[Spec Type2]]="N/A",Table1[[#This Row],[DUT Adj Read]]="N/A",Table1[[#This Row],[Std Adj Read]]="N/A"),"N/A",IF(Table1[[#This Row],[DUT Adj Read]]="N/A",IF(Table1[[#This Row],[Std Adj Read]]&lt;=Table1[[#This Row],[High Tol]],"Pass","Fail"),IF(Table1[[#This Row],[DUT Adj Read]]&lt;=Table1[[#This Row],[High Tol]],"Pass","Fail")))</f>
        <v>Fail</v>
      </c>
      <c r="AH15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3" s="1" t="b">
        <v>0</v>
      </c>
      <c r="AN1583" s="1" t="b">
        <v>0</v>
      </c>
      <c r="AO1583" s="1" t="b">
        <v>0</v>
      </c>
    </row>
    <row r="1584" spans="1:41" x14ac:dyDescent="0.25">
      <c r="A1584" s="10"/>
      <c r="B1584" s="10"/>
      <c r="C1584" s="10"/>
      <c r="D1584" s="10"/>
      <c r="E1584" s="10"/>
      <c r="F1584" s="10"/>
      <c r="G1584" s="10"/>
      <c r="H1584" s="10"/>
      <c r="I1584" s="1" t="str">
        <f t="shared" si="72"/>
        <v/>
      </c>
      <c r="J1584" s="1" t="s">
        <v>35</v>
      </c>
      <c r="K1584" s="1" t="str">
        <f t="shared" si="73"/>
        <v/>
      </c>
      <c r="L1584" s="1" t="str">
        <f t="shared" si="74"/>
        <v/>
      </c>
      <c r="M1584" s="1">
        <f>IF(OR(Table1[[#This Row],[Std Nom]]="",Table1[[#This Row],[Std Read]]=""),0,Table1[[#This Row],[Std Nom]]-Table1[[#This Row],[Std Read]])</f>
        <v>0</v>
      </c>
      <c r="N1584" s="1">
        <f>IF(Calculations!$F$5="ACCREDITED 17025 WITH UNCERTAINTIES",$N$10,0)</f>
        <v>0</v>
      </c>
      <c r="O1584" s="1" t="str">
        <f>IFERROR(Table1[[#This Row],[Std Nom]]-(_xlfn.XLOOKUP(Table1[[#This Row],[Manufacturer]]&amp;" "&amp;Table1[[#This Row],[Model]],Table13[MFR &amp; MDL],Table13[Tolerance % CW ],"")/100*Table1[[#This Row],[Std Nom]]),"")</f>
        <v/>
      </c>
      <c r="P1584" s="1" t="str">
        <f>IFERROR(Table1[[#This Row],[Std Nom]]+(_xlfn.XLOOKUP(Table1[[#This Row],[Manufacturer]]&amp;" "&amp;Table1[[#This Row],[Model]],Table13[MFR &amp; MDL],Table13[Tolerance % CW ],"")/100*Table1[[#This Row],[Std Nom]]),"")</f>
        <v/>
      </c>
      <c r="Q1584" s="1" t="e">
        <f>Table1[[#This Row],[High Tol]]-Table1[[#This Row],[Low Tol]]</f>
        <v>#VALUE!</v>
      </c>
      <c r="R1584" s="1">
        <f>2*Table1[[#This Row],[Std Error]]</f>
        <v>0</v>
      </c>
      <c r="S1584" s="1" t="str">
        <f>IF(Table1[[#This Row],[High Tol]]="","N/A",IFERROR(ABS(Table1[[#This Row],[Tol Span]]/Table1[[#This Row],[Error Span]]),"N/A"))</f>
        <v>N/A</v>
      </c>
      <c r="T1584" s="1" t="str">
        <f>IF(OR(Table1[[#This Row],[Low Tol]]="",Table1[[#This Row],[High Tol]]=""),"Needs Analysis",IF(Table1[[#This Row],[Ratio]]&gt;=4,"Not Significant",IF(Table1[[#This Row],[Ratio]]&gt;=2,"Semi-Significant","Significant")))</f>
        <v>Needs Analysis</v>
      </c>
      <c r="W1584" s="1">
        <f>IF(Table1[[#This Row],[Cal Type]]&lt;&gt;"ACCREDITED 17025 WITH UNCERTAINTIES",0,"")</f>
        <v>0</v>
      </c>
      <c r="X1584" s="1" t="str">
        <f>IF(Table1[[#This Row],[DUT Read]]="","N/A",Table1[[#This Row],[Std Error]]+Table1[[#This Row],[DUT Read]]+Table1[[#This Row],[DUT Ucty]])</f>
        <v>N/A</v>
      </c>
      <c r="Y1584" s="1" t="str">
        <f>IF(Table1[[#This Row],[Std Read]]="","N/A",Table1[[#This Row],[Std Read]]+Table1[[#This Row],[Std Ucty]])</f>
        <v>N/A</v>
      </c>
      <c r="Z15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4" s="1" t="str">
        <f>IF(Table1[[#This Row],[Spec Type]]="","N/A",Table1[[#This Row],[Spec Type]])</f>
        <v>±</v>
      </c>
      <c r="AC1584" s="1" t="str">
        <f>IF(Table1[[#This Row],[Spec Type2]]="N/A","N/A",IF(AND(Table1[[#This Row],[DUT Adj Read]]&gt;=Table1[[#This Row],[Low Tol]],Table1[[#This Row],[DUT Adj Read]]&lt;=Table1[[#This Row],[High Tol]]),"Pass","Fail"))</f>
        <v>Fail</v>
      </c>
      <c r="AD1584" s="1" t="str">
        <f>IF(AND(Table1[[#This Row],[Spec Type2]]="N/A",Table1[[#This Row],[DUT Adj Read]]="N/A",Table1[[#This Row],[Std Adj Read]]="N/A"),"N/A",IF(Table1[[#This Row],[DUT Adj Read]]="N/A",IF(Table1[[#This Row],[Std Adj Read]]&gt;Table1[[#This Row],[Low Tol]],"Pass","Fail"),IF(Table1[[#This Row],[DUT Adj Read]]&gt;Table1[[#This Row],[Low Tol]],"Pass","Fail")))</f>
        <v>Pass</v>
      </c>
      <c r="AE1584" s="1" t="str">
        <f>IF(AND(Table1[[#This Row],[Spec Type2]]="N/A",Table1[[#This Row],[DUT Adj Read]]="N/A",Table1[[#This Row],[Std Adj Read]]="N/A"),"N/A",IF(Table1[[#This Row],[DUT Adj Read]]="N/A",IF(Table1[[#This Row],[Std Adj Read]]&lt;Table1[[#This Row],[High Tol]],"Pass","Fail"),IF(Table1[[#This Row],[DUT Adj Read]]&lt;Table1[[#This Row],[High Tol]],"Pass","Fail")))</f>
        <v>Fail</v>
      </c>
      <c r="AF1584" s="1" t="str">
        <f>IF(AND(Table1[[#This Row],[Spec Type2]]="N/A",Table1[[#This Row],[DUT Adj Read]]="N/A",Table1[[#This Row],[Std Adj Read]]="N/A"),"N/A",IF(Table1[[#This Row],[DUT Adj Read]]="N/A",IF(Table1[[#This Row],[Std Adj Read]]&gt;=Table1[[#This Row],[Low Tol]],"Pass","Fail"),IF(Table1[[#This Row],[DUT Adj Read]]&gt;=Table1[[#This Row],[Low Tol]],"Pass","Fail")))</f>
        <v>Pass</v>
      </c>
      <c r="AG1584" s="1" t="str">
        <f>IF(AND(Table1[[#This Row],[Spec Type2]]="N/A",Table1[[#This Row],[DUT Adj Read]]="N/A",Table1[[#This Row],[Std Adj Read]]="N/A"),"N/A",IF(Table1[[#This Row],[DUT Adj Read]]="N/A",IF(Table1[[#This Row],[Std Adj Read]]&lt;=Table1[[#This Row],[High Tol]],"Pass","Fail"),IF(Table1[[#This Row],[DUT Adj Read]]&lt;=Table1[[#This Row],[High Tol]],"Pass","Fail")))</f>
        <v>Fail</v>
      </c>
      <c r="AH15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4" s="1" t="b">
        <v>0</v>
      </c>
      <c r="AN1584" s="1" t="b">
        <v>0</v>
      </c>
      <c r="AO1584" s="1" t="b">
        <v>0</v>
      </c>
    </row>
    <row r="1585" spans="1:41" x14ac:dyDescent="0.25">
      <c r="A1585" s="10"/>
      <c r="B1585" s="10"/>
      <c r="C1585" s="10"/>
      <c r="D1585" s="10"/>
      <c r="E1585" s="10"/>
      <c r="F1585" s="10"/>
      <c r="G1585" s="10"/>
      <c r="H1585" s="10"/>
      <c r="I1585" s="1" t="str">
        <f t="shared" si="72"/>
        <v/>
      </c>
      <c r="J1585" s="1" t="s">
        <v>35</v>
      </c>
      <c r="K1585" s="1" t="str">
        <f t="shared" si="73"/>
        <v/>
      </c>
      <c r="L1585" s="1" t="str">
        <f t="shared" si="74"/>
        <v/>
      </c>
      <c r="M1585" s="1">
        <f>IF(OR(Table1[[#This Row],[Std Nom]]="",Table1[[#This Row],[Std Read]]=""),0,Table1[[#This Row],[Std Nom]]-Table1[[#This Row],[Std Read]])</f>
        <v>0</v>
      </c>
      <c r="N1585" s="1">
        <f>IF(Calculations!$F$5="ACCREDITED 17025 WITH UNCERTAINTIES",$N$10,0)</f>
        <v>0</v>
      </c>
      <c r="O1585" s="1" t="str">
        <f>IFERROR(Table1[[#This Row],[Std Nom]]-(_xlfn.XLOOKUP(Table1[[#This Row],[Manufacturer]]&amp;" "&amp;Table1[[#This Row],[Model]],Table13[MFR &amp; MDL],Table13[Tolerance % CW ],"")/100*Table1[[#This Row],[Std Nom]]),"")</f>
        <v/>
      </c>
      <c r="P1585" s="1" t="str">
        <f>IFERROR(Table1[[#This Row],[Std Nom]]+(_xlfn.XLOOKUP(Table1[[#This Row],[Manufacturer]]&amp;" "&amp;Table1[[#This Row],[Model]],Table13[MFR &amp; MDL],Table13[Tolerance % CW ],"")/100*Table1[[#This Row],[Std Nom]]),"")</f>
        <v/>
      </c>
      <c r="Q1585" s="1" t="e">
        <f>Table1[[#This Row],[High Tol]]-Table1[[#This Row],[Low Tol]]</f>
        <v>#VALUE!</v>
      </c>
      <c r="R1585" s="1">
        <f>2*Table1[[#This Row],[Std Error]]</f>
        <v>0</v>
      </c>
      <c r="S1585" s="1" t="str">
        <f>IF(Table1[[#This Row],[High Tol]]="","N/A",IFERROR(ABS(Table1[[#This Row],[Tol Span]]/Table1[[#This Row],[Error Span]]),"N/A"))</f>
        <v>N/A</v>
      </c>
      <c r="T1585" s="1" t="str">
        <f>IF(OR(Table1[[#This Row],[Low Tol]]="",Table1[[#This Row],[High Tol]]=""),"Needs Analysis",IF(Table1[[#This Row],[Ratio]]&gt;=4,"Not Significant",IF(Table1[[#This Row],[Ratio]]&gt;=2,"Semi-Significant","Significant")))</f>
        <v>Needs Analysis</v>
      </c>
      <c r="W1585" s="1">
        <f>IF(Table1[[#This Row],[Cal Type]]&lt;&gt;"ACCREDITED 17025 WITH UNCERTAINTIES",0,"")</f>
        <v>0</v>
      </c>
      <c r="X1585" s="1" t="str">
        <f>IF(Table1[[#This Row],[DUT Read]]="","N/A",Table1[[#This Row],[Std Error]]+Table1[[#This Row],[DUT Read]]+Table1[[#This Row],[DUT Ucty]])</f>
        <v>N/A</v>
      </c>
      <c r="Y1585" s="1" t="str">
        <f>IF(Table1[[#This Row],[Std Read]]="","N/A",Table1[[#This Row],[Std Read]]+Table1[[#This Row],[Std Ucty]])</f>
        <v>N/A</v>
      </c>
      <c r="Z15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5" s="1" t="str">
        <f>IF(Table1[[#This Row],[Spec Type]]="","N/A",Table1[[#This Row],[Spec Type]])</f>
        <v>±</v>
      </c>
      <c r="AC1585" s="1" t="str">
        <f>IF(Table1[[#This Row],[Spec Type2]]="N/A","N/A",IF(AND(Table1[[#This Row],[DUT Adj Read]]&gt;=Table1[[#This Row],[Low Tol]],Table1[[#This Row],[DUT Adj Read]]&lt;=Table1[[#This Row],[High Tol]]),"Pass","Fail"))</f>
        <v>Fail</v>
      </c>
      <c r="AD1585" s="1" t="str">
        <f>IF(AND(Table1[[#This Row],[Spec Type2]]="N/A",Table1[[#This Row],[DUT Adj Read]]="N/A",Table1[[#This Row],[Std Adj Read]]="N/A"),"N/A",IF(Table1[[#This Row],[DUT Adj Read]]="N/A",IF(Table1[[#This Row],[Std Adj Read]]&gt;Table1[[#This Row],[Low Tol]],"Pass","Fail"),IF(Table1[[#This Row],[DUT Adj Read]]&gt;Table1[[#This Row],[Low Tol]],"Pass","Fail")))</f>
        <v>Pass</v>
      </c>
      <c r="AE1585" s="1" t="str">
        <f>IF(AND(Table1[[#This Row],[Spec Type2]]="N/A",Table1[[#This Row],[DUT Adj Read]]="N/A",Table1[[#This Row],[Std Adj Read]]="N/A"),"N/A",IF(Table1[[#This Row],[DUT Adj Read]]="N/A",IF(Table1[[#This Row],[Std Adj Read]]&lt;Table1[[#This Row],[High Tol]],"Pass","Fail"),IF(Table1[[#This Row],[DUT Adj Read]]&lt;Table1[[#This Row],[High Tol]],"Pass","Fail")))</f>
        <v>Fail</v>
      </c>
      <c r="AF1585" s="1" t="str">
        <f>IF(AND(Table1[[#This Row],[Spec Type2]]="N/A",Table1[[#This Row],[DUT Adj Read]]="N/A",Table1[[#This Row],[Std Adj Read]]="N/A"),"N/A",IF(Table1[[#This Row],[DUT Adj Read]]="N/A",IF(Table1[[#This Row],[Std Adj Read]]&gt;=Table1[[#This Row],[Low Tol]],"Pass","Fail"),IF(Table1[[#This Row],[DUT Adj Read]]&gt;=Table1[[#This Row],[Low Tol]],"Pass","Fail")))</f>
        <v>Pass</v>
      </c>
      <c r="AG1585" s="1" t="str">
        <f>IF(AND(Table1[[#This Row],[Spec Type2]]="N/A",Table1[[#This Row],[DUT Adj Read]]="N/A",Table1[[#This Row],[Std Adj Read]]="N/A"),"N/A",IF(Table1[[#This Row],[DUT Adj Read]]="N/A",IF(Table1[[#This Row],[Std Adj Read]]&lt;=Table1[[#This Row],[High Tol]],"Pass","Fail"),IF(Table1[[#This Row],[DUT Adj Read]]&lt;=Table1[[#This Row],[High Tol]],"Pass","Fail")))</f>
        <v>Fail</v>
      </c>
      <c r="AH15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5" s="1" t="b">
        <v>0</v>
      </c>
      <c r="AN1585" s="1" t="b">
        <v>0</v>
      </c>
      <c r="AO1585" s="1" t="b">
        <v>0</v>
      </c>
    </row>
    <row r="1586" spans="1:41" x14ac:dyDescent="0.25">
      <c r="A1586" s="10"/>
      <c r="B1586" s="10"/>
      <c r="C1586" s="10"/>
      <c r="D1586" s="10"/>
      <c r="E1586" s="10"/>
      <c r="F1586" s="10"/>
      <c r="G1586" s="10"/>
      <c r="H1586" s="10"/>
      <c r="I1586" s="1" t="str">
        <f t="shared" si="72"/>
        <v/>
      </c>
      <c r="J1586" s="1" t="s">
        <v>35</v>
      </c>
      <c r="K1586" s="1" t="str">
        <f t="shared" si="73"/>
        <v/>
      </c>
      <c r="L1586" s="1" t="str">
        <f t="shared" si="74"/>
        <v/>
      </c>
      <c r="M1586" s="1">
        <f>IF(OR(Table1[[#This Row],[Std Nom]]="",Table1[[#This Row],[Std Read]]=""),0,Table1[[#This Row],[Std Nom]]-Table1[[#This Row],[Std Read]])</f>
        <v>0</v>
      </c>
      <c r="N1586" s="1">
        <f>IF(Calculations!$F$5="ACCREDITED 17025 WITH UNCERTAINTIES",$N$10,0)</f>
        <v>0</v>
      </c>
      <c r="O1586" s="1" t="str">
        <f>IFERROR(Table1[[#This Row],[Std Nom]]-(_xlfn.XLOOKUP(Table1[[#This Row],[Manufacturer]]&amp;" "&amp;Table1[[#This Row],[Model]],Table13[MFR &amp; MDL],Table13[Tolerance % CW ],"")/100*Table1[[#This Row],[Std Nom]]),"")</f>
        <v/>
      </c>
      <c r="P1586" s="1" t="str">
        <f>IFERROR(Table1[[#This Row],[Std Nom]]+(_xlfn.XLOOKUP(Table1[[#This Row],[Manufacturer]]&amp;" "&amp;Table1[[#This Row],[Model]],Table13[MFR &amp; MDL],Table13[Tolerance % CW ],"")/100*Table1[[#This Row],[Std Nom]]),"")</f>
        <v/>
      </c>
      <c r="Q1586" s="1" t="e">
        <f>Table1[[#This Row],[High Tol]]-Table1[[#This Row],[Low Tol]]</f>
        <v>#VALUE!</v>
      </c>
      <c r="R1586" s="1">
        <f>2*Table1[[#This Row],[Std Error]]</f>
        <v>0</v>
      </c>
      <c r="S1586" s="1" t="str">
        <f>IF(Table1[[#This Row],[High Tol]]="","N/A",IFERROR(ABS(Table1[[#This Row],[Tol Span]]/Table1[[#This Row],[Error Span]]),"N/A"))</f>
        <v>N/A</v>
      </c>
      <c r="T1586" s="1" t="str">
        <f>IF(OR(Table1[[#This Row],[Low Tol]]="",Table1[[#This Row],[High Tol]]=""),"Needs Analysis",IF(Table1[[#This Row],[Ratio]]&gt;=4,"Not Significant",IF(Table1[[#This Row],[Ratio]]&gt;=2,"Semi-Significant","Significant")))</f>
        <v>Needs Analysis</v>
      </c>
      <c r="W1586" s="1">
        <f>IF(Table1[[#This Row],[Cal Type]]&lt;&gt;"ACCREDITED 17025 WITH UNCERTAINTIES",0,"")</f>
        <v>0</v>
      </c>
      <c r="X1586" s="1" t="str">
        <f>IF(Table1[[#This Row],[DUT Read]]="","N/A",Table1[[#This Row],[Std Error]]+Table1[[#This Row],[DUT Read]]+Table1[[#This Row],[DUT Ucty]])</f>
        <v>N/A</v>
      </c>
      <c r="Y1586" s="1" t="str">
        <f>IF(Table1[[#This Row],[Std Read]]="","N/A",Table1[[#This Row],[Std Read]]+Table1[[#This Row],[Std Ucty]])</f>
        <v>N/A</v>
      </c>
      <c r="Z15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6" s="1" t="str">
        <f>IF(Table1[[#This Row],[Spec Type]]="","N/A",Table1[[#This Row],[Spec Type]])</f>
        <v>±</v>
      </c>
      <c r="AC1586" s="1" t="str">
        <f>IF(Table1[[#This Row],[Spec Type2]]="N/A","N/A",IF(AND(Table1[[#This Row],[DUT Adj Read]]&gt;=Table1[[#This Row],[Low Tol]],Table1[[#This Row],[DUT Adj Read]]&lt;=Table1[[#This Row],[High Tol]]),"Pass","Fail"))</f>
        <v>Fail</v>
      </c>
      <c r="AD1586" s="1" t="str">
        <f>IF(AND(Table1[[#This Row],[Spec Type2]]="N/A",Table1[[#This Row],[DUT Adj Read]]="N/A",Table1[[#This Row],[Std Adj Read]]="N/A"),"N/A",IF(Table1[[#This Row],[DUT Adj Read]]="N/A",IF(Table1[[#This Row],[Std Adj Read]]&gt;Table1[[#This Row],[Low Tol]],"Pass","Fail"),IF(Table1[[#This Row],[DUT Adj Read]]&gt;Table1[[#This Row],[Low Tol]],"Pass","Fail")))</f>
        <v>Pass</v>
      </c>
      <c r="AE1586" s="1" t="str">
        <f>IF(AND(Table1[[#This Row],[Spec Type2]]="N/A",Table1[[#This Row],[DUT Adj Read]]="N/A",Table1[[#This Row],[Std Adj Read]]="N/A"),"N/A",IF(Table1[[#This Row],[DUT Adj Read]]="N/A",IF(Table1[[#This Row],[Std Adj Read]]&lt;Table1[[#This Row],[High Tol]],"Pass","Fail"),IF(Table1[[#This Row],[DUT Adj Read]]&lt;Table1[[#This Row],[High Tol]],"Pass","Fail")))</f>
        <v>Fail</v>
      </c>
      <c r="AF1586" s="1" t="str">
        <f>IF(AND(Table1[[#This Row],[Spec Type2]]="N/A",Table1[[#This Row],[DUT Adj Read]]="N/A",Table1[[#This Row],[Std Adj Read]]="N/A"),"N/A",IF(Table1[[#This Row],[DUT Adj Read]]="N/A",IF(Table1[[#This Row],[Std Adj Read]]&gt;=Table1[[#This Row],[Low Tol]],"Pass","Fail"),IF(Table1[[#This Row],[DUT Adj Read]]&gt;=Table1[[#This Row],[Low Tol]],"Pass","Fail")))</f>
        <v>Pass</v>
      </c>
      <c r="AG1586" s="1" t="str">
        <f>IF(AND(Table1[[#This Row],[Spec Type2]]="N/A",Table1[[#This Row],[DUT Adj Read]]="N/A",Table1[[#This Row],[Std Adj Read]]="N/A"),"N/A",IF(Table1[[#This Row],[DUT Adj Read]]="N/A",IF(Table1[[#This Row],[Std Adj Read]]&lt;=Table1[[#This Row],[High Tol]],"Pass","Fail"),IF(Table1[[#This Row],[DUT Adj Read]]&lt;=Table1[[#This Row],[High Tol]],"Pass","Fail")))</f>
        <v>Fail</v>
      </c>
      <c r="AH15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6" s="1" t="b">
        <v>0</v>
      </c>
      <c r="AN1586" s="1" t="b">
        <v>0</v>
      </c>
      <c r="AO1586" s="1" t="b">
        <v>0</v>
      </c>
    </row>
    <row r="1587" spans="1:41" x14ac:dyDescent="0.25">
      <c r="A1587" s="10"/>
      <c r="B1587" s="10"/>
      <c r="C1587" s="10"/>
      <c r="D1587" s="10"/>
      <c r="E1587" s="10"/>
      <c r="F1587" s="10"/>
      <c r="G1587" s="10"/>
      <c r="H1587" s="10"/>
      <c r="I1587" s="1" t="str">
        <f t="shared" si="72"/>
        <v/>
      </c>
      <c r="J1587" s="1" t="s">
        <v>35</v>
      </c>
      <c r="K1587" s="1" t="str">
        <f t="shared" si="73"/>
        <v/>
      </c>
      <c r="L1587" s="1" t="str">
        <f t="shared" si="74"/>
        <v/>
      </c>
      <c r="M1587" s="1">
        <f>IF(OR(Table1[[#This Row],[Std Nom]]="",Table1[[#This Row],[Std Read]]=""),0,Table1[[#This Row],[Std Nom]]-Table1[[#This Row],[Std Read]])</f>
        <v>0</v>
      </c>
      <c r="N1587" s="1">
        <f>IF(Calculations!$F$5="ACCREDITED 17025 WITH UNCERTAINTIES",$N$10,0)</f>
        <v>0</v>
      </c>
      <c r="O1587" s="1" t="str">
        <f>IFERROR(Table1[[#This Row],[Std Nom]]-(_xlfn.XLOOKUP(Table1[[#This Row],[Manufacturer]]&amp;" "&amp;Table1[[#This Row],[Model]],Table13[MFR &amp; MDL],Table13[Tolerance % CW ],"")/100*Table1[[#This Row],[Std Nom]]),"")</f>
        <v/>
      </c>
      <c r="P1587" s="1" t="str">
        <f>IFERROR(Table1[[#This Row],[Std Nom]]+(_xlfn.XLOOKUP(Table1[[#This Row],[Manufacturer]]&amp;" "&amp;Table1[[#This Row],[Model]],Table13[MFR &amp; MDL],Table13[Tolerance % CW ],"")/100*Table1[[#This Row],[Std Nom]]),"")</f>
        <v/>
      </c>
      <c r="Q1587" s="1" t="e">
        <f>Table1[[#This Row],[High Tol]]-Table1[[#This Row],[Low Tol]]</f>
        <v>#VALUE!</v>
      </c>
      <c r="R1587" s="1">
        <f>2*Table1[[#This Row],[Std Error]]</f>
        <v>0</v>
      </c>
      <c r="S1587" s="1" t="str">
        <f>IF(Table1[[#This Row],[High Tol]]="","N/A",IFERROR(ABS(Table1[[#This Row],[Tol Span]]/Table1[[#This Row],[Error Span]]),"N/A"))</f>
        <v>N/A</v>
      </c>
      <c r="T1587" s="1" t="str">
        <f>IF(OR(Table1[[#This Row],[Low Tol]]="",Table1[[#This Row],[High Tol]]=""),"Needs Analysis",IF(Table1[[#This Row],[Ratio]]&gt;=4,"Not Significant",IF(Table1[[#This Row],[Ratio]]&gt;=2,"Semi-Significant","Significant")))</f>
        <v>Needs Analysis</v>
      </c>
      <c r="W1587" s="1">
        <f>IF(Table1[[#This Row],[Cal Type]]&lt;&gt;"ACCREDITED 17025 WITH UNCERTAINTIES",0,"")</f>
        <v>0</v>
      </c>
      <c r="X1587" s="1" t="str">
        <f>IF(Table1[[#This Row],[DUT Read]]="","N/A",Table1[[#This Row],[Std Error]]+Table1[[#This Row],[DUT Read]]+Table1[[#This Row],[DUT Ucty]])</f>
        <v>N/A</v>
      </c>
      <c r="Y1587" s="1" t="str">
        <f>IF(Table1[[#This Row],[Std Read]]="","N/A",Table1[[#This Row],[Std Read]]+Table1[[#This Row],[Std Ucty]])</f>
        <v>N/A</v>
      </c>
      <c r="Z15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7" s="1" t="str">
        <f>IF(Table1[[#This Row],[Spec Type]]="","N/A",Table1[[#This Row],[Spec Type]])</f>
        <v>±</v>
      </c>
      <c r="AC1587" s="1" t="str">
        <f>IF(Table1[[#This Row],[Spec Type2]]="N/A","N/A",IF(AND(Table1[[#This Row],[DUT Adj Read]]&gt;=Table1[[#This Row],[Low Tol]],Table1[[#This Row],[DUT Adj Read]]&lt;=Table1[[#This Row],[High Tol]]),"Pass","Fail"))</f>
        <v>Fail</v>
      </c>
      <c r="AD1587" s="1" t="str">
        <f>IF(AND(Table1[[#This Row],[Spec Type2]]="N/A",Table1[[#This Row],[DUT Adj Read]]="N/A",Table1[[#This Row],[Std Adj Read]]="N/A"),"N/A",IF(Table1[[#This Row],[DUT Adj Read]]="N/A",IF(Table1[[#This Row],[Std Adj Read]]&gt;Table1[[#This Row],[Low Tol]],"Pass","Fail"),IF(Table1[[#This Row],[DUT Adj Read]]&gt;Table1[[#This Row],[Low Tol]],"Pass","Fail")))</f>
        <v>Pass</v>
      </c>
      <c r="AE1587" s="1" t="str">
        <f>IF(AND(Table1[[#This Row],[Spec Type2]]="N/A",Table1[[#This Row],[DUT Adj Read]]="N/A",Table1[[#This Row],[Std Adj Read]]="N/A"),"N/A",IF(Table1[[#This Row],[DUT Adj Read]]="N/A",IF(Table1[[#This Row],[Std Adj Read]]&lt;Table1[[#This Row],[High Tol]],"Pass","Fail"),IF(Table1[[#This Row],[DUT Adj Read]]&lt;Table1[[#This Row],[High Tol]],"Pass","Fail")))</f>
        <v>Fail</v>
      </c>
      <c r="AF1587" s="1" t="str">
        <f>IF(AND(Table1[[#This Row],[Spec Type2]]="N/A",Table1[[#This Row],[DUT Adj Read]]="N/A",Table1[[#This Row],[Std Adj Read]]="N/A"),"N/A",IF(Table1[[#This Row],[DUT Adj Read]]="N/A",IF(Table1[[#This Row],[Std Adj Read]]&gt;=Table1[[#This Row],[Low Tol]],"Pass","Fail"),IF(Table1[[#This Row],[DUT Adj Read]]&gt;=Table1[[#This Row],[Low Tol]],"Pass","Fail")))</f>
        <v>Pass</v>
      </c>
      <c r="AG1587" s="1" t="str">
        <f>IF(AND(Table1[[#This Row],[Spec Type2]]="N/A",Table1[[#This Row],[DUT Adj Read]]="N/A",Table1[[#This Row],[Std Adj Read]]="N/A"),"N/A",IF(Table1[[#This Row],[DUT Adj Read]]="N/A",IF(Table1[[#This Row],[Std Adj Read]]&lt;=Table1[[#This Row],[High Tol]],"Pass","Fail"),IF(Table1[[#This Row],[DUT Adj Read]]&lt;=Table1[[#This Row],[High Tol]],"Pass","Fail")))</f>
        <v>Fail</v>
      </c>
      <c r="AH15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7" s="1" t="b">
        <v>0</v>
      </c>
      <c r="AN1587" s="1" t="b">
        <v>0</v>
      </c>
      <c r="AO1587" s="1" t="b">
        <v>0</v>
      </c>
    </row>
    <row r="1588" spans="1:41" x14ac:dyDescent="0.25">
      <c r="A1588" s="10"/>
      <c r="B1588" s="10"/>
      <c r="C1588" s="10"/>
      <c r="D1588" s="10"/>
      <c r="E1588" s="10"/>
      <c r="F1588" s="10"/>
      <c r="G1588" s="10"/>
      <c r="H1588" s="10"/>
      <c r="I1588" s="1" t="str">
        <f t="shared" si="72"/>
        <v/>
      </c>
      <c r="J1588" s="1" t="s">
        <v>35</v>
      </c>
      <c r="K1588" s="1" t="str">
        <f t="shared" si="73"/>
        <v/>
      </c>
      <c r="L1588" s="1" t="str">
        <f t="shared" si="74"/>
        <v/>
      </c>
      <c r="M1588" s="1">
        <f>IF(OR(Table1[[#This Row],[Std Nom]]="",Table1[[#This Row],[Std Read]]=""),0,Table1[[#This Row],[Std Nom]]-Table1[[#This Row],[Std Read]])</f>
        <v>0</v>
      </c>
      <c r="N1588" s="1">
        <f>IF(Calculations!$F$5="ACCREDITED 17025 WITH UNCERTAINTIES",$N$10,0)</f>
        <v>0</v>
      </c>
      <c r="O1588" s="1" t="str">
        <f>IFERROR(Table1[[#This Row],[Std Nom]]-(_xlfn.XLOOKUP(Table1[[#This Row],[Manufacturer]]&amp;" "&amp;Table1[[#This Row],[Model]],Table13[MFR &amp; MDL],Table13[Tolerance % CW ],"")/100*Table1[[#This Row],[Std Nom]]),"")</f>
        <v/>
      </c>
      <c r="P1588" s="1" t="str">
        <f>IFERROR(Table1[[#This Row],[Std Nom]]+(_xlfn.XLOOKUP(Table1[[#This Row],[Manufacturer]]&amp;" "&amp;Table1[[#This Row],[Model]],Table13[MFR &amp; MDL],Table13[Tolerance % CW ],"")/100*Table1[[#This Row],[Std Nom]]),"")</f>
        <v/>
      </c>
      <c r="Q1588" s="1" t="e">
        <f>Table1[[#This Row],[High Tol]]-Table1[[#This Row],[Low Tol]]</f>
        <v>#VALUE!</v>
      </c>
      <c r="R1588" s="1">
        <f>2*Table1[[#This Row],[Std Error]]</f>
        <v>0</v>
      </c>
      <c r="S1588" s="1" t="str">
        <f>IF(Table1[[#This Row],[High Tol]]="","N/A",IFERROR(ABS(Table1[[#This Row],[Tol Span]]/Table1[[#This Row],[Error Span]]),"N/A"))</f>
        <v>N/A</v>
      </c>
      <c r="T1588" s="1" t="str">
        <f>IF(OR(Table1[[#This Row],[Low Tol]]="",Table1[[#This Row],[High Tol]]=""),"Needs Analysis",IF(Table1[[#This Row],[Ratio]]&gt;=4,"Not Significant",IF(Table1[[#This Row],[Ratio]]&gt;=2,"Semi-Significant","Significant")))</f>
        <v>Needs Analysis</v>
      </c>
      <c r="W1588" s="1">
        <f>IF(Table1[[#This Row],[Cal Type]]&lt;&gt;"ACCREDITED 17025 WITH UNCERTAINTIES",0,"")</f>
        <v>0</v>
      </c>
      <c r="X1588" s="1" t="str">
        <f>IF(Table1[[#This Row],[DUT Read]]="","N/A",Table1[[#This Row],[Std Error]]+Table1[[#This Row],[DUT Read]]+Table1[[#This Row],[DUT Ucty]])</f>
        <v>N/A</v>
      </c>
      <c r="Y1588" s="1" t="str">
        <f>IF(Table1[[#This Row],[Std Read]]="","N/A",Table1[[#This Row],[Std Read]]+Table1[[#This Row],[Std Ucty]])</f>
        <v>N/A</v>
      </c>
      <c r="Z15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8" s="1" t="str">
        <f>IF(Table1[[#This Row],[Spec Type]]="","N/A",Table1[[#This Row],[Spec Type]])</f>
        <v>±</v>
      </c>
      <c r="AC1588" s="1" t="str">
        <f>IF(Table1[[#This Row],[Spec Type2]]="N/A","N/A",IF(AND(Table1[[#This Row],[DUT Adj Read]]&gt;=Table1[[#This Row],[Low Tol]],Table1[[#This Row],[DUT Adj Read]]&lt;=Table1[[#This Row],[High Tol]]),"Pass","Fail"))</f>
        <v>Fail</v>
      </c>
      <c r="AD1588" s="1" t="str">
        <f>IF(AND(Table1[[#This Row],[Spec Type2]]="N/A",Table1[[#This Row],[DUT Adj Read]]="N/A",Table1[[#This Row],[Std Adj Read]]="N/A"),"N/A",IF(Table1[[#This Row],[DUT Adj Read]]="N/A",IF(Table1[[#This Row],[Std Adj Read]]&gt;Table1[[#This Row],[Low Tol]],"Pass","Fail"),IF(Table1[[#This Row],[DUT Adj Read]]&gt;Table1[[#This Row],[Low Tol]],"Pass","Fail")))</f>
        <v>Pass</v>
      </c>
      <c r="AE1588" s="1" t="str">
        <f>IF(AND(Table1[[#This Row],[Spec Type2]]="N/A",Table1[[#This Row],[DUT Adj Read]]="N/A",Table1[[#This Row],[Std Adj Read]]="N/A"),"N/A",IF(Table1[[#This Row],[DUT Adj Read]]="N/A",IF(Table1[[#This Row],[Std Adj Read]]&lt;Table1[[#This Row],[High Tol]],"Pass","Fail"),IF(Table1[[#This Row],[DUT Adj Read]]&lt;Table1[[#This Row],[High Tol]],"Pass","Fail")))</f>
        <v>Fail</v>
      </c>
      <c r="AF1588" s="1" t="str">
        <f>IF(AND(Table1[[#This Row],[Spec Type2]]="N/A",Table1[[#This Row],[DUT Adj Read]]="N/A",Table1[[#This Row],[Std Adj Read]]="N/A"),"N/A",IF(Table1[[#This Row],[DUT Adj Read]]="N/A",IF(Table1[[#This Row],[Std Adj Read]]&gt;=Table1[[#This Row],[Low Tol]],"Pass","Fail"),IF(Table1[[#This Row],[DUT Adj Read]]&gt;=Table1[[#This Row],[Low Tol]],"Pass","Fail")))</f>
        <v>Pass</v>
      </c>
      <c r="AG1588" s="1" t="str">
        <f>IF(AND(Table1[[#This Row],[Spec Type2]]="N/A",Table1[[#This Row],[DUT Adj Read]]="N/A",Table1[[#This Row],[Std Adj Read]]="N/A"),"N/A",IF(Table1[[#This Row],[DUT Adj Read]]="N/A",IF(Table1[[#This Row],[Std Adj Read]]&lt;=Table1[[#This Row],[High Tol]],"Pass","Fail"),IF(Table1[[#This Row],[DUT Adj Read]]&lt;=Table1[[#This Row],[High Tol]],"Pass","Fail")))</f>
        <v>Fail</v>
      </c>
      <c r="AH15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8" s="1" t="b">
        <v>0</v>
      </c>
      <c r="AN1588" s="1" t="b">
        <v>0</v>
      </c>
      <c r="AO1588" s="1" t="b">
        <v>0</v>
      </c>
    </row>
    <row r="1589" spans="1:41" x14ac:dyDescent="0.25">
      <c r="A1589" s="10"/>
      <c r="B1589" s="10"/>
      <c r="C1589" s="10"/>
      <c r="D1589" s="10"/>
      <c r="E1589" s="10"/>
      <c r="F1589" s="10"/>
      <c r="G1589" s="10"/>
      <c r="H1589" s="10"/>
      <c r="I1589" s="1" t="str">
        <f t="shared" si="72"/>
        <v/>
      </c>
      <c r="J1589" s="1" t="s">
        <v>35</v>
      </c>
      <c r="K1589" s="1" t="str">
        <f t="shared" si="73"/>
        <v/>
      </c>
      <c r="L1589" s="1" t="str">
        <f t="shared" si="74"/>
        <v/>
      </c>
      <c r="M1589" s="1">
        <f>IF(OR(Table1[[#This Row],[Std Nom]]="",Table1[[#This Row],[Std Read]]=""),0,Table1[[#This Row],[Std Nom]]-Table1[[#This Row],[Std Read]])</f>
        <v>0</v>
      </c>
      <c r="N1589" s="1">
        <f>IF(Calculations!$F$5="ACCREDITED 17025 WITH UNCERTAINTIES",$N$10,0)</f>
        <v>0</v>
      </c>
      <c r="O1589" s="1" t="str">
        <f>IFERROR(Table1[[#This Row],[Std Nom]]-(_xlfn.XLOOKUP(Table1[[#This Row],[Manufacturer]]&amp;" "&amp;Table1[[#This Row],[Model]],Table13[MFR &amp; MDL],Table13[Tolerance % CW ],"")/100*Table1[[#This Row],[Std Nom]]),"")</f>
        <v/>
      </c>
      <c r="P1589" s="1" t="str">
        <f>IFERROR(Table1[[#This Row],[Std Nom]]+(_xlfn.XLOOKUP(Table1[[#This Row],[Manufacturer]]&amp;" "&amp;Table1[[#This Row],[Model]],Table13[MFR &amp; MDL],Table13[Tolerance % CW ],"")/100*Table1[[#This Row],[Std Nom]]),"")</f>
        <v/>
      </c>
      <c r="Q1589" s="1" t="e">
        <f>Table1[[#This Row],[High Tol]]-Table1[[#This Row],[Low Tol]]</f>
        <v>#VALUE!</v>
      </c>
      <c r="R1589" s="1">
        <f>2*Table1[[#This Row],[Std Error]]</f>
        <v>0</v>
      </c>
      <c r="S1589" s="1" t="str">
        <f>IF(Table1[[#This Row],[High Tol]]="","N/A",IFERROR(ABS(Table1[[#This Row],[Tol Span]]/Table1[[#This Row],[Error Span]]),"N/A"))</f>
        <v>N/A</v>
      </c>
      <c r="T1589" s="1" t="str">
        <f>IF(OR(Table1[[#This Row],[Low Tol]]="",Table1[[#This Row],[High Tol]]=""),"Needs Analysis",IF(Table1[[#This Row],[Ratio]]&gt;=4,"Not Significant",IF(Table1[[#This Row],[Ratio]]&gt;=2,"Semi-Significant","Significant")))</f>
        <v>Needs Analysis</v>
      </c>
      <c r="W1589" s="1">
        <f>IF(Table1[[#This Row],[Cal Type]]&lt;&gt;"ACCREDITED 17025 WITH UNCERTAINTIES",0,"")</f>
        <v>0</v>
      </c>
      <c r="X1589" s="1" t="str">
        <f>IF(Table1[[#This Row],[DUT Read]]="","N/A",Table1[[#This Row],[Std Error]]+Table1[[#This Row],[DUT Read]]+Table1[[#This Row],[DUT Ucty]])</f>
        <v>N/A</v>
      </c>
      <c r="Y1589" s="1" t="str">
        <f>IF(Table1[[#This Row],[Std Read]]="","N/A",Table1[[#This Row],[Std Read]]+Table1[[#This Row],[Std Ucty]])</f>
        <v>N/A</v>
      </c>
      <c r="Z15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9" s="1" t="str">
        <f>IF(Table1[[#This Row],[Spec Type]]="","N/A",Table1[[#This Row],[Spec Type]])</f>
        <v>±</v>
      </c>
      <c r="AC1589" s="1" t="str">
        <f>IF(Table1[[#This Row],[Spec Type2]]="N/A","N/A",IF(AND(Table1[[#This Row],[DUT Adj Read]]&gt;=Table1[[#This Row],[Low Tol]],Table1[[#This Row],[DUT Adj Read]]&lt;=Table1[[#This Row],[High Tol]]),"Pass","Fail"))</f>
        <v>Fail</v>
      </c>
      <c r="AD1589" s="1" t="str">
        <f>IF(AND(Table1[[#This Row],[Spec Type2]]="N/A",Table1[[#This Row],[DUT Adj Read]]="N/A",Table1[[#This Row],[Std Adj Read]]="N/A"),"N/A",IF(Table1[[#This Row],[DUT Adj Read]]="N/A",IF(Table1[[#This Row],[Std Adj Read]]&gt;Table1[[#This Row],[Low Tol]],"Pass","Fail"),IF(Table1[[#This Row],[DUT Adj Read]]&gt;Table1[[#This Row],[Low Tol]],"Pass","Fail")))</f>
        <v>Pass</v>
      </c>
      <c r="AE1589" s="1" t="str">
        <f>IF(AND(Table1[[#This Row],[Spec Type2]]="N/A",Table1[[#This Row],[DUT Adj Read]]="N/A",Table1[[#This Row],[Std Adj Read]]="N/A"),"N/A",IF(Table1[[#This Row],[DUT Adj Read]]="N/A",IF(Table1[[#This Row],[Std Adj Read]]&lt;Table1[[#This Row],[High Tol]],"Pass","Fail"),IF(Table1[[#This Row],[DUT Adj Read]]&lt;Table1[[#This Row],[High Tol]],"Pass","Fail")))</f>
        <v>Fail</v>
      </c>
      <c r="AF1589" s="1" t="str">
        <f>IF(AND(Table1[[#This Row],[Spec Type2]]="N/A",Table1[[#This Row],[DUT Adj Read]]="N/A",Table1[[#This Row],[Std Adj Read]]="N/A"),"N/A",IF(Table1[[#This Row],[DUT Adj Read]]="N/A",IF(Table1[[#This Row],[Std Adj Read]]&gt;=Table1[[#This Row],[Low Tol]],"Pass","Fail"),IF(Table1[[#This Row],[DUT Adj Read]]&gt;=Table1[[#This Row],[Low Tol]],"Pass","Fail")))</f>
        <v>Pass</v>
      </c>
      <c r="AG1589" s="1" t="str">
        <f>IF(AND(Table1[[#This Row],[Spec Type2]]="N/A",Table1[[#This Row],[DUT Adj Read]]="N/A",Table1[[#This Row],[Std Adj Read]]="N/A"),"N/A",IF(Table1[[#This Row],[DUT Adj Read]]="N/A",IF(Table1[[#This Row],[Std Adj Read]]&lt;=Table1[[#This Row],[High Tol]],"Pass","Fail"),IF(Table1[[#This Row],[DUT Adj Read]]&lt;=Table1[[#This Row],[High Tol]],"Pass","Fail")))</f>
        <v>Fail</v>
      </c>
      <c r="AH15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9" s="1" t="b">
        <v>0</v>
      </c>
      <c r="AN1589" s="1" t="b">
        <v>0</v>
      </c>
      <c r="AO1589" s="1" t="b">
        <v>0</v>
      </c>
    </row>
    <row r="1590" spans="1:41" x14ac:dyDescent="0.25">
      <c r="A1590" s="10"/>
      <c r="B1590" s="10"/>
      <c r="C1590" s="10"/>
      <c r="D1590" s="10"/>
      <c r="E1590" s="10"/>
      <c r="F1590" s="10"/>
      <c r="G1590" s="10"/>
      <c r="H1590" s="10"/>
      <c r="I1590" s="1" t="str">
        <f t="shared" si="72"/>
        <v/>
      </c>
      <c r="J1590" s="1" t="s">
        <v>35</v>
      </c>
      <c r="K1590" s="1" t="str">
        <f t="shared" si="73"/>
        <v/>
      </c>
      <c r="L1590" s="1" t="str">
        <f t="shared" si="74"/>
        <v/>
      </c>
      <c r="M1590" s="1">
        <f>IF(OR(Table1[[#This Row],[Std Nom]]="",Table1[[#This Row],[Std Read]]=""),0,Table1[[#This Row],[Std Nom]]-Table1[[#This Row],[Std Read]])</f>
        <v>0</v>
      </c>
      <c r="N1590" s="1">
        <f>IF(Calculations!$F$5="ACCREDITED 17025 WITH UNCERTAINTIES",$N$10,0)</f>
        <v>0</v>
      </c>
      <c r="O1590" s="1" t="str">
        <f>IFERROR(Table1[[#This Row],[Std Nom]]-(_xlfn.XLOOKUP(Table1[[#This Row],[Manufacturer]]&amp;" "&amp;Table1[[#This Row],[Model]],Table13[MFR &amp; MDL],Table13[Tolerance % CW ],"")/100*Table1[[#This Row],[Std Nom]]),"")</f>
        <v/>
      </c>
      <c r="P1590" s="1" t="str">
        <f>IFERROR(Table1[[#This Row],[Std Nom]]+(_xlfn.XLOOKUP(Table1[[#This Row],[Manufacturer]]&amp;" "&amp;Table1[[#This Row],[Model]],Table13[MFR &amp; MDL],Table13[Tolerance % CW ],"")/100*Table1[[#This Row],[Std Nom]]),"")</f>
        <v/>
      </c>
      <c r="Q1590" s="1" t="e">
        <f>Table1[[#This Row],[High Tol]]-Table1[[#This Row],[Low Tol]]</f>
        <v>#VALUE!</v>
      </c>
      <c r="R1590" s="1">
        <f>2*Table1[[#This Row],[Std Error]]</f>
        <v>0</v>
      </c>
      <c r="S1590" s="1" t="str">
        <f>IF(Table1[[#This Row],[High Tol]]="","N/A",IFERROR(ABS(Table1[[#This Row],[Tol Span]]/Table1[[#This Row],[Error Span]]),"N/A"))</f>
        <v>N/A</v>
      </c>
      <c r="T1590" s="1" t="str">
        <f>IF(OR(Table1[[#This Row],[Low Tol]]="",Table1[[#This Row],[High Tol]]=""),"Needs Analysis",IF(Table1[[#This Row],[Ratio]]&gt;=4,"Not Significant",IF(Table1[[#This Row],[Ratio]]&gt;=2,"Semi-Significant","Significant")))</f>
        <v>Needs Analysis</v>
      </c>
      <c r="W1590" s="1">
        <f>IF(Table1[[#This Row],[Cal Type]]&lt;&gt;"ACCREDITED 17025 WITH UNCERTAINTIES",0,"")</f>
        <v>0</v>
      </c>
      <c r="X1590" s="1" t="str">
        <f>IF(Table1[[#This Row],[DUT Read]]="","N/A",Table1[[#This Row],[Std Error]]+Table1[[#This Row],[DUT Read]]+Table1[[#This Row],[DUT Ucty]])</f>
        <v>N/A</v>
      </c>
      <c r="Y1590" s="1" t="str">
        <f>IF(Table1[[#This Row],[Std Read]]="","N/A",Table1[[#This Row],[Std Read]]+Table1[[#This Row],[Std Ucty]])</f>
        <v>N/A</v>
      </c>
      <c r="Z15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0" s="1" t="str">
        <f>IF(Table1[[#This Row],[Spec Type]]="","N/A",Table1[[#This Row],[Spec Type]])</f>
        <v>±</v>
      </c>
      <c r="AC1590" s="1" t="str">
        <f>IF(Table1[[#This Row],[Spec Type2]]="N/A","N/A",IF(AND(Table1[[#This Row],[DUT Adj Read]]&gt;=Table1[[#This Row],[Low Tol]],Table1[[#This Row],[DUT Adj Read]]&lt;=Table1[[#This Row],[High Tol]]),"Pass","Fail"))</f>
        <v>Fail</v>
      </c>
      <c r="AD1590" s="1" t="str">
        <f>IF(AND(Table1[[#This Row],[Spec Type2]]="N/A",Table1[[#This Row],[DUT Adj Read]]="N/A",Table1[[#This Row],[Std Adj Read]]="N/A"),"N/A",IF(Table1[[#This Row],[DUT Adj Read]]="N/A",IF(Table1[[#This Row],[Std Adj Read]]&gt;Table1[[#This Row],[Low Tol]],"Pass","Fail"),IF(Table1[[#This Row],[DUT Adj Read]]&gt;Table1[[#This Row],[Low Tol]],"Pass","Fail")))</f>
        <v>Pass</v>
      </c>
      <c r="AE1590" s="1" t="str">
        <f>IF(AND(Table1[[#This Row],[Spec Type2]]="N/A",Table1[[#This Row],[DUT Adj Read]]="N/A",Table1[[#This Row],[Std Adj Read]]="N/A"),"N/A",IF(Table1[[#This Row],[DUT Adj Read]]="N/A",IF(Table1[[#This Row],[Std Adj Read]]&lt;Table1[[#This Row],[High Tol]],"Pass","Fail"),IF(Table1[[#This Row],[DUT Adj Read]]&lt;Table1[[#This Row],[High Tol]],"Pass","Fail")))</f>
        <v>Fail</v>
      </c>
      <c r="AF1590" s="1" t="str">
        <f>IF(AND(Table1[[#This Row],[Spec Type2]]="N/A",Table1[[#This Row],[DUT Adj Read]]="N/A",Table1[[#This Row],[Std Adj Read]]="N/A"),"N/A",IF(Table1[[#This Row],[DUT Adj Read]]="N/A",IF(Table1[[#This Row],[Std Adj Read]]&gt;=Table1[[#This Row],[Low Tol]],"Pass","Fail"),IF(Table1[[#This Row],[DUT Adj Read]]&gt;=Table1[[#This Row],[Low Tol]],"Pass","Fail")))</f>
        <v>Pass</v>
      </c>
      <c r="AG1590" s="1" t="str">
        <f>IF(AND(Table1[[#This Row],[Spec Type2]]="N/A",Table1[[#This Row],[DUT Adj Read]]="N/A",Table1[[#This Row],[Std Adj Read]]="N/A"),"N/A",IF(Table1[[#This Row],[DUT Adj Read]]="N/A",IF(Table1[[#This Row],[Std Adj Read]]&lt;=Table1[[#This Row],[High Tol]],"Pass","Fail"),IF(Table1[[#This Row],[DUT Adj Read]]&lt;=Table1[[#This Row],[High Tol]],"Pass","Fail")))</f>
        <v>Fail</v>
      </c>
      <c r="AH15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0" s="1" t="b">
        <v>0</v>
      </c>
      <c r="AN1590" s="1" t="b">
        <v>0</v>
      </c>
      <c r="AO1590" s="1" t="b">
        <v>0</v>
      </c>
    </row>
    <row r="1591" spans="1:41" x14ac:dyDescent="0.25">
      <c r="A1591" s="10"/>
      <c r="B1591" s="10"/>
      <c r="C1591" s="10"/>
      <c r="D1591" s="10"/>
      <c r="E1591" s="10"/>
      <c r="F1591" s="10"/>
      <c r="G1591" s="10"/>
      <c r="H1591" s="10"/>
      <c r="I1591" s="1" t="str">
        <f t="shared" si="72"/>
        <v/>
      </c>
      <c r="J1591" s="1" t="s">
        <v>35</v>
      </c>
      <c r="K1591" s="1" t="str">
        <f t="shared" si="73"/>
        <v/>
      </c>
      <c r="L1591" s="1" t="str">
        <f t="shared" si="74"/>
        <v/>
      </c>
      <c r="M1591" s="1">
        <f>IF(OR(Table1[[#This Row],[Std Nom]]="",Table1[[#This Row],[Std Read]]=""),0,Table1[[#This Row],[Std Nom]]-Table1[[#This Row],[Std Read]])</f>
        <v>0</v>
      </c>
      <c r="N1591" s="1">
        <f>IF(Calculations!$F$5="ACCREDITED 17025 WITH UNCERTAINTIES",$N$10,0)</f>
        <v>0</v>
      </c>
      <c r="O1591" s="1" t="str">
        <f>IFERROR(Table1[[#This Row],[Std Nom]]-(_xlfn.XLOOKUP(Table1[[#This Row],[Manufacturer]]&amp;" "&amp;Table1[[#This Row],[Model]],Table13[MFR &amp; MDL],Table13[Tolerance % CW ],"")/100*Table1[[#This Row],[Std Nom]]),"")</f>
        <v/>
      </c>
      <c r="P1591" s="1" t="str">
        <f>IFERROR(Table1[[#This Row],[Std Nom]]+(_xlfn.XLOOKUP(Table1[[#This Row],[Manufacturer]]&amp;" "&amp;Table1[[#This Row],[Model]],Table13[MFR &amp; MDL],Table13[Tolerance % CW ],"")/100*Table1[[#This Row],[Std Nom]]),"")</f>
        <v/>
      </c>
      <c r="Q1591" s="1" t="e">
        <f>Table1[[#This Row],[High Tol]]-Table1[[#This Row],[Low Tol]]</f>
        <v>#VALUE!</v>
      </c>
      <c r="R1591" s="1">
        <f>2*Table1[[#This Row],[Std Error]]</f>
        <v>0</v>
      </c>
      <c r="S1591" s="1" t="str">
        <f>IF(Table1[[#This Row],[High Tol]]="","N/A",IFERROR(ABS(Table1[[#This Row],[Tol Span]]/Table1[[#This Row],[Error Span]]),"N/A"))</f>
        <v>N/A</v>
      </c>
      <c r="T1591" s="1" t="str">
        <f>IF(OR(Table1[[#This Row],[Low Tol]]="",Table1[[#This Row],[High Tol]]=""),"Needs Analysis",IF(Table1[[#This Row],[Ratio]]&gt;=4,"Not Significant",IF(Table1[[#This Row],[Ratio]]&gt;=2,"Semi-Significant","Significant")))</f>
        <v>Needs Analysis</v>
      </c>
      <c r="W1591" s="1">
        <f>IF(Table1[[#This Row],[Cal Type]]&lt;&gt;"ACCREDITED 17025 WITH UNCERTAINTIES",0,"")</f>
        <v>0</v>
      </c>
      <c r="X1591" s="1" t="str">
        <f>IF(Table1[[#This Row],[DUT Read]]="","N/A",Table1[[#This Row],[Std Error]]+Table1[[#This Row],[DUT Read]]+Table1[[#This Row],[DUT Ucty]])</f>
        <v>N/A</v>
      </c>
      <c r="Y1591" s="1" t="str">
        <f>IF(Table1[[#This Row],[Std Read]]="","N/A",Table1[[#This Row],[Std Read]]+Table1[[#This Row],[Std Ucty]])</f>
        <v>N/A</v>
      </c>
      <c r="Z15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1" s="1" t="str">
        <f>IF(Table1[[#This Row],[Spec Type]]="","N/A",Table1[[#This Row],[Spec Type]])</f>
        <v>±</v>
      </c>
      <c r="AC1591" s="1" t="str">
        <f>IF(Table1[[#This Row],[Spec Type2]]="N/A","N/A",IF(AND(Table1[[#This Row],[DUT Adj Read]]&gt;=Table1[[#This Row],[Low Tol]],Table1[[#This Row],[DUT Adj Read]]&lt;=Table1[[#This Row],[High Tol]]),"Pass","Fail"))</f>
        <v>Fail</v>
      </c>
      <c r="AD1591" s="1" t="str">
        <f>IF(AND(Table1[[#This Row],[Spec Type2]]="N/A",Table1[[#This Row],[DUT Adj Read]]="N/A",Table1[[#This Row],[Std Adj Read]]="N/A"),"N/A",IF(Table1[[#This Row],[DUT Adj Read]]="N/A",IF(Table1[[#This Row],[Std Adj Read]]&gt;Table1[[#This Row],[Low Tol]],"Pass","Fail"),IF(Table1[[#This Row],[DUT Adj Read]]&gt;Table1[[#This Row],[Low Tol]],"Pass","Fail")))</f>
        <v>Pass</v>
      </c>
      <c r="AE1591" s="1" t="str">
        <f>IF(AND(Table1[[#This Row],[Spec Type2]]="N/A",Table1[[#This Row],[DUT Adj Read]]="N/A",Table1[[#This Row],[Std Adj Read]]="N/A"),"N/A",IF(Table1[[#This Row],[DUT Adj Read]]="N/A",IF(Table1[[#This Row],[Std Adj Read]]&lt;Table1[[#This Row],[High Tol]],"Pass","Fail"),IF(Table1[[#This Row],[DUT Adj Read]]&lt;Table1[[#This Row],[High Tol]],"Pass","Fail")))</f>
        <v>Fail</v>
      </c>
      <c r="AF1591" s="1" t="str">
        <f>IF(AND(Table1[[#This Row],[Spec Type2]]="N/A",Table1[[#This Row],[DUT Adj Read]]="N/A",Table1[[#This Row],[Std Adj Read]]="N/A"),"N/A",IF(Table1[[#This Row],[DUT Adj Read]]="N/A",IF(Table1[[#This Row],[Std Adj Read]]&gt;=Table1[[#This Row],[Low Tol]],"Pass","Fail"),IF(Table1[[#This Row],[DUT Adj Read]]&gt;=Table1[[#This Row],[Low Tol]],"Pass","Fail")))</f>
        <v>Pass</v>
      </c>
      <c r="AG1591" s="1" t="str">
        <f>IF(AND(Table1[[#This Row],[Spec Type2]]="N/A",Table1[[#This Row],[DUT Adj Read]]="N/A",Table1[[#This Row],[Std Adj Read]]="N/A"),"N/A",IF(Table1[[#This Row],[DUT Adj Read]]="N/A",IF(Table1[[#This Row],[Std Adj Read]]&lt;=Table1[[#This Row],[High Tol]],"Pass","Fail"),IF(Table1[[#This Row],[DUT Adj Read]]&lt;=Table1[[#This Row],[High Tol]],"Pass","Fail")))</f>
        <v>Fail</v>
      </c>
      <c r="AH15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1" s="1" t="b">
        <v>0</v>
      </c>
      <c r="AN1591" s="1" t="b">
        <v>0</v>
      </c>
      <c r="AO1591" s="1" t="b">
        <v>0</v>
      </c>
    </row>
    <row r="1592" spans="1:41" x14ac:dyDescent="0.25">
      <c r="A1592" s="10"/>
      <c r="B1592" s="10"/>
      <c r="C1592" s="10"/>
      <c r="D1592" s="10"/>
      <c r="E1592" s="10"/>
      <c r="F1592" s="10"/>
      <c r="G1592" s="10"/>
      <c r="H1592" s="10"/>
      <c r="I1592" s="1" t="str">
        <f t="shared" si="72"/>
        <v/>
      </c>
      <c r="J1592" s="1" t="s">
        <v>35</v>
      </c>
      <c r="K1592" s="1" t="str">
        <f t="shared" si="73"/>
        <v/>
      </c>
      <c r="L1592" s="1" t="str">
        <f t="shared" si="74"/>
        <v/>
      </c>
      <c r="M1592" s="1">
        <f>IF(OR(Table1[[#This Row],[Std Nom]]="",Table1[[#This Row],[Std Read]]=""),0,Table1[[#This Row],[Std Nom]]-Table1[[#This Row],[Std Read]])</f>
        <v>0</v>
      </c>
      <c r="N1592" s="1">
        <f>IF(Calculations!$F$5="ACCREDITED 17025 WITH UNCERTAINTIES",$N$10,0)</f>
        <v>0</v>
      </c>
      <c r="O1592" s="1" t="str">
        <f>IFERROR(Table1[[#This Row],[Std Nom]]-(_xlfn.XLOOKUP(Table1[[#This Row],[Manufacturer]]&amp;" "&amp;Table1[[#This Row],[Model]],Table13[MFR &amp; MDL],Table13[Tolerance % CW ],"")/100*Table1[[#This Row],[Std Nom]]),"")</f>
        <v/>
      </c>
      <c r="P1592" s="1" t="str">
        <f>IFERROR(Table1[[#This Row],[Std Nom]]+(_xlfn.XLOOKUP(Table1[[#This Row],[Manufacturer]]&amp;" "&amp;Table1[[#This Row],[Model]],Table13[MFR &amp; MDL],Table13[Tolerance % CW ],"")/100*Table1[[#This Row],[Std Nom]]),"")</f>
        <v/>
      </c>
      <c r="Q1592" s="1" t="e">
        <f>Table1[[#This Row],[High Tol]]-Table1[[#This Row],[Low Tol]]</f>
        <v>#VALUE!</v>
      </c>
      <c r="R1592" s="1">
        <f>2*Table1[[#This Row],[Std Error]]</f>
        <v>0</v>
      </c>
      <c r="S1592" s="1" t="str">
        <f>IF(Table1[[#This Row],[High Tol]]="","N/A",IFERROR(ABS(Table1[[#This Row],[Tol Span]]/Table1[[#This Row],[Error Span]]),"N/A"))</f>
        <v>N/A</v>
      </c>
      <c r="T1592" s="1" t="str">
        <f>IF(OR(Table1[[#This Row],[Low Tol]]="",Table1[[#This Row],[High Tol]]=""),"Needs Analysis",IF(Table1[[#This Row],[Ratio]]&gt;=4,"Not Significant",IF(Table1[[#This Row],[Ratio]]&gt;=2,"Semi-Significant","Significant")))</f>
        <v>Needs Analysis</v>
      </c>
      <c r="W1592" s="1">
        <f>IF(Table1[[#This Row],[Cal Type]]&lt;&gt;"ACCREDITED 17025 WITH UNCERTAINTIES",0,"")</f>
        <v>0</v>
      </c>
      <c r="X1592" s="1" t="str">
        <f>IF(Table1[[#This Row],[DUT Read]]="","N/A",Table1[[#This Row],[Std Error]]+Table1[[#This Row],[DUT Read]]+Table1[[#This Row],[DUT Ucty]])</f>
        <v>N/A</v>
      </c>
      <c r="Y1592" s="1" t="str">
        <f>IF(Table1[[#This Row],[Std Read]]="","N/A",Table1[[#This Row],[Std Read]]+Table1[[#This Row],[Std Ucty]])</f>
        <v>N/A</v>
      </c>
      <c r="Z15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2" s="1" t="str">
        <f>IF(Table1[[#This Row],[Spec Type]]="","N/A",Table1[[#This Row],[Spec Type]])</f>
        <v>±</v>
      </c>
      <c r="AC1592" s="1" t="str">
        <f>IF(Table1[[#This Row],[Spec Type2]]="N/A","N/A",IF(AND(Table1[[#This Row],[DUT Adj Read]]&gt;=Table1[[#This Row],[Low Tol]],Table1[[#This Row],[DUT Adj Read]]&lt;=Table1[[#This Row],[High Tol]]),"Pass","Fail"))</f>
        <v>Fail</v>
      </c>
      <c r="AD1592" s="1" t="str">
        <f>IF(AND(Table1[[#This Row],[Spec Type2]]="N/A",Table1[[#This Row],[DUT Adj Read]]="N/A",Table1[[#This Row],[Std Adj Read]]="N/A"),"N/A",IF(Table1[[#This Row],[DUT Adj Read]]="N/A",IF(Table1[[#This Row],[Std Adj Read]]&gt;Table1[[#This Row],[Low Tol]],"Pass","Fail"),IF(Table1[[#This Row],[DUT Adj Read]]&gt;Table1[[#This Row],[Low Tol]],"Pass","Fail")))</f>
        <v>Pass</v>
      </c>
      <c r="AE1592" s="1" t="str">
        <f>IF(AND(Table1[[#This Row],[Spec Type2]]="N/A",Table1[[#This Row],[DUT Adj Read]]="N/A",Table1[[#This Row],[Std Adj Read]]="N/A"),"N/A",IF(Table1[[#This Row],[DUT Adj Read]]="N/A",IF(Table1[[#This Row],[Std Adj Read]]&lt;Table1[[#This Row],[High Tol]],"Pass","Fail"),IF(Table1[[#This Row],[DUT Adj Read]]&lt;Table1[[#This Row],[High Tol]],"Pass","Fail")))</f>
        <v>Fail</v>
      </c>
      <c r="AF1592" s="1" t="str">
        <f>IF(AND(Table1[[#This Row],[Spec Type2]]="N/A",Table1[[#This Row],[DUT Adj Read]]="N/A",Table1[[#This Row],[Std Adj Read]]="N/A"),"N/A",IF(Table1[[#This Row],[DUT Adj Read]]="N/A",IF(Table1[[#This Row],[Std Adj Read]]&gt;=Table1[[#This Row],[Low Tol]],"Pass","Fail"),IF(Table1[[#This Row],[DUT Adj Read]]&gt;=Table1[[#This Row],[Low Tol]],"Pass","Fail")))</f>
        <v>Pass</v>
      </c>
      <c r="AG1592" s="1" t="str">
        <f>IF(AND(Table1[[#This Row],[Spec Type2]]="N/A",Table1[[#This Row],[DUT Adj Read]]="N/A",Table1[[#This Row],[Std Adj Read]]="N/A"),"N/A",IF(Table1[[#This Row],[DUT Adj Read]]="N/A",IF(Table1[[#This Row],[Std Adj Read]]&lt;=Table1[[#This Row],[High Tol]],"Pass","Fail"),IF(Table1[[#This Row],[DUT Adj Read]]&lt;=Table1[[#This Row],[High Tol]],"Pass","Fail")))</f>
        <v>Fail</v>
      </c>
      <c r="AH15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2" s="1" t="b">
        <v>0</v>
      </c>
      <c r="AN1592" s="1" t="b">
        <v>0</v>
      </c>
      <c r="AO1592" s="1" t="b">
        <v>0</v>
      </c>
    </row>
    <row r="1593" spans="1:41" x14ac:dyDescent="0.25">
      <c r="A1593" s="10"/>
      <c r="B1593" s="10"/>
      <c r="C1593" s="10"/>
      <c r="D1593" s="10"/>
      <c r="E1593" s="10"/>
      <c r="F1593" s="10"/>
      <c r="G1593" s="10"/>
      <c r="H1593" s="10"/>
      <c r="I1593" s="1" t="str">
        <f t="shared" si="72"/>
        <v/>
      </c>
      <c r="J1593" s="1" t="s">
        <v>35</v>
      </c>
      <c r="K1593" s="1" t="str">
        <f t="shared" si="73"/>
        <v/>
      </c>
      <c r="L1593" s="1" t="str">
        <f t="shared" si="74"/>
        <v/>
      </c>
      <c r="M1593" s="1">
        <f>IF(OR(Table1[[#This Row],[Std Nom]]="",Table1[[#This Row],[Std Read]]=""),0,Table1[[#This Row],[Std Nom]]-Table1[[#This Row],[Std Read]])</f>
        <v>0</v>
      </c>
      <c r="N1593" s="1">
        <f>IF(Calculations!$F$5="ACCREDITED 17025 WITH UNCERTAINTIES",$N$10,0)</f>
        <v>0</v>
      </c>
      <c r="O1593" s="1" t="str">
        <f>IFERROR(Table1[[#This Row],[Std Nom]]-(_xlfn.XLOOKUP(Table1[[#This Row],[Manufacturer]]&amp;" "&amp;Table1[[#This Row],[Model]],Table13[MFR &amp; MDL],Table13[Tolerance % CW ],"")/100*Table1[[#This Row],[Std Nom]]),"")</f>
        <v/>
      </c>
      <c r="P1593" s="1" t="str">
        <f>IFERROR(Table1[[#This Row],[Std Nom]]+(_xlfn.XLOOKUP(Table1[[#This Row],[Manufacturer]]&amp;" "&amp;Table1[[#This Row],[Model]],Table13[MFR &amp; MDL],Table13[Tolerance % CW ],"")/100*Table1[[#This Row],[Std Nom]]),"")</f>
        <v/>
      </c>
      <c r="Q1593" s="1" t="e">
        <f>Table1[[#This Row],[High Tol]]-Table1[[#This Row],[Low Tol]]</f>
        <v>#VALUE!</v>
      </c>
      <c r="R1593" s="1">
        <f>2*Table1[[#This Row],[Std Error]]</f>
        <v>0</v>
      </c>
      <c r="S1593" s="1" t="str">
        <f>IF(Table1[[#This Row],[High Tol]]="","N/A",IFERROR(ABS(Table1[[#This Row],[Tol Span]]/Table1[[#This Row],[Error Span]]),"N/A"))</f>
        <v>N/A</v>
      </c>
      <c r="T1593" s="1" t="str">
        <f>IF(OR(Table1[[#This Row],[Low Tol]]="",Table1[[#This Row],[High Tol]]=""),"Needs Analysis",IF(Table1[[#This Row],[Ratio]]&gt;=4,"Not Significant",IF(Table1[[#This Row],[Ratio]]&gt;=2,"Semi-Significant","Significant")))</f>
        <v>Needs Analysis</v>
      </c>
      <c r="W1593" s="1">
        <f>IF(Table1[[#This Row],[Cal Type]]&lt;&gt;"ACCREDITED 17025 WITH UNCERTAINTIES",0,"")</f>
        <v>0</v>
      </c>
      <c r="X1593" s="1" t="str">
        <f>IF(Table1[[#This Row],[DUT Read]]="","N/A",Table1[[#This Row],[Std Error]]+Table1[[#This Row],[DUT Read]]+Table1[[#This Row],[DUT Ucty]])</f>
        <v>N/A</v>
      </c>
      <c r="Y1593" s="1" t="str">
        <f>IF(Table1[[#This Row],[Std Read]]="","N/A",Table1[[#This Row],[Std Read]]+Table1[[#This Row],[Std Ucty]])</f>
        <v>N/A</v>
      </c>
      <c r="Z15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3" s="1" t="str">
        <f>IF(Table1[[#This Row],[Spec Type]]="","N/A",Table1[[#This Row],[Spec Type]])</f>
        <v>±</v>
      </c>
      <c r="AC1593" s="1" t="str">
        <f>IF(Table1[[#This Row],[Spec Type2]]="N/A","N/A",IF(AND(Table1[[#This Row],[DUT Adj Read]]&gt;=Table1[[#This Row],[Low Tol]],Table1[[#This Row],[DUT Adj Read]]&lt;=Table1[[#This Row],[High Tol]]),"Pass","Fail"))</f>
        <v>Fail</v>
      </c>
      <c r="AD1593" s="1" t="str">
        <f>IF(AND(Table1[[#This Row],[Spec Type2]]="N/A",Table1[[#This Row],[DUT Adj Read]]="N/A",Table1[[#This Row],[Std Adj Read]]="N/A"),"N/A",IF(Table1[[#This Row],[DUT Adj Read]]="N/A",IF(Table1[[#This Row],[Std Adj Read]]&gt;Table1[[#This Row],[Low Tol]],"Pass","Fail"),IF(Table1[[#This Row],[DUT Adj Read]]&gt;Table1[[#This Row],[Low Tol]],"Pass","Fail")))</f>
        <v>Pass</v>
      </c>
      <c r="AE1593" s="1" t="str">
        <f>IF(AND(Table1[[#This Row],[Spec Type2]]="N/A",Table1[[#This Row],[DUT Adj Read]]="N/A",Table1[[#This Row],[Std Adj Read]]="N/A"),"N/A",IF(Table1[[#This Row],[DUT Adj Read]]="N/A",IF(Table1[[#This Row],[Std Adj Read]]&lt;Table1[[#This Row],[High Tol]],"Pass","Fail"),IF(Table1[[#This Row],[DUT Adj Read]]&lt;Table1[[#This Row],[High Tol]],"Pass","Fail")))</f>
        <v>Fail</v>
      </c>
      <c r="AF1593" s="1" t="str">
        <f>IF(AND(Table1[[#This Row],[Spec Type2]]="N/A",Table1[[#This Row],[DUT Adj Read]]="N/A",Table1[[#This Row],[Std Adj Read]]="N/A"),"N/A",IF(Table1[[#This Row],[DUT Adj Read]]="N/A",IF(Table1[[#This Row],[Std Adj Read]]&gt;=Table1[[#This Row],[Low Tol]],"Pass","Fail"),IF(Table1[[#This Row],[DUT Adj Read]]&gt;=Table1[[#This Row],[Low Tol]],"Pass","Fail")))</f>
        <v>Pass</v>
      </c>
      <c r="AG1593" s="1" t="str">
        <f>IF(AND(Table1[[#This Row],[Spec Type2]]="N/A",Table1[[#This Row],[DUT Adj Read]]="N/A",Table1[[#This Row],[Std Adj Read]]="N/A"),"N/A",IF(Table1[[#This Row],[DUT Adj Read]]="N/A",IF(Table1[[#This Row],[Std Adj Read]]&lt;=Table1[[#This Row],[High Tol]],"Pass","Fail"),IF(Table1[[#This Row],[DUT Adj Read]]&lt;=Table1[[#This Row],[High Tol]],"Pass","Fail")))</f>
        <v>Fail</v>
      </c>
      <c r="AH15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3" s="1" t="b">
        <v>0</v>
      </c>
      <c r="AN1593" s="1" t="b">
        <v>0</v>
      </c>
      <c r="AO1593" s="1" t="b">
        <v>0</v>
      </c>
    </row>
    <row r="1594" spans="1:41" x14ac:dyDescent="0.25">
      <c r="A1594" s="10"/>
      <c r="B1594" s="10"/>
      <c r="C1594" s="10"/>
      <c r="D1594" s="10"/>
      <c r="E1594" s="10"/>
      <c r="F1594" s="10"/>
      <c r="G1594" s="10"/>
      <c r="H1594" s="10"/>
      <c r="I1594" s="1" t="str">
        <f t="shared" si="72"/>
        <v/>
      </c>
      <c r="J1594" s="1" t="s">
        <v>35</v>
      </c>
      <c r="K1594" s="1" t="str">
        <f t="shared" si="73"/>
        <v/>
      </c>
      <c r="L1594" s="1" t="str">
        <f t="shared" si="74"/>
        <v/>
      </c>
      <c r="M1594" s="1">
        <f>IF(OR(Table1[[#This Row],[Std Nom]]="",Table1[[#This Row],[Std Read]]=""),0,Table1[[#This Row],[Std Nom]]-Table1[[#This Row],[Std Read]])</f>
        <v>0</v>
      </c>
      <c r="N1594" s="1">
        <f>IF(Calculations!$F$5="ACCREDITED 17025 WITH UNCERTAINTIES",$N$10,0)</f>
        <v>0</v>
      </c>
      <c r="O1594" s="1" t="str">
        <f>IFERROR(Table1[[#This Row],[Std Nom]]-(_xlfn.XLOOKUP(Table1[[#This Row],[Manufacturer]]&amp;" "&amp;Table1[[#This Row],[Model]],Table13[MFR &amp; MDL],Table13[Tolerance % CW ],"")/100*Table1[[#This Row],[Std Nom]]),"")</f>
        <v/>
      </c>
      <c r="P1594" s="1" t="str">
        <f>IFERROR(Table1[[#This Row],[Std Nom]]+(_xlfn.XLOOKUP(Table1[[#This Row],[Manufacturer]]&amp;" "&amp;Table1[[#This Row],[Model]],Table13[MFR &amp; MDL],Table13[Tolerance % CW ],"")/100*Table1[[#This Row],[Std Nom]]),"")</f>
        <v/>
      </c>
      <c r="Q1594" s="1" t="e">
        <f>Table1[[#This Row],[High Tol]]-Table1[[#This Row],[Low Tol]]</f>
        <v>#VALUE!</v>
      </c>
      <c r="R1594" s="1">
        <f>2*Table1[[#This Row],[Std Error]]</f>
        <v>0</v>
      </c>
      <c r="S1594" s="1" t="str">
        <f>IF(Table1[[#This Row],[High Tol]]="","N/A",IFERROR(ABS(Table1[[#This Row],[Tol Span]]/Table1[[#This Row],[Error Span]]),"N/A"))</f>
        <v>N/A</v>
      </c>
      <c r="T1594" s="1" t="str">
        <f>IF(OR(Table1[[#This Row],[Low Tol]]="",Table1[[#This Row],[High Tol]]=""),"Needs Analysis",IF(Table1[[#This Row],[Ratio]]&gt;=4,"Not Significant",IF(Table1[[#This Row],[Ratio]]&gt;=2,"Semi-Significant","Significant")))</f>
        <v>Needs Analysis</v>
      </c>
      <c r="W1594" s="1">
        <f>IF(Table1[[#This Row],[Cal Type]]&lt;&gt;"ACCREDITED 17025 WITH UNCERTAINTIES",0,"")</f>
        <v>0</v>
      </c>
      <c r="X1594" s="1" t="str">
        <f>IF(Table1[[#This Row],[DUT Read]]="","N/A",Table1[[#This Row],[Std Error]]+Table1[[#This Row],[DUT Read]]+Table1[[#This Row],[DUT Ucty]])</f>
        <v>N/A</v>
      </c>
      <c r="Y1594" s="1" t="str">
        <f>IF(Table1[[#This Row],[Std Read]]="","N/A",Table1[[#This Row],[Std Read]]+Table1[[#This Row],[Std Ucty]])</f>
        <v>N/A</v>
      </c>
      <c r="Z15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4" s="1" t="str">
        <f>IF(Table1[[#This Row],[Spec Type]]="","N/A",Table1[[#This Row],[Spec Type]])</f>
        <v>±</v>
      </c>
      <c r="AC1594" s="1" t="str">
        <f>IF(Table1[[#This Row],[Spec Type2]]="N/A","N/A",IF(AND(Table1[[#This Row],[DUT Adj Read]]&gt;=Table1[[#This Row],[Low Tol]],Table1[[#This Row],[DUT Adj Read]]&lt;=Table1[[#This Row],[High Tol]]),"Pass","Fail"))</f>
        <v>Fail</v>
      </c>
      <c r="AD1594" s="1" t="str">
        <f>IF(AND(Table1[[#This Row],[Spec Type2]]="N/A",Table1[[#This Row],[DUT Adj Read]]="N/A",Table1[[#This Row],[Std Adj Read]]="N/A"),"N/A",IF(Table1[[#This Row],[DUT Adj Read]]="N/A",IF(Table1[[#This Row],[Std Adj Read]]&gt;Table1[[#This Row],[Low Tol]],"Pass","Fail"),IF(Table1[[#This Row],[DUT Adj Read]]&gt;Table1[[#This Row],[Low Tol]],"Pass","Fail")))</f>
        <v>Pass</v>
      </c>
      <c r="AE1594" s="1" t="str">
        <f>IF(AND(Table1[[#This Row],[Spec Type2]]="N/A",Table1[[#This Row],[DUT Adj Read]]="N/A",Table1[[#This Row],[Std Adj Read]]="N/A"),"N/A",IF(Table1[[#This Row],[DUT Adj Read]]="N/A",IF(Table1[[#This Row],[Std Adj Read]]&lt;Table1[[#This Row],[High Tol]],"Pass","Fail"),IF(Table1[[#This Row],[DUT Adj Read]]&lt;Table1[[#This Row],[High Tol]],"Pass","Fail")))</f>
        <v>Fail</v>
      </c>
      <c r="AF1594" s="1" t="str">
        <f>IF(AND(Table1[[#This Row],[Spec Type2]]="N/A",Table1[[#This Row],[DUT Adj Read]]="N/A",Table1[[#This Row],[Std Adj Read]]="N/A"),"N/A",IF(Table1[[#This Row],[DUT Adj Read]]="N/A",IF(Table1[[#This Row],[Std Adj Read]]&gt;=Table1[[#This Row],[Low Tol]],"Pass","Fail"),IF(Table1[[#This Row],[DUT Adj Read]]&gt;=Table1[[#This Row],[Low Tol]],"Pass","Fail")))</f>
        <v>Pass</v>
      </c>
      <c r="AG1594" s="1" t="str">
        <f>IF(AND(Table1[[#This Row],[Spec Type2]]="N/A",Table1[[#This Row],[DUT Adj Read]]="N/A",Table1[[#This Row],[Std Adj Read]]="N/A"),"N/A",IF(Table1[[#This Row],[DUT Adj Read]]="N/A",IF(Table1[[#This Row],[Std Adj Read]]&lt;=Table1[[#This Row],[High Tol]],"Pass","Fail"),IF(Table1[[#This Row],[DUT Adj Read]]&lt;=Table1[[#This Row],[High Tol]],"Pass","Fail")))</f>
        <v>Fail</v>
      </c>
      <c r="AH15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4" s="1" t="b">
        <v>0</v>
      </c>
      <c r="AN1594" s="1" t="b">
        <v>0</v>
      </c>
      <c r="AO1594" s="1" t="b">
        <v>0</v>
      </c>
    </row>
    <row r="1595" spans="1:41" x14ac:dyDescent="0.25">
      <c r="A1595" s="10"/>
      <c r="B1595" s="10"/>
      <c r="C1595" s="10"/>
      <c r="D1595" s="10"/>
      <c r="E1595" s="10"/>
      <c r="F1595" s="10"/>
      <c r="G1595" s="10"/>
      <c r="H1595" s="10"/>
      <c r="I1595" s="1" t="str">
        <f t="shared" si="72"/>
        <v/>
      </c>
      <c r="J1595" s="1" t="s">
        <v>35</v>
      </c>
      <c r="K1595" s="1" t="str">
        <f t="shared" si="73"/>
        <v/>
      </c>
      <c r="L1595" s="1" t="str">
        <f t="shared" si="74"/>
        <v/>
      </c>
      <c r="M1595" s="1">
        <f>IF(OR(Table1[[#This Row],[Std Nom]]="",Table1[[#This Row],[Std Read]]=""),0,Table1[[#This Row],[Std Nom]]-Table1[[#This Row],[Std Read]])</f>
        <v>0</v>
      </c>
      <c r="N1595" s="1">
        <f>IF(Calculations!$F$5="ACCREDITED 17025 WITH UNCERTAINTIES",$N$10,0)</f>
        <v>0</v>
      </c>
      <c r="O1595" s="1" t="str">
        <f>IFERROR(Table1[[#This Row],[Std Nom]]-(_xlfn.XLOOKUP(Table1[[#This Row],[Manufacturer]]&amp;" "&amp;Table1[[#This Row],[Model]],Table13[MFR &amp; MDL],Table13[Tolerance % CW ],"")/100*Table1[[#This Row],[Std Nom]]),"")</f>
        <v/>
      </c>
      <c r="P1595" s="1" t="str">
        <f>IFERROR(Table1[[#This Row],[Std Nom]]+(_xlfn.XLOOKUP(Table1[[#This Row],[Manufacturer]]&amp;" "&amp;Table1[[#This Row],[Model]],Table13[MFR &amp; MDL],Table13[Tolerance % CW ],"")/100*Table1[[#This Row],[Std Nom]]),"")</f>
        <v/>
      </c>
      <c r="Q1595" s="1" t="e">
        <f>Table1[[#This Row],[High Tol]]-Table1[[#This Row],[Low Tol]]</f>
        <v>#VALUE!</v>
      </c>
      <c r="R1595" s="1">
        <f>2*Table1[[#This Row],[Std Error]]</f>
        <v>0</v>
      </c>
      <c r="S1595" s="1" t="str">
        <f>IF(Table1[[#This Row],[High Tol]]="","N/A",IFERROR(ABS(Table1[[#This Row],[Tol Span]]/Table1[[#This Row],[Error Span]]),"N/A"))</f>
        <v>N/A</v>
      </c>
      <c r="T1595" s="1" t="str">
        <f>IF(OR(Table1[[#This Row],[Low Tol]]="",Table1[[#This Row],[High Tol]]=""),"Needs Analysis",IF(Table1[[#This Row],[Ratio]]&gt;=4,"Not Significant",IF(Table1[[#This Row],[Ratio]]&gt;=2,"Semi-Significant","Significant")))</f>
        <v>Needs Analysis</v>
      </c>
      <c r="W1595" s="1">
        <f>IF(Table1[[#This Row],[Cal Type]]&lt;&gt;"ACCREDITED 17025 WITH UNCERTAINTIES",0,"")</f>
        <v>0</v>
      </c>
      <c r="X1595" s="1" t="str">
        <f>IF(Table1[[#This Row],[DUT Read]]="","N/A",Table1[[#This Row],[Std Error]]+Table1[[#This Row],[DUT Read]]+Table1[[#This Row],[DUT Ucty]])</f>
        <v>N/A</v>
      </c>
      <c r="Y1595" s="1" t="str">
        <f>IF(Table1[[#This Row],[Std Read]]="","N/A",Table1[[#This Row],[Std Read]]+Table1[[#This Row],[Std Ucty]])</f>
        <v>N/A</v>
      </c>
      <c r="Z15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5" s="1" t="str">
        <f>IF(Table1[[#This Row],[Spec Type]]="","N/A",Table1[[#This Row],[Spec Type]])</f>
        <v>±</v>
      </c>
      <c r="AC1595" s="1" t="str">
        <f>IF(Table1[[#This Row],[Spec Type2]]="N/A","N/A",IF(AND(Table1[[#This Row],[DUT Adj Read]]&gt;=Table1[[#This Row],[Low Tol]],Table1[[#This Row],[DUT Adj Read]]&lt;=Table1[[#This Row],[High Tol]]),"Pass","Fail"))</f>
        <v>Fail</v>
      </c>
      <c r="AD1595" s="1" t="str">
        <f>IF(AND(Table1[[#This Row],[Spec Type2]]="N/A",Table1[[#This Row],[DUT Adj Read]]="N/A",Table1[[#This Row],[Std Adj Read]]="N/A"),"N/A",IF(Table1[[#This Row],[DUT Adj Read]]="N/A",IF(Table1[[#This Row],[Std Adj Read]]&gt;Table1[[#This Row],[Low Tol]],"Pass","Fail"),IF(Table1[[#This Row],[DUT Adj Read]]&gt;Table1[[#This Row],[Low Tol]],"Pass","Fail")))</f>
        <v>Pass</v>
      </c>
      <c r="AE1595" s="1" t="str">
        <f>IF(AND(Table1[[#This Row],[Spec Type2]]="N/A",Table1[[#This Row],[DUT Adj Read]]="N/A",Table1[[#This Row],[Std Adj Read]]="N/A"),"N/A",IF(Table1[[#This Row],[DUT Adj Read]]="N/A",IF(Table1[[#This Row],[Std Adj Read]]&lt;Table1[[#This Row],[High Tol]],"Pass","Fail"),IF(Table1[[#This Row],[DUT Adj Read]]&lt;Table1[[#This Row],[High Tol]],"Pass","Fail")))</f>
        <v>Fail</v>
      </c>
      <c r="AF1595" s="1" t="str">
        <f>IF(AND(Table1[[#This Row],[Spec Type2]]="N/A",Table1[[#This Row],[DUT Adj Read]]="N/A",Table1[[#This Row],[Std Adj Read]]="N/A"),"N/A",IF(Table1[[#This Row],[DUT Adj Read]]="N/A",IF(Table1[[#This Row],[Std Adj Read]]&gt;=Table1[[#This Row],[Low Tol]],"Pass","Fail"),IF(Table1[[#This Row],[DUT Adj Read]]&gt;=Table1[[#This Row],[Low Tol]],"Pass","Fail")))</f>
        <v>Pass</v>
      </c>
      <c r="AG1595" s="1" t="str">
        <f>IF(AND(Table1[[#This Row],[Spec Type2]]="N/A",Table1[[#This Row],[DUT Adj Read]]="N/A",Table1[[#This Row],[Std Adj Read]]="N/A"),"N/A",IF(Table1[[#This Row],[DUT Adj Read]]="N/A",IF(Table1[[#This Row],[Std Adj Read]]&lt;=Table1[[#This Row],[High Tol]],"Pass","Fail"),IF(Table1[[#This Row],[DUT Adj Read]]&lt;=Table1[[#This Row],[High Tol]],"Pass","Fail")))</f>
        <v>Fail</v>
      </c>
      <c r="AH15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5" s="1" t="b">
        <v>0</v>
      </c>
      <c r="AN1595" s="1" t="b">
        <v>0</v>
      </c>
      <c r="AO1595" s="1" t="b">
        <v>0</v>
      </c>
    </row>
    <row r="1596" spans="1:41" x14ac:dyDescent="0.25">
      <c r="A1596" s="10"/>
      <c r="B1596" s="10"/>
      <c r="C1596" s="10"/>
      <c r="D1596" s="10"/>
      <c r="E1596" s="10"/>
      <c r="F1596" s="10"/>
      <c r="G1596" s="10"/>
      <c r="H1596" s="10"/>
      <c r="I1596" s="1" t="str">
        <f t="shared" si="72"/>
        <v/>
      </c>
      <c r="J1596" s="1" t="s">
        <v>35</v>
      </c>
      <c r="K1596" s="1" t="str">
        <f t="shared" si="73"/>
        <v/>
      </c>
      <c r="L1596" s="1" t="str">
        <f t="shared" si="74"/>
        <v/>
      </c>
      <c r="M1596" s="1">
        <f>IF(OR(Table1[[#This Row],[Std Nom]]="",Table1[[#This Row],[Std Read]]=""),0,Table1[[#This Row],[Std Nom]]-Table1[[#This Row],[Std Read]])</f>
        <v>0</v>
      </c>
      <c r="N1596" s="1">
        <f>IF(Calculations!$F$5="ACCREDITED 17025 WITH UNCERTAINTIES",$N$10,0)</f>
        <v>0</v>
      </c>
      <c r="O1596" s="1" t="str">
        <f>IFERROR(Table1[[#This Row],[Std Nom]]-(_xlfn.XLOOKUP(Table1[[#This Row],[Manufacturer]]&amp;" "&amp;Table1[[#This Row],[Model]],Table13[MFR &amp; MDL],Table13[Tolerance % CW ],"")/100*Table1[[#This Row],[Std Nom]]),"")</f>
        <v/>
      </c>
      <c r="P1596" s="1" t="str">
        <f>IFERROR(Table1[[#This Row],[Std Nom]]+(_xlfn.XLOOKUP(Table1[[#This Row],[Manufacturer]]&amp;" "&amp;Table1[[#This Row],[Model]],Table13[MFR &amp; MDL],Table13[Tolerance % CW ],"")/100*Table1[[#This Row],[Std Nom]]),"")</f>
        <v/>
      </c>
      <c r="Q1596" s="1" t="e">
        <f>Table1[[#This Row],[High Tol]]-Table1[[#This Row],[Low Tol]]</f>
        <v>#VALUE!</v>
      </c>
      <c r="R1596" s="1">
        <f>2*Table1[[#This Row],[Std Error]]</f>
        <v>0</v>
      </c>
      <c r="S1596" s="1" t="str">
        <f>IF(Table1[[#This Row],[High Tol]]="","N/A",IFERROR(ABS(Table1[[#This Row],[Tol Span]]/Table1[[#This Row],[Error Span]]),"N/A"))</f>
        <v>N/A</v>
      </c>
      <c r="T1596" s="1" t="str">
        <f>IF(OR(Table1[[#This Row],[Low Tol]]="",Table1[[#This Row],[High Tol]]=""),"Needs Analysis",IF(Table1[[#This Row],[Ratio]]&gt;=4,"Not Significant",IF(Table1[[#This Row],[Ratio]]&gt;=2,"Semi-Significant","Significant")))</f>
        <v>Needs Analysis</v>
      </c>
      <c r="W1596" s="1">
        <f>IF(Table1[[#This Row],[Cal Type]]&lt;&gt;"ACCREDITED 17025 WITH UNCERTAINTIES",0,"")</f>
        <v>0</v>
      </c>
      <c r="X1596" s="1" t="str">
        <f>IF(Table1[[#This Row],[DUT Read]]="","N/A",Table1[[#This Row],[Std Error]]+Table1[[#This Row],[DUT Read]]+Table1[[#This Row],[DUT Ucty]])</f>
        <v>N/A</v>
      </c>
      <c r="Y1596" s="1" t="str">
        <f>IF(Table1[[#This Row],[Std Read]]="","N/A",Table1[[#This Row],[Std Read]]+Table1[[#This Row],[Std Ucty]])</f>
        <v>N/A</v>
      </c>
      <c r="Z15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6" s="1" t="str">
        <f>IF(Table1[[#This Row],[Spec Type]]="","N/A",Table1[[#This Row],[Spec Type]])</f>
        <v>±</v>
      </c>
      <c r="AC1596" s="1" t="str">
        <f>IF(Table1[[#This Row],[Spec Type2]]="N/A","N/A",IF(AND(Table1[[#This Row],[DUT Adj Read]]&gt;=Table1[[#This Row],[Low Tol]],Table1[[#This Row],[DUT Adj Read]]&lt;=Table1[[#This Row],[High Tol]]),"Pass","Fail"))</f>
        <v>Fail</v>
      </c>
      <c r="AD1596" s="1" t="str">
        <f>IF(AND(Table1[[#This Row],[Spec Type2]]="N/A",Table1[[#This Row],[DUT Adj Read]]="N/A",Table1[[#This Row],[Std Adj Read]]="N/A"),"N/A",IF(Table1[[#This Row],[DUT Adj Read]]="N/A",IF(Table1[[#This Row],[Std Adj Read]]&gt;Table1[[#This Row],[Low Tol]],"Pass","Fail"),IF(Table1[[#This Row],[DUT Adj Read]]&gt;Table1[[#This Row],[Low Tol]],"Pass","Fail")))</f>
        <v>Pass</v>
      </c>
      <c r="AE1596" s="1" t="str">
        <f>IF(AND(Table1[[#This Row],[Spec Type2]]="N/A",Table1[[#This Row],[DUT Adj Read]]="N/A",Table1[[#This Row],[Std Adj Read]]="N/A"),"N/A",IF(Table1[[#This Row],[DUT Adj Read]]="N/A",IF(Table1[[#This Row],[Std Adj Read]]&lt;Table1[[#This Row],[High Tol]],"Pass","Fail"),IF(Table1[[#This Row],[DUT Adj Read]]&lt;Table1[[#This Row],[High Tol]],"Pass","Fail")))</f>
        <v>Fail</v>
      </c>
      <c r="AF1596" s="1" t="str">
        <f>IF(AND(Table1[[#This Row],[Spec Type2]]="N/A",Table1[[#This Row],[DUT Adj Read]]="N/A",Table1[[#This Row],[Std Adj Read]]="N/A"),"N/A",IF(Table1[[#This Row],[DUT Adj Read]]="N/A",IF(Table1[[#This Row],[Std Adj Read]]&gt;=Table1[[#This Row],[Low Tol]],"Pass","Fail"),IF(Table1[[#This Row],[DUT Adj Read]]&gt;=Table1[[#This Row],[Low Tol]],"Pass","Fail")))</f>
        <v>Pass</v>
      </c>
      <c r="AG1596" s="1" t="str">
        <f>IF(AND(Table1[[#This Row],[Spec Type2]]="N/A",Table1[[#This Row],[DUT Adj Read]]="N/A",Table1[[#This Row],[Std Adj Read]]="N/A"),"N/A",IF(Table1[[#This Row],[DUT Adj Read]]="N/A",IF(Table1[[#This Row],[Std Adj Read]]&lt;=Table1[[#This Row],[High Tol]],"Pass","Fail"),IF(Table1[[#This Row],[DUT Adj Read]]&lt;=Table1[[#This Row],[High Tol]],"Pass","Fail")))</f>
        <v>Fail</v>
      </c>
      <c r="AH15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6" s="1" t="b">
        <v>0</v>
      </c>
      <c r="AN1596" s="1" t="b">
        <v>0</v>
      </c>
      <c r="AO1596" s="1" t="b">
        <v>0</v>
      </c>
    </row>
    <row r="1597" spans="1:41" x14ac:dyDescent="0.25">
      <c r="A1597" s="10"/>
      <c r="B1597" s="10"/>
      <c r="C1597" s="10"/>
      <c r="D1597" s="10"/>
      <c r="E1597" s="10"/>
      <c r="F1597" s="10"/>
      <c r="G1597" s="10"/>
      <c r="H1597" s="10"/>
      <c r="I1597" s="1" t="str">
        <f t="shared" si="72"/>
        <v/>
      </c>
      <c r="J1597" s="1" t="s">
        <v>35</v>
      </c>
      <c r="K1597" s="1" t="str">
        <f t="shared" si="73"/>
        <v/>
      </c>
      <c r="L1597" s="1" t="str">
        <f t="shared" si="74"/>
        <v/>
      </c>
      <c r="M1597" s="1">
        <f>IF(OR(Table1[[#This Row],[Std Nom]]="",Table1[[#This Row],[Std Read]]=""),0,Table1[[#This Row],[Std Nom]]-Table1[[#This Row],[Std Read]])</f>
        <v>0</v>
      </c>
      <c r="N1597" s="1">
        <f>IF(Calculations!$F$5="ACCREDITED 17025 WITH UNCERTAINTIES",$N$10,0)</f>
        <v>0</v>
      </c>
      <c r="O1597" s="1" t="str">
        <f>IFERROR(Table1[[#This Row],[Std Nom]]-(_xlfn.XLOOKUP(Table1[[#This Row],[Manufacturer]]&amp;" "&amp;Table1[[#This Row],[Model]],Table13[MFR &amp; MDL],Table13[Tolerance % CW ],"")/100*Table1[[#This Row],[Std Nom]]),"")</f>
        <v/>
      </c>
      <c r="P1597" s="1" t="str">
        <f>IFERROR(Table1[[#This Row],[Std Nom]]+(_xlfn.XLOOKUP(Table1[[#This Row],[Manufacturer]]&amp;" "&amp;Table1[[#This Row],[Model]],Table13[MFR &amp; MDL],Table13[Tolerance % CW ],"")/100*Table1[[#This Row],[Std Nom]]),"")</f>
        <v/>
      </c>
      <c r="Q1597" s="1" t="e">
        <f>Table1[[#This Row],[High Tol]]-Table1[[#This Row],[Low Tol]]</f>
        <v>#VALUE!</v>
      </c>
      <c r="R1597" s="1">
        <f>2*Table1[[#This Row],[Std Error]]</f>
        <v>0</v>
      </c>
      <c r="S1597" s="1" t="str">
        <f>IF(Table1[[#This Row],[High Tol]]="","N/A",IFERROR(ABS(Table1[[#This Row],[Tol Span]]/Table1[[#This Row],[Error Span]]),"N/A"))</f>
        <v>N/A</v>
      </c>
      <c r="T1597" s="1" t="str">
        <f>IF(OR(Table1[[#This Row],[Low Tol]]="",Table1[[#This Row],[High Tol]]=""),"Needs Analysis",IF(Table1[[#This Row],[Ratio]]&gt;=4,"Not Significant",IF(Table1[[#This Row],[Ratio]]&gt;=2,"Semi-Significant","Significant")))</f>
        <v>Needs Analysis</v>
      </c>
      <c r="W1597" s="1">
        <f>IF(Table1[[#This Row],[Cal Type]]&lt;&gt;"ACCREDITED 17025 WITH UNCERTAINTIES",0,"")</f>
        <v>0</v>
      </c>
      <c r="X1597" s="1" t="str">
        <f>IF(Table1[[#This Row],[DUT Read]]="","N/A",Table1[[#This Row],[Std Error]]+Table1[[#This Row],[DUT Read]]+Table1[[#This Row],[DUT Ucty]])</f>
        <v>N/A</v>
      </c>
      <c r="Y1597" s="1" t="str">
        <f>IF(Table1[[#This Row],[Std Read]]="","N/A",Table1[[#This Row],[Std Read]]+Table1[[#This Row],[Std Ucty]])</f>
        <v>N/A</v>
      </c>
      <c r="Z15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7" s="1" t="str">
        <f>IF(Table1[[#This Row],[Spec Type]]="","N/A",Table1[[#This Row],[Spec Type]])</f>
        <v>±</v>
      </c>
      <c r="AC1597" s="1" t="str">
        <f>IF(Table1[[#This Row],[Spec Type2]]="N/A","N/A",IF(AND(Table1[[#This Row],[DUT Adj Read]]&gt;=Table1[[#This Row],[Low Tol]],Table1[[#This Row],[DUT Adj Read]]&lt;=Table1[[#This Row],[High Tol]]),"Pass","Fail"))</f>
        <v>Fail</v>
      </c>
      <c r="AD1597" s="1" t="str">
        <f>IF(AND(Table1[[#This Row],[Spec Type2]]="N/A",Table1[[#This Row],[DUT Adj Read]]="N/A",Table1[[#This Row],[Std Adj Read]]="N/A"),"N/A",IF(Table1[[#This Row],[DUT Adj Read]]="N/A",IF(Table1[[#This Row],[Std Adj Read]]&gt;Table1[[#This Row],[Low Tol]],"Pass","Fail"),IF(Table1[[#This Row],[DUT Adj Read]]&gt;Table1[[#This Row],[Low Tol]],"Pass","Fail")))</f>
        <v>Pass</v>
      </c>
      <c r="AE1597" s="1" t="str">
        <f>IF(AND(Table1[[#This Row],[Spec Type2]]="N/A",Table1[[#This Row],[DUT Adj Read]]="N/A",Table1[[#This Row],[Std Adj Read]]="N/A"),"N/A",IF(Table1[[#This Row],[DUT Adj Read]]="N/A",IF(Table1[[#This Row],[Std Adj Read]]&lt;Table1[[#This Row],[High Tol]],"Pass","Fail"),IF(Table1[[#This Row],[DUT Adj Read]]&lt;Table1[[#This Row],[High Tol]],"Pass","Fail")))</f>
        <v>Fail</v>
      </c>
      <c r="AF1597" s="1" t="str">
        <f>IF(AND(Table1[[#This Row],[Spec Type2]]="N/A",Table1[[#This Row],[DUT Adj Read]]="N/A",Table1[[#This Row],[Std Adj Read]]="N/A"),"N/A",IF(Table1[[#This Row],[DUT Adj Read]]="N/A",IF(Table1[[#This Row],[Std Adj Read]]&gt;=Table1[[#This Row],[Low Tol]],"Pass","Fail"),IF(Table1[[#This Row],[DUT Adj Read]]&gt;=Table1[[#This Row],[Low Tol]],"Pass","Fail")))</f>
        <v>Pass</v>
      </c>
      <c r="AG1597" s="1" t="str">
        <f>IF(AND(Table1[[#This Row],[Spec Type2]]="N/A",Table1[[#This Row],[DUT Adj Read]]="N/A",Table1[[#This Row],[Std Adj Read]]="N/A"),"N/A",IF(Table1[[#This Row],[DUT Adj Read]]="N/A",IF(Table1[[#This Row],[Std Adj Read]]&lt;=Table1[[#This Row],[High Tol]],"Pass","Fail"),IF(Table1[[#This Row],[DUT Adj Read]]&lt;=Table1[[#This Row],[High Tol]],"Pass","Fail")))</f>
        <v>Fail</v>
      </c>
      <c r="AH15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7" s="1" t="b">
        <v>0</v>
      </c>
      <c r="AN1597" s="1" t="b">
        <v>0</v>
      </c>
      <c r="AO1597" s="1" t="b">
        <v>0</v>
      </c>
    </row>
    <row r="1598" spans="1:41" x14ac:dyDescent="0.25">
      <c r="A1598" s="10"/>
      <c r="B1598" s="10"/>
      <c r="C1598" s="10"/>
      <c r="D1598" s="10"/>
      <c r="E1598" s="10"/>
      <c r="F1598" s="10"/>
      <c r="G1598" s="10"/>
      <c r="H1598" s="10"/>
      <c r="I1598" s="1" t="str">
        <f t="shared" si="72"/>
        <v/>
      </c>
      <c r="J1598" s="1" t="s">
        <v>35</v>
      </c>
      <c r="K1598" s="1" t="str">
        <f t="shared" si="73"/>
        <v/>
      </c>
      <c r="L1598" s="1" t="str">
        <f t="shared" si="74"/>
        <v/>
      </c>
      <c r="M1598" s="1">
        <f>IF(OR(Table1[[#This Row],[Std Nom]]="",Table1[[#This Row],[Std Read]]=""),0,Table1[[#This Row],[Std Nom]]-Table1[[#This Row],[Std Read]])</f>
        <v>0</v>
      </c>
      <c r="N1598" s="1">
        <f>IF(Calculations!$F$5="ACCREDITED 17025 WITH UNCERTAINTIES",$N$10,0)</f>
        <v>0</v>
      </c>
      <c r="O1598" s="1" t="str">
        <f>IFERROR(Table1[[#This Row],[Std Nom]]-(_xlfn.XLOOKUP(Table1[[#This Row],[Manufacturer]]&amp;" "&amp;Table1[[#This Row],[Model]],Table13[MFR &amp; MDL],Table13[Tolerance % CW ],"")/100*Table1[[#This Row],[Std Nom]]),"")</f>
        <v/>
      </c>
      <c r="P1598" s="1" t="str">
        <f>IFERROR(Table1[[#This Row],[Std Nom]]+(_xlfn.XLOOKUP(Table1[[#This Row],[Manufacturer]]&amp;" "&amp;Table1[[#This Row],[Model]],Table13[MFR &amp; MDL],Table13[Tolerance % CW ],"")/100*Table1[[#This Row],[Std Nom]]),"")</f>
        <v/>
      </c>
      <c r="Q1598" s="1" t="e">
        <f>Table1[[#This Row],[High Tol]]-Table1[[#This Row],[Low Tol]]</f>
        <v>#VALUE!</v>
      </c>
      <c r="R1598" s="1">
        <f>2*Table1[[#This Row],[Std Error]]</f>
        <v>0</v>
      </c>
      <c r="S1598" s="1" t="str">
        <f>IF(Table1[[#This Row],[High Tol]]="","N/A",IFERROR(ABS(Table1[[#This Row],[Tol Span]]/Table1[[#This Row],[Error Span]]),"N/A"))</f>
        <v>N/A</v>
      </c>
      <c r="T1598" s="1" t="str">
        <f>IF(OR(Table1[[#This Row],[Low Tol]]="",Table1[[#This Row],[High Tol]]=""),"Needs Analysis",IF(Table1[[#This Row],[Ratio]]&gt;=4,"Not Significant",IF(Table1[[#This Row],[Ratio]]&gt;=2,"Semi-Significant","Significant")))</f>
        <v>Needs Analysis</v>
      </c>
      <c r="W1598" s="1">
        <f>IF(Table1[[#This Row],[Cal Type]]&lt;&gt;"ACCREDITED 17025 WITH UNCERTAINTIES",0,"")</f>
        <v>0</v>
      </c>
      <c r="X1598" s="1" t="str">
        <f>IF(Table1[[#This Row],[DUT Read]]="","N/A",Table1[[#This Row],[Std Error]]+Table1[[#This Row],[DUT Read]]+Table1[[#This Row],[DUT Ucty]])</f>
        <v>N/A</v>
      </c>
      <c r="Y1598" s="1" t="str">
        <f>IF(Table1[[#This Row],[Std Read]]="","N/A",Table1[[#This Row],[Std Read]]+Table1[[#This Row],[Std Ucty]])</f>
        <v>N/A</v>
      </c>
      <c r="Z15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8" s="1" t="str">
        <f>IF(Table1[[#This Row],[Spec Type]]="","N/A",Table1[[#This Row],[Spec Type]])</f>
        <v>±</v>
      </c>
      <c r="AC1598" s="1" t="str">
        <f>IF(Table1[[#This Row],[Spec Type2]]="N/A","N/A",IF(AND(Table1[[#This Row],[DUT Adj Read]]&gt;=Table1[[#This Row],[Low Tol]],Table1[[#This Row],[DUT Adj Read]]&lt;=Table1[[#This Row],[High Tol]]),"Pass","Fail"))</f>
        <v>Fail</v>
      </c>
      <c r="AD1598" s="1" t="str">
        <f>IF(AND(Table1[[#This Row],[Spec Type2]]="N/A",Table1[[#This Row],[DUT Adj Read]]="N/A",Table1[[#This Row],[Std Adj Read]]="N/A"),"N/A",IF(Table1[[#This Row],[DUT Adj Read]]="N/A",IF(Table1[[#This Row],[Std Adj Read]]&gt;Table1[[#This Row],[Low Tol]],"Pass","Fail"),IF(Table1[[#This Row],[DUT Adj Read]]&gt;Table1[[#This Row],[Low Tol]],"Pass","Fail")))</f>
        <v>Pass</v>
      </c>
      <c r="AE1598" s="1" t="str">
        <f>IF(AND(Table1[[#This Row],[Spec Type2]]="N/A",Table1[[#This Row],[DUT Adj Read]]="N/A",Table1[[#This Row],[Std Adj Read]]="N/A"),"N/A",IF(Table1[[#This Row],[DUT Adj Read]]="N/A",IF(Table1[[#This Row],[Std Adj Read]]&lt;Table1[[#This Row],[High Tol]],"Pass","Fail"),IF(Table1[[#This Row],[DUT Adj Read]]&lt;Table1[[#This Row],[High Tol]],"Pass","Fail")))</f>
        <v>Fail</v>
      </c>
      <c r="AF1598" s="1" t="str">
        <f>IF(AND(Table1[[#This Row],[Spec Type2]]="N/A",Table1[[#This Row],[DUT Adj Read]]="N/A",Table1[[#This Row],[Std Adj Read]]="N/A"),"N/A",IF(Table1[[#This Row],[DUT Adj Read]]="N/A",IF(Table1[[#This Row],[Std Adj Read]]&gt;=Table1[[#This Row],[Low Tol]],"Pass","Fail"),IF(Table1[[#This Row],[DUT Adj Read]]&gt;=Table1[[#This Row],[Low Tol]],"Pass","Fail")))</f>
        <v>Pass</v>
      </c>
      <c r="AG1598" s="1" t="str">
        <f>IF(AND(Table1[[#This Row],[Spec Type2]]="N/A",Table1[[#This Row],[DUT Adj Read]]="N/A",Table1[[#This Row],[Std Adj Read]]="N/A"),"N/A",IF(Table1[[#This Row],[DUT Adj Read]]="N/A",IF(Table1[[#This Row],[Std Adj Read]]&lt;=Table1[[#This Row],[High Tol]],"Pass","Fail"),IF(Table1[[#This Row],[DUT Adj Read]]&lt;=Table1[[#This Row],[High Tol]],"Pass","Fail")))</f>
        <v>Fail</v>
      </c>
      <c r="AH15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8" s="1" t="b">
        <v>0</v>
      </c>
      <c r="AN1598" s="1" t="b">
        <v>0</v>
      </c>
      <c r="AO1598" s="1" t="b">
        <v>0</v>
      </c>
    </row>
    <row r="1599" spans="1:41" x14ac:dyDescent="0.25">
      <c r="A1599" s="10"/>
      <c r="B1599" s="10"/>
      <c r="C1599" s="10"/>
      <c r="D1599" s="10"/>
      <c r="E1599" s="10"/>
      <c r="F1599" s="10"/>
      <c r="G1599" s="10"/>
      <c r="H1599" s="10"/>
      <c r="I1599" s="1" t="str">
        <f t="shared" si="72"/>
        <v/>
      </c>
      <c r="J1599" s="1" t="s">
        <v>35</v>
      </c>
      <c r="K1599" s="1" t="str">
        <f t="shared" si="73"/>
        <v/>
      </c>
      <c r="L1599" s="1" t="str">
        <f t="shared" si="74"/>
        <v/>
      </c>
      <c r="M1599" s="1">
        <f>IF(OR(Table1[[#This Row],[Std Nom]]="",Table1[[#This Row],[Std Read]]=""),0,Table1[[#This Row],[Std Nom]]-Table1[[#This Row],[Std Read]])</f>
        <v>0</v>
      </c>
      <c r="N1599" s="1">
        <f>IF(Calculations!$F$5="ACCREDITED 17025 WITH UNCERTAINTIES",$N$10,0)</f>
        <v>0</v>
      </c>
      <c r="O1599" s="1" t="str">
        <f>IFERROR(Table1[[#This Row],[Std Nom]]-(_xlfn.XLOOKUP(Table1[[#This Row],[Manufacturer]]&amp;" "&amp;Table1[[#This Row],[Model]],Table13[MFR &amp; MDL],Table13[Tolerance % CW ],"")/100*Table1[[#This Row],[Std Nom]]),"")</f>
        <v/>
      </c>
      <c r="P1599" s="1" t="str">
        <f>IFERROR(Table1[[#This Row],[Std Nom]]+(_xlfn.XLOOKUP(Table1[[#This Row],[Manufacturer]]&amp;" "&amp;Table1[[#This Row],[Model]],Table13[MFR &amp; MDL],Table13[Tolerance % CW ],"")/100*Table1[[#This Row],[Std Nom]]),"")</f>
        <v/>
      </c>
      <c r="Q1599" s="1" t="e">
        <f>Table1[[#This Row],[High Tol]]-Table1[[#This Row],[Low Tol]]</f>
        <v>#VALUE!</v>
      </c>
      <c r="R1599" s="1">
        <f>2*Table1[[#This Row],[Std Error]]</f>
        <v>0</v>
      </c>
      <c r="S1599" s="1" t="str">
        <f>IF(Table1[[#This Row],[High Tol]]="","N/A",IFERROR(ABS(Table1[[#This Row],[Tol Span]]/Table1[[#This Row],[Error Span]]),"N/A"))</f>
        <v>N/A</v>
      </c>
      <c r="T1599" s="1" t="str">
        <f>IF(OR(Table1[[#This Row],[Low Tol]]="",Table1[[#This Row],[High Tol]]=""),"Needs Analysis",IF(Table1[[#This Row],[Ratio]]&gt;=4,"Not Significant",IF(Table1[[#This Row],[Ratio]]&gt;=2,"Semi-Significant","Significant")))</f>
        <v>Needs Analysis</v>
      </c>
      <c r="W1599" s="1">
        <f>IF(Table1[[#This Row],[Cal Type]]&lt;&gt;"ACCREDITED 17025 WITH UNCERTAINTIES",0,"")</f>
        <v>0</v>
      </c>
      <c r="X1599" s="1" t="str">
        <f>IF(Table1[[#This Row],[DUT Read]]="","N/A",Table1[[#This Row],[Std Error]]+Table1[[#This Row],[DUT Read]]+Table1[[#This Row],[DUT Ucty]])</f>
        <v>N/A</v>
      </c>
      <c r="Y1599" s="1" t="str">
        <f>IF(Table1[[#This Row],[Std Read]]="","N/A",Table1[[#This Row],[Std Read]]+Table1[[#This Row],[Std Ucty]])</f>
        <v>N/A</v>
      </c>
      <c r="Z15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9" s="1" t="str">
        <f>IF(Table1[[#This Row],[Spec Type]]="","N/A",Table1[[#This Row],[Spec Type]])</f>
        <v>±</v>
      </c>
      <c r="AC1599" s="1" t="str">
        <f>IF(Table1[[#This Row],[Spec Type2]]="N/A","N/A",IF(AND(Table1[[#This Row],[DUT Adj Read]]&gt;=Table1[[#This Row],[Low Tol]],Table1[[#This Row],[DUT Adj Read]]&lt;=Table1[[#This Row],[High Tol]]),"Pass","Fail"))</f>
        <v>Fail</v>
      </c>
      <c r="AD1599" s="1" t="str">
        <f>IF(AND(Table1[[#This Row],[Spec Type2]]="N/A",Table1[[#This Row],[DUT Adj Read]]="N/A",Table1[[#This Row],[Std Adj Read]]="N/A"),"N/A",IF(Table1[[#This Row],[DUT Adj Read]]="N/A",IF(Table1[[#This Row],[Std Adj Read]]&gt;Table1[[#This Row],[Low Tol]],"Pass","Fail"),IF(Table1[[#This Row],[DUT Adj Read]]&gt;Table1[[#This Row],[Low Tol]],"Pass","Fail")))</f>
        <v>Pass</v>
      </c>
      <c r="AE1599" s="1" t="str">
        <f>IF(AND(Table1[[#This Row],[Spec Type2]]="N/A",Table1[[#This Row],[DUT Adj Read]]="N/A",Table1[[#This Row],[Std Adj Read]]="N/A"),"N/A",IF(Table1[[#This Row],[DUT Adj Read]]="N/A",IF(Table1[[#This Row],[Std Adj Read]]&lt;Table1[[#This Row],[High Tol]],"Pass","Fail"),IF(Table1[[#This Row],[DUT Adj Read]]&lt;Table1[[#This Row],[High Tol]],"Pass","Fail")))</f>
        <v>Fail</v>
      </c>
      <c r="AF1599" s="1" t="str">
        <f>IF(AND(Table1[[#This Row],[Spec Type2]]="N/A",Table1[[#This Row],[DUT Adj Read]]="N/A",Table1[[#This Row],[Std Adj Read]]="N/A"),"N/A",IF(Table1[[#This Row],[DUT Adj Read]]="N/A",IF(Table1[[#This Row],[Std Adj Read]]&gt;=Table1[[#This Row],[Low Tol]],"Pass","Fail"),IF(Table1[[#This Row],[DUT Adj Read]]&gt;=Table1[[#This Row],[Low Tol]],"Pass","Fail")))</f>
        <v>Pass</v>
      </c>
      <c r="AG1599" s="1" t="str">
        <f>IF(AND(Table1[[#This Row],[Spec Type2]]="N/A",Table1[[#This Row],[DUT Adj Read]]="N/A",Table1[[#This Row],[Std Adj Read]]="N/A"),"N/A",IF(Table1[[#This Row],[DUT Adj Read]]="N/A",IF(Table1[[#This Row],[Std Adj Read]]&lt;=Table1[[#This Row],[High Tol]],"Pass","Fail"),IF(Table1[[#This Row],[DUT Adj Read]]&lt;=Table1[[#This Row],[High Tol]],"Pass","Fail")))</f>
        <v>Fail</v>
      </c>
      <c r="AH15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9" s="1" t="b">
        <v>0</v>
      </c>
      <c r="AN1599" s="1" t="b">
        <v>0</v>
      </c>
      <c r="AO1599" s="1" t="b">
        <v>0</v>
      </c>
    </row>
    <row r="1600" spans="1:41" x14ac:dyDescent="0.25">
      <c r="A1600" s="10"/>
      <c r="B1600" s="10"/>
      <c r="C1600" s="10"/>
      <c r="D1600" s="10"/>
      <c r="E1600" s="10"/>
      <c r="F1600" s="10"/>
      <c r="G1600" s="10"/>
      <c r="H1600" s="10"/>
      <c r="I1600" s="1" t="str">
        <f t="shared" si="72"/>
        <v/>
      </c>
      <c r="J1600" s="1" t="s">
        <v>35</v>
      </c>
      <c r="K1600" s="1" t="str">
        <f t="shared" si="73"/>
        <v/>
      </c>
      <c r="L1600" s="1" t="str">
        <f t="shared" si="74"/>
        <v/>
      </c>
      <c r="M1600" s="1">
        <f>IF(OR(Table1[[#This Row],[Std Nom]]="",Table1[[#This Row],[Std Read]]=""),0,Table1[[#This Row],[Std Nom]]-Table1[[#This Row],[Std Read]])</f>
        <v>0</v>
      </c>
      <c r="N1600" s="1">
        <f>IF(Calculations!$F$5="ACCREDITED 17025 WITH UNCERTAINTIES",$N$10,0)</f>
        <v>0</v>
      </c>
      <c r="O1600" s="1" t="str">
        <f>IFERROR(Table1[[#This Row],[Std Nom]]-(_xlfn.XLOOKUP(Table1[[#This Row],[Manufacturer]]&amp;" "&amp;Table1[[#This Row],[Model]],Table13[MFR &amp; MDL],Table13[Tolerance % CW ],"")/100*Table1[[#This Row],[Std Nom]]),"")</f>
        <v/>
      </c>
      <c r="P1600" s="1" t="str">
        <f>IFERROR(Table1[[#This Row],[Std Nom]]+(_xlfn.XLOOKUP(Table1[[#This Row],[Manufacturer]]&amp;" "&amp;Table1[[#This Row],[Model]],Table13[MFR &amp; MDL],Table13[Tolerance % CW ],"")/100*Table1[[#This Row],[Std Nom]]),"")</f>
        <v/>
      </c>
      <c r="Q1600" s="1" t="e">
        <f>Table1[[#This Row],[High Tol]]-Table1[[#This Row],[Low Tol]]</f>
        <v>#VALUE!</v>
      </c>
      <c r="R1600" s="1">
        <f>2*Table1[[#This Row],[Std Error]]</f>
        <v>0</v>
      </c>
      <c r="S1600" s="1" t="str">
        <f>IF(Table1[[#This Row],[High Tol]]="","N/A",IFERROR(ABS(Table1[[#This Row],[Tol Span]]/Table1[[#This Row],[Error Span]]),"N/A"))</f>
        <v>N/A</v>
      </c>
      <c r="T1600" s="1" t="str">
        <f>IF(OR(Table1[[#This Row],[Low Tol]]="",Table1[[#This Row],[High Tol]]=""),"Needs Analysis",IF(Table1[[#This Row],[Ratio]]&gt;=4,"Not Significant",IF(Table1[[#This Row],[Ratio]]&gt;=2,"Semi-Significant","Significant")))</f>
        <v>Needs Analysis</v>
      </c>
      <c r="W1600" s="1">
        <f>IF(Table1[[#This Row],[Cal Type]]&lt;&gt;"ACCREDITED 17025 WITH UNCERTAINTIES",0,"")</f>
        <v>0</v>
      </c>
      <c r="X1600" s="1" t="str">
        <f>IF(Table1[[#This Row],[DUT Read]]="","N/A",Table1[[#This Row],[Std Error]]+Table1[[#This Row],[DUT Read]]+Table1[[#This Row],[DUT Ucty]])</f>
        <v>N/A</v>
      </c>
      <c r="Y1600" s="1" t="str">
        <f>IF(Table1[[#This Row],[Std Read]]="","N/A",Table1[[#This Row],[Std Read]]+Table1[[#This Row],[Std Ucty]])</f>
        <v>N/A</v>
      </c>
      <c r="Z16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0" s="1" t="str">
        <f>IF(Table1[[#This Row],[Spec Type]]="","N/A",Table1[[#This Row],[Spec Type]])</f>
        <v>±</v>
      </c>
      <c r="AC1600" s="1" t="str">
        <f>IF(Table1[[#This Row],[Spec Type2]]="N/A","N/A",IF(AND(Table1[[#This Row],[DUT Adj Read]]&gt;=Table1[[#This Row],[Low Tol]],Table1[[#This Row],[DUT Adj Read]]&lt;=Table1[[#This Row],[High Tol]]),"Pass","Fail"))</f>
        <v>Fail</v>
      </c>
      <c r="AD1600" s="1" t="str">
        <f>IF(AND(Table1[[#This Row],[Spec Type2]]="N/A",Table1[[#This Row],[DUT Adj Read]]="N/A",Table1[[#This Row],[Std Adj Read]]="N/A"),"N/A",IF(Table1[[#This Row],[DUT Adj Read]]="N/A",IF(Table1[[#This Row],[Std Adj Read]]&gt;Table1[[#This Row],[Low Tol]],"Pass","Fail"),IF(Table1[[#This Row],[DUT Adj Read]]&gt;Table1[[#This Row],[Low Tol]],"Pass","Fail")))</f>
        <v>Pass</v>
      </c>
      <c r="AE1600" s="1" t="str">
        <f>IF(AND(Table1[[#This Row],[Spec Type2]]="N/A",Table1[[#This Row],[DUT Adj Read]]="N/A",Table1[[#This Row],[Std Adj Read]]="N/A"),"N/A",IF(Table1[[#This Row],[DUT Adj Read]]="N/A",IF(Table1[[#This Row],[Std Adj Read]]&lt;Table1[[#This Row],[High Tol]],"Pass","Fail"),IF(Table1[[#This Row],[DUT Adj Read]]&lt;Table1[[#This Row],[High Tol]],"Pass","Fail")))</f>
        <v>Fail</v>
      </c>
      <c r="AF1600" s="1" t="str">
        <f>IF(AND(Table1[[#This Row],[Spec Type2]]="N/A",Table1[[#This Row],[DUT Adj Read]]="N/A",Table1[[#This Row],[Std Adj Read]]="N/A"),"N/A",IF(Table1[[#This Row],[DUT Adj Read]]="N/A",IF(Table1[[#This Row],[Std Adj Read]]&gt;=Table1[[#This Row],[Low Tol]],"Pass","Fail"),IF(Table1[[#This Row],[DUT Adj Read]]&gt;=Table1[[#This Row],[Low Tol]],"Pass","Fail")))</f>
        <v>Pass</v>
      </c>
      <c r="AG1600" s="1" t="str">
        <f>IF(AND(Table1[[#This Row],[Spec Type2]]="N/A",Table1[[#This Row],[DUT Adj Read]]="N/A",Table1[[#This Row],[Std Adj Read]]="N/A"),"N/A",IF(Table1[[#This Row],[DUT Adj Read]]="N/A",IF(Table1[[#This Row],[Std Adj Read]]&lt;=Table1[[#This Row],[High Tol]],"Pass","Fail"),IF(Table1[[#This Row],[DUT Adj Read]]&lt;=Table1[[#This Row],[High Tol]],"Pass","Fail")))</f>
        <v>Fail</v>
      </c>
      <c r="AH16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0" s="1" t="b">
        <v>0</v>
      </c>
      <c r="AN1600" s="1" t="b">
        <v>0</v>
      </c>
      <c r="AO1600" s="1" t="b">
        <v>0</v>
      </c>
    </row>
    <row r="1601" spans="1:41" x14ac:dyDescent="0.25">
      <c r="A1601" s="10"/>
      <c r="B1601" s="10"/>
      <c r="C1601" s="10"/>
      <c r="D1601" s="10"/>
      <c r="E1601" s="10"/>
      <c r="F1601" s="10"/>
      <c r="G1601" s="10"/>
      <c r="H1601" s="10"/>
      <c r="I1601" s="1" t="str">
        <f t="shared" si="72"/>
        <v/>
      </c>
      <c r="J1601" s="1" t="s">
        <v>35</v>
      </c>
      <c r="K1601" s="1" t="str">
        <f t="shared" si="73"/>
        <v/>
      </c>
      <c r="L1601" s="1" t="str">
        <f t="shared" si="74"/>
        <v/>
      </c>
      <c r="M1601" s="1">
        <f>IF(OR(Table1[[#This Row],[Std Nom]]="",Table1[[#This Row],[Std Read]]=""),0,Table1[[#This Row],[Std Nom]]-Table1[[#This Row],[Std Read]])</f>
        <v>0</v>
      </c>
      <c r="N1601" s="1">
        <f>IF(Calculations!$F$5="ACCREDITED 17025 WITH UNCERTAINTIES",$N$10,0)</f>
        <v>0</v>
      </c>
      <c r="O1601" s="1" t="str">
        <f>IFERROR(Table1[[#This Row],[Std Nom]]-(_xlfn.XLOOKUP(Table1[[#This Row],[Manufacturer]]&amp;" "&amp;Table1[[#This Row],[Model]],Table13[MFR &amp; MDL],Table13[Tolerance % CW ],"")/100*Table1[[#This Row],[Std Nom]]),"")</f>
        <v/>
      </c>
      <c r="P1601" s="1" t="str">
        <f>IFERROR(Table1[[#This Row],[Std Nom]]+(_xlfn.XLOOKUP(Table1[[#This Row],[Manufacturer]]&amp;" "&amp;Table1[[#This Row],[Model]],Table13[MFR &amp; MDL],Table13[Tolerance % CW ],"")/100*Table1[[#This Row],[Std Nom]]),"")</f>
        <v/>
      </c>
      <c r="Q1601" s="1" t="e">
        <f>Table1[[#This Row],[High Tol]]-Table1[[#This Row],[Low Tol]]</f>
        <v>#VALUE!</v>
      </c>
      <c r="R1601" s="1">
        <f>2*Table1[[#This Row],[Std Error]]</f>
        <v>0</v>
      </c>
      <c r="S1601" s="1" t="str">
        <f>IF(Table1[[#This Row],[High Tol]]="","N/A",IFERROR(ABS(Table1[[#This Row],[Tol Span]]/Table1[[#This Row],[Error Span]]),"N/A"))</f>
        <v>N/A</v>
      </c>
      <c r="T1601" s="1" t="str">
        <f>IF(OR(Table1[[#This Row],[Low Tol]]="",Table1[[#This Row],[High Tol]]=""),"Needs Analysis",IF(Table1[[#This Row],[Ratio]]&gt;=4,"Not Significant",IF(Table1[[#This Row],[Ratio]]&gt;=2,"Semi-Significant","Significant")))</f>
        <v>Needs Analysis</v>
      </c>
      <c r="W1601" s="1">
        <f>IF(Table1[[#This Row],[Cal Type]]&lt;&gt;"ACCREDITED 17025 WITH UNCERTAINTIES",0,"")</f>
        <v>0</v>
      </c>
      <c r="X1601" s="1" t="str">
        <f>IF(Table1[[#This Row],[DUT Read]]="","N/A",Table1[[#This Row],[Std Error]]+Table1[[#This Row],[DUT Read]]+Table1[[#This Row],[DUT Ucty]])</f>
        <v>N/A</v>
      </c>
      <c r="Y1601" s="1" t="str">
        <f>IF(Table1[[#This Row],[Std Read]]="","N/A",Table1[[#This Row],[Std Read]]+Table1[[#This Row],[Std Ucty]])</f>
        <v>N/A</v>
      </c>
      <c r="Z16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1" s="1" t="str">
        <f>IF(Table1[[#This Row],[Spec Type]]="","N/A",Table1[[#This Row],[Spec Type]])</f>
        <v>±</v>
      </c>
      <c r="AC1601" s="1" t="str">
        <f>IF(Table1[[#This Row],[Spec Type2]]="N/A","N/A",IF(AND(Table1[[#This Row],[DUT Adj Read]]&gt;=Table1[[#This Row],[Low Tol]],Table1[[#This Row],[DUT Adj Read]]&lt;=Table1[[#This Row],[High Tol]]),"Pass","Fail"))</f>
        <v>Fail</v>
      </c>
      <c r="AD1601" s="1" t="str">
        <f>IF(AND(Table1[[#This Row],[Spec Type2]]="N/A",Table1[[#This Row],[DUT Adj Read]]="N/A",Table1[[#This Row],[Std Adj Read]]="N/A"),"N/A",IF(Table1[[#This Row],[DUT Adj Read]]="N/A",IF(Table1[[#This Row],[Std Adj Read]]&gt;Table1[[#This Row],[Low Tol]],"Pass","Fail"),IF(Table1[[#This Row],[DUT Adj Read]]&gt;Table1[[#This Row],[Low Tol]],"Pass","Fail")))</f>
        <v>Pass</v>
      </c>
      <c r="AE1601" s="1" t="str">
        <f>IF(AND(Table1[[#This Row],[Spec Type2]]="N/A",Table1[[#This Row],[DUT Adj Read]]="N/A",Table1[[#This Row],[Std Adj Read]]="N/A"),"N/A",IF(Table1[[#This Row],[DUT Adj Read]]="N/A",IF(Table1[[#This Row],[Std Adj Read]]&lt;Table1[[#This Row],[High Tol]],"Pass","Fail"),IF(Table1[[#This Row],[DUT Adj Read]]&lt;Table1[[#This Row],[High Tol]],"Pass","Fail")))</f>
        <v>Fail</v>
      </c>
      <c r="AF1601" s="1" t="str">
        <f>IF(AND(Table1[[#This Row],[Spec Type2]]="N/A",Table1[[#This Row],[DUT Adj Read]]="N/A",Table1[[#This Row],[Std Adj Read]]="N/A"),"N/A",IF(Table1[[#This Row],[DUT Adj Read]]="N/A",IF(Table1[[#This Row],[Std Adj Read]]&gt;=Table1[[#This Row],[Low Tol]],"Pass","Fail"),IF(Table1[[#This Row],[DUT Adj Read]]&gt;=Table1[[#This Row],[Low Tol]],"Pass","Fail")))</f>
        <v>Pass</v>
      </c>
      <c r="AG1601" s="1" t="str">
        <f>IF(AND(Table1[[#This Row],[Spec Type2]]="N/A",Table1[[#This Row],[DUT Adj Read]]="N/A",Table1[[#This Row],[Std Adj Read]]="N/A"),"N/A",IF(Table1[[#This Row],[DUT Adj Read]]="N/A",IF(Table1[[#This Row],[Std Adj Read]]&lt;=Table1[[#This Row],[High Tol]],"Pass","Fail"),IF(Table1[[#This Row],[DUT Adj Read]]&lt;=Table1[[#This Row],[High Tol]],"Pass","Fail")))</f>
        <v>Fail</v>
      </c>
      <c r="AH16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1" s="1" t="b">
        <v>0</v>
      </c>
      <c r="AN1601" s="1" t="b">
        <v>0</v>
      </c>
      <c r="AO1601" s="1" t="b">
        <v>0</v>
      </c>
    </row>
    <row r="1602" spans="1:41" x14ac:dyDescent="0.25">
      <c r="A1602" s="10"/>
      <c r="B1602" s="10"/>
      <c r="C1602" s="10"/>
      <c r="D1602" s="10"/>
      <c r="E1602" s="10"/>
      <c r="F1602" s="10"/>
      <c r="G1602" s="10"/>
      <c r="H1602" s="10"/>
      <c r="I1602" s="1" t="str">
        <f t="shared" si="72"/>
        <v/>
      </c>
      <c r="J1602" s="1" t="s">
        <v>35</v>
      </c>
      <c r="K1602" s="1" t="str">
        <f t="shared" si="73"/>
        <v/>
      </c>
      <c r="L1602" s="1" t="str">
        <f t="shared" si="74"/>
        <v/>
      </c>
      <c r="M1602" s="1">
        <f>IF(OR(Table1[[#This Row],[Std Nom]]="",Table1[[#This Row],[Std Read]]=""),0,Table1[[#This Row],[Std Nom]]-Table1[[#This Row],[Std Read]])</f>
        <v>0</v>
      </c>
      <c r="N1602" s="1">
        <f>IF(Calculations!$F$5="ACCREDITED 17025 WITH UNCERTAINTIES",$N$10,0)</f>
        <v>0</v>
      </c>
      <c r="O1602" s="1" t="str">
        <f>IFERROR(Table1[[#This Row],[Std Nom]]-(_xlfn.XLOOKUP(Table1[[#This Row],[Manufacturer]]&amp;" "&amp;Table1[[#This Row],[Model]],Table13[MFR &amp; MDL],Table13[Tolerance % CW ],"")/100*Table1[[#This Row],[Std Nom]]),"")</f>
        <v/>
      </c>
      <c r="P1602" s="1" t="str">
        <f>IFERROR(Table1[[#This Row],[Std Nom]]+(_xlfn.XLOOKUP(Table1[[#This Row],[Manufacturer]]&amp;" "&amp;Table1[[#This Row],[Model]],Table13[MFR &amp; MDL],Table13[Tolerance % CW ],"")/100*Table1[[#This Row],[Std Nom]]),"")</f>
        <v/>
      </c>
      <c r="Q1602" s="1" t="e">
        <f>Table1[[#This Row],[High Tol]]-Table1[[#This Row],[Low Tol]]</f>
        <v>#VALUE!</v>
      </c>
      <c r="R1602" s="1">
        <f>2*Table1[[#This Row],[Std Error]]</f>
        <v>0</v>
      </c>
      <c r="S1602" s="1" t="str">
        <f>IF(Table1[[#This Row],[High Tol]]="","N/A",IFERROR(ABS(Table1[[#This Row],[Tol Span]]/Table1[[#This Row],[Error Span]]),"N/A"))</f>
        <v>N/A</v>
      </c>
      <c r="T1602" s="1" t="str">
        <f>IF(OR(Table1[[#This Row],[Low Tol]]="",Table1[[#This Row],[High Tol]]=""),"Needs Analysis",IF(Table1[[#This Row],[Ratio]]&gt;=4,"Not Significant",IF(Table1[[#This Row],[Ratio]]&gt;=2,"Semi-Significant","Significant")))</f>
        <v>Needs Analysis</v>
      </c>
      <c r="W1602" s="1">
        <f>IF(Table1[[#This Row],[Cal Type]]&lt;&gt;"ACCREDITED 17025 WITH UNCERTAINTIES",0,"")</f>
        <v>0</v>
      </c>
      <c r="X1602" s="1" t="str">
        <f>IF(Table1[[#This Row],[DUT Read]]="","N/A",Table1[[#This Row],[Std Error]]+Table1[[#This Row],[DUT Read]]+Table1[[#This Row],[DUT Ucty]])</f>
        <v>N/A</v>
      </c>
      <c r="Y1602" s="1" t="str">
        <f>IF(Table1[[#This Row],[Std Read]]="","N/A",Table1[[#This Row],[Std Read]]+Table1[[#This Row],[Std Ucty]])</f>
        <v>N/A</v>
      </c>
      <c r="Z16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2" s="1" t="str">
        <f>IF(Table1[[#This Row],[Spec Type]]="","N/A",Table1[[#This Row],[Spec Type]])</f>
        <v>±</v>
      </c>
      <c r="AC1602" s="1" t="str">
        <f>IF(Table1[[#This Row],[Spec Type2]]="N/A","N/A",IF(AND(Table1[[#This Row],[DUT Adj Read]]&gt;=Table1[[#This Row],[Low Tol]],Table1[[#This Row],[DUT Adj Read]]&lt;=Table1[[#This Row],[High Tol]]),"Pass","Fail"))</f>
        <v>Fail</v>
      </c>
      <c r="AD1602" s="1" t="str">
        <f>IF(AND(Table1[[#This Row],[Spec Type2]]="N/A",Table1[[#This Row],[DUT Adj Read]]="N/A",Table1[[#This Row],[Std Adj Read]]="N/A"),"N/A",IF(Table1[[#This Row],[DUT Adj Read]]="N/A",IF(Table1[[#This Row],[Std Adj Read]]&gt;Table1[[#This Row],[Low Tol]],"Pass","Fail"),IF(Table1[[#This Row],[DUT Adj Read]]&gt;Table1[[#This Row],[Low Tol]],"Pass","Fail")))</f>
        <v>Pass</v>
      </c>
      <c r="AE1602" s="1" t="str">
        <f>IF(AND(Table1[[#This Row],[Spec Type2]]="N/A",Table1[[#This Row],[DUT Adj Read]]="N/A",Table1[[#This Row],[Std Adj Read]]="N/A"),"N/A",IF(Table1[[#This Row],[DUT Adj Read]]="N/A",IF(Table1[[#This Row],[Std Adj Read]]&lt;Table1[[#This Row],[High Tol]],"Pass","Fail"),IF(Table1[[#This Row],[DUT Adj Read]]&lt;Table1[[#This Row],[High Tol]],"Pass","Fail")))</f>
        <v>Fail</v>
      </c>
      <c r="AF1602" s="1" t="str">
        <f>IF(AND(Table1[[#This Row],[Spec Type2]]="N/A",Table1[[#This Row],[DUT Adj Read]]="N/A",Table1[[#This Row],[Std Adj Read]]="N/A"),"N/A",IF(Table1[[#This Row],[DUT Adj Read]]="N/A",IF(Table1[[#This Row],[Std Adj Read]]&gt;=Table1[[#This Row],[Low Tol]],"Pass","Fail"),IF(Table1[[#This Row],[DUT Adj Read]]&gt;=Table1[[#This Row],[Low Tol]],"Pass","Fail")))</f>
        <v>Pass</v>
      </c>
      <c r="AG1602" s="1" t="str">
        <f>IF(AND(Table1[[#This Row],[Spec Type2]]="N/A",Table1[[#This Row],[DUT Adj Read]]="N/A",Table1[[#This Row],[Std Adj Read]]="N/A"),"N/A",IF(Table1[[#This Row],[DUT Adj Read]]="N/A",IF(Table1[[#This Row],[Std Adj Read]]&lt;=Table1[[#This Row],[High Tol]],"Pass","Fail"),IF(Table1[[#This Row],[DUT Adj Read]]&lt;=Table1[[#This Row],[High Tol]],"Pass","Fail")))</f>
        <v>Fail</v>
      </c>
      <c r="AH16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2" s="1" t="b">
        <v>0</v>
      </c>
      <c r="AN1602" s="1" t="b">
        <v>0</v>
      </c>
      <c r="AO1602" s="1" t="b">
        <v>0</v>
      </c>
    </row>
    <row r="1603" spans="1:41" x14ac:dyDescent="0.25">
      <c r="A1603" s="10"/>
      <c r="B1603" s="10"/>
      <c r="C1603" s="10"/>
      <c r="D1603" s="10"/>
      <c r="E1603" s="10"/>
      <c r="F1603" s="10"/>
      <c r="G1603" s="10"/>
      <c r="H1603" s="10"/>
      <c r="I1603" s="1" t="str">
        <f t="shared" si="72"/>
        <v/>
      </c>
      <c r="J1603" s="1" t="s">
        <v>35</v>
      </c>
      <c r="K1603" s="1" t="str">
        <f t="shared" si="73"/>
        <v/>
      </c>
      <c r="L1603" s="1" t="str">
        <f t="shared" si="74"/>
        <v/>
      </c>
      <c r="M1603" s="1">
        <f>IF(OR(Table1[[#This Row],[Std Nom]]="",Table1[[#This Row],[Std Read]]=""),0,Table1[[#This Row],[Std Nom]]-Table1[[#This Row],[Std Read]])</f>
        <v>0</v>
      </c>
      <c r="N1603" s="1">
        <f>IF(Calculations!$F$5="ACCREDITED 17025 WITH UNCERTAINTIES",$N$10,0)</f>
        <v>0</v>
      </c>
      <c r="O1603" s="1" t="str">
        <f>IFERROR(Table1[[#This Row],[Std Nom]]-(_xlfn.XLOOKUP(Table1[[#This Row],[Manufacturer]]&amp;" "&amp;Table1[[#This Row],[Model]],Table13[MFR &amp; MDL],Table13[Tolerance % CW ],"")/100*Table1[[#This Row],[Std Nom]]),"")</f>
        <v/>
      </c>
      <c r="P1603" s="1" t="str">
        <f>IFERROR(Table1[[#This Row],[Std Nom]]+(_xlfn.XLOOKUP(Table1[[#This Row],[Manufacturer]]&amp;" "&amp;Table1[[#This Row],[Model]],Table13[MFR &amp; MDL],Table13[Tolerance % CW ],"")/100*Table1[[#This Row],[Std Nom]]),"")</f>
        <v/>
      </c>
      <c r="Q1603" s="1" t="e">
        <f>Table1[[#This Row],[High Tol]]-Table1[[#This Row],[Low Tol]]</f>
        <v>#VALUE!</v>
      </c>
      <c r="R1603" s="1">
        <f>2*Table1[[#This Row],[Std Error]]</f>
        <v>0</v>
      </c>
      <c r="S1603" s="1" t="str">
        <f>IF(Table1[[#This Row],[High Tol]]="","N/A",IFERROR(ABS(Table1[[#This Row],[Tol Span]]/Table1[[#This Row],[Error Span]]),"N/A"))</f>
        <v>N/A</v>
      </c>
      <c r="T1603" s="1" t="str">
        <f>IF(OR(Table1[[#This Row],[Low Tol]]="",Table1[[#This Row],[High Tol]]=""),"Needs Analysis",IF(Table1[[#This Row],[Ratio]]&gt;=4,"Not Significant",IF(Table1[[#This Row],[Ratio]]&gt;=2,"Semi-Significant","Significant")))</f>
        <v>Needs Analysis</v>
      </c>
      <c r="W1603" s="1">
        <f>IF(Table1[[#This Row],[Cal Type]]&lt;&gt;"ACCREDITED 17025 WITH UNCERTAINTIES",0,"")</f>
        <v>0</v>
      </c>
      <c r="X1603" s="1" t="str">
        <f>IF(Table1[[#This Row],[DUT Read]]="","N/A",Table1[[#This Row],[Std Error]]+Table1[[#This Row],[DUT Read]]+Table1[[#This Row],[DUT Ucty]])</f>
        <v>N/A</v>
      </c>
      <c r="Y1603" s="1" t="str">
        <f>IF(Table1[[#This Row],[Std Read]]="","N/A",Table1[[#This Row],[Std Read]]+Table1[[#This Row],[Std Ucty]])</f>
        <v>N/A</v>
      </c>
      <c r="Z16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3" s="1" t="str">
        <f>IF(Table1[[#This Row],[Spec Type]]="","N/A",Table1[[#This Row],[Spec Type]])</f>
        <v>±</v>
      </c>
      <c r="AC1603" s="1" t="str">
        <f>IF(Table1[[#This Row],[Spec Type2]]="N/A","N/A",IF(AND(Table1[[#This Row],[DUT Adj Read]]&gt;=Table1[[#This Row],[Low Tol]],Table1[[#This Row],[DUT Adj Read]]&lt;=Table1[[#This Row],[High Tol]]),"Pass","Fail"))</f>
        <v>Fail</v>
      </c>
      <c r="AD1603" s="1" t="str">
        <f>IF(AND(Table1[[#This Row],[Spec Type2]]="N/A",Table1[[#This Row],[DUT Adj Read]]="N/A",Table1[[#This Row],[Std Adj Read]]="N/A"),"N/A",IF(Table1[[#This Row],[DUT Adj Read]]="N/A",IF(Table1[[#This Row],[Std Adj Read]]&gt;Table1[[#This Row],[Low Tol]],"Pass","Fail"),IF(Table1[[#This Row],[DUT Adj Read]]&gt;Table1[[#This Row],[Low Tol]],"Pass","Fail")))</f>
        <v>Pass</v>
      </c>
      <c r="AE1603" s="1" t="str">
        <f>IF(AND(Table1[[#This Row],[Spec Type2]]="N/A",Table1[[#This Row],[DUT Adj Read]]="N/A",Table1[[#This Row],[Std Adj Read]]="N/A"),"N/A",IF(Table1[[#This Row],[DUT Adj Read]]="N/A",IF(Table1[[#This Row],[Std Adj Read]]&lt;Table1[[#This Row],[High Tol]],"Pass","Fail"),IF(Table1[[#This Row],[DUT Adj Read]]&lt;Table1[[#This Row],[High Tol]],"Pass","Fail")))</f>
        <v>Fail</v>
      </c>
      <c r="AF1603" s="1" t="str">
        <f>IF(AND(Table1[[#This Row],[Spec Type2]]="N/A",Table1[[#This Row],[DUT Adj Read]]="N/A",Table1[[#This Row],[Std Adj Read]]="N/A"),"N/A",IF(Table1[[#This Row],[DUT Adj Read]]="N/A",IF(Table1[[#This Row],[Std Adj Read]]&gt;=Table1[[#This Row],[Low Tol]],"Pass","Fail"),IF(Table1[[#This Row],[DUT Adj Read]]&gt;=Table1[[#This Row],[Low Tol]],"Pass","Fail")))</f>
        <v>Pass</v>
      </c>
      <c r="AG1603" s="1" t="str">
        <f>IF(AND(Table1[[#This Row],[Spec Type2]]="N/A",Table1[[#This Row],[DUT Adj Read]]="N/A",Table1[[#This Row],[Std Adj Read]]="N/A"),"N/A",IF(Table1[[#This Row],[DUT Adj Read]]="N/A",IF(Table1[[#This Row],[Std Adj Read]]&lt;=Table1[[#This Row],[High Tol]],"Pass","Fail"),IF(Table1[[#This Row],[DUT Adj Read]]&lt;=Table1[[#This Row],[High Tol]],"Pass","Fail")))</f>
        <v>Fail</v>
      </c>
      <c r="AH16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3" s="1" t="b">
        <v>0</v>
      </c>
      <c r="AN1603" s="1" t="b">
        <v>0</v>
      </c>
      <c r="AO1603" s="1" t="b">
        <v>0</v>
      </c>
    </row>
    <row r="1604" spans="1:41" x14ac:dyDescent="0.25">
      <c r="A1604" s="10"/>
      <c r="B1604" s="10"/>
      <c r="C1604" s="10"/>
      <c r="D1604" s="10"/>
      <c r="E1604" s="10"/>
      <c r="F1604" s="10"/>
      <c r="G1604" s="10"/>
      <c r="H1604" s="10"/>
      <c r="I1604" s="1" t="str">
        <f t="shared" si="72"/>
        <v/>
      </c>
      <c r="J1604" s="1" t="s">
        <v>35</v>
      </c>
      <c r="K1604" s="1" t="str">
        <f t="shared" si="73"/>
        <v/>
      </c>
      <c r="L1604" s="1" t="str">
        <f t="shared" si="74"/>
        <v/>
      </c>
      <c r="M1604" s="1">
        <f>IF(OR(Table1[[#This Row],[Std Nom]]="",Table1[[#This Row],[Std Read]]=""),0,Table1[[#This Row],[Std Nom]]-Table1[[#This Row],[Std Read]])</f>
        <v>0</v>
      </c>
      <c r="N1604" s="1">
        <f>IF(Calculations!$F$5="ACCREDITED 17025 WITH UNCERTAINTIES",$N$10,0)</f>
        <v>0</v>
      </c>
      <c r="O1604" s="1" t="str">
        <f>IFERROR(Table1[[#This Row],[Std Nom]]-(_xlfn.XLOOKUP(Table1[[#This Row],[Manufacturer]]&amp;" "&amp;Table1[[#This Row],[Model]],Table13[MFR &amp; MDL],Table13[Tolerance % CW ],"")/100*Table1[[#This Row],[Std Nom]]),"")</f>
        <v/>
      </c>
      <c r="P1604" s="1" t="str">
        <f>IFERROR(Table1[[#This Row],[Std Nom]]+(_xlfn.XLOOKUP(Table1[[#This Row],[Manufacturer]]&amp;" "&amp;Table1[[#This Row],[Model]],Table13[MFR &amp; MDL],Table13[Tolerance % CW ],"")/100*Table1[[#This Row],[Std Nom]]),"")</f>
        <v/>
      </c>
      <c r="Q1604" s="1" t="e">
        <f>Table1[[#This Row],[High Tol]]-Table1[[#This Row],[Low Tol]]</f>
        <v>#VALUE!</v>
      </c>
      <c r="R1604" s="1">
        <f>2*Table1[[#This Row],[Std Error]]</f>
        <v>0</v>
      </c>
      <c r="S1604" s="1" t="str">
        <f>IF(Table1[[#This Row],[High Tol]]="","N/A",IFERROR(ABS(Table1[[#This Row],[Tol Span]]/Table1[[#This Row],[Error Span]]),"N/A"))</f>
        <v>N/A</v>
      </c>
      <c r="T1604" s="1" t="str">
        <f>IF(OR(Table1[[#This Row],[Low Tol]]="",Table1[[#This Row],[High Tol]]=""),"Needs Analysis",IF(Table1[[#This Row],[Ratio]]&gt;=4,"Not Significant",IF(Table1[[#This Row],[Ratio]]&gt;=2,"Semi-Significant","Significant")))</f>
        <v>Needs Analysis</v>
      </c>
      <c r="W1604" s="1">
        <f>IF(Table1[[#This Row],[Cal Type]]&lt;&gt;"ACCREDITED 17025 WITH UNCERTAINTIES",0,"")</f>
        <v>0</v>
      </c>
      <c r="X1604" s="1" t="str">
        <f>IF(Table1[[#This Row],[DUT Read]]="","N/A",Table1[[#This Row],[Std Error]]+Table1[[#This Row],[DUT Read]]+Table1[[#This Row],[DUT Ucty]])</f>
        <v>N/A</v>
      </c>
      <c r="Y1604" s="1" t="str">
        <f>IF(Table1[[#This Row],[Std Read]]="","N/A",Table1[[#This Row],[Std Read]]+Table1[[#This Row],[Std Ucty]])</f>
        <v>N/A</v>
      </c>
      <c r="Z16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4" s="1" t="str">
        <f>IF(Table1[[#This Row],[Spec Type]]="","N/A",Table1[[#This Row],[Spec Type]])</f>
        <v>±</v>
      </c>
      <c r="AC1604" s="1" t="str">
        <f>IF(Table1[[#This Row],[Spec Type2]]="N/A","N/A",IF(AND(Table1[[#This Row],[DUT Adj Read]]&gt;=Table1[[#This Row],[Low Tol]],Table1[[#This Row],[DUT Adj Read]]&lt;=Table1[[#This Row],[High Tol]]),"Pass","Fail"))</f>
        <v>Fail</v>
      </c>
      <c r="AD1604" s="1" t="str">
        <f>IF(AND(Table1[[#This Row],[Spec Type2]]="N/A",Table1[[#This Row],[DUT Adj Read]]="N/A",Table1[[#This Row],[Std Adj Read]]="N/A"),"N/A",IF(Table1[[#This Row],[DUT Adj Read]]="N/A",IF(Table1[[#This Row],[Std Adj Read]]&gt;Table1[[#This Row],[Low Tol]],"Pass","Fail"),IF(Table1[[#This Row],[DUT Adj Read]]&gt;Table1[[#This Row],[Low Tol]],"Pass","Fail")))</f>
        <v>Pass</v>
      </c>
      <c r="AE1604" s="1" t="str">
        <f>IF(AND(Table1[[#This Row],[Spec Type2]]="N/A",Table1[[#This Row],[DUT Adj Read]]="N/A",Table1[[#This Row],[Std Adj Read]]="N/A"),"N/A",IF(Table1[[#This Row],[DUT Adj Read]]="N/A",IF(Table1[[#This Row],[Std Adj Read]]&lt;Table1[[#This Row],[High Tol]],"Pass","Fail"),IF(Table1[[#This Row],[DUT Adj Read]]&lt;Table1[[#This Row],[High Tol]],"Pass","Fail")))</f>
        <v>Fail</v>
      </c>
      <c r="AF1604" s="1" t="str">
        <f>IF(AND(Table1[[#This Row],[Spec Type2]]="N/A",Table1[[#This Row],[DUT Adj Read]]="N/A",Table1[[#This Row],[Std Adj Read]]="N/A"),"N/A",IF(Table1[[#This Row],[DUT Adj Read]]="N/A",IF(Table1[[#This Row],[Std Adj Read]]&gt;=Table1[[#This Row],[Low Tol]],"Pass","Fail"),IF(Table1[[#This Row],[DUT Adj Read]]&gt;=Table1[[#This Row],[Low Tol]],"Pass","Fail")))</f>
        <v>Pass</v>
      </c>
      <c r="AG1604" s="1" t="str">
        <f>IF(AND(Table1[[#This Row],[Spec Type2]]="N/A",Table1[[#This Row],[DUT Adj Read]]="N/A",Table1[[#This Row],[Std Adj Read]]="N/A"),"N/A",IF(Table1[[#This Row],[DUT Adj Read]]="N/A",IF(Table1[[#This Row],[Std Adj Read]]&lt;=Table1[[#This Row],[High Tol]],"Pass","Fail"),IF(Table1[[#This Row],[DUT Adj Read]]&lt;=Table1[[#This Row],[High Tol]],"Pass","Fail")))</f>
        <v>Fail</v>
      </c>
      <c r="AH16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4" s="1" t="b">
        <v>0</v>
      </c>
      <c r="AN1604" s="1" t="b">
        <v>0</v>
      </c>
      <c r="AO1604" s="1" t="b">
        <v>0</v>
      </c>
    </row>
    <row r="1605" spans="1:41" x14ac:dyDescent="0.25">
      <c r="A1605" s="10"/>
      <c r="B1605" s="10"/>
      <c r="C1605" s="10"/>
      <c r="D1605" s="10"/>
      <c r="E1605" s="10"/>
      <c r="F1605" s="10"/>
      <c r="G1605" s="10"/>
      <c r="H1605" s="10"/>
      <c r="I1605" s="1" t="str">
        <f t="shared" si="72"/>
        <v/>
      </c>
      <c r="J1605" s="1" t="s">
        <v>35</v>
      </c>
      <c r="K1605" s="1" t="str">
        <f t="shared" si="73"/>
        <v/>
      </c>
      <c r="L1605" s="1" t="str">
        <f t="shared" si="74"/>
        <v/>
      </c>
      <c r="M1605" s="1">
        <f>IF(OR(Table1[[#This Row],[Std Nom]]="",Table1[[#This Row],[Std Read]]=""),0,Table1[[#This Row],[Std Nom]]-Table1[[#This Row],[Std Read]])</f>
        <v>0</v>
      </c>
      <c r="N1605" s="1">
        <f>IF(Calculations!$F$5="ACCREDITED 17025 WITH UNCERTAINTIES",$N$10,0)</f>
        <v>0</v>
      </c>
      <c r="O1605" s="1" t="str">
        <f>IFERROR(Table1[[#This Row],[Std Nom]]-(_xlfn.XLOOKUP(Table1[[#This Row],[Manufacturer]]&amp;" "&amp;Table1[[#This Row],[Model]],Table13[MFR &amp; MDL],Table13[Tolerance % CW ],"")/100*Table1[[#This Row],[Std Nom]]),"")</f>
        <v/>
      </c>
      <c r="P1605" s="1" t="str">
        <f>IFERROR(Table1[[#This Row],[Std Nom]]+(_xlfn.XLOOKUP(Table1[[#This Row],[Manufacturer]]&amp;" "&amp;Table1[[#This Row],[Model]],Table13[MFR &amp; MDL],Table13[Tolerance % CW ],"")/100*Table1[[#This Row],[Std Nom]]),"")</f>
        <v/>
      </c>
      <c r="Q1605" s="1" t="e">
        <f>Table1[[#This Row],[High Tol]]-Table1[[#This Row],[Low Tol]]</f>
        <v>#VALUE!</v>
      </c>
      <c r="R1605" s="1">
        <f>2*Table1[[#This Row],[Std Error]]</f>
        <v>0</v>
      </c>
      <c r="S1605" s="1" t="str">
        <f>IF(Table1[[#This Row],[High Tol]]="","N/A",IFERROR(ABS(Table1[[#This Row],[Tol Span]]/Table1[[#This Row],[Error Span]]),"N/A"))</f>
        <v>N/A</v>
      </c>
      <c r="T1605" s="1" t="str">
        <f>IF(OR(Table1[[#This Row],[Low Tol]]="",Table1[[#This Row],[High Tol]]=""),"Needs Analysis",IF(Table1[[#This Row],[Ratio]]&gt;=4,"Not Significant",IF(Table1[[#This Row],[Ratio]]&gt;=2,"Semi-Significant","Significant")))</f>
        <v>Needs Analysis</v>
      </c>
      <c r="W1605" s="1">
        <f>IF(Table1[[#This Row],[Cal Type]]&lt;&gt;"ACCREDITED 17025 WITH UNCERTAINTIES",0,"")</f>
        <v>0</v>
      </c>
      <c r="X1605" s="1" t="str">
        <f>IF(Table1[[#This Row],[DUT Read]]="","N/A",Table1[[#This Row],[Std Error]]+Table1[[#This Row],[DUT Read]]+Table1[[#This Row],[DUT Ucty]])</f>
        <v>N/A</v>
      </c>
      <c r="Y1605" s="1" t="str">
        <f>IF(Table1[[#This Row],[Std Read]]="","N/A",Table1[[#This Row],[Std Read]]+Table1[[#This Row],[Std Ucty]])</f>
        <v>N/A</v>
      </c>
      <c r="Z16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5" s="1" t="str">
        <f>IF(Table1[[#This Row],[Spec Type]]="","N/A",Table1[[#This Row],[Spec Type]])</f>
        <v>±</v>
      </c>
      <c r="AC1605" s="1" t="str">
        <f>IF(Table1[[#This Row],[Spec Type2]]="N/A","N/A",IF(AND(Table1[[#This Row],[DUT Adj Read]]&gt;=Table1[[#This Row],[Low Tol]],Table1[[#This Row],[DUT Adj Read]]&lt;=Table1[[#This Row],[High Tol]]),"Pass","Fail"))</f>
        <v>Fail</v>
      </c>
      <c r="AD1605" s="1" t="str">
        <f>IF(AND(Table1[[#This Row],[Spec Type2]]="N/A",Table1[[#This Row],[DUT Adj Read]]="N/A",Table1[[#This Row],[Std Adj Read]]="N/A"),"N/A",IF(Table1[[#This Row],[DUT Adj Read]]="N/A",IF(Table1[[#This Row],[Std Adj Read]]&gt;Table1[[#This Row],[Low Tol]],"Pass","Fail"),IF(Table1[[#This Row],[DUT Adj Read]]&gt;Table1[[#This Row],[Low Tol]],"Pass","Fail")))</f>
        <v>Pass</v>
      </c>
      <c r="AE1605" s="1" t="str">
        <f>IF(AND(Table1[[#This Row],[Spec Type2]]="N/A",Table1[[#This Row],[DUT Adj Read]]="N/A",Table1[[#This Row],[Std Adj Read]]="N/A"),"N/A",IF(Table1[[#This Row],[DUT Adj Read]]="N/A",IF(Table1[[#This Row],[Std Adj Read]]&lt;Table1[[#This Row],[High Tol]],"Pass","Fail"),IF(Table1[[#This Row],[DUT Adj Read]]&lt;Table1[[#This Row],[High Tol]],"Pass","Fail")))</f>
        <v>Fail</v>
      </c>
      <c r="AF1605" s="1" t="str">
        <f>IF(AND(Table1[[#This Row],[Spec Type2]]="N/A",Table1[[#This Row],[DUT Adj Read]]="N/A",Table1[[#This Row],[Std Adj Read]]="N/A"),"N/A",IF(Table1[[#This Row],[DUT Adj Read]]="N/A",IF(Table1[[#This Row],[Std Adj Read]]&gt;=Table1[[#This Row],[Low Tol]],"Pass","Fail"),IF(Table1[[#This Row],[DUT Adj Read]]&gt;=Table1[[#This Row],[Low Tol]],"Pass","Fail")))</f>
        <v>Pass</v>
      </c>
      <c r="AG1605" s="1" t="str">
        <f>IF(AND(Table1[[#This Row],[Spec Type2]]="N/A",Table1[[#This Row],[DUT Adj Read]]="N/A",Table1[[#This Row],[Std Adj Read]]="N/A"),"N/A",IF(Table1[[#This Row],[DUT Adj Read]]="N/A",IF(Table1[[#This Row],[Std Adj Read]]&lt;=Table1[[#This Row],[High Tol]],"Pass","Fail"),IF(Table1[[#This Row],[DUT Adj Read]]&lt;=Table1[[#This Row],[High Tol]],"Pass","Fail")))</f>
        <v>Fail</v>
      </c>
      <c r="AH16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5" s="1" t="b">
        <v>0</v>
      </c>
      <c r="AN1605" s="1" t="b">
        <v>0</v>
      </c>
      <c r="AO1605" s="1" t="b">
        <v>0</v>
      </c>
    </row>
    <row r="1606" spans="1:41" x14ac:dyDescent="0.25">
      <c r="A1606" s="10"/>
      <c r="B1606" s="10"/>
      <c r="C1606" s="10"/>
      <c r="D1606" s="10"/>
      <c r="E1606" s="10"/>
      <c r="F1606" s="10"/>
      <c r="G1606" s="10"/>
      <c r="H1606" s="10"/>
      <c r="I1606" s="1" t="str">
        <f t="shared" si="72"/>
        <v/>
      </c>
      <c r="J1606" s="1" t="s">
        <v>35</v>
      </c>
      <c r="K1606" s="1" t="str">
        <f t="shared" si="73"/>
        <v/>
      </c>
      <c r="L1606" s="1" t="str">
        <f t="shared" si="74"/>
        <v/>
      </c>
      <c r="M1606" s="1">
        <f>IF(OR(Table1[[#This Row],[Std Nom]]="",Table1[[#This Row],[Std Read]]=""),0,Table1[[#This Row],[Std Nom]]-Table1[[#This Row],[Std Read]])</f>
        <v>0</v>
      </c>
      <c r="N1606" s="1">
        <f>IF(Calculations!$F$5="ACCREDITED 17025 WITH UNCERTAINTIES",$N$10,0)</f>
        <v>0</v>
      </c>
      <c r="O1606" s="1" t="str">
        <f>IFERROR(Table1[[#This Row],[Std Nom]]-(_xlfn.XLOOKUP(Table1[[#This Row],[Manufacturer]]&amp;" "&amp;Table1[[#This Row],[Model]],Table13[MFR &amp; MDL],Table13[Tolerance % CW ],"")/100*Table1[[#This Row],[Std Nom]]),"")</f>
        <v/>
      </c>
      <c r="P1606" s="1" t="str">
        <f>IFERROR(Table1[[#This Row],[Std Nom]]+(_xlfn.XLOOKUP(Table1[[#This Row],[Manufacturer]]&amp;" "&amp;Table1[[#This Row],[Model]],Table13[MFR &amp; MDL],Table13[Tolerance % CW ],"")/100*Table1[[#This Row],[Std Nom]]),"")</f>
        <v/>
      </c>
      <c r="Q1606" s="1" t="e">
        <f>Table1[[#This Row],[High Tol]]-Table1[[#This Row],[Low Tol]]</f>
        <v>#VALUE!</v>
      </c>
      <c r="R1606" s="1">
        <f>2*Table1[[#This Row],[Std Error]]</f>
        <v>0</v>
      </c>
      <c r="S1606" s="1" t="str">
        <f>IF(Table1[[#This Row],[High Tol]]="","N/A",IFERROR(ABS(Table1[[#This Row],[Tol Span]]/Table1[[#This Row],[Error Span]]),"N/A"))</f>
        <v>N/A</v>
      </c>
      <c r="T1606" s="1" t="str">
        <f>IF(OR(Table1[[#This Row],[Low Tol]]="",Table1[[#This Row],[High Tol]]=""),"Needs Analysis",IF(Table1[[#This Row],[Ratio]]&gt;=4,"Not Significant",IF(Table1[[#This Row],[Ratio]]&gt;=2,"Semi-Significant","Significant")))</f>
        <v>Needs Analysis</v>
      </c>
      <c r="W1606" s="1">
        <f>IF(Table1[[#This Row],[Cal Type]]&lt;&gt;"ACCREDITED 17025 WITH UNCERTAINTIES",0,"")</f>
        <v>0</v>
      </c>
      <c r="X1606" s="1" t="str">
        <f>IF(Table1[[#This Row],[DUT Read]]="","N/A",Table1[[#This Row],[Std Error]]+Table1[[#This Row],[DUT Read]]+Table1[[#This Row],[DUT Ucty]])</f>
        <v>N/A</v>
      </c>
      <c r="Y1606" s="1" t="str">
        <f>IF(Table1[[#This Row],[Std Read]]="","N/A",Table1[[#This Row],[Std Read]]+Table1[[#This Row],[Std Ucty]])</f>
        <v>N/A</v>
      </c>
      <c r="Z16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6" s="1" t="str">
        <f>IF(Table1[[#This Row],[Spec Type]]="","N/A",Table1[[#This Row],[Spec Type]])</f>
        <v>±</v>
      </c>
      <c r="AC1606" s="1" t="str">
        <f>IF(Table1[[#This Row],[Spec Type2]]="N/A","N/A",IF(AND(Table1[[#This Row],[DUT Adj Read]]&gt;=Table1[[#This Row],[Low Tol]],Table1[[#This Row],[DUT Adj Read]]&lt;=Table1[[#This Row],[High Tol]]),"Pass","Fail"))</f>
        <v>Fail</v>
      </c>
      <c r="AD1606" s="1" t="str">
        <f>IF(AND(Table1[[#This Row],[Spec Type2]]="N/A",Table1[[#This Row],[DUT Adj Read]]="N/A",Table1[[#This Row],[Std Adj Read]]="N/A"),"N/A",IF(Table1[[#This Row],[DUT Adj Read]]="N/A",IF(Table1[[#This Row],[Std Adj Read]]&gt;Table1[[#This Row],[Low Tol]],"Pass","Fail"),IF(Table1[[#This Row],[DUT Adj Read]]&gt;Table1[[#This Row],[Low Tol]],"Pass","Fail")))</f>
        <v>Pass</v>
      </c>
      <c r="AE1606" s="1" t="str">
        <f>IF(AND(Table1[[#This Row],[Spec Type2]]="N/A",Table1[[#This Row],[DUT Adj Read]]="N/A",Table1[[#This Row],[Std Adj Read]]="N/A"),"N/A",IF(Table1[[#This Row],[DUT Adj Read]]="N/A",IF(Table1[[#This Row],[Std Adj Read]]&lt;Table1[[#This Row],[High Tol]],"Pass","Fail"),IF(Table1[[#This Row],[DUT Adj Read]]&lt;Table1[[#This Row],[High Tol]],"Pass","Fail")))</f>
        <v>Fail</v>
      </c>
      <c r="AF1606" s="1" t="str">
        <f>IF(AND(Table1[[#This Row],[Spec Type2]]="N/A",Table1[[#This Row],[DUT Adj Read]]="N/A",Table1[[#This Row],[Std Adj Read]]="N/A"),"N/A",IF(Table1[[#This Row],[DUT Adj Read]]="N/A",IF(Table1[[#This Row],[Std Adj Read]]&gt;=Table1[[#This Row],[Low Tol]],"Pass","Fail"),IF(Table1[[#This Row],[DUT Adj Read]]&gt;=Table1[[#This Row],[Low Tol]],"Pass","Fail")))</f>
        <v>Pass</v>
      </c>
      <c r="AG1606" s="1" t="str">
        <f>IF(AND(Table1[[#This Row],[Spec Type2]]="N/A",Table1[[#This Row],[DUT Adj Read]]="N/A",Table1[[#This Row],[Std Adj Read]]="N/A"),"N/A",IF(Table1[[#This Row],[DUT Adj Read]]="N/A",IF(Table1[[#This Row],[Std Adj Read]]&lt;=Table1[[#This Row],[High Tol]],"Pass","Fail"),IF(Table1[[#This Row],[DUT Adj Read]]&lt;=Table1[[#This Row],[High Tol]],"Pass","Fail")))</f>
        <v>Fail</v>
      </c>
      <c r="AH16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6" s="1" t="b">
        <v>0</v>
      </c>
      <c r="AN1606" s="1" t="b">
        <v>0</v>
      </c>
      <c r="AO1606" s="1" t="b">
        <v>0</v>
      </c>
    </row>
    <row r="1607" spans="1:41" x14ac:dyDescent="0.25">
      <c r="A1607" s="10"/>
      <c r="B1607" s="10"/>
      <c r="C1607" s="10"/>
      <c r="D1607" s="10"/>
      <c r="E1607" s="10"/>
      <c r="F1607" s="10"/>
      <c r="G1607" s="10"/>
      <c r="H1607" s="10"/>
      <c r="I1607" s="1" t="str">
        <f t="shared" si="72"/>
        <v/>
      </c>
      <c r="J1607" s="1" t="s">
        <v>35</v>
      </c>
      <c r="K1607" s="1" t="str">
        <f t="shared" si="73"/>
        <v/>
      </c>
      <c r="L1607" s="1" t="str">
        <f t="shared" si="74"/>
        <v/>
      </c>
      <c r="M1607" s="1">
        <f>IF(OR(Table1[[#This Row],[Std Nom]]="",Table1[[#This Row],[Std Read]]=""),0,Table1[[#This Row],[Std Nom]]-Table1[[#This Row],[Std Read]])</f>
        <v>0</v>
      </c>
      <c r="N1607" s="1">
        <f>IF(Calculations!$F$5="ACCREDITED 17025 WITH UNCERTAINTIES",$N$10,0)</f>
        <v>0</v>
      </c>
      <c r="O1607" s="1" t="str">
        <f>IFERROR(Table1[[#This Row],[Std Nom]]-(_xlfn.XLOOKUP(Table1[[#This Row],[Manufacturer]]&amp;" "&amp;Table1[[#This Row],[Model]],Table13[MFR &amp; MDL],Table13[Tolerance % CW ],"")/100*Table1[[#This Row],[Std Nom]]),"")</f>
        <v/>
      </c>
      <c r="P1607" s="1" t="str">
        <f>IFERROR(Table1[[#This Row],[Std Nom]]+(_xlfn.XLOOKUP(Table1[[#This Row],[Manufacturer]]&amp;" "&amp;Table1[[#This Row],[Model]],Table13[MFR &amp; MDL],Table13[Tolerance % CW ],"")/100*Table1[[#This Row],[Std Nom]]),"")</f>
        <v/>
      </c>
      <c r="Q1607" s="1" t="e">
        <f>Table1[[#This Row],[High Tol]]-Table1[[#This Row],[Low Tol]]</f>
        <v>#VALUE!</v>
      </c>
      <c r="R1607" s="1">
        <f>2*Table1[[#This Row],[Std Error]]</f>
        <v>0</v>
      </c>
      <c r="S1607" s="1" t="str">
        <f>IF(Table1[[#This Row],[High Tol]]="","N/A",IFERROR(ABS(Table1[[#This Row],[Tol Span]]/Table1[[#This Row],[Error Span]]),"N/A"))</f>
        <v>N/A</v>
      </c>
      <c r="T1607" s="1" t="str">
        <f>IF(OR(Table1[[#This Row],[Low Tol]]="",Table1[[#This Row],[High Tol]]=""),"Needs Analysis",IF(Table1[[#This Row],[Ratio]]&gt;=4,"Not Significant",IF(Table1[[#This Row],[Ratio]]&gt;=2,"Semi-Significant","Significant")))</f>
        <v>Needs Analysis</v>
      </c>
      <c r="W1607" s="1">
        <f>IF(Table1[[#This Row],[Cal Type]]&lt;&gt;"ACCREDITED 17025 WITH UNCERTAINTIES",0,"")</f>
        <v>0</v>
      </c>
      <c r="X1607" s="1" t="str">
        <f>IF(Table1[[#This Row],[DUT Read]]="","N/A",Table1[[#This Row],[Std Error]]+Table1[[#This Row],[DUT Read]]+Table1[[#This Row],[DUT Ucty]])</f>
        <v>N/A</v>
      </c>
      <c r="Y1607" s="1" t="str">
        <f>IF(Table1[[#This Row],[Std Read]]="","N/A",Table1[[#This Row],[Std Read]]+Table1[[#This Row],[Std Ucty]])</f>
        <v>N/A</v>
      </c>
      <c r="Z16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7" s="1" t="str">
        <f>IF(Table1[[#This Row],[Spec Type]]="","N/A",Table1[[#This Row],[Spec Type]])</f>
        <v>±</v>
      </c>
      <c r="AC1607" s="1" t="str">
        <f>IF(Table1[[#This Row],[Spec Type2]]="N/A","N/A",IF(AND(Table1[[#This Row],[DUT Adj Read]]&gt;=Table1[[#This Row],[Low Tol]],Table1[[#This Row],[DUT Adj Read]]&lt;=Table1[[#This Row],[High Tol]]),"Pass","Fail"))</f>
        <v>Fail</v>
      </c>
      <c r="AD1607" s="1" t="str">
        <f>IF(AND(Table1[[#This Row],[Spec Type2]]="N/A",Table1[[#This Row],[DUT Adj Read]]="N/A",Table1[[#This Row],[Std Adj Read]]="N/A"),"N/A",IF(Table1[[#This Row],[DUT Adj Read]]="N/A",IF(Table1[[#This Row],[Std Adj Read]]&gt;Table1[[#This Row],[Low Tol]],"Pass","Fail"),IF(Table1[[#This Row],[DUT Adj Read]]&gt;Table1[[#This Row],[Low Tol]],"Pass","Fail")))</f>
        <v>Pass</v>
      </c>
      <c r="AE1607" s="1" t="str">
        <f>IF(AND(Table1[[#This Row],[Spec Type2]]="N/A",Table1[[#This Row],[DUT Adj Read]]="N/A",Table1[[#This Row],[Std Adj Read]]="N/A"),"N/A",IF(Table1[[#This Row],[DUT Adj Read]]="N/A",IF(Table1[[#This Row],[Std Adj Read]]&lt;Table1[[#This Row],[High Tol]],"Pass","Fail"),IF(Table1[[#This Row],[DUT Adj Read]]&lt;Table1[[#This Row],[High Tol]],"Pass","Fail")))</f>
        <v>Fail</v>
      </c>
      <c r="AF1607" s="1" t="str">
        <f>IF(AND(Table1[[#This Row],[Spec Type2]]="N/A",Table1[[#This Row],[DUT Adj Read]]="N/A",Table1[[#This Row],[Std Adj Read]]="N/A"),"N/A",IF(Table1[[#This Row],[DUT Adj Read]]="N/A",IF(Table1[[#This Row],[Std Adj Read]]&gt;=Table1[[#This Row],[Low Tol]],"Pass","Fail"),IF(Table1[[#This Row],[DUT Adj Read]]&gt;=Table1[[#This Row],[Low Tol]],"Pass","Fail")))</f>
        <v>Pass</v>
      </c>
      <c r="AG1607" s="1" t="str">
        <f>IF(AND(Table1[[#This Row],[Spec Type2]]="N/A",Table1[[#This Row],[DUT Adj Read]]="N/A",Table1[[#This Row],[Std Adj Read]]="N/A"),"N/A",IF(Table1[[#This Row],[DUT Adj Read]]="N/A",IF(Table1[[#This Row],[Std Adj Read]]&lt;=Table1[[#This Row],[High Tol]],"Pass","Fail"),IF(Table1[[#This Row],[DUT Adj Read]]&lt;=Table1[[#This Row],[High Tol]],"Pass","Fail")))</f>
        <v>Fail</v>
      </c>
      <c r="AH16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7" s="1" t="b">
        <v>0</v>
      </c>
      <c r="AN1607" s="1" t="b">
        <v>0</v>
      </c>
      <c r="AO1607" s="1" t="b">
        <v>0</v>
      </c>
    </row>
    <row r="1608" spans="1:41" x14ac:dyDescent="0.25">
      <c r="A1608" s="10"/>
      <c r="B1608" s="10"/>
      <c r="C1608" s="10"/>
      <c r="D1608" s="10"/>
      <c r="E1608" s="10"/>
      <c r="F1608" s="10"/>
      <c r="G1608" s="10"/>
      <c r="H1608" s="10"/>
      <c r="I1608" s="1" t="str">
        <f t="shared" si="72"/>
        <v/>
      </c>
      <c r="J1608" s="1" t="s">
        <v>35</v>
      </c>
      <c r="K1608" s="1" t="str">
        <f t="shared" si="73"/>
        <v/>
      </c>
      <c r="L1608" s="1" t="str">
        <f t="shared" si="74"/>
        <v/>
      </c>
      <c r="M1608" s="1">
        <f>IF(OR(Table1[[#This Row],[Std Nom]]="",Table1[[#This Row],[Std Read]]=""),0,Table1[[#This Row],[Std Nom]]-Table1[[#This Row],[Std Read]])</f>
        <v>0</v>
      </c>
      <c r="N1608" s="1">
        <f>IF(Calculations!$F$5="ACCREDITED 17025 WITH UNCERTAINTIES",$N$10,0)</f>
        <v>0</v>
      </c>
      <c r="O1608" s="1" t="str">
        <f>IFERROR(Table1[[#This Row],[Std Nom]]-(_xlfn.XLOOKUP(Table1[[#This Row],[Manufacturer]]&amp;" "&amp;Table1[[#This Row],[Model]],Table13[MFR &amp; MDL],Table13[Tolerance % CW ],"")/100*Table1[[#This Row],[Std Nom]]),"")</f>
        <v/>
      </c>
      <c r="P1608" s="1" t="str">
        <f>IFERROR(Table1[[#This Row],[Std Nom]]+(_xlfn.XLOOKUP(Table1[[#This Row],[Manufacturer]]&amp;" "&amp;Table1[[#This Row],[Model]],Table13[MFR &amp; MDL],Table13[Tolerance % CW ],"")/100*Table1[[#This Row],[Std Nom]]),"")</f>
        <v/>
      </c>
      <c r="Q1608" s="1" t="e">
        <f>Table1[[#This Row],[High Tol]]-Table1[[#This Row],[Low Tol]]</f>
        <v>#VALUE!</v>
      </c>
      <c r="R1608" s="1">
        <f>2*Table1[[#This Row],[Std Error]]</f>
        <v>0</v>
      </c>
      <c r="S1608" s="1" t="str">
        <f>IF(Table1[[#This Row],[High Tol]]="","N/A",IFERROR(ABS(Table1[[#This Row],[Tol Span]]/Table1[[#This Row],[Error Span]]),"N/A"))</f>
        <v>N/A</v>
      </c>
      <c r="T1608" s="1" t="str">
        <f>IF(OR(Table1[[#This Row],[Low Tol]]="",Table1[[#This Row],[High Tol]]=""),"Needs Analysis",IF(Table1[[#This Row],[Ratio]]&gt;=4,"Not Significant",IF(Table1[[#This Row],[Ratio]]&gt;=2,"Semi-Significant","Significant")))</f>
        <v>Needs Analysis</v>
      </c>
      <c r="W1608" s="1">
        <f>IF(Table1[[#This Row],[Cal Type]]&lt;&gt;"ACCREDITED 17025 WITH UNCERTAINTIES",0,"")</f>
        <v>0</v>
      </c>
      <c r="X1608" s="1" t="str">
        <f>IF(Table1[[#This Row],[DUT Read]]="","N/A",Table1[[#This Row],[Std Error]]+Table1[[#This Row],[DUT Read]]+Table1[[#This Row],[DUT Ucty]])</f>
        <v>N/A</v>
      </c>
      <c r="Y1608" s="1" t="str">
        <f>IF(Table1[[#This Row],[Std Read]]="","N/A",Table1[[#This Row],[Std Read]]+Table1[[#This Row],[Std Ucty]])</f>
        <v>N/A</v>
      </c>
      <c r="Z16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8" s="1" t="str">
        <f>IF(Table1[[#This Row],[Spec Type]]="","N/A",Table1[[#This Row],[Spec Type]])</f>
        <v>±</v>
      </c>
      <c r="AC1608" s="1" t="str">
        <f>IF(Table1[[#This Row],[Spec Type2]]="N/A","N/A",IF(AND(Table1[[#This Row],[DUT Adj Read]]&gt;=Table1[[#This Row],[Low Tol]],Table1[[#This Row],[DUT Adj Read]]&lt;=Table1[[#This Row],[High Tol]]),"Pass","Fail"))</f>
        <v>Fail</v>
      </c>
      <c r="AD1608" s="1" t="str">
        <f>IF(AND(Table1[[#This Row],[Spec Type2]]="N/A",Table1[[#This Row],[DUT Adj Read]]="N/A",Table1[[#This Row],[Std Adj Read]]="N/A"),"N/A",IF(Table1[[#This Row],[DUT Adj Read]]="N/A",IF(Table1[[#This Row],[Std Adj Read]]&gt;Table1[[#This Row],[Low Tol]],"Pass","Fail"),IF(Table1[[#This Row],[DUT Adj Read]]&gt;Table1[[#This Row],[Low Tol]],"Pass","Fail")))</f>
        <v>Pass</v>
      </c>
      <c r="AE1608" s="1" t="str">
        <f>IF(AND(Table1[[#This Row],[Spec Type2]]="N/A",Table1[[#This Row],[DUT Adj Read]]="N/A",Table1[[#This Row],[Std Adj Read]]="N/A"),"N/A",IF(Table1[[#This Row],[DUT Adj Read]]="N/A",IF(Table1[[#This Row],[Std Adj Read]]&lt;Table1[[#This Row],[High Tol]],"Pass","Fail"),IF(Table1[[#This Row],[DUT Adj Read]]&lt;Table1[[#This Row],[High Tol]],"Pass","Fail")))</f>
        <v>Fail</v>
      </c>
      <c r="AF1608" s="1" t="str">
        <f>IF(AND(Table1[[#This Row],[Spec Type2]]="N/A",Table1[[#This Row],[DUT Adj Read]]="N/A",Table1[[#This Row],[Std Adj Read]]="N/A"),"N/A",IF(Table1[[#This Row],[DUT Adj Read]]="N/A",IF(Table1[[#This Row],[Std Adj Read]]&gt;=Table1[[#This Row],[Low Tol]],"Pass","Fail"),IF(Table1[[#This Row],[DUT Adj Read]]&gt;=Table1[[#This Row],[Low Tol]],"Pass","Fail")))</f>
        <v>Pass</v>
      </c>
      <c r="AG1608" s="1" t="str">
        <f>IF(AND(Table1[[#This Row],[Spec Type2]]="N/A",Table1[[#This Row],[DUT Adj Read]]="N/A",Table1[[#This Row],[Std Adj Read]]="N/A"),"N/A",IF(Table1[[#This Row],[DUT Adj Read]]="N/A",IF(Table1[[#This Row],[Std Adj Read]]&lt;=Table1[[#This Row],[High Tol]],"Pass","Fail"),IF(Table1[[#This Row],[DUT Adj Read]]&lt;=Table1[[#This Row],[High Tol]],"Pass","Fail")))</f>
        <v>Fail</v>
      </c>
      <c r="AH16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8" s="1" t="b">
        <v>0</v>
      </c>
      <c r="AN1608" s="1" t="b">
        <v>0</v>
      </c>
      <c r="AO1608" s="1" t="b">
        <v>0</v>
      </c>
    </row>
    <row r="1609" spans="1:41" x14ac:dyDescent="0.25">
      <c r="A1609" s="10"/>
      <c r="B1609" s="10"/>
      <c r="C1609" s="10"/>
      <c r="D1609" s="10"/>
      <c r="E1609" s="10"/>
      <c r="F1609" s="10"/>
      <c r="G1609" s="10"/>
      <c r="H1609" s="10"/>
      <c r="I1609" s="1" t="str">
        <f t="shared" si="72"/>
        <v/>
      </c>
      <c r="J1609" s="1" t="s">
        <v>35</v>
      </c>
      <c r="K1609" s="1" t="str">
        <f t="shared" si="73"/>
        <v/>
      </c>
      <c r="L1609" s="1" t="str">
        <f t="shared" si="74"/>
        <v/>
      </c>
      <c r="M1609" s="1">
        <f>IF(OR(Table1[[#This Row],[Std Nom]]="",Table1[[#This Row],[Std Read]]=""),0,Table1[[#This Row],[Std Nom]]-Table1[[#This Row],[Std Read]])</f>
        <v>0</v>
      </c>
      <c r="N1609" s="1">
        <f>IF(Calculations!$F$5="ACCREDITED 17025 WITH UNCERTAINTIES",$N$10,0)</f>
        <v>0</v>
      </c>
      <c r="O1609" s="1" t="str">
        <f>IFERROR(Table1[[#This Row],[Std Nom]]-(_xlfn.XLOOKUP(Table1[[#This Row],[Manufacturer]]&amp;" "&amp;Table1[[#This Row],[Model]],Table13[MFR &amp; MDL],Table13[Tolerance % CW ],"")/100*Table1[[#This Row],[Std Nom]]),"")</f>
        <v/>
      </c>
      <c r="P1609" s="1" t="str">
        <f>IFERROR(Table1[[#This Row],[Std Nom]]+(_xlfn.XLOOKUP(Table1[[#This Row],[Manufacturer]]&amp;" "&amp;Table1[[#This Row],[Model]],Table13[MFR &amp; MDL],Table13[Tolerance % CW ],"")/100*Table1[[#This Row],[Std Nom]]),"")</f>
        <v/>
      </c>
      <c r="Q1609" s="1" t="e">
        <f>Table1[[#This Row],[High Tol]]-Table1[[#This Row],[Low Tol]]</f>
        <v>#VALUE!</v>
      </c>
      <c r="R1609" s="1">
        <f>2*Table1[[#This Row],[Std Error]]</f>
        <v>0</v>
      </c>
      <c r="S1609" s="1" t="str">
        <f>IF(Table1[[#This Row],[High Tol]]="","N/A",IFERROR(ABS(Table1[[#This Row],[Tol Span]]/Table1[[#This Row],[Error Span]]),"N/A"))</f>
        <v>N/A</v>
      </c>
      <c r="T1609" s="1" t="str">
        <f>IF(OR(Table1[[#This Row],[Low Tol]]="",Table1[[#This Row],[High Tol]]=""),"Needs Analysis",IF(Table1[[#This Row],[Ratio]]&gt;=4,"Not Significant",IF(Table1[[#This Row],[Ratio]]&gt;=2,"Semi-Significant","Significant")))</f>
        <v>Needs Analysis</v>
      </c>
      <c r="W1609" s="1">
        <f>IF(Table1[[#This Row],[Cal Type]]&lt;&gt;"ACCREDITED 17025 WITH UNCERTAINTIES",0,"")</f>
        <v>0</v>
      </c>
      <c r="X1609" s="1" t="str">
        <f>IF(Table1[[#This Row],[DUT Read]]="","N/A",Table1[[#This Row],[Std Error]]+Table1[[#This Row],[DUT Read]]+Table1[[#This Row],[DUT Ucty]])</f>
        <v>N/A</v>
      </c>
      <c r="Y1609" s="1" t="str">
        <f>IF(Table1[[#This Row],[Std Read]]="","N/A",Table1[[#This Row],[Std Read]]+Table1[[#This Row],[Std Ucty]])</f>
        <v>N/A</v>
      </c>
      <c r="Z16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9" s="1" t="str">
        <f>IF(Table1[[#This Row],[Spec Type]]="","N/A",Table1[[#This Row],[Spec Type]])</f>
        <v>±</v>
      </c>
      <c r="AC1609" s="1" t="str">
        <f>IF(Table1[[#This Row],[Spec Type2]]="N/A","N/A",IF(AND(Table1[[#This Row],[DUT Adj Read]]&gt;=Table1[[#This Row],[Low Tol]],Table1[[#This Row],[DUT Adj Read]]&lt;=Table1[[#This Row],[High Tol]]),"Pass","Fail"))</f>
        <v>Fail</v>
      </c>
      <c r="AD1609" s="1" t="str">
        <f>IF(AND(Table1[[#This Row],[Spec Type2]]="N/A",Table1[[#This Row],[DUT Adj Read]]="N/A",Table1[[#This Row],[Std Adj Read]]="N/A"),"N/A",IF(Table1[[#This Row],[DUT Adj Read]]="N/A",IF(Table1[[#This Row],[Std Adj Read]]&gt;Table1[[#This Row],[Low Tol]],"Pass","Fail"),IF(Table1[[#This Row],[DUT Adj Read]]&gt;Table1[[#This Row],[Low Tol]],"Pass","Fail")))</f>
        <v>Pass</v>
      </c>
      <c r="AE1609" s="1" t="str">
        <f>IF(AND(Table1[[#This Row],[Spec Type2]]="N/A",Table1[[#This Row],[DUT Adj Read]]="N/A",Table1[[#This Row],[Std Adj Read]]="N/A"),"N/A",IF(Table1[[#This Row],[DUT Adj Read]]="N/A",IF(Table1[[#This Row],[Std Adj Read]]&lt;Table1[[#This Row],[High Tol]],"Pass","Fail"),IF(Table1[[#This Row],[DUT Adj Read]]&lt;Table1[[#This Row],[High Tol]],"Pass","Fail")))</f>
        <v>Fail</v>
      </c>
      <c r="AF1609" s="1" t="str">
        <f>IF(AND(Table1[[#This Row],[Spec Type2]]="N/A",Table1[[#This Row],[DUT Adj Read]]="N/A",Table1[[#This Row],[Std Adj Read]]="N/A"),"N/A",IF(Table1[[#This Row],[DUT Adj Read]]="N/A",IF(Table1[[#This Row],[Std Adj Read]]&gt;=Table1[[#This Row],[Low Tol]],"Pass","Fail"),IF(Table1[[#This Row],[DUT Adj Read]]&gt;=Table1[[#This Row],[Low Tol]],"Pass","Fail")))</f>
        <v>Pass</v>
      </c>
      <c r="AG1609" s="1" t="str">
        <f>IF(AND(Table1[[#This Row],[Spec Type2]]="N/A",Table1[[#This Row],[DUT Adj Read]]="N/A",Table1[[#This Row],[Std Adj Read]]="N/A"),"N/A",IF(Table1[[#This Row],[DUT Adj Read]]="N/A",IF(Table1[[#This Row],[Std Adj Read]]&lt;=Table1[[#This Row],[High Tol]],"Pass","Fail"),IF(Table1[[#This Row],[DUT Adj Read]]&lt;=Table1[[#This Row],[High Tol]],"Pass","Fail")))</f>
        <v>Fail</v>
      </c>
      <c r="AH16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9" s="1" t="b">
        <v>0</v>
      </c>
      <c r="AN1609" s="1" t="b">
        <v>0</v>
      </c>
      <c r="AO1609" s="1" t="b">
        <v>0</v>
      </c>
    </row>
    <row r="1610" spans="1:41" x14ac:dyDescent="0.25">
      <c r="A1610" s="10"/>
      <c r="B1610" s="10"/>
      <c r="C1610" s="10"/>
      <c r="D1610" s="10"/>
      <c r="E1610" s="10"/>
      <c r="F1610" s="10"/>
      <c r="G1610" s="10"/>
      <c r="H1610" s="10"/>
      <c r="I1610" s="1" t="str">
        <f t="shared" si="72"/>
        <v/>
      </c>
      <c r="J1610" s="1" t="s">
        <v>35</v>
      </c>
      <c r="K1610" s="1" t="str">
        <f t="shared" si="73"/>
        <v/>
      </c>
      <c r="L1610" s="1" t="str">
        <f t="shared" si="74"/>
        <v/>
      </c>
      <c r="M1610" s="1">
        <f>IF(OR(Table1[[#This Row],[Std Nom]]="",Table1[[#This Row],[Std Read]]=""),0,Table1[[#This Row],[Std Nom]]-Table1[[#This Row],[Std Read]])</f>
        <v>0</v>
      </c>
      <c r="N1610" s="1">
        <f>IF(Calculations!$F$5="ACCREDITED 17025 WITH UNCERTAINTIES",$N$10,0)</f>
        <v>0</v>
      </c>
      <c r="O1610" s="1" t="str">
        <f>IFERROR(Table1[[#This Row],[Std Nom]]-(_xlfn.XLOOKUP(Table1[[#This Row],[Manufacturer]]&amp;" "&amp;Table1[[#This Row],[Model]],Table13[MFR &amp; MDL],Table13[Tolerance % CW ],"")/100*Table1[[#This Row],[Std Nom]]),"")</f>
        <v/>
      </c>
      <c r="P1610" s="1" t="str">
        <f>IFERROR(Table1[[#This Row],[Std Nom]]+(_xlfn.XLOOKUP(Table1[[#This Row],[Manufacturer]]&amp;" "&amp;Table1[[#This Row],[Model]],Table13[MFR &amp; MDL],Table13[Tolerance % CW ],"")/100*Table1[[#This Row],[Std Nom]]),"")</f>
        <v/>
      </c>
      <c r="Q1610" s="1" t="e">
        <f>Table1[[#This Row],[High Tol]]-Table1[[#This Row],[Low Tol]]</f>
        <v>#VALUE!</v>
      </c>
      <c r="R1610" s="1">
        <f>2*Table1[[#This Row],[Std Error]]</f>
        <v>0</v>
      </c>
      <c r="S1610" s="1" t="str">
        <f>IF(Table1[[#This Row],[High Tol]]="","N/A",IFERROR(ABS(Table1[[#This Row],[Tol Span]]/Table1[[#This Row],[Error Span]]),"N/A"))</f>
        <v>N/A</v>
      </c>
      <c r="T1610" s="1" t="str">
        <f>IF(OR(Table1[[#This Row],[Low Tol]]="",Table1[[#This Row],[High Tol]]=""),"Needs Analysis",IF(Table1[[#This Row],[Ratio]]&gt;=4,"Not Significant",IF(Table1[[#This Row],[Ratio]]&gt;=2,"Semi-Significant","Significant")))</f>
        <v>Needs Analysis</v>
      </c>
      <c r="W1610" s="1">
        <f>IF(Table1[[#This Row],[Cal Type]]&lt;&gt;"ACCREDITED 17025 WITH UNCERTAINTIES",0,"")</f>
        <v>0</v>
      </c>
      <c r="X1610" s="1" t="str">
        <f>IF(Table1[[#This Row],[DUT Read]]="","N/A",Table1[[#This Row],[Std Error]]+Table1[[#This Row],[DUT Read]]+Table1[[#This Row],[DUT Ucty]])</f>
        <v>N/A</v>
      </c>
      <c r="Y1610" s="1" t="str">
        <f>IF(Table1[[#This Row],[Std Read]]="","N/A",Table1[[#This Row],[Std Read]]+Table1[[#This Row],[Std Ucty]])</f>
        <v>N/A</v>
      </c>
      <c r="Z16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0" s="1" t="str">
        <f>IF(Table1[[#This Row],[Spec Type]]="","N/A",Table1[[#This Row],[Spec Type]])</f>
        <v>±</v>
      </c>
      <c r="AC1610" s="1" t="str">
        <f>IF(Table1[[#This Row],[Spec Type2]]="N/A","N/A",IF(AND(Table1[[#This Row],[DUT Adj Read]]&gt;=Table1[[#This Row],[Low Tol]],Table1[[#This Row],[DUT Adj Read]]&lt;=Table1[[#This Row],[High Tol]]),"Pass","Fail"))</f>
        <v>Fail</v>
      </c>
      <c r="AD1610" s="1" t="str">
        <f>IF(AND(Table1[[#This Row],[Spec Type2]]="N/A",Table1[[#This Row],[DUT Adj Read]]="N/A",Table1[[#This Row],[Std Adj Read]]="N/A"),"N/A",IF(Table1[[#This Row],[DUT Adj Read]]="N/A",IF(Table1[[#This Row],[Std Adj Read]]&gt;Table1[[#This Row],[Low Tol]],"Pass","Fail"),IF(Table1[[#This Row],[DUT Adj Read]]&gt;Table1[[#This Row],[Low Tol]],"Pass","Fail")))</f>
        <v>Pass</v>
      </c>
      <c r="AE1610" s="1" t="str">
        <f>IF(AND(Table1[[#This Row],[Spec Type2]]="N/A",Table1[[#This Row],[DUT Adj Read]]="N/A",Table1[[#This Row],[Std Adj Read]]="N/A"),"N/A",IF(Table1[[#This Row],[DUT Adj Read]]="N/A",IF(Table1[[#This Row],[Std Adj Read]]&lt;Table1[[#This Row],[High Tol]],"Pass","Fail"),IF(Table1[[#This Row],[DUT Adj Read]]&lt;Table1[[#This Row],[High Tol]],"Pass","Fail")))</f>
        <v>Fail</v>
      </c>
      <c r="AF1610" s="1" t="str">
        <f>IF(AND(Table1[[#This Row],[Spec Type2]]="N/A",Table1[[#This Row],[DUT Adj Read]]="N/A",Table1[[#This Row],[Std Adj Read]]="N/A"),"N/A",IF(Table1[[#This Row],[DUT Adj Read]]="N/A",IF(Table1[[#This Row],[Std Adj Read]]&gt;=Table1[[#This Row],[Low Tol]],"Pass","Fail"),IF(Table1[[#This Row],[DUT Adj Read]]&gt;=Table1[[#This Row],[Low Tol]],"Pass","Fail")))</f>
        <v>Pass</v>
      </c>
      <c r="AG1610" s="1" t="str">
        <f>IF(AND(Table1[[#This Row],[Spec Type2]]="N/A",Table1[[#This Row],[DUT Adj Read]]="N/A",Table1[[#This Row],[Std Adj Read]]="N/A"),"N/A",IF(Table1[[#This Row],[DUT Adj Read]]="N/A",IF(Table1[[#This Row],[Std Adj Read]]&lt;=Table1[[#This Row],[High Tol]],"Pass","Fail"),IF(Table1[[#This Row],[DUT Adj Read]]&lt;=Table1[[#This Row],[High Tol]],"Pass","Fail")))</f>
        <v>Fail</v>
      </c>
      <c r="AH16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0" s="1" t="b">
        <v>0</v>
      </c>
      <c r="AN1610" s="1" t="b">
        <v>0</v>
      </c>
      <c r="AO1610" s="1" t="b">
        <v>0</v>
      </c>
    </row>
    <row r="1611" spans="1:41" x14ac:dyDescent="0.25">
      <c r="A1611" s="10"/>
      <c r="B1611" s="10"/>
      <c r="C1611" s="10"/>
      <c r="D1611" s="10"/>
      <c r="E1611" s="10"/>
      <c r="F1611" s="10"/>
      <c r="G1611" s="10"/>
      <c r="H1611" s="10"/>
      <c r="I1611" s="1" t="str">
        <f t="shared" ref="I1611:I1674" si="75">IF($I$10="","",$I$10)</f>
        <v/>
      </c>
      <c r="J1611" s="1" t="s">
        <v>35</v>
      </c>
      <c r="K1611" s="1" t="str">
        <f t="shared" ref="K1611:K1674" si="76">IF($K$10="","",$K$10)</f>
        <v/>
      </c>
      <c r="L1611" s="1" t="str">
        <f t="shared" ref="L1611:L1674" si="77">IF($L$10="","",$L$10)</f>
        <v/>
      </c>
      <c r="M1611" s="1">
        <f>IF(OR(Table1[[#This Row],[Std Nom]]="",Table1[[#This Row],[Std Read]]=""),0,Table1[[#This Row],[Std Nom]]-Table1[[#This Row],[Std Read]])</f>
        <v>0</v>
      </c>
      <c r="N1611" s="1">
        <f>IF(Calculations!$F$5="ACCREDITED 17025 WITH UNCERTAINTIES",$N$10,0)</f>
        <v>0</v>
      </c>
      <c r="O1611" s="1" t="str">
        <f>IFERROR(Table1[[#This Row],[Std Nom]]-(_xlfn.XLOOKUP(Table1[[#This Row],[Manufacturer]]&amp;" "&amp;Table1[[#This Row],[Model]],Table13[MFR &amp; MDL],Table13[Tolerance % CW ],"")/100*Table1[[#This Row],[Std Nom]]),"")</f>
        <v/>
      </c>
      <c r="P1611" s="1" t="str">
        <f>IFERROR(Table1[[#This Row],[Std Nom]]+(_xlfn.XLOOKUP(Table1[[#This Row],[Manufacturer]]&amp;" "&amp;Table1[[#This Row],[Model]],Table13[MFR &amp; MDL],Table13[Tolerance % CW ],"")/100*Table1[[#This Row],[Std Nom]]),"")</f>
        <v/>
      </c>
      <c r="Q1611" s="1" t="e">
        <f>Table1[[#This Row],[High Tol]]-Table1[[#This Row],[Low Tol]]</f>
        <v>#VALUE!</v>
      </c>
      <c r="R1611" s="1">
        <f>2*Table1[[#This Row],[Std Error]]</f>
        <v>0</v>
      </c>
      <c r="S1611" s="1" t="str">
        <f>IF(Table1[[#This Row],[High Tol]]="","N/A",IFERROR(ABS(Table1[[#This Row],[Tol Span]]/Table1[[#This Row],[Error Span]]),"N/A"))</f>
        <v>N/A</v>
      </c>
      <c r="T1611" s="1" t="str">
        <f>IF(OR(Table1[[#This Row],[Low Tol]]="",Table1[[#This Row],[High Tol]]=""),"Needs Analysis",IF(Table1[[#This Row],[Ratio]]&gt;=4,"Not Significant",IF(Table1[[#This Row],[Ratio]]&gt;=2,"Semi-Significant","Significant")))</f>
        <v>Needs Analysis</v>
      </c>
      <c r="W1611" s="1">
        <f>IF(Table1[[#This Row],[Cal Type]]&lt;&gt;"ACCREDITED 17025 WITH UNCERTAINTIES",0,"")</f>
        <v>0</v>
      </c>
      <c r="X1611" s="1" t="str">
        <f>IF(Table1[[#This Row],[DUT Read]]="","N/A",Table1[[#This Row],[Std Error]]+Table1[[#This Row],[DUT Read]]+Table1[[#This Row],[DUT Ucty]])</f>
        <v>N/A</v>
      </c>
      <c r="Y1611" s="1" t="str">
        <f>IF(Table1[[#This Row],[Std Read]]="","N/A",Table1[[#This Row],[Std Read]]+Table1[[#This Row],[Std Ucty]])</f>
        <v>N/A</v>
      </c>
      <c r="Z16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1" s="1" t="str">
        <f>IF(Table1[[#This Row],[Spec Type]]="","N/A",Table1[[#This Row],[Spec Type]])</f>
        <v>±</v>
      </c>
      <c r="AC1611" s="1" t="str">
        <f>IF(Table1[[#This Row],[Spec Type2]]="N/A","N/A",IF(AND(Table1[[#This Row],[DUT Adj Read]]&gt;=Table1[[#This Row],[Low Tol]],Table1[[#This Row],[DUT Adj Read]]&lt;=Table1[[#This Row],[High Tol]]),"Pass","Fail"))</f>
        <v>Fail</v>
      </c>
      <c r="AD1611" s="1" t="str">
        <f>IF(AND(Table1[[#This Row],[Spec Type2]]="N/A",Table1[[#This Row],[DUT Adj Read]]="N/A",Table1[[#This Row],[Std Adj Read]]="N/A"),"N/A",IF(Table1[[#This Row],[DUT Adj Read]]="N/A",IF(Table1[[#This Row],[Std Adj Read]]&gt;Table1[[#This Row],[Low Tol]],"Pass","Fail"),IF(Table1[[#This Row],[DUT Adj Read]]&gt;Table1[[#This Row],[Low Tol]],"Pass","Fail")))</f>
        <v>Pass</v>
      </c>
      <c r="AE1611" s="1" t="str">
        <f>IF(AND(Table1[[#This Row],[Spec Type2]]="N/A",Table1[[#This Row],[DUT Adj Read]]="N/A",Table1[[#This Row],[Std Adj Read]]="N/A"),"N/A",IF(Table1[[#This Row],[DUT Adj Read]]="N/A",IF(Table1[[#This Row],[Std Adj Read]]&lt;Table1[[#This Row],[High Tol]],"Pass","Fail"),IF(Table1[[#This Row],[DUT Adj Read]]&lt;Table1[[#This Row],[High Tol]],"Pass","Fail")))</f>
        <v>Fail</v>
      </c>
      <c r="AF1611" s="1" t="str">
        <f>IF(AND(Table1[[#This Row],[Spec Type2]]="N/A",Table1[[#This Row],[DUT Adj Read]]="N/A",Table1[[#This Row],[Std Adj Read]]="N/A"),"N/A",IF(Table1[[#This Row],[DUT Adj Read]]="N/A",IF(Table1[[#This Row],[Std Adj Read]]&gt;=Table1[[#This Row],[Low Tol]],"Pass","Fail"),IF(Table1[[#This Row],[DUT Adj Read]]&gt;=Table1[[#This Row],[Low Tol]],"Pass","Fail")))</f>
        <v>Pass</v>
      </c>
      <c r="AG1611" s="1" t="str">
        <f>IF(AND(Table1[[#This Row],[Spec Type2]]="N/A",Table1[[#This Row],[DUT Adj Read]]="N/A",Table1[[#This Row],[Std Adj Read]]="N/A"),"N/A",IF(Table1[[#This Row],[DUT Adj Read]]="N/A",IF(Table1[[#This Row],[Std Adj Read]]&lt;=Table1[[#This Row],[High Tol]],"Pass","Fail"),IF(Table1[[#This Row],[DUT Adj Read]]&lt;=Table1[[#This Row],[High Tol]],"Pass","Fail")))</f>
        <v>Fail</v>
      </c>
      <c r="AH16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1" s="1" t="b">
        <v>0</v>
      </c>
      <c r="AN1611" s="1" t="b">
        <v>0</v>
      </c>
      <c r="AO1611" s="1" t="b">
        <v>0</v>
      </c>
    </row>
    <row r="1612" spans="1:41" x14ac:dyDescent="0.25">
      <c r="A1612" s="10"/>
      <c r="B1612" s="10"/>
      <c r="C1612" s="10"/>
      <c r="D1612" s="10"/>
      <c r="E1612" s="10"/>
      <c r="F1612" s="10"/>
      <c r="G1612" s="10"/>
      <c r="H1612" s="10"/>
      <c r="I1612" s="1" t="str">
        <f t="shared" si="75"/>
        <v/>
      </c>
      <c r="J1612" s="1" t="s">
        <v>35</v>
      </c>
      <c r="K1612" s="1" t="str">
        <f t="shared" si="76"/>
        <v/>
      </c>
      <c r="L1612" s="1" t="str">
        <f t="shared" si="77"/>
        <v/>
      </c>
      <c r="M1612" s="1">
        <f>IF(OR(Table1[[#This Row],[Std Nom]]="",Table1[[#This Row],[Std Read]]=""),0,Table1[[#This Row],[Std Nom]]-Table1[[#This Row],[Std Read]])</f>
        <v>0</v>
      </c>
      <c r="N1612" s="1">
        <f>IF(Calculations!$F$5="ACCREDITED 17025 WITH UNCERTAINTIES",$N$10,0)</f>
        <v>0</v>
      </c>
      <c r="O1612" s="1" t="str">
        <f>IFERROR(Table1[[#This Row],[Std Nom]]-(_xlfn.XLOOKUP(Table1[[#This Row],[Manufacturer]]&amp;" "&amp;Table1[[#This Row],[Model]],Table13[MFR &amp; MDL],Table13[Tolerance % CW ],"")/100*Table1[[#This Row],[Std Nom]]),"")</f>
        <v/>
      </c>
      <c r="P1612" s="1" t="str">
        <f>IFERROR(Table1[[#This Row],[Std Nom]]+(_xlfn.XLOOKUP(Table1[[#This Row],[Manufacturer]]&amp;" "&amp;Table1[[#This Row],[Model]],Table13[MFR &amp; MDL],Table13[Tolerance % CW ],"")/100*Table1[[#This Row],[Std Nom]]),"")</f>
        <v/>
      </c>
      <c r="Q1612" s="1" t="e">
        <f>Table1[[#This Row],[High Tol]]-Table1[[#This Row],[Low Tol]]</f>
        <v>#VALUE!</v>
      </c>
      <c r="R1612" s="1">
        <f>2*Table1[[#This Row],[Std Error]]</f>
        <v>0</v>
      </c>
      <c r="S1612" s="1" t="str">
        <f>IF(Table1[[#This Row],[High Tol]]="","N/A",IFERROR(ABS(Table1[[#This Row],[Tol Span]]/Table1[[#This Row],[Error Span]]),"N/A"))</f>
        <v>N/A</v>
      </c>
      <c r="T1612" s="1" t="str">
        <f>IF(OR(Table1[[#This Row],[Low Tol]]="",Table1[[#This Row],[High Tol]]=""),"Needs Analysis",IF(Table1[[#This Row],[Ratio]]&gt;=4,"Not Significant",IF(Table1[[#This Row],[Ratio]]&gt;=2,"Semi-Significant","Significant")))</f>
        <v>Needs Analysis</v>
      </c>
      <c r="W1612" s="1">
        <f>IF(Table1[[#This Row],[Cal Type]]&lt;&gt;"ACCREDITED 17025 WITH UNCERTAINTIES",0,"")</f>
        <v>0</v>
      </c>
      <c r="X1612" s="1" t="str">
        <f>IF(Table1[[#This Row],[DUT Read]]="","N/A",Table1[[#This Row],[Std Error]]+Table1[[#This Row],[DUT Read]]+Table1[[#This Row],[DUT Ucty]])</f>
        <v>N/A</v>
      </c>
      <c r="Y1612" s="1" t="str">
        <f>IF(Table1[[#This Row],[Std Read]]="","N/A",Table1[[#This Row],[Std Read]]+Table1[[#This Row],[Std Ucty]])</f>
        <v>N/A</v>
      </c>
      <c r="Z16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2" s="1" t="str">
        <f>IF(Table1[[#This Row],[Spec Type]]="","N/A",Table1[[#This Row],[Spec Type]])</f>
        <v>±</v>
      </c>
      <c r="AC1612" s="1" t="str">
        <f>IF(Table1[[#This Row],[Spec Type2]]="N/A","N/A",IF(AND(Table1[[#This Row],[DUT Adj Read]]&gt;=Table1[[#This Row],[Low Tol]],Table1[[#This Row],[DUT Adj Read]]&lt;=Table1[[#This Row],[High Tol]]),"Pass","Fail"))</f>
        <v>Fail</v>
      </c>
      <c r="AD1612" s="1" t="str">
        <f>IF(AND(Table1[[#This Row],[Spec Type2]]="N/A",Table1[[#This Row],[DUT Adj Read]]="N/A",Table1[[#This Row],[Std Adj Read]]="N/A"),"N/A",IF(Table1[[#This Row],[DUT Adj Read]]="N/A",IF(Table1[[#This Row],[Std Adj Read]]&gt;Table1[[#This Row],[Low Tol]],"Pass","Fail"),IF(Table1[[#This Row],[DUT Adj Read]]&gt;Table1[[#This Row],[Low Tol]],"Pass","Fail")))</f>
        <v>Pass</v>
      </c>
      <c r="AE1612" s="1" t="str">
        <f>IF(AND(Table1[[#This Row],[Spec Type2]]="N/A",Table1[[#This Row],[DUT Adj Read]]="N/A",Table1[[#This Row],[Std Adj Read]]="N/A"),"N/A",IF(Table1[[#This Row],[DUT Adj Read]]="N/A",IF(Table1[[#This Row],[Std Adj Read]]&lt;Table1[[#This Row],[High Tol]],"Pass","Fail"),IF(Table1[[#This Row],[DUT Adj Read]]&lt;Table1[[#This Row],[High Tol]],"Pass","Fail")))</f>
        <v>Fail</v>
      </c>
      <c r="AF1612" s="1" t="str">
        <f>IF(AND(Table1[[#This Row],[Spec Type2]]="N/A",Table1[[#This Row],[DUT Adj Read]]="N/A",Table1[[#This Row],[Std Adj Read]]="N/A"),"N/A",IF(Table1[[#This Row],[DUT Adj Read]]="N/A",IF(Table1[[#This Row],[Std Adj Read]]&gt;=Table1[[#This Row],[Low Tol]],"Pass","Fail"),IF(Table1[[#This Row],[DUT Adj Read]]&gt;=Table1[[#This Row],[Low Tol]],"Pass","Fail")))</f>
        <v>Pass</v>
      </c>
      <c r="AG1612" s="1" t="str">
        <f>IF(AND(Table1[[#This Row],[Spec Type2]]="N/A",Table1[[#This Row],[DUT Adj Read]]="N/A",Table1[[#This Row],[Std Adj Read]]="N/A"),"N/A",IF(Table1[[#This Row],[DUT Adj Read]]="N/A",IF(Table1[[#This Row],[Std Adj Read]]&lt;=Table1[[#This Row],[High Tol]],"Pass","Fail"),IF(Table1[[#This Row],[DUT Adj Read]]&lt;=Table1[[#This Row],[High Tol]],"Pass","Fail")))</f>
        <v>Fail</v>
      </c>
      <c r="AH16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2" s="1" t="b">
        <v>0</v>
      </c>
      <c r="AN1612" s="1" t="b">
        <v>0</v>
      </c>
      <c r="AO1612" s="1" t="b">
        <v>0</v>
      </c>
    </row>
    <row r="1613" spans="1:41" x14ac:dyDescent="0.25">
      <c r="A1613" s="10"/>
      <c r="B1613" s="10"/>
      <c r="C1613" s="10"/>
      <c r="D1613" s="10"/>
      <c r="E1613" s="10"/>
      <c r="F1613" s="10"/>
      <c r="G1613" s="10"/>
      <c r="H1613" s="10"/>
      <c r="I1613" s="1" t="str">
        <f t="shared" si="75"/>
        <v/>
      </c>
      <c r="J1613" s="1" t="s">
        <v>35</v>
      </c>
      <c r="K1613" s="1" t="str">
        <f t="shared" si="76"/>
        <v/>
      </c>
      <c r="L1613" s="1" t="str">
        <f t="shared" si="77"/>
        <v/>
      </c>
      <c r="M1613" s="1">
        <f>IF(OR(Table1[[#This Row],[Std Nom]]="",Table1[[#This Row],[Std Read]]=""),0,Table1[[#This Row],[Std Nom]]-Table1[[#This Row],[Std Read]])</f>
        <v>0</v>
      </c>
      <c r="N1613" s="1">
        <f>IF(Calculations!$F$5="ACCREDITED 17025 WITH UNCERTAINTIES",$N$10,0)</f>
        <v>0</v>
      </c>
      <c r="O1613" s="1" t="str">
        <f>IFERROR(Table1[[#This Row],[Std Nom]]-(_xlfn.XLOOKUP(Table1[[#This Row],[Manufacturer]]&amp;" "&amp;Table1[[#This Row],[Model]],Table13[MFR &amp; MDL],Table13[Tolerance % CW ],"")/100*Table1[[#This Row],[Std Nom]]),"")</f>
        <v/>
      </c>
      <c r="P1613" s="1" t="str">
        <f>IFERROR(Table1[[#This Row],[Std Nom]]+(_xlfn.XLOOKUP(Table1[[#This Row],[Manufacturer]]&amp;" "&amp;Table1[[#This Row],[Model]],Table13[MFR &amp; MDL],Table13[Tolerance % CW ],"")/100*Table1[[#This Row],[Std Nom]]),"")</f>
        <v/>
      </c>
      <c r="Q1613" s="1" t="e">
        <f>Table1[[#This Row],[High Tol]]-Table1[[#This Row],[Low Tol]]</f>
        <v>#VALUE!</v>
      </c>
      <c r="R1613" s="1">
        <f>2*Table1[[#This Row],[Std Error]]</f>
        <v>0</v>
      </c>
      <c r="S1613" s="1" t="str">
        <f>IF(Table1[[#This Row],[High Tol]]="","N/A",IFERROR(ABS(Table1[[#This Row],[Tol Span]]/Table1[[#This Row],[Error Span]]),"N/A"))</f>
        <v>N/A</v>
      </c>
      <c r="T1613" s="1" t="str">
        <f>IF(OR(Table1[[#This Row],[Low Tol]]="",Table1[[#This Row],[High Tol]]=""),"Needs Analysis",IF(Table1[[#This Row],[Ratio]]&gt;=4,"Not Significant",IF(Table1[[#This Row],[Ratio]]&gt;=2,"Semi-Significant","Significant")))</f>
        <v>Needs Analysis</v>
      </c>
      <c r="W1613" s="1">
        <f>IF(Table1[[#This Row],[Cal Type]]&lt;&gt;"ACCREDITED 17025 WITH UNCERTAINTIES",0,"")</f>
        <v>0</v>
      </c>
      <c r="X1613" s="1" t="str">
        <f>IF(Table1[[#This Row],[DUT Read]]="","N/A",Table1[[#This Row],[Std Error]]+Table1[[#This Row],[DUT Read]]+Table1[[#This Row],[DUT Ucty]])</f>
        <v>N/A</v>
      </c>
      <c r="Y1613" s="1" t="str">
        <f>IF(Table1[[#This Row],[Std Read]]="","N/A",Table1[[#This Row],[Std Read]]+Table1[[#This Row],[Std Ucty]])</f>
        <v>N/A</v>
      </c>
      <c r="Z16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3" s="1" t="str">
        <f>IF(Table1[[#This Row],[Spec Type]]="","N/A",Table1[[#This Row],[Spec Type]])</f>
        <v>±</v>
      </c>
      <c r="AC1613" s="1" t="str">
        <f>IF(Table1[[#This Row],[Spec Type2]]="N/A","N/A",IF(AND(Table1[[#This Row],[DUT Adj Read]]&gt;=Table1[[#This Row],[Low Tol]],Table1[[#This Row],[DUT Adj Read]]&lt;=Table1[[#This Row],[High Tol]]),"Pass","Fail"))</f>
        <v>Fail</v>
      </c>
      <c r="AD1613" s="1" t="str">
        <f>IF(AND(Table1[[#This Row],[Spec Type2]]="N/A",Table1[[#This Row],[DUT Adj Read]]="N/A",Table1[[#This Row],[Std Adj Read]]="N/A"),"N/A",IF(Table1[[#This Row],[DUT Adj Read]]="N/A",IF(Table1[[#This Row],[Std Adj Read]]&gt;Table1[[#This Row],[Low Tol]],"Pass","Fail"),IF(Table1[[#This Row],[DUT Adj Read]]&gt;Table1[[#This Row],[Low Tol]],"Pass","Fail")))</f>
        <v>Pass</v>
      </c>
      <c r="AE1613" s="1" t="str">
        <f>IF(AND(Table1[[#This Row],[Spec Type2]]="N/A",Table1[[#This Row],[DUT Adj Read]]="N/A",Table1[[#This Row],[Std Adj Read]]="N/A"),"N/A",IF(Table1[[#This Row],[DUT Adj Read]]="N/A",IF(Table1[[#This Row],[Std Adj Read]]&lt;Table1[[#This Row],[High Tol]],"Pass","Fail"),IF(Table1[[#This Row],[DUT Adj Read]]&lt;Table1[[#This Row],[High Tol]],"Pass","Fail")))</f>
        <v>Fail</v>
      </c>
      <c r="AF1613" s="1" t="str">
        <f>IF(AND(Table1[[#This Row],[Spec Type2]]="N/A",Table1[[#This Row],[DUT Adj Read]]="N/A",Table1[[#This Row],[Std Adj Read]]="N/A"),"N/A",IF(Table1[[#This Row],[DUT Adj Read]]="N/A",IF(Table1[[#This Row],[Std Adj Read]]&gt;=Table1[[#This Row],[Low Tol]],"Pass","Fail"),IF(Table1[[#This Row],[DUT Adj Read]]&gt;=Table1[[#This Row],[Low Tol]],"Pass","Fail")))</f>
        <v>Pass</v>
      </c>
      <c r="AG1613" s="1" t="str">
        <f>IF(AND(Table1[[#This Row],[Spec Type2]]="N/A",Table1[[#This Row],[DUT Adj Read]]="N/A",Table1[[#This Row],[Std Adj Read]]="N/A"),"N/A",IF(Table1[[#This Row],[DUT Adj Read]]="N/A",IF(Table1[[#This Row],[Std Adj Read]]&lt;=Table1[[#This Row],[High Tol]],"Pass","Fail"),IF(Table1[[#This Row],[DUT Adj Read]]&lt;=Table1[[#This Row],[High Tol]],"Pass","Fail")))</f>
        <v>Fail</v>
      </c>
      <c r="AH16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3" s="1" t="b">
        <v>0</v>
      </c>
      <c r="AN1613" s="1" t="b">
        <v>0</v>
      </c>
      <c r="AO1613" s="1" t="b">
        <v>0</v>
      </c>
    </row>
    <row r="1614" spans="1:41" x14ac:dyDescent="0.25">
      <c r="A1614" s="10"/>
      <c r="B1614" s="10"/>
      <c r="C1614" s="10"/>
      <c r="D1614" s="10"/>
      <c r="E1614" s="10"/>
      <c r="F1614" s="10"/>
      <c r="G1614" s="10"/>
      <c r="H1614" s="10"/>
      <c r="I1614" s="1" t="str">
        <f t="shared" si="75"/>
        <v/>
      </c>
      <c r="J1614" s="1" t="s">
        <v>35</v>
      </c>
      <c r="K1614" s="1" t="str">
        <f t="shared" si="76"/>
        <v/>
      </c>
      <c r="L1614" s="1" t="str">
        <f t="shared" si="77"/>
        <v/>
      </c>
      <c r="M1614" s="1">
        <f>IF(OR(Table1[[#This Row],[Std Nom]]="",Table1[[#This Row],[Std Read]]=""),0,Table1[[#This Row],[Std Nom]]-Table1[[#This Row],[Std Read]])</f>
        <v>0</v>
      </c>
      <c r="N1614" s="1">
        <f>IF(Calculations!$F$5="ACCREDITED 17025 WITH UNCERTAINTIES",$N$10,0)</f>
        <v>0</v>
      </c>
      <c r="O1614" s="1" t="str">
        <f>IFERROR(Table1[[#This Row],[Std Nom]]-(_xlfn.XLOOKUP(Table1[[#This Row],[Manufacturer]]&amp;" "&amp;Table1[[#This Row],[Model]],Table13[MFR &amp; MDL],Table13[Tolerance % CW ],"")/100*Table1[[#This Row],[Std Nom]]),"")</f>
        <v/>
      </c>
      <c r="P1614" s="1" t="str">
        <f>IFERROR(Table1[[#This Row],[Std Nom]]+(_xlfn.XLOOKUP(Table1[[#This Row],[Manufacturer]]&amp;" "&amp;Table1[[#This Row],[Model]],Table13[MFR &amp; MDL],Table13[Tolerance % CW ],"")/100*Table1[[#This Row],[Std Nom]]),"")</f>
        <v/>
      </c>
      <c r="Q1614" s="1" t="e">
        <f>Table1[[#This Row],[High Tol]]-Table1[[#This Row],[Low Tol]]</f>
        <v>#VALUE!</v>
      </c>
      <c r="R1614" s="1">
        <f>2*Table1[[#This Row],[Std Error]]</f>
        <v>0</v>
      </c>
      <c r="S1614" s="1" t="str">
        <f>IF(Table1[[#This Row],[High Tol]]="","N/A",IFERROR(ABS(Table1[[#This Row],[Tol Span]]/Table1[[#This Row],[Error Span]]),"N/A"))</f>
        <v>N/A</v>
      </c>
      <c r="T1614" s="1" t="str">
        <f>IF(OR(Table1[[#This Row],[Low Tol]]="",Table1[[#This Row],[High Tol]]=""),"Needs Analysis",IF(Table1[[#This Row],[Ratio]]&gt;=4,"Not Significant",IF(Table1[[#This Row],[Ratio]]&gt;=2,"Semi-Significant","Significant")))</f>
        <v>Needs Analysis</v>
      </c>
      <c r="W1614" s="1">
        <f>IF(Table1[[#This Row],[Cal Type]]&lt;&gt;"ACCREDITED 17025 WITH UNCERTAINTIES",0,"")</f>
        <v>0</v>
      </c>
      <c r="X1614" s="1" t="str">
        <f>IF(Table1[[#This Row],[DUT Read]]="","N/A",Table1[[#This Row],[Std Error]]+Table1[[#This Row],[DUT Read]]+Table1[[#This Row],[DUT Ucty]])</f>
        <v>N/A</v>
      </c>
      <c r="Y1614" s="1" t="str">
        <f>IF(Table1[[#This Row],[Std Read]]="","N/A",Table1[[#This Row],[Std Read]]+Table1[[#This Row],[Std Ucty]])</f>
        <v>N/A</v>
      </c>
      <c r="Z16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4" s="1" t="str">
        <f>IF(Table1[[#This Row],[Spec Type]]="","N/A",Table1[[#This Row],[Spec Type]])</f>
        <v>±</v>
      </c>
      <c r="AC1614" s="1" t="str">
        <f>IF(Table1[[#This Row],[Spec Type2]]="N/A","N/A",IF(AND(Table1[[#This Row],[DUT Adj Read]]&gt;=Table1[[#This Row],[Low Tol]],Table1[[#This Row],[DUT Adj Read]]&lt;=Table1[[#This Row],[High Tol]]),"Pass","Fail"))</f>
        <v>Fail</v>
      </c>
      <c r="AD1614" s="1" t="str">
        <f>IF(AND(Table1[[#This Row],[Spec Type2]]="N/A",Table1[[#This Row],[DUT Adj Read]]="N/A",Table1[[#This Row],[Std Adj Read]]="N/A"),"N/A",IF(Table1[[#This Row],[DUT Adj Read]]="N/A",IF(Table1[[#This Row],[Std Adj Read]]&gt;Table1[[#This Row],[Low Tol]],"Pass","Fail"),IF(Table1[[#This Row],[DUT Adj Read]]&gt;Table1[[#This Row],[Low Tol]],"Pass","Fail")))</f>
        <v>Pass</v>
      </c>
      <c r="AE1614" s="1" t="str">
        <f>IF(AND(Table1[[#This Row],[Spec Type2]]="N/A",Table1[[#This Row],[DUT Adj Read]]="N/A",Table1[[#This Row],[Std Adj Read]]="N/A"),"N/A",IF(Table1[[#This Row],[DUT Adj Read]]="N/A",IF(Table1[[#This Row],[Std Adj Read]]&lt;Table1[[#This Row],[High Tol]],"Pass","Fail"),IF(Table1[[#This Row],[DUT Adj Read]]&lt;Table1[[#This Row],[High Tol]],"Pass","Fail")))</f>
        <v>Fail</v>
      </c>
      <c r="AF1614" s="1" t="str">
        <f>IF(AND(Table1[[#This Row],[Spec Type2]]="N/A",Table1[[#This Row],[DUT Adj Read]]="N/A",Table1[[#This Row],[Std Adj Read]]="N/A"),"N/A",IF(Table1[[#This Row],[DUT Adj Read]]="N/A",IF(Table1[[#This Row],[Std Adj Read]]&gt;=Table1[[#This Row],[Low Tol]],"Pass","Fail"),IF(Table1[[#This Row],[DUT Adj Read]]&gt;=Table1[[#This Row],[Low Tol]],"Pass","Fail")))</f>
        <v>Pass</v>
      </c>
      <c r="AG1614" s="1" t="str">
        <f>IF(AND(Table1[[#This Row],[Spec Type2]]="N/A",Table1[[#This Row],[DUT Adj Read]]="N/A",Table1[[#This Row],[Std Adj Read]]="N/A"),"N/A",IF(Table1[[#This Row],[DUT Adj Read]]="N/A",IF(Table1[[#This Row],[Std Adj Read]]&lt;=Table1[[#This Row],[High Tol]],"Pass","Fail"),IF(Table1[[#This Row],[DUT Adj Read]]&lt;=Table1[[#This Row],[High Tol]],"Pass","Fail")))</f>
        <v>Fail</v>
      </c>
      <c r="AH16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4" s="1" t="b">
        <v>0</v>
      </c>
      <c r="AN1614" s="1" t="b">
        <v>0</v>
      </c>
      <c r="AO1614" s="1" t="b">
        <v>0</v>
      </c>
    </row>
    <row r="1615" spans="1:41" x14ac:dyDescent="0.25">
      <c r="A1615" s="10"/>
      <c r="B1615" s="10"/>
      <c r="C1615" s="10"/>
      <c r="D1615" s="10"/>
      <c r="E1615" s="10"/>
      <c r="F1615" s="10"/>
      <c r="G1615" s="10"/>
      <c r="H1615" s="10"/>
      <c r="I1615" s="1" t="str">
        <f t="shared" si="75"/>
        <v/>
      </c>
      <c r="J1615" s="1" t="s">
        <v>35</v>
      </c>
      <c r="K1615" s="1" t="str">
        <f t="shared" si="76"/>
        <v/>
      </c>
      <c r="L1615" s="1" t="str">
        <f t="shared" si="77"/>
        <v/>
      </c>
      <c r="M1615" s="1">
        <f>IF(OR(Table1[[#This Row],[Std Nom]]="",Table1[[#This Row],[Std Read]]=""),0,Table1[[#This Row],[Std Nom]]-Table1[[#This Row],[Std Read]])</f>
        <v>0</v>
      </c>
      <c r="N1615" s="1">
        <f>IF(Calculations!$F$5="ACCREDITED 17025 WITH UNCERTAINTIES",$N$10,0)</f>
        <v>0</v>
      </c>
      <c r="O1615" s="1" t="str">
        <f>IFERROR(Table1[[#This Row],[Std Nom]]-(_xlfn.XLOOKUP(Table1[[#This Row],[Manufacturer]]&amp;" "&amp;Table1[[#This Row],[Model]],Table13[MFR &amp; MDL],Table13[Tolerance % CW ],"")/100*Table1[[#This Row],[Std Nom]]),"")</f>
        <v/>
      </c>
      <c r="P1615" s="1" t="str">
        <f>IFERROR(Table1[[#This Row],[Std Nom]]+(_xlfn.XLOOKUP(Table1[[#This Row],[Manufacturer]]&amp;" "&amp;Table1[[#This Row],[Model]],Table13[MFR &amp; MDL],Table13[Tolerance % CW ],"")/100*Table1[[#This Row],[Std Nom]]),"")</f>
        <v/>
      </c>
      <c r="Q1615" s="1" t="e">
        <f>Table1[[#This Row],[High Tol]]-Table1[[#This Row],[Low Tol]]</f>
        <v>#VALUE!</v>
      </c>
      <c r="R1615" s="1">
        <f>2*Table1[[#This Row],[Std Error]]</f>
        <v>0</v>
      </c>
      <c r="S1615" s="1" t="str">
        <f>IF(Table1[[#This Row],[High Tol]]="","N/A",IFERROR(ABS(Table1[[#This Row],[Tol Span]]/Table1[[#This Row],[Error Span]]),"N/A"))</f>
        <v>N/A</v>
      </c>
      <c r="T1615" s="1" t="str">
        <f>IF(OR(Table1[[#This Row],[Low Tol]]="",Table1[[#This Row],[High Tol]]=""),"Needs Analysis",IF(Table1[[#This Row],[Ratio]]&gt;=4,"Not Significant",IF(Table1[[#This Row],[Ratio]]&gt;=2,"Semi-Significant","Significant")))</f>
        <v>Needs Analysis</v>
      </c>
      <c r="W1615" s="1">
        <f>IF(Table1[[#This Row],[Cal Type]]&lt;&gt;"ACCREDITED 17025 WITH UNCERTAINTIES",0,"")</f>
        <v>0</v>
      </c>
      <c r="X1615" s="1" t="str">
        <f>IF(Table1[[#This Row],[DUT Read]]="","N/A",Table1[[#This Row],[Std Error]]+Table1[[#This Row],[DUT Read]]+Table1[[#This Row],[DUT Ucty]])</f>
        <v>N/A</v>
      </c>
      <c r="Y1615" s="1" t="str">
        <f>IF(Table1[[#This Row],[Std Read]]="","N/A",Table1[[#This Row],[Std Read]]+Table1[[#This Row],[Std Ucty]])</f>
        <v>N/A</v>
      </c>
      <c r="Z16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5" s="1" t="str">
        <f>IF(Table1[[#This Row],[Spec Type]]="","N/A",Table1[[#This Row],[Spec Type]])</f>
        <v>±</v>
      </c>
      <c r="AC1615" s="1" t="str">
        <f>IF(Table1[[#This Row],[Spec Type2]]="N/A","N/A",IF(AND(Table1[[#This Row],[DUT Adj Read]]&gt;=Table1[[#This Row],[Low Tol]],Table1[[#This Row],[DUT Adj Read]]&lt;=Table1[[#This Row],[High Tol]]),"Pass","Fail"))</f>
        <v>Fail</v>
      </c>
      <c r="AD1615" s="1" t="str">
        <f>IF(AND(Table1[[#This Row],[Spec Type2]]="N/A",Table1[[#This Row],[DUT Adj Read]]="N/A",Table1[[#This Row],[Std Adj Read]]="N/A"),"N/A",IF(Table1[[#This Row],[DUT Adj Read]]="N/A",IF(Table1[[#This Row],[Std Adj Read]]&gt;Table1[[#This Row],[Low Tol]],"Pass","Fail"),IF(Table1[[#This Row],[DUT Adj Read]]&gt;Table1[[#This Row],[Low Tol]],"Pass","Fail")))</f>
        <v>Pass</v>
      </c>
      <c r="AE1615" s="1" t="str">
        <f>IF(AND(Table1[[#This Row],[Spec Type2]]="N/A",Table1[[#This Row],[DUT Adj Read]]="N/A",Table1[[#This Row],[Std Adj Read]]="N/A"),"N/A",IF(Table1[[#This Row],[DUT Adj Read]]="N/A",IF(Table1[[#This Row],[Std Adj Read]]&lt;Table1[[#This Row],[High Tol]],"Pass","Fail"),IF(Table1[[#This Row],[DUT Adj Read]]&lt;Table1[[#This Row],[High Tol]],"Pass","Fail")))</f>
        <v>Fail</v>
      </c>
      <c r="AF1615" s="1" t="str">
        <f>IF(AND(Table1[[#This Row],[Spec Type2]]="N/A",Table1[[#This Row],[DUT Adj Read]]="N/A",Table1[[#This Row],[Std Adj Read]]="N/A"),"N/A",IF(Table1[[#This Row],[DUT Adj Read]]="N/A",IF(Table1[[#This Row],[Std Adj Read]]&gt;=Table1[[#This Row],[Low Tol]],"Pass","Fail"),IF(Table1[[#This Row],[DUT Adj Read]]&gt;=Table1[[#This Row],[Low Tol]],"Pass","Fail")))</f>
        <v>Pass</v>
      </c>
      <c r="AG1615" s="1" t="str">
        <f>IF(AND(Table1[[#This Row],[Spec Type2]]="N/A",Table1[[#This Row],[DUT Adj Read]]="N/A",Table1[[#This Row],[Std Adj Read]]="N/A"),"N/A",IF(Table1[[#This Row],[DUT Adj Read]]="N/A",IF(Table1[[#This Row],[Std Adj Read]]&lt;=Table1[[#This Row],[High Tol]],"Pass","Fail"),IF(Table1[[#This Row],[DUT Adj Read]]&lt;=Table1[[#This Row],[High Tol]],"Pass","Fail")))</f>
        <v>Fail</v>
      </c>
      <c r="AH16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5" s="1" t="b">
        <v>0</v>
      </c>
      <c r="AN1615" s="1" t="b">
        <v>0</v>
      </c>
      <c r="AO1615" s="1" t="b">
        <v>0</v>
      </c>
    </row>
    <row r="1616" spans="1:41" x14ac:dyDescent="0.25">
      <c r="A1616" s="10"/>
      <c r="B1616" s="10"/>
      <c r="C1616" s="10"/>
      <c r="D1616" s="10"/>
      <c r="E1616" s="10"/>
      <c r="F1616" s="10"/>
      <c r="G1616" s="10"/>
      <c r="H1616" s="10"/>
      <c r="I1616" s="1" t="str">
        <f t="shared" si="75"/>
        <v/>
      </c>
      <c r="J1616" s="1" t="s">
        <v>35</v>
      </c>
      <c r="K1616" s="1" t="str">
        <f t="shared" si="76"/>
        <v/>
      </c>
      <c r="L1616" s="1" t="str">
        <f t="shared" si="77"/>
        <v/>
      </c>
      <c r="M1616" s="1">
        <f>IF(OR(Table1[[#This Row],[Std Nom]]="",Table1[[#This Row],[Std Read]]=""),0,Table1[[#This Row],[Std Nom]]-Table1[[#This Row],[Std Read]])</f>
        <v>0</v>
      </c>
      <c r="N1616" s="1">
        <f>IF(Calculations!$F$5="ACCREDITED 17025 WITH UNCERTAINTIES",$N$10,0)</f>
        <v>0</v>
      </c>
      <c r="O1616" s="1" t="str">
        <f>IFERROR(Table1[[#This Row],[Std Nom]]-(_xlfn.XLOOKUP(Table1[[#This Row],[Manufacturer]]&amp;" "&amp;Table1[[#This Row],[Model]],Table13[MFR &amp; MDL],Table13[Tolerance % CW ],"")/100*Table1[[#This Row],[Std Nom]]),"")</f>
        <v/>
      </c>
      <c r="P1616" s="1" t="str">
        <f>IFERROR(Table1[[#This Row],[Std Nom]]+(_xlfn.XLOOKUP(Table1[[#This Row],[Manufacturer]]&amp;" "&amp;Table1[[#This Row],[Model]],Table13[MFR &amp; MDL],Table13[Tolerance % CW ],"")/100*Table1[[#This Row],[Std Nom]]),"")</f>
        <v/>
      </c>
      <c r="Q1616" s="1" t="e">
        <f>Table1[[#This Row],[High Tol]]-Table1[[#This Row],[Low Tol]]</f>
        <v>#VALUE!</v>
      </c>
      <c r="R1616" s="1">
        <f>2*Table1[[#This Row],[Std Error]]</f>
        <v>0</v>
      </c>
      <c r="S1616" s="1" t="str">
        <f>IF(Table1[[#This Row],[High Tol]]="","N/A",IFERROR(ABS(Table1[[#This Row],[Tol Span]]/Table1[[#This Row],[Error Span]]),"N/A"))</f>
        <v>N/A</v>
      </c>
      <c r="T1616" s="1" t="str">
        <f>IF(OR(Table1[[#This Row],[Low Tol]]="",Table1[[#This Row],[High Tol]]=""),"Needs Analysis",IF(Table1[[#This Row],[Ratio]]&gt;=4,"Not Significant",IF(Table1[[#This Row],[Ratio]]&gt;=2,"Semi-Significant","Significant")))</f>
        <v>Needs Analysis</v>
      </c>
      <c r="W1616" s="1">
        <f>IF(Table1[[#This Row],[Cal Type]]&lt;&gt;"ACCREDITED 17025 WITH UNCERTAINTIES",0,"")</f>
        <v>0</v>
      </c>
      <c r="X1616" s="1" t="str">
        <f>IF(Table1[[#This Row],[DUT Read]]="","N/A",Table1[[#This Row],[Std Error]]+Table1[[#This Row],[DUT Read]]+Table1[[#This Row],[DUT Ucty]])</f>
        <v>N/A</v>
      </c>
      <c r="Y1616" s="1" t="str">
        <f>IF(Table1[[#This Row],[Std Read]]="","N/A",Table1[[#This Row],[Std Read]]+Table1[[#This Row],[Std Ucty]])</f>
        <v>N/A</v>
      </c>
      <c r="Z16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6" s="1" t="str">
        <f>IF(Table1[[#This Row],[Spec Type]]="","N/A",Table1[[#This Row],[Spec Type]])</f>
        <v>±</v>
      </c>
      <c r="AC1616" s="1" t="str">
        <f>IF(Table1[[#This Row],[Spec Type2]]="N/A","N/A",IF(AND(Table1[[#This Row],[DUT Adj Read]]&gt;=Table1[[#This Row],[Low Tol]],Table1[[#This Row],[DUT Adj Read]]&lt;=Table1[[#This Row],[High Tol]]),"Pass","Fail"))</f>
        <v>Fail</v>
      </c>
      <c r="AD1616" s="1" t="str">
        <f>IF(AND(Table1[[#This Row],[Spec Type2]]="N/A",Table1[[#This Row],[DUT Adj Read]]="N/A",Table1[[#This Row],[Std Adj Read]]="N/A"),"N/A",IF(Table1[[#This Row],[DUT Adj Read]]="N/A",IF(Table1[[#This Row],[Std Adj Read]]&gt;Table1[[#This Row],[Low Tol]],"Pass","Fail"),IF(Table1[[#This Row],[DUT Adj Read]]&gt;Table1[[#This Row],[Low Tol]],"Pass","Fail")))</f>
        <v>Pass</v>
      </c>
      <c r="AE1616" s="1" t="str">
        <f>IF(AND(Table1[[#This Row],[Spec Type2]]="N/A",Table1[[#This Row],[DUT Adj Read]]="N/A",Table1[[#This Row],[Std Adj Read]]="N/A"),"N/A",IF(Table1[[#This Row],[DUT Adj Read]]="N/A",IF(Table1[[#This Row],[Std Adj Read]]&lt;Table1[[#This Row],[High Tol]],"Pass","Fail"),IF(Table1[[#This Row],[DUT Adj Read]]&lt;Table1[[#This Row],[High Tol]],"Pass","Fail")))</f>
        <v>Fail</v>
      </c>
      <c r="AF1616" s="1" t="str">
        <f>IF(AND(Table1[[#This Row],[Spec Type2]]="N/A",Table1[[#This Row],[DUT Adj Read]]="N/A",Table1[[#This Row],[Std Adj Read]]="N/A"),"N/A",IF(Table1[[#This Row],[DUT Adj Read]]="N/A",IF(Table1[[#This Row],[Std Adj Read]]&gt;=Table1[[#This Row],[Low Tol]],"Pass","Fail"),IF(Table1[[#This Row],[DUT Adj Read]]&gt;=Table1[[#This Row],[Low Tol]],"Pass","Fail")))</f>
        <v>Pass</v>
      </c>
      <c r="AG1616" s="1" t="str">
        <f>IF(AND(Table1[[#This Row],[Spec Type2]]="N/A",Table1[[#This Row],[DUT Adj Read]]="N/A",Table1[[#This Row],[Std Adj Read]]="N/A"),"N/A",IF(Table1[[#This Row],[DUT Adj Read]]="N/A",IF(Table1[[#This Row],[Std Adj Read]]&lt;=Table1[[#This Row],[High Tol]],"Pass","Fail"),IF(Table1[[#This Row],[DUT Adj Read]]&lt;=Table1[[#This Row],[High Tol]],"Pass","Fail")))</f>
        <v>Fail</v>
      </c>
      <c r="AH16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6" s="1" t="b">
        <v>0</v>
      </c>
      <c r="AN1616" s="1" t="b">
        <v>0</v>
      </c>
      <c r="AO1616" s="1" t="b">
        <v>0</v>
      </c>
    </row>
    <row r="1617" spans="1:41" x14ac:dyDescent="0.25">
      <c r="A1617" s="10"/>
      <c r="B1617" s="10"/>
      <c r="C1617" s="10"/>
      <c r="D1617" s="10"/>
      <c r="E1617" s="10"/>
      <c r="F1617" s="10"/>
      <c r="G1617" s="10"/>
      <c r="H1617" s="10"/>
      <c r="I1617" s="1" t="str">
        <f t="shared" si="75"/>
        <v/>
      </c>
      <c r="J1617" s="1" t="s">
        <v>35</v>
      </c>
      <c r="K1617" s="1" t="str">
        <f t="shared" si="76"/>
        <v/>
      </c>
      <c r="L1617" s="1" t="str">
        <f t="shared" si="77"/>
        <v/>
      </c>
      <c r="M1617" s="1">
        <f>IF(OR(Table1[[#This Row],[Std Nom]]="",Table1[[#This Row],[Std Read]]=""),0,Table1[[#This Row],[Std Nom]]-Table1[[#This Row],[Std Read]])</f>
        <v>0</v>
      </c>
      <c r="N1617" s="1">
        <f>IF(Calculations!$F$5="ACCREDITED 17025 WITH UNCERTAINTIES",$N$10,0)</f>
        <v>0</v>
      </c>
      <c r="O1617" s="1" t="str">
        <f>IFERROR(Table1[[#This Row],[Std Nom]]-(_xlfn.XLOOKUP(Table1[[#This Row],[Manufacturer]]&amp;" "&amp;Table1[[#This Row],[Model]],Table13[MFR &amp; MDL],Table13[Tolerance % CW ],"")/100*Table1[[#This Row],[Std Nom]]),"")</f>
        <v/>
      </c>
      <c r="P1617" s="1" t="str">
        <f>IFERROR(Table1[[#This Row],[Std Nom]]+(_xlfn.XLOOKUP(Table1[[#This Row],[Manufacturer]]&amp;" "&amp;Table1[[#This Row],[Model]],Table13[MFR &amp; MDL],Table13[Tolerance % CW ],"")/100*Table1[[#This Row],[Std Nom]]),"")</f>
        <v/>
      </c>
      <c r="Q1617" s="1" t="e">
        <f>Table1[[#This Row],[High Tol]]-Table1[[#This Row],[Low Tol]]</f>
        <v>#VALUE!</v>
      </c>
      <c r="R1617" s="1">
        <f>2*Table1[[#This Row],[Std Error]]</f>
        <v>0</v>
      </c>
      <c r="S1617" s="1" t="str">
        <f>IF(Table1[[#This Row],[High Tol]]="","N/A",IFERROR(ABS(Table1[[#This Row],[Tol Span]]/Table1[[#This Row],[Error Span]]),"N/A"))</f>
        <v>N/A</v>
      </c>
      <c r="T1617" s="1" t="str">
        <f>IF(OR(Table1[[#This Row],[Low Tol]]="",Table1[[#This Row],[High Tol]]=""),"Needs Analysis",IF(Table1[[#This Row],[Ratio]]&gt;=4,"Not Significant",IF(Table1[[#This Row],[Ratio]]&gt;=2,"Semi-Significant","Significant")))</f>
        <v>Needs Analysis</v>
      </c>
      <c r="W1617" s="1">
        <f>IF(Table1[[#This Row],[Cal Type]]&lt;&gt;"ACCREDITED 17025 WITH UNCERTAINTIES",0,"")</f>
        <v>0</v>
      </c>
      <c r="X1617" s="1" t="str">
        <f>IF(Table1[[#This Row],[DUT Read]]="","N/A",Table1[[#This Row],[Std Error]]+Table1[[#This Row],[DUT Read]]+Table1[[#This Row],[DUT Ucty]])</f>
        <v>N/A</v>
      </c>
      <c r="Y1617" s="1" t="str">
        <f>IF(Table1[[#This Row],[Std Read]]="","N/A",Table1[[#This Row],[Std Read]]+Table1[[#This Row],[Std Ucty]])</f>
        <v>N/A</v>
      </c>
      <c r="Z16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7" s="1" t="str">
        <f>IF(Table1[[#This Row],[Spec Type]]="","N/A",Table1[[#This Row],[Spec Type]])</f>
        <v>±</v>
      </c>
      <c r="AC1617" s="1" t="str">
        <f>IF(Table1[[#This Row],[Spec Type2]]="N/A","N/A",IF(AND(Table1[[#This Row],[DUT Adj Read]]&gt;=Table1[[#This Row],[Low Tol]],Table1[[#This Row],[DUT Adj Read]]&lt;=Table1[[#This Row],[High Tol]]),"Pass","Fail"))</f>
        <v>Fail</v>
      </c>
      <c r="AD1617" s="1" t="str">
        <f>IF(AND(Table1[[#This Row],[Spec Type2]]="N/A",Table1[[#This Row],[DUT Adj Read]]="N/A",Table1[[#This Row],[Std Adj Read]]="N/A"),"N/A",IF(Table1[[#This Row],[DUT Adj Read]]="N/A",IF(Table1[[#This Row],[Std Adj Read]]&gt;Table1[[#This Row],[Low Tol]],"Pass","Fail"),IF(Table1[[#This Row],[DUT Adj Read]]&gt;Table1[[#This Row],[Low Tol]],"Pass","Fail")))</f>
        <v>Pass</v>
      </c>
      <c r="AE1617" s="1" t="str">
        <f>IF(AND(Table1[[#This Row],[Spec Type2]]="N/A",Table1[[#This Row],[DUT Adj Read]]="N/A",Table1[[#This Row],[Std Adj Read]]="N/A"),"N/A",IF(Table1[[#This Row],[DUT Adj Read]]="N/A",IF(Table1[[#This Row],[Std Adj Read]]&lt;Table1[[#This Row],[High Tol]],"Pass","Fail"),IF(Table1[[#This Row],[DUT Adj Read]]&lt;Table1[[#This Row],[High Tol]],"Pass","Fail")))</f>
        <v>Fail</v>
      </c>
      <c r="AF1617" s="1" t="str">
        <f>IF(AND(Table1[[#This Row],[Spec Type2]]="N/A",Table1[[#This Row],[DUT Adj Read]]="N/A",Table1[[#This Row],[Std Adj Read]]="N/A"),"N/A",IF(Table1[[#This Row],[DUT Adj Read]]="N/A",IF(Table1[[#This Row],[Std Adj Read]]&gt;=Table1[[#This Row],[Low Tol]],"Pass","Fail"),IF(Table1[[#This Row],[DUT Adj Read]]&gt;=Table1[[#This Row],[Low Tol]],"Pass","Fail")))</f>
        <v>Pass</v>
      </c>
      <c r="AG1617" s="1" t="str">
        <f>IF(AND(Table1[[#This Row],[Spec Type2]]="N/A",Table1[[#This Row],[DUT Adj Read]]="N/A",Table1[[#This Row],[Std Adj Read]]="N/A"),"N/A",IF(Table1[[#This Row],[DUT Adj Read]]="N/A",IF(Table1[[#This Row],[Std Adj Read]]&lt;=Table1[[#This Row],[High Tol]],"Pass","Fail"),IF(Table1[[#This Row],[DUT Adj Read]]&lt;=Table1[[#This Row],[High Tol]],"Pass","Fail")))</f>
        <v>Fail</v>
      </c>
      <c r="AH16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7" s="1" t="b">
        <v>0</v>
      </c>
      <c r="AN1617" s="1" t="b">
        <v>0</v>
      </c>
      <c r="AO1617" s="1" t="b">
        <v>0</v>
      </c>
    </row>
    <row r="1618" spans="1:41" x14ac:dyDescent="0.25">
      <c r="A1618" s="10"/>
      <c r="B1618" s="10"/>
      <c r="C1618" s="10"/>
      <c r="D1618" s="10"/>
      <c r="E1618" s="10"/>
      <c r="F1618" s="10"/>
      <c r="G1618" s="10"/>
      <c r="H1618" s="10"/>
      <c r="I1618" s="1" t="str">
        <f t="shared" si="75"/>
        <v/>
      </c>
      <c r="J1618" s="1" t="s">
        <v>35</v>
      </c>
      <c r="K1618" s="1" t="str">
        <f t="shared" si="76"/>
        <v/>
      </c>
      <c r="L1618" s="1" t="str">
        <f t="shared" si="77"/>
        <v/>
      </c>
      <c r="M1618" s="1">
        <f>IF(OR(Table1[[#This Row],[Std Nom]]="",Table1[[#This Row],[Std Read]]=""),0,Table1[[#This Row],[Std Nom]]-Table1[[#This Row],[Std Read]])</f>
        <v>0</v>
      </c>
      <c r="N1618" s="1">
        <f>IF(Calculations!$F$5="ACCREDITED 17025 WITH UNCERTAINTIES",$N$10,0)</f>
        <v>0</v>
      </c>
      <c r="O1618" s="1" t="str">
        <f>IFERROR(Table1[[#This Row],[Std Nom]]-(_xlfn.XLOOKUP(Table1[[#This Row],[Manufacturer]]&amp;" "&amp;Table1[[#This Row],[Model]],Table13[MFR &amp; MDL],Table13[Tolerance % CW ],"")/100*Table1[[#This Row],[Std Nom]]),"")</f>
        <v/>
      </c>
      <c r="P1618" s="1" t="str">
        <f>IFERROR(Table1[[#This Row],[Std Nom]]+(_xlfn.XLOOKUP(Table1[[#This Row],[Manufacturer]]&amp;" "&amp;Table1[[#This Row],[Model]],Table13[MFR &amp; MDL],Table13[Tolerance % CW ],"")/100*Table1[[#This Row],[Std Nom]]),"")</f>
        <v/>
      </c>
      <c r="Q1618" s="1" t="e">
        <f>Table1[[#This Row],[High Tol]]-Table1[[#This Row],[Low Tol]]</f>
        <v>#VALUE!</v>
      </c>
      <c r="R1618" s="1">
        <f>2*Table1[[#This Row],[Std Error]]</f>
        <v>0</v>
      </c>
      <c r="S1618" s="1" t="str">
        <f>IF(Table1[[#This Row],[High Tol]]="","N/A",IFERROR(ABS(Table1[[#This Row],[Tol Span]]/Table1[[#This Row],[Error Span]]),"N/A"))</f>
        <v>N/A</v>
      </c>
      <c r="T1618" s="1" t="str">
        <f>IF(OR(Table1[[#This Row],[Low Tol]]="",Table1[[#This Row],[High Tol]]=""),"Needs Analysis",IF(Table1[[#This Row],[Ratio]]&gt;=4,"Not Significant",IF(Table1[[#This Row],[Ratio]]&gt;=2,"Semi-Significant","Significant")))</f>
        <v>Needs Analysis</v>
      </c>
      <c r="W1618" s="1">
        <f>IF(Table1[[#This Row],[Cal Type]]&lt;&gt;"ACCREDITED 17025 WITH UNCERTAINTIES",0,"")</f>
        <v>0</v>
      </c>
      <c r="X1618" s="1" t="str">
        <f>IF(Table1[[#This Row],[DUT Read]]="","N/A",Table1[[#This Row],[Std Error]]+Table1[[#This Row],[DUT Read]]+Table1[[#This Row],[DUT Ucty]])</f>
        <v>N/A</v>
      </c>
      <c r="Y1618" s="1" t="str">
        <f>IF(Table1[[#This Row],[Std Read]]="","N/A",Table1[[#This Row],[Std Read]]+Table1[[#This Row],[Std Ucty]])</f>
        <v>N/A</v>
      </c>
      <c r="Z16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8" s="1" t="str">
        <f>IF(Table1[[#This Row],[Spec Type]]="","N/A",Table1[[#This Row],[Spec Type]])</f>
        <v>±</v>
      </c>
      <c r="AC1618" s="1" t="str">
        <f>IF(Table1[[#This Row],[Spec Type2]]="N/A","N/A",IF(AND(Table1[[#This Row],[DUT Adj Read]]&gt;=Table1[[#This Row],[Low Tol]],Table1[[#This Row],[DUT Adj Read]]&lt;=Table1[[#This Row],[High Tol]]),"Pass","Fail"))</f>
        <v>Fail</v>
      </c>
      <c r="AD1618" s="1" t="str">
        <f>IF(AND(Table1[[#This Row],[Spec Type2]]="N/A",Table1[[#This Row],[DUT Adj Read]]="N/A",Table1[[#This Row],[Std Adj Read]]="N/A"),"N/A",IF(Table1[[#This Row],[DUT Adj Read]]="N/A",IF(Table1[[#This Row],[Std Adj Read]]&gt;Table1[[#This Row],[Low Tol]],"Pass","Fail"),IF(Table1[[#This Row],[DUT Adj Read]]&gt;Table1[[#This Row],[Low Tol]],"Pass","Fail")))</f>
        <v>Pass</v>
      </c>
      <c r="AE1618" s="1" t="str">
        <f>IF(AND(Table1[[#This Row],[Spec Type2]]="N/A",Table1[[#This Row],[DUT Adj Read]]="N/A",Table1[[#This Row],[Std Adj Read]]="N/A"),"N/A",IF(Table1[[#This Row],[DUT Adj Read]]="N/A",IF(Table1[[#This Row],[Std Adj Read]]&lt;Table1[[#This Row],[High Tol]],"Pass","Fail"),IF(Table1[[#This Row],[DUT Adj Read]]&lt;Table1[[#This Row],[High Tol]],"Pass","Fail")))</f>
        <v>Fail</v>
      </c>
      <c r="AF1618" s="1" t="str">
        <f>IF(AND(Table1[[#This Row],[Spec Type2]]="N/A",Table1[[#This Row],[DUT Adj Read]]="N/A",Table1[[#This Row],[Std Adj Read]]="N/A"),"N/A",IF(Table1[[#This Row],[DUT Adj Read]]="N/A",IF(Table1[[#This Row],[Std Adj Read]]&gt;=Table1[[#This Row],[Low Tol]],"Pass","Fail"),IF(Table1[[#This Row],[DUT Adj Read]]&gt;=Table1[[#This Row],[Low Tol]],"Pass","Fail")))</f>
        <v>Pass</v>
      </c>
      <c r="AG1618" s="1" t="str">
        <f>IF(AND(Table1[[#This Row],[Spec Type2]]="N/A",Table1[[#This Row],[DUT Adj Read]]="N/A",Table1[[#This Row],[Std Adj Read]]="N/A"),"N/A",IF(Table1[[#This Row],[DUT Adj Read]]="N/A",IF(Table1[[#This Row],[Std Adj Read]]&lt;=Table1[[#This Row],[High Tol]],"Pass","Fail"),IF(Table1[[#This Row],[DUT Adj Read]]&lt;=Table1[[#This Row],[High Tol]],"Pass","Fail")))</f>
        <v>Fail</v>
      </c>
      <c r="AH16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8" s="1" t="b">
        <v>0</v>
      </c>
      <c r="AN1618" s="1" t="b">
        <v>0</v>
      </c>
      <c r="AO1618" s="1" t="b">
        <v>0</v>
      </c>
    </row>
    <row r="1619" spans="1:41" x14ac:dyDescent="0.25">
      <c r="A1619" s="10"/>
      <c r="B1619" s="10"/>
      <c r="C1619" s="10"/>
      <c r="D1619" s="10"/>
      <c r="E1619" s="10"/>
      <c r="F1619" s="10"/>
      <c r="G1619" s="10"/>
      <c r="H1619" s="10"/>
      <c r="I1619" s="1" t="str">
        <f t="shared" si="75"/>
        <v/>
      </c>
      <c r="J1619" s="1" t="s">
        <v>35</v>
      </c>
      <c r="K1619" s="1" t="str">
        <f t="shared" si="76"/>
        <v/>
      </c>
      <c r="L1619" s="1" t="str">
        <f t="shared" si="77"/>
        <v/>
      </c>
      <c r="M1619" s="1">
        <f>IF(OR(Table1[[#This Row],[Std Nom]]="",Table1[[#This Row],[Std Read]]=""),0,Table1[[#This Row],[Std Nom]]-Table1[[#This Row],[Std Read]])</f>
        <v>0</v>
      </c>
      <c r="N1619" s="1">
        <f>IF(Calculations!$F$5="ACCREDITED 17025 WITH UNCERTAINTIES",$N$10,0)</f>
        <v>0</v>
      </c>
      <c r="O1619" s="1" t="str">
        <f>IFERROR(Table1[[#This Row],[Std Nom]]-(_xlfn.XLOOKUP(Table1[[#This Row],[Manufacturer]]&amp;" "&amp;Table1[[#This Row],[Model]],Table13[MFR &amp; MDL],Table13[Tolerance % CW ],"")/100*Table1[[#This Row],[Std Nom]]),"")</f>
        <v/>
      </c>
      <c r="P1619" s="1" t="str">
        <f>IFERROR(Table1[[#This Row],[Std Nom]]+(_xlfn.XLOOKUP(Table1[[#This Row],[Manufacturer]]&amp;" "&amp;Table1[[#This Row],[Model]],Table13[MFR &amp; MDL],Table13[Tolerance % CW ],"")/100*Table1[[#This Row],[Std Nom]]),"")</f>
        <v/>
      </c>
      <c r="Q1619" s="1" t="e">
        <f>Table1[[#This Row],[High Tol]]-Table1[[#This Row],[Low Tol]]</f>
        <v>#VALUE!</v>
      </c>
      <c r="R1619" s="1">
        <f>2*Table1[[#This Row],[Std Error]]</f>
        <v>0</v>
      </c>
      <c r="S1619" s="1" t="str">
        <f>IF(Table1[[#This Row],[High Tol]]="","N/A",IFERROR(ABS(Table1[[#This Row],[Tol Span]]/Table1[[#This Row],[Error Span]]),"N/A"))</f>
        <v>N/A</v>
      </c>
      <c r="T1619" s="1" t="str">
        <f>IF(OR(Table1[[#This Row],[Low Tol]]="",Table1[[#This Row],[High Tol]]=""),"Needs Analysis",IF(Table1[[#This Row],[Ratio]]&gt;=4,"Not Significant",IF(Table1[[#This Row],[Ratio]]&gt;=2,"Semi-Significant","Significant")))</f>
        <v>Needs Analysis</v>
      </c>
      <c r="W1619" s="1">
        <f>IF(Table1[[#This Row],[Cal Type]]&lt;&gt;"ACCREDITED 17025 WITH UNCERTAINTIES",0,"")</f>
        <v>0</v>
      </c>
      <c r="X1619" s="1" t="str">
        <f>IF(Table1[[#This Row],[DUT Read]]="","N/A",Table1[[#This Row],[Std Error]]+Table1[[#This Row],[DUT Read]]+Table1[[#This Row],[DUT Ucty]])</f>
        <v>N/A</v>
      </c>
      <c r="Y1619" s="1" t="str">
        <f>IF(Table1[[#This Row],[Std Read]]="","N/A",Table1[[#This Row],[Std Read]]+Table1[[#This Row],[Std Ucty]])</f>
        <v>N/A</v>
      </c>
      <c r="Z16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9" s="1" t="str">
        <f>IF(Table1[[#This Row],[Spec Type]]="","N/A",Table1[[#This Row],[Spec Type]])</f>
        <v>±</v>
      </c>
      <c r="AC1619" s="1" t="str">
        <f>IF(Table1[[#This Row],[Spec Type2]]="N/A","N/A",IF(AND(Table1[[#This Row],[DUT Adj Read]]&gt;=Table1[[#This Row],[Low Tol]],Table1[[#This Row],[DUT Adj Read]]&lt;=Table1[[#This Row],[High Tol]]),"Pass","Fail"))</f>
        <v>Fail</v>
      </c>
      <c r="AD1619" s="1" t="str">
        <f>IF(AND(Table1[[#This Row],[Spec Type2]]="N/A",Table1[[#This Row],[DUT Adj Read]]="N/A",Table1[[#This Row],[Std Adj Read]]="N/A"),"N/A",IF(Table1[[#This Row],[DUT Adj Read]]="N/A",IF(Table1[[#This Row],[Std Adj Read]]&gt;Table1[[#This Row],[Low Tol]],"Pass","Fail"),IF(Table1[[#This Row],[DUT Adj Read]]&gt;Table1[[#This Row],[Low Tol]],"Pass","Fail")))</f>
        <v>Pass</v>
      </c>
      <c r="AE1619" s="1" t="str">
        <f>IF(AND(Table1[[#This Row],[Spec Type2]]="N/A",Table1[[#This Row],[DUT Adj Read]]="N/A",Table1[[#This Row],[Std Adj Read]]="N/A"),"N/A",IF(Table1[[#This Row],[DUT Adj Read]]="N/A",IF(Table1[[#This Row],[Std Adj Read]]&lt;Table1[[#This Row],[High Tol]],"Pass","Fail"),IF(Table1[[#This Row],[DUT Adj Read]]&lt;Table1[[#This Row],[High Tol]],"Pass","Fail")))</f>
        <v>Fail</v>
      </c>
      <c r="AF1619" s="1" t="str">
        <f>IF(AND(Table1[[#This Row],[Spec Type2]]="N/A",Table1[[#This Row],[DUT Adj Read]]="N/A",Table1[[#This Row],[Std Adj Read]]="N/A"),"N/A",IF(Table1[[#This Row],[DUT Adj Read]]="N/A",IF(Table1[[#This Row],[Std Adj Read]]&gt;=Table1[[#This Row],[Low Tol]],"Pass","Fail"),IF(Table1[[#This Row],[DUT Adj Read]]&gt;=Table1[[#This Row],[Low Tol]],"Pass","Fail")))</f>
        <v>Pass</v>
      </c>
      <c r="AG1619" s="1" t="str">
        <f>IF(AND(Table1[[#This Row],[Spec Type2]]="N/A",Table1[[#This Row],[DUT Adj Read]]="N/A",Table1[[#This Row],[Std Adj Read]]="N/A"),"N/A",IF(Table1[[#This Row],[DUT Adj Read]]="N/A",IF(Table1[[#This Row],[Std Adj Read]]&lt;=Table1[[#This Row],[High Tol]],"Pass","Fail"),IF(Table1[[#This Row],[DUT Adj Read]]&lt;=Table1[[#This Row],[High Tol]],"Pass","Fail")))</f>
        <v>Fail</v>
      </c>
      <c r="AH16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9" s="1" t="b">
        <v>0</v>
      </c>
      <c r="AN1619" s="1" t="b">
        <v>0</v>
      </c>
      <c r="AO1619" s="1" t="b">
        <v>0</v>
      </c>
    </row>
    <row r="1620" spans="1:41" x14ac:dyDescent="0.25">
      <c r="A1620" s="10"/>
      <c r="B1620" s="10"/>
      <c r="C1620" s="10"/>
      <c r="D1620" s="10"/>
      <c r="E1620" s="10"/>
      <c r="F1620" s="10"/>
      <c r="G1620" s="10"/>
      <c r="H1620" s="10"/>
      <c r="I1620" s="1" t="str">
        <f t="shared" si="75"/>
        <v/>
      </c>
      <c r="J1620" s="1" t="s">
        <v>35</v>
      </c>
      <c r="K1620" s="1" t="str">
        <f t="shared" si="76"/>
        <v/>
      </c>
      <c r="L1620" s="1" t="str">
        <f t="shared" si="77"/>
        <v/>
      </c>
      <c r="M1620" s="1">
        <f>IF(OR(Table1[[#This Row],[Std Nom]]="",Table1[[#This Row],[Std Read]]=""),0,Table1[[#This Row],[Std Nom]]-Table1[[#This Row],[Std Read]])</f>
        <v>0</v>
      </c>
      <c r="N1620" s="1">
        <f>IF(Calculations!$F$5="ACCREDITED 17025 WITH UNCERTAINTIES",$N$10,0)</f>
        <v>0</v>
      </c>
      <c r="O1620" s="1" t="str">
        <f>IFERROR(Table1[[#This Row],[Std Nom]]-(_xlfn.XLOOKUP(Table1[[#This Row],[Manufacturer]]&amp;" "&amp;Table1[[#This Row],[Model]],Table13[MFR &amp; MDL],Table13[Tolerance % CW ],"")/100*Table1[[#This Row],[Std Nom]]),"")</f>
        <v/>
      </c>
      <c r="P1620" s="1" t="str">
        <f>IFERROR(Table1[[#This Row],[Std Nom]]+(_xlfn.XLOOKUP(Table1[[#This Row],[Manufacturer]]&amp;" "&amp;Table1[[#This Row],[Model]],Table13[MFR &amp; MDL],Table13[Tolerance % CW ],"")/100*Table1[[#This Row],[Std Nom]]),"")</f>
        <v/>
      </c>
      <c r="Q1620" s="1" t="e">
        <f>Table1[[#This Row],[High Tol]]-Table1[[#This Row],[Low Tol]]</f>
        <v>#VALUE!</v>
      </c>
      <c r="R1620" s="1">
        <f>2*Table1[[#This Row],[Std Error]]</f>
        <v>0</v>
      </c>
      <c r="S1620" s="1" t="str">
        <f>IF(Table1[[#This Row],[High Tol]]="","N/A",IFERROR(ABS(Table1[[#This Row],[Tol Span]]/Table1[[#This Row],[Error Span]]),"N/A"))</f>
        <v>N/A</v>
      </c>
      <c r="T1620" s="1" t="str">
        <f>IF(OR(Table1[[#This Row],[Low Tol]]="",Table1[[#This Row],[High Tol]]=""),"Needs Analysis",IF(Table1[[#This Row],[Ratio]]&gt;=4,"Not Significant",IF(Table1[[#This Row],[Ratio]]&gt;=2,"Semi-Significant","Significant")))</f>
        <v>Needs Analysis</v>
      </c>
      <c r="W1620" s="1">
        <f>IF(Table1[[#This Row],[Cal Type]]&lt;&gt;"ACCREDITED 17025 WITH UNCERTAINTIES",0,"")</f>
        <v>0</v>
      </c>
      <c r="X1620" s="1" t="str">
        <f>IF(Table1[[#This Row],[DUT Read]]="","N/A",Table1[[#This Row],[Std Error]]+Table1[[#This Row],[DUT Read]]+Table1[[#This Row],[DUT Ucty]])</f>
        <v>N/A</v>
      </c>
      <c r="Y1620" s="1" t="str">
        <f>IF(Table1[[#This Row],[Std Read]]="","N/A",Table1[[#This Row],[Std Read]]+Table1[[#This Row],[Std Ucty]])</f>
        <v>N/A</v>
      </c>
      <c r="Z16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0" s="1" t="str">
        <f>IF(Table1[[#This Row],[Spec Type]]="","N/A",Table1[[#This Row],[Spec Type]])</f>
        <v>±</v>
      </c>
      <c r="AC1620" s="1" t="str">
        <f>IF(Table1[[#This Row],[Spec Type2]]="N/A","N/A",IF(AND(Table1[[#This Row],[DUT Adj Read]]&gt;=Table1[[#This Row],[Low Tol]],Table1[[#This Row],[DUT Adj Read]]&lt;=Table1[[#This Row],[High Tol]]),"Pass","Fail"))</f>
        <v>Fail</v>
      </c>
      <c r="AD1620" s="1" t="str">
        <f>IF(AND(Table1[[#This Row],[Spec Type2]]="N/A",Table1[[#This Row],[DUT Adj Read]]="N/A",Table1[[#This Row],[Std Adj Read]]="N/A"),"N/A",IF(Table1[[#This Row],[DUT Adj Read]]="N/A",IF(Table1[[#This Row],[Std Adj Read]]&gt;Table1[[#This Row],[Low Tol]],"Pass","Fail"),IF(Table1[[#This Row],[DUT Adj Read]]&gt;Table1[[#This Row],[Low Tol]],"Pass","Fail")))</f>
        <v>Pass</v>
      </c>
      <c r="AE1620" s="1" t="str">
        <f>IF(AND(Table1[[#This Row],[Spec Type2]]="N/A",Table1[[#This Row],[DUT Adj Read]]="N/A",Table1[[#This Row],[Std Adj Read]]="N/A"),"N/A",IF(Table1[[#This Row],[DUT Adj Read]]="N/A",IF(Table1[[#This Row],[Std Adj Read]]&lt;Table1[[#This Row],[High Tol]],"Pass","Fail"),IF(Table1[[#This Row],[DUT Adj Read]]&lt;Table1[[#This Row],[High Tol]],"Pass","Fail")))</f>
        <v>Fail</v>
      </c>
      <c r="AF1620" s="1" t="str">
        <f>IF(AND(Table1[[#This Row],[Spec Type2]]="N/A",Table1[[#This Row],[DUT Adj Read]]="N/A",Table1[[#This Row],[Std Adj Read]]="N/A"),"N/A",IF(Table1[[#This Row],[DUT Adj Read]]="N/A",IF(Table1[[#This Row],[Std Adj Read]]&gt;=Table1[[#This Row],[Low Tol]],"Pass","Fail"),IF(Table1[[#This Row],[DUT Adj Read]]&gt;=Table1[[#This Row],[Low Tol]],"Pass","Fail")))</f>
        <v>Pass</v>
      </c>
      <c r="AG1620" s="1" t="str">
        <f>IF(AND(Table1[[#This Row],[Spec Type2]]="N/A",Table1[[#This Row],[DUT Adj Read]]="N/A",Table1[[#This Row],[Std Adj Read]]="N/A"),"N/A",IF(Table1[[#This Row],[DUT Adj Read]]="N/A",IF(Table1[[#This Row],[Std Adj Read]]&lt;=Table1[[#This Row],[High Tol]],"Pass","Fail"),IF(Table1[[#This Row],[DUT Adj Read]]&lt;=Table1[[#This Row],[High Tol]],"Pass","Fail")))</f>
        <v>Fail</v>
      </c>
      <c r="AH16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0" s="1" t="b">
        <v>0</v>
      </c>
      <c r="AN1620" s="1" t="b">
        <v>0</v>
      </c>
      <c r="AO1620" s="1" t="b">
        <v>0</v>
      </c>
    </row>
    <row r="1621" spans="1:41" x14ac:dyDescent="0.25">
      <c r="A1621" s="10"/>
      <c r="B1621" s="10"/>
      <c r="C1621" s="10"/>
      <c r="D1621" s="10"/>
      <c r="E1621" s="10"/>
      <c r="F1621" s="10"/>
      <c r="G1621" s="10"/>
      <c r="H1621" s="10"/>
      <c r="I1621" s="1" t="str">
        <f t="shared" si="75"/>
        <v/>
      </c>
      <c r="J1621" s="1" t="s">
        <v>35</v>
      </c>
      <c r="K1621" s="1" t="str">
        <f t="shared" si="76"/>
        <v/>
      </c>
      <c r="L1621" s="1" t="str">
        <f t="shared" si="77"/>
        <v/>
      </c>
      <c r="M1621" s="1">
        <f>IF(OR(Table1[[#This Row],[Std Nom]]="",Table1[[#This Row],[Std Read]]=""),0,Table1[[#This Row],[Std Nom]]-Table1[[#This Row],[Std Read]])</f>
        <v>0</v>
      </c>
      <c r="N1621" s="1">
        <f>IF(Calculations!$F$5="ACCREDITED 17025 WITH UNCERTAINTIES",$N$10,0)</f>
        <v>0</v>
      </c>
      <c r="O1621" s="1" t="str">
        <f>IFERROR(Table1[[#This Row],[Std Nom]]-(_xlfn.XLOOKUP(Table1[[#This Row],[Manufacturer]]&amp;" "&amp;Table1[[#This Row],[Model]],Table13[MFR &amp; MDL],Table13[Tolerance % CW ],"")/100*Table1[[#This Row],[Std Nom]]),"")</f>
        <v/>
      </c>
      <c r="P1621" s="1" t="str">
        <f>IFERROR(Table1[[#This Row],[Std Nom]]+(_xlfn.XLOOKUP(Table1[[#This Row],[Manufacturer]]&amp;" "&amp;Table1[[#This Row],[Model]],Table13[MFR &amp; MDL],Table13[Tolerance % CW ],"")/100*Table1[[#This Row],[Std Nom]]),"")</f>
        <v/>
      </c>
      <c r="Q1621" s="1" t="e">
        <f>Table1[[#This Row],[High Tol]]-Table1[[#This Row],[Low Tol]]</f>
        <v>#VALUE!</v>
      </c>
      <c r="R1621" s="1">
        <f>2*Table1[[#This Row],[Std Error]]</f>
        <v>0</v>
      </c>
      <c r="S1621" s="1" t="str">
        <f>IF(Table1[[#This Row],[High Tol]]="","N/A",IFERROR(ABS(Table1[[#This Row],[Tol Span]]/Table1[[#This Row],[Error Span]]),"N/A"))</f>
        <v>N/A</v>
      </c>
      <c r="T1621" s="1" t="str">
        <f>IF(OR(Table1[[#This Row],[Low Tol]]="",Table1[[#This Row],[High Tol]]=""),"Needs Analysis",IF(Table1[[#This Row],[Ratio]]&gt;=4,"Not Significant",IF(Table1[[#This Row],[Ratio]]&gt;=2,"Semi-Significant","Significant")))</f>
        <v>Needs Analysis</v>
      </c>
      <c r="W1621" s="1">
        <f>IF(Table1[[#This Row],[Cal Type]]&lt;&gt;"ACCREDITED 17025 WITH UNCERTAINTIES",0,"")</f>
        <v>0</v>
      </c>
      <c r="X1621" s="1" t="str">
        <f>IF(Table1[[#This Row],[DUT Read]]="","N/A",Table1[[#This Row],[Std Error]]+Table1[[#This Row],[DUT Read]]+Table1[[#This Row],[DUT Ucty]])</f>
        <v>N/A</v>
      </c>
      <c r="Y1621" s="1" t="str">
        <f>IF(Table1[[#This Row],[Std Read]]="","N/A",Table1[[#This Row],[Std Read]]+Table1[[#This Row],[Std Ucty]])</f>
        <v>N/A</v>
      </c>
      <c r="Z16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1" s="1" t="str">
        <f>IF(Table1[[#This Row],[Spec Type]]="","N/A",Table1[[#This Row],[Spec Type]])</f>
        <v>±</v>
      </c>
      <c r="AC1621" s="1" t="str">
        <f>IF(Table1[[#This Row],[Spec Type2]]="N/A","N/A",IF(AND(Table1[[#This Row],[DUT Adj Read]]&gt;=Table1[[#This Row],[Low Tol]],Table1[[#This Row],[DUT Adj Read]]&lt;=Table1[[#This Row],[High Tol]]),"Pass","Fail"))</f>
        <v>Fail</v>
      </c>
      <c r="AD1621" s="1" t="str">
        <f>IF(AND(Table1[[#This Row],[Spec Type2]]="N/A",Table1[[#This Row],[DUT Adj Read]]="N/A",Table1[[#This Row],[Std Adj Read]]="N/A"),"N/A",IF(Table1[[#This Row],[DUT Adj Read]]="N/A",IF(Table1[[#This Row],[Std Adj Read]]&gt;Table1[[#This Row],[Low Tol]],"Pass","Fail"),IF(Table1[[#This Row],[DUT Adj Read]]&gt;Table1[[#This Row],[Low Tol]],"Pass","Fail")))</f>
        <v>Pass</v>
      </c>
      <c r="AE1621" s="1" t="str">
        <f>IF(AND(Table1[[#This Row],[Spec Type2]]="N/A",Table1[[#This Row],[DUT Adj Read]]="N/A",Table1[[#This Row],[Std Adj Read]]="N/A"),"N/A",IF(Table1[[#This Row],[DUT Adj Read]]="N/A",IF(Table1[[#This Row],[Std Adj Read]]&lt;Table1[[#This Row],[High Tol]],"Pass","Fail"),IF(Table1[[#This Row],[DUT Adj Read]]&lt;Table1[[#This Row],[High Tol]],"Pass","Fail")))</f>
        <v>Fail</v>
      </c>
      <c r="AF1621" s="1" t="str">
        <f>IF(AND(Table1[[#This Row],[Spec Type2]]="N/A",Table1[[#This Row],[DUT Adj Read]]="N/A",Table1[[#This Row],[Std Adj Read]]="N/A"),"N/A",IF(Table1[[#This Row],[DUT Adj Read]]="N/A",IF(Table1[[#This Row],[Std Adj Read]]&gt;=Table1[[#This Row],[Low Tol]],"Pass","Fail"),IF(Table1[[#This Row],[DUT Adj Read]]&gt;=Table1[[#This Row],[Low Tol]],"Pass","Fail")))</f>
        <v>Pass</v>
      </c>
      <c r="AG1621" s="1" t="str">
        <f>IF(AND(Table1[[#This Row],[Spec Type2]]="N/A",Table1[[#This Row],[DUT Adj Read]]="N/A",Table1[[#This Row],[Std Adj Read]]="N/A"),"N/A",IF(Table1[[#This Row],[DUT Adj Read]]="N/A",IF(Table1[[#This Row],[Std Adj Read]]&lt;=Table1[[#This Row],[High Tol]],"Pass","Fail"),IF(Table1[[#This Row],[DUT Adj Read]]&lt;=Table1[[#This Row],[High Tol]],"Pass","Fail")))</f>
        <v>Fail</v>
      </c>
      <c r="AH16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1" s="1" t="b">
        <v>0</v>
      </c>
      <c r="AN1621" s="1" t="b">
        <v>0</v>
      </c>
      <c r="AO1621" s="1" t="b">
        <v>0</v>
      </c>
    </row>
    <row r="1622" spans="1:41" x14ac:dyDescent="0.25">
      <c r="A1622" s="10"/>
      <c r="B1622" s="10"/>
      <c r="C1622" s="10"/>
      <c r="D1622" s="10"/>
      <c r="E1622" s="10"/>
      <c r="F1622" s="10"/>
      <c r="G1622" s="10"/>
      <c r="H1622" s="10"/>
      <c r="I1622" s="1" t="str">
        <f t="shared" si="75"/>
        <v/>
      </c>
      <c r="J1622" s="1" t="s">
        <v>35</v>
      </c>
      <c r="K1622" s="1" t="str">
        <f t="shared" si="76"/>
        <v/>
      </c>
      <c r="L1622" s="1" t="str">
        <f t="shared" si="77"/>
        <v/>
      </c>
      <c r="M1622" s="1">
        <f>IF(OR(Table1[[#This Row],[Std Nom]]="",Table1[[#This Row],[Std Read]]=""),0,Table1[[#This Row],[Std Nom]]-Table1[[#This Row],[Std Read]])</f>
        <v>0</v>
      </c>
      <c r="N1622" s="1">
        <f>IF(Calculations!$F$5="ACCREDITED 17025 WITH UNCERTAINTIES",$N$10,0)</f>
        <v>0</v>
      </c>
      <c r="O1622" s="1" t="str">
        <f>IFERROR(Table1[[#This Row],[Std Nom]]-(_xlfn.XLOOKUP(Table1[[#This Row],[Manufacturer]]&amp;" "&amp;Table1[[#This Row],[Model]],Table13[MFR &amp; MDL],Table13[Tolerance % CW ],"")/100*Table1[[#This Row],[Std Nom]]),"")</f>
        <v/>
      </c>
      <c r="P1622" s="1" t="str">
        <f>IFERROR(Table1[[#This Row],[Std Nom]]+(_xlfn.XLOOKUP(Table1[[#This Row],[Manufacturer]]&amp;" "&amp;Table1[[#This Row],[Model]],Table13[MFR &amp; MDL],Table13[Tolerance % CW ],"")/100*Table1[[#This Row],[Std Nom]]),"")</f>
        <v/>
      </c>
      <c r="Q1622" s="1" t="e">
        <f>Table1[[#This Row],[High Tol]]-Table1[[#This Row],[Low Tol]]</f>
        <v>#VALUE!</v>
      </c>
      <c r="R1622" s="1">
        <f>2*Table1[[#This Row],[Std Error]]</f>
        <v>0</v>
      </c>
      <c r="S1622" s="1" t="str">
        <f>IF(Table1[[#This Row],[High Tol]]="","N/A",IFERROR(ABS(Table1[[#This Row],[Tol Span]]/Table1[[#This Row],[Error Span]]),"N/A"))</f>
        <v>N/A</v>
      </c>
      <c r="T1622" s="1" t="str">
        <f>IF(OR(Table1[[#This Row],[Low Tol]]="",Table1[[#This Row],[High Tol]]=""),"Needs Analysis",IF(Table1[[#This Row],[Ratio]]&gt;=4,"Not Significant",IF(Table1[[#This Row],[Ratio]]&gt;=2,"Semi-Significant","Significant")))</f>
        <v>Needs Analysis</v>
      </c>
      <c r="W1622" s="1">
        <f>IF(Table1[[#This Row],[Cal Type]]&lt;&gt;"ACCREDITED 17025 WITH UNCERTAINTIES",0,"")</f>
        <v>0</v>
      </c>
      <c r="X1622" s="1" t="str">
        <f>IF(Table1[[#This Row],[DUT Read]]="","N/A",Table1[[#This Row],[Std Error]]+Table1[[#This Row],[DUT Read]]+Table1[[#This Row],[DUT Ucty]])</f>
        <v>N/A</v>
      </c>
      <c r="Y1622" s="1" t="str">
        <f>IF(Table1[[#This Row],[Std Read]]="","N/A",Table1[[#This Row],[Std Read]]+Table1[[#This Row],[Std Ucty]])</f>
        <v>N/A</v>
      </c>
      <c r="Z16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2" s="1" t="str">
        <f>IF(Table1[[#This Row],[Spec Type]]="","N/A",Table1[[#This Row],[Spec Type]])</f>
        <v>±</v>
      </c>
      <c r="AC1622" s="1" t="str">
        <f>IF(Table1[[#This Row],[Spec Type2]]="N/A","N/A",IF(AND(Table1[[#This Row],[DUT Adj Read]]&gt;=Table1[[#This Row],[Low Tol]],Table1[[#This Row],[DUT Adj Read]]&lt;=Table1[[#This Row],[High Tol]]),"Pass","Fail"))</f>
        <v>Fail</v>
      </c>
      <c r="AD1622" s="1" t="str">
        <f>IF(AND(Table1[[#This Row],[Spec Type2]]="N/A",Table1[[#This Row],[DUT Adj Read]]="N/A",Table1[[#This Row],[Std Adj Read]]="N/A"),"N/A",IF(Table1[[#This Row],[DUT Adj Read]]="N/A",IF(Table1[[#This Row],[Std Adj Read]]&gt;Table1[[#This Row],[Low Tol]],"Pass","Fail"),IF(Table1[[#This Row],[DUT Adj Read]]&gt;Table1[[#This Row],[Low Tol]],"Pass","Fail")))</f>
        <v>Pass</v>
      </c>
      <c r="AE1622" s="1" t="str">
        <f>IF(AND(Table1[[#This Row],[Spec Type2]]="N/A",Table1[[#This Row],[DUT Adj Read]]="N/A",Table1[[#This Row],[Std Adj Read]]="N/A"),"N/A",IF(Table1[[#This Row],[DUT Adj Read]]="N/A",IF(Table1[[#This Row],[Std Adj Read]]&lt;Table1[[#This Row],[High Tol]],"Pass","Fail"),IF(Table1[[#This Row],[DUT Adj Read]]&lt;Table1[[#This Row],[High Tol]],"Pass","Fail")))</f>
        <v>Fail</v>
      </c>
      <c r="AF1622" s="1" t="str">
        <f>IF(AND(Table1[[#This Row],[Spec Type2]]="N/A",Table1[[#This Row],[DUT Adj Read]]="N/A",Table1[[#This Row],[Std Adj Read]]="N/A"),"N/A",IF(Table1[[#This Row],[DUT Adj Read]]="N/A",IF(Table1[[#This Row],[Std Adj Read]]&gt;=Table1[[#This Row],[Low Tol]],"Pass","Fail"),IF(Table1[[#This Row],[DUT Adj Read]]&gt;=Table1[[#This Row],[Low Tol]],"Pass","Fail")))</f>
        <v>Pass</v>
      </c>
      <c r="AG1622" s="1" t="str">
        <f>IF(AND(Table1[[#This Row],[Spec Type2]]="N/A",Table1[[#This Row],[DUT Adj Read]]="N/A",Table1[[#This Row],[Std Adj Read]]="N/A"),"N/A",IF(Table1[[#This Row],[DUT Adj Read]]="N/A",IF(Table1[[#This Row],[Std Adj Read]]&lt;=Table1[[#This Row],[High Tol]],"Pass","Fail"),IF(Table1[[#This Row],[DUT Adj Read]]&lt;=Table1[[#This Row],[High Tol]],"Pass","Fail")))</f>
        <v>Fail</v>
      </c>
      <c r="AH16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2" s="1" t="b">
        <v>0</v>
      </c>
      <c r="AN1622" s="1" t="b">
        <v>0</v>
      </c>
      <c r="AO1622" s="1" t="b">
        <v>0</v>
      </c>
    </row>
    <row r="1623" spans="1:41" x14ac:dyDescent="0.25">
      <c r="A1623" s="10"/>
      <c r="B1623" s="10"/>
      <c r="C1623" s="10"/>
      <c r="D1623" s="10"/>
      <c r="E1623" s="10"/>
      <c r="F1623" s="10"/>
      <c r="G1623" s="10"/>
      <c r="H1623" s="10"/>
      <c r="I1623" s="1" t="str">
        <f t="shared" si="75"/>
        <v/>
      </c>
      <c r="J1623" s="1" t="s">
        <v>35</v>
      </c>
      <c r="K1623" s="1" t="str">
        <f t="shared" si="76"/>
        <v/>
      </c>
      <c r="L1623" s="1" t="str">
        <f t="shared" si="77"/>
        <v/>
      </c>
      <c r="M1623" s="1">
        <f>IF(OR(Table1[[#This Row],[Std Nom]]="",Table1[[#This Row],[Std Read]]=""),0,Table1[[#This Row],[Std Nom]]-Table1[[#This Row],[Std Read]])</f>
        <v>0</v>
      </c>
      <c r="N1623" s="1">
        <f>IF(Calculations!$F$5="ACCREDITED 17025 WITH UNCERTAINTIES",$N$10,0)</f>
        <v>0</v>
      </c>
      <c r="O1623" s="1" t="str">
        <f>IFERROR(Table1[[#This Row],[Std Nom]]-(_xlfn.XLOOKUP(Table1[[#This Row],[Manufacturer]]&amp;" "&amp;Table1[[#This Row],[Model]],Table13[MFR &amp; MDL],Table13[Tolerance % CW ],"")/100*Table1[[#This Row],[Std Nom]]),"")</f>
        <v/>
      </c>
      <c r="P1623" s="1" t="str">
        <f>IFERROR(Table1[[#This Row],[Std Nom]]+(_xlfn.XLOOKUP(Table1[[#This Row],[Manufacturer]]&amp;" "&amp;Table1[[#This Row],[Model]],Table13[MFR &amp; MDL],Table13[Tolerance % CW ],"")/100*Table1[[#This Row],[Std Nom]]),"")</f>
        <v/>
      </c>
      <c r="Q1623" s="1" t="e">
        <f>Table1[[#This Row],[High Tol]]-Table1[[#This Row],[Low Tol]]</f>
        <v>#VALUE!</v>
      </c>
      <c r="R1623" s="1">
        <f>2*Table1[[#This Row],[Std Error]]</f>
        <v>0</v>
      </c>
      <c r="S1623" s="1" t="str">
        <f>IF(Table1[[#This Row],[High Tol]]="","N/A",IFERROR(ABS(Table1[[#This Row],[Tol Span]]/Table1[[#This Row],[Error Span]]),"N/A"))</f>
        <v>N/A</v>
      </c>
      <c r="T1623" s="1" t="str">
        <f>IF(OR(Table1[[#This Row],[Low Tol]]="",Table1[[#This Row],[High Tol]]=""),"Needs Analysis",IF(Table1[[#This Row],[Ratio]]&gt;=4,"Not Significant",IF(Table1[[#This Row],[Ratio]]&gt;=2,"Semi-Significant","Significant")))</f>
        <v>Needs Analysis</v>
      </c>
      <c r="W1623" s="1">
        <f>IF(Table1[[#This Row],[Cal Type]]&lt;&gt;"ACCREDITED 17025 WITH UNCERTAINTIES",0,"")</f>
        <v>0</v>
      </c>
      <c r="X1623" s="1" t="str">
        <f>IF(Table1[[#This Row],[DUT Read]]="","N/A",Table1[[#This Row],[Std Error]]+Table1[[#This Row],[DUT Read]]+Table1[[#This Row],[DUT Ucty]])</f>
        <v>N/A</v>
      </c>
      <c r="Y1623" s="1" t="str">
        <f>IF(Table1[[#This Row],[Std Read]]="","N/A",Table1[[#This Row],[Std Read]]+Table1[[#This Row],[Std Ucty]])</f>
        <v>N/A</v>
      </c>
      <c r="Z16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3" s="1" t="str">
        <f>IF(Table1[[#This Row],[Spec Type]]="","N/A",Table1[[#This Row],[Spec Type]])</f>
        <v>±</v>
      </c>
      <c r="AC1623" s="1" t="str">
        <f>IF(Table1[[#This Row],[Spec Type2]]="N/A","N/A",IF(AND(Table1[[#This Row],[DUT Adj Read]]&gt;=Table1[[#This Row],[Low Tol]],Table1[[#This Row],[DUT Adj Read]]&lt;=Table1[[#This Row],[High Tol]]),"Pass","Fail"))</f>
        <v>Fail</v>
      </c>
      <c r="AD1623" s="1" t="str">
        <f>IF(AND(Table1[[#This Row],[Spec Type2]]="N/A",Table1[[#This Row],[DUT Adj Read]]="N/A",Table1[[#This Row],[Std Adj Read]]="N/A"),"N/A",IF(Table1[[#This Row],[DUT Adj Read]]="N/A",IF(Table1[[#This Row],[Std Adj Read]]&gt;Table1[[#This Row],[Low Tol]],"Pass","Fail"),IF(Table1[[#This Row],[DUT Adj Read]]&gt;Table1[[#This Row],[Low Tol]],"Pass","Fail")))</f>
        <v>Pass</v>
      </c>
      <c r="AE1623" s="1" t="str">
        <f>IF(AND(Table1[[#This Row],[Spec Type2]]="N/A",Table1[[#This Row],[DUT Adj Read]]="N/A",Table1[[#This Row],[Std Adj Read]]="N/A"),"N/A",IF(Table1[[#This Row],[DUT Adj Read]]="N/A",IF(Table1[[#This Row],[Std Adj Read]]&lt;Table1[[#This Row],[High Tol]],"Pass","Fail"),IF(Table1[[#This Row],[DUT Adj Read]]&lt;Table1[[#This Row],[High Tol]],"Pass","Fail")))</f>
        <v>Fail</v>
      </c>
      <c r="AF1623" s="1" t="str">
        <f>IF(AND(Table1[[#This Row],[Spec Type2]]="N/A",Table1[[#This Row],[DUT Adj Read]]="N/A",Table1[[#This Row],[Std Adj Read]]="N/A"),"N/A",IF(Table1[[#This Row],[DUT Adj Read]]="N/A",IF(Table1[[#This Row],[Std Adj Read]]&gt;=Table1[[#This Row],[Low Tol]],"Pass","Fail"),IF(Table1[[#This Row],[DUT Adj Read]]&gt;=Table1[[#This Row],[Low Tol]],"Pass","Fail")))</f>
        <v>Pass</v>
      </c>
      <c r="AG1623" s="1" t="str">
        <f>IF(AND(Table1[[#This Row],[Spec Type2]]="N/A",Table1[[#This Row],[DUT Adj Read]]="N/A",Table1[[#This Row],[Std Adj Read]]="N/A"),"N/A",IF(Table1[[#This Row],[DUT Adj Read]]="N/A",IF(Table1[[#This Row],[Std Adj Read]]&lt;=Table1[[#This Row],[High Tol]],"Pass","Fail"),IF(Table1[[#This Row],[DUT Adj Read]]&lt;=Table1[[#This Row],[High Tol]],"Pass","Fail")))</f>
        <v>Fail</v>
      </c>
      <c r="AH16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3" s="1" t="b">
        <v>0</v>
      </c>
      <c r="AN1623" s="1" t="b">
        <v>0</v>
      </c>
      <c r="AO1623" s="1" t="b">
        <v>0</v>
      </c>
    </row>
    <row r="1624" spans="1:41" x14ac:dyDescent="0.25">
      <c r="A1624" s="10"/>
      <c r="B1624" s="10"/>
      <c r="C1624" s="10"/>
      <c r="D1624" s="10"/>
      <c r="E1624" s="10"/>
      <c r="F1624" s="10"/>
      <c r="G1624" s="10"/>
      <c r="H1624" s="10"/>
      <c r="I1624" s="1" t="str">
        <f t="shared" si="75"/>
        <v/>
      </c>
      <c r="J1624" s="1" t="s">
        <v>35</v>
      </c>
      <c r="K1624" s="1" t="str">
        <f t="shared" si="76"/>
        <v/>
      </c>
      <c r="L1624" s="1" t="str">
        <f t="shared" si="77"/>
        <v/>
      </c>
      <c r="M1624" s="1">
        <f>IF(OR(Table1[[#This Row],[Std Nom]]="",Table1[[#This Row],[Std Read]]=""),0,Table1[[#This Row],[Std Nom]]-Table1[[#This Row],[Std Read]])</f>
        <v>0</v>
      </c>
      <c r="N1624" s="1">
        <f>IF(Calculations!$F$5="ACCREDITED 17025 WITH UNCERTAINTIES",$N$10,0)</f>
        <v>0</v>
      </c>
      <c r="O1624" s="1" t="str">
        <f>IFERROR(Table1[[#This Row],[Std Nom]]-(_xlfn.XLOOKUP(Table1[[#This Row],[Manufacturer]]&amp;" "&amp;Table1[[#This Row],[Model]],Table13[MFR &amp; MDL],Table13[Tolerance % CW ],"")/100*Table1[[#This Row],[Std Nom]]),"")</f>
        <v/>
      </c>
      <c r="P1624" s="1" t="str">
        <f>IFERROR(Table1[[#This Row],[Std Nom]]+(_xlfn.XLOOKUP(Table1[[#This Row],[Manufacturer]]&amp;" "&amp;Table1[[#This Row],[Model]],Table13[MFR &amp; MDL],Table13[Tolerance % CW ],"")/100*Table1[[#This Row],[Std Nom]]),"")</f>
        <v/>
      </c>
      <c r="Q1624" s="1" t="e">
        <f>Table1[[#This Row],[High Tol]]-Table1[[#This Row],[Low Tol]]</f>
        <v>#VALUE!</v>
      </c>
      <c r="R1624" s="1">
        <f>2*Table1[[#This Row],[Std Error]]</f>
        <v>0</v>
      </c>
      <c r="S1624" s="1" t="str">
        <f>IF(Table1[[#This Row],[High Tol]]="","N/A",IFERROR(ABS(Table1[[#This Row],[Tol Span]]/Table1[[#This Row],[Error Span]]),"N/A"))</f>
        <v>N/A</v>
      </c>
      <c r="T1624" s="1" t="str">
        <f>IF(OR(Table1[[#This Row],[Low Tol]]="",Table1[[#This Row],[High Tol]]=""),"Needs Analysis",IF(Table1[[#This Row],[Ratio]]&gt;=4,"Not Significant",IF(Table1[[#This Row],[Ratio]]&gt;=2,"Semi-Significant","Significant")))</f>
        <v>Needs Analysis</v>
      </c>
      <c r="W1624" s="1">
        <f>IF(Table1[[#This Row],[Cal Type]]&lt;&gt;"ACCREDITED 17025 WITH UNCERTAINTIES",0,"")</f>
        <v>0</v>
      </c>
      <c r="X1624" s="1" t="str">
        <f>IF(Table1[[#This Row],[DUT Read]]="","N/A",Table1[[#This Row],[Std Error]]+Table1[[#This Row],[DUT Read]]+Table1[[#This Row],[DUT Ucty]])</f>
        <v>N/A</v>
      </c>
      <c r="Y1624" s="1" t="str">
        <f>IF(Table1[[#This Row],[Std Read]]="","N/A",Table1[[#This Row],[Std Read]]+Table1[[#This Row],[Std Ucty]])</f>
        <v>N/A</v>
      </c>
      <c r="Z16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4" s="1" t="str">
        <f>IF(Table1[[#This Row],[Spec Type]]="","N/A",Table1[[#This Row],[Spec Type]])</f>
        <v>±</v>
      </c>
      <c r="AC1624" s="1" t="str">
        <f>IF(Table1[[#This Row],[Spec Type2]]="N/A","N/A",IF(AND(Table1[[#This Row],[DUT Adj Read]]&gt;=Table1[[#This Row],[Low Tol]],Table1[[#This Row],[DUT Adj Read]]&lt;=Table1[[#This Row],[High Tol]]),"Pass","Fail"))</f>
        <v>Fail</v>
      </c>
      <c r="AD1624" s="1" t="str">
        <f>IF(AND(Table1[[#This Row],[Spec Type2]]="N/A",Table1[[#This Row],[DUT Adj Read]]="N/A",Table1[[#This Row],[Std Adj Read]]="N/A"),"N/A",IF(Table1[[#This Row],[DUT Adj Read]]="N/A",IF(Table1[[#This Row],[Std Adj Read]]&gt;Table1[[#This Row],[Low Tol]],"Pass","Fail"),IF(Table1[[#This Row],[DUT Adj Read]]&gt;Table1[[#This Row],[Low Tol]],"Pass","Fail")))</f>
        <v>Pass</v>
      </c>
      <c r="AE1624" s="1" t="str">
        <f>IF(AND(Table1[[#This Row],[Spec Type2]]="N/A",Table1[[#This Row],[DUT Adj Read]]="N/A",Table1[[#This Row],[Std Adj Read]]="N/A"),"N/A",IF(Table1[[#This Row],[DUT Adj Read]]="N/A",IF(Table1[[#This Row],[Std Adj Read]]&lt;Table1[[#This Row],[High Tol]],"Pass","Fail"),IF(Table1[[#This Row],[DUT Adj Read]]&lt;Table1[[#This Row],[High Tol]],"Pass","Fail")))</f>
        <v>Fail</v>
      </c>
      <c r="AF1624" s="1" t="str">
        <f>IF(AND(Table1[[#This Row],[Spec Type2]]="N/A",Table1[[#This Row],[DUT Adj Read]]="N/A",Table1[[#This Row],[Std Adj Read]]="N/A"),"N/A",IF(Table1[[#This Row],[DUT Adj Read]]="N/A",IF(Table1[[#This Row],[Std Adj Read]]&gt;=Table1[[#This Row],[Low Tol]],"Pass","Fail"),IF(Table1[[#This Row],[DUT Adj Read]]&gt;=Table1[[#This Row],[Low Tol]],"Pass","Fail")))</f>
        <v>Pass</v>
      </c>
      <c r="AG1624" s="1" t="str">
        <f>IF(AND(Table1[[#This Row],[Spec Type2]]="N/A",Table1[[#This Row],[DUT Adj Read]]="N/A",Table1[[#This Row],[Std Adj Read]]="N/A"),"N/A",IF(Table1[[#This Row],[DUT Adj Read]]="N/A",IF(Table1[[#This Row],[Std Adj Read]]&lt;=Table1[[#This Row],[High Tol]],"Pass","Fail"),IF(Table1[[#This Row],[DUT Adj Read]]&lt;=Table1[[#This Row],[High Tol]],"Pass","Fail")))</f>
        <v>Fail</v>
      </c>
      <c r="AH16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4" s="1" t="b">
        <v>0</v>
      </c>
      <c r="AN1624" s="1" t="b">
        <v>0</v>
      </c>
      <c r="AO1624" s="1" t="b">
        <v>0</v>
      </c>
    </row>
    <row r="1625" spans="1:41" x14ac:dyDescent="0.25">
      <c r="A1625" s="10"/>
      <c r="B1625" s="10"/>
      <c r="C1625" s="10"/>
      <c r="D1625" s="10"/>
      <c r="E1625" s="10"/>
      <c r="F1625" s="10"/>
      <c r="G1625" s="10"/>
      <c r="H1625" s="10"/>
      <c r="I1625" s="1" t="str">
        <f t="shared" si="75"/>
        <v/>
      </c>
      <c r="J1625" s="1" t="s">
        <v>35</v>
      </c>
      <c r="K1625" s="1" t="str">
        <f t="shared" si="76"/>
        <v/>
      </c>
      <c r="L1625" s="1" t="str">
        <f t="shared" si="77"/>
        <v/>
      </c>
      <c r="M1625" s="1">
        <f>IF(OR(Table1[[#This Row],[Std Nom]]="",Table1[[#This Row],[Std Read]]=""),0,Table1[[#This Row],[Std Nom]]-Table1[[#This Row],[Std Read]])</f>
        <v>0</v>
      </c>
      <c r="N1625" s="1">
        <f>IF(Calculations!$F$5="ACCREDITED 17025 WITH UNCERTAINTIES",$N$10,0)</f>
        <v>0</v>
      </c>
      <c r="O1625" s="1" t="str">
        <f>IFERROR(Table1[[#This Row],[Std Nom]]-(_xlfn.XLOOKUP(Table1[[#This Row],[Manufacturer]]&amp;" "&amp;Table1[[#This Row],[Model]],Table13[MFR &amp; MDL],Table13[Tolerance % CW ],"")/100*Table1[[#This Row],[Std Nom]]),"")</f>
        <v/>
      </c>
      <c r="P1625" s="1" t="str">
        <f>IFERROR(Table1[[#This Row],[Std Nom]]+(_xlfn.XLOOKUP(Table1[[#This Row],[Manufacturer]]&amp;" "&amp;Table1[[#This Row],[Model]],Table13[MFR &amp; MDL],Table13[Tolerance % CW ],"")/100*Table1[[#This Row],[Std Nom]]),"")</f>
        <v/>
      </c>
      <c r="Q1625" s="1" t="e">
        <f>Table1[[#This Row],[High Tol]]-Table1[[#This Row],[Low Tol]]</f>
        <v>#VALUE!</v>
      </c>
      <c r="R1625" s="1">
        <f>2*Table1[[#This Row],[Std Error]]</f>
        <v>0</v>
      </c>
      <c r="S1625" s="1" t="str">
        <f>IF(Table1[[#This Row],[High Tol]]="","N/A",IFERROR(ABS(Table1[[#This Row],[Tol Span]]/Table1[[#This Row],[Error Span]]),"N/A"))</f>
        <v>N/A</v>
      </c>
      <c r="T1625" s="1" t="str">
        <f>IF(OR(Table1[[#This Row],[Low Tol]]="",Table1[[#This Row],[High Tol]]=""),"Needs Analysis",IF(Table1[[#This Row],[Ratio]]&gt;=4,"Not Significant",IF(Table1[[#This Row],[Ratio]]&gt;=2,"Semi-Significant","Significant")))</f>
        <v>Needs Analysis</v>
      </c>
      <c r="W1625" s="1">
        <f>IF(Table1[[#This Row],[Cal Type]]&lt;&gt;"ACCREDITED 17025 WITH UNCERTAINTIES",0,"")</f>
        <v>0</v>
      </c>
      <c r="X1625" s="1" t="str">
        <f>IF(Table1[[#This Row],[DUT Read]]="","N/A",Table1[[#This Row],[Std Error]]+Table1[[#This Row],[DUT Read]]+Table1[[#This Row],[DUT Ucty]])</f>
        <v>N/A</v>
      </c>
      <c r="Y1625" s="1" t="str">
        <f>IF(Table1[[#This Row],[Std Read]]="","N/A",Table1[[#This Row],[Std Read]]+Table1[[#This Row],[Std Ucty]])</f>
        <v>N/A</v>
      </c>
      <c r="Z16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5" s="1" t="str">
        <f>IF(Table1[[#This Row],[Spec Type]]="","N/A",Table1[[#This Row],[Spec Type]])</f>
        <v>±</v>
      </c>
      <c r="AC1625" s="1" t="str">
        <f>IF(Table1[[#This Row],[Spec Type2]]="N/A","N/A",IF(AND(Table1[[#This Row],[DUT Adj Read]]&gt;=Table1[[#This Row],[Low Tol]],Table1[[#This Row],[DUT Adj Read]]&lt;=Table1[[#This Row],[High Tol]]),"Pass","Fail"))</f>
        <v>Fail</v>
      </c>
      <c r="AD1625" s="1" t="str">
        <f>IF(AND(Table1[[#This Row],[Spec Type2]]="N/A",Table1[[#This Row],[DUT Adj Read]]="N/A",Table1[[#This Row],[Std Adj Read]]="N/A"),"N/A",IF(Table1[[#This Row],[DUT Adj Read]]="N/A",IF(Table1[[#This Row],[Std Adj Read]]&gt;Table1[[#This Row],[Low Tol]],"Pass","Fail"),IF(Table1[[#This Row],[DUT Adj Read]]&gt;Table1[[#This Row],[Low Tol]],"Pass","Fail")))</f>
        <v>Pass</v>
      </c>
      <c r="AE1625" s="1" t="str">
        <f>IF(AND(Table1[[#This Row],[Spec Type2]]="N/A",Table1[[#This Row],[DUT Adj Read]]="N/A",Table1[[#This Row],[Std Adj Read]]="N/A"),"N/A",IF(Table1[[#This Row],[DUT Adj Read]]="N/A",IF(Table1[[#This Row],[Std Adj Read]]&lt;Table1[[#This Row],[High Tol]],"Pass","Fail"),IF(Table1[[#This Row],[DUT Adj Read]]&lt;Table1[[#This Row],[High Tol]],"Pass","Fail")))</f>
        <v>Fail</v>
      </c>
      <c r="AF1625" s="1" t="str">
        <f>IF(AND(Table1[[#This Row],[Spec Type2]]="N/A",Table1[[#This Row],[DUT Adj Read]]="N/A",Table1[[#This Row],[Std Adj Read]]="N/A"),"N/A",IF(Table1[[#This Row],[DUT Adj Read]]="N/A",IF(Table1[[#This Row],[Std Adj Read]]&gt;=Table1[[#This Row],[Low Tol]],"Pass","Fail"),IF(Table1[[#This Row],[DUT Adj Read]]&gt;=Table1[[#This Row],[Low Tol]],"Pass","Fail")))</f>
        <v>Pass</v>
      </c>
      <c r="AG1625" s="1" t="str">
        <f>IF(AND(Table1[[#This Row],[Spec Type2]]="N/A",Table1[[#This Row],[DUT Adj Read]]="N/A",Table1[[#This Row],[Std Adj Read]]="N/A"),"N/A",IF(Table1[[#This Row],[DUT Adj Read]]="N/A",IF(Table1[[#This Row],[Std Adj Read]]&lt;=Table1[[#This Row],[High Tol]],"Pass","Fail"),IF(Table1[[#This Row],[DUT Adj Read]]&lt;=Table1[[#This Row],[High Tol]],"Pass","Fail")))</f>
        <v>Fail</v>
      </c>
      <c r="AH16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5" s="1" t="b">
        <v>0</v>
      </c>
      <c r="AN1625" s="1" t="b">
        <v>0</v>
      </c>
      <c r="AO1625" s="1" t="b">
        <v>0</v>
      </c>
    </row>
    <row r="1626" spans="1:41" x14ac:dyDescent="0.25">
      <c r="A1626" s="10"/>
      <c r="B1626" s="10"/>
      <c r="C1626" s="10"/>
      <c r="D1626" s="10"/>
      <c r="E1626" s="10"/>
      <c r="F1626" s="10"/>
      <c r="G1626" s="10"/>
      <c r="H1626" s="10"/>
      <c r="I1626" s="1" t="str">
        <f t="shared" si="75"/>
        <v/>
      </c>
      <c r="J1626" s="1" t="s">
        <v>35</v>
      </c>
      <c r="K1626" s="1" t="str">
        <f t="shared" si="76"/>
        <v/>
      </c>
      <c r="L1626" s="1" t="str">
        <f t="shared" si="77"/>
        <v/>
      </c>
      <c r="M1626" s="1">
        <f>IF(OR(Table1[[#This Row],[Std Nom]]="",Table1[[#This Row],[Std Read]]=""),0,Table1[[#This Row],[Std Nom]]-Table1[[#This Row],[Std Read]])</f>
        <v>0</v>
      </c>
      <c r="N1626" s="1">
        <f>IF(Calculations!$F$5="ACCREDITED 17025 WITH UNCERTAINTIES",$N$10,0)</f>
        <v>0</v>
      </c>
      <c r="O1626" s="1" t="str">
        <f>IFERROR(Table1[[#This Row],[Std Nom]]-(_xlfn.XLOOKUP(Table1[[#This Row],[Manufacturer]]&amp;" "&amp;Table1[[#This Row],[Model]],Table13[MFR &amp; MDL],Table13[Tolerance % CW ],"")/100*Table1[[#This Row],[Std Nom]]),"")</f>
        <v/>
      </c>
      <c r="P1626" s="1" t="str">
        <f>IFERROR(Table1[[#This Row],[Std Nom]]+(_xlfn.XLOOKUP(Table1[[#This Row],[Manufacturer]]&amp;" "&amp;Table1[[#This Row],[Model]],Table13[MFR &amp; MDL],Table13[Tolerance % CW ],"")/100*Table1[[#This Row],[Std Nom]]),"")</f>
        <v/>
      </c>
      <c r="Q1626" s="1" t="e">
        <f>Table1[[#This Row],[High Tol]]-Table1[[#This Row],[Low Tol]]</f>
        <v>#VALUE!</v>
      </c>
      <c r="R1626" s="1">
        <f>2*Table1[[#This Row],[Std Error]]</f>
        <v>0</v>
      </c>
      <c r="S1626" s="1" t="str">
        <f>IF(Table1[[#This Row],[High Tol]]="","N/A",IFERROR(ABS(Table1[[#This Row],[Tol Span]]/Table1[[#This Row],[Error Span]]),"N/A"))</f>
        <v>N/A</v>
      </c>
      <c r="T1626" s="1" t="str">
        <f>IF(OR(Table1[[#This Row],[Low Tol]]="",Table1[[#This Row],[High Tol]]=""),"Needs Analysis",IF(Table1[[#This Row],[Ratio]]&gt;=4,"Not Significant",IF(Table1[[#This Row],[Ratio]]&gt;=2,"Semi-Significant","Significant")))</f>
        <v>Needs Analysis</v>
      </c>
      <c r="W1626" s="1">
        <f>IF(Table1[[#This Row],[Cal Type]]&lt;&gt;"ACCREDITED 17025 WITH UNCERTAINTIES",0,"")</f>
        <v>0</v>
      </c>
      <c r="X1626" s="1" t="str">
        <f>IF(Table1[[#This Row],[DUT Read]]="","N/A",Table1[[#This Row],[Std Error]]+Table1[[#This Row],[DUT Read]]+Table1[[#This Row],[DUT Ucty]])</f>
        <v>N/A</v>
      </c>
      <c r="Y1626" s="1" t="str">
        <f>IF(Table1[[#This Row],[Std Read]]="","N/A",Table1[[#This Row],[Std Read]]+Table1[[#This Row],[Std Ucty]])</f>
        <v>N/A</v>
      </c>
      <c r="Z16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6" s="1" t="str">
        <f>IF(Table1[[#This Row],[Spec Type]]="","N/A",Table1[[#This Row],[Spec Type]])</f>
        <v>±</v>
      </c>
      <c r="AC1626" s="1" t="str">
        <f>IF(Table1[[#This Row],[Spec Type2]]="N/A","N/A",IF(AND(Table1[[#This Row],[DUT Adj Read]]&gt;=Table1[[#This Row],[Low Tol]],Table1[[#This Row],[DUT Adj Read]]&lt;=Table1[[#This Row],[High Tol]]),"Pass","Fail"))</f>
        <v>Fail</v>
      </c>
      <c r="AD1626" s="1" t="str">
        <f>IF(AND(Table1[[#This Row],[Spec Type2]]="N/A",Table1[[#This Row],[DUT Adj Read]]="N/A",Table1[[#This Row],[Std Adj Read]]="N/A"),"N/A",IF(Table1[[#This Row],[DUT Adj Read]]="N/A",IF(Table1[[#This Row],[Std Adj Read]]&gt;Table1[[#This Row],[Low Tol]],"Pass","Fail"),IF(Table1[[#This Row],[DUT Adj Read]]&gt;Table1[[#This Row],[Low Tol]],"Pass","Fail")))</f>
        <v>Pass</v>
      </c>
      <c r="AE1626" s="1" t="str">
        <f>IF(AND(Table1[[#This Row],[Spec Type2]]="N/A",Table1[[#This Row],[DUT Adj Read]]="N/A",Table1[[#This Row],[Std Adj Read]]="N/A"),"N/A",IF(Table1[[#This Row],[DUT Adj Read]]="N/A",IF(Table1[[#This Row],[Std Adj Read]]&lt;Table1[[#This Row],[High Tol]],"Pass","Fail"),IF(Table1[[#This Row],[DUT Adj Read]]&lt;Table1[[#This Row],[High Tol]],"Pass","Fail")))</f>
        <v>Fail</v>
      </c>
      <c r="AF1626" s="1" t="str">
        <f>IF(AND(Table1[[#This Row],[Spec Type2]]="N/A",Table1[[#This Row],[DUT Adj Read]]="N/A",Table1[[#This Row],[Std Adj Read]]="N/A"),"N/A",IF(Table1[[#This Row],[DUT Adj Read]]="N/A",IF(Table1[[#This Row],[Std Adj Read]]&gt;=Table1[[#This Row],[Low Tol]],"Pass","Fail"),IF(Table1[[#This Row],[DUT Adj Read]]&gt;=Table1[[#This Row],[Low Tol]],"Pass","Fail")))</f>
        <v>Pass</v>
      </c>
      <c r="AG1626" s="1" t="str">
        <f>IF(AND(Table1[[#This Row],[Spec Type2]]="N/A",Table1[[#This Row],[DUT Adj Read]]="N/A",Table1[[#This Row],[Std Adj Read]]="N/A"),"N/A",IF(Table1[[#This Row],[DUT Adj Read]]="N/A",IF(Table1[[#This Row],[Std Adj Read]]&lt;=Table1[[#This Row],[High Tol]],"Pass","Fail"),IF(Table1[[#This Row],[DUT Adj Read]]&lt;=Table1[[#This Row],[High Tol]],"Pass","Fail")))</f>
        <v>Fail</v>
      </c>
      <c r="AH16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6" s="1" t="b">
        <v>0</v>
      </c>
      <c r="AN1626" s="1" t="b">
        <v>0</v>
      </c>
      <c r="AO1626" s="1" t="b">
        <v>0</v>
      </c>
    </row>
    <row r="1627" spans="1:41" x14ac:dyDescent="0.25">
      <c r="A1627" s="10"/>
      <c r="B1627" s="10"/>
      <c r="C1627" s="10"/>
      <c r="D1627" s="10"/>
      <c r="E1627" s="10"/>
      <c r="F1627" s="10"/>
      <c r="G1627" s="10"/>
      <c r="H1627" s="10"/>
      <c r="I1627" s="1" t="str">
        <f t="shared" si="75"/>
        <v/>
      </c>
      <c r="J1627" s="1" t="s">
        <v>35</v>
      </c>
      <c r="K1627" s="1" t="str">
        <f t="shared" si="76"/>
        <v/>
      </c>
      <c r="L1627" s="1" t="str">
        <f t="shared" si="77"/>
        <v/>
      </c>
      <c r="M1627" s="1">
        <f>IF(OR(Table1[[#This Row],[Std Nom]]="",Table1[[#This Row],[Std Read]]=""),0,Table1[[#This Row],[Std Nom]]-Table1[[#This Row],[Std Read]])</f>
        <v>0</v>
      </c>
      <c r="N1627" s="1">
        <f>IF(Calculations!$F$5="ACCREDITED 17025 WITH UNCERTAINTIES",$N$10,0)</f>
        <v>0</v>
      </c>
      <c r="O1627" s="1" t="str">
        <f>IFERROR(Table1[[#This Row],[Std Nom]]-(_xlfn.XLOOKUP(Table1[[#This Row],[Manufacturer]]&amp;" "&amp;Table1[[#This Row],[Model]],Table13[MFR &amp; MDL],Table13[Tolerance % CW ],"")/100*Table1[[#This Row],[Std Nom]]),"")</f>
        <v/>
      </c>
      <c r="P1627" s="1" t="str">
        <f>IFERROR(Table1[[#This Row],[Std Nom]]+(_xlfn.XLOOKUP(Table1[[#This Row],[Manufacturer]]&amp;" "&amp;Table1[[#This Row],[Model]],Table13[MFR &amp; MDL],Table13[Tolerance % CW ],"")/100*Table1[[#This Row],[Std Nom]]),"")</f>
        <v/>
      </c>
      <c r="Q1627" s="1" t="e">
        <f>Table1[[#This Row],[High Tol]]-Table1[[#This Row],[Low Tol]]</f>
        <v>#VALUE!</v>
      </c>
      <c r="R1627" s="1">
        <f>2*Table1[[#This Row],[Std Error]]</f>
        <v>0</v>
      </c>
      <c r="S1627" s="1" t="str">
        <f>IF(Table1[[#This Row],[High Tol]]="","N/A",IFERROR(ABS(Table1[[#This Row],[Tol Span]]/Table1[[#This Row],[Error Span]]),"N/A"))</f>
        <v>N/A</v>
      </c>
      <c r="T1627" s="1" t="str">
        <f>IF(OR(Table1[[#This Row],[Low Tol]]="",Table1[[#This Row],[High Tol]]=""),"Needs Analysis",IF(Table1[[#This Row],[Ratio]]&gt;=4,"Not Significant",IF(Table1[[#This Row],[Ratio]]&gt;=2,"Semi-Significant","Significant")))</f>
        <v>Needs Analysis</v>
      </c>
      <c r="W1627" s="1">
        <f>IF(Table1[[#This Row],[Cal Type]]&lt;&gt;"ACCREDITED 17025 WITH UNCERTAINTIES",0,"")</f>
        <v>0</v>
      </c>
      <c r="X1627" s="1" t="str">
        <f>IF(Table1[[#This Row],[DUT Read]]="","N/A",Table1[[#This Row],[Std Error]]+Table1[[#This Row],[DUT Read]]+Table1[[#This Row],[DUT Ucty]])</f>
        <v>N/A</v>
      </c>
      <c r="Y1627" s="1" t="str">
        <f>IF(Table1[[#This Row],[Std Read]]="","N/A",Table1[[#This Row],[Std Read]]+Table1[[#This Row],[Std Ucty]])</f>
        <v>N/A</v>
      </c>
      <c r="Z16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7" s="1" t="str">
        <f>IF(Table1[[#This Row],[Spec Type]]="","N/A",Table1[[#This Row],[Spec Type]])</f>
        <v>±</v>
      </c>
      <c r="AC1627" s="1" t="str">
        <f>IF(Table1[[#This Row],[Spec Type2]]="N/A","N/A",IF(AND(Table1[[#This Row],[DUT Adj Read]]&gt;=Table1[[#This Row],[Low Tol]],Table1[[#This Row],[DUT Adj Read]]&lt;=Table1[[#This Row],[High Tol]]),"Pass","Fail"))</f>
        <v>Fail</v>
      </c>
      <c r="AD1627" s="1" t="str">
        <f>IF(AND(Table1[[#This Row],[Spec Type2]]="N/A",Table1[[#This Row],[DUT Adj Read]]="N/A",Table1[[#This Row],[Std Adj Read]]="N/A"),"N/A",IF(Table1[[#This Row],[DUT Adj Read]]="N/A",IF(Table1[[#This Row],[Std Adj Read]]&gt;Table1[[#This Row],[Low Tol]],"Pass","Fail"),IF(Table1[[#This Row],[DUT Adj Read]]&gt;Table1[[#This Row],[Low Tol]],"Pass","Fail")))</f>
        <v>Pass</v>
      </c>
      <c r="AE1627" s="1" t="str">
        <f>IF(AND(Table1[[#This Row],[Spec Type2]]="N/A",Table1[[#This Row],[DUT Adj Read]]="N/A",Table1[[#This Row],[Std Adj Read]]="N/A"),"N/A",IF(Table1[[#This Row],[DUT Adj Read]]="N/A",IF(Table1[[#This Row],[Std Adj Read]]&lt;Table1[[#This Row],[High Tol]],"Pass","Fail"),IF(Table1[[#This Row],[DUT Adj Read]]&lt;Table1[[#This Row],[High Tol]],"Pass","Fail")))</f>
        <v>Fail</v>
      </c>
      <c r="AF1627" s="1" t="str">
        <f>IF(AND(Table1[[#This Row],[Spec Type2]]="N/A",Table1[[#This Row],[DUT Adj Read]]="N/A",Table1[[#This Row],[Std Adj Read]]="N/A"),"N/A",IF(Table1[[#This Row],[DUT Adj Read]]="N/A",IF(Table1[[#This Row],[Std Adj Read]]&gt;=Table1[[#This Row],[Low Tol]],"Pass","Fail"),IF(Table1[[#This Row],[DUT Adj Read]]&gt;=Table1[[#This Row],[Low Tol]],"Pass","Fail")))</f>
        <v>Pass</v>
      </c>
      <c r="AG1627" s="1" t="str">
        <f>IF(AND(Table1[[#This Row],[Spec Type2]]="N/A",Table1[[#This Row],[DUT Adj Read]]="N/A",Table1[[#This Row],[Std Adj Read]]="N/A"),"N/A",IF(Table1[[#This Row],[DUT Adj Read]]="N/A",IF(Table1[[#This Row],[Std Adj Read]]&lt;=Table1[[#This Row],[High Tol]],"Pass","Fail"),IF(Table1[[#This Row],[DUT Adj Read]]&lt;=Table1[[#This Row],[High Tol]],"Pass","Fail")))</f>
        <v>Fail</v>
      </c>
      <c r="AH16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7" s="1" t="b">
        <v>0</v>
      </c>
      <c r="AN1627" s="1" t="b">
        <v>0</v>
      </c>
      <c r="AO1627" s="1" t="b">
        <v>0</v>
      </c>
    </row>
    <row r="1628" spans="1:41" x14ac:dyDescent="0.25">
      <c r="A1628" s="10"/>
      <c r="B1628" s="10"/>
      <c r="C1628" s="10"/>
      <c r="D1628" s="10"/>
      <c r="E1628" s="10"/>
      <c r="F1628" s="10"/>
      <c r="G1628" s="10"/>
      <c r="H1628" s="10"/>
      <c r="I1628" s="1" t="str">
        <f t="shared" si="75"/>
        <v/>
      </c>
      <c r="J1628" s="1" t="s">
        <v>35</v>
      </c>
      <c r="K1628" s="1" t="str">
        <f t="shared" si="76"/>
        <v/>
      </c>
      <c r="L1628" s="1" t="str">
        <f t="shared" si="77"/>
        <v/>
      </c>
      <c r="M1628" s="1">
        <f>IF(OR(Table1[[#This Row],[Std Nom]]="",Table1[[#This Row],[Std Read]]=""),0,Table1[[#This Row],[Std Nom]]-Table1[[#This Row],[Std Read]])</f>
        <v>0</v>
      </c>
      <c r="N1628" s="1">
        <f>IF(Calculations!$F$5="ACCREDITED 17025 WITH UNCERTAINTIES",$N$10,0)</f>
        <v>0</v>
      </c>
      <c r="O1628" s="1" t="str">
        <f>IFERROR(Table1[[#This Row],[Std Nom]]-(_xlfn.XLOOKUP(Table1[[#This Row],[Manufacturer]]&amp;" "&amp;Table1[[#This Row],[Model]],Table13[MFR &amp; MDL],Table13[Tolerance % CW ],"")/100*Table1[[#This Row],[Std Nom]]),"")</f>
        <v/>
      </c>
      <c r="P1628" s="1" t="str">
        <f>IFERROR(Table1[[#This Row],[Std Nom]]+(_xlfn.XLOOKUP(Table1[[#This Row],[Manufacturer]]&amp;" "&amp;Table1[[#This Row],[Model]],Table13[MFR &amp; MDL],Table13[Tolerance % CW ],"")/100*Table1[[#This Row],[Std Nom]]),"")</f>
        <v/>
      </c>
      <c r="Q1628" s="1" t="e">
        <f>Table1[[#This Row],[High Tol]]-Table1[[#This Row],[Low Tol]]</f>
        <v>#VALUE!</v>
      </c>
      <c r="R1628" s="1">
        <f>2*Table1[[#This Row],[Std Error]]</f>
        <v>0</v>
      </c>
      <c r="S1628" s="1" t="str">
        <f>IF(Table1[[#This Row],[High Tol]]="","N/A",IFERROR(ABS(Table1[[#This Row],[Tol Span]]/Table1[[#This Row],[Error Span]]),"N/A"))</f>
        <v>N/A</v>
      </c>
      <c r="T1628" s="1" t="str">
        <f>IF(OR(Table1[[#This Row],[Low Tol]]="",Table1[[#This Row],[High Tol]]=""),"Needs Analysis",IF(Table1[[#This Row],[Ratio]]&gt;=4,"Not Significant",IF(Table1[[#This Row],[Ratio]]&gt;=2,"Semi-Significant","Significant")))</f>
        <v>Needs Analysis</v>
      </c>
      <c r="W1628" s="1">
        <f>IF(Table1[[#This Row],[Cal Type]]&lt;&gt;"ACCREDITED 17025 WITH UNCERTAINTIES",0,"")</f>
        <v>0</v>
      </c>
      <c r="X1628" s="1" t="str">
        <f>IF(Table1[[#This Row],[DUT Read]]="","N/A",Table1[[#This Row],[Std Error]]+Table1[[#This Row],[DUT Read]]+Table1[[#This Row],[DUT Ucty]])</f>
        <v>N/A</v>
      </c>
      <c r="Y1628" s="1" t="str">
        <f>IF(Table1[[#This Row],[Std Read]]="","N/A",Table1[[#This Row],[Std Read]]+Table1[[#This Row],[Std Ucty]])</f>
        <v>N/A</v>
      </c>
      <c r="Z16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8" s="1" t="str">
        <f>IF(Table1[[#This Row],[Spec Type]]="","N/A",Table1[[#This Row],[Spec Type]])</f>
        <v>±</v>
      </c>
      <c r="AC1628" s="1" t="str">
        <f>IF(Table1[[#This Row],[Spec Type2]]="N/A","N/A",IF(AND(Table1[[#This Row],[DUT Adj Read]]&gt;=Table1[[#This Row],[Low Tol]],Table1[[#This Row],[DUT Adj Read]]&lt;=Table1[[#This Row],[High Tol]]),"Pass","Fail"))</f>
        <v>Fail</v>
      </c>
      <c r="AD1628" s="1" t="str">
        <f>IF(AND(Table1[[#This Row],[Spec Type2]]="N/A",Table1[[#This Row],[DUT Adj Read]]="N/A",Table1[[#This Row],[Std Adj Read]]="N/A"),"N/A",IF(Table1[[#This Row],[DUT Adj Read]]="N/A",IF(Table1[[#This Row],[Std Adj Read]]&gt;Table1[[#This Row],[Low Tol]],"Pass","Fail"),IF(Table1[[#This Row],[DUT Adj Read]]&gt;Table1[[#This Row],[Low Tol]],"Pass","Fail")))</f>
        <v>Pass</v>
      </c>
      <c r="AE1628" s="1" t="str">
        <f>IF(AND(Table1[[#This Row],[Spec Type2]]="N/A",Table1[[#This Row],[DUT Adj Read]]="N/A",Table1[[#This Row],[Std Adj Read]]="N/A"),"N/A",IF(Table1[[#This Row],[DUT Adj Read]]="N/A",IF(Table1[[#This Row],[Std Adj Read]]&lt;Table1[[#This Row],[High Tol]],"Pass","Fail"),IF(Table1[[#This Row],[DUT Adj Read]]&lt;Table1[[#This Row],[High Tol]],"Pass","Fail")))</f>
        <v>Fail</v>
      </c>
      <c r="AF1628" s="1" t="str">
        <f>IF(AND(Table1[[#This Row],[Spec Type2]]="N/A",Table1[[#This Row],[DUT Adj Read]]="N/A",Table1[[#This Row],[Std Adj Read]]="N/A"),"N/A",IF(Table1[[#This Row],[DUT Adj Read]]="N/A",IF(Table1[[#This Row],[Std Adj Read]]&gt;=Table1[[#This Row],[Low Tol]],"Pass","Fail"),IF(Table1[[#This Row],[DUT Adj Read]]&gt;=Table1[[#This Row],[Low Tol]],"Pass","Fail")))</f>
        <v>Pass</v>
      </c>
      <c r="AG1628" s="1" t="str">
        <f>IF(AND(Table1[[#This Row],[Spec Type2]]="N/A",Table1[[#This Row],[DUT Adj Read]]="N/A",Table1[[#This Row],[Std Adj Read]]="N/A"),"N/A",IF(Table1[[#This Row],[DUT Adj Read]]="N/A",IF(Table1[[#This Row],[Std Adj Read]]&lt;=Table1[[#This Row],[High Tol]],"Pass","Fail"),IF(Table1[[#This Row],[DUT Adj Read]]&lt;=Table1[[#This Row],[High Tol]],"Pass","Fail")))</f>
        <v>Fail</v>
      </c>
      <c r="AH16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8" s="1" t="b">
        <v>0</v>
      </c>
      <c r="AN1628" s="1" t="b">
        <v>0</v>
      </c>
      <c r="AO1628" s="1" t="b">
        <v>0</v>
      </c>
    </row>
    <row r="1629" spans="1:41" x14ac:dyDescent="0.25">
      <c r="A1629" s="10"/>
      <c r="B1629" s="10"/>
      <c r="C1629" s="10"/>
      <c r="D1629" s="10"/>
      <c r="E1629" s="10"/>
      <c r="F1629" s="10"/>
      <c r="G1629" s="10"/>
      <c r="H1629" s="10"/>
      <c r="I1629" s="1" t="str">
        <f t="shared" si="75"/>
        <v/>
      </c>
      <c r="J1629" s="1" t="s">
        <v>35</v>
      </c>
      <c r="K1629" s="1" t="str">
        <f t="shared" si="76"/>
        <v/>
      </c>
      <c r="L1629" s="1" t="str">
        <f t="shared" si="77"/>
        <v/>
      </c>
      <c r="M1629" s="1">
        <f>IF(OR(Table1[[#This Row],[Std Nom]]="",Table1[[#This Row],[Std Read]]=""),0,Table1[[#This Row],[Std Nom]]-Table1[[#This Row],[Std Read]])</f>
        <v>0</v>
      </c>
      <c r="N1629" s="1">
        <f>IF(Calculations!$F$5="ACCREDITED 17025 WITH UNCERTAINTIES",$N$10,0)</f>
        <v>0</v>
      </c>
      <c r="O1629" s="1" t="str">
        <f>IFERROR(Table1[[#This Row],[Std Nom]]-(_xlfn.XLOOKUP(Table1[[#This Row],[Manufacturer]]&amp;" "&amp;Table1[[#This Row],[Model]],Table13[MFR &amp; MDL],Table13[Tolerance % CW ],"")/100*Table1[[#This Row],[Std Nom]]),"")</f>
        <v/>
      </c>
      <c r="P1629" s="1" t="str">
        <f>IFERROR(Table1[[#This Row],[Std Nom]]+(_xlfn.XLOOKUP(Table1[[#This Row],[Manufacturer]]&amp;" "&amp;Table1[[#This Row],[Model]],Table13[MFR &amp; MDL],Table13[Tolerance % CW ],"")/100*Table1[[#This Row],[Std Nom]]),"")</f>
        <v/>
      </c>
      <c r="Q1629" s="1" t="e">
        <f>Table1[[#This Row],[High Tol]]-Table1[[#This Row],[Low Tol]]</f>
        <v>#VALUE!</v>
      </c>
      <c r="R1629" s="1">
        <f>2*Table1[[#This Row],[Std Error]]</f>
        <v>0</v>
      </c>
      <c r="S1629" s="1" t="str">
        <f>IF(Table1[[#This Row],[High Tol]]="","N/A",IFERROR(ABS(Table1[[#This Row],[Tol Span]]/Table1[[#This Row],[Error Span]]),"N/A"))</f>
        <v>N/A</v>
      </c>
      <c r="T1629" s="1" t="str">
        <f>IF(OR(Table1[[#This Row],[Low Tol]]="",Table1[[#This Row],[High Tol]]=""),"Needs Analysis",IF(Table1[[#This Row],[Ratio]]&gt;=4,"Not Significant",IF(Table1[[#This Row],[Ratio]]&gt;=2,"Semi-Significant","Significant")))</f>
        <v>Needs Analysis</v>
      </c>
      <c r="W1629" s="1">
        <f>IF(Table1[[#This Row],[Cal Type]]&lt;&gt;"ACCREDITED 17025 WITH UNCERTAINTIES",0,"")</f>
        <v>0</v>
      </c>
      <c r="X1629" s="1" t="str">
        <f>IF(Table1[[#This Row],[DUT Read]]="","N/A",Table1[[#This Row],[Std Error]]+Table1[[#This Row],[DUT Read]]+Table1[[#This Row],[DUT Ucty]])</f>
        <v>N/A</v>
      </c>
      <c r="Y1629" s="1" t="str">
        <f>IF(Table1[[#This Row],[Std Read]]="","N/A",Table1[[#This Row],[Std Read]]+Table1[[#This Row],[Std Ucty]])</f>
        <v>N/A</v>
      </c>
      <c r="Z16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9" s="1" t="str">
        <f>IF(Table1[[#This Row],[Spec Type]]="","N/A",Table1[[#This Row],[Spec Type]])</f>
        <v>±</v>
      </c>
      <c r="AC1629" s="1" t="str">
        <f>IF(Table1[[#This Row],[Spec Type2]]="N/A","N/A",IF(AND(Table1[[#This Row],[DUT Adj Read]]&gt;=Table1[[#This Row],[Low Tol]],Table1[[#This Row],[DUT Adj Read]]&lt;=Table1[[#This Row],[High Tol]]),"Pass","Fail"))</f>
        <v>Fail</v>
      </c>
      <c r="AD1629" s="1" t="str">
        <f>IF(AND(Table1[[#This Row],[Spec Type2]]="N/A",Table1[[#This Row],[DUT Adj Read]]="N/A",Table1[[#This Row],[Std Adj Read]]="N/A"),"N/A",IF(Table1[[#This Row],[DUT Adj Read]]="N/A",IF(Table1[[#This Row],[Std Adj Read]]&gt;Table1[[#This Row],[Low Tol]],"Pass","Fail"),IF(Table1[[#This Row],[DUT Adj Read]]&gt;Table1[[#This Row],[Low Tol]],"Pass","Fail")))</f>
        <v>Pass</v>
      </c>
      <c r="AE1629" s="1" t="str">
        <f>IF(AND(Table1[[#This Row],[Spec Type2]]="N/A",Table1[[#This Row],[DUT Adj Read]]="N/A",Table1[[#This Row],[Std Adj Read]]="N/A"),"N/A",IF(Table1[[#This Row],[DUT Adj Read]]="N/A",IF(Table1[[#This Row],[Std Adj Read]]&lt;Table1[[#This Row],[High Tol]],"Pass","Fail"),IF(Table1[[#This Row],[DUT Adj Read]]&lt;Table1[[#This Row],[High Tol]],"Pass","Fail")))</f>
        <v>Fail</v>
      </c>
      <c r="AF1629" s="1" t="str">
        <f>IF(AND(Table1[[#This Row],[Spec Type2]]="N/A",Table1[[#This Row],[DUT Adj Read]]="N/A",Table1[[#This Row],[Std Adj Read]]="N/A"),"N/A",IF(Table1[[#This Row],[DUT Adj Read]]="N/A",IF(Table1[[#This Row],[Std Adj Read]]&gt;=Table1[[#This Row],[Low Tol]],"Pass","Fail"),IF(Table1[[#This Row],[DUT Adj Read]]&gt;=Table1[[#This Row],[Low Tol]],"Pass","Fail")))</f>
        <v>Pass</v>
      </c>
      <c r="AG1629" s="1" t="str">
        <f>IF(AND(Table1[[#This Row],[Spec Type2]]="N/A",Table1[[#This Row],[DUT Adj Read]]="N/A",Table1[[#This Row],[Std Adj Read]]="N/A"),"N/A",IF(Table1[[#This Row],[DUT Adj Read]]="N/A",IF(Table1[[#This Row],[Std Adj Read]]&lt;=Table1[[#This Row],[High Tol]],"Pass","Fail"),IF(Table1[[#This Row],[DUT Adj Read]]&lt;=Table1[[#This Row],[High Tol]],"Pass","Fail")))</f>
        <v>Fail</v>
      </c>
      <c r="AH16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9" s="1" t="b">
        <v>0</v>
      </c>
      <c r="AN1629" s="1" t="b">
        <v>0</v>
      </c>
      <c r="AO1629" s="1" t="b">
        <v>0</v>
      </c>
    </row>
    <row r="1630" spans="1:41" x14ac:dyDescent="0.25">
      <c r="A1630" s="10"/>
      <c r="B1630" s="10"/>
      <c r="C1630" s="10"/>
      <c r="D1630" s="10"/>
      <c r="E1630" s="10"/>
      <c r="F1630" s="10"/>
      <c r="G1630" s="10"/>
      <c r="H1630" s="10"/>
      <c r="I1630" s="1" t="str">
        <f t="shared" si="75"/>
        <v/>
      </c>
      <c r="J1630" s="1" t="s">
        <v>35</v>
      </c>
      <c r="K1630" s="1" t="str">
        <f t="shared" si="76"/>
        <v/>
      </c>
      <c r="L1630" s="1" t="str">
        <f t="shared" si="77"/>
        <v/>
      </c>
      <c r="M1630" s="1">
        <f>IF(OR(Table1[[#This Row],[Std Nom]]="",Table1[[#This Row],[Std Read]]=""),0,Table1[[#This Row],[Std Nom]]-Table1[[#This Row],[Std Read]])</f>
        <v>0</v>
      </c>
      <c r="N1630" s="1">
        <f>IF(Calculations!$F$5="ACCREDITED 17025 WITH UNCERTAINTIES",$N$10,0)</f>
        <v>0</v>
      </c>
      <c r="O1630" s="1" t="str">
        <f>IFERROR(Table1[[#This Row],[Std Nom]]-(_xlfn.XLOOKUP(Table1[[#This Row],[Manufacturer]]&amp;" "&amp;Table1[[#This Row],[Model]],Table13[MFR &amp; MDL],Table13[Tolerance % CW ],"")/100*Table1[[#This Row],[Std Nom]]),"")</f>
        <v/>
      </c>
      <c r="P1630" s="1" t="str">
        <f>IFERROR(Table1[[#This Row],[Std Nom]]+(_xlfn.XLOOKUP(Table1[[#This Row],[Manufacturer]]&amp;" "&amp;Table1[[#This Row],[Model]],Table13[MFR &amp; MDL],Table13[Tolerance % CW ],"")/100*Table1[[#This Row],[Std Nom]]),"")</f>
        <v/>
      </c>
      <c r="Q1630" s="1" t="e">
        <f>Table1[[#This Row],[High Tol]]-Table1[[#This Row],[Low Tol]]</f>
        <v>#VALUE!</v>
      </c>
      <c r="R1630" s="1">
        <f>2*Table1[[#This Row],[Std Error]]</f>
        <v>0</v>
      </c>
      <c r="S1630" s="1" t="str">
        <f>IF(Table1[[#This Row],[High Tol]]="","N/A",IFERROR(ABS(Table1[[#This Row],[Tol Span]]/Table1[[#This Row],[Error Span]]),"N/A"))</f>
        <v>N/A</v>
      </c>
      <c r="T1630" s="1" t="str">
        <f>IF(OR(Table1[[#This Row],[Low Tol]]="",Table1[[#This Row],[High Tol]]=""),"Needs Analysis",IF(Table1[[#This Row],[Ratio]]&gt;=4,"Not Significant",IF(Table1[[#This Row],[Ratio]]&gt;=2,"Semi-Significant","Significant")))</f>
        <v>Needs Analysis</v>
      </c>
      <c r="W1630" s="1">
        <f>IF(Table1[[#This Row],[Cal Type]]&lt;&gt;"ACCREDITED 17025 WITH UNCERTAINTIES",0,"")</f>
        <v>0</v>
      </c>
      <c r="X1630" s="1" t="str">
        <f>IF(Table1[[#This Row],[DUT Read]]="","N/A",Table1[[#This Row],[Std Error]]+Table1[[#This Row],[DUT Read]]+Table1[[#This Row],[DUT Ucty]])</f>
        <v>N/A</v>
      </c>
      <c r="Y1630" s="1" t="str">
        <f>IF(Table1[[#This Row],[Std Read]]="","N/A",Table1[[#This Row],[Std Read]]+Table1[[#This Row],[Std Ucty]])</f>
        <v>N/A</v>
      </c>
      <c r="Z16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0" s="1" t="str">
        <f>IF(Table1[[#This Row],[Spec Type]]="","N/A",Table1[[#This Row],[Spec Type]])</f>
        <v>±</v>
      </c>
      <c r="AC1630" s="1" t="str">
        <f>IF(Table1[[#This Row],[Spec Type2]]="N/A","N/A",IF(AND(Table1[[#This Row],[DUT Adj Read]]&gt;=Table1[[#This Row],[Low Tol]],Table1[[#This Row],[DUT Adj Read]]&lt;=Table1[[#This Row],[High Tol]]),"Pass","Fail"))</f>
        <v>Fail</v>
      </c>
      <c r="AD1630" s="1" t="str">
        <f>IF(AND(Table1[[#This Row],[Spec Type2]]="N/A",Table1[[#This Row],[DUT Adj Read]]="N/A",Table1[[#This Row],[Std Adj Read]]="N/A"),"N/A",IF(Table1[[#This Row],[DUT Adj Read]]="N/A",IF(Table1[[#This Row],[Std Adj Read]]&gt;Table1[[#This Row],[Low Tol]],"Pass","Fail"),IF(Table1[[#This Row],[DUT Adj Read]]&gt;Table1[[#This Row],[Low Tol]],"Pass","Fail")))</f>
        <v>Pass</v>
      </c>
      <c r="AE1630" s="1" t="str">
        <f>IF(AND(Table1[[#This Row],[Spec Type2]]="N/A",Table1[[#This Row],[DUT Adj Read]]="N/A",Table1[[#This Row],[Std Adj Read]]="N/A"),"N/A",IF(Table1[[#This Row],[DUT Adj Read]]="N/A",IF(Table1[[#This Row],[Std Adj Read]]&lt;Table1[[#This Row],[High Tol]],"Pass","Fail"),IF(Table1[[#This Row],[DUT Adj Read]]&lt;Table1[[#This Row],[High Tol]],"Pass","Fail")))</f>
        <v>Fail</v>
      </c>
      <c r="AF1630" s="1" t="str">
        <f>IF(AND(Table1[[#This Row],[Spec Type2]]="N/A",Table1[[#This Row],[DUT Adj Read]]="N/A",Table1[[#This Row],[Std Adj Read]]="N/A"),"N/A",IF(Table1[[#This Row],[DUT Adj Read]]="N/A",IF(Table1[[#This Row],[Std Adj Read]]&gt;=Table1[[#This Row],[Low Tol]],"Pass","Fail"),IF(Table1[[#This Row],[DUT Adj Read]]&gt;=Table1[[#This Row],[Low Tol]],"Pass","Fail")))</f>
        <v>Pass</v>
      </c>
      <c r="AG1630" s="1" t="str">
        <f>IF(AND(Table1[[#This Row],[Spec Type2]]="N/A",Table1[[#This Row],[DUT Adj Read]]="N/A",Table1[[#This Row],[Std Adj Read]]="N/A"),"N/A",IF(Table1[[#This Row],[DUT Adj Read]]="N/A",IF(Table1[[#This Row],[Std Adj Read]]&lt;=Table1[[#This Row],[High Tol]],"Pass","Fail"),IF(Table1[[#This Row],[DUT Adj Read]]&lt;=Table1[[#This Row],[High Tol]],"Pass","Fail")))</f>
        <v>Fail</v>
      </c>
      <c r="AH16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0" s="1" t="b">
        <v>0</v>
      </c>
      <c r="AN1630" s="1" t="b">
        <v>0</v>
      </c>
      <c r="AO1630" s="1" t="b">
        <v>0</v>
      </c>
    </row>
    <row r="1631" spans="1:41" x14ac:dyDescent="0.25">
      <c r="A1631" s="10"/>
      <c r="B1631" s="10"/>
      <c r="C1631" s="10"/>
      <c r="D1631" s="10"/>
      <c r="E1631" s="10"/>
      <c r="F1631" s="10"/>
      <c r="G1631" s="10"/>
      <c r="H1631" s="10"/>
      <c r="I1631" s="1" t="str">
        <f t="shared" si="75"/>
        <v/>
      </c>
      <c r="J1631" s="1" t="s">
        <v>35</v>
      </c>
      <c r="K1631" s="1" t="str">
        <f t="shared" si="76"/>
        <v/>
      </c>
      <c r="L1631" s="1" t="str">
        <f t="shared" si="77"/>
        <v/>
      </c>
      <c r="M1631" s="1">
        <f>IF(OR(Table1[[#This Row],[Std Nom]]="",Table1[[#This Row],[Std Read]]=""),0,Table1[[#This Row],[Std Nom]]-Table1[[#This Row],[Std Read]])</f>
        <v>0</v>
      </c>
      <c r="N1631" s="1">
        <f>IF(Calculations!$F$5="ACCREDITED 17025 WITH UNCERTAINTIES",$N$10,0)</f>
        <v>0</v>
      </c>
      <c r="O1631" s="1" t="str">
        <f>IFERROR(Table1[[#This Row],[Std Nom]]-(_xlfn.XLOOKUP(Table1[[#This Row],[Manufacturer]]&amp;" "&amp;Table1[[#This Row],[Model]],Table13[MFR &amp; MDL],Table13[Tolerance % CW ],"")/100*Table1[[#This Row],[Std Nom]]),"")</f>
        <v/>
      </c>
      <c r="P1631" s="1" t="str">
        <f>IFERROR(Table1[[#This Row],[Std Nom]]+(_xlfn.XLOOKUP(Table1[[#This Row],[Manufacturer]]&amp;" "&amp;Table1[[#This Row],[Model]],Table13[MFR &amp; MDL],Table13[Tolerance % CW ],"")/100*Table1[[#This Row],[Std Nom]]),"")</f>
        <v/>
      </c>
      <c r="Q1631" s="1" t="e">
        <f>Table1[[#This Row],[High Tol]]-Table1[[#This Row],[Low Tol]]</f>
        <v>#VALUE!</v>
      </c>
      <c r="R1631" s="1">
        <f>2*Table1[[#This Row],[Std Error]]</f>
        <v>0</v>
      </c>
      <c r="S1631" s="1" t="str">
        <f>IF(Table1[[#This Row],[High Tol]]="","N/A",IFERROR(ABS(Table1[[#This Row],[Tol Span]]/Table1[[#This Row],[Error Span]]),"N/A"))</f>
        <v>N/A</v>
      </c>
      <c r="T1631" s="1" t="str">
        <f>IF(OR(Table1[[#This Row],[Low Tol]]="",Table1[[#This Row],[High Tol]]=""),"Needs Analysis",IF(Table1[[#This Row],[Ratio]]&gt;=4,"Not Significant",IF(Table1[[#This Row],[Ratio]]&gt;=2,"Semi-Significant","Significant")))</f>
        <v>Needs Analysis</v>
      </c>
      <c r="W1631" s="1">
        <f>IF(Table1[[#This Row],[Cal Type]]&lt;&gt;"ACCREDITED 17025 WITH UNCERTAINTIES",0,"")</f>
        <v>0</v>
      </c>
      <c r="X1631" s="1" t="str">
        <f>IF(Table1[[#This Row],[DUT Read]]="","N/A",Table1[[#This Row],[Std Error]]+Table1[[#This Row],[DUT Read]]+Table1[[#This Row],[DUT Ucty]])</f>
        <v>N/A</v>
      </c>
      <c r="Y1631" s="1" t="str">
        <f>IF(Table1[[#This Row],[Std Read]]="","N/A",Table1[[#This Row],[Std Read]]+Table1[[#This Row],[Std Ucty]])</f>
        <v>N/A</v>
      </c>
      <c r="Z16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1" s="1" t="str">
        <f>IF(Table1[[#This Row],[Spec Type]]="","N/A",Table1[[#This Row],[Spec Type]])</f>
        <v>±</v>
      </c>
      <c r="AC1631" s="1" t="str">
        <f>IF(Table1[[#This Row],[Spec Type2]]="N/A","N/A",IF(AND(Table1[[#This Row],[DUT Adj Read]]&gt;=Table1[[#This Row],[Low Tol]],Table1[[#This Row],[DUT Adj Read]]&lt;=Table1[[#This Row],[High Tol]]),"Pass","Fail"))</f>
        <v>Fail</v>
      </c>
      <c r="AD1631" s="1" t="str">
        <f>IF(AND(Table1[[#This Row],[Spec Type2]]="N/A",Table1[[#This Row],[DUT Adj Read]]="N/A",Table1[[#This Row],[Std Adj Read]]="N/A"),"N/A",IF(Table1[[#This Row],[DUT Adj Read]]="N/A",IF(Table1[[#This Row],[Std Adj Read]]&gt;Table1[[#This Row],[Low Tol]],"Pass","Fail"),IF(Table1[[#This Row],[DUT Adj Read]]&gt;Table1[[#This Row],[Low Tol]],"Pass","Fail")))</f>
        <v>Pass</v>
      </c>
      <c r="AE1631" s="1" t="str">
        <f>IF(AND(Table1[[#This Row],[Spec Type2]]="N/A",Table1[[#This Row],[DUT Adj Read]]="N/A",Table1[[#This Row],[Std Adj Read]]="N/A"),"N/A",IF(Table1[[#This Row],[DUT Adj Read]]="N/A",IF(Table1[[#This Row],[Std Adj Read]]&lt;Table1[[#This Row],[High Tol]],"Pass","Fail"),IF(Table1[[#This Row],[DUT Adj Read]]&lt;Table1[[#This Row],[High Tol]],"Pass","Fail")))</f>
        <v>Fail</v>
      </c>
      <c r="AF1631" s="1" t="str">
        <f>IF(AND(Table1[[#This Row],[Spec Type2]]="N/A",Table1[[#This Row],[DUT Adj Read]]="N/A",Table1[[#This Row],[Std Adj Read]]="N/A"),"N/A",IF(Table1[[#This Row],[DUT Adj Read]]="N/A",IF(Table1[[#This Row],[Std Adj Read]]&gt;=Table1[[#This Row],[Low Tol]],"Pass","Fail"),IF(Table1[[#This Row],[DUT Adj Read]]&gt;=Table1[[#This Row],[Low Tol]],"Pass","Fail")))</f>
        <v>Pass</v>
      </c>
      <c r="AG1631" s="1" t="str">
        <f>IF(AND(Table1[[#This Row],[Spec Type2]]="N/A",Table1[[#This Row],[DUT Adj Read]]="N/A",Table1[[#This Row],[Std Adj Read]]="N/A"),"N/A",IF(Table1[[#This Row],[DUT Adj Read]]="N/A",IF(Table1[[#This Row],[Std Adj Read]]&lt;=Table1[[#This Row],[High Tol]],"Pass","Fail"),IF(Table1[[#This Row],[DUT Adj Read]]&lt;=Table1[[#This Row],[High Tol]],"Pass","Fail")))</f>
        <v>Fail</v>
      </c>
      <c r="AH16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1" s="1" t="b">
        <v>0</v>
      </c>
      <c r="AN1631" s="1" t="b">
        <v>0</v>
      </c>
      <c r="AO1631" s="1" t="b">
        <v>0</v>
      </c>
    </row>
    <row r="1632" spans="1:41" x14ac:dyDescent="0.25">
      <c r="A1632" s="10"/>
      <c r="B1632" s="10"/>
      <c r="C1632" s="10"/>
      <c r="D1632" s="10"/>
      <c r="E1632" s="10"/>
      <c r="F1632" s="10"/>
      <c r="G1632" s="10"/>
      <c r="H1632" s="10"/>
      <c r="I1632" s="1" t="str">
        <f t="shared" si="75"/>
        <v/>
      </c>
      <c r="J1632" s="1" t="s">
        <v>35</v>
      </c>
      <c r="K1632" s="1" t="str">
        <f t="shared" si="76"/>
        <v/>
      </c>
      <c r="L1632" s="1" t="str">
        <f t="shared" si="77"/>
        <v/>
      </c>
      <c r="M1632" s="1">
        <f>IF(OR(Table1[[#This Row],[Std Nom]]="",Table1[[#This Row],[Std Read]]=""),0,Table1[[#This Row],[Std Nom]]-Table1[[#This Row],[Std Read]])</f>
        <v>0</v>
      </c>
      <c r="N1632" s="1">
        <f>IF(Calculations!$F$5="ACCREDITED 17025 WITH UNCERTAINTIES",$N$10,0)</f>
        <v>0</v>
      </c>
      <c r="O1632" s="1" t="str">
        <f>IFERROR(Table1[[#This Row],[Std Nom]]-(_xlfn.XLOOKUP(Table1[[#This Row],[Manufacturer]]&amp;" "&amp;Table1[[#This Row],[Model]],Table13[MFR &amp; MDL],Table13[Tolerance % CW ],"")/100*Table1[[#This Row],[Std Nom]]),"")</f>
        <v/>
      </c>
      <c r="P1632" s="1" t="str">
        <f>IFERROR(Table1[[#This Row],[Std Nom]]+(_xlfn.XLOOKUP(Table1[[#This Row],[Manufacturer]]&amp;" "&amp;Table1[[#This Row],[Model]],Table13[MFR &amp; MDL],Table13[Tolerance % CW ],"")/100*Table1[[#This Row],[Std Nom]]),"")</f>
        <v/>
      </c>
      <c r="Q1632" s="1" t="e">
        <f>Table1[[#This Row],[High Tol]]-Table1[[#This Row],[Low Tol]]</f>
        <v>#VALUE!</v>
      </c>
      <c r="R1632" s="1">
        <f>2*Table1[[#This Row],[Std Error]]</f>
        <v>0</v>
      </c>
      <c r="S1632" s="1" t="str">
        <f>IF(Table1[[#This Row],[High Tol]]="","N/A",IFERROR(ABS(Table1[[#This Row],[Tol Span]]/Table1[[#This Row],[Error Span]]),"N/A"))</f>
        <v>N/A</v>
      </c>
      <c r="T1632" s="1" t="str">
        <f>IF(OR(Table1[[#This Row],[Low Tol]]="",Table1[[#This Row],[High Tol]]=""),"Needs Analysis",IF(Table1[[#This Row],[Ratio]]&gt;=4,"Not Significant",IF(Table1[[#This Row],[Ratio]]&gt;=2,"Semi-Significant","Significant")))</f>
        <v>Needs Analysis</v>
      </c>
      <c r="W1632" s="1">
        <f>IF(Table1[[#This Row],[Cal Type]]&lt;&gt;"ACCREDITED 17025 WITH UNCERTAINTIES",0,"")</f>
        <v>0</v>
      </c>
      <c r="X1632" s="1" t="str">
        <f>IF(Table1[[#This Row],[DUT Read]]="","N/A",Table1[[#This Row],[Std Error]]+Table1[[#This Row],[DUT Read]]+Table1[[#This Row],[DUT Ucty]])</f>
        <v>N/A</v>
      </c>
      <c r="Y1632" s="1" t="str">
        <f>IF(Table1[[#This Row],[Std Read]]="","N/A",Table1[[#This Row],[Std Read]]+Table1[[#This Row],[Std Ucty]])</f>
        <v>N/A</v>
      </c>
      <c r="Z16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2" s="1" t="str">
        <f>IF(Table1[[#This Row],[Spec Type]]="","N/A",Table1[[#This Row],[Spec Type]])</f>
        <v>±</v>
      </c>
      <c r="AC1632" s="1" t="str">
        <f>IF(Table1[[#This Row],[Spec Type2]]="N/A","N/A",IF(AND(Table1[[#This Row],[DUT Adj Read]]&gt;=Table1[[#This Row],[Low Tol]],Table1[[#This Row],[DUT Adj Read]]&lt;=Table1[[#This Row],[High Tol]]),"Pass","Fail"))</f>
        <v>Fail</v>
      </c>
      <c r="AD1632" s="1" t="str">
        <f>IF(AND(Table1[[#This Row],[Spec Type2]]="N/A",Table1[[#This Row],[DUT Adj Read]]="N/A",Table1[[#This Row],[Std Adj Read]]="N/A"),"N/A",IF(Table1[[#This Row],[DUT Adj Read]]="N/A",IF(Table1[[#This Row],[Std Adj Read]]&gt;Table1[[#This Row],[Low Tol]],"Pass","Fail"),IF(Table1[[#This Row],[DUT Adj Read]]&gt;Table1[[#This Row],[Low Tol]],"Pass","Fail")))</f>
        <v>Pass</v>
      </c>
      <c r="AE1632" s="1" t="str">
        <f>IF(AND(Table1[[#This Row],[Spec Type2]]="N/A",Table1[[#This Row],[DUT Adj Read]]="N/A",Table1[[#This Row],[Std Adj Read]]="N/A"),"N/A",IF(Table1[[#This Row],[DUT Adj Read]]="N/A",IF(Table1[[#This Row],[Std Adj Read]]&lt;Table1[[#This Row],[High Tol]],"Pass","Fail"),IF(Table1[[#This Row],[DUT Adj Read]]&lt;Table1[[#This Row],[High Tol]],"Pass","Fail")))</f>
        <v>Fail</v>
      </c>
      <c r="AF1632" s="1" t="str">
        <f>IF(AND(Table1[[#This Row],[Spec Type2]]="N/A",Table1[[#This Row],[DUT Adj Read]]="N/A",Table1[[#This Row],[Std Adj Read]]="N/A"),"N/A",IF(Table1[[#This Row],[DUT Adj Read]]="N/A",IF(Table1[[#This Row],[Std Adj Read]]&gt;=Table1[[#This Row],[Low Tol]],"Pass","Fail"),IF(Table1[[#This Row],[DUT Adj Read]]&gt;=Table1[[#This Row],[Low Tol]],"Pass","Fail")))</f>
        <v>Pass</v>
      </c>
      <c r="AG1632" s="1" t="str">
        <f>IF(AND(Table1[[#This Row],[Spec Type2]]="N/A",Table1[[#This Row],[DUT Adj Read]]="N/A",Table1[[#This Row],[Std Adj Read]]="N/A"),"N/A",IF(Table1[[#This Row],[DUT Adj Read]]="N/A",IF(Table1[[#This Row],[Std Adj Read]]&lt;=Table1[[#This Row],[High Tol]],"Pass","Fail"),IF(Table1[[#This Row],[DUT Adj Read]]&lt;=Table1[[#This Row],[High Tol]],"Pass","Fail")))</f>
        <v>Fail</v>
      </c>
      <c r="AH16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2" s="1" t="b">
        <v>0</v>
      </c>
      <c r="AN1632" s="1" t="b">
        <v>0</v>
      </c>
      <c r="AO1632" s="1" t="b">
        <v>0</v>
      </c>
    </row>
    <row r="1633" spans="1:41" x14ac:dyDescent="0.25">
      <c r="A1633" s="10"/>
      <c r="B1633" s="10"/>
      <c r="C1633" s="10"/>
      <c r="D1633" s="10"/>
      <c r="E1633" s="10"/>
      <c r="F1633" s="10"/>
      <c r="G1633" s="10"/>
      <c r="H1633" s="10"/>
      <c r="I1633" s="1" t="str">
        <f t="shared" si="75"/>
        <v/>
      </c>
      <c r="J1633" s="1" t="s">
        <v>35</v>
      </c>
      <c r="K1633" s="1" t="str">
        <f t="shared" si="76"/>
        <v/>
      </c>
      <c r="L1633" s="1" t="str">
        <f t="shared" si="77"/>
        <v/>
      </c>
      <c r="M1633" s="1">
        <f>IF(OR(Table1[[#This Row],[Std Nom]]="",Table1[[#This Row],[Std Read]]=""),0,Table1[[#This Row],[Std Nom]]-Table1[[#This Row],[Std Read]])</f>
        <v>0</v>
      </c>
      <c r="N1633" s="1">
        <f>IF(Calculations!$F$5="ACCREDITED 17025 WITH UNCERTAINTIES",$N$10,0)</f>
        <v>0</v>
      </c>
      <c r="O1633" s="1" t="str">
        <f>IFERROR(Table1[[#This Row],[Std Nom]]-(_xlfn.XLOOKUP(Table1[[#This Row],[Manufacturer]]&amp;" "&amp;Table1[[#This Row],[Model]],Table13[MFR &amp; MDL],Table13[Tolerance % CW ],"")/100*Table1[[#This Row],[Std Nom]]),"")</f>
        <v/>
      </c>
      <c r="P1633" s="1" t="str">
        <f>IFERROR(Table1[[#This Row],[Std Nom]]+(_xlfn.XLOOKUP(Table1[[#This Row],[Manufacturer]]&amp;" "&amp;Table1[[#This Row],[Model]],Table13[MFR &amp; MDL],Table13[Tolerance % CW ],"")/100*Table1[[#This Row],[Std Nom]]),"")</f>
        <v/>
      </c>
      <c r="Q1633" s="1" t="e">
        <f>Table1[[#This Row],[High Tol]]-Table1[[#This Row],[Low Tol]]</f>
        <v>#VALUE!</v>
      </c>
      <c r="R1633" s="1">
        <f>2*Table1[[#This Row],[Std Error]]</f>
        <v>0</v>
      </c>
      <c r="S1633" s="1" t="str">
        <f>IF(Table1[[#This Row],[High Tol]]="","N/A",IFERROR(ABS(Table1[[#This Row],[Tol Span]]/Table1[[#This Row],[Error Span]]),"N/A"))</f>
        <v>N/A</v>
      </c>
      <c r="T1633" s="1" t="str">
        <f>IF(OR(Table1[[#This Row],[Low Tol]]="",Table1[[#This Row],[High Tol]]=""),"Needs Analysis",IF(Table1[[#This Row],[Ratio]]&gt;=4,"Not Significant",IF(Table1[[#This Row],[Ratio]]&gt;=2,"Semi-Significant","Significant")))</f>
        <v>Needs Analysis</v>
      </c>
      <c r="W1633" s="1">
        <f>IF(Table1[[#This Row],[Cal Type]]&lt;&gt;"ACCREDITED 17025 WITH UNCERTAINTIES",0,"")</f>
        <v>0</v>
      </c>
      <c r="X1633" s="1" t="str">
        <f>IF(Table1[[#This Row],[DUT Read]]="","N/A",Table1[[#This Row],[Std Error]]+Table1[[#This Row],[DUT Read]]+Table1[[#This Row],[DUT Ucty]])</f>
        <v>N/A</v>
      </c>
      <c r="Y1633" s="1" t="str">
        <f>IF(Table1[[#This Row],[Std Read]]="","N/A",Table1[[#This Row],[Std Read]]+Table1[[#This Row],[Std Ucty]])</f>
        <v>N/A</v>
      </c>
      <c r="Z16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3" s="1" t="str">
        <f>IF(Table1[[#This Row],[Spec Type]]="","N/A",Table1[[#This Row],[Spec Type]])</f>
        <v>±</v>
      </c>
      <c r="AC1633" s="1" t="str">
        <f>IF(Table1[[#This Row],[Spec Type2]]="N/A","N/A",IF(AND(Table1[[#This Row],[DUT Adj Read]]&gt;=Table1[[#This Row],[Low Tol]],Table1[[#This Row],[DUT Adj Read]]&lt;=Table1[[#This Row],[High Tol]]),"Pass","Fail"))</f>
        <v>Fail</v>
      </c>
      <c r="AD1633" s="1" t="str">
        <f>IF(AND(Table1[[#This Row],[Spec Type2]]="N/A",Table1[[#This Row],[DUT Adj Read]]="N/A",Table1[[#This Row],[Std Adj Read]]="N/A"),"N/A",IF(Table1[[#This Row],[DUT Adj Read]]="N/A",IF(Table1[[#This Row],[Std Adj Read]]&gt;Table1[[#This Row],[Low Tol]],"Pass","Fail"),IF(Table1[[#This Row],[DUT Adj Read]]&gt;Table1[[#This Row],[Low Tol]],"Pass","Fail")))</f>
        <v>Pass</v>
      </c>
      <c r="AE1633" s="1" t="str">
        <f>IF(AND(Table1[[#This Row],[Spec Type2]]="N/A",Table1[[#This Row],[DUT Adj Read]]="N/A",Table1[[#This Row],[Std Adj Read]]="N/A"),"N/A",IF(Table1[[#This Row],[DUT Adj Read]]="N/A",IF(Table1[[#This Row],[Std Adj Read]]&lt;Table1[[#This Row],[High Tol]],"Pass","Fail"),IF(Table1[[#This Row],[DUT Adj Read]]&lt;Table1[[#This Row],[High Tol]],"Pass","Fail")))</f>
        <v>Fail</v>
      </c>
      <c r="AF1633" s="1" t="str">
        <f>IF(AND(Table1[[#This Row],[Spec Type2]]="N/A",Table1[[#This Row],[DUT Adj Read]]="N/A",Table1[[#This Row],[Std Adj Read]]="N/A"),"N/A",IF(Table1[[#This Row],[DUT Adj Read]]="N/A",IF(Table1[[#This Row],[Std Adj Read]]&gt;=Table1[[#This Row],[Low Tol]],"Pass","Fail"),IF(Table1[[#This Row],[DUT Adj Read]]&gt;=Table1[[#This Row],[Low Tol]],"Pass","Fail")))</f>
        <v>Pass</v>
      </c>
      <c r="AG1633" s="1" t="str">
        <f>IF(AND(Table1[[#This Row],[Spec Type2]]="N/A",Table1[[#This Row],[DUT Adj Read]]="N/A",Table1[[#This Row],[Std Adj Read]]="N/A"),"N/A",IF(Table1[[#This Row],[DUT Adj Read]]="N/A",IF(Table1[[#This Row],[Std Adj Read]]&lt;=Table1[[#This Row],[High Tol]],"Pass","Fail"),IF(Table1[[#This Row],[DUT Adj Read]]&lt;=Table1[[#This Row],[High Tol]],"Pass","Fail")))</f>
        <v>Fail</v>
      </c>
      <c r="AH16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3" s="1" t="b">
        <v>0</v>
      </c>
      <c r="AN1633" s="1" t="b">
        <v>0</v>
      </c>
      <c r="AO1633" s="1" t="b">
        <v>0</v>
      </c>
    </row>
    <row r="1634" spans="1:41" x14ac:dyDescent="0.25">
      <c r="A1634" s="10"/>
      <c r="B1634" s="10"/>
      <c r="C1634" s="10"/>
      <c r="D1634" s="10"/>
      <c r="E1634" s="10"/>
      <c r="F1634" s="10"/>
      <c r="G1634" s="10"/>
      <c r="H1634" s="10"/>
      <c r="I1634" s="1" t="str">
        <f t="shared" si="75"/>
        <v/>
      </c>
      <c r="J1634" s="1" t="s">
        <v>35</v>
      </c>
      <c r="K1634" s="1" t="str">
        <f t="shared" si="76"/>
        <v/>
      </c>
      <c r="L1634" s="1" t="str">
        <f t="shared" si="77"/>
        <v/>
      </c>
      <c r="M1634" s="1">
        <f>IF(OR(Table1[[#This Row],[Std Nom]]="",Table1[[#This Row],[Std Read]]=""),0,Table1[[#This Row],[Std Nom]]-Table1[[#This Row],[Std Read]])</f>
        <v>0</v>
      </c>
      <c r="N1634" s="1">
        <f>IF(Calculations!$F$5="ACCREDITED 17025 WITH UNCERTAINTIES",$N$10,0)</f>
        <v>0</v>
      </c>
      <c r="O1634" s="1" t="str">
        <f>IFERROR(Table1[[#This Row],[Std Nom]]-(_xlfn.XLOOKUP(Table1[[#This Row],[Manufacturer]]&amp;" "&amp;Table1[[#This Row],[Model]],Table13[MFR &amp; MDL],Table13[Tolerance % CW ],"")/100*Table1[[#This Row],[Std Nom]]),"")</f>
        <v/>
      </c>
      <c r="P1634" s="1" t="str">
        <f>IFERROR(Table1[[#This Row],[Std Nom]]+(_xlfn.XLOOKUP(Table1[[#This Row],[Manufacturer]]&amp;" "&amp;Table1[[#This Row],[Model]],Table13[MFR &amp; MDL],Table13[Tolerance % CW ],"")/100*Table1[[#This Row],[Std Nom]]),"")</f>
        <v/>
      </c>
      <c r="Q1634" s="1" t="e">
        <f>Table1[[#This Row],[High Tol]]-Table1[[#This Row],[Low Tol]]</f>
        <v>#VALUE!</v>
      </c>
      <c r="R1634" s="1">
        <f>2*Table1[[#This Row],[Std Error]]</f>
        <v>0</v>
      </c>
      <c r="S1634" s="1" t="str">
        <f>IF(Table1[[#This Row],[High Tol]]="","N/A",IFERROR(ABS(Table1[[#This Row],[Tol Span]]/Table1[[#This Row],[Error Span]]),"N/A"))</f>
        <v>N/A</v>
      </c>
      <c r="T1634" s="1" t="str">
        <f>IF(OR(Table1[[#This Row],[Low Tol]]="",Table1[[#This Row],[High Tol]]=""),"Needs Analysis",IF(Table1[[#This Row],[Ratio]]&gt;=4,"Not Significant",IF(Table1[[#This Row],[Ratio]]&gt;=2,"Semi-Significant","Significant")))</f>
        <v>Needs Analysis</v>
      </c>
      <c r="W1634" s="1">
        <f>IF(Table1[[#This Row],[Cal Type]]&lt;&gt;"ACCREDITED 17025 WITH UNCERTAINTIES",0,"")</f>
        <v>0</v>
      </c>
      <c r="X1634" s="1" t="str">
        <f>IF(Table1[[#This Row],[DUT Read]]="","N/A",Table1[[#This Row],[Std Error]]+Table1[[#This Row],[DUT Read]]+Table1[[#This Row],[DUT Ucty]])</f>
        <v>N/A</v>
      </c>
      <c r="Y1634" s="1" t="str">
        <f>IF(Table1[[#This Row],[Std Read]]="","N/A",Table1[[#This Row],[Std Read]]+Table1[[#This Row],[Std Ucty]])</f>
        <v>N/A</v>
      </c>
      <c r="Z16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4" s="1" t="str">
        <f>IF(Table1[[#This Row],[Spec Type]]="","N/A",Table1[[#This Row],[Spec Type]])</f>
        <v>±</v>
      </c>
      <c r="AC1634" s="1" t="str">
        <f>IF(Table1[[#This Row],[Spec Type2]]="N/A","N/A",IF(AND(Table1[[#This Row],[DUT Adj Read]]&gt;=Table1[[#This Row],[Low Tol]],Table1[[#This Row],[DUT Adj Read]]&lt;=Table1[[#This Row],[High Tol]]),"Pass","Fail"))</f>
        <v>Fail</v>
      </c>
      <c r="AD1634" s="1" t="str">
        <f>IF(AND(Table1[[#This Row],[Spec Type2]]="N/A",Table1[[#This Row],[DUT Adj Read]]="N/A",Table1[[#This Row],[Std Adj Read]]="N/A"),"N/A",IF(Table1[[#This Row],[DUT Adj Read]]="N/A",IF(Table1[[#This Row],[Std Adj Read]]&gt;Table1[[#This Row],[Low Tol]],"Pass","Fail"),IF(Table1[[#This Row],[DUT Adj Read]]&gt;Table1[[#This Row],[Low Tol]],"Pass","Fail")))</f>
        <v>Pass</v>
      </c>
      <c r="AE1634" s="1" t="str">
        <f>IF(AND(Table1[[#This Row],[Spec Type2]]="N/A",Table1[[#This Row],[DUT Adj Read]]="N/A",Table1[[#This Row],[Std Adj Read]]="N/A"),"N/A",IF(Table1[[#This Row],[DUT Adj Read]]="N/A",IF(Table1[[#This Row],[Std Adj Read]]&lt;Table1[[#This Row],[High Tol]],"Pass","Fail"),IF(Table1[[#This Row],[DUT Adj Read]]&lt;Table1[[#This Row],[High Tol]],"Pass","Fail")))</f>
        <v>Fail</v>
      </c>
      <c r="AF1634" s="1" t="str">
        <f>IF(AND(Table1[[#This Row],[Spec Type2]]="N/A",Table1[[#This Row],[DUT Adj Read]]="N/A",Table1[[#This Row],[Std Adj Read]]="N/A"),"N/A",IF(Table1[[#This Row],[DUT Adj Read]]="N/A",IF(Table1[[#This Row],[Std Adj Read]]&gt;=Table1[[#This Row],[Low Tol]],"Pass","Fail"),IF(Table1[[#This Row],[DUT Adj Read]]&gt;=Table1[[#This Row],[Low Tol]],"Pass","Fail")))</f>
        <v>Pass</v>
      </c>
      <c r="AG1634" s="1" t="str">
        <f>IF(AND(Table1[[#This Row],[Spec Type2]]="N/A",Table1[[#This Row],[DUT Adj Read]]="N/A",Table1[[#This Row],[Std Adj Read]]="N/A"),"N/A",IF(Table1[[#This Row],[DUT Adj Read]]="N/A",IF(Table1[[#This Row],[Std Adj Read]]&lt;=Table1[[#This Row],[High Tol]],"Pass","Fail"),IF(Table1[[#This Row],[DUT Adj Read]]&lt;=Table1[[#This Row],[High Tol]],"Pass","Fail")))</f>
        <v>Fail</v>
      </c>
      <c r="AH16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4" s="1" t="b">
        <v>0</v>
      </c>
      <c r="AN1634" s="1" t="b">
        <v>0</v>
      </c>
      <c r="AO1634" s="1" t="b">
        <v>0</v>
      </c>
    </row>
    <row r="1635" spans="1:41" x14ac:dyDescent="0.25">
      <c r="A1635" s="10"/>
      <c r="B1635" s="10"/>
      <c r="C1635" s="10"/>
      <c r="D1635" s="10"/>
      <c r="E1635" s="10"/>
      <c r="F1635" s="10"/>
      <c r="G1635" s="10"/>
      <c r="H1635" s="10"/>
      <c r="I1635" s="1" t="str">
        <f t="shared" si="75"/>
        <v/>
      </c>
      <c r="J1635" s="1" t="s">
        <v>35</v>
      </c>
      <c r="K1635" s="1" t="str">
        <f t="shared" si="76"/>
        <v/>
      </c>
      <c r="L1635" s="1" t="str">
        <f t="shared" si="77"/>
        <v/>
      </c>
      <c r="M1635" s="1">
        <f>IF(OR(Table1[[#This Row],[Std Nom]]="",Table1[[#This Row],[Std Read]]=""),0,Table1[[#This Row],[Std Nom]]-Table1[[#This Row],[Std Read]])</f>
        <v>0</v>
      </c>
      <c r="N1635" s="1">
        <f>IF(Calculations!$F$5="ACCREDITED 17025 WITH UNCERTAINTIES",$N$10,0)</f>
        <v>0</v>
      </c>
      <c r="O1635" s="1" t="str">
        <f>IFERROR(Table1[[#This Row],[Std Nom]]-(_xlfn.XLOOKUP(Table1[[#This Row],[Manufacturer]]&amp;" "&amp;Table1[[#This Row],[Model]],Table13[MFR &amp; MDL],Table13[Tolerance % CW ],"")/100*Table1[[#This Row],[Std Nom]]),"")</f>
        <v/>
      </c>
      <c r="P1635" s="1" t="str">
        <f>IFERROR(Table1[[#This Row],[Std Nom]]+(_xlfn.XLOOKUP(Table1[[#This Row],[Manufacturer]]&amp;" "&amp;Table1[[#This Row],[Model]],Table13[MFR &amp; MDL],Table13[Tolerance % CW ],"")/100*Table1[[#This Row],[Std Nom]]),"")</f>
        <v/>
      </c>
      <c r="Q1635" s="1" t="e">
        <f>Table1[[#This Row],[High Tol]]-Table1[[#This Row],[Low Tol]]</f>
        <v>#VALUE!</v>
      </c>
      <c r="R1635" s="1">
        <f>2*Table1[[#This Row],[Std Error]]</f>
        <v>0</v>
      </c>
      <c r="S1635" s="1" t="str">
        <f>IF(Table1[[#This Row],[High Tol]]="","N/A",IFERROR(ABS(Table1[[#This Row],[Tol Span]]/Table1[[#This Row],[Error Span]]),"N/A"))</f>
        <v>N/A</v>
      </c>
      <c r="T1635" s="1" t="str">
        <f>IF(OR(Table1[[#This Row],[Low Tol]]="",Table1[[#This Row],[High Tol]]=""),"Needs Analysis",IF(Table1[[#This Row],[Ratio]]&gt;=4,"Not Significant",IF(Table1[[#This Row],[Ratio]]&gt;=2,"Semi-Significant","Significant")))</f>
        <v>Needs Analysis</v>
      </c>
      <c r="W1635" s="1">
        <f>IF(Table1[[#This Row],[Cal Type]]&lt;&gt;"ACCREDITED 17025 WITH UNCERTAINTIES",0,"")</f>
        <v>0</v>
      </c>
      <c r="X1635" s="1" t="str">
        <f>IF(Table1[[#This Row],[DUT Read]]="","N/A",Table1[[#This Row],[Std Error]]+Table1[[#This Row],[DUT Read]]+Table1[[#This Row],[DUT Ucty]])</f>
        <v>N/A</v>
      </c>
      <c r="Y1635" s="1" t="str">
        <f>IF(Table1[[#This Row],[Std Read]]="","N/A",Table1[[#This Row],[Std Read]]+Table1[[#This Row],[Std Ucty]])</f>
        <v>N/A</v>
      </c>
      <c r="Z16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5" s="1" t="str">
        <f>IF(Table1[[#This Row],[Spec Type]]="","N/A",Table1[[#This Row],[Spec Type]])</f>
        <v>±</v>
      </c>
      <c r="AC1635" s="1" t="str">
        <f>IF(Table1[[#This Row],[Spec Type2]]="N/A","N/A",IF(AND(Table1[[#This Row],[DUT Adj Read]]&gt;=Table1[[#This Row],[Low Tol]],Table1[[#This Row],[DUT Adj Read]]&lt;=Table1[[#This Row],[High Tol]]),"Pass","Fail"))</f>
        <v>Fail</v>
      </c>
      <c r="AD1635" s="1" t="str">
        <f>IF(AND(Table1[[#This Row],[Spec Type2]]="N/A",Table1[[#This Row],[DUT Adj Read]]="N/A",Table1[[#This Row],[Std Adj Read]]="N/A"),"N/A",IF(Table1[[#This Row],[DUT Adj Read]]="N/A",IF(Table1[[#This Row],[Std Adj Read]]&gt;Table1[[#This Row],[Low Tol]],"Pass","Fail"),IF(Table1[[#This Row],[DUT Adj Read]]&gt;Table1[[#This Row],[Low Tol]],"Pass","Fail")))</f>
        <v>Pass</v>
      </c>
      <c r="AE1635" s="1" t="str">
        <f>IF(AND(Table1[[#This Row],[Spec Type2]]="N/A",Table1[[#This Row],[DUT Adj Read]]="N/A",Table1[[#This Row],[Std Adj Read]]="N/A"),"N/A",IF(Table1[[#This Row],[DUT Adj Read]]="N/A",IF(Table1[[#This Row],[Std Adj Read]]&lt;Table1[[#This Row],[High Tol]],"Pass","Fail"),IF(Table1[[#This Row],[DUT Adj Read]]&lt;Table1[[#This Row],[High Tol]],"Pass","Fail")))</f>
        <v>Fail</v>
      </c>
      <c r="AF1635" s="1" t="str">
        <f>IF(AND(Table1[[#This Row],[Spec Type2]]="N/A",Table1[[#This Row],[DUT Adj Read]]="N/A",Table1[[#This Row],[Std Adj Read]]="N/A"),"N/A",IF(Table1[[#This Row],[DUT Adj Read]]="N/A",IF(Table1[[#This Row],[Std Adj Read]]&gt;=Table1[[#This Row],[Low Tol]],"Pass","Fail"),IF(Table1[[#This Row],[DUT Adj Read]]&gt;=Table1[[#This Row],[Low Tol]],"Pass","Fail")))</f>
        <v>Pass</v>
      </c>
      <c r="AG1635" s="1" t="str">
        <f>IF(AND(Table1[[#This Row],[Spec Type2]]="N/A",Table1[[#This Row],[DUT Adj Read]]="N/A",Table1[[#This Row],[Std Adj Read]]="N/A"),"N/A",IF(Table1[[#This Row],[DUT Adj Read]]="N/A",IF(Table1[[#This Row],[Std Adj Read]]&lt;=Table1[[#This Row],[High Tol]],"Pass","Fail"),IF(Table1[[#This Row],[DUT Adj Read]]&lt;=Table1[[#This Row],[High Tol]],"Pass","Fail")))</f>
        <v>Fail</v>
      </c>
      <c r="AH16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5" s="1" t="b">
        <v>0</v>
      </c>
      <c r="AN1635" s="1" t="b">
        <v>0</v>
      </c>
      <c r="AO1635" s="1" t="b">
        <v>0</v>
      </c>
    </row>
    <row r="1636" spans="1:41" x14ac:dyDescent="0.25">
      <c r="A1636" s="10"/>
      <c r="B1636" s="10"/>
      <c r="C1636" s="10"/>
      <c r="D1636" s="10"/>
      <c r="E1636" s="10"/>
      <c r="F1636" s="10"/>
      <c r="G1636" s="10"/>
      <c r="H1636" s="10"/>
      <c r="I1636" s="1" t="str">
        <f t="shared" si="75"/>
        <v/>
      </c>
      <c r="J1636" s="1" t="s">
        <v>35</v>
      </c>
      <c r="K1636" s="1" t="str">
        <f t="shared" si="76"/>
        <v/>
      </c>
      <c r="L1636" s="1" t="str">
        <f t="shared" si="77"/>
        <v/>
      </c>
      <c r="M1636" s="1">
        <f>IF(OR(Table1[[#This Row],[Std Nom]]="",Table1[[#This Row],[Std Read]]=""),0,Table1[[#This Row],[Std Nom]]-Table1[[#This Row],[Std Read]])</f>
        <v>0</v>
      </c>
      <c r="N1636" s="1">
        <f>IF(Calculations!$F$5="ACCREDITED 17025 WITH UNCERTAINTIES",$N$10,0)</f>
        <v>0</v>
      </c>
      <c r="O1636" s="1" t="str">
        <f>IFERROR(Table1[[#This Row],[Std Nom]]-(_xlfn.XLOOKUP(Table1[[#This Row],[Manufacturer]]&amp;" "&amp;Table1[[#This Row],[Model]],Table13[MFR &amp; MDL],Table13[Tolerance % CW ],"")/100*Table1[[#This Row],[Std Nom]]),"")</f>
        <v/>
      </c>
      <c r="P1636" s="1" t="str">
        <f>IFERROR(Table1[[#This Row],[Std Nom]]+(_xlfn.XLOOKUP(Table1[[#This Row],[Manufacturer]]&amp;" "&amp;Table1[[#This Row],[Model]],Table13[MFR &amp; MDL],Table13[Tolerance % CW ],"")/100*Table1[[#This Row],[Std Nom]]),"")</f>
        <v/>
      </c>
      <c r="Q1636" s="1" t="e">
        <f>Table1[[#This Row],[High Tol]]-Table1[[#This Row],[Low Tol]]</f>
        <v>#VALUE!</v>
      </c>
      <c r="R1636" s="1">
        <f>2*Table1[[#This Row],[Std Error]]</f>
        <v>0</v>
      </c>
      <c r="S1636" s="1" t="str">
        <f>IF(Table1[[#This Row],[High Tol]]="","N/A",IFERROR(ABS(Table1[[#This Row],[Tol Span]]/Table1[[#This Row],[Error Span]]),"N/A"))</f>
        <v>N/A</v>
      </c>
      <c r="T1636" s="1" t="str">
        <f>IF(OR(Table1[[#This Row],[Low Tol]]="",Table1[[#This Row],[High Tol]]=""),"Needs Analysis",IF(Table1[[#This Row],[Ratio]]&gt;=4,"Not Significant",IF(Table1[[#This Row],[Ratio]]&gt;=2,"Semi-Significant","Significant")))</f>
        <v>Needs Analysis</v>
      </c>
      <c r="W1636" s="1">
        <f>IF(Table1[[#This Row],[Cal Type]]&lt;&gt;"ACCREDITED 17025 WITH UNCERTAINTIES",0,"")</f>
        <v>0</v>
      </c>
      <c r="X1636" s="1" t="str">
        <f>IF(Table1[[#This Row],[DUT Read]]="","N/A",Table1[[#This Row],[Std Error]]+Table1[[#This Row],[DUT Read]]+Table1[[#This Row],[DUT Ucty]])</f>
        <v>N/A</v>
      </c>
      <c r="Y1636" s="1" t="str">
        <f>IF(Table1[[#This Row],[Std Read]]="","N/A",Table1[[#This Row],[Std Read]]+Table1[[#This Row],[Std Ucty]])</f>
        <v>N/A</v>
      </c>
      <c r="Z16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6" s="1" t="str">
        <f>IF(Table1[[#This Row],[Spec Type]]="","N/A",Table1[[#This Row],[Spec Type]])</f>
        <v>±</v>
      </c>
      <c r="AC1636" s="1" t="str">
        <f>IF(Table1[[#This Row],[Spec Type2]]="N/A","N/A",IF(AND(Table1[[#This Row],[DUT Adj Read]]&gt;=Table1[[#This Row],[Low Tol]],Table1[[#This Row],[DUT Adj Read]]&lt;=Table1[[#This Row],[High Tol]]),"Pass","Fail"))</f>
        <v>Fail</v>
      </c>
      <c r="AD1636" s="1" t="str">
        <f>IF(AND(Table1[[#This Row],[Spec Type2]]="N/A",Table1[[#This Row],[DUT Adj Read]]="N/A",Table1[[#This Row],[Std Adj Read]]="N/A"),"N/A",IF(Table1[[#This Row],[DUT Adj Read]]="N/A",IF(Table1[[#This Row],[Std Adj Read]]&gt;Table1[[#This Row],[Low Tol]],"Pass","Fail"),IF(Table1[[#This Row],[DUT Adj Read]]&gt;Table1[[#This Row],[Low Tol]],"Pass","Fail")))</f>
        <v>Pass</v>
      </c>
      <c r="AE1636" s="1" t="str">
        <f>IF(AND(Table1[[#This Row],[Spec Type2]]="N/A",Table1[[#This Row],[DUT Adj Read]]="N/A",Table1[[#This Row],[Std Adj Read]]="N/A"),"N/A",IF(Table1[[#This Row],[DUT Adj Read]]="N/A",IF(Table1[[#This Row],[Std Adj Read]]&lt;Table1[[#This Row],[High Tol]],"Pass","Fail"),IF(Table1[[#This Row],[DUT Adj Read]]&lt;Table1[[#This Row],[High Tol]],"Pass","Fail")))</f>
        <v>Fail</v>
      </c>
      <c r="AF1636" s="1" t="str">
        <f>IF(AND(Table1[[#This Row],[Spec Type2]]="N/A",Table1[[#This Row],[DUT Adj Read]]="N/A",Table1[[#This Row],[Std Adj Read]]="N/A"),"N/A",IF(Table1[[#This Row],[DUT Adj Read]]="N/A",IF(Table1[[#This Row],[Std Adj Read]]&gt;=Table1[[#This Row],[Low Tol]],"Pass","Fail"),IF(Table1[[#This Row],[DUT Adj Read]]&gt;=Table1[[#This Row],[Low Tol]],"Pass","Fail")))</f>
        <v>Pass</v>
      </c>
      <c r="AG1636" s="1" t="str">
        <f>IF(AND(Table1[[#This Row],[Spec Type2]]="N/A",Table1[[#This Row],[DUT Adj Read]]="N/A",Table1[[#This Row],[Std Adj Read]]="N/A"),"N/A",IF(Table1[[#This Row],[DUT Adj Read]]="N/A",IF(Table1[[#This Row],[Std Adj Read]]&lt;=Table1[[#This Row],[High Tol]],"Pass","Fail"),IF(Table1[[#This Row],[DUT Adj Read]]&lt;=Table1[[#This Row],[High Tol]],"Pass","Fail")))</f>
        <v>Fail</v>
      </c>
      <c r="AH16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6" s="1" t="b">
        <v>0</v>
      </c>
      <c r="AN1636" s="1" t="b">
        <v>0</v>
      </c>
      <c r="AO1636" s="1" t="b">
        <v>0</v>
      </c>
    </row>
    <row r="1637" spans="1:41" x14ac:dyDescent="0.25">
      <c r="A1637" s="10"/>
      <c r="B1637" s="10"/>
      <c r="C1637" s="10"/>
      <c r="D1637" s="10"/>
      <c r="E1637" s="10"/>
      <c r="F1637" s="10"/>
      <c r="G1637" s="10"/>
      <c r="H1637" s="10"/>
      <c r="I1637" s="1" t="str">
        <f t="shared" si="75"/>
        <v/>
      </c>
      <c r="J1637" s="1" t="s">
        <v>35</v>
      </c>
      <c r="K1637" s="1" t="str">
        <f t="shared" si="76"/>
        <v/>
      </c>
      <c r="L1637" s="1" t="str">
        <f t="shared" si="77"/>
        <v/>
      </c>
      <c r="M1637" s="1">
        <f>IF(OR(Table1[[#This Row],[Std Nom]]="",Table1[[#This Row],[Std Read]]=""),0,Table1[[#This Row],[Std Nom]]-Table1[[#This Row],[Std Read]])</f>
        <v>0</v>
      </c>
      <c r="N1637" s="1">
        <f>IF(Calculations!$F$5="ACCREDITED 17025 WITH UNCERTAINTIES",$N$10,0)</f>
        <v>0</v>
      </c>
      <c r="O1637" s="1" t="str">
        <f>IFERROR(Table1[[#This Row],[Std Nom]]-(_xlfn.XLOOKUP(Table1[[#This Row],[Manufacturer]]&amp;" "&amp;Table1[[#This Row],[Model]],Table13[MFR &amp; MDL],Table13[Tolerance % CW ],"")/100*Table1[[#This Row],[Std Nom]]),"")</f>
        <v/>
      </c>
      <c r="P1637" s="1" t="str">
        <f>IFERROR(Table1[[#This Row],[Std Nom]]+(_xlfn.XLOOKUP(Table1[[#This Row],[Manufacturer]]&amp;" "&amp;Table1[[#This Row],[Model]],Table13[MFR &amp; MDL],Table13[Tolerance % CW ],"")/100*Table1[[#This Row],[Std Nom]]),"")</f>
        <v/>
      </c>
      <c r="Q1637" s="1" t="e">
        <f>Table1[[#This Row],[High Tol]]-Table1[[#This Row],[Low Tol]]</f>
        <v>#VALUE!</v>
      </c>
      <c r="R1637" s="1">
        <f>2*Table1[[#This Row],[Std Error]]</f>
        <v>0</v>
      </c>
      <c r="S1637" s="1" t="str">
        <f>IF(Table1[[#This Row],[High Tol]]="","N/A",IFERROR(ABS(Table1[[#This Row],[Tol Span]]/Table1[[#This Row],[Error Span]]),"N/A"))</f>
        <v>N/A</v>
      </c>
      <c r="T1637" s="1" t="str">
        <f>IF(OR(Table1[[#This Row],[Low Tol]]="",Table1[[#This Row],[High Tol]]=""),"Needs Analysis",IF(Table1[[#This Row],[Ratio]]&gt;=4,"Not Significant",IF(Table1[[#This Row],[Ratio]]&gt;=2,"Semi-Significant","Significant")))</f>
        <v>Needs Analysis</v>
      </c>
      <c r="W1637" s="1">
        <f>IF(Table1[[#This Row],[Cal Type]]&lt;&gt;"ACCREDITED 17025 WITH UNCERTAINTIES",0,"")</f>
        <v>0</v>
      </c>
      <c r="X1637" s="1" t="str">
        <f>IF(Table1[[#This Row],[DUT Read]]="","N/A",Table1[[#This Row],[Std Error]]+Table1[[#This Row],[DUT Read]]+Table1[[#This Row],[DUT Ucty]])</f>
        <v>N/A</v>
      </c>
      <c r="Y1637" s="1" t="str">
        <f>IF(Table1[[#This Row],[Std Read]]="","N/A",Table1[[#This Row],[Std Read]]+Table1[[#This Row],[Std Ucty]])</f>
        <v>N/A</v>
      </c>
      <c r="Z16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7" s="1" t="str">
        <f>IF(Table1[[#This Row],[Spec Type]]="","N/A",Table1[[#This Row],[Spec Type]])</f>
        <v>±</v>
      </c>
      <c r="AC1637" s="1" t="str">
        <f>IF(Table1[[#This Row],[Spec Type2]]="N/A","N/A",IF(AND(Table1[[#This Row],[DUT Adj Read]]&gt;=Table1[[#This Row],[Low Tol]],Table1[[#This Row],[DUT Adj Read]]&lt;=Table1[[#This Row],[High Tol]]),"Pass","Fail"))</f>
        <v>Fail</v>
      </c>
      <c r="AD1637" s="1" t="str">
        <f>IF(AND(Table1[[#This Row],[Spec Type2]]="N/A",Table1[[#This Row],[DUT Adj Read]]="N/A",Table1[[#This Row],[Std Adj Read]]="N/A"),"N/A",IF(Table1[[#This Row],[DUT Adj Read]]="N/A",IF(Table1[[#This Row],[Std Adj Read]]&gt;Table1[[#This Row],[Low Tol]],"Pass","Fail"),IF(Table1[[#This Row],[DUT Adj Read]]&gt;Table1[[#This Row],[Low Tol]],"Pass","Fail")))</f>
        <v>Pass</v>
      </c>
      <c r="AE1637" s="1" t="str">
        <f>IF(AND(Table1[[#This Row],[Spec Type2]]="N/A",Table1[[#This Row],[DUT Adj Read]]="N/A",Table1[[#This Row],[Std Adj Read]]="N/A"),"N/A",IF(Table1[[#This Row],[DUT Adj Read]]="N/A",IF(Table1[[#This Row],[Std Adj Read]]&lt;Table1[[#This Row],[High Tol]],"Pass","Fail"),IF(Table1[[#This Row],[DUT Adj Read]]&lt;Table1[[#This Row],[High Tol]],"Pass","Fail")))</f>
        <v>Fail</v>
      </c>
      <c r="AF1637" s="1" t="str">
        <f>IF(AND(Table1[[#This Row],[Spec Type2]]="N/A",Table1[[#This Row],[DUT Adj Read]]="N/A",Table1[[#This Row],[Std Adj Read]]="N/A"),"N/A",IF(Table1[[#This Row],[DUT Adj Read]]="N/A",IF(Table1[[#This Row],[Std Adj Read]]&gt;=Table1[[#This Row],[Low Tol]],"Pass","Fail"),IF(Table1[[#This Row],[DUT Adj Read]]&gt;=Table1[[#This Row],[Low Tol]],"Pass","Fail")))</f>
        <v>Pass</v>
      </c>
      <c r="AG1637" s="1" t="str">
        <f>IF(AND(Table1[[#This Row],[Spec Type2]]="N/A",Table1[[#This Row],[DUT Adj Read]]="N/A",Table1[[#This Row],[Std Adj Read]]="N/A"),"N/A",IF(Table1[[#This Row],[DUT Adj Read]]="N/A",IF(Table1[[#This Row],[Std Adj Read]]&lt;=Table1[[#This Row],[High Tol]],"Pass","Fail"),IF(Table1[[#This Row],[DUT Adj Read]]&lt;=Table1[[#This Row],[High Tol]],"Pass","Fail")))</f>
        <v>Fail</v>
      </c>
      <c r="AH16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7" s="1" t="b">
        <v>0</v>
      </c>
      <c r="AN1637" s="1" t="b">
        <v>0</v>
      </c>
      <c r="AO1637" s="1" t="b">
        <v>0</v>
      </c>
    </row>
    <row r="1638" spans="1:41" x14ac:dyDescent="0.25">
      <c r="A1638" s="10"/>
      <c r="B1638" s="10"/>
      <c r="C1638" s="10"/>
      <c r="D1638" s="10"/>
      <c r="E1638" s="10"/>
      <c r="F1638" s="10"/>
      <c r="G1638" s="10"/>
      <c r="H1638" s="10"/>
      <c r="I1638" s="1" t="str">
        <f t="shared" si="75"/>
        <v/>
      </c>
      <c r="J1638" s="1" t="s">
        <v>35</v>
      </c>
      <c r="K1638" s="1" t="str">
        <f t="shared" si="76"/>
        <v/>
      </c>
      <c r="L1638" s="1" t="str">
        <f t="shared" si="77"/>
        <v/>
      </c>
      <c r="M1638" s="1">
        <f>IF(OR(Table1[[#This Row],[Std Nom]]="",Table1[[#This Row],[Std Read]]=""),0,Table1[[#This Row],[Std Nom]]-Table1[[#This Row],[Std Read]])</f>
        <v>0</v>
      </c>
      <c r="N1638" s="1">
        <f>IF(Calculations!$F$5="ACCREDITED 17025 WITH UNCERTAINTIES",$N$10,0)</f>
        <v>0</v>
      </c>
      <c r="O1638" s="1" t="str">
        <f>IFERROR(Table1[[#This Row],[Std Nom]]-(_xlfn.XLOOKUP(Table1[[#This Row],[Manufacturer]]&amp;" "&amp;Table1[[#This Row],[Model]],Table13[MFR &amp; MDL],Table13[Tolerance % CW ],"")/100*Table1[[#This Row],[Std Nom]]),"")</f>
        <v/>
      </c>
      <c r="P1638" s="1" t="str">
        <f>IFERROR(Table1[[#This Row],[Std Nom]]+(_xlfn.XLOOKUP(Table1[[#This Row],[Manufacturer]]&amp;" "&amp;Table1[[#This Row],[Model]],Table13[MFR &amp; MDL],Table13[Tolerance % CW ],"")/100*Table1[[#This Row],[Std Nom]]),"")</f>
        <v/>
      </c>
      <c r="Q1638" s="1" t="e">
        <f>Table1[[#This Row],[High Tol]]-Table1[[#This Row],[Low Tol]]</f>
        <v>#VALUE!</v>
      </c>
      <c r="R1638" s="1">
        <f>2*Table1[[#This Row],[Std Error]]</f>
        <v>0</v>
      </c>
      <c r="S1638" s="1" t="str">
        <f>IF(Table1[[#This Row],[High Tol]]="","N/A",IFERROR(ABS(Table1[[#This Row],[Tol Span]]/Table1[[#This Row],[Error Span]]),"N/A"))</f>
        <v>N/A</v>
      </c>
      <c r="T1638" s="1" t="str">
        <f>IF(OR(Table1[[#This Row],[Low Tol]]="",Table1[[#This Row],[High Tol]]=""),"Needs Analysis",IF(Table1[[#This Row],[Ratio]]&gt;=4,"Not Significant",IF(Table1[[#This Row],[Ratio]]&gt;=2,"Semi-Significant","Significant")))</f>
        <v>Needs Analysis</v>
      </c>
      <c r="W1638" s="1">
        <f>IF(Table1[[#This Row],[Cal Type]]&lt;&gt;"ACCREDITED 17025 WITH UNCERTAINTIES",0,"")</f>
        <v>0</v>
      </c>
      <c r="X1638" s="1" t="str">
        <f>IF(Table1[[#This Row],[DUT Read]]="","N/A",Table1[[#This Row],[Std Error]]+Table1[[#This Row],[DUT Read]]+Table1[[#This Row],[DUT Ucty]])</f>
        <v>N/A</v>
      </c>
      <c r="Y1638" s="1" t="str">
        <f>IF(Table1[[#This Row],[Std Read]]="","N/A",Table1[[#This Row],[Std Read]]+Table1[[#This Row],[Std Ucty]])</f>
        <v>N/A</v>
      </c>
      <c r="Z16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8" s="1" t="str">
        <f>IF(Table1[[#This Row],[Spec Type]]="","N/A",Table1[[#This Row],[Spec Type]])</f>
        <v>±</v>
      </c>
      <c r="AC1638" s="1" t="str">
        <f>IF(Table1[[#This Row],[Spec Type2]]="N/A","N/A",IF(AND(Table1[[#This Row],[DUT Adj Read]]&gt;=Table1[[#This Row],[Low Tol]],Table1[[#This Row],[DUT Adj Read]]&lt;=Table1[[#This Row],[High Tol]]),"Pass","Fail"))</f>
        <v>Fail</v>
      </c>
      <c r="AD1638" s="1" t="str">
        <f>IF(AND(Table1[[#This Row],[Spec Type2]]="N/A",Table1[[#This Row],[DUT Adj Read]]="N/A",Table1[[#This Row],[Std Adj Read]]="N/A"),"N/A",IF(Table1[[#This Row],[DUT Adj Read]]="N/A",IF(Table1[[#This Row],[Std Adj Read]]&gt;Table1[[#This Row],[Low Tol]],"Pass","Fail"),IF(Table1[[#This Row],[DUT Adj Read]]&gt;Table1[[#This Row],[Low Tol]],"Pass","Fail")))</f>
        <v>Pass</v>
      </c>
      <c r="AE1638" s="1" t="str">
        <f>IF(AND(Table1[[#This Row],[Spec Type2]]="N/A",Table1[[#This Row],[DUT Adj Read]]="N/A",Table1[[#This Row],[Std Adj Read]]="N/A"),"N/A",IF(Table1[[#This Row],[DUT Adj Read]]="N/A",IF(Table1[[#This Row],[Std Adj Read]]&lt;Table1[[#This Row],[High Tol]],"Pass","Fail"),IF(Table1[[#This Row],[DUT Adj Read]]&lt;Table1[[#This Row],[High Tol]],"Pass","Fail")))</f>
        <v>Fail</v>
      </c>
      <c r="AF1638" s="1" t="str">
        <f>IF(AND(Table1[[#This Row],[Spec Type2]]="N/A",Table1[[#This Row],[DUT Adj Read]]="N/A",Table1[[#This Row],[Std Adj Read]]="N/A"),"N/A",IF(Table1[[#This Row],[DUT Adj Read]]="N/A",IF(Table1[[#This Row],[Std Adj Read]]&gt;=Table1[[#This Row],[Low Tol]],"Pass","Fail"),IF(Table1[[#This Row],[DUT Adj Read]]&gt;=Table1[[#This Row],[Low Tol]],"Pass","Fail")))</f>
        <v>Pass</v>
      </c>
      <c r="AG1638" s="1" t="str">
        <f>IF(AND(Table1[[#This Row],[Spec Type2]]="N/A",Table1[[#This Row],[DUT Adj Read]]="N/A",Table1[[#This Row],[Std Adj Read]]="N/A"),"N/A",IF(Table1[[#This Row],[DUT Adj Read]]="N/A",IF(Table1[[#This Row],[Std Adj Read]]&lt;=Table1[[#This Row],[High Tol]],"Pass","Fail"),IF(Table1[[#This Row],[DUT Adj Read]]&lt;=Table1[[#This Row],[High Tol]],"Pass","Fail")))</f>
        <v>Fail</v>
      </c>
      <c r="AH16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8" s="1" t="b">
        <v>0</v>
      </c>
      <c r="AN1638" s="1" t="b">
        <v>0</v>
      </c>
      <c r="AO1638" s="1" t="b">
        <v>0</v>
      </c>
    </row>
    <row r="1639" spans="1:41" x14ac:dyDescent="0.25">
      <c r="A1639" s="10"/>
      <c r="B1639" s="10"/>
      <c r="C1639" s="10"/>
      <c r="D1639" s="10"/>
      <c r="E1639" s="10"/>
      <c r="F1639" s="10"/>
      <c r="G1639" s="10"/>
      <c r="H1639" s="10"/>
      <c r="I1639" s="1" t="str">
        <f t="shared" si="75"/>
        <v/>
      </c>
      <c r="J1639" s="1" t="s">
        <v>35</v>
      </c>
      <c r="K1639" s="1" t="str">
        <f t="shared" si="76"/>
        <v/>
      </c>
      <c r="L1639" s="1" t="str">
        <f t="shared" si="77"/>
        <v/>
      </c>
      <c r="M1639" s="1">
        <f>IF(OR(Table1[[#This Row],[Std Nom]]="",Table1[[#This Row],[Std Read]]=""),0,Table1[[#This Row],[Std Nom]]-Table1[[#This Row],[Std Read]])</f>
        <v>0</v>
      </c>
      <c r="N1639" s="1">
        <f>IF(Calculations!$F$5="ACCREDITED 17025 WITH UNCERTAINTIES",$N$10,0)</f>
        <v>0</v>
      </c>
      <c r="O1639" s="1" t="str">
        <f>IFERROR(Table1[[#This Row],[Std Nom]]-(_xlfn.XLOOKUP(Table1[[#This Row],[Manufacturer]]&amp;" "&amp;Table1[[#This Row],[Model]],Table13[MFR &amp; MDL],Table13[Tolerance % CW ],"")/100*Table1[[#This Row],[Std Nom]]),"")</f>
        <v/>
      </c>
      <c r="P1639" s="1" t="str">
        <f>IFERROR(Table1[[#This Row],[Std Nom]]+(_xlfn.XLOOKUP(Table1[[#This Row],[Manufacturer]]&amp;" "&amp;Table1[[#This Row],[Model]],Table13[MFR &amp; MDL],Table13[Tolerance % CW ],"")/100*Table1[[#This Row],[Std Nom]]),"")</f>
        <v/>
      </c>
      <c r="Q1639" s="1" t="e">
        <f>Table1[[#This Row],[High Tol]]-Table1[[#This Row],[Low Tol]]</f>
        <v>#VALUE!</v>
      </c>
      <c r="R1639" s="1">
        <f>2*Table1[[#This Row],[Std Error]]</f>
        <v>0</v>
      </c>
      <c r="S1639" s="1" t="str">
        <f>IF(Table1[[#This Row],[High Tol]]="","N/A",IFERROR(ABS(Table1[[#This Row],[Tol Span]]/Table1[[#This Row],[Error Span]]),"N/A"))</f>
        <v>N/A</v>
      </c>
      <c r="T1639" s="1" t="str">
        <f>IF(OR(Table1[[#This Row],[Low Tol]]="",Table1[[#This Row],[High Tol]]=""),"Needs Analysis",IF(Table1[[#This Row],[Ratio]]&gt;=4,"Not Significant",IF(Table1[[#This Row],[Ratio]]&gt;=2,"Semi-Significant","Significant")))</f>
        <v>Needs Analysis</v>
      </c>
      <c r="W1639" s="1">
        <f>IF(Table1[[#This Row],[Cal Type]]&lt;&gt;"ACCREDITED 17025 WITH UNCERTAINTIES",0,"")</f>
        <v>0</v>
      </c>
      <c r="X1639" s="1" t="str">
        <f>IF(Table1[[#This Row],[DUT Read]]="","N/A",Table1[[#This Row],[Std Error]]+Table1[[#This Row],[DUT Read]]+Table1[[#This Row],[DUT Ucty]])</f>
        <v>N/A</v>
      </c>
      <c r="Y1639" s="1" t="str">
        <f>IF(Table1[[#This Row],[Std Read]]="","N/A",Table1[[#This Row],[Std Read]]+Table1[[#This Row],[Std Ucty]])</f>
        <v>N/A</v>
      </c>
      <c r="Z16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9" s="1" t="str">
        <f>IF(Table1[[#This Row],[Spec Type]]="","N/A",Table1[[#This Row],[Spec Type]])</f>
        <v>±</v>
      </c>
      <c r="AC1639" s="1" t="str">
        <f>IF(Table1[[#This Row],[Spec Type2]]="N/A","N/A",IF(AND(Table1[[#This Row],[DUT Adj Read]]&gt;=Table1[[#This Row],[Low Tol]],Table1[[#This Row],[DUT Adj Read]]&lt;=Table1[[#This Row],[High Tol]]),"Pass","Fail"))</f>
        <v>Fail</v>
      </c>
      <c r="AD1639" s="1" t="str">
        <f>IF(AND(Table1[[#This Row],[Spec Type2]]="N/A",Table1[[#This Row],[DUT Adj Read]]="N/A",Table1[[#This Row],[Std Adj Read]]="N/A"),"N/A",IF(Table1[[#This Row],[DUT Adj Read]]="N/A",IF(Table1[[#This Row],[Std Adj Read]]&gt;Table1[[#This Row],[Low Tol]],"Pass","Fail"),IF(Table1[[#This Row],[DUT Adj Read]]&gt;Table1[[#This Row],[Low Tol]],"Pass","Fail")))</f>
        <v>Pass</v>
      </c>
      <c r="AE1639" s="1" t="str">
        <f>IF(AND(Table1[[#This Row],[Spec Type2]]="N/A",Table1[[#This Row],[DUT Adj Read]]="N/A",Table1[[#This Row],[Std Adj Read]]="N/A"),"N/A",IF(Table1[[#This Row],[DUT Adj Read]]="N/A",IF(Table1[[#This Row],[Std Adj Read]]&lt;Table1[[#This Row],[High Tol]],"Pass","Fail"),IF(Table1[[#This Row],[DUT Adj Read]]&lt;Table1[[#This Row],[High Tol]],"Pass","Fail")))</f>
        <v>Fail</v>
      </c>
      <c r="AF1639" s="1" t="str">
        <f>IF(AND(Table1[[#This Row],[Spec Type2]]="N/A",Table1[[#This Row],[DUT Adj Read]]="N/A",Table1[[#This Row],[Std Adj Read]]="N/A"),"N/A",IF(Table1[[#This Row],[DUT Adj Read]]="N/A",IF(Table1[[#This Row],[Std Adj Read]]&gt;=Table1[[#This Row],[Low Tol]],"Pass","Fail"),IF(Table1[[#This Row],[DUT Adj Read]]&gt;=Table1[[#This Row],[Low Tol]],"Pass","Fail")))</f>
        <v>Pass</v>
      </c>
      <c r="AG1639" s="1" t="str">
        <f>IF(AND(Table1[[#This Row],[Spec Type2]]="N/A",Table1[[#This Row],[DUT Adj Read]]="N/A",Table1[[#This Row],[Std Adj Read]]="N/A"),"N/A",IF(Table1[[#This Row],[DUT Adj Read]]="N/A",IF(Table1[[#This Row],[Std Adj Read]]&lt;=Table1[[#This Row],[High Tol]],"Pass","Fail"),IF(Table1[[#This Row],[DUT Adj Read]]&lt;=Table1[[#This Row],[High Tol]],"Pass","Fail")))</f>
        <v>Fail</v>
      </c>
      <c r="AH16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9" s="1" t="b">
        <v>0</v>
      </c>
      <c r="AN1639" s="1" t="b">
        <v>0</v>
      </c>
      <c r="AO1639" s="1" t="b">
        <v>0</v>
      </c>
    </row>
    <row r="1640" spans="1:41" x14ac:dyDescent="0.25">
      <c r="A1640" s="10"/>
      <c r="B1640" s="10"/>
      <c r="C1640" s="10"/>
      <c r="D1640" s="10"/>
      <c r="E1640" s="10"/>
      <c r="F1640" s="10"/>
      <c r="G1640" s="10"/>
      <c r="H1640" s="10"/>
      <c r="I1640" s="1" t="str">
        <f t="shared" si="75"/>
        <v/>
      </c>
      <c r="J1640" s="1" t="s">
        <v>35</v>
      </c>
      <c r="K1640" s="1" t="str">
        <f t="shared" si="76"/>
        <v/>
      </c>
      <c r="L1640" s="1" t="str">
        <f t="shared" si="77"/>
        <v/>
      </c>
      <c r="M1640" s="1">
        <f>IF(OR(Table1[[#This Row],[Std Nom]]="",Table1[[#This Row],[Std Read]]=""),0,Table1[[#This Row],[Std Nom]]-Table1[[#This Row],[Std Read]])</f>
        <v>0</v>
      </c>
      <c r="N1640" s="1">
        <f>IF(Calculations!$F$5="ACCREDITED 17025 WITH UNCERTAINTIES",$N$10,0)</f>
        <v>0</v>
      </c>
      <c r="O1640" s="1" t="str">
        <f>IFERROR(Table1[[#This Row],[Std Nom]]-(_xlfn.XLOOKUP(Table1[[#This Row],[Manufacturer]]&amp;" "&amp;Table1[[#This Row],[Model]],Table13[MFR &amp; MDL],Table13[Tolerance % CW ],"")/100*Table1[[#This Row],[Std Nom]]),"")</f>
        <v/>
      </c>
      <c r="P1640" s="1" t="str">
        <f>IFERROR(Table1[[#This Row],[Std Nom]]+(_xlfn.XLOOKUP(Table1[[#This Row],[Manufacturer]]&amp;" "&amp;Table1[[#This Row],[Model]],Table13[MFR &amp; MDL],Table13[Tolerance % CW ],"")/100*Table1[[#This Row],[Std Nom]]),"")</f>
        <v/>
      </c>
      <c r="Q1640" s="1" t="e">
        <f>Table1[[#This Row],[High Tol]]-Table1[[#This Row],[Low Tol]]</f>
        <v>#VALUE!</v>
      </c>
      <c r="R1640" s="1">
        <f>2*Table1[[#This Row],[Std Error]]</f>
        <v>0</v>
      </c>
      <c r="S1640" s="1" t="str">
        <f>IF(Table1[[#This Row],[High Tol]]="","N/A",IFERROR(ABS(Table1[[#This Row],[Tol Span]]/Table1[[#This Row],[Error Span]]),"N/A"))</f>
        <v>N/A</v>
      </c>
      <c r="T1640" s="1" t="str">
        <f>IF(OR(Table1[[#This Row],[Low Tol]]="",Table1[[#This Row],[High Tol]]=""),"Needs Analysis",IF(Table1[[#This Row],[Ratio]]&gt;=4,"Not Significant",IF(Table1[[#This Row],[Ratio]]&gt;=2,"Semi-Significant","Significant")))</f>
        <v>Needs Analysis</v>
      </c>
      <c r="W1640" s="1">
        <f>IF(Table1[[#This Row],[Cal Type]]&lt;&gt;"ACCREDITED 17025 WITH UNCERTAINTIES",0,"")</f>
        <v>0</v>
      </c>
      <c r="X1640" s="1" t="str">
        <f>IF(Table1[[#This Row],[DUT Read]]="","N/A",Table1[[#This Row],[Std Error]]+Table1[[#This Row],[DUT Read]]+Table1[[#This Row],[DUT Ucty]])</f>
        <v>N/A</v>
      </c>
      <c r="Y1640" s="1" t="str">
        <f>IF(Table1[[#This Row],[Std Read]]="","N/A",Table1[[#This Row],[Std Read]]+Table1[[#This Row],[Std Ucty]])</f>
        <v>N/A</v>
      </c>
      <c r="Z16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0" s="1" t="str">
        <f>IF(Table1[[#This Row],[Spec Type]]="","N/A",Table1[[#This Row],[Spec Type]])</f>
        <v>±</v>
      </c>
      <c r="AC1640" s="1" t="str">
        <f>IF(Table1[[#This Row],[Spec Type2]]="N/A","N/A",IF(AND(Table1[[#This Row],[DUT Adj Read]]&gt;=Table1[[#This Row],[Low Tol]],Table1[[#This Row],[DUT Adj Read]]&lt;=Table1[[#This Row],[High Tol]]),"Pass","Fail"))</f>
        <v>Fail</v>
      </c>
      <c r="AD1640" s="1" t="str">
        <f>IF(AND(Table1[[#This Row],[Spec Type2]]="N/A",Table1[[#This Row],[DUT Adj Read]]="N/A",Table1[[#This Row],[Std Adj Read]]="N/A"),"N/A",IF(Table1[[#This Row],[DUT Adj Read]]="N/A",IF(Table1[[#This Row],[Std Adj Read]]&gt;Table1[[#This Row],[Low Tol]],"Pass","Fail"),IF(Table1[[#This Row],[DUT Adj Read]]&gt;Table1[[#This Row],[Low Tol]],"Pass","Fail")))</f>
        <v>Pass</v>
      </c>
      <c r="AE1640" s="1" t="str">
        <f>IF(AND(Table1[[#This Row],[Spec Type2]]="N/A",Table1[[#This Row],[DUT Adj Read]]="N/A",Table1[[#This Row],[Std Adj Read]]="N/A"),"N/A",IF(Table1[[#This Row],[DUT Adj Read]]="N/A",IF(Table1[[#This Row],[Std Adj Read]]&lt;Table1[[#This Row],[High Tol]],"Pass","Fail"),IF(Table1[[#This Row],[DUT Adj Read]]&lt;Table1[[#This Row],[High Tol]],"Pass","Fail")))</f>
        <v>Fail</v>
      </c>
      <c r="AF1640" s="1" t="str">
        <f>IF(AND(Table1[[#This Row],[Spec Type2]]="N/A",Table1[[#This Row],[DUT Adj Read]]="N/A",Table1[[#This Row],[Std Adj Read]]="N/A"),"N/A",IF(Table1[[#This Row],[DUT Adj Read]]="N/A",IF(Table1[[#This Row],[Std Adj Read]]&gt;=Table1[[#This Row],[Low Tol]],"Pass","Fail"),IF(Table1[[#This Row],[DUT Adj Read]]&gt;=Table1[[#This Row],[Low Tol]],"Pass","Fail")))</f>
        <v>Pass</v>
      </c>
      <c r="AG1640" s="1" t="str">
        <f>IF(AND(Table1[[#This Row],[Spec Type2]]="N/A",Table1[[#This Row],[DUT Adj Read]]="N/A",Table1[[#This Row],[Std Adj Read]]="N/A"),"N/A",IF(Table1[[#This Row],[DUT Adj Read]]="N/A",IF(Table1[[#This Row],[Std Adj Read]]&lt;=Table1[[#This Row],[High Tol]],"Pass","Fail"),IF(Table1[[#This Row],[DUT Adj Read]]&lt;=Table1[[#This Row],[High Tol]],"Pass","Fail")))</f>
        <v>Fail</v>
      </c>
      <c r="AH16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0" s="1" t="b">
        <v>0</v>
      </c>
      <c r="AN1640" s="1" t="b">
        <v>0</v>
      </c>
      <c r="AO1640" s="1" t="b">
        <v>0</v>
      </c>
    </row>
    <row r="1641" spans="1:41" x14ac:dyDescent="0.25">
      <c r="A1641" s="10"/>
      <c r="B1641" s="10"/>
      <c r="C1641" s="10"/>
      <c r="D1641" s="10"/>
      <c r="E1641" s="10"/>
      <c r="F1641" s="10"/>
      <c r="G1641" s="10"/>
      <c r="H1641" s="10"/>
      <c r="I1641" s="1" t="str">
        <f t="shared" si="75"/>
        <v/>
      </c>
      <c r="J1641" s="1" t="s">
        <v>35</v>
      </c>
      <c r="K1641" s="1" t="str">
        <f t="shared" si="76"/>
        <v/>
      </c>
      <c r="L1641" s="1" t="str">
        <f t="shared" si="77"/>
        <v/>
      </c>
      <c r="M1641" s="1">
        <f>IF(OR(Table1[[#This Row],[Std Nom]]="",Table1[[#This Row],[Std Read]]=""),0,Table1[[#This Row],[Std Nom]]-Table1[[#This Row],[Std Read]])</f>
        <v>0</v>
      </c>
      <c r="N1641" s="1">
        <f>IF(Calculations!$F$5="ACCREDITED 17025 WITH UNCERTAINTIES",$N$10,0)</f>
        <v>0</v>
      </c>
      <c r="O1641" s="1" t="str">
        <f>IFERROR(Table1[[#This Row],[Std Nom]]-(_xlfn.XLOOKUP(Table1[[#This Row],[Manufacturer]]&amp;" "&amp;Table1[[#This Row],[Model]],Table13[MFR &amp; MDL],Table13[Tolerance % CW ],"")/100*Table1[[#This Row],[Std Nom]]),"")</f>
        <v/>
      </c>
      <c r="P1641" s="1" t="str">
        <f>IFERROR(Table1[[#This Row],[Std Nom]]+(_xlfn.XLOOKUP(Table1[[#This Row],[Manufacturer]]&amp;" "&amp;Table1[[#This Row],[Model]],Table13[MFR &amp; MDL],Table13[Tolerance % CW ],"")/100*Table1[[#This Row],[Std Nom]]),"")</f>
        <v/>
      </c>
      <c r="Q1641" s="1" t="e">
        <f>Table1[[#This Row],[High Tol]]-Table1[[#This Row],[Low Tol]]</f>
        <v>#VALUE!</v>
      </c>
      <c r="R1641" s="1">
        <f>2*Table1[[#This Row],[Std Error]]</f>
        <v>0</v>
      </c>
      <c r="S1641" s="1" t="str">
        <f>IF(Table1[[#This Row],[High Tol]]="","N/A",IFERROR(ABS(Table1[[#This Row],[Tol Span]]/Table1[[#This Row],[Error Span]]),"N/A"))</f>
        <v>N/A</v>
      </c>
      <c r="T1641" s="1" t="str">
        <f>IF(OR(Table1[[#This Row],[Low Tol]]="",Table1[[#This Row],[High Tol]]=""),"Needs Analysis",IF(Table1[[#This Row],[Ratio]]&gt;=4,"Not Significant",IF(Table1[[#This Row],[Ratio]]&gt;=2,"Semi-Significant","Significant")))</f>
        <v>Needs Analysis</v>
      </c>
      <c r="W1641" s="1">
        <f>IF(Table1[[#This Row],[Cal Type]]&lt;&gt;"ACCREDITED 17025 WITH UNCERTAINTIES",0,"")</f>
        <v>0</v>
      </c>
      <c r="X1641" s="1" t="str">
        <f>IF(Table1[[#This Row],[DUT Read]]="","N/A",Table1[[#This Row],[Std Error]]+Table1[[#This Row],[DUT Read]]+Table1[[#This Row],[DUT Ucty]])</f>
        <v>N/A</v>
      </c>
      <c r="Y1641" s="1" t="str">
        <f>IF(Table1[[#This Row],[Std Read]]="","N/A",Table1[[#This Row],[Std Read]]+Table1[[#This Row],[Std Ucty]])</f>
        <v>N/A</v>
      </c>
      <c r="Z16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1" s="1" t="str">
        <f>IF(Table1[[#This Row],[Spec Type]]="","N/A",Table1[[#This Row],[Spec Type]])</f>
        <v>±</v>
      </c>
      <c r="AC1641" s="1" t="str">
        <f>IF(Table1[[#This Row],[Spec Type2]]="N/A","N/A",IF(AND(Table1[[#This Row],[DUT Adj Read]]&gt;=Table1[[#This Row],[Low Tol]],Table1[[#This Row],[DUT Adj Read]]&lt;=Table1[[#This Row],[High Tol]]),"Pass","Fail"))</f>
        <v>Fail</v>
      </c>
      <c r="AD1641" s="1" t="str">
        <f>IF(AND(Table1[[#This Row],[Spec Type2]]="N/A",Table1[[#This Row],[DUT Adj Read]]="N/A",Table1[[#This Row],[Std Adj Read]]="N/A"),"N/A",IF(Table1[[#This Row],[DUT Adj Read]]="N/A",IF(Table1[[#This Row],[Std Adj Read]]&gt;Table1[[#This Row],[Low Tol]],"Pass","Fail"),IF(Table1[[#This Row],[DUT Adj Read]]&gt;Table1[[#This Row],[Low Tol]],"Pass","Fail")))</f>
        <v>Pass</v>
      </c>
      <c r="AE1641" s="1" t="str">
        <f>IF(AND(Table1[[#This Row],[Spec Type2]]="N/A",Table1[[#This Row],[DUT Adj Read]]="N/A",Table1[[#This Row],[Std Adj Read]]="N/A"),"N/A",IF(Table1[[#This Row],[DUT Adj Read]]="N/A",IF(Table1[[#This Row],[Std Adj Read]]&lt;Table1[[#This Row],[High Tol]],"Pass","Fail"),IF(Table1[[#This Row],[DUT Adj Read]]&lt;Table1[[#This Row],[High Tol]],"Pass","Fail")))</f>
        <v>Fail</v>
      </c>
      <c r="AF1641" s="1" t="str">
        <f>IF(AND(Table1[[#This Row],[Spec Type2]]="N/A",Table1[[#This Row],[DUT Adj Read]]="N/A",Table1[[#This Row],[Std Adj Read]]="N/A"),"N/A",IF(Table1[[#This Row],[DUT Adj Read]]="N/A",IF(Table1[[#This Row],[Std Adj Read]]&gt;=Table1[[#This Row],[Low Tol]],"Pass","Fail"),IF(Table1[[#This Row],[DUT Adj Read]]&gt;=Table1[[#This Row],[Low Tol]],"Pass","Fail")))</f>
        <v>Pass</v>
      </c>
      <c r="AG1641" s="1" t="str">
        <f>IF(AND(Table1[[#This Row],[Spec Type2]]="N/A",Table1[[#This Row],[DUT Adj Read]]="N/A",Table1[[#This Row],[Std Adj Read]]="N/A"),"N/A",IF(Table1[[#This Row],[DUT Adj Read]]="N/A",IF(Table1[[#This Row],[Std Adj Read]]&lt;=Table1[[#This Row],[High Tol]],"Pass","Fail"),IF(Table1[[#This Row],[DUT Adj Read]]&lt;=Table1[[#This Row],[High Tol]],"Pass","Fail")))</f>
        <v>Fail</v>
      </c>
      <c r="AH16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1" s="1" t="b">
        <v>0</v>
      </c>
      <c r="AN1641" s="1" t="b">
        <v>0</v>
      </c>
      <c r="AO1641" s="1" t="b">
        <v>0</v>
      </c>
    </row>
    <row r="1642" spans="1:41" x14ac:dyDescent="0.25">
      <c r="A1642" s="10"/>
      <c r="B1642" s="10"/>
      <c r="C1642" s="10"/>
      <c r="D1642" s="10"/>
      <c r="E1642" s="10"/>
      <c r="F1642" s="10"/>
      <c r="G1642" s="10"/>
      <c r="H1642" s="10"/>
      <c r="I1642" s="1" t="str">
        <f t="shared" si="75"/>
        <v/>
      </c>
      <c r="J1642" s="1" t="s">
        <v>35</v>
      </c>
      <c r="K1642" s="1" t="str">
        <f t="shared" si="76"/>
        <v/>
      </c>
      <c r="L1642" s="1" t="str">
        <f t="shared" si="77"/>
        <v/>
      </c>
      <c r="M1642" s="1">
        <f>IF(OR(Table1[[#This Row],[Std Nom]]="",Table1[[#This Row],[Std Read]]=""),0,Table1[[#This Row],[Std Nom]]-Table1[[#This Row],[Std Read]])</f>
        <v>0</v>
      </c>
      <c r="N1642" s="1">
        <f>IF(Calculations!$F$5="ACCREDITED 17025 WITH UNCERTAINTIES",$N$10,0)</f>
        <v>0</v>
      </c>
      <c r="O1642" s="1" t="str">
        <f>IFERROR(Table1[[#This Row],[Std Nom]]-(_xlfn.XLOOKUP(Table1[[#This Row],[Manufacturer]]&amp;" "&amp;Table1[[#This Row],[Model]],Table13[MFR &amp; MDL],Table13[Tolerance % CW ],"")/100*Table1[[#This Row],[Std Nom]]),"")</f>
        <v/>
      </c>
      <c r="P1642" s="1" t="str">
        <f>IFERROR(Table1[[#This Row],[Std Nom]]+(_xlfn.XLOOKUP(Table1[[#This Row],[Manufacturer]]&amp;" "&amp;Table1[[#This Row],[Model]],Table13[MFR &amp; MDL],Table13[Tolerance % CW ],"")/100*Table1[[#This Row],[Std Nom]]),"")</f>
        <v/>
      </c>
      <c r="Q1642" s="1" t="e">
        <f>Table1[[#This Row],[High Tol]]-Table1[[#This Row],[Low Tol]]</f>
        <v>#VALUE!</v>
      </c>
      <c r="R1642" s="1">
        <f>2*Table1[[#This Row],[Std Error]]</f>
        <v>0</v>
      </c>
      <c r="S1642" s="1" t="str">
        <f>IF(Table1[[#This Row],[High Tol]]="","N/A",IFERROR(ABS(Table1[[#This Row],[Tol Span]]/Table1[[#This Row],[Error Span]]),"N/A"))</f>
        <v>N/A</v>
      </c>
      <c r="T1642" s="1" t="str">
        <f>IF(OR(Table1[[#This Row],[Low Tol]]="",Table1[[#This Row],[High Tol]]=""),"Needs Analysis",IF(Table1[[#This Row],[Ratio]]&gt;=4,"Not Significant",IF(Table1[[#This Row],[Ratio]]&gt;=2,"Semi-Significant","Significant")))</f>
        <v>Needs Analysis</v>
      </c>
      <c r="W1642" s="1">
        <f>IF(Table1[[#This Row],[Cal Type]]&lt;&gt;"ACCREDITED 17025 WITH UNCERTAINTIES",0,"")</f>
        <v>0</v>
      </c>
      <c r="X1642" s="1" t="str">
        <f>IF(Table1[[#This Row],[DUT Read]]="","N/A",Table1[[#This Row],[Std Error]]+Table1[[#This Row],[DUT Read]]+Table1[[#This Row],[DUT Ucty]])</f>
        <v>N/A</v>
      </c>
      <c r="Y1642" s="1" t="str">
        <f>IF(Table1[[#This Row],[Std Read]]="","N/A",Table1[[#This Row],[Std Read]]+Table1[[#This Row],[Std Ucty]])</f>
        <v>N/A</v>
      </c>
      <c r="Z16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2" s="1" t="str">
        <f>IF(Table1[[#This Row],[Spec Type]]="","N/A",Table1[[#This Row],[Spec Type]])</f>
        <v>±</v>
      </c>
      <c r="AC1642" s="1" t="str">
        <f>IF(Table1[[#This Row],[Spec Type2]]="N/A","N/A",IF(AND(Table1[[#This Row],[DUT Adj Read]]&gt;=Table1[[#This Row],[Low Tol]],Table1[[#This Row],[DUT Adj Read]]&lt;=Table1[[#This Row],[High Tol]]),"Pass","Fail"))</f>
        <v>Fail</v>
      </c>
      <c r="AD1642" s="1" t="str">
        <f>IF(AND(Table1[[#This Row],[Spec Type2]]="N/A",Table1[[#This Row],[DUT Adj Read]]="N/A",Table1[[#This Row],[Std Adj Read]]="N/A"),"N/A",IF(Table1[[#This Row],[DUT Adj Read]]="N/A",IF(Table1[[#This Row],[Std Adj Read]]&gt;Table1[[#This Row],[Low Tol]],"Pass","Fail"),IF(Table1[[#This Row],[DUT Adj Read]]&gt;Table1[[#This Row],[Low Tol]],"Pass","Fail")))</f>
        <v>Pass</v>
      </c>
      <c r="AE1642" s="1" t="str">
        <f>IF(AND(Table1[[#This Row],[Spec Type2]]="N/A",Table1[[#This Row],[DUT Adj Read]]="N/A",Table1[[#This Row],[Std Adj Read]]="N/A"),"N/A",IF(Table1[[#This Row],[DUT Adj Read]]="N/A",IF(Table1[[#This Row],[Std Adj Read]]&lt;Table1[[#This Row],[High Tol]],"Pass","Fail"),IF(Table1[[#This Row],[DUT Adj Read]]&lt;Table1[[#This Row],[High Tol]],"Pass","Fail")))</f>
        <v>Fail</v>
      </c>
      <c r="AF1642" s="1" t="str">
        <f>IF(AND(Table1[[#This Row],[Spec Type2]]="N/A",Table1[[#This Row],[DUT Adj Read]]="N/A",Table1[[#This Row],[Std Adj Read]]="N/A"),"N/A",IF(Table1[[#This Row],[DUT Adj Read]]="N/A",IF(Table1[[#This Row],[Std Adj Read]]&gt;=Table1[[#This Row],[Low Tol]],"Pass","Fail"),IF(Table1[[#This Row],[DUT Adj Read]]&gt;=Table1[[#This Row],[Low Tol]],"Pass","Fail")))</f>
        <v>Pass</v>
      </c>
      <c r="AG1642" s="1" t="str">
        <f>IF(AND(Table1[[#This Row],[Spec Type2]]="N/A",Table1[[#This Row],[DUT Adj Read]]="N/A",Table1[[#This Row],[Std Adj Read]]="N/A"),"N/A",IF(Table1[[#This Row],[DUT Adj Read]]="N/A",IF(Table1[[#This Row],[Std Adj Read]]&lt;=Table1[[#This Row],[High Tol]],"Pass","Fail"),IF(Table1[[#This Row],[DUT Adj Read]]&lt;=Table1[[#This Row],[High Tol]],"Pass","Fail")))</f>
        <v>Fail</v>
      </c>
      <c r="AH16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2" s="1" t="b">
        <v>0</v>
      </c>
      <c r="AN1642" s="1" t="b">
        <v>0</v>
      </c>
      <c r="AO1642" s="1" t="b">
        <v>0</v>
      </c>
    </row>
    <row r="1643" spans="1:41" x14ac:dyDescent="0.25">
      <c r="A1643" s="10"/>
      <c r="B1643" s="10"/>
      <c r="C1643" s="10"/>
      <c r="D1643" s="10"/>
      <c r="E1643" s="10"/>
      <c r="F1643" s="10"/>
      <c r="G1643" s="10"/>
      <c r="H1643" s="10"/>
      <c r="I1643" s="1" t="str">
        <f t="shared" si="75"/>
        <v/>
      </c>
      <c r="J1643" s="1" t="s">
        <v>35</v>
      </c>
      <c r="K1643" s="1" t="str">
        <f t="shared" si="76"/>
        <v/>
      </c>
      <c r="L1643" s="1" t="str">
        <f t="shared" si="77"/>
        <v/>
      </c>
      <c r="M1643" s="1">
        <f>IF(OR(Table1[[#This Row],[Std Nom]]="",Table1[[#This Row],[Std Read]]=""),0,Table1[[#This Row],[Std Nom]]-Table1[[#This Row],[Std Read]])</f>
        <v>0</v>
      </c>
      <c r="N1643" s="1">
        <f>IF(Calculations!$F$5="ACCREDITED 17025 WITH UNCERTAINTIES",$N$10,0)</f>
        <v>0</v>
      </c>
      <c r="O1643" s="1" t="str">
        <f>IFERROR(Table1[[#This Row],[Std Nom]]-(_xlfn.XLOOKUP(Table1[[#This Row],[Manufacturer]]&amp;" "&amp;Table1[[#This Row],[Model]],Table13[MFR &amp; MDL],Table13[Tolerance % CW ],"")/100*Table1[[#This Row],[Std Nom]]),"")</f>
        <v/>
      </c>
      <c r="P1643" s="1" t="str">
        <f>IFERROR(Table1[[#This Row],[Std Nom]]+(_xlfn.XLOOKUP(Table1[[#This Row],[Manufacturer]]&amp;" "&amp;Table1[[#This Row],[Model]],Table13[MFR &amp; MDL],Table13[Tolerance % CW ],"")/100*Table1[[#This Row],[Std Nom]]),"")</f>
        <v/>
      </c>
      <c r="Q1643" s="1" t="e">
        <f>Table1[[#This Row],[High Tol]]-Table1[[#This Row],[Low Tol]]</f>
        <v>#VALUE!</v>
      </c>
      <c r="R1643" s="1">
        <f>2*Table1[[#This Row],[Std Error]]</f>
        <v>0</v>
      </c>
      <c r="S1643" s="1" t="str">
        <f>IF(Table1[[#This Row],[High Tol]]="","N/A",IFERROR(ABS(Table1[[#This Row],[Tol Span]]/Table1[[#This Row],[Error Span]]),"N/A"))</f>
        <v>N/A</v>
      </c>
      <c r="T1643" s="1" t="str">
        <f>IF(OR(Table1[[#This Row],[Low Tol]]="",Table1[[#This Row],[High Tol]]=""),"Needs Analysis",IF(Table1[[#This Row],[Ratio]]&gt;=4,"Not Significant",IF(Table1[[#This Row],[Ratio]]&gt;=2,"Semi-Significant","Significant")))</f>
        <v>Needs Analysis</v>
      </c>
      <c r="W1643" s="1">
        <f>IF(Table1[[#This Row],[Cal Type]]&lt;&gt;"ACCREDITED 17025 WITH UNCERTAINTIES",0,"")</f>
        <v>0</v>
      </c>
      <c r="X1643" s="1" t="str">
        <f>IF(Table1[[#This Row],[DUT Read]]="","N/A",Table1[[#This Row],[Std Error]]+Table1[[#This Row],[DUT Read]]+Table1[[#This Row],[DUT Ucty]])</f>
        <v>N/A</v>
      </c>
      <c r="Y1643" s="1" t="str">
        <f>IF(Table1[[#This Row],[Std Read]]="","N/A",Table1[[#This Row],[Std Read]]+Table1[[#This Row],[Std Ucty]])</f>
        <v>N/A</v>
      </c>
      <c r="Z16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3" s="1" t="str">
        <f>IF(Table1[[#This Row],[Spec Type]]="","N/A",Table1[[#This Row],[Spec Type]])</f>
        <v>±</v>
      </c>
      <c r="AC1643" s="1" t="str">
        <f>IF(Table1[[#This Row],[Spec Type2]]="N/A","N/A",IF(AND(Table1[[#This Row],[DUT Adj Read]]&gt;=Table1[[#This Row],[Low Tol]],Table1[[#This Row],[DUT Adj Read]]&lt;=Table1[[#This Row],[High Tol]]),"Pass","Fail"))</f>
        <v>Fail</v>
      </c>
      <c r="AD1643" s="1" t="str">
        <f>IF(AND(Table1[[#This Row],[Spec Type2]]="N/A",Table1[[#This Row],[DUT Adj Read]]="N/A",Table1[[#This Row],[Std Adj Read]]="N/A"),"N/A",IF(Table1[[#This Row],[DUT Adj Read]]="N/A",IF(Table1[[#This Row],[Std Adj Read]]&gt;Table1[[#This Row],[Low Tol]],"Pass","Fail"),IF(Table1[[#This Row],[DUT Adj Read]]&gt;Table1[[#This Row],[Low Tol]],"Pass","Fail")))</f>
        <v>Pass</v>
      </c>
      <c r="AE1643" s="1" t="str">
        <f>IF(AND(Table1[[#This Row],[Spec Type2]]="N/A",Table1[[#This Row],[DUT Adj Read]]="N/A",Table1[[#This Row],[Std Adj Read]]="N/A"),"N/A",IF(Table1[[#This Row],[DUT Adj Read]]="N/A",IF(Table1[[#This Row],[Std Adj Read]]&lt;Table1[[#This Row],[High Tol]],"Pass","Fail"),IF(Table1[[#This Row],[DUT Adj Read]]&lt;Table1[[#This Row],[High Tol]],"Pass","Fail")))</f>
        <v>Fail</v>
      </c>
      <c r="AF1643" s="1" t="str">
        <f>IF(AND(Table1[[#This Row],[Spec Type2]]="N/A",Table1[[#This Row],[DUT Adj Read]]="N/A",Table1[[#This Row],[Std Adj Read]]="N/A"),"N/A",IF(Table1[[#This Row],[DUT Adj Read]]="N/A",IF(Table1[[#This Row],[Std Adj Read]]&gt;=Table1[[#This Row],[Low Tol]],"Pass","Fail"),IF(Table1[[#This Row],[DUT Adj Read]]&gt;=Table1[[#This Row],[Low Tol]],"Pass","Fail")))</f>
        <v>Pass</v>
      </c>
      <c r="AG1643" s="1" t="str">
        <f>IF(AND(Table1[[#This Row],[Spec Type2]]="N/A",Table1[[#This Row],[DUT Adj Read]]="N/A",Table1[[#This Row],[Std Adj Read]]="N/A"),"N/A",IF(Table1[[#This Row],[DUT Adj Read]]="N/A",IF(Table1[[#This Row],[Std Adj Read]]&lt;=Table1[[#This Row],[High Tol]],"Pass","Fail"),IF(Table1[[#This Row],[DUT Adj Read]]&lt;=Table1[[#This Row],[High Tol]],"Pass","Fail")))</f>
        <v>Fail</v>
      </c>
      <c r="AH16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3" s="1" t="b">
        <v>0</v>
      </c>
      <c r="AN1643" s="1" t="b">
        <v>0</v>
      </c>
      <c r="AO1643" s="1" t="b">
        <v>0</v>
      </c>
    </row>
    <row r="1644" spans="1:41" x14ac:dyDescent="0.25">
      <c r="A1644" s="10"/>
      <c r="B1644" s="10"/>
      <c r="C1644" s="10"/>
      <c r="D1644" s="10"/>
      <c r="E1644" s="10"/>
      <c r="F1644" s="10"/>
      <c r="G1644" s="10"/>
      <c r="H1644" s="10"/>
      <c r="I1644" s="1" t="str">
        <f t="shared" si="75"/>
        <v/>
      </c>
      <c r="J1644" s="1" t="s">
        <v>35</v>
      </c>
      <c r="K1644" s="1" t="str">
        <f t="shared" si="76"/>
        <v/>
      </c>
      <c r="L1644" s="1" t="str">
        <f t="shared" si="77"/>
        <v/>
      </c>
      <c r="M1644" s="1">
        <f>IF(OR(Table1[[#This Row],[Std Nom]]="",Table1[[#This Row],[Std Read]]=""),0,Table1[[#This Row],[Std Nom]]-Table1[[#This Row],[Std Read]])</f>
        <v>0</v>
      </c>
      <c r="N1644" s="1">
        <f>IF(Calculations!$F$5="ACCREDITED 17025 WITH UNCERTAINTIES",$N$10,0)</f>
        <v>0</v>
      </c>
      <c r="O1644" s="1" t="str">
        <f>IFERROR(Table1[[#This Row],[Std Nom]]-(_xlfn.XLOOKUP(Table1[[#This Row],[Manufacturer]]&amp;" "&amp;Table1[[#This Row],[Model]],Table13[MFR &amp; MDL],Table13[Tolerance % CW ],"")/100*Table1[[#This Row],[Std Nom]]),"")</f>
        <v/>
      </c>
      <c r="P1644" s="1" t="str">
        <f>IFERROR(Table1[[#This Row],[Std Nom]]+(_xlfn.XLOOKUP(Table1[[#This Row],[Manufacturer]]&amp;" "&amp;Table1[[#This Row],[Model]],Table13[MFR &amp; MDL],Table13[Tolerance % CW ],"")/100*Table1[[#This Row],[Std Nom]]),"")</f>
        <v/>
      </c>
      <c r="Q1644" s="1" t="e">
        <f>Table1[[#This Row],[High Tol]]-Table1[[#This Row],[Low Tol]]</f>
        <v>#VALUE!</v>
      </c>
      <c r="R1644" s="1">
        <f>2*Table1[[#This Row],[Std Error]]</f>
        <v>0</v>
      </c>
      <c r="S1644" s="1" t="str">
        <f>IF(Table1[[#This Row],[High Tol]]="","N/A",IFERROR(ABS(Table1[[#This Row],[Tol Span]]/Table1[[#This Row],[Error Span]]),"N/A"))</f>
        <v>N/A</v>
      </c>
      <c r="T1644" s="1" t="str">
        <f>IF(OR(Table1[[#This Row],[Low Tol]]="",Table1[[#This Row],[High Tol]]=""),"Needs Analysis",IF(Table1[[#This Row],[Ratio]]&gt;=4,"Not Significant",IF(Table1[[#This Row],[Ratio]]&gt;=2,"Semi-Significant","Significant")))</f>
        <v>Needs Analysis</v>
      </c>
      <c r="W1644" s="1">
        <f>IF(Table1[[#This Row],[Cal Type]]&lt;&gt;"ACCREDITED 17025 WITH UNCERTAINTIES",0,"")</f>
        <v>0</v>
      </c>
      <c r="X1644" s="1" t="str">
        <f>IF(Table1[[#This Row],[DUT Read]]="","N/A",Table1[[#This Row],[Std Error]]+Table1[[#This Row],[DUT Read]]+Table1[[#This Row],[DUT Ucty]])</f>
        <v>N/A</v>
      </c>
      <c r="Y1644" s="1" t="str">
        <f>IF(Table1[[#This Row],[Std Read]]="","N/A",Table1[[#This Row],[Std Read]]+Table1[[#This Row],[Std Ucty]])</f>
        <v>N/A</v>
      </c>
      <c r="Z16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4" s="1" t="str">
        <f>IF(Table1[[#This Row],[Spec Type]]="","N/A",Table1[[#This Row],[Spec Type]])</f>
        <v>±</v>
      </c>
      <c r="AC1644" s="1" t="str">
        <f>IF(Table1[[#This Row],[Spec Type2]]="N/A","N/A",IF(AND(Table1[[#This Row],[DUT Adj Read]]&gt;=Table1[[#This Row],[Low Tol]],Table1[[#This Row],[DUT Adj Read]]&lt;=Table1[[#This Row],[High Tol]]),"Pass","Fail"))</f>
        <v>Fail</v>
      </c>
      <c r="AD1644" s="1" t="str">
        <f>IF(AND(Table1[[#This Row],[Spec Type2]]="N/A",Table1[[#This Row],[DUT Adj Read]]="N/A",Table1[[#This Row],[Std Adj Read]]="N/A"),"N/A",IF(Table1[[#This Row],[DUT Adj Read]]="N/A",IF(Table1[[#This Row],[Std Adj Read]]&gt;Table1[[#This Row],[Low Tol]],"Pass","Fail"),IF(Table1[[#This Row],[DUT Adj Read]]&gt;Table1[[#This Row],[Low Tol]],"Pass","Fail")))</f>
        <v>Pass</v>
      </c>
      <c r="AE1644" s="1" t="str">
        <f>IF(AND(Table1[[#This Row],[Spec Type2]]="N/A",Table1[[#This Row],[DUT Adj Read]]="N/A",Table1[[#This Row],[Std Adj Read]]="N/A"),"N/A",IF(Table1[[#This Row],[DUT Adj Read]]="N/A",IF(Table1[[#This Row],[Std Adj Read]]&lt;Table1[[#This Row],[High Tol]],"Pass","Fail"),IF(Table1[[#This Row],[DUT Adj Read]]&lt;Table1[[#This Row],[High Tol]],"Pass","Fail")))</f>
        <v>Fail</v>
      </c>
      <c r="AF1644" s="1" t="str">
        <f>IF(AND(Table1[[#This Row],[Spec Type2]]="N/A",Table1[[#This Row],[DUT Adj Read]]="N/A",Table1[[#This Row],[Std Adj Read]]="N/A"),"N/A",IF(Table1[[#This Row],[DUT Adj Read]]="N/A",IF(Table1[[#This Row],[Std Adj Read]]&gt;=Table1[[#This Row],[Low Tol]],"Pass","Fail"),IF(Table1[[#This Row],[DUT Adj Read]]&gt;=Table1[[#This Row],[Low Tol]],"Pass","Fail")))</f>
        <v>Pass</v>
      </c>
      <c r="AG1644" s="1" t="str">
        <f>IF(AND(Table1[[#This Row],[Spec Type2]]="N/A",Table1[[#This Row],[DUT Adj Read]]="N/A",Table1[[#This Row],[Std Adj Read]]="N/A"),"N/A",IF(Table1[[#This Row],[DUT Adj Read]]="N/A",IF(Table1[[#This Row],[Std Adj Read]]&lt;=Table1[[#This Row],[High Tol]],"Pass","Fail"),IF(Table1[[#This Row],[DUT Adj Read]]&lt;=Table1[[#This Row],[High Tol]],"Pass","Fail")))</f>
        <v>Fail</v>
      </c>
      <c r="AH16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4" s="1" t="b">
        <v>0</v>
      </c>
      <c r="AN1644" s="1" t="b">
        <v>0</v>
      </c>
      <c r="AO1644" s="1" t="b">
        <v>0</v>
      </c>
    </row>
    <row r="1645" spans="1:41" x14ac:dyDescent="0.25">
      <c r="A1645" s="10"/>
      <c r="B1645" s="10"/>
      <c r="C1645" s="10"/>
      <c r="D1645" s="10"/>
      <c r="E1645" s="10"/>
      <c r="F1645" s="10"/>
      <c r="G1645" s="10"/>
      <c r="H1645" s="10"/>
      <c r="I1645" s="1" t="str">
        <f t="shared" si="75"/>
        <v/>
      </c>
      <c r="J1645" s="1" t="s">
        <v>35</v>
      </c>
      <c r="K1645" s="1" t="str">
        <f t="shared" si="76"/>
        <v/>
      </c>
      <c r="L1645" s="1" t="str">
        <f t="shared" si="77"/>
        <v/>
      </c>
      <c r="M1645" s="1">
        <f>IF(OR(Table1[[#This Row],[Std Nom]]="",Table1[[#This Row],[Std Read]]=""),0,Table1[[#This Row],[Std Nom]]-Table1[[#This Row],[Std Read]])</f>
        <v>0</v>
      </c>
      <c r="N1645" s="1">
        <f>IF(Calculations!$F$5="ACCREDITED 17025 WITH UNCERTAINTIES",$N$10,0)</f>
        <v>0</v>
      </c>
      <c r="O1645" s="1" t="str">
        <f>IFERROR(Table1[[#This Row],[Std Nom]]-(_xlfn.XLOOKUP(Table1[[#This Row],[Manufacturer]]&amp;" "&amp;Table1[[#This Row],[Model]],Table13[MFR &amp; MDL],Table13[Tolerance % CW ],"")/100*Table1[[#This Row],[Std Nom]]),"")</f>
        <v/>
      </c>
      <c r="P1645" s="1" t="str">
        <f>IFERROR(Table1[[#This Row],[Std Nom]]+(_xlfn.XLOOKUP(Table1[[#This Row],[Manufacturer]]&amp;" "&amp;Table1[[#This Row],[Model]],Table13[MFR &amp; MDL],Table13[Tolerance % CW ],"")/100*Table1[[#This Row],[Std Nom]]),"")</f>
        <v/>
      </c>
      <c r="Q1645" s="1" t="e">
        <f>Table1[[#This Row],[High Tol]]-Table1[[#This Row],[Low Tol]]</f>
        <v>#VALUE!</v>
      </c>
      <c r="R1645" s="1">
        <f>2*Table1[[#This Row],[Std Error]]</f>
        <v>0</v>
      </c>
      <c r="S1645" s="1" t="str">
        <f>IF(Table1[[#This Row],[High Tol]]="","N/A",IFERROR(ABS(Table1[[#This Row],[Tol Span]]/Table1[[#This Row],[Error Span]]),"N/A"))</f>
        <v>N/A</v>
      </c>
      <c r="T1645" s="1" t="str">
        <f>IF(OR(Table1[[#This Row],[Low Tol]]="",Table1[[#This Row],[High Tol]]=""),"Needs Analysis",IF(Table1[[#This Row],[Ratio]]&gt;=4,"Not Significant",IF(Table1[[#This Row],[Ratio]]&gt;=2,"Semi-Significant","Significant")))</f>
        <v>Needs Analysis</v>
      </c>
      <c r="W1645" s="1">
        <f>IF(Table1[[#This Row],[Cal Type]]&lt;&gt;"ACCREDITED 17025 WITH UNCERTAINTIES",0,"")</f>
        <v>0</v>
      </c>
      <c r="X1645" s="1" t="str">
        <f>IF(Table1[[#This Row],[DUT Read]]="","N/A",Table1[[#This Row],[Std Error]]+Table1[[#This Row],[DUT Read]]+Table1[[#This Row],[DUT Ucty]])</f>
        <v>N/A</v>
      </c>
      <c r="Y1645" s="1" t="str">
        <f>IF(Table1[[#This Row],[Std Read]]="","N/A",Table1[[#This Row],[Std Read]]+Table1[[#This Row],[Std Ucty]])</f>
        <v>N/A</v>
      </c>
      <c r="Z16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5" s="1" t="str">
        <f>IF(Table1[[#This Row],[Spec Type]]="","N/A",Table1[[#This Row],[Spec Type]])</f>
        <v>±</v>
      </c>
      <c r="AC1645" s="1" t="str">
        <f>IF(Table1[[#This Row],[Spec Type2]]="N/A","N/A",IF(AND(Table1[[#This Row],[DUT Adj Read]]&gt;=Table1[[#This Row],[Low Tol]],Table1[[#This Row],[DUT Adj Read]]&lt;=Table1[[#This Row],[High Tol]]),"Pass","Fail"))</f>
        <v>Fail</v>
      </c>
      <c r="AD1645" s="1" t="str">
        <f>IF(AND(Table1[[#This Row],[Spec Type2]]="N/A",Table1[[#This Row],[DUT Adj Read]]="N/A",Table1[[#This Row],[Std Adj Read]]="N/A"),"N/A",IF(Table1[[#This Row],[DUT Adj Read]]="N/A",IF(Table1[[#This Row],[Std Adj Read]]&gt;Table1[[#This Row],[Low Tol]],"Pass","Fail"),IF(Table1[[#This Row],[DUT Adj Read]]&gt;Table1[[#This Row],[Low Tol]],"Pass","Fail")))</f>
        <v>Pass</v>
      </c>
      <c r="AE1645" s="1" t="str">
        <f>IF(AND(Table1[[#This Row],[Spec Type2]]="N/A",Table1[[#This Row],[DUT Adj Read]]="N/A",Table1[[#This Row],[Std Adj Read]]="N/A"),"N/A",IF(Table1[[#This Row],[DUT Adj Read]]="N/A",IF(Table1[[#This Row],[Std Adj Read]]&lt;Table1[[#This Row],[High Tol]],"Pass","Fail"),IF(Table1[[#This Row],[DUT Adj Read]]&lt;Table1[[#This Row],[High Tol]],"Pass","Fail")))</f>
        <v>Fail</v>
      </c>
      <c r="AF1645" s="1" t="str">
        <f>IF(AND(Table1[[#This Row],[Spec Type2]]="N/A",Table1[[#This Row],[DUT Adj Read]]="N/A",Table1[[#This Row],[Std Adj Read]]="N/A"),"N/A",IF(Table1[[#This Row],[DUT Adj Read]]="N/A",IF(Table1[[#This Row],[Std Adj Read]]&gt;=Table1[[#This Row],[Low Tol]],"Pass","Fail"),IF(Table1[[#This Row],[DUT Adj Read]]&gt;=Table1[[#This Row],[Low Tol]],"Pass","Fail")))</f>
        <v>Pass</v>
      </c>
      <c r="AG1645" s="1" t="str">
        <f>IF(AND(Table1[[#This Row],[Spec Type2]]="N/A",Table1[[#This Row],[DUT Adj Read]]="N/A",Table1[[#This Row],[Std Adj Read]]="N/A"),"N/A",IF(Table1[[#This Row],[DUT Adj Read]]="N/A",IF(Table1[[#This Row],[Std Adj Read]]&lt;=Table1[[#This Row],[High Tol]],"Pass","Fail"),IF(Table1[[#This Row],[DUT Adj Read]]&lt;=Table1[[#This Row],[High Tol]],"Pass","Fail")))</f>
        <v>Fail</v>
      </c>
      <c r="AH16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5" s="1" t="b">
        <v>0</v>
      </c>
      <c r="AN1645" s="1" t="b">
        <v>0</v>
      </c>
      <c r="AO1645" s="1" t="b">
        <v>0</v>
      </c>
    </row>
    <row r="1646" spans="1:41" x14ac:dyDescent="0.25">
      <c r="A1646" s="10"/>
      <c r="B1646" s="10"/>
      <c r="C1646" s="10"/>
      <c r="D1646" s="10"/>
      <c r="E1646" s="10"/>
      <c r="F1646" s="10"/>
      <c r="G1646" s="10"/>
      <c r="H1646" s="10"/>
      <c r="I1646" s="1" t="str">
        <f t="shared" si="75"/>
        <v/>
      </c>
      <c r="J1646" s="1" t="s">
        <v>35</v>
      </c>
      <c r="K1646" s="1" t="str">
        <f t="shared" si="76"/>
        <v/>
      </c>
      <c r="L1646" s="1" t="str">
        <f t="shared" si="77"/>
        <v/>
      </c>
      <c r="M1646" s="1">
        <f>IF(OR(Table1[[#This Row],[Std Nom]]="",Table1[[#This Row],[Std Read]]=""),0,Table1[[#This Row],[Std Nom]]-Table1[[#This Row],[Std Read]])</f>
        <v>0</v>
      </c>
      <c r="N1646" s="1">
        <f>IF(Calculations!$F$5="ACCREDITED 17025 WITH UNCERTAINTIES",$N$10,0)</f>
        <v>0</v>
      </c>
      <c r="O1646" s="1" t="str">
        <f>IFERROR(Table1[[#This Row],[Std Nom]]-(_xlfn.XLOOKUP(Table1[[#This Row],[Manufacturer]]&amp;" "&amp;Table1[[#This Row],[Model]],Table13[MFR &amp; MDL],Table13[Tolerance % CW ],"")/100*Table1[[#This Row],[Std Nom]]),"")</f>
        <v/>
      </c>
      <c r="P1646" s="1" t="str">
        <f>IFERROR(Table1[[#This Row],[Std Nom]]+(_xlfn.XLOOKUP(Table1[[#This Row],[Manufacturer]]&amp;" "&amp;Table1[[#This Row],[Model]],Table13[MFR &amp; MDL],Table13[Tolerance % CW ],"")/100*Table1[[#This Row],[Std Nom]]),"")</f>
        <v/>
      </c>
      <c r="Q1646" s="1" t="e">
        <f>Table1[[#This Row],[High Tol]]-Table1[[#This Row],[Low Tol]]</f>
        <v>#VALUE!</v>
      </c>
      <c r="R1646" s="1">
        <f>2*Table1[[#This Row],[Std Error]]</f>
        <v>0</v>
      </c>
      <c r="S1646" s="1" t="str">
        <f>IF(Table1[[#This Row],[High Tol]]="","N/A",IFERROR(ABS(Table1[[#This Row],[Tol Span]]/Table1[[#This Row],[Error Span]]),"N/A"))</f>
        <v>N/A</v>
      </c>
      <c r="T1646" s="1" t="str">
        <f>IF(OR(Table1[[#This Row],[Low Tol]]="",Table1[[#This Row],[High Tol]]=""),"Needs Analysis",IF(Table1[[#This Row],[Ratio]]&gt;=4,"Not Significant",IF(Table1[[#This Row],[Ratio]]&gt;=2,"Semi-Significant","Significant")))</f>
        <v>Needs Analysis</v>
      </c>
      <c r="W1646" s="1">
        <f>IF(Table1[[#This Row],[Cal Type]]&lt;&gt;"ACCREDITED 17025 WITH UNCERTAINTIES",0,"")</f>
        <v>0</v>
      </c>
      <c r="X1646" s="1" t="str">
        <f>IF(Table1[[#This Row],[DUT Read]]="","N/A",Table1[[#This Row],[Std Error]]+Table1[[#This Row],[DUT Read]]+Table1[[#This Row],[DUT Ucty]])</f>
        <v>N/A</v>
      </c>
      <c r="Y1646" s="1" t="str">
        <f>IF(Table1[[#This Row],[Std Read]]="","N/A",Table1[[#This Row],[Std Read]]+Table1[[#This Row],[Std Ucty]])</f>
        <v>N/A</v>
      </c>
      <c r="Z16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6" s="1" t="str">
        <f>IF(Table1[[#This Row],[Spec Type]]="","N/A",Table1[[#This Row],[Spec Type]])</f>
        <v>±</v>
      </c>
      <c r="AC1646" s="1" t="str">
        <f>IF(Table1[[#This Row],[Spec Type2]]="N/A","N/A",IF(AND(Table1[[#This Row],[DUT Adj Read]]&gt;=Table1[[#This Row],[Low Tol]],Table1[[#This Row],[DUT Adj Read]]&lt;=Table1[[#This Row],[High Tol]]),"Pass","Fail"))</f>
        <v>Fail</v>
      </c>
      <c r="AD1646" s="1" t="str">
        <f>IF(AND(Table1[[#This Row],[Spec Type2]]="N/A",Table1[[#This Row],[DUT Adj Read]]="N/A",Table1[[#This Row],[Std Adj Read]]="N/A"),"N/A",IF(Table1[[#This Row],[DUT Adj Read]]="N/A",IF(Table1[[#This Row],[Std Adj Read]]&gt;Table1[[#This Row],[Low Tol]],"Pass","Fail"),IF(Table1[[#This Row],[DUT Adj Read]]&gt;Table1[[#This Row],[Low Tol]],"Pass","Fail")))</f>
        <v>Pass</v>
      </c>
      <c r="AE1646" s="1" t="str">
        <f>IF(AND(Table1[[#This Row],[Spec Type2]]="N/A",Table1[[#This Row],[DUT Adj Read]]="N/A",Table1[[#This Row],[Std Adj Read]]="N/A"),"N/A",IF(Table1[[#This Row],[DUT Adj Read]]="N/A",IF(Table1[[#This Row],[Std Adj Read]]&lt;Table1[[#This Row],[High Tol]],"Pass","Fail"),IF(Table1[[#This Row],[DUT Adj Read]]&lt;Table1[[#This Row],[High Tol]],"Pass","Fail")))</f>
        <v>Fail</v>
      </c>
      <c r="AF1646" s="1" t="str">
        <f>IF(AND(Table1[[#This Row],[Spec Type2]]="N/A",Table1[[#This Row],[DUT Adj Read]]="N/A",Table1[[#This Row],[Std Adj Read]]="N/A"),"N/A",IF(Table1[[#This Row],[DUT Adj Read]]="N/A",IF(Table1[[#This Row],[Std Adj Read]]&gt;=Table1[[#This Row],[Low Tol]],"Pass","Fail"),IF(Table1[[#This Row],[DUT Adj Read]]&gt;=Table1[[#This Row],[Low Tol]],"Pass","Fail")))</f>
        <v>Pass</v>
      </c>
      <c r="AG1646" s="1" t="str">
        <f>IF(AND(Table1[[#This Row],[Spec Type2]]="N/A",Table1[[#This Row],[DUT Adj Read]]="N/A",Table1[[#This Row],[Std Adj Read]]="N/A"),"N/A",IF(Table1[[#This Row],[DUT Adj Read]]="N/A",IF(Table1[[#This Row],[Std Adj Read]]&lt;=Table1[[#This Row],[High Tol]],"Pass","Fail"),IF(Table1[[#This Row],[DUT Adj Read]]&lt;=Table1[[#This Row],[High Tol]],"Pass","Fail")))</f>
        <v>Fail</v>
      </c>
      <c r="AH16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6" s="1" t="b">
        <v>0</v>
      </c>
      <c r="AN1646" s="1" t="b">
        <v>0</v>
      </c>
      <c r="AO1646" s="1" t="b">
        <v>0</v>
      </c>
    </row>
    <row r="1647" spans="1:41" x14ac:dyDescent="0.25">
      <c r="A1647" s="10"/>
      <c r="B1647" s="10"/>
      <c r="C1647" s="10"/>
      <c r="D1647" s="10"/>
      <c r="E1647" s="10"/>
      <c r="F1647" s="10"/>
      <c r="G1647" s="10"/>
      <c r="H1647" s="10"/>
      <c r="I1647" s="1" t="str">
        <f t="shared" si="75"/>
        <v/>
      </c>
      <c r="J1647" s="1" t="s">
        <v>35</v>
      </c>
      <c r="K1647" s="1" t="str">
        <f t="shared" si="76"/>
        <v/>
      </c>
      <c r="L1647" s="1" t="str">
        <f t="shared" si="77"/>
        <v/>
      </c>
      <c r="M1647" s="1">
        <f>IF(OR(Table1[[#This Row],[Std Nom]]="",Table1[[#This Row],[Std Read]]=""),0,Table1[[#This Row],[Std Nom]]-Table1[[#This Row],[Std Read]])</f>
        <v>0</v>
      </c>
      <c r="N1647" s="1">
        <f>IF(Calculations!$F$5="ACCREDITED 17025 WITH UNCERTAINTIES",$N$10,0)</f>
        <v>0</v>
      </c>
      <c r="O1647" s="1" t="str">
        <f>IFERROR(Table1[[#This Row],[Std Nom]]-(_xlfn.XLOOKUP(Table1[[#This Row],[Manufacturer]]&amp;" "&amp;Table1[[#This Row],[Model]],Table13[MFR &amp; MDL],Table13[Tolerance % CW ],"")/100*Table1[[#This Row],[Std Nom]]),"")</f>
        <v/>
      </c>
      <c r="P1647" s="1" t="str">
        <f>IFERROR(Table1[[#This Row],[Std Nom]]+(_xlfn.XLOOKUP(Table1[[#This Row],[Manufacturer]]&amp;" "&amp;Table1[[#This Row],[Model]],Table13[MFR &amp; MDL],Table13[Tolerance % CW ],"")/100*Table1[[#This Row],[Std Nom]]),"")</f>
        <v/>
      </c>
      <c r="Q1647" s="1" t="e">
        <f>Table1[[#This Row],[High Tol]]-Table1[[#This Row],[Low Tol]]</f>
        <v>#VALUE!</v>
      </c>
      <c r="R1647" s="1">
        <f>2*Table1[[#This Row],[Std Error]]</f>
        <v>0</v>
      </c>
      <c r="S1647" s="1" t="str">
        <f>IF(Table1[[#This Row],[High Tol]]="","N/A",IFERROR(ABS(Table1[[#This Row],[Tol Span]]/Table1[[#This Row],[Error Span]]),"N/A"))</f>
        <v>N/A</v>
      </c>
      <c r="T1647" s="1" t="str">
        <f>IF(OR(Table1[[#This Row],[Low Tol]]="",Table1[[#This Row],[High Tol]]=""),"Needs Analysis",IF(Table1[[#This Row],[Ratio]]&gt;=4,"Not Significant",IF(Table1[[#This Row],[Ratio]]&gt;=2,"Semi-Significant","Significant")))</f>
        <v>Needs Analysis</v>
      </c>
      <c r="W1647" s="1">
        <f>IF(Table1[[#This Row],[Cal Type]]&lt;&gt;"ACCREDITED 17025 WITH UNCERTAINTIES",0,"")</f>
        <v>0</v>
      </c>
      <c r="X1647" s="1" t="str">
        <f>IF(Table1[[#This Row],[DUT Read]]="","N/A",Table1[[#This Row],[Std Error]]+Table1[[#This Row],[DUT Read]]+Table1[[#This Row],[DUT Ucty]])</f>
        <v>N/A</v>
      </c>
      <c r="Y1647" s="1" t="str">
        <f>IF(Table1[[#This Row],[Std Read]]="","N/A",Table1[[#This Row],[Std Read]]+Table1[[#This Row],[Std Ucty]])</f>
        <v>N/A</v>
      </c>
      <c r="Z16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7" s="1" t="str">
        <f>IF(Table1[[#This Row],[Spec Type]]="","N/A",Table1[[#This Row],[Spec Type]])</f>
        <v>±</v>
      </c>
      <c r="AC1647" s="1" t="str">
        <f>IF(Table1[[#This Row],[Spec Type2]]="N/A","N/A",IF(AND(Table1[[#This Row],[DUT Adj Read]]&gt;=Table1[[#This Row],[Low Tol]],Table1[[#This Row],[DUT Adj Read]]&lt;=Table1[[#This Row],[High Tol]]),"Pass","Fail"))</f>
        <v>Fail</v>
      </c>
      <c r="AD1647" s="1" t="str">
        <f>IF(AND(Table1[[#This Row],[Spec Type2]]="N/A",Table1[[#This Row],[DUT Adj Read]]="N/A",Table1[[#This Row],[Std Adj Read]]="N/A"),"N/A",IF(Table1[[#This Row],[DUT Adj Read]]="N/A",IF(Table1[[#This Row],[Std Adj Read]]&gt;Table1[[#This Row],[Low Tol]],"Pass","Fail"),IF(Table1[[#This Row],[DUT Adj Read]]&gt;Table1[[#This Row],[Low Tol]],"Pass","Fail")))</f>
        <v>Pass</v>
      </c>
      <c r="AE1647" s="1" t="str">
        <f>IF(AND(Table1[[#This Row],[Spec Type2]]="N/A",Table1[[#This Row],[DUT Adj Read]]="N/A",Table1[[#This Row],[Std Adj Read]]="N/A"),"N/A",IF(Table1[[#This Row],[DUT Adj Read]]="N/A",IF(Table1[[#This Row],[Std Adj Read]]&lt;Table1[[#This Row],[High Tol]],"Pass","Fail"),IF(Table1[[#This Row],[DUT Adj Read]]&lt;Table1[[#This Row],[High Tol]],"Pass","Fail")))</f>
        <v>Fail</v>
      </c>
      <c r="AF1647" s="1" t="str">
        <f>IF(AND(Table1[[#This Row],[Spec Type2]]="N/A",Table1[[#This Row],[DUT Adj Read]]="N/A",Table1[[#This Row],[Std Adj Read]]="N/A"),"N/A",IF(Table1[[#This Row],[DUT Adj Read]]="N/A",IF(Table1[[#This Row],[Std Adj Read]]&gt;=Table1[[#This Row],[Low Tol]],"Pass","Fail"),IF(Table1[[#This Row],[DUT Adj Read]]&gt;=Table1[[#This Row],[Low Tol]],"Pass","Fail")))</f>
        <v>Pass</v>
      </c>
      <c r="AG1647" s="1" t="str">
        <f>IF(AND(Table1[[#This Row],[Spec Type2]]="N/A",Table1[[#This Row],[DUT Adj Read]]="N/A",Table1[[#This Row],[Std Adj Read]]="N/A"),"N/A",IF(Table1[[#This Row],[DUT Adj Read]]="N/A",IF(Table1[[#This Row],[Std Adj Read]]&lt;=Table1[[#This Row],[High Tol]],"Pass","Fail"),IF(Table1[[#This Row],[DUT Adj Read]]&lt;=Table1[[#This Row],[High Tol]],"Pass","Fail")))</f>
        <v>Fail</v>
      </c>
      <c r="AH16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7" s="1" t="b">
        <v>0</v>
      </c>
      <c r="AN1647" s="1" t="b">
        <v>0</v>
      </c>
      <c r="AO1647" s="1" t="b">
        <v>0</v>
      </c>
    </row>
    <row r="1648" spans="1:41" x14ac:dyDescent="0.25">
      <c r="A1648" s="10"/>
      <c r="B1648" s="10"/>
      <c r="C1648" s="10"/>
      <c r="D1648" s="10"/>
      <c r="E1648" s="10"/>
      <c r="F1648" s="10"/>
      <c r="G1648" s="10"/>
      <c r="H1648" s="10"/>
      <c r="I1648" s="1" t="str">
        <f t="shared" si="75"/>
        <v/>
      </c>
      <c r="J1648" s="1" t="s">
        <v>35</v>
      </c>
      <c r="K1648" s="1" t="str">
        <f t="shared" si="76"/>
        <v/>
      </c>
      <c r="L1648" s="1" t="str">
        <f t="shared" si="77"/>
        <v/>
      </c>
      <c r="M1648" s="1">
        <f>IF(OR(Table1[[#This Row],[Std Nom]]="",Table1[[#This Row],[Std Read]]=""),0,Table1[[#This Row],[Std Nom]]-Table1[[#This Row],[Std Read]])</f>
        <v>0</v>
      </c>
      <c r="N1648" s="1">
        <f>IF(Calculations!$F$5="ACCREDITED 17025 WITH UNCERTAINTIES",$N$10,0)</f>
        <v>0</v>
      </c>
      <c r="O1648" s="1" t="str">
        <f>IFERROR(Table1[[#This Row],[Std Nom]]-(_xlfn.XLOOKUP(Table1[[#This Row],[Manufacturer]]&amp;" "&amp;Table1[[#This Row],[Model]],Table13[MFR &amp; MDL],Table13[Tolerance % CW ],"")/100*Table1[[#This Row],[Std Nom]]),"")</f>
        <v/>
      </c>
      <c r="P1648" s="1" t="str">
        <f>IFERROR(Table1[[#This Row],[Std Nom]]+(_xlfn.XLOOKUP(Table1[[#This Row],[Manufacturer]]&amp;" "&amp;Table1[[#This Row],[Model]],Table13[MFR &amp; MDL],Table13[Tolerance % CW ],"")/100*Table1[[#This Row],[Std Nom]]),"")</f>
        <v/>
      </c>
      <c r="Q1648" s="1" t="e">
        <f>Table1[[#This Row],[High Tol]]-Table1[[#This Row],[Low Tol]]</f>
        <v>#VALUE!</v>
      </c>
      <c r="R1648" s="1">
        <f>2*Table1[[#This Row],[Std Error]]</f>
        <v>0</v>
      </c>
      <c r="S1648" s="1" t="str">
        <f>IF(Table1[[#This Row],[High Tol]]="","N/A",IFERROR(ABS(Table1[[#This Row],[Tol Span]]/Table1[[#This Row],[Error Span]]),"N/A"))</f>
        <v>N/A</v>
      </c>
      <c r="T1648" s="1" t="str">
        <f>IF(OR(Table1[[#This Row],[Low Tol]]="",Table1[[#This Row],[High Tol]]=""),"Needs Analysis",IF(Table1[[#This Row],[Ratio]]&gt;=4,"Not Significant",IF(Table1[[#This Row],[Ratio]]&gt;=2,"Semi-Significant","Significant")))</f>
        <v>Needs Analysis</v>
      </c>
      <c r="W1648" s="1">
        <f>IF(Table1[[#This Row],[Cal Type]]&lt;&gt;"ACCREDITED 17025 WITH UNCERTAINTIES",0,"")</f>
        <v>0</v>
      </c>
      <c r="X1648" s="1" t="str">
        <f>IF(Table1[[#This Row],[DUT Read]]="","N/A",Table1[[#This Row],[Std Error]]+Table1[[#This Row],[DUT Read]]+Table1[[#This Row],[DUT Ucty]])</f>
        <v>N/A</v>
      </c>
      <c r="Y1648" s="1" t="str">
        <f>IF(Table1[[#This Row],[Std Read]]="","N/A",Table1[[#This Row],[Std Read]]+Table1[[#This Row],[Std Ucty]])</f>
        <v>N/A</v>
      </c>
      <c r="Z16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8" s="1" t="str">
        <f>IF(Table1[[#This Row],[Spec Type]]="","N/A",Table1[[#This Row],[Spec Type]])</f>
        <v>±</v>
      </c>
      <c r="AC1648" s="1" t="str">
        <f>IF(Table1[[#This Row],[Spec Type2]]="N/A","N/A",IF(AND(Table1[[#This Row],[DUT Adj Read]]&gt;=Table1[[#This Row],[Low Tol]],Table1[[#This Row],[DUT Adj Read]]&lt;=Table1[[#This Row],[High Tol]]),"Pass","Fail"))</f>
        <v>Fail</v>
      </c>
      <c r="AD1648" s="1" t="str">
        <f>IF(AND(Table1[[#This Row],[Spec Type2]]="N/A",Table1[[#This Row],[DUT Adj Read]]="N/A",Table1[[#This Row],[Std Adj Read]]="N/A"),"N/A",IF(Table1[[#This Row],[DUT Adj Read]]="N/A",IF(Table1[[#This Row],[Std Adj Read]]&gt;Table1[[#This Row],[Low Tol]],"Pass","Fail"),IF(Table1[[#This Row],[DUT Adj Read]]&gt;Table1[[#This Row],[Low Tol]],"Pass","Fail")))</f>
        <v>Pass</v>
      </c>
      <c r="AE1648" s="1" t="str">
        <f>IF(AND(Table1[[#This Row],[Spec Type2]]="N/A",Table1[[#This Row],[DUT Adj Read]]="N/A",Table1[[#This Row],[Std Adj Read]]="N/A"),"N/A",IF(Table1[[#This Row],[DUT Adj Read]]="N/A",IF(Table1[[#This Row],[Std Adj Read]]&lt;Table1[[#This Row],[High Tol]],"Pass","Fail"),IF(Table1[[#This Row],[DUT Adj Read]]&lt;Table1[[#This Row],[High Tol]],"Pass","Fail")))</f>
        <v>Fail</v>
      </c>
      <c r="AF1648" s="1" t="str">
        <f>IF(AND(Table1[[#This Row],[Spec Type2]]="N/A",Table1[[#This Row],[DUT Adj Read]]="N/A",Table1[[#This Row],[Std Adj Read]]="N/A"),"N/A",IF(Table1[[#This Row],[DUT Adj Read]]="N/A",IF(Table1[[#This Row],[Std Adj Read]]&gt;=Table1[[#This Row],[Low Tol]],"Pass","Fail"),IF(Table1[[#This Row],[DUT Adj Read]]&gt;=Table1[[#This Row],[Low Tol]],"Pass","Fail")))</f>
        <v>Pass</v>
      </c>
      <c r="AG1648" s="1" t="str">
        <f>IF(AND(Table1[[#This Row],[Spec Type2]]="N/A",Table1[[#This Row],[DUT Adj Read]]="N/A",Table1[[#This Row],[Std Adj Read]]="N/A"),"N/A",IF(Table1[[#This Row],[DUT Adj Read]]="N/A",IF(Table1[[#This Row],[Std Adj Read]]&lt;=Table1[[#This Row],[High Tol]],"Pass","Fail"),IF(Table1[[#This Row],[DUT Adj Read]]&lt;=Table1[[#This Row],[High Tol]],"Pass","Fail")))</f>
        <v>Fail</v>
      </c>
      <c r="AH16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8" s="1" t="b">
        <v>0</v>
      </c>
      <c r="AN1648" s="1" t="b">
        <v>0</v>
      </c>
      <c r="AO1648" s="1" t="b">
        <v>0</v>
      </c>
    </row>
    <row r="1649" spans="1:41" x14ac:dyDescent="0.25">
      <c r="A1649" s="10"/>
      <c r="B1649" s="10"/>
      <c r="C1649" s="10"/>
      <c r="D1649" s="10"/>
      <c r="E1649" s="10"/>
      <c r="F1649" s="10"/>
      <c r="G1649" s="10"/>
      <c r="H1649" s="10"/>
      <c r="I1649" s="1" t="str">
        <f t="shared" si="75"/>
        <v/>
      </c>
      <c r="J1649" s="1" t="s">
        <v>35</v>
      </c>
      <c r="K1649" s="1" t="str">
        <f t="shared" si="76"/>
        <v/>
      </c>
      <c r="L1649" s="1" t="str">
        <f t="shared" si="77"/>
        <v/>
      </c>
      <c r="M1649" s="1">
        <f>IF(OR(Table1[[#This Row],[Std Nom]]="",Table1[[#This Row],[Std Read]]=""),0,Table1[[#This Row],[Std Nom]]-Table1[[#This Row],[Std Read]])</f>
        <v>0</v>
      </c>
      <c r="N1649" s="1">
        <f>IF(Calculations!$F$5="ACCREDITED 17025 WITH UNCERTAINTIES",$N$10,0)</f>
        <v>0</v>
      </c>
      <c r="O1649" s="1" t="str">
        <f>IFERROR(Table1[[#This Row],[Std Nom]]-(_xlfn.XLOOKUP(Table1[[#This Row],[Manufacturer]]&amp;" "&amp;Table1[[#This Row],[Model]],Table13[MFR &amp; MDL],Table13[Tolerance % CW ],"")/100*Table1[[#This Row],[Std Nom]]),"")</f>
        <v/>
      </c>
      <c r="P1649" s="1" t="str">
        <f>IFERROR(Table1[[#This Row],[Std Nom]]+(_xlfn.XLOOKUP(Table1[[#This Row],[Manufacturer]]&amp;" "&amp;Table1[[#This Row],[Model]],Table13[MFR &amp; MDL],Table13[Tolerance % CW ],"")/100*Table1[[#This Row],[Std Nom]]),"")</f>
        <v/>
      </c>
      <c r="Q1649" s="1" t="e">
        <f>Table1[[#This Row],[High Tol]]-Table1[[#This Row],[Low Tol]]</f>
        <v>#VALUE!</v>
      </c>
      <c r="R1649" s="1">
        <f>2*Table1[[#This Row],[Std Error]]</f>
        <v>0</v>
      </c>
      <c r="S1649" s="1" t="str">
        <f>IF(Table1[[#This Row],[High Tol]]="","N/A",IFERROR(ABS(Table1[[#This Row],[Tol Span]]/Table1[[#This Row],[Error Span]]),"N/A"))</f>
        <v>N/A</v>
      </c>
      <c r="T1649" s="1" t="str">
        <f>IF(OR(Table1[[#This Row],[Low Tol]]="",Table1[[#This Row],[High Tol]]=""),"Needs Analysis",IF(Table1[[#This Row],[Ratio]]&gt;=4,"Not Significant",IF(Table1[[#This Row],[Ratio]]&gt;=2,"Semi-Significant","Significant")))</f>
        <v>Needs Analysis</v>
      </c>
      <c r="W1649" s="1">
        <f>IF(Table1[[#This Row],[Cal Type]]&lt;&gt;"ACCREDITED 17025 WITH UNCERTAINTIES",0,"")</f>
        <v>0</v>
      </c>
      <c r="X1649" s="1" t="str">
        <f>IF(Table1[[#This Row],[DUT Read]]="","N/A",Table1[[#This Row],[Std Error]]+Table1[[#This Row],[DUT Read]]+Table1[[#This Row],[DUT Ucty]])</f>
        <v>N/A</v>
      </c>
      <c r="Y1649" s="1" t="str">
        <f>IF(Table1[[#This Row],[Std Read]]="","N/A",Table1[[#This Row],[Std Read]]+Table1[[#This Row],[Std Ucty]])</f>
        <v>N/A</v>
      </c>
      <c r="Z16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9" s="1" t="str">
        <f>IF(Table1[[#This Row],[Spec Type]]="","N/A",Table1[[#This Row],[Spec Type]])</f>
        <v>±</v>
      </c>
      <c r="AC1649" s="1" t="str">
        <f>IF(Table1[[#This Row],[Spec Type2]]="N/A","N/A",IF(AND(Table1[[#This Row],[DUT Adj Read]]&gt;=Table1[[#This Row],[Low Tol]],Table1[[#This Row],[DUT Adj Read]]&lt;=Table1[[#This Row],[High Tol]]),"Pass","Fail"))</f>
        <v>Fail</v>
      </c>
      <c r="AD1649" s="1" t="str">
        <f>IF(AND(Table1[[#This Row],[Spec Type2]]="N/A",Table1[[#This Row],[DUT Adj Read]]="N/A",Table1[[#This Row],[Std Adj Read]]="N/A"),"N/A",IF(Table1[[#This Row],[DUT Adj Read]]="N/A",IF(Table1[[#This Row],[Std Adj Read]]&gt;Table1[[#This Row],[Low Tol]],"Pass","Fail"),IF(Table1[[#This Row],[DUT Adj Read]]&gt;Table1[[#This Row],[Low Tol]],"Pass","Fail")))</f>
        <v>Pass</v>
      </c>
      <c r="AE1649" s="1" t="str">
        <f>IF(AND(Table1[[#This Row],[Spec Type2]]="N/A",Table1[[#This Row],[DUT Adj Read]]="N/A",Table1[[#This Row],[Std Adj Read]]="N/A"),"N/A",IF(Table1[[#This Row],[DUT Adj Read]]="N/A",IF(Table1[[#This Row],[Std Adj Read]]&lt;Table1[[#This Row],[High Tol]],"Pass","Fail"),IF(Table1[[#This Row],[DUT Adj Read]]&lt;Table1[[#This Row],[High Tol]],"Pass","Fail")))</f>
        <v>Fail</v>
      </c>
      <c r="AF1649" s="1" t="str">
        <f>IF(AND(Table1[[#This Row],[Spec Type2]]="N/A",Table1[[#This Row],[DUT Adj Read]]="N/A",Table1[[#This Row],[Std Adj Read]]="N/A"),"N/A",IF(Table1[[#This Row],[DUT Adj Read]]="N/A",IF(Table1[[#This Row],[Std Adj Read]]&gt;=Table1[[#This Row],[Low Tol]],"Pass","Fail"),IF(Table1[[#This Row],[DUT Adj Read]]&gt;=Table1[[#This Row],[Low Tol]],"Pass","Fail")))</f>
        <v>Pass</v>
      </c>
      <c r="AG1649" s="1" t="str">
        <f>IF(AND(Table1[[#This Row],[Spec Type2]]="N/A",Table1[[#This Row],[DUT Adj Read]]="N/A",Table1[[#This Row],[Std Adj Read]]="N/A"),"N/A",IF(Table1[[#This Row],[DUT Adj Read]]="N/A",IF(Table1[[#This Row],[Std Adj Read]]&lt;=Table1[[#This Row],[High Tol]],"Pass","Fail"),IF(Table1[[#This Row],[DUT Adj Read]]&lt;=Table1[[#This Row],[High Tol]],"Pass","Fail")))</f>
        <v>Fail</v>
      </c>
      <c r="AH16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9" s="1" t="b">
        <v>0</v>
      </c>
      <c r="AN1649" s="1" t="b">
        <v>0</v>
      </c>
      <c r="AO1649" s="1" t="b">
        <v>0</v>
      </c>
    </row>
    <row r="1650" spans="1:41" x14ac:dyDescent="0.25">
      <c r="A1650" s="10"/>
      <c r="B1650" s="10"/>
      <c r="C1650" s="10"/>
      <c r="D1650" s="10"/>
      <c r="E1650" s="10"/>
      <c r="F1650" s="10"/>
      <c r="G1650" s="10"/>
      <c r="H1650" s="10"/>
      <c r="I1650" s="1" t="str">
        <f t="shared" si="75"/>
        <v/>
      </c>
      <c r="J1650" s="1" t="s">
        <v>35</v>
      </c>
      <c r="K1650" s="1" t="str">
        <f t="shared" si="76"/>
        <v/>
      </c>
      <c r="L1650" s="1" t="str">
        <f t="shared" si="77"/>
        <v/>
      </c>
      <c r="M1650" s="1">
        <f>IF(OR(Table1[[#This Row],[Std Nom]]="",Table1[[#This Row],[Std Read]]=""),0,Table1[[#This Row],[Std Nom]]-Table1[[#This Row],[Std Read]])</f>
        <v>0</v>
      </c>
      <c r="N1650" s="1">
        <f>IF(Calculations!$F$5="ACCREDITED 17025 WITH UNCERTAINTIES",$N$10,0)</f>
        <v>0</v>
      </c>
      <c r="O1650" s="1" t="str">
        <f>IFERROR(Table1[[#This Row],[Std Nom]]-(_xlfn.XLOOKUP(Table1[[#This Row],[Manufacturer]]&amp;" "&amp;Table1[[#This Row],[Model]],Table13[MFR &amp; MDL],Table13[Tolerance % CW ],"")/100*Table1[[#This Row],[Std Nom]]),"")</f>
        <v/>
      </c>
      <c r="P1650" s="1" t="str">
        <f>IFERROR(Table1[[#This Row],[Std Nom]]+(_xlfn.XLOOKUP(Table1[[#This Row],[Manufacturer]]&amp;" "&amp;Table1[[#This Row],[Model]],Table13[MFR &amp; MDL],Table13[Tolerance % CW ],"")/100*Table1[[#This Row],[Std Nom]]),"")</f>
        <v/>
      </c>
      <c r="Q1650" s="1" t="e">
        <f>Table1[[#This Row],[High Tol]]-Table1[[#This Row],[Low Tol]]</f>
        <v>#VALUE!</v>
      </c>
      <c r="R1650" s="1">
        <f>2*Table1[[#This Row],[Std Error]]</f>
        <v>0</v>
      </c>
      <c r="S1650" s="1" t="str">
        <f>IF(Table1[[#This Row],[High Tol]]="","N/A",IFERROR(ABS(Table1[[#This Row],[Tol Span]]/Table1[[#This Row],[Error Span]]),"N/A"))</f>
        <v>N/A</v>
      </c>
      <c r="T1650" s="1" t="str">
        <f>IF(OR(Table1[[#This Row],[Low Tol]]="",Table1[[#This Row],[High Tol]]=""),"Needs Analysis",IF(Table1[[#This Row],[Ratio]]&gt;=4,"Not Significant",IF(Table1[[#This Row],[Ratio]]&gt;=2,"Semi-Significant","Significant")))</f>
        <v>Needs Analysis</v>
      </c>
      <c r="W1650" s="1">
        <f>IF(Table1[[#This Row],[Cal Type]]&lt;&gt;"ACCREDITED 17025 WITH UNCERTAINTIES",0,"")</f>
        <v>0</v>
      </c>
      <c r="X1650" s="1" t="str">
        <f>IF(Table1[[#This Row],[DUT Read]]="","N/A",Table1[[#This Row],[Std Error]]+Table1[[#This Row],[DUT Read]]+Table1[[#This Row],[DUT Ucty]])</f>
        <v>N/A</v>
      </c>
      <c r="Y1650" s="1" t="str">
        <f>IF(Table1[[#This Row],[Std Read]]="","N/A",Table1[[#This Row],[Std Read]]+Table1[[#This Row],[Std Ucty]])</f>
        <v>N/A</v>
      </c>
      <c r="Z16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0" s="1" t="str">
        <f>IF(Table1[[#This Row],[Spec Type]]="","N/A",Table1[[#This Row],[Spec Type]])</f>
        <v>±</v>
      </c>
      <c r="AC1650" s="1" t="str">
        <f>IF(Table1[[#This Row],[Spec Type2]]="N/A","N/A",IF(AND(Table1[[#This Row],[DUT Adj Read]]&gt;=Table1[[#This Row],[Low Tol]],Table1[[#This Row],[DUT Adj Read]]&lt;=Table1[[#This Row],[High Tol]]),"Pass","Fail"))</f>
        <v>Fail</v>
      </c>
      <c r="AD1650" s="1" t="str">
        <f>IF(AND(Table1[[#This Row],[Spec Type2]]="N/A",Table1[[#This Row],[DUT Adj Read]]="N/A",Table1[[#This Row],[Std Adj Read]]="N/A"),"N/A",IF(Table1[[#This Row],[DUT Adj Read]]="N/A",IF(Table1[[#This Row],[Std Adj Read]]&gt;Table1[[#This Row],[Low Tol]],"Pass","Fail"),IF(Table1[[#This Row],[DUT Adj Read]]&gt;Table1[[#This Row],[Low Tol]],"Pass","Fail")))</f>
        <v>Pass</v>
      </c>
      <c r="AE1650" s="1" t="str">
        <f>IF(AND(Table1[[#This Row],[Spec Type2]]="N/A",Table1[[#This Row],[DUT Adj Read]]="N/A",Table1[[#This Row],[Std Adj Read]]="N/A"),"N/A",IF(Table1[[#This Row],[DUT Adj Read]]="N/A",IF(Table1[[#This Row],[Std Adj Read]]&lt;Table1[[#This Row],[High Tol]],"Pass","Fail"),IF(Table1[[#This Row],[DUT Adj Read]]&lt;Table1[[#This Row],[High Tol]],"Pass","Fail")))</f>
        <v>Fail</v>
      </c>
      <c r="AF1650" s="1" t="str">
        <f>IF(AND(Table1[[#This Row],[Spec Type2]]="N/A",Table1[[#This Row],[DUT Adj Read]]="N/A",Table1[[#This Row],[Std Adj Read]]="N/A"),"N/A",IF(Table1[[#This Row],[DUT Adj Read]]="N/A",IF(Table1[[#This Row],[Std Adj Read]]&gt;=Table1[[#This Row],[Low Tol]],"Pass","Fail"),IF(Table1[[#This Row],[DUT Adj Read]]&gt;=Table1[[#This Row],[Low Tol]],"Pass","Fail")))</f>
        <v>Pass</v>
      </c>
      <c r="AG1650" s="1" t="str">
        <f>IF(AND(Table1[[#This Row],[Spec Type2]]="N/A",Table1[[#This Row],[DUT Adj Read]]="N/A",Table1[[#This Row],[Std Adj Read]]="N/A"),"N/A",IF(Table1[[#This Row],[DUT Adj Read]]="N/A",IF(Table1[[#This Row],[Std Adj Read]]&lt;=Table1[[#This Row],[High Tol]],"Pass","Fail"),IF(Table1[[#This Row],[DUT Adj Read]]&lt;=Table1[[#This Row],[High Tol]],"Pass","Fail")))</f>
        <v>Fail</v>
      </c>
      <c r="AH16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0" s="1" t="b">
        <v>0</v>
      </c>
      <c r="AN1650" s="1" t="b">
        <v>0</v>
      </c>
      <c r="AO1650" s="1" t="b">
        <v>0</v>
      </c>
    </row>
    <row r="1651" spans="1:41" x14ac:dyDescent="0.25">
      <c r="A1651" s="10"/>
      <c r="B1651" s="10"/>
      <c r="C1651" s="10"/>
      <c r="D1651" s="10"/>
      <c r="E1651" s="10"/>
      <c r="F1651" s="10"/>
      <c r="G1651" s="10"/>
      <c r="H1651" s="10"/>
      <c r="I1651" s="1" t="str">
        <f t="shared" si="75"/>
        <v/>
      </c>
      <c r="J1651" s="1" t="s">
        <v>35</v>
      </c>
      <c r="K1651" s="1" t="str">
        <f t="shared" si="76"/>
        <v/>
      </c>
      <c r="L1651" s="1" t="str">
        <f t="shared" si="77"/>
        <v/>
      </c>
      <c r="M1651" s="1">
        <f>IF(OR(Table1[[#This Row],[Std Nom]]="",Table1[[#This Row],[Std Read]]=""),0,Table1[[#This Row],[Std Nom]]-Table1[[#This Row],[Std Read]])</f>
        <v>0</v>
      </c>
      <c r="N1651" s="1">
        <f>IF(Calculations!$F$5="ACCREDITED 17025 WITH UNCERTAINTIES",$N$10,0)</f>
        <v>0</v>
      </c>
      <c r="O1651" s="1" t="str">
        <f>IFERROR(Table1[[#This Row],[Std Nom]]-(_xlfn.XLOOKUP(Table1[[#This Row],[Manufacturer]]&amp;" "&amp;Table1[[#This Row],[Model]],Table13[MFR &amp; MDL],Table13[Tolerance % CW ],"")/100*Table1[[#This Row],[Std Nom]]),"")</f>
        <v/>
      </c>
      <c r="P1651" s="1" t="str">
        <f>IFERROR(Table1[[#This Row],[Std Nom]]+(_xlfn.XLOOKUP(Table1[[#This Row],[Manufacturer]]&amp;" "&amp;Table1[[#This Row],[Model]],Table13[MFR &amp; MDL],Table13[Tolerance % CW ],"")/100*Table1[[#This Row],[Std Nom]]),"")</f>
        <v/>
      </c>
      <c r="Q1651" s="1" t="e">
        <f>Table1[[#This Row],[High Tol]]-Table1[[#This Row],[Low Tol]]</f>
        <v>#VALUE!</v>
      </c>
      <c r="R1651" s="1">
        <f>2*Table1[[#This Row],[Std Error]]</f>
        <v>0</v>
      </c>
      <c r="S1651" s="1" t="str">
        <f>IF(Table1[[#This Row],[High Tol]]="","N/A",IFERROR(ABS(Table1[[#This Row],[Tol Span]]/Table1[[#This Row],[Error Span]]),"N/A"))</f>
        <v>N/A</v>
      </c>
      <c r="T1651" s="1" t="str">
        <f>IF(OR(Table1[[#This Row],[Low Tol]]="",Table1[[#This Row],[High Tol]]=""),"Needs Analysis",IF(Table1[[#This Row],[Ratio]]&gt;=4,"Not Significant",IF(Table1[[#This Row],[Ratio]]&gt;=2,"Semi-Significant","Significant")))</f>
        <v>Needs Analysis</v>
      </c>
      <c r="W1651" s="1">
        <f>IF(Table1[[#This Row],[Cal Type]]&lt;&gt;"ACCREDITED 17025 WITH UNCERTAINTIES",0,"")</f>
        <v>0</v>
      </c>
      <c r="X1651" s="1" t="str">
        <f>IF(Table1[[#This Row],[DUT Read]]="","N/A",Table1[[#This Row],[Std Error]]+Table1[[#This Row],[DUT Read]]+Table1[[#This Row],[DUT Ucty]])</f>
        <v>N/A</v>
      </c>
      <c r="Y1651" s="1" t="str">
        <f>IF(Table1[[#This Row],[Std Read]]="","N/A",Table1[[#This Row],[Std Read]]+Table1[[#This Row],[Std Ucty]])</f>
        <v>N/A</v>
      </c>
      <c r="Z16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1" s="1" t="str">
        <f>IF(Table1[[#This Row],[Spec Type]]="","N/A",Table1[[#This Row],[Spec Type]])</f>
        <v>±</v>
      </c>
      <c r="AC1651" s="1" t="str">
        <f>IF(Table1[[#This Row],[Spec Type2]]="N/A","N/A",IF(AND(Table1[[#This Row],[DUT Adj Read]]&gt;=Table1[[#This Row],[Low Tol]],Table1[[#This Row],[DUT Adj Read]]&lt;=Table1[[#This Row],[High Tol]]),"Pass","Fail"))</f>
        <v>Fail</v>
      </c>
      <c r="AD1651" s="1" t="str">
        <f>IF(AND(Table1[[#This Row],[Spec Type2]]="N/A",Table1[[#This Row],[DUT Adj Read]]="N/A",Table1[[#This Row],[Std Adj Read]]="N/A"),"N/A",IF(Table1[[#This Row],[DUT Adj Read]]="N/A",IF(Table1[[#This Row],[Std Adj Read]]&gt;Table1[[#This Row],[Low Tol]],"Pass","Fail"),IF(Table1[[#This Row],[DUT Adj Read]]&gt;Table1[[#This Row],[Low Tol]],"Pass","Fail")))</f>
        <v>Pass</v>
      </c>
      <c r="AE1651" s="1" t="str">
        <f>IF(AND(Table1[[#This Row],[Spec Type2]]="N/A",Table1[[#This Row],[DUT Adj Read]]="N/A",Table1[[#This Row],[Std Adj Read]]="N/A"),"N/A",IF(Table1[[#This Row],[DUT Adj Read]]="N/A",IF(Table1[[#This Row],[Std Adj Read]]&lt;Table1[[#This Row],[High Tol]],"Pass","Fail"),IF(Table1[[#This Row],[DUT Adj Read]]&lt;Table1[[#This Row],[High Tol]],"Pass","Fail")))</f>
        <v>Fail</v>
      </c>
      <c r="AF1651" s="1" t="str">
        <f>IF(AND(Table1[[#This Row],[Spec Type2]]="N/A",Table1[[#This Row],[DUT Adj Read]]="N/A",Table1[[#This Row],[Std Adj Read]]="N/A"),"N/A",IF(Table1[[#This Row],[DUT Adj Read]]="N/A",IF(Table1[[#This Row],[Std Adj Read]]&gt;=Table1[[#This Row],[Low Tol]],"Pass","Fail"),IF(Table1[[#This Row],[DUT Adj Read]]&gt;=Table1[[#This Row],[Low Tol]],"Pass","Fail")))</f>
        <v>Pass</v>
      </c>
      <c r="AG1651" s="1" t="str">
        <f>IF(AND(Table1[[#This Row],[Spec Type2]]="N/A",Table1[[#This Row],[DUT Adj Read]]="N/A",Table1[[#This Row],[Std Adj Read]]="N/A"),"N/A",IF(Table1[[#This Row],[DUT Adj Read]]="N/A",IF(Table1[[#This Row],[Std Adj Read]]&lt;=Table1[[#This Row],[High Tol]],"Pass","Fail"),IF(Table1[[#This Row],[DUT Adj Read]]&lt;=Table1[[#This Row],[High Tol]],"Pass","Fail")))</f>
        <v>Fail</v>
      </c>
      <c r="AH16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1" s="1" t="b">
        <v>0</v>
      </c>
      <c r="AN1651" s="1" t="b">
        <v>0</v>
      </c>
      <c r="AO1651" s="1" t="b">
        <v>0</v>
      </c>
    </row>
    <row r="1652" spans="1:41" x14ac:dyDescent="0.25">
      <c r="A1652" s="10"/>
      <c r="B1652" s="10"/>
      <c r="C1652" s="10"/>
      <c r="D1652" s="10"/>
      <c r="E1652" s="10"/>
      <c r="F1652" s="10"/>
      <c r="G1652" s="10"/>
      <c r="H1652" s="10"/>
      <c r="I1652" s="1" t="str">
        <f t="shared" si="75"/>
        <v/>
      </c>
      <c r="J1652" s="1" t="s">
        <v>35</v>
      </c>
      <c r="K1652" s="1" t="str">
        <f t="shared" si="76"/>
        <v/>
      </c>
      <c r="L1652" s="1" t="str">
        <f t="shared" si="77"/>
        <v/>
      </c>
      <c r="M1652" s="1">
        <f>IF(OR(Table1[[#This Row],[Std Nom]]="",Table1[[#This Row],[Std Read]]=""),0,Table1[[#This Row],[Std Nom]]-Table1[[#This Row],[Std Read]])</f>
        <v>0</v>
      </c>
      <c r="N1652" s="1">
        <f>IF(Calculations!$F$5="ACCREDITED 17025 WITH UNCERTAINTIES",$N$10,0)</f>
        <v>0</v>
      </c>
      <c r="O1652" s="1" t="str">
        <f>IFERROR(Table1[[#This Row],[Std Nom]]-(_xlfn.XLOOKUP(Table1[[#This Row],[Manufacturer]]&amp;" "&amp;Table1[[#This Row],[Model]],Table13[MFR &amp; MDL],Table13[Tolerance % CW ],"")/100*Table1[[#This Row],[Std Nom]]),"")</f>
        <v/>
      </c>
      <c r="P1652" s="1" t="str">
        <f>IFERROR(Table1[[#This Row],[Std Nom]]+(_xlfn.XLOOKUP(Table1[[#This Row],[Manufacturer]]&amp;" "&amp;Table1[[#This Row],[Model]],Table13[MFR &amp; MDL],Table13[Tolerance % CW ],"")/100*Table1[[#This Row],[Std Nom]]),"")</f>
        <v/>
      </c>
      <c r="Q1652" s="1" t="e">
        <f>Table1[[#This Row],[High Tol]]-Table1[[#This Row],[Low Tol]]</f>
        <v>#VALUE!</v>
      </c>
      <c r="R1652" s="1">
        <f>2*Table1[[#This Row],[Std Error]]</f>
        <v>0</v>
      </c>
      <c r="S1652" s="1" t="str">
        <f>IF(Table1[[#This Row],[High Tol]]="","N/A",IFERROR(ABS(Table1[[#This Row],[Tol Span]]/Table1[[#This Row],[Error Span]]),"N/A"))</f>
        <v>N/A</v>
      </c>
      <c r="T1652" s="1" t="str">
        <f>IF(OR(Table1[[#This Row],[Low Tol]]="",Table1[[#This Row],[High Tol]]=""),"Needs Analysis",IF(Table1[[#This Row],[Ratio]]&gt;=4,"Not Significant",IF(Table1[[#This Row],[Ratio]]&gt;=2,"Semi-Significant","Significant")))</f>
        <v>Needs Analysis</v>
      </c>
      <c r="W1652" s="1">
        <f>IF(Table1[[#This Row],[Cal Type]]&lt;&gt;"ACCREDITED 17025 WITH UNCERTAINTIES",0,"")</f>
        <v>0</v>
      </c>
      <c r="X1652" s="1" t="str">
        <f>IF(Table1[[#This Row],[DUT Read]]="","N/A",Table1[[#This Row],[Std Error]]+Table1[[#This Row],[DUT Read]]+Table1[[#This Row],[DUT Ucty]])</f>
        <v>N/A</v>
      </c>
      <c r="Y1652" s="1" t="str">
        <f>IF(Table1[[#This Row],[Std Read]]="","N/A",Table1[[#This Row],[Std Read]]+Table1[[#This Row],[Std Ucty]])</f>
        <v>N/A</v>
      </c>
      <c r="Z16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2" s="1" t="str">
        <f>IF(Table1[[#This Row],[Spec Type]]="","N/A",Table1[[#This Row],[Spec Type]])</f>
        <v>±</v>
      </c>
      <c r="AC1652" s="1" t="str">
        <f>IF(Table1[[#This Row],[Spec Type2]]="N/A","N/A",IF(AND(Table1[[#This Row],[DUT Adj Read]]&gt;=Table1[[#This Row],[Low Tol]],Table1[[#This Row],[DUT Adj Read]]&lt;=Table1[[#This Row],[High Tol]]),"Pass","Fail"))</f>
        <v>Fail</v>
      </c>
      <c r="AD1652" s="1" t="str">
        <f>IF(AND(Table1[[#This Row],[Spec Type2]]="N/A",Table1[[#This Row],[DUT Adj Read]]="N/A",Table1[[#This Row],[Std Adj Read]]="N/A"),"N/A",IF(Table1[[#This Row],[DUT Adj Read]]="N/A",IF(Table1[[#This Row],[Std Adj Read]]&gt;Table1[[#This Row],[Low Tol]],"Pass","Fail"),IF(Table1[[#This Row],[DUT Adj Read]]&gt;Table1[[#This Row],[Low Tol]],"Pass","Fail")))</f>
        <v>Pass</v>
      </c>
      <c r="AE1652" s="1" t="str">
        <f>IF(AND(Table1[[#This Row],[Spec Type2]]="N/A",Table1[[#This Row],[DUT Adj Read]]="N/A",Table1[[#This Row],[Std Adj Read]]="N/A"),"N/A",IF(Table1[[#This Row],[DUT Adj Read]]="N/A",IF(Table1[[#This Row],[Std Adj Read]]&lt;Table1[[#This Row],[High Tol]],"Pass","Fail"),IF(Table1[[#This Row],[DUT Adj Read]]&lt;Table1[[#This Row],[High Tol]],"Pass","Fail")))</f>
        <v>Fail</v>
      </c>
      <c r="AF1652" s="1" t="str">
        <f>IF(AND(Table1[[#This Row],[Spec Type2]]="N/A",Table1[[#This Row],[DUT Adj Read]]="N/A",Table1[[#This Row],[Std Adj Read]]="N/A"),"N/A",IF(Table1[[#This Row],[DUT Adj Read]]="N/A",IF(Table1[[#This Row],[Std Adj Read]]&gt;=Table1[[#This Row],[Low Tol]],"Pass","Fail"),IF(Table1[[#This Row],[DUT Adj Read]]&gt;=Table1[[#This Row],[Low Tol]],"Pass","Fail")))</f>
        <v>Pass</v>
      </c>
      <c r="AG1652" s="1" t="str">
        <f>IF(AND(Table1[[#This Row],[Spec Type2]]="N/A",Table1[[#This Row],[DUT Adj Read]]="N/A",Table1[[#This Row],[Std Adj Read]]="N/A"),"N/A",IF(Table1[[#This Row],[DUT Adj Read]]="N/A",IF(Table1[[#This Row],[Std Adj Read]]&lt;=Table1[[#This Row],[High Tol]],"Pass","Fail"),IF(Table1[[#This Row],[DUT Adj Read]]&lt;=Table1[[#This Row],[High Tol]],"Pass","Fail")))</f>
        <v>Fail</v>
      </c>
      <c r="AH16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2" s="1" t="b">
        <v>0</v>
      </c>
      <c r="AN1652" s="1" t="b">
        <v>0</v>
      </c>
      <c r="AO1652" s="1" t="b">
        <v>0</v>
      </c>
    </row>
    <row r="1653" spans="1:41" x14ac:dyDescent="0.25">
      <c r="A1653" s="10"/>
      <c r="B1653" s="10"/>
      <c r="C1653" s="10"/>
      <c r="D1653" s="10"/>
      <c r="E1653" s="10"/>
      <c r="F1653" s="10"/>
      <c r="G1653" s="10"/>
      <c r="H1653" s="10"/>
      <c r="I1653" s="1" t="str">
        <f t="shared" si="75"/>
        <v/>
      </c>
      <c r="J1653" s="1" t="s">
        <v>35</v>
      </c>
      <c r="K1653" s="1" t="str">
        <f t="shared" si="76"/>
        <v/>
      </c>
      <c r="L1653" s="1" t="str">
        <f t="shared" si="77"/>
        <v/>
      </c>
      <c r="M1653" s="1">
        <f>IF(OR(Table1[[#This Row],[Std Nom]]="",Table1[[#This Row],[Std Read]]=""),0,Table1[[#This Row],[Std Nom]]-Table1[[#This Row],[Std Read]])</f>
        <v>0</v>
      </c>
      <c r="N1653" s="1">
        <f>IF(Calculations!$F$5="ACCREDITED 17025 WITH UNCERTAINTIES",$N$10,0)</f>
        <v>0</v>
      </c>
      <c r="O1653" s="1" t="str">
        <f>IFERROR(Table1[[#This Row],[Std Nom]]-(_xlfn.XLOOKUP(Table1[[#This Row],[Manufacturer]]&amp;" "&amp;Table1[[#This Row],[Model]],Table13[MFR &amp; MDL],Table13[Tolerance % CW ],"")/100*Table1[[#This Row],[Std Nom]]),"")</f>
        <v/>
      </c>
      <c r="P1653" s="1" t="str">
        <f>IFERROR(Table1[[#This Row],[Std Nom]]+(_xlfn.XLOOKUP(Table1[[#This Row],[Manufacturer]]&amp;" "&amp;Table1[[#This Row],[Model]],Table13[MFR &amp; MDL],Table13[Tolerance % CW ],"")/100*Table1[[#This Row],[Std Nom]]),"")</f>
        <v/>
      </c>
      <c r="Q1653" s="1" t="e">
        <f>Table1[[#This Row],[High Tol]]-Table1[[#This Row],[Low Tol]]</f>
        <v>#VALUE!</v>
      </c>
      <c r="R1653" s="1">
        <f>2*Table1[[#This Row],[Std Error]]</f>
        <v>0</v>
      </c>
      <c r="S1653" s="1" t="str">
        <f>IF(Table1[[#This Row],[High Tol]]="","N/A",IFERROR(ABS(Table1[[#This Row],[Tol Span]]/Table1[[#This Row],[Error Span]]),"N/A"))</f>
        <v>N/A</v>
      </c>
      <c r="T1653" s="1" t="str">
        <f>IF(OR(Table1[[#This Row],[Low Tol]]="",Table1[[#This Row],[High Tol]]=""),"Needs Analysis",IF(Table1[[#This Row],[Ratio]]&gt;=4,"Not Significant",IF(Table1[[#This Row],[Ratio]]&gt;=2,"Semi-Significant","Significant")))</f>
        <v>Needs Analysis</v>
      </c>
      <c r="W1653" s="1">
        <f>IF(Table1[[#This Row],[Cal Type]]&lt;&gt;"ACCREDITED 17025 WITH UNCERTAINTIES",0,"")</f>
        <v>0</v>
      </c>
      <c r="X1653" s="1" t="str">
        <f>IF(Table1[[#This Row],[DUT Read]]="","N/A",Table1[[#This Row],[Std Error]]+Table1[[#This Row],[DUT Read]]+Table1[[#This Row],[DUT Ucty]])</f>
        <v>N/A</v>
      </c>
      <c r="Y1653" s="1" t="str">
        <f>IF(Table1[[#This Row],[Std Read]]="","N/A",Table1[[#This Row],[Std Read]]+Table1[[#This Row],[Std Ucty]])</f>
        <v>N/A</v>
      </c>
      <c r="Z16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3" s="1" t="str">
        <f>IF(Table1[[#This Row],[Spec Type]]="","N/A",Table1[[#This Row],[Spec Type]])</f>
        <v>±</v>
      </c>
      <c r="AC1653" s="1" t="str">
        <f>IF(Table1[[#This Row],[Spec Type2]]="N/A","N/A",IF(AND(Table1[[#This Row],[DUT Adj Read]]&gt;=Table1[[#This Row],[Low Tol]],Table1[[#This Row],[DUT Adj Read]]&lt;=Table1[[#This Row],[High Tol]]),"Pass","Fail"))</f>
        <v>Fail</v>
      </c>
      <c r="AD1653" s="1" t="str">
        <f>IF(AND(Table1[[#This Row],[Spec Type2]]="N/A",Table1[[#This Row],[DUT Adj Read]]="N/A",Table1[[#This Row],[Std Adj Read]]="N/A"),"N/A",IF(Table1[[#This Row],[DUT Adj Read]]="N/A",IF(Table1[[#This Row],[Std Adj Read]]&gt;Table1[[#This Row],[Low Tol]],"Pass","Fail"),IF(Table1[[#This Row],[DUT Adj Read]]&gt;Table1[[#This Row],[Low Tol]],"Pass","Fail")))</f>
        <v>Pass</v>
      </c>
      <c r="AE1653" s="1" t="str">
        <f>IF(AND(Table1[[#This Row],[Spec Type2]]="N/A",Table1[[#This Row],[DUT Adj Read]]="N/A",Table1[[#This Row],[Std Adj Read]]="N/A"),"N/A",IF(Table1[[#This Row],[DUT Adj Read]]="N/A",IF(Table1[[#This Row],[Std Adj Read]]&lt;Table1[[#This Row],[High Tol]],"Pass","Fail"),IF(Table1[[#This Row],[DUT Adj Read]]&lt;Table1[[#This Row],[High Tol]],"Pass","Fail")))</f>
        <v>Fail</v>
      </c>
      <c r="AF1653" s="1" t="str">
        <f>IF(AND(Table1[[#This Row],[Spec Type2]]="N/A",Table1[[#This Row],[DUT Adj Read]]="N/A",Table1[[#This Row],[Std Adj Read]]="N/A"),"N/A",IF(Table1[[#This Row],[DUT Adj Read]]="N/A",IF(Table1[[#This Row],[Std Adj Read]]&gt;=Table1[[#This Row],[Low Tol]],"Pass","Fail"),IF(Table1[[#This Row],[DUT Adj Read]]&gt;=Table1[[#This Row],[Low Tol]],"Pass","Fail")))</f>
        <v>Pass</v>
      </c>
      <c r="AG1653" s="1" t="str">
        <f>IF(AND(Table1[[#This Row],[Spec Type2]]="N/A",Table1[[#This Row],[DUT Adj Read]]="N/A",Table1[[#This Row],[Std Adj Read]]="N/A"),"N/A",IF(Table1[[#This Row],[DUT Adj Read]]="N/A",IF(Table1[[#This Row],[Std Adj Read]]&lt;=Table1[[#This Row],[High Tol]],"Pass","Fail"),IF(Table1[[#This Row],[DUT Adj Read]]&lt;=Table1[[#This Row],[High Tol]],"Pass","Fail")))</f>
        <v>Fail</v>
      </c>
      <c r="AH16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3" s="1" t="b">
        <v>0</v>
      </c>
      <c r="AN1653" s="1" t="b">
        <v>0</v>
      </c>
      <c r="AO1653" s="1" t="b">
        <v>0</v>
      </c>
    </row>
    <row r="1654" spans="1:41" x14ac:dyDescent="0.25">
      <c r="A1654" s="10"/>
      <c r="B1654" s="10"/>
      <c r="C1654" s="10"/>
      <c r="D1654" s="10"/>
      <c r="E1654" s="10"/>
      <c r="F1654" s="10"/>
      <c r="G1654" s="10"/>
      <c r="H1654" s="10"/>
      <c r="I1654" s="1" t="str">
        <f t="shared" si="75"/>
        <v/>
      </c>
      <c r="J1654" s="1" t="s">
        <v>35</v>
      </c>
      <c r="K1654" s="1" t="str">
        <f t="shared" si="76"/>
        <v/>
      </c>
      <c r="L1654" s="1" t="str">
        <f t="shared" si="77"/>
        <v/>
      </c>
      <c r="M1654" s="1">
        <f>IF(OR(Table1[[#This Row],[Std Nom]]="",Table1[[#This Row],[Std Read]]=""),0,Table1[[#This Row],[Std Nom]]-Table1[[#This Row],[Std Read]])</f>
        <v>0</v>
      </c>
      <c r="N1654" s="1">
        <f>IF(Calculations!$F$5="ACCREDITED 17025 WITH UNCERTAINTIES",$N$10,0)</f>
        <v>0</v>
      </c>
      <c r="O1654" s="1" t="str">
        <f>IFERROR(Table1[[#This Row],[Std Nom]]-(_xlfn.XLOOKUP(Table1[[#This Row],[Manufacturer]]&amp;" "&amp;Table1[[#This Row],[Model]],Table13[MFR &amp; MDL],Table13[Tolerance % CW ],"")/100*Table1[[#This Row],[Std Nom]]),"")</f>
        <v/>
      </c>
      <c r="P1654" s="1" t="str">
        <f>IFERROR(Table1[[#This Row],[Std Nom]]+(_xlfn.XLOOKUP(Table1[[#This Row],[Manufacturer]]&amp;" "&amp;Table1[[#This Row],[Model]],Table13[MFR &amp; MDL],Table13[Tolerance % CW ],"")/100*Table1[[#This Row],[Std Nom]]),"")</f>
        <v/>
      </c>
      <c r="Q1654" s="1" t="e">
        <f>Table1[[#This Row],[High Tol]]-Table1[[#This Row],[Low Tol]]</f>
        <v>#VALUE!</v>
      </c>
      <c r="R1654" s="1">
        <f>2*Table1[[#This Row],[Std Error]]</f>
        <v>0</v>
      </c>
      <c r="S1654" s="1" t="str">
        <f>IF(Table1[[#This Row],[High Tol]]="","N/A",IFERROR(ABS(Table1[[#This Row],[Tol Span]]/Table1[[#This Row],[Error Span]]),"N/A"))</f>
        <v>N/A</v>
      </c>
      <c r="T1654" s="1" t="str">
        <f>IF(OR(Table1[[#This Row],[Low Tol]]="",Table1[[#This Row],[High Tol]]=""),"Needs Analysis",IF(Table1[[#This Row],[Ratio]]&gt;=4,"Not Significant",IF(Table1[[#This Row],[Ratio]]&gt;=2,"Semi-Significant","Significant")))</f>
        <v>Needs Analysis</v>
      </c>
      <c r="W1654" s="1">
        <f>IF(Table1[[#This Row],[Cal Type]]&lt;&gt;"ACCREDITED 17025 WITH UNCERTAINTIES",0,"")</f>
        <v>0</v>
      </c>
      <c r="X1654" s="1" t="str">
        <f>IF(Table1[[#This Row],[DUT Read]]="","N/A",Table1[[#This Row],[Std Error]]+Table1[[#This Row],[DUT Read]]+Table1[[#This Row],[DUT Ucty]])</f>
        <v>N/A</v>
      </c>
      <c r="Y1654" s="1" t="str">
        <f>IF(Table1[[#This Row],[Std Read]]="","N/A",Table1[[#This Row],[Std Read]]+Table1[[#This Row],[Std Ucty]])</f>
        <v>N/A</v>
      </c>
      <c r="Z16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4" s="1" t="str">
        <f>IF(Table1[[#This Row],[Spec Type]]="","N/A",Table1[[#This Row],[Spec Type]])</f>
        <v>±</v>
      </c>
      <c r="AC1654" s="1" t="str">
        <f>IF(Table1[[#This Row],[Spec Type2]]="N/A","N/A",IF(AND(Table1[[#This Row],[DUT Adj Read]]&gt;=Table1[[#This Row],[Low Tol]],Table1[[#This Row],[DUT Adj Read]]&lt;=Table1[[#This Row],[High Tol]]),"Pass","Fail"))</f>
        <v>Fail</v>
      </c>
      <c r="AD1654" s="1" t="str">
        <f>IF(AND(Table1[[#This Row],[Spec Type2]]="N/A",Table1[[#This Row],[DUT Adj Read]]="N/A",Table1[[#This Row],[Std Adj Read]]="N/A"),"N/A",IF(Table1[[#This Row],[DUT Adj Read]]="N/A",IF(Table1[[#This Row],[Std Adj Read]]&gt;Table1[[#This Row],[Low Tol]],"Pass","Fail"),IF(Table1[[#This Row],[DUT Adj Read]]&gt;Table1[[#This Row],[Low Tol]],"Pass","Fail")))</f>
        <v>Pass</v>
      </c>
      <c r="AE1654" s="1" t="str">
        <f>IF(AND(Table1[[#This Row],[Spec Type2]]="N/A",Table1[[#This Row],[DUT Adj Read]]="N/A",Table1[[#This Row],[Std Adj Read]]="N/A"),"N/A",IF(Table1[[#This Row],[DUT Adj Read]]="N/A",IF(Table1[[#This Row],[Std Adj Read]]&lt;Table1[[#This Row],[High Tol]],"Pass","Fail"),IF(Table1[[#This Row],[DUT Adj Read]]&lt;Table1[[#This Row],[High Tol]],"Pass","Fail")))</f>
        <v>Fail</v>
      </c>
      <c r="AF1654" s="1" t="str">
        <f>IF(AND(Table1[[#This Row],[Spec Type2]]="N/A",Table1[[#This Row],[DUT Adj Read]]="N/A",Table1[[#This Row],[Std Adj Read]]="N/A"),"N/A",IF(Table1[[#This Row],[DUT Adj Read]]="N/A",IF(Table1[[#This Row],[Std Adj Read]]&gt;=Table1[[#This Row],[Low Tol]],"Pass","Fail"),IF(Table1[[#This Row],[DUT Adj Read]]&gt;=Table1[[#This Row],[Low Tol]],"Pass","Fail")))</f>
        <v>Pass</v>
      </c>
      <c r="AG1654" s="1" t="str">
        <f>IF(AND(Table1[[#This Row],[Spec Type2]]="N/A",Table1[[#This Row],[DUT Adj Read]]="N/A",Table1[[#This Row],[Std Adj Read]]="N/A"),"N/A",IF(Table1[[#This Row],[DUT Adj Read]]="N/A",IF(Table1[[#This Row],[Std Adj Read]]&lt;=Table1[[#This Row],[High Tol]],"Pass","Fail"),IF(Table1[[#This Row],[DUT Adj Read]]&lt;=Table1[[#This Row],[High Tol]],"Pass","Fail")))</f>
        <v>Fail</v>
      </c>
      <c r="AH16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4" s="1" t="b">
        <v>0</v>
      </c>
      <c r="AN1654" s="1" t="b">
        <v>0</v>
      </c>
      <c r="AO1654" s="1" t="b">
        <v>0</v>
      </c>
    </row>
    <row r="1655" spans="1:41" x14ac:dyDescent="0.25">
      <c r="A1655" s="10"/>
      <c r="B1655" s="10"/>
      <c r="C1655" s="10"/>
      <c r="D1655" s="10"/>
      <c r="E1655" s="10"/>
      <c r="F1655" s="10"/>
      <c r="G1655" s="10"/>
      <c r="H1655" s="10"/>
      <c r="I1655" s="1" t="str">
        <f t="shared" si="75"/>
        <v/>
      </c>
      <c r="J1655" s="1" t="s">
        <v>35</v>
      </c>
      <c r="K1655" s="1" t="str">
        <f t="shared" si="76"/>
        <v/>
      </c>
      <c r="L1655" s="1" t="str">
        <f t="shared" si="77"/>
        <v/>
      </c>
      <c r="M1655" s="1">
        <f>IF(OR(Table1[[#This Row],[Std Nom]]="",Table1[[#This Row],[Std Read]]=""),0,Table1[[#This Row],[Std Nom]]-Table1[[#This Row],[Std Read]])</f>
        <v>0</v>
      </c>
      <c r="N1655" s="1">
        <f>IF(Calculations!$F$5="ACCREDITED 17025 WITH UNCERTAINTIES",$N$10,0)</f>
        <v>0</v>
      </c>
      <c r="O1655" s="1" t="str">
        <f>IFERROR(Table1[[#This Row],[Std Nom]]-(_xlfn.XLOOKUP(Table1[[#This Row],[Manufacturer]]&amp;" "&amp;Table1[[#This Row],[Model]],Table13[MFR &amp; MDL],Table13[Tolerance % CW ],"")/100*Table1[[#This Row],[Std Nom]]),"")</f>
        <v/>
      </c>
      <c r="P1655" s="1" t="str">
        <f>IFERROR(Table1[[#This Row],[Std Nom]]+(_xlfn.XLOOKUP(Table1[[#This Row],[Manufacturer]]&amp;" "&amp;Table1[[#This Row],[Model]],Table13[MFR &amp; MDL],Table13[Tolerance % CW ],"")/100*Table1[[#This Row],[Std Nom]]),"")</f>
        <v/>
      </c>
      <c r="Q1655" s="1" t="e">
        <f>Table1[[#This Row],[High Tol]]-Table1[[#This Row],[Low Tol]]</f>
        <v>#VALUE!</v>
      </c>
      <c r="R1655" s="1">
        <f>2*Table1[[#This Row],[Std Error]]</f>
        <v>0</v>
      </c>
      <c r="S1655" s="1" t="str">
        <f>IF(Table1[[#This Row],[High Tol]]="","N/A",IFERROR(ABS(Table1[[#This Row],[Tol Span]]/Table1[[#This Row],[Error Span]]),"N/A"))</f>
        <v>N/A</v>
      </c>
      <c r="T1655" s="1" t="str">
        <f>IF(OR(Table1[[#This Row],[Low Tol]]="",Table1[[#This Row],[High Tol]]=""),"Needs Analysis",IF(Table1[[#This Row],[Ratio]]&gt;=4,"Not Significant",IF(Table1[[#This Row],[Ratio]]&gt;=2,"Semi-Significant","Significant")))</f>
        <v>Needs Analysis</v>
      </c>
      <c r="W1655" s="1">
        <f>IF(Table1[[#This Row],[Cal Type]]&lt;&gt;"ACCREDITED 17025 WITH UNCERTAINTIES",0,"")</f>
        <v>0</v>
      </c>
      <c r="X1655" s="1" t="str">
        <f>IF(Table1[[#This Row],[DUT Read]]="","N/A",Table1[[#This Row],[Std Error]]+Table1[[#This Row],[DUT Read]]+Table1[[#This Row],[DUT Ucty]])</f>
        <v>N/A</v>
      </c>
      <c r="Y1655" s="1" t="str">
        <f>IF(Table1[[#This Row],[Std Read]]="","N/A",Table1[[#This Row],[Std Read]]+Table1[[#This Row],[Std Ucty]])</f>
        <v>N/A</v>
      </c>
      <c r="Z16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5" s="1" t="str">
        <f>IF(Table1[[#This Row],[Spec Type]]="","N/A",Table1[[#This Row],[Spec Type]])</f>
        <v>±</v>
      </c>
      <c r="AC1655" s="1" t="str">
        <f>IF(Table1[[#This Row],[Spec Type2]]="N/A","N/A",IF(AND(Table1[[#This Row],[DUT Adj Read]]&gt;=Table1[[#This Row],[Low Tol]],Table1[[#This Row],[DUT Adj Read]]&lt;=Table1[[#This Row],[High Tol]]),"Pass","Fail"))</f>
        <v>Fail</v>
      </c>
      <c r="AD1655" s="1" t="str">
        <f>IF(AND(Table1[[#This Row],[Spec Type2]]="N/A",Table1[[#This Row],[DUT Adj Read]]="N/A",Table1[[#This Row],[Std Adj Read]]="N/A"),"N/A",IF(Table1[[#This Row],[DUT Adj Read]]="N/A",IF(Table1[[#This Row],[Std Adj Read]]&gt;Table1[[#This Row],[Low Tol]],"Pass","Fail"),IF(Table1[[#This Row],[DUT Adj Read]]&gt;Table1[[#This Row],[Low Tol]],"Pass","Fail")))</f>
        <v>Pass</v>
      </c>
      <c r="AE1655" s="1" t="str">
        <f>IF(AND(Table1[[#This Row],[Spec Type2]]="N/A",Table1[[#This Row],[DUT Adj Read]]="N/A",Table1[[#This Row],[Std Adj Read]]="N/A"),"N/A",IF(Table1[[#This Row],[DUT Adj Read]]="N/A",IF(Table1[[#This Row],[Std Adj Read]]&lt;Table1[[#This Row],[High Tol]],"Pass","Fail"),IF(Table1[[#This Row],[DUT Adj Read]]&lt;Table1[[#This Row],[High Tol]],"Pass","Fail")))</f>
        <v>Fail</v>
      </c>
      <c r="AF1655" s="1" t="str">
        <f>IF(AND(Table1[[#This Row],[Spec Type2]]="N/A",Table1[[#This Row],[DUT Adj Read]]="N/A",Table1[[#This Row],[Std Adj Read]]="N/A"),"N/A",IF(Table1[[#This Row],[DUT Adj Read]]="N/A",IF(Table1[[#This Row],[Std Adj Read]]&gt;=Table1[[#This Row],[Low Tol]],"Pass","Fail"),IF(Table1[[#This Row],[DUT Adj Read]]&gt;=Table1[[#This Row],[Low Tol]],"Pass","Fail")))</f>
        <v>Pass</v>
      </c>
      <c r="AG1655" s="1" t="str">
        <f>IF(AND(Table1[[#This Row],[Spec Type2]]="N/A",Table1[[#This Row],[DUT Adj Read]]="N/A",Table1[[#This Row],[Std Adj Read]]="N/A"),"N/A",IF(Table1[[#This Row],[DUT Adj Read]]="N/A",IF(Table1[[#This Row],[Std Adj Read]]&lt;=Table1[[#This Row],[High Tol]],"Pass","Fail"),IF(Table1[[#This Row],[DUT Adj Read]]&lt;=Table1[[#This Row],[High Tol]],"Pass","Fail")))</f>
        <v>Fail</v>
      </c>
      <c r="AH16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5" s="1" t="b">
        <v>0</v>
      </c>
      <c r="AN1655" s="1" t="b">
        <v>0</v>
      </c>
      <c r="AO1655" s="1" t="b">
        <v>0</v>
      </c>
    </row>
    <row r="1656" spans="1:41" x14ac:dyDescent="0.25">
      <c r="A1656" s="10"/>
      <c r="B1656" s="10"/>
      <c r="C1656" s="10"/>
      <c r="D1656" s="10"/>
      <c r="E1656" s="10"/>
      <c r="F1656" s="10"/>
      <c r="G1656" s="10"/>
      <c r="H1656" s="10"/>
      <c r="I1656" s="1" t="str">
        <f t="shared" si="75"/>
        <v/>
      </c>
      <c r="J1656" s="1" t="s">
        <v>35</v>
      </c>
      <c r="K1656" s="1" t="str">
        <f t="shared" si="76"/>
        <v/>
      </c>
      <c r="L1656" s="1" t="str">
        <f t="shared" si="77"/>
        <v/>
      </c>
      <c r="M1656" s="1">
        <f>IF(OR(Table1[[#This Row],[Std Nom]]="",Table1[[#This Row],[Std Read]]=""),0,Table1[[#This Row],[Std Nom]]-Table1[[#This Row],[Std Read]])</f>
        <v>0</v>
      </c>
      <c r="N1656" s="1">
        <f>IF(Calculations!$F$5="ACCREDITED 17025 WITH UNCERTAINTIES",$N$10,0)</f>
        <v>0</v>
      </c>
      <c r="O1656" s="1" t="str">
        <f>IFERROR(Table1[[#This Row],[Std Nom]]-(_xlfn.XLOOKUP(Table1[[#This Row],[Manufacturer]]&amp;" "&amp;Table1[[#This Row],[Model]],Table13[MFR &amp; MDL],Table13[Tolerance % CW ],"")/100*Table1[[#This Row],[Std Nom]]),"")</f>
        <v/>
      </c>
      <c r="P1656" s="1" t="str">
        <f>IFERROR(Table1[[#This Row],[Std Nom]]+(_xlfn.XLOOKUP(Table1[[#This Row],[Manufacturer]]&amp;" "&amp;Table1[[#This Row],[Model]],Table13[MFR &amp; MDL],Table13[Tolerance % CW ],"")/100*Table1[[#This Row],[Std Nom]]),"")</f>
        <v/>
      </c>
      <c r="Q1656" s="1" t="e">
        <f>Table1[[#This Row],[High Tol]]-Table1[[#This Row],[Low Tol]]</f>
        <v>#VALUE!</v>
      </c>
      <c r="R1656" s="1">
        <f>2*Table1[[#This Row],[Std Error]]</f>
        <v>0</v>
      </c>
      <c r="S1656" s="1" t="str">
        <f>IF(Table1[[#This Row],[High Tol]]="","N/A",IFERROR(ABS(Table1[[#This Row],[Tol Span]]/Table1[[#This Row],[Error Span]]),"N/A"))</f>
        <v>N/A</v>
      </c>
      <c r="T1656" s="1" t="str">
        <f>IF(OR(Table1[[#This Row],[Low Tol]]="",Table1[[#This Row],[High Tol]]=""),"Needs Analysis",IF(Table1[[#This Row],[Ratio]]&gt;=4,"Not Significant",IF(Table1[[#This Row],[Ratio]]&gt;=2,"Semi-Significant","Significant")))</f>
        <v>Needs Analysis</v>
      </c>
      <c r="W1656" s="1">
        <f>IF(Table1[[#This Row],[Cal Type]]&lt;&gt;"ACCREDITED 17025 WITH UNCERTAINTIES",0,"")</f>
        <v>0</v>
      </c>
      <c r="X1656" s="1" t="str">
        <f>IF(Table1[[#This Row],[DUT Read]]="","N/A",Table1[[#This Row],[Std Error]]+Table1[[#This Row],[DUT Read]]+Table1[[#This Row],[DUT Ucty]])</f>
        <v>N/A</v>
      </c>
      <c r="Y1656" s="1" t="str">
        <f>IF(Table1[[#This Row],[Std Read]]="","N/A",Table1[[#This Row],[Std Read]]+Table1[[#This Row],[Std Ucty]])</f>
        <v>N/A</v>
      </c>
      <c r="Z16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6" s="1" t="str">
        <f>IF(Table1[[#This Row],[Spec Type]]="","N/A",Table1[[#This Row],[Spec Type]])</f>
        <v>±</v>
      </c>
      <c r="AC1656" s="1" t="str">
        <f>IF(Table1[[#This Row],[Spec Type2]]="N/A","N/A",IF(AND(Table1[[#This Row],[DUT Adj Read]]&gt;=Table1[[#This Row],[Low Tol]],Table1[[#This Row],[DUT Adj Read]]&lt;=Table1[[#This Row],[High Tol]]),"Pass","Fail"))</f>
        <v>Fail</v>
      </c>
      <c r="AD1656" s="1" t="str">
        <f>IF(AND(Table1[[#This Row],[Spec Type2]]="N/A",Table1[[#This Row],[DUT Adj Read]]="N/A",Table1[[#This Row],[Std Adj Read]]="N/A"),"N/A",IF(Table1[[#This Row],[DUT Adj Read]]="N/A",IF(Table1[[#This Row],[Std Adj Read]]&gt;Table1[[#This Row],[Low Tol]],"Pass","Fail"),IF(Table1[[#This Row],[DUT Adj Read]]&gt;Table1[[#This Row],[Low Tol]],"Pass","Fail")))</f>
        <v>Pass</v>
      </c>
      <c r="AE1656" s="1" t="str">
        <f>IF(AND(Table1[[#This Row],[Spec Type2]]="N/A",Table1[[#This Row],[DUT Adj Read]]="N/A",Table1[[#This Row],[Std Adj Read]]="N/A"),"N/A",IF(Table1[[#This Row],[DUT Adj Read]]="N/A",IF(Table1[[#This Row],[Std Adj Read]]&lt;Table1[[#This Row],[High Tol]],"Pass","Fail"),IF(Table1[[#This Row],[DUT Adj Read]]&lt;Table1[[#This Row],[High Tol]],"Pass","Fail")))</f>
        <v>Fail</v>
      </c>
      <c r="AF1656" s="1" t="str">
        <f>IF(AND(Table1[[#This Row],[Spec Type2]]="N/A",Table1[[#This Row],[DUT Adj Read]]="N/A",Table1[[#This Row],[Std Adj Read]]="N/A"),"N/A",IF(Table1[[#This Row],[DUT Adj Read]]="N/A",IF(Table1[[#This Row],[Std Adj Read]]&gt;=Table1[[#This Row],[Low Tol]],"Pass","Fail"),IF(Table1[[#This Row],[DUT Adj Read]]&gt;=Table1[[#This Row],[Low Tol]],"Pass","Fail")))</f>
        <v>Pass</v>
      </c>
      <c r="AG1656" s="1" t="str">
        <f>IF(AND(Table1[[#This Row],[Spec Type2]]="N/A",Table1[[#This Row],[DUT Adj Read]]="N/A",Table1[[#This Row],[Std Adj Read]]="N/A"),"N/A",IF(Table1[[#This Row],[DUT Adj Read]]="N/A",IF(Table1[[#This Row],[Std Adj Read]]&lt;=Table1[[#This Row],[High Tol]],"Pass","Fail"),IF(Table1[[#This Row],[DUT Adj Read]]&lt;=Table1[[#This Row],[High Tol]],"Pass","Fail")))</f>
        <v>Fail</v>
      </c>
      <c r="AH16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6" s="1" t="b">
        <v>0</v>
      </c>
      <c r="AN1656" s="1" t="b">
        <v>0</v>
      </c>
      <c r="AO1656" s="1" t="b">
        <v>0</v>
      </c>
    </row>
    <row r="1657" spans="1:41" x14ac:dyDescent="0.25">
      <c r="A1657" s="10"/>
      <c r="B1657" s="10"/>
      <c r="C1657" s="10"/>
      <c r="D1657" s="10"/>
      <c r="E1657" s="10"/>
      <c r="F1657" s="10"/>
      <c r="G1657" s="10"/>
      <c r="H1657" s="10"/>
      <c r="I1657" s="1" t="str">
        <f t="shared" si="75"/>
        <v/>
      </c>
      <c r="J1657" s="1" t="s">
        <v>35</v>
      </c>
      <c r="K1657" s="1" t="str">
        <f t="shared" si="76"/>
        <v/>
      </c>
      <c r="L1657" s="1" t="str">
        <f t="shared" si="77"/>
        <v/>
      </c>
      <c r="M1657" s="1">
        <f>IF(OR(Table1[[#This Row],[Std Nom]]="",Table1[[#This Row],[Std Read]]=""),0,Table1[[#This Row],[Std Nom]]-Table1[[#This Row],[Std Read]])</f>
        <v>0</v>
      </c>
      <c r="N1657" s="1">
        <f>IF(Calculations!$F$5="ACCREDITED 17025 WITH UNCERTAINTIES",$N$10,0)</f>
        <v>0</v>
      </c>
      <c r="O1657" s="1" t="str">
        <f>IFERROR(Table1[[#This Row],[Std Nom]]-(_xlfn.XLOOKUP(Table1[[#This Row],[Manufacturer]]&amp;" "&amp;Table1[[#This Row],[Model]],Table13[MFR &amp; MDL],Table13[Tolerance % CW ],"")/100*Table1[[#This Row],[Std Nom]]),"")</f>
        <v/>
      </c>
      <c r="P1657" s="1" t="str">
        <f>IFERROR(Table1[[#This Row],[Std Nom]]+(_xlfn.XLOOKUP(Table1[[#This Row],[Manufacturer]]&amp;" "&amp;Table1[[#This Row],[Model]],Table13[MFR &amp; MDL],Table13[Tolerance % CW ],"")/100*Table1[[#This Row],[Std Nom]]),"")</f>
        <v/>
      </c>
      <c r="Q1657" s="1" t="e">
        <f>Table1[[#This Row],[High Tol]]-Table1[[#This Row],[Low Tol]]</f>
        <v>#VALUE!</v>
      </c>
      <c r="R1657" s="1">
        <f>2*Table1[[#This Row],[Std Error]]</f>
        <v>0</v>
      </c>
      <c r="S1657" s="1" t="str">
        <f>IF(Table1[[#This Row],[High Tol]]="","N/A",IFERROR(ABS(Table1[[#This Row],[Tol Span]]/Table1[[#This Row],[Error Span]]),"N/A"))</f>
        <v>N/A</v>
      </c>
      <c r="T1657" s="1" t="str">
        <f>IF(OR(Table1[[#This Row],[Low Tol]]="",Table1[[#This Row],[High Tol]]=""),"Needs Analysis",IF(Table1[[#This Row],[Ratio]]&gt;=4,"Not Significant",IF(Table1[[#This Row],[Ratio]]&gt;=2,"Semi-Significant","Significant")))</f>
        <v>Needs Analysis</v>
      </c>
      <c r="W1657" s="1">
        <f>IF(Table1[[#This Row],[Cal Type]]&lt;&gt;"ACCREDITED 17025 WITH UNCERTAINTIES",0,"")</f>
        <v>0</v>
      </c>
      <c r="X1657" s="1" t="str">
        <f>IF(Table1[[#This Row],[DUT Read]]="","N/A",Table1[[#This Row],[Std Error]]+Table1[[#This Row],[DUT Read]]+Table1[[#This Row],[DUT Ucty]])</f>
        <v>N/A</v>
      </c>
      <c r="Y1657" s="1" t="str">
        <f>IF(Table1[[#This Row],[Std Read]]="","N/A",Table1[[#This Row],[Std Read]]+Table1[[#This Row],[Std Ucty]])</f>
        <v>N/A</v>
      </c>
      <c r="Z16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7" s="1" t="str">
        <f>IF(Table1[[#This Row],[Spec Type]]="","N/A",Table1[[#This Row],[Spec Type]])</f>
        <v>±</v>
      </c>
      <c r="AC1657" s="1" t="str">
        <f>IF(Table1[[#This Row],[Spec Type2]]="N/A","N/A",IF(AND(Table1[[#This Row],[DUT Adj Read]]&gt;=Table1[[#This Row],[Low Tol]],Table1[[#This Row],[DUT Adj Read]]&lt;=Table1[[#This Row],[High Tol]]),"Pass","Fail"))</f>
        <v>Fail</v>
      </c>
      <c r="AD1657" s="1" t="str">
        <f>IF(AND(Table1[[#This Row],[Spec Type2]]="N/A",Table1[[#This Row],[DUT Adj Read]]="N/A",Table1[[#This Row],[Std Adj Read]]="N/A"),"N/A",IF(Table1[[#This Row],[DUT Adj Read]]="N/A",IF(Table1[[#This Row],[Std Adj Read]]&gt;Table1[[#This Row],[Low Tol]],"Pass","Fail"),IF(Table1[[#This Row],[DUT Adj Read]]&gt;Table1[[#This Row],[Low Tol]],"Pass","Fail")))</f>
        <v>Pass</v>
      </c>
      <c r="AE1657" s="1" t="str">
        <f>IF(AND(Table1[[#This Row],[Spec Type2]]="N/A",Table1[[#This Row],[DUT Adj Read]]="N/A",Table1[[#This Row],[Std Adj Read]]="N/A"),"N/A",IF(Table1[[#This Row],[DUT Adj Read]]="N/A",IF(Table1[[#This Row],[Std Adj Read]]&lt;Table1[[#This Row],[High Tol]],"Pass","Fail"),IF(Table1[[#This Row],[DUT Adj Read]]&lt;Table1[[#This Row],[High Tol]],"Pass","Fail")))</f>
        <v>Fail</v>
      </c>
      <c r="AF1657" s="1" t="str">
        <f>IF(AND(Table1[[#This Row],[Spec Type2]]="N/A",Table1[[#This Row],[DUT Adj Read]]="N/A",Table1[[#This Row],[Std Adj Read]]="N/A"),"N/A",IF(Table1[[#This Row],[DUT Adj Read]]="N/A",IF(Table1[[#This Row],[Std Adj Read]]&gt;=Table1[[#This Row],[Low Tol]],"Pass","Fail"),IF(Table1[[#This Row],[DUT Adj Read]]&gt;=Table1[[#This Row],[Low Tol]],"Pass","Fail")))</f>
        <v>Pass</v>
      </c>
      <c r="AG1657" s="1" t="str">
        <f>IF(AND(Table1[[#This Row],[Spec Type2]]="N/A",Table1[[#This Row],[DUT Adj Read]]="N/A",Table1[[#This Row],[Std Adj Read]]="N/A"),"N/A",IF(Table1[[#This Row],[DUT Adj Read]]="N/A",IF(Table1[[#This Row],[Std Adj Read]]&lt;=Table1[[#This Row],[High Tol]],"Pass","Fail"),IF(Table1[[#This Row],[DUT Adj Read]]&lt;=Table1[[#This Row],[High Tol]],"Pass","Fail")))</f>
        <v>Fail</v>
      </c>
      <c r="AH16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7" s="1" t="b">
        <v>0</v>
      </c>
      <c r="AN1657" s="1" t="b">
        <v>0</v>
      </c>
      <c r="AO1657" s="1" t="b">
        <v>0</v>
      </c>
    </row>
    <row r="1658" spans="1:41" x14ac:dyDescent="0.25">
      <c r="A1658" s="10"/>
      <c r="B1658" s="10"/>
      <c r="C1658" s="10"/>
      <c r="D1658" s="10"/>
      <c r="E1658" s="10"/>
      <c r="F1658" s="10"/>
      <c r="G1658" s="10"/>
      <c r="H1658" s="10"/>
      <c r="I1658" s="1" t="str">
        <f t="shared" si="75"/>
        <v/>
      </c>
      <c r="J1658" s="1" t="s">
        <v>35</v>
      </c>
      <c r="K1658" s="1" t="str">
        <f t="shared" si="76"/>
        <v/>
      </c>
      <c r="L1658" s="1" t="str">
        <f t="shared" si="77"/>
        <v/>
      </c>
      <c r="M1658" s="1">
        <f>IF(OR(Table1[[#This Row],[Std Nom]]="",Table1[[#This Row],[Std Read]]=""),0,Table1[[#This Row],[Std Nom]]-Table1[[#This Row],[Std Read]])</f>
        <v>0</v>
      </c>
      <c r="N1658" s="1">
        <f>IF(Calculations!$F$5="ACCREDITED 17025 WITH UNCERTAINTIES",$N$10,0)</f>
        <v>0</v>
      </c>
      <c r="O1658" s="1" t="str">
        <f>IFERROR(Table1[[#This Row],[Std Nom]]-(_xlfn.XLOOKUP(Table1[[#This Row],[Manufacturer]]&amp;" "&amp;Table1[[#This Row],[Model]],Table13[MFR &amp; MDL],Table13[Tolerance % CW ],"")/100*Table1[[#This Row],[Std Nom]]),"")</f>
        <v/>
      </c>
      <c r="P1658" s="1" t="str">
        <f>IFERROR(Table1[[#This Row],[Std Nom]]+(_xlfn.XLOOKUP(Table1[[#This Row],[Manufacturer]]&amp;" "&amp;Table1[[#This Row],[Model]],Table13[MFR &amp; MDL],Table13[Tolerance % CW ],"")/100*Table1[[#This Row],[Std Nom]]),"")</f>
        <v/>
      </c>
      <c r="Q1658" s="1" t="e">
        <f>Table1[[#This Row],[High Tol]]-Table1[[#This Row],[Low Tol]]</f>
        <v>#VALUE!</v>
      </c>
      <c r="R1658" s="1">
        <f>2*Table1[[#This Row],[Std Error]]</f>
        <v>0</v>
      </c>
      <c r="S1658" s="1" t="str">
        <f>IF(Table1[[#This Row],[High Tol]]="","N/A",IFERROR(ABS(Table1[[#This Row],[Tol Span]]/Table1[[#This Row],[Error Span]]),"N/A"))</f>
        <v>N/A</v>
      </c>
      <c r="T1658" s="1" t="str">
        <f>IF(OR(Table1[[#This Row],[Low Tol]]="",Table1[[#This Row],[High Tol]]=""),"Needs Analysis",IF(Table1[[#This Row],[Ratio]]&gt;=4,"Not Significant",IF(Table1[[#This Row],[Ratio]]&gt;=2,"Semi-Significant","Significant")))</f>
        <v>Needs Analysis</v>
      </c>
      <c r="W1658" s="1">
        <f>IF(Table1[[#This Row],[Cal Type]]&lt;&gt;"ACCREDITED 17025 WITH UNCERTAINTIES",0,"")</f>
        <v>0</v>
      </c>
      <c r="X1658" s="1" t="str">
        <f>IF(Table1[[#This Row],[DUT Read]]="","N/A",Table1[[#This Row],[Std Error]]+Table1[[#This Row],[DUT Read]]+Table1[[#This Row],[DUT Ucty]])</f>
        <v>N/A</v>
      </c>
      <c r="Y1658" s="1" t="str">
        <f>IF(Table1[[#This Row],[Std Read]]="","N/A",Table1[[#This Row],[Std Read]]+Table1[[#This Row],[Std Ucty]])</f>
        <v>N/A</v>
      </c>
      <c r="Z16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8" s="1" t="str">
        <f>IF(Table1[[#This Row],[Spec Type]]="","N/A",Table1[[#This Row],[Spec Type]])</f>
        <v>±</v>
      </c>
      <c r="AC1658" s="1" t="str">
        <f>IF(Table1[[#This Row],[Spec Type2]]="N/A","N/A",IF(AND(Table1[[#This Row],[DUT Adj Read]]&gt;=Table1[[#This Row],[Low Tol]],Table1[[#This Row],[DUT Adj Read]]&lt;=Table1[[#This Row],[High Tol]]),"Pass","Fail"))</f>
        <v>Fail</v>
      </c>
      <c r="AD1658" s="1" t="str">
        <f>IF(AND(Table1[[#This Row],[Spec Type2]]="N/A",Table1[[#This Row],[DUT Adj Read]]="N/A",Table1[[#This Row],[Std Adj Read]]="N/A"),"N/A",IF(Table1[[#This Row],[DUT Adj Read]]="N/A",IF(Table1[[#This Row],[Std Adj Read]]&gt;Table1[[#This Row],[Low Tol]],"Pass","Fail"),IF(Table1[[#This Row],[DUT Adj Read]]&gt;Table1[[#This Row],[Low Tol]],"Pass","Fail")))</f>
        <v>Pass</v>
      </c>
      <c r="AE1658" s="1" t="str">
        <f>IF(AND(Table1[[#This Row],[Spec Type2]]="N/A",Table1[[#This Row],[DUT Adj Read]]="N/A",Table1[[#This Row],[Std Adj Read]]="N/A"),"N/A",IF(Table1[[#This Row],[DUT Adj Read]]="N/A",IF(Table1[[#This Row],[Std Adj Read]]&lt;Table1[[#This Row],[High Tol]],"Pass","Fail"),IF(Table1[[#This Row],[DUT Adj Read]]&lt;Table1[[#This Row],[High Tol]],"Pass","Fail")))</f>
        <v>Fail</v>
      </c>
      <c r="AF1658" s="1" t="str">
        <f>IF(AND(Table1[[#This Row],[Spec Type2]]="N/A",Table1[[#This Row],[DUT Adj Read]]="N/A",Table1[[#This Row],[Std Adj Read]]="N/A"),"N/A",IF(Table1[[#This Row],[DUT Adj Read]]="N/A",IF(Table1[[#This Row],[Std Adj Read]]&gt;=Table1[[#This Row],[Low Tol]],"Pass","Fail"),IF(Table1[[#This Row],[DUT Adj Read]]&gt;=Table1[[#This Row],[Low Tol]],"Pass","Fail")))</f>
        <v>Pass</v>
      </c>
      <c r="AG1658" s="1" t="str">
        <f>IF(AND(Table1[[#This Row],[Spec Type2]]="N/A",Table1[[#This Row],[DUT Adj Read]]="N/A",Table1[[#This Row],[Std Adj Read]]="N/A"),"N/A",IF(Table1[[#This Row],[DUT Adj Read]]="N/A",IF(Table1[[#This Row],[Std Adj Read]]&lt;=Table1[[#This Row],[High Tol]],"Pass","Fail"),IF(Table1[[#This Row],[DUT Adj Read]]&lt;=Table1[[#This Row],[High Tol]],"Pass","Fail")))</f>
        <v>Fail</v>
      </c>
      <c r="AH16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8" s="1" t="b">
        <v>0</v>
      </c>
      <c r="AN1658" s="1" t="b">
        <v>0</v>
      </c>
      <c r="AO1658" s="1" t="b">
        <v>0</v>
      </c>
    </row>
    <row r="1659" spans="1:41" x14ac:dyDescent="0.25">
      <c r="A1659" s="10"/>
      <c r="B1659" s="10"/>
      <c r="C1659" s="10"/>
      <c r="D1659" s="10"/>
      <c r="E1659" s="10"/>
      <c r="F1659" s="10"/>
      <c r="G1659" s="10"/>
      <c r="H1659" s="10"/>
      <c r="I1659" s="1" t="str">
        <f t="shared" si="75"/>
        <v/>
      </c>
      <c r="J1659" s="1" t="s">
        <v>35</v>
      </c>
      <c r="K1659" s="1" t="str">
        <f t="shared" si="76"/>
        <v/>
      </c>
      <c r="L1659" s="1" t="str">
        <f t="shared" si="77"/>
        <v/>
      </c>
      <c r="M1659" s="1">
        <f>IF(OR(Table1[[#This Row],[Std Nom]]="",Table1[[#This Row],[Std Read]]=""),0,Table1[[#This Row],[Std Nom]]-Table1[[#This Row],[Std Read]])</f>
        <v>0</v>
      </c>
      <c r="N1659" s="1">
        <f>IF(Calculations!$F$5="ACCREDITED 17025 WITH UNCERTAINTIES",$N$10,0)</f>
        <v>0</v>
      </c>
      <c r="O1659" s="1" t="str">
        <f>IFERROR(Table1[[#This Row],[Std Nom]]-(_xlfn.XLOOKUP(Table1[[#This Row],[Manufacturer]]&amp;" "&amp;Table1[[#This Row],[Model]],Table13[MFR &amp; MDL],Table13[Tolerance % CW ],"")/100*Table1[[#This Row],[Std Nom]]),"")</f>
        <v/>
      </c>
      <c r="P1659" s="1" t="str">
        <f>IFERROR(Table1[[#This Row],[Std Nom]]+(_xlfn.XLOOKUP(Table1[[#This Row],[Manufacturer]]&amp;" "&amp;Table1[[#This Row],[Model]],Table13[MFR &amp; MDL],Table13[Tolerance % CW ],"")/100*Table1[[#This Row],[Std Nom]]),"")</f>
        <v/>
      </c>
      <c r="Q1659" s="1" t="e">
        <f>Table1[[#This Row],[High Tol]]-Table1[[#This Row],[Low Tol]]</f>
        <v>#VALUE!</v>
      </c>
      <c r="R1659" s="1">
        <f>2*Table1[[#This Row],[Std Error]]</f>
        <v>0</v>
      </c>
      <c r="S1659" s="1" t="str">
        <f>IF(Table1[[#This Row],[High Tol]]="","N/A",IFERROR(ABS(Table1[[#This Row],[Tol Span]]/Table1[[#This Row],[Error Span]]),"N/A"))</f>
        <v>N/A</v>
      </c>
      <c r="T1659" s="1" t="str">
        <f>IF(OR(Table1[[#This Row],[Low Tol]]="",Table1[[#This Row],[High Tol]]=""),"Needs Analysis",IF(Table1[[#This Row],[Ratio]]&gt;=4,"Not Significant",IF(Table1[[#This Row],[Ratio]]&gt;=2,"Semi-Significant","Significant")))</f>
        <v>Needs Analysis</v>
      </c>
      <c r="W1659" s="1">
        <f>IF(Table1[[#This Row],[Cal Type]]&lt;&gt;"ACCREDITED 17025 WITH UNCERTAINTIES",0,"")</f>
        <v>0</v>
      </c>
      <c r="X1659" s="1" t="str">
        <f>IF(Table1[[#This Row],[DUT Read]]="","N/A",Table1[[#This Row],[Std Error]]+Table1[[#This Row],[DUT Read]]+Table1[[#This Row],[DUT Ucty]])</f>
        <v>N/A</v>
      </c>
      <c r="Y1659" s="1" t="str">
        <f>IF(Table1[[#This Row],[Std Read]]="","N/A",Table1[[#This Row],[Std Read]]+Table1[[#This Row],[Std Ucty]])</f>
        <v>N/A</v>
      </c>
      <c r="Z16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9" s="1" t="str">
        <f>IF(Table1[[#This Row],[Spec Type]]="","N/A",Table1[[#This Row],[Spec Type]])</f>
        <v>±</v>
      </c>
      <c r="AC1659" s="1" t="str">
        <f>IF(Table1[[#This Row],[Spec Type2]]="N/A","N/A",IF(AND(Table1[[#This Row],[DUT Adj Read]]&gt;=Table1[[#This Row],[Low Tol]],Table1[[#This Row],[DUT Adj Read]]&lt;=Table1[[#This Row],[High Tol]]),"Pass","Fail"))</f>
        <v>Fail</v>
      </c>
      <c r="AD1659" s="1" t="str">
        <f>IF(AND(Table1[[#This Row],[Spec Type2]]="N/A",Table1[[#This Row],[DUT Adj Read]]="N/A",Table1[[#This Row],[Std Adj Read]]="N/A"),"N/A",IF(Table1[[#This Row],[DUT Adj Read]]="N/A",IF(Table1[[#This Row],[Std Adj Read]]&gt;Table1[[#This Row],[Low Tol]],"Pass","Fail"),IF(Table1[[#This Row],[DUT Adj Read]]&gt;Table1[[#This Row],[Low Tol]],"Pass","Fail")))</f>
        <v>Pass</v>
      </c>
      <c r="AE1659" s="1" t="str">
        <f>IF(AND(Table1[[#This Row],[Spec Type2]]="N/A",Table1[[#This Row],[DUT Adj Read]]="N/A",Table1[[#This Row],[Std Adj Read]]="N/A"),"N/A",IF(Table1[[#This Row],[DUT Adj Read]]="N/A",IF(Table1[[#This Row],[Std Adj Read]]&lt;Table1[[#This Row],[High Tol]],"Pass","Fail"),IF(Table1[[#This Row],[DUT Adj Read]]&lt;Table1[[#This Row],[High Tol]],"Pass","Fail")))</f>
        <v>Fail</v>
      </c>
      <c r="AF1659" s="1" t="str">
        <f>IF(AND(Table1[[#This Row],[Spec Type2]]="N/A",Table1[[#This Row],[DUT Adj Read]]="N/A",Table1[[#This Row],[Std Adj Read]]="N/A"),"N/A",IF(Table1[[#This Row],[DUT Adj Read]]="N/A",IF(Table1[[#This Row],[Std Adj Read]]&gt;=Table1[[#This Row],[Low Tol]],"Pass","Fail"),IF(Table1[[#This Row],[DUT Adj Read]]&gt;=Table1[[#This Row],[Low Tol]],"Pass","Fail")))</f>
        <v>Pass</v>
      </c>
      <c r="AG1659" s="1" t="str">
        <f>IF(AND(Table1[[#This Row],[Spec Type2]]="N/A",Table1[[#This Row],[DUT Adj Read]]="N/A",Table1[[#This Row],[Std Adj Read]]="N/A"),"N/A",IF(Table1[[#This Row],[DUT Adj Read]]="N/A",IF(Table1[[#This Row],[Std Adj Read]]&lt;=Table1[[#This Row],[High Tol]],"Pass","Fail"),IF(Table1[[#This Row],[DUT Adj Read]]&lt;=Table1[[#This Row],[High Tol]],"Pass","Fail")))</f>
        <v>Fail</v>
      </c>
      <c r="AH16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9" s="1" t="b">
        <v>0</v>
      </c>
      <c r="AN1659" s="1" t="b">
        <v>0</v>
      </c>
      <c r="AO1659" s="1" t="b">
        <v>0</v>
      </c>
    </row>
    <row r="1660" spans="1:41" x14ac:dyDescent="0.25">
      <c r="A1660" s="10"/>
      <c r="B1660" s="10"/>
      <c r="C1660" s="10"/>
      <c r="D1660" s="10"/>
      <c r="E1660" s="10"/>
      <c r="F1660" s="10"/>
      <c r="G1660" s="10"/>
      <c r="H1660" s="10"/>
      <c r="I1660" s="1" t="str">
        <f t="shared" si="75"/>
        <v/>
      </c>
      <c r="J1660" s="1" t="s">
        <v>35</v>
      </c>
      <c r="K1660" s="1" t="str">
        <f t="shared" si="76"/>
        <v/>
      </c>
      <c r="L1660" s="1" t="str">
        <f t="shared" si="77"/>
        <v/>
      </c>
      <c r="M1660" s="1">
        <f>IF(OR(Table1[[#This Row],[Std Nom]]="",Table1[[#This Row],[Std Read]]=""),0,Table1[[#This Row],[Std Nom]]-Table1[[#This Row],[Std Read]])</f>
        <v>0</v>
      </c>
      <c r="N1660" s="1">
        <f>IF(Calculations!$F$5="ACCREDITED 17025 WITH UNCERTAINTIES",$N$10,0)</f>
        <v>0</v>
      </c>
      <c r="O1660" s="1" t="str">
        <f>IFERROR(Table1[[#This Row],[Std Nom]]-(_xlfn.XLOOKUP(Table1[[#This Row],[Manufacturer]]&amp;" "&amp;Table1[[#This Row],[Model]],Table13[MFR &amp; MDL],Table13[Tolerance % CW ],"")/100*Table1[[#This Row],[Std Nom]]),"")</f>
        <v/>
      </c>
      <c r="P1660" s="1" t="str">
        <f>IFERROR(Table1[[#This Row],[Std Nom]]+(_xlfn.XLOOKUP(Table1[[#This Row],[Manufacturer]]&amp;" "&amp;Table1[[#This Row],[Model]],Table13[MFR &amp; MDL],Table13[Tolerance % CW ],"")/100*Table1[[#This Row],[Std Nom]]),"")</f>
        <v/>
      </c>
      <c r="Q1660" s="1" t="e">
        <f>Table1[[#This Row],[High Tol]]-Table1[[#This Row],[Low Tol]]</f>
        <v>#VALUE!</v>
      </c>
      <c r="R1660" s="1">
        <f>2*Table1[[#This Row],[Std Error]]</f>
        <v>0</v>
      </c>
      <c r="S1660" s="1" t="str">
        <f>IF(Table1[[#This Row],[High Tol]]="","N/A",IFERROR(ABS(Table1[[#This Row],[Tol Span]]/Table1[[#This Row],[Error Span]]),"N/A"))</f>
        <v>N/A</v>
      </c>
      <c r="T1660" s="1" t="str">
        <f>IF(OR(Table1[[#This Row],[Low Tol]]="",Table1[[#This Row],[High Tol]]=""),"Needs Analysis",IF(Table1[[#This Row],[Ratio]]&gt;=4,"Not Significant",IF(Table1[[#This Row],[Ratio]]&gt;=2,"Semi-Significant","Significant")))</f>
        <v>Needs Analysis</v>
      </c>
      <c r="W1660" s="1">
        <f>IF(Table1[[#This Row],[Cal Type]]&lt;&gt;"ACCREDITED 17025 WITH UNCERTAINTIES",0,"")</f>
        <v>0</v>
      </c>
      <c r="X1660" s="1" t="str">
        <f>IF(Table1[[#This Row],[DUT Read]]="","N/A",Table1[[#This Row],[Std Error]]+Table1[[#This Row],[DUT Read]]+Table1[[#This Row],[DUT Ucty]])</f>
        <v>N/A</v>
      </c>
      <c r="Y1660" s="1" t="str">
        <f>IF(Table1[[#This Row],[Std Read]]="","N/A",Table1[[#This Row],[Std Read]]+Table1[[#This Row],[Std Ucty]])</f>
        <v>N/A</v>
      </c>
      <c r="Z16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0" s="1" t="str">
        <f>IF(Table1[[#This Row],[Spec Type]]="","N/A",Table1[[#This Row],[Spec Type]])</f>
        <v>±</v>
      </c>
      <c r="AC1660" s="1" t="str">
        <f>IF(Table1[[#This Row],[Spec Type2]]="N/A","N/A",IF(AND(Table1[[#This Row],[DUT Adj Read]]&gt;=Table1[[#This Row],[Low Tol]],Table1[[#This Row],[DUT Adj Read]]&lt;=Table1[[#This Row],[High Tol]]),"Pass","Fail"))</f>
        <v>Fail</v>
      </c>
      <c r="AD1660" s="1" t="str">
        <f>IF(AND(Table1[[#This Row],[Spec Type2]]="N/A",Table1[[#This Row],[DUT Adj Read]]="N/A",Table1[[#This Row],[Std Adj Read]]="N/A"),"N/A",IF(Table1[[#This Row],[DUT Adj Read]]="N/A",IF(Table1[[#This Row],[Std Adj Read]]&gt;Table1[[#This Row],[Low Tol]],"Pass","Fail"),IF(Table1[[#This Row],[DUT Adj Read]]&gt;Table1[[#This Row],[Low Tol]],"Pass","Fail")))</f>
        <v>Pass</v>
      </c>
      <c r="AE1660" s="1" t="str">
        <f>IF(AND(Table1[[#This Row],[Spec Type2]]="N/A",Table1[[#This Row],[DUT Adj Read]]="N/A",Table1[[#This Row],[Std Adj Read]]="N/A"),"N/A",IF(Table1[[#This Row],[DUT Adj Read]]="N/A",IF(Table1[[#This Row],[Std Adj Read]]&lt;Table1[[#This Row],[High Tol]],"Pass","Fail"),IF(Table1[[#This Row],[DUT Adj Read]]&lt;Table1[[#This Row],[High Tol]],"Pass","Fail")))</f>
        <v>Fail</v>
      </c>
      <c r="AF1660" s="1" t="str">
        <f>IF(AND(Table1[[#This Row],[Spec Type2]]="N/A",Table1[[#This Row],[DUT Adj Read]]="N/A",Table1[[#This Row],[Std Adj Read]]="N/A"),"N/A",IF(Table1[[#This Row],[DUT Adj Read]]="N/A",IF(Table1[[#This Row],[Std Adj Read]]&gt;=Table1[[#This Row],[Low Tol]],"Pass","Fail"),IF(Table1[[#This Row],[DUT Adj Read]]&gt;=Table1[[#This Row],[Low Tol]],"Pass","Fail")))</f>
        <v>Pass</v>
      </c>
      <c r="AG1660" s="1" t="str">
        <f>IF(AND(Table1[[#This Row],[Spec Type2]]="N/A",Table1[[#This Row],[DUT Adj Read]]="N/A",Table1[[#This Row],[Std Adj Read]]="N/A"),"N/A",IF(Table1[[#This Row],[DUT Adj Read]]="N/A",IF(Table1[[#This Row],[Std Adj Read]]&lt;=Table1[[#This Row],[High Tol]],"Pass","Fail"),IF(Table1[[#This Row],[DUT Adj Read]]&lt;=Table1[[#This Row],[High Tol]],"Pass","Fail")))</f>
        <v>Fail</v>
      </c>
      <c r="AH16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0" s="1" t="b">
        <v>0</v>
      </c>
      <c r="AN1660" s="1" t="b">
        <v>0</v>
      </c>
      <c r="AO1660" s="1" t="b">
        <v>0</v>
      </c>
    </row>
    <row r="1661" spans="1:41" x14ac:dyDescent="0.25">
      <c r="A1661" s="10"/>
      <c r="B1661" s="10"/>
      <c r="C1661" s="10"/>
      <c r="D1661" s="10"/>
      <c r="E1661" s="10"/>
      <c r="F1661" s="10"/>
      <c r="G1661" s="10"/>
      <c r="H1661" s="10"/>
      <c r="I1661" s="1" t="str">
        <f t="shared" si="75"/>
        <v/>
      </c>
      <c r="J1661" s="1" t="s">
        <v>35</v>
      </c>
      <c r="K1661" s="1" t="str">
        <f t="shared" si="76"/>
        <v/>
      </c>
      <c r="L1661" s="1" t="str">
        <f t="shared" si="77"/>
        <v/>
      </c>
      <c r="M1661" s="1">
        <f>IF(OR(Table1[[#This Row],[Std Nom]]="",Table1[[#This Row],[Std Read]]=""),0,Table1[[#This Row],[Std Nom]]-Table1[[#This Row],[Std Read]])</f>
        <v>0</v>
      </c>
      <c r="N1661" s="1">
        <f>IF(Calculations!$F$5="ACCREDITED 17025 WITH UNCERTAINTIES",$N$10,0)</f>
        <v>0</v>
      </c>
      <c r="O1661" s="1" t="str">
        <f>IFERROR(Table1[[#This Row],[Std Nom]]-(_xlfn.XLOOKUP(Table1[[#This Row],[Manufacturer]]&amp;" "&amp;Table1[[#This Row],[Model]],Table13[MFR &amp; MDL],Table13[Tolerance % CW ],"")/100*Table1[[#This Row],[Std Nom]]),"")</f>
        <v/>
      </c>
      <c r="P1661" s="1" t="str">
        <f>IFERROR(Table1[[#This Row],[Std Nom]]+(_xlfn.XLOOKUP(Table1[[#This Row],[Manufacturer]]&amp;" "&amp;Table1[[#This Row],[Model]],Table13[MFR &amp; MDL],Table13[Tolerance % CW ],"")/100*Table1[[#This Row],[Std Nom]]),"")</f>
        <v/>
      </c>
      <c r="Q1661" s="1" t="e">
        <f>Table1[[#This Row],[High Tol]]-Table1[[#This Row],[Low Tol]]</f>
        <v>#VALUE!</v>
      </c>
      <c r="R1661" s="1">
        <f>2*Table1[[#This Row],[Std Error]]</f>
        <v>0</v>
      </c>
      <c r="S1661" s="1" t="str">
        <f>IF(Table1[[#This Row],[High Tol]]="","N/A",IFERROR(ABS(Table1[[#This Row],[Tol Span]]/Table1[[#This Row],[Error Span]]),"N/A"))</f>
        <v>N/A</v>
      </c>
      <c r="T1661" s="1" t="str">
        <f>IF(OR(Table1[[#This Row],[Low Tol]]="",Table1[[#This Row],[High Tol]]=""),"Needs Analysis",IF(Table1[[#This Row],[Ratio]]&gt;=4,"Not Significant",IF(Table1[[#This Row],[Ratio]]&gt;=2,"Semi-Significant","Significant")))</f>
        <v>Needs Analysis</v>
      </c>
      <c r="W1661" s="1">
        <f>IF(Table1[[#This Row],[Cal Type]]&lt;&gt;"ACCREDITED 17025 WITH UNCERTAINTIES",0,"")</f>
        <v>0</v>
      </c>
      <c r="X1661" s="1" t="str">
        <f>IF(Table1[[#This Row],[DUT Read]]="","N/A",Table1[[#This Row],[Std Error]]+Table1[[#This Row],[DUT Read]]+Table1[[#This Row],[DUT Ucty]])</f>
        <v>N/A</v>
      </c>
      <c r="Y1661" s="1" t="str">
        <f>IF(Table1[[#This Row],[Std Read]]="","N/A",Table1[[#This Row],[Std Read]]+Table1[[#This Row],[Std Ucty]])</f>
        <v>N/A</v>
      </c>
      <c r="Z16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1" s="1" t="str">
        <f>IF(Table1[[#This Row],[Spec Type]]="","N/A",Table1[[#This Row],[Spec Type]])</f>
        <v>±</v>
      </c>
      <c r="AC1661" s="1" t="str">
        <f>IF(Table1[[#This Row],[Spec Type2]]="N/A","N/A",IF(AND(Table1[[#This Row],[DUT Adj Read]]&gt;=Table1[[#This Row],[Low Tol]],Table1[[#This Row],[DUT Adj Read]]&lt;=Table1[[#This Row],[High Tol]]),"Pass","Fail"))</f>
        <v>Fail</v>
      </c>
      <c r="AD1661" s="1" t="str">
        <f>IF(AND(Table1[[#This Row],[Spec Type2]]="N/A",Table1[[#This Row],[DUT Adj Read]]="N/A",Table1[[#This Row],[Std Adj Read]]="N/A"),"N/A",IF(Table1[[#This Row],[DUT Adj Read]]="N/A",IF(Table1[[#This Row],[Std Adj Read]]&gt;Table1[[#This Row],[Low Tol]],"Pass","Fail"),IF(Table1[[#This Row],[DUT Adj Read]]&gt;Table1[[#This Row],[Low Tol]],"Pass","Fail")))</f>
        <v>Pass</v>
      </c>
      <c r="AE1661" s="1" t="str">
        <f>IF(AND(Table1[[#This Row],[Spec Type2]]="N/A",Table1[[#This Row],[DUT Adj Read]]="N/A",Table1[[#This Row],[Std Adj Read]]="N/A"),"N/A",IF(Table1[[#This Row],[DUT Adj Read]]="N/A",IF(Table1[[#This Row],[Std Adj Read]]&lt;Table1[[#This Row],[High Tol]],"Pass","Fail"),IF(Table1[[#This Row],[DUT Adj Read]]&lt;Table1[[#This Row],[High Tol]],"Pass","Fail")))</f>
        <v>Fail</v>
      </c>
      <c r="AF1661" s="1" t="str">
        <f>IF(AND(Table1[[#This Row],[Spec Type2]]="N/A",Table1[[#This Row],[DUT Adj Read]]="N/A",Table1[[#This Row],[Std Adj Read]]="N/A"),"N/A",IF(Table1[[#This Row],[DUT Adj Read]]="N/A",IF(Table1[[#This Row],[Std Adj Read]]&gt;=Table1[[#This Row],[Low Tol]],"Pass","Fail"),IF(Table1[[#This Row],[DUT Adj Read]]&gt;=Table1[[#This Row],[Low Tol]],"Pass","Fail")))</f>
        <v>Pass</v>
      </c>
      <c r="AG1661" s="1" t="str">
        <f>IF(AND(Table1[[#This Row],[Spec Type2]]="N/A",Table1[[#This Row],[DUT Adj Read]]="N/A",Table1[[#This Row],[Std Adj Read]]="N/A"),"N/A",IF(Table1[[#This Row],[DUT Adj Read]]="N/A",IF(Table1[[#This Row],[Std Adj Read]]&lt;=Table1[[#This Row],[High Tol]],"Pass","Fail"),IF(Table1[[#This Row],[DUT Adj Read]]&lt;=Table1[[#This Row],[High Tol]],"Pass","Fail")))</f>
        <v>Fail</v>
      </c>
      <c r="AH16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1" s="1" t="b">
        <v>0</v>
      </c>
      <c r="AN1661" s="1" t="b">
        <v>0</v>
      </c>
      <c r="AO1661" s="1" t="b">
        <v>0</v>
      </c>
    </row>
    <row r="1662" spans="1:41" x14ac:dyDescent="0.25">
      <c r="A1662" s="10"/>
      <c r="B1662" s="10"/>
      <c r="C1662" s="10"/>
      <c r="D1662" s="10"/>
      <c r="E1662" s="10"/>
      <c r="F1662" s="10"/>
      <c r="G1662" s="10"/>
      <c r="H1662" s="10"/>
      <c r="I1662" s="1" t="str">
        <f t="shared" si="75"/>
        <v/>
      </c>
      <c r="J1662" s="1" t="s">
        <v>35</v>
      </c>
      <c r="K1662" s="1" t="str">
        <f t="shared" si="76"/>
        <v/>
      </c>
      <c r="L1662" s="1" t="str">
        <f t="shared" si="77"/>
        <v/>
      </c>
      <c r="M1662" s="1">
        <f>IF(OR(Table1[[#This Row],[Std Nom]]="",Table1[[#This Row],[Std Read]]=""),0,Table1[[#This Row],[Std Nom]]-Table1[[#This Row],[Std Read]])</f>
        <v>0</v>
      </c>
      <c r="N1662" s="1">
        <f>IF(Calculations!$F$5="ACCREDITED 17025 WITH UNCERTAINTIES",$N$10,0)</f>
        <v>0</v>
      </c>
      <c r="O1662" s="1" t="str">
        <f>IFERROR(Table1[[#This Row],[Std Nom]]-(_xlfn.XLOOKUP(Table1[[#This Row],[Manufacturer]]&amp;" "&amp;Table1[[#This Row],[Model]],Table13[MFR &amp; MDL],Table13[Tolerance % CW ],"")/100*Table1[[#This Row],[Std Nom]]),"")</f>
        <v/>
      </c>
      <c r="P1662" s="1" t="str">
        <f>IFERROR(Table1[[#This Row],[Std Nom]]+(_xlfn.XLOOKUP(Table1[[#This Row],[Manufacturer]]&amp;" "&amp;Table1[[#This Row],[Model]],Table13[MFR &amp; MDL],Table13[Tolerance % CW ],"")/100*Table1[[#This Row],[Std Nom]]),"")</f>
        <v/>
      </c>
      <c r="Q1662" s="1" t="e">
        <f>Table1[[#This Row],[High Tol]]-Table1[[#This Row],[Low Tol]]</f>
        <v>#VALUE!</v>
      </c>
      <c r="R1662" s="1">
        <f>2*Table1[[#This Row],[Std Error]]</f>
        <v>0</v>
      </c>
      <c r="S1662" s="1" t="str">
        <f>IF(Table1[[#This Row],[High Tol]]="","N/A",IFERROR(ABS(Table1[[#This Row],[Tol Span]]/Table1[[#This Row],[Error Span]]),"N/A"))</f>
        <v>N/A</v>
      </c>
      <c r="T1662" s="1" t="str">
        <f>IF(OR(Table1[[#This Row],[Low Tol]]="",Table1[[#This Row],[High Tol]]=""),"Needs Analysis",IF(Table1[[#This Row],[Ratio]]&gt;=4,"Not Significant",IF(Table1[[#This Row],[Ratio]]&gt;=2,"Semi-Significant","Significant")))</f>
        <v>Needs Analysis</v>
      </c>
      <c r="W1662" s="1">
        <f>IF(Table1[[#This Row],[Cal Type]]&lt;&gt;"ACCREDITED 17025 WITH UNCERTAINTIES",0,"")</f>
        <v>0</v>
      </c>
      <c r="X1662" s="1" t="str">
        <f>IF(Table1[[#This Row],[DUT Read]]="","N/A",Table1[[#This Row],[Std Error]]+Table1[[#This Row],[DUT Read]]+Table1[[#This Row],[DUT Ucty]])</f>
        <v>N/A</v>
      </c>
      <c r="Y1662" s="1" t="str">
        <f>IF(Table1[[#This Row],[Std Read]]="","N/A",Table1[[#This Row],[Std Read]]+Table1[[#This Row],[Std Ucty]])</f>
        <v>N/A</v>
      </c>
      <c r="Z16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2" s="1" t="str">
        <f>IF(Table1[[#This Row],[Spec Type]]="","N/A",Table1[[#This Row],[Spec Type]])</f>
        <v>±</v>
      </c>
      <c r="AC1662" s="1" t="str">
        <f>IF(Table1[[#This Row],[Spec Type2]]="N/A","N/A",IF(AND(Table1[[#This Row],[DUT Adj Read]]&gt;=Table1[[#This Row],[Low Tol]],Table1[[#This Row],[DUT Adj Read]]&lt;=Table1[[#This Row],[High Tol]]),"Pass","Fail"))</f>
        <v>Fail</v>
      </c>
      <c r="AD1662" s="1" t="str">
        <f>IF(AND(Table1[[#This Row],[Spec Type2]]="N/A",Table1[[#This Row],[DUT Adj Read]]="N/A",Table1[[#This Row],[Std Adj Read]]="N/A"),"N/A",IF(Table1[[#This Row],[DUT Adj Read]]="N/A",IF(Table1[[#This Row],[Std Adj Read]]&gt;Table1[[#This Row],[Low Tol]],"Pass","Fail"),IF(Table1[[#This Row],[DUT Adj Read]]&gt;Table1[[#This Row],[Low Tol]],"Pass","Fail")))</f>
        <v>Pass</v>
      </c>
      <c r="AE1662" s="1" t="str">
        <f>IF(AND(Table1[[#This Row],[Spec Type2]]="N/A",Table1[[#This Row],[DUT Adj Read]]="N/A",Table1[[#This Row],[Std Adj Read]]="N/A"),"N/A",IF(Table1[[#This Row],[DUT Adj Read]]="N/A",IF(Table1[[#This Row],[Std Adj Read]]&lt;Table1[[#This Row],[High Tol]],"Pass","Fail"),IF(Table1[[#This Row],[DUT Adj Read]]&lt;Table1[[#This Row],[High Tol]],"Pass","Fail")))</f>
        <v>Fail</v>
      </c>
      <c r="AF1662" s="1" t="str">
        <f>IF(AND(Table1[[#This Row],[Spec Type2]]="N/A",Table1[[#This Row],[DUT Adj Read]]="N/A",Table1[[#This Row],[Std Adj Read]]="N/A"),"N/A",IF(Table1[[#This Row],[DUT Adj Read]]="N/A",IF(Table1[[#This Row],[Std Adj Read]]&gt;=Table1[[#This Row],[Low Tol]],"Pass","Fail"),IF(Table1[[#This Row],[DUT Adj Read]]&gt;=Table1[[#This Row],[Low Tol]],"Pass","Fail")))</f>
        <v>Pass</v>
      </c>
      <c r="AG1662" s="1" t="str">
        <f>IF(AND(Table1[[#This Row],[Spec Type2]]="N/A",Table1[[#This Row],[DUT Adj Read]]="N/A",Table1[[#This Row],[Std Adj Read]]="N/A"),"N/A",IF(Table1[[#This Row],[DUT Adj Read]]="N/A",IF(Table1[[#This Row],[Std Adj Read]]&lt;=Table1[[#This Row],[High Tol]],"Pass","Fail"),IF(Table1[[#This Row],[DUT Adj Read]]&lt;=Table1[[#This Row],[High Tol]],"Pass","Fail")))</f>
        <v>Fail</v>
      </c>
      <c r="AH16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2" s="1" t="b">
        <v>0</v>
      </c>
      <c r="AN1662" s="1" t="b">
        <v>0</v>
      </c>
      <c r="AO1662" s="1" t="b">
        <v>0</v>
      </c>
    </row>
    <row r="1663" spans="1:41" x14ac:dyDescent="0.25">
      <c r="A1663" s="10"/>
      <c r="B1663" s="10"/>
      <c r="C1663" s="10"/>
      <c r="D1663" s="10"/>
      <c r="E1663" s="10"/>
      <c r="F1663" s="10"/>
      <c r="G1663" s="10"/>
      <c r="H1663" s="10"/>
      <c r="I1663" s="1" t="str">
        <f t="shared" si="75"/>
        <v/>
      </c>
      <c r="J1663" s="1" t="s">
        <v>35</v>
      </c>
      <c r="K1663" s="1" t="str">
        <f t="shared" si="76"/>
        <v/>
      </c>
      <c r="L1663" s="1" t="str">
        <f t="shared" si="77"/>
        <v/>
      </c>
      <c r="M1663" s="1">
        <f>IF(OR(Table1[[#This Row],[Std Nom]]="",Table1[[#This Row],[Std Read]]=""),0,Table1[[#This Row],[Std Nom]]-Table1[[#This Row],[Std Read]])</f>
        <v>0</v>
      </c>
      <c r="N1663" s="1">
        <f>IF(Calculations!$F$5="ACCREDITED 17025 WITH UNCERTAINTIES",$N$10,0)</f>
        <v>0</v>
      </c>
      <c r="O1663" s="1" t="str">
        <f>IFERROR(Table1[[#This Row],[Std Nom]]-(_xlfn.XLOOKUP(Table1[[#This Row],[Manufacturer]]&amp;" "&amp;Table1[[#This Row],[Model]],Table13[MFR &amp; MDL],Table13[Tolerance % CW ],"")/100*Table1[[#This Row],[Std Nom]]),"")</f>
        <v/>
      </c>
      <c r="P1663" s="1" t="str">
        <f>IFERROR(Table1[[#This Row],[Std Nom]]+(_xlfn.XLOOKUP(Table1[[#This Row],[Manufacturer]]&amp;" "&amp;Table1[[#This Row],[Model]],Table13[MFR &amp; MDL],Table13[Tolerance % CW ],"")/100*Table1[[#This Row],[Std Nom]]),"")</f>
        <v/>
      </c>
      <c r="Q1663" s="1" t="e">
        <f>Table1[[#This Row],[High Tol]]-Table1[[#This Row],[Low Tol]]</f>
        <v>#VALUE!</v>
      </c>
      <c r="R1663" s="1">
        <f>2*Table1[[#This Row],[Std Error]]</f>
        <v>0</v>
      </c>
      <c r="S1663" s="1" t="str">
        <f>IF(Table1[[#This Row],[High Tol]]="","N/A",IFERROR(ABS(Table1[[#This Row],[Tol Span]]/Table1[[#This Row],[Error Span]]),"N/A"))</f>
        <v>N/A</v>
      </c>
      <c r="T1663" s="1" t="str">
        <f>IF(OR(Table1[[#This Row],[Low Tol]]="",Table1[[#This Row],[High Tol]]=""),"Needs Analysis",IF(Table1[[#This Row],[Ratio]]&gt;=4,"Not Significant",IF(Table1[[#This Row],[Ratio]]&gt;=2,"Semi-Significant","Significant")))</f>
        <v>Needs Analysis</v>
      </c>
      <c r="W1663" s="1">
        <f>IF(Table1[[#This Row],[Cal Type]]&lt;&gt;"ACCREDITED 17025 WITH UNCERTAINTIES",0,"")</f>
        <v>0</v>
      </c>
      <c r="X1663" s="1" t="str">
        <f>IF(Table1[[#This Row],[DUT Read]]="","N/A",Table1[[#This Row],[Std Error]]+Table1[[#This Row],[DUT Read]]+Table1[[#This Row],[DUT Ucty]])</f>
        <v>N/A</v>
      </c>
      <c r="Y1663" s="1" t="str">
        <f>IF(Table1[[#This Row],[Std Read]]="","N/A",Table1[[#This Row],[Std Read]]+Table1[[#This Row],[Std Ucty]])</f>
        <v>N/A</v>
      </c>
      <c r="Z16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3" s="1" t="str">
        <f>IF(Table1[[#This Row],[Spec Type]]="","N/A",Table1[[#This Row],[Spec Type]])</f>
        <v>±</v>
      </c>
      <c r="AC1663" s="1" t="str">
        <f>IF(Table1[[#This Row],[Spec Type2]]="N/A","N/A",IF(AND(Table1[[#This Row],[DUT Adj Read]]&gt;=Table1[[#This Row],[Low Tol]],Table1[[#This Row],[DUT Adj Read]]&lt;=Table1[[#This Row],[High Tol]]),"Pass","Fail"))</f>
        <v>Fail</v>
      </c>
      <c r="AD1663" s="1" t="str">
        <f>IF(AND(Table1[[#This Row],[Spec Type2]]="N/A",Table1[[#This Row],[DUT Adj Read]]="N/A",Table1[[#This Row],[Std Adj Read]]="N/A"),"N/A",IF(Table1[[#This Row],[DUT Adj Read]]="N/A",IF(Table1[[#This Row],[Std Adj Read]]&gt;Table1[[#This Row],[Low Tol]],"Pass","Fail"),IF(Table1[[#This Row],[DUT Adj Read]]&gt;Table1[[#This Row],[Low Tol]],"Pass","Fail")))</f>
        <v>Pass</v>
      </c>
      <c r="AE1663" s="1" t="str">
        <f>IF(AND(Table1[[#This Row],[Spec Type2]]="N/A",Table1[[#This Row],[DUT Adj Read]]="N/A",Table1[[#This Row],[Std Adj Read]]="N/A"),"N/A",IF(Table1[[#This Row],[DUT Adj Read]]="N/A",IF(Table1[[#This Row],[Std Adj Read]]&lt;Table1[[#This Row],[High Tol]],"Pass","Fail"),IF(Table1[[#This Row],[DUT Adj Read]]&lt;Table1[[#This Row],[High Tol]],"Pass","Fail")))</f>
        <v>Fail</v>
      </c>
      <c r="AF1663" s="1" t="str">
        <f>IF(AND(Table1[[#This Row],[Spec Type2]]="N/A",Table1[[#This Row],[DUT Adj Read]]="N/A",Table1[[#This Row],[Std Adj Read]]="N/A"),"N/A",IF(Table1[[#This Row],[DUT Adj Read]]="N/A",IF(Table1[[#This Row],[Std Adj Read]]&gt;=Table1[[#This Row],[Low Tol]],"Pass","Fail"),IF(Table1[[#This Row],[DUT Adj Read]]&gt;=Table1[[#This Row],[Low Tol]],"Pass","Fail")))</f>
        <v>Pass</v>
      </c>
      <c r="AG1663" s="1" t="str">
        <f>IF(AND(Table1[[#This Row],[Spec Type2]]="N/A",Table1[[#This Row],[DUT Adj Read]]="N/A",Table1[[#This Row],[Std Adj Read]]="N/A"),"N/A",IF(Table1[[#This Row],[DUT Adj Read]]="N/A",IF(Table1[[#This Row],[Std Adj Read]]&lt;=Table1[[#This Row],[High Tol]],"Pass","Fail"),IF(Table1[[#This Row],[DUT Adj Read]]&lt;=Table1[[#This Row],[High Tol]],"Pass","Fail")))</f>
        <v>Fail</v>
      </c>
      <c r="AH16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3" s="1" t="b">
        <v>0</v>
      </c>
      <c r="AN1663" s="1" t="b">
        <v>0</v>
      </c>
      <c r="AO1663" s="1" t="b">
        <v>0</v>
      </c>
    </row>
    <row r="1664" spans="1:41" x14ac:dyDescent="0.25">
      <c r="A1664" s="10"/>
      <c r="B1664" s="10"/>
      <c r="C1664" s="10"/>
      <c r="D1664" s="10"/>
      <c r="E1664" s="10"/>
      <c r="F1664" s="10"/>
      <c r="G1664" s="10"/>
      <c r="H1664" s="10"/>
      <c r="I1664" s="1" t="str">
        <f t="shared" si="75"/>
        <v/>
      </c>
      <c r="J1664" s="1" t="s">
        <v>35</v>
      </c>
      <c r="K1664" s="1" t="str">
        <f t="shared" si="76"/>
        <v/>
      </c>
      <c r="L1664" s="1" t="str">
        <f t="shared" si="77"/>
        <v/>
      </c>
      <c r="M1664" s="1">
        <f>IF(OR(Table1[[#This Row],[Std Nom]]="",Table1[[#This Row],[Std Read]]=""),0,Table1[[#This Row],[Std Nom]]-Table1[[#This Row],[Std Read]])</f>
        <v>0</v>
      </c>
      <c r="N1664" s="1">
        <f>IF(Calculations!$F$5="ACCREDITED 17025 WITH UNCERTAINTIES",$N$10,0)</f>
        <v>0</v>
      </c>
      <c r="O1664" s="1" t="str">
        <f>IFERROR(Table1[[#This Row],[Std Nom]]-(_xlfn.XLOOKUP(Table1[[#This Row],[Manufacturer]]&amp;" "&amp;Table1[[#This Row],[Model]],Table13[MFR &amp; MDL],Table13[Tolerance % CW ],"")/100*Table1[[#This Row],[Std Nom]]),"")</f>
        <v/>
      </c>
      <c r="P1664" s="1" t="str">
        <f>IFERROR(Table1[[#This Row],[Std Nom]]+(_xlfn.XLOOKUP(Table1[[#This Row],[Manufacturer]]&amp;" "&amp;Table1[[#This Row],[Model]],Table13[MFR &amp; MDL],Table13[Tolerance % CW ],"")/100*Table1[[#This Row],[Std Nom]]),"")</f>
        <v/>
      </c>
      <c r="Q1664" s="1" t="e">
        <f>Table1[[#This Row],[High Tol]]-Table1[[#This Row],[Low Tol]]</f>
        <v>#VALUE!</v>
      </c>
      <c r="R1664" s="1">
        <f>2*Table1[[#This Row],[Std Error]]</f>
        <v>0</v>
      </c>
      <c r="S1664" s="1" t="str">
        <f>IF(Table1[[#This Row],[High Tol]]="","N/A",IFERROR(ABS(Table1[[#This Row],[Tol Span]]/Table1[[#This Row],[Error Span]]),"N/A"))</f>
        <v>N/A</v>
      </c>
      <c r="T1664" s="1" t="str">
        <f>IF(OR(Table1[[#This Row],[Low Tol]]="",Table1[[#This Row],[High Tol]]=""),"Needs Analysis",IF(Table1[[#This Row],[Ratio]]&gt;=4,"Not Significant",IF(Table1[[#This Row],[Ratio]]&gt;=2,"Semi-Significant","Significant")))</f>
        <v>Needs Analysis</v>
      </c>
      <c r="W1664" s="1">
        <f>IF(Table1[[#This Row],[Cal Type]]&lt;&gt;"ACCREDITED 17025 WITH UNCERTAINTIES",0,"")</f>
        <v>0</v>
      </c>
      <c r="X1664" s="1" t="str">
        <f>IF(Table1[[#This Row],[DUT Read]]="","N/A",Table1[[#This Row],[Std Error]]+Table1[[#This Row],[DUT Read]]+Table1[[#This Row],[DUT Ucty]])</f>
        <v>N/A</v>
      </c>
      <c r="Y1664" s="1" t="str">
        <f>IF(Table1[[#This Row],[Std Read]]="","N/A",Table1[[#This Row],[Std Read]]+Table1[[#This Row],[Std Ucty]])</f>
        <v>N/A</v>
      </c>
      <c r="Z16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4" s="1" t="str">
        <f>IF(Table1[[#This Row],[Spec Type]]="","N/A",Table1[[#This Row],[Spec Type]])</f>
        <v>±</v>
      </c>
      <c r="AC1664" s="1" t="str">
        <f>IF(Table1[[#This Row],[Spec Type2]]="N/A","N/A",IF(AND(Table1[[#This Row],[DUT Adj Read]]&gt;=Table1[[#This Row],[Low Tol]],Table1[[#This Row],[DUT Adj Read]]&lt;=Table1[[#This Row],[High Tol]]),"Pass","Fail"))</f>
        <v>Fail</v>
      </c>
      <c r="AD1664" s="1" t="str">
        <f>IF(AND(Table1[[#This Row],[Spec Type2]]="N/A",Table1[[#This Row],[DUT Adj Read]]="N/A",Table1[[#This Row],[Std Adj Read]]="N/A"),"N/A",IF(Table1[[#This Row],[DUT Adj Read]]="N/A",IF(Table1[[#This Row],[Std Adj Read]]&gt;Table1[[#This Row],[Low Tol]],"Pass","Fail"),IF(Table1[[#This Row],[DUT Adj Read]]&gt;Table1[[#This Row],[Low Tol]],"Pass","Fail")))</f>
        <v>Pass</v>
      </c>
      <c r="AE1664" s="1" t="str">
        <f>IF(AND(Table1[[#This Row],[Spec Type2]]="N/A",Table1[[#This Row],[DUT Adj Read]]="N/A",Table1[[#This Row],[Std Adj Read]]="N/A"),"N/A",IF(Table1[[#This Row],[DUT Adj Read]]="N/A",IF(Table1[[#This Row],[Std Adj Read]]&lt;Table1[[#This Row],[High Tol]],"Pass","Fail"),IF(Table1[[#This Row],[DUT Adj Read]]&lt;Table1[[#This Row],[High Tol]],"Pass","Fail")))</f>
        <v>Fail</v>
      </c>
      <c r="AF1664" s="1" t="str">
        <f>IF(AND(Table1[[#This Row],[Spec Type2]]="N/A",Table1[[#This Row],[DUT Adj Read]]="N/A",Table1[[#This Row],[Std Adj Read]]="N/A"),"N/A",IF(Table1[[#This Row],[DUT Adj Read]]="N/A",IF(Table1[[#This Row],[Std Adj Read]]&gt;=Table1[[#This Row],[Low Tol]],"Pass","Fail"),IF(Table1[[#This Row],[DUT Adj Read]]&gt;=Table1[[#This Row],[Low Tol]],"Pass","Fail")))</f>
        <v>Pass</v>
      </c>
      <c r="AG1664" s="1" t="str">
        <f>IF(AND(Table1[[#This Row],[Spec Type2]]="N/A",Table1[[#This Row],[DUT Adj Read]]="N/A",Table1[[#This Row],[Std Adj Read]]="N/A"),"N/A",IF(Table1[[#This Row],[DUT Adj Read]]="N/A",IF(Table1[[#This Row],[Std Adj Read]]&lt;=Table1[[#This Row],[High Tol]],"Pass","Fail"),IF(Table1[[#This Row],[DUT Adj Read]]&lt;=Table1[[#This Row],[High Tol]],"Pass","Fail")))</f>
        <v>Fail</v>
      </c>
      <c r="AH16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4" s="1" t="b">
        <v>0</v>
      </c>
      <c r="AN1664" s="1" t="b">
        <v>0</v>
      </c>
      <c r="AO1664" s="1" t="b">
        <v>0</v>
      </c>
    </row>
    <row r="1665" spans="1:41" x14ac:dyDescent="0.25">
      <c r="A1665" s="10"/>
      <c r="B1665" s="10"/>
      <c r="C1665" s="10"/>
      <c r="D1665" s="10"/>
      <c r="E1665" s="10"/>
      <c r="F1665" s="10"/>
      <c r="G1665" s="10"/>
      <c r="H1665" s="10"/>
      <c r="I1665" s="1" t="str">
        <f t="shared" si="75"/>
        <v/>
      </c>
      <c r="J1665" s="1" t="s">
        <v>35</v>
      </c>
      <c r="K1665" s="1" t="str">
        <f t="shared" si="76"/>
        <v/>
      </c>
      <c r="L1665" s="1" t="str">
        <f t="shared" si="77"/>
        <v/>
      </c>
      <c r="M1665" s="1">
        <f>IF(OR(Table1[[#This Row],[Std Nom]]="",Table1[[#This Row],[Std Read]]=""),0,Table1[[#This Row],[Std Nom]]-Table1[[#This Row],[Std Read]])</f>
        <v>0</v>
      </c>
      <c r="N1665" s="1">
        <f>IF(Calculations!$F$5="ACCREDITED 17025 WITH UNCERTAINTIES",$N$10,0)</f>
        <v>0</v>
      </c>
      <c r="O1665" s="1" t="str">
        <f>IFERROR(Table1[[#This Row],[Std Nom]]-(_xlfn.XLOOKUP(Table1[[#This Row],[Manufacturer]]&amp;" "&amp;Table1[[#This Row],[Model]],Table13[MFR &amp; MDL],Table13[Tolerance % CW ],"")/100*Table1[[#This Row],[Std Nom]]),"")</f>
        <v/>
      </c>
      <c r="P1665" s="1" t="str">
        <f>IFERROR(Table1[[#This Row],[Std Nom]]+(_xlfn.XLOOKUP(Table1[[#This Row],[Manufacturer]]&amp;" "&amp;Table1[[#This Row],[Model]],Table13[MFR &amp; MDL],Table13[Tolerance % CW ],"")/100*Table1[[#This Row],[Std Nom]]),"")</f>
        <v/>
      </c>
      <c r="Q1665" s="1" t="e">
        <f>Table1[[#This Row],[High Tol]]-Table1[[#This Row],[Low Tol]]</f>
        <v>#VALUE!</v>
      </c>
      <c r="R1665" s="1">
        <f>2*Table1[[#This Row],[Std Error]]</f>
        <v>0</v>
      </c>
      <c r="S1665" s="1" t="str">
        <f>IF(Table1[[#This Row],[High Tol]]="","N/A",IFERROR(ABS(Table1[[#This Row],[Tol Span]]/Table1[[#This Row],[Error Span]]),"N/A"))</f>
        <v>N/A</v>
      </c>
      <c r="T1665" s="1" t="str">
        <f>IF(OR(Table1[[#This Row],[Low Tol]]="",Table1[[#This Row],[High Tol]]=""),"Needs Analysis",IF(Table1[[#This Row],[Ratio]]&gt;=4,"Not Significant",IF(Table1[[#This Row],[Ratio]]&gt;=2,"Semi-Significant","Significant")))</f>
        <v>Needs Analysis</v>
      </c>
      <c r="W1665" s="1">
        <f>IF(Table1[[#This Row],[Cal Type]]&lt;&gt;"ACCREDITED 17025 WITH UNCERTAINTIES",0,"")</f>
        <v>0</v>
      </c>
      <c r="X1665" s="1" t="str">
        <f>IF(Table1[[#This Row],[DUT Read]]="","N/A",Table1[[#This Row],[Std Error]]+Table1[[#This Row],[DUT Read]]+Table1[[#This Row],[DUT Ucty]])</f>
        <v>N/A</v>
      </c>
      <c r="Y1665" s="1" t="str">
        <f>IF(Table1[[#This Row],[Std Read]]="","N/A",Table1[[#This Row],[Std Read]]+Table1[[#This Row],[Std Ucty]])</f>
        <v>N/A</v>
      </c>
      <c r="Z16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5" s="1" t="str">
        <f>IF(Table1[[#This Row],[Spec Type]]="","N/A",Table1[[#This Row],[Spec Type]])</f>
        <v>±</v>
      </c>
      <c r="AC1665" s="1" t="str">
        <f>IF(Table1[[#This Row],[Spec Type2]]="N/A","N/A",IF(AND(Table1[[#This Row],[DUT Adj Read]]&gt;=Table1[[#This Row],[Low Tol]],Table1[[#This Row],[DUT Adj Read]]&lt;=Table1[[#This Row],[High Tol]]),"Pass","Fail"))</f>
        <v>Fail</v>
      </c>
      <c r="AD1665" s="1" t="str">
        <f>IF(AND(Table1[[#This Row],[Spec Type2]]="N/A",Table1[[#This Row],[DUT Adj Read]]="N/A",Table1[[#This Row],[Std Adj Read]]="N/A"),"N/A",IF(Table1[[#This Row],[DUT Adj Read]]="N/A",IF(Table1[[#This Row],[Std Adj Read]]&gt;Table1[[#This Row],[Low Tol]],"Pass","Fail"),IF(Table1[[#This Row],[DUT Adj Read]]&gt;Table1[[#This Row],[Low Tol]],"Pass","Fail")))</f>
        <v>Pass</v>
      </c>
      <c r="AE1665" s="1" t="str">
        <f>IF(AND(Table1[[#This Row],[Spec Type2]]="N/A",Table1[[#This Row],[DUT Adj Read]]="N/A",Table1[[#This Row],[Std Adj Read]]="N/A"),"N/A",IF(Table1[[#This Row],[DUT Adj Read]]="N/A",IF(Table1[[#This Row],[Std Adj Read]]&lt;Table1[[#This Row],[High Tol]],"Pass","Fail"),IF(Table1[[#This Row],[DUT Adj Read]]&lt;Table1[[#This Row],[High Tol]],"Pass","Fail")))</f>
        <v>Fail</v>
      </c>
      <c r="AF1665" s="1" t="str">
        <f>IF(AND(Table1[[#This Row],[Spec Type2]]="N/A",Table1[[#This Row],[DUT Adj Read]]="N/A",Table1[[#This Row],[Std Adj Read]]="N/A"),"N/A",IF(Table1[[#This Row],[DUT Adj Read]]="N/A",IF(Table1[[#This Row],[Std Adj Read]]&gt;=Table1[[#This Row],[Low Tol]],"Pass","Fail"),IF(Table1[[#This Row],[DUT Adj Read]]&gt;=Table1[[#This Row],[Low Tol]],"Pass","Fail")))</f>
        <v>Pass</v>
      </c>
      <c r="AG1665" s="1" t="str">
        <f>IF(AND(Table1[[#This Row],[Spec Type2]]="N/A",Table1[[#This Row],[DUT Adj Read]]="N/A",Table1[[#This Row],[Std Adj Read]]="N/A"),"N/A",IF(Table1[[#This Row],[DUT Adj Read]]="N/A",IF(Table1[[#This Row],[Std Adj Read]]&lt;=Table1[[#This Row],[High Tol]],"Pass","Fail"),IF(Table1[[#This Row],[DUT Adj Read]]&lt;=Table1[[#This Row],[High Tol]],"Pass","Fail")))</f>
        <v>Fail</v>
      </c>
      <c r="AH16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5" s="1" t="b">
        <v>0</v>
      </c>
      <c r="AN1665" s="1" t="b">
        <v>0</v>
      </c>
      <c r="AO1665" s="1" t="b">
        <v>0</v>
      </c>
    </row>
    <row r="1666" spans="1:41" x14ac:dyDescent="0.25">
      <c r="A1666" s="10"/>
      <c r="B1666" s="10"/>
      <c r="C1666" s="10"/>
      <c r="D1666" s="10"/>
      <c r="E1666" s="10"/>
      <c r="F1666" s="10"/>
      <c r="G1666" s="10"/>
      <c r="H1666" s="10"/>
      <c r="I1666" s="1" t="str">
        <f t="shared" si="75"/>
        <v/>
      </c>
      <c r="J1666" s="1" t="s">
        <v>35</v>
      </c>
      <c r="K1666" s="1" t="str">
        <f t="shared" si="76"/>
        <v/>
      </c>
      <c r="L1666" s="1" t="str">
        <f t="shared" si="77"/>
        <v/>
      </c>
      <c r="M1666" s="1">
        <f>IF(OR(Table1[[#This Row],[Std Nom]]="",Table1[[#This Row],[Std Read]]=""),0,Table1[[#This Row],[Std Nom]]-Table1[[#This Row],[Std Read]])</f>
        <v>0</v>
      </c>
      <c r="N1666" s="1">
        <f>IF(Calculations!$F$5="ACCREDITED 17025 WITH UNCERTAINTIES",$N$10,0)</f>
        <v>0</v>
      </c>
      <c r="O1666" s="1" t="str">
        <f>IFERROR(Table1[[#This Row],[Std Nom]]-(_xlfn.XLOOKUP(Table1[[#This Row],[Manufacturer]]&amp;" "&amp;Table1[[#This Row],[Model]],Table13[MFR &amp; MDL],Table13[Tolerance % CW ],"")/100*Table1[[#This Row],[Std Nom]]),"")</f>
        <v/>
      </c>
      <c r="P1666" s="1" t="str">
        <f>IFERROR(Table1[[#This Row],[Std Nom]]+(_xlfn.XLOOKUP(Table1[[#This Row],[Manufacturer]]&amp;" "&amp;Table1[[#This Row],[Model]],Table13[MFR &amp; MDL],Table13[Tolerance % CW ],"")/100*Table1[[#This Row],[Std Nom]]),"")</f>
        <v/>
      </c>
      <c r="Q1666" s="1" t="e">
        <f>Table1[[#This Row],[High Tol]]-Table1[[#This Row],[Low Tol]]</f>
        <v>#VALUE!</v>
      </c>
      <c r="R1666" s="1">
        <f>2*Table1[[#This Row],[Std Error]]</f>
        <v>0</v>
      </c>
      <c r="S1666" s="1" t="str">
        <f>IF(Table1[[#This Row],[High Tol]]="","N/A",IFERROR(ABS(Table1[[#This Row],[Tol Span]]/Table1[[#This Row],[Error Span]]),"N/A"))</f>
        <v>N/A</v>
      </c>
      <c r="T1666" s="1" t="str">
        <f>IF(OR(Table1[[#This Row],[Low Tol]]="",Table1[[#This Row],[High Tol]]=""),"Needs Analysis",IF(Table1[[#This Row],[Ratio]]&gt;=4,"Not Significant",IF(Table1[[#This Row],[Ratio]]&gt;=2,"Semi-Significant","Significant")))</f>
        <v>Needs Analysis</v>
      </c>
      <c r="W1666" s="1">
        <f>IF(Table1[[#This Row],[Cal Type]]&lt;&gt;"ACCREDITED 17025 WITH UNCERTAINTIES",0,"")</f>
        <v>0</v>
      </c>
      <c r="X1666" s="1" t="str">
        <f>IF(Table1[[#This Row],[DUT Read]]="","N/A",Table1[[#This Row],[Std Error]]+Table1[[#This Row],[DUT Read]]+Table1[[#This Row],[DUT Ucty]])</f>
        <v>N/A</v>
      </c>
      <c r="Y1666" s="1" t="str">
        <f>IF(Table1[[#This Row],[Std Read]]="","N/A",Table1[[#This Row],[Std Read]]+Table1[[#This Row],[Std Ucty]])</f>
        <v>N/A</v>
      </c>
      <c r="Z16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6" s="1" t="str">
        <f>IF(Table1[[#This Row],[Spec Type]]="","N/A",Table1[[#This Row],[Spec Type]])</f>
        <v>±</v>
      </c>
      <c r="AC1666" s="1" t="str">
        <f>IF(Table1[[#This Row],[Spec Type2]]="N/A","N/A",IF(AND(Table1[[#This Row],[DUT Adj Read]]&gt;=Table1[[#This Row],[Low Tol]],Table1[[#This Row],[DUT Adj Read]]&lt;=Table1[[#This Row],[High Tol]]),"Pass","Fail"))</f>
        <v>Fail</v>
      </c>
      <c r="AD1666" s="1" t="str">
        <f>IF(AND(Table1[[#This Row],[Spec Type2]]="N/A",Table1[[#This Row],[DUT Adj Read]]="N/A",Table1[[#This Row],[Std Adj Read]]="N/A"),"N/A",IF(Table1[[#This Row],[DUT Adj Read]]="N/A",IF(Table1[[#This Row],[Std Adj Read]]&gt;Table1[[#This Row],[Low Tol]],"Pass","Fail"),IF(Table1[[#This Row],[DUT Adj Read]]&gt;Table1[[#This Row],[Low Tol]],"Pass","Fail")))</f>
        <v>Pass</v>
      </c>
      <c r="AE1666" s="1" t="str">
        <f>IF(AND(Table1[[#This Row],[Spec Type2]]="N/A",Table1[[#This Row],[DUT Adj Read]]="N/A",Table1[[#This Row],[Std Adj Read]]="N/A"),"N/A",IF(Table1[[#This Row],[DUT Adj Read]]="N/A",IF(Table1[[#This Row],[Std Adj Read]]&lt;Table1[[#This Row],[High Tol]],"Pass","Fail"),IF(Table1[[#This Row],[DUT Adj Read]]&lt;Table1[[#This Row],[High Tol]],"Pass","Fail")))</f>
        <v>Fail</v>
      </c>
      <c r="AF1666" s="1" t="str">
        <f>IF(AND(Table1[[#This Row],[Spec Type2]]="N/A",Table1[[#This Row],[DUT Adj Read]]="N/A",Table1[[#This Row],[Std Adj Read]]="N/A"),"N/A",IF(Table1[[#This Row],[DUT Adj Read]]="N/A",IF(Table1[[#This Row],[Std Adj Read]]&gt;=Table1[[#This Row],[Low Tol]],"Pass","Fail"),IF(Table1[[#This Row],[DUT Adj Read]]&gt;=Table1[[#This Row],[Low Tol]],"Pass","Fail")))</f>
        <v>Pass</v>
      </c>
      <c r="AG1666" s="1" t="str">
        <f>IF(AND(Table1[[#This Row],[Spec Type2]]="N/A",Table1[[#This Row],[DUT Adj Read]]="N/A",Table1[[#This Row],[Std Adj Read]]="N/A"),"N/A",IF(Table1[[#This Row],[DUT Adj Read]]="N/A",IF(Table1[[#This Row],[Std Adj Read]]&lt;=Table1[[#This Row],[High Tol]],"Pass","Fail"),IF(Table1[[#This Row],[DUT Adj Read]]&lt;=Table1[[#This Row],[High Tol]],"Pass","Fail")))</f>
        <v>Fail</v>
      </c>
      <c r="AH16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6" s="1" t="b">
        <v>0</v>
      </c>
      <c r="AN1666" s="1" t="b">
        <v>0</v>
      </c>
      <c r="AO1666" s="1" t="b">
        <v>0</v>
      </c>
    </row>
    <row r="1667" spans="1:41" x14ac:dyDescent="0.25">
      <c r="A1667" s="10"/>
      <c r="B1667" s="10"/>
      <c r="C1667" s="10"/>
      <c r="D1667" s="10"/>
      <c r="E1667" s="10"/>
      <c r="F1667" s="10"/>
      <c r="G1667" s="10"/>
      <c r="H1667" s="10"/>
      <c r="I1667" s="1" t="str">
        <f t="shared" si="75"/>
        <v/>
      </c>
      <c r="J1667" s="1" t="s">
        <v>35</v>
      </c>
      <c r="K1667" s="1" t="str">
        <f t="shared" si="76"/>
        <v/>
      </c>
      <c r="L1667" s="1" t="str">
        <f t="shared" si="77"/>
        <v/>
      </c>
      <c r="M1667" s="1">
        <f>IF(OR(Table1[[#This Row],[Std Nom]]="",Table1[[#This Row],[Std Read]]=""),0,Table1[[#This Row],[Std Nom]]-Table1[[#This Row],[Std Read]])</f>
        <v>0</v>
      </c>
      <c r="N1667" s="1">
        <f>IF(Calculations!$F$5="ACCREDITED 17025 WITH UNCERTAINTIES",$N$10,0)</f>
        <v>0</v>
      </c>
      <c r="O1667" s="1" t="str">
        <f>IFERROR(Table1[[#This Row],[Std Nom]]-(_xlfn.XLOOKUP(Table1[[#This Row],[Manufacturer]]&amp;" "&amp;Table1[[#This Row],[Model]],Table13[MFR &amp; MDL],Table13[Tolerance % CW ],"")/100*Table1[[#This Row],[Std Nom]]),"")</f>
        <v/>
      </c>
      <c r="P1667" s="1" t="str">
        <f>IFERROR(Table1[[#This Row],[Std Nom]]+(_xlfn.XLOOKUP(Table1[[#This Row],[Manufacturer]]&amp;" "&amp;Table1[[#This Row],[Model]],Table13[MFR &amp; MDL],Table13[Tolerance % CW ],"")/100*Table1[[#This Row],[Std Nom]]),"")</f>
        <v/>
      </c>
      <c r="Q1667" s="1" t="e">
        <f>Table1[[#This Row],[High Tol]]-Table1[[#This Row],[Low Tol]]</f>
        <v>#VALUE!</v>
      </c>
      <c r="R1667" s="1">
        <f>2*Table1[[#This Row],[Std Error]]</f>
        <v>0</v>
      </c>
      <c r="S1667" s="1" t="str">
        <f>IF(Table1[[#This Row],[High Tol]]="","N/A",IFERROR(ABS(Table1[[#This Row],[Tol Span]]/Table1[[#This Row],[Error Span]]),"N/A"))</f>
        <v>N/A</v>
      </c>
      <c r="T1667" s="1" t="str">
        <f>IF(OR(Table1[[#This Row],[Low Tol]]="",Table1[[#This Row],[High Tol]]=""),"Needs Analysis",IF(Table1[[#This Row],[Ratio]]&gt;=4,"Not Significant",IF(Table1[[#This Row],[Ratio]]&gt;=2,"Semi-Significant","Significant")))</f>
        <v>Needs Analysis</v>
      </c>
      <c r="W1667" s="1">
        <f>IF(Table1[[#This Row],[Cal Type]]&lt;&gt;"ACCREDITED 17025 WITH UNCERTAINTIES",0,"")</f>
        <v>0</v>
      </c>
      <c r="X1667" s="1" t="str">
        <f>IF(Table1[[#This Row],[DUT Read]]="","N/A",Table1[[#This Row],[Std Error]]+Table1[[#This Row],[DUT Read]]+Table1[[#This Row],[DUT Ucty]])</f>
        <v>N/A</v>
      </c>
      <c r="Y1667" s="1" t="str">
        <f>IF(Table1[[#This Row],[Std Read]]="","N/A",Table1[[#This Row],[Std Read]]+Table1[[#This Row],[Std Ucty]])</f>
        <v>N/A</v>
      </c>
      <c r="Z16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7" s="1" t="str">
        <f>IF(Table1[[#This Row],[Spec Type]]="","N/A",Table1[[#This Row],[Spec Type]])</f>
        <v>±</v>
      </c>
      <c r="AC1667" s="1" t="str">
        <f>IF(Table1[[#This Row],[Spec Type2]]="N/A","N/A",IF(AND(Table1[[#This Row],[DUT Adj Read]]&gt;=Table1[[#This Row],[Low Tol]],Table1[[#This Row],[DUT Adj Read]]&lt;=Table1[[#This Row],[High Tol]]),"Pass","Fail"))</f>
        <v>Fail</v>
      </c>
      <c r="AD1667" s="1" t="str">
        <f>IF(AND(Table1[[#This Row],[Spec Type2]]="N/A",Table1[[#This Row],[DUT Adj Read]]="N/A",Table1[[#This Row],[Std Adj Read]]="N/A"),"N/A",IF(Table1[[#This Row],[DUT Adj Read]]="N/A",IF(Table1[[#This Row],[Std Adj Read]]&gt;Table1[[#This Row],[Low Tol]],"Pass","Fail"),IF(Table1[[#This Row],[DUT Adj Read]]&gt;Table1[[#This Row],[Low Tol]],"Pass","Fail")))</f>
        <v>Pass</v>
      </c>
      <c r="AE1667" s="1" t="str">
        <f>IF(AND(Table1[[#This Row],[Spec Type2]]="N/A",Table1[[#This Row],[DUT Adj Read]]="N/A",Table1[[#This Row],[Std Adj Read]]="N/A"),"N/A",IF(Table1[[#This Row],[DUT Adj Read]]="N/A",IF(Table1[[#This Row],[Std Adj Read]]&lt;Table1[[#This Row],[High Tol]],"Pass","Fail"),IF(Table1[[#This Row],[DUT Adj Read]]&lt;Table1[[#This Row],[High Tol]],"Pass","Fail")))</f>
        <v>Fail</v>
      </c>
      <c r="AF1667" s="1" t="str">
        <f>IF(AND(Table1[[#This Row],[Spec Type2]]="N/A",Table1[[#This Row],[DUT Adj Read]]="N/A",Table1[[#This Row],[Std Adj Read]]="N/A"),"N/A",IF(Table1[[#This Row],[DUT Adj Read]]="N/A",IF(Table1[[#This Row],[Std Adj Read]]&gt;=Table1[[#This Row],[Low Tol]],"Pass","Fail"),IF(Table1[[#This Row],[DUT Adj Read]]&gt;=Table1[[#This Row],[Low Tol]],"Pass","Fail")))</f>
        <v>Pass</v>
      </c>
      <c r="AG1667" s="1" t="str">
        <f>IF(AND(Table1[[#This Row],[Spec Type2]]="N/A",Table1[[#This Row],[DUT Adj Read]]="N/A",Table1[[#This Row],[Std Adj Read]]="N/A"),"N/A",IF(Table1[[#This Row],[DUT Adj Read]]="N/A",IF(Table1[[#This Row],[Std Adj Read]]&lt;=Table1[[#This Row],[High Tol]],"Pass","Fail"),IF(Table1[[#This Row],[DUT Adj Read]]&lt;=Table1[[#This Row],[High Tol]],"Pass","Fail")))</f>
        <v>Fail</v>
      </c>
      <c r="AH16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7" s="1" t="b">
        <v>0</v>
      </c>
      <c r="AN1667" s="1" t="b">
        <v>0</v>
      </c>
      <c r="AO1667" s="1" t="b">
        <v>0</v>
      </c>
    </row>
    <row r="1668" spans="1:41" x14ac:dyDescent="0.25">
      <c r="A1668" s="10"/>
      <c r="B1668" s="10"/>
      <c r="C1668" s="10"/>
      <c r="D1668" s="10"/>
      <c r="E1668" s="10"/>
      <c r="F1668" s="10"/>
      <c r="G1668" s="10"/>
      <c r="H1668" s="10"/>
      <c r="I1668" s="1" t="str">
        <f t="shared" si="75"/>
        <v/>
      </c>
      <c r="J1668" s="1" t="s">
        <v>35</v>
      </c>
      <c r="K1668" s="1" t="str">
        <f t="shared" si="76"/>
        <v/>
      </c>
      <c r="L1668" s="1" t="str">
        <f t="shared" si="77"/>
        <v/>
      </c>
      <c r="M1668" s="1">
        <f>IF(OR(Table1[[#This Row],[Std Nom]]="",Table1[[#This Row],[Std Read]]=""),0,Table1[[#This Row],[Std Nom]]-Table1[[#This Row],[Std Read]])</f>
        <v>0</v>
      </c>
      <c r="N1668" s="1">
        <f>IF(Calculations!$F$5="ACCREDITED 17025 WITH UNCERTAINTIES",$N$10,0)</f>
        <v>0</v>
      </c>
      <c r="O1668" s="1" t="str">
        <f>IFERROR(Table1[[#This Row],[Std Nom]]-(_xlfn.XLOOKUP(Table1[[#This Row],[Manufacturer]]&amp;" "&amp;Table1[[#This Row],[Model]],Table13[MFR &amp; MDL],Table13[Tolerance % CW ],"")/100*Table1[[#This Row],[Std Nom]]),"")</f>
        <v/>
      </c>
      <c r="P1668" s="1" t="str">
        <f>IFERROR(Table1[[#This Row],[Std Nom]]+(_xlfn.XLOOKUP(Table1[[#This Row],[Manufacturer]]&amp;" "&amp;Table1[[#This Row],[Model]],Table13[MFR &amp; MDL],Table13[Tolerance % CW ],"")/100*Table1[[#This Row],[Std Nom]]),"")</f>
        <v/>
      </c>
      <c r="Q1668" s="1" t="e">
        <f>Table1[[#This Row],[High Tol]]-Table1[[#This Row],[Low Tol]]</f>
        <v>#VALUE!</v>
      </c>
      <c r="R1668" s="1">
        <f>2*Table1[[#This Row],[Std Error]]</f>
        <v>0</v>
      </c>
      <c r="S1668" s="1" t="str">
        <f>IF(Table1[[#This Row],[High Tol]]="","N/A",IFERROR(ABS(Table1[[#This Row],[Tol Span]]/Table1[[#This Row],[Error Span]]),"N/A"))</f>
        <v>N/A</v>
      </c>
      <c r="T1668" s="1" t="str">
        <f>IF(OR(Table1[[#This Row],[Low Tol]]="",Table1[[#This Row],[High Tol]]=""),"Needs Analysis",IF(Table1[[#This Row],[Ratio]]&gt;=4,"Not Significant",IF(Table1[[#This Row],[Ratio]]&gt;=2,"Semi-Significant","Significant")))</f>
        <v>Needs Analysis</v>
      </c>
      <c r="W1668" s="1">
        <f>IF(Table1[[#This Row],[Cal Type]]&lt;&gt;"ACCREDITED 17025 WITH UNCERTAINTIES",0,"")</f>
        <v>0</v>
      </c>
      <c r="X1668" s="1" t="str">
        <f>IF(Table1[[#This Row],[DUT Read]]="","N/A",Table1[[#This Row],[Std Error]]+Table1[[#This Row],[DUT Read]]+Table1[[#This Row],[DUT Ucty]])</f>
        <v>N/A</v>
      </c>
      <c r="Y1668" s="1" t="str">
        <f>IF(Table1[[#This Row],[Std Read]]="","N/A",Table1[[#This Row],[Std Read]]+Table1[[#This Row],[Std Ucty]])</f>
        <v>N/A</v>
      </c>
      <c r="Z16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8" s="1" t="str">
        <f>IF(Table1[[#This Row],[Spec Type]]="","N/A",Table1[[#This Row],[Spec Type]])</f>
        <v>±</v>
      </c>
      <c r="AC1668" s="1" t="str">
        <f>IF(Table1[[#This Row],[Spec Type2]]="N/A","N/A",IF(AND(Table1[[#This Row],[DUT Adj Read]]&gt;=Table1[[#This Row],[Low Tol]],Table1[[#This Row],[DUT Adj Read]]&lt;=Table1[[#This Row],[High Tol]]),"Pass","Fail"))</f>
        <v>Fail</v>
      </c>
      <c r="AD1668" s="1" t="str">
        <f>IF(AND(Table1[[#This Row],[Spec Type2]]="N/A",Table1[[#This Row],[DUT Adj Read]]="N/A",Table1[[#This Row],[Std Adj Read]]="N/A"),"N/A",IF(Table1[[#This Row],[DUT Adj Read]]="N/A",IF(Table1[[#This Row],[Std Adj Read]]&gt;Table1[[#This Row],[Low Tol]],"Pass","Fail"),IF(Table1[[#This Row],[DUT Adj Read]]&gt;Table1[[#This Row],[Low Tol]],"Pass","Fail")))</f>
        <v>Pass</v>
      </c>
      <c r="AE1668" s="1" t="str">
        <f>IF(AND(Table1[[#This Row],[Spec Type2]]="N/A",Table1[[#This Row],[DUT Adj Read]]="N/A",Table1[[#This Row],[Std Adj Read]]="N/A"),"N/A",IF(Table1[[#This Row],[DUT Adj Read]]="N/A",IF(Table1[[#This Row],[Std Adj Read]]&lt;Table1[[#This Row],[High Tol]],"Pass","Fail"),IF(Table1[[#This Row],[DUT Adj Read]]&lt;Table1[[#This Row],[High Tol]],"Pass","Fail")))</f>
        <v>Fail</v>
      </c>
      <c r="AF1668" s="1" t="str">
        <f>IF(AND(Table1[[#This Row],[Spec Type2]]="N/A",Table1[[#This Row],[DUT Adj Read]]="N/A",Table1[[#This Row],[Std Adj Read]]="N/A"),"N/A",IF(Table1[[#This Row],[DUT Adj Read]]="N/A",IF(Table1[[#This Row],[Std Adj Read]]&gt;=Table1[[#This Row],[Low Tol]],"Pass","Fail"),IF(Table1[[#This Row],[DUT Adj Read]]&gt;=Table1[[#This Row],[Low Tol]],"Pass","Fail")))</f>
        <v>Pass</v>
      </c>
      <c r="AG1668" s="1" t="str">
        <f>IF(AND(Table1[[#This Row],[Spec Type2]]="N/A",Table1[[#This Row],[DUT Adj Read]]="N/A",Table1[[#This Row],[Std Adj Read]]="N/A"),"N/A",IF(Table1[[#This Row],[DUT Adj Read]]="N/A",IF(Table1[[#This Row],[Std Adj Read]]&lt;=Table1[[#This Row],[High Tol]],"Pass","Fail"),IF(Table1[[#This Row],[DUT Adj Read]]&lt;=Table1[[#This Row],[High Tol]],"Pass","Fail")))</f>
        <v>Fail</v>
      </c>
      <c r="AH16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8" s="1" t="b">
        <v>0</v>
      </c>
      <c r="AN1668" s="1" t="b">
        <v>0</v>
      </c>
      <c r="AO1668" s="1" t="b">
        <v>0</v>
      </c>
    </row>
    <row r="1669" spans="1:41" x14ac:dyDescent="0.25">
      <c r="A1669" s="10"/>
      <c r="B1669" s="10"/>
      <c r="C1669" s="10"/>
      <c r="D1669" s="10"/>
      <c r="E1669" s="10"/>
      <c r="F1669" s="10"/>
      <c r="G1669" s="10"/>
      <c r="H1669" s="10"/>
      <c r="I1669" s="1" t="str">
        <f t="shared" si="75"/>
        <v/>
      </c>
      <c r="J1669" s="1" t="s">
        <v>35</v>
      </c>
      <c r="K1669" s="1" t="str">
        <f t="shared" si="76"/>
        <v/>
      </c>
      <c r="L1669" s="1" t="str">
        <f t="shared" si="77"/>
        <v/>
      </c>
      <c r="M1669" s="1">
        <f>IF(OR(Table1[[#This Row],[Std Nom]]="",Table1[[#This Row],[Std Read]]=""),0,Table1[[#This Row],[Std Nom]]-Table1[[#This Row],[Std Read]])</f>
        <v>0</v>
      </c>
      <c r="N1669" s="1">
        <f>IF(Calculations!$F$5="ACCREDITED 17025 WITH UNCERTAINTIES",$N$10,0)</f>
        <v>0</v>
      </c>
      <c r="O1669" s="1" t="str">
        <f>IFERROR(Table1[[#This Row],[Std Nom]]-(_xlfn.XLOOKUP(Table1[[#This Row],[Manufacturer]]&amp;" "&amp;Table1[[#This Row],[Model]],Table13[MFR &amp; MDL],Table13[Tolerance % CW ],"")/100*Table1[[#This Row],[Std Nom]]),"")</f>
        <v/>
      </c>
      <c r="P1669" s="1" t="str">
        <f>IFERROR(Table1[[#This Row],[Std Nom]]+(_xlfn.XLOOKUP(Table1[[#This Row],[Manufacturer]]&amp;" "&amp;Table1[[#This Row],[Model]],Table13[MFR &amp; MDL],Table13[Tolerance % CW ],"")/100*Table1[[#This Row],[Std Nom]]),"")</f>
        <v/>
      </c>
      <c r="Q1669" s="1" t="e">
        <f>Table1[[#This Row],[High Tol]]-Table1[[#This Row],[Low Tol]]</f>
        <v>#VALUE!</v>
      </c>
      <c r="R1669" s="1">
        <f>2*Table1[[#This Row],[Std Error]]</f>
        <v>0</v>
      </c>
      <c r="S1669" s="1" t="str">
        <f>IF(Table1[[#This Row],[High Tol]]="","N/A",IFERROR(ABS(Table1[[#This Row],[Tol Span]]/Table1[[#This Row],[Error Span]]),"N/A"))</f>
        <v>N/A</v>
      </c>
      <c r="T1669" s="1" t="str">
        <f>IF(OR(Table1[[#This Row],[Low Tol]]="",Table1[[#This Row],[High Tol]]=""),"Needs Analysis",IF(Table1[[#This Row],[Ratio]]&gt;=4,"Not Significant",IF(Table1[[#This Row],[Ratio]]&gt;=2,"Semi-Significant","Significant")))</f>
        <v>Needs Analysis</v>
      </c>
      <c r="W1669" s="1">
        <f>IF(Table1[[#This Row],[Cal Type]]&lt;&gt;"ACCREDITED 17025 WITH UNCERTAINTIES",0,"")</f>
        <v>0</v>
      </c>
      <c r="X1669" s="1" t="str">
        <f>IF(Table1[[#This Row],[DUT Read]]="","N/A",Table1[[#This Row],[Std Error]]+Table1[[#This Row],[DUT Read]]+Table1[[#This Row],[DUT Ucty]])</f>
        <v>N/A</v>
      </c>
      <c r="Y1669" s="1" t="str">
        <f>IF(Table1[[#This Row],[Std Read]]="","N/A",Table1[[#This Row],[Std Read]]+Table1[[#This Row],[Std Ucty]])</f>
        <v>N/A</v>
      </c>
      <c r="Z16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9" s="1" t="str">
        <f>IF(Table1[[#This Row],[Spec Type]]="","N/A",Table1[[#This Row],[Spec Type]])</f>
        <v>±</v>
      </c>
      <c r="AC1669" s="1" t="str">
        <f>IF(Table1[[#This Row],[Spec Type2]]="N/A","N/A",IF(AND(Table1[[#This Row],[DUT Adj Read]]&gt;=Table1[[#This Row],[Low Tol]],Table1[[#This Row],[DUT Adj Read]]&lt;=Table1[[#This Row],[High Tol]]),"Pass","Fail"))</f>
        <v>Fail</v>
      </c>
      <c r="AD1669" s="1" t="str">
        <f>IF(AND(Table1[[#This Row],[Spec Type2]]="N/A",Table1[[#This Row],[DUT Adj Read]]="N/A",Table1[[#This Row],[Std Adj Read]]="N/A"),"N/A",IF(Table1[[#This Row],[DUT Adj Read]]="N/A",IF(Table1[[#This Row],[Std Adj Read]]&gt;Table1[[#This Row],[Low Tol]],"Pass","Fail"),IF(Table1[[#This Row],[DUT Adj Read]]&gt;Table1[[#This Row],[Low Tol]],"Pass","Fail")))</f>
        <v>Pass</v>
      </c>
      <c r="AE1669" s="1" t="str">
        <f>IF(AND(Table1[[#This Row],[Spec Type2]]="N/A",Table1[[#This Row],[DUT Adj Read]]="N/A",Table1[[#This Row],[Std Adj Read]]="N/A"),"N/A",IF(Table1[[#This Row],[DUT Adj Read]]="N/A",IF(Table1[[#This Row],[Std Adj Read]]&lt;Table1[[#This Row],[High Tol]],"Pass","Fail"),IF(Table1[[#This Row],[DUT Adj Read]]&lt;Table1[[#This Row],[High Tol]],"Pass","Fail")))</f>
        <v>Fail</v>
      </c>
      <c r="AF1669" s="1" t="str">
        <f>IF(AND(Table1[[#This Row],[Spec Type2]]="N/A",Table1[[#This Row],[DUT Adj Read]]="N/A",Table1[[#This Row],[Std Adj Read]]="N/A"),"N/A",IF(Table1[[#This Row],[DUT Adj Read]]="N/A",IF(Table1[[#This Row],[Std Adj Read]]&gt;=Table1[[#This Row],[Low Tol]],"Pass","Fail"),IF(Table1[[#This Row],[DUT Adj Read]]&gt;=Table1[[#This Row],[Low Tol]],"Pass","Fail")))</f>
        <v>Pass</v>
      </c>
      <c r="AG1669" s="1" t="str">
        <f>IF(AND(Table1[[#This Row],[Spec Type2]]="N/A",Table1[[#This Row],[DUT Adj Read]]="N/A",Table1[[#This Row],[Std Adj Read]]="N/A"),"N/A",IF(Table1[[#This Row],[DUT Adj Read]]="N/A",IF(Table1[[#This Row],[Std Adj Read]]&lt;=Table1[[#This Row],[High Tol]],"Pass","Fail"),IF(Table1[[#This Row],[DUT Adj Read]]&lt;=Table1[[#This Row],[High Tol]],"Pass","Fail")))</f>
        <v>Fail</v>
      </c>
      <c r="AH16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9" s="1" t="b">
        <v>0</v>
      </c>
      <c r="AN1669" s="1" t="b">
        <v>0</v>
      </c>
      <c r="AO1669" s="1" t="b">
        <v>0</v>
      </c>
    </row>
    <row r="1670" spans="1:41" x14ac:dyDescent="0.25">
      <c r="A1670" s="10"/>
      <c r="B1670" s="10"/>
      <c r="C1670" s="10"/>
      <c r="D1670" s="10"/>
      <c r="E1670" s="10"/>
      <c r="F1670" s="10"/>
      <c r="G1670" s="10"/>
      <c r="H1670" s="10"/>
      <c r="I1670" s="1" t="str">
        <f t="shared" si="75"/>
        <v/>
      </c>
      <c r="J1670" s="1" t="s">
        <v>35</v>
      </c>
      <c r="K1670" s="1" t="str">
        <f t="shared" si="76"/>
        <v/>
      </c>
      <c r="L1670" s="1" t="str">
        <f t="shared" si="77"/>
        <v/>
      </c>
      <c r="M1670" s="1">
        <f>IF(OR(Table1[[#This Row],[Std Nom]]="",Table1[[#This Row],[Std Read]]=""),0,Table1[[#This Row],[Std Nom]]-Table1[[#This Row],[Std Read]])</f>
        <v>0</v>
      </c>
      <c r="N1670" s="1">
        <f>IF(Calculations!$F$5="ACCREDITED 17025 WITH UNCERTAINTIES",$N$10,0)</f>
        <v>0</v>
      </c>
      <c r="O1670" s="1" t="str">
        <f>IFERROR(Table1[[#This Row],[Std Nom]]-(_xlfn.XLOOKUP(Table1[[#This Row],[Manufacturer]]&amp;" "&amp;Table1[[#This Row],[Model]],Table13[MFR &amp; MDL],Table13[Tolerance % CW ],"")/100*Table1[[#This Row],[Std Nom]]),"")</f>
        <v/>
      </c>
      <c r="P1670" s="1" t="str">
        <f>IFERROR(Table1[[#This Row],[Std Nom]]+(_xlfn.XLOOKUP(Table1[[#This Row],[Manufacturer]]&amp;" "&amp;Table1[[#This Row],[Model]],Table13[MFR &amp; MDL],Table13[Tolerance % CW ],"")/100*Table1[[#This Row],[Std Nom]]),"")</f>
        <v/>
      </c>
      <c r="Q1670" s="1" t="e">
        <f>Table1[[#This Row],[High Tol]]-Table1[[#This Row],[Low Tol]]</f>
        <v>#VALUE!</v>
      </c>
      <c r="R1670" s="1">
        <f>2*Table1[[#This Row],[Std Error]]</f>
        <v>0</v>
      </c>
      <c r="S1670" s="1" t="str">
        <f>IF(Table1[[#This Row],[High Tol]]="","N/A",IFERROR(ABS(Table1[[#This Row],[Tol Span]]/Table1[[#This Row],[Error Span]]),"N/A"))</f>
        <v>N/A</v>
      </c>
      <c r="T1670" s="1" t="str">
        <f>IF(OR(Table1[[#This Row],[Low Tol]]="",Table1[[#This Row],[High Tol]]=""),"Needs Analysis",IF(Table1[[#This Row],[Ratio]]&gt;=4,"Not Significant",IF(Table1[[#This Row],[Ratio]]&gt;=2,"Semi-Significant","Significant")))</f>
        <v>Needs Analysis</v>
      </c>
      <c r="W1670" s="1">
        <f>IF(Table1[[#This Row],[Cal Type]]&lt;&gt;"ACCREDITED 17025 WITH UNCERTAINTIES",0,"")</f>
        <v>0</v>
      </c>
      <c r="X1670" s="1" t="str">
        <f>IF(Table1[[#This Row],[DUT Read]]="","N/A",Table1[[#This Row],[Std Error]]+Table1[[#This Row],[DUT Read]]+Table1[[#This Row],[DUT Ucty]])</f>
        <v>N/A</v>
      </c>
      <c r="Y1670" s="1" t="str">
        <f>IF(Table1[[#This Row],[Std Read]]="","N/A",Table1[[#This Row],[Std Read]]+Table1[[#This Row],[Std Ucty]])</f>
        <v>N/A</v>
      </c>
      <c r="Z16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0" s="1" t="str">
        <f>IF(Table1[[#This Row],[Spec Type]]="","N/A",Table1[[#This Row],[Spec Type]])</f>
        <v>±</v>
      </c>
      <c r="AC1670" s="1" t="str">
        <f>IF(Table1[[#This Row],[Spec Type2]]="N/A","N/A",IF(AND(Table1[[#This Row],[DUT Adj Read]]&gt;=Table1[[#This Row],[Low Tol]],Table1[[#This Row],[DUT Adj Read]]&lt;=Table1[[#This Row],[High Tol]]),"Pass","Fail"))</f>
        <v>Fail</v>
      </c>
      <c r="AD1670" s="1" t="str">
        <f>IF(AND(Table1[[#This Row],[Spec Type2]]="N/A",Table1[[#This Row],[DUT Adj Read]]="N/A",Table1[[#This Row],[Std Adj Read]]="N/A"),"N/A",IF(Table1[[#This Row],[DUT Adj Read]]="N/A",IF(Table1[[#This Row],[Std Adj Read]]&gt;Table1[[#This Row],[Low Tol]],"Pass","Fail"),IF(Table1[[#This Row],[DUT Adj Read]]&gt;Table1[[#This Row],[Low Tol]],"Pass","Fail")))</f>
        <v>Pass</v>
      </c>
      <c r="AE1670" s="1" t="str">
        <f>IF(AND(Table1[[#This Row],[Spec Type2]]="N/A",Table1[[#This Row],[DUT Adj Read]]="N/A",Table1[[#This Row],[Std Adj Read]]="N/A"),"N/A",IF(Table1[[#This Row],[DUT Adj Read]]="N/A",IF(Table1[[#This Row],[Std Adj Read]]&lt;Table1[[#This Row],[High Tol]],"Pass","Fail"),IF(Table1[[#This Row],[DUT Adj Read]]&lt;Table1[[#This Row],[High Tol]],"Pass","Fail")))</f>
        <v>Fail</v>
      </c>
      <c r="AF1670" s="1" t="str">
        <f>IF(AND(Table1[[#This Row],[Spec Type2]]="N/A",Table1[[#This Row],[DUT Adj Read]]="N/A",Table1[[#This Row],[Std Adj Read]]="N/A"),"N/A",IF(Table1[[#This Row],[DUT Adj Read]]="N/A",IF(Table1[[#This Row],[Std Adj Read]]&gt;=Table1[[#This Row],[Low Tol]],"Pass","Fail"),IF(Table1[[#This Row],[DUT Adj Read]]&gt;=Table1[[#This Row],[Low Tol]],"Pass","Fail")))</f>
        <v>Pass</v>
      </c>
      <c r="AG1670" s="1" t="str">
        <f>IF(AND(Table1[[#This Row],[Spec Type2]]="N/A",Table1[[#This Row],[DUT Adj Read]]="N/A",Table1[[#This Row],[Std Adj Read]]="N/A"),"N/A",IF(Table1[[#This Row],[DUT Adj Read]]="N/A",IF(Table1[[#This Row],[Std Adj Read]]&lt;=Table1[[#This Row],[High Tol]],"Pass","Fail"),IF(Table1[[#This Row],[DUT Adj Read]]&lt;=Table1[[#This Row],[High Tol]],"Pass","Fail")))</f>
        <v>Fail</v>
      </c>
      <c r="AH16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0" s="1" t="b">
        <v>0</v>
      </c>
      <c r="AN1670" s="1" t="b">
        <v>0</v>
      </c>
      <c r="AO1670" s="1" t="b">
        <v>0</v>
      </c>
    </row>
    <row r="1671" spans="1:41" x14ac:dyDescent="0.25">
      <c r="A1671" s="10"/>
      <c r="B1671" s="10"/>
      <c r="C1671" s="10"/>
      <c r="D1671" s="10"/>
      <c r="E1671" s="10"/>
      <c r="F1671" s="10"/>
      <c r="G1671" s="10"/>
      <c r="H1671" s="10"/>
      <c r="I1671" s="1" t="str">
        <f t="shared" si="75"/>
        <v/>
      </c>
      <c r="J1671" s="1" t="s">
        <v>35</v>
      </c>
      <c r="K1671" s="1" t="str">
        <f t="shared" si="76"/>
        <v/>
      </c>
      <c r="L1671" s="1" t="str">
        <f t="shared" si="77"/>
        <v/>
      </c>
      <c r="M1671" s="1">
        <f>IF(OR(Table1[[#This Row],[Std Nom]]="",Table1[[#This Row],[Std Read]]=""),0,Table1[[#This Row],[Std Nom]]-Table1[[#This Row],[Std Read]])</f>
        <v>0</v>
      </c>
      <c r="N1671" s="1">
        <f>IF(Calculations!$F$5="ACCREDITED 17025 WITH UNCERTAINTIES",$N$10,0)</f>
        <v>0</v>
      </c>
      <c r="O1671" s="1" t="str">
        <f>IFERROR(Table1[[#This Row],[Std Nom]]-(_xlfn.XLOOKUP(Table1[[#This Row],[Manufacturer]]&amp;" "&amp;Table1[[#This Row],[Model]],Table13[MFR &amp; MDL],Table13[Tolerance % CW ],"")/100*Table1[[#This Row],[Std Nom]]),"")</f>
        <v/>
      </c>
      <c r="P1671" s="1" t="str">
        <f>IFERROR(Table1[[#This Row],[Std Nom]]+(_xlfn.XLOOKUP(Table1[[#This Row],[Manufacturer]]&amp;" "&amp;Table1[[#This Row],[Model]],Table13[MFR &amp; MDL],Table13[Tolerance % CW ],"")/100*Table1[[#This Row],[Std Nom]]),"")</f>
        <v/>
      </c>
      <c r="Q1671" s="1" t="e">
        <f>Table1[[#This Row],[High Tol]]-Table1[[#This Row],[Low Tol]]</f>
        <v>#VALUE!</v>
      </c>
      <c r="R1671" s="1">
        <f>2*Table1[[#This Row],[Std Error]]</f>
        <v>0</v>
      </c>
      <c r="S1671" s="1" t="str">
        <f>IF(Table1[[#This Row],[High Tol]]="","N/A",IFERROR(ABS(Table1[[#This Row],[Tol Span]]/Table1[[#This Row],[Error Span]]),"N/A"))</f>
        <v>N/A</v>
      </c>
      <c r="T1671" s="1" t="str">
        <f>IF(OR(Table1[[#This Row],[Low Tol]]="",Table1[[#This Row],[High Tol]]=""),"Needs Analysis",IF(Table1[[#This Row],[Ratio]]&gt;=4,"Not Significant",IF(Table1[[#This Row],[Ratio]]&gt;=2,"Semi-Significant","Significant")))</f>
        <v>Needs Analysis</v>
      </c>
      <c r="W1671" s="1">
        <f>IF(Table1[[#This Row],[Cal Type]]&lt;&gt;"ACCREDITED 17025 WITH UNCERTAINTIES",0,"")</f>
        <v>0</v>
      </c>
      <c r="X1671" s="1" t="str">
        <f>IF(Table1[[#This Row],[DUT Read]]="","N/A",Table1[[#This Row],[Std Error]]+Table1[[#This Row],[DUT Read]]+Table1[[#This Row],[DUT Ucty]])</f>
        <v>N/A</v>
      </c>
      <c r="Y1671" s="1" t="str">
        <f>IF(Table1[[#This Row],[Std Read]]="","N/A",Table1[[#This Row],[Std Read]]+Table1[[#This Row],[Std Ucty]])</f>
        <v>N/A</v>
      </c>
      <c r="Z16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1" s="1" t="str">
        <f>IF(Table1[[#This Row],[Spec Type]]="","N/A",Table1[[#This Row],[Spec Type]])</f>
        <v>±</v>
      </c>
      <c r="AC1671" s="1" t="str">
        <f>IF(Table1[[#This Row],[Spec Type2]]="N/A","N/A",IF(AND(Table1[[#This Row],[DUT Adj Read]]&gt;=Table1[[#This Row],[Low Tol]],Table1[[#This Row],[DUT Adj Read]]&lt;=Table1[[#This Row],[High Tol]]),"Pass","Fail"))</f>
        <v>Fail</v>
      </c>
      <c r="AD1671" s="1" t="str">
        <f>IF(AND(Table1[[#This Row],[Spec Type2]]="N/A",Table1[[#This Row],[DUT Adj Read]]="N/A",Table1[[#This Row],[Std Adj Read]]="N/A"),"N/A",IF(Table1[[#This Row],[DUT Adj Read]]="N/A",IF(Table1[[#This Row],[Std Adj Read]]&gt;Table1[[#This Row],[Low Tol]],"Pass","Fail"),IF(Table1[[#This Row],[DUT Adj Read]]&gt;Table1[[#This Row],[Low Tol]],"Pass","Fail")))</f>
        <v>Pass</v>
      </c>
      <c r="AE1671" s="1" t="str">
        <f>IF(AND(Table1[[#This Row],[Spec Type2]]="N/A",Table1[[#This Row],[DUT Adj Read]]="N/A",Table1[[#This Row],[Std Adj Read]]="N/A"),"N/A",IF(Table1[[#This Row],[DUT Adj Read]]="N/A",IF(Table1[[#This Row],[Std Adj Read]]&lt;Table1[[#This Row],[High Tol]],"Pass","Fail"),IF(Table1[[#This Row],[DUT Adj Read]]&lt;Table1[[#This Row],[High Tol]],"Pass","Fail")))</f>
        <v>Fail</v>
      </c>
      <c r="AF1671" s="1" t="str">
        <f>IF(AND(Table1[[#This Row],[Spec Type2]]="N/A",Table1[[#This Row],[DUT Adj Read]]="N/A",Table1[[#This Row],[Std Adj Read]]="N/A"),"N/A",IF(Table1[[#This Row],[DUT Adj Read]]="N/A",IF(Table1[[#This Row],[Std Adj Read]]&gt;=Table1[[#This Row],[Low Tol]],"Pass","Fail"),IF(Table1[[#This Row],[DUT Adj Read]]&gt;=Table1[[#This Row],[Low Tol]],"Pass","Fail")))</f>
        <v>Pass</v>
      </c>
      <c r="AG1671" s="1" t="str">
        <f>IF(AND(Table1[[#This Row],[Spec Type2]]="N/A",Table1[[#This Row],[DUT Adj Read]]="N/A",Table1[[#This Row],[Std Adj Read]]="N/A"),"N/A",IF(Table1[[#This Row],[DUT Adj Read]]="N/A",IF(Table1[[#This Row],[Std Adj Read]]&lt;=Table1[[#This Row],[High Tol]],"Pass","Fail"),IF(Table1[[#This Row],[DUT Adj Read]]&lt;=Table1[[#This Row],[High Tol]],"Pass","Fail")))</f>
        <v>Fail</v>
      </c>
      <c r="AH16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1" s="1" t="b">
        <v>0</v>
      </c>
      <c r="AN1671" s="1" t="b">
        <v>0</v>
      </c>
      <c r="AO1671" s="1" t="b">
        <v>0</v>
      </c>
    </row>
    <row r="1672" spans="1:41" x14ac:dyDescent="0.25">
      <c r="A1672" s="10"/>
      <c r="B1672" s="10"/>
      <c r="C1672" s="10"/>
      <c r="D1672" s="10"/>
      <c r="E1672" s="10"/>
      <c r="F1672" s="10"/>
      <c r="G1672" s="10"/>
      <c r="H1672" s="10"/>
      <c r="I1672" s="1" t="str">
        <f t="shared" si="75"/>
        <v/>
      </c>
      <c r="J1672" s="1" t="s">
        <v>35</v>
      </c>
      <c r="K1672" s="1" t="str">
        <f t="shared" si="76"/>
        <v/>
      </c>
      <c r="L1672" s="1" t="str">
        <f t="shared" si="77"/>
        <v/>
      </c>
      <c r="M1672" s="1">
        <f>IF(OR(Table1[[#This Row],[Std Nom]]="",Table1[[#This Row],[Std Read]]=""),0,Table1[[#This Row],[Std Nom]]-Table1[[#This Row],[Std Read]])</f>
        <v>0</v>
      </c>
      <c r="N1672" s="1">
        <f>IF(Calculations!$F$5="ACCREDITED 17025 WITH UNCERTAINTIES",$N$10,0)</f>
        <v>0</v>
      </c>
      <c r="O1672" s="1" t="str">
        <f>IFERROR(Table1[[#This Row],[Std Nom]]-(_xlfn.XLOOKUP(Table1[[#This Row],[Manufacturer]]&amp;" "&amp;Table1[[#This Row],[Model]],Table13[MFR &amp; MDL],Table13[Tolerance % CW ],"")/100*Table1[[#This Row],[Std Nom]]),"")</f>
        <v/>
      </c>
      <c r="P1672" s="1" t="str">
        <f>IFERROR(Table1[[#This Row],[Std Nom]]+(_xlfn.XLOOKUP(Table1[[#This Row],[Manufacturer]]&amp;" "&amp;Table1[[#This Row],[Model]],Table13[MFR &amp; MDL],Table13[Tolerance % CW ],"")/100*Table1[[#This Row],[Std Nom]]),"")</f>
        <v/>
      </c>
      <c r="Q1672" s="1" t="e">
        <f>Table1[[#This Row],[High Tol]]-Table1[[#This Row],[Low Tol]]</f>
        <v>#VALUE!</v>
      </c>
      <c r="R1672" s="1">
        <f>2*Table1[[#This Row],[Std Error]]</f>
        <v>0</v>
      </c>
      <c r="S1672" s="1" t="str">
        <f>IF(Table1[[#This Row],[High Tol]]="","N/A",IFERROR(ABS(Table1[[#This Row],[Tol Span]]/Table1[[#This Row],[Error Span]]),"N/A"))</f>
        <v>N/A</v>
      </c>
      <c r="T1672" s="1" t="str">
        <f>IF(OR(Table1[[#This Row],[Low Tol]]="",Table1[[#This Row],[High Tol]]=""),"Needs Analysis",IF(Table1[[#This Row],[Ratio]]&gt;=4,"Not Significant",IF(Table1[[#This Row],[Ratio]]&gt;=2,"Semi-Significant","Significant")))</f>
        <v>Needs Analysis</v>
      </c>
      <c r="W1672" s="1">
        <f>IF(Table1[[#This Row],[Cal Type]]&lt;&gt;"ACCREDITED 17025 WITH UNCERTAINTIES",0,"")</f>
        <v>0</v>
      </c>
      <c r="X1672" s="1" t="str">
        <f>IF(Table1[[#This Row],[DUT Read]]="","N/A",Table1[[#This Row],[Std Error]]+Table1[[#This Row],[DUT Read]]+Table1[[#This Row],[DUT Ucty]])</f>
        <v>N/A</v>
      </c>
      <c r="Y1672" s="1" t="str">
        <f>IF(Table1[[#This Row],[Std Read]]="","N/A",Table1[[#This Row],[Std Read]]+Table1[[#This Row],[Std Ucty]])</f>
        <v>N/A</v>
      </c>
      <c r="Z16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2" s="1" t="str">
        <f>IF(Table1[[#This Row],[Spec Type]]="","N/A",Table1[[#This Row],[Spec Type]])</f>
        <v>±</v>
      </c>
      <c r="AC1672" s="1" t="str">
        <f>IF(Table1[[#This Row],[Spec Type2]]="N/A","N/A",IF(AND(Table1[[#This Row],[DUT Adj Read]]&gt;=Table1[[#This Row],[Low Tol]],Table1[[#This Row],[DUT Adj Read]]&lt;=Table1[[#This Row],[High Tol]]),"Pass","Fail"))</f>
        <v>Fail</v>
      </c>
      <c r="AD1672" s="1" t="str">
        <f>IF(AND(Table1[[#This Row],[Spec Type2]]="N/A",Table1[[#This Row],[DUT Adj Read]]="N/A",Table1[[#This Row],[Std Adj Read]]="N/A"),"N/A",IF(Table1[[#This Row],[DUT Adj Read]]="N/A",IF(Table1[[#This Row],[Std Adj Read]]&gt;Table1[[#This Row],[Low Tol]],"Pass","Fail"),IF(Table1[[#This Row],[DUT Adj Read]]&gt;Table1[[#This Row],[Low Tol]],"Pass","Fail")))</f>
        <v>Pass</v>
      </c>
      <c r="AE1672" s="1" t="str">
        <f>IF(AND(Table1[[#This Row],[Spec Type2]]="N/A",Table1[[#This Row],[DUT Adj Read]]="N/A",Table1[[#This Row],[Std Adj Read]]="N/A"),"N/A",IF(Table1[[#This Row],[DUT Adj Read]]="N/A",IF(Table1[[#This Row],[Std Adj Read]]&lt;Table1[[#This Row],[High Tol]],"Pass","Fail"),IF(Table1[[#This Row],[DUT Adj Read]]&lt;Table1[[#This Row],[High Tol]],"Pass","Fail")))</f>
        <v>Fail</v>
      </c>
      <c r="AF1672" s="1" t="str">
        <f>IF(AND(Table1[[#This Row],[Spec Type2]]="N/A",Table1[[#This Row],[DUT Adj Read]]="N/A",Table1[[#This Row],[Std Adj Read]]="N/A"),"N/A",IF(Table1[[#This Row],[DUT Adj Read]]="N/A",IF(Table1[[#This Row],[Std Adj Read]]&gt;=Table1[[#This Row],[Low Tol]],"Pass","Fail"),IF(Table1[[#This Row],[DUT Adj Read]]&gt;=Table1[[#This Row],[Low Tol]],"Pass","Fail")))</f>
        <v>Pass</v>
      </c>
      <c r="AG1672" s="1" t="str">
        <f>IF(AND(Table1[[#This Row],[Spec Type2]]="N/A",Table1[[#This Row],[DUT Adj Read]]="N/A",Table1[[#This Row],[Std Adj Read]]="N/A"),"N/A",IF(Table1[[#This Row],[DUT Adj Read]]="N/A",IF(Table1[[#This Row],[Std Adj Read]]&lt;=Table1[[#This Row],[High Tol]],"Pass","Fail"),IF(Table1[[#This Row],[DUT Adj Read]]&lt;=Table1[[#This Row],[High Tol]],"Pass","Fail")))</f>
        <v>Fail</v>
      </c>
      <c r="AH16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2" s="1" t="b">
        <v>0</v>
      </c>
      <c r="AN1672" s="1" t="b">
        <v>0</v>
      </c>
      <c r="AO1672" s="1" t="b">
        <v>0</v>
      </c>
    </row>
    <row r="1673" spans="1:41" x14ac:dyDescent="0.25">
      <c r="A1673" s="10"/>
      <c r="B1673" s="10"/>
      <c r="C1673" s="10"/>
      <c r="D1673" s="10"/>
      <c r="E1673" s="10"/>
      <c r="F1673" s="10"/>
      <c r="G1673" s="10"/>
      <c r="H1673" s="10"/>
      <c r="I1673" s="1" t="str">
        <f t="shared" si="75"/>
        <v/>
      </c>
      <c r="J1673" s="1" t="s">
        <v>35</v>
      </c>
      <c r="K1673" s="1" t="str">
        <f t="shared" si="76"/>
        <v/>
      </c>
      <c r="L1673" s="1" t="str">
        <f t="shared" si="77"/>
        <v/>
      </c>
      <c r="M1673" s="1">
        <f>IF(OR(Table1[[#This Row],[Std Nom]]="",Table1[[#This Row],[Std Read]]=""),0,Table1[[#This Row],[Std Nom]]-Table1[[#This Row],[Std Read]])</f>
        <v>0</v>
      </c>
      <c r="N1673" s="1">
        <f>IF(Calculations!$F$5="ACCREDITED 17025 WITH UNCERTAINTIES",$N$10,0)</f>
        <v>0</v>
      </c>
      <c r="O1673" s="1" t="str">
        <f>IFERROR(Table1[[#This Row],[Std Nom]]-(_xlfn.XLOOKUP(Table1[[#This Row],[Manufacturer]]&amp;" "&amp;Table1[[#This Row],[Model]],Table13[MFR &amp; MDL],Table13[Tolerance % CW ],"")/100*Table1[[#This Row],[Std Nom]]),"")</f>
        <v/>
      </c>
      <c r="P1673" s="1" t="str">
        <f>IFERROR(Table1[[#This Row],[Std Nom]]+(_xlfn.XLOOKUP(Table1[[#This Row],[Manufacturer]]&amp;" "&amp;Table1[[#This Row],[Model]],Table13[MFR &amp; MDL],Table13[Tolerance % CW ],"")/100*Table1[[#This Row],[Std Nom]]),"")</f>
        <v/>
      </c>
      <c r="Q1673" s="1" t="e">
        <f>Table1[[#This Row],[High Tol]]-Table1[[#This Row],[Low Tol]]</f>
        <v>#VALUE!</v>
      </c>
      <c r="R1673" s="1">
        <f>2*Table1[[#This Row],[Std Error]]</f>
        <v>0</v>
      </c>
      <c r="S1673" s="1" t="str">
        <f>IF(Table1[[#This Row],[High Tol]]="","N/A",IFERROR(ABS(Table1[[#This Row],[Tol Span]]/Table1[[#This Row],[Error Span]]),"N/A"))</f>
        <v>N/A</v>
      </c>
      <c r="T1673" s="1" t="str">
        <f>IF(OR(Table1[[#This Row],[Low Tol]]="",Table1[[#This Row],[High Tol]]=""),"Needs Analysis",IF(Table1[[#This Row],[Ratio]]&gt;=4,"Not Significant",IF(Table1[[#This Row],[Ratio]]&gt;=2,"Semi-Significant","Significant")))</f>
        <v>Needs Analysis</v>
      </c>
      <c r="W1673" s="1">
        <f>IF(Table1[[#This Row],[Cal Type]]&lt;&gt;"ACCREDITED 17025 WITH UNCERTAINTIES",0,"")</f>
        <v>0</v>
      </c>
      <c r="X1673" s="1" t="str">
        <f>IF(Table1[[#This Row],[DUT Read]]="","N/A",Table1[[#This Row],[Std Error]]+Table1[[#This Row],[DUT Read]]+Table1[[#This Row],[DUT Ucty]])</f>
        <v>N/A</v>
      </c>
      <c r="Y1673" s="1" t="str">
        <f>IF(Table1[[#This Row],[Std Read]]="","N/A",Table1[[#This Row],[Std Read]]+Table1[[#This Row],[Std Ucty]])</f>
        <v>N/A</v>
      </c>
      <c r="Z16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3" s="1" t="str">
        <f>IF(Table1[[#This Row],[Spec Type]]="","N/A",Table1[[#This Row],[Spec Type]])</f>
        <v>±</v>
      </c>
      <c r="AC1673" s="1" t="str">
        <f>IF(Table1[[#This Row],[Spec Type2]]="N/A","N/A",IF(AND(Table1[[#This Row],[DUT Adj Read]]&gt;=Table1[[#This Row],[Low Tol]],Table1[[#This Row],[DUT Adj Read]]&lt;=Table1[[#This Row],[High Tol]]),"Pass","Fail"))</f>
        <v>Fail</v>
      </c>
      <c r="AD1673" s="1" t="str">
        <f>IF(AND(Table1[[#This Row],[Spec Type2]]="N/A",Table1[[#This Row],[DUT Adj Read]]="N/A",Table1[[#This Row],[Std Adj Read]]="N/A"),"N/A",IF(Table1[[#This Row],[DUT Adj Read]]="N/A",IF(Table1[[#This Row],[Std Adj Read]]&gt;Table1[[#This Row],[Low Tol]],"Pass","Fail"),IF(Table1[[#This Row],[DUT Adj Read]]&gt;Table1[[#This Row],[Low Tol]],"Pass","Fail")))</f>
        <v>Pass</v>
      </c>
      <c r="AE1673" s="1" t="str">
        <f>IF(AND(Table1[[#This Row],[Spec Type2]]="N/A",Table1[[#This Row],[DUT Adj Read]]="N/A",Table1[[#This Row],[Std Adj Read]]="N/A"),"N/A",IF(Table1[[#This Row],[DUT Adj Read]]="N/A",IF(Table1[[#This Row],[Std Adj Read]]&lt;Table1[[#This Row],[High Tol]],"Pass","Fail"),IF(Table1[[#This Row],[DUT Adj Read]]&lt;Table1[[#This Row],[High Tol]],"Pass","Fail")))</f>
        <v>Fail</v>
      </c>
      <c r="AF1673" s="1" t="str">
        <f>IF(AND(Table1[[#This Row],[Spec Type2]]="N/A",Table1[[#This Row],[DUT Adj Read]]="N/A",Table1[[#This Row],[Std Adj Read]]="N/A"),"N/A",IF(Table1[[#This Row],[DUT Adj Read]]="N/A",IF(Table1[[#This Row],[Std Adj Read]]&gt;=Table1[[#This Row],[Low Tol]],"Pass","Fail"),IF(Table1[[#This Row],[DUT Adj Read]]&gt;=Table1[[#This Row],[Low Tol]],"Pass","Fail")))</f>
        <v>Pass</v>
      </c>
      <c r="AG1673" s="1" t="str">
        <f>IF(AND(Table1[[#This Row],[Spec Type2]]="N/A",Table1[[#This Row],[DUT Adj Read]]="N/A",Table1[[#This Row],[Std Adj Read]]="N/A"),"N/A",IF(Table1[[#This Row],[DUT Adj Read]]="N/A",IF(Table1[[#This Row],[Std Adj Read]]&lt;=Table1[[#This Row],[High Tol]],"Pass","Fail"),IF(Table1[[#This Row],[DUT Adj Read]]&lt;=Table1[[#This Row],[High Tol]],"Pass","Fail")))</f>
        <v>Fail</v>
      </c>
      <c r="AH16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3" s="1" t="b">
        <v>0</v>
      </c>
      <c r="AN1673" s="1" t="b">
        <v>0</v>
      </c>
      <c r="AO1673" s="1" t="b">
        <v>0</v>
      </c>
    </row>
    <row r="1674" spans="1:41" x14ac:dyDescent="0.25">
      <c r="A1674" s="10"/>
      <c r="B1674" s="10"/>
      <c r="C1674" s="10"/>
      <c r="D1674" s="10"/>
      <c r="E1674" s="10"/>
      <c r="F1674" s="10"/>
      <c r="G1674" s="10"/>
      <c r="H1674" s="10"/>
      <c r="I1674" s="1" t="str">
        <f t="shared" si="75"/>
        <v/>
      </c>
      <c r="J1674" s="1" t="s">
        <v>35</v>
      </c>
      <c r="K1674" s="1" t="str">
        <f t="shared" si="76"/>
        <v/>
      </c>
      <c r="L1674" s="1" t="str">
        <f t="shared" si="77"/>
        <v/>
      </c>
      <c r="M1674" s="1">
        <f>IF(OR(Table1[[#This Row],[Std Nom]]="",Table1[[#This Row],[Std Read]]=""),0,Table1[[#This Row],[Std Nom]]-Table1[[#This Row],[Std Read]])</f>
        <v>0</v>
      </c>
      <c r="N1674" s="1">
        <f>IF(Calculations!$F$5="ACCREDITED 17025 WITH UNCERTAINTIES",$N$10,0)</f>
        <v>0</v>
      </c>
      <c r="O1674" s="1" t="str">
        <f>IFERROR(Table1[[#This Row],[Std Nom]]-(_xlfn.XLOOKUP(Table1[[#This Row],[Manufacturer]]&amp;" "&amp;Table1[[#This Row],[Model]],Table13[MFR &amp; MDL],Table13[Tolerance % CW ],"")/100*Table1[[#This Row],[Std Nom]]),"")</f>
        <v/>
      </c>
      <c r="P1674" s="1" t="str">
        <f>IFERROR(Table1[[#This Row],[Std Nom]]+(_xlfn.XLOOKUP(Table1[[#This Row],[Manufacturer]]&amp;" "&amp;Table1[[#This Row],[Model]],Table13[MFR &amp; MDL],Table13[Tolerance % CW ],"")/100*Table1[[#This Row],[Std Nom]]),"")</f>
        <v/>
      </c>
      <c r="Q1674" s="1" t="e">
        <f>Table1[[#This Row],[High Tol]]-Table1[[#This Row],[Low Tol]]</f>
        <v>#VALUE!</v>
      </c>
      <c r="R1674" s="1">
        <f>2*Table1[[#This Row],[Std Error]]</f>
        <v>0</v>
      </c>
      <c r="S1674" s="1" t="str">
        <f>IF(Table1[[#This Row],[High Tol]]="","N/A",IFERROR(ABS(Table1[[#This Row],[Tol Span]]/Table1[[#This Row],[Error Span]]),"N/A"))</f>
        <v>N/A</v>
      </c>
      <c r="T1674" s="1" t="str">
        <f>IF(OR(Table1[[#This Row],[Low Tol]]="",Table1[[#This Row],[High Tol]]=""),"Needs Analysis",IF(Table1[[#This Row],[Ratio]]&gt;=4,"Not Significant",IF(Table1[[#This Row],[Ratio]]&gt;=2,"Semi-Significant","Significant")))</f>
        <v>Needs Analysis</v>
      </c>
      <c r="W1674" s="1">
        <f>IF(Table1[[#This Row],[Cal Type]]&lt;&gt;"ACCREDITED 17025 WITH UNCERTAINTIES",0,"")</f>
        <v>0</v>
      </c>
      <c r="X1674" s="1" t="str">
        <f>IF(Table1[[#This Row],[DUT Read]]="","N/A",Table1[[#This Row],[Std Error]]+Table1[[#This Row],[DUT Read]]+Table1[[#This Row],[DUT Ucty]])</f>
        <v>N/A</v>
      </c>
      <c r="Y1674" s="1" t="str">
        <f>IF(Table1[[#This Row],[Std Read]]="","N/A",Table1[[#This Row],[Std Read]]+Table1[[#This Row],[Std Ucty]])</f>
        <v>N/A</v>
      </c>
      <c r="Z16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4" s="1" t="str">
        <f>IF(Table1[[#This Row],[Spec Type]]="","N/A",Table1[[#This Row],[Spec Type]])</f>
        <v>±</v>
      </c>
      <c r="AC1674" s="1" t="str">
        <f>IF(Table1[[#This Row],[Spec Type2]]="N/A","N/A",IF(AND(Table1[[#This Row],[DUT Adj Read]]&gt;=Table1[[#This Row],[Low Tol]],Table1[[#This Row],[DUT Adj Read]]&lt;=Table1[[#This Row],[High Tol]]),"Pass","Fail"))</f>
        <v>Fail</v>
      </c>
      <c r="AD1674" s="1" t="str">
        <f>IF(AND(Table1[[#This Row],[Spec Type2]]="N/A",Table1[[#This Row],[DUT Adj Read]]="N/A",Table1[[#This Row],[Std Adj Read]]="N/A"),"N/A",IF(Table1[[#This Row],[DUT Adj Read]]="N/A",IF(Table1[[#This Row],[Std Adj Read]]&gt;Table1[[#This Row],[Low Tol]],"Pass","Fail"),IF(Table1[[#This Row],[DUT Adj Read]]&gt;Table1[[#This Row],[Low Tol]],"Pass","Fail")))</f>
        <v>Pass</v>
      </c>
      <c r="AE1674" s="1" t="str">
        <f>IF(AND(Table1[[#This Row],[Spec Type2]]="N/A",Table1[[#This Row],[DUT Adj Read]]="N/A",Table1[[#This Row],[Std Adj Read]]="N/A"),"N/A",IF(Table1[[#This Row],[DUT Adj Read]]="N/A",IF(Table1[[#This Row],[Std Adj Read]]&lt;Table1[[#This Row],[High Tol]],"Pass","Fail"),IF(Table1[[#This Row],[DUT Adj Read]]&lt;Table1[[#This Row],[High Tol]],"Pass","Fail")))</f>
        <v>Fail</v>
      </c>
      <c r="AF1674" s="1" t="str">
        <f>IF(AND(Table1[[#This Row],[Spec Type2]]="N/A",Table1[[#This Row],[DUT Adj Read]]="N/A",Table1[[#This Row],[Std Adj Read]]="N/A"),"N/A",IF(Table1[[#This Row],[DUT Adj Read]]="N/A",IF(Table1[[#This Row],[Std Adj Read]]&gt;=Table1[[#This Row],[Low Tol]],"Pass","Fail"),IF(Table1[[#This Row],[DUT Adj Read]]&gt;=Table1[[#This Row],[Low Tol]],"Pass","Fail")))</f>
        <v>Pass</v>
      </c>
      <c r="AG1674" s="1" t="str">
        <f>IF(AND(Table1[[#This Row],[Spec Type2]]="N/A",Table1[[#This Row],[DUT Adj Read]]="N/A",Table1[[#This Row],[Std Adj Read]]="N/A"),"N/A",IF(Table1[[#This Row],[DUT Adj Read]]="N/A",IF(Table1[[#This Row],[Std Adj Read]]&lt;=Table1[[#This Row],[High Tol]],"Pass","Fail"),IF(Table1[[#This Row],[DUT Adj Read]]&lt;=Table1[[#This Row],[High Tol]],"Pass","Fail")))</f>
        <v>Fail</v>
      </c>
      <c r="AH16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4" s="1" t="b">
        <v>0</v>
      </c>
      <c r="AN1674" s="1" t="b">
        <v>0</v>
      </c>
      <c r="AO1674" s="1" t="b">
        <v>0</v>
      </c>
    </row>
    <row r="1675" spans="1:41" x14ac:dyDescent="0.25">
      <c r="A1675" s="10"/>
      <c r="B1675" s="10"/>
      <c r="C1675" s="10"/>
      <c r="D1675" s="10"/>
      <c r="E1675" s="10"/>
      <c r="F1675" s="10"/>
      <c r="G1675" s="10"/>
      <c r="H1675" s="10"/>
      <c r="I1675" s="1" t="str">
        <f t="shared" ref="I1675:I1738" si="78">IF($I$10="","",$I$10)</f>
        <v/>
      </c>
      <c r="J1675" s="1" t="s">
        <v>35</v>
      </c>
      <c r="K1675" s="1" t="str">
        <f t="shared" ref="K1675:K1738" si="79">IF($K$10="","",$K$10)</f>
        <v/>
      </c>
      <c r="L1675" s="1" t="str">
        <f t="shared" ref="L1675:L1738" si="80">IF($L$10="","",$L$10)</f>
        <v/>
      </c>
      <c r="M1675" s="1">
        <f>IF(OR(Table1[[#This Row],[Std Nom]]="",Table1[[#This Row],[Std Read]]=""),0,Table1[[#This Row],[Std Nom]]-Table1[[#This Row],[Std Read]])</f>
        <v>0</v>
      </c>
      <c r="N1675" s="1">
        <f>IF(Calculations!$F$5="ACCREDITED 17025 WITH UNCERTAINTIES",$N$10,0)</f>
        <v>0</v>
      </c>
      <c r="O1675" s="1" t="str">
        <f>IFERROR(Table1[[#This Row],[Std Nom]]-(_xlfn.XLOOKUP(Table1[[#This Row],[Manufacturer]]&amp;" "&amp;Table1[[#This Row],[Model]],Table13[MFR &amp; MDL],Table13[Tolerance % CW ],"")/100*Table1[[#This Row],[Std Nom]]),"")</f>
        <v/>
      </c>
      <c r="P1675" s="1" t="str">
        <f>IFERROR(Table1[[#This Row],[Std Nom]]+(_xlfn.XLOOKUP(Table1[[#This Row],[Manufacturer]]&amp;" "&amp;Table1[[#This Row],[Model]],Table13[MFR &amp; MDL],Table13[Tolerance % CW ],"")/100*Table1[[#This Row],[Std Nom]]),"")</f>
        <v/>
      </c>
      <c r="Q1675" s="1" t="e">
        <f>Table1[[#This Row],[High Tol]]-Table1[[#This Row],[Low Tol]]</f>
        <v>#VALUE!</v>
      </c>
      <c r="R1675" s="1">
        <f>2*Table1[[#This Row],[Std Error]]</f>
        <v>0</v>
      </c>
      <c r="S1675" s="1" t="str">
        <f>IF(Table1[[#This Row],[High Tol]]="","N/A",IFERROR(ABS(Table1[[#This Row],[Tol Span]]/Table1[[#This Row],[Error Span]]),"N/A"))</f>
        <v>N/A</v>
      </c>
      <c r="T1675" s="1" t="str">
        <f>IF(OR(Table1[[#This Row],[Low Tol]]="",Table1[[#This Row],[High Tol]]=""),"Needs Analysis",IF(Table1[[#This Row],[Ratio]]&gt;=4,"Not Significant",IF(Table1[[#This Row],[Ratio]]&gt;=2,"Semi-Significant","Significant")))</f>
        <v>Needs Analysis</v>
      </c>
      <c r="W1675" s="1">
        <f>IF(Table1[[#This Row],[Cal Type]]&lt;&gt;"ACCREDITED 17025 WITH UNCERTAINTIES",0,"")</f>
        <v>0</v>
      </c>
      <c r="X1675" s="1" t="str">
        <f>IF(Table1[[#This Row],[DUT Read]]="","N/A",Table1[[#This Row],[Std Error]]+Table1[[#This Row],[DUT Read]]+Table1[[#This Row],[DUT Ucty]])</f>
        <v>N/A</v>
      </c>
      <c r="Y1675" s="1" t="str">
        <f>IF(Table1[[#This Row],[Std Read]]="","N/A",Table1[[#This Row],[Std Read]]+Table1[[#This Row],[Std Ucty]])</f>
        <v>N/A</v>
      </c>
      <c r="Z16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5" s="1" t="str">
        <f>IF(Table1[[#This Row],[Spec Type]]="","N/A",Table1[[#This Row],[Spec Type]])</f>
        <v>±</v>
      </c>
      <c r="AC1675" s="1" t="str">
        <f>IF(Table1[[#This Row],[Spec Type2]]="N/A","N/A",IF(AND(Table1[[#This Row],[DUT Adj Read]]&gt;=Table1[[#This Row],[Low Tol]],Table1[[#This Row],[DUT Adj Read]]&lt;=Table1[[#This Row],[High Tol]]),"Pass","Fail"))</f>
        <v>Fail</v>
      </c>
      <c r="AD1675" s="1" t="str">
        <f>IF(AND(Table1[[#This Row],[Spec Type2]]="N/A",Table1[[#This Row],[DUT Adj Read]]="N/A",Table1[[#This Row],[Std Adj Read]]="N/A"),"N/A",IF(Table1[[#This Row],[DUT Adj Read]]="N/A",IF(Table1[[#This Row],[Std Adj Read]]&gt;Table1[[#This Row],[Low Tol]],"Pass","Fail"),IF(Table1[[#This Row],[DUT Adj Read]]&gt;Table1[[#This Row],[Low Tol]],"Pass","Fail")))</f>
        <v>Pass</v>
      </c>
      <c r="AE1675" s="1" t="str">
        <f>IF(AND(Table1[[#This Row],[Spec Type2]]="N/A",Table1[[#This Row],[DUT Adj Read]]="N/A",Table1[[#This Row],[Std Adj Read]]="N/A"),"N/A",IF(Table1[[#This Row],[DUT Adj Read]]="N/A",IF(Table1[[#This Row],[Std Adj Read]]&lt;Table1[[#This Row],[High Tol]],"Pass","Fail"),IF(Table1[[#This Row],[DUT Adj Read]]&lt;Table1[[#This Row],[High Tol]],"Pass","Fail")))</f>
        <v>Fail</v>
      </c>
      <c r="AF1675" s="1" t="str">
        <f>IF(AND(Table1[[#This Row],[Spec Type2]]="N/A",Table1[[#This Row],[DUT Adj Read]]="N/A",Table1[[#This Row],[Std Adj Read]]="N/A"),"N/A",IF(Table1[[#This Row],[DUT Adj Read]]="N/A",IF(Table1[[#This Row],[Std Adj Read]]&gt;=Table1[[#This Row],[Low Tol]],"Pass","Fail"),IF(Table1[[#This Row],[DUT Adj Read]]&gt;=Table1[[#This Row],[Low Tol]],"Pass","Fail")))</f>
        <v>Pass</v>
      </c>
      <c r="AG1675" s="1" t="str">
        <f>IF(AND(Table1[[#This Row],[Spec Type2]]="N/A",Table1[[#This Row],[DUT Adj Read]]="N/A",Table1[[#This Row],[Std Adj Read]]="N/A"),"N/A",IF(Table1[[#This Row],[DUT Adj Read]]="N/A",IF(Table1[[#This Row],[Std Adj Read]]&lt;=Table1[[#This Row],[High Tol]],"Pass","Fail"),IF(Table1[[#This Row],[DUT Adj Read]]&lt;=Table1[[#This Row],[High Tol]],"Pass","Fail")))</f>
        <v>Fail</v>
      </c>
      <c r="AH16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5" s="1" t="b">
        <v>0</v>
      </c>
      <c r="AN1675" s="1" t="b">
        <v>0</v>
      </c>
      <c r="AO1675" s="1" t="b">
        <v>0</v>
      </c>
    </row>
    <row r="1676" spans="1:41" x14ac:dyDescent="0.25">
      <c r="A1676" s="10"/>
      <c r="B1676" s="10"/>
      <c r="C1676" s="10"/>
      <c r="D1676" s="10"/>
      <c r="E1676" s="10"/>
      <c r="F1676" s="10"/>
      <c r="G1676" s="10"/>
      <c r="H1676" s="10"/>
      <c r="I1676" s="1" t="str">
        <f t="shared" si="78"/>
        <v/>
      </c>
      <c r="J1676" s="1" t="s">
        <v>35</v>
      </c>
      <c r="K1676" s="1" t="str">
        <f t="shared" si="79"/>
        <v/>
      </c>
      <c r="L1676" s="1" t="str">
        <f t="shared" si="80"/>
        <v/>
      </c>
      <c r="M1676" s="1">
        <f>IF(OR(Table1[[#This Row],[Std Nom]]="",Table1[[#This Row],[Std Read]]=""),0,Table1[[#This Row],[Std Nom]]-Table1[[#This Row],[Std Read]])</f>
        <v>0</v>
      </c>
      <c r="N1676" s="1">
        <f>IF(Calculations!$F$5="ACCREDITED 17025 WITH UNCERTAINTIES",$N$10,0)</f>
        <v>0</v>
      </c>
      <c r="O1676" s="1" t="str">
        <f>IFERROR(Table1[[#This Row],[Std Nom]]-(_xlfn.XLOOKUP(Table1[[#This Row],[Manufacturer]]&amp;" "&amp;Table1[[#This Row],[Model]],Table13[MFR &amp; MDL],Table13[Tolerance % CW ],"")/100*Table1[[#This Row],[Std Nom]]),"")</f>
        <v/>
      </c>
      <c r="P1676" s="1" t="str">
        <f>IFERROR(Table1[[#This Row],[Std Nom]]+(_xlfn.XLOOKUP(Table1[[#This Row],[Manufacturer]]&amp;" "&amp;Table1[[#This Row],[Model]],Table13[MFR &amp; MDL],Table13[Tolerance % CW ],"")/100*Table1[[#This Row],[Std Nom]]),"")</f>
        <v/>
      </c>
      <c r="Q1676" s="1" t="e">
        <f>Table1[[#This Row],[High Tol]]-Table1[[#This Row],[Low Tol]]</f>
        <v>#VALUE!</v>
      </c>
      <c r="R1676" s="1">
        <f>2*Table1[[#This Row],[Std Error]]</f>
        <v>0</v>
      </c>
      <c r="S1676" s="1" t="str">
        <f>IF(Table1[[#This Row],[High Tol]]="","N/A",IFERROR(ABS(Table1[[#This Row],[Tol Span]]/Table1[[#This Row],[Error Span]]),"N/A"))</f>
        <v>N/A</v>
      </c>
      <c r="T1676" s="1" t="str">
        <f>IF(OR(Table1[[#This Row],[Low Tol]]="",Table1[[#This Row],[High Tol]]=""),"Needs Analysis",IF(Table1[[#This Row],[Ratio]]&gt;=4,"Not Significant",IF(Table1[[#This Row],[Ratio]]&gt;=2,"Semi-Significant","Significant")))</f>
        <v>Needs Analysis</v>
      </c>
      <c r="W1676" s="1">
        <f>IF(Table1[[#This Row],[Cal Type]]&lt;&gt;"ACCREDITED 17025 WITH UNCERTAINTIES",0,"")</f>
        <v>0</v>
      </c>
      <c r="X1676" s="1" t="str">
        <f>IF(Table1[[#This Row],[DUT Read]]="","N/A",Table1[[#This Row],[Std Error]]+Table1[[#This Row],[DUT Read]]+Table1[[#This Row],[DUT Ucty]])</f>
        <v>N/A</v>
      </c>
      <c r="Y1676" s="1" t="str">
        <f>IF(Table1[[#This Row],[Std Read]]="","N/A",Table1[[#This Row],[Std Read]]+Table1[[#This Row],[Std Ucty]])</f>
        <v>N/A</v>
      </c>
      <c r="Z16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6" s="1" t="str">
        <f>IF(Table1[[#This Row],[Spec Type]]="","N/A",Table1[[#This Row],[Spec Type]])</f>
        <v>±</v>
      </c>
      <c r="AC1676" s="1" t="str">
        <f>IF(Table1[[#This Row],[Spec Type2]]="N/A","N/A",IF(AND(Table1[[#This Row],[DUT Adj Read]]&gt;=Table1[[#This Row],[Low Tol]],Table1[[#This Row],[DUT Adj Read]]&lt;=Table1[[#This Row],[High Tol]]),"Pass","Fail"))</f>
        <v>Fail</v>
      </c>
      <c r="AD1676" s="1" t="str">
        <f>IF(AND(Table1[[#This Row],[Spec Type2]]="N/A",Table1[[#This Row],[DUT Adj Read]]="N/A",Table1[[#This Row],[Std Adj Read]]="N/A"),"N/A",IF(Table1[[#This Row],[DUT Adj Read]]="N/A",IF(Table1[[#This Row],[Std Adj Read]]&gt;Table1[[#This Row],[Low Tol]],"Pass","Fail"),IF(Table1[[#This Row],[DUT Adj Read]]&gt;Table1[[#This Row],[Low Tol]],"Pass","Fail")))</f>
        <v>Pass</v>
      </c>
      <c r="AE1676" s="1" t="str">
        <f>IF(AND(Table1[[#This Row],[Spec Type2]]="N/A",Table1[[#This Row],[DUT Adj Read]]="N/A",Table1[[#This Row],[Std Adj Read]]="N/A"),"N/A",IF(Table1[[#This Row],[DUT Adj Read]]="N/A",IF(Table1[[#This Row],[Std Adj Read]]&lt;Table1[[#This Row],[High Tol]],"Pass","Fail"),IF(Table1[[#This Row],[DUT Adj Read]]&lt;Table1[[#This Row],[High Tol]],"Pass","Fail")))</f>
        <v>Fail</v>
      </c>
      <c r="AF1676" s="1" t="str">
        <f>IF(AND(Table1[[#This Row],[Spec Type2]]="N/A",Table1[[#This Row],[DUT Adj Read]]="N/A",Table1[[#This Row],[Std Adj Read]]="N/A"),"N/A",IF(Table1[[#This Row],[DUT Adj Read]]="N/A",IF(Table1[[#This Row],[Std Adj Read]]&gt;=Table1[[#This Row],[Low Tol]],"Pass","Fail"),IF(Table1[[#This Row],[DUT Adj Read]]&gt;=Table1[[#This Row],[Low Tol]],"Pass","Fail")))</f>
        <v>Pass</v>
      </c>
      <c r="AG1676" s="1" t="str">
        <f>IF(AND(Table1[[#This Row],[Spec Type2]]="N/A",Table1[[#This Row],[DUT Adj Read]]="N/A",Table1[[#This Row],[Std Adj Read]]="N/A"),"N/A",IF(Table1[[#This Row],[DUT Adj Read]]="N/A",IF(Table1[[#This Row],[Std Adj Read]]&lt;=Table1[[#This Row],[High Tol]],"Pass","Fail"),IF(Table1[[#This Row],[DUT Adj Read]]&lt;=Table1[[#This Row],[High Tol]],"Pass","Fail")))</f>
        <v>Fail</v>
      </c>
      <c r="AH16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6" s="1" t="b">
        <v>0</v>
      </c>
      <c r="AN1676" s="1" t="b">
        <v>0</v>
      </c>
      <c r="AO1676" s="1" t="b">
        <v>0</v>
      </c>
    </row>
    <row r="1677" spans="1:41" x14ac:dyDescent="0.25">
      <c r="A1677" s="10"/>
      <c r="B1677" s="10"/>
      <c r="C1677" s="10"/>
      <c r="D1677" s="10"/>
      <c r="E1677" s="10"/>
      <c r="F1677" s="10"/>
      <c r="G1677" s="10"/>
      <c r="H1677" s="10"/>
      <c r="I1677" s="1" t="str">
        <f t="shared" si="78"/>
        <v/>
      </c>
      <c r="J1677" s="1" t="s">
        <v>35</v>
      </c>
      <c r="K1677" s="1" t="str">
        <f t="shared" si="79"/>
        <v/>
      </c>
      <c r="L1677" s="1" t="str">
        <f t="shared" si="80"/>
        <v/>
      </c>
      <c r="M1677" s="1">
        <f>IF(OR(Table1[[#This Row],[Std Nom]]="",Table1[[#This Row],[Std Read]]=""),0,Table1[[#This Row],[Std Nom]]-Table1[[#This Row],[Std Read]])</f>
        <v>0</v>
      </c>
      <c r="N1677" s="1">
        <f>IF(Calculations!$F$5="ACCREDITED 17025 WITH UNCERTAINTIES",$N$10,0)</f>
        <v>0</v>
      </c>
      <c r="O1677" s="1" t="str">
        <f>IFERROR(Table1[[#This Row],[Std Nom]]-(_xlfn.XLOOKUP(Table1[[#This Row],[Manufacturer]]&amp;" "&amp;Table1[[#This Row],[Model]],Table13[MFR &amp; MDL],Table13[Tolerance % CW ],"")/100*Table1[[#This Row],[Std Nom]]),"")</f>
        <v/>
      </c>
      <c r="P1677" s="1" t="str">
        <f>IFERROR(Table1[[#This Row],[Std Nom]]+(_xlfn.XLOOKUP(Table1[[#This Row],[Manufacturer]]&amp;" "&amp;Table1[[#This Row],[Model]],Table13[MFR &amp; MDL],Table13[Tolerance % CW ],"")/100*Table1[[#This Row],[Std Nom]]),"")</f>
        <v/>
      </c>
      <c r="Q1677" s="1" t="e">
        <f>Table1[[#This Row],[High Tol]]-Table1[[#This Row],[Low Tol]]</f>
        <v>#VALUE!</v>
      </c>
      <c r="R1677" s="1">
        <f>2*Table1[[#This Row],[Std Error]]</f>
        <v>0</v>
      </c>
      <c r="S1677" s="1" t="str">
        <f>IF(Table1[[#This Row],[High Tol]]="","N/A",IFERROR(ABS(Table1[[#This Row],[Tol Span]]/Table1[[#This Row],[Error Span]]),"N/A"))</f>
        <v>N/A</v>
      </c>
      <c r="T1677" s="1" t="str">
        <f>IF(OR(Table1[[#This Row],[Low Tol]]="",Table1[[#This Row],[High Tol]]=""),"Needs Analysis",IF(Table1[[#This Row],[Ratio]]&gt;=4,"Not Significant",IF(Table1[[#This Row],[Ratio]]&gt;=2,"Semi-Significant","Significant")))</f>
        <v>Needs Analysis</v>
      </c>
      <c r="W1677" s="1">
        <f>IF(Table1[[#This Row],[Cal Type]]&lt;&gt;"ACCREDITED 17025 WITH UNCERTAINTIES",0,"")</f>
        <v>0</v>
      </c>
      <c r="X1677" s="1" t="str">
        <f>IF(Table1[[#This Row],[DUT Read]]="","N/A",Table1[[#This Row],[Std Error]]+Table1[[#This Row],[DUT Read]]+Table1[[#This Row],[DUT Ucty]])</f>
        <v>N/A</v>
      </c>
      <c r="Y1677" s="1" t="str">
        <f>IF(Table1[[#This Row],[Std Read]]="","N/A",Table1[[#This Row],[Std Read]]+Table1[[#This Row],[Std Ucty]])</f>
        <v>N/A</v>
      </c>
      <c r="Z16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7" s="1" t="str">
        <f>IF(Table1[[#This Row],[Spec Type]]="","N/A",Table1[[#This Row],[Spec Type]])</f>
        <v>±</v>
      </c>
      <c r="AC1677" s="1" t="str">
        <f>IF(Table1[[#This Row],[Spec Type2]]="N/A","N/A",IF(AND(Table1[[#This Row],[DUT Adj Read]]&gt;=Table1[[#This Row],[Low Tol]],Table1[[#This Row],[DUT Adj Read]]&lt;=Table1[[#This Row],[High Tol]]),"Pass","Fail"))</f>
        <v>Fail</v>
      </c>
      <c r="AD1677" s="1" t="str">
        <f>IF(AND(Table1[[#This Row],[Spec Type2]]="N/A",Table1[[#This Row],[DUT Adj Read]]="N/A",Table1[[#This Row],[Std Adj Read]]="N/A"),"N/A",IF(Table1[[#This Row],[DUT Adj Read]]="N/A",IF(Table1[[#This Row],[Std Adj Read]]&gt;Table1[[#This Row],[Low Tol]],"Pass","Fail"),IF(Table1[[#This Row],[DUT Adj Read]]&gt;Table1[[#This Row],[Low Tol]],"Pass","Fail")))</f>
        <v>Pass</v>
      </c>
      <c r="AE1677" s="1" t="str">
        <f>IF(AND(Table1[[#This Row],[Spec Type2]]="N/A",Table1[[#This Row],[DUT Adj Read]]="N/A",Table1[[#This Row],[Std Adj Read]]="N/A"),"N/A",IF(Table1[[#This Row],[DUT Adj Read]]="N/A",IF(Table1[[#This Row],[Std Adj Read]]&lt;Table1[[#This Row],[High Tol]],"Pass","Fail"),IF(Table1[[#This Row],[DUT Adj Read]]&lt;Table1[[#This Row],[High Tol]],"Pass","Fail")))</f>
        <v>Fail</v>
      </c>
      <c r="AF1677" s="1" t="str">
        <f>IF(AND(Table1[[#This Row],[Spec Type2]]="N/A",Table1[[#This Row],[DUT Adj Read]]="N/A",Table1[[#This Row],[Std Adj Read]]="N/A"),"N/A",IF(Table1[[#This Row],[DUT Adj Read]]="N/A",IF(Table1[[#This Row],[Std Adj Read]]&gt;=Table1[[#This Row],[Low Tol]],"Pass","Fail"),IF(Table1[[#This Row],[DUT Adj Read]]&gt;=Table1[[#This Row],[Low Tol]],"Pass","Fail")))</f>
        <v>Pass</v>
      </c>
      <c r="AG1677" s="1" t="str">
        <f>IF(AND(Table1[[#This Row],[Spec Type2]]="N/A",Table1[[#This Row],[DUT Adj Read]]="N/A",Table1[[#This Row],[Std Adj Read]]="N/A"),"N/A",IF(Table1[[#This Row],[DUT Adj Read]]="N/A",IF(Table1[[#This Row],[Std Adj Read]]&lt;=Table1[[#This Row],[High Tol]],"Pass","Fail"),IF(Table1[[#This Row],[DUT Adj Read]]&lt;=Table1[[#This Row],[High Tol]],"Pass","Fail")))</f>
        <v>Fail</v>
      </c>
      <c r="AH16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7" s="1" t="b">
        <v>0</v>
      </c>
      <c r="AN1677" s="1" t="b">
        <v>0</v>
      </c>
      <c r="AO1677" s="1" t="b">
        <v>0</v>
      </c>
    </row>
    <row r="1678" spans="1:41" x14ac:dyDescent="0.25">
      <c r="A1678" s="10"/>
      <c r="B1678" s="10"/>
      <c r="C1678" s="10"/>
      <c r="D1678" s="10"/>
      <c r="E1678" s="10"/>
      <c r="F1678" s="10"/>
      <c r="G1678" s="10"/>
      <c r="H1678" s="10"/>
      <c r="I1678" s="1" t="str">
        <f t="shared" si="78"/>
        <v/>
      </c>
      <c r="J1678" s="1" t="s">
        <v>35</v>
      </c>
      <c r="K1678" s="1" t="str">
        <f t="shared" si="79"/>
        <v/>
      </c>
      <c r="L1678" s="1" t="str">
        <f t="shared" si="80"/>
        <v/>
      </c>
      <c r="M1678" s="1">
        <f>IF(OR(Table1[[#This Row],[Std Nom]]="",Table1[[#This Row],[Std Read]]=""),0,Table1[[#This Row],[Std Nom]]-Table1[[#This Row],[Std Read]])</f>
        <v>0</v>
      </c>
      <c r="N1678" s="1">
        <f>IF(Calculations!$F$5="ACCREDITED 17025 WITH UNCERTAINTIES",$N$10,0)</f>
        <v>0</v>
      </c>
      <c r="O1678" s="1" t="str">
        <f>IFERROR(Table1[[#This Row],[Std Nom]]-(_xlfn.XLOOKUP(Table1[[#This Row],[Manufacturer]]&amp;" "&amp;Table1[[#This Row],[Model]],Table13[MFR &amp; MDL],Table13[Tolerance % CW ],"")/100*Table1[[#This Row],[Std Nom]]),"")</f>
        <v/>
      </c>
      <c r="P1678" s="1" t="str">
        <f>IFERROR(Table1[[#This Row],[Std Nom]]+(_xlfn.XLOOKUP(Table1[[#This Row],[Manufacturer]]&amp;" "&amp;Table1[[#This Row],[Model]],Table13[MFR &amp; MDL],Table13[Tolerance % CW ],"")/100*Table1[[#This Row],[Std Nom]]),"")</f>
        <v/>
      </c>
      <c r="Q1678" s="1" t="e">
        <f>Table1[[#This Row],[High Tol]]-Table1[[#This Row],[Low Tol]]</f>
        <v>#VALUE!</v>
      </c>
      <c r="R1678" s="1">
        <f>2*Table1[[#This Row],[Std Error]]</f>
        <v>0</v>
      </c>
      <c r="S1678" s="1" t="str">
        <f>IF(Table1[[#This Row],[High Tol]]="","N/A",IFERROR(ABS(Table1[[#This Row],[Tol Span]]/Table1[[#This Row],[Error Span]]),"N/A"))</f>
        <v>N/A</v>
      </c>
      <c r="T1678" s="1" t="str">
        <f>IF(OR(Table1[[#This Row],[Low Tol]]="",Table1[[#This Row],[High Tol]]=""),"Needs Analysis",IF(Table1[[#This Row],[Ratio]]&gt;=4,"Not Significant",IF(Table1[[#This Row],[Ratio]]&gt;=2,"Semi-Significant","Significant")))</f>
        <v>Needs Analysis</v>
      </c>
      <c r="W1678" s="1">
        <f>IF(Table1[[#This Row],[Cal Type]]&lt;&gt;"ACCREDITED 17025 WITH UNCERTAINTIES",0,"")</f>
        <v>0</v>
      </c>
      <c r="X1678" s="1" t="str">
        <f>IF(Table1[[#This Row],[DUT Read]]="","N/A",Table1[[#This Row],[Std Error]]+Table1[[#This Row],[DUT Read]]+Table1[[#This Row],[DUT Ucty]])</f>
        <v>N/A</v>
      </c>
      <c r="Y1678" s="1" t="str">
        <f>IF(Table1[[#This Row],[Std Read]]="","N/A",Table1[[#This Row],[Std Read]]+Table1[[#This Row],[Std Ucty]])</f>
        <v>N/A</v>
      </c>
      <c r="Z16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8" s="1" t="str">
        <f>IF(Table1[[#This Row],[Spec Type]]="","N/A",Table1[[#This Row],[Spec Type]])</f>
        <v>±</v>
      </c>
      <c r="AC1678" s="1" t="str">
        <f>IF(Table1[[#This Row],[Spec Type2]]="N/A","N/A",IF(AND(Table1[[#This Row],[DUT Adj Read]]&gt;=Table1[[#This Row],[Low Tol]],Table1[[#This Row],[DUT Adj Read]]&lt;=Table1[[#This Row],[High Tol]]),"Pass","Fail"))</f>
        <v>Fail</v>
      </c>
      <c r="AD1678" s="1" t="str">
        <f>IF(AND(Table1[[#This Row],[Spec Type2]]="N/A",Table1[[#This Row],[DUT Adj Read]]="N/A",Table1[[#This Row],[Std Adj Read]]="N/A"),"N/A",IF(Table1[[#This Row],[DUT Adj Read]]="N/A",IF(Table1[[#This Row],[Std Adj Read]]&gt;Table1[[#This Row],[Low Tol]],"Pass","Fail"),IF(Table1[[#This Row],[DUT Adj Read]]&gt;Table1[[#This Row],[Low Tol]],"Pass","Fail")))</f>
        <v>Pass</v>
      </c>
      <c r="AE1678" s="1" t="str">
        <f>IF(AND(Table1[[#This Row],[Spec Type2]]="N/A",Table1[[#This Row],[DUT Adj Read]]="N/A",Table1[[#This Row],[Std Adj Read]]="N/A"),"N/A",IF(Table1[[#This Row],[DUT Adj Read]]="N/A",IF(Table1[[#This Row],[Std Adj Read]]&lt;Table1[[#This Row],[High Tol]],"Pass","Fail"),IF(Table1[[#This Row],[DUT Adj Read]]&lt;Table1[[#This Row],[High Tol]],"Pass","Fail")))</f>
        <v>Fail</v>
      </c>
      <c r="AF1678" s="1" t="str">
        <f>IF(AND(Table1[[#This Row],[Spec Type2]]="N/A",Table1[[#This Row],[DUT Adj Read]]="N/A",Table1[[#This Row],[Std Adj Read]]="N/A"),"N/A",IF(Table1[[#This Row],[DUT Adj Read]]="N/A",IF(Table1[[#This Row],[Std Adj Read]]&gt;=Table1[[#This Row],[Low Tol]],"Pass","Fail"),IF(Table1[[#This Row],[DUT Adj Read]]&gt;=Table1[[#This Row],[Low Tol]],"Pass","Fail")))</f>
        <v>Pass</v>
      </c>
      <c r="AG1678" s="1" t="str">
        <f>IF(AND(Table1[[#This Row],[Spec Type2]]="N/A",Table1[[#This Row],[DUT Adj Read]]="N/A",Table1[[#This Row],[Std Adj Read]]="N/A"),"N/A",IF(Table1[[#This Row],[DUT Adj Read]]="N/A",IF(Table1[[#This Row],[Std Adj Read]]&lt;=Table1[[#This Row],[High Tol]],"Pass","Fail"),IF(Table1[[#This Row],[DUT Adj Read]]&lt;=Table1[[#This Row],[High Tol]],"Pass","Fail")))</f>
        <v>Fail</v>
      </c>
      <c r="AH16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8" s="1" t="b">
        <v>0</v>
      </c>
      <c r="AN1678" s="1" t="b">
        <v>0</v>
      </c>
      <c r="AO1678" s="1" t="b">
        <v>0</v>
      </c>
    </row>
    <row r="1679" spans="1:41" x14ac:dyDescent="0.25">
      <c r="A1679" s="10"/>
      <c r="B1679" s="10"/>
      <c r="C1679" s="10"/>
      <c r="D1679" s="10"/>
      <c r="E1679" s="10"/>
      <c r="F1679" s="10"/>
      <c r="G1679" s="10"/>
      <c r="H1679" s="10"/>
      <c r="I1679" s="1" t="str">
        <f t="shared" si="78"/>
        <v/>
      </c>
      <c r="J1679" s="1" t="s">
        <v>35</v>
      </c>
      <c r="K1679" s="1" t="str">
        <f t="shared" si="79"/>
        <v/>
      </c>
      <c r="L1679" s="1" t="str">
        <f t="shared" si="80"/>
        <v/>
      </c>
      <c r="M1679" s="1">
        <f>IF(OR(Table1[[#This Row],[Std Nom]]="",Table1[[#This Row],[Std Read]]=""),0,Table1[[#This Row],[Std Nom]]-Table1[[#This Row],[Std Read]])</f>
        <v>0</v>
      </c>
      <c r="N1679" s="1">
        <f>IF(Calculations!$F$5="ACCREDITED 17025 WITH UNCERTAINTIES",$N$10,0)</f>
        <v>0</v>
      </c>
      <c r="O1679" s="1" t="str">
        <f>IFERROR(Table1[[#This Row],[Std Nom]]-(_xlfn.XLOOKUP(Table1[[#This Row],[Manufacturer]]&amp;" "&amp;Table1[[#This Row],[Model]],Table13[MFR &amp; MDL],Table13[Tolerance % CW ],"")/100*Table1[[#This Row],[Std Nom]]),"")</f>
        <v/>
      </c>
      <c r="P1679" s="1" t="str">
        <f>IFERROR(Table1[[#This Row],[Std Nom]]+(_xlfn.XLOOKUP(Table1[[#This Row],[Manufacturer]]&amp;" "&amp;Table1[[#This Row],[Model]],Table13[MFR &amp; MDL],Table13[Tolerance % CW ],"")/100*Table1[[#This Row],[Std Nom]]),"")</f>
        <v/>
      </c>
      <c r="Q1679" s="1" t="e">
        <f>Table1[[#This Row],[High Tol]]-Table1[[#This Row],[Low Tol]]</f>
        <v>#VALUE!</v>
      </c>
      <c r="R1679" s="1">
        <f>2*Table1[[#This Row],[Std Error]]</f>
        <v>0</v>
      </c>
      <c r="S1679" s="1" t="str">
        <f>IF(Table1[[#This Row],[High Tol]]="","N/A",IFERROR(ABS(Table1[[#This Row],[Tol Span]]/Table1[[#This Row],[Error Span]]),"N/A"))</f>
        <v>N/A</v>
      </c>
      <c r="T1679" s="1" t="str">
        <f>IF(OR(Table1[[#This Row],[Low Tol]]="",Table1[[#This Row],[High Tol]]=""),"Needs Analysis",IF(Table1[[#This Row],[Ratio]]&gt;=4,"Not Significant",IF(Table1[[#This Row],[Ratio]]&gt;=2,"Semi-Significant","Significant")))</f>
        <v>Needs Analysis</v>
      </c>
      <c r="W1679" s="1">
        <f>IF(Table1[[#This Row],[Cal Type]]&lt;&gt;"ACCREDITED 17025 WITH UNCERTAINTIES",0,"")</f>
        <v>0</v>
      </c>
      <c r="X1679" s="1" t="str">
        <f>IF(Table1[[#This Row],[DUT Read]]="","N/A",Table1[[#This Row],[Std Error]]+Table1[[#This Row],[DUT Read]]+Table1[[#This Row],[DUT Ucty]])</f>
        <v>N/A</v>
      </c>
      <c r="Y1679" s="1" t="str">
        <f>IF(Table1[[#This Row],[Std Read]]="","N/A",Table1[[#This Row],[Std Read]]+Table1[[#This Row],[Std Ucty]])</f>
        <v>N/A</v>
      </c>
      <c r="Z16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9" s="1" t="str">
        <f>IF(Table1[[#This Row],[Spec Type]]="","N/A",Table1[[#This Row],[Spec Type]])</f>
        <v>±</v>
      </c>
      <c r="AC1679" s="1" t="str">
        <f>IF(Table1[[#This Row],[Spec Type2]]="N/A","N/A",IF(AND(Table1[[#This Row],[DUT Adj Read]]&gt;=Table1[[#This Row],[Low Tol]],Table1[[#This Row],[DUT Adj Read]]&lt;=Table1[[#This Row],[High Tol]]),"Pass","Fail"))</f>
        <v>Fail</v>
      </c>
      <c r="AD1679" s="1" t="str">
        <f>IF(AND(Table1[[#This Row],[Spec Type2]]="N/A",Table1[[#This Row],[DUT Adj Read]]="N/A",Table1[[#This Row],[Std Adj Read]]="N/A"),"N/A",IF(Table1[[#This Row],[DUT Adj Read]]="N/A",IF(Table1[[#This Row],[Std Adj Read]]&gt;Table1[[#This Row],[Low Tol]],"Pass","Fail"),IF(Table1[[#This Row],[DUT Adj Read]]&gt;Table1[[#This Row],[Low Tol]],"Pass","Fail")))</f>
        <v>Pass</v>
      </c>
      <c r="AE1679" s="1" t="str">
        <f>IF(AND(Table1[[#This Row],[Spec Type2]]="N/A",Table1[[#This Row],[DUT Adj Read]]="N/A",Table1[[#This Row],[Std Adj Read]]="N/A"),"N/A",IF(Table1[[#This Row],[DUT Adj Read]]="N/A",IF(Table1[[#This Row],[Std Adj Read]]&lt;Table1[[#This Row],[High Tol]],"Pass","Fail"),IF(Table1[[#This Row],[DUT Adj Read]]&lt;Table1[[#This Row],[High Tol]],"Pass","Fail")))</f>
        <v>Fail</v>
      </c>
      <c r="AF1679" s="1" t="str">
        <f>IF(AND(Table1[[#This Row],[Spec Type2]]="N/A",Table1[[#This Row],[DUT Adj Read]]="N/A",Table1[[#This Row],[Std Adj Read]]="N/A"),"N/A",IF(Table1[[#This Row],[DUT Adj Read]]="N/A",IF(Table1[[#This Row],[Std Adj Read]]&gt;=Table1[[#This Row],[Low Tol]],"Pass","Fail"),IF(Table1[[#This Row],[DUT Adj Read]]&gt;=Table1[[#This Row],[Low Tol]],"Pass","Fail")))</f>
        <v>Pass</v>
      </c>
      <c r="AG1679" s="1" t="str">
        <f>IF(AND(Table1[[#This Row],[Spec Type2]]="N/A",Table1[[#This Row],[DUT Adj Read]]="N/A",Table1[[#This Row],[Std Adj Read]]="N/A"),"N/A",IF(Table1[[#This Row],[DUT Adj Read]]="N/A",IF(Table1[[#This Row],[Std Adj Read]]&lt;=Table1[[#This Row],[High Tol]],"Pass","Fail"),IF(Table1[[#This Row],[DUT Adj Read]]&lt;=Table1[[#This Row],[High Tol]],"Pass","Fail")))</f>
        <v>Fail</v>
      </c>
      <c r="AH16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9" s="1" t="b">
        <v>0</v>
      </c>
      <c r="AN1679" s="1" t="b">
        <v>0</v>
      </c>
      <c r="AO1679" s="1" t="b">
        <v>0</v>
      </c>
    </row>
    <row r="1680" spans="1:41" x14ac:dyDescent="0.25">
      <c r="A1680" s="10"/>
      <c r="B1680" s="10"/>
      <c r="C1680" s="10"/>
      <c r="D1680" s="10"/>
      <c r="E1680" s="10"/>
      <c r="F1680" s="10"/>
      <c r="G1680" s="10"/>
      <c r="H1680" s="10"/>
      <c r="I1680" s="1" t="str">
        <f t="shared" si="78"/>
        <v/>
      </c>
      <c r="J1680" s="1" t="s">
        <v>35</v>
      </c>
      <c r="K1680" s="1" t="str">
        <f t="shared" si="79"/>
        <v/>
      </c>
      <c r="L1680" s="1" t="str">
        <f t="shared" si="80"/>
        <v/>
      </c>
      <c r="M1680" s="1">
        <f>IF(OR(Table1[[#This Row],[Std Nom]]="",Table1[[#This Row],[Std Read]]=""),0,Table1[[#This Row],[Std Nom]]-Table1[[#This Row],[Std Read]])</f>
        <v>0</v>
      </c>
      <c r="N1680" s="1">
        <f>IF(Calculations!$F$5="ACCREDITED 17025 WITH UNCERTAINTIES",$N$10,0)</f>
        <v>0</v>
      </c>
      <c r="O1680" s="1" t="str">
        <f>IFERROR(Table1[[#This Row],[Std Nom]]-(_xlfn.XLOOKUP(Table1[[#This Row],[Manufacturer]]&amp;" "&amp;Table1[[#This Row],[Model]],Table13[MFR &amp; MDL],Table13[Tolerance % CW ],"")/100*Table1[[#This Row],[Std Nom]]),"")</f>
        <v/>
      </c>
      <c r="P1680" s="1" t="str">
        <f>IFERROR(Table1[[#This Row],[Std Nom]]+(_xlfn.XLOOKUP(Table1[[#This Row],[Manufacturer]]&amp;" "&amp;Table1[[#This Row],[Model]],Table13[MFR &amp; MDL],Table13[Tolerance % CW ],"")/100*Table1[[#This Row],[Std Nom]]),"")</f>
        <v/>
      </c>
      <c r="Q1680" s="1" t="e">
        <f>Table1[[#This Row],[High Tol]]-Table1[[#This Row],[Low Tol]]</f>
        <v>#VALUE!</v>
      </c>
      <c r="R1680" s="1">
        <f>2*Table1[[#This Row],[Std Error]]</f>
        <v>0</v>
      </c>
      <c r="S1680" s="1" t="str">
        <f>IF(Table1[[#This Row],[High Tol]]="","N/A",IFERROR(ABS(Table1[[#This Row],[Tol Span]]/Table1[[#This Row],[Error Span]]),"N/A"))</f>
        <v>N/A</v>
      </c>
      <c r="T1680" s="1" t="str">
        <f>IF(OR(Table1[[#This Row],[Low Tol]]="",Table1[[#This Row],[High Tol]]=""),"Needs Analysis",IF(Table1[[#This Row],[Ratio]]&gt;=4,"Not Significant",IF(Table1[[#This Row],[Ratio]]&gt;=2,"Semi-Significant","Significant")))</f>
        <v>Needs Analysis</v>
      </c>
      <c r="W1680" s="1">
        <f>IF(Table1[[#This Row],[Cal Type]]&lt;&gt;"ACCREDITED 17025 WITH UNCERTAINTIES",0,"")</f>
        <v>0</v>
      </c>
      <c r="X1680" s="1" t="str">
        <f>IF(Table1[[#This Row],[DUT Read]]="","N/A",Table1[[#This Row],[Std Error]]+Table1[[#This Row],[DUT Read]]+Table1[[#This Row],[DUT Ucty]])</f>
        <v>N/A</v>
      </c>
      <c r="Y1680" s="1" t="str">
        <f>IF(Table1[[#This Row],[Std Read]]="","N/A",Table1[[#This Row],[Std Read]]+Table1[[#This Row],[Std Ucty]])</f>
        <v>N/A</v>
      </c>
      <c r="Z16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0" s="1" t="str">
        <f>IF(Table1[[#This Row],[Spec Type]]="","N/A",Table1[[#This Row],[Spec Type]])</f>
        <v>±</v>
      </c>
      <c r="AC1680" s="1" t="str">
        <f>IF(Table1[[#This Row],[Spec Type2]]="N/A","N/A",IF(AND(Table1[[#This Row],[DUT Adj Read]]&gt;=Table1[[#This Row],[Low Tol]],Table1[[#This Row],[DUT Adj Read]]&lt;=Table1[[#This Row],[High Tol]]),"Pass","Fail"))</f>
        <v>Fail</v>
      </c>
      <c r="AD1680" s="1" t="str">
        <f>IF(AND(Table1[[#This Row],[Spec Type2]]="N/A",Table1[[#This Row],[DUT Adj Read]]="N/A",Table1[[#This Row],[Std Adj Read]]="N/A"),"N/A",IF(Table1[[#This Row],[DUT Adj Read]]="N/A",IF(Table1[[#This Row],[Std Adj Read]]&gt;Table1[[#This Row],[Low Tol]],"Pass","Fail"),IF(Table1[[#This Row],[DUT Adj Read]]&gt;Table1[[#This Row],[Low Tol]],"Pass","Fail")))</f>
        <v>Pass</v>
      </c>
      <c r="AE1680" s="1" t="str">
        <f>IF(AND(Table1[[#This Row],[Spec Type2]]="N/A",Table1[[#This Row],[DUT Adj Read]]="N/A",Table1[[#This Row],[Std Adj Read]]="N/A"),"N/A",IF(Table1[[#This Row],[DUT Adj Read]]="N/A",IF(Table1[[#This Row],[Std Adj Read]]&lt;Table1[[#This Row],[High Tol]],"Pass","Fail"),IF(Table1[[#This Row],[DUT Adj Read]]&lt;Table1[[#This Row],[High Tol]],"Pass","Fail")))</f>
        <v>Fail</v>
      </c>
      <c r="AF1680" s="1" t="str">
        <f>IF(AND(Table1[[#This Row],[Spec Type2]]="N/A",Table1[[#This Row],[DUT Adj Read]]="N/A",Table1[[#This Row],[Std Adj Read]]="N/A"),"N/A",IF(Table1[[#This Row],[DUT Adj Read]]="N/A",IF(Table1[[#This Row],[Std Adj Read]]&gt;=Table1[[#This Row],[Low Tol]],"Pass","Fail"),IF(Table1[[#This Row],[DUT Adj Read]]&gt;=Table1[[#This Row],[Low Tol]],"Pass","Fail")))</f>
        <v>Pass</v>
      </c>
      <c r="AG1680" s="1" t="str">
        <f>IF(AND(Table1[[#This Row],[Spec Type2]]="N/A",Table1[[#This Row],[DUT Adj Read]]="N/A",Table1[[#This Row],[Std Adj Read]]="N/A"),"N/A",IF(Table1[[#This Row],[DUT Adj Read]]="N/A",IF(Table1[[#This Row],[Std Adj Read]]&lt;=Table1[[#This Row],[High Tol]],"Pass","Fail"),IF(Table1[[#This Row],[DUT Adj Read]]&lt;=Table1[[#This Row],[High Tol]],"Pass","Fail")))</f>
        <v>Fail</v>
      </c>
      <c r="AH16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0" s="1" t="b">
        <v>0</v>
      </c>
      <c r="AN1680" s="1" t="b">
        <v>0</v>
      </c>
      <c r="AO1680" s="1" t="b">
        <v>0</v>
      </c>
    </row>
    <row r="1681" spans="1:41" x14ac:dyDescent="0.25">
      <c r="A1681" s="10"/>
      <c r="B1681" s="10"/>
      <c r="C1681" s="10"/>
      <c r="D1681" s="10"/>
      <c r="E1681" s="10"/>
      <c r="F1681" s="10"/>
      <c r="G1681" s="10"/>
      <c r="H1681" s="10"/>
      <c r="I1681" s="1" t="str">
        <f t="shared" si="78"/>
        <v/>
      </c>
      <c r="J1681" s="1" t="s">
        <v>35</v>
      </c>
      <c r="K1681" s="1" t="str">
        <f t="shared" si="79"/>
        <v/>
      </c>
      <c r="L1681" s="1" t="str">
        <f t="shared" si="80"/>
        <v/>
      </c>
      <c r="M1681" s="1">
        <f>IF(OR(Table1[[#This Row],[Std Nom]]="",Table1[[#This Row],[Std Read]]=""),0,Table1[[#This Row],[Std Nom]]-Table1[[#This Row],[Std Read]])</f>
        <v>0</v>
      </c>
      <c r="N1681" s="1">
        <f>IF(Calculations!$F$5="ACCREDITED 17025 WITH UNCERTAINTIES",$N$10,0)</f>
        <v>0</v>
      </c>
      <c r="O1681" s="1" t="str">
        <f>IFERROR(Table1[[#This Row],[Std Nom]]-(_xlfn.XLOOKUP(Table1[[#This Row],[Manufacturer]]&amp;" "&amp;Table1[[#This Row],[Model]],Table13[MFR &amp; MDL],Table13[Tolerance % CW ],"")/100*Table1[[#This Row],[Std Nom]]),"")</f>
        <v/>
      </c>
      <c r="P1681" s="1" t="str">
        <f>IFERROR(Table1[[#This Row],[Std Nom]]+(_xlfn.XLOOKUP(Table1[[#This Row],[Manufacturer]]&amp;" "&amp;Table1[[#This Row],[Model]],Table13[MFR &amp; MDL],Table13[Tolerance % CW ],"")/100*Table1[[#This Row],[Std Nom]]),"")</f>
        <v/>
      </c>
      <c r="Q1681" s="1" t="e">
        <f>Table1[[#This Row],[High Tol]]-Table1[[#This Row],[Low Tol]]</f>
        <v>#VALUE!</v>
      </c>
      <c r="R1681" s="1">
        <f>2*Table1[[#This Row],[Std Error]]</f>
        <v>0</v>
      </c>
      <c r="S1681" s="1" t="str">
        <f>IF(Table1[[#This Row],[High Tol]]="","N/A",IFERROR(ABS(Table1[[#This Row],[Tol Span]]/Table1[[#This Row],[Error Span]]),"N/A"))</f>
        <v>N/A</v>
      </c>
      <c r="T1681" s="1" t="str">
        <f>IF(OR(Table1[[#This Row],[Low Tol]]="",Table1[[#This Row],[High Tol]]=""),"Needs Analysis",IF(Table1[[#This Row],[Ratio]]&gt;=4,"Not Significant",IF(Table1[[#This Row],[Ratio]]&gt;=2,"Semi-Significant","Significant")))</f>
        <v>Needs Analysis</v>
      </c>
      <c r="W1681" s="1">
        <f>IF(Table1[[#This Row],[Cal Type]]&lt;&gt;"ACCREDITED 17025 WITH UNCERTAINTIES",0,"")</f>
        <v>0</v>
      </c>
      <c r="X1681" s="1" t="str">
        <f>IF(Table1[[#This Row],[DUT Read]]="","N/A",Table1[[#This Row],[Std Error]]+Table1[[#This Row],[DUT Read]]+Table1[[#This Row],[DUT Ucty]])</f>
        <v>N/A</v>
      </c>
      <c r="Y1681" s="1" t="str">
        <f>IF(Table1[[#This Row],[Std Read]]="","N/A",Table1[[#This Row],[Std Read]]+Table1[[#This Row],[Std Ucty]])</f>
        <v>N/A</v>
      </c>
      <c r="Z16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1" s="1" t="str">
        <f>IF(Table1[[#This Row],[Spec Type]]="","N/A",Table1[[#This Row],[Spec Type]])</f>
        <v>±</v>
      </c>
      <c r="AC1681" s="1" t="str">
        <f>IF(Table1[[#This Row],[Spec Type2]]="N/A","N/A",IF(AND(Table1[[#This Row],[DUT Adj Read]]&gt;=Table1[[#This Row],[Low Tol]],Table1[[#This Row],[DUT Adj Read]]&lt;=Table1[[#This Row],[High Tol]]),"Pass","Fail"))</f>
        <v>Fail</v>
      </c>
      <c r="AD1681" s="1" t="str">
        <f>IF(AND(Table1[[#This Row],[Spec Type2]]="N/A",Table1[[#This Row],[DUT Adj Read]]="N/A",Table1[[#This Row],[Std Adj Read]]="N/A"),"N/A",IF(Table1[[#This Row],[DUT Adj Read]]="N/A",IF(Table1[[#This Row],[Std Adj Read]]&gt;Table1[[#This Row],[Low Tol]],"Pass","Fail"),IF(Table1[[#This Row],[DUT Adj Read]]&gt;Table1[[#This Row],[Low Tol]],"Pass","Fail")))</f>
        <v>Pass</v>
      </c>
      <c r="AE1681" s="1" t="str">
        <f>IF(AND(Table1[[#This Row],[Spec Type2]]="N/A",Table1[[#This Row],[DUT Adj Read]]="N/A",Table1[[#This Row],[Std Adj Read]]="N/A"),"N/A",IF(Table1[[#This Row],[DUT Adj Read]]="N/A",IF(Table1[[#This Row],[Std Adj Read]]&lt;Table1[[#This Row],[High Tol]],"Pass","Fail"),IF(Table1[[#This Row],[DUT Adj Read]]&lt;Table1[[#This Row],[High Tol]],"Pass","Fail")))</f>
        <v>Fail</v>
      </c>
      <c r="AF1681" s="1" t="str">
        <f>IF(AND(Table1[[#This Row],[Spec Type2]]="N/A",Table1[[#This Row],[DUT Adj Read]]="N/A",Table1[[#This Row],[Std Adj Read]]="N/A"),"N/A",IF(Table1[[#This Row],[DUT Adj Read]]="N/A",IF(Table1[[#This Row],[Std Adj Read]]&gt;=Table1[[#This Row],[Low Tol]],"Pass","Fail"),IF(Table1[[#This Row],[DUT Adj Read]]&gt;=Table1[[#This Row],[Low Tol]],"Pass","Fail")))</f>
        <v>Pass</v>
      </c>
      <c r="AG1681" s="1" t="str">
        <f>IF(AND(Table1[[#This Row],[Spec Type2]]="N/A",Table1[[#This Row],[DUT Adj Read]]="N/A",Table1[[#This Row],[Std Adj Read]]="N/A"),"N/A",IF(Table1[[#This Row],[DUT Adj Read]]="N/A",IF(Table1[[#This Row],[Std Adj Read]]&lt;=Table1[[#This Row],[High Tol]],"Pass","Fail"),IF(Table1[[#This Row],[DUT Adj Read]]&lt;=Table1[[#This Row],[High Tol]],"Pass","Fail")))</f>
        <v>Fail</v>
      </c>
      <c r="AH16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1" s="1" t="b">
        <v>0</v>
      </c>
      <c r="AN1681" s="1" t="b">
        <v>0</v>
      </c>
      <c r="AO1681" s="1" t="b">
        <v>0</v>
      </c>
    </row>
    <row r="1682" spans="1:41" x14ac:dyDescent="0.25">
      <c r="A1682" s="10"/>
      <c r="B1682" s="10"/>
      <c r="C1682" s="10"/>
      <c r="D1682" s="10"/>
      <c r="E1682" s="10"/>
      <c r="F1682" s="10"/>
      <c r="G1682" s="10"/>
      <c r="H1682" s="10"/>
      <c r="I1682" s="1" t="str">
        <f t="shared" si="78"/>
        <v/>
      </c>
      <c r="J1682" s="1" t="s">
        <v>35</v>
      </c>
      <c r="K1682" s="1" t="str">
        <f t="shared" si="79"/>
        <v/>
      </c>
      <c r="L1682" s="1" t="str">
        <f t="shared" si="80"/>
        <v/>
      </c>
      <c r="M1682" s="1">
        <f>IF(OR(Table1[[#This Row],[Std Nom]]="",Table1[[#This Row],[Std Read]]=""),0,Table1[[#This Row],[Std Nom]]-Table1[[#This Row],[Std Read]])</f>
        <v>0</v>
      </c>
      <c r="N1682" s="1">
        <f>IF(Calculations!$F$5="ACCREDITED 17025 WITH UNCERTAINTIES",$N$10,0)</f>
        <v>0</v>
      </c>
      <c r="O1682" s="1" t="str">
        <f>IFERROR(Table1[[#This Row],[Std Nom]]-(_xlfn.XLOOKUP(Table1[[#This Row],[Manufacturer]]&amp;" "&amp;Table1[[#This Row],[Model]],Table13[MFR &amp; MDL],Table13[Tolerance % CW ],"")/100*Table1[[#This Row],[Std Nom]]),"")</f>
        <v/>
      </c>
      <c r="P1682" s="1" t="str">
        <f>IFERROR(Table1[[#This Row],[Std Nom]]+(_xlfn.XLOOKUP(Table1[[#This Row],[Manufacturer]]&amp;" "&amp;Table1[[#This Row],[Model]],Table13[MFR &amp; MDL],Table13[Tolerance % CW ],"")/100*Table1[[#This Row],[Std Nom]]),"")</f>
        <v/>
      </c>
      <c r="Q1682" s="1" t="e">
        <f>Table1[[#This Row],[High Tol]]-Table1[[#This Row],[Low Tol]]</f>
        <v>#VALUE!</v>
      </c>
      <c r="R1682" s="1">
        <f>2*Table1[[#This Row],[Std Error]]</f>
        <v>0</v>
      </c>
      <c r="S1682" s="1" t="str">
        <f>IF(Table1[[#This Row],[High Tol]]="","N/A",IFERROR(ABS(Table1[[#This Row],[Tol Span]]/Table1[[#This Row],[Error Span]]),"N/A"))</f>
        <v>N/A</v>
      </c>
      <c r="T1682" s="1" t="str">
        <f>IF(OR(Table1[[#This Row],[Low Tol]]="",Table1[[#This Row],[High Tol]]=""),"Needs Analysis",IF(Table1[[#This Row],[Ratio]]&gt;=4,"Not Significant",IF(Table1[[#This Row],[Ratio]]&gt;=2,"Semi-Significant","Significant")))</f>
        <v>Needs Analysis</v>
      </c>
      <c r="W1682" s="1">
        <f>IF(Table1[[#This Row],[Cal Type]]&lt;&gt;"ACCREDITED 17025 WITH UNCERTAINTIES",0,"")</f>
        <v>0</v>
      </c>
      <c r="X1682" s="1" t="str">
        <f>IF(Table1[[#This Row],[DUT Read]]="","N/A",Table1[[#This Row],[Std Error]]+Table1[[#This Row],[DUT Read]]+Table1[[#This Row],[DUT Ucty]])</f>
        <v>N/A</v>
      </c>
      <c r="Y1682" s="1" t="str">
        <f>IF(Table1[[#This Row],[Std Read]]="","N/A",Table1[[#This Row],[Std Read]]+Table1[[#This Row],[Std Ucty]])</f>
        <v>N/A</v>
      </c>
      <c r="Z16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2" s="1" t="str">
        <f>IF(Table1[[#This Row],[Spec Type]]="","N/A",Table1[[#This Row],[Spec Type]])</f>
        <v>±</v>
      </c>
      <c r="AC1682" s="1" t="str">
        <f>IF(Table1[[#This Row],[Spec Type2]]="N/A","N/A",IF(AND(Table1[[#This Row],[DUT Adj Read]]&gt;=Table1[[#This Row],[Low Tol]],Table1[[#This Row],[DUT Adj Read]]&lt;=Table1[[#This Row],[High Tol]]),"Pass","Fail"))</f>
        <v>Fail</v>
      </c>
      <c r="AD1682" s="1" t="str">
        <f>IF(AND(Table1[[#This Row],[Spec Type2]]="N/A",Table1[[#This Row],[DUT Adj Read]]="N/A",Table1[[#This Row],[Std Adj Read]]="N/A"),"N/A",IF(Table1[[#This Row],[DUT Adj Read]]="N/A",IF(Table1[[#This Row],[Std Adj Read]]&gt;Table1[[#This Row],[Low Tol]],"Pass","Fail"),IF(Table1[[#This Row],[DUT Adj Read]]&gt;Table1[[#This Row],[Low Tol]],"Pass","Fail")))</f>
        <v>Pass</v>
      </c>
      <c r="AE1682" s="1" t="str">
        <f>IF(AND(Table1[[#This Row],[Spec Type2]]="N/A",Table1[[#This Row],[DUT Adj Read]]="N/A",Table1[[#This Row],[Std Adj Read]]="N/A"),"N/A",IF(Table1[[#This Row],[DUT Adj Read]]="N/A",IF(Table1[[#This Row],[Std Adj Read]]&lt;Table1[[#This Row],[High Tol]],"Pass","Fail"),IF(Table1[[#This Row],[DUT Adj Read]]&lt;Table1[[#This Row],[High Tol]],"Pass","Fail")))</f>
        <v>Fail</v>
      </c>
      <c r="AF1682" s="1" t="str">
        <f>IF(AND(Table1[[#This Row],[Spec Type2]]="N/A",Table1[[#This Row],[DUT Adj Read]]="N/A",Table1[[#This Row],[Std Adj Read]]="N/A"),"N/A",IF(Table1[[#This Row],[DUT Adj Read]]="N/A",IF(Table1[[#This Row],[Std Adj Read]]&gt;=Table1[[#This Row],[Low Tol]],"Pass","Fail"),IF(Table1[[#This Row],[DUT Adj Read]]&gt;=Table1[[#This Row],[Low Tol]],"Pass","Fail")))</f>
        <v>Pass</v>
      </c>
      <c r="AG1682" s="1" t="str">
        <f>IF(AND(Table1[[#This Row],[Spec Type2]]="N/A",Table1[[#This Row],[DUT Adj Read]]="N/A",Table1[[#This Row],[Std Adj Read]]="N/A"),"N/A",IF(Table1[[#This Row],[DUT Adj Read]]="N/A",IF(Table1[[#This Row],[Std Adj Read]]&lt;=Table1[[#This Row],[High Tol]],"Pass","Fail"),IF(Table1[[#This Row],[DUT Adj Read]]&lt;=Table1[[#This Row],[High Tol]],"Pass","Fail")))</f>
        <v>Fail</v>
      </c>
      <c r="AH16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2" s="1" t="b">
        <v>0</v>
      </c>
      <c r="AN1682" s="1" t="b">
        <v>0</v>
      </c>
      <c r="AO1682" s="1" t="b">
        <v>0</v>
      </c>
    </row>
    <row r="1683" spans="1:41" x14ac:dyDescent="0.25">
      <c r="A1683" s="10"/>
      <c r="B1683" s="10"/>
      <c r="C1683" s="10"/>
      <c r="D1683" s="10"/>
      <c r="E1683" s="10"/>
      <c r="F1683" s="10"/>
      <c r="G1683" s="10"/>
      <c r="H1683" s="10"/>
      <c r="I1683" s="1" t="str">
        <f t="shared" si="78"/>
        <v/>
      </c>
      <c r="J1683" s="1" t="s">
        <v>35</v>
      </c>
      <c r="K1683" s="1" t="str">
        <f t="shared" si="79"/>
        <v/>
      </c>
      <c r="L1683" s="1" t="str">
        <f t="shared" si="80"/>
        <v/>
      </c>
      <c r="M1683" s="1">
        <f>IF(OR(Table1[[#This Row],[Std Nom]]="",Table1[[#This Row],[Std Read]]=""),0,Table1[[#This Row],[Std Nom]]-Table1[[#This Row],[Std Read]])</f>
        <v>0</v>
      </c>
      <c r="N1683" s="1">
        <f>IF(Calculations!$F$5="ACCREDITED 17025 WITH UNCERTAINTIES",$N$10,0)</f>
        <v>0</v>
      </c>
      <c r="O1683" s="1" t="str">
        <f>IFERROR(Table1[[#This Row],[Std Nom]]-(_xlfn.XLOOKUP(Table1[[#This Row],[Manufacturer]]&amp;" "&amp;Table1[[#This Row],[Model]],Table13[MFR &amp; MDL],Table13[Tolerance % CW ],"")/100*Table1[[#This Row],[Std Nom]]),"")</f>
        <v/>
      </c>
      <c r="P1683" s="1" t="str">
        <f>IFERROR(Table1[[#This Row],[Std Nom]]+(_xlfn.XLOOKUP(Table1[[#This Row],[Manufacturer]]&amp;" "&amp;Table1[[#This Row],[Model]],Table13[MFR &amp; MDL],Table13[Tolerance % CW ],"")/100*Table1[[#This Row],[Std Nom]]),"")</f>
        <v/>
      </c>
      <c r="Q1683" s="1" t="e">
        <f>Table1[[#This Row],[High Tol]]-Table1[[#This Row],[Low Tol]]</f>
        <v>#VALUE!</v>
      </c>
      <c r="R1683" s="1">
        <f>2*Table1[[#This Row],[Std Error]]</f>
        <v>0</v>
      </c>
      <c r="S1683" s="1" t="str">
        <f>IF(Table1[[#This Row],[High Tol]]="","N/A",IFERROR(ABS(Table1[[#This Row],[Tol Span]]/Table1[[#This Row],[Error Span]]),"N/A"))</f>
        <v>N/A</v>
      </c>
      <c r="T1683" s="1" t="str">
        <f>IF(OR(Table1[[#This Row],[Low Tol]]="",Table1[[#This Row],[High Tol]]=""),"Needs Analysis",IF(Table1[[#This Row],[Ratio]]&gt;=4,"Not Significant",IF(Table1[[#This Row],[Ratio]]&gt;=2,"Semi-Significant","Significant")))</f>
        <v>Needs Analysis</v>
      </c>
      <c r="W1683" s="1">
        <f>IF(Table1[[#This Row],[Cal Type]]&lt;&gt;"ACCREDITED 17025 WITH UNCERTAINTIES",0,"")</f>
        <v>0</v>
      </c>
      <c r="X1683" s="1" t="str">
        <f>IF(Table1[[#This Row],[DUT Read]]="","N/A",Table1[[#This Row],[Std Error]]+Table1[[#This Row],[DUT Read]]+Table1[[#This Row],[DUT Ucty]])</f>
        <v>N/A</v>
      </c>
      <c r="Y1683" s="1" t="str">
        <f>IF(Table1[[#This Row],[Std Read]]="","N/A",Table1[[#This Row],[Std Read]]+Table1[[#This Row],[Std Ucty]])</f>
        <v>N/A</v>
      </c>
      <c r="Z16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3" s="1" t="str">
        <f>IF(Table1[[#This Row],[Spec Type]]="","N/A",Table1[[#This Row],[Spec Type]])</f>
        <v>±</v>
      </c>
      <c r="AC1683" s="1" t="str">
        <f>IF(Table1[[#This Row],[Spec Type2]]="N/A","N/A",IF(AND(Table1[[#This Row],[DUT Adj Read]]&gt;=Table1[[#This Row],[Low Tol]],Table1[[#This Row],[DUT Adj Read]]&lt;=Table1[[#This Row],[High Tol]]),"Pass","Fail"))</f>
        <v>Fail</v>
      </c>
      <c r="AD1683" s="1" t="str">
        <f>IF(AND(Table1[[#This Row],[Spec Type2]]="N/A",Table1[[#This Row],[DUT Adj Read]]="N/A",Table1[[#This Row],[Std Adj Read]]="N/A"),"N/A",IF(Table1[[#This Row],[DUT Adj Read]]="N/A",IF(Table1[[#This Row],[Std Adj Read]]&gt;Table1[[#This Row],[Low Tol]],"Pass","Fail"),IF(Table1[[#This Row],[DUT Adj Read]]&gt;Table1[[#This Row],[Low Tol]],"Pass","Fail")))</f>
        <v>Pass</v>
      </c>
      <c r="AE1683" s="1" t="str">
        <f>IF(AND(Table1[[#This Row],[Spec Type2]]="N/A",Table1[[#This Row],[DUT Adj Read]]="N/A",Table1[[#This Row],[Std Adj Read]]="N/A"),"N/A",IF(Table1[[#This Row],[DUT Adj Read]]="N/A",IF(Table1[[#This Row],[Std Adj Read]]&lt;Table1[[#This Row],[High Tol]],"Pass","Fail"),IF(Table1[[#This Row],[DUT Adj Read]]&lt;Table1[[#This Row],[High Tol]],"Pass","Fail")))</f>
        <v>Fail</v>
      </c>
      <c r="AF1683" s="1" t="str">
        <f>IF(AND(Table1[[#This Row],[Spec Type2]]="N/A",Table1[[#This Row],[DUT Adj Read]]="N/A",Table1[[#This Row],[Std Adj Read]]="N/A"),"N/A",IF(Table1[[#This Row],[DUT Adj Read]]="N/A",IF(Table1[[#This Row],[Std Adj Read]]&gt;=Table1[[#This Row],[Low Tol]],"Pass","Fail"),IF(Table1[[#This Row],[DUT Adj Read]]&gt;=Table1[[#This Row],[Low Tol]],"Pass","Fail")))</f>
        <v>Pass</v>
      </c>
      <c r="AG1683" s="1" t="str">
        <f>IF(AND(Table1[[#This Row],[Spec Type2]]="N/A",Table1[[#This Row],[DUT Adj Read]]="N/A",Table1[[#This Row],[Std Adj Read]]="N/A"),"N/A",IF(Table1[[#This Row],[DUT Adj Read]]="N/A",IF(Table1[[#This Row],[Std Adj Read]]&lt;=Table1[[#This Row],[High Tol]],"Pass","Fail"),IF(Table1[[#This Row],[DUT Adj Read]]&lt;=Table1[[#This Row],[High Tol]],"Pass","Fail")))</f>
        <v>Fail</v>
      </c>
      <c r="AH16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3" s="1" t="b">
        <v>0</v>
      </c>
      <c r="AN1683" s="1" t="b">
        <v>0</v>
      </c>
      <c r="AO1683" s="1" t="b">
        <v>0</v>
      </c>
    </row>
    <row r="1684" spans="1:41" x14ac:dyDescent="0.25">
      <c r="A1684" s="10"/>
      <c r="B1684" s="10"/>
      <c r="C1684" s="10"/>
      <c r="D1684" s="10"/>
      <c r="E1684" s="10"/>
      <c r="F1684" s="10"/>
      <c r="G1684" s="10"/>
      <c r="H1684" s="10"/>
      <c r="I1684" s="1" t="str">
        <f t="shared" si="78"/>
        <v/>
      </c>
      <c r="J1684" s="1" t="s">
        <v>35</v>
      </c>
      <c r="K1684" s="1" t="str">
        <f t="shared" si="79"/>
        <v/>
      </c>
      <c r="L1684" s="1" t="str">
        <f t="shared" si="80"/>
        <v/>
      </c>
      <c r="M1684" s="1">
        <f>IF(OR(Table1[[#This Row],[Std Nom]]="",Table1[[#This Row],[Std Read]]=""),0,Table1[[#This Row],[Std Nom]]-Table1[[#This Row],[Std Read]])</f>
        <v>0</v>
      </c>
      <c r="N1684" s="1">
        <f>IF(Calculations!$F$5="ACCREDITED 17025 WITH UNCERTAINTIES",$N$10,0)</f>
        <v>0</v>
      </c>
      <c r="O1684" s="1" t="str">
        <f>IFERROR(Table1[[#This Row],[Std Nom]]-(_xlfn.XLOOKUP(Table1[[#This Row],[Manufacturer]]&amp;" "&amp;Table1[[#This Row],[Model]],Table13[MFR &amp; MDL],Table13[Tolerance % CW ],"")/100*Table1[[#This Row],[Std Nom]]),"")</f>
        <v/>
      </c>
      <c r="P1684" s="1" t="str">
        <f>IFERROR(Table1[[#This Row],[Std Nom]]+(_xlfn.XLOOKUP(Table1[[#This Row],[Manufacturer]]&amp;" "&amp;Table1[[#This Row],[Model]],Table13[MFR &amp; MDL],Table13[Tolerance % CW ],"")/100*Table1[[#This Row],[Std Nom]]),"")</f>
        <v/>
      </c>
      <c r="Q1684" s="1" t="e">
        <f>Table1[[#This Row],[High Tol]]-Table1[[#This Row],[Low Tol]]</f>
        <v>#VALUE!</v>
      </c>
      <c r="R1684" s="1">
        <f>2*Table1[[#This Row],[Std Error]]</f>
        <v>0</v>
      </c>
      <c r="S1684" s="1" t="str">
        <f>IF(Table1[[#This Row],[High Tol]]="","N/A",IFERROR(ABS(Table1[[#This Row],[Tol Span]]/Table1[[#This Row],[Error Span]]),"N/A"))</f>
        <v>N/A</v>
      </c>
      <c r="T1684" s="1" t="str">
        <f>IF(OR(Table1[[#This Row],[Low Tol]]="",Table1[[#This Row],[High Tol]]=""),"Needs Analysis",IF(Table1[[#This Row],[Ratio]]&gt;=4,"Not Significant",IF(Table1[[#This Row],[Ratio]]&gt;=2,"Semi-Significant","Significant")))</f>
        <v>Needs Analysis</v>
      </c>
      <c r="W1684" s="1">
        <f>IF(Table1[[#This Row],[Cal Type]]&lt;&gt;"ACCREDITED 17025 WITH UNCERTAINTIES",0,"")</f>
        <v>0</v>
      </c>
      <c r="X1684" s="1" t="str">
        <f>IF(Table1[[#This Row],[DUT Read]]="","N/A",Table1[[#This Row],[Std Error]]+Table1[[#This Row],[DUT Read]]+Table1[[#This Row],[DUT Ucty]])</f>
        <v>N/A</v>
      </c>
      <c r="Y1684" s="1" t="str">
        <f>IF(Table1[[#This Row],[Std Read]]="","N/A",Table1[[#This Row],[Std Read]]+Table1[[#This Row],[Std Ucty]])</f>
        <v>N/A</v>
      </c>
      <c r="Z16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4" s="1" t="str">
        <f>IF(Table1[[#This Row],[Spec Type]]="","N/A",Table1[[#This Row],[Spec Type]])</f>
        <v>±</v>
      </c>
      <c r="AC1684" s="1" t="str">
        <f>IF(Table1[[#This Row],[Spec Type2]]="N/A","N/A",IF(AND(Table1[[#This Row],[DUT Adj Read]]&gt;=Table1[[#This Row],[Low Tol]],Table1[[#This Row],[DUT Adj Read]]&lt;=Table1[[#This Row],[High Tol]]),"Pass","Fail"))</f>
        <v>Fail</v>
      </c>
      <c r="AD1684" s="1" t="str">
        <f>IF(AND(Table1[[#This Row],[Spec Type2]]="N/A",Table1[[#This Row],[DUT Adj Read]]="N/A",Table1[[#This Row],[Std Adj Read]]="N/A"),"N/A",IF(Table1[[#This Row],[DUT Adj Read]]="N/A",IF(Table1[[#This Row],[Std Adj Read]]&gt;Table1[[#This Row],[Low Tol]],"Pass","Fail"),IF(Table1[[#This Row],[DUT Adj Read]]&gt;Table1[[#This Row],[Low Tol]],"Pass","Fail")))</f>
        <v>Pass</v>
      </c>
      <c r="AE1684" s="1" t="str">
        <f>IF(AND(Table1[[#This Row],[Spec Type2]]="N/A",Table1[[#This Row],[DUT Adj Read]]="N/A",Table1[[#This Row],[Std Adj Read]]="N/A"),"N/A",IF(Table1[[#This Row],[DUT Adj Read]]="N/A",IF(Table1[[#This Row],[Std Adj Read]]&lt;Table1[[#This Row],[High Tol]],"Pass","Fail"),IF(Table1[[#This Row],[DUT Adj Read]]&lt;Table1[[#This Row],[High Tol]],"Pass","Fail")))</f>
        <v>Fail</v>
      </c>
      <c r="AF1684" s="1" t="str">
        <f>IF(AND(Table1[[#This Row],[Spec Type2]]="N/A",Table1[[#This Row],[DUT Adj Read]]="N/A",Table1[[#This Row],[Std Adj Read]]="N/A"),"N/A",IF(Table1[[#This Row],[DUT Adj Read]]="N/A",IF(Table1[[#This Row],[Std Adj Read]]&gt;=Table1[[#This Row],[Low Tol]],"Pass","Fail"),IF(Table1[[#This Row],[DUT Adj Read]]&gt;=Table1[[#This Row],[Low Tol]],"Pass","Fail")))</f>
        <v>Pass</v>
      </c>
      <c r="AG1684" s="1" t="str">
        <f>IF(AND(Table1[[#This Row],[Spec Type2]]="N/A",Table1[[#This Row],[DUT Adj Read]]="N/A",Table1[[#This Row],[Std Adj Read]]="N/A"),"N/A",IF(Table1[[#This Row],[DUT Adj Read]]="N/A",IF(Table1[[#This Row],[Std Adj Read]]&lt;=Table1[[#This Row],[High Tol]],"Pass","Fail"),IF(Table1[[#This Row],[DUT Adj Read]]&lt;=Table1[[#This Row],[High Tol]],"Pass","Fail")))</f>
        <v>Fail</v>
      </c>
      <c r="AH16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4" s="1" t="b">
        <v>0</v>
      </c>
      <c r="AN1684" s="1" t="b">
        <v>0</v>
      </c>
      <c r="AO1684" s="1" t="b">
        <v>0</v>
      </c>
    </row>
    <row r="1685" spans="1:41" x14ac:dyDescent="0.25">
      <c r="A1685" s="10"/>
      <c r="B1685" s="10"/>
      <c r="C1685" s="10"/>
      <c r="D1685" s="10"/>
      <c r="E1685" s="10"/>
      <c r="F1685" s="10"/>
      <c r="G1685" s="10"/>
      <c r="H1685" s="10"/>
      <c r="I1685" s="1" t="str">
        <f t="shared" si="78"/>
        <v/>
      </c>
      <c r="J1685" s="1" t="s">
        <v>35</v>
      </c>
      <c r="K1685" s="1" t="str">
        <f t="shared" si="79"/>
        <v/>
      </c>
      <c r="L1685" s="1" t="str">
        <f t="shared" si="80"/>
        <v/>
      </c>
      <c r="M1685" s="1">
        <f>IF(OR(Table1[[#This Row],[Std Nom]]="",Table1[[#This Row],[Std Read]]=""),0,Table1[[#This Row],[Std Nom]]-Table1[[#This Row],[Std Read]])</f>
        <v>0</v>
      </c>
      <c r="N1685" s="1">
        <f>IF(Calculations!$F$5="ACCREDITED 17025 WITH UNCERTAINTIES",$N$10,0)</f>
        <v>0</v>
      </c>
      <c r="O1685" s="1" t="str">
        <f>IFERROR(Table1[[#This Row],[Std Nom]]-(_xlfn.XLOOKUP(Table1[[#This Row],[Manufacturer]]&amp;" "&amp;Table1[[#This Row],[Model]],Table13[MFR &amp; MDL],Table13[Tolerance % CW ],"")/100*Table1[[#This Row],[Std Nom]]),"")</f>
        <v/>
      </c>
      <c r="P1685" s="1" t="str">
        <f>IFERROR(Table1[[#This Row],[Std Nom]]+(_xlfn.XLOOKUP(Table1[[#This Row],[Manufacturer]]&amp;" "&amp;Table1[[#This Row],[Model]],Table13[MFR &amp; MDL],Table13[Tolerance % CW ],"")/100*Table1[[#This Row],[Std Nom]]),"")</f>
        <v/>
      </c>
      <c r="Q1685" s="1" t="e">
        <f>Table1[[#This Row],[High Tol]]-Table1[[#This Row],[Low Tol]]</f>
        <v>#VALUE!</v>
      </c>
      <c r="R1685" s="1">
        <f>2*Table1[[#This Row],[Std Error]]</f>
        <v>0</v>
      </c>
      <c r="S1685" s="1" t="str">
        <f>IF(Table1[[#This Row],[High Tol]]="","N/A",IFERROR(ABS(Table1[[#This Row],[Tol Span]]/Table1[[#This Row],[Error Span]]),"N/A"))</f>
        <v>N/A</v>
      </c>
      <c r="T1685" s="1" t="str">
        <f>IF(OR(Table1[[#This Row],[Low Tol]]="",Table1[[#This Row],[High Tol]]=""),"Needs Analysis",IF(Table1[[#This Row],[Ratio]]&gt;=4,"Not Significant",IF(Table1[[#This Row],[Ratio]]&gt;=2,"Semi-Significant","Significant")))</f>
        <v>Needs Analysis</v>
      </c>
      <c r="W1685" s="1">
        <f>IF(Table1[[#This Row],[Cal Type]]&lt;&gt;"ACCREDITED 17025 WITH UNCERTAINTIES",0,"")</f>
        <v>0</v>
      </c>
      <c r="X1685" s="1" t="str">
        <f>IF(Table1[[#This Row],[DUT Read]]="","N/A",Table1[[#This Row],[Std Error]]+Table1[[#This Row],[DUT Read]]+Table1[[#This Row],[DUT Ucty]])</f>
        <v>N/A</v>
      </c>
      <c r="Y1685" s="1" t="str">
        <f>IF(Table1[[#This Row],[Std Read]]="","N/A",Table1[[#This Row],[Std Read]]+Table1[[#This Row],[Std Ucty]])</f>
        <v>N/A</v>
      </c>
      <c r="Z16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5" s="1" t="str">
        <f>IF(Table1[[#This Row],[Spec Type]]="","N/A",Table1[[#This Row],[Spec Type]])</f>
        <v>±</v>
      </c>
      <c r="AC1685" s="1" t="str">
        <f>IF(Table1[[#This Row],[Spec Type2]]="N/A","N/A",IF(AND(Table1[[#This Row],[DUT Adj Read]]&gt;=Table1[[#This Row],[Low Tol]],Table1[[#This Row],[DUT Adj Read]]&lt;=Table1[[#This Row],[High Tol]]),"Pass","Fail"))</f>
        <v>Fail</v>
      </c>
      <c r="AD1685" s="1" t="str">
        <f>IF(AND(Table1[[#This Row],[Spec Type2]]="N/A",Table1[[#This Row],[DUT Adj Read]]="N/A",Table1[[#This Row],[Std Adj Read]]="N/A"),"N/A",IF(Table1[[#This Row],[DUT Adj Read]]="N/A",IF(Table1[[#This Row],[Std Adj Read]]&gt;Table1[[#This Row],[Low Tol]],"Pass","Fail"),IF(Table1[[#This Row],[DUT Adj Read]]&gt;Table1[[#This Row],[Low Tol]],"Pass","Fail")))</f>
        <v>Pass</v>
      </c>
      <c r="AE1685" s="1" t="str">
        <f>IF(AND(Table1[[#This Row],[Spec Type2]]="N/A",Table1[[#This Row],[DUT Adj Read]]="N/A",Table1[[#This Row],[Std Adj Read]]="N/A"),"N/A",IF(Table1[[#This Row],[DUT Adj Read]]="N/A",IF(Table1[[#This Row],[Std Adj Read]]&lt;Table1[[#This Row],[High Tol]],"Pass","Fail"),IF(Table1[[#This Row],[DUT Adj Read]]&lt;Table1[[#This Row],[High Tol]],"Pass","Fail")))</f>
        <v>Fail</v>
      </c>
      <c r="AF1685" s="1" t="str">
        <f>IF(AND(Table1[[#This Row],[Spec Type2]]="N/A",Table1[[#This Row],[DUT Adj Read]]="N/A",Table1[[#This Row],[Std Adj Read]]="N/A"),"N/A",IF(Table1[[#This Row],[DUT Adj Read]]="N/A",IF(Table1[[#This Row],[Std Adj Read]]&gt;=Table1[[#This Row],[Low Tol]],"Pass","Fail"),IF(Table1[[#This Row],[DUT Adj Read]]&gt;=Table1[[#This Row],[Low Tol]],"Pass","Fail")))</f>
        <v>Pass</v>
      </c>
      <c r="AG1685" s="1" t="str">
        <f>IF(AND(Table1[[#This Row],[Spec Type2]]="N/A",Table1[[#This Row],[DUT Adj Read]]="N/A",Table1[[#This Row],[Std Adj Read]]="N/A"),"N/A",IF(Table1[[#This Row],[DUT Adj Read]]="N/A",IF(Table1[[#This Row],[Std Adj Read]]&lt;=Table1[[#This Row],[High Tol]],"Pass","Fail"),IF(Table1[[#This Row],[DUT Adj Read]]&lt;=Table1[[#This Row],[High Tol]],"Pass","Fail")))</f>
        <v>Fail</v>
      </c>
      <c r="AH16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5" s="1" t="b">
        <v>0</v>
      </c>
      <c r="AN1685" s="1" t="b">
        <v>0</v>
      </c>
      <c r="AO1685" s="1" t="b">
        <v>0</v>
      </c>
    </row>
    <row r="1686" spans="1:41" x14ac:dyDescent="0.25">
      <c r="A1686" s="10"/>
      <c r="B1686" s="10"/>
      <c r="C1686" s="10"/>
      <c r="D1686" s="10"/>
      <c r="E1686" s="10"/>
      <c r="F1686" s="10"/>
      <c r="G1686" s="10"/>
      <c r="H1686" s="10"/>
      <c r="I1686" s="1" t="str">
        <f t="shared" si="78"/>
        <v/>
      </c>
      <c r="J1686" s="1" t="s">
        <v>35</v>
      </c>
      <c r="K1686" s="1" t="str">
        <f t="shared" si="79"/>
        <v/>
      </c>
      <c r="L1686" s="1" t="str">
        <f t="shared" si="80"/>
        <v/>
      </c>
      <c r="M1686" s="1">
        <f>IF(OR(Table1[[#This Row],[Std Nom]]="",Table1[[#This Row],[Std Read]]=""),0,Table1[[#This Row],[Std Nom]]-Table1[[#This Row],[Std Read]])</f>
        <v>0</v>
      </c>
      <c r="N1686" s="1">
        <f>IF(Calculations!$F$5="ACCREDITED 17025 WITH UNCERTAINTIES",$N$10,0)</f>
        <v>0</v>
      </c>
      <c r="O1686" s="1" t="str">
        <f>IFERROR(Table1[[#This Row],[Std Nom]]-(_xlfn.XLOOKUP(Table1[[#This Row],[Manufacturer]]&amp;" "&amp;Table1[[#This Row],[Model]],Table13[MFR &amp; MDL],Table13[Tolerance % CW ],"")/100*Table1[[#This Row],[Std Nom]]),"")</f>
        <v/>
      </c>
      <c r="P1686" s="1" t="str">
        <f>IFERROR(Table1[[#This Row],[Std Nom]]+(_xlfn.XLOOKUP(Table1[[#This Row],[Manufacturer]]&amp;" "&amp;Table1[[#This Row],[Model]],Table13[MFR &amp; MDL],Table13[Tolerance % CW ],"")/100*Table1[[#This Row],[Std Nom]]),"")</f>
        <v/>
      </c>
      <c r="Q1686" s="1" t="e">
        <f>Table1[[#This Row],[High Tol]]-Table1[[#This Row],[Low Tol]]</f>
        <v>#VALUE!</v>
      </c>
      <c r="R1686" s="1">
        <f>2*Table1[[#This Row],[Std Error]]</f>
        <v>0</v>
      </c>
      <c r="S1686" s="1" t="str">
        <f>IF(Table1[[#This Row],[High Tol]]="","N/A",IFERROR(ABS(Table1[[#This Row],[Tol Span]]/Table1[[#This Row],[Error Span]]),"N/A"))</f>
        <v>N/A</v>
      </c>
      <c r="T1686" s="1" t="str">
        <f>IF(OR(Table1[[#This Row],[Low Tol]]="",Table1[[#This Row],[High Tol]]=""),"Needs Analysis",IF(Table1[[#This Row],[Ratio]]&gt;=4,"Not Significant",IF(Table1[[#This Row],[Ratio]]&gt;=2,"Semi-Significant","Significant")))</f>
        <v>Needs Analysis</v>
      </c>
      <c r="W1686" s="1">
        <f>IF(Table1[[#This Row],[Cal Type]]&lt;&gt;"ACCREDITED 17025 WITH UNCERTAINTIES",0,"")</f>
        <v>0</v>
      </c>
      <c r="X1686" s="1" t="str">
        <f>IF(Table1[[#This Row],[DUT Read]]="","N/A",Table1[[#This Row],[Std Error]]+Table1[[#This Row],[DUT Read]]+Table1[[#This Row],[DUT Ucty]])</f>
        <v>N/A</v>
      </c>
      <c r="Y1686" s="1" t="str">
        <f>IF(Table1[[#This Row],[Std Read]]="","N/A",Table1[[#This Row],[Std Read]]+Table1[[#This Row],[Std Ucty]])</f>
        <v>N/A</v>
      </c>
      <c r="Z16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6" s="1" t="str">
        <f>IF(Table1[[#This Row],[Spec Type]]="","N/A",Table1[[#This Row],[Spec Type]])</f>
        <v>±</v>
      </c>
      <c r="AC1686" s="1" t="str">
        <f>IF(Table1[[#This Row],[Spec Type2]]="N/A","N/A",IF(AND(Table1[[#This Row],[DUT Adj Read]]&gt;=Table1[[#This Row],[Low Tol]],Table1[[#This Row],[DUT Adj Read]]&lt;=Table1[[#This Row],[High Tol]]),"Pass","Fail"))</f>
        <v>Fail</v>
      </c>
      <c r="AD1686" s="1" t="str">
        <f>IF(AND(Table1[[#This Row],[Spec Type2]]="N/A",Table1[[#This Row],[DUT Adj Read]]="N/A",Table1[[#This Row],[Std Adj Read]]="N/A"),"N/A",IF(Table1[[#This Row],[DUT Adj Read]]="N/A",IF(Table1[[#This Row],[Std Adj Read]]&gt;Table1[[#This Row],[Low Tol]],"Pass","Fail"),IF(Table1[[#This Row],[DUT Adj Read]]&gt;Table1[[#This Row],[Low Tol]],"Pass","Fail")))</f>
        <v>Pass</v>
      </c>
      <c r="AE1686" s="1" t="str">
        <f>IF(AND(Table1[[#This Row],[Spec Type2]]="N/A",Table1[[#This Row],[DUT Adj Read]]="N/A",Table1[[#This Row],[Std Adj Read]]="N/A"),"N/A",IF(Table1[[#This Row],[DUT Adj Read]]="N/A",IF(Table1[[#This Row],[Std Adj Read]]&lt;Table1[[#This Row],[High Tol]],"Pass","Fail"),IF(Table1[[#This Row],[DUT Adj Read]]&lt;Table1[[#This Row],[High Tol]],"Pass","Fail")))</f>
        <v>Fail</v>
      </c>
      <c r="AF1686" s="1" t="str">
        <f>IF(AND(Table1[[#This Row],[Spec Type2]]="N/A",Table1[[#This Row],[DUT Adj Read]]="N/A",Table1[[#This Row],[Std Adj Read]]="N/A"),"N/A",IF(Table1[[#This Row],[DUT Adj Read]]="N/A",IF(Table1[[#This Row],[Std Adj Read]]&gt;=Table1[[#This Row],[Low Tol]],"Pass","Fail"),IF(Table1[[#This Row],[DUT Adj Read]]&gt;=Table1[[#This Row],[Low Tol]],"Pass","Fail")))</f>
        <v>Pass</v>
      </c>
      <c r="AG1686" s="1" t="str">
        <f>IF(AND(Table1[[#This Row],[Spec Type2]]="N/A",Table1[[#This Row],[DUT Adj Read]]="N/A",Table1[[#This Row],[Std Adj Read]]="N/A"),"N/A",IF(Table1[[#This Row],[DUT Adj Read]]="N/A",IF(Table1[[#This Row],[Std Adj Read]]&lt;=Table1[[#This Row],[High Tol]],"Pass","Fail"),IF(Table1[[#This Row],[DUT Adj Read]]&lt;=Table1[[#This Row],[High Tol]],"Pass","Fail")))</f>
        <v>Fail</v>
      </c>
      <c r="AH16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6" s="1" t="b">
        <v>0</v>
      </c>
      <c r="AN1686" s="1" t="b">
        <v>0</v>
      </c>
      <c r="AO1686" s="1" t="b">
        <v>0</v>
      </c>
    </row>
    <row r="1687" spans="1:41" x14ac:dyDescent="0.25">
      <c r="A1687" s="10"/>
      <c r="B1687" s="10"/>
      <c r="C1687" s="10"/>
      <c r="D1687" s="10"/>
      <c r="E1687" s="10"/>
      <c r="F1687" s="10"/>
      <c r="G1687" s="10"/>
      <c r="H1687" s="10"/>
      <c r="I1687" s="1" t="str">
        <f t="shared" si="78"/>
        <v/>
      </c>
      <c r="J1687" s="1" t="s">
        <v>35</v>
      </c>
      <c r="K1687" s="1" t="str">
        <f t="shared" si="79"/>
        <v/>
      </c>
      <c r="L1687" s="1" t="str">
        <f t="shared" si="80"/>
        <v/>
      </c>
      <c r="M1687" s="1">
        <f>IF(OR(Table1[[#This Row],[Std Nom]]="",Table1[[#This Row],[Std Read]]=""),0,Table1[[#This Row],[Std Nom]]-Table1[[#This Row],[Std Read]])</f>
        <v>0</v>
      </c>
      <c r="N1687" s="1">
        <f>IF(Calculations!$F$5="ACCREDITED 17025 WITH UNCERTAINTIES",$N$10,0)</f>
        <v>0</v>
      </c>
      <c r="O1687" s="1" t="str">
        <f>IFERROR(Table1[[#This Row],[Std Nom]]-(_xlfn.XLOOKUP(Table1[[#This Row],[Manufacturer]]&amp;" "&amp;Table1[[#This Row],[Model]],Table13[MFR &amp; MDL],Table13[Tolerance % CW ],"")/100*Table1[[#This Row],[Std Nom]]),"")</f>
        <v/>
      </c>
      <c r="P1687" s="1" t="str">
        <f>IFERROR(Table1[[#This Row],[Std Nom]]+(_xlfn.XLOOKUP(Table1[[#This Row],[Manufacturer]]&amp;" "&amp;Table1[[#This Row],[Model]],Table13[MFR &amp; MDL],Table13[Tolerance % CW ],"")/100*Table1[[#This Row],[Std Nom]]),"")</f>
        <v/>
      </c>
      <c r="Q1687" s="1" t="e">
        <f>Table1[[#This Row],[High Tol]]-Table1[[#This Row],[Low Tol]]</f>
        <v>#VALUE!</v>
      </c>
      <c r="R1687" s="1">
        <f>2*Table1[[#This Row],[Std Error]]</f>
        <v>0</v>
      </c>
      <c r="S1687" s="1" t="str">
        <f>IF(Table1[[#This Row],[High Tol]]="","N/A",IFERROR(ABS(Table1[[#This Row],[Tol Span]]/Table1[[#This Row],[Error Span]]),"N/A"))</f>
        <v>N/A</v>
      </c>
      <c r="T1687" s="1" t="str">
        <f>IF(OR(Table1[[#This Row],[Low Tol]]="",Table1[[#This Row],[High Tol]]=""),"Needs Analysis",IF(Table1[[#This Row],[Ratio]]&gt;=4,"Not Significant",IF(Table1[[#This Row],[Ratio]]&gt;=2,"Semi-Significant","Significant")))</f>
        <v>Needs Analysis</v>
      </c>
      <c r="W1687" s="1">
        <f>IF(Table1[[#This Row],[Cal Type]]&lt;&gt;"ACCREDITED 17025 WITH UNCERTAINTIES",0,"")</f>
        <v>0</v>
      </c>
      <c r="X1687" s="1" t="str">
        <f>IF(Table1[[#This Row],[DUT Read]]="","N/A",Table1[[#This Row],[Std Error]]+Table1[[#This Row],[DUT Read]]+Table1[[#This Row],[DUT Ucty]])</f>
        <v>N/A</v>
      </c>
      <c r="Y1687" s="1" t="str">
        <f>IF(Table1[[#This Row],[Std Read]]="","N/A",Table1[[#This Row],[Std Read]]+Table1[[#This Row],[Std Ucty]])</f>
        <v>N/A</v>
      </c>
      <c r="Z16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7" s="1" t="str">
        <f>IF(Table1[[#This Row],[Spec Type]]="","N/A",Table1[[#This Row],[Spec Type]])</f>
        <v>±</v>
      </c>
      <c r="AC1687" s="1" t="str">
        <f>IF(Table1[[#This Row],[Spec Type2]]="N/A","N/A",IF(AND(Table1[[#This Row],[DUT Adj Read]]&gt;=Table1[[#This Row],[Low Tol]],Table1[[#This Row],[DUT Adj Read]]&lt;=Table1[[#This Row],[High Tol]]),"Pass","Fail"))</f>
        <v>Fail</v>
      </c>
      <c r="AD1687" s="1" t="str">
        <f>IF(AND(Table1[[#This Row],[Spec Type2]]="N/A",Table1[[#This Row],[DUT Adj Read]]="N/A",Table1[[#This Row],[Std Adj Read]]="N/A"),"N/A",IF(Table1[[#This Row],[DUT Adj Read]]="N/A",IF(Table1[[#This Row],[Std Adj Read]]&gt;Table1[[#This Row],[Low Tol]],"Pass","Fail"),IF(Table1[[#This Row],[DUT Adj Read]]&gt;Table1[[#This Row],[Low Tol]],"Pass","Fail")))</f>
        <v>Pass</v>
      </c>
      <c r="AE1687" s="1" t="str">
        <f>IF(AND(Table1[[#This Row],[Spec Type2]]="N/A",Table1[[#This Row],[DUT Adj Read]]="N/A",Table1[[#This Row],[Std Adj Read]]="N/A"),"N/A",IF(Table1[[#This Row],[DUT Adj Read]]="N/A",IF(Table1[[#This Row],[Std Adj Read]]&lt;Table1[[#This Row],[High Tol]],"Pass","Fail"),IF(Table1[[#This Row],[DUT Adj Read]]&lt;Table1[[#This Row],[High Tol]],"Pass","Fail")))</f>
        <v>Fail</v>
      </c>
      <c r="AF1687" s="1" t="str">
        <f>IF(AND(Table1[[#This Row],[Spec Type2]]="N/A",Table1[[#This Row],[DUT Adj Read]]="N/A",Table1[[#This Row],[Std Adj Read]]="N/A"),"N/A",IF(Table1[[#This Row],[DUT Adj Read]]="N/A",IF(Table1[[#This Row],[Std Adj Read]]&gt;=Table1[[#This Row],[Low Tol]],"Pass","Fail"),IF(Table1[[#This Row],[DUT Adj Read]]&gt;=Table1[[#This Row],[Low Tol]],"Pass","Fail")))</f>
        <v>Pass</v>
      </c>
      <c r="AG1687" s="1" t="str">
        <f>IF(AND(Table1[[#This Row],[Spec Type2]]="N/A",Table1[[#This Row],[DUT Adj Read]]="N/A",Table1[[#This Row],[Std Adj Read]]="N/A"),"N/A",IF(Table1[[#This Row],[DUT Adj Read]]="N/A",IF(Table1[[#This Row],[Std Adj Read]]&lt;=Table1[[#This Row],[High Tol]],"Pass","Fail"),IF(Table1[[#This Row],[DUT Adj Read]]&lt;=Table1[[#This Row],[High Tol]],"Pass","Fail")))</f>
        <v>Fail</v>
      </c>
      <c r="AH16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7" s="1" t="b">
        <v>0</v>
      </c>
      <c r="AN1687" s="1" t="b">
        <v>0</v>
      </c>
      <c r="AO1687" s="1" t="b">
        <v>0</v>
      </c>
    </row>
    <row r="1688" spans="1:41" x14ac:dyDescent="0.25">
      <c r="A1688" s="10"/>
      <c r="B1688" s="10"/>
      <c r="C1688" s="10"/>
      <c r="D1688" s="10"/>
      <c r="E1688" s="10"/>
      <c r="F1688" s="10"/>
      <c r="G1688" s="10"/>
      <c r="H1688" s="10"/>
      <c r="I1688" s="1" t="str">
        <f t="shared" si="78"/>
        <v/>
      </c>
      <c r="J1688" s="1" t="s">
        <v>35</v>
      </c>
      <c r="K1688" s="1" t="str">
        <f t="shared" si="79"/>
        <v/>
      </c>
      <c r="L1688" s="1" t="str">
        <f t="shared" si="80"/>
        <v/>
      </c>
      <c r="M1688" s="1">
        <f>IF(OR(Table1[[#This Row],[Std Nom]]="",Table1[[#This Row],[Std Read]]=""),0,Table1[[#This Row],[Std Nom]]-Table1[[#This Row],[Std Read]])</f>
        <v>0</v>
      </c>
      <c r="N1688" s="1">
        <f>IF(Calculations!$F$5="ACCREDITED 17025 WITH UNCERTAINTIES",$N$10,0)</f>
        <v>0</v>
      </c>
      <c r="O1688" s="1" t="str">
        <f>IFERROR(Table1[[#This Row],[Std Nom]]-(_xlfn.XLOOKUP(Table1[[#This Row],[Manufacturer]]&amp;" "&amp;Table1[[#This Row],[Model]],Table13[MFR &amp; MDL],Table13[Tolerance % CW ],"")/100*Table1[[#This Row],[Std Nom]]),"")</f>
        <v/>
      </c>
      <c r="P1688" s="1" t="str">
        <f>IFERROR(Table1[[#This Row],[Std Nom]]+(_xlfn.XLOOKUP(Table1[[#This Row],[Manufacturer]]&amp;" "&amp;Table1[[#This Row],[Model]],Table13[MFR &amp; MDL],Table13[Tolerance % CW ],"")/100*Table1[[#This Row],[Std Nom]]),"")</f>
        <v/>
      </c>
      <c r="Q1688" s="1" t="e">
        <f>Table1[[#This Row],[High Tol]]-Table1[[#This Row],[Low Tol]]</f>
        <v>#VALUE!</v>
      </c>
      <c r="R1688" s="1">
        <f>2*Table1[[#This Row],[Std Error]]</f>
        <v>0</v>
      </c>
      <c r="S1688" s="1" t="str">
        <f>IF(Table1[[#This Row],[High Tol]]="","N/A",IFERROR(ABS(Table1[[#This Row],[Tol Span]]/Table1[[#This Row],[Error Span]]),"N/A"))</f>
        <v>N/A</v>
      </c>
      <c r="T1688" s="1" t="str">
        <f>IF(OR(Table1[[#This Row],[Low Tol]]="",Table1[[#This Row],[High Tol]]=""),"Needs Analysis",IF(Table1[[#This Row],[Ratio]]&gt;=4,"Not Significant",IF(Table1[[#This Row],[Ratio]]&gt;=2,"Semi-Significant","Significant")))</f>
        <v>Needs Analysis</v>
      </c>
      <c r="W1688" s="1">
        <f>IF(Table1[[#This Row],[Cal Type]]&lt;&gt;"ACCREDITED 17025 WITH UNCERTAINTIES",0,"")</f>
        <v>0</v>
      </c>
      <c r="X1688" s="1" t="str">
        <f>IF(Table1[[#This Row],[DUT Read]]="","N/A",Table1[[#This Row],[Std Error]]+Table1[[#This Row],[DUT Read]]+Table1[[#This Row],[DUT Ucty]])</f>
        <v>N/A</v>
      </c>
      <c r="Y1688" s="1" t="str">
        <f>IF(Table1[[#This Row],[Std Read]]="","N/A",Table1[[#This Row],[Std Read]]+Table1[[#This Row],[Std Ucty]])</f>
        <v>N/A</v>
      </c>
      <c r="Z16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8" s="1" t="str">
        <f>IF(Table1[[#This Row],[Spec Type]]="","N/A",Table1[[#This Row],[Spec Type]])</f>
        <v>±</v>
      </c>
      <c r="AC1688" s="1" t="str">
        <f>IF(Table1[[#This Row],[Spec Type2]]="N/A","N/A",IF(AND(Table1[[#This Row],[DUT Adj Read]]&gt;=Table1[[#This Row],[Low Tol]],Table1[[#This Row],[DUT Adj Read]]&lt;=Table1[[#This Row],[High Tol]]),"Pass","Fail"))</f>
        <v>Fail</v>
      </c>
      <c r="AD1688" s="1" t="str">
        <f>IF(AND(Table1[[#This Row],[Spec Type2]]="N/A",Table1[[#This Row],[DUT Adj Read]]="N/A",Table1[[#This Row],[Std Adj Read]]="N/A"),"N/A",IF(Table1[[#This Row],[DUT Adj Read]]="N/A",IF(Table1[[#This Row],[Std Adj Read]]&gt;Table1[[#This Row],[Low Tol]],"Pass","Fail"),IF(Table1[[#This Row],[DUT Adj Read]]&gt;Table1[[#This Row],[Low Tol]],"Pass","Fail")))</f>
        <v>Pass</v>
      </c>
      <c r="AE1688" s="1" t="str">
        <f>IF(AND(Table1[[#This Row],[Spec Type2]]="N/A",Table1[[#This Row],[DUT Adj Read]]="N/A",Table1[[#This Row],[Std Adj Read]]="N/A"),"N/A",IF(Table1[[#This Row],[DUT Adj Read]]="N/A",IF(Table1[[#This Row],[Std Adj Read]]&lt;Table1[[#This Row],[High Tol]],"Pass","Fail"),IF(Table1[[#This Row],[DUT Adj Read]]&lt;Table1[[#This Row],[High Tol]],"Pass","Fail")))</f>
        <v>Fail</v>
      </c>
      <c r="AF1688" s="1" t="str">
        <f>IF(AND(Table1[[#This Row],[Spec Type2]]="N/A",Table1[[#This Row],[DUT Adj Read]]="N/A",Table1[[#This Row],[Std Adj Read]]="N/A"),"N/A",IF(Table1[[#This Row],[DUT Adj Read]]="N/A",IF(Table1[[#This Row],[Std Adj Read]]&gt;=Table1[[#This Row],[Low Tol]],"Pass","Fail"),IF(Table1[[#This Row],[DUT Adj Read]]&gt;=Table1[[#This Row],[Low Tol]],"Pass","Fail")))</f>
        <v>Pass</v>
      </c>
      <c r="AG1688" s="1" t="str">
        <f>IF(AND(Table1[[#This Row],[Spec Type2]]="N/A",Table1[[#This Row],[DUT Adj Read]]="N/A",Table1[[#This Row],[Std Adj Read]]="N/A"),"N/A",IF(Table1[[#This Row],[DUT Adj Read]]="N/A",IF(Table1[[#This Row],[Std Adj Read]]&lt;=Table1[[#This Row],[High Tol]],"Pass","Fail"),IF(Table1[[#This Row],[DUT Adj Read]]&lt;=Table1[[#This Row],[High Tol]],"Pass","Fail")))</f>
        <v>Fail</v>
      </c>
      <c r="AH16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8" s="1" t="b">
        <v>0</v>
      </c>
      <c r="AN1688" s="1" t="b">
        <v>0</v>
      </c>
      <c r="AO1688" s="1" t="b">
        <v>0</v>
      </c>
    </row>
    <row r="1689" spans="1:41" x14ac:dyDescent="0.25">
      <c r="A1689" s="10"/>
      <c r="B1689" s="10"/>
      <c r="C1689" s="10"/>
      <c r="D1689" s="10"/>
      <c r="E1689" s="10"/>
      <c r="F1689" s="10"/>
      <c r="G1689" s="10"/>
      <c r="H1689" s="10"/>
      <c r="I1689" s="1" t="str">
        <f t="shared" si="78"/>
        <v/>
      </c>
      <c r="J1689" s="1" t="s">
        <v>35</v>
      </c>
      <c r="K1689" s="1" t="str">
        <f t="shared" si="79"/>
        <v/>
      </c>
      <c r="L1689" s="1" t="str">
        <f t="shared" si="80"/>
        <v/>
      </c>
      <c r="M1689" s="1">
        <f>IF(OR(Table1[[#This Row],[Std Nom]]="",Table1[[#This Row],[Std Read]]=""),0,Table1[[#This Row],[Std Nom]]-Table1[[#This Row],[Std Read]])</f>
        <v>0</v>
      </c>
      <c r="N1689" s="1">
        <f>IF(Calculations!$F$5="ACCREDITED 17025 WITH UNCERTAINTIES",$N$10,0)</f>
        <v>0</v>
      </c>
      <c r="O1689" s="1" t="str">
        <f>IFERROR(Table1[[#This Row],[Std Nom]]-(_xlfn.XLOOKUP(Table1[[#This Row],[Manufacturer]]&amp;" "&amp;Table1[[#This Row],[Model]],Table13[MFR &amp; MDL],Table13[Tolerance % CW ],"")/100*Table1[[#This Row],[Std Nom]]),"")</f>
        <v/>
      </c>
      <c r="P1689" s="1" t="str">
        <f>IFERROR(Table1[[#This Row],[Std Nom]]+(_xlfn.XLOOKUP(Table1[[#This Row],[Manufacturer]]&amp;" "&amp;Table1[[#This Row],[Model]],Table13[MFR &amp; MDL],Table13[Tolerance % CW ],"")/100*Table1[[#This Row],[Std Nom]]),"")</f>
        <v/>
      </c>
      <c r="Q1689" s="1" t="e">
        <f>Table1[[#This Row],[High Tol]]-Table1[[#This Row],[Low Tol]]</f>
        <v>#VALUE!</v>
      </c>
      <c r="R1689" s="1">
        <f>2*Table1[[#This Row],[Std Error]]</f>
        <v>0</v>
      </c>
      <c r="S1689" s="1" t="str">
        <f>IF(Table1[[#This Row],[High Tol]]="","N/A",IFERROR(ABS(Table1[[#This Row],[Tol Span]]/Table1[[#This Row],[Error Span]]),"N/A"))</f>
        <v>N/A</v>
      </c>
      <c r="T1689" s="1" t="str">
        <f>IF(OR(Table1[[#This Row],[Low Tol]]="",Table1[[#This Row],[High Tol]]=""),"Needs Analysis",IF(Table1[[#This Row],[Ratio]]&gt;=4,"Not Significant",IF(Table1[[#This Row],[Ratio]]&gt;=2,"Semi-Significant","Significant")))</f>
        <v>Needs Analysis</v>
      </c>
      <c r="W1689" s="1">
        <f>IF(Table1[[#This Row],[Cal Type]]&lt;&gt;"ACCREDITED 17025 WITH UNCERTAINTIES",0,"")</f>
        <v>0</v>
      </c>
      <c r="X1689" s="1" t="str">
        <f>IF(Table1[[#This Row],[DUT Read]]="","N/A",Table1[[#This Row],[Std Error]]+Table1[[#This Row],[DUT Read]]+Table1[[#This Row],[DUT Ucty]])</f>
        <v>N/A</v>
      </c>
      <c r="Y1689" s="1" t="str">
        <f>IF(Table1[[#This Row],[Std Read]]="","N/A",Table1[[#This Row],[Std Read]]+Table1[[#This Row],[Std Ucty]])</f>
        <v>N/A</v>
      </c>
      <c r="Z16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9" s="1" t="str">
        <f>IF(Table1[[#This Row],[Spec Type]]="","N/A",Table1[[#This Row],[Spec Type]])</f>
        <v>±</v>
      </c>
      <c r="AC1689" s="1" t="str">
        <f>IF(Table1[[#This Row],[Spec Type2]]="N/A","N/A",IF(AND(Table1[[#This Row],[DUT Adj Read]]&gt;=Table1[[#This Row],[Low Tol]],Table1[[#This Row],[DUT Adj Read]]&lt;=Table1[[#This Row],[High Tol]]),"Pass","Fail"))</f>
        <v>Fail</v>
      </c>
      <c r="AD1689" s="1" t="str">
        <f>IF(AND(Table1[[#This Row],[Spec Type2]]="N/A",Table1[[#This Row],[DUT Adj Read]]="N/A",Table1[[#This Row],[Std Adj Read]]="N/A"),"N/A",IF(Table1[[#This Row],[DUT Adj Read]]="N/A",IF(Table1[[#This Row],[Std Adj Read]]&gt;Table1[[#This Row],[Low Tol]],"Pass","Fail"),IF(Table1[[#This Row],[DUT Adj Read]]&gt;Table1[[#This Row],[Low Tol]],"Pass","Fail")))</f>
        <v>Pass</v>
      </c>
      <c r="AE1689" s="1" t="str">
        <f>IF(AND(Table1[[#This Row],[Spec Type2]]="N/A",Table1[[#This Row],[DUT Adj Read]]="N/A",Table1[[#This Row],[Std Adj Read]]="N/A"),"N/A",IF(Table1[[#This Row],[DUT Adj Read]]="N/A",IF(Table1[[#This Row],[Std Adj Read]]&lt;Table1[[#This Row],[High Tol]],"Pass","Fail"),IF(Table1[[#This Row],[DUT Adj Read]]&lt;Table1[[#This Row],[High Tol]],"Pass","Fail")))</f>
        <v>Fail</v>
      </c>
      <c r="AF1689" s="1" t="str">
        <f>IF(AND(Table1[[#This Row],[Spec Type2]]="N/A",Table1[[#This Row],[DUT Adj Read]]="N/A",Table1[[#This Row],[Std Adj Read]]="N/A"),"N/A",IF(Table1[[#This Row],[DUT Adj Read]]="N/A",IF(Table1[[#This Row],[Std Adj Read]]&gt;=Table1[[#This Row],[Low Tol]],"Pass","Fail"),IF(Table1[[#This Row],[DUT Adj Read]]&gt;=Table1[[#This Row],[Low Tol]],"Pass","Fail")))</f>
        <v>Pass</v>
      </c>
      <c r="AG1689" s="1" t="str">
        <f>IF(AND(Table1[[#This Row],[Spec Type2]]="N/A",Table1[[#This Row],[DUT Adj Read]]="N/A",Table1[[#This Row],[Std Adj Read]]="N/A"),"N/A",IF(Table1[[#This Row],[DUT Adj Read]]="N/A",IF(Table1[[#This Row],[Std Adj Read]]&lt;=Table1[[#This Row],[High Tol]],"Pass","Fail"),IF(Table1[[#This Row],[DUT Adj Read]]&lt;=Table1[[#This Row],[High Tol]],"Pass","Fail")))</f>
        <v>Fail</v>
      </c>
      <c r="AH16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9" s="1" t="b">
        <v>0</v>
      </c>
      <c r="AN1689" s="1" t="b">
        <v>0</v>
      </c>
      <c r="AO1689" s="1" t="b">
        <v>0</v>
      </c>
    </row>
    <row r="1690" spans="1:41" x14ac:dyDescent="0.25">
      <c r="A1690" s="10"/>
      <c r="B1690" s="10"/>
      <c r="C1690" s="10"/>
      <c r="D1690" s="10"/>
      <c r="E1690" s="10"/>
      <c r="F1690" s="10"/>
      <c r="G1690" s="10"/>
      <c r="H1690" s="10"/>
      <c r="I1690" s="1" t="str">
        <f t="shared" si="78"/>
        <v/>
      </c>
      <c r="J1690" s="1" t="s">
        <v>35</v>
      </c>
      <c r="K1690" s="1" t="str">
        <f t="shared" si="79"/>
        <v/>
      </c>
      <c r="L1690" s="1" t="str">
        <f t="shared" si="80"/>
        <v/>
      </c>
      <c r="M1690" s="1">
        <f>IF(OR(Table1[[#This Row],[Std Nom]]="",Table1[[#This Row],[Std Read]]=""),0,Table1[[#This Row],[Std Nom]]-Table1[[#This Row],[Std Read]])</f>
        <v>0</v>
      </c>
      <c r="N1690" s="1">
        <f>IF(Calculations!$F$5="ACCREDITED 17025 WITH UNCERTAINTIES",$N$10,0)</f>
        <v>0</v>
      </c>
      <c r="O1690" s="1" t="str">
        <f>IFERROR(Table1[[#This Row],[Std Nom]]-(_xlfn.XLOOKUP(Table1[[#This Row],[Manufacturer]]&amp;" "&amp;Table1[[#This Row],[Model]],Table13[MFR &amp; MDL],Table13[Tolerance % CW ],"")/100*Table1[[#This Row],[Std Nom]]),"")</f>
        <v/>
      </c>
      <c r="P1690" s="1" t="str">
        <f>IFERROR(Table1[[#This Row],[Std Nom]]+(_xlfn.XLOOKUP(Table1[[#This Row],[Manufacturer]]&amp;" "&amp;Table1[[#This Row],[Model]],Table13[MFR &amp; MDL],Table13[Tolerance % CW ],"")/100*Table1[[#This Row],[Std Nom]]),"")</f>
        <v/>
      </c>
      <c r="Q1690" s="1" t="e">
        <f>Table1[[#This Row],[High Tol]]-Table1[[#This Row],[Low Tol]]</f>
        <v>#VALUE!</v>
      </c>
      <c r="R1690" s="1">
        <f>2*Table1[[#This Row],[Std Error]]</f>
        <v>0</v>
      </c>
      <c r="S1690" s="1" t="str">
        <f>IF(Table1[[#This Row],[High Tol]]="","N/A",IFERROR(ABS(Table1[[#This Row],[Tol Span]]/Table1[[#This Row],[Error Span]]),"N/A"))</f>
        <v>N/A</v>
      </c>
      <c r="T1690" s="1" t="str">
        <f>IF(OR(Table1[[#This Row],[Low Tol]]="",Table1[[#This Row],[High Tol]]=""),"Needs Analysis",IF(Table1[[#This Row],[Ratio]]&gt;=4,"Not Significant",IF(Table1[[#This Row],[Ratio]]&gt;=2,"Semi-Significant","Significant")))</f>
        <v>Needs Analysis</v>
      </c>
      <c r="W1690" s="1">
        <f>IF(Table1[[#This Row],[Cal Type]]&lt;&gt;"ACCREDITED 17025 WITH UNCERTAINTIES",0,"")</f>
        <v>0</v>
      </c>
      <c r="X1690" s="1" t="str">
        <f>IF(Table1[[#This Row],[DUT Read]]="","N/A",Table1[[#This Row],[Std Error]]+Table1[[#This Row],[DUT Read]]+Table1[[#This Row],[DUT Ucty]])</f>
        <v>N/A</v>
      </c>
      <c r="Y1690" s="1" t="str">
        <f>IF(Table1[[#This Row],[Std Read]]="","N/A",Table1[[#This Row],[Std Read]]+Table1[[#This Row],[Std Ucty]])</f>
        <v>N/A</v>
      </c>
      <c r="Z16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0" s="1" t="str">
        <f>IF(Table1[[#This Row],[Spec Type]]="","N/A",Table1[[#This Row],[Spec Type]])</f>
        <v>±</v>
      </c>
      <c r="AC1690" s="1" t="str">
        <f>IF(Table1[[#This Row],[Spec Type2]]="N/A","N/A",IF(AND(Table1[[#This Row],[DUT Adj Read]]&gt;=Table1[[#This Row],[Low Tol]],Table1[[#This Row],[DUT Adj Read]]&lt;=Table1[[#This Row],[High Tol]]),"Pass","Fail"))</f>
        <v>Fail</v>
      </c>
      <c r="AD1690" s="1" t="str">
        <f>IF(AND(Table1[[#This Row],[Spec Type2]]="N/A",Table1[[#This Row],[DUT Adj Read]]="N/A",Table1[[#This Row],[Std Adj Read]]="N/A"),"N/A",IF(Table1[[#This Row],[DUT Adj Read]]="N/A",IF(Table1[[#This Row],[Std Adj Read]]&gt;Table1[[#This Row],[Low Tol]],"Pass","Fail"),IF(Table1[[#This Row],[DUT Adj Read]]&gt;Table1[[#This Row],[Low Tol]],"Pass","Fail")))</f>
        <v>Pass</v>
      </c>
      <c r="AE1690" s="1" t="str">
        <f>IF(AND(Table1[[#This Row],[Spec Type2]]="N/A",Table1[[#This Row],[DUT Adj Read]]="N/A",Table1[[#This Row],[Std Adj Read]]="N/A"),"N/A",IF(Table1[[#This Row],[DUT Adj Read]]="N/A",IF(Table1[[#This Row],[Std Adj Read]]&lt;Table1[[#This Row],[High Tol]],"Pass","Fail"),IF(Table1[[#This Row],[DUT Adj Read]]&lt;Table1[[#This Row],[High Tol]],"Pass","Fail")))</f>
        <v>Fail</v>
      </c>
      <c r="AF1690" s="1" t="str">
        <f>IF(AND(Table1[[#This Row],[Spec Type2]]="N/A",Table1[[#This Row],[DUT Adj Read]]="N/A",Table1[[#This Row],[Std Adj Read]]="N/A"),"N/A",IF(Table1[[#This Row],[DUT Adj Read]]="N/A",IF(Table1[[#This Row],[Std Adj Read]]&gt;=Table1[[#This Row],[Low Tol]],"Pass","Fail"),IF(Table1[[#This Row],[DUT Adj Read]]&gt;=Table1[[#This Row],[Low Tol]],"Pass","Fail")))</f>
        <v>Pass</v>
      </c>
      <c r="AG1690" s="1" t="str">
        <f>IF(AND(Table1[[#This Row],[Spec Type2]]="N/A",Table1[[#This Row],[DUT Adj Read]]="N/A",Table1[[#This Row],[Std Adj Read]]="N/A"),"N/A",IF(Table1[[#This Row],[DUT Adj Read]]="N/A",IF(Table1[[#This Row],[Std Adj Read]]&lt;=Table1[[#This Row],[High Tol]],"Pass","Fail"),IF(Table1[[#This Row],[DUT Adj Read]]&lt;=Table1[[#This Row],[High Tol]],"Pass","Fail")))</f>
        <v>Fail</v>
      </c>
      <c r="AH16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0" s="1" t="b">
        <v>0</v>
      </c>
      <c r="AN1690" s="1" t="b">
        <v>0</v>
      </c>
      <c r="AO1690" s="1" t="b">
        <v>0</v>
      </c>
    </row>
    <row r="1691" spans="1:41" x14ac:dyDescent="0.25">
      <c r="A1691" s="10"/>
      <c r="B1691" s="10"/>
      <c r="C1691" s="10"/>
      <c r="D1691" s="10"/>
      <c r="E1691" s="10"/>
      <c r="F1691" s="10"/>
      <c r="G1691" s="10"/>
      <c r="H1691" s="10"/>
      <c r="I1691" s="1" t="str">
        <f t="shared" si="78"/>
        <v/>
      </c>
      <c r="J1691" s="1" t="s">
        <v>35</v>
      </c>
      <c r="K1691" s="1" t="str">
        <f t="shared" si="79"/>
        <v/>
      </c>
      <c r="L1691" s="1" t="str">
        <f t="shared" si="80"/>
        <v/>
      </c>
      <c r="M1691" s="1">
        <f>IF(OR(Table1[[#This Row],[Std Nom]]="",Table1[[#This Row],[Std Read]]=""),0,Table1[[#This Row],[Std Nom]]-Table1[[#This Row],[Std Read]])</f>
        <v>0</v>
      </c>
      <c r="N1691" s="1">
        <f>IF(Calculations!$F$5="ACCREDITED 17025 WITH UNCERTAINTIES",$N$10,0)</f>
        <v>0</v>
      </c>
      <c r="O1691" s="1" t="str">
        <f>IFERROR(Table1[[#This Row],[Std Nom]]-(_xlfn.XLOOKUP(Table1[[#This Row],[Manufacturer]]&amp;" "&amp;Table1[[#This Row],[Model]],Table13[MFR &amp; MDL],Table13[Tolerance % CW ],"")/100*Table1[[#This Row],[Std Nom]]),"")</f>
        <v/>
      </c>
      <c r="P1691" s="1" t="str">
        <f>IFERROR(Table1[[#This Row],[Std Nom]]+(_xlfn.XLOOKUP(Table1[[#This Row],[Manufacturer]]&amp;" "&amp;Table1[[#This Row],[Model]],Table13[MFR &amp; MDL],Table13[Tolerance % CW ],"")/100*Table1[[#This Row],[Std Nom]]),"")</f>
        <v/>
      </c>
      <c r="Q1691" s="1" t="e">
        <f>Table1[[#This Row],[High Tol]]-Table1[[#This Row],[Low Tol]]</f>
        <v>#VALUE!</v>
      </c>
      <c r="R1691" s="1">
        <f>2*Table1[[#This Row],[Std Error]]</f>
        <v>0</v>
      </c>
      <c r="S1691" s="1" t="str">
        <f>IF(Table1[[#This Row],[High Tol]]="","N/A",IFERROR(ABS(Table1[[#This Row],[Tol Span]]/Table1[[#This Row],[Error Span]]),"N/A"))</f>
        <v>N/A</v>
      </c>
      <c r="T1691" s="1" t="str">
        <f>IF(OR(Table1[[#This Row],[Low Tol]]="",Table1[[#This Row],[High Tol]]=""),"Needs Analysis",IF(Table1[[#This Row],[Ratio]]&gt;=4,"Not Significant",IF(Table1[[#This Row],[Ratio]]&gt;=2,"Semi-Significant","Significant")))</f>
        <v>Needs Analysis</v>
      </c>
      <c r="W1691" s="1">
        <f>IF(Table1[[#This Row],[Cal Type]]&lt;&gt;"ACCREDITED 17025 WITH UNCERTAINTIES",0,"")</f>
        <v>0</v>
      </c>
      <c r="X1691" s="1" t="str">
        <f>IF(Table1[[#This Row],[DUT Read]]="","N/A",Table1[[#This Row],[Std Error]]+Table1[[#This Row],[DUT Read]]+Table1[[#This Row],[DUT Ucty]])</f>
        <v>N/A</v>
      </c>
      <c r="Y1691" s="1" t="str">
        <f>IF(Table1[[#This Row],[Std Read]]="","N/A",Table1[[#This Row],[Std Read]]+Table1[[#This Row],[Std Ucty]])</f>
        <v>N/A</v>
      </c>
      <c r="Z16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1" s="1" t="str">
        <f>IF(Table1[[#This Row],[Spec Type]]="","N/A",Table1[[#This Row],[Spec Type]])</f>
        <v>±</v>
      </c>
      <c r="AC1691" s="1" t="str">
        <f>IF(Table1[[#This Row],[Spec Type2]]="N/A","N/A",IF(AND(Table1[[#This Row],[DUT Adj Read]]&gt;=Table1[[#This Row],[Low Tol]],Table1[[#This Row],[DUT Adj Read]]&lt;=Table1[[#This Row],[High Tol]]),"Pass","Fail"))</f>
        <v>Fail</v>
      </c>
      <c r="AD1691" s="1" t="str">
        <f>IF(AND(Table1[[#This Row],[Spec Type2]]="N/A",Table1[[#This Row],[DUT Adj Read]]="N/A",Table1[[#This Row],[Std Adj Read]]="N/A"),"N/A",IF(Table1[[#This Row],[DUT Adj Read]]="N/A",IF(Table1[[#This Row],[Std Adj Read]]&gt;Table1[[#This Row],[Low Tol]],"Pass","Fail"),IF(Table1[[#This Row],[DUT Adj Read]]&gt;Table1[[#This Row],[Low Tol]],"Pass","Fail")))</f>
        <v>Pass</v>
      </c>
      <c r="AE1691" s="1" t="str">
        <f>IF(AND(Table1[[#This Row],[Spec Type2]]="N/A",Table1[[#This Row],[DUT Adj Read]]="N/A",Table1[[#This Row],[Std Adj Read]]="N/A"),"N/A",IF(Table1[[#This Row],[DUT Adj Read]]="N/A",IF(Table1[[#This Row],[Std Adj Read]]&lt;Table1[[#This Row],[High Tol]],"Pass","Fail"),IF(Table1[[#This Row],[DUT Adj Read]]&lt;Table1[[#This Row],[High Tol]],"Pass","Fail")))</f>
        <v>Fail</v>
      </c>
      <c r="AF1691" s="1" t="str">
        <f>IF(AND(Table1[[#This Row],[Spec Type2]]="N/A",Table1[[#This Row],[DUT Adj Read]]="N/A",Table1[[#This Row],[Std Adj Read]]="N/A"),"N/A",IF(Table1[[#This Row],[DUT Adj Read]]="N/A",IF(Table1[[#This Row],[Std Adj Read]]&gt;=Table1[[#This Row],[Low Tol]],"Pass","Fail"),IF(Table1[[#This Row],[DUT Adj Read]]&gt;=Table1[[#This Row],[Low Tol]],"Pass","Fail")))</f>
        <v>Pass</v>
      </c>
      <c r="AG1691" s="1" t="str">
        <f>IF(AND(Table1[[#This Row],[Spec Type2]]="N/A",Table1[[#This Row],[DUT Adj Read]]="N/A",Table1[[#This Row],[Std Adj Read]]="N/A"),"N/A",IF(Table1[[#This Row],[DUT Adj Read]]="N/A",IF(Table1[[#This Row],[Std Adj Read]]&lt;=Table1[[#This Row],[High Tol]],"Pass","Fail"),IF(Table1[[#This Row],[DUT Adj Read]]&lt;=Table1[[#This Row],[High Tol]],"Pass","Fail")))</f>
        <v>Fail</v>
      </c>
      <c r="AH16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1" s="1" t="b">
        <v>0</v>
      </c>
      <c r="AN1691" s="1" t="b">
        <v>0</v>
      </c>
      <c r="AO1691" s="1" t="b">
        <v>0</v>
      </c>
    </row>
    <row r="1692" spans="1:41" x14ac:dyDescent="0.25">
      <c r="A1692" s="10"/>
      <c r="B1692" s="10"/>
      <c r="C1692" s="10"/>
      <c r="D1692" s="10"/>
      <c r="E1692" s="10"/>
      <c r="F1692" s="10"/>
      <c r="G1692" s="10"/>
      <c r="H1692" s="10"/>
      <c r="I1692" s="1" t="str">
        <f t="shared" si="78"/>
        <v/>
      </c>
      <c r="J1692" s="1" t="s">
        <v>35</v>
      </c>
      <c r="K1692" s="1" t="str">
        <f t="shared" si="79"/>
        <v/>
      </c>
      <c r="L1692" s="1" t="str">
        <f t="shared" si="80"/>
        <v/>
      </c>
      <c r="M1692" s="1">
        <f>IF(OR(Table1[[#This Row],[Std Nom]]="",Table1[[#This Row],[Std Read]]=""),0,Table1[[#This Row],[Std Nom]]-Table1[[#This Row],[Std Read]])</f>
        <v>0</v>
      </c>
      <c r="N1692" s="1">
        <f>IF(Calculations!$F$5="ACCREDITED 17025 WITH UNCERTAINTIES",$N$10,0)</f>
        <v>0</v>
      </c>
      <c r="O1692" s="1" t="str">
        <f>IFERROR(Table1[[#This Row],[Std Nom]]-(_xlfn.XLOOKUP(Table1[[#This Row],[Manufacturer]]&amp;" "&amp;Table1[[#This Row],[Model]],Table13[MFR &amp; MDL],Table13[Tolerance % CW ],"")/100*Table1[[#This Row],[Std Nom]]),"")</f>
        <v/>
      </c>
      <c r="P1692" s="1" t="str">
        <f>IFERROR(Table1[[#This Row],[Std Nom]]+(_xlfn.XLOOKUP(Table1[[#This Row],[Manufacturer]]&amp;" "&amp;Table1[[#This Row],[Model]],Table13[MFR &amp; MDL],Table13[Tolerance % CW ],"")/100*Table1[[#This Row],[Std Nom]]),"")</f>
        <v/>
      </c>
      <c r="Q1692" s="1" t="e">
        <f>Table1[[#This Row],[High Tol]]-Table1[[#This Row],[Low Tol]]</f>
        <v>#VALUE!</v>
      </c>
      <c r="R1692" s="1">
        <f>2*Table1[[#This Row],[Std Error]]</f>
        <v>0</v>
      </c>
      <c r="S1692" s="1" t="str">
        <f>IF(Table1[[#This Row],[High Tol]]="","N/A",IFERROR(ABS(Table1[[#This Row],[Tol Span]]/Table1[[#This Row],[Error Span]]),"N/A"))</f>
        <v>N/A</v>
      </c>
      <c r="T1692" s="1" t="str">
        <f>IF(OR(Table1[[#This Row],[Low Tol]]="",Table1[[#This Row],[High Tol]]=""),"Needs Analysis",IF(Table1[[#This Row],[Ratio]]&gt;=4,"Not Significant",IF(Table1[[#This Row],[Ratio]]&gt;=2,"Semi-Significant","Significant")))</f>
        <v>Needs Analysis</v>
      </c>
      <c r="W1692" s="1">
        <f>IF(Table1[[#This Row],[Cal Type]]&lt;&gt;"ACCREDITED 17025 WITH UNCERTAINTIES",0,"")</f>
        <v>0</v>
      </c>
      <c r="X1692" s="1" t="str">
        <f>IF(Table1[[#This Row],[DUT Read]]="","N/A",Table1[[#This Row],[Std Error]]+Table1[[#This Row],[DUT Read]]+Table1[[#This Row],[DUT Ucty]])</f>
        <v>N/A</v>
      </c>
      <c r="Y1692" s="1" t="str">
        <f>IF(Table1[[#This Row],[Std Read]]="","N/A",Table1[[#This Row],[Std Read]]+Table1[[#This Row],[Std Ucty]])</f>
        <v>N/A</v>
      </c>
      <c r="Z16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2" s="1" t="str">
        <f>IF(Table1[[#This Row],[Spec Type]]="","N/A",Table1[[#This Row],[Spec Type]])</f>
        <v>±</v>
      </c>
      <c r="AC1692" s="1" t="str">
        <f>IF(Table1[[#This Row],[Spec Type2]]="N/A","N/A",IF(AND(Table1[[#This Row],[DUT Adj Read]]&gt;=Table1[[#This Row],[Low Tol]],Table1[[#This Row],[DUT Adj Read]]&lt;=Table1[[#This Row],[High Tol]]),"Pass","Fail"))</f>
        <v>Fail</v>
      </c>
      <c r="AD1692" s="1" t="str">
        <f>IF(AND(Table1[[#This Row],[Spec Type2]]="N/A",Table1[[#This Row],[DUT Adj Read]]="N/A",Table1[[#This Row],[Std Adj Read]]="N/A"),"N/A",IF(Table1[[#This Row],[DUT Adj Read]]="N/A",IF(Table1[[#This Row],[Std Adj Read]]&gt;Table1[[#This Row],[Low Tol]],"Pass","Fail"),IF(Table1[[#This Row],[DUT Adj Read]]&gt;Table1[[#This Row],[Low Tol]],"Pass","Fail")))</f>
        <v>Pass</v>
      </c>
      <c r="AE1692" s="1" t="str">
        <f>IF(AND(Table1[[#This Row],[Spec Type2]]="N/A",Table1[[#This Row],[DUT Adj Read]]="N/A",Table1[[#This Row],[Std Adj Read]]="N/A"),"N/A",IF(Table1[[#This Row],[DUT Adj Read]]="N/A",IF(Table1[[#This Row],[Std Adj Read]]&lt;Table1[[#This Row],[High Tol]],"Pass","Fail"),IF(Table1[[#This Row],[DUT Adj Read]]&lt;Table1[[#This Row],[High Tol]],"Pass","Fail")))</f>
        <v>Fail</v>
      </c>
      <c r="AF1692" s="1" t="str">
        <f>IF(AND(Table1[[#This Row],[Spec Type2]]="N/A",Table1[[#This Row],[DUT Adj Read]]="N/A",Table1[[#This Row],[Std Adj Read]]="N/A"),"N/A",IF(Table1[[#This Row],[DUT Adj Read]]="N/A",IF(Table1[[#This Row],[Std Adj Read]]&gt;=Table1[[#This Row],[Low Tol]],"Pass","Fail"),IF(Table1[[#This Row],[DUT Adj Read]]&gt;=Table1[[#This Row],[Low Tol]],"Pass","Fail")))</f>
        <v>Pass</v>
      </c>
      <c r="AG1692" s="1" t="str">
        <f>IF(AND(Table1[[#This Row],[Spec Type2]]="N/A",Table1[[#This Row],[DUT Adj Read]]="N/A",Table1[[#This Row],[Std Adj Read]]="N/A"),"N/A",IF(Table1[[#This Row],[DUT Adj Read]]="N/A",IF(Table1[[#This Row],[Std Adj Read]]&lt;=Table1[[#This Row],[High Tol]],"Pass","Fail"),IF(Table1[[#This Row],[DUT Adj Read]]&lt;=Table1[[#This Row],[High Tol]],"Pass","Fail")))</f>
        <v>Fail</v>
      </c>
      <c r="AH16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2" s="1" t="b">
        <v>0</v>
      </c>
      <c r="AN1692" s="1" t="b">
        <v>0</v>
      </c>
      <c r="AO1692" s="1" t="b">
        <v>0</v>
      </c>
    </row>
    <row r="1693" spans="1:41" x14ac:dyDescent="0.25">
      <c r="A1693" s="10"/>
      <c r="B1693" s="10"/>
      <c r="C1693" s="10"/>
      <c r="D1693" s="10"/>
      <c r="E1693" s="10"/>
      <c r="F1693" s="10"/>
      <c r="G1693" s="10"/>
      <c r="H1693" s="10"/>
      <c r="I1693" s="1" t="str">
        <f t="shared" si="78"/>
        <v/>
      </c>
      <c r="J1693" s="1" t="s">
        <v>35</v>
      </c>
      <c r="K1693" s="1" t="str">
        <f t="shared" si="79"/>
        <v/>
      </c>
      <c r="L1693" s="1" t="str">
        <f t="shared" si="80"/>
        <v/>
      </c>
      <c r="M1693" s="1">
        <f>IF(OR(Table1[[#This Row],[Std Nom]]="",Table1[[#This Row],[Std Read]]=""),0,Table1[[#This Row],[Std Nom]]-Table1[[#This Row],[Std Read]])</f>
        <v>0</v>
      </c>
      <c r="N1693" s="1">
        <f>IF(Calculations!$F$5="ACCREDITED 17025 WITH UNCERTAINTIES",$N$10,0)</f>
        <v>0</v>
      </c>
      <c r="O1693" s="1" t="str">
        <f>IFERROR(Table1[[#This Row],[Std Nom]]-(_xlfn.XLOOKUP(Table1[[#This Row],[Manufacturer]]&amp;" "&amp;Table1[[#This Row],[Model]],Table13[MFR &amp; MDL],Table13[Tolerance % CW ],"")/100*Table1[[#This Row],[Std Nom]]),"")</f>
        <v/>
      </c>
      <c r="P1693" s="1" t="str">
        <f>IFERROR(Table1[[#This Row],[Std Nom]]+(_xlfn.XLOOKUP(Table1[[#This Row],[Manufacturer]]&amp;" "&amp;Table1[[#This Row],[Model]],Table13[MFR &amp; MDL],Table13[Tolerance % CW ],"")/100*Table1[[#This Row],[Std Nom]]),"")</f>
        <v/>
      </c>
      <c r="Q1693" s="1" t="e">
        <f>Table1[[#This Row],[High Tol]]-Table1[[#This Row],[Low Tol]]</f>
        <v>#VALUE!</v>
      </c>
      <c r="R1693" s="1">
        <f>2*Table1[[#This Row],[Std Error]]</f>
        <v>0</v>
      </c>
      <c r="S1693" s="1" t="str">
        <f>IF(Table1[[#This Row],[High Tol]]="","N/A",IFERROR(ABS(Table1[[#This Row],[Tol Span]]/Table1[[#This Row],[Error Span]]),"N/A"))</f>
        <v>N/A</v>
      </c>
      <c r="T1693" s="1" t="str">
        <f>IF(OR(Table1[[#This Row],[Low Tol]]="",Table1[[#This Row],[High Tol]]=""),"Needs Analysis",IF(Table1[[#This Row],[Ratio]]&gt;=4,"Not Significant",IF(Table1[[#This Row],[Ratio]]&gt;=2,"Semi-Significant","Significant")))</f>
        <v>Needs Analysis</v>
      </c>
      <c r="W1693" s="1">
        <f>IF(Table1[[#This Row],[Cal Type]]&lt;&gt;"ACCREDITED 17025 WITH UNCERTAINTIES",0,"")</f>
        <v>0</v>
      </c>
      <c r="X1693" s="1" t="str">
        <f>IF(Table1[[#This Row],[DUT Read]]="","N/A",Table1[[#This Row],[Std Error]]+Table1[[#This Row],[DUT Read]]+Table1[[#This Row],[DUT Ucty]])</f>
        <v>N/A</v>
      </c>
      <c r="Y1693" s="1" t="str">
        <f>IF(Table1[[#This Row],[Std Read]]="","N/A",Table1[[#This Row],[Std Read]]+Table1[[#This Row],[Std Ucty]])</f>
        <v>N/A</v>
      </c>
      <c r="Z16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3" s="1" t="str">
        <f>IF(Table1[[#This Row],[Spec Type]]="","N/A",Table1[[#This Row],[Spec Type]])</f>
        <v>±</v>
      </c>
      <c r="AC1693" s="1" t="str">
        <f>IF(Table1[[#This Row],[Spec Type2]]="N/A","N/A",IF(AND(Table1[[#This Row],[DUT Adj Read]]&gt;=Table1[[#This Row],[Low Tol]],Table1[[#This Row],[DUT Adj Read]]&lt;=Table1[[#This Row],[High Tol]]),"Pass","Fail"))</f>
        <v>Fail</v>
      </c>
      <c r="AD1693" s="1" t="str">
        <f>IF(AND(Table1[[#This Row],[Spec Type2]]="N/A",Table1[[#This Row],[DUT Adj Read]]="N/A",Table1[[#This Row],[Std Adj Read]]="N/A"),"N/A",IF(Table1[[#This Row],[DUT Adj Read]]="N/A",IF(Table1[[#This Row],[Std Adj Read]]&gt;Table1[[#This Row],[Low Tol]],"Pass","Fail"),IF(Table1[[#This Row],[DUT Adj Read]]&gt;Table1[[#This Row],[Low Tol]],"Pass","Fail")))</f>
        <v>Pass</v>
      </c>
      <c r="AE1693" s="1" t="str">
        <f>IF(AND(Table1[[#This Row],[Spec Type2]]="N/A",Table1[[#This Row],[DUT Adj Read]]="N/A",Table1[[#This Row],[Std Adj Read]]="N/A"),"N/A",IF(Table1[[#This Row],[DUT Adj Read]]="N/A",IF(Table1[[#This Row],[Std Adj Read]]&lt;Table1[[#This Row],[High Tol]],"Pass","Fail"),IF(Table1[[#This Row],[DUT Adj Read]]&lt;Table1[[#This Row],[High Tol]],"Pass","Fail")))</f>
        <v>Fail</v>
      </c>
      <c r="AF1693" s="1" t="str">
        <f>IF(AND(Table1[[#This Row],[Spec Type2]]="N/A",Table1[[#This Row],[DUT Adj Read]]="N/A",Table1[[#This Row],[Std Adj Read]]="N/A"),"N/A",IF(Table1[[#This Row],[DUT Adj Read]]="N/A",IF(Table1[[#This Row],[Std Adj Read]]&gt;=Table1[[#This Row],[Low Tol]],"Pass","Fail"),IF(Table1[[#This Row],[DUT Adj Read]]&gt;=Table1[[#This Row],[Low Tol]],"Pass","Fail")))</f>
        <v>Pass</v>
      </c>
      <c r="AG1693" s="1" t="str">
        <f>IF(AND(Table1[[#This Row],[Spec Type2]]="N/A",Table1[[#This Row],[DUT Adj Read]]="N/A",Table1[[#This Row],[Std Adj Read]]="N/A"),"N/A",IF(Table1[[#This Row],[DUT Adj Read]]="N/A",IF(Table1[[#This Row],[Std Adj Read]]&lt;=Table1[[#This Row],[High Tol]],"Pass","Fail"),IF(Table1[[#This Row],[DUT Adj Read]]&lt;=Table1[[#This Row],[High Tol]],"Pass","Fail")))</f>
        <v>Fail</v>
      </c>
      <c r="AH16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3" s="1" t="b">
        <v>0</v>
      </c>
      <c r="AN1693" s="1" t="b">
        <v>0</v>
      </c>
      <c r="AO1693" s="1" t="b">
        <v>0</v>
      </c>
    </row>
    <row r="1694" spans="1:41" x14ac:dyDescent="0.25">
      <c r="A1694" s="10"/>
      <c r="B1694" s="10"/>
      <c r="C1694" s="10"/>
      <c r="D1694" s="10"/>
      <c r="E1694" s="10"/>
      <c r="F1694" s="10"/>
      <c r="G1694" s="10"/>
      <c r="H1694" s="10"/>
      <c r="I1694" s="1" t="str">
        <f t="shared" si="78"/>
        <v/>
      </c>
      <c r="J1694" s="1" t="s">
        <v>35</v>
      </c>
      <c r="K1694" s="1" t="str">
        <f t="shared" si="79"/>
        <v/>
      </c>
      <c r="L1694" s="1" t="str">
        <f t="shared" si="80"/>
        <v/>
      </c>
      <c r="M1694" s="1">
        <f>IF(OR(Table1[[#This Row],[Std Nom]]="",Table1[[#This Row],[Std Read]]=""),0,Table1[[#This Row],[Std Nom]]-Table1[[#This Row],[Std Read]])</f>
        <v>0</v>
      </c>
      <c r="N1694" s="1">
        <f>IF(Calculations!$F$5="ACCREDITED 17025 WITH UNCERTAINTIES",$N$10,0)</f>
        <v>0</v>
      </c>
      <c r="O1694" s="1" t="str">
        <f>IFERROR(Table1[[#This Row],[Std Nom]]-(_xlfn.XLOOKUP(Table1[[#This Row],[Manufacturer]]&amp;" "&amp;Table1[[#This Row],[Model]],Table13[MFR &amp; MDL],Table13[Tolerance % CW ],"")/100*Table1[[#This Row],[Std Nom]]),"")</f>
        <v/>
      </c>
      <c r="P1694" s="1" t="str">
        <f>IFERROR(Table1[[#This Row],[Std Nom]]+(_xlfn.XLOOKUP(Table1[[#This Row],[Manufacturer]]&amp;" "&amp;Table1[[#This Row],[Model]],Table13[MFR &amp; MDL],Table13[Tolerance % CW ],"")/100*Table1[[#This Row],[Std Nom]]),"")</f>
        <v/>
      </c>
      <c r="Q1694" s="1" t="e">
        <f>Table1[[#This Row],[High Tol]]-Table1[[#This Row],[Low Tol]]</f>
        <v>#VALUE!</v>
      </c>
      <c r="R1694" s="1">
        <f>2*Table1[[#This Row],[Std Error]]</f>
        <v>0</v>
      </c>
      <c r="S1694" s="1" t="str">
        <f>IF(Table1[[#This Row],[High Tol]]="","N/A",IFERROR(ABS(Table1[[#This Row],[Tol Span]]/Table1[[#This Row],[Error Span]]),"N/A"))</f>
        <v>N/A</v>
      </c>
      <c r="T1694" s="1" t="str">
        <f>IF(OR(Table1[[#This Row],[Low Tol]]="",Table1[[#This Row],[High Tol]]=""),"Needs Analysis",IF(Table1[[#This Row],[Ratio]]&gt;=4,"Not Significant",IF(Table1[[#This Row],[Ratio]]&gt;=2,"Semi-Significant","Significant")))</f>
        <v>Needs Analysis</v>
      </c>
      <c r="W1694" s="1">
        <f>IF(Table1[[#This Row],[Cal Type]]&lt;&gt;"ACCREDITED 17025 WITH UNCERTAINTIES",0,"")</f>
        <v>0</v>
      </c>
      <c r="X1694" s="1" t="str">
        <f>IF(Table1[[#This Row],[DUT Read]]="","N/A",Table1[[#This Row],[Std Error]]+Table1[[#This Row],[DUT Read]]+Table1[[#This Row],[DUT Ucty]])</f>
        <v>N/A</v>
      </c>
      <c r="Y1694" s="1" t="str">
        <f>IF(Table1[[#This Row],[Std Read]]="","N/A",Table1[[#This Row],[Std Read]]+Table1[[#This Row],[Std Ucty]])</f>
        <v>N/A</v>
      </c>
      <c r="Z16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4" s="1" t="str">
        <f>IF(Table1[[#This Row],[Spec Type]]="","N/A",Table1[[#This Row],[Spec Type]])</f>
        <v>±</v>
      </c>
      <c r="AC1694" s="1" t="str">
        <f>IF(Table1[[#This Row],[Spec Type2]]="N/A","N/A",IF(AND(Table1[[#This Row],[DUT Adj Read]]&gt;=Table1[[#This Row],[Low Tol]],Table1[[#This Row],[DUT Adj Read]]&lt;=Table1[[#This Row],[High Tol]]),"Pass","Fail"))</f>
        <v>Fail</v>
      </c>
      <c r="AD1694" s="1" t="str">
        <f>IF(AND(Table1[[#This Row],[Spec Type2]]="N/A",Table1[[#This Row],[DUT Adj Read]]="N/A",Table1[[#This Row],[Std Adj Read]]="N/A"),"N/A",IF(Table1[[#This Row],[DUT Adj Read]]="N/A",IF(Table1[[#This Row],[Std Adj Read]]&gt;Table1[[#This Row],[Low Tol]],"Pass","Fail"),IF(Table1[[#This Row],[DUT Adj Read]]&gt;Table1[[#This Row],[Low Tol]],"Pass","Fail")))</f>
        <v>Pass</v>
      </c>
      <c r="AE1694" s="1" t="str">
        <f>IF(AND(Table1[[#This Row],[Spec Type2]]="N/A",Table1[[#This Row],[DUT Adj Read]]="N/A",Table1[[#This Row],[Std Adj Read]]="N/A"),"N/A",IF(Table1[[#This Row],[DUT Adj Read]]="N/A",IF(Table1[[#This Row],[Std Adj Read]]&lt;Table1[[#This Row],[High Tol]],"Pass","Fail"),IF(Table1[[#This Row],[DUT Adj Read]]&lt;Table1[[#This Row],[High Tol]],"Pass","Fail")))</f>
        <v>Fail</v>
      </c>
      <c r="AF1694" s="1" t="str">
        <f>IF(AND(Table1[[#This Row],[Spec Type2]]="N/A",Table1[[#This Row],[DUT Adj Read]]="N/A",Table1[[#This Row],[Std Adj Read]]="N/A"),"N/A",IF(Table1[[#This Row],[DUT Adj Read]]="N/A",IF(Table1[[#This Row],[Std Adj Read]]&gt;=Table1[[#This Row],[Low Tol]],"Pass","Fail"),IF(Table1[[#This Row],[DUT Adj Read]]&gt;=Table1[[#This Row],[Low Tol]],"Pass","Fail")))</f>
        <v>Pass</v>
      </c>
      <c r="AG1694" s="1" t="str">
        <f>IF(AND(Table1[[#This Row],[Spec Type2]]="N/A",Table1[[#This Row],[DUT Adj Read]]="N/A",Table1[[#This Row],[Std Adj Read]]="N/A"),"N/A",IF(Table1[[#This Row],[DUT Adj Read]]="N/A",IF(Table1[[#This Row],[Std Adj Read]]&lt;=Table1[[#This Row],[High Tol]],"Pass","Fail"),IF(Table1[[#This Row],[DUT Adj Read]]&lt;=Table1[[#This Row],[High Tol]],"Pass","Fail")))</f>
        <v>Fail</v>
      </c>
      <c r="AH16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4" s="1" t="b">
        <v>0</v>
      </c>
      <c r="AN1694" s="1" t="b">
        <v>0</v>
      </c>
      <c r="AO1694" s="1" t="b">
        <v>0</v>
      </c>
    </row>
    <row r="1695" spans="1:41" x14ac:dyDescent="0.25">
      <c r="A1695" s="10"/>
      <c r="B1695" s="10"/>
      <c r="C1695" s="10"/>
      <c r="D1695" s="10"/>
      <c r="E1695" s="10"/>
      <c r="F1695" s="10"/>
      <c r="G1695" s="10"/>
      <c r="H1695" s="10"/>
      <c r="I1695" s="1" t="str">
        <f t="shared" si="78"/>
        <v/>
      </c>
      <c r="J1695" s="1" t="s">
        <v>35</v>
      </c>
      <c r="K1695" s="1" t="str">
        <f t="shared" si="79"/>
        <v/>
      </c>
      <c r="L1695" s="1" t="str">
        <f t="shared" si="80"/>
        <v/>
      </c>
      <c r="M1695" s="1">
        <f>IF(OR(Table1[[#This Row],[Std Nom]]="",Table1[[#This Row],[Std Read]]=""),0,Table1[[#This Row],[Std Nom]]-Table1[[#This Row],[Std Read]])</f>
        <v>0</v>
      </c>
      <c r="N1695" s="1">
        <f>IF(Calculations!$F$5="ACCREDITED 17025 WITH UNCERTAINTIES",$N$10,0)</f>
        <v>0</v>
      </c>
      <c r="O1695" s="1" t="str">
        <f>IFERROR(Table1[[#This Row],[Std Nom]]-(_xlfn.XLOOKUP(Table1[[#This Row],[Manufacturer]]&amp;" "&amp;Table1[[#This Row],[Model]],Table13[MFR &amp; MDL],Table13[Tolerance % CW ],"")/100*Table1[[#This Row],[Std Nom]]),"")</f>
        <v/>
      </c>
      <c r="P1695" s="1" t="str">
        <f>IFERROR(Table1[[#This Row],[Std Nom]]+(_xlfn.XLOOKUP(Table1[[#This Row],[Manufacturer]]&amp;" "&amp;Table1[[#This Row],[Model]],Table13[MFR &amp; MDL],Table13[Tolerance % CW ],"")/100*Table1[[#This Row],[Std Nom]]),"")</f>
        <v/>
      </c>
      <c r="Q1695" s="1" t="e">
        <f>Table1[[#This Row],[High Tol]]-Table1[[#This Row],[Low Tol]]</f>
        <v>#VALUE!</v>
      </c>
      <c r="R1695" s="1">
        <f>2*Table1[[#This Row],[Std Error]]</f>
        <v>0</v>
      </c>
      <c r="S1695" s="1" t="str">
        <f>IF(Table1[[#This Row],[High Tol]]="","N/A",IFERROR(ABS(Table1[[#This Row],[Tol Span]]/Table1[[#This Row],[Error Span]]),"N/A"))</f>
        <v>N/A</v>
      </c>
      <c r="T1695" s="1" t="str">
        <f>IF(OR(Table1[[#This Row],[Low Tol]]="",Table1[[#This Row],[High Tol]]=""),"Needs Analysis",IF(Table1[[#This Row],[Ratio]]&gt;=4,"Not Significant",IF(Table1[[#This Row],[Ratio]]&gt;=2,"Semi-Significant","Significant")))</f>
        <v>Needs Analysis</v>
      </c>
      <c r="W1695" s="1">
        <f>IF(Table1[[#This Row],[Cal Type]]&lt;&gt;"ACCREDITED 17025 WITH UNCERTAINTIES",0,"")</f>
        <v>0</v>
      </c>
      <c r="X1695" s="1" t="str">
        <f>IF(Table1[[#This Row],[DUT Read]]="","N/A",Table1[[#This Row],[Std Error]]+Table1[[#This Row],[DUT Read]]+Table1[[#This Row],[DUT Ucty]])</f>
        <v>N/A</v>
      </c>
      <c r="Y1695" s="1" t="str">
        <f>IF(Table1[[#This Row],[Std Read]]="","N/A",Table1[[#This Row],[Std Read]]+Table1[[#This Row],[Std Ucty]])</f>
        <v>N/A</v>
      </c>
      <c r="Z16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5" s="1" t="str">
        <f>IF(Table1[[#This Row],[Spec Type]]="","N/A",Table1[[#This Row],[Spec Type]])</f>
        <v>±</v>
      </c>
      <c r="AC1695" s="1" t="str">
        <f>IF(Table1[[#This Row],[Spec Type2]]="N/A","N/A",IF(AND(Table1[[#This Row],[DUT Adj Read]]&gt;=Table1[[#This Row],[Low Tol]],Table1[[#This Row],[DUT Adj Read]]&lt;=Table1[[#This Row],[High Tol]]),"Pass","Fail"))</f>
        <v>Fail</v>
      </c>
      <c r="AD1695" s="1" t="str">
        <f>IF(AND(Table1[[#This Row],[Spec Type2]]="N/A",Table1[[#This Row],[DUT Adj Read]]="N/A",Table1[[#This Row],[Std Adj Read]]="N/A"),"N/A",IF(Table1[[#This Row],[DUT Adj Read]]="N/A",IF(Table1[[#This Row],[Std Adj Read]]&gt;Table1[[#This Row],[Low Tol]],"Pass","Fail"),IF(Table1[[#This Row],[DUT Adj Read]]&gt;Table1[[#This Row],[Low Tol]],"Pass","Fail")))</f>
        <v>Pass</v>
      </c>
      <c r="AE1695" s="1" t="str">
        <f>IF(AND(Table1[[#This Row],[Spec Type2]]="N/A",Table1[[#This Row],[DUT Adj Read]]="N/A",Table1[[#This Row],[Std Adj Read]]="N/A"),"N/A",IF(Table1[[#This Row],[DUT Adj Read]]="N/A",IF(Table1[[#This Row],[Std Adj Read]]&lt;Table1[[#This Row],[High Tol]],"Pass","Fail"),IF(Table1[[#This Row],[DUT Adj Read]]&lt;Table1[[#This Row],[High Tol]],"Pass","Fail")))</f>
        <v>Fail</v>
      </c>
      <c r="AF1695" s="1" t="str">
        <f>IF(AND(Table1[[#This Row],[Spec Type2]]="N/A",Table1[[#This Row],[DUT Adj Read]]="N/A",Table1[[#This Row],[Std Adj Read]]="N/A"),"N/A",IF(Table1[[#This Row],[DUT Adj Read]]="N/A",IF(Table1[[#This Row],[Std Adj Read]]&gt;=Table1[[#This Row],[Low Tol]],"Pass","Fail"),IF(Table1[[#This Row],[DUT Adj Read]]&gt;=Table1[[#This Row],[Low Tol]],"Pass","Fail")))</f>
        <v>Pass</v>
      </c>
      <c r="AG1695" s="1" t="str">
        <f>IF(AND(Table1[[#This Row],[Spec Type2]]="N/A",Table1[[#This Row],[DUT Adj Read]]="N/A",Table1[[#This Row],[Std Adj Read]]="N/A"),"N/A",IF(Table1[[#This Row],[DUT Adj Read]]="N/A",IF(Table1[[#This Row],[Std Adj Read]]&lt;=Table1[[#This Row],[High Tol]],"Pass","Fail"),IF(Table1[[#This Row],[DUT Adj Read]]&lt;=Table1[[#This Row],[High Tol]],"Pass","Fail")))</f>
        <v>Fail</v>
      </c>
      <c r="AH16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5" s="1" t="b">
        <v>0</v>
      </c>
      <c r="AN1695" s="1" t="b">
        <v>0</v>
      </c>
      <c r="AO1695" s="1" t="b">
        <v>0</v>
      </c>
    </row>
    <row r="1696" spans="1:41" x14ac:dyDescent="0.25">
      <c r="A1696" s="10"/>
      <c r="B1696" s="10"/>
      <c r="C1696" s="10"/>
      <c r="D1696" s="10"/>
      <c r="E1696" s="10"/>
      <c r="F1696" s="10"/>
      <c r="G1696" s="10"/>
      <c r="H1696" s="10"/>
      <c r="I1696" s="1" t="str">
        <f t="shared" si="78"/>
        <v/>
      </c>
      <c r="J1696" s="1" t="s">
        <v>35</v>
      </c>
      <c r="K1696" s="1" t="str">
        <f t="shared" si="79"/>
        <v/>
      </c>
      <c r="L1696" s="1" t="str">
        <f t="shared" si="80"/>
        <v/>
      </c>
      <c r="M1696" s="1">
        <f>IF(OR(Table1[[#This Row],[Std Nom]]="",Table1[[#This Row],[Std Read]]=""),0,Table1[[#This Row],[Std Nom]]-Table1[[#This Row],[Std Read]])</f>
        <v>0</v>
      </c>
      <c r="N1696" s="1">
        <f>IF(Calculations!$F$5="ACCREDITED 17025 WITH UNCERTAINTIES",$N$10,0)</f>
        <v>0</v>
      </c>
      <c r="O1696" s="1" t="str">
        <f>IFERROR(Table1[[#This Row],[Std Nom]]-(_xlfn.XLOOKUP(Table1[[#This Row],[Manufacturer]]&amp;" "&amp;Table1[[#This Row],[Model]],Table13[MFR &amp; MDL],Table13[Tolerance % CW ],"")/100*Table1[[#This Row],[Std Nom]]),"")</f>
        <v/>
      </c>
      <c r="P1696" s="1" t="str">
        <f>IFERROR(Table1[[#This Row],[Std Nom]]+(_xlfn.XLOOKUP(Table1[[#This Row],[Manufacturer]]&amp;" "&amp;Table1[[#This Row],[Model]],Table13[MFR &amp; MDL],Table13[Tolerance % CW ],"")/100*Table1[[#This Row],[Std Nom]]),"")</f>
        <v/>
      </c>
      <c r="Q1696" s="1" t="e">
        <f>Table1[[#This Row],[High Tol]]-Table1[[#This Row],[Low Tol]]</f>
        <v>#VALUE!</v>
      </c>
      <c r="R1696" s="1">
        <f>2*Table1[[#This Row],[Std Error]]</f>
        <v>0</v>
      </c>
      <c r="S1696" s="1" t="str">
        <f>IF(Table1[[#This Row],[High Tol]]="","N/A",IFERROR(ABS(Table1[[#This Row],[Tol Span]]/Table1[[#This Row],[Error Span]]),"N/A"))</f>
        <v>N/A</v>
      </c>
      <c r="T1696" s="1" t="str">
        <f>IF(OR(Table1[[#This Row],[Low Tol]]="",Table1[[#This Row],[High Tol]]=""),"Needs Analysis",IF(Table1[[#This Row],[Ratio]]&gt;=4,"Not Significant",IF(Table1[[#This Row],[Ratio]]&gt;=2,"Semi-Significant","Significant")))</f>
        <v>Needs Analysis</v>
      </c>
      <c r="W1696" s="1">
        <f>IF(Table1[[#This Row],[Cal Type]]&lt;&gt;"ACCREDITED 17025 WITH UNCERTAINTIES",0,"")</f>
        <v>0</v>
      </c>
      <c r="X1696" s="1" t="str">
        <f>IF(Table1[[#This Row],[DUT Read]]="","N/A",Table1[[#This Row],[Std Error]]+Table1[[#This Row],[DUT Read]]+Table1[[#This Row],[DUT Ucty]])</f>
        <v>N/A</v>
      </c>
      <c r="Y1696" s="1" t="str">
        <f>IF(Table1[[#This Row],[Std Read]]="","N/A",Table1[[#This Row],[Std Read]]+Table1[[#This Row],[Std Ucty]])</f>
        <v>N/A</v>
      </c>
      <c r="Z16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6" s="1" t="str">
        <f>IF(Table1[[#This Row],[Spec Type]]="","N/A",Table1[[#This Row],[Spec Type]])</f>
        <v>±</v>
      </c>
      <c r="AC1696" s="1" t="str">
        <f>IF(Table1[[#This Row],[Spec Type2]]="N/A","N/A",IF(AND(Table1[[#This Row],[DUT Adj Read]]&gt;=Table1[[#This Row],[Low Tol]],Table1[[#This Row],[DUT Adj Read]]&lt;=Table1[[#This Row],[High Tol]]),"Pass","Fail"))</f>
        <v>Fail</v>
      </c>
      <c r="AD1696" s="1" t="str">
        <f>IF(AND(Table1[[#This Row],[Spec Type2]]="N/A",Table1[[#This Row],[DUT Adj Read]]="N/A",Table1[[#This Row],[Std Adj Read]]="N/A"),"N/A",IF(Table1[[#This Row],[DUT Adj Read]]="N/A",IF(Table1[[#This Row],[Std Adj Read]]&gt;Table1[[#This Row],[Low Tol]],"Pass","Fail"),IF(Table1[[#This Row],[DUT Adj Read]]&gt;Table1[[#This Row],[Low Tol]],"Pass","Fail")))</f>
        <v>Pass</v>
      </c>
      <c r="AE1696" s="1" t="str">
        <f>IF(AND(Table1[[#This Row],[Spec Type2]]="N/A",Table1[[#This Row],[DUT Adj Read]]="N/A",Table1[[#This Row],[Std Adj Read]]="N/A"),"N/A",IF(Table1[[#This Row],[DUT Adj Read]]="N/A",IF(Table1[[#This Row],[Std Adj Read]]&lt;Table1[[#This Row],[High Tol]],"Pass","Fail"),IF(Table1[[#This Row],[DUT Adj Read]]&lt;Table1[[#This Row],[High Tol]],"Pass","Fail")))</f>
        <v>Fail</v>
      </c>
      <c r="AF1696" s="1" t="str">
        <f>IF(AND(Table1[[#This Row],[Spec Type2]]="N/A",Table1[[#This Row],[DUT Adj Read]]="N/A",Table1[[#This Row],[Std Adj Read]]="N/A"),"N/A",IF(Table1[[#This Row],[DUT Adj Read]]="N/A",IF(Table1[[#This Row],[Std Adj Read]]&gt;=Table1[[#This Row],[Low Tol]],"Pass","Fail"),IF(Table1[[#This Row],[DUT Adj Read]]&gt;=Table1[[#This Row],[Low Tol]],"Pass","Fail")))</f>
        <v>Pass</v>
      </c>
      <c r="AG1696" s="1" t="str">
        <f>IF(AND(Table1[[#This Row],[Spec Type2]]="N/A",Table1[[#This Row],[DUT Adj Read]]="N/A",Table1[[#This Row],[Std Adj Read]]="N/A"),"N/A",IF(Table1[[#This Row],[DUT Adj Read]]="N/A",IF(Table1[[#This Row],[Std Adj Read]]&lt;=Table1[[#This Row],[High Tol]],"Pass","Fail"),IF(Table1[[#This Row],[DUT Adj Read]]&lt;=Table1[[#This Row],[High Tol]],"Pass","Fail")))</f>
        <v>Fail</v>
      </c>
      <c r="AH16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6" s="1" t="b">
        <v>0</v>
      </c>
      <c r="AN1696" s="1" t="b">
        <v>0</v>
      </c>
      <c r="AO1696" s="1" t="b">
        <v>0</v>
      </c>
    </row>
    <row r="1697" spans="1:41" x14ac:dyDescent="0.25">
      <c r="A1697" s="10"/>
      <c r="B1697" s="10"/>
      <c r="C1697" s="10"/>
      <c r="D1697" s="10"/>
      <c r="E1697" s="10"/>
      <c r="F1697" s="10"/>
      <c r="G1697" s="10"/>
      <c r="H1697" s="10"/>
      <c r="I1697" s="1" t="str">
        <f t="shared" si="78"/>
        <v/>
      </c>
      <c r="J1697" s="1" t="s">
        <v>35</v>
      </c>
      <c r="K1697" s="1" t="str">
        <f t="shared" si="79"/>
        <v/>
      </c>
      <c r="L1697" s="1" t="str">
        <f t="shared" si="80"/>
        <v/>
      </c>
      <c r="M1697" s="1">
        <f>IF(OR(Table1[[#This Row],[Std Nom]]="",Table1[[#This Row],[Std Read]]=""),0,Table1[[#This Row],[Std Nom]]-Table1[[#This Row],[Std Read]])</f>
        <v>0</v>
      </c>
      <c r="N1697" s="1">
        <f>IF(Calculations!$F$5="ACCREDITED 17025 WITH UNCERTAINTIES",$N$10,0)</f>
        <v>0</v>
      </c>
      <c r="O1697" s="1" t="str">
        <f>IFERROR(Table1[[#This Row],[Std Nom]]-(_xlfn.XLOOKUP(Table1[[#This Row],[Manufacturer]]&amp;" "&amp;Table1[[#This Row],[Model]],Table13[MFR &amp; MDL],Table13[Tolerance % CW ],"")/100*Table1[[#This Row],[Std Nom]]),"")</f>
        <v/>
      </c>
      <c r="P1697" s="1" t="str">
        <f>IFERROR(Table1[[#This Row],[Std Nom]]+(_xlfn.XLOOKUP(Table1[[#This Row],[Manufacturer]]&amp;" "&amp;Table1[[#This Row],[Model]],Table13[MFR &amp; MDL],Table13[Tolerance % CW ],"")/100*Table1[[#This Row],[Std Nom]]),"")</f>
        <v/>
      </c>
      <c r="Q1697" s="1" t="e">
        <f>Table1[[#This Row],[High Tol]]-Table1[[#This Row],[Low Tol]]</f>
        <v>#VALUE!</v>
      </c>
      <c r="R1697" s="1">
        <f>2*Table1[[#This Row],[Std Error]]</f>
        <v>0</v>
      </c>
      <c r="S1697" s="1" t="str">
        <f>IF(Table1[[#This Row],[High Tol]]="","N/A",IFERROR(ABS(Table1[[#This Row],[Tol Span]]/Table1[[#This Row],[Error Span]]),"N/A"))</f>
        <v>N/A</v>
      </c>
      <c r="T1697" s="1" t="str">
        <f>IF(OR(Table1[[#This Row],[Low Tol]]="",Table1[[#This Row],[High Tol]]=""),"Needs Analysis",IF(Table1[[#This Row],[Ratio]]&gt;=4,"Not Significant",IF(Table1[[#This Row],[Ratio]]&gt;=2,"Semi-Significant","Significant")))</f>
        <v>Needs Analysis</v>
      </c>
      <c r="W1697" s="1">
        <f>IF(Table1[[#This Row],[Cal Type]]&lt;&gt;"ACCREDITED 17025 WITH UNCERTAINTIES",0,"")</f>
        <v>0</v>
      </c>
      <c r="X1697" s="1" t="str">
        <f>IF(Table1[[#This Row],[DUT Read]]="","N/A",Table1[[#This Row],[Std Error]]+Table1[[#This Row],[DUT Read]]+Table1[[#This Row],[DUT Ucty]])</f>
        <v>N/A</v>
      </c>
      <c r="Y1697" s="1" t="str">
        <f>IF(Table1[[#This Row],[Std Read]]="","N/A",Table1[[#This Row],[Std Read]]+Table1[[#This Row],[Std Ucty]])</f>
        <v>N/A</v>
      </c>
      <c r="Z16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7" s="1" t="str">
        <f>IF(Table1[[#This Row],[Spec Type]]="","N/A",Table1[[#This Row],[Spec Type]])</f>
        <v>±</v>
      </c>
      <c r="AC1697" s="1" t="str">
        <f>IF(Table1[[#This Row],[Spec Type2]]="N/A","N/A",IF(AND(Table1[[#This Row],[DUT Adj Read]]&gt;=Table1[[#This Row],[Low Tol]],Table1[[#This Row],[DUT Adj Read]]&lt;=Table1[[#This Row],[High Tol]]),"Pass","Fail"))</f>
        <v>Fail</v>
      </c>
      <c r="AD1697" s="1" t="str">
        <f>IF(AND(Table1[[#This Row],[Spec Type2]]="N/A",Table1[[#This Row],[DUT Adj Read]]="N/A",Table1[[#This Row],[Std Adj Read]]="N/A"),"N/A",IF(Table1[[#This Row],[DUT Adj Read]]="N/A",IF(Table1[[#This Row],[Std Adj Read]]&gt;Table1[[#This Row],[Low Tol]],"Pass","Fail"),IF(Table1[[#This Row],[DUT Adj Read]]&gt;Table1[[#This Row],[Low Tol]],"Pass","Fail")))</f>
        <v>Pass</v>
      </c>
      <c r="AE1697" s="1" t="str">
        <f>IF(AND(Table1[[#This Row],[Spec Type2]]="N/A",Table1[[#This Row],[DUT Adj Read]]="N/A",Table1[[#This Row],[Std Adj Read]]="N/A"),"N/A",IF(Table1[[#This Row],[DUT Adj Read]]="N/A",IF(Table1[[#This Row],[Std Adj Read]]&lt;Table1[[#This Row],[High Tol]],"Pass","Fail"),IF(Table1[[#This Row],[DUT Adj Read]]&lt;Table1[[#This Row],[High Tol]],"Pass","Fail")))</f>
        <v>Fail</v>
      </c>
      <c r="AF1697" s="1" t="str">
        <f>IF(AND(Table1[[#This Row],[Spec Type2]]="N/A",Table1[[#This Row],[DUT Adj Read]]="N/A",Table1[[#This Row],[Std Adj Read]]="N/A"),"N/A",IF(Table1[[#This Row],[DUT Adj Read]]="N/A",IF(Table1[[#This Row],[Std Adj Read]]&gt;=Table1[[#This Row],[Low Tol]],"Pass","Fail"),IF(Table1[[#This Row],[DUT Adj Read]]&gt;=Table1[[#This Row],[Low Tol]],"Pass","Fail")))</f>
        <v>Pass</v>
      </c>
      <c r="AG1697" s="1" t="str">
        <f>IF(AND(Table1[[#This Row],[Spec Type2]]="N/A",Table1[[#This Row],[DUT Adj Read]]="N/A",Table1[[#This Row],[Std Adj Read]]="N/A"),"N/A",IF(Table1[[#This Row],[DUT Adj Read]]="N/A",IF(Table1[[#This Row],[Std Adj Read]]&lt;=Table1[[#This Row],[High Tol]],"Pass","Fail"),IF(Table1[[#This Row],[DUT Adj Read]]&lt;=Table1[[#This Row],[High Tol]],"Pass","Fail")))</f>
        <v>Fail</v>
      </c>
      <c r="AH16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7" s="1" t="b">
        <v>0</v>
      </c>
      <c r="AN1697" s="1" t="b">
        <v>0</v>
      </c>
      <c r="AO1697" s="1" t="b">
        <v>0</v>
      </c>
    </row>
    <row r="1698" spans="1:41" x14ac:dyDescent="0.25">
      <c r="A1698" s="10"/>
      <c r="B1698" s="10"/>
      <c r="C1698" s="10"/>
      <c r="D1698" s="10"/>
      <c r="E1698" s="10"/>
      <c r="F1698" s="10"/>
      <c r="G1698" s="10"/>
      <c r="H1698" s="10"/>
      <c r="I1698" s="1" t="str">
        <f t="shared" si="78"/>
        <v/>
      </c>
      <c r="J1698" s="1" t="s">
        <v>35</v>
      </c>
      <c r="K1698" s="1" t="str">
        <f t="shared" si="79"/>
        <v/>
      </c>
      <c r="L1698" s="1" t="str">
        <f t="shared" si="80"/>
        <v/>
      </c>
      <c r="M1698" s="1">
        <f>IF(OR(Table1[[#This Row],[Std Nom]]="",Table1[[#This Row],[Std Read]]=""),0,Table1[[#This Row],[Std Nom]]-Table1[[#This Row],[Std Read]])</f>
        <v>0</v>
      </c>
      <c r="N1698" s="1">
        <f>IF(Calculations!$F$5="ACCREDITED 17025 WITH UNCERTAINTIES",$N$10,0)</f>
        <v>0</v>
      </c>
      <c r="O1698" s="1" t="str">
        <f>IFERROR(Table1[[#This Row],[Std Nom]]-(_xlfn.XLOOKUP(Table1[[#This Row],[Manufacturer]]&amp;" "&amp;Table1[[#This Row],[Model]],Table13[MFR &amp; MDL],Table13[Tolerance % CW ],"")/100*Table1[[#This Row],[Std Nom]]),"")</f>
        <v/>
      </c>
      <c r="P1698" s="1" t="str">
        <f>IFERROR(Table1[[#This Row],[Std Nom]]+(_xlfn.XLOOKUP(Table1[[#This Row],[Manufacturer]]&amp;" "&amp;Table1[[#This Row],[Model]],Table13[MFR &amp; MDL],Table13[Tolerance % CW ],"")/100*Table1[[#This Row],[Std Nom]]),"")</f>
        <v/>
      </c>
      <c r="Q1698" s="1" t="e">
        <f>Table1[[#This Row],[High Tol]]-Table1[[#This Row],[Low Tol]]</f>
        <v>#VALUE!</v>
      </c>
      <c r="R1698" s="1">
        <f>2*Table1[[#This Row],[Std Error]]</f>
        <v>0</v>
      </c>
      <c r="S1698" s="1" t="str">
        <f>IF(Table1[[#This Row],[High Tol]]="","N/A",IFERROR(ABS(Table1[[#This Row],[Tol Span]]/Table1[[#This Row],[Error Span]]),"N/A"))</f>
        <v>N/A</v>
      </c>
      <c r="T1698" s="1" t="str">
        <f>IF(OR(Table1[[#This Row],[Low Tol]]="",Table1[[#This Row],[High Tol]]=""),"Needs Analysis",IF(Table1[[#This Row],[Ratio]]&gt;=4,"Not Significant",IF(Table1[[#This Row],[Ratio]]&gt;=2,"Semi-Significant","Significant")))</f>
        <v>Needs Analysis</v>
      </c>
      <c r="W1698" s="1">
        <f>IF(Table1[[#This Row],[Cal Type]]&lt;&gt;"ACCREDITED 17025 WITH UNCERTAINTIES",0,"")</f>
        <v>0</v>
      </c>
      <c r="X1698" s="1" t="str">
        <f>IF(Table1[[#This Row],[DUT Read]]="","N/A",Table1[[#This Row],[Std Error]]+Table1[[#This Row],[DUT Read]]+Table1[[#This Row],[DUT Ucty]])</f>
        <v>N/A</v>
      </c>
      <c r="Y1698" s="1" t="str">
        <f>IF(Table1[[#This Row],[Std Read]]="","N/A",Table1[[#This Row],[Std Read]]+Table1[[#This Row],[Std Ucty]])</f>
        <v>N/A</v>
      </c>
      <c r="Z16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8" s="1" t="str">
        <f>IF(Table1[[#This Row],[Spec Type]]="","N/A",Table1[[#This Row],[Spec Type]])</f>
        <v>±</v>
      </c>
      <c r="AC1698" s="1" t="str">
        <f>IF(Table1[[#This Row],[Spec Type2]]="N/A","N/A",IF(AND(Table1[[#This Row],[DUT Adj Read]]&gt;=Table1[[#This Row],[Low Tol]],Table1[[#This Row],[DUT Adj Read]]&lt;=Table1[[#This Row],[High Tol]]),"Pass","Fail"))</f>
        <v>Fail</v>
      </c>
      <c r="AD1698" s="1" t="str">
        <f>IF(AND(Table1[[#This Row],[Spec Type2]]="N/A",Table1[[#This Row],[DUT Adj Read]]="N/A",Table1[[#This Row],[Std Adj Read]]="N/A"),"N/A",IF(Table1[[#This Row],[DUT Adj Read]]="N/A",IF(Table1[[#This Row],[Std Adj Read]]&gt;Table1[[#This Row],[Low Tol]],"Pass","Fail"),IF(Table1[[#This Row],[DUT Adj Read]]&gt;Table1[[#This Row],[Low Tol]],"Pass","Fail")))</f>
        <v>Pass</v>
      </c>
      <c r="AE1698" s="1" t="str">
        <f>IF(AND(Table1[[#This Row],[Spec Type2]]="N/A",Table1[[#This Row],[DUT Adj Read]]="N/A",Table1[[#This Row],[Std Adj Read]]="N/A"),"N/A",IF(Table1[[#This Row],[DUT Adj Read]]="N/A",IF(Table1[[#This Row],[Std Adj Read]]&lt;Table1[[#This Row],[High Tol]],"Pass","Fail"),IF(Table1[[#This Row],[DUT Adj Read]]&lt;Table1[[#This Row],[High Tol]],"Pass","Fail")))</f>
        <v>Fail</v>
      </c>
      <c r="AF1698" s="1" t="str">
        <f>IF(AND(Table1[[#This Row],[Spec Type2]]="N/A",Table1[[#This Row],[DUT Adj Read]]="N/A",Table1[[#This Row],[Std Adj Read]]="N/A"),"N/A",IF(Table1[[#This Row],[DUT Adj Read]]="N/A",IF(Table1[[#This Row],[Std Adj Read]]&gt;=Table1[[#This Row],[Low Tol]],"Pass","Fail"),IF(Table1[[#This Row],[DUT Adj Read]]&gt;=Table1[[#This Row],[Low Tol]],"Pass","Fail")))</f>
        <v>Pass</v>
      </c>
      <c r="AG1698" s="1" t="str">
        <f>IF(AND(Table1[[#This Row],[Spec Type2]]="N/A",Table1[[#This Row],[DUT Adj Read]]="N/A",Table1[[#This Row],[Std Adj Read]]="N/A"),"N/A",IF(Table1[[#This Row],[DUT Adj Read]]="N/A",IF(Table1[[#This Row],[Std Adj Read]]&lt;=Table1[[#This Row],[High Tol]],"Pass","Fail"),IF(Table1[[#This Row],[DUT Adj Read]]&lt;=Table1[[#This Row],[High Tol]],"Pass","Fail")))</f>
        <v>Fail</v>
      </c>
      <c r="AH16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8" s="1" t="b">
        <v>0</v>
      </c>
      <c r="AN1698" s="1" t="b">
        <v>0</v>
      </c>
      <c r="AO1698" s="1" t="b">
        <v>0</v>
      </c>
    </row>
    <row r="1699" spans="1:41" x14ac:dyDescent="0.25">
      <c r="A1699" s="10"/>
      <c r="B1699" s="10"/>
      <c r="C1699" s="10"/>
      <c r="D1699" s="10"/>
      <c r="E1699" s="10"/>
      <c r="F1699" s="10"/>
      <c r="G1699" s="10"/>
      <c r="H1699" s="10"/>
      <c r="I1699" s="1" t="str">
        <f t="shared" si="78"/>
        <v/>
      </c>
      <c r="J1699" s="1" t="s">
        <v>35</v>
      </c>
      <c r="K1699" s="1" t="str">
        <f t="shared" si="79"/>
        <v/>
      </c>
      <c r="L1699" s="1" t="str">
        <f t="shared" si="80"/>
        <v/>
      </c>
      <c r="M1699" s="1">
        <f>IF(OR(Table1[[#This Row],[Std Nom]]="",Table1[[#This Row],[Std Read]]=""),0,Table1[[#This Row],[Std Nom]]-Table1[[#This Row],[Std Read]])</f>
        <v>0</v>
      </c>
      <c r="N1699" s="1">
        <f>IF(Calculations!$F$5="ACCREDITED 17025 WITH UNCERTAINTIES",$N$10,0)</f>
        <v>0</v>
      </c>
      <c r="O1699" s="1" t="str">
        <f>IFERROR(Table1[[#This Row],[Std Nom]]-(_xlfn.XLOOKUP(Table1[[#This Row],[Manufacturer]]&amp;" "&amp;Table1[[#This Row],[Model]],Table13[MFR &amp; MDL],Table13[Tolerance % CW ],"")/100*Table1[[#This Row],[Std Nom]]),"")</f>
        <v/>
      </c>
      <c r="P1699" s="1" t="str">
        <f>IFERROR(Table1[[#This Row],[Std Nom]]+(_xlfn.XLOOKUP(Table1[[#This Row],[Manufacturer]]&amp;" "&amp;Table1[[#This Row],[Model]],Table13[MFR &amp; MDL],Table13[Tolerance % CW ],"")/100*Table1[[#This Row],[Std Nom]]),"")</f>
        <v/>
      </c>
      <c r="Q1699" s="1" t="e">
        <f>Table1[[#This Row],[High Tol]]-Table1[[#This Row],[Low Tol]]</f>
        <v>#VALUE!</v>
      </c>
      <c r="R1699" s="1">
        <f>2*Table1[[#This Row],[Std Error]]</f>
        <v>0</v>
      </c>
      <c r="S1699" s="1" t="str">
        <f>IF(Table1[[#This Row],[High Tol]]="","N/A",IFERROR(ABS(Table1[[#This Row],[Tol Span]]/Table1[[#This Row],[Error Span]]),"N/A"))</f>
        <v>N/A</v>
      </c>
      <c r="T1699" s="1" t="str">
        <f>IF(OR(Table1[[#This Row],[Low Tol]]="",Table1[[#This Row],[High Tol]]=""),"Needs Analysis",IF(Table1[[#This Row],[Ratio]]&gt;=4,"Not Significant",IF(Table1[[#This Row],[Ratio]]&gt;=2,"Semi-Significant","Significant")))</f>
        <v>Needs Analysis</v>
      </c>
      <c r="W1699" s="1">
        <f>IF(Table1[[#This Row],[Cal Type]]&lt;&gt;"ACCREDITED 17025 WITH UNCERTAINTIES",0,"")</f>
        <v>0</v>
      </c>
      <c r="X1699" s="1" t="str">
        <f>IF(Table1[[#This Row],[DUT Read]]="","N/A",Table1[[#This Row],[Std Error]]+Table1[[#This Row],[DUT Read]]+Table1[[#This Row],[DUT Ucty]])</f>
        <v>N/A</v>
      </c>
      <c r="Y1699" s="1" t="str">
        <f>IF(Table1[[#This Row],[Std Read]]="","N/A",Table1[[#This Row],[Std Read]]+Table1[[#This Row],[Std Ucty]])</f>
        <v>N/A</v>
      </c>
      <c r="Z16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9" s="1" t="str">
        <f>IF(Table1[[#This Row],[Spec Type]]="","N/A",Table1[[#This Row],[Spec Type]])</f>
        <v>±</v>
      </c>
      <c r="AC1699" s="1" t="str">
        <f>IF(Table1[[#This Row],[Spec Type2]]="N/A","N/A",IF(AND(Table1[[#This Row],[DUT Adj Read]]&gt;=Table1[[#This Row],[Low Tol]],Table1[[#This Row],[DUT Adj Read]]&lt;=Table1[[#This Row],[High Tol]]),"Pass","Fail"))</f>
        <v>Fail</v>
      </c>
      <c r="AD1699" s="1" t="str">
        <f>IF(AND(Table1[[#This Row],[Spec Type2]]="N/A",Table1[[#This Row],[DUT Adj Read]]="N/A",Table1[[#This Row],[Std Adj Read]]="N/A"),"N/A",IF(Table1[[#This Row],[DUT Adj Read]]="N/A",IF(Table1[[#This Row],[Std Adj Read]]&gt;Table1[[#This Row],[Low Tol]],"Pass","Fail"),IF(Table1[[#This Row],[DUT Adj Read]]&gt;Table1[[#This Row],[Low Tol]],"Pass","Fail")))</f>
        <v>Pass</v>
      </c>
      <c r="AE1699" s="1" t="str">
        <f>IF(AND(Table1[[#This Row],[Spec Type2]]="N/A",Table1[[#This Row],[DUT Adj Read]]="N/A",Table1[[#This Row],[Std Adj Read]]="N/A"),"N/A",IF(Table1[[#This Row],[DUT Adj Read]]="N/A",IF(Table1[[#This Row],[Std Adj Read]]&lt;Table1[[#This Row],[High Tol]],"Pass","Fail"),IF(Table1[[#This Row],[DUT Adj Read]]&lt;Table1[[#This Row],[High Tol]],"Pass","Fail")))</f>
        <v>Fail</v>
      </c>
      <c r="AF1699" s="1" t="str">
        <f>IF(AND(Table1[[#This Row],[Spec Type2]]="N/A",Table1[[#This Row],[DUT Adj Read]]="N/A",Table1[[#This Row],[Std Adj Read]]="N/A"),"N/A",IF(Table1[[#This Row],[DUT Adj Read]]="N/A",IF(Table1[[#This Row],[Std Adj Read]]&gt;=Table1[[#This Row],[Low Tol]],"Pass","Fail"),IF(Table1[[#This Row],[DUT Adj Read]]&gt;=Table1[[#This Row],[Low Tol]],"Pass","Fail")))</f>
        <v>Pass</v>
      </c>
      <c r="AG1699" s="1" t="str">
        <f>IF(AND(Table1[[#This Row],[Spec Type2]]="N/A",Table1[[#This Row],[DUT Adj Read]]="N/A",Table1[[#This Row],[Std Adj Read]]="N/A"),"N/A",IF(Table1[[#This Row],[DUT Adj Read]]="N/A",IF(Table1[[#This Row],[Std Adj Read]]&lt;=Table1[[#This Row],[High Tol]],"Pass","Fail"),IF(Table1[[#This Row],[DUT Adj Read]]&lt;=Table1[[#This Row],[High Tol]],"Pass","Fail")))</f>
        <v>Fail</v>
      </c>
      <c r="AH16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9" s="1" t="b">
        <v>0</v>
      </c>
      <c r="AN1699" s="1" t="b">
        <v>0</v>
      </c>
      <c r="AO1699" s="1" t="b">
        <v>0</v>
      </c>
    </row>
    <row r="1700" spans="1:41" x14ac:dyDescent="0.25">
      <c r="A1700" s="10"/>
      <c r="B1700" s="10"/>
      <c r="C1700" s="10"/>
      <c r="D1700" s="10"/>
      <c r="E1700" s="10"/>
      <c r="F1700" s="10"/>
      <c r="G1700" s="10"/>
      <c r="H1700" s="10"/>
      <c r="I1700" s="1" t="str">
        <f t="shared" si="78"/>
        <v/>
      </c>
      <c r="J1700" s="1" t="s">
        <v>35</v>
      </c>
      <c r="K1700" s="1" t="str">
        <f t="shared" si="79"/>
        <v/>
      </c>
      <c r="L1700" s="1" t="str">
        <f t="shared" si="80"/>
        <v/>
      </c>
      <c r="M1700" s="1">
        <f>IF(OR(Table1[[#This Row],[Std Nom]]="",Table1[[#This Row],[Std Read]]=""),0,Table1[[#This Row],[Std Nom]]-Table1[[#This Row],[Std Read]])</f>
        <v>0</v>
      </c>
      <c r="N1700" s="1">
        <f>IF(Calculations!$F$5="ACCREDITED 17025 WITH UNCERTAINTIES",$N$10,0)</f>
        <v>0</v>
      </c>
      <c r="O1700" s="1" t="str">
        <f>IFERROR(Table1[[#This Row],[Std Nom]]-(_xlfn.XLOOKUP(Table1[[#This Row],[Manufacturer]]&amp;" "&amp;Table1[[#This Row],[Model]],Table13[MFR &amp; MDL],Table13[Tolerance % CW ],"")/100*Table1[[#This Row],[Std Nom]]),"")</f>
        <v/>
      </c>
      <c r="P1700" s="1" t="str">
        <f>IFERROR(Table1[[#This Row],[Std Nom]]+(_xlfn.XLOOKUP(Table1[[#This Row],[Manufacturer]]&amp;" "&amp;Table1[[#This Row],[Model]],Table13[MFR &amp; MDL],Table13[Tolerance % CW ],"")/100*Table1[[#This Row],[Std Nom]]),"")</f>
        <v/>
      </c>
      <c r="Q1700" s="1" t="e">
        <f>Table1[[#This Row],[High Tol]]-Table1[[#This Row],[Low Tol]]</f>
        <v>#VALUE!</v>
      </c>
      <c r="R1700" s="1">
        <f>2*Table1[[#This Row],[Std Error]]</f>
        <v>0</v>
      </c>
      <c r="S1700" s="1" t="str">
        <f>IF(Table1[[#This Row],[High Tol]]="","N/A",IFERROR(ABS(Table1[[#This Row],[Tol Span]]/Table1[[#This Row],[Error Span]]),"N/A"))</f>
        <v>N/A</v>
      </c>
      <c r="T1700" s="1" t="str">
        <f>IF(OR(Table1[[#This Row],[Low Tol]]="",Table1[[#This Row],[High Tol]]=""),"Needs Analysis",IF(Table1[[#This Row],[Ratio]]&gt;=4,"Not Significant",IF(Table1[[#This Row],[Ratio]]&gt;=2,"Semi-Significant","Significant")))</f>
        <v>Needs Analysis</v>
      </c>
      <c r="W1700" s="1">
        <f>IF(Table1[[#This Row],[Cal Type]]&lt;&gt;"ACCREDITED 17025 WITH UNCERTAINTIES",0,"")</f>
        <v>0</v>
      </c>
      <c r="X1700" s="1" t="str">
        <f>IF(Table1[[#This Row],[DUT Read]]="","N/A",Table1[[#This Row],[Std Error]]+Table1[[#This Row],[DUT Read]]+Table1[[#This Row],[DUT Ucty]])</f>
        <v>N/A</v>
      </c>
      <c r="Y1700" s="1" t="str">
        <f>IF(Table1[[#This Row],[Std Read]]="","N/A",Table1[[#This Row],[Std Read]]+Table1[[#This Row],[Std Ucty]])</f>
        <v>N/A</v>
      </c>
      <c r="Z17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0" s="1" t="str">
        <f>IF(Table1[[#This Row],[Spec Type]]="","N/A",Table1[[#This Row],[Spec Type]])</f>
        <v>±</v>
      </c>
      <c r="AC1700" s="1" t="str">
        <f>IF(Table1[[#This Row],[Spec Type2]]="N/A","N/A",IF(AND(Table1[[#This Row],[DUT Adj Read]]&gt;=Table1[[#This Row],[Low Tol]],Table1[[#This Row],[DUT Adj Read]]&lt;=Table1[[#This Row],[High Tol]]),"Pass","Fail"))</f>
        <v>Fail</v>
      </c>
      <c r="AD1700" s="1" t="str">
        <f>IF(AND(Table1[[#This Row],[Spec Type2]]="N/A",Table1[[#This Row],[DUT Adj Read]]="N/A",Table1[[#This Row],[Std Adj Read]]="N/A"),"N/A",IF(Table1[[#This Row],[DUT Adj Read]]="N/A",IF(Table1[[#This Row],[Std Adj Read]]&gt;Table1[[#This Row],[Low Tol]],"Pass","Fail"),IF(Table1[[#This Row],[DUT Adj Read]]&gt;Table1[[#This Row],[Low Tol]],"Pass","Fail")))</f>
        <v>Pass</v>
      </c>
      <c r="AE1700" s="1" t="str">
        <f>IF(AND(Table1[[#This Row],[Spec Type2]]="N/A",Table1[[#This Row],[DUT Adj Read]]="N/A",Table1[[#This Row],[Std Adj Read]]="N/A"),"N/A",IF(Table1[[#This Row],[DUT Adj Read]]="N/A",IF(Table1[[#This Row],[Std Adj Read]]&lt;Table1[[#This Row],[High Tol]],"Pass","Fail"),IF(Table1[[#This Row],[DUT Adj Read]]&lt;Table1[[#This Row],[High Tol]],"Pass","Fail")))</f>
        <v>Fail</v>
      </c>
      <c r="AF1700" s="1" t="str">
        <f>IF(AND(Table1[[#This Row],[Spec Type2]]="N/A",Table1[[#This Row],[DUT Adj Read]]="N/A",Table1[[#This Row],[Std Adj Read]]="N/A"),"N/A",IF(Table1[[#This Row],[DUT Adj Read]]="N/A",IF(Table1[[#This Row],[Std Adj Read]]&gt;=Table1[[#This Row],[Low Tol]],"Pass","Fail"),IF(Table1[[#This Row],[DUT Adj Read]]&gt;=Table1[[#This Row],[Low Tol]],"Pass","Fail")))</f>
        <v>Pass</v>
      </c>
      <c r="AG1700" s="1" t="str">
        <f>IF(AND(Table1[[#This Row],[Spec Type2]]="N/A",Table1[[#This Row],[DUT Adj Read]]="N/A",Table1[[#This Row],[Std Adj Read]]="N/A"),"N/A",IF(Table1[[#This Row],[DUT Adj Read]]="N/A",IF(Table1[[#This Row],[Std Adj Read]]&lt;=Table1[[#This Row],[High Tol]],"Pass","Fail"),IF(Table1[[#This Row],[DUT Adj Read]]&lt;=Table1[[#This Row],[High Tol]],"Pass","Fail")))</f>
        <v>Fail</v>
      </c>
      <c r="AH17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0" s="1" t="b">
        <v>0</v>
      </c>
      <c r="AN1700" s="1" t="b">
        <v>0</v>
      </c>
      <c r="AO1700" s="1" t="b">
        <v>0</v>
      </c>
    </row>
    <row r="1701" spans="1:41" x14ac:dyDescent="0.25">
      <c r="A1701" s="10"/>
      <c r="B1701" s="10"/>
      <c r="C1701" s="10"/>
      <c r="D1701" s="10"/>
      <c r="E1701" s="10"/>
      <c r="F1701" s="10"/>
      <c r="G1701" s="10"/>
      <c r="H1701" s="10"/>
      <c r="I1701" s="1" t="str">
        <f t="shared" si="78"/>
        <v/>
      </c>
      <c r="J1701" s="1" t="s">
        <v>35</v>
      </c>
      <c r="K1701" s="1" t="str">
        <f t="shared" si="79"/>
        <v/>
      </c>
      <c r="L1701" s="1" t="str">
        <f t="shared" si="80"/>
        <v/>
      </c>
      <c r="M1701" s="1">
        <f>IF(OR(Table1[[#This Row],[Std Nom]]="",Table1[[#This Row],[Std Read]]=""),0,Table1[[#This Row],[Std Nom]]-Table1[[#This Row],[Std Read]])</f>
        <v>0</v>
      </c>
      <c r="N1701" s="1">
        <f>IF(Calculations!$F$5="ACCREDITED 17025 WITH UNCERTAINTIES",$N$10,0)</f>
        <v>0</v>
      </c>
      <c r="O1701" s="1" t="str">
        <f>IFERROR(Table1[[#This Row],[Std Nom]]-(_xlfn.XLOOKUP(Table1[[#This Row],[Manufacturer]]&amp;" "&amp;Table1[[#This Row],[Model]],Table13[MFR &amp; MDL],Table13[Tolerance % CW ],"")/100*Table1[[#This Row],[Std Nom]]),"")</f>
        <v/>
      </c>
      <c r="P1701" s="1" t="str">
        <f>IFERROR(Table1[[#This Row],[Std Nom]]+(_xlfn.XLOOKUP(Table1[[#This Row],[Manufacturer]]&amp;" "&amp;Table1[[#This Row],[Model]],Table13[MFR &amp; MDL],Table13[Tolerance % CW ],"")/100*Table1[[#This Row],[Std Nom]]),"")</f>
        <v/>
      </c>
      <c r="Q1701" s="1" t="e">
        <f>Table1[[#This Row],[High Tol]]-Table1[[#This Row],[Low Tol]]</f>
        <v>#VALUE!</v>
      </c>
      <c r="R1701" s="1">
        <f>2*Table1[[#This Row],[Std Error]]</f>
        <v>0</v>
      </c>
      <c r="S1701" s="1" t="str">
        <f>IF(Table1[[#This Row],[High Tol]]="","N/A",IFERROR(ABS(Table1[[#This Row],[Tol Span]]/Table1[[#This Row],[Error Span]]),"N/A"))</f>
        <v>N/A</v>
      </c>
      <c r="T1701" s="1" t="str">
        <f>IF(OR(Table1[[#This Row],[Low Tol]]="",Table1[[#This Row],[High Tol]]=""),"Needs Analysis",IF(Table1[[#This Row],[Ratio]]&gt;=4,"Not Significant",IF(Table1[[#This Row],[Ratio]]&gt;=2,"Semi-Significant","Significant")))</f>
        <v>Needs Analysis</v>
      </c>
      <c r="W1701" s="1">
        <f>IF(Table1[[#This Row],[Cal Type]]&lt;&gt;"ACCREDITED 17025 WITH UNCERTAINTIES",0,"")</f>
        <v>0</v>
      </c>
      <c r="X1701" s="1" t="str">
        <f>IF(Table1[[#This Row],[DUT Read]]="","N/A",Table1[[#This Row],[Std Error]]+Table1[[#This Row],[DUT Read]]+Table1[[#This Row],[DUT Ucty]])</f>
        <v>N/A</v>
      </c>
      <c r="Y1701" s="1" t="str">
        <f>IF(Table1[[#This Row],[Std Read]]="","N/A",Table1[[#This Row],[Std Read]]+Table1[[#This Row],[Std Ucty]])</f>
        <v>N/A</v>
      </c>
      <c r="Z17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1" s="1" t="str">
        <f>IF(Table1[[#This Row],[Spec Type]]="","N/A",Table1[[#This Row],[Spec Type]])</f>
        <v>±</v>
      </c>
      <c r="AC1701" s="1" t="str">
        <f>IF(Table1[[#This Row],[Spec Type2]]="N/A","N/A",IF(AND(Table1[[#This Row],[DUT Adj Read]]&gt;=Table1[[#This Row],[Low Tol]],Table1[[#This Row],[DUT Adj Read]]&lt;=Table1[[#This Row],[High Tol]]),"Pass","Fail"))</f>
        <v>Fail</v>
      </c>
      <c r="AD1701" s="1" t="str">
        <f>IF(AND(Table1[[#This Row],[Spec Type2]]="N/A",Table1[[#This Row],[DUT Adj Read]]="N/A",Table1[[#This Row],[Std Adj Read]]="N/A"),"N/A",IF(Table1[[#This Row],[DUT Adj Read]]="N/A",IF(Table1[[#This Row],[Std Adj Read]]&gt;Table1[[#This Row],[Low Tol]],"Pass","Fail"),IF(Table1[[#This Row],[DUT Adj Read]]&gt;Table1[[#This Row],[Low Tol]],"Pass","Fail")))</f>
        <v>Pass</v>
      </c>
      <c r="AE1701" s="1" t="str">
        <f>IF(AND(Table1[[#This Row],[Spec Type2]]="N/A",Table1[[#This Row],[DUT Adj Read]]="N/A",Table1[[#This Row],[Std Adj Read]]="N/A"),"N/A",IF(Table1[[#This Row],[DUT Adj Read]]="N/A",IF(Table1[[#This Row],[Std Adj Read]]&lt;Table1[[#This Row],[High Tol]],"Pass","Fail"),IF(Table1[[#This Row],[DUT Adj Read]]&lt;Table1[[#This Row],[High Tol]],"Pass","Fail")))</f>
        <v>Fail</v>
      </c>
      <c r="AF1701" s="1" t="str">
        <f>IF(AND(Table1[[#This Row],[Spec Type2]]="N/A",Table1[[#This Row],[DUT Adj Read]]="N/A",Table1[[#This Row],[Std Adj Read]]="N/A"),"N/A",IF(Table1[[#This Row],[DUT Adj Read]]="N/A",IF(Table1[[#This Row],[Std Adj Read]]&gt;=Table1[[#This Row],[Low Tol]],"Pass","Fail"),IF(Table1[[#This Row],[DUT Adj Read]]&gt;=Table1[[#This Row],[Low Tol]],"Pass","Fail")))</f>
        <v>Pass</v>
      </c>
      <c r="AG1701" s="1" t="str">
        <f>IF(AND(Table1[[#This Row],[Spec Type2]]="N/A",Table1[[#This Row],[DUT Adj Read]]="N/A",Table1[[#This Row],[Std Adj Read]]="N/A"),"N/A",IF(Table1[[#This Row],[DUT Adj Read]]="N/A",IF(Table1[[#This Row],[Std Adj Read]]&lt;=Table1[[#This Row],[High Tol]],"Pass","Fail"),IF(Table1[[#This Row],[DUT Adj Read]]&lt;=Table1[[#This Row],[High Tol]],"Pass","Fail")))</f>
        <v>Fail</v>
      </c>
      <c r="AH17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1" s="1" t="b">
        <v>0</v>
      </c>
      <c r="AN1701" s="1" t="b">
        <v>0</v>
      </c>
      <c r="AO1701" s="1" t="b">
        <v>0</v>
      </c>
    </row>
    <row r="1702" spans="1:41" x14ac:dyDescent="0.25">
      <c r="A1702" s="10"/>
      <c r="B1702" s="10"/>
      <c r="C1702" s="10"/>
      <c r="D1702" s="10"/>
      <c r="E1702" s="10"/>
      <c r="F1702" s="10"/>
      <c r="G1702" s="10"/>
      <c r="H1702" s="10"/>
      <c r="I1702" s="1" t="str">
        <f t="shared" si="78"/>
        <v/>
      </c>
      <c r="J1702" s="1" t="s">
        <v>35</v>
      </c>
      <c r="K1702" s="1" t="str">
        <f t="shared" si="79"/>
        <v/>
      </c>
      <c r="L1702" s="1" t="str">
        <f t="shared" si="80"/>
        <v/>
      </c>
      <c r="M1702" s="1">
        <f>IF(OR(Table1[[#This Row],[Std Nom]]="",Table1[[#This Row],[Std Read]]=""),0,Table1[[#This Row],[Std Nom]]-Table1[[#This Row],[Std Read]])</f>
        <v>0</v>
      </c>
      <c r="N1702" s="1">
        <f>IF(Calculations!$F$5="ACCREDITED 17025 WITH UNCERTAINTIES",$N$10,0)</f>
        <v>0</v>
      </c>
      <c r="O1702" s="1" t="str">
        <f>IFERROR(Table1[[#This Row],[Std Nom]]-(_xlfn.XLOOKUP(Table1[[#This Row],[Manufacturer]]&amp;" "&amp;Table1[[#This Row],[Model]],Table13[MFR &amp; MDL],Table13[Tolerance % CW ],"")/100*Table1[[#This Row],[Std Nom]]),"")</f>
        <v/>
      </c>
      <c r="P1702" s="1" t="str">
        <f>IFERROR(Table1[[#This Row],[Std Nom]]+(_xlfn.XLOOKUP(Table1[[#This Row],[Manufacturer]]&amp;" "&amp;Table1[[#This Row],[Model]],Table13[MFR &amp; MDL],Table13[Tolerance % CW ],"")/100*Table1[[#This Row],[Std Nom]]),"")</f>
        <v/>
      </c>
      <c r="Q1702" s="1" t="e">
        <f>Table1[[#This Row],[High Tol]]-Table1[[#This Row],[Low Tol]]</f>
        <v>#VALUE!</v>
      </c>
      <c r="R1702" s="1">
        <f>2*Table1[[#This Row],[Std Error]]</f>
        <v>0</v>
      </c>
      <c r="S1702" s="1" t="str">
        <f>IF(Table1[[#This Row],[High Tol]]="","N/A",IFERROR(ABS(Table1[[#This Row],[Tol Span]]/Table1[[#This Row],[Error Span]]),"N/A"))</f>
        <v>N/A</v>
      </c>
      <c r="T1702" s="1" t="str">
        <f>IF(OR(Table1[[#This Row],[Low Tol]]="",Table1[[#This Row],[High Tol]]=""),"Needs Analysis",IF(Table1[[#This Row],[Ratio]]&gt;=4,"Not Significant",IF(Table1[[#This Row],[Ratio]]&gt;=2,"Semi-Significant","Significant")))</f>
        <v>Needs Analysis</v>
      </c>
      <c r="W1702" s="1">
        <f>IF(Table1[[#This Row],[Cal Type]]&lt;&gt;"ACCREDITED 17025 WITH UNCERTAINTIES",0,"")</f>
        <v>0</v>
      </c>
      <c r="X1702" s="1" t="str">
        <f>IF(Table1[[#This Row],[DUT Read]]="","N/A",Table1[[#This Row],[Std Error]]+Table1[[#This Row],[DUT Read]]+Table1[[#This Row],[DUT Ucty]])</f>
        <v>N/A</v>
      </c>
      <c r="Y1702" s="1" t="str">
        <f>IF(Table1[[#This Row],[Std Read]]="","N/A",Table1[[#This Row],[Std Read]]+Table1[[#This Row],[Std Ucty]])</f>
        <v>N/A</v>
      </c>
      <c r="Z17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2" s="1" t="str">
        <f>IF(Table1[[#This Row],[Spec Type]]="","N/A",Table1[[#This Row],[Spec Type]])</f>
        <v>±</v>
      </c>
      <c r="AC1702" s="1" t="str">
        <f>IF(Table1[[#This Row],[Spec Type2]]="N/A","N/A",IF(AND(Table1[[#This Row],[DUT Adj Read]]&gt;=Table1[[#This Row],[Low Tol]],Table1[[#This Row],[DUT Adj Read]]&lt;=Table1[[#This Row],[High Tol]]),"Pass","Fail"))</f>
        <v>Fail</v>
      </c>
      <c r="AD1702" s="1" t="str">
        <f>IF(AND(Table1[[#This Row],[Spec Type2]]="N/A",Table1[[#This Row],[DUT Adj Read]]="N/A",Table1[[#This Row],[Std Adj Read]]="N/A"),"N/A",IF(Table1[[#This Row],[DUT Adj Read]]="N/A",IF(Table1[[#This Row],[Std Adj Read]]&gt;Table1[[#This Row],[Low Tol]],"Pass","Fail"),IF(Table1[[#This Row],[DUT Adj Read]]&gt;Table1[[#This Row],[Low Tol]],"Pass","Fail")))</f>
        <v>Pass</v>
      </c>
      <c r="AE1702" s="1" t="str">
        <f>IF(AND(Table1[[#This Row],[Spec Type2]]="N/A",Table1[[#This Row],[DUT Adj Read]]="N/A",Table1[[#This Row],[Std Adj Read]]="N/A"),"N/A",IF(Table1[[#This Row],[DUT Adj Read]]="N/A",IF(Table1[[#This Row],[Std Adj Read]]&lt;Table1[[#This Row],[High Tol]],"Pass","Fail"),IF(Table1[[#This Row],[DUT Adj Read]]&lt;Table1[[#This Row],[High Tol]],"Pass","Fail")))</f>
        <v>Fail</v>
      </c>
      <c r="AF1702" s="1" t="str">
        <f>IF(AND(Table1[[#This Row],[Spec Type2]]="N/A",Table1[[#This Row],[DUT Adj Read]]="N/A",Table1[[#This Row],[Std Adj Read]]="N/A"),"N/A",IF(Table1[[#This Row],[DUT Adj Read]]="N/A",IF(Table1[[#This Row],[Std Adj Read]]&gt;=Table1[[#This Row],[Low Tol]],"Pass","Fail"),IF(Table1[[#This Row],[DUT Adj Read]]&gt;=Table1[[#This Row],[Low Tol]],"Pass","Fail")))</f>
        <v>Pass</v>
      </c>
      <c r="AG1702" s="1" t="str">
        <f>IF(AND(Table1[[#This Row],[Spec Type2]]="N/A",Table1[[#This Row],[DUT Adj Read]]="N/A",Table1[[#This Row],[Std Adj Read]]="N/A"),"N/A",IF(Table1[[#This Row],[DUT Adj Read]]="N/A",IF(Table1[[#This Row],[Std Adj Read]]&lt;=Table1[[#This Row],[High Tol]],"Pass","Fail"),IF(Table1[[#This Row],[DUT Adj Read]]&lt;=Table1[[#This Row],[High Tol]],"Pass","Fail")))</f>
        <v>Fail</v>
      </c>
      <c r="AH17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2" s="1" t="b">
        <v>0</v>
      </c>
      <c r="AN1702" s="1" t="b">
        <v>0</v>
      </c>
      <c r="AO1702" s="1" t="b">
        <v>0</v>
      </c>
    </row>
    <row r="1703" spans="1:41" x14ac:dyDescent="0.25">
      <c r="A1703" s="10"/>
      <c r="B1703" s="10"/>
      <c r="C1703" s="10"/>
      <c r="D1703" s="10"/>
      <c r="E1703" s="10"/>
      <c r="F1703" s="10"/>
      <c r="G1703" s="10"/>
      <c r="H1703" s="10"/>
      <c r="I1703" s="1" t="str">
        <f t="shared" si="78"/>
        <v/>
      </c>
      <c r="J1703" s="1" t="s">
        <v>35</v>
      </c>
      <c r="K1703" s="1" t="str">
        <f t="shared" si="79"/>
        <v/>
      </c>
      <c r="L1703" s="1" t="str">
        <f t="shared" si="80"/>
        <v/>
      </c>
      <c r="M1703" s="1">
        <f>IF(OR(Table1[[#This Row],[Std Nom]]="",Table1[[#This Row],[Std Read]]=""),0,Table1[[#This Row],[Std Nom]]-Table1[[#This Row],[Std Read]])</f>
        <v>0</v>
      </c>
      <c r="N1703" s="1">
        <f>IF(Calculations!$F$5="ACCREDITED 17025 WITH UNCERTAINTIES",$N$10,0)</f>
        <v>0</v>
      </c>
      <c r="O1703" s="1" t="str">
        <f>IFERROR(Table1[[#This Row],[Std Nom]]-(_xlfn.XLOOKUP(Table1[[#This Row],[Manufacturer]]&amp;" "&amp;Table1[[#This Row],[Model]],Table13[MFR &amp; MDL],Table13[Tolerance % CW ],"")/100*Table1[[#This Row],[Std Nom]]),"")</f>
        <v/>
      </c>
      <c r="P1703" s="1" t="str">
        <f>IFERROR(Table1[[#This Row],[Std Nom]]+(_xlfn.XLOOKUP(Table1[[#This Row],[Manufacturer]]&amp;" "&amp;Table1[[#This Row],[Model]],Table13[MFR &amp; MDL],Table13[Tolerance % CW ],"")/100*Table1[[#This Row],[Std Nom]]),"")</f>
        <v/>
      </c>
      <c r="Q1703" s="1" t="e">
        <f>Table1[[#This Row],[High Tol]]-Table1[[#This Row],[Low Tol]]</f>
        <v>#VALUE!</v>
      </c>
      <c r="R1703" s="1">
        <f>2*Table1[[#This Row],[Std Error]]</f>
        <v>0</v>
      </c>
      <c r="S1703" s="1" t="str">
        <f>IF(Table1[[#This Row],[High Tol]]="","N/A",IFERROR(ABS(Table1[[#This Row],[Tol Span]]/Table1[[#This Row],[Error Span]]),"N/A"))</f>
        <v>N/A</v>
      </c>
      <c r="T1703" s="1" t="str">
        <f>IF(OR(Table1[[#This Row],[Low Tol]]="",Table1[[#This Row],[High Tol]]=""),"Needs Analysis",IF(Table1[[#This Row],[Ratio]]&gt;=4,"Not Significant",IF(Table1[[#This Row],[Ratio]]&gt;=2,"Semi-Significant","Significant")))</f>
        <v>Needs Analysis</v>
      </c>
      <c r="W1703" s="1">
        <f>IF(Table1[[#This Row],[Cal Type]]&lt;&gt;"ACCREDITED 17025 WITH UNCERTAINTIES",0,"")</f>
        <v>0</v>
      </c>
      <c r="X1703" s="1" t="str">
        <f>IF(Table1[[#This Row],[DUT Read]]="","N/A",Table1[[#This Row],[Std Error]]+Table1[[#This Row],[DUT Read]]+Table1[[#This Row],[DUT Ucty]])</f>
        <v>N/A</v>
      </c>
      <c r="Y1703" s="1" t="str">
        <f>IF(Table1[[#This Row],[Std Read]]="","N/A",Table1[[#This Row],[Std Read]]+Table1[[#This Row],[Std Ucty]])</f>
        <v>N/A</v>
      </c>
      <c r="Z17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3" s="1" t="str">
        <f>IF(Table1[[#This Row],[Spec Type]]="","N/A",Table1[[#This Row],[Spec Type]])</f>
        <v>±</v>
      </c>
      <c r="AC1703" s="1" t="str">
        <f>IF(Table1[[#This Row],[Spec Type2]]="N/A","N/A",IF(AND(Table1[[#This Row],[DUT Adj Read]]&gt;=Table1[[#This Row],[Low Tol]],Table1[[#This Row],[DUT Adj Read]]&lt;=Table1[[#This Row],[High Tol]]),"Pass","Fail"))</f>
        <v>Fail</v>
      </c>
      <c r="AD1703" s="1" t="str">
        <f>IF(AND(Table1[[#This Row],[Spec Type2]]="N/A",Table1[[#This Row],[DUT Adj Read]]="N/A",Table1[[#This Row],[Std Adj Read]]="N/A"),"N/A",IF(Table1[[#This Row],[DUT Adj Read]]="N/A",IF(Table1[[#This Row],[Std Adj Read]]&gt;Table1[[#This Row],[Low Tol]],"Pass","Fail"),IF(Table1[[#This Row],[DUT Adj Read]]&gt;Table1[[#This Row],[Low Tol]],"Pass","Fail")))</f>
        <v>Pass</v>
      </c>
      <c r="AE1703" s="1" t="str">
        <f>IF(AND(Table1[[#This Row],[Spec Type2]]="N/A",Table1[[#This Row],[DUT Adj Read]]="N/A",Table1[[#This Row],[Std Adj Read]]="N/A"),"N/A",IF(Table1[[#This Row],[DUT Adj Read]]="N/A",IF(Table1[[#This Row],[Std Adj Read]]&lt;Table1[[#This Row],[High Tol]],"Pass","Fail"),IF(Table1[[#This Row],[DUT Adj Read]]&lt;Table1[[#This Row],[High Tol]],"Pass","Fail")))</f>
        <v>Fail</v>
      </c>
      <c r="AF1703" s="1" t="str">
        <f>IF(AND(Table1[[#This Row],[Spec Type2]]="N/A",Table1[[#This Row],[DUT Adj Read]]="N/A",Table1[[#This Row],[Std Adj Read]]="N/A"),"N/A",IF(Table1[[#This Row],[DUT Adj Read]]="N/A",IF(Table1[[#This Row],[Std Adj Read]]&gt;=Table1[[#This Row],[Low Tol]],"Pass","Fail"),IF(Table1[[#This Row],[DUT Adj Read]]&gt;=Table1[[#This Row],[Low Tol]],"Pass","Fail")))</f>
        <v>Pass</v>
      </c>
      <c r="AG1703" s="1" t="str">
        <f>IF(AND(Table1[[#This Row],[Spec Type2]]="N/A",Table1[[#This Row],[DUT Adj Read]]="N/A",Table1[[#This Row],[Std Adj Read]]="N/A"),"N/A",IF(Table1[[#This Row],[DUT Adj Read]]="N/A",IF(Table1[[#This Row],[Std Adj Read]]&lt;=Table1[[#This Row],[High Tol]],"Pass","Fail"),IF(Table1[[#This Row],[DUT Adj Read]]&lt;=Table1[[#This Row],[High Tol]],"Pass","Fail")))</f>
        <v>Fail</v>
      </c>
      <c r="AH17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3" s="1" t="b">
        <v>0</v>
      </c>
      <c r="AN1703" s="1" t="b">
        <v>0</v>
      </c>
      <c r="AO1703" s="1" t="b">
        <v>0</v>
      </c>
    </row>
    <row r="1704" spans="1:41" x14ac:dyDescent="0.25">
      <c r="A1704" s="10"/>
      <c r="B1704" s="10"/>
      <c r="C1704" s="10"/>
      <c r="D1704" s="10"/>
      <c r="E1704" s="10"/>
      <c r="F1704" s="10"/>
      <c r="G1704" s="10"/>
      <c r="H1704" s="10"/>
      <c r="I1704" s="1" t="str">
        <f t="shared" si="78"/>
        <v/>
      </c>
      <c r="J1704" s="1" t="s">
        <v>35</v>
      </c>
      <c r="K1704" s="1" t="str">
        <f t="shared" si="79"/>
        <v/>
      </c>
      <c r="L1704" s="1" t="str">
        <f t="shared" si="80"/>
        <v/>
      </c>
      <c r="M1704" s="1">
        <f>IF(OR(Table1[[#This Row],[Std Nom]]="",Table1[[#This Row],[Std Read]]=""),0,Table1[[#This Row],[Std Nom]]-Table1[[#This Row],[Std Read]])</f>
        <v>0</v>
      </c>
      <c r="N1704" s="1">
        <f>IF(Calculations!$F$5="ACCREDITED 17025 WITH UNCERTAINTIES",$N$10,0)</f>
        <v>0</v>
      </c>
      <c r="O1704" s="1" t="str">
        <f>IFERROR(Table1[[#This Row],[Std Nom]]-(_xlfn.XLOOKUP(Table1[[#This Row],[Manufacturer]]&amp;" "&amp;Table1[[#This Row],[Model]],Table13[MFR &amp; MDL],Table13[Tolerance % CW ],"")/100*Table1[[#This Row],[Std Nom]]),"")</f>
        <v/>
      </c>
      <c r="P1704" s="1" t="str">
        <f>IFERROR(Table1[[#This Row],[Std Nom]]+(_xlfn.XLOOKUP(Table1[[#This Row],[Manufacturer]]&amp;" "&amp;Table1[[#This Row],[Model]],Table13[MFR &amp; MDL],Table13[Tolerance % CW ],"")/100*Table1[[#This Row],[Std Nom]]),"")</f>
        <v/>
      </c>
      <c r="Q1704" s="1" t="e">
        <f>Table1[[#This Row],[High Tol]]-Table1[[#This Row],[Low Tol]]</f>
        <v>#VALUE!</v>
      </c>
      <c r="R1704" s="1">
        <f>2*Table1[[#This Row],[Std Error]]</f>
        <v>0</v>
      </c>
      <c r="S1704" s="1" t="str">
        <f>IF(Table1[[#This Row],[High Tol]]="","N/A",IFERROR(ABS(Table1[[#This Row],[Tol Span]]/Table1[[#This Row],[Error Span]]),"N/A"))</f>
        <v>N/A</v>
      </c>
      <c r="T1704" s="1" t="str">
        <f>IF(OR(Table1[[#This Row],[Low Tol]]="",Table1[[#This Row],[High Tol]]=""),"Needs Analysis",IF(Table1[[#This Row],[Ratio]]&gt;=4,"Not Significant",IF(Table1[[#This Row],[Ratio]]&gt;=2,"Semi-Significant","Significant")))</f>
        <v>Needs Analysis</v>
      </c>
      <c r="W1704" s="1">
        <f>IF(Table1[[#This Row],[Cal Type]]&lt;&gt;"ACCREDITED 17025 WITH UNCERTAINTIES",0,"")</f>
        <v>0</v>
      </c>
      <c r="X1704" s="1" t="str">
        <f>IF(Table1[[#This Row],[DUT Read]]="","N/A",Table1[[#This Row],[Std Error]]+Table1[[#This Row],[DUT Read]]+Table1[[#This Row],[DUT Ucty]])</f>
        <v>N/A</v>
      </c>
      <c r="Y1704" s="1" t="str">
        <f>IF(Table1[[#This Row],[Std Read]]="","N/A",Table1[[#This Row],[Std Read]]+Table1[[#This Row],[Std Ucty]])</f>
        <v>N/A</v>
      </c>
      <c r="Z17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4" s="1" t="str">
        <f>IF(Table1[[#This Row],[Spec Type]]="","N/A",Table1[[#This Row],[Spec Type]])</f>
        <v>±</v>
      </c>
      <c r="AC1704" s="1" t="str">
        <f>IF(Table1[[#This Row],[Spec Type2]]="N/A","N/A",IF(AND(Table1[[#This Row],[DUT Adj Read]]&gt;=Table1[[#This Row],[Low Tol]],Table1[[#This Row],[DUT Adj Read]]&lt;=Table1[[#This Row],[High Tol]]),"Pass","Fail"))</f>
        <v>Fail</v>
      </c>
      <c r="AD1704" s="1" t="str">
        <f>IF(AND(Table1[[#This Row],[Spec Type2]]="N/A",Table1[[#This Row],[DUT Adj Read]]="N/A",Table1[[#This Row],[Std Adj Read]]="N/A"),"N/A",IF(Table1[[#This Row],[DUT Adj Read]]="N/A",IF(Table1[[#This Row],[Std Adj Read]]&gt;Table1[[#This Row],[Low Tol]],"Pass","Fail"),IF(Table1[[#This Row],[DUT Adj Read]]&gt;Table1[[#This Row],[Low Tol]],"Pass","Fail")))</f>
        <v>Pass</v>
      </c>
      <c r="AE1704" s="1" t="str">
        <f>IF(AND(Table1[[#This Row],[Spec Type2]]="N/A",Table1[[#This Row],[DUT Adj Read]]="N/A",Table1[[#This Row],[Std Adj Read]]="N/A"),"N/A",IF(Table1[[#This Row],[DUT Adj Read]]="N/A",IF(Table1[[#This Row],[Std Adj Read]]&lt;Table1[[#This Row],[High Tol]],"Pass","Fail"),IF(Table1[[#This Row],[DUT Adj Read]]&lt;Table1[[#This Row],[High Tol]],"Pass","Fail")))</f>
        <v>Fail</v>
      </c>
      <c r="AF1704" s="1" t="str">
        <f>IF(AND(Table1[[#This Row],[Spec Type2]]="N/A",Table1[[#This Row],[DUT Adj Read]]="N/A",Table1[[#This Row],[Std Adj Read]]="N/A"),"N/A",IF(Table1[[#This Row],[DUT Adj Read]]="N/A",IF(Table1[[#This Row],[Std Adj Read]]&gt;=Table1[[#This Row],[Low Tol]],"Pass","Fail"),IF(Table1[[#This Row],[DUT Adj Read]]&gt;=Table1[[#This Row],[Low Tol]],"Pass","Fail")))</f>
        <v>Pass</v>
      </c>
      <c r="AG1704" s="1" t="str">
        <f>IF(AND(Table1[[#This Row],[Spec Type2]]="N/A",Table1[[#This Row],[DUT Adj Read]]="N/A",Table1[[#This Row],[Std Adj Read]]="N/A"),"N/A",IF(Table1[[#This Row],[DUT Adj Read]]="N/A",IF(Table1[[#This Row],[Std Adj Read]]&lt;=Table1[[#This Row],[High Tol]],"Pass","Fail"),IF(Table1[[#This Row],[DUT Adj Read]]&lt;=Table1[[#This Row],[High Tol]],"Pass","Fail")))</f>
        <v>Fail</v>
      </c>
      <c r="AH17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4" s="1" t="b">
        <v>0</v>
      </c>
      <c r="AN1704" s="1" t="b">
        <v>0</v>
      </c>
      <c r="AO1704" s="1" t="b">
        <v>0</v>
      </c>
    </row>
    <row r="1705" spans="1:41" x14ac:dyDescent="0.25">
      <c r="A1705" s="10"/>
      <c r="B1705" s="10"/>
      <c r="C1705" s="10"/>
      <c r="D1705" s="10"/>
      <c r="E1705" s="10"/>
      <c r="F1705" s="10"/>
      <c r="G1705" s="10"/>
      <c r="H1705" s="10"/>
      <c r="I1705" s="1" t="str">
        <f t="shared" si="78"/>
        <v/>
      </c>
      <c r="J1705" s="1" t="s">
        <v>35</v>
      </c>
      <c r="K1705" s="1" t="str">
        <f t="shared" si="79"/>
        <v/>
      </c>
      <c r="L1705" s="1" t="str">
        <f t="shared" si="80"/>
        <v/>
      </c>
      <c r="M1705" s="1">
        <f>IF(OR(Table1[[#This Row],[Std Nom]]="",Table1[[#This Row],[Std Read]]=""),0,Table1[[#This Row],[Std Nom]]-Table1[[#This Row],[Std Read]])</f>
        <v>0</v>
      </c>
      <c r="N1705" s="1">
        <f>IF(Calculations!$F$5="ACCREDITED 17025 WITH UNCERTAINTIES",$N$10,0)</f>
        <v>0</v>
      </c>
      <c r="O1705" s="1" t="str">
        <f>IFERROR(Table1[[#This Row],[Std Nom]]-(_xlfn.XLOOKUP(Table1[[#This Row],[Manufacturer]]&amp;" "&amp;Table1[[#This Row],[Model]],Table13[MFR &amp; MDL],Table13[Tolerance % CW ],"")/100*Table1[[#This Row],[Std Nom]]),"")</f>
        <v/>
      </c>
      <c r="P1705" s="1" t="str">
        <f>IFERROR(Table1[[#This Row],[Std Nom]]+(_xlfn.XLOOKUP(Table1[[#This Row],[Manufacturer]]&amp;" "&amp;Table1[[#This Row],[Model]],Table13[MFR &amp; MDL],Table13[Tolerance % CW ],"")/100*Table1[[#This Row],[Std Nom]]),"")</f>
        <v/>
      </c>
      <c r="Q1705" s="1" t="e">
        <f>Table1[[#This Row],[High Tol]]-Table1[[#This Row],[Low Tol]]</f>
        <v>#VALUE!</v>
      </c>
      <c r="R1705" s="1">
        <f>2*Table1[[#This Row],[Std Error]]</f>
        <v>0</v>
      </c>
      <c r="S1705" s="1" t="str">
        <f>IF(Table1[[#This Row],[High Tol]]="","N/A",IFERROR(ABS(Table1[[#This Row],[Tol Span]]/Table1[[#This Row],[Error Span]]),"N/A"))</f>
        <v>N/A</v>
      </c>
      <c r="T1705" s="1" t="str">
        <f>IF(OR(Table1[[#This Row],[Low Tol]]="",Table1[[#This Row],[High Tol]]=""),"Needs Analysis",IF(Table1[[#This Row],[Ratio]]&gt;=4,"Not Significant",IF(Table1[[#This Row],[Ratio]]&gt;=2,"Semi-Significant","Significant")))</f>
        <v>Needs Analysis</v>
      </c>
      <c r="W1705" s="1">
        <f>IF(Table1[[#This Row],[Cal Type]]&lt;&gt;"ACCREDITED 17025 WITH UNCERTAINTIES",0,"")</f>
        <v>0</v>
      </c>
      <c r="X1705" s="1" t="str">
        <f>IF(Table1[[#This Row],[DUT Read]]="","N/A",Table1[[#This Row],[Std Error]]+Table1[[#This Row],[DUT Read]]+Table1[[#This Row],[DUT Ucty]])</f>
        <v>N/A</v>
      </c>
      <c r="Y1705" s="1" t="str">
        <f>IF(Table1[[#This Row],[Std Read]]="","N/A",Table1[[#This Row],[Std Read]]+Table1[[#This Row],[Std Ucty]])</f>
        <v>N/A</v>
      </c>
      <c r="Z17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5" s="1" t="str">
        <f>IF(Table1[[#This Row],[Spec Type]]="","N/A",Table1[[#This Row],[Spec Type]])</f>
        <v>±</v>
      </c>
      <c r="AC1705" s="1" t="str">
        <f>IF(Table1[[#This Row],[Spec Type2]]="N/A","N/A",IF(AND(Table1[[#This Row],[DUT Adj Read]]&gt;=Table1[[#This Row],[Low Tol]],Table1[[#This Row],[DUT Adj Read]]&lt;=Table1[[#This Row],[High Tol]]),"Pass","Fail"))</f>
        <v>Fail</v>
      </c>
      <c r="AD1705" s="1" t="str">
        <f>IF(AND(Table1[[#This Row],[Spec Type2]]="N/A",Table1[[#This Row],[DUT Adj Read]]="N/A",Table1[[#This Row],[Std Adj Read]]="N/A"),"N/A",IF(Table1[[#This Row],[DUT Adj Read]]="N/A",IF(Table1[[#This Row],[Std Adj Read]]&gt;Table1[[#This Row],[Low Tol]],"Pass","Fail"),IF(Table1[[#This Row],[DUT Adj Read]]&gt;Table1[[#This Row],[Low Tol]],"Pass","Fail")))</f>
        <v>Pass</v>
      </c>
      <c r="AE1705" s="1" t="str">
        <f>IF(AND(Table1[[#This Row],[Spec Type2]]="N/A",Table1[[#This Row],[DUT Adj Read]]="N/A",Table1[[#This Row],[Std Adj Read]]="N/A"),"N/A",IF(Table1[[#This Row],[DUT Adj Read]]="N/A",IF(Table1[[#This Row],[Std Adj Read]]&lt;Table1[[#This Row],[High Tol]],"Pass","Fail"),IF(Table1[[#This Row],[DUT Adj Read]]&lt;Table1[[#This Row],[High Tol]],"Pass","Fail")))</f>
        <v>Fail</v>
      </c>
      <c r="AF1705" s="1" t="str">
        <f>IF(AND(Table1[[#This Row],[Spec Type2]]="N/A",Table1[[#This Row],[DUT Adj Read]]="N/A",Table1[[#This Row],[Std Adj Read]]="N/A"),"N/A",IF(Table1[[#This Row],[DUT Adj Read]]="N/A",IF(Table1[[#This Row],[Std Adj Read]]&gt;=Table1[[#This Row],[Low Tol]],"Pass","Fail"),IF(Table1[[#This Row],[DUT Adj Read]]&gt;=Table1[[#This Row],[Low Tol]],"Pass","Fail")))</f>
        <v>Pass</v>
      </c>
      <c r="AG1705" s="1" t="str">
        <f>IF(AND(Table1[[#This Row],[Spec Type2]]="N/A",Table1[[#This Row],[DUT Adj Read]]="N/A",Table1[[#This Row],[Std Adj Read]]="N/A"),"N/A",IF(Table1[[#This Row],[DUT Adj Read]]="N/A",IF(Table1[[#This Row],[Std Adj Read]]&lt;=Table1[[#This Row],[High Tol]],"Pass","Fail"),IF(Table1[[#This Row],[DUT Adj Read]]&lt;=Table1[[#This Row],[High Tol]],"Pass","Fail")))</f>
        <v>Fail</v>
      </c>
      <c r="AH17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5" s="1" t="b">
        <v>0</v>
      </c>
      <c r="AN1705" s="1" t="b">
        <v>0</v>
      </c>
      <c r="AO1705" s="1" t="b">
        <v>0</v>
      </c>
    </row>
    <row r="1706" spans="1:41" x14ac:dyDescent="0.25">
      <c r="A1706" s="10"/>
      <c r="B1706" s="10"/>
      <c r="C1706" s="10"/>
      <c r="D1706" s="10"/>
      <c r="E1706" s="10"/>
      <c r="F1706" s="10"/>
      <c r="G1706" s="10"/>
      <c r="H1706" s="10"/>
      <c r="I1706" s="1" t="str">
        <f t="shared" si="78"/>
        <v/>
      </c>
      <c r="J1706" s="1" t="s">
        <v>35</v>
      </c>
      <c r="K1706" s="1" t="str">
        <f t="shared" si="79"/>
        <v/>
      </c>
      <c r="L1706" s="1" t="str">
        <f t="shared" si="80"/>
        <v/>
      </c>
      <c r="M1706" s="1">
        <f>IF(OR(Table1[[#This Row],[Std Nom]]="",Table1[[#This Row],[Std Read]]=""),0,Table1[[#This Row],[Std Nom]]-Table1[[#This Row],[Std Read]])</f>
        <v>0</v>
      </c>
      <c r="N1706" s="1">
        <f>IF(Calculations!$F$5="ACCREDITED 17025 WITH UNCERTAINTIES",$N$10,0)</f>
        <v>0</v>
      </c>
      <c r="O1706" s="1" t="str">
        <f>IFERROR(Table1[[#This Row],[Std Nom]]-(_xlfn.XLOOKUP(Table1[[#This Row],[Manufacturer]]&amp;" "&amp;Table1[[#This Row],[Model]],Table13[MFR &amp; MDL],Table13[Tolerance % CW ],"")/100*Table1[[#This Row],[Std Nom]]),"")</f>
        <v/>
      </c>
      <c r="P1706" s="1" t="str">
        <f>IFERROR(Table1[[#This Row],[Std Nom]]+(_xlfn.XLOOKUP(Table1[[#This Row],[Manufacturer]]&amp;" "&amp;Table1[[#This Row],[Model]],Table13[MFR &amp; MDL],Table13[Tolerance % CW ],"")/100*Table1[[#This Row],[Std Nom]]),"")</f>
        <v/>
      </c>
      <c r="Q1706" s="1" t="e">
        <f>Table1[[#This Row],[High Tol]]-Table1[[#This Row],[Low Tol]]</f>
        <v>#VALUE!</v>
      </c>
      <c r="R1706" s="1">
        <f>2*Table1[[#This Row],[Std Error]]</f>
        <v>0</v>
      </c>
      <c r="S1706" s="1" t="str">
        <f>IF(Table1[[#This Row],[High Tol]]="","N/A",IFERROR(ABS(Table1[[#This Row],[Tol Span]]/Table1[[#This Row],[Error Span]]),"N/A"))</f>
        <v>N/A</v>
      </c>
      <c r="T1706" s="1" t="str">
        <f>IF(OR(Table1[[#This Row],[Low Tol]]="",Table1[[#This Row],[High Tol]]=""),"Needs Analysis",IF(Table1[[#This Row],[Ratio]]&gt;=4,"Not Significant",IF(Table1[[#This Row],[Ratio]]&gt;=2,"Semi-Significant","Significant")))</f>
        <v>Needs Analysis</v>
      </c>
      <c r="W1706" s="1">
        <f>IF(Table1[[#This Row],[Cal Type]]&lt;&gt;"ACCREDITED 17025 WITH UNCERTAINTIES",0,"")</f>
        <v>0</v>
      </c>
      <c r="X1706" s="1" t="str">
        <f>IF(Table1[[#This Row],[DUT Read]]="","N/A",Table1[[#This Row],[Std Error]]+Table1[[#This Row],[DUT Read]]+Table1[[#This Row],[DUT Ucty]])</f>
        <v>N/A</v>
      </c>
      <c r="Y1706" s="1" t="str">
        <f>IF(Table1[[#This Row],[Std Read]]="","N/A",Table1[[#This Row],[Std Read]]+Table1[[#This Row],[Std Ucty]])</f>
        <v>N/A</v>
      </c>
      <c r="Z17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6" s="1" t="str">
        <f>IF(Table1[[#This Row],[Spec Type]]="","N/A",Table1[[#This Row],[Spec Type]])</f>
        <v>±</v>
      </c>
      <c r="AC1706" s="1" t="str">
        <f>IF(Table1[[#This Row],[Spec Type2]]="N/A","N/A",IF(AND(Table1[[#This Row],[DUT Adj Read]]&gt;=Table1[[#This Row],[Low Tol]],Table1[[#This Row],[DUT Adj Read]]&lt;=Table1[[#This Row],[High Tol]]),"Pass","Fail"))</f>
        <v>Fail</v>
      </c>
      <c r="AD1706" s="1" t="str">
        <f>IF(AND(Table1[[#This Row],[Spec Type2]]="N/A",Table1[[#This Row],[DUT Adj Read]]="N/A",Table1[[#This Row],[Std Adj Read]]="N/A"),"N/A",IF(Table1[[#This Row],[DUT Adj Read]]="N/A",IF(Table1[[#This Row],[Std Adj Read]]&gt;Table1[[#This Row],[Low Tol]],"Pass","Fail"),IF(Table1[[#This Row],[DUT Adj Read]]&gt;Table1[[#This Row],[Low Tol]],"Pass","Fail")))</f>
        <v>Pass</v>
      </c>
      <c r="AE1706" s="1" t="str">
        <f>IF(AND(Table1[[#This Row],[Spec Type2]]="N/A",Table1[[#This Row],[DUT Adj Read]]="N/A",Table1[[#This Row],[Std Adj Read]]="N/A"),"N/A",IF(Table1[[#This Row],[DUT Adj Read]]="N/A",IF(Table1[[#This Row],[Std Adj Read]]&lt;Table1[[#This Row],[High Tol]],"Pass","Fail"),IF(Table1[[#This Row],[DUT Adj Read]]&lt;Table1[[#This Row],[High Tol]],"Pass","Fail")))</f>
        <v>Fail</v>
      </c>
      <c r="AF1706" s="1" t="str">
        <f>IF(AND(Table1[[#This Row],[Spec Type2]]="N/A",Table1[[#This Row],[DUT Adj Read]]="N/A",Table1[[#This Row],[Std Adj Read]]="N/A"),"N/A",IF(Table1[[#This Row],[DUT Adj Read]]="N/A",IF(Table1[[#This Row],[Std Adj Read]]&gt;=Table1[[#This Row],[Low Tol]],"Pass","Fail"),IF(Table1[[#This Row],[DUT Adj Read]]&gt;=Table1[[#This Row],[Low Tol]],"Pass","Fail")))</f>
        <v>Pass</v>
      </c>
      <c r="AG1706" s="1" t="str">
        <f>IF(AND(Table1[[#This Row],[Spec Type2]]="N/A",Table1[[#This Row],[DUT Adj Read]]="N/A",Table1[[#This Row],[Std Adj Read]]="N/A"),"N/A",IF(Table1[[#This Row],[DUT Adj Read]]="N/A",IF(Table1[[#This Row],[Std Adj Read]]&lt;=Table1[[#This Row],[High Tol]],"Pass","Fail"),IF(Table1[[#This Row],[DUT Adj Read]]&lt;=Table1[[#This Row],[High Tol]],"Pass","Fail")))</f>
        <v>Fail</v>
      </c>
      <c r="AH17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6" s="1" t="b">
        <v>0</v>
      </c>
      <c r="AN1706" s="1" t="b">
        <v>0</v>
      </c>
      <c r="AO1706" s="1" t="b">
        <v>0</v>
      </c>
    </row>
    <row r="1707" spans="1:41" x14ac:dyDescent="0.25">
      <c r="A1707" s="10"/>
      <c r="B1707" s="10"/>
      <c r="C1707" s="10"/>
      <c r="D1707" s="10"/>
      <c r="E1707" s="10"/>
      <c r="F1707" s="10"/>
      <c r="G1707" s="10"/>
      <c r="H1707" s="10"/>
      <c r="I1707" s="1" t="str">
        <f t="shared" si="78"/>
        <v/>
      </c>
      <c r="J1707" s="1" t="s">
        <v>35</v>
      </c>
      <c r="K1707" s="1" t="str">
        <f t="shared" si="79"/>
        <v/>
      </c>
      <c r="L1707" s="1" t="str">
        <f t="shared" si="80"/>
        <v/>
      </c>
      <c r="M1707" s="1">
        <f>IF(OR(Table1[[#This Row],[Std Nom]]="",Table1[[#This Row],[Std Read]]=""),0,Table1[[#This Row],[Std Nom]]-Table1[[#This Row],[Std Read]])</f>
        <v>0</v>
      </c>
      <c r="N1707" s="1">
        <f>IF(Calculations!$F$5="ACCREDITED 17025 WITH UNCERTAINTIES",$N$10,0)</f>
        <v>0</v>
      </c>
      <c r="O1707" s="1" t="str">
        <f>IFERROR(Table1[[#This Row],[Std Nom]]-(_xlfn.XLOOKUP(Table1[[#This Row],[Manufacturer]]&amp;" "&amp;Table1[[#This Row],[Model]],Table13[MFR &amp; MDL],Table13[Tolerance % CW ],"")/100*Table1[[#This Row],[Std Nom]]),"")</f>
        <v/>
      </c>
      <c r="P1707" s="1" t="str">
        <f>IFERROR(Table1[[#This Row],[Std Nom]]+(_xlfn.XLOOKUP(Table1[[#This Row],[Manufacturer]]&amp;" "&amp;Table1[[#This Row],[Model]],Table13[MFR &amp; MDL],Table13[Tolerance % CW ],"")/100*Table1[[#This Row],[Std Nom]]),"")</f>
        <v/>
      </c>
      <c r="Q1707" s="1" t="e">
        <f>Table1[[#This Row],[High Tol]]-Table1[[#This Row],[Low Tol]]</f>
        <v>#VALUE!</v>
      </c>
      <c r="R1707" s="1">
        <f>2*Table1[[#This Row],[Std Error]]</f>
        <v>0</v>
      </c>
      <c r="S1707" s="1" t="str">
        <f>IF(Table1[[#This Row],[High Tol]]="","N/A",IFERROR(ABS(Table1[[#This Row],[Tol Span]]/Table1[[#This Row],[Error Span]]),"N/A"))</f>
        <v>N/A</v>
      </c>
      <c r="T1707" s="1" t="str">
        <f>IF(OR(Table1[[#This Row],[Low Tol]]="",Table1[[#This Row],[High Tol]]=""),"Needs Analysis",IF(Table1[[#This Row],[Ratio]]&gt;=4,"Not Significant",IF(Table1[[#This Row],[Ratio]]&gt;=2,"Semi-Significant","Significant")))</f>
        <v>Needs Analysis</v>
      </c>
      <c r="W1707" s="1">
        <f>IF(Table1[[#This Row],[Cal Type]]&lt;&gt;"ACCREDITED 17025 WITH UNCERTAINTIES",0,"")</f>
        <v>0</v>
      </c>
      <c r="X1707" s="1" t="str">
        <f>IF(Table1[[#This Row],[DUT Read]]="","N/A",Table1[[#This Row],[Std Error]]+Table1[[#This Row],[DUT Read]]+Table1[[#This Row],[DUT Ucty]])</f>
        <v>N/A</v>
      </c>
      <c r="Y1707" s="1" t="str">
        <f>IF(Table1[[#This Row],[Std Read]]="","N/A",Table1[[#This Row],[Std Read]]+Table1[[#This Row],[Std Ucty]])</f>
        <v>N/A</v>
      </c>
      <c r="Z17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7" s="1" t="str">
        <f>IF(Table1[[#This Row],[Spec Type]]="","N/A",Table1[[#This Row],[Spec Type]])</f>
        <v>±</v>
      </c>
      <c r="AC1707" s="1" t="str">
        <f>IF(Table1[[#This Row],[Spec Type2]]="N/A","N/A",IF(AND(Table1[[#This Row],[DUT Adj Read]]&gt;=Table1[[#This Row],[Low Tol]],Table1[[#This Row],[DUT Adj Read]]&lt;=Table1[[#This Row],[High Tol]]),"Pass","Fail"))</f>
        <v>Fail</v>
      </c>
      <c r="AD1707" s="1" t="str">
        <f>IF(AND(Table1[[#This Row],[Spec Type2]]="N/A",Table1[[#This Row],[DUT Adj Read]]="N/A",Table1[[#This Row],[Std Adj Read]]="N/A"),"N/A",IF(Table1[[#This Row],[DUT Adj Read]]="N/A",IF(Table1[[#This Row],[Std Adj Read]]&gt;Table1[[#This Row],[Low Tol]],"Pass","Fail"),IF(Table1[[#This Row],[DUT Adj Read]]&gt;Table1[[#This Row],[Low Tol]],"Pass","Fail")))</f>
        <v>Pass</v>
      </c>
      <c r="AE1707" s="1" t="str">
        <f>IF(AND(Table1[[#This Row],[Spec Type2]]="N/A",Table1[[#This Row],[DUT Adj Read]]="N/A",Table1[[#This Row],[Std Adj Read]]="N/A"),"N/A",IF(Table1[[#This Row],[DUT Adj Read]]="N/A",IF(Table1[[#This Row],[Std Adj Read]]&lt;Table1[[#This Row],[High Tol]],"Pass","Fail"),IF(Table1[[#This Row],[DUT Adj Read]]&lt;Table1[[#This Row],[High Tol]],"Pass","Fail")))</f>
        <v>Fail</v>
      </c>
      <c r="AF1707" s="1" t="str">
        <f>IF(AND(Table1[[#This Row],[Spec Type2]]="N/A",Table1[[#This Row],[DUT Adj Read]]="N/A",Table1[[#This Row],[Std Adj Read]]="N/A"),"N/A",IF(Table1[[#This Row],[DUT Adj Read]]="N/A",IF(Table1[[#This Row],[Std Adj Read]]&gt;=Table1[[#This Row],[Low Tol]],"Pass","Fail"),IF(Table1[[#This Row],[DUT Adj Read]]&gt;=Table1[[#This Row],[Low Tol]],"Pass","Fail")))</f>
        <v>Pass</v>
      </c>
      <c r="AG1707" s="1" t="str">
        <f>IF(AND(Table1[[#This Row],[Spec Type2]]="N/A",Table1[[#This Row],[DUT Adj Read]]="N/A",Table1[[#This Row],[Std Adj Read]]="N/A"),"N/A",IF(Table1[[#This Row],[DUT Adj Read]]="N/A",IF(Table1[[#This Row],[Std Adj Read]]&lt;=Table1[[#This Row],[High Tol]],"Pass","Fail"),IF(Table1[[#This Row],[DUT Adj Read]]&lt;=Table1[[#This Row],[High Tol]],"Pass","Fail")))</f>
        <v>Fail</v>
      </c>
      <c r="AH17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7" s="1" t="b">
        <v>0</v>
      </c>
      <c r="AN1707" s="1" t="b">
        <v>0</v>
      </c>
      <c r="AO1707" s="1" t="b">
        <v>0</v>
      </c>
    </row>
    <row r="1708" spans="1:41" x14ac:dyDescent="0.25">
      <c r="A1708" s="10"/>
      <c r="B1708" s="10"/>
      <c r="C1708" s="10"/>
      <c r="D1708" s="10"/>
      <c r="E1708" s="10"/>
      <c r="F1708" s="10"/>
      <c r="G1708" s="10"/>
      <c r="H1708" s="10"/>
      <c r="I1708" s="1" t="str">
        <f t="shared" si="78"/>
        <v/>
      </c>
      <c r="J1708" s="1" t="s">
        <v>35</v>
      </c>
      <c r="K1708" s="1" t="str">
        <f t="shared" si="79"/>
        <v/>
      </c>
      <c r="L1708" s="1" t="str">
        <f t="shared" si="80"/>
        <v/>
      </c>
      <c r="M1708" s="1">
        <f>IF(OR(Table1[[#This Row],[Std Nom]]="",Table1[[#This Row],[Std Read]]=""),0,Table1[[#This Row],[Std Nom]]-Table1[[#This Row],[Std Read]])</f>
        <v>0</v>
      </c>
      <c r="N1708" s="1">
        <f>IF(Calculations!$F$5="ACCREDITED 17025 WITH UNCERTAINTIES",$N$10,0)</f>
        <v>0</v>
      </c>
      <c r="O1708" s="1" t="str">
        <f>IFERROR(Table1[[#This Row],[Std Nom]]-(_xlfn.XLOOKUP(Table1[[#This Row],[Manufacturer]]&amp;" "&amp;Table1[[#This Row],[Model]],Table13[MFR &amp; MDL],Table13[Tolerance % CW ],"")/100*Table1[[#This Row],[Std Nom]]),"")</f>
        <v/>
      </c>
      <c r="P1708" s="1" t="str">
        <f>IFERROR(Table1[[#This Row],[Std Nom]]+(_xlfn.XLOOKUP(Table1[[#This Row],[Manufacturer]]&amp;" "&amp;Table1[[#This Row],[Model]],Table13[MFR &amp; MDL],Table13[Tolerance % CW ],"")/100*Table1[[#This Row],[Std Nom]]),"")</f>
        <v/>
      </c>
      <c r="Q1708" s="1" t="e">
        <f>Table1[[#This Row],[High Tol]]-Table1[[#This Row],[Low Tol]]</f>
        <v>#VALUE!</v>
      </c>
      <c r="R1708" s="1">
        <f>2*Table1[[#This Row],[Std Error]]</f>
        <v>0</v>
      </c>
      <c r="S1708" s="1" t="str">
        <f>IF(Table1[[#This Row],[High Tol]]="","N/A",IFERROR(ABS(Table1[[#This Row],[Tol Span]]/Table1[[#This Row],[Error Span]]),"N/A"))</f>
        <v>N/A</v>
      </c>
      <c r="T1708" s="1" t="str">
        <f>IF(OR(Table1[[#This Row],[Low Tol]]="",Table1[[#This Row],[High Tol]]=""),"Needs Analysis",IF(Table1[[#This Row],[Ratio]]&gt;=4,"Not Significant",IF(Table1[[#This Row],[Ratio]]&gt;=2,"Semi-Significant","Significant")))</f>
        <v>Needs Analysis</v>
      </c>
      <c r="W1708" s="1">
        <f>IF(Table1[[#This Row],[Cal Type]]&lt;&gt;"ACCREDITED 17025 WITH UNCERTAINTIES",0,"")</f>
        <v>0</v>
      </c>
      <c r="X1708" s="1" t="str">
        <f>IF(Table1[[#This Row],[DUT Read]]="","N/A",Table1[[#This Row],[Std Error]]+Table1[[#This Row],[DUT Read]]+Table1[[#This Row],[DUT Ucty]])</f>
        <v>N/A</v>
      </c>
      <c r="Y1708" s="1" t="str">
        <f>IF(Table1[[#This Row],[Std Read]]="","N/A",Table1[[#This Row],[Std Read]]+Table1[[#This Row],[Std Ucty]])</f>
        <v>N/A</v>
      </c>
      <c r="Z17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8" s="1" t="str">
        <f>IF(Table1[[#This Row],[Spec Type]]="","N/A",Table1[[#This Row],[Spec Type]])</f>
        <v>±</v>
      </c>
      <c r="AC1708" s="1" t="str">
        <f>IF(Table1[[#This Row],[Spec Type2]]="N/A","N/A",IF(AND(Table1[[#This Row],[DUT Adj Read]]&gt;=Table1[[#This Row],[Low Tol]],Table1[[#This Row],[DUT Adj Read]]&lt;=Table1[[#This Row],[High Tol]]),"Pass","Fail"))</f>
        <v>Fail</v>
      </c>
      <c r="AD1708" s="1" t="str">
        <f>IF(AND(Table1[[#This Row],[Spec Type2]]="N/A",Table1[[#This Row],[DUT Adj Read]]="N/A",Table1[[#This Row],[Std Adj Read]]="N/A"),"N/A",IF(Table1[[#This Row],[DUT Adj Read]]="N/A",IF(Table1[[#This Row],[Std Adj Read]]&gt;Table1[[#This Row],[Low Tol]],"Pass","Fail"),IF(Table1[[#This Row],[DUT Adj Read]]&gt;Table1[[#This Row],[Low Tol]],"Pass","Fail")))</f>
        <v>Pass</v>
      </c>
      <c r="AE1708" s="1" t="str">
        <f>IF(AND(Table1[[#This Row],[Spec Type2]]="N/A",Table1[[#This Row],[DUT Adj Read]]="N/A",Table1[[#This Row],[Std Adj Read]]="N/A"),"N/A",IF(Table1[[#This Row],[DUT Adj Read]]="N/A",IF(Table1[[#This Row],[Std Adj Read]]&lt;Table1[[#This Row],[High Tol]],"Pass","Fail"),IF(Table1[[#This Row],[DUT Adj Read]]&lt;Table1[[#This Row],[High Tol]],"Pass","Fail")))</f>
        <v>Fail</v>
      </c>
      <c r="AF1708" s="1" t="str">
        <f>IF(AND(Table1[[#This Row],[Spec Type2]]="N/A",Table1[[#This Row],[DUT Adj Read]]="N/A",Table1[[#This Row],[Std Adj Read]]="N/A"),"N/A",IF(Table1[[#This Row],[DUT Adj Read]]="N/A",IF(Table1[[#This Row],[Std Adj Read]]&gt;=Table1[[#This Row],[Low Tol]],"Pass","Fail"),IF(Table1[[#This Row],[DUT Adj Read]]&gt;=Table1[[#This Row],[Low Tol]],"Pass","Fail")))</f>
        <v>Pass</v>
      </c>
      <c r="AG1708" s="1" t="str">
        <f>IF(AND(Table1[[#This Row],[Spec Type2]]="N/A",Table1[[#This Row],[DUT Adj Read]]="N/A",Table1[[#This Row],[Std Adj Read]]="N/A"),"N/A",IF(Table1[[#This Row],[DUT Adj Read]]="N/A",IF(Table1[[#This Row],[Std Adj Read]]&lt;=Table1[[#This Row],[High Tol]],"Pass","Fail"),IF(Table1[[#This Row],[DUT Adj Read]]&lt;=Table1[[#This Row],[High Tol]],"Pass","Fail")))</f>
        <v>Fail</v>
      </c>
      <c r="AH17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8" s="1" t="b">
        <v>0</v>
      </c>
      <c r="AN1708" s="1" t="b">
        <v>0</v>
      </c>
      <c r="AO1708" s="1" t="b">
        <v>0</v>
      </c>
    </row>
    <row r="1709" spans="1:41" x14ac:dyDescent="0.25">
      <c r="A1709" s="10"/>
      <c r="B1709" s="10"/>
      <c r="C1709" s="10"/>
      <c r="D1709" s="10"/>
      <c r="E1709" s="10"/>
      <c r="F1709" s="10"/>
      <c r="G1709" s="10"/>
      <c r="H1709" s="10"/>
      <c r="I1709" s="1" t="str">
        <f t="shared" si="78"/>
        <v/>
      </c>
      <c r="J1709" s="1" t="s">
        <v>35</v>
      </c>
      <c r="K1709" s="1" t="str">
        <f t="shared" si="79"/>
        <v/>
      </c>
      <c r="L1709" s="1" t="str">
        <f t="shared" si="80"/>
        <v/>
      </c>
      <c r="M1709" s="1">
        <f>IF(OR(Table1[[#This Row],[Std Nom]]="",Table1[[#This Row],[Std Read]]=""),0,Table1[[#This Row],[Std Nom]]-Table1[[#This Row],[Std Read]])</f>
        <v>0</v>
      </c>
      <c r="N1709" s="1">
        <f>IF(Calculations!$F$5="ACCREDITED 17025 WITH UNCERTAINTIES",$N$10,0)</f>
        <v>0</v>
      </c>
      <c r="O1709" s="1" t="str">
        <f>IFERROR(Table1[[#This Row],[Std Nom]]-(_xlfn.XLOOKUP(Table1[[#This Row],[Manufacturer]]&amp;" "&amp;Table1[[#This Row],[Model]],Table13[MFR &amp; MDL],Table13[Tolerance % CW ],"")/100*Table1[[#This Row],[Std Nom]]),"")</f>
        <v/>
      </c>
      <c r="P1709" s="1" t="str">
        <f>IFERROR(Table1[[#This Row],[Std Nom]]+(_xlfn.XLOOKUP(Table1[[#This Row],[Manufacturer]]&amp;" "&amp;Table1[[#This Row],[Model]],Table13[MFR &amp; MDL],Table13[Tolerance % CW ],"")/100*Table1[[#This Row],[Std Nom]]),"")</f>
        <v/>
      </c>
      <c r="Q1709" s="1" t="e">
        <f>Table1[[#This Row],[High Tol]]-Table1[[#This Row],[Low Tol]]</f>
        <v>#VALUE!</v>
      </c>
      <c r="R1709" s="1">
        <f>2*Table1[[#This Row],[Std Error]]</f>
        <v>0</v>
      </c>
      <c r="S1709" s="1" t="str">
        <f>IF(Table1[[#This Row],[High Tol]]="","N/A",IFERROR(ABS(Table1[[#This Row],[Tol Span]]/Table1[[#This Row],[Error Span]]),"N/A"))</f>
        <v>N/A</v>
      </c>
      <c r="T1709" s="1" t="str">
        <f>IF(OR(Table1[[#This Row],[Low Tol]]="",Table1[[#This Row],[High Tol]]=""),"Needs Analysis",IF(Table1[[#This Row],[Ratio]]&gt;=4,"Not Significant",IF(Table1[[#This Row],[Ratio]]&gt;=2,"Semi-Significant","Significant")))</f>
        <v>Needs Analysis</v>
      </c>
      <c r="W1709" s="1">
        <f>IF(Table1[[#This Row],[Cal Type]]&lt;&gt;"ACCREDITED 17025 WITH UNCERTAINTIES",0,"")</f>
        <v>0</v>
      </c>
      <c r="X1709" s="1" t="str">
        <f>IF(Table1[[#This Row],[DUT Read]]="","N/A",Table1[[#This Row],[Std Error]]+Table1[[#This Row],[DUT Read]]+Table1[[#This Row],[DUT Ucty]])</f>
        <v>N/A</v>
      </c>
      <c r="Y1709" s="1" t="str">
        <f>IF(Table1[[#This Row],[Std Read]]="","N/A",Table1[[#This Row],[Std Read]]+Table1[[#This Row],[Std Ucty]])</f>
        <v>N/A</v>
      </c>
      <c r="Z17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9" s="1" t="str">
        <f>IF(Table1[[#This Row],[Spec Type]]="","N/A",Table1[[#This Row],[Spec Type]])</f>
        <v>±</v>
      </c>
      <c r="AC1709" s="1" t="str">
        <f>IF(Table1[[#This Row],[Spec Type2]]="N/A","N/A",IF(AND(Table1[[#This Row],[DUT Adj Read]]&gt;=Table1[[#This Row],[Low Tol]],Table1[[#This Row],[DUT Adj Read]]&lt;=Table1[[#This Row],[High Tol]]),"Pass","Fail"))</f>
        <v>Fail</v>
      </c>
      <c r="AD1709" s="1" t="str">
        <f>IF(AND(Table1[[#This Row],[Spec Type2]]="N/A",Table1[[#This Row],[DUT Adj Read]]="N/A",Table1[[#This Row],[Std Adj Read]]="N/A"),"N/A",IF(Table1[[#This Row],[DUT Adj Read]]="N/A",IF(Table1[[#This Row],[Std Adj Read]]&gt;Table1[[#This Row],[Low Tol]],"Pass","Fail"),IF(Table1[[#This Row],[DUT Adj Read]]&gt;Table1[[#This Row],[Low Tol]],"Pass","Fail")))</f>
        <v>Pass</v>
      </c>
      <c r="AE1709" s="1" t="str">
        <f>IF(AND(Table1[[#This Row],[Spec Type2]]="N/A",Table1[[#This Row],[DUT Adj Read]]="N/A",Table1[[#This Row],[Std Adj Read]]="N/A"),"N/A",IF(Table1[[#This Row],[DUT Adj Read]]="N/A",IF(Table1[[#This Row],[Std Adj Read]]&lt;Table1[[#This Row],[High Tol]],"Pass","Fail"),IF(Table1[[#This Row],[DUT Adj Read]]&lt;Table1[[#This Row],[High Tol]],"Pass","Fail")))</f>
        <v>Fail</v>
      </c>
      <c r="AF1709" s="1" t="str">
        <f>IF(AND(Table1[[#This Row],[Spec Type2]]="N/A",Table1[[#This Row],[DUT Adj Read]]="N/A",Table1[[#This Row],[Std Adj Read]]="N/A"),"N/A",IF(Table1[[#This Row],[DUT Adj Read]]="N/A",IF(Table1[[#This Row],[Std Adj Read]]&gt;=Table1[[#This Row],[Low Tol]],"Pass","Fail"),IF(Table1[[#This Row],[DUT Adj Read]]&gt;=Table1[[#This Row],[Low Tol]],"Pass","Fail")))</f>
        <v>Pass</v>
      </c>
      <c r="AG1709" s="1" t="str">
        <f>IF(AND(Table1[[#This Row],[Spec Type2]]="N/A",Table1[[#This Row],[DUT Adj Read]]="N/A",Table1[[#This Row],[Std Adj Read]]="N/A"),"N/A",IF(Table1[[#This Row],[DUT Adj Read]]="N/A",IF(Table1[[#This Row],[Std Adj Read]]&lt;=Table1[[#This Row],[High Tol]],"Pass","Fail"),IF(Table1[[#This Row],[DUT Adj Read]]&lt;=Table1[[#This Row],[High Tol]],"Pass","Fail")))</f>
        <v>Fail</v>
      </c>
      <c r="AH17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9" s="1" t="b">
        <v>0</v>
      </c>
      <c r="AN1709" s="1" t="b">
        <v>0</v>
      </c>
      <c r="AO1709" s="1" t="b">
        <v>0</v>
      </c>
    </row>
    <row r="1710" spans="1:41" x14ac:dyDescent="0.25">
      <c r="A1710" s="10"/>
      <c r="B1710" s="10"/>
      <c r="C1710" s="10"/>
      <c r="D1710" s="10"/>
      <c r="E1710" s="10"/>
      <c r="F1710" s="10"/>
      <c r="G1710" s="10"/>
      <c r="H1710" s="10"/>
      <c r="I1710" s="1" t="str">
        <f t="shared" si="78"/>
        <v/>
      </c>
      <c r="J1710" s="1" t="s">
        <v>35</v>
      </c>
      <c r="K1710" s="1" t="str">
        <f t="shared" si="79"/>
        <v/>
      </c>
      <c r="L1710" s="1" t="str">
        <f t="shared" si="80"/>
        <v/>
      </c>
      <c r="M1710" s="1">
        <f>IF(OR(Table1[[#This Row],[Std Nom]]="",Table1[[#This Row],[Std Read]]=""),0,Table1[[#This Row],[Std Nom]]-Table1[[#This Row],[Std Read]])</f>
        <v>0</v>
      </c>
      <c r="N1710" s="1">
        <f>IF(Calculations!$F$5="ACCREDITED 17025 WITH UNCERTAINTIES",$N$10,0)</f>
        <v>0</v>
      </c>
      <c r="O1710" s="1" t="str">
        <f>IFERROR(Table1[[#This Row],[Std Nom]]-(_xlfn.XLOOKUP(Table1[[#This Row],[Manufacturer]]&amp;" "&amp;Table1[[#This Row],[Model]],Table13[MFR &amp; MDL],Table13[Tolerance % CW ],"")/100*Table1[[#This Row],[Std Nom]]),"")</f>
        <v/>
      </c>
      <c r="P1710" s="1" t="str">
        <f>IFERROR(Table1[[#This Row],[Std Nom]]+(_xlfn.XLOOKUP(Table1[[#This Row],[Manufacturer]]&amp;" "&amp;Table1[[#This Row],[Model]],Table13[MFR &amp; MDL],Table13[Tolerance % CW ],"")/100*Table1[[#This Row],[Std Nom]]),"")</f>
        <v/>
      </c>
      <c r="Q1710" s="1" t="e">
        <f>Table1[[#This Row],[High Tol]]-Table1[[#This Row],[Low Tol]]</f>
        <v>#VALUE!</v>
      </c>
      <c r="R1710" s="1">
        <f>2*Table1[[#This Row],[Std Error]]</f>
        <v>0</v>
      </c>
      <c r="S1710" s="1" t="str">
        <f>IF(Table1[[#This Row],[High Tol]]="","N/A",IFERROR(ABS(Table1[[#This Row],[Tol Span]]/Table1[[#This Row],[Error Span]]),"N/A"))</f>
        <v>N/A</v>
      </c>
      <c r="T1710" s="1" t="str">
        <f>IF(OR(Table1[[#This Row],[Low Tol]]="",Table1[[#This Row],[High Tol]]=""),"Needs Analysis",IF(Table1[[#This Row],[Ratio]]&gt;=4,"Not Significant",IF(Table1[[#This Row],[Ratio]]&gt;=2,"Semi-Significant","Significant")))</f>
        <v>Needs Analysis</v>
      </c>
      <c r="W1710" s="1">
        <f>IF(Table1[[#This Row],[Cal Type]]&lt;&gt;"ACCREDITED 17025 WITH UNCERTAINTIES",0,"")</f>
        <v>0</v>
      </c>
      <c r="X1710" s="1" t="str">
        <f>IF(Table1[[#This Row],[DUT Read]]="","N/A",Table1[[#This Row],[Std Error]]+Table1[[#This Row],[DUT Read]]+Table1[[#This Row],[DUT Ucty]])</f>
        <v>N/A</v>
      </c>
      <c r="Y1710" s="1" t="str">
        <f>IF(Table1[[#This Row],[Std Read]]="","N/A",Table1[[#This Row],[Std Read]]+Table1[[#This Row],[Std Ucty]])</f>
        <v>N/A</v>
      </c>
      <c r="Z17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0" s="1" t="str">
        <f>IF(Table1[[#This Row],[Spec Type]]="","N/A",Table1[[#This Row],[Spec Type]])</f>
        <v>±</v>
      </c>
      <c r="AC1710" s="1" t="str">
        <f>IF(Table1[[#This Row],[Spec Type2]]="N/A","N/A",IF(AND(Table1[[#This Row],[DUT Adj Read]]&gt;=Table1[[#This Row],[Low Tol]],Table1[[#This Row],[DUT Adj Read]]&lt;=Table1[[#This Row],[High Tol]]),"Pass","Fail"))</f>
        <v>Fail</v>
      </c>
      <c r="AD1710" s="1" t="str">
        <f>IF(AND(Table1[[#This Row],[Spec Type2]]="N/A",Table1[[#This Row],[DUT Adj Read]]="N/A",Table1[[#This Row],[Std Adj Read]]="N/A"),"N/A",IF(Table1[[#This Row],[DUT Adj Read]]="N/A",IF(Table1[[#This Row],[Std Adj Read]]&gt;Table1[[#This Row],[Low Tol]],"Pass","Fail"),IF(Table1[[#This Row],[DUT Adj Read]]&gt;Table1[[#This Row],[Low Tol]],"Pass","Fail")))</f>
        <v>Pass</v>
      </c>
      <c r="AE1710" s="1" t="str">
        <f>IF(AND(Table1[[#This Row],[Spec Type2]]="N/A",Table1[[#This Row],[DUT Adj Read]]="N/A",Table1[[#This Row],[Std Adj Read]]="N/A"),"N/A",IF(Table1[[#This Row],[DUT Adj Read]]="N/A",IF(Table1[[#This Row],[Std Adj Read]]&lt;Table1[[#This Row],[High Tol]],"Pass","Fail"),IF(Table1[[#This Row],[DUT Adj Read]]&lt;Table1[[#This Row],[High Tol]],"Pass","Fail")))</f>
        <v>Fail</v>
      </c>
      <c r="AF1710" s="1" t="str">
        <f>IF(AND(Table1[[#This Row],[Spec Type2]]="N/A",Table1[[#This Row],[DUT Adj Read]]="N/A",Table1[[#This Row],[Std Adj Read]]="N/A"),"N/A",IF(Table1[[#This Row],[DUT Adj Read]]="N/A",IF(Table1[[#This Row],[Std Adj Read]]&gt;=Table1[[#This Row],[Low Tol]],"Pass","Fail"),IF(Table1[[#This Row],[DUT Adj Read]]&gt;=Table1[[#This Row],[Low Tol]],"Pass","Fail")))</f>
        <v>Pass</v>
      </c>
      <c r="AG1710" s="1" t="str">
        <f>IF(AND(Table1[[#This Row],[Spec Type2]]="N/A",Table1[[#This Row],[DUT Adj Read]]="N/A",Table1[[#This Row],[Std Adj Read]]="N/A"),"N/A",IF(Table1[[#This Row],[DUT Adj Read]]="N/A",IF(Table1[[#This Row],[Std Adj Read]]&lt;=Table1[[#This Row],[High Tol]],"Pass","Fail"),IF(Table1[[#This Row],[DUT Adj Read]]&lt;=Table1[[#This Row],[High Tol]],"Pass","Fail")))</f>
        <v>Fail</v>
      </c>
      <c r="AH17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0" s="1" t="b">
        <v>0</v>
      </c>
      <c r="AN1710" s="1" t="b">
        <v>0</v>
      </c>
      <c r="AO1710" s="1" t="b">
        <v>0</v>
      </c>
    </row>
    <row r="1711" spans="1:41" x14ac:dyDescent="0.25">
      <c r="A1711" s="10"/>
      <c r="B1711" s="10"/>
      <c r="C1711" s="10"/>
      <c r="D1711" s="10"/>
      <c r="E1711" s="10"/>
      <c r="F1711" s="10"/>
      <c r="G1711" s="10"/>
      <c r="H1711" s="10"/>
      <c r="I1711" s="1" t="str">
        <f t="shared" si="78"/>
        <v/>
      </c>
      <c r="J1711" s="1" t="s">
        <v>35</v>
      </c>
      <c r="K1711" s="1" t="str">
        <f t="shared" si="79"/>
        <v/>
      </c>
      <c r="L1711" s="1" t="str">
        <f t="shared" si="80"/>
        <v/>
      </c>
      <c r="M1711" s="1">
        <f>IF(OR(Table1[[#This Row],[Std Nom]]="",Table1[[#This Row],[Std Read]]=""),0,Table1[[#This Row],[Std Nom]]-Table1[[#This Row],[Std Read]])</f>
        <v>0</v>
      </c>
      <c r="N1711" s="1">
        <f>IF(Calculations!$F$5="ACCREDITED 17025 WITH UNCERTAINTIES",$N$10,0)</f>
        <v>0</v>
      </c>
      <c r="O1711" s="1" t="str">
        <f>IFERROR(Table1[[#This Row],[Std Nom]]-(_xlfn.XLOOKUP(Table1[[#This Row],[Manufacturer]]&amp;" "&amp;Table1[[#This Row],[Model]],Table13[MFR &amp; MDL],Table13[Tolerance % CW ],"")/100*Table1[[#This Row],[Std Nom]]),"")</f>
        <v/>
      </c>
      <c r="P1711" s="1" t="str">
        <f>IFERROR(Table1[[#This Row],[Std Nom]]+(_xlfn.XLOOKUP(Table1[[#This Row],[Manufacturer]]&amp;" "&amp;Table1[[#This Row],[Model]],Table13[MFR &amp; MDL],Table13[Tolerance % CW ],"")/100*Table1[[#This Row],[Std Nom]]),"")</f>
        <v/>
      </c>
      <c r="Q1711" s="1" t="e">
        <f>Table1[[#This Row],[High Tol]]-Table1[[#This Row],[Low Tol]]</f>
        <v>#VALUE!</v>
      </c>
      <c r="R1711" s="1">
        <f>2*Table1[[#This Row],[Std Error]]</f>
        <v>0</v>
      </c>
      <c r="S1711" s="1" t="str">
        <f>IF(Table1[[#This Row],[High Tol]]="","N/A",IFERROR(ABS(Table1[[#This Row],[Tol Span]]/Table1[[#This Row],[Error Span]]),"N/A"))</f>
        <v>N/A</v>
      </c>
      <c r="T1711" s="1" t="str">
        <f>IF(OR(Table1[[#This Row],[Low Tol]]="",Table1[[#This Row],[High Tol]]=""),"Needs Analysis",IF(Table1[[#This Row],[Ratio]]&gt;=4,"Not Significant",IF(Table1[[#This Row],[Ratio]]&gt;=2,"Semi-Significant","Significant")))</f>
        <v>Needs Analysis</v>
      </c>
      <c r="W1711" s="1">
        <f>IF(Table1[[#This Row],[Cal Type]]&lt;&gt;"ACCREDITED 17025 WITH UNCERTAINTIES",0,"")</f>
        <v>0</v>
      </c>
      <c r="X1711" s="1" t="str">
        <f>IF(Table1[[#This Row],[DUT Read]]="","N/A",Table1[[#This Row],[Std Error]]+Table1[[#This Row],[DUT Read]]+Table1[[#This Row],[DUT Ucty]])</f>
        <v>N/A</v>
      </c>
      <c r="Y1711" s="1" t="str">
        <f>IF(Table1[[#This Row],[Std Read]]="","N/A",Table1[[#This Row],[Std Read]]+Table1[[#This Row],[Std Ucty]])</f>
        <v>N/A</v>
      </c>
      <c r="Z17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1" s="1" t="str">
        <f>IF(Table1[[#This Row],[Spec Type]]="","N/A",Table1[[#This Row],[Spec Type]])</f>
        <v>±</v>
      </c>
      <c r="AC1711" s="1" t="str">
        <f>IF(Table1[[#This Row],[Spec Type2]]="N/A","N/A",IF(AND(Table1[[#This Row],[DUT Adj Read]]&gt;=Table1[[#This Row],[Low Tol]],Table1[[#This Row],[DUT Adj Read]]&lt;=Table1[[#This Row],[High Tol]]),"Pass","Fail"))</f>
        <v>Fail</v>
      </c>
      <c r="AD1711" s="1" t="str">
        <f>IF(AND(Table1[[#This Row],[Spec Type2]]="N/A",Table1[[#This Row],[DUT Adj Read]]="N/A",Table1[[#This Row],[Std Adj Read]]="N/A"),"N/A",IF(Table1[[#This Row],[DUT Adj Read]]="N/A",IF(Table1[[#This Row],[Std Adj Read]]&gt;Table1[[#This Row],[Low Tol]],"Pass","Fail"),IF(Table1[[#This Row],[DUT Adj Read]]&gt;Table1[[#This Row],[Low Tol]],"Pass","Fail")))</f>
        <v>Pass</v>
      </c>
      <c r="AE1711" s="1" t="str">
        <f>IF(AND(Table1[[#This Row],[Spec Type2]]="N/A",Table1[[#This Row],[DUT Adj Read]]="N/A",Table1[[#This Row],[Std Adj Read]]="N/A"),"N/A",IF(Table1[[#This Row],[DUT Adj Read]]="N/A",IF(Table1[[#This Row],[Std Adj Read]]&lt;Table1[[#This Row],[High Tol]],"Pass","Fail"),IF(Table1[[#This Row],[DUT Adj Read]]&lt;Table1[[#This Row],[High Tol]],"Pass","Fail")))</f>
        <v>Fail</v>
      </c>
      <c r="AF1711" s="1" t="str">
        <f>IF(AND(Table1[[#This Row],[Spec Type2]]="N/A",Table1[[#This Row],[DUT Adj Read]]="N/A",Table1[[#This Row],[Std Adj Read]]="N/A"),"N/A",IF(Table1[[#This Row],[DUT Adj Read]]="N/A",IF(Table1[[#This Row],[Std Adj Read]]&gt;=Table1[[#This Row],[Low Tol]],"Pass","Fail"),IF(Table1[[#This Row],[DUT Adj Read]]&gt;=Table1[[#This Row],[Low Tol]],"Pass","Fail")))</f>
        <v>Pass</v>
      </c>
      <c r="AG1711" s="1" t="str">
        <f>IF(AND(Table1[[#This Row],[Spec Type2]]="N/A",Table1[[#This Row],[DUT Adj Read]]="N/A",Table1[[#This Row],[Std Adj Read]]="N/A"),"N/A",IF(Table1[[#This Row],[DUT Adj Read]]="N/A",IF(Table1[[#This Row],[Std Adj Read]]&lt;=Table1[[#This Row],[High Tol]],"Pass","Fail"),IF(Table1[[#This Row],[DUT Adj Read]]&lt;=Table1[[#This Row],[High Tol]],"Pass","Fail")))</f>
        <v>Fail</v>
      </c>
      <c r="AH17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1" s="1" t="b">
        <v>0</v>
      </c>
      <c r="AN1711" s="1" t="b">
        <v>0</v>
      </c>
      <c r="AO1711" s="1" t="b">
        <v>0</v>
      </c>
    </row>
    <row r="1712" spans="1:41" x14ac:dyDescent="0.25">
      <c r="A1712" s="10"/>
      <c r="B1712" s="10"/>
      <c r="C1712" s="10"/>
      <c r="D1712" s="10"/>
      <c r="E1712" s="10"/>
      <c r="F1712" s="10"/>
      <c r="G1712" s="10"/>
      <c r="H1712" s="10"/>
      <c r="I1712" s="1" t="str">
        <f t="shared" si="78"/>
        <v/>
      </c>
      <c r="J1712" s="1" t="s">
        <v>35</v>
      </c>
      <c r="K1712" s="1" t="str">
        <f t="shared" si="79"/>
        <v/>
      </c>
      <c r="L1712" s="1" t="str">
        <f t="shared" si="80"/>
        <v/>
      </c>
      <c r="M1712" s="1">
        <f>IF(OR(Table1[[#This Row],[Std Nom]]="",Table1[[#This Row],[Std Read]]=""),0,Table1[[#This Row],[Std Nom]]-Table1[[#This Row],[Std Read]])</f>
        <v>0</v>
      </c>
      <c r="N1712" s="1">
        <f>IF(Calculations!$F$5="ACCREDITED 17025 WITH UNCERTAINTIES",$N$10,0)</f>
        <v>0</v>
      </c>
      <c r="O1712" s="1" t="str">
        <f>IFERROR(Table1[[#This Row],[Std Nom]]-(_xlfn.XLOOKUP(Table1[[#This Row],[Manufacturer]]&amp;" "&amp;Table1[[#This Row],[Model]],Table13[MFR &amp; MDL],Table13[Tolerance % CW ],"")/100*Table1[[#This Row],[Std Nom]]),"")</f>
        <v/>
      </c>
      <c r="P1712" s="1" t="str">
        <f>IFERROR(Table1[[#This Row],[Std Nom]]+(_xlfn.XLOOKUP(Table1[[#This Row],[Manufacturer]]&amp;" "&amp;Table1[[#This Row],[Model]],Table13[MFR &amp; MDL],Table13[Tolerance % CW ],"")/100*Table1[[#This Row],[Std Nom]]),"")</f>
        <v/>
      </c>
      <c r="Q1712" s="1" t="e">
        <f>Table1[[#This Row],[High Tol]]-Table1[[#This Row],[Low Tol]]</f>
        <v>#VALUE!</v>
      </c>
      <c r="R1712" s="1">
        <f>2*Table1[[#This Row],[Std Error]]</f>
        <v>0</v>
      </c>
      <c r="S1712" s="1" t="str">
        <f>IF(Table1[[#This Row],[High Tol]]="","N/A",IFERROR(ABS(Table1[[#This Row],[Tol Span]]/Table1[[#This Row],[Error Span]]),"N/A"))</f>
        <v>N/A</v>
      </c>
      <c r="T1712" s="1" t="str">
        <f>IF(OR(Table1[[#This Row],[Low Tol]]="",Table1[[#This Row],[High Tol]]=""),"Needs Analysis",IF(Table1[[#This Row],[Ratio]]&gt;=4,"Not Significant",IF(Table1[[#This Row],[Ratio]]&gt;=2,"Semi-Significant","Significant")))</f>
        <v>Needs Analysis</v>
      </c>
      <c r="W1712" s="1">
        <f>IF(Table1[[#This Row],[Cal Type]]&lt;&gt;"ACCREDITED 17025 WITH UNCERTAINTIES",0,"")</f>
        <v>0</v>
      </c>
      <c r="X1712" s="1" t="str">
        <f>IF(Table1[[#This Row],[DUT Read]]="","N/A",Table1[[#This Row],[Std Error]]+Table1[[#This Row],[DUT Read]]+Table1[[#This Row],[DUT Ucty]])</f>
        <v>N/A</v>
      </c>
      <c r="Y1712" s="1" t="str">
        <f>IF(Table1[[#This Row],[Std Read]]="","N/A",Table1[[#This Row],[Std Read]]+Table1[[#This Row],[Std Ucty]])</f>
        <v>N/A</v>
      </c>
      <c r="Z17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2" s="1" t="str">
        <f>IF(Table1[[#This Row],[Spec Type]]="","N/A",Table1[[#This Row],[Spec Type]])</f>
        <v>±</v>
      </c>
      <c r="AC1712" s="1" t="str">
        <f>IF(Table1[[#This Row],[Spec Type2]]="N/A","N/A",IF(AND(Table1[[#This Row],[DUT Adj Read]]&gt;=Table1[[#This Row],[Low Tol]],Table1[[#This Row],[DUT Adj Read]]&lt;=Table1[[#This Row],[High Tol]]),"Pass","Fail"))</f>
        <v>Fail</v>
      </c>
      <c r="AD1712" s="1" t="str">
        <f>IF(AND(Table1[[#This Row],[Spec Type2]]="N/A",Table1[[#This Row],[DUT Adj Read]]="N/A",Table1[[#This Row],[Std Adj Read]]="N/A"),"N/A",IF(Table1[[#This Row],[DUT Adj Read]]="N/A",IF(Table1[[#This Row],[Std Adj Read]]&gt;Table1[[#This Row],[Low Tol]],"Pass","Fail"),IF(Table1[[#This Row],[DUT Adj Read]]&gt;Table1[[#This Row],[Low Tol]],"Pass","Fail")))</f>
        <v>Pass</v>
      </c>
      <c r="AE1712" s="1" t="str">
        <f>IF(AND(Table1[[#This Row],[Spec Type2]]="N/A",Table1[[#This Row],[DUT Adj Read]]="N/A",Table1[[#This Row],[Std Adj Read]]="N/A"),"N/A",IF(Table1[[#This Row],[DUT Adj Read]]="N/A",IF(Table1[[#This Row],[Std Adj Read]]&lt;Table1[[#This Row],[High Tol]],"Pass","Fail"),IF(Table1[[#This Row],[DUT Adj Read]]&lt;Table1[[#This Row],[High Tol]],"Pass","Fail")))</f>
        <v>Fail</v>
      </c>
      <c r="AF1712" s="1" t="str">
        <f>IF(AND(Table1[[#This Row],[Spec Type2]]="N/A",Table1[[#This Row],[DUT Adj Read]]="N/A",Table1[[#This Row],[Std Adj Read]]="N/A"),"N/A",IF(Table1[[#This Row],[DUT Adj Read]]="N/A",IF(Table1[[#This Row],[Std Adj Read]]&gt;=Table1[[#This Row],[Low Tol]],"Pass","Fail"),IF(Table1[[#This Row],[DUT Adj Read]]&gt;=Table1[[#This Row],[Low Tol]],"Pass","Fail")))</f>
        <v>Pass</v>
      </c>
      <c r="AG1712" s="1" t="str">
        <f>IF(AND(Table1[[#This Row],[Spec Type2]]="N/A",Table1[[#This Row],[DUT Adj Read]]="N/A",Table1[[#This Row],[Std Adj Read]]="N/A"),"N/A",IF(Table1[[#This Row],[DUT Adj Read]]="N/A",IF(Table1[[#This Row],[Std Adj Read]]&lt;=Table1[[#This Row],[High Tol]],"Pass","Fail"),IF(Table1[[#This Row],[DUT Adj Read]]&lt;=Table1[[#This Row],[High Tol]],"Pass","Fail")))</f>
        <v>Fail</v>
      </c>
      <c r="AH17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2" s="1" t="b">
        <v>0</v>
      </c>
      <c r="AN1712" s="1" t="b">
        <v>0</v>
      </c>
      <c r="AO1712" s="1" t="b">
        <v>0</v>
      </c>
    </row>
    <row r="1713" spans="1:41" x14ac:dyDescent="0.25">
      <c r="A1713" s="10"/>
      <c r="B1713" s="10"/>
      <c r="C1713" s="10"/>
      <c r="D1713" s="10"/>
      <c r="E1713" s="10"/>
      <c r="F1713" s="10"/>
      <c r="G1713" s="10"/>
      <c r="H1713" s="10"/>
      <c r="I1713" s="1" t="str">
        <f t="shared" si="78"/>
        <v/>
      </c>
      <c r="J1713" s="1" t="s">
        <v>35</v>
      </c>
      <c r="K1713" s="1" t="str">
        <f t="shared" si="79"/>
        <v/>
      </c>
      <c r="L1713" s="1" t="str">
        <f t="shared" si="80"/>
        <v/>
      </c>
      <c r="M1713" s="1">
        <f>IF(OR(Table1[[#This Row],[Std Nom]]="",Table1[[#This Row],[Std Read]]=""),0,Table1[[#This Row],[Std Nom]]-Table1[[#This Row],[Std Read]])</f>
        <v>0</v>
      </c>
      <c r="N1713" s="1">
        <f>IF(Calculations!$F$5="ACCREDITED 17025 WITH UNCERTAINTIES",$N$10,0)</f>
        <v>0</v>
      </c>
      <c r="O1713" s="1" t="str">
        <f>IFERROR(Table1[[#This Row],[Std Nom]]-(_xlfn.XLOOKUP(Table1[[#This Row],[Manufacturer]]&amp;" "&amp;Table1[[#This Row],[Model]],Table13[MFR &amp; MDL],Table13[Tolerance % CW ],"")/100*Table1[[#This Row],[Std Nom]]),"")</f>
        <v/>
      </c>
      <c r="P1713" s="1" t="str">
        <f>IFERROR(Table1[[#This Row],[Std Nom]]+(_xlfn.XLOOKUP(Table1[[#This Row],[Manufacturer]]&amp;" "&amp;Table1[[#This Row],[Model]],Table13[MFR &amp; MDL],Table13[Tolerance % CW ],"")/100*Table1[[#This Row],[Std Nom]]),"")</f>
        <v/>
      </c>
      <c r="Q1713" s="1" t="e">
        <f>Table1[[#This Row],[High Tol]]-Table1[[#This Row],[Low Tol]]</f>
        <v>#VALUE!</v>
      </c>
      <c r="R1713" s="1">
        <f>2*Table1[[#This Row],[Std Error]]</f>
        <v>0</v>
      </c>
      <c r="S1713" s="1" t="str">
        <f>IF(Table1[[#This Row],[High Tol]]="","N/A",IFERROR(ABS(Table1[[#This Row],[Tol Span]]/Table1[[#This Row],[Error Span]]),"N/A"))</f>
        <v>N/A</v>
      </c>
      <c r="T1713" s="1" t="str">
        <f>IF(OR(Table1[[#This Row],[Low Tol]]="",Table1[[#This Row],[High Tol]]=""),"Needs Analysis",IF(Table1[[#This Row],[Ratio]]&gt;=4,"Not Significant",IF(Table1[[#This Row],[Ratio]]&gt;=2,"Semi-Significant","Significant")))</f>
        <v>Needs Analysis</v>
      </c>
      <c r="W1713" s="1">
        <f>IF(Table1[[#This Row],[Cal Type]]&lt;&gt;"ACCREDITED 17025 WITH UNCERTAINTIES",0,"")</f>
        <v>0</v>
      </c>
      <c r="X1713" s="1" t="str">
        <f>IF(Table1[[#This Row],[DUT Read]]="","N/A",Table1[[#This Row],[Std Error]]+Table1[[#This Row],[DUT Read]]+Table1[[#This Row],[DUT Ucty]])</f>
        <v>N/A</v>
      </c>
      <c r="Y1713" s="1" t="str">
        <f>IF(Table1[[#This Row],[Std Read]]="","N/A",Table1[[#This Row],[Std Read]]+Table1[[#This Row],[Std Ucty]])</f>
        <v>N/A</v>
      </c>
      <c r="Z17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3" s="1" t="str">
        <f>IF(Table1[[#This Row],[Spec Type]]="","N/A",Table1[[#This Row],[Spec Type]])</f>
        <v>±</v>
      </c>
      <c r="AC1713" s="1" t="str">
        <f>IF(Table1[[#This Row],[Spec Type2]]="N/A","N/A",IF(AND(Table1[[#This Row],[DUT Adj Read]]&gt;=Table1[[#This Row],[Low Tol]],Table1[[#This Row],[DUT Adj Read]]&lt;=Table1[[#This Row],[High Tol]]),"Pass","Fail"))</f>
        <v>Fail</v>
      </c>
      <c r="AD1713" s="1" t="str">
        <f>IF(AND(Table1[[#This Row],[Spec Type2]]="N/A",Table1[[#This Row],[DUT Adj Read]]="N/A",Table1[[#This Row],[Std Adj Read]]="N/A"),"N/A",IF(Table1[[#This Row],[DUT Adj Read]]="N/A",IF(Table1[[#This Row],[Std Adj Read]]&gt;Table1[[#This Row],[Low Tol]],"Pass","Fail"),IF(Table1[[#This Row],[DUT Adj Read]]&gt;Table1[[#This Row],[Low Tol]],"Pass","Fail")))</f>
        <v>Pass</v>
      </c>
      <c r="AE1713" s="1" t="str">
        <f>IF(AND(Table1[[#This Row],[Spec Type2]]="N/A",Table1[[#This Row],[DUT Adj Read]]="N/A",Table1[[#This Row],[Std Adj Read]]="N/A"),"N/A",IF(Table1[[#This Row],[DUT Adj Read]]="N/A",IF(Table1[[#This Row],[Std Adj Read]]&lt;Table1[[#This Row],[High Tol]],"Pass","Fail"),IF(Table1[[#This Row],[DUT Adj Read]]&lt;Table1[[#This Row],[High Tol]],"Pass","Fail")))</f>
        <v>Fail</v>
      </c>
      <c r="AF1713" s="1" t="str">
        <f>IF(AND(Table1[[#This Row],[Spec Type2]]="N/A",Table1[[#This Row],[DUT Adj Read]]="N/A",Table1[[#This Row],[Std Adj Read]]="N/A"),"N/A",IF(Table1[[#This Row],[DUT Adj Read]]="N/A",IF(Table1[[#This Row],[Std Adj Read]]&gt;=Table1[[#This Row],[Low Tol]],"Pass","Fail"),IF(Table1[[#This Row],[DUT Adj Read]]&gt;=Table1[[#This Row],[Low Tol]],"Pass","Fail")))</f>
        <v>Pass</v>
      </c>
      <c r="AG1713" s="1" t="str">
        <f>IF(AND(Table1[[#This Row],[Spec Type2]]="N/A",Table1[[#This Row],[DUT Adj Read]]="N/A",Table1[[#This Row],[Std Adj Read]]="N/A"),"N/A",IF(Table1[[#This Row],[DUT Adj Read]]="N/A",IF(Table1[[#This Row],[Std Adj Read]]&lt;=Table1[[#This Row],[High Tol]],"Pass","Fail"),IF(Table1[[#This Row],[DUT Adj Read]]&lt;=Table1[[#This Row],[High Tol]],"Pass","Fail")))</f>
        <v>Fail</v>
      </c>
      <c r="AH17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3" s="1" t="b">
        <v>0</v>
      </c>
      <c r="AN1713" s="1" t="b">
        <v>0</v>
      </c>
      <c r="AO1713" s="1" t="b">
        <v>0</v>
      </c>
    </row>
    <row r="1714" spans="1:41" x14ac:dyDescent="0.25">
      <c r="A1714" s="10"/>
      <c r="B1714" s="10"/>
      <c r="C1714" s="10"/>
      <c r="D1714" s="10"/>
      <c r="E1714" s="10"/>
      <c r="F1714" s="10"/>
      <c r="G1714" s="10"/>
      <c r="H1714" s="10"/>
      <c r="I1714" s="1" t="str">
        <f t="shared" si="78"/>
        <v/>
      </c>
      <c r="J1714" s="1" t="s">
        <v>35</v>
      </c>
      <c r="K1714" s="1" t="str">
        <f t="shared" si="79"/>
        <v/>
      </c>
      <c r="L1714" s="1" t="str">
        <f t="shared" si="80"/>
        <v/>
      </c>
      <c r="M1714" s="1">
        <f>IF(OR(Table1[[#This Row],[Std Nom]]="",Table1[[#This Row],[Std Read]]=""),0,Table1[[#This Row],[Std Nom]]-Table1[[#This Row],[Std Read]])</f>
        <v>0</v>
      </c>
      <c r="N1714" s="1">
        <f>IF(Calculations!$F$5="ACCREDITED 17025 WITH UNCERTAINTIES",$N$10,0)</f>
        <v>0</v>
      </c>
      <c r="O1714" s="1" t="str">
        <f>IFERROR(Table1[[#This Row],[Std Nom]]-(_xlfn.XLOOKUP(Table1[[#This Row],[Manufacturer]]&amp;" "&amp;Table1[[#This Row],[Model]],Table13[MFR &amp; MDL],Table13[Tolerance % CW ],"")/100*Table1[[#This Row],[Std Nom]]),"")</f>
        <v/>
      </c>
      <c r="P1714" s="1" t="str">
        <f>IFERROR(Table1[[#This Row],[Std Nom]]+(_xlfn.XLOOKUP(Table1[[#This Row],[Manufacturer]]&amp;" "&amp;Table1[[#This Row],[Model]],Table13[MFR &amp; MDL],Table13[Tolerance % CW ],"")/100*Table1[[#This Row],[Std Nom]]),"")</f>
        <v/>
      </c>
      <c r="Q1714" s="1" t="e">
        <f>Table1[[#This Row],[High Tol]]-Table1[[#This Row],[Low Tol]]</f>
        <v>#VALUE!</v>
      </c>
      <c r="R1714" s="1">
        <f>2*Table1[[#This Row],[Std Error]]</f>
        <v>0</v>
      </c>
      <c r="S1714" s="1" t="str">
        <f>IF(Table1[[#This Row],[High Tol]]="","N/A",IFERROR(ABS(Table1[[#This Row],[Tol Span]]/Table1[[#This Row],[Error Span]]),"N/A"))</f>
        <v>N/A</v>
      </c>
      <c r="T1714" s="1" t="str">
        <f>IF(OR(Table1[[#This Row],[Low Tol]]="",Table1[[#This Row],[High Tol]]=""),"Needs Analysis",IF(Table1[[#This Row],[Ratio]]&gt;=4,"Not Significant",IF(Table1[[#This Row],[Ratio]]&gt;=2,"Semi-Significant","Significant")))</f>
        <v>Needs Analysis</v>
      </c>
      <c r="W1714" s="1">
        <f>IF(Table1[[#This Row],[Cal Type]]&lt;&gt;"ACCREDITED 17025 WITH UNCERTAINTIES",0,"")</f>
        <v>0</v>
      </c>
      <c r="X1714" s="1" t="str">
        <f>IF(Table1[[#This Row],[DUT Read]]="","N/A",Table1[[#This Row],[Std Error]]+Table1[[#This Row],[DUT Read]]+Table1[[#This Row],[DUT Ucty]])</f>
        <v>N/A</v>
      </c>
      <c r="Y1714" s="1" t="str">
        <f>IF(Table1[[#This Row],[Std Read]]="","N/A",Table1[[#This Row],[Std Read]]+Table1[[#This Row],[Std Ucty]])</f>
        <v>N/A</v>
      </c>
      <c r="Z17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4" s="1" t="str">
        <f>IF(Table1[[#This Row],[Spec Type]]="","N/A",Table1[[#This Row],[Spec Type]])</f>
        <v>±</v>
      </c>
      <c r="AC1714" s="1" t="str">
        <f>IF(Table1[[#This Row],[Spec Type2]]="N/A","N/A",IF(AND(Table1[[#This Row],[DUT Adj Read]]&gt;=Table1[[#This Row],[Low Tol]],Table1[[#This Row],[DUT Adj Read]]&lt;=Table1[[#This Row],[High Tol]]),"Pass","Fail"))</f>
        <v>Fail</v>
      </c>
      <c r="AD1714" s="1" t="str">
        <f>IF(AND(Table1[[#This Row],[Spec Type2]]="N/A",Table1[[#This Row],[DUT Adj Read]]="N/A",Table1[[#This Row],[Std Adj Read]]="N/A"),"N/A",IF(Table1[[#This Row],[DUT Adj Read]]="N/A",IF(Table1[[#This Row],[Std Adj Read]]&gt;Table1[[#This Row],[Low Tol]],"Pass","Fail"),IF(Table1[[#This Row],[DUT Adj Read]]&gt;Table1[[#This Row],[Low Tol]],"Pass","Fail")))</f>
        <v>Pass</v>
      </c>
      <c r="AE1714" s="1" t="str">
        <f>IF(AND(Table1[[#This Row],[Spec Type2]]="N/A",Table1[[#This Row],[DUT Adj Read]]="N/A",Table1[[#This Row],[Std Adj Read]]="N/A"),"N/A",IF(Table1[[#This Row],[DUT Adj Read]]="N/A",IF(Table1[[#This Row],[Std Adj Read]]&lt;Table1[[#This Row],[High Tol]],"Pass","Fail"),IF(Table1[[#This Row],[DUT Adj Read]]&lt;Table1[[#This Row],[High Tol]],"Pass","Fail")))</f>
        <v>Fail</v>
      </c>
      <c r="AF1714" s="1" t="str">
        <f>IF(AND(Table1[[#This Row],[Spec Type2]]="N/A",Table1[[#This Row],[DUT Adj Read]]="N/A",Table1[[#This Row],[Std Adj Read]]="N/A"),"N/A",IF(Table1[[#This Row],[DUT Adj Read]]="N/A",IF(Table1[[#This Row],[Std Adj Read]]&gt;=Table1[[#This Row],[Low Tol]],"Pass","Fail"),IF(Table1[[#This Row],[DUT Adj Read]]&gt;=Table1[[#This Row],[Low Tol]],"Pass","Fail")))</f>
        <v>Pass</v>
      </c>
      <c r="AG1714" s="1" t="str">
        <f>IF(AND(Table1[[#This Row],[Spec Type2]]="N/A",Table1[[#This Row],[DUT Adj Read]]="N/A",Table1[[#This Row],[Std Adj Read]]="N/A"),"N/A",IF(Table1[[#This Row],[DUT Adj Read]]="N/A",IF(Table1[[#This Row],[Std Adj Read]]&lt;=Table1[[#This Row],[High Tol]],"Pass","Fail"),IF(Table1[[#This Row],[DUT Adj Read]]&lt;=Table1[[#This Row],[High Tol]],"Pass","Fail")))</f>
        <v>Fail</v>
      </c>
      <c r="AH17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4" s="1" t="b">
        <v>0</v>
      </c>
      <c r="AN1714" s="1" t="b">
        <v>0</v>
      </c>
      <c r="AO1714" s="1" t="b">
        <v>0</v>
      </c>
    </row>
    <row r="1715" spans="1:41" x14ac:dyDescent="0.25">
      <c r="A1715" s="10"/>
      <c r="B1715" s="10"/>
      <c r="C1715" s="10"/>
      <c r="D1715" s="10"/>
      <c r="E1715" s="10"/>
      <c r="F1715" s="10"/>
      <c r="G1715" s="10"/>
      <c r="H1715" s="10"/>
      <c r="I1715" s="1" t="str">
        <f t="shared" si="78"/>
        <v/>
      </c>
      <c r="J1715" s="1" t="s">
        <v>35</v>
      </c>
      <c r="K1715" s="1" t="str">
        <f t="shared" si="79"/>
        <v/>
      </c>
      <c r="L1715" s="1" t="str">
        <f t="shared" si="80"/>
        <v/>
      </c>
      <c r="M1715" s="1">
        <f>IF(OR(Table1[[#This Row],[Std Nom]]="",Table1[[#This Row],[Std Read]]=""),0,Table1[[#This Row],[Std Nom]]-Table1[[#This Row],[Std Read]])</f>
        <v>0</v>
      </c>
      <c r="N1715" s="1">
        <f>IF(Calculations!$F$5="ACCREDITED 17025 WITH UNCERTAINTIES",$N$10,0)</f>
        <v>0</v>
      </c>
      <c r="O1715" s="1" t="str">
        <f>IFERROR(Table1[[#This Row],[Std Nom]]-(_xlfn.XLOOKUP(Table1[[#This Row],[Manufacturer]]&amp;" "&amp;Table1[[#This Row],[Model]],Table13[MFR &amp; MDL],Table13[Tolerance % CW ],"")/100*Table1[[#This Row],[Std Nom]]),"")</f>
        <v/>
      </c>
      <c r="P1715" s="1" t="str">
        <f>IFERROR(Table1[[#This Row],[Std Nom]]+(_xlfn.XLOOKUP(Table1[[#This Row],[Manufacturer]]&amp;" "&amp;Table1[[#This Row],[Model]],Table13[MFR &amp; MDL],Table13[Tolerance % CW ],"")/100*Table1[[#This Row],[Std Nom]]),"")</f>
        <v/>
      </c>
      <c r="Q1715" s="1" t="e">
        <f>Table1[[#This Row],[High Tol]]-Table1[[#This Row],[Low Tol]]</f>
        <v>#VALUE!</v>
      </c>
      <c r="R1715" s="1">
        <f>2*Table1[[#This Row],[Std Error]]</f>
        <v>0</v>
      </c>
      <c r="S1715" s="1" t="str">
        <f>IF(Table1[[#This Row],[High Tol]]="","N/A",IFERROR(ABS(Table1[[#This Row],[Tol Span]]/Table1[[#This Row],[Error Span]]),"N/A"))</f>
        <v>N/A</v>
      </c>
      <c r="T1715" s="1" t="str">
        <f>IF(OR(Table1[[#This Row],[Low Tol]]="",Table1[[#This Row],[High Tol]]=""),"Needs Analysis",IF(Table1[[#This Row],[Ratio]]&gt;=4,"Not Significant",IF(Table1[[#This Row],[Ratio]]&gt;=2,"Semi-Significant","Significant")))</f>
        <v>Needs Analysis</v>
      </c>
      <c r="W1715" s="1">
        <f>IF(Table1[[#This Row],[Cal Type]]&lt;&gt;"ACCREDITED 17025 WITH UNCERTAINTIES",0,"")</f>
        <v>0</v>
      </c>
      <c r="X1715" s="1" t="str">
        <f>IF(Table1[[#This Row],[DUT Read]]="","N/A",Table1[[#This Row],[Std Error]]+Table1[[#This Row],[DUT Read]]+Table1[[#This Row],[DUT Ucty]])</f>
        <v>N/A</v>
      </c>
      <c r="Y1715" s="1" t="str">
        <f>IF(Table1[[#This Row],[Std Read]]="","N/A",Table1[[#This Row],[Std Read]]+Table1[[#This Row],[Std Ucty]])</f>
        <v>N/A</v>
      </c>
      <c r="Z17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5" s="1" t="str">
        <f>IF(Table1[[#This Row],[Spec Type]]="","N/A",Table1[[#This Row],[Spec Type]])</f>
        <v>±</v>
      </c>
      <c r="AC1715" s="1" t="str">
        <f>IF(Table1[[#This Row],[Spec Type2]]="N/A","N/A",IF(AND(Table1[[#This Row],[DUT Adj Read]]&gt;=Table1[[#This Row],[Low Tol]],Table1[[#This Row],[DUT Adj Read]]&lt;=Table1[[#This Row],[High Tol]]),"Pass","Fail"))</f>
        <v>Fail</v>
      </c>
      <c r="AD1715" s="1" t="str">
        <f>IF(AND(Table1[[#This Row],[Spec Type2]]="N/A",Table1[[#This Row],[DUT Adj Read]]="N/A",Table1[[#This Row],[Std Adj Read]]="N/A"),"N/A",IF(Table1[[#This Row],[DUT Adj Read]]="N/A",IF(Table1[[#This Row],[Std Adj Read]]&gt;Table1[[#This Row],[Low Tol]],"Pass","Fail"),IF(Table1[[#This Row],[DUT Adj Read]]&gt;Table1[[#This Row],[Low Tol]],"Pass","Fail")))</f>
        <v>Pass</v>
      </c>
      <c r="AE1715" s="1" t="str">
        <f>IF(AND(Table1[[#This Row],[Spec Type2]]="N/A",Table1[[#This Row],[DUT Adj Read]]="N/A",Table1[[#This Row],[Std Adj Read]]="N/A"),"N/A",IF(Table1[[#This Row],[DUT Adj Read]]="N/A",IF(Table1[[#This Row],[Std Adj Read]]&lt;Table1[[#This Row],[High Tol]],"Pass","Fail"),IF(Table1[[#This Row],[DUT Adj Read]]&lt;Table1[[#This Row],[High Tol]],"Pass","Fail")))</f>
        <v>Fail</v>
      </c>
      <c r="AF1715" s="1" t="str">
        <f>IF(AND(Table1[[#This Row],[Spec Type2]]="N/A",Table1[[#This Row],[DUT Adj Read]]="N/A",Table1[[#This Row],[Std Adj Read]]="N/A"),"N/A",IF(Table1[[#This Row],[DUT Adj Read]]="N/A",IF(Table1[[#This Row],[Std Adj Read]]&gt;=Table1[[#This Row],[Low Tol]],"Pass","Fail"),IF(Table1[[#This Row],[DUT Adj Read]]&gt;=Table1[[#This Row],[Low Tol]],"Pass","Fail")))</f>
        <v>Pass</v>
      </c>
      <c r="AG1715" s="1" t="str">
        <f>IF(AND(Table1[[#This Row],[Spec Type2]]="N/A",Table1[[#This Row],[DUT Adj Read]]="N/A",Table1[[#This Row],[Std Adj Read]]="N/A"),"N/A",IF(Table1[[#This Row],[DUT Adj Read]]="N/A",IF(Table1[[#This Row],[Std Adj Read]]&lt;=Table1[[#This Row],[High Tol]],"Pass","Fail"),IF(Table1[[#This Row],[DUT Adj Read]]&lt;=Table1[[#This Row],[High Tol]],"Pass","Fail")))</f>
        <v>Fail</v>
      </c>
      <c r="AH17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5" s="1" t="b">
        <v>0</v>
      </c>
      <c r="AN1715" s="1" t="b">
        <v>0</v>
      </c>
      <c r="AO1715" s="1" t="b">
        <v>0</v>
      </c>
    </row>
    <row r="1716" spans="1:41" x14ac:dyDescent="0.25">
      <c r="A1716" s="10"/>
      <c r="B1716" s="10"/>
      <c r="C1716" s="10"/>
      <c r="D1716" s="10"/>
      <c r="E1716" s="10"/>
      <c r="F1716" s="10"/>
      <c r="G1716" s="10"/>
      <c r="H1716" s="10"/>
      <c r="I1716" s="1" t="str">
        <f t="shared" si="78"/>
        <v/>
      </c>
      <c r="J1716" s="1" t="s">
        <v>35</v>
      </c>
      <c r="K1716" s="1" t="str">
        <f t="shared" si="79"/>
        <v/>
      </c>
      <c r="L1716" s="1" t="str">
        <f t="shared" si="80"/>
        <v/>
      </c>
      <c r="M1716" s="1">
        <f>IF(OR(Table1[[#This Row],[Std Nom]]="",Table1[[#This Row],[Std Read]]=""),0,Table1[[#This Row],[Std Nom]]-Table1[[#This Row],[Std Read]])</f>
        <v>0</v>
      </c>
      <c r="N1716" s="1">
        <f>IF(Calculations!$F$5="ACCREDITED 17025 WITH UNCERTAINTIES",$N$10,0)</f>
        <v>0</v>
      </c>
      <c r="O1716" s="1" t="str">
        <f>IFERROR(Table1[[#This Row],[Std Nom]]-(_xlfn.XLOOKUP(Table1[[#This Row],[Manufacturer]]&amp;" "&amp;Table1[[#This Row],[Model]],Table13[MFR &amp; MDL],Table13[Tolerance % CW ],"")/100*Table1[[#This Row],[Std Nom]]),"")</f>
        <v/>
      </c>
      <c r="P1716" s="1" t="str">
        <f>IFERROR(Table1[[#This Row],[Std Nom]]+(_xlfn.XLOOKUP(Table1[[#This Row],[Manufacturer]]&amp;" "&amp;Table1[[#This Row],[Model]],Table13[MFR &amp; MDL],Table13[Tolerance % CW ],"")/100*Table1[[#This Row],[Std Nom]]),"")</f>
        <v/>
      </c>
      <c r="Q1716" s="1" t="e">
        <f>Table1[[#This Row],[High Tol]]-Table1[[#This Row],[Low Tol]]</f>
        <v>#VALUE!</v>
      </c>
      <c r="R1716" s="1">
        <f>2*Table1[[#This Row],[Std Error]]</f>
        <v>0</v>
      </c>
      <c r="S1716" s="1" t="str">
        <f>IF(Table1[[#This Row],[High Tol]]="","N/A",IFERROR(ABS(Table1[[#This Row],[Tol Span]]/Table1[[#This Row],[Error Span]]),"N/A"))</f>
        <v>N/A</v>
      </c>
      <c r="T1716" s="1" t="str">
        <f>IF(OR(Table1[[#This Row],[Low Tol]]="",Table1[[#This Row],[High Tol]]=""),"Needs Analysis",IF(Table1[[#This Row],[Ratio]]&gt;=4,"Not Significant",IF(Table1[[#This Row],[Ratio]]&gt;=2,"Semi-Significant","Significant")))</f>
        <v>Needs Analysis</v>
      </c>
      <c r="W1716" s="1">
        <f>IF(Table1[[#This Row],[Cal Type]]&lt;&gt;"ACCREDITED 17025 WITH UNCERTAINTIES",0,"")</f>
        <v>0</v>
      </c>
      <c r="X1716" s="1" t="str">
        <f>IF(Table1[[#This Row],[DUT Read]]="","N/A",Table1[[#This Row],[Std Error]]+Table1[[#This Row],[DUT Read]]+Table1[[#This Row],[DUT Ucty]])</f>
        <v>N/A</v>
      </c>
      <c r="Y1716" s="1" t="str">
        <f>IF(Table1[[#This Row],[Std Read]]="","N/A",Table1[[#This Row],[Std Read]]+Table1[[#This Row],[Std Ucty]])</f>
        <v>N/A</v>
      </c>
      <c r="Z17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6" s="1" t="str">
        <f>IF(Table1[[#This Row],[Spec Type]]="","N/A",Table1[[#This Row],[Spec Type]])</f>
        <v>±</v>
      </c>
      <c r="AC1716" s="1" t="str">
        <f>IF(Table1[[#This Row],[Spec Type2]]="N/A","N/A",IF(AND(Table1[[#This Row],[DUT Adj Read]]&gt;=Table1[[#This Row],[Low Tol]],Table1[[#This Row],[DUT Adj Read]]&lt;=Table1[[#This Row],[High Tol]]),"Pass","Fail"))</f>
        <v>Fail</v>
      </c>
      <c r="AD1716" s="1" t="str">
        <f>IF(AND(Table1[[#This Row],[Spec Type2]]="N/A",Table1[[#This Row],[DUT Adj Read]]="N/A",Table1[[#This Row],[Std Adj Read]]="N/A"),"N/A",IF(Table1[[#This Row],[DUT Adj Read]]="N/A",IF(Table1[[#This Row],[Std Adj Read]]&gt;Table1[[#This Row],[Low Tol]],"Pass","Fail"),IF(Table1[[#This Row],[DUT Adj Read]]&gt;Table1[[#This Row],[Low Tol]],"Pass","Fail")))</f>
        <v>Pass</v>
      </c>
      <c r="AE1716" s="1" t="str">
        <f>IF(AND(Table1[[#This Row],[Spec Type2]]="N/A",Table1[[#This Row],[DUT Adj Read]]="N/A",Table1[[#This Row],[Std Adj Read]]="N/A"),"N/A",IF(Table1[[#This Row],[DUT Adj Read]]="N/A",IF(Table1[[#This Row],[Std Adj Read]]&lt;Table1[[#This Row],[High Tol]],"Pass","Fail"),IF(Table1[[#This Row],[DUT Adj Read]]&lt;Table1[[#This Row],[High Tol]],"Pass","Fail")))</f>
        <v>Fail</v>
      </c>
      <c r="AF1716" s="1" t="str">
        <f>IF(AND(Table1[[#This Row],[Spec Type2]]="N/A",Table1[[#This Row],[DUT Adj Read]]="N/A",Table1[[#This Row],[Std Adj Read]]="N/A"),"N/A",IF(Table1[[#This Row],[DUT Adj Read]]="N/A",IF(Table1[[#This Row],[Std Adj Read]]&gt;=Table1[[#This Row],[Low Tol]],"Pass","Fail"),IF(Table1[[#This Row],[DUT Adj Read]]&gt;=Table1[[#This Row],[Low Tol]],"Pass","Fail")))</f>
        <v>Pass</v>
      </c>
      <c r="AG1716" s="1" t="str">
        <f>IF(AND(Table1[[#This Row],[Spec Type2]]="N/A",Table1[[#This Row],[DUT Adj Read]]="N/A",Table1[[#This Row],[Std Adj Read]]="N/A"),"N/A",IF(Table1[[#This Row],[DUT Adj Read]]="N/A",IF(Table1[[#This Row],[Std Adj Read]]&lt;=Table1[[#This Row],[High Tol]],"Pass","Fail"),IF(Table1[[#This Row],[DUT Adj Read]]&lt;=Table1[[#This Row],[High Tol]],"Pass","Fail")))</f>
        <v>Fail</v>
      </c>
      <c r="AH17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6" s="1" t="b">
        <v>0</v>
      </c>
      <c r="AN1716" s="1" t="b">
        <v>0</v>
      </c>
      <c r="AO1716" s="1" t="b">
        <v>0</v>
      </c>
    </row>
    <row r="1717" spans="1:41" x14ac:dyDescent="0.25">
      <c r="A1717" s="10"/>
      <c r="B1717" s="10"/>
      <c r="C1717" s="10"/>
      <c r="D1717" s="10"/>
      <c r="E1717" s="10"/>
      <c r="F1717" s="10"/>
      <c r="G1717" s="10"/>
      <c r="H1717" s="10"/>
      <c r="I1717" s="1" t="str">
        <f t="shared" si="78"/>
        <v/>
      </c>
      <c r="J1717" s="1" t="s">
        <v>35</v>
      </c>
      <c r="K1717" s="1" t="str">
        <f t="shared" si="79"/>
        <v/>
      </c>
      <c r="L1717" s="1" t="str">
        <f t="shared" si="80"/>
        <v/>
      </c>
      <c r="M1717" s="1">
        <f>IF(OR(Table1[[#This Row],[Std Nom]]="",Table1[[#This Row],[Std Read]]=""),0,Table1[[#This Row],[Std Nom]]-Table1[[#This Row],[Std Read]])</f>
        <v>0</v>
      </c>
      <c r="N1717" s="1">
        <f>IF(Calculations!$F$5="ACCREDITED 17025 WITH UNCERTAINTIES",$N$10,0)</f>
        <v>0</v>
      </c>
      <c r="O1717" s="1" t="str">
        <f>IFERROR(Table1[[#This Row],[Std Nom]]-(_xlfn.XLOOKUP(Table1[[#This Row],[Manufacturer]]&amp;" "&amp;Table1[[#This Row],[Model]],Table13[MFR &amp; MDL],Table13[Tolerance % CW ],"")/100*Table1[[#This Row],[Std Nom]]),"")</f>
        <v/>
      </c>
      <c r="P1717" s="1" t="str">
        <f>IFERROR(Table1[[#This Row],[Std Nom]]+(_xlfn.XLOOKUP(Table1[[#This Row],[Manufacturer]]&amp;" "&amp;Table1[[#This Row],[Model]],Table13[MFR &amp; MDL],Table13[Tolerance % CW ],"")/100*Table1[[#This Row],[Std Nom]]),"")</f>
        <v/>
      </c>
      <c r="Q1717" s="1" t="e">
        <f>Table1[[#This Row],[High Tol]]-Table1[[#This Row],[Low Tol]]</f>
        <v>#VALUE!</v>
      </c>
      <c r="R1717" s="1">
        <f>2*Table1[[#This Row],[Std Error]]</f>
        <v>0</v>
      </c>
      <c r="S1717" s="1" t="str">
        <f>IF(Table1[[#This Row],[High Tol]]="","N/A",IFERROR(ABS(Table1[[#This Row],[Tol Span]]/Table1[[#This Row],[Error Span]]),"N/A"))</f>
        <v>N/A</v>
      </c>
      <c r="T1717" s="1" t="str">
        <f>IF(OR(Table1[[#This Row],[Low Tol]]="",Table1[[#This Row],[High Tol]]=""),"Needs Analysis",IF(Table1[[#This Row],[Ratio]]&gt;=4,"Not Significant",IF(Table1[[#This Row],[Ratio]]&gt;=2,"Semi-Significant","Significant")))</f>
        <v>Needs Analysis</v>
      </c>
      <c r="W1717" s="1">
        <f>IF(Table1[[#This Row],[Cal Type]]&lt;&gt;"ACCREDITED 17025 WITH UNCERTAINTIES",0,"")</f>
        <v>0</v>
      </c>
      <c r="X1717" s="1" t="str">
        <f>IF(Table1[[#This Row],[DUT Read]]="","N/A",Table1[[#This Row],[Std Error]]+Table1[[#This Row],[DUT Read]]+Table1[[#This Row],[DUT Ucty]])</f>
        <v>N/A</v>
      </c>
      <c r="Y1717" s="1" t="str">
        <f>IF(Table1[[#This Row],[Std Read]]="","N/A",Table1[[#This Row],[Std Read]]+Table1[[#This Row],[Std Ucty]])</f>
        <v>N/A</v>
      </c>
      <c r="Z17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7" s="1" t="str">
        <f>IF(Table1[[#This Row],[Spec Type]]="","N/A",Table1[[#This Row],[Spec Type]])</f>
        <v>±</v>
      </c>
      <c r="AC1717" s="1" t="str">
        <f>IF(Table1[[#This Row],[Spec Type2]]="N/A","N/A",IF(AND(Table1[[#This Row],[DUT Adj Read]]&gt;=Table1[[#This Row],[Low Tol]],Table1[[#This Row],[DUT Adj Read]]&lt;=Table1[[#This Row],[High Tol]]),"Pass","Fail"))</f>
        <v>Fail</v>
      </c>
      <c r="AD1717" s="1" t="str">
        <f>IF(AND(Table1[[#This Row],[Spec Type2]]="N/A",Table1[[#This Row],[DUT Adj Read]]="N/A",Table1[[#This Row],[Std Adj Read]]="N/A"),"N/A",IF(Table1[[#This Row],[DUT Adj Read]]="N/A",IF(Table1[[#This Row],[Std Adj Read]]&gt;Table1[[#This Row],[Low Tol]],"Pass","Fail"),IF(Table1[[#This Row],[DUT Adj Read]]&gt;Table1[[#This Row],[Low Tol]],"Pass","Fail")))</f>
        <v>Pass</v>
      </c>
      <c r="AE1717" s="1" t="str">
        <f>IF(AND(Table1[[#This Row],[Spec Type2]]="N/A",Table1[[#This Row],[DUT Adj Read]]="N/A",Table1[[#This Row],[Std Adj Read]]="N/A"),"N/A",IF(Table1[[#This Row],[DUT Adj Read]]="N/A",IF(Table1[[#This Row],[Std Adj Read]]&lt;Table1[[#This Row],[High Tol]],"Pass","Fail"),IF(Table1[[#This Row],[DUT Adj Read]]&lt;Table1[[#This Row],[High Tol]],"Pass","Fail")))</f>
        <v>Fail</v>
      </c>
      <c r="AF1717" s="1" t="str">
        <f>IF(AND(Table1[[#This Row],[Spec Type2]]="N/A",Table1[[#This Row],[DUT Adj Read]]="N/A",Table1[[#This Row],[Std Adj Read]]="N/A"),"N/A",IF(Table1[[#This Row],[DUT Adj Read]]="N/A",IF(Table1[[#This Row],[Std Adj Read]]&gt;=Table1[[#This Row],[Low Tol]],"Pass","Fail"),IF(Table1[[#This Row],[DUT Adj Read]]&gt;=Table1[[#This Row],[Low Tol]],"Pass","Fail")))</f>
        <v>Pass</v>
      </c>
      <c r="AG1717" s="1" t="str">
        <f>IF(AND(Table1[[#This Row],[Spec Type2]]="N/A",Table1[[#This Row],[DUT Adj Read]]="N/A",Table1[[#This Row],[Std Adj Read]]="N/A"),"N/A",IF(Table1[[#This Row],[DUT Adj Read]]="N/A",IF(Table1[[#This Row],[Std Adj Read]]&lt;=Table1[[#This Row],[High Tol]],"Pass","Fail"),IF(Table1[[#This Row],[DUT Adj Read]]&lt;=Table1[[#This Row],[High Tol]],"Pass","Fail")))</f>
        <v>Fail</v>
      </c>
      <c r="AH17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7" s="1" t="b">
        <v>0</v>
      </c>
      <c r="AN1717" s="1" t="b">
        <v>0</v>
      </c>
      <c r="AO1717" s="1" t="b">
        <v>0</v>
      </c>
    </row>
    <row r="1718" spans="1:41" x14ac:dyDescent="0.25">
      <c r="A1718" s="10"/>
      <c r="B1718" s="10"/>
      <c r="C1718" s="10"/>
      <c r="D1718" s="10"/>
      <c r="E1718" s="10"/>
      <c r="F1718" s="10"/>
      <c r="G1718" s="10"/>
      <c r="H1718" s="10"/>
      <c r="I1718" s="1" t="str">
        <f t="shared" si="78"/>
        <v/>
      </c>
      <c r="J1718" s="1" t="s">
        <v>35</v>
      </c>
      <c r="K1718" s="1" t="str">
        <f t="shared" si="79"/>
        <v/>
      </c>
      <c r="L1718" s="1" t="str">
        <f t="shared" si="80"/>
        <v/>
      </c>
      <c r="M1718" s="1">
        <f>IF(OR(Table1[[#This Row],[Std Nom]]="",Table1[[#This Row],[Std Read]]=""),0,Table1[[#This Row],[Std Nom]]-Table1[[#This Row],[Std Read]])</f>
        <v>0</v>
      </c>
      <c r="N1718" s="1">
        <f>IF(Calculations!$F$5="ACCREDITED 17025 WITH UNCERTAINTIES",$N$10,0)</f>
        <v>0</v>
      </c>
      <c r="O1718" s="1" t="str">
        <f>IFERROR(Table1[[#This Row],[Std Nom]]-(_xlfn.XLOOKUP(Table1[[#This Row],[Manufacturer]]&amp;" "&amp;Table1[[#This Row],[Model]],Table13[MFR &amp; MDL],Table13[Tolerance % CW ],"")/100*Table1[[#This Row],[Std Nom]]),"")</f>
        <v/>
      </c>
      <c r="P1718" s="1" t="str">
        <f>IFERROR(Table1[[#This Row],[Std Nom]]+(_xlfn.XLOOKUP(Table1[[#This Row],[Manufacturer]]&amp;" "&amp;Table1[[#This Row],[Model]],Table13[MFR &amp; MDL],Table13[Tolerance % CW ],"")/100*Table1[[#This Row],[Std Nom]]),"")</f>
        <v/>
      </c>
      <c r="Q1718" s="1" t="e">
        <f>Table1[[#This Row],[High Tol]]-Table1[[#This Row],[Low Tol]]</f>
        <v>#VALUE!</v>
      </c>
      <c r="R1718" s="1">
        <f>2*Table1[[#This Row],[Std Error]]</f>
        <v>0</v>
      </c>
      <c r="S1718" s="1" t="str">
        <f>IF(Table1[[#This Row],[High Tol]]="","N/A",IFERROR(ABS(Table1[[#This Row],[Tol Span]]/Table1[[#This Row],[Error Span]]),"N/A"))</f>
        <v>N/A</v>
      </c>
      <c r="T1718" s="1" t="str">
        <f>IF(OR(Table1[[#This Row],[Low Tol]]="",Table1[[#This Row],[High Tol]]=""),"Needs Analysis",IF(Table1[[#This Row],[Ratio]]&gt;=4,"Not Significant",IF(Table1[[#This Row],[Ratio]]&gt;=2,"Semi-Significant","Significant")))</f>
        <v>Needs Analysis</v>
      </c>
      <c r="W1718" s="1">
        <f>IF(Table1[[#This Row],[Cal Type]]&lt;&gt;"ACCREDITED 17025 WITH UNCERTAINTIES",0,"")</f>
        <v>0</v>
      </c>
      <c r="X1718" s="1" t="str">
        <f>IF(Table1[[#This Row],[DUT Read]]="","N/A",Table1[[#This Row],[Std Error]]+Table1[[#This Row],[DUT Read]]+Table1[[#This Row],[DUT Ucty]])</f>
        <v>N/A</v>
      </c>
      <c r="Y1718" s="1" t="str">
        <f>IF(Table1[[#This Row],[Std Read]]="","N/A",Table1[[#This Row],[Std Read]]+Table1[[#This Row],[Std Ucty]])</f>
        <v>N/A</v>
      </c>
      <c r="Z17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8" s="1" t="str">
        <f>IF(Table1[[#This Row],[Spec Type]]="","N/A",Table1[[#This Row],[Spec Type]])</f>
        <v>±</v>
      </c>
      <c r="AC1718" s="1" t="str">
        <f>IF(Table1[[#This Row],[Spec Type2]]="N/A","N/A",IF(AND(Table1[[#This Row],[DUT Adj Read]]&gt;=Table1[[#This Row],[Low Tol]],Table1[[#This Row],[DUT Adj Read]]&lt;=Table1[[#This Row],[High Tol]]),"Pass","Fail"))</f>
        <v>Fail</v>
      </c>
      <c r="AD1718" s="1" t="str">
        <f>IF(AND(Table1[[#This Row],[Spec Type2]]="N/A",Table1[[#This Row],[DUT Adj Read]]="N/A",Table1[[#This Row],[Std Adj Read]]="N/A"),"N/A",IF(Table1[[#This Row],[DUT Adj Read]]="N/A",IF(Table1[[#This Row],[Std Adj Read]]&gt;Table1[[#This Row],[Low Tol]],"Pass","Fail"),IF(Table1[[#This Row],[DUT Adj Read]]&gt;Table1[[#This Row],[Low Tol]],"Pass","Fail")))</f>
        <v>Pass</v>
      </c>
      <c r="AE1718" s="1" t="str">
        <f>IF(AND(Table1[[#This Row],[Spec Type2]]="N/A",Table1[[#This Row],[DUT Adj Read]]="N/A",Table1[[#This Row],[Std Adj Read]]="N/A"),"N/A",IF(Table1[[#This Row],[DUT Adj Read]]="N/A",IF(Table1[[#This Row],[Std Adj Read]]&lt;Table1[[#This Row],[High Tol]],"Pass","Fail"),IF(Table1[[#This Row],[DUT Adj Read]]&lt;Table1[[#This Row],[High Tol]],"Pass","Fail")))</f>
        <v>Fail</v>
      </c>
      <c r="AF1718" s="1" t="str">
        <f>IF(AND(Table1[[#This Row],[Spec Type2]]="N/A",Table1[[#This Row],[DUT Adj Read]]="N/A",Table1[[#This Row],[Std Adj Read]]="N/A"),"N/A",IF(Table1[[#This Row],[DUT Adj Read]]="N/A",IF(Table1[[#This Row],[Std Adj Read]]&gt;=Table1[[#This Row],[Low Tol]],"Pass","Fail"),IF(Table1[[#This Row],[DUT Adj Read]]&gt;=Table1[[#This Row],[Low Tol]],"Pass","Fail")))</f>
        <v>Pass</v>
      </c>
      <c r="AG1718" s="1" t="str">
        <f>IF(AND(Table1[[#This Row],[Spec Type2]]="N/A",Table1[[#This Row],[DUT Adj Read]]="N/A",Table1[[#This Row],[Std Adj Read]]="N/A"),"N/A",IF(Table1[[#This Row],[DUT Adj Read]]="N/A",IF(Table1[[#This Row],[Std Adj Read]]&lt;=Table1[[#This Row],[High Tol]],"Pass","Fail"),IF(Table1[[#This Row],[DUT Adj Read]]&lt;=Table1[[#This Row],[High Tol]],"Pass","Fail")))</f>
        <v>Fail</v>
      </c>
      <c r="AH17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8" s="1" t="b">
        <v>0</v>
      </c>
      <c r="AN1718" s="1" t="b">
        <v>0</v>
      </c>
      <c r="AO1718" s="1" t="b">
        <v>0</v>
      </c>
    </row>
    <row r="1719" spans="1:41" x14ac:dyDescent="0.25">
      <c r="A1719" s="10"/>
      <c r="B1719" s="10"/>
      <c r="C1719" s="10"/>
      <c r="D1719" s="10"/>
      <c r="E1719" s="10"/>
      <c r="F1719" s="10"/>
      <c r="G1719" s="10"/>
      <c r="H1719" s="10"/>
      <c r="I1719" s="1" t="str">
        <f t="shared" si="78"/>
        <v/>
      </c>
      <c r="J1719" s="1" t="s">
        <v>35</v>
      </c>
      <c r="K1719" s="1" t="str">
        <f t="shared" si="79"/>
        <v/>
      </c>
      <c r="L1719" s="1" t="str">
        <f t="shared" si="80"/>
        <v/>
      </c>
      <c r="M1719" s="1">
        <f>IF(OR(Table1[[#This Row],[Std Nom]]="",Table1[[#This Row],[Std Read]]=""),0,Table1[[#This Row],[Std Nom]]-Table1[[#This Row],[Std Read]])</f>
        <v>0</v>
      </c>
      <c r="N1719" s="1">
        <f>IF(Calculations!$F$5="ACCREDITED 17025 WITH UNCERTAINTIES",$N$10,0)</f>
        <v>0</v>
      </c>
      <c r="O1719" s="1" t="str">
        <f>IFERROR(Table1[[#This Row],[Std Nom]]-(_xlfn.XLOOKUP(Table1[[#This Row],[Manufacturer]]&amp;" "&amp;Table1[[#This Row],[Model]],Table13[MFR &amp; MDL],Table13[Tolerance % CW ],"")/100*Table1[[#This Row],[Std Nom]]),"")</f>
        <v/>
      </c>
      <c r="P1719" s="1" t="str">
        <f>IFERROR(Table1[[#This Row],[Std Nom]]+(_xlfn.XLOOKUP(Table1[[#This Row],[Manufacturer]]&amp;" "&amp;Table1[[#This Row],[Model]],Table13[MFR &amp; MDL],Table13[Tolerance % CW ],"")/100*Table1[[#This Row],[Std Nom]]),"")</f>
        <v/>
      </c>
      <c r="Q1719" s="1" t="e">
        <f>Table1[[#This Row],[High Tol]]-Table1[[#This Row],[Low Tol]]</f>
        <v>#VALUE!</v>
      </c>
      <c r="R1719" s="1">
        <f>2*Table1[[#This Row],[Std Error]]</f>
        <v>0</v>
      </c>
      <c r="S1719" s="1" t="str">
        <f>IF(Table1[[#This Row],[High Tol]]="","N/A",IFERROR(ABS(Table1[[#This Row],[Tol Span]]/Table1[[#This Row],[Error Span]]),"N/A"))</f>
        <v>N/A</v>
      </c>
      <c r="T1719" s="1" t="str">
        <f>IF(OR(Table1[[#This Row],[Low Tol]]="",Table1[[#This Row],[High Tol]]=""),"Needs Analysis",IF(Table1[[#This Row],[Ratio]]&gt;=4,"Not Significant",IF(Table1[[#This Row],[Ratio]]&gt;=2,"Semi-Significant","Significant")))</f>
        <v>Needs Analysis</v>
      </c>
      <c r="W1719" s="1">
        <f>IF(Table1[[#This Row],[Cal Type]]&lt;&gt;"ACCREDITED 17025 WITH UNCERTAINTIES",0,"")</f>
        <v>0</v>
      </c>
      <c r="X1719" s="1" t="str">
        <f>IF(Table1[[#This Row],[DUT Read]]="","N/A",Table1[[#This Row],[Std Error]]+Table1[[#This Row],[DUT Read]]+Table1[[#This Row],[DUT Ucty]])</f>
        <v>N/A</v>
      </c>
      <c r="Y1719" s="1" t="str">
        <f>IF(Table1[[#This Row],[Std Read]]="","N/A",Table1[[#This Row],[Std Read]]+Table1[[#This Row],[Std Ucty]])</f>
        <v>N/A</v>
      </c>
      <c r="Z17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9" s="1" t="str">
        <f>IF(Table1[[#This Row],[Spec Type]]="","N/A",Table1[[#This Row],[Spec Type]])</f>
        <v>±</v>
      </c>
      <c r="AC1719" s="1" t="str">
        <f>IF(Table1[[#This Row],[Spec Type2]]="N/A","N/A",IF(AND(Table1[[#This Row],[DUT Adj Read]]&gt;=Table1[[#This Row],[Low Tol]],Table1[[#This Row],[DUT Adj Read]]&lt;=Table1[[#This Row],[High Tol]]),"Pass","Fail"))</f>
        <v>Fail</v>
      </c>
      <c r="AD1719" s="1" t="str">
        <f>IF(AND(Table1[[#This Row],[Spec Type2]]="N/A",Table1[[#This Row],[DUT Adj Read]]="N/A",Table1[[#This Row],[Std Adj Read]]="N/A"),"N/A",IF(Table1[[#This Row],[DUT Adj Read]]="N/A",IF(Table1[[#This Row],[Std Adj Read]]&gt;Table1[[#This Row],[Low Tol]],"Pass","Fail"),IF(Table1[[#This Row],[DUT Adj Read]]&gt;Table1[[#This Row],[Low Tol]],"Pass","Fail")))</f>
        <v>Pass</v>
      </c>
      <c r="AE1719" s="1" t="str">
        <f>IF(AND(Table1[[#This Row],[Spec Type2]]="N/A",Table1[[#This Row],[DUT Adj Read]]="N/A",Table1[[#This Row],[Std Adj Read]]="N/A"),"N/A",IF(Table1[[#This Row],[DUT Adj Read]]="N/A",IF(Table1[[#This Row],[Std Adj Read]]&lt;Table1[[#This Row],[High Tol]],"Pass","Fail"),IF(Table1[[#This Row],[DUT Adj Read]]&lt;Table1[[#This Row],[High Tol]],"Pass","Fail")))</f>
        <v>Fail</v>
      </c>
      <c r="AF1719" s="1" t="str">
        <f>IF(AND(Table1[[#This Row],[Spec Type2]]="N/A",Table1[[#This Row],[DUT Adj Read]]="N/A",Table1[[#This Row],[Std Adj Read]]="N/A"),"N/A",IF(Table1[[#This Row],[DUT Adj Read]]="N/A",IF(Table1[[#This Row],[Std Adj Read]]&gt;=Table1[[#This Row],[Low Tol]],"Pass","Fail"),IF(Table1[[#This Row],[DUT Adj Read]]&gt;=Table1[[#This Row],[Low Tol]],"Pass","Fail")))</f>
        <v>Pass</v>
      </c>
      <c r="AG1719" s="1" t="str">
        <f>IF(AND(Table1[[#This Row],[Spec Type2]]="N/A",Table1[[#This Row],[DUT Adj Read]]="N/A",Table1[[#This Row],[Std Adj Read]]="N/A"),"N/A",IF(Table1[[#This Row],[DUT Adj Read]]="N/A",IF(Table1[[#This Row],[Std Adj Read]]&lt;=Table1[[#This Row],[High Tol]],"Pass","Fail"),IF(Table1[[#This Row],[DUT Adj Read]]&lt;=Table1[[#This Row],[High Tol]],"Pass","Fail")))</f>
        <v>Fail</v>
      </c>
      <c r="AH17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9" s="1" t="b">
        <v>0</v>
      </c>
      <c r="AN1719" s="1" t="b">
        <v>0</v>
      </c>
      <c r="AO1719" s="1" t="b">
        <v>0</v>
      </c>
    </row>
    <row r="1720" spans="1:41" x14ac:dyDescent="0.25">
      <c r="A1720" s="10"/>
      <c r="B1720" s="10"/>
      <c r="C1720" s="10"/>
      <c r="D1720" s="10"/>
      <c r="E1720" s="10"/>
      <c r="F1720" s="10"/>
      <c r="G1720" s="10"/>
      <c r="H1720" s="10"/>
      <c r="I1720" s="1" t="str">
        <f t="shared" si="78"/>
        <v/>
      </c>
      <c r="J1720" s="1" t="s">
        <v>35</v>
      </c>
      <c r="K1720" s="1" t="str">
        <f t="shared" si="79"/>
        <v/>
      </c>
      <c r="L1720" s="1" t="str">
        <f t="shared" si="80"/>
        <v/>
      </c>
      <c r="M1720" s="1">
        <f>IF(OR(Table1[[#This Row],[Std Nom]]="",Table1[[#This Row],[Std Read]]=""),0,Table1[[#This Row],[Std Nom]]-Table1[[#This Row],[Std Read]])</f>
        <v>0</v>
      </c>
      <c r="N1720" s="1">
        <f>IF(Calculations!$F$5="ACCREDITED 17025 WITH UNCERTAINTIES",$N$10,0)</f>
        <v>0</v>
      </c>
      <c r="O1720" s="1" t="str">
        <f>IFERROR(Table1[[#This Row],[Std Nom]]-(_xlfn.XLOOKUP(Table1[[#This Row],[Manufacturer]]&amp;" "&amp;Table1[[#This Row],[Model]],Table13[MFR &amp; MDL],Table13[Tolerance % CW ],"")/100*Table1[[#This Row],[Std Nom]]),"")</f>
        <v/>
      </c>
      <c r="P1720" s="1" t="str">
        <f>IFERROR(Table1[[#This Row],[Std Nom]]+(_xlfn.XLOOKUP(Table1[[#This Row],[Manufacturer]]&amp;" "&amp;Table1[[#This Row],[Model]],Table13[MFR &amp; MDL],Table13[Tolerance % CW ],"")/100*Table1[[#This Row],[Std Nom]]),"")</f>
        <v/>
      </c>
      <c r="Q1720" s="1" t="e">
        <f>Table1[[#This Row],[High Tol]]-Table1[[#This Row],[Low Tol]]</f>
        <v>#VALUE!</v>
      </c>
      <c r="R1720" s="1">
        <f>2*Table1[[#This Row],[Std Error]]</f>
        <v>0</v>
      </c>
      <c r="S1720" s="1" t="str">
        <f>IF(Table1[[#This Row],[High Tol]]="","N/A",IFERROR(ABS(Table1[[#This Row],[Tol Span]]/Table1[[#This Row],[Error Span]]),"N/A"))</f>
        <v>N/A</v>
      </c>
      <c r="T1720" s="1" t="str">
        <f>IF(OR(Table1[[#This Row],[Low Tol]]="",Table1[[#This Row],[High Tol]]=""),"Needs Analysis",IF(Table1[[#This Row],[Ratio]]&gt;=4,"Not Significant",IF(Table1[[#This Row],[Ratio]]&gt;=2,"Semi-Significant","Significant")))</f>
        <v>Needs Analysis</v>
      </c>
      <c r="W1720" s="1">
        <f>IF(Table1[[#This Row],[Cal Type]]&lt;&gt;"ACCREDITED 17025 WITH UNCERTAINTIES",0,"")</f>
        <v>0</v>
      </c>
      <c r="X1720" s="1" t="str">
        <f>IF(Table1[[#This Row],[DUT Read]]="","N/A",Table1[[#This Row],[Std Error]]+Table1[[#This Row],[DUT Read]]+Table1[[#This Row],[DUT Ucty]])</f>
        <v>N/A</v>
      </c>
      <c r="Y1720" s="1" t="str">
        <f>IF(Table1[[#This Row],[Std Read]]="","N/A",Table1[[#This Row],[Std Read]]+Table1[[#This Row],[Std Ucty]])</f>
        <v>N/A</v>
      </c>
      <c r="Z17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0" s="1" t="str">
        <f>IF(Table1[[#This Row],[Spec Type]]="","N/A",Table1[[#This Row],[Spec Type]])</f>
        <v>±</v>
      </c>
      <c r="AC1720" s="1" t="str">
        <f>IF(Table1[[#This Row],[Spec Type2]]="N/A","N/A",IF(AND(Table1[[#This Row],[DUT Adj Read]]&gt;=Table1[[#This Row],[Low Tol]],Table1[[#This Row],[DUT Adj Read]]&lt;=Table1[[#This Row],[High Tol]]),"Pass","Fail"))</f>
        <v>Fail</v>
      </c>
      <c r="AD1720" s="1" t="str">
        <f>IF(AND(Table1[[#This Row],[Spec Type2]]="N/A",Table1[[#This Row],[DUT Adj Read]]="N/A",Table1[[#This Row],[Std Adj Read]]="N/A"),"N/A",IF(Table1[[#This Row],[DUT Adj Read]]="N/A",IF(Table1[[#This Row],[Std Adj Read]]&gt;Table1[[#This Row],[Low Tol]],"Pass","Fail"),IF(Table1[[#This Row],[DUT Adj Read]]&gt;Table1[[#This Row],[Low Tol]],"Pass","Fail")))</f>
        <v>Pass</v>
      </c>
      <c r="AE1720" s="1" t="str">
        <f>IF(AND(Table1[[#This Row],[Spec Type2]]="N/A",Table1[[#This Row],[DUT Adj Read]]="N/A",Table1[[#This Row],[Std Adj Read]]="N/A"),"N/A",IF(Table1[[#This Row],[DUT Adj Read]]="N/A",IF(Table1[[#This Row],[Std Adj Read]]&lt;Table1[[#This Row],[High Tol]],"Pass","Fail"),IF(Table1[[#This Row],[DUT Adj Read]]&lt;Table1[[#This Row],[High Tol]],"Pass","Fail")))</f>
        <v>Fail</v>
      </c>
      <c r="AF1720" s="1" t="str">
        <f>IF(AND(Table1[[#This Row],[Spec Type2]]="N/A",Table1[[#This Row],[DUT Adj Read]]="N/A",Table1[[#This Row],[Std Adj Read]]="N/A"),"N/A",IF(Table1[[#This Row],[DUT Adj Read]]="N/A",IF(Table1[[#This Row],[Std Adj Read]]&gt;=Table1[[#This Row],[Low Tol]],"Pass","Fail"),IF(Table1[[#This Row],[DUT Adj Read]]&gt;=Table1[[#This Row],[Low Tol]],"Pass","Fail")))</f>
        <v>Pass</v>
      </c>
      <c r="AG1720" s="1" t="str">
        <f>IF(AND(Table1[[#This Row],[Spec Type2]]="N/A",Table1[[#This Row],[DUT Adj Read]]="N/A",Table1[[#This Row],[Std Adj Read]]="N/A"),"N/A",IF(Table1[[#This Row],[DUT Adj Read]]="N/A",IF(Table1[[#This Row],[Std Adj Read]]&lt;=Table1[[#This Row],[High Tol]],"Pass","Fail"),IF(Table1[[#This Row],[DUT Adj Read]]&lt;=Table1[[#This Row],[High Tol]],"Pass","Fail")))</f>
        <v>Fail</v>
      </c>
      <c r="AH17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0" s="1" t="b">
        <v>0</v>
      </c>
      <c r="AN1720" s="1" t="b">
        <v>0</v>
      </c>
      <c r="AO1720" s="1" t="b">
        <v>0</v>
      </c>
    </row>
    <row r="1721" spans="1:41" x14ac:dyDescent="0.25">
      <c r="A1721" s="10"/>
      <c r="B1721" s="10"/>
      <c r="C1721" s="10"/>
      <c r="D1721" s="10"/>
      <c r="E1721" s="10"/>
      <c r="F1721" s="10"/>
      <c r="G1721" s="10"/>
      <c r="H1721" s="10"/>
      <c r="I1721" s="1" t="str">
        <f t="shared" si="78"/>
        <v/>
      </c>
      <c r="J1721" s="1" t="s">
        <v>35</v>
      </c>
      <c r="K1721" s="1" t="str">
        <f t="shared" si="79"/>
        <v/>
      </c>
      <c r="L1721" s="1" t="str">
        <f t="shared" si="80"/>
        <v/>
      </c>
      <c r="M1721" s="1">
        <f>IF(OR(Table1[[#This Row],[Std Nom]]="",Table1[[#This Row],[Std Read]]=""),0,Table1[[#This Row],[Std Nom]]-Table1[[#This Row],[Std Read]])</f>
        <v>0</v>
      </c>
      <c r="N1721" s="1">
        <f>IF(Calculations!$F$5="ACCREDITED 17025 WITH UNCERTAINTIES",$N$10,0)</f>
        <v>0</v>
      </c>
      <c r="O1721" s="1" t="str">
        <f>IFERROR(Table1[[#This Row],[Std Nom]]-(_xlfn.XLOOKUP(Table1[[#This Row],[Manufacturer]]&amp;" "&amp;Table1[[#This Row],[Model]],Table13[MFR &amp; MDL],Table13[Tolerance % CW ],"")/100*Table1[[#This Row],[Std Nom]]),"")</f>
        <v/>
      </c>
      <c r="P1721" s="1" t="str">
        <f>IFERROR(Table1[[#This Row],[Std Nom]]+(_xlfn.XLOOKUP(Table1[[#This Row],[Manufacturer]]&amp;" "&amp;Table1[[#This Row],[Model]],Table13[MFR &amp; MDL],Table13[Tolerance % CW ],"")/100*Table1[[#This Row],[Std Nom]]),"")</f>
        <v/>
      </c>
      <c r="Q1721" s="1" t="e">
        <f>Table1[[#This Row],[High Tol]]-Table1[[#This Row],[Low Tol]]</f>
        <v>#VALUE!</v>
      </c>
      <c r="R1721" s="1">
        <f>2*Table1[[#This Row],[Std Error]]</f>
        <v>0</v>
      </c>
      <c r="S1721" s="1" t="str">
        <f>IF(Table1[[#This Row],[High Tol]]="","N/A",IFERROR(ABS(Table1[[#This Row],[Tol Span]]/Table1[[#This Row],[Error Span]]),"N/A"))</f>
        <v>N/A</v>
      </c>
      <c r="T1721" s="1" t="str">
        <f>IF(OR(Table1[[#This Row],[Low Tol]]="",Table1[[#This Row],[High Tol]]=""),"Needs Analysis",IF(Table1[[#This Row],[Ratio]]&gt;=4,"Not Significant",IF(Table1[[#This Row],[Ratio]]&gt;=2,"Semi-Significant","Significant")))</f>
        <v>Needs Analysis</v>
      </c>
      <c r="W1721" s="1">
        <f>IF(Table1[[#This Row],[Cal Type]]&lt;&gt;"ACCREDITED 17025 WITH UNCERTAINTIES",0,"")</f>
        <v>0</v>
      </c>
      <c r="X1721" s="1" t="str">
        <f>IF(Table1[[#This Row],[DUT Read]]="","N/A",Table1[[#This Row],[Std Error]]+Table1[[#This Row],[DUT Read]]+Table1[[#This Row],[DUT Ucty]])</f>
        <v>N/A</v>
      </c>
      <c r="Y1721" s="1" t="str">
        <f>IF(Table1[[#This Row],[Std Read]]="","N/A",Table1[[#This Row],[Std Read]]+Table1[[#This Row],[Std Ucty]])</f>
        <v>N/A</v>
      </c>
      <c r="Z17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1" s="1" t="str">
        <f>IF(Table1[[#This Row],[Spec Type]]="","N/A",Table1[[#This Row],[Spec Type]])</f>
        <v>±</v>
      </c>
      <c r="AC1721" s="1" t="str">
        <f>IF(Table1[[#This Row],[Spec Type2]]="N/A","N/A",IF(AND(Table1[[#This Row],[DUT Adj Read]]&gt;=Table1[[#This Row],[Low Tol]],Table1[[#This Row],[DUT Adj Read]]&lt;=Table1[[#This Row],[High Tol]]),"Pass","Fail"))</f>
        <v>Fail</v>
      </c>
      <c r="AD1721" s="1" t="str">
        <f>IF(AND(Table1[[#This Row],[Spec Type2]]="N/A",Table1[[#This Row],[DUT Adj Read]]="N/A",Table1[[#This Row],[Std Adj Read]]="N/A"),"N/A",IF(Table1[[#This Row],[DUT Adj Read]]="N/A",IF(Table1[[#This Row],[Std Adj Read]]&gt;Table1[[#This Row],[Low Tol]],"Pass","Fail"),IF(Table1[[#This Row],[DUT Adj Read]]&gt;Table1[[#This Row],[Low Tol]],"Pass","Fail")))</f>
        <v>Pass</v>
      </c>
      <c r="AE1721" s="1" t="str">
        <f>IF(AND(Table1[[#This Row],[Spec Type2]]="N/A",Table1[[#This Row],[DUT Adj Read]]="N/A",Table1[[#This Row],[Std Adj Read]]="N/A"),"N/A",IF(Table1[[#This Row],[DUT Adj Read]]="N/A",IF(Table1[[#This Row],[Std Adj Read]]&lt;Table1[[#This Row],[High Tol]],"Pass","Fail"),IF(Table1[[#This Row],[DUT Adj Read]]&lt;Table1[[#This Row],[High Tol]],"Pass","Fail")))</f>
        <v>Fail</v>
      </c>
      <c r="AF1721" s="1" t="str">
        <f>IF(AND(Table1[[#This Row],[Spec Type2]]="N/A",Table1[[#This Row],[DUT Adj Read]]="N/A",Table1[[#This Row],[Std Adj Read]]="N/A"),"N/A",IF(Table1[[#This Row],[DUT Adj Read]]="N/A",IF(Table1[[#This Row],[Std Adj Read]]&gt;=Table1[[#This Row],[Low Tol]],"Pass","Fail"),IF(Table1[[#This Row],[DUT Adj Read]]&gt;=Table1[[#This Row],[Low Tol]],"Pass","Fail")))</f>
        <v>Pass</v>
      </c>
      <c r="AG1721" s="1" t="str">
        <f>IF(AND(Table1[[#This Row],[Spec Type2]]="N/A",Table1[[#This Row],[DUT Adj Read]]="N/A",Table1[[#This Row],[Std Adj Read]]="N/A"),"N/A",IF(Table1[[#This Row],[DUT Adj Read]]="N/A",IF(Table1[[#This Row],[Std Adj Read]]&lt;=Table1[[#This Row],[High Tol]],"Pass","Fail"),IF(Table1[[#This Row],[DUT Adj Read]]&lt;=Table1[[#This Row],[High Tol]],"Pass","Fail")))</f>
        <v>Fail</v>
      </c>
      <c r="AH17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1" s="1" t="b">
        <v>0</v>
      </c>
      <c r="AN1721" s="1" t="b">
        <v>0</v>
      </c>
      <c r="AO1721" s="1" t="b">
        <v>0</v>
      </c>
    </row>
    <row r="1722" spans="1:41" x14ac:dyDescent="0.25">
      <c r="A1722" s="10"/>
      <c r="B1722" s="10"/>
      <c r="C1722" s="10"/>
      <c r="D1722" s="10"/>
      <c r="E1722" s="10"/>
      <c r="F1722" s="10"/>
      <c r="G1722" s="10"/>
      <c r="H1722" s="10"/>
      <c r="I1722" s="1" t="str">
        <f t="shared" si="78"/>
        <v/>
      </c>
      <c r="J1722" s="1" t="s">
        <v>35</v>
      </c>
      <c r="K1722" s="1" t="str">
        <f t="shared" si="79"/>
        <v/>
      </c>
      <c r="L1722" s="1" t="str">
        <f t="shared" si="80"/>
        <v/>
      </c>
      <c r="M1722" s="1">
        <f>IF(OR(Table1[[#This Row],[Std Nom]]="",Table1[[#This Row],[Std Read]]=""),0,Table1[[#This Row],[Std Nom]]-Table1[[#This Row],[Std Read]])</f>
        <v>0</v>
      </c>
      <c r="N1722" s="1">
        <f>IF(Calculations!$F$5="ACCREDITED 17025 WITH UNCERTAINTIES",$N$10,0)</f>
        <v>0</v>
      </c>
      <c r="O1722" s="1" t="str">
        <f>IFERROR(Table1[[#This Row],[Std Nom]]-(_xlfn.XLOOKUP(Table1[[#This Row],[Manufacturer]]&amp;" "&amp;Table1[[#This Row],[Model]],Table13[MFR &amp; MDL],Table13[Tolerance % CW ],"")/100*Table1[[#This Row],[Std Nom]]),"")</f>
        <v/>
      </c>
      <c r="P1722" s="1" t="str">
        <f>IFERROR(Table1[[#This Row],[Std Nom]]+(_xlfn.XLOOKUP(Table1[[#This Row],[Manufacturer]]&amp;" "&amp;Table1[[#This Row],[Model]],Table13[MFR &amp; MDL],Table13[Tolerance % CW ],"")/100*Table1[[#This Row],[Std Nom]]),"")</f>
        <v/>
      </c>
      <c r="Q1722" s="1" t="e">
        <f>Table1[[#This Row],[High Tol]]-Table1[[#This Row],[Low Tol]]</f>
        <v>#VALUE!</v>
      </c>
      <c r="R1722" s="1">
        <f>2*Table1[[#This Row],[Std Error]]</f>
        <v>0</v>
      </c>
      <c r="S1722" s="1" t="str">
        <f>IF(Table1[[#This Row],[High Tol]]="","N/A",IFERROR(ABS(Table1[[#This Row],[Tol Span]]/Table1[[#This Row],[Error Span]]),"N/A"))</f>
        <v>N/A</v>
      </c>
      <c r="T1722" s="1" t="str">
        <f>IF(OR(Table1[[#This Row],[Low Tol]]="",Table1[[#This Row],[High Tol]]=""),"Needs Analysis",IF(Table1[[#This Row],[Ratio]]&gt;=4,"Not Significant",IF(Table1[[#This Row],[Ratio]]&gt;=2,"Semi-Significant","Significant")))</f>
        <v>Needs Analysis</v>
      </c>
      <c r="W1722" s="1">
        <f>IF(Table1[[#This Row],[Cal Type]]&lt;&gt;"ACCREDITED 17025 WITH UNCERTAINTIES",0,"")</f>
        <v>0</v>
      </c>
      <c r="X1722" s="1" t="str">
        <f>IF(Table1[[#This Row],[DUT Read]]="","N/A",Table1[[#This Row],[Std Error]]+Table1[[#This Row],[DUT Read]]+Table1[[#This Row],[DUT Ucty]])</f>
        <v>N/A</v>
      </c>
      <c r="Y1722" s="1" t="str">
        <f>IF(Table1[[#This Row],[Std Read]]="","N/A",Table1[[#This Row],[Std Read]]+Table1[[#This Row],[Std Ucty]])</f>
        <v>N/A</v>
      </c>
      <c r="Z17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2" s="1" t="str">
        <f>IF(Table1[[#This Row],[Spec Type]]="","N/A",Table1[[#This Row],[Spec Type]])</f>
        <v>±</v>
      </c>
      <c r="AC1722" s="1" t="str">
        <f>IF(Table1[[#This Row],[Spec Type2]]="N/A","N/A",IF(AND(Table1[[#This Row],[DUT Adj Read]]&gt;=Table1[[#This Row],[Low Tol]],Table1[[#This Row],[DUT Adj Read]]&lt;=Table1[[#This Row],[High Tol]]),"Pass","Fail"))</f>
        <v>Fail</v>
      </c>
      <c r="AD1722" s="1" t="str">
        <f>IF(AND(Table1[[#This Row],[Spec Type2]]="N/A",Table1[[#This Row],[DUT Adj Read]]="N/A",Table1[[#This Row],[Std Adj Read]]="N/A"),"N/A",IF(Table1[[#This Row],[DUT Adj Read]]="N/A",IF(Table1[[#This Row],[Std Adj Read]]&gt;Table1[[#This Row],[Low Tol]],"Pass","Fail"),IF(Table1[[#This Row],[DUT Adj Read]]&gt;Table1[[#This Row],[Low Tol]],"Pass","Fail")))</f>
        <v>Pass</v>
      </c>
      <c r="AE1722" s="1" t="str">
        <f>IF(AND(Table1[[#This Row],[Spec Type2]]="N/A",Table1[[#This Row],[DUT Adj Read]]="N/A",Table1[[#This Row],[Std Adj Read]]="N/A"),"N/A",IF(Table1[[#This Row],[DUT Adj Read]]="N/A",IF(Table1[[#This Row],[Std Adj Read]]&lt;Table1[[#This Row],[High Tol]],"Pass","Fail"),IF(Table1[[#This Row],[DUT Adj Read]]&lt;Table1[[#This Row],[High Tol]],"Pass","Fail")))</f>
        <v>Fail</v>
      </c>
      <c r="AF1722" s="1" t="str">
        <f>IF(AND(Table1[[#This Row],[Spec Type2]]="N/A",Table1[[#This Row],[DUT Adj Read]]="N/A",Table1[[#This Row],[Std Adj Read]]="N/A"),"N/A",IF(Table1[[#This Row],[DUT Adj Read]]="N/A",IF(Table1[[#This Row],[Std Adj Read]]&gt;=Table1[[#This Row],[Low Tol]],"Pass","Fail"),IF(Table1[[#This Row],[DUT Adj Read]]&gt;=Table1[[#This Row],[Low Tol]],"Pass","Fail")))</f>
        <v>Pass</v>
      </c>
      <c r="AG1722" s="1" t="str">
        <f>IF(AND(Table1[[#This Row],[Spec Type2]]="N/A",Table1[[#This Row],[DUT Adj Read]]="N/A",Table1[[#This Row],[Std Adj Read]]="N/A"),"N/A",IF(Table1[[#This Row],[DUT Adj Read]]="N/A",IF(Table1[[#This Row],[Std Adj Read]]&lt;=Table1[[#This Row],[High Tol]],"Pass","Fail"),IF(Table1[[#This Row],[DUT Adj Read]]&lt;=Table1[[#This Row],[High Tol]],"Pass","Fail")))</f>
        <v>Fail</v>
      </c>
      <c r="AH17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2" s="1" t="b">
        <v>0</v>
      </c>
      <c r="AN1722" s="1" t="b">
        <v>0</v>
      </c>
      <c r="AO1722" s="1" t="b">
        <v>0</v>
      </c>
    </row>
    <row r="1723" spans="1:41" x14ac:dyDescent="0.25">
      <c r="A1723" s="10"/>
      <c r="B1723" s="10"/>
      <c r="C1723" s="10"/>
      <c r="D1723" s="10"/>
      <c r="E1723" s="10"/>
      <c r="F1723" s="10"/>
      <c r="G1723" s="10"/>
      <c r="H1723" s="10"/>
      <c r="I1723" s="1" t="str">
        <f t="shared" si="78"/>
        <v/>
      </c>
      <c r="J1723" s="1" t="s">
        <v>35</v>
      </c>
      <c r="K1723" s="1" t="str">
        <f t="shared" si="79"/>
        <v/>
      </c>
      <c r="L1723" s="1" t="str">
        <f t="shared" si="80"/>
        <v/>
      </c>
      <c r="M1723" s="1">
        <f>IF(OR(Table1[[#This Row],[Std Nom]]="",Table1[[#This Row],[Std Read]]=""),0,Table1[[#This Row],[Std Nom]]-Table1[[#This Row],[Std Read]])</f>
        <v>0</v>
      </c>
      <c r="N1723" s="1">
        <f>IF(Calculations!$F$5="ACCREDITED 17025 WITH UNCERTAINTIES",$N$10,0)</f>
        <v>0</v>
      </c>
      <c r="O1723" s="1" t="str">
        <f>IFERROR(Table1[[#This Row],[Std Nom]]-(_xlfn.XLOOKUP(Table1[[#This Row],[Manufacturer]]&amp;" "&amp;Table1[[#This Row],[Model]],Table13[MFR &amp; MDL],Table13[Tolerance % CW ],"")/100*Table1[[#This Row],[Std Nom]]),"")</f>
        <v/>
      </c>
      <c r="P1723" s="1" t="str">
        <f>IFERROR(Table1[[#This Row],[Std Nom]]+(_xlfn.XLOOKUP(Table1[[#This Row],[Manufacturer]]&amp;" "&amp;Table1[[#This Row],[Model]],Table13[MFR &amp; MDL],Table13[Tolerance % CW ],"")/100*Table1[[#This Row],[Std Nom]]),"")</f>
        <v/>
      </c>
      <c r="Q1723" s="1" t="e">
        <f>Table1[[#This Row],[High Tol]]-Table1[[#This Row],[Low Tol]]</f>
        <v>#VALUE!</v>
      </c>
      <c r="R1723" s="1">
        <f>2*Table1[[#This Row],[Std Error]]</f>
        <v>0</v>
      </c>
      <c r="S1723" s="1" t="str">
        <f>IF(Table1[[#This Row],[High Tol]]="","N/A",IFERROR(ABS(Table1[[#This Row],[Tol Span]]/Table1[[#This Row],[Error Span]]),"N/A"))</f>
        <v>N/A</v>
      </c>
      <c r="T1723" s="1" t="str">
        <f>IF(OR(Table1[[#This Row],[Low Tol]]="",Table1[[#This Row],[High Tol]]=""),"Needs Analysis",IF(Table1[[#This Row],[Ratio]]&gt;=4,"Not Significant",IF(Table1[[#This Row],[Ratio]]&gt;=2,"Semi-Significant","Significant")))</f>
        <v>Needs Analysis</v>
      </c>
      <c r="W1723" s="1">
        <f>IF(Table1[[#This Row],[Cal Type]]&lt;&gt;"ACCREDITED 17025 WITH UNCERTAINTIES",0,"")</f>
        <v>0</v>
      </c>
      <c r="X1723" s="1" t="str">
        <f>IF(Table1[[#This Row],[DUT Read]]="","N/A",Table1[[#This Row],[Std Error]]+Table1[[#This Row],[DUT Read]]+Table1[[#This Row],[DUT Ucty]])</f>
        <v>N/A</v>
      </c>
      <c r="Y1723" s="1" t="str">
        <f>IF(Table1[[#This Row],[Std Read]]="","N/A",Table1[[#This Row],[Std Read]]+Table1[[#This Row],[Std Ucty]])</f>
        <v>N/A</v>
      </c>
      <c r="Z17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3" s="1" t="str">
        <f>IF(Table1[[#This Row],[Spec Type]]="","N/A",Table1[[#This Row],[Spec Type]])</f>
        <v>±</v>
      </c>
      <c r="AC1723" s="1" t="str">
        <f>IF(Table1[[#This Row],[Spec Type2]]="N/A","N/A",IF(AND(Table1[[#This Row],[DUT Adj Read]]&gt;=Table1[[#This Row],[Low Tol]],Table1[[#This Row],[DUT Adj Read]]&lt;=Table1[[#This Row],[High Tol]]),"Pass","Fail"))</f>
        <v>Fail</v>
      </c>
      <c r="AD1723" s="1" t="str">
        <f>IF(AND(Table1[[#This Row],[Spec Type2]]="N/A",Table1[[#This Row],[DUT Adj Read]]="N/A",Table1[[#This Row],[Std Adj Read]]="N/A"),"N/A",IF(Table1[[#This Row],[DUT Adj Read]]="N/A",IF(Table1[[#This Row],[Std Adj Read]]&gt;Table1[[#This Row],[Low Tol]],"Pass","Fail"),IF(Table1[[#This Row],[DUT Adj Read]]&gt;Table1[[#This Row],[Low Tol]],"Pass","Fail")))</f>
        <v>Pass</v>
      </c>
      <c r="AE1723" s="1" t="str">
        <f>IF(AND(Table1[[#This Row],[Spec Type2]]="N/A",Table1[[#This Row],[DUT Adj Read]]="N/A",Table1[[#This Row],[Std Adj Read]]="N/A"),"N/A",IF(Table1[[#This Row],[DUT Adj Read]]="N/A",IF(Table1[[#This Row],[Std Adj Read]]&lt;Table1[[#This Row],[High Tol]],"Pass","Fail"),IF(Table1[[#This Row],[DUT Adj Read]]&lt;Table1[[#This Row],[High Tol]],"Pass","Fail")))</f>
        <v>Fail</v>
      </c>
      <c r="AF1723" s="1" t="str">
        <f>IF(AND(Table1[[#This Row],[Spec Type2]]="N/A",Table1[[#This Row],[DUT Adj Read]]="N/A",Table1[[#This Row],[Std Adj Read]]="N/A"),"N/A",IF(Table1[[#This Row],[DUT Adj Read]]="N/A",IF(Table1[[#This Row],[Std Adj Read]]&gt;=Table1[[#This Row],[Low Tol]],"Pass","Fail"),IF(Table1[[#This Row],[DUT Adj Read]]&gt;=Table1[[#This Row],[Low Tol]],"Pass","Fail")))</f>
        <v>Pass</v>
      </c>
      <c r="AG1723" s="1" t="str">
        <f>IF(AND(Table1[[#This Row],[Spec Type2]]="N/A",Table1[[#This Row],[DUT Adj Read]]="N/A",Table1[[#This Row],[Std Adj Read]]="N/A"),"N/A",IF(Table1[[#This Row],[DUT Adj Read]]="N/A",IF(Table1[[#This Row],[Std Adj Read]]&lt;=Table1[[#This Row],[High Tol]],"Pass","Fail"),IF(Table1[[#This Row],[DUT Adj Read]]&lt;=Table1[[#This Row],[High Tol]],"Pass","Fail")))</f>
        <v>Fail</v>
      </c>
      <c r="AH17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3" s="1" t="b">
        <v>0</v>
      </c>
      <c r="AN1723" s="1" t="b">
        <v>0</v>
      </c>
      <c r="AO1723" s="1" t="b">
        <v>0</v>
      </c>
    </row>
    <row r="1724" spans="1:41" x14ac:dyDescent="0.25">
      <c r="A1724" s="10"/>
      <c r="B1724" s="10"/>
      <c r="C1724" s="10"/>
      <c r="D1724" s="10"/>
      <c r="E1724" s="10"/>
      <c r="F1724" s="10"/>
      <c r="G1724" s="10"/>
      <c r="H1724" s="10"/>
      <c r="I1724" s="1" t="str">
        <f t="shared" si="78"/>
        <v/>
      </c>
      <c r="J1724" s="1" t="s">
        <v>35</v>
      </c>
      <c r="K1724" s="1" t="str">
        <f t="shared" si="79"/>
        <v/>
      </c>
      <c r="L1724" s="1" t="str">
        <f t="shared" si="80"/>
        <v/>
      </c>
      <c r="M1724" s="1">
        <f>IF(OR(Table1[[#This Row],[Std Nom]]="",Table1[[#This Row],[Std Read]]=""),0,Table1[[#This Row],[Std Nom]]-Table1[[#This Row],[Std Read]])</f>
        <v>0</v>
      </c>
      <c r="N1724" s="1">
        <f>IF(Calculations!$F$5="ACCREDITED 17025 WITH UNCERTAINTIES",$N$10,0)</f>
        <v>0</v>
      </c>
      <c r="O1724" s="1" t="str">
        <f>IFERROR(Table1[[#This Row],[Std Nom]]-(_xlfn.XLOOKUP(Table1[[#This Row],[Manufacturer]]&amp;" "&amp;Table1[[#This Row],[Model]],Table13[MFR &amp; MDL],Table13[Tolerance % CW ],"")/100*Table1[[#This Row],[Std Nom]]),"")</f>
        <v/>
      </c>
      <c r="P1724" s="1" t="str">
        <f>IFERROR(Table1[[#This Row],[Std Nom]]+(_xlfn.XLOOKUP(Table1[[#This Row],[Manufacturer]]&amp;" "&amp;Table1[[#This Row],[Model]],Table13[MFR &amp; MDL],Table13[Tolerance % CW ],"")/100*Table1[[#This Row],[Std Nom]]),"")</f>
        <v/>
      </c>
      <c r="Q1724" s="1" t="e">
        <f>Table1[[#This Row],[High Tol]]-Table1[[#This Row],[Low Tol]]</f>
        <v>#VALUE!</v>
      </c>
      <c r="R1724" s="1">
        <f>2*Table1[[#This Row],[Std Error]]</f>
        <v>0</v>
      </c>
      <c r="S1724" s="1" t="str">
        <f>IF(Table1[[#This Row],[High Tol]]="","N/A",IFERROR(ABS(Table1[[#This Row],[Tol Span]]/Table1[[#This Row],[Error Span]]),"N/A"))</f>
        <v>N/A</v>
      </c>
      <c r="T1724" s="1" t="str">
        <f>IF(OR(Table1[[#This Row],[Low Tol]]="",Table1[[#This Row],[High Tol]]=""),"Needs Analysis",IF(Table1[[#This Row],[Ratio]]&gt;=4,"Not Significant",IF(Table1[[#This Row],[Ratio]]&gt;=2,"Semi-Significant","Significant")))</f>
        <v>Needs Analysis</v>
      </c>
      <c r="W1724" s="1">
        <f>IF(Table1[[#This Row],[Cal Type]]&lt;&gt;"ACCREDITED 17025 WITH UNCERTAINTIES",0,"")</f>
        <v>0</v>
      </c>
      <c r="X1724" s="1" t="str">
        <f>IF(Table1[[#This Row],[DUT Read]]="","N/A",Table1[[#This Row],[Std Error]]+Table1[[#This Row],[DUT Read]]+Table1[[#This Row],[DUT Ucty]])</f>
        <v>N/A</v>
      </c>
      <c r="Y1724" s="1" t="str">
        <f>IF(Table1[[#This Row],[Std Read]]="","N/A",Table1[[#This Row],[Std Read]]+Table1[[#This Row],[Std Ucty]])</f>
        <v>N/A</v>
      </c>
      <c r="Z17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4" s="1" t="str">
        <f>IF(Table1[[#This Row],[Spec Type]]="","N/A",Table1[[#This Row],[Spec Type]])</f>
        <v>±</v>
      </c>
      <c r="AC1724" s="1" t="str">
        <f>IF(Table1[[#This Row],[Spec Type2]]="N/A","N/A",IF(AND(Table1[[#This Row],[DUT Adj Read]]&gt;=Table1[[#This Row],[Low Tol]],Table1[[#This Row],[DUT Adj Read]]&lt;=Table1[[#This Row],[High Tol]]),"Pass","Fail"))</f>
        <v>Fail</v>
      </c>
      <c r="AD1724" s="1" t="str">
        <f>IF(AND(Table1[[#This Row],[Spec Type2]]="N/A",Table1[[#This Row],[DUT Adj Read]]="N/A",Table1[[#This Row],[Std Adj Read]]="N/A"),"N/A",IF(Table1[[#This Row],[DUT Adj Read]]="N/A",IF(Table1[[#This Row],[Std Adj Read]]&gt;Table1[[#This Row],[Low Tol]],"Pass","Fail"),IF(Table1[[#This Row],[DUT Adj Read]]&gt;Table1[[#This Row],[Low Tol]],"Pass","Fail")))</f>
        <v>Pass</v>
      </c>
      <c r="AE1724" s="1" t="str">
        <f>IF(AND(Table1[[#This Row],[Spec Type2]]="N/A",Table1[[#This Row],[DUT Adj Read]]="N/A",Table1[[#This Row],[Std Adj Read]]="N/A"),"N/A",IF(Table1[[#This Row],[DUT Adj Read]]="N/A",IF(Table1[[#This Row],[Std Adj Read]]&lt;Table1[[#This Row],[High Tol]],"Pass","Fail"),IF(Table1[[#This Row],[DUT Adj Read]]&lt;Table1[[#This Row],[High Tol]],"Pass","Fail")))</f>
        <v>Fail</v>
      </c>
      <c r="AF1724" s="1" t="str">
        <f>IF(AND(Table1[[#This Row],[Spec Type2]]="N/A",Table1[[#This Row],[DUT Adj Read]]="N/A",Table1[[#This Row],[Std Adj Read]]="N/A"),"N/A",IF(Table1[[#This Row],[DUT Adj Read]]="N/A",IF(Table1[[#This Row],[Std Adj Read]]&gt;=Table1[[#This Row],[Low Tol]],"Pass","Fail"),IF(Table1[[#This Row],[DUT Adj Read]]&gt;=Table1[[#This Row],[Low Tol]],"Pass","Fail")))</f>
        <v>Pass</v>
      </c>
      <c r="AG1724" s="1" t="str">
        <f>IF(AND(Table1[[#This Row],[Spec Type2]]="N/A",Table1[[#This Row],[DUT Adj Read]]="N/A",Table1[[#This Row],[Std Adj Read]]="N/A"),"N/A",IF(Table1[[#This Row],[DUT Adj Read]]="N/A",IF(Table1[[#This Row],[Std Adj Read]]&lt;=Table1[[#This Row],[High Tol]],"Pass","Fail"),IF(Table1[[#This Row],[DUT Adj Read]]&lt;=Table1[[#This Row],[High Tol]],"Pass","Fail")))</f>
        <v>Fail</v>
      </c>
      <c r="AH17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4" s="1" t="b">
        <v>0</v>
      </c>
      <c r="AN1724" s="1" t="b">
        <v>0</v>
      </c>
      <c r="AO1724" s="1" t="b">
        <v>0</v>
      </c>
    </row>
    <row r="1725" spans="1:41" x14ac:dyDescent="0.25">
      <c r="A1725" s="10"/>
      <c r="B1725" s="10"/>
      <c r="C1725" s="10"/>
      <c r="D1725" s="10"/>
      <c r="E1725" s="10"/>
      <c r="F1725" s="10"/>
      <c r="G1725" s="10"/>
      <c r="H1725" s="10"/>
      <c r="I1725" s="1" t="str">
        <f t="shared" si="78"/>
        <v/>
      </c>
      <c r="J1725" s="1" t="s">
        <v>35</v>
      </c>
      <c r="K1725" s="1" t="str">
        <f t="shared" si="79"/>
        <v/>
      </c>
      <c r="L1725" s="1" t="str">
        <f t="shared" si="80"/>
        <v/>
      </c>
      <c r="M1725" s="1">
        <f>IF(OR(Table1[[#This Row],[Std Nom]]="",Table1[[#This Row],[Std Read]]=""),0,Table1[[#This Row],[Std Nom]]-Table1[[#This Row],[Std Read]])</f>
        <v>0</v>
      </c>
      <c r="N1725" s="1">
        <f>IF(Calculations!$F$5="ACCREDITED 17025 WITH UNCERTAINTIES",$N$10,0)</f>
        <v>0</v>
      </c>
      <c r="O1725" s="1" t="str">
        <f>IFERROR(Table1[[#This Row],[Std Nom]]-(_xlfn.XLOOKUP(Table1[[#This Row],[Manufacturer]]&amp;" "&amp;Table1[[#This Row],[Model]],Table13[MFR &amp; MDL],Table13[Tolerance % CW ],"")/100*Table1[[#This Row],[Std Nom]]),"")</f>
        <v/>
      </c>
      <c r="P1725" s="1" t="str">
        <f>IFERROR(Table1[[#This Row],[Std Nom]]+(_xlfn.XLOOKUP(Table1[[#This Row],[Manufacturer]]&amp;" "&amp;Table1[[#This Row],[Model]],Table13[MFR &amp; MDL],Table13[Tolerance % CW ],"")/100*Table1[[#This Row],[Std Nom]]),"")</f>
        <v/>
      </c>
      <c r="Q1725" s="1" t="e">
        <f>Table1[[#This Row],[High Tol]]-Table1[[#This Row],[Low Tol]]</f>
        <v>#VALUE!</v>
      </c>
      <c r="R1725" s="1">
        <f>2*Table1[[#This Row],[Std Error]]</f>
        <v>0</v>
      </c>
      <c r="S1725" s="1" t="str">
        <f>IF(Table1[[#This Row],[High Tol]]="","N/A",IFERROR(ABS(Table1[[#This Row],[Tol Span]]/Table1[[#This Row],[Error Span]]),"N/A"))</f>
        <v>N/A</v>
      </c>
      <c r="T1725" s="1" t="str">
        <f>IF(OR(Table1[[#This Row],[Low Tol]]="",Table1[[#This Row],[High Tol]]=""),"Needs Analysis",IF(Table1[[#This Row],[Ratio]]&gt;=4,"Not Significant",IF(Table1[[#This Row],[Ratio]]&gt;=2,"Semi-Significant","Significant")))</f>
        <v>Needs Analysis</v>
      </c>
      <c r="W1725" s="1">
        <f>IF(Table1[[#This Row],[Cal Type]]&lt;&gt;"ACCREDITED 17025 WITH UNCERTAINTIES",0,"")</f>
        <v>0</v>
      </c>
      <c r="X1725" s="1" t="str">
        <f>IF(Table1[[#This Row],[DUT Read]]="","N/A",Table1[[#This Row],[Std Error]]+Table1[[#This Row],[DUT Read]]+Table1[[#This Row],[DUT Ucty]])</f>
        <v>N/A</v>
      </c>
      <c r="Y1725" s="1" t="str">
        <f>IF(Table1[[#This Row],[Std Read]]="","N/A",Table1[[#This Row],[Std Read]]+Table1[[#This Row],[Std Ucty]])</f>
        <v>N/A</v>
      </c>
      <c r="Z17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5" s="1" t="str">
        <f>IF(Table1[[#This Row],[Spec Type]]="","N/A",Table1[[#This Row],[Spec Type]])</f>
        <v>±</v>
      </c>
      <c r="AC1725" s="1" t="str">
        <f>IF(Table1[[#This Row],[Spec Type2]]="N/A","N/A",IF(AND(Table1[[#This Row],[DUT Adj Read]]&gt;=Table1[[#This Row],[Low Tol]],Table1[[#This Row],[DUT Adj Read]]&lt;=Table1[[#This Row],[High Tol]]),"Pass","Fail"))</f>
        <v>Fail</v>
      </c>
      <c r="AD1725" s="1" t="str">
        <f>IF(AND(Table1[[#This Row],[Spec Type2]]="N/A",Table1[[#This Row],[DUT Adj Read]]="N/A",Table1[[#This Row],[Std Adj Read]]="N/A"),"N/A",IF(Table1[[#This Row],[DUT Adj Read]]="N/A",IF(Table1[[#This Row],[Std Adj Read]]&gt;Table1[[#This Row],[Low Tol]],"Pass","Fail"),IF(Table1[[#This Row],[DUT Adj Read]]&gt;Table1[[#This Row],[Low Tol]],"Pass","Fail")))</f>
        <v>Pass</v>
      </c>
      <c r="AE1725" s="1" t="str">
        <f>IF(AND(Table1[[#This Row],[Spec Type2]]="N/A",Table1[[#This Row],[DUT Adj Read]]="N/A",Table1[[#This Row],[Std Adj Read]]="N/A"),"N/A",IF(Table1[[#This Row],[DUT Adj Read]]="N/A",IF(Table1[[#This Row],[Std Adj Read]]&lt;Table1[[#This Row],[High Tol]],"Pass","Fail"),IF(Table1[[#This Row],[DUT Adj Read]]&lt;Table1[[#This Row],[High Tol]],"Pass","Fail")))</f>
        <v>Fail</v>
      </c>
      <c r="AF1725" s="1" t="str">
        <f>IF(AND(Table1[[#This Row],[Spec Type2]]="N/A",Table1[[#This Row],[DUT Adj Read]]="N/A",Table1[[#This Row],[Std Adj Read]]="N/A"),"N/A",IF(Table1[[#This Row],[DUT Adj Read]]="N/A",IF(Table1[[#This Row],[Std Adj Read]]&gt;=Table1[[#This Row],[Low Tol]],"Pass","Fail"),IF(Table1[[#This Row],[DUT Adj Read]]&gt;=Table1[[#This Row],[Low Tol]],"Pass","Fail")))</f>
        <v>Pass</v>
      </c>
      <c r="AG1725" s="1" t="str">
        <f>IF(AND(Table1[[#This Row],[Spec Type2]]="N/A",Table1[[#This Row],[DUT Adj Read]]="N/A",Table1[[#This Row],[Std Adj Read]]="N/A"),"N/A",IF(Table1[[#This Row],[DUT Adj Read]]="N/A",IF(Table1[[#This Row],[Std Adj Read]]&lt;=Table1[[#This Row],[High Tol]],"Pass","Fail"),IF(Table1[[#This Row],[DUT Adj Read]]&lt;=Table1[[#This Row],[High Tol]],"Pass","Fail")))</f>
        <v>Fail</v>
      </c>
      <c r="AH17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5" s="1" t="b">
        <v>0</v>
      </c>
      <c r="AN1725" s="1" t="b">
        <v>0</v>
      </c>
      <c r="AO1725" s="1" t="b">
        <v>0</v>
      </c>
    </row>
    <row r="1726" spans="1:41" x14ac:dyDescent="0.25">
      <c r="A1726" s="10"/>
      <c r="B1726" s="10"/>
      <c r="C1726" s="10"/>
      <c r="D1726" s="10"/>
      <c r="E1726" s="10"/>
      <c r="F1726" s="10"/>
      <c r="G1726" s="10"/>
      <c r="H1726" s="10"/>
      <c r="I1726" s="1" t="str">
        <f t="shared" si="78"/>
        <v/>
      </c>
      <c r="J1726" s="1" t="s">
        <v>35</v>
      </c>
      <c r="K1726" s="1" t="str">
        <f t="shared" si="79"/>
        <v/>
      </c>
      <c r="L1726" s="1" t="str">
        <f t="shared" si="80"/>
        <v/>
      </c>
      <c r="M1726" s="1">
        <f>IF(OR(Table1[[#This Row],[Std Nom]]="",Table1[[#This Row],[Std Read]]=""),0,Table1[[#This Row],[Std Nom]]-Table1[[#This Row],[Std Read]])</f>
        <v>0</v>
      </c>
      <c r="N1726" s="1">
        <f>IF(Calculations!$F$5="ACCREDITED 17025 WITH UNCERTAINTIES",$N$10,0)</f>
        <v>0</v>
      </c>
      <c r="O1726" s="1" t="str">
        <f>IFERROR(Table1[[#This Row],[Std Nom]]-(_xlfn.XLOOKUP(Table1[[#This Row],[Manufacturer]]&amp;" "&amp;Table1[[#This Row],[Model]],Table13[MFR &amp; MDL],Table13[Tolerance % CW ],"")/100*Table1[[#This Row],[Std Nom]]),"")</f>
        <v/>
      </c>
      <c r="P1726" s="1" t="str">
        <f>IFERROR(Table1[[#This Row],[Std Nom]]+(_xlfn.XLOOKUP(Table1[[#This Row],[Manufacturer]]&amp;" "&amp;Table1[[#This Row],[Model]],Table13[MFR &amp; MDL],Table13[Tolerance % CW ],"")/100*Table1[[#This Row],[Std Nom]]),"")</f>
        <v/>
      </c>
      <c r="Q1726" s="1" t="e">
        <f>Table1[[#This Row],[High Tol]]-Table1[[#This Row],[Low Tol]]</f>
        <v>#VALUE!</v>
      </c>
      <c r="R1726" s="1">
        <f>2*Table1[[#This Row],[Std Error]]</f>
        <v>0</v>
      </c>
      <c r="S1726" s="1" t="str">
        <f>IF(Table1[[#This Row],[High Tol]]="","N/A",IFERROR(ABS(Table1[[#This Row],[Tol Span]]/Table1[[#This Row],[Error Span]]),"N/A"))</f>
        <v>N/A</v>
      </c>
      <c r="T1726" s="1" t="str">
        <f>IF(OR(Table1[[#This Row],[Low Tol]]="",Table1[[#This Row],[High Tol]]=""),"Needs Analysis",IF(Table1[[#This Row],[Ratio]]&gt;=4,"Not Significant",IF(Table1[[#This Row],[Ratio]]&gt;=2,"Semi-Significant","Significant")))</f>
        <v>Needs Analysis</v>
      </c>
      <c r="W1726" s="1">
        <f>IF(Table1[[#This Row],[Cal Type]]&lt;&gt;"ACCREDITED 17025 WITH UNCERTAINTIES",0,"")</f>
        <v>0</v>
      </c>
      <c r="X1726" s="1" t="str">
        <f>IF(Table1[[#This Row],[DUT Read]]="","N/A",Table1[[#This Row],[Std Error]]+Table1[[#This Row],[DUT Read]]+Table1[[#This Row],[DUT Ucty]])</f>
        <v>N/A</v>
      </c>
      <c r="Y1726" s="1" t="str">
        <f>IF(Table1[[#This Row],[Std Read]]="","N/A",Table1[[#This Row],[Std Read]]+Table1[[#This Row],[Std Ucty]])</f>
        <v>N/A</v>
      </c>
      <c r="Z17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6" s="1" t="str">
        <f>IF(Table1[[#This Row],[Spec Type]]="","N/A",Table1[[#This Row],[Spec Type]])</f>
        <v>±</v>
      </c>
      <c r="AC1726" s="1" t="str">
        <f>IF(Table1[[#This Row],[Spec Type2]]="N/A","N/A",IF(AND(Table1[[#This Row],[DUT Adj Read]]&gt;=Table1[[#This Row],[Low Tol]],Table1[[#This Row],[DUT Adj Read]]&lt;=Table1[[#This Row],[High Tol]]),"Pass","Fail"))</f>
        <v>Fail</v>
      </c>
      <c r="AD1726" s="1" t="str">
        <f>IF(AND(Table1[[#This Row],[Spec Type2]]="N/A",Table1[[#This Row],[DUT Adj Read]]="N/A",Table1[[#This Row],[Std Adj Read]]="N/A"),"N/A",IF(Table1[[#This Row],[DUT Adj Read]]="N/A",IF(Table1[[#This Row],[Std Adj Read]]&gt;Table1[[#This Row],[Low Tol]],"Pass","Fail"),IF(Table1[[#This Row],[DUT Adj Read]]&gt;Table1[[#This Row],[Low Tol]],"Pass","Fail")))</f>
        <v>Pass</v>
      </c>
      <c r="AE1726" s="1" t="str">
        <f>IF(AND(Table1[[#This Row],[Spec Type2]]="N/A",Table1[[#This Row],[DUT Adj Read]]="N/A",Table1[[#This Row],[Std Adj Read]]="N/A"),"N/A",IF(Table1[[#This Row],[DUT Adj Read]]="N/A",IF(Table1[[#This Row],[Std Adj Read]]&lt;Table1[[#This Row],[High Tol]],"Pass","Fail"),IF(Table1[[#This Row],[DUT Adj Read]]&lt;Table1[[#This Row],[High Tol]],"Pass","Fail")))</f>
        <v>Fail</v>
      </c>
      <c r="AF1726" s="1" t="str">
        <f>IF(AND(Table1[[#This Row],[Spec Type2]]="N/A",Table1[[#This Row],[DUT Adj Read]]="N/A",Table1[[#This Row],[Std Adj Read]]="N/A"),"N/A",IF(Table1[[#This Row],[DUT Adj Read]]="N/A",IF(Table1[[#This Row],[Std Adj Read]]&gt;=Table1[[#This Row],[Low Tol]],"Pass","Fail"),IF(Table1[[#This Row],[DUT Adj Read]]&gt;=Table1[[#This Row],[Low Tol]],"Pass","Fail")))</f>
        <v>Pass</v>
      </c>
      <c r="AG1726" s="1" t="str">
        <f>IF(AND(Table1[[#This Row],[Spec Type2]]="N/A",Table1[[#This Row],[DUT Adj Read]]="N/A",Table1[[#This Row],[Std Adj Read]]="N/A"),"N/A",IF(Table1[[#This Row],[DUT Adj Read]]="N/A",IF(Table1[[#This Row],[Std Adj Read]]&lt;=Table1[[#This Row],[High Tol]],"Pass","Fail"),IF(Table1[[#This Row],[DUT Adj Read]]&lt;=Table1[[#This Row],[High Tol]],"Pass","Fail")))</f>
        <v>Fail</v>
      </c>
      <c r="AH17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6" s="1" t="b">
        <v>0</v>
      </c>
      <c r="AN1726" s="1" t="b">
        <v>0</v>
      </c>
      <c r="AO1726" s="1" t="b">
        <v>0</v>
      </c>
    </row>
    <row r="1727" spans="1:41" x14ac:dyDescent="0.25">
      <c r="A1727" s="10"/>
      <c r="B1727" s="10"/>
      <c r="C1727" s="10"/>
      <c r="D1727" s="10"/>
      <c r="E1727" s="10"/>
      <c r="F1727" s="10"/>
      <c r="G1727" s="10"/>
      <c r="H1727" s="10"/>
      <c r="I1727" s="1" t="str">
        <f t="shared" si="78"/>
        <v/>
      </c>
      <c r="J1727" s="1" t="s">
        <v>35</v>
      </c>
      <c r="K1727" s="1" t="str">
        <f t="shared" si="79"/>
        <v/>
      </c>
      <c r="L1727" s="1" t="str">
        <f t="shared" si="80"/>
        <v/>
      </c>
      <c r="M1727" s="1">
        <f>IF(OR(Table1[[#This Row],[Std Nom]]="",Table1[[#This Row],[Std Read]]=""),0,Table1[[#This Row],[Std Nom]]-Table1[[#This Row],[Std Read]])</f>
        <v>0</v>
      </c>
      <c r="N1727" s="1">
        <f>IF(Calculations!$F$5="ACCREDITED 17025 WITH UNCERTAINTIES",$N$10,0)</f>
        <v>0</v>
      </c>
      <c r="O1727" s="1" t="str">
        <f>IFERROR(Table1[[#This Row],[Std Nom]]-(_xlfn.XLOOKUP(Table1[[#This Row],[Manufacturer]]&amp;" "&amp;Table1[[#This Row],[Model]],Table13[MFR &amp; MDL],Table13[Tolerance % CW ],"")/100*Table1[[#This Row],[Std Nom]]),"")</f>
        <v/>
      </c>
      <c r="P1727" s="1" t="str">
        <f>IFERROR(Table1[[#This Row],[Std Nom]]+(_xlfn.XLOOKUP(Table1[[#This Row],[Manufacturer]]&amp;" "&amp;Table1[[#This Row],[Model]],Table13[MFR &amp; MDL],Table13[Tolerance % CW ],"")/100*Table1[[#This Row],[Std Nom]]),"")</f>
        <v/>
      </c>
      <c r="Q1727" s="1" t="e">
        <f>Table1[[#This Row],[High Tol]]-Table1[[#This Row],[Low Tol]]</f>
        <v>#VALUE!</v>
      </c>
      <c r="R1727" s="1">
        <f>2*Table1[[#This Row],[Std Error]]</f>
        <v>0</v>
      </c>
      <c r="S1727" s="1" t="str">
        <f>IF(Table1[[#This Row],[High Tol]]="","N/A",IFERROR(ABS(Table1[[#This Row],[Tol Span]]/Table1[[#This Row],[Error Span]]),"N/A"))</f>
        <v>N/A</v>
      </c>
      <c r="T1727" s="1" t="str">
        <f>IF(OR(Table1[[#This Row],[Low Tol]]="",Table1[[#This Row],[High Tol]]=""),"Needs Analysis",IF(Table1[[#This Row],[Ratio]]&gt;=4,"Not Significant",IF(Table1[[#This Row],[Ratio]]&gt;=2,"Semi-Significant","Significant")))</f>
        <v>Needs Analysis</v>
      </c>
      <c r="W1727" s="1">
        <f>IF(Table1[[#This Row],[Cal Type]]&lt;&gt;"ACCREDITED 17025 WITH UNCERTAINTIES",0,"")</f>
        <v>0</v>
      </c>
      <c r="X1727" s="1" t="str">
        <f>IF(Table1[[#This Row],[DUT Read]]="","N/A",Table1[[#This Row],[Std Error]]+Table1[[#This Row],[DUT Read]]+Table1[[#This Row],[DUT Ucty]])</f>
        <v>N/A</v>
      </c>
      <c r="Y1727" s="1" t="str">
        <f>IF(Table1[[#This Row],[Std Read]]="","N/A",Table1[[#This Row],[Std Read]]+Table1[[#This Row],[Std Ucty]])</f>
        <v>N/A</v>
      </c>
      <c r="Z17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7" s="1" t="str">
        <f>IF(Table1[[#This Row],[Spec Type]]="","N/A",Table1[[#This Row],[Spec Type]])</f>
        <v>±</v>
      </c>
      <c r="AC1727" s="1" t="str">
        <f>IF(Table1[[#This Row],[Spec Type2]]="N/A","N/A",IF(AND(Table1[[#This Row],[DUT Adj Read]]&gt;=Table1[[#This Row],[Low Tol]],Table1[[#This Row],[DUT Adj Read]]&lt;=Table1[[#This Row],[High Tol]]),"Pass","Fail"))</f>
        <v>Fail</v>
      </c>
      <c r="AD1727" s="1" t="str">
        <f>IF(AND(Table1[[#This Row],[Spec Type2]]="N/A",Table1[[#This Row],[DUT Adj Read]]="N/A",Table1[[#This Row],[Std Adj Read]]="N/A"),"N/A",IF(Table1[[#This Row],[DUT Adj Read]]="N/A",IF(Table1[[#This Row],[Std Adj Read]]&gt;Table1[[#This Row],[Low Tol]],"Pass","Fail"),IF(Table1[[#This Row],[DUT Adj Read]]&gt;Table1[[#This Row],[Low Tol]],"Pass","Fail")))</f>
        <v>Pass</v>
      </c>
      <c r="AE1727" s="1" t="str">
        <f>IF(AND(Table1[[#This Row],[Spec Type2]]="N/A",Table1[[#This Row],[DUT Adj Read]]="N/A",Table1[[#This Row],[Std Adj Read]]="N/A"),"N/A",IF(Table1[[#This Row],[DUT Adj Read]]="N/A",IF(Table1[[#This Row],[Std Adj Read]]&lt;Table1[[#This Row],[High Tol]],"Pass","Fail"),IF(Table1[[#This Row],[DUT Adj Read]]&lt;Table1[[#This Row],[High Tol]],"Pass","Fail")))</f>
        <v>Fail</v>
      </c>
      <c r="AF1727" s="1" t="str">
        <f>IF(AND(Table1[[#This Row],[Spec Type2]]="N/A",Table1[[#This Row],[DUT Adj Read]]="N/A",Table1[[#This Row],[Std Adj Read]]="N/A"),"N/A",IF(Table1[[#This Row],[DUT Adj Read]]="N/A",IF(Table1[[#This Row],[Std Adj Read]]&gt;=Table1[[#This Row],[Low Tol]],"Pass","Fail"),IF(Table1[[#This Row],[DUT Adj Read]]&gt;=Table1[[#This Row],[Low Tol]],"Pass","Fail")))</f>
        <v>Pass</v>
      </c>
      <c r="AG1727" s="1" t="str">
        <f>IF(AND(Table1[[#This Row],[Spec Type2]]="N/A",Table1[[#This Row],[DUT Adj Read]]="N/A",Table1[[#This Row],[Std Adj Read]]="N/A"),"N/A",IF(Table1[[#This Row],[DUT Adj Read]]="N/A",IF(Table1[[#This Row],[Std Adj Read]]&lt;=Table1[[#This Row],[High Tol]],"Pass","Fail"),IF(Table1[[#This Row],[DUT Adj Read]]&lt;=Table1[[#This Row],[High Tol]],"Pass","Fail")))</f>
        <v>Fail</v>
      </c>
      <c r="AH17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7" s="1" t="b">
        <v>0</v>
      </c>
      <c r="AN1727" s="1" t="b">
        <v>0</v>
      </c>
      <c r="AO1727" s="1" t="b">
        <v>0</v>
      </c>
    </row>
    <row r="1728" spans="1:41" x14ac:dyDescent="0.25">
      <c r="A1728" s="10"/>
      <c r="B1728" s="10"/>
      <c r="C1728" s="10"/>
      <c r="D1728" s="10"/>
      <c r="E1728" s="10"/>
      <c r="F1728" s="10"/>
      <c r="G1728" s="10"/>
      <c r="H1728" s="10"/>
      <c r="I1728" s="1" t="str">
        <f t="shared" si="78"/>
        <v/>
      </c>
      <c r="J1728" s="1" t="s">
        <v>35</v>
      </c>
      <c r="K1728" s="1" t="str">
        <f t="shared" si="79"/>
        <v/>
      </c>
      <c r="L1728" s="1" t="str">
        <f t="shared" si="80"/>
        <v/>
      </c>
      <c r="M1728" s="1">
        <f>IF(OR(Table1[[#This Row],[Std Nom]]="",Table1[[#This Row],[Std Read]]=""),0,Table1[[#This Row],[Std Nom]]-Table1[[#This Row],[Std Read]])</f>
        <v>0</v>
      </c>
      <c r="N1728" s="1">
        <f>IF(Calculations!$F$5="ACCREDITED 17025 WITH UNCERTAINTIES",$N$10,0)</f>
        <v>0</v>
      </c>
      <c r="O1728" s="1" t="str">
        <f>IFERROR(Table1[[#This Row],[Std Nom]]-(_xlfn.XLOOKUP(Table1[[#This Row],[Manufacturer]]&amp;" "&amp;Table1[[#This Row],[Model]],Table13[MFR &amp; MDL],Table13[Tolerance % CW ],"")/100*Table1[[#This Row],[Std Nom]]),"")</f>
        <v/>
      </c>
      <c r="P1728" s="1" t="str">
        <f>IFERROR(Table1[[#This Row],[Std Nom]]+(_xlfn.XLOOKUP(Table1[[#This Row],[Manufacturer]]&amp;" "&amp;Table1[[#This Row],[Model]],Table13[MFR &amp; MDL],Table13[Tolerance % CW ],"")/100*Table1[[#This Row],[Std Nom]]),"")</f>
        <v/>
      </c>
      <c r="Q1728" s="1" t="e">
        <f>Table1[[#This Row],[High Tol]]-Table1[[#This Row],[Low Tol]]</f>
        <v>#VALUE!</v>
      </c>
      <c r="R1728" s="1">
        <f>2*Table1[[#This Row],[Std Error]]</f>
        <v>0</v>
      </c>
      <c r="S1728" s="1" t="str">
        <f>IF(Table1[[#This Row],[High Tol]]="","N/A",IFERROR(ABS(Table1[[#This Row],[Tol Span]]/Table1[[#This Row],[Error Span]]),"N/A"))</f>
        <v>N/A</v>
      </c>
      <c r="T1728" s="1" t="str">
        <f>IF(OR(Table1[[#This Row],[Low Tol]]="",Table1[[#This Row],[High Tol]]=""),"Needs Analysis",IF(Table1[[#This Row],[Ratio]]&gt;=4,"Not Significant",IF(Table1[[#This Row],[Ratio]]&gt;=2,"Semi-Significant","Significant")))</f>
        <v>Needs Analysis</v>
      </c>
      <c r="W1728" s="1">
        <f>IF(Table1[[#This Row],[Cal Type]]&lt;&gt;"ACCREDITED 17025 WITH UNCERTAINTIES",0,"")</f>
        <v>0</v>
      </c>
      <c r="X1728" s="1" t="str">
        <f>IF(Table1[[#This Row],[DUT Read]]="","N/A",Table1[[#This Row],[Std Error]]+Table1[[#This Row],[DUT Read]]+Table1[[#This Row],[DUT Ucty]])</f>
        <v>N/A</v>
      </c>
      <c r="Y1728" s="1" t="str">
        <f>IF(Table1[[#This Row],[Std Read]]="","N/A",Table1[[#This Row],[Std Read]]+Table1[[#This Row],[Std Ucty]])</f>
        <v>N/A</v>
      </c>
      <c r="Z17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8" s="1" t="str">
        <f>IF(Table1[[#This Row],[Spec Type]]="","N/A",Table1[[#This Row],[Spec Type]])</f>
        <v>±</v>
      </c>
      <c r="AC1728" s="1" t="str">
        <f>IF(Table1[[#This Row],[Spec Type2]]="N/A","N/A",IF(AND(Table1[[#This Row],[DUT Adj Read]]&gt;=Table1[[#This Row],[Low Tol]],Table1[[#This Row],[DUT Adj Read]]&lt;=Table1[[#This Row],[High Tol]]),"Pass","Fail"))</f>
        <v>Fail</v>
      </c>
      <c r="AD1728" s="1" t="str">
        <f>IF(AND(Table1[[#This Row],[Spec Type2]]="N/A",Table1[[#This Row],[DUT Adj Read]]="N/A",Table1[[#This Row],[Std Adj Read]]="N/A"),"N/A",IF(Table1[[#This Row],[DUT Adj Read]]="N/A",IF(Table1[[#This Row],[Std Adj Read]]&gt;Table1[[#This Row],[Low Tol]],"Pass","Fail"),IF(Table1[[#This Row],[DUT Adj Read]]&gt;Table1[[#This Row],[Low Tol]],"Pass","Fail")))</f>
        <v>Pass</v>
      </c>
      <c r="AE1728" s="1" t="str">
        <f>IF(AND(Table1[[#This Row],[Spec Type2]]="N/A",Table1[[#This Row],[DUT Adj Read]]="N/A",Table1[[#This Row],[Std Adj Read]]="N/A"),"N/A",IF(Table1[[#This Row],[DUT Adj Read]]="N/A",IF(Table1[[#This Row],[Std Adj Read]]&lt;Table1[[#This Row],[High Tol]],"Pass","Fail"),IF(Table1[[#This Row],[DUT Adj Read]]&lt;Table1[[#This Row],[High Tol]],"Pass","Fail")))</f>
        <v>Fail</v>
      </c>
      <c r="AF1728" s="1" t="str">
        <f>IF(AND(Table1[[#This Row],[Spec Type2]]="N/A",Table1[[#This Row],[DUT Adj Read]]="N/A",Table1[[#This Row],[Std Adj Read]]="N/A"),"N/A",IF(Table1[[#This Row],[DUT Adj Read]]="N/A",IF(Table1[[#This Row],[Std Adj Read]]&gt;=Table1[[#This Row],[Low Tol]],"Pass","Fail"),IF(Table1[[#This Row],[DUT Adj Read]]&gt;=Table1[[#This Row],[Low Tol]],"Pass","Fail")))</f>
        <v>Pass</v>
      </c>
      <c r="AG1728" s="1" t="str">
        <f>IF(AND(Table1[[#This Row],[Spec Type2]]="N/A",Table1[[#This Row],[DUT Adj Read]]="N/A",Table1[[#This Row],[Std Adj Read]]="N/A"),"N/A",IF(Table1[[#This Row],[DUT Adj Read]]="N/A",IF(Table1[[#This Row],[Std Adj Read]]&lt;=Table1[[#This Row],[High Tol]],"Pass","Fail"),IF(Table1[[#This Row],[DUT Adj Read]]&lt;=Table1[[#This Row],[High Tol]],"Pass","Fail")))</f>
        <v>Fail</v>
      </c>
      <c r="AH17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8" s="1" t="b">
        <v>0</v>
      </c>
      <c r="AN1728" s="1" t="b">
        <v>0</v>
      </c>
      <c r="AO1728" s="1" t="b">
        <v>0</v>
      </c>
    </row>
    <row r="1729" spans="1:41" x14ac:dyDescent="0.25">
      <c r="A1729" s="10"/>
      <c r="B1729" s="10"/>
      <c r="C1729" s="10"/>
      <c r="D1729" s="10"/>
      <c r="E1729" s="10"/>
      <c r="F1729" s="10"/>
      <c r="G1729" s="10"/>
      <c r="H1729" s="10"/>
      <c r="I1729" s="1" t="str">
        <f t="shared" si="78"/>
        <v/>
      </c>
      <c r="J1729" s="1" t="s">
        <v>35</v>
      </c>
      <c r="K1729" s="1" t="str">
        <f t="shared" si="79"/>
        <v/>
      </c>
      <c r="L1729" s="1" t="str">
        <f t="shared" si="80"/>
        <v/>
      </c>
      <c r="M1729" s="1">
        <f>IF(OR(Table1[[#This Row],[Std Nom]]="",Table1[[#This Row],[Std Read]]=""),0,Table1[[#This Row],[Std Nom]]-Table1[[#This Row],[Std Read]])</f>
        <v>0</v>
      </c>
      <c r="N1729" s="1">
        <f>IF(Calculations!$F$5="ACCREDITED 17025 WITH UNCERTAINTIES",$N$10,0)</f>
        <v>0</v>
      </c>
      <c r="O1729" s="1" t="str">
        <f>IFERROR(Table1[[#This Row],[Std Nom]]-(_xlfn.XLOOKUP(Table1[[#This Row],[Manufacturer]]&amp;" "&amp;Table1[[#This Row],[Model]],Table13[MFR &amp; MDL],Table13[Tolerance % CW ],"")/100*Table1[[#This Row],[Std Nom]]),"")</f>
        <v/>
      </c>
      <c r="P1729" s="1" t="str">
        <f>IFERROR(Table1[[#This Row],[Std Nom]]+(_xlfn.XLOOKUP(Table1[[#This Row],[Manufacturer]]&amp;" "&amp;Table1[[#This Row],[Model]],Table13[MFR &amp; MDL],Table13[Tolerance % CW ],"")/100*Table1[[#This Row],[Std Nom]]),"")</f>
        <v/>
      </c>
      <c r="Q1729" s="1" t="e">
        <f>Table1[[#This Row],[High Tol]]-Table1[[#This Row],[Low Tol]]</f>
        <v>#VALUE!</v>
      </c>
      <c r="R1729" s="1">
        <f>2*Table1[[#This Row],[Std Error]]</f>
        <v>0</v>
      </c>
      <c r="S1729" s="1" t="str">
        <f>IF(Table1[[#This Row],[High Tol]]="","N/A",IFERROR(ABS(Table1[[#This Row],[Tol Span]]/Table1[[#This Row],[Error Span]]),"N/A"))</f>
        <v>N/A</v>
      </c>
      <c r="T1729" s="1" t="str">
        <f>IF(OR(Table1[[#This Row],[Low Tol]]="",Table1[[#This Row],[High Tol]]=""),"Needs Analysis",IF(Table1[[#This Row],[Ratio]]&gt;=4,"Not Significant",IF(Table1[[#This Row],[Ratio]]&gt;=2,"Semi-Significant","Significant")))</f>
        <v>Needs Analysis</v>
      </c>
      <c r="W1729" s="1">
        <f>IF(Table1[[#This Row],[Cal Type]]&lt;&gt;"ACCREDITED 17025 WITH UNCERTAINTIES",0,"")</f>
        <v>0</v>
      </c>
      <c r="X1729" s="1" t="str">
        <f>IF(Table1[[#This Row],[DUT Read]]="","N/A",Table1[[#This Row],[Std Error]]+Table1[[#This Row],[DUT Read]]+Table1[[#This Row],[DUT Ucty]])</f>
        <v>N/A</v>
      </c>
      <c r="Y1729" s="1" t="str">
        <f>IF(Table1[[#This Row],[Std Read]]="","N/A",Table1[[#This Row],[Std Read]]+Table1[[#This Row],[Std Ucty]])</f>
        <v>N/A</v>
      </c>
      <c r="Z17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9" s="1" t="str">
        <f>IF(Table1[[#This Row],[Spec Type]]="","N/A",Table1[[#This Row],[Spec Type]])</f>
        <v>±</v>
      </c>
      <c r="AC1729" s="1" t="str">
        <f>IF(Table1[[#This Row],[Spec Type2]]="N/A","N/A",IF(AND(Table1[[#This Row],[DUT Adj Read]]&gt;=Table1[[#This Row],[Low Tol]],Table1[[#This Row],[DUT Adj Read]]&lt;=Table1[[#This Row],[High Tol]]),"Pass","Fail"))</f>
        <v>Fail</v>
      </c>
      <c r="AD1729" s="1" t="str">
        <f>IF(AND(Table1[[#This Row],[Spec Type2]]="N/A",Table1[[#This Row],[DUT Adj Read]]="N/A",Table1[[#This Row],[Std Adj Read]]="N/A"),"N/A",IF(Table1[[#This Row],[DUT Adj Read]]="N/A",IF(Table1[[#This Row],[Std Adj Read]]&gt;Table1[[#This Row],[Low Tol]],"Pass","Fail"),IF(Table1[[#This Row],[DUT Adj Read]]&gt;Table1[[#This Row],[Low Tol]],"Pass","Fail")))</f>
        <v>Pass</v>
      </c>
      <c r="AE1729" s="1" t="str">
        <f>IF(AND(Table1[[#This Row],[Spec Type2]]="N/A",Table1[[#This Row],[DUT Adj Read]]="N/A",Table1[[#This Row],[Std Adj Read]]="N/A"),"N/A",IF(Table1[[#This Row],[DUT Adj Read]]="N/A",IF(Table1[[#This Row],[Std Adj Read]]&lt;Table1[[#This Row],[High Tol]],"Pass","Fail"),IF(Table1[[#This Row],[DUT Adj Read]]&lt;Table1[[#This Row],[High Tol]],"Pass","Fail")))</f>
        <v>Fail</v>
      </c>
      <c r="AF1729" s="1" t="str">
        <f>IF(AND(Table1[[#This Row],[Spec Type2]]="N/A",Table1[[#This Row],[DUT Adj Read]]="N/A",Table1[[#This Row],[Std Adj Read]]="N/A"),"N/A",IF(Table1[[#This Row],[DUT Adj Read]]="N/A",IF(Table1[[#This Row],[Std Adj Read]]&gt;=Table1[[#This Row],[Low Tol]],"Pass","Fail"),IF(Table1[[#This Row],[DUT Adj Read]]&gt;=Table1[[#This Row],[Low Tol]],"Pass","Fail")))</f>
        <v>Pass</v>
      </c>
      <c r="AG1729" s="1" t="str">
        <f>IF(AND(Table1[[#This Row],[Spec Type2]]="N/A",Table1[[#This Row],[DUT Adj Read]]="N/A",Table1[[#This Row],[Std Adj Read]]="N/A"),"N/A",IF(Table1[[#This Row],[DUT Adj Read]]="N/A",IF(Table1[[#This Row],[Std Adj Read]]&lt;=Table1[[#This Row],[High Tol]],"Pass","Fail"),IF(Table1[[#This Row],[DUT Adj Read]]&lt;=Table1[[#This Row],[High Tol]],"Pass","Fail")))</f>
        <v>Fail</v>
      </c>
      <c r="AH17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9" s="1" t="b">
        <v>0</v>
      </c>
      <c r="AN1729" s="1" t="b">
        <v>0</v>
      </c>
      <c r="AO1729" s="1" t="b">
        <v>0</v>
      </c>
    </row>
    <row r="1730" spans="1:41" x14ac:dyDescent="0.25">
      <c r="A1730" s="10"/>
      <c r="B1730" s="10"/>
      <c r="C1730" s="10"/>
      <c r="D1730" s="10"/>
      <c r="E1730" s="10"/>
      <c r="F1730" s="10"/>
      <c r="G1730" s="10"/>
      <c r="H1730" s="10"/>
      <c r="I1730" s="1" t="str">
        <f t="shared" si="78"/>
        <v/>
      </c>
      <c r="J1730" s="1" t="s">
        <v>35</v>
      </c>
      <c r="K1730" s="1" t="str">
        <f t="shared" si="79"/>
        <v/>
      </c>
      <c r="L1730" s="1" t="str">
        <f t="shared" si="80"/>
        <v/>
      </c>
      <c r="M1730" s="1">
        <f>IF(OR(Table1[[#This Row],[Std Nom]]="",Table1[[#This Row],[Std Read]]=""),0,Table1[[#This Row],[Std Nom]]-Table1[[#This Row],[Std Read]])</f>
        <v>0</v>
      </c>
      <c r="N1730" s="1">
        <f>IF(Calculations!$F$5="ACCREDITED 17025 WITH UNCERTAINTIES",$N$10,0)</f>
        <v>0</v>
      </c>
      <c r="O1730" s="1" t="str">
        <f>IFERROR(Table1[[#This Row],[Std Nom]]-(_xlfn.XLOOKUP(Table1[[#This Row],[Manufacturer]]&amp;" "&amp;Table1[[#This Row],[Model]],Table13[MFR &amp; MDL],Table13[Tolerance % CW ],"")/100*Table1[[#This Row],[Std Nom]]),"")</f>
        <v/>
      </c>
      <c r="P1730" s="1" t="str">
        <f>IFERROR(Table1[[#This Row],[Std Nom]]+(_xlfn.XLOOKUP(Table1[[#This Row],[Manufacturer]]&amp;" "&amp;Table1[[#This Row],[Model]],Table13[MFR &amp; MDL],Table13[Tolerance % CW ],"")/100*Table1[[#This Row],[Std Nom]]),"")</f>
        <v/>
      </c>
      <c r="Q1730" s="1" t="e">
        <f>Table1[[#This Row],[High Tol]]-Table1[[#This Row],[Low Tol]]</f>
        <v>#VALUE!</v>
      </c>
      <c r="R1730" s="1">
        <f>2*Table1[[#This Row],[Std Error]]</f>
        <v>0</v>
      </c>
      <c r="S1730" s="1" t="str">
        <f>IF(Table1[[#This Row],[High Tol]]="","N/A",IFERROR(ABS(Table1[[#This Row],[Tol Span]]/Table1[[#This Row],[Error Span]]),"N/A"))</f>
        <v>N/A</v>
      </c>
      <c r="T1730" s="1" t="str">
        <f>IF(OR(Table1[[#This Row],[Low Tol]]="",Table1[[#This Row],[High Tol]]=""),"Needs Analysis",IF(Table1[[#This Row],[Ratio]]&gt;=4,"Not Significant",IF(Table1[[#This Row],[Ratio]]&gt;=2,"Semi-Significant","Significant")))</f>
        <v>Needs Analysis</v>
      </c>
      <c r="W1730" s="1">
        <f>IF(Table1[[#This Row],[Cal Type]]&lt;&gt;"ACCREDITED 17025 WITH UNCERTAINTIES",0,"")</f>
        <v>0</v>
      </c>
      <c r="X1730" s="1" t="str">
        <f>IF(Table1[[#This Row],[DUT Read]]="","N/A",Table1[[#This Row],[Std Error]]+Table1[[#This Row],[DUT Read]]+Table1[[#This Row],[DUT Ucty]])</f>
        <v>N/A</v>
      </c>
      <c r="Y1730" s="1" t="str">
        <f>IF(Table1[[#This Row],[Std Read]]="","N/A",Table1[[#This Row],[Std Read]]+Table1[[#This Row],[Std Ucty]])</f>
        <v>N/A</v>
      </c>
      <c r="Z17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0" s="1" t="str">
        <f>IF(Table1[[#This Row],[Spec Type]]="","N/A",Table1[[#This Row],[Spec Type]])</f>
        <v>±</v>
      </c>
      <c r="AC1730" s="1" t="str">
        <f>IF(Table1[[#This Row],[Spec Type2]]="N/A","N/A",IF(AND(Table1[[#This Row],[DUT Adj Read]]&gt;=Table1[[#This Row],[Low Tol]],Table1[[#This Row],[DUT Adj Read]]&lt;=Table1[[#This Row],[High Tol]]),"Pass","Fail"))</f>
        <v>Fail</v>
      </c>
      <c r="AD1730" s="1" t="str">
        <f>IF(AND(Table1[[#This Row],[Spec Type2]]="N/A",Table1[[#This Row],[DUT Adj Read]]="N/A",Table1[[#This Row],[Std Adj Read]]="N/A"),"N/A",IF(Table1[[#This Row],[DUT Adj Read]]="N/A",IF(Table1[[#This Row],[Std Adj Read]]&gt;Table1[[#This Row],[Low Tol]],"Pass","Fail"),IF(Table1[[#This Row],[DUT Adj Read]]&gt;Table1[[#This Row],[Low Tol]],"Pass","Fail")))</f>
        <v>Pass</v>
      </c>
      <c r="AE1730" s="1" t="str">
        <f>IF(AND(Table1[[#This Row],[Spec Type2]]="N/A",Table1[[#This Row],[DUT Adj Read]]="N/A",Table1[[#This Row],[Std Adj Read]]="N/A"),"N/A",IF(Table1[[#This Row],[DUT Adj Read]]="N/A",IF(Table1[[#This Row],[Std Adj Read]]&lt;Table1[[#This Row],[High Tol]],"Pass","Fail"),IF(Table1[[#This Row],[DUT Adj Read]]&lt;Table1[[#This Row],[High Tol]],"Pass","Fail")))</f>
        <v>Fail</v>
      </c>
      <c r="AF1730" s="1" t="str">
        <f>IF(AND(Table1[[#This Row],[Spec Type2]]="N/A",Table1[[#This Row],[DUT Adj Read]]="N/A",Table1[[#This Row],[Std Adj Read]]="N/A"),"N/A",IF(Table1[[#This Row],[DUT Adj Read]]="N/A",IF(Table1[[#This Row],[Std Adj Read]]&gt;=Table1[[#This Row],[Low Tol]],"Pass","Fail"),IF(Table1[[#This Row],[DUT Adj Read]]&gt;=Table1[[#This Row],[Low Tol]],"Pass","Fail")))</f>
        <v>Pass</v>
      </c>
      <c r="AG1730" s="1" t="str">
        <f>IF(AND(Table1[[#This Row],[Spec Type2]]="N/A",Table1[[#This Row],[DUT Adj Read]]="N/A",Table1[[#This Row],[Std Adj Read]]="N/A"),"N/A",IF(Table1[[#This Row],[DUT Adj Read]]="N/A",IF(Table1[[#This Row],[Std Adj Read]]&lt;=Table1[[#This Row],[High Tol]],"Pass","Fail"),IF(Table1[[#This Row],[DUT Adj Read]]&lt;=Table1[[#This Row],[High Tol]],"Pass","Fail")))</f>
        <v>Fail</v>
      </c>
      <c r="AH17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0" s="1" t="b">
        <v>0</v>
      </c>
      <c r="AN1730" s="1" t="b">
        <v>0</v>
      </c>
      <c r="AO1730" s="1" t="b">
        <v>0</v>
      </c>
    </row>
    <row r="1731" spans="1:41" x14ac:dyDescent="0.25">
      <c r="A1731" s="10"/>
      <c r="B1731" s="10"/>
      <c r="C1731" s="10"/>
      <c r="D1731" s="10"/>
      <c r="E1731" s="10"/>
      <c r="F1731" s="10"/>
      <c r="G1731" s="10"/>
      <c r="H1731" s="10"/>
      <c r="I1731" s="1" t="str">
        <f t="shared" si="78"/>
        <v/>
      </c>
      <c r="J1731" s="1" t="s">
        <v>35</v>
      </c>
      <c r="K1731" s="1" t="str">
        <f t="shared" si="79"/>
        <v/>
      </c>
      <c r="L1731" s="1" t="str">
        <f t="shared" si="80"/>
        <v/>
      </c>
      <c r="M1731" s="1">
        <f>IF(OR(Table1[[#This Row],[Std Nom]]="",Table1[[#This Row],[Std Read]]=""),0,Table1[[#This Row],[Std Nom]]-Table1[[#This Row],[Std Read]])</f>
        <v>0</v>
      </c>
      <c r="N1731" s="1">
        <f>IF(Calculations!$F$5="ACCREDITED 17025 WITH UNCERTAINTIES",$N$10,0)</f>
        <v>0</v>
      </c>
      <c r="O1731" s="1" t="str">
        <f>IFERROR(Table1[[#This Row],[Std Nom]]-(_xlfn.XLOOKUP(Table1[[#This Row],[Manufacturer]]&amp;" "&amp;Table1[[#This Row],[Model]],Table13[MFR &amp; MDL],Table13[Tolerance % CW ],"")/100*Table1[[#This Row],[Std Nom]]),"")</f>
        <v/>
      </c>
      <c r="P1731" s="1" t="str">
        <f>IFERROR(Table1[[#This Row],[Std Nom]]+(_xlfn.XLOOKUP(Table1[[#This Row],[Manufacturer]]&amp;" "&amp;Table1[[#This Row],[Model]],Table13[MFR &amp; MDL],Table13[Tolerance % CW ],"")/100*Table1[[#This Row],[Std Nom]]),"")</f>
        <v/>
      </c>
      <c r="Q1731" s="1" t="e">
        <f>Table1[[#This Row],[High Tol]]-Table1[[#This Row],[Low Tol]]</f>
        <v>#VALUE!</v>
      </c>
      <c r="R1731" s="1">
        <f>2*Table1[[#This Row],[Std Error]]</f>
        <v>0</v>
      </c>
      <c r="S1731" s="1" t="str">
        <f>IF(Table1[[#This Row],[High Tol]]="","N/A",IFERROR(ABS(Table1[[#This Row],[Tol Span]]/Table1[[#This Row],[Error Span]]),"N/A"))</f>
        <v>N/A</v>
      </c>
      <c r="T1731" s="1" t="str">
        <f>IF(OR(Table1[[#This Row],[Low Tol]]="",Table1[[#This Row],[High Tol]]=""),"Needs Analysis",IF(Table1[[#This Row],[Ratio]]&gt;=4,"Not Significant",IF(Table1[[#This Row],[Ratio]]&gt;=2,"Semi-Significant","Significant")))</f>
        <v>Needs Analysis</v>
      </c>
      <c r="W1731" s="1">
        <f>IF(Table1[[#This Row],[Cal Type]]&lt;&gt;"ACCREDITED 17025 WITH UNCERTAINTIES",0,"")</f>
        <v>0</v>
      </c>
      <c r="X1731" s="1" t="str">
        <f>IF(Table1[[#This Row],[DUT Read]]="","N/A",Table1[[#This Row],[Std Error]]+Table1[[#This Row],[DUT Read]]+Table1[[#This Row],[DUT Ucty]])</f>
        <v>N/A</v>
      </c>
      <c r="Y1731" s="1" t="str">
        <f>IF(Table1[[#This Row],[Std Read]]="","N/A",Table1[[#This Row],[Std Read]]+Table1[[#This Row],[Std Ucty]])</f>
        <v>N/A</v>
      </c>
      <c r="Z17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1" s="1" t="str">
        <f>IF(Table1[[#This Row],[Spec Type]]="","N/A",Table1[[#This Row],[Spec Type]])</f>
        <v>±</v>
      </c>
      <c r="AC1731" s="1" t="str">
        <f>IF(Table1[[#This Row],[Spec Type2]]="N/A","N/A",IF(AND(Table1[[#This Row],[DUT Adj Read]]&gt;=Table1[[#This Row],[Low Tol]],Table1[[#This Row],[DUT Adj Read]]&lt;=Table1[[#This Row],[High Tol]]),"Pass","Fail"))</f>
        <v>Fail</v>
      </c>
      <c r="AD1731" s="1" t="str">
        <f>IF(AND(Table1[[#This Row],[Spec Type2]]="N/A",Table1[[#This Row],[DUT Adj Read]]="N/A",Table1[[#This Row],[Std Adj Read]]="N/A"),"N/A",IF(Table1[[#This Row],[DUT Adj Read]]="N/A",IF(Table1[[#This Row],[Std Adj Read]]&gt;Table1[[#This Row],[Low Tol]],"Pass","Fail"),IF(Table1[[#This Row],[DUT Adj Read]]&gt;Table1[[#This Row],[Low Tol]],"Pass","Fail")))</f>
        <v>Pass</v>
      </c>
      <c r="AE1731" s="1" t="str">
        <f>IF(AND(Table1[[#This Row],[Spec Type2]]="N/A",Table1[[#This Row],[DUT Adj Read]]="N/A",Table1[[#This Row],[Std Adj Read]]="N/A"),"N/A",IF(Table1[[#This Row],[DUT Adj Read]]="N/A",IF(Table1[[#This Row],[Std Adj Read]]&lt;Table1[[#This Row],[High Tol]],"Pass","Fail"),IF(Table1[[#This Row],[DUT Adj Read]]&lt;Table1[[#This Row],[High Tol]],"Pass","Fail")))</f>
        <v>Fail</v>
      </c>
      <c r="AF1731" s="1" t="str">
        <f>IF(AND(Table1[[#This Row],[Spec Type2]]="N/A",Table1[[#This Row],[DUT Adj Read]]="N/A",Table1[[#This Row],[Std Adj Read]]="N/A"),"N/A",IF(Table1[[#This Row],[DUT Adj Read]]="N/A",IF(Table1[[#This Row],[Std Adj Read]]&gt;=Table1[[#This Row],[Low Tol]],"Pass","Fail"),IF(Table1[[#This Row],[DUT Adj Read]]&gt;=Table1[[#This Row],[Low Tol]],"Pass","Fail")))</f>
        <v>Pass</v>
      </c>
      <c r="AG1731" s="1" t="str">
        <f>IF(AND(Table1[[#This Row],[Spec Type2]]="N/A",Table1[[#This Row],[DUT Adj Read]]="N/A",Table1[[#This Row],[Std Adj Read]]="N/A"),"N/A",IF(Table1[[#This Row],[DUT Adj Read]]="N/A",IF(Table1[[#This Row],[Std Adj Read]]&lt;=Table1[[#This Row],[High Tol]],"Pass","Fail"),IF(Table1[[#This Row],[DUT Adj Read]]&lt;=Table1[[#This Row],[High Tol]],"Pass","Fail")))</f>
        <v>Fail</v>
      </c>
      <c r="AH17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1" s="1" t="b">
        <v>0</v>
      </c>
      <c r="AN1731" s="1" t="b">
        <v>0</v>
      </c>
      <c r="AO1731" s="1" t="b">
        <v>0</v>
      </c>
    </row>
    <row r="1732" spans="1:41" x14ac:dyDescent="0.25">
      <c r="A1732" s="10"/>
      <c r="B1732" s="10"/>
      <c r="C1732" s="10"/>
      <c r="D1732" s="10"/>
      <c r="E1732" s="10"/>
      <c r="F1732" s="10"/>
      <c r="G1732" s="10"/>
      <c r="H1732" s="10"/>
      <c r="I1732" s="1" t="str">
        <f t="shared" si="78"/>
        <v/>
      </c>
      <c r="J1732" s="1" t="s">
        <v>35</v>
      </c>
      <c r="K1732" s="1" t="str">
        <f t="shared" si="79"/>
        <v/>
      </c>
      <c r="L1732" s="1" t="str">
        <f t="shared" si="80"/>
        <v/>
      </c>
      <c r="M1732" s="1">
        <f>IF(OR(Table1[[#This Row],[Std Nom]]="",Table1[[#This Row],[Std Read]]=""),0,Table1[[#This Row],[Std Nom]]-Table1[[#This Row],[Std Read]])</f>
        <v>0</v>
      </c>
      <c r="N1732" s="1">
        <f>IF(Calculations!$F$5="ACCREDITED 17025 WITH UNCERTAINTIES",$N$10,0)</f>
        <v>0</v>
      </c>
      <c r="O1732" s="1" t="str">
        <f>IFERROR(Table1[[#This Row],[Std Nom]]-(_xlfn.XLOOKUP(Table1[[#This Row],[Manufacturer]]&amp;" "&amp;Table1[[#This Row],[Model]],Table13[MFR &amp; MDL],Table13[Tolerance % CW ],"")/100*Table1[[#This Row],[Std Nom]]),"")</f>
        <v/>
      </c>
      <c r="P1732" s="1" t="str">
        <f>IFERROR(Table1[[#This Row],[Std Nom]]+(_xlfn.XLOOKUP(Table1[[#This Row],[Manufacturer]]&amp;" "&amp;Table1[[#This Row],[Model]],Table13[MFR &amp; MDL],Table13[Tolerance % CW ],"")/100*Table1[[#This Row],[Std Nom]]),"")</f>
        <v/>
      </c>
      <c r="Q1732" s="1" t="e">
        <f>Table1[[#This Row],[High Tol]]-Table1[[#This Row],[Low Tol]]</f>
        <v>#VALUE!</v>
      </c>
      <c r="R1732" s="1">
        <f>2*Table1[[#This Row],[Std Error]]</f>
        <v>0</v>
      </c>
      <c r="S1732" s="1" t="str">
        <f>IF(Table1[[#This Row],[High Tol]]="","N/A",IFERROR(ABS(Table1[[#This Row],[Tol Span]]/Table1[[#This Row],[Error Span]]),"N/A"))</f>
        <v>N/A</v>
      </c>
      <c r="T1732" s="1" t="str">
        <f>IF(OR(Table1[[#This Row],[Low Tol]]="",Table1[[#This Row],[High Tol]]=""),"Needs Analysis",IF(Table1[[#This Row],[Ratio]]&gt;=4,"Not Significant",IF(Table1[[#This Row],[Ratio]]&gt;=2,"Semi-Significant","Significant")))</f>
        <v>Needs Analysis</v>
      </c>
      <c r="W1732" s="1">
        <f>IF(Table1[[#This Row],[Cal Type]]&lt;&gt;"ACCREDITED 17025 WITH UNCERTAINTIES",0,"")</f>
        <v>0</v>
      </c>
      <c r="X1732" s="1" t="str">
        <f>IF(Table1[[#This Row],[DUT Read]]="","N/A",Table1[[#This Row],[Std Error]]+Table1[[#This Row],[DUT Read]]+Table1[[#This Row],[DUT Ucty]])</f>
        <v>N/A</v>
      </c>
      <c r="Y1732" s="1" t="str">
        <f>IF(Table1[[#This Row],[Std Read]]="","N/A",Table1[[#This Row],[Std Read]]+Table1[[#This Row],[Std Ucty]])</f>
        <v>N/A</v>
      </c>
      <c r="Z17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2" s="1" t="str">
        <f>IF(Table1[[#This Row],[Spec Type]]="","N/A",Table1[[#This Row],[Spec Type]])</f>
        <v>±</v>
      </c>
      <c r="AC1732" s="1" t="str">
        <f>IF(Table1[[#This Row],[Spec Type2]]="N/A","N/A",IF(AND(Table1[[#This Row],[DUT Adj Read]]&gt;=Table1[[#This Row],[Low Tol]],Table1[[#This Row],[DUT Adj Read]]&lt;=Table1[[#This Row],[High Tol]]),"Pass","Fail"))</f>
        <v>Fail</v>
      </c>
      <c r="AD1732" s="1" t="str">
        <f>IF(AND(Table1[[#This Row],[Spec Type2]]="N/A",Table1[[#This Row],[DUT Adj Read]]="N/A",Table1[[#This Row],[Std Adj Read]]="N/A"),"N/A",IF(Table1[[#This Row],[DUT Adj Read]]="N/A",IF(Table1[[#This Row],[Std Adj Read]]&gt;Table1[[#This Row],[Low Tol]],"Pass","Fail"),IF(Table1[[#This Row],[DUT Adj Read]]&gt;Table1[[#This Row],[Low Tol]],"Pass","Fail")))</f>
        <v>Pass</v>
      </c>
      <c r="AE1732" s="1" t="str">
        <f>IF(AND(Table1[[#This Row],[Spec Type2]]="N/A",Table1[[#This Row],[DUT Adj Read]]="N/A",Table1[[#This Row],[Std Adj Read]]="N/A"),"N/A",IF(Table1[[#This Row],[DUT Adj Read]]="N/A",IF(Table1[[#This Row],[Std Adj Read]]&lt;Table1[[#This Row],[High Tol]],"Pass","Fail"),IF(Table1[[#This Row],[DUT Adj Read]]&lt;Table1[[#This Row],[High Tol]],"Pass","Fail")))</f>
        <v>Fail</v>
      </c>
      <c r="AF1732" s="1" t="str">
        <f>IF(AND(Table1[[#This Row],[Spec Type2]]="N/A",Table1[[#This Row],[DUT Adj Read]]="N/A",Table1[[#This Row],[Std Adj Read]]="N/A"),"N/A",IF(Table1[[#This Row],[DUT Adj Read]]="N/A",IF(Table1[[#This Row],[Std Adj Read]]&gt;=Table1[[#This Row],[Low Tol]],"Pass","Fail"),IF(Table1[[#This Row],[DUT Adj Read]]&gt;=Table1[[#This Row],[Low Tol]],"Pass","Fail")))</f>
        <v>Pass</v>
      </c>
      <c r="AG1732" s="1" t="str">
        <f>IF(AND(Table1[[#This Row],[Spec Type2]]="N/A",Table1[[#This Row],[DUT Adj Read]]="N/A",Table1[[#This Row],[Std Adj Read]]="N/A"),"N/A",IF(Table1[[#This Row],[DUT Adj Read]]="N/A",IF(Table1[[#This Row],[Std Adj Read]]&lt;=Table1[[#This Row],[High Tol]],"Pass","Fail"),IF(Table1[[#This Row],[DUT Adj Read]]&lt;=Table1[[#This Row],[High Tol]],"Pass","Fail")))</f>
        <v>Fail</v>
      </c>
      <c r="AH17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2" s="1" t="b">
        <v>0</v>
      </c>
      <c r="AN1732" s="1" t="b">
        <v>0</v>
      </c>
      <c r="AO1732" s="1" t="b">
        <v>0</v>
      </c>
    </row>
    <row r="1733" spans="1:41" x14ac:dyDescent="0.25">
      <c r="A1733" s="10"/>
      <c r="B1733" s="10"/>
      <c r="C1733" s="10"/>
      <c r="D1733" s="10"/>
      <c r="E1733" s="10"/>
      <c r="F1733" s="10"/>
      <c r="G1733" s="10"/>
      <c r="H1733" s="10"/>
      <c r="I1733" s="1" t="str">
        <f t="shared" si="78"/>
        <v/>
      </c>
      <c r="J1733" s="1" t="s">
        <v>35</v>
      </c>
      <c r="K1733" s="1" t="str">
        <f t="shared" si="79"/>
        <v/>
      </c>
      <c r="L1733" s="1" t="str">
        <f t="shared" si="80"/>
        <v/>
      </c>
      <c r="M1733" s="1">
        <f>IF(OR(Table1[[#This Row],[Std Nom]]="",Table1[[#This Row],[Std Read]]=""),0,Table1[[#This Row],[Std Nom]]-Table1[[#This Row],[Std Read]])</f>
        <v>0</v>
      </c>
      <c r="N1733" s="1">
        <f>IF(Calculations!$F$5="ACCREDITED 17025 WITH UNCERTAINTIES",$N$10,0)</f>
        <v>0</v>
      </c>
      <c r="O1733" s="1" t="str">
        <f>IFERROR(Table1[[#This Row],[Std Nom]]-(_xlfn.XLOOKUP(Table1[[#This Row],[Manufacturer]]&amp;" "&amp;Table1[[#This Row],[Model]],Table13[MFR &amp; MDL],Table13[Tolerance % CW ],"")/100*Table1[[#This Row],[Std Nom]]),"")</f>
        <v/>
      </c>
      <c r="P1733" s="1" t="str">
        <f>IFERROR(Table1[[#This Row],[Std Nom]]+(_xlfn.XLOOKUP(Table1[[#This Row],[Manufacturer]]&amp;" "&amp;Table1[[#This Row],[Model]],Table13[MFR &amp; MDL],Table13[Tolerance % CW ],"")/100*Table1[[#This Row],[Std Nom]]),"")</f>
        <v/>
      </c>
      <c r="Q1733" s="1" t="e">
        <f>Table1[[#This Row],[High Tol]]-Table1[[#This Row],[Low Tol]]</f>
        <v>#VALUE!</v>
      </c>
      <c r="R1733" s="1">
        <f>2*Table1[[#This Row],[Std Error]]</f>
        <v>0</v>
      </c>
      <c r="S1733" s="1" t="str">
        <f>IF(Table1[[#This Row],[High Tol]]="","N/A",IFERROR(ABS(Table1[[#This Row],[Tol Span]]/Table1[[#This Row],[Error Span]]),"N/A"))</f>
        <v>N/A</v>
      </c>
      <c r="T1733" s="1" t="str">
        <f>IF(OR(Table1[[#This Row],[Low Tol]]="",Table1[[#This Row],[High Tol]]=""),"Needs Analysis",IF(Table1[[#This Row],[Ratio]]&gt;=4,"Not Significant",IF(Table1[[#This Row],[Ratio]]&gt;=2,"Semi-Significant","Significant")))</f>
        <v>Needs Analysis</v>
      </c>
      <c r="W1733" s="1">
        <f>IF(Table1[[#This Row],[Cal Type]]&lt;&gt;"ACCREDITED 17025 WITH UNCERTAINTIES",0,"")</f>
        <v>0</v>
      </c>
      <c r="X1733" s="1" t="str">
        <f>IF(Table1[[#This Row],[DUT Read]]="","N/A",Table1[[#This Row],[Std Error]]+Table1[[#This Row],[DUT Read]]+Table1[[#This Row],[DUT Ucty]])</f>
        <v>N/A</v>
      </c>
      <c r="Y1733" s="1" t="str">
        <f>IF(Table1[[#This Row],[Std Read]]="","N/A",Table1[[#This Row],[Std Read]]+Table1[[#This Row],[Std Ucty]])</f>
        <v>N/A</v>
      </c>
      <c r="Z17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3" s="1" t="str">
        <f>IF(Table1[[#This Row],[Spec Type]]="","N/A",Table1[[#This Row],[Spec Type]])</f>
        <v>±</v>
      </c>
      <c r="AC1733" s="1" t="str">
        <f>IF(Table1[[#This Row],[Spec Type2]]="N/A","N/A",IF(AND(Table1[[#This Row],[DUT Adj Read]]&gt;=Table1[[#This Row],[Low Tol]],Table1[[#This Row],[DUT Adj Read]]&lt;=Table1[[#This Row],[High Tol]]),"Pass","Fail"))</f>
        <v>Fail</v>
      </c>
      <c r="AD1733" s="1" t="str">
        <f>IF(AND(Table1[[#This Row],[Spec Type2]]="N/A",Table1[[#This Row],[DUT Adj Read]]="N/A",Table1[[#This Row],[Std Adj Read]]="N/A"),"N/A",IF(Table1[[#This Row],[DUT Adj Read]]="N/A",IF(Table1[[#This Row],[Std Adj Read]]&gt;Table1[[#This Row],[Low Tol]],"Pass","Fail"),IF(Table1[[#This Row],[DUT Adj Read]]&gt;Table1[[#This Row],[Low Tol]],"Pass","Fail")))</f>
        <v>Pass</v>
      </c>
      <c r="AE1733" s="1" t="str">
        <f>IF(AND(Table1[[#This Row],[Spec Type2]]="N/A",Table1[[#This Row],[DUT Adj Read]]="N/A",Table1[[#This Row],[Std Adj Read]]="N/A"),"N/A",IF(Table1[[#This Row],[DUT Adj Read]]="N/A",IF(Table1[[#This Row],[Std Adj Read]]&lt;Table1[[#This Row],[High Tol]],"Pass","Fail"),IF(Table1[[#This Row],[DUT Adj Read]]&lt;Table1[[#This Row],[High Tol]],"Pass","Fail")))</f>
        <v>Fail</v>
      </c>
      <c r="AF1733" s="1" t="str">
        <f>IF(AND(Table1[[#This Row],[Spec Type2]]="N/A",Table1[[#This Row],[DUT Adj Read]]="N/A",Table1[[#This Row],[Std Adj Read]]="N/A"),"N/A",IF(Table1[[#This Row],[DUT Adj Read]]="N/A",IF(Table1[[#This Row],[Std Adj Read]]&gt;=Table1[[#This Row],[Low Tol]],"Pass","Fail"),IF(Table1[[#This Row],[DUT Adj Read]]&gt;=Table1[[#This Row],[Low Tol]],"Pass","Fail")))</f>
        <v>Pass</v>
      </c>
      <c r="AG1733" s="1" t="str">
        <f>IF(AND(Table1[[#This Row],[Spec Type2]]="N/A",Table1[[#This Row],[DUT Adj Read]]="N/A",Table1[[#This Row],[Std Adj Read]]="N/A"),"N/A",IF(Table1[[#This Row],[DUT Adj Read]]="N/A",IF(Table1[[#This Row],[Std Adj Read]]&lt;=Table1[[#This Row],[High Tol]],"Pass","Fail"),IF(Table1[[#This Row],[DUT Adj Read]]&lt;=Table1[[#This Row],[High Tol]],"Pass","Fail")))</f>
        <v>Fail</v>
      </c>
      <c r="AH17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3" s="1" t="b">
        <v>0</v>
      </c>
      <c r="AN1733" s="1" t="b">
        <v>0</v>
      </c>
      <c r="AO1733" s="1" t="b">
        <v>0</v>
      </c>
    </row>
    <row r="1734" spans="1:41" x14ac:dyDescent="0.25">
      <c r="A1734" s="10"/>
      <c r="B1734" s="10"/>
      <c r="C1734" s="10"/>
      <c r="D1734" s="10"/>
      <c r="E1734" s="10"/>
      <c r="F1734" s="10"/>
      <c r="G1734" s="10"/>
      <c r="H1734" s="10"/>
      <c r="I1734" s="1" t="str">
        <f t="shared" si="78"/>
        <v/>
      </c>
      <c r="J1734" s="1" t="s">
        <v>35</v>
      </c>
      <c r="K1734" s="1" t="str">
        <f t="shared" si="79"/>
        <v/>
      </c>
      <c r="L1734" s="1" t="str">
        <f t="shared" si="80"/>
        <v/>
      </c>
      <c r="M1734" s="1">
        <f>IF(OR(Table1[[#This Row],[Std Nom]]="",Table1[[#This Row],[Std Read]]=""),0,Table1[[#This Row],[Std Nom]]-Table1[[#This Row],[Std Read]])</f>
        <v>0</v>
      </c>
      <c r="N1734" s="1">
        <f>IF(Calculations!$F$5="ACCREDITED 17025 WITH UNCERTAINTIES",$N$10,0)</f>
        <v>0</v>
      </c>
      <c r="O1734" s="1" t="str">
        <f>IFERROR(Table1[[#This Row],[Std Nom]]-(_xlfn.XLOOKUP(Table1[[#This Row],[Manufacturer]]&amp;" "&amp;Table1[[#This Row],[Model]],Table13[MFR &amp; MDL],Table13[Tolerance % CW ],"")/100*Table1[[#This Row],[Std Nom]]),"")</f>
        <v/>
      </c>
      <c r="P1734" s="1" t="str">
        <f>IFERROR(Table1[[#This Row],[Std Nom]]+(_xlfn.XLOOKUP(Table1[[#This Row],[Manufacturer]]&amp;" "&amp;Table1[[#This Row],[Model]],Table13[MFR &amp; MDL],Table13[Tolerance % CW ],"")/100*Table1[[#This Row],[Std Nom]]),"")</f>
        <v/>
      </c>
      <c r="Q1734" s="1" t="e">
        <f>Table1[[#This Row],[High Tol]]-Table1[[#This Row],[Low Tol]]</f>
        <v>#VALUE!</v>
      </c>
      <c r="R1734" s="1">
        <f>2*Table1[[#This Row],[Std Error]]</f>
        <v>0</v>
      </c>
      <c r="S1734" s="1" t="str">
        <f>IF(Table1[[#This Row],[High Tol]]="","N/A",IFERROR(ABS(Table1[[#This Row],[Tol Span]]/Table1[[#This Row],[Error Span]]),"N/A"))</f>
        <v>N/A</v>
      </c>
      <c r="T1734" s="1" t="str">
        <f>IF(OR(Table1[[#This Row],[Low Tol]]="",Table1[[#This Row],[High Tol]]=""),"Needs Analysis",IF(Table1[[#This Row],[Ratio]]&gt;=4,"Not Significant",IF(Table1[[#This Row],[Ratio]]&gt;=2,"Semi-Significant","Significant")))</f>
        <v>Needs Analysis</v>
      </c>
      <c r="W1734" s="1">
        <f>IF(Table1[[#This Row],[Cal Type]]&lt;&gt;"ACCREDITED 17025 WITH UNCERTAINTIES",0,"")</f>
        <v>0</v>
      </c>
      <c r="X1734" s="1" t="str">
        <f>IF(Table1[[#This Row],[DUT Read]]="","N/A",Table1[[#This Row],[Std Error]]+Table1[[#This Row],[DUT Read]]+Table1[[#This Row],[DUT Ucty]])</f>
        <v>N/A</v>
      </c>
      <c r="Y1734" s="1" t="str">
        <f>IF(Table1[[#This Row],[Std Read]]="","N/A",Table1[[#This Row],[Std Read]]+Table1[[#This Row],[Std Ucty]])</f>
        <v>N/A</v>
      </c>
      <c r="Z17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4" s="1" t="str">
        <f>IF(Table1[[#This Row],[Spec Type]]="","N/A",Table1[[#This Row],[Spec Type]])</f>
        <v>±</v>
      </c>
      <c r="AC1734" s="1" t="str">
        <f>IF(Table1[[#This Row],[Spec Type2]]="N/A","N/A",IF(AND(Table1[[#This Row],[DUT Adj Read]]&gt;=Table1[[#This Row],[Low Tol]],Table1[[#This Row],[DUT Adj Read]]&lt;=Table1[[#This Row],[High Tol]]),"Pass","Fail"))</f>
        <v>Fail</v>
      </c>
      <c r="AD1734" s="1" t="str">
        <f>IF(AND(Table1[[#This Row],[Spec Type2]]="N/A",Table1[[#This Row],[DUT Adj Read]]="N/A",Table1[[#This Row],[Std Adj Read]]="N/A"),"N/A",IF(Table1[[#This Row],[DUT Adj Read]]="N/A",IF(Table1[[#This Row],[Std Adj Read]]&gt;Table1[[#This Row],[Low Tol]],"Pass","Fail"),IF(Table1[[#This Row],[DUT Adj Read]]&gt;Table1[[#This Row],[Low Tol]],"Pass","Fail")))</f>
        <v>Pass</v>
      </c>
      <c r="AE1734" s="1" t="str">
        <f>IF(AND(Table1[[#This Row],[Spec Type2]]="N/A",Table1[[#This Row],[DUT Adj Read]]="N/A",Table1[[#This Row],[Std Adj Read]]="N/A"),"N/A",IF(Table1[[#This Row],[DUT Adj Read]]="N/A",IF(Table1[[#This Row],[Std Adj Read]]&lt;Table1[[#This Row],[High Tol]],"Pass","Fail"),IF(Table1[[#This Row],[DUT Adj Read]]&lt;Table1[[#This Row],[High Tol]],"Pass","Fail")))</f>
        <v>Fail</v>
      </c>
      <c r="AF1734" s="1" t="str">
        <f>IF(AND(Table1[[#This Row],[Spec Type2]]="N/A",Table1[[#This Row],[DUT Adj Read]]="N/A",Table1[[#This Row],[Std Adj Read]]="N/A"),"N/A",IF(Table1[[#This Row],[DUT Adj Read]]="N/A",IF(Table1[[#This Row],[Std Adj Read]]&gt;=Table1[[#This Row],[Low Tol]],"Pass","Fail"),IF(Table1[[#This Row],[DUT Adj Read]]&gt;=Table1[[#This Row],[Low Tol]],"Pass","Fail")))</f>
        <v>Pass</v>
      </c>
      <c r="AG1734" s="1" t="str">
        <f>IF(AND(Table1[[#This Row],[Spec Type2]]="N/A",Table1[[#This Row],[DUT Adj Read]]="N/A",Table1[[#This Row],[Std Adj Read]]="N/A"),"N/A",IF(Table1[[#This Row],[DUT Adj Read]]="N/A",IF(Table1[[#This Row],[Std Adj Read]]&lt;=Table1[[#This Row],[High Tol]],"Pass","Fail"),IF(Table1[[#This Row],[DUT Adj Read]]&lt;=Table1[[#This Row],[High Tol]],"Pass","Fail")))</f>
        <v>Fail</v>
      </c>
      <c r="AH17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4" s="1" t="b">
        <v>0</v>
      </c>
      <c r="AN1734" s="1" t="b">
        <v>0</v>
      </c>
      <c r="AO1734" s="1" t="b">
        <v>0</v>
      </c>
    </row>
    <row r="1735" spans="1:41" x14ac:dyDescent="0.25">
      <c r="A1735" s="10"/>
      <c r="B1735" s="10"/>
      <c r="C1735" s="10"/>
      <c r="D1735" s="10"/>
      <c r="E1735" s="10"/>
      <c r="F1735" s="10"/>
      <c r="G1735" s="10"/>
      <c r="H1735" s="10"/>
      <c r="I1735" s="1" t="str">
        <f t="shared" si="78"/>
        <v/>
      </c>
      <c r="J1735" s="1" t="s">
        <v>35</v>
      </c>
      <c r="K1735" s="1" t="str">
        <f t="shared" si="79"/>
        <v/>
      </c>
      <c r="L1735" s="1" t="str">
        <f t="shared" si="80"/>
        <v/>
      </c>
      <c r="M1735" s="1">
        <f>IF(OR(Table1[[#This Row],[Std Nom]]="",Table1[[#This Row],[Std Read]]=""),0,Table1[[#This Row],[Std Nom]]-Table1[[#This Row],[Std Read]])</f>
        <v>0</v>
      </c>
      <c r="N1735" s="1">
        <f>IF(Calculations!$F$5="ACCREDITED 17025 WITH UNCERTAINTIES",$N$10,0)</f>
        <v>0</v>
      </c>
      <c r="O1735" s="1" t="str">
        <f>IFERROR(Table1[[#This Row],[Std Nom]]-(_xlfn.XLOOKUP(Table1[[#This Row],[Manufacturer]]&amp;" "&amp;Table1[[#This Row],[Model]],Table13[MFR &amp; MDL],Table13[Tolerance % CW ],"")/100*Table1[[#This Row],[Std Nom]]),"")</f>
        <v/>
      </c>
      <c r="P1735" s="1" t="str">
        <f>IFERROR(Table1[[#This Row],[Std Nom]]+(_xlfn.XLOOKUP(Table1[[#This Row],[Manufacturer]]&amp;" "&amp;Table1[[#This Row],[Model]],Table13[MFR &amp; MDL],Table13[Tolerance % CW ],"")/100*Table1[[#This Row],[Std Nom]]),"")</f>
        <v/>
      </c>
      <c r="Q1735" s="1" t="e">
        <f>Table1[[#This Row],[High Tol]]-Table1[[#This Row],[Low Tol]]</f>
        <v>#VALUE!</v>
      </c>
      <c r="R1735" s="1">
        <f>2*Table1[[#This Row],[Std Error]]</f>
        <v>0</v>
      </c>
      <c r="S1735" s="1" t="str">
        <f>IF(Table1[[#This Row],[High Tol]]="","N/A",IFERROR(ABS(Table1[[#This Row],[Tol Span]]/Table1[[#This Row],[Error Span]]),"N/A"))</f>
        <v>N/A</v>
      </c>
      <c r="T1735" s="1" t="str">
        <f>IF(OR(Table1[[#This Row],[Low Tol]]="",Table1[[#This Row],[High Tol]]=""),"Needs Analysis",IF(Table1[[#This Row],[Ratio]]&gt;=4,"Not Significant",IF(Table1[[#This Row],[Ratio]]&gt;=2,"Semi-Significant","Significant")))</f>
        <v>Needs Analysis</v>
      </c>
      <c r="W1735" s="1">
        <f>IF(Table1[[#This Row],[Cal Type]]&lt;&gt;"ACCREDITED 17025 WITH UNCERTAINTIES",0,"")</f>
        <v>0</v>
      </c>
      <c r="X1735" s="1" t="str">
        <f>IF(Table1[[#This Row],[DUT Read]]="","N/A",Table1[[#This Row],[Std Error]]+Table1[[#This Row],[DUT Read]]+Table1[[#This Row],[DUT Ucty]])</f>
        <v>N/A</v>
      </c>
      <c r="Y1735" s="1" t="str">
        <f>IF(Table1[[#This Row],[Std Read]]="","N/A",Table1[[#This Row],[Std Read]]+Table1[[#This Row],[Std Ucty]])</f>
        <v>N/A</v>
      </c>
      <c r="Z17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5" s="1" t="str">
        <f>IF(Table1[[#This Row],[Spec Type]]="","N/A",Table1[[#This Row],[Spec Type]])</f>
        <v>±</v>
      </c>
      <c r="AC1735" s="1" t="str">
        <f>IF(Table1[[#This Row],[Spec Type2]]="N/A","N/A",IF(AND(Table1[[#This Row],[DUT Adj Read]]&gt;=Table1[[#This Row],[Low Tol]],Table1[[#This Row],[DUT Adj Read]]&lt;=Table1[[#This Row],[High Tol]]),"Pass","Fail"))</f>
        <v>Fail</v>
      </c>
      <c r="AD1735" s="1" t="str">
        <f>IF(AND(Table1[[#This Row],[Spec Type2]]="N/A",Table1[[#This Row],[DUT Adj Read]]="N/A",Table1[[#This Row],[Std Adj Read]]="N/A"),"N/A",IF(Table1[[#This Row],[DUT Adj Read]]="N/A",IF(Table1[[#This Row],[Std Adj Read]]&gt;Table1[[#This Row],[Low Tol]],"Pass","Fail"),IF(Table1[[#This Row],[DUT Adj Read]]&gt;Table1[[#This Row],[Low Tol]],"Pass","Fail")))</f>
        <v>Pass</v>
      </c>
      <c r="AE1735" s="1" t="str">
        <f>IF(AND(Table1[[#This Row],[Spec Type2]]="N/A",Table1[[#This Row],[DUT Adj Read]]="N/A",Table1[[#This Row],[Std Adj Read]]="N/A"),"N/A",IF(Table1[[#This Row],[DUT Adj Read]]="N/A",IF(Table1[[#This Row],[Std Adj Read]]&lt;Table1[[#This Row],[High Tol]],"Pass","Fail"),IF(Table1[[#This Row],[DUT Adj Read]]&lt;Table1[[#This Row],[High Tol]],"Pass","Fail")))</f>
        <v>Fail</v>
      </c>
      <c r="AF1735" s="1" t="str">
        <f>IF(AND(Table1[[#This Row],[Spec Type2]]="N/A",Table1[[#This Row],[DUT Adj Read]]="N/A",Table1[[#This Row],[Std Adj Read]]="N/A"),"N/A",IF(Table1[[#This Row],[DUT Adj Read]]="N/A",IF(Table1[[#This Row],[Std Adj Read]]&gt;=Table1[[#This Row],[Low Tol]],"Pass","Fail"),IF(Table1[[#This Row],[DUT Adj Read]]&gt;=Table1[[#This Row],[Low Tol]],"Pass","Fail")))</f>
        <v>Pass</v>
      </c>
      <c r="AG1735" s="1" t="str">
        <f>IF(AND(Table1[[#This Row],[Spec Type2]]="N/A",Table1[[#This Row],[DUT Adj Read]]="N/A",Table1[[#This Row],[Std Adj Read]]="N/A"),"N/A",IF(Table1[[#This Row],[DUT Adj Read]]="N/A",IF(Table1[[#This Row],[Std Adj Read]]&lt;=Table1[[#This Row],[High Tol]],"Pass","Fail"),IF(Table1[[#This Row],[DUT Adj Read]]&lt;=Table1[[#This Row],[High Tol]],"Pass","Fail")))</f>
        <v>Fail</v>
      </c>
      <c r="AH17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5" s="1" t="b">
        <v>0</v>
      </c>
      <c r="AN1735" s="1" t="b">
        <v>0</v>
      </c>
      <c r="AO1735" s="1" t="b">
        <v>0</v>
      </c>
    </row>
    <row r="1736" spans="1:41" x14ac:dyDescent="0.25">
      <c r="A1736" s="10"/>
      <c r="B1736" s="10"/>
      <c r="C1736" s="10"/>
      <c r="D1736" s="10"/>
      <c r="E1736" s="10"/>
      <c r="F1736" s="10"/>
      <c r="G1736" s="10"/>
      <c r="H1736" s="10"/>
      <c r="I1736" s="1" t="str">
        <f t="shared" si="78"/>
        <v/>
      </c>
      <c r="J1736" s="1" t="s">
        <v>35</v>
      </c>
      <c r="K1736" s="1" t="str">
        <f t="shared" si="79"/>
        <v/>
      </c>
      <c r="L1736" s="1" t="str">
        <f t="shared" si="80"/>
        <v/>
      </c>
      <c r="M1736" s="1">
        <f>IF(OR(Table1[[#This Row],[Std Nom]]="",Table1[[#This Row],[Std Read]]=""),0,Table1[[#This Row],[Std Nom]]-Table1[[#This Row],[Std Read]])</f>
        <v>0</v>
      </c>
      <c r="N1736" s="1">
        <f>IF(Calculations!$F$5="ACCREDITED 17025 WITH UNCERTAINTIES",$N$10,0)</f>
        <v>0</v>
      </c>
      <c r="O1736" s="1" t="str">
        <f>IFERROR(Table1[[#This Row],[Std Nom]]-(_xlfn.XLOOKUP(Table1[[#This Row],[Manufacturer]]&amp;" "&amp;Table1[[#This Row],[Model]],Table13[MFR &amp; MDL],Table13[Tolerance % CW ],"")/100*Table1[[#This Row],[Std Nom]]),"")</f>
        <v/>
      </c>
      <c r="P1736" s="1" t="str">
        <f>IFERROR(Table1[[#This Row],[Std Nom]]+(_xlfn.XLOOKUP(Table1[[#This Row],[Manufacturer]]&amp;" "&amp;Table1[[#This Row],[Model]],Table13[MFR &amp; MDL],Table13[Tolerance % CW ],"")/100*Table1[[#This Row],[Std Nom]]),"")</f>
        <v/>
      </c>
      <c r="Q1736" s="1" t="e">
        <f>Table1[[#This Row],[High Tol]]-Table1[[#This Row],[Low Tol]]</f>
        <v>#VALUE!</v>
      </c>
      <c r="R1736" s="1">
        <f>2*Table1[[#This Row],[Std Error]]</f>
        <v>0</v>
      </c>
      <c r="S1736" s="1" t="str">
        <f>IF(Table1[[#This Row],[High Tol]]="","N/A",IFERROR(ABS(Table1[[#This Row],[Tol Span]]/Table1[[#This Row],[Error Span]]),"N/A"))</f>
        <v>N/A</v>
      </c>
      <c r="T1736" s="1" t="str">
        <f>IF(OR(Table1[[#This Row],[Low Tol]]="",Table1[[#This Row],[High Tol]]=""),"Needs Analysis",IF(Table1[[#This Row],[Ratio]]&gt;=4,"Not Significant",IF(Table1[[#This Row],[Ratio]]&gt;=2,"Semi-Significant","Significant")))</f>
        <v>Needs Analysis</v>
      </c>
      <c r="W1736" s="1">
        <f>IF(Table1[[#This Row],[Cal Type]]&lt;&gt;"ACCREDITED 17025 WITH UNCERTAINTIES",0,"")</f>
        <v>0</v>
      </c>
      <c r="X1736" s="1" t="str">
        <f>IF(Table1[[#This Row],[DUT Read]]="","N/A",Table1[[#This Row],[Std Error]]+Table1[[#This Row],[DUT Read]]+Table1[[#This Row],[DUT Ucty]])</f>
        <v>N/A</v>
      </c>
      <c r="Y1736" s="1" t="str">
        <f>IF(Table1[[#This Row],[Std Read]]="","N/A",Table1[[#This Row],[Std Read]]+Table1[[#This Row],[Std Ucty]])</f>
        <v>N/A</v>
      </c>
      <c r="Z17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6" s="1" t="str">
        <f>IF(Table1[[#This Row],[Spec Type]]="","N/A",Table1[[#This Row],[Spec Type]])</f>
        <v>±</v>
      </c>
      <c r="AC1736" s="1" t="str">
        <f>IF(Table1[[#This Row],[Spec Type2]]="N/A","N/A",IF(AND(Table1[[#This Row],[DUT Adj Read]]&gt;=Table1[[#This Row],[Low Tol]],Table1[[#This Row],[DUT Adj Read]]&lt;=Table1[[#This Row],[High Tol]]),"Pass","Fail"))</f>
        <v>Fail</v>
      </c>
      <c r="AD1736" s="1" t="str">
        <f>IF(AND(Table1[[#This Row],[Spec Type2]]="N/A",Table1[[#This Row],[DUT Adj Read]]="N/A",Table1[[#This Row],[Std Adj Read]]="N/A"),"N/A",IF(Table1[[#This Row],[DUT Adj Read]]="N/A",IF(Table1[[#This Row],[Std Adj Read]]&gt;Table1[[#This Row],[Low Tol]],"Pass","Fail"),IF(Table1[[#This Row],[DUT Adj Read]]&gt;Table1[[#This Row],[Low Tol]],"Pass","Fail")))</f>
        <v>Pass</v>
      </c>
      <c r="AE1736" s="1" t="str">
        <f>IF(AND(Table1[[#This Row],[Spec Type2]]="N/A",Table1[[#This Row],[DUT Adj Read]]="N/A",Table1[[#This Row],[Std Adj Read]]="N/A"),"N/A",IF(Table1[[#This Row],[DUT Adj Read]]="N/A",IF(Table1[[#This Row],[Std Adj Read]]&lt;Table1[[#This Row],[High Tol]],"Pass","Fail"),IF(Table1[[#This Row],[DUT Adj Read]]&lt;Table1[[#This Row],[High Tol]],"Pass","Fail")))</f>
        <v>Fail</v>
      </c>
      <c r="AF1736" s="1" t="str">
        <f>IF(AND(Table1[[#This Row],[Spec Type2]]="N/A",Table1[[#This Row],[DUT Adj Read]]="N/A",Table1[[#This Row],[Std Adj Read]]="N/A"),"N/A",IF(Table1[[#This Row],[DUT Adj Read]]="N/A",IF(Table1[[#This Row],[Std Adj Read]]&gt;=Table1[[#This Row],[Low Tol]],"Pass","Fail"),IF(Table1[[#This Row],[DUT Adj Read]]&gt;=Table1[[#This Row],[Low Tol]],"Pass","Fail")))</f>
        <v>Pass</v>
      </c>
      <c r="AG1736" s="1" t="str">
        <f>IF(AND(Table1[[#This Row],[Spec Type2]]="N/A",Table1[[#This Row],[DUT Adj Read]]="N/A",Table1[[#This Row],[Std Adj Read]]="N/A"),"N/A",IF(Table1[[#This Row],[DUT Adj Read]]="N/A",IF(Table1[[#This Row],[Std Adj Read]]&lt;=Table1[[#This Row],[High Tol]],"Pass","Fail"),IF(Table1[[#This Row],[DUT Adj Read]]&lt;=Table1[[#This Row],[High Tol]],"Pass","Fail")))</f>
        <v>Fail</v>
      </c>
      <c r="AH17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6" s="1" t="b">
        <v>0</v>
      </c>
      <c r="AN1736" s="1" t="b">
        <v>0</v>
      </c>
      <c r="AO1736" s="1" t="b">
        <v>0</v>
      </c>
    </row>
    <row r="1737" spans="1:41" x14ac:dyDescent="0.25">
      <c r="A1737" s="10"/>
      <c r="B1737" s="10"/>
      <c r="C1737" s="10"/>
      <c r="D1737" s="10"/>
      <c r="E1737" s="10"/>
      <c r="F1737" s="10"/>
      <c r="G1737" s="10"/>
      <c r="H1737" s="10"/>
      <c r="I1737" s="1" t="str">
        <f t="shared" si="78"/>
        <v/>
      </c>
      <c r="J1737" s="1" t="s">
        <v>35</v>
      </c>
      <c r="K1737" s="1" t="str">
        <f t="shared" si="79"/>
        <v/>
      </c>
      <c r="L1737" s="1" t="str">
        <f t="shared" si="80"/>
        <v/>
      </c>
      <c r="M1737" s="1">
        <f>IF(OR(Table1[[#This Row],[Std Nom]]="",Table1[[#This Row],[Std Read]]=""),0,Table1[[#This Row],[Std Nom]]-Table1[[#This Row],[Std Read]])</f>
        <v>0</v>
      </c>
      <c r="N1737" s="1">
        <f>IF(Calculations!$F$5="ACCREDITED 17025 WITH UNCERTAINTIES",$N$10,0)</f>
        <v>0</v>
      </c>
      <c r="O1737" s="1" t="str">
        <f>IFERROR(Table1[[#This Row],[Std Nom]]-(_xlfn.XLOOKUP(Table1[[#This Row],[Manufacturer]]&amp;" "&amp;Table1[[#This Row],[Model]],Table13[MFR &amp; MDL],Table13[Tolerance % CW ],"")/100*Table1[[#This Row],[Std Nom]]),"")</f>
        <v/>
      </c>
      <c r="P1737" s="1" t="str">
        <f>IFERROR(Table1[[#This Row],[Std Nom]]+(_xlfn.XLOOKUP(Table1[[#This Row],[Manufacturer]]&amp;" "&amp;Table1[[#This Row],[Model]],Table13[MFR &amp; MDL],Table13[Tolerance % CW ],"")/100*Table1[[#This Row],[Std Nom]]),"")</f>
        <v/>
      </c>
      <c r="Q1737" s="1" t="e">
        <f>Table1[[#This Row],[High Tol]]-Table1[[#This Row],[Low Tol]]</f>
        <v>#VALUE!</v>
      </c>
      <c r="R1737" s="1">
        <f>2*Table1[[#This Row],[Std Error]]</f>
        <v>0</v>
      </c>
      <c r="S1737" s="1" t="str">
        <f>IF(Table1[[#This Row],[High Tol]]="","N/A",IFERROR(ABS(Table1[[#This Row],[Tol Span]]/Table1[[#This Row],[Error Span]]),"N/A"))</f>
        <v>N/A</v>
      </c>
      <c r="T1737" s="1" t="str">
        <f>IF(OR(Table1[[#This Row],[Low Tol]]="",Table1[[#This Row],[High Tol]]=""),"Needs Analysis",IF(Table1[[#This Row],[Ratio]]&gt;=4,"Not Significant",IF(Table1[[#This Row],[Ratio]]&gt;=2,"Semi-Significant","Significant")))</f>
        <v>Needs Analysis</v>
      </c>
      <c r="W1737" s="1">
        <f>IF(Table1[[#This Row],[Cal Type]]&lt;&gt;"ACCREDITED 17025 WITH UNCERTAINTIES",0,"")</f>
        <v>0</v>
      </c>
      <c r="X1737" s="1" t="str">
        <f>IF(Table1[[#This Row],[DUT Read]]="","N/A",Table1[[#This Row],[Std Error]]+Table1[[#This Row],[DUT Read]]+Table1[[#This Row],[DUT Ucty]])</f>
        <v>N/A</v>
      </c>
      <c r="Y1737" s="1" t="str">
        <f>IF(Table1[[#This Row],[Std Read]]="","N/A",Table1[[#This Row],[Std Read]]+Table1[[#This Row],[Std Ucty]])</f>
        <v>N/A</v>
      </c>
      <c r="Z17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7" s="1" t="str">
        <f>IF(Table1[[#This Row],[Spec Type]]="","N/A",Table1[[#This Row],[Spec Type]])</f>
        <v>±</v>
      </c>
      <c r="AC1737" s="1" t="str">
        <f>IF(Table1[[#This Row],[Spec Type2]]="N/A","N/A",IF(AND(Table1[[#This Row],[DUT Adj Read]]&gt;=Table1[[#This Row],[Low Tol]],Table1[[#This Row],[DUT Adj Read]]&lt;=Table1[[#This Row],[High Tol]]),"Pass","Fail"))</f>
        <v>Fail</v>
      </c>
      <c r="AD1737" s="1" t="str">
        <f>IF(AND(Table1[[#This Row],[Spec Type2]]="N/A",Table1[[#This Row],[DUT Adj Read]]="N/A",Table1[[#This Row],[Std Adj Read]]="N/A"),"N/A",IF(Table1[[#This Row],[DUT Adj Read]]="N/A",IF(Table1[[#This Row],[Std Adj Read]]&gt;Table1[[#This Row],[Low Tol]],"Pass","Fail"),IF(Table1[[#This Row],[DUT Adj Read]]&gt;Table1[[#This Row],[Low Tol]],"Pass","Fail")))</f>
        <v>Pass</v>
      </c>
      <c r="AE1737" s="1" t="str">
        <f>IF(AND(Table1[[#This Row],[Spec Type2]]="N/A",Table1[[#This Row],[DUT Adj Read]]="N/A",Table1[[#This Row],[Std Adj Read]]="N/A"),"N/A",IF(Table1[[#This Row],[DUT Adj Read]]="N/A",IF(Table1[[#This Row],[Std Adj Read]]&lt;Table1[[#This Row],[High Tol]],"Pass","Fail"),IF(Table1[[#This Row],[DUT Adj Read]]&lt;Table1[[#This Row],[High Tol]],"Pass","Fail")))</f>
        <v>Fail</v>
      </c>
      <c r="AF1737" s="1" t="str">
        <f>IF(AND(Table1[[#This Row],[Spec Type2]]="N/A",Table1[[#This Row],[DUT Adj Read]]="N/A",Table1[[#This Row],[Std Adj Read]]="N/A"),"N/A",IF(Table1[[#This Row],[DUT Adj Read]]="N/A",IF(Table1[[#This Row],[Std Adj Read]]&gt;=Table1[[#This Row],[Low Tol]],"Pass","Fail"),IF(Table1[[#This Row],[DUT Adj Read]]&gt;=Table1[[#This Row],[Low Tol]],"Pass","Fail")))</f>
        <v>Pass</v>
      </c>
      <c r="AG1737" s="1" t="str">
        <f>IF(AND(Table1[[#This Row],[Spec Type2]]="N/A",Table1[[#This Row],[DUT Adj Read]]="N/A",Table1[[#This Row],[Std Adj Read]]="N/A"),"N/A",IF(Table1[[#This Row],[DUT Adj Read]]="N/A",IF(Table1[[#This Row],[Std Adj Read]]&lt;=Table1[[#This Row],[High Tol]],"Pass","Fail"),IF(Table1[[#This Row],[DUT Adj Read]]&lt;=Table1[[#This Row],[High Tol]],"Pass","Fail")))</f>
        <v>Fail</v>
      </c>
      <c r="AH17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7" s="1" t="b">
        <v>0</v>
      </c>
      <c r="AN1737" s="1" t="b">
        <v>0</v>
      </c>
      <c r="AO1737" s="1" t="b">
        <v>0</v>
      </c>
    </row>
    <row r="1738" spans="1:41" x14ac:dyDescent="0.25">
      <c r="A1738" s="10"/>
      <c r="B1738" s="10"/>
      <c r="C1738" s="10"/>
      <c r="D1738" s="10"/>
      <c r="E1738" s="10"/>
      <c r="F1738" s="10"/>
      <c r="G1738" s="10"/>
      <c r="H1738" s="10"/>
      <c r="I1738" s="1" t="str">
        <f t="shared" si="78"/>
        <v/>
      </c>
      <c r="J1738" s="1" t="s">
        <v>35</v>
      </c>
      <c r="K1738" s="1" t="str">
        <f t="shared" si="79"/>
        <v/>
      </c>
      <c r="L1738" s="1" t="str">
        <f t="shared" si="80"/>
        <v/>
      </c>
      <c r="M1738" s="1">
        <f>IF(OR(Table1[[#This Row],[Std Nom]]="",Table1[[#This Row],[Std Read]]=""),0,Table1[[#This Row],[Std Nom]]-Table1[[#This Row],[Std Read]])</f>
        <v>0</v>
      </c>
      <c r="N1738" s="1">
        <f>IF(Calculations!$F$5="ACCREDITED 17025 WITH UNCERTAINTIES",$N$10,0)</f>
        <v>0</v>
      </c>
      <c r="O1738" s="1" t="str">
        <f>IFERROR(Table1[[#This Row],[Std Nom]]-(_xlfn.XLOOKUP(Table1[[#This Row],[Manufacturer]]&amp;" "&amp;Table1[[#This Row],[Model]],Table13[MFR &amp; MDL],Table13[Tolerance % CW ],"")/100*Table1[[#This Row],[Std Nom]]),"")</f>
        <v/>
      </c>
      <c r="P1738" s="1" t="str">
        <f>IFERROR(Table1[[#This Row],[Std Nom]]+(_xlfn.XLOOKUP(Table1[[#This Row],[Manufacturer]]&amp;" "&amp;Table1[[#This Row],[Model]],Table13[MFR &amp; MDL],Table13[Tolerance % CW ],"")/100*Table1[[#This Row],[Std Nom]]),"")</f>
        <v/>
      </c>
      <c r="Q1738" s="1" t="e">
        <f>Table1[[#This Row],[High Tol]]-Table1[[#This Row],[Low Tol]]</f>
        <v>#VALUE!</v>
      </c>
      <c r="R1738" s="1">
        <f>2*Table1[[#This Row],[Std Error]]</f>
        <v>0</v>
      </c>
      <c r="S1738" s="1" t="str">
        <f>IF(Table1[[#This Row],[High Tol]]="","N/A",IFERROR(ABS(Table1[[#This Row],[Tol Span]]/Table1[[#This Row],[Error Span]]),"N/A"))</f>
        <v>N/A</v>
      </c>
      <c r="T1738" s="1" t="str">
        <f>IF(OR(Table1[[#This Row],[Low Tol]]="",Table1[[#This Row],[High Tol]]=""),"Needs Analysis",IF(Table1[[#This Row],[Ratio]]&gt;=4,"Not Significant",IF(Table1[[#This Row],[Ratio]]&gt;=2,"Semi-Significant","Significant")))</f>
        <v>Needs Analysis</v>
      </c>
      <c r="W1738" s="1">
        <f>IF(Table1[[#This Row],[Cal Type]]&lt;&gt;"ACCREDITED 17025 WITH UNCERTAINTIES",0,"")</f>
        <v>0</v>
      </c>
      <c r="X1738" s="1" t="str">
        <f>IF(Table1[[#This Row],[DUT Read]]="","N/A",Table1[[#This Row],[Std Error]]+Table1[[#This Row],[DUT Read]]+Table1[[#This Row],[DUT Ucty]])</f>
        <v>N/A</v>
      </c>
      <c r="Y1738" s="1" t="str">
        <f>IF(Table1[[#This Row],[Std Read]]="","N/A",Table1[[#This Row],[Std Read]]+Table1[[#This Row],[Std Ucty]])</f>
        <v>N/A</v>
      </c>
      <c r="Z17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8" s="1" t="str">
        <f>IF(Table1[[#This Row],[Spec Type]]="","N/A",Table1[[#This Row],[Spec Type]])</f>
        <v>±</v>
      </c>
      <c r="AC1738" s="1" t="str">
        <f>IF(Table1[[#This Row],[Spec Type2]]="N/A","N/A",IF(AND(Table1[[#This Row],[DUT Adj Read]]&gt;=Table1[[#This Row],[Low Tol]],Table1[[#This Row],[DUT Adj Read]]&lt;=Table1[[#This Row],[High Tol]]),"Pass","Fail"))</f>
        <v>Fail</v>
      </c>
      <c r="AD1738" s="1" t="str">
        <f>IF(AND(Table1[[#This Row],[Spec Type2]]="N/A",Table1[[#This Row],[DUT Adj Read]]="N/A",Table1[[#This Row],[Std Adj Read]]="N/A"),"N/A",IF(Table1[[#This Row],[DUT Adj Read]]="N/A",IF(Table1[[#This Row],[Std Adj Read]]&gt;Table1[[#This Row],[Low Tol]],"Pass","Fail"),IF(Table1[[#This Row],[DUT Adj Read]]&gt;Table1[[#This Row],[Low Tol]],"Pass","Fail")))</f>
        <v>Pass</v>
      </c>
      <c r="AE1738" s="1" t="str">
        <f>IF(AND(Table1[[#This Row],[Spec Type2]]="N/A",Table1[[#This Row],[DUT Adj Read]]="N/A",Table1[[#This Row],[Std Adj Read]]="N/A"),"N/A",IF(Table1[[#This Row],[DUT Adj Read]]="N/A",IF(Table1[[#This Row],[Std Adj Read]]&lt;Table1[[#This Row],[High Tol]],"Pass","Fail"),IF(Table1[[#This Row],[DUT Adj Read]]&lt;Table1[[#This Row],[High Tol]],"Pass","Fail")))</f>
        <v>Fail</v>
      </c>
      <c r="AF1738" s="1" t="str">
        <f>IF(AND(Table1[[#This Row],[Spec Type2]]="N/A",Table1[[#This Row],[DUT Adj Read]]="N/A",Table1[[#This Row],[Std Adj Read]]="N/A"),"N/A",IF(Table1[[#This Row],[DUT Adj Read]]="N/A",IF(Table1[[#This Row],[Std Adj Read]]&gt;=Table1[[#This Row],[Low Tol]],"Pass","Fail"),IF(Table1[[#This Row],[DUT Adj Read]]&gt;=Table1[[#This Row],[Low Tol]],"Pass","Fail")))</f>
        <v>Pass</v>
      </c>
      <c r="AG1738" s="1" t="str">
        <f>IF(AND(Table1[[#This Row],[Spec Type2]]="N/A",Table1[[#This Row],[DUT Adj Read]]="N/A",Table1[[#This Row],[Std Adj Read]]="N/A"),"N/A",IF(Table1[[#This Row],[DUT Adj Read]]="N/A",IF(Table1[[#This Row],[Std Adj Read]]&lt;=Table1[[#This Row],[High Tol]],"Pass","Fail"),IF(Table1[[#This Row],[DUT Adj Read]]&lt;=Table1[[#This Row],[High Tol]],"Pass","Fail")))</f>
        <v>Fail</v>
      </c>
      <c r="AH17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8" s="1" t="b">
        <v>0</v>
      </c>
      <c r="AN1738" s="1" t="b">
        <v>0</v>
      </c>
      <c r="AO1738" s="1" t="b">
        <v>0</v>
      </c>
    </row>
    <row r="1739" spans="1:41" x14ac:dyDescent="0.25">
      <c r="A1739" s="10"/>
      <c r="B1739" s="10"/>
      <c r="C1739" s="10"/>
      <c r="D1739" s="10"/>
      <c r="E1739" s="10"/>
      <c r="F1739" s="10"/>
      <c r="G1739" s="10"/>
      <c r="H1739" s="10"/>
      <c r="I1739" s="1" t="str">
        <f t="shared" ref="I1739:I1802" si="81">IF($I$10="","",$I$10)</f>
        <v/>
      </c>
      <c r="J1739" s="1" t="s">
        <v>35</v>
      </c>
      <c r="K1739" s="1" t="str">
        <f t="shared" ref="K1739:K1802" si="82">IF($K$10="","",$K$10)</f>
        <v/>
      </c>
      <c r="L1739" s="1" t="str">
        <f t="shared" ref="L1739:L1802" si="83">IF($L$10="","",$L$10)</f>
        <v/>
      </c>
      <c r="M1739" s="1">
        <f>IF(OR(Table1[[#This Row],[Std Nom]]="",Table1[[#This Row],[Std Read]]=""),0,Table1[[#This Row],[Std Nom]]-Table1[[#This Row],[Std Read]])</f>
        <v>0</v>
      </c>
      <c r="N1739" s="1">
        <f>IF(Calculations!$F$5="ACCREDITED 17025 WITH UNCERTAINTIES",$N$10,0)</f>
        <v>0</v>
      </c>
      <c r="O1739" s="1" t="str">
        <f>IFERROR(Table1[[#This Row],[Std Nom]]-(_xlfn.XLOOKUP(Table1[[#This Row],[Manufacturer]]&amp;" "&amp;Table1[[#This Row],[Model]],Table13[MFR &amp; MDL],Table13[Tolerance % CW ],"")/100*Table1[[#This Row],[Std Nom]]),"")</f>
        <v/>
      </c>
      <c r="P1739" s="1" t="str">
        <f>IFERROR(Table1[[#This Row],[Std Nom]]+(_xlfn.XLOOKUP(Table1[[#This Row],[Manufacturer]]&amp;" "&amp;Table1[[#This Row],[Model]],Table13[MFR &amp; MDL],Table13[Tolerance % CW ],"")/100*Table1[[#This Row],[Std Nom]]),"")</f>
        <v/>
      </c>
      <c r="Q1739" s="1" t="e">
        <f>Table1[[#This Row],[High Tol]]-Table1[[#This Row],[Low Tol]]</f>
        <v>#VALUE!</v>
      </c>
      <c r="R1739" s="1">
        <f>2*Table1[[#This Row],[Std Error]]</f>
        <v>0</v>
      </c>
      <c r="S1739" s="1" t="str">
        <f>IF(Table1[[#This Row],[High Tol]]="","N/A",IFERROR(ABS(Table1[[#This Row],[Tol Span]]/Table1[[#This Row],[Error Span]]),"N/A"))</f>
        <v>N/A</v>
      </c>
      <c r="T1739" s="1" t="str">
        <f>IF(OR(Table1[[#This Row],[Low Tol]]="",Table1[[#This Row],[High Tol]]=""),"Needs Analysis",IF(Table1[[#This Row],[Ratio]]&gt;=4,"Not Significant",IF(Table1[[#This Row],[Ratio]]&gt;=2,"Semi-Significant","Significant")))</f>
        <v>Needs Analysis</v>
      </c>
      <c r="W1739" s="1">
        <f>IF(Table1[[#This Row],[Cal Type]]&lt;&gt;"ACCREDITED 17025 WITH UNCERTAINTIES",0,"")</f>
        <v>0</v>
      </c>
      <c r="X1739" s="1" t="str">
        <f>IF(Table1[[#This Row],[DUT Read]]="","N/A",Table1[[#This Row],[Std Error]]+Table1[[#This Row],[DUT Read]]+Table1[[#This Row],[DUT Ucty]])</f>
        <v>N/A</v>
      </c>
      <c r="Y1739" s="1" t="str">
        <f>IF(Table1[[#This Row],[Std Read]]="","N/A",Table1[[#This Row],[Std Read]]+Table1[[#This Row],[Std Ucty]])</f>
        <v>N/A</v>
      </c>
      <c r="Z17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9" s="1" t="str">
        <f>IF(Table1[[#This Row],[Spec Type]]="","N/A",Table1[[#This Row],[Spec Type]])</f>
        <v>±</v>
      </c>
      <c r="AC1739" s="1" t="str">
        <f>IF(Table1[[#This Row],[Spec Type2]]="N/A","N/A",IF(AND(Table1[[#This Row],[DUT Adj Read]]&gt;=Table1[[#This Row],[Low Tol]],Table1[[#This Row],[DUT Adj Read]]&lt;=Table1[[#This Row],[High Tol]]),"Pass","Fail"))</f>
        <v>Fail</v>
      </c>
      <c r="AD1739" s="1" t="str">
        <f>IF(AND(Table1[[#This Row],[Spec Type2]]="N/A",Table1[[#This Row],[DUT Adj Read]]="N/A",Table1[[#This Row],[Std Adj Read]]="N/A"),"N/A",IF(Table1[[#This Row],[DUT Adj Read]]="N/A",IF(Table1[[#This Row],[Std Adj Read]]&gt;Table1[[#This Row],[Low Tol]],"Pass","Fail"),IF(Table1[[#This Row],[DUT Adj Read]]&gt;Table1[[#This Row],[Low Tol]],"Pass","Fail")))</f>
        <v>Pass</v>
      </c>
      <c r="AE1739" s="1" t="str">
        <f>IF(AND(Table1[[#This Row],[Spec Type2]]="N/A",Table1[[#This Row],[DUT Adj Read]]="N/A",Table1[[#This Row],[Std Adj Read]]="N/A"),"N/A",IF(Table1[[#This Row],[DUT Adj Read]]="N/A",IF(Table1[[#This Row],[Std Adj Read]]&lt;Table1[[#This Row],[High Tol]],"Pass","Fail"),IF(Table1[[#This Row],[DUT Adj Read]]&lt;Table1[[#This Row],[High Tol]],"Pass","Fail")))</f>
        <v>Fail</v>
      </c>
      <c r="AF1739" s="1" t="str">
        <f>IF(AND(Table1[[#This Row],[Spec Type2]]="N/A",Table1[[#This Row],[DUT Adj Read]]="N/A",Table1[[#This Row],[Std Adj Read]]="N/A"),"N/A",IF(Table1[[#This Row],[DUT Adj Read]]="N/A",IF(Table1[[#This Row],[Std Adj Read]]&gt;=Table1[[#This Row],[Low Tol]],"Pass","Fail"),IF(Table1[[#This Row],[DUT Adj Read]]&gt;=Table1[[#This Row],[Low Tol]],"Pass","Fail")))</f>
        <v>Pass</v>
      </c>
      <c r="AG1739" s="1" t="str">
        <f>IF(AND(Table1[[#This Row],[Spec Type2]]="N/A",Table1[[#This Row],[DUT Adj Read]]="N/A",Table1[[#This Row],[Std Adj Read]]="N/A"),"N/A",IF(Table1[[#This Row],[DUT Adj Read]]="N/A",IF(Table1[[#This Row],[Std Adj Read]]&lt;=Table1[[#This Row],[High Tol]],"Pass","Fail"),IF(Table1[[#This Row],[DUT Adj Read]]&lt;=Table1[[#This Row],[High Tol]],"Pass","Fail")))</f>
        <v>Fail</v>
      </c>
      <c r="AH17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9" s="1" t="b">
        <v>0</v>
      </c>
      <c r="AN1739" s="1" t="b">
        <v>0</v>
      </c>
      <c r="AO1739" s="1" t="b">
        <v>0</v>
      </c>
    </row>
    <row r="1740" spans="1:41" x14ac:dyDescent="0.25">
      <c r="A1740" s="10"/>
      <c r="B1740" s="10"/>
      <c r="C1740" s="10"/>
      <c r="D1740" s="10"/>
      <c r="E1740" s="10"/>
      <c r="F1740" s="10"/>
      <c r="G1740" s="10"/>
      <c r="H1740" s="10"/>
      <c r="I1740" s="1" t="str">
        <f t="shared" si="81"/>
        <v/>
      </c>
      <c r="J1740" s="1" t="s">
        <v>35</v>
      </c>
      <c r="K1740" s="1" t="str">
        <f t="shared" si="82"/>
        <v/>
      </c>
      <c r="L1740" s="1" t="str">
        <f t="shared" si="83"/>
        <v/>
      </c>
      <c r="M1740" s="1">
        <f>IF(OR(Table1[[#This Row],[Std Nom]]="",Table1[[#This Row],[Std Read]]=""),0,Table1[[#This Row],[Std Nom]]-Table1[[#This Row],[Std Read]])</f>
        <v>0</v>
      </c>
      <c r="N1740" s="1">
        <f>IF(Calculations!$F$5="ACCREDITED 17025 WITH UNCERTAINTIES",$N$10,0)</f>
        <v>0</v>
      </c>
      <c r="O1740" s="1" t="str">
        <f>IFERROR(Table1[[#This Row],[Std Nom]]-(_xlfn.XLOOKUP(Table1[[#This Row],[Manufacturer]]&amp;" "&amp;Table1[[#This Row],[Model]],Table13[MFR &amp; MDL],Table13[Tolerance % CW ],"")/100*Table1[[#This Row],[Std Nom]]),"")</f>
        <v/>
      </c>
      <c r="P1740" s="1" t="str">
        <f>IFERROR(Table1[[#This Row],[Std Nom]]+(_xlfn.XLOOKUP(Table1[[#This Row],[Manufacturer]]&amp;" "&amp;Table1[[#This Row],[Model]],Table13[MFR &amp; MDL],Table13[Tolerance % CW ],"")/100*Table1[[#This Row],[Std Nom]]),"")</f>
        <v/>
      </c>
      <c r="Q1740" s="1" t="e">
        <f>Table1[[#This Row],[High Tol]]-Table1[[#This Row],[Low Tol]]</f>
        <v>#VALUE!</v>
      </c>
      <c r="R1740" s="1">
        <f>2*Table1[[#This Row],[Std Error]]</f>
        <v>0</v>
      </c>
      <c r="S1740" s="1" t="str">
        <f>IF(Table1[[#This Row],[High Tol]]="","N/A",IFERROR(ABS(Table1[[#This Row],[Tol Span]]/Table1[[#This Row],[Error Span]]),"N/A"))</f>
        <v>N/A</v>
      </c>
      <c r="T1740" s="1" t="str">
        <f>IF(OR(Table1[[#This Row],[Low Tol]]="",Table1[[#This Row],[High Tol]]=""),"Needs Analysis",IF(Table1[[#This Row],[Ratio]]&gt;=4,"Not Significant",IF(Table1[[#This Row],[Ratio]]&gt;=2,"Semi-Significant","Significant")))</f>
        <v>Needs Analysis</v>
      </c>
      <c r="W1740" s="1">
        <f>IF(Table1[[#This Row],[Cal Type]]&lt;&gt;"ACCREDITED 17025 WITH UNCERTAINTIES",0,"")</f>
        <v>0</v>
      </c>
      <c r="X1740" s="1" t="str">
        <f>IF(Table1[[#This Row],[DUT Read]]="","N/A",Table1[[#This Row],[Std Error]]+Table1[[#This Row],[DUT Read]]+Table1[[#This Row],[DUT Ucty]])</f>
        <v>N/A</v>
      </c>
      <c r="Y1740" s="1" t="str">
        <f>IF(Table1[[#This Row],[Std Read]]="","N/A",Table1[[#This Row],[Std Read]]+Table1[[#This Row],[Std Ucty]])</f>
        <v>N/A</v>
      </c>
      <c r="Z17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0" s="1" t="str">
        <f>IF(Table1[[#This Row],[Spec Type]]="","N/A",Table1[[#This Row],[Spec Type]])</f>
        <v>±</v>
      </c>
      <c r="AC1740" s="1" t="str">
        <f>IF(Table1[[#This Row],[Spec Type2]]="N/A","N/A",IF(AND(Table1[[#This Row],[DUT Adj Read]]&gt;=Table1[[#This Row],[Low Tol]],Table1[[#This Row],[DUT Adj Read]]&lt;=Table1[[#This Row],[High Tol]]),"Pass","Fail"))</f>
        <v>Fail</v>
      </c>
      <c r="AD1740" s="1" t="str">
        <f>IF(AND(Table1[[#This Row],[Spec Type2]]="N/A",Table1[[#This Row],[DUT Adj Read]]="N/A",Table1[[#This Row],[Std Adj Read]]="N/A"),"N/A",IF(Table1[[#This Row],[DUT Adj Read]]="N/A",IF(Table1[[#This Row],[Std Adj Read]]&gt;Table1[[#This Row],[Low Tol]],"Pass","Fail"),IF(Table1[[#This Row],[DUT Adj Read]]&gt;Table1[[#This Row],[Low Tol]],"Pass","Fail")))</f>
        <v>Pass</v>
      </c>
      <c r="AE1740" s="1" t="str">
        <f>IF(AND(Table1[[#This Row],[Spec Type2]]="N/A",Table1[[#This Row],[DUT Adj Read]]="N/A",Table1[[#This Row],[Std Adj Read]]="N/A"),"N/A",IF(Table1[[#This Row],[DUT Adj Read]]="N/A",IF(Table1[[#This Row],[Std Adj Read]]&lt;Table1[[#This Row],[High Tol]],"Pass","Fail"),IF(Table1[[#This Row],[DUT Adj Read]]&lt;Table1[[#This Row],[High Tol]],"Pass","Fail")))</f>
        <v>Fail</v>
      </c>
      <c r="AF1740" s="1" t="str">
        <f>IF(AND(Table1[[#This Row],[Spec Type2]]="N/A",Table1[[#This Row],[DUT Adj Read]]="N/A",Table1[[#This Row],[Std Adj Read]]="N/A"),"N/A",IF(Table1[[#This Row],[DUT Adj Read]]="N/A",IF(Table1[[#This Row],[Std Adj Read]]&gt;=Table1[[#This Row],[Low Tol]],"Pass","Fail"),IF(Table1[[#This Row],[DUT Adj Read]]&gt;=Table1[[#This Row],[Low Tol]],"Pass","Fail")))</f>
        <v>Pass</v>
      </c>
      <c r="AG1740" s="1" t="str">
        <f>IF(AND(Table1[[#This Row],[Spec Type2]]="N/A",Table1[[#This Row],[DUT Adj Read]]="N/A",Table1[[#This Row],[Std Adj Read]]="N/A"),"N/A",IF(Table1[[#This Row],[DUT Adj Read]]="N/A",IF(Table1[[#This Row],[Std Adj Read]]&lt;=Table1[[#This Row],[High Tol]],"Pass","Fail"),IF(Table1[[#This Row],[DUT Adj Read]]&lt;=Table1[[#This Row],[High Tol]],"Pass","Fail")))</f>
        <v>Fail</v>
      </c>
      <c r="AH17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0" s="1" t="b">
        <v>0</v>
      </c>
      <c r="AN1740" s="1" t="b">
        <v>0</v>
      </c>
      <c r="AO1740" s="1" t="b">
        <v>0</v>
      </c>
    </row>
    <row r="1741" spans="1:41" x14ac:dyDescent="0.25">
      <c r="A1741" s="10"/>
      <c r="B1741" s="10"/>
      <c r="C1741" s="10"/>
      <c r="D1741" s="10"/>
      <c r="E1741" s="10"/>
      <c r="F1741" s="10"/>
      <c r="G1741" s="10"/>
      <c r="H1741" s="10"/>
      <c r="I1741" s="1" t="str">
        <f t="shared" si="81"/>
        <v/>
      </c>
      <c r="J1741" s="1" t="s">
        <v>35</v>
      </c>
      <c r="K1741" s="1" t="str">
        <f t="shared" si="82"/>
        <v/>
      </c>
      <c r="L1741" s="1" t="str">
        <f t="shared" si="83"/>
        <v/>
      </c>
      <c r="M1741" s="1">
        <f>IF(OR(Table1[[#This Row],[Std Nom]]="",Table1[[#This Row],[Std Read]]=""),0,Table1[[#This Row],[Std Nom]]-Table1[[#This Row],[Std Read]])</f>
        <v>0</v>
      </c>
      <c r="N1741" s="1">
        <f>IF(Calculations!$F$5="ACCREDITED 17025 WITH UNCERTAINTIES",$N$10,0)</f>
        <v>0</v>
      </c>
      <c r="O1741" s="1" t="str">
        <f>IFERROR(Table1[[#This Row],[Std Nom]]-(_xlfn.XLOOKUP(Table1[[#This Row],[Manufacturer]]&amp;" "&amp;Table1[[#This Row],[Model]],Table13[MFR &amp; MDL],Table13[Tolerance % CW ],"")/100*Table1[[#This Row],[Std Nom]]),"")</f>
        <v/>
      </c>
      <c r="P1741" s="1" t="str">
        <f>IFERROR(Table1[[#This Row],[Std Nom]]+(_xlfn.XLOOKUP(Table1[[#This Row],[Manufacturer]]&amp;" "&amp;Table1[[#This Row],[Model]],Table13[MFR &amp; MDL],Table13[Tolerance % CW ],"")/100*Table1[[#This Row],[Std Nom]]),"")</f>
        <v/>
      </c>
      <c r="Q1741" s="1" t="e">
        <f>Table1[[#This Row],[High Tol]]-Table1[[#This Row],[Low Tol]]</f>
        <v>#VALUE!</v>
      </c>
      <c r="R1741" s="1">
        <f>2*Table1[[#This Row],[Std Error]]</f>
        <v>0</v>
      </c>
      <c r="S1741" s="1" t="str">
        <f>IF(Table1[[#This Row],[High Tol]]="","N/A",IFERROR(ABS(Table1[[#This Row],[Tol Span]]/Table1[[#This Row],[Error Span]]),"N/A"))</f>
        <v>N/A</v>
      </c>
      <c r="T1741" s="1" t="str">
        <f>IF(OR(Table1[[#This Row],[Low Tol]]="",Table1[[#This Row],[High Tol]]=""),"Needs Analysis",IF(Table1[[#This Row],[Ratio]]&gt;=4,"Not Significant",IF(Table1[[#This Row],[Ratio]]&gt;=2,"Semi-Significant","Significant")))</f>
        <v>Needs Analysis</v>
      </c>
      <c r="W1741" s="1">
        <f>IF(Table1[[#This Row],[Cal Type]]&lt;&gt;"ACCREDITED 17025 WITH UNCERTAINTIES",0,"")</f>
        <v>0</v>
      </c>
      <c r="X1741" s="1" t="str">
        <f>IF(Table1[[#This Row],[DUT Read]]="","N/A",Table1[[#This Row],[Std Error]]+Table1[[#This Row],[DUT Read]]+Table1[[#This Row],[DUT Ucty]])</f>
        <v>N/A</v>
      </c>
      <c r="Y1741" s="1" t="str">
        <f>IF(Table1[[#This Row],[Std Read]]="","N/A",Table1[[#This Row],[Std Read]]+Table1[[#This Row],[Std Ucty]])</f>
        <v>N/A</v>
      </c>
      <c r="Z17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1" s="1" t="str">
        <f>IF(Table1[[#This Row],[Spec Type]]="","N/A",Table1[[#This Row],[Spec Type]])</f>
        <v>±</v>
      </c>
      <c r="AC1741" s="1" t="str">
        <f>IF(Table1[[#This Row],[Spec Type2]]="N/A","N/A",IF(AND(Table1[[#This Row],[DUT Adj Read]]&gt;=Table1[[#This Row],[Low Tol]],Table1[[#This Row],[DUT Adj Read]]&lt;=Table1[[#This Row],[High Tol]]),"Pass","Fail"))</f>
        <v>Fail</v>
      </c>
      <c r="AD1741" s="1" t="str">
        <f>IF(AND(Table1[[#This Row],[Spec Type2]]="N/A",Table1[[#This Row],[DUT Adj Read]]="N/A",Table1[[#This Row],[Std Adj Read]]="N/A"),"N/A",IF(Table1[[#This Row],[DUT Adj Read]]="N/A",IF(Table1[[#This Row],[Std Adj Read]]&gt;Table1[[#This Row],[Low Tol]],"Pass","Fail"),IF(Table1[[#This Row],[DUT Adj Read]]&gt;Table1[[#This Row],[Low Tol]],"Pass","Fail")))</f>
        <v>Pass</v>
      </c>
      <c r="AE1741" s="1" t="str">
        <f>IF(AND(Table1[[#This Row],[Spec Type2]]="N/A",Table1[[#This Row],[DUT Adj Read]]="N/A",Table1[[#This Row],[Std Adj Read]]="N/A"),"N/A",IF(Table1[[#This Row],[DUT Adj Read]]="N/A",IF(Table1[[#This Row],[Std Adj Read]]&lt;Table1[[#This Row],[High Tol]],"Pass","Fail"),IF(Table1[[#This Row],[DUT Adj Read]]&lt;Table1[[#This Row],[High Tol]],"Pass","Fail")))</f>
        <v>Fail</v>
      </c>
      <c r="AF1741" s="1" t="str">
        <f>IF(AND(Table1[[#This Row],[Spec Type2]]="N/A",Table1[[#This Row],[DUT Adj Read]]="N/A",Table1[[#This Row],[Std Adj Read]]="N/A"),"N/A",IF(Table1[[#This Row],[DUT Adj Read]]="N/A",IF(Table1[[#This Row],[Std Adj Read]]&gt;=Table1[[#This Row],[Low Tol]],"Pass","Fail"),IF(Table1[[#This Row],[DUT Adj Read]]&gt;=Table1[[#This Row],[Low Tol]],"Pass","Fail")))</f>
        <v>Pass</v>
      </c>
      <c r="AG1741" s="1" t="str">
        <f>IF(AND(Table1[[#This Row],[Spec Type2]]="N/A",Table1[[#This Row],[DUT Adj Read]]="N/A",Table1[[#This Row],[Std Adj Read]]="N/A"),"N/A",IF(Table1[[#This Row],[DUT Adj Read]]="N/A",IF(Table1[[#This Row],[Std Adj Read]]&lt;=Table1[[#This Row],[High Tol]],"Pass","Fail"),IF(Table1[[#This Row],[DUT Adj Read]]&lt;=Table1[[#This Row],[High Tol]],"Pass","Fail")))</f>
        <v>Fail</v>
      </c>
      <c r="AH17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1" s="1" t="b">
        <v>0</v>
      </c>
      <c r="AN1741" s="1" t="b">
        <v>0</v>
      </c>
      <c r="AO1741" s="1" t="b">
        <v>0</v>
      </c>
    </row>
    <row r="1742" spans="1:41" x14ac:dyDescent="0.25">
      <c r="A1742" s="10"/>
      <c r="B1742" s="10"/>
      <c r="C1742" s="10"/>
      <c r="D1742" s="10"/>
      <c r="E1742" s="10"/>
      <c r="F1742" s="10"/>
      <c r="G1742" s="10"/>
      <c r="H1742" s="10"/>
      <c r="I1742" s="1" t="str">
        <f t="shared" si="81"/>
        <v/>
      </c>
      <c r="J1742" s="1" t="s">
        <v>35</v>
      </c>
      <c r="K1742" s="1" t="str">
        <f t="shared" si="82"/>
        <v/>
      </c>
      <c r="L1742" s="1" t="str">
        <f t="shared" si="83"/>
        <v/>
      </c>
      <c r="M1742" s="1">
        <f>IF(OR(Table1[[#This Row],[Std Nom]]="",Table1[[#This Row],[Std Read]]=""),0,Table1[[#This Row],[Std Nom]]-Table1[[#This Row],[Std Read]])</f>
        <v>0</v>
      </c>
      <c r="N1742" s="1">
        <f>IF(Calculations!$F$5="ACCREDITED 17025 WITH UNCERTAINTIES",$N$10,0)</f>
        <v>0</v>
      </c>
      <c r="O1742" s="1" t="str">
        <f>IFERROR(Table1[[#This Row],[Std Nom]]-(_xlfn.XLOOKUP(Table1[[#This Row],[Manufacturer]]&amp;" "&amp;Table1[[#This Row],[Model]],Table13[MFR &amp; MDL],Table13[Tolerance % CW ],"")/100*Table1[[#This Row],[Std Nom]]),"")</f>
        <v/>
      </c>
      <c r="P1742" s="1" t="str">
        <f>IFERROR(Table1[[#This Row],[Std Nom]]+(_xlfn.XLOOKUP(Table1[[#This Row],[Manufacturer]]&amp;" "&amp;Table1[[#This Row],[Model]],Table13[MFR &amp; MDL],Table13[Tolerance % CW ],"")/100*Table1[[#This Row],[Std Nom]]),"")</f>
        <v/>
      </c>
      <c r="Q1742" s="1" t="e">
        <f>Table1[[#This Row],[High Tol]]-Table1[[#This Row],[Low Tol]]</f>
        <v>#VALUE!</v>
      </c>
      <c r="R1742" s="1">
        <f>2*Table1[[#This Row],[Std Error]]</f>
        <v>0</v>
      </c>
      <c r="S1742" s="1" t="str">
        <f>IF(Table1[[#This Row],[High Tol]]="","N/A",IFERROR(ABS(Table1[[#This Row],[Tol Span]]/Table1[[#This Row],[Error Span]]),"N/A"))</f>
        <v>N/A</v>
      </c>
      <c r="T1742" s="1" t="str">
        <f>IF(OR(Table1[[#This Row],[Low Tol]]="",Table1[[#This Row],[High Tol]]=""),"Needs Analysis",IF(Table1[[#This Row],[Ratio]]&gt;=4,"Not Significant",IF(Table1[[#This Row],[Ratio]]&gt;=2,"Semi-Significant","Significant")))</f>
        <v>Needs Analysis</v>
      </c>
      <c r="W1742" s="1">
        <f>IF(Table1[[#This Row],[Cal Type]]&lt;&gt;"ACCREDITED 17025 WITH UNCERTAINTIES",0,"")</f>
        <v>0</v>
      </c>
      <c r="X1742" s="1" t="str">
        <f>IF(Table1[[#This Row],[DUT Read]]="","N/A",Table1[[#This Row],[Std Error]]+Table1[[#This Row],[DUT Read]]+Table1[[#This Row],[DUT Ucty]])</f>
        <v>N/A</v>
      </c>
      <c r="Y1742" s="1" t="str">
        <f>IF(Table1[[#This Row],[Std Read]]="","N/A",Table1[[#This Row],[Std Read]]+Table1[[#This Row],[Std Ucty]])</f>
        <v>N/A</v>
      </c>
      <c r="Z17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2" s="1" t="str">
        <f>IF(Table1[[#This Row],[Spec Type]]="","N/A",Table1[[#This Row],[Spec Type]])</f>
        <v>±</v>
      </c>
      <c r="AC1742" s="1" t="str">
        <f>IF(Table1[[#This Row],[Spec Type2]]="N/A","N/A",IF(AND(Table1[[#This Row],[DUT Adj Read]]&gt;=Table1[[#This Row],[Low Tol]],Table1[[#This Row],[DUT Adj Read]]&lt;=Table1[[#This Row],[High Tol]]),"Pass","Fail"))</f>
        <v>Fail</v>
      </c>
      <c r="AD1742" s="1" t="str">
        <f>IF(AND(Table1[[#This Row],[Spec Type2]]="N/A",Table1[[#This Row],[DUT Adj Read]]="N/A",Table1[[#This Row],[Std Adj Read]]="N/A"),"N/A",IF(Table1[[#This Row],[DUT Adj Read]]="N/A",IF(Table1[[#This Row],[Std Adj Read]]&gt;Table1[[#This Row],[Low Tol]],"Pass","Fail"),IF(Table1[[#This Row],[DUT Adj Read]]&gt;Table1[[#This Row],[Low Tol]],"Pass","Fail")))</f>
        <v>Pass</v>
      </c>
      <c r="AE1742" s="1" t="str">
        <f>IF(AND(Table1[[#This Row],[Spec Type2]]="N/A",Table1[[#This Row],[DUT Adj Read]]="N/A",Table1[[#This Row],[Std Adj Read]]="N/A"),"N/A",IF(Table1[[#This Row],[DUT Adj Read]]="N/A",IF(Table1[[#This Row],[Std Adj Read]]&lt;Table1[[#This Row],[High Tol]],"Pass","Fail"),IF(Table1[[#This Row],[DUT Adj Read]]&lt;Table1[[#This Row],[High Tol]],"Pass","Fail")))</f>
        <v>Fail</v>
      </c>
      <c r="AF1742" s="1" t="str">
        <f>IF(AND(Table1[[#This Row],[Spec Type2]]="N/A",Table1[[#This Row],[DUT Adj Read]]="N/A",Table1[[#This Row],[Std Adj Read]]="N/A"),"N/A",IF(Table1[[#This Row],[DUT Adj Read]]="N/A",IF(Table1[[#This Row],[Std Adj Read]]&gt;=Table1[[#This Row],[Low Tol]],"Pass","Fail"),IF(Table1[[#This Row],[DUT Adj Read]]&gt;=Table1[[#This Row],[Low Tol]],"Pass","Fail")))</f>
        <v>Pass</v>
      </c>
      <c r="AG1742" s="1" t="str">
        <f>IF(AND(Table1[[#This Row],[Spec Type2]]="N/A",Table1[[#This Row],[DUT Adj Read]]="N/A",Table1[[#This Row],[Std Adj Read]]="N/A"),"N/A",IF(Table1[[#This Row],[DUT Adj Read]]="N/A",IF(Table1[[#This Row],[Std Adj Read]]&lt;=Table1[[#This Row],[High Tol]],"Pass","Fail"),IF(Table1[[#This Row],[DUT Adj Read]]&lt;=Table1[[#This Row],[High Tol]],"Pass","Fail")))</f>
        <v>Fail</v>
      </c>
      <c r="AH17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2" s="1" t="b">
        <v>0</v>
      </c>
      <c r="AN1742" s="1" t="b">
        <v>0</v>
      </c>
      <c r="AO1742" s="1" t="b">
        <v>0</v>
      </c>
    </row>
    <row r="1743" spans="1:41" x14ac:dyDescent="0.25">
      <c r="A1743" s="10"/>
      <c r="B1743" s="10"/>
      <c r="C1743" s="10"/>
      <c r="D1743" s="10"/>
      <c r="E1743" s="10"/>
      <c r="F1743" s="10"/>
      <c r="G1743" s="10"/>
      <c r="H1743" s="10"/>
      <c r="I1743" s="1" t="str">
        <f t="shared" si="81"/>
        <v/>
      </c>
      <c r="J1743" s="1" t="s">
        <v>35</v>
      </c>
      <c r="K1743" s="1" t="str">
        <f t="shared" si="82"/>
        <v/>
      </c>
      <c r="L1743" s="1" t="str">
        <f t="shared" si="83"/>
        <v/>
      </c>
      <c r="M1743" s="1">
        <f>IF(OR(Table1[[#This Row],[Std Nom]]="",Table1[[#This Row],[Std Read]]=""),0,Table1[[#This Row],[Std Nom]]-Table1[[#This Row],[Std Read]])</f>
        <v>0</v>
      </c>
      <c r="N1743" s="1">
        <f>IF(Calculations!$F$5="ACCREDITED 17025 WITH UNCERTAINTIES",$N$10,0)</f>
        <v>0</v>
      </c>
      <c r="O1743" s="1" t="str">
        <f>IFERROR(Table1[[#This Row],[Std Nom]]-(_xlfn.XLOOKUP(Table1[[#This Row],[Manufacturer]]&amp;" "&amp;Table1[[#This Row],[Model]],Table13[MFR &amp; MDL],Table13[Tolerance % CW ],"")/100*Table1[[#This Row],[Std Nom]]),"")</f>
        <v/>
      </c>
      <c r="P1743" s="1" t="str">
        <f>IFERROR(Table1[[#This Row],[Std Nom]]+(_xlfn.XLOOKUP(Table1[[#This Row],[Manufacturer]]&amp;" "&amp;Table1[[#This Row],[Model]],Table13[MFR &amp; MDL],Table13[Tolerance % CW ],"")/100*Table1[[#This Row],[Std Nom]]),"")</f>
        <v/>
      </c>
      <c r="Q1743" s="1" t="e">
        <f>Table1[[#This Row],[High Tol]]-Table1[[#This Row],[Low Tol]]</f>
        <v>#VALUE!</v>
      </c>
      <c r="R1743" s="1">
        <f>2*Table1[[#This Row],[Std Error]]</f>
        <v>0</v>
      </c>
      <c r="S1743" s="1" t="str">
        <f>IF(Table1[[#This Row],[High Tol]]="","N/A",IFERROR(ABS(Table1[[#This Row],[Tol Span]]/Table1[[#This Row],[Error Span]]),"N/A"))</f>
        <v>N/A</v>
      </c>
      <c r="T1743" s="1" t="str">
        <f>IF(OR(Table1[[#This Row],[Low Tol]]="",Table1[[#This Row],[High Tol]]=""),"Needs Analysis",IF(Table1[[#This Row],[Ratio]]&gt;=4,"Not Significant",IF(Table1[[#This Row],[Ratio]]&gt;=2,"Semi-Significant","Significant")))</f>
        <v>Needs Analysis</v>
      </c>
      <c r="W1743" s="1">
        <f>IF(Table1[[#This Row],[Cal Type]]&lt;&gt;"ACCREDITED 17025 WITH UNCERTAINTIES",0,"")</f>
        <v>0</v>
      </c>
      <c r="X1743" s="1" t="str">
        <f>IF(Table1[[#This Row],[DUT Read]]="","N/A",Table1[[#This Row],[Std Error]]+Table1[[#This Row],[DUT Read]]+Table1[[#This Row],[DUT Ucty]])</f>
        <v>N/A</v>
      </c>
      <c r="Y1743" s="1" t="str">
        <f>IF(Table1[[#This Row],[Std Read]]="","N/A",Table1[[#This Row],[Std Read]]+Table1[[#This Row],[Std Ucty]])</f>
        <v>N/A</v>
      </c>
      <c r="Z17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3" s="1" t="str">
        <f>IF(Table1[[#This Row],[Spec Type]]="","N/A",Table1[[#This Row],[Spec Type]])</f>
        <v>±</v>
      </c>
      <c r="AC1743" s="1" t="str">
        <f>IF(Table1[[#This Row],[Spec Type2]]="N/A","N/A",IF(AND(Table1[[#This Row],[DUT Adj Read]]&gt;=Table1[[#This Row],[Low Tol]],Table1[[#This Row],[DUT Adj Read]]&lt;=Table1[[#This Row],[High Tol]]),"Pass","Fail"))</f>
        <v>Fail</v>
      </c>
      <c r="AD1743" s="1" t="str">
        <f>IF(AND(Table1[[#This Row],[Spec Type2]]="N/A",Table1[[#This Row],[DUT Adj Read]]="N/A",Table1[[#This Row],[Std Adj Read]]="N/A"),"N/A",IF(Table1[[#This Row],[DUT Adj Read]]="N/A",IF(Table1[[#This Row],[Std Adj Read]]&gt;Table1[[#This Row],[Low Tol]],"Pass","Fail"),IF(Table1[[#This Row],[DUT Adj Read]]&gt;Table1[[#This Row],[Low Tol]],"Pass","Fail")))</f>
        <v>Pass</v>
      </c>
      <c r="AE1743" s="1" t="str">
        <f>IF(AND(Table1[[#This Row],[Spec Type2]]="N/A",Table1[[#This Row],[DUT Adj Read]]="N/A",Table1[[#This Row],[Std Adj Read]]="N/A"),"N/A",IF(Table1[[#This Row],[DUT Adj Read]]="N/A",IF(Table1[[#This Row],[Std Adj Read]]&lt;Table1[[#This Row],[High Tol]],"Pass","Fail"),IF(Table1[[#This Row],[DUT Adj Read]]&lt;Table1[[#This Row],[High Tol]],"Pass","Fail")))</f>
        <v>Fail</v>
      </c>
      <c r="AF1743" s="1" t="str">
        <f>IF(AND(Table1[[#This Row],[Spec Type2]]="N/A",Table1[[#This Row],[DUT Adj Read]]="N/A",Table1[[#This Row],[Std Adj Read]]="N/A"),"N/A",IF(Table1[[#This Row],[DUT Adj Read]]="N/A",IF(Table1[[#This Row],[Std Adj Read]]&gt;=Table1[[#This Row],[Low Tol]],"Pass","Fail"),IF(Table1[[#This Row],[DUT Adj Read]]&gt;=Table1[[#This Row],[Low Tol]],"Pass","Fail")))</f>
        <v>Pass</v>
      </c>
      <c r="AG1743" s="1" t="str">
        <f>IF(AND(Table1[[#This Row],[Spec Type2]]="N/A",Table1[[#This Row],[DUT Adj Read]]="N/A",Table1[[#This Row],[Std Adj Read]]="N/A"),"N/A",IF(Table1[[#This Row],[DUT Adj Read]]="N/A",IF(Table1[[#This Row],[Std Adj Read]]&lt;=Table1[[#This Row],[High Tol]],"Pass","Fail"),IF(Table1[[#This Row],[DUT Adj Read]]&lt;=Table1[[#This Row],[High Tol]],"Pass","Fail")))</f>
        <v>Fail</v>
      </c>
      <c r="AH17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3" s="1" t="b">
        <v>0</v>
      </c>
      <c r="AN1743" s="1" t="b">
        <v>0</v>
      </c>
      <c r="AO1743" s="1" t="b">
        <v>0</v>
      </c>
    </row>
    <row r="1744" spans="1:41" x14ac:dyDescent="0.25">
      <c r="A1744" s="10"/>
      <c r="B1744" s="10"/>
      <c r="C1744" s="10"/>
      <c r="D1744" s="10"/>
      <c r="E1744" s="10"/>
      <c r="F1744" s="10"/>
      <c r="G1744" s="10"/>
      <c r="H1744" s="10"/>
      <c r="I1744" s="1" t="str">
        <f t="shared" si="81"/>
        <v/>
      </c>
      <c r="J1744" s="1" t="s">
        <v>35</v>
      </c>
      <c r="K1744" s="1" t="str">
        <f t="shared" si="82"/>
        <v/>
      </c>
      <c r="L1744" s="1" t="str">
        <f t="shared" si="83"/>
        <v/>
      </c>
      <c r="M1744" s="1">
        <f>IF(OR(Table1[[#This Row],[Std Nom]]="",Table1[[#This Row],[Std Read]]=""),0,Table1[[#This Row],[Std Nom]]-Table1[[#This Row],[Std Read]])</f>
        <v>0</v>
      </c>
      <c r="N1744" s="1">
        <f>IF(Calculations!$F$5="ACCREDITED 17025 WITH UNCERTAINTIES",$N$10,0)</f>
        <v>0</v>
      </c>
      <c r="O1744" s="1" t="str">
        <f>IFERROR(Table1[[#This Row],[Std Nom]]-(_xlfn.XLOOKUP(Table1[[#This Row],[Manufacturer]]&amp;" "&amp;Table1[[#This Row],[Model]],Table13[MFR &amp; MDL],Table13[Tolerance % CW ],"")/100*Table1[[#This Row],[Std Nom]]),"")</f>
        <v/>
      </c>
      <c r="P1744" s="1" t="str">
        <f>IFERROR(Table1[[#This Row],[Std Nom]]+(_xlfn.XLOOKUP(Table1[[#This Row],[Manufacturer]]&amp;" "&amp;Table1[[#This Row],[Model]],Table13[MFR &amp; MDL],Table13[Tolerance % CW ],"")/100*Table1[[#This Row],[Std Nom]]),"")</f>
        <v/>
      </c>
      <c r="Q1744" s="1" t="e">
        <f>Table1[[#This Row],[High Tol]]-Table1[[#This Row],[Low Tol]]</f>
        <v>#VALUE!</v>
      </c>
      <c r="R1744" s="1">
        <f>2*Table1[[#This Row],[Std Error]]</f>
        <v>0</v>
      </c>
      <c r="S1744" s="1" t="str">
        <f>IF(Table1[[#This Row],[High Tol]]="","N/A",IFERROR(ABS(Table1[[#This Row],[Tol Span]]/Table1[[#This Row],[Error Span]]),"N/A"))</f>
        <v>N/A</v>
      </c>
      <c r="T1744" s="1" t="str">
        <f>IF(OR(Table1[[#This Row],[Low Tol]]="",Table1[[#This Row],[High Tol]]=""),"Needs Analysis",IF(Table1[[#This Row],[Ratio]]&gt;=4,"Not Significant",IF(Table1[[#This Row],[Ratio]]&gt;=2,"Semi-Significant","Significant")))</f>
        <v>Needs Analysis</v>
      </c>
      <c r="W1744" s="1">
        <f>IF(Table1[[#This Row],[Cal Type]]&lt;&gt;"ACCREDITED 17025 WITH UNCERTAINTIES",0,"")</f>
        <v>0</v>
      </c>
      <c r="X1744" s="1" t="str">
        <f>IF(Table1[[#This Row],[DUT Read]]="","N/A",Table1[[#This Row],[Std Error]]+Table1[[#This Row],[DUT Read]]+Table1[[#This Row],[DUT Ucty]])</f>
        <v>N/A</v>
      </c>
      <c r="Y1744" s="1" t="str">
        <f>IF(Table1[[#This Row],[Std Read]]="","N/A",Table1[[#This Row],[Std Read]]+Table1[[#This Row],[Std Ucty]])</f>
        <v>N/A</v>
      </c>
      <c r="Z17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4" s="1" t="str">
        <f>IF(Table1[[#This Row],[Spec Type]]="","N/A",Table1[[#This Row],[Spec Type]])</f>
        <v>±</v>
      </c>
      <c r="AC1744" s="1" t="str">
        <f>IF(Table1[[#This Row],[Spec Type2]]="N/A","N/A",IF(AND(Table1[[#This Row],[DUT Adj Read]]&gt;=Table1[[#This Row],[Low Tol]],Table1[[#This Row],[DUT Adj Read]]&lt;=Table1[[#This Row],[High Tol]]),"Pass","Fail"))</f>
        <v>Fail</v>
      </c>
      <c r="AD1744" s="1" t="str">
        <f>IF(AND(Table1[[#This Row],[Spec Type2]]="N/A",Table1[[#This Row],[DUT Adj Read]]="N/A",Table1[[#This Row],[Std Adj Read]]="N/A"),"N/A",IF(Table1[[#This Row],[DUT Adj Read]]="N/A",IF(Table1[[#This Row],[Std Adj Read]]&gt;Table1[[#This Row],[Low Tol]],"Pass","Fail"),IF(Table1[[#This Row],[DUT Adj Read]]&gt;Table1[[#This Row],[Low Tol]],"Pass","Fail")))</f>
        <v>Pass</v>
      </c>
      <c r="AE1744" s="1" t="str">
        <f>IF(AND(Table1[[#This Row],[Spec Type2]]="N/A",Table1[[#This Row],[DUT Adj Read]]="N/A",Table1[[#This Row],[Std Adj Read]]="N/A"),"N/A",IF(Table1[[#This Row],[DUT Adj Read]]="N/A",IF(Table1[[#This Row],[Std Adj Read]]&lt;Table1[[#This Row],[High Tol]],"Pass","Fail"),IF(Table1[[#This Row],[DUT Adj Read]]&lt;Table1[[#This Row],[High Tol]],"Pass","Fail")))</f>
        <v>Fail</v>
      </c>
      <c r="AF1744" s="1" t="str">
        <f>IF(AND(Table1[[#This Row],[Spec Type2]]="N/A",Table1[[#This Row],[DUT Adj Read]]="N/A",Table1[[#This Row],[Std Adj Read]]="N/A"),"N/A",IF(Table1[[#This Row],[DUT Adj Read]]="N/A",IF(Table1[[#This Row],[Std Adj Read]]&gt;=Table1[[#This Row],[Low Tol]],"Pass","Fail"),IF(Table1[[#This Row],[DUT Adj Read]]&gt;=Table1[[#This Row],[Low Tol]],"Pass","Fail")))</f>
        <v>Pass</v>
      </c>
      <c r="AG1744" s="1" t="str">
        <f>IF(AND(Table1[[#This Row],[Spec Type2]]="N/A",Table1[[#This Row],[DUT Adj Read]]="N/A",Table1[[#This Row],[Std Adj Read]]="N/A"),"N/A",IF(Table1[[#This Row],[DUT Adj Read]]="N/A",IF(Table1[[#This Row],[Std Adj Read]]&lt;=Table1[[#This Row],[High Tol]],"Pass","Fail"),IF(Table1[[#This Row],[DUT Adj Read]]&lt;=Table1[[#This Row],[High Tol]],"Pass","Fail")))</f>
        <v>Fail</v>
      </c>
      <c r="AH17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4" s="1" t="b">
        <v>0</v>
      </c>
      <c r="AN1744" s="1" t="b">
        <v>0</v>
      </c>
      <c r="AO1744" s="1" t="b">
        <v>0</v>
      </c>
    </row>
    <row r="1745" spans="1:41" x14ac:dyDescent="0.25">
      <c r="A1745" s="10"/>
      <c r="B1745" s="10"/>
      <c r="C1745" s="10"/>
      <c r="D1745" s="10"/>
      <c r="E1745" s="10"/>
      <c r="F1745" s="10"/>
      <c r="G1745" s="10"/>
      <c r="H1745" s="10"/>
      <c r="I1745" s="1" t="str">
        <f t="shared" si="81"/>
        <v/>
      </c>
      <c r="J1745" s="1" t="s">
        <v>35</v>
      </c>
      <c r="K1745" s="1" t="str">
        <f t="shared" si="82"/>
        <v/>
      </c>
      <c r="L1745" s="1" t="str">
        <f t="shared" si="83"/>
        <v/>
      </c>
      <c r="M1745" s="1">
        <f>IF(OR(Table1[[#This Row],[Std Nom]]="",Table1[[#This Row],[Std Read]]=""),0,Table1[[#This Row],[Std Nom]]-Table1[[#This Row],[Std Read]])</f>
        <v>0</v>
      </c>
      <c r="N1745" s="1">
        <f>IF(Calculations!$F$5="ACCREDITED 17025 WITH UNCERTAINTIES",$N$10,0)</f>
        <v>0</v>
      </c>
      <c r="O1745" s="1" t="str">
        <f>IFERROR(Table1[[#This Row],[Std Nom]]-(_xlfn.XLOOKUP(Table1[[#This Row],[Manufacturer]]&amp;" "&amp;Table1[[#This Row],[Model]],Table13[MFR &amp; MDL],Table13[Tolerance % CW ],"")/100*Table1[[#This Row],[Std Nom]]),"")</f>
        <v/>
      </c>
      <c r="P1745" s="1" t="str">
        <f>IFERROR(Table1[[#This Row],[Std Nom]]+(_xlfn.XLOOKUP(Table1[[#This Row],[Manufacturer]]&amp;" "&amp;Table1[[#This Row],[Model]],Table13[MFR &amp; MDL],Table13[Tolerance % CW ],"")/100*Table1[[#This Row],[Std Nom]]),"")</f>
        <v/>
      </c>
      <c r="Q1745" s="1" t="e">
        <f>Table1[[#This Row],[High Tol]]-Table1[[#This Row],[Low Tol]]</f>
        <v>#VALUE!</v>
      </c>
      <c r="R1745" s="1">
        <f>2*Table1[[#This Row],[Std Error]]</f>
        <v>0</v>
      </c>
      <c r="S1745" s="1" t="str">
        <f>IF(Table1[[#This Row],[High Tol]]="","N/A",IFERROR(ABS(Table1[[#This Row],[Tol Span]]/Table1[[#This Row],[Error Span]]),"N/A"))</f>
        <v>N/A</v>
      </c>
      <c r="T1745" s="1" t="str">
        <f>IF(OR(Table1[[#This Row],[Low Tol]]="",Table1[[#This Row],[High Tol]]=""),"Needs Analysis",IF(Table1[[#This Row],[Ratio]]&gt;=4,"Not Significant",IF(Table1[[#This Row],[Ratio]]&gt;=2,"Semi-Significant","Significant")))</f>
        <v>Needs Analysis</v>
      </c>
      <c r="W1745" s="1">
        <f>IF(Table1[[#This Row],[Cal Type]]&lt;&gt;"ACCREDITED 17025 WITH UNCERTAINTIES",0,"")</f>
        <v>0</v>
      </c>
      <c r="X1745" s="1" t="str">
        <f>IF(Table1[[#This Row],[DUT Read]]="","N/A",Table1[[#This Row],[Std Error]]+Table1[[#This Row],[DUT Read]]+Table1[[#This Row],[DUT Ucty]])</f>
        <v>N/A</v>
      </c>
      <c r="Y1745" s="1" t="str">
        <f>IF(Table1[[#This Row],[Std Read]]="","N/A",Table1[[#This Row],[Std Read]]+Table1[[#This Row],[Std Ucty]])</f>
        <v>N/A</v>
      </c>
      <c r="Z17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5" s="1" t="str">
        <f>IF(Table1[[#This Row],[Spec Type]]="","N/A",Table1[[#This Row],[Spec Type]])</f>
        <v>±</v>
      </c>
      <c r="AC1745" s="1" t="str">
        <f>IF(Table1[[#This Row],[Spec Type2]]="N/A","N/A",IF(AND(Table1[[#This Row],[DUT Adj Read]]&gt;=Table1[[#This Row],[Low Tol]],Table1[[#This Row],[DUT Adj Read]]&lt;=Table1[[#This Row],[High Tol]]),"Pass","Fail"))</f>
        <v>Fail</v>
      </c>
      <c r="AD1745" s="1" t="str">
        <f>IF(AND(Table1[[#This Row],[Spec Type2]]="N/A",Table1[[#This Row],[DUT Adj Read]]="N/A",Table1[[#This Row],[Std Adj Read]]="N/A"),"N/A",IF(Table1[[#This Row],[DUT Adj Read]]="N/A",IF(Table1[[#This Row],[Std Adj Read]]&gt;Table1[[#This Row],[Low Tol]],"Pass","Fail"),IF(Table1[[#This Row],[DUT Adj Read]]&gt;Table1[[#This Row],[Low Tol]],"Pass","Fail")))</f>
        <v>Pass</v>
      </c>
      <c r="AE1745" s="1" t="str">
        <f>IF(AND(Table1[[#This Row],[Spec Type2]]="N/A",Table1[[#This Row],[DUT Adj Read]]="N/A",Table1[[#This Row],[Std Adj Read]]="N/A"),"N/A",IF(Table1[[#This Row],[DUT Adj Read]]="N/A",IF(Table1[[#This Row],[Std Adj Read]]&lt;Table1[[#This Row],[High Tol]],"Pass","Fail"),IF(Table1[[#This Row],[DUT Adj Read]]&lt;Table1[[#This Row],[High Tol]],"Pass","Fail")))</f>
        <v>Fail</v>
      </c>
      <c r="AF1745" s="1" t="str">
        <f>IF(AND(Table1[[#This Row],[Spec Type2]]="N/A",Table1[[#This Row],[DUT Adj Read]]="N/A",Table1[[#This Row],[Std Adj Read]]="N/A"),"N/A",IF(Table1[[#This Row],[DUT Adj Read]]="N/A",IF(Table1[[#This Row],[Std Adj Read]]&gt;=Table1[[#This Row],[Low Tol]],"Pass","Fail"),IF(Table1[[#This Row],[DUT Adj Read]]&gt;=Table1[[#This Row],[Low Tol]],"Pass","Fail")))</f>
        <v>Pass</v>
      </c>
      <c r="AG1745" s="1" t="str">
        <f>IF(AND(Table1[[#This Row],[Spec Type2]]="N/A",Table1[[#This Row],[DUT Adj Read]]="N/A",Table1[[#This Row],[Std Adj Read]]="N/A"),"N/A",IF(Table1[[#This Row],[DUT Adj Read]]="N/A",IF(Table1[[#This Row],[Std Adj Read]]&lt;=Table1[[#This Row],[High Tol]],"Pass","Fail"),IF(Table1[[#This Row],[DUT Adj Read]]&lt;=Table1[[#This Row],[High Tol]],"Pass","Fail")))</f>
        <v>Fail</v>
      </c>
      <c r="AH17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5" s="1" t="b">
        <v>0</v>
      </c>
      <c r="AN1745" s="1" t="b">
        <v>0</v>
      </c>
      <c r="AO1745" s="1" t="b">
        <v>0</v>
      </c>
    </row>
    <row r="1746" spans="1:41" x14ac:dyDescent="0.25">
      <c r="A1746" s="10"/>
      <c r="B1746" s="10"/>
      <c r="C1746" s="10"/>
      <c r="D1746" s="10"/>
      <c r="E1746" s="10"/>
      <c r="F1746" s="10"/>
      <c r="G1746" s="10"/>
      <c r="H1746" s="10"/>
      <c r="I1746" s="1" t="str">
        <f t="shared" si="81"/>
        <v/>
      </c>
      <c r="J1746" s="1" t="s">
        <v>35</v>
      </c>
      <c r="K1746" s="1" t="str">
        <f t="shared" si="82"/>
        <v/>
      </c>
      <c r="L1746" s="1" t="str">
        <f t="shared" si="83"/>
        <v/>
      </c>
      <c r="M1746" s="1">
        <f>IF(OR(Table1[[#This Row],[Std Nom]]="",Table1[[#This Row],[Std Read]]=""),0,Table1[[#This Row],[Std Nom]]-Table1[[#This Row],[Std Read]])</f>
        <v>0</v>
      </c>
      <c r="N1746" s="1">
        <f>IF(Calculations!$F$5="ACCREDITED 17025 WITH UNCERTAINTIES",$N$10,0)</f>
        <v>0</v>
      </c>
      <c r="O1746" s="1" t="str">
        <f>IFERROR(Table1[[#This Row],[Std Nom]]-(_xlfn.XLOOKUP(Table1[[#This Row],[Manufacturer]]&amp;" "&amp;Table1[[#This Row],[Model]],Table13[MFR &amp; MDL],Table13[Tolerance % CW ],"")/100*Table1[[#This Row],[Std Nom]]),"")</f>
        <v/>
      </c>
      <c r="P1746" s="1" t="str">
        <f>IFERROR(Table1[[#This Row],[Std Nom]]+(_xlfn.XLOOKUP(Table1[[#This Row],[Manufacturer]]&amp;" "&amp;Table1[[#This Row],[Model]],Table13[MFR &amp; MDL],Table13[Tolerance % CW ],"")/100*Table1[[#This Row],[Std Nom]]),"")</f>
        <v/>
      </c>
      <c r="Q1746" s="1" t="e">
        <f>Table1[[#This Row],[High Tol]]-Table1[[#This Row],[Low Tol]]</f>
        <v>#VALUE!</v>
      </c>
      <c r="R1746" s="1">
        <f>2*Table1[[#This Row],[Std Error]]</f>
        <v>0</v>
      </c>
      <c r="S1746" s="1" t="str">
        <f>IF(Table1[[#This Row],[High Tol]]="","N/A",IFERROR(ABS(Table1[[#This Row],[Tol Span]]/Table1[[#This Row],[Error Span]]),"N/A"))</f>
        <v>N/A</v>
      </c>
      <c r="T1746" s="1" t="str">
        <f>IF(OR(Table1[[#This Row],[Low Tol]]="",Table1[[#This Row],[High Tol]]=""),"Needs Analysis",IF(Table1[[#This Row],[Ratio]]&gt;=4,"Not Significant",IF(Table1[[#This Row],[Ratio]]&gt;=2,"Semi-Significant","Significant")))</f>
        <v>Needs Analysis</v>
      </c>
      <c r="W1746" s="1">
        <f>IF(Table1[[#This Row],[Cal Type]]&lt;&gt;"ACCREDITED 17025 WITH UNCERTAINTIES",0,"")</f>
        <v>0</v>
      </c>
      <c r="X1746" s="1" t="str">
        <f>IF(Table1[[#This Row],[DUT Read]]="","N/A",Table1[[#This Row],[Std Error]]+Table1[[#This Row],[DUT Read]]+Table1[[#This Row],[DUT Ucty]])</f>
        <v>N/A</v>
      </c>
      <c r="Y1746" s="1" t="str">
        <f>IF(Table1[[#This Row],[Std Read]]="","N/A",Table1[[#This Row],[Std Read]]+Table1[[#This Row],[Std Ucty]])</f>
        <v>N/A</v>
      </c>
      <c r="Z17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6" s="1" t="str">
        <f>IF(Table1[[#This Row],[Spec Type]]="","N/A",Table1[[#This Row],[Spec Type]])</f>
        <v>±</v>
      </c>
      <c r="AC1746" s="1" t="str">
        <f>IF(Table1[[#This Row],[Spec Type2]]="N/A","N/A",IF(AND(Table1[[#This Row],[DUT Adj Read]]&gt;=Table1[[#This Row],[Low Tol]],Table1[[#This Row],[DUT Adj Read]]&lt;=Table1[[#This Row],[High Tol]]),"Pass","Fail"))</f>
        <v>Fail</v>
      </c>
      <c r="AD1746" s="1" t="str">
        <f>IF(AND(Table1[[#This Row],[Spec Type2]]="N/A",Table1[[#This Row],[DUT Adj Read]]="N/A",Table1[[#This Row],[Std Adj Read]]="N/A"),"N/A",IF(Table1[[#This Row],[DUT Adj Read]]="N/A",IF(Table1[[#This Row],[Std Adj Read]]&gt;Table1[[#This Row],[Low Tol]],"Pass","Fail"),IF(Table1[[#This Row],[DUT Adj Read]]&gt;Table1[[#This Row],[Low Tol]],"Pass","Fail")))</f>
        <v>Pass</v>
      </c>
      <c r="AE1746" s="1" t="str">
        <f>IF(AND(Table1[[#This Row],[Spec Type2]]="N/A",Table1[[#This Row],[DUT Adj Read]]="N/A",Table1[[#This Row],[Std Adj Read]]="N/A"),"N/A",IF(Table1[[#This Row],[DUT Adj Read]]="N/A",IF(Table1[[#This Row],[Std Adj Read]]&lt;Table1[[#This Row],[High Tol]],"Pass","Fail"),IF(Table1[[#This Row],[DUT Adj Read]]&lt;Table1[[#This Row],[High Tol]],"Pass","Fail")))</f>
        <v>Fail</v>
      </c>
      <c r="AF1746" s="1" t="str">
        <f>IF(AND(Table1[[#This Row],[Spec Type2]]="N/A",Table1[[#This Row],[DUT Adj Read]]="N/A",Table1[[#This Row],[Std Adj Read]]="N/A"),"N/A",IF(Table1[[#This Row],[DUT Adj Read]]="N/A",IF(Table1[[#This Row],[Std Adj Read]]&gt;=Table1[[#This Row],[Low Tol]],"Pass","Fail"),IF(Table1[[#This Row],[DUT Adj Read]]&gt;=Table1[[#This Row],[Low Tol]],"Pass","Fail")))</f>
        <v>Pass</v>
      </c>
      <c r="AG1746" s="1" t="str">
        <f>IF(AND(Table1[[#This Row],[Spec Type2]]="N/A",Table1[[#This Row],[DUT Adj Read]]="N/A",Table1[[#This Row],[Std Adj Read]]="N/A"),"N/A",IF(Table1[[#This Row],[DUT Adj Read]]="N/A",IF(Table1[[#This Row],[Std Adj Read]]&lt;=Table1[[#This Row],[High Tol]],"Pass","Fail"),IF(Table1[[#This Row],[DUT Adj Read]]&lt;=Table1[[#This Row],[High Tol]],"Pass","Fail")))</f>
        <v>Fail</v>
      </c>
      <c r="AH17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6" s="1" t="b">
        <v>0</v>
      </c>
      <c r="AN1746" s="1" t="b">
        <v>0</v>
      </c>
      <c r="AO1746" s="1" t="b">
        <v>0</v>
      </c>
    </row>
    <row r="1747" spans="1:41" x14ac:dyDescent="0.25">
      <c r="A1747" s="10"/>
      <c r="B1747" s="10"/>
      <c r="C1747" s="10"/>
      <c r="D1747" s="10"/>
      <c r="E1747" s="10"/>
      <c r="F1747" s="10"/>
      <c r="G1747" s="10"/>
      <c r="H1747" s="10"/>
      <c r="I1747" s="1" t="str">
        <f t="shared" si="81"/>
        <v/>
      </c>
      <c r="J1747" s="1" t="s">
        <v>35</v>
      </c>
      <c r="K1747" s="1" t="str">
        <f t="shared" si="82"/>
        <v/>
      </c>
      <c r="L1747" s="1" t="str">
        <f t="shared" si="83"/>
        <v/>
      </c>
      <c r="M1747" s="1">
        <f>IF(OR(Table1[[#This Row],[Std Nom]]="",Table1[[#This Row],[Std Read]]=""),0,Table1[[#This Row],[Std Nom]]-Table1[[#This Row],[Std Read]])</f>
        <v>0</v>
      </c>
      <c r="N1747" s="1">
        <f>IF(Calculations!$F$5="ACCREDITED 17025 WITH UNCERTAINTIES",$N$10,0)</f>
        <v>0</v>
      </c>
      <c r="O1747" s="1" t="str">
        <f>IFERROR(Table1[[#This Row],[Std Nom]]-(_xlfn.XLOOKUP(Table1[[#This Row],[Manufacturer]]&amp;" "&amp;Table1[[#This Row],[Model]],Table13[MFR &amp; MDL],Table13[Tolerance % CW ],"")/100*Table1[[#This Row],[Std Nom]]),"")</f>
        <v/>
      </c>
      <c r="P1747" s="1" t="str">
        <f>IFERROR(Table1[[#This Row],[Std Nom]]+(_xlfn.XLOOKUP(Table1[[#This Row],[Manufacturer]]&amp;" "&amp;Table1[[#This Row],[Model]],Table13[MFR &amp; MDL],Table13[Tolerance % CW ],"")/100*Table1[[#This Row],[Std Nom]]),"")</f>
        <v/>
      </c>
      <c r="Q1747" s="1" t="e">
        <f>Table1[[#This Row],[High Tol]]-Table1[[#This Row],[Low Tol]]</f>
        <v>#VALUE!</v>
      </c>
      <c r="R1747" s="1">
        <f>2*Table1[[#This Row],[Std Error]]</f>
        <v>0</v>
      </c>
      <c r="S1747" s="1" t="str">
        <f>IF(Table1[[#This Row],[High Tol]]="","N/A",IFERROR(ABS(Table1[[#This Row],[Tol Span]]/Table1[[#This Row],[Error Span]]),"N/A"))</f>
        <v>N/A</v>
      </c>
      <c r="T1747" s="1" t="str">
        <f>IF(OR(Table1[[#This Row],[Low Tol]]="",Table1[[#This Row],[High Tol]]=""),"Needs Analysis",IF(Table1[[#This Row],[Ratio]]&gt;=4,"Not Significant",IF(Table1[[#This Row],[Ratio]]&gt;=2,"Semi-Significant","Significant")))</f>
        <v>Needs Analysis</v>
      </c>
      <c r="W1747" s="1">
        <f>IF(Table1[[#This Row],[Cal Type]]&lt;&gt;"ACCREDITED 17025 WITH UNCERTAINTIES",0,"")</f>
        <v>0</v>
      </c>
      <c r="X1747" s="1" t="str">
        <f>IF(Table1[[#This Row],[DUT Read]]="","N/A",Table1[[#This Row],[Std Error]]+Table1[[#This Row],[DUT Read]]+Table1[[#This Row],[DUT Ucty]])</f>
        <v>N/A</v>
      </c>
      <c r="Y1747" s="1" t="str">
        <f>IF(Table1[[#This Row],[Std Read]]="","N/A",Table1[[#This Row],[Std Read]]+Table1[[#This Row],[Std Ucty]])</f>
        <v>N/A</v>
      </c>
      <c r="Z17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7" s="1" t="str">
        <f>IF(Table1[[#This Row],[Spec Type]]="","N/A",Table1[[#This Row],[Spec Type]])</f>
        <v>±</v>
      </c>
      <c r="AC1747" s="1" t="str">
        <f>IF(Table1[[#This Row],[Spec Type2]]="N/A","N/A",IF(AND(Table1[[#This Row],[DUT Adj Read]]&gt;=Table1[[#This Row],[Low Tol]],Table1[[#This Row],[DUT Adj Read]]&lt;=Table1[[#This Row],[High Tol]]),"Pass","Fail"))</f>
        <v>Fail</v>
      </c>
      <c r="AD1747" s="1" t="str">
        <f>IF(AND(Table1[[#This Row],[Spec Type2]]="N/A",Table1[[#This Row],[DUT Adj Read]]="N/A",Table1[[#This Row],[Std Adj Read]]="N/A"),"N/A",IF(Table1[[#This Row],[DUT Adj Read]]="N/A",IF(Table1[[#This Row],[Std Adj Read]]&gt;Table1[[#This Row],[Low Tol]],"Pass","Fail"),IF(Table1[[#This Row],[DUT Adj Read]]&gt;Table1[[#This Row],[Low Tol]],"Pass","Fail")))</f>
        <v>Pass</v>
      </c>
      <c r="AE1747" s="1" t="str">
        <f>IF(AND(Table1[[#This Row],[Spec Type2]]="N/A",Table1[[#This Row],[DUT Adj Read]]="N/A",Table1[[#This Row],[Std Adj Read]]="N/A"),"N/A",IF(Table1[[#This Row],[DUT Adj Read]]="N/A",IF(Table1[[#This Row],[Std Adj Read]]&lt;Table1[[#This Row],[High Tol]],"Pass","Fail"),IF(Table1[[#This Row],[DUT Adj Read]]&lt;Table1[[#This Row],[High Tol]],"Pass","Fail")))</f>
        <v>Fail</v>
      </c>
      <c r="AF1747" s="1" t="str">
        <f>IF(AND(Table1[[#This Row],[Spec Type2]]="N/A",Table1[[#This Row],[DUT Adj Read]]="N/A",Table1[[#This Row],[Std Adj Read]]="N/A"),"N/A",IF(Table1[[#This Row],[DUT Adj Read]]="N/A",IF(Table1[[#This Row],[Std Adj Read]]&gt;=Table1[[#This Row],[Low Tol]],"Pass","Fail"),IF(Table1[[#This Row],[DUT Adj Read]]&gt;=Table1[[#This Row],[Low Tol]],"Pass","Fail")))</f>
        <v>Pass</v>
      </c>
      <c r="AG1747" s="1" t="str">
        <f>IF(AND(Table1[[#This Row],[Spec Type2]]="N/A",Table1[[#This Row],[DUT Adj Read]]="N/A",Table1[[#This Row],[Std Adj Read]]="N/A"),"N/A",IF(Table1[[#This Row],[DUT Adj Read]]="N/A",IF(Table1[[#This Row],[Std Adj Read]]&lt;=Table1[[#This Row],[High Tol]],"Pass","Fail"),IF(Table1[[#This Row],[DUT Adj Read]]&lt;=Table1[[#This Row],[High Tol]],"Pass","Fail")))</f>
        <v>Fail</v>
      </c>
      <c r="AH17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7" s="1" t="b">
        <v>0</v>
      </c>
      <c r="AN1747" s="1" t="b">
        <v>0</v>
      </c>
      <c r="AO1747" s="1" t="b">
        <v>0</v>
      </c>
    </row>
    <row r="1748" spans="1:41" x14ac:dyDescent="0.25">
      <c r="A1748" s="10"/>
      <c r="B1748" s="10"/>
      <c r="C1748" s="10"/>
      <c r="D1748" s="10"/>
      <c r="E1748" s="10"/>
      <c r="F1748" s="10"/>
      <c r="G1748" s="10"/>
      <c r="H1748" s="10"/>
      <c r="I1748" s="1" t="str">
        <f t="shared" si="81"/>
        <v/>
      </c>
      <c r="J1748" s="1" t="s">
        <v>35</v>
      </c>
      <c r="K1748" s="1" t="str">
        <f t="shared" si="82"/>
        <v/>
      </c>
      <c r="L1748" s="1" t="str">
        <f t="shared" si="83"/>
        <v/>
      </c>
      <c r="M1748" s="1">
        <f>IF(OR(Table1[[#This Row],[Std Nom]]="",Table1[[#This Row],[Std Read]]=""),0,Table1[[#This Row],[Std Nom]]-Table1[[#This Row],[Std Read]])</f>
        <v>0</v>
      </c>
      <c r="N1748" s="1">
        <f>IF(Calculations!$F$5="ACCREDITED 17025 WITH UNCERTAINTIES",$N$10,0)</f>
        <v>0</v>
      </c>
      <c r="O1748" s="1" t="str">
        <f>IFERROR(Table1[[#This Row],[Std Nom]]-(_xlfn.XLOOKUP(Table1[[#This Row],[Manufacturer]]&amp;" "&amp;Table1[[#This Row],[Model]],Table13[MFR &amp; MDL],Table13[Tolerance % CW ],"")/100*Table1[[#This Row],[Std Nom]]),"")</f>
        <v/>
      </c>
      <c r="P1748" s="1" t="str">
        <f>IFERROR(Table1[[#This Row],[Std Nom]]+(_xlfn.XLOOKUP(Table1[[#This Row],[Manufacturer]]&amp;" "&amp;Table1[[#This Row],[Model]],Table13[MFR &amp; MDL],Table13[Tolerance % CW ],"")/100*Table1[[#This Row],[Std Nom]]),"")</f>
        <v/>
      </c>
      <c r="Q1748" s="1" t="e">
        <f>Table1[[#This Row],[High Tol]]-Table1[[#This Row],[Low Tol]]</f>
        <v>#VALUE!</v>
      </c>
      <c r="R1748" s="1">
        <f>2*Table1[[#This Row],[Std Error]]</f>
        <v>0</v>
      </c>
      <c r="S1748" s="1" t="str">
        <f>IF(Table1[[#This Row],[High Tol]]="","N/A",IFERROR(ABS(Table1[[#This Row],[Tol Span]]/Table1[[#This Row],[Error Span]]),"N/A"))</f>
        <v>N/A</v>
      </c>
      <c r="T1748" s="1" t="str">
        <f>IF(OR(Table1[[#This Row],[Low Tol]]="",Table1[[#This Row],[High Tol]]=""),"Needs Analysis",IF(Table1[[#This Row],[Ratio]]&gt;=4,"Not Significant",IF(Table1[[#This Row],[Ratio]]&gt;=2,"Semi-Significant","Significant")))</f>
        <v>Needs Analysis</v>
      </c>
      <c r="W1748" s="1">
        <f>IF(Table1[[#This Row],[Cal Type]]&lt;&gt;"ACCREDITED 17025 WITH UNCERTAINTIES",0,"")</f>
        <v>0</v>
      </c>
      <c r="X1748" s="1" t="str">
        <f>IF(Table1[[#This Row],[DUT Read]]="","N/A",Table1[[#This Row],[Std Error]]+Table1[[#This Row],[DUT Read]]+Table1[[#This Row],[DUT Ucty]])</f>
        <v>N/A</v>
      </c>
      <c r="Y1748" s="1" t="str">
        <f>IF(Table1[[#This Row],[Std Read]]="","N/A",Table1[[#This Row],[Std Read]]+Table1[[#This Row],[Std Ucty]])</f>
        <v>N/A</v>
      </c>
      <c r="Z17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8" s="1" t="str">
        <f>IF(Table1[[#This Row],[Spec Type]]="","N/A",Table1[[#This Row],[Spec Type]])</f>
        <v>±</v>
      </c>
      <c r="AC1748" s="1" t="str">
        <f>IF(Table1[[#This Row],[Spec Type2]]="N/A","N/A",IF(AND(Table1[[#This Row],[DUT Adj Read]]&gt;=Table1[[#This Row],[Low Tol]],Table1[[#This Row],[DUT Adj Read]]&lt;=Table1[[#This Row],[High Tol]]),"Pass","Fail"))</f>
        <v>Fail</v>
      </c>
      <c r="AD1748" s="1" t="str">
        <f>IF(AND(Table1[[#This Row],[Spec Type2]]="N/A",Table1[[#This Row],[DUT Adj Read]]="N/A",Table1[[#This Row],[Std Adj Read]]="N/A"),"N/A",IF(Table1[[#This Row],[DUT Adj Read]]="N/A",IF(Table1[[#This Row],[Std Adj Read]]&gt;Table1[[#This Row],[Low Tol]],"Pass","Fail"),IF(Table1[[#This Row],[DUT Adj Read]]&gt;Table1[[#This Row],[Low Tol]],"Pass","Fail")))</f>
        <v>Pass</v>
      </c>
      <c r="AE1748" s="1" t="str">
        <f>IF(AND(Table1[[#This Row],[Spec Type2]]="N/A",Table1[[#This Row],[DUT Adj Read]]="N/A",Table1[[#This Row],[Std Adj Read]]="N/A"),"N/A",IF(Table1[[#This Row],[DUT Adj Read]]="N/A",IF(Table1[[#This Row],[Std Adj Read]]&lt;Table1[[#This Row],[High Tol]],"Pass","Fail"),IF(Table1[[#This Row],[DUT Adj Read]]&lt;Table1[[#This Row],[High Tol]],"Pass","Fail")))</f>
        <v>Fail</v>
      </c>
      <c r="AF1748" s="1" t="str">
        <f>IF(AND(Table1[[#This Row],[Spec Type2]]="N/A",Table1[[#This Row],[DUT Adj Read]]="N/A",Table1[[#This Row],[Std Adj Read]]="N/A"),"N/A",IF(Table1[[#This Row],[DUT Adj Read]]="N/A",IF(Table1[[#This Row],[Std Adj Read]]&gt;=Table1[[#This Row],[Low Tol]],"Pass","Fail"),IF(Table1[[#This Row],[DUT Adj Read]]&gt;=Table1[[#This Row],[Low Tol]],"Pass","Fail")))</f>
        <v>Pass</v>
      </c>
      <c r="AG1748" s="1" t="str">
        <f>IF(AND(Table1[[#This Row],[Spec Type2]]="N/A",Table1[[#This Row],[DUT Adj Read]]="N/A",Table1[[#This Row],[Std Adj Read]]="N/A"),"N/A",IF(Table1[[#This Row],[DUT Adj Read]]="N/A",IF(Table1[[#This Row],[Std Adj Read]]&lt;=Table1[[#This Row],[High Tol]],"Pass","Fail"),IF(Table1[[#This Row],[DUT Adj Read]]&lt;=Table1[[#This Row],[High Tol]],"Pass","Fail")))</f>
        <v>Fail</v>
      </c>
      <c r="AH17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8" s="1" t="b">
        <v>0</v>
      </c>
      <c r="AN1748" s="1" t="b">
        <v>0</v>
      </c>
      <c r="AO1748" s="1" t="b">
        <v>0</v>
      </c>
    </row>
    <row r="1749" spans="1:41" x14ac:dyDescent="0.25">
      <c r="A1749" s="10"/>
      <c r="B1749" s="10"/>
      <c r="C1749" s="10"/>
      <c r="D1749" s="10"/>
      <c r="E1749" s="10"/>
      <c r="F1749" s="10"/>
      <c r="G1749" s="10"/>
      <c r="H1749" s="10"/>
      <c r="I1749" s="1" t="str">
        <f t="shared" si="81"/>
        <v/>
      </c>
      <c r="J1749" s="1" t="s">
        <v>35</v>
      </c>
      <c r="K1749" s="1" t="str">
        <f t="shared" si="82"/>
        <v/>
      </c>
      <c r="L1749" s="1" t="str">
        <f t="shared" si="83"/>
        <v/>
      </c>
      <c r="M1749" s="1">
        <f>IF(OR(Table1[[#This Row],[Std Nom]]="",Table1[[#This Row],[Std Read]]=""),0,Table1[[#This Row],[Std Nom]]-Table1[[#This Row],[Std Read]])</f>
        <v>0</v>
      </c>
      <c r="N1749" s="1">
        <f>IF(Calculations!$F$5="ACCREDITED 17025 WITH UNCERTAINTIES",$N$10,0)</f>
        <v>0</v>
      </c>
      <c r="O1749" s="1" t="str">
        <f>IFERROR(Table1[[#This Row],[Std Nom]]-(_xlfn.XLOOKUP(Table1[[#This Row],[Manufacturer]]&amp;" "&amp;Table1[[#This Row],[Model]],Table13[MFR &amp; MDL],Table13[Tolerance % CW ],"")/100*Table1[[#This Row],[Std Nom]]),"")</f>
        <v/>
      </c>
      <c r="P1749" s="1" t="str">
        <f>IFERROR(Table1[[#This Row],[Std Nom]]+(_xlfn.XLOOKUP(Table1[[#This Row],[Manufacturer]]&amp;" "&amp;Table1[[#This Row],[Model]],Table13[MFR &amp; MDL],Table13[Tolerance % CW ],"")/100*Table1[[#This Row],[Std Nom]]),"")</f>
        <v/>
      </c>
      <c r="Q1749" s="1" t="e">
        <f>Table1[[#This Row],[High Tol]]-Table1[[#This Row],[Low Tol]]</f>
        <v>#VALUE!</v>
      </c>
      <c r="R1749" s="1">
        <f>2*Table1[[#This Row],[Std Error]]</f>
        <v>0</v>
      </c>
      <c r="S1749" s="1" t="str">
        <f>IF(Table1[[#This Row],[High Tol]]="","N/A",IFERROR(ABS(Table1[[#This Row],[Tol Span]]/Table1[[#This Row],[Error Span]]),"N/A"))</f>
        <v>N/A</v>
      </c>
      <c r="T1749" s="1" t="str">
        <f>IF(OR(Table1[[#This Row],[Low Tol]]="",Table1[[#This Row],[High Tol]]=""),"Needs Analysis",IF(Table1[[#This Row],[Ratio]]&gt;=4,"Not Significant",IF(Table1[[#This Row],[Ratio]]&gt;=2,"Semi-Significant","Significant")))</f>
        <v>Needs Analysis</v>
      </c>
      <c r="W1749" s="1">
        <f>IF(Table1[[#This Row],[Cal Type]]&lt;&gt;"ACCREDITED 17025 WITH UNCERTAINTIES",0,"")</f>
        <v>0</v>
      </c>
      <c r="X1749" s="1" t="str">
        <f>IF(Table1[[#This Row],[DUT Read]]="","N/A",Table1[[#This Row],[Std Error]]+Table1[[#This Row],[DUT Read]]+Table1[[#This Row],[DUT Ucty]])</f>
        <v>N/A</v>
      </c>
      <c r="Y1749" s="1" t="str">
        <f>IF(Table1[[#This Row],[Std Read]]="","N/A",Table1[[#This Row],[Std Read]]+Table1[[#This Row],[Std Ucty]])</f>
        <v>N/A</v>
      </c>
      <c r="Z17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9" s="1" t="str">
        <f>IF(Table1[[#This Row],[Spec Type]]="","N/A",Table1[[#This Row],[Spec Type]])</f>
        <v>±</v>
      </c>
      <c r="AC1749" s="1" t="str">
        <f>IF(Table1[[#This Row],[Spec Type2]]="N/A","N/A",IF(AND(Table1[[#This Row],[DUT Adj Read]]&gt;=Table1[[#This Row],[Low Tol]],Table1[[#This Row],[DUT Adj Read]]&lt;=Table1[[#This Row],[High Tol]]),"Pass","Fail"))</f>
        <v>Fail</v>
      </c>
      <c r="AD1749" s="1" t="str">
        <f>IF(AND(Table1[[#This Row],[Spec Type2]]="N/A",Table1[[#This Row],[DUT Adj Read]]="N/A",Table1[[#This Row],[Std Adj Read]]="N/A"),"N/A",IF(Table1[[#This Row],[DUT Adj Read]]="N/A",IF(Table1[[#This Row],[Std Adj Read]]&gt;Table1[[#This Row],[Low Tol]],"Pass","Fail"),IF(Table1[[#This Row],[DUT Adj Read]]&gt;Table1[[#This Row],[Low Tol]],"Pass","Fail")))</f>
        <v>Pass</v>
      </c>
      <c r="AE1749" s="1" t="str">
        <f>IF(AND(Table1[[#This Row],[Spec Type2]]="N/A",Table1[[#This Row],[DUT Adj Read]]="N/A",Table1[[#This Row],[Std Adj Read]]="N/A"),"N/A",IF(Table1[[#This Row],[DUT Adj Read]]="N/A",IF(Table1[[#This Row],[Std Adj Read]]&lt;Table1[[#This Row],[High Tol]],"Pass","Fail"),IF(Table1[[#This Row],[DUT Adj Read]]&lt;Table1[[#This Row],[High Tol]],"Pass","Fail")))</f>
        <v>Fail</v>
      </c>
      <c r="AF1749" s="1" t="str">
        <f>IF(AND(Table1[[#This Row],[Spec Type2]]="N/A",Table1[[#This Row],[DUT Adj Read]]="N/A",Table1[[#This Row],[Std Adj Read]]="N/A"),"N/A",IF(Table1[[#This Row],[DUT Adj Read]]="N/A",IF(Table1[[#This Row],[Std Adj Read]]&gt;=Table1[[#This Row],[Low Tol]],"Pass","Fail"),IF(Table1[[#This Row],[DUT Adj Read]]&gt;=Table1[[#This Row],[Low Tol]],"Pass","Fail")))</f>
        <v>Pass</v>
      </c>
      <c r="AG1749" s="1" t="str">
        <f>IF(AND(Table1[[#This Row],[Spec Type2]]="N/A",Table1[[#This Row],[DUT Adj Read]]="N/A",Table1[[#This Row],[Std Adj Read]]="N/A"),"N/A",IF(Table1[[#This Row],[DUT Adj Read]]="N/A",IF(Table1[[#This Row],[Std Adj Read]]&lt;=Table1[[#This Row],[High Tol]],"Pass","Fail"),IF(Table1[[#This Row],[DUT Adj Read]]&lt;=Table1[[#This Row],[High Tol]],"Pass","Fail")))</f>
        <v>Fail</v>
      </c>
      <c r="AH17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9" s="1" t="b">
        <v>0</v>
      </c>
      <c r="AN1749" s="1" t="b">
        <v>0</v>
      </c>
      <c r="AO1749" s="1" t="b">
        <v>0</v>
      </c>
    </row>
    <row r="1750" spans="1:41" x14ac:dyDescent="0.25">
      <c r="A1750" s="10"/>
      <c r="B1750" s="10"/>
      <c r="C1750" s="10"/>
      <c r="D1750" s="10"/>
      <c r="E1750" s="10"/>
      <c r="F1750" s="10"/>
      <c r="G1750" s="10"/>
      <c r="H1750" s="10"/>
      <c r="I1750" s="1" t="str">
        <f t="shared" si="81"/>
        <v/>
      </c>
      <c r="J1750" s="1" t="s">
        <v>35</v>
      </c>
      <c r="K1750" s="1" t="str">
        <f t="shared" si="82"/>
        <v/>
      </c>
      <c r="L1750" s="1" t="str">
        <f t="shared" si="83"/>
        <v/>
      </c>
      <c r="M1750" s="1">
        <f>IF(OR(Table1[[#This Row],[Std Nom]]="",Table1[[#This Row],[Std Read]]=""),0,Table1[[#This Row],[Std Nom]]-Table1[[#This Row],[Std Read]])</f>
        <v>0</v>
      </c>
      <c r="N1750" s="1">
        <f>IF(Calculations!$F$5="ACCREDITED 17025 WITH UNCERTAINTIES",$N$10,0)</f>
        <v>0</v>
      </c>
      <c r="O1750" s="1" t="str">
        <f>IFERROR(Table1[[#This Row],[Std Nom]]-(_xlfn.XLOOKUP(Table1[[#This Row],[Manufacturer]]&amp;" "&amp;Table1[[#This Row],[Model]],Table13[MFR &amp; MDL],Table13[Tolerance % CW ],"")/100*Table1[[#This Row],[Std Nom]]),"")</f>
        <v/>
      </c>
      <c r="P1750" s="1" t="str">
        <f>IFERROR(Table1[[#This Row],[Std Nom]]+(_xlfn.XLOOKUP(Table1[[#This Row],[Manufacturer]]&amp;" "&amp;Table1[[#This Row],[Model]],Table13[MFR &amp; MDL],Table13[Tolerance % CW ],"")/100*Table1[[#This Row],[Std Nom]]),"")</f>
        <v/>
      </c>
      <c r="Q1750" s="1" t="e">
        <f>Table1[[#This Row],[High Tol]]-Table1[[#This Row],[Low Tol]]</f>
        <v>#VALUE!</v>
      </c>
      <c r="R1750" s="1">
        <f>2*Table1[[#This Row],[Std Error]]</f>
        <v>0</v>
      </c>
      <c r="S1750" s="1" t="str">
        <f>IF(Table1[[#This Row],[High Tol]]="","N/A",IFERROR(ABS(Table1[[#This Row],[Tol Span]]/Table1[[#This Row],[Error Span]]),"N/A"))</f>
        <v>N/A</v>
      </c>
      <c r="T1750" s="1" t="str">
        <f>IF(OR(Table1[[#This Row],[Low Tol]]="",Table1[[#This Row],[High Tol]]=""),"Needs Analysis",IF(Table1[[#This Row],[Ratio]]&gt;=4,"Not Significant",IF(Table1[[#This Row],[Ratio]]&gt;=2,"Semi-Significant","Significant")))</f>
        <v>Needs Analysis</v>
      </c>
      <c r="W1750" s="1">
        <f>IF(Table1[[#This Row],[Cal Type]]&lt;&gt;"ACCREDITED 17025 WITH UNCERTAINTIES",0,"")</f>
        <v>0</v>
      </c>
      <c r="X1750" s="1" t="str">
        <f>IF(Table1[[#This Row],[DUT Read]]="","N/A",Table1[[#This Row],[Std Error]]+Table1[[#This Row],[DUT Read]]+Table1[[#This Row],[DUT Ucty]])</f>
        <v>N/A</v>
      </c>
      <c r="Y1750" s="1" t="str">
        <f>IF(Table1[[#This Row],[Std Read]]="","N/A",Table1[[#This Row],[Std Read]]+Table1[[#This Row],[Std Ucty]])</f>
        <v>N/A</v>
      </c>
      <c r="Z17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0" s="1" t="str">
        <f>IF(Table1[[#This Row],[Spec Type]]="","N/A",Table1[[#This Row],[Spec Type]])</f>
        <v>±</v>
      </c>
      <c r="AC1750" s="1" t="str">
        <f>IF(Table1[[#This Row],[Spec Type2]]="N/A","N/A",IF(AND(Table1[[#This Row],[DUT Adj Read]]&gt;=Table1[[#This Row],[Low Tol]],Table1[[#This Row],[DUT Adj Read]]&lt;=Table1[[#This Row],[High Tol]]),"Pass","Fail"))</f>
        <v>Fail</v>
      </c>
      <c r="AD1750" s="1" t="str">
        <f>IF(AND(Table1[[#This Row],[Spec Type2]]="N/A",Table1[[#This Row],[DUT Adj Read]]="N/A",Table1[[#This Row],[Std Adj Read]]="N/A"),"N/A",IF(Table1[[#This Row],[DUT Adj Read]]="N/A",IF(Table1[[#This Row],[Std Adj Read]]&gt;Table1[[#This Row],[Low Tol]],"Pass","Fail"),IF(Table1[[#This Row],[DUT Adj Read]]&gt;Table1[[#This Row],[Low Tol]],"Pass","Fail")))</f>
        <v>Pass</v>
      </c>
      <c r="AE1750" s="1" t="str">
        <f>IF(AND(Table1[[#This Row],[Spec Type2]]="N/A",Table1[[#This Row],[DUT Adj Read]]="N/A",Table1[[#This Row],[Std Adj Read]]="N/A"),"N/A",IF(Table1[[#This Row],[DUT Adj Read]]="N/A",IF(Table1[[#This Row],[Std Adj Read]]&lt;Table1[[#This Row],[High Tol]],"Pass","Fail"),IF(Table1[[#This Row],[DUT Adj Read]]&lt;Table1[[#This Row],[High Tol]],"Pass","Fail")))</f>
        <v>Fail</v>
      </c>
      <c r="AF1750" s="1" t="str">
        <f>IF(AND(Table1[[#This Row],[Spec Type2]]="N/A",Table1[[#This Row],[DUT Adj Read]]="N/A",Table1[[#This Row],[Std Adj Read]]="N/A"),"N/A",IF(Table1[[#This Row],[DUT Adj Read]]="N/A",IF(Table1[[#This Row],[Std Adj Read]]&gt;=Table1[[#This Row],[Low Tol]],"Pass","Fail"),IF(Table1[[#This Row],[DUT Adj Read]]&gt;=Table1[[#This Row],[Low Tol]],"Pass","Fail")))</f>
        <v>Pass</v>
      </c>
      <c r="AG1750" s="1" t="str">
        <f>IF(AND(Table1[[#This Row],[Spec Type2]]="N/A",Table1[[#This Row],[DUT Adj Read]]="N/A",Table1[[#This Row],[Std Adj Read]]="N/A"),"N/A",IF(Table1[[#This Row],[DUT Adj Read]]="N/A",IF(Table1[[#This Row],[Std Adj Read]]&lt;=Table1[[#This Row],[High Tol]],"Pass","Fail"),IF(Table1[[#This Row],[DUT Adj Read]]&lt;=Table1[[#This Row],[High Tol]],"Pass","Fail")))</f>
        <v>Fail</v>
      </c>
      <c r="AH17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0" s="1" t="b">
        <v>0</v>
      </c>
      <c r="AN1750" s="1" t="b">
        <v>0</v>
      </c>
      <c r="AO1750" s="1" t="b">
        <v>0</v>
      </c>
    </row>
    <row r="1751" spans="1:41" x14ac:dyDescent="0.25">
      <c r="A1751" s="10"/>
      <c r="B1751" s="10"/>
      <c r="C1751" s="10"/>
      <c r="D1751" s="10"/>
      <c r="E1751" s="10"/>
      <c r="F1751" s="10"/>
      <c r="G1751" s="10"/>
      <c r="H1751" s="10"/>
      <c r="I1751" s="1" t="str">
        <f t="shared" si="81"/>
        <v/>
      </c>
      <c r="J1751" s="1" t="s">
        <v>35</v>
      </c>
      <c r="K1751" s="1" t="str">
        <f t="shared" si="82"/>
        <v/>
      </c>
      <c r="L1751" s="1" t="str">
        <f t="shared" si="83"/>
        <v/>
      </c>
      <c r="M1751" s="1">
        <f>IF(OR(Table1[[#This Row],[Std Nom]]="",Table1[[#This Row],[Std Read]]=""),0,Table1[[#This Row],[Std Nom]]-Table1[[#This Row],[Std Read]])</f>
        <v>0</v>
      </c>
      <c r="N1751" s="1">
        <f>IF(Calculations!$F$5="ACCREDITED 17025 WITH UNCERTAINTIES",$N$10,0)</f>
        <v>0</v>
      </c>
      <c r="O1751" s="1" t="str">
        <f>IFERROR(Table1[[#This Row],[Std Nom]]-(_xlfn.XLOOKUP(Table1[[#This Row],[Manufacturer]]&amp;" "&amp;Table1[[#This Row],[Model]],Table13[MFR &amp; MDL],Table13[Tolerance % CW ],"")/100*Table1[[#This Row],[Std Nom]]),"")</f>
        <v/>
      </c>
      <c r="P1751" s="1" t="str">
        <f>IFERROR(Table1[[#This Row],[Std Nom]]+(_xlfn.XLOOKUP(Table1[[#This Row],[Manufacturer]]&amp;" "&amp;Table1[[#This Row],[Model]],Table13[MFR &amp; MDL],Table13[Tolerance % CW ],"")/100*Table1[[#This Row],[Std Nom]]),"")</f>
        <v/>
      </c>
      <c r="Q1751" s="1" t="e">
        <f>Table1[[#This Row],[High Tol]]-Table1[[#This Row],[Low Tol]]</f>
        <v>#VALUE!</v>
      </c>
      <c r="R1751" s="1">
        <f>2*Table1[[#This Row],[Std Error]]</f>
        <v>0</v>
      </c>
      <c r="S1751" s="1" t="str">
        <f>IF(Table1[[#This Row],[High Tol]]="","N/A",IFERROR(ABS(Table1[[#This Row],[Tol Span]]/Table1[[#This Row],[Error Span]]),"N/A"))</f>
        <v>N/A</v>
      </c>
      <c r="T1751" s="1" t="str">
        <f>IF(OR(Table1[[#This Row],[Low Tol]]="",Table1[[#This Row],[High Tol]]=""),"Needs Analysis",IF(Table1[[#This Row],[Ratio]]&gt;=4,"Not Significant",IF(Table1[[#This Row],[Ratio]]&gt;=2,"Semi-Significant","Significant")))</f>
        <v>Needs Analysis</v>
      </c>
      <c r="W1751" s="1">
        <f>IF(Table1[[#This Row],[Cal Type]]&lt;&gt;"ACCREDITED 17025 WITH UNCERTAINTIES",0,"")</f>
        <v>0</v>
      </c>
      <c r="X1751" s="1" t="str">
        <f>IF(Table1[[#This Row],[DUT Read]]="","N/A",Table1[[#This Row],[Std Error]]+Table1[[#This Row],[DUT Read]]+Table1[[#This Row],[DUT Ucty]])</f>
        <v>N/A</v>
      </c>
      <c r="Y1751" s="1" t="str">
        <f>IF(Table1[[#This Row],[Std Read]]="","N/A",Table1[[#This Row],[Std Read]]+Table1[[#This Row],[Std Ucty]])</f>
        <v>N/A</v>
      </c>
      <c r="Z17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1" s="1" t="str">
        <f>IF(Table1[[#This Row],[Spec Type]]="","N/A",Table1[[#This Row],[Spec Type]])</f>
        <v>±</v>
      </c>
      <c r="AC1751" s="1" t="str">
        <f>IF(Table1[[#This Row],[Spec Type2]]="N/A","N/A",IF(AND(Table1[[#This Row],[DUT Adj Read]]&gt;=Table1[[#This Row],[Low Tol]],Table1[[#This Row],[DUT Adj Read]]&lt;=Table1[[#This Row],[High Tol]]),"Pass","Fail"))</f>
        <v>Fail</v>
      </c>
      <c r="AD1751" s="1" t="str">
        <f>IF(AND(Table1[[#This Row],[Spec Type2]]="N/A",Table1[[#This Row],[DUT Adj Read]]="N/A",Table1[[#This Row],[Std Adj Read]]="N/A"),"N/A",IF(Table1[[#This Row],[DUT Adj Read]]="N/A",IF(Table1[[#This Row],[Std Adj Read]]&gt;Table1[[#This Row],[Low Tol]],"Pass","Fail"),IF(Table1[[#This Row],[DUT Adj Read]]&gt;Table1[[#This Row],[Low Tol]],"Pass","Fail")))</f>
        <v>Pass</v>
      </c>
      <c r="AE1751" s="1" t="str">
        <f>IF(AND(Table1[[#This Row],[Spec Type2]]="N/A",Table1[[#This Row],[DUT Adj Read]]="N/A",Table1[[#This Row],[Std Adj Read]]="N/A"),"N/A",IF(Table1[[#This Row],[DUT Adj Read]]="N/A",IF(Table1[[#This Row],[Std Adj Read]]&lt;Table1[[#This Row],[High Tol]],"Pass","Fail"),IF(Table1[[#This Row],[DUT Adj Read]]&lt;Table1[[#This Row],[High Tol]],"Pass","Fail")))</f>
        <v>Fail</v>
      </c>
      <c r="AF1751" s="1" t="str">
        <f>IF(AND(Table1[[#This Row],[Spec Type2]]="N/A",Table1[[#This Row],[DUT Adj Read]]="N/A",Table1[[#This Row],[Std Adj Read]]="N/A"),"N/A",IF(Table1[[#This Row],[DUT Adj Read]]="N/A",IF(Table1[[#This Row],[Std Adj Read]]&gt;=Table1[[#This Row],[Low Tol]],"Pass","Fail"),IF(Table1[[#This Row],[DUT Adj Read]]&gt;=Table1[[#This Row],[Low Tol]],"Pass","Fail")))</f>
        <v>Pass</v>
      </c>
      <c r="AG1751" s="1" t="str">
        <f>IF(AND(Table1[[#This Row],[Spec Type2]]="N/A",Table1[[#This Row],[DUT Adj Read]]="N/A",Table1[[#This Row],[Std Adj Read]]="N/A"),"N/A",IF(Table1[[#This Row],[DUT Adj Read]]="N/A",IF(Table1[[#This Row],[Std Adj Read]]&lt;=Table1[[#This Row],[High Tol]],"Pass","Fail"),IF(Table1[[#This Row],[DUT Adj Read]]&lt;=Table1[[#This Row],[High Tol]],"Pass","Fail")))</f>
        <v>Fail</v>
      </c>
      <c r="AH17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1" s="1" t="b">
        <v>0</v>
      </c>
      <c r="AN1751" s="1" t="b">
        <v>0</v>
      </c>
      <c r="AO1751" s="1" t="b">
        <v>0</v>
      </c>
    </row>
    <row r="1752" spans="1:41" x14ac:dyDescent="0.25">
      <c r="A1752" s="10"/>
      <c r="B1752" s="10"/>
      <c r="C1752" s="10"/>
      <c r="D1752" s="10"/>
      <c r="E1752" s="10"/>
      <c r="F1752" s="10"/>
      <c r="G1752" s="10"/>
      <c r="H1752" s="10"/>
      <c r="I1752" s="1" t="str">
        <f t="shared" si="81"/>
        <v/>
      </c>
      <c r="J1752" s="1" t="s">
        <v>35</v>
      </c>
      <c r="K1752" s="1" t="str">
        <f t="shared" si="82"/>
        <v/>
      </c>
      <c r="L1752" s="1" t="str">
        <f t="shared" si="83"/>
        <v/>
      </c>
      <c r="M1752" s="1">
        <f>IF(OR(Table1[[#This Row],[Std Nom]]="",Table1[[#This Row],[Std Read]]=""),0,Table1[[#This Row],[Std Nom]]-Table1[[#This Row],[Std Read]])</f>
        <v>0</v>
      </c>
      <c r="N1752" s="1">
        <f>IF(Calculations!$F$5="ACCREDITED 17025 WITH UNCERTAINTIES",$N$10,0)</f>
        <v>0</v>
      </c>
      <c r="O1752" s="1" t="str">
        <f>IFERROR(Table1[[#This Row],[Std Nom]]-(_xlfn.XLOOKUP(Table1[[#This Row],[Manufacturer]]&amp;" "&amp;Table1[[#This Row],[Model]],Table13[MFR &amp; MDL],Table13[Tolerance % CW ],"")/100*Table1[[#This Row],[Std Nom]]),"")</f>
        <v/>
      </c>
      <c r="P1752" s="1" t="str">
        <f>IFERROR(Table1[[#This Row],[Std Nom]]+(_xlfn.XLOOKUP(Table1[[#This Row],[Manufacturer]]&amp;" "&amp;Table1[[#This Row],[Model]],Table13[MFR &amp; MDL],Table13[Tolerance % CW ],"")/100*Table1[[#This Row],[Std Nom]]),"")</f>
        <v/>
      </c>
      <c r="Q1752" s="1" t="e">
        <f>Table1[[#This Row],[High Tol]]-Table1[[#This Row],[Low Tol]]</f>
        <v>#VALUE!</v>
      </c>
      <c r="R1752" s="1">
        <f>2*Table1[[#This Row],[Std Error]]</f>
        <v>0</v>
      </c>
      <c r="S1752" s="1" t="str">
        <f>IF(Table1[[#This Row],[High Tol]]="","N/A",IFERROR(ABS(Table1[[#This Row],[Tol Span]]/Table1[[#This Row],[Error Span]]),"N/A"))</f>
        <v>N/A</v>
      </c>
      <c r="T1752" s="1" t="str">
        <f>IF(OR(Table1[[#This Row],[Low Tol]]="",Table1[[#This Row],[High Tol]]=""),"Needs Analysis",IF(Table1[[#This Row],[Ratio]]&gt;=4,"Not Significant",IF(Table1[[#This Row],[Ratio]]&gt;=2,"Semi-Significant","Significant")))</f>
        <v>Needs Analysis</v>
      </c>
      <c r="W1752" s="1">
        <f>IF(Table1[[#This Row],[Cal Type]]&lt;&gt;"ACCREDITED 17025 WITH UNCERTAINTIES",0,"")</f>
        <v>0</v>
      </c>
      <c r="X1752" s="1" t="str">
        <f>IF(Table1[[#This Row],[DUT Read]]="","N/A",Table1[[#This Row],[Std Error]]+Table1[[#This Row],[DUT Read]]+Table1[[#This Row],[DUT Ucty]])</f>
        <v>N/A</v>
      </c>
      <c r="Y1752" s="1" t="str">
        <f>IF(Table1[[#This Row],[Std Read]]="","N/A",Table1[[#This Row],[Std Read]]+Table1[[#This Row],[Std Ucty]])</f>
        <v>N/A</v>
      </c>
      <c r="Z17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2" s="1" t="str">
        <f>IF(Table1[[#This Row],[Spec Type]]="","N/A",Table1[[#This Row],[Spec Type]])</f>
        <v>±</v>
      </c>
      <c r="AC1752" s="1" t="str">
        <f>IF(Table1[[#This Row],[Spec Type2]]="N/A","N/A",IF(AND(Table1[[#This Row],[DUT Adj Read]]&gt;=Table1[[#This Row],[Low Tol]],Table1[[#This Row],[DUT Adj Read]]&lt;=Table1[[#This Row],[High Tol]]),"Pass","Fail"))</f>
        <v>Fail</v>
      </c>
      <c r="AD1752" s="1" t="str">
        <f>IF(AND(Table1[[#This Row],[Spec Type2]]="N/A",Table1[[#This Row],[DUT Adj Read]]="N/A",Table1[[#This Row],[Std Adj Read]]="N/A"),"N/A",IF(Table1[[#This Row],[DUT Adj Read]]="N/A",IF(Table1[[#This Row],[Std Adj Read]]&gt;Table1[[#This Row],[Low Tol]],"Pass","Fail"),IF(Table1[[#This Row],[DUT Adj Read]]&gt;Table1[[#This Row],[Low Tol]],"Pass","Fail")))</f>
        <v>Pass</v>
      </c>
      <c r="AE1752" s="1" t="str">
        <f>IF(AND(Table1[[#This Row],[Spec Type2]]="N/A",Table1[[#This Row],[DUT Adj Read]]="N/A",Table1[[#This Row],[Std Adj Read]]="N/A"),"N/A",IF(Table1[[#This Row],[DUT Adj Read]]="N/A",IF(Table1[[#This Row],[Std Adj Read]]&lt;Table1[[#This Row],[High Tol]],"Pass","Fail"),IF(Table1[[#This Row],[DUT Adj Read]]&lt;Table1[[#This Row],[High Tol]],"Pass","Fail")))</f>
        <v>Fail</v>
      </c>
      <c r="AF1752" s="1" t="str">
        <f>IF(AND(Table1[[#This Row],[Spec Type2]]="N/A",Table1[[#This Row],[DUT Adj Read]]="N/A",Table1[[#This Row],[Std Adj Read]]="N/A"),"N/A",IF(Table1[[#This Row],[DUT Adj Read]]="N/A",IF(Table1[[#This Row],[Std Adj Read]]&gt;=Table1[[#This Row],[Low Tol]],"Pass","Fail"),IF(Table1[[#This Row],[DUT Adj Read]]&gt;=Table1[[#This Row],[Low Tol]],"Pass","Fail")))</f>
        <v>Pass</v>
      </c>
      <c r="AG1752" s="1" t="str">
        <f>IF(AND(Table1[[#This Row],[Spec Type2]]="N/A",Table1[[#This Row],[DUT Adj Read]]="N/A",Table1[[#This Row],[Std Adj Read]]="N/A"),"N/A",IF(Table1[[#This Row],[DUT Adj Read]]="N/A",IF(Table1[[#This Row],[Std Adj Read]]&lt;=Table1[[#This Row],[High Tol]],"Pass","Fail"),IF(Table1[[#This Row],[DUT Adj Read]]&lt;=Table1[[#This Row],[High Tol]],"Pass","Fail")))</f>
        <v>Fail</v>
      </c>
      <c r="AH17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2" s="1" t="b">
        <v>0</v>
      </c>
      <c r="AN1752" s="1" t="b">
        <v>0</v>
      </c>
      <c r="AO1752" s="1" t="b">
        <v>0</v>
      </c>
    </row>
    <row r="1753" spans="1:41" x14ac:dyDescent="0.25">
      <c r="A1753" s="10"/>
      <c r="B1753" s="10"/>
      <c r="C1753" s="10"/>
      <c r="D1753" s="10"/>
      <c r="E1753" s="10"/>
      <c r="F1753" s="10"/>
      <c r="G1753" s="10"/>
      <c r="H1753" s="10"/>
      <c r="I1753" s="1" t="str">
        <f t="shared" si="81"/>
        <v/>
      </c>
      <c r="J1753" s="1" t="s">
        <v>35</v>
      </c>
      <c r="K1753" s="1" t="str">
        <f t="shared" si="82"/>
        <v/>
      </c>
      <c r="L1753" s="1" t="str">
        <f t="shared" si="83"/>
        <v/>
      </c>
      <c r="M1753" s="1">
        <f>IF(OR(Table1[[#This Row],[Std Nom]]="",Table1[[#This Row],[Std Read]]=""),0,Table1[[#This Row],[Std Nom]]-Table1[[#This Row],[Std Read]])</f>
        <v>0</v>
      </c>
      <c r="N1753" s="1">
        <f>IF(Calculations!$F$5="ACCREDITED 17025 WITH UNCERTAINTIES",$N$10,0)</f>
        <v>0</v>
      </c>
      <c r="O1753" s="1" t="str">
        <f>IFERROR(Table1[[#This Row],[Std Nom]]-(_xlfn.XLOOKUP(Table1[[#This Row],[Manufacturer]]&amp;" "&amp;Table1[[#This Row],[Model]],Table13[MFR &amp; MDL],Table13[Tolerance % CW ],"")/100*Table1[[#This Row],[Std Nom]]),"")</f>
        <v/>
      </c>
      <c r="P1753" s="1" t="str">
        <f>IFERROR(Table1[[#This Row],[Std Nom]]+(_xlfn.XLOOKUP(Table1[[#This Row],[Manufacturer]]&amp;" "&amp;Table1[[#This Row],[Model]],Table13[MFR &amp; MDL],Table13[Tolerance % CW ],"")/100*Table1[[#This Row],[Std Nom]]),"")</f>
        <v/>
      </c>
      <c r="Q1753" s="1" t="e">
        <f>Table1[[#This Row],[High Tol]]-Table1[[#This Row],[Low Tol]]</f>
        <v>#VALUE!</v>
      </c>
      <c r="R1753" s="1">
        <f>2*Table1[[#This Row],[Std Error]]</f>
        <v>0</v>
      </c>
      <c r="S1753" s="1" t="str">
        <f>IF(Table1[[#This Row],[High Tol]]="","N/A",IFERROR(ABS(Table1[[#This Row],[Tol Span]]/Table1[[#This Row],[Error Span]]),"N/A"))</f>
        <v>N/A</v>
      </c>
      <c r="T1753" s="1" t="str">
        <f>IF(OR(Table1[[#This Row],[Low Tol]]="",Table1[[#This Row],[High Tol]]=""),"Needs Analysis",IF(Table1[[#This Row],[Ratio]]&gt;=4,"Not Significant",IF(Table1[[#This Row],[Ratio]]&gt;=2,"Semi-Significant","Significant")))</f>
        <v>Needs Analysis</v>
      </c>
      <c r="W1753" s="1">
        <f>IF(Table1[[#This Row],[Cal Type]]&lt;&gt;"ACCREDITED 17025 WITH UNCERTAINTIES",0,"")</f>
        <v>0</v>
      </c>
      <c r="X1753" s="1" t="str">
        <f>IF(Table1[[#This Row],[DUT Read]]="","N/A",Table1[[#This Row],[Std Error]]+Table1[[#This Row],[DUT Read]]+Table1[[#This Row],[DUT Ucty]])</f>
        <v>N/A</v>
      </c>
      <c r="Y1753" s="1" t="str">
        <f>IF(Table1[[#This Row],[Std Read]]="","N/A",Table1[[#This Row],[Std Read]]+Table1[[#This Row],[Std Ucty]])</f>
        <v>N/A</v>
      </c>
      <c r="Z17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3" s="1" t="str">
        <f>IF(Table1[[#This Row],[Spec Type]]="","N/A",Table1[[#This Row],[Spec Type]])</f>
        <v>±</v>
      </c>
      <c r="AC1753" s="1" t="str">
        <f>IF(Table1[[#This Row],[Spec Type2]]="N/A","N/A",IF(AND(Table1[[#This Row],[DUT Adj Read]]&gt;=Table1[[#This Row],[Low Tol]],Table1[[#This Row],[DUT Adj Read]]&lt;=Table1[[#This Row],[High Tol]]),"Pass","Fail"))</f>
        <v>Fail</v>
      </c>
      <c r="AD1753" s="1" t="str">
        <f>IF(AND(Table1[[#This Row],[Spec Type2]]="N/A",Table1[[#This Row],[DUT Adj Read]]="N/A",Table1[[#This Row],[Std Adj Read]]="N/A"),"N/A",IF(Table1[[#This Row],[DUT Adj Read]]="N/A",IF(Table1[[#This Row],[Std Adj Read]]&gt;Table1[[#This Row],[Low Tol]],"Pass","Fail"),IF(Table1[[#This Row],[DUT Adj Read]]&gt;Table1[[#This Row],[Low Tol]],"Pass","Fail")))</f>
        <v>Pass</v>
      </c>
      <c r="AE1753" s="1" t="str">
        <f>IF(AND(Table1[[#This Row],[Spec Type2]]="N/A",Table1[[#This Row],[DUT Adj Read]]="N/A",Table1[[#This Row],[Std Adj Read]]="N/A"),"N/A",IF(Table1[[#This Row],[DUT Adj Read]]="N/A",IF(Table1[[#This Row],[Std Adj Read]]&lt;Table1[[#This Row],[High Tol]],"Pass","Fail"),IF(Table1[[#This Row],[DUT Adj Read]]&lt;Table1[[#This Row],[High Tol]],"Pass","Fail")))</f>
        <v>Fail</v>
      </c>
      <c r="AF1753" s="1" t="str">
        <f>IF(AND(Table1[[#This Row],[Spec Type2]]="N/A",Table1[[#This Row],[DUT Adj Read]]="N/A",Table1[[#This Row],[Std Adj Read]]="N/A"),"N/A",IF(Table1[[#This Row],[DUT Adj Read]]="N/A",IF(Table1[[#This Row],[Std Adj Read]]&gt;=Table1[[#This Row],[Low Tol]],"Pass","Fail"),IF(Table1[[#This Row],[DUT Adj Read]]&gt;=Table1[[#This Row],[Low Tol]],"Pass","Fail")))</f>
        <v>Pass</v>
      </c>
      <c r="AG1753" s="1" t="str">
        <f>IF(AND(Table1[[#This Row],[Spec Type2]]="N/A",Table1[[#This Row],[DUT Adj Read]]="N/A",Table1[[#This Row],[Std Adj Read]]="N/A"),"N/A",IF(Table1[[#This Row],[DUT Adj Read]]="N/A",IF(Table1[[#This Row],[Std Adj Read]]&lt;=Table1[[#This Row],[High Tol]],"Pass","Fail"),IF(Table1[[#This Row],[DUT Adj Read]]&lt;=Table1[[#This Row],[High Tol]],"Pass","Fail")))</f>
        <v>Fail</v>
      </c>
      <c r="AH17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3" s="1" t="b">
        <v>0</v>
      </c>
      <c r="AN1753" s="1" t="b">
        <v>0</v>
      </c>
      <c r="AO1753" s="1" t="b">
        <v>0</v>
      </c>
    </row>
    <row r="1754" spans="1:41" x14ac:dyDescent="0.25">
      <c r="A1754" s="10"/>
      <c r="B1754" s="10"/>
      <c r="C1754" s="10"/>
      <c r="D1754" s="10"/>
      <c r="E1754" s="10"/>
      <c r="F1754" s="10"/>
      <c r="G1754" s="10"/>
      <c r="H1754" s="10"/>
      <c r="I1754" s="1" t="str">
        <f t="shared" si="81"/>
        <v/>
      </c>
      <c r="J1754" s="1" t="s">
        <v>35</v>
      </c>
      <c r="K1754" s="1" t="str">
        <f t="shared" si="82"/>
        <v/>
      </c>
      <c r="L1754" s="1" t="str">
        <f t="shared" si="83"/>
        <v/>
      </c>
      <c r="M1754" s="1">
        <f>IF(OR(Table1[[#This Row],[Std Nom]]="",Table1[[#This Row],[Std Read]]=""),0,Table1[[#This Row],[Std Nom]]-Table1[[#This Row],[Std Read]])</f>
        <v>0</v>
      </c>
      <c r="N1754" s="1">
        <f>IF(Calculations!$F$5="ACCREDITED 17025 WITH UNCERTAINTIES",$N$10,0)</f>
        <v>0</v>
      </c>
      <c r="O1754" s="1" t="str">
        <f>IFERROR(Table1[[#This Row],[Std Nom]]-(_xlfn.XLOOKUP(Table1[[#This Row],[Manufacturer]]&amp;" "&amp;Table1[[#This Row],[Model]],Table13[MFR &amp; MDL],Table13[Tolerance % CW ],"")/100*Table1[[#This Row],[Std Nom]]),"")</f>
        <v/>
      </c>
      <c r="P1754" s="1" t="str">
        <f>IFERROR(Table1[[#This Row],[Std Nom]]+(_xlfn.XLOOKUP(Table1[[#This Row],[Manufacturer]]&amp;" "&amp;Table1[[#This Row],[Model]],Table13[MFR &amp; MDL],Table13[Tolerance % CW ],"")/100*Table1[[#This Row],[Std Nom]]),"")</f>
        <v/>
      </c>
      <c r="Q1754" s="1" t="e">
        <f>Table1[[#This Row],[High Tol]]-Table1[[#This Row],[Low Tol]]</f>
        <v>#VALUE!</v>
      </c>
      <c r="R1754" s="1">
        <f>2*Table1[[#This Row],[Std Error]]</f>
        <v>0</v>
      </c>
      <c r="S1754" s="1" t="str">
        <f>IF(Table1[[#This Row],[High Tol]]="","N/A",IFERROR(ABS(Table1[[#This Row],[Tol Span]]/Table1[[#This Row],[Error Span]]),"N/A"))</f>
        <v>N/A</v>
      </c>
      <c r="T1754" s="1" t="str">
        <f>IF(OR(Table1[[#This Row],[Low Tol]]="",Table1[[#This Row],[High Tol]]=""),"Needs Analysis",IF(Table1[[#This Row],[Ratio]]&gt;=4,"Not Significant",IF(Table1[[#This Row],[Ratio]]&gt;=2,"Semi-Significant","Significant")))</f>
        <v>Needs Analysis</v>
      </c>
      <c r="W1754" s="1">
        <f>IF(Table1[[#This Row],[Cal Type]]&lt;&gt;"ACCREDITED 17025 WITH UNCERTAINTIES",0,"")</f>
        <v>0</v>
      </c>
      <c r="X1754" s="1" t="str">
        <f>IF(Table1[[#This Row],[DUT Read]]="","N/A",Table1[[#This Row],[Std Error]]+Table1[[#This Row],[DUT Read]]+Table1[[#This Row],[DUT Ucty]])</f>
        <v>N/A</v>
      </c>
      <c r="Y1754" s="1" t="str">
        <f>IF(Table1[[#This Row],[Std Read]]="","N/A",Table1[[#This Row],[Std Read]]+Table1[[#This Row],[Std Ucty]])</f>
        <v>N/A</v>
      </c>
      <c r="Z17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4" s="1" t="str">
        <f>IF(Table1[[#This Row],[Spec Type]]="","N/A",Table1[[#This Row],[Spec Type]])</f>
        <v>±</v>
      </c>
      <c r="AC1754" s="1" t="str">
        <f>IF(Table1[[#This Row],[Spec Type2]]="N/A","N/A",IF(AND(Table1[[#This Row],[DUT Adj Read]]&gt;=Table1[[#This Row],[Low Tol]],Table1[[#This Row],[DUT Adj Read]]&lt;=Table1[[#This Row],[High Tol]]),"Pass","Fail"))</f>
        <v>Fail</v>
      </c>
      <c r="AD1754" s="1" t="str">
        <f>IF(AND(Table1[[#This Row],[Spec Type2]]="N/A",Table1[[#This Row],[DUT Adj Read]]="N/A",Table1[[#This Row],[Std Adj Read]]="N/A"),"N/A",IF(Table1[[#This Row],[DUT Adj Read]]="N/A",IF(Table1[[#This Row],[Std Adj Read]]&gt;Table1[[#This Row],[Low Tol]],"Pass","Fail"),IF(Table1[[#This Row],[DUT Adj Read]]&gt;Table1[[#This Row],[Low Tol]],"Pass","Fail")))</f>
        <v>Pass</v>
      </c>
      <c r="AE1754" s="1" t="str">
        <f>IF(AND(Table1[[#This Row],[Spec Type2]]="N/A",Table1[[#This Row],[DUT Adj Read]]="N/A",Table1[[#This Row],[Std Adj Read]]="N/A"),"N/A",IF(Table1[[#This Row],[DUT Adj Read]]="N/A",IF(Table1[[#This Row],[Std Adj Read]]&lt;Table1[[#This Row],[High Tol]],"Pass","Fail"),IF(Table1[[#This Row],[DUT Adj Read]]&lt;Table1[[#This Row],[High Tol]],"Pass","Fail")))</f>
        <v>Fail</v>
      </c>
      <c r="AF1754" s="1" t="str">
        <f>IF(AND(Table1[[#This Row],[Spec Type2]]="N/A",Table1[[#This Row],[DUT Adj Read]]="N/A",Table1[[#This Row],[Std Adj Read]]="N/A"),"N/A",IF(Table1[[#This Row],[DUT Adj Read]]="N/A",IF(Table1[[#This Row],[Std Adj Read]]&gt;=Table1[[#This Row],[Low Tol]],"Pass","Fail"),IF(Table1[[#This Row],[DUT Adj Read]]&gt;=Table1[[#This Row],[Low Tol]],"Pass","Fail")))</f>
        <v>Pass</v>
      </c>
      <c r="AG1754" s="1" t="str">
        <f>IF(AND(Table1[[#This Row],[Spec Type2]]="N/A",Table1[[#This Row],[DUT Adj Read]]="N/A",Table1[[#This Row],[Std Adj Read]]="N/A"),"N/A",IF(Table1[[#This Row],[DUT Adj Read]]="N/A",IF(Table1[[#This Row],[Std Adj Read]]&lt;=Table1[[#This Row],[High Tol]],"Pass","Fail"),IF(Table1[[#This Row],[DUT Adj Read]]&lt;=Table1[[#This Row],[High Tol]],"Pass","Fail")))</f>
        <v>Fail</v>
      </c>
      <c r="AH17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4" s="1" t="b">
        <v>0</v>
      </c>
      <c r="AN1754" s="1" t="b">
        <v>0</v>
      </c>
      <c r="AO1754" s="1" t="b">
        <v>0</v>
      </c>
    </row>
    <row r="1755" spans="1:41" x14ac:dyDescent="0.25">
      <c r="A1755" s="10"/>
      <c r="B1755" s="10"/>
      <c r="C1755" s="10"/>
      <c r="D1755" s="10"/>
      <c r="E1755" s="10"/>
      <c r="F1755" s="10"/>
      <c r="G1755" s="10"/>
      <c r="H1755" s="10"/>
      <c r="I1755" s="1" t="str">
        <f t="shared" si="81"/>
        <v/>
      </c>
      <c r="J1755" s="1" t="s">
        <v>35</v>
      </c>
      <c r="K1755" s="1" t="str">
        <f t="shared" si="82"/>
        <v/>
      </c>
      <c r="L1755" s="1" t="str">
        <f t="shared" si="83"/>
        <v/>
      </c>
      <c r="M1755" s="1">
        <f>IF(OR(Table1[[#This Row],[Std Nom]]="",Table1[[#This Row],[Std Read]]=""),0,Table1[[#This Row],[Std Nom]]-Table1[[#This Row],[Std Read]])</f>
        <v>0</v>
      </c>
      <c r="N1755" s="1">
        <f>IF(Calculations!$F$5="ACCREDITED 17025 WITH UNCERTAINTIES",$N$10,0)</f>
        <v>0</v>
      </c>
      <c r="O1755" s="1" t="str">
        <f>IFERROR(Table1[[#This Row],[Std Nom]]-(_xlfn.XLOOKUP(Table1[[#This Row],[Manufacturer]]&amp;" "&amp;Table1[[#This Row],[Model]],Table13[MFR &amp; MDL],Table13[Tolerance % CW ],"")/100*Table1[[#This Row],[Std Nom]]),"")</f>
        <v/>
      </c>
      <c r="P1755" s="1" t="str">
        <f>IFERROR(Table1[[#This Row],[Std Nom]]+(_xlfn.XLOOKUP(Table1[[#This Row],[Manufacturer]]&amp;" "&amp;Table1[[#This Row],[Model]],Table13[MFR &amp; MDL],Table13[Tolerance % CW ],"")/100*Table1[[#This Row],[Std Nom]]),"")</f>
        <v/>
      </c>
      <c r="Q1755" s="1" t="e">
        <f>Table1[[#This Row],[High Tol]]-Table1[[#This Row],[Low Tol]]</f>
        <v>#VALUE!</v>
      </c>
      <c r="R1755" s="1">
        <f>2*Table1[[#This Row],[Std Error]]</f>
        <v>0</v>
      </c>
      <c r="S1755" s="1" t="str">
        <f>IF(Table1[[#This Row],[High Tol]]="","N/A",IFERROR(ABS(Table1[[#This Row],[Tol Span]]/Table1[[#This Row],[Error Span]]),"N/A"))</f>
        <v>N/A</v>
      </c>
      <c r="T1755" s="1" t="str">
        <f>IF(OR(Table1[[#This Row],[Low Tol]]="",Table1[[#This Row],[High Tol]]=""),"Needs Analysis",IF(Table1[[#This Row],[Ratio]]&gt;=4,"Not Significant",IF(Table1[[#This Row],[Ratio]]&gt;=2,"Semi-Significant","Significant")))</f>
        <v>Needs Analysis</v>
      </c>
      <c r="W1755" s="1">
        <f>IF(Table1[[#This Row],[Cal Type]]&lt;&gt;"ACCREDITED 17025 WITH UNCERTAINTIES",0,"")</f>
        <v>0</v>
      </c>
      <c r="X1755" s="1" t="str">
        <f>IF(Table1[[#This Row],[DUT Read]]="","N/A",Table1[[#This Row],[Std Error]]+Table1[[#This Row],[DUT Read]]+Table1[[#This Row],[DUT Ucty]])</f>
        <v>N/A</v>
      </c>
      <c r="Y1755" s="1" t="str">
        <f>IF(Table1[[#This Row],[Std Read]]="","N/A",Table1[[#This Row],[Std Read]]+Table1[[#This Row],[Std Ucty]])</f>
        <v>N/A</v>
      </c>
      <c r="Z17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5" s="1" t="str">
        <f>IF(Table1[[#This Row],[Spec Type]]="","N/A",Table1[[#This Row],[Spec Type]])</f>
        <v>±</v>
      </c>
      <c r="AC1755" s="1" t="str">
        <f>IF(Table1[[#This Row],[Spec Type2]]="N/A","N/A",IF(AND(Table1[[#This Row],[DUT Adj Read]]&gt;=Table1[[#This Row],[Low Tol]],Table1[[#This Row],[DUT Adj Read]]&lt;=Table1[[#This Row],[High Tol]]),"Pass","Fail"))</f>
        <v>Fail</v>
      </c>
      <c r="AD1755" s="1" t="str">
        <f>IF(AND(Table1[[#This Row],[Spec Type2]]="N/A",Table1[[#This Row],[DUT Adj Read]]="N/A",Table1[[#This Row],[Std Adj Read]]="N/A"),"N/A",IF(Table1[[#This Row],[DUT Adj Read]]="N/A",IF(Table1[[#This Row],[Std Adj Read]]&gt;Table1[[#This Row],[Low Tol]],"Pass","Fail"),IF(Table1[[#This Row],[DUT Adj Read]]&gt;Table1[[#This Row],[Low Tol]],"Pass","Fail")))</f>
        <v>Pass</v>
      </c>
      <c r="AE1755" s="1" t="str">
        <f>IF(AND(Table1[[#This Row],[Spec Type2]]="N/A",Table1[[#This Row],[DUT Adj Read]]="N/A",Table1[[#This Row],[Std Adj Read]]="N/A"),"N/A",IF(Table1[[#This Row],[DUT Adj Read]]="N/A",IF(Table1[[#This Row],[Std Adj Read]]&lt;Table1[[#This Row],[High Tol]],"Pass","Fail"),IF(Table1[[#This Row],[DUT Adj Read]]&lt;Table1[[#This Row],[High Tol]],"Pass","Fail")))</f>
        <v>Fail</v>
      </c>
      <c r="AF1755" s="1" t="str">
        <f>IF(AND(Table1[[#This Row],[Spec Type2]]="N/A",Table1[[#This Row],[DUT Adj Read]]="N/A",Table1[[#This Row],[Std Adj Read]]="N/A"),"N/A",IF(Table1[[#This Row],[DUT Adj Read]]="N/A",IF(Table1[[#This Row],[Std Adj Read]]&gt;=Table1[[#This Row],[Low Tol]],"Pass","Fail"),IF(Table1[[#This Row],[DUT Adj Read]]&gt;=Table1[[#This Row],[Low Tol]],"Pass","Fail")))</f>
        <v>Pass</v>
      </c>
      <c r="AG1755" s="1" t="str">
        <f>IF(AND(Table1[[#This Row],[Spec Type2]]="N/A",Table1[[#This Row],[DUT Adj Read]]="N/A",Table1[[#This Row],[Std Adj Read]]="N/A"),"N/A",IF(Table1[[#This Row],[DUT Adj Read]]="N/A",IF(Table1[[#This Row],[Std Adj Read]]&lt;=Table1[[#This Row],[High Tol]],"Pass","Fail"),IF(Table1[[#This Row],[DUT Adj Read]]&lt;=Table1[[#This Row],[High Tol]],"Pass","Fail")))</f>
        <v>Fail</v>
      </c>
      <c r="AH17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5" s="1" t="b">
        <v>0</v>
      </c>
      <c r="AN1755" s="1" t="b">
        <v>0</v>
      </c>
      <c r="AO1755" s="1" t="b">
        <v>0</v>
      </c>
    </row>
    <row r="1756" spans="1:41" x14ac:dyDescent="0.25">
      <c r="A1756" s="10"/>
      <c r="B1756" s="10"/>
      <c r="C1756" s="10"/>
      <c r="D1756" s="10"/>
      <c r="E1756" s="10"/>
      <c r="F1756" s="10"/>
      <c r="G1756" s="10"/>
      <c r="H1756" s="10"/>
      <c r="I1756" s="1" t="str">
        <f t="shared" si="81"/>
        <v/>
      </c>
      <c r="J1756" s="1" t="s">
        <v>35</v>
      </c>
      <c r="K1756" s="1" t="str">
        <f t="shared" si="82"/>
        <v/>
      </c>
      <c r="L1756" s="1" t="str">
        <f t="shared" si="83"/>
        <v/>
      </c>
      <c r="M1756" s="1">
        <f>IF(OR(Table1[[#This Row],[Std Nom]]="",Table1[[#This Row],[Std Read]]=""),0,Table1[[#This Row],[Std Nom]]-Table1[[#This Row],[Std Read]])</f>
        <v>0</v>
      </c>
      <c r="N1756" s="1">
        <f>IF(Calculations!$F$5="ACCREDITED 17025 WITH UNCERTAINTIES",$N$10,0)</f>
        <v>0</v>
      </c>
      <c r="O1756" s="1" t="str">
        <f>IFERROR(Table1[[#This Row],[Std Nom]]-(_xlfn.XLOOKUP(Table1[[#This Row],[Manufacturer]]&amp;" "&amp;Table1[[#This Row],[Model]],Table13[MFR &amp; MDL],Table13[Tolerance % CW ],"")/100*Table1[[#This Row],[Std Nom]]),"")</f>
        <v/>
      </c>
      <c r="P1756" s="1" t="str">
        <f>IFERROR(Table1[[#This Row],[Std Nom]]+(_xlfn.XLOOKUP(Table1[[#This Row],[Manufacturer]]&amp;" "&amp;Table1[[#This Row],[Model]],Table13[MFR &amp; MDL],Table13[Tolerance % CW ],"")/100*Table1[[#This Row],[Std Nom]]),"")</f>
        <v/>
      </c>
      <c r="Q1756" s="1" t="e">
        <f>Table1[[#This Row],[High Tol]]-Table1[[#This Row],[Low Tol]]</f>
        <v>#VALUE!</v>
      </c>
      <c r="R1756" s="1">
        <f>2*Table1[[#This Row],[Std Error]]</f>
        <v>0</v>
      </c>
      <c r="S1756" s="1" t="str">
        <f>IF(Table1[[#This Row],[High Tol]]="","N/A",IFERROR(ABS(Table1[[#This Row],[Tol Span]]/Table1[[#This Row],[Error Span]]),"N/A"))</f>
        <v>N/A</v>
      </c>
      <c r="T1756" s="1" t="str">
        <f>IF(OR(Table1[[#This Row],[Low Tol]]="",Table1[[#This Row],[High Tol]]=""),"Needs Analysis",IF(Table1[[#This Row],[Ratio]]&gt;=4,"Not Significant",IF(Table1[[#This Row],[Ratio]]&gt;=2,"Semi-Significant","Significant")))</f>
        <v>Needs Analysis</v>
      </c>
      <c r="W1756" s="1">
        <f>IF(Table1[[#This Row],[Cal Type]]&lt;&gt;"ACCREDITED 17025 WITH UNCERTAINTIES",0,"")</f>
        <v>0</v>
      </c>
      <c r="X1756" s="1" t="str">
        <f>IF(Table1[[#This Row],[DUT Read]]="","N/A",Table1[[#This Row],[Std Error]]+Table1[[#This Row],[DUT Read]]+Table1[[#This Row],[DUT Ucty]])</f>
        <v>N/A</v>
      </c>
      <c r="Y1756" s="1" t="str">
        <f>IF(Table1[[#This Row],[Std Read]]="","N/A",Table1[[#This Row],[Std Read]]+Table1[[#This Row],[Std Ucty]])</f>
        <v>N/A</v>
      </c>
      <c r="Z17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6" s="1" t="str">
        <f>IF(Table1[[#This Row],[Spec Type]]="","N/A",Table1[[#This Row],[Spec Type]])</f>
        <v>±</v>
      </c>
      <c r="AC1756" s="1" t="str">
        <f>IF(Table1[[#This Row],[Spec Type2]]="N/A","N/A",IF(AND(Table1[[#This Row],[DUT Adj Read]]&gt;=Table1[[#This Row],[Low Tol]],Table1[[#This Row],[DUT Adj Read]]&lt;=Table1[[#This Row],[High Tol]]),"Pass","Fail"))</f>
        <v>Fail</v>
      </c>
      <c r="AD1756" s="1" t="str">
        <f>IF(AND(Table1[[#This Row],[Spec Type2]]="N/A",Table1[[#This Row],[DUT Adj Read]]="N/A",Table1[[#This Row],[Std Adj Read]]="N/A"),"N/A",IF(Table1[[#This Row],[DUT Adj Read]]="N/A",IF(Table1[[#This Row],[Std Adj Read]]&gt;Table1[[#This Row],[Low Tol]],"Pass","Fail"),IF(Table1[[#This Row],[DUT Adj Read]]&gt;Table1[[#This Row],[Low Tol]],"Pass","Fail")))</f>
        <v>Pass</v>
      </c>
      <c r="AE1756" s="1" t="str">
        <f>IF(AND(Table1[[#This Row],[Spec Type2]]="N/A",Table1[[#This Row],[DUT Adj Read]]="N/A",Table1[[#This Row],[Std Adj Read]]="N/A"),"N/A",IF(Table1[[#This Row],[DUT Adj Read]]="N/A",IF(Table1[[#This Row],[Std Adj Read]]&lt;Table1[[#This Row],[High Tol]],"Pass","Fail"),IF(Table1[[#This Row],[DUT Adj Read]]&lt;Table1[[#This Row],[High Tol]],"Pass","Fail")))</f>
        <v>Fail</v>
      </c>
      <c r="AF1756" s="1" t="str">
        <f>IF(AND(Table1[[#This Row],[Spec Type2]]="N/A",Table1[[#This Row],[DUT Adj Read]]="N/A",Table1[[#This Row],[Std Adj Read]]="N/A"),"N/A",IF(Table1[[#This Row],[DUT Adj Read]]="N/A",IF(Table1[[#This Row],[Std Adj Read]]&gt;=Table1[[#This Row],[Low Tol]],"Pass","Fail"),IF(Table1[[#This Row],[DUT Adj Read]]&gt;=Table1[[#This Row],[Low Tol]],"Pass","Fail")))</f>
        <v>Pass</v>
      </c>
      <c r="AG1756" s="1" t="str">
        <f>IF(AND(Table1[[#This Row],[Spec Type2]]="N/A",Table1[[#This Row],[DUT Adj Read]]="N/A",Table1[[#This Row],[Std Adj Read]]="N/A"),"N/A",IF(Table1[[#This Row],[DUT Adj Read]]="N/A",IF(Table1[[#This Row],[Std Adj Read]]&lt;=Table1[[#This Row],[High Tol]],"Pass","Fail"),IF(Table1[[#This Row],[DUT Adj Read]]&lt;=Table1[[#This Row],[High Tol]],"Pass","Fail")))</f>
        <v>Fail</v>
      </c>
      <c r="AH17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6" s="1" t="b">
        <v>0</v>
      </c>
      <c r="AN1756" s="1" t="b">
        <v>0</v>
      </c>
      <c r="AO1756" s="1" t="b">
        <v>0</v>
      </c>
    </row>
    <row r="1757" spans="1:41" x14ac:dyDescent="0.25">
      <c r="A1757" s="10"/>
      <c r="B1757" s="10"/>
      <c r="C1757" s="10"/>
      <c r="D1757" s="10"/>
      <c r="E1757" s="10"/>
      <c r="F1757" s="10"/>
      <c r="G1757" s="10"/>
      <c r="H1757" s="10"/>
      <c r="I1757" s="1" t="str">
        <f t="shared" si="81"/>
        <v/>
      </c>
      <c r="J1757" s="1" t="s">
        <v>35</v>
      </c>
      <c r="K1757" s="1" t="str">
        <f t="shared" si="82"/>
        <v/>
      </c>
      <c r="L1757" s="1" t="str">
        <f t="shared" si="83"/>
        <v/>
      </c>
      <c r="M1757" s="1">
        <f>IF(OR(Table1[[#This Row],[Std Nom]]="",Table1[[#This Row],[Std Read]]=""),0,Table1[[#This Row],[Std Nom]]-Table1[[#This Row],[Std Read]])</f>
        <v>0</v>
      </c>
      <c r="N1757" s="1">
        <f>IF(Calculations!$F$5="ACCREDITED 17025 WITH UNCERTAINTIES",$N$10,0)</f>
        <v>0</v>
      </c>
      <c r="O1757" s="1" t="str">
        <f>IFERROR(Table1[[#This Row],[Std Nom]]-(_xlfn.XLOOKUP(Table1[[#This Row],[Manufacturer]]&amp;" "&amp;Table1[[#This Row],[Model]],Table13[MFR &amp; MDL],Table13[Tolerance % CW ],"")/100*Table1[[#This Row],[Std Nom]]),"")</f>
        <v/>
      </c>
      <c r="P1757" s="1" t="str">
        <f>IFERROR(Table1[[#This Row],[Std Nom]]+(_xlfn.XLOOKUP(Table1[[#This Row],[Manufacturer]]&amp;" "&amp;Table1[[#This Row],[Model]],Table13[MFR &amp; MDL],Table13[Tolerance % CW ],"")/100*Table1[[#This Row],[Std Nom]]),"")</f>
        <v/>
      </c>
      <c r="Q1757" s="1" t="e">
        <f>Table1[[#This Row],[High Tol]]-Table1[[#This Row],[Low Tol]]</f>
        <v>#VALUE!</v>
      </c>
      <c r="R1757" s="1">
        <f>2*Table1[[#This Row],[Std Error]]</f>
        <v>0</v>
      </c>
      <c r="S1757" s="1" t="str">
        <f>IF(Table1[[#This Row],[High Tol]]="","N/A",IFERROR(ABS(Table1[[#This Row],[Tol Span]]/Table1[[#This Row],[Error Span]]),"N/A"))</f>
        <v>N/A</v>
      </c>
      <c r="T1757" s="1" t="str">
        <f>IF(OR(Table1[[#This Row],[Low Tol]]="",Table1[[#This Row],[High Tol]]=""),"Needs Analysis",IF(Table1[[#This Row],[Ratio]]&gt;=4,"Not Significant",IF(Table1[[#This Row],[Ratio]]&gt;=2,"Semi-Significant","Significant")))</f>
        <v>Needs Analysis</v>
      </c>
      <c r="W1757" s="1">
        <f>IF(Table1[[#This Row],[Cal Type]]&lt;&gt;"ACCREDITED 17025 WITH UNCERTAINTIES",0,"")</f>
        <v>0</v>
      </c>
      <c r="X1757" s="1" t="str">
        <f>IF(Table1[[#This Row],[DUT Read]]="","N/A",Table1[[#This Row],[Std Error]]+Table1[[#This Row],[DUT Read]]+Table1[[#This Row],[DUT Ucty]])</f>
        <v>N/A</v>
      </c>
      <c r="Y1757" s="1" t="str">
        <f>IF(Table1[[#This Row],[Std Read]]="","N/A",Table1[[#This Row],[Std Read]]+Table1[[#This Row],[Std Ucty]])</f>
        <v>N/A</v>
      </c>
      <c r="Z17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7" s="1" t="str">
        <f>IF(Table1[[#This Row],[Spec Type]]="","N/A",Table1[[#This Row],[Spec Type]])</f>
        <v>±</v>
      </c>
      <c r="AC1757" s="1" t="str">
        <f>IF(Table1[[#This Row],[Spec Type2]]="N/A","N/A",IF(AND(Table1[[#This Row],[DUT Adj Read]]&gt;=Table1[[#This Row],[Low Tol]],Table1[[#This Row],[DUT Adj Read]]&lt;=Table1[[#This Row],[High Tol]]),"Pass","Fail"))</f>
        <v>Fail</v>
      </c>
      <c r="AD1757" s="1" t="str">
        <f>IF(AND(Table1[[#This Row],[Spec Type2]]="N/A",Table1[[#This Row],[DUT Adj Read]]="N/A",Table1[[#This Row],[Std Adj Read]]="N/A"),"N/A",IF(Table1[[#This Row],[DUT Adj Read]]="N/A",IF(Table1[[#This Row],[Std Adj Read]]&gt;Table1[[#This Row],[Low Tol]],"Pass","Fail"),IF(Table1[[#This Row],[DUT Adj Read]]&gt;Table1[[#This Row],[Low Tol]],"Pass","Fail")))</f>
        <v>Pass</v>
      </c>
      <c r="AE1757" s="1" t="str">
        <f>IF(AND(Table1[[#This Row],[Spec Type2]]="N/A",Table1[[#This Row],[DUT Adj Read]]="N/A",Table1[[#This Row],[Std Adj Read]]="N/A"),"N/A",IF(Table1[[#This Row],[DUT Adj Read]]="N/A",IF(Table1[[#This Row],[Std Adj Read]]&lt;Table1[[#This Row],[High Tol]],"Pass","Fail"),IF(Table1[[#This Row],[DUT Adj Read]]&lt;Table1[[#This Row],[High Tol]],"Pass","Fail")))</f>
        <v>Fail</v>
      </c>
      <c r="AF1757" s="1" t="str">
        <f>IF(AND(Table1[[#This Row],[Spec Type2]]="N/A",Table1[[#This Row],[DUT Adj Read]]="N/A",Table1[[#This Row],[Std Adj Read]]="N/A"),"N/A",IF(Table1[[#This Row],[DUT Adj Read]]="N/A",IF(Table1[[#This Row],[Std Adj Read]]&gt;=Table1[[#This Row],[Low Tol]],"Pass","Fail"),IF(Table1[[#This Row],[DUT Adj Read]]&gt;=Table1[[#This Row],[Low Tol]],"Pass","Fail")))</f>
        <v>Pass</v>
      </c>
      <c r="AG1757" s="1" t="str">
        <f>IF(AND(Table1[[#This Row],[Spec Type2]]="N/A",Table1[[#This Row],[DUT Adj Read]]="N/A",Table1[[#This Row],[Std Adj Read]]="N/A"),"N/A",IF(Table1[[#This Row],[DUT Adj Read]]="N/A",IF(Table1[[#This Row],[Std Adj Read]]&lt;=Table1[[#This Row],[High Tol]],"Pass","Fail"),IF(Table1[[#This Row],[DUT Adj Read]]&lt;=Table1[[#This Row],[High Tol]],"Pass","Fail")))</f>
        <v>Fail</v>
      </c>
      <c r="AH17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7" s="1" t="b">
        <v>0</v>
      </c>
      <c r="AN1757" s="1" t="b">
        <v>0</v>
      </c>
      <c r="AO1757" s="1" t="b">
        <v>0</v>
      </c>
    </row>
    <row r="1758" spans="1:41" x14ac:dyDescent="0.25">
      <c r="A1758" s="10"/>
      <c r="B1758" s="10"/>
      <c r="C1758" s="10"/>
      <c r="D1758" s="10"/>
      <c r="E1758" s="10"/>
      <c r="F1758" s="10"/>
      <c r="G1758" s="10"/>
      <c r="H1758" s="10"/>
      <c r="I1758" s="1" t="str">
        <f t="shared" si="81"/>
        <v/>
      </c>
      <c r="J1758" s="1" t="s">
        <v>35</v>
      </c>
      <c r="K1758" s="1" t="str">
        <f t="shared" si="82"/>
        <v/>
      </c>
      <c r="L1758" s="1" t="str">
        <f t="shared" si="83"/>
        <v/>
      </c>
      <c r="M1758" s="1">
        <f>IF(OR(Table1[[#This Row],[Std Nom]]="",Table1[[#This Row],[Std Read]]=""),0,Table1[[#This Row],[Std Nom]]-Table1[[#This Row],[Std Read]])</f>
        <v>0</v>
      </c>
      <c r="N1758" s="1">
        <f>IF(Calculations!$F$5="ACCREDITED 17025 WITH UNCERTAINTIES",$N$10,0)</f>
        <v>0</v>
      </c>
      <c r="O1758" s="1" t="str">
        <f>IFERROR(Table1[[#This Row],[Std Nom]]-(_xlfn.XLOOKUP(Table1[[#This Row],[Manufacturer]]&amp;" "&amp;Table1[[#This Row],[Model]],Table13[MFR &amp; MDL],Table13[Tolerance % CW ],"")/100*Table1[[#This Row],[Std Nom]]),"")</f>
        <v/>
      </c>
      <c r="P1758" s="1" t="str">
        <f>IFERROR(Table1[[#This Row],[Std Nom]]+(_xlfn.XLOOKUP(Table1[[#This Row],[Manufacturer]]&amp;" "&amp;Table1[[#This Row],[Model]],Table13[MFR &amp; MDL],Table13[Tolerance % CW ],"")/100*Table1[[#This Row],[Std Nom]]),"")</f>
        <v/>
      </c>
      <c r="Q1758" s="1" t="e">
        <f>Table1[[#This Row],[High Tol]]-Table1[[#This Row],[Low Tol]]</f>
        <v>#VALUE!</v>
      </c>
      <c r="R1758" s="1">
        <f>2*Table1[[#This Row],[Std Error]]</f>
        <v>0</v>
      </c>
      <c r="S1758" s="1" t="str">
        <f>IF(Table1[[#This Row],[High Tol]]="","N/A",IFERROR(ABS(Table1[[#This Row],[Tol Span]]/Table1[[#This Row],[Error Span]]),"N/A"))</f>
        <v>N/A</v>
      </c>
      <c r="T1758" s="1" t="str">
        <f>IF(OR(Table1[[#This Row],[Low Tol]]="",Table1[[#This Row],[High Tol]]=""),"Needs Analysis",IF(Table1[[#This Row],[Ratio]]&gt;=4,"Not Significant",IF(Table1[[#This Row],[Ratio]]&gt;=2,"Semi-Significant","Significant")))</f>
        <v>Needs Analysis</v>
      </c>
      <c r="W1758" s="1">
        <f>IF(Table1[[#This Row],[Cal Type]]&lt;&gt;"ACCREDITED 17025 WITH UNCERTAINTIES",0,"")</f>
        <v>0</v>
      </c>
      <c r="X1758" s="1" t="str">
        <f>IF(Table1[[#This Row],[DUT Read]]="","N/A",Table1[[#This Row],[Std Error]]+Table1[[#This Row],[DUT Read]]+Table1[[#This Row],[DUT Ucty]])</f>
        <v>N/A</v>
      </c>
      <c r="Y1758" s="1" t="str">
        <f>IF(Table1[[#This Row],[Std Read]]="","N/A",Table1[[#This Row],[Std Read]]+Table1[[#This Row],[Std Ucty]])</f>
        <v>N/A</v>
      </c>
      <c r="Z17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8" s="1" t="str">
        <f>IF(Table1[[#This Row],[Spec Type]]="","N/A",Table1[[#This Row],[Spec Type]])</f>
        <v>±</v>
      </c>
      <c r="AC1758" s="1" t="str">
        <f>IF(Table1[[#This Row],[Spec Type2]]="N/A","N/A",IF(AND(Table1[[#This Row],[DUT Adj Read]]&gt;=Table1[[#This Row],[Low Tol]],Table1[[#This Row],[DUT Adj Read]]&lt;=Table1[[#This Row],[High Tol]]),"Pass","Fail"))</f>
        <v>Fail</v>
      </c>
      <c r="AD1758" s="1" t="str">
        <f>IF(AND(Table1[[#This Row],[Spec Type2]]="N/A",Table1[[#This Row],[DUT Adj Read]]="N/A",Table1[[#This Row],[Std Adj Read]]="N/A"),"N/A",IF(Table1[[#This Row],[DUT Adj Read]]="N/A",IF(Table1[[#This Row],[Std Adj Read]]&gt;Table1[[#This Row],[Low Tol]],"Pass","Fail"),IF(Table1[[#This Row],[DUT Adj Read]]&gt;Table1[[#This Row],[Low Tol]],"Pass","Fail")))</f>
        <v>Pass</v>
      </c>
      <c r="AE1758" s="1" t="str">
        <f>IF(AND(Table1[[#This Row],[Spec Type2]]="N/A",Table1[[#This Row],[DUT Adj Read]]="N/A",Table1[[#This Row],[Std Adj Read]]="N/A"),"N/A",IF(Table1[[#This Row],[DUT Adj Read]]="N/A",IF(Table1[[#This Row],[Std Adj Read]]&lt;Table1[[#This Row],[High Tol]],"Pass","Fail"),IF(Table1[[#This Row],[DUT Adj Read]]&lt;Table1[[#This Row],[High Tol]],"Pass","Fail")))</f>
        <v>Fail</v>
      </c>
      <c r="AF1758" s="1" t="str">
        <f>IF(AND(Table1[[#This Row],[Spec Type2]]="N/A",Table1[[#This Row],[DUT Adj Read]]="N/A",Table1[[#This Row],[Std Adj Read]]="N/A"),"N/A",IF(Table1[[#This Row],[DUT Adj Read]]="N/A",IF(Table1[[#This Row],[Std Adj Read]]&gt;=Table1[[#This Row],[Low Tol]],"Pass","Fail"),IF(Table1[[#This Row],[DUT Adj Read]]&gt;=Table1[[#This Row],[Low Tol]],"Pass","Fail")))</f>
        <v>Pass</v>
      </c>
      <c r="AG1758" s="1" t="str">
        <f>IF(AND(Table1[[#This Row],[Spec Type2]]="N/A",Table1[[#This Row],[DUT Adj Read]]="N/A",Table1[[#This Row],[Std Adj Read]]="N/A"),"N/A",IF(Table1[[#This Row],[DUT Adj Read]]="N/A",IF(Table1[[#This Row],[Std Adj Read]]&lt;=Table1[[#This Row],[High Tol]],"Pass","Fail"),IF(Table1[[#This Row],[DUT Adj Read]]&lt;=Table1[[#This Row],[High Tol]],"Pass","Fail")))</f>
        <v>Fail</v>
      </c>
      <c r="AH17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8" s="1" t="b">
        <v>0</v>
      </c>
      <c r="AN1758" s="1" t="b">
        <v>0</v>
      </c>
      <c r="AO1758" s="1" t="b">
        <v>0</v>
      </c>
    </row>
    <row r="1759" spans="1:41" x14ac:dyDescent="0.25">
      <c r="A1759" s="10"/>
      <c r="B1759" s="10"/>
      <c r="C1759" s="10"/>
      <c r="D1759" s="10"/>
      <c r="E1759" s="10"/>
      <c r="F1759" s="10"/>
      <c r="G1759" s="10"/>
      <c r="H1759" s="10"/>
      <c r="I1759" s="1" t="str">
        <f t="shared" si="81"/>
        <v/>
      </c>
      <c r="J1759" s="1" t="s">
        <v>35</v>
      </c>
      <c r="K1759" s="1" t="str">
        <f t="shared" si="82"/>
        <v/>
      </c>
      <c r="L1759" s="1" t="str">
        <f t="shared" si="83"/>
        <v/>
      </c>
      <c r="M1759" s="1">
        <f>IF(OR(Table1[[#This Row],[Std Nom]]="",Table1[[#This Row],[Std Read]]=""),0,Table1[[#This Row],[Std Nom]]-Table1[[#This Row],[Std Read]])</f>
        <v>0</v>
      </c>
      <c r="N1759" s="1">
        <f>IF(Calculations!$F$5="ACCREDITED 17025 WITH UNCERTAINTIES",$N$10,0)</f>
        <v>0</v>
      </c>
      <c r="O1759" s="1" t="str">
        <f>IFERROR(Table1[[#This Row],[Std Nom]]-(_xlfn.XLOOKUP(Table1[[#This Row],[Manufacturer]]&amp;" "&amp;Table1[[#This Row],[Model]],Table13[MFR &amp; MDL],Table13[Tolerance % CW ],"")/100*Table1[[#This Row],[Std Nom]]),"")</f>
        <v/>
      </c>
      <c r="P1759" s="1" t="str">
        <f>IFERROR(Table1[[#This Row],[Std Nom]]+(_xlfn.XLOOKUP(Table1[[#This Row],[Manufacturer]]&amp;" "&amp;Table1[[#This Row],[Model]],Table13[MFR &amp; MDL],Table13[Tolerance % CW ],"")/100*Table1[[#This Row],[Std Nom]]),"")</f>
        <v/>
      </c>
      <c r="Q1759" s="1" t="e">
        <f>Table1[[#This Row],[High Tol]]-Table1[[#This Row],[Low Tol]]</f>
        <v>#VALUE!</v>
      </c>
      <c r="R1759" s="1">
        <f>2*Table1[[#This Row],[Std Error]]</f>
        <v>0</v>
      </c>
      <c r="S1759" s="1" t="str">
        <f>IF(Table1[[#This Row],[High Tol]]="","N/A",IFERROR(ABS(Table1[[#This Row],[Tol Span]]/Table1[[#This Row],[Error Span]]),"N/A"))</f>
        <v>N/A</v>
      </c>
      <c r="T1759" s="1" t="str">
        <f>IF(OR(Table1[[#This Row],[Low Tol]]="",Table1[[#This Row],[High Tol]]=""),"Needs Analysis",IF(Table1[[#This Row],[Ratio]]&gt;=4,"Not Significant",IF(Table1[[#This Row],[Ratio]]&gt;=2,"Semi-Significant","Significant")))</f>
        <v>Needs Analysis</v>
      </c>
      <c r="W1759" s="1">
        <f>IF(Table1[[#This Row],[Cal Type]]&lt;&gt;"ACCREDITED 17025 WITH UNCERTAINTIES",0,"")</f>
        <v>0</v>
      </c>
      <c r="X1759" s="1" t="str">
        <f>IF(Table1[[#This Row],[DUT Read]]="","N/A",Table1[[#This Row],[Std Error]]+Table1[[#This Row],[DUT Read]]+Table1[[#This Row],[DUT Ucty]])</f>
        <v>N/A</v>
      </c>
      <c r="Y1759" s="1" t="str">
        <f>IF(Table1[[#This Row],[Std Read]]="","N/A",Table1[[#This Row],[Std Read]]+Table1[[#This Row],[Std Ucty]])</f>
        <v>N/A</v>
      </c>
      <c r="Z17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9" s="1" t="str">
        <f>IF(Table1[[#This Row],[Spec Type]]="","N/A",Table1[[#This Row],[Spec Type]])</f>
        <v>±</v>
      </c>
      <c r="AC1759" s="1" t="str">
        <f>IF(Table1[[#This Row],[Spec Type2]]="N/A","N/A",IF(AND(Table1[[#This Row],[DUT Adj Read]]&gt;=Table1[[#This Row],[Low Tol]],Table1[[#This Row],[DUT Adj Read]]&lt;=Table1[[#This Row],[High Tol]]),"Pass","Fail"))</f>
        <v>Fail</v>
      </c>
      <c r="AD1759" s="1" t="str">
        <f>IF(AND(Table1[[#This Row],[Spec Type2]]="N/A",Table1[[#This Row],[DUT Adj Read]]="N/A",Table1[[#This Row],[Std Adj Read]]="N/A"),"N/A",IF(Table1[[#This Row],[DUT Adj Read]]="N/A",IF(Table1[[#This Row],[Std Adj Read]]&gt;Table1[[#This Row],[Low Tol]],"Pass","Fail"),IF(Table1[[#This Row],[DUT Adj Read]]&gt;Table1[[#This Row],[Low Tol]],"Pass","Fail")))</f>
        <v>Pass</v>
      </c>
      <c r="AE1759" s="1" t="str">
        <f>IF(AND(Table1[[#This Row],[Spec Type2]]="N/A",Table1[[#This Row],[DUT Adj Read]]="N/A",Table1[[#This Row],[Std Adj Read]]="N/A"),"N/A",IF(Table1[[#This Row],[DUT Adj Read]]="N/A",IF(Table1[[#This Row],[Std Adj Read]]&lt;Table1[[#This Row],[High Tol]],"Pass","Fail"),IF(Table1[[#This Row],[DUT Adj Read]]&lt;Table1[[#This Row],[High Tol]],"Pass","Fail")))</f>
        <v>Fail</v>
      </c>
      <c r="AF1759" s="1" t="str">
        <f>IF(AND(Table1[[#This Row],[Spec Type2]]="N/A",Table1[[#This Row],[DUT Adj Read]]="N/A",Table1[[#This Row],[Std Adj Read]]="N/A"),"N/A",IF(Table1[[#This Row],[DUT Adj Read]]="N/A",IF(Table1[[#This Row],[Std Adj Read]]&gt;=Table1[[#This Row],[Low Tol]],"Pass","Fail"),IF(Table1[[#This Row],[DUT Adj Read]]&gt;=Table1[[#This Row],[Low Tol]],"Pass","Fail")))</f>
        <v>Pass</v>
      </c>
      <c r="AG1759" s="1" t="str">
        <f>IF(AND(Table1[[#This Row],[Spec Type2]]="N/A",Table1[[#This Row],[DUT Adj Read]]="N/A",Table1[[#This Row],[Std Adj Read]]="N/A"),"N/A",IF(Table1[[#This Row],[DUT Adj Read]]="N/A",IF(Table1[[#This Row],[Std Adj Read]]&lt;=Table1[[#This Row],[High Tol]],"Pass","Fail"),IF(Table1[[#This Row],[DUT Adj Read]]&lt;=Table1[[#This Row],[High Tol]],"Pass","Fail")))</f>
        <v>Fail</v>
      </c>
      <c r="AH17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9" s="1" t="b">
        <v>0</v>
      </c>
      <c r="AN1759" s="1" t="b">
        <v>0</v>
      </c>
      <c r="AO1759" s="1" t="b">
        <v>0</v>
      </c>
    </row>
    <row r="1760" spans="1:41" x14ac:dyDescent="0.25">
      <c r="A1760" s="10"/>
      <c r="B1760" s="10"/>
      <c r="C1760" s="10"/>
      <c r="D1760" s="10"/>
      <c r="E1760" s="10"/>
      <c r="F1760" s="10"/>
      <c r="G1760" s="10"/>
      <c r="H1760" s="10"/>
      <c r="I1760" s="1" t="str">
        <f t="shared" si="81"/>
        <v/>
      </c>
      <c r="J1760" s="1" t="s">
        <v>35</v>
      </c>
      <c r="K1760" s="1" t="str">
        <f t="shared" si="82"/>
        <v/>
      </c>
      <c r="L1760" s="1" t="str">
        <f t="shared" si="83"/>
        <v/>
      </c>
      <c r="M1760" s="1">
        <f>IF(OR(Table1[[#This Row],[Std Nom]]="",Table1[[#This Row],[Std Read]]=""),0,Table1[[#This Row],[Std Nom]]-Table1[[#This Row],[Std Read]])</f>
        <v>0</v>
      </c>
      <c r="N1760" s="1">
        <f>IF(Calculations!$F$5="ACCREDITED 17025 WITH UNCERTAINTIES",$N$10,0)</f>
        <v>0</v>
      </c>
      <c r="O1760" s="1" t="str">
        <f>IFERROR(Table1[[#This Row],[Std Nom]]-(_xlfn.XLOOKUP(Table1[[#This Row],[Manufacturer]]&amp;" "&amp;Table1[[#This Row],[Model]],Table13[MFR &amp; MDL],Table13[Tolerance % CW ],"")/100*Table1[[#This Row],[Std Nom]]),"")</f>
        <v/>
      </c>
      <c r="P1760" s="1" t="str">
        <f>IFERROR(Table1[[#This Row],[Std Nom]]+(_xlfn.XLOOKUP(Table1[[#This Row],[Manufacturer]]&amp;" "&amp;Table1[[#This Row],[Model]],Table13[MFR &amp; MDL],Table13[Tolerance % CW ],"")/100*Table1[[#This Row],[Std Nom]]),"")</f>
        <v/>
      </c>
      <c r="Q1760" s="1" t="e">
        <f>Table1[[#This Row],[High Tol]]-Table1[[#This Row],[Low Tol]]</f>
        <v>#VALUE!</v>
      </c>
      <c r="R1760" s="1">
        <f>2*Table1[[#This Row],[Std Error]]</f>
        <v>0</v>
      </c>
      <c r="S1760" s="1" t="str">
        <f>IF(Table1[[#This Row],[High Tol]]="","N/A",IFERROR(ABS(Table1[[#This Row],[Tol Span]]/Table1[[#This Row],[Error Span]]),"N/A"))</f>
        <v>N/A</v>
      </c>
      <c r="T1760" s="1" t="str">
        <f>IF(OR(Table1[[#This Row],[Low Tol]]="",Table1[[#This Row],[High Tol]]=""),"Needs Analysis",IF(Table1[[#This Row],[Ratio]]&gt;=4,"Not Significant",IF(Table1[[#This Row],[Ratio]]&gt;=2,"Semi-Significant","Significant")))</f>
        <v>Needs Analysis</v>
      </c>
      <c r="W1760" s="1">
        <f>IF(Table1[[#This Row],[Cal Type]]&lt;&gt;"ACCREDITED 17025 WITH UNCERTAINTIES",0,"")</f>
        <v>0</v>
      </c>
      <c r="X1760" s="1" t="str">
        <f>IF(Table1[[#This Row],[DUT Read]]="","N/A",Table1[[#This Row],[Std Error]]+Table1[[#This Row],[DUT Read]]+Table1[[#This Row],[DUT Ucty]])</f>
        <v>N/A</v>
      </c>
      <c r="Y1760" s="1" t="str">
        <f>IF(Table1[[#This Row],[Std Read]]="","N/A",Table1[[#This Row],[Std Read]]+Table1[[#This Row],[Std Ucty]])</f>
        <v>N/A</v>
      </c>
      <c r="Z17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0" s="1" t="str">
        <f>IF(Table1[[#This Row],[Spec Type]]="","N/A",Table1[[#This Row],[Spec Type]])</f>
        <v>±</v>
      </c>
      <c r="AC1760" s="1" t="str">
        <f>IF(Table1[[#This Row],[Spec Type2]]="N/A","N/A",IF(AND(Table1[[#This Row],[DUT Adj Read]]&gt;=Table1[[#This Row],[Low Tol]],Table1[[#This Row],[DUT Adj Read]]&lt;=Table1[[#This Row],[High Tol]]),"Pass","Fail"))</f>
        <v>Fail</v>
      </c>
      <c r="AD1760" s="1" t="str">
        <f>IF(AND(Table1[[#This Row],[Spec Type2]]="N/A",Table1[[#This Row],[DUT Adj Read]]="N/A",Table1[[#This Row],[Std Adj Read]]="N/A"),"N/A",IF(Table1[[#This Row],[DUT Adj Read]]="N/A",IF(Table1[[#This Row],[Std Adj Read]]&gt;Table1[[#This Row],[Low Tol]],"Pass","Fail"),IF(Table1[[#This Row],[DUT Adj Read]]&gt;Table1[[#This Row],[Low Tol]],"Pass","Fail")))</f>
        <v>Pass</v>
      </c>
      <c r="AE1760" s="1" t="str">
        <f>IF(AND(Table1[[#This Row],[Spec Type2]]="N/A",Table1[[#This Row],[DUT Adj Read]]="N/A",Table1[[#This Row],[Std Adj Read]]="N/A"),"N/A",IF(Table1[[#This Row],[DUT Adj Read]]="N/A",IF(Table1[[#This Row],[Std Adj Read]]&lt;Table1[[#This Row],[High Tol]],"Pass","Fail"),IF(Table1[[#This Row],[DUT Adj Read]]&lt;Table1[[#This Row],[High Tol]],"Pass","Fail")))</f>
        <v>Fail</v>
      </c>
      <c r="AF1760" s="1" t="str">
        <f>IF(AND(Table1[[#This Row],[Spec Type2]]="N/A",Table1[[#This Row],[DUT Adj Read]]="N/A",Table1[[#This Row],[Std Adj Read]]="N/A"),"N/A",IF(Table1[[#This Row],[DUT Adj Read]]="N/A",IF(Table1[[#This Row],[Std Adj Read]]&gt;=Table1[[#This Row],[Low Tol]],"Pass","Fail"),IF(Table1[[#This Row],[DUT Adj Read]]&gt;=Table1[[#This Row],[Low Tol]],"Pass","Fail")))</f>
        <v>Pass</v>
      </c>
      <c r="AG1760" s="1" t="str">
        <f>IF(AND(Table1[[#This Row],[Spec Type2]]="N/A",Table1[[#This Row],[DUT Adj Read]]="N/A",Table1[[#This Row],[Std Adj Read]]="N/A"),"N/A",IF(Table1[[#This Row],[DUT Adj Read]]="N/A",IF(Table1[[#This Row],[Std Adj Read]]&lt;=Table1[[#This Row],[High Tol]],"Pass","Fail"),IF(Table1[[#This Row],[DUT Adj Read]]&lt;=Table1[[#This Row],[High Tol]],"Pass","Fail")))</f>
        <v>Fail</v>
      </c>
      <c r="AH17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0" s="1" t="b">
        <v>0</v>
      </c>
      <c r="AN1760" s="1" t="b">
        <v>0</v>
      </c>
      <c r="AO1760" s="1" t="b">
        <v>0</v>
      </c>
    </row>
    <row r="1761" spans="1:41" x14ac:dyDescent="0.25">
      <c r="A1761" s="10"/>
      <c r="B1761" s="10"/>
      <c r="C1761" s="10"/>
      <c r="D1761" s="10"/>
      <c r="E1761" s="10"/>
      <c r="F1761" s="10"/>
      <c r="G1761" s="10"/>
      <c r="H1761" s="10"/>
      <c r="I1761" s="1" t="str">
        <f t="shared" si="81"/>
        <v/>
      </c>
      <c r="J1761" s="1" t="s">
        <v>35</v>
      </c>
      <c r="K1761" s="1" t="str">
        <f t="shared" si="82"/>
        <v/>
      </c>
      <c r="L1761" s="1" t="str">
        <f t="shared" si="83"/>
        <v/>
      </c>
      <c r="M1761" s="1">
        <f>IF(OR(Table1[[#This Row],[Std Nom]]="",Table1[[#This Row],[Std Read]]=""),0,Table1[[#This Row],[Std Nom]]-Table1[[#This Row],[Std Read]])</f>
        <v>0</v>
      </c>
      <c r="N1761" s="1">
        <f>IF(Calculations!$F$5="ACCREDITED 17025 WITH UNCERTAINTIES",$N$10,0)</f>
        <v>0</v>
      </c>
      <c r="O1761" s="1" t="str">
        <f>IFERROR(Table1[[#This Row],[Std Nom]]-(_xlfn.XLOOKUP(Table1[[#This Row],[Manufacturer]]&amp;" "&amp;Table1[[#This Row],[Model]],Table13[MFR &amp; MDL],Table13[Tolerance % CW ],"")/100*Table1[[#This Row],[Std Nom]]),"")</f>
        <v/>
      </c>
      <c r="P1761" s="1" t="str">
        <f>IFERROR(Table1[[#This Row],[Std Nom]]+(_xlfn.XLOOKUP(Table1[[#This Row],[Manufacturer]]&amp;" "&amp;Table1[[#This Row],[Model]],Table13[MFR &amp; MDL],Table13[Tolerance % CW ],"")/100*Table1[[#This Row],[Std Nom]]),"")</f>
        <v/>
      </c>
      <c r="Q1761" s="1" t="e">
        <f>Table1[[#This Row],[High Tol]]-Table1[[#This Row],[Low Tol]]</f>
        <v>#VALUE!</v>
      </c>
      <c r="R1761" s="1">
        <f>2*Table1[[#This Row],[Std Error]]</f>
        <v>0</v>
      </c>
      <c r="S1761" s="1" t="str">
        <f>IF(Table1[[#This Row],[High Tol]]="","N/A",IFERROR(ABS(Table1[[#This Row],[Tol Span]]/Table1[[#This Row],[Error Span]]),"N/A"))</f>
        <v>N/A</v>
      </c>
      <c r="T1761" s="1" t="str">
        <f>IF(OR(Table1[[#This Row],[Low Tol]]="",Table1[[#This Row],[High Tol]]=""),"Needs Analysis",IF(Table1[[#This Row],[Ratio]]&gt;=4,"Not Significant",IF(Table1[[#This Row],[Ratio]]&gt;=2,"Semi-Significant","Significant")))</f>
        <v>Needs Analysis</v>
      </c>
      <c r="W1761" s="1">
        <f>IF(Table1[[#This Row],[Cal Type]]&lt;&gt;"ACCREDITED 17025 WITH UNCERTAINTIES",0,"")</f>
        <v>0</v>
      </c>
      <c r="X1761" s="1" t="str">
        <f>IF(Table1[[#This Row],[DUT Read]]="","N/A",Table1[[#This Row],[Std Error]]+Table1[[#This Row],[DUT Read]]+Table1[[#This Row],[DUT Ucty]])</f>
        <v>N/A</v>
      </c>
      <c r="Y1761" s="1" t="str">
        <f>IF(Table1[[#This Row],[Std Read]]="","N/A",Table1[[#This Row],[Std Read]]+Table1[[#This Row],[Std Ucty]])</f>
        <v>N/A</v>
      </c>
      <c r="Z17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1" s="1" t="str">
        <f>IF(Table1[[#This Row],[Spec Type]]="","N/A",Table1[[#This Row],[Spec Type]])</f>
        <v>±</v>
      </c>
      <c r="AC1761" s="1" t="str">
        <f>IF(Table1[[#This Row],[Spec Type2]]="N/A","N/A",IF(AND(Table1[[#This Row],[DUT Adj Read]]&gt;=Table1[[#This Row],[Low Tol]],Table1[[#This Row],[DUT Adj Read]]&lt;=Table1[[#This Row],[High Tol]]),"Pass","Fail"))</f>
        <v>Fail</v>
      </c>
      <c r="AD1761" s="1" t="str">
        <f>IF(AND(Table1[[#This Row],[Spec Type2]]="N/A",Table1[[#This Row],[DUT Adj Read]]="N/A",Table1[[#This Row],[Std Adj Read]]="N/A"),"N/A",IF(Table1[[#This Row],[DUT Adj Read]]="N/A",IF(Table1[[#This Row],[Std Adj Read]]&gt;Table1[[#This Row],[Low Tol]],"Pass","Fail"),IF(Table1[[#This Row],[DUT Adj Read]]&gt;Table1[[#This Row],[Low Tol]],"Pass","Fail")))</f>
        <v>Pass</v>
      </c>
      <c r="AE1761" s="1" t="str">
        <f>IF(AND(Table1[[#This Row],[Spec Type2]]="N/A",Table1[[#This Row],[DUT Adj Read]]="N/A",Table1[[#This Row],[Std Adj Read]]="N/A"),"N/A",IF(Table1[[#This Row],[DUT Adj Read]]="N/A",IF(Table1[[#This Row],[Std Adj Read]]&lt;Table1[[#This Row],[High Tol]],"Pass","Fail"),IF(Table1[[#This Row],[DUT Adj Read]]&lt;Table1[[#This Row],[High Tol]],"Pass","Fail")))</f>
        <v>Fail</v>
      </c>
      <c r="AF1761" s="1" t="str">
        <f>IF(AND(Table1[[#This Row],[Spec Type2]]="N/A",Table1[[#This Row],[DUT Adj Read]]="N/A",Table1[[#This Row],[Std Adj Read]]="N/A"),"N/A",IF(Table1[[#This Row],[DUT Adj Read]]="N/A",IF(Table1[[#This Row],[Std Adj Read]]&gt;=Table1[[#This Row],[Low Tol]],"Pass","Fail"),IF(Table1[[#This Row],[DUT Adj Read]]&gt;=Table1[[#This Row],[Low Tol]],"Pass","Fail")))</f>
        <v>Pass</v>
      </c>
      <c r="AG1761" s="1" t="str">
        <f>IF(AND(Table1[[#This Row],[Spec Type2]]="N/A",Table1[[#This Row],[DUT Adj Read]]="N/A",Table1[[#This Row],[Std Adj Read]]="N/A"),"N/A",IF(Table1[[#This Row],[DUT Adj Read]]="N/A",IF(Table1[[#This Row],[Std Adj Read]]&lt;=Table1[[#This Row],[High Tol]],"Pass","Fail"),IF(Table1[[#This Row],[DUT Adj Read]]&lt;=Table1[[#This Row],[High Tol]],"Pass","Fail")))</f>
        <v>Fail</v>
      </c>
      <c r="AH17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1" s="1" t="b">
        <v>0</v>
      </c>
      <c r="AN1761" s="1" t="b">
        <v>0</v>
      </c>
      <c r="AO1761" s="1" t="b">
        <v>0</v>
      </c>
    </row>
    <row r="1762" spans="1:41" x14ac:dyDescent="0.25">
      <c r="A1762" s="10"/>
      <c r="B1762" s="10"/>
      <c r="C1762" s="10"/>
      <c r="D1762" s="10"/>
      <c r="E1762" s="10"/>
      <c r="F1762" s="10"/>
      <c r="G1762" s="10"/>
      <c r="H1762" s="10"/>
      <c r="I1762" s="1" t="str">
        <f t="shared" si="81"/>
        <v/>
      </c>
      <c r="J1762" s="1" t="s">
        <v>35</v>
      </c>
      <c r="K1762" s="1" t="str">
        <f t="shared" si="82"/>
        <v/>
      </c>
      <c r="L1762" s="1" t="str">
        <f t="shared" si="83"/>
        <v/>
      </c>
      <c r="M1762" s="1">
        <f>IF(OR(Table1[[#This Row],[Std Nom]]="",Table1[[#This Row],[Std Read]]=""),0,Table1[[#This Row],[Std Nom]]-Table1[[#This Row],[Std Read]])</f>
        <v>0</v>
      </c>
      <c r="N1762" s="1">
        <f>IF(Calculations!$F$5="ACCREDITED 17025 WITH UNCERTAINTIES",$N$10,0)</f>
        <v>0</v>
      </c>
      <c r="O1762" s="1" t="str">
        <f>IFERROR(Table1[[#This Row],[Std Nom]]-(_xlfn.XLOOKUP(Table1[[#This Row],[Manufacturer]]&amp;" "&amp;Table1[[#This Row],[Model]],Table13[MFR &amp; MDL],Table13[Tolerance % CW ],"")/100*Table1[[#This Row],[Std Nom]]),"")</f>
        <v/>
      </c>
      <c r="P1762" s="1" t="str">
        <f>IFERROR(Table1[[#This Row],[Std Nom]]+(_xlfn.XLOOKUP(Table1[[#This Row],[Manufacturer]]&amp;" "&amp;Table1[[#This Row],[Model]],Table13[MFR &amp; MDL],Table13[Tolerance % CW ],"")/100*Table1[[#This Row],[Std Nom]]),"")</f>
        <v/>
      </c>
      <c r="Q1762" s="1" t="e">
        <f>Table1[[#This Row],[High Tol]]-Table1[[#This Row],[Low Tol]]</f>
        <v>#VALUE!</v>
      </c>
      <c r="R1762" s="1">
        <f>2*Table1[[#This Row],[Std Error]]</f>
        <v>0</v>
      </c>
      <c r="S1762" s="1" t="str">
        <f>IF(Table1[[#This Row],[High Tol]]="","N/A",IFERROR(ABS(Table1[[#This Row],[Tol Span]]/Table1[[#This Row],[Error Span]]),"N/A"))</f>
        <v>N/A</v>
      </c>
      <c r="T1762" s="1" t="str">
        <f>IF(OR(Table1[[#This Row],[Low Tol]]="",Table1[[#This Row],[High Tol]]=""),"Needs Analysis",IF(Table1[[#This Row],[Ratio]]&gt;=4,"Not Significant",IF(Table1[[#This Row],[Ratio]]&gt;=2,"Semi-Significant","Significant")))</f>
        <v>Needs Analysis</v>
      </c>
      <c r="W1762" s="1">
        <f>IF(Table1[[#This Row],[Cal Type]]&lt;&gt;"ACCREDITED 17025 WITH UNCERTAINTIES",0,"")</f>
        <v>0</v>
      </c>
      <c r="X1762" s="1" t="str">
        <f>IF(Table1[[#This Row],[DUT Read]]="","N/A",Table1[[#This Row],[Std Error]]+Table1[[#This Row],[DUT Read]]+Table1[[#This Row],[DUT Ucty]])</f>
        <v>N/A</v>
      </c>
      <c r="Y1762" s="1" t="str">
        <f>IF(Table1[[#This Row],[Std Read]]="","N/A",Table1[[#This Row],[Std Read]]+Table1[[#This Row],[Std Ucty]])</f>
        <v>N/A</v>
      </c>
      <c r="Z17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2" s="1" t="str">
        <f>IF(Table1[[#This Row],[Spec Type]]="","N/A",Table1[[#This Row],[Spec Type]])</f>
        <v>±</v>
      </c>
      <c r="AC1762" s="1" t="str">
        <f>IF(Table1[[#This Row],[Spec Type2]]="N/A","N/A",IF(AND(Table1[[#This Row],[DUT Adj Read]]&gt;=Table1[[#This Row],[Low Tol]],Table1[[#This Row],[DUT Adj Read]]&lt;=Table1[[#This Row],[High Tol]]),"Pass","Fail"))</f>
        <v>Fail</v>
      </c>
      <c r="AD1762" s="1" t="str">
        <f>IF(AND(Table1[[#This Row],[Spec Type2]]="N/A",Table1[[#This Row],[DUT Adj Read]]="N/A",Table1[[#This Row],[Std Adj Read]]="N/A"),"N/A",IF(Table1[[#This Row],[DUT Adj Read]]="N/A",IF(Table1[[#This Row],[Std Adj Read]]&gt;Table1[[#This Row],[Low Tol]],"Pass","Fail"),IF(Table1[[#This Row],[DUT Adj Read]]&gt;Table1[[#This Row],[Low Tol]],"Pass","Fail")))</f>
        <v>Pass</v>
      </c>
      <c r="AE1762" s="1" t="str">
        <f>IF(AND(Table1[[#This Row],[Spec Type2]]="N/A",Table1[[#This Row],[DUT Adj Read]]="N/A",Table1[[#This Row],[Std Adj Read]]="N/A"),"N/A",IF(Table1[[#This Row],[DUT Adj Read]]="N/A",IF(Table1[[#This Row],[Std Adj Read]]&lt;Table1[[#This Row],[High Tol]],"Pass","Fail"),IF(Table1[[#This Row],[DUT Adj Read]]&lt;Table1[[#This Row],[High Tol]],"Pass","Fail")))</f>
        <v>Fail</v>
      </c>
      <c r="AF1762" s="1" t="str">
        <f>IF(AND(Table1[[#This Row],[Spec Type2]]="N/A",Table1[[#This Row],[DUT Adj Read]]="N/A",Table1[[#This Row],[Std Adj Read]]="N/A"),"N/A",IF(Table1[[#This Row],[DUT Adj Read]]="N/A",IF(Table1[[#This Row],[Std Adj Read]]&gt;=Table1[[#This Row],[Low Tol]],"Pass","Fail"),IF(Table1[[#This Row],[DUT Adj Read]]&gt;=Table1[[#This Row],[Low Tol]],"Pass","Fail")))</f>
        <v>Pass</v>
      </c>
      <c r="AG1762" s="1" t="str">
        <f>IF(AND(Table1[[#This Row],[Spec Type2]]="N/A",Table1[[#This Row],[DUT Adj Read]]="N/A",Table1[[#This Row],[Std Adj Read]]="N/A"),"N/A",IF(Table1[[#This Row],[DUT Adj Read]]="N/A",IF(Table1[[#This Row],[Std Adj Read]]&lt;=Table1[[#This Row],[High Tol]],"Pass","Fail"),IF(Table1[[#This Row],[DUT Adj Read]]&lt;=Table1[[#This Row],[High Tol]],"Pass","Fail")))</f>
        <v>Fail</v>
      </c>
      <c r="AH17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2" s="1" t="b">
        <v>0</v>
      </c>
      <c r="AN1762" s="1" t="b">
        <v>0</v>
      </c>
      <c r="AO1762" s="1" t="b">
        <v>0</v>
      </c>
    </row>
    <row r="1763" spans="1:41" x14ac:dyDescent="0.25">
      <c r="A1763" s="10"/>
      <c r="B1763" s="10"/>
      <c r="C1763" s="10"/>
      <c r="D1763" s="10"/>
      <c r="E1763" s="10"/>
      <c r="F1763" s="10"/>
      <c r="G1763" s="10"/>
      <c r="H1763" s="10"/>
      <c r="I1763" s="1" t="str">
        <f t="shared" si="81"/>
        <v/>
      </c>
      <c r="J1763" s="1" t="s">
        <v>35</v>
      </c>
      <c r="K1763" s="1" t="str">
        <f t="shared" si="82"/>
        <v/>
      </c>
      <c r="L1763" s="1" t="str">
        <f t="shared" si="83"/>
        <v/>
      </c>
      <c r="M1763" s="1">
        <f>IF(OR(Table1[[#This Row],[Std Nom]]="",Table1[[#This Row],[Std Read]]=""),0,Table1[[#This Row],[Std Nom]]-Table1[[#This Row],[Std Read]])</f>
        <v>0</v>
      </c>
      <c r="N1763" s="1">
        <f>IF(Calculations!$F$5="ACCREDITED 17025 WITH UNCERTAINTIES",$N$10,0)</f>
        <v>0</v>
      </c>
      <c r="O1763" s="1" t="str">
        <f>IFERROR(Table1[[#This Row],[Std Nom]]-(_xlfn.XLOOKUP(Table1[[#This Row],[Manufacturer]]&amp;" "&amp;Table1[[#This Row],[Model]],Table13[MFR &amp; MDL],Table13[Tolerance % CW ],"")/100*Table1[[#This Row],[Std Nom]]),"")</f>
        <v/>
      </c>
      <c r="P1763" s="1" t="str">
        <f>IFERROR(Table1[[#This Row],[Std Nom]]+(_xlfn.XLOOKUP(Table1[[#This Row],[Manufacturer]]&amp;" "&amp;Table1[[#This Row],[Model]],Table13[MFR &amp; MDL],Table13[Tolerance % CW ],"")/100*Table1[[#This Row],[Std Nom]]),"")</f>
        <v/>
      </c>
      <c r="Q1763" s="1" t="e">
        <f>Table1[[#This Row],[High Tol]]-Table1[[#This Row],[Low Tol]]</f>
        <v>#VALUE!</v>
      </c>
      <c r="R1763" s="1">
        <f>2*Table1[[#This Row],[Std Error]]</f>
        <v>0</v>
      </c>
      <c r="S1763" s="1" t="str">
        <f>IF(Table1[[#This Row],[High Tol]]="","N/A",IFERROR(ABS(Table1[[#This Row],[Tol Span]]/Table1[[#This Row],[Error Span]]),"N/A"))</f>
        <v>N/A</v>
      </c>
      <c r="T1763" s="1" t="str">
        <f>IF(OR(Table1[[#This Row],[Low Tol]]="",Table1[[#This Row],[High Tol]]=""),"Needs Analysis",IF(Table1[[#This Row],[Ratio]]&gt;=4,"Not Significant",IF(Table1[[#This Row],[Ratio]]&gt;=2,"Semi-Significant","Significant")))</f>
        <v>Needs Analysis</v>
      </c>
      <c r="W1763" s="1">
        <f>IF(Table1[[#This Row],[Cal Type]]&lt;&gt;"ACCREDITED 17025 WITH UNCERTAINTIES",0,"")</f>
        <v>0</v>
      </c>
      <c r="X1763" s="1" t="str">
        <f>IF(Table1[[#This Row],[DUT Read]]="","N/A",Table1[[#This Row],[Std Error]]+Table1[[#This Row],[DUT Read]]+Table1[[#This Row],[DUT Ucty]])</f>
        <v>N/A</v>
      </c>
      <c r="Y1763" s="1" t="str">
        <f>IF(Table1[[#This Row],[Std Read]]="","N/A",Table1[[#This Row],[Std Read]]+Table1[[#This Row],[Std Ucty]])</f>
        <v>N/A</v>
      </c>
      <c r="Z17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3" s="1" t="str">
        <f>IF(Table1[[#This Row],[Spec Type]]="","N/A",Table1[[#This Row],[Spec Type]])</f>
        <v>±</v>
      </c>
      <c r="AC1763" s="1" t="str">
        <f>IF(Table1[[#This Row],[Spec Type2]]="N/A","N/A",IF(AND(Table1[[#This Row],[DUT Adj Read]]&gt;=Table1[[#This Row],[Low Tol]],Table1[[#This Row],[DUT Adj Read]]&lt;=Table1[[#This Row],[High Tol]]),"Pass","Fail"))</f>
        <v>Fail</v>
      </c>
      <c r="AD1763" s="1" t="str">
        <f>IF(AND(Table1[[#This Row],[Spec Type2]]="N/A",Table1[[#This Row],[DUT Adj Read]]="N/A",Table1[[#This Row],[Std Adj Read]]="N/A"),"N/A",IF(Table1[[#This Row],[DUT Adj Read]]="N/A",IF(Table1[[#This Row],[Std Adj Read]]&gt;Table1[[#This Row],[Low Tol]],"Pass","Fail"),IF(Table1[[#This Row],[DUT Adj Read]]&gt;Table1[[#This Row],[Low Tol]],"Pass","Fail")))</f>
        <v>Pass</v>
      </c>
      <c r="AE1763" s="1" t="str">
        <f>IF(AND(Table1[[#This Row],[Spec Type2]]="N/A",Table1[[#This Row],[DUT Adj Read]]="N/A",Table1[[#This Row],[Std Adj Read]]="N/A"),"N/A",IF(Table1[[#This Row],[DUT Adj Read]]="N/A",IF(Table1[[#This Row],[Std Adj Read]]&lt;Table1[[#This Row],[High Tol]],"Pass","Fail"),IF(Table1[[#This Row],[DUT Adj Read]]&lt;Table1[[#This Row],[High Tol]],"Pass","Fail")))</f>
        <v>Fail</v>
      </c>
      <c r="AF1763" s="1" t="str">
        <f>IF(AND(Table1[[#This Row],[Spec Type2]]="N/A",Table1[[#This Row],[DUT Adj Read]]="N/A",Table1[[#This Row],[Std Adj Read]]="N/A"),"N/A",IF(Table1[[#This Row],[DUT Adj Read]]="N/A",IF(Table1[[#This Row],[Std Adj Read]]&gt;=Table1[[#This Row],[Low Tol]],"Pass","Fail"),IF(Table1[[#This Row],[DUT Adj Read]]&gt;=Table1[[#This Row],[Low Tol]],"Pass","Fail")))</f>
        <v>Pass</v>
      </c>
      <c r="AG1763" s="1" t="str">
        <f>IF(AND(Table1[[#This Row],[Spec Type2]]="N/A",Table1[[#This Row],[DUT Adj Read]]="N/A",Table1[[#This Row],[Std Adj Read]]="N/A"),"N/A",IF(Table1[[#This Row],[DUT Adj Read]]="N/A",IF(Table1[[#This Row],[Std Adj Read]]&lt;=Table1[[#This Row],[High Tol]],"Pass","Fail"),IF(Table1[[#This Row],[DUT Adj Read]]&lt;=Table1[[#This Row],[High Tol]],"Pass","Fail")))</f>
        <v>Fail</v>
      </c>
      <c r="AH17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3" s="1" t="b">
        <v>0</v>
      </c>
      <c r="AN1763" s="1" t="b">
        <v>0</v>
      </c>
      <c r="AO1763" s="1" t="b">
        <v>0</v>
      </c>
    </row>
    <row r="1764" spans="1:41" x14ac:dyDescent="0.25">
      <c r="A1764" s="10"/>
      <c r="B1764" s="10"/>
      <c r="C1764" s="10"/>
      <c r="D1764" s="10"/>
      <c r="E1764" s="10"/>
      <c r="F1764" s="10"/>
      <c r="G1764" s="10"/>
      <c r="H1764" s="10"/>
      <c r="I1764" s="1" t="str">
        <f t="shared" si="81"/>
        <v/>
      </c>
      <c r="J1764" s="1" t="s">
        <v>35</v>
      </c>
      <c r="K1764" s="1" t="str">
        <f t="shared" si="82"/>
        <v/>
      </c>
      <c r="L1764" s="1" t="str">
        <f t="shared" si="83"/>
        <v/>
      </c>
      <c r="M1764" s="1">
        <f>IF(OR(Table1[[#This Row],[Std Nom]]="",Table1[[#This Row],[Std Read]]=""),0,Table1[[#This Row],[Std Nom]]-Table1[[#This Row],[Std Read]])</f>
        <v>0</v>
      </c>
      <c r="N1764" s="1">
        <f>IF(Calculations!$F$5="ACCREDITED 17025 WITH UNCERTAINTIES",$N$10,0)</f>
        <v>0</v>
      </c>
      <c r="O1764" s="1" t="str">
        <f>IFERROR(Table1[[#This Row],[Std Nom]]-(_xlfn.XLOOKUP(Table1[[#This Row],[Manufacturer]]&amp;" "&amp;Table1[[#This Row],[Model]],Table13[MFR &amp; MDL],Table13[Tolerance % CW ],"")/100*Table1[[#This Row],[Std Nom]]),"")</f>
        <v/>
      </c>
      <c r="P1764" s="1" t="str">
        <f>IFERROR(Table1[[#This Row],[Std Nom]]+(_xlfn.XLOOKUP(Table1[[#This Row],[Manufacturer]]&amp;" "&amp;Table1[[#This Row],[Model]],Table13[MFR &amp; MDL],Table13[Tolerance % CW ],"")/100*Table1[[#This Row],[Std Nom]]),"")</f>
        <v/>
      </c>
      <c r="Q1764" s="1" t="e">
        <f>Table1[[#This Row],[High Tol]]-Table1[[#This Row],[Low Tol]]</f>
        <v>#VALUE!</v>
      </c>
      <c r="R1764" s="1">
        <f>2*Table1[[#This Row],[Std Error]]</f>
        <v>0</v>
      </c>
      <c r="S1764" s="1" t="str">
        <f>IF(Table1[[#This Row],[High Tol]]="","N/A",IFERROR(ABS(Table1[[#This Row],[Tol Span]]/Table1[[#This Row],[Error Span]]),"N/A"))</f>
        <v>N/A</v>
      </c>
      <c r="T1764" s="1" t="str">
        <f>IF(OR(Table1[[#This Row],[Low Tol]]="",Table1[[#This Row],[High Tol]]=""),"Needs Analysis",IF(Table1[[#This Row],[Ratio]]&gt;=4,"Not Significant",IF(Table1[[#This Row],[Ratio]]&gt;=2,"Semi-Significant","Significant")))</f>
        <v>Needs Analysis</v>
      </c>
      <c r="W1764" s="1">
        <f>IF(Table1[[#This Row],[Cal Type]]&lt;&gt;"ACCREDITED 17025 WITH UNCERTAINTIES",0,"")</f>
        <v>0</v>
      </c>
      <c r="X1764" s="1" t="str">
        <f>IF(Table1[[#This Row],[DUT Read]]="","N/A",Table1[[#This Row],[Std Error]]+Table1[[#This Row],[DUT Read]]+Table1[[#This Row],[DUT Ucty]])</f>
        <v>N/A</v>
      </c>
      <c r="Y1764" s="1" t="str">
        <f>IF(Table1[[#This Row],[Std Read]]="","N/A",Table1[[#This Row],[Std Read]]+Table1[[#This Row],[Std Ucty]])</f>
        <v>N/A</v>
      </c>
      <c r="Z17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4" s="1" t="str">
        <f>IF(Table1[[#This Row],[Spec Type]]="","N/A",Table1[[#This Row],[Spec Type]])</f>
        <v>±</v>
      </c>
      <c r="AC1764" s="1" t="str">
        <f>IF(Table1[[#This Row],[Spec Type2]]="N/A","N/A",IF(AND(Table1[[#This Row],[DUT Adj Read]]&gt;=Table1[[#This Row],[Low Tol]],Table1[[#This Row],[DUT Adj Read]]&lt;=Table1[[#This Row],[High Tol]]),"Pass","Fail"))</f>
        <v>Fail</v>
      </c>
      <c r="AD1764" s="1" t="str">
        <f>IF(AND(Table1[[#This Row],[Spec Type2]]="N/A",Table1[[#This Row],[DUT Adj Read]]="N/A",Table1[[#This Row],[Std Adj Read]]="N/A"),"N/A",IF(Table1[[#This Row],[DUT Adj Read]]="N/A",IF(Table1[[#This Row],[Std Adj Read]]&gt;Table1[[#This Row],[Low Tol]],"Pass","Fail"),IF(Table1[[#This Row],[DUT Adj Read]]&gt;Table1[[#This Row],[Low Tol]],"Pass","Fail")))</f>
        <v>Pass</v>
      </c>
      <c r="AE1764" s="1" t="str">
        <f>IF(AND(Table1[[#This Row],[Spec Type2]]="N/A",Table1[[#This Row],[DUT Adj Read]]="N/A",Table1[[#This Row],[Std Adj Read]]="N/A"),"N/A",IF(Table1[[#This Row],[DUT Adj Read]]="N/A",IF(Table1[[#This Row],[Std Adj Read]]&lt;Table1[[#This Row],[High Tol]],"Pass","Fail"),IF(Table1[[#This Row],[DUT Adj Read]]&lt;Table1[[#This Row],[High Tol]],"Pass","Fail")))</f>
        <v>Fail</v>
      </c>
      <c r="AF1764" s="1" t="str">
        <f>IF(AND(Table1[[#This Row],[Spec Type2]]="N/A",Table1[[#This Row],[DUT Adj Read]]="N/A",Table1[[#This Row],[Std Adj Read]]="N/A"),"N/A",IF(Table1[[#This Row],[DUT Adj Read]]="N/A",IF(Table1[[#This Row],[Std Adj Read]]&gt;=Table1[[#This Row],[Low Tol]],"Pass","Fail"),IF(Table1[[#This Row],[DUT Adj Read]]&gt;=Table1[[#This Row],[Low Tol]],"Pass","Fail")))</f>
        <v>Pass</v>
      </c>
      <c r="AG1764" s="1" t="str">
        <f>IF(AND(Table1[[#This Row],[Spec Type2]]="N/A",Table1[[#This Row],[DUT Adj Read]]="N/A",Table1[[#This Row],[Std Adj Read]]="N/A"),"N/A",IF(Table1[[#This Row],[DUT Adj Read]]="N/A",IF(Table1[[#This Row],[Std Adj Read]]&lt;=Table1[[#This Row],[High Tol]],"Pass","Fail"),IF(Table1[[#This Row],[DUT Adj Read]]&lt;=Table1[[#This Row],[High Tol]],"Pass","Fail")))</f>
        <v>Fail</v>
      </c>
      <c r="AH17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4" s="1" t="b">
        <v>0</v>
      </c>
      <c r="AN1764" s="1" t="b">
        <v>0</v>
      </c>
      <c r="AO1764" s="1" t="b">
        <v>0</v>
      </c>
    </row>
    <row r="1765" spans="1:41" x14ac:dyDescent="0.25">
      <c r="A1765" s="10"/>
      <c r="B1765" s="10"/>
      <c r="C1765" s="10"/>
      <c r="D1765" s="10"/>
      <c r="E1765" s="10"/>
      <c r="F1765" s="10"/>
      <c r="G1765" s="10"/>
      <c r="H1765" s="10"/>
      <c r="I1765" s="1" t="str">
        <f t="shared" si="81"/>
        <v/>
      </c>
      <c r="J1765" s="1" t="s">
        <v>35</v>
      </c>
      <c r="K1765" s="1" t="str">
        <f t="shared" si="82"/>
        <v/>
      </c>
      <c r="L1765" s="1" t="str">
        <f t="shared" si="83"/>
        <v/>
      </c>
      <c r="M1765" s="1">
        <f>IF(OR(Table1[[#This Row],[Std Nom]]="",Table1[[#This Row],[Std Read]]=""),0,Table1[[#This Row],[Std Nom]]-Table1[[#This Row],[Std Read]])</f>
        <v>0</v>
      </c>
      <c r="N1765" s="1">
        <f>IF(Calculations!$F$5="ACCREDITED 17025 WITH UNCERTAINTIES",$N$10,0)</f>
        <v>0</v>
      </c>
      <c r="O1765" s="1" t="str">
        <f>IFERROR(Table1[[#This Row],[Std Nom]]-(_xlfn.XLOOKUP(Table1[[#This Row],[Manufacturer]]&amp;" "&amp;Table1[[#This Row],[Model]],Table13[MFR &amp; MDL],Table13[Tolerance % CW ],"")/100*Table1[[#This Row],[Std Nom]]),"")</f>
        <v/>
      </c>
      <c r="P1765" s="1" t="str">
        <f>IFERROR(Table1[[#This Row],[Std Nom]]+(_xlfn.XLOOKUP(Table1[[#This Row],[Manufacturer]]&amp;" "&amp;Table1[[#This Row],[Model]],Table13[MFR &amp; MDL],Table13[Tolerance % CW ],"")/100*Table1[[#This Row],[Std Nom]]),"")</f>
        <v/>
      </c>
      <c r="Q1765" s="1" t="e">
        <f>Table1[[#This Row],[High Tol]]-Table1[[#This Row],[Low Tol]]</f>
        <v>#VALUE!</v>
      </c>
      <c r="R1765" s="1">
        <f>2*Table1[[#This Row],[Std Error]]</f>
        <v>0</v>
      </c>
      <c r="S1765" s="1" t="str">
        <f>IF(Table1[[#This Row],[High Tol]]="","N/A",IFERROR(ABS(Table1[[#This Row],[Tol Span]]/Table1[[#This Row],[Error Span]]),"N/A"))</f>
        <v>N/A</v>
      </c>
      <c r="T1765" s="1" t="str">
        <f>IF(OR(Table1[[#This Row],[Low Tol]]="",Table1[[#This Row],[High Tol]]=""),"Needs Analysis",IF(Table1[[#This Row],[Ratio]]&gt;=4,"Not Significant",IF(Table1[[#This Row],[Ratio]]&gt;=2,"Semi-Significant","Significant")))</f>
        <v>Needs Analysis</v>
      </c>
      <c r="W1765" s="1">
        <f>IF(Table1[[#This Row],[Cal Type]]&lt;&gt;"ACCREDITED 17025 WITH UNCERTAINTIES",0,"")</f>
        <v>0</v>
      </c>
      <c r="X1765" s="1" t="str">
        <f>IF(Table1[[#This Row],[DUT Read]]="","N/A",Table1[[#This Row],[Std Error]]+Table1[[#This Row],[DUT Read]]+Table1[[#This Row],[DUT Ucty]])</f>
        <v>N/A</v>
      </c>
      <c r="Y1765" s="1" t="str">
        <f>IF(Table1[[#This Row],[Std Read]]="","N/A",Table1[[#This Row],[Std Read]]+Table1[[#This Row],[Std Ucty]])</f>
        <v>N/A</v>
      </c>
      <c r="Z17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5" s="1" t="str">
        <f>IF(Table1[[#This Row],[Spec Type]]="","N/A",Table1[[#This Row],[Spec Type]])</f>
        <v>±</v>
      </c>
      <c r="AC1765" s="1" t="str">
        <f>IF(Table1[[#This Row],[Spec Type2]]="N/A","N/A",IF(AND(Table1[[#This Row],[DUT Adj Read]]&gt;=Table1[[#This Row],[Low Tol]],Table1[[#This Row],[DUT Adj Read]]&lt;=Table1[[#This Row],[High Tol]]),"Pass","Fail"))</f>
        <v>Fail</v>
      </c>
      <c r="AD1765" s="1" t="str">
        <f>IF(AND(Table1[[#This Row],[Spec Type2]]="N/A",Table1[[#This Row],[DUT Adj Read]]="N/A",Table1[[#This Row],[Std Adj Read]]="N/A"),"N/A",IF(Table1[[#This Row],[DUT Adj Read]]="N/A",IF(Table1[[#This Row],[Std Adj Read]]&gt;Table1[[#This Row],[Low Tol]],"Pass","Fail"),IF(Table1[[#This Row],[DUT Adj Read]]&gt;Table1[[#This Row],[Low Tol]],"Pass","Fail")))</f>
        <v>Pass</v>
      </c>
      <c r="AE1765" s="1" t="str">
        <f>IF(AND(Table1[[#This Row],[Spec Type2]]="N/A",Table1[[#This Row],[DUT Adj Read]]="N/A",Table1[[#This Row],[Std Adj Read]]="N/A"),"N/A",IF(Table1[[#This Row],[DUT Adj Read]]="N/A",IF(Table1[[#This Row],[Std Adj Read]]&lt;Table1[[#This Row],[High Tol]],"Pass","Fail"),IF(Table1[[#This Row],[DUT Adj Read]]&lt;Table1[[#This Row],[High Tol]],"Pass","Fail")))</f>
        <v>Fail</v>
      </c>
      <c r="AF1765" s="1" t="str">
        <f>IF(AND(Table1[[#This Row],[Spec Type2]]="N/A",Table1[[#This Row],[DUT Adj Read]]="N/A",Table1[[#This Row],[Std Adj Read]]="N/A"),"N/A",IF(Table1[[#This Row],[DUT Adj Read]]="N/A",IF(Table1[[#This Row],[Std Adj Read]]&gt;=Table1[[#This Row],[Low Tol]],"Pass","Fail"),IF(Table1[[#This Row],[DUT Adj Read]]&gt;=Table1[[#This Row],[Low Tol]],"Pass","Fail")))</f>
        <v>Pass</v>
      </c>
      <c r="AG1765" s="1" t="str">
        <f>IF(AND(Table1[[#This Row],[Spec Type2]]="N/A",Table1[[#This Row],[DUT Adj Read]]="N/A",Table1[[#This Row],[Std Adj Read]]="N/A"),"N/A",IF(Table1[[#This Row],[DUT Adj Read]]="N/A",IF(Table1[[#This Row],[Std Adj Read]]&lt;=Table1[[#This Row],[High Tol]],"Pass","Fail"),IF(Table1[[#This Row],[DUT Adj Read]]&lt;=Table1[[#This Row],[High Tol]],"Pass","Fail")))</f>
        <v>Fail</v>
      </c>
      <c r="AH17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5" s="1" t="b">
        <v>0</v>
      </c>
      <c r="AN1765" s="1" t="b">
        <v>0</v>
      </c>
      <c r="AO1765" s="1" t="b">
        <v>0</v>
      </c>
    </row>
    <row r="1766" spans="1:41" x14ac:dyDescent="0.25">
      <c r="A1766" s="10"/>
      <c r="B1766" s="10"/>
      <c r="C1766" s="10"/>
      <c r="D1766" s="10"/>
      <c r="E1766" s="10"/>
      <c r="F1766" s="10"/>
      <c r="G1766" s="10"/>
      <c r="H1766" s="10"/>
      <c r="I1766" s="1" t="str">
        <f t="shared" si="81"/>
        <v/>
      </c>
      <c r="J1766" s="1" t="s">
        <v>35</v>
      </c>
      <c r="K1766" s="1" t="str">
        <f t="shared" si="82"/>
        <v/>
      </c>
      <c r="L1766" s="1" t="str">
        <f t="shared" si="83"/>
        <v/>
      </c>
      <c r="M1766" s="1">
        <f>IF(OR(Table1[[#This Row],[Std Nom]]="",Table1[[#This Row],[Std Read]]=""),0,Table1[[#This Row],[Std Nom]]-Table1[[#This Row],[Std Read]])</f>
        <v>0</v>
      </c>
      <c r="N1766" s="1">
        <f>IF(Calculations!$F$5="ACCREDITED 17025 WITH UNCERTAINTIES",$N$10,0)</f>
        <v>0</v>
      </c>
      <c r="O1766" s="1" t="str">
        <f>IFERROR(Table1[[#This Row],[Std Nom]]-(_xlfn.XLOOKUP(Table1[[#This Row],[Manufacturer]]&amp;" "&amp;Table1[[#This Row],[Model]],Table13[MFR &amp; MDL],Table13[Tolerance % CW ],"")/100*Table1[[#This Row],[Std Nom]]),"")</f>
        <v/>
      </c>
      <c r="P1766" s="1" t="str">
        <f>IFERROR(Table1[[#This Row],[Std Nom]]+(_xlfn.XLOOKUP(Table1[[#This Row],[Manufacturer]]&amp;" "&amp;Table1[[#This Row],[Model]],Table13[MFR &amp; MDL],Table13[Tolerance % CW ],"")/100*Table1[[#This Row],[Std Nom]]),"")</f>
        <v/>
      </c>
      <c r="Q1766" s="1" t="e">
        <f>Table1[[#This Row],[High Tol]]-Table1[[#This Row],[Low Tol]]</f>
        <v>#VALUE!</v>
      </c>
      <c r="R1766" s="1">
        <f>2*Table1[[#This Row],[Std Error]]</f>
        <v>0</v>
      </c>
      <c r="S1766" s="1" t="str">
        <f>IF(Table1[[#This Row],[High Tol]]="","N/A",IFERROR(ABS(Table1[[#This Row],[Tol Span]]/Table1[[#This Row],[Error Span]]),"N/A"))</f>
        <v>N/A</v>
      </c>
      <c r="T1766" s="1" t="str">
        <f>IF(OR(Table1[[#This Row],[Low Tol]]="",Table1[[#This Row],[High Tol]]=""),"Needs Analysis",IF(Table1[[#This Row],[Ratio]]&gt;=4,"Not Significant",IF(Table1[[#This Row],[Ratio]]&gt;=2,"Semi-Significant","Significant")))</f>
        <v>Needs Analysis</v>
      </c>
      <c r="W1766" s="1">
        <f>IF(Table1[[#This Row],[Cal Type]]&lt;&gt;"ACCREDITED 17025 WITH UNCERTAINTIES",0,"")</f>
        <v>0</v>
      </c>
      <c r="X1766" s="1" t="str">
        <f>IF(Table1[[#This Row],[DUT Read]]="","N/A",Table1[[#This Row],[Std Error]]+Table1[[#This Row],[DUT Read]]+Table1[[#This Row],[DUT Ucty]])</f>
        <v>N/A</v>
      </c>
      <c r="Y1766" s="1" t="str">
        <f>IF(Table1[[#This Row],[Std Read]]="","N/A",Table1[[#This Row],[Std Read]]+Table1[[#This Row],[Std Ucty]])</f>
        <v>N/A</v>
      </c>
      <c r="Z17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6" s="1" t="str">
        <f>IF(Table1[[#This Row],[Spec Type]]="","N/A",Table1[[#This Row],[Spec Type]])</f>
        <v>±</v>
      </c>
      <c r="AC1766" s="1" t="str">
        <f>IF(Table1[[#This Row],[Spec Type2]]="N/A","N/A",IF(AND(Table1[[#This Row],[DUT Adj Read]]&gt;=Table1[[#This Row],[Low Tol]],Table1[[#This Row],[DUT Adj Read]]&lt;=Table1[[#This Row],[High Tol]]),"Pass","Fail"))</f>
        <v>Fail</v>
      </c>
      <c r="AD1766" s="1" t="str">
        <f>IF(AND(Table1[[#This Row],[Spec Type2]]="N/A",Table1[[#This Row],[DUT Adj Read]]="N/A",Table1[[#This Row],[Std Adj Read]]="N/A"),"N/A",IF(Table1[[#This Row],[DUT Adj Read]]="N/A",IF(Table1[[#This Row],[Std Adj Read]]&gt;Table1[[#This Row],[Low Tol]],"Pass","Fail"),IF(Table1[[#This Row],[DUT Adj Read]]&gt;Table1[[#This Row],[Low Tol]],"Pass","Fail")))</f>
        <v>Pass</v>
      </c>
      <c r="AE1766" s="1" t="str">
        <f>IF(AND(Table1[[#This Row],[Spec Type2]]="N/A",Table1[[#This Row],[DUT Adj Read]]="N/A",Table1[[#This Row],[Std Adj Read]]="N/A"),"N/A",IF(Table1[[#This Row],[DUT Adj Read]]="N/A",IF(Table1[[#This Row],[Std Adj Read]]&lt;Table1[[#This Row],[High Tol]],"Pass","Fail"),IF(Table1[[#This Row],[DUT Adj Read]]&lt;Table1[[#This Row],[High Tol]],"Pass","Fail")))</f>
        <v>Fail</v>
      </c>
      <c r="AF1766" s="1" t="str">
        <f>IF(AND(Table1[[#This Row],[Spec Type2]]="N/A",Table1[[#This Row],[DUT Adj Read]]="N/A",Table1[[#This Row],[Std Adj Read]]="N/A"),"N/A",IF(Table1[[#This Row],[DUT Adj Read]]="N/A",IF(Table1[[#This Row],[Std Adj Read]]&gt;=Table1[[#This Row],[Low Tol]],"Pass","Fail"),IF(Table1[[#This Row],[DUT Adj Read]]&gt;=Table1[[#This Row],[Low Tol]],"Pass","Fail")))</f>
        <v>Pass</v>
      </c>
      <c r="AG1766" s="1" t="str">
        <f>IF(AND(Table1[[#This Row],[Spec Type2]]="N/A",Table1[[#This Row],[DUT Adj Read]]="N/A",Table1[[#This Row],[Std Adj Read]]="N/A"),"N/A",IF(Table1[[#This Row],[DUT Adj Read]]="N/A",IF(Table1[[#This Row],[Std Adj Read]]&lt;=Table1[[#This Row],[High Tol]],"Pass","Fail"),IF(Table1[[#This Row],[DUT Adj Read]]&lt;=Table1[[#This Row],[High Tol]],"Pass","Fail")))</f>
        <v>Fail</v>
      </c>
      <c r="AH17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6" s="1" t="b">
        <v>0</v>
      </c>
      <c r="AN1766" s="1" t="b">
        <v>0</v>
      </c>
      <c r="AO1766" s="1" t="b">
        <v>0</v>
      </c>
    </row>
    <row r="1767" spans="1:41" x14ac:dyDescent="0.25">
      <c r="A1767" s="10"/>
      <c r="B1767" s="10"/>
      <c r="C1767" s="10"/>
      <c r="D1767" s="10"/>
      <c r="E1767" s="10"/>
      <c r="F1767" s="10"/>
      <c r="G1767" s="10"/>
      <c r="H1767" s="10"/>
      <c r="I1767" s="1" t="str">
        <f t="shared" si="81"/>
        <v/>
      </c>
      <c r="J1767" s="1" t="s">
        <v>35</v>
      </c>
      <c r="K1767" s="1" t="str">
        <f t="shared" si="82"/>
        <v/>
      </c>
      <c r="L1767" s="1" t="str">
        <f t="shared" si="83"/>
        <v/>
      </c>
      <c r="M1767" s="1">
        <f>IF(OR(Table1[[#This Row],[Std Nom]]="",Table1[[#This Row],[Std Read]]=""),0,Table1[[#This Row],[Std Nom]]-Table1[[#This Row],[Std Read]])</f>
        <v>0</v>
      </c>
      <c r="N1767" s="1">
        <f>IF(Calculations!$F$5="ACCREDITED 17025 WITH UNCERTAINTIES",$N$10,0)</f>
        <v>0</v>
      </c>
      <c r="O1767" s="1" t="str">
        <f>IFERROR(Table1[[#This Row],[Std Nom]]-(_xlfn.XLOOKUP(Table1[[#This Row],[Manufacturer]]&amp;" "&amp;Table1[[#This Row],[Model]],Table13[MFR &amp; MDL],Table13[Tolerance % CW ],"")/100*Table1[[#This Row],[Std Nom]]),"")</f>
        <v/>
      </c>
      <c r="P1767" s="1" t="str">
        <f>IFERROR(Table1[[#This Row],[Std Nom]]+(_xlfn.XLOOKUP(Table1[[#This Row],[Manufacturer]]&amp;" "&amp;Table1[[#This Row],[Model]],Table13[MFR &amp; MDL],Table13[Tolerance % CW ],"")/100*Table1[[#This Row],[Std Nom]]),"")</f>
        <v/>
      </c>
      <c r="Q1767" s="1" t="e">
        <f>Table1[[#This Row],[High Tol]]-Table1[[#This Row],[Low Tol]]</f>
        <v>#VALUE!</v>
      </c>
      <c r="R1767" s="1">
        <f>2*Table1[[#This Row],[Std Error]]</f>
        <v>0</v>
      </c>
      <c r="S1767" s="1" t="str">
        <f>IF(Table1[[#This Row],[High Tol]]="","N/A",IFERROR(ABS(Table1[[#This Row],[Tol Span]]/Table1[[#This Row],[Error Span]]),"N/A"))</f>
        <v>N/A</v>
      </c>
      <c r="T1767" s="1" t="str">
        <f>IF(OR(Table1[[#This Row],[Low Tol]]="",Table1[[#This Row],[High Tol]]=""),"Needs Analysis",IF(Table1[[#This Row],[Ratio]]&gt;=4,"Not Significant",IF(Table1[[#This Row],[Ratio]]&gt;=2,"Semi-Significant","Significant")))</f>
        <v>Needs Analysis</v>
      </c>
      <c r="W1767" s="1">
        <f>IF(Table1[[#This Row],[Cal Type]]&lt;&gt;"ACCREDITED 17025 WITH UNCERTAINTIES",0,"")</f>
        <v>0</v>
      </c>
      <c r="X1767" s="1" t="str">
        <f>IF(Table1[[#This Row],[DUT Read]]="","N/A",Table1[[#This Row],[Std Error]]+Table1[[#This Row],[DUT Read]]+Table1[[#This Row],[DUT Ucty]])</f>
        <v>N/A</v>
      </c>
      <c r="Y1767" s="1" t="str">
        <f>IF(Table1[[#This Row],[Std Read]]="","N/A",Table1[[#This Row],[Std Read]]+Table1[[#This Row],[Std Ucty]])</f>
        <v>N/A</v>
      </c>
      <c r="Z17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7" s="1" t="str">
        <f>IF(Table1[[#This Row],[Spec Type]]="","N/A",Table1[[#This Row],[Spec Type]])</f>
        <v>±</v>
      </c>
      <c r="AC1767" s="1" t="str">
        <f>IF(Table1[[#This Row],[Spec Type2]]="N/A","N/A",IF(AND(Table1[[#This Row],[DUT Adj Read]]&gt;=Table1[[#This Row],[Low Tol]],Table1[[#This Row],[DUT Adj Read]]&lt;=Table1[[#This Row],[High Tol]]),"Pass","Fail"))</f>
        <v>Fail</v>
      </c>
      <c r="AD1767" s="1" t="str">
        <f>IF(AND(Table1[[#This Row],[Spec Type2]]="N/A",Table1[[#This Row],[DUT Adj Read]]="N/A",Table1[[#This Row],[Std Adj Read]]="N/A"),"N/A",IF(Table1[[#This Row],[DUT Adj Read]]="N/A",IF(Table1[[#This Row],[Std Adj Read]]&gt;Table1[[#This Row],[Low Tol]],"Pass","Fail"),IF(Table1[[#This Row],[DUT Adj Read]]&gt;Table1[[#This Row],[Low Tol]],"Pass","Fail")))</f>
        <v>Pass</v>
      </c>
      <c r="AE1767" s="1" t="str">
        <f>IF(AND(Table1[[#This Row],[Spec Type2]]="N/A",Table1[[#This Row],[DUT Adj Read]]="N/A",Table1[[#This Row],[Std Adj Read]]="N/A"),"N/A",IF(Table1[[#This Row],[DUT Adj Read]]="N/A",IF(Table1[[#This Row],[Std Adj Read]]&lt;Table1[[#This Row],[High Tol]],"Pass","Fail"),IF(Table1[[#This Row],[DUT Adj Read]]&lt;Table1[[#This Row],[High Tol]],"Pass","Fail")))</f>
        <v>Fail</v>
      </c>
      <c r="AF1767" s="1" t="str">
        <f>IF(AND(Table1[[#This Row],[Spec Type2]]="N/A",Table1[[#This Row],[DUT Adj Read]]="N/A",Table1[[#This Row],[Std Adj Read]]="N/A"),"N/A",IF(Table1[[#This Row],[DUT Adj Read]]="N/A",IF(Table1[[#This Row],[Std Adj Read]]&gt;=Table1[[#This Row],[Low Tol]],"Pass","Fail"),IF(Table1[[#This Row],[DUT Adj Read]]&gt;=Table1[[#This Row],[Low Tol]],"Pass","Fail")))</f>
        <v>Pass</v>
      </c>
      <c r="AG1767" s="1" t="str">
        <f>IF(AND(Table1[[#This Row],[Spec Type2]]="N/A",Table1[[#This Row],[DUT Adj Read]]="N/A",Table1[[#This Row],[Std Adj Read]]="N/A"),"N/A",IF(Table1[[#This Row],[DUT Adj Read]]="N/A",IF(Table1[[#This Row],[Std Adj Read]]&lt;=Table1[[#This Row],[High Tol]],"Pass","Fail"),IF(Table1[[#This Row],[DUT Adj Read]]&lt;=Table1[[#This Row],[High Tol]],"Pass","Fail")))</f>
        <v>Fail</v>
      </c>
      <c r="AH17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7" s="1" t="b">
        <v>0</v>
      </c>
      <c r="AN1767" s="1" t="b">
        <v>0</v>
      </c>
      <c r="AO1767" s="1" t="b">
        <v>0</v>
      </c>
    </row>
    <row r="1768" spans="1:41" x14ac:dyDescent="0.25">
      <c r="A1768" s="10"/>
      <c r="B1768" s="10"/>
      <c r="C1768" s="10"/>
      <c r="D1768" s="10"/>
      <c r="E1768" s="10"/>
      <c r="F1768" s="10"/>
      <c r="G1768" s="10"/>
      <c r="H1768" s="10"/>
      <c r="I1768" s="1" t="str">
        <f t="shared" si="81"/>
        <v/>
      </c>
      <c r="J1768" s="1" t="s">
        <v>35</v>
      </c>
      <c r="K1768" s="1" t="str">
        <f t="shared" si="82"/>
        <v/>
      </c>
      <c r="L1768" s="1" t="str">
        <f t="shared" si="83"/>
        <v/>
      </c>
      <c r="M1768" s="1">
        <f>IF(OR(Table1[[#This Row],[Std Nom]]="",Table1[[#This Row],[Std Read]]=""),0,Table1[[#This Row],[Std Nom]]-Table1[[#This Row],[Std Read]])</f>
        <v>0</v>
      </c>
      <c r="N1768" s="1">
        <f>IF(Calculations!$F$5="ACCREDITED 17025 WITH UNCERTAINTIES",$N$10,0)</f>
        <v>0</v>
      </c>
      <c r="O1768" s="1" t="str">
        <f>IFERROR(Table1[[#This Row],[Std Nom]]-(_xlfn.XLOOKUP(Table1[[#This Row],[Manufacturer]]&amp;" "&amp;Table1[[#This Row],[Model]],Table13[MFR &amp; MDL],Table13[Tolerance % CW ],"")/100*Table1[[#This Row],[Std Nom]]),"")</f>
        <v/>
      </c>
      <c r="P1768" s="1" t="str">
        <f>IFERROR(Table1[[#This Row],[Std Nom]]+(_xlfn.XLOOKUP(Table1[[#This Row],[Manufacturer]]&amp;" "&amp;Table1[[#This Row],[Model]],Table13[MFR &amp; MDL],Table13[Tolerance % CW ],"")/100*Table1[[#This Row],[Std Nom]]),"")</f>
        <v/>
      </c>
      <c r="Q1768" s="1" t="e">
        <f>Table1[[#This Row],[High Tol]]-Table1[[#This Row],[Low Tol]]</f>
        <v>#VALUE!</v>
      </c>
      <c r="R1768" s="1">
        <f>2*Table1[[#This Row],[Std Error]]</f>
        <v>0</v>
      </c>
      <c r="S1768" s="1" t="str">
        <f>IF(Table1[[#This Row],[High Tol]]="","N/A",IFERROR(ABS(Table1[[#This Row],[Tol Span]]/Table1[[#This Row],[Error Span]]),"N/A"))</f>
        <v>N/A</v>
      </c>
      <c r="T1768" s="1" t="str">
        <f>IF(OR(Table1[[#This Row],[Low Tol]]="",Table1[[#This Row],[High Tol]]=""),"Needs Analysis",IF(Table1[[#This Row],[Ratio]]&gt;=4,"Not Significant",IF(Table1[[#This Row],[Ratio]]&gt;=2,"Semi-Significant","Significant")))</f>
        <v>Needs Analysis</v>
      </c>
      <c r="W1768" s="1">
        <f>IF(Table1[[#This Row],[Cal Type]]&lt;&gt;"ACCREDITED 17025 WITH UNCERTAINTIES",0,"")</f>
        <v>0</v>
      </c>
      <c r="X1768" s="1" t="str">
        <f>IF(Table1[[#This Row],[DUT Read]]="","N/A",Table1[[#This Row],[Std Error]]+Table1[[#This Row],[DUT Read]]+Table1[[#This Row],[DUT Ucty]])</f>
        <v>N/A</v>
      </c>
      <c r="Y1768" s="1" t="str">
        <f>IF(Table1[[#This Row],[Std Read]]="","N/A",Table1[[#This Row],[Std Read]]+Table1[[#This Row],[Std Ucty]])</f>
        <v>N/A</v>
      </c>
      <c r="Z17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8" s="1" t="str">
        <f>IF(Table1[[#This Row],[Spec Type]]="","N/A",Table1[[#This Row],[Spec Type]])</f>
        <v>±</v>
      </c>
      <c r="AC1768" s="1" t="str">
        <f>IF(Table1[[#This Row],[Spec Type2]]="N/A","N/A",IF(AND(Table1[[#This Row],[DUT Adj Read]]&gt;=Table1[[#This Row],[Low Tol]],Table1[[#This Row],[DUT Adj Read]]&lt;=Table1[[#This Row],[High Tol]]),"Pass","Fail"))</f>
        <v>Fail</v>
      </c>
      <c r="AD1768" s="1" t="str">
        <f>IF(AND(Table1[[#This Row],[Spec Type2]]="N/A",Table1[[#This Row],[DUT Adj Read]]="N/A",Table1[[#This Row],[Std Adj Read]]="N/A"),"N/A",IF(Table1[[#This Row],[DUT Adj Read]]="N/A",IF(Table1[[#This Row],[Std Adj Read]]&gt;Table1[[#This Row],[Low Tol]],"Pass","Fail"),IF(Table1[[#This Row],[DUT Adj Read]]&gt;Table1[[#This Row],[Low Tol]],"Pass","Fail")))</f>
        <v>Pass</v>
      </c>
      <c r="AE1768" s="1" t="str">
        <f>IF(AND(Table1[[#This Row],[Spec Type2]]="N/A",Table1[[#This Row],[DUT Adj Read]]="N/A",Table1[[#This Row],[Std Adj Read]]="N/A"),"N/A",IF(Table1[[#This Row],[DUT Adj Read]]="N/A",IF(Table1[[#This Row],[Std Adj Read]]&lt;Table1[[#This Row],[High Tol]],"Pass","Fail"),IF(Table1[[#This Row],[DUT Adj Read]]&lt;Table1[[#This Row],[High Tol]],"Pass","Fail")))</f>
        <v>Fail</v>
      </c>
      <c r="AF1768" s="1" t="str">
        <f>IF(AND(Table1[[#This Row],[Spec Type2]]="N/A",Table1[[#This Row],[DUT Adj Read]]="N/A",Table1[[#This Row],[Std Adj Read]]="N/A"),"N/A",IF(Table1[[#This Row],[DUT Adj Read]]="N/A",IF(Table1[[#This Row],[Std Adj Read]]&gt;=Table1[[#This Row],[Low Tol]],"Pass","Fail"),IF(Table1[[#This Row],[DUT Adj Read]]&gt;=Table1[[#This Row],[Low Tol]],"Pass","Fail")))</f>
        <v>Pass</v>
      </c>
      <c r="AG1768" s="1" t="str">
        <f>IF(AND(Table1[[#This Row],[Spec Type2]]="N/A",Table1[[#This Row],[DUT Adj Read]]="N/A",Table1[[#This Row],[Std Adj Read]]="N/A"),"N/A",IF(Table1[[#This Row],[DUT Adj Read]]="N/A",IF(Table1[[#This Row],[Std Adj Read]]&lt;=Table1[[#This Row],[High Tol]],"Pass","Fail"),IF(Table1[[#This Row],[DUT Adj Read]]&lt;=Table1[[#This Row],[High Tol]],"Pass","Fail")))</f>
        <v>Fail</v>
      </c>
      <c r="AH17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8" s="1" t="b">
        <v>0</v>
      </c>
      <c r="AN1768" s="1" t="b">
        <v>0</v>
      </c>
      <c r="AO1768" s="1" t="b">
        <v>0</v>
      </c>
    </row>
    <row r="1769" spans="1:41" x14ac:dyDescent="0.25">
      <c r="A1769" s="10"/>
      <c r="B1769" s="10"/>
      <c r="C1769" s="10"/>
      <c r="D1769" s="10"/>
      <c r="E1769" s="10"/>
      <c r="F1769" s="10"/>
      <c r="G1769" s="10"/>
      <c r="H1769" s="10"/>
      <c r="I1769" s="1" t="str">
        <f t="shared" si="81"/>
        <v/>
      </c>
      <c r="J1769" s="1" t="s">
        <v>35</v>
      </c>
      <c r="K1769" s="1" t="str">
        <f t="shared" si="82"/>
        <v/>
      </c>
      <c r="L1769" s="1" t="str">
        <f t="shared" si="83"/>
        <v/>
      </c>
      <c r="M1769" s="1">
        <f>IF(OR(Table1[[#This Row],[Std Nom]]="",Table1[[#This Row],[Std Read]]=""),0,Table1[[#This Row],[Std Nom]]-Table1[[#This Row],[Std Read]])</f>
        <v>0</v>
      </c>
      <c r="N1769" s="1">
        <f>IF(Calculations!$F$5="ACCREDITED 17025 WITH UNCERTAINTIES",$N$10,0)</f>
        <v>0</v>
      </c>
      <c r="O1769" s="1" t="str">
        <f>IFERROR(Table1[[#This Row],[Std Nom]]-(_xlfn.XLOOKUP(Table1[[#This Row],[Manufacturer]]&amp;" "&amp;Table1[[#This Row],[Model]],Table13[MFR &amp; MDL],Table13[Tolerance % CW ],"")/100*Table1[[#This Row],[Std Nom]]),"")</f>
        <v/>
      </c>
      <c r="P1769" s="1" t="str">
        <f>IFERROR(Table1[[#This Row],[Std Nom]]+(_xlfn.XLOOKUP(Table1[[#This Row],[Manufacturer]]&amp;" "&amp;Table1[[#This Row],[Model]],Table13[MFR &amp; MDL],Table13[Tolerance % CW ],"")/100*Table1[[#This Row],[Std Nom]]),"")</f>
        <v/>
      </c>
      <c r="Q1769" s="1" t="e">
        <f>Table1[[#This Row],[High Tol]]-Table1[[#This Row],[Low Tol]]</f>
        <v>#VALUE!</v>
      </c>
      <c r="R1769" s="1">
        <f>2*Table1[[#This Row],[Std Error]]</f>
        <v>0</v>
      </c>
      <c r="S1769" s="1" t="str">
        <f>IF(Table1[[#This Row],[High Tol]]="","N/A",IFERROR(ABS(Table1[[#This Row],[Tol Span]]/Table1[[#This Row],[Error Span]]),"N/A"))</f>
        <v>N/A</v>
      </c>
      <c r="T1769" s="1" t="str">
        <f>IF(OR(Table1[[#This Row],[Low Tol]]="",Table1[[#This Row],[High Tol]]=""),"Needs Analysis",IF(Table1[[#This Row],[Ratio]]&gt;=4,"Not Significant",IF(Table1[[#This Row],[Ratio]]&gt;=2,"Semi-Significant","Significant")))</f>
        <v>Needs Analysis</v>
      </c>
      <c r="W1769" s="1">
        <f>IF(Table1[[#This Row],[Cal Type]]&lt;&gt;"ACCREDITED 17025 WITH UNCERTAINTIES",0,"")</f>
        <v>0</v>
      </c>
      <c r="X1769" s="1" t="str">
        <f>IF(Table1[[#This Row],[DUT Read]]="","N/A",Table1[[#This Row],[Std Error]]+Table1[[#This Row],[DUT Read]]+Table1[[#This Row],[DUT Ucty]])</f>
        <v>N/A</v>
      </c>
      <c r="Y1769" s="1" t="str">
        <f>IF(Table1[[#This Row],[Std Read]]="","N/A",Table1[[#This Row],[Std Read]]+Table1[[#This Row],[Std Ucty]])</f>
        <v>N/A</v>
      </c>
      <c r="Z17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9" s="1" t="str">
        <f>IF(Table1[[#This Row],[Spec Type]]="","N/A",Table1[[#This Row],[Spec Type]])</f>
        <v>±</v>
      </c>
      <c r="AC1769" s="1" t="str">
        <f>IF(Table1[[#This Row],[Spec Type2]]="N/A","N/A",IF(AND(Table1[[#This Row],[DUT Adj Read]]&gt;=Table1[[#This Row],[Low Tol]],Table1[[#This Row],[DUT Adj Read]]&lt;=Table1[[#This Row],[High Tol]]),"Pass","Fail"))</f>
        <v>Fail</v>
      </c>
      <c r="AD1769" s="1" t="str">
        <f>IF(AND(Table1[[#This Row],[Spec Type2]]="N/A",Table1[[#This Row],[DUT Adj Read]]="N/A",Table1[[#This Row],[Std Adj Read]]="N/A"),"N/A",IF(Table1[[#This Row],[DUT Adj Read]]="N/A",IF(Table1[[#This Row],[Std Adj Read]]&gt;Table1[[#This Row],[Low Tol]],"Pass","Fail"),IF(Table1[[#This Row],[DUT Adj Read]]&gt;Table1[[#This Row],[Low Tol]],"Pass","Fail")))</f>
        <v>Pass</v>
      </c>
      <c r="AE1769" s="1" t="str">
        <f>IF(AND(Table1[[#This Row],[Spec Type2]]="N/A",Table1[[#This Row],[DUT Adj Read]]="N/A",Table1[[#This Row],[Std Adj Read]]="N/A"),"N/A",IF(Table1[[#This Row],[DUT Adj Read]]="N/A",IF(Table1[[#This Row],[Std Adj Read]]&lt;Table1[[#This Row],[High Tol]],"Pass","Fail"),IF(Table1[[#This Row],[DUT Adj Read]]&lt;Table1[[#This Row],[High Tol]],"Pass","Fail")))</f>
        <v>Fail</v>
      </c>
      <c r="AF1769" s="1" t="str">
        <f>IF(AND(Table1[[#This Row],[Spec Type2]]="N/A",Table1[[#This Row],[DUT Adj Read]]="N/A",Table1[[#This Row],[Std Adj Read]]="N/A"),"N/A",IF(Table1[[#This Row],[DUT Adj Read]]="N/A",IF(Table1[[#This Row],[Std Adj Read]]&gt;=Table1[[#This Row],[Low Tol]],"Pass","Fail"),IF(Table1[[#This Row],[DUT Adj Read]]&gt;=Table1[[#This Row],[Low Tol]],"Pass","Fail")))</f>
        <v>Pass</v>
      </c>
      <c r="AG1769" s="1" t="str">
        <f>IF(AND(Table1[[#This Row],[Spec Type2]]="N/A",Table1[[#This Row],[DUT Adj Read]]="N/A",Table1[[#This Row],[Std Adj Read]]="N/A"),"N/A",IF(Table1[[#This Row],[DUT Adj Read]]="N/A",IF(Table1[[#This Row],[Std Adj Read]]&lt;=Table1[[#This Row],[High Tol]],"Pass","Fail"),IF(Table1[[#This Row],[DUT Adj Read]]&lt;=Table1[[#This Row],[High Tol]],"Pass","Fail")))</f>
        <v>Fail</v>
      </c>
      <c r="AH17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9" s="1" t="b">
        <v>0</v>
      </c>
      <c r="AN1769" s="1" t="b">
        <v>0</v>
      </c>
      <c r="AO1769" s="1" t="b">
        <v>0</v>
      </c>
    </row>
    <row r="1770" spans="1:41" x14ac:dyDescent="0.25">
      <c r="A1770" s="10"/>
      <c r="B1770" s="10"/>
      <c r="C1770" s="10"/>
      <c r="D1770" s="10"/>
      <c r="E1770" s="10"/>
      <c r="F1770" s="10"/>
      <c r="G1770" s="10"/>
      <c r="H1770" s="10"/>
      <c r="I1770" s="1" t="str">
        <f t="shared" si="81"/>
        <v/>
      </c>
      <c r="J1770" s="1" t="s">
        <v>35</v>
      </c>
      <c r="K1770" s="1" t="str">
        <f t="shared" si="82"/>
        <v/>
      </c>
      <c r="L1770" s="1" t="str">
        <f t="shared" si="83"/>
        <v/>
      </c>
      <c r="M1770" s="1">
        <f>IF(OR(Table1[[#This Row],[Std Nom]]="",Table1[[#This Row],[Std Read]]=""),0,Table1[[#This Row],[Std Nom]]-Table1[[#This Row],[Std Read]])</f>
        <v>0</v>
      </c>
      <c r="N1770" s="1">
        <f>IF(Calculations!$F$5="ACCREDITED 17025 WITH UNCERTAINTIES",$N$10,0)</f>
        <v>0</v>
      </c>
      <c r="O1770" s="1" t="str">
        <f>IFERROR(Table1[[#This Row],[Std Nom]]-(_xlfn.XLOOKUP(Table1[[#This Row],[Manufacturer]]&amp;" "&amp;Table1[[#This Row],[Model]],Table13[MFR &amp; MDL],Table13[Tolerance % CW ],"")/100*Table1[[#This Row],[Std Nom]]),"")</f>
        <v/>
      </c>
      <c r="P1770" s="1" t="str">
        <f>IFERROR(Table1[[#This Row],[Std Nom]]+(_xlfn.XLOOKUP(Table1[[#This Row],[Manufacturer]]&amp;" "&amp;Table1[[#This Row],[Model]],Table13[MFR &amp; MDL],Table13[Tolerance % CW ],"")/100*Table1[[#This Row],[Std Nom]]),"")</f>
        <v/>
      </c>
      <c r="Q1770" s="1" t="e">
        <f>Table1[[#This Row],[High Tol]]-Table1[[#This Row],[Low Tol]]</f>
        <v>#VALUE!</v>
      </c>
      <c r="R1770" s="1">
        <f>2*Table1[[#This Row],[Std Error]]</f>
        <v>0</v>
      </c>
      <c r="S1770" s="1" t="str">
        <f>IF(Table1[[#This Row],[High Tol]]="","N/A",IFERROR(ABS(Table1[[#This Row],[Tol Span]]/Table1[[#This Row],[Error Span]]),"N/A"))</f>
        <v>N/A</v>
      </c>
      <c r="T1770" s="1" t="str">
        <f>IF(OR(Table1[[#This Row],[Low Tol]]="",Table1[[#This Row],[High Tol]]=""),"Needs Analysis",IF(Table1[[#This Row],[Ratio]]&gt;=4,"Not Significant",IF(Table1[[#This Row],[Ratio]]&gt;=2,"Semi-Significant","Significant")))</f>
        <v>Needs Analysis</v>
      </c>
      <c r="W1770" s="1">
        <f>IF(Table1[[#This Row],[Cal Type]]&lt;&gt;"ACCREDITED 17025 WITH UNCERTAINTIES",0,"")</f>
        <v>0</v>
      </c>
      <c r="X1770" s="1" t="str">
        <f>IF(Table1[[#This Row],[DUT Read]]="","N/A",Table1[[#This Row],[Std Error]]+Table1[[#This Row],[DUT Read]]+Table1[[#This Row],[DUT Ucty]])</f>
        <v>N/A</v>
      </c>
      <c r="Y1770" s="1" t="str">
        <f>IF(Table1[[#This Row],[Std Read]]="","N/A",Table1[[#This Row],[Std Read]]+Table1[[#This Row],[Std Ucty]])</f>
        <v>N/A</v>
      </c>
      <c r="Z17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0" s="1" t="str">
        <f>IF(Table1[[#This Row],[Spec Type]]="","N/A",Table1[[#This Row],[Spec Type]])</f>
        <v>±</v>
      </c>
      <c r="AC1770" s="1" t="str">
        <f>IF(Table1[[#This Row],[Spec Type2]]="N/A","N/A",IF(AND(Table1[[#This Row],[DUT Adj Read]]&gt;=Table1[[#This Row],[Low Tol]],Table1[[#This Row],[DUT Adj Read]]&lt;=Table1[[#This Row],[High Tol]]),"Pass","Fail"))</f>
        <v>Fail</v>
      </c>
      <c r="AD1770" s="1" t="str">
        <f>IF(AND(Table1[[#This Row],[Spec Type2]]="N/A",Table1[[#This Row],[DUT Adj Read]]="N/A",Table1[[#This Row],[Std Adj Read]]="N/A"),"N/A",IF(Table1[[#This Row],[DUT Adj Read]]="N/A",IF(Table1[[#This Row],[Std Adj Read]]&gt;Table1[[#This Row],[Low Tol]],"Pass","Fail"),IF(Table1[[#This Row],[DUT Adj Read]]&gt;Table1[[#This Row],[Low Tol]],"Pass","Fail")))</f>
        <v>Pass</v>
      </c>
      <c r="AE1770" s="1" t="str">
        <f>IF(AND(Table1[[#This Row],[Spec Type2]]="N/A",Table1[[#This Row],[DUT Adj Read]]="N/A",Table1[[#This Row],[Std Adj Read]]="N/A"),"N/A",IF(Table1[[#This Row],[DUT Adj Read]]="N/A",IF(Table1[[#This Row],[Std Adj Read]]&lt;Table1[[#This Row],[High Tol]],"Pass","Fail"),IF(Table1[[#This Row],[DUT Adj Read]]&lt;Table1[[#This Row],[High Tol]],"Pass","Fail")))</f>
        <v>Fail</v>
      </c>
      <c r="AF1770" s="1" t="str">
        <f>IF(AND(Table1[[#This Row],[Spec Type2]]="N/A",Table1[[#This Row],[DUT Adj Read]]="N/A",Table1[[#This Row],[Std Adj Read]]="N/A"),"N/A",IF(Table1[[#This Row],[DUT Adj Read]]="N/A",IF(Table1[[#This Row],[Std Adj Read]]&gt;=Table1[[#This Row],[Low Tol]],"Pass","Fail"),IF(Table1[[#This Row],[DUT Adj Read]]&gt;=Table1[[#This Row],[Low Tol]],"Pass","Fail")))</f>
        <v>Pass</v>
      </c>
      <c r="AG1770" s="1" t="str">
        <f>IF(AND(Table1[[#This Row],[Spec Type2]]="N/A",Table1[[#This Row],[DUT Adj Read]]="N/A",Table1[[#This Row],[Std Adj Read]]="N/A"),"N/A",IF(Table1[[#This Row],[DUT Adj Read]]="N/A",IF(Table1[[#This Row],[Std Adj Read]]&lt;=Table1[[#This Row],[High Tol]],"Pass","Fail"),IF(Table1[[#This Row],[DUT Adj Read]]&lt;=Table1[[#This Row],[High Tol]],"Pass","Fail")))</f>
        <v>Fail</v>
      </c>
      <c r="AH17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0" s="1" t="b">
        <v>0</v>
      </c>
      <c r="AN1770" s="1" t="b">
        <v>0</v>
      </c>
      <c r="AO1770" s="1" t="b">
        <v>0</v>
      </c>
    </row>
    <row r="1771" spans="1:41" x14ac:dyDescent="0.25">
      <c r="A1771" s="10"/>
      <c r="B1771" s="10"/>
      <c r="C1771" s="10"/>
      <c r="D1771" s="10"/>
      <c r="E1771" s="10"/>
      <c r="F1771" s="10"/>
      <c r="G1771" s="10"/>
      <c r="H1771" s="10"/>
      <c r="I1771" s="1" t="str">
        <f t="shared" si="81"/>
        <v/>
      </c>
      <c r="J1771" s="1" t="s">
        <v>35</v>
      </c>
      <c r="K1771" s="1" t="str">
        <f t="shared" si="82"/>
        <v/>
      </c>
      <c r="L1771" s="1" t="str">
        <f t="shared" si="83"/>
        <v/>
      </c>
      <c r="M1771" s="1">
        <f>IF(OR(Table1[[#This Row],[Std Nom]]="",Table1[[#This Row],[Std Read]]=""),0,Table1[[#This Row],[Std Nom]]-Table1[[#This Row],[Std Read]])</f>
        <v>0</v>
      </c>
      <c r="N1771" s="1">
        <f>IF(Calculations!$F$5="ACCREDITED 17025 WITH UNCERTAINTIES",$N$10,0)</f>
        <v>0</v>
      </c>
      <c r="O1771" s="1" t="str">
        <f>IFERROR(Table1[[#This Row],[Std Nom]]-(_xlfn.XLOOKUP(Table1[[#This Row],[Manufacturer]]&amp;" "&amp;Table1[[#This Row],[Model]],Table13[MFR &amp; MDL],Table13[Tolerance % CW ],"")/100*Table1[[#This Row],[Std Nom]]),"")</f>
        <v/>
      </c>
      <c r="P1771" s="1" t="str">
        <f>IFERROR(Table1[[#This Row],[Std Nom]]+(_xlfn.XLOOKUP(Table1[[#This Row],[Manufacturer]]&amp;" "&amp;Table1[[#This Row],[Model]],Table13[MFR &amp; MDL],Table13[Tolerance % CW ],"")/100*Table1[[#This Row],[Std Nom]]),"")</f>
        <v/>
      </c>
      <c r="Q1771" s="1" t="e">
        <f>Table1[[#This Row],[High Tol]]-Table1[[#This Row],[Low Tol]]</f>
        <v>#VALUE!</v>
      </c>
      <c r="R1771" s="1">
        <f>2*Table1[[#This Row],[Std Error]]</f>
        <v>0</v>
      </c>
      <c r="S1771" s="1" t="str">
        <f>IF(Table1[[#This Row],[High Tol]]="","N/A",IFERROR(ABS(Table1[[#This Row],[Tol Span]]/Table1[[#This Row],[Error Span]]),"N/A"))</f>
        <v>N/A</v>
      </c>
      <c r="T1771" s="1" t="str">
        <f>IF(OR(Table1[[#This Row],[Low Tol]]="",Table1[[#This Row],[High Tol]]=""),"Needs Analysis",IF(Table1[[#This Row],[Ratio]]&gt;=4,"Not Significant",IF(Table1[[#This Row],[Ratio]]&gt;=2,"Semi-Significant","Significant")))</f>
        <v>Needs Analysis</v>
      </c>
      <c r="W1771" s="1">
        <f>IF(Table1[[#This Row],[Cal Type]]&lt;&gt;"ACCREDITED 17025 WITH UNCERTAINTIES",0,"")</f>
        <v>0</v>
      </c>
      <c r="X1771" s="1" t="str">
        <f>IF(Table1[[#This Row],[DUT Read]]="","N/A",Table1[[#This Row],[Std Error]]+Table1[[#This Row],[DUT Read]]+Table1[[#This Row],[DUT Ucty]])</f>
        <v>N/A</v>
      </c>
      <c r="Y1771" s="1" t="str">
        <f>IF(Table1[[#This Row],[Std Read]]="","N/A",Table1[[#This Row],[Std Read]]+Table1[[#This Row],[Std Ucty]])</f>
        <v>N/A</v>
      </c>
      <c r="Z17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1" s="1" t="str">
        <f>IF(Table1[[#This Row],[Spec Type]]="","N/A",Table1[[#This Row],[Spec Type]])</f>
        <v>±</v>
      </c>
      <c r="AC1771" s="1" t="str">
        <f>IF(Table1[[#This Row],[Spec Type2]]="N/A","N/A",IF(AND(Table1[[#This Row],[DUT Adj Read]]&gt;=Table1[[#This Row],[Low Tol]],Table1[[#This Row],[DUT Adj Read]]&lt;=Table1[[#This Row],[High Tol]]),"Pass","Fail"))</f>
        <v>Fail</v>
      </c>
      <c r="AD1771" s="1" t="str">
        <f>IF(AND(Table1[[#This Row],[Spec Type2]]="N/A",Table1[[#This Row],[DUT Adj Read]]="N/A",Table1[[#This Row],[Std Adj Read]]="N/A"),"N/A",IF(Table1[[#This Row],[DUT Adj Read]]="N/A",IF(Table1[[#This Row],[Std Adj Read]]&gt;Table1[[#This Row],[Low Tol]],"Pass","Fail"),IF(Table1[[#This Row],[DUT Adj Read]]&gt;Table1[[#This Row],[Low Tol]],"Pass","Fail")))</f>
        <v>Pass</v>
      </c>
      <c r="AE1771" s="1" t="str">
        <f>IF(AND(Table1[[#This Row],[Spec Type2]]="N/A",Table1[[#This Row],[DUT Adj Read]]="N/A",Table1[[#This Row],[Std Adj Read]]="N/A"),"N/A",IF(Table1[[#This Row],[DUT Adj Read]]="N/A",IF(Table1[[#This Row],[Std Adj Read]]&lt;Table1[[#This Row],[High Tol]],"Pass","Fail"),IF(Table1[[#This Row],[DUT Adj Read]]&lt;Table1[[#This Row],[High Tol]],"Pass","Fail")))</f>
        <v>Fail</v>
      </c>
      <c r="AF1771" s="1" t="str">
        <f>IF(AND(Table1[[#This Row],[Spec Type2]]="N/A",Table1[[#This Row],[DUT Adj Read]]="N/A",Table1[[#This Row],[Std Adj Read]]="N/A"),"N/A",IF(Table1[[#This Row],[DUT Adj Read]]="N/A",IF(Table1[[#This Row],[Std Adj Read]]&gt;=Table1[[#This Row],[Low Tol]],"Pass","Fail"),IF(Table1[[#This Row],[DUT Adj Read]]&gt;=Table1[[#This Row],[Low Tol]],"Pass","Fail")))</f>
        <v>Pass</v>
      </c>
      <c r="AG1771" s="1" t="str">
        <f>IF(AND(Table1[[#This Row],[Spec Type2]]="N/A",Table1[[#This Row],[DUT Adj Read]]="N/A",Table1[[#This Row],[Std Adj Read]]="N/A"),"N/A",IF(Table1[[#This Row],[DUT Adj Read]]="N/A",IF(Table1[[#This Row],[Std Adj Read]]&lt;=Table1[[#This Row],[High Tol]],"Pass","Fail"),IF(Table1[[#This Row],[DUT Adj Read]]&lt;=Table1[[#This Row],[High Tol]],"Pass","Fail")))</f>
        <v>Fail</v>
      </c>
      <c r="AH17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1" s="1" t="b">
        <v>0</v>
      </c>
      <c r="AN1771" s="1" t="b">
        <v>0</v>
      </c>
      <c r="AO1771" s="1" t="b">
        <v>0</v>
      </c>
    </row>
    <row r="1772" spans="1:41" x14ac:dyDescent="0.25">
      <c r="A1772" s="10"/>
      <c r="B1772" s="10"/>
      <c r="C1772" s="10"/>
      <c r="D1772" s="10"/>
      <c r="E1772" s="10"/>
      <c r="F1772" s="10"/>
      <c r="G1772" s="10"/>
      <c r="H1772" s="10"/>
      <c r="I1772" s="1" t="str">
        <f t="shared" si="81"/>
        <v/>
      </c>
      <c r="J1772" s="1" t="s">
        <v>35</v>
      </c>
      <c r="K1772" s="1" t="str">
        <f t="shared" si="82"/>
        <v/>
      </c>
      <c r="L1772" s="1" t="str">
        <f t="shared" si="83"/>
        <v/>
      </c>
      <c r="M1772" s="1">
        <f>IF(OR(Table1[[#This Row],[Std Nom]]="",Table1[[#This Row],[Std Read]]=""),0,Table1[[#This Row],[Std Nom]]-Table1[[#This Row],[Std Read]])</f>
        <v>0</v>
      </c>
      <c r="N1772" s="1">
        <f>IF(Calculations!$F$5="ACCREDITED 17025 WITH UNCERTAINTIES",$N$10,0)</f>
        <v>0</v>
      </c>
      <c r="O1772" s="1" t="str">
        <f>IFERROR(Table1[[#This Row],[Std Nom]]-(_xlfn.XLOOKUP(Table1[[#This Row],[Manufacturer]]&amp;" "&amp;Table1[[#This Row],[Model]],Table13[MFR &amp; MDL],Table13[Tolerance % CW ],"")/100*Table1[[#This Row],[Std Nom]]),"")</f>
        <v/>
      </c>
      <c r="P1772" s="1" t="str">
        <f>IFERROR(Table1[[#This Row],[Std Nom]]+(_xlfn.XLOOKUP(Table1[[#This Row],[Manufacturer]]&amp;" "&amp;Table1[[#This Row],[Model]],Table13[MFR &amp; MDL],Table13[Tolerance % CW ],"")/100*Table1[[#This Row],[Std Nom]]),"")</f>
        <v/>
      </c>
      <c r="Q1772" s="1" t="e">
        <f>Table1[[#This Row],[High Tol]]-Table1[[#This Row],[Low Tol]]</f>
        <v>#VALUE!</v>
      </c>
      <c r="R1772" s="1">
        <f>2*Table1[[#This Row],[Std Error]]</f>
        <v>0</v>
      </c>
      <c r="S1772" s="1" t="str">
        <f>IF(Table1[[#This Row],[High Tol]]="","N/A",IFERROR(ABS(Table1[[#This Row],[Tol Span]]/Table1[[#This Row],[Error Span]]),"N/A"))</f>
        <v>N/A</v>
      </c>
      <c r="T1772" s="1" t="str">
        <f>IF(OR(Table1[[#This Row],[Low Tol]]="",Table1[[#This Row],[High Tol]]=""),"Needs Analysis",IF(Table1[[#This Row],[Ratio]]&gt;=4,"Not Significant",IF(Table1[[#This Row],[Ratio]]&gt;=2,"Semi-Significant","Significant")))</f>
        <v>Needs Analysis</v>
      </c>
      <c r="W1772" s="1">
        <f>IF(Table1[[#This Row],[Cal Type]]&lt;&gt;"ACCREDITED 17025 WITH UNCERTAINTIES",0,"")</f>
        <v>0</v>
      </c>
      <c r="X1772" s="1" t="str">
        <f>IF(Table1[[#This Row],[DUT Read]]="","N/A",Table1[[#This Row],[Std Error]]+Table1[[#This Row],[DUT Read]]+Table1[[#This Row],[DUT Ucty]])</f>
        <v>N/A</v>
      </c>
      <c r="Y1772" s="1" t="str">
        <f>IF(Table1[[#This Row],[Std Read]]="","N/A",Table1[[#This Row],[Std Read]]+Table1[[#This Row],[Std Ucty]])</f>
        <v>N/A</v>
      </c>
      <c r="Z17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2" s="1" t="str">
        <f>IF(Table1[[#This Row],[Spec Type]]="","N/A",Table1[[#This Row],[Spec Type]])</f>
        <v>±</v>
      </c>
      <c r="AC1772" s="1" t="str">
        <f>IF(Table1[[#This Row],[Spec Type2]]="N/A","N/A",IF(AND(Table1[[#This Row],[DUT Adj Read]]&gt;=Table1[[#This Row],[Low Tol]],Table1[[#This Row],[DUT Adj Read]]&lt;=Table1[[#This Row],[High Tol]]),"Pass","Fail"))</f>
        <v>Fail</v>
      </c>
      <c r="AD1772" s="1" t="str">
        <f>IF(AND(Table1[[#This Row],[Spec Type2]]="N/A",Table1[[#This Row],[DUT Adj Read]]="N/A",Table1[[#This Row],[Std Adj Read]]="N/A"),"N/A",IF(Table1[[#This Row],[DUT Adj Read]]="N/A",IF(Table1[[#This Row],[Std Adj Read]]&gt;Table1[[#This Row],[Low Tol]],"Pass","Fail"),IF(Table1[[#This Row],[DUT Adj Read]]&gt;Table1[[#This Row],[Low Tol]],"Pass","Fail")))</f>
        <v>Pass</v>
      </c>
      <c r="AE1772" s="1" t="str">
        <f>IF(AND(Table1[[#This Row],[Spec Type2]]="N/A",Table1[[#This Row],[DUT Adj Read]]="N/A",Table1[[#This Row],[Std Adj Read]]="N/A"),"N/A",IF(Table1[[#This Row],[DUT Adj Read]]="N/A",IF(Table1[[#This Row],[Std Adj Read]]&lt;Table1[[#This Row],[High Tol]],"Pass","Fail"),IF(Table1[[#This Row],[DUT Adj Read]]&lt;Table1[[#This Row],[High Tol]],"Pass","Fail")))</f>
        <v>Fail</v>
      </c>
      <c r="AF1772" s="1" t="str">
        <f>IF(AND(Table1[[#This Row],[Spec Type2]]="N/A",Table1[[#This Row],[DUT Adj Read]]="N/A",Table1[[#This Row],[Std Adj Read]]="N/A"),"N/A",IF(Table1[[#This Row],[DUT Adj Read]]="N/A",IF(Table1[[#This Row],[Std Adj Read]]&gt;=Table1[[#This Row],[Low Tol]],"Pass","Fail"),IF(Table1[[#This Row],[DUT Adj Read]]&gt;=Table1[[#This Row],[Low Tol]],"Pass","Fail")))</f>
        <v>Pass</v>
      </c>
      <c r="AG1772" s="1" t="str">
        <f>IF(AND(Table1[[#This Row],[Spec Type2]]="N/A",Table1[[#This Row],[DUT Adj Read]]="N/A",Table1[[#This Row],[Std Adj Read]]="N/A"),"N/A",IF(Table1[[#This Row],[DUT Adj Read]]="N/A",IF(Table1[[#This Row],[Std Adj Read]]&lt;=Table1[[#This Row],[High Tol]],"Pass","Fail"),IF(Table1[[#This Row],[DUT Adj Read]]&lt;=Table1[[#This Row],[High Tol]],"Pass","Fail")))</f>
        <v>Fail</v>
      </c>
      <c r="AH17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2" s="1" t="b">
        <v>0</v>
      </c>
      <c r="AN1772" s="1" t="b">
        <v>0</v>
      </c>
      <c r="AO1772" s="1" t="b">
        <v>0</v>
      </c>
    </row>
    <row r="1773" spans="1:41" x14ac:dyDescent="0.25">
      <c r="A1773" s="10"/>
      <c r="B1773" s="10"/>
      <c r="C1773" s="10"/>
      <c r="D1773" s="10"/>
      <c r="E1773" s="10"/>
      <c r="F1773" s="10"/>
      <c r="G1773" s="10"/>
      <c r="H1773" s="10"/>
      <c r="I1773" s="1" t="str">
        <f t="shared" si="81"/>
        <v/>
      </c>
      <c r="J1773" s="1" t="s">
        <v>35</v>
      </c>
      <c r="K1773" s="1" t="str">
        <f t="shared" si="82"/>
        <v/>
      </c>
      <c r="L1773" s="1" t="str">
        <f t="shared" si="83"/>
        <v/>
      </c>
      <c r="M1773" s="1">
        <f>IF(OR(Table1[[#This Row],[Std Nom]]="",Table1[[#This Row],[Std Read]]=""),0,Table1[[#This Row],[Std Nom]]-Table1[[#This Row],[Std Read]])</f>
        <v>0</v>
      </c>
      <c r="N1773" s="1">
        <f>IF(Calculations!$F$5="ACCREDITED 17025 WITH UNCERTAINTIES",$N$10,0)</f>
        <v>0</v>
      </c>
      <c r="O1773" s="1" t="str">
        <f>IFERROR(Table1[[#This Row],[Std Nom]]-(_xlfn.XLOOKUP(Table1[[#This Row],[Manufacturer]]&amp;" "&amp;Table1[[#This Row],[Model]],Table13[MFR &amp; MDL],Table13[Tolerance % CW ],"")/100*Table1[[#This Row],[Std Nom]]),"")</f>
        <v/>
      </c>
      <c r="P1773" s="1" t="str">
        <f>IFERROR(Table1[[#This Row],[Std Nom]]+(_xlfn.XLOOKUP(Table1[[#This Row],[Manufacturer]]&amp;" "&amp;Table1[[#This Row],[Model]],Table13[MFR &amp; MDL],Table13[Tolerance % CW ],"")/100*Table1[[#This Row],[Std Nom]]),"")</f>
        <v/>
      </c>
      <c r="Q1773" s="1" t="e">
        <f>Table1[[#This Row],[High Tol]]-Table1[[#This Row],[Low Tol]]</f>
        <v>#VALUE!</v>
      </c>
      <c r="R1773" s="1">
        <f>2*Table1[[#This Row],[Std Error]]</f>
        <v>0</v>
      </c>
      <c r="S1773" s="1" t="str">
        <f>IF(Table1[[#This Row],[High Tol]]="","N/A",IFERROR(ABS(Table1[[#This Row],[Tol Span]]/Table1[[#This Row],[Error Span]]),"N/A"))</f>
        <v>N/A</v>
      </c>
      <c r="T1773" s="1" t="str">
        <f>IF(OR(Table1[[#This Row],[Low Tol]]="",Table1[[#This Row],[High Tol]]=""),"Needs Analysis",IF(Table1[[#This Row],[Ratio]]&gt;=4,"Not Significant",IF(Table1[[#This Row],[Ratio]]&gt;=2,"Semi-Significant","Significant")))</f>
        <v>Needs Analysis</v>
      </c>
      <c r="W1773" s="1">
        <f>IF(Table1[[#This Row],[Cal Type]]&lt;&gt;"ACCREDITED 17025 WITH UNCERTAINTIES",0,"")</f>
        <v>0</v>
      </c>
      <c r="X1773" s="1" t="str">
        <f>IF(Table1[[#This Row],[DUT Read]]="","N/A",Table1[[#This Row],[Std Error]]+Table1[[#This Row],[DUT Read]]+Table1[[#This Row],[DUT Ucty]])</f>
        <v>N/A</v>
      </c>
      <c r="Y1773" s="1" t="str">
        <f>IF(Table1[[#This Row],[Std Read]]="","N/A",Table1[[#This Row],[Std Read]]+Table1[[#This Row],[Std Ucty]])</f>
        <v>N/A</v>
      </c>
      <c r="Z17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3" s="1" t="str">
        <f>IF(Table1[[#This Row],[Spec Type]]="","N/A",Table1[[#This Row],[Spec Type]])</f>
        <v>±</v>
      </c>
      <c r="AC1773" s="1" t="str">
        <f>IF(Table1[[#This Row],[Spec Type2]]="N/A","N/A",IF(AND(Table1[[#This Row],[DUT Adj Read]]&gt;=Table1[[#This Row],[Low Tol]],Table1[[#This Row],[DUT Adj Read]]&lt;=Table1[[#This Row],[High Tol]]),"Pass","Fail"))</f>
        <v>Fail</v>
      </c>
      <c r="AD1773" s="1" t="str">
        <f>IF(AND(Table1[[#This Row],[Spec Type2]]="N/A",Table1[[#This Row],[DUT Adj Read]]="N/A",Table1[[#This Row],[Std Adj Read]]="N/A"),"N/A",IF(Table1[[#This Row],[DUT Adj Read]]="N/A",IF(Table1[[#This Row],[Std Adj Read]]&gt;Table1[[#This Row],[Low Tol]],"Pass","Fail"),IF(Table1[[#This Row],[DUT Adj Read]]&gt;Table1[[#This Row],[Low Tol]],"Pass","Fail")))</f>
        <v>Pass</v>
      </c>
      <c r="AE1773" s="1" t="str">
        <f>IF(AND(Table1[[#This Row],[Spec Type2]]="N/A",Table1[[#This Row],[DUT Adj Read]]="N/A",Table1[[#This Row],[Std Adj Read]]="N/A"),"N/A",IF(Table1[[#This Row],[DUT Adj Read]]="N/A",IF(Table1[[#This Row],[Std Adj Read]]&lt;Table1[[#This Row],[High Tol]],"Pass","Fail"),IF(Table1[[#This Row],[DUT Adj Read]]&lt;Table1[[#This Row],[High Tol]],"Pass","Fail")))</f>
        <v>Fail</v>
      </c>
      <c r="AF1773" s="1" t="str">
        <f>IF(AND(Table1[[#This Row],[Spec Type2]]="N/A",Table1[[#This Row],[DUT Adj Read]]="N/A",Table1[[#This Row],[Std Adj Read]]="N/A"),"N/A",IF(Table1[[#This Row],[DUT Adj Read]]="N/A",IF(Table1[[#This Row],[Std Adj Read]]&gt;=Table1[[#This Row],[Low Tol]],"Pass","Fail"),IF(Table1[[#This Row],[DUT Adj Read]]&gt;=Table1[[#This Row],[Low Tol]],"Pass","Fail")))</f>
        <v>Pass</v>
      </c>
      <c r="AG1773" s="1" t="str">
        <f>IF(AND(Table1[[#This Row],[Spec Type2]]="N/A",Table1[[#This Row],[DUT Adj Read]]="N/A",Table1[[#This Row],[Std Adj Read]]="N/A"),"N/A",IF(Table1[[#This Row],[DUT Adj Read]]="N/A",IF(Table1[[#This Row],[Std Adj Read]]&lt;=Table1[[#This Row],[High Tol]],"Pass","Fail"),IF(Table1[[#This Row],[DUT Adj Read]]&lt;=Table1[[#This Row],[High Tol]],"Pass","Fail")))</f>
        <v>Fail</v>
      </c>
      <c r="AH17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3" s="1" t="b">
        <v>0</v>
      </c>
      <c r="AN1773" s="1" t="b">
        <v>0</v>
      </c>
      <c r="AO1773" s="1" t="b">
        <v>0</v>
      </c>
    </row>
    <row r="1774" spans="1:41" x14ac:dyDescent="0.25">
      <c r="A1774" s="10"/>
      <c r="B1774" s="10"/>
      <c r="C1774" s="10"/>
      <c r="D1774" s="10"/>
      <c r="E1774" s="10"/>
      <c r="F1774" s="10"/>
      <c r="G1774" s="10"/>
      <c r="H1774" s="10"/>
      <c r="I1774" s="1" t="str">
        <f t="shared" si="81"/>
        <v/>
      </c>
      <c r="J1774" s="1" t="s">
        <v>35</v>
      </c>
      <c r="K1774" s="1" t="str">
        <f t="shared" si="82"/>
        <v/>
      </c>
      <c r="L1774" s="1" t="str">
        <f t="shared" si="83"/>
        <v/>
      </c>
      <c r="M1774" s="1">
        <f>IF(OR(Table1[[#This Row],[Std Nom]]="",Table1[[#This Row],[Std Read]]=""),0,Table1[[#This Row],[Std Nom]]-Table1[[#This Row],[Std Read]])</f>
        <v>0</v>
      </c>
      <c r="N1774" s="1">
        <f>IF(Calculations!$F$5="ACCREDITED 17025 WITH UNCERTAINTIES",$N$10,0)</f>
        <v>0</v>
      </c>
      <c r="O1774" s="1" t="str">
        <f>IFERROR(Table1[[#This Row],[Std Nom]]-(_xlfn.XLOOKUP(Table1[[#This Row],[Manufacturer]]&amp;" "&amp;Table1[[#This Row],[Model]],Table13[MFR &amp; MDL],Table13[Tolerance % CW ],"")/100*Table1[[#This Row],[Std Nom]]),"")</f>
        <v/>
      </c>
      <c r="P1774" s="1" t="str">
        <f>IFERROR(Table1[[#This Row],[Std Nom]]+(_xlfn.XLOOKUP(Table1[[#This Row],[Manufacturer]]&amp;" "&amp;Table1[[#This Row],[Model]],Table13[MFR &amp; MDL],Table13[Tolerance % CW ],"")/100*Table1[[#This Row],[Std Nom]]),"")</f>
        <v/>
      </c>
      <c r="Q1774" s="1" t="e">
        <f>Table1[[#This Row],[High Tol]]-Table1[[#This Row],[Low Tol]]</f>
        <v>#VALUE!</v>
      </c>
      <c r="R1774" s="1">
        <f>2*Table1[[#This Row],[Std Error]]</f>
        <v>0</v>
      </c>
      <c r="S1774" s="1" t="str">
        <f>IF(Table1[[#This Row],[High Tol]]="","N/A",IFERROR(ABS(Table1[[#This Row],[Tol Span]]/Table1[[#This Row],[Error Span]]),"N/A"))</f>
        <v>N/A</v>
      </c>
      <c r="T1774" s="1" t="str">
        <f>IF(OR(Table1[[#This Row],[Low Tol]]="",Table1[[#This Row],[High Tol]]=""),"Needs Analysis",IF(Table1[[#This Row],[Ratio]]&gt;=4,"Not Significant",IF(Table1[[#This Row],[Ratio]]&gt;=2,"Semi-Significant","Significant")))</f>
        <v>Needs Analysis</v>
      </c>
      <c r="W1774" s="1">
        <f>IF(Table1[[#This Row],[Cal Type]]&lt;&gt;"ACCREDITED 17025 WITH UNCERTAINTIES",0,"")</f>
        <v>0</v>
      </c>
      <c r="X1774" s="1" t="str">
        <f>IF(Table1[[#This Row],[DUT Read]]="","N/A",Table1[[#This Row],[Std Error]]+Table1[[#This Row],[DUT Read]]+Table1[[#This Row],[DUT Ucty]])</f>
        <v>N/A</v>
      </c>
      <c r="Y1774" s="1" t="str">
        <f>IF(Table1[[#This Row],[Std Read]]="","N/A",Table1[[#This Row],[Std Read]]+Table1[[#This Row],[Std Ucty]])</f>
        <v>N/A</v>
      </c>
      <c r="Z17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4" s="1" t="str">
        <f>IF(Table1[[#This Row],[Spec Type]]="","N/A",Table1[[#This Row],[Spec Type]])</f>
        <v>±</v>
      </c>
      <c r="AC1774" s="1" t="str">
        <f>IF(Table1[[#This Row],[Spec Type2]]="N/A","N/A",IF(AND(Table1[[#This Row],[DUT Adj Read]]&gt;=Table1[[#This Row],[Low Tol]],Table1[[#This Row],[DUT Adj Read]]&lt;=Table1[[#This Row],[High Tol]]),"Pass","Fail"))</f>
        <v>Fail</v>
      </c>
      <c r="AD1774" s="1" t="str">
        <f>IF(AND(Table1[[#This Row],[Spec Type2]]="N/A",Table1[[#This Row],[DUT Adj Read]]="N/A",Table1[[#This Row],[Std Adj Read]]="N/A"),"N/A",IF(Table1[[#This Row],[DUT Adj Read]]="N/A",IF(Table1[[#This Row],[Std Adj Read]]&gt;Table1[[#This Row],[Low Tol]],"Pass","Fail"),IF(Table1[[#This Row],[DUT Adj Read]]&gt;Table1[[#This Row],[Low Tol]],"Pass","Fail")))</f>
        <v>Pass</v>
      </c>
      <c r="AE1774" s="1" t="str">
        <f>IF(AND(Table1[[#This Row],[Spec Type2]]="N/A",Table1[[#This Row],[DUT Adj Read]]="N/A",Table1[[#This Row],[Std Adj Read]]="N/A"),"N/A",IF(Table1[[#This Row],[DUT Adj Read]]="N/A",IF(Table1[[#This Row],[Std Adj Read]]&lt;Table1[[#This Row],[High Tol]],"Pass","Fail"),IF(Table1[[#This Row],[DUT Adj Read]]&lt;Table1[[#This Row],[High Tol]],"Pass","Fail")))</f>
        <v>Fail</v>
      </c>
      <c r="AF1774" s="1" t="str">
        <f>IF(AND(Table1[[#This Row],[Spec Type2]]="N/A",Table1[[#This Row],[DUT Adj Read]]="N/A",Table1[[#This Row],[Std Adj Read]]="N/A"),"N/A",IF(Table1[[#This Row],[DUT Adj Read]]="N/A",IF(Table1[[#This Row],[Std Adj Read]]&gt;=Table1[[#This Row],[Low Tol]],"Pass","Fail"),IF(Table1[[#This Row],[DUT Adj Read]]&gt;=Table1[[#This Row],[Low Tol]],"Pass","Fail")))</f>
        <v>Pass</v>
      </c>
      <c r="AG1774" s="1" t="str">
        <f>IF(AND(Table1[[#This Row],[Spec Type2]]="N/A",Table1[[#This Row],[DUT Adj Read]]="N/A",Table1[[#This Row],[Std Adj Read]]="N/A"),"N/A",IF(Table1[[#This Row],[DUT Adj Read]]="N/A",IF(Table1[[#This Row],[Std Adj Read]]&lt;=Table1[[#This Row],[High Tol]],"Pass","Fail"),IF(Table1[[#This Row],[DUT Adj Read]]&lt;=Table1[[#This Row],[High Tol]],"Pass","Fail")))</f>
        <v>Fail</v>
      </c>
      <c r="AH17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4" s="1" t="b">
        <v>0</v>
      </c>
      <c r="AN1774" s="1" t="b">
        <v>0</v>
      </c>
      <c r="AO1774" s="1" t="b">
        <v>0</v>
      </c>
    </row>
    <row r="1775" spans="1:41" x14ac:dyDescent="0.25">
      <c r="A1775" s="10"/>
      <c r="B1775" s="10"/>
      <c r="C1775" s="10"/>
      <c r="D1775" s="10"/>
      <c r="E1775" s="10"/>
      <c r="F1775" s="10"/>
      <c r="G1775" s="10"/>
      <c r="H1775" s="10"/>
      <c r="I1775" s="1" t="str">
        <f t="shared" si="81"/>
        <v/>
      </c>
      <c r="J1775" s="1" t="s">
        <v>35</v>
      </c>
      <c r="K1775" s="1" t="str">
        <f t="shared" si="82"/>
        <v/>
      </c>
      <c r="L1775" s="1" t="str">
        <f t="shared" si="83"/>
        <v/>
      </c>
      <c r="M1775" s="1">
        <f>IF(OR(Table1[[#This Row],[Std Nom]]="",Table1[[#This Row],[Std Read]]=""),0,Table1[[#This Row],[Std Nom]]-Table1[[#This Row],[Std Read]])</f>
        <v>0</v>
      </c>
      <c r="N1775" s="1">
        <f>IF(Calculations!$F$5="ACCREDITED 17025 WITH UNCERTAINTIES",$N$10,0)</f>
        <v>0</v>
      </c>
      <c r="O1775" s="1" t="str">
        <f>IFERROR(Table1[[#This Row],[Std Nom]]-(_xlfn.XLOOKUP(Table1[[#This Row],[Manufacturer]]&amp;" "&amp;Table1[[#This Row],[Model]],Table13[MFR &amp; MDL],Table13[Tolerance % CW ],"")/100*Table1[[#This Row],[Std Nom]]),"")</f>
        <v/>
      </c>
      <c r="P1775" s="1" t="str">
        <f>IFERROR(Table1[[#This Row],[Std Nom]]+(_xlfn.XLOOKUP(Table1[[#This Row],[Manufacturer]]&amp;" "&amp;Table1[[#This Row],[Model]],Table13[MFR &amp; MDL],Table13[Tolerance % CW ],"")/100*Table1[[#This Row],[Std Nom]]),"")</f>
        <v/>
      </c>
      <c r="Q1775" s="1" t="e">
        <f>Table1[[#This Row],[High Tol]]-Table1[[#This Row],[Low Tol]]</f>
        <v>#VALUE!</v>
      </c>
      <c r="R1775" s="1">
        <f>2*Table1[[#This Row],[Std Error]]</f>
        <v>0</v>
      </c>
      <c r="S1775" s="1" t="str">
        <f>IF(Table1[[#This Row],[High Tol]]="","N/A",IFERROR(ABS(Table1[[#This Row],[Tol Span]]/Table1[[#This Row],[Error Span]]),"N/A"))</f>
        <v>N/A</v>
      </c>
      <c r="T1775" s="1" t="str">
        <f>IF(OR(Table1[[#This Row],[Low Tol]]="",Table1[[#This Row],[High Tol]]=""),"Needs Analysis",IF(Table1[[#This Row],[Ratio]]&gt;=4,"Not Significant",IF(Table1[[#This Row],[Ratio]]&gt;=2,"Semi-Significant","Significant")))</f>
        <v>Needs Analysis</v>
      </c>
      <c r="W1775" s="1">
        <f>IF(Table1[[#This Row],[Cal Type]]&lt;&gt;"ACCREDITED 17025 WITH UNCERTAINTIES",0,"")</f>
        <v>0</v>
      </c>
      <c r="X1775" s="1" t="str">
        <f>IF(Table1[[#This Row],[DUT Read]]="","N/A",Table1[[#This Row],[Std Error]]+Table1[[#This Row],[DUT Read]]+Table1[[#This Row],[DUT Ucty]])</f>
        <v>N/A</v>
      </c>
      <c r="Y1775" s="1" t="str">
        <f>IF(Table1[[#This Row],[Std Read]]="","N/A",Table1[[#This Row],[Std Read]]+Table1[[#This Row],[Std Ucty]])</f>
        <v>N/A</v>
      </c>
      <c r="Z17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5" s="1" t="str">
        <f>IF(Table1[[#This Row],[Spec Type]]="","N/A",Table1[[#This Row],[Spec Type]])</f>
        <v>±</v>
      </c>
      <c r="AC1775" s="1" t="str">
        <f>IF(Table1[[#This Row],[Spec Type2]]="N/A","N/A",IF(AND(Table1[[#This Row],[DUT Adj Read]]&gt;=Table1[[#This Row],[Low Tol]],Table1[[#This Row],[DUT Adj Read]]&lt;=Table1[[#This Row],[High Tol]]),"Pass","Fail"))</f>
        <v>Fail</v>
      </c>
      <c r="AD1775" s="1" t="str">
        <f>IF(AND(Table1[[#This Row],[Spec Type2]]="N/A",Table1[[#This Row],[DUT Adj Read]]="N/A",Table1[[#This Row],[Std Adj Read]]="N/A"),"N/A",IF(Table1[[#This Row],[DUT Adj Read]]="N/A",IF(Table1[[#This Row],[Std Adj Read]]&gt;Table1[[#This Row],[Low Tol]],"Pass","Fail"),IF(Table1[[#This Row],[DUT Adj Read]]&gt;Table1[[#This Row],[Low Tol]],"Pass","Fail")))</f>
        <v>Pass</v>
      </c>
      <c r="AE1775" s="1" t="str">
        <f>IF(AND(Table1[[#This Row],[Spec Type2]]="N/A",Table1[[#This Row],[DUT Adj Read]]="N/A",Table1[[#This Row],[Std Adj Read]]="N/A"),"N/A",IF(Table1[[#This Row],[DUT Adj Read]]="N/A",IF(Table1[[#This Row],[Std Adj Read]]&lt;Table1[[#This Row],[High Tol]],"Pass","Fail"),IF(Table1[[#This Row],[DUT Adj Read]]&lt;Table1[[#This Row],[High Tol]],"Pass","Fail")))</f>
        <v>Fail</v>
      </c>
      <c r="AF1775" s="1" t="str">
        <f>IF(AND(Table1[[#This Row],[Spec Type2]]="N/A",Table1[[#This Row],[DUT Adj Read]]="N/A",Table1[[#This Row],[Std Adj Read]]="N/A"),"N/A",IF(Table1[[#This Row],[DUT Adj Read]]="N/A",IF(Table1[[#This Row],[Std Adj Read]]&gt;=Table1[[#This Row],[Low Tol]],"Pass","Fail"),IF(Table1[[#This Row],[DUT Adj Read]]&gt;=Table1[[#This Row],[Low Tol]],"Pass","Fail")))</f>
        <v>Pass</v>
      </c>
      <c r="AG1775" s="1" t="str">
        <f>IF(AND(Table1[[#This Row],[Spec Type2]]="N/A",Table1[[#This Row],[DUT Adj Read]]="N/A",Table1[[#This Row],[Std Adj Read]]="N/A"),"N/A",IF(Table1[[#This Row],[DUT Adj Read]]="N/A",IF(Table1[[#This Row],[Std Adj Read]]&lt;=Table1[[#This Row],[High Tol]],"Pass","Fail"),IF(Table1[[#This Row],[DUT Adj Read]]&lt;=Table1[[#This Row],[High Tol]],"Pass","Fail")))</f>
        <v>Fail</v>
      </c>
      <c r="AH17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5" s="1" t="b">
        <v>0</v>
      </c>
      <c r="AN1775" s="1" t="b">
        <v>0</v>
      </c>
      <c r="AO1775" s="1" t="b">
        <v>0</v>
      </c>
    </row>
    <row r="1776" spans="1:41" x14ac:dyDescent="0.25">
      <c r="A1776" s="10"/>
      <c r="B1776" s="10"/>
      <c r="C1776" s="10"/>
      <c r="D1776" s="10"/>
      <c r="E1776" s="10"/>
      <c r="F1776" s="10"/>
      <c r="G1776" s="10"/>
      <c r="H1776" s="10"/>
      <c r="I1776" s="1" t="str">
        <f t="shared" si="81"/>
        <v/>
      </c>
      <c r="J1776" s="1" t="s">
        <v>35</v>
      </c>
      <c r="K1776" s="1" t="str">
        <f t="shared" si="82"/>
        <v/>
      </c>
      <c r="L1776" s="1" t="str">
        <f t="shared" si="83"/>
        <v/>
      </c>
      <c r="M1776" s="1">
        <f>IF(OR(Table1[[#This Row],[Std Nom]]="",Table1[[#This Row],[Std Read]]=""),0,Table1[[#This Row],[Std Nom]]-Table1[[#This Row],[Std Read]])</f>
        <v>0</v>
      </c>
      <c r="N1776" s="1">
        <f>IF(Calculations!$F$5="ACCREDITED 17025 WITH UNCERTAINTIES",$N$10,0)</f>
        <v>0</v>
      </c>
      <c r="O1776" s="1" t="str">
        <f>IFERROR(Table1[[#This Row],[Std Nom]]-(_xlfn.XLOOKUP(Table1[[#This Row],[Manufacturer]]&amp;" "&amp;Table1[[#This Row],[Model]],Table13[MFR &amp; MDL],Table13[Tolerance % CW ],"")/100*Table1[[#This Row],[Std Nom]]),"")</f>
        <v/>
      </c>
      <c r="P1776" s="1" t="str">
        <f>IFERROR(Table1[[#This Row],[Std Nom]]+(_xlfn.XLOOKUP(Table1[[#This Row],[Manufacturer]]&amp;" "&amp;Table1[[#This Row],[Model]],Table13[MFR &amp; MDL],Table13[Tolerance % CW ],"")/100*Table1[[#This Row],[Std Nom]]),"")</f>
        <v/>
      </c>
      <c r="Q1776" s="1" t="e">
        <f>Table1[[#This Row],[High Tol]]-Table1[[#This Row],[Low Tol]]</f>
        <v>#VALUE!</v>
      </c>
      <c r="R1776" s="1">
        <f>2*Table1[[#This Row],[Std Error]]</f>
        <v>0</v>
      </c>
      <c r="S1776" s="1" t="str">
        <f>IF(Table1[[#This Row],[High Tol]]="","N/A",IFERROR(ABS(Table1[[#This Row],[Tol Span]]/Table1[[#This Row],[Error Span]]),"N/A"))</f>
        <v>N/A</v>
      </c>
      <c r="T1776" s="1" t="str">
        <f>IF(OR(Table1[[#This Row],[Low Tol]]="",Table1[[#This Row],[High Tol]]=""),"Needs Analysis",IF(Table1[[#This Row],[Ratio]]&gt;=4,"Not Significant",IF(Table1[[#This Row],[Ratio]]&gt;=2,"Semi-Significant","Significant")))</f>
        <v>Needs Analysis</v>
      </c>
      <c r="W1776" s="1">
        <f>IF(Table1[[#This Row],[Cal Type]]&lt;&gt;"ACCREDITED 17025 WITH UNCERTAINTIES",0,"")</f>
        <v>0</v>
      </c>
      <c r="X1776" s="1" t="str">
        <f>IF(Table1[[#This Row],[DUT Read]]="","N/A",Table1[[#This Row],[Std Error]]+Table1[[#This Row],[DUT Read]]+Table1[[#This Row],[DUT Ucty]])</f>
        <v>N/A</v>
      </c>
      <c r="Y1776" s="1" t="str">
        <f>IF(Table1[[#This Row],[Std Read]]="","N/A",Table1[[#This Row],[Std Read]]+Table1[[#This Row],[Std Ucty]])</f>
        <v>N/A</v>
      </c>
      <c r="Z17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6" s="1" t="str">
        <f>IF(Table1[[#This Row],[Spec Type]]="","N/A",Table1[[#This Row],[Spec Type]])</f>
        <v>±</v>
      </c>
      <c r="AC1776" s="1" t="str">
        <f>IF(Table1[[#This Row],[Spec Type2]]="N/A","N/A",IF(AND(Table1[[#This Row],[DUT Adj Read]]&gt;=Table1[[#This Row],[Low Tol]],Table1[[#This Row],[DUT Adj Read]]&lt;=Table1[[#This Row],[High Tol]]),"Pass","Fail"))</f>
        <v>Fail</v>
      </c>
      <c r="AD1776" s="1" t="str">
        <f>IF(AND(Table1[[#This Row],[Spec Type2]]="N/A",Table1[[#This Row],[DUT Adj Read]]="N/A",Table1[[#This Row],[Std Adj Read]]="N/A"),"N/A",IF(Table1[[#This Row],[DUT Adj Read]]="N/A",IF(Table1[[#This Row],[Std Adj Read]]&gt;Table1[[#This Row],[Low Tol]],"Pass","Fail"),IF(Table1[[#This Row],[DUT Adj Read]]&gt;Table1[[#This Row],[Low Tol]],"Pass","Fail")))</f>
        <v>Pass</v>
      </c>
      <c r="AE1776" s="1" t="str">
        <f>IF(AND(Table1[[#This Row],[Spec Type2]]="N/A",Table1[[#This Row],[DUT Adj Read]]="N/A",Table1[[#This Row],[Std Adj Read]]="N/A"),"N/A",IF(Table1[[#This Row],[DUT Adj Read]]="N/A",IF(Table1[[#This Row],[Std Adj Read]]&lt;Table1[[#This Row],[High Tol]],"Pass","Fail"),IF(Table1[[#This Row],[DUT Adj Read]]&lt;Table1[[#This Row],[High Tol]],"Pass","Fail")))</f>
        <v>Fail</v>
      </c>
      <c r="AF1776" s="1" t="str">
        <f>IF(AND(Table1[[#This Row],[Spec Type2]]="N/A",Table1[[#This Row],[DUT Adj Read]]="N/A",Table1[[#This Row],[Std Adj Read]]="N/A"),"N/A",IF(Table1[[#This Row],[DUT Adj Read]]="N/A",IF(Table1[[#This Row],[Std Adj Read]]&gt;=Table1[[#This Row],[Low Tol]],"Pass","Fail"),IF(Table1[[#This Row],[DUT Adj Read]]&gt;=Table1[[#This Row],[Low Tol]],"Pass","Fail")))</f>
        <v>Pass</v>
      </c>
      <c r="AG1776" s="1" t="str">
        <f>IF(AND(Table1[[#This Row],[Spec Type2]]="N/A",Table1[[#This Row],[DUT Adj Read]]="N/A",Table1[[#This Row],[Std Adj Read]]="N/A"),"N/A",IF(Table1[[#This Row],[DUT Adj Read]]="N/A",IF(Table1[[#This Row],[Std Adj Read]]&lt;=Table1[[#This Row],[High Tol]],"Pass","Fail"),IF(Table1[[#This Row],[DUT Adj Read]]&lt;=Table1[[#This Row],[High Tol]],"Pass","Fail")))</f>
        <v>Fail</v>
      </c>
      <c r="AH17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6" s="1" t="b">
        <v>0</v>
      </c>
      <c r="AN1776" s="1" t="b">
        <v>0</v>
      </c>
      <c r="AO1776" s="1" t="b">
        <v>0</v>
      </c>
    </row>
    <row r="1777" spans="1:41" x14ac:dyDescent="0.25">
      <c r="A1777" s="10"/>
      <c r="B1777" s="10"/>
      <c r="C1777" s="10"/>
      <c r="D1777" s="10"/>
      <c r="E1777" s="10"/>
      <c r="F1777" s="10"/>
      <c r="G1777" s="10"/>
      <c r="H1777" s="10"/>
      <c r="I1777" s="1" t="str">
        <f t="shared" si="81"/>
        <v/>
      </c>
      <c r="J1777" s="1" t="s">
        <v>35</v>
      </c>
      <c r="K1777" s="1" t="str">
        <f t="shared" si="82"/>
        <v/>
      </c>
      <c r="L1777" s="1" t="str">
        <f t="shared" si="83"/>
        <v/>
      </c>
      <c r="M1777" s="1">
        <f>IF(OR(Table1[[#This Row],[Std Nom]]="",Table1[[#This Row],[Std Read]]=""),0,Table1[[#This Row],[Std Nom]]-Table1[[#This Row],[Std Read]])</f>
        <v>0</v>
      </c>
      <c r="N1777" s="1">
        <f>IF(Calculations!$F$5="ACCREDITED 17025 WITH UNCERTAINTIES",$N$10,0)</f>
        <v>0</v>
      </c>
      <c r="O1777" s="1" t="str">
        <f>IFERROR(Table1[[#This Row],[Std Nom]]-(_xlfn.XLOOKUP(Table1[[#This Row],[Manufacturer]]&amp;" "&amp;Table1[[#This Row],[Model]],Table13[MFR &amp; MDL],Table13[Tolerance % CW ],"")/100*Table1[[#This Row],[Std Nom]]),"")</f>
        <v/>
      </c>
      <c r="P1777" s="1" t="str">
        <f>IFERROR(Table1[[#This Row],[Std Nom]]+(_xlfn.XLOOKUP(Table1[[#This Row],[Manufacturer]]&amp;" "&amp;Table1[[#This Row],[Model]],Table13[MFR &amp; MDL],Table13[Tolerance % CW ],"")/100*Table1[[#This Row],[Std Nom]]),"")</f>
        <v/>
      </c>
      <c r="Q1777" s="1" t="e">
        <f>Table1[[#This Row],[High Tol]]-Table1[[#This Row],[Low Tol]]</f>
        <v>#VALUE!</v>
      </c>
      <c r="R1777" s="1">
        <f>2*Table1[[#This Row],[Std Error]]</f>
        <v>0</v>
      </c>
      <c r="S1777" s="1" t="str">
        <f>IF(Table1[[#This Row],[High Tol]]="","N/A",IFERROR(ABS(Table1[[#This Row],[Tol Span]]/Table1[[#This Row],[Error Span]]),"N/A"))</f>
        <v>N/A</v>
      </c>
      <c r="T1777" s="1" t="str">
        <f>IF(OR(Table1[[#This Row],[Low Tol]]="",Table1[[#This Row],[High Tol]]=""),"Needs Analysis",IF(Table1[[#This Row],[Ratio]]&gt;=4,"Not Significant",IF(Table1[[#This Row],[Ratio]]&gt;=2,"Semi-Significant","Significant")))</f>
        <v>Needs Analysis</v>
      </c>
      <c r="W1777" s="1">
        <f>IF(Table1[[#This Row],[Cal Type]]&lt;&gt;"ACCREDITED 17025 WITH UNCERTAINTIES",0,"")</f>
        <v>0</v>
      </c>
      <c r="X1777" s="1" t="str">
        <f>IF(Table1[[#This Row],[DUT Read]]="","N/A",Table1[[#This Row],[Std Error]]+Table1[[#This Row],[DUT Read]]+Table1[[#This Row],[DUT Ucty]])</f>
        <v>N/A</v>
      </c>
      <c r="Y1777" s="1" t="str">
        <f>IF(Table1[[#This Row],[Std Read]]="","N/A",Table1[[#This Row],[Std Read]]+Table1[[#This Row],[Std Ucty]])</f>
        <v>N/A</v>
      </c>
      <c r="Z17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7" s="1" t="str">
        <f>IF(Table1[[#This Row],[Spec Type]]="","N/A",Table1[[#This Row],[Spec Type]])</f>
        <v>±</v>
      </c>
      <c r="AC1777" s="1" t="str">
        <f>IF(Table1[[#This Row],[Spec Type2]]="N/A","N/A",IF(AND(Table1[[#This Row],[DUT Adj Read]]&gt;=Table1[[#This Row],[Low Tol]],Table1[[#This Row],[DUT Adj Read]]&lt;=Table1[[#This Row],[High Tol]]),"Pass","Fail"))</f>
        <v>Fail</v>
      </c>
      <c r="AD1777" s="1" t="str">
        <f>IF(AND(Table1[[#This Row],[Spec Type2]]="N/A",Table1[[#This Row],[DUT Adj Read]]="N/A",Table1[[#This Row],[Std Adj Read]]="N/A"),"N/A",IF(Table1[[#This Row],[DUT Adj Read]]="N/A",IF(Table1[[#This Row],[Std Adj Read]]&gt;Table1[[#This Row],[Low Tol]],"Pass","Fail"),IF(Table1[[#This Row],[DUT Adj Read]]&gt;Table1[[#This Row],[Low Tol]],"Pass","Fail")))</f>
        <v>Pass</v>
      </c>
      <c r="AE1777" s="1" t="str">
        <f>IF(AND(Table1[[#This Row],[Spec Type2]]="N/A",Table1[[#This Row],[DUT Adj Read]]="N/A",Table1[[#This Row],[Std Adj Read]]="N/A"),"N/A",IF(Table1[[#This Row],[DUT Adj Read]]="N/A",IF(Table1[[#This Row],[Std Adj Read]]&lt;Table1[[#This Row],[High Tol]],"Pass","Fail"),IF(Table1[[#This Row],[DUT Adj Read]]&lt;Table1[[#This Row],[High Tol]],"Pass","Fail")))</f>
        <v>Fail</v>
      </c>
      <c r="AF1777" s="1" t="str">
        <f>IF(AND(Table1[[#This Row],[Spec Type2]]="N/A",Table1[[#This Row],[DUT Adj Read]]="N/A",Table1[[#This Row],[Std Adj Read]]="N/A"),"N/A",IF(Table1[[#This Row],[DUT Adj Read]]="N/A",IF(Table1[[#This Row],[Std Adj Read]]&gt;=Table1[[#This Row],[Low Tol]],"Pass","Fail"),IF(Table1[[#This Row],[DUT Adj Read]]&gt;=Table1[[#This Row],[Low Tol]],"Pass","Fail")))</f>
        <v>Pass</v>
      </c>
      <c r="AG1777" s="1" t="str">
        <f>IF(AND(Table1[[#This Row],[Spec Type2]]="N/A",Table1[[#This Row],[DUT Adj Read]]="N/A",Table1[[#This Row],[Std Adj Read]]="N/A"),"N/A",IF(Table1[[#This Row],[DUT Adj Read]]="N/A",IF(Table1[[#This Row],[Std Adj Read]]&lt;=Table1[[#This Row],[High Tol]],"Pass","Fail"),IF(Table1[[#This Row],[DUT Adj Read]]&lt;=Table1[[#This Row],[High Tol]],"Pass","Fail")))</f>
        <v>Fail</v>
      </c>
      <c r="AH17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7" s="1" t="b">
        <v>0</v>
      </c>
      <c r="AN1777" s="1" t="b">
        <v>0</v>
      </c>
      <c r="AO1777" s="1" t="b">
        <v>0</v>
      </c>
    </row>
    <row r="1778" spans="1:41" x14ac:dyDescent="0.25">
      <c r="A1778" s="10"/>
      <c r="B1778" s="10"/>
      <c r="C1778" s="10"/>
      <c r="D1778" s="10"/>
      <c r="E1778" s="10"/>
      <c r="F1778" s="10"/>
      <c r="G1778" s="10"/>
      <c r="H1778" s="10"/>
      <c r="I1778" s="1" t="str">
        <f t="shared" si="81"/>
        <v/>
      </c>
      <c r="J1778" s="1" t="s">
        <v>35</v>
      </c>
      <c r="K1778" s="1" t="str">
        <f t="shared" si="82"/>
        <v/>
      </c>
      <c r="L1778" s="1" t="str">
        <f t="shared" si="83"/>
        <v/>
      </c>
      <c r="M1778" s="1">
        <f>IF(OR(Table1[[#This Row],[Std Nom]]="",Table1[[#This Row],[Std Read]]=""),0,Table1[[#This Row],[Std Nom]]-Table1[[#This Row],[Std Read]])</f>
        <v>0</v>
      </c>
      <c r="N1778" s="1">
        <f>IF(Calculations!$F$5="ACCREDITED 17025 WITH UNCERTAINTIES",$N$10,0)</f>
        <v>0</v>
      </c>
      <c r="O1778" s="1" t="str">
        <f>IFERROR(Table1[[#This Row],[Std Nom]]-(_xlfn.XLOOKUP(Table1[[#This Row],[Manufacturer]]&amp;" "&amp;Table1[[#This Row],[Model]],Table13[MFR &amp; MDL],Table13[Tolerance % CW ],"")/100*Table1[[#This Row],[Std Nom]]),"")</f>
        <v/>
      </c>
      <c r="P1778" s="1" t="str">
        <f>IFERROR(Table1[[#This Row],[Std Nom]]+(_xlfn.XLOOKUP(Table1[[#This Row],[Manufacturer]]&amp;" "&amp;Table1[[#This Row],[Model]],Table13[MFR &amp; MDL],Table13[Tolerance % CW ],"")/100*Table1[[#This Row],[Std Nom]]),"")</f>
        <v/>
      </c>
      <c r="Q1778" s="1" t="e">
        <f>Table1[[#This Row],[High Tol]]-Table1[[#This Row],[Low Tol]]</f>
        <v>#VALUE!</v>
      </c>
      <c r="R1778" s="1">
        <f>2*Table1[[#This Row],[Std Error]]</f>
        <v>0</v>
      </c>
      <c r="S1778" s="1" t="str">
        <f>IF(Table1[[#This Row],[High Tol]]="","N/A",IFERROR(ABS(Table1[[#This Row],[Tol Span]]/Table1[[#This Row],[Error Span]]),"N/A"))</f>
        <v>N/A</v>
      </c>
      <c r="T1778" s="1" t="str">
        <f>IF(OR(Table1[[#This Row],[Low Tol]]="",Table1[[#This Row],[High Tol]]=""),"Needs Analysis",IF(Table1[[#This Row],[Ratio]]&gt;=4,"Not Significant",IF(Table1[[#This Row],[Ratio]]&gt;=2,"Semi-Significant","Significant")))</f>
        <v>Needs Analysis</v>
      </c>
      <c r="W1778" s="1">
        <f>IF(Table1[[#This Row],[Cal Type]]&lt;&gt;"ACCREDITED 17025 WITH UNCERTAINTIES",0,"")</f>
        <v>0</v>
      </c>
      <c r="X1778" s="1" t="str">
        <f>IF(Table1[[#This Row],[DUT Read]]="","N/A",Table1[[#This Row],[Std Error]]+Table1[[#This Row],[DUT Read]]+Table1[[#This Row],[DUT Ucty]])</f>
        <v>N/A</v>
      </c>
      <c r="Y1778" s="1" t="str">
        <f>IF(Table1[[#This Row],[Std Read]]="","N/A",Table1[[#This Row],[Std Read]]+Table1[[#This Row],[Std Ucty]])</f>
        <v>N/A</v>
      </c>
      <c r="Z17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8" s="1" t="str">
        <f>IF(Table1[[#This Row],[Spec Type]]="","N/A",Table1[[#This Row],[Spec Type]])</f>
        <v>±</v>
      </c>
      <c r="AC1778" s="1" t="str">
        <f>IF(Table1[[#This Row],[Spec Type2]]="N/A","N/A",IF(AND(Table1[[#This Row],[DUT Adj Read]]&gt;=Table1[[#This Row],[Low Tol]],Table1[[#This Row],[DUT Adj Read]]&lt;=Table1[[#This Row],[High Tol]]),"Pass","Fail"))</f>
        <v>Fail</v>
      </c>
      <c r="AD1778" s="1" t="str">
        <f>IF(AND(Table1[[#This Row],[Spec Type2]]="N/A",Table1[[#This Row],[DUT Adj Read]]="N/A",Table1[[#This Row],[Std Adj Read]]="N/A"),"N/A",IF(Table1[[#This Row],[DUT Adj Read]]="N/A",IF(Table1[[#This Row],[Std Adj Read]]&gt;Table1[[#This Row],[Low Tol]],"Pass","Fail"),IF(Table1[[#This Row],[DUT Adj Read]]&gt;Table1[[#This Row],[Low Tol]],"Pass","Fail")))</f>
        <v>Pass</v>
      </c>
      <c r="AE1778" s="1" t="str">
        <f>IF(AND(Table1[[#This Row],[Spec Type2]]="N/A",Table1[[#This Row],[DUT Adj Read]]="N/A",Table1[[#This Row],[Std Adj Read]]="N/A"),"N/A",IF(Table1[[#This Row],[DUT Adj Read]]="N/A",IF(Table1[[#This Row],[Std Adj Read]]&lt;Table1[[#This Row],[High Tol]],"Pass","Fail"),IF(Table1[[#This Row],[DUT Adj Read]]&lt;Table1[[#This Row],[High Tol]],"Pass","Fail")))</f>
        <v>Fail</v>
      </c>
      <c r="AF1778" s="1" t="str">
        <f>IF(AND(Table1[[#This Row],[Spec Type2]]="N/A",Table1[[#This Row],[DUT Adj Read]]="N/A",Table1[[#This Row],[Std Adj Read]]="N/A"),"N/A",IF(Table1[[#This Row],[DUT Adj Read]]="N/A",IF(Table1[[#This Row],[Std Adj Read]]&gt;=Table1[[#This Row],[Low Tol]],"Pass","Fail"),IF(Table1[[#This Row],[DUT Adj Read]]&gt;=Table1[[#This Row],[Low Tol]],"Pass","Fail")))</f>
        <v>Pass</v>
      </c>
      <c r="AG1778" s="1" t="str">
        <f>IF(AND(Table1[[#This Row],[Spec Type2]]="N/A",Table1[[#This Row],[DUT Adj Read]]="N/A",Table1[[#This Row],[Std Adj Read]]="N/A"),"N/A",IF(Table1[[#This Row],[DUT Adj Read]]="N/A",IF(Table1[[#This Row],[Std Adj Read]]&lt;=Table1[[#This Row],[High Tol]],"Pass","Fail"),IF(Table1[[#This Row],[DUT Adj Read]]&lt;=Table1[[#This Row],[High Tol]],"Pass","Fail")))</f>
        <v>Fail</v>
      </c>
      <c r="AH17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8" s="1" t="b">
        <v>0</v>
      </c>
      <c r="AN1778" s="1" t="b">
        <v>0</v>
      </c>
      <c r="AO1778" s="1" t="b">
        <v>0</v>
      </c>
    </row>
    <row r="1779" spans="1:41" x14ac:dyDescent="0.25">
      <c r="A1779" s="10"/>
      <c r="B1779" s="10"/>
      <c r="C1779" s="10"/>
      <c r="D1779" s="10"/>
      <c r="E1779" s="10"/>
      <c r="F1779" s="10"/>
      <c r="G1779" s="10"/>
      <c r="H1779" s="10"/>
      <c r="I1779" s="1" t="str">
        <f t="shared" si="81"/>
        <v/>
      </c>
      <c r="J1779" s="1" t="s">
        <v>35</v>
      </c>
      <c r="K1779" s="1" t="str">
        <f t="shared" si="82"/>
        <v/>
      </c>
      <c r="L1779" s="1" t="str">
        <f t="shared" si="83"/>
        <v/>
      </c>
      <c r="M1779" s="1">
        <f>IF(OR(Table1[[#This Row],[Std Nom]]="",Table1[[#This Row],[Std Read]]=""),0,Table1[[#This Row],[Std Nom]]-Table1[[#This Row],[Std Read]])</f>
        <v>0</v>
      </c>
      <c r="N1779" s="1">
        <f>IF(Calculations!$F$5="ACCREDITED 17025 WITH UNCERTAINTIES",$N$10,0)</f>
        <v>0</v>
      </c>
      <c r="O1779" s="1" t="str">
        <f>IFERROR(Table1[[#This Row],[Std Nom]]-(_xlfn.XLOOKUP(Table1[[#This Row],[Manufacturer]]&amp;" "&amp;Table1[[#This Row],[Model]],Table13[MFR &amp; MDL],Table13[Tolerance % CW ],"")/100*Table1[[#This Row],[Std Nom]]),"")</f>
        <v/>
      </c>
      <c r="P1779" s="1" t="str">
        <f>IFERROR(Table1[[#This Row],[Std Nom]]+(_xlfn.XLOOKUP(Table1[[#This Row],[Manufacturer]]&amp;" "&amp;Table1[[#This Row],[Model]],Table13[MFR &amp; MDL],Table13[Tolerance % CW ],"")/100*Table1[[#This Row],[Std Nom]]),"")</f>
        <v/>
      </c>
      <c r="Q1779" s="1" t="e">
        <f>Table1[[#This Row],[High Tol]]-Table1[[#This Row],[Low Tol]]</f>
        <v>#VALUE!</v>
      </c>
      <c r="R1779" s="1">
        <f>2*Table1[[#This Row],[Std Error]]</f>
        <v>0</v>
      </c>
      <c r="S1779" s="1" t="str">
        <f>IF(Table1[[#This Row],[High Tol]]="","N/A",IFERROR(ABS(Table1[[#This Row],[Tol Span]]/Table1[[#This Row],[Error Span]]),"N/A"))</f>
        <v>N/A</v>
      </c>
      <c r="T1779" s="1" t="str">
        <f>IF(OR(Table1[[#This Row],[Low Tol]]="",Table1[[#This Row],[High Tol]]=""),"Needs Analysis",IF(Table1[[#This Row],[Ratio]]&gt;=4,"Not Significant",IF(Table1[[#This Row],[Ratio]]&gt;=2,"Semi-Significant","Significant")))</f>
        <v>Needs Analysis</v>
      </c>
      <c r="W1779" s="1">
        <f>IF(Table1[[#This Row],[Cal Type]]&lt;&gt;"ACCREDITED 17025 WITH UNCERTAINTIES",0,"")</f>
        <v>0</v>
      </c>
      <c r="X1779" s="1" t="str">
        <f>IF(Table1[[#This Row],[DUT Read]]="","N/A",Table1[[#This Row],[Std Error]]+Table1[[#This Row],[DUT Read]]+Table1[[#This Row],[DUT Ucty]])</f>
        <v>N/A</v>
      </c>
      <c r="Y1779" s="1" t="str">
        <f>IF(Table1[[#This Row],[Std Read]]="","N/A",Table1[[#This Row],[Std Read]]+Table1[[#This Row],[Std Ucty]])</f>
        <v>N/A</v>
      </c>
      <c r="Z17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9" s="1" t="str">
        <f>IF(Table1[[#This Row],[Spec Type]]="","N/A",Table1[[#This Row],[Spec Type]])</f>
        <v>±</v>
      </c>
      <c r="AC1779" s="1" t="str">
        <f>IF(Table1[[#This Row],[Spec Type2]]="N/A","N/A",IF(AND(Table1[[#This Row],[DUT Adj Read]]&gt;=Table1[[#This Row],[Low Tol]],Table1[[#This Row],[DUT Adj Read]]&lt;=Table1[[#This Row],[High Tol]]),"Pass","Fail"))</f>
        <v>Fail</v>
      </c>
      <c r="AD1779" s="1" t="str">
        <f>IF(AND(Table1[[#This Row],[Spec Type2]]="N/A",Table1[[#This Row],[DUT Adj Read]]="N/A",Table1[[#This Row],[Std Adj Read]]="N/A"),"N/A",IF(Table1[[#This Row],[DUT Adj Read]]="N/A",IF(Table1[[#This Row],[Std Adj Read]]&gt;Table1[[#This Row],[Low Tol]],"Pass","Fail"),IF(Table1[[#This Row],[DUT Adj Read]]&gt;Table1[[#This Row],[Low Tol]],"Pass","Fail")))</f>
        <v>Pass</v>
      </c>
      <c r="AE1779" s="1" t="str">
        <f>IF(AND(Table1[[#This Row],[Spec Type2]]="N/A",Table1[[#This Row],[DUT Adj Read]]="N/A",Table1[[#This Row],[Std Adj Read]]="N/A"),"N/A",IF(Table1[[#This Row],[DUT Adj Read]]="N/A",IF(Table1[[#This Row],[Std Adj Read]]&lt;Table1[[#This Row],[High Tol]],"Pass","Fail"),IF(Table1[[#This Row],[DUT Adj Read]]&lt;Table1[[#This Row],[High Tol]],"Pass","Fail")))</f>
        <v>Fail</v>
      </c>
      <c r="AF1779" s="1" t="str">
        <f>IF(AND(Table1[[#This Row],[Spec Type2]]="N/A",Table1[[#This Row],[DUT Adj Read]]="N/A",Table1[[#This Row],[Std Adj Read]]="N/A"),"N/A",IF(Table1[[#This Row],[DUT Adj Read]]="N/A",IF(Table1[[#This Row],[Std Adj Read]]&gt;=Table1[[#This Row],[Low Tol]],"Pass","Fail"),IF(Table1[[#This Row],[DUT Adj Read]]&gt;=Table1[[#This Row],[Low Tol]],"Pass","Fail")))</f>
        <v>Pass</v>
      </c>
      <c r="AG1779" s="1" t="str">
        <f>IF(AND(Table1[[#This Row],[Spec Type2]]="N/A",Table1[[#This Row],[DUT Adj Read]]="N/A",Table1[[#This Row],[Std Adj Read]]="N/A"),"N/A",IF(Table1[[#This Row],[DUT Adj Read]]="N/A",IF(Table1[[#This Row],[Std Adj Read]]&lt;=Table1[[#This Row],[High Tol]],"Pass","Fail"),IF(Table1[[#This Row],[DUT Adj Read]]&lt;=Table1[[#This Row],[High Tol]],"Pass","Fail")))</f>
        <v>Fail</v>
      </c>
      <c r="AH17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9" s="1" t="b">
        <v>0</v>
      </c>
      <c r="AN1779" s="1" t="b">
        <v>0</v>
      </c>
      <c r="AO1779" s="1" t="b">
        <v>0</v>
      </c>
    </row>
    <row r="1780" spans="1:41" x14ac:dyDescent="0.25">
      <c r="A1780" s="10"/>
      <c r="B1780" s="10"/>
      <c r="C1780" s="10"/>
      <c r="D1780" s="10"/>
      <c r="E1780" s="10"/>
      <c r="F1780" s="10"/>
      <c r="G1780" s="10"/>
      <c r="H1780" s="10"/>
      <c r="I1780" s="1" t="str">
        <f t="shared" si="81"/>
        <v/>
      </c>
      <c r="J1780" s="1" t="s">
        <v>35</v>
      </c>
      <c r="K1780" s="1" t="str">
        <f t="shared" si="82"/>
        <v/>
      </c>
      <c r="L1780" s="1" t="str">
        <f t="shared" si="83"/>
        <v/>
      </c>
      <c r="M1780" s="1">
        <f>IF(OR(Table1[[#This Row],[Std Nom]]="",Table1[[#This Row],[Std Read]]=""),0,Table1[[#This Row],[Std Nom]]-Table1[[#This Row],[Std Read]])</f>
        <v>0</v>
      </c>
      <c r="N1780" s="1">
        <f>IF(Calculations!$F$5="ACCREDITED 17025 WITH UNCERTAINTIES",$N$10,0)</f>
        <v>0</v>
      </c>
      <c r="O1780" s="1" t="str">
        <f>IFERROR(Table1[[#This Row],[Std Nom]]-(_xlfn.XLOOKUP(Table1[[#This Row],[Manufacturer]]&amp;" "&amp;Table1[[#This Row],[Model]],Table13[MFR &amp; MDL],Table13[Tolerance % CW ],"")/100*Table1[[#This Row],[Std Nom]]),"")</f>
        <v/>
      </c>
      <c r="P1780" s="1" t="str">
        <f>IFERROR(Table1[[#This Row],[Std Nom]]+(_xlfn.XLOOKUP(Table1[[#This Row],[Manufacturer]]&amp;" "&amp;Table1[[#This Row],[Model]],Table13[MFR &amp; MDL],Table13[Tolerance % CW ],"")/100*Table1[[#This Row],[Std Nom]]),"")</f>
        <v/>
      </c>
      <c r="Q1780" s="1" t="e">
        <f>Table1[[#This Row],[High Tol]]-Table1[[#This Row],[Low Tol]]</f>
        <v>#VALUE!</v>
      </c>
      <c r="R1780" s="1">
        <f>2*Table1[[#This Row],[Std Error]]</f>
        <v>0</v>
      </c>
      <c r="S1780" s="1" t="str">
        <f>IF(Table1[[#This Row],[High Tol]]="","N/A",IFERROR(ABS(Table1[[#This Row],[Tol Span]]/Table1[[#This Row],[Error Span]]),"N/A"))</f>
        <v>N/A</v>
      </c>
      <c r="T1780" s="1" t="str">
        <f>IF(OR(Table1[[#This Row],[Low Tol]]="",Table1[[#This Row],[High Tol]]=""),"Needs Analysis",IF(Table1[[#This Row],[Ratio]]&gt;=4,"Not Significant",IF(Table1[[#This Row],[Ratio]]&gt;=2,"Semi-Significant","Significant")))</f>
        <v>Needs Analysis</v>
      </c>
      <c r="W1780" s="1">
        <f>IF(Table1[[#This Row],[Cal Type]]&lt;&gt;"ACCREDITED 17025 WITH UNCERTAINTIES",0,"")</f>
        <v>0</v>
      </c>
      <c r="X1780" s="1" t="str">
        <f>IF(Table1[[#This Row],[DUT Read]]="","N/A",Table1[[#This Row],[Std Error]]+Table1[[#This Row],[DUT Read]]+Table1[[#This Row],[DUT Ucty]])</f>
        <v>N/A</v>
      </c>
      <c r="Y1780" s="1" t="str">
        <f>IF(Table1[[#This Row],[Std Read]]="","N/A",Table1[[#This Row],[Std Read]]+Table1[[#This Row],[Std Ucty]])</f>
        <v>N/A</v>
      </c>
      <c r="Z17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0" s="1" t="str">
        <f>IF(Table1[[#This Row],[Spec Type]]="","N/A",Table1[[#This Row],[Spec Type]])</f>
        <v>±</v>
      </c>
      <c r="AC1780" s="1" t="str">
        <f>IF(Table1[[#This Row],[Spec Type2]]="N/A","N/A",IF(AND(Table1[[#This Row],[DUT Adj Read]]&gt;=Table1[[#This Row],[Low Tol]],Table1[[#This Row],[DUT Adj Read]]&lt;=Table1[[#This Row],[High Tol]]),"Pass","Fail"))</f>
        <v>Fail</v>
      </c>
      <c r="AD1780" s="1" t="str">
        <f>IF(AND(Table1[[#This Row],[Spec Type2]]="N/A",Table1[[#This Row],[DUT Adj Read]]="N/A",Table1[[#This Row],[Std Adj Read]]="N/A"),"N/A",IF(Table1[[#This Row],[DUT Adj Read]]="N/A",IF(Table1[[#This Row],[Std Adj Read]]&gt;Table1[[#This Row],[Low Tol]],"Pass","Fail"),IF(Table1[[#This Row],[DUT Adj Read]]&gt;Table1[[#This Row],[Low Tol]],"Pass","Fail")))</f>
        <v>Pass</v>
      </c>
      <c r="AE1780" s="1" t="str">
        <f>IF(AND(Table1[[#This Row],[Spec Type2]]="N/A",Table1[[#This Row],[DUT Adj Read]]="N/A",Table1[[#This Row],[Std Adj Read]]="N/A"),"N/A",IF(Table1[[#This Row],[DUT Adj Read]]="N/A",IF(Table1[[#This Row],[Std Adj Read]]&lt;Table1[[#This Row],[High Tol]],"Pass","Fail"),IF(Table1[[#This Row],[DUT Adj Read]]&lt;Table1[[#This Row],[High Tol]],"Pass","Fail")))</f>
        <v>Fail</v>
      </c>
      <c r="AF1780" s="1" t="str">
        <f>IF(AND(Table1[[#This Row],[Spec Type2]]="N/A",Table1[[#This Row],[DUT Adj Read]]="N/A",Table1[[#This Row],[Std Adj Read]]="N/A"),"N/A",IF(Table1[[#This Row],[DUT Adj Read]]="N/A",IF(Table1[[#This Row],[Std Adj Read]]&gt;=Table1[[#This Row],[Low Tol]],"Pass","Fail"),IF(Table1[[#This Row],[DUT Adj Read]]&gt;=Table1[[#This Row],[Low Tol]],"Pass","Fail")))</f>
        <v>Pass</v>
      </c>
      <c r="AG1780" s="1" t="str">
        <f>IF(AND(Table1[[#This Row],[Spec Type2]]="N/A",Table1[[#This Row],[DUT Adj Read]]="N/A",Table1[[#This Row],[Std Adj Read]]="N/A"),"N/A",IF(Table1[[#This Row],[DUT Adj Read]]="N/A",IF(Table1[[#This Row],[Std Adj Read]]&lt;=Table1[[#This Row],[High Tol]],"Pass","Fail"),IF(Table1[[#This Row],[DUT Adj Read]]&lt;=Table1[[#This Row],[High Tol]],"Pass","Fail")))</f>
        <v>Fail</v>
      </c>
      <c r="AH17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0" s="1" t="b">
        <v>0</v>
      </c>
      <c r="AN1780" s="1" t="b">
        <v>0</v>
      </c>
      <c r="AO1780" s="1" t="b">
        <v>0</v>
      </c>
    </row>
    <row r="1781" spans="1:41" x14ac:dyDescent="0.25">
      <c r="A1781" s="10"/>
      <c r="B1781" s="10"/>
      <c r="C1781" s="10"/>
      <c r="D1781" s="10"/>
      <c r="E1781" s="10"/>
      <c r="F1781" s="10"/>
      <c r="G1781" s="10"/>
      <c r="H1781" s="10"/>
      <c r="I1781" s="1" t="str">
        <f t="shared" si="81"/>
        <v/>
      </c>
      <c r="J1781" s="1" t="s">
        <v>35</v>
      </c>
      <c r="K1781" s="1" t="str">
        <f t="shared" si="82"/>
        <v/>
      </c>
      <c r="L1781" s="1" t="str">
        <f t="shared" si="83"/>
        <v/>
      </c>
      <c r="M1781" s="1">
        <f>IF(OR(Table1[[#This Row],[Std Nom]]="",Table1[[#This Row],[Std Read]]=""),0,Table1[[#This Row],[Std Nom]]-Table1[[#This Row],[Std Read]])</f>
        <v>0</v>
      </c>
      <c r="N1781" s="1">
        <f>IF(Calculations!$F$5="ACCREDITED 17025 WITH UNCERTAINTIES",$N$10,0)</f>
        <v>0</v>
      </c>
      <c r="O1781" s="1" t="str">
        <f>IFERROR(Table1[[#This Row],[Std Nom]]-(_xlfn.XLOOKUP(Table1[[#This Row],[Manufacturer]]&amp;" "&amp;Table1[[#This Row],[Model]],Table13[MFR &amp; MDL],Table13[Tolerance % CW ],"")/100*Table1[[#This Row],[Std Nom]]),"")</f>
        <v/>
      </c>
      <c r="P1781" s="1" t="str">
        <f>IFERROR(Table1[[#This Row],[Std Nom]]+(_xlfn.XLOOKUP(Table1[[#This Row],[Manufacturer]]&amp;" "&amp;Table1[[#This Row],[Model]],Table13[MFR &amp; MDL],Table13[Tolerance % CW ],"")/100*Table1[[#This Row],[Std Nom]]),"")</f>
        <v/>
      </c>
      <c r="Q1781" s="1" t="e">
        <f>Table1[[#This Row],[High Tol]]-Table1[[#This Row],[Low Tol]]</f>
        <v>#VALUE!</v>
      </c>
      <c r="R1781" s="1">
        <f>2*Table1[[#This Row],[Std Error]]</f>
        <v>0</v>
      </c>
      <c r="S1781" s="1" t="str">
        <f>IF(Table1[[#This Row],[High Tol]]="","N/A",IFERROR(ABS(Table1[[#This Row],[Tol Span]]/Table1[[#This Row],[Error Span]]),"N/A"))</f>
        <v>N/A</v>
      </c>
      <c r="T1781" s="1" t="str">
        <f>IF(OR(Table1[[#This Row],[Low Tol]]="",Table1[[#This Row],[High Tol]]=""),"Needs Analysis",IF(Table1[[#This Row],[Ratio]]&gt;=4,"Not Significant",IF(Table1[[#This Row],[Ratio]]&gt;=2,"Semi-Significant","Significant")))</f>
        <v>Needs Analysis</v>
      </c>
      <c r="W1781" s="1">
        <f>IF(Table1[[#This Row],[Cal Type]]&lt;&gt;"ACCREDITED 17025 WITH UNCERTAINTIES",0,"")</f>
        <v>0</v>
      </c>
      <c r="X1781" s="1" t="str">
        <f>IF(Table1[[#This Row],[DUT Read]]="","N/A",Table1[[#This Row],[Std Error]]+Table1[[#This Row],[DUT Read]]+Table1[[#This Row],[DUT Ucty]])</f>
        <v>N/A</v>
      </c>
      <c r="Y1781" s="1" t="str">
        <f>IF(Table1[[#This Row],[Std Read]]="","N/A",Table1[[#This Row],[Std Read]]+Table1[[#This Row],[Std Ucty]])</f>
        <v>N/A</v>
      </c>
      <c r="Z17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1" s="1" t="str">
        <f>IF(Table1[[#This Row],[Spec Type]]="","N/A",Table1[[#This Row],[Spec Type]])</f>
        <v>±</v>
      </c>
      <c r="AC1781" s="1" t="str">
        <f>IF(Table1[[#This Row],[Spec Type2]]="N/A","N/A",IF(AND(Table1[[#This Row],[DUT Adj Read]]&gt;=Table1[[#This Row],[Low Tol]],Table1[[#This Row],[DUT Adj Read]]&lt;=Table1[[#This Row],[High Tol]]),"Pass","Fail"))</f>
        <v>Fail</v>
      </c>
      <c r="AD1781" s="1" t="str">
        <f>IF(AND(Table1[[#This Row],[Spec Type2]]="N/A",Table1[[#This Row],[DUT Adj Read]]="N/A",Table1[[#This Row],[Std Adj Read]]="N/A"),"N/A",IF(Table1[[#This Row],[DUT Adj Read]]="N/A",IF(Table1[[#This Row],[Std Adj Read]]&gt;Table1[[#This Row],[Low Tol]],"Pass","Fail"),IF(Table1[[#This Row],[DUT Adj Read]]&gt;Table1[[#This Row],[Low Tol]],"Pass","Fail")))</f>
        <v>Pass</v>
      </c>
      <c r="AE1781" s="1" t="str">
        <f>IF(AND(Table1[[#This Row],[Spec Type2]]="N/A",Table1[[#This Row],[DUT Adj Read]]="N/A",Table1[[#This Row],[Std Adj Read]]="N/A"),"N/A",IF(Table1[[#This Row],[DUT Adj Read]]="N/A",IF(Table1[[#This Row],[Std Adj Read]]&lt;Table1[[#This Row],[High Tol]],"Pass","Fail"),IF(Table1[[#This Row],[DUT Adj Read]]&lt;Table1[[#This Row],[High Tol]],"Pass","Fail")))</f>
        <v>Fail</v>
      </c>
      <c r="AF1781" s="1" t="str">
        <f>IF(AND(Table1[[#This Row],[Spec Type2]]="N/A",Table1[[#This Row],[DUT Adj Read]]="N/A",Table1[[#This Row],[Std Adj Read]]="N/A"),"N/A",IF(Table1[[#This Row],[DUT Adj Read]]="N/A",IF(Table1[[#This Row],[Std Adj Read]]&gt;=Table1[[#This Row],[Low Tol]],"Pass","Fail"),IF(Table1[[#This Row],[DUT Adj Read]]&gt;=Table1[[#This Row],[Low Tol]],"Pass","Fail")))</f>
        <v>Pass</v>
      </c>
      <c r="AG1781" s="1" t="str">
        <f>IF(AND(Table1[[#This Row],[Spec Type2]]="N/A",Table1[[#This Row],[DUT Adj Read]]="N/A",Table1[[#This Row],[Std Adj Read]]="N/A"),"N/A",IF(Table1[[#This Row],[DUT Adj Read]]="N/A",IF(Table1[[#This Row],[Std Adj Read]]&lt;=Table1[[#This Row],[High Tol]],"Pass","Fail"),IF(Table1[[#This Row],[DUT Adj Read]]&lt;=Table1[[#This Row],[High Tol]],"Pass","Fail")))</f>
        <v>Fail</v>
      </c>
      <c r="AH17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1" s="1" t="b">
        <v>0</v>
      </c>
      <c r="AN1781" s="1" t="b">
        <v>0</v>
      </c>
      <c r="AO1781" s="1" t="b">
        <v>0</v>
      </c>
    </row>
    <row r="1782" spans="1:41" x14ac:dyDescent="0.25">
      <c r="A1782" s="10"/>
      <c r="B1782" s="10"/>
      <c r="C1782" s="10"/>
      <c r="D1782" s="10"/>
      <c r="E1782" s="10"/>
      <c r="F1782" s="10"/>
      <c r="G1782" s="10"/>
      <c r="H1782" s="10"/>
      <c r="I1782" s="1" t="str">
        <f t="shared" si="81"/>
        <v/>
      </c>
      <c r="J1782" s="1" t="s">
        <v>35</v>
      </c>
      <c r="K1782" s="1" t="str">
        <f t="shared" si="82"/>
        <v/>
      </c>
      <c r="L1782" s="1" t="str">
        <f t="shared" si="83"/>
        <v/>
      </c>
      <c r="M1782" s="1">
        <f>IF(OR(Table1[[#This Row],[Std Nom]]="",Table1[[#This Row],[Std Read]]=""),0,Table1[[#This Row],[Std Nom]]-Table1[[#This Row],[Std Read]])</f>
        <v>0</v>
      </c>
      <c r="N1782" s="1">
        <f>IF(Calculations!$F$5="ACCREDITED 17025 WITH UNCERTAINTIES",$N$10,0)</f>
        <v>0</v>
      </c>
      <c r="O1782" s="1" t="str">
        <f>IFERROR(Table1[[#This Row],[Std Nom]]-(_xlfn.XLOOKUP(Table1[[#This Row],[Manufacturer]]&amp;" "&amp;Table1[[#This Row],[Model]],Table13[MFR &amp; MDL],Table13[Tolerance % CW ],"")/100*Table1[[#This Row],[Std Nom]]),"")</f>
        <v/>
      </c>
      <c r="P1782" s="1" t="str">
        <f>IFERROR(Table1[[#This Row],[Std Nom]]+(_xlfn.XLOOKUP(Table1[[#This Row],[Manufacturer]]&amp;" "&amp;Table1[[#This Row],[Model]],Table13[MFR &amp; MDL],Table13[Tolerance % CW ],"")/100*Table1[[#This Row],[Std Nom]]),"")</f>
        <v/>
      </c>
      <c r="Q1782" s="1" t="e">
        <f>Table1[[#This Row],[High Tol]]-Table1[[#This Row],[Low Tol]]</f>
        <v>#VALUE!</v>
      </c>
      <c r="R1782" s="1">
        <f>2*Table1[[#This Row],[Std Error]]</f>
        <v>0</v>
      </c>
      <c r="S1782" s="1" t="str">
        <f>IF(Table1[[#This Row],[High Tol]]="","N/A",IFERROR(ABS(Table1[[#This Row],[Tol Span]]/Table1[[#This Row],[Error Span]]),"N/A"))</f>
        <v>N/A</v>
      </c>
      <c r="T1782" s="1" t="str">
        <f>IF(OR(Table1[[#This Row],[Low Tol]]="",Table1[[#This Row],[High Tol]]=""),"Needs Analysis",IF(Table1[[#This Row],[Ratio]]&gt;=4,"Not Significant",IF(Table1[[#This Row],[Ratio]]&gt;=2,"Semi-Significant","Significant")))</f>
        <v>Needs Analysis</v>
      </c>
      <c r="W1782" s="1">
        <f>IF(Table1[[#This Row],[Cal Type]]&lt;&gt;"ACCREDITED 17025 WITH UNCERTAINTIES",0,"")</f>
        <v>0</v>
      </c>
      <c r="X1782" s="1" t="str">
        <f>IF(Table1[[#This Row],[DUT Read]]="","N/A",Table1[[#This Row],[Std Error]]+Table1[[#This Row],[DUT Read]]+Table1[[#This Row],[DUT Ucty]])</f>
        <v>N/A</v>
      </c>
      <c r="Y1782" s="1" t="str">
        <f>IF(Table1[[#This Row],[Std Read]]="","N/A",Table1[[#This Row],[Std Read]]+Table1[[#This Row],[Std Ucty]])</f>
        <v>N/A</v>
      </c>
      <c r="Z17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2" s="1" t="str">
        <f>IF(Table1[[#This Row],[Spec Type]]="","N/A",Table1[[#This Row],[Spec Type]])</f>
        <v>±</v>
      </c>
      <c r="AC1782" s="1" t="str">
        <f>IF(Table1[[#This Row],[Spec Type2]]="N/A","N/A",IF(AND(Table1[[#This Row],[DUT Adj Read]]&gt;=Table1[[#This Row],[Low Tol]],Table1[[#This Row],[DUT Adj Read]]&lt;=Table1[[#This Row],[High Tol]]),"Pass","Fail"))</f>
        <v>Fail</v>
      </c>
      <c r="AD1782" s="1" t="str">
        <f>IF(AND(Table1[[#This Row],[Spec Type2]]="N/A",Table1[[#This Row],[DUT Adj Read]]="N/A",Table1[[#This Row],[Std Adj Read]]="N/A"),"N/A",IF(Table1[[#This Row],[DUT Adj Read]]="N/A",IF(Table1[[#This Row],[Std Adj Read]]&gt;Table1[[#This Row],[Low Tol]],"Pass","Fail"),IF(Table1[[#This Row],[DUT Adj Read]]&gt;Table1[[#This Row],[Low Tol]],"Pass","Fail")))</f>
        <v>Pass</v>
      </c>
      <c r="AE1782" s="1" t="str">
        <f>IF(AND(Table1[[#This Row],[Spec Type2]]="N/A",Table1[[#This Row],[DUT Adj Read]]="N/A",Table1[[#This Row],[Std Adj Read]]="N/A"),"N/A",IF(Table1[[#This Row],[DUT Adj Read]]="N/A",IF(Table1[[#This Row],[Std Adj Read]]&lt;Table1[[#This Row],[High Tol]],"Pass","Fail"),IF(Table1[[#This Row],[DUT Adj Read]]&lt;Table1[[#This Row],[High Tol]],"Pass","Fail")))</f>
        <v>Fail</v>
      </c>
      <c r="AF1782" s="1" t="str">
        <f>IF(AND(Table1[[#This Row],[Spec Type2]]="N/A",Table1[[#This Row],[DUT Adj Read]]="N/A",Table1[[#This Row],[Std Adj Read]]="N/A"),"N/A",IF(Table1[[#This Row],[DUT Adj Read]]="N/A",IF(Table1[[#This Row],[Std Adj Read]]&gt;=Table1[[#This Row],[Low Tol]],"Pass","Fail"),IF(Table1[[#This Row],[DUT Adj Read]]&gt;=Table1[[#This Row],[Low Tol]],"Pass","Fail")))</f>
        <v>Pass</v>
      </c>
      <c r="AG1782" s="1" t="str">
        <f>IF(AND(Table1[[#This Row],[Spec Type2]]="N/A",Table1[[#This Row],[DUT Adj Read]]="N/A",Table1[[#This Row],[Std Adj Read]]="N/A"),"N/A",IF(Table1[[#This Row],[DUT Adj Read]]="N/A",IF(Table1[[#This Row],[Std Adj Read]]&lt;=Table1[[#This Row],[High Tol]],"Pass","Fail"),IF(Table1[[#This Row],[DUT Adj Read]]&lt;=Table1[[#This Row],[High Tol]],"Pass","Fail")))</f>
        <v>Fail</v>
      </c>
      <c r="AH17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2" s="1" t="b">
        <v>0</v>
      </c>
      <c r="AN1782" s="1" t="b">
        <v>0</v>
      </c>
      <c r="AO1782" s="1" t="b">
        <v>0</v>
      </c>
    </row>
    <row r="1783" spans="1:41" x14ac:dyDescent="0.25">
      <c r="A1783" s="10"/>
      <c r="B1783" s="10"/>
      <c r="C1783" s="10"/>
      <c r="D1783" s="10"/>
      <c r="E1783" s="10"/>
      <c r="F1783" s="10"/>
      <c r="G1783" s="10"/>
      <c r="H1783" s="10"/>
      <c r="I1783" s="1" t="str">
        <f t="shared" si="81"/>
        <v/>
      </c>
      <c r="J1783" s="1" t="s">
        <v>35</v>
      </c>
      <c r="K1783" s="1" t="str">
        <f t="shared" si="82"/>
        <v/>
      </c>
      <c r="L1783" s="1" t="str">
        <f t="shared" si="83"/>
        <v/>
      </c>
      <c r="M1783" s="1">
        <f>IF(OR(Table1[[#This Row],[Std Nom]]="",Table1[[#This Row],[Std Read]]=""),0,Table1[[#This Row],[Std Nom]]-Table1[[#This Row],[Std Read]])</f>
        <v>0</v>
      </c>
      <c r="N1783" s="1">
        <f>IF(Calculations!$F$5="ACCREDITED 17025 WITH UNCERTAINTIES",$N$10,0)</f>
        <v>0</v>
      </c>
      <c r="O1783" s="1" t="str">
        <f>IFERROR(Table1[[#This Row],[Std Nom]]-(_xlfn.XLOOKUP(Table1[[#This Row],[Manufacturer]]&amp;" "&amp;Table1[[#This Row],[Model]],Table13[MFR &amp; MDL],Table13[Tolerance % CW ],"")/100*Table1[[#This Row],[Std Nom]]),"")</f>
        <v/>
      </c>
      <c r="P1783" s="1" t="str">
        <f>IFERROR(Table1[[#This Row],[Std Nom]]+(_xlfn.XLOOKUP(Table1[[#This Row],[Manufacturer]]&amp;" "&amp;Table1[[#This Row],[Model]],Table13[MFR &amp; MDL],Table13[Tolerance % CW ],"")/100*Table1[[#This Row],[Std Nom]]),"")</f>
        <v/>
      </c>
      <c r="Q1783" s="1" t="e">
        <f>Table1[[#This Row],[High Tol]]-Table1[[#This Row],[Low Tol]]</f>
        <v>#VALUE!</v>
      </c>
      <c r="R1783" s="1">
        <f>2*Table1[[#This Row],[Std Error]]</f>
        <v>0</v>
      </c>
      <c r="S1783" s="1" t="str">
        <f>IF(Table1[[#This Row],[High Tol]]="","N/A",IFERROR(ABS(Table1[[#This Row],[Tol Span]]/Table1[[#This Row],[Error Span]]),"N/A"))</f>
        <v>N/A</v>
      </c>
      <c r="T1783" s="1" t="str">
        <f>IF(OR(Table1[[#This Row],[Low Tol]]="",Table1[[#This Row],[High Tol]]=""),"Needs Analysis",IF(Table1[[#This Row],[Ratio]]&gt;=4,"Not Significant",IF(Table1[[#This Row],[Ratio]]&gt;=2,"Semi-Significant","Significant")))</f>
        <v>Needs Analysis</v>
      </c>
      <c r="W1783" s="1">
        <f>IF(Table1[[#This Row],[Cal Type]]&lt;&gt;"ACCREDITED 17025 WITH UNCERTAINTIES",0,"")</f>
        <v>0</v>
      </c>
      <c r="X1783" s="1" t="str">
        <f>IF(Table1[[#This Row],[DUT Read]]="","N/A",Table1[[#This Row],[Std Error]]+Table1[[#This Row],[DUT Read]]+Table1[[#This Row],[DUT Ucty]])</f>
        <v>N/A</v>
      </c>
      <c r="Y1783" s="1" t="str">
        <f>IF(Table1[[#This Row],[Std Read]]="","N/A",Table1[[#This Row],[Std Read]]+Table1[[#This Row],[Std Ucty]])</f>
        <v>N/A</v>
      </c>
      <c r="Z17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3" s="1" t="str">
        <f>IF(Table1[[#This Row],[Spec Type]]="","N/A",Table1[[#This Row],[Spec Type]])</f>
        <v>±</v>
      </c>
      <c r="AC1783" s="1" t="str">
        <f>IF(Table1[[#This Row],[Spec Type2]]="N/A","N/A",IF(AND(Table1[[#This Row],[DUT Adj Read]]&gt;=Table1[[#This Row],[Low Tol]],Table1[[#This Row],[DUT Adj Read]]&lt;=Table1[[#This Row],[High Tol]]),"Pass","Fail"))</f>
        <v>Fail</v>
      </c>
      <c r="AD1783" s="1" t="str">
        <f>IF(AND(Table1[[#This Row],[Spec Type2]]="N/A",Table1[[#This Row],[DUT Adj Read]]="N/A",Table1[[#This Row],[Std Adj Read]]="N/A"),"N/A",IF(Table1[[#This Row],[DUT Adj Read]]="N/A",IF(Table1[[#This Row],[Std Adj Read]]&gt;Table1[[#This Row],[Low Tol]],"Pass","Fail"),IF(Table1[[#This Row],[DUT Adj Read]]&gt;Table1[[#This Row],[Low Tol]],"Pass","Fail")))</f>
        <v>Pass</v>
      </c>
      <c r="AE1783" s="1" t="str">
        <f>IF(AND(Table1[[#This Row],[Spec Type2]]="N/A",Table1[[#This Row],[DUT Adj Read]]="N/A",Table1[[#This Row],[Std Adj Read]]="N/A"),"N/A",IF(Table1[[#This Row],[DUT Adj Read]]="N/A",IF(Table1[[#This Row],[Std Adj Read]]&lt;Table1[[#This Row],[High Tol]],"Pass","Fail"),IF(Table1[[#This Row],[DUT Adj Read]]&lt;Table1[[#This Row],[High Tol]],"Pass","Fail")))</f>
        <v>Fail</v>
      </c>
      <c r="AF1783" s="1" t="str">
        <f>IF(AND(Table1[[#This Row],[Spec Type2]]="N/A",Table1[[#This Row],[DUT Adj Read]]="N/A",Table1[[#This Row],[Std Adj Read]]="N/A"),"N/A",IF(Table1[[#This Row],[DUT Adj Read]]="N/A",IF(Table1[[#This Row],[Std Adj Read]]&gt;=Table1[[#This Row],[Low Tol]],"Pass","Fail"),IF(Table1[[#This Row],[DUT Adj Read]]&gt;=Table1[[#This Row],[Low Tol]],"Pass","Fail")))</f>
        <v>Pass</v>
      </c>
      <c r="AG1783" s="1" t="str">
        <f>IF(AND(Table1[[#This Row],[Spec Type2]]="N/A",Table1[[#This Row],[DUT Adj Read]]="N/A",Table1[[#This Row],[Std Adj Read]]="N/A"),"N/A",IF(Table1[[#This Row],[DUT Adj Read]]="N/A",IF(Table1[[#This Row],[Std Adj Read]]&lt;=Table1[[#This Row],[High Tol]],"Pass","Fail"),IF(Table1[[#This Row],[DUT Adj Read]]&lt;=Table1[[#This Row],[High Tol]],"Pass","Fail")))</f>
        <v>Fail</v>
      </c>
      <c r="AH17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3" s="1" t="b">
        <v>0</v>
      </c>
      <c r="AN1783" s="1" t="b">
        <v>0</v>
      </c>
      <c r="AO1783" s="1" t="b">
        <v>0</v>
      </c>
    </row>
    <row r="1784" spans="1:41" x14ac:dyDescent="0.25">
      <c r="A1784" s="10"/>
      <c r="B1784" s="10"/>
      <c r="C1784" s="10"/>
      <c r="D1784" s="10"/>
      <c r="E1784" s="10"/>
      <c r="F1784" s="10"/>
      <c r="G1784" s="10"/>
      <c r="H1784" s="10"/>
      <c r="I1784" s="1" t="str">
        <f t="shared" si="81"/>
        <v/>
      </c>
      <c r="J1784" s="1" t="s">
        <v>35</v>
      </c>
      <c r="K1784" s="1" t="str">
        <f t="shared" si="82"/>
        <v/>
      </c>
      <c r="L1784" s="1" t="str">
        <f t="shared" si="83"/>
        <v/>
      </c>
      <c r="M1784" s="1">
        <f>IF(OR(Table1[[#This Row],[Std Nom]]="",Table1[[#This Row],[Std Read]]=""),0,Table1[[#This Row],[Std Nom]]-Table1[[#This Row],[Std Read]])</f>
        <v>0</v>
      </c>
      <c r="N1784" s="1">
        <f>IF(Calculations!$F$5="ACCREDITED 17025 WITH UNCERTAINTIES",$N$10,0)</f>
        <v>0</v>
      </c>
      <c r="O1784" s="1" t="str">
        <f>IFERROR(Table1[[#This Row],[Std Nom]]-(_xlfn.XLOOKUP(Table1[[#This Row],[Manufacturer]]&amp;" "&amp;Table1[[#This Row],[Model]],Table13[MFR &amp; MDL],Table13[Tolerance % CW ],"")/100*Table1[[#This Row],[Std Nom]]),"")</f>
        <v/>
      </c>
      <c r="P1784" s="1" t="str">
        <f>IFERROR(Table1[[#This Row],[Std Nom]]+(_xlfn.XLOOKUP(Table1[[#This Row],[Manufacturer]]&amp;" "&amp;Table1[[#This Row],[Model]],Table13[MFR &amp; MDL],Table13[Tolerance % CW ],"")/100*Table1[[#This Row],[Std Nom]]),"")</f>
        <v/>
      </c>
      <c r="Q1784" s="1" t="e">
        <f>Table1[[#This Row],[High Tol]]-Table1[[#This Row],[Low Tol]]</f>
        <v>#VALUE!</v>
      </c>
      <c r="R1784" s="1">
        <f>2*Table1[[#This Row],[Std Error]]</f>
        <v>0</v>
      </c>
      <c r="S1784" s="1" t="str">
        <f>IF(Table1[[#This Row],[High Tol]]="","N/A",IFERROR(ABS(Table1[[#This Row],[Tol Span]]/Table1[[#This Row],[Error Span]]),"N/A"))</f>
        <v>N/A</v>
      </c>
      <c r="T1784" s="1" t="str">
        <f>IF(OR(Table1[[#This Row],[Low Tol]]="",Table1[[#This Row],[High Tol]]=""),"Needs Analysis",IF(Table1[[#This Row],[Ratio]]&gt;=4,"Not Significant",IF(Table1[[#This Row],[Ratio]]&gt;=2,"Semi-Significant","Significant")))</f>
        <v>Needs Analysis</v>
      </c>
      <c r="W1784" s="1">
        <f>IF(Table1[[#This Row],[Cal Type]]&lt;&gt;"ACCREDITED 17025 WITH UNCERTAINTIES",0,"")</f>
        <v>0</v>
      </c>
      <c r="X1784" s="1" t="str">
        <f>IF(Table1[[#This Row],[DUT Read]]="","N/A",Table1[[#This Row],[Std Error]]+Table1[[#This Row],[DUT Read]]+Table1[[#This Row],[DUT Ucty]])</f>
        <v>N/A</v>
      </c>
      <c r="Y1784" s="1" t="str">
        <f>IF(Table1[[#This Row],[Std Read]]="","N/A",Table1[[#This Row],[Std Read]]+Table1[[#This Row],[Std Ucty]])</f>
        <v>N/A</v>
      </c>
      <c r="Z17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4" s="1" t="str">
        <f>IF(Table1[[#This Row],[Spec Type]]="","N/A",Table1[[#This Row],[Spec Type]])</f>
        <v>±</v>
      </c>
      <c r="AC1784" s="1" t="str">
        <f>IF(Table1[[#This Row],[Spec Type2]]="N/A","N/A",IF(AND(Table1[[#This Row],[DUT Adj Read]]&gt;=Table1[[#This Row],[Low Tol]],Table1[[#This Row],[DUT Adj Read]]&lt;=Table1[[#This Row],[High Tol]]),"Pass","Fail"))</f>
        <v>Fail</v>
      </c>
      <c r="AD1784" s="1" t="str">
        <f>IF(AND(Table1[[#This Row],[Spec Type2]]="N/A",Table1[[#This Row],[DUT Adj Read]]="N/A",Table1[[#This Row],[Std Adj Read]]="N/A"),"N/A",IF(Table1[[#This Row],[DUT Adj Read]]="N/A",IF(Table1[[#This Row],[Std Adj Read]]&gt;Table1[[#This Row],[Low Tol]],"Pass","Fail"),IF(Table1[[#This Row],[DUT Adj Read]]&gt;Table1[[#This Row],[Low Tol]],"Pass","Fail")))</f>
        <v>Pass</v>
      </c>
      <c r="AE1784" s="1" t="str">
        <f>IF(AND(Table1[[#This Row],[Spec Type2]]="N/A",Table1[[#This Row],[DUT Adj Read]]="N/A",Table1[[#This Row],[Std Adj Read]]="N/A"),"N/A",IF(Table1[[#This Row],[DUT Adj Read]]="N/A",IF(Table1[[#This Row],[Std Adj Read]]&lt;Table1[[#This Row],[High Tol]],"Pass","Fail"),IF(Table1[[#This Row],[DUT Adj Read]]&lt;Table1[[#This Row],[High Tol]],"Pass","Fail")))</f>
        <v>Fail</v>
      </c>
      <c r="AF1784" s="1" t="str">
        <f>IF(AND(Table1[[#This Row],[Spec Type2]]="N/A",Table1[[#This Row],[DUT Adj Read]]="N/A",Table1[[#This Row],[Std Adj Read]]="N/A"),"N/A",IF(Table1[[#This Row],[DUT Adj Read]]="N/A",IF(Table1[[#This Row],[Std Adj Read]]&gt;=Table1[[#This Row],[Low Tol]],"Pass","Fail"),IF(Table1[[#This Row],[DUT Adj Read]]&gt;=Table1[[#This Row],[Low Tol]],"Pass","Fail")))</f>
        <v>Pass</v>
      </c>
      <c r="AG1784" s="1" t="str">
        <f>IF(AND(Table1[[#This Row],[Spec Type2]]="N/A",Table1[[#This Row],[DUT Adj Read]]="N/A",Table1[[#This Row],[Std Adj Read]]="N/A"),"N/A",IF(Table1[[#This Row],[DUT Adj Read]]="N/A",IF(Table1[[#This Row],[Std Adj Read]]&lt;=Table1[[#This Row],[High Tol]],"Pass","Fail"),IF(Table1[[#This Row],[DUT Adj Read]]&lt;=Table1[[#This Row],[High Tol]],"Pass","Fail")))</f>
        <v>Fail</v>
      </c>
      <c r="AH17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4" s="1" t="b">
        <v>0</v>
      </c>
      <c r="AN1784" s="1" t="b">
        <v>0</v>
      </c>
      <c r="AO1784" s="1" t="b">
        <v>0</v>
      </c>
    </row>
    <row r="1785" spans="1:41" x14ac:dyDescent="0.25">
      <c r="A1785" s="10"/>
      <c r="B1785" s="10"/>
      <c r="C1785" s="10"/>
      <c r="D1785" s="10"/>
      <c r="E1785" s="10"/>
      <c r="F1785" s="10"/>
      <c r="G1785" s="10"/>
      <c r="H1785" s="10"/>
      <c r="I1785" s="1" t="str">
        <f t="shared" si="81"/>
        <v/>
      </c>
      <c r="J1785" s="1" t="s">
        <v>35</v>
      </c>
      <c r="K1785" s="1" t="str">
        <f t="shared" si="82"/>
        <v/>
      </c>
      <c r="L1785" s="1" t="str">
        <f t="shared" si="83"/>
        <v/>
      </c>
      <c r="M1785" s="1">
        <f>IF(OR(Table1[[#This Row],[Std Nom]]="",Table1[[#This Row],[Std Read]]=""),0,Table1[[#This Row],[Std Nom]]-Table1[[#This Row],[Std Read]])</f>
        <v>0</v>
      </c>
      <c r="N1785" s="1">
        <f>IF(Calculations!$F$5="ACCREDITED 17025 WITH UNCERTAINTIES",$N$10,0)</f>
        <v>0</v>
      </c>
      <c r="O1785" s="1" t="str">
        <f>IFERROR(Table1[[#This Row],[Std Nom]]-(_xlfn.XLOOKUP(Table1[[#This Row],[Manufacturer]]&amp;" "&amp;Table1[[#This Row],[Model]],Table13[MFR &amp; MDL],Table13[Tolerance % CW ],"")/100*Table1[[#This Row],[Std Nom]]),"")</f>
        <v/>
      </c>
      <c r="P1785" s="1" t="str">
        <f>IFERROR(Table1[[#This Row],[Std Nom]]+(_xlfn.XLOOKUP(Table1[[#This Row],[Manufacturer]]&amp;" "&amp;Table1[[#This Row],[Model]],Table13[MFR &amp; MDL],Table13[Tolerance % CW ],"")/100*Table1[[#This Row],[Std Nom]]),"")</f>
        <v/>
      </c>
      <c r="Q1785" s="1" t="e">
        <f>Table1[[#This Row],[High Tol]]-Table1[[#This Row],[Low Tol]]</f>
        <v>#VALUE!</v>
      </c>
      <c r="R1785" s="1">
        <f>2*Table1[[#This Row],[Std Error]]</f>
        <v>0</v>
      </c>
      <c r="S1785" s="1" t="str">
        <f>IF(Table1[[#This Row],[High Tol]]="","N/A",IFERROR(ABS(Table1[[#This Row],[Tol Span]]/Table1[[#This Row],[Error Span]]),"N/A"))</f>
        <v>N/A</v>
      </c>
      <c r="T1785" s="1" t="str">
        <f>IF(OR(Table1[[#This Row],[Low Tol]]="",Table1[[#This Row],[High Tol]]=""),"Needs Analysis",IF(Table1[[#This Row],[Ratio]]&gt;=4,"Not Significant",IF(Table1[[#This Row],[Ratio]]&gt;=2,"Semi-Significant","Significant")))</f>
        <v>Needs Analysis</v>
      </c>
      <c r="W1785" s="1">
        <f>IF(Table1[[#This Row],[Cal Type]]&lt;&gt;"ACCREDITED 17025 WITH UNCERTAINTIES",0,"")</f>
        <v>0</v>
      </c>
      <c r="X1785" s="1" t="str">
        <f>IF(Table1[[#This Row],[DUT Read]]="","N/A",Table1[[#This Row],[Std Error]]+Table1[[#This Row],[DUT Read]]+Table1[[#This Row],[DUT Ucty]])</f>
        <v>N/A</v>
      </c>
      <c r="Y1785" s="1" t="str">
        <f>IF(Table1[[#This Row],[Std Read]]="","N/A",Table1[[#This Row],[Std Read]]+Table1[[#This Row],[Std Ucty]])</f>
        <v>N/A</v>
      </c>
      <c r="Z17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5" s="1" t="str">
        <f>IF(Table1[[#This Row],[Spec Type]]="","N/A",Table1[[#This Row],[Spec Type]])</f>
        <v>±</v>
      </c>
      <c r="AC1785" s="1" t="str">
        <f>IF(Table1[[#This Row],[Spec Type2]]="N/A","N/A",IF(AND(Table1[[#This Row],[DUT Adj Read]]&gt;=Table1[[#This Row],[Low Tol]],Table1[[#This Row],[DUT Adj Read]]&lt;=Table1[[#This Row],[High Tol]]),"Pass","Fail"))</f>
        <v>Fail</v>
      </c>
      <c r="AD1785" s="1" t="str">
        <f>IF(AND(Table1[[#This Row],[Spec Type2]]="N/A",Table1[[#This Row],[DUT Adj Read]]="N/A",Table1[[#This Row],[Std Adj Read]]="N/A"),"N/A",IF(Table1[[#This Row],[DUT Adj Read]]="N/A",IF(Table1[[#This Row],[Std Adj Read]]&gt;Table1[[#This Row],[Low Tol]],"Pass","Fail"),IF(Table1[[#This Row],[DUT Adj Read]]&gt;Table1[[#This Row],[Low Tol]],"Pass","Fail")))</f>
        <v>Pass</v>
      </c>
      <c r="AE1785" s="1" t="str">
        <f>IF(AND(Table1[[#This Row],[Spec Type2]]="N/A",Table1[[#This Row],[DUT Adj Read]]="N/A",Table1[[#This Row],[Std Adj Read]]="N/A"),"N/A",IF(Table1[[#This Row],[DUT Adj Read]]="N/A",IF(Table1[[#This Row],[Std Adj Read]]&lt;Table1[[#This Row],[High Tol]],"Pass","Fail"),IF(Table1[[#This Row],[DUT Adj Read]]&lt;Table1[[#This Row],[High Tol]],"Pass","Fail")))</f>
        <v>Fail</v>
      </c>
      <c r="AF1785" s="1" t="str">
        <f>IF(AND(Table1[[#This Row],[Spec Type2]]="N/A",Table1[[#This Row],[DUT Adj Read]]="N/A",Table1[[#This Row],[Std Adj Read]]="N/A"),"N/A",IF(Table1[[#This Row],[DUT Adj Read]]="N/A",IF(Table1[[#This Row],[Std Adj Read]]&gt;=Table1[[#This Row],[Low Tol]],"Pass","Fail"),IF(Table1[[#This Row],[DUT Adj Read]]&gt;=Table1[[#This Row],[Low Tol]],"Pass","Fail")))</f>
        <v>Pass</v>
      </c>
      <c r="AG1785" s="1" t="str">
        <f>IF(AND(Table1[[#This Row],[Spec Type2]]="N/A",Table1[[#This Row],[DUT Adj Read]]="N/A",Table1[[#This Row],[Std Adj Read]]="N/A"),"N/A",IF(Table1[[#This Row],[DUT Adj Read]]="N/A",IF(Table1[[#This Row],[Std Adj Read]]&lt;=Table1[[#This Row],[High Tol]],"Pass","Fail"),IF(Table1[[#This Row],[DUT Adj Read]]&lt;=Table1[[#This Row],[High Tol]],"Pass","Fail")))</f>
        <v>Fail</v>
      </c>
      <c r="AH17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5" s="1" t="b">
        <v>0</v>
      </c>
      <c r="AN1785" s="1" t="b">
        <v>0</v>
      </c>
      <c r="AO1785" s="1" t="b">
        <v>0</v>
      </c>
    </row>
    <row r="1786" spans="1:41" x14ac:dyDescent="0.25">
      <c r="A1786" s="10"/>
      <c r="B1786" s="10"/>
      <c r="C1786" s="10"/>
      <c r="D1786" s="10"/>
      <c r="E1786" s="10"/>
      <c r="F1786" s="10"/>
      <c r="G1786" s="10"/>
      <c r="H1786" s="10"/>
      <c r="I1786" s="1" t="str">
        <f t="shared" si="81"/>
        <v/>
      </c>
      <c r="J1786" s="1" t="s">
        <v>35</v>
      </c>
      <c r="K1786" s="1" t="str">
        <f t="shared" si="82"/>
        <v/>
      </c>
      <c r="L1786" s="1" t="str">
        <f t="shared" si="83"/>
        <v/>
      </c>
      <c r="M1786" s="1">
        <f>IF(OR(Table1[[#This Row],[Std Nom]]="",Table1[[#This Row],[Std Read]]=""),0,Table1[[#This Row],[Std Nom]]-Table1[[#This Row],[Std Read]])</f>
        <v>0</v>
      </c>
      <c r="N1786" s="1">
        <f>IF(Calculations!$F$5="ACCREDITED 17025 WITH UNCERTAINTIES",$N$10,0)</f>
        <v>0</v>
      </c>
      <c r="O1786" s="1" t="str">
        <f>IFERROR(Table1[[#This Row],[Std Nom]]-(_xlfn.XLOOKUP(Table1[[#This Row],[Manufacturer]]&amp;" "&amp;Table1[[#This Row],[Model]],Table13[MFR &amp; MDL],Table13[Tolerance % CW ],"")/100*Table1[[#This Row],[Std Nom]]),"")</f>
        <v/>
      </c>
      <c r="P1786" s="1" t="str">
        <f>IFERROR(Table1[[#This Row],[Std Nom]]+(_xlfn.XLOOKUP(Table1[[#This Row],[Manufacturer]]&amp;" "&amp;Table1[[#This Row],[Model]],Table13[MFR &amp; MDL],Table13[Tolerance % CW ],"")/100*Table1[[#This Row],[Std Nom]]),"")</f>
        <v/>
      </c>
      <c r="Q1786" s="1" t="e">
        <f>Table1[[#This Row],[High Tol]]-Table1[[#This Row],[Low Tol]]</f>
        <v>#VALUE!</v>
      </c>
      <c r="R1786" s="1">
        <f>2*Table1[[#This Row],[Std Error]]</f>
        <v>0</v>
      </c>
      <c r="S1786" s="1" t="str">
        <f>IF(Table1[[#This Row],[High Tol]]="","N/A",IFERROR(ABS(Table1[[#This Row],[Tol Span]]/Table1[[#This Row],[Error Span]]),"N/A"))</f>
        <v>N/A</v>
      </c>
      <c r="T1786" s="1" t="str">
        <f>IF(OR(Table1[[#This Row],[Low Tol]]="",Table1[[#This Row],[High Tol]]=""),"Needs Analysis",IF(Table1[[#This Row],[Ratio]]&gt;=4,"Not Significant",IF(Table1[[#This Row],[Ratio]]&gt;=2,"Semi-Significant","Significant")))</f>
        <v>Needs Analysis</v>
      </c>
      <c r="W1786" s="1">
        <f>IF(Table1[[#This Row],[Cal Type]]&lt;&gt;"ACCREDITED 17025 WITH UNCERTAINTIES",0,"")</f>
        <v>0</v>
      </c>
      <c r="X1786" s="1" t="str">
        <f>IF(Table1[[#This Row],[DUT Read]]="","N/A",Table1[[#This Row],[Std Error]]+Table1[[#This Row],[DUT Read]]+Table1[[#This Row],[DUT Ucty]])</f>
        <v>N/A</v>
      </c>
      <c r="Y1786" s="1" t="str">
        <f>IF(Table1[[#This Row],[Std Read]]="","N/A",Table1[[#This Row],[Std Read]]+Table1[[#This Row],[Std Ucty]])</f>
        <v>N/A</v>
      </c>
      <c r="Z17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6" s="1" t="str">
        <f>IF(Table1[[#This Row],[Spec Type]]="","N/A",Table1[[#This Row],[Spec Type]])</f>
        <v>±</v>
      </c>
      <c r="AC1786" s="1" t="str">
        <f>IF(Table1[[#This Row],[Spec Type2]]="N/A","N/A",IF(AND(Table1[[#This Row],[DUT Adj Read]]&gt;=Table1[[#This Row],[Low Tol]],Table1[[#This Row],[DUT Adj Read]]&lt;=Table1[[#This Row],[High Tol]]),"Pass","Fail"))</f>
        <v>Fail</v>
      </c>
      <c r="AD1786" s="1" t="str">
        <f>IF(AND(Table1[[#This Row],[Spec Type2]]="N/A",Table1[[#This Row],[DUT Adj Read]]="N/A",Table1[[#This Row],[Std Adj Read]]="N/A"),"N/A",IF(Table1[[#This Row],[DUT Adj Read]]="N/A",IF(Table1[[#This Row],[Std Adj Read]]&gt;Table1[[#This Row],[Low Tol]],"Pass","Fail"),IF(Table1[[#This Row],[DUT Adj Read]]&gt;Table1[[#This Row],[Low Tol]],"Pass","Fail")))</f>
        <v>Pass</v>
      </c>
      <c r="AE1786" s="1" t="str">
        <f>IF(AND(Table1[[#This Row],[Spec Type2]]="N/A",Table1[[#This Row],[DUT Adj Read]]="N/A",Table1[[#This Row],[Std Adj Read]]="N/A"),"N/A",IF(Table1[[#This Row],[DUT Adj Read]]="N/A",IF(Table1[[#This Row],[Std Adj Read]]&lt;Table1[[#This Row],[High Tol]],"Pass","Fail"),IF(Table1[[#This Row],[DUT Adj Read]]&lt;Table1[[#This Row],[High Tol]],"Pass","Fail")))</f>
        <v>Fail</v>
      </c>
      <c r="AF1786" s="1" t="str">
        <f>IF(AND(Table1[[#This Row],[Spec Type2]]="N/A",Table1[[#This Row],[DUT Adj Read]]="N/A",Table1[[#This Row],[Std Adj Read]]="N/A"),"N/A",IF(Table1[[#This Row],[DUT Adj Read]]="N/A",IF(Table1[[#This Row],[Std Adj Read]]&gt;=Table1[[#This Row],[Low Tol]],"Pass","Fail"),IF(Table1[[#This Row],[DUT Adj Read]]&gt;=Table1[[#This Row],[Low Tol]],"Pass","Fail")))</f>
        <v>Pass</v>
      </c>
      <c r="AG1786" s="1" t="str">
        <f>IF(AND(Table1[[#This Row],[Spec Type2]]="N/A",Table1[[#This Row],[DUT Adj Read]]="N/A",Table1[[#This Row],[Std Adj Read]]="N/A"),"N/A",IF(Table1[[#This Row],[DUT Adj Read]]="N/A",IF(Table1[[#This Row],[Std Adj Read]]&lt;=Table1[[#This Row],[High Tol]],"Pass","Fail"),IF(Table1[[#This Row],[DUT Adj Read]]&lt;=Table1[[#This Row],[High Tol]],"Pass","Fail")))</f>
        <v>Fail</v>
      </c>
      <c r="AH17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6" s="1" t="b">
        <v>0</v>
      </c>
      <c r="AN1786" s="1" t="b">
        <v>0</v>
      </c>
      <c r="AO1786" s="1" t="b">
        <v>0</v>
      </c>
    </row>
    <row r="1787" spans="1:41" x14ac:dyDescent="0.25">
      <c r="A1787" s="10"/>
      <c r="B1787" s="10"/>
      <c r="C1787" s="10"/>
      <c r="D1787" s="10"/>
      <c r="E1787" s="10"/>
      <c r="F1787" s="10"/>
      <c r="G1787" s="10"/>
      <c r="H1787" s="10"/>
      <c r="I1787" s="1" t="str">
        <f t="shared" si="81"/>
        <v/>
      </c>
      <c r="J1787" s="1" t="s">
        <v>35</v>
      </c>
      <c r="K1787" s="1" t="str">
        <f t="shared" si="82"/>
        <v/>
      </c>
      <c r="L1787" s="1" t="str">
        <f t="shared" si="83"/>
        <v/>
      </c>
      <c r="M1787" s="1">
        <f>IF(OR(Table1[[#This Row],[Std Nom]]="",Table1[[#This Row],[Std Read]]=""),0,Table1[[#This Row],[Std Nom]]-Table1[[#This Row],[Std Read]])</f>
        <v>0</v>
      </c>
      <c r="N1787" s="1">
        <f>IF(Calculations!$F$5="ACCREDITED 17025 WITH UNCERTAINTIES",$N$10,0)</f>
        <v>0</v>
      </c>
      <c r="O1787" s="1" t="str">
        <f>IFERROR(Table1[[#This Row],[Std Nom]]-(_xlfn.XLOOKUP(Table1[[#This Row],[Manufacturer]]&amp;" "&amp;Table1[[#This Row],[Model]],Table13[MFR &amp; MDL],Table13[Tolerance % CW ],"")/100*Table1[[#This Row],[Std Nom]]),"")</f>
        <v/>
      </c>
      <c r="P1787" s="1" t="str">
        <f>IFERROR(Table1[[#This Row],[Std Nom]]+(_xlfn.XLOOKUP(Table1[[#This Row],[Manufacturer]]&amp;" "&amp;Table1[[#This Row],[Model]],Table13[MFR &amp; MDL],Table13[Tolerance % CW ],"")/100*Table1[[#This Row],[Std Nom]]),"")</f>
        <v/>
      </c>
      <c r="Q1787" s="1" t="e">
        <f>Table1[[#This Row],[High Tol]]-Table1[[#This Row],[Low Tol]]</f>
        <v>#VALUE!</v>
      </c>
      <c r="R1787" s="1">
        <f>2*Table1[[#This Row],[Std Error]]</f>
        <v>0</v>
      </c>
      <c r="S1787" s="1" t="str">
        <f>IF(Table1[[#This Row],[High Tol]]="","N/A",IFERROR(ABS(Table1[[#This Row],[Tol Span]]/Table1[[#This Row],[Error Span]]),"N/A"))</f>
        <v>N/A</v>
      </c>
      <c r="T1787" s="1" t="str">
        <f>IF(OR(Table1[[#This Row],[Low Tol]]="",Table1[[#This Row],[High Tol]]=""),"Needs Analysis",IF(Table1[[#This Row],[Ratio]]&gt;=4,"Not Significant",IF(Table1[[#This Row],[Ratio]]&gt;=2,"Semi-Significant","Significant")))</f>
        <v>Needs Analysis</v>
      </c>
      <c r="W1787" s="1">
        <f>IF(Table1[[#This Row],[Cal Type]]&lt;&gt;"ACCREDITED 17025 WITH UNCERTAINTIES",0,"")</f>
        <v>0</v>
      </c>
      <c r="X1787" s="1" t="str">
        <f>IF(Table1[[#This Row],[DUT Read]]="","N/A",Table1[[#This Row],[Std Error]]+Table1[[#This Row],[DUT Read]]+Table1[[#This Row],[DUT Ucty]])</f>
        <v>N/A</v>
      </c>
      <c r="Y1787" s="1" t="str">
        <f>IF(Table1[[#This Row],[Std Read]]="","N/A",Table1[[#This Row],[Std Read]]+Table1[[#This Row],[Std Ucty]])</f>
        <v>N/A</v>
      </c>
      <c r="Z17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7" s="1" t="str">
        <f>IF(Table1[[#This Row],[Spec Type]]="","N/A",Table1[[#This Row],[Spec Type]])</f>
        <v>±</v>
      </c>
      <c r="AC1787" s="1" t="str">
        <f>IF(Table1[[#This Row],[Spec Type2]]="N/A","N/A",IF(AND(Table1[[#This Row],[DUT Adj Read]]&gt;=Table1[[#This Row],[Low Tol]],Table1[[#This Row],[DUT Adj Read]]&lt;=Table1[[#This Row],[High Tol]]),"Pass","Fail"))</f>
        <v>Fail</v>
      </c>
      <c r="AD1787" s="1" t="str">
        <f>IF(AND(Table1[[#This Row],[Spec Type2]]="N/A",Table1[[#This Row],[DUT Adj Read]]="N/A",Table1[[#This Row],[Std Adj Read]]="N/A"),"N/A",IF(Table1[[#This Row],[DUT Adj Read]]="N/A",IF(Table1[[#This Row],[Std Adj Read]]&gt;Table1[[#This Row],[Low Tol]],"Pass","Fail"),IF(Table1[[#This Row],[DUT Adj Read]]&gt;Table1[[#This Row],[Low Tol]],"Pass","Fail")))</f>
        <v>Pass</v>
      </c>
      <c r="AE1787" s="1" t="str">
        <f>IF(AND(Table1[[#This Row],[Spec Type2]]="N/A",Table1[[#This Row],[DUT Adj Read]]="N/A",Table1[[#This Row],[Std Adj Read]]="N/A"),"N/A",IF(Table1[[#This Row],[DUT Adj Read]]="N/A",IF(Table1[[#This Row],[Std Adj Read]]&lt;Table1[[#This Row],[High Tol]],"Pass","Fail"),IF(Table1[[#This Row],[DUT Adj Read]]&lt;Table1[[#This Row],[High Tol]],"Pass","Fail")))</f>
        <v>Fail</v>
      </c>
      <c r="AF1787" s="1" t="str">
        <f>IF(AND(Table1[[#This Row],[Spec Type2]]="N/A",Table1[[#This Row],[DUT Adj Read]]="N/A",Table1[[#This Row],[Std Adj Read]]="N/A"),"N/A",IF(Table1[[#This Row],[DUT Adj Read]]="N/A",IF(Table1[[#This Row],[Std Adj Read]]&gt;=Table1[[#This Row],[Low Tol]],"Pass","Fail"),IF(Table1[[#This Row],[DUT Adj Read]]&gt;=Table1[[#This Row],[Low Tol]],"Pass","Fail")))</f>
        <v>Pass</v>
      </c>
      <c r="AG1787" s="1" t="str">
        <f>IF(AND(Table1[[#This Row],[Spec Type2]]="N/A",Table1[[#This Row],[DUT Adj Read]]="N/A",Table1[[#This Row],[Std Adj Read]]="N/A"),"N/A",IF(Table1[[#This Row],[DUT Adj Read]]="N/A",IF(Table1[[#This Row],[Std Adj Read]]&lt;=Table1[[#This Row],[High Tol]],"Pass","Fail"),IF(Table1[[#This Row],[DUT Adj Read]]&lt;=Table1[[#This Row],[High Tol]],"Pass","Fail")))</f>
        <v>Fail</v>
      </c>
      <c r="AH17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7" s="1" t="b">
        <v>0</v>
      </c>
      <c r="AN1787" s="1" t="b">
        <v>0</v>
      </c>
      <c r="AO1787" s="1" t="b">
        <v>0</v>
      </c>
    </row>
    <row r="1788" spans="1:41" x14ac:dyDescent="0.25">
      <c r="A1788" s="10"/>
      <c r="B1788" s="10"/>
      <c r="C1788" s="10"/>
      <c r="D1788" s="10"/>
      <c r="E1788" s="10"/>
      <c r="F1788" s="10"/>
      <c r="G1788" s="10"/>
      <c r="H1788" s="10"/>
      <c r="I1788" s="1" t="str">
        <f t="shared" si="81"/>
        <v/>
      </c>
      <c r="J1788" s="1" t="s">
        <v>35</v>
      </c>
      <c r="K1788" s="1" t="str">
        <f t="shared" si="82"/>
        <v/>
      </c>
      <c r="L1788" s="1" t="str">
        <f t="shared" si="83"/>
        <v/>
      </c>
      <c r="M1788" s="1">
        <f>IF(OR(Table1[[#This Row],[Std Nom]]="",Table1[[#This Row],[Std Read]]=""),0,Table1[[#This Row],[Std Nom]]-Table1[[#This Row],[Std Read]])</f>
        <v>0</v>
      </c>
      <c r="N1788" s="1">
        <f>IF(Calculations!$F$5="ACCREDITED 17025 WITH UNCERTAINTIES",$N$10,0)</f>
        <v>0</v>
      </c>
      <c r="O1788" s="1" t="str">
        <f>IFERROR(Table1[[#This Row],[Std Nom]]-(_xlfn.XLOOKUP(Table1[[#This Row],[Manufacturer]]&amp;" "&amp;Table1[[#This Row],[Model]],Table13[MFR &amp; MDL],Table13[Tolerance % CW ],"")/100*Table1[[#This Row],[Std Nom]]),"")</f>
        <v/>
      </c>
      <c r="P1788" s="1" t="str">
        <f>IFERROR(Table1[[#This Row],[Std Nom]]+(_xlfn.XLOOKUP(Table1[[#This Row],[Manufacturer]]&amp;" "&amp;Table1[[#This Row],[Model]],Table13[MFR &amp; MDL],Table13[Tolerance % CW ],"")/100*Table1[[#This Row],[Std Nom]]),"")</f>
        <v/>
      </c>
      <c r="Q1788" s="1" t="e">
        <f>Table1[[#This Row],[High Tol]]-Table1[[#This Row],[Low Tol]]</f>
        <v>#VALUE!</v>
      </c>
      <c r="R1788" s="1">
        <f>2*Table1[[#This Row],[Std Error]]</f>
        <v>0</v>
      </c>
      <c r="S1788" s="1" t="str">
        <f>IF(Table1[[#This Row],[High Tol]]="","N/A",IFERROR(ABS(Table1[[#This Row],[Tol Span]]/Table1[[#This Row],[Error Span]]),"N/A"))</f>
        <v>N/A</v>
      </c>
      <c r="T1788" s="1" t="str">
        <f>IF(OR(Table1[[#This Row],[Low Tol]]="",Table1[[#This Row],[High Tol]]=""),"Needs Analysis",IF(Table1[[#This Row],[Ratio]]&gt;=4,"Not Significant",IF(Table1[[#This Row],[Ratio]]&gt;=2,"Semi-Significant","Significant")))</f>
        <v>Needs Analysis</v>
      </c>
      <c r="W1788" s="1">
        <f>IF(Table1[[#This Row],[Cal Type]]&lt;&gt;"ACCREDITED 17025 WITH UNCERTAINTIES",0,"")</f>
        <v>0</v>
      </c>
      <c r="X1788" s="1" t="str">
        <f>IF(Table1[[#This Row],[DUT Read]]="","N/A",Table1[[#This Row],[Std Error]]+Table1[[#This Row],[DUT Read]]+Table1[[#This Row],[DUT Ucty]])</f>
        <v>N/A</v>
      </c>
      <c r="Y1788" s="1" t="str">
        <f>IF(Table1[[#This Row],[Std Read]]="","N/A",Table1[[#This Row],[Std Read]]+Table1[[#This Row],[Std Ucty]])</f>
        <v>N/A</v>
      </c>
      <c r="Z17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8" s="1" t="str">
        <f>IF(Table1[[#This Row],[Spec Type]]="","N/A",Table1[[#This Row],[Spec Type]])</f>
        <v>±</v>
      </c>
      <c r="AC1788" s="1" t="str">
        <f>IF(Table1[[#This Row],[Spec Type2]]="N/A","N/A",IF(AND(Table1[[#This Row],[DUT Adj Read]]&gt;=Table1[[#This Row],[Low Tol]],Table1[[#This Row],[DUT Adj Read]]&lt;=Table1[[#This Row],[High Tol]]),"Pass","Fail"))</f>
        <v>Fail</v>
      </c>
      <c r="AD1788" s="1" t="str">
        <f>IF(AND(Table1[[#This Row],[Spec Type2]]="N/A",Table1[[#This Row],[DUT Adj Read]]="N/A",Table1[[#This Row],[Std Adj Read]]="N/A"),"N/A",IF(Table1[[#This Row],[DUT Adj Read]]="N/A",IF(Table1[[#This Row],[Std Adj Read]]&gt;Table1[[#This Row],[Low Tol]],"Pass","Fail"),IF(Table1[[#This Row],[DUT Adj Read]]&gt;Table1[[#This Row],[Low Tol]],"Pass","Fail")))</f>
        <v>Pass</v>
      </c>
      <c r="AE1788" s="1" t="str">
        <f>IF(AND(Table1[[#This Row],[Spec Type2]]="N/A",Table1[[#This Row],[DUT Adj Read]]="N/A",Table1[[#This Row],[Std Adj Read]]="N/A"),"N/A",IF(Table1[[#This Row],[DUT Adj Read]]="N/A",IF(Table1[[#This Row],[Std Adj Read]]&lt;Table1[[#This Row],[High Tol]],"Pass","Fail"),IF(Table1[[#This Row],[DUT Adj Read]]&lt;Table1[[#This Row],[High Tol]],"Pass","Fail")))</f>
        <v>Fail</v>
      </c>
      <c r="AF1788" s="1" t="str">
        <f>IF(AND(Table1[[#This Row],[Spec Type2]]="N/A",Table1[[#This Row],[DUT Adj Read]]="N/A",Table1[[#This Row],[Std Adj Read]]="N/A"),"N/A",IF(Table1[[#This Row],[DUT Adj Read]]="N/A",IF(Table1[[#This Row],[Std Adj Read]]&gt;=Table1[[#This Row],[Low Tol]],"Pass","Fail"),IF(Table1[[#This Row],[DUT Adj Read]]&gt;=Table1[[#This Row],[Low Tol]],"Pass","Fail")))</f>
        <v>Pass</v>
      </c>
      <c r="AG1788" s="1" t="str">
        <f>IF(AND(Table1[[#This Row],[Spec Type2]]="N/A",Table1[[#This Row],[DUT Adj Read]]="N/A",Table1[[#This Row],[Std Adj Read]]="N/A"),"N/A",IF(Table1[[#This Row],[DUT Adj Read]]="N/A",IF(Table1[[#This Row],[Std Adj Read]]&lt;=Table1[[#This Row],[High Tol]],"Pass","Fail"),IF(Table1[[#This Row],[DUT Adj Read]]&lt;=Table1[[#This Row],[High Tol]],"Pass","Fail")))</f>
        <v>Fail</v>
      </c>
      <c r="AH17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8" s="1" t="b">
        <v>0</v>
      </c>
      <c r="AN1788" s="1" t="b">
        <v>0</v>
      </c>
      <c r="AO1788" s="1" t="b">
        <v>0</v>
      </c>
    </row>
    <row r="1789" spans="1:41" x14ac:dyDescent="0.25">
      <c r="A1789" s="10"/>
      <c r="B1789" s="10"/>
      <c r="C1789" s="10"/>
      <c r="D1789" s="10"/>
      <c r="E1789" s="10"/>
      <c r="F1789" s="10"/>
      <c r="G1789" s="10"/>
      <c r="H1789" s="10"/>
      <c r="I1789" s="1" t="str">
        <f t="shared" si="81"/>
        <v/>
      </c>
      <c r="J1789" s="1" t="s">
        <v>35</v>
      </c>
      <c r="K1789" s="1" t="str">
        <f t="shared" si="82"/>
        <v/>
      </c>
      <c r="L1789" s="1" t="str">
        <f t="shared" si="83"/>
        <v/>
      </c>
      <c r="M1789" s="1">
        <f>IF(OR(Table1[[#This Row],[Std Nom]]="",Table1[[#This Row],[Std Read]]=""),0,Table1[[#This Row],[Std Nom]]-Table1[[#This Row],[Std Read]])</f>
        <v>0</v>
      </c>
      <c r="N1789" s="1">
        <f>IF(Calculations!$F$5="ACCREDITED 17025 WITH UNCERTAINTIES",$N$10,0)</f>
        <v>0</v>
      </c>
      <c r="O1789" s="1" t="str">
        <f>IFERROR(Table1[[#This Row],[Std Nom]]-(_xlfn.XLOOKUP(Table1[[#This Row],[Manufacturer]]&amp;" "&amp;Table1[[#This Row],[Model]],Table13[MFR &amp; MDL],Table13[Tolerance % CW ],"")/100*Table1[[#This Row],[Std Nom]]),"")</f>
        <v/>
      </c>
      <c r="P1789" s="1" t="str">
        <f>IFERROR(Table1[[#This Row],[Std Nom]]+(_xlfn.XLOOKUP(Table1[[#This Row],[Manufacturer]]&amp;" "&amp;Table1[[#This Row],[Model]],Table13[MFR &amp; MDL],Table13[Tolerance % CW ],"")/100*Table1[[#This Row],[Std Nom]]),"")</f>
        <v/>
      </c>
      <c r="Q1789" s="1" t="e">
        <f>Table1[[#This Row],[High Tol]]-Table1[[#This Row],[Low Tol]]</f>
        <v>#VALUE!</v>
      </c>
      <c r="R1789" s="1">
        <f>2*Table1[[#This Row],[Std Error]]</f>
        <v>0</v>
      </c>
      <c r="S1789" s="1" t="str">
        <f>IF(Table1[[#This Row],[High Tol]]="","N/A",IFERROR(ABS(Table1[[#This Row],[Tol Span]]/Table1[[#This Row],[Error Span]]),"N/A"))</f>
        <v>N/A</v>
      </c>
      <c r="T1789" s="1" t="str">
        <f>IF(OR(Table1[[#This Row],[Low Tol]]="",Table1[[#This Row],[High Tol]]=""),"Needs Analysis",IF(Table1[[#This Row],[Ratio]]&gt;=4,"Not Significant",IF(Table1[[#This Row],[Ratio]]&gt;=2,"Semi-Significant","Significant")))</f>
        <v>Needs Analysis</v>
      </c>
      <c r="W1789" s="1">
        <f>IF(Table1[[#This Row],[Cal Type]]&lt;&gt;"ACCREDITED 17025 WITH UNCERTAINTIES",0,"")</f>
        <v>0</v>
      </c>
      <c r="X1789" s="1" t="str">
        <f>IF(Table1[[#This Row],[DUT Read]]="","N/A",Table1[[#This Row],[Std Error]]+Table1[[#This Row],[DUT Read]]+Table1[[#This Row],[DUT Ucty]])</f>
        <v>N/A</v>
      </c>
      <c r="Y1789" s="1" t="str">
        <f>IF(Table1[[#This Row],[Std Read]]="","N/A",Table1[[#This Row],[Std Read]]+Table1[[#This Row],[Std Ucty]])</f>
        <v>N/A</v>
      </c>
      <c r="Z17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9" s="1" t="str">
        <f>IF(Table1[[#This Row],[Spec Type]]="","N/A",Table1[[#This Row],[Spec Type]])</f>
        <v>±</v>
      </c>
      <c r="AC1789" s="1" t="str">
        <f>IF(Table1[[#This Row],[Spec Type2]]="N/A","N/A",IF(AND(Table1[[#This Row],[DUT Adj Read]]&gt;=Table1[[#This Row],[Low Tol]],Table1[[#This Row],[DUT Adj Read]]&lt;=Table1[[#This Row],[High Tol]]),"Pass","Fail"))</f>
        <v>Fail</v>
      </c>
      <c r="AD1789" s="1" t="str">
        <f>IF(AND(Table1[[#This Row],[Spec Type2]]="N/A",Table1[[#This Row],[DUT Adj Read]]="N/A",Table1[[#This Row],[Std Adj Read]]="N/A"),"N/A",IF(Table1[[#This Row],[DUT Adj Read]]="N/A",IF(Table1[[#This Row],[Std Adj Read]]&gt;Table1[[#This Row],[Low Tol]],"Pass","Fail"),IF(Table1[[#This Row],[DUT Adj Read]]&gt;Table1[[#This Row],[Low Tol]],"Pass","Fail")))</f>
        <v>Pass</v>
      </c>
      <c r="AE1789" s="1" t="str">
        <f>IF(AND(Table1[[#This Row],[Spec Type2]]="N/A",Table1[[#This Row],[DUT Adj Read]]="N/A",Table1[[#This Row],[Std Adj Read]]="N/A"),"N/A",IF(Table1[[#This Row],[DUT Adj Read]]="N/A",IF(Table1[[#This Row],[Std Adj Read]]&lt;Table1[[#This Row],[High Tol]],"Pass","Fail"),IF(Table1[[#This Row],[DUT Adj Read]]&lt;Table1[[#This Row],[High Tol]],"Pass","Fail")))</f>
        <v>Fail</v>
      </c>
      <c r="AF1789" s="1" t="str">
        <f>IF(AND(Table1[[#This Row],[Spec Type2]]="N/A",Table1[[#This Row],[DUT Adj Read]]="N/A",Table1[[#This Row],[Std Adj Read]]="N/A"),"N/A",IF(Table1[[#This Row],[DUT Adj Read]]="N/A",IF(Table1[[#This Row],[Std Adj Read]]&gt;=Table1[[#This Row],[Low Tol]],"Pass","Fail"),IF(Table1[[#This Row],[DUT Adj Read]]&gt;=Table1[[#This Row],[Low Tol]],"Pass","Fail")))</f>
        <v>Pass</v>
      </c>
      <c r="AG1789" s="1" t="str">
        <f>IF(AND(Table1[[#This Row],[Spec Type2]]="N/A",Table1[[#This Row],[DUT Adj Read]]="N/A",Table1[[#This Row],[Std Adj Read]]="N/A"),"N/A",IF(Table1[[#This Row],[DUT Adj Read]]="N/A",IF(Table1[[#This Row],[Std Adj Read]]&lt;=Table1[[#This Row],[High Tol]],"Pass","Fail"),IF(Table1[[#This Row],[DUT Adj Read]]&lt;=Table1[[#This Row],[High Tol]],"Pass","Fail")))</f>
        <v>Fail</v>
      </c>
      <c r="AH17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9" s="1" t="b">
        <v>0</v>
      </c>
      <c r="AN1789" s="1" t="b">
        <v>0</v>
      </c>
      <c r="AO1789" s="1" t="b">
        <v>0</v>
      </c>
    </row>
    <row r="1790" spans="1:41" x14ac:dyDescent="0.25">
      <c r="A1790" s="10"/>
      <c r="B1790" s="10"/>
      <c r="C1790" s="10"/>
      <c r="D1790" s="10"/>
      <c r="E1790" s="10"/>
      <c r="F1790" s="10"/>
      <c r="G1790" s="10"/>
      <c r="H1790" s="10"/>
      <c r="I1790" s="1" t="str">
        <f t="shared" si="81"/>
        <v/>
      </c>
      <c r="J1790" s="1" t="s">
        <v>35</v>
      </c>
      <c r="K1790" s="1" t="str">
        <f t="shared" si="82"/>
        <v/>
      </c>
      <c r="L1790" s="1" t="str">
        <f t="shared" si="83"/>
        <v/>
      </c>
      <c r="M1790" s="1">
        <f>IF(OR(Table1[[#This Row],[Std Nom]]="",Table1[[#This Row],[Std Read]]=""),0,Table1[[#This Row],[Std Nom]]-Table1[[#This Row],[Std Read]])</f>
        <v>0</v>
      </c>
      <c r="N1790" s="1">
        <f>IF(Calculations!$F$5="ACCREDITED 17025 WITH UNCERTAINTIES",$N$10,0)</f>
        <v>0</v>
      </c>
      <c r="O1790" s="1" t="str">
        <f>IFERROR(Table1[[#This Row],[Std Nom]]-(_xlfn.XLOOKUP(Table1[[#This Row],[Manufacturer]]&amp;" "&amp;Table1[[#This Row],[Model]],Table13[MFR &amp; MDL],Table13[Tolerance % CW ],"")/100*Table1[[#This Row],[Std Nom]]),"")</f>
        <v/>
      </c>
      <c r="P1790" s="1" t="str">
        <f>IFERROR(Table1[[#This Row],[Std Nom]]+(_xlfn.XLOOKUP(Table1[[#This Row],[Manufacturer]]&amp;" "&amp;Table1[[#This Row],[Model]],Table13[MFR &amp; MDL],Table13[Tolerance % CW ],"")/100*Table1[[#This Row],[Std Nom]]),"")</f>
        <v/>
      </c>
      <c r="Q1790" s="1" t="e">
        <f>Table1[[#This Row],[High Tol]]-Table1[[#This Row],[Low Tol]]</f>
        <v>#VALUE!</v>
      </c>
      <c r="R1790" s="1">
        <f>2*Table1[[#This Row],[Std Error]]</f>
        <v>0</v>
      </c>
      <c r="S1790" s="1" t="str">
        <f>IF(Table1[[#This Row],[High Tol]]="","N/A",IFERROR(ABS(Table1[[#This Row],[Tol Span]]/Table1[[#This Row],[Error Span]]),"N/A"))</f>
        <v>N/A</v>
      </c>
      <c r="T1790" s="1" t="str">
        <f>IF(OR(Table1[[#This Row],[Low Tol]]="",Table1[[#This Row],[High Tol]]=""),"Needs Analysis",IF(Table1[[#This Row],[Ratio]]&gt;=4,"Not Significant",IF(Table1[[#This Row],[Ratio]]&gt;=2,"Semi-Significant","Significant")))</f>
        <v>Needs Analysis</v>
      </c>
      <c r="W1790" s="1">
        <f>IF(Table1[[#This Row],[Cal Type]]&lt;&gt;"ACCREDITED 17025 WITH UNCERTAINTIES",0,"")</f>
        <v>0</v>
      </c>
      <c r="X1790" s="1" t="str">
        <f>IF(Table1[[#This Row],[DUT Read]]="","N/A",Table1[[#This Row],[Std Error]]+Table1[[#This Row],[DUT Read]]+Table1[[#This Row],[DUT Ucty]])</f>
        <v>N/A</v>
      </c>
      <c r="Y1790" s="1" t="str">
        <f>IF(Table1[[#This Row],[Std Read]]="","N/A",Table1[[#This Row],[Std Read]]+Table1[[#This Row],[Std Ucty]])</f>
        <v>N/A</v>
      </c>
      <c r="Z17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0" s="1" t="str">
        <f>IF(Table1[[#This Row],[Spec Type]]="","N/A",Table1[[#This Row],[Spec Type]])</f>
        <v>±</v>
      </c>
      <c r="AC1790" s="1" t="str">
        <f>IF(Table1[[#This Row],[Spec Type2]]="N/A","N/A",IF(AND(Table1[[#This Row],[DUT Adj Read]]&gt;=Table1[[#This Row],[Low Tol]],Table1[[#This Row],[DUT Adj Read]]&lt;=Table1[[#This Row],[High Tol]]),"Pass","Fail"))</f>
        <v>Fail</v>
      </c>
      <c r="AD1790" s="1" t="str">
        <f>IF(AND(Table1[[#This Row],[Spec Type2]]="N/A",Table1[[#This Row],[DUT Adj Read]]="N/A",Table1[[#This Row],[Std Adj Read]]="N/A"),"N/A",IF(Table1[[#This Row],[DUT Adj Read]]="N/A",IF(Table1[[#This Row],[Std Adj Read]]&gt;Table1[[#This Row],[Low Tol]],"Pass","Fail"),IF(Table1[[#This Row],[DUT Adj Read]]&gt;Table1[[#This Row],[Low Tol]],"Pass","Fail")))</f>
        <v>Pass</v>
      </c>
      <c r="AE1790" s="1" t="str">
        <f>IF(AND(Table1[[#This Row],[Spec Type2]]="N/A",Table1[[#This Row],[DUT Adj Read]]="N/A",Table1[[#This Row],[Std Adj Read]]="N/A"),"N/A",IF(Table1[[#This Row],[DUT Adj Read]]="N/A",IF(Table1[[#This Row],[Std Adj Read]]&lt;Table1[[#This Row],[High Tol]],"Pass","Fail"),IF(Table1[[#This Row],[DUT Adj Read]]&lt;Table1[[#This Row],[High Tol]],"Pass","Fail")))</f>
        <v>Fail</v>
      </c>
      <c r="AF1790" s="1" t="str">
        <f>IF(AND(Table1[[#This Row],[Spec Type2]]="N/A",Table1[[#This Row],[DUT Adj Read]]="N/A",Table1[[#This Row],[Std Adj Read]]="N/A"),"N/A",IF(Table1[[#This Row],[DUT Adj Read]]="N/A",IF(Table1[[#This Row],[Std Adj Read]]&gt;=Table1[[#This Row],[Low Tol]],"Pass","Fail"),IF(Table1[[#This Row],[DUT Adj Read]]&gt;=Table1[[#This Row],[Low Tol]],"Pass","Fail")))</f>
        <v>Pass</v>
      </c>
      <c r="AG1790" s="1" t="str">
        <f>IF(AND(Table1[[#This Row],[Spec Type2]]="N/A",Table1[[#This Row],[DUT Adj Read]]="N/A",Table1[[#This Row],[Std Adj Read]]="N/A"),"N/A",IF(Table1[[#This Row],[DUT Adj Read]]="N/A",IF(Table1[[#This Row],[Std Adj Read]]&lt;=Table1[[#This Row],[High Tol]],"Pass","Fail"),IF(Table1[[#This Row],[DUT Adj Read]]&lt;=Table1[[#This Row],[High Tol]],"Pass","Fail")))</f>
        <v>Fail</v>
      </c>
      <c r="AH17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0" s="1" t="b">
        <v>0</v>
      </c>
      <c r="AN1790" s="1" t="b">
        <v>0</v>
      </c>
      <c r="AO1790" s="1" t="b">
        <v>0</v>
      </c>
    </row>
    <row r="1791" spans="1:41" x14ac:dyDescent="0.25">
      <c r="A1791" s="10"/>
      <c r="B1791" s="10"/>
      <c r="C1791" s="10"/>
      <c r="D1791" s="10"/>
      <c r="E1791" s="10"/>
      <c r="F1791" s="10"/>
      <c r="G1791" s="10"/>
      <c r="H1791" s="10"/>
      <c r="I1791" s="1" t="str">
        <f t="shared" si="81"/>
        <v/>
      </c>
      <c r="J1791" s="1" t="s">
        <v>35</v>
      </c>
      <c r="K1791" s="1" t="str">
        <f t="shared" si="82"/>
        <v/>
      </c>
      <c r="L1791" s="1" t="str">
        <f t="shared" si="83"/>
        <v/>
      </c>
      <c r="M1791" s="1">
        <f>IF(OR(Table1[[#This Row],[Std Nom]]="",Table1[[#This Row],[Std Read]]=""),0,Table1[[#This Row],[Std Nom]]-Table1[[#This Row],[Std Read]])</f>
        <v>0</v>
      </c>
      <c r="N1791" s="1">
        <f>IF(Calculations!$F$5="ACCREDITED 17025 WITH UNCERTAINTIES",$N$10,0)</f>
        <v>0</v>
      </c>
      <c r="O1791" s="1" t="str">
        <f>IFERROR(Table1[[#This Row],[Std Nom]]-(_xlfn.XLOOKUP(Table1[[#This Row],[Manufacturer]]&amp;" "&amp;Table1[[#This Row],[Model]],Table13[MFR &amp; MDL],Table13[Tolerance % CW ],"")/100*Table1[[#This Row],[Std Nom]]),"")</f>
        <v/>
      </c>
      <c r="P1791" s="1" t="str">
        <f>IFERROR(Table1[[#This Row],[Std Nom]]+(_xlfn.XLOOKUP(Table1[[#This Row],[Manufacturer]]&amp;" "&amp;Table1[[#This Row],[Model]],Table13[MFR &amp; MDL],Table13[Tolerance % CW ],"")/100*Table1[[#This Row],[Std Nom]]),"")</f>
        <v/>
      </c>
      <c r="Q1791" s="1" t="e">
        <f>Table1[[#This Row],[High Tol]]-Table1[[#This Row],[Low Tol]]</f>
        <v>#VALUE!</v>
      </c>
      <c r="R1791" s="1">
        <f>2*Table1[[#This Row],[Std Error]]</f>
        <v>0</v>
      </c>
      <c r="S1791" s="1" t="str">
        <f>IF(Table1[[#This Row],[High Tol]]="","N/A",IFERROR(ABS(Table1[[#This Row],[Tol Span]]/Table1[[#This Row],[Error Span]]),"N/A"))</f>
        <v>N/A</v>
      </c>
      <c r="T1791" s="1" t="str">
        <f>IF(OR(Table1[[#This Row],[Low Tol]]="",Table1[[#This Row],[High Tol]]=""),"Needs Analysis",IF(Table1[[#This Row],[Ratio]]&gt;=4,"Not Significant",IF(Table1[[#This Row],[Ratio]]&gt;=2,"Semi-Significant","Significant")))</f>
        <v>Needs Analysis</v>
      </c>
      <c r="W1791" s="1">
        <f>IF(Table1[[#This Row],[Cal Type]]&lt;&gt;"ACCREDITED 17025 WITH UNCERTAINTIES",0,"")</f>
        <v>0</v>
      </c>
      <c r="X1791" s="1" t="str">
        <f>IF(Table1[[#This Row],[DUT Read]]="","N/A",Table1[[#This Row],[Std Error]]+Table1[[#This Row],[DUT Read]]+Table1[[#This Row],[DUT Ucty]])</f>
        <v>N/A</v>
      </c>
      <c r="Y1791" s="1" t="str">
        <f>IF(Table1[[#This Row],[Std Read]]="","N/A",Table1[[#This Row],[Std Read]]+Table1[[#This Row],[Std Ucty]])</f>
        <v>N/A</v>
      </c>
      <c r="Z17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1" s="1" t="str">
        <f>IF(Table1[[#This Row],[Spec Type]]="","N/A",Table1[[#This Row],[Spec Type]])</f>
        <v>±</v>
      </c>
      <c r="AC1791" s="1" t="str">
        <f>IF(Table1[[#This Row],[Spec Type2]]="N/A","N/A",IF(AND(Table1[[#This Row],[DUT Adj Read]]&gt;=Table1[[#This Row],[Low Tol]],Table1[[#This Row],[DUT Adj Read]]&lt;=Table1[[#This Row],[High Tol]]),"Pass","Fail"))</f>
        <v>Fail</v>
      </c>
      <c r="AD1791" s="1" t="str">
        <f>IF(AND(Table1[[#This Row],[Spec Type2]]="N/A",Table1[[#This Row],[DUT Adj Read]]="N/A",Table1[[#This Row],[Std Adj Read]]="N/A"),"N/A",IF(Table1[[#This Row],[DUT Adj Read]]="N/A",IF(Table1[[#This Row],[Std Adj Read]]&gt;Table1[[#This Row],[Low Tol]],"Pass","Fail"),IF(Table1[[#This Row],[DUT Adj Read]]&gt;Table1[[#This Row],[Low Tol]],"Pass","Fail")))</f>
        <v>Pass</v>
      </c>
      <c r="AE1791" s="1" t="str">
        <f>IF(AND(Table1[[#This Row],[Spec Type2]]="N/A",Table1[[#This Row],[DUT Adj Read]]="N/A",Table1[[#This Row],[Std Adj Read]]="N/A"),"N/A",IF(Table1[[#This Row],[DUT Adj Read]]="N/A",IF(Table1[[#This Row],[Std Adj Read]]&lt;Table1[[#This Row],[High Tol]],"Pass","Fail"),IF(Table1[[#This Row],[DUT Adj Read]]&lt;Table1[[#This Row],[High Tol]],"Pass","Fail")))</f>
        <v>Fail</v>
      </c>
      <c r="AF1791" s="1" t="str">
        <f>IF(AND(Table1[[#This Row],[Spec Type2]]="N/A",Table1[[#This Row],[DUT Adj Read]]="N/A",Table1[[#This Row],[Std Adj Read]]="N/A"),"N/A",IF(Table1[[#This Row],[DUT Adj Read]]="N/A",IF(Table1[[#This Row],[Std Adj Read]]&gt;=Table1[[#This Row],[Low Tol]],"Pass","Fail"),IF(Table1[[#This Row],[DUT Adj Read]]&gt;=Table1[[#This Row],[Low Tol]],"Pass","Fail")))</f>
        <v>Pass</v>
      </c>
      <c r="AG1791" s="1" t="str">
        <f>IF(AND(Table1[[#This Row],[Spec Type2]]="N/A",Table1[[#This Row],[DUT Adj Read]]="N/A",Table1[[#This Row],[Std Adj Read]]="N/A"),"N/A",IF(Table1[[#This Row],[DUT Adj Read]]="N/A",IF(Table1[[#This Row],[Std Adj Read]]&lt;=Table1[[#This Row],[High Tol]],"Pass","Fail"),IF(Table1[[#This Row],[DUT Adj Read]]&lt;=Table1[[#This Row],[High Tol]],"Pass","Fail")))</f>
        <v>Fail</v>
      </c>
      <c r="AH17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1" s="1" t="b">
        <v>0</v>
      </c>
      <c r="AN1791" s="1" t="b">
        <v>0</v>
      </c>
      <c r="AO1791" s="1" t="b">
        <v>0</v>
      </c>
    </row>
    <row r="1792" spans="1:41" x14ac:dyDescent="0.25">
      <c r="A1792" s="10"/>
      <c r="B1792" s="10"/>
      <c r="C1792" s="10"/>
      <c r="D1792" s="10"/>
      <c r="E1792" s="10"/>
      <c r="F1792" s="10"/>
      <c r="G1792" s="10"/>
      <c r="H1792" s="10"/>
      <c r="I1792" s="1" t="str">
        <f t="shared" si="81"/>
        <v/>
      </c>
      <c r="J1792" s="1" t="s">
        <v>35</v>
      </c>
      <c r="K1792" s="1" t="str">
        <f t="shared" si="82"/>
        <v/>
      </c>
      <c r="L1792" s="1" t="str">
        <f t="shared" si="83"/>
        <v/>
      </c>
      <c r="M1792" s="1">
        <f>IF(OR(Table1[[#This Row],[Std Nom]]="",Table1[[#This Row],[Std Read]]=""),0,Table1[[#This Row],[Std Nom]]-Table1[[#This Row],[Std Read]])</f>
        <v>0</v>
      </c>
      <c r="N1792" s="1">
        <f>IF(Calculations!$F$5="ACCREDITED 17025 WITH UNCERTAINTIES",$N$10,0)</f>
        <v>0</v>
      </c>
      <c r="O1792" s="1" t="str">
        <f>IFERROR(Table1[[#This Row],[Std Nom]]-(_xlfn.XLOOKUP(Table1[[#This Row],[Manufacturer]]&amp;" "&amp;Table1[[#This Row],[Model]],Table13[MFR &amp; MDL],Table13[Tolerance % CW ],"")/100*Table1[[#This Row],[Std Nom]]),"")</f>
        <v/>
      </c>
      <c r="P1792" s="1" t="str">
        <f>IFERROR(Table1[[#This Row],[Std Nom]]+(_xlfn.XLOOKUP(Table1[[#This Row],[Manufacturer]]&amp;" "&amp;Table1[[#This Row],[Model]],Table13[MFR &amp; MDL],Table13[Tolerance % CW ],"")/100*Table1[[#This Row],[Std Nom]]),"")</f>
        <v/>
      </c>
      <c r="Q1792" s="1" t="e">
        <f>Table1[[#This Row],[High Tol]]-Table1[[#This Row],[Low Tol]]</f>
        <v>#VALUE!</v>
      </c>
      <c r="R1792" s="1">
        <f>2*Table1[[#This Row],[Std Error]]</f>
        <v>0</v>
      </c>
      <c r="S1792" s="1" t="str">
        <f>IF(Table1[[#This Row],[High Tol]]="","N/A",IFERROR(ABS(Table1[[#This Row],[Tol Span]]/Table1[[#This Row],[Error Span]]),"N/A"))</f>
        <v>N/A</v>
      </c>
      <c r="T1792" s="1" t="str">
        <f>IF(OR(Table1[[#This Row],[Low Tol]]="",Table1[[#This Row],[High Tol]]=""),"Needs Analysis",IF(Table1[[#This Row],[Ratio]]&gt;=4,"Not Significant",IF(Table1[[#This Row],[Ratio]]&gt;=2,"Semi-Significant","Significant")))</f>
        <v>Needs Analysis</v>
      </c>
      <c r="W1792" s="1">
        <f>IF(Table1[[#This Row],[Cal Type]]&lt;&gt;"ACCREDITED 17025 WITH UNCERTAINTIES",0,"")</f>
        <v>0</v>
      </c>
      <c r="X1792" s="1" t="str">
        <f>IF(Table1[[#This Row],[DUT Read]]="","N/A",Table1[[#This Row],[Std Error]]+Table1[[#This Row],[DUT Read]]+Table1[[#This Row],[DUT Ucty]])</f>
        <v>N/A</v>
      </c>
      <c r="Y1792" s="1" t="str">
        <f>IF(Table1[[#This Row],[Std Read]]="","N/A",Table1[[#This Row],[Std Read]]+Table1[[#This Row],[Std Ucty]])</f>
        <v>N/A</v>
      </c>
      <c r="Z17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2" s="1" t="str">
        <f>IF(Table1[[#This Row],[Spec Type]]="","N/A",Table1[[#This Row],[Spec Type]])</f>
        <v>±</v>
      </c>
      <c r="AC1792" s="1" t="str">
        <f>IF(Table1[[#This Row],[Spec Type2]]="N/A","N/A",IF(AND(Table1[[#This Row],[DUT Adj Read]]&gt;=Table1[[#This Row],[Low Tol]],Table1[[#This Row],[DUT Adj Read]]&lt;=Table1[[#This Row],[High Tol]]),"Pass","Fail"))</f>
        <v>Fail</v>
      </c>
      <c r="AD1792" s="1" t="str">
        <f>IF(AND(Table1[[#This Row],[Spec Type2]]="N/A",Table1[[#This Row],[DUT Adj Read]]="N/A",Table1[[#This Row],[Std Adj Read]]="N/A"),"N/A",IF(Table1[[#This Row],[DUT Adj Read]]="N/A",IF(Table1[[#This Row],[Std Adj Read]]&gt;Table1[[#This Row],[Low Tol]],"Pass","Fail"),IF(Table1[[#This Row],[DUT Adj Read]]&gt;Table1[[#This Row],[Low Tol]],"Pass","Fail")))</f>
        <v>Pass</v>
      </c>
      <c r="AE1792" s="1" t="str">
        <f>IF(AND(Table1[[#This Row],[Spec Type2]]="N/A",Table1[[#This Row],[DUT Adj Read]]="N/A",Table1[[#This Row],[Std Adj Read]]="N/A"),"N/A",IF(Table1[[#This Row],[DUT Adj Read]]="N/A",IF(Table1[[#This Row],[Std Adj Read]]&lt;Table1[[#This Row],[High Tol]],"Pass","Fail"),IF(Table1[[#This Row],[DUT Adj Read]]&lt;Table1[[#This Row],[High Tol]],"Pass","Fail")))</f>
        <v>Fail</v>
      </c>
      <c r="AF1792" s="1" t="str">
        <f>IF(AND(Table1[[#This Row],[Spec Type2]]="N/A",Table1[[#This Row],[DUT Adj Read]]="N/A",Table1[[#This Row],[Std Adj Read]]="N/A"),"N/A",IF(Table1[[#This Row],[DUT Adj Read]]="N/A",IF(Table1[[#This Row],[Std Adj Read]]&gt;=Table1[[#This Row],[Low Tol]],"Pass","Fail"),IF(Table1[[#This Row],[DUT Adj Read]]&gt;=Table1[[#This Row],[Low Tol]],"Pass","Fail")))</f>
        <v>Pass</v>
      </c>
      <c r="AG1792" s="1" t="str">
        <f>IF(AND(Table1[[#This Row],[Spec Type2]]="N/A",Table1[[#This Row],[DUT Adj Read]]="N/A",Table1[[#This Row],[Std Adj Read]]="N/A"),"N/A",IF(Table1[[#This Row],[DUT Adj Read]]="N/A",IF(Table1[[#This Row],[Std Adj Read]]&lt;=Table1[[#This Row],[High Tol]],"Pass","Fail"),IF(Table1[[#This Row],[DUT Adj Read]]&lt;=Table1[[#This Row],[High Tol]],"Pass","Fail")))</f>
        <v>Fail</v>
      </c>
      <c r="AH17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2" s="1" t="b">
        <v>0</v>
      </c>
      <c r="AN1792" s="1" t="b">
        <v>0</v>
      </c>
      <c r="AO1792" s="1" t="b">
        <v>0</v>
      </c>
    </row>
    <row r="1793" spans="1:41" x14ac:dyDescent="0.25">
      <c r="A1793" s="10"/>
      <c r="B1793" s="10"/>
      <c r="C1793" s="10"/>
      <c r="D1793" s="10"/>
      <c r="E1793" s="10"/>
      <c r="F1793" s="10"/>
      <c r="G1793" s="10"/>
      <c r="H1793" s="10"/>
      <c r="I1793" s="1" t="str">
        <f t="shared" si="81"/>
        <v/>
      </c>
      <c r="J1793" s="1" t="s">
        <v>35</v>
      </c>
      <c r="K1793" s="1" t="str">
        <f t="shared" si="82"/>
        <v/>
      </c>
      <c r="L1793" s="1" t="str">
        <f t="shared" si="83"/>
        <v/>
      </c>
      <c r="M1793" s="1">
        <f>IF(OR(Table1[[#This Row],[Std Nom]]="",Table1[[#This Row],[Std Read]]=""),0,Table1[[#This Row],[Std Nom]]-Table1[[#This Row],[Std Read]])</f>
        <v>0</v>
      </c>
      <c r="N1793" s="1">
        <f>IF(Calculations!$F$5="ACCREDITED 17025 WITH UNCERTAINTIES",$N$10,0)</f>
        <v>0</v>
      </c>
      <c r="O1793" s="1" t="str">
        <f>IFERROR(Table1[[#This Row],[Std Nom]]-(_xlfn.XLOOKUP(Table1[[#This Row],[Manufacturer]]&amp;" "&amp;Table1[[#This Row],[Model]],Table13[MFR &amp; MDL],Table13[Tolerance % CW ],"")/100*Table1[[#This Row],[Std Nom]]),"")</f>
        <v/>
      </c>
      <c r="P1793" s="1" t="str">
        <f>IFERROR(Table1[[#This Row],[Std Nom]]+(_xlfn.XLOOKUP(Table1[[#This Row],[Manufacturer]]&amp;" "&amp;Table1[[#This Row],[Model]],Table13[MFR &amp; MDL],Table13[Tolerance % CW ],"")/100*Table1[[#This Row],[Std Nom]]),"")</f>
        <v/>
      </c>
      <c r="Q1793" s="1" t="e">
        <f>Table1[[#This Row],[High Tol]]-Table1[[#This Row],[Low Tol]]</f>
        <v>#VALUE!</v>
      </c>
      <c r="R1793" s="1">
        <f>2*Table1[[#This Row],[Std Error]]</f>
        <v>0</v>
      </c>
      <c r="S1793" s="1" t="str">
        <f>IF(Table1[[#This Row],[High Tol]]="","N/A",IFERROR(ABS(Table1[[#This Row],[Tol Span]]/Table1[[#This Row],[Error Span]]),"N/A"))</f>
        <v>N/A</v>
      </c>
      <c r="T1793" s="1" t="str">
        <f>IF(OR(Table1[[#This Row],[Low Tol]]="",Table1[[#This Row],[High Tol]]=""),"Needs Analysis",IF(Table1[[#This Row],[Ratio]]&gt;=4,"Not Significant",IF(Table1[[#This Row],[Ratio]]&gt;=2,"Semi-Significant","Significant")))</f>
        <v>Needs Analysis</v>
      </c>
      <c r="W1793" s="1">
        <f>IF(Table1[[#This Row],[Cal Type]]&lt;&gt;"ACCREDITED 17025 WITH UNCERTAINTIES",0,"")</f>
        <v>0</v>
      </c>
      <c r="X1793" s="1" t="str">
        <f>IF(Table1[[#This Row],[DUT Read]]="","N/A",Table1[[#This Row],[Std Error]]+Table1[[#This Row],[DUT Read]]+Table1[[#This Row],[DUT Ucty]])</f>
        <v>N/A</v>
      </c>
      <c r="Y1793" s="1" t="str">
        <f>IF(Table1[[#This Row],[Std Read]]="","N/A",Table1[[#This Row],[Std Read]]+Table1[[#This Row],[Std Ucty]])</f>
        <v>N/A</v>
      </c>
      <c r="Z17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3" s="1" t="str">
        <f>IF(Table1[[#This Row],[Spec Type]]="","N/A",Table1[[#This Row],[Spec Type]])</f>
        <v>±</v>
      </c>
      <c r="AC1793" s="1" t="str">
        <f>IF(Table1[[#This Row],[Spec Type2]]="N/A","N/A",IF(AND(Table1[[#This Row],[DUT Adj Read]]&gt;=Table1[[#This Row],[Low Tol]],Table1[[#This Row],[DUT Adj Read]]&lt;=Table1[[#This Row],[High Tol]]),"Pass","Fail"))</f>
        <v>Fail</v>
      </c>
      <c r="AD1793" s="1" t="str">
        <f>IF(AND(Table1[[#This Row],[Spec Type2]]="N/A",Table1[[#This Row],[DUT Adj Read]]="N/A",Table1[[#This Row],[Std Adj Read]]="N/A"),"N/A",IF(Table1[[#This Row],[DUT Adj Read]]="N/A",IF(Table1[[#This Row],[Std Adj Read]]&gt;Table1[[#This Row],[Low Tol]],"Pass","Fail"),IF(Table1[[#This Row],[DUT Adj Read]]&gt;Table1[[#This Row],[Low Tol]],"Pass","Fail")))</f>
        <v>Pass</v>
      </c>
      <c r="AE1793" s="1" t="str">
        <f>IF(AND(Table1[[#This Row],[Spec Type2]]="N/A",Table1[[#This Row],[DUT Adj Read]]="N/A",Table1[[#This Row],[Std Adj Read]]="N/A"),"N/A",IF(Table1[[#This Row],[DUT Adj Read]]="N/A",IF(Table1[[#This Row],[Std Adj Read]]&lt;Table1[[#This Row],[High Tol]],"Pass","Fail"),IF(Table1[[#This Row],[DUT Adj Read]]&lt;Table1[[#This Row],[High Tol]],"Pass","Fail")))</f>
        <v>Fail</v>
      </c>
      <c r="AF1793" s="1" t="str">
        <f>IF(AND(Table1[[#This Row],[Spec Type2]]="N/A",Table1[[#This Row],[DUT Adj Read]]="N/A",Table1[[#This Row],[Std Adj Read]]="N/A"),"N/A",IF(Table1[[#This Row],[DUT Adj Read]]="N/A",IF(Table1[[#This Row],[Std Adj Read]]&gt;=Table1[[#This Row],[Low Tol]],"Pass","Fail"),IF(Table1[[#This Row],[DUT Adj Read]]&gt;=Table1[[#This Row],[Low Tol]],"Pass","Fail")))</f>
        <v>Pass</v>
      </c>
      <c r="AG1793" s="1" t="str">
        <f>IF(AND(Table1[[#This Row],[Spec Type2]]="N/A",Table1[[#This Row],[DUT Adj Read]]="N/A",Table1[[#This Row],[Std Adj Read]]="N/A"),"N/A",IF(Table1[[#This Row],[DUT Adj Read]]="N/A",IF(Table1[[#This Row],[Std Adj Read]]&lt;=Table1[[#This Row],[High Tol]],"Pass","Fail"),IF(Table1[[#This Row],[DUT Adj Read]]&lt;=Table1[[#This Row],[High Tol]],"Pass","Fail")))</f>
        <v>Fail</v>
      </c>
      <c r="AH17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3" s="1" t="b">
        <v>0</v>
      </c>
      <c r="AN1793" s="1" t="b">
        <v>0</v>
      </c>
      <c r="AO1793" s="1" t="b">
        <v>0</v>
      </c>
    </row>
    <row r="1794" spans="1:41" x14ac:dyDescent="0.25">
      <c r="A1794" s="10"/>
      <c r="B1794" s="10"/>
      <c r="C1794" s="10"/>
      <c r="D1794" s="10"/>
      <c r="E1794" s="10"/>
      <c r="F1794" s="10"/>
      <c r="G1794" s="10"/>
      <c r="H1794" s="10"/>
      <c r="I1794" s="1" t="str">
        <f t="shared" si="81"/>
        <v/>
      </c>
      <c r="J1794" s="1" t="s">
        <v>35</v>
      </c>
      <c r="K1794" s="1" t="str">
        <f t="shared" si="82"/>
        <v/>
      </c>
      <c r="L1794" s="1" t="str">
        <f t="shared" si="83"/>
        <v/>
      </c>
      <c r="M1794" s="1">
        <f>IF(OR(Table1[[#This Row],[Std Nom]]="",Table1[[#This Row],[Std Read]]=""),0,Table1[[#This Row],[Std Nom]]-Table1[[#This Row],[Std Read]])</f>
        <v>0</v>
      </c>
      <c r="N1794" s="1">
        <f>IF(Calculations!$F$5="ACCREDITED 17025 WITH UNCERTAINTIES",$N$10,0)</f>
        <v>0</v>
      </c>
      <c r="O1794" s="1" t="str">
        <f>IFERROR(Table1[[#This Row],[Std Nom]]-(_xlfn.XLOOKUP(Table1[[#This Row],[Manufacturer]]&amp;" "&amp;Table1[[#This Row],[Model]],Table13[MFR &amp; MDL],Table13[Tolerance % CW ],"")/100*Table1[[#This Row],[Std Nom]]),"")</f>
        <v/>
      </c>
      <c r="P1794" s="1" t="str">
        <f>IFERROR(Table1[[#This Row],[Std Nom]]+(_xlfn.XLOOKUP(Table1[[#This Row],[Manufacturer]]&amp;" "&amp;Table1[[#This Row],[Model]],Table13[MFR &amp; MDL],Table13[Tolerance % CW ],"")/100*Table1[[#This Row],[Std Nom]]),"")</f>
        <v/>
      </c>
      <c r="Q1794" s="1" t="e">
        <f>Table1[[#This Row],[High Tol]]-Table1[[#This Row],[Low Tol]]</f>
        <v>#VALUE!</v>
      </c>
      <c r="R1794" s="1">
        <f>2*Table1[[#This Row],[Std Error]]</f>
        <v>0</v>
      </c>
      <c r="S1794" s="1" t="str">
        <f>IF(Table1[[#This Row],[High Tol]]="","N/A",IFERROR(ABS(Table1[[#This Row],[Tol Span]]/Table1[[#This Row],[Error Span]]),"N/A"))</f>
        <v>N/A</v>
      </c>
      <c r="T1794" s="1" t="str">
        <f>IF(OR(Table1[[#This Row],[Low Tol]]="",Table1[[#This Row],[High Tol]]=""),"Needs Analysis",IF(Table1[[#This Row],[Ratio]]&gt;=4,"Not Significant",IF(Table1[[#This Row],[Ratio]]&gt;=2,"Semi-Significant","Significant")))</f>
        <v>Needs Analysis</v>
      </c>
      <c r="W1794" s="1">
        <f>IF(Table1[[#This Row],[Cal Type]]&lt;&gt;"ACCREDITED 17025 WITH UNCERTAINTIES",0,"")</f>
        <v>0</v>
      </c>
      <c r="X1794" s="1" t="str">
        <f>IF(Table1[[#This Row],[DUT Read]]="","N/A",Table1[[#This Row],[Std Error]]+Table1[[#This Row],[DUT Read]]+Table1[[#This Row],[DUT Ucty]])</f>
        <v>N/A</v>
      </c>
      <c r="Y1794" s="1" t="str">
        <f>IF(Table1[[#This Row],[Std Read]]="","N/A",Table1[[#This Row],[Std Read]]+Table1[[#This Row],[Std Ucty]])</f>
        <v>N/A</v>
      </c>
      <c r="Z17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4" s="1" t="str">
        <f>IF(Table1[[#This Row],[Spec Type]]="","N/A",Table1[[#This Row],[Spec Type]])</f>
        <v>±</v>
      </c>
      <c r="AC1794" s="1" t="str">
        <f>IF(Table1[[#This Row],[Spec Type2]]="N/A","N/A",IF(AND(Table1[[#This Row],[DUT Adj Read]]&gt;=Table1[[#This Row],[Low Tol]],Table1[[#This Row],[DUT Adj Read]]&lt;=Table1[[#This Row],[High Tol]]),"Pass","Fail"))</f>
        <v>Fail</v>
      </c>
      <c r="AD1794" s="1" t="str">
        <f>IF(AND(Table1[[#This Row],[Spec Type2]]="N/A",Table1[[#This Row],[DUT Adj Read]]="N/A",Table1[[#This Row],[Std Adj Read]]="N/A"),"N/A",IF(Table1[[#This Row],[DUT Adj Read]]="N/A",IF(Table1[[#This Row],[Std Adj Read]]&gt;Table1[[#This Row],[Low Tol]],"Pass","Fail"),IF(Table1[[#This Row],[DUT Adj Read]]&gt;Table1[[#This Row],[Low Tol]],"Pass","Fail")))</f>
        <v>Pass</v>
      </c>
      <c r="AE1794" s="1" t="str">
        <f>IF(AND(Table1[[#This Row],[Spec Type2]]="N/A",Table1[[#This Row],[DUT Adj Read]]="N/A",Table1[[#This Row],[Std Adj Read]]="N/A"),"N/A",IF(Table1[[#This Row],[DUT Adj Read]]="N/A",IF(Table1[[#This Row],[Std Adj Read]]&lt;Table1[[#This Row],[High Tol]],"Pass","Fail"),IF(Table1[[#This Row],[DUT Adj Read]]&lt;Table1[[#This Row],[High Tol]],"Pass","Fail")))</f>
        <v>Fail</v>
      </c>
      <c r="AF1794" s="1" t="str">
        <f>IF(AND(Table1[[#This Row],[Spec Type2]]="N/A",Table1[[#This Row],[DUT Adj Read]]="N/A",Table1[[#This Row],[Std Adj Read]]="N/A"),"N/A",IF(Table1[[#This Row],[DUT Adj Read]]="N/A",IF(Table1[[#This Row],[Std Adj Read]]&gt;=Table1[[#This Row],[Low Tol]],"Pass","Fail"),IF(Table1[[#This Row],[DUT Adj Read]]&gt;=Table1[[#This Row],[Low Tol]],"Pass","Fail")))</f>
        <v>Pass</v>
      </c>
      <c r="AG1794" s="1" t="str">
        <f>IF(AND(Table1[[#This Row],[Spec Type2]]="N/A",Table1[[#This Row],[DUT Adj Read]]="N/A",Table1[[#This Row],[Std Adj Read]]="N/A"),"N/A",IF(Table1[[#This Row],[DUT Adj Read]]="N/A",IF(Table1[[#This Row],[Std Adj Read]]&lt;=Table1[[#This Row],[High Tol]],"Pass","Fail"),IF(Table1[[#This Row],[DUT Adj Read]]&lt;=Table1[[#This Row],[High Tol]],"Pass","Fail")))</f>
        <v>Fail</v>
      </c>
      <c r="AH17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4" s="1" t="b">
        <v>0</v>
      </c>
      <c r="AN1794" s="1" t="b">
        <v>0</v>
      </c>
      <c r="AO1794" s="1" t="b">
        <v>0</v>
      </c>
    </row>
    <row r="1795" spans="1:41" x14ac:dyDescent="0.25">
      <c r="A1795" s="10"/>
      <c r="B1795" s="10"/>
      <c r="C1795" s="10"/>
      <c r="D1795" s="10"/>
      <c r="E1795" s="10"/>
      <c r="F1795" s="10"/>
      <c r="G1795" s="10"/>
      <c r="H1795" s="10"/>
      <c r="I1795" s="1" t="str">
        <f t="shared" si="81"/>
        <v/>
      </c>
      <c r="J1795" s="1" t="s">
        <v>35</v>
      </c>
      <c r="K1795" s="1" t="str">
        <f t="shared" si="82"/>
        <v/>
      </c>
      <c r="L1795" s="1" t="str">
        <f t="shared" si="83"/>
        <v/>
      </c>
      <c r="M1795" s="1">
        <f>IF(OR(Table1[[#This Row],[Std Nom]]="",Table1[[#This Row],[Std Read]]=""),0,Table1[[#This Row],[Std Nom]]-Table1[[#This Row],[Std Read]])</f>
        <v>0</v>
      </c>
      <c r="N1795" s="1">
        <f>IF(Calculations!$F$5="ACCREDITED 17025 WITH UNCERTAINTIES",$N$10,0)</f>
        <v>0</v>
      </c>
      <c r="O1795" s="1" t="str">
        <f>IFERROR(Table1[[#This Row],[Std Nom]]-(_xlfn.XLOOKUP(Table1[[#This Row],[Manufacturer]]&amp;" "&amp;Table1[[#This Row],[Model]],Table13[MFR &amp; MDL],Table13[Tolerance % CW ],"")/100*Table1[[#This Row],[Std Nom]]),"")</f>
        <v/>
      </c>
      <c r="P1795" s="1" t="str">
        <f>IFERROR(Table1[[#This Row],[Std Nom]]+(_xlfn.XLOOKUP(Table1[[#This Row],[Manufacturer]]&amp;" "&amp;Table1[[#This Row],[Model]],Table13[MFR &amp; MDL],Table13[Tolerance % CW ],"")/100*Table1[[#This Row],[Std Nom]]),"")</f>
        <v/>
      </c>
      <c r="Q1795" s="1" t="e">
        <f>Table1[[#This Row],[High Tol]]-Table1[[#This Row],[Low Tol]]</f>
        <v>#VALUE!</v>
      </c>
      <c r="R1795" s="1">
        <f>2*Table1[[#This Row],[Std Error]]</f>
        <v>0</v>
      </c>
      <c r="S1795" s="1" t="str">
        <f>IF(Table1[[#This Row],[High Tol]]="","N/A",IFERROR(ABS(Table1[[#This Row],[Tol Span]]/Table1[[#This Row],[Error Span]]),"N/A"))</f>
        <v>N/A</v>
      </c>
      <c r="T1795" s="1" t="str">
        <f>IF(OR(Table1[[#This Row],[Low Tol]]="",Table1[[#This Row],[High Tol]]=""),"Needs Analysis",IF(Table1[[#This Row],[Ratio]]&gt;=4,"Not Significant",IF(Table1[[#This Row],[Ratio]]&gt;=2,"Semi-Significant","Significant")))</f>
        <v>Needs Analysis</v>
      </c>
      <c r="W1795" s="1">
        <f>IF(Table1[[#This Row],[Cal Type]]&lt;&gt;"ACCREDITED 17025 WITH UNCERTAINTIES",0,"")</f>
        <v>0</v>
      </c>
      <c r="X1795" s="1" t="str">
        <f>IF(Table1[[#This Row],[DUT Read]]="","N/A",Table1[[#This Row],[Std Error]]+Table1[[#This Row],[DUT Read]]+Table1[[#This Row],[DUT Ucty]])</f>
        <v>N/A</v>
      </c>
      <c r="Y1795" s="1" t="str">
        <f>IF(Table1[[#This Row],[Std Read]]="","N/A",Table1[[#This Row],[Std Read]]+Table1[[#This Row],[Std Ucty]])</f>
        <v>N/A</v>
      </c>
      <c r="Z17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5" s="1" t="str">
        <f>IF(Table1[[#This Row],[Spec Type]]="","N/A",Table1[[#This Row],[Spec Type]])</f>
        <v>±</v>
      </c>
      <c r="AC1795" s="1" t="str">
        <f>IF(Table1[[#This Row],[Spec Type2]]="N/A","N/A",IF(AND(Table1[[#This Row],[DUT Adj Read]]&gt;=Table1[[#This Row],[Low Tol]],Table1[[#This Row],[DUT Adj Read]]&lt;=Table1[[#This Row],[High Tol]]),"Pass","Fail"))</f>
        <v>Fail</v>
      </c>
      <c r="AD1795" s="1" t="str">
        <f>IF(AND(Table1[[#This Row],[Spec Type2]]="N/A",Table1[[#This Row],[DUT Adj Read]]="N/A",Table1[[#This Row],[Std Adj Read]]="N/A"),"N/A",IF(Table1[[#This Row],[DUT Adj Read]]="N/A",IF(Table1[[#This Row],[Std Adj Read]]&gt;Table1[[#This Row],[Low Tol]],"Pass","Fail"),IF(Table1[[#This Row],[DUT Adj Read]]&gt;Table1[[#This Row],[Low Tol]],"Pass","Fail")))</f>
        <v>Pass</v>
      </c>
      <c r="AE1795" s="1" t="str">
        <f>IF(AND(Table1[[#This Row],[Spec Type2]]="N/A",Table1[[#This Row],[DUT Adj Read]]="N/A",Table1[[#This Row],[Std Adj Read]]="N/A"),"N/A",IF(Table1[[#This Row],[DUT Adj Read]]="N/A",IF(Table1[[#This Row],[Std Adj Read]]&lt;Table1[[#This Row],[High Tol]],"Pass","Fail"),IF(Table1[[#This Row],[DUT Adj Read]]&lt;Table1[[#This Row],[High Tol]],"Pass","Fail")))</f>
        <v>Fail</v>
      </c>
      <c r="AF1795" s="1" t="str">
        <f>IF(AND(Table1[[#This Row],[Spec Type2]]="N/A",Table1[[#This Row],[DUT Adj Read]]="N/A",Table1[[#This Row],[Std Adj Read]]="N/A"),"N/A",IF(Table1[[#This Row],[DUT Adj Read]]="N/A",IF(Table1[[#This Row],[Std Adj Read]]&gt;=Table1[[#This Row],[Low Tol]],"Pass","Fail"),IF(Table1[[#This Row],[DUT Adj Read]]&gt;=Table1[[#This Row],[Low Tol]],"Pass","Fail")))</f>
        <v>Pass</v>
      </c>
      <c r="AG1795" s="1" t="str">
        <f>IF(AND(Table1[[#This Row],[Spec Type2]]="N/A",Table1[[#This Row],[DUT Adj Read]]="N/A",Table1[[#This Row],[Std Adj Read]]="N/A"),"N/A",IF(Table1[[#This Row],[DUT Adj Read]]="N/A",IF(Table1[[#This Row],[Std Adj Read]]&lt;=Table1[[#This Row],[High Tol]],"Pass","Fail"),IF(Table1[[#This Row],[DUT Adj Read]]&lt;=Table1[[#This Row],[High Tol]],"Pass","Fail")))</f>
        <v>Fail</v>
      </c>
      <c r="AH17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5" s="1" t="b">
        <v>0</v>
      </c>
      <c r="AN1795" s="1" t="b">
        <v>0</v>
      </c>
      <c r="AO1795" s="1" t="b">
        <v>0</v>
      </c>
    </row>
    <row r="1796" spans="1:41" x14ac:dyDescent="0.25">
      <c r="A1796" s="10"/>
      <c r="B1796" s="10"/>
      <c r="C1796" s="10"/>
      <c r="D1796" s="10"/>
      <c r="E1796" s="10"/>
      <c r="F1796" s="10"/>
      <c r="G1796" s="10"/>
      <c r="H1796" s="10"/>
      <c r="I1796" s="1" t="str">
        <f t="shared" si="81"/>
        <v/>
      </c>
      <c r="J1796" s="1" t="s">
        <v>35</v>
      </c>
      <c r="K1796" s="1" t="str">
        <f t="shared" si="82"/>
        <v/>
      </c>
      <c r="L1796" s="1" t="str">
        <f t="shared" si="83"/>
        <v/>
      </c>
      <c r="M1796" s="1">
        <f>IF(OR(Table1[[#This Row],[Std Nom]]="",Table1[[#This Row],[Std Read]]=""),0,Table1[[#This Row],[Std Nom]]-Table1[[#This Row],[Std Read]])</f>
        <v>0</v>
      </c>
      <c r="N1796" s="1">
        <f>IF(Calculations!$F$5="ACCREDITED 17025 WITH UNCERTAINTIES",$N$10,0)</f>
        <v>0</v>
      </c>
      <c r="O1796" s="1" t="str">
        <f>IFERROR(Table1[[#This Row],[Std Nom]]-(_xlfn.XLOOKUP(Table1[[#This Row],[Manufacturer]]&amp;" "&amp;Table1[[#This Row],[Model]],Table13[MFR &amp; MDL],Table13[Tolerance % CW ],"")/100*Table1[[#This Row],[Std Nom]]),"")</f>
        <v/>
      </c>
      <c r="P1796" s="1" t="str">
        <f>IFERROR(Table1[[#This Row],[Std Nom]]+(_xlfn.XLOOKUP(Table1[[#This Row],[Manufacturer]]&amp;" "&amp;Table1[[#This Row],[Model]],Table13[MFR &amp; MDL],Table13[Tolerance % CW ],"")/100*Table1[[#This Row],[Std Nom]]),"")</f>
        <v/>
      </c>
      <c r="Q1796" s="1" t="e">
        <f>Table1[[#This Row],[High Tol]]-Table1[[#This Row],[Low Tol]]</f>
        <v>#VALUE!</v>
      </c>
      <c r="R1796" s="1">
        <f>2*Table1[[#This Row],[Std Error]]</f>
        <v>0</v>
      </c>
      <c r="S1796" s="1" t="str">
        <f>IF(Table1[[#This Row],[High Tol]]="","N/A",IFERROR(ABS(Table1[[#This Row],[Tol Span]]/Table1[[#This Row],[Error Span]]),"N/A"))</f>
        <v>N/A</v>
      </c>
      <c r="T1796" s="1" t="str">
        <f>IF(OR(Table1[[#This Row],[Low Tol]]="",Table1[[#This Row],[High Tol]]=""),"Needs Analysis",IF(Table1[[#This Row],[Ratio]]&gt;=4,"Not Significant",IF(Table1[[#This Row],[Ratio]]&gt;=2,"Semi-Significant","Significant")))</f>
        <v>Needs Analysis</v>
      </c>
      <c r="W1796" s="1">
        <f>IF(Table1[[#This Row],[Cal Type]]&lt;&gt;"ACCREDITED 17025 WITH UNCERTAINTIES",0,"")</f>
        <v>0</v>
      </c>
      <c r="X1796" s="1" t="str">
        <f>IF(Table1[[#This Row],[DUT Read]]="","N/A",Table1[[#This Row],[Std Error]]+Table1[[#This Row],[DUT Read]]+Table1[[#This Row],[DUT Ucty]])</f>
        <v>N/A</v>
      </c>
      <c r="Y1796" s="1" t="str">
        <f>IF(Table1[[#This Row],[Std Read]]="","N/A",Table1[[#This Row],[Std Read]]+Table1[[#This Row],[Std Ucty]])</f>
        <v>N/A</v>
      </c>
      <c r="Z17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6" s="1" t="str">
        <f>IF(Table1[[#This Row],[Spec Type]]="","N/A",Table1[[#This Row],[Spec Type]])</f>
        <v>±</v>
      </c>
      <c r="AC1796" s="1" t="str">
        <f>IF(Table1[[#This Row],[Spec Type2]]="N/A","N/A",IF(AND(Table1[[#This Row],[DUT Adj Read]]&gt;=Table1[[#This Row],[Low Tol]],Table1[[#This Row],[DUT Adj Read]]&lt;=Table1[[#This Row],[High Tol]]),"Pass","Fail"))</f>
        <v>Fail</v>
      </c>
      <c r="AD1796" s="1" t="str">
        <f>IF(AND(Table1[[#This Row],[Spec Type2]]="N/A",Table1[[#This Row],[DUT Adj Read]]="N/A",Table1[[#This Row],[Std Adj Read]]="N/A"),"N/A",IF(Table1[[#This Row],[DUT Adj Read]]="N/A",IF(Table1[[#This Row],[Std Adj Read]]&gt;Table1[[#This Row],[Low Tol]],"Pass","Fail"),IF(Table1[[#This Row],[DUT Adj Read]]&gt;Table1[[#This Row],[Low Tol]],"Pass","Fail")))</f>
        <v>Pass</v>
      </c>
      <c r="AE1796" s="1" t="str">
        <f>IF(AND(Table1[[#This Row],[Spec Type2]]="N/A",Table1[[#This Row],[DUT Adj Read]]="N/A",Table1[[#This Row],[Std Adj Read]]="N/A"),"N/A",IF(Table1[[#This Row],[DUT Adj Read]]="N/A",IF(Table1[[#This Row],[Std Adj Read]]&lt;Table1[[#This Row],[High Tol]],"Pass","Fail"),IF(Table1[[#This Row],[DUT Adj Read]]&lt;Table1[[#This Row],[High Tol]],"Pass","Fail")))</f>
        <v>Fail</v>
      </c>
      <c r="AF1796" s="1" t="str">
        <f>IF(AND(Table1[[#This Row],[Spec Type2]]="N/A",Table1[[#This Row],[DUT Adj Read]]="N/A",Table1[[#This Row],[Std Adj Read]]="N/A"),"N/A",IF(Table1[[#This Row],[DUT Adj Read]]="N/A",IF(Table1[[#This Row],[Std Adj Read]]&gt;=Table1[[#This Row],[Low Tol]],"Pass","Fail"),IF(Table1[[#This Row],[DUT Adj Read]]&gt;=Table1[[#This Row],[Low Tol]],"Pass","Fail")))</f>
        <v>Pass</v>
      </c>
      <c r="AG1796" s="1" t="str">
        <f>IF(AND(Table1[[#This Row],[Spec Type2]]="N/A",Table1[[#This Row],[DUT Adj Read]]="N/A",Table1[[#This Row],[Std Adj Read]]="N/A"),"N/A",IF(Table1[[#This Row],[DUT Adj Read]]="N/A",IF(Table1[[#This Row],[Std Adj Read]]&lt;=Table1[[#This Row],[High Tol]],"Pass","Fail"),IF(Table1[[#This Row],[DUT Adj Read]]&lt;=Table1[[#This Row],[High Tol]],"Pass","Fail")))</f>
        <v>Fail</v>
      </c>
      <c r="AH17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6" s="1" t="b">
        <v>0</v>
      </c>
      <c r="AN1796" s="1" t="b">
        <v>0</v>
      </c>
      <c r="AO1796" s="1" t="b">
        <v>0</v>
      </c>
    </row>
    <row r="1797" spans="1:41" x14ac:dyDescent="0.25">
      <c r="A1797" s="10"/>
      <c r="B1797" s="10"/>
      <c r="C1797" s="10"/>
      <c r="D1797" s="10"/>
      <c r="E1797" s="10"/>
      <c r="F1797" s="10"/>
      <c r="G1797" s="10"/>
      <c r="H1797" s="10"/>
      <c r="I1797" s="1" t="str">
        <f t="shared" si="81"/>
        <v/>
      </c>
      <c r="J1797" s="1" t="s">
        <v>35</v>
      </c>
      <c r="K1797" s="1" t="str">
        <f t="shared" si="82"/>
        <v/>
      </c>
      <c r="L1797" s="1" t="str">
        <f t="shared" si="83"/>
        <v/>
      </c>
      <c r="M1797" s="1">
        <f>IF(OR(Table1[[#This Row],[Std Nom]]="",Table1[[#This Row],[Std Read]]=""),0,Table1[[#This Row],[Std Nom]]-Table1[[#This Row],[Std Read]])</f>
        <v>0</v>
      </c>
      <c r="N1797" s="1">
        <f>IF(Calculations!$F$5="ACCREDITED 17025 WITH UNCERTAINTIES",$N$10,0)</f>
        <v>0</v>
      </c>
      <c r="O1797" s="1" t="str">
        <f>IFERROR(Table1[[#This Row],[Std Nom]]-(_xlfn.XLOOKUP(Table1[[#This Row],[Manufacturer]]&amp;" "&amp;Table1[[#This Row],[Model]],Table13[MFR &amp; MDL],Table13[Tolerance % CW ],"")/100*Table1[[#This Row],[Std Nom]]),"")</f>
        <v/>
      </c>
      <c r="P1797" s="1" t="str">
        <f>IFERROR(Table1[[#This Row],[Std Nom]]+(_xlfn.XLOOKUP(Table1[[#This Row],[Manufacturer]]&amp;" "&amp;Table1[[#This Row],[Model]],Table13[MFR &amp; MDL],Table13[Tolerance % CW ],"")/100*Table1[[#This Row],[Std Nom]]),"")</f>
        <v/>
      </c>
      <c r="Q1797" s="1" t="e">
        <f>Table1[[#This Row],[High Tol]]-Table1[[#This Row],[Low Tol]]</f>
        <v>#VALUE!</v>
      </c>
      <c r="R1797" s="1">
        <f>2*Table1[[#This Row],[Std Error]]</f>
        <v>0</v>
      </c>
      <c r="S1797" s="1" t="str">
        <f>IF(Table1[[#This Row],[High Tol]]="","N/A",IFERROR(ABS(Table1[[#This Row],[Tol Span]]/Table1[[#This Row],[Error Span]]),"N/A"))</f>
        <v>N/A</v>
      </c>
      <c r="T1797" s="1" t="str">
        <f>IF(OR(Table1[[#This Row],[Low Tol]]="",Table1[[#This Row],[High Tol]]=""),"Needs Analysis",IF(Table1[[#This Row],[Ratio]]&gt;=4,"Not Significant",IF(Table1[[#This Row],[Ratio]]&gt;=2,"Semi-Significant","Significant")))</f>
        <v>Needs Analysis</v>
      </c>
      <c r="W1797" s="1">
        <f>IF(Table1[[#This Row],[Cal Type]]&lt;&gt;"ACCREDITED 17025 WITH UNCERTAINTIES",0,"")</f>
        <v>0</v>
      </c>
      <c r="X1797" s="1" t="str">
        <f>IF(Table1[[#This Row],[DUT Read]]="","N/A",Table1[[#This Row],[Std Error]]+Table1[[#This Row],[DUT Read]]+Table1[[#This Row],[DUT Ucty]])</f>
        <v>N/A</v>
      </c>
      <c r="Y1797" s="1" t="str">
        <f>IF(Table1[[#This Row],[Std Read]]="","N/A",Table1[[#This Row],[Std Read]]+Table1[[#This Row],[Std Ucty]])</f>
        <v>N/A</v>
      </c>
      <c r="Z17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7" s="1" t="str">
        <f>IF(Table1[[#This Row],[Spec Type]]="","N/A",Table1[[#This Row],[Spec Type]])</f>
        <v>±</v>
      </c>
      <c r="AC1797" s="1" t="str">
        <f>IF(Table1[[#This Row],[Spec Type2]]="N/A","N/A",IF(AND(Table1[[#This Row],[DUT Adj Read]]&gt;=Table1[[#This Row],[Low Tol]],Table1[[#This Row],[DUT Adj Read]]&lt;=Table1[[#This Row],[High Tol]]),"Pass","Fail"))</f>
        <v>Fail</v>
      </c>
      <c r="AD1797" s="1" t="str">
        <f>IF(AND(Table1[[#This Row],[Spec Type2]]="N/A",Table1[[#This Row],[DUT Adj Read]]="N/A",Table1[[#This Row],[Std Adj Read]]="N/A"),"N/A",IF(Table1[[#This Row],[DUT Adj Read]]="N/A",IF(Table1[[#This Row],[Std Adj Read]]&gt;Table1[[#This Row],[Low Tol]],"Pass","Fail"),IF(Table1[[#This Row],[DUT Adj Read]]&gt;Table1[[#This Row],[Low Tol]],"Pass","Fail")))</f>
        <v>Pass</v>
      </c>
      <c r="AE1797" s="1" t="str">
        <f>IF(AND(Table1[[#This Row],[Spec Type2]]="N/A",Table1[[#This Row],[DUT Adj Read]]="N/A",Table1[[#This Row],[Std Adj Read]]="N/A"),"N/A",IF(Table1[[#This Row],[DUT Adj Read]]="N/A",IF(Table1[[#This Row],[Std Adj Read]]&lt;Table1[[#This Row],[High Tol]],"Pass","Fail"),IF(Table1[[#This Row],[DUT Adj Read]]&lt;Table1[[#This Row],[High Tol]],"Pass","Fail")))</f>
        <v>Fail</v>
      </c>
      <c r="AF1797" s="1" t="str">
        <f>IF(AND(Table1[[#This Row],[Spec Type2]]="N/A",Table1[[#This Row],[DUT Adj Read]]="N/A",Table1[[#This Row],[Std Adj Read]]="N/A"),"N/A",IF(Table1[[#This Row],[DUT Adj Read]]="N/A",IF(Table1[[#This Row],[Std Adj Read]]&gt;=Table1[[#This Row],[Low Tol]],"Pass","Fail"),IF(Table1[[#This Row],[DUT Adj Read]]&gt;=Table1[[#This Row],[Low Tol]],"Pass","Fail")))</f>
        <v>Pass</v>
      </c>
      <c r="AG1797" s="1" t="str">
        <f>IF(AND(Table1[[#This Row],[Spec Type2]]="N/A",Table1[[#This Row],[DUT Adj Read]]="N/A",Table1[[#This Row],[Std Adj Read]]="N/A"),"N/A",IF(Table1[[#This Row],[DUT Adj Read]]="N/A",IF(Table1[[#This Row],[Std Adj Read]]&lt;=Table1[[#This Row],[High Tol]],"Pass","Fail"),IF(Table1[[#This Row],[DUT Adj Read]]&lt;=Table1[[#This Row],[High Tol]],"Pass","Fail")))</f>
        <v>Fail</v>
      </c>
      <c r="AH17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7" s="1" t="b">
        <v>0</v>
      </c>
      <c r="AN1797" s="1" t="b">
        <v>0</v>
      </c>
      <c r="AO1797" s="1" t="b">
        <v>0</v>
      </c>
    </row>
    <row r="1798" spans="1:41" x14ac:dyDescent="0.25">
      <c r="A1798" s="10"/>
      <c r="B1798" s="10"/>
      <c r="C1798" s="10"/>
      <c r="D1798" s="10"/>
      <c r="E1798" s="10"/>
      <c r="F1798" s="10"/>
      <c r="G1798" s="10"/>
      <c r="H1798" s="10"/>
      <c r="I1798" s="1" t="str">
        <f t="shared" si="81"/>
        <v/>
      </c>
      <c r="J1798" s="1" t="s">
        <v>35</v>
      </c>
      <c r="K1798" s="1" t="str">
        <f t="shared" si="82"/>
        <v/>
      </c>
      <c r="L1798" s="1" t="str">
        <f t="shared" si="83"/>
        <v/>
      </c>
      <c r="M1798" s="1">
        <f>IF(OR(Table1[[#This Row],[Std Nom]]="",Table1[[#This Row],[Std Read]]=""),0,Table1[[#This Row],[Std Nom]]-Table1[[#This Row],[Std Read]])</f>
        <v>0</v>
      </c>
      <c r="N1798" s="1">
        <f>IF(Calculations!$F$5="ACCREDITED 17025 WITH UNCERTAINTIES",$N$10,0)</f>
        <v>0</v>
      </c>
      <c r="O1798" s="1" t="str">
        <f>IFERROR(Table1[[#This Row],[Std Nom]]-(_xlfn.XLOOKUP(Table1[[#This Row],[Manufacturer]]&amp;" "&amp;Table1[[#This Row],[Model]],Table13[MFR &amp; MDL],Table13[Tolerance % CW ],"")/100*Table1[[#This Row],[Std Nom]]),"")</f>
        <v/>
      </c>
      <c r="P1798" s="1" t="str">
        <f>IFERROR(Table1[[#This Row],[Std Nom]]+(_xlfn.XLOOKUP(Table1[[#This Row],[Manufacturer]]&amp;" "&amp;Table1[[#This Row],[Model]],Table13[MFR &amp; MDL],Table13[Tolerance % CW ],"")/100*Table1[[#This Row],[Std Nom]]),"")</f>
        <v/>
      </c>
      <c r="Q1798" s="1" t="e">
        <f>Table1[[#This Row],[High Tol]]-Table1[[#This Row],[Low Tol]]</f>
        <v>#VALUE!</v>
      </c>
      <c r="R1798" s="1">
        <f>2*Table1[[#This Row],[Std Error]]</f>
        <v>0</v>
      </c>
      <c r="S1798" s="1" t="str">
        <f>IF(Table1[[#This Row],[High Tol]]="","N/A",IFERROR(ABS(Table1[[#This Row],[Tol Span]]/Table1[[#This Row],[Error Span]]),"N/A"))</f>
        <v>N/A</v>
      </c>
      <c r="T1798" s="1" t="str">
        <f>IF(OR(Table1[[#This Row],[Low Tol]]="",Table1[[#This Row],[High Tol]]=""),"Needs Analysis",IF(Table1[[#This Row],[Ratio]]&gt;=4,"Not Significant",IF(Table1[[#This Row],[Ratio]]&gt;=2,"Semi-Significant","Significant")))</f>
        <v>Needs Analysis</v>
      </c>
      <c r="W1798" s="1">
        <f>IF(Table1[[#This Row],[Cal Type]]&lt;&gt;"ACCREDITED 17025 WITH UNCERTAINTIES",0,"")</f>
        <v>0</v>
      </c>
      <c r="X1798" s="1" t="str">
        <f>IF(Table1[[#This Row],[DUT Read]]="","N/A",Table1[[#This Row],[Std Error]]+Table1[[#This Row],[DUT Read]]+Table1[[#This Row],[DUT Ucty]])</f>
        <v>N/A</v>
      </c>
      <c r="Y1798" s="1" t="str">
        <f>IF(Table1[[#This Row],[Std Read]]="","N/A",Table1[[#This Row],[Std Read]]+Table1[[#This Row],[Std Ucty]])</f>
        <v>N/A</v>
      </c>
      <c r="Z17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8" s="1" t="str">
        <f>IF(Table1[[#This Row],[Spec Type]]="","N/A",Table1[[#This Row],[Spec Type]])</f>
        <v>±</v>
      </c>
      <c r="AC1798" s="1" t="str">
        <f>IF(Table1[[#This Row],[Spec Type2]]="N/A","N/A",IF(AND(Table1[[#This Row],[DUT Adj Read]]&gt;=Table1[[#This Row],[Low Tol]],Table1[[#This Row],[DUT Adj Read]]&lt;=Table1[[#This Row],[High Tol]]),"Pass","Fail"))</f>
        <v>Fail</v>
      </c>
      <c r="AD1798" s="1" t="str">
        <f>IF(AND(Table1[[#This Row],[Spec Type2]]="N/A",Table1[[#This Row],[DUT Adj Read]]="N/A",Table1[[#This Row],[Std Adj Read]]="N/A"),"N/A",IF(Table1[[#This Row],[DUT Adj Read]]="N/A",IF(Table1[[#This Row],[Std Adj Read]]&gt;Table1[[#This Row],[Low Tol]],"Pass","Fail"),IF(Table1[[#This Row],[DUT Adj Read]]&gt;Table1[[#This Row],[Low Tol]],"Pass","Fail")))</f>
        <v>Pass</v>
      </c>
      <c r="AE1798" s="1" t="str">
        <f>IF(AND(Table1[[#This Row],[Spec Type2]]="N/A",Table1[[#This Row],[DUT Adj Read]]="N/A",Table1[[#This Row],[Std Adj Read]]="N/A"),"N/A",IF(Table1[[#This Row],[DUT Adj Read]]="N/A",IF(Table1[[#This Row],[Std Adj Read]]&lt;Table1[[#This Row],[High Tol]],"Pass","Fail"),IF(Table1[[#This Row],[DUT Adj Read]]&lt;Table1[[#This Row],[High Tol]],"Pass","Fail")))</f>
        <v>Fail</v>
      </c>
      <c r="AF1798" s="1" t="str">
        <f>IF(AND(Table1[[#This Row],[Spec Type2]]="N/A",Table1[[#This Row],[DUT Adj Read]]="N/A",Table1[[#This Row],[Std Adj Read]]="N/A"),"N/A",IF(Table1[[#This Row],[DUT Adj Read]]="N/A",IF(Table1[[#This Row],[Std Adj Read]]&gt;=Table1[[#This Row],[Low Tol]],"Pass","Fail"),IF(Table1[[#This Row],[DUT Adj Read]]&gt;=Table1[[#This Row],[Low Tol]],"Pass","Fail")))</f>
        <v>Pass</v>
      </c>
      <c r="AG1798" s="1" t="str">
        <f>IF(AND(Table1[[#This Row],[Spec Type2]]="N/A",Table1[[#This Row],[DUT Adj Read]]="N/A",Table1[[#This Row],[Std Adj Read]]="N/A"),"N/A",IF(Table1[[#This Row],[DUT Adj Read]]="N/A",IF(Table1[[#This Row],[Std Adj Read]]&lt;=Table1[[#This Row],[High Tol]],"Pass","Fail"),IF(Table1[[#This Row],[DUT Adj Read]]&lt;=Table1[[#This Row],[High Tol]],"Pass","Fail")))</f>
        <v>Fail</v>
      </c>
      <c r="AH17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8" s="1" t="b">
        <v>0</v>
      </c>
      <c r="AN1798" s="1" t="b">
        <v>0</v>
      </c>
      <c r="AO1798" s="1" t="b">
        <v>0</v>
      </c>
    </row>
    <row r="1799" spans="1:41" x14ac:dyDescent="0.25">
      <c r="A1799" s="10"/>
      <c r="B1799" s="10"/>
      <c r="C1799" s="10"/>
      <c r="D1799" s="10"/>
      <c r="E1799" s="10"/>
      <c r="F1799" s="10"/>
      <c r="G1799" s="10"/>
      <c r="H1799" s="10"/>
      <c r="I1799" s="1" t="str">
        <f t="shared" si="81"/>
        <v/>
      </c>
      <c r="J1799" s="1" t="s">
        <v>35</v>
      </c>
      <c r="K1799" s="1" t="str">
        <f t="shared" si="82"/>
        <v/>
      </c>
      <c r="L1799" s="1" t="str">
        <f t="shared" si="83"/>
        <v/>
      </c>
      <c r="M1799" s="1">
        <f>IF(OR(Table1[[#This Row],[Std Nom]]="",Table1[[#This Row],[Std Read]]=""),0,Table1[[#This Row],[Std Nom]]-Table1[[#This Row],[Std Read]])</f>
        <v>0</v>
      </c>
      <c r="N1799" s="1">
        <f>IF(Calculations!$F$5="ACCREDITED 17025 WITH UNCERTAINTIES",$N$10,0)</f>
        <v>0</v>
      </c>
      <c r="O1799" s="1" t="str">
        <f>IFERROR(Table1[[#This Row],[Std Nom]]-(_xlfn.XLOOKUP(Table1[[#This Row],[Manufacturer]]&amp;" "&amp;Table1[[#This Row],[Model]],Table13[MFR &amp; MDL],Table13[Tolerance % CW ],"")/100*Table1[[#This Row],[Std Nom]]),"")</f>
        <v/>
      </c>
      <c r="P1799" s="1" t="str">
        <f>IFERROR(Table1[[#This Row],[Std Nom]]+(_xlfn.XLOOKUP(Table1[[#This Row],[Manufacturer]]&amp;" "&amp;Table1[[#This Row],[Model]],Table13[MFR &amp; MDL],Table13[Tolerance % CW ],"")/100*Table1[[#This Row],[Std Nom]]),"")</f>
        <v/>
      </c>
      <c r="Q1799" s="1" t="e">
        <f>Table1[[#This Row],[High Tol]]-Table1[[#This Row],[Low Tol]]</f>
        <v>#VALUE!</v>
      </c>
      <c r="R1799" s="1">
        <f>2*Table1[[#This Row],[Std Error]]</f>
        <v>0</v>
      </c>
      <c r="S1799" s="1" t="str">
        <f>IF(Table1[[#This Row],[High Tol]]="","N/A",IFERROR(ABS(Table1[[#This Row],[Tol Span]]/Table1[[#This Row],[Error Span]]),"N/A"))</f>
        <v>N/A</v>
      </c>
      <c r="T1799" s="1" t="str">
        <f>IF(OR(Table1[[#This Row],[Low Tol]]="",Table1[[#This Row],[High Tol]]=""),"Needs Analysis",IF(Table1[[#This Row],[Ratio]]&gt;=4,"Not Significant",IF(Table1[[#This Row],[Ratio]]&gt;=2,"Semi-Significant","Significant")))</f>
        <v>Needs Analysis</v>
      </c>
      <c r="W1799" s="1">
        <f>IF(Table1[[#This Row],[Cal Type]]&lt;&gt;"ACCREDITED 17025 WITH UNCERTAINTIES",0,"")</f>
        <v>0</v>
      </c>
      <c r="X1799" s="1" t="str">
        <f>IF(Table1[[#This Row],[DUT Read]]="","N/A",Table1[[#This Row],[Std Error]]+Table1[[#This Row],[DUT Read]]+Table1[[#This Row],[DUT Ucty]])</f>
        <v>N/A</v>
      </c>
      <c r="Y1799" s="1" t="str">
        <f>IF(Table1[[#This Row],[Std Read]]="","N/A",Table1[[#This Row],[Std Read]]+Table1[[#This Row],[Std Ucty]])</f>
        <v>N/A</v>
      </c>
      <c r="Z17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9" s="1" t="str">
        <f>IF(Table1[[#This Row],[Spec Type]]="","N/A",Table1[[#This Row],[Spec Type]])</f>
        <v>±</v>
      </c>
      <c r="AC1799" s="1" t="str">
        <f>IF(Table1[[#This Row],[Spec Type2]]="N/A","N/A",IF(AND(Table1[[#This Row],[DUT Adj Read]]&gt;=Table1[[#This Row],[Low Tol]],Table1[[#This Row],[DUT Adj Read]]&lt;=Table1[[#This Row],[High Tol]]),"Pass","Fail"))</f>
        <v>Fail</v>
      </c>
      <c r="AD1799" s="1" t="str">
        <f>IF(AND(Table1[[#This Row],[Spec Type2]]="N/A",Table1[[#This Row],[DUT Adj Read]]="N/A",Table1[[#This Row],[Std Adj Read]]="N/A"),"N/A",IF(Table1[[#This Row],[DUT Adj Read]]="N/A",IF(Table1[[#This Row],[Std Adj Read]]&gt;Table1[[#This Row],[Low Tol]],"Pass","Fail"),IF(Table1[[#This Row],[DUT Adj Read]]&gt;Table1[[#This Row],[Low Tol]],"Pass","Fail")))</f>
        <v>Pass</v>
      </c>
      <c r="AE1799" s="1" t="str">
        <f>IF(AND(Table1[[#This Row],[Spec Type2]]="N/A",Table1[[#This Row],[DUT Adj Read]]="N/A",Table1[[#This Row],[Std Adj Read]]="N/A"),"N/A",IF(Table1[[#This Row],[DUT Adj Read]]="N/A",IF(Table1[[#This Row],[Std Adj Read]]&lt;Table1[[#This Row],[High Tol]],"Pass","Fail"),IF(Table1[[#This Row],[DUT Adj Read]]&lt;Table1[[#This Row],[High Tol]],"Pass","Fail")))</f>
        <v>Fail</v>
      </c>
      <c r="AF1799" s="1" t="str">
        <f>IF(AND(Table1[[#This Row],[Spec Type2]]="N/A",Table1[[#This Row],[DUT Adj Read]]="N/A",Table1[[#This Row],[Std Adj Read]]="N/A"),"N/A",IF(Table1[[#This Row],[DUT Adj Read]]="N/A",IF(Table1[[#This Row],[Std Adj Read]]&gt;=Table1[[#This Row],[Low Tol]],"Pass","Fail"),IF(Table1[[#This Row],[DUT Adj Read]]&gt;=Table1[[#This Row],[Low Tol]],"Pass","Fail")))</f>
        <v>Pass</v>
      </c>
      <c r="AG1799" s="1" t="str">
        <f>IF(AND(Table1[[#This Row],[Spec Type2]]="N/A",Table1[[#This Row],[DUT Adj Read]]="N/A",Table1[[#This Row],[Std Adj Read]]="N/A"),"N/A",IF(Table1[[#This Row],[DUT Adj Read]]="N/A",IF(Table1[[#This Row],[Std Adj Read]]&lt;=Table1[[#This Row],[High Tol]],"Pass","Fail"),IF(Table1[[#This Row],[DUT Adj Read]]&lt;=Table1[[#This Row],[High Tol]],"Pass","Fail")))</f>
        <v>Fail</v>
      </c>
      <c r="AH17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9" s="1" t="b">
        <v>0</v>
      </c>
      <c r="AN1799" s="1" t="b">
        <v>0</v>
      </c>
      <c r="AO1799" s="1" t="b">
        <v>0</v>
      </c>
    </row>
    <row r="1800" spans="1:41" x14ac:dyDescent="0.25">
      <c r="A1800" s="10"/>
      <c r="B1800" s="10"/>
      <c r="C1800" s="10"/>
      <c r="D1800" s="10"/>
      <c r="E1800" s="10"/>
      <c r="F1800" s="10"/>
      <c r="G1800" s="10"/>
      <c r="H1800" s="10"/>
      <c r="I1800" s="1" t="str">
        <f t="shared" si="81"/>
        <v/>
      </c>
      <c r="J1800" s="1" t="s">
        <v>35</v>
      </c>
      <c r="K1800" s="1" t="str">
        <f t="shared" si="82"/>
        <v/>
      </c>
      <c r="L1800" s="1" t="str">
        <f t="shared" si="83"/>
        <v/>
      </c>
      <c r="M1800" s="1">
        <f>IF(OR(Table1[[#This Row],[Std Nom]]="",Table1[[#This Row],[Std Read]]=""),0,Table1[[#This Row],[Std Nom]]-Table1[[#This Row],[Std Read]])</f>
        <v>0</v>
      </c>
      <c r="N1800" s="1">
        <f>IF(Calculations!$F$5="ACCREDITED 17025 WITH UNCERTAINTIES",$N$10,0)</f>
        <v>0</v>
      </c>
      <c r="O1800" s="1" t="str">
        <f>IFERROR(Table1[[#This Row],[Std Nom]]-(_xlfn.XLOOKUP(Table1[[#This Row],[Manufacturer]]&amp;" "&amp;Table1[[#This Row],[Model]],Table13[MFR &amp; MDL],Table13[Tolerance % CW ],"")/100*Table1[[#This Row],[Std Nom]]),"")</f>
        <v/>
      </c>
      <c r="P1800" s="1" t="str">
        <f>IFERROR(Table1[[#This Row],[Std Nom]]+(_xlfn.XLOOKUP(Table1[[#This Row],[Manufacturer]]&amp;" "&amp;Table1[[#This Row],[Model]],Table13[MFR &amp; MDL],Table13[Tolerance % CW ],"")/100*Table1[[#This Row],[Std Nom]]),"")</f>
        <v/>
      </c>
      <c r="Q1800" s="1" t="e">
        <f>Table1[[#This Row],[High Tol]]-Table1[[#This Row],[Low Tol]]</f>
        <v>#VALUE!</v>
      </c>
      <c r="R1800" s="1">
        <f>2*Table1[[#This Row],[Std Error]]</f>
        <v>0</v>
      </c>
      <c r="S1800" s="1" t="str">
        <f>IF(Table1[[#This Row],[High Tol]]="","N/A",IFERROR(ABS(Table1[[#This Row],[Tol Span]]/Table1[[#This Row],[Error Span]]),"N/A"))</f>
        <v>N/A</v>
      </c>
      <c r="T1800" s="1" t="str">
        <f>IF(OR(Table1[[#This Row],[Low Tol]]="",Table1[[#This Row],[High Tol]]=""),"Needs Analysis",IF(Table1[[#This Row],[Ratio]]&gt;=4,"Not Significant",IF(Table1[[#This Row],[Ratio]]&gt;=2,"Semi-Significant","Significant")))</f>
        <v>Needs Analysis</v>
      </c>
      <c r="W1800" s="1">
        <f>IF(Table1[[#This Row],[Cal Type]]&lt;&gt;"ACCREDITED 17025 WITH UNCERTAINTIES",0,"")</f>
        <v>0</v>
      </c>
      <c r="X1800" s="1" t="str">
        <f>IF(Table1[[#This Row],[DUT Read]]="","N/A",Table1[[#This Row],[Std Error]]+Table1[[#This Row],[DUT Read]]+Table1[[#This Row],[DUT Ucty]])</f>
        <v>N/A</v>
      </c>
      <c r="Y1800" s="1" t="str">
        <f>IF(Table1[[#This Row],[Std Read]]="","N/A",Table1[[#This Row],[Std Read]]+Table1[[#This Row],[Std Ucty]])</f>
        <v>N/A</v>
      </c>
      <c r="Z18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0" s="1" t="str">
        <f>IF(Table1[[#This Row],[Spec Type]]="","N/A",Table1[[#This Row],[Spec Type]])</f>
        <v>±</v>
      </c>
      <c r="AC1800" s="1" t="str">
        <f>IF(Table1[[#This Row],[Spec Type2]]="N/A","N/A",IF(AND(Table1[[#This Row],[DUT Adj Read]]&gt;=Table1[[#This Row],[Low Tol]],Table1[[#This Row],[DUT Adj Read]]&lt;=Table1[[#This Row],[High Tol]]),"Pass","Fail"))</f>
        <v>Fail</v>
      </c>
      <c r="AD1800" s="1" t="str">
        <f>IF(AND(Table1[[#This Row],[Spec Type2]]="N/A",Table1[[#This Row],[DUT Adj Read]]="N/A",Table1[[#This Row],[Std Adj Read]]="N/A"),"N/A",IF(Table1[[#This Row],[DUT Adj Read]]="N/A",IF(Table1[[#This Row],[Std Adj Read]]&gt;Table1[[#This Row],[Low Tol]],"Pass","Fail"),IF(Table1[[#This Row],[DUT Adj Read]]&gt;Table1[[#This Row],[Low Tol]],"Pass","Fail")))</f>
        <v>Pass</v>
      </c>
      <c r="AE1800" s="1" t="str">
        <f>IF(AND(Table1[[#This Row],[Spec Type2]]="N/A",Table1[[#This Row],[DUT Adj Read]]="N/A",Table1[[#This Row],[Std Adj Read]]="N/A"),"N/A",IF(Table1[[#This Row],[DUT Adj Read]]="N/A",IF(Table1[[#This Row],[Std Adj Read]]&lt;Table1[[#This Row],[High Tol]],"Pass","Fail"),IF(Table1[[#This Row],[DUT Adj Read]]&lt;Table1[[#This Row],[High Tol]],"Pass","Fail")))</f>
        <v>Fail</v>
      </c>
      <c r="AF1800" s="1" t="str">
        <f>IF(AND(Table1[[#This Row],[Spec Type2]]="N/A",Table1[[#This Row],[DUT Adj Read]]="N/A",Table1[[#This Row],[Std Adj Read]]="N/A"),"N/A",IF(Table1[[#This Row],[DUT Adj Read]]="N/A",IF(Table1[[#This Row],[Std Adj Read]]&gt;=Table1[[#This Row],[Low Tol]],"Pass","Fail"),IF(Table1[[#This Row],[DUT Adj Read]]&gt;=Table1[[#This Row],[Low Tol]],"Pass","Fail")))</f>
        <v>Pass</v>
      </c>
      <c r="AG1800" s="1" t="str">
        <f>IF(AND(Table1[[#This Row],[Spec Type2]]="N/A",Table1[[#This Row],[DUT Adj Read]]="N/A",Table1[[#This Row],[Std Adj Read]]="N/A"),"N/A",IF(Table1[[#This Row],[DUT Adj Read]]="N/A",IF(Table1[[#This Row],[Std Adj Read]]&lt;=Table1[[#This Row],[High Tol]],"Pass","Fail"),IF(Table1[[#This Row],[DUT Adj Read]]&lt;=Table1[[#This Row],[High Tol]],"Pass","Fail")))</f>
        <v>Fail</v>
      </c>
      <c r="AH18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0" s="1" t="b">
        <v>0</v>
      </c>
      <c r="AN1800" s="1" t="b">
        <v>0</v>
      </c>
      <c r="AO1800" s="1" t="b">
        <v>0</v>
      </c>
    </row>
    <row r="1801" spans="1:41" x14ac:dyDescent="0.25">
      <c r="A1801" s="10"/>
      <c r="B1801" s="10"/>
      <c r="C1801" s="10"/>
      <c r="D1801" s="10"/>
      <c r="E1801" s="10"/>
      <c r="F1801" s="10"/>
      <c r="G1801" s="10"/>
      <c r="H1801" s="10"/>
      <c r="I1801" s="1" t="str">
        <f t="shared" si="81"/>
        <v/>
      </c>
      <c r="J1801" s="1" t="s">
        <v>35</v>
      </c>
      <c r="K1801" s="1" t="str">
        <f t="shared" si="82"/>
        <v/>
      </c>
      <c r="L1801" s="1" t="str">
        <f t="shared" si="83"/>
        <v/>
      </c>
      <c r="M1801" s="1">
        <f>IF(OR(Table1[[#This Row],[Std Nom]]="",Table1[[#This Row],[Std Read]]=""),0,Table1[[#This Row],[Std Nom]]-Table1[[#This Row],[Std Read]])</f>
        <v>0</v>
      </c>
      <c r="N1801" s="1">
        <f>IF(Calculations!$F$5="ACCREDITED 17025 WITH UNCERTAINTIES",$N$10,0)</f>
        <v>0</v>
      </c>
      <c r="O1801" s="1" t="str">
        <f>IFERROR(Table1[[#This Row],[Std Nom]]-(_xlfn.XLOOKUP(Table1[[#This Row],[Manufacturer]]&amp;" "&amp;Table1[[#This Row],[Model]],Table13[MFR &amp; MDL],Table13[Tolerance % CW ],"")/100*Table1[[#This Row],[Std Nom]]),"")</f>
        <v/>
      </c>
      <c r="P1801" s="1" t="str">
        <f>IFERROR(Table1[[#This Row],[Std Nom]]+(_xlfn.XLOOKUP(Table1[[#This Row],[Manufacturer]]&amp;" "&amp;Table1[[#This Row],[Model]],Table13[MFR &amp; MDL],Table13[Tolerance % CW ],"")/100*Table1[[#This Row],[Std Nom]]),"")</f>
        <v/>
      </c>
      <c r="Q1801" s="1" t="e">
        <f>Table1[[#This Row],[High Tol]]-Table1[[#This Row],[Low Tol]]</f>
        <v>#VALUE!</v>
      </c>
      <c r="R1801" s="1">
        <f>2*Table1[[#This Row],[Std Error]]</f>
        <v>0</v>
      </c>
      <c r="S1801" s="1" t="str">
        <f>IF(Table1[[#This Row],[High Tol]]="","N/A",IFERROR(ABS(Table1[[#This Row],[Tol Span]]/Table1[[#This Row],[Error Span]]),"N/A"))</f>
        <v>N/A</v>
      </c>
      <c r="T1801" s="1" t="str">
        <f>IF(OR(Table1[[#This Row],[Low Tol]]="",Table1[[#This Row],[High Tol]]=""),"Needs Analysis",IF(Table1[[#This Row],[Ratio]]&gt;=4,"Not Significant",IF(Table1[[#This Row],[Ratio]]&gt;=2,"Semi-Significant","Significant")))</f>
        <v>Needs Analysis</v>
      </c>
      <c r="W1801" s="1">
        <f>IF(Table1[[#This Row],[Cal Type]]&lt;&gt;"ACCREDITED 17025 WITH UNCERTAINTIES",0,"")</f>
        <v>0</v>
      </c>
      <c r="X1801" s="1" t="str">
        <f>IF(Table1[[#This Row],[DUT Read]]="","N/A",Table1[[#This Row],[Std Error]]+Table1[[#This Row],[DUT Read]]+Table1[[#This Row],[DUT Ucty]])</f>
        <v>N/A</v>
      </c>
      <c r="Y1801" s="1" t="str">
        <f>IF(Table1[[#This Row],[Std Read]]="","N/A",Table1[[#This Row],[Std Read]]+Table1[[#This Row],[Std Ucty]])</f>
        <v>N/A</v>
      </c>
      <c r="Z18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1" s="1" t="str">
        <f>IF(Table1[[#This Row],[Spec Type]]="","N/A",Table1[[#This Row],[Spec Type]])</f>
        <v>±</v>
      </c>
      <c r="AC1801" s="1" t="str">
        <f>IF(Table1[[#This Row],[Spec Type2]]="N/A","N/A",IF(AND(Table1[[#This Row],[DUT Adj Read]]&gt;=Table1[[#This Row],[Low Tol]],Table1[[#This Row],[DUT Adj Read]]&lt;=Table1[[#This Row],[High Tol]]),"Pass","Fail"))</f>
        <v>Fail</v>
      </c>
      <c r="AD1801" s="1" t="str">
        <f>IF(AND(Table1[[#This Row],[Spec Type2]]="N/A",Table1[[#This Row],[DUT Adj Read]]="N/A",Table1[[#This Row],[Std Adj Read]]="N/A"),"N/A",IF(Table1[[#This Row],[DUT Adj Read]]="N/A",IF(Table1[[#This Row],[Std Adj Read]]&gt;Table1[[#This Row],[Low Tol]],"Pass","Fail"),IF(Table1[[#This Row],[DUT Adj Read]]&gt;Table1[[#This Row],[Low Tol]],"Pass","Fail")))</f>
        <v>Pass</v>
      </c>
      <c r="AE1801" s="1" t="str">
        <f>IF(AND(Table1[[#This Row],[Spec Type2]]="N/A",Table1[[#This Row],[DUT Adj Read]]="N/A",Table1[[#This Row],[Std Adj Read]]="N/A"),"N/A",IF(Table1[[#This Row],[DUT Adj Read]]="N/A",IF(Table1[[#This Row],[Std Adj Read]]&lt;Table1[[#This Row],[High Tol]],"Pass","Fail"),IF(Table1[[#This Row],[DUT Adj Read]]&lt;Table1[[#This Row],[High Tol]],"Pass","Fail")))</f>
        <v>Fail</v>
      </c>
      <c r="AF1801" s="1" t="str">
        <f>IF(AND(Table1[[#This Row],[Spec Type2]]="N/A",Table1[[#This Row],[DUT Adj Read]]="N/A",Table1[[#This Row],[Std Adj Read]]="N/A"),"N/A",IF(Table1[[#This Row],[DUT Adj Read]]="N/A",IF(Table1[[#This Row],[Std Adj Read]]&gt;=Table1[[#This Row],[Low Tol]],"Pass","Fail"),IF(Table1[[#This Row],[DUT Adj Read]]&gt;=Table1[[#This Row],[Low Tol]],"Pass","Fail")))</f>
        <v>Pass</v>
      </c>
      <c r="AG1801" s="1" t="str">
        <f>IF(AND(Table1[[#This Row],[Spec Type2]]="N/A",Table1[[#This Row],[DUT Adj Read]]="N/A",Table1[[#This Row],[Std Adj Read]]="N/A"),"N/A",IF(Table1[[#This Row],[DUT Adj Read]]="N/A",IF(Table1[[#This Row],[Std Adj Read]]&lt;=Table1[[#This Row],[High Tol]],"Pass","Fail"),IF(Table1[[#This Row],[DUT Adj Read]]&lt;=Table1[[#This Row],[High Tol]],"Pass","Fail")))</f>
        <v>Fail</v>
      </c>
      <c r="AH18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1" s="1" t="b">
        <v>0</v>
      </c>
      <c r="AN1801" s="1" t="b">
        <v>0</v>
      </c>
      <c r="AO1801" s="1" t="b">
        <v>0</v>
      </c>
    </row>
    <row r="1802" spans="1:41" x14ac:dyDescent="0.25">
      <c r="A1802" s="10"/>
      <c r="B1802" s="10"/>
      <c r="C1802" s="10"/>
      <c r="D1802" s="10"/>
      <c r="E1802" s="10"/>
      <c r="F1802" s="10"/>
      <c r="G1802" s="10"/>
      <c r="H1802" s="10"/>
      <c r="I1802" s="1" t="str">
        <f t="shared" si="81"/>
        <v/>
      </c>
      <c r="J1802" s="1" t="s">
        <v>35</v>
      </c>
      <c r="K1802" s="1" t="str">
        <f t="shared" si="82"/>
        <v/>
      </c>
      <c r="L1802" s="1" t="str">
        <f t="shared" si="83"/>
        <v/>
      </c>
      <c r="M1802" s="1">
        <f>IF(OR(Table1[[#This Row],[Std Nom]]="",Table1[[#This Row],[Std Read]]=""),0,Table1[[#This Row],[Std Nom]]-Table1[[#This Row],[Std Read]])</f>
        <v>0</v>
      </c>
      <c r="N1802" s="1">
        <f>IF(Calculations!$F$5="ACCREDITED 17025 WITH UNCERTAINTIES",$N$10,0)</f>
        <v>0</v>
      </c>
      <c r="O1802" s="1" t="str">
        <f>IFERROR(Table1[[#This Row],[Std Nom]]-(_xlfn.XLOOKUP(Table1[[#This Row],[Manufacturer]]&amp;" "&amp;Table1[[#This Row],[Model]],Table13[MFR &amp; MDL],Table13[Tolerance % CW ],"")/100*Table1[[#This Row],[Std Nom]]),"")</f>
        <v/>
      </c>
      <c r="P1802" s="1" t="str">
        <f>IFERROR(Table1[[#This Row],[Std Nom]]+(_xlfn.XLOOKUP(Table1[[#This Row],[Manufacturer]]&amp;" "&amp;Table1[[#This Row],[Model]],Table13[MFR &amp; MDL],Table13[Tolerance % CW ],"")/100*Table1[[#This Row],[Std Nom]]),"")</f>
        <v/>
      </c>
      <c r="Q1802" s="1" t="e">
        <f>Table1[[#This Row],[High Tol]]-Table1[[#This Row],[Low Tol]]</f>
        <v>#VALUE!</v>
      </c>
      <c r="R1802" s="1">
        <f>2*Table1[[#This Row],[Std Error]]</f>
        <v>0</v>
      </c>
      <c r="S1802" s="1" t="str">
        <f>IF(Table1[[#This Row],[High Tol]]="","N/A",IFERROR(ABS(Table1[[#This Row],[Tol Span]]/Table1[[#This Row],[Error Span]]),"N/A"))</f>
        <v>N/A</v>
      </c>
      <c r="T1802" s="1" t="str">
        <f>IF(OR(Table1[[#This Row],[Low Tol]]="",Table1[[#This Row],[High Tol]]=""),"Needs Analysis",IF(Table1[[#This Row],[Ratio]]&gt;=4,"Not Significant",IF(Table1[[#This Row],[Ratio]]&gt;=2,"Semi-Significant","Significant")))</f>
        <v>Needs Analysis</v>
      </c>
      <c r="W1802" s="1">
        <f>IF(Table1[[#This Row],[Cal Type]]&lt;&gt;"ACCREDITED 17025 WITH UNCERTAINTIES",0,"")</f>
        <v>0</v>
      </c>
      <c r="X1802" s="1" t="str">
        <f>IF(Table1[[#This Row],[DUT Read]]="","N/A",Table1[[#This Row],[Std Error]]+Table1[[#This Row],[DUT Read]]+Table1[[#This Row],[DUT Ucty]])</f>
        <v>N/A</v>
      </c>
      <c r="Y1802" s="1" t="str">
        <f>IF(Table1[[#This Row],[Std Read]]="","N/A",Table1[[#This Row],[Std Read]]+Table1[[#This Row],[Std Ucty]])</f>
        <v>N/A</v>
      </c>
      <c r="Z18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2" s="1" t="str">
        <f>IF(Table1[[#This Row],[Spec Type]]="","N/A",Table1[[#This Row],[Spec Type]])</f>
        <v>±</v>
      </c>
      <c r="AC1802" s="1" t="str">
        <f>IF(Table1[[#This Row],[Spec Type2]]="N/A","N/A",IF(AND(Table1[[#This Row],[DUT Adj Read]]&gt;=Table1[[#This Row],[Low Tol]],Table1[[#This Row],[DUT Adj Read]]&lt;=Table1[[#This Row],[High Tol]]),"Pass","Fail"))</f>
        <v>Fail</v>
      </c>
      <c r="AD1802" s="1" t="str">
        <f>IF(AND(Table1[[#This Row],[Spec Type2]]="N/A",Table1[[#This Row],[DUT Adj Read]]="N/A",Table1[[#This Row],[Std Adj Read]]="N/A"),"N/A",IF(Table1[[#This Row],[DUT Adj Read]]="N/A",IF(Table1[[#This Row],[Std Adj Read]]&gt;Table1[[#This Row],[Low Tol]],"Pass","Fail"),IF(Table1[[#This Row],[DUT Adj Read]]&gt;Table1[[#This Row],[Low Tol]],"Pass","Fail")))</f>
        <v>Pass</v>
      </c>
      <c r="AE1802" s="1" t="str">
        <f>IF(AND(Table1[[#This Row],[Spec Type2]]="N/A",Table1[[#This Row],[DUT Adj Read]]="N/A",Table1[[#This Row],[Std Adj Read]]="N/A"),"N/A",IF(Table1[[#This Row],[DUT Adj Read]]="N/A",IF(Table1[[#This Row],[Std Adj Read]]&lt;Table1[[#This Row],[High Tol]],"Pass","Fail"),IF(Table1[[#This Row],[DUT Adj Read]]&lt;Table1[[#This Row],[High Tol]],"Pass","Fail")))</f>
        <v>Fail</v>
      </c>
      <c r="AF1802" s="1" t="str">
        <f>IF(AND(Table1[[#This Row],[Spec Type2]]="N/A",Table1[[#This Row],[DUT Adj Read]]="N/A",Table1[[#This Row],[Std Adj Read]]="N/A"),"N/A",IF(Table1[[#This Row],[DUT Adj Read]]="N/A",IF(Table1[[#This Row],[Std Adj Read]]&gt;=Table1[[#This Row],[Low Tol]],"Pass","Fail"),IF(Table1[[#This Row],[DUT Adj Read]]&gt;=Table1[[#This Row],[Low Tol]],"Pass","Fail")))</f>
        <v>Pass</v>
      </c>
      <c r="AG1802" s="1" t="str">
        <f>IF(AND(Table1[[#This Row],[Spec Type2]]="N/A",Table1[[#This Row],[DUT Adj Read]]="N/A",Table1[[#This Row],[Std Adj Read]]="N/A"),"N/A",IF(Table1[[#This Row],[DUT Adj Read]]="N/A",IF(Table1[[#This Row],[Std Adj Read]]&lt;=Table1[[#This Row],[High Tol]],"Pass","Fail"),IF(Table1[[#This Row],[DUT Adj Read]]&lt;=Table1[[#This Row],[High Tol]],"Pass","Fail")))</f>
        <v>Fail</v>
      </c>
      <c r="AH18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2" s="1" t="b">
        <v>0</v>
      </c>
      <c r="AN1802" s="1" t="b">
        <v>0</v>
      </c>
      <c r="AO1802" s="1" t="b">
        <v>0</v>
      </c>
    </row>
    <row r="1803" spans="1:41" x14ac:dyDescent="0.25">
      <c r="A1803" s="10"/>
      <c r="B1803" s="10"/>
      <c r="C1803" s="10"/>
      <c r="D1803" s="10"/>
      <c r="E1803" s="10"/>
      <c r="F1803" s="10"/>
      <c r="G1803" s="10"/>
      <c r="H1803" s="10"/>
      <c r="I1803" s="1" t="str">
        <f t="shared" ref="I1803:I1866" si="84">IF($I$10="","",$I$10)</f>
        <v/>
      </c>
      <c r="J1803" s="1" t="s">
        <v>35</v>
      </c>
      <c r="K1803" s="1" t="str">
        <f t="shared" ref="K1803:K1866" si="85">IF($K$10="","",$K$10)</f>
        <v/>
      </c>
      <c r="L1803" s="1" t="str">
        <f t="shared" ref="L1803:L1866" si="86">IF($L$10="","",$L$10)</f>
        <v/>
      </c>
      <c r="M1803" s="1">
        <f>IF(OR(Table1[[#This Row],[Std Nom]]="",Table1[[#This Row],[Std Read]]=""),0,Table1[[#This Row],[Std Nom]]-Table1[[#This Row],[Std Read]])</f>
        <v>0</v>
      </c>
      <c r="N1803" s="1">
        <f>IF(Calculations!$F$5="ACCREDITED 17025 WITH UNCERTAINTIES",$N$10,0)</f>
        <v>0</v>
      </c>
      <c r="O1803" s="1" t="str">
        <f>IFERROR(Table1[[#This Row],[Std Nom]]-(_xlfn.XLOOKUP(Table1[[#This Row],[Manufacturer]]&amp;" "&amp;Table1[[#This Row],[Model]],Table13[MFR &amp; MDL],Table13[Tolerance % CW ],"")/100*Table1[[#This Row],[Std Nom]]),"")</f>
        <v/>
      </c>
      <c r="P1803" s="1" t="str">
        <f>IFERROR(Table1[[#This Row],[Std Nom]]+(_xlfn.XLOOKUP(Table1[[#This Row],[Manufacturer]]&amp;" "&amp;Table1[[#This Row],[Model]],Table13[MFR &amp; MDL],Table13[Tolerance % CW ],"")/100*Table1[[#This Row],[Std Nom]]),"")</f>
        <v/>
      </c>
      <c r="Q1803" s="1" t="e">
        <f>Table1[[#This Row],[High Tol]]-Table1[[#This Row],[Low Tol]]</f>
        <v>#VALUE!</v>
      </c>
      <c r="R1803" s="1">
        <f>2*Table1[[#This Row],[Std Error]]</f>
        <v>0</v>
      </c>
      <c r="S1803" s="1" t="str">
        <f>IF(Table1[[#This Row],[High Tol]]="","N/A",IFERROR(ABS(Table1[[#This Row],[Tol Span]]/Table1[[#This Row],[Error Span]]),"N/A"))</f>
        <v>N/A</v>
      </c>
      <c r="T1803" s="1" t="str">
        <f>IF(OR(Table1[[#This Row],[Low Tol]]="",Table1[[#This Row],[High Tol]]=""),"Needs Analysis",IF(Table1[[#This Row],[Ratio]]&gt;=4,"Not Significant",IF(Table1[[#This Row],[Ratio]]&gt;=2,"Semi-Significant","Significant")))</f>
        <v>Needs Analysis</v>
      </c>
      <c r="W1803" s="1">
        <f>IF(Table1[[#This Row],[Cal Type]]&lt;&gt;"ACCREDITED 17025 WITH UNCERTAINTIES",0,"")</f>
        <v>0</v>
      </c>
      <c r="X1803" s="1" t="str">
        <f>IF(Table1[[#This Row],[DUT Read]]="","N/A",Table1[[#This Row],[Std Error]]+Table1[[#This Row],[DUT Read]]+Table1[[#This Row],[DUT Ucty]])</f>
        <v>N/A</v>
      </c>
      <c r="Y1803" s="1" t="str">
        <f>IF(Table1[[#This Row],[Std Read]]="","N/A",Table1[[#This Row],[Std Read]]+Table1[[#This Row],[Std Ucty]])</f>
        <v>N/A</v>
      </c>
      <c r="Z18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3" s="1" t="str">
        <f>IF(Table1[[#This Row],[Spec Type]]="","N/A",Table1[[#This Row],[Spec Type]])</f>
        <v>±</v>
      </c>
      <c r="AC1803" s="1" t="str">
        <f>IF(Table1[[#This Row],[Spec Type2]]="N/A","N/A",IF(AND(Table1[[#This Row],[DUT Adj Read]]&gt;=Table1[[#This Row],[Low Tol]],Table1[[#This Row],[DUT Adj Read]]&lt;=Table1[[#This Row],[High Tol]]),"Pass","Fail"))</f>
        <v>Fail</v>
      </c>
      <c r="AD1803" s="1" t="str">
        <f>IF(AND(Table1[[#This Row],[Spec Type2]]="N/A",Table1[[#This Row],[DUT Adj Read]]="N/A",Table1[[#This Row],[Std Adj Read]]="N/A"),"N/A",IF(Table1[[#This Row],[DUT Adj Read]]="N/A",IF(Table1[[#This Row],[Std Adj Read]]&gt;Table1[[#This Row],[Low Tol]],"Pass","Fail"),IF(Table1[[#This Row],[DUT Adj Read]]&gt;Table1[[#This Row],[Low Tol]],"Pass","Fail")))</f>
        <v>Pass</v>
      </c>
      <c r="AE1803" s="1" t="str">
        <f>IF(AND(Table1[[#This Row],[Spec Type2]]="N/A",Table1[[#This Row],[DUT Adj Read]]="N/A",Table1[[#This Row],[Std Adj Read]]="N/A"),"N/A",IF(Table1[[#This Row],[DUT Adj Read]]="N/A",IF(Table1[[#This Row],[Std Adj Read]]&lt;Table1[[#This Row],[High Tol]],"Pass","Fail"),IF(Table1[[#This Row],[DUT Adj Read]]&lt;Table1[[#This Row],[High Tol]],"Pass","Fail")))</f>
        <v>Fail</v>
      </c>
      <c r="AF1803" s="1" t="str">
        <f>IF(AND(Table1[[#This Row],[Spec Type2]]="N/A",Table1[[#This Row],[DUT Adj Read]]="N/A",Table1[[#This Row],[Std Adj Read]]="N/A"),"N/A",IF(Table1[[#This Row],[DUT Adj Read]]="N/A",IF(Table1[[#This Row],[Std Adj Read]]&gt;=Table1[[#This Row],[Low Tol]],"Pass","Fail"),IF(Table1[[#This Row],[DUT Adj Read]]&gt;=Table1[[#This Row],[Low Tol]],"Pass","Fail")))</f>
        <v>Pass</v>
      </c>
      <c r="AG1803" s="1" t="str">
        <f>IF(AND(Table1[[#This Row],[Spec Type2]]="N/A",Table1[[#This Row],[DUT Adj Read]]="N/A",Table1[[#This Row],[Std Adj Read]]="N/A"),"N/A",IF(Table1[[#This Row],[DUT Adj Read]]="N/A",IF(Table1[[#This Row],[Std Adj Read]]&lt;=Table1[[#This Row],[High Tol]],"Pass","Fail"),IF(Table1[[#This Row],[DUT Adj Read]]&lt;=Table1[[#This Row],[High Tol]],"Pass","Fail")))</f>
        <v>Fail</v>
      </c>
      <c r="AH18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3" s="1" t="b">
        <v>0</v>
      </c>
      <c r="AN1803" s="1" t="b">
        <v>0</v>
      </c>
      <c r="AO1803" s="1" t="b">
        <v>0</v>
      </c>
    </row>
    <row r="1804" spans="1:41" x14ac:dyDescent="0.25">
      <c r="A1804" s="10"/>
      <c r="B1804" s="10"/>
      <c r="C1804" s="10"/>
      <c r="D1804" s="10"/>
      <c r="E1804" s="10"/>
      <c r="F1804" s="10"/>
      <c r="G1804" s="10"/>
      <c r="H1804" s="10"/>
      <c r="I1804" s="1" t="str">
        <f t="shared" si="84"/>
        <v/>
      </c>
      <c r="J1804" s="1" t="s">
        <v>35</v>
      </c>
      <c r="K1804" s="1" t="str">
        <f t="shared" si="85"/>
        <v/>
      </c>
      <c r="L1804" s="1" t="str">
        <f t="shared" si="86"/>
        <v/>
      </c>
      <c r="M1804" s="1">
        <f>IF(OR(Table1[[#This Row],[Std Nom]]="",Table1[[#This Row],[Std Read]]=""),0,Table1[[#This Row],[Std Nom]]-Table1[[#This Row],[Std Read]])</f>
        <v>0</v>
      </c>
      <c r="N1804" s="1">
        <f>IF(Calculations!$F$5="ACCREDITED 17025 WITH UNCERTAINTIES",$N$10,0)</f>
        <v>0</v>
      </c>
      <c r="O1804" s="1" t="str">
        <f>IFERROR(Table1[[#This Row],[Std Nom]]-(_xlfn.XLOOKUP(Table1[[#This Row],[Manufacturer]]&amp;" "&amp;Table1[[#This Row],[Model]],Table13[MFR &amp; MDL],Table13[Tolerance % CW ],"")/100*Table1[[#This Row],[Std Nom]]),"")</f>
        <v/>
      </c>
      <c r="P1804" s="1" t="str">
        <f>IFERROR(Table1[[#This Row],[Std Nom]]+(_xlfn.XLOOKUP(Table1[[#This Row],[Manufacturer]]&amp;" "&amp;Table1[[#This Row],[Model]],Table13[MFR &amp; MDL],Table13[Tolerance % CW ],"")/100*Table1[[#This Row],[Std Nom]]),"")</f>
        <v/>
      </c>
      <c r="Q1804" s="1" t="e">
        <f>Table1[[#This Row],[High Tol]]-Table1[[#This Row],[Low Tol]]</f>
        <v>#VALUE!</v>
      </c>
      <c r="R1804" s="1">
        <f>2*Table1[[#This Row],[Std Error]]</f>
        <v>0</v>
      </c>
      <c r="S1804" s="1" t="str">
        <f>IF(Table1[[#This Row],[High Tol]]="","N/A",IFERROR(ABS(Table1[[#This Row],[Tol Span]]/Table1[[#This Row],[Error Span]]),"N/A"))</f>
        <v>N/A</v>
      </c>
      <c r="T1804" s="1" t="str">
        <f>IF(OR(Table1[[#This Row],[Low Tol]]="",Table1[[#This Row],[High Tol]]=""),"Needs Analysis",IF(Table1[[#This Row],[Ratio]]&gt;=4,"Not Significant",IF(Table1[[#This Row],[Ratio]]&gt;=2,"Semi-Significant","Significant")))</f>
        <v>Needs Analysis</v>
      </c>
      <c r="W1804" s="1">
        <f>IF(Table1[[#This Row],[Cal Type]]&lt;&gt;"ACCREDITED 17025 WITH UNCERTAINTIES",0,"")</f>
        <v>0</v>
      </c>
      <c r="X1804" s="1" t="str">
        <f>IF(Table1[[#This Row],[DUT Read]]="","N/A",Table1[[#This Row],[Std Error]]+Table1[[#This Row],[DUT Read]]+Table1[[#This Row],[DUT Ucty]])</f>
        <v>N/A</v>
      </c>
      <c r="Y1804" s="1" t="str">
        <f>IF(Table1[[#This Row],[Std Read]]="","N/A",Table1[[#This Row],[Std Read]]+Table1[[#This Row],[Std Ucty]])</f>
        <v>N/A</v>
      </c>
      <c r="Z18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4" s="1" t="str">
        <f>IF(Table1[[#This Row],[Spec Type]]="","N/A",Table1[[#This Row],[Spec Type]])</f>
        <v>±</v>
      </c>
      <c r="AC1804" s="1" t="str">
        <f>IF(Table1[[#This Row],[Spec Type2]]="N/A","N/A",IF(AND(Table1[[#This Row],[DUT Adj Read]]&gt;=Table1[[#This Row],[Low Tol]],Table1[[#This Row],[DUT Adj Read]]&lt;=Table1[[#This Row],[High Tol]]),"Pass","Fail"))</f>
        <v>Fail</v>
      </c>
      <c r="AD1804" s="1" t="str">
        <f>IF(AND(Table1[[#This Row],[Spec Type2]]="N/A",Table1[[#This Row],[DUT Adj Read]]="N/A",Table1[[#This Row],[Std Adj Read]]="N/A"),"N/A",IF(Table1[[#This Row],[DUT Adj Read]]="N/A",IF(Table1[[#This Row],[Std Adj Read]]&gt;Table1[[#This Row],[Low Tol]],"Pass","Fail"),IF(Table1[[#This Row],[DUT Adj Read]]&gt;Table1[[#This Row],[Low Tol]],"Pass","Fail")))</f>
        <v>Pass</v>
      </c>
      <c r="AE1804" s="1" t="str">
        <f>IF(AND(Table1[[#This Row],[Spec Type2]]="N/A",Table1[[#This Row],[DUT Adj Read]]="N/A",Table1[[#This Row],[Std Adj Read]]="N/A"),"N/A",IF(Table1[[#This Row],[DUT Adj Read]]="N/A",IF(Table1[[#This Row],[Std Adj Read]]&lt;Table1[[#This Row],[High Tol]],"Pass","Fail"),IF(Table1[[#This Row],[DUT Adj Read]]&lt;Table1[[#This Row],[High Tol]],"Pass","Fail")))</f>
        <v>Fail</v>
      </c>
      <c r="AF1804" s="1" t="str">
        <f>IF(AND(Table1[[#This Row],[Spec Type2]]="N/A",Table1[[#This Row],[DUT Adj Read]]="N/A",Table1[[#This Row],[Std Adj Read]]="N/A"),"N/A",IF(Table1[[#This Row],[DUT Adj Read]]="N/A",IF(Table1[[#This Row],[Std Adj Read]]&gt;=Table1[[#This Row],[Low Tol]],"Pass","Fail"),IF(Table1[[#This Row],[DUT Adj Read]]&gt;=Table1[[#This Row],[Low Tol]],"Pass","Fail")))</f>
        <v>Pass</v>
      </c>
      <c r="AG1804" s="1" t="str">
        <f>IF(AND(Table1[[#This Row],[Spec Type2]]="N/A",Table1[[#This Row],[DUT Adj Read]]="N/A",Table1[[#This Row],[Std Adj Read]]="N/A"),"N/A",IF(Table1[[#This Row],[DUT Adj Read]]="N/A",IF(Table1[[#This Row],[Std Adj Read]]&lt;=Table1[[#This Row],[High Tol]],"Pass","Fail"),IF(Table1[[#This Row],[DUT Adj Read]]&lt;=Table1[[#This Row],[High Tol]],"Pass","Fail")))</f>
        <v>Fail</v>
      </c>
      <c r="AH18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4" s="1" t="b">
        <v>0</v>
      </c>
      <c r="AN1804" s="1" t="b">
        <v>0</v>
      </c>
      <c r="AO1804" s="1" t="b">
        <v>0</v>
      </c>
    </row>
    <row r="1805" spans="1:41" x14ac:dyDescent="0.25">
      <c r="A1805" s="10"/>
      <c r="B1805" s="10"/>
      <c r="C1805" s="10"/>
      <c r="D1805" s="10"/>
      <c r="E1805" s="10"/>
      <c r="F1805" s="10"/>
      <c r="G1805" s="10"/>
      <c r="H1805" s="10"/>
      <c r="I1805" s="1" t="str">
        <f t="shared" si="84"/>
        <v/>
      </c>
      <c r="J1805" s="1" t="s">
        <v>35</v>
      </c>
      <c r="K1805" s="1" t="str">
        <f t="shared" si="85"/>
        <v/>
      </c>
      <c r="L1805" s="1" t="str">
        <f t="shared" si="86"/>
        <v/>
      </c>
      <c r="M1805" s="1">
        <f>IF(OR(Table1[[#This Row],[Std Nom]]="",Table1[[#This Row],[Std Read]]=""),0,Table1[[#This Row],[Std Nom]]-Table1[[#This Row],[Std Read]])</f>
        <v>0</v>
      </c>
      <c r="N1805" s="1">
        <f>IF(Calculations!$F$5="ACCREDITED 17025 WITH UNCERTAINTIES",$N$10,0)</f>
        <v>0</v>
      </c>
      <c r="O1805" s="1" t="str">
        <f>IFERROR(Table1[[#This Row],[Std Nom]]-(_xlfn.XLOOKUP(Table1[[#This Row],[Manufacturer]]&amp;" "&amp;Table1[[#This Row],[Model]],Table13[MFR &amp; MDL],Table13[Tolerance % CW ],"")/100*Table1[[#This Row],[Std Nom]]),"")</f>
        <v/>
      </c>
      <c r="P1805" s="1" t="str">
        <f>IFERROR(Table1[[#This Row],[Std Nom]]+(_xlfn.XLOOKUP(Table1[[#This Row],[Manufacturer]]&amp;" "&amp;Table1[[#This Row],[Model]],Table13[MFR &amp; MDL],Table13[Tolerance % CW ],"")/100*Table1[[#This Row],[Std Nom]]),"")</f>
        <v/>
      </c>
      <c r="Q1805" s="1" t="e">
        <f>Table1[[#This Row],[High Tol]]-Table1[[#This Row],[Low Tol]]</f>
        <v>#VALUE!</v>
      </c>
      <c r="R1805" s="1">
        <f>2*Table1[[#This Row],[Std Error]]</f>
        <v>0</v>
      </c>
      <c r="S1805" s="1" t="str">
        <f>IF(Table1[[#This Row],[High Tol]]="","N/A",IFERROR(ABS(Table1[[#This Row],[Tol Span]]/Table1[[#This Row],[Error Span]]),"N/A"))</f>
        <v>N/A</v>
      </c>
      <c r="T1805" s="1" t="str">
        <f>IF(OR(Table1[[#This Row],[Low Tol]]="",Table1[[#This Row],[High Tol]]=""),"Needs Analysis",IF(Table1[[#This Row],[Ratio]]&gt;=4,"Not Significant",IF(Table1[[#This Row],[Ratio]]&gt;=2,"Semi-Significant","Significant")))</f>
        <v>Needs Analysis</v>
      </c>
      <c r="W1805" s="1">
        <f>IF(Table1[[#This Row],[Cal Type]]&lt;&gt;"ACCREDITED 17025 WITH UNCERTAINTIES",0,"")</f>
        <v>0</v>
      </c>
      <c r="X1805" s="1" t="str">
        <f>IF(Table1[[#This Row],[DUT Read]]="","N/A",Table1[[#This Row],[Std Error]]+Table1[[#This Row],[DUT Read]]+Table1[[#This Row],[DUT Ucty]])</f>
        <v>N/A</v>
      </c>
      <c r="Y1805" s="1" t="str">
        <f>IF(Table1[[#This Row],[Std Read]]="","N/A",Table1[[#This Row],[Std Read]]+Table1[[#This Row],[Std Ucty]])</f>
        <v>N/A</v>
      </c>
      <c r="Z18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5" s="1" t="str">
        <f>IF(Table1[[#This Row],[Spec Type]]="","N/A",Table1[[#This Row],[Spec Type]])</f>
        <v>±</v>
      </c>
      <c r="AC1805" s="1" t="str">
        <f>IF(Table1[[#This Row],[Spec Type2]]="N/A","N/A",IF(AND(Table1[[#This Row],[DUT Adj Read]]&gt;=Table1[[#This Row],[Low Tol]],Table1[[#This Row],[DUT Adj Read]]&lt;=Table1[[#This Row],[High Tol]]),"Pass","Fail"))</f>
        <v>Fail</v>
      </c>
      <c r="AD1805" s="1" t="str">
        <f>IF(AND(Table1[[#This Row],[Spec Type2]]="N/A",Table1[[#This Row],[DUT Adj Read]]="N/A",Table1[[#This Row],[Std Adj Read]]="N/A"),"N/A",IF(Table1[[#This Row],[DUT Adj Read]]="N/A",IF(Table1[[#This Row],[Std Adj Read]]&gt;Table1[[#This Row],[Low Tol]],"Pass","Fail"),IF(Table1[[#This Row],[DUT Adj Read]]&gt;Table1[[#This Row],[Low Tol]],"Pass","Fail")))</f>
        <v>Pass</v>
      </c>
      <c r="AE1805" s="1" t="str">
        <f>IF(AND(Table1[[#This Row],[Spec Type2]]="N/A",Table1[[#This Row],[DUT Adj Read]]="N/A",Table1[[#This Row],[Std Adj Read]]="N/A"),"N/A",IF(Table1[[#This Row],[DUT Adj Read]]="N/A",IF(Table1[[#This Row],[Std Adj Read]]&lt;Table1[[#This Row],[High Tol]],"Pass","Fail"),IF(Table1[[#This Row],[DUT Adj Read]]&lt;Table1[[#This Row],[High Tol]],"Pass","Fail")))</f>
        <v>Fail</v>
      </c>
      <c r="AF1805" s="1" t="str">
        <f>IF(AND(Table1[[#This Row],[Spec Type2]]="N/A",Table1[[#This Row],[DUT Adj Read]]="N/A",Table1[[#This Row],[Std Adj Read]]="N/A"),"N/A",IF(Table1[[#This Row],[DUT Adj Read]]="N/A",IF(Table1[[#This Row],[Std Adj Read]]&gt;=Table1[[#This Row],[Low Tol]],"Pass","Fail"),IF(Table1[[#This Row],[DUT Adj Read]]&gt;=Table1[[#This Row],[Low Tol]],"Pass","Fail")))</f>
        <v>Pass</v>
      </c>
      <c r="AG1805" s="1" t="str">
        <f>IF(AND(Table1[[#This Row],[Spec Type2]]="N/A",Table1[[#This Row],[DUT Adj Read]]="N/A",Table1[[#This Row],[Std Adj Read]]="N/A"),"N/A",IF(Table1[[#This Row],[DUT Adj Read]]="N/A",IF(Table1[[#This Row],[Std Adj Read]]&lt;=Table1[[#This Row],[High Tol]],"Pass","Fail"),IF(Table1[[#This Row],[DUT Adj Read]]&lt;=Table1[[#This Row],[High Tol]],"Pass","Fail")))</f>
        <v>Fail</v>
      </c>
      <c r="AH18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5" s="1" t="b">
        <v>0</v>
      </c>
      <c r="AN1805" s="1" t="b">
        <v>0</v>
      </c>
      <c r="AO1805" s="1" t="b">
        <v>0</v>
      </c>
    </row>
    <row r="1806" spans="1:41" x14ac:dyDescent="0.25">
      <c r="A1806" s="10"/>
      <c r="B1806" s="10"/>
      <c r="C1806" s="10"/>
      <c r="D1806" s="10"/>
      <c r="E1806" s="10"/>
      <c r="F1806" s="10"/>
      <c r="G1806" s="10"/>
      <c r="H1806" s="10"/>
      <c r="I1806" s="1" t="str">
        <f t="shared" si="84"/>
        <v/>
      </c>
      <c r="J1806" s="1" t="s">
        <v>35</v>
      </c>
      <c r="K1806" s="1" t="str">
        <f t="shared" si="85"/>
        <v/>
      </c>
      <c r="L1806" s="1" t="str">
        <f t="shared" si="86"/>
        <v/>
      </c>
      <c r="M1806" s="1">
        <f>IF(OR(Table1[[#This Row],[Std Nom]]="",Table1[[#This Row],[Std Read]]=""),0,Table1[[#This Row],[Std Nom]]-Table1[[#This Row],[Std Read]])</f>
        <v>0</v>
      </c>
      <c r="N1806" s="1">
        <f>IF(Calculations!$F$5="ACCREDITED 17025 WITH UNCERTAINTIES",$N$10,0)</f>
        <v>0</v>
      </c>
      <c r="O1806" s="1" t="str">
        <f>IFERROR(Table1[[#This Row],[Std Nom]]-(_xlfn.XLOOKUP(Table1[[#This Row],[Manufacturer]]&amp;" "&amp;Table1[[#This Row],[Model]],Table13[MFR &amp; MDL],Table13[Tolerance % CW ],"")/100*Table1[[#This Row],[Std Nom]]),"")</f>
        <v/>
      </c>
      <c r="P1806" s="1" t="str">
        <f>IFERROR(Table1[[#This Row],[Std Nom]]+(_xlfn.XLOOKUP(Table1[[#This Row],[Manufacturer]]&amp;" "&amp;Table1[[#This Row],[Model]],Table13[MFR &amp; MDL],Table13[Tolerance % CW ],"")/100*Table1[[#This Row],[Std Nom]]),"")</f>
        <v/>
      </c>
      <c r="Q1806" s="1" t="e">
        <f>Table1[[#This Row],[High Tol]]-Table1[[#This Row],[Low Tol]]</f>
        <v>#VALUE!</v>
      </c>
      <c r="R1806" s="1">
        <f>2*Table1[[#This Row],[Std Error]]</f>
        <v>0</v>
      </c>
      <c r="S1806" s="1" t="str">
        <f>IF(Table1[[#This Row],[High Tol]]="","N/A",IFERROR(ABS(Table1[[#This Row],[Tol Span]]/Table1[[#This Row],[Error Span]]),"N/A"))</f>
        <v>N/A</v>
      </c>
      <c r="T1806" s="1" t="str">
        <f>IF(OR(Table1[[#This Row],[Low Tol]]="",Table1[[#This Row],[High Tol]]=""),"Needs Analysis",IF(Table1[[#This Row],[Ratio]]&gt;=4,"Not Significant",IF(Table1[[#This Row],[Ratio]]&gt;=2,"Semi-Significant","Significant")))</f>
        <v>Needs Analysis</v>
      </c>
      <c r="W1806" s="1">
        <f>IF(Table1[[#This Row],[Cal Type]]&lt;&gt;"ACCREDITED 17025 WITH UNCERTAINTIES",0,"")</f>
        <v>0</v>
      </c>
      <c r="X1806" s="1" t="str">
        <f>IF(Table1[[#This Row],[DUT Read]]="","N/A",Table1[[#This Row],[Std Error]]+Table1[[#This Row],[DUT Read]]+Table1[[#This Row],[DUT Ucty]])</f>
        <v>N/A</v>
      </c>
      <c r="Y1806" s="1" t="str">
        <f>IF(Table1[[#This Row],[Std Read]]="","N/A",Table1[[#This Row],[Std Read]]+Table1[[#This Row],[Std Ucty]])</f>
        <v>N/A</v>
      </c>
      <c r="Z18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6" s="1" t="str">
        <f>IF(Table1[[#This Row],[Spec Type]]="","N/A",Table1[[#This Row],[Spec Type]])</f>
        <v>±</v>
      </c>
      <c r="AC1806" s="1" t="str">
        <f>IF(Table1[[#This Row],[Spec Type2]]="N/A","N/A",IF(AND(Table1[[#This Row],[DUT Adj Read]]&gt;=Table1[[#This Row],[Low Tol]],Table1[[#This Row],[DUT Adj Read]]&lt;=Table1[[#This Row],[High Tol]]),"Pass","Fail"))</f>
        <v>Fail</v>
      </c>
      <c r="AD1806" s="1" t="str">
        <f>IF(AND(Table1[[#This Row],[Spec Type2]]="N/A",Table1[[#This Row],[DUT Adj Read]]="N/A",Table1[[#This Row],[Std Adj Read]]="N/A"),"N/A",IF(Table1[[#This Row],[DUT Adj Read]]="N/A",IF(Table1[[#This Row],[Std Adj Read]]&gt;Table1[[#This Row],[Low Tol]],"Pass","Fail"),IF(Table1[[#This Row],[DUT Adj Read]]&gt;Table1[[#This Row],[Low Tol]],"Pass","Fail")))</f>
        <v>Pass</v>
      </c>
      <c r="AE1806" s="1" t="str">
        <f>IF(AND(Table1[[#This Row],[Spec Type2]]="N/A",Table1[[#This Row],[DUT Adj Read]]="N/A",Table1[[#This Row],[Std Adj Read]]="N/A"),"N/A",IF(Table1[[#This Row],[DUT Adj Read]]="N/A",IF(Table1[[#This Row],[Std Adj Read]]&lt;Table1[[#This Row],[High Tol]],"Pass","Fail"),IF(Table1[[#This Row],[DUT Adj Read]]&lt;Table1[[#This Row],[High Tol]],"Pass","Fail")))</f>
        <v>Fail</v>
      </c>
      <c r="AF1806" s="1" t="str">
        <f>IF(AND(Table1[[#This Row],[Spec Type2]]="N/A",Table1[[#This Row],[DUT Adj Read]]="N/A",Table1[[#This Row],[Std Adj Read]]="N/A"),"N/A",IF(Table1[[#This Row],[DUT Adj Read]]="N/A",IF(Table1[[#This Row],[Std Adj Read]]&gt;=Table1[[#This Row],[Low Tol]],"Pass","Fail"),IF(Table1[[#This Row],[DUT Adj Read]]&gt;=Table1[[#This Row],[Low Tol]],"Pass","Fail")))</f>
        <v>Pass</v>
      </c>
      <c r="AG1806" s="1" t="str">
        <f>IF(AND(Table1[[#This Row],[Spec Type2]]="N/A",Table1[[#This Row],[DUT Adj Read]]="N/A",Table1[[#This Row],[Std Adj Read]]="N/A"),"N/A",IF(Table1[[#This Row],[DUT Adj Read]]="N/A",IF(Table1[[#This Row],[Std Adj Read]]&lt;=Table1[[#This Row],[High Tol]],"Pass","Fail"),IF(Table1[[#This Row],[DUT Adj Read]]&lt;=Table1[[#This Row],[High Tol]],"Pass","Fail")))</f>
        <v>Fail</v>
      </c>
      <c r="AH18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6" s="1" t="b">
        <v>0</v>
      </c>
      <c r="AN1806" s="1" t="b">
        <v>0</v>
      </c>
      <c r="AO1806" s="1" t="b">
        <v>0</v>
      </c>
    </row>
    <row r="1807" spans="1:41" x14ac:dyDescent="0.25">
      <c r="A1807" s="10"/>
      <c r="B1807" s="10"/>
      <c r="C1807" s="10"/>
      <c r="D1807" s="10"/>
      <c r="E1807" s="10"/>
      <c r="F1807" s="10"/>
      <c r="G1807" s="10"/>
      <c r="H1807" s="10"/>
      <c r="I1807" s="1" t="str">
        <f t="shared" si="84"/>
        <v/>
      </c>
      <c r="J1807" s="1" t="s">
        <v>35</v>
      </c>
      <c r="K1807" s="1" t="str">
        <f t="shared" si="85"/>
        <v/>
      </c>
      <c r="L1807" s="1" t="str">
        <f t="shared" si="86"/>
        <v/>
      </c>
      <c r="M1807" s="1">
        <f>IF(OR(Table1[[#This Row],[Std Nom]]="",Table1[[#This Row],[Std Read]]=""),0,Table1[[#This Row],[Std Nom]]-Table1[[#This Row],[Std Read]])</f>
        <v>0</v>
      </c>
      <c r="N1807" s="1">
        <f>IF(Calculations!$F$5="ACCREDITED 17025 WITH UNCERTAINTIES",$N$10,0)</f>
        <v>0</v>
      </c>
      <c r="O1807" s="1" t="str">
        <f>IFERROR(Table1[[#This Row],[Std Nom]]-(_xlfn.XLOOKUP(Table1[[#This Row],[Manufacturer]]&amp;" "&amp;Table1[[#This Row],[Model]],Table13[MFR &amp; MDL],Table13[Tolerance % CW ],"")/100*Table1[[#This Row],[Std Nom]]),"")</f>
        <v/>
      </c>
      <c r="P1807" s="1" t="str">
        <f>IFERROR(Table1[[#This Row],[Std Nom]]+(_xlfn.XLOOKUP(Table1[[#This Row],[Manufacturer]]&amp;" "&amp;Table1[[#This Row],[Model]],Table13[MFR &amp; MDL],Table13[Tolerance % CW ],"")/100*Table1[[#This Row],[Std Nom]]),"")</f>
        <v/>
      </c>
      <c r="Q1807" s="1" t="e">
        <f>Table1[[#This Row],[High Tol]]-Table1[[#This Row],[Low Tol]]</f>
        <v>#VALUE!</v>
      </c>
      <c r="R1807" s="1">
        <f>2*Table1[[#This Row],[Std Error]]</f>
        <v>0</v>
      </c>
      <c r="S1807" s="1" t="str">
        <f>IF(Table1[[#This Row],[High Tol]]="","N/A",IFERROR(ABS(Table1[[#This Row],[Tol Span]]/Table1[[#This Row],[Error Span]]),"N/A"))</f>
        <v>N/A</v>
      </c>
      <c r="T1807" s="1" t="str">
        <f>IF(OR(Table1[[#This Row],[Low Tol]]="",Table1[[#This Row],[High Tol]]=""),"Needs Analysis",IF(Table1[[#This Row],[Ratio]]&gt;=4,"Not Significant",IF(Table1[[#This Row],[Ratio]]&gt;=2,"Semi-Significant","Significant")))</f>
        <v>Needs Analysis</v>
      </c>
      <c r="W1807" s="1">
        <f>IF(Table1[[#This Row],[Cal Type]]&lt;&gt;"ACCREDITED 17025 WITH UNCERTAINTIES",0,"")</f>
        <v>0</v>
      </c>
      <c r="X1807" s="1" t="str">
        <f>IF(Table1[[#This Row],[DUT Read]]="","N/A",Table1[[#This Row],[Std Error]]+Table1[[#This Row],[DUT Read]]+Table1[[#This Row],[DUT Ucty]])</f>
        <v>N/A</v>
      </c>
      <c r="Y1807" s="1" t="str">
        <f>IF(Table1[[#This Row],[Std Read]]="","N/A",Table1[[#This Row],[Std Read]]+Table1[[#This Row],[Std Ucty]])</f>
        <v>N/A</v>
      </c>
      <c r="Z18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7" s="1" t="str">
        <f>IF(Table1[[#This Row],[Spec Type]]="","N/A",Table1[[#This Row],[Spec Type]])</f>
        <v>±</v>
      </c>
      <c r="AC1807" s="1" t="str">
        <f>IF(Table1[[#This Row],[Spec Type2]]="N/A","N/A",IF(AND(Table1[[#This Row],[DUT Adj Read]]&gt;=Table1[[#This Row],[Low Tol]],Table1[[#This Row],[DUT Adj Read]]&lt;=Table1[[#This Row],[High Tol]]),"Pass","Fail"))</f>
        <v>Fail</v>
      </c>
      <c r="AD1807" s="1" t="str">
        <f>IF(AND(Table1[[#This Row],[Spec Type2]]="N/A",Table1[[#This Row],[DUT Adj Read]]="N/A",Table1[[#This Row],[Std Adj Read]]="N/A"),"N/A",IF(Table1[[#This Row],[DUT Adj Read]]="N/A",IF(Table1[[#This Row],[Std Adj Read]]&gt;Table1[[#This Row],[Low Tol]],"Pass","Fail"),IF(Table1[[#This Row],[DUT Adj Read]]&gt;Table1[[#This Row],[Low Tol]],"Pass","Fail")))</f>
        <v>Pass</v>
      </c>
      <c r="AE1807" s="1" t="str">
        <f>IF(AND(Table1[[#This Row],[Spec Type2]]="N/A",Table1[[#This Row],[DUT Adj Read]]="N/A",Table1[[#This Row],[Std Adj Read]]="N/A"),"N/A",IF(Table1[[#This Row],[DUT Adj Read]]="N/A",IF(Table1[[#This Row],[Std Adj Read]]&lt;Table1[[#This Row],[High Tol]],"Pass","Fail"),IF(Table1[[#This Row],[DUT Adj Read]]&lt;Table1[[#This Row],[High Tol]],"Pass","Fail")))</f>
        <v>Fail</v>
      </c>
      <c r="AF1807" s="1" t="str">
        <f>IF(AND(Table1[[#This Row],[Spec Type2]]="N/A",Table1[[#This Row],[DUT Adj Read]]="N/A",Table1[[#This Row],[Std Adj Read]]="N/A"),"N/A",IF(Table1[[#This Row],[DUT Adj Read]]="N/A",IF(Table1[[#This Row],[Std Adj Read]]&gt;=Table1[[#This Row],[Low Tol]],"Pass","Fail"),IF(Table1[[#This Row],[DUT Adj Read]]&gt;=Table1[[#This Row],[Low Tol]],"Pass","Fail")))</f>
        <v>Pass</v>
      </c>
      <c r="AG1807" s="1" t="str">
        <f>IF(AND(Table1[[#This Row],[Spec Type2]]="N/A",Table1[[#This Row],[DUT Adj Read]]="N/A",Table1[[#This Row],[Std Adj Read]]="N/A"),"N/A",IF(Table1[[#This Row],[DUT Adj Read]]="N/A",IF(Table1[[#This Row],[Std Adj Read]]&lt;=Table1[[#This Row],[High Tol]],"Pass","Fail"),IF(Table1[[#This Row],[DUT Adj Read]]&lt;=Table1[[#This Row],[High Tol]],"Pass","Fail")))</f>
        <v>Fail</v>
      </c>
      <c r="AH18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7" s="1" t="b">
        <v>0</v>
      </c>
      <c r="AN1807" s="1" t="b">
        <v>0</v>
      </c>
      <c r="AO1807" s="1" t="b">
        <v>0</v>
      </c>
    </row>
    <row r="1808" spans="1:41" x14ac:dyDescent="0.25">
      <c r="A1808" s="10"/>
      <c r="B1808" s="10"/>
      <c r="C1808" s="10"/>
      <c r="D1808" s="10"/>
      <c r="E1808" s="10"/>
      <c r="F1808" s="10"/>
      <c r="G1808" s="10"/>
      <c r="H1808" s="10"/>
      <c r="I1808" s="1" t="str">
        <f t="shared" si="84"/>
        <v/>
      </c>
      <c r="J1808" s="1" t="s">
        <v>35</v>
      </c>
      <c r="K1808" s="1" t="str">
        <f t="shared" si="85"/>
        <v/>
      </c>
      <c r="L1808" s="1" t="str">
        <f t="shared" si="86"/>
        <v/>
      </c>
      <c r="M1808" s="1">
        <f>IF(OR(Table1[[#This Row],[Std Nom]]="",Table1[[#This Row],[Std Read]]=""),0,Table1[[#This Row],[Std Nom]]-Table1[[#This Row],[Std Read]])</f>
        <v>0</v>
      </c>
      <c r="N1808" s="1">
        <f>IF(Calculations!$F$5="ACCREDITED 17025 WITH UNCERTAINTIES",$N$10,0)</f>
        <v>0</v>
      </c>
      <c r="O1808" s="1" t="str">
        <f>IFERROR(Table1[[#This Row],[Std Nom]]-(_xlfn.XLOOKUP(Table1[[#This Row],[Manufacturer]]&amp;" "&amp;Table1[[#This Row],[Model]],Table13[MFR &amp; MDL],Table13[Tolerance % CW ],"")/100*Table1[[#This Row],[Std Nom]]),"")</f>
        <v/>
      </c>
      <c r="P1808" s="1" t="str">
        <f>IFERROR(Table1[[#This Row],[Std Nom]]+(_xlfn.XLOOKUP(Table1[[#This Row],[Manufacturer]]&amp;" "&amp;Table1[[#This Row],[Model]],Table13[MFR &amp; MDL],Table13[Tolerance % CW ],"")/100*Table1[[#This Row],[Std Nom]]),"")</f>
        <v/>
      </c>
      <c r="Q1808" s="1" t="e">
        <f>Table1[[#This Row],[High Tol]]-Table1[[#This Row],[Low Tol]]</f>
        <v>#VALUE!</v>
      </c>
      <c r="R1808" s="1">
        <f>2*Table1[[#This Row],[Std Error]]</f>
        <v>0</v>
      </c>
      <c r="S1808" s="1" t="str">
        <f>IF(Table1[[#This Row],[High Tol]]="","N/A",IFERROR(ABS(Table1[[#This Row],[Tol Span]]/Table1[[#This Row],[Error Span]]),"N/A"))</f>
        <v>N/A</v>
      </c>
      <c r="T1808" s="1" t="str">
        <f>IF(OR(Table1[[#This Row],[Low Tol]]="",Table1[[#This Row],[High Tol]]=""),"Needs Analysis",IF(Table1[[#This Row],[Ratio]]&gt;=4,"Not Significant",IF(Table1[[#This Row],[Ratio]]&gt;=2,"Semi-Significant","Significant")))</f>
        <v>Needs Analysis</v>
      </c>
      <c r="W1808" s="1">
        <f>IF(Table1[[#This Row],[Cal Type]]&lt;&gt;"ACCREDITED 17025 WITH UNCERTAINTIES",0,"")</f>
        <v>0</v>
      </c>
      <c r="X1808" s="1" t="str">
        <f>IF(Table1[[#This Row],[DUT Read]]="","N/A",Table1[[#This Row],[Std Error]]+Table1[[#This Row],[DUT Read]]+Table1[[#This Row],[DUT Ucty]])</f>
        <v>N/A</v>
      </c>
      <c r="Y1808" s="1" t="str">
        <f>IF(Table1[[#This Row],[Std Read]]="","N/A",Table1[[#This Row],[Std Read]]+Table1[[#This Row],[Std Ucty]])</f>
        <v>N/A</v>
      </c>
      <c r="Z18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8" s="1" t="str">
        <f>IF(Table1[[#This Row],[Spec Type]]="","N/A",Table1[[#This Row],[Spec Type]])</f>
        <v>±</v>
      </c>
      <c r="AC1808" s="1" t="str">
        <f>IF(Table1[[#This Row],[Spec Type2]]="N/A","N/A",IF(AND(Table1[[#This Row],[DUT Adj Read]]&gt;=Table1[[#This Row],[Low Tol]],Table1[[#This Row],[DUT Adj Read]]&lt;=Table1[[#This Row],[High Tol]]),"Pass","Fail"))</f>
        <v>Fail</v>
      </c>
      <c r="AD1808" s="1" t="str">
        <f>IF(AND(Table1[[#This Row],[Spec Type2]]="N/A",Table1[[#This Row],[DUT Adj Read]]="N/A",Table1[[#This Row],[Std Adj Read]]="N/A"),"N/A",IF(Table1[[#This Row],[DUT Adj Read]]="N/A",IF(Table1[[#This Row],[Std Adj Read]]&gt;Table1[[#This Row],[Low Tol]],"Pass","Fail"),IF(Table1[[#This Row],[DUT Adj Read]]&gt;Table1[[#This Row],[Low Tol]],"Pass","Fail")))</f>
        <v>Pass</v>
      </c>
      <c r="AE1808" s="1" t="str">
        <f>IF(AND(Table1[[#This Row],[Spec Type2]]="N/A",Table1[[#This Row],[DUT Adj Read]]="N/A",Table1[[#This Row],[Std Adj Read]]="N/A"),"N/A",IF(Table1[[#This Row],[DUT Adj Read]]="N/A",IF(Table1[[#This Row],[Std Adj Read]]&lt;Table1[[#This Row],[High Tol]],"Pass","Fail"),IF(Table1[[#This Row],[DUT Adj Read]]&lt;Table1[[#This Row],[High Tol]],"Pass","Fail")))</f>
        <v>Fail</v>
      </c>
      <c r="AF1808" s="1" t="str">
        <f>IF(AND(Table1[[#This Row],[Spec Type2]]="N/A",Table1[[#This Row],[DUT Adj Read]]="N/A",Table1[[#This Row],[Std Adj Read]]="N/A"),"N/A",IF(Table1[[#This Row],[DUT Adj Read]]="N/A",IF(Table1[[#This Row],[Std Adj Read]]&gt;=Table1[[#This Row],[Low Tol]],"Pass","Fail"),IF(Table1[[#This Row],[DUT Adj Read]]&gt;=Table1[[#This Row],[Low Tol]],"Pass","Fail")))</f>
        <v>Pass</v>
      </c>
      <c r="AG1808" s="1" t="str">
        <f>IF(AND(Table1[[#This Row],[Spec Type2]]="N/A",Table1[[#This Row],[DUT Adj Read]]="N/A",Table1[[#This Row],[Std Adj Read]]="N/A"),"N/A",IF(Table1[[#This Row],[DUT Adj Read]]="N/A",IF(Table1[[#This Row],[Std Adj Read]]&lt;=Table1[[#This Row],[High Tol]],"Pass","Fail"),IF(Table1[[#This Row],[DUT Adj Read]]&lt;=Table1[[#This Row],[High Tol]],"Pass","Fail")))</f>
        <v>Fail</v>
      </c>
      <c r="AH18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8" s="1" t="b">
        <v>0</v>
      </c>
      <c r="AN1808" s="1" t="b">
        <v>0</v>
      </c>
      <c r="AO1808" s="1" t="b">
        <v>0</v>
      </c>
    </row>
    <row r="1809" spans="1:41" x14ac:dyDescent="0.25">
      <c r="A1809" s="10"/>
      <c r="B1809" s="10"/>
      <c r="C1809" s="10"/>
      <c r="D1809" s="10"/>
      <c r="E1809" s="10"/>
      <c r="F1809" s="10"/>
      <c r="G1809" s="10"/>
      <c r="H1809" s="10"/>
      <c r="I1809" s="1" t="str">
        <f t="shared" si="84"/>
        <v/>
      </c>
      <c r="J1809" s="1" t="s">
        <v>35</v>
      </c>
      <c r="K1809" s="1" t="str">
        <f t="shared" si="85"/>
        <v/>
      </c>
      <c r="L1809" s="1" t="str">
        <f t="shared" si="86"/>
        <v/>
      </c>
      <c r="M1809" s="1">
        <f>IF(OR(Table1[[#This Row],[Std Nom]]="",Table1[[#This Row],[Std Read]]=""),0,Table1[[#This Row],[Std Nom]]-Table1[[#This Row],[Std Read]])</f>
        <v>0</v>
      </c>
      <c r="N1809" s="1">
        <f>IF(Calculations!$F$5="ACCREDITED 17025 WITH UNCERTAINTIES",$N$10,0)</f>
        <v>0</v>
      </c>
      <c r="O1809" s="1" t="str">
        <f>IFERROR(Table1[[#This Row],[Std Nom]]-(_xlfn.XLOOKUP(Table1[[#This Row],[Manufacturer]]&amp;" "&amp;Table1[[#This Row],[Model]],Table13[MFR &amp; MDL],Table13[Tolerance % CW ],"")/100*Table1[[#This Row],[Std Nom]]),"")</f>
        <v/>
      </c>
      <c r="P1809" s="1" t="str">
        <f>IFERROR(Table1[[#This Row],[Std Nom]]+(_xlfn.XLOOKUP(Table1[[#This Row],[Manufacturer]]&amp;" "&amp;Table1[[#This Row],[Model]],Table13[MFR &amp; MDL],Table13[Tolerance % CW ],"")/100*Table1[[#This Row],[Std Nom]]),"")</f>
        <v/>
      </c>
      <c r="Q1809" s="1" t="e">
        <f>Table1[[#This Row],[High Tol]]-Table1[[#This Row],[Low Tol]]</f>
        <v>#VALUE!</v>
      </c>
      <c r="R1809" s="1">
        <f>2*Table1[[#This Row],[Std Error]]</f>
        <v>0</v>
      </c>
      <c r="S1809" s="1" t="str">
        <f>IF(Table1[[#This Row],[High Tol]]="","N/A",IFERROR(ABS(Table1[[#This Row],[Tol Span]]/Table1[[#This Row],[Error Span]]),"N/A"))</f>
        <v>N/A</v>
      </c>
      <c r="T1809" s="1" t="str">
        <f>IF(OR(Table1[[#This Row],[Low Tol]]="",Table1[[#This Row],[High Tol]]=""),"Needs Analysis",IF(Table1[[#This Row],[Ratio]]&gt;=4,"Not Significant",IF(Table1[[#This Row],[Ratio]]&gt;=2,"Semi-Significant","Significant")))</f>
        <v>Needs Analysis</v>
      </c>
      <c r="W1809" s="1">
        <f>IF(Table1[[#This Row],[Cal Type]]&lt;&gt;"ACCREDITED 17025 WITH UNCERTAINTIES",0,"")</f>
        <v>0</v>
      </c>
      <c r="X1809" s="1" t="str">
        <f>IF(Table1[[#This Row],[DUT Read]]="","N/A",Table1[[#This Row],[Std Error]]+Table1[[#This Row],[DUT Read]]+Table1[[#This Row],[DUT Ucty]])</f>
        <v>N/A</v>
      </c>
      <c r="Y1809" s="1" t="str">
        <f>IF(Table1[[#This Row],[Std Read]]="","N/A",Table1[[#This Row],[Std Read]]+Table1[[#This Row],[Std Ucty]])</f>
        <v>N/A</v>
      </c>
      <c r="Z18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9" s="1" t="str">
        <f>IF(Table1[[#This Row],[Spec Type]]="","N/A",Table1[[#This Row],[Spec Type]])</f>
        <v>±</v>
      </c>
      <c r="AC1809" s="1" t="str">
        <f>IF(Table1[[#This Row],[Spec Type2]]="N/A","N/A",IF(AND(Table1[[#This Row],[DUT Adj Read]]&gt;=Table1[[#This Row],[Low Tol]],Table1[[#This Row],[DUT Adj Read]]&lt;=Table1[[#This Row],[High Tol]]),"Pass","Fail"))</f>
        <v>Fail</v>
      </c>
      <c r="AD1809" s="1" t="str">
        <f>IF(AND(Table1[[#This Row],[Spec Type2]]="N/A",Table1[[#This Row],[DUT Adj Read]]="N/A",Table1[[#This Row],[Std Adj Read]]="N/A"),"N/A",IF(Table1[[#This Row],[DUT Adj Read]]="N/A",IF(Table1[[#This Row],[Std Adj Read]]&gt;Table1[[#This Row],[Low Tol]],"Pass","Fail"),IF(Table1[[#This Row],[DUT Adj Read]]&gt;Table1[[#This Row],[Low Tol]],"Pass","Fail")))</f>
        <v>Pass</v>
      </c>
      <c r="AE1809" s="1" t="str">
        <f>IF(AND(Table1[[#This Row],[Spec Type2]]="N/A",Table1[[#This Row],[DUT Adj Read]]="N/A",Table1[[#This Row],[Std Adj Read]]="N/A"),"N/A",IF(Table1[[#This Row],[DUT Adj Read]]="N/A",IF(Table1[[#This Row],[Std Adj Read]]&lt;Table1[[#This Row],[High Tol]],"Pass","Fail"),IF(Table1[[#This Row],[DUT Adj Read]]&lt;Table1[[#This Row],[High Tol]],"Pass","Fail")))</f>
        <v>Fail</v>
      </c>
      <c r="AF1809" s="1" t="str">
        <f>IF(AND(Table1[[#This Row],[Spec Type2]]="N/A",Table1[[#This Row],[DUT Adj Read]]="N/A",Table1[[#This Row],[Std Adj Read]]="N/A"),"N/A",IF(Table1[[#This Row],[DUT Adj Read]]="N/A",IF(Table1[[#This Row],[Std Adj Read]]&gt;=Table1[[#This Row],[Low Tol]],"Pass","Fail"),IF(Table1[[#This Row],[DUT Adj Read]]&gt;=Table1[[#This Row],[Low Tol]],"Pass","Fail")))</f>
        <v>Pass</v>
      </c>
      <c r="AG1809" s="1" t="str">
        <f>IF(AND(Table1[[#This Row],[Spec Type2]]="N/A",Table1[[#This Row],[DUT Adj Read]]="N/A",Table1[[#This Row],[Std Adj Read]]="N/A"),"N/A",IF(Table1[[#This Row],[DUT Adj Read]]="N/A",IF(Table1[[#This Row],[Std Adj Read]]&lt;=Table1[[#This Row],[High Tol]],"Pass","Fail"),IF(Table1[[#This Row],[DUT Adj Read]]&lt;=Table1[[#This Row],[High Tol]],"Pass","Fail")))</f>
        <v>Fail</v>
      </c>
      <c r="AH18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9" s="1" t="b">
        <v>0</v>
      </c>
      <c r="AN1809" s="1" t="b">
        <v>0</v>
      </c>
      <c r="AO1809" s="1" t="b">
        <v>0</v>
      </c>
    </row>
    <row r="1810" spans="1:41" x14ac:dyDescent="0.25">
      <c r="A1810" s="10"/>
      <c r="B1810" s="10"/>
      <c r="C1810" s="10"/>
      <c r="D1810" s="10"/>
      <c r="E1810" s="10"/>
      <c r="F1810" s="10"/>
      <c r="G1810" s="10"/>
      <c r="H1810" s="10"/>
      <c r="I1810" s="1" t="str">
        <f t="shared" si="84"/>
        <v/>
      </c>
      <c r="J1810" s="1" t="s">
        <v>35</v>
      </c>
      <c r="K1810" s="1" t="str">
        <f t="shared" si="85"/>
        <v/>
      </c>
      <c r="L1810" s="1" t="str">
        <f t="shared" si="86"/>
        <v/>
      </c>
      <c r="M1810" s="1">
        <f>IF(OR(Table1[[#This Row],[Std Nom]]="",Table1[[#This Row],[Std Read]]=""),0,Table1[[#This Row],[Std Nom]]-Table1[[#This Row],[Std Read]])</f>
        <v>0</v>
      </c>
      <c r="N1810" s="1">
        <f>IF(Calculations!$F$5="ACCREDITED 17025 WITH UNCERTAINTIES",$N$10,0)</f>
        <v>0</v>
      </c>
      <c r="O1810" s="1" t="str">
        <f>IFERROR(Table1[[#This Row],[Std Nom]]-(_xlfn.XLOOKUP(Table1[[#This Row],[Manufacturer]]&amp;" "&amp;Table1[[#This Row],[Model]],Table13[MFR &amp; MDL],Table13[Tolerance % CW ],"")/100*Table1[[#This Row],[Std Nom]]),"")</f>
        <v/>
      </c>
      <c r="P1810" s="1" t="str">
        <f>IFERROR(Table1[[#This Row],[Std Nom]]+(_xlfn.XLOOKUP(Table1[[#This Row],[Manufacturer]]&amp;" "&amp;Table1[[#This Row],[Model]],Table13[MFR &amp; MDL],Table13[Tolerance % CW ],"")/100*Table1[[#This Row],[Std Nom]]),"")</f>
        <v/>
      </c>
      <c r="Q1810" s="1" t="e">
        <f>Table1[[#This Row],[High Tol]]-Table1[[#This Row],[Low Tol]]</f>
        <v>#VALUE!</v>
      </c>
      <c r="R1810" s="1">
        <f>2*Table1[[#This Row],[Std Error]]</f>
        <v>0</v>
      </c>
      <c r="S1810" s="1" t="str">
        <f>IF(Table1[[#This Row],[High Tol]]="","N/A",IFERROR(ABS(Table1[[#This Row],[Tol Span]]/Table1[[#This Row],[Error Span]]),"N/A"))</f>
        <v>N/A</v>
      </c>
      <c r="T1810" s="1" t="str">
        <f>IF(OR(Table1[[#This Row],[Low Tol]]="",Table1[[#This Row],[High Tol]]=""),"Needs Analysis",IF(Table1[[#This Row],[Ratio]]&gt;=4,"Not Significant",IF(Table1[[#This Row],[Ratio]]&gt;=2,"Semi-Significant","Significant")))</f>
        <v>Needs Analysis</v>
      </c>
      <c r="W1810" s="1">
        <f>IF(Table1[[#This Row],[Cal Type]]&lt;&gt;"ACCREDITED 17025 WITH UNCERTAINTIES",0,"")</f>
        <v>0</v>
      </c>
      <c r="X1810" s="1" t="str">
        <f>IF(Table1[[#This Row],[DUT Read]]="","N/A",Table1[[#This Row],[Std Error]]+Table1[[#This Row],[DUT Read]]+Table1[[#This Row],[DUT Ucty]])</f>
        <v>N/A</v>
      </c>
      <c r="Y1810" s="1" t="str">
        <f>IF(Table1[[#This Row],[Std Read]]="","N/A",Table1[[#This Row],[Std Read]]+Table1[[#This Row],[Std Ucty]])</f>
        <v>N/A</v>
      </c>
      <c r="Z18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0" s="1" t="str">
        <f>IF(Table1[[#This Row],[Spec Type]]="","N/A",Table1[[#This Row],[Spec Type]])</f>
        <v>±</v>
      </c>
      <c r="AC1810" s="1" t="str">
        <f>IF(Table1[[#This Row],[Spec Type2]]="N/A","N/A",IF(AND(Table1[[#This Row],[DUT Adj Read]]&gt;=Table1[[#This Row],[Low Tol]],Table1[[#This Row],[DUT Adj Read]]&lt;=Table1[[#This Row],[High Tol]]),"Pass","Fail"))</f>
        <v>Fail</v>
      </c>
      <c r="AD1810" s="1" t="str">
        <f>IF(AND(Table1[[#This Row],[Spec Type2]]="N/A",Table1[[#This Row],[DUT Adj Read]]="N/A",Table1[[#This Row],[Std Adj Read]]="N/A"),"N/A",IF(Table1[[#This Row],[DUT Adj Read]]="N/A",IF(Table1[[#This Row],[Std Adj Read]]&gt;Table1[[#This Row],[Low Tol]],"Pass","Fail"),IF(Table1[[#This Row],[DUT Adj Read]]&gt;Table1[[#This Row],[Low Tol]],"Pass","Fail")))</f>
        <v>Pass</v>
      </c>
      <c r="AE1810" s="1" t="str">
        <f>IF(AND(Table1[[#This Row],[Spec Type2]]="N/A",Table1[[#This Row],[DUT Adj Read]]="N/A",Table1[[#This Row],[Std Adj Read]]="N/A"),"N/A",IF(Table1[[#This Row],[DUT Adj Read]]="N/A",IF(Table1[[#This Row],[Std Adj Read]]&lt;Table1[[#This Row],[High Tol]],"Pass","Fail"),IF(Table1[[#This Row],[DUT Adj Read]]&lt;Table1[[#This Row],[High Tol]],"Pass","Fail")))</f>
        <v>Fail</v>
      </c>
      <c r="AF1810" s="1" t="str">
        <f>IF(AND(Table1[[#This Row],[Spec Type2]]="N/A",Table1[[#This Row],[DUT Adj Read]]="N/A",Table1[[#This Row],[Std Adj Read]]="N/A"),"N/A",IF(Table1[[#This Row],[DUT Adj Read]]="N/A",IF(Table1[[#This Row],[Std Adj Read]]&gt;=Table1[[#This Row],[Low Tol]],"Pass","Fail"),IF(Table1[[#This Row],[DUT Adj Read]]&gt;=Table1[[#This Row],[Low Tol]],"Pass","Fail")))</f>
        <v>Pass</v>
      </c>
      <c r="AG1810" s="1" t="str">
        <f>IF(AND(Table1[[#This Row],[Spec Type2]]="N/A",Table1[[#This Row],[DUT Adj Read]]="N/A",Table1[[#This Row],[Std Adj Read]]="N/A"),"N/A",IF(Table1[[#This Row],[DUT Adj Read]]="N/A",IF(Table1[[#This Row],[Std Adj Read]]&lt;=Table1[[#This Row],[High Tol]],"Pass","Fail"),IF(Table1[[#This Row],[DUT Adj Read]]&lt;=Table1[[#This Row],[High Tol]],"Pass","Fail")))</f>
        <v>Fail</v>
      </c>
      <c r="AH18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0" s="1" t="b">
        <v>0</v>
      </c>
      <c r="AN1810" s="1" t="b">
        <v>0</v>
      </c>
      <c r="AO1810" s="1" t="b">
        <v>0</v>
      </c>
    </row>
    <row r="1811" spans="1:41" x14ac:dyDescent="0.25">
      <c r="A1811" s="10"/>
      <c r="B1811" s="10"/>
      <c r="C1811" s="10"/>
      <c r="D1811" s="10"/>
      <c r="E1811" s="10"/>
      <c r="F1811" s="10"/>
      <c r="G1811" s="10"/>
      <c r="H1811" s="10"/>
      <c r="I1811" s="1" t="str">
        <f t="shared" si="84"/>
        <v/>
      </c>
      <c r="J1811" s="1" t="s">
        <v>35</v>
      </c>
      <c r="K1811" s="1" t="str">
        <f t="shared" si="85"/>
        <v/>
      </c>
      <c r="L1811" s="1" t="str">
        <f t="shared" si="86"/>
        <v/>
      </c>
      <c r="M1811" s="1">
        <f>IF(OR(Table1[[#This Row],[Std Nom]]="",Table1[[#This Row],[Std Read]]=""),0,Table1[[#This Row],[Std Nom]]-Table1[[#This Row],[Std Read]])</f>
        <v>0</v>
      </c>
      <c r="N1811" s="1">
        <f>IF(Calculations!$F$5="ACCREDITED 17025 WITH UNCERTAINTIES",$N$10,0)</f>
        <v>0</v>
      </c>
      <c r="O1811" s="1" t="str">
        <f>IFERROR(Table1[[#This Row],[Std Nom]]-(_xlfn.XLOOKUP(Table1[[#This Row],[Manufacturer]]&amp;" "&amp;Table1[[#This Row],[Model]],Table13[MFR &amp; MDL],Table13[Tolerance % CW ],"")/100*Table1[[#This Row],[Std Nom]]),"")</f>
        <v/>
      </c>
      <c r="P1811" s="1" t="str">
        <f>IFERROR(Table1[[#This Row],[Std Nom]]+(_xlfn.XLOOKUP(Table1[[#This Row],[Manufacturer]]&amp;" "&amp;Table1[[#This Row],[Model]],Table13[MFR &amp; MDL],Table13[Tolerance % CW ],"")/100*Table1[[#This Row],[Std Nom]]),"")</f>
        <v/>
      </c>
      <c r="Q1811" s="1" t="e">
        <f>Table1[[#This Row],[High Tol]]-Table1[[#This Row],[Low Tol]]</f>
        <v>#VALUE!</v>
      </c>
      <c r="R1811" s="1">
        <f>2*Table1[[#This Row],[Std Error]]</f>
        <v>0</v>
      </c>
      <c r="S1811" s="1" t="str">
        <f>IF(Table1[[#This Row],[High Tol]]="","N/A",IFERROR(ABS(Table1[[#This Row],[Tol Span]]/Table1[[#This Row],[Error Span]]),"N/A"))</f>
        <v>N/A</v>
      </c>
      <c r="T1811" s="1" t="str">
        <f>IF(OR(Table1[[#This Row],[Low Tol]]="",Table1[[#This Row],[High Tol]]=""),"Needs Analysis",IF(Table1[[#This Row],[Ratio]]&gt;=4,"Not Significant",IF(Table1[[#This Row],[Ratio]]&gt;=2,"Semi-Significant","Significant")))</f>
        <v>Needs Analysis</v>
      </c>
      <c r="W1811" s="1">
        <f>IF(Table1[[#This Row],[Cal Type]]&lt;&gt;"ACCREDITED 17025 WITH UNCERTAINTIES",0,"")</f>
        <v>0</v>
      </c>
      <c r="X1811" s="1" t="str">
        <f>IF(Table1[[#This Row],[DUT Read]]="","N/A",Table1[[#This Row],[Std Error]]+Table1[[#This Row],[DUT Read]]+Table1[[#This Row],[DUT Ucty]])</f>
        <v>N/A</v>
      </c>
      <c r="Y1811" s="1" t="str">
        <f>IF(Table1[[#This Row],[Std Read]]="","N/A",Table1[[#This Row],[Std Read]]+Table1[[#This Row],[Std Ucty]])</f>
        <v>N/A</v>
      </c>
      <c r="Z18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1" s="1" t="str">
        <f>IF(Table1[[#This Row],[Spec Type]]="","N/A",Table1[[#This Row],[Spec Type]])</f>
        <v>±</v>
      </c>
      <c r="AC1811" s="1" t="str">
        <f>IF(Table1[[#This Row],[Spec Type2]]="N/A","N/A",IF(AND(Table1[[#This Row],[DUT Adj Read]]&gt;=Table1[[#This Row],[Low Tol]],Table1[[#This Row],[DUT Adj Read]]&lt;=Table1[[#This Row],[High Tol]]),"Pass","Fail"))</f>
        <v>Fail</v>
      </c>
      <c r="AD1811" s="1" t="str">
        <f>IF(AND(Table1[[#This Row],[Spec Type2]]="N/A",Table1[[#This Row],[DUT Adj Read]]="N/A",Table1[[#This Row],[Std Adj Read]]="N/A"),"N/A",IF(Table1[[#This Row],[DUT Adj Read]]="N/A",IF(Table1[[#This Row],[Std Adj Read]]&gt;Table1[[#This Row],[Low Tol]],"Pass","Fail"),IF(Table1[[#This Row],[DUT Adj Read]]&gt;Table1[[#This Row],[Low Tol]],"Pass","Fail")))</f>
        <v>Pass</v>
      </c>
      <c r="AE1811" s="1" t="str">
        <f>IF(AND(Table1[[#This Row],[Spec Type2]]="N/A",Table1[[#This Row],[DUT Adj Read]]="N/A",Table1[[#This Row],[Std Adj Read]]="N/A"),"N/A",IF(Table1[[#This Row],[DUT Adj Read]]="N/A",IF(Table1[[#This Row],[Std Adj Read]]&lt;Table1[[#This Row],[High Tol]],"Pass","Fail"),IF(Table1[[#This Row],[DUT Adj Read]]&lt;Table1[[#This Row],[High Tol]],"Pass","Fail")))</f>
        <v>Fail</v>
      </c>
      <c r="AF1811" s="1" t="str">
        <f>IF(AND(Table1[[#This Row],[Spec Type2]]="N/A",Table1[[#This Row],[DUT Adj Read]]="N/A",Table1[[#This Row],[Std Adj Read]]="N/A"),"N/A",IF(Table1[[#This Row],[DUT Adj Read]]="N/A",IF(Table1[[#This Row],[Std Adj Read]]&gt;=Table1[[#This Row],[Low Tol]],"Pass","Fail"),IF(Table1[[#This Row],[DUT Adj Read]]&gt;=Table1[[#This Row],[Low Tol]],"Pass","Fail")))</f>
        <v>Pass</v>
      </c>
      <c r="AG1811" s="1" t="str">
        <f>IF(AND(Table1[[#This Row],[Spec Type2]]="N/A",Table1[[#This Row],[DUT Adj Read]]="N/A",Table1[[#This Row],[Std Adj Read]]="N/A"),"N/A",IF(Table1[[#This Row],[DUT Adj Read]]="N/A",IF(Table1[[#This Row],[Std Adj Read]]&lt;=Table1[[#This Row],[High Tol]],"Pass","Fail"),IF(Table1[[#This Row],[DUT Adj Read]]&lt;=Table1[[#This Row],[High Tol]],"Pass","Fail")))</f>
        <v>Fail</v>
      </c>
      <c r="AH18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1" s="1" t="b">
        <v>0</v>
      </c>
      <c r="AN1811" s="1" t="b">
        <v>0</v>
      </c>
      <c r="AO1811" s="1" t="b">
        <v>0</v>
      </c>
    </row>
    <row r="1812" spans="1:41" x14ac:dyDescent="0.25">
      <c r="A1812" s="10"/>
      <c r="B1812" s="10"/>
      <c r="C1812" s="10"/>
      <c r="D1812" s="10"/>
      <c r="E1812" s="10"/>
      <c r="F1812" s="10"/>
      <c r="G1812" s="10"/>
      <c r="H1812" s="10"/>
      <c r="I1812" s="1" t="str">
        <f t="shared" si="84"/>
        <v/>
      </c>
      <c r="J1812" s="1" t="s">
        <v>35</v>
      </c>
      <c r="K1812" s="1" t="str">
        <f t="shared" si="85"/>
        <v/>
      </c>
      <c r="L1812" s="1" t="str">
        <f t="shared" si="86"/>
        <v/>
      </c>
      <c r="M1812" s="1">
        <f>IF(OR(Table1[[#This Row],[Std Nom]]="",Table1[[#This Row],[Std Read]]=""),0,Table1[[#This Row],[Std Nom]]-Table1[[#This Row],[Std Read]])</f>
        <v>0</v>
      </c>
      <c r="N1812" s="1">
        <f>IF(Calculations!$F$5="ACCREDITED 17025 WITH UNCERTAINTIES",$N$10,0)</f>
        <v>0</v>
      </c>
      <c r="O1812" s="1" t="str">
        <f>IFERROR(Table1[[#This Row],[Std Nom]]-(_xlfn.XLOOKUP(Table1[[#This Row],[Manufacturer]]&amp;" "&amp;Table1[[#This Row],[Model]],Table13[MFR &amp; MDL],Table13[Tolerance % CW ],"")/100*Table1[[#This Row],[Std Nom]]),"")</f>
        <v/>
      </c>
      <c r="P1812" s="1" t="str">
        <f>IFERROR(Table1[[#This Row],[Std Nom]]+(_xlfn.XLOOKUP(Table1[[#This Row],[Manufacturer]]&amp;" "&amp;Table1[[#This Row],[Model]],Table13[MFR &amp; MDL],Table13[Tolerance % CW ],"")/100*Table1[[#This Row],[Std Nom]]),"")</f>
        <v/>
      </c>
      <c r="Q1812" s="1" t="e">
        <f>Table1[[#This Row],[High Tol]]-Table1[[#This Row],[Low Tol]]</f>
        <v>#VALUE!</v>
      </c>
      <c r="R1812" s="1">
        <f>2*Table1[[#This Row],[Std Error]]</f>
        <v>0</v>
      </c>
      <c r="S1812" s="1" t="str">
        <f>IF(Table1[[#This Row],[High Tol]]="","N/A",IFERROR(ABS(Table1[[#This Row],[Tol Span]]/Table1[[#This Row],[Error Span]]),"N/A"))</f>
        <v>N/A</v>
      </c>
      <c r="T1812" s="1" t="str">
        <f>IF(OR(Table1[[#This Row],[Low Tol]]="",Table1[[#This Row],[High Tol]]=""),"Needs Analysis",IF(Table1[[#This Row],[Ratio]]&gt;=4,"Not Significant",IF(Table1[[#This Row],[Ratio]]&gt;=2,"Semi-Significant","Significant")))</f>
        <v>Needs Analysis</v>
      </c>
      <c r="W1812" s="1">
        <f>IF(Table1[[#This Row],[Cal Type]]&lt;&gt;"ACCREDITED 17025 WITH UNCERTAINTIES",0,"")</f>
        <v>0</v>
      </c>
      <c r="X1812" s="1" t="str">
        <f>IF(Table1[[#This Row],[DUT Read]]="","N/A",Table1[[#This Row],[Std Error]]+Table1[[#This Row],[DUT Read]]+Table1[[#This Row],[DUT Ucty]])</f>
        <v>N/A</v>
      </c>
      <c r="Y1812" s="1" t="str">
        <f>IF(Table1[[#This Row],[Std Read]]="","N/A",Table1[[#This Row],[Std Read]]+Table1[[#This Row],[Std Ucty]])</f>
        <v>N/A</v>
      </c>
      <c r="Z18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2" s="1" t="str">
        <f>IF(Table1[[#This Row],[Spec Type]]="","N/A",Table1[[#This Row],[Spec Type]])</f>
        <v>±</v>
      </c>
      <c r="AC1812" s="1" t="str">
        <f>IF(Table1[[#This Row],[Spec Type2]]="N/A","N/A",IF(AND(Table1[[#This Row],[DUT Adj Read]]&gt;=Table1[[#This Row],[Low Tol]],Table1[[#This Row],[DUT Adj Read]]&lt;=Table1[[#This Row],[High Tol]]),"Pass","Fail"))</f>
        <v>Fail</v>
      </c>
      <c r="AD1812" s="1" t="str">
        <f>IF(AND(Table1[[#This Row],[Spec Type2]]="N/A",Table1[[#This Row],[DUT Adj Read]]="N/A",Table1[[#This Row],[Std Adj Read]]="N/A"),"N/A",IF(Table1[[#This Row],[DUT Adj Read]]="N/A",IF(Table1[[#This Row],[Std Adj Read]]&gt;Table1[[#This Row],[Low Tol]],"Pass","Fail"),IF(Table1[[#This Row],[DUT Adj Read]]&gt;Table1[[#This Row],[Low Tol]],"Pass","Fail")))</f>
        <v>Pass</v>
      </c>
      <c r="AE1812" s="1" t="str">
        <f>IF(AND(Table1[[#This Row],[Spec Type2]]="N/A",Table1[[#This Row],[DUT Adj Read]]="N/A",Table1[[#This Row],[Std Adj Read]]="N/A"),"N/A",IF(Table1[[#This Row],[DUT Adj Read]]="N/A",IF(Table1[[#This Row],[Std Adj Read]]&lt;Table1[[#This Row],[High Tol]],"Pass","Fail"),IF(Table1[[#This Row],[DUT Adj Read]]&lt;Table1[[#This Row],[High Tol]],"Pass","Fail")))</f>
        <v>Fail</v>
      </c>
      <c r="AF1812" s="1" t="str">
        <f>IF(AND(Table1[[#This Row],[Spec Type2]]="N/A",Table1[[#This Row],[DUT Adj Read]]="N/A",Table1[[#This Row],[Std Adj Read]]="N/A"),"N/A",IF(Table1[[#This Row],[DUT Adj Read]]="N/A",IF(Table1[[#This Row],[Std Adj Read]]&gt;=Table1[[#This Row],[Low Tol]],"Pass","Fail"),IF(Table1[[#This Row],[DUT Adj Read]]&gt;=Table1[[#This Row],[Low Tol]],"Pass","Fail")))</f>
        <v>Pass</v>
      </c>
      <c r="AG1812" s="1" t="str">
        <f>IF(AND(Table1[[#This Row],[Spec Type2]]="N/A",Table1[[#This Row],[DUT Adj Read]]="N/A",Table1[[#This Row],[Std Adj Read]]="N/A"),"N/A",IF(Table1[[#This Row],[DUT Adj Read]]="N/A",IF(Table1[[#This Row],[Std Adj Read]]&lt;=Table1[[#This Row],[High Tol]],"Pass","Fail"),IF(Table1[[#This Row],[DUT Adj Read]]&lt;=Table1[[#This Row],[High Tol]],"Pass","Fail")))</f>
        <v>Fail</v>
      </c>
      <c r="AH18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2" s="1" t="b">
        <v>0</v>
      </c>
      <c r="AN1812" s="1" t="b">
        <v>0</v>
      </c>
      <c r="AO1812" s="1" t="b">
        <v>0</v>
      </c>
    </row>
    <row r="1813" spans="1:41" x14ac:dyDescent="0.25">
      <c r="A1813" s="10"/>
      <c r="B1813" s="10"/>
      <c r="C1813" s="10"/>
      <c r="D1813" s="10"/>
      <c r="E1813" s="10"/>
      <c r="F1813" s="10"/>
      <c r="G1813" s="10"/>
      <c r="H1813" s="10"/>
      <c r="I1813" s="1" t="str">
        <f t="shared" si="84"/>
        <v/>
      </c>
      <c r="J1813" s="1" t="s">
        <v>35</v>
      </c>
      <c r="K1813" s="1" t="str">
        <f t="shared" si="85"/>
        <v/>
      </c>
      <c r="L1813" s="1" t="str">
        <f t="shared" si="86"/>
        <v/>
      </c>
      <c r="M1813" s="1">
        <f>IF(OR(Table1[[#This Row],[Std Nom]]="",Table1[[#This Row],[Std Read]]=""),0,Table1[[#This Row],[Std Nom]]-Table1[[#This Row],[Std Read]])</f>
        <v>0</v>
      </c>
      <c r="N1813" s="1">
        <f>IF(Calculations!$F$5="ACCREDITED 17025 WITH UNCERTAINTIES",$N$10,0)</f>
        <v>0</v>
      </c>
      <c r="O1813" s="1" t="str">
        <f>IFERROR(Table1[[#This Row],[Std Nom]]-(_xlfn.XLOOKUP(Table1[[#This Row],[Manufacturer]]&amp;" "&amp;Table1[[#This Row],[Model]],Table13[MFR &amp; MDL],Table13[Tolerance % CW ],"")/100*Table1[[#This Row],[Std Nom]]),"")</f>
        <v/>
      </c>
      <c r="P1813" s="1" t="str">
        <f>IFERROR(Table1[[#This Row],[Std Nom]]+(_xlfn.XLOOKUP(Table1[[#This Row],[Manufacturer]]&amp;" "&amp;Table1[[#This Row],[Model]],Table13[MFR &amp; MDL],Table13[Tolerance % CW ],"")/100*Table1[[#This Row],[Std Nom]]),"")</f>
        <v/>
      </c>
      <c r="Q1813" s="1" t="e">
        <f>Table1[[#This Row],[High Tol]]-Table1[[#This Row],[Low Tol]]</f>
        <v>#VALUE!</v>
      </c>
      <c r="R1813" s="1">
        <f>2*Table1[[#This Row],[Std Error]]</f>
        <v>0</v>
      </c>
      <c r="S1813" s="1" t="str">
        <f>IF(Table1[[#This Row],[High Tol]]="","N/A",IFERROR(ABS(Table1[[#This Row],[Tol Span]]/Table1[[#This Row],[Error Span]]),"N/A"))</f>
        <v>N/A</v>
      </c>
      <c r="T1813" s="1" t="str">
        <f>IF(OR(Table1[[#This Row],[Low Tol]]="",Table1[[#This Row],[High Tol]]=""),"Needs Analysis",IF(Table1[[#This Row],[Ratio]]&gt;=4,"Not Significant",IF(Table1[[#This Row],[Ratio]]&gt;=2,"Semi-Significant","Significant")))</f>
        <v>Needs Analysis</v>
      </c>
      <c r="W1813" s="1">
        <f>IF(Table1[[#This Row],[Cal Type]]&lt;&gt;"ACCREDITED 17025 WITH UNCERTAINTIES",0,"")</f>
        <v>0</v>
      </c>
      <c r="X1813" s="1" t="str">
        <f>IF(Table1[[#This Row],[DUT Read]]="","N/A",Table1[[#This Row],[Std Error]]+Table1[[#This Row],[DUT Read]]+Table1[[#This Row],[DUT Ucty]])</f>
        <v>N/A</v>
      </c>
      <c r="Y1813" s="1" t="str">
        <f>IF(Table1[[#This Row],[Std Read]]="","N/A",Table1[[#This Row],[Std Read]]+Table1[[#This Row],[Std Ucty]])</f>
        <v>N/A</v>
      </c>
      <c r="Z18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3" s="1" t="str">
        <f>IF(Table1[[#This Row],[Spec Type]]="","N/A",Table1[[#This Row],[Spec Type]])</f>
        <v>±</v>
      </c>
      <c r="AC1813" s="1" t="str">
        <f>IF(Table1[[#This Row],[Spec Type2]]="N/A","N/A",IF(AND(Table1[[#This Row],[DUT Adj Read]]&gt;=Table1[[#This Row],[Low Tol]],Table1[[#This Row],[DUT Adj Read]]&lt;=Table1[[#This Row],[High Tol]]),"Pass","Fail"))</f>
        <v>Fail</v>
      </c>
      <c r="AD1813" s="1" t="str">
        <f>IF(AND(Table1[[#This Row],[Spec Type2]]="N/A",Table1[[#This Row],[DUT Adj Read]]="N/A",Table1[[#This Row],[Std Adj Read]]="N/A"),"N/A",IF(Table1[[#This Row],[DUT Adj Read]]="N/A",IF(Table1[[#This Row],[Std Adj Read]]&gt;Table1[[#This Row],[Low Tol]],"Pass","Fail"),IF(Table1[[#This Row],[DUT Adj Read]]&gt;Table1[[#This Row],[Low Tol]],"Pass","Fail")))</f>
        <v>Pass</v>
      </c>
      <c r="AE1813" s="1" t="str">
        <f>IF(AND(Table1[[#This Row],[Spec Type2]]="N/A",Table1[[#This Row],[DUT Adj Read]]="N/A",Table1[[#This Row],[Std Adj Read]]="N/A"),"N/A",IF(Table1[[#This Row],[DUT Adj Read]]="N/A",IF(Table1[[#This Row],[Std Adj Read]]&lt;Table1[[#This Row],[High Tol]],"Pass","Fail"),IF(Table1[[#This Row],[DUT Adj Read]]&lt;Table1[[#This Row],[High Tol]],"Pass","Fail")))</f>
        <v>Fail</v>
      </c>
      <c r="AF1813" s="1" t="str">
        <f>IF(AND(Table1[[#This Row],[Spec Type2]]="N/A",Table1[[#This Row],[DUT Adj Read]]="N/A",Table1[[#This Row],[Std Adj Read]]="N/A"),"N/A",IF(Table1[[#This Row],[DUT Adj Read]]="N/A",IF(Table1[[#This Row],[Std Adj Read]]&gt;=Table1[[#This Row],[Low Tol]],"Pass","Fail"),IF(Table1[[#This Row],[DUT Adj Read]]&gt;=Table1[[#This Row],[Low Tol]],"Pass","Fail")))</f>
        <v>Pass</v>
      </c>
      <c r="AG1813" s="1" t="str">
        <f>IF(AND(Table1[[#This Row],[Spec Type2]]="N/A",Table1[[#This Row],[DUT Adj Read]]="N/A",Table1[[#This Row],[Std Adj Read]]="N/A"),"N/A",IF(Table1[[#This Row],[DUT Adj Read]]="N/A",IF(Table1[[#This Row],[Std Adj Read]]&lt;=Table1[[#This Row],[High Tol]],"Pass","Fail"),IF(Table1[[#This Row],[DUT Adj Read]]&lt;=Table1[[#This Row],[High Tol]],"Pass","Fail")))</f>
        <v>Fail</v>
      </c>
      <c r="AH18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3" s="1" t="b">
        <v>0</v>
      </c>
      <c r="AN1813" s="1" t="b">
        <v>0</v>
      </c>
      <c r="AO1813" s="1" t="b">
        <v>0</v>
      </c>
    </row>
    <row r="1814" spans="1:41" x14ac:dyDescent="0.25">
      <c r="A1814" s="10"/>
      <c r="B1814" s="10"/>
      <c r="C1814" s="10"/>
      <c r="D1814" s="10"/>
      <c r="E1814" s="10"/>
      <c r="F1814" s="10"/>
      <c r="G1814" s="10"/>
      <c r="H1814" s="10"/>
      <c r="I1814" s="1" t="str">
        <f t="shared" si="84"/>
        <v/>
      </c>
      <c r="J1814" s="1" t="s">
        <v>35</v>
      </c>
      <c r="K1814" s="1" t="str">
        <f t="shared" si="85"/>
        <v/>
      </c>
      <c r="L1814" s="1" t="str">
        <f t="shared" si="86"/>
        <v/>
      </c>
      <c r="M1814" s="1">
        <f>IF(OR(Table1[[#This Row],[Std Nom]]="",Table1[[#This Row],[Std Read]]=""),0,Table1[[#This Row],[Std Nom]]-Table1[[#This Row],[Std Read]])</f>
        <v>0</v>
      </c>
      <c r="N1814" s="1">
        <f>IF(Calculations!$F$5="ACCREDITED 17025 WITH UNCERTAINTIES",$N$10,0)</f>
        <v>0</v>
      </c>
      <c r="O1814" s="1" t="str">
        <f>IFERROR(Table1[[#This Row],[Std Nom]]-(_xlfn.XLOOKUP(Table1[[#This Row],[Manufacturer]]&amp;" "&amp;Table1[[#This Row],[Model]],Table13[MFR &amp; MDL],Table13[Tolerance % CW ],"")/100*Table1[[#This Row],[Std Nom]]),"")</f>
        <v/>
      </c>
      <c r="P1814" s="1" t="str">
        <f>IFERROR(Table1[[#This Row],[Std Nom]]+(_xlfn.XLOOKUP(Table1[[#This Row],[Manufacturer]]&amp;" "&amp;Table1[[#This Row],[Model]],Table13[MFR &amp; MDL],Table13[Tolerance % CW ],"")/100*Table1[[#This Row],[Std Nom]]),"")</f>
        <v/>
      </c>
      <c r="Q1814" s="1" t="e">
        <f>Table1[[#This Row],[High Tol]]-Table1[[#This Row],[Low Tol]]</f>
        <v>#VALUE!</v>
      </c>
      <c r="R1814" s="1">
        <f>2*Table1[[#This Row],[Std Error]]</f>
        <v>0</v>
      </c>
      <c r="S1814" s="1" t="str">
        <f>IF(Table1[[#This Row],[High Tol]]="","N/A",IFERROR(ABS(Table1[[#This Row],[Tol Span]]/Table1[[#This Row],[Error Span]]),"N/A"))</f>
        <v>N/A</v>
      </c>
      <c r="T1814" s="1" t="str">
        <f>IF(OR(Table1[[#This Row],[Low Tol]]="",Table1[[#This Row],[High Tol]]=""),"Needs Analysis",IF(Table1[[#This Row],[Ratio]]&gt;=4,"Not Significant",IF(Table1[[#This Row],[Ratio]]&gt;=2,"Semi-Significant","Significant")))</f>
        <v>Needs Analysis</v>
      </c>
      <c r="W1814" s="1">
        <f>IF(Table1[[#This Row],[Cal Type]]&lt;&gt;"ACCREDITED 17025 WITH UNCERTAINTIES",0,"")</f>
        <v>0</v>
      </c>
      <c r="X1814" s="1" t="str">
        <f>IF(Table1[[#This Row],[DUT Read]]="","N/A",Table1[[#This Row],[Std Error]]+Table1[[#This Row],[DUT Read]]+Table1[[#This Row],[DUT Ucty]])</f>
        <v>N/A</v>
      </c>
      <c r="Y1814" s="1" t="str">
        <f>IF(Table1[[#This Row],[Std Read]]="","N/A",Table1[[#This Row],[Std Read]]+Table1[[#This Row],[Std Ucty]])</f>
        <v>N/A</v>
      </c>
      <c r="Z18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4" s="1" t="str">
        <f>IF(Table1[[#This Row],[Spec Type]]="","N/A",Table1[[#This Row],[Spec Type]])</f>
        <v>±</v>
      </c>
      <c r="AC1814" s="1" t="str">
        <f>IF(Table1[[#This Row],[Spec Type2]]="N/A","N/A",IF(AND(Table1[[#This Row],[DUT Adj Read]]&gt;=Table1[[#This Row],[Low Tol]],Table1[[#This Row],[DUT Adj Read]]&lt;=Table1[[#This Row],[High Tol]]),"Pass","Fail"))</f>
        <v>Fail</v>
      </c>
      <c r="AD1814" s="1" t="str">
        <f>IF(AND(Table1[[#This Row],[Spec Type2]]="N/A",Table1[[#This Row],[DUT Adj Read]]="N/A",Table1[[#This Row],[Std Adj Read]]="N/A"),"N/A",IF(Table1[[#This Row],[DUT Adj Read]]="N/A",IF(Table1[[#This Row],[Std Adj Read]]&gt;Table1[[#This Row],[Low Tol]],"Pass","Fail"),IF(Table1[[#This Row],[DUT Adj Read]]&gt;Table1[[#This Row],[Low Tol]],"Pass","Fail")))</f>
        <v>Pass</v>
      </c>
      <c r="AE1814" s="1" t="str">
        <f>IF(AND(Table1[[#This Row],[Spec Type2]]="N/A",Table1[[#This Row],[DUT Adj Read]]="N/A",Table1[[#This Row],[Std Adj Read]]="N/A"),"N/A",IF(Table1[[#This Row],[DUT Adj Read]]="N/A",IF(Table1[[#This Row],[Std Adj Read]]&lt;Table1[[#This Row],[High Tol]],"Pass","Fail"),IF(Table1[[#This Row],[DUT Adj Read]]&lt;Table1[[#This Row],[High Tol]],"Pass","Fail")))</f>
        <v>Fail</v>
      </c>
      <c r="AF1814" s="1" t="str">
        <f>IF(AND(Table1[[#This Row],[Spec Type2]]="N/A",Table1[[#This Row],[DUT Adj Read]]="N/A",Table1[[#This Row],[Std Adj Read]]="N/A"),"N/A",IF(Table1[[#This Row],[DUT Adj Read]]="N/A",IF(Table1[[#This Row],[Std Adj Read]]&gt;=Table1[[#This Row],[Low Tol]],"Pass","Fail"),IF(Table1[[#This Row],[DUT Adj Read]]&gt;=Table1[[#This Row],[Low Tol]],"Pass","Fail")))</f>
        <v>Pass</v>
      </c>
      <c r="AG1814" s="1" t="str">
        <f>IF(AND(Table1[[#This Row],[Spec Type2]]="N/A",Table1[[#This Row],[DUT Adj Read]]="N/A",Table1[[#This Row],[Std Adj Read]]="N/A"),"N/A",IF(Table1[[#This Row],[DUT Adj Read]]="N/A",IF(Table1[[#This Row],[Std Adj Read]]&lt;=Table1[[#This Row],[High Tol]],"Pass","Fail"),IF(Table1[[#This Row],[DUT Adj Read]]&lt;=Table1[[#This Row],[High Tol]],"Pass","Fail")))</f>
        <v>Fail</v>
      </c>
      <c r="AH18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4" s="1" t="b">
        <v>0</v>
      </c>
      <c r="AN1814" s="1" t="b">
        <v>0</v>
      </c>
      <c r="AO1814" s="1" t="b">
        <v>0</v>
      </c>
    </row>
    <row r="1815" spans="1:41" x14ac:dyDescent="0.25">
      <c r="A1815" s="10"/>
      <c r="B1815" s="10"/>
      <c r="C1815" s="10"/>
      <c r="D1815" s="10"/>
      <c r="E1815" s="10"/>
      <c r="F1815" s="10"/>
      <c r="G1815" s="10"/>
      <c r="H1815" s="10"/>
      <c r="I1815" s="1" t="str">
        <f t="shared" si="84"/>
        <v/>
      </c>
      <c r="J1815" s="1" t="s">
        <v>35</v>
      </c>
      <c r="K1815" s="1" t="str">
        <f t="shared" si="85"/>
        <v/>
      </c>
      <c r="L1815" s="1" t="str">
        <f t="shared" si="86"/>
        <v/>
      </c>
      <c r="M1815" s="1">
        <f>IF(OR(Table1[[#This Row],[Std Nom]]="",Table1[[#This Row],[Std Read]]=""),0,Table1[[#This Row],[Std Nom]]-Table1[[#This Row],[Std Read]])</f>
        <v>0</v>
      </c>
      <c r="N1815" s="1">
        <f>IF(Calculations!$F$5="ACCREDITED 17025 WITH UNCERTAINTIES",$N$10,0)</f>
        <v>0</v>
      </c>
      <c r="O1815" s="1" t="str">
        <f>IFERROR(Table1[[#This Row],[Std Nom]]-(_xlfn.XLOOKUP(Table1[[#This Row],[Manufacturer]]&amp;" "&amp;Table1[[#This Row],[Model]],Table13[MFR &amp; MDL],Table13[Tolerance % CW ],"")/100*Table1[[#This Row],[Std Nom]]),"")</f>
        <v/>
      </c>
      <c r="P1815" s="1" t="str">
        <f>IFERROR(Table1[[#This Row],[Std Nom]]+(_xlfn.XLOOKUP(Table1[[#This Row],[Manufacturer]]&amp;" "&amp;Table1[[#This Row],[Model]],Table13[MFR &amp; MDL],Table13[Tolerance % CW ],"")/100*Table1[[#This Row],[Std Nom]]),"")</f>
        <v/>
      </c>
      <c r="Q1815" s="1" t="e">
        <f>Table1[[#This Row],[High Tol]]-Table1[[#This Row],[Low Tol]]</f>
        <v>#VALUE!</v>
      </c>
      <c r="R1815" s="1">
        <f>2*Table1[[#This Row],[Std Error]]</f>
        <v>0</v>
      </c>
      <c r="S1815" s="1" t="str">
        <f>IF(Table1[[#This Row],[High Tol]]="","N/A",IFERROR(ABS(Table1[[#This Row],[Tol Span]]/Table1[[#This Row],[Error Span]]),"N/A"))</f>
        <v>N/A</v>
      </c>
      <c r="T1815" s="1" t="str">
        <f>IF(OR(Table1[[#This Row],[Low Tol]]="",Table1[[#This Row],[High Tol]]=""),"Needs Analysis",IF(Table1[[#This Row],[Ratio]]&gt;=4,"Not Significant",IF(Table1[[#This Row],[Ratio]]&gt;=2,"Semi-Significant","Significant")))</f>
        <v>Needs Analysis</v>
      </c>
      <c r="W1815" s="1">
        <f>IF(Table1[[#This Row],[Cal Type]]&lt;&gt;"ACCREDITED 17025 WITH UNCERTAINTIES",0,"")</f>
        <v>0</v>
      </c>
      <c r="X1815" s="1" t="str">
        <f>IF(Table1[[#This Row],[DUT Read]]="","N/A",Table1[[#This Row],[Std Error]]+Table1[[#This Row],[DUT Read]]+Table1[[#This Row],[DUT Ucty]])</f>
        <v>N/A</v>
      </c>
      <c r="Y1815" s="1" t="str">
        <f>IF(Table1[[#This Row],[Std Read]]="","N/A",Table1[[#This Row],[Std Read]]+Table1[[#This Row],[Std Ucty]])</f>
        <v>N/A</v>
      </c>
      <c r="Z18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5" s="1" t="str">
        <f>IF(Table1[[#This Row],[Spec Type]]="","N/A",Table1[[#This Row],[Spec Type]])</f>
        <v>±</v>
      </c>
      <c r="AC1815" s="1" t="str">
        <f>IF(Table1[[#This Row],[Spec Type2]]="N/A","N/A",IF(AND(Table1[[#This Row],[DUT Adj Read]]&gt;=Table1[[#This Row],[Low Tol]],Table1[[#This Row],[DUT Adj Read]]&lt;=Table1[[#This Row],[High Tol]]),"Pass","Fail"))</f>
        <v>Fail</v>
      </c>
      <c r="AD1815" s="1" t="str">
        <f>IF(AND(Table1[[#This Row],[Spec Type2]]="N/A",Table1[[#This Row],[DUT Adj Read]]="N/A",Table1[[#This Row],[Std Adj Read]]="N/A"),"N/A",IF(Table1[[#This Row],[DUT Adj Read]]="N/A",IF(Table1[[#This Row],[Std Adj Read]]&gt;Table1[[#This Row],[Low Tol]],"Pass","Fail"),IF(Table1[[#This Row],[DUT Adj Read]]&gt;Table1[[#This Row],[Low Tol]],"Pass","Fail")))</f>
        <v>Pass</v>
      </c>
      <c r="AE1815" s="1" t="str">
        <f>IF(AND(Table1[[#This Row],[Spec Type2]]="N/A",Table1[[#This Row],[DUT Adj Read]]="N/A",Table1[[#This Row],[Std Adj Read]]="N/A"),"N/A",IF(Table1[[#This Row],[DUT Adj Read]]="N/A",IF(Table1[[#This Row],[Std Adj Read]]&lt;Table1[[#This Row],[High Tol]],"Pass","Fail"),IF(Table1[[#This Row],[DUT Adj Read]]&lt;Table1[[#This Row],[High Tol]],"Pass","Fail")))</f>
        <v>Fail</v>
      </c>
      <c r="AF1815" s="1" t="str">
        <f>IF(AND(Table1[[#This Row],[Spec Type2]]="N/A",Table1[[#This Row],[DUT Adj Read]]="N/A",Table1[[#This Row],[Std Adj Read]]="N/A"),"N/A",IF(Table1[[#This Row],[DUT Adj Read]]="N/A",IF(Table1[[#This Row],[Std Adj Read]]&gt;=Table1[[#This Row],[Low Tol]],"Pass","Fail"),IF(Table1[[#This Row],[DUT Adj Read]]&gt;=Table1[[#This Row],[Low Tol]],"Pass","Fail")))</f>
        <v>Pass</v>
      </c>
      <c r="AG1815" s="1" t="str">
        <f>IF(AND(Table1[[#This Row],[Spec Type2]]="N/A",Table1[[#This Row],[DUT Adj Read]]="N/A",Table1[[#This Row],[Std Adj Read]]="N/A"),"N/A",IF(Table1[[#This Row],[DUT Adj Read]]="N/A",IF(Table1[[#This Row],[Std Adj Read]]&lt;=Table1[[#This Row],[High Tol]],"Pass","Fail"),IF(Table1[[#This Row],[DUT Adj Read]]&lt;=Table1[[#This Row],[High Tol]],"Pass","Fail")))</f>
        <v>Fail</v>
      </c>
      <c r="AH18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5" s="1" t="b">
        <v>0</v>
      </c>
      <c r="AN1815" s="1" t="b">
        <v>0</v>
      </c>
      <c r="AO1815" s="1" t="b">
        <v>0</v>
      </c>
    </row>
    <row r="1816" spans="1:41" x14ac:dyDescent="0.25">
      <c r="A1816" s="10"/>
      <c r="B1816" s="10"/>
      <c r="C1816" s="10"/>
      <c r="D1816" s="10"/>
      <c r="E1816" s="10"/>
      <c r="F1816" s="10"/>
      <c r="G1816" s="10"/>
      <c r="H1816" s="10"/>
      <c r="I1816" s="1" t="str">
        <f t="shared" si="84"/>
        <v/>
      </c>
      <c r="J1816" s="1" t="s">
        <v>35</v>
      </c>
      <c r="K1816" s="1" t="str">
        <f t="shared" si="85"/>
        <v/>
      </c>
      <c r="L1816" s="1" t="str">
        <f t="shared" si="86"/>
        <v/>
      </c>
      <c r="M1816" s="1">
        <f>IF(OR(Table1[[#This Row],[Std Nom]]="",Table1[[#This Row],[Std Read]]=""),0,Table1[[#This Row],[Std Nom]]-Table1[[#This Row],[Std Read]])</f>
        <v>0</v>
      </c>
      <c r="N1816" s="1">
        <f>IF(Calculations!$F$5="ACCREDITED 17025 WITH UNCERTAINTIES",$N$10,0)</f>
        <v>0</v>
      </c>
      <c r="O1816" s="1" t="str">
        <f>IFERROR(Table1[[#This Row],[Std Nom]]-(_xlfn.XLOOKUP(Table1[[#This Row],[Manufacturer]]&amp;" "&amp;Table1[[#This Row],[Model]],Table13[MFR &amp; MDL],Table13[Tolerance % CW ],"")/100*Table1[[#This Row],[Std Nom]]),"")</f>
        <v/>
      </c>
      <c r="P1816" s="1" t="str">
        <f>IFERROR(Table1[[#This Row],[Std Nom]]+(_xlfn.XLOOKUP(Table1[[#This Row],[Manufacturer]]&amp;" "&amp;Table1[[#This Row],[Model]],Table13[MFR &amp; MDL],Table13[Tolerance % CW ],"")/100*Table1[[#This Row],[Std Nom]]),"")</f>
        <v/>
      </c>
      <c r="Q1816" s="1" t="e">
        <f>Table1[[#This Row],[High Tol]]-Table1[[#This Row],[Low Tol]]</f>
        <v>#VALUE!</v>
      </c>
      <c r="R1816" s="1">
        <f>2*Table1[[#This Row],[Std Error]]</f>
        <v>0</v>
      </c>
      <c r="S1816" s="1" t="str">
        <f>IF(Table1[[#This Row],[High Tol]]="","N/A",IFERROR(ABS(Table1[[#This Row],[Tol Span]]/Table1[[#This Row],[Error Span]]),"N/A"))</f>
        <v>N/A</v>
      </c>
      <c r="T1816" s="1" t="str">
        <f>IF(OR(Table1[[#This Row],[Low Tol]]="",Table1[[#This Row],[High Tol]]=""),"Needs Analysis",IF(Table1[[#This Row],[Ratio]]&gt;=4,"Not Significant",IF(Table1[[#This Row],[Ratio]]&gt;=2,"Semi-Significant","Significant")))</f>
        <v>Needs Analysis</v>
      </c>
      <c r="W1816" s="1">
        <f>IF(Table1[[#This Row],[Cal Type]]&lt;&gt;"ACCREDITED 17025 WITH UNCERTAINTIES",0,"")</f>
        <v>0</v>
      </c>
      <c r="X1816" s="1" t="str">
        <f>IF(Table1[[#This Row],[DUT Read]]="","N/A",Table1[[#This Row],[Std Error]]+Table1[[#This Row],[DUT Read]]+Table1[[#This Row],[DUT Ucty]])</f>
        <v>N/A</v>
      </c>
      <c r="Y1816" s="1" t="str">
        <f>IF(Table1[[#This Row],[Std Read]]="","N/A",Table1[[#This Row],[Std Read]]+Table1[[#This Row],[Std Ucty]])</f>
        <v>N/A</v>
      </c>
      <c r="Z18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6" s="1" t="str">
        <f>IF(Table1[[#This Row],[Spec Type]]="","N/A",Table1[[#This Row],[Spec Type]])</f>
        <v>±</v>
      </c>
      <c r="AC1816" s="1" t="str">
        <f>IF(Table1[[#This Row],[Spec Type2]]="N/A","N/A",IF(AND(Table1[[#This Row],[DUT Adj Read]]&gt;=Table1[[#This Row],[Low Tol]],Table1[[#This Row],[DUT Adj Read]]&lt;=Table1[[#This Row],[High Tol]]),"Pass","Fail"))</f>
        <v>Fail</v>
      </c>
      <c r="AD1816" s="1" t="str">
        <f>IF(AND(Table1[[#This Row],[Spec Type2]]="N/A",Table1[[#This Row],[DUT Adj Read]]="N/A",Table1[[#This Row],[Std Adj Read]]="N/A"),"N/A",IF(Table1[[#This Row],[DUT Adj Read]]="N/A",IF(Table1[[#This Row],[Std Adj Read]]&gt;Table1[[#This Row],[Low Tol]],"Pass","Fail"),IF(Table1[[#This Row],[DUT Adj Read]]&gt;Table1[[#This Row],[Low Tol]],"Pass","Fail")))</f>
        <v>Pass</v>
      </c>
      <c r="AE1816" s="1" t="str">
        <f>IF(AND(Table1[[#This Row],[Spec Type2]]="N/A",Table1[[#This Row],[DUT Adj Read]]="N/A",Table1[[#This Row],[Std Adj Read]]="N/A"),"N/A",IF(Table1[[#This Row],[DUT Adj Read]]="N/A",IF(Table1[[#This Row],[Std Adj Read]]&lt;Table1[[#This Row],[High Tol]],"Pass","Fail"),IF(Table1[[#This Row],[DUT Adj Read]]&lt;Table1[[#This Row],[High Tol]],"Pass","Fail")))</f>
        <v>Fail</v>
      </c>
      <c r="AF1816" s="1" t="str">
        <f>IF(AND(Table1[[#This Row],[Spec Type2]]="N/A",Table1[[#This Row],[DUT Adj Read]]="N/A",Table1[[#This Row],[Std Adj Read]]="N/A"),"N/A",IF(Table1[[#This Row],[DUT Adj Read]]="N/A",IF(Table1[[#This Row],[Std Adj Read]]&gt;=Table1[[#This Row],[Low Tol]],"Pass","Fail"),IF(Table1[[#This Row],[DUT Adj Read]]&gt;=Table1[[#This Row],[Low Tol]],"Pass","Fail")))</f>
        <v>Pass</v>
      </c>
      <c r="AG1816" s="1" t="str">
        <f>IF(AND(Table1[[#This Row],[Spec Type2]]="N/A",Table1[[#This Row],[DUT Adj Read]]="N/A",Table1[[#This Row],[Std Adj Read]]="N/A"),"N/A",IF(Table1[[#This Row],[DUT Adj Read]]="N/A",IF(Table1[[#This Row],[Std Adj Read]]&lt;=Table1[[#This Row],[High Tol]],"Pass","Fail"),IF(Table1[[#This Row],[DUT Adj Read]]&lt;=Table1[[#This Row],[High Tol]],"Pass","Fail")))</f>
        <v>Fail</v>
      </c>
      <c r="AH18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6" s="1" t="b">
        <v>0</v>
      </c>
      <c r="AN1816" s="1" t="b">
        <v>0</v>
      </c>
      <c r="AO1816" s="1" t="b">
        <v>0</v>
      </c>
    </row>
    <row r="1817" spans="1:41" x14ac:dyDescent="0.25">
      <c r="A1817" s="10"/>
      <c r="B1817" s="10"/>
      <c r="C1817" s="10"/>
      <c r="D1817" s="10"/>
      <c r="E1817" s="10"/>
      <c r="F1817" s="10"/>
      <c r="G1817" s="10"/>
      <c r="H1817" s="10"/>
      <c r="I1817" s="1" t="str">
        <f t="shared" si="84"/>
        <v/>
      </c>
      <c r="J1817" s="1" t="s">
        <v>35</v>
      </c>
      <c r="K1817" s="1" t="str">
        <f t="shared" si="85"/>
        <v/>
      </c>
      <c r="L1817" s="1" t="str">
        <f t="shared" si="86"/>
        <v/>
      </c>
      <c r="M1817" s="1">
        <f>IF(OR(Table1[[#This Row],[Std Nom]]="",Table1[[#This Row],[Std Read]]=""),0,Table1[[#This Row],[Std Nom]]-Table1[[#This Row],[Std Read]])</f>
        <v>0</v>
      </c>
      <c r="N1817" s="1">
        <f>IF(Calculations!$F$5="ACCREDITED 17025 WITH UNCERTAINTIES",$N$10,0)</f>
        <v>0</v>
      </c>
      <c r="O1817" s="1" t="str">
        <f>IFERROR(Table1[[#This Row],[Std Nom]]-(_xlfn.XLOOKUP(Table1[[#This Row],[Manufacturer]]&amp;" "&amp;Table1[[#This Row],[Model]],Table13[MFR &amp; MDL],Table13[Tolerance % CW ],"")/100*Table1[[#This Row],[Std Nom]]),"")</f>
        <v/>
      </c>
      <c r="P1817" s="1" t="str">
        <f>IFERROR(Table1[[#This Row],[Std Nom]]+(_xlfn.XLOOKUP(Table1[[#This Row],[Manufacturer]]&amp;" "&amp;Table1[[#This Row],[Model]],Table13[MFR &amp; MDL],Table13[Tolerance % CW ],"")/100*Table1[[#This Row],[Std Nom]]),"")</f>
        <v/>
      </c>
      <c r="Q1817" s="1" t="e">
        <f>Table1[[#This Row],[High Tol]]-Table1[[#This Row],[Low Tol]]</f>
        <v>#VALUE!</v>
      </c>
      <c r="R1817" s="1">
        <f>2*Table1[[#This Row],[Std Error]]</f>
        <v>0</v>
      </c>
      <c r="S1817" s="1" t="str">
        <f>IF(Table1[[#This Row],[High Tol]]="","N/A",IFERROR(ABS(Table1[[#This Row],[Tol Span]]/Table1[[#This Row],[Error Span]]),"N/A"))</f>
        <v>N/A</v>
      </c>
      <c r="T1817" s="1" t="str">
        <f>IF(OR(Table1[[#This Row],[Low Tol]]="",Table1[[#This Row],[High Tol]]=""),"Needs Analysis",IF(Table1[[#This Row],[Ratio]]&gt;=4,"Not Significant",IF(Table1[[#This Row],[Ratio]]&gt;=2,"Semi-Significant","Significant")))</f>
        <v>Needs Analysis</v>
      </c>
      <c r="W1817" s="1">
        <f>IF(Table1[[#This Row],[Cal Type]]&lt;&gt;"ACCREDITED 17025 WITH UNCERTAINTIES",0,"")</f>
        <v>0</v>
      </c>
      <c r="X1817" s="1" t="str">
        <f>IF(Table1[[#This Row],[DUT Read]]="","N/A",Table1[[#This Row],[Std Error]]+Table1[[#This Row],[DUT Read]]+Table1[[#This Row],[DUT Ucty]])</f>
        <v>N/A</v>
      </c>
      <c r="Y1817" s="1" t="str">
        <f>IF(Table1[[#This Row],[Std Read]]="","N/A",Table1[[#This Row],[Std Read]]+Table1[[#This Row],[Std Ucty]])</f>
        <v>N/A</v>
      </c>
      <c r="Z18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7" s="1" t="str">
        <f>IF(Table1[[#This Row],[Spec Type]]="","N/A",Table1[[#This Row],[Spec Type]])</f>
        <v>±</v>
      </c>
      <c r="AC1817" s="1" t="str">
        <f>IF(Table1[[#This Row],[Spec Type2]]="N/A","N/A",IF(AND(Table1[[#This Row],[DUT Adj Read]]&gt;=Table1[[#This Row],[Low Tol]],Table1[[#This Row],[DUT Adj Read]]&lt;=Table1[[#This Row],[High Tol]]),"Pass","Fail"))</f>
        <v>Fail</v>
      </c>
      <c r="AD1817" s="1" t="str">
        <f>IF(AND(Table1[[#This Row],[Spec Type2]]="N/A",Table1[[#This Row],[DUT Adj Read]]="N/A",Table1[[#This Row],[Std Adj Read]]="N/A"),"N/A",IF(Table1[[#This Row],[DUT Adj Read]]="N/A",IF(Table1[[#This Row],[Std Adj Read]]&gt;Table1[[#This Row],[Low Tol]],"Pass","Fail"),IF(Table1[[#This Row],[DUT Adj Read]]&gt;Table1[[#This Row],[Low Tol]],"Pass","Fail")))</f>
        <v>Pass</v>
      </c>
      <c r="AE1817" s="1" t="str">
        <f>IF(AND(Table1[[#This Row],[Spec Type2]]="N/A",Table1[[#This Row],[DUT Adj Read]]="N/A",Table1[[#This Row],[Std Adj Read]]="N/A"),"N/A",IF(Table1[[#This Row],[DUT Adj Read]]="N/A",IF(Table1[[#This Row],[Std Adj Read]]&lt;Table1[[#This Row],[High Tol]],"Pass","Fail"),IF(Table1[[#This Row],[DUT Adj Read]]&lt;Table1[[#This Row],[High Tol]],"Pass","Fail")))</f>
        <v>Fail</v>
      </c>
      <c r="AF1817" s="1" t="str">
        <f>IF(AND(Table1[[#This Row],[Spec Type2]]="N/A",Table1[[#This Row],[DUT Adj Read]]="N/A",Table1[[#This Row],[Std Adj Read]]="N/A"),"N/A",IF(Table1[[#This Row],[DUT Adj Read]]="N/A",IF(Table1[[#This Row],[Std Adj Read]]&gt;=Table1[[#This Row],[Low Tol]],"Pass","Fail"),IF(Table1[[#This Row],[DUT Adj Read]]&gt;=Table1[[#This Row],[Low Tol]],"Pass","Fail")))</f>
        <v>Pass</v>
      </c>
      <c r="AG1817" s="1" t="str">
        <f>IF(AND(Table1[[#This Row],[Spec Type2]]="N/A",Table1[[#This Row],[DUT Adj Read]]="N/A",Table1[[#This Row],[Std Adj Read]]="N/A"),"N/A",IF(Table1[[#This Row],[DUT Adj Read]]="N/A",IF(Table1[[#This Row],[Std Adj Read]]&lt;=Table1[[#This Row],[High Tol]],"Pass","Fail"),IF(Table1[[#This Row],[DUT Adj Read]]&lt;=Table1[[#This Row],[High Tol]],"Pass","Fail")))</f>
        <v>Fail</v>
      </c>
      <c r="AH18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7" s="1" t="b">
        <v>0</v>
      </c>
      <c r="AN1817" s="1" t="b">
        <v>0</v>
      </c>
      <c r="AO1817" s="1" t="b">
        <v>0</v>
      </c>
    </row>
    <row r="1818" spans="1:41" x14ac:dyDescent="0.25">
      <c r="A1818" s="10"/>
      <c r="B1818" s="10"/>
      <c r="C1818" s="10"/>
      <c r="D1818" s="10"/>
      <c r="E1818" s="10"/>
      <c r="F1818" s="10"/>
      <c r="G1818" s="10"/>
      <c r="H1818" s="10"/>
      <c r="I1818" s="1" t="str">
        <f t="shared" si="84"/>
        <v/>
      </c>
      <c r="J1818" s="1" t="s">
        <v>35</v>
      </c>
      <c r="K1818" s="1" t="str">
        <f t="shared" si="85"/>
        <v/>
      </c>
      <c r="L1818" s="1" t="str">
        <f t="shared" si="86"/>
        <v/>
      </c>
      <c r="M1818" s="1">
        <f>IF(OR(Table1[[#This Row],[Std Nom]]="",Table1[[#This Row],[Std Read]]=""),0,Table1[[#This Row],[Std Nom]]-Table1[[#This Row],[Std Read]])</f>
        <v>0</v>
      </c>
      <c r="N1818" s="1">
        <f>IF(Calculations!$F$5="ACCREDITED 17025 WITH UNCERTAINTIES",$N$10,0)</f>
        <v>0</v>
      </c>
      <c r="O1818" s="1" t="str">
        <f>IFERROR(Table1[[#This Row],[Std Nom]]-(_xlfn.XLOOKUP(Table1[[#This Row],[Manufacturer]]&amp;" "&amp;Table1[[#This Row],[Model]],Table13[MFR &amp; MDL],Table13[Tolerance % CW ],"")/100*Table1[[#This Row],[Std Nom]]),"")</f>
        <v/>
      </c>
      <c r="P1818" s="1" t="str">
        <f>IFERROR(Table1[[#This Row],[Std Nom]]+(_xlfn.XLOOKUP(Table1[[#This Row],[Manufacturer]]&amp;" "&amp;Table1[[#This Row],[Model]],Table13[MFR &amp; MDL],Table13[Tolerance % CW ],"")/100*Table1[[#This Row],[Std Nom]]),"")</f>
        <v/>
      </c>
      <c r="Q1818" s="1" t="e">
        <f>Table1[[#This Row],[High Tol]]-Table1[[#This Row],[Low Tol]]</f>
        <v>#VALUE!</v>
      </c>
      <c r="R1818" s="1">
        <f>2*Table1[[#This Row],[Std Error]]</f>
        <v>0</v>
      </c>
      <c r="S1818" s="1" t="str">
        <f>IF(Table1[[#This Row],[High Tol]]="","N/A",IFERROR(ABS(Table1[[#This Row],[Tol Span]]/Table1[[#This Row],[Error Span]]),"N/A"))</f>
        <v>N/A</v>
      </c>
      <c r="T1818" s="1" t="str">
        <f>IF(OR(Table1[[#This Row],[Low Tol]]="",Table1[[#This Row],[High Tol]]=""),"Needs Analysis",IF(Table1[[#This Row],[Ratio]]&gt;=4,"Not Significant",IF(Table1[[#This Row],[Ratio]]&gt;=2,"Semi-Significant","Significant")))</f>
        <v>Needs Analysis</v>
      </c>
      <c r="W1818" s="1">
        <f>IF(Table1[[#This Row],[Cal Type]]&lt;&gt;"ACCREDITED 17025 WITH UNCERTAINTIES",0,"")</f>
        <v>0</v>
      </c>
      <c r="X1818" s="1" t="str">
        <f>IF(Table1[[#This Row],[DUT Read]]="","N/A",Table1[[#This Row],[Std Error]]+Table1[[#This Row],[DUT Read]]+Table1[[#This Row],[DUT Ucty]])</f>
        <v>N/A</v>
      </c>
      <c r="Y1818" s="1" t="str">
        <f>IF(Table1[[#This Row],[Std Read]]="","N/A",Table1[[#This Row],[Std Read]]+Table1[[#This Row],[Std Ucty]])</f>
        <v>N/A</v>
      </c>
      <c r="Z18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8" s="1" t="str">
        <f>IF(Table1[[#This Row],[Spec Type]]="","N/A",Table1[[#This Row],[Spec Type]])</f>
        <v>±</v>
      </c>
      <c r="AC1818" s="1" t="str">
        <f>IF(Table1[[#This Row],[Spec Type2]]="N/A","N/A",IF(AND(Table1[[#This Row],[DUT Adj Read]]&gt;=Table1[[#This Row],[Low Tol]],Table1[[#This Row],[DUT Adj Read]]&lt;=Table1[[#This Row],[High Tol]]),"Pass","Fail"))</f>
        <v>Fail</v>
      </c>
      <c r="AD1818" s="1" t="str">
        <f>IF(AND(Table1[[#This Row],[Spec Type2]]="N/A",Table1[[#This Row],[DUT Adj Read]]="N/A",Table1[[#This Row],[Std Adj Read]]="N/A"),"N/A",IF(Table1[[#This Row],[DUT Adj Read]]="N/A",IF(Table1[[#This Row],[Std Adj Read]]&gt;Table1[[#This Row],[Low Tol]],"Pass","Fail"),IF(Table1[[#This Row],[DUT Adj Read]]&gt;Table1[[#This Row],[Low Tol]],"Pass","Fail")))</f>
        <v>Pass</v>
      </c>
      <c r="AE1818" s="1" t="str">
        <f>IF(AND(Table1[[#This Row],[Spec Type2]]="N/A",Table1[[#This Row],[DUT Adj Read]]="N/A",Table1[[#This Row],[Std Adj Read]]="N/A"),"N/A",IF(Table1[[#This Row],[DUT Adj Read]]="N/A",IF(Table1[[#This Row],[Std Adj Read]]&lt;Table1[[#This Row],[High Tol]],"Pass","Fail"),IF(Table1[[#This Row],[DUT Adj Read]]&lt;Table1[[#This Row],[High Tol]],"Pass","Fail")))</f>
        <v>Fail</v>
      </c>
      <c r="AF1818" s="1" t="str">
        <f>IF(AND(Table1[[#This Row],[Spec Type2]]="N/A",Table1[[#This Row],[DUT Adj Read]]="N/A",Table1[[#This Row],[Std Adj Read]]="N/A"),"N/A",IF(Table1[[#This Row],[DUT Adj Read]]="N/A",IF(Table1[[#This Row],[Std Adj Read]]&gt;=Table1[[#This Row],[Low Tol]],"Pass","Fail"),IF(Table1[[#This Row],[DUT Adj Read]]&gt;=Table1[[#This Row],[Low Tol]],"Pass","Fail")))</f>
        <v>Pass</v>
      </c>
      <c r="AG1818" s="1" t="str">
        <f>IF(AND(Table1[[#This Row],[Spec Type2]]="N/A",Table1[[#This Row],[DUT Adj Read]]="N/A",Table1[[#This Row],[Std Adj Read]]="N/A"),"N/A",IF(Table1[[#This Row],[DUT Adj Read]]="N/A",IF(Table1[[#This Row],[Std Adj Read]]&lt;=Table1[[#This Row],[High Tol]],"Pass","Fail"),IF(Table1[[#This Row],[DUT Adj Read]]&lt;=Table1[[#This Row],[High Tol]],"Pass","Fail")))</f>
        <v>Fail</v>
      </c>
      <c r="AH18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8" s="1" t="b">
        <v>0</v>
      </c>
      <c r="AN1818" s="1" t="b">
        <v>0</v>
      </c>
      <c r="AO1818" s="1" t="b">
        <v>0</v>
      </c>
    </row>
    <row r="1819" spans="1:41" x14ac:dyDescent="0.25">
      <c r="A1819" s="10"/>
      <c r="B1819" s="10"/>
      <c r="C1819" s="10"/>
      <c r="D1819" s="10"/>
      <c r="E1819" s="10"/>
      <c r="F1819" s="10"/>
      <c r="G1819" s="10"/>
      <c r="H1819" s="10"/>
      <c r="I1819" s="1" t="str">
        <f t="shared" si="84"/>
        <v/>
      </c>
      <c r="J1819" s="1" t="s">
        <v>35</v>
      </c>
      <c r="K1819" s="1" t="str">
        <f t="shared" si="85"/>
        <v/>
      </c>
      <c r="L1819" s="1" t="str">
        <f t="shared" si="86"/>
        <v/>
      </c>
      <c r="M1819" s="1">
        <f>IF(OR(Table1[[#This Row],[Std Nom]]="",Table1[[#This Row],[Std Read]]=""),0,Table1[[#This Row],[Std Nom]]-Table1[[#This Row],[Std Read]])</f>
        <v>0</v>
      </c>
      <c r="N1819" s="1">
        <f>IF(Calculations!$F$5="ACCREDITED 17025 WITH UNCERTAINTIES",$N$10,0)</f>
        <v>0</v>
      </c>
      <c r="O1819" s="1" t="str">
        <f>IFERROR(Table1[[#This Row],[Std Nom]]-(_xlfn.XLOOKUP(Table1[[#This Row],[Manufacturer]]&amp;" "&amp;Table1[[#This Row],[Model]],Table13[MFR &amp; MDL],Table13[Tolerance % CW ],"")/100*Table1[[#This Row],[Std Nom]]),"")</f>
        <v/>
      </c>
      <c r="P1819" s="1" t="str">
        <f>IFERROR(Table1[[#This Row],[Std Nom]]+(_xlfn.XLOOKUP(Table1[[#This Row],[Manufacturer]]&amp;" "&amp;Table1[[#This Row],[Model]],Table13[MFR &amp; MDL],Table13[Tolerance % CW ],"")/100*Table1[[#This Row],[Std Nom]]),"")</f>
        <v/>
      </c>
      <c r="Q1819" s="1" t="e">
        <f>Table1[[#This Row],[High Tol]]-Table1[[#This Row],[Low Tol]]</f>
        <v>#VALUE!</v>
      </c>
      <c r="R1819" s="1">
        <f>2*Table1[[#This Row],[Std Error]]</f>
        <v>0</v>
      </c>
      <c r="S1819" s="1" t="str">
        <f>IF(Table1[[#This Row],[High Tol]]="","N/A",IFERROR(ABS(Table1[[#This Row],[Tol Span]]/Table1[[#This Row],[Error Span]]),"N/A"))</f>
        <v>N/A</v>
      </c>
      <c r="T1819" s="1" t="str">
        <f>IF(OR(Table1[[#This Row],[Low Tol]]="",Table1[[#This Row],[High Tol]]=""),"Needs Analysis",IF(Table1[[#This Row],[Ratio]]&gt;=4,"Not Significant",IF(Table1[[#This Row],[Ratio]]&gt;=2,"Semi-Significant","Significant")))</f>
        <v>Needs Analysis</v>
      </c>
      <c r="W1819" s="1">
        <f>IF(Table1[[#This Row],[Cal Type]]&lt;&gt;"ACCREDITED 17025 WITH UNCERTAINTIES",0,"")</f>
        <v>0</v>
      </c>
      <c r="X1819" s="1" t="str">
        <f>IF(Table1[[#This Row],[DUT Read]]="","N/A",Table1[[#This Row],[Std Error]]+Table1[[#This Row],[DUT Read]]+Table1[[#This Row],[DUT Ucty]])</f>
        <v>N/A</v>
      </c>
      <c r="Y1819" s="1" t="str">
        <f>IF(Table1[[#This Row],[Std Read]]="","N/A",Table1[[#This Row],[Std Read]]+Table1[[#This Row],[Std Ucty]])</f>
        <v>N/A</v>
      </c>
      <c r="Z18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9" s="1" t="str">
        <f>IF(Table1[[#This Row],[Spec Type]]="","N/A",Table1[[#This Row],[Spec Type]])</f>
        <v>±</v>
      </c>
      <c r="AC1819" s="1" t="str">
        <f>IF(Table1[[#This Row],[Spec Type2]]="N/A","N/A",IF(AND(Table1[[#This Row],[DUT Adj Read]]&gt;=Table1[[#This Row],[Low Tol]],Table1[[#This Row],[DUT Adj Read]]&lt;=Table1[[#This Row],[High Tol]]),"Pass","Fail"))</f>
        <v>Fail</v>
      </c>
      <c r="AD1819" s="1" t="str">
        <f>IF(AND(Table1[[#This Row],[Spec Type2]]="N/A",Table1[[#This Row],[DUT Adj Read]]="N/A",Table1[[#This Row],[Std Adj Read]]="N/A"),"N/A",IF(Table1[[#This Row],[DUT Adj Read]]="N/A",IF(Table1[[#This Row],[Std Adj Read]]&gt;Table1[[#This Row],[Low Tol]],"Pass","Fail"),IF(Table1[[#This Row],[DUT Adj Read]]&gt;Table1[[#This Row],[Low Tol]],"Pass","Fail")))</f>
        <v>Pass</v>
      </c>
      <c r="AE1819" s="1" t="str">
        <f>IF(AND(Table1[[#This Row],[Spec Type2]]="N/A",Table1[[#This Row],[DUT Adj Read]]="N/A",Table1[[#This Row],[Std Adj Read]]="N/A"),"N/A",IF(Table1[[#This Row],[DUT Adj Read]]="N/A",IF(Table1[[#This Row],[Std Adj Read]]&lt;Table1[[#This Row],[High Tol]],"Pass","Fail"),IF(Table1[[#This Row],[DUT Adj Read]]&lt;Table1[[#This Row],[High Tol]],"Pass","Fail")))</f>
        <v>Fail</v>
      </c>
      <c r="AF1819" s="1" t="str">
        <f>IF(AND(Table1[[#This Row],[Spec Type2]]="N/A",Table1[[#This Row],[DUT Adj Read]]="N/A",Table1[[#This Row],[Std Adj Read]]="N/A"),"N/A",IF(Table1[[#This Row],[DUT Adj Read]]="N/A",IF(Table1[[#This Row],[Std Adj Read]]&gt;=Table1[[#This Row],[Low Tol]],"Pass","Fail"),IF(Table1[[#This Row],[DUT Adj Read]]&gt;=Table1[[#This Row],[Low Tol]],"Pass","Fail")))</f>
        <v>Pass</v>
      </c>
      <c r="AG1819" s="1" t="str">
        <f>IF(AND(Table1[[#This Row],[Spec Type2]]="N/A",Table1[[#This Row],[DUT Adj Read]]="N/A",Table1[[#This Row],[Std Adj Read]]="N/A"),"N/A",IF(Table1[[#This Row],[DUT Adj Read]]="N/A",IF(Table1[[#This Row],[Std Adj Read]]&lt;=Table1[[#This Row],[High Tol]],"Pass","Fail"),IF(Table1[[#This Row],[DUT Adj Read]]&lt;=Table1[[#This Row],[High Tol]],"Pass","Fail")))</f>
        <v>Fail</v>
      </c>
      <c r="AH18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9" s="1" t="b">
        <v>0</v>
      </c>
      <c r="AN1819" s="1" t="b">
        <v>0</v>
      </c>
      <c r="AO1819" s="1" t="b">
        <v>0</v>
      </c>
    </row>
    <row r="1820" spans="1:41" x14ac:dyDescent="0.25">
      <c r="A1820" s="10"/>
      <c r="B1820" s="10"/>
      <c r="C1820" s="10"/>
      <c r="D1820" s="10"/>
      <c r="E1820" s="10"/>
      <c r="F1820" s="10"/>
      <c r="G1820" s="10"/>
      <c r="H1820" s="10"/>
      <c r="I1820" s="1" t="str">
        <f t="shared" si="84"/>
        <v/>
      </c>
      <c r="J1820" s="1" t="s">
        <v>35</v>
      </c>
      <c r="K1820" s="1" t="str">
        <f t="shared" si="85"/>
        <v/>
      </c>
      <c r="L1820" s="1" t="str">
        <f t="shared" si="86"/>
        <v/>
      </c>
      <c r="M1820" s="1">
        <f>IF(OR(Table1[[#This Row],[Std Nom]]="",Table1[[#This Row],[Std Read]]=""),0,Table1[[#This Row],[Std Nom]]-Table1[[#This Row],[Std Read]])</f>
        <v>0</v>
      </c>
      <c r="N1820" s="1">
        <f>IF(Calculations!$F$5="ACCREDITED 17025 WITH UNCERTAINTIES",$N$10,0)</f>
        <v>0</v>
      </c>
      <c r="O1820" s="1" t="str">
        <f>IFERROR(Table1[[#This Row],[Std Nom]]-(_xlfn.XLOOKUP(Table1[[#This Row],[Manufacturer]]&amp;" "&amp;Table1[[#This Row],[Model]],Table13[MFR &amp; MDL],Table13[Tolerance % CW ],"")/100*Table1[[#This Row],[Std Nom]]),"")</f>
        <v/>
      </c>
      <c r="P1820" s="1" t="str">
        <f>IFERROR(Table1[[#This Row],[Std Nom]]+(_xlfn.XLOOKUP(Table1[[#This Row],[Manufacturer]]&amp;" "&amp;Table1[[#This Row],[Model]],Table13[MFR &amp; MDL],Table13[Tolerance % CW ],"")/100*Table1[[#This Row],[Std Nom]]),"")</f>
        <v/>
      </c>
      <c r="Q1820" s="1" t="e">
        <f>Table1[[#This Row],[High Tol]]-Table1[[#This Row],[Low Tol]]</f>
        <v>#VALUE!</v>
      </c>
      <c r="R1820" s="1">
        <f>2*Table1[[#This Row],[Std Error]]</f>
        <v>0</v>
      </c>
      <c r="S1820" s="1" t="str">
        <f>IF(Table1[[#This Row],[High Tol]]="","N/A",IFERROR(ABS(Table1[[#This Row],[Tol Span]]/Table1[[#This Row],[Error Span]]),"N/A"))</f>
        <v>N/A</v>
      </c>
      <c r="T1820" s="1" t="str">
        <f>IF(OR(Table1[[#This Row],[Low Tol]]="",Table1[[#This Row],[High Tol]]=""),"Needs Analysis",IF(Table1[[#This Row],[Ratio]]&gt;=4,"Not Significant",IF(Table1[[#This Row],[Ratio]]&gt;=2,"Semi-Significant","Significant")))</f>
        <v>Needs Analysis</v>
      </c>
      <c r="W1820" s="1">
        <f>IF(Table1[[#This Row],[Cal Type]]&lt;&gt;"ACCREDITED 17025 WITH UNCERTAINTIES",0,"")</f>
        <v>0</v>
      </c>
      <c r="X1820" s="1" t="str">
        <f>IF(Table1[[#This Row],[DUT Read]]="","N/A",Table1[[#This Row],[Std Error]]+Table1[[#This Row],[DUT Read]]+Table1[[#This Row],[DUT Ucty]])</f>
        <v>N/A</v>
      </c>
      <c r="Y1820" s="1" t="str">
        <f>IF(Table1[[#This Row],[Std Read]]="","N/A",Table1[[#This Row],[Std Read]]+Table1[[#This Row],[Std Ucty]])</f>
        <v>N/A</v>
      </c>
      <c r="Z18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0" s="1" t="str">
        <f>IF(Table1[[#This Row],[Spec Type]]="","N/A",Table1[[#This Row],[Spec Type]])</f>
        <v>±</v>
      </c>
      <c r="AC1820" s="1" t="str">
        <f>IF(Table1[[#This Row],[Spec Type2]]="N/A","N/A",IF(AND(Table1[[#This Row],[DUT Adj Read]]&gt;=Table1[[#This Row],[Low Tol]],Table1[[#This Row],[DUT Adj Read]]&lt;=Table1[[#This Row],[High Tol]]),"Pass","Fail"))</f>
        <v>Fail</v>
      </c>
      <c r="AD1820" s="1" t="str">
        <f>IF(AND(Table1[[#This Row],[Spec Type2]]="N/A",Table1[[#This Row],[DUT Adj Read]]="N/A",Table1[[#This Row],[Std Adj Read]]="N/A"),"N/A",IF(Table1[[#This Row],[DUT Adj Read]]="N/A",IF(Table1[[#This Row],[Std Adj Read]]&gt;Table1[[#This Row],[Low Tol]],"Pass","Fail"),IF(Table1[[#This Row],[DUT Adj Read]]&gt;Table1[[#This Row],[Low Tol]],"Pass","Fail")))</f>
        <v>Pass</v>
      </c>
      <c r="AE1820" s="1" t="str">
        <f>IF(AND(Table1[[#This Row],[Spec Type2]]="N/A",Table1[[#This Row],[DUT Adj Read]]="N/A",Table1[[#This Row],[Std Adj Read]]="N/A"),"N/A",IF(Table1[[#This Row],[DUT Adj Read]]="N/A",IF(Table1[[#This Row],[Std Adj Read]]&lt;Table1[[#This Row],[High Tol]],"Pass","Fail"),IF(Table1[[#This Row],[DUT Adj Read]]&lt;Table1[[#This Row],[High Tol]],"Pass","Fail")))</f>
        <v>Fail</v>
      </c>
      <c r="AF1820" s="1" t="str">
        <f>IF(AND(Table1[[#This Row],[Spec Type2]]="N/A",Table1[[#This Row],[DUT Adj Read]]="N/A",Table1[[#This Row],[Std Adj Read]]="N/A"),"N/A",IF(Table1[[#This Row],[DUT Adj Read]]="N/A",IF(Table1[[#This Row],[Std Adj Read]]&gt;=Table1[[#This Row],[Low Tol]],"Pass","Fail"),IF(Table1[[#This Row],[DUT Adj Read]]&gt;=Table1[[#This Row],[Low Tol]],"Pass","Fail")))</f>
        <v>Pass</v>
      </c>
      <c r="AG1820" s="1" t="str">
        <f>IF(AND(Table1[[#This Row],[Spec Type2]]="N/A",Table1[[#This Row],[DUT Adj Read]]="N/A",Table1[[#This Row],[Std Adj Read]]="N/A"),"N/A",IF(Table1[[#This Row],[DUT Adj Read]]="N/A",IF(Table1[[#This Row],[Std Adj Read]]&lt;=Table1[[#This Row],[High Tol]],"Pass","Fail"),IF(Table1[[#This Row],[DUT Adj Read]]&lt;=Table1[[#This Row],[High Tol]],"Pass","Fail")))</f>
        <v>Fail</v>
      </c>
      <c r="AH18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0" s="1" t="b">
        <v>0</v>
      </c>
      <c r="AN1820" s="1" t="b">
        <v>0</v>
      </c>
      <c r="AO1820" s="1" t="b">
        <v>0</v>
      </c>
    </row>
    <row r="1821" spans="1:41" x14ac:dyDescent="0.25">
      <c r="A1821" s="10"/>
      <c r="B1821" s="10"/>
      <c r="C1821" s="10"/>
      <c r="D1821" s="10"/>
      <c r="E1821" s="10"/>
      <c r="F1821" s="10"/>
      <c r="G1821" s="10"/>
      <c r="H1821" s="10"/>
      <c r="I1821" s="1" t="str">
        <f t="shared" si="84"/>
        <v/>
      </c>
      <c r="J1821" s="1" t="s">
        <v>35</v>
      </c>
      <c r="K1821" s="1" t="str">
        <f t="shared" si="85"/>
        <v/>
      </c>
      <c r="L1821" s="1" t="str">
        <f t="shared" si="86"/>
        <v/>
      </c>
      <c r="M1821" s="1">
        <f>IF(OR(Table1[[#This Row],[Std Nom]]="",Table1[[#This Row],[Std Read]]=""),0,Table1[[#This Row],[Std Nom]]-Table1[[#This Row],[Std Read]])</f>
        <v>0</v>
      </c>
      <c r="N1821" s="1">
        <f>IF(Calculations!$F$5="ACCREDITED 17025 WITH UNCERTAINTIES",$N$10,0)</f>
        <v>0</v>
      </c>
      <c r="O1821" s="1" t="str">
        <f>IFERROR(Table1[[#This Row],[Std Nom]]-(_xlfn.XLOOKUP(Table1[[#This Row],[Manufacturer]]&amp;" "&amp;Table1[[#This Row],[Model]],Table13[MFR &amp; MDL],Table13[Tolerance % CW ],"")/100*Table1[[#This Row],[Std Nom]]),"")</f>
        <v/>
      </c>
      <c r="P1821" s="1" t="str">
        <f>IFERROR(Table1[[#This Row],[Std Nom]]+(_xlfn.XLOOKUP(Table1[[#This Row],[Manufacturer]]&amp;" "&amp;Table1[[#This Row],[Model]],Table13[MFR &amp; MDL],Table13[Tolerance % CW ],"")/100*Table1[[#This Row],[Std Nom]]),"")</f>
        <v/>
      </c>
      <c r="Q1821" s="1" t="e">
        <f>Table1[[#This Row],[High Tol]]-Table1[[#This Row],[Low Tol]]</f>
        <v>#VALUE!</v>
      </c>
      <c r="R1821" s="1">
        <f>2*Table1[[#This Row],[Std Error]]</f>
        <v>0</v>
      </c>
      <c r="S1821" s="1" t="str">
        <f>IF(Table1[[#This Row],[High Tol]]="","N/A",IFERROR(ABS(Table1[[#This Row],[Tol Span]]/Table1[[#This Row],[Error Span]]),"N/A"))</f>
        <v>N/A</v>
      </c>
      <c r="T1821" s="1" t="str">
        <f>IF(OR(Table1[[#This Row],[Low Tol]]="",Table1[[#This Row],[High Tol]]=""),"Needs Analysis",IF(Table1[[#This Row],[Ratio]]&gt;=4,"Not Significant",IF(Table1[[#This Row],[Ratio]]&gt;=2,"Semi-Significant","Significant")))</f>
        <v>Needs Analysis</v>
      </c>
      <c r="W1821" s="1">
        <f>IF(Table1[[#This Row],[Cal Type]]&lt;&gt;"ACCREDITED 17025 WITH UNCERTAINTIES",0,"")</f>
        <v>0</v>
      </c>
      <c r="X1821" s="1" t="str">
        <f>IF(Table1[[#This Row],[DUT Read]]="","N/A",Table1[[#This Row],[Std Error]]+Table1[[#This Row],[DUT Read]]+Table1[[#This Row],[DUT Ucty]])</f>
        <v>N/A</v>
      </c>
      <c r="Y1821" s="1" t="str">
        <f>IF(Table1[[#This Row],[Std Read]]="","N/A",Table1[[#This Row],[Std Read]]+Table1[[#This Row],[Std Ucty]])</f>
        <v>N/A</v>
      </c>
      <c r="Z18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1" s="1" t="str">
        <f>IF(Table1[[#This Row],[Spec Type]]="","N/A",Table1[[#This Row],[Spec Type]])</f>
        <v>±</v>
      </c>
      <c r="AC1821" s="1" t="str">
        <f>IF(Table1[[#This Row],[Spec Type2]]="N/A","N/A",IF(AND(Table1[[#This Row],[DUT Adj Read]]&gt;=Table1[[#This Row],[Low Tol]],Table1[[#This Row],[DUT Adj Read]]&lt;=Table1[[#This Row],[High Tol]]),"Pass","Fail"))</f>
        <v>Fail</v>
      </c>
      <c r="AD1821" s="1" t="str">
        <f>IF(AND(Table1[[#This Row],[Spec Type2]]="N/A",Table1[[#This Row],[DUT Adj Read]]="N/A",Table1[[#This Row],[Std Adj Read]]="N/A"),"N/A",IF(Table1[[#This Row],[DUT Adj Read]]="N/A",IF(Table1[[#This Row],[Std Adj Read]]&gt;Table1[[#This Row],[Low Tol]],"Pass","Fail"),IF(Table1[[#This Row],[DUT Adj Read]]&gt;Table1[[#This Row],[Low Tol]],"Pass","Fail")))</f>
        <v>Pass</v>
      </c>
      <c r="AE1821" s="1" t="str">
        <f>IF(AND(Table1[[#This Row],[Spec Type2]]="N/A",Table1[[#This Row],[DUT Adj Read]]="N/A",Table1[[#This Row],[Std Adj Read]]="N/A"),"N/A",IF(Table1[[#This Row],[DUT Adj Read]]="N/A",IF(Table1[[#This Row],[Std Adj Read]]&lt;Table1[[#This Row],[High Tol]],"Pass","Fail"),IF(Table1[[#This Row],[DUT Adj Read]]&lt;Table1[[#This Row],[High Tol]],"Pass","Fail")))</f>
        <v>Fail</v>
      </c>
      <c r="AF1821" s="1" t="str">
        <f>IF(AND(Table1[[#This Row],[Spec Type2]]="N/A",Table1[[#This Row],[DUT Adj Read]]="N/A",Table1[[#This Row],[Std Adj Read]]="N/A"),"N/A",IF(Table1[[#This Row],[DUT Adj Read]]="N/A",IF(Table1[[#This Row],[Std Adj Read]]&gt;=Table1[[#This Row],[Low Tol]],"Pass","Fail"),IF(Table1[[#This Row],[DUT Adj Read]]&gt;=Table1[[#This Row],[Low Tol]],"Pass","Fail")))</f>
        <v>Pass</v>
      </c>
      <c r="AG1821" s="1" t="str">
        <f>IF(AND(Table1[[#This Row],[Spec Type2]]="N/A",Table1[[#This Row],[DUT Adj Read]]="N/A",Table1[[#This Row],[Std Adj Read]]="N/A"),"N/A",IF(Table1[[#This Row],[DUT Adj Read]]="N/A",IF(Table1[[#This Row],[Std Adj Read]]&lt;=Table1[[#This Row],[High Tol]],"Pass","Fail"),IF(Table1[[#This Row],[DUT Adj Read]]&lt;=Table1[[#This Row],[High Tol]],"Pass","Fail")))</f>
        <v>Fail</v>
      </c>
      <c r="AH18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1" s="1" t="b">
        <v>0</v>
      </c>
      <c r="AN1821" s="1" t="b">
        <v>0</v>
      </c>
      <c r="AO1821" s="1" t="b">
        <v>0</v>
      </c>
    </row>
    <row r="1822" spans="1:41" x14ac:dyDescent="0.25">
      <c r="A1822" s="10"/>
      <c r="B1822" s="10"/>
      <c r="C1822" s="10"/>
      <c r="D1822" s="10"/>
      <c r="E1822" s="10"/>
      <c r="F1822" s="10"/>
      <c r="G1822" s="10"/>
      <c r="H1822" s="10"/>
      <c r="I1822" s="1" t="str">
        <f t="shared" si="84"/>
        <v/>
      </c>
      <c r="J1822" s="1" t="s">
        <v>35</v>
      </c>
      <c r="K1822" s="1" t="str">
        <f t="shared" si="85"/>
        <v/>
      </c>
      <c r="L1822" s="1" t="str">
        <f t="shared" si="86"/>
        <v/>
      </c>
      <c r="M1822" s="1">
        <f>IF(OR(Table1[[#This Row],[Std Nom]]="",Table1[[#This Row],[Std Read]]=""),0,Table1[[#This Row],[Std Nom]]-Table1[[#This Row],[Std Read]])</f>
        <v>0</v>
      </c>
      <c r="N1822" s="1">
        <f>IF(Calculations!$F$5="ACCREDITED 17025 WITH UNCERTAINTIES",$N$10,0)</f>
        <v>0</v>
      </c>
      <c r="O1822" s="1" t="str">
        <f>IFERROR(Table1[[#This Row],[Std Nom]]-(_xlfn.XLOOKUP(Table1[[#This Row],[Manufacturer]]&amp;" "&amp;Table1[[#This Row],[Model]],Table13[MFR &amp; MDL],Table13[Tolerance % CW ],"")/100*Table1[[#This Row],[Std Nom]]),"")</f>
        <v/>
      </c>
      <c r="P1822" s="1" t="str">
        <f>IFERROR(Table1[[#This Row],[Std Nom]]+(_xlfn.XLOOKUP(Table1[[#This Row],[Manufacturer]]&amp;" "&amp;Table1[[#This Row],[Model]],Table13[MFR &amp; MDL],Table13[Tolerance % CW ],"")/100*Table1[[#This Row],[Std Nom]]),"")</f>
        <v/>
      </c>
      <c r="Q1822" s="1" t="e">
        <f>Table1[[#This Row],[High Tol]]-Table1[[#This Row],[Low Tol]]</f>
        <v>#VALUE!</v>
      </c>
      <c r="R1822" s="1">
        <f>2*Table1[[#This Row],[Std Error]]</f>
        <v>0</v>
      </c>
      <c r="S1822" s="1" t="str">
        <f>IF(Table1[[#This Row],[High Tol]]="","N/A",IFERROR(ABS(Table1[[#This Row],[Tol Span]]/Table1[[#This Row],[Error Span]]),"N/A"))</f>
        <v>N/A</v>
      </c>
      <c r="T1822" s="1" t="str">
        <f>IF(OR(Table1[[#This Row],[Low Tol]]="",Table1[[#This Row],[High Tol]]=""),"Needs Analysis",IF(Table1[[#This Row],[Ratio]]&gt;=4,"Not Significant",IF(Table1[[#This Row],[Ratio]]&gt;=2,"Semi-Significant","Significant")))</f>
        <v>Needs Analysis</v>
      </c>
      <c r="W1822" s="1">
        <f>IF(Table1[[#This Row],[Cal Type]]&lt;&gt;"ACCREDITED 17025 WITH UNCERTAINTIES",0,"")</f>
        <v>0</v>
      </c>
      <c r="X1822" s="1" t="str">
        <f>IF(Table1[[#This Row],[DUT Read]]="","N/A",Table1[[#This Row],[Std Error]]+Table1[[#This Row],[DUT Read]]+Table1[[#This Row],[DUT Ucty]])</f>
        <v>N/A</v>
      </c>
      <c r="Y1822" s="1" t="str">
        <f>IF(Table1[[#This Row],[Std Read]]="","N/A",Table1[[#This Row],[Std Read]]+Table1[[#This Row],[Std Ucty]])</f>
        <v>N/A</v>
      </c>
      <c r="Z18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2" s="1" t="str">
        <f>IF(Table1[[#This Row],[Spec Type]]="","N/A",Table1[[#This Row],[Spec Type]])</f>
        <v>±</v>
      </c>
      <c r="AC1822" s="1" t="str">
        <f>IF(Table1[[#This Row],[Spec Type2]]="N/A","N/A",IF(AND(Table1[[#This Row],[DUT Adj Read]]&gt;=Table1[[#This Row],[Low Tol]],Table1[[#This Row],[DUT Adj Read]]&lt;=Table1[[#This Row],[High Tol]]),"Pass","Fail"))</f>
        <v>Fail</v>
      </c>
      <c r="AD1822" s="1" t="str">
        <f>IF(AND(Table1[[#This Row],[Spec Type2]]="N/A",Table1[[#This Row],[DUT Adj Read]]="N/A",Table1[[#This Row],[Std Adj Read]]="N/A"),"N/A",IF(Table1[[#This Row],[DUT Adj Read]]="N/A",IF(Table1[[#This Row],[Std Adj Read]]&gt;Table1[[#This Row],[Low Tol]],"Pass","Fail"),IF(Table1[[#This Row],[DUT Adj Read]]&gt;Table1[[#This Row],[Low Tol]],"Pass","Fail")))</f>
        <v>Pass</v>
      </c>
      <c r="AE1822" s="1" t="str">
        <f>IF(AND(Table1[[#This Row],[Spec Type2]]="N/A",Table1[[#This Row],[DUT Adj Read]]="N/A",Table1[[#This Row],[Std Adj Read]]="N/A"),"N/A",IF(Table1[[#This Row],[DUT Adj Read]]="N/A",IF(Table1[[#This Row],[Std Adj Read]]&lt;Table1[[#This Row],[High Tol]],"Pass","Fail"),IF(Table1[[#This Row],[DUT Adj Read]]&lt;Table1[[#This Row],[High Tol]],"Pass","Fail")))</f>
        <v>Fail</v>
      </c>
      <c r="AF1822" s="1" t="str">
        <f>IF(AND(Table1[[#This Row],[Spec Type2]]="N/A",Table1[[#This Row],[DUT Adj Read]]="N/A",Table1[[#This Row],[Std Adj Read]]="N/A"),"N/A",IF(Table1[[#This Row],[DUT Adj Read]]="N/A",IF(Table1[[#This Row],[Std Adj Read]]&gt;=Table1[[#This Row],[Low Tol]],"Pass","Fail"),IF(Table1[[#This Row],[DUT Adj Read]]&gt;=Table1[[#This Row],[Low Tol]],"Pass","Fail")))</f>
        <v>Pass</v>
      </c>
      <c r="AG1822" s="1" t="str">
        <f>IF(AND(Table1[[#This Row],[Spec Type2]]="N/A",Table1[[#This Row],[DUT Adj Read]]="N/A",Table1[[#This Row],[Std Adj Read]]="N/A"),"N/A",IF(Table1[[#This Row],[DUT Adj Read]]="N/A",IF(Table1[[#This Row],[Std Adj Read]]&lt;=Table1[[#This Row],[High Tol]],"Pass","Fail"),IF(Table1[[#This Row],[DUT Adj Read]]&lt;=Table1[[#This Row],[High Tol]],"Pass","Fail")))</f>
        <v>Fail</v>
      </c>
      <c r="AH18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2" s="1" t="b">
        <v>0</v>
      </c>
      <c r="AN1822" s="1" t="b">
        <v>0</v>
      </c>
      <c r="AO1822" s="1" t="b">
        <v>0</v>
      </c>
    </row>
    <row r="1823" spans="1:41" x14ac:dyDescent="0.25">
      <c r="A1823" s="10"/>
      <c r="B1823" s="10"/>
      <c r="C1823" s="10"/>
      <c r="D1823" s="10"/>
      <c r="E1823" s="10"/>
      <c r="F1823" s="10"/>
      <c r="G1823" s="10"/>
      <c r="H1823" s="10"/>
      <c r="I1823" s="1" t="str">
        <f t="shared" si="84"/>
        <v/>
      </c>
      <c r="J1823" s="1" t="s">
        <v>35</v>
      </c>
      <c r="K1823" s="1" t="str">
        <f t="shared" si="85"/>
        <v/>
      </c>
      <c r="L1823" s="1" t="str">
        <f t="shared" si="86"/>
        <v/>
      </c>
      <c r="M1823" s="1">
        <f>IF(OR(Table1[[#This Row],[Std Nom]]="",Table1[[#This Row],[Std Read]]=""),0,Table1[[#This Row],[Std Nom]]-Table1[[#This Row],[Std Read]])</f>
        <v>0</v>
      </c>
      <c r="N1823" s="1">
        <f>IF(Calculations!$F$5="ACCREDITED 17025 WITH UNCERTAINTIES",$N$10,0)</f>
        <v>0</v>
      </c>
      <c r="O1823" s="1" t="str">
        <f>IFERROR(Table1[[#This Row],[Std Nom]]-(_xlfn.XLOOKUP(Table1[[#This Row],[Manufacturer]]&amp;" "&amp;Table1[[#This Row],[Model]],Table13[MFR &amp; MDL],Table13[Tolerance % CW ],"")/100*Table1[[#This Row],[Std Nom]]),"")</f>
        <v/>
      </c>
      <c r="P1823" s="1" t="str">
        <f>IFERROR(Table1[[#This Row],[Std Nom]]+(_xlfn.XLOOKUP(Table1[[#This Row],[Manufacturer]]&amp;" "&amp;Table1[[#This Row],[Model]],Table13[MFR &amp; MDL],Table13[Tolerance % CW ],"")/100*Table1[[#This Row],[Std Nom]]),"")</f>
        <v/>
      </c>
      <c r="Q1823" s="1" t="e">
        <f>Table1[[#This Row],[High Tol]]-Table1[[#This Row],[Low Tol]]</f>
        <v>#VALUE!</v>
      </c>
      <c r="R1823" s="1">
        <f>2*Table1[[#This Row],[Std Error]]</f>
        <v>0</v>
      </c>
      <c r="S1823" s="1" t="str">
        <f>IF(Table1[[#This Row],[High Tol]]="","N/A",IFERROR(ABS(Table1[[#This Row],[Tol Span]]/Table1[[#This Row],[Error Span]]),"N/A"))</f>
        <v>N/A</v>
      </c>
      <c r="T1823" s="1" t="str">
        <f>IF(OR(Table1[[#This Row],[Low Tol]]="",Table1[[#This Row],[High Tol]]=""),"Needs Analysis",IF(Table1[[#This Row],[Ratio]]&gt;=4,"Not Significant",IF(Table1[[#This Row],[Ratio]]&gt;=2,"Semi-Significant","Significant")))</f>
        <v>Needs Analysis</v>
      </c>
      <c r="W1823" s="1">
        <f>IF(Table1[[#This Row],[Cal Type]]&lt;&gt;"ACCREDITED 17025 WITH UNCERTAINTIES",0,"")</f>
        <v>0</v>
      </c>
      <c r="X1823" s="1" t="str">
        <f>IF(Table1[[#This Row],[DUT Read]]="","N/A",Table1[[#This Row],[Std Error]]+Table1[[#This Row],[DUT Read]]+Table1[[#This Row],[DUT Ucty]])</f>
        <v>N/A</v>
      </c>
      <c r="Y1823" s="1" t="str">
        <f>IF(Table1[[#This Row],[Std Read]]="","N/A",Table1[[#This Row],[Std Read]]+Table1[[#This Row],[Std Ucty]])</f>
        <v>N/A</v>
      </c>
      <c r="Z18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3" s="1" t="str">
        <f>IF(Table1[[#This Row],[Spec Type]]="","N/A",Table1[[#This Row],[Spec Type]])</f>
        <v>±</v>
      </c>
      <c r="AC1823" s="1" t="str">
        <f>IF(Table1[[#This Row],[Spec Type2]]="N/A","N/A",IF(AND(Table1[[#This Row],[DUT Adj Read]]&gt;=Table1[[#This Row],[Low Tol]],Table1[[#This Row],[DUT Adj Read]]&lt;=Table1[[#This Row],[High Tol]]),"Pass","Fail"))</f>
        <v>Fail</v>
      </c>
      <c r="AD1823" s="1" t="str">
        <f>IF(AND(Table1[[#This Row],[Spec Type2]]="N/A",Table1[[#This Row],[DUT Adj Read]]="N/A",Table1[[#This Row],[Std Adj Read]]="N/A"),"N/A",IF(Table1[[#This Row],[DUT Adj Read]]="N/A",IF(Table1[[#This Row],[Std Adj Read]]&gt;Table1[[#This Row],[Low Tol]],"Pass","Fail"),IF(Table1[[#This Row],[DUT Adj Read]]&gt;Table1[[#This Row],[Low Tol]],"Pass","Fail")))</f>
        <v>Pass</v>
      </c>
      <c r="AE1823" s="1" t="str">
        <f>IF(AND(Table1[[#This Row],[Spec Type2]]="N/A",Table1[[#This Row],[DUT Adj Read]]="N/A",Table1[[#This Row],[Std Adj Read]]="N/A"),"N/A",IF(Table1[[#This Row],[DUT Adj Read]]="N/A",IF(Table1[[#This Row],[Std Adj Read]]&lt;Table1[[#This Row],[High Tol]],"Pass","Fail"),IF(Table1[[#This Row],[DUT Adj Read]]&lt;Table1[[#This Row],[High Tol]],"Pass","Fail")))</f>
        <v>Fail</v>
      </c>
      <c r="AF1823" s="1" t="str">
        <f>IF(AND(Table1[[#This Row],[Spec Type2]]="N/A",Table1[[#This Row],[DUT Adj Read]]="N/A",Table1[[#This Row],[Std Adj Read]]="N/A"),"N/A",IF(Table1[[#This Row],[DUT Adj Read]]="N/A",IF(Table1[[#This Row],[Std Adj Read]]&gt;=Table1[[#This Row],[Low Tol]],"Pass","Fail"),IF(Table1[[#This Row],[DUT Adj Read]]&gt;=Table1[[#This Row],[Low Tol]],"Pass","Fail")))</f>
        <v>Pass</v>
      </c>
      <c r="AG1823" s="1" t="str">
        <f>IF(AND(Table1[[#This Row],[Spec Type2]]="N/A",Table1[[#This Row],[DUT Adj Read]]="N/A",Table1[[#This Row],[Std Adj Read]]="N/A"),"N/A",IF(Table1[[#This Row],[DUT Adj Read]]="N/A",IF(Table1[[#This Row],[Std Adj Read]]&lt;=Table1[[#This Row],[High Tol]],"Pass","Fail"),IF(Table1[[#This Row],[DUT Adj Read]]&lt;=Table1[[#This Row],[High Tol]],"Pass","Fail")))</f>
        <v>Fail</v>
      </c>
      <c r="AH18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3" s="1" t="b">
        <v>0</v>
      </c>
      <c r="AN1823" s="1" t="b">
        <v>0</v>
      </c>
      <c r="AO1823" s="1" t="b">
        <v>0</v>
      </c>
    </row>
    <row r="1824" spans="1:41" x14ac:dyDescent="0.25">
      <c r="A1824" s="10"/>
      <c r="B1824" s="10"/>
      <c r="C1824" s="10"/>
      <c r="D1824" s="10"/>
      <c r="E1824" s="10"/>
      <c r="F1824" s="10"/>
      <c r="G1824" s="10"/>
      <c r="H1824" s="10"/>
      <c r="I1824" s="1" t="str">
        <f t="shared" si="84"/>
        <v/>
      </c>
      <c r="J1824" s="1" t="s">
        <v>35</v>
      </c>
      <c r="K1824" s="1" t="str">
        <f t="shared" si="85"/>
        <v/>
      </c>
      <c r="L1824" s="1" t="str">
        <f t="shared" si="86"/>
        <v/>
      </c>
      <c r="M1824" s="1">
        <f>IF(OR(Table1[[#This Row],[Std Nom]]="",Table1[[#This Row],[Std Read]]=""),0,Table1[[#This Row],[Std Nom]]-Table1[[#This Row],[Std Read]])</f>
        <v>0</v>
      </c>
      <c r="N1824" s="1">
        <f>IF(Calculations!$F$5="ACCREDITED 17025 WITH UNCERTAINTIES",$N$10,0)</f>
        <v>0</v>
      </c>
      <c r="O1824" s="1" t="str">
        <f>IFERROR(Table1[[#This Row],[Std Nom]]-(_xlfn.XLOOKUP(Table1[[#This Row],[Manufacturer]]&amp;" "&amp;Table1[[#This Row],[Model]],Table13[MFR &amp; MDL],Table13[Tolerance % CW ],"")/100*Table1[[#This Row],[Std Nom]]),"")</f>
        <v/>
      </c>
      <c r="P1824" s="1" t="str">
        <f>IFERROR(Table1[[#This Row],[Std Nom]]+(_xlfn.XLOOKUP(Table1[[#This Row],[Manufacturer]]&amp;" "&amp;Table1[[#This Row],[Model]],Table13[MFR &amp; MDL],Table13[Tolerance % CW ],"")/100*Table1[[#This Row],[Std Nom]]),"")</f>
        <v/>
      </c>
      <c r="Q1824" s="1" t="e">
        <f>Table1[[#This Row],[High Tol]]-Table1[[#This Row],[Low Tol]]</f>
        <v>#VALUE!</v>
      </c>
      <c r="R1824" s="1">
        <f>2*Table1[[#This Row],[Std Error]]</f>
        <v>0</v>
      </c>
      <c r="S1824" s="1" t="str">
        <f>IF(Table1[[#This Row],[High Tol]]="","N/A",IFERROR(ABS(Table1[[#This Row],[Tol Span]]/Table1[[#This Row],[Error Span]]),"N/A"))</f>
        <v>N/A</v>
      </c>
      <c r="T1824" s="1" t="str">
        <f>IF(OR(Table1[[#This Row],[Low Tol]]="",Table1[[#This Row],[High Tol]]=""),"Needs Analysis",IF(Table1[[#This Row],[Ratio]]&gt;=4,"Not Significant",IF(Table1[[#This Row],[Ratio]]&gt;=2,"Semi-Significant","Significant")))</f>
        <v>Needs Analysis</v>
      </c>
      <c r="W1824" s="1">
        <f>IF(Table1[[#This Row],[Cal Type]]&lt;&gt;"ACCREDITED 17025 WITH UNCERTAINTIES",0,"")</f>
        <v>0</v>
      </c>
      <c r="X1824" s="1" t="str">
        <f>IF(Table1[[#This Row],[DUT Read]]="","N/A",Table1[[#This Row],[Std Error]]+Table1[[#This Row],[DUT Read]]+Table1[[#This Row],[DUT Ucty]])</f>
        <v>N/A</v>
      </c>
      <c r="Y1824" s="1" t="str">
        <f>IF(Table1[[#This Row],[Std Read]]="","N/A",Table1[[#This Row],[Std Read]]+Table1[[#This Row],[Std Ucty]])</f>
        <v>N/A</v>
      </c>
      <c r="Z18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4" s="1" t="str">
        <f>IF(Table1[[#This Row],[Spec Type]]="","N/A",Table1[[#This Row],[Spec Type]])</f>
        <v>±</v>
      </c>
      <c r="AC1824" s="1" t="str">
        <f>IF(Table1[[#This Row],[Spec Type2]]="N/A","N/A",IF(AND(Table1[[#This Row],[DUT Adj Read]]&gt;=Table1[[#This Row],[Low Tol]],Table1[[#This Row],[DUT Adj Read]]&lt;=Table1[[#This Row],[High Tol]]),"Pass","Fail"))</f>
        <v>Fail</v>
      </c>
      <c r="AD1824" s="1" t="str">
        <f>IF(AND(Table1[[#This Row],[Spec Type2]]="N/A",Table1[[#This Row],[DUT Adj Read]]="N/A",Table1[[#This Row],[Std Adj Read]]="N/A"),"N/A",IF(Table1[[#This Row],[DUT Adj Read]]="N/A",IF(Table1[[#This Row],[Std Adj Read]]&gt;Table1[[#This Row],[Low Tol]],"Pass","Fail"),IF(Table1[[#This Row],[DUT Adj Read]]&gt;Table1[[#This Row],[Low Tol]],"Pass","Fail")))</f>
        <v>Pass</v>
      </c>
      <c r="AE1824" s="1" t="str">
        <f>IF(AND(Table1[[#This Row],[Spec Type2]]="N/A",Table1[[#This Row],[DUT Adj Read]]="N/A",Table1[[#This Row],[Std Adj Read]]="N/A"),"N/A",IF(Table1[[#This Row],[DUT Adj Read]]="N/A",IF(Table1[[#This Row],[Std Adj Read]]&lt;Table1[[#This Row],[High Tol]],"Pass","Fail"),IF(Table1[[#This Row],[DUT Adj Read]]&lt;Table1[[#This Row],[High Tol]],"Pass","Fail")))</f>
        <v>Fail</v>
      </c>
      <c r="AF1824" s="1" t="str">
        <f>IF(AND(Table1[[#This Row],[Spec Type2]]="N/A",Table1[[#This Row],[DUT Adj Read]]="N/A",Table1[[#This Row],[Std Adj Read]]="N/A"),"N/A",IF(Table1[[#This Row],[DUT Adj Read]]="N/A",IF(Table1[[#This Row],[Std Adj Read]]&gt;=Table1[[#This Row],[Low Tol]],"Pass","Fail"),IF(Table1[[#This Row],[DUT Adj Read]]&gt;=Table1[[#This Row],[Low Tol]],"Pass","Fail")))</f>
        <v>Pass</v>
      </c>
      <c r="AG1824" s="1" t="str">
        <f>IF(AND(Table1[[#This Row],[Spec Type2]]="N/A",Table1[[#This Row],[DUT Adj Read]]="N/A",Table1[[#This Row],[Std Adj Read]]="N/A"),"N/A",IF(Table1[[#This Row],[DUT Adj Read]]="N/A",IF(Table1[[#This Row],[Std Adj Read]]&lt;=Table1[[#This Row],[High Tol]],"Pass","Fail"),IF(Table1[[#This Row],[DUT Adj Read]]&lt;=Table1[[#This Row],[High Tol]],"Pass","Fail")))</f>
        <v>Fail</v>
      </c>
      <c r="AH18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4" s="1" t="b">
        <v>0</v>
      </c>
      <c r="AN1824" s="1" t="b">
        <v>0</v>
      </c>
      <c r="AO1824" s="1" t="b">
        <v>0</v>
      </c>
    </row>
    <row r="1825" spans="1:41" x14ac:dyDescent="0.25">
      <c r="A1825" s="10"/>
      <c r="B1825" s="10"/>
      <c r="C1825" s="10"/>
      <c r="D1825" s="10"/>
      <c r="E1825" s="10"/>
      <c r="F1825" s="10"/>
      <c r="G1825" s="10"/>
      <c r="H1825" s="10"/>
      <c r="I1825" s="1" t="str">
        <f t="shared" si="84"/>
        <v/>
      </c>
      <c r="J1825" s="1" t="s">
        <v>35</v>
      </c>
      <c r="K1825" s="1" t="str">
        <f t="shared" si="85"/>
        <v/>
      </c>
      <c r="L1825" s="1" t="str">
        <f t="shared" si="86"/>
        <v/>
      </c>
      <c r="M1825" s="1">
        <f>IF(OR(Table1[[#This Row],[Std Nom]]="",Table1[[#This Row],[Std Read]]=""),0,Table1[[#This Row],[Std Nom]]-Table1[[#This Row],[Std Read]])</f>
        <v>0</v>
      </c>
      <c r="N1825" s="1">
        <f>IF(Calculations!$F$5="ACCREDITED 17025 WITH UNCERTAINTIES",$N$10,0)</f>
        <v>0</v>
      </c>
      <c r="O1825" s="1" t="str">
        <f>IFERROR(Table1[[#This Row],[Std Nom]]-(_xlfn.XLOOKUP(Table1[[#This Row],[Manufacturer]]&amp;" "&amp;Table1[[#This Row],[Model]],Table13[MFR &amp; MDL],Table13[Tolerance % CW ],"")/100*Table1[[#This Row],[Std Nom]]),"")</f>
        <v/>
      </c>
      <c r="P1825" s="1" t="str">
        <f>IFERROR(Table1[[#This Row],[Std Nom]]+(_xlfn.XLOOKUP(Table1[[#This Row],[Manufacturer]]&amp;" "&amp;Table1[[#This Row],[Model]],Table13[MFR &amp; MDL],Table13[Tolerance % CW ],"")/100*Table1[[#This Row],[Std Nom]]),"")</f>
        <v/>
      </c>
      <c r="Q1825" s="1" t="e">
        <f>Table1[[#This Row],[High Tol]]-Table1[[#This Row],[Low Tol]]</f>
        <v>#VALUE!</v>
      </c>
      <c r="R1825" s="1">
        <f>2*Table1[[#This Row],[Std Error]]</f>
        <v>0</v>
      </c>
      <c r="S1825" s="1" t="str">
        <f>IF(Table1[[#This Row],[High Tol]]="","N/A",IFERROR(ABS(Table1[[#This Row],[Tol Span]]/Table1[[#This Row],[Error Span]]),"N/A"))</f>
        <v>N/A</v>
      </c>
      <c r="T1825" s="1" t="str">
        <f>IF(OR(Table1[[#This Row],[Low Tol]]="",Table1[[#This Row],[High Tol]]=""),"Needs Analysis",IF(Table1[[#This Row],[Ratio]]&gt;=4,"Not Significant",IF(Table1[[#This Row],[Ratio]]&gt;=2,"Semi-Significant","Significant")))</f>
        <v>Needs Analysis</v>
      </c>
      <c r="W1825" s="1">
        <f>IF(Table1[[#This Row],[Cal Type]]&lt;&gt;"ACCREDITED 17025 WITH UNCERTAINTIES",0,"")</f>
        <v>0</v>
      </c>
      <c r="X1825" s="1" t="str">
        <f>IF(Table1[[#This Row],[DUT Read]]="","N/A",Table1[[#This Row],[Std Error]]+Table1[[#This Row],[DUT Read]]+Table1[[#This Row],[DUT Ucty]])</f>
        <v>N/A</v>
      </c>
      <c r="Y1825" s="1" t="str">
        <f>IF(Table1[[#This Row],[Std Read]]="","N/A",Table1[[#This Row],[Std Read]]+Table1[[#This Row],[Std Ucty]])</f>
        <v>N/A</v>
      </c>
      <c r="Z18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5" s="1" t="str">
        <f>IF(Table1[[#This Row],[Spec Type]]="","N/A",Table1[[#This Row],[Spec Type]])</f>
        <v>±</v>
      </c>
      <c r="AC1825" s="1" t="str">
        <f>IF(Table1[[#This Row],[Spec Type2]]="N/A","N/A",IF(AND(Table1[[#This Row],[DUT Adj Read]]&gt;=Table1[[#This Row],[Low Tol]],Table1[[#This Row],[DUT Adj Read]]&lt;=Table1[[#This Row],[High Tol]]),"Pass","Fail"))</f>
        <v>Fail</v>
      </c>
      <c r="AD1825" s="1" t="str">
        <f>IF(AND(Table1[[#This Row],[Spec Type2]]="N/A",Table1[[#This Row],[DUT Adj Read]]="N/A",Table1[[#This Row],[Std Adj Read]]="N/A"),"N/A",IF(Table1[[#This Row],[DUT Adj Read]]="N/A",IF(Table1[[#This Row],[Std Adj Read]]&gt;Table1[[#This Row],[Low Tol]],"Pass","Fail"),IF(Table1[[#This Row],[DUT Adj Read]]&gt;Table1[[#This Row],[Low Tol]],"Pass","Fail")))</f>
        <v>Pass</v>
      </c>
      <c r="AE1825" s="1" t="str">
        <f>IF(AND(Table1[[#This Row],[Spec Type2]]="N/A",Table1[[#This Row],[DUT Adj Read]]="N/A",Table1[[#This Row],[Std Adj Read]]="N/A"),"N/A",IF(Table1[[#This Row],[DUT Adj Read]]="N/A",IF(Table1[[#This Row],[Std Adj Read]]&lt;Table1[[#This Row],[High Tol]],"Pass","Fail"),IF(Table1[[#This Row],[DUT Adj Read]]&lt;Table1[[#This Row],[High Tol]],"Pass","Fail")))</f>
        <v>Fail</v>
      </c>
      <c r="AF1825" s="1" t="str">
        <f>IF(AND(Table1[[#This Row],[Spec Type2]]="N/A",Table1[[#This Row],[DUT Adj Read]]="N/A",Table1[[#This Row],[Std Adj Read]]="N/A"),"N/A",IF(Table1[[#This Row],[DUT Adj Read]]="N/A",IF(Table1[[#This Row],[Std Adj Read]]&gt;=Table1[[#This Row],[Low Tol]],"Pass","Fail"),IF(Table1[[#This Row],[DUT Adj Read]]&gt;=Table1[[#This Row],[Low Tol]],"Pass","Fail")))</f>
        <v>Pass</v>
      </c>
      <c r="AG1825" s="1" t="str">
        <f>IF(AND(Table1[[#This Row],[Spec Type2]]="N/A",Table1[[#This Row],[DUT Adj Read]]="N/A",Table1[[#This Row],[Std Adj Read]]="N/A"),"N/A",IF(Table1[[#This Row],[DUT Adj Read]]="N/A",IF(Table1[[#This Row],[Std Adj Read]]&lt;=Table1[[#This Row],[High Tol]],"Pass","Fail"),IF(Table1[[#This Row],[DUT Adj Read]]&lt;=Table1[[#This Row],[High Tol]],"Pass","Fail")))</f>
        <v>Fail</v>
      </c>
      <c r="AH18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5" s="1" t="b">
        <v>0</v>
      </c>
      <c r="AN1825" s="1" t="b">
        <v>0</v>
      </c>
      <c r="AO1825" s="1" t="b">
        <v>0</v>
      </c>
    </row>
    <row r="1826" spans="1:41" x14ac:dyDescent="0.25">
      <c r="A1826" s="10"/>
      <c r="B1826" s="10"/>
      <c r="C1826" s="10"/>
      <c r="D1826" s="10"/>
      <c r="E1826" s="10"/>
      <c r="F1826" s="10"/>
      <c r="G1826" s="10"/>
      <c r="H1826" s="10"/>
      <c r="I1826" s="1" t="str">
        <f t="shared" si="84"/>
        <v/>
      </c>
      <c r="J1826" s="1" t="s">
        <v>35</v>
      </c>
      <c r="K1826" s="1" t="str">
        <f t="shared" si="85"/>
        <v/>
      </c>
      <c r="L1826" s="1" t="str">
        <f t="shared" si="86"/>
        <v/>
      </c>
      <c r="M1826" s="1">
        <f>IF(OR(Table1[[#This Row],[Std Nom]]="",Table1[[#This Row],[Std Read]]=""),0,Table1[[#This Row],[Std Nom]]-Table1[[#This Row],[Std Read]])</f>
        <v>0</v>
      </c>
      <c r="N1826" s="1">
        <f>IF(Calculations!$F$5="ACCREDITED 17025 WITH UNCERTAINTIES",$N$10,0)</f>
        <v>0</v>
      </c>
      <c r="O1826" s="1" t="str">
        <f>IFERROR(Table1[[#This Row],[Std Nom]]-(_xlfn.XLOOKUP(Table1[[#This Row],[Manufacturer]]&amp;" "&amp;Table1[[#This Row],[Model]],Table13[MFR &amp; MDL],Table13[Tolerance % CW ],"")/100*Table1[[#This Row],[Std Nom]]),"")</f>
        <v/>
      </c>
      <c r="P1826" s="1" t="str">
        <f>IFERROR(Table1[[#This Row],[Std Nom]]+(_xlfn.XLOOKUP(Table1[[#This Row],[Manufacturer]]&amp;" "&amp;Table1[[#This Row],[Model]],Table13[MFR &amp; MDL],Table13[Tolerance % CW ],"")/100*Table1[[#This Row],[Std Nom]]),"")</f>
        <v/>
      </c>
      <c r="Q1826" s="1" t="e">
        <f>Table1[[#This Row],[High Tol]]-Table1[[#This Row],[Low Tol]]</f>
        <v>#VALUE!</v>
      </c>
      <c r="R1826" s="1">
        <f>2*Table1[[#This Row],[Std Error]]</f>
        <v>0</v>
      </c>
      <c r="S1826" s="1" t="str">
        <f>IF(Table1[[#This Row],[High Tol]]="","N/A",IFERROR(ABS(Table1[[#This Row],[Tol Span]]/Table1[[#This Row],[Error Span]]),"N/A"))</f>
        <v>N/A</v>
      </c>
      <c r="T1826" s="1" t="str">
        <f>IF(OR(Table1[[#This Row],[Low Tol]]="",Table1[[#This Row],[High Tol]]=""),"Needs Analysis",IF(Table1[[#This Row],[Ratio]]&gt;=4,"Not Significant",IF(Table1[[#This Row],[Ratio]]&gt;=2,"Semi-Significant","Significant")))</f>
        <v>Needs Analysis</v>
      </c>
      <c r="W1826" s="1">
        <f>IF(Table1[[#This Row],[Cal Type]]&lt;&gt;"ACCREDITED 17025 WITH UNCERTAINTIES",0,"")</f>
        <v>0</v>
      </c>
      <c r="X1826" s="1" t="str">
        <f>IF(Table1[[#This Row],[DUT Read]]="","N/A",Table1[[#This Row],[Std Error]]+Table1[[#This Row],[DUT Read]]+Table1[[#This Row],[DUT Ucty]])</f>
        <v>N/A</v>
      </c>
      <c r="Y1826" s="1" t="str">
        <f>IF(Table1[[#This Row],[Std Read]]="","N/A",Table1[[#This Row],[Std Read]]+Table1[[#This Row],[Std Ucty]])</f>
        <v>N/A</v>
      </c>
      <c r="Z18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6" s="1" t="str">
        <f>IF(Table1[[#This Row],[Spec Type]]="","N/A",Table1[[#This Row],[Spec Type]])</f>
        <v>±</v>
      </c>
      <c r="AC1826" s="1" t="str">
        <f>IF(Table1[[#This Row],[Spec Type2]]="N/A","N/A",IF(AND(Table1[[#This Row],[DUT Adj Read]]&gt;=Table1[[#This Row],[Low Tol]],Table1[[#This Row],[DUT Adj Read]]&lt;=Table1[[#This Row],[High Tol]]),"Pass","Fail"))</f>
        <v>Fail</v>
      </c>
      <c r="AD1826" s="1" t="str">
        <f>IF(AND(Table1[[#This Row],[Spec Type2]]="N/A",Table1[[#This Row],[DUT Adj Read]]="N/A",Table1[[#This Row],[Std Adj Read]]="N/A"),"N/A",IF(Table1[[#This Row],[DUT Adj Read]]="N/A",IF(Table1[[#This Row],[Std Adj Read]]&gt;Table1[[#This Row],[Low Tol]],"Pass","Fail"),IF(Table1[[#This Row],[DUT Adj Read]]&gt;Table1[[#This Row],[Low Tol]],"Pass","Fail")))</f>
        <v>Pass</v>
      </c>
      <c r="AE1826" s="1" t="str">
        <f>IF(AND(Table1[[#This Row],[Spec Type2]]="N/A",Table1[[#This Row],[DUT Adj Read]]="N/A",Table1[[#This Row],[Std Adj Read]]="N/A"),"N/A",IF(Table1[[#This Row],[DUT Adj Read]]="N/A",IF(Table1[[#This Row],[Std Adj Read]]&lt;Table1[[#This Row],[High Tol]],"Pass","Fail"),IF(Table1[[#This Row],[DUT Adj Read]]&lt;Table1[[#This Row],[High Tol]],"Pass","Fail")))</f>
        <v>Fail</v>
      </c>
      <c r="AF1826" s="1" t="str">
        <f>IF(AND(Table1[[#This Row],[Spec Type2]]="N/A",Table1[[#This Row],[DUT Adj Read]]="N/A",Table1[[#This Row],[Std Adj Read]]="N/A"),"N/A",IF(Table1[[#This Row],[DUT Adj Read]]="N/A",IF(Table1[[#This Row],[Std Adj Read]]&gt;=Table1[[#This Row],[Low Tol]],"Pass","Fail"),IF(Table1[[#This Row],[DUT Adj Read]]&gt;=Table1[[#This Row],[Low Tol]],"Pass","Fail")))</f>
        <v>Pass</v>
      </c>
      <c r="AG1826" s="1" t="str">
        <f>IF(AND(Table1[[#This Row],[Spec Type2]]="N/A",Table1[[#This Row],[DUT Adj Read]]="N/A",Table1[[#This Row],[Std Adj Read]]="N/A"),"N/A",IF(Table1[[#This Row],[DUT Adj Read]]="N/A",IF(Table1[[#This Row],[Std Adj Read]]&lt;=Table1[[#This Row],[High Tol]],"Pass","Fail"),IF(Table1[[#This Row],[DUT Adj Read]]&lt;=Table1[[#This Row],[High Tol]],"Pass","Fail")))</f>
        <v>Fail</v>
      </c>
      <c r="AH18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6" s="1" t="b">
        <v>0</v>
      </c>
      <c r="AN1826" s="1" t="b">
        <v>0</v>
      </c>
      <c r="AO1826" s="1" t="b">
        <v>0</v>
      </c>
    </row>
    <row r="1827" spans="1:41" x14ac:dyDescent="0.25">
      <c r="A1827" s="10"/>
      <c r="B1827" s="10"/>
      <c r="C1827" s="10"/>
      <c r="D1827" s="10"/>
      <c r="E1827" s="10"/>
      <c r="F1827" s="10"/>
      <c r="G1827" s="10"/>
      <c r="H1827" s="10"/>
      <c r="I1827" s="1" t="str">
        <f t="shared" si="84"/>
        <v/>
      </c>
      <c r="J1827" s="1" t="s">
        <v>35</v>
      </c>
      <c r="K1827" s="1" t="str">
        <f t="shared" si="85"/>
        <v/>
      </c>
      <c r="L1827" s="1" t="str">
        <f t="shared" si="86"/>
        <v/>
      </c>
      <c r="M1827" s="1">
        <f>IF(OR(Table1[[#This Row],[Std Nom]]="",Table1[[#This Row],[Std Read]]=""),0,Table1[[#This Row],[Std Nom]]-Table1[[#This Row],[Std Read]])</f>
        <v>0</v>
      </c>
      <c r="N1827" s="1">
        <f>IF(Calculations!$F$5="ACCREDITED 17025 WITH UNCERTAINTIES",$N$10,0)</f>
        <v>0</v>
      </c>
      <c r="O1827" s="1" t="str">
        <f>IFERROR(Table1[[#This Row],[Std Nom]]-(_xlfn.XLOOKUP(Table1[[#This Row],[Manufacturer]]&amp;" "&amp;Table1[[#This Row],[Model]],Table13[MFR &amp; MDL],Table13[Tolerance % CW ],"")/100*Table1[[#This Row],[Std Nom]]),"")</f>
        <v/>
      </c>
      <c r="P1827" s="1" t="str">
        <f>IFERROR(Table1[[#This Row],[Std Nom]]+(_xlfn.XLOOKUP(Table1[[#This Row],[Manufacturer]]&amp;" "&amp;Table1[[#This Row],[Model]],Table13[MFR &amp; MDL],Table13[Tolerance % CW ],"")/100*Table1[[#This Row],[Std Nom]]),"")</f>
        <v/>
      </c>
      <c r="Q1827" s="1" t="e">
        <f>Table1[[#This Row],[High Tol]]-Table1[[#This Row],[Low Tol]]</f>
        <v>#VALUE!</v>
      </c>
      <c r="R1827" s="1">
        <f>2*Table1[[#This Row],[Std Error]]</f>
        <v>0</v>
      </c>
      <c r="S1827" s="1" t="str">
        <f>IF(Table1[[#This Row],[High Tol]]="","N/A",IFERROR(ABS(Table1[[#This Row],[Tol Span]]/Table1[[#This Row],[Error Span]]),"N/A"))</f>
        <v>N/A</v>
      </c>
      <c r="T1827" s="1" t="str">
        <f>IF(OR(Table1[[#This Row],[Low Tol]]="",Table1[[#This Row],[High Tol]]=""),"Needs Analysis",IF(Table1[[#This Row],[Ratio]]&gt;=4,"Not Significant",IF(Table1[[#This Row],[Ratio]]&gt;=2,"Semi-Significant","Significant")))</f>
        <v>Needs Analysis</v>
      </c>
      <c r="W1827" s="1">
        <f>IF(Table1[[#This Row],[Cal Type]]&lt;&gt;"ACCREDITED 17025 WITH UNCERTAINTIES",0,"")</f>
        <v>0</v>
      </c>
      <c r="X1827" s="1" t="str">
        <f>IF(Table1[[#This Row],[DUT Read]]="","N/A",Table1[[#This Row],[Std Error]]+Table1[[#This Row],[DUT Read]]+Table1[[#This Row],[DUT Ucty]])</f>
        <v>N/A</v>
      </c>
      <c r="Y1827" s="1" t="str">
        <f>IF(Table1[[#This Row],[Std Read]]="","N/A",Table1[[#This Row],[Std Read]]+Table1[[#This Row],[Std Ucty]])</f>
        <v>N/A</v>
      </c>
      <c r="Z18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7" s="1" t="str">
        <f>IF(Table1[[#This Row],[Spec Type]]="","N/A",Table1[[#This Row],[Spec Type]])</f>
        <v>±</v>
      </c>
      <c r="AC1827" s="1" t="str">
        <f>IF(Table1[[#This Row],[Spec Type2]]="N/A","N/A",IF(AND(Table1[[#This Row],[DUT Adj Read]]&gt;=Table1[[#This Row],[Low Tol]],Table1[[#This Row],[DUT Adj Read]]&lt;=Table1[[#This Row],[High Tol]]),"Pass","Fail"))</f>
        <v>Fail</v>
      </c>
      <c r="AD1827" s="1" t="str">
        <f>IF(AND(Table1[[#This Row],[Spec Type2]]="N/A",Table1[[#This Row],[DUT Adj Read]]="N/A",Table1[[#This Row],[Std Adj Read]]="N/A"),"N/A",IF(Table1[[#This Row],[DUT Adj Read]]="N/A",IF(Table1[[#This Row],[Std Adj Read]]&gt;Table1[[#This Row],[Low Tol]],"Pass","Fail"),IF(Table1[[#This Row],[DUT Adj Read]]&gt;Table1[[#This Row],[Low Tol]],"Pass","Fail")))</f>
        <v>Pass</v>
      </c>
      <c r="AE1827" s="1" t="str">
        <f>IF(AND(Table1[[#This Row],[Spec Type2]]="N/A",Table1[[#This Row],[DUT Adj Read]]="N/A",Table1[[#This Row],[Std Adj Read]]="N/A"),"N/A",IF(Table1[[#This Row],[DUT Adj Read]]="N/A",IF(Table1[[#This Row],[Std Adj Read]]&lt;Table1[[#This Row],[High Tol]],"Pass","Fail"),IF(Table1[[#This Row],[DUT Adj Read]]&lt;Table1[[#This Row],[High Tol]],"Pass","Fail")))</f>
        <v>Fail</v>
      </c>
      <c r="AF1827" s="1" t="str">
        <f>IF(AND(Table1[[#This Row],[Spec Type2]]="N/A",Table1[[#This Row],[DUT Adj Read]]="N/A",Table1[[#This Row],[Std Adj Read]]="N/A"),"N/A",IF(Table1[[#This Row],[DUT Adj Read]]="N/A",IF(Table1[[#This Row],[Std Adj Read]]&gt;=Table1[[#This Row],[Low Tol]],"Pass","Fail"),IF(Table1[[#This Row],[DUT Adj Read]]&gt;=Table1[[#This Row],[Low Tol]],"Pass","Fail")))</f>
        <v>Pass</v>
      </c>
      <c r="AG1827" s="1" t="str">
        <f>IF(AND(Table1[[#This Row],[Spec Type2]]="N/A",Table1[[#This Row],[DUT Adj Read]]="N/A",Table1[[#This Row],[Std Adj Read]]="N/A"),"N/A",IF(Table1[[#This Row],[DUT Adj Read]]="N/A",IF(Table1[[#This Row],[Std Adj Read]]&lt;=Table1[[#This Row],[High Tol]],"Pass","Fail"),IF(Table1[[#This Row],[DUT Adj Read]]&lt;=Table1[[#This Row],[High Tol]],"Pass","Fail")))</f>
        <v>Fail</v>
      </c>
      <c r="AH18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7" s="1" t="b">
        <v>0</v>
      </c>
      <c r="AN1827" s="1" t="b">
        <v>0</v>
      </c>
      <c r="AO1827" s="1" t="b">
        <v>0</v>
      </c>
    </row>
    <row r="1828" spans="1:41" x14ac:dyDescent="0.25">
      <c r="A1828" s="10"/>
      <c r="B1828" s="10"/>
      <c r="C1828" s="10"/>
      <c r="D1828" s="10"/>
      <c r="E1828" s="10"/>
      <c r="F1828" s="10"/>
      <c r="G1828" s="10"/>
      <c r="H1828" s="10"/>
      <c r="I1828" s="1" t="str">
        <f t="shared" si="84"/>
        <v/>
      </c>
      <c r="J1828" s="1" t="s">
        <v>35</v>
      </c>
      <c r="K1828" s="1" t="str">
        <f t="shared" si="85"/>
        <v/>
      </c>
      <c r="L1828" s="1" t="str">
        <f t="shared" si="86"/>
        <v/>
      </c>
      <c r="M1828" s="1">
        <f>IF(OR(Table1[[#This Row],[Std Nom]]="",Table1[[#This Row],[Std Read]]=""),0,Table1[[#This Row],[Std Nom]]-Table1[[#This Row],[Std Read]])</f>
        <v>0</v>
      </c>
      <c r="N1828" s="1">
        <f>IF(Calculations!$F$5="ACCREDITED 17025 WITH UNCERTAINTIES",$N$10,0)</f>
        <v>0</v>
      </c>
      <c r="O1828" s="1" t="str">
        <f>IFERROR(Table1[[#This Row],[Std Nom]]-(_xlfn.XLOOKUP(Table1[[#This Row],[Manufacturer]]&amp;" "&amp;Table1[[#This Row],[Model]],Table13[MFR &amp; MDL],Table13[Tolerance % CW ],"")/100*Table1[[#This Row],[Std Nom]]),"")</f>
        <v/>
      </c>
      <c r="P1828" s="1" t="str">
        <f>IFERROR(Table1[[#This Row],[Std Nom]]+(_xlfn.XLOOKUP(Table1[[#This Row],[Manufacturer]]&amp;" "&amp;Table1[[#This Row],[Model]],Table13[MFR &amp; MDL],Table13[Tolerance % CW ],"")/100*Table1[[#This Row],[Std Nom]]),"")</f>
        <v/>
      </c>
      <c r="Q1828" s="1" t="e">
        <f>Table1[[#This Row],[High Tol]]-Table1[[#This Row],[Low Tol]]</f>
        <v>#VALUE!</v>
      </c>
      <c r="R1828" s="1">
        <f>2*Table1[[#This Row],[Std Error]]</f>
        <v>0</v>
      </c>
      <c r="S1828" s="1" t="str">
        <f>IF(Table1[[#This Row],[High Tol]]="","N/A",IFERROR(ABS(Table1[[#This Row],[Tol Span]]/Table1[[#This Row],[Error Span]]),"N/A"))</f>
        <v>N/A</v>
      </c>
      <c r="T1828" s="1" t="str">
        <f>IF(OR(Table1[[#This Row],[Low Tol]]="",Table1[[#This Row],[High Tol]]=""),"Needs Analysis",IF(Table1[[#This Row],[Ratio]]&gt;=4,"Not Significant",IF(Table1[[#This Row],[Ratio]]&gt;=2,"Semi-Significant","Significant")))</f>
        <v>Needs Analysis</v>
      </c>
      <c r="W1828" s="1">
        <f>IF(Table1[[#This Row],[Cal Type]]&lt;&gt;"ACCREDITED 17025 WITH UNCERTAINTIES",0,"")</f>
        <v>0</v>
      </c>
      <c r="X1828" s="1" t="str">
        <f>IF(Table1[[#This Row],[DUT Read]]="","N/A",Table1[[#This Row],[Std Error]]+Table1[[#This Row],[DUT Read]]+Table1[[#This Row],[DUT Ucty]])</f>
        <v>N/A</v>
      </c>
      <c r="Y1828" s="1" t="str">
        <f>IF(Table1[[#This Row],[Std Read]]="","N/A",Table1[[#This Row],[Std Read]]+Table1[[#This Row],[Std Ucty]])</f>
        <v>N/A</v>
      </c>
      <c r="Z18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8" s="1" t="str">
        <f>IF(Table1[[#This Row],[Spec Type]]="","N/A",Table1[[#This Row],[Spec Type]])</f>
        <v>±</v>
      </c>
      <c r="AC1828" s="1" t="str">
        <f>IF(Table1[[#This Row],[Spec Type2]]="N/A","N/A",IF(AND(Table1[[#This Row],[DUT Adj Read]]&gt;=Table1[[#This Row],[Low Tol]],Table1[[#This Row],[DUT Adj Read]]&lt;=Table1[[#This Row],[High Tol]]),"Pass","Fail"))</f>
        <v>Fail</v>
      </c>
      <c r="AD1828" s="1" t="str">
        <f>IF(AND(Table1[[#This Row],[Spec Type2]]="N/A",Table1[[#This Row],[DUT Adj Read]]="N/A",Table1[[#This Row],[Std Adj Read]]="N/A"),"N/A",IF(Table1[[#This Row],[DUT Adj Read]]="N/A",IF(Table1[[#This Row],[Std Adj Read]]&gt;Table1[[#This Row],[Low Tol]],"Pass","Fail"),IF(Table1[[#This Row],[DUT Adj Read]]&gt;Table1[[#This Row],[Low Tol]],"Pass","Fail")))</f>
        <v>Pass</v>
      </c>
      <c r="AE1828" s="1" t="str">
        <f>IF(AND(Table1[[#This Row],[Spec Type2]]="N/A",Table1[[#This Row],[DUT Adj Read]]="N/A",Table1[[#This Row],[Std Adj Read]]="N/A"),"N/A",IF(Table1[[#This Row],[DUT Adj Read]]="N/A",IF(Table1[[#This Row],[Std Adj Read]]&lt;Table1[[#This Row],[High Tol]],"Pass","Fail"),IF(Table1[[#This Row],[DUT Adj Read]]&lt;Table1[[#This Row],[High Tol]],"Pass","Fail")))</f>
        <v>Fail</v>
      </c>
      <c r="AF1828" s="1" t="str">
        <f>IF(AND(Table1[[#This Row],[Spec Type2]]="N/A",Table1[[#This Row],[DUT Adj Read]]="N/A",Table1[[#This Row],[Std Adj Read]]="N/A"),"N/A",IF(Table1[[#This Row],[DUT Adj Read]]="N/A",IF(Table1[[#This Row],[Std Adj Read]]&gt;=Table1[[#This Row],[Low Tol]],"Pass","Fail"),IF(Table1[[#This Row],[DUT Adj Read]]&gt;=Table1[[#This Row],[Low Tol]],"Pass","Fail")))</f>
        <v>Pass</v>
      </c>
      <c r="AG1828" s="1" t="str">
        <f>IF(AND(Table1[[#This Row],[Spec Type2]]="N/A",Table1[[#This Row],[DUT Adj Read]]="N/A",Table1[[#This Row],[Std Adj Read]]="N/A"),"N/A",IF(Table1[[#This Row],[DUT Adj Read]]="N/A",IF(Table1[[#This Row],[Std Adj Read]]&lt;=Table1[[#This Row],[High Tol]],"Pass","Fail"),IF(Table1[[#This Row],[DUT Adj Read]]&lt;=Table1[[#This Row],[High Tol]],"Pass","Fail")))</f>
        <v>Fail</v>
      </c>
      <c r="AH18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8" s="1" t="b">
        <v>0</v>
      </c>
      <c r="AN1828" s="1" t="b">
        <v>0</v>
      </c>
      <c r="AO1828" s="1" t="b">
        <v>0</v>
      </c>
    </row>
    <row r="1829" spans="1:41" x14ac:dyDescent="0.25">
      <c r="A1829" s="10"/>
      <c r="B1829" s="10"/>
      <c r="C1829" s="10"/>
      <c r="D1829" s="10"/>
      <c r="E1829" s="10"/>
      <c r="F1829" s="10"/>
      <c r="G1829" s="10"/>
      <c r="H1829" s="10"/>
      <c r="I1829" s="1" t="str">
        <f t="shared" si="84"/>
        <v/>
      </c>
      <c r="J1829" s="1" t="s">
        <v>35</v>
      </c>
      <c r="K1829" s="1" t="str">
        <f t="shared" si="85"/>
        <v/>
      </c>
      <c r="L1829" s="1" t="str">
        <f t="shared" si="86"/>
        <v/>
      </c>
      <c r="M1829" s="1">
        <f>IF(OR(Table1[[#This Row],[Std Nom]]="",Table1[[#This Row],[Std Read]]=""),0,Table1[[#This Row],[Std Nom]]-Table1[[#This Row],[Std Read]])</f>
        <v>0</v>
      </c>
      <c r="N1829" s="1">
        <f>IF(Calculations!$F$5="ACCREDITED 17025 WITH UNCERTAINTIES",$N$10,0)</f>
        <v>0</v>
      </c>
      <c r="O1829" s="1" t="str">
        <f>IFERROR(Table1[[#This Row],[Std Nom]]-(_xlfn.XLOOKUP(Table1[[#This Row],[Manufacturer]]&amp;" "&amp;Table1[[#This Row],[Model]],Table13[MFR &amp; MDL],Table13[Tolerance % CW ],"")/100*Table1[[#This Row],[Std Nom]]),"")</f>
        <v/>
      </c>
      <c r="P1829" s="1" t="str">
        <f>IFERROR(Table1[[#This Row],[Std Nom]]+(_xlfn.XLOOKUP(Table1[[#This Row],[Manufacturer]]&amp;" "&amp;Table1[[#This Row],[Model]],Table13[MFR &amp; MDL],Table13[Tolerance % CW ],"")/100*Table1[[#This Row],[Std Nom]]),"")</f>
        <v/>
      </c>
      <c r="Q1829" s="1" t="e">
        <f>Table1[[#This Row],[High Tol]]-Table1[[#This Row],[Low Tol]]</f>
        <v>#VALUE!</v>
      </c>
      <c r="R1829" s="1">
        <f>2*Table1[[#This Row],[Std Error]]</f>
        <v>0</v>
      </c>
      <c r="S1829" s="1" t="str">
        <f>IF(Table1[[#This Row],[High Tol]]="","N/A",IFERROR(ABS(Table1[[#This Row],[Tol Span]]/Table1[[#This Row],[Error Span]]),"N/A"))</f>
        <v>N/A</v>
      </c>
      <c r="T1829" s="1" t="str">
        <f>IF(OR(Table1[[#This Row],[Low Tol]]="",Table1[[#This Row],[High Tol]]=""),"Needs Analysis",IF(Table1[[#This Row],[Ratio]]&gt;=4,"Not Significant",IF(Table1[[#This Row],[Ratio]]&gt;=2,"Semi-Significant","Significant")))</f>
        <v>Needs Analysis</v>
      </c>
      <c r="W1829" s="1">
        <f>IF(Table1[[#This Row],[Cal Type]]&lt;&gt;"ACCREDITED 17025 WITH UNCERTAINTIES",0,"")</f>
        <v>0</v>
      </c>
      <c r="X1829" s="1" t="str">
        <f>IF(Table1[[#This Row],[DUT Read]]="","N/A",Table1[[#This Row],[Std Error]]+Table1[[#This Row],[DUT Read]]+Table1[[#This Row],[DUT Ucty]])</f>
        <v>N/A</v>
      </c>
      <c r="Y1829" s="1" t="str">
        <f>IF(Table1[[#This Row],[Std Read]]="","N/A",Table1[[#This Row],[Std Read]]+Table1[[#This Row],[Std Ucty]])</f>
        <v>N/A</v>
      </c>
      <c r="Z18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9" s="1" t="str">
        <f>IF(Table1[[#This Row],[Spec Type]]="","N/A",Table1[[#This Row],[Spec Type]])</f>
        <v>±</v>
      </c>
      <c r="AC1829" s="1" t="str">
        <f>IF(Table1[[#This Row],[Spec Type2]]="N/A","N/A",IF(AND(Table1[[#This Row],[DUT Adj Read]]&gt;=Table1[[#This Row],[Low Tol]],Table1[[#This Row],[DUT Adj Read]]&lt;=Table1[[#This Row],[High Tol]]),"Pass","Fail"))</f>
        <v>Fail</v>
      </c>
      <c r="AD1829" s="1" t="str">
        <f>IF(AND(Table1[[#This Row],[Spec Type2]]="N/A",Table1[[#This Row],[DUT Adj Read]]="N/A",Table1[[#This Row],[Std Adj Read]]="N/A"),"N/A",IF(Table1[[#This Row],[DUT Adj Read]]="N/A",IF(Table1[[#This Row],[Std Adj Read]]&gt;Table1[[#This Row],[Low Tol]],"Pass","Fail"),IF(Table1[[#This Row],[DUT Adj Read]]&gt;Table1[[#This Row],[Low Tol]],"Pass","Fail")))</f>
        <v>Pass</v>
      </c>
      <c r="AE1829" s="1" t="str">
        <f>IF(AND(Table1[[#This Row],[Spec Type2]]="N/A",Table1[[#This Row],[DUT Adj Read]]="N/A",Table1[[#This Row],[Std Adj Read]]="N/A"),"N/A",IF(Table1[[#This Row],[DUT Adj Read]]="N/A",IF(Table1[[#This Row],[Std Adj Read]]&lt;Table1[[#This Row],[High Tol]],"Pass","Fail"),IF(Table1[[#This Row],[DUT Adj Read]]&lt;Table1[[#This Row],[High Tol]],"Pass","Fail")))</f>
        <v>Fail</v>
      </c>
      <c r="AF1829" s="1" t="str">
        <f>IF(AND(Table1[[#This Row],[Spec Type2]]="N/A",Table1[[#This Row],[DUT Adj Read]]="N/A",Table1[[#This Row],[Std Adj Read]]="N/A"),"N/A",IF(Table1[[#This Row],[DUT Adj Read]]="N/A",IF(Table1[[#This Row],[Std Adj Read]]&gt;=Table1[[#This Row],[Low Tol]],"Pass","Fail"),IF(Table1[[#This Row],[DUT Adj Read]]&gt;=Table1[[#This Row],[Low Tol]],"Pass","Fail")))</f>
        <v>Pass</v>
      </c>
      <c r="AG1829" s="1" t="str">
        <f>IF(AND(Table1[[#This Row],[Spec Type2]]="N/A",Table1[[#This Row],[DUT Adj Read]]="N/A",Table1[[#This Row],[Std Adj Read]]="N/A"),"N/A",IF(Table1[[#This Row],[DUT Adj Read]]="N/A",IF(Table1[[#This Row],[Std Adj Read]]&lt;=Table1[[#This Row],[High Tol]],"Pass","Fail"),IF(Table1[[#This Row],[DUT Adj Read]]&lt;=Table1[[#This Row],[High Tol]],"Pass","Fail")))</f>
        <v>Fail</v>
      </c>
      <c r="AH18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9" s="1" t="b">
        <v>0</v>
      </c>
      <c r="AN1829" s="1" t="b">
        <v>0</v>
      </c>
      <c r="AO1829" s="1" t="b">
        <v>0</v>
      </c>
    </row>
    <row r="1830" spans="1:41" x14ac:dyDescent="0.25">
      <c r="A1830" s="10"/>
      <c r="B1830" s="10"/>
      <c r="C1830" s="10"/>
      <c r="D1830" s="10"/>
      <c r="E1830" s="10"/>
      <c r="F1830" s="10"/>
      <c r="G1830" s="10"/>
      <c r="H1830" s="10"/>
      <c r="I1830" s="1" t="str">
        <f t="shared" si="84"/>
        <v/>
      </c>
      <c r="J1830" s="1" t="s">
        <v>35</v>
      </c>
      <c r="K1830" s="1" t="str">
        <f t="shared" si="85"/>
        <v/>
      </c>
      <c r="L1830" s="1" t="str">
        <f t="shared" si="86"/>
        <v/>
      </c>
      <c r="M1830" s="1">
        <f>IF(OR(Table1[[#This Row],[Std Nom]]="",Table1[[#This Row],[Std Read]]=""),0,Table1[[#This Row],[Std Nom]]-Table1[[#This Row],[Std Read]])</f>
        <v>0</v>
      </c>
      <c r="N1830" s="1">
        <f>IF(Calculations!$F$5="ACCREDITED 17025 WITH UNCERTAINTIES",$N$10,0)</f>
        <v>0</v>
      </c>
      <c r="O1830" s="1" t="str">
        <f>IFERROR(Table1[[#This Row],[Std Nom]]-(_xlfn.XLOOKUP(Table1[[#This Row],[Manufacturer]]&amp;" "&amp;Table1[[#This Row],[Model]],Table13[MFR &amp; MDL],Table13[Tolerance % CW ],"")/100*Table1[[#This Row],[Std Nom]]),"")</f>
        <v/>
      </c>
      <c r="P1830" s="1" t="str">
        <f>IFERROR(Table1[[#This Row],[Std Nom]]+(_xlfn.XLOOKUP(Table1[[#This Row],[Manufacturer]]&amp;" "&amp;Table1[[#This Row],[Model]],Table13[MFR &amp; MDL],Table13[Tolerance % CW ],"")/100*Table1[[#This Row],[Std Nom]]),"")</f>
        <v/>
      </c>
      <c r="Q1830" s="1" t="e">
        <f>Table1[[#This Row],[High Tol]]-Table1[[#This Row],[Low Tol]]</f>
        <v>#VALUE!</v>
      </c>
      <c r="R1830" s="1">
        <f>2*Table1[[#This Row],[Std Error]]</f>
        <v>0</v>
      </c>
      <c r="S1830" s="1" t="str">
        <f>IF(Table1[[#This Row],[High Tol]]="","N/A",IFERROR(ABS(Table1[[#This Row],[Tol Span]]/Table1[[#This Row],[Error Span]]),"N/A"))</f>
        <v>N/A</v>
      </c>
      <c r="T1830" s="1" t="str">
        <f>IF(OR(Table1[[#This Row],[Low Tol]]="",Table1[[#This Row],[High Tol]]=""),"Needs Analysis",IF(Table1[[#This Row],[Ratio]]&gt;=4,"Not Significant",IF(Table1[[#This Row],[Ratio]]&gt;=2,"Semi-Significant","Significant")))</f>
        <v>Needs Analysis</v>
      </c>
      <c r="W1830" s="1">
        <f>IF(Table1[[#This Row],[Cal Type]]&lt;&gt;"ACCREDITED 17025 WITH UNCERTAINTIES",0,"")</f>
        <v>0</v>
      </c>
      <c r="X1830" s="1" t="str">
        <f>IF(Table1[[#This Row],[DUT Read]]="","N/A",Table1[[#This Row],[Std Error]]+Table1[[#This Row],[DUT Read]]+Table1[[#This Row],[DUT Ucty]])</f>
        <v>N/A</v>
      </c>
      <c r="Y1830" s="1" t="str">
        <f>IF(Table1[[#This Row],[Std Read]]="","N/A",Table1[[#This Row],[Std Read]]+Table1[[#This Row],[Std Ucty]])</f>
        <v>N/A</v>
      </c>
      <c r="Z18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0" s="1" t="str">
        <f>IF(Table1[[#This Row],[Spec Type]]="","N/A",Table1[[#This Row],[Spec Type]])</f>
        <v>±</v>
      </c>
      <c r="AC1830" s="1" t="str">
        <f>IF(Table1[[#This Row],[Spec Type2]]="N/A","N/A",IF(AND(Table1[[#This Row],[DUT Adj Read]]&gt;=Table1[[#This Row],[Low Tol]],Table1[[#This Row],[DUT Adj Read]]&lt;=Table1[[#This Row],[High Tol]]),"Pass","Fail"))</f>
        <v>Fail</v>
      </c>
      <c r="AD1830" s="1" t="str">
        <f>IF(AND(Table1[[#This Row],[Spec Type2]]="N/A",Table1[[#This Row],[DUT Adj Read]]="N/A",Table1[[#This Row],[Std Adj Read]]="N/A"),"N/A",IF(Table1[[#This Row],[DUT Adj Read]]="N/A",IF(Table1[[#This Row],[Std Adj Read]]&gt;Table1[[#This Row],[Low Tol]],"Pass","Fail"),IF(Table1[[#This Row],[DUT Adj Read]]&gt;Table1[[#This Row],[Low Tol]],"Pass","Fail")))</f>
        <v>Pass</v>
      </c>
      <c r="AE1830" s="1" t="str">
        <f>IF(AND(Table1[[#This Row],[Spec Type2]]="N/A",Table1[[#This Row],[DUT Adj Read]]="N/A",Table1[[#This Row],[Std Adj Read]]="N/A"),"N/A",IF(Table1[[#This Row],[DUT Adj Read]]="N/A",IF(Table1[[#This Row],[Std Adj Read]]&lt;Table1[[#This Row],[High Tol]],"Pass","Fail"),IF(Table1[[#This Row],[DUT Adj Read]]&lt;Table1[[#This Row],[High Tol]],"Pass","Fail")))</f>
        <v>Fail</v>
      </c>
      <c r="AF1830" s="1" t="str">
        <f>IF(AND(Table1[[#This Row],[Spec Type2]]="N/A",Table1[[#This Row],[DUT Adj Read]]="N/A",Table1[[#This Row],[Std Adj Read]]="N/A"),"N/A",IF(Table1[[#This Row],[DUT Adj Read]]="N/A",IF(Table1[[#This Row],[Std Adj Read]]&gt;=Table1[[#This Row],[Low Tol]],"Pass","Fail"),IF(Table1[[#This Row],[DUT Adj Read]]&gt;=Table1[[#This Row],[Low Tol]],"Pass","Fail")))</f>
        <v>Pass</v>
      </c>
      <c r="AG1830" s="1" t="str">
        <f>IF(AND(Table1[[#This Row],[Spec Type2]]="N/A",Table1[[#This Row],[DUT Adj Read]]="N/A",Table1[[#This Row],[Std Adj Read]]="N/A"),"N/A",IF(Table1[[#This Row],[DUT Adj Read]]="N/A",IF(Table1[[#This Row],[Std Adj Read]]&lt;=Table1[[#This Row],[High Tol]],"Pass","Fail"),IF(Table1[[#This Row],[DUT Adj Read]]&lt;=Table1[[#This Row],[High Tol]],"Pass","Fail")))</f>
        <v>Fail</v>
      </c>
      <c r="AH18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0" s="1" t="b">
        <v>0</v>
      </c>
      <c r="AN1830" s="1" t="b">
        <v>0</v>
      </c>
      <c r="AO1830" s="1" t="b">
        <v>0</v>
      </c>
    </row>
    <row r="1831" spans="1:41" x14ac:dyDescent="0.25">
      <c r="A1831" s="10"/>
      <c r="B1831" s="10"/>
      <c r="C1831" s="10"/>
      <c r="D1831" s="10"/>
      <c r="E1831" s="10"/>
      <c r="F1831" s="10"/>
      <c r="G1831" s="10"/>
      <c r="H1831" s="10"/>
      <c r="I1831" s="1" t="str">
        <f t="shared" si="84"/>
        <v/>
      </c>
      <c r="J1831" s="1" t="s">
        <v>35</v>
      </c>
      <c r="K1831" s="1" t="str">
        <f t="shared" si="85"/>
        <v/>
      </c>
      <c r="L1831" s="1" t="str">
        <f t="shared" si="86"/>
        <v/>
      </c>
      <c r="M1831" s="1">
        <f>IF(OR(Table1[[#This Row],[Std Nom]]="",Table1[[#This Row],[Std Read]]=""),0,Table1[[#This Row],[Std Nom]]-Table1[[#This Row],[Std Read]])</f>
        <v>0</v>
      </c>
      <c r="N1831" s="1">
        <f>IF(Calculations!$F$5="ACCREDITED 17025 WITH UNCERTAINTIES",$N$10,0)</f>
        <v>0</v>
      </c>
      <c r="O1831" s="1" t="str">
        <f>IFERROR(Table1[[#This Row],[Std Nom]]-(_xlfn.XLOOKUP(Table1[[#This Row],[Manufacturer]]&amp;" "&amp;Table1[[#This Row],[Model]],Table13[MFR &amp; MDL],Table13[Tolerance % CW ],"")/100*Table1[[#This Row],[Std Nom]]),"")</f>
        <v/>
      </c>
      <c r="P1831" s="1" t="str">
        <f>IFERROR(Table1[[#This Row],[Std Nom]]+(_xlfn.XLOOKUP(Table1[[#This Row],[Manufacturer]]&amp;" "&amp;Table1[[#This Row],[Model]],Table13[MFR &amp; MDL],Table13[Tolerance % CW ],"")/100*Table1[[#This Row],[Std Nom]]),"")</f>
        <v/>
      </c>
      <c r="Q1831" s="1" t="e">
        <f>Table1[[#This Row],[High Tol]]-Table1[[#This Row],[Low Tol]]</f>
        <v>#VALUE!</v>
      </c>
      <c r="R1831" s="1">
        <f>2*Table1[[#This Row],[Std Error]]</f>
        <v>0</v>
      </c>
      <c r="S1831" s="1" t="str">
        <f>IF(Table1[[#This Row],[High Tol]]="","N/A",IFERROR(ABS(Table1[[#This Row],[Tol Span]]/Table1[[#This Row],[Error Span]]),"N/A"))</f>
        <v>N/A</v>
      </c>
      <c r="T1831" s="1" t="str">
        <f>IF(OR(Table1[[#This Row],[Low Tol]]="",Table1[[#This Row],[High Tol]]=""),"Needs Analysis",IF(Table1[[#This Row],[Ratio]]&gt;=4,"Not Significant",IF(Table1[[#This Row],[Ratio]]&gt;=2,"Semi-Significant","Significant")))</f>
        <v>Needs Analysis</v>
      </c>
      <c r="W1831" s="1">
        <f>IF(Table1[[#This Row],[Cal Type]]&lt;&gt;"ACCREDITED 17025 WITH UNCERTAINTIES",0,"")</f>
        <v>0</v>
      </c>
      <c r="X1831" s="1" t="str">
        <f>IF(Table1[[#This Row],[DUT Read]]="","N/A",Table1[[#This Row],[Std Error]]+Table1[[#This Row],[DUT Read]]+Table1[[#This Row],[DUT Ucty]])</f>
        <v>N/A</v>
      </c>
      <c r="Y1831" s="1" t="str">
        <f>IF(Table1[[#This Row],[Std Read]]="","N/A",Table1[[#This Row],[Std Read]]+Table1[[#This Row],[Std Ucty]])</f>
        <v>N/A</v>
      </c>
      <c r="Z18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1" s="1" t="str">
        <f>IF(Table1[[#This Row],[Spec Type]]="","N/A",Table1[[#This Row],[Spec Type]])</f>
        <v>±</v>
      </c>
      <c r="AC1831" s="1" t="str">
        <f>IF(Table1[[#This Row],[Spec Type2]]="N/A","N/A",IF(AND(Table1[[#This Row],[DUT Adj Read]]&gt;=Table1[[#This Row],[Low Tol]],Table1[[#This Row],[DUT Adj Read]]&lt;=Table1[[#This Row],[High Tol]]),"Pass","Fail"))</f>
        <v>Fail</v>
      </c>
      <c r="AD1831" s="1" t="str">
        <f>IF(AND(Table1[[#This Row],[Spec Type2]]="N/A",Table1[[#This Row],[DUT Adj Read]]="N/A",Table1[[#This Row],[Std Adj Read]]="N/A"),"N/A",IF(Table1[[#This Row],[DUT Adj Read]]="N/A",IF(Table1[[#This Row],[Std Adj Read]]&gt;Table1[[#This Row],[Low Tol]],"Pass","Fail"),IF(Table1[[#This Row],[DUT Adj Read]]&gt;Table1[[#This Row],[Low Tol]],"Pass","Fail")))</f>
        <v>Pass</v>
      </c>
      <c r="AE1831" s="1" t="str">
        <f>IF(AND(Table1[[#This Row],[Spec Type2]]="N/A",Table1[[#This Row],[DUT Adj Read]]="N/A",Table1[[#This Row],[Std Adj Read]]="N/A"),"N/A",IF(Table1[[#This Row],[DUT Adj Read]]="N/A",IF(Table1[[#This Row],[Std Adj Read]]&lt;Table1[[#This Row],[High Tol]],"Pass","Fail"),IF(Table1[[#This Row],[DUT Adj Read]]&lt;Table1[[#This Row],[High Tol]],"Pass","Fail")))</f>
        <v>Fail</v>
      </c>
      <c r="AF1831" s="1" t="str">
        <f>IF(AND(Table1[[#This Row],[Spec Type2]]="N/A",Table1[[#This Row],[DUT Adj Read]]="N/A",Table1[[#This Row],[Std Adj Read]]="N/A"),"N/A",IF(Table1[[#This Row],[DUT Adj Read]]="N/A",IF(Table1[[#This Row],[Std Adj Read]]&gt;=Table1[[#This Row],[Low Tol]],"Pass","Fail"),IF(Table1[[#This Row],[DUT Adj Read]]&gt;=Table1[[#This Row],[Low Tol]],"Pass","Fail")))</f>
        <v>Pass</v>
      </c>
      <c r="AG1831" s="1" t="str">
        <f>IF(AND(Table1[[#This Row],[Spec Type2]]="N/A",Table1[[#This Row],[DUT Adj Read]]="N/A",Table1[[#This Row],[Std Adj Read]]="N/A"),"N/A",IF(Table1[[#This Row],[DUT Adj Read]]="N/A",IF(Table1[[#This Row],[Std Adj Read]]&lt;=Table1[[#This Row],[High Tol]],"Pass","Fail"),IF(Table1[[#This Row],[DUT Adj Read]]&lt;=Table1[[#This Row],[High Tol]],"Pass","Fail")))</f>
        <v>Fail</v>
      </c>
      <c r="AH18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1" s="1" t="b">
        <v>0</v>
      </c>
      <c r="AN1831" s="1" t="b">
        <v>0</v>
      </c>
      <c r="AO1831" s="1" t="b">
        <v>0</v>
      </c>
    </row>
    <row r="1832" spans="1:41" x14ac:dyDescent="0.25">
      <c r="A1832" s="10"/>
      <c r="B1832" s="10"/>
      <c r="C1832" s="10"/>
      <c r="D1832" s="10"/>
      <c r="E1832" s="10"/>
      <c r="F1832" s="10"/>
      <c r="G1832" s="10"/>
      <c r="H1832" s="10"/>
      <c r="I1832" s="1" t="str">
        <f t="shared" si="84"/>
        <v/>
      </c>
      <c r="J1832" s="1" t="s">
        <v>35</v>
      </c>
      <c r="K1832" s="1" t="str">
        <f t="shared" si="85"/>
        <v/>
      </c>
      <c r="L1832" s="1" t="str">
        <f t="shared" si="86"/>
        <v/>
      </c>
      <c r="M1832" s="1">
        <f>IF(OR(Table1[[#This Row],[Std Nom]]="",Table1[[#This Row],[Std Read]]=""),0,Table1[[#This Row],[Std Nom]]-Table1[[#This Row],[Std Read]])</f>
        <v>0</v>
      </c>
      <c r="N1832" s="1">
        <f>IF(Calculations!$F$5="ACCREDITED 17025 WITH UNCERTAINTIES",$N$10,0)</f>
        <v>0</v>
      </c>
      <c r="O1832" s="1" t="str">
        <f>IFERROR(Table1[[#This Row],[Std Nom]]-(_xlfn.XLOOKUP(Table1[[#This Row],[Manufacturer]]&amp;" "&amp;Table1[[#This Row],[Model]],Table13[MFR &amp; MDL],Table13[Tolerance % CW ],"")/100*Table1[[#This Row],[Std Nom]]),"")</f>
        <v/>
      </c>
      <c r="P1832" s="1" t="str">
        <f>IFERROR(Table1[[#This Row],[Std Nom]]+(_xlfn.XLOOKUP(Table1[[#This Row],[Manufacturer]]&amp;" "&amp;Table1[[#This Row],[Model]],Table13[MFR &amp; MDL],Table13[Tolerance % CW ],"")/100*Table1[[#This Row],[Std Nom]]),"")</f>
        <v/>
      </c>
      <c r="Q1832" s="1" t="e">
        <f>Table1[[#This Row],[High Tol]]-Table1[[#This Row],[Low Tol]]</f>
        <v>#VALUE!</v>
      </c>
      <c r="R1832" s="1">
        <f>2*Table1[[#This Row],[Std Error]]</f>
        <v>0</v>
      </c>
      <c r="S1832" s="1" t="str">
        <f>IF(Table1[[#This Row],[High Tol]]="","N/A",IFERROR(ABS(Table1[[#This Row],[Tol Span]]/Table1[[#This Row],[Error Span]]),"N/A"))</f>
        <v>N/A</v>
      </c>
      <c r="T1832" s="1" t="str">
        <f>IF(OR(Table1[[#This Row],[Low Tol]]="",Table1[[#This Row],[High Tol]]=""),"Needs Analysis",IF(Table1[[#This Row],[Ratio]]&gt;=4,"Not Significant",IF(Table1[[#This Row],[Ratio]]&gt;=2,"Semi-Significant","Significant")))</f>
        <v>Needs Analysis</v>
      </c>
      <c r="W1832" s="1">
        <f>IF(Table1[[#This Row],[Cal Type]]&lt;&gt;"ACCREDITED 17025 WITH UNCERTAINTIES",0,"")</f>
        <v>0</v>
      </c>
      <c r="X1832" s="1" t="str">
        <f>IF(Table1[[#This Row],[DUT Read]]="","N/A",Table1[[#This Row],[Std Error]]+Table1[[#This Row],[DUT Read]]+Table1[[#This Row],[DUT Ucty]])</f>
        <v>N/A</v>
      </c>
      <c r="Y1832" s="1" t="str">
        <f>IF(Table1[[#This Row],[Std Read]]="","N/A",Table1[[#This Row],[Std Read]]+Table1[[#This Row],[Std Ucty]])</f>
        <v>N/A</v>
      </c>
      <c r="Z18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2" s="1" t="str">
        <f>IF(Table1[[#This Row],[Spec Type]]="","N/A",Table1[[#This Row],[Spec Type]])</f>
        <v>±</v>
      </c>
      <c r="AC1832" s="1" t="str">
        <f>IF(Table1[[#This Row],[Spec Type2]]="N/A","N/A",IF(AND(Table1[[#This Row],[DUT Adj Read]]&gt;=Table1[[#This Row],[Low Tol]],Table1[[#This Row],[DUT Adj Read]]&lt;=Table1[[#This Row],[High Tol]]),"Pass","Fail"))</f>
        <v>Fail</v>
      </c>
      <c r="AD1832" s="1" t="str">
        <f>IF(AND(Table1[[#This Row],[Spec Type2]]="N/A",Table1[[#This Row],[DUT Adj Read]]="N/A",Table1[[#This Row],[Std Adj Read]]="N/A"),"N/A",IF(Table1[[#This Row],[DUT Adj Read]]="N/A",IF(Table1[[#This Row],[Std Adj Read]]&gt;Table1[[#This Row],[Low Tol]],"Pass","Fail"),IF(Table1[[#This Row],[DUT Adj Read]]&gt;Table1[[#This Row],[Low Tol]],"Pass","Fail")))</f>
        <v>Pass</v>
      </c>
      <c r="AE1832" s="1" t="str">
        <f>IF(AND(Table1[[#This Row],[Spec Type2]]="N/A",Table1[[#This Row],[DUT Adj Read]]="N/A",Table1[[#This Row],[Std Adj Read]]="N/A"),"N/A",IF(Table1[[#This Row],[DUT Adj Read]]="N/A",IF(Table1[[#This Row],[Std Adj Read]]&lt;Table1[[#This Row],[High Tol]],"Pass","Fail"),IF(Table1[[#This Row],[DUT Adj Read]]&lt;Table1[[#This Row],[High Tol]],"Pass","Fail")))</f>
        <v>Fail</v>
      </c>
      <c r="AF1832" s="1" t="str">
        <f>IF(AND(Table1[[#This Row],[Spec Type2]]="N/A",Table1[[#This Row],[DUT Adj Read]]="N/A",Table1[[#This Row],[Std Adj Read]]="N/A"),"N/A",IF(Table1[[#This Row],[DUT Adj Read]]="N/A",IF(Table1[[#This Row],[Std Adj Read]]&gt;=Table1[[#This Row],[Low Tol]],"Pass","Fail"),IF(Table1[[#This Row],[DUT Adj Read]]&gt;=Table1[[#This Row],[Low Tol]],"Pass","Fail")))</f>
        <v>Pass</v>
      </c>
      <c r="AG1832" s="1" t="str">
        <f>IF(AND(Table1[[#This Row],[Spec Type2]]="N/A",Table1[[#This Row],[DUT Adj Read]]="N/A",Table1[[#This Row],[Std Adj Read]]="N/A"),"N/A",IF(Table1[[#This Row],[DUT Adj Read]]="N/A",IF(Table1[[#This Row],[Std Adj Read]]&lt;=Table1[[#This Row],[High Tol]],"Pass","Fail"),IF(Table1[[#This Row],[DUT Adj Read]]&lt;=Table1[[#This Row],[High Tol]],"Pass","Fail")))</f>
        <v>Fail</v>
      </c>
      <c r="AH18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2" s="1" t="b">
        <v>0</v>
      </c>
      <c r="AN1832" s="1" t="b">
        <v>0</v>
      </c>
      <c r="AO1832" s="1" t="b">
        <v>0</v>
      </c>
    </row>
    <row r="1833" spans="1:41" x14ac:dyDescent="0.25">
      <c r="A1833" s="10"/>
      <c r="B1833" s="10"/>
      <c r="C1833" s="10"/>
      <c r="D1833" s="10"/>
      <c r="E1833" s="10"/>
      <c r="F1833" s="10"/>
      <c r="G1833" s="10"/>
      <c r="H1833" s="10"/>
      <c r="I1833" s="1" t="str">
        <f t="shared" si="84"/>
        <v/>
      </c>
      <c r="J1833" s="1" t="s">
        <v>35</v>
      </c>
      <c r="K1833" s="1" t="str">
        <f t="shared" si="85"/>
        <v/>
      </c>
      <c r="L1833" s="1" t="str">
        <f t="shared" si="86"/>
        <v/>
      </c>
      <c r="M1833" s="1">
        <f>IF(OR(Table1[[#This Row],[Std Nom]]="",Table1[[#This Row],[Std Read]]=""),0,Table1[[#This Row],[Std Nom]]-Table1[[#This Row],[Std Read]])</f>
        <v>0</v>
      </c>
      <c r="N1833" s="1">
        <f>IF(Calculations!$F$5="ACCREDITED 17025 WITH UNCERTAINTIES",$N$10,0)</f>
        <v>0</v>
      </c>
      <c r="O1833" s="1" t="str">
        <f>IFERROR(Table1[[#This Row],[Std Nom]]-(_xlfn.XLOOKUP(Table1[[#This Row],[Manufacturer]]&amp;" "&amp;Table1[[#This Row],[Model]],Table13[MFR &amp; MDL],Table13[Tolerance % CW ],"")/100*Table1[[#This Row],[Std Nom]]),"")</f>
        <v/>
      </c>
      <c r="P1833" s="1" t="str">
        <f>IFERROR(Table1[[#This Row],[Std Nom]]+(_xlfn.XLOOKUP(Table1[[#This Row],[Manufacturer]]&amp;" "&amp;Table1[[#This Row],[Model]],Table13[MFR &amp; MDL],Table13[Tolerance % CW ],"")/100*Table1[[#This Row],[Std Nom]]),"")</f>
        <v/>
      </c>
      <c r="Q1833" s="1" t="e">
        <f>Table1[[#This Row],[High Tol]]-Table1[[#This Row],[Low Tol]]</f>
        <v>#VALUE!</v>
      </c>
      <c r="R1833" s="1">
        <f>2*Table1[[#This Row],[Std Error]]</f>
        <v>0</v>
      </c>
      <c r="S1833" s="1" t="str">
        <f>IF(Table1[[#This Row],[High Tol]]="","N/A",IFERROR(ABS(Table1[[#This Row],[Tol Span]]/Table1[[#This Row],[Error Span]]),"N/A"))</f>
        <v>N/A</v>
      </c>
      <c r="T1833" s="1" t="str">
        <f>IF(OR(Table1[[#This Row],[Low Tol]]="",Table1[[#This Row],[High Tol]]=""),"Needs Analysis",IF(Table1[[#This Row],[Ratio]]&gt;=4,"Not Significant",IF(Table1[[#This Row],[Ratio]]&gt;=2,"Semi-Significant","Significant")))</f>
        <v>Needs Analysis</v>
      </c>
      <c r="W1833" s="1">
        <f>IF(Table1[[#This Row],[Cal Type]]&lt;&gt;"ACCREDITED 17025 WITH UNCERTAINTIES",0,"")</f>
        <v>0</v>
      </c>
      <c r="X1833" s="1" t="str">
        <f>IF(Table1[[#This Row],[DUT Read]]="","N/A",Table1[[#This Row],[Std Error]]+Table1[[#This Row],[DUT Read]]+Table1[[#This Row],[DUT Ucty]])</f>
        <v>N/A</v>
      </c>
      <c r="Y1833" s="1" t="str">
        <f>IF(Table1[[#This Row],[Std Read]]="","N/A",Table1[[#This Row],[Std Read]]+Table1[[#This Row],[Std Ucty]])</f>
        <v>N/A</v>
      </c>
      <c r="Z18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3" s="1" t="str">
        <f>IF(Table1[[#This Row],[Spec Type]]="","N/A",Table1[[#This Row],[Spec Type]])</f>
        <v>±</v>
      </c>
      <c r="AC1833" s="1" t="str">
        <f>IF(Table1[[#This Row],[Spec Type2]]="N/A","N/A",IF(AND(Table1[[#This Row],[DUT Adj Read]]&gt;=Table1[[#This Row],[Low Tol]],Table1[[#This Row],[DUT Adj Read]]&lt;=Table1[[#This Row],[High Tol]]),"Pass","Fail"))</f>
        <v>Fail</v>
      </c>
      <c r="AD1833" s="1" t="str">
        <f>IF(AND(Table1[[#This Row],[Spec Type2]]="N/A",Table1[[#This Row],[DUT Adj Read]]="N/A",Table1[[#This Row],[Std Adj Read]]="N/A"),"N/A",IF(Table1[[#This Row],[DUT Adj Read]]="N/A",IF(Table1[[#This Row],[Std Adj Read]]&gt;Table1[[#This Row],[Low Tol]],"Pass","Fail"),IF(Table1[[#This Row],[DUT Adj Read]]&gt;Table1[[#This Row],[Low Tol]],"Pass","Fail")))</f>
        <v>Pass</v>
      </c>
      <c r="AE1833" s="1" t="str">
        <f>IF(AND(Table1[[#This Row],[Spec Type2]]="N/A",Table1[[#This Row],[DUT Adj Read]]="N/A",Table1[[#This Row],[Std Adj Read]]="N/A"),"N/A",IF(Table1[[#This Row],[DUT Adj Read]]="N/A",IF(Table1[[#This Row],[Std Adj Read]]&lt;Table1[[#This Row],[High Tol]],"Pass","Fail"),IF(Table1[[#This Row],[DUT Adj Read]]&lt;Table1[[#This Row],[High Tol]],"Pass","Fail")))</f>
        <v>Fail</v>
      </c>
      <c r="AF1833" s="1" t="str">
        <f>IF(AND(Table1[[#This Row],[Spec Type2]]="N/A",Table1[[#This Row],[DUT Adj Read]]="N/A",Table1[[#This Row],[Std Adj Read]]="N/A"),"N/A",IF(Table1[[#This Row],[DUT Adj Read]]="N/A",IF(Table1[[#This Row],[Std Adj Read]]&gt;=Table1[[#This Row],[Low Tol]],"Pass","Fail"),IF(Table1[[#This Row],[DUT Adj Read]]&gt;=Table1[[#This Row],[Low Tol]],"Pass","Fail")))</f>
        <v>Pass</v>
      </c>
      <c r="AG1833" s="1" t="str">
        <f>IF(AND(Table1[[#This Row],[Spec Type2]]="N/A",Table1[[#This Row],[DUT Adj Read]]="N/A",Table1[[#This Row],[Std Adj Read]]="N/A"),"N/A",IF(Table1[[#This Row],[DUT Adj Read]]="N/A",IF(Table1[[#This Row],[Std Adj Read]]&lt;=Table1[[#This Row],[High Tol]],"Pass","Fail"),IF(Table1[[#This Row],[DUT Adj Read]]&lt;=Table1[[#This Row],[High Tol]],"Pass","Fail")))</f>
        <v>Fail</v>
      </c>
      <c r="AH18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3" s="1" t="b">
        <v>0</v>
      </c>
      <c r="AN1833" s="1" t="b">
        <v>0</v>
      </c>
      <c r="AO1833" s="1" t="b">
        <v>0</v>
      </c>
    </row>
    <row r="1834" spans="1:41" x14ac:dyDescent="0.25">
      <c r="A1834" s="10"/>
      <c r="B1834" s="10"/>
      <c r="C1834" s="10"/>
      <c r="D1834" s="10"/>
      <c r="E1834" s="10"/>
      <c r="F1834" s="10"/>
      <c r="G1834" s="10"/>
      <c r="H1834" s="10"/>
      <c r="I1834" s="1" t="str">
        <f t="shared" si="84"/>
        <v/>
      </c>
      <c r="J1834" s="1" t="s">
        <v>35</v>
      </c>
      <c r="K1834" s="1" t="str">
        <f t="shared" si="85"/>
        <v/>
      </c>
      <c r="L1834" s="1" t="str">
        <f t="shared" si="86"/>
        <v/>
      </c>
      <c r="M1834" s="1">
        <f>IF(OR(Table1[[#This Row],[Std Nom]]="",Table1[[#This Row],[Std Read]]=""),0,Table1[[#This Row],[Std Nom]]-Table1[[#This Row],[Std Read]])</f>
        <v>0</v>
      </c>
      <c r="N1834" s="1">
        <f>IF(Calculations!$F$5="ACCREDITED 17025 WITH UNCERTAINTIES",$N$10,0)</f>
        <v>0</v>
      </c>
      <c r="O1834" s="1" t="str">
        <f>IFERROR(Table1[[#This Row],[Std Nom]]-(_xlfn.XLOOKUP(Table1[[#This Row],[Manufacturer]]&amp;" "&amp;Table1[[#This Row],[Model]],Table13[MFR &amp; MDL],Table13[Tolerance % CW ],"")/100*Table1[[#This Row],[Std Nom]]),"")</f>
        <v/>
      </c>
      <c r="P1834" s="1" t="str">
        <f>IFERROR(Table1[[#This Row],[Std Nom]]+(_xlfn.XLOOKUP(Table1[[#This Row],[Manufacturer]]&amp;" "&amp;Table1[[#This Row],[Model]],Table13[MFR &amp; MDL],Table13[Tolerance % CW ],"")/100*Table1[[#This Row],[Std Nom]]),"")</f>
        <v/>
      </c>
      <c r="Q1834" s="1" t="e">
        <f>Table1[[#This Row],[High Tol]]-Table1[[#This Row],[Low Tol]]</f>
        <v>#VALUE!</v>
      </c>
      <c r="R1834" s="1">
        <f>2*Table1[[#This Row],[Std Error]]</f>
        <v>0</v>
      </c>
      <c r="S1834" s="1" t="str">
        <f>IF(Table1[[#This Row],[High Tol]]="","N/A",IFERROR(ABS(Table1[[#This Row],[Tol Span]]/Table1[[#This Row],[Error Span]]),"N/A"))</f>
        <v>N/A</v>
      </c>
      <c r="T1834" s="1" t="str">
        <f>IF(OR(Table1[[#This Row],[Low Tol]]="",Table1[[#This Row],[High Tol]]=""),"Needs Analysis",IF(Table1[[#This Row],[Ratio]]&gt;=4,"Not Significant",IF(Table1[[#This Row],[Ratio]]&gt;=2,"Semi-Significant","Significant")))</f>
        <v>Needs Analysis</v>
      </c>
      <c r="W1834" s="1">
        <f>IF(Table1[[#This Row],[Cal Type]]&lt;&gt;"ACCREDITED 17025 WITH UNCERTAINTIES",0,"")</f>
        <v>0</v>
      </c>
      <c r="X1834" s="1" t="str">
        <f>IF(Table1[[#This Row],[DUT Read]]="","N/A",Table1[[#This Row],[Std Error]]+Table1[[#This Row],[DUT Read]]+Table1[[#This Row],[DUT Ucty]])</f>
        <v>N/A</v>
      </c>
      <c r="Y1834" s="1" t="str">
        <f>IF(Table1[[#This Row],[Std Read]]="","N/A",Table1[[#This Row],[Std Read]]+Table1[[#This Row],[Std Ucty]])</f>
        <v>N/A</v>
      </c>
      <c r="Z18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4" s="1" t="str">
        <f>IF(Table1[[#This Row],[Spec Type]]="","N/A",Table1[[#This Row],[Spec Type]])</f>
        <v>±</v>
      </c>
      <c r="AC1834" s="1" t="str">
        <f>IF(Table1[[#This Row],[Spec Type2]]="N/A","N/A",IF(AND(Table1[[#This Row],[DUT Adj Read]]&gt;=Table1[[#This Row],[Low Tol]],Table1[[#This Row],[DUT Adj Read]]&lt;=Table1[[#This Row],[High Tol]]),"Pass","Fail"))</f>
        <v>Fail</v>
      </c>
      <c r="AD1834" s="1" t="str">
        <f>IF(AND(Table1[[#This Row],[Spec Type2]]="N/A",Table1[[#This Row],[DUT Adj Read]]="N/A",Table1[[#This Row],[Std Adj Read]]="N/A"),"N/A",IF(Table1[[#This Row],[DUT Adj Read]]="N/A",IF(Table1[[#This Row],[Std Adj Read]]&gt;Table1[[#This Row],[Low Tol]],"Pass","Fail"),IF(Table1[[#This Row],[DUT Adj Read]]&gt;Table1[[#This Row],[Low Tol]],"Pass","Fail")))</f>
        <v>Pass</v>
      </c>
      <c r="AE1834" s="1" t="str">
        <f>IF(AND(Table1[[#This Row],[Spec Type2]]="N/A",Table1[[#This Row],[DUT Adj Read]]="N/A",Table1[[#This Row],[Std Adj Read]]="N/A"),"N/A",IF(Table1[[#This Row],[DUT Adj Read]]="N/A",IF(Table1[[#This Row],[Std Adj Read]]&lt;Table1[[#This Row],[High Tol]],"Pass","Fail"),IF(Table1[[#This Row],[DUT Adj Read]]&lt;Table1[[#This Row],[High Tol]],"Pass","Fail")))</f>
        <v>Fail</v>
      </c>
      <c r="AF1834" s="1" t="str">
        <f>IF(AND(Table1[[#This Row],[Spec Type2]]="N/A",Table1[[#This Row],[DUT Adj Read]]="N/A",Table1[[#This Row],[Std Adj Read]]="N/A"),"N/A",IF(Table1[[#This Row],[DUT Adj Read]]="N/A",IF(Table1[[#This Row],[Std Adj Read]]&gt;=Table1[[#This Row],[Low Tol]],"Pass","Fail"),IF(Table1[[#This Row],[DUT Adj Read]]&gt;=Table1[[#This Row],[Low Tol]],"Pass","Fail")))</f>
        <v>Pass</v>
      </c>
      <c r="AG1834" s="1" t="str">
        <f>IF(AND(Table1[[#This Row],[Spec Type2]]="N/A",Table1[[#This Row],[DUT Adj Read]]="N/A",Table1[[#This Row],[Std Adj Read]]="N/A"),"N/A",IF(Table1[[#This Row],[DUT Adj Read]]="N/A",IF(Table1[[#This Row],[Std Adj Read]]&lt;=Table1[[#This Row],[High Tol]],"Pass","Fail"),IF(Table1[[#This Row],[DUT Adj Read]]&lt;=Table1[[#This Row],[High Tol]],"Pass","Fail")))</f>
        <v>Fail</v>
      </c>
      <c r="AH18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4" s="1" t="b">
        <v>0</v>
      </c>
      <c r="AN1834" s="1" t="b">
        <v>0</v>
      </c>
      <c r="AO1834" s="1" t="b">
        <v>0</v>
      </c>
    </row>
    <row r="1835" spans="1:41" x14ac:dyDescent="0.25">
      <c r="A1835" s="10"/>
      <c r="B1835" s="10"/>
      <c r="C1835" s="10"/>
      <c r="D1835" s="10"/>
      <c r="E1835" s="10"/>
      <c r="F1835" s="10"/>
      <c r="G1835" s="10"/>
      <c r="H1835" s="10"/>
      <c r="I1835" s="1" t="str">
        <f t="shared" si="84"/>
        <v/>
      </c>
      <c r="J1835" s="1" t="s">
        <v>35</v>
      </c>
      <c r="K1835" s="1" t="str">
        <f t="shared" si="85"/>
        <v/>
      </c>
      <c r="L1835" s="1" t="str">
        <f t="shared" si="86"/>
        <v/>
      </c>
      <c r="M1835" s="1">
        <f>IF(OR(Table1[[#This Row],[Std Nom]]="",Table1[[#This Row],[Std Read]]=""),0,Table1[[#This Row],[Std Nom]]-Table1[[#This Row],[Std Read]])</f>
        <v>0</v>
      </c>
      <c r="N1835" s="1">
        <f>IF(Calculations!$F$5="ACCREDITED 17025 WITH UNCERTAINTIES",$N$10,0)</f>
        <v>0</v>
      </c>
      <c r="O1835" s="1" t="str">
        <f>IFERROR(Table1[[#This Row],[Std Nom]]-(_xlfn.XLOOKUP(Table1[[#This Row],[Manufacturer]]&amp;" "&amp;Table1[[#This Row],[Model]],Table13[MFR &amp; MDL],Table13[Tolerance % CW ],"")/100*Table1[[#This Row],[Std Nom]]),"")</f>
        <v/>
      </c>
      <c r="P1835" s="1" t="str">
        <f>IFERROR(Table1[[#This Row],[Std Nom]]+(_xlfn.XLOOKUP(Table1[[#This Row],[Manufacturer]]&amp;" "&amp;Table1[[#This Row],[Model]],Table13[MFR &amp; MDL],Table13[Tolerance % CW ],"")/100*Table1[[#This Row],[Std Nom]]),"")</f>
        <v/>
      </c>
      <c r="Q1835" s="1" t="e">
        <f>Table1[[#This Row],[High Tol]]-Table1[[#This Row],[Low Tol]]</f>
        <v>#VALUE!</v>
      </c>
      <c r="R1835" s="1">
        <f>2*Table1[[#This Row],[Std Error]]</f>
        <v>0</v>
      </c>
      <c r="S1835" s="1" t="str">
        <f>IF(Table1[[#This Row],[High Tol]]="","N/A",IFERROR(ABS(Table1[[#This Row],[Tol Span]]/Table1[[#This Row],[Error Span]]),"N/A"))</f>
        <v>N/A</v>
      </c>
      <c r="T1835" s="1" t="str">
        <f>IF(OR(Table1[[#This Row],[Low Tol]]="",Table1[[#This Row],[High Tol]]=""),"Needs Analysis",IF(Table1[[#This Row],[Ratio]]&gt;=4,"Not Significant",IF(Table1[[#This Row],[Ratio]]&gt;=2,"Semi-Significant","Significant")))</f>
        <v>Needs Analysis</v>
      </c>
      <c r="W1835" s="1">
        <f>IF(Table1[[#This Row],[Cal Type]]&lt;&gt;"ACCREDITED 17025 WITH UNCERTAINTIES",0,"")</f>
        <v>0</v>
      </c>
      <c r="X1835" s="1" t="str">
        <f>IF(Table1[[#This Row],[DUT Read]]="","N/A",Table1[[#This Row],[Std Error]]+Table1[[#This Row],[DUT Read]]+Table1[[#This Row],[DUT Ucty]])</f>
        <v>N/A</v>
      </c>
      <c r="Y1835" s="1" t="str">
        <f>IF(Table1[[#This Row],[Std Read]]="","N/A",Table1[[#This Row],[Std Read]]+Table1[[#This Row],[Std Ucty]])</f>
        <v>N/A</v>
      </c>
      <c r="Z18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5" s="1" t="str">
        <f>IF(Table1[[#This Row],[Spec Type]]="","N/A",Table1[[#This Row],[Spec Type]])</f>
        <v>±</v>
      </c>
      <c r="AC1835" s="1" t="str">
        <f>IF(Table1[[#This Row],[Spec Type2]]="N/A","N/A",IF(AND(Table1[[#This Row],[DUT Adj Read]]&gt;=Table1[[#This Row],[Low Tol]],Table1[[#This Row],[DUT Adj Read]]&lt;=Table1[[#This Row],[High Tol]]),"Pass","Fail"))</f>
        <v>Fail</v>
      </c>
      <c r="AD1835" s="1" t="str">
        <f>IF(AND(Table1[[#This Row],[Spec Type2]]="N/A",Table1[[#This Row],[DUT Adj Read]]="N/A",Table1[[#This Row],[Std Adj Read]]="N/A"),"N/A",IF(Table1[[#This Row],[DUT Adj Read]]="N/A",IF(Table1[[#This Row],[Std Adj Read]]&gt;Table1[[#This Row],[Low Tol]],"Pass","Fail"),IF(Table1[[#This Row],[DUT Adj Read]]&gt;Table1[[#This Row],[Low Tol]],"Pass","Fail")))</f>
        <v>Pass</v>
      </c>
      <c r="AE1835" s="1" t="str">
        <f>IF(AND(Table1[[#This Row],[Spec Type2]]="N/A",Table1[[#This Row],[DUT Adj Read]]="N/A",Table1[[#This Row],[Std Adj Read]]="N/A"),"N/A",IF(Table1[[#This Row],[DUT Adj Read]]="N/A",IF(Table1[[#This Row],[Std Adj Read]]&lt;Table1[[#This Row],[High Tol]],"Pass","Fail"),IF(Table1[[#This Row],[DUT Adj Read]]&lt;Table1[[#This Row],[High Tol]],"Pass","Fail")))</f>
        <v>Fail</v>
      </c>
      <c r="AF1835" s="1" t="str">
        <f>IF(AND(Table1[[#This Row],[Spec Type2]]="N/A",Table1[[#This Row],[DUT Adj Read]]="N/A",Table1[[#This Row],[Std Adj Read]]="N/A"),"N/A",IF(Table1[[#This Row],[DUT Adj Read]]="N/A",IF(Table1[[#This Row],[Std Adj Read]]&gt;=Table1[[#This Row],[Low Tol]],"Pass","Fail"),IF(Table1[[#This Row],[DUT Adj Read]]&gt;=Table1[[#This Row],[Low Tol]],"Pass","Fail")))</f>
        <v>Pass</v>
      </c>
      <c r="AG1835" s="1" t="str">
        <f>IF(AND(Table1[[#This Row],[Spec Type2]]="N/A",Table1[[#This Row],[DUT Adj Read]]="N/A",Table1[[#This Row],[Std Adj Read]]="N/A"),"N/A",IF(Table1[[#This Row],[DUT Adj Read]]="N/A",IF(Table1[[#This Row],[Std Adj Read]]&lt;=Table1[[#This Row],[High Tol]],"Pass","Fail"),IF(Table1[[#This Row],[DUT Adj Read]]&lt;=Table1[[#This Row],[High Tol]],"Pass","Fail")))</f>
        <v>Fail</v>
      </c>
      <c r="AH18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5" s="1" t="b">
        <v>0</v>
      </c>
      <c r="AN1835" s="1" t="b">
        <v>0</v>
      </c>
      <c r="AO1835" s="1" t="b">
        <v>0</v>
      </c>
    </row>
    <row r="1836" spans="1:41" x14ac:dyDescent="0.25">
      <c r="A1836" s="10"/>
      <c r="B1836" s="10"/>
      <c r="C1836" s="10"/>
      <c r="D1836" s="10"/>
      <c r="E1836" s="10"/>
      <c r="F1836" s="10"/>
      <c r="G1836" s="10"/>
      <c r="H1836" s="10"/>
      <c r="I1836" s="1" t="str">
        <f t="shared" si="84"/>
        <v/>
      </c>
      <c r="J1836" s="1" t="s">
        <v>35</v>
      </c>
      <c r="K1836" s="1" t="str">
        <f t="shared" si="85"/>
        <v/>
      </c>
      <c r="L1836" s="1" t="str">
        <f t="shared" si="86"/>
        <v/>
      </c>
      <c r="M1836" s="1">
        <f>IF(OR(Table1[[#This Row],[Std Nom]]="",Table1[[#This Row],[Std Read]]=""),0,Table1[[#This Row],[Std Nom]]-Table1[[#This Row],[Std Read]])</f>
        <v>0</v>
      </c>
      <c r="N1836" s="1">
        <f>IF(Calculations!$F$5="ACCREDITED 17025 WITH UNCERTAINTIES",$N$10,0)</f>
        <v>0</v>
      </c>
      <c r="O1836" s="1" t="str">
        <f>IFERROR(Table1[[#This Row],[Std Nom]]-(_xlfn.XLOOKUP(Table1[[#This Row],[Manufacturer]]&amp;" "&amp;Table1[[#This Row],[Model]],Table13[MFR &amp; MDL],Table13[Tolerance % CW ],"")/100*Table1[[#This Row],[Std Nom]]),"")</f>
        <v/>
      </c>
      <c r="P1836" s="1" t="str">
        <f>IFERROR(Table1[[#This Row],[Std Nom]]+(_xlfn.XLOOKUP(Table1[[#This Row],[Manufacturer]]&amp;" "&amp;Table1[[#This Row],[Model]],Table13[MFR &amp; MDL],Table13[Tolerance % CW ],"")/100*Table1[[#This Row],[Std Nom]]),"")</f>
        <v/>
      </c>
      <c r="Q1836" s="1" t="e">
        <f>Table1[[#This Row],[High Tol]]-Table1[[#This Row],[Low Tol]]</f>
        <v>#VALUE!</v>
      </c>
      <c r="R1836" s="1">
        <f>2*Table1[[#This Row],[Std Error]]</f>
        <v>0</v>
      </c>
      <c r="S1836" s="1" t="str">
        <f>IF(Table1[[#This Row],[High Tol]]="","N/A",IFERROR(ABS(Table1[[#This Row],[Tol Span]]/Table1[[#This Row],[Error Span]]),"N/A"))</f>
        <v>N/A</v>
      </c>
      <c r="T1836" s="1" t="str">
        <f>IF(OR(Table1[[#This Row],[Low Tol]]="",Table1[[#This Row],[High Tol]]=""),"Needs Analysis",IF(Table1[[#This Row],[Ratio]]&gt;=4,"Not Significant",IF(Table1[[#This Row],[Ratio]]&gt;=2,"Semi-Significant","Significant")))</f>
        <v>Needs Analysis</v>
      </c>
      <c r="W1836" s="1">
        <f>IF(Table1[[#This Row],[Cal Type]]&lt;&gt;"ACCREDITED 17025 WITH UNCERTAINTIES",0,"")</f>
        <v>0</v>
      </c>
      <c r="X1836" s="1" t="str">
        <f>IF(Table1[[#This Row],[DUT Read]]="","N/A",Table1[[#This Row],[Std Error]]+Table1[[#This Row],[DUT Read]]+Table1[[#This Row],[DUT Ucty]])</f>
        <v>N/A</v>
      </c>
      <c r="Y1836" s="1" t="str">
        <f>IF(Table1[[#This Row],[Std Read]]="","N/A",Table1[[#This Row],[Std Read]]+Table1[[#This Row],[Std Ucty]])</f>
        <v>N/A</v>
      </c>
      <c r="Z18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6" s="1" t="str">
        <f>IF(Table1[[#This Row],[Spec Type]]="","N/A",Table1[[#This Row],[Spec Type]])</f>
        <v>±</v>
      </c>
      <c r="AC1836" s="1" t="str">
        <f>IF(Table1[[#This Row],[Spec Type2]]="N/A","N/A",IF(AND(Table1[[#This Row],[DUT Adj Read]]&gt;=Table1[[#This Row],[Low Tol]],Table1[[#This Row],[DUT Adj Read]]&lt;=Table1[[#This Row],[High Tol]]),"Pass","Fail"))</f>
        <v>Fail</v>
      </c>
      <c r="AD1836" s="1" t="str">
        <f>IF(AND(Table1[[#This Row],[Spec Type2]]="N/A",Table1[[#This Row],[DUT Adj Read]]="N/A",Table1[[#This Row],[Std Adj Read]]="N/A"),"N/A",IF(Table1[[#This Row],[DUT Adj Read]]="N/A",IF(Table1[[#This Row],[Std Adj Read]]&gt;Table1[[#This Row],[Low Tol]],"Pass","Fail"),IF(Table1[[#This Row],[DUT Adj Read]]&gt;Table1[[#This Row],[Low Tol]],"Pass","Fail")))</f>
        <v>Pass</v>
      </c>
      <c r="AE1836" s="1" t="str">
        <f>IF(AND(Table1[[#This Row],[Spec Type2]]="N/A",Table1[[#This Row],[DUT Adj Read]]="N/A",Table1[[#This Row],[Std Adj Read]]="N/A"),"N/A",IF(Table1[[#This Row],[DUT Adj Read]]="N/A",IF(Table1[[#This Row],[Std Adj Read]]&lt;Table1[[#This Row],[High Tol]],"Pass","Fail"),IF(Table1[[#This Row],[DUT Adj Read]]&lt;Table1[[#This Row],[High Tol]],"Pass","Fail")))</f>
        <v>Fail</v>
      </c>
      <c r="AF1836" s="1" t="str">
        <f>IF(AND(Table1[[#This Row],[Spec Type2]]="N/A",Table1[[#This Row],[DUT Adj Read]]="N/A",Table1[[#This Row],[Std Adj Read]]="N/A"),"N/A",IF(Table1[[#This Row],[DUT Adj Read]]="N/A",IF(Table1[[#This Row],[Std Adj Read]]&gt;=Table1[[#This Row],[Low Tol]],"Pass","Fail"),IF(Table1[[#This Row],[DUT Adj Read]]&gt;=Table1[[#This Row],[Low Tol]],"Pass","Fail")))</f>
        <v>Pass</v>
      </c>
      <c r="AG1836" s="1" t="str">
        <f>IF(AND(Table1[[#This Row],[Spec Type2]]="N/A",Table1[[#This Row],[DUT Adj Read]]="N/A",Table1[[#This Row],[Std Adj Read]]="N/A"),"N/A",IF(Table1[[#This Row],[DUT Adj Read]]="N/A",IF(Table1[[#This Row],[Std Adj Read]]&lt;=Table1[[#This Row],[High Tol]],"Pass","Fail"),IF(Table1[[#This Row],[DUT Adj Read]]&lt;=Table1[[#This Row],[High Tol]],"Pass","Fail")))</f>
        <v>Fail</v>
      </c>
      <c r="AH18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6" s="1" t="b">
        <v>0</v>
      </c>
      <c r="AN1836" s="1" t="b">
        <v>0</v>
      </c>
      <c r="AO1836" s="1" t="b">
        <v>0</v>
      </c>
    </row>
    <row r="1837" spans="1:41" x14ac:dyDescent="0.25">
      <c r="A1837" s="10"/>
      <c r="B1837" s="10"/>
      <c r="C1837" s="10"/>
      <c r="D1837" s="10"/>
      <c r="E1837" s="10"/>
      <c r="F1837" s="10"/>
      <c r="G1837" s="10"/>
      <c r="H1837" s="10"/>
      <c r="I1837" s="1" t="str">
        <f t="shared" si="84"/>
        <v/>
      </c>
      <c r="J1837" s="1" t="s">
        <v>35</v>
      </c>
      <c r="K1837" s="1" t="str">
        <f t="shared" si="85"/>
        <v/>
      </c>
      <c r="L1837" s="1" t="str">
        <f t="shared" si="86"/>
        <v/>
      </c>
      <c r="M1837" s="1">
        <f>IF(OR(Table1[[#This Row],[Std Nom]]="",Table1[[#This Row],[Std Read]]=""),0,Table1[[#This Row],[Std Nom]]-Table1[[#This Row],[Std Read]])</f>
        <v>0</v>
      </c>
      <c r="N1837" s="1">
        <f>IF(Calculations!$F$5="ACCREDITED 17025 WITH UNCERTAINTIES",$N$10,0)</f>
        <v>0</v>
      </c>
      <c r="O1837" s="1" t="str">
        <f>IFERROR(Table1[[#This Row],[Std Nom]]-(_xlfn.XLOOKUP(Table1[[#This Row],[Manufacturer]]&amp;" "&amp;Table1[[#This Row],[Model]],Table13[MFR &amp; MDL],Table13[Tolerance % CW ],"")/100*Table1[[#This Row],[Std Nom]]),"")</f>
        <v/>
      </c>
      <c r="P1837" s="1" t="str">
        <f>IFERROR(Table1[[#This Row],[Std Nom]]+(_xlfn.XLOOKUP(Table1[[#This Row],[Manufacturer]]&amp;" "&amp;Table1[[#This Row],[Model]],Table13[MFR &amp; MDL],Table13[Tolerance % CW ],"")/100*Table1[[#This Row],[Std Nom]]),"")</f>
        <v/>
      </c>
      <c r="Q1837" s="1" t="e">
        <f>Table1[[#This Row],[High Tol]]-Table1[[#This Row],[Low Tol]]</f>
        <v>#VALUE!</v>
      </c>
      <c r="R1837" s="1">
        <f>2*Table1[[#This Row],[Std Error]]</f>
        <v>0</v>
      </c>
      <c r="S1837" s="1" t="str">
        <f>IF(Table1[[#This Row],[High Tol]]="","N/A",IFERROR(ABS(Table1[[#This Row],[Tol Span]]/Table1[[#This Row],[Error Span]]),"N/A"))</f>
        <v>N/A</v>
      </c>
      <c r="T1837" s="1" t="str">
        <f>IF(OR(Table1[[#This Row],[Low Tol]]="",Table1[[#This Row],[High Tol]]=""),"Needs Analysis",IF(Table1[[#This Row],[Ratio]]&gt;=4,"Not Significant",IF(Table1[[#This Row],[Ratio]]&gt;=2,"Semi-Significant","Significant")))</f>
        <v>Needs Analysis</v>
      </c>
      <c r="W1837" s="1">
        <f>IF(Table1[[#This Row],[Cal Type]]&lt;&gt;"ACCREDITED 17025 WITH UNCERTAINTIES",0,"")</f>
        <v>0</v>
      </c>
      <c r="X1837" s="1" t="str">
        <f>IF(Table1[[#This Row],[DUT Read]]="","N/A",Table1[[#This Row],[Std Error]]+Table1[[#This Row],[DUT Read]]+Table1[[#This Row],[DUT Ucty]])</f>
        <v>N/A</v>
      </c>
      <c r="Y1837" s="1" t="str">
        <f>IF(Table1[[#This Row],[Std Read]]="","N/A",Table1[[#This Row],[Std Read]]+Table1[[#This Row],[Std Ucty]])</f>
        <v>N/A</v>
      </c>
      <c r="Z18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7" s="1" t="str">
        <f>IF(Table1[[#This Row],[Spec Type]]="","N/A",Table1[[#This Row],[Spec Type]])</f>
        <v>±</v>
      </c>
      <c r="AC1837" s="1" t="str">
        <f>IF(Table1[[#This Row],[Spec Type2]]="N/A","N/A",IF(AND(Table1[[#This Row],[DUT Adj Read]]&gt;=Table1[[#This Row],[Low Tol]],Table1[[#This Row],[DUT Adj Read]]&lt;=Table1[[#This Row],[High Tol]]),"Pass","Fail"))</f>
        <v>Fail</v>
      </c>
      <c r="AD1837" s="1" t="str">
        <f>IF(AND(Table1[[#This Row],[Spec Type2]]="N/A",Table1[[#This Row],[DUT Adj Read]]="N/A",Table1[[#This Row],[Std Adj Read]]="N/A"),"N/A",IF(Table1[[#This Row],[DUT Adj Read]]="N/A",IF(Table1[[#This Row],[Std Adj Read]]&gt;Table1[[#This Row],[Low Tol]],"Pass","Fail"),IF(Table1[[#This Row],[DUT Adj Read]]&gt;Table1[[#This Row],[Low Tol]],"Pass","Fail")))</f>
        <v>Pass</v>
      </c>
      <c r="AE1837" s="1" t="str">
        <f>IF(AND(Table1[[#This Row],[Spec Type2]]="N/A",Table1[[#This Row],[DUT Adj Read]]="N/A",Table1[[#This Row],[Std Adj Read]]="N/A"),"N/A",IF(Table1[[#This Row],[DUT Adj Read]]="N/A",IF(Table1[[#This Row],[Std Adj Read]]&lt;Table1[[#This Row],[High Tol]],"Pass","Fail"),IF(Table1[[#This Row],[DUT Adj Read]]&lt;Table1[[#This Row],[High Tol]],"Pass","Fail")))</f>
        <v>Fail</v>
      </c>
      <c r="AF1837" s="1" t="str">
        <f>IF(AND(Table1[[#This Row],[Spec Type2]]="N/A",Table1[[#This Row],[DUT Adj Read]]="N/A",Table1[[#This Row],[Std Adj Read]]="N/A"),"N/A",IF(Table1[[#This Row],[DUT Adj Read]]="N/A",IF(Table1[[#This Row],[Std Adj Read]]&gt;=Table1[[#This Row],[Low Tol]],"Pass","Fail"),IF(Table1[[#This Row],[DUT Adj Read]]&gt;=Table1[[#This Row],[Low Tol]],"Pass","Fail")))</f>
        <v>Pass</v>
      </c>
      <c r="AG1837" s="1" t="str">
        <f>IF(AND(Table1[[#This Row],[Spec Type2]]="N/A",Table1[[#This Row],[DUT Adj Read]]="N/A",Table1[[#This Row],[Std Adj Read]]="N/A"),"N/A",IF(Table1[[#This Row],[DUT Adj Read]]="N/A",IF(Table1[[#This Row],[Std Adj Read]]&lt;=Table1[[#This Row],[High Tol]],"Pass","Fail"),IF(Table1[[#This Row],[DUT Adj Read]]&lt;=Table1[[#This Row],[High Tol]],"Pass","Fail")))</f>
        <v>Fail</v>
      </c>
      <c r="AH18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7" s="1" t="b">
        <v>0</v>
      </c>
      <c r="AN1837" s="1" t="b">
        <v>0</v>
      </c>
      <c r="AO1837" s="1" t="b">
        <v>0</v>
      </c>
    </row>
    <row r="1838" spans="1:41" x14ac:dyDescent="0.25">
      <c r="A1838" s="10"/>
      <c r="B1838" s="10"/>
      <c r="C1838" s="10"/>
      <c r="D1838" s="10"/>
      <c r="E1838" s="10"/>
      <c r="F1838" s="10"/>
      <c r="G1838" s="10"/>
      <c r="H1838" s="10"/>
      <c r="I1838" s="1" t="str">
        <f t="shared" si="84"/>
        <v/>
      </c>
      <c r="J1838" s="1" t="s">
        <v>35</v>
      </c>
      <c r="K1838" s="1" t="str">
        <f t="shared" si="85"/>
        <v/>
      </c>
      <c r="L1838" s="1" t="str">
        <f t="shared" si="86"/>
        <v/>
      </c>
      <c r="M1838" s="1">
        <f>IF(OR(Table1[[#This Row],[Std Nom]]="",Table1[[#This Row],[Std Read]]=""),0,Table1[[#This Row],[Std Nom]]-Table1[[#This Row],[Std Read]])</f>
        <v>0</v>
      </c>
      <c r="N1838" s="1">
        <f>IF(Calculations!$F$5="ACCREDITED 17025 WITH UNCERTAINTIES",$N$10,0)</f>
        <v>0</v>
      </c>
      <c r="O1838" s="1" t="str">
        <f>IFERROR(Table1[[#This Row],[Std Nom]]-(_xlfn.XLOOKUP(Table1[[#This Row],[Manufacturer]]&amp;" "&amp;Table1[[#This Row],[Model]],Table13[MFR &amp; MDL],Table13[Tolerance % CW ],"")/100*Table1[[#This Row],[Std Nom]]),"")</f>
        <v/>
      </c>
      <c r="P1838" s="1" t="str">
        <f>IFERROR(Table1[[#This Row],[Std Nom]]+(_xlfn.XLOOKUP(Table1[[#This Row],[Manufacturer]]&amp;" "&amp;Table1[[#This Row],[Model]],Table13[MFR &amp; MDL],Table13[Tolerance % CW ],"")/100*Table1[[#This Row],[Std Nom]]),"")</f>
        <v/>
      </c>
      <c r="Q1838" s="1" t="e">
        <f>Table1[[#This Row],[High Tol]]-Table1[[#This Row],[Low Tol]]</f>
        <v>#VALUE!</v>
      </c>
      <c r="R1838" s="1">
        <f>2*Table1[[#This Row],[Std Error]]</f>
        <v>0</v>
      </c>
      <c r="S1838" s="1" t="str">
        <f>IF(Table1[[#This Row],[High Tol]]="","N/A",IFERROR(ABS(Table1[[#This Row],[Tol Span]]/Table1[[#This Row],[Error Span]]),"N/A"))</f>
        <v>N/A</v>
      </c>
      <c r="T1838" s="1" t="str">
        <f>IF(OR(Table1[[#This Row],[Low Tol]]="",Table1[[#This Row],[High Tol]]=""),"Needs Analysis",IF(Table1[[#This Row],[Ratio]]&gt;=4,"Not Significant",IF(Table1[[#This Row],[Ratio]]&gt;=2,"Semi-Significant","Significant")))</f>
        <v>Needs Analysis</v>
      </c>
      <c r="W1838" s="1">
        <f>IF(Table1[[#This Row],[Cal Type]]&lt;&gt;"ACCREDITED 17025 WITH UNCERTAINTIES",0,"")</f>
        <v>0</v>
      </c>
      <c r="X1838" s="1" t="str">
        <f>IF(Table1[[#This Row],[DUT Read]]="","N/A",Table1[[#This Row],[Std Error]]+Table1[[#This Row],[DUT Read]]+Table1[[#This Row],[DUT Ucty]])</f>
        <v>N/A</v>
      </c>
      <c r="Y1838" s="1" t="str">
        <f>IF(Table1[[#This Row],[Std Read]]="","N/A",Table1[[#This Row],[Std Read]]+Table1[[#This Row],[Std Ucty]])</f>
        <v>N/A</v>
      </c>
      <c r="Z18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8" s="1" t="str">
        <f>IF(Table1[[#This Row],[Spec Type]]="","N/A",Table1[[#This Row],[Spec Type]])</f>
        <v>±</v>
      </c>
      <c r="AC1838" s="1" t="str">
        <f>IF(Table1[[#This Row],[Spec Type2]]="N/A","N/A",IF(AND(Table1[[#This Row],[DUT Adj Read]]&gt;=Table1[[#This Row],[Low Tol]],Table1[[#This Row],[DUT Adj Read]]&lt;=Table1[[#This Row],[High Tol]]),"Pass","Fail"))</f>
        <v>Fail</v>
      </c>
      <c r="AD1838" s="1" t="str">
        <f>IF(AND(Table1[[#This Row],[Spec Type2]]="N/A",Table1[[#This Row],[DUT Adj Read]]="N/A",Table1[[#This Row],[Std Adj Read]]="N/A"),"N/A",IF(Table1[[#This Row],[DUT Adj Read]]="N/A",IF(Table1[[#This Row],[Std Adj Read]]&gt;Table1[[#This Row],[Low Tol]],"Pass","Fail"),IF(Table1[[#This Row],[DUT Adj Read]]&gt;Table1[[#This Row],[Low Tol]],"Pass","Fail")))</f>
        <v>Pass</v>
      </c>
      <c r="AE1838" s="1" t="str">
        <f>IF(AND(Table1[[#This Row],[Spec Type2]]="N/A",Table1[[#This Row],[DUT Adj Read]]="N/A",Table1[[#This Row],[Std Adj Read]]="N/A"),"N/A",IF(Table1[[#This Row],[DUT Adj Read]]="N/A",IF(Table1[[#This Row],[Std Adj Read]]&lt;Table1[[#This Row],[High Tol]],"Pass","Fail"),IF(Table1[[#This Row],[DUT Adj Read]]&lt;Table1[[#This Row],[High Tol]],"Pass","Fail")))</f>
        <v>Fail</v>
      </c>
      <c r="AF1838" s="1" t="str">
        <f>IF(AND(Table1[[#This Row],[Spec Type2]]="N/A",Table1[[#This Row],[DUT Adj Read]]="N/A",Table1[[#This Row],[Std Adj Read]]="N/A"),"N/A",IF(Table1[[#This Row],[DUT Adj Read]]="N/A",IF(Table1[[#This Row],[Std Adj Read]]&gt;=Table1[[#This Row],[Low Tol]],"Pass","Fail"),IF(Table1[[#This Row],[DUT Adj Read]]&gt;=Table1[[#This Row],[Low Tol]],"Pass","Fail")))</f>
        <v>Pass</v>
      </c>
      <c r="AG1838" s="1" t="str">
        <f>IF(AND(Table1[[#This Row],[Spec Type2]]="N/A",Table1[[#This Row],[DUT Adj Read]]="N/A",Table1[[#This Row],[Std Adj Read]]="N/A"),"N/A",IF(Table1[[#This Row],[DUT Adj Read]]="N/A",IF(Table1[[#This Row],[Std Adj Read]]&lt;=Table1[[#This Row],[High Tol]],"Pass","Fail"),IF(Table1[[#This Row],[DUT Adj Read]]&lt;=Table1[[#This Row],[High Tol]],"Pass","Fail")))</f>
        <v>Fail</v>
      </c>
      <c r="AH18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8" s="1" t="b">
        <v>0</v>
      </c>
      <c r="AN1838" s="1" t="b">
        <v>0</v>
      </c>
      <c r="AO1838" s="1" t="b">
        <v>0</v>
      </c>
    </row>
    <row r="1839" spans="1:41" x14ac:dyDescent="0.25">
      <c r="A1839" s="10"/>
      <c r="B1839" s="10"/>
      <c r="C1839" s="10"/>
      <c r="D1839" s="10"/>
      <c r="E1839" s="10"/>
      <c r="F1839" s="10"/>
      <c r="G1839" s="10"/>
      <c r="H1839" s="10"/>
      <c r="I1839" s="1" t="str">
        <f t="shared" si="84"/>
        <v/>
      </c>
      <c r="J1839" s="1" t="s">
        <v>35</v>
      </c>
      <c r="K1839" s="1" t="str">
        <f t="shared" si="85"/>
        <v/>
      </c>
      <c r="L1839" s="1" t="str">
        <f t="shared" si="86"/>
        <v/>
      </c>
      <c r="M1839" s="1">
        <f>IF(OR(Table1[[#This Row],[Std Nom]]="",Table1[[#This Row],[Std Read]]=""),0,Table1[[#This Row],[Std Nom]]-Table1[[#This Row],[Std Read]])</f>
        <v>0</v>
      </c>
      <c r="N1839" s="1">
        <f>IF(Calculations!$F$5="ACCREDITED 17025 WITH UNCERTAINTIES",$N$10,0)</f>
        <v>0</v>
      </c>
      <c r="O1839" s="1" t="str">
        <f>IFERROR(Table1[[#This Row],[Std Nom]]-(_xlfn.XLOOKUP(Table1[[#This Row],[Manufacturer]]&amp;" "&amp;Table1[[#This Row],[Model]],Table13[MFR &amp; MDL],Table13[Tolerance % CW ],"")/100*Table1[[#This Row],[Std Nom]]),"")</f>
        <v/>
      </c>
      <c r="P1839" s="1" t="str">
        <f>IFERROR(Table1[[#This Row],[Std Nom]]+(_xlfn.XLOOKUP(Table1[[#This Row],[Manufacturer]]&amp;" "&amp;Table1[[#This Row],[Model]],Table13[MFR &amp; MDL],Table13[Tolerance % CW ],"")/100*Table1[[#This Row],[Std Nom]]),"")</f>
        <v/>
      </c>
      <c r="Q1839" s="1" t="e">
        <f>Table1[[#This Row],[High Tol]]-Table1[[#This Row],[Low Tol]]</f>
        <v>#VALUE!</v>
      </c>
      <c r="R1839" s="1">
        <f>2*Table1[[#This Row],[Std Error]]</f>
        <v>0</v>
      </c>
      <c r="S1839" s="1" t="str">
        <f>IF(Table1[[#This Row],[High Tol]]="","N/A",IFERROR(ABS(Table1[[#This Row],[Tol Span]]/Table1[[#This Row],[Error Span]]),"N/A"))</f>
        <v>N/A</v>
      </c>
      <c r="T1839" s="1" t="str">
        <f>IF(OR(Table1[[#This Row],[Low Tol]]="",Table1[[#This Row],[High Tol]]=""),"Needs Analysis",IF(Table1[[#This Row],[Ratio]]&gt;=4,"Not Significant",IF(Table1[[#This Row],[Ratio]]&gt;=2,"Semi-Significant","Significant")))</f>
        <v>Needs Analysis</v>
      </c>
      <c r="W1839" s="1">
        <f>IF(Table1[[#This Row],[Cal Type]]&lt;&gt;"ACCREDITED 17025 WITH UNCERTAINTIES",0,"")</f>
        <v>0</v>
      </c>
      <c r="X1839" s="1" t="str">
        <f>IF(Table1[[#This Row],[DUT Read]]="","N/A",Table1[[#This Row],[Std Error]]+Table1[[#This Row],[DUT Read]]+Table1[[#This Row],[DUT Ucty]])</f>
        <v>N/A</v>
      </c>
      <c r="Y1839" s="1" t="str">
        <f>IF(Table1[[#This Row],[Std Read]]="","N/A",Table1[[#This Row],[Std Read]]+Table1[[#This Row],[Std Ucty]])</f>
        <v>N/A</v>
      </c>
      <c r="Z18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9" s="1" t="str">
        <f>IF(Table1[[#This Row],[Spec Type]]="","N/A",Table1[[#This Row],[Spec Type]])</f>
        <v>±</v>
      </c>
      <c r="AC1839" s="1" t="str">
        <f>IF(Table1[[#This Row],[Spec Type2]]="N/A","N/A",IF(AND(Table1[[#This Row],[DUT Adj Read]]&gt;=Table1[[#This Row],[Low Tol]],Table1[[#This Row],[DUT Adj Read]]&lt;=Table1[[#This Row],[High Tol]]),"Pass","Fail"))</f>
        <v>Fail</v>
      </c>
      <c r="AD1839" s="1" t="str">
        <f>IF(AND(Table1[[#This Row],[Spec Type2]]="N/A",Table1[[#This Row],[DUT Adj Read]]="N/A",Table1[[#This Row],[Std Adj Read]]="N/A"),"N/A",IF(Table1[[#This Row],[DUT Adj Read]]="N/A",IF(Table1[[#This Row],[Std Adj Read]]&gt;Table1[[#This Row],[Low Tol]],"Pass","Fail"),IF(Table1[[#This Row],[DUT Adj Read]]&gt;Table1[[#This Row],[Low Tol]],"Pass","Fail")))</f>
        <v>Pass</v>
      </c>
      <c r="AE1839" s="1" t="str">
        <f>IF(AND(Table1[[#This Row],[Spec Type2]]="N/A",Table1[[#This Row],[DUT Adj Read]]="N/A",Table1[[#This Row],[Std Adj Read]]="N/A"),"N/A",IF(Table1[[#This Row],[DUT Adj Read]]="N/A",IF(Table1[[#This Row],[Std Adj Read]]&lt;Table1[[#This Row],[High Tol]],"Pass","Fail"),IF(Table1[[#This Row],[DUT Adj Read]]&lt;Table1[[#This Row],[High Tol]],"Pass","Fail")))</f>
        <v>Fail</v>
      </c>
      <c r="AF1839" s="1" t="str">
        <f>IF(AND(Table1[[#This Row],[Spec Type2]]="N/A",Table1[[#This Row],[DUT Adj Read]]="N/A",Table1[[#This Row],[Std Adj Read]]="N/A"),"N/A",IF(Table1[[#This Row],[DUT Adj Read]]="N/A",IF(Table1[[#This Row],[Std Adj Read]]&gt;=Table1[[#This Row],[Low Tol]],"Pass","Fail"),IF(Table1[[#This Row],[DUT Adj Read]]&gt;=Table1[[#This Row],[Low Tol]],"Pass","Fail")))</f>
        <v>Pass</v>
      </c>
      <c r="AG1839" s="1" t="str">
        <f>IF(AND(Table1[[#This Row],[Spec Type2]]="N/A",Table1[[#This Row],[DUT Adj Read]]="N/A",Table1[[#This Row],[Std Adj Read]]="N/A"),"N/A",IF(Table1[[#This Row],[DUT Adj Read]]="N/A",IF(Table1[[#This Row],[Std Adj Read]]&lt;=Table1[[#This Row],[High Tol]],"Pass","Fail"),IF(Table1[[#This Row],[DUT Adj Read]]&lt;=Table1[[#This Row],[High Tol]],"Pass","Fail")))</f>
        <v>Fail</v>
      </c>
      <c r="AH18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9" s="1" t="b">
        <v>0</v>
      </c>
      <c r="AN1839" s="1" t="b">
        <v>0</v>
      </c>
      <c r="AO1839" s="1" t="b">
        <v>0</v>
      </c>
    </row>
    <row r="1840" spans="1:41" x14ac:dyDescent="0.25">
      <c r="A1840" s="10"/>
      <c r="B1840" s="10"/>
      <c r="C1840" s="10"/>
      <c r="D1840" s="10"/>
      <c r="E1840" s="10"/>
      <c r="F1840" s="10"/>
      <c r="G1840" s="10"/>
      <c r="H1840" s="10"/>
      <c r="I1840" s="1" t="str">
        <f t="shared" si="84"/>
        <v/>
      </c>
      <c r="J1840" s="1" t="s">
        <v>35</v>
      </c>
      <c r="K1840" s="1" t="str">
        <f t="shared" si="85"/>
        <v/>
      </c>
      <c r="L1840" s="1" t="str">
        <f t="shared" si="86"/>
        <v/>
      </c>
      <c r="M1840" s="1">
        <f>IF(OR(Table1[[#This Row],[Std Nom]]="",Table1[[#This Row],[Std Read]]=""),0,Table1[[#This Row],[Std Nom]]-Table1[[#This Row],[Std Read]])</f>
        <v>0</v>
      </c>
      <c r="N1840" s="1">
        <f>IF(Calculations!$F$5="ACCREDITED 17025 WITH UNCERTAINTIES",$N$10,0)</f>
        <v>0</v>
      </c>
      <c r="O1840" s="1" t="str">
        <f>IFERROR(Table1[[#This Row],[Std Nom]]-(_xlfn.XLOOKUP(Table1[[#This Row],[Manufacturer]]&amp;" "&amp;Table1[[#This Row],[Model]],Table13[MFR &amp; MDL],Table13[Tolerance % CW ],"")/100*Table1[[#This Row],[Std Nom]]),"")</f>
        <v/>
      </c>
      <c r="P1840" s="1" t="str">
        <f>IFERROR(Table1[[#This Row],[Std Nom]]+(_xlfn.XLOOKUP(Table1[[#This Row],[Manufacturer]]&amp;" "&amp;Table1[[#This Row],[Model]],Table13[MFR &amp; MDL],Table13[Tolerance % CW ],"")/100*Table1[[#This Row],[Std Nom]]),"")</f>
        <v/>
      </c>
      <c r="Q1840" s="1" t="e">
        <f>Table1[[#This Row],[High Tol]]-Table1[[#This Row],[Low Tol]]</f>
        <v>#VALUE!</v>
      </c>
      <c r="R1840" s="1">
        <f>2*Table1[[#This Row],[Std Error]]</f>
        <v>0</v>
      </c>
      <c r="S1840" s="1" t="str">
        <f>IF(Table1[[#This Row],[High Tol]]="","N/A",IFERROR(ABS(Table1[[#This Row],[Tol Span]]/Table1[[#This Row],[Error Span]]),"N/A"))</f>
        <v>N/A</v>
      </c>
      <c r="T1840" s="1" t="str">
        <f>IF(OR(Table1[[#This Row],[Low Tol]]="",Table1[[#This Row],[High Tol]]=""),"Needs Analysis",IF(Table1[[#This Row],[Ratio]]&gt;=4,"Not Significant",IF(Table1[[#This Row],[Ratio]]&gt;=2,"Semi-Significant","Significant")))</f>
        <v>Needs Analysis</v>
      </c>
      <c r="W1840" s="1">
        <f>IF(Table1[[#This Row],[Cal Type]]&lt;&gt;"ACCREDITED 17025 WITH UNCERTAINTIES",0,"")</f>
        <v>0</v>
      </c>
      <c r="X1840" s="1" t="str">
        <f>IF(Table1[[#This Row],[DUT Read]]="","N/A",Table1[[#This Row],[Std Error]]+Table1[[#This Row],[DUT Read]]+Table1[[#This Row],[DUT Ucty]])</f>
        <v>N/A</v>
      </c>
      <c r="Y1840" s="1" t="str">
        <f>IF(Table1[[#This Row],[Std Read]]="","N/A",Table1[[#This Row],[Std Read]]+Table1[[#This Row],[Std Ucty]])</f>
        <v>N/A</v>
      </c>
      <c r="Z18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0" s="1" t="str">
        <f>IF(Table1[[#This Row],[Spec Type]]="","N/A",Table1[[#This Row],[Spec Type]])</f>
        <v>±</v>
      </c>
      <c r="AC1840" s="1" t="str">
        <f>IF(Table1[[#This Row],[Spec Type2]]="N/A","N/A",IF(AND(Table1[[#This Row],[DUT Adj Read]]&gt;=Table1[[#This Row],[Low Tol]],Table1[[#This Row],[DUT Adj Read]]&lt;=Table1[[#This Row],[High Tol]]),"Pass","Fail"))</f>
        <v>Fail</v>
      </c>
      <c r="AD1840" s="1" t="str">
        <f>IF(AND(Table1[[#This Row],[Spec Type2]]="N/A",Table1[[#This Row],[DUT Adj Read]]="N/A",Table1[[#This Row],[Std Adj Read]]="N/A"),"N/A",IF(Table1[[#This Row],[DUT Adj Read]]="N/A",IF(Table1[[#This Row],[Std Adj Read]]&gt;Table1[[#This Row],[Low Tol]],"Pass","Fail"),IF(Table1[[#This Row],[DUT Adj Read]]&gt;Table1[[#This Row],[Low Tol]],"Pass","Fail")))</f>
        <v>Pass</v>
      </c>
      <c r="AE1840" s="1" t="str">
        <f>IF(AND(Table1[[#This Row],[Spec Type2]]="N/A",Table1[[#This Row],[DUT Adj Read]]="N/A",Table1[[#This Row],[Std Adj Read]]="N/A"),"N/A",IF(Table1[[#This Row],[DUT Adj Read]]="N/A",IF(Table1[[#This Row],[Std Adj Read]]&lt;Table1[[#This Row],[High Tol]],"Pass","Fail"),IF(Table1[[#This Row],[DUT Adj Read]]&lt;Table1[[#This Row],[High Tol]],"Pass","Fail")))</f>
        <v>Fail</v>
      </c>
      <c r="AF1840" s="1" t="str">
        <f>IF(AND(Table1[[#This Row],[Spec Type2]]="N/A",Table1[[#This Row],[DUT Adj Read]]="N/A",Table1[[#This Row],[Std Adj Read]]="N/A"),"N/A",IF(Table1[[#This Row],[DUT Adj Read]]="N/A",IF(Table1[[#This Row],[Std Adj Read]]&gt;=Table1[[#This Row],[Low Tol]],"Pass","Fail"),IF(Table1[[#This Row],[DUT Adj Read]]&gt;=Table1[[#This Row],[Low Tol]],"Pass","Fail")))</f>
        <v>Pass</v>
      </c>
      <c r="AG1840" s="1" t="str">
        <f>IF(AND(Table1[[#This Row],[Spec Type2]]="N/A",Table1[[#This Row],[DUT Adj Read]]="N/A",Table1[[#This Row],[Std Adj Read]]="N/A"),"N/A",IF(Table1[[#This Row],[DUT Adj Read]]="N/A",IF(Table1[[#This Row],[Std Adj Read]]&lt;=Table1[[#This Row],[High Tol]],"Pass","Fail"),IF(Table1[[#This Row],[DUT Adj Read]]&lt;=Table1[[#This Row],[High Tol]],"Pass","Fail")))</f>
        <v>Fail</v>
      </c>
      <c r="AH18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0" s="1" t="b">
        <v>0</v>
      </c>
      <c r="AN1840" s="1" t="b">
        <v>0</v>
      </c>
      <c r="AO1840" s="1" t="b">
        <v>0</v>
      </c>
    </row>
    <row r="1841" spans="1:41" x14ac:dyDescent="0.25">
      <c r="A1841" s="10"/>
      <c r="B1841" s="10"/>
      <c r="C1841" s="10"/>
      <c r="D1841" s="10"/>
      <c r="E1841" s="10"/>
      <c r="F1841" s="10"/>
      <c r="G1841" s="10"/>
      <c r="H1841" s="10"/>
      <c r="I1841" s="1" t="str">
        <f t="shared" si="84"/>
        <v/>
      </c>
      <c r="J1841" s="1" t="s">
        <v>35</v>
      </c>
      <c r="K1841" s="1" t="str">
        <f t="shared" si="85"/>
        <v/>
      </c>
      <c r="L1841" s="1" t="str">
        <f t="shared" si="86"/>
        <v/>
      </c>
      <c r="M1841" s="1">
        <f>IF(OR(Table1[[#This Row],[Std Nom]]="",Table1[[#This Row],[Std Read]]=""),0,Table1[[#This Row],[Std Nom]]-Table1[[#This Row],[Std Read]])</f>
        <v>0</v>
      </c>
      <c r="N1841" s="1">
        <f>IF(Calculations!$F$5="ACCREDITED 17025 WITH UNCERTAINTIES",$N$10,0)</f>
        <v>0</v>
      </c>
      <c r="O1841" s="1" t="str">
        <f>IFERROR(Table1[[#This Row],[Std Nom]]-(_xlfn.XLOOKUP(Table1[[#This Row],[Manufacturer]]&amp;" "&amp;Table1[[#This Row],[Model]],Table13[MFR &amp; MDL],Table13[Tolerance % CW ],"")/100*Table1[[#This Row],[Std Nom]]),"")</f>
        <v/>
      </c>
      <c r="P1841" s="1" t="str">
        <f>IFERROR(Table1[[#This Row],[Std Nom]]+(_xlfn.XLOOKUP(Table1[[#This Row],[Manufacturer]]&amp;" "&amp;Table1[[#This Row],[Model]],Table13[MFR &amp; MDL],Table13[Tolerance % CW ],"")/100*Table1[[#This Row],[Std Nom]]),"")</f>
        <v/>
      </c>
      <c r="Q1841" s="1" t="e">
        <f>Table1[[#This Row],[High Tol]]-Table1[[#This Row],[Low Tol]]</f>
        <v>#VALUE!</v>
      </c>
      <c r="R1841" s="1">
        <f>2*Table1[[#This Row],[Std Error]]</f>
        <v>0</v>
      </c>
      <c r="S1841" s="1" t="str">
        <f>IF(Table1[[#This Row],[High Tol]]="","N/A",IFERROR(ABS(Table1[[#This Row],[Tol Span]]/Table1[[#This Row],[Error Span]]),"N/A"))</f>
        <v>N/A</v>
      </c>
      <c r="T1841" s="1" t="str">
        <f>IF(OR(Table1[[#This Row],[Low Tol]]="",Table1[[#This Row],[High Tol]]=""),"Needs Analysis",IF(Table1[[#This Row],[Ratio]]&gt;=4,"Not Significant",IF(Table1[[#This Row],[Ratio]]&gt;=2,"Semi-Significant","Significant")))</f>
        <v>Needs Analysis</v>
      </c>
      <c r="W1841" s="1">
        <f>IF(Table1[[#This Row],[Cal Type]]&lt;&gt;"ACCREDITED 17025 WITH UNCERTAINTIES",0,"")</f>
        <v>0</v>
      </c>
      <c r="X1841" s="1" t="str">
        <f>IF(Table1[[#This Row],[DUT Read]]="","N/A",Table1[[#This Row],[Std Error]]+Table1[[#This Row],[DUT Read]]+Table1[[#This Row],[DUT Ucty]])</f>
        <v>N/A</v>
      </c>
      <c r="Y1841" s="1" t="str">
        <f>IF(Table1[[#This Row],[Std Read]]="","N/A",Table1[[#This Row],[Std Read]]+Table1[[#This Row],[Std Ucty]])</f>
        <v>N/A</v>
      </c>
      <c r="Z18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1" s="1" t="str">
        <f>IF(Table1[[#This Row],[Spec Type]]="","N/A",Table1[[#This Row],[Spec Type]])</f>
        <v>±</v>
      </c>
      <c r="AC1841" s="1" t="str">
        <f>IF(Table1[[#This Row],[Spec Type2]]="N/A","N/A",IF(AND(Table1[[#This Row],[DUT Adj Read]]&gt;=Table1[[#This Row],[Low Tol]],Table1[[#This Row],[DUT Adj Read]]&lt;=Table1[[#This Row],[High Tol]]),"Pass","Fail"))</f>
        <v>Fail</v>
      </c>
      <c r="AD1841" s="1" t="str">
        <f>IF(AND(Table1[[#This Row],[Spec Type2]]="N/A",Table1[[#This Row],[DUT Adj Read]]="N/A",Table1[[#This Row],[Std Adj Read]]="N/A"),"N/A",IF(Table1[[#This Row],[DUT Adj Read]]="N/A",IF(Table1[[#This Row],[Std Adj Read]]&gt;Table1[[#This Row],[Low Tol]],"Pass","Fail"),IF(Table1[[#This Row],[DUT Adj Read]]&gt;Table1[[#This Row],[Low Tol]],"Pass","Fail")))</f>
        <v>Pass</v>
      </c>
      <c r="AE1841" s="1" t="str">
        <f>IF(AND(Table1[[#This Row],[Spec Type2]]="N/A",Table1[[#This Row],[DUT Adj Read]]="N/A",Table1[[#This Row],[Std Adj Read]]="N/A"),"N/A",IF(Table1[[#This Row],[DUT Adj Read]]="N/A",IF(Table1[[#This Row],[Std Adj Read]]&lt;Table1[[#This Row],[High Tol]],"Pass","Fail"),IF(Table1[[#This Row],[DUT Adj Read]]&lt;Table1[[#This Row],[High Tol]],"Pass","Fail")))</f>
        <v>Fail</v>
      </c>
      <c r="AF1841" s="1" t="str">
        <f>IF(AND(Table1[[#This Row],[Spec Type2]]="N/A",Table1[[#This Row],[DUT Adj Read]]="N/A",Table1[[#This Row],[Std Adj Read]]="N/A"),"N/A",IF(Table1[[#This Row],[DUT Adj Read]]="N/A",IF(Table1[[#This Row],[Std Adj Read]]&gt;=Table1[[#This Row],[Low Tol]],"Pass","Fail"),IF(Table1[[#This Row],[DUT Adj Read]]&gt;=Table1[[#This Row],[Low Tol]],"Pass","Fail")))</f>
        <v>Pass</v>
      </c>
      <c r="AG1841" s="1" t="str">
        <f>IF(AND(Table1[[#This Row],[Spec Type2]]="N/A",Table1[[#This Row],[DUT Adj Read]]="N/A",Table1[[#This Row],[Std Adj Read]]="N/A"),"N/A",IF(Table1[[#This Row],[DUT Adj Read]]="N/A",IF(Table1[[#This Row],[Std Adj Read]]&lt;=Table1[[#This Row],[High Tol]],"Pass","Fail"),IF(Table1[[#This Row],[DUT Adj Read]]&lt;=Table1[[#This Row],[High Tol]],"Pass","Fail")))</f>
        <v>Fail</v>
      </c>
      <c r="AH18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1" s="1" t="b">
        <v>0</v>
      </c>
      <c r="AN1841" s="1" t="b">
        <v>0</v>
      </c>
      <c r="AO1841" s="1" t="b">
        <v>0</v>
      </c>
    </row>
    <row r="1842" spans="1:41" x14ac:dyDescent="0.25">
      <c r="A1842" s="10"/>
      <c r="B1842" s="10"/>
      <c r="C1842" s="10"/>
      <c r="D1842" s="10"/>
      <c r="E1842" s="10"/>
      <c r="F1842" s="10"/>
      <c r="G1842" s="10"/>
      <c r="H1842" s="10"/>
      <c r="I1842" s="1" t="str">
        <f t="shared" si="84"/>
        <v/>
      </c>
      <c r="J1842" s="1" t="s">
        <v>35</v>
      </c>
      <c r="K1842" s="1" t="str">
        <f t="shared" si="85"/>
        <v/>
      </c>
      <c r="L1842" s="1" t="str">
        <f t="shared" si="86"/>
        <v/>
      </c>
      <c r="M1842" s="1">
        <f>IF(OR(Table1[[#This Row],[Std Nom]]="",Table1[[#This Row],[Std Read]]=""),0,Table1[[#This Row],[Std Nom]]-Table1[[#This Row],[Std Read]])</f>
        <v>0</v>
      </c>
      <c r="N1842" s="1">
        <f>IF(Calculations!$F$5="ACCREDITED 17025 WITH UNCERTAINTIES",$N$10,0)</f>
        <v>0</v>
      </c>
      <c r="O1842" s="1" t="str">
        <f>IFERROR(Table1[[#This Row],[Std Nom]]-(_xlfn.XLOOKUP(Table1[[#This Row],[Manufacturer]]&amp;" "&amp;Table1[[#This Row],[Model]],Table13[MFR &amp; MDL],Table13[Tolerance % CW ],"")/100*Table1[[#This Row],[Std Nom]]),"")</f>
        <v/>
      </c>
      <c r="P1842" s="1" t="str">
        <f>IFERROR(Table1[[#This Row],[Std Nom]]+(_xlfn.XLOOKUP(Table1[[#This Row],[Manufacturer]]&amp;" "&amp;Table1[[#This Row],[Model]],Table13[MFR &amp; MDL],Table13[Tolerance % CW ],"")/100*Table1[[#This Row],[Std Nom]]),"")</f>
        <v/>
      </c>
      <c r="Q1842" s="1" t="e">
        <f>Table1[[#This Row],[High Tol]]-Table1[[#This Row],[Low Tol]]</f>
        <v>#VALUE!</v>
      </c>
      <c r="R1842" s="1">
        <f>2*Table1[[#This Row],[Std Error]]</f>
        <v>0</v>
      </c>
      <c r="S1842" s="1" t="str">
        <f>IF(Table1[[#This Row],[High Tol]]="","N/A",IFERROR(ABS(Table1[[#This Row],[Tol Span]]/Table1[[#This Row],[Error Span]]),"N/A"))</f>
        <v>N/A</v>
      </c>
      <c r="T1842" s="1" t="str">
        <f>IF(OR(Table1[[#This Row],[Low Tol]]="",Table1[[#This Row],[High Tol]]=""),"Needs Analysis",IF(Table1[[#This Row],[Ratio]]&gt;=4,"Not Significant",IF(Table1[[#This Row],[Ratio]]&gt;=2,"Semi-Significant","Significant")))</f>
        <v>Needs Analysis</v>
      </c>
      <c r="W1842" s="1">
        <f>IF(Table1[[#This Row],[Cal Type]]&lt;&gt;"ACCREDITED 17025 WITH UNCERTAINTIES",0,"")</f>
        <v>0</v>
      </c>
      <c r="X1842" s="1" t="str">
        <f>IF(Table1[[#This Row],[DUT Read]]="","N/A",Table1[[#This Row],[Std Error]]+Table1[[#This Row],[DUT Read]]+Table1[[#This Row],[DUT Ucty]])</f>
        <v>N/A</v>
      </c>
      <c r="Y1842" s="1" t="str">
        <f>IF(Table1[[#This Row],[Std Read]]="","N/A",Table1[[#This Row],[Std Read]]+Table1[[#This Row],[Std Ucty]])</f>
        <v>N/A</v>
      </c>
      <c r="Z18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2" s="1" t="str">
        <f>IF(Table1[[#This Row],[Spec Type]]="","N/A",Table1[[#This Row],[Spec Type]])</f>
        <v>±</v>
      </c>
      <c r="AC1842" s="1" t="str">
        <f>IF(Table1[[#This Row],[Spec Type2]]="N/A","N/A",IF(AND(Table1[[#This Row],[DUT Adj Read]]&gt;=Table1[[#This Row],[Low Tol]],Table1[[#This Row],[DUT Adj Read]]&lt;=Table1[[#This Row],[High Tol]]),"Pass","Fail"))</f>
        <v>Fail</v>
      </c>
      <c r="AD1842" s="1" t="str">
        <f>IF(AND(Table1[[#This Row],[Spec Type2]]="N/A",Table1[[#This Row],[DUT Adj Read]]="N/A",Table1[[#This Row],[Std Adj Read]]="N/A"),"N/A",IF(Table1[[#This Row],[DUT Adj Read]]="N/A",IF(Table1[[#This Row],[Std Adj Read]]&gt;Table1[[#This Row],[Low Tol]],"Pass","Fail"),IF(Table1[[#This Row],[DUT Adj Read]]&gt;Table1[[#This Row],[Low Tol]],"Pass","Fail")))</f>
        <v>Pass</v>
      </c>
      <c r="AE1842" s="1" t="str">
        <f>IF(AND(Table1[[#This Row],[Spec Type2]]="N/A",Table1[[#This Row],[DUT Adj Read]]="N/A",Table1[[#This Row],[Std Adj Read]]="N/A"),"N/A",IF(Table1[[#This Row],[DUT Adj Read]]="N/A",IF(Table1[[#This Row],[Std Adj Read]]&lt;Table1[[#This Row],[High Tol]],"Pass","Fail"),IF(Table1[[#This Row],[DUT Adj Read]]&lt;Table1[[#This Row],[High Tol]],"Pass","Fail")))</f>
        <v>Fail</v>
      </c>
      <c r="AF1842" s="1" t="str">
        <f>IF(AND(Table1[[#This Row],[Spec Type2]]="N/A",Table1[[#This Row],[DUT Adj Read]]="N/A",Table1[[#This Row],[Std Adj Read]]="N/A"),"N/A",IF(Table1[[#This Row],[DUT Adj Read]]="N/A",IF(Table1[[#This Row],[Std Adj Read]]&gt;=Table1[[#This Row],[Low Tol]],"Pass","Fail"),IF(Table1[[#This Row],[DUT Adj Read]]&gt;=Table1[[#This Row],[Low Tol]],"Pass","Fail")))</f>
        <v>Pass</v>
      </c>
      <c r="AG1842" s="1" t="str">
        <f>IF(AND(Table1[[#This Row],[Spec Type2]]="N/A",Table1[[#This Row],[DUT Adj Read]]="N/A",Table1[[#This Row],[Std Adj Read]]="N/A"),"N/A",IF(Table1[[#This Row],[DUT Adj Read]]="N/A",IF(Table1[[#This Row],[Std Adj Read]]&lt;=Table1[[#This Row],[High Tol]],"Pass","Fail"),IF(Table1[[#This Row],[DUT Adj Read]]&lt;=Table1[[#This Row],[High Tol]],"Pass","Fail")))</f>
        <v>Fail</v>
      </c>
      <c r="AH18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2" s="1" t="b">
        <v>0</v>
      </c>
      <c r="AN1842" s="1" t="b">
        <v>0</v>
      </c>
      <c r="AO1842" s="1" t="b">
        <v>0</v>
      </c>
    </row>
    <row r="1843" spans="1:41" x14ac:dyDescent="0.25">
      <c r="A1843" s="10"/>
      <c r="B1843" s="10"/>
      <c r="C1843" s="10"/>
      <c r="D1843" s="10"/>
      <c r="E1843" s="10"/>
      <c r="F1843" s="10"/>
      <c r="G1843" s="10"/>
      <c r="H1843" s="10"/>
      <c r="I1843" s="1" t="str">
        <f t="shared" si="84"/>
        <v/>
      </c>
      <c r="J1843" s="1" t="s">
        <v>35</v>
      </c>
      <c r="K1843" s="1" t="str">
        <f t="shared" si="85"/>
        <v/>
      </c>
      <c r="L1843" s="1" t="str">
        <f t="shared" si="86"/>
        <v/>
      </c>
      <c r="M1843" s="1">
        <f>IF(OR(Table1[[#This Row],[Std Nom]]="",Table1[[#This Row],[Std Read]]=""),0,Table1[[#This Row],[Std Nom]]-Table1[[#This Row],[Std Read]])</f>
        <v>0</v>
      </c>
      <c r="N1843" s="1">
        <f>IF(Calculations!$F$5="ACCREDITED 17025 WITH UNCERTAINTIES",$N$10,0)</f>
        <v>0</v>
      </c>
      <c r="O1843" s="1" t="str">
        <f>IFERROR(Table1[[#This Row],[Std Nom]]-(_xlfn.XLOOKUP(Table1[[#This Row],[Manufacturer]]&amp;" "&amp;Table1[[#This Row],[Model]],Table13[MFR &amp; MDL],Table13[Tolerance % CW ],"")/100*Table1[[#This Row],[Std Nom]]),"")</f>
        <v/>
      </c>
      <c r="P1843" s="1" t="str">
        <f>IFERROR(Table1[[#This Row],[Std Nom]]+(_xlfn.XLOOKUP(Table1[[#This Row],[Manufacturer]]&amp;" "&amp;Table1[[#This Row],[Model]],Table13[MFR &amp; MDL],Table13[Tolerance % CW ],"")/100*Table1[[#This Row],[Std Nom]]),"")</f>
        <v/>
      </c>
      <c r="Q1843" s="1" t="e">
        <f>Table1[[#This Row],[High Tol]]-Table1[[#This Row],[Low Tol]]</f>
        <v>#VALUE!</v>
      </c>
      <c r="R1843" s="1">
        <f>2*Table1[[#This Row],[Std Error]]</f>
        <v>0</v>
      </c>
      <c r="S1843" s="1" t="str">
        <f>IF(Table1[[#This Row],[High Tol]]="","N/A",IFERROR(ABS(Table1[[#This Row],[Tol Span]]/Table1[[#This Row],[Error Span]]),"N/A"))</f>
        <v>N/A</v>
      </c>
      <c r="T1843" s="1" t="str">
        <f>IF(OR(Table1[[#This Row],[Low Tol]]="",Table1[[#This Row],[High Tol]]=""),"Needs Analysis",IF(Table1[[#This Row],[Ratio]]&gt;=4,"Not Significant",IF(Table1[[#This Row],[Ratio]]&gt;=2,"Semi-Significant","Significant")))</f>
        <v>Needs Analysis</v>
      </c>
      <c r="W1843" s="1">
        <f>IF(Table1[[#This Row],[Cal Type]]&lt;&gt;"ACCREDITED 17025 WITH UNCERTAINTIES",0,"")</f>
        <v>0</v>
      </c>
      <c r="X1843" s="1" t="str">
        <f>IF(Table1[[#This Row],[DUT Read]]="","N/A",Table1[[#This Row],[Std Error]]+Table1[[#This Row],[DUT Read]]+Table1[[#This Row],[DUT Ucty]])</f>
        <v>N/A</v>
      </c>
      <c r="Y1843" s="1" t="str">
        <f>IF(Table1[[#This Row],[Std Read]]="","N/A",Table1[[#This Row],[Std Read]]+Table1[[#This Row],[Std Ucty]])</f>
        <v>N/A</v>
      </c>
      <c r="Z18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3" s="1" t="str">
        <f>IF(Table1[[#This Row],[Spec Type]]="","N/A",Table1[[#This Row],[Spec Type]])</f>
        <v>±</v>
      </c>
      <c r="AC1843" s="1" t="str">
        <f>IF(Table1[[#This Row],[Spec Type2]]="N/A","N/A",IF(AND(Table1[[#This Row],[DUT Adj Read]]&gt;=Table1[[#This Row],[Low Tol]],Table1[[#This Row],[DUT Adj Read]]&lt;=Table1[[#This Row],[High Tol]]),"Pass","Fail"))</f>
        <v>Fail</v>
      </c>
      <c r="AD1843" s="1" t="str">
        <f>IF(AND(Table1[[#This Row],[Spec Type2]]="N/A",Table1[[#This Row],[DUT Adj Read]]="N/A",Table1[[#This Row],[Std Adj Read]]="N/A"),"N/A",IF(Table1[[#This Row],[DUT Adj Read]]="N/A",IF(Table1[[#This Row],[Std Adj Read]]&gt;Table1[[#This Row],[Low Tol]],"Pass","Fail"),IF(Table1[[#This Row],[DUT Adj Read]]&gt;Table1[[#This Row],[Low Tol]],"Pass","Fail")))</f>
        <v>Pass</v>
      </c>
      <c r="AE1843" s="1" t="str">
        <f>IF(AND(Table1[[#This Row],[Spec Type2]]="N/A",Table1[[#This Row],[DUT Adj Read]]="N/A",Table1[[#This Row],[Std Adj Read]]="N/A"),"N/A",IF(Table1[[#This Row],[DUT Adj Read]]="N/A",IF(Table1[[#This Row],[Std Adj Read]]&lt;Table1[[#This Row],[High Tol]],"Pass","Fail"),IF(Table1[[#This Row],[DUT Adj Read]]&lt;Table1[[#This Row],[High Tol]],"Pass","Fail")))</f>
        <v>Fail</v>
      </c>
      <c r="AF1843" s="1" t="str">
        <f>IF(AND(Table1[[#This Row],[Spec Type2]]="N/A",Table1[[#This Row],[DUT Adj Read]]="N/A",Table1[[#This Row],[Std Adj Read]]="N/A"),"N/A",IF(Table1[[#This Row],[DUT Adj Read]]="N/A",IF(Table1[[#This Row],[Std Adj Read]]&gt;=Table1[[#This Row],[Low Tol]],"Pass","Fail"),IF(Table1[[#This Row],[DUT Adj Read]]&gt;=Table1[[#This Row],[Low Tol]],"Pass","Fail")))</f>
        <v>Pass</v>
      </c>
      <c r="AG1843" s="1" t="str">
        <f>IF(AND(Table1[[#This Row],[Spec Type2]]="N/A",Table1[[#This Row],[DUT Adj Read]]="N/A",Table1[[#This Row],[Std Adj Read]]="N/A"),"N/A",IF(Table1[[#This Row],[DUT Adj Read]]="N/A",IF(Table1[[#This Row],[Std Adj Read]]&lt;=Table1[[#This Row],[High Tol]],"Pass","Fail"),IF(Table1[[#This Row],[DUT Adj Read]]&lt;=Table1[[#This Row],[High Tol]],"Pass","Fail")))</f>
        <v>Fail</v>
      </c>
      <c r="AH18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3" s="1" t="b">
        <v>0</v>
      </c>
      <c r="AN1843" s="1" t="b">
        <v>0</v>
      </c>
      <c r="AO1843" s="1" t="b">
        <v>0</v>
      </c>
    </row>
    <row r="1844" spans="1:41" x14ac:dyDescent="0.25">
      <c r="A1844" s="10"/>
      <c r="B1844" s="10"/>
      <c r="C1844" s="10"/>
      <c r="D1844" s="10"/>
      <c r="E1844" s="10"/>
      <c r="F1844" s="10"/>
      <c r="G1844" s="10"/>
      <c r="H1844" s="10"/>
      <c r="I1844" s="1" t="str">
        <f t="shared" si="84"/>
        <v/>
      </c>
      <c r="J1844" s="1" t="s">
        <v>35</v>
      </c>
      <c r="K1844" s="1" t="str">
        <f t="shared" si="85"/>
        <v/>
      </c>
      <c r="L1844" s="1" t="str">
        <f t="shared" si="86"/>
        <v/>
      </c>
      <c r="M1844" s="1">
        <f>IF(OR(Table1[[#This Row],[Std Nom]]="",Table1[[#This Row],[Std Read]]=""),0,Table1[[#This Row],[Std Nom]]-Table1[[#This Row],[Std Read]])</f>
        <v>0</v>
      </c>
      <c r="N1844" s="1">
        <f>IF(Calculations!$F$5="ACCREDITED 17025 WITH UNCERTAINTIES",$N$10,0)</f>
        <v>0</v>
      </c>
      <c r="O1844" s="1" t="str">
        <f>IFERROR(Table1[[#This Row],[Std Nom]]-(_xlfn.XLOOKUP(Table1[[#This Row],[Manufacturer]]&amp;" "&amp;Table1[[#This Row],[Model]],Table13[MFR &amp; MDL],Table13[Tolerance % CW ],"")/100*Table1[[#This Row],[Std Nom]]),"")</f>
        <v/>
      </c>
      <c r="P1844" s="1" t="str">
        <f>IFERROR(Table1[[#This Row],[Std Nom]]+(_xlfn.XLOOKUP(Table1[[#This Row],[Manufacturer]]&amp;" "&amp;Table1[[#This Row],[Model]],Table13[MFR &amp; MDL],Table13[Tolerance % CW ],"")/100*Table1[[#This Row],[Std Nom]]),"")</f>
        <v/>
      </c>
      <c r="Q1844" s="1" t="e">
        <f>Table1[[#This Row],[High Tol]]-Table1[[#This Row],[Low Tol]]</f>
        <v>#VALUE!</v>
      </c>
      <c r="R1844" s="1">
        <f>2*Table1[[#This Row],[Std Error]]</f>
        <v>0</v>
      </c>
      <c r="S1844" s="1" t="str">
        <f>IF(Table1[[#This Row],[High Tol]]="","N/A",IFERROR(ABS(Table1[[#This Row],[Tol Span]]/Table1[[#This Row],[Error Span]]),"N/A"))</f>
        <v>N/A</v>
      </c>
      <c r="T1844" s="1" t="str">
        <f>IF(OR(Table1[[#This Row],[Low Tol]]="",Table1[[#This Row],[High Tol]]=""),"Needs Analysis",IF(Table1[[#This Row],[Ratio]]&gt;=4,"Not Significant",IF(Table1[[#This Row],[Ratio]]&gt;=2,"Semi-Significant","Significant")))</f>
        <v>Needs Analysis</v>
      </c>
      <c r="W1844" s="1">
        <f>IF(Table1[[#This Row],[Cal Type]]&lt;&gt;"ACCREDITED 17025 WITH UNCERTAINTIES",0,"")</f>
        <v>0</v>
      </c>
      <c r="X1844" s="1" t="str">
        <f>IF(Table1[[#This Row],[DUT Read]]="","N/A",Table1[[#This Row],[Std Error]]+Table1[[#This Row],[DUT Read]]+Table1[[#This Row],[DUT Ucty]])</f>
        <v>N/A</v>
      </c>
      <c r="Y1844" s="1" t="str">
        <f>IF(Table1[[#This Row],[Std Read]]="","N/A",Table1[[#This Row],[Std Read]]+Table1[[#This Row],[Std Ucty]])</f>
        <v>N/A</v>
      </c>
      <c r="Z18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4" s="1" t="str">
        <f>IF(Table1[[#This Row],[Spec Type]]="","N/A",Table1[[#This Row],[Spec Type]])</f>
        <v>±</v>
      </c>
      <c r="AC1844" s="1" t="str">
        <f>IF(Table1[[#This Row],[Spec Type2]]="N/A","N/A",IF(AND(Table1[[#This Row],[DUT Adj Read]]&gt;=Table1[[#This Row],[Low Tol]],Table1[[#This Row],[DUT Adj Read]]&lt;=Table1[[#This Row],[High Tol]]),"Pass","Fail"))</f>
        <v>Fail</v>
      </c>
      <c r="AD1844" s="1" t="str">
        <f>IF(AND(Table1[[#This Row],[Spec Type2]]="N/A",Table1[[#This Row],[DUT Adj Read]]="N/A",Table1[[#This Row],[Std Adj Read]]="N/A"),"N/A",IF(Table1[[#This Row],[DUT Adj Read]]="N/A",IF(Table1[[#This Row],[Std Adj Read]]&gt;Table1[[#This Row],[Low Tol]],"Pass","Fail"),IF(Table1[[#This Row],[DUT Adj Read]]&gt;Table1[[#This Row],[Low Tol]],"Pass","Fail")))</f>
        <v>Pass</v>
      </c>
      <c r="AE1844" s="1" t="str">
        <f>IF(AND(Table1[[#This Row],[Spec Type2]]="N/A",Table1[[#This Row],[DUT Adj Read]]="N/A",Table1[[#This Row],[Std Adj Read]]="N/A"),"N/A",IF(Table1[[#This Row],[DUT Adj Read]]="N/A",IF(Table1[[#This Row],[Std Adj Read]]&lt;Table1[[#This Row],[High Tol]],"Pass","Fail"),IF(Table1[[#This Row],[DUT Adj Read]]&lt;Table1[[#This Row],[High Tol]],"Pass","Fail")))</f>
        <v>Fail</v>
      </c>
      <c r="AF1844" s="1" t="str">
        <f>IF(AND(Table1[[#This Row],[Spec Type2]]="N/A",Table1[[#This Row],[DUT Adj Read]]="N/A",Table1[[#This Row],[Std Adj Read]]="N/A"),"N/A",IF(Table1[[#This Row],[DUT Adj Read]]="N/A",IF(Table1[[#This Row],[Std Adj Read]]&gt;=Table1[[#This Row],[Low Tol]],"Pass","Fail"),IF(Table1[[#This Row],[DUT Adj Read]]&gt;=Table1[[#This Row],[Low Tol]],"Pass","Fail")))</f>
        <v>Pass</v>
      </c>
      <c r="AG1844" s="1" t="str">
        <f>IF(AND(Table1[[#This Row],[Spec Type2]]="N/A",Table1[[#This Row],[DUT Adj Read]]="N/A",Table1[[#This Row],[Std Adj Read]]="N/A"),"N/A",IF(Table1[[#This Row],[DUT Adj Read]]="N/A",IF(Table1[[#This Row],[Std Adj Read]]&lt;=Table1[[#This Row],[High Tol]],"Pass","Fail"),IF(Table1[[#This Row],[DUT Adj Read]]&lt;=Table1[[#This Row],[High Tol]],"Pass","Fail")))</f>
        <v>Fail</v>
      </c>
      <c r="AH18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4" s="1" t="b">
        <v>0</v>
      </c>
      <c r="AN1844" s="1" t="b">
        <v>0</v>
      </c>
      <c r="AO1844" s="1" t="b">
        <v>0</v>
      </c>
    </row>
    <row r="1845" spans="1:41" x14ac:dyDescent="0.25">
      <c r="A1845" s="10"/>
      <c r="B1845" s="10"/>
      <c r="C1845" s="10"/>
      <c r="D1845" s="10"/>
      <c r="E1845" s="10"/>
      <c r="F1845" s="10"/>
      <c r="G1845" s="10"/>
      <c r="H1845" s="10"/>
      <c r="I1845" s="1" t="str">
        <f t="shared" si="84"/>
        <v/>
      </c>
      <c r="J1845" s="1" t="s">
        <v>35</v>
      </c>
      <c r="K1845" s="1" t="str">
        <f t="shared" si="85"/>
        <v/>
      </c>
      <c r="L1845" s="1" t="str">
        <f t="shared" si="86"/>
        <v/>
      </c>
      <c r="M1845" s="1">
        <f>IF(OR(Table1[[#This Row],[Std Nom]]="",Table1[[#This Row],[Std Read]]=""),0,Table1[[#This Row],[Std Nom]]-Table1[[#This Row],[Std Read]])</f>
        <v>0</v>
      </c>
      <c r="N1845" s="1">
        <f>IF(Calculations!$F$5="ACCREDITED 17025 WITH UNCERTAINTIES",$N$10,0)</f>
        <v>0</v>
      </c>
      <c r="O1845" s="1" t="str">
        <f>IFERROR(Table1[[#This Row],[Std Nom]]-(_xlfn.XLOOKUP(Table1[[#This Row],[Manufacturer]]&amp;" "&amp;Table1[[#This Row],[Model]],Table13[MFR &amp; MDL],Table13[Tolerance % CW ],"")/100*Table1[[#This Row],[Std Nom]]),"")</f>
        <v/>
      </c>
      <c r="P1845" s="1" t="str">
        <f>IFERROR(Table1[[#This Row],[Std Nom]]+(_xlfn.XLOOKUP(Table1[[#This Row],[Manufacturer]]&amp;" "&amp;Table1[[#This Row],[Model]],Table13[MFR &amp; MDL],Table13[Tolerance % CW ],"")/100*Table1[[#This Row],[Std Nom]]),"")</f>
        <v/>
      </c>
      <c r="Q1845" s="1" t="e">
        <f>Table1[[#This Row],[High Tol]]-Table1[[#This Row],[Low Tol]]</f>
        <v>#VALUE!</v>
      </c>
      <c r="R1845" s="1">
        <f>2*Table1[[#This Row],[Std Error]]</f>
        <v>0</v>
      </c>
      <c r="S1845" s="1" t="str">
        <f>IF(Table1[[#This Row],[High Tol]]="","N/A",IFERROR(ABS(Table1[[#This Row],[Tol Span]]/Table1[[#This Row],[Error Span]]),"N/A"))</f>
        <v>N/A</v>
      </c>
      <c r="T1845" s="1" t="str">
        <f>IF(OR(Table1[[#This Row],[Low Tol]]="",Table1[[#This Row],[High Tol]]=""),"Needs Analysis",IF(Table1[[#This Row],[Ratio]]&gt;=4,"Not Significant",IF(Table1[[#This Row],[Ratio]]&gt;=2,"Semi-Significant","Significant")))</f>
        <v>Needs Analysis</v>
      </c>
      <c r="W1845" s="1">
        <f>IF(Table1[[#This Row],[Cal Type]]&lt;&gt;"ACCREDITED 17025 WITH UNCERTAINTIES",0,"")</f>
        <v>0</v>
      </c>
      <c r="X1845" s="1" t="str">
        <f>IF(Table1[[#This Row],[DUT Read]]="","N/A",Table1[[#This Row],[Std Error]]+Table1[[#This Row],[DUT Read]]+Table1[[#This Row],[DUT Ucty]])</f>
        <v>N/A</v>
      </c>
      <c r="Y1845" s="1" t="str">
        <f>IF(Table1[[#This Row],[Std Read]]="","N/A",Table1[[#This Row],[Std Read]]+Table1[[#This Row],[Std Ucty]])</f>
        <v>N/A</v>
      </c>
      <c r="Z18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5" s="1" t="str">
        <f>IF(Table1[[#This Row],[Spec Type]]="","N/A",Table1[[#This Row],[Spec Type]])</f>
        <v>±</v>
      </c>
      <c r="AC1845" s="1" t="str">
        <f>IF(Table1[[#This Row],[Spec Type2]]="N/A","N/A",IF(AND(Table1[[#This Row],[DUT Adj Read]]&gt;=Table1[[#This Row],[Low Tol]],Table1[[#This Row],[DUT Adj Read]]&lt;=Table1[[#This Row],[High Tol]]),"Pass","Fail"))</f>
        <v>Fail</v>
      </c>
      <c r="AD1845" s="1" t="str">
        <f>IF(AND(Table1[[#This Row],[Spec Type2]]="N/A",Table1[[#This Row],[DUT Adj Read]]="N/A",Table1[[#This Row],[Std Adj Read]]="N/A"),"N/A",IF(Table1[[#This Row],[DUT Adj Read]]="N/A",IF(Table1[[#This Row],[Std Adj Read]]&gt;Table1[[#This Row],[Low Tol]],"Pass","Fail"),IF(Table1[[#This Row],[DUT Adj Read]]&gt;Table1[[#This Row],[Low Tol]],"Pass","Fail")))</f>
        <v>Pass</v>
      </c>
      <c r="AE1845" s="1" t="str">
        <f>IF(AND(Table1[[#This Row],[Spec Type2]]="N/A",Table1[[#This Row],[DUT Adj Read]]="N/A",Table1[[#This Row],[Std Adj Read]]="N/A"),"N/A",IF(Table1[[#This Row],[DUT Adj Read]]="N/A",IF(Table1[[#This Row],[Std Adj Read]]&lt;Table1[[#This Row],[High Tol]],"Pass","Fail"),IF(Table1[[#This Row],[DUT Adj Read]]&lt;Table1[[#This Row],[High Tol]],"Pass","Fail")))</f>
        <v>Fail</v>
      </c>
      <c r="AF1845" s="1" t="str">
        <f>IF(AND(Table1[[#This Row],[Spec Type2]]="N/A",Table1[[#This Row],[DUT Adj Read]]="N/A",Table1[[#This Row],[Std Adj Read]]="N/A"),"N/A",IF(Table1[[#This Row],[DUT Adj Read]]="N/A",IF(Table1[[#This Row],[Std Adj Read]]&gt;=Table1[[#This Row],[Low Tol]],"Pass","Fail"),IF(Table1[[#This Row],[DUT Adj Read]]&gt;=Table1[[#This Row],[Low Tol]],"Pass","Fail")))</f>
        <v>Pass</v>
      </c>
      <c r="AG1845" s="1" t="str">
        <f>IF(AND(Table1[[#This Row],[Spec Type2]]="N/A",Table1[[#This Row],[DUT Adj Read]]="N/A",Table1[[#This Row],[Std Adj Read]]="N/A"),"N/A",IF(Table1[[#This Row],[DUT Adj Read]]="N/A",IF(Table1[[#This Row],[Std Adj Read]]&lt;=Table1[[#This Row],[High Tol]],"Pass","Fail"),IF(Table1[[#This Row],[DUT Adj Read]]&lt;=Table1[[#This Row],[High Tol]],"Pass","Fail")))</f>
        <v>Fail</v>
      </c>
      <c r="AH18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5" s="1" t="b">
        <v>0</v>
      </c>
      <c r="AN1845" s="1" t="b">
        <v>0</v>
      </c>
      <c r="AO1845" s="1" t="b">
        <v>0</v>
      </c>
    </row>
    <row r="1846" spans="1:41" x14ac:dyDescent="0.25">
      <c r="A1846" s="10"/>
      <c r="B1846" s="10"/>
      <c r="C1846" s="10"/>
      <c r="D1846" s="10"/>
      <c r="E1846" s="10"/>
      <c r="F1846" s="10"/>
      <c r="G1846" s="10"/>
      <c r="H1846" s="10"/>
      <c r="I1846" s="1" t="str">
        <f t="shared" si="84"/>
        <v/>
      </c>
      <c r="J1846" s="1" t="s">
        <v>35</v>
      </c>
      <c r="K1846" s="1" t="str">
        <f t="shared" si="85"/>
        <v/>
      </c>
      <c r="L1846" s="1" t="str">
        <f t="shared" si="86"/>
        <v/>
      </c>
      <c r="M1846" s="1">
        <f>IF(OR(Table1[[#This Row],[Std Nom]]="",Table1[[#This Row],[Std Read]]=""),0,Table1[[#This Row],[Std Nom]]-Table1[[#This Row],[Std Read]])</f>
        <v>0</v>
      </c>
      <c r="N1846" s="1">
        <f>IF(Calculations!$F$5="ACCREDITED 17025 WITH UNCERTAINTIES",$N$10,0)</f>
        <v>0</v>
      </c>
      <c r="O1846" s="1" t="str">
        <f>IFERROR(Table1[[#This Row],[Std Nom]]-(_xlfn.XLOOKUP(Table1[[#This Row],[Manufacturer]]&amp;" "&amp;Table1[[#This Row],[Model]],Table13[MFR &amp; MDL],Table13[Tolerance % CW ],"")/100*Table1[[#This Row],[Std Nom]]),"")</f>
        <v/>
      </c>
      <c r="P1846" s="1" t="str">
        <f>IFERROR(Table1[[#This Row],[Std Nom]]+(_xlfn.XLOOKUP(Table1[[#This Row],[Manufacturer]]&amp;" "&amp;Table1[[#This Row],[Model]],Table13[MFR &amp; MDL],Table13[Tolerance % CW ],"")/100*Table1[[#This Row],[Std Nom]]),"")</f>
        <v/>
      </c>
      <c r="Q1846" s="1" t="e">
        <f>Table1[[#This Row],[High Tol]]-Table1[[#This Row],[Low Tol]]</f>
        <v>#VALUE!</v>
      </c>
      <c r="R1846" s="1">
        <f>2*Table1[[#This Row],[Std Error]]</f>
        <v>0</v>
      </c>
      <c r="S1846" s="1" t="str">
        <f>IF(Table1[[#This Row],[High Tol]]="","N/A",IFERROR(ABS(Table1[[#This Row],[Tol Span]]/Table1[[#This Row],[Error Span]]),"N/A"))</f>
        <v>N/A</v>
      </c>
      <c r="T1846" s="1" t="str">
        <f>IF(OR(Table1[[#This Row],[Low Tol]]="",Table1[[#This Row],[High Tol]]=""),"Needs Analysis",IF(Table1[[#This Row],[Ratio]]&gt;=4,"Not Significant",IF(Table1[[#This Row],[Ratio]]&gt;=2,"Semi-Significant","Significant")))</f>
        <v>Needs Analysis</v>
      </c>
      <c r="W1846" s="1">
        <f>IF(Table1[[#This Row],[Cal Type]]&lt;&gt;"ACCREDITED 17025 WITH UNCERTAINTIES",0,"")</f>
        <v>0</v>
      </c>
      <c r="X1846" s="1" t="str">
        <f>IF(Table1[[#This Row],[DUT Read]]="","N/A",Table1[[#This Row],[Std Error]]+Table1[[#This Row],[DUT Read]]+Table1[[#This Row],[DUT Ucty]])</f>
        <v>N/A</v>
      </c>
      <c r="Y1846" s="1" t="str">
        <f>IF(Table1[[#This Row],[Std Read]]="","N/A",Table1[[#This Row],[Std Read]]+Table1[[#This Row],[Std Ucty]])</f>
        <v>N/A</v>
      </c>
      <c r="Z18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6" s="1" t="str">
        <f>IF(Table1[[#This Row],[Spec Type]]="","N/A",Table1[[#This Row],[Spec Type]])</f>
        <v>±</v>
      </c>
      <c r="AC1846" s="1" t="str">
        <f>IF(Table1[[#This Row],[Spec Type2]]="N/A","N/A",IF(AND(Table1[[#This Row],[DUT Adj Read]]&gt;=Table1[[#This Row],[Low Tol]],Table1[[#This Row],[DUT Adj Read]]&lt;=Table1[[#This Row],[High Tol]]),"Pass","Fail"))</f>
        <v>Fail</v>
      </c>
      <c r="AD1846" s="1" t="str">
        <f>IF(AND(Table1[[#This Row],[Spec Type2]]="N/A",Table1[[#This Row],[DUT Adj Read]]="N/A",Table1[[#This Row],[Std Adj Read]]="N/A"),"N/A",IF(Table1[[#This Row],[DUT Adj Read]]="N/A",IF(Table1[[#This Row],[Std Adj Read]]&gt;Table1[[#This Row],[Low Tol]],"Pass","Fail"),IF(Table1[[#This Row],[DUT Adj Read]]&gt;Table1[[#This Row],[Low Tol]],"Pass","Fail")))</f>
        <v>Pass</v>
      </c>
      <c r="AE1846" s="1" t="str">
        <f>IF(AND(Table1[[#This Row],[Spec Type2]]="N/A",Table1[[#This Row],[DUT Adj Read]]="N/A",Table1[[#This Row],[Std Adj Read]]="N/A"),"N/A",IF(Table1[[#This Row],[DUT Adj Read]]="N/A",IF(Table1[[#This Row],[Std Adj Read]]&lt;Table1[[#This Row],[High Tol]],"Pass","Fail"),IF(Table1[[#This Row],[DUT Adj Read]]&lt;Table1[[#This Row],[High Tol]],"Pass","Fail")))</f>
        <v>Fail</v>
      </c>
      <c r="AF1846" s="1" t="str">
        <f>IF(AND(Table1[[#This Row],[Spec Type2]]="N/A",Table1[[#This Row],[DUT Adj Read]]="N/A",Table1[[#This Row],[Std Adj Read]]="N/A"),"N/A",IF(Table1[[#This Row],[DUT Adj Read]]="N/A",IF(Table1[[#This Row],[Std Adj Read]]&gt;=Table1[[#This Row],[Low Tol]],"Pass","Fail"),IF(Table1[[#This Row],[DUT Adj Read]]&gt;=Table1[[#This Row],[Low Tol]],"Pass","Fail")))</f>
        <v>Pass</v>
      </c>
      <c r="AG1846" s="1" t="str">
        <f>IF(AND(Table1[[#This Row],[Spec Type2]]="N/A",Table1[[#This Row],[DUT Adj Read]]="N/A",Table1[[#This Row],[Std Adj Read]]="N/A"),"N/A",IF(Table1[[#This Row],[DUT Adj Read]]="N/A",IF(Table1[[#This Row],[Std Adj Read]]&lt;=Table1[[#This Row],[High Tol]],"Pass","Fail"),IF(Table1[[#This Row],[DUT Adj Read]]&lt;=Table1[[#This Row],[High Tol]],"Pass","Fail")))</f>
        <v>Fail</v>
      </c>
      <c r="AH18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6" s="1" t="b">
        <v>0</v>
      </c>
      <c r="AN1846" s="1" t="b">
        <v>0</v>
      </c>
      <c r="AO1846" s="1" t="b">
        <v>0</v>
      </c>
    </row>
    <row r="1847" spans="1:41" x14ac:dyDescent="0.25">
      <c r="A1847" s="10"/>
      <c r="B1847" s="10"/>
      <c r="C1847" s="10"/>
      <c r="D1847" s="10"/>
      <c r="E1847" s="10"/>
      <c r="F1847" s="10"/>
      <c r="G1847" s="10"/>
      <c r="H1847" s="10"/>
      <c r="I1847" s="1" t="str">
        <f t="shared" si="84"/>
        <v/>
      </c>
      <c r="J1847" s="1" t="s">
        <v>35</v>
      </c>
      <c r="K1847" s="1" t="str">
        <f t="shared" si="85"/>
        <v/>
      </c>
      <c r="L1847" s="1" t="str">
        <f t="shared" si="86"/>
        <v/>
      </c>
      <c r="M1847" s="1">
        <f>IF(OR(Table1[[#This Row],[Std Nom]]="",Table1[[#This Row],[Std Read]]=""),0,Table1[[#This Row],[Std Nom]]-Table1[[#This Row],[Std Read]])</f>
        <v>0</v>
      </c>
      <c r="N1847" s="1">
        <f>IF(Calculations!$F$5="ACCREDITED 17025 WITH UNCERTAINTIES",$N$10,0)</f>
        <v>0</v>
      </c>
      <c r="O1847" s="1" t="str">
        <f>IFERROR(Table1[[#This Row],[Std Nom]]-(_xlfn.XLOOKUP(Table1[[#This Row],[Manufacturer]]&amp;" "&amp;Table1[[#This Row],[Model]],Table13[MFR &amp; MDL],Table13[Tolerance % CW ],"")/100*Table1[[#This Row],[Std Nom]]),"")</f>
        <v/>
      </c>
      <c r="P1847" s="1" t="str">
        <f>IFERROR(Table1[[#This Row],[Std Nom]]+(_xlfn.XLOOKUP(Table1[[#This Row],[Manufacturer]]&amp;" "&amp;Table1[[#This Row],[Model]],Table13[MFR &amp; MDL],Table13[Tolerance % CW ],"")/100*Table1[[#This Row],[Std Nom]]),"")</f>
        <v/>
      </c>
      <c r="Q1847" s="1" t="e">
        <f>Table1[[#This Row],[High Tol]]-Table1[[#This Row],[Low Tol]]</f>
        <v>#VALUE!</v>
      </c>
      <c r="R1847" s="1">
        <f>2*Table1[[#This Row],[Std Error]]</f>
        <v>0</v>
      </c>
      <c r="S1847" s="1" t="str">
        <f>IF(Table1[[#This Row],[High Tol]]="","N/A",IFERROR(ABS(Table1[[#This Row],[Tol Span]]/Table1[[#This Row],[Error Span]]),"N/A"))</f>
        <v>N/A</v>
      </c>
      <c r="T1847" s="1" t="str">
        <f>IF(OR(Table1[[#This Row],[Low Tol]]="",Table1[[#This Row],[High Tol]]=""),"Needs Analysis",IF(Table1[[#This Row],[Ratio]]&gt;=4,"Not Significant",IF(Table1[[#This Row],[Ratio]]&gt;=2,"Semi-Significant","Significant")))</f>
        <v>Needs Analysis</v>
      </c>
      <c r="W1847" s="1">
        <f>IF(Table1[[#This Row],[Cal Type]]&lt;&gt;"ACCREDITED 17025 WITH UNCERTAINTIES",0,"")</f>
        <v>0</v>
      </c>
      <c r="X1847" s="1" t="str">
        <f>IF(Table1[[#This Row],[DUT Read]]="","N/A",Table1[[#This Row],[Std Error]]+Table1[[#This Row],[DUT Read]]+Table1[[#This Row],[DUT Ucty]])</f>
        <v>N/A</v>
      </c>
      <c r="Y1847" s="1" t="str">
        <f>IF(Table1[[#This Row],[Std Read]]="","N/A",Table1[[#This Row],[Std Read]]+Table1[[#This Row],[Std Ucty]])</f>
        <v>N/A</v>
      </c>
      <c r="Z18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7" s="1" t="str">
        <f>IF(Table1[[#This Row],[Spec Type]]="","N/A",Table1[[#This Row],[Spec Type]])</f>
        <v>±</v>
      </c>
      <c r="AC1847" s="1" t="str">
        <f>IF(Table1[[#This Row],[Spec Type2]]="N/A","N/A",IF(AND(Table1[[#This Row],[DUT Adj Read]]&gt;=Table1[[#This Row],[Low Tol]],Table1[[#This Row],[DUT Adj Read]]&lt;=Table1[[#This Row],[High Tol]]),"Pass","Fail"))</f>
        <v>Fail</v>
      </c>
      <c r="AD1847" s="1" t="str">
        <f>IF(AND(Table1[[#This Row],[Spec Type2]]="N/A",Table1[[#This Row],[DUT Adj Read]]="N/A",Table1[[#This Row],[Std Adj Read]]="N/A"),"N/A",IF(Table1[[#This Row],[DUT Adj Read]]="N/A",IF(Table1[[#This Row],[Std Adj Read]]&gt;Table1[[#This Row],[Low Tol]],"Pass","Fail"),IF(Table1[[#This Row],[DUT Adj Read]]&gt;Table1[[#This Row],[Low Tol]],"Pass","Fail")))</f>
        <v>Pass</v>
      </c>
      <c r="AE1847" s="1" t="str">
        <f>IF(AND(Table1[[#This Row],[Spec Type2]]="N/A",Table1[[#This Row],[DUT Adj Read]]="N/A",Table1[[#This Row],[Std Adj Read]]="N/A"),"N/A",IF(Table1[[#This Row],[DUT Adj Read]]="N/A",IF(Table1[[#This Row],[Std Adj Read]]&lt;Table1[[#This Row],[High Tol]],"Pass","Fail"),IF(Table1[[#This Row],[DUT Adj Read]]&lt;Table1[[#This Row],[High Tol]],"Pass","Fail")))</f>
        <v>Fail</v>
      </c>
      <c r="AF1847" s="1" t="str">
        <f>IF(AND(Table1[[#This Row],[Spec Type2]]="N/A",Table1[[#This Row],[DUT Adj Read]]="N/A",Table1[[#This Row],[Std Adj Read]]="N/A"),"N/A",IF(Table1[[#This Row],[DUT Adj Read]]="N/A",IF(Table1[[#This Row],[Std Adj Read]]&gt;=Table1[[#This Row],[Low Tol]],"Pass","Fail"),IF(Table1[[#This Row],[DUT Adj Read]]&gt;=Table1[[#This Row],[Low Tol]],"Pass","Fail")))</f>
        <v>Pass</v>
      </c>
      <c r="AG1847" s="1" t="str">
        <f>IF(AND(Table1[[#This Row],[Spec Type2]]="N/A",Table1[[#This Row],[DUT Adj Read]]="N/A",Table1[[#This Row],[Std Adj Read]]="N/A"),"N/A",IF(Table1[[#This Row],[DUT Adj Read]]="N/A",IF(Table1[[#This Row],[Std Adj Read]]&lt;=Table1[[#This Row],[High Tol]],"Pass","Fail"),IF(Table1[[#This Row],[DUT Adj Read]]&lt;=Table1[[#This Row],[High Tol]],"Pass","Fail")))</f>
        <v>Fail</v>
      </c>
      <c r="AH18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7" s="1" t="b">
        <v>0</v>
      </c>
      <c r="AN1847" s="1" t="b">
        <v>0</v>
      </c>
      <c r="AO1847" s="1" t="b">
        <v>0</v>
      </c>
    </row>
    <row r="1848" spans="1:41" x14ac:dyDescent="0.25">
      <c r="A1848" s="10"/>
      <c r="B1848" s="10"/>
      <c r="C1848" s="10"/>
      <c r="D1848" s="10"/>
      <c r="E1848" s="10"/>
      <c r="F1848" s="10"/>
      <c r="G1848" s="10"/>
      <c r="H1848" s="10"/>
      <c r="I1848" s="1" t="str">
        <f t="shared" si="84"/>
        <v/>
      </c>
      <c r="J1848" s="1" t="s">
        <v>35</v>
      </c>
      <c r="K1848" s="1" t="str">
        <f t="shared" si="85"/>
        <v/>
      </c>
      <c r="L1848" s="1" t="str">
        <f t="shared" si="86"/>
        <v/>
      </c>
      <c r="M1848" s="1">
        <f>IF(OR(Table1[[#This Row],[Std Nom]]="",Table1[[#This Row],[Std Read]]=""),0,Table1[[#This Row],[Std Nom]]-Table1[[#This Row],[Std Read]])</f>
        <v>0</v>
      </c>
      <c r="N1848" s="1">
        <f>IF(Calculations!$F$5="ACCREDITED 17025 WITH UNCERTAINTIES",$N$10,0)</f>
        <v>0</v>
      </c>
      <c r="O1848" s="1" t="str">
        <f>IFERROR(Table1[[#This Row],[Std Nom]]-(_xlfn.XLOOKUP(Table1[[#This Row],[Manufacturer]]&amp;" "&amp;Table1[[#This Row],[Model]],Table13[MFR &amp; MDL],Table13[Tolerance % CW ],"")/100*Table1[[#This Row],[Std Nom]]),"")</f>
        <v/>
      </c>
      <c r="P1848" s="1" t="str">
        <f>IFERROR(Table1[[#This Row],[Std Nom]]+(_xlfn.XLOOKUP(Table1[[#This Row],[Manufacturer]]&amp;" "&amp;Table1[[#This Row],[Model]],Table13[MFR &amp; MDL],Table13[Tolerance % CW ],"")/100*Table1[[#This Row],[Std Nom]]),"")</f>
        <v/>
      </c>
      <c r="Q1848" s="1" t="e">
        <f>Table1[[#This Row],[High Tol]]-Table1[[#This Row],[Low Tol]]</f>
        <v>#VALUE!</v>
      </c>
      <c r="R1848" s="1">
        <f>2*Table1[[#This Row],[Std Error]]</f>
        <v>0</v>
      </c>
      <c r="S1848" s="1" t="str">
        <f>IF(Table1[[#This Row],[High Tol]]="","N/A",IFERROR(ABS(Table1[[#This Row],[Tol Span]]/Table1[[#This Row],[Error Span]]),"N/A"))</f>
        <v>N/A</v>
      </c>
      <c r="T1848" s="1" t="str">
        <f>IF(OR(Table1[[#This Row],[Low Tol]]="",Table1[[#This Row],[High Tol]]=""),"Needs Analysis",IF(Table1[[#This Row],[Ratio]]&gt;=4,"Not Significant",IF(Table1[[#This Row],[Ratio]]&gt;=2,"Semi-Significant","Significant")))</f>
        <v>Needs Analysis</v>
      </c>
      <c r="W1848" s="1">
        <f>IF(Table1[[#This Row],[Cal Type]]&lt;&gt;"ACCREDITED 17025 WITH UNCERTAINTIES",0,"")</f>
        <v>0</v>
      </c>
      <c r="X1848" s="1" t="str">
        <f>IF(Table1[[#This Row],[DUT Read]]="","N/A",Table1[[#This Row],[Std Error]]+Table1[[#This Row],[DUT Read]]+Table1[[#This Row],[DUT Ucty]])</f>
        <v>N/A</v>
      </c>
      <c r="Y1848" s="1" t="str">
        <f>IF(Table1[[#This Row],[Std Read]]="","N/A",Table1[[#This Row],[Std Read]]+Table1[[#This Row],[Std Ucty]])</f>
        <v>N/A</v>
      </c>
      <c r="Z18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8" s="1" t="str">
        <f>IF(Table1[[#This Row],[Spec Type]]="","N/A",Table1[[#This Row],[Spec Type]])</f>
        <v>±</v>
      </c>
      <c r="AC1848" s="1" t="str">
        <f>IF(Table1[[#This Row],[Spec Type2]]="N/A","N/A",IF(AND(Table1[[#This Row],[DUT Adj Read]]&gt;=Table1[[#This Row],[Low Tol]],Table1[[#This Row],[DUT Adj Read]]&lt;=Table1[[#This Row],[High Tol]]),"Pass","Fail"))</f>
        <v>Fail</v>
      </c>
      <c r="AD1848" s="1" t="str">
        <f>IF(AND(Table1[[#This Row],[Spec Type2]]="N/A",Table1[[#This Row],[DUT Adj Read]]="N/A",Table1[[#This Row],[Std Adj Read]]="N/A"),"N/A",IF(Table1[[#This Row],[DUT Adj Read]]="N/A",IF(Table1[[#This Row],[Std Adj Read]]&gt;Table1[[#This Row],[Low Tol]],"Pass","Fail"),IF(Table1[[#This Row],[DUT Adj Read]]&gt;Table1[[#This Row],[Low Tol]],"Pass","Fail")))</f>
        <v>Pass</v>
      </c>
      <c r="AE1848" s="1" t="str">
        <f>IF(AND(Table1[[#This Row],[Spec Type2]]="N/A",Table1[[#This Row],[DUT Adj Read]]="N/A",Table1[[#This Row],[Std Adj Read]]="N/A"),"N/A",IF(Table1[[#This Row],[DUT Adj Read]]="N/A",IF(Table1[[#This Row],[Std Adj Read]]&lt;Table1[[#This Row],[High Tol]],"Pass","Fail"),IF(Table1[[#This Row],[DUT Adj Read]]&lt;Table1[[#This Row],[High Tol]],"Pass","Fail")))</f>
        <v>Fail</v>
      </c>
      <c r="AF1848" s="1" t="str">
        <f>IF(AND(Table1[[#This Row],[Spec Type2]]="N/A",Table1[[#This Row],[DUT Adj Read]]="N/A",Table1[[#This Row],[Std Adj Read]]="N/A"),"N/A",IF(Table1[[#This Row],[DUT Adj Read]]="N/A",IF(Table1[[#This Row],[Std Adj Read]]&gt;=Table1[[#This Row],[Low Tol]],"Pass","Fail"),IF(Table1[[#This Row],[DUT Adj Read]]&gt;=Table1[[#This Row],[Low Tol]],"Pass","Fail")))</f>
        <v>Pass</v>
      </c>
      <c r="AG1848" s="1" t="str">
        <f>IF(AND(Table1[[#This Row],[Spec Type2]]="N/A",Table1[[#This Row],[DUT Adj Read]]="N/A",Table1[[#This Row],[Std Adj Read]]="N/A"),"N/A",IF(Table1[[#This Row],[DUT Adj Read]]="N/A",IF(Table1[[#This Row],[Std Adj Read]]&lt;=Table1[[#This Row],[High Tol]],"Pass","Fail"),IF(Table1[[#This Row],[DUT Adj Read]]&lt;=Table1[[#This Row],[High Tol]],"Pass","Fail")))</f>
        <v>Fail</v>
      </c>
      <c r="AH18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8" s="1" t="b">
        <v>0</v>
      </c>
      <c r="AN1848" s="1" t="b">
        <v>0</v>
      </c>
      <c r="AO1848" s="1" t="b">
        <v>0</v>
      </c>
    </row>
    <row r="1849" spans="1:41" x14ac:dyDescent="0.25">
      <c r="A1849" s="10"/>
      <c r="B1849" s="10"/>
      <c r="C1849" s="10"/>
      <c r="D1849" s="10"/>
      <c r="E1849" s="10"/>
      <c r="F1849" s="10"/>
      <c r="G1849" s="10"/>
      <c r="H1849" s="10"/>
      <c r="I1849" s="1" t="str">
        <f t="shared" si="84"/>
        <v/>
      </c>
      <c r="J1849" s="1" t="s">
        <v>35</v>
      </c>
      <c r="K1849" s="1" t="str">
        <f t="shared" si="85"/>
        <v/>
      </c>
      <c r="L1849" s="1" t="str">
        <f t="shared" si="86"/>
        <v/>
      </c>
      <c r="M1849" s="1">
        <f>IF(OR(Table1[[#This Row],[Std Nom]]="",Table1[[#This Row],[Std Read]]=""),0,Table1[[#This Row],[Std Nom]]-Table1[[#This Row],[Std Read]])</f>
        <v>0</v>
      </c>
      <c r="N1849" s="1">
        <f>IF(Calculations!$F$5="ACCREDITED 17025 WITH UNCERTAINTIES",$N$10,0)</f>
        <v>0</v>
      </c>
      <c r="O1849" s="1" t="str">
        <f>IFERROR(Table1[[#This Row],[Std Nom]]-(_xlfn.XLOOKUP(Table1[[#This Row],[Manufacturer]]&amp;" "&amp;Table1[[#This Row],[Model]],Table13[MFR &amp; MDL],Table13[Tolerance % CW ],"")/100*Table1[[#This Row],[Std Nom]]),"")</f>
        <v/>
      </c>
      <c r="P1849" s="1" t="str">
        <f>IFERROR(Table1[[#This Row],[Std Nom]]+(_xlfn.XLOOKUP(Table1[[#This Row],[Manufacturer]]&amp;" "&amp;Table1[[#This Row],[Model]],Table13[MFR &amp; MDL],Table13[Tolerance % CW ],"")/100*Table1[[#This Row],[Std Nom]]),"")</f>
        <v/>
      </c>
      <c r="Q1849" s="1" t="e">
        <f>Table1[[#This Row],[High Tol]]-Table1[[#This Row],[Low Tol]]</f>
        <v>#VALUE!</v>
      </c>
      <c r="R1849" s="1">
        <f>2*Table1[[#This Row],[Std Error]]</f>
        <v>0</v>
      </c>
      <c r="S1849" s="1" t="str">
        <f>IF(Table1[[#This Row],[High Tol]]="","N/A",IFERROR(ABS(Table1[[#This Row],[Tol Span]]/Table1[[#This Row],[Error Span]]),"N/A"))</f>
        <v>N/A</v>
      </c>
      <c r="T1849" s="1" t="str">
        <f>IF(OR(Table1[[#This Row],[Low Tol]]="",Table1[[#This Row],[High Tol]]=""),"Needs Analysis",IF(Table1[[#This Row],[Ratio]]&gt;=4,"Not Significant",IF(Table1[[#This Row],[Ratio]]&gt;=2,"Semi-Significant","Significant")))</f>
        <v>Needs Analysis</v>
      </c>
      <c r="W1849" s="1">
        <f>IF(Table1[[#This Row],[Cal Type]]&lt;&gt;"ACCREDITED 17025 WITH UNCERTAINTIES",0,"")</f>
        <v>0</v>
      </c>
      <c r="X1849" s="1" t="str">
        <f>IF(Table1[[#This Row],[DUT Read]]="","N/A",Table1[[#This Row],[Std Error]]+Table1[[#This Row],[DUT Read]]+Table1[[#This Row],[DUT Ucty]])</f>
        <v>N/A</v>
      </c>
      <c r="Y1849" s="1" t="str">
        <f>IF(Table1[[#This Row],[Std Read]]="","N/A",Table1[[#This Row],[Std Read]]+Table1[[#This Row],[Std Ucty]])</f>
        <v>N/A</v>
      </c>
      <c r="Z18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9" s="1" t="str">
        <f>IF(Table1[[#This Row],[Spec Type]]="","N/A",Table1[[#This Row],[Spec Type]])</f>
        <v>±</v>
      </c>
      <c r="AC1849" s="1" t="str">
        <f>IF(Table1[[#This Row],[Spec Type2]]="N/A","N/A",IF(AND(Table1[[#This Row],[DUT Adj Read]]&gt;=Table1[[#This Row],[Low Tol]],Table1[[#This Row],[DUT Adj Read]]&lt;=Table1[[#This Row],[High Tol]]),"Pass","Fail"))</f>
        <v>Fail</v>
      </c>
      <c r="AD1849" s="1" t="str">
        <f>IF(AND(Table1[[#This Row],[Spec Type2]]="N/A",Table1[[#This Row],[DUT Adj Read]]="N/A",Table1[[#This Row],[Std Adj Read]]="N/A"),"N/A",IF(Table1[[#This Row],[DUT Adj Read]]="N/A",IF(Table1[[#This Row],[Std Adj Read]]&gt;Table1[[#This Row],[Low Tol]],"Pass","Fail"),IF(Table1[[#This Row],[DUT Adj Read]]&gt;Table1[[#This Row],[Low Tol]],"Pass","Fail")))</f>
        <v>Pass</v>
      </c>
      <c r="AE1849" s="1" t="str">
        <f>IF(AND(Table1[[#This Row],[Spec Type2]]="N/A",Table1[[#This Row],[DUT Adj Read]]="N/A",Table1[[#This Row],[Std Adj Read]]="N/A"),"N/A",IF(Table1[[#This Row],[DUT Adj Read]]="N/A",IF(Table1[[#This Row],[Std Adj Read]]&lt;Table1[[#This Row],[High Tol]],"Pass","Fail"),IF(Table1[[#This Row],[DUT Adj Read]]&lt;Table1[[#This Row],[High Tol]],"Pass","Fail")))</f>
        <v>Fail</v>
      </c>
      <c r="AF1849" s="1" t="str">
        <f>IF(AND(Table1[[#This Row],[Spec Type2]]="N/A",Table1[[#This Row],[DUT Adj Read]]="N/A",Table1[[#This Row],[Std Adj Read]]="N/A"),"N/A",IF(Table1[[#This Row],[DUT Adj Read]]="N/A",IF(Table1[[#This Row],[Std Adj Read]]&gt;=Table1[[#This Row],[Low Tol]],"Pass","Fail"),IF(Table1[[#This Row],[DUT Adj Read]]&gt;=Table1[[#This Row],[Low Tol]],"Pass","Fail")))</f>
        <v>Pass</v>
      </c>
      <c r="AG1849" s="1" t="str">
        <f>IF(AND(Table1[[#This Row],[Spec Type2]]="N/A",Table1[[#This Row],[DUT Adj Read]]="N/A",Table1[[#This Row],[Std Adj Read]]="N/A"),"N/A",IF(Table1[[#This Row],[DUT Adj Read]]="N/A",IF(Table1[[#This Row],[Std Adj Read]]&lt;=Table1[[#This Row],[High Tol]],"Pass","Fail"),IF(Table1[[#This Row],[DUT Adj Read]]&lt;=Table1[[#This Row],[High Tol]],"Pass","Fail")))</f>
        <v>Fail</v>
      </c>
      <c r="AH18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9" s="1" t="b">
        <v>0</v>
      </c>
      <c r="AN1849" s="1" t="b">
        <v>0</v>
      </c>
      <c r="AO1849" s="1" t="b">
        <v>0</v>
      </c>
    </row>
    <row r="1850" spans="1:41" x14ac:dyDescent="0.25">
      <c r="A1850" s="10"/>
      <c r="B1850" s="10"/>
      <c r="C1850" s="10"/>
      <c r="D1850" s="10"/>
      <c r="E1850" s="10"/>
      <c r="F1850" s="10"/>
      <c r="G1850" s="10"/>
      <c r="H1850" s="10"/>
      <c r="I1850" s="1" t="str">
        <f t="shared" si="84"/>
        <v/>
      </c>
      <c r="J1850" s="1" t="s">
        <v>35</v>
      </c>
      <c r="K1850" s="1" t="str">
        <f t="shared" si="85"/>
        <v/>
      </c>
      <c r="L1850" s="1" t="str">
        <f t="shared" si="86"/>
        <v/>
      </c>
      <c r="M1850" s="1">
        <f>IF(OR(Table1[[#This Row],[Std Nom]]="",Table1[[#This Row],[Std Read]]=""),0,Table1[[#This Row],[Std Nom]]-Table1[[#This Row],[Std Read]])</f>
        <v>0</v>
      </c>
      <c r="N1850" s="1">
        <f>IF(Calculations!$F$5="ACCREDITED 17025 WITH UNCERTAINTIES",$N$10,0)</f>
        <v>0</v>
      </c>
      <c r="O1850" s="1" t="str">
        <f>IFERROR(Table1[[#This Row],[Std Nom]]-(_xlfn.XLOOKUP(Table1[[#This Row],[Manufacturer]]&amp;" "&amp;Table1[[#This Row],[Model]],Table13[MFR &amp; MDL],Table13[Tolerance % CW ],"")/100*Table1[[#This Row],[Std Nom]]),"")</f>
        <v/>
      </c>
      <c r="P1850" s="1" t="str">
        <f>IFERROR(Table1[[#This Row],[Std Nom]]+(_xlfn.XLOOKUP(Table1[[#This Row],[Manufacturer]]&amp;" "&amp;Table1[[#This Row],[Model]],Table13[MFR &amp; MDL],Table13[Tolerance % CW ],"")/100*Table1[[#This Row],[Std Nom]]),"")</f>
        <v/>
      </c>
      <c r="Q1850" s="1" t="e">
        <f>Table1[[#This Row],[High Tol]]-Table1[[#This Row],[Low Tol]]</f>
        <v>#VALUE!</v>
      </c>
      <c r="R1850" s="1">
        <f>2*Table1[[#This Row],[Std Error]]</f>
        <v>0</v>
      </c>
      <c r="S1850" s="1" t="str">
        <f>IF(Table1[[#This Row],[High Tol]]="","N/A",IFERROR(ABS(Table1[[#This Row],[Tol Span]]/Table1[[#This Row],[Error Span]]),"N/A"))</f>
        <v>N/A</v>
      </c>
      <c r="T1850" s="1" t="str">
        <f>IF(OR(Table1[[#This Row],[Low Tol]]="",Table1[[#This Row],[High Tol]]=""),"Needs Analysis",IF(Table1[[#This Row],[Ratio]]&gt;=4,"Not Significant",IF(Table1[[#This Row],[Ratio]]&gt;=2,"Semi-Significant","Significant")))</f>
        <v>Needs Analysis</v>
      </c>
      <c r="W1850" s="1">
        <f>IF(Table1[[#This Row],[Cal Type]]&lt;&gt;"ACCREDITED 17025 WITH UNCERTAINTIES",0,"")</f>
        <v>0</v>
      </c>
      <c r="X1850" s="1" t="str">
        <f>IF(Table1[[#This Row],[DUT Read]]="","N/A",Table1[[#This Row],[Std Error]]+Table1[[#This Row],[DUT Read]]+Table1[[#This Row],[DUT Ucty]])</f>
        <v>N/A</v>
      </c>
      <c r="Y1850" s="1" t="str">
        <f>IF(Table1[[#This Row],[Std Read]]="","N/A",Table1[[#This Row],[Std Read]]+Table1[[#This Row],[Std Ucty]])</f>
        <v>N/A</v>
      </c>
      <c r="Z18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0" s="1" t="str">
        <f>IF(Table1[[#This Row],[Spec Type]]="","N/A",Table1[[#This Row],[Spec Type]])</f>
        <v>±</v>
      </c>
      <c r="AC1850" s="1" t="str">
        <f>IF(Table1[[#This Row],[Spec Type2]]="N/A","N/A",IF(AND(Table1[[#This Row],[DUT Adj Read]]&gt;=Table1[[#This Row],[Low Tol]],Table1[[#This Row],[DUT Adj Read]]&lt;=Table1[[#This Row],[High Tol]]),"Pass","Fail"))</f>
        <v>Fail</v>
      </c>
      <c r="AD1850" s="1" t="str">
        <f>IF(AND(Table1[[#This Row],[Spec Type2]]="N/A",Table1[[#This Row],[DUT Adj Read]]="N/A",Table1[[#This Row],[Std Adj Read]]="N/A"),"N/A",IF(Table1[[#This Row],[DUT Adj Read]]="N/A",IF(Table1[[#This Row],[Std Adj Read]]&gt;Table1[[#This Row],[Low Tol]],"Pass","Fail"),IF(Table1[[#This Row],[DUT Adj Read]]&gt;Table1[[#This Row],[Low Tol]],"Pass","Fail")))</f>
        <v>Pass</v>
      </c>
      <c r="AE1850" s="1" t="str">
        <f>IF(AND(Table1[[#This Row],[Spec Type2]]="N/A",Table1[[#This Row],[DUT Adj Read]]="N/A",Table1[[#This Row],[Std Adj Read]]="N/A"),"N/A",IF(Table1[[#This Row],[DUT Adj Read]]="N/A",IF(Table1[[#This Row],[Std Adj Read]]&lt;Table1[[#This Row],[High Tol]],"Pass","Fail"),IF(Table1[[#This Row],[DUT Adj Read]]&lt;Table1[[#This Row],[High Tol]],"Pass","Fail")))</f>
        <v>Fail</v>
      </c>
      <c r="AF1850" s="1" t="str">
        <f>IF(AND(Table1[[#This Row],[Spec Type2]]="N/A",Table1[[#This Row],[DUT Adj Read]]="N/A",Table1[[#This Row],[Std Adj Read]]="N/A"),"N/A",IF(Table1[[#This Row],[DUT Adj Read]]="N/A",IF(Table1[[#This Row],[Std Adj Read]]&gt;=Table1[[#This Row],[Low Tol]],"Pass","Fail"),IF(Table1[[#This Row],[DUT Adj Read]]&gt;=Table1[[#This Row],[Low Tol]],"Pass","Fail")))</f>
        <v>Pass</v>
      </c>
      <c r="AG1850" s="1" t="str">
        <f>IF(AND(Table1[[#This Row],[Spec Type2]]="N/A",Table1[[#This Row],[DUT Adj Read]]="N/A",Table1[[#This Row],[Std Adj Read]]="N/A"),"N/A",IF(Table1[[#This Row],[DUT Adj Read]]="N/A",IF(Table1[[#This Row],[Std Adj Read]]&lt;=Table1[[#This Row],[High Tol]],"Pass","Fail"),IF(Table1[[#This Row],[DUT Adj Read]]&lt;=Table1[[#This Row],[High Tol]],"Pass","Fail")))</f>
        <v>Fail</v>
      </c>
      <c r="AH18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0" s="1" t="b">
        <v>0</v>
      </c>
      <c r="AN1850" s="1" t="b">
        <v>0</v>
      </c>
      <c r="AO1850" s="1" t="b">
        <v>0</v>
      </c>
    </row>
    <row r="1851" spans="1:41" x14ac:dyDescent="0.25">
      <c r="A1851" s="10"/>
      <c r="B1851" s="10"/>
      <c r="C1851" s="10"/>
      <c r="D1851" s="10"/>
      <c r="E1851" s="10"/>
      <c r="F1851" s="10"/>
      <c r="G1851" s="10"/>
      <c r="H1851" s="10"/>
      <c r="I1851" s="1" t="str">
        <f t="shared" si="84"/>
        <v/>
      </c>
      <c r="J1851" s="1" t="s">
        <v>35</v>
      </c>
      <c r="K1851" s="1" t="str">
        <f t="shared" si="85"/>
        <v/>
      </c>
      <c r="L1851" s="1" t="str">
        <f t="shared" si="86"/>
        <v/>
      </c>
      <c r="M1851" s="1">
        <f>IF(OR(Table1[[#This Row],[Std Nom]]="",Table1[[#This Row],[Std Read]]=""),0,Table1[[#This Row],[Std Nom]]-Table1[[#This Row],[Std Read]])</f>
        <v>0</v>
      </c>
      <c r="N1851" s="1">
        <f>IF(Calculations!$F$5="ACCREDITED 17025 WITH UNCERTAINTIES",$N$10,0)</f>
        <v>0</v>
      </c>
      <c r="O1851" s="1" t="str">
        <f>IFERROR(Table1[[#This Row],[Std Nom]]-(_xlfn.XLOOKUP(Table1[[#This Row],[Manufacturer]]&amp;" "&amp;Table1[[#This Row],[Model]],Table13[MFR &amp; MDL],Table13[Tolerance % CW ],"")/100*Table1[[#This Row],[Std Nom]]),"")</f>
        <v/>
      </c>
      <c r="P1851" s="1" t="str">
        <f>IFERROR(Table1[[#This Row],[Std Nom]]+(_xlfn.XLOOKUP(Table1[[#This Row],[Manufacturer]]&amp;" "&amp;Table1[[#This Row],[Model]],Table13[MFR &amp; MDL],Table13[Tolerance % CW ],"")/100*Table1[[#This Row],[Std Nom]]),"")</f>
        <v/>
      </c>
      <c r="Q1851" s="1" t="e">
        <f>Table1[[#This Row],[High Tol]]-Table1[[#This Row],[Low Tol]]</f>
        <v>#VALUE!</v>
      </c>
      <c r="R1851" s="1">
        <f>2*Table1[[#This Row],[Std Error]]</f>
        <v>0</v>
      </c>
      <c r="S1851" s="1" t="str">
        <f>IF(Table1[[#This Row],[High Tol]]="","N/A",IFERROR(ABS(Table1[[#This Row],[Tol Span]]/Table1[[#This Row],[Error Span]]),"N/A"))</f>
        <v>N/A</v>
      </c>
      <c r="T1851" s="1" t="str">
        <f>IF(OR(Table1[[#This Row],[Low Tol]]="",Table1[[#This Row],[High Tol]]=""),"Needs Analysis",IF(Table1[[#This Row],[Ratio]]&gt;=4,"Not Significant",IF(Table1[[#This Row],[Ratio]]&gt;=2,"Semi-Significant","Significant")))</f>
        <v>Needs Analysis</v>
      </c>
      <c r="W1851" s="1">
        <f>IF(Table1[[#This Row],[Cal Type]]&lt;&gt;"ACCREDITED 17025 WITH UNCERTAINTIES",0,"")</f>
        <v>0</v>
      </c>
      <c r="X1851" s="1" t="str">
        <f>IF(Table1[[#This Row],[DUT Read]]="","N/A",Table1[[#This Row],[Std Error]]+Table1[[#This Row],[DUT Read]]+Table1[[#This Row],[DUT Ucty]])</f>
        <v>N/A</v>
      </c>
      <c r="Y1851" s="1" t="str">
        <f>IF(Table1[[#This Row],[Std Read]]="","N/A",Table1[[#This Row],[Std Read]]+Table1[[#This Row],[Std Ucty]])</f>
        <v>N/A</v>
      </c>
      <c r="Z18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1" s="1" t="str">
        <f>IF(Table1[[#This Row],[Spec Type]]="","N/A",Table1[[#This Row],[Spec Type]])</f>
        <v>±</v>
      </c>
      <c r="AC1851" s="1" t="str">
        <f>IF(Table1[[#This Row],[Spec Type2]]="N/A","N/A",IF(AND(Table1[[#This Row],[DUT Adj Read]]&gt;=Table1[[#This Row],[Low Tol]],Table1[[#This Row],[DUT Adj Read]]&lt;=Table1[[#This Row],[High Tol]]),"Pass","Fail"))</f>
        <v>Fail</v>
      </c>
      <c r="AD1851" s="1" t="str">
        <f>IF(AND(Table1[[#This Row],[Spec Type2]]="N/A",Table1[[#This Row],[DUT Adj Read]]="N/A",Table1[[#This Row],[Std Adj Read]]="N/A"),"N/A",IF(Table1[[#This Row],[DUT Adj Read]]="N/A",IF(Table1[[#This Row],[Std Adj Read]]&gt;Table1[[#This Row],[Low Tol]],"Pass","Fail"),IF(Table1[[#This Row],[DUT Adj Read]]&gt;Table1[[#This Row],[Low Tol]],"Pass","Fail")))</f>
        <v>Pass</v>
      </c>
      <c r="AE1851" s="1" t="str">
        <f>IF(AND(Table1[[#This Row],[Spec Type2]]="N/A",Table1[[#This Row],[DUT Adj Read]]="N/A",Table1[[#This Row],[Std Adj Read]]="N/A"),"N/A",IF(Table1[[#This Row],[DUT Adj Read]]="N/A",IF(Table1[[#This Row],[Std Adj Read]]&lt;Table1[[#This Row],[High Tol]],"Pass","Fail"),IF(Table1[[#This Row],[DUT Adj Read]]&lt;Table1[[#This Row],[High Tol]],"Pass","Fail")))</f>
        <v>Fail</v>
      </c>
      <c r="AF1851" s="1" t="str">
        <f>IF(AND(Table1[[#This Row],[Spec Type2]]="N/A",Table1[[#This Row],[DUT Adj Read]]="N/A",Table1[[#This Row],[Std Adj Read]]="N/A"),"N/A",IF(Table1[[#This Row],[DUT Adj Read]]="N/A",IF(Table1[[#This Row],[Std Adj Read]]&gt;=Table1[[#This Row],[Low Tol]],"Pass","Fail"),IF(Table1[[#This Row],[DUT Adj Read]]&gt;=Table1[[#This Row],[Low Tol]],"Pass","Fail")))</f>
        <v>Pass</v>
      </c>
      <c r="AG1851" s="1" t="str">
        <f>IF(AND(Table1[[#This Row],[Spec Type2]]="N/A",Table1[[#This Row],[DUT Adj Read]]="N/A",Table1[[#This Row],[Std Adj Read]]="N/A"),"N/A",IF(Table1[[#This Row],[DUT Adj Read]]="N/A",IF(Table1[[#This Row],[Std Adj Read]]&lt;=Table1[[#This Row],[High Tol]],"Pass","Fail"),IF(Table1[[#This Row],[DUT Adj Read]]&lt;=Table1[[#This Row],[High Tol]],"Pass","Fail")))</f>
        <v>Fail</v>
      </c>
      <c r="AH18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1" s="1" t="b">
        <v>0</v>
      </c>
      <c r="AN1851" s="1" t="b">
        <v>0</v>
      </c>
      <c r="AO1851" s="1" t="b">
        <v>0</v>
      </c>
    </row>
    <row r="1852" spans="1:41" x14ac:dyDescent="0.25">
      <c r="A1852" s="10"/>
      <c r="B1852" s="10"/>
      <c r="C1852" s="10"/>
      <c r="D1852" s="10"/>
      <c r="E1852" s="10"/>
      <c r="F1852" s="10"/>
      <c r="G1852" s="10"/>
      <c r="H1852" s="10"/>
      <c r="I1852" s="1" t="str">
        <f t="shared" si="84"/>
        <v/>
      </c>
      <c r="J1852" s="1" t="s">
        <v>35</v>
      </c>
      <c r="K1852" s="1" t="str">
        <f t="shared" si="85"/>
        <v/>
      </c>
      <c r="L1852" s="1" t="str">
        <f t="shared" si="86"/>
        <v/>
      </c>
      <c r="M1852" s="1">
        <f>IF(OR(Table1[[#This Row],[Std Nom]]="",Table1[[#This Row],[Std Read]]=""),0,Table1[[#This Row],[Std Nom]]-Table1[[#This Row],[Std Read]])</f>
        <v>0</v>
      </c>
      <c r="N1852" s="1">
        <f>IF(Calculations!$F$5="ACCREDITED 17025 WITH UNCERTAINTIES",$N$10,0)</f>
        <v>0</v>
      </c>
      <c r="O1852" s="1" t="str">
        <f>IFERROR(Table1[[#This Row],[Std Nom]]-(_xlfn.XLOOKUP(Table1[[#This Row],[Manufacturer]]&amp;" "&amp;Table1[[#This Row],[Model]],Table13[MFR &amp; MDL],Table13[Tolerance % CW ],"")/100*Table1[[#This Row],[Std Nom]]),"")</f>
        <v/>
      </c>
      <c r="P1852" s="1" t="str">
        <f>IFERROR(Table1[[#This Row],[Std Nom]]+(_xlfn.XLOOKUP(Table1[[#This Row],[Manufacturer]]&amp;" "&amp;Table1[[#This Row],[Model]],Table13[MFR &amp; MDL],Table13[Tolerance % CW ],"")/100*Table1[[#This Row],[Std Nom]]),"")</f>
        <v/>
      </c>
      <c r="Q1852" s="1" t="e">
        <f>Table1[[#This Row],[High Tol]]-Table1[[#This Row],[Low Tol]]</f>
        <v>#VALUE!</v>
      </c>
      <c r="R1852" s="1">
        <f>2*Table1[[#This Row],[Std Error]]</f>
        <v>0</v>
      </c>
      <c r="S1852" s="1" t="str">
        <f>IF(Table1[[#This Row],[High Tol]]="","N/A",IFERROR(ABS(Table1[[#This Row],[Tol Span]]/Table1[[#This Row],[Error Span]]),"N/A"))</f>
        <v>N/A</v>
      </c>
      <c r="T1852" s="1" t="str">
        <f>IF(OR(Table1[[#This Row],[Low Tol]]="",Table1[[#This Row],[High Tol]]=""),"Needs Analysis",IF(Table1[[#This Row],[Ratio]]&gt;=4,"Not Significant",IF(Table1[[#This Row],[Ratio]]&gt;=2,"Semi-Significant","Significant")))</f>
        <v>Needs Analysis</v>
      </c>
      <c r="W1852" s="1">
        <f>IF(Table1[[#This Row],[Cal Type]]&lt;&gt;"ACCREDITED 17025 WITH UNCERTAINTIES",0,"")</f>
        <v>0</v>
      </c>
      <c r="X1852" s="1" t="str">
        <f>IF(Table1[[#This Row],[DUT Read]]="","N/A",Table1[[#This Row],[Std Error]]+Table1[[#This Row],[DUT Read]]+Table1[[#This Row],[DUT Ucty]])</f>
        <v>N/A</v>
      </c>
      <c r="Y1852" s="1" t="str">
        <f>IF(Table1[[#This Row],[Std Read]]="","N/A",Table1[[#This Row],[Std Read]]+Table1[[#This Row],[Std Ucty]])</f>
        <v>N/A</v>
      </c>
      <c r="Z18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2" s="1" t="str">
        <f>IF(Table1[[#This Row],[Spec Type]]="","N/A",Table1[[#This Row],[Spec Type]])</f>
        <v>±</v>
      </c>
      <c r="AC1852" s="1" t="str">
        <f>IF(Table1[[#This Row],[Spec Type2]]="N/A","N/A",IF(AND(Table1[[#This Row],[DUT Adj Read]]&gt;=Table1[[#This Row],[Low Tol]],Table1[[#This Row],[DUT Adj Read]]&lt;=Table1[[#This Row],[High Tol]]),"Pass","Fail"))</f>
        <v>Fail</v>
      </c>
      <c r="AD1852" s="1" t="str">
        <f>IF(AND(Table1[[#This Row],[Spec Type2]]="N/A",Table1[[#This Row],[DUT Adj Read]]="N/A",Table1[[#This Row],[Std Adj Read]]="N/A"),"N/A",IF(Table1[[#This Row],[DUT Adj Read]]="N/A",IF(Table1[[#This Row],[Std Adj Read]]&gt;Table1[[#This Row],[Low Tol]],"Pass","Fail"),IF(Table1[[#This Row],[DUT Adj Read]]&gt;Table1[[#This Row],[Low Tol]],"Pass","Fail")))</f>
        <v>Pass</v>
      </c>
      <c r="AE1852" s="1" t="str">
        <f>IF(AND(Table1[[#This Row],[Spec Type2]]="N/A",Table1[[#This Row],[DUT Adj Read]]="N/A",Table1[[#This Row],[Std Adj Read]]="N/A"),"N/A",IF(Table1[[#This Row],[DUT Adj Read]]="N/A",IF(Table1[[#This Row],[Std Adj Read]]&lt;Table1[[#This Row],[High Tol]],"Pass","Fail"),IF(Table1[[#This Row],[DUT Adj Read]]&lt;Table1[[#This Row],[High Tol]],"Pass","Fail")))</f>
        <v>Fail</v>
      </c>
      <c r="AF1852" s="1" t="str">
        <f>IF(AND(Table1[[#This Row],[Spec Type2]]="N/A",Table1[[#This Row],[DUT Adj Read]]="N/A",Table1[[#This Row],[Std Adj Read]]="N/A"),"N/A",IF(Table1[[#This Row],[DUT Adj Read]]="N/A",IF(Table1[[#This Row],[Std Adj Read]]&gt;=Table1[[#This Row],[Low Tol]],"Pass","Fail"),IF(Table1[[#This Row],[DUT Adj Read]]&gt;=Table1[[#This Row],[Low Tol]],"Pass","Fail")))</f>
        <v>Pass</v>
      </c>
      <c r="AG1852" s="1" t="str">
        <f>IF(AND(Table1[[#This Row],[Spec Type2]]="N/A",Table1[[#This Row],[DUT Adj Read]]="N/A",Table1[[#This Row],[Std Adj Read]]="N/A"),"N/A",IF(Table1[[#This Row],[DUT Adj Read]]="N/A",IF(Table1[[#This Row],[Std Adj Read]]&lt;=Table1[[#This Row],[High Tol]],"Pass","Fail"),IF(Table1[[#This Row],[DUT Adj Read]]&lt;=Table1[[#This Row],[High Tol]],"Pass","Fail")))</f>
        <v>Fail</v>
      </c>
      <c r="AH18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2" s="1" t="b">
        <v>0</v>
      </c>
      <c r="AN1852" s="1" t="b">
        <v>0</v>
      </c>
      <c r="AO1852" s="1" t="b">
        <v>0</v>
      </c>
    </row>
    <row r="1853" spans="1:41" x14ac:dyDescent="0.25">
      <c r="A1853" s="10"/>
      <c r="B1853" s="10"/>
      <c r="C1853" s="10"/>
      <c r="D1853" s="10"/>
      <c r="E1853" s="10"/>
      <c r="F1853" s="10"/>
      <c r="G1853" s="10"/>
      <c r="H1853" s="10"/>
      <c r="I1853" s="1" t="str">
        <f t="shared" si="84"/>
        <v/>
      </c>
      <c r="J1853" s="1" t="s">
        <v>35</v>
      </c>
      <c r="K1853" s="1" t="str">
        <f t="shared" si="85"/>
        <v/>
      </c>
      <c r="L1853" s="1" t="str">
        <f t="shared" si="86"/>
        <v/>
      </c>
      <c r="M1853" s="1">
        <f>IF(OR(Table1[[#This Row],[Std Nom]]="",Table1[[#This Row],[Std Read]]=""),0,Table1[[#This Row],[Std Nom]]-Table1[[#This Row],[Std Read]])</f>
        <v>0</v>
      </c>
      <c r="N1853" s="1">
        <f>IF(Calculations!$F$5="ACCREDITED 17025 WITH UNCERTAINTIES",$N$10,0)</f>
        <v>0</v>
      </c>
      <c r="O1853" s="1" t="str">
        <f>IFERROR(Table1[[#This Row],[Std Nom]]-(_xlfn.XLOOKUP(Table1[[#This Row],[Manufacturer]]&amp;" "&amp;Table1[[#This Row],[Model]],Table13[MFR &amp; MDL],Table13[Tolerance % CW ],"")/100*Table1[[#This Row],[Std Nom]]),"")</f>
        <v/>
      </c>
      <c r="P1853" s="1" t="str">
        <f>IFERROR(Table1[[#This Row],[Std Nom]]+(_xlfn.XLOOKUP(Table1[[#This Row],[Manufacturer]]&amp;" "&amp;Table1[[#This Row],[Model]],Table13[MFR &amp; MDL],Table13[Tolerance % CW ],"")/100*Table1[[#This Row],[Std Nom]]),"")</f>
        <v/>
      </c>
      <c r="Q1853" s="1" t="e">
        <f>Table1[[#This Row],[High Tol]]-Table1[[#This Row],[Low Tol]]</f>
        <v>#VALUE!</v>
      </c>
      <c r="R1853" s="1">
        <f>2*Table1[[#This Row],[Std Error]]</f>
        <v>0</v>
      </c>
      <c r="S1853" s="1" t="str">
        <f>IF(Table1[[#This Row],[High Tol]]="","N/A",IFERROR(ABS(Table1[[#This Row],[Tol Span]]/Table1[[#This Row],[Error Span]]),"N/A"))</f>
        <v>N/A</v>
      </c>
      <c r="T1853" s="1" t="str">
        <f>IF(OR(Table1[[#This Row],[Low Tol]]="",Table1[[#This Row],[High Tol]]=""),"Needs Analysis",IF(Table1[[#This Row],[Ratio]]&gt;=4,"Not Significant",IF(Table1[[#This Row],[Ratio]]&gt;=2,"Semi-Significant","Significant")))</f>
        <v>Needs Analysis</v>
      </c>
      <c r="W1853" s="1">
        <f>IF(Table1[[#This Row],[Cal Type]]&lt;&gt;"ACCREDITED 17025 WITH UNCERTAINTIES",0,"")</f>
        <v>0</v>
      </c>
      <c r="X1853" s="1" t="str">
        <f>IF(Table1[[#This Row],[DUT Read]]="","N/A",Table1[[#This Row],[Std Error]]+Table1[[#This Row],[DUT Read]]+Table1[[#This Row],[DUT Ucty]])</f>
        <v>N/A</v>
      </c>
      <c r="Y1853" s="1" t="str">
        <f>IF(Table1[[#This Row],[Std Read]]="","N/A",Table1[[#This Row],[Std Read]]+Table1[[#This Row],[Std Ucty]])</f>
        <v>N/A</v>
      </c>
      <c r="Z18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3" s="1" t="str">
        <f>IF(Table1[[#This Row],[Spec Type]]="","N/A",Table1[[#This Row],[Spec Type]])</f>
        <v>±</v>
      </c>
      <c r="AC1853" s="1" t="str">
        <f>IF(Table1[[#This Row],[Spec Type2]]="N/A","N/A",IF(AND(Table1[[#This Row],[DUT Adj Read]]&gt;=Table1[[#This Row],[Low Tol]],Table1[[#This Row],[DUT Adj Read]]&lt;=Table1[[#This Row],[High Tol]]),"Pass","Fail"))</f>
        <v>Fail</v>
      </c>
      <c r="AD1853" s="1" t="str">
        <f>IF(AND(Table1[[#This Row],[Spec Type2]]="N/A",Table1[[#This Row],[DUT Adj Read]]="N/A",Table1[[#This Row],[Std Adj Read]]="N/A"),"N/A",IF(Table1[[#This Row],[DUT Adj Read]]="N/A",IF(Table1[[#This Row],[Std Adj Read]]&gt;Table1[[#This Row],[Low Tol]],"Pass","Fail"),IF(Table1[[#This Row],[DUT Adj Read]]&gt;Table1[[#This Row],[Low Tol]],"Pass","Fail")))</f>
        <v>Pass</v>
      </c>
      <c r="AE1853" s="1" t="str">
        <f>IF(AND(Table1[[#This Row],[Spec Type2]]="N/A",Table1[[#This Row],[DUT Adj Read]]="N/A",Table1[[#This Row],[Std Adj Read]]="N/A"),"N/A",IF(Table1[[#This Row],[DUT Adj Read]]="N/A",IF(Table1[[#This Row],[Std Adj Read]]&lt;Table1[[#This Row],[High Tol]],"Pass","Fail"),IF(Table1[[#This Row],[DUT Adj Read]]&lt;Table1[[#This Row],[High Tol]],"Pass","Fail")))</f>
        <v>Fail</v>
      </c>
      <c r="AF1853" s="1" t="str">
        <f>IF(AND(Table1[[#This Row],[Spec Type2]]="N/A",Table1[[#This Row],[DUT Adj Read]]="N/A",Table1[[#This Row],[Std Adj Read]]="N/A"),"N/A",IF(Table1[[#This Row],[DUT Adj Read]]="N/A",IF(Table1[[#This Row],[Std Adj Read]]&gt;=Table1[[#This Row],[Low Tol]],"Pass","Fail"),IF(Table1[[#This Row],[DUT Adj Read]]&gt;=Table1[[#This Row],[Low Tol]],"Pass","Fail")))</f>
        <v>Pass</v>
      </c>
      <c r="AG1853" s="1" t="str">
        <f>IF(AND(Table1[[#This Row],[Spec Type2]]="N/A",Table1[[#This Row],[DUT Adj Read]]="N/A",Table1[[#This Row],[Std Adj Read]]="N/A"),"N/A",IF(Table1[[#This Row],[DUT Adj Read]]="N/A",IF(Table1[[#This Row],[Std Adj Read]]&lt;=Table1[[#This Row],[High Tol]],"Pass","Fail"),IF(Table1[[#This Row],[DUT Adj Read]]&lt;=Table1[[#This Row],[High Tol]],"Pass","Fail")))</f>
        <v>Fail</v>
      </c>
      <c r="AH18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3" s="1" t="b">
        <v>0</v>
      </c>
      <c r="AN1853" s="1" t="b">
        <v>0</v>
      </c>
      <c r="AO1853" s="1" t="b">
        <v>0</v>
      </c>
    </row>
    <row r="1854" spans="1:41" x14ac:dyDescent="0.25">
      <c r="A1854" s="10"/>
      <c r="B1854" s="10"/>
      <c r="C1854" s="10"/>
      <c r="D1854" s="10"/>
      <c r="E1854" s="10"/>
      <c r="F1854" s="10"/>
      <c r="G1854" s="10"/>
      <c r="H1854" s="10"/>
      <c r="I1854" s="1" t="str">
        <f t="shared" si="84"/>
        <v/>
      </c>
      <c r="J1854" s="1" t="s">
        <v>35</v>
      </c>
      <c r="K1854" s="1" t="str">
        <f t="shared" si="85"/>
        <v/>
      </c>
      <c r="L1854" s="1" t="str">
        <f t="shared" si="86"/>
        <v/>
      </c>
      <c r="M1854" s="1">
        <f>IF(OR(Table1[[#This Row],[Std Nom]]="",Table1[[#This Row],[Std Read]]=""),0,Table1[[#This Row],[Std Nom]]-Table1[[#This Row],[Std Read]])</f>
        <v>0</v>
      </c>
      <c r="N1854" s="1">
        <f>IF(Calculations!$F$5="ACCREDITED 17025 WITH UNCERTAINTIES",$N$10,0)</f>
        <v>0</v>
      </c>
      <c r="O1854" s="1" t="str">
        <f>IFERROR(Table1[[#This Row],[Std Nom]]-(_xlfn.XLOOKUP(Table1[[#This Row],[Manufacturer]]&amp;" "&amp;Table1[[#This Row],[Model]],Table13[MFR &amp; MDL],Table13[Tolerance % CW ],"")/100*Table1[[#This Row],[Std Nom]]),"")</f>
        <v/>
      </c>
      <c r="P1854" s="1" t="str">
        <f>IFERROR(Table1[[#This Row],[Std Nom]]+(_xlfn.XLOOKUP(Table1[[#This Row],[Manufacturer]]&amp;" "&amp;Table1[[#This Row],[Model]],Table13[MFR &amp; MDL],Table13[Tolerance % CW ],"")/100*Table1[[#This Row],[Std Nom]]),"")</f>
        <v/>
      </c>
      <c r="Q1854" s="1" t="e">
        <f>Table1[[#This Row],[High Tol]]-Table1[[#This Row],[Low Tol]]</f>
        <v>#VALUE!</v>
      </c>
      <c r="R1854" s="1">
        <f>2*Table1[[#This Row],[Std Error]]</f>
        <v>0</v>
      </c>
      <c r="S1854" s="1" t="str">
        <f>IF(Table1[[#This Row],[High Tol]]="","N/A",IFERROR(ABS(Table1[[#This Row],[Tol Span]]/Table1[[#This Row],[Error Span]]),"N/A"))</f>
        <v>N/A</v>
      </c>
      <c r="T1854" s="1" t="str">
        <f>IF(OR(Table1[[#This Row],[Low Tol]]="",Table1[[#This Row],[High Tol]]=""),"Needs Analysis",IF(Table1[[#This Row],[Ratio]]&gt;=4,"Not Significant",IF(Table1[[#This Row],[Ratio]]&gt;=2,"Semi-Significant","Significant")))</f>
        <v>Needs Analysis</v>
      </c>
      <c r="W1854" s="1">
        <f>IF(Table1[[#This Row],[Cal Type]]&lt;&gt;"ACCREDITED 17025 WITH UNCERTAINTIES",0,"")</f>
        <v>0</v>
      </c>
      <c r="X1854" s="1" t="str">
        <f>IF(Table1[[#This Row],[DUT Read]]="","N/A",Table1[[#This Row],[Std Error]]+Table1[[#This Row],[DUT Read]]+Table1[[#This Row],[DUT Ucty]])</f>
        <v>N/A</v>
      </c>
      <c r="Y1854" s="1" t="str">
        <f>IF(Table1[[#This Row],[Std Read]]="","N/A",Table1[[#This Row],[Std Read]]+Table1[[#This Row],[Std Ucty]])</f>
        <v>N/A</v>
      </c>
      <c r="Z18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4" s="1" t="str">
        <f>IF(Table1[[#This Row],[Spec Type]]="","N/A",Table1[[#This Row],[Spec Type]])</f>
        <v>±</v>
      </c>
      <c r="AC1854" s="1" t="str">
        <f>IF(Table1[[#This Row],[Spec Type2]]="N/A","N/A",IF(AND(Table1[[#This Row],[DUT Adj Read]]&gt;=Table1[[#This Row],[Low Tol]],Table1[[#This Row],[DUT Adj Read]]&lt;=Table1[[#This Row],[High Tol]]),"Pass","Fail"))</f>
        <v>Fail</v>
      </c>
      <c r="AD1854" s="1" t="str">
        <f>IF(AND(Table1[[#This Row],[Spec Type2]]="N/A",Table1[[#This Row],[DUT Adj Read]]="N/A",Table1[[#This Row],[Std Adj Read]]="N/A"),"N/A",IF(Table1[[#This Row],[DUT Adj Read]]="N/A",IF(Table1[[#This Row],[Std Adj Read]]&gt;Table1[[#This Row],[Low Tol]],"Pass","Fail"),IF(Table1[[#This Row],[DUT Adj Read]]&gt;Table1[[#This Row],[Low Tol]],"Pass","Fail")))</f>
        <v>Pass</v>
      </c>
      <c r="AE1854" s="1" t="str">
        <f>IF(AND(Table1[[#This Row],[Spec Type2]]="N/A",Table1[[#This Row],[DUT Adj Read]]="N/A",Table1[[#This Row],[Std Adj Read]]="N/A"),"N/A",IF(Table1[[#This Row],[DUT Adj Read]]="N/A",IF(Table1[[#This Row],[Std Adj Read]]&lt;Table1[[#This Row],[High Tol]],"Pass","Fail"),IF(Table1[[#This Row],[DUT Adj Read]]&lt;Table1[[#This Row],[High Tol]],"Pass","Fail")))</f>
        <v>Fail</v>
      </c>
      <c r="AF1854" s="1" t="str">
        <f>IF(AND(Table1[[#This Row],[Spec Type2]]="N/A",Table1[[#This Row],[DUT Adj Read]]="N/A",Table1[[#This Row],[Std Adj Read]]="N/A"),"N/A",IF(Table1[[#This Row],[DUT Adj Read]]="N/A",IF(Table1[[#This Row],[Std Adj Read]]&gt;=Table1[[#This Row],[Low Tol]],"Pass","Fail"),IF(Table1[[#This Row],[DUT Adj Read]]&gt;=Table1[[#This Row],[Low Tol]],"Pass","Fail")))</f>
        <v>Pass</v>
      </c>
      <c r="AG1854" s="1" t="str">
        <f>IF(AND(Table1[[#This Row],[Spec Type2]]="N/A",Table1[[#This Row],[DUT Adj Read]]="N/A",Table1[[#This Row],[Std Adj Read]]="N/A"),"N/A",IF(Table1[[#This Row],[DUT Adj Read]]="N/A",IF(Table1[[#This Row],[Std Adj Read]]&lt;=Table1[[#This Row],[High Tol]],"Pass","Fail"),IF(Table1[[#This Row],[DUT Adj Read]]&lt;=Table1[[#This Row],[High Tol]],"Pass","Fail")))</f>
        <v>Fail</v>
      </c>
      <c r="AH18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4" s="1" t="b">
        <v>0</v>
      </c>
      <c r="AN1854" s="1" t="b">
        <v>0</v>
      </c>
      <c r="AO1854" s="1" t="b">
        <v>0</v>
      </c>
    </row>
    <row r="1855" spans="1:41" x14ac:dyDescent="0.25">
      <c r="A1855" s="10"/>
      <c r="B1855" s="10"/>
      <c r="C1855" s="10"/>
      <c r="D1855" s="10"/>
      <c r="E1855" s="10"/>
      <c r="F1855" s="10"/>
      <c r="G1855" s="10"/>
      <c r="H1855" s="10"/>
      <c r="I1855" s="1" t="str">
        <f t="shared" si="84"/>
        <v/>
      </c>
      <c r="J1855" s="1" t="s">
        <v>35</v>
      </c>
      <c r="K1855" s="1" t="str">
        <f t="shared" si="85"/>
        <v/>
      </c>
      <c r="L1855" s="1" t="str">
        <f t="shared" si="86"/>
        <v/>
      </c>
      <c r="M1855" s="1">
        <f>IF(OR(Table1[[#This Row],[Std Nom]]="",Table1[[#This Row],[Std Read]]=""),0,Table1[[#This Row],[Std Nom]]-Table1[[#This Row],[Std Read]])</f>
        <v>0</v>
      </c>
      <c r="N1855" s="1">
        <f>IF(Calculations!$F$5="ACCREDITED 17025 WITH UNCERTAINTIES",$N$10,0)</f>
        <v>0</v>
      </c>
      <c r="O1855" s="1" t="str">
        <f>IFERROR(Table1[[#This Row],[Std Nom]]-(_xlfn.XLOOKUP(Table1[[#This Row],[Manufacturer]]&amp;" "&amp;Table1[[#This Row],[Model]],Table13[MFR &amp; MDL],Table13[Tolerance % CW ],"")/100*Table1[[#This Row],[Std Nom]]),"")</f>
        <v/>
      </c>
      <c r="P1855" s="1" t="str">
        <f>IFERROR(Table1[[#This Row],[Std Nom]]+(_xlfn.XLOOKUP(Table1[[#This Row],[Manufacturer]]&amp;" "&amp;Table1[[#This Row],[Model]],Table13[MFR &amp; MDL],Table13[Tolerance % CW ],"")/100*Table1[[#This Row],[Std Nom]]),"")</f>
        <v/>
      </c>
      <c r="Q1855" s="1" t="e">
        <f>Table1[[#This Row],[High Tol]]-Table1[[#This Row],[Low Tol]]</f>
        <v>#VALUE!</v>
      </c>
      <c r="R1855" s="1">
        <f>2*Table1[[#This Row],[Std Error]]</f>
        <v>0</v>
      </c>
      <c r="S1855" s="1" t="str">
        <f>IF(Table1[[#This Row],[High Tol]]="","N/A",IFERROR(ABS(Table1[[#This Row],[Tol Span]]/Table1[[#This Row],[Error Span]]),"N/A"))</f>
        <v>N/A</v>
      </c>
      <c r="T1855" s="1" t="str">
        <f>IF(OR(Table1[[#This Row],[Low Tol]]="",Table1[[#This Row],[High Tol]]=""),"Needs Analysis",IF(Table1[[#This Row],[Ratio]]&gt;=4,"Not Significant",IF(Table1[[#This Row],[Ratio]]&gt;=2,"Semi-Significant","Significant")))</f>
        <v>Needs Analysis</v>
      </c>
      <c r="W1855" s="1">
        <f>IF(Table1[[#This Row],[Cal Type]]&lt;&gt;"ACCREDITED 17025 WITH UNCERTAINTIES",0,"")</f>
        <v>0</v>
      </c>
      <c r="X1855" s="1" t="str">
        <f>IF(Table1[[#This Row],[DUT Read]]="","N/A",Table1[[#This Row],[Std Error]]+Table1[[#This Row],[DUT Read]]+Table1[[#This Row],[DUT Ucty]])</f>
        <v>N/A</v>
      </c>
      <c r="Y1855" s="1" t="str">
        <f>IF(Table1[[#This Row],[Std Read]]="","N/A",Table1[[#This Row],[Std Read]]+Table1[[#This Row],[Std Ucty]])</f>
        <v>N/A</v>
      </c>
      <c r="Z18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5" s="1" t="str">
        <f>IF(Table1[[#This Row],[Spec Type]]="","N/A",Table1[[#This Row],[Spec Type]])</f>
        <v>±</v>
      </c>
      <c r="AC1855" s="1" t="str">
        <f>IF(Table1[[#This Row],[Spec Type2]]="N/A","N/A",IF(AND(Table1[[#This Row],[DUT Adj Read]]&gt;=Table1[[#This Row],[Low Tol]],Table1[[#This Row],[DUT Adj Read]]&lt;=Table1[[#This Row],[High Tol]]),"Pass","Fail"))</f>
        <v>Fail</v>
      </c>
      <c r="AD1855" s="1" t="str">
        <f>IF(AND(Table1[[#This Row],[Spec Type2]]="N/A",Table1[[#This Row],[DUT Adj Read]]="N/A",Table1[[#This Row],[Std Adj Read]]="N/A"),"N/A",IF(Table1[[#This Row],[DUT Adj Read]]="N/A",IF(Table1[[#This Row],[Std Adj Read]]&gt;Table1[[#This Row],[Low Tol]],"Pass","Fail"),IF(Table1[[#This Row],[DUT Adj Read]]&gt;Table1[[#This Row],[Low Tol]],"Pass","Fail")))</f>
        <v>Pass</v>
      </c>
      <c r="AE1855" s="1" t="str">
        <f>IF(AND(Table1[[#This Row],[Spec Type2]]="N/A",Table1[[#This Row],[DUT Adj Read]]="N/A",Table1[[#This Row],[Std Adj Read]]="N/A"),"N/A",IF(Table1[[#This Row],[DUT Adj Read]]="N/A",IF(Table1[[#This Row],[Std Adj Read]]&lt;Table1[[#This Row],[High Tol]],"Pass","Fail"),IF(Table1[[#This Row],[DUT Adj Read]]&lt;Table1[[#This Row],[High Tol]],"Pass","Fail")))</f>
        <v>Fail</v>
      </c>
      <c r="AF1855" s="1" t="str">
        <f>IF(AND(Table1[[#This Row],[Spec Type2]]="N/A",Table1[[#This Row],[DUT Adj Read]]="N/A",Table1[[#This Row],[Std Adj Read]]="N/A"),"N/A",IF(Table1[[#This Row],[DUT Adj Read]]="N/A",IF(Table1[[#This Row],[Std Adj Read]]&gt;=Table1[[#This Row],[Low Tol]],"Pass","Fail"),IF(Table1[[#This Row],[DUT Adj Read]]&gt;=Table1[[#This Row],[Low Tol]],"Pass","Fail")))</f>
        <v>Pass</v>
      </c>
      <c r="AG1855" s="1" t="str">
        <f>IF(AND(Table1[[#This Row],[Spec Type2]]="N/A",Table1[[#This Row],[DUT Adj Read]]="N/A",Table1[[#This Row],[Std Adj Read]]="N/A"),"N/A",IF(Table1[[#This Row],[DUT Adj Read]]="N/A",IF(Table1[[#This Row],[Std Adj Read]]&lt;=Table1[[#This Row],[High Tol]],"Pass","Fail"),IF(Table1[[#This Row],[DUT Adj Read]]&lt;=Table1[[#This Row],[High Tol]],"Pass","Fail")))</f>
        <v>Fail</v>
      </c>
      <c r="AH18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5" s="1" t="b">
        <v>0</v>
      </c>
      <c r="AN1855" s="1" t="b">
        <v>0</v>
      </c>
      <c r="AO1855" s="1" t="b">
        <v>0</v>
      </c>
    </row>
    <row r="1856" spans="1:41" x14ac:dyDescent="0.25">
      <c r="A1856" s="10"/>
      <c r="B1856" s="10"/>
      <c r="C1856" s="10"/>
      <c r="D1856" s="10"/>
      <c r="E1856" s="10"/>
      <c r="F1856" s="10"/>
      <c r="G1856" s="10"/>
      <c r="H1856" s="10"/>
      <c r="I1856" s="1" t="str">
        <f t="shared" si="84"/>
        <v/>
      </c>
      <c r="J1856" s="1" t="s">
        <v>35</v>
      </c>
      <c r="K1856" s="1" t="str">
        <f t="shared" si="85"/>
        <v/>
      </c>
      <c r="L1856" s="1" t="str">
        <f t="shared" si="86"/>
        <v/>
      </c>
      <c r="M1856" s="1">
        <f>IF(OR(Table1[[#This Row],[Std Nom]]="",Table1[[#This Row],[Std Read]]=""),0,Table1[[#This Row],[Std Nom]]-Table1[[#This Row],[Std Read]])</f>
        <v>0</v>
      </c>
      <c r="N1856" s="1">
        <f>IF(Calculations!$F$5="ACCREDITED 17025 WITH UNCERTAINTIES",$N$10,0)</f>
        <v>0</v>
      </c>
      <c r="O1856" s="1" t="str">
        <f>IFERROR(Table1[[#This Row],[Std Nom]]-(_xlfn.XLOOKUP(Table1[[#This Row],[Manufacturer]]&amp;" "&amp;Table1[[#This Row],[Model]],Table13[MFR &amp; MDL],Table13[Tolerance % CW ],"")/100*Table1[[#This Row],[Std Nom]]),"")</f>
        <v/>
      </c>
      <c r="P1856" s="1" t="str">
        <f>IFERROR(Table1[[#This Row],[Std Nom]]+(_xlfn.XLOOKUP(Table1[[#This Row],[Manufacturer]]&amp;" "&amp;Table1[[#This Row],[Model]],Table13[MFR &amp; MDL],Table13[Tolerance % CW ],"")/100*Table1[[#This Row],[Std Nom]]),"")</f>
        <v/>
      </c>
      <c r="Q1856" s="1" t="e">
        <f>Table1[[#This Row],[High Tol]]-Table1[[#This Row],[Low Tol]]</f>
        <v>#VALUE!</v>
      </c>
      <c r="R1856" s="1">
        <f>2*Table1[[#This Row],[Std Error]]</f>
        <v>0</v>
      </c>
      <c r="S1856" s="1" t="str">
        <f>IF(Table1[[#This Row],[High Tol]]="","N/A",IFERROR(ABS(Table1[[#This Row],[Tol Span]]/Table1[[#This Row],[Error Span]]),"N/A"))</f>
        <v>N/A</v>
      </c>
      <c r="T1856" s="1" t="str">
        <f>IF(OR(Table1[[#This Row],[Low Tol]]="",Table1[[#This Row],[High Tol]]=""),"Needs Analysis",IF(Table1[[#This Row],[Ratio]]&gt;=4,"Not Significant",IF(Table1[[#This Row],[Ratio]]&gt;=2,"Semi-Significant","Significant")))</f>
        <v>Needs Analysis</v>
      </c>
      <c r="W1856" s="1">
        <f>IF(Table1[[#This Row],[Cal Type]]&lt;&gt;"ACCREDITED 17025 WITH UNCERTAINTIES",0,"")</f>
        <v>0</v>
      </c>
      <c r="X1856" s="1" t="str">
        <f>IF(Table1[[#This Row],[DUT Read]]="","N/A",Table1[[#This Row],[Std Error]]+Table1[[#This Row],[DUT Read]]+Table1[[#This Row],[DUT Ucty]])</f>
        <v>N/A</v>
      </c>
      <c r="Y1856" s="1" t="str">
        <f>IF(Table1[[#This Row],[Std Read]]="","N/A",Table1[[#This Row],[Std Read]]+Table1[[#This Row],[Std Ucty]])</f>
        <v>N/A</v>
      </c>
      <c r="Z18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6" s="1" t="str">
        <f>IF(Table1[[#This Row],[Spec Type]]="","N/A",Table1[[#This Row],[Spec Type]])</f>
        <v>±</v>
      </c>
      <c r="AC1856" s="1" t="str">
        <f>IF(Table1[[#This Row],[Spec Type2]]="N/A","N/A",IF(AND(Table1[[#This Row],[DUT Adj Read]]&gt;=Table1[[#This Row],[Low Tol]],Table1[[#This Row],[DUT Adj Read]]&lt;=Table1[[#This Row],[High Tol]]),"Pass","Fail"))</f>
        <v>Fail</v>
      </c>
      <c r="AD1856" s="1" t="str">
        <f>IF(AND(Table1[[#This Row],[Spec Type2]]="N/A",Table1[[#This Row],[DUT Adj Read]]="N/A",Table1[[#This Row],[Std Adj Read]]="N/A"),"N/A",IF(Table1[[#This Row],[DUT Adj Read]]="N/A",IF(Table1[[#This Row],[Std Adj Read]]&gt;Table1[[#This Row],[Low Tol]],"Pass","Fail"),IF(Table1[[#This Row],[DUT Adj Read]]&gt;Table1[[#This Row],[Low Tol]],"Pass","Fail")))</f>
        <v>Pass</v>
      </c>
      <c r="AE1856" s="1" t="str">
        <f>IF(AND(Table1[[#This Row],[Spec Type2]]="N/A",Table1[[#This Row],[DUT Adj Read]]="N/A",Table1[[#This Row],[Std Adj Read]]="N/A"),"N/A",IF(Table1[[#This Row],[DUT Adj Read]]="N/A",IF(Table1[[#This Row],[Std Adj Read]]&lt;Table1[[#This Row],[High Tol]],"Pass","Fail"),IF(Table1[[#This Row],[DUT Adj Read]]&lt;Table1[[#This Row],[High Tol]],"Pass","Fail")))</f>
        <v>Fail</v>
      </c>
      <c r="AF1856" s="1" t="str">
        <f>IF(AND(Table1[[#This Row],[Spec Type2]]="N/A",Table1[[#This Row],[DUT Adj Read]]="N/A",Table1[[#This Row],[Std Adj Read]]="N/A"),"N/A",IF(Table1[[#This Row],[DUT Adj Read]]="N/A",IF(Table1[[#This Row],[Std Adj Read]]&gt;=Table1[[#This Row],[Low Tol]],"Pass","Fail"),IF(Table1[[#This Row],[DUT Adj Read]]&gt;=Table1[[#This Row],[Low Tol]],"Pass","Fail")))</f>
        <v>Pass</v>
      </c>
      <c r="AG1856" s="1" t="str">
        <f>IF(AND(Table1[[#This Row],[Spec Type2]]="N/A",Table1[[#This Row],[DUT Adj Read]]="N/A",Table1[[#This Row],[Std Adj Read]]="N/A"),"N/A",IF(Table1[[#This Row],[DUT Adj Read]]="N/A",IF(Table1[[#This Row],[Std Adj Read]]&lt;=Table1[[#This Row],[High Tol]],"Pass","Fail"),IF(Table1[[#This Row],[DUT Adj Read]]&lt;=Table1[[#This Row],[High Tol]],"Pass","Fail")))</f>
        <v>Fail</v>
      </c>
      <c r="AH18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6" s="1" t="b">
        <v>0</v>
      </c>
      <c r="AN1856" s="1" t="b">
        <v>0</v>
      </c>
      <c r="AO1856" s="1" t="b">
        <v>0</v>
      </c>
    </row>
    <row r="1857" spans="1:41" x14ac:dyDescent="0.25">
      <c r="A1857" s="10"/>
      <c r="B1857" s="10"/>
      <c r="C1857" s="10"/>
      <c r="D1857" s="10"/>
      <c r="E1857" s="10"/>
      <c r="F1857" s="10"/>
      <c r="G1857" s="10"/>
      <c r="H1857" s="10"/>
      <c r="I1857" s="1" t="str">
        <f t="shared" si="84"/>
        <v/>
      </c>
      <c r="J1857" s="1" t="s">
        <v>35</v>
      </c>
      <c r="K1857" s="1" t="str">
        <f t="shared" si="85"/>
        <v/>
      </c>
      <c r="L1857" s="1" t="str">
        <f t="shared" si="86"/>
        <v/>
      </c>
      <c r="M1857" s="1">
        <f>IF(OR(Table1[[#This Row],[Std Nom]]="",Table1[[#This Row],[Std Read]]=""),0,Table1[[#This Row],[Std Nom]]-Table1[[#This Row],[Std Read]])</f>
        <v>0</v>
      </c>
      <c r="N1857" s="1">
        <f>IF(Calculations!$F$5="ACCREDITED 17025 WITH UNCERTAINTIES",$N$10,0)</f>
        <v>0</v>
      </c>
      <c r="O1857" s="1" t="str">
        <f>IFERROR(Table1[[#This Row],[Std Nom]]-(_xlfn.XLOOKUP(Table1[[#This Row],[Manufacturer]]&amp;" "&amp;Table1[[#This Row],[Model]],Table13[MFR &amp; MDL],Table13[Tolerance % CW ],"")/100*Table1[[#This Row],[Std Nom]]),"")</f>
        <v/>
      </c>
      <c r="P1857" s="1" t="str">
        <f>IFERROR(Table1[[#This Row],[Std Nom]]+(_xlfn.XLOOKUP(Table1[[#This Row],[Manufacturer]]&amp;" "&amp;Table1[[#This Row],[Model]],Table13[MFR &amp; MDL],Table13[Tolerance % CW ],"")/100*Table1[[#This Row],[Std Nom]]),"")</f>
        <v/>
      </c>
      <c r="Q1857" s="1" t="e">
        <f>Table1[[#This Row],[High Tol]]-Table1[[#This Row],[Low Tol]]</f>
        <v>#VALUE!</v>
      </c>
      <c r="R1857" s="1">
        <f>2*Table1[[#This Row],[Std Error]]</f>
        <v>0</v>
      </c>
      <c r="S1857" s="1" t="str">
        <f>IF(Table1[[#This Row],[High Tol]]="","N/A",IFERROR(ABS(Table1[[#This Row],[Tol Span]]/Table1[[#This Row],[Error Span]]),"N/A"))</f>
        <v>N/A</v>
      </c>
      <c r="T1857" s="1" t="str">
        <f>IF(OR(Table1[[#This Row],[Low Tol]]="",Table1[[#This Row],[High Tol]]=""),"Needs Analysis",IF(Table1[[#This Row],[Ratio]]&gt;=4,"Not Significant",IF(Table1[[#This Row],[Ratio]]&gt;=2,"Semi-Significant","Significant")))</f>
        <v>Needs Analysis</v>
      </c>
      <c r="W1857" s="1">
        <f>IF(Table1[[#This Row],[Cal Type]]&lt;&gt;"ACCREDITED 17025 WITH UNCERTAINTIES",0,"")</f>
        <v>0</v>
      </c>
      <c r="X1857" s="1" t="str">
        <f>IF(Table1[[#This Row],[DUT Read]]="","N/A",Table1[[#This Row],[Std Error]]+Table1[[#This Row],[DUT Read]]+Table1[[#This Row],[DUT Ucty]])</f>
        <v>N/A</v>
      </c>
      <c r="Y1857" s="1" t="str">
        <f>IF(Table1[[#This Row],[Std Read]]="","N/A",Table1[[#This Row],[Std Read]]+Table1[[#This Row],[Std Ucty]])</f>
        <v>N/A</v>
      </c>
      <c r="Z18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7" s="1" t="str">
        <f>IF(Table1[[#This Row],[Spec Type]]="","N/A",Table1[[#This Row],[Spec Type]])</f>
        <v>±</v>
      </c>
      <c r="AC1857" s="1" t="str">
        <f>IF(Table1[[#This Row],[Spec Type2]]="N/A","N/A",IF(AND(Table1[[#This Row],[DUT Adj Read]]&gt;=Table1[[#This Row],[Low Tol]],Table1[[#This Row],[DUT Adj Read]]&lt;=Table1[[#This Row],[High Tol]]),"Pass","Fail"))</f>
        <v>Fail</v>
      </c>
      <c r="AD1857" s="1" t="str">
        <f>IF(AND(Table1[[#This Row],[Spec Type2]]="N/A",Table1[[#This Row],[DUT Adj Read]]="N/A",Table1[[#This Row],[Std Adj Read]]="N/A"),"N/A",IF(Table1[[#This Row],[DUT Adj Read]]="N/A",IF(Table1[[#This Row],[Std Adj Read]]&gt;Table1[[#This Row],[Low Tol]],"Pass","Fail"),IF(Table1[[#This Row],[DUT Adj Read]]&gt;Table1[[#This Row],[Low Tol]],"Pass","Fail")))</f>
        <v>Pass</v>
      </c>
      <c r="AE1857" s="1" t="str">
        <f>IF(AND(Table1[[#This Row],[Spec Type2]]="N/A",Table1[[#This Row],[DUT Adj Read]]="N/A",Table1[[#This Row],[Std Adj Read]]="N/A"),"N/A",IF(Table1[[#This Row],[DUT Adj Read]]="N/A",IF(Table1[[#This Row],[Std Adj Read]]&lt;Table1[[#This Row],[High Tol]],"Pass","Fail"),IF(Table1[[#This Row],[DUT Adj Read]]&lt;Table1[[#This Row],[High Tol]],"Pass","Fail")))</f>
        <v>Fail</v>
      </c>
      <c r="AF1857" s="1" t="str">
        <f>IF(AND(Table1[[#This Row],[Spec Type2]]="N/A",Table1[[#This Row],[DUT Adj Read]]="N/A",Table1[[#This Row],[Std Adj Read]]="N/A"),"N/A",IF(Table1[[#This Row],[DUT Adj Read]]="N/A",IF(Table1[[#This Row],[Std Adj Read]]&gt;=Table1[[#This Row],[Low Tol]],"Pass","Fail"),IF(Table1[[#This Row],[DUT Adj Read]]&gt;=Table1[[#This Row],[Low Tol]],"Pass","Fail")))</f>
        <v>Pass</v>
      </c>
      <c r="AG1857" s="1" t="str">
        <f>IF(AND(Table1[[#This Row],[Spec Type2]]="N/A",Table1[[#This Row],[DUT Adj Read]]="N/A",Table1[[#This Row],[Std Adj Read]]="N/A"),"N/A",IF(Table1[[#This Row],[DUT Adj Read]]="N/A",IF(Table1[[#This Row],[Std Adj Read]]&lt;=Table1[[#This Row],[High Tol]],"Pass","Fail"),IF(Table1[[#This Row],[DUT Adj Read]]&lt;=Table1[[#This Row],[High Tol]],"Pass","Fail")))</f>
        <v>Fail</v>
      </c>
      <c r="AH18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7" s="1" t="b">
        <v>0</v>
      </c>
      <c r="AN1857" s="1" t="b">
        <v>0</v>
      </c>
      <c r="AO1857" s="1" t="b">
        <v>0</v>
      </c>
    </row>
    <row r="1858" spans="1:41" x14ac:dyDescent="0.25">
      <c r="A1858" s="10"/>
      <c r="B1858" s="10"/>
      <c r="C1858" s="10"/>
      <c r="D1858" s="10"/>
      <c r="E1858" s="10"/>
      <c r="F1858" s="10"/>
      <c r="G1858" s="10"/>
      <c r="H1858" s="10"/>
      <c r="I1858" s="1" t="str">
        <f t="shared" si="84"/>
        <v/>
      </c>
      <c r="J1858" s="1" t="s">
        <v>35</v>
      </c>
      <c r="K1858" s="1" t="str">
        <f t="shared" si="85"/>
        <v/>
      </c>
      <c r="L1858" s="1" t="str">
        <f t="shared" si="86"/>
        <v/>
      </c>
      <c r="M1858" s="1">
        <f>IF(OR(Table1[[#This Row],[Std Nom]]="",Table1[[#This Row],[Std Read]]=""),0,Table1[[#This Row],[Std Nom]]-Table1[[#This Row],[Std Read]])</f>
        <v>0</v>
      </c>
      <c r="N1858" s="1">
        <f>IF(Calculations!$F$5="ACCREDITED 17025 WITH UNCERTAINTIES",$N$10,0)</f>
        <v>0</v>
      </c>
      <c r="O1858" s="1" t="str">
        <f>IFERROR(Table1[[#This Row],[Std Nom]]-(_xlfn.XLOOKUP(Table1[[#This Row],[Manufacturer]]&amp;" "&amp;Table1[[#This Row],[Model]],Table13[MFR &amp; MDL],Table13[Tolerance % CW ],"")/100*Table1[[#This Row],[Std Nom]]),"")</f>
        <v/>
      </c>
      <c r="P1858" s="1" t="str">
        <f>IFERROR(Table1[[#This Row],[Std Nom]]+(_xlfn.XLOOKUP(Table1[[#This Row],[Manufacturer]]&amp;" "&amp;Table1[[#This Row],[Model]],Table13[MFR &amp; MDL],Table13[Tolerance % CW ],"")/100*Table1[[#This Row],[Std Nom]]),"")</f>
        <v/>
      </c>
      <c r="Q1858" s="1" t="e">
        <f>Table1[[#This Row],[High Tol]]-Table1[[#This Row],[Low Tol]]</f>
        <v>#VALUE!</v>
      </c>
      <c r="R1858" s="1">
        <f>2*Table1[[#This Row],[Std Error]]</f>
        <v>0</v>
      </c>
      <c r="S1858" s="1" t="str">
        <f>IF(Table1[[#This Row],[High Tol]]="","N/A",IFERROR(ABS(Table1[[#This Row],[Tol Span]]/Table1[[#This Row],[Error Span]]),"N/A"))</f>
        <v>N/A</v>
      </c>
      <c r="T1858" s="1" t="str">
        <f>IF(OR(Table1[[#This Row],[Low Tol]]="",Table1[[#This Row],[High Tol]]=""),"Needs Analysis",IF(Table1[[#This Row],[Ratio]]&gt;=4,"Not Significant",IF(Table1[[#This Row],[Ratio]]&gt;=2,"Semi-Significant","Significant")))</f>
        <v>Needs Analysis</v>
      </c>
      <c r="W1858" s="1">
        <f>IF(Table1[[#This Row],[Cal Type]]&lt;&gt;"ACCREDITED 17025 WITH UNCERTAINTIES",0,"")</f>
        <v>0</v>
      </c>
      <c r="X1858" s="1" t="str">
        <f>IF(Table1[[#This Row],[DUT Read]]="","N/A",Table1[[#This Row],[Std Error]]+Table1[[#This Row],[DUT Read]]+Table1[[#This Row],[DUT Ucty]])</f>
        <v>N/A</v>
      </c>
      <c r="Y1858" s="1" t="str">
        <f>IF(Table1[[#This Row],[Std Read]]="","N/A",Table1[[#This Row],[Std Read]]+Table1[[#This Row],[Std Ucty]])</f>
        <v>N/A</v>
      </c>
      <c r="Z18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8" s="1" t="str">
        <f>IF(Table1[[#This Row],[Spec Type]]="","N/A",Table1[[#This Row],[Spec Type]])</f>
        <v>±</v>
      </c>
      <c r="AC1858" s="1" t="str">
        <f>IF(Table1[[#This Row],[Spec Type2]]="N/A","N/A",IF(AND(Table1[[#This Row],[DUT Adj Read]]&gt;=Table1[[#This Row],[Low Tol]],Table1[[#This Row],[DUT Adj Read]]&lt;=Table1[[#This Row],[High Tol]]),"Pass","Fail"))</f>
        <v>Fail</v>
      </c>
      <c r="AD1858" s="1" t="str">
        <f>IF(AND(Table1[[#This Row],[Spec Type2]]="N/A",Table1[[#This Row],[DUT Adj Read]]="N/A",Table1[[#This Row],[Std Adj Read]]="N/A"),"N/A",IF(Table1[[#This Row],[DUT Adj Read]]="N/A",IF(Table1[[#This Row],[Std Adj Read]]&gt;Table1[[#This Row],[Low Tol]],"Pass","Fail"),IF(Table1[[#This Row],[DUT Adj Read]]&gt;Table1[[#This Row],[Low Tol]],"Pass","Fail")))</f>
        <v>Pass</v>
      </c>
      <c r="AE1858" s="1" t="str">
        <f>IF(AND(Table1[[#This Row],[Spec Type2]]="N/A",Table1[[#This Row],[DUT Adj Read]]="N/A",Table1[[#This Row],[Std Adj Read]]="N/A"),"N/A",IF(Table1[[#This Row],[DUT Adj Read]]="N/A",IF(Table1[[#This Row],[Std Adj Read]]&lt;Table1[[#This Row],[High Tol]],"Pass","Fail"),IF(Table1[[#This Row],[DUT Adj Read]]&lt;Table1[[#This Row],[High Tol]],"Pass","Fail")))</f>
        <v>Fail</v>
      </c>
      <c r="AF1858" s="1" t="str">
        <f>IF(AND(Table1[[#This Row],[Spec Type2]]="N/A",Table1[[#This Row],[DUT Adj Read]]="N/A",Table1[[#This Row],[Std Adj Read]]="N/A"),"N/A",IF(Table1[[#This Row],[DUT Adj Read]]="N/A",IF(Table1[[#This Row],[Std Adj Read]]&gt;=Table1[[#This Row],[Low Tol]],"Pass","Fail"),IF(Table1[[#This Row],[DUT Adj Read]]&gt;=Table1[[#This Row],[Low Tol]],"Pass","Fail")))</f>
        <v>Pass</v>
      </c>
      <c r="AG1858" s="1" t="str">
        <f>IF(AND(Table1[[#This Row],[Spec Type2]]="N/A",Table1[[#This Row],[DUT Adj Read]]="N/A",Table1[[#This Row],[Std Adj Read]]="N/A"),"N/A",IF(Table1[[#This Row],[DUT Adj Read]]="N/A",IF(Table1[[#This Row],[Std Adj Read]]&lt;=Table1[[#This Row],[High Tol]],"Pass","Fail"),IF(Table1[[#This Row],[DUT Adj Read]]&lt;=Table1[[#This Row],[High Tol]],"Pass","Fail")))</f>
        <v>Fail</v>
      </c>
      <c r="AH18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8" s="1" t="b">
        <v>0</v>
      </c>
      <c r="AN1858" s="1" t="b">
        <v>0</v>
      </c>
      <c r="AO1858" s="1" t="b">
        <v>0</v>
      </c>
    </row>
    <row r="1859" spans="1:41" x14ac:dyDescent="0.25">
      <c r="A1859" s="10"/>
      <c r="B1859" s="10"/>
      <c r="C1859" s="10"/>
      <c r="D1859" s="10"/>
      <c r="E1859" s="10"/>
      <c r="F1859" s="10"/>
      <c r="G1859" s="10"/>
      <c r="H1859" s="10"/>
      <c r="I1859" s="1" t="str">
        <f t="shared" si="84"/>
        <v/>
      </c>
      <c r="J1859" s="1" t="s">
        <v>35</v>
      </c>
      <c r="K1859" s="1" t="str">
        <f t="shared" si="85"/>
        <v/>
      </c>
      <c r="L1859" s="1" t="str">
        <f t="shared" si="86"/>
        <v/>
      </c>
      <c r="M1859" s="1">
        <f>IF(OR(Table1[[#This Row],[Std Nom]]="",Table1[[#This Row],[Std Read]]=""),0,Table1[[#This Row],[Std Nom]]-Table1[[#This Row],[Std Read]])</f>
        <v>0</v>
      </c>
      <c r="N1859" s="1">
        <f>IF(Calculations!$F$5="ACCREDITED 17025 WITH UNCERTAINTIES",$N$10,0)</f>
        <v>0</v>
      </c>
      <c r="O1859" s="1" t="str">
        <f>IFERROR(Table1[[#This Row],[Std Nom]]-(_xlfn.XLOOKUP(Table1[[#This Row],[Manufacturer]]&amp;" "&amp;Table1[[#This Row],[Model]],Table13[MFR &amp; MDL],Table13[Tolerance % CW ],"")/100*Table1[[#This Row],[Std Nom]]),"")</f>
        <v/>
      </c>
      <c r="P1859" s="1" t="str">
        <f>IFERROR(Table1[[#This Row],[Std Nom]]+(_xlfn.XLOOKUP(Table1[[#This Row],[Manufacturer]]&amp;" "&amp;Table1[[#This Row],[Model]],Table13[MFR &amp; MDL],Table13[Tolerance % CW ],"")/100*Table1[[#This Row],[Std Nom]]),"")</f>
        <v/>
      </c>
      <c r="Q1859" s="1" t="e">
        <f>Table1[[#This Row],[High Tol]]-Table1[[#This Row],[Low Tol]]</f>
        <v>#VALUE!</v>
      </c>
      <c r="R1859" s="1">
        <f>2*Table1[[#This Row],[Std Error]]</f>
        <v>0</v>
      </c>
      <c r="S1859" s="1" t="str">
        <f>IF(Table1[[#This Row],[High Tol]]="","N/A",IFERROR(ABS(Table1[[#This Row],[Tol Span]]/Table1[[#This Row],[Error Span]]),"N/A"))</f>
        <v>N/A</v>
      </c>
      <c r="T1859" s="1" t="str">
        <f>IF(OR(Table1[[#This Row],[Low Tol]]="",Table1[[#This Row],[High Tol]]=""),"Needs Analysis",IF(Table1[[#This Row],[Ratio]]&gt;=4,"Not Significant",IF(Table1[[#This Row],[Ratio]]&gt;=2,"Semi-Significant","Significant")))</f>
        <v>Needs Analysis</v>
      </c>
      <c r="W1859" s="1">
        <f>IF(Table1[[#This Row],[Cal Type]]&lt;&gt;"ACCREDITED 17025 WITH UNCERTAINTIES",0,"")</f>
        <v>0</v>
      </c>
      <c r="X1859" s="1" t="str">
        <f>IF(Table1[[#This Row],[DUT Read]]="","N/A",Table1[[#This Row],[Std Error]]+Table1[[#This Row],[DUT Read]]+Table1[[#This Row],[DUT Ucty]])</f>
        <v>N/A</v>
      </c>
      <c r="Y1859" s="1" t="str">
        <f>IF(Table1[[#This Row],[Std Read]]="","N/A",Table1[[#This Row],[Std Read]]+Table1[[#This Row],[Std Ucty]])</f>
        <v>N/A</v>
      </c>
      <c r="Z18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9" s="1" t="str">
        <f>IF(Table1[[#This Row],[Spec Type]]="","N/A",Table1[[#This Row],[Spec Type]])</f>
        <v>±</v>
      </c>
      <c r="AC1859" s="1" t="str">
        <f>IF(Table1[[#This Row],[Spec Type2]]="N/A","N/A",IF(AND(Table1[[#This Row],[DUT Adj Read]]&gt;=Table1[[#This Row],[Low Tol]],Table1[[#This Row],[DUT Adj Read]]&lt;=Table1[[#This Row],[High Tol]]),"Pass","Fail"))</f>
        <v>Fail</v>
      </c>
      <c r="AD1859" s="1" t="str">
        <f>IF(AND(Table1[[#This Row],[Spec Type2]]="N/A",Table1[[#This Row],[DUT Adj Read]]="N/A",Table1[[#This Row],[Std Adj Read]]="N/A"),"N/A",IF(Table1[[#This Row],[DUT Adj Read]]="N/A",IF(Table1[[#This Row],[Std Adj Read]]&gt;Table1[[#This Row],[Low Tol]],"Pass","Fail"),IF(Table1[[#This Row],[DUT Adj Read]]&gt;Table1[[#This Row],[Low Tol]],"Pass","Fail")))</f>
        <v>Pass</v>
      </c>
      <c r="AE1859" s="1" t="str">
        <f>IF(AND(Table1[[#This Row],[Spec Type2]]="N/A",Table1[[#This Row],[DUT Adj Read]]="N/A",Table1[[#This Row],[Std Adj Read]]="N/A"),"N/A",IF(Table1[[#This Row],[DUT Adj Read]]="N/A",IF(Table1[[#This Row],[Std Adj Read]]&lt;Table1[[#This Row],[High Tol]],"Pass","Fail"),IF(Table1[[#This Row],[DUT Adj Read]]&lt;Table1[[#This Row],[High Tol]],"Pass","Fail")))</f>
        <v>Fail</v>
      </c>
      <c r="AF1859" s="1" t="str">
        <f>IF(AND(Table1[[#This Row],[Spec Type2]]="N/A",Table1[[#This Row],[DUT Adj Read]]="N/A",Table1[[#This Row],[Std Adj Read]]="N/A"),"N/A",IF(Table1[[#This Row],[DUT Adj Read]]="N/A",IF(Table1[[#This Row],[Std Adj Read]]&gt;=Table1[[#This Row],[Low Tol]],"Pass","Fail"),IF(Table1[[#This Row],[DUT Adj Read]]&gt;=Table1[[#This Row],[Low Tol]],"Pass","Fail")))</f>
        <v>Pass</v>
      </c>
      <c r="AG1859" s="1" t="str">
        <f>IF(AND(Table1[[#This Row],[Spec Type2]]="N/A",Table1[[#This Row],[DUT Adj Read]]="N/A",Table1[[#This Row],[Std Adj Read]]="N/A"),"N/A",IF(Table1[[#This Row],[DUT Adj Read]]="N/A",IF(Table1[[#This Row],[Std Adj Read]]&lt;=Table1[[#This Row],[High Tol]],"Pass","Fail"),IF(Table1[[#This Row],[DUT Adj Read]]&lt;=Table1[[#This Row],[High Tol]],"Pass","Fail")))</f>
        <v>Fail</v>
      </c>
      <c r="AH18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9" s="1" t="b">
        <v>0</v>
      </c>
      <c r="AN1859" s="1" t="b">
        <v>0</v>
      </c>
      <c r="AO1859" s="1" t="b">
        <v>0</v>
      </c>
    </row>
    <row r="1860" spans="1:41" x14ac:dyDescent="0.25">
      <c r="A1860" s="10"/>
      <c r="B1860" s="10"/>
      <c r="C1860" s="10"/>
      <c r="D1860" s="10"/>
      <c r="E1860" s="10"/>
      <c r="F1860" s="10"/>
      <c r="G1860" s="10"/>
      <c r="H1860" s="10"/>
      <c r="I1860" s="1" t="str">
        <f t="shared" si="84"/>
        <v/>
      </c>
      <c r="J1860" s="1" t="s">
        <v>35</v>
      </c>
      <c r="K1860" s="1" t="str">
        <f t="shared" si="85"/>
        <v/>
      </c>
      <c r="L1860" s="1" t="str">
        <f t="shared" si="86"/>
        <v/>
      </c>
      <c r="M1860" s="1">
        <f>IF(OR(Table1[[#This Row],[Std Nom]]="",Table1[[#This Row],[Std Read]]=""),0,Table1[[#This Row],[Std Nom]]-Table1[[#This Row],[Std Read]])</f>
        <v>0</v>
      </c>
      <c r="N1860" s="1">
        <f>IF(Calculations!$F$5="ACCREDITED 17025 WITH UNCERTAINTIES",$N$10,0)</f>
        <v>0</v>
      </c>
      <c r="O1860" s="1" t="str">
        <f>IFERROR(Table1[[#This Row],[Std Nom]]-(_xlfn.XLOOKUP(Table1[[#This Row],[Manufacturer]]&amp;" "&amp;Table1[[#This Row],[Model]],Table13[MFR &amp; MDL],Table13[Tolerance % CW ],"")/100*Table1[[#This Row],[Std Nom]]),"")</f>
        <v/>
      </c>
      <c r="P1860" s="1" t="str">
        <f>IFERROR(Table1[[#This Row],[Std Nom]]+(_xlfn.XLOOKUP(Table1[[#This Row],[Manufacturer]]&amp;" "&amp;Table1[[#This Row],[Model]],Table13[MFR &amp; MDL],Table13[Tolerance % CW ],"")/100*Table1[[#This Row],[Std Nom]]),"")</f>
        <v/>
      </c>
      <c r="Q1860" s="1" t="e">
        <f>Table1[[#This Row],[High Tol]]-Table1[[#This Row],[Low Tol]]</f>
        <v>#VALUE!</v>
      </c>
      <c r="R1860" s="1">
        <f>2*Table1[[#This Row],[Std Error]]</f>
        <v>0</v>
      </c>
      <c r="S1860" s="1" t="str">
        <f>IF(Table1[[#This Row],[High Tol]]="","N/A",IFERROR(ABS(Table1[[#This Row],[Tol Span]]/Table1[[#This Row],[Error Span]]),"N/A"))</f>
        <v>N/A</v>
      </c>
      <c r="T1860" s="1" t="str">
        <f>IF(OR(Table1[[#This Row],[Low Tol]]="",Table1[[#This Row],[High Tol]]=""),"Needs Analysis",IF(Table1[[#This Row],[Ratio]]&gt;=4,"Not Significant",IF(Table1[[#This Row],[Ratio]]&gt;=2,"Semi-Significant","Significant")))</f>
        <v>Needs Analysis</v>
      </c>
      <c r="W1860" s="1">
        <f>IF(Table1[[#This Row],[Cal Type]]&lt;&gt;"ACCREDITED 17025 WITH UNCERTAINTIES",0,"")</f>
        <v>0</v>
      </c>
      <c r="X1860" s="1" t="str">
        <f>IF(Table1[[#This Row],[DUT Read]]="","N/A",Table1[[#This Row],[Std Error]]+Table1[[#This Row],[DUT Read]]+Table1[[#This Row],[DUT Ucty]])</f>
        <v>N/A</v>
      </c>
      <c r="Y1860" s="1" t="str">
        <f>IF(Table1[[#This Row],[Std Read]]="","N/A",Table1[[#This Row],[Std Read]]+Table1[[#This Row],[Std Ucty]])</f>
        <v>N/A</v>
      </c>
      <c r="Z18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0" s="1" t="str">
        <f>IF(Table1[[#This Row],[Spec Type]]="","N/A",Table1[[#This Row],[Spec Type]])</f>
        <v>±</v>
      </c>
      <c r="AC1860" s="1" t="str">
        <f>IF(Table1[[#This Row],[Spec Type2]]="N/A","N/A",IF(AND(Table1[[#This Row],[DUT Adj Read]]&gt;=Table1[[#This Row],[Low Tol]],Table1[[#This Row],[DUT Adj Read]]&lt;=Table1[[#This Row],[High Tol]]),"Pass","Fail"))</f>
        <v>Fail</v>
      </c>
      <c r="AD1860" s="1" t="str">
        <f>IF(AND(Table1[[#This Row],[Spec Type2]]="N/A",Table1[[#This Row],[DUT Adj Read]]="N/A",Table1[[#This Row],[Std Adj Read]]="N/A"),"N/A",IF(Table1[[#This Row],[DUT Adj Read]]="N/A",IF(Table1[[#This Row],[Std Adj Read]]&gt;Table1[[#This Row],[Low Tol]],"Pass","Fail"),IF(Table1[[#This Row],[DUT Adj Read]]&gt;Table1[[#This Row],[Low Tol]],"Pass","Fail")))</f>
        <v>Pass</v>
      </c>
      <c r="AE1860" s="1" t="str">
        <f>IF(AND(Table1[[#This Row],[Spec Type2]]="N/A",Table1[[#This Row],[DUT Adj Read]]="N/A",Table1[[#This Row],[Std Adj Read]]="N/A"),"N/A",IF(Table1[[#This Row],[DUT Adj Read]]="N/A",IF(Table1[[#This Row],[Std Adj Read]]&lt;Table1[[#This Row],[High Tol]],"Pass","Fail"),IF(Table1[[#This Row],[DUT Adj Read]]&lt;Table1[[#This Row],[High Tol]],"Pass","Fail")))</f>
        <v>Fail</v>
      </c>
      <c r="AF1860" s="1" t="str">
        <f>IF(AND(Table1[[#This Row],[Spec Type2]]="N/A",Table1[[#This Row],[DUT Adj Read]]="N/A",Table1[[#This Row],[Std Adj Read]]="N/A"),"N/A",IF(Table1[[#This Row],[DUT Adj Read]]="N/A",IF(Table1[[#This Row],[Std Adj Read]]&gt;=Table1[[#This Row],[Low Tol]],"Pass","Fail"),IF(Table1[[#This Row],[DUT Adj Read]]&gt;=Table1[[#This Row],[Low Tol]],"Pass","Fail")))</f>
        <v>Pass</v>
      </c>
      <c r="AG1860" s="1" t="str">
        <f>IF(AND(Table1[[#This Row],[Spec Type2]]="N/A",Table1[[#This Row],[DUT Adj Read]]="N/A",Table1[[#This Row],[Std Adj Read]]="N/A"),"N/A",IF(Table1[[#This Row],[DUT Adj Read]]="N/A",IF(Table1[[#This Row],[Std Adj Read]]&lt;=Table1[[#This Row],[High Tol]],"Pass","Fail"),IF(Table1[[#This Row],[DUT Adj Read]]&lt;=Table1[[#This Row],[High Tol]],"Pass","Fail")))</f>
        <v>Fail</v>
      </c>
      <c r="AH18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0" s="1" t="b">
        <v>0</v>
      </c>
      <c r="AN1860" s="1" t="b">
        <v>0</v>
      </c>
      <c r="AO1860" s="1" t="b">
        <v>0</v>
      </c>
    </row>
    <row r="1861" spans="1:41" x14ac:dyDescent="0.25">
      <c r="A1861" s="10"/>
      <c r="B1861" s="10"/>
      <c r="C1861" s="10"/>
      <c r="D1861" s="10"/>
      <c r="E1861" s="10"/>
      <c r="F1861" s="10"/>
      <c r="G1861" s="10"/>
      <c r="H1861" s="10"/>
      <c r="I1861" s="1" t="str">
        <f t="shared" si="84"/>
        <v/>
      </c>
      <c r="J1861" s="1" t="s">
        <v>35</v>
      </c>
      <c r="K1861" s="1" t="str">
        <f t="shared" si="85"/>
        <v/>
      </c>
      <c r="L1861" s="1" t="str">
        <f t="shared" si="86"/>
        <v/>
      </c>
      <c r="M1861" s="1">
        <f>IF(OR(Table1[[#This Row],[Std Nom]]="",Table1[[#This Row],[Std Read]]=""),0,Table1[[#This Row],[Std Nom]]-Table1[[#This Row],[Std Read]])</f>
        <v>0</v>
      </c>
      <c r="N1861" s="1">
        <f>IF(Calculations!$F$5="ACCREDITED 17025 WITH UNCERTAINTIES",$N$10,0)</f>
        <v>0</v>
      </c>
      <c r="O1861" s="1" t="str">
        <f>IFERROR(Table1[[#This Row],[Std Nom]]-(_xlfn.XLOOKUP(Table1[[#This Row],[Manufacturer]]&amp;" "&amp;Table1[[#This Row],[Model]],Table13[MFR &amp; MDL],Table13[Tolerance % CW ],"")/100*Table1[[#This Row],[Std Nom]]),"")</f>
        <v/>
      </c>
      <c r="P1861" s="1" t="str">
        <f>IFERROR(Table1[[#This Row],[Std Nom]]+(_xlfn.XLOOKUP(Table1[[#This Row],[Manufacturer]]&amp;" "&amp;Table1[[#This Row],[Model]],Table13[MFR &amp; MDL],Table13[Tolerance % CW ],"")/100*Table1[[#This Row],[Std Nom]]),"")</f>
        <v/>
      </c>
      <c r="Q1861" s="1" t="e">
        <f>Table1[[#This Row],[High Tol]]-Table1[[#This Row],[Low Tol]]</f>
        <v>#VALUE!</v>
      </c>
      <c r="R1861" s="1">
        <f>2*Table1[[#This Row],[Std Error]]</f>
        <v>0</v>
      </c>
      <c r="S1861" s="1" t="str">
        <f>IF(Table1[[#This Row],[High Tol]]="","N/A",IFERROR(ABS(Table1[[#This Row],[Tol Span]]/Table1[[#This Row],[Error Span]]),"N/A"))</f>
        <v>N/A</v>
      </c>
      <c r="T1861" s="1" t="str">
        <f>IF(OR(Table1[[#This Row],[Low Tol]]="",Table1[[#This Row],[High Tol]]=""),"Needs Analysis",IF(Table1[[#This Row],[Ratio]]&gt;=4,"Not Significant",IF(Table1[[#This Row],[Ratio]]&gt;=2,"Semi-Significant","Significant")))</f>
        <v>Needs Analysis</v>
      </c>
      <c r="W1861" s="1">
        <f>IF(Table1[[#This Row],[Cal Type]]&lt;&gt;"ACCREDITED 17025 WITH UNCERTAINTIES",0,"")</f>
        <v>0</v>
      </c>
      <c r="X1861" s="1" t="str">
        <f>IF(Table1[[#This Row],[DUT Read]]="","N/A",Table1[[#This Row],[Std Error]]+Table1[[#This Row],[DUT Read]]+Table1[[#This Row],[DUT Ucty]])</f>
        <v>N/A</v>
      </c>
      <c r="Y1861" s="1" t="str">
        <f>IF(Table1[[#This Row],[Std Read]]="","N/A",Table1[[#This Row],[Std Read]]+Table1[[#This Row],[Std Ucty]])</f>
        <v>N/A</v>
      </c>
      <c r="Z18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1" s="1" t="str">
        <f>IF(Table1[[#This Row],[Spec Type]]="","N/A",Table1[[#This Row],[Spec Type]])</f>
        <v>±</v>
      </c>
      <c r="AC1861" s="1" t="str">
        <f>IF(Table1[[#This Row],[Spec Type2]]="N/A","N/A",IF(AND(Table1[[#This Row],[DUT Adj Read]]&gt;=Table1[[#This Row],[Low Tol]],Table1[[#This Row],[DUT Adj Read]]&lt;=Table1[[#This Row],[High Tol]]),"Pass","Fail"))</f>
        <v>Fail</v>
      </c>
      <c r="AD1861" s="1" t="str">
        <f>IF(AND(Table1[[#This Row],[Spec Type2]]="N/A",Table1[[#This Row],[DUT Adj Read]]="N/A",Table1[[#This Row],[Std Adj Read]]="N/A"),"N/A",IF(Table1[[#This Row],[DUT Adj Read]]="N/A",IF(Table1[[#This Row],[Std Adj Read]]&gt;Table1[[#This Row],[Low Tol]],"Pass","Fail"),IF(Table1[[#This Row],[DUT Adj Read]]&gt;Table1[[#This Row],[Low Tol]],"Pass","Fail")))</f>
        <v>Pass</v>
      </c>
      <c r="AE1861" s="1" t="str">
        <f>IF(AND(Table1[[#This Row],[Spec Type2]]="N/A",Table1[[#This Row],[DUT Adj Read]]="N/A",Table1[[#This Row],[Std Adj Read]]="N/A"),"N/A",IF(Table1[[#This Row],[DUT Adj Read]]="N/A",IF(Table1[[#This Row],[Std Adj Read]]&lt;Table1[[#This Row],[High Tol]],"Pass","Fail"),IF(Table1[[#This Row],[DUT Adj Read]]&lt;Table1[[#This Row],[High Tol]],"Pass","Fail")))</f>
        <v>Fail</v>
      </c>
      <c r="AF1861" s="1" t="str">
        <f>IF(AND(Table1[[#This Row],[Spec Type2]]="N/A",Table1[[#This Row],[DUT Adj Read]]="N/A",Table1[[#This Row],[Std Adj Read]]="N/A"),"N/A",IF(Table1[[#This Row],[DUT Adj Read]]="N/A",IF(Table1[[#This Row],[Std Adj Read]]&gt;=Table1[[#This Row],[Low Tol]],"Pass","Fail"),IF(Table1[[#This Row],[DUT Adj Read]]&gt;=Table1[[#This Row],[Low Tol]],"Pass","Fail")))</f>
        <v>Pass</v>
      </c>
      <c r="AG1861" s="1" t="str">
        <f>IF(AND(Table1[[#This Row],[Spec Type2]]="N/A",Table1[[#This Row],[DUT Adj Read]]="N/A",Table1[[#This Row],[Std Adj Read]]="N/A"),"N/A",IF(Table1[[#This Row],[DUT Adj Read]]="N/A",IF(Table1[[#This Row],[Std Adj Read]]&lt;=Table1[[#This Row],[High Tol]],"Pass","Fail"),IF(Table1[[#This Row],[DUT Adj Read]]&lt;=Table1[[#This Row],[High Tol]],"Pass","Fail")))</f>
        <v>Fail</v>
      </c>
      <c r="AH18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1" s="1" t="b">
        <v>0</v>
      </c>
      <c r="AN1861" s="1" t="b">
        <v>0</v>
      </c>
      <c r="AO1861" s="1" t="b">
        <v>0</v>
      </c>
    </row>
    <row r="1862" spans="1:41" x14ac:dyDescent="0.25">
      <c r="A1862" s="10"/>
      <c r="B1862" s="10"/>
      <c r="C1862" s="10"/>
      <c r="D1862" s="10"/>
      <c r="E1862" s="10"/>
      <c r="F1862" s="10"/>
      <c r="G1862" s="10"/>
      <c r="H1862" s="10"/>
      <c r="I1862" s="1" t="str">
        <f t="shared" si="84"/>
        <v/>
      </c>
      <c r="J1862" s="1" t="s">
        <v>35</v>
      </c>
      <c r="K1862" s="1" t="str">
        <f t="shared" si="85"/>
        <v/>
      </c>
      <c r="L1862" s="1" t="str">
        <f t="shared" si="86"/>
        <v/>
      </c>
      <c r="M1862" s="1">
        <f>IF(OR(Table1[[#This Row],[Std Nom]]="",Table1[[#This Row],[Std Read]]=""),0,Table1[[#This Row],[Std Nom]]-Table1[[#This Row],[Std Read]])</f>
        <v>0</v>
      </c>
      <c r="N1862" s="1">
        <f>IF(Calculations!$F$5="ACCREDITED 17025 WITH UNCERTAINTIES",$N$10,0)</f>
        <v>0</v>
      </c>
      <c r="O1862" s="1" t="str">
        <f>IFERROR(Table1[[#This Row],[Std Nom]]-(_xlfn.XLOOKUP(Table1[[#This Row],[Manufacturer]]&amp;" "&amp;Table1[[#This Row],[Model]],Table13[MFR &amp; MDL],Table13[Tolerance % CW ],"")/100*Table1[[#This Row],[Std Nom]]),"")</f>
        <v/>
      </c>
      <c r="P1862" s="1" t="str">
        <f>IFERROR(Table1[[#This Row],[Std Nom]]+(_xlfn.XLOOKUP(Table1[[#This Row],[Manufacturer]]&amp;" "&amp;Table1[[#This Row],[Model]],Table13[MFR &amp; MDL],Table13[Tolerance % CW ],"")/100*Table1[[#This Row],[Std Nom]]),"")</f>
        <v/>
      </c>
      <c r="Q1862" s="1" t="e">
        <f>Table1[[#This Row],[High Tol]]-Table1[[#This Row],[Low Tol]]</f>
        <v>#VALUE!</v>
      </c>
      <c r="R1862" s="1">
        <f>2*Table1[[#This Row],[Std Error]]</f>
        <v>0</v>
      </c>
      <c r="S1862" s="1" t="str">
        <f>IF(Table1[[#This Row],[High Tol]]="","N/A",IFERROR(ABS(Table1[[#This Row],[Tol Span]]/Table1[[#This Row],[Error Span]]),"N/A"))</f>
        <v>N/A</v>
      </c>
      <c r="T1862" s="1" t="str">
        <f>IF(OR(Table1[[#This Row],[Low Tol]]="",Table1[[#This Row],[High Tol]]=""),"Needs Analysis",IF(Table1[[#This Row],[Ratio]]&gt;=4,"Not Significant",IF(Table1[[#This Row],[Ratio]]&gt;=2,"Semi-Significant","Significant")))</f>
        <v>Needs Analysis</v>
      </c>
      <c r="W1862" s="1">
        <f>IF(Table1[[#This Row],[Cal Type]]&lt;&gt;"ACCREDITED 17025 WITH UNCERTAINTIES",0,"")</f>
        <v>0</v>
      </c>
      <c r="X1862" s="1" t="str">
        <f>IF(Table1[[#This Row],[DUT Read]]="","N/A",Table1[[#This Row],[Std Error]]+Table1[[#This Row],[DUT Read]]+Table1[[#This Row],[DUT Ucty]])</f>
        <v>N/A</v>
      </c>
      <c r="Y1862" s="1" t="str">
        <f>IF(Table1[[#This Row],[Std Read]]="","N/A",Table1[[#This Row],[Std Read]]+Table1[[#This Row],[Std Ucty]])</f>
        <v>N/A</v>
      </c>
      <c r="Z18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2" s="1" t="str">
        <f>IF(Table1[[#This Row],[Spec Type]]="","N/A",Table1[[#This Row],[Spec Type]])</f>
        <v>±</v>
      </c>
      <c r="AC1862" s="1" t="str">
        <f>IF(Table1[[#This Row],[Spec Type2]]="N/A","N/A",IF(AND(Table1[[#This Row],[DUT Adj Read]]&gt;=Table1[[#This Row],[Low Tol]],Table1[[#This Row],[DUT Adj Read]]&lt;=Table1[[#This Row],[High Tol]]),"Pass","Fail"))</f>
        <v>Fail</v>
      </c>
      <c r="AD1862" s="1" t="str">
        <f>IF(AND(Table1[[#This Row],[Spec Type2]]="N/A",Table1[[#This Row],[DUT Adj Read]]="N/A",Table1[[#This Row],[Std Adj Read]]="N/A"),"N/A",IF(Table1[[#This Row],[DUT Adj Read]]="N/A",IF(Table1[[#This Row],[Std Adj Read]]&gt;Table1[[#This Row],[Low Tol]],"Pass","Fail"),IF(Table1[[#This Row],[DUT Adj Read]]&gt;Table1[[#This Row],[Low Tol]],"Pass","Fail")))</f>
        <v>Pass</v>
      </c>
      <c r="AE1862" s="1" t="str">
        <f>IF(AND(Table1[[#This Row],[Spec Type2]]="N/A",Table1[[#This Row],[DUT Adj Read]]="N/A",Table1[[#This Row],[Std Adj Read]]="N/A"),"N/A",IF(Table1[[#This Row],[DUT Adj Read]]="N/A",IF(Table1[[#This Row],[Std Adj Read]]&lt;Table1[[#This Row],[High Tol]],"Pass","Fail"),IF(Table1[[#This Row],[DUT Adj Read]]&lt;Table1[[#This Row],[High Tol]],"Pass","Fail")))</f>
        <v>Fail</v>
      </c>
      <c r="AF1862" s="1" t="str">
        <f>IF(AND(Table1[[#This Row],[Spec Type2]]="N/A",Table1[[#This Row],[DUT Adj Read]]="N/A",Table1[[#This Row],[Std Adj Read]]="N/A"),"N/A",IF(Table1[[#This Row],[DUT Adj Read]]="N/A",IF(Table1[[#This Row],[Std Adj Read]]&gt;=Table1[[#This Row],[Low Tol]],"Pass","Fail"),IF(Table1[[#This Row],[DUT Adj Read]]&gt;=Table1[[#This Row],[Low Tol]],"Pass","Fail")))</f>
        <v>Pass</v>
      </c>
      <c r="AG1862" s="1" t="str">
        <f>IF(AND(Table1[[#This Row],[Spec Type2]]="N/A",Table1[[#This Row],[DUT Adj Read]]="N/A",Table1[[#This Row],[Std Adj Read]]="N/A"),"N/A",IF(Table1[[#This Row],[DUT Adj Read]]="N/A",IF(Table1[[#This Row],[Std Adj Read]]&lt;=Table1[[#This Row],[High Tol]],"Pass","Fail"),IF(Table1[[#This Row],[DUT Adj Read]]&lt;=Table1[[#This Row],[High Tol]],"Pass","Fail")))</f>
        <v>Fail</v>
      </c>
      <c r="AH18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2" s="1" t="b">
        <v>0</v>
      </c>
      <c r="AN1862" s="1" t="b">
        <v>0</v>
      </c>
      <c r="AO1862" s="1" t="b">
        <v>0</v>
      </c>
    </row>
    <row r="1863" spans="1:41" x14ac:dyDescent="0.25">
      <c r="A1863" s="10"/>
      <c r="B1863" s="10"/>
      <c r="C1863" s="10"/>
      <c r="D1863" s="10"/>
      <c r="E1863" s="10"/>
      <c r="F1863" s="10"/>
      <c r="G1863" s="10"/>
      <c r="H1863" s="10"/>
      <c r="I1863" s="1" t="str">
        <f t="shared" si="84"/>
        <v/>
      </c>
      <c r="J1863" s="1" t="s">
        <v>35</v>
      </c>
      <c r="K1863" s="1" t="str">
        <f t="shared" si="85"/>
        <v/>
      </c>
      <c r="L1863" s="1" t="str">
        <f t="shared" si="86"/>
        <v/>
      </c>
      <c r="M1863" s="1">
        <f>IF(OR(Table1[[#This Row],[Std Nom]]="",Table1[[#This Row],[Std Read]]=""),0,Table1[[#This Row],[Std Nom]]-Table1[[#This Row],[Std Read]])</f>
        <v>0</v>
      </c>
      <c r="N1863" s="1">
        <f>IF(Calculations!$F$5="ACCREDITED 17025 WITH UNCERTAINTIES",$N$10,0)</f>
        <v>0</v>
      </c>
      <c r="O1863" s="1" t="str">
        <f>IFERROR(Table1[[#This Row],[Std Nom]]-(_xlfn.XLOOKUP(Table1[[#This Row],[Manufacturer]]&amp;" "&amp;Table1[[#This Row],[Model]],Table13[MFR &amp; MDL],Table13[Tolerance % CW ],"")/100*Table1[[#This Row],[Std Nom]]),"")</f>
        <v/>
      </c>
      <c r="P1863" s="1" t="str">
        <f>IFERROR(Table1[[#This Row],[Std Nom]]+(_xlfn.XLOOKUP(Table1[[#This Row],[Manufacturer]]&amp;" "&amp;Table1[[#This Row],[Model]],Table13[MFR &amp; MDL],Table13[Tolerance % CW ],"")/100*Table1[[#This Row],[Std Nom]]),"")</f>
        <v/>
      </c>
      <c r="Q1863" s="1" t="e">
        <f>Table1[[#This Row],[High Tol]]-Table1[[#This Row],[Low Tol]]</f>
        <v>#VALUE!</v>
      </c>
      <c r="R1863" s="1">
        <f>2*Table1[[#This Row],[Std Error]]</f>
        <v>0</v>
      </c>
      <c r="S1863" s="1" t="str">
        <f>IF(Table1[[#This Row],[High Tol]]="","N/A",IFERROR(ABS(Table1[[#This Row],[Tol Span]]/Table1[[#This Row],[Error Span]]),"N/A"))</f>
        <v>N/A</v>
      </c>
      <c r="T1863" s="1" t="str">
        <f>IF(OR(Table1[[#This Row],[Low Tol]]="",Table1[[#This Row],[High Tol]]=""),"Needs Analysis",IF(Table1[[#This Row],[Ratio]]&gt;=4,"Not Significant",IF(Table1[[#This Row],[Ratio]]&gt;=2,"Semi-Significant","Significant")))</f>
        <v>Needs Analysis</v>
      </c>
      <c r="W1863" s="1">
        <f>IF(Table1[[#This Row],[Cal Type]]&lt;&gt;"ACCREDITED 17025 WITH UNCERTAINTIES",0,"")</f>
        <v>0</v>
      </c>
      <c r="X1863" s="1" t="str">
        <f>IF(Table1[[#This Row],[DUT Read]]="","N/A",Table1[[#This Row],[Std Error]]+Table1[[#This Row],[DUT Read]]+Table1[[#This Row],[DUT Ucty]])</f>
        <v>N/A</v>
      </c>
      <c r="Y1863" s="1" t="str">
        <f>IF(Table1[[#This Row],[Std Read]]="","N/A",Table1[[#This Row],[Std Read]]+Table1[[#This Row],[Std Ucty]])</f>
        <v>N/A</v>
      </c>
      <c r="Z18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3" s="1" t="str">
        <f>IF(Table1[[#This Row],[Spec Type]]="","N/A",Table1[[#This Row],[Spec Type]])</f>
        <v>±</v>
      </c>
      <c r="AC1863" s="1" t="str">
        <f>IF(Table1[[#This Row],[Spec Type2]]="N/A","N/A",IF(AND(Table1[[#This Row],[DUT Adj Read]]&gt;=Table1[[#This Row],[Low Tol]],Table1[[#This Row],[DUT Adj Read]]&lt;=Table1[[#This Row],[High Tol]]),"Pass","Fail"))</f>
        <v>Fail</v>
      </c>
      <c r="AD1863" s="1" t="str">
        <f>IF(AND(Table1[[#This Row],[Spec Type2]]="N/A",Table1[[#This Row],[DUT Adj Read]]="N/A",Table1[[#This Row],[Std Adj Read]]="N/A"),"N/A",IF(Table1[[#This Row],[DUT Adj Read]]="N/A",IF(Table1[[#This Row],[Std Adj Read]]&gt;Table1[[#This Row],[Low Tol]],"Pass","Fail"),IF(Table1[[#This Row],[DUT Adj Read]]&gt;Table1[[#This Row],[Low Tol]],"Pass","Fail")))</f>
        <v>Pass</v>
      </c>
      <c r="AE1863" s="1" t="str">
        <f>IF(AND(Table1[[#This Row],[Spec Type2]]="N/A",Table1[[#This Row],[DUT Adj Read]]="N/A",Table1[[#This Row],[Std Adj Read]]="N/A"),"N/A",IF(Table1[[#This Row],[DUT Adj Read]]="N/A",IF(Table1[[#This Row],[Std Adj Read]]&lt;Table1[[#This Row],[High Tol]],"Pass","Fail"),IF(Table1[[#This Row],[DUT Adj Read]]&lt;Table1[[#This Row],[High Tol]],"Pass","Fail")))</f>
        <v>Fail</v>
      </c>
      <c r="AF1863" s="1" t="str">
        <f>IF(AND(Table1[[#This Row],[Spec Type2]]="N/A",Table1[[#This Row],[DUT Adj Read]]="N/A",Table1[[#This Row],[Std Adj Read]]="N/A"),"N/A",IF(Table1[[#This Row],[DUT Adj Read]]="N/A",IF(Table1[[#This Row],[Std Adj Read]]&gt;=Table1[[#This Row],[Low Tol]],"Pass","Fail"),IF(Table1[[#This Row],[DUT Adj Read]]&gt;=Table1[[#This Row],[Low Tol]],"Pass","Fail")))</f>
        <v>Pass</v>
      </c>
      <c r="AG1863" s="1" t="str">
        <f>IF(AND(Table1[[#This Row],[Spec Type2]]="N/A",Table1[[#This Row],[DUT Adj Read]]="N/A",Table1[[#This Row],[Std Adj Read]]="N/A"),"N/A",IF(Table1[[#This Row],[DUT Adj Read]]="N/A",IF(Table1[[#This Row],[Std Adj Read]]&lt;=Table1[[#This Row],[High Tol]],"Pass","Fail"),IF(Table1[[#This Row],[DUT Adj Read]]&lt;=Table1[[#This Row],[High Tol]],"Pass","Fail")))</f>
        <v>Fail</v>
      </c>
      <c r="AH18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3" s="1" t="b">
        <v>0</v>
      </c>
      <c r="AN1863" s="1" t="b">
        <v>0</v>
      </c>
      <c r="AO1863" s="1" t="b">
        <v>0</v>
      </c>
    </row>
    <row r="1864" spans="1:41" x14ac:dyDescent="0.25">
      <c r="A1864" s="10"/>
      <c r="B1864" s="10"/>
      <c r="C1864" s="10"/>
      <c r="D1864" s="10"/>
      <c r="E1864" s="10"/>
      <c r="F1864" s="10"/>
      <c r="G1864" s="10"/>
      <c r="H1864" s="10"/>
      <c r="I1864" s="1" t="str">
        <f t="shared" si="84"/>
        <v/>
      </c>
      <c r="J1864" s="1" t="s">
        <v>35</v>
      </c>
      <c r="K1864" s="1" t="str">
        <f t="shared" si="85"/>
        <v/>
      </c>
      <c r="L1864" s="1" t="str">
        <f t="shared" si="86"/>
        <v/>
      </c>
      <c r="M1864" s="1">
        <f>IF(OR(Table1[[#This Row],[Std Nom]]="",Table1[[#This Row],[Std Read]]=""),0,Table1[[#This Row],[Std Nom]]-Table1[[#This Row],[Std Read]])</f>
        <v>0</v>
      </c>
      <c r="N1864" s="1">
        <f>IF(Calculations!$F$5="ACCREDITED 17025 WITH UNCERTAINTIES",$N$10,0)</f>
        <v>0</v>
      </c>
      <c r="O1864" s="1" t="str">
        <f>IFERROR(Table1[[#This Row],[Std Nom]]-(_xlfn.XLOOKUP(Table1[[#This Row],[Manufacturer]]&amp;" "&amp;Table1[[#This Row],[Model]],Table13[MFR &amp; MDL],Table13[Tolerance % CW ],"")/100*Table1[[#This Row],[Std Nom]]),"")</f>
        <v/>
      </c>
      <c r="P1864" s="1" t="str">
        <f>IFERROR(Table1[[#This Row],[Std Nom]]+(_xlfn.XLOOKUP(Table1[[#This Row],[Manufacturer]]&amp;" "&amp;Table1[[#This Row],[Model]],Table13[MFR &amp; MDL],Table13[Tolerance % CW ],"")/100*Table1[[#This Row],[Std Nom]]),"")</f>
        <v/>
      </c>
      <c r="Q1864" s="1" t="e">
        <f>Table1[[#This Row],[High Tol]]-Table1[[#This Row],[Low Tol]]</f>
        <v>#VALUE!</v>
      </c>
      <c r="R1864" s="1">
        <f>2*Table1[[#This Row],[Std Error]]</f>
        <v>0</v>
      </c>
      <c r="S1864" s="1" t="str">
        <f>IF(Table1[[#This Row],[High Tol]]="","N/A",IFERROR(ABS(Table1[[#This Row],[Tol Span]]/Table1[[#This Row],[Error Span]]),"N/A"))</f>
        <v>N/A</v>
      </c>
      <c r="T1864" s="1" t="str">
        <f>IF(OR(Table1[[#This Row],[Low Tol]]="",Table1[[#This Row],[High Tol]]=""),"Needs Analysis",IF(Table1[[#This Row],[Ratio]]&gt;=4,"Not Significant",IF(Table1[[#This Row],[Ratio]]&gt;=2,"Semi-Significant","Significant")))</f>
        <v>Needs Analysis</v>
      </c>
      <c r="W1864" s="1">
        <f>IF(Table1[[#This Row],[Cal Type]]&lt;&gt;"ACCREDITED 17025 WITH UNCERTAINTIES",0,"")</f>
        <v>0</v>
      </c>
      <c r="X1864" s="1" t="str">
        <f>IF(Table1[[#This Row],[DUT Read]]="","N/A",Table1[[#This Row],[Std Error]]+Table1[[#This Row],[DUT Read]]+Table1[[#This Row],[DUT Ucty]])</f>
        <v>N/A</v>
      </c>
      <c r="Y1864" s="1" t="str">
        <f>IF(Table1[[#This Row],[Std Read]]="","N/A",Table1[[#This Row],[Std Read]]+Table1[[#This Row],[Std Ucty]])</f>
        <v>N/A</v>
      </c>
      <c r="Z18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4" s="1" t="str">
        <f>IF(Table1[[#This Row],[Spec Type]]="","N/A",Table1[[#This Row],[Spec Type]])</f>
        <v>±</v>
      </c>
      <c r="AC1864" s="1" t="str">
        <f>IF(Table1[[#This Row],[Spec Type2]]="N/A","N/A",IF(AND(Table1[[#This Row],[DUT Adj Read]]&gt;=Table1[[#This Row],[Low Tol]],Table1[[#This Row],[DUT Adj Read]]&lt;=Table1[[#This Row],[High Tol]]),"Pass","Fail"))</f>
        <v>Fail</v>
      </c>
      <c r="AD1864" s="1" t="str">
        <f>IF(AND(Table1[[#This Row],[Spec Type2]]="N/A",Table1[[#This Row],[DUT Adj Read]]="N/A",Table1[[#This Row],[Std Adj Read]]="N/A"),"N/A",IF(Table1[[#This Row],[DUT Adj Read]]="N/A",IF(Table1[[#This Row],[Std Adj Read]]&gt;Table1[[#This Row],[Low Tol]],"Pass","Fail"),IF(Table1[[#This Row],[DUT Adj Read]]&gt;Table1[[#This Row],[Low Tol]],"Pass","Fail")))</f>
        <v>Pass</v>
      </c>
      <c r="AE1864" s="1" t="str">
        <f>IF(AND(Table1[[#This Row],[Spec Type2]]="N/A",Table1[[#This Row],[DUT Adj Read]]="N/A",Table1[[#This Row],[Std Adj Read]]="N/A"),"N/A",IF(Table1[[#This Row],[DUT Adj Read]]="N/A",IF(Table1[[#This Row],[Std Adj Read]]&lt;Table1[[#This Row],[High Tol]],"Pass","Fail"),IF(Table1[[#This Row],[DUT Adj Read]]&lt;Table1[[#This Row],[High Tol]],"Pass","Fail")))</f>
        <v>Fail</v>
      </c>
      <c r="AF1864" s="1" t="str">
        <f>IF(AND(Table1[[#This Row],[Spec Type2]]="N/A",Table1[[#This Row],[DUT Adj Read]]="N/A",Table1[[#This Row],[Std Adj Read]]="N/A"),"N/A",IF(Table1[[#This Row],[DUT Adj Read]]="N/A",IF(Table1[[#This Row],[Std Adj Read]]&gt;=Table1[[#This Row],[Low Tol]],"Pass","Fail"),IF(Table1[[#This Row],[DUT Adj Read]]&gt;=Table1[[#This Row],[Low Tol]],"Pass","Fail")))</f>
        <v>Pass</v>
      </c>
      <c r="AG1864" s="1" t="str">
        <f>IF(AND(Table1[[#This Row],[Spec Type2]]="N/A",Table1[[#This Row],[DUT Adj Read]]="N/A",Table1[[#This Row],[Std Adj Read]]="N/A"),"N/A",IF(Table1[[#This Row],[DUT Adj Read]]="N/A",IF(Table1[[#This Row],[Std Adj Read]]&lt;=Table1[[#This Row],[High Tol]],"Pass","Fail"),IF(Table1[[#This Row],[DUT Adj Read]]&lt;=Table1[[#This Row],[High Tol]],"Pass","Fail")))</f>
        <v>Fail</v>
      </c>
      <c r="AH18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4" s="1" t="b">
        <v>0</v>
      </c>
      <c r="AN1864" s="1" t="b">
        <v>0</v>
      </c>
      <c r="AO1864" s="1" t="b">
        <v>0</v>
      </c>
    </row>
    <row r="1865" spans="1:41" x14ac:dyDescent="0.25">
      <c r="A1865" s="10"/>
      <c r="B1865" s="10"/>
      <c r="C1865" s="10"/>
      <c r="D1865" s="10"/>
      <c r="E1865" s="10"/>
      <c r="F1865" s="10"/>
      <c r="G1865" s="10"/>
      <c r="H1865" s="10"/>
      <c r="I1865" s="1" t="str">
        <f t="shared" si="84"/>
        <v/>
      </c>
      <c r="J1865" s="1" t="s">
        <v>35</v>
      </c>
      <c r="K1865" s="1" t="str">
        <f t="shared" si="85"/>
        <v/>
      </c>
      <c r="L1865" s="1" t="str">
        <f t="shared" si="86"/>
        <v/>
      </c>
      <c r="M1865" s="1">
        <f>IF(OR(Table1[[#This Row],[Std Nom]]="",Table1[[#This Row],[Std Read]]=""),0,Table1[[#This Row],[Std Nom]]-Table1[[#This Row],[Std Read]])</f>
        <v>0</v>
      </c>
      <c r="N1865" s="1">
        <f>IF(Calculations!$F$5="ACCREDITED 17025 WITH UNCERTAINTIES",$N$10,0)</f>
        <v>0</v>
      </c>
      <c r="O1865" s="1" t="str">
        <f>IFERROR(Table1[[#This Row],[Std Nom]]-(_xlfn.XLOOKUP(Table1[[#This Row],[Manufacturer]]&amp;" "&amp;Table1[[#This Row],[Model]],Table13[MFR &amp; MDL],Table13[Tolerance % CW ],"")/100*Table1[[#This Row],[Std Nom]]),"")</f>
        <v/>
      </c>
      <c r="P1865" s="1" t="str">
        <f>IFERROR(Table1[[#This Row],[Std Nom]]+(_xlfn.XLOOKUP(Table1[[#This Row],[Manufacturer]]&amp;" "&amp;Table1[[#This Row],[Model]],Table13[MFR &amp; MDL],Table13[Tolerance % CW ],"")/100*Table1[[#This Row],[Std Nom]]),"")</f>
        <v/>
      </c>
      <c r="Q1865" s="1" t="e">
        <f>Table1[[#This Row],[High Tol]]-Table1[[#This Row],[Low Tol]]</f>
        <v>#VALUE!</v>
      </c>
      <c r="R1865" s="1">
        <f>2*Table1[[#This Row],[Std Error]]</f>
        <v>0</v>
      </c>
      <c r="S1865" s="1" t="str">
        <f>IF(Table1[[#This Row],[High Tol]]="","N/A",IFERROR(ABS(Table1[[#This Row],[Tol Span]]/Table1[[#This Row],[Error Span]]),"N/A"))</f>
        <v>N/A</v>
      </c>
      <c r="T1865" s="1" t="str">
        <f>IF(OR(Table1[[#This Row],[Low Tol]]="",Table1[[#This Row],[High Tol]]=""),"Needs Analysis",IF(Table1[[#This Row],[Ratio]]&gt;=4,"Not Significant",IF(Table1[[#This Row],[Ratio]]&gt;=2,"Semi-Significant","Significant")))</f>
        <v>Needs Analysis</v>
      </c>
      <c r="W1865" s="1">
        <f>IF(Table1[[#This Row],[Cal Type]]&lt;&gt;"ACCREDITED 17025 WITH UNCERTAINTIES",0,"")</f>
        <v>0</v>
      </c>
      <c r="X1865" s="1" t="str">
        <f>IF(Table1[[#This Row],[DUT Read]]="","N/A",Table1[[#This Row],[Std Error]]+Table1[[#This Row],[DUT Read]]+Table1[[#This Row],[DUT Ucty]])</f>
        <v>N/A</v>
      </c>
      <c r="Y1865" s="1" t="str">
        <f>IF(Table1[[#This Row],[Std Read]]="","N/A",Table1[[#This Row],[Std Read]]+Table1[[#This Row],[Std Ucty]])</f>
        <v>N/A</v>
      </c>
      <c r="Z18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5" s="1" t="str">
        <f>IF(Table1[[#This Row],[Spec Type]]="","N/A",Table1[[#This Row],[Spec Type]])</f>
        <v>±</v>
      </c>
      <c r="AC1865" s="1" t="str">
        <f>IF(Table1[[#This Row],[Spec Type2]]="N/A","N/A",IF(AND(Table1[[#This Row],[DUT Adj Read]]&gt;=Table1[[#This Row],[Low Tol]],Table1[[#This Row],[DUT Adj Read]]&lt;=Table1[[#This Row],[High Tol]]),"Pass","Fail"))</f>
        <v>Fail</v>
      </c>
      <c r="AD1865" s="1" t="str">
        <f>IF(AND(Table1[[#This Row],[Spec Type2]]="N/A",Table1[[#This Row],[DUT Adj Read]]="N/A",Table1[[#This Row],[Std Adj Read]]="N/A"),"N/A",IF(Table1[[#This Row],[DUT Adj Read]]="N/A",IF(Table1[[#This Row],[Std Adj Read]]&gt;Table1[[#This Row],[Low Tol]],"Pass","Fail"),IF(Table1[[#This Row],[DUT Adj Read]]&gt;Table1[[#This Row],[Low Tol]],"Pass","Fail")))</f>
        <v>Pass</v>
      </c>
      <c r="AE1865" s="1" t="str">
        <f>IF(AND(Table1[[#This Row],[Spec Type2]]="N/A",Table1[[#This Row],[DUT Adj Read]]="N/A",Table1[[#This Row],[Std Adj Read]]="N/A"),"N/A",IF(Table1[[#This Row],[DUT Adj Read]]="N/A",IF(Table1[[#This Row],[Std Adj Read]]&lt;Table1[[#This Row],[High Tol]],"Pass","Fail"),IF(Table1[[#This Row],[DUT Adj Read]]&lt;Table1[[#This Row],[High Tol]],"Pass","Fail")))</f>
        <v>Fail</v>
      </c>
      <c r="AF1865" s="1" t="str">
        <f>IF(AND(Table1[[#This Row],[Spec Type2]]="N/A",Table1[[#This Row],[DUT Adj Read]]="N/A",Table1[[#This Row],[Std Adj Read]]="N/A"),"N/A",IF(Table1[[#This Row],[DUT Adj Read]]="N/A",IF(Table1[[#This Row],[Std Adj Read]]&gt;=Table1[[#This Row],[Low Tol]],"Pass","Fail"),IF(Table1[[#This Row],[DUT Adj Read]]&gt;=Table1[[#This Row],[Low Tol]],"Pass","Fail")))</f>
        <v>Pass</v>
      </c>
      <c r="AG1865" s="1" t="str">
        <f>IF(AND(Table1[[#This Row],[Spec Type2]]="N/A",Table1[[#This Row],[DUT Adj Read]]="N/A",Table1[[#This Row],[Std Adj Read]]="N/A"),"N/A",IF(Table1[[#This Row],[DUT Adj Read]]="N/A",IF(Table1[[#This Row],[Std Adj Read]]&lt;=Table1[[#This Row],[High Tol]],"Pass","Fail"),IF(Table1[[#This Row],[DUT Adj Read]]&lt;=Table1[[#This Row],[High Tol]],"Pass","Fail")))</f>
        <v>Fail</v>
      </c>
      <c r="AH18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5" s="1" t="b">
        <v>0</v>
      </c>
      <c r="AN1865" s="1" t="b">
        <v>0</v>
      </c>
      <c r="AO1865" s="1" t="b">
        <v>0</v>
      </c>
    </row>
    <row r="1866" spans="1:41" x14ac:dyDescent="0.25">
      <c r="A1866" s="10"/>
      <c r="B1866" s="10"/>
      <c r="C1866" s="10"/>
      <c r="D1866" s="10"/>
      <c r="E1866" s="10"/>
      <c r="F1866" s="10"/>
      <c r="G1866" s="10"/>
      <c r="H1866" s="10"/>
      <c r="I1866" s="1" t="str">
        <f t="shared" si="84"/>
        <v/>
      </c>
      <c r="J1866" s="1" t="s">
        <v>35</v>
      </c>
      <c r="K1866" s="1" t="str">
        <f t="shared" si="85"/>
        <v/>
      </c>
      <c r="L1866" s="1" t="str">
        <f t="shared" si="86"/>
        <v/>
      </c>
      <c r="M1866" s="1">
        <f>IF(OR(Table1[[#This Row],[Std Nom]]="",Table1[[#This Row],[Std Read]]=""),0,Table1[[#This Row],[Std Nom]]-Table1[[#This Row],[Std Read]])</f>
        <v>0</v>
      </c>
      <c r="N1866" s="1">
        <f>IF(Calculations!$F$5="ACCREDITED 17025 WITH UNCERTAINTIES",$N$10,0)</f>
        <v>0</v>
      </c>
      <c r="O1866" s="1" t="str">
        <f>IFERROR(Table1[[#This Row],[Std Nom]]-(_xlfn.XLOOKUP(Table1[[#This Row],[Manufacturer]]&amp;" "&amp;Table1[[#This Row],[Model]],Table13[MFR &amp; MDL],Table13[Tolerance % CW ],"")/100*Table1[[#This Row],[Std Nom]]),"")</f>
        <v/>
      </c>
      <c r="P1866" s="1" t="str">
        <f>IFERROR(Table1[[#This Row],[Std Nom]]+(_xlfn.XLOOKUP(Table1[[#This Row],[Manufacturer]]&amp;" "&amp;Table1[[#This Row],[Model]],Table13[MFR &amp; MDL],Table13[Tolerance % CW ],"")/100*Table1[[#This Row],[Std Nom]]),"")</f>
        <v/>
      </c>
      <c r="Q1866" s="1" t="e">
        <f>Table1[[#This Row],[High Tol]]-Table1[[#This Row],[Low Tol]]</f>
        <v>#VALUE!</v>
      </c>
      <c r="R1866" s="1">
        <f>2*Table1[[#This Row],[Std Error]]</f>
        <v>0</v>
      </c>
      <c r="S1866" s="1" t="str">
        <f>IF(Table1[[#This Row],[High Tol]]="","N/A",IFERROR(ABS(Table1[[#This Row],[Tol Span]]/Table1[[#This Row],[Error Span]]),"N/A"))</f>
        <v>N/A</v>
      </c>
      <c r="T1866" s="1" t="str">
        <f>IF(OR(Table1[[#This Row],[Low Tol]]="",Table1[[#This Row],[High Tol]]=""),"Needs Analysis",IF(Table1[[#This Row],[Ratio]]&gt;=4,"Not Significant",IF(Table1[[#This Row],[Ratio]]&gt;=2,"Semi-Significant","Significant")))</f>
        <v>Needs Analysis</v>
      </c>
      <c r="W1866" s="1">
        <f>IF(Table1[[#This Row],[Cal Type]]&lt;&gt;"ACCREDITED 17025 WITH UNCERTAINTIES",0,"")</f>
        <v>0</v>
      </c>
      <c r="X1866" s="1" t="str">
        <f>IF(Table1[[#This Row],[DUT Read]]="","N/A",Table1[[#This Row],[Std Error]]+Table1[[#This Row],[DUT Read]]+Table1[[#This Row],[DUT Ucty]])</f>
        <v>N/A</v>
      </c>
      <c r="Y1866" s="1" t="str">
        <f>IF(Table1[[#This Row],[Std Read]]="","N/A",Table1[[#This Row],[Std Read]]+Table1[[#This Row],[Std Ucty]])</f>
        <v>N/A</v>
      </c>
      <c r="Z18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6" s="1" t="str">
        <f>IF(Table1[[#This Row],[Spec Type]]="","N/A",Table1[[#This Row],[Spec Type]])</f>
        <v>±</v>
      </c>
      <c r="AC1866" s="1" t="str">
        <f>IF(Table1[[#This Row],[Spec Type2]]="N/A","N/A",IF(AND(Table1[[#This Row],[DUT Adj Read]]&gt;=Table1[[#This Row],[Low Tol]],Table1[[#This Row],[DUT Adj Read]]&lt;=Table1[[#This Row],[High Tol]]),"Pass","Fail"))</f>
        <v>Fail</v>
      </c>
      <c r="AD1866" s="1" t="str">
        <f>IF(AND(Table1[[#This Row],[Spec Type2]]="N/A",Table1[[#This Row],[DUT Adj Read]]="N/A",Table1[[#This Row],[Std Adj Read]]="N/A"),"N/A",IF(Table1[[#This Row],[DUT Adj Read]]="N/A",IF(Table1[[#This Row],[Std Adj Read]]&gt;Table1[[#This Row],[Low Tol]],"Pass","Fail"),IF(Table1[[#This Row],[DUT Adj Read]]&gt;Table1[[#This Row],[Low Tol]],"Pass","Fail")))</f>
        <v>Pass</v>
      </c>
      <c r="AE1866" s="1" t="str">
        <f>IF(AND(Table1[[#This Row],[Spec Type2]]="N/A",Table1[[#This Row],[DUT Adj Read]]="N/A",Table1[[#This Row],[Std Adj Read]]="N/A"),"N/A",IF(Table1[[#This Row],[DUT Adj Read]]="N/A",IF(Table1[[#This Row],[Std Adj Read]]&lt;Table1[[#This Row],[High Tol]],"Pass","Fail"),IF(Table1[[#This Row],[DUT Adj Read]]&lt;Table1[[#This Row],[High Tol]],"Pass","Fail")))</f>
        <v>Fail</v>
      </c>
      <c r="AF1866" s="1" t="str">
        <f>IF(AND(Table1[[#This Row],[Spec Type2]]="N/A",Table1[[#This Row],[DUT Adj Read]]="N/A",Table1[[#This Row],[Std Adj Read]]="N/A"),"N/A",IF(Table1[[#This Row],[DUT Adj Read]]="N/A",IF(Table1[[#This Row],[Std Adj Read]]&gt;=Table1[[#This Row],[Low Tol]],"Pass","Fail"),IF(Table1[[#This Row],[DUT Adj Read]]&gt;=Table1[[#This Row],[Low Tol]],"Pass","Fail")))</f>
        <v>Pass</v>
      </c>
      <c r="AG1866" s="1" t="str">
        <f>IF(AND(Table1[[#This Row],[Spec Type2]]="N/A",Table1[[#This Row],[DUT Adj Read]]="N/A",Table1[[#This Row],[Std Adj Read]]="N/A"),"N/A",IF(Table1[[#This Row],[DUT Adj Read]]="N/A",IF(Table1[[#This Row],[Std Adj Read]]&lt;=Table1[[#This Row],[High Tol]],"Pass","Fail"),IF(Table1[[#This Row],[DUT Adj Read]]&lt;=Table1[[#This Row],[High Tol]],"Pass","Fail")))</f>
        <v>Fail</v>
      </c>
      <c r="AH18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6" s="1" t="b">
        <v>0</v>
      </c>
      <c r="AN1866" s="1" t="b">
        <v>0</v>
      </c>
      <c r="AO1866" s="1" t="b">
        <v>0</v>
      </c>
    </row>
    <row r="1867" spans="1:41" x14ac:dyDescent="0.25">
      <c r="A1867" s="10"/>
      <c r="B1867" s="10"/>
      <c r="C1867" s="10"/>
      <c r="D1867" s="10"/>
      <c r="E1867" s="10"/>
      <c r="F1867" s="10"/>
      <c r="G1867" s="10"/>
      <c r="H1867" s="10"/>
      <c r="I1867" s="1" t="str">
        <f t="shared" ref="I1867:I1930" si="87">IF($I$10="","",$I$10)</f>
        <v/>
      </c>
      <c r="J1867" s="1" t="s">
        <v>35</v>
      </c>
      <c r="K1867" s="1" t="str">
        <f t="shared" ref="K1867:K1930" si="88">IF($K$10="","",$K$10)</f>
        <v/>
      </c>
      <c r="L1867" s="1" t="str">
        <f t="shared" ref="L1867:L1930" si="89">IF($L$10="","",$L$10)</f>
        <v/>
      </c>
      <c r="M1867" s="1">
        <f>IF(OR(Table1[[#This Row],[Std Nom]]="",Table1[[#This Row],[Std Read]]=""),0,Table1[[#This Row],[Std Nom]]-Table1[[#This Row],[Std Read]])</f>
        <v>0</v>
      </c>
      <c r="N1867" s="1">
        <f>IF(Calculations!$F$5="ACCREDITED 17025 WITH UNCERTAINTIES",$N$10,0)</f>
        <v>0</v>
      </c>
      <c r="O1867" s="1" t="str">
        <f>IFERROR(Table1[[#This Row],[Std Nom]]-(_xlfn.XLOOKUP(Table1[[#This Row],[Manufacturer]]&amp;" "&amp;Table1[[#This Row],[Model]],Table13[MFR &amp; MDL],Table13[Tolerance % CW ],"")/100*Table1[[#This Row],[Std Nom]]),"")</f>
        <v/>
      </c>
      <c r="P1867" s="1" t="str">
        <f>IFERROR(Table1[[#This Row],[Std Nom]]+(_xlfn.XLOOKUP(Table1[[#This Row],[Manufacturer]]&amp;" "&amp;Table1[[#This Row],[Model]],Table13[MFR &amp; MDL],Table13[Tolerance % CW ],"")/100*Table1[[#This Row],[Std Nom]]),"")</f>
        <v/>
      </c>
      <c r="Q1867" s="1" t="e">
        <f>Table1[[#This Row],[High Tol]]-Table1[[#This Row],[Low Tol]]</f>
        <v>#VALUE!</v>
      </c>
      <c r="R1867" s="1">
        <f>2*Table1[[#This Row],[Std Error]]</f>
        <v>0</v>
      </c>
      <c r="S1867" s="1" t="str">
        <f>IF(Table1[[#This Row],[High Tol]]="","N/A",IFERROR(ABS(Table1[[#This Row],[Tol Span]]/Table1[[#This Row],[Error Span]]),"N/A"))</f>
        <v>N/A</v>
      </c>
      <c r="T1867" s="1" t="str">
        <f>IF(OR(Table1[[#This Row],[Low Tol]]="",Table1[[#This Row],[High Tol]]=""),"Needs Analysis",IF(Table1[[#This Row],[Ratio]]&gt;=4,"Not Significant",IF(Table1[[#This Row],[Ratio]]&gt;=2,"Semi-Significant","Significant")))</f>
        <v>Needs Analysis</v>
      </c>
      <c r="W1867" s="1">
        <f>IF(Table1[[#This Row],[Cal Type]]&lt;&gt;"ACCREDITED 17025 WITH UNCERTAINTIES",0,"")</f>
        <v>0</v>
      </c>
      <c r="X1867" s="1" t="str">
        <f>IF(Table1[[#This Row],[DUT Read]]="","N/A",Table1[[#This Row],[Std Error]]+Table1[[#This Row],[DUT Read]]+Table1[[#This Row],[DUT Ucty]])</f>
        <v>N/A</v>
      </c>
      <c r="Y1867" s="1" t="str">
        <f>IF(Table1[[#This Row],[Std Read]]="","N/A",Table1[[#This Row],[Std Read]]+Table1[[#This Row],[Std Ucty]])</f>
        <v>N/A</v>
      </c>
      <c r="Z18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7" s="1" t="str">
        <f>IF(Table1[[#This Row],[Spec Type]]="","N/A",Table1[[#This Row],[Spec Type]])</f>
        <v>±</v>
      </c>
      <c r="AC1867" s="1" t="str">
        <f>IF(Table1[[#This Row],[Spec Type2]]="N/A","N/A",IF(AND(Table1[[#This Row],[DUT Adj Read]]&gt;=Table1[[#This Row],[Low Tol]],Table1[[#This Row],[DUT Adj Read]]&lt;=Table1[[#This Row],[High Tol]]),"Pass","Fail"))</f>
        <v>Fail</v>
      </c>
      <c r="AD1867" s="1" t="str">
        <f>IF(AND(Table1[[#This Row],[Spec Type2]]="N/A",Table1[[#This Row],[DUT Adj Read]]="N/A",Table1[[#This Row],[Std Adj Read]]="N/A"),"N/A",IF(Table1[[#This Row],[DUT Adj Read]]="N/A",IF(Table1[[#This Row],[Std Adj Read]]&gt;Table1[[#This Row],[Low Tol]],"Pass","Fail"),IF(Table1[[#This Row],[DUT Adj Read]]&gt;Table1[[#This Row],[Low Tol]],"Pass","Fail")))</f>
        <v>Pass</v>
      </c>
      <c r="AE1867" s="1" t="str">
        <f>IF(AND(Table1[[#This Row],[Spec Type2]]="N/A",Table1[[#This Row],[DUT Adj Read]]="N/A",Table1[[#This Row],[Std Adj Read]]="N/A"),"N/A",IF(Table1[[#This Row],[DUT Adj Read]]="N/A",IF(Table1[[#This Row],[Std Adj Read]]&lt;Table1[[#This Row],[High Tol]],"Pass","Fail"),IF(Table1[[#This Row],[DUT Adj Read]]&lt;Table1[[#This Row],[High Tol]],"Pass","Fail")))</f>
        <v>Fail</v>
      </c>
      <c r="AF1867" s="1" t="str">
        <f>IF(AND(Table1[[#This Row],[Spec Type2]]="N/A",Table1[[#This Row],[DUT Adj Read]]="N/A",Table1[[#This Row],[Std Adj Read]]="N/A"),"N/A",IF(Table1[[#This Row],[DUT Adj Read]]="N/A",IF(Table1[[#This Row],[Std Adj Read]]&gt;=Table1[[#This Row],[Low Tol]],"Pass","Fail"),IF(Table1[[#This Row],[DUT Adj Read]]&gt;=Table1[[#This Row],[Low Tol]],"Pass","Fail")))</f>
        <v>Pass</v>
      </c>
      <c r="AG1867" s="1" t="str">
        <f>IF(AND(Table1[[#This Row],[Spec Type2]]="N/A",Table1[[#This Row],[DUT Adj Read]]="N/A",Table1[[#This Row],[Std Adj Read]]="N/A"),"N/A",IF(Table1[[#This Row],[DUT Adj Read]]="N/A",IF(Table1[[#This Row],[Std Adj Read]]&lt;=Table1[[#This Row],[High Tol]],"Pass","Fail"),IF(Table1[[#This Row],[DUT Adj Read]]&lt;=Table1[[#This Row],[High Tol]],"Pass","Fail")))</f>
        <v>Fail</v>
      </c>
      <c r="AH18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7" s="1" t="b">
        <v>0</v>
      </c>
      <c r="AN1867" s="1" t="b">
        <v>0</v>
      </c>
      <c r="AO1867" s="1" t="b">
        <v>0</v>
      </c>
    </row>
    <row r="1868" spans="1:41" x14ac:dyDescent="0.25">
      <c r="A1868" s="10"/>
      <c r="B1868" s="10"/>
      <c r="C1868" s="10"/>
      <c r="D1868" s="10"/>
      <c r="E1868" s="10"/>
      <c r="F1868" s="10"/>
      <c r="G1868" s="10"/>
      <c r="H1868" s="10"/>
      <c r="I1868" s="1" t="str">
        <f t="shared" si="87"/>
        <v/>
      </c>
      <c r="J1868" s="1" t="s">
        <v>35</v>
      </c>
      <c r="K1868" s="1" t="str">
        <f t="shared" si="88"/>
        <v/>
      </c>
      <c r="L1868" s="1" t="str">
        <f t="shared" si="89"/>
        <v/>
      </c>
      <c r="M1868" s="1">
        <f>IF(OR(Table1[[#This Row],[Std Nom]]="",Table1[[#This Row],[Std Read]]=""),0,Table1[[#This Row],[Std Nom]]-Table1[[#This Row],[Std Read]])</f>
        <v>0</v>
      </c>
      <c r="N1868" s="1">
        <f>IF(Calculations!$F$5="ACCREDITED 17025 WITH UNCERTAINTIES",$N$10,0)</f>
        <v>0</v>
      </c>
      <c r="O1868" s="1" t="str">
        <f>IFERROR(Table1[[#This Row],[Std Nom]]-(_xlfn.XLOOKUP(Table1[[#This Row],[Manufacturer]]&amp;" "&amp;Table1[[#This Row],[Model]],Table13[MFR &amp; MDL],Table13[Tolerance % CW ],"")/100*Table1[[#This Row],[Std Nom]]),"")</f>
        <v/>
      </c>
      <c r="P1868" s="1" t="str">
        <f>IFERROR(Table1[[#This Row],[Std Nom]]+(_xlfn.XLOOKUP(Table1[[#This Row],[Manufacturer]]&amp;" "&amp;Table1[[#This Row],[Model]],Table13[MFR &amp; MDL],Table13[Tolerance % CW ],"")/100*Table1[[#This Row],[Std Nom]]),"")</f>
        <v/>
      </c>
      <c r="Q1868" s="1" t="e">
        <f>Table1[[#This Row],[High Tol]]-Table1[[#This Row],[Low Tol]]</f>
        <v>#VALUE!</v>
      </c>
      <c r="R1868" s="1">
        <f>2*Table1[[#This Row],[Std Error]]</f>
        <v>0</v>
      </c>
      <c r="S1868" s="1" t="str">
        <f>IF(Table1[[#This Row],[High Tol]]="","N/A",IFERROR(ABS(Table1[[#This Row],[Tol Span]]/Table1[[#This Row],[Error Span]]),"N/A"))</f>
        <v>N/A</v>
      </c>
      <c r="T1868" s="1" t="str">
        <f>IF(OR(Table1[[#This Row],[Low Tol]]="",Table1[[#This Row],[High Tol]]=""),"Needs Analysis",IF(Table1[[#This Row],[Ratio]]&gt;=4,"Not Significant",IF(Table1[[#This Row],[Ratio]]&gt;=2,"Semi-Significant","Significant")))</f>
        <v>Needs Analysis</v>
      </c>
      <c r="W1868" s="1">
        <f>IF(Table1[[#This Row],[Cal Type]]&lt;&gt;"ACCREDITED 17025 WITH UNCERTAINTIES",0,"")</f>
        <v>0</v>
      </c>
      <c r="X1868" s="1" t="str">
        <f>IF(Table1[[#This Row],[DUT Read]]="","N/A",Table1[[#This Row],[Std Error]]+Table1[[#This Row],[DUT Read]]+Table1[[#This Row],[DUT Ucty]])</f>
        <v>N/A</v>
      </c>
      <c r="Y1868" s="1" t="str">
        <f>IF(Table1[[#This Row],[Std Read]]="","N/A",Table1[[#This Row],[Std Read]]+Table1[[#This Row],[Std Ucty]])</f>
        <v>N/A</v>
      </c>
      <c r="Z18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8" s="1" t="str">
        <f>IF(Table1[[#This Row],[Spec Type]]="","N/A",Table1[[#This Row],[Spec Type]])</f>
        <v>±</v>
      </c>
      <c r="AC1868" s="1" t="str">
        <f>IF(Table1[[#This Row],[Spec Type2]]="N/A","N/A",IF(AND(Table1[[#This Row],[DUT Adj Read]]&gt;=Table1[[#This Row],[Low Tol]],Table1[[#This Row],[DUT Adj Read]]&lt;=Table1[[#This Row],[High Tol]]),"Pass","Fail"))</f>
        <v>Fail</v>
      </c>
      <c r="AD1868" s="1" t="str">
        <f>IF(AND(Table1[[#This Row],[Spec Type2]]="N/A",Table1[[#This Row],[DUT Adj Read]]="N/A",Table1[[#This Row],[Std Adj Read]]="N/A"),"N/A",IF(Table1[[#This Row],[DUT Adj Read]]="N/A",IF(Table1[[#This Row],[Std Adj Read]]&gt;Table1[[#This Row],[Low Tol]],"Pass","Fail"),IF(Table1[[#This Row],[DUT Adj Read]]&gt;Table1[[#This Row],[Low Tol]],"Pass","Fail")))</f>
        <v>Pass</v>
      </c>
      <c r="AE1868" s="1" t="str">
        <f>IF(AND(Table1[[#This Row],[Spec Type2]]="N/A",Table1[[#This Row],[DUT Adj Read]]="N/A",Table1[[#This Row],[Std Adj Read]]="N/A"),"N/A",IF(Table1[[#This Row],[DUT Adj Read]]="N/A",IF(Table1[[#This Row],[Std Adj Read]]&lt;Table1[[#This Row],[High Tol]],"Pass","Fail"),IF(Table1[[#This Row],[DUT Adj Read]]&lt;Table1[[#This Row],[High Tol]],"Pass","Fail")))</f>
        <v>Fail</v>
      </c>
      <c r="AF1868" s="1" t="str">
        <f>IF(AND(Table1[[#This Row],[Spec Type2]]="N/A",Table1[[#This Row],[DUT Adj Read]]="N/A",Table1[[#This Row],[Std Adj Read]]="N/A"),"N/A",IF(Table1[[#This Row],[DUT Adj Read]]="N/A",IF(Table1[[#This Row],[Std Adj Read]]&gt;=Table1[[#This Row],[Low Tol]],"Pass","Fail"),IF(Table1[[#This Row],[DUT Adj Read]]&gt;=Table1[[#This Row],[Low Tol]],"Pass","Fail")))</f>
        <v>Pass</v>
      </c>
      <c r="AG1868" s="1" t="str">
        <f>IF(AND(Table1[[#This Row],[Spec Type2]]="N/A",Table1[[#This Row],[DUT Adj Read]]="N/A",Table1[[#This Row],[Std Adj Read]]="N/A"),"N/A",IF(Table1[[#This Row],[DUT Adj Read]]="N/A",IF(Table1[[#This Row],[Std Adj Read]]&lt;=Table1[[#This Row],[High Tol]],"Pass","Fail"),IF(Table1[[#This Row],[DUT Adj Read]]&lt;=Table1[[#This Row],[High Tol]],"Pass","Fail")))</f>
        <v>Fail</v>
      </c>
      <c r="AH18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8" s="1" t="b">
        <v>0</v>
      </c>
      <c r="AN1868" s="1" t="b">
        <v>0</v>
      </c>
      <c r="AO1868" s="1" t="b">
        <v>0</v>
      </c>
    </row>
    <row r="1869" spans="1:41" x14ac:dyDescent="0.25">
      <c r="A1869" s="10"/>
      <c r="B1869" s="10"/>
      <c r="C1869" s="10"/>
      <c r="D1869" s="10"/>
      <c r="E1869" s="10"/>
      <c r="F1869" s="10"/>
      <c r="G1869" s="10"/>
      <c r="H1869" s="10"/>
      <c r="I1869" s="1" t="str">
        <f t="shared" si="87"/>
        <v/>
      </c>
      <c r="J1869" s="1" t="s">
        <v>35</v>
      </c>
      <c r="K1869" s="1" t="str">
        <f t="shared" si="88"/>
        <v/>
      </c>
      <c r="L1869" s="1" t="str">
        <f t="shared" si="89"/>
        <v/>
      </c>
      <c r="M1869" s="1">
        <f>IF(OR(Table1[[#This Row],[Std Nom]]="",Table1[[#This Row],[Std Read]]=""),0,Table1[[#This Row],[Std Nom]]-Table1[[#This Row],[Std Read]])</f>
        <v>0</v>
      </c>
      <c r="N1869" s="1">
        <f>IF(Calculations!$F$5="ACCREDITED 17025 WITH UNCERTAINTIES",$N$10,0)</f>
        <v>0</v>
      </c>
      <c r="O1869" s="1" t="str">
        <f>IFERROR(Table1[[#This Row],[Std Nom]]-(_xlfn.XLOOKUP(Table1[[#This Row],[Manufacturer]]&amp;" "&amp;Table1[[#This Row],[Model]],Table13[MFR &amp; MDL],Table13[Tolerance % CW ],"")/100*Table1[[#This Row],[Std Nom]]),"")</f>
        <v/>
      </c>
      <c r="P1869" s="1" t="str">
        <f>IFERROR(Table1[[#This Row],[Std Nom]]+(_xlfn.XLOOKUP(Table1[[#This Row],[Manufacturer]]&amp;" "&amp;Table1[[#This Row],[Model]],Table13[MFR &amp; MDL],Table13[Tolerance % CW ],"")/100*Table1[[#This Row],[Std Nom]]),"")</f>
        <v/>
      </c>
      <c r="Q1869" s="1" t="e">
        <f>Table1[[#This Row],[High Tol]]-Table1[[#This Row],[Low Tol]]</f>
        <v>#VALUE!</v>
      </c>
      <c r="R1869" s="1">
        <f>2*Table1[[#This Row],[Std Error]]</f>
        <v>0</v>
      </c>
      <c r="S1869" s="1" t="str">
        <f>IF(Table1[[#This Row],[High Tol]]="","N/A",IFERROR(ABS(Table1[[#This Row],[Tol Span]]/Table1[[#This Row],[Error Span]]),"N/A"))</f>
        <v>N/A</v>
      </c>
      <c r="T1869" s="1" t="str">
        <f>IF(OR(Table1[[#This Row],[Low Tol]]="",Table1[[#This Row],[High Tol]]=""),"Needs Analysis",IF(Table1[[#This Row],[Ratio]]&gt;=4,"Not Significant",IF(Table1[[#This Row],[Ratio]]&gt;=2,"Semi-Significant","Significant")))</f>
        <v>Needs Analysis</v>
      </c>
      <c r="W1869" s="1">
        <f>IF(Table1[[#This Row],[Cal Type]]&lt;&gt;"ACCREDITED 17025 WITH UNCERTAINTIES",0,"")</f>
        <v>0</v>
      </c>
      <c r="X1869" s="1" t="str">
        <f>IF(Table1[[#This Row],[DUT Read]]="","N/A",Table1[[#This Row],[Std Error]]+Table1[[#This Row],[DUT Read]]+Table1[[#This Row],[DUT Ucty]])</f>
        <v>N/A</v>
      </c>
      <c r="Y1869" s="1" t="str">
        <f>IF(Table1[[#This Row],[Std Read]]="","N/A",Table1[[#This Row],[Std Read]]+Table1[[#This Row],[Std Ucty]])</f>
        <v>N/A</v>
      </c>
      <c r="Z18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9" s="1" t="str">
        <f>IF(Table1[[#This Row],[Spec Type]]="","N/A",Table1[[#This Row],[Spec Type]])</f>
        <v>±</v>
      </c>
      <c r="AC1869" s="1" t="str">
        <f>IF(Table1[[#This Row],[Spec Type2]]="N/A","N/A",IF(AND(Table1[[#This Row],[DUT Adj Read]]&gt;=Table1[[#This Row],[Low Tol]],Table1[[#This Row],[DUT Adj Read]]&lt;=Table1[[#This Row],[High Tol]]),"Pass","Fail"))</f>
        <v>Fail</v>
      </c>
      <c r="AD1869" s="1" t="str">
        <f>IF(AND(Table1[[#This Row],[Spec Type2]]="N/A",Table1[[#This Row],[DUT Adj Read]]="N/A",Table1[[#This Row],[Std Adj Read]]="N/A"),"N/A",IF(Table1[[#This Row],[DUT Adj Read]]="N/A",IF(Table1[[#This Row],[Std Adj Read]]&gt;Table1[[#This Row],[Low Tol]],"Pass","Fail"),IF(Table1[[#This Row],[DUT Adj Read]]&gt;Table1[[#This Row],[Low Tol]],"Pass","Fail")))</f>
        <v>Pass</v>
      </c>
      <c r="AE1869" s="1" t="str">
        <f>IF(AND(Table1[[#This Row],[Spec Type2]]="N/A",Table1[[#This Row],[DUT Adj Read]]="N/A",Table1[[#This Row],[Std Adj Read]]="N/A"),"N/A",IF(Table1[[#This Row],[DUT Adj Read]]="N/A",IF(Table1[[#This Row],[Std Adj Read]]&lt;Table1[[#This Row],[High Tol]],"Pass","Fail"),IF(Table1[[#This Row],[DUT Adj Read]]&lt;Table1[[#This Row],[High Tol]],"Pass","Fail")))</f>
        <v>Fail</v>
      </c>
      <c r="AF1869" s="1" t="str">
        <f>IF(AND(Table1[[#This Row],[Spec Type2]]="N/A",Table1[[#This Row],[DUT Adj Read]]="N/A",Table1[[#This Row],[Std Adj Read]]="N/A"),"N/A",IF(Table1[[#This Row],[DUT Adj Read]]="N/A",IF(Table1[[#This Row],[Std Adj Read]]&gt;=Table1[[#This Row],[Low Tol]],"Pass","Fail"),IF(Table1[[#This Row],[DUT Adj Read]]&gt;=Table1[[#This Row],[Low Tol]],"Pass","Fail")))</f>
        <v>Pass</v>
      </c>
      <c r="AG1869" s="1" t="str">
        <f>IF(AND(Table1[[#This Row],[Spec Type2]]="N/A",Table1[[#This Row],[DUT Adj Read]]="N/A",Table1[[#This Row],[Std Adj Read]]="N/A"),"N/A",IF(Table1[[#This Row],[DUT Adj Read]]="N/A",IF(Table1[[#This Row],[Std Adj Read]]&lt;=Table1[[#This Row],[High Tol]],"Pass","Fail"),IF(Table1[[#This Row],[DUT Adj Read]]&lt;=Table1[[#This Row],[High Tol]],"Pass","Fail")))</f>
        <v>Fail</v>
      </c>
      <c r="AH18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9" s="1" t="b">
        <v>0</v>
      </c>
      <c r="AN1869" s="1" t="b">
        <v>0</v>
      </c>
      <c r="AO1869" s="1" t="b">
        <v>0</v>
      </c>
    </row>
    <row r="1870" spans="1:41" x14ac:dyDescent="0.25">
      <c r="A1870" s="10"/>
      <c r="B1870" s="10"/>
      <c r="C1870" s="10"/>
      <c r="D1870" s="10"/>
      <c r="E1870" s="10"/>
      <c r="F1870" s="10"/>
      <c r="G1870" s="10"/>
      <c r="H1870" s="10"/>
      <c r="I1870" s="1" t="str">
        <f t="shared" si="87"/>
        <v/>
      </c>
      <c r="J1870" s="1" t="s">
        <v>35</v>
      </c>
      <c r="K1870" s="1" t="str">
        <f t="shared" si="88"/>
        <v/>
      </c>
      <c r="L1870" s="1" t="str">
        <f t="shared" si="89"/>
        <v/>
      </c>
      <c r="M1870" s="1">
        <f>IF(OR(Table1[[#This Row],[Std Nom]]="",Table1[[#This Row],[Std Read]]=""),0,Table1[[#This Row],[Std Nom]]-Table1[[#This Row],[Std Read]])</f>
        <v>0</v>
      </c>
      <c r="N1870" s="1">
        <f>IF(Calculations!$F$5="ACCREDITED 17025 WITH UNCERTAINTIES",$N$10,0)</f>
        <v>0</v>
      </c>
      <c r="O1870" s="1" t="str">
        <f>IFERROR(Table1[[#This Row],[Std Nom]]-(_xlfn.XLOOKUP(Table1[[#This Row],[Manufacturer]]&amp;" "&amp;Table1[[#This Row],[Model]],Table13[MFR &amp; MDL],Table13[Tolerance % CW ],"")/100*Table1[[#This Row],[Std Nom]]),"")</f>
        <v/>
      </c>
      <c r="P1870" s="1" t="str">
        <f>IFERROR(Table1[[#This Row],[Std Nom]]+(_xlfn.XLOOKUP(Table1[[#This Row],[Manufacturer]]&amp;" "&amp;Table1[[#This Row],[Model]],Table13[MFR &amp; MDL],Table13[Tolerance % CW ],"")/100*Table1[[#This Row],[Std Nom]]),"")</f>
        <v/>
      </c>
      <c r="Q1870" s="1" t="e">
        <f>Table1[[#This Row],[High Tol]]-Table1[[#This Row],[Low Tol]]</f>
        <v>#VALUE!</v>
      </c>
      <c r="R1870" s="1">
        <f>2*Table1[[#This Row],[Std Error]]</f>
        <v>0</v>
      </c>
      <c r="S1870" s="1" t="str">
        <f>IF(Table1[[#This Row],[High Tol]]="","N/A",IFERROR(ABS(Table1[[#This Row],[Tol Span]]/Table1[[#This Row],[Error Span]]),"N/A"))</f>
        <v>N/A</v>
      </c>
      <c r="T1870" s="1" t="str">
        <f>IF(OR(Table1[[#This Row],[Low Tol]]="",Table1[[#This Row],[High Tol]]=""),"Needs Analysis",IF(Table1[[#This Row],[Ratio]]&gt;=4,"Not Significant",IF(Table1[[#This Row],[Ratio]]&gt;=2,"Semi-Significant","Significant")))</f>
        <v>Needs Analysis</v>
      </c>
      <c r="W1870" s="1">
        <f>IF(Table1[[#This Row],[Cal Type]]&lt;&gt;"ACCREDITED 17025 WITH UNCERTAINTIES",0,"")</f>
        <v>0</v>
      </c>
      <c r="X1870" s="1" t="str">
        <f>IF(Table1[[#This Row],[DUT Read]]="","N/A",Table1[[#This Row],[Std Error]]+Table1[[#This Row],[DUT Read]]+Table1[[#This Row],[DUT Ucty]])</f>
        <v>N/A</v>
      </c>
      <c r="Y1870" s="1" t="str">
        <f>IF(Table1[[#This Row],[Std Read]]="","N/A",Table1[[#This Row],[Std Read]]+Table1[[#This Row],[Std Ucty]])</f>
        <v>N/A</v>
      </c>
      <c r="Z18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0" s="1" t="str">
        <f>IF(Table1[[#This Row],[Spec Type]]="","N/A",Table1[[#This Row],[Spec Type]])</f>
        <v>±</v>
      </c>
      <c r="AC1870" s="1" t="str">
        <f>IF(Table1[[#This Row],[Spec Type2]]="N/A","N/A",IF(AND(Table1[[#This Row],[DUT Adj Read]]&gt;=Table1[[#This Row],[Low Tol]],Table1[[#This Row],[DUT Adj Read]]&lt;=Table1[[#This Row],[High Tol]]),"Pass","Fail"))</f>
        <v>Fail</v>
      </c>
      <c r="AD1870" s="1" t="str">
        <f>IF(AND(Table1[[#This Row],[Spec Type2]]="N/A",Table1[[#This Row],[DUT Adj Read]]="N/A",Table1[[#This Row],[Std Adj Read]]="N/A"),"N/A",IF(Table1[[#This Row],[DUT Adj Read]]="N/A",IF(Table1[[#This Row],[Std Adj Read]]&gt;Table1[[#This Row],[Low Tol]],"Pass","Fail"),IF(Table1[[#This Row],[DUT Adj Read]]&gt;Table1[[#This Row],[Low Tol]],"Pass","Fail")))</f>
        <v>Pass</v>
      </c>
      <c r="AE1870" s="1" t="str">
        <f>IF(AND(Table1[[#This Row],[Spec Type2]]="N/A",Table1[[#This Row],[DUT Adj Read]]="N/A",Table1[[#This Row],[Std Adj Read]]="N/A"),"N/A",IF(Table1[[#This Row],[DUT Adj Read]]="N/A",IF(Table1[[#This Row],[Std Adj Read]]&lt;Table1[[#This Row],[High Tol]],"Pass","Fail"),IF(Table1[[#This Row],[DUT Adj Read]]&lt;Table1[[#This Row],[High Tol]],"Pass","Fail")))</f>
        <v>Fail</v>
      </c>
      <c r="AF1870" s="1" t="str">
        <f>IF(AND(Table1[[#This Row],[Spec Type2]]="N/A",Table1[[#This Row],[DUT Adj Read]]="N/A",Table1[[#This Row],[Std Adj Read]]="N/A"),"N/A",IF(Table1[[#This Row],[DUT Adj Read]]="N/A",IF(Table1[[#This Row],[Std Adj Read]]&gt;=Table1[[#This Row],[Low Tol]],"Pass","Fail"),IF(Table1[[#This Row],[DUT Adj Read]]&gt;=Table1[[#This Row],[Low Tol]],"Pass","Fail")))</f>
        <v>Pass</v>
      </c>
      <c r="AG1870" s="1" t="str">
        <f>IF(AND(Table1[[#This Row],[Spec Type2]]="N/A",Table1[[#This Row],[DUT Adj Read]]="N/A",Table1[[#This Row],[Std Adj Read]]="N/A"),"N/A",IF(Table1[[#This Row],[DUT Adj Read]]="N/A",IF(Table1[[#This Row],[Std Adj Read]]&lt;=Table1[[#This Row],[High Tol]],"Pass","Fail"),IF(Table1[[#This Row],[DUT Adj Read]]&lt;=Table1[[#This Row],[High Tol]],"Pass","Fail")))</f>
        <v>Fail</v>
      </c>
      <c r="AH18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0" s="1" t="b">
        <v>0</v>
      </c>
      <c r="AN1870" s="1" t="b">
        <v>0</v>
      </c>
      <c r="AO1870" s="1" t="b">
        <v>0</v>
      </c>
    </row>
    <row r="1871" spans="1:41" x14ac:dyDescent="0.25">
      <c r="A1871" s="10"/>
      <c r="B1871" s="10"/>
      <c r="C1871" s="10"/>
      <c r="D1871" s="10"/>
      <c r="E1871" s="10"/>
      <c r="F1871" s="10"/>
      <c r="G1871" s="10"/>
      <c r="H1871" s="10"/>
      <c r="I1871" s="1" t="str">
        <f t="shared" si="87"/>
        <v/>
      </c>
      <c r="J1871" s="1" t="s">
        <v>35</v>
      </c>
      <c r="K1871" s="1" t="str">
        <f t="shared" si="88"/>
        <v/>
      </c>
      <c r="L1871" s="1" t="str">
        <f t="shared" si="89"/>
        <v/>
      </c>
      <c r="M1871" s="1">
        <f>IF(OR(Table1[[#This Row],[Std Nom]]="",Table1[[#This Row],[Std Read]]=""),0,Table1[[#This Row],[Std Nom]]-Table1[[#This Row],[Std Read]])</f>
        <v>0</v>
      </c>
      <c r="N1871" s="1">
        <f>IF(Calculations!$F$5="ACCREDITED 17025 WITH UNCERTAINTIES",$N$10,0)</f>
        <v>0</v>
      </c>
      <c r="O1871" s="1" t="str">
        <f>IFERROR(Table1[[#This Row],[Std Nom]]-(_xlfn.XLOOKUP(Table1[[#This Row],[Manufacturer]]&amp;" "&amp;Table1[[#This Row],[Model]],Table13[MFR &amp; MDL],Table13[Tolerance % CW ],"")/100*Table1[[#This Row],[Std Nom]]),"")</f>
        <v/>
      </c>
      <c r="P1871" s="1" t="str">
        <f>IFERROR(Table1[[#This Row],[Std Nom]]+(_xlfn.XLOOKUP(Table1[[#This Row],[Manufacturer]]&amp;" "&amp;Table1[[#This Row],[Model]],Table13[MFR &amp; MDL],Table13[Tolerance % CW ],"")/100*Table1[[#This Row],[Std Nom]]),"")</f>
        <v/>
      </c>
      <c r="Q1871" s="1" t="e">
        <f>Table1[[#This Row],[High Tol]]-Table1[[#This Row],[Low Tol]]</f>
        <v>#VALUE!</v>
      </c>
      <c r="R1871" s="1">
        <f>2*Table1[[#This Row],[Std Error]]</f>
        <v>0</v>
      </c>
      <c r="S1871" s="1" t="str">
        <f>IF(Table1[[#This Row],[High Tol]]="","N/A",IFERROR(ABS(Table1[[#This Row],[Tol Span]]/Table1[[#This Row],[Error Span]]),"N/A"))</f>
        <v>N/A</v>
      </c>
      <c r="T1871" s="1" t="str">
        <f>IF(OR(Table1[[#This Row],[Low Tol]]="",Table1[[#This Row],[High Tol]]=""),"Needs Analysis",IF(Table1[[#This Row],[Ratio]]&gt;=4,"Not Significant",IF(Table1[[#This Row],[Ratio]]&gt;=2,"Semi-Significant","Significant")))</f>
        <v>Needs Analysis</v>
      </c>
      <c r="W1871" s="1">
        <f>IF(Table1[[#This Row],[Cal Type]]&lt;&gt;"ACCREDITED 17025 WITH UNCERTAINTIES",0,"")</f>
        <v>0</v>
      </c>
      <c r="X1871" s="1" t="str">
        <f>IF(Table1[[#This Row],[DUT Read]]="","N/A",Table1[[#This Row],[Std Error]]+Table1[[#This Row],[DUT Read]]+Table1[[#This Row],[DUT Ucty]])</f>
        <v>N/A</v>
      </c>
      <c r="Y1871" s="1" t="str">
        <f>IF(Table1[[#This Row],[Std Read]]="","N/A",Table1[[#This Row],[Std Read]]+Table1[[#This Row],[Std Ucty]])</f>
        <v>N/A</v>
      </c>
      <c r="Z18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1" s="1" t="str">
        <f>IF(Table1[[#This Row],[Spec Type]]="","N/A",Table1[[#This Row],[Spec Type]])</f>
        <v>±</v>
      </c>
      <c r="AC1871" s="1" t="str">
        <f>IF(Table1[[#This Row],[Spec Type2]]="N/A","N/A",IF(AND(Table1[[#This Row],[DUT Adj Read]]&gt;=Table1[[#This Row],[Low Tol]],Table1[[#This Row],[DUT Adj Read]]&lt;=Table1[[#This Row],[High Tol]]),"Pass","Fail"))</f>
        <v>Fail</v>
      </c>
      <c r="AD1871" s="1" t="str">
        <f>IF(AND(Table1[[#This Row],[Spec Type2]]="N/A",Table1[[#This Row],[DUT Adj Read]]="N/A",Table1[[#This Row],[Std Adj Read]]="N/A"),"N/A",IF(Table1[[#This Row],[DUT Adj Read]]="N/A",IF(Table1[[#This Row],[Std Adj Read]]&gt;Table1[[#This Row],[Low Tol]],"Pass","Fail"),IF(Table1[[#This Row],[DUT Adj Read]]&gt;Table1[[#This Row],[Low Tol]],"Pass","Fail")))</f>
        <v>Pass</v>
      </c>
      <c r="AE1871" s="1" t="str">
        <f>IF(AND(Table1[[#This Row],[Spec Type2]]="N/A",Table1[[#This Row],[DUT Adj Read]]="N/A",Table1[[#This Row],[Std Adj Read]]="N/A"),"N/A",IF(Table1[[#This Row],[DUT Adj Read]]="N/A",IF(Table1[[#This Row],[Std Adj Read]]&lt;Table1[[#This Row],[High Tol]],"Pass","Fail"),IF(Table1[[#This Row],[DUT Adj Read]]&lt;Table1[[#This Row],[High Tol]],"Pass","Fail")))</f>
        <v>Fail</v>
      </c>
      <c r="AF1871" s="1" t="str">
        <f>IF(AND(Table1[[#This Row],[Spec Type2]]="N/A",Table1[[#This Row],[DUT Adj Read]]="N/A",Table1[[#This Row],[Std Adj Read]]="N/A"),"N/A",IF(Table1[[#This Row],[DUT Adj Read]]="N/A",IF(Table1[[#This Row],[Std Adj Read]]&gt;=Table1[[#This Row],[Low Tol]],"Pass","Fail"),IF(Table1[[#This Row],[DUT Adj Read]]&gt;=Table1[[#This Row],[Low Tol]],"Pass","Fail")))</f>
        <v>Pass</v>
      </c>
      <c r="AG1871" s="1" t="str">
        <f>IF(AND(Table1[[#This Row],[Spec Type2]]="N/A",Table1[[#This Row],[DUT Adj Read]]="N/A",Table1[[#This Row],[Std Adj Read]]="N/A"),"N/A",IF(Table1[[#This Row],[DUT Adj Read]]="N/A",IF(Table1[[#This Row],[Std Adj Read]]&lt;=Table1[[#This Row],[High Tol]],"Pass","Fail"),IF(Table1[[#This Row],[DUT Adj Read]]&lt;=Table1[[#This Row],[High Tol]],"Pass","Fail")))</f>
        <v>Fail</v>
      </c>
      <c r="AH18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1" s="1" t="b">
        <v>0</v>
      </c>
      <c r="AN1871" s="1" t="b">
        <v>0</v>
      </c>
      <c r="AO1871" s="1" t="b">
        <v>0</v>
      </c>
    </row>
    <row r="1872" spans="1:41" x14ac:dyDescent="0.25">
      <c r="A1872" s="10"/>
      <c r="B1872" s="10"/>
      <c r="C1872" s="10"/>
      <c r="D1872" s="10"/>
      <c r="E1872" s="10"/>
      <c r="F1872" s="10"/>
      <c r="G1872" s="10"/>
      <c r="H1872" s="10"/>
      <c r="I1872" s="1" t="str">
        <f t="shared" si="87"/>
        <v/>
      </c>
      <c r="J1872" s="1" t="s">
        <v>35</v>
      </c>
      <c r="K1872" s="1" t="str">
        <f t="shared" si="88"/>
        <v/>
      </c>
      <c r="L1872" s="1" t="str">
        <f t="shared" si="89"/>
        <v/>
      </c>
      <c r="M1872" s="1">
        <f>IF(OR(Table1[[#This Row],[Std Nom]]="",Table1[[#This Row],[Std Read]]=""),0,Table1[[#This Row],[Std Nom]]-Table1[[#This Row],[Std Read]])</f>
        <v>0</v>
      </c>
      <c r="N1872" s="1">
        <f>IF(Calculations!$F$5="ACCREDITED 17025 WITH UNCERTAINTIES",$N$10,0)</f>
        <v>0</v>
      </c>
      <c r="O1872" s="1" t="str">
        <f>IFERROR(Table1[[#This Row],[Std Nom]]-(_xlfn.XLOOKUP(Table1[[#This Row],[Manufacturer]]&amp;" "&amp;Table1[[#This Row],[Model]],Table13[MFR &amp; MDL],Table13[Tolerance % CW ],"")/100*Table1[[#This Row],[Std Nom]]),"")</f>
        <v/>
      </c>
      <c r="P1872" s="1" t="str">
        <f>IFERROR(Table1[[#This Row],[Std Nom]]+(_xlfn.XLOOKUP(Table1[[#This Row],[Manufacturer]]&amp;" "&amp;Table1[[#This Row],[Model]],Table13[MFR &amp; MDL],Table13[Tolerance % CW ],"")/100*Table1[[#This Row],[Std Nom]]),"")</f>
        <v/>
      </c>
      <c r="Q1872" s="1" t="e">
        <f>Table1[[#This Row],[High Tol]]-Table1[[#This Row],[Low Tol]]</f>
        <v>#VALUE!</v>
      </c>
      <c r="R1872" s="1">
        <f>2*Table1[[#This Row],[Std Error]]</f>
        <v>0</v>
      </c>
      <c r="S1872" s="1" t="str">
        <f>IF(Table1[[#This Row],[High Tol]]="","N/A",IFERROR(ABS(Table1[[#This Row],[Tol Span]]/Table1[[#This Row],[Error Span]]),"N/A"))</f>
        <v>N/A</v>
      </c>
      <c r="T1872" s="1" t="str">
        <f>IF(OR(Table1[[#This Row],[Low Tol]]="",Table1[[#This Row],[High Tol]]=""),"Needs Analysis",IF(Table1[[#This Row],[Ratio]]&gt;=4,"Not Significant",IF(Table1[[#This Row],[Ratio]]&gt;=2,"Semi-Significant","Significant")))</f>
        <v>Needs Analysis</v>
      </c>
      <c r="W1872" s="1">
        <f>IF(Table1[[#This Row],[Cal Type]]&lt;&gt;"ACCREDITED 17025 WITH UNCERTAINTIES",0,"")</f>
        <v>0</v>
      </c>
      <c r="X1872" s="1" t="str">
        <f>IF(Table1[[#This Row],[DUT Read]]="","N/A",Table1[[#This Row],[Std Error]]+Table1[[#This Row],[DUT Read]]+Table1[[#This Row],[DUT Ucty]])</f>
        <v>N/A</v>
      </c>
      <c r="Y1872" s="1" t="str">
        <f>IF(Table1[[#This Row],[Std Read]]="","N/A",Table1[[#This Row],[Std Read]]+Table1[[#This Row],[Std Ucty]])</f>
        <v>N/A</v>
      </c>
      <c r="Z18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2" s="1" t="str">
        <f>IF(Table1[[#This Row],[Spec Type]]="","N/A",Table1[[#This Row],[Spec Type]])</f>
        <v>±</v>
      </c>
      <c r="AC1872" s="1" t="str">
        <f>IF(Table1[[#This Row],[Spec Type2]]="N/A","N/A",IF(AND(Table1[[#This Row],[DUT Adj Read]]&gt;=Table1[[#This Row],[Low Tol]],Table1[[#This Row],[DUT Adj Read]]&lt;=Table1[[#This Row],[High Tol]]),"Pass","Fail"))</f>
        <v>Fail</v>
      </c>
      <c r="AD1872" s="1" t="str">
        <f>IF(AND(Table1[[#This Row],[Spec Type2]]="N/A",Table1[[#This Row],[DUT Adj Read]]="N/A",Table1[[#This Row],[Std Adj Read]]="N/A"),"N/A",IF(Table1[[#This Row],[DUT Adj Read]]="N/A",IF(Table1[[#This Row],[Std Adj Read]]&gt;Table1[[#This Row],[Low Tol]],"Pass","Fail"),IF(Table1[[#This Row],[DUT Adj Read]]&gt;Table1[[#This Row],[Low Tol]],"Pass","Fail")))</f>
        <v>Pass</v>
      </c>
      <c r="AE1872" s="1" t="str">
        <f>IF(AND(Table1[[#This Row],[Spec Type2]]="N/A",Table1[[#This Row],[DUT Adj Read]]="N/A",Table1[[#This Row],[Std Adj Read]]="N/A"),"N/A",IF(Table1[[#This Row],[DUT Adj Read]]="N/A",IF(Table1[[#This Row],[Std Adj Read]]&lt;Table1[[#This Row],[High Tol]],"Pass","Fail"),IF(Table1[[#This Row],[DUT Adj Read]]&lt;Table1[[#This Row],[High Tol]],"Pass","Fail")))</f>
        <v>Fail</v>
      </c>
      <c r="AF1872" s="1" t="str">
        <f>IF(AND(Table1[[#This Row],[Spec Type2]]="N/A",Table1[[#This Row],[DUT Adj Read]]="N/A",Table1[[#This Row],[Std Adj Read]]="N/A"),"N/A",IF(Table1[[#This Row],[DUT Adj Read]]="N/A",IF(Table1[[#This Row],[Std Adj Read]]&gt;=Table1[[#This Row],[Low Tol]],"Pass","Fail"),IF(Table1[[#This Row],[DUT Adj Read]]&gt;=Table1[[#This Row],[Low Tol]],"Pass","Fail")))</f>
        <v>Pass</v>
      </c>
      <c r="AG1872" s="1" t="str">
        <f>IF(AND(Table1[[#This Row],[Spec Type2]]="N/A",Table1[[#This Row],[DUT Adj Read]]="N/A",Table1[[#This Row],[Std Adj Read]]="N/A"),"N/A",IF(Table1[[#This Row],[DUT Adj Read]]="N/A",IF(Table1[[#This Row],[Std Adj Read]]&lt;=Table1[[#This Row],[High Tol]],"Pass","Fail"),IF(Table1[[#This Row],[DUT Adj Read]]&lt;=Table1[[#This Row],[High Tol]],"Pass","Fail")))</f>
        <v>Fail</v>
      </c>
      <c r="AH18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2" s="1" t="b">
        <v>0</v>
      </c>
      <c r="AN1872" s="1" t="b">
        <v>0</v>
      </c>
      <c r="AO1872" s="1" t="b">
        <v>0</v>
      </c>
    </row>
    <row r="1873" spans="1:41" x14ac:dyDescent="0.25">
      <c r="A1873" s="10"/>
      <c r="B1873" s="10"/>
      <c r="C1873" s="10"/>
      <c r="D1873" s="10"/>
      <c r="E1873" s="10"/>
      <c r="F1873" s="10"/>
      <c r="G1873" s="10"/>
      <c r="H1873" s="10"/>
      <c r="I1873" s="1" t="str">
        <f t="shared" si="87"/>
        <v/>
      </c>
      <c r="J1873" s="1" t="s">
        <v>35</v>
      </c>
      <c r="K1873" s="1" t="str">
        <f t="shared" si="88"/>
        <v/>
      </c>
      <c r="L1873" s="1" t="str">
        <f t="shared" si="89"/>
        <v/>
      </c>
      <c r="M1873" s="1">
        <f>IF(OR(Table1[[#This Row],[Std Nom]]="",Table1[[#This Row],[Std Read]]=""),0,Table1[[#This Row],[Std Nom]]-Table1[[#This Row],[Std Read]])</f>
        <v>0</v>
      </c>
      <c r="N1873" s="1">
        <f>IF(Calculations!$F$5="ACCREDITED 17025 WITH UNCERTAINTIES",$N$10,0)</f>
        <v>0</v>
      </c>
      <c r="O1873" s="1" t="str">
        <f>IFERROR(Table1[[#This Row],[Std Nom]]-(_xlfn.XLOOKUP(Table1[[#This Row],[Manufacturer]]&amp;" "&amp;Table1[[#This Row],[Model]],Table13[MFR &amp; MDL],Table13[Tolerance % CW ],"")/100*Table1[[#This Row],[Std Nom]]),"")</f>
        <v/>
      </c>
      <c r="P1873" s="1" t="str">
        <f>IFERROR(Table1[[#This Row],[Std Nom]]+(_xlfn.XLOOKUP(Table1[[#This Row],[Manufacturer]]&amp;" "&amp;Table1[[#This Row],[Model]],Table13[MFR &amp; MDL],Table13[Tolerance % CW ],"")/100*Table1[[#This Row],[Std Nom]]),"")</f>
        <v/>
      </c>
      <c r="Q1873" s="1" t="e">
        <f>Table1[[#This Row],[High Tol]]-Table1[[#This Row],[Low Tol]]</f>
        <v>#VALUE!</v>
      </c>
      <c r="R1873" s="1">
        <f>2*Table1[[#This Row],[Std Error]]</f>
        <v>0</v>
      </c>
      <c r="S1873" s="1" t="str">
        <f>IF(Table1[[#This Row],[High Tol]]="","N/A",IFERROR(ABS(Table1[[#This Row],[Tol Span]]/Table1[[#This Row],[Error Span]]),"N/A"))</f>
        <v>N/A</v>
      </c>
      <c r="T1873" s="1" t="str">
        <f>IF(OR(Table1[[#This Row],[Low Tol]]="",Table1[[#This Row],[High Tol]]=""),"Needs Analysis",IF(Table1[[#This Row],[Ratio]]&gt;=4,"Not Significant",IF(Table1[[#This Row],[Ratio]]&gt;=2,"Semi-Significant","Significant")))</f>
        <v>Needs Analysis</v>
      </c>
      <c r="W1873" s="1">
        <f>IF(Table1[[#This Row],[Cal Type]]&lt;&gt;"ACCREDITED 17025 WITH UNCERTAINTIES",0,"")</f>
        <v>0</v>
      </c>
      <c r="X1873" s="1" t="str">
        <f>IF(Table1[[#This Row],[DUT Read]]="","N/A",Table1[[#This Row],[Std Error]]+Table1[[#This Row],[DUT Read]]+Table1[[#This Row],[DUT Ucty]])</f>
        <v>N/A</v>
      </c>
      <c r="Y1873" s="1" t="str">
        <f>IF(Table1[[#This Row],[Std Read]]="","N/A",Table1[[#This Row],[Std Read]]+Table1[[#This Row],[Std Ucty]])</f>
        <v>N/A</v>
      </c>
      <c r="Z18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3" s="1" t="str">
        <f>IF(Table1[[#This Row],[Spec Type]]="","N/A",Table1[[#This Row],[Spec Type]])</f>
        <v>±</v>
      </c>
      <c r="AC1873" s="1" t="str">
        <f>IF(Table1[[#This Row],[Spec Type2]]="N/A","N/A",IF(AND(Table1[[#This Row],[DUT Adj Read]]&gt;=Table1[[#This Row],[Low Tol]],Table1[[#This Row],[DUT Adj Read]]&lt;=Table1[[#This Row],[High Tol]]),"Pass","Fail"))</f>
        <v>Fail</v>
      </c>
      <c r="AD1873" s="1" t="str">
        <f>IF(AND(Table1[[#This Row],[Spec Type2]]="N/A",Table1[[#This Row],[DUT Adj Read]]="N/A",Table1[[#This Row],[Std Adj Read]]="N/A"),"N/A",IF(Table1[[#This Row],[DUT Adj Read]]="N/A",IF(Table1[[#This Row],[Std Adj Read]]&gt;Table1[[#This Row],[Low Tol]],"Pass","Fail"),IF(Table1[[#This Row],[DUT Adj Read]]&gt;Table1[[#This Row],[Low Tol]],"Pass","Fail")))</f>
        <v>Pass</v>
      </c>
      <c r="AE1873" s="1" t="str">
        <f>IF(AND(Table1[[#This Row],[Spec Type2]]="N/A",Table1[[#This Row],[DUT Adj Read]]="N/A",Table1[[#This Row],[Std Adj Read]]="N/A"),"N/A",IF(Table1[[#This Row],[DUT Adj Read]]="N/A",IF(Table1[[#This Row],[Std Adj Read]]&lt;Table1[[#This Row],[High Tol]],"Pass","Fail"),IF(Table1[[#This Row],[DUT Adj Read]]&lt;Table1[[#This Row],[High Tol]],"Pass","Fail")))</f>
        <v>Fail</v>
      </c>
      <c r="AF1873" s="1" t="str">
        <f>IF(AND(Table1[[#This Row],[Spec Type2]]="N/A",Table1[[#This Row],[DUT Adj Read]]="N/A",Table1[[#This Row],[Std Adj Read]]="N/A"),"N/A",IF(Table1[[#This Row],[DUT Adj Read]]="N/A",IF(Table1[[#This Row],[Std Adj Read]]&gt;=Table1[[#This Row],[Low Tol]],"Pass","Fail"),IF(Table1[[#This Row],[DUT Adj Read]]&gt;=Table1[[#This Row],[Low Tol]],"Pass","Fail")))</f>
        <v>Pass</v>
      </c>
      <c r="AG1873" s="1" t="str">
        <f>IF(AND(Table1[[#This Row],[Spec Type2]]="N/A",Table1[[#This Row],[DUT Adj Read]]="N/A",Table1[[#This Row],[Std Adj Read]]="N/A"),"N/A",IF(Table1[[#This Row],[DUT Adj Read]]="N/A",IF(Table1[[#This Row],[Std Adj Read]]&lt;=Table1[[#This Row],[High Tol]],"Pass","Fail"),IF(Table1[[#This Row],[DUT Adj Read]]&lt;=Table1[[#This Row],[High Tol]],"Pass","Fail")))</f>
        <v>Fail</v>
      </c>
      <c r="AH18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3" s="1" t="b">
        <v>0</v>
      </c>
      <c r="AN1873" s="1" t="b">
        <v>0</v>
      </c>
      <c r="AO1873" s="1" t="b">
        <v>0</v>
      </c>
    </row>
    <row r="1874" spans="1:41" x14ac:dyDescent="0.25">
      <c r="A1874" s="10"/>
      <c r="B1874" s="10"/>
      <c r="C1874" s="10"/>
      <c r="D1874" s="10"/>
      <c r="E1874" s="10"/>
      <c r="F1874" s="10"/>
      <c r="G1874" s="10"/>
      <c r="H1874" s="10"/>
      <c r="I1874" s="1" t="str">
        <f t="shared" si="87"/>
        <v/>
      </c>
      <c r="J1874" s="1" t="s">
        <v>35</v>
      </c>
      <c r="K1874" s="1" t="str">
        <f t="shared" si="88"/>
        <v/>
      </c>
      <c r="L1874" s="1" t="str">
        <f t="shared" si="89"/>
        <v/>
      </c>
      <c r="M1874" s="1">
        <f>IF(OR(Table1[[#This Row],[Std Nom]]="",Table1[[#This Row],[Std Read]]=""),0,Table1[[#This Row],[Std Nom]]-Table1[[#This Row],[Std Read]])</f>
        <v>0</v>
      </c>
      <c r="N1874" s="1">
        <f>IF(Calculations!$F$5="ACCREDITED 17025 WITH UNCERTAINTIES",$N$10,0)</f>
        <v>0</v>
      </c>
      <c r="O1874" s="1" t="str">
        <f>IFERROR(Table1[[#This Row],[Std Nom]]-(_xlfn.XLOOKUP(Table1[[#This Row],[Manufacturer]]&amp;" "&amp;Table1[[#This Row],[Model]],Table13[MFR &amp; MDL],Table13[Tolerance % CW ],"")/100*Table1[[#This Row],[Std Nom]]),"")</f>
        <v/>
      </c>
      <c r="P1874" s="1" t="str">
        <f>IFERROR(Table1[[#This Row],[Std Nom]]+(_xlfn.XLOOKUP(Table1[[#This Row],[Manufacturer]]&amp;" "&amp;Table1[[#This Row],[Model]],Table13[MFR &amp; MDL],Table13[Tolerance % CW ],"")/100*Table1[[#This Row],[Std Nom]]),"")</f>
        <v/>
      </c>
      <c r="Q1874" s="1" t="e">
        <f>Table1[[#This Row],[High Tol]]-Table1[[#This Row],[Low Tol]]</f>
        <v>#VALUE!</v>
      </c>
      <c r="R1874" s="1">
        <f>2*Table1[[#This Row],[Std Error]]</f>
        <v>0</v>
      </c>
      <c r="S1874" s="1" t="str">
        <f>IF(Table1[[#This Row],[High Tol]]="","N/A",IFERROR(ABS(Table1[[#This Row],[Tol Span]]/Table1[[#This Row],[Error Span]]),"N/A"))</f>
        <v>N/A</v>
      </c>
      <c r="T1874" s="1" t="str">
        <f>IF(OR(Table1[[#This Row],[Low Tol]]="",Table1[[#This Row],[High Tol]]=""),"Needs Analysis",IF(Table1[[#This Row],[Ratio]]&gt;=4,"Not Significant",IF(Table1[[#This Row],[Ratio]]&gt;=2,"Semi-Significant","Significant")))</f>
        <v>Needs Analysis</v>
      </c>
      <c r="W1874" s="1">
        <f>IF(Table1[[#This Row],[Cal Type]]&lt;&gt;"ACCREDITED 17025 WITH UNCERTAINTIES",0,"")</f>
        <v>0</v>
      </c>
      <c r="X1874" s="1" t="str">
        <f>IF(Table1[[#This Row],[DUT Read]]="","N/A",Table1[[#This Row],[Std Error]]+Table1[[#This Row],[DUT Read]]+Table1[[#This Row],[DUT Ucty]])</f>
        <v>N/A</v>
      </c>
      <c r="Y1874" s="1" t="str">
        <f>IF(Table1[[#This Row],[Std Read]]="","N/A",Table1[[#This Row],[Std Read]]+Table1[[#This Row],[Std Ucty]])</f>
        <v>N/A</v>
      </c>
      <c r="Z18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4" s="1" t="str">
        <f>IF(Table1[[#This Row],[Spec Type]]="","N/A",Table1[[#This Row],[Spec Type]])</f>
        <v>±</v>
      </c>
      <c r="AC1874" s="1" t="str">
        <f>IF(Table1[[#This Row],[Spec Type2]]="N/A","N/A",IF(AND(Table1[[#This Row],[DUT Adj Read]]&gt;=Table1[[#This Row],[Low Tol]],Table1[[#This Row],[DUT Adj Read]]&lt;=Table1[[#This Row],[High Tol]]),"Pass","Fail"))</f>
        <v>Fail</v>
      </c>
      <c r="AD1874" s="1" t="str">
        <f>IF(AND(Table1[[#This Row],[Spec Type2]]="N/A",Table1[[#This Row],[DUT Adj Read]]="N/A",Table1[[#This Row],[Std Adj Read]]="N/A"),"N/A",IF(Table1[[#This Row],[DUT Adj Read]]="N/A",IF(Table1[[#This Row],[Std Adj Read]]&gt;Table1[[#This Row],[Low Tol]],"Pass","Fail"),IF(Table1[[#This Row],[DUT Adj Read]]&gt;Table1[[#This Row],[Low Tol]],"Pass","Fail")))</f>
        <v>Pass</v>
      </c>
      <c r="AE1874" s="1" t="str">
        <f>IF(AND(Table1[[#This Row],[Spec Type2]]="N/A",Table1[[#This Row],[DUT Adj Read]]="N/A",Table1[[#This Row],[Std Adj Read]]="N/A"),"N/A",IF(Table1[[#This Row],[DUT Adj Read]]="N/A",IF(Table1[[#This Row],[Std Adj Read]]&lt;Table1[[#This Row],[High Tol]],"Pass","Fail"),IF(Table1[[#This Row],[DUT Adj Read]]&lt;Table1[[#This Row],[High Tol]],"Pass","Fail")))</f>
        <v>Fail</v>
      </c>
      <c r="AF1874" s="1" t="str">
        <f>IF(AND(Table1[[#This Row],[Spec Type2]]="N/A",Table1[[#This Row],[DUT Adj Read]]="N/A",Table1[[#This Row],[Std Adj Read]]="N/A"),"N/A",IF(Table1[[#This Row],[DUT Adj Read]]="N/A",IF(Table1[[#This Row],[Std Adj Read]]&gt;=Table1[[#This Row],[Low Tol]],"Pass","Fail"),IF(Table1[[#This Row],[DUT Adj Read]]&gt;=Table1[[#This Row],[Low Tol]],"Pass","Fail")))</f>
        <v>Pass</v>
      </c>
      <c r="AG1874" s="1" t="str">
        <f>IF(AND(Table1[[#This Row],[Spec Type2]]="N/A",Table1[[#This Row],[DUT Adj Read]]="N/A",Table1[[#This Row],[Std Adj Read]]="N/A"),"N/A",IF(Table1[[#This Row],[DUT Adj Read]]="N/A",IF(Table1[[#This Row],[Std Adj Read]]&lt;=Table1[[#This Row],[High Tol]],"Pass","Fail"),IF(Table1[[#This Row],[DUT Adj Read]]&lt;=Table1[[#This Row],[High Tol]],"Pass","Fail")))</f>
        <v>Fail</v>
      </c>
      <c r="AH18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4" s="1" t="b">
        <v>0</v>
      </c>
      <c r="AN1874" s="1" t="b">
        <v>0</v>
      </c>
      <c r="AO1874" s="1" t="b">
        <v>0</v>
      </c>
    </row>
    <row r="1875" spans="1:41" x14ac:dyDescent="0.25">
      <c r="A1875" s="10"/>
      <c r="B1875" s="10"/>
      <c r="C1875" s="10"/>
      <c r="D1875" s="10"/>
      <c r="E1875" s="10"/>
      <c r="F1875" s="10"/>
      <c r="G1875" s="10"/>
      <c r="H1875" s="10"/>
      <c r="I1875" s="1" t="str">
        <f t="shared" si="87"/>
        <v/>
      </c>
      <c r="J1875" s="1" t="s">
        <v>35</v>
      </c>
      <c r="K1875" s="1" t="str">
        <f t="shared" si="88"/>
        <v/>
      </c>
      <c r="L1875" s="1" t="str">
        <f t="shared" si="89"/>
        <v/>
      </c>
      <c r="M1875" s="1">
        <f>IF(OR(Table1[[#This Row],[Std Nom]]="",Table1[[#This Row],[Std Read]]=""),0,Table1[[#This Row],[Std Nom]]-Table1[[#This Row],[Std Read]])</f>
        <v>0</v>
      </c>
      <c r="N1875" s="1">
        <f>IF(Calculations!$F$5="ACCREDITED 17025 WITH UNCERTAINTIES",$N$10,0)</f>
        <v>0</v>
      </c>
      <c r="O1875" s="1" t="str">
        <f>IFERROR(Table1[[#This Row],[Std Nom]]-(_xlfn.XLOOKUP(Table1[[#This Row],[Manufacturer]]&amp;" "&amp;Table1[[#This Row],[Model]],Table13[MFR &amp; MDL],Table13[Tolerance % CW ],"")/100*Table1[[#This Row],[Std Nom]]),"")</f>
        <v/>
      </c>
      <c r="P1875" s="1" t="str">
        <f>IFERROR(Table1[[#This Row],[Std Nom]]+(_xlfn.XLOOKUP(Table1[[#This Row],[Manufacturer]]&amp;" "&amp;Table1[[#This Row],[Model]],Table13[MFR &amp; MDL],Table13[Tolerance % CW ],"")/100*Table1[[#This Row],[Std Nom]]),"")</f>
        <v/>
      </c>
      <c r="Q1875" s="1" t="e">
        <f>Table1[[#This Row],[High Tol]]-Table1[[#This Row],[Low Tol]]</f>
        <v>#VALUE!</v>
      </c>
      <c r="R1875" s="1">
        <f>2*Table1[[#This Row],[Std Error]]</f>
        <v>0</v>
      </c>
      <c r="S1875" s="1" t="str">
        <f>IF(Table1[[#This Row],[High Tol]]="","N/A",IFERROR(ABS(Table1[[#This Row],[Tol Span]]/Table1[[#This Row],[Error Span]]),"N/A"))</f>
        <v>N/A</v>
      </c>
      <c r="T1875" s="1" t="str">
        <f>IF(OR(Table1[[#This Row],[Low Tol]]="",Table1[[#This Row],[High Tol]]=""),"Needs Analysis",IF(Table1[[#This Row],[Ratio]]&gt;=4,"Not Significant",IF(Table1[[#This Row],[Ratio]]&gt;=2,"Semi-Significant","Significant")))</f>
        <v>Needs Analysis</v>
      </c>
      <c r="W1875" s="1">
        <f>IF(Table1[[#This Row],[Cal Type]]&lt;&gt;"ACCREDITED 17025 WITH UNCERTAINTIES",0,"")</f>
        <v>0</v>
      </c>
      <c r="X1875" s="1" t="str">
        <f>IF(Table1[[#This Row],[DUT Read]]="","N/A",Table1[[#This Row],[Std Error]]+Table1[[#This Row],[DUT Read]]+Table1[[#This Row],[DUT Ucty]])</f>
        <v>N/A</v>
      </c>
      <c r="Y1875" s="1" t="str">
        <f>IF(Table1[[#This Row],[Std Read]]="","N/A",Table1[[#This Row],[Std Read]]+Table1[[#This Row],[Std Ucty]])</f>
        <v>N/A</v>
      </c>
      <c r="Z18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5" s="1" t="str">
        <f>IF(Table1[[#This Row],[Spec Type]]="","N/A",Table1[[#This Row],[Spec Type]])</f>
        <v>±</v>
      </c>
      <c r="AC1875" s="1" t="str">
        <f>IF(Table1[[#This Row],[Spec Type2]]="N/A","N/A",IF(AND(Table1[[#This Row],[DUT Adj Read]]&gt;=Table1[[#This Row],[Low Tol]],Table1[[#This Row],[DUT Adj Read]]&lt;=Table1[[#This Row],[High Tol]]),"Pass","Fail"))</f>
        <v>Fail</v>
      </c>
      <c r="AD1875" s="1" t="str">
        <f>IF(AND(Table1[[#This Row],[Spec Type2]]="N/A",Table1[[#This Row],[DUT Adj Read]]="N/A",Table1[[#This Row],[Std Adj Read]]="N/A"),"N/A",IF(Table1[[#This Row],[DUT Adj Read]]="N/A",IF(Table1[[#This Row],[Std Adj Read]]&gt;Table1[[#This Row],[Low Tol]],"Pass","Fail"),IF(Table1[[#This Row],[DUT Adj Read]]&gt;Table1[[#This Row],[Low Tol]],"Pass","Fail")))</f>
        <v>Pass</v>
      </c>
      <c r="AE1875" s="1" t="str">
        <f>IF(AND(Table1[[#This Row],[Spec Type2]]="N/A",Table1[[#This Row],[DUT Adj Read]]="N/A",Table1[[#This Row],[Std Adj Read]]="N/A"),"N/A",IF(Table1[[#This Row],[DUT Adj Read]]="N/A",IF(Table1[[#This Row],[Std Adj Read]]&lt;Table1[[#This Row],[High Tol]],"Pass","Fail"),IF(Table1[[#This Row],[DUT Adj Read]]&lt;Table1[[#This Row],[High Tol]],"Pass","Fail")))</f>
        <v>Fail</v>
      </c>
      <c r="AF1875" s="1" t="str">
        <f>IF(AND(Table1[[#This Row],[Spec Type2]]="N/A",Table1[[#This Row],[DUT Adj Read]]="N/A",Table1[[#This Row],[Std Adj Read]]="N/A"),"N/A",IF(Table1[[#This Row],[DUT Adj Read]]="N/A",IF(Table1[[#This Row],[Std Adj Read]]&gt;=Table1[[#This Row],[Low Tol]],"Pass","Fail"),IF(Table1[[#This Row],[DUT Adj Read]]&gt;=Table1[[#This Row],[Low Tol]],"Pass","Fail")))</f>
        <v>Pass</v>
      </c>
      <c r="AG1875" s="1" t="str">
        <f>IF(AND(Table1[[#This Row],[Spec Type2]]="N/A",Table1[[#This Row],[DUT Adj Read]]="N/A",Table1[[#This Row],[Std Adj Read]]="N/A"),"N/A",IF(Table1[[#This Row],[DUT Adj Read]]="N/A",IF(Table1[[#This Row],[Std Adj Read]]&lt;=Table1[[#This Row],[High Tol]],"Pass","Fail"),IF(Table1[[#This Row],[DUT Adj Read]]&lt;=Table1[[#This Row],[High Tol]],"Pass","Fail")))</f>
        <v>Fail</v>
      </c>
      <c r="AH18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5" s="1" t="b">
        <v>0</v>
      </c>
      <c r="AN1875" s="1" t="b">
        <v>0</v>
      </c>
      <c r="AO1875" s="1" t="b">
        <v>0</v>
      </c>
    </row>
    <row r="1876" spans="1:41" x14ac:dyDescent="0.25">
      <c r="A1876" s="10"/>
      <c r="B1876" s="10"/>
      <c r="C1876" s="10"/>
      <c r="D1876" s="10"/>
      <c r="E1876" s="10"/>
      <c r="F1876" s="10"/>
      <c r="G1876" s="10"/>
      <c r="H1876" s="10"/>
      <c r="I1876" s="1" t="str">
        <f t="shared" si="87"/>
        <v/>
      </c>
      <c r="J1876" s="1" t="s">
        <v>35</v>
      </c>
      <c r="K1876" s="1" t="str">
        <f t="shared" si="88"/>
        <v/>
      </c>
      <c r="L1876" s="1" t="str">
        <f t="shared" si="89"/>
        <v/>
      </c>
      <c r="M1876" s="1">
        <f>IF(OR(Table1[[#This Row],[Std Nom]]="",Table1[[#This Row],[Std Read]]=""),0,Table1[[#This Row],[Std Nom]]-Table1[[#This Row],[Std Read]])</f>
        <v>0</v>
      </c>
      <c r="N1876" s="1">
        <f>IF(Calculations!$F$5="ACCREDITED 17025 WITH UNCERTAINTIES",$N$10,0)</f>
        <v>0</v>
      </c>
      <c r="O1876" s="1" t="str">
        <f>IFERROR(Table1[[#This Row],[Std Nom]]-(_xlfn.XLOOKUP(Table1[[#This Row],[Manufacturer]]&amp;" "&amp;Table1[[#This Row],[Model]],Table13[MFR &amp; MDL],Table13[Tolerance % CW ],"")/100*Table1[[#This Row],[Std Nom]]),"")</f>
        <v/>
      </c>
      <c r="P1876" s="1" t="str">
        <f>IFERROR(Table1[[#This Row],[Std Nom]]+(_xlfn.XLOOKUP(Table1[[#This Row],[Manufacturer]]&amp;" "&amp;Table1[[#This Row],[Model]],Table13[MFR &amp; MDL],Table13[Tolerance % CW ],"")/100*Table1[[#This Row],[Std Nom]]),"")</f>
        <v/>
      </c>
      <c r="Q1876" s="1" t="e">
        <f>Table1[[#This Row],[High Tol]]-Table1[[#This Row],[Low Tol]]</f>
        <v>#VALUE!</v>
      </c>
      <c r="R1876" s="1">
        <f>2*Table1[[#This Row],[Std Error]]</f>
        <v>0</v>
      </c>
      <c r="S1876" s="1" t="str">
        <f>IF(Table1[[#This Row],[High Tol]]="","N/A",IFERROR(ABS(Table1[[#This Row],[Tol Span]]/Table1[[#This Row],[Error Span]]),"N/A"))</f>
        <v>N/A</v>
      </c>
      <c r="T1876" s="1" t="str">
        <f>IF(OR(Table1[[#This Row],[Low Tol]]="",Table1[[#This Row],[High Tol]]=""),"Needs Analysis",IF(Table1[[#This Row],[Ratio]]&gt;=4,"Not Significant",IF(Table1[[#This Row],[Ratio]]&gt;=2,"Semi-Significant","Significant")))</f>
        <v>Needs Analysis</v>
      </c>
      <c r="W1876" s="1">
        <f>IF(Table1[[#This Row],[Cal Type]]&lt;&gt;"ACCREDITED 17025 WITH UNCERTAINTIES",0,"")</f>
        <v>0</v>
      </c>
      <c r="X1876" s="1" t="str">
        <f>IF(Table1[[#This Row],[DUT Read]]="","N/A",Table1[[#This Row],[Std Error]]+Table1[[#This Row],[DUT Read]]+Table1[[#This Row],[DUT Ucty]])</f>
        <v>N/A</v>
      </c>
      <c r="Y1876" s="1" t="str">
        <f>IF(Table1[[#This Row],[Std Read]]="","N/A",Table1[[#This Row],[Std Read]]+Table1[[#This Row],[Std Ucty]])</f>
        <v>N/A</v>
      </c>
      <c r="Z18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6" s="1" t="str">
        <f>IF(Table1[[#This Row],[Spec Type]]="","N/A",Table1[[#This Row],[Spec Type]])</f>
        <v>±</v>
      </c>
      <c r="AC1876" s="1" t="str">
        <f>IF(Table1[[#This Row],[Spec Type2]]="N/A","N/A",IF(AND(Table1[[#This Row],[DUT Adj Read]]&gt;=Table1[[#This Row],[Low Tol]],Table1[[#This Row],[DUT Adj Read]]&lt;=Table1[[#This Row],[High Tol]]),"Pass","Fail"))</f>
        <v>Fail</v>
      </c>
      <c r="AD1876" s="1" t="str">
        <f>IF(AND(Table1[[#This Row],[Spec Type2]]="N/A",Table1[[#This Row],[DUT Adj Read]]="N/A",Table1[[#This Row],[Std Adj Read]]="N/A"),"N/A",IF(Table1[[#This Row],[DUT Adj Read]]="N/A",IF(Table1[[#This Row],[Std Adj Read]]&gt;Table1[[#This Row],[Low Tol]],"Pass","Fail"),IF(Table1[[#This Row],[DUT Adj Read]]&gt;Table1[[#This Row],[Low Tol]],"Pass","Fail")))</f>
        <v>Pass</v>
      </c>
      <c r="AE1876" s="1" t="str">
        <f>IF(AND(Table1[[#This Row],[Spec Type2]]="N/A",Table1[[#This Row],[DUT Adj Read]]="N/A",Table1[[#This Row],[Std Adj Read]]="N/A"),"N/A",IF(Table1[[#This Row],[DUT Adj Read]]="N/A",IF(Table1[[#This Row],[Std Adj Read]]&lt;Table1[[#This Row],[High Tol]],"Pass","Fail"),IF(Table1[[#This Row],[DUT Adj Read]]&lt;Table1[[#This Row],[High Tol]],"Pass","Fail")))</f>
        <v>Fail</v>
      </c>
      <c r="AF1876" s="1" t="str">
        <f>IF(AND(Table1[[#This Row],[Spec Type2]]="N/A",Table1[[#This Row],[DUT Adj Read]]="N/A",Table1[[#This Row],[Std Adj Read]]="N/A"),"N/A",IF(Table1[[#This Row],[DUT Adj Read]]="N/A",IF(Table1[[#This Row],[Std Adj Read]]&gt;=Table1[[#This Row],[Low Tol]],"Pass","Fail"),IF(Table1[[#This Row],[DUT Adj Read]]&gt;=Table1[[#This Row],[Low Tol]],"Pass","Fail")))</f>
        <v>Pass</v>
      </c>
      <c r="AG1876" s="1" t="str">
        <f>IF(AND(Table1[[#This Row],[Spec Type2]]="N/A",Table1[[#This Row],[DUT Adj Read]]="N/A",Table1[[#This Row],[Std Adj Read]]="N/A"),"N/A",IF(Table1[[#This Row],[DUT Adj Read]]="N/A",IF(Table1[[#This Row],[Std Adj Read]]&lt;=Table1[[#This Row],[High Tol]],"Pass","Fail"),IF(Table1[[#This Row],[DUT Adj Read]]&lt;=Table1[[#This Row],[High Tol]],"Pass","Fail")))</f>
        <v>Fail</v>
      </c>
      <c r="AH18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6" s="1" t="b">
        <v>0</v>
      </c>
      <c r="AN1876" s="1" t="b">
        <v>0</v>
      </c>
      <c r="AO1876" s="1" t="b">
        <v>0</v>
      </c>
    </row>
    <row r="1877" spans="1:41" x14ac:dyDescent="0.25">
      <c r="A1877" s="10"/>
      <c r="B1877" s="10"/>
      <c r="C1877" s="10"/>
      <c r="D1877" s="10"/>
      <c r="E1877" s="10"/>
      <c r="F1877" s="10"/>
      <c r="G1877" s="10"/>
      <c r="H1877" s="10"/>
      <c r="I1877" s="1" t="str">
        <f t="shared" si="87"/>
        <v/>
      </c>
      <c r="J1877" s="1" t="s">
        <v>35</v>
      </c>
      <c r="K1877" s="1" t="str">
        <f t="shared" si="88"/>
        <v/>
      </c>
      <c r="L1877" s="1" t="str">
        <f t="shared" si="89"/>
        <v/>
      </c>
      <c r="M1877" s="1">
        <f>IF(OR(Table1[[#This Row],[Std Nom]]="",Table1[[#This Row],[Std Read]]=""),0,Table1[[#This Row],[Std Nom]]-Table1[[#This Row],[Std Read]])</f>
        <v>0</v>
      </c>
      <c r="N1877" s="1">
        <f>IF(Calculations!$F$5="ACCREDITED 17025 WITH UNCERTAINTIES",$N$10,0)</f>
        <v>0</v>
      </c>
      <c r="O1877" s="1" t="str">
        <f>IFERROR(Table1[[#This Row],[Std Nom]]-(_xlfn.XLOOKUP(Table1[[#This Row],[Manufacturer]]&amp;" "&amp;Table1[[#This Row],[Model]],Table13[MFR &amp; MDL],Table13[Tolerance % CW ],"")/100*Table1[[#This Row],[Std Nom]]),"")</f>
        <v/>
      </c>
      <c r="P1877" s="1" t="str">
        <f>IFERROR(Table1[[#This Row],[Std Nom]]+(_xlfn.XLOOKUP(Table1[[#This Row],[Manufacturer]]&amp;" "&amp;Table1[[#This Row],[Model]],Table13[MFR &amp; MDL],Table13[Tolerance % CW ],"")/100*Table1[[#This Row],[Std Nom]]),"")</f>
        <v/>
      </c>
      <c r="Q1877" s="1" t="e">
        <f>Table1[[#This Row],[High Tol]]-Table1[[#This Row],[Low Tol]]</f>
        <v>#VALUE!</v>
      </c>
      <c r="R1877" s="1">
        <f>2*Table1[[#This Row],[Std Error]]</f>
        <v>0</v>
      </c>
      <c r="S1877" s="1" t="str">
        <f>IF(Table1[[#This Row],[High Tol]]="","N/A",IFERROR(ABS(Table1[[#This Row],[Tol Span]]/Table1[[#This Row],[Error Span]]),"N/A"))</f>
        <v>N/A</v>
      </c>
      <c r="T1877" s="1" t="str">
        <f>IF(OR(Table1[[#This Row],[Low Tol]]="",Table1[[#This Row],[High Tol]]=""),"Needs Analysis",IF(Table1[[#This Row],[Ratio]]&gt;=4,"Not Significant",IF(Table1[[#This Row],[Ratio]]&gt;=2,"Semi-Significant","Significant")))</f>
        <v>Needs Analysis</v>
      </c>
      <c r="W1877" s="1">
        <f>IF(Table1[[#This Row],[Cal Type]]&lt;&gt;"ACCREDITED 17025 WITH UNCERTAINTIES",0,"")</f>
        <v>0</v>
      </c>
      <c r="X1877" s="1" t="str">
        <f>IF(Table1[[#This Row],[DUT Read]]="","N/A",Table1[[#This Row],[Std Error]]+Table1[[#This Row],[DUT Read]]+Table1[[#This Row],[DUT Ucty]])</f>
        <v>N/A</v>
      </c>
      <c r="Y1877" s="1" t="str">
        <f>IF(Table1[[#This Row],[Std Read]]="","N/A",Table1[[#This Row],[Std Read]]+Table1[[#This Row],[Std Ucty]])</f>
        <v>N/A</v>
      </c>
      <c r="Z18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7" s="1" t="str">
        <f>IF(Table1[[#This Row],[Spec Type]]="","N/A",Table1[[#This Row],[Spec Type]])</f>
        <v>±</v>
      </c>
      <c r="AC1877" s="1" t="str">
        <f>IF(Table1[[#This Row],[Spec Type2]]="N/A","N/A",IF(AND(Table1[[#This Row],[DUT Adj Read]]&gt;=Table1[[#This Row],[Low Tol]],Table1[[#This Row],[DUT Adj Read]]&lt;=Table1[[#This Row],[High Tol]]),"Pass","Fail"))</f>
        <v>Fail</v>
      </c>
      <c r="AD1877" s="1" t="str">
        <f>IF(AND(Table1[[#This Row],[Spec Type2]]="N/A",Table1[[#This Row],[DUT Adj Read]]="N/A",Table1[[#This Row],[Std Adj Read]]="N/A"),"N/A",IF(Table1[[#This Row],[DUT Adj Read]]="N/A",IF(Table1[[#This Row],[Std Adj Read]]&gt;Table1[[#This Row],[Low Tol]],"Pass","Fail"),IF(Table1[[#This Row],[DUT Adj Read]]&gt;Table1[[#This Row],[Low Tol]],"Pass","Fail")))</f>
        <v>Pass</v>
      </c>
      <c r="AE1877" s="1" t="str">
        <f>IF(AND(Table1[[#This Row],[Spec Type2]]="N/A",Table1[[#This Row],[DUT Adj Read]]="N/A",Table1[[#This Row],[Std Adj Read]]="N/A"),"N/A",IF(Table1[[#This Row],[DUT Adj Read]]="N/A",IF(Table1[[#This Row],[Std Adj Read]]&lt;Table1[[#This Row],[High Tol]],"Pass","Fail"),IF(Table1[[#This Row],[DUT Adj Read]]&lt;Table1[[#This Row],[High Tol]],"Pass","Fail")))</f>
        <v>Fail</v>
      </c>
      <c r="AF1877" s="1" t="str">
        <f>IF(AND(Table1[[#This Row],[Spec Type2]]="N/A",Table1[[#This Row],[DUT Adj Read]]="N/A",Table1[[#This Row],[Std Adj Read]]="N/A"),"N/A",IF(Table1[[#This Row],[DUT Adj Read]]="N/A",IF(Table1[[#This Row],[Std Adj Read]]&gt;=Table1[[#This Row],[Low Tol]],"Pass","Fail"),IF(Table1[[#This Row],[DUT Adj Read]]&gt;=Table1[[#This Row],[Low Tol]],"Pass","Fail")))</f>
        <v>Pass</v>
      </c>
      <c r="AG1877" s="1" t="str">
        <f>IF(AND(Table1[[#This Row],[Spec Type2]]="N/A",Table1[[#This Row],[DUT Adj Read]]="N/A",Table1[[#This Row],[Std Adj Read]]="N/A"),"N/A",IF(Table1[[#This Row],[DUT Adj Read]]="N/A",IF(Table1[[#This Row],[Std Adj Read]]&lt;=Table1[[#This Row],[High Tol]],"Pass","Fail"),IF(Table1[[#This Row],[DUT Adj Read]]&lt;=Table1[[#This Row],[High Tol]],"Pass","Fail")))</f>
        <v>Fail</v>
      </c>
      <c r="AH18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7" s="1" t="b">
        <v>0</v>
      </c>
      <c r="AN1877" s="1" t="b">
        <v>0</v>
      </c>
      <c r="AO1877" s="1" t="b">
        <v>0</v>
      </c>
    </row>
    <row r="1878" spans="1:41" x14ac:dyDescent="0.25">
      <c r="A1878" s="10"/>
      <c r="B1878" s="10"/>
      <c r="C1878" s="10"/>
      <c r="D1878" s="10"/>
      <c r="E1878" s="10"/>
      <c r="F1878" s="10"/>
      <c r="G1878" s="10"/>
      <c r="H1878" s="10"/>
      <c r="I1878" s="1" t="str">
        <f t="shared" si="87"/>
        <v/>
      </c>
      <c r="J1878" s="1" t="s">
        <v>35</v>
      </c>
      <c r="K1878" s="1" t="str">
        <f t="shared" si="88"/>
        <v/>
      </c>
      <c r="L1878" s="1" t="str">
        <f t="shared" si="89"/>
        <v/>
      </c>
      <c r="M1878" s="1">
        <f>IF(OR(Table1[[#This Row],[Std Nom]]="",Table1[[#This Row],[Std Read]]=""),0,Table1[[#This Row],[Std Nom]]-Table1[[#This Row],[Std Read]])</f>
        <v>0</v>
      </c>
      <c r="N1878" s="1">
        <f>IF(Calculations!$F$5="ACCREDITED 17025 WITH UNCERTAINTIES",$N$10,0)</f>
        <v>0</v>
      </c>
      <c r="O1878" s="1" t="str">
        <f>IFERROR(Table1[[#This Row],[Std Nom]]-(_xlfn.XLOOKUP(Table1[[#This Row],[Manufacturer]]&amp;" "&amp;Table1[[#This Row],[Model]],Table13[MFR &amp; MDL],Table13[Tolerance % CW ],"")/100*Table1[[#This Row],[Std Nom]]),"")</f>
        <v/>
      </c>
      <c r="P1878" s="1" t="str">
        <f>IFERROR(Table1[[#This Row],[Std Nom]]+(_xlfn.XLOOKUP(Table1[[#This Row],[Manufacturer]]&amp;" "&amp;Table1[[#This Row],[Model]],Table13[MFR &amp; MDL],Table13[Tolerance % CW ],"")/100*Table1[[#This Row],[Std Nom]]),"")</f>
        <v/>
      </c>
      <c r="Q1878" s="1" t="e">
        <f>Table1[[#This Row],[High Tol]]-Table1[[#This Row],[Low Tol]]</f>
        <v>#VALUE!</v>
      </c>
      <c r="R1878" s="1">
        <f>2*Table1[[#This Row],[Std Error]]</f>
        <v>0</v>
      </c>
      <c r="S1878" s="1" t="str">
        <f>IF(Table1[[#This Row],[High Tol]]="","N/A",IFERROR(ABS(Table1[[#This Row],[Tol Span]]/Table1[[#This Row],[Error Span]]),"N/A"))</f>
        <v>N/A</v>
      </c>
      <c r="T1878" s="1" t="str">
        <f>IF(OR(Table1[[#This Row],[Low Tol]]="",Table1[[#This Row],[High Tol]]=""),"Needs Analysis",IF(Table1[[#This Row],[Ratio]]&gt;=4,"Not Significant",IF(Table1[[#This Row],[Ratio]]&gt;=2,"Semi-Significant","Significant")))</f>
        <v>Needs Analysis</v>
      </c>
      <c r="W1878" s="1">
        <f>IF(Table1[[#This Row],[Cal Type]]&lt;&gt;"ACCREDITED 17025 WITH UNCERTAINTIES",0,"")</f>
        <v>0</v>
      </c>
      <c r="X1878" s="1" t="str">
        <f>IF(Table1[[#This Row],[DUT Read]]="","N/A",Table1[[#This Row],[Std Error]]+Table1[[#This Row],[DUT Read]]+Table1[[#This Row],[DUT Ucty]])</f>
        <v>N/A</v>
      </c>
      <c r="Y1878" s="1" t="str">
        <f>IF(Table1[[#This Row],[Std Read]]="","N/A",Table1[[#This Row],[Std Read]]+Table1[[#This Row],[Std Ucty]])</f>
        <v>N/A</v>
      </c>
      <c r="Z18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8" s="1" t="str">
        <f>IF(Table1[[#This Row],[Spec Type]]="","N/A",Table1[[#This Row],[Spec Type]])</f>
        <v>±</v>
      </c>
      <c r="AC1878" s="1" t="str">
        <f>IF(Table1[[#This Row],[Spec Type2]]="N/A","N/A",IF(AND(Table1[[#This Row],[DUT Adj Read]]&gt;=Table1[[#This Row],[Low Tol]],Table1[[#This Row],[DUT Adj Read]]&lt;=Table1[[#This Row],[High Tol]]),"Pass","Fail"))</f>
        <v>Fail</v>
      </c>
      <c r="AD1878" s="1" t="str">
        <f>IF(AND(Table1[[#This Row],[Spec Type2]]="N/A",Table1[[#This Row],[DUT Adj Read]]="N/A",Table1[[#This Row],[Std Adj Read]]="N/A"),"N/A",IF(Table1[[#This Row],[DUT Adj Read]]="N/A",IF(Table1[[#This Row],[Std Adj Read]]&gt;Table1[[#This Row],[Low Tol]],"Pass","Fail"),IF(Table1[[#This Row],[DUT Adj Read]]&gt;Table1[[#This Row],[Low Tol]],"Pass","Fail")))</f>
        <v>Pass</v>
      </c>
      <c r="AE1878" s="1" t="str">
        <f>IF(AND(Table1[[#This Row],[Spec Type2]]="N/A",Table1[[#This Row],[DUT Adj Read]]="N/A",Table1[[#This Row],[Std Adj Read]]="N/A"),"N/A",IF(Table1[[#This Row],[DUT Adj Read]]="N/A",IF(Table1[[#This Row],[Std Adj Read]]&lt;Table1[[#This Row],[High Tol]],"Pass","Fail"),IF(Table1[[#This Row],[DUT Adj Read]]&lt;Table1[[#This Row],[High Tol]],"Pass","Fail")))</f>
        <v>Fail</v>
      </c>
      <c r="AF1878" s="1" t="str">
        <f>IF(AND(Table1[[#This Row],[Spec Type2]]="N/A",Table1[[#This Row],[DUT Adj Read]]="N/A",Table1[[#This Row],[Std Adj Read]]="N/A"),"N/A",IF(Table1[[#This Row],[DUT Adj Read]]="N/A",IF(Table1[[#This Row],[Std Adj Read]]&gt;=Table1[[#This Row],[Low Tol]],"Pass","Fail"),IF(Table1[[#This Row],[DUT Adj Read]]&gt;=Table1[[#This Row],[Low Tol]],"Pass","Fail")))</f>
        <v>Pass</v>
      </c>
      <c r="AG1878" s="1" t="str">
        <f>IF(AND(Table1[[#This Row],[Spec Type2]]="N/A",Table1[[#This Row],[DUT Adj Read]]="N/A",Table1[[#This Row],[Std Adj Read]]="N/A"),"N/A",IF(Table1[[#This Row],[DUT Adj Read]]="N/A",IF(Table1[[#This Row],[Std Adj Read]]&lt;=Table1[[#This Row],[High Tol]],"Pass","Fail"),IF(Table1[[#This Row],[DUT Adj Read]]&lt;=Table1[[#This Row],[High Tol]],"Pass","Fail")))</f>
        <v>Fail</v>
      </c>
      <c r="AH18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8" s="1" t="b">
        <v>0</v>
      </c>
      <c r="AN1878" s="1" t="b">
        <v>0</v>
      </c>
      <c r="AO1878" s="1" t="b">
        <v>0</v>
      </c>
    </row>
    <row r="1879" spans="1:41" x14ac:dyDescent="0.25">
      <c r="A1879" s="10"/>
      <c r="B1879" s="10"/>
      <c r="C1879" s="10"/>
      <c r="D1879" s="10"/>
      <c r="E1879" s="10"/>
      <c r="F1879" s="10"/>
      <c r="G1879" s="10"/>
      <c r="H1879" s="10"/>
      <c r="I1879" s="1" t="str">
        <f t="shared" si="87"/>
        <v/>
      </c>
      <c r="J1879" s="1" t="s">
        <v>35</v>
      </c>
      <c r="K1879" s="1" t="str">
        <f t="shared" si="88"/>
        <v/>
      </c>
      <c r="L1879" s="1" t="str">
        <f t="shared" si="89"/>
        <v/>
      </c>
      <c r="M1879" s="1">
        <f>IF(OR(Table1[[#This Row],[Std Nom]]="",Table1[[#This Row],[Std Read]]=""),0,Table1[[#This Row],[Std Nom]]-Table1[[#This Row],[Std Read]])</f>
        <v>0</v>
      </c>
      <c r="N1879" s="1">
        <f>IF(Calculations!$F$5="ACCREDITED 17025 WITH UNCERTAINTIES",$N$10,0)</f>
        <v>0</v>
      </c>
      <c r="O1879" s="1" t="str">
        <f>IFERROR(Table1[[#This Row],[Std Nom]]-(_xlfn.XLOOKUP(Table1[[#This Row],[Manufacturer]]&amp;" "&amp;Table1[[#This Row],[Model]],Table13[MFR &amp; MDL],Table13[Tolerance % CW ],"")/100*Table1[[#This Row],[Std Nom]]),"")</f>
        <v/>
      </c>
      <c r="P1879" s="1" t="str">
        <f>IFERROR(Table1[[#This Row],[Std Nom]]+(_xlfn.XLOOKUP(Table1[[#This Row],[Manufacturer]]&amp;" "&amp;Table1[[#This Row],[Model]],Table13[MFR &amp; MDL],Table13[Tolerance % CW ],"")/100*Table1[[#This Row],[Std Nom]]),"")</f>
        <v/>
      </c>
      <c r="Q1879" s="1" t="e">
        <f>Table1[[#This Row],[High Tol]]-Table1[[#This Row],[Low Tol]]</f>
        <v>#VALUE!</v>
      </c>
      <c r="R1879" s="1">
        <f>2*Table1[[#This Row],[Std Error]]</f>
        <v>0</v>
      </c>
      <c r="S1879" s="1" t="str">
        <f>IF(Table1[[#This Row],[High Tol]]="","N/A",IFERROR(ABS(Table1[[#This Row],[Tol Span]]/Table1[[#This Row],[Error Span]]),"N/A"))</f>
        <v>N/A</v>
      </c>
      <c r="T1879" s="1" t="str">
        <f>IF(OR(Table1[[#This Row],[Low Tol]]="",Table1[[#This Row],[High Tol]]=""),"Needs Analysis",IF(Table1[[#This Row],[Ratio]]&gt;=4,"Not Significant",IF(Table1[[#This Row],[Ratio]]&gt;=2,"Semi-Significant","Significant")))</f>
        <v>Needs Analysis</v>
      </c>
      <c r="W1879" s="1">
        <f>IF(Table1[[#This Row],[Cal Type]]&lt;&gt;"ACCREDITED 17025 WITH UNCERTAINTIES",0,"")</f>
        <v>0</v>
      </c>
      <c r="X1879" s="1" t="str">
        <f>IF(Table1[[#This Row],[DUT Read]]="","N/A",Table1[[#This Row],[Std Error]]+Table1[[#This Row],[DUT Read]]+Table1[[#This Row],[DUT Ucty]])</f>
        <v>N/A</v>
      </c>
      <c r="Y1879" s="1" t="str">
        <f>IF(Table1[[#This Row],[Std Read]]="","N/A",Table1[[#This Row],[Std Read]]+Table1[[#This Row],[Std Ucty]])</f>
        <v>N/A</v>
      </c>
      <c r="Z18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9" s="1" t="str">
        <f>IF(Table1[[#This Row],[Spec Type]]="","N/A",Table1[[#This Row],[Spec Type]])</f>
        <v>±</v>
      </c>
      <c r="AC1879" s="1" t="str">
        <f>IF(Table1[[#This Row],[Spec Type2]]="N/A","N/A",IF(AND(Table1[[#This Row],[DUT Adj Read]]&gt;=Table1[[#This Row],[Low Tol]],Table1[[#This Row],[DUT Adj Read]]&lt;=Table1[[#This Row],[High Tol]]),"Pass","Fail"))</f>
        <v>Fail</v>
      </c>
      <c r="AD1879" s="1" t="str">
        <f>IF(AND(Table1[[#This Row],[Spec Type2]]="N/A",Table1[[#This Row],[DUT Adj Read]]="N/A",Table1[[#This Row],[Std Adj Read]]="N/A"),"N/A",IF(Table1[[#This Row],[DUT Adj Read]]="N/A",IF(Table1[[#This Row],[Std Adj Read]]&gt;Table1[[#This Row],[Low Tol]],"Pass","Fail"),IF(Table1[[#This Row],[DUT Adj Read]]&gt;Table1[[#This Row],[Low Tol]],"Pass","Fail")))</f>
        <v>Pass</v>
      </c>
      <c r="AE1879" s="1" t="str">
        <f>IF(AND(Table1[[#This Row],[Spec Type2]]="N/A",Table1[[#This Row],[DUT Adj Read]]="N/A",Table1[[#This Row],[Std Adj Read]]="N/A"),"N/A",IF(Table1[[#This Row],[DUT Adj Read]]="N/A",IF(Table1[[#This Row],[Std Adj Read]]&lt;Table1[[#This Row],[High Tol]],"Pass","Fail"),IF(Table1[[#This Row],[DUT Adj Read]]&lt;Table1[[#This Row],[High Tol]],"Pass","Fail")))</f>
        <v>Fail</v>
      </c>
      <c r="AF1879" s="1" t="str">
        <f>IF(AND(Table1[[#This Row],[Spec Type2]]="N/A",Table1[[#This Row],[DUT Adj Read]]="N/A",Table1[[#This Row],[Std Adj Read]]="N/A"),"N/A",IF(Table1[[#This Row],[DUT Adj Read]]="N/A",IF(Table1[[#This Row],[Std Adj Read]]&gt;=Table1[[#This Row],[Low Tol]],"Pass","Fail"),IF(Table1[[#This Row],[DUT Adj Read]]&gt;=Table1[[#This Row],[Low Tol]],"Pass","Fail")))</f>
        <v>Pass</v>
      </c>
      <c r="AG1879" s="1" t="str">
        <f>IF(AND(Table1[[#This Row],[Spec Type2]]="N/A",Table1[[#This Row],[DUT Adj Read]]="N/A",Table1[[#This Row],[Std Adj Read]]="N/A"),"N/A",IF(Table1[[#This Row],[DUT Adj Read]]="N/A",IF(Table1[[#This Row],[Std Adj Read]]&lt;=Table1[[#This Row],[High Tol]],"Pass","Fail"),IF(Table1[[#This Row],[DUT Adj Read]]&lt;=Table1[[#This Row],[High Tol]],"Pass","Fail")))</f>
        <v>Fail</v>
      </c>
      <c r="AH18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9" s="1" t="b">
        <v>0</v>
      </c>
      <c r="AN1879" s="1" t="b">
        <v>0</v>
      </c>
      <c r="AO1879" s="1" t="b">
        <v>0</v>
      </c>
    </row>
    <row r="1880" spans="1:41" x14ac:dyDescent="0.25">
      <c r="A1880" s="10"/>
      <c r="B1880" s="10"/>
      <c r="C1880" s="10"/>
      <c r="D1880" s="10"/>
      <c r="E1880" s="10"/>
      <c r="F1880" s="10"/>
      <c r="G1880" s="10"/>
      <c r="H1880" s="10"/>
      <c r="I1880" s="1" t="str">
        <f t="shared" si="87"/>
        <v/>
      </c>
      <c r="J1880" s="1" t="s">
        <v>35</v>
      </c>
      <c r="K1880" s="1" t="str">
        <f t="shared" si="88"/>
        <v/>
      </c>
      <c r="L1880" s="1" t="str">
        <f t="shared" si="89"/>
        <v/>
      </c>
      <c r="M1880" s="1">
        <f>IF(OR(Table1[[#This Row],[Std Nom]]="",Table1[[#This Row],[Std Read]]=""),0,Table1[[#This Row],[Std Nom]]-Table1[[#This Row],[Std Read]])</f>
        <v>0</v>
      </c>
      <c r="N1880" s="1">
        <f>IF(Calculations!$F$5="ACCREDITED 17025 WITH UNCERTAINTIES",$N$10,0)</f>
        <v>0</v>
      </c>
      <c r="O1880" s="1" t="str">
        <f>IFERROR(Table1[[#This Row],[Std Nom]]-(_xlfn.XLOOKUP(Table1[[#This Row],[Manufacturer]]&amp;" "&amp;Table1[[#This Row],[Model]],Table13[MFR &amp; MDL],Table13[Tolerance % CW ],"")/100*Table1[[#This Row],[Std Nom]]),"")</f>
        <v/>
      </c>
      <c r="P1880" s="1" t="str">
        <f>IFERROR(Table1[[#This Row],[Std Nom]]+(_xlfn.XLOOKUP(Table1[[#This Row],[Manufacturer]]&amp;" "&amp;Table1[[#This Row],[Model]],Table13[MFR &amp; MDL],Table13[Tolerance % CW ],"")/100*Table1[[#This Row],[Std Nom]]),"")</f>
        <v/>
      </c>
      <c r="Q1880" s="1" t="e">
        <f>Table1[[#This Row],[High Tol]]-Table1[[#This Row],[Low Tol]]</f>
        <v>#VALUE!</v>
      </c>
      <c r="R1880" s="1">
        <f>2*Table1[[#This Row],[Std Error]]</f>
        <v>0</v>
      </c>
      <c r="S1880" s="1" t="str">
        <f>IF(Table1[[#This Row],[High Tol]]="","N/A",IFERROR(ABS(Table1[[#This Row],[Tol Span]]/Table1[[#This Row],[Error Span]]),"N/A"))</f>
        <v>N/A</v>
      </c>
      <c r="T1880" s="1" t="str">
        <f>IF(OR(Table1[[#This Row],[Low Tol]]="",Table1[[#This Row],[High Tol]]=""),"Needs Analysis",IF(Table1[[#This Row],[Ratio]]&gt;=4,"Not Significant",IF(Table1[[#This Row],[Ratio]]&gt;=2,"Semi-Significant","Significant")))</f>
        <v>Needs Analysis</v>
      </c>
      <c r="W1880" s="1">
        <f>IF(Table1[[#This Row],[Cal Type]]&lt;&gt;"ACCREDITED 17025 WITH UNCERTAINTIES",0,"")</f>
        <v>0</v>
      </c>
      <c r="X1880" s="1" t="str">
        <f>IF(Table1[[#This Row],[DUT Read]]="","N/A",Table1[[#This Row],[Std Error]]+Table1[[#This Row],[DUT Read]]+Table1[[#This Row],[DUT Ucty]])</f>
        <v>N/A</v>
      </c>
      <c r="Y1880" s="1" t="str">
        <f>IF(Table1[[#This Row],[Std Read]]="","N/A",Table1[[#This Row],[Std Read]]+Table1[[#This Row],[Std Ucty]])</f>
        <v>N/A</v>
      </c>
      <c r="Z18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0" s="1" t="str">
        <f>IF(Table1[[#This Row],[Spec Type]]="","N/A",Table1[[#This Row],[Spec Type]])</f>
        <v>±</v>
      </c>
      <c r="AC1880" s="1" t="str">
        <f>IF(Table1[[#This Row],[Spec Type2]]="N/A","N/A",IF(AND(Table1[[#This Row],[DUT Adj Read]]&gt;=Table1[[#This Row],[Low Tol]],Table1[[#This Row],[DUT Adj Read]]&lt;=Table1[[#This Row],[High Tol]]),"Pass","Fail"))</f>
        <v>Fail</v>
      </c>
      <c r="AD1880" s="1" t="str">
        <f>IF(AND(Table1[[#This Row],[Spec Type2]]="N/A",Table1[[#This Row],[DUT Adj Read]]="N/A",Table1[[#This Row],[Std Adj Read]]="N/A"),"N/A",IF(Table1[[#This Row],[DUT Adj Read]]="N/A",IF(Table1[[#This Row],[Std Adj Read]]&gt;Table1[[#This Row],[Low Tol]],"Pass","Fail"),IF(Table1[[#This Row],[DUT Adj Read]]&gt;Table1[[#This Row],[Low Tol]],"Pass","Fail")))</f>
        <v>Pass</v>
      </c>
      <c r="AE1880" s="1" t="str">
        <f>IF(AND(Table1[[#This Row],[Spec Type2]]="N/A",Table1[[#This Row],[DUT Adj Read]]="N/A",Table1[[#This Row],[Std Adj Read]]="N/A"),"N/A",IF(Table1[[#This Row],[DUT Adj Read]]="N/A",IF(Table1[[#This Row],[Std Adj Read]]&lt;Table1[[#This Row],[High Tol]],"Pass","Fail"),IF(Table1[[#This Row],[DUT Adj Read]]&lt;Table1[[#This Row],[High Tol]],"Pass","Fail")))</f>
        <v>Fail</v>
      </c>
      <c r="AF1880" s="1" t="str">
        <f>IF(AND(Table1[[#This Row],[Spec Type2]]="N/A",Table1[[#This Row],[DUT Adj Read]]="N/A",Table1[[#This Row],[Std Adj Read]]="N/A"),"N/A",IF(Table1[[#This Row],[DUT Adj Read]]="N/A",IF(Table1[[#This Row],[Std Adj Read]]&gt;=Table1[[#This Row],[Low Tol]],"Pass","Fail"),IF(Table1[[#This Row],[DUT Adj Read]]&gt;=Table1[[#This Row],[Low Tol]],"Pass","Fail")))</f>
        <v>Pass</v>
      </c>
      <c r="AG1880" s="1" t="str">
        <f>IF(AND(Table1[[#This Row],[Spec Type2]]="N/A",Table1[[#This Row],[DUT Adj Read]]="N/A",Table1[[#This Row],[Std Adj Read]]="N/A"),"N/A",IF(Table1[[#This Row],[DUT Adj Read]]="N/A",IF(Table1[[#This Row],[Std Adj Read]]&lt;=Table1[[#This Row],[High Tol]],"Pass","Fail"),IF(Table1[[#This Row],[DUT Adj Read]]&lt;=Table1[[#This Row],[High Tol]],"Pass","Fail")))</f>
        <v>Fail</v>
      </c>
      <c r="AH18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0" s="1" t="b">
        <v>0</v>
      </c>
      <c r="AN1880" s="1" t="b">
        <v>0</v>
      </c>
      <c r="AO1880" s="1" t="b">
        <v>0</v>
      </c>
    </row>
    <row r="1881" spans="1:41" x14ac:dyDescent="0.25">
      <c r="A1881" s="10"/>
      <c r="B1881" s="10"/>
      <c r="C1881" s="10"/>
      <c r="D1881" s="10"/>
      <c r="E1881" s="10"/>
      <c r="F1881" s="10"/>
      <c r="G1881" s="10"/>
      <c r="H1881" s="10"/>
      <c r="I1881" s="1" t="str">
        <f t="shared" si="87"/>
        <v/>
      </c>
      <c r="J1881" s="1" t="s">
        <v>35</v>
      </c>
      <c r="K1881" s="1" t="str">
        <f t="shared" si="88"/>
        <v/>
      </c>
      <c r="L1881" s="1" t="str">
        <f t="shared" si="89"/>
        <v/>
      </c>
      <c r="M1881" s="1">
        <f>IF(OR(Table1[[#This Row],[Std Nom]]="",Table1[[#This Row],[Std Read]]=""),0,Table1[[#This Row],[Std Nom]]-Table1[[#This Row],[Std Read]])</f>
        <v>0</v>
      </c>
      <c r="N1881" s="1">
        <f>IF(Calculations!$F$5="ACCREDITED 17025 WITH UNCERTAINTIES",$N$10,0)</f>
        <v>0</v>
      </c>
      <c r="O1881" s="1" t="str">
        <f>IFERROR(Table1[[#This Row],[Std Nom]]-(_xlfn.XLOOKUP(Table1[[#This Row],[Manufacturer]]&amp;" "&amp;Table1[[#This Row],[Model]],Table13[MFR &amp; MDL],Table13[Tolerance % CW ],"")/100*Table1[[#This Row],[Std Nom]]),"")</f>
        <v/>
      </c>
      <c r="P1881" s="1" t="str">
        <f>IFERROR(Table1[[#This Row],[Std Nom]]+(_xlfn.XLOOKUP(Table1[[#This Row],[Manufacturer]]&amp;" "&amp;Table1[[#This Row],[Model]],Table13[MFR &amp; MDL],Table13[Tolerance % CW ],"")/100*Table1[[#This Row],[Std Nom]]),"")</f>
        <v/>
      </c>
      <c r="Q1881" s="1" t="e">
        <f>Table1[[#This Row],[High Tol]]-Table1[[#This Row],[Low Tol]]</f>
        <v>#VALUE!</v>
      </c>
      <c r="R1881" s="1">
        <f>2*Table1[[#This Row],[Std Error]]</f>
        <v>0</v>
      </c>
      <c r="S1881" s="1" t="str">
        <f>IF(Table1[[#This Row],[High Tol]]="","N/A",IFERROR(ABS(Table1[[#This Row],[Tol Span]]/Table1[[#This Row],[Error Span]]),"N/A"))</f>
        <v>N/A</v>
      </c>
      <c r="T1881" s="1" t="str">
        <f>IF(OR(Table1[[#This Row],[Low Tol]]="",Table1[[#This Row],[High Tol]]=""),"Needs Analysis",IF(Table1[[#This Row],[Ratio]]&gt;=4,"Not Significant",IF(Table1[[#This Row],[Ratio]]&gt;=2,"Semi-Significant","Significant")))</f>
        <v>Needs Analysis</v>
      </c>
      <c r="W1881" s="1">
        <f>IF(Table1[[#This Row],[Cal Type]]&lt;&gt;"ACCREDITED 17025 WITH UNCERTAINTIES",0,"")</f>
        <v>0</v>
      </c>
      <c r="X1881" s="1" t="str">
        <f>IF(Table1[[#This Row],[DUT Read]]="","N/A",Table1[[#This Row],[Std Error]]+Table1[[#This Row],[DUT Read]]+Table1[[#This Row],[DUT Ucty]])</f>
        <v>N/A</v>
      </c>
      <c r="Y1881" s="1" t="str">
        <f>IF(Table1[[#This Row],[Std Read]]="","N/A",Table1[[#This Row],[Std Read]]+Table1[[#This Row],[Std Ucty]])</f>
        <v>N/A</v>
      </c>
      <c r="Z18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1" s="1" t="str">
        <f>IF(Table1[[#This Row],[Spec Type]]="","N/A",Table1[[#This Row],[Spec Type]])</f>
        <v>±</v>
      </c>
      <c r="AC1881" s="1" t="str">
        <f>IF(Table1[[#This Row],[Spec Type2]]="N/A","N/A",IF(AND(Table1[[#This Row],[DUT Adj Read]]&gt;=Table1[[#This Row],[Low Tol]],Table1[[#This Row],[DUT Adj Read]]&lt;=Table1[[#This Row],[High Tol]]),"Pass","Fail"))</f>
        <v>Fail</v>
      </c>
      <c r="AD1881" s="1" t="str">
        <f>IF(AND(Table1[[#This Row],[Spec Type2]]="N/A",Table1[[#This Row],[DUT Adj Read]]="N/A",Table1[[#This Row],[Std Adj Read]]="N/A"),"N/A",IF(Table1[[#This Row],[DUT Adj Read]]="N/A",IF(Table1[[#This Row],[Std Adj Read]]&gt;Table1[[#This Row],[Low Tol]],"Pass","Fail"),IF(Table1[[#This Row],[DUT Adj Read]]&gt;Table1[[#This Row],[Low Tol]],"Pass","Fail")))</f>
        <v>Pass</v>
      </c>
      <c r="AE1881" s="1" t="str">
        <f>IF(AND(Table1[[#This Row],[Spec Type2]]="N/A",Table1[[#This Row],[DUT Adj Read]]="N/A",Table1[[#This Row],[Std Adj Read]]="N/A"),"N/A",IF(Table1[[#This Row],[DUT Adj Read]]="N/A",IF(Table1[[#This Row],[Std Adj Read]]&lt;Table1[[#This Row],[High Tol]],"Pass","Fail"),IF(Table1[[#This Row],[DUT Adj Read]]&lt;Table1[[#This Row],[High Tol]],"Pass","Fail")))</f>
        <v>Fail</v>
      </c>
      <c r="AF1881" s="1" t="str">
        <f>IF(AND(Table1[[#This Row],[Spec Type2]]="N/A",Table1[[#This Row],[DUT Adj Read]]="N/A",Table1[[#This Row],[Std Adj Read]]="N/A"),"N/A",IF(Table1[[#This Row],[DUT Adj Read]]="N/A",IF(Table1[[#This Row],[Std Adj Read]]&gt;=Table1[[#This Row],[Low Tol]],"Pass","Fail"),IF(Table1[[#This Row],[DUT Adj Read]]&gt;=Table1[[#This Row],[Low Tol]],"Pass","Fail")))</f>
        <v>Pass</v>
      </c>
      <c r="AG1881" s="1" t="str">
        <f>IF(AND(Table1[[#This Row],[Spec Type2]]="N/A",Table1[[#This Row],[DUT Adj Read]]="N/A",Table1[[#This Row],[Std Adj Read]]="N/A"),"N/A",IF(Table1[[#This Row],[DUT Adj Read]]="N/A",IF(Table1[[#This Row],[Std Adj Read]]&lt;=Table1[[#This Row],[High Tol]],"Pass","Fail"),IF(Table1[[#This Row],[DUT Adj Read]]&lt;=Table1[[#This Row],[High Tol]],"Pass","Fail")))</f>
        <v>Fail</v>
      </c>
      <c r="AH18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1" s="1" t="b">
        <v>0</v>
      </c>
      <c r="AN1881" s="1" t="b">
        <v>0</v>
      </c>
      <c r="AO1881" s="1" t="b">
        <v>0</v>
      </c>
    </row>
    <row r="1882" spans="1:41" x14ac:dyDescent="0.25">
      <c r="A1882" s="10"/>
      <c r="B1882" s="10"/>
      <c r="C1882" s="10"/>
      <c r="D1882" s="10"/>
      <c r="E1882" s="10"/>
      <c r="F1882" s="10"/>
      <c r="G1882" s="10"/>
      <c r="H1882" s="10"/>
      <c r="I1882" s="1" t="str">
        <f t="shared" si="87"/>
        <v/>
      </c>
      <c r="J1882" s="1" t="s">
        <v>35</v>
      </c>
      <c r="K1882" s="1" t="str">
        <f t="shared" si="88"/>
        <v/>
      </c>
      <c r="L1882" s="1" t="str">
        <f t="shared" si="89"/>
        <v/>
      </c>
      <c r="M1882" s="1">
        <f>IF(OR(Table1[[#This Row],[Std Nom]]="",Table1[[#This Row],[Std Read]]=""),0,Table1[[#This Row],[Std Nom]]-Table1[[#This Row],[Std Read]])</f>
        <v>0</v>
      </c>
      <c r="N1882" s="1">
        <f>IF(Calculations!$F$5="ACCREDITED 17025 WITH UNCERTAINTIES",$N$10,0)</f>
        <v>0</v>
      </c>
      <c r="O1882" s="1" t="str">
        <f>IFERROR(Table1[[#This Row],[Std Nom]]-(_xlfn.XLOOKUP(Table1[[#This Row],[Manufacturer]]&amp;" "&amp;Table1[[#This Row],[Model]],Table13[MFR &amp; MDL],Table13[Tolerance % CW ],"")/100*Table1[[#This Row],[Std Nom]]),"")</f>
        <v/>
      </c>
      <c r="P1882" s="1" t="str">
        <f>IFERROR(Table1[[#This Row],[Std Nom]]+(_xlfn.XLOOKUP(Table1[[#This Row],[Manufacturer]]&amp;" "&amp;Table1[[#This Row],[Model]],Table13[MFR &amp; MDL],Table13[Tolerance % CW ],"")/100*Table1[[#This Row],[Std Nom]]),"")</f>
        <v/>
      </c>
      <c r="Q1882" s="1" t="e">
        <f>Table1[[#This Row],[High Tol]]-Table1[[#This Row],[Low Tol]]</f>
        <v>#VALUE!</v>
      </c>
      <c r="R1882" s="1">
        <f>2*Table1[[#This Row],[Std Error]]</f>
        <v>0</v>
      </c>
      <c r="S1882" s="1" t="str">
        <f>IF(Table1[[#This Row],[High Tol]]="","N/A",IFERROR(ABS(Table1[[#This Row],[Tol Span]]/Table1[[#This Row],[Error Span]]),"N/A"))</f>
        <v>N/A</v>
      </c>
      <c r="T1882" s="1" t="str">
        <f>IF(OR(Table1[[#This Row],[Low Tol]]="",Table1[[#This Row],[High Tol]]=""),"Needs Analysis",IF(Table1[[#This Row],[Ratio]]&gt;=4,"Not Significant",IF(Table1[[#This Row],[Ratio]]&gt;=2,"Semi-Significant","Significant")))</f>
        <v>Needs Analysis</v>
      </c>
      <c r="W1882" s="1">
        <f>IF(Table1[[#This Row],[Cal Type]]&lt;&gt;"ACCREDITED 17025 WITH UNCERTAINTIES",0,"")</f>
        <v>0</v>
      </c>
      <c r="X1882" s="1" t="str">
        <f>IF(Table1[[#This Row],[DUT Read]]="","N/A",Table1[[#This Row],[Std Error]]+Table1[[#This Row],[DUT Read]]+Table1[[#This Row],[DUT Ucty]])</f>
        <v>N/A</v>
      </c>
      <c r="Y1882" s="1" t="str">
        <f>IF(Table1[[#This Row],[Std Read]]="","N/A",Table1[[#This Row],[Std Read]]+Table1[[#This Row],[Std Ucty]])</f>
        <v>N/A</v>
      </c>
      <c r="Z18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2" s="1" t="str">
        <f>IF(Table1[[#This Row],[Spec Type]]="","N/A",Table1[[#This Row],[Spec Type]])</f>
        <v>±</v>
      </c>
      <c r="AC1882" s="1" t="str">
        <f>IF(Table1[[#This Row],[Spec Type2]]="N/A","N/A",IF(AND(Table1[[#This Row],[DUT Adj Read]]&gt;=Table1[[#This Row],[Low Tol]],Table1[[#This Row],[DUT Adj Read]]&lt;=Table1[[#This Row],[High Tol]]),"Pass","Fail"))</f>
        <v>Fail</v>
      </c>
      <c r="AD1882" s="1" t="str">
        <f>IF(AND(Table1[[#This Row],[Spec Type2]]="N/A",Table1[[#This Row],[DUT Adj Read]]="N/A",Table1[[#This Row],[Std Adj Read]]="N/A"),"N/A",IF(Table1[[#This Row],[DUT Adj Read]]="N/A",IF(Table1[[#This Row],[Std Adj Read]]&gt;Table1[[#This Row],[Low Tol]],"Pass","Fail"),IF(Table1[[#This Row],[DUT Adj Read]]&gt;Table1[[#This Row],[Low Tol]],"Pass","Fail")))</f>
        <v>Pass</v>
      </c>
      <c r="AE1882" s="1" t="str">
        <f>IF(AND(Table1[[#This Row],[Spec Type2]]="N/A",Table1[[#This Row],[DUT Adj Read]]="N/A",Table1[[#This Row],[Std Adj Read]]="N/A"),"N/A",IF(Table1[[#This Row],[DUT Adj Read]]="N/A",IF(Table1[[#This Row],[Std Adj Read]]&lt;Table1[[#This Row],[High Tol]],"Pass","Fail"),IF(Table1[[#This Row],[DUT Adj Read]]&lt;Table1[[#This Row],[High Tol]],"Pass","Fail")))</f>
        <v>Fail</v>
      </c>
      <c r="AF1882" s="1" t="str">
        <f>IF(AND(Table1[[#This Row],[Spec Type2]]="N/A",Table1[[#This Row],[DUT Adj Read]]="N/A",Table1[[#This Row],[Std Adj Read]]="N/A"),"N/A",IF(Table1[[#This Row],[DUT Adj Read]]="N/A",IF(Table1[[#This Row],[Std Adj Read]]&gt;=Table1[[#This Row],[Low Tol]],"Pass","Fail"),IF(Table1[[#This Row],[DUT Adj Read]]&gt;=Table1[[#This Row],[Low Tol]],"Pass","Fail")))</f>
        <v>Pass</v>
      </c>
      <c r="AG1882" s="1" t="str">
        <f>IF(AND(Table1[[#This Row],[Spec Type2]]="N/A",Table1[[#This Row],[DUT Adj Read]]="N/A",Table1[[#This Row],[Std Adj Read]]="N/A"),"N/A",IF(Table1[[#This Row],[DUT Adj Read]]="N/A",IF(Table1[[#This Row],[Std Adj Read]]&lt;=Table1[[#This Row],[High Tol]],"Pass","Fail"),IF(Table1[[#This Row],[DUT Adj Read]]&lt;=Table1[[#This Row],[High Tol]],"Pass","Fail")))</f>
        <v>Fail</v>
      </c>
      <c r="AH18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2" s="1" t="b">
        <v>0</v>
      </c>
      <c r="AN1882" s="1" t="b">
        <v>0</v>
      </c>
      <c r="AO1882" s="1" t="b">
        <v>0</v>
      </c>
    </row>
    <row r="1883" spans="1:41" x14ac:dyDescent="0.25">
      <c r="A1883" s="10"/>
      <c r="B1883" s="10"/>
      <c r="C1883" s="10"/>
      <c r="D1883" s="10"/>
      <c r="E1883" s="10"/>
      <c r="F1883" s="10"/>
      <c r="G1883" s="10"/>
      <c r="H1883" s="10"/>
      <c r="I1883" s="1" t="str">
        <f t="shared" si="87"/>
        <v/>
      </c>
      <c r="J1883" s="1" t="s">
        <v>35</v>
      </c>
      <c r="K1883" s="1" t="str">
        <f t="shared" si="88"/>
        <v/>
      </c>
      <c r="L1883" s="1" t="str">
        <f t="shared" si="89"/>
        <v/>
      </c>
      <c r="M1883" s="1">
        <f>IF(OR(Table1[[#This Row],[Std Nom]]="",Table1[[#This Row],[Std Read]]=""),0,Table1[[#This Row],[Std Nom]]-Table1[[#This Row],[Std Read]])</f>
        <v>0</v>
      </c>
      <c r="N1883" s="1">
        <f>IF(Calculations!$F$5="ACCREDITED 17025 WITH UNCERTAINTIES",$N$10,0)</f>
        <v>0</v>
      </c>
      <c r="O1883" s="1" t="str">
        <f>IFERROR(Table1[[#This Row],[Std Nom]]-(_xlfn.XLOOKUP(Table1[[#This Row],[Manufacturer]]&amp;" "&amp;Table1[[#This Row],[Model]],Table13[MFR &amp; MDL],Table13[Tolerance % CW ],"")/100*Table1[[#This Row],[Std Nom]]),"")</f>
        <v/>
      </c>
      <c r="P1883" s="1" t="str">
        <f>IFERROR(Table1[[#This Row],[Std Nom]]+(_xlfn.XLOOKUP(Table1[[#This Row],[Manufacturer]]&amp;" "&amp;Table1[[#This Row],[Model]],Table13[MFR &amp; MDL],Table13[Tolerance % CW ],"")/100*Table1[[#This Row],[Std Nom]]),"")</f>
        <v/>
      </c>
      <c r="Q1883" s="1" t="e">
        <f>Table1[[#This Row],[High Tol]]-Table1[[#This Row],[Low Tol]]</f>
        <v>#VALUE!</v>
      </c>
      <c r="R1883" s="1">
        <f>2*Table1[[#This Row],[Std Error]]</f>
        <v>0</v>
      </c>
      <c r="S1883" s="1" t="str">
        <f>IF(Table1[[#This Row],[High Tol]]="","N/A",IFERROR(ABS(Table1[[#This Row],[Tol Span]]/Table1[[#This Row],[Error Span]]),"N/A"))</f>
        <v>N/A</v>
      </c>
      <c r="T1883" s="1" t="str">
        <f>IF(OR(Table1[[#This Row],[Low Tol]]="",Table1[[#This Row],[High Tol]]=""),"Needs Analysis",IF(Table1[[#This Row],[Ratio]]&gt;=4,"Not Significant",IF(Table1[[#This Row],[Ratio]]&gt;=2,"Semi-Significant","Significant")))</f>
        <v>Needs Analysis</v>
      </c>
      <c r="W1883" s="1">
        <f>IF(Table1[[#This Row],[Cal Type]]&lt;&gt;"ACCREDITED 17025 WITH UNCERTAINTIES",0,"")</f>
        <v>0</v>
      </c>
      <c r="X1883" s="1" t="str">
        <f>IF(Table1[[#This Row],[DUT Read]]="","N/A",Table1[[#This Row],[Std Error]]+Table1[[#This Row],[DUT Read]]+Table1[[#This Row],[DUT Ucty]])</f>
        <v>N/A</v>
      </c>
      <c r="Y1883" s="1" t="str">
        <f>IF(Table1[[#This Row],[Std Read]]="","N/A",Table1[[#This Row],[Std Read]]+Table1[[#This Row],[Std Ucty]])</f>
        <v>N/A</v>
      </c>
      <c r="Z18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3" s="1" t="str">
        <f>IF(Table1[[#This Row],[Spec Type]]="","N/A",Table1[[#This Row],[Spec Type]])</f>
        <v>±</v>
      </c>
      <c r="AC1883" s="1" t="str">
        <f>IF(Table1[[#This Row],[Spec Type2]]="N/A","N/A",IF(AND(Table1[[#This Row],[DUT Adj Read]]&gt;=Table1[[#This Row],[Low Tol]],Table1[[#This Row],[DUT Adj Read]]&lt;=Table1[[#This Row],[High Tol]]),"Pass","Fail"))</f>
        <v>Fail</v>
      </c>
      <c r="AD1883" s="1" t="str">
        <f>IF(AND(Table1[[#This Row],[Spec Type2]]="N/A",Table1[[#This Row],[DUT Adj Read]]="N/A",Table1[[#This Row],[Std Adj Read]]="N/A"),"N/A",IF(Table1[[#This Row],[DUT Adj Read]]="N/A",IF(Table1[[#This Row],[Std Adj Read]]&gt;Table1[[#This Row],[Low Tol]],"Pass","Fail"),IF(Table1[[#This Row],[DUT Adj Read]]&gt;Table1[[#This Row],[Low Tol]],"Pass","Fail")))</f>
        <v>Pass</v>
      </c>
      <c r="AE1883" s="1" t="str">
        <f>IF(AND(Table1[[#This Row],[Spec Type2]]="N/A",Table1[[#This Row],[DUT Adj Read]]="N/A",Table1[[#This Row],[Std Adj Read]]="N/A"),"N/A",IF(Table1[[#This Row],[DUT Adj Read]]="N/A",IF(Table1[[#This Row],[Std Adj Read]]&lt;Table1[[#This Row],[High Tol]],"Pass","Fail"),IF(Table1[[#This Row],[DUT Adj Read]]&lt;Table1[[#This Row],[High Tol]],"Pass","Fail")))</f>
        <v>Fail</v>
      </c>
      <c r="AF1883" s="1" t="str">
        <f>IF(AND(Table1[[#This Row],[Spec Type2]]="N/A",Table1[[#This Row],[DUT Adj Read]]="N/A",Table1[[#This Row],[Std Adj Read]]="N/A"),"N/A",IF(Table1[[#This Row],[DUT Adj Read]]="N/A",IF(Table1[[#This Row],[Std Adj Read]]&gt;=Table1[[#This Row],[Low Tol]],"Pass","Fail"),IF(Table1[[#This Row],[DUT Adj Read]]&gt;=Table1[[#This Row],[Low Tol]],"Pass","Fail")))</f>
        <v>Pass</v>
      </c>
      <c r="AG1883" s="1" t="str">
        <f>IF(AND(Table1[[#This Row],[Spec Type2]]="N/A",Table1[[#This Row],[DUT Adj Read]]="N/A",Table1[[#This Row],[Std Adj Read]]="N/A"),"N/A",IF(Table1[[#This Row],[DUT Adj Read]]="N/A",IF(Table1[[#This Row],[Std Adj Read]]&lt;=Table1[[#This Row],[High Tol]],"Pass","Fail"),IF(Table1[[#This Row],[DUT Adj Read]]&lt;=Table1[[#This Row],[High Tol]],"Pass","Fail")))</f>
        <v>Fail</v>
      </c>
      <c r="AH18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3" s="1" t="b">
        <v>0</v>
      </c>
      <c r="AN1883" s="1" t="b">
        <v>0</v>
      </c>
      <c r="AO1883" s="1" t="b">
        <v>0</v>
      </c>
    </row>
    <row r="1884" spans="1:41" x14ac:dyDescent="0.25">
      <c r="A1884" s="10"/>
      <c r="B1884" s="10"/>
      <c r="C1884" s="10"/>
      <c r="D1884" s="10"/>
      <c r="E1884" s="10"/>
      <c r="F1884" s="10"/>
      <c r="G1884" s="10"/>
      <c r="H1884" s="10"/>
      <c r="I1884" s="1" t="str">
        <f t="shared" si="87"/>
        <v/>
      </c>
      <c r="J1884" s="1" t="s">
        <v>35</v>
      </c>
      <c r="K1884" s="1" t="str">
        <f t="shared" si="88"/>
        <v/>
      </c>
      <c r="L1884" s="1" t="str">
        <f t="shared" si="89"/>
        <v/>
      </c>
      <c r="M1884" s="1">
        <f>IF(OR(Table1[[#This Row],[Std Nom]]="",Table1[[#This Row],[Std Read]]=""),0,Table1[[#This Row],[Std Nom]]-Table1[[#This Row],[Std Read]])</f>
        <v>0</v>
      </c>
      <c r="N1884" s="1">
        <f>IF(Calculations!$F$5="ACCREDITED 17025 WITH UNCERTAINTIES",$N$10,0)</f>
        <v>0</v>
      </c>
      <c r="O1884" s="1" t="str">
        <f>IFERROR(Table1[[#This Row],[Std Nom]]-(_xlfn.XLOOKUP(Table1[[#This Row],[Manufacturer]]&amp;" "&amp;Table1[[#This Row],[Model]],Table13[MFR &amp; MDL],Table13[Tolerance % CW ],"")/100*Table1[[#This Row],[Std Nom]]),"")</f>
        <v/>
      </c>
      <c r="P1884" s="1" t="str">
        <f>IFERROR(Table1[[#This Row],[Std Nom]]+(_xlfn.XLOOKUP(Table1[[#This Row],[Manufacturer]]&amp;" "&amp;Table1[[#This Row],[Model]],Table13[MFR &amp; MDL],Table13[Tolerance % CW ],"")/100*Table1[[#This Row],[Std Nom]]),"")</f>
        <v/>
      </c>
      <c r="Q1884" s="1" t="e">
        <f>Table1[[#This Row],[High Tol]]-Table1[[#This Row],[Low Tol]]</f>
        <v>#VALUE!</v>
      </c>
      <c r="R1884" s="1">
        <f>2*Table1[[#This Row],[Std Error]]</f>
        <v>0</v>
      </c>
      <c r="S1884" s="1" t="str">
        <f>IF(Table1[[#This Row],[High Tol]]="","N/A",IFERROR(ABS(Table1[[#This Row],[Tol Span]]/Table1[[#This Row],[Error Span]]),"N/A"))</f>
        <v>N/A</v>
      </c>
      <c r="T1884" s="1" t="str">
        <f>IF(OR(Table1[[#This Row],[Low Tol]]="",Table1[[#This Row],[High Tol]]=""),"Needs Analysis",IF(Table1[[#This Row],[Ratio]]&gt;=4,"Not Significant",IF(Table1[[#This Row],[Ratio]]&gt;=2,"Semi-Significant","Significant")))</f>
        <v>Needs Analysis</v>
      </c>
      <c r="W1884" s="1">
        <f>IF(Table1[[#This Row],[Cal Type]]&lt;&gt;"ACCREDITED 17025 WITH UNCERTAINTIES",0,"")</f>
        <v>0</v>
      </c>
      <c r="X1884" s="1" t="str">
        <f>IF(Table1[[#This Row],[DUT Read]]="","N/A",Table1[[#This Row],[Std Error]]+Table1[[#This Row],[DUT Read]]+Table1[[#This Row],[DUT Ucty]])</f>
        <v>N/A</v>
      </c>
      <c r="Y1884" s="1" t="str">
        <f>IF(Table1[[#This Row],[Std Read]]="","N/A",Table1[[#This Row],[Std Read]]+Table1[[#This Row],[Std Ucty]])</f>
        <v>N/A</v>
      </c>
      <c r="Z18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4" s="1" t="str">
        <f>IF(Table1[[#This Row],[Spec Type]]="","N/A",Table1[[#This Row],[Spec Type]])</f>
        <v>±</v>
      </c>
      <c r="AC1884" s="1" t="str">
        <f>IF(Table1[[#This Row],[Spec Type2]]="N/A","N/A",IF(AND(Table1[[#This Row],[DUT Adj Read]]&gt;=Table1[[#This Row],[Low Tol]],Table1[[#This Row],[DUT Adj Read]]&lt;=Table1[[#This Row],[High Tol]]),"Pass","Fail"))</f>
        <v>Fail</v>
      </c>
      <c r="AD1884" s="1" t="str">
        <f>IF(AND(Table1[[#This Row],[Spec Type2]]="N/A",Table1[[#This Row],[DUT Adj Read]]="N/A",Table1[[#This Row],[Std Adj Read]]="N/A"),"N/A",IF(Table1[[#This Row],[DUT Adj Read]]="N/A",IF(Table1[[#This Row],[Std Adj Read]]&gt;Table1[[#This Row],[Low Tol]],"Pass","Fail"),IF(Table1[[#This Row],[DUT Adj Read]]&gt;Table1[[#This Row],[Low Tol]],"Pass","Fail")))</f>
        <v>Pass</v>
      </c>
      <c r="AE1884" s="1" t="str">
        <f>IF(AND(Table1[[#This Row],[Spec Type2]]="N/A",Table1[[#This Row],[DUT Adj Read]]="N/A",Table1[[#This Row],[Std Adj Read]]="N/A"),"N/A",IF(Table1[[#This Row],[DUT Adj Read]]="N/A",IF(Table1[[#This Row],[Std Adj Read]]&lt;Table1[[#This Row],[High Tol]],"Pass","Fail"),IF(Table1[[#This Row],[DUT Adj Read]]&lt;Table1[[#This Row],[High Tol]],"Pass","Fail")))</f>
        <v>Fail</v>
      </c>
      <c r="AF1884" s="1" t="str">
        <f>IF(AND(Table1[[#This Row],[Spec Type2]]="N/A",Table1[[#This Row],[DUT Adj Read]]="N/A",Table1[[#This Row],[Std Adj Read]]="N/A"),"N/A",IF(Table1[[#This Row],[DUT Adj Read]]="N/A",IF(Table1[[#This Row],[Std Adj Read]]&gt;=Table1[[#This Row],[Low Tol]],"Pass","Fail"),IF(Table1[[#This Row],[DUT Adj Read]]&gt;=Table1[[#This Row],[Low Tol]],"Pass","Fail")))</f>
        <v>Pass</v>
      </c>
      <c r="AG1884" s="1" t="str">
        <f>IF(AND(Table1[[#This Row],[Spec Type2]]="N/A",Table1[[#This Row],[DUT Adj Read]]="N/A",Table1[[#This Row],[Std Adj Read]]="N/A"),"N/A",IF(Table1[[#This Row],[DUT Adj Read]]="N/A",IF(Table1[[#This Row],[Std Adj Read]]&lt;=Table1[[#This Row],[High Tol]],"Pass","Fail"),IF(Table1[[#This Row],[DUT Adj Read]]&lt;=Table1[[#This Row],[High Tol]],"Pass","Fail")))</f>
        <v>Fail</v>
      </c>
      <c r="AH18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4" s="1" t="b">
        <v>0</v>
      </c>
      <c r="AN1884" s="1" t="b">
        <v>0</v>
      </c>
      <c r="AO1884" s="1" t="b">
        <v>0</v>
      </c>
    </row>
    <row r="1885" spans="1:41" x14ac:dyDescent="0.25">
      <c r="A1885" s="10"/>
      <c r="B1885" s="10"/>
      <c r="C1885" s="10"/>
      <c r="D1885" s="10"/>
      <c r="E1885" s="10"/>
      <c r="F1885" s="10"/>
      <c r="G1885" s="10"/>
      <c r="H1885" s="10"/>
      <c r="I1885" s="1" t="str">
        <f t="shared" si="87"/>
        <v/>
      </c>
      <c r="J1885" s="1" t="s">
        <v>35</v>
      </c>
      <c r="K1885" s="1" t="str">
        <f t="shared" si="88"/>
        <v/>
      </c>
      <c r="L1885" s="1" t="str">
        <f t="shared" si="89"/>
        <v/>
      </c>
      <c r="M1885" s="1">
        <f>IF(OR(Table1[[#This Row],[Std Nom]]="",Table1[[#This Row],[Std Read]]=""),0,Table1[[#This Row],[Std Nom]]-Table1[[#This Row],[Std Read]])</f>
        <v>0</v>
      </c>
      <c r="N1885" s="1">
        <f>IF(Calculations!$F$5="ACCREDITED 17025 WITH UNCERTAINTIES",$N$10,0)</f>
        <v>0</v>
      </c>
      <c r="O1885" s="1" t="str">
        <f>IFERROR(Table1[[#This Row],[Std Nom]]-(_xlfn.XLOOKUP(Table1[[#This Row],[Manufacturer]]&amp;" "&amp;Table1[[#This Row],[Model]],Table13[MFR &amp; MDL],Table13[Tolerance % CW ],"")/100*Table1[[#This Row],[Std Nom]]),"")</f>
        <v/>
      </c>
      <c r="P1885" s="1" t="str">
        <f>IFERROR(Table1[[#This Row],[Std Nom]]+(_xlfn.XLOOKUP(Table1[[#This Row],[Manufacturer]]&amp;" "&amp;Table1[[#This Row],[Model]],Table13[MFR &amp; MDL],Table13[Tolerance % CW ],"")/100*Table1[[#This Row],[Std Nom]]),"")</f>
        <v/>
      </c>
      <c r="Q1885" s="1" t="e">
        <f>Table1[[#This Row],[High Tol]]-Table1[[#This Row],[Low Tol]]</f>
        <v>#VALUE!</v>
      </c>
      <c r="R1885" s="1">
        <f>2*Table1[[#This Row],[Std Error]]</f>
        <v>0</v>
      </c>
      <c r="S1885" s="1" t="str">
        <f>IF(Table1[[#This Row],[High Tol]]="","N/A",IFERROR(ABS(Table1[[#This Row],[Tol Span]]/Table1[[#This Row],[Error Span]]),"N/A"))</f>
        <v>N/A</v>
      </c>
      <c r="T1885" s="1" t="str">
        <f>IF(OR(Table1[[#This Row],[Low Tol]]="",Table1[[#This Row],[High Tol]]=""),"Needs Analysis",IF(Table1[[#This Row],[Ratio]]&gt;=4,"Not Significant",IF(Table1[[#This Row],[Ratio]]&gt;=2,"Semi-Significant","Significant")))</f>
        <v>Needs Analysis</v>
      </c>
      <c r="W1885" s="1">
        <f>IF(Table1[[#This Row],[Cal Type]]&lt;&gt;"ACCREDITED 17025 WITH UNCERTAINTIES",0,"")</f>
        <v>0</v>
      </c>
      <c r="X1885" s="1" t="str">
        <f>IF(Table1[[#This Row],[DUT Read]]="","N/A",Table1[[#This Row],[Std Error]]+Table1[[#This Row],[DUT Read]]+Table1[[#This Row],[DUT Ucty]])</f>
        <v>N/A</v>
      </c>
      <c r="Y1885" s="1" t="str">
        <f>IF(Table1[[#This Row],[Std Read]]="","N/A",Table1[[#This Row],[Std Read]]+Table1[[#This Row],[Std Ucty]])</f>
        <v>N/A</v>
      </c>
      <c r="Z18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5" s="1" t="str">
        <f>IF(Table1[[#This Row],[Spec Type]]="","N/A",Table1[[#This Row],[Spec Type]])</f>
        <v>±</v>
      </c>
      <c r="AC1885" s="1" t="str">
        <f>IF(Table1[[#This Row],[Spec Type2]]="N/A","N/A",IF(AND(Table1[[#This Row],[DUT Adj Read]]&gt;=Table1[[#This Row],[Low Tol]],Table1[[#This Row],[DUT Adj Read]]&lt;=Table1[[#This Row],[High Tol]]),"Pass","Fail"))</f>
        <v>Fail</v>
      </c>
      <c r="AD1885" s="1" t="str">
        <f>IF(AND(Table1[[#This Row],[Spec Type2]]="N/A",Table1[[#This Row],[DUT Adj Read]]="N/A",Table1[[#This Row],[Std Adj Read]]="N/A"),"N/A",IF(Table1[[#This Row],[DUT Adj Read]]="N/A",IF(Table1[[#This Row],[Std Adj Read]]&gt;Table1[[#This Row],[Low Tol]],"Pass","Fail"),IF(Table1[[#This Row],[DUT Adj Read]]&gt;Table1[[#This Row],[Low Tol]],"Pass","Fail")))</f>
        <v>Pass</v>
      </c>
      <c r="AE1885" s="1" t="str">
        <f>IF(AND(Table1[[#This Row],[Spec Type2]]="N/A",Table1[[#This Row],[DUT Adj Read]]="N/A",Table1[[#This Row],[Std Adj Read]]="N/A"),"N/A",IF(Table1[[#This Row],[DUT Adj Read]]="N/A",IF(Table1[[#This Row],[Std Adj Read]]&lt;Table1[[#This Row],[High Tol]],"Pass","Fail"),IF(Table1[[#This Row],[DUT Adj Read]]&lt;Table1[[#This Row],[High Tol]],"Pass","Fail")))</f>
        <v>Fail</v>
      </c>
      <c r="AF1885" s="1" t="str">
        <f>IF(AND(Table1[[#This Row],[Spec Type2]]="N/A",Table1[[#This Row],[DUT Adj Read]]="N/A",Table1[[#This Row],[Std Adj Read]]="N/A"),"N/A",IF(Table1[[#This Row],[DUT Adj Read]]="N/A",IF(Table1[[#This Row],[Std Adj Read]]&gt;=Table1[[#This Row],[Low Tol]],"Pass","Fail"),IF(Table1[[#This Row],[DUT Adj Read]]&gt;=Table1[[#This Row],[Low Tol]],"Pass","Fail")))</f>
        <v>Pass</v>
      </c>
      <c r="AG1885" s="1" t="str">
        <f>IF(AND(Table1[[#This Row],[Spec Type2]]="N/A",Table1[[#This Row],[DUT Adj Read]]="N/A",Table1[[#This Row],[Std Adj Read]]="N/A"),"N/A",IF(Table1[[#This Row],[DUT Adj Read]]="N/A",IF(Table1[[#This Row],[Std Adj Read]]&lt;=Table1[[#This Row],[High Tol]],"Pass","Fail"),IF(Table1[[#This Row],[DUT Adj Read]]&lt;=Table1[[#This Row],[High Tol]],"Pass","Fail")))</f>
        <v>Fail</v>
      </c>
      <c r="AH18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5" s="1" t="b">
        <v>0</v>
      </c>
      <c r="AN1885" s="1" t="b">
        <v>0</v>
      </c>
      <c r="AO1885" s="1" t="b">
        <v>0</v>
      </c>
    </row>
    <row r="1886" spans="1:41" x14ac:dyDescent="0.25">
      <c r="A1886" s="10"/>
      <c r="B1886" s="10"/>
      <c r="C1886" s="10"/>
      <c r="D1886" s="10"/>
      <c r="E1886" s="10"/>
      <c r="F1886" s="10"/>
      <c r="G1886" s="10"/>
      <c r="H1886" s="10"/>
      <c r="I1886" s="1" t="str">
        <f t="shared" si="87"/>
        <v/>
      </c>
      <c r="J1886" s="1" t="s">
        <v>35</v>
      </c>
      <c r="K1886" s="1" t="str">
        <f t="shared" si="88"/>
        <v/>
      </c>
      <c r="L1886" s="1" t="str">
        <f t="shared" si="89"/>
        <v/>
      </c>
      <c r="M1886" s="1">
        <f>IF(OR(Table1[[#This Row],[Std Nom]]="",Table1[[#This Row],[Std Read]]=""),0,Table1[[#This Row],[Std Nom]]-Table1[[#This Row],[Std Read]])</f>
        <v>0</v>
      </c>
      <c r="N1886" s="1">
        <f>IF(Calculations!$F$5="ACCREDITED 17025 WITH UNCERTAINTIES",$N$10,0)</f>
        <v>0</v>
      </c>
      <c r="O1886" s="1" t="str">
        <f>IFERROR(Table1[[#This Row],[Std Nom]]-(_xlfn.XLOOKUP(Table1[[#This Row],[Manufacturer]]&amp;" "&amp;Table1[[#This Row],[Model]],Table13[MFR &amp; MDL],Table13[Tolerance % CW ],"")/100*Table1[[#This Row],[Std Nom]]),"")</f>
        <v/>
      </c>
      <c r="P1886" s="1" t="str">
        <f>IFERROR(Table1[[#This Row],[Std Nom]]+(_xlfn.XLOOKUP(Table1[[#This Row],[Manufacturer]]&amp;" "&amp;Table1[[#This Row],[Model]],Table13[MFR &amp; MDL],Table13[Tolerance % CW ],"")/100*Table1[[#This Row],[Std Nom]]),"")</f>
        <v/>
      </c>
      <c r="Q1886" s="1" t="e">
        <f>Table1[[#This Row],[High Tol]]-Table1[[#This Row],[Low Tol]]</f>
        <v>#VALUE!</v>
      </c>
      <c r="R1886" s="1">
        <f>2*Table1[[#This Row],[Std Error]]</f>
        <v>0</v>
      </c>
      <c r="S1886" s="1" t="str">
        <f>IF(Table1[[#This Row],[High Tol]]="","N/A",IFERROR(ABS(Table1[[#This Row],[Tol Span]]/Table1[[#This Row],[Error Span]]),"N/A"))</f>
        <v>N/A</v>
      </c>
      <c r="T1886" s="1" t="str">
        <f>IF(OR(Table1[[#This Row],[Low Tol]]="",Table1[[#This Row],[High Tol]]=""),"Needs Analysis",IF(Table1[[#This Row],[Ratio]]&gt;=4,"Not Significant",IF(Table1[[#This Row],[Ratio]]&gt;=2,"Semi-Significant","Significant")))</f>
        <v>Needs Analysis</v>
      </c>
      <c r="W1886" s="1">
        <f>IF(Table1[[#This Row],[Cal Type]]&lt;&gt;"ACCREDITED 17025 WITH UNCERTAINTIES",0,"")</f>
        <v>0</v>
      </c>
      <c r="X1886" s="1" t="str">
        <f>IF(Table1[[#This Row],[DUT Read]]="","N/A",Table1[[#This Row],[Std Error]]+Table1[[#This Row],[DUT Read]]+Table1[[#This Row],[DUT Ucty]])</f>
        <v>N/A</v>
      </c>
      <c r="Y1886" s="1" t="str">
        <f>IF(Table1[[#This Row],[Std Read]]="","N/A",Table1[[#This Row],[Std Read]]+Table1[[#This Row],[Std Ucty]])</f>
        <v>N/A</v>
      </c>
      <c r="Z18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6" s="1" t="str">
        <f>IF(Table1[[#This Row],[Spec Type]]="","N/A",Table1[[#This Row],[Spec Type]])</f>
        <v>±</v>
      </c>
      <c r="AC1886" s="1" t="str">
        <f>IF(Table1[[#This Row],[Spec Type2]]="N/A","N/A",IF(AND(Table1[[#This Row],[DUT Adj Read]]&gt;=Table1[[#This Row],[Low Tol]],Table1[[#This Row],[DUT Adj Read]]&lt;=Table1[[#This Row],[High Tol]]),"Pass","Fail"))</f>
        <v>Fail</v>
      </c>
      <c r="AD1886" s="1" t="str">
        <f>IF(AND(Table1[[#This Row],[Spec Type2]]="N/A",Table1[[#This Row],[DUT Adj Read]]="N/A",Table1[[#This Row],[Std Adj Read]]="N/A"),"N/A",IF(Table1[[#This Row],[DUT Adj Read]]="N/A",IF(Table1[[#This Row],[Std Adj Read]]&gt;Table1[[#This Row],[Low Tol]],"Pass","Fail"),IF(Table1[[#This Row],[DUT Adj Read]]&gt;Table1[[#This Row],[Low Tol]],"Pass","Fail")))</f>
        <v>Pass</v>
      </c>
      <c r="AE1886" s="1" t="str">
        <f>IF(AND(Table1[[#This Row],[Spec Type2]]="N/A",Table1[[#This Row],[DUT Adj Read]]="N/A",Table1[[#This Row],[Std Adj Read]]="N/A"),"N/A",IF(Table1[[#This Row],[DUT Adj Read]]="N/A",IF(Table1[[#This Row],[Std Adj Read]]&lt;Table1[[#This Row],[High Tol]],"Pass","Fail"),IF(Table1[[#This Row],[DUT Adj Read]]&lt;Table1[[#This Row],[High Tol]],"Pass","Fail")))</f>
        <v>Fail</v>
      </c>
      <c r="AF1886" s="1" t="str">
        <f>IF(AND(Table1[[#This Row],[Spec Type2]]="N/A",Table1[[#This Row],[DUT Adj Read]]="N/A",Table1[[#This Row],[Std Adj Read]]="N/A"),"N/A",IF(Table1[[#This Row],[DUT Adj Read]]="N/A",IF(Table1[[#This Row],[Std Adj Read]]&gt;=Table1[[#This Row],[Low Tol]],"Pass","Fail"),IF(Table1[[#This Row],[DUT Adj Read]]&gt;=Table1[[#This Row],[Low Tol]],"Pass","Fail")))</f>
        <v>Pass</v>
      </c>
      <c r="AG1886" s="1" t="str">
        <f>IF(AND(Table1[[#This Row],[Spec Type2]]="N/A",Table1[[#This Row],[DUT Adj Read]]="N/A",Table1[[#This Row],[Std Adj Read]]="N/A"),"N/A",IF(Table1[[#This Row],[DUT Adj Read]]="N/A",IF(Table1[[#This Row],[Std Adj Read]]&lt;=Table1[[#This Row],[High Tol]],"Pass","Fail"),IF(Table1[[#This Row],[DUT Adj Read]]&lt;=Table1[[#This Row],[High Tol]],"Pass","Fail")))</f>
        <v>Fail</v>
      </c>
      <c r="AH18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6" s="1" t="b">
        <v>0</v>
      </c>
      <c r="AN1886" s="1" t="b">
        <v>0</v>
      </c>
      <c r="AO1886" s="1" t="b">
        <v>0</v>
      </c>
    </row>
    <row r="1887" spans="1:41" x14ac:dyDescent="0.25">
      <c r="A1887" s="10"/>
      <c r="B1887" s="10"/>
      <c r="C1887" s="10"/>
      <c r="D1887" s="10"/>
      <c r="E1887" s="10"/>
      <c r="F1887" s="10"/>
      <c r="G1887" s="10"/>
      <c r="H1887" s="10"/>
      <c r="I1887" s="1" t="str">
        <f t="shared" si="87"/>
        <v/>
      </c>
      <c r="J1887" s="1" t="s">
        <v>35</v>
      </c>
      <c r="K1887" s="1" t="str">
        <f t="shared" si="88"/>
        <v/>
      </c>
      <c r="L1887" s="1" t="str">
        <f t="shared" si="89"/>
        <v/>
      </c>
      <c r="M1887" s="1">
        <f>IF(OR(Table1[[#This Row],[Std Nom]]="",Table1[[#This Row],[Std Read]]=""),0,Table1[[#This Row],[Std Nom]]-Table1[[#This Row],[Std Read]])</f>
        <v>0</v>
      </c>
      <c r="N1887" s="1">
        <f>IF(Calculations!$F$5="ACCREDITED 17025 WITH UNCERTAINTIES",$N$10,0)</f>
        <v>0</v>
      </c>
      <c r="O1887" s="1" t="str">
        <f>IFERROR(Table1[[#This Row],[Std Nom]]-(_xlfn.XLOOKUP(Table1[[#This Row],[Manufacturer]]&amp;" "&amp;Table1[[#This Row],[Model]],Table13[MFR &amp; MDL],Table13[Tolerance % CW ],"")/100*Table1[[#This Row],[Std Nom]]),"")</f>
        <v/>
      </c>
      <c r="P1887" s="1" t="str">
        <f>IFERROR(Table1[[#This Row],[Std Nom]]+(_xlfn.XLOOKUP(Table1[[#This Row],[Manufacturer]]&amp;" "&amp;Table1[[#This Row],[Model]],Table13[MFR &amp; MDL],Table13[Tolerance % CW ],"")/100*Table1[[#This Row],[Std Nom]]),"")</f>
        <v/>
      </c>
      <c r="Q1887" s="1" t="e">
        <f>Table1[[#This Row],[High Tol]]-Table1[[#This Row],[Low Tol]]</f>
        <v>#VALUE!</v>
      </c>
      <c r="R1887" s="1">
        <f>2*Table1[[#This Row],[Std Error]]</f>
        <v>0</v>
      </c>
      <c r="S1887" s="1" t="str">
        <f>IF(Table1[[#This Row],[High Tol]]="","N/A",IFERROR(ABS(Table1[[#This Row],[Tol Span]]/Table1[[#This Row],[Error Span]]),"N/A"))</f>
        <v>N/A</v>
      </c>
      <c r="T1887" s="1" t="str">
        <f>IF(OR(Table1[[#This Row],[Low Tol]]="",Table1[[#This Row],[High Tol]]=""),"Needs Analysis",IF(Table1[[#This Row],[Ratio]]&gt;=4,"Not Significant",IF(Table1[[#This Row],[Ratio]]&gt;=2,"Semi-Significant","Significant")))</f>
        <v>Needs Analysis</v>
      </c>
      <c r="W1887" s="1">
        <f>IF(Table1[[#This Row],[Cal Type]]&lt;&gt;"ACCREDITED 17025 WITH UNCERTAINTIES",0,"")</f>
        <v>0</v>
      </c>
      <c r="X1887" s="1" t="str">
        <f>IF(Table1[[#This Row],[DUT Read]]="","N/A",Table1[[#This Row],[Std Error]]+Table1[[#This Row],[DUT Read]]+Table1[[#This Row],[DUT Ucty]])</f>
        <v>N/A</v>
      </c>
      <c r="Y1887" s="1" t="str">
        <f>IF(Table1[[#This Row],[Std Read]]="","N/A",Table1[[#This Row],[Std Read]]+Table1[[#This Row],[Std Ucty]])</f>
        <v>N/A</v>
      </c>
      <c r="Z18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7" s="1" t="str">
        <f>IF(Table1[[#This Row],[Spec Type]]="","N/A",Table1[[#This Row],[Spec Type]])</f>
        <v>±</v>
      </c>
      <c r="AC1887" s="1" t="str">
        <f>IF(Table1[[#This Row],[Spec Type2]]="N/A","N/A",IF(AND(Table1[[#This Row],[DUT Adj Read]]&gt;=Table1[[#This Row],[Low Tol]],Table1[[#This Row],[DUT Adj Read]]&lt;=Table1[[#This Row],[High Tol]]),"Pass","Fail"))</f>
        <v>Fail</v>
      </c>
      <c r="AD1887" s="1" t="str">
        <f>IF(AND(Table1[[#This Row],[Spec Type2]]="N/A",Table1[[#This Row],[DUT Adj Read]]="N/A",Table1[[#This Row],[Std Adj Read]]="N/A"),"N/A",IF(Table1[[#This Row],[DUT Adj Read]]="N/A",IF(Table1[[#This Row],[Std Adj Read]]&gt;Table1[[#This Row],[Low Tol]],"Pass","Fail"),IF(Table1[[#This Row],[DUT Adj Read]]&gt;Table1[[#This Row],[Low Tol]],"Pass","Fail")))</f>
        <v>Pass</v>
      </c>
      <c r="AE1887" s="1" t="str">
        <f>IF(AND(Table1[[#This Row],[Spec Type2]]="N/A",Table1[[#This Row],[DUT Adj Read]]="N/A",Table1[[#This Row],[Std Adj Read]]="N/A"),"N/A",IF(Table1[[#This Row],[DUT Adj Read]]="N/A",IF(Table1[[#This Row],[Std Adj Read]]&lt;Table1[[#This Row],[High Tol]],"Pass","Fail"),IF(Table1[[#This Row],[DUT Adj Read]]&lt;Table1[[#This Row],[High Tol]],"Pass","Fail")))</f>
        <v>Fail</v>
      </c>
      <c r="AF1887" s="1" t="str">
        <f>IF(AND(Table1[[#This Row],[Spec Type2]]="N/A",Table1[[#This Row],[DUT Adj Read]]="N/A",Table1[[#This Row],[Std Adj Read]]="N/A"),"N/A",IF(Table1[[#This Row],[DUT Adj Read]]="N/A",IF(Table1[[#This Row],[Std Adj Read]]&gt;=Table1[[#This Row],[Low Tol]],"Pass","Fail"),IF(Table1[[#This Row],[DUT Adj Read]]&gt;=Table1[[#This Row],[Low Tol]],"Pass","Fail")))</f>
        <v>Pass</v>
      </c>
      <c r="AG1887" s="1" t="str">
        <f>IF(AND(Table1[[#This Row],[Spec Type2]]="N/A",Table1[[#This Row],[DUT Adj Read]]="N/A",Table1[[#This Row],[Std Adj Read]]="N/A"),"N/A",IF(Table1[[#This Row],[DUT Adj Read]]="N/A",IF(Table1[[#This Row],[Std Adj Read]]&lt;=Table1[[#This Row],[High Tol]],"Pass","Fail"),IF(Table1[[#This Row],[DUT Adj Read]]&lt;=Table1[[#This Row],[High Tol]],"Pass","Fail")))</f>
        <v>Fail</v>
      </c>
      <c r="AH18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7" s="1" t="b">
        <v>0</v>
      </c>
      <c r="AN1887" s="1" t="b">
        <v>0</v>
      </c>
      <c r="AO1887" s="1" t="b">
        <v>0</v>
      </c>
    </row>
    <row r="1888" spans="1:41" x14ac:dyDescent="0.25">
      <c r="A1888" s="10"/>
      <c r="B1888" s="10"/>
      <c r="C1888" s="10"/>
      <c r="D1888" s="10"/>
      <c r="E1888" s="10"/>
      <c r="F1888" s="10"/>
      <c r="G1888" s="10"/>
      <c r="H1888" s="10"/>
      <c r="I1888" s="1" t="str">
        <f t="shared" si="87"/>
        <v/>
      </c>
      <c r="J1888" s="1" t="s">
        <v>35</v>
      </c>
      <c r="K1888" s="1" t="str">
        <f t="shared" si="88"/>
        <v/>
      </c>
      <c r="L1888" s="1" t="str">
        <f t="shared" si="89"/>
        <v/>
      </c>
      <c r="M1888" s="1">
        <f>IF(OR(Table1[[#This Row],[Std Nom]]="",Table1[[#This Row],[Std Read]]=""),0,Table1[[#This Row],[Std Nom]]-Table1[[#This Row],[Std Read]])</f>
        <v>0</v>
      </c>
      <c r="N1888" s="1">
        <f>IF(Calculations!$F$5="ACCREDITED 17025 WITH UNCERTAINTIES",$N$10,0)</f>
        <v>0</v>
      </c>
      <c r="O1888" s="1" t="str">
        <f>IFERROR(Table1[[#This Row],[Std Nom]]-(_xlfn.XLOOKUP(Table1[[#This Row],[Manufacturer]]&amp;" "&amp;Table1[[#This Row],[Model]],Table13[MFR &amp; MDL],Table13[Tolerance % CW ],"")/100*Table1[[#This Row],[Std Nom]]),"")</f>
        <v/>
      </c>
      <c r="P1888" s="1" t="str">
        <f>IFERROR(Table1[[#This Row],[Std Nom]]+(_xlfn.XLOOKUP(Table1[[#This Row],[Manufacturer]]&amp;" "&amp;Table1[[#This Row],[Model]],Table13[MFR &amp; MDL],Table13[Tolerance % CW ],"")/100*Table1[[#This Row],[Std Nom]]),"")</f>
        <v/>
      </c>
      <c r="Q1888" s="1" t="e">
        <f>Table1[[#This Row],[High Tol]]-Table1[[#This Row],[Low Tol]]</f>
        <v>#VALUE!</v>
      </c>
      <c r="R1888" s="1">
        <f>2*Table1[[#This Row],[Std Error]]</f>
        <v>0</v>
      </c>
      <c r="S1888" s="1" t="str">
        <f>IF(Table1[[#This Row],[High Tol]]="","N/A",IFERROR(ABS(Table1[[#This Row],[Tol Span]]/Table1[[#This Row],[Error Span]]),"N/A"))</f>
        <v>N/A</v>
      </c>
      <c r="T1888" s="1" t="str">
        <f>IF(OR(Table1[[#This Row],[Low Tol]]="",Table1[[#This Row],[High Tol]]=""),"Needs Analysis",IF(Table1[[#This Row],[Ratio]]&gt;=4,"Not Significant",IF(Table1[[#This Row],[Ratio]]&gt;=2,"Semi-Significant","Significant")))</f>
        <v>Needs Analysis</v>
      </c>
      <c r="W1888" s="1">
        <f>IF(Table1[[#This Row],[Cal Type]]&lt;&gt;"ACCREDITED 17025 WITH UNCERTAINTIES",0,"")</f>
        <v>0</v>
      </c>
      <c r="X1888" s="1" t="str">
        <f>IF(Table1[[#This Row],[DUT Read]]="","N/A",Table1[[#This Row],[Std Error]]+Table1[[#This Row],[DUT Read]]+Table1[[#This Row],[DUT Ucty]])</f>
        <v>N/A</v>
      </c>
      <c r="Y1888" s="1" t="str">
        <f>IF(Table1[[#This Row],[Std Read]]="","N/A",Table1[[#This Row],[Std Read]]+Table1[[#This Row],[Std Ucty]])</f>
        <v>N/A</v>
      </c>
      <c r="Z18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8" s="1" t="str">
        <f>IF(Table1[[#This Row],[Spec Type]]="","N/A",Table1[[#This Row],[Spec Type]])</f>
        <v>±</v>
      </c>
      <c r="AC1888" s="1" t="str">
        <f>IF(Table1[[#This Row],[Spec Type2]]="N/A","N/A",IF(AND(Table1[[#This Row],[DUT Adj Read]]&gt;=Table1[[#This Row],[Low Tol]],Table1[[#This Row],[DUT Adj Read]]&lt;=Table1[[#This Row],[High Tol]]),"Pass","Fail"))</f>
        <v>Fail</v>
      </c>
      <c r="AD1888" s="1" t="str">
        <f>IF(AND(Table1[[#This Row],[Spec Type2]]="N/A",Table1[[#This Row],[DUT Adj Read]]="N/A",Table1[[#This Row],[Std Adj Read]]="N/A"),"N/A",IF(Table1[[#This Row],[DUT Adj Read]]="N/A",IF(Table1[[#This Row],[Std Adj Read]]&gt;Table1[[#This Row],[Low Tol]],"Pass","Fail"),IF(Table1[[#This Row],[DUT Adj Read]]&gt;Table1[[#This Row],[Low Tol]],"Pass","Fail")))</f>
        <v>Pass</v>
      </c>
      <c r="AE1888" s="1" t="str">
        <f>IF(AND(Table1[[#This Row],[Spec Type2]]="N/A",Table1[[#This Row],[DUT Adj Read]]="N/A",Table1[[#This Row],[Std Adj Read]]="N/A"),"N/A",IF(Table1[[#This Row],[DUT Adj Read]]="N/A",IF(Table1[[#This Row],[Std Adj Read]]&lt;Table1[[#This Row],[High Tol]],"Pass","Fail"),IF(Table1[[#This Row],[DUT Adj Read]]&lt;Table1[[#This Row],[High Tol]],"Pass","Fail")))</f>
        <v>Fail</v>
      </c>
      <c r="AF1888" s="1" t="str">
        <f>IF(AND(Table1[[#This Row],[Spec Type2]]="N/A",Table1[[#This Row],[DUT Adj Read]]="N/A",Table1[[#This Row],[Std Adj Read]]="N/A"),"N/A",IF(Table1[[#This Row],[DUT Adj Read]]="N/A",IF(Table1[[#This Row],[Std Adj Read]]&gt;=Table1[[#This Row],[Low Tol]],"Pass","Fail"),IF(Table1[[#This Row],[DUT Adj Read]]&gt;=Table1[[#This Row],[Low Tol]],"Pass","Fail")))</f>
        <v>Pass</v>
      </c>
      <c r="AG1888" s="1" t="str">
        <f>IF(AND(Table1[[#This Row],[Spec Type2]]="N/A",Table1[[#This Row],[DUT Adj Read]]="N/A",Table1[[#This Row],[Std Adj Read]]="N/A"),"N/A",IF(Table1[[#This Row],[DUT Adj Read]]="N/A",IF(Table1[[#This Row],[Std Adj Read]]&lt;=Table1[[#This Row],[High Tol]],"Pass","Fail"),IF(Table1[[#This Row],[DUT Adj Read]]&lt;=Table1[[#This Row],[High Tol]],"Pass","Fail")))</f>
        <v>Fail</v>
      </c>
      <c r="AH18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8" s="1" t="b">
        <v>0</v>
      </c>
      <c r="AN1888" s="1" t="b">
        <v>0</v>
      </c>
      <c r="AO1888" s="1" t="b">
        <v>0</v>
      </c>
    </row>
    <row r="1889" spans="1:41" x14ac:dyDescent="0.25">
      <c r="A1889" s="10"/>
      <c r="B1889" s="10"/>
      <c r="C1889" s="10"/>
      <c r="D1889" s="10"/>
      <c r="E1889" s="10"/>
      <c r="F1889" s="10"/>
      <c r="G1889" s="10"/>
      <c r="H1889" s="10"/>
      <c r="I1889" s="1" t="str">
        <f t="shared" si="87"/>
        <v/>
      </c>
      <c r="J1889" s="1" t="s">
        <v>35</v>
      </c>
      <c r="K1889" s="1" t="str">
        <f t="shared" si="88"/>
        <v/>
      </c>
      <c r="L1889" s="1" t="str">
        <f t="shared" si="89"/>
        <v/>
      </c>
      <c r="M1889" s="1">
        <f>IF(OR(Table1[[#This Row],[Std Nom]]="",Table1[[#This Row],[Std Read]]=""),0,Table1[[#This Row],[Std Nom]]-Table1[[#This Row],[Std Read]])</f>
        <v>0</v>
      </c>
      <c r="N1889" s="1">
        <f>IF(Calculations!$F$5="ACCREDITED 17025 WITH UNCERTAINTIES",$N$10,0)</f>
        <v>0</v>
      </c>
      <c r="O1889" s="1" t="str">
        <f>IFERROR(Table1[[#This Row],[Std Nom]]-(_xlfn.XLOOKUP(Table1[[#This Row],[Manufacturer]]&amp;" "&amp;Table1[[#This Row],[Model]],Table13[MFR &amp; MDL],Table13[Tolerance % CW ],"")/100*Table1[[#This Row],[Std Nom]]),"")</f>
        <v/>
      </c>
      <c r="P1889" s="1" t="str">
        <f>IFERROR(Table1[[#This Row],[Std Nom]]+(_xlfn.XLOOKUP(Table1[[#This Row],[Manufacturer]]&amp;" "&amp;Table1[[#This Row],[Model]],Table13[MFR &amp; MDL],Table13[Tolerance % CW ],"")/100*Table1[[#This Row],[Std Nom]]),"")</f>
        <v/>
      </c>
      <c r="Q1889" s="1" t="e">
        <f>Table1[[#This Row],[High Tol]]-Table1[[#This Row],[Low Tol]]</f>
        <v>#VALUE!</v>
      </c>
      <c r="R1889" s="1">
        <f>2*Table1[[#This Row],[Std Error]]</f>
        <v>0</v>
      </c>
      <c r="S1889" s="1" t="str">
        <f>IF(Table1[[#This Row],[High Tol]]="","N/A",IFERROR(ABS(Table1[[#This Row],[Tol Span]]/Table1[[#This Row],[Error Span]]),"N/A"))</f>
        <v>N/A</v>
      </c>
      <c r="T1889" s="1" t="str">
        <f>IF(OR(Table1[[#This Row],[Low Tol]]="",Table1[[#This Row],[High Tol]]=""),"Needs Analysis",IF(Table1[[#This Row],[Ratio]]&gt;=4,"Not Significant",IF(Table1[[#This Row],[Ratio]]&gt;=2,"Semi-Significant","Significant")))</f>
        <v>Needs Analysis</v>
      </c>
      <c r="W1889" s="1">
        <f>IF(Table1[[#This Row],[Cal Type]]&lt;&gt;"ACCREDITED 17025 WITH UNCERTAINTIES",0,"")</f>
        <v>0</v>
      </c>
      <c r="X1889" s="1" t="str">
        <f>IF(Table1[[#This Row],[DUT Read]]="","N/A",Table1[[#This Row],[Std Error]]+Table1[[#This Row],[DUT Read]]+Table1[[#This Row],[DUT Ucty]])</f>
        <v>N/A</v>
      </c>
      <c r="Y1889" s="1" t="str">
        <f>IF(Table1[[#This Row],[Std Read]]="","N/A",Table1[[#This Row],[Std Read]]+Table1[[#This Row],[Std Ucty]])</f>
        <v>N/A</v>
      </c>
      <c r="Z18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9" s="1" t="str">
        <f>IF(Table1[[#This Row],[Spec Type]]="","N/A",Table1[[#This Row],[Spec Type]])</f>
        <v>±</v>
      </c>
      <c r="AC1889" s="1" t="str">
        <f>IF(Table1[[#This Row],[Spec Type2]]="N/A","N/A",IF(AND(Table1[[#This Row],[DUT Adj Read]]&gt;=Table1[[#This Row],[Low Tol]],Table1[[#This Row],[DUT Adj Read]]&lt;=Table1[[#This Row],[High Tol]]),"Pass","Fail"))</f>
        <v>Fail</v>
      </c>
      <c r="AD1889" s="1" t="str">
        <f>IF(AND(Table1[[#This Row],[Spec Type2]]="N/A",Table1[[#This Row],[DUT Adj Read]]="N/A",Table1[[#This Row],[Std Adj Read]]="N/A"),"N/A",IF(Table1[[#This Row],[DUT Adj Read]]="N/A",IF(Table1[[#This Row],[Std Adj Read]]&gt;Table1[[#This Row],[Low Tol]],"Pass","Fail"),IF(Table1[[#This Row],[DUT Adj Read]]&gt;Table1[[#This Row],[Low Tol]],"Pass","Fail")))</f>
        <v>Pass</v>
      </c>
      <c r="AE1889" s="1" t="str">
        <f>IF(AND(Table1[[#This Row],[Spec Type2]]="N/A",Table1[[#This Row],[DUT Adj Read]]="N/A",Table1[[#This Row],[Std Adj Read]]="N/A"),"N/A",IF(Table1[[#This Row],[DUT Adj Read]]="N/A",IF(Table1[[#This Row],[Std Adj Read]]&lt;Table1[[#This Row],[High Tol]],"Pass","Fail"),IF(Table1[[#This Row],[DUT Adj Read]]&lt;Table1[[#This Row],[High Tol]],"Pass","Fail")))</f>
        <v>Fail</v>
      </c>
      <c r="AF1889" s="1" t="str">
        <f>IF(AND(Table1[[#This Row],[Spec Type2]]="N/A",Table1[[#This Row],[DUT Adj Read]]="N/A",Table1[[#This Row],[Std Adj Read]]="N/A"),"N/A",IF(Table1[[#This Row],[DUT Adj Read]]="N/A",IF(Table1[[#This Row],[Std Adj Read]]&gt;=Table1[[#This Row],[Low Tol]],"Pass","Fail"),IF(Table1[[#This Row],[DUT Adj Read]]&gt;=Table1[[#This Row],[Low Tol]],"Pass","Fail")))</f>
        <v>Pass</v>
      </c>
      <c r="AG1889" s="1" t="str">
        <f>IF(AND(Table1[[#This Row],[Spec Type2]]="N/A",Table1[[#This Row],[DUT Adj Read]]="N/A",Table1[[#This Row],[Std Adj Read]]="N/A"),"N/A",IF(Table1[[#This Row],[DUT Adj Read]]="N/A",IF(Table1[[#This Row],[Std Adj Read]]&lt;=Table1[[#This Row],[High Tol]],"Pass","Fail"),IF(Table1[[#This Row],[DUT Adj Read]]&lt;=Table1[[#This Row],[High Tol]],"Pass","Fail")))</f>
        <v>Fail</v>
      </c>
      <c r="AH18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9" s="1" t="b">
        <v>0</v>
      </c>
      <c r="AN1889" s="1" t="b">
        <v>0</v>
      </c>
      <c r="AO1889" s="1" t="b">
        <v>0</v>
      </c>
    </row>
    <row r="1890" spans="1:41" x14ac:dyDescent="0.25">
      <c r="A1890" s="10"/>
      <c r="B1890" s="10"/>
      <c r="C1890" s="10"/>
      <c r="D1890" s="10"/>
      <c r="E1890" s="10"/>
      <c r="F1890" s="10"/>
      <c r="G1890" s="10"/>
      <c r="H1890" s="10"/>
      <c r="I1890" s="1" t="str">
        <f t="shared" si="87"/>
        <v/>
      </c>
      <c r="J1890" s="1" t="s">
        <v>35</v>
      </c>
      <c r="K1890" s="1" t="str">
        <f t="shared" si="88"/>
        <v/>
      </c>
      <c r="L1890" s="1" t="str">
        <f t="shared" si="89"/>
        <v/>
      </c>
      <c r="M1890" s="1">
        <f>IF(OR(Table1[[#This Row],[Std Nom]]="",Table1[[#This Row],[Std Read]]=""),0,Table1[[#This Row],[Std Nom]]-Table1[[#This Row],[Std Read]])</f>
        <v>0</v>
      </c>
      <c r="N1890" s="1">
        <f>IF(Calculations!$F$5="ACCREDITED 17025 WITH UNCERTAINTIES",$N$10,0)</f>
        <v>0</v>
      </c>
      <c r="O1890" s="1" t="str">
        <f>IFERROR(Table1[[#This Row],[Std Nom]]-(_xlfn.XLOOKUP(Table1[[#This Row],[Manufacturer]]&amp;" "&amp;Table1[[#This Row],[Model]],Table13[MFR &amp; MDL],Table13[Tolerance % CW ],"")/100*Table1[[#This Row],[Std Nom]]),"")</f>
        <v/>
      </c>
      <c r="P1890" s="1" t="str">
        <f>IFERROR(Table1[[#This Row],[Std Nom]]+(_xlfn.XLOOKUP(Table1[[#This Row],[Manufacturer]]&amp;" "&amp;Table1[[#This Row],[Model]],Table13[MFR &amp; MDL],Table13[Tolerance % CW ],"")/100*Table1[[#This Row],[Std Nom]]),"")</f>
        <v/>
      </c>
      <c r="Q1890" s="1" t="e">
        <f>Table1[[#This Row],[High Tol]]-Table1[[#This Row],[Low Tol]]</f>
        <v>#VALUE!</v>
      </c>
      <c r="R1890" s="1">
        <f>2*Table1[[#This Row],[Std Error]]</f>
        <v>0</v>
      </c>
      <c r="S1890" s="1" t="str">
        <f>IF(Table1[[#This Row],[High Tol]]="","N/A",IFERROR(ABS(Table1[[#This Row],[Tol Span]]/Table1[[#This Row],[Error Span]]),"N/A"))</f>
        <v>N/A</v>
      </c>
      <c r="T1890" s="1" t="str">
        <f>IF(OR(Table1[[#This Row],[Low Tol]]="",Table1[[#This Row],[High Tol]]=""),"Needs Analysis",IF(Table1[[#This Row],[Ratio]]&gt;=4,"Not Significant",IF(Table1[[#This Row],[Ratio]]&gt;=2,"Semi-Significant","Significant")))</f>
        <v>Needs Analysis</v>
      </c>
      <c r="W1890" s="1">
        <f>IF(Table1[[#This Row],[Cal Type]]&lt;&gt;"ACCREDITED 17025 WITH UNCERTAINTIES",0,"")</f>
        <v>0</v>
      </c>
      <c r="X1890" s="1" t="str">
        <f>IF(Table1[[#This Row],[DUT Read]]="","N/A",Table1[[#This Row],[Std Error]]+Table1[[#This Row],[DUT Read]]+Table1[[#This Row],[DUT Ucty]])</f>
        <v>N/A</v>
      </c>
      <c r="Y1890" s="1" t="str">
        <f>IF(Table1[[#This Row],[Std Read]]="","N/A",Table1[[#This Row],[Std Read]]+Table1[[#This Row],[Std Ucty]])</f>
        <v>N/A</v>
      </c>
      <c r="Z18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0" s="1" t="str">
        <f>IF(Table1[[#This Row],[Spec Type]]="","N/A",Table1[[#This Row],[Spec Type]])</f>
        <v>±</v>
      </c>
      <c r="AC1890" s="1" t="str">
        <f>IF(Table1[[#This Row],[Spec Type2]]="N/A","N/A",IF(AND(Table1[[#This Row],[DUT Adj Read]]&gt;=Table1[[#This Row],[Low Tol]],Table1[[#This Row],[DUT Adj Read]]&lt;=Table1[[#This Row],[High Tol]]),"Pass","Fail"))</f>
        <v>Fail</v>
      </c>
      <c r="AD1890" s="1" t="str">
        <f>IF(AND(Table1[[#This Row],[Spec Type2]]="N/A",Table1[[#This Row],[DUT Adj Read]]="N/A",Table1[[#This Row],[Std Adj Read]]="N/A"),"N/A",IF(Table1[[#This Row],[DUT Adj Read]]="N/A",IF(Table1[[#This Row],[Std Adj Read]]&gt;Table1[[#This Row],[Low Tol]],"Pass","Fail"),IF(Table1[[#This Row],[DUT Adj Read]]&gt;Table1[[#This Row],[Low Tol]],"Pass","Fail")))</f>
        <v>Pass</v>
      </c>
      <c r="AE1890" s="1" t="str">
        <f>IF(AND(Table1[[#This Row],[Spec Type2]]="N/A",Table1[[#This Row],[DUT Adj Read]]="N/A",Table1[[#This Row],[Std Adj Read]]="N/A"),"N/A",IF(Table1[[#This Row],[DUT Adj Read]]="N/A",IF(Table1[[#This Row],[Std Adj Read]]&lt;Table1[[#This Row],[High Tol]],"Pass","Fail"),IF(Table1[[#This Row],[DUT Adj Read]]&lt;Table1[[#This Row],[High Tol]],"Pass","Fail")))</f>
        <v>Fail</v>
      </c>
      <c r="AF1890" s="1" t="str">
        <f>IF(AND(Table1[[#This Row],[Spec Type2]]="N/A",Table1[[#This Row],[DUT Adj Read]]="N/A",Table1[[#This Row],[Std Adj Read]]="N/A"),"N/A",IF(Table1[[#This Row],[DUT Adj Read]]="N/A",IF(Table1[[#This Row],[Std Adj Read]]&gt;=Table1[[#This Row],[Low Tol]],"Pass","Fail"),IF(Table1[[#This Row],[DUT Adj Read]]&gt;=Table1[[#This Row],[Low Tol]],"Pass","Fail")))</f>
        <v>Pass</v>
      </c>
      <c r="AG1890" s="1" t="str">
        <f>IF(AND(Table1[[#This Row],[Spec Type2]]="N/A",Table1[[#This Row],[DUT Adj Read]]="N/A",Table1[[#This Row],[Std Adj Read]]="N/A"),"N/A",IF(Table1[[#This Row],[DUT Adj Read]]="N/A",IF(Table1[[#This Row],[Std Adj Read]]&lt;=Table1[[#This Row],[High Tol]],"Pass","Fail"),IF(Table1[[#This Row],[DUT Adj Read]]&lt;=Table1[[#This Row],[High Tol]],"Pass","Fail")))</f>
        <v>Fail</v>
      </c>
      <c r="AH18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0" s="1" t="b">
        <v>0</v>
      </c>
      <c r="AN1890" s="1" t="b">
        <v>0</v>
      </c>
      <c r="AO1890" s="1" t="b">
        <v>0</v>
      </c>
    </row>
    <row r="1891" spans="1:41" x14ac:dyDescent="0.25">
      <c r="A1891" s="10"/>
      <c r="B1891" s="10"/>
      <c r="C1891" s="10"/>
      <c r="D1891" s="10"/>
      <c r="E1891" s="10"/>
      <c r="F1891" s="10"/>
      <c r="G1891" s="10"/>
      <c r="H1891" s="10"/>
      <c r="I1891" s="1" t="str">
        <f t="shared" si="87"/>
        <v/>
      </c>
      <c r="J1891" s="1" t="s">
        <v>35</v>
      </c>
      <c r="K1891" s="1" t="str">
        <f t="shared" si="88"/>
        <v/>
      </c>
      <c r="L1891" s="1" t="str">
        <f t="shared" si="89"/>
        <v/>
      </c>
      <c r="M1891" s="1">
        <f>IF(OR(Table1[[#This Row],[Std Nom]]="",Table1[[#This Row],[Std Read]]=""),0,Table1[[#This Row],[Std Nom]]-Table1[[#This Row],[Std Read]])</f>
        <v>0</v>
      </c>
      <c r="N1891" s="1">
        <f>IF(Calculations!$F$5="ACCREDITED 17025 WITH UNCERTAINTIES",$N$10,0)</f>
        <v>0</v>
      </c>
      <c r="O1891" s="1" t="str">
        <f>IFERROR(Table1[[#This Row],[Std Nom]]-(_xlfn.XLOOKUP(Table1[[#This Row],[Manufacturer]]&amp;" "&amp;Table1[[#This Row],[Model]],Table13[MFR &amp; MDL],Table13[Tolerance % CW ],"")/100*Table1[[#This Row],[Std Nom]]),"")</f>
        <v/>
      </c>
      <c r="P1891" s="1" t="str">
        <f>IFERROR(Table1[[#This Row],[Std Nom]]+(_xlfn.XLOOKUP(Table1[[#This Row],[Manufacturer]]&amp;" "&amp;Table1[[#This Row],[Model]],Table13[MFR &amp; MDL],Table13[Tolerance % CW ],"")/100*Table1[[#This Row],[Std Nom]]),"")</f>
        <v/>
      </c>
      <c r="Q1891" s="1" t="e">
        <f>Table1[[#This Row],[High Tol]]-Table1[[#This Row],[Low Tol]]</f>
        <v>#VALUE!</v>
      </c>
      <c r="R1891" s="1">
        <f>2*Table1[[#This Row],[Std Error]]</f>
        <v>0</v>
      </c>
      <c r="S1891" s="1" t="str">
        <f>IF(Table1[[#This Row],[High Tol]]="","N/A",IFERROR(ABS(Table1[[#This Row],[Tol Span]]/Table1[[#This Row],[Error Span]]),"N/A"))</f>
        <v>N/A</v>
      </c>
      <c r="T1891" s="1" t="str">
        <f>IF(OR(Table1[[#This Row],[Low Tol]]="",Table1[[#This Row],[High Tol]]=""),"Needs Analysis",IF(Table1[[#This Row],[Ratio]]&gt;=4,"Not Significant",IF(Table1[[#This Row],[Ratio]]&gt;=2,"Semi-Significant","Significant")))</f>
        <v>Needs Analysis</v>
      </c>
      <c r="W1891" s="1">
        <f>IF(Table1[[#This Row],[Cal Type]]&lt;&gt;"ACCREDITED 17025 WITH UNCERTAINTIES",0,"")</f>
        <v>0</v>
      </c>
      <c r="X1891" s="1" t="str">
        <f>IF(Table1[[#This Row],[DUT Read]]="","N/A",Table1[[#This Row],[Std Error]]+Table1[[#This Row],[DUT Read]]+Table1[[#This Row],[DUT Ucty]])</f>
        <v>N/A</v>
      </c>
      <c r="Y1891" s="1" t="str">
        <f>IF(Table1[[#This Row],[Std Read]]="","N/A",Table1[[#This Row],[Std Read]]+Table1[[#This Row],[Std Ucty]])</f>
        <v>N/A</v>
      </c>
      <c r="Z18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1" s="1" t="str">
        <f>IF(Table1[[#This Row],[Spec Type]]="","N/A",Table1[[#This Row],[Spec Type]])</f>
        <v>±</v>
      </c>
      <c r="AC1891" s="1" t="str">
        <f>IF(Table1[[#This Row],[Spec Type2]]="N/A","N/A",IF(AND(Table1[[#This Row],[DUT Adj Read]]&gt;=Table1[[#This Row],[Low Tol]],Table1[[#This Row],[DUT Adj Read]]&lt;=Table1[[#This Row],[High Tol]]),"Pass","Fail"))</f>
        <v>Fail</v>
      </c>
      <c r="AD1891" s="1" t="str">
        <f>IF(AND(Table1[[#This Row],[Spec Type2]]="N/A",Table1[[#This Row],[DUT Adj Read]]="N/A",Table1[[#This Row],[Std Adj Read]]="N/A"),"N/A",IF(Table1[[#This Row],[DUT Adj Read]]="N/A",IF(Table1[[#This Row],[Std Adj Read]]&gt;Table1[[#This Row],[Low Tol]],"Pass","Fail"),IF(Table1[[#This Row],[DUT Adj Read]]&gt;Table1[[#This Row],[Low Tol]],"Pass","Fail")))</f>
        <v>Pass</v>
      </c>
      <c r="AE1891" s="1" t="str">
        <f>IF(AND(Table1[[#This Row],[Spec Type2]]="N/A",Table1[[#This Row],[DUT Adj Read]]="N/A",Table1[[#This Row],[Std Adj Read]]="N/A"),"N/A",IF(Table1[[#This Row],[DUT Adj Read]]="N/A",IF(Table1[[#This Row],[Std Adj Read]]&lt;Table1[[#This Row],[High Tol]],"Pass","Fail"),IF(Table1[[#This Row],[DUT Adj Read]]&lt;Table1[[#This Row],[High Tol]],"Pass","Fail")))</f>
        <v>Fail</v>
      </c>
      <c r="AF1891" s="1" t="str">
        <f>IF(AND(Table1[[#This Row],[Spec Type2]]="N/A",Table1[[#This Row],[DUT Adj Read]]="N/A",Table1[[#This Row],[Std Adj Read]]="N/A"),"N/A",IF(Table1[[#This Row],[DUT Adj Read]]="N/A",IF(Table1[[#This Row],[Std Adj Read]]&gt;=Table1[[#This Row],[Low Tol]],"Pass","Fail"),IF(Table1[[#This Row],[DUT Adj Read]]&gt;=Table1[[#This Row],[Low Tol]],"Pass","Fail")))</f>
        <v>Pass</v>
      </c>
      <c r="AG1891" s="1" t="str">
        <f>IF(AND(Table1[[#This Row],[Spec Type2]]="N/A",Table1[[#This Row],[DUT Adj Read]]="N/A",Table1[[#This Row],[Std Adj Read]]="N/A"),"N/A",IF(Table1[[#This Row],[DUT Adj Read]]="N/A",IF(Table1[[#This Row],[Std Adj Read]]&lt;=Table1[[#This Row],[High Tol]],"Pass","Fail"),IF(Table1[[#This Row],[DUT Adj Read]]&lt;=Table1[[#This Row],[High Tol]],"Pass","Fail")))</f>
        <v>Fail</v>
      </c>
      <c r="AH18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1" s="1" t="b">
        <v>0</v>
      </c>
      <c r="AN1891" s="1" t="b">
        <v>0</v>
      </c>
      <c r="AO1891" s="1" t="b">
        <v>0</v>
      </c>
    </row>
    <row r="1892" spans="1:41" x14ac:dyDescent="0.25">
      <c r="A1892" s="10"/>
      <c r="B1892" s="10"/>
      <c r="C1892" s="10"/>
      <c r="D1892" s="10"/>
      <c r="E1892" s="10"/>
      <c r="F1892" s="10"/>
      <c r="G1892" s="10"/>
      <c r="H1892" s="10"/>
      <c r="I1892" s="1" t="str">
        <f t="shared" si="87"/>
        <v/>
      </c>
      <c r="J1892" s="1" t="s">
        <v>35</v>
      </c>
      <c r="K1892" s="1" t="str">
        <f t="shared" si="88"/>
        <v/>
      </c>
      <c r="L1892" s="1" t="str">
        <f t="shared" si="89"/>
        <v/>
      </c>
      <c r="M1892" s="1">
        <f>IF(OR(Table1[[#This Row],[Std Nom]]="",Table1[[#This Row],[Std Read]]=""),0,Table1[[#This Row],[Std Nom]]-Table1[[#This Row],[Std Read]])</f>
        <v>0</v>
      </c>
      <c r="N1892" s="1">
        <f>IF(Calculations!$F$5="ACCREDITED 17025 WITH UNCERTAINTIES",$N$10,0)</f>
        <v>0</v>
      </c>
      <c r="O1892" s="1" t="str">
        <f>IFERROR(Table1[[#This Row],[Std Nom]]-(_xlfn.XLOOKUP(Table1[[#This Row],[Manufacturer]]&amp;" "&amp;Table1[[#This Row],[Model]],Table13[MFR &amp; MDL],Table13[Tolerance % CW ],"")/100*Table1[[#This Row],[Std Nom]]),"")</f>
        <v/>
      </c>
      <c r="P1892" s="1" t="str">
        <f>IFERROR(Table1[[#This Row],[Std Nom]]+(_xlfn.XLOOKUP(Table1[[#This Row],[Manufacturer]]&amp;" "&amp;Table1[[#This Row],[Model]],Table13[MFR &amp; MDL],Table13[Tolerance % CW ],"")/100*Table1[[#This Row],[Std Nom]]),"")</f>
        <v/>
      </c>
      <c r="Q1892" s="1" t="e">
        <f>Table1[[#This Row],[High Tol]]-Table1[[#This Row],[Low Tol]]</f>
        <v>#VALUE!</v>
      </c>
      <c r="R1892" s="1">
        <f>2*Table1[[#This Row],[Std Error]]</f>
        <v>0</v>
      </c>
      <c r="S1892" s="1" t="str">
        <f>IF(Table1[[#This Row],[High Tol]]="","N/A",IFERROR(ABS(Table1[[#This Row],[Tol Span]]/Table1[[#This Row],[Error Span]]),"N/A"))</f>
        <v>N/A</v>
      </c>
      <c r="T1892" s="1" t="str">
        <f>IF(OR(Table1[[#This Row],[Low Tol]]="",Table1[[#This Row],[High Tol]]=""),"Needs Analysis",IF(Table1[[#This Row],[Ratio]]&gt;=4,"Not Significant",IF(Table1[[#This Row],[Ratio]]&gt;=2,"Semi-Significant","Significant")))</f>
        <v>Needs Analysis</v>
      </c>
      <c r="W1892" s="1">
        <f>IF(Table1[[#This Row],[Cal Type]]&lt;&gt;"ACCREDITED 17025 WITH UNCERTAINTIES",0,"")</f>
        <v>0</v>
      </c>
      <c r="X1892" s="1" t="str">
        <f>IF(Table1[[#This Row],[DUT Read]]="","N/A",Table1[[#This Row],[Std Error]]+Table1[[#This Row],[DUT Read]]+Table1[[#This Row],[DUT Ucty]])</f>
        <v>N/A</v>
      </c>
      <c r="Y1892" s="1" t="str">
        <f>IF(Table1[[#This Row],[Std Read]]="","N/A",Table1[[#This Row],[Std Read]]+Table1[[#This Row],[Std Ucty]])</f>
        <v>N/A</v>
      </c>
      <c r="Z18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2" s="1" t="str">
        <f>IF(Table1[[#This Row],[Spec Type]]="","N/A",Table1[[#This Row],[Spec Type]])</f>
        <v>±</v>
      </c>
      <c r="AC1892" s="1" t="str">
        <f>IF(Table1[[#This Row],[Spec Type2]]="N/A","N/A",IF(AND(Table1[[#This Row],[DUT Adj Read]]&gt;=Table1[[#This Row],[Low Tol]],Table1[[#This Row],[DUT Adj Read]]&lt;=Table1[[#This Row],[High Tol]]),"Pass","Fail"))</f>
        <v>Fail</v>
      </c>
      <c r="AD1892" s="1" t="str">
        <f>IF(AND(Table1[[#This Row],[Spec Type2]]="N/A",Table1[[#This Row],[DUT Adj Read]]="N/A",Table1[[#This Row],[Std Adj Read]]="N/A"),"N/A",IF(Table1[[#This Row],[DUT Adj Read]]="N/A",IF(Table1[[#This Row],[Std Adj Read]]&gt;Table1[[#This Row],[Low Tol]],"Pass","Fail"),IF(Table1[[#This Row],[DUT Adj Read]]&gt;Table1[[#This Row],[Low Tol]],"Pass","Fail")))</f>
        <v>Pass</v>
      </c>
      <c r="AE1892" s="1" t="str">
        <f>IF(AND(Table1[[#This Row],[Spec Type2]]="N/A",Table1[[#This Row],[DUT Adj Read]]="N/A",Table1[[#This Row],[Std Adj Read]]="N/A"),"N/A",IF(Table1[[#This Row],[DUT Adj Read]]="N/A",IF(Table1[[#This Row],[Std Adj Read]]&lt;Table1[[#This Row],[High Tol]],"Pass","Fail"),IF(Table1[[#This Row],[DUT Adj Read]]&lt;Table1[[#This Row],[High Tol]],"Pass","Fail")))</f>
        <v>Fail</v>
      </c>
      <c r="AF1892" s="1" t="str">
        <f>IF(AND(Table1[[#This Row],[Spec Type2]]="N/A",Table1[[#This Row],[DUT Adj Read]]="N/A",Table1[[#This Row],[Std Adj Read]]="N/A"),"N/A",IF(Table1[[#This Row],[DUT Adj Read]]="N/A",IF(Table1[[#This Row],[Std Adj Read]]&gt;=Table1[[#This Row],[Low Tol]],"Pass","Fail"),IF(Table1[[#This Row],[DUT Adj Read]]&gt;=Table1[[#This Row],[Low Tol]],"Pass","Fail")))</f>
        <v>Pass</v>
      </c>
      <c r="AG1892" s="1" t="str">
        <f>IF(AND(Table1[[#This Row],[Spec Type2]]="N/A",Table1[[#This Row],[DUT Adj Read]]="N/A",Table1[[#This Row],[Std Adj Read]]="N/A"),"N/A",IF(Table1[[#This Row],[DUT Adj Read]]="N/A",IF(Table1[[#This Row],[Std Adj Read]]&lt;=Table1[[#This Row],[High Tol]],"Pass","Fail"),IF(Table1[[#This Row],[DUT Adj Read]]&lt;=Table1[[#This Row],[High Tol]],"Pass","Fail")))</f>
        <v>Fail</v>
      </c>
      <c r="AH18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2" s="1" t="b">
        <v>0</v>
      </c>
      <c r="AN1892" s="1" t="b">
        <v>0</v>
      </c>
      <c r="AO1892" s="1" t="b">
        <v>0</v>
      </c>
    </row>
    <row r="1893" spans="1:41" x14ac:dyDescent="0.25">
      <c r="A1893" s="10"/>
      <c r="B1893" s="10"/>
      <c r="C1893" s="10"/>
      <c r="D1893" s="10"/>
      <c r="E1893" s="10"/>
      <c r="F1893" s="10"/>
      <c r="G1893" s="10"/>
      <c r="H1893" s="10"/>
      <c r="I1893" s="1" t="str">
        <f t="shared" si="87"/>
        <v/>
      </c>
      <c r="J1893" s="1" t="s">
        <v>35</v>
      </c>
      <c r="K1893" s="1" t="str">
        <f t="shared" si="88"/>
        <v/>
      </c>
      <c r="L1893" s="1" t="str">
        <f t="shared" si="89"/>
        <v/>
      </c>
      <c r="M1893" s="1">
        <f>IF(OR(Table1[[#This Row],[Std Nom]]="",Table1[[#This Row],[Std Read]]=""),0,Table1[[#This Row],[Std Nom]]-Table1[[#This Row],[Std Read]])</f>
        <v>0</v>
      </c>
      <c r="N1893" s="1">
        <f>IF(Calculations!$F$5="ACCREDITED 17025 WITH UNCERTAINTIES",$N$10,0)</f>
        <v>0</v>
      </c>
      <c r="O1893" s="1" t="str">
        <f>IFERROR(Table1[[#This Row],[Std Nom]]-(_xlfn.XLOOKUP(Table1[[#This Row],[Manufacturer]]&amp;" "&amp;Table1[[#This Row],[Model]],Table13[MFR &amp; MDL],Table13[Tolerance % CW ],"")/100*Table1[[#This Row],[Std Nom]]),"")</f>
        <v/>
      </c>
      <c r="P1893" s="1" t="str">
        <f>IFERROR(Table1[[#This Row],[Std Nom]]+(_xlfn.XLOOKUP(Table1[[#This Row],[Manufacturer]]&amp;" "&amp;Table1[[#This Row],[Model]],Table13[MFR &amp; MDL],Table13[Tolerance % CW ],"")/100*Table1[[#This Row],[Std Nom]]),"")</f>
        <v/>
      </c>
      <c r="Q1893" s="1" t="e">
        <f>Table1[[#This Row],[High Tol]]-Table1[[#This Row],[Low Tol]]</f>
        <v>#VALUE!</v>
      </c>
      <c r="R1893" s="1">
        <f>2*Table1[[#This Row],[Std Error]]</f>
        <v>0</v>
      </c>
      <c r="S1893" s="1" t="str">
        <f>IF(Table1[[#This Row],[High Tol]]="","N/A",IFERROR(ABS(Table1[[#This Row],[Tol Span]]/Table1[[#This Row],[Error Span]]),"N/A"))</f>
        <v>N/A</v>
      </c>
      <c r="T1893" s="1" t="str">
        <f>IF(OR(Table1[[#This Row],[Low Tol]]="",Table1[[#This Row],[High Tol]]=""),"Needs Analysis",IF(Table1[[#This Row],[Ratio]]&gt;=4,"Not Significant",IF(Table1[[#This Row],[Ratio]]&gt;=2,"Semi-Significant","Significant")))</f>
        <v>Needs Analysis</v>
      </c>
      <c r="W1893" s="1">
        <f>IF(Table1[[#This Row],[Cal Type]]&lt;&gt;"ACCREDITED 17025 WITH UNCERTAINTIES",0,"")</f>
        <v>0</v>
      </c>
      <c r="X1893" s="1" t="str">
        <f>IF(Table1[[#This Row],[DUT Read]]="","N/A",Table1[[#This Row],[Std Error]]+Table1[[#This Row],[DUT Read]]+Table1[[#This Row],[DUT Ucty]])</f>
        <v>N/A</v>
      </c>
      <c r="Y1893" s="1" t="str">
        <f>IF(Table1[[#This Row],[Std Read]]="","N/A",Table1[[#This Row],[Std Read]]+Table1[[#This Row],[Std Ucty]])</f>
        <v>N/A</v>
      </c>
      <c r="Z18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3" s="1" t="str">
        <f>IF(Table1[[#This Row],[Spec Type]]="","N/A",Table1[[#This Row],[Spec Type]])</f>
        <v>±</v>
      </c>
      <c r="AC1893" s="1" t="str">
        <f>IF(Table1[[#This Row],[Spec Type2]]="N/A","N/A",IF(AND(Table1[[#This Row],[DUT Adj Read]]&gt;=Table1[[#This Row],[Low Tol]],Table1[[#This Row],[DUT Adj Read]]&lt;=Table1[[#This Row],[High Tol]]),"Pass","Fail"))</f>
        <v>Fail</v>
      </c>
      <c r="AD1893" s="1" t="str">
        <f>IF(AND(Table1[[#This Row],[Spec Type2]]="N/A",Table1[[#This Row],[DUT Adj Read]]="N/A",Table1[[#This Row],[Std Adj Read]]="N/A"),"N/A",IF(Table1[[#This Row],[DUT Adj Read]]="N/A",IF(Table1[[#This Row],[Std Adj Read]]&gt;Table1[[#This Row],[Low Tol]],"Pass","Fail"),IF(Table1[[#This Row],[DUT Adj Read]]&gt;Table1[[#This Row],[Low Tol]],"Pass","Fail")))</f>
        <v>Pass</v>
      </c>
      <c r="AE1893" s="1" t="str">
        <f>IF(AND(Table1[[#This Row],[Spec Type2]]="N/A",Table1[[#This Row],[DUT Adj Read]]="N/A",Table1[[#This Row],[Std Adj Read]]="N/A"),"N/A",IF(Table1[[#This Row],[DUT Adj Read]]="N/A",IF(Table1[[#This Row],[Std Adj Read]]&lt;Table1[[#This Row],[High Tol]],"Pass","Fail"),IF(Table1[[#This Row],[DUT Adj Read]]&lt;Table1[[#This Row],[High Tol]],"Pass","Fail")))</f>
        <v>Fail</v>
      </c>
      <c r="AF1893" s="1" t="str">
        <f>IF(AND(Table1[[#This Row],[Spec Type2]]="N/A",Table1[[#This Row],[DUT Adj Read]]="N/A",Table1[[#This Row],[Std Adj Read]]="N/A"),"N/A",IF(Table1[[#This Row],[DUT Adj Read]]="N/A",IF(Table1[[#This Row],[Std Adj Read]]&gt;=Table1[[#This Row],[Low Tol]],"Pass","Fail"),IF(Table1[[#This Row],[DUT Adj Read]]&gt;=Table1[[#This Row],[Low Tol]],"Pass","Fail")))</f>
        <v>Pass</v>
      </c>
      <c r="AG1893" s="1" t="str">
        <f>IF(AND(Table1[[#This Row],[Spec Type2]]="N/A",Table1[[#This Row],[DUT Adj Read]]="N/A",Table1[[#This Row],[Std Adj Read]]="N/A"),"N/A",IF(Table1[[#This Row],[DUT Adj Read]]="N/A",IF(Table1[[#This Row],[Std Adj Read]]&lt;=Table1[[#This Row],[High Tol]],"Pass","Fail"),IF(Table1[[#This Row],[DUT Adj Read]]&lt;=Table1[[#This Row],[High Tol]],"Pass","Fail")))</f>
        <v>Fail</v>
      </c>
      <c r="AH18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3" s="1" t="b">
        <v>0</v>
      </c>
      <c r="AN1893" s="1" t="b">
        <v>0</v>
      </c>
      <c r="AO1893" s="1" t="b">
        <v>0</v>
      </c>
    </row>
    <row r="1894" spans="1:41" x14ac:dyDescent="0.25">
      <c r="A1894" s="10"/>
      <c r="B1894" s="10"/>
      <c r="C1894" s="10"/>
      <c r="D1894" s="10"/>
      <c r="E1894" s="10"/>
      <c r="F1894" s="10"/>
      <c r="G1894" s="10"/>
      <c r="H1894" s="10"/>
      <c r="I1894" s="1" t="str">
        <f t="shared" si="87"/>
        <v/>
      </c>
      <c r="J1894" s="1" t="s">
        <v>35</v>
      </c>
      <c r="K1894" s="1" t="str">
        <f t="shared" si="88"/>
        <v/>
      </c>
      <c r="L1894" s="1" t="str">
        <f t="shared" si="89"/>
        <v/>
      </c>
      <c r="M1894" s="1">
        <f>IF(OR(Table1[[#This Row],[Std Nom]]="",Table1[[#This Row],[Std Read]]=""),0,Table1[[#This Row],[Std Nom]]-Table1[[#This Row],[Std Read]])</f>
        <v>0</v>
      </c>
      <c r="N1894" s="1">
        <f>IF(Calculations!$F$5="ACCREDITED 17025 WITH UNCERTAINTIES",$N$10,0)</f>
        <v>0</v>
      </c>
      <c r="O1894" s="1" t="str">
        <f>IFERROR(Table1[[#This Row],[Std Nom]]-(_xlfn.XLOOKUP(Table1[[#This Row],[Manufacturer]]&amp;" "&amp;Table1[[#This Row],[Model]],Table13[MFR &amp; MDL],Table13[Tolerance % CW ],"")/100*Table1[[#This Row],[Std Nom]]),"")</f>
        <v/>
      </c>
      <c r="P1894" s="1" t="str">
        <f>IFERROR(Table1[[#This Row],[Std Nom]]+(_xlfn.XLOOKUP(Table1[[#This Row],[Manufacturer]]&amp;" "&amp;Table1[[#This Row],[Model]],Table13[MFR &amp; MDL],Table13[Tolerance % CW ],"")/100*Table1[[#This Row],[Std Nom]]),"")</f>
        <v/>
      </c>
      <c r="Q1894" s="1" t="e">
        <f>Table1[[#This Row],[High Tol]]-Table1[[#This Row],[Low Tol]]</f>
        <v>#VALUE!</v>
      </c>
      <c r="R1894" s="1">
        <f>2*Table1[[#This Row],[Std Error]]</f>
        <v>0</v>
      </c>
      <c r="S1894" s="1" t="str">
        <f>IF(Table1[[#This Row],[High Tol]]="","N/A",IFERROR(ABS(Table1[[#This Row],[Tol Span]]/Table1[[#This Row],[Error Span]]),"N/A"))</f>
        <v>N/A</v>
      </c>
      <c r="T1894" s="1" t="str">
        <f>IF(OR(Table1[[#This Row],[Low Tol]]="",Table1[[#This Row],[High Tol]]=""),"Needs Analysis",IF(Table1[[#This Row],[Ratio]]&gt;=4,"Not Significant",IF(Table1[[#This Row],[Ratio]]&gt;=2,"Semi-Significant","Significant")))</f>
        <v>Needs Analysis</v>
      </c>
      <c r="W1894" s="1">
        <f>IF(Table1[[#This Row],[Cal Type]]&lt;&gt;"ACCREDITED 17025 WITH UNCERTAINTIES",0,"")</f>
        <v>0</v>
      </c>
      <c r="X1894" s="1" t="str">
        <f>IF(Table1[[#This Row],[DUT Read]]="","N/A",Table1[[#This Row],[Std Error]]+Table1[[#This Row],[DUT Read]]+Table1[[#This Row],[DUT Ucty]])</f>
        <v>N/A</v>
      </c>
      <c r="Y1894" s="1" t="str">
        <f>IF(Table1[[#This Row],[Std Read]]="","N/A",Table1[[#This Row],[Std Read]]+Table1[[#This Row],[Std Ucty]])</f>
        <v>N/A</v>
      </c>
      <c r="Z18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4" s="1" t="str">
        <f>IF(Table1[[#This Row],[Spec Type]]="","N/A",Table1[[#This Row],[Spec Type]])</f>
        <v>±</v>
      </c>
      <c r="AC1894" s="1" t="str">
        <f>IF(Table1[[#This Row],[Spec Type2]]="N/A","N/A",IF(AND(Table1[[#This Row],[DUT Adj Read]]&gt;=Table1[[#This Row],[Low Tol]],Table1[[#This Row],[DUT Adj Read]]&lt;=Table1[[#This Row],[High Tol]]),"Pass","Fail"))</f>
        <v>Fail</v>
      </c>
      <c r="AD1894" s="1" t="str">
        <f>IF(AND(Table1[[#This Row],[Spec Type2]]="N/A",Table1[[#This Row],[DUT Adj Read]]="N/A",Table1[[#This Row],[Std Adj Read]]="N/A"),"N/A",IF(Table1[[#This Row],[DUT Adj Read]]="N/A",IF(Table1[[#This Row],[Std Adj Read]]&gt;Table1[[#This Row],[Low Tol]],"Pass","Fail"),IF(Table1[[#This Row],[DUT Adj Read]]&gt;Table1[[#This Row],[Low Tol]],"Pass","Fail")))</f>
        <v>Pass</v>
      </c>
      <c r="AE1894" s="1" t="str">
        <f>IF(AND(Table1[[#This Row],[Spec Type2]]="N/A",Table1[[#This Row],[DUT Adj Read]]="N/A",Table1[[#This Row],[Std Adj Read]]="N/A"),"N/A",IF(Table1[[#This Row],[DUT Adj Read]]="N/A",IF(Table1[[#This Row],[Std Adj Read]]&lt;Table1[[#This Row],[High Tol]],"Pass","Fail"),IF(Table1[[#This Row],[DUT Adj Read]]&lt;Table1[[#This Row],[High Tol]],"Pass","Fail")))</f>
        <v>Fail</v>
      </c>
      <c r="AF1894" s="1" t="str">
        <f>IF(AND(Table1[[#This Row],[Spec Type2]]="N/A",Table1[[#This Row],[DUT Adj Read]]="N/A",Table1[[#This Row],[Std Adj Read]]="N/A"),"N/A",IF(Table1[[#This Row],[DUT Adj Read]]="N/A",IF(Table1[[#This Row],[Std Adj Read]]&gt;=Table1[[#This Row],[Low Tol]],"Pass","Fail"),IF(Table1[[#This Row],[DUT Adj Read]]&gt;=Table1[[#This Row],[Low Tol]],"Pass","Fail")))</f>
        <v>Pass</v>
      </c>
      <c r="AG1894" s="1" t="str">
        <f>IF(AND(Table1[[#This Row],[Spec Type2]]="N/A",Table1[[#This Row],[DUT Adj Read]]="N/A",Table1[[#This Row],[Std Adj Read]]="N/A"),"N/A",IF(Table1[[#This Row],[DUT Adj Read]]="N/A",IF(Table1[[#This Row],[Std Adj Read]]&lt;=Table1[[#This Row],[High Tol]],"Pass","Fail"),IF(Table1[[#This Row],[DUT Adj Read]]&lt;=Table1[[#This Row],[High Tol]],"Pass","Fail")))</f>
        <v>Fail</v>
      </c>
      <c r="AH18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4" s="1" t="b">
        <v>0</v>
      </c>
      <c r="AN1894" s="1" t="b">
        <v>0</v>
      </c>
      <c r="AO1894" s="1" t="b">
        <v>0</v>
      </c>
    </row>
    <row r="1895" spans="1:41" x14ac:dyDescent="0.25">
      <c r="A1895" s="10"/>
      <c r="B1895" s="10"/>
      <c r="C1895" s="10"/>
      <c r="D1895" s="10"/>
      <c r="E1895" s="10"/>
      <c r="F1895" s="10"/>
      <c r="G1895" s="10"/>
      <c r="H1895" s="10"/>
      <c r="I1895" s="1" t="str">
        <f t="shared" si="87"/>
        <v/>
      </c>
      <c r="J1895" s="1" t="s">
        <v>35</v>
      </c>
      <c r="K1895" s="1" t="str">
        <f t="shared" si="88"/>
        <v/>
      </c>
      <c r="L1895" s="1" t="str">
        <f t="shared" si="89"/>
        <v/>
      </c>
      <c r="M1895" s="1">
        <f>IF(OR(Table1[[#This Row],[Std Nom]]="",Table1[[#This Row],[Std Read]]=""),0,Table1[[#This Row],[Std Nom]]-Table1[[#This Row],[Std Read]])</f>
        <v>0</v>
      </c>
      <c r="N1895" s="1">
        <f>IF(Calculations!$F$5="ACCREDITED 17025 WITH UNCERTAINTIES",$N$10,0)</f>
        <v>0</v>
      </c>
      <c r="O1895" s="1" t="str">
        <f>IFERROR(Table1[[#This Row],[Std Nom]]-(_xlfn.XLOOKUP(Table1[[#This Row],[Manufacturer]]&amp;" "&amp;Table1[[#This Row],[Model]],Table13[MFR &amp; MDL],Table13[Tolerance % CW ],"")/100*Table1[[#This Row],[Std Nom]]),"")</f>
        <v/>
      </c>
      <c r="P1895" s="1" t="str">
        <f>IFERROR(Table1[[#This Row],[Std Nom]]+(_xlfn.XLOOKUP(Table1[[#This Row],[Manufacturer]]&amp;" "&amp;Table1[[#This Row],[Model]],Table13[MFR &amp; MDL],Table13[Tolerance % CW ],"")/100*Table1[[#This Row],[Std Nom]]),"")</f>
        <v/>
      </c>
      <c r="Q1895" s="1" t="e">
        <f>Table1[[#This Row],[High Tol]]-Table1[[#This Row],[Low Tol]]</f>
        <v>#VALUE!</v>
      </c>
      <c r="R1895" s="1">
        <f>2*Table1[[#This Row],[Std Error]]</f>
        <v>0</v>
      </c>
      <c r="S1895" s="1" t="str">
        <f>IF(Table1[[#This Row],[High Tol]]="","N/A",IFERROR(ABS(Table1[[#This Row],[Tol Span]]/Table1[[#This Row],[Error Span]]),"N/A"))</f>
        <v>N/A</v>
      </c>
      <c r="T1895" s="1" t="str">
        <f>IF(OR(Table1[[#This Row],[Low Tol]]="",Table1[[#This Row],[High Tol]]=""),"Needs Analysis",IF(Table1[[#This Row],[Ratio]]&gt;=4,"Not Significant",IF(Table1[[#This Row],[Ratio]]&gt;=2,"Semi-Significant","Significant")))</f>
        <v>Needs Analysis</v>
      </c>
      <c r="W1895" s="1">
        <f>IF(Table1[[#This Row],[Cal Type]]&lt;&gt;"ACCREDITED 17025 WITH UNCERTAINTIES",0,"")</f>
        <v>0</v>
      </c>
      <c r="X1895" s="1" t="str">
        <f>IF(Table1[[#This Row],[DUT Read]]="","N/A",Table1[[#This Row],[Std Error]]+Table1[[#This Row],[DUT Read]]+Table1[[#This Row],[DUT Ucty]])</f>
        <v>N/A</v>
      </c>
      <c r="Y1895" s="1" t="str">
        <f>IF(Table1[[#This Row],[Std Read]]="","N/A",Table1[[#This Row],[Std Read]]+Table1[[#This Row],[Std Ucty]])</f>
        <v>N/A</v>
      </c>
      <c r="Z18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5" s="1" t="str">
        <f>IF(Table1[[#This Row],[Spec Type]]="","N/A",Table1[[#This Row],[Spec Type]])</f>
        <v>±</v>
      </c>
      <c r="AC1895" s="1" t="str">
        <f>IF(Table1[[#This Row],[Spec Type2]]="N/A","N/A",IF(AND(Table1[[#This Row],[DUT Adj Read]]&gt;=Table1[[#This Row],[Low Tol]],Table1[[#This Row],[DUT Adj Read]]&lt;=Table1[[#This Row],[High Tol]]),"Pass","Fail"))</f>
        <v>Fail</v>
      </c>
      <c r="AD1895" s="1" t="str">
        <f>IF(AND(Table1[[#This Row],[Spec Type2]]="N/A",Table1[[#This Row],[DUT Adj Read]]="N/A",Table1[[#This Row],[Std Adj Read]]="N/A"),"N/A",IF(Table1[[#This Row],[DUT Adj Read]]="N/A",IF(Table1[[#This Row],[Std Adj Read]]&gt;Table1[[#This Row],[Low Tol]],"Pass","Fail"),IF(Table1[[#This Row],[DUT Adj Read]]&gt;Table1[[#This Row],[Low Tol]],"Pass","Fail")))</f>
        <v>Pass</v>
      </c>
      <c r="AE1895" s="1" t="str">
        <f>IF(AND(Table1[[#This Row],[Spec Type2]]="N/A",Table1[[#This Row],[DUT Adj Read]]="N/A",Table1[[#This Row],[Std Adj Read]]="N/A"),"N/A",IF(Table1[[#This Row],[DUT Adj Read]]="N/A",IF(Table1[[#This Row],[Std Adj Read]]&lt;Table1[[#This Row],[High Tol]],"Pass","Fail"),IF(Table1[[#This Row],[DUT Adj Read]]&lt;Table1[[#This Row],[High Tol]],"Pass","Fail")))</f>
        <v>Fail</v>
      </c>
      <c r="AF1895" s="1" t="str">
        <f>IF(AND(Table1[[#This Row],[Spec Type2]]="N/A",Table1[[#This Row],[DUT Adj Read]]="N/A",Table1[[#This Row],[Std Adj Read]]="N/A"),"N/A",IF(Table1[[#This Row],[DUT Adj Read]]="N/A",IF(Table1[[#This Row],[Std Adj Read]]&gt;=Table1[[#This Row],[Low Tol]],"Pass","Fail"),IF(Table1[[#This Row],[DUT Adj Read]]&gt;=Table1[[#This Row],[Low Tol]],"Pass","Fail")))</f>
        <v>Pass</v>
      </c>
      <c r="AG1895" s="1" t="str">
        <f>IF(AND(Table1[[#This Row],[Spec Type2]]="N/A",Table1[[#This Row],[DUT Adj Read]]="N/A",Table1[[#This Row],[Std Adj Read]]="N/A"),"N/A",IF(Table1[[#This Row],[DUT Adj Read]]="N/A",IF(Table1[[#This Row],[Std Adj Read]]&lt;=Table1[[#This Row],[High Tol]],"Pass","Fail"),IF(Table1[[#This Row],[DUT Adj Read]]&lt;=Table1[[#This Row],[High Tol]],"Pass","Fail")))</f>
        <v>Fail</v>
      </c>
      <c r="AH18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5" s="1" t="b">
        <v>0</v>
      </c>
      <c r="AN1895" s="1" t="b">
        <v>0</v>
      </c>
      <c r="AO1895" s="1" t="b">
        <v>0</v>
      </c>
    </row>
    <row r="1896" spans="1:41" x14ac:dyDescent="0.25">
      <c r="A1896" s="10"/>
      <c r="B1896" s="10"/>
      <c r="C1896" s="10"/>
      <c r="D1896" s="10"/>
      <c r="E1896" s="10"/>
      <c r="F1896" s="10"/>
      <c r="G1896" s="10"/>
      <c r="H1896" s="10"/>
      <c r="I1896" s="1" t="str">
        <f t="shared" si="87"/>
        <v/>
      </c>
      <c r="J1896" s="1" t="s">
        <v>35</v>
      </c>
      <c r="K1896" s="1" t="str">
        <f t="shared" si="88"/>
        <v/>
      </c>
      <c r="L1896" s="1" t="str">
        <f t="shared" si="89"/>
        <v/>
      </c>
      <c r="M1896" s="1">
        <f>IF(OR(Table1[[#This Row],[Std Nom]]="",Table1[[#This Row],[Std Read]]=""),0,Table1[[#This Row],[Std Nom]]-Table1[[#This Row],[Std Read]])</f>
        <v>0</v>
      </c>
      <c r="N1896" s="1">
        <f>IF(Calculations!$F$5="ACCREDITED 17025 WITH UNCERTAINTIES",$N$10,0)</f>
        <v>0</v>
      </c>
      <c r="O1896" s="1" t="str">
        <f>IFERROR(Table1[[#This Row],[Std Nom]]-(_xlfn.XLOOKUP(Table1[[#This Row],[Manufacturer]]&amp;" "&amp;Table1[[#This Row],[Model]],Table13[MFR &amp; MDL],Table13[Tolerance % CW ],"")/100*Table1[[#This Row],[Std Nom]]),"")</f>
        <v/>
      </c>
      <c r="P1896" s="1" t="str">
        <f>IFERROR(Table1[[#This Row],[Std Nom]]+(_xlfn.XLOOKUP(Table1[[#This Row],[Manufacturer]]&amp;" "&amp;Table1[[#This Row],[Model]],Table13[MFR &amp; MDL],Table13[Tolerance % CW ],"")/100*Table1[[#This Row],[Std Nom]]),"")</f>
        <v/>
      </c>
      <c r="Q1896" s="1" t="e">
        <f>Table1[[#This Row],[High Tol]]-Table1[[#This Row],[Low Tol]]</f>
        <v>#VALUE!</v>
      </c>
      <c r="R1896" s="1">
        <f>2*Table1[[#This Row],[Std Error]]</f>
        <v>0</v>
      </c>
      <c r="S1896" s="1" t="str">
        <f>IF(Table1[[#This Row],[High Tol]]="","N/A",IFERROR(ABS(Table1[[#This Row],[Tol Span]]/Table1[[#This Row],[Error Span]]),"N/A"))</f>
        <v>N/A</v>
      </c>
      <c r="T1896" s="1" t="str">
        <f>IF(OR(Table1[[#This Row],[Low Tol]]="",Table1[[#This Row],[High Tol]]=""),"Needs Analysis",IF(Table1[[#This Row],[Ratio]]&gt;=4,"Not Significant",IF(Table1[[#This Row],[Ratio]]&gt;=2,"Semi-Significant","Significant")))</f>
        <v>Needs Analysis</v>
      </c>
      <c r="W1896" s="1">
        <f>IF(Table1[[#This Row],[Cal Type]]&lt;&gt;"ACCREDITED 17025 WITH UNCERTAINTIES",0,"")</f>
        <v>0</v>
      </c>
      <c r="X1896" s="1" t="str">
        <f>IF(Table1[[#This Row],[DUT Read]]="","N/A",Table1[[#This Row],[Std Error]]+Table1[[#This Row],[DUT Read]]+Table1[[#This Row],[DUT Ucty]])</f>
        <v>N/A</v>
      </c>
      <c r="Y1896" s="1" t="str">
        <f>IF(Table1[[#This Row],[Std Read]]="","N/A",Table1[[#This Row],[Std Read]]+Table1[[#This Row],[Std Ucty]])</f>
        <v>N/A</v>
      </c>
      <c r="Z18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6" s="1" t="str">
        <f>IF(Table1[[#This Row],[Spec Type]]="","N/A",Table1[[#This Row],[Spec Type]])</f>
        <v>±</v>
      </c>
      <c r="AC1896" s="1" t="str">
        <f>IF(Table1[[#This Row],[Spec Type2]]="N/A","N/A",IF(AND(Table1[[#This Row],[DUT Adj Read]]&gt;=Table1[[#This Row],[Low Tol]],Table1[[#This Row],[DUT Adj Read]]&lt;=Table1[[#This Row],[High Tol]]),"Pass","Fail"))</f>
        <v>Fail</v>
      </c>
      <c r="AD1896" s="1" t="str">
        <f>IF(AND(Table1[[#This Row],[Spec Type2]]="N/A",Table1[[#This Row],[DUT Adj Read]]="N/A",Table1[[#This Row],[Std Adj Read]]="N/A"),"N/A",IF(Table1[[#This Row],[DUT Adj Read]]="N/A",IF(Table1[[#This Row],[Std Adj Read]]&gt;Table1[[#This Row],[Low Tol]],"Pass","Fail"),IF(Table1[[#This Row],[DUT Adj Read]]&gt;Table1[[#This Row],[Low Tol]],"Pass","Fail")))</f>
        <v>Pass</v>
      </c>
      <c r="AE1896" s="1" t="str">
        <f>IF(AND(Table1[[#This Row],[Spec Type2]]="N/A",Table1[[#This Row],[DUT Adj Read]]="N/A",Table1[[#This Row],[Std Adj Read]]="N/A"),"N/A",IF(Table1[[#This Row],[DUT Adj Read]]="N/A",IF(Table1[[#This Row],[Std Adj Read]]&lt;Table1[[#This Row],[High Tol]],"Pass","Fail"),IF(Table1[[#This Row],[DUT Adj Read]]&lt;Table1[[#This Row],[High Tol]],"Pass","Fail")))</f>
        <v>Fail</v>
      </c>
      <c r="AF1896" s="1" t="str">
        <f>IF(AND(Table1[[#This Row],[Spec Type2]]="N/A",Table1[[#This Row],[DUT Adj Read]]="N/A",Table1[[#This Row],[Std Adj Read]]="N/A"),"N/A",IF(Table1[[#This Row],[DUT Adj Read]]="N/A",IF(Table1[[#This Row],[Std Adj Read]]&gt;=Table1[[#This Row],[Low Tol]],"Pass","Fail"),IF(Table1[[#This Row],[DUT Adj Read]]&gt;=Table1[[#This Row],[Low Tol]],"Pass","Fail")))</f>
        <v>Pass</v>
      </c>
      <c r="AG1896" s="1" t="str">
        <f>IF(AND(Table1[[#This Row],[Spec Type2]]="N/A",Table1[[#This Row],[DUT Adj Read]]="N/A",Table1[[#This Row],[Std Adj Read]]="N/A"),"N/A",IF(Table1[[#This Row],[DUT Adj Read]]="N/A",IF(Table1[[#This Row],[Std Adj Read]]&lt;=Table1[[#This Row],[High Tol]],"Pass","Fail"),IF(Table1[[#This Row],[DUT Adj Read]]&lt;=Table1[[#This Row],[High Tol]],"Pass","Fail")))</f>
        <v>Fail</v>
      </c>
      <c r="AH18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6" s="1" t="b">
        <v>0</v>
      </c>
      <c r="AN1896" s="1" t="b">
        <v>0</v>
      </c>
      <c r="AO1896" s="1" t="b">
        <v>0</v>
      </c>
    </row>
    <row r="1897" spans="1:41" x14ac:dyDescent="0.25">
      <c r="A1897" s="10"/>
      <c r="B1897" s="10"/>
      <c r="C1897" s="10"/>
      <c r="D1897" s="10"/>
      <c r="E1897" s="10"/>
      <c r="F1897" s="10"/>
      <c r="G1897" s="10"/>
      <c r="H1897" s="10"/>
      <c r="I1897" s="1" t="str">
        <f t="shared" si="87"/>
        <v/>
      </c>
      <c r="J1897" s="1" t="s">
        <v>35</v>
      </c>
      <c r="K1897" s="1" t="str">
        <f t="shared" si="88"/>
        <v/>
      </c>
      <c r="L1897" s="1" t="str">
        <f t="shared" si="89"/>
        <v/>
      </c>
      <c r="M1897" s="1">
        <f>IF(OR(Table1[[#This Row],[Std Nom]]="",Table1[[#This Row],[Std Read]]=""),0,Table1[[#This Row],[Std Nom]]-Table1[[#This Row],[Std Read]])</f>
        <v>0</v>
      </c>
      <c r="N1897" s="1">
        <f>IF(Calculations!$F$5="ACCREDITED 17025 WITH UNCERTAINTIES",$N$10,0)</f>
        <v>0</v>
      </c>
      <c r="O1897" s="1" t="str">
        <f>IFERROR(Table1[[#This Row],[Std Nom]]-(_xlfn.XLOOKUP(Table1[[#This Row],[Manufacturer]]&amp;" "&amp;Table1[[#This Row],[Model]],Table13[MFR &amp; MDL],Table13[Tolerance % CW ],"")/100*Table1[[#This Row],[Std Nom]]),"")</f>
        <v/>
      </c>
      <c r="P1897" s="1" t="str">
        <f>IFERROR(Table1[[#This Row],[Std Nom]]+(_xlfn.XLOOKUP(Table1[[#This Row],[Manufacturer]]&amp;" "&amp;Table1[[#This Row],[Model]],Table13[MFR &amp; MDL],Table13[Tolerance % CW ],"")/100*Table1[[#This Row],[Std Nom]]),"")</f>
        <v/>
      </c>
      <c r="Q1897" s="1" t="e">
        <f>Table1[[#This Row],[High Tol]]-Table1[[#This Row],[Low Tol]]</f>
        <v>#VALUE!</v>
      </c>
      <c r="R1897" s="1">
        <f>2*Table1[[#This Row],[Std Error]]</f>
        <v>0</v>
      </c>
      <c r="S1897" s="1" t="str">
        <f>IF(Table1[[#This Row],[High Tol]]="","N/A",IFERROR(ABS(Table1[[#This Row],[Tol Span]]/Table1[[#This Row],[Error Span]]),"N/A"))</f>
        <v>N/A</v>
      </c>
      <c r="T1897" s="1" t="str">
        <f>IF(OR(Table1[[#This Row],[Low Tol]]="",Table1[[#This Row],[High Tol]]=""),"Needs Analysis",IF(Table1[[#This Row],[Ratio]]&gt;=4,"Not Significant",IF(Table1[[#This Row],[Ratio]]&gt;=2,"Semi-Significant","Significant")))</f>
        <v>Needs Analysis</v>
      </c>
      <c r="W1897" s="1">
        <f>IF(Table1[[#This Row],[Cal Type]]&lt;&gt;"ACCREDITED 17025 WITH UNCERTAINTIES",0,"")</f>
        <v>0</v>
      </c>
      <c r="X1897" s="1" t="str">
        <f>IF(Table1[[#This Row],[DUT Read]]="","N/A",Table1[[#This Row],[Std Error]]+Table1[[#This Row],[DUT Read]]+Table1[[#This Row],[DUT Ucty]])</f>
        <v>N/A</v>
      </c>
      <c r="Y1897" s="1" t="str">
        <f>IF(Table1[[#This Row],[Std Read]]="","N/A",Table1[[#This Row],[Std Read]]+Table1[[#This Row],[Std Ucty]])</f>
        <v>N/A</v>
      </c>
      <c r="Z18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7" s="1" t="str">
        <f>IF(Table1[[#This Row],[Spec Type]]="","N/A",Table1[[#This Row],[Spec Type]])</f>
        <v>±</v>
      </c>
      <c r="AC1897" s="1" t="str">
        <f>IF(Table1[[#This Row],[Spec Type2]]="N/A","N/A",IF(AND(Table1[[#This Row],[DUT Adj Read]]&gt;=Table1[[#This Row],[Low Tol]],Table1[[#This Row],[DUT Adj Read]]&lt;=Table1[[#This Row],[High Tol]]),"Pass","Fail"))</f>
        <v>Fail</v>
      </c>
      <c r="AD1897" s="1" t="str">
        <f>IF(AND(Table1[[#This Row],[Spec Type2]]="N/A",Table1[[#This Row],[DUT Adj Read]]="N/A",Table1[[#This Row],[Std Adj Read]]="N/A"),"N/A",IF(Table1[[#This Row],[DUT Adj Read]]="N/A",IF(Table1[[#This Row],[Std Adj Read]]&gt;Table1[[#This Row],[Low Tol]],"Pass","Fail"),IF(Table1[[#This Row],[DUT Adj Read]]&gt;Table1[[#This Row],[Low Tol]],"Pass","Fail")))</f>
        <v>Pass</v>
      </c>
      <c r="AE1897" s="1" t="str">
        <f>IF(AND(Table1[[#This Row],[Spec Type2]]="N/A",Table1[[#This Row],[DUT Adj Read]]="N/A",Table1[[#This Row],[Std Adj Read]]="N/A"),"N/A",IF(Table1[[#This Row],[DUT Adj Read]]="N/A",IF(Table1[[#This Row],[Std Adj Read]]&lt;Table1[[#This Row],[High Tol]],"Pass","Fail"),IF(Table1[[#This Row],[DUT Adj Read]]&lt;Table1[[#This Row],[High Tol]],"Pass","Fail")))</f>
        <v>Fail</v>
      </c>
      <c r="AF1897" s="1" t="str">
        <f>IF(AND(Table1[[#This Row],[Spec Type2]]="N/A",Table1[[#This Row],[DUT Adj Read]]="N/A",Table1[[#This Row],[Std Adj Read]]="N/A"),"N/A",IF(Table1[[#This Row],[DUT Adj Read]]="N/A",IF(Table1[[#This Row],[Std Adj Read]]&gt;=Table1[[#This Row],[Low Tol]],"Pass","Fail"),IF(Table1[[#This Row],[DUT Adj Read]]&gt;=Table1[[#This Row],[Low Tol]],"Pass","Fail")))</f>
        <v>Pass</v>
      </c>
      <c r="AG1897" s="1" t="str">
        <f>IF(AND(Table1[[#This Row],[Spec Type2]]="N/A",Table1[[#This Row],[DUT Adj Read]]="N/A",Table1[[#This Row],[Std Adj Read]]="N/A"),"N/A",IF(Table1[[#This Row],[DUT Adj Read]]="N/A",IF(Table1[[#This Row],[Std Adj Read]]&lt;=Table1[[#This Row],[High Tol]],"Pass","Fail"),IF(Table1[[#This Row],[DUT Adj Read]]&lt;=Table1[[#This Row],[High Tol]],"Pass","Fail")))</f>
        <v>Fail</v>
      </c>
      <c r="AH18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7" s="1" t="b">
        <v>0</v>
      </c>
      <c r="AN1897" s="1" t="b">
        <v>0</v>
      </c>
      <c r="AO1897" s="1" t="b">
        <v>0</v>
      </c>
    </row>
    <row r="1898" spans="1:41" x14ac:dyDescent="0.25">
      <c r="A1898" s="10"/>
      <c r="B1898" s="10"/>
      <c r="C1898" s="10"/>
      <c r="D1898" s="10"/>
      <c r="E1898" s="10"/>
      <c r="F1898" s="10"/>
      <c r="G1898" s="10"/>
      <c r="H1898" s="10"/>
      <c r="I1898" s="1" t="str">
        <f t="shared" si="87"/>
        <v/>
      </c>
      <c r="J1898" s="1" t="s">
        <v>35</v>
      </c>
      <c r="K1898" s="1" t="str">
        <f t="shared" si="88"/>
        <v/>
      </c>
      <c r="L1898" s="1" t="str">
        <f t="shared" si="89"/>
        <v/>
      </c>
      <c r="M1898" s="1">
        <f>IF(OR(Table1[[#This Row],[Std Nom]]="",Table1[[#This Row],[Std Read]]=""),0,Table1[[#This Row],[Std Nom]]-Table1[[#This Row],[Std Read]])</f>
        <v>0</v>
      </c>
      <c r="N1898" s="1">
        <f>IF(Calculations!$F$5="ACCREDITED 17025 WITH UNCERTAINTIES",$N$10,0)</f>
        <v>0</v>
      </c>
      <c r="O1898" s="1" t="str">
        <f>IFERROR(Table1[[#This Row],[Std Nom]]-(_xlfn.XLOOKUP(Table1[[#This Row],[Manufacturer]]&amp;" "&amp;Table1[[#This Row],[Model]],Table13[MFR &amp; MDL],Table13[Tolerance % CW ],"")/100*Table1[[#This Row],[Std Nom]]),"")</f>
        <v/>
      </c>
      <c r="P1898" s="1" t="str">
        <f>IFERROR(Table1[[#This Row],[Std Nom]]+(_xlfn.XLOOKUP(Table1[[#This Row],[Manufacturer]]&amp;" "&amp;Table1[[#This Row],[Model]],Table13[MFR &amp; MDL],Table13[Tolerance % CW ],"")/100*Table1[[#This Row],[Std Nom]]),"")</f>
        <v/>
      </c>
      <c r="Q1898" s="1" t="e">
        <f>Table1[[#This Row],[High Tol]]-Table1[[#This Row],[Low Tol]]</f>
        <v>#VALUE!</v>
      </c>
      <c r="R1898" s="1">
        <f>2*Table1[[#This Row],[Std Error]]</f>
        <v>0</v>
      </c>
      <c r="S1898" s="1" t="str">
        <f>IF(Table1[[#This Row],[High Tol]]="","N/A",IFERROR(ABS(Table1[[#This Row],[Tol Span]]/Table1[[#This Row],[Error Span]]),"N/A"))</f>
        <v>N/A</v>
      </c>
      <c r="T1898" s="1" t="str">
        <f>IF(OR(Table1[[#This Row],[Low Tol]]="",Table1[[#This Row],[High Tol]]=""),"Needs Analysis",IF(Table1[[#This Row],[Ratio]]&gt;=4,"Not Significant",IF(Table1[[#This Row],[Ratio]]&gt;=2,"Semi-Significant","Significant")))</f>
        <v>Needs Analysis</v>
      </c>
      <c r="W1898" s="1">
        <f>IF(Table1[[#This Row],[Cal Type]]&lt;&gt;"ACCREDITED 17025 WITH UNCERTAINTIES",0,"")</f>
        <v>0</v>
      </c>
      <c r="X1898" s="1" t="str">
        <f>IF(Table1[[#This Row],[DUT Read]]="","N/A",Table1[[#This Row],[Std Error]]+Table1[[#This Row],[DUT Read]]+Table1[[#This Row],[DUT Ucty]])</f>
        <v>N/A</v>
      </c>
      <c r="Y1898" s="1" t="str">
        <f>IF(Table1[[#This Row],[Std Read]]="","N/A",Table1[[#This Row],[Std Read]]+Table1[[#This Row],[Std Ucty]])</f>
        <v>N/A</v>
      </c>
      <c r="Z18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8" s="1" t="str">
        <f>IF(Table1[[#This Row],[Spec Type]]="","N/A",Table1[[#This Row],[Spec Type]])</f>
        <v>±</v>
      </c>
      <c r="AC1898" s="1" t="str">
        <f>IF(Table1[[#This Row],[Spec Type2]]="N/A","N/A",IF(AND(Table1[[#This Row],[DUT Adj Read]]&gt;=Table1[[#This Row],[Low Tol]],Table1[[#This Row],[DUT Adj Read]]&lt;=Table1[[#This Row],[High Tol]]),"Pass","Fail"))</f>
        <v>Fail</v>
      </c>
      <c r="AD1898" s="1" t="str">
        <f>IF(AND(Table1[[#This Row],[Spec Type2]]="N/A",Table1[[#This Row],[DUT Adj Read]]="N/A",Table1[[#This Row],[Std Adj Read]]="N/A"),"N/A",IF(Table1[[#This Row],[DUT Adj Read]]="N/A",IF(Table1[[#This Row],[Std Adj Read]]&gt;Table1[[#This Row],[Low Tol]],"Pass","Fail"),IF(Table1[[#This Row],[DUT Adj Read]]&gt;Table1[[#This Row],[Low Tol]],"Pass","Fail")))</f>
        <v>Pass</v>
      </c>
      <c r="AE1898" s="1" t="str">
        <f>IF(AND(Table1[[#This Row],[Spec Type2]]="N/A",Table1[[#This Row],[DUT Adj Read]]="N/A",Table1[[#This Row],[Std Adj Read]]="N/A"),"N/A",IF(Table1[[#This Row],[DUT Adj Read]]="N/A",IF(Table1[[#This Row],[Std Adj Read]]&lt;Table1[[#This Row],[High Tol]],"Pass","Fail"),IF(Table1[[#This Row],[DUT Adj Read]]&lt;Table1[[#This Row],[High Tol]],"Pass","Fail")))</f>
        <v>Fail</v>
      </c>
      <c r="AF1898" s="1" t="str">
        <f>IF(AND(Table1[[#This Row],[Spec Type2]]="N/A",Table1[[#This Row],[DUT Adj Read]]="N/A",Table1[[#This Row],[Std Adj Read]]="N/A"),"N/A",IF(Table1[[#This Row],[DUT Adj Read]]="N/A",IF(Table1[[#This Row],[Std Adj Read]]&gt;=Table1[[#This Row],[Low Tol]],"Pass","Fail"),IF(Table1[[#This Row],[DUT Adj Read]]&gt;=Table1[[#This Row],[Low Tol]],"Pass","Fail")))</f>
        <v>Pass</v>
      </c>
      <c r="AG1898" s="1" t="str">
        <f>IF(AND(Table1[[#This Row],[Spec Type2]]="N/A",Table1[[#This Row],[DUT Adj Read]]="N/A",Table1[[#This Row],[Std Adj Read]]="N/A"),"N/A",IF(Table1[[#This Row],[DUT Adj Read]]="N/A",IF(Table1[[#This Row],[Std Adj Read]]&lt;=Table1[[#This Row],[High Tol]],"Pass","Fail"),IF(Table1[[#This Row],[DUT Adj Read]]&lt;=Table1[[#This Row],[High Tol]],"Pass","Fail")))</f>
        <v>Fail</v>
      </c>
      <c r="AH18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8" s="1" t="b">
        <v>0</v>
      </c>
      <c r="AN1898" s="1" t="b">
        <v>0</v>
      </c>
      <c r="AO1898" s="1" t="b">
        <v>0</v>
      </c>
    </row>
    <row r="1899" spans="1:41" x14ac:dyDescent="0.25">
      <c r="A1899" s="10"/>
      <c r="B1899" s="10"/>
      <c r="C1899" s="10"/>
      <c r="D1899" s="10"/>
      <c r="E1899" s="10"/>
      <c r="F1899" s="10"/>
      <c r="G1899" s="10"/>
      <c r="H1899" s="10"/>
      <c r="I1899" s="1" t="str">
        <f t="shared" si="87"/>
        <v/>
      </c>
      <c r="J1899" s="1" t="s">
        <v>35</v>
      </c>
      <c r="K1899" s="1" t="str">
        <f t="shared" si="88"/>
        <v/>
      </c>
      <c r="L1899" s="1" t="str">
        <f t="shared" si="89"/>
        <v/>
      </c>
      <c r="M1899" s="1">
        <f>IF(OR(Table1[[#This Row],[Std Nom]]="",Table1[[#This Row],[Std Read]]=""),0,Table1[[#This Row],[Std Nom]]-Table1[[#This Row],[Std Read]])</f>
        <v>0</v>
      </c>
      <c r="N1899" s="1">
        <f>IF(Calculations!$F$5="ACCREDITED 17025 WITH UNCERTAINTIES",$N$10,0)</f>
        <v>0</v>
      </c>
      <c r="O1899" s="1" t="str">
        <f>IFERROR(Table1[[#This Row],[Std Nom]]-(_xlfn.XLOOKUP(Table1[[#This Row],[Manufacturer]]&amp;" "&amp;Table1[[#This Row],[Model]],Table13[MFR &amp; MDL],Table13[Tolerance % CW ],"")/100*Table1[[#This Row],[Std Nom]]),"")</f>
        <v/>
      </c>
      <c r="P1899" s="1" t="str">
        <f>IFERROR(Table1[[#This Row],[Std Nom]]+(_xlfn.XLOOKUP(Table1[[#This Row],[Manufacturer]]&amp;" "&amp;Table1[[#This Row],[Model]],Table13[MFR &amp; MDL],Table13[Tolerance % CW ],"")/100*Table1[[#This Row],[Std Nom]]),"")</f>
        <v/>
      </c>
      <c r="Q1899" s="1" t="e">
        <f>Table1[[#This Row],[High Tol]]-Table1[[#This Row],[Low Tol]]</f>
        <v>#VALUE!</v>
      </c>
      <c r="R1899" s="1">
        <f>2*Table1[[#This Row],[Std Error]]</f>
        <v>0</v>
      </c>
      <c r="S1899" s="1" t="str">
        <f>IF(Table1[[#This Row],[High Tol]]="","N/A",IFERROR(ABS(Table1[[#This Row],[Tol Span]]/Table1[[#This Row],[Error Span]]),"N/A"))</f>
        <v>N/A</v>
      </c>
      <c r="T1899" s="1" t="str">
        <f>IF(OR(Table1[[#This Row],[Low Tol]]="",Table1[[#This Row],[High Tol]]=""),"Needs Analysis",IF(Table1[[#This Row],[Ratio]]&gt;=4,"Not Significant",IF(Table1[[#This Row],[Ratio]]&gt;=2,"Semi-Significant","Significant")))</f>
        <v>Needs Analysis</v>
      </c>
      <c r="W1899" s="1">
        <f>IF(Table1[[#This Row],[Cal Type]]&lt;&gt;"ACCREDITED 17025 WITH UNCERTAINTIES",0,"")</f>
        <v>0</v>
      </c>
      <c r="X1899" s="1" t="str">
        <f>IF(Table1[[#This Row],[DUT Read]]="","N/A",Table1[[#This Row],[Std Error]]+Table1[[#This Row],[DUT Read]]+Table1[[#This Row],[DUT Ucty]])</f>
        <v>N/A</v>
      </c>
      <c r="Y1899" s="1" t="str">
        <f>IF(Table1[[#This Row],[Std Read]]="","N/A",Table1[[#This Row],[Std Read]]+Table1[[#This Row],[Std Ucty]])</f>
        <v>N/A</v>
      </c>
      <c r="Z18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9" s="1" t="str">
        <f>IF(Table1[[#This Row],[Spec Type]]="","N/A",Table1[[#This Row],[Spec Type]])</f>
        <v>±</v>
      </c>
      <c r="AC1899" s="1" t="str">
        <f>IF(Table1[[#This Row],[Spec Type2]]="N/A","N/A",IF(AND(Table1[[#This Row],[DUT Adj Read]]&gt;=Table1[[#This Row],[Low Tol]],Table1[[#This Row],[DUT Adj Read]]&lt;=Table1[[#This Row],[High Tol]]),"Pass","Fail"))</f>
        <v>Fail</v>
      </c>
      <c r="AD1899" s="1" t="str">
        <f>IF(AND(Table1[[#This Row],[Spec Type2]]="N/A",Table1[[#This Row],[DUT Adj Read]]="N/A",Table1[[#This Row],[Std Adj Read]]="N/A"),"N/A",IF(Table1[[#This Row],[DUT Adj Read]]="N/A",IF(Table1[[#This Row],[Std Adj Read]]&gt;Table1[[#This Row],[Low Tol]],"Pass","Fail"),IF(Table1[[#This Row],[DUT Adj Read]]&gt;Table1[[#This Row],[Low Tol]],"Pass","Fail")))</f>
        <v>Pass</v>
      </c>
      <c r="AE1899" s="1" t="str">
        <f>IF(AND(Table1[[#This Row],[Spec Type2]]="N/A",Table1[[#This Row],[DUT Adj Read]]="N/A",Table1[[#This Row],[Std Adj Read]]="N/A"),"N/A",IF(Table1[[#This Row],[DUT Adj Read]]="N/A",IF(Table1[[#This Row],[Std Adj Read]]&lt;Table1[[#This Row],[High Tol]],"Pass","Fail"),IF(Table1[[#This Row],[DUT Adj Read]]&lt;Table1[[#This Row],[High Tol]],"Pass","Fail")))</f>
        <v>Fail</v>
      </c>
      <c r="AF1899" s="1" t="str">
        <f>IF(AND(Table1[[#This Row],[Spec Type2]]="N/A",Table1[[#This Row],[DUT Adj Read]]="N/A",Table1[[#This Row],[Std Adj Read]]="N/A"),"N/A",IF(Table1[[#This Row],[DUT Adj Read]]="N/A",IF(Table1[[#This Row],[Std Adj Read]]&gt;=Table1[[#This Row],[Low Tol]],"Pass","Fail"),IF(Table1[[#This Row],[DUT Adj Read]]&gt;=Table1[[#This Row],[Low Tol]],"Pass","Fail")))</f>
        <v>Pass</v>
      </c>
      <c r="AG1899" s="1" t="str">
        <f>IF(AND(Table1[[#This Row],[Spec Type2]]="N/A",Table1[[#This Row],[DUT Adj Read]]="N/A",Table1[[#This Row],[Std Adj Read]]="N/A"),"N/A",IF(Table1[[#This Row],[DUT Adj Read]]="N/A",IF(Table1[[#This Row],[Std Adj Read]]&lt;=Table1[[#This Row],[High Tol]],"Pass","Fail"),IF(Table1[[#This Row],[DUT Adj Read]]&lt;=Table1[[#This Row],[High Tol]],"Pass","Fail")))</f>
        <v>Fail</v>
      </c>
      <c r="AH18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9" s="1" t="b">
        <v>0</v>
      </c>
      <c r="AN1899" s="1" t="b">
        <v>0</v>
      </c>
      <c r="AO1899" s="1" t="b">
        <v>0</v>
      </c>
    </row>
    <row r="1900" spans="1:41" x14ac:dyDescent="0.25">
      <c r="A1900" s="10"/>
      <c r="B1900" s="10"/>
      <c r="C1900" s="10"/>
      <c r="D1900" s="10"/>
      <c r="E1900" s="10"/>
      <c r="F1900" s="10"/>
      <c r="G1900" s="10"/>
      <c r="H1900" s="10"/>
      <c r="I1900" s="1" t="str">
        <f t="shared" si="87"/>
        <v/>
      </c>
      <c r="J1900" s="1" t="s">
        <v>35</v>
      </c>
      <c r="K1900" s="1" t="str">
        <f t="shared" si="88"/>
        <v/>
      </c>
      <c r="L1900" s="1" t="str">
        <f t="shared" si="89"/>
        <v/>
      </c>
      <c r="M1900" s="1">
        <f>IF(OR(Table1[[#This Row],[Std Nom]]="",Table1[[#This Row],[Std Read]]=""),0,Table1[[#This Row],[Std Nom]]-Table1[[#This Row],[Std Read]])</f>
        <v>0</v>
      </c>
      <c r="N1900" s="1">
        <f>IF(Calculations!$F$5="ACCREDITED 17025 WITH UNCERTAINTIES",$N$10,0)</f>
        <v>0</v>
      </c>
      <c r="O1900" s="1" t="str">
        <f>IFERROR(Table1[[#This Row],[Std Nom]]-(_xlfn.XLOOKUP(Table1[[#This Row],[Manufacturer]]&amp;" "&amp;Table1[[#This Row],[Model]],Table13[MFR &amp; MDL],Table13[Tolerance % CW ],"")/100*Table1[[#This Row],[Std Nom]]),"")</f>
        <v/>
      </c>
      <c r="P1900" s="1" t="str">
        <f>IFERROR(Table1[[#This Row],[Std Nom]]+(_xlfn.XLOOKUP(Table1[[#This Row],[Manufacturer]]&amp;" "&amp;Table1[[#This Row],[Model]],Table13[MFR &amp; MDL],Table13[Tolerance % CW ],"")/100*Table1[[#This Row],[Std Nom]]),"")</f>
        <v/>
      </c>
      <c r="Q1900" s="1" t="e">
        <f>Table1[[#This Row],[High Tol]]-Table1[[#This Row],[Low Tol]]</f>
        <v>#VALUE!</v>
      </c>
      <c r="R1900" s="1">
        <f>2*Table1[[#This Row],[Std Error]]</f>
        <v>0</v>
      </c>
      <c r="S1900" s="1" t="str">
        <f>IF(Table1[[#This Row],[High Tol]]="","N/A",IFERROR(ABS(Table1[[#This Row],[Tol Span]]/Table1[[#This Row],[Error Span]]),"N/A"))</f>
        <v>N/A</v>
      </c>
      <c r="T1900" s="1" t="str">
        <f>IF(OR(Table1[[#This Row],[Low Tol]]="",Table1[[#This Row],[High Tol]]=""),"Needs Analysis",IF(Table1[[#This Row],[Ratio]]&gt;=4,"Not Significant",IF(Table1[[#This Row],[Ratio]]&gt;=2,"Semi-Significant","Significant")))</f>
        <v>Needs Analysis</v>
      </c>
      <c r="W1900" s="1">
        <f>IF(Table1[[#This Row],[Cal Type]]&lt;&gt;"ACCREDITED 17025 WITH UNCERTAINTIES",0,"")</f>
        <v>0</v>
      </c>
      <c r="X1900" s="1" t="str">
        <f>IF(Table1[[#This Row],[DUT Read]]="","N/A",Table1[[#This Row],[Std Error]]+Table1[[#This Row],[DUT Read]]+Table1[[#This Row],[DUT Ucty]])</f>
        <v>N/A</v>
      </c>
      <c r="Y1900" s="1" t="str">
        <f>IF(Table1[[#This Row],[Std Read]]="","N/A",Table1[[#This Row],[Std Read]]+Table1[[#This Row],[Std Ucty]])</f>
        <v>N/A</v>
      </c>
      <c r="Z19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0" s="1" t="str">
        <f>IF(Table1[[#This Row],[Spec Type]]="","N/A",Table1[[#This Row],[Spec Type]])</f>
        <v>±</v>
      </c>
      <c r="AC1900" s="1" t="str">
        <f>IF(Table1[[#This Row],[Spec Type2]]="N/A","N/A",IF(AND(Table1[[#This Row],[DUT Adj Read]]&gt;=Table1[[#This Row],[Low Tol]],Table1[[#This Row],[DUT Adj Read]]&lt;=Table1[[#This Row],[High Tol]]),"Pass","Fail"))</f>
        <v>Fail</v>
      </c>
      <c r="AD1900" s="1" t="str">
        <f>IF(AND(Table1[[#This Row],[Spec Type2]]="N/A",Table1[[#This Row],[DUT Adj Read]]="N/A",Table1[[#This Row],[Std Adj Read]]="N/A"),"N/A",IF(Table1[[#This Row],[DUT Adj Read]]="N/A",IF(Table1[[#This Row],[Std Adj Read]]&gt;Table1[[#This Row],[Low Tol]],"Pass","Fail"),IF(Table1[[#This Row],[DUT Adj Read]]&gt;Table1[[#This Row],[Low Tol]],"Pass","Fail")))</f>
        <v>Pass</v>
      </c>
      <c r="AE1900" s="1" t="str">
        <f>IF(AND(Table1[[#This Row],[Spec Type2]]="N/A",Table1[[#This Row],[DUT Adj Read]]="N/A",Table1[[#This Row],[Std Adj Read]]="N/A"),"N/A",IF(Table1[[#This Row],[DUT Adj Read]]="N/A",IF(Table1[[#This Row],[Std Adj Read]]&lt;Table1[[#This Row],[High Tol]],"Pass","Fail"),IF(Table1[[#This Row],[DUT Adj Read]]&lt;Table1[[#This Row],[High Tol]],"Pass","Fail")))</f>
        <v>Fail</v>
      </c>
      <c r="AF1900" s="1" t="str">
        <f>IF(AND(Table1[[#This Row],[Spec Type2]]="N/A",Table1[[#This Row],[DUT Adj Read]]="N/A",Table1[[#This Row],[Std Adj Read]]="N/A"),"N/A",IF(Table1[[#This Row],[DUT Adj Read]]="N/A",IF(Table1[[#This Row],[Std Adj Read]]&gt;=Table1[[#This Row],[Low Tol]],"Pass","Fail"),IF(Table1[[#This Row],[DUT Adj Read]]&gt;=Table1[[#This Row],[Low Tol]],"Pass","Fail")))</f>
        <v>Pass</v>
      </c>
      <c r="AG1900" s="1" t="str">
        <f>IF(AND(Table1[[#This Row],[Spec Type2]]="N/A",Table1[[#This Row],[DUT Adj Read]]="N/A",Table1[[#This Row],[Std Adj Read]]="N/A"),"N/A",IF(Table1[[#This Row],[DUT Adj Read]]="N/A",IF(Table1[[#This Row],[Std Adj Read]]&lt;=Table1[[#This Row],[High Tol]],"Pass","Fail"),IF(Table1[[#This Row],[DUT Adj Read]]&lt;=Table1[[#This Row],[High Tol]],"Pass","Fail")))</f>
        <v>Fail</v>
      </c>
      <c r="AH19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0" s="1" t="b">
        <v>0</v>
      </c>
      <c r="AN1900" s="1" t="b">
        <v>0</v>
      </c>
      <c r="AO1900" s="1" t="b">
        <v>0</v>
      </c>
    </row>
    <row r="1901" spans="1:41" x14ac:dyDescent="0.25">
      <c r="A1901" s="10"/>
      <c r="B1901" s="10"/>
      <c r="C1901" s="10"/>
      <c r="D1901" s="10"/>
      <c r="E1901" s="10"/>
      <c r="F1901" s="10"/>
      <c r="G1901" s="10"/>
      <c r="H1901" s="10"/>
      <c r="I1901" s="1" t="str">
        <f t="shared" si="87"/>
        <v/>
      </c>
      <c r="J1901" s="1" t="s">
        <v>35</v>
      </c>
      <c r="K1901" s="1" t="str">
        <f t="shared" si="88"/>
        <v/>
      </c>
      <c r="L1901" s="1" t="str">
        <f t="shared" si="89"/>
        <v/>
      </c>
      <c r="M1901" s="1">
        <f>IF(OR(Table1[[#This Row],[Std Nom]]="",Table1[[#This Row],[Std Read]]=""),0,Table1[[#This Row],[Std Nom]]-Table1[[#This Row],[Std Read]])</f>
        <v>0</v>
      </c>
      <c r="N1901" s="1">
        <f>IF(Calculations!$F$5="ACCREDITED 17025 WITH UNCERTAINTIES",$N$10,0)</f>
        <v>0</v>
      </c>
      <c r="O1901" s="1" t="str">
        <f>IFERROR(Table1[[#This Row],[Std Nom]]-(_xlfn.XLOOKUP(Table1[[#This Row],[Manufacturer]]&amp;" "&amp;Table1[[#This Row],[Model]],Table13[MFR &amp; MDL],Table13[Tolerance % CW ],"")/100*Table1[[#This Row],[Std Nom]]),"")</f>
        <v/>
      </c>
      <c r="P1901" s="1" t="str">
        <f>IFERROR(Table1[[#This Row],[Std Nom]]+(_xlfn.XLOOKUP(Table1[[#This Row],[Manufacturer]]&amp;" "&amp;Table1[[#This Row],[Model]],Table13[MFR &amp; MDL],Table13[Tolerance % CW ],"")/100*Table1[[#This Row],[Std Nom]]),"")</f>
        <v/>
      </c>
      <c r="Q1901" s="1" t="e">
        <f>Table1[[#This Row],[High Tol]]-Table1[[#This Row],[Low Tol]]</f>
        <v>#VALUE!</v>
      </c>
      <c r="R1901" s="1">
        <f>2*Table1[[#This Row],[Std Error]]</f>
        <v>0</v>
      </c>
      <c r="S1901" s="1" t="str">
        <f>IF(Table1[[#This Row],[High Tol]]="","N/A",IFERROR(ABS(Table1[[#This Row],[Tol Span]]/Table1[[#This Row],[Error Span]]),"N/A"))</f>
        <v>N/A</v>
      </c>
      <c r="T1901" s="1" t="str">
        <f>IF(OR(Table1[[#This Row],[Low Tol]]="",Table1[[#This Row],[High Tol]]=""),"Needs Analysis",IF(Table1[[#This Row],[Ratio]]&gt;=4,"Not Significant",IF(Table1[[#This Row],[Ratio]]&gt;=2,"Semi-Significant","Significant")))</f>
        <v>Needs Analysis</v>
      </c>
      <c r="W1901" s="1">
        <f>IF(Table1[[#This Row],[Cal Type]]&lt;&gt;"ACCREDITED 17025 WITH UNCERTAINTIES",0,"")</f>
        <v>0</v>
      </c>
      <c r="X1901" s="1" t="str">
        <f>IF(Table1[[#This Row],[DUT Read]]="","N/A",Table1[[#This Row],[Std Error]]+Table1[[#This Row],[DUT Read]]+Table1[[#This Row],[DUT Ucty]])</f>
        <v>N/A</v>
      </c>
      <c r="Y1901" s="1" t="str">
        <f>IF(Table1[[#This Row],[Std Read]]="","N/A",Table1[[#This Row],[Std Read]]+Table1[[#This Row],[Std Ucty]])</f>
        <v>N/A</v>
      </c>
      <c r="Z19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1" s="1" t="str">
        <f>IF(Table1[[#This Row],[Spec Type]]="","N/A",Table1[[#This Row],[Spec Type]])</f>
        <v>±</v>
      </c>
      <c r="AC1901" s="1" t="str">
        <f>IF(Table1[[#This Row],[Spec Type2]]="N/A","N/A",IF(AND(Table1[[#This Row],[DUT Adj Read]]&gt;=Table1[[#This Row],[Low Tol]],Table1[[#This Row],[DUT Adj Read]]&lt;=Table1[[#This Row],[High Tol]]),"Pass","Fail"))</f>
        <v>Fail</v>
      </c>
      <c r="AD1901" s="1" t="str">
        <f>IF(AND(Table1[[#This Row],[Spec Type2]]="N/A",Table1[[#This Row],[DUT Adj Read]]="N/A",Table1[[#This Row],[Std Adj Read]]="N/A"),"N/A",IF(Table1[[#This Row],[DUT Adj Read]]="N/A",IF(Table1[[#This Row],[Std Adj Read]]&gt;Table1[[#This Row],[Low Tol]],"Pass","Fail"),IF(Table1[[#This Row],[DUT Adj Read]]&gt;Table1[[#This Row],[Low Tol]],"Pass","Fail")))</f>
        <v>Pass</v>
      </c>
      <c r="AE1901" s="1" t="str">
        <f>IF(AND(Table1[[#This Row],[Spec Type2]]="N/A",Table1[[#This Row],[DUT Adj Read]]="N/A",Table1[[#This Row],[Std Adj Read]]="N/A"),"N/A",IF(Table1[[#This Row],[DUT Adj Read]]="N/A",IF(Table1[[#This Row],[Std Adj Read]]&lt;Table1[[#This Row],[High Tol]],"Pass","Fail"),IF(Table1[[#This Row],[DUT Adj Read]]&lt;Table1[[#This Row],[High Tol]],"Pass","Fail")))</f>
        <v>Fail</v>
      </c>
      <c r="AF1901" s="1" t="str">
        <f>IF(AND(Table1[[#This Row],[Spec Type2]]="N/A",Table1[[#This Row],[DUT Adj Read]]="N/A",Table1[[#This Row],[Std Adj Read]]="N/A"),"N/A",IF(Table1[[#This Row],[DUT Adj Read]]="N/A",IF(Table1[[#This Row],[Std Adj Read]]&gt;=Table1[[#This Row],[Low Tol]],"Pass","Fail"),IF(Table1[[#This Row],[DUT Adj Read]]&gt;=Table1[[#This Row],[Low Tol]],"Pass","Fail")))</f>
        <v>Pass</v>
      </c>
      <c r="AG1901" s="1" t="str">
        <f>IF(AND(Table1[[#This Row],[Spec Type2]]="N/A",Table1[[#This Row],[DUT Adj Read]]="N/A",Table1[[#This Row],[Std Adj Read]]="N/A"),"N/A",IF(Table1[[#This Row],[DUT Adj Read]]="N/A",IF(Table1[[#This Row],[Std Adj Read]]&lt;=Table1[[#This Row],[High Tol]],"Pass","Fail"),IF(Table1[[#This Row],[DUT Adj Read]]&lt;=Table1[[#This Row],[High Tol]],"Pass","Fail")))</f>
        <v>Fail</v>
      </c>
      <c r="AH19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1" s="1" t="b">
        <v>0</v>
      </c>
      <c r="AN1901" s="1" t="b">
        <v>0</v>
      </c>
      <c r="AO1901" s="1" t="b">
        <v>0</v>
      </c>
    </row>
    <row r="1902" spans="1:41" x14ac:dyDescent="0.25">
      <c r="A1902" s="10"/>
      <c r="B1902" s="10"/>
      <c r="C1902" s="10"/>
      <c r="D1902" s="10"/>
      <c r="E1902" s="10"/>
      <c r="F1902" s="10"/>
      <c r="G1902" s="10"/>
      <c r="H1902" s="10"/>
      <c r="I1902" s="1" t="str">
        <f t="shared" si="87"/>
        <v/>
      </c>
      <c r="J1902" s="1" t="s">
        <v>35</v>
      </c>
      <c r="K1902" s="1" t="str">
        <f t="shared" si="88"/>
        <v/>
      </c>
      <c r="L1902" s="1" t="str">
        <f t="shared" si="89"/>
        <v/>
      </c>
      <c r="M1902" s="1">
        <f>IF(OR(Table1[[#This Row],[Std Nom]]="",Table1[[#This Row],[Std Read]]=""),0,Table1[[#This Row],[Std Nom]]-Table1[[#This Row],[Std Read]])</f>
        <v>0</v>
      </c>
      <c r="N1902" s="1">
        <f>IF(Calculations!$F$5="ACCREDITED 17025 WITH UNCERTAINTIES",$N$10,0)</f>
        <v>0</v>
      </c>
      <c r="O1902" s="1" t="str">
        <f>IFERROR(Table1[[#This Row],[Std Nom]]-(_xlfn.XLOOKUP(Table1[[#This Row],[Manufacturer]]&amp;" "&amp;Table1[[#This Row],[Model]],Table13[MFR &amp; MDL],Table13[Tolerance % CW ],"")/100*Table1[[#This Row],[Std Nom]]),"")</f>
        <v/>
      </c>
      <c r="P1902" s="1" t="str">
        <f>IFERROR(Table1[[#This Row],[Std Nom]]+(_xlfn.XLOOKUP(Table1[[#This Row],[Manufacturer]]&amp;" "&amp;Table1[[#This Row],[Model]],Table13[MFR &amp; MDL],Table13[Tolerance % CW ],"")/100*Table1[[#This Row],[Std Nom]]),"")</f>
        <v/>
      </c>
      <c r="Q1902" s="1" t="e">
        <f>Table1[[#This Row],[High Tol]]-Table1[[#This Row],[Low Tol]]</f>
        <v>#VALUE!</v>
      </c>
      <c r="R1902" s="1">
        <f>2*Table1[[#This Row],[Std Error]]</f>
        <v>0</v>
      </c>
      <c r="S1902" s="1" t="str">
        <f>IF(Table1[[#This Row],[High Tol]]="","N/A",IFERROR(ABS(Table1[[#This Row],[Tol Span]]/Table1[[#This Row],[Error Span]]),"N/A"))</f>
        <v>N/A</v>
      </c>
      <c r="T1902" s="1" t="str">
        <f>IF(OR(Table1[[#This Row],[Low Tol]]="",Table1[[#This Row],[High Tol]]=""),"Needs Analysis",IF(Table1[[#This Row],[Ratio]]&gt;=4,"Not Significant",IF(Table1[[#This Row],[Ratio]]&gt;=2,"Semi-Significant","Significant")))</f>
        <v>Needs Analysis</v>
      </c>
      <c r="W1902" s="1">
        <f>IF(Table1[[#This Row],[Cal Type]]&lt;&gt;"ACCREDITED 17025 WITH UNCERTAINTIES",0,"")</f>
        <v>0</v>
      </c>
      <c r="X1902" s="1" t="str">
        <f>IF(Table1[[#This Row],[DUT Read]]="","N/A",Table1[[#This Row],[Std Error]]+Table1[[#This Row],[DUT Read]]+Table1[[#This Row],[DUT Ucty]])</f>
        <v>N/A</v>
      </c>
      <c r="Y1902" s="1" t="str">
        <f>IF(Table1[[#This Row],[Std Read]]="","N/A",Table1[[#This Row],[Std Read]]+Table1[[#This Row],[Std Ucty]])</f>
        <v>N/A</v>
      </c>
      <c r="Z19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2" s="1" t="str">
        <f>IF(Table1[[#This Row],[Spec Type]]="","N/A",Table1[[#This Row],[Spec Type]])</f>
        <v>±</v>
      </c>
      <c r="AC1902" s="1" t="str">
        <f>IF(Table1[[#This Row],[Spec Type2]]="N/A","N/A",IF(AND(Table1[[#This Row],[DUT Adj Read]]&gt;=Table1[[#This Row],[Low Tol]],Table1[[#This Row],[DUT Adj Read]]&lt;=Table1[[#This Row],[High Tol]]),"Pass","Fail"))</f>
        <v>Fail</v>
      </c>
      <c r="AD1902" s="1" t="str">
        <f>IF(AND(Table1[[#This Row],[Spec Type2]]="N/A",Table1[[#This Row],[DUT Adj Read]]="N/A",Table1[[#This Row],[Std Adj Read]]="N/A"),"N/A",IF(Table1[[#This Row],[DUT Adj Read]]="N/A",IF(Table1[[#This Row],[Std Adj Read]]&gt;Table1[[#This Row],[Low Tol]],"Pass","Fail"),IF(Table1[[#This Row],[DUT Adj Read]]&gt;Table1[[#This Row],[Low Tol]],"Pass","Fail")))</f>
        <v>Pass</v>
      </c>
      <c r="AE1902" s="1" t="str">
        <f>IF(AND(Table1[[#This Row],[Spec Type2]]="N/A",Table1[[#This Row],[DUT Adj Read]]="N/A",Table1[[#This Row],[Std Adj Read]]="N/A"),"N/A",IF(Table1[[#This Row],[DUT Adj Read]]="N/A",IF(Table1[[#This Row],[Std Adj Read]]&lt;Table1[[#This Row],[High Tol]],"Pass","Fail"),IF(Table1[[#This Row],[DUT Adj Read]]&lt;Table1[[#This Row],[High Tol]],"Pass","Fail")))</f>
        <v>Fail</v>
      </c>
      <c r="AF1902" s="1" t="str">
        <f>IF(AND(Table1[[#This Row],[Spec Type2]]="N/A",Table1[[#This Row],[DUT Adj Read]]="N/A",Table1[[#This Row],[Std Adj Read]]="N/A"),"N/A",IF(Table1[[#This Row],[DUT Adj Read]]="N/A",IF(Table1[[#This Row],[Std Adj Read]]&gt;=Table1[[#This Row],[Low Tol]],"Pass","Fail"),IF(Table1[[#This Row],[DUT Adj Read]]&gt;=Table1[[#This Row],[Low Tol]],"Pass","Fail")))</f>
        <v>Pass</v>
      </c>
      <c r="AG1902" s="1" t="str">
        <f>IF(AND(Table1[[#This Row],[Spec Type2]]="N/A",Table1[[#This Row],[DUT Adj Read]]="N/A",Table1[[#This Row],[Std Adj Read]]="N/A"),"N/A",IF(Table1[[#This Row],[DUT Adj Read]]="N/A",IF(Table1[[#This Row],[Std Adj Read]]&lt;=Table1[[#This Row],[High Tol]],"Pass","Fail"),IF(Table1[[#This Row],[DUT Adj Read]]&lt;=Table1[[#This Row],[High Tol]],"Pass","Fail")))</f>
        <v>Fail</v>
      </c>
      <c r="AH19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2" s="1" t="b">
        <v>0</v>
      </c>
      <c r="AN1902" s="1" t="b">
        <v>0</v>
      </c>
      <c r="AO1902" s="1" t="b">
        <v>0</v>
      </c>
    </row>
    <row r="1903" spans="1:41" x14ac:dyDescent="0.25">
      <c r="A1903" s="10"/>
      <c r="B1903" s="10"/>
      <c r="C1903" s="10"/>
      <c r="D1903" s="10"/>
      <c r="E1903" s="10"/>
      <c r="F1903" s="10"/>
      <c r="G1903" s="10"/>
      <c r="H1903" s="10"/>
      <c r="I1903" s="1" t="str">
        <f t="shared" si="87"/>
        <v/>
      </c>
      <c r="J1903" s="1" t="s">
        <v>35</v>
      </c>
      <c r="K1903" s="1" t="str">
        <f t="shared" si="88"/>
        <v/>
      </c>
      <c r="L1903" s="1" t="str">
        <f t="shared" si="89"/>
        <v/>
      </c>
      <c r="M1903" s="1">
        <f>IF(OR(Table1[[#This Row],[Std Nom]]="",Table1[[#This Row],[Std Read]]=""),0,Table1[[#This Row],[Std Nom]]-Table1[[#This Row],[Std Read]])</f>
        <v>0</v>
      </c>
      <c r="N1903" s="1">
        <f>IF(Calculations!$F$5="ACCREDITED 17025 WITH UNCERTAINTIES",$N$10,0)</f>
        <v>0</v>
      </c>
      <c r="O1903" s="1" t="str">
        <f>IFERROR(Table1[[#This Row],[Std Nom]]-(_xlfn.XLOOKUP(Table1[[#This Row],[Manufacturer]]&amp;" "&amp;Table1[[#This Row],[Model]],Table13[MFR &amp; MDL],Table13[Tolerance % CW ],"")/100*Table1[[#This Row],[Std Nom]]),"")</f>
        <v/>
      </c>
      <c r="P1903" s="1" t="str">
        <f>IFERROR(Table1[[#This Row],[Std Nom]]+(_xlfn.XLOOKUP(Table1[[#This Row],[Manufacturer]]&amp;" "&amp;Table1[[#This Row],[Model]],Table13[MFR &amp; MDL],Table13[Tolerance % CW ],"")/100*Table1[[#This Row],[Std Nom]]),"")</f>
        <v/>
      </c>
      <c r="Q1903" s="1" t="e">
        <f>Table1[[#This Row],[High Tol]]-Table1[[#This Row],[Low Tol]]</f>
        <v>#VALUE!</v>
      </c>
      <c r="R1903" s="1">
        <f>2*Table1[[#This Row],[Std Error]]</f>
        <v>0</v>
      </c>
      <c r="S1903" s="1" t="str">
        <f>IF(Table1[[#This Row],[High Tol]]="","N/A",IFERROR(ABS(Table1[[#This Row],[Tol Span]]/Table1[[#This Row],[Error Span]]),"N/A"))</f>
        <v>N/A</v>
      </c>
      <c r="T1903" s="1" t="str">
        <f>IF(OR(Table1[[#This Row],[Low Tol]]="",Table1[[#This Row],[High Tol]]=""),"Needs Analysis",IF(Table1[[#This Row],[Ratio]]&gt;=4,"Not Significant",IF(Table1[[#This Row],[Ratio]]&gt;=2,"Semi-Significant","Significant")))</f>
        <v>Needs Analysis</v>
      </c>
      <c r="W1903" s="1">
        <f>IF(Table1[[#This Row],[Cal Type]]&lt;&gt;"ACCREDITED 17025 WITH UNCERTAINTIES",0,"")</f>
        <v>0</v>
      </c>
      <c r="X1903" s="1" t="str">
        <f>IF(Table1[[#This Row],[DUT Read]]="","N/A",Table1[[#This Row],[Std Error]]+Table1[[#This Row],[DUT Read]]+Table1[[#This Row],[DUT Ucty]])</f>
        <v>N/A</v>
      </c>
      <c r="Y1903" s="1" t="str">
        <f>IF(Table1[[#This Row],[Std Read]]="","N/A",Table1[[#This Row],[Std Read]]+Table1[[#This Row],[Std Ucty]])</f>
        <v>N/A</v>
      </c>
      <c r="Z19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3" s="1" t="str">
        <f>IF(Table1[[#This Row],[Spec Type]]="","N/A",Table1[[#This Row],[Spec Type]])</f>
        <v>±</v>
      </c>
      <c r="AC1903" s="1" t="str">
        <f>IF(Table1[[#This Row],[Spec Type2]]="N/A","N/A",IF(AND(Table1[[#This Row],[DUT Adj Read]]&gt;=Table1[[#This Row],[Low Tol]],Table1[[#This Row],[DUT Adj Read]]&lt;=Table1[[#This Row],[High Tol]]),"Pass","Fail"))</f>
        <v>Fail</v>
      </c>
      <c r="AD1903" s="1" t="str">
        <f>IF(AND(Table1[[#This Row],[Spec Type2]]="N/A",Table1[[#This Row],[DUT Adj Read]]="N/A",Table1[[#This Row],[Std Adj Read]]="N/A"),"N/A",IF(Table1[[#This Row],[DUT Adj Read]]="N/A",IF(Table1[[#This Row],[Std Adj Read]]&gt;Table1[[#This Row],[Low Tol]],"Pass","Fail"),IF(Table1[[#This Row],[DUT Adj Read]]&gt;Table1[[#This Row],[Low Tol]],"Pass","Fail")))</f>
        <v>Pass</v>
      </c>
      <c r="AE1903" s="1" t="str">
        <f>IF(AND(Table1[[#This Row],[Spec Type2]]="N/A",Table1[[#This Row],[DUT Adj Read]]="N/A",Table1[[#This Row],[Std Adj Read]]="N/A"),"N/A",IF(Table1[[#This Row],[DUT Adj Read]]="N/A",IF(Table1[[#This Row],[Std Adj Read]]&lt;Table1[[#This Row],[High Tol]],"Pass","Fail"),IF(Table1[[#This Row],[DUT Adj Read]]&lt;Table1[[#This Row],[High Tol]],"Pass","Fail")))</f>
        <v>Fail</v>
      </c>
      <c r="AF1903" s="1" t="str">
        <f>IF(AND(Table1[[#This Row],[Spec Type2]]="N/A",Table1[[#This Row],[DUT Adj Read]]="N/A",Table1[[#This Row],[Std Adj Read]]="N/A"),"N/A",IF(Table1[[#This Row],[DUT Adj Read]]="N/A",IF(Table1[[#This Row],[Std Adj Read]]&gt;=Table1[[#This Row],[Low Tol]],"Pass","Fail"),IF(Table1[[#This Row],[DUT Adj Read]]&gt;=Table1[[#This Row],[Low Tol]],"Pass","Fail")))</f>
        <v>Pass</v>
      </c>
      <c r="AG1903" s="1" t="str">
        <f>IF(AND(Table1[[#This Row],[Spec Type2]]="N/A",Table1[[#This Row],[DUT Adj Read]]="N/A",Table1[[#This Row],[Std Adj Read]]="N/A"),"N/A",IF(Table1[[#This Row],[DUT Adj Read]]="N/A",IF(Table1[[#This Row],[Std Adj Read]]&lt;=Table1[[#This Row],[High Tol]],"Pass","Fail"),IF(Table1[[#This Row],[DUT Adj Read]]&lt;=Table1[[#This Row],[High Tol]],"Pass","Fail")))</f>
        <v>Fail</v>
      </c>
      <c r="AH19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3" s="1" t="b">
        <v>0</v>
      </c>
      <c r="AN1903" s="1" t="b">
        <v>0</v>
      </c>
      <c r="AO1903" s="1" t="b">
        <v>0</v>
      </c>
    </row>
    <row r="1904" spans="1:41" x14ac:dyDescent="0.25">
      <c r="A1904" s="10"/>
      <c r="B1904" s="10"/>
      <c r="C1904" s="10"/>
      <c r="D1904" s="10"/>
      <c r="E1904" s="10"/>
      <c r="F1904" s="10"/>
      <c r="G1904" s="10"/>
      <c r="H1904" s="10"/>
      <c r="I1904" s="1" t="str">
        <f t="shared" si="87"/>
        <v/>
      </c>
      <c r="J1904" s="1" t="s">
        <v>35</v>
      </c>
      <c r="K1904" s="1" t="str">
        <f t="shared" si="88"/>
        <v/>
      </c>
      <c r="L1904" s="1" t="str">
        <f t="shared" si="89"/>
        <v/>
      </c>
      <c r="M1904" s="1">
        <f>IF(OR(Table1[[#This Row],[Std Nom]]="",Table1[[#This Row],[Std Read]]=""),0,Table1[[#This Row],[Std Nom]]-Table1[[#This Row],[Std Read]])</f>
        <v>0</v>
      </c>
      <c r="N1904" s="1">
        <f>IF(Calculations!$F$5="ACCREDITED 17025 WITH UNCERTAINTIES",$N$10,0)</f>
        <v>0</v>
      </c>
      <c r="O1904" s="1" t="str">
        <f>IFERROR(Table1[[#This Row],[Std Nom]]-(_xlfn.XLOOKUP(Table1[[#This Row],[Manufacturer]]&amp;" "&amp;Table1[[#This Row],[Model]],Table13[MFR &amp; MDL],Table13[Tolerance % CW ],"")/100*Table1[[#This Row],[Std Nom]]),"")</f>
        <v/>
      </c>
      <c r="P1904" s="1" t="str">
        <f>IFERROR(Table1[[#This Row],[Std Nom]]+(_xlfn.XLOOKUP(Table1[[#This Row],[Manufacturer]]&amp;" "&amp;Table1[[#This Row],[Model]],Table13[MFR &amp; MDL],Table13[Tolerance % CW ],"")/100*Table1[[#This Row],[Std Nom]]),"")</f>
        <v/>
      </c>
      <c r="Q1904" s="1" t="e">
        <f>Table1[[#This Row],[High Tol]]-Table1[[#This Row],[Low Tol]]</f>
        <v>#VALUE!</v>
      </c>
      <c r="R1904" s="1">
        <f>2*Table1[[#This Row],[Std Error]]</f>
        <v>0</v>
      </c>
      <c r="S1904" s="1" t="str">
        <f>IF(Table1[[#This Row],[High Tol]]="","N/A",IFERROR(ABS(Table1[[#This Row],[Tol Span]]/Table1[[#This Row],[Error Span]]),"N/A"))</f>
        <v>N/A</v>
      </c>
      <c r="T1904" s="1" t="str">
        <f>IF(OR(Table1[[#This Row],[Low Tol]]="",Table1[[#This Row],[High Tol]]=""),"Needs Analysis",IF(Table1[[#This Row],[Ratio]]&gt;=4,"Not Significant",IF(Table1[[#This Row],[Ratio]]&gt;=2,"Semi-Significant","Significant")))</f>
        <v>Needs Analysis</v>
      </c>
      <c r="W1904" s="1">
        <f>IF(Table1[[#This Row],[Cal Type]]&lt;&gt;"ACCREDITED 17025 WITH UNCERTAINTIES",0,"")</f>
        <v>0</v>
      </c>
      <c r="X1904" s="1" t="str">
        <f>IF(Table1[[#This Row],[DUT Read]]="","N/A",Table1[[#This Row],[Std Error]]+Table1[[#This Row],[DUT Read]]+Table1[[#This Row],[DUT Ucty]])</f>
        <v>N/A</v>
      </c>
      <c r="Y1904" s="1" t="str">
        <f>IF(Table1[[#This Row],[Std Read]]="","N/A",Table1[[#This Row],[Std Read]]+Table1[[#This Row],[Std Ucty]])</f>
        <v>N/A</v>
      </c>
      <c r="Z19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4" s="1" t="str">
        <f>IF(Table1[[#This Row],[Spec Type]]="","N/A",Table1[[#This Row],[Spec Type]])</f>
        <v>±</v>
      </c>
      <c r="AC1904" s="1" t="str">
        <f>IF(Table1[[#This Row],[Spec Type2]]="N/A","N/A",IF(AND(Table1[[#This Row],[DUT Adj Read]]&gt;=Table1[[#This Row],[Low Tol]],Table1[[#This Row],[DUT Adj Read]]&lt;=Table1[[#This Row],[High Tol]]),"Pass","Fail"))</f>
        <v>Fail</v>
      </c>
      <c r="AD1904" s="1" t="str">
        <f>IF(AND(Table1[[#This Row],[Spec Type2]]="N/A",Table1[[#This Row],[DUT Adj Read]]="N/A",Table1[[#This Row],[Std Adj Read]]="N/A"),"N/A",IF(Table1[[#This Row],[DUT Adj Read]]="N/A",IF(Table1[[#This Row],[Std Adj Read]]&gt;Table1[[#This Row],[Low Tol]],"Pass","Fail"),IF(Table1[[#This Row],[DUT Adj Read]]&gt;Table1[[#This Row],[Low Tol]],"Pass","Fail")))</f>
        <v>Pass</v>
      </c>
      <c r="AE1904" s="1" t="str">
        <f>IF(AND(Table1[[#This Row],[Spec Type2]]="N/A",Table1[[#This Row],[DUT Adj Read]]="N/A",Table1[[#This Row],[Std Adj Read]]="N/A"),"N/A",IF(Table1[[#This Row],[DUT Adj Read]]="N/A",IF(Table1[[#This Row],[Std Adj Read]]&lt;Table1[[#This Row],[High Tol]],"Pass","Fail"),IF(Table1[[#This Row],[DUT Adj Read]]&lt;Table1[[#This Row],[High Tol]],"Pass","Fail")))</f>
        <v>Fail</v>
      </c>
      <c r="AF1904" s="1" t="str">
        <f>IF(AND(Table1[[#This Row],[Spec Type2]]="N/A",Table1[[#This Row],[DUT Adj Read]]="N/A",Table1[[#This Row],[Std Adj Read]]="N/A"),"N/A",IF(Table1[[#This Row],[DUT Adj Read]]="N/A",IF(Table1[[#This Row],[Std Adj Read]]&gt;=Table1[[#This Row],[Low Tol]],"Pass","Fail"),IF(Table1[[#This Row],[DUT Adj Read]]&gt;=Table1[[#This Row],[Low Tol]],"Pass","Fail")))</f>
        <v>Pass</v>
      </c>
      <c r="AG1904" s="1" t="str">
        <f>IF(AND(Table1[[#This Row],[Spec Type2]]="N/A",Table1[[#This Row],[DUT Adj Read]]="N/A",Table1[[#This Row],[Std Adj Read]]="N/A"),"N/A",IF(Table1[[#This Row],[DUT Adj Read]]="N/A",IF(Table1[[#This Row],[Std Adj Read]]&lt;=Table1[[#This Row],[High Tol]],"Pass","Fail"),IF(Table1[[#This Row],[DUT Adj Read]]&lt;=Table1[[#This Row],[High Tol]],"Pass","Fail")))</f>
        <v>Fail</v>
      </c>
      <c r="AH19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4" s="1" t="b">
        <v>0</v>
      </c>
      <c r="AN1904" s="1" t="b">
        <v>0</v>
      </c>
      <c r="AO1904" s="1" t="b">
        <v>0</v>
      </c>
    </row>
    <row r="1905" spans="1:41" x14ac:dyDescent="0.25">
      <c r="A1905" s="10"/>
      <c r="B1905" s="10"/>
      <c r="C1905" s="10"/>
      <c r="D1905" s="10"/>
      <c r="E1905" s="10"/>
      <c r="F1905" s="10"/>
      <c r="G1905" s="10"/>
      <c r="H1905" s="10"/>
      <c r="I1905" s="1" t="str">
        <f t="shared" si="87"/>
        <v/>
      </c>
      <c r="J1905" s="1" t="s">
        <v>35</v>
      </c>
      <c r="K1905" s="1" t="str">
        <f t="shared" si="88"/>
        <v/>
      </c>
      <c r="L1905" s="1" t="str">
        <f t="shared" si="89"/>
        <v/>
      </c>
      <c r="M1905" s="1">
        <f>IF(OR(Table1[[#This Row],[Std Nom]]="",Table1[[#This Row],[Std Read]]=""),0,Table1[[#This Row],[Std Nom]]-Table1[[#This Row],[Std Read]])</f>
        <v>0</v>
      </c>
      <c r="N1905" s="1">
        <f>IF(Calculations!$F$5="ACCREDITED 17025 WITH UNCERTAINTIES",$N$10,0)</f>
        <v>0</v>
      </c>
      <c r="O1905" s="1" t="str">
        <f>IFERROR(Table1[[#This Row],[Std Nom]]-(_xlfn.XLOOKUP(Table1[[#This Row],[Manufacturer]]&amp;" "&amp;Table1[[#This Row],[Model]],Table13[MFR &amp; MDL],Table13[Tolerance % CW ],"")/100*Table1[[#This Row],[Std Nom]]),"")</f>
        <v/>
      </c>
      <c r="P1905" s="1" t="str">
        <f>IFERROR(Table1[[#This Row],[Std Nom]]+(_xlfn.XLOOKUP(Table1[[#This Row],[Manufacturer]]&amp;" "&amp;Table1[[#This Row],[Model]],Table13[MFR &amp; MDL],Table13[Tolerance % CW ],"")/100*Table1[[#This Row],[Std Nom]]),"")</f>
        <v/>
      </c>
      <c r="Q1905" s="1" t="e">
        <f>Table1[[#This Row],[High Tol]]-Table1[[#This Row],[Low Tol]]</f>
        <v>#VALUE!</v>
      </c>
      <c r="R1905" s="1">
        <f>2*Table1[[#This Row],[Std Error]]</f>
        <v>0</v>
      </c>
      <c r="S1905" s="1" t="str">
        <f>IF(Table1[[#This Row],[High Tol]]="","N/A",IFERROR(ABS(Table1[[#This Row],[Tol Span]]/Table1[[#This Row],[Error Span]]),"N/A"))</f>
        <v>N/A</v>
      </c>
      <c r="T1905" s="1" t="str">
        <f>IF(OR(Table1[[#This Row],[Low Tol]]="",Table1[[#This Row],[High Tol]]=""),"Needs Analysis",IF(Table1[[#This Row],[Ratio]]&gt;=4,"Not Significant",IF(Table1[[#This Row],[Ratio]]&gt;=2,"Semi-Significant","Significant")))</f>
        <v>Needs Analysis</v>
      </c>
      <c r="W1905" s="1">
        <f>IF(Table1[[#This Row],[Cal Type]]&lt;&gt;"ACCREDITED 17025 WITH UNCERTAINTIES",0,"")</f>
        <v>0</v>
      </c>
      <c r="X1905" s="1" t="str">
        <f>IF(Table1[[#This Row],[DUT Read]]="","N/A",Table1[[#This Row],[Std Error]]+Table1[[#This Row],[DUT Read]]+Table1[[#This Row],[DUT Ucty]])</f>
        <v>N/A</v>
      </c>
      <c r="Y1905" s="1" t="str">
        <f>IF(Table1[[#This Row],[Std Read]]="","N/A",Table1[[#This Row],[Std Read]]+Table1[[#This Row],[Std Ucty]])</f>
        <v>N/A</v>
      </c>
      <c r="Z19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5" s="1" t="str">
        <f>IF(Table1[[#This Row],[Spec Type]]="","N/A",Table1[[#This Row],[Spec Type]])</f>
        <v>±</v>
      </c>
      <c r="AC1905" s="1" t="str">
        <f>IF(Table1[[#This Row],[Spec Type2]]="N/A","N/A",IF(AND(Table1[[#This Row],[DUT Adj Read]]&gt;=Table1[[#This Row],[Low Tol]],Table1[[#This Row],[DUT Adj Read]]&lt;=Table1[[#This Row],[High Tol]]),"Pass","Fail"))</f>
        <v>Fail</v>
      </c>
      <c r="AD1905" s="1" t="str">
        <f>IF(AND(Table1[[#This Row],[Spec Type2]]="N/A",Table1[[#This Row],[DUT Adj Read]]="N/A",Table1[[#This Row],[Std Adj Read]]="N/A"),"N/A",IF(Table1[[#This Row],[DUT Adj Read]]="N/A",IF(Table1[[#This Row],[Std Adj Read]]&gt;Table1[[#This Row],[Low Tol]],"Pass","Fail"),IF(Table1[[#This Row],[DUT Adj Read]]&gt;Table1[[#This Row],[Low Tol]],"Pass","Fail")))</f>
        <v>Pass</v>
      </c>
      <c r="AE1905" s="1" t="str">
        <f>IF(AND(Table1[[#This Row],[Spec Type2]]="N/A",Table1[[#This Row],[DUT Adj Read]]="N/A",Table1[[#This Row],[Std Adj Read]]="N/A"),"N/A",IF(Table1[[#This Row],[DUT Adj Read]]="N/A",IF(Table1[[#This Row],[Std Adj Read]]&lt;Table1[[#This Row],[High Tol]],"Pass","Fail"),IF(Table1[[#This Row],[DUT Adj Read]]&lt;Table1[[#This Row],[High Tol]],"Pass","Fail")))</f>
        <v>Fail</v>
      </c>
      <c r="AF1905" s="1" t="str">
        <f>IF(AND(Table1[[#This Row],[Spec Type2]]="N/A",Table1[[#This Row],[DUT Adj Read]]="N/A",Table1[[#This Row],[Std Adj Read]]="N/A"),"N/A",IF(Table1[[#This Row],[DUT Adj Read]]="N/A",IF(Table1[[#This Row],[Std Adj Read]]&gt;=Table1[[#This Row],[Low Tol]],"Pass","Fail"),IF(Table1[[#This Row],[DUT Adj Read]]&gt;=Table1[[#This Row],[Low Tol]],"Pass","Fail")))</f>
        <v>Pass</v>
      </c>
      <c r="AG1905" s="1" t="str">
        <f>IF(AND(Table1[[#This Row],[Spec Type2]]="N/A",Table1[[#This Row],[DUT Adj Read]]="N/A",Table1[[#This Row],[Std Adj Read]]="N/A"),"N/A",IF(Table1[[#This Row],[DUT Adj Read]]="N/A",IF(Table1[[#This Row],[Std Adj Read]]&lt;=Table1[[#This Row],[High Tol]],"Pass","Fail"),IF(Table1[[#This Row],[DUT Adj Read]]&lt;=Table1[[#This Row],[High Tol]],"Pass","Fail")))</f>
        <v>Fail</v>
      </c>
      <c r="AH19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5" s="1" t="b">
        <v>0</v>
      </c>
      <c r="AN1905" s="1" t="b">
        <v>0</v>
      </c>
      <c r="AO1905" s="1" t="b">
        <v>0</v>
      </c>
    </row>
    <row r="1906" spans="1:41" x14ac:dyDescent="0.25">
      <c r="A1906" s="10"/>
      <c r="B1906" s="10"/>
      <c r="C1906" s="10"/>
      <c r="D1906" s="10"/>
      <c r="E1906" s="10"/>
      <c r="F1906" s="10"/>
      <c r="G1906" s="10"/>
      <c r="H1906" s="10"/>
      <c r="I1906" s="1" t="str">
        <f t="shared" si="87"/>
        <v/>
      </c>
      <c r="J1906" s="1" t="s">
        <v>35</v>
      </c>
      <c r="K1906" s="1" t="str">
        <f t="shared" si="88"/>
        <v/>
      </c>
      <c r="L1906" s="1" t="str">
        <f t="shared" si="89"/>
        <v/>
      </c>
      <c r="M1906" s="1">
        <f>IF(OR(Table1[[#This Row],[Std Nom]]="",Table1[[#This Row],[Std Read]]=""),0,Table1[[#This Row],[Std Nom]]-Table1[[#This Row],[Std Read]])</f>
        <v>0</v>
      </c>
      <c r="N1906" s="1">
        <f>IF(Calculations!$F$5="ACCREDITED 17025 WITH UNCERTAINTIES",$N$10,0)</f>
        <v>0</v>
      </c>
      <c r="O1906" s="1" t="str">
        <f>IFERROR(Table1[[#This Row],[Std Nom]]-(_xlfn.XLOOKUP(Table1[[#This Row],[Manufacturer]]&amp;" "&amp;Table1[[#This Row],[Model]],Table13[MFR &amp; MDL],Table13[Tolerance % CW ],"")/100*Table1[[#This Row],[Std Nom]]),"")</f>
        <v/>
      </c>
      <c r="P1906" s="1" t="str">
        <f>IFERROR(Table1[[#This Row],[Std Nom]]+(_xlfn.XLOOKUP(Table1[[#This Row],[Manufacturer]]&amp;" "&amp;Table1[[#This Row],[Model]],Table13[MFR &amp; MDL],Table13[Tolerance % CW ],"")/100*Table1[[#This Row],[Std Nom]]),"")</f>
        <v/>
      </c>
      <c r="Q1906" s="1" t="e">
        <f>Table1[[#This Row],[High Tol]]-Table1[[#This Row],[Low Tol]]</f>
        <v>#VALUE!</v>
      </c>
      <c r="R1906" s="1">
        <f>2*Table1[[#This Row],[Std Error]]</f>
        <v>0</v>
      </c>
      <c r="S1906" s="1" t="str">
        <f>IF(Table1[[#This Row],[High Tol]]="","N/A",IFERROR(ABS(Table1[[#This Row],[Tol Span]]/Table1[[#This Row],[Error Span]]),"N/A"))</f>
        <v>N/A</v>
      </c>
      <c r="T1906" s="1" t="str">
        <f>IF(OR(Table1[[#This Row],[Low Tol]]="",Table1[[#This Row],[High Tol]]=""),"Needs Analysis",IF(Table1[[#This Row],[Ratio]]&gt;=4,"Not Significant",IF(Table1[[#This Row],[Ratio]]&gt;=2,"Semi-Significant","Significant")))</f>
        <v>Needs Analysis</v>
      </c>
      <c r="W1906" s="1">
        <f>IF(Table1[[#This Row],[Cal Type]]&lt;&gt;"ACCREDITED 17025 WITH UNCERTAINTIES",0,"")</f>
        <v>0</v>
      </c>
      <c r="X1906" s="1" t="str">
        <f>IF(Table1[[#This Row],[DUT Read]]="","N/A",Table1[[#This Row],[Std Error]]+Table1[[#This Row],[DUT Read]]+Table1[[#This Row],[DUT Ucty]])</f>
        <v>N/A</v>
      </c>
      <c r="Y1906" s="1" t="str">
        <f>IF(Table1[[#This Row],[Std Read]]="","N/A",Table1[[#This Row],[Std Read]]+Table1[[#This Row],[Std Ucty]])</f>
        <v>N/A</v>
      </c>
      <c r="Z19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6" s="1" t="str">
        <f>IF(Table1[[#This Row],[Spec Type]]="","N/A",Table1[[#This Row],[Spec Type]])</f>
        <v>±</v>
      </c>
      <c r="AC1906" s="1" t="str">
        <f>IF(Table1[[#This Row],[Spec Type2]]="N/A","N/A",IF(AND(Table1[[#This Row],[DUT Adj Read]]&gt;=Table1[[#This Row],[Low Tol]],Table1[[#This Row],[DUT Adj Read]]&lt;=Table1[[#This Row],[High Tol]]),"Pass","Fail"))</f>
        <v>Fail</v>
      </c>
      <c r="AD1906" s="1" t="str">
        <f>IF(AND(Table1[[#This Row],[Spec Type2]]="N/A",Table1[[#This Row],[DUT Adj Read]]="N/A",Table1[[#This Row],[Std Adj Read]]="N/A"),"N/A",IF(Table1[[#This Row],[DUT Adj Read]]="N/A",IF(Table1[[#This Row],[Std Adj Read]]&gt;Table1[[#This Row],[Low Tol]],"Pass","Fail"),IF(Table1[[#This Row],[DUT Adj Read]]&gt;Table1[[#This Row],[Low Tol]],"Pass","Fail")))</f>
        <v>Pass</v>
      </c>
      <c r="AE1906" s="1" t="str">
        <f>IF(AND(Table1[[#This Row],[Spec Type2]]="N/A",Table1[[#This Row],[DUT Adj Read]]="N/A",Table1[[#This Row],[Std Adj Read]]="N/A"),"N/A",IF(Table1[[#This Row],[DUT Adj Read]]="N/A",IF(Table1[[#This Row],[Std Adj Read]]&lt;Table1[[#This Row],[High Tol]],"Pass","Fail"),IF(Table1[[#This Row],[DUT Adj Read]]&lt;Table1[[#This Row],[High Tol]],"Pass","Fail")))</f>
        <v>Fail</v>
      </c>
      <c r="AF1906" s="1" t="str">
        <f>IF(AND(Table1[[#This Row],[Spec Type2]]="N/A",Table1[[#This Row],[DUT Adj Read]]="N/A",Table1[[#This Row],[Std Adj Read]]="N/A"),"N/A",IF(Table1[[#This Row],[DUT Adj Read]]="N/A",IF(Table1[[#This Row],[Std Adj Read]]&gt;=Table1[[#This Row],[Low Tol]],"Pass","Fail"),IF(Table1[[#This Row],[DUT Adj Read]]&gt;=Table1[[#This Row],[Low Tol]],"Pass","Fail")))</f>
        <v>Pass</v>
      </c>
      <c r="AG1906" s="1" t="str">
        <f>IF(AND(Table1[[#This Row],[Spec Type2]]="N/A",Table1[[#This Row],[DUT Adj Read]]="N/A",Table1[[#This Row],[Std Adj Read]]="N/A"),"N/A",IF(Table1[[#This Row],[DUT Adj Read]]="N/A",IF(Table1[[#This Row],[Std Adj Read]]&lt;=Table1[[#This Row],[High Tol]],"Pass","Fail"),IF(Table1[[#This Row],[DUT Adj Read]]&lt;=Table1[[#This Row],[High Tol]],"Pass","Fail")))</f>
        <v>Fail</v>
      </c>
      <c r="AH19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6" s="1" t="b">
        <v>0</v>
      </c>
      <c r="AN1906" s="1" t="b">
        <v>0</v>
      </c>
      <c r="AO1906" s="1" t="b">
        <v>0</v>
      </c>
    </row>
    <row r="1907" spans="1:41" x14ac:dyDescent="0.25">
      <c r="A1907" s="10"/>
      <c r="B1907" s="10"/>
      <c r="C1907" s="10"/>
      <c r="D1907" s="10"/>
      <c r="E1907" s="10"/>
      <c r="F1907" s="10"/>
      <c r="G1907" s="10"/>
      <c r="H1907" s="10"/>
      <c r="I1907" s="1" t="str">
        <f t="shared" si="87"/>
        <v/>
      </c>
      <c r="J1907" s="1" t="s">
        <v>35</v>
      </c>
      <c r="K1907" s="1" t="str">
        <f t="shared" si="88"/>
        <v/>
      </c>
      <c r="L1907" s="1" t="str">
        <f t="shared" si="89"/>
        <v/>
      </c>
      <c r="M1907" s="1">
        <f>IF(OR(Table1[[#This Row],[Std Nom]]="",Table1[[#This Row],[Std Read]]=""),0,Table1[[#This Row],[Std Nom]]-Table1[[#This Row],[Std Read]])</f>
        <v>0</v>
      </c>
      <c r="N1907" s="1">
        <f>IF(Calculations!$F$5="ACCREDITED 17025 WITH UNCERTAINTIES",$N$10,0)</f>
        <v>0</v>
      </c>
      <c r="O1907" s="1" t="str">
        <f>IFERROR(Table1[[#This Row],[Std Nom]]-(_xlfn.XLOOKUP(Table1[[#This Row],[Manufacturer]]&amp;" "&amp;Table1[[#This Row],[Model]],Table13[MFR &amp; MDL],Table13[Tolerance % CW ],"")/100*Table1[[#This Row],[Std Nom]]),"")</f>
        <v/>
      </c>
      <c r="P1907" s="1" t="str">
        <f>IFERROR(Table1[[#This Row],[Std Nom]]+(_xlfn.XLOOKUP(Table1[[#This Row],[Manufacturer]]&amp;" "&amp;Table1[[#This Row],[Model]],Table13[MFR &amp; MDL],Table13[Tolerance % CW ],"")/100*Table1[[#This Row],[Std Nom]]),"")</f>
        <v/>
      </c>
      <c r="Q1907" s="1" t="e">
        <f>Table1[[#This Row],[High Tol]]-Table1[[#This Row],[Low Tol]]</f>
        <v>#VALUE!</v>
      </c>
      <c r="R1907" s="1">
        <f>2*Table1[[#This Row],[Std Error]]</f>
        <v>0</v>
      </c>
      <c r="S1907" s="1" t="str">
        <f>IF(Table1[[#This Row],[High Tol]]="","N/A",IFERROR(ABS(Table1[[#This Row],[Tol Span]]/Table1[[#This Row],[Error Span]]),"N/A"))</f>
        <v>N/A</v>
      </c>
      <c r="T1907" s="1" t="str">
        <f>IF(OR(Table1[[#This Row],[Low Tol]]="",Table1[[#This Row],[High Tol]]=""),"Needs Analysis",IF(Table1[[#This Row],[Ratio]]&gt;=4,"Not Significant",IF(Table1[[#This Row],[Ratio]]&gt;=2,"Semi-Significant","Significant")))</f>
        <v>Needs Analysis</v>
      </c>
      <c r="W1907" s="1">
        <f>IF(Table1[[#This Row],[Cal Type]]&lt;&gt;"ACCREDITED 17025 WITH UNCERTAINTIES",0,"")</f>
        <v>0</v>
      </c>
      <c r="X1907" s="1" t="str">
        <f>IF(Table1[[#This Row],[DUT Read]]="","N/A",Table1[[#This Row],[Std Error]]+Table1[[#This Row],[DUT Read]]+Table1[[#This Row],[DUT Ucty]])</f>
        <v>N/A</v>
      </c>
      <c r="Y1907" s="1" t="str">
        <f>IF(Table1[[#This Row],[Std Read]]="","N/A",Table1[[#This Row],[Std Read]]+Table1[[#This Row],[Std Ucty]])</f>
        <v>N/A</v>
      </c>
      <c r="Z19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7" s="1" t="str">
        <f>IF(Table1[[#This Row],[Spec Type]]="","N/A",Table1[[#This Row],[Spec Type]])</f>
        <v>±</v>
      </c>
      <c r="AC1907" s="1" t="str">
        <f>IF(Table1[[#This Row],[Spec Type2]]="N/A","N/A",IF(AND(Table1[[#This Row],[DUT Adj Read]]&gt;=Table1[[#This Row],[Low Tol]],Table1[[#This Row],[DUT Adj Read]]&lt;=Table1[[#This Row],[High Tol]]),"Pass","Fail"))</f>
        <v>Fail</v>
      </c>
      <c r="AD1907" s="1" t="str">
        <f>IF(AND(Table1[[#This Row],[Spec Type2]]="N/A",Table1[[#This Row],[DUT Adj Read]]="N/A",Table1[[#This Row],[Std Adj Read]]="N/A"),"N/A",IF(Table1[[#This Row],[DUT Adj Read]]="N/A",IF(Table1[[#This Row],[Std Adj Read]]&gt;Table1[[#This Row],[Low Tol]],"Pass","Fail"),IF(Table1[[#This Row],[DUT Adj Read]]&gt;Table1[[#This Row],[Low Tol]],"Pass","Fail")))</f>
        <v>Pass</v>
      </c>
      <c r="AE1907" s="1" t="str">
        <f>IF(AND(Table1[[#This Row],[Spec Type2]]="N/A",Table1[[#This Row],[DUT Adj Read]]="N/A",Table1[[#This Row],[Std Adj Read]]="N/A"),"N/A",IF(Table1[[#This Row],[DUT Adj Read]]="N/A",IF(Table1[[#This Row],[Std Adj Read]]&lt;Table1[[#This Row],[High Tol]],"Pass","Fail"),IF(Table1[[#This Row],[DUT Adj Read]]&lt;Table1[[#This Row],[High Tol]],"Pass","Fail")))</f>
        <v>Fail</v>
      </c>
      <c r="AF1907" s="1" t="str">
        <f>IF(AND(Table1[[#This Row],[Spec Type2]]="N/A",Table1[[#This Row],[DUT Adj Read]]="N/A",Table1[[#This Row],[Std Adj Read]]="N/A"),"N/A",IF(Table1[[#This Row],[DUT Adj Read]]="N/A",IF(Table1[[#This Row],[Std Adj Read]]&gt;=Table1[[#This Row],[Low Tol]],"Pass","Fail"),IF(Table1[[#This Row],[DUT Adj Read]]&gt;=Table1[[#This Row],[Low Tol]],"Pass","Fail")))</f>
        <v>Pass</v>
      </c>
      <c r="AG1907" s="1" t="str">
        <f>IF(AND(Table1[[#This Row],[Spec Type2]]="N/A",Table1[[#This Row],[DUT Adj Read]]="N/A",Table1[[#This Row],[Std Adj Read]]="N/A"),"N/A",IF(Table1[[#This Row],[DUT Adj Read]]="N/A",IF(Table1[[#This Row],[Std Adj Read]]&lt;=Table1[[#This Row],[High Tol]],"Pass","Fail"),IF(Table1[[#This Row],[DUT Adj Read]]&lt;=Table1[[#This Row],[High Tol]],"Pass","Fail")))</f>
        <v>Fail</v>
      </c>
      <c r="AH19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7" s="1" t="b">
        <v>0</v>
      </c>
      <c r="AN1907" s="1" t="b">
        <v>0</v>
      </c>
      <c r="AO1907" s="1" t="b">
        <v>0</v>
      </c>
    </row>
    <row r="1908" spans="1:41" x14ac:dyDescent="0.25">
      <c r="A1908" s="10"/>
      <c r="B1908" s="10"/>
      <c r="C1908" s="10"/>
      <c r="D1908" s="10"/>
      <c r="E1908" s="10"/>
      <c r="F1908" s="10"/>
      <c r="G1908" s="10"/>
      <c r="H1908" s="10"/>
      <c r="I1908" s="1" t="str">
        <f t="shared" si="87"/>
        <v/>
      </c>
      <c r="J1908" s="1" t="s">
        <v>35</v>
      </c>
      <c r="K1908" s="1" t="str">
        <f t="shared" si="88"/>
        <v/>
      </c>
      <c r="L1908" s="1" t="str">
        <f t="shared" si="89"/>
        <v/>
      </c>
      <c r="M1908" s="1">
        <f>IF(OR(Table1[[#This Row],[Std Nom]]="",Table1[[#This Row],[Std Read]]=""),0,Table1[[#This Row],[Std Nom]]-Table1[[#This Row],[Std Read]])</f>
        <v>0</v>
      </c>
      <c r="N1908" s="1">
        <f>IF(Calculations!$F$5="ACCREDITED 17025 WITH UNCERTAINTIES",$N$10,0)</f>
        <v>0</v>
      </c>
      <c r="O1908" s="1" t="str">
        <f>IFERROR(Table1[[#This Row],[Std Nom]]-(_xlfn.XLOOKUP(Table1[[#This Row],[Manufacturer]]&amp;" "&amp;Table1[[#This Row],[Model]],Table13[MFR &amp; MDL],Table13[Tolerance % CW ],"")/100*Table1[[#This Row],[Std Nom]]),"")</f>
        <v/>
      </c>
      <c r="P1908" s="1" t="str">
        <f>IFERROR(Table1[[#This Row],[Std Nom]]+(_xlfn.XLOOKUP(Table1[[#This Row],[Manufacturer]]&amp;" "&amp;Table1[[#This Row],[Model]],Table13[MFR &amp; MDL],Table13[Tolerance % CW ],"")/100*Table1[[#This Row],[Std Nom]]),"")</f>
        <v/>
      </c>
      <c r="Q1908" s="1" t="e">
        <f>Table1[[#This Row],[High Tol]]-Table1[[#This Row],[Low Tol]]</f>
        <v>#VALUE!</v>
      </c>
      <c r="R1908" s="1">
        <f>2*Table1[[#This Row],[Std Error]]</f>
        <v>0</v>
      </c>
      <c r="S1908" s="1" t="str">
        <f>IF(Table1[[#This Row],[High Tol]]="","N/A",IFERROR(ABS(Table1[[#This Row],[Tol Span]]/Table1[[#This Row],[Error Span]]),"N/A"))</f>
        <v>N/A</v>
      </c>
      <c r="T1908" s="1" t="str">
        <f>IF(OR(Table1[[#This Row],[Low Tol]]="",Table1[[#This Row],[High Tol]]=""),"Needs Analysis",IF(Table1[[#This Row],[Ratio]]&gt;=4,"Not Significant",IF(Table1[[#This Row],[Ratio]]&gt;=2,"Semi-Significant","Significant")))</f>
        <v>Needs Analysis</v>
      </c>
      <c r="W1908" s="1">
        <f>IF(Table1[[#This Row],[Cal Type]]&lt;&gt;"ACCREDITED 17025 WITH UNCERTAINTIES",0,"")</f>
        <v>0</v>
      </c>
      <c r="X1908" s="1" t="str">
        <f>IF(Table1[[#This Row],[DUT Read]]="","N/A",Table1[[#This Row],[Std Error]]+Table1[[#This Row],[DUT Read]]+Table1[[#This Row],[DUT Ucty]])</f>
        <v>N/A</v>
      </c>
      <c r="Y1908" s="1" t="str">
        <f>IF(Table1[[#This Row],[Std Read]]="","N/A",Table1[[#This Row],[Std Read]]+Table1[[#This Row],[Std Ucty]])</f>
        <v>N/A</v>
      </c>
      <c r="Z19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8" s="1" t="str">
        <f>IF(Table1[[#This Row],[Spec Type]]="","N/A",Table1[[#This Row],[Spec Type]])</f>
        <v>±</v>
      </c>
      <c r="AC1908" s="1" t="str">
        <f>IF(Table1[[#This Row],[Spec Type2]]="N/A","N/A",IF(AND(Table1[[#This Row],[DUT Adj Read]]&gt;=Table1[[#This Row],[Low Tol]],Table1[[#This Row],[DUT Adj Read]]&lt;=Table1[[#This Row],[High Tol]]),"Pass","Fail"))</f>
        <v>Fail</v>
      </c>
      <c r="AD1908" s="1" t="str">
        <f>IF(AND(Table1[[#This Row],[Spec Type2]]="N/A",Table1[[#This Row],[DUT Adj Read]]="N/A",Table1[[#This Row],[Std Adj Read]]="N/A"),"N/A",IF(Table1[[#This Row],[DUT Adj Read]]="N/A",IF(Table1[[#This Row],[Std Adj Read]]&gt;Table1[[#This Row],[Low Tol]],"Pass","Fail"),IF(Table1[[#This Row],[DUT Adj Read]]&gt;Table1[[#This Row],[Low Tol]],"Pass","Fail")))</f>
        <v>Pass</v>
      </c>
      <c r="AE1908" s="1" t="str">
        <f>IF(AND(Table1[[#This Row],[Spec Type2]]="N/A",Table1[[#This Row],[DUT Adj Read]]="N/A",Table1[[#This Row],[Std Adj Read]]="N/A"),"N/A",IF(Table1[[#This Row],[DUT Adj Read]]="N/A",IF(Table1[[#This Row],[Std Adj Read]]&lt;Table1[[#This Row],[High Tol]],"Pass","Fail"),IF(Table1[[#This Row],[DUT Adj Read]]&lt;Table1[[#This Row],[High Tol]],"Pass","Fail")))</f>
        <v>Fail</v>
      </c>
      <c r="AF1908" s="1" t="str">
        <f>IF(AND(Table1[[#This Row],[Spec Type2]]="N/A",Table1[[#This Row],[DUT Adj Read]]="N/A",Table1[[#This Row],[Std Adj Read]]="N/A"),"N/A",IF(Table1[[#This Row],[DUT Adj Read]]="N/A",IF(Table1[[#This Row],[Std Adj Read]]&gt;=Table1[[#This Row],[Low Tol]],"Pass","Fail"),IF(Table1[[#This Row],[DUT Adj Read]]&gt;=Table1[[#This Row],[Low Tol]],"Pass","Fail")))</f>
        <v>Pass</v>
      </c>
      <c r="AG1908" s="1" t="str">
        <f>IF(AND(Table1[[#This Row],[Spec Type2]]="N/A",Table1[[#This Row],[DUT Adj Read]]="N/A",Table1[[#This Row],[Std Adj Read]]="N/A"),"N/A",IF(Table1[[#This Row],[DUT Adj Read]]="N/A",IF(Table1[[#This Row],[Std Adj Read]]&lt;=Table1[[#This Row],[High Tol]],"Pass","Fail"),IF(Table1[[#This Row],[DUT Adj Read]]&lt;=Table1[[#This Row],[High Tol]],"Pass","Fail")))</f>
        <v>Fail</v>
      </c>
      <c r="AH19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8" s="1" t="b">
        <v>0</v>
      </c>
      <c r="AN1908" s="1" t="b">
        <v>0</v>
      </c>
      <c r="AO1908" s="1" t="b">
        <v>0</v>
      </c>
    </row>
    <row r="1909" spans="1:41" x14ac:dyDescent="0.25">
      <c r="A1909" s="10"/>
      <c r="B1909" s="10"/>
      <c r="C1909" s="10"/>
      <c r="D1909" s="10"/>
      <c r="E1909" s="10"/>
      <c r="F1909" s="10"/>
      <c r="G1909" s="10"/>
      <c r="H1909" s="10"/>
      <c r="I1909" s="1" t="str">
        <f t="shared" si="87"/>
        <v/>
      </c>
      <c r="J1909" s="1" t="s">
        <v>35</v>
      </c>
      <c r="K1909" s="1" t="str">
        <f t="shared" si="88"/>
        <v/>
      </c>
      <c r="L1909" s="1" t="str">
        <f t="shared" si="89"/>
        <v/>
      </c>
      <c r="M1909" s="1">
        <f>IF(OR(Table1[[#This Row],[Std Nom]]="",Table1[[#This Row],[Std Read]]=""),0,Table1[[#This Row],[Std Nom]]-Table1[[#This Row],[Std Read]])</f>
        <v>0</v>
      </c>
      <c r="N1909" s="1">
        <f>IF(Calculations!$F$5="ACCREDITED 17025 WITH UNCERTAINTIES",$N$10,0)</f>
        <v>0</v>
      </c>
      <c r="O1909" s="1" t="str">
        <f>IFERROR(Table1[[#This Row],[Std Nom]]-(_xlfn.XLOOKUP(Table1[[#This Row],[Manufacturer]]&amp;" "&amp;Table1[[#This Row],[Model]],Table13[MFR &amp; MDL],Table13[Tolerance % CW ],"")/100*Table1[[#This Row],[Std Nom]]),"")</f>
        <v/>
      </c>
      <c r="P1909" s="1" t="str">
        <f>IFERROR(Table1[[#This Row],[Std Nom]]+(_xlfn.XLOOKUP(Table1[[#This Row],[Manufacturer]]&amp;" "&amp;Table1[[#This Row],[Model]],Table13[MFR &amp; MDL],Table13[Tolerance % CW ],"")/100*Table1[[#This Row],[Std Nom]]),"")</f>
        <v/>
      </c>
      <c r="Q1909" s="1" t="e">
        <f>Table1[[#This Row],[High Tol]]-Table1[[#This Row],[Low Tol]]</f>
        <v>#VALUE!</v>
      </c>
      <c r="R1909" s="1">
        <f>2*Table1[[#This Row],[Std Error]]</f>
        <v>0</v>
      </c>
      <c r="S1909" s="1" t="str">
        <f>IF(Table1[[#This Row],[High Tol]]="","N/A",IFERROR(ABS(Table1[[#This Row],[Tol Span]]/Table1[[#This Row],[Error Span]]),"N/A"))</f>
        <v>N/A</v>
      </c>
      <c r="T1909" s="1" t="str">
        <f>IF(OR(Table1[[#This Row],[Low Tol]]="",Table1[[#This Row],[High Tol]]=""),"Needs Analysis",IF(Table1[[#This Row],[Ratio]]&gt;=4,"Not Significant",IF(Table1[[#This Row],[Ratio]]&gt;=2,"Semi-Significant","Significant")))</f>
        <v>Needs Analysis</v>
      </c>
      <c r="W1909" s="1">
        <f>IF(Table1[[#This Row],[Cal Type]]&lt;&gt;"ACCREDITED 17025 WITH UNCERTAINTIES",0,"")</f>
        <v>0</v>
      </c>
      <c r="X1909" s="1" t="str">
        <f>IF(Table1[[#This Row],[DUT Read]]="","N/A",Table1[[#This Row],[Std Error]]+Table1[[#This Row],[DUT Read]]+Table1[[#This Row],[DUT Ucty]])</f>
        <v>N/A</v>
      </c>
      <c r="Y1909" s="1" t="str">
        <f>IF(Table1[[#This Row],[Std Read]]="","N/A",Table1[[#This Row],[Std Read]]+Table1[[#This Row],[Std Ucty]])</f>
        <v>N/A</v>
      </c>
      <c r="Z19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9" s="1" t="str">
        <f>IF(Table1[[#This Row],[Spec Type]]="","N/A",Table1[[#This Row],[Spec Type]])</f>
        <v>±</v>
      </c>
      <c r="AC1909" s="1" t="str">
        <f>IF(Table1[[#This Row],[Spec Type2]]="N/A","N/A",IF(AND(Table1[[#This Row],[DUT Adj Read]]&gt;=Table1[[#This Row],[Low Tol]],Table1[[#This Row],[DUT Adj Read]]&lt;=Table1[[#This Row],[High Tol]]),"Pass","Fail"))</f>
        <v>Fail</v>
      </c>
      <c r="AD1909" s="1" t="str">
        <f>IF(AND(Table1[[#This Row],[Spec Type2]]="N/A",Table1[[#This Row],[DUT Adj Read]]="N/A",Table1[[#This Row],[Std Adj Read]]="N/A"),"N/A",IF(Table1[[#This Row],[DUT Adj Read]]="N/A",IF(Table1[[#This Row],[Std Adj Read]]&gt;Table1[[#This Row],[Low Tol]],"Pass","Fail"),IF(Table1[[#This Row],[DUT Adj Read]]&gt;Table1[[#This Row],[Low Tol]],"Pass","Fail")))</f>
        <v>Pass</v>
      </c>
      <c r="AE1909" s="1" t="str">
        <f>IF(AND(Table1[[#This Row],[Spec Type2]]="N/A",Table1[[#This Row],[DUT Adj Read]]="N/A",Table1[[#This Row],[Std Adj Read]]="N/A"),"N/A",IF(Table1[[#This Row],[DUT Adj Read]]="N/A",IF(Table1[[#This Row],[Std Adj Read]]&lt;Table1[[#This Row],[High Tol]],"Pass","Fail"),IF(Table1[[#This Row],[DUT Adj Read]]&lt;Table1[[#This Row],[High Tol]],"Pass","Fail")))</f>
        <v>Fail</v>
      </c>
      <c r="AF1909" s="1" t="str">
        <f>IF(AND(Table1[[#This Row],[Spec Type2]]="N/A",Table1[[#This Row],[DUT Adj Read]]="N/A",Table1[[#This Row],[Std Adj Read]]="N/A"),"N/A",IF(Table1[[#This Row],[DUT Adj Read]]="N/A",IF(Table1[[#This Row],[Std Adj Read]]&gt;=Table1[[#This Row],[Low Tol]],"Pass","Fail"),IF(Table1[[#This Row],[DUT Adj Read]]&gt;=Table1[[#This Row],[Low Tol]],"Pass","Fail")))</f>
        <v>Pass</v>
      </c>
      <c r="AG1909" s="1" t="str">
        <f>IF(AND(Table1[[#This Row],[Spec Type2]]="N/A",Table1[[#This Row],[DUT Adj Read]]="N/A",Table1[[#This Row],[Std Adj Read]]="N/A"),"N/A",IF(Table1[[#This Row],[DUT Adj Read]]="N/A",IF(Table1[[#This Row],[Std Adj Read]]&lt;=Table1[[#This Row],[High Tol]],"Pass","Fail"),IF(Table1[[#This Row],[DUT Adj Read]]&lt;=Table1[[#This Row],[High Tol]],"Pass","Fail")))</f>
        <v>Fail</v>
      </c>
      <c r="AH19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9" s="1" t="b">
        <v>0</v>
      </c>
      <c r="AN1909" s="1" t="b">
        <v>0</v>
      </c>
      <c r="AO1909" s="1" t="b">
        <v>0</v>
      </c>
    </row>
    <row r="1910" spans="1:41" x14ac:dyDescent="0.25">
      <c r="A1910" s="10"/>
      <c r="B1910" s="10"/>
      <c r="C1910" s="10"/>
      <c r="D1910" s="10"/>
      <c r="E1910" s="10"/>
      <c r="F1910" s="10"/>
      <c r="G1910" s="10"/>
      <c r="H1910" s="10"/>
      <c r="I1910" s="1" t="str">
        <f t="shared" si="87"/>
        <v/>
      </c>
      <c r="J1910" s="1" t="s">
        <v>35</v>
      </c>
      <c r="K1910" s="1" t="str">
        <f t="shared" si="88"/>
        <v/>
      </c>
      <c r="L1910" s="1" t="str">
        <f t="shared" si="89"/>
        <v/>
      </c>
      <c r="M1910" s="1">
        <f>IF(OR(Table1[[#This Row],[Std Nom]]="",Table1[[#This Row],[Std Read]]=""),0,Table1[[#This Row],[Std Nom]]-Table1[[#This Row],[Std Read]])</f>
        <v>0</v>
      </c>
      <c r="N1910" s="1">
        <f>IF(Calculations!$F$5="ACCREDITED 17025 WITH UNCERTAINTIES",$N$10,0)</f>
        <v>0</v>
      </c>
      <c r="O1910" s="1" t="str">
        <f>IFERROR(Table1[[#This Row],[Std Nom]]-(_xlfn.XLOOKUP(Table1[[#This Row],[Manufacturer]]&amp;" "&amp;Table1[[#This Row],[Model]],Table13[MFR &amp; MDL],Table13[Tolerance % CW ],"")/100*Table1[[#This Row],[Std Nom]]),"")</f>
        <v/>
      </c>
      <c r="P1910" s="1" t="str">
        <f>IFERROR(Table1[[#This Row],[Std Nom]]+(_xlfn.XLOOKUP(Table1[[#This Row],[Manufacturer]]&amp;" "&amp;Table1[[#This Row],[Model]],Table13[MFR &amp; MDL],Table13[Tolerance % CW ],"")/100*Table1[[#This Row],[Std Nom]]),"")</f>
        <v/>
      </c>
      <c r="Q1910" s="1" t="e">
        <f>Table1[[#This Row],[High Tol]]-Table1[[#This Row],[Low Tol]]</f>
        <v>#VALUE!</v>
      </c>
      <c r="R1910" s="1">
        <f>2*Table1[[#This Row],[Std Error]]</f>
        <v>0</v>
      </c>
      <c r="S1910" s="1" t="str">
        <f>IF(Table1[[#This Row],[High Tol]]="","N/A",IFERROR(ABS(Table1[[#This Row],[Tol Span]]/Table1[[#This Row],[Error Span]]),"N/A"))</f>
        <v>N/A</v>
      </c>
      <c r="T1910" s="1" t="str">
        <f>IF(OR(Table1[[#This Row],[Low Tol]]="",Table1[[#This Row],[High Tol]]=""),"Needs Analysis",IF(Table1[[#This Row],[Ratio]]&gt;=4,"Not Significant",IF(Table1[[#This Row],[Ratio]]&gt;=2,"Semi-Significant","Significant")))</f>
        <v>Needs Analysis</v>
      </c>
      <c r="W1910" s="1">
        <f>IF(Table1[[#This Row],[Cal Type]]&lt;&gt;"ACCREDITED 17025 WITH UNCERTAINTIES",0,"")</f>
        <v>0</v>
      </c>
      <c r="X1910" s="1" t="str">
        <f>IF(Table1[[#This Row],[DUT Read]]="","N/A",Table1[[#This Row],[Std Error]]+Table1[[#This Row],[DUT Read]]+Table1[[#This Row],[DUT Ucty]])</f>
        <v>N/A</v>
      </c>
      <c r="Y1910" s="1" t="str">
        <f>IF(Table1[[#This Row],[Std Read]]="","N/A",Table1[[#This Row],[Std Read]]+Table1[[#This Row],[Std Ucty]])</f>
        <v>N/A</v>
      </c>
      <c r="Z19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0" s="1" t="str">
        <f>IF(Table1[[#This Row],[Spec Type]]="","N/A",Table1[[#This Row],[Spec Type]])</f>
        <v>±</v>
      </c>
      <c r="AC1910" s="1" t="str">
        <f>IF(Table1[[#This Row],[Spec Type2]]="N/A","N/A",IF(AND(Table1[[#This Row],[DUT Adj Read]]&gt;=Table1[[#This Row],[Low Tol]],Table1[[#This Row],[DUT Adj Read]]&lt;=Table1[[#This Row],[High Tol]]),"Pass","Fail"))</f>
        <v>Fail</v>
      </c>
      <c r="AD1910" s="1" t="str">
        <f>IF(AND(Table1[[#This Row],[Spec Type2]]="N/A",Table1[[#This Row],[DUT Adj Read]]="N/A",Table1[[#This Row],[Std Adj Read]]="N/A"),"N/A",IF(Table1[[#This Row],[DUT Adj Read]]="N/A",IF(Table1[[#This Row],[Std Adj Read]]&gt;Table1[[#This Row],[Low Tol]],"Pass","Fail"),IF(Table1[[#This Row],[DUT Adj Read]]&gt;Table1[[#This Row],[Low Tol]],"Pass","Fail")))</f>
        <v>Pass</v>
      </c>
      <c r="AE1910" s="1" t="str">
        <f>IF(AND(Table1[[#This Row],[Spec Type2]]="N/A",Table1[[#This Row],[DUT Adj Read]]="N/A",Table1[[#This Row],[Std Adj Read]]="N/A"),"N/A",IF(Table1[[#This Row],[DUT Adj Read]]="N/A",IF(Table1[[#This Row],[Std Adj Read]]&lt;Table1[[#This Row],[High Tol]],"Pass","Fail"),IF(Table1[[#This Row],[DUT Adj Read]]&lt;Table1[[#This Row],[High Tol]],"Pass","Fail")))</f>
        <v>Fail</v>
      </c>
      <c r="AF1910" s="1" t="str">
        <f>IF(AND(Table1[[#This Row],[Spec Type2]]="N/A",Table1[[#This Row],[DUT Adj Read]]="N/A",Table1[[#This Row],[Std Adj Read]]="N/A"),"N/A",IF(Table1[[#This Row],[DUT Adj Read]]="N/A",IF(Table1[[#This Row],[Std Adj Read]]&gt;=Table1[[#This Row],[Low Tol]],"Pass","Fail"),IF(Table1[[#This Row],[DUT Adj Read]]&gt;=Table1[[#This Row],[Low Tol]],"Pass","Fail")))</f>
        <v>Pass</v>
      </c>
      <c r="AG1910" s="1" t="str">
        <f>IF(AND(Table1[[#This Row],[Spec Type2]]="N/A",Table1[[#This Row],[DUT Adj Read]]="N/A",Table1[[#This Row],[Std Adj Read]]="N/A"),"N/A",IF(Table1[[#This Row],[DUT Adj Read]]="N/A",IF(Table1[[#This Row],[Std Adj Read]]&lt;=Table1[[#This Row],[High Tol]],"Pass","Fail"),IF(Table1[[#This Row],[DUT Adj Read]]&lt;=Table1[[#This Row],[High Tol]],"Pass","Fail")))</f>
        <v>Fail</v>
      </c>
      <c r="AH19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0" s="1" t="b">
        <v>0</v>
      </c>
      <c r="AN1910" s="1" t="b">
        <v>0</v>
      </c>
      <c r="AO1910" s="1" t="b">
        <v>0</v>
      </c>
    </row>
    <row r="1911" spans="1:41" x14ac:dyDescent="0.25">
      <c r="A1911" s="10"/>
      <c r="B1911" s="10"/>
      <c r="C1911" s="10"/>
      <c r="D1911" s="10"/>
      <c r="E1911" s="10"/>
      <c r="F1911" s="10"/>
      <c r="G1911" s="10"/>
      <c r="H1911" s="10"/>
      <c r="I1911" s="1" t="str">
        <f t="shared" si="87"/>
        <v/>
      </c>
      <c r="J1911" s="1" t="s">
        <v>35</v>
      </c>
      <c r="K1911" s="1" t="str">
        <f t="shared" si="88"/>
        <v/>
      </c>
      <c r="L1911" s="1" t="str">
        <f t="shared" si="89"/>
        <v/>
      </c>
      <c r="M1911" s="1">
        <f>IF(OR(Table1[[#This Row],[Std Nom]]="",Table1[[#This Row],[Std Read]]=""),0,Table1[[#This Row],[Std Nom]]-Table1[[#This Row],[Std Read]])</f>
        <v>0</v>
      </c>
      <c r="N1911" s="1">
        <f>IF(Calculations!$F$5="ACCREDITED 17025 WITH UNCERTAINTIES",$N$10,0)</f>
        <v>0</v>
      </c>
      <c r="O1911" s="1" t="str">
        <f>IFERROR(Table1[[#This Row],[Std Nom]]-(_xlfn.XLOOKUP(Table1[[#This Row],[Manufacturer]]&amp;" "&amp;Table1[[#This Row],[Model]],Table13[MFR &amp; MDL],Table13[Tolerance % CW ],"")/100*Table1[[#This Row],[Std Nom]]),"")</f>
        <v/>
      </c>
      <c r="P1911" s="1" t="str">
        <f>IFERROR(Table1[[#This Row],[Std Nom]]+(_xlfn.XLOOKUP(Table1[[#This Row],[Manufacturer]]&amp;" "&amp;Table1[[#This Row],[Model]],Table13[MFR &amp; MDL],Table13[Tolerance % CW ],"")/100*Table1[[#This Row],[Std Nom]]),"")</f>
        <v/>
      </c>
      <c r="Q1911" s="1" t="e">
        <f>Table1[[#This Row],[High Tol]]-Table1[[#This Row],[Low Tol]]</f>
        <v>#VALUE!</v>
      </c>
      <c r="R1911" s="1">
        <f>2*Table1[[#This Row],[Std Error]]</f>
        <v>0</v>
      </c>
      <c r="S1911" s="1" t="str">
        <f>IF(Table1[[#This Row],[High Tol]]="","N/A",IFERROR(ABS(Table1[[#This Row],[Tol Span]]/Table1[[#This Row],[Error Span]]),"N/A"))</f>
        <v>N/A</v>
      </c>
      <c r="T1911" s="1" t="str">
        <f>IF(OR(Table1[[#This Row],[Low Tol]]="",Table1[[#This Row],[High Tol]]=""),"Needs Analysis",IF(Table1[[#This Row],[Ratio]]&gt;=4,"Not Significant",IF(Table1[[#This Row],[Ratio]]&gt;=2,"Semi-Significant","Significant")))</f>
        <v>Needs Analysis</v>
      </c>
      <c r="W1911" s="1">
        <f>IF(Table1[[#This Row],[Cal Type]]&lt;&gt;"ACCREDITED 17025 WITH UNCERTAINTIES",0,"")</f>
        <v>0</v>
      </c>
      <c r="X1911" s="1" t="str">
        <f>IF(Table1[[#This Row],[DUT Read]]="","N/A",Table1[[#This Row],[Std Error]]+Table1[[#This Row],[DUT Read]]+Table1[[#This Row],[DUT Ucty]])</f>
        <v>N/A</v>
      </c>
      <c r="Y1911" s="1" t="str">
        <f>IF(Table1[[#This Row],[Std Read]]="","N/A",Table1[[#This Row],[Std Read]]+Table1[[#This Row],[Std Ucty]])</f>
        <v>N/A</v>
      </c>
      <c r="Z19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1" s="1" t="str">
        <f>IF(Table1[[#This Row],[Spec Type]]="","N/A",Table1[[#This Row],[Spec Type]])</f>
        <v>±</v>
      </c>
      <c r="AC1911" s="1" t="str">
        <f>IF(Table1[[#This Row],[Spec Type2]]="N/A","N/A",IF(AND(Table1[[#This Row],[DUT Adj Read]]&gt;=Table1[[#This Row],[Low Tol]],Table1[[#This Row],[DUT Adj Read]]&lt;=Table1[[#This Row],[High Tol]]),"Pass","Fail"))</f>
        <v>Fail</v>
      </c>
      <c r="AD1911" s="1" t="str">
        <f>IF(AND(Table1[[#This Row],[Spec Type2]]="N/A",Table1[[#This Row],[DUT Adj Read]]="N/A",Table1[[#This Row],[Std Adj Read]]="N/A"),"N/A",IF(Table1[[#This Row],[DUT Adj Read]]="N/A",IF(Table1[[#This Row],[Std Adj Read]]&gt;Table1[[#This Row],[Low Tol]],"Pass","Fail"),IF(Table1[[#This Row],[DUT Adj Read]]&gt;Table1[[#This Row],[Low Tol]],"Pass","Fail")))</f>
        <v>Pass</v>
      </c>
      <c r="AE1911" s="1" t="str">
        <f>IF(AND(Table1[[#This Row],[Spec Type2]]="N/A",Table1[[#This Row],[DUT Adj Read]]="N/A",Table1[[#This Row],[Std Adj Read]]="N/A"),"N/A",IF(Table1[[#This Row],[DUT Adj Read]]="N/A",IF(Table1[[#This Row],[Std Adj Read]]&lt;Table1[[#This Row],[High Tol]],"Pass","Fail"),IF(Table1[[#This Row],[DUT Adj Read]]&lt;Table1[[#This Row],[High Tol]],"Pass","Fail")))</f>
        <v>Fail</v>
      </c>
      <c r="AF1911" s="1" t="str">
        <f>IF(AND(Table1[[#This Row],[Spec Type2]]="N/A",Table1[[#This Row],[DUT Adj Read]]="N/A",Table1[[#This Row],[Std Adj Read]]="N/A"),"N/A",IF(Table1[[#This Row],[DUT Adj Read]]="N/A",IF(Table1[[#This Row],[Std Adj Read]]&gt;=Table1[[#This Row],[Low Tol]],"Pass","Fail"),IF(Table1[[#This Row],[DUT Adj Read]]&gt;=Table1[[#This Row],[Low Tol]],"Pass","Fail")))</f>
        <v>Pass</v>
      </c>
      <c r="AG1911" s="1" t="str">
        <f>IF(AND(Table1[[#This Row],[Spec Type2]]="N/A",Table1[[#This Row],[DUT Adj Read]]="N/A",Table1[[#This Row],[Std Adj Read]]="N/A"),"N/A",IF(Table1[[#This Row],[DUT Adj Read]]="N/A",IF(Table1[[#This Row],[Std Adj Read]]&lt;=Table1[[#This Row],[High Tol]],"Pass","Fail"),IF(Table1[[#This Row],[DUT Adj Read]]&lt;=Table1[[#This Row],[High Tol]],"Pass","Fail")))</f>
        <v>Fail</v>
      </c>
      <c r="AH19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1" s="1" t="b">
        <v>0</v>
      </c>
      <c r="AN1911" s="1" t="b">
        <v>0</v>
      </c>
      <c r="AO1911" s="1" t="b">
        <v>0</v>
      </c>
    </row>
    <row r="1912" spans="1:41" x14ac:dyDescent="0.25">
      <c r="A1912" s="10"/>
      <c r="B1912" s="10"/>
      <c r="C1912" s="10"/>
      <c r="D1912" s="10"/>
      <c r="E1912" s="10"/>
      <c r="F1912" s="10"/>
      <c r="G1912" s="10"/>
      <c r="H1912" s="10"/>
      <c r="I1912" s="1" t="str">
        <f t="shared" si="87"/>
        <v/>
      </c>
      <c r="J1912" s="1" t="s">
        <v>35</v>
      </c>
      <c r="K1912" s="1" t="str">
        <f t="shared" si="88"/>
        <v/>
      </c>
      <c r="L1912" s="1" t="str">
        <f t="shared" si="89"/>
        <v/>
      </c>
      <c r="M1912" s="1">
        <f>IF(OR(Table1[[#This Row],[Std Nom]]="",Table1[[#This Row],[Std Read]]=""),0,Table1[[#This Row],[Std Nom]]-Table1[[#This Row],[Std Read]])</f>
        <v>0</v>
      </c>
      <c r="N1912" s="1">
        <f>IF(Calculations!$F$5="ACCREDITED 17025 WITH UNCERTAINTIES",$N$10,0)</f>
        <v>0</v>
      </c>
      <c r="O1912" s="1" t="str">
        <f>IFERROR(Table1[[#This Row],[Std Nom]]-(_xlfn.XLOOKUP(Table1[[#This Row],[Manufacturer]]&amp;" "&amp;Table1[[#This Row],[Model]],Table13[MFR &amp; MDL],Table13[Tolerance % CW ],"")/100*Table1[[#This Row],[Std Nom]]),"")</f>
        <v/>
      </c>
      <c r="P1912" s="1" t="str">
        <f>IFERROR(Table1[[#This Row],[Std Nom]]+(_xlfn.XLOOKUP(Table1[[#This Row],[Manufacturer]]&amp;" "&amp;Table1[[#This Row],[Model]],Table13[MFR &amp; MDL],Table13[Tolerance % CW ],"")/100*Table1[[#This Row],[Std Nom]]),"")</f>
        <v/>
      </c>
      <c r="Q1912" s="1" t="e">
        <f>Table1[[#This Row],[High Tol]]-Table1[[#This Row],[Low Tol]]</f>
        <v>#VALUE!</v>
      </c>
      <c r="R1912" s="1">
        <f>2*Table1[[#This Row],[Std Error]]</f>
        <v>0</v>
      </c>
      <c r="S1912" s="1" t="str">
        <f>IF(Table1[[#This Row],[High Tol]]="","N/A",IFERROR(ABS(Table1[[#This Row],[Tol Span]]/Table1[[#This Row],[Error Span]]),"N/A"))</f>
        <v>N/A</v>
      </c>
      <c r="T1912" s="1" t="str">
        <f>IF(OR(Table1[[#This Row],[Low Tol]]="",Table1[[#This Row],[High Tol]]=""),"Needs Analysis",IF(Table1[[#This Row],[Ratio]]&gt;=4,"Not Significant",IF(Table1[[#This Row],[Ratio]]&gt;=2,"Semi-Significant","Significant")))</f>
        <v>Needs Analysis</v>
      </c>
      <c r="W1912" s="1">
        <f>IF(Table1[[#This Row],[Cal Type]]&lt;&gt;"ACCREDITED 17025 WITH UNCERTAINTIES",0,"")</f>
        <v>0</v>
      </c>
      <c r="X1912" s="1" t="str">
        <f>IF(Table1[[#This Row],[DUT Read]]="","N/A",Table1[[#This Row],[Std Error]]+Table1[[#This Row],[DUT Read]]+Table1[[#This Row],[DUT Ucty]])</f>
        <v>N/A</v>
      </c>
      <c r="Y1912" s="1" t="str">
        <f>IF(Table1[[#This Row],[Std Read]]="","N/A",Table1[[#This Row],[Std Read]]+Table1[[#This Row],[Std Ucty]])</f>
        <v>N/A</v>
      </c>
      <c r="Z19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2" s="1" t="str">
        <f>IF(Table1[[#This Row],[Spec Type]]="","N/A",Table1[[#This Row],[Spec Type]])</f>
        <v>±</v>
      </c>
      <c r="AC1912" s="1" t="str">
        <f>IF(Table1[[#This Row],[Spec Type2]]="N/A","N/A",IF(AND(Table1[[#This Row],[DUT Adj Read]]&gt;=Table1[[#This Row],[Low Tol]],Table1[[#This Row],[DUT Adj Read]]&lt;=Table1[[#This Row],[High Tol]]),"Pass","Fail"))</f>
        <v>Fail</v>
      </c>
      <c r="AD1912" s="1" t="str">
        <f>IF(AND(Table1[[#This Row],[Spec Type2]]="N/A",Table1[[#This Row],[DUT Adj Read]]="N/A",Table1[[#This Row],[Std Adj Read]]="N/A"),"N/A",IF(Table1[[#This Row],[DUT Adj Read]]="N/A",IF(Table1[[#This Row],[Std Adj Read]]&gt;Table1[[#This Row],[Low Tol]],"Pass","Fail"),IF(Table1[[#This Row],[DUT Adj Read]]&gt;Table1[[#This Row],[Low Tol]],"Pass","Fail")))</f>
        <v>Pass</v>
      </c>
      <c r="AE1912" s="1" t="str">
        <f>IF(AND(Table1[[#This Row],[Spec Type2]]="N/A",Table1[[#This Row],[DUT Adj Read]]="N/A",Table1[[#This Row],[Std Adj Read]]="N/A"),"N/A",IF(Table1[[#This Row],[DUT Adj Read]]="N/A",IF(Table1[[#This Row],[Std Adj Read]]&lt;Table1[[#This Row],[High Tol]],"Pass","Fail"),IF(Table1[[#This Row],[DUT Adj Read]]&lt;Table1[[#This Row],[High Tol]],"Pass","Fail")))</f>
        <v>Fail</v>
      </c>
      <c r="AF1912" s="1" t="str">
        <f>IF(AND(Table1[[#This Row],[Spec Type2]]="N/A",Table1[[#This Row],[DUT Adj Read]]="N/A",Table1[[#This Row],[Std Adj Read]]="N/A"),"N/A",IF(Table1[[#This Row],[DUT Adj Read]]="N/A",IF(Table1[[#This Row],[Std Adj Read]]&gt;=Table1[[#This Row],[Low Tol]],"Pass","Fail"),IF(Table1[[#This Row],[DUT Adj Read]]&gt;=Table1[[#This Row],[Low Tol]],"Pass","Fail")))</f>
        <v>Pass</v>
      </c>
      <c r="AG1912" s="1" t="str">
        <f>IF(AND(Table1[[#This Row],[Spec Type2]]="N/A",Table1[[#This Row],[DUT Adj Read]]="N/A",Table1[[#This Row],[Std Adj Read]]="N/A"),"N/A",IF(Table1[[#This Row],[DUT Adj Read]]="N/A",IF(Table1[[#This Row],[Std Adj Read]]&lt;=Table1[[#This Row],[High Tol]],"Pass","Fail"),IF(Table1[[#This Row],[DUT Adj Read]]&lt;=Table1[[#This Row],[High Tol]],"Pass","Fail")))</f>
        <v>Fail</v>
      </c>
      <c r="AH19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2" s="1" t="b">
        <v>0</v>
      </c>
      <c r="AN1912" s="1" t="b">
        <v>0</v>
      </c>
      <c r="AO1912" s="1" t="b">
        <v>0</v>
      </c>
    </row>
    <row r="1913" spans="1:41" x14ac:dyDescent="0.25">
      <c r="A1913" s="10"/>
      <c r="B1913" s="10"/>
      <c r="C1913" s="10"/>
      <c r="D1913" s="10"/>
      <c r="E1913" s="10"/>
      <c r="F1913" s="10"/>
      <c r="G1913" s="10"/>
      <c r="H1913" s="10"/>
      <c r="I1913" s="1" t="str">
        <f t="shared" si="87"/>
        <v/>
      </c>
      <c r="J1913" s="1" t="s">
        <v>35</v>
      </c>
      <c r="K1913" s="1" t="str">
        <f t="shared" si="88"/>
        <v/>
      </c>
      <c r="L1913" s="1" t="str">
        <f t="shared" si="89"/>
        <v/>
      </c>
      <c r="M1913" s="1">
        <f>IF(OR(Table1[[#This Row],[Std Nom]]="",Table1[[#This Row],[Std Read]]=""),0,Table1[[#This Row],[Std Nom]]-Table1[[#This Row],[Std Read]])</f>
        <v>0</v>
      </c>
      <c r="N1913" s="1">
        <f>IF(Calculations!$F$5="ACCREDITED 17025 WITH UNCERTAINTIES",$N$10,0)</f>
        <v>0</v>
      </c>
      <c r="O1913" s="1" t="str">
        <f>IFERROR(Table1[[#This Row],[Std Nom]]-(_xlfn.XLOOKUP(Table1[[#This Row],[Manufacturer]]&amp;" "&amp;Table1[[#This Row],[Model]],Table13[MFR &amp; MDL],Table13[Tolerance % CW ],"")/100*Table1[[#This Row],[Std Nom]]),"")</f>
        <v/>
      </c>
      <c r="P1913" s="1" t="str">
        <f>IFERROR(Table1[[#This Row],[Std Nom]]+(_xlfn.XLOOKUP(Table1[[#This Row],[Manufacturer]]&amp;" "&amp;Table1[[#This Row],[Model]],Table13[MFR &amp; MDL],Table13[Tolerance % CW ],"")/100*Table1[[#This Row],[Std Nom]]),"")</f>
        <v/>
      </c>
      <c r="Q1913" s="1" t="e">
        <f>Table1[[#This Row],[High Tol]]-Table1[[#This Row],[Low Tol]]</f>
        <v>#VALUE!</v>
      </c>
      <c r="R1913" s="1">
        <f>2*Table1[[#This Row],[Std Error]]</f>
        <v>0</v>
      </c>
      <c r="S1913" s="1" t="str">
        <f>IF(Table1[[#This Row],[High Tol]]="","N/A",IFERROR(ABS(Table1[[#This Row],[Tol Span]]/Table1[[#This Row],[Error Span]]),"N/A"))</f>
        <v>N/A</v>
      </c>
      <c r="T1913" s="1" t="str">
        <f>IF(OR(Table1[[#This Row],[Low Tol]]="",Table1[[#This Row],[High Tol]]=""),"Needs Analysis",IF(Table1[[#This Row],[Ratio]]&gt;=4,"Not Significant",IF(Table1[[#This Row],[Ratio]]&gt;=2,"Semi-Significant","Significant")))</f>
        <v>Needs Analysis</v>
      </c>
      <c r="W1913" s="1">
        <f>IF(Table1[[#This Row],[Cal Type]]&lt;&gt;"ACCREDITED 17025 WITH UNCERTAINTIES",0,"")</f>
        <v>0</v>
      </c>
      <c r="X1913" s="1" t="str">
        <f>IF(Table1[[#This Row],[DUT Read]]="","N/A",Table1[[#This Row],[Std Error]]+Table1[[#This Row],[DUT Read]]+Table1[[#This Row],[DUT Ucty]])</f>
        <v>N/A</v>
      </c>
      <c r="Y1913" s="1" t="str">
        <f>IF(Table1[[#This Row],[Std Read]]="","N/A",Table1[[#This Row],[Std Read]]+Table1[[#This Row],[Std Ucty]])</f>
        <v>N/A</v>
      </c>
      <c r="Z19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3" s="1" t="str">
        <f>IF(Table1[[#This Row],[Spec Type]]="","N/A",Table1[[#This Row],[Spec Type]])</f>
        <v>±</v>
      </c>
      <c r="AC1913" s="1" t="str">
        <f>IF(Table1[[#This Row],[Spec Type2]]="N/A","N/A",IF(AND(Table1[[#This Row],[DUT Adj Read]]&gt;=Table1[[#This Row],[Low Tol]],Table1[[#This Row],[DUT Adj Read]]&lt;=Table1[[#This Row],[High Tol]]),"Pass","Fail"))</f>
        <v>Fail</v>
      </c>
      <c r="AD1913" s="1" t="str">
        <f>IF(AND(Table1[[#This Row],[Spec Type2]]="N/A",Table1[[#This Row],[DUT Adj Read]]="N/A",Table1[[#This Row],[Std Adj Read]]="N/A"),"N/A",IF(Table1[[#This Row],[DUT Adj Read]]="N/A",IF(Table1[[#This Row],[Std Adj Read]]&gt;Table1[[#This Row],[Low Tol]],"Pass","Fail"),IF(Table1[[#This Row],[DUT Adj Read]]&gt;Table1[[#This Row],[Low Tol]],"Pass","Fail")))</f>
        <v>Pass</v>
      </c>
      <c r="AE1913" s="1" t="str">
        <f>IF(AND(Table1[[#This Row],[Spec Type2]]="N/A",Table1[[#This Row],[DUT Adj Read]]="N/A",Table1[[#This Row],[Std Adj Read]]="N/A"),"N/A",IF(Table1[[#This Row],[DUT Adj Read]]="N/A",IF(Table1[[#This Row],[Std Adj Read]]&lt;Table1[[#This Row],[High Tol]],"Pass","Fail"),IF(Table1[[#This Row],[DUT Adj Read]]&lt;Table1[[#This Row],[High Tol]],"Pass","Fail")))</f>
        <v>Fail</v>
      </c>
      <c r="AF1913" s="1" t="str">
        <f>IF(AND(Table1[[#This Row],[Spec Type2]]="N/A",Table1[[#This Row],[DUT Adj Read]]="N/A",Table1[[#This Row],[Std Adj Read]]="N/A"),"N/A",IF(Table1[[#This Row],[DUT Adj Read]]="N/A",IF(Table1[[#This Row],[Std Adj Read]]&gt;=Table1[[#This Row],[Low Tol]],"Pass","Fail"),IF(Table1[[#This Row],[DUT Adj Read]]&gt;=Table1[[#This Row],[Low Tol]],"Pass","Fail")))</f>
        <v>Pass</v>
      </c>
      <c r="AG1913" s="1" t="str">
        <f>IF(AND(Table1[[#This Row],[Spec Type2]]="N/A",Table1[[#This Row],[DUT Adj Read]]="N/A",Table1[[#This Row],[Std Adj Read]]="N/A"),"N/A",IF(Table1[[#This Row],[DUT Adj Read]]="N/A",IF(Table1[[#This Row],[Std Adj Read]]&lt;=Table1[[#This Row],[High Tol]],"Pass","Fail"),IF(Table1[[#This Row],[DUT Adj Read]]&lt;=Table1[[#This Row],[High Tol]],"Pass","Fail")))</f>
        <v>Fail</v>
      </c>
      <c r="AH19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3" s="1" t="b">
        <v>0</v>
      </c>
      <c r="AN1913" s="1" t="b">
        <v>0</v>
      </c>
      <c r="AO1913" s="1" t="b">
        <v>0</v>
      </c>
    </row>
    <row r="1914" spans="1:41" x14ac:dyDescent="0.25">
      <c r="A1914" s="10"/>
      <c r="B1914" s="10"/>
      <c r="C1914" s="10"/>
      <c r="D1914" s="10"/>
      <c r="E1914" s="10"/>
      <c r="F1914" s="10"/>
      <c r="G1914" s="10"/>
      <c r="H1914" s="10"/>
      <c r="I1914" s="1" t="str">
        <f t="shared" si="87"/>
        <v/>
      </c>
      <c r="J1914" s="1" t="s">
        <v>35</v>
      </c>
      <c r="K1914" s="1" t="str">
        <f t="shared" si="88"/>
        <v/>
      </c>
      <c r="L1914" s="1" t="str">
        <f t="shared" si="89"/>
        <v/>
      </c>
      <c r="M1914" s="1">
        <f>IF(OR(Table1[[#This Row],[Std Nom]]="",Table1[[#This Row],[Std Read]]=""),0,Table1[[#This Row],[Std Nom]]-Table1[[#This Row],[Std Read]])</f>
        <v>0</v>
      </c>
      <c r="N1914" s="1">
        <f>IF(Calculations!$F$5="ACCREDITED 17025 WITH UNCERTAINTIES",$N$10,0)</f>
        <v>0</v>
      </c>
      <c r="O1914" s="1" t="str">
        <f>IFERROR(Table1[[#This Row],[Std Nom]]-(_xlfn.XLOOKUP(Table1[[#This Row],[Manufacturer]]&amp;" "&amp;Table1[[#This Row],[Model]],Table13[MFR &amp; MDL],Table13[Tolerance % CW ],"")/100*Table1[[#This Row],[Std Nom]]),"")</f>
        <v/>
      </c>
      <c r="P1914" s="1" t="str">
        <f>IFERROR(Table1[[#This Row],[Std Nom]]+(_xlfn.XLOOKUP(Table1[[#This Row],[Manufacturer]]&amp;" "&amp;Table1[[#This Row],[Model]],Table13[MFR &amp; MDL],Table13[Tolerance % CW ],"")/100*Table1[[#This Row],[Std Nom]]),"")</f>
        <v/>
      </c>
      <c r="Q1914" s="1" t="e">
        <f>Table1[[#This Row],[High Tol]]-Table1[[#This Row],[Low Tol]]</f>
        <v>#VALUE!</v>
      </c>
      <c r="R1914" s="1">
        <f>2*Table1[[#This Row],[Std Error]]</f>
        <v>0</v>
      </c>
      <c r="S1914" s="1" t="str">
        <f>IF(Table1[[#This Row],[High Tol]]="","N/A",IFERROR(ABS(Table1[[#This Row],[Tol Span]]/Table1[[#This Row],[Error Span]]),"N/A"))</f>
        <v>N/A</v>
      </c>
      <c r="T1914" s="1" t="str">
        <f>IF(OR(Table1[[#This Row],[Low Tol]]="",Table1[[#This Row],[High Tol]]=""),"Needs Analysis",IF(Table1[[#This Row],[Ratio]]&gt;=4,"Not Significant",IF(Table1[[#This Row],[Ratio]]&gt;=2,"Semi-Significant","Significant")))</f>
        <v>Needs Analysis</v>
      </c>
      <c r="W1914" s="1">
        <f>IF(Table1[[#This Row],[Cal Type]]&lt;&gt;"ACCREDITED 17025 WITH UNCERTAINTIES",0,"")</f>
        <v>0</v>
      </c>
      <c r="X1914" s="1" t="str">
        <f>IF(Table1[[#This Row],[DUT Read]]="","N/A",Table1[[#This Row],[Std Error]]+Table1[[#This Row],[DUT Read]]+Table1[[#This Row],[DUT Ucty]])</f>
        <v>N/A</v>
      </c>
      <c r="Y1914" s="1" t="str">
        <f>IF(Table1[[#This Row],[Std Read]]="","N/A",Table1[[#This Row],[Std Read]]+Table1[[#This Row],[Std Ucty]])</f>
        <v>N/A</v>
      </c>
      <c r="Z19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4" s="1" t="str">
        <f>IF(Table1[[#This Row],[Spec Type]]="","N/A",Table1[[#This Row],[Spec Type]])</f>
        <v>±</v>
      </c>
      <c r="AC1914" s="1" t="str">
        <f>IF(Table1[[#This Row],[Spec Type2]]="N/A","N/A",IF(AND(Table1[[#This Row],[DUT Adj Read]]&gt;=Table1[[#This Row],[Low Tol]],Table1[[#This Row],[DUT Adj Read]]&lt;=Table1[[#This Row],[High Tol]]),"Pass","Fail"))</f>
        <v>Fail</v>
      </c>
      <c r="AD1914" s="1" t="str">
        <f>IF(AND(Table1[[#This Row],[Spec Type2]]="N/A",Table1[[#This Row],[DUT Adj Read]]="N/A",Table1[[#This Row],[Std Adj Read]]="N/A"),"N/A",IF(Table1[[#This Row],[DUT Adj Read]]="N/A",IF(Table1[[#This Row],[Std Adj Read]]&gt;Table1[[#This Row],[Low Tol]],"Pass","Fail"),IF(Table1[[#This Row],[DUT Adj Read]]&gt;Table1[[#This Row],[Low Tol]],"Pass","Fail")))</f>
        <v>Pass</v>
      </c>
      <c r="AE1914" s="1" t="str">
        <f>IF(AND(Table1[[#This Row],[Spec Type2]]="N/A",Table1[[#This Row],[DUT Adj Read]]="N/A",Table1[[#This Row],[Std Adj Read]]="N/A"),"N/A",IF(Table1[[#This Row],[DUT Adj Read]]="N/A",IF(Table1[[#This Row],[Std Adj Read]]&lt;Table1[[#This Row],[High Tol]],"Pass","Fail"),IF(Table1[[#This Row],[DUT Adj Read]]&lt;Table1[[#This Row],[High Tol]],"Pass","Fail")))</f>
        <v>Fail</v>
      </c>
      <c r="AF1914" s="1" t="str">
        <f>IF(AND(Table1[[#This Row],[Spec Type2]]="N/A",Table1[[#This Row],[DUT Adj Read]]="N/A",Table1[[#This Row],[Std Adj Read]]="N/A"),"N/A",IF(Table1[[#This Row],[DUT Adj Read]]="N/A",IF(Table1[[#This Row],[Std Adj Read]]&gt;=Table1[[#This Row],[Low Tol]],"Pass","Fail"),IF(Table1[[#This Row],[DUT Adj Read]]&gt;=Table1[[#This Row],[Low Tol]],"Pass","Fail")))</f>
        <v>Pass</v>
      </c>
      <c r="AG1914" s="1" t="str">
        <f>IF(AND(Table1[[#This Row],[Spec Type2]]="N/A",Table1[[#This Row],[DUT Adj Read]]="N/A",Table1[[#This Row],[Std Adj Read]]="N/A"),"N/A",IF(Table1[[#This Row],[DUT Adj Read]]="N/A",IF(Table1[[#This Row],[Std Adj Read]]&lt;=Table1[[#This Row],[High Tol]],"Pass","Fail"),IF(Table1[[#This Row],[DUT Adj Read]]&lt;=Table1[[#This Row],[High Tol]],"Pass","Fail")))</f>
        <v>Fail</v>
      </c>
      <c r="AH19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4" s="1" t="b">
        <v>0</v>
      </c>
      <c r="AN1914" s="1" t="b">
        <v>0</v>
      </c>
      <c r="AO1914" s="1" t="b">
        <v>0</v>
      </c>
    </row>
    <row r="1915" spans="1:41" x14ac:dyDescent="0.25">
      <c r="A1915" s="10"/>
      <c r="B1915" s="10"/>
      <c r="C1915" s="10"/>
      <c r="D1915" s="10"/>
      <c r="E1915" s="10"/>
      <c r="F1915" s="10"/>
      <c r="G1915" s="10"/>
      <c r="H1915" s="10"/>
      <c r="I1915" s="1" t="str">
        <f t="shared" si="87"/>
        <v/>
      </c>
      <c r="J1915" s="1" t="s">
        <v>35</v>
      </c>
      <c r="K1915" s="1" t="str">
        <f t="shared" si="88"/>
        <v/>
      </c>
      <c r="L1915" s="1" t="str">
        <f t="shared" si="89"/>
        <v/>
      </c>
      <c r="M1915" s="1">
        <f>IF(OR(Table1[[#This Row],[Std Nom]]="",Table1[[#This Row],[Std Read]]=""),0,Table1[[#This Row],[Std Nom]]-Table1[[#This Row],[Std Read]])</f>
        <v>0</v>
      </c>
      <c r="N1915" s="1">
        <f>IF(Calculations!$F$5="ACCREDITED 17025 WITH UNCERTAINTIES",$N$10,0)</f>
        <v>0</v>
      </c>
      <c r="O1915" s="1" t="str">
        <f>IFERROR(Table1[[#This Row],[Std Nom]]-(_xlfn.XLOOKUP(Table1[[#This Row],[Manufacturer]]&amp;" "&amp;Table1[[#This Row],[Model]],Table13[MFR &amp; MDL],Table13[Tolerance % CW ],"")/100*Table1[[#This Row],[Std Nom]]),"")</f>
        <v/>
      </c>
      <c r="P1915" s="1" t="str">
        <f>IFERROR(Table1[[#This Row],[Std Nom]]+(_xlfn.XLOOKUP(Table1[[#This Row],[Manufacturer]]&amp;" "&amp;Table1[[#This Row],[Model]],Table13[MFR &amp; MDL],Table13[Tolerance % CW ],"")/100*Table1[[#This Row],[Std Nom]]),"")</f>
        <v/>
      </c>
      <c r="Q1915" s="1" t="e">
        <f>Table1[[#This Row],[High Tol]]-Table1[[#This Row],[Low Tol]]</f>
        <v>#VALUE!</v>
      </c>
      <c r="R1915" s="1">
        <f>2*Table1[[#This Row],[Std Error]]</f>
        <v>0</v>
      </c>
      <c r="S1915" s="1" t="str">
        <f>IF(Table1[[#This Row],[High Tol]]="","N/A",IFERROR(ABS(Table1[[#This Row],[Tol Span]]/Table1[[#This Row],[Error Span]]),"N/A"))</f>
        <v>N/A</v>
      </c>
      <c r="T1915" s="1" t="str">
        <f>IF(OR(Table1[[#This Row],[Low Tol]]="",Table1[[#This Row],[High Tol]]=""),"Needs Analysis",IF(Table1[[#This Row],[Ratio]]&gt;=4,"Not Significant",IF(Table1[[#This Row],[Ratio]]&gt;=2,"Semi-Significant","Significant")))</f>
        <v>Needs Analysis</v>
      </c>
      <c r="W1915" s="1">
        <f>IF(Table1[[#This Row],[Cal Type]]&lt;&gt;"ACCREDITED 17025 WITH UNCERTAINTIES",0,"")</f>
        <v>0</v>
      </c>
      <c r="X1915" s="1" t="str">
        <f>IF(Table1[[#This Row],[DUT Read]]="","N/A",Table1[[#This Row],[Std Error]]+Table1[[#This Row],[DUT Read]]+Table1[[#This Row],[DUT Ucty]])</f>
        <v>N/A</v>
      </c>
      <c r="Y1915" s="1" t="str">
        <f>IF(Table1[[#This Row],[Std Read]]="","N/A",Table1[[#This Row],[Std Read]]+Table1[[#This Row],[Std Ucty]])</f>
        <v>N/A</v>
      </c>
      <c r="Z19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5" s="1" t="str">
        <f>IF(Table1[[#This Row],[Spec Type]]="","N/A",Table1[[#This Row],[Spec Type]])</f>
        <v>±</v>
      </c>
      <c r="AC1915" s="1" t="str">
        <f>IF(Table1[[#This Row],[Spec Type2]]="N/A","N/A",IF(AND(Table1[[#This Row],[DUT Adj Read]]&gt;=Table1[[#This Row],[Low Tol]],Table1[[#This Row],[DUT Adj Read]]&lt;=Table1[[#This Row],[High Tol]]),"Pass","Fail"))</f>
        <v>Fail</v>
      </c>
      <c r="AD1915" s="1" t="str">
        <f>IF(AND(Table1[[#This Row],[Spec Type2]]="N/A",Table1[[#This Row],[DUT Adj Read]]="N/A",Table1[[#This Row],[Std Adj Read]]="N/A"),"N/A",IF(Table1[[#This Row],[DUT Adj Read]]="N/A",IF(Table1[[#This Row],[Std Adj Read]]&gt;Table1[[#This Row],[Low Tol]],"Pass","Fail"),IF(Table1[[#This Row],[DUT Adj Read]]&gt;Table1[[#This Row],[Low Tol]],"Pass","Fail")))</f>
        <v>Pass</v>
      </c>
      <c r="AE1915" s="1" t="str">
        <f>IF(AND(Table1[[#This Row],[Spec Type2]]="N/A",Table1[[#This Row],[DUT Adj Read]]="N/A",Table1[[#This Row],[Std Adj Read]]="N/A"),"N/A",IF(Table1[[#This Row],[DUT Adj Read]]="N/A",IF(Table1[[#This Row],[Std Adj Read]]&lt;Table1[[#This Row],[High Tol]],"Pass","Fail"),IF(Table1[[#This Row],[DUT Adj Read]]&lt;Table1[[#This Row],[High Tol]],"Pass","Fail")))</f>
        <v>Fail</v>
      </c>
      <c r="AF1915" s="1" t="str">
        <f>IF(AND(Table1[[#This Row],[Spec Type2]]="N/A",Table1[[#This Row],[DUT Adj Read]]="N/A",Table1[[#This Row],[Std Adj Read]]="N/A"),"N/A",IF(Table1[[#This Row],[DUT Adj Read]]="N/A",IF(Table1[[#This Row],[Std Adj Read]]&gt;=Table1[[#This Row],[Low Tol]],"Pass","Fail"),IF(Table1[[#This Row],[DUT Adj Read]]&gt;=Table1[[#This Row],[Low Tol]],"Pass","Fail")))</f>
        <v>Pass</v>
      </c>
      <c r="AG1915" s="1" t="str">
        <f>IF(AND(Table1[[#This Row],[Spec Type2]]="N/A",Table1[[#This Row],[DUT Adj Read]]="N/A",Table1[[#This Row],[Std Adj Read]]="N/A"),"N/A",IF(Table1[[#This Row],[DUT Adj Read]]="N/A",IF(Table1[[#This Row],[Std Adj Read]]&lt;=Table1[[#This Row],[High Tol]],"Pass","Fail"),IF(Table1[[#This Row],[DUT Adj Read]]&lt;=Table1[[#This Row],[High Tol]],"Pass","Fail")))</f>
        <v>Fail</v>
      </c>
      <c r="AH19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5" s="1" t="b">
        <v>0</v>
      </c>
      <c r="AN1915" s="1" t="b">
        <v>0</v>
      </c>
      <c r="AO1915" s="1" t="b">
        <v>0</v>
      </c>
    </row>
    <row r="1916" spans="1:41" x14ac:dyDescent="0.25">
      <c r="A1916" s="10"/>
      <c r="B1916" s="10"/>
      <c r="C1916" s="10"/>
      <c r="D1916" s="10"/>
      <c r="E1916" s="10"/>
      <c r="F1916" s="10"/>
      <c r="G1916" s="10"/>
      <c r="H1916" s="10"/>
      <c r="I1916" s="1" t="str">
        <f t="shared" si="87"/>
        <v/>
      </c>
      <c r="J1916" s="1" t="s">
        <v>35</v>
      </c>
      <c r="K1916" s="1" t="str">
        <f t="shared" si="88"/>
        <v/>
      </c>
      <c r="L1916" s="1" t="str">
        <f t="shared" si="89"/>
        <v/>
      </c>
      <c r="M1916" s="1">
        <f>IF(OR(Table1[[#This Row],[Std Nom]]="",Table1[[#This Row],[Std Read]]=""),0,Table1[[#This Row],[Std Nom]]-Table1[[#This Row],[Std Read]])</f>
        <v>0</v>
      </c>
      <c r="N1916" s="1">
        <f>IF(Calculations!$F$5="ACCREDITED 17025 WITH UNCERTAINTIES",$N$10,0)</f>
        <v>0</v>
      </c>
      <c r="O1916" s="1" t="str">
        <f>IFERROR(Table1[[#This Row],[Std Nom]]-(_xlfn.XLOOKUP(Table1[[#This Row],[Manufacturer]]&amp;" "&amp;Table1[[#This Row],[Model]],Table13[MFR &amp; MDL],Table13[Tolerance % CW ],"")/100*Table1[[#This Row],[Std Nom]]),"")</f>
        <v/>
      </c>
      <c r="P1916" s="1" t="str">
        <f>IFERROR(Table1[[#This Row],[Std Nom]]+(_xlfn.XLOOKUP(Table1[[#This Row],[Manufacturer]]&amp;" "&amp;Table1[[#This Row],[Model]],Table13[MFR &amp; MDL],Table13[Tolerance % CW ],"")/100*Table1[[#This Row],[Std Nom]]),"")</f>
        <v/>
      </c>
      <c r="Q1916" s="1" t="e">
        <f>Table1[[#This Row],[High Tol]]-Table1[[#This Row],[Low Tol]]</f>
        <v>#VALUE!</v>
      </c>
      <c r="R1916" s="1">
        <f>2*Table1[[#This Row],[Std Error]]</f>
        <v>0</v>
      </c>
      <c r="S1916" s="1" t="str">
        <f>IF(Table1[[#This Row],[High Tol]]="","N/A",IFERROR(ABS(Table1[[#This Row],[Tol Span]]/Table1[[#This Row],[Error Span]]),"N/A"))</f>
        <v>N/A</v>
      </c>
      <c r="T1916" s="1" t="str">
        <f>IF(OR(Table1[[#This Row],[Low Tol]]="",Table1[[#This Row],[High Tol]]=""),"Needs Analysis",IF(Table1[[#This Row],[Ratio]]&gt;=4,"Not Significant",IF(Table1[[#This Row],[Ratio]]&gt;=2,"Semi-Significant","Significant")))</f>
        <v>Needs Analysis</v>
      </c>
      <c r="W1916" s="1">
        <f>IF(Table1[[#This Row],[Cal Type]]&lt;&gt;"ACCREDITED 17025 WITH UNCERTAINTIES",0,"")</f>
        <v>0</v>
      </c>
      <c r="X1916" s="1" t="str">
        <f>IF(Table1[[#This Row],[DUT Read]]="","N/A",Table1[[#This Row],[Std Error]]+Table1[[#This Row],[DUT Read]]+Table1[[#This Row],[DUT Ucty]])</f>
        <v>N/A</v>
      </c>
      <c r="Y1916" s="1" t="str">
        <f>IF(Table1[[#This Row],[Std Read]]="","N/A",Table1[[#This Row],[Std Read]]+Table1[[#This Row],[Std Ucty]])</f>
        <v>N/A</v>
      </c>
      <c r="Z19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6" s="1" t="str">
        <f>IF(Table1[[#This Row],[Spec Type]]="","N/A",Table1[[#This Row],[Spec Type]])</f>
        <v>±</v>
      </c>
      <c r="AC1916" s="1" t="str">
        <f>IF(Table1[[#This Row],[Spec Type2]]="N/A","N/A",IF(AND(Table1[[#This Row],[DUT Adj Read]]&gt;=Table1[[#This Row],[Low Tol]],Table1[[#This Row],[DUT Adj Read]]&lt;=Table1[[#This Row],[High Tol]]),"Pass","Fail"))</f>
        <v>Fail</v>
      </c>
      <c r="AD1916" s="1" t="str">
        <f>IF(AND(Table1[[#This Row],[Spec Type2]]="N/A",Table1[[#This Row],[DUT Adj Read]]="N/A",Table1[[#This Row],[Std Adj Read]]="N/A"),"N/A",IF(Table1[[#This Row],[DUT Adj Read]]="N/A",IF(Table1[[#This Row],[Std Adj Read]]&gt;Table1[[#This Row],[Low Tol]],"Pass","Fail"),IF(Table1[[#This Row],[DUT Adj Read]]&gt;Table1[[#This Row],[Low Tol]],"Pass","Fail")))</f>
        <v>Pass</v>
      </c>
      <c r="AE1916" s="1" t="str">
        <f>IF(AND(Table1[[#This Row],[Spec Type2]]="N/A",Table1[[#This Row],[DUT Adj Read]]="N/A",Table1[[#This Row],[Std Adj Read]]="N/A"),"N/A",IF(Table1[[#This Row],[DUT Adj Read]]="N/A",IF(Table1[[#This Row],[Std Adj Read]]&lt;Table1[[#This Row],[High Tol]],"Pass","Fail"),IF(Table1[[#This Row],[DUT Adj Read]]&lt;Table1[[#This Row],[High Tol]],"Pass","Fail")))</f>
        <v>Fail</v>
      </c>
      <c r="AF1916" s="1" t="str">
        <f>IF(AND(Table1[[#This Row],[Spec Type2]]="N/A",Table1[[#This Row],[DUT Adj Read]]="N/A",Table1[[#This Row],[Std Adj Read]]="N/A"),"N/A",IF(Table1[[#This Row],[DUT Adj Read]]="N/A",IF(Table1[[#This Row],[Std Adj Read]]&gt;=Table1[[#This Row],[Low Tol]],"Pass","Fail"),IF(Table1[[#This Row],[DUT Adj Read]]&gt;=Table1[[#This Row],[Low Tol]],"Pass","Fail")))</f>
        <v>Pass</v>
      </c>
      <c r="AG1916" s="1" t="str">
        <f>IF(AND(Table1[[#This Row],[Spec Type2]]="N/A",Table1[[#This Row],[DUT Adj Read]]="N/A",Table1[[#This Row],[Std Adj Read]]="N/A"),"N/A",IF(Table1[[#This Row],[DUT Adj Read]]="N/A",IF(Table1[[#This Row],[Std Adj Read]]&lt;=Table1[[#This Row],[High Tol]],"Pass","Fail"),IF(Table1[[#This Row],[DUT Adj Read]]&lt;=Table1[[#This Row],[High Tol]],"Pass","Fail")))</f>
        <v>Fail</v>
      </c>
      <c r="AH19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6" s="1" t="b">
        <v>0</v>
      </c>
      <c r="AN1916" s="1" t="b">
        <v>0</v>
      </c>
      <c r="AO1916" s="1" t="b">
        <v>0</v>
      </c>
    </row>
    <row r="1917" spans="1:41" x14ac:dyDescent="0.25">
      <c r="A1917" s="10"/>
      <c r="B1917" s="10"/>
      <c r="C1917" s="10"/>
      <c r="D1917" s="10"/>
      <c r="E1917" s="10"/>
      <c r="F1917" s="10"/>
      <c r="G1917" s="10"/>
      <c r="H1917" s="10"/>
      <c r="I1917" s="1" t="str">
        <f t="shared" si="87"/>
        <v/>
      </c>
      <c r="J1917" s="1" t="s">
        <v>35</v>
      </c>
      <c r="K1917" s="1" t="str">
        <f t="shared" si="88"/>
        <v/>
      </c>
      <c r="L1917" s="1" t="str">
        <f t="shared" si="89"/>
        <v/>
      </c>
      <c r="M1917" s="1">
        <f>IF(OR(Table1[[#This Row],[Std Nom]]="",Table1[[#This Row],[Std Read]]=""),0,Table1[[#This Row],[Std Nom]]-Table1[[#This Row],[Std Read]])</f>
        <v>0</v>
      </c>
      <c r="N1917" s="1">
        <f>IF(Calculations!$F$5="ACCREDITED 17025 WITH UNCERTAINTIES",$N$10,0)</f>
        <v>0</v>
      </c>
      <c r="O1917" s="1" t="str">
        <f>IFERROR(Table1[[#This Row],[Std Nom]]-(_xlfn.XLOOKUP(Table1[[#This Row],[Manufacturer]]&amp;" "&amp;Table1[[#This Row],[Model]],Table13[MFR &amp; MDL],Table13[Tolerance % CW ],"")/100*Table1[[#This Row],[Std Nom]]),"")</f>
        <v/>
      </c>
      <c r="P1917" s="1" t="str">
        <f>IFERROR(Table1[[#This Row],[Std Nom]]+(_xlfn.XLOOKUP(Table1[[#This Row],[Manufacturer]]&amp;" "&amp;Table1[[#This Row],[Model]],Table13[MFR &amp; MDL],Table13[Tolerance % CW ],"")/100*Table1[[#This Row],[Std Nom]]),"")</f>
        <v/>
      </c>
      <c r="Q1917" s="1" t="e">
        <f>Table1[[#This Row],[High Tol]]-Table1[[#This Row],[Low Tol]]</f>
        <v>#VALUE!</v>
      </c>
      <c r="R1917" s="1">
        <f>2*Table1[[#This Row],[Std Error]]</f>
        <v>0</v>
      </c>
      <c r="S1917" s="1" t="str">
        <f>IF(Table1[[#This Row],[High Tol]]="","N/A",IFERROR(ABS(Table1[[#This Row],[Tol Span]]/Table1[[#This Row],[Error Span]]),"N/A"))</f>
        <v>N/A</v>
      </c>
      <c r="T1917" s="1" t="str">
        <f>IF(OR(Table1[[#This Row],[Low Tol]]="",Table1[[#This Row],[High Tol]]=""),"Needs Analysis",IF(Table1[[#This Row],[Ratio]]&gt;=4,"Not Significant",IF(Table1[[#This Row],[Ratio]]&gt;=2,"Semi-Significant","Significant")))</f>
        <v>Needs Analysis</v>
      </c>
      <c r="W1917" s="1">
        <f>IF(Table1[[#This Row],[Cal Type]]&lt;&gt;"ACCREDITED 17025 WITH UNCERTAINTIES",0,"")</f>
        <v>0</v>
      </c>
      <c r="X1917" s="1" t="str">
        <f>IF(Table1[[#This Row],[DUT Read]]="","N/A",Table1[[#This Row],[Std Error]]+Table1[[#This Row],[DUT Read]]+Table1[[#This Row],[DUT Ucty]])</f>
        <v>N/A</v>
      </c>
      <c r="Y1917" s="1" t="str">
        <f>IF(Table1[[#This Row],[Std Read]]="","N/A",Table1[[#This Row],[Std Read]]+Table1[[#This Row],[Std Ucty]])</f>
        <v>N/A</v>
      </c>
      <c r="Z19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7" s="1" t="str">
        <f>IF(Table1[[#This Row],[Spec Type]]="","N/A",Table1[[#This Row],[Spec Type]])</f>
        <v>±</v>
      </c>
      <c r="AC1917" s="1" t="str">
        <f>IF(Table1[[#This Row],[Spec Type2]]="N/A","N/A",IF(AND(Table1[[#This Row],[DUT Adj Read]]&gt;=Table1[[#This Row],[Low Tol]],Table1[[#This Row],[DUT Adj Read]]&lt;=Table1[[#This Row],[High Tol]]),"Pass","Fail"))</f>
        <v>Fail</v>
      </c>
      <c r="AD1917" s="1" t="str">
        <f>IF(AND(Table1[[#This Row],[Spec Type2]]="N/A",Table1[[#This Row],[DUT Adj Read]]="N/A",Table1[[#This Row],[Std Adj Read]]="N/A"),"N/A",IF(Table1[[#This Row],[DUT Adj Read]]="N/A",IF(Table1[[#This Row],[Std Adj Read]]&gt;Table1[[#This Row],[Low Tol]],"Pass","Fail"),IF(Table1[[#This Row],[DUT Adj Read]]&gt;Table1[[#This Row],[Low Tol]],"Pass","Fail")))</f>
        <v>Pass</v>
      </c>
      <c r="AE1917" s="1" t="str">
        <f>IF(AND(Table1[[#This Row],[Spec Type2]]="N/A",Table1[[#This Row],[DUT Adj Read]]="N/A",Table1[[#This Row],[Std Adj Read]]="N/A"),"N/A",IF(Table1[[#This Row],[DUT Adj Read]]="N/A",IF(Table1[[#This Row],[Std Adj Read]]&lt;Table1[[#This Row],[High Tol]],"Pass","Fail"),IF(Table1[[#This Row],[DUT Adj Read]]&lt;Table1[[#This Row],[High Tol]],"Pass","Fail")))</f>
        <v>Fail</v>
      </c>
      <c r="AF1917" s="1" t="str">
        <f>IF(AND(Table1[[#This Row],[Spec Type2]]="N/A",Table1[[#This Row],[DUT Adj Read]]="N/A",Table1[[#This Row],[Std Adj Read]]="N/A"),"N/A",IF(Table1[[#This Row],[DUT Adj Read]]="N/A",IF(Table1[[#This Row],[Std Adj Read]]&gt;=Table1[[#This Row],[Low Tol]],"Pass","Fail"),IF(Table1[[#This Row],[DUT Adj Read]]&gt;=Table1[[#This Row],[Low Tol]],"Pass","Fail")))</f>
        <v>Pass</v>
      </c>
      <c r="AG1917" s="1" t="str">
        <f>IF(AND(Table1[[#This Row],[Spec Type2]]="N/A",Table1[[#This Row],[DUT Adj Read]]="N/A",Table1[[#This Row],[Std Adj Read]]="N/A"),"N/A",IF(Table1[[#This Row],[DUT Adj Read]]="N/A",IF(Table1[[#This Row],[Std Adj Read]]&lt;=Table1[[#This Row],[High Tol]],"Pass","Fail"),IF(Table1[[#This Row],[DUT Adj Read]]&lt;=Table1[[#This Row],[High Tol]],"Pass","Fail")))</f>
        <v>Fail</v>
      </c>
      <c r="AH19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7" s="1" t="b">
        <v>0</v>
      </c>
      <c r="AN1917" s="1" t="b">
        <v>0</v>
      </c>
      <c r="AO1917" s="1" t="b">
        <v>0</v>
      </c>
    </row>
    <row r="1918" spans="1:41" x14ac:dyDescent="0.25">
      <c r="A1918" s="10"/>
      <c r="B1918" s="10"/>
      <c r="C1918" s="10"/>
      <c r="D1918" s="10"/>
      <c r="E1918" s="10"/>
      <c r="F1918" s="10"/>
      <c r="G1918" s="10"/>
      <c r="H1918" s="10"/>
      <c r="I1918" s="1" t="str">
        <f t="shared" si="87"/>
        <v/>
      </c>
      <c r="J1918" s="1" t="s">
        <v>35</v>
      </c>
      <c r="K1918" s="1" t="str">
        <f t="shared" si="88"/>
        <v/>
      </c>
      <c r="L1918" s="1" t="str">
        <f t="shared" si="89"/>
        <v/>
      </c>
      <c r="M1918" s="1">
        <f>IF(OR(Table1[[#This Row],[Std Nom]]="",Table1[[#This Row],[Std Read]]=""),0,Table1[[#This Row],[Std Nom]]-Table1[[#This Row],[Std Read]])</f>
        <v>0</v>
      </c>
      <c r="N1918" s="1">
        <f>IF(Calculations!$F$5="ACCREDITED 17025 WITH UNCERTAINTIES",$N$10,0)</f>
        <v>0</v>
      </c>
      <c r="O1918" s="1" t="str">
        <f>IFERROR(Table1[[#This Row],[Std Nom]]-(_xlfn.XLOOKUP(Table1[[#This Row],[Manufacturer]]&amp;" "&amp;Table1[[#This Row],[Model]],Table13[MFR &amp; MDL],Table13[Tolerance % CW ],"")/100*Table1[[#This Row],[Std Nom]]),"")</f>
        <v/>
      </c>
      <c r="P1918" s="1" t="str">
        <f>IFERROR(Table1[[#This Row],[Std Nom]]+(_xlfn.XLOOKUP(Table1[[#This Row],[Manufacturer]]&amp;" "&amp;Table1[[#This Row],[Model]],Table13[MFR &amp; MDL],Table13[Tolerance % CW ],"")/100*Table1[[#This Row],[Std Nom]]),"")</f>
        <v/>
      </c>
      <c r="Q1918" s="1" t="e">
        <f>Table1[[#This Row],[High Tol]]-Table1[[#This Row],[Low Tol]]</f>
        <v>#VALUE!</v>
      </c>
      <c r="R1918" s="1">
        <f>2*Table1[[#This Row],[Std Error]]</f>
        <v>0</v>
      </c>
      <c r="S1918" s="1" t="str">
        <f>IF(Table1[[#This Row],[High Tol]]="","N/A",IFERROR(ABS(Table1[[#This Row],[Tol Span]]/Table1[[#This Row],[Error Span]]),"N/A"))</f>
        <v>N/A</v>
      </c>
      <c r="T1918" s="1" t="str">
        <f>IF(OR(Table1[[#This Row],[Low Tol]]="",Table1[[#This Row],[High Tol]]=""),"Needs Analysis",IF(Table1[[#This Row],[Ratio]]&gt;=4,"Not Significant",IF(Table1[[#This Row],[Ratio]]&gt;=2,"Semi-Significant","Significant")))</f>
        <v>Needs Analysis</v>
      </c>
      <c r="W1918" s="1">
        <f>IF(Table1[[#This Row],[Cal Type]]&lt;&gt;"ACCREDITED 17025 WITH UNCERTAINTIES",0,"")</f>
        <v>0</v>
      </c>
      <c r="X1918" s="1" t="str">
        <f>IF(Table1[[#This Row],[DUT Read]]="","N/A",Table1[[#This Row],[Std Error]]+Table1[[#This Row],[DUT Read]]+Table1[[#This Row],[DUT Ucty]])</f>
        <v>N/A</v>
      </c>
      <c r="Y1918" s="1" t="str">
        <f>IF(Table1[[#This Row],[Std Read]]="","N/A",Table1[[#This Row],[Std Read]]+Table1[[#This Row],[Std Ucty]])</f>
        <v>N/A</v>
      </c>
      <c r="Z19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8" s="1" t="str">
        <f>IF(Table1[[#This Row],[Spec Type]]="","N/A",Table1[[#This Row],[Spec Type]])</f>
        <v>±</v>
      </c>
      <c r="AC1918" s="1" t="str">
        <f>IF(Table1[[#This Row],[Spec Type2]]="N/A","N/A",IF(AND(Table1[[#This Row],[DUT Adj Read]]&gt;=Table1[[#This Row],[Low Tol]],Table1[[#This Row],[DUT Adj Read]]&lt;=Table1[[#This Row],[High Tol]]),"Pass","Fail"))</f>
        <v>Fail</v>
      </c>
      <c r="AD1918" s="1" t="str">
        <f>IF(AND(Table1[[#This Row],[Spec Type2]]="N/A",Table1[[#This Row],[DUT Adj Read]]="N/A",Table1[[#This Row],[Std Adj Read]]="N/A"),"N/A",IF(Table1[[#This Row],[DUT Adj Read]]="N/A",IF(Table1[[#This Row],[Std Adj Read]]&gt;Table1[[#This Row],[Low Tol]],"Pass","Fail"),IF(Table1[[#This Row],[DUT Adj Read]]&gt;Table1[[#This Row],[Low Tol]],"Pass","Fail")))</f>
        <v>Pass</v>
      </c>
      <c r="AE1918" s="1" t="str">
        <f>IF(AND(Table1[[#This Row],[Spec Type2]]="N/A",Table1[[#This Row],[DUT Adj Read]]="N/A",Table1[[#This Row],[Std Adj Read]]="N/A"),"N/A",IF(Table1[[#This Row],[DUT Adj Read]]="N/A",IF(Table1[[#This Row],[Std Adj Read]]&lt;Table1[[#This Row],[High Tol]],"Pass","Fail"),IF(Table1[[#This Row],[DUT Adj Read]]&lt;Table1[[#This Row],[High Tol]],"Pass","Fail")))</f>
        <v>Fail</v>
      </c>
      <c r="AF1918" s="1" t="str">
        <f>IF(AND(Table1[[#This Row],[Spec Type2]]="N/A",Table1[[#This Row],[DUT Adj Read]]="N/A",Table1[[#This Row],[Std Adj Read]]="N/A"),"N/A",IF(Table1[[#This Row],[DUT Adj Read]]="N/A",IF(Table1[[#This Row],[Std Adj Read]]&gt;=Table1[[#This Row],[Low Tol]],"Pass","Fail"),IF(Table1[[#This Row],[DUT Adj Read]]&gt;=Table1[[#This Row],[Low Tol]],"Pass","Fail")))</f>
        <v>Pass</v>
      </c>
      <c r="AG1918" s="1" t="str">
        <f>IF(AND(Table1[[#This Row],[Spec Type2]]="N/A",Table1[[#This Row],[DUT Adj Read]]="N/A",Table1[[#This Row],[Std Adj Read]]="N/A"),"N/A",IF(Table1[[#This Row],[DUT Adj Read]]="N/A",IF(Table1[[#This Row],[Std Adj Read]]&lt;=Table1[[#This Row],[High Tol]],"Pass","Fail"),IF(Table1[[#This Row],[DUT Adj Read]]&lt;=Table1[[#This Row],[High Tol]],"Pass","Fail")))</f>
        <v>Fail</v>
      </c>
      <c r="AH19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8" s="1" t="b">
        <v>0</v>
      </c>
      <c r="AN1918" s="1" t="b">
        <v>0</v>
      </c>
      <c r="AO1918" s="1" t="b">
        <v>0</v>
      </c>
    </row>
    <row r="1919" spans="1:41" x14ac:dyDescent="0.25">
      <c r="A1919" s="10"/>
      <c r="B1919" s="10"/>
      <c r="C1919" s="10"/>
      <c r="D1919" s="10"/>
      <c r="E1919" s="10"/>
      <c r="F1919" s="10"/>
      <c r="G1919" s="10"/>
      <c r="H1919" s="10"/>
      <c r="I1919" s="1" t="str">
        <f t="shared" si="87"/>
        <v/>
      </c>
      <c r="J1919" s="1" t="s">
        <v>35</v>
      </c>
      <c r="K1919" s="1" t="str">
        <f t="shared" si="88"/>
        <v/>
      </c>
      <c r="L1919" s="1" t="str">
        <f t="shared" si="89"/>
        <v/>
      </c>
      <c r="M1919" s="1">
        <f>IF(OR(Table1[[#This Row],[Std Nom]]="",Table1[[#This Row],[Std Read]]=""),0,Table1[[#This Row],[Std Nom]]-Table1[[#This Row],[Std Read]])</f>
        <v>0</v>
      </c>
      <c r="N1919" s="1">
        <f>IF(Calculations!$F$5="ACCREDITED 17025 WITH UNCERTAINTIES",$N$10,0)</f>
        <v>0</v>
      </c>
      <c r="O1919" s="1" t="str">
        <f>IFERROR(Table1[[#This Row],[Std Nom]]-(_xlfn.XLOOKUP(Table1[[#This Row],[Manufacturer]]&amp;" "&amp;Table1[[#This Row],[Model]],Table13[MFR &amp; MDL],Table13[Tolerance % CW ],"")/100*Table1[[#This Row],[Std Nom]]),"")</f>
        <v/>
      </c>
      <c r="P1919" s="1" t="str">
        <f>IFERROR(Table1[[#This Row],[Std Nom]]+(_xlfn.XLOOKUP(Table1[[#This Row],[Manufacturer]]&amp;" "&amp;Table1[[#This Row],[Model]],Table13[MFR &amp; MDL],Table13[Tolerance % CW ],"")/100*Table1[[#This Row],[Std Nom]]),"")</f>
        <v/>
      </c>
      <c r="Q1919" s="1" t="e">
        <f>Table1[[#This Row],[High Tol]]-Table1[[#This Row],[Low Tol]]</f>
        <v>#VALUE!</v>
      </c>
      <c r="R1919" s="1">
        <f>2*Table1[[#This Row],[Std Error]]</f>
        <v>0</v>
      </c>
      <c r="S1919" s="1" t="str">
        <f>IF(Table1[[#This Row],[High Tol]]="","N/A",IFERROR(ABS(Table1[[#This Row],[Tol Span]]/Table1[[#This Row],[Error Span]]),"N/A"))</f>
        <v>N/A</v>
      </c>
      <c r="T1919" s="1" t="str">
        <f>IF(OR(Table1[[#This Row],[Low Tol]]="",Table1[[#This Row],[High Tol]]=""),"Needs Analysis",IF(Table1[[#This Row],[Ratio]]&gt;=4,"Not Significant",IF(Table1[[#This Row],[Ratio]]&gt;=2,"Semi-Significant","Significant")))</f>
        <v>Needs Analysis</v>
      </c>
      <c r="W1919" s="1">
        <f>IF(Table1[[#This Row],[Cal Type]]&lt;&gt;"ACCREDITED 17025 WITH UNCERTAINTIES",0,"")</f>
        <v>0</v>
      </c>
      <c r="X1919" s="1" t="str">
        <f>IF(Table1[[#This Row],[DUT Read]]="","N/A",Table1[[#This Row],[Std Error]]+Table1[[#This Row],[DUT Read]]+Table1[[#This Row],[DUT Ucty]])</f>
        <v>N/A</v>
      </c>
      <c r="Y1919" s="1" t="str">
        <f>IF(Table1[[#This Row],[Std Read]]="","N/A",Table1[[#This Row],[Std Read]]+Table1[[#This Row],[Std Ucty]])</f>
        <v>N/A</v>
      </c>
      <c r="Z19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9" s="1" t="str">
        <f>IF(Table1[[#This Row],[Spec Type]]="","N/A",Table1[[#This Row],[Spec Type]])</f>
        <v>±</v>
      </c>
      <c r="AC1919" s="1" t="str">
        <f>IF(Table1[[#This Row],[Spec Type2]]="N/A","N/A",IF(AND(Table1[[#This Row],[DUT Adj Read]]&gt;=Table1[[#This Row],[Low Tol]],Table1[[#This Row],[DUT Adj Read]]&lt;=Table1[[#This Row],[High Tol]]),"Pass","Fail"))</f>
        <v>Fail</v>
      </c>
      <c r="AD1919" s="1" t="str">
        <f>IF(AND(Table1[[#This Row],[Spec Type2]]="N/A",Table1[[#This Row],[DUT Adj Read]]="N/A",Table1[[#This Row],[Std Adj Read]]="N/A"),"N/A",IF(Table1[[#This Row],[DUT Adj Read]]="N/A",IF(Table1[[#This Row],[Std Adj Read]]&gt;Table1[[#This Row],[Low Tol]],"Pass","Fail"),IF(Table1[[#This Row],[DUT Adj Read]]&gt;Table1[[#This Row],[Low Tol]],"Pass","Fail")))</f>
        <v>Pass</v>
      </c>
      <c r="AE1919" s="1" t="str">
        <f>IF(AND(Table1[[#This Row],[Spec Type2]]="N/A",Table1[[#This Row],[DUT Adj Read]]="N/A",Table1[[#This Row],[Std Adj Read]]="N/A"),"N/A",IF(Table1[[#This Row],[DUT Adj Read]]="N/A",IF(Table1[[#This Row],[Std Adj Read]]&lt;Table1[[#This Row],[High Tol]],"Pass","Fail"),IF(Table1[[#This Row],[DUT Adj Read]]&lt;Table1[[#This Row],[High Tol]],"Pass","Fail")))</f>
        <v>Fail</v>
      </c>
      <c r="AF1919" s="1" t="str">
        <f>IF(AND(Table1[[#This Row],[Spec Type2]]="N/A",Table1[[#This Row],[DUT Adj Read]]="N/A",Table1[[#This Row],[Std Adj Read]]="N/A"),"N/A",IF(Table1[[#This Row],[DUT Adj Read]]="N/A",IF(Table1[[#This Row],[Std Adj Read]]&gt;=Table1[[#This Row],[Low Tol]],"Pass","Fail"),IF(Table1[[#This Row],[DUT Adj Read]]&gt;=Table1[[#This Row],[Low Tol]],"Pass","Fail")))</f>
        <v>Pass</v>
      </c>
      <c r="AG1919" s="1" t="str">
        <f>IF(AND(Table1[[#This Row],[Spec Type2]]="N/A",Table1[[#This Row],[DUT Adj Read]]="N/A",Table1[[#This Row],[Std Adj Read]]="N/A"),"N/A",IF(Table1[[#This Row],[DUT Adj Read]]="N/A",IF(Table1[[#This Row],[Std Adj Read]]&lt;=Table1[[#This Row],[High Tol]],"Pass","Fail"),IF(Table1[[#This Row],[DUT Adj Read]]&lt;=Table1[[#This Row],[High Tol]],"Pass","Fail")))</f>
        <v>Fail</v>
      </c>
      <c r="AH19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9" s="1" t="b">
        <v>0</v>
      </c>
      <c r="AN1919" s="1" t="b">
        <v>0</v>
      </c>
      <c r="AO1919" s="1" t="b">
        <v>0</v>
      </c>
    </row>
    <row r="1920" spans="1:41" x14ac:dyDescent="0.25">
      <c r="A1920" s="10"/>
      <c r="B1920" s="10"/>
      <c r="C1920" s="10"/>
      <c r="D1920" s="10"/>
      <c r="E1920" s="10"/>
      <c r="F1920" s="10"/>
      <c r="G1920" s="10"/>
      <c r="H1920" s="10"/>
      <c r="I1920" s="1" t="str">
        <f t="shared" si="87"/>
        <v/>
      </c>
      <c r="J1920" s="1" t="s">
        <v>35</v>
      </c>
      <c r="K1920" s="1" t="str">
        <f t="shared" si="88"/>
        <v/>
      </c>
      <c r="L1920" s="1" t="str">
        <f t="shared" si="89"/>
        <v/>
      </c>
      <c r="M1920" s="1">
        <f>IF(OR(Table1[[#This Row],[Std Nom]]="",Table1[[#This Row],[Std Read]]=""),0,Table1[[#This Row],[Std Nom]]-Table1[[#This Row],[Std Read]])</f>
        <v>0</v>
      </c>
      <c r="N1920" s="1">
        <f>IF(Calculations!$F$5="ACCREDITED 17025 WITH UNCERTAINTIES",$N$10,0)</f>
        <v>0</v>
      </c>
      <c r="O1920" s="1" t="str">
        <f>IFERROR(Table1[[#This Row],[Std Nom]]-(_xlfn.XLOOKUP(Table1[[#This Row],[Manufacturer]]&amp;" "&amp;Table1[[#This Row],[Model]],Table13[MFR &amp; MDL],Table13[Tolerance % CW ],"")/100*Table1[[#This Row],[Std Nom]]),"")</f>
        <v/>
      </c>
      <c r="P1920" s="1" t="str">
        <f>IFERROR(Table1[[#This Row],[Std Nom]]+(_xlfn.XLOOKUP(Table1[[#This Row],[Manufacturer]]&amp;" "&amp;Table1[[#This Row],[Model]],Table13[MFR &amp; MDL],Table13[Tolerance % CW ],"")/100*Table1[[#This Row],[Std Nom]]),"")</f>
        <v/>
      </c>
      <c r="Q1920" s="1" t="e">
        <f>Table1[[#This Row],[High Tol]]-Table1[[#This Row],[Low Tol]]</f>
        <v>#VALUE!</v>
      </c>
      <c r="R1920" s="1">
        <f>2*Table1[[#This Row],[Std Error]]</f>
        <v>0</v>
      </c>
      <c r="S1920" s="1" t="str">
        <f>IF(Table1[[#This Row],[High Tol]]="","N/A",IFERROR(ABS(Table1[[#This Row],[Tol Span]]/Table1[[#This Row],[Error Span]]),"N/A"))</f>
        <v>N/A</v>
      </c>
      <c r="T1920" s="1" t="str">
        <f>IF(OR(Table1[[#This Row],[Low Tol]]="",Table1[[#This Row],[High Tol]]=""),"Needs Analysis",IF(Table1[[#This Row],[Ratio]]&gt;=4,"Not Significant",IF(Table1[[#This Row],[Ratio]]&gt;=2,"Semi-Significant","Significant")))</f>
        <v>Needs Analysis</v>
      </c>
      <c r="W1920" s="1">
        <f>IF(Table1[[#This Row],[Cal Type]]&lt;&gt;"ACCREDITED 17025 WITH UNCERTAINTIES",0,"")</f>
        <v>0</v>
      </c>
      <c r="X1920" s="1" t="str">
        <f>IF(Table1[[#This Row],[DUT Read]]="","N/A",Table1[[#This Row],[Std Error]]+Table1[[#This Row],[DUT Read]]+Table1[[#This Row],[DUT Ucty]])</f>
        <v>N/A</v>
      </c>
      <c r="Y1920" s="1" t="str">
        <f>IF(Table1[[#This Row],[Std Read]]="","N/A",Table1[[#This Row],[Std Read]]+Table1[[#This Row],[Std Ucty]])</f>
        <v>N/A</v>
      </c>
      <c r="Z19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0" s="1" t="str">
        <f>IF(Table1[[#This Row],[Spec Type]]="","N/A",Table1[[#This Row],[Spec Type]])</f>
        <v>±</v>
      </c>
      <c r="AC1920" s="1" t="str">
        <f>IF(Table1[[#This Row],[Spec Type2]]="N/A","N/A",IF(AND(Table1[[#This Row],[DUT Adj Read]]&gt;=Table1[[#This Row],[Low Tol]],Table1[[#This Row],[DUT Adj Read]]&lt;=Table1[[#This Row],[High Tol]]),"Pass","Fail"))</f>
        <v>Fail</v>
      </c>
      <c r="AD1920" s="1" t="str">
        <f>IF(AND(Table1[[#This Row],[Spec Type2]]="N/A",Table1[[#This Row],[DUT Adj Read]]="N/A",Table1[[#This Row],[Std Adj Read]]="N/A"),"N/A",IF(Table1[[#This Row],[DUT Adj Read]]="N/A",IF(Table1[[#This Row],[Std Adj Read]]&gt;Table1[[#This Row],[Low Tol]],"Pass","Fail"),IF(Table1[[#This Row],[DUT Adj Read]]&gt;Table1[[#This Row],[Low Tol]],"Pass","Fail")))</f>
        <v>Pass</v>
      </c>
      <c r="AE1920" s="1" t="str">
        <f>IF(AND(Table1[[#This Row],[Spec Type2]]="N/A",Table1[[#This Row],[DUT Adj Read]]="N/A",Table1[[#This Row],[Std Adj Read]]="N/A"),"N/A",IF(Table1[[#This Row],[DUT Adj Read]]="N/A",IF(Table1[[#This Row],[Std Adj Read]]&lt;Table1[[#This Row],[High Tol]],"Pass","Fail"),IF(Table1[[#This Row],[DUT Adj Read]]&lt;Table1[[#This Row],[High Tol]],"Pass","Fail")))</f>
        <v>Fail</v>
      </c>
      <c r="AF1920" s="1" t="str">
        <f>IF(AND(Table1[[#This Row],[Spec Type2]]="N/A",Table1[[#This Row],[DUT Adj Read]]="N/A",Table1[[#This Row],[Std Adj Read]]="N/A"),"N/A",IF(Table1[[#This Row],[DUT Adj Read]]="N/A",IF(Table1[[#This Row],[Std Adj Read]]&gt;=Table1[[#This Row],[Low Tol]],"Pass","Fail"),IF(Table1[[#This Row],[DUT Adj Read]]&gt;=Table1[[#This Row],[Low Tol]],"Pass","Fail")))</f>
        <v>Pass</v>
      </c>
      <c r="AG1920" s="1" t="str">
        <f>IF(AND(Table1[[#This Row],[Spec Type2]]="N/A",Table1[[#This Row],[DUT Adj Read]]="N/A",Table1[[#This Row],[Std Adj Read]]="N/A"),"N/A",IF(Table1[[#This Row],[DUT Adj Read]]="N/A",IF(Table1[[#This Row],[Std Adj Read]]&lt;=Table1[[#This Row],[High Tol]],"Pass","Fail"),IF(Table1[[#This Row],[DUT Adj Read]]&lt;=Table1[[#This Row],[High Tol]],"Pass","Fail")))</f>
        <v>Fail</v>
      </c>
      <c r="AH19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0" s="1" t="b">
        <v>0</v>
      </c>
      <c r="AN1920" s="1" t="b">
        <v>0</v>
      </c>
      <c r="AO1920" s="1" t="b">
        <v>0</v>
      </c>
    </row>
    <row r="1921" spans="1:41" x14ac:dyDescent="0.25">
      <c r="A1921" s="10"/>
      <c r="B1921" s="10"/>
      <c r="C1921" s="10"/>
      <c r="D1921" s="10"/>
      <c r="E1921" s="10"/>
      <c r="F1921" s="10"/>
      <c r="G1921" s="10"/>
      <c r="H1921" s="10"/>
      <c r="I1921" s="1" t="str">
        <f t="shared" si="87"/>
        <v/>
      </c>
      <c r="J1921" s="1" t="s">
        <v>35</v>
      </c>
      <c r="K1921" s="1" t="str">
        <f t="shared" si="88"/>
        <v/>
      </c>
      <c r="L1921" s="1" t="str">
        <f t="shared" si="89"/>
        <v/>
      </c>
      <c r="M1921" s="1">
        <f>IF(OR(Table1[[#This Row],[Std Nom]]="",Table1[[#This Row],[Std Read]]=""),0,Table1[[#This Row],[Std Nom]]-Table1[[#This Row],[Std Read]])</f>
        <v>0</v>
      </c>
      <c r="N1921" s="1">
        <f>IF(Calculations!$F$5="ACCREDITED 17025 WITH UNCERTAINTIES",$N$10,0)</f>
        <v>0</v>
      </c>
      <c r="O1921" s="1" t="str">
        <f>IFERROR(Table1[[#This Row],[Std Nom]]-(_xlfn.XLOOKUP(Table1[[#This Row],[Manufacturer]]&amp;" "&amp;Table1[[#This Row],[Model]],Table13[MFR &amp; MDL],Table13[Tolerance % CW ],"")/100*Table1[[#This Row],[Std Nom]]),"")</f>
        <v/>
      </c>
      <c r="P1921" s="1" t="str">
        <f>IFERROR(Table1[[#This Row],[Std Nom]]+(_xlfn.XLOOKUP(Table1[[#This Row],[Manufacturer]]&amp;" "&amp;Table1[[#This Row],[Model]],Table13[MFR &amp; MDL],Table13[Tolerance % CW ],"")/100*Table1[[#This Row],[Std Nom]]),"")</f>
        <v/>
      </c>
      <c r="Q1921" s="1" t="e">
        <f>Table1[[#This Row],[High Tol]]-Table1[[#This Row],[Low Tol]]</f>
        <v>#VALUE!</v>
      </c>
      <c r="R1921" s="1">
        <f>2*Table1[[#This Row],[Std Error]]</f>
        <v>0</v>
      </c>
      <c r="S1921" s="1" t="str">
        <f>IF(Table1[[#This Row],[High Tol]]="","N/A",IFERROR(ABS(Table1[[#This Row],[Tol Span]]/Table1[[#This Row],[Error Span]]),"N/A"))</f>
        <v>N/A</v>
      </c>
      <c r="T1921" s="1" t="str">
        <f>IF(OR(Table1[[#This Row],[Low Tol]]="",Table1[[#This Row],[High Tol]]=""),"Needs Analysis",IF(Table1[[#This Row],[Ratio]]&gt;=4,"Not Significant",IF(Table1[[#This Row],[Ratio]]&gt;=2,"Semi-Significant","Significant")))</f>
        <v>Needs Analysis</v>
      </c>
      <c r="W1921" s="1">
        <f>IF(Table1[[#This Row],[Cal Type]]&lt;&gt;"ACCREDITED 17025 WITH UNCERTAINTIES",0,"")</f>
        <v>0</v>
      </c>
      <c r="X1921" s="1" t="str">
        <f>IF(Table1[[#This Row],[DUT Read]]="","N/A",Table1[[#This Row],[Std Error]]+Table1[[#This Row],[DUT Read]]+Table1[[#This Row],[DUT Ucty]])</f>
        <v>N/A</v>
      </c>
      <c r="Y1921" s="1" t="str">
        <f>IF(Table1[[#This Row],[Std Read]]="","N/A",Table1[[#This Row],[Std Read]]+Table1[[#This Row],[Std Ucty]])</f>
        <v>N/A</v>
      </c>
      <c r="Z19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1" s="1" t="str">
        <f>IF(Table1[[#This Row],[Spec Type]]="","N/A",Table1[[#This Row],[Spec Type]])</f>
        <v>±</v>
      </c>
      <c r="AC1921" s="1" t="str">
        <f>IF(Table1[[#This Row],[Spec Type2]]="N/A","N/A",IF(AND(Table1[[#This Row],[DUT Adj Read]]&gt;=Table1[[#This Row],[Low Tol]],Table1[[#This Row],[DUT Adj Read]]&lt;=Table1[[#This Row],[High Tol]]),"Pass","Fail"))</f>
        <v>Fail</v>
      </c>
      <c r="AD1921" s="1" t="str">
        <f>IF(AND(Table1[[#This Row],[Spec Type2]]="N/A",Table1[[#This Row],[DUT Adj Read]]="N/A",Table1[[#This Row],[Std Adj Read]]="N/A"),"N/A",IF(Table1[[#This Row],[DUT Adj Read]]="N/A",IF(Table1[[#This Row],[Std Adj Read]]&gt;Table1[[#This Row],[Low Tol]],"Pass","Fail"),IF(Table1[[#This Row],[DUT Adj Read]]&gt;Table1[[#This Row],[Low Tol]],"Pass","Fail")))</f>
        <v>Pass</v>
      </c>
      <c r="AE1921" s="1" t="str">
        <f>IF(AND(Table1[[#This Row],[Spec Type2]]="N/A",Table1[[#This Row],[DUT Adj Read]]="N/A",Table1[[#This Row],[Std Adj Read]]="N/A"),"N/A",IF(Table1[[#This Row],[DUT Adj Read]]="N/A",IF(Table1[[#This Row],[Std Adj Read]]&lt;Table1[[#This Row],[High Tol]],"Pass","Fail"),IF(Table1[[#This Row],[DUT Adj Read]]&lt;Table1[[#This Row],[High Tol]],"Pass","Fail")))</f>
        <v>Fail</v>
      </c>
      <c r="AF1921" s="1" t="str">
        <f>IF(AND(Table1[[#This Row],[Spec Type2]]="N/A",Table1[[#This Row],[DUT Adj Read]]="N/A",Table1[[#This Row],[Std Adj Read]]="N/A"),"N/A",IF(Table1[[#This Row],[DUT Adj Read]]="N/A",IF(Table1[[#This Row],[Std Adj Read]]&gt;=Table1[[#This Row],[Low Tol]],"Pass","Fail"),IF(Table1[[#This Row],[DUT Adj Read]]&gt;=Table1[[#This Row],[Low Tol]],"Pass","Fail")))</f>
        <v>Pass</v>
      </c>
      <c r="AG1921" s="1" t="str">
        <f>IF(AND(Table1[[#This Row],[Spec Type2]]="N/A",Table1[[#This Row],[DUT Adj Read]]="N/A",Table1[[#This Row],[Std Adj Read]]="N/A"),"N/A",IF(Table1[[#This Row],[DUT Adj Read]]="N/A",IF(Table1[[#This Row],[Std Adj Read]]&lt;=Table1[[#This Row],[High Tol]],"Pass","Fail"),IF(Table1[[#This Row],[DUT Adj Read]]&lt;=Table1[[#This Row],[High Tol]],"Pass","Fail")))</f>
        <v>Fail</v>
      </c>
      <c r="AH19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1" s="1" t="b">
        <v>0</v>
      </c>
      <c r="AN1921" s="1" t="b">
        <v>0</v>
      </c>
      <c r="AO1921" s="1" t="b">
        <v>0</v>
      </c>
    </row>
    <row r="1922" spans="1:41" x14ac:dyDescent="0.25">
      <c r="A1922" s="10"/>
      <c r="B1922" s="10"/>
      <c r="C1922" s="10"/>
      <c r="D1922" s="10"/>
      <c r="E1922" s="10"/>
      <c r="F1922" s="10"/>
      <c r="G1922" s="10"/>
      <c r="H1922" s="10"/>
      <c r="I1922" s="1" t="str">
        <f t="shared" si="87"/>
        <v/>
      </c>
      <c r="J1922" s="1" t="s">
        <v>35</v>
      </c>
      <c r="K1922" s="1" t="str">
        <f t="shared" si="88"/>
        <v/>
      </c>
      <c r="L1922" s="1" t="str">
        <f t="shared" si="89"/>
        <v/>
      </c>
      <c r="M1922" s="1">
        <f>IF(OR(Table1[[#This Row],[Std Nom]]="",Table1[[#This Row],[Std Read]]=""),0,Table1[[#This Row],[Std Nom]]-Table1[[#This Row],[Std Read]])</f>
        <v>0</v>
      </c>
      <c r="N1922" s="1">
        <f>IF(Calculations!$F$5="ACCREDITED 17025 WITH UNCERTAINTIES",$N$10,0)</f>
        <v>0</v>
      </c>
      <c r="O1922" s="1" t="str">
        <f>IFERROR(Table1[[#This Row],[Std Nom]]-(_xlfn.XLOOKUP(Table1[[#This Row],[Manufacturer]]&amp;" "&amp;Table1[[#This Row],[Model]],Table13[MFR &amp; MDL],Table13[Tolerance % CW ],"")/100*Table1[[#This Row],[Std Nom]]),"")</f>
        <v/>
      </c>
      <c r="P1922" s="1" t="str">
        <f>IFERROR(Table1[[#This Row],[Std Nom]]+(_xlfn.XLOOKUP(Table1[[#This Row],[Manufacturer]]&amp;" "&amp;Table1[[#This Row],[Model]],Table13[MFR &amp; MDL],Table13[Tolerance % CW ],"")/100*Table1[[#This Row],[Std Nom]]),"")</f>
        <v/>
      </c>
      <c r="Q1922" s="1" t="e">
        <f>Table1[[#This Row],[High Tol]]-Table1[[#This Row],[Low Tol]]</f>
        <v>#VALUE!</v>
      </c>
      <c r="R1922" s="1">
        <f>2*Table1[[#This Row],[Std Error]]</f>
        <v>0</v>
      </c>
      <c r="S1922" s="1" t="str">
        <f>IF(Table1[[#This Row],[High Tol]]="","N/A",IFERROR(ABS(Table1[[#This Row],[Tol Span]]/Table1[[#This Row],[Error Span]]),"N/A"))</f>
        <v>N/A</v>
      </c>
      <c r="T1922" s="1" t="str">
        <f>IF(OR(Table1[[#This Row],[Low Tol]]="",Table1[[#This Row],[High Tol]]=""),"Needs Analysis",IF(Table1[[#This Row],[Ratio]]&gt;=4,"Not Significant",IF(Table1[[#This Row],[Ratio]]&gt;=2,"Semi-Significant","Significant")))</f>
        <v>Needs Analysis</v>
      </c>
      <c r="W1922" s="1">
        <f>IF(Table1[[#This Row],[Cal Type]]&lt;&gt;"ACCREDITED 17025 WITH UNCERTAINTIES",0,"")</f>
        <v>0</v>
      </c>
      <c r="X1922" s="1" t="str">
        <f>IF(Table1[[#This Row],[DUT Read]]="","N/A",Table1[[#This Row],[Std Error]]+Table1[[#This Row],[DUT Read]]+Table1[[#This Row],[DUT Ucty]])</f>
        <v>N/A</v>
      </c>
      <c r="Y1922" s="1" t="str">
        <f>IF(Table1[[#This Row],[Std Read]]="","N/A",Table1[[#This Row],[Std Read]]+Table1[[#This Row],[Std Ucty]])</f>
        <v>N/A</v>
      </c>
      <c r="Z19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2" s="1" t="str">
        <f>IF(Table1[[#This Row],[Spec Type]]="","N/A",Table1[[#This Row],[Spec Type]])</f>
        <v>±</v>
      </c>
      <c r="AC1922" s="1" t="str">
        <f>IF(Table1[[#This Row],[Spec Type2]]="N/A","N/A",IF(AND(Table1[[#This Row],[DUT Adj Read]]&gt;=Table1[[#This Row],[Low Tol]],Table1[[#This Row],[DUT Adj Read]]&lt;=Table1[[#This Row],[High Tol]]),"Pass","Fail"))</f>
        <v>Fail</v>
      </c>
      <c r="AD1922" s="1" t="str">
        <f>IF(AND(Table1[[#This Row],[Spec Type2]]="N/A",Table1[[#This Row],[DUT Adj Read]]="N/A",Table1[[#This Row],[Std Adj Read]]="N/A"),"N/A",IF(Table1[[#This Row],[DUT Adj Read]]="N/A",IF(Table1[[#This Row],[Std Adj Read]]&gt;Table1[[#This Row],[Low Tol]],"Pass","Fail"),IF(Table1[[#This Row],[DUT Adj Read]]&gt;Table1[[#This Row],[Low Tol]],"Pass","Fail")))</f>
        <v>Pass</v>
      </c>
      <c r="AE1922" s="1" t="str">
        <f>IF(AND(Table1[[#This Row],[Spec Type2]]="N/A",Table1[[#This Row],[DUT Adj Read]]="N/A",Table1[[#This Row],[Std Adj Read]]="N/A"),"N/A",IF(Table1[[#This Row],[DUT Adj Read]]="N/A",IF(Table1[[#This Row],[Std Adj Read]]&lt;Table1[[#This Row],[High Tol]],"Pass","Fail"),IF(Table1[[#This Row],[DUT Adj Read]]&lt;Table1[[#This Row],[High Tol]],"Pass","Fail")))</f>
        <v>Fail</v>
      </c>
      <c r="AF1922" s="1" t="str">
        <f>IF(AND(Table1[[#This Row],[Spec Type2]]="N/A",Table1[[#This Row],[DUT Adj Read]]="N/A",Table1[[#This Row],[Std Adj Read]]="N/A"),"N/A",IF(Table1[[#This Row],[DUT Adj Read]]="N/A",IF(Table1[[#This Row],[Std Adj Read]]&gt;=Table1[[#This Row],[Low Tol]],"Pass","Fail"),IF(Table1[[#This Row],[DUT Adj Read]]&gt;=Table1[[#This Row],[Low Tol]],"Pass","Fail")))</f>
        <v>Pass</v>
      </c>
      <c r="AG1922" s="1" t="str">
        <f>IF(AND(Table1[[#This Row],[Spec Type2]]="N/A",Table1[[#This Row],[DUT Adj Read]]="N/A",Table1[[#This Row],[Std Adj Read]]="N/A"),"N/A",IF(Table1[[#This Row],[DUT Adj Read]]="N/A",IF(Table1[[#This Row],[Std Adj Read]]&lt;=Table1[[#This Row],[High Tol]],"Pass","Fail"),IF(Table1[[#This Row],[DUT Adj Read]]&lt;=Table1[[#This Row],[High Tol]],"Pass","Fail")))</f>
        <v>Fail</v>
      </c>
      <c r="AH19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2" s="1" t="b">
        <v>0</v>
      </c>
      <c r="AN1922" s="1" t="b">
        <v>0</v>
      </c>
      <c r="AO1922" s="1" t="b">
        <v>0</v>
      </c>
    </row>
    <row r="1923" spans="1:41" x14ac:dyDescent="0.25">
      <c r="A1923" s="10"/>
      <c r="B1923" s="10"/>
      <c r="C1923" s="10"/>
      <c r="D1923" s="10"/>
      <c r="E1923" s="10"/>
      <c r="F1923" s="10"/>
      <c r="G1923" s="10"/>
      <c r="H1923" s="10"/>
      <c r="I1923" s="1" t="str">
        <f t="shared" si="87"/>
        <v/>
      </c>
      <c r="J1923" s="1" t="s">
        <v>35</v>
      </c>
      <c r="K1923" s="1" t="str">
        <f t="shared" si="88"/>
        <v/>
      </c>
      <c r="L1923" s="1" t="str">
        <f t="shared" si="89"/>
        <v/>
      </c>
      <c r="M1923" s="1">
        <f>IF(OR(Table1[[#This Row],[Std Nom]]="",Table1[[#This Row],[Std Read]]=""),0,Table1[[#This Row],[Std Nom]]-Table1[[#This Row],[Std Read]])</f>
        <v>0</v>
      </c>
      <c r="N1923" s="1">
        <f>IF(Calculations!$F$5="ACCREDITED 17025 WITH UNCERTAINTIES",$N$10,0)</f>
        <v>0</v>
      </c>
      <c r="O1923" s="1" t="str">
        <f>IFERROR(Table1[[#This Row],[Std Nom]]-(_xlfn.XLOOKUP(Table1[[#This Row],[Manufacturer]]&amp;" "&amp;Table1[[#This Row],[Model]],Table13[MFR &amp; MDL],Table13[Tolerance % CW ],"")/100*Table1[[#This Row],[Std Nom]]),"")</f>
        <v/>
      </c>
      <c r="P1923" s="1" t="str">
        <f>IFERROR(Table1[[#This Row],[Std Nom]]+(_xlfn.XLOOKUP(Table1[[#This Row],[Manufacturer]]&amp;" "&amp;Table1[[#This Row],[Model]],Table13[MFR &amp; MDL],Table13[Tolerance % CW ],"")/100*Table1[[#This Row],[Std Nom]]),"")</f>
        <v/>
      </c>
      <c r="Q1923" s="1" t="e">
        <f>Table1[[#This Row],[High Tol]]-Table1[[#This Row],[Low Tol]]</f>
        <v>#VALUE!</v>
      </c>
      <c r="R1923" s="1">
        <f>2*Table1[[#This Row],[Std Error]]</f>
        <v>0</v>
      </c>
      <c r="S1923" s="1" t="str">
        <f>IF(Table1[[#This Row],[High Tol]]="","N/A",IFERROR(ABS(Table1[[#This Row],[Tol Span]]/Table1[[#This Row],[Error Span]]),"N/A"))</f>
        <v>N/A</v>
      </c>
      <c r="T1923" s="1" t="str">
        <f>IF(OR(Table1[[#This Row],[Low Tol]]="",Table1[[#This Row],[High Tol]]=""),"Needs Analysis",IF(Table1[[#This Row],[Ratio]]&gt;=4,"Not Significant",IF(Table1[[#This Row],[Ratio]]&gt;=2,"Semi-Significant","Significant")))</f>
        <v>Needs Analysis</v>
      </c>
      <c r="W1923" s="1">
        <f>IF(Table1[[#This Row],[Cal Type]]&lt;&gt;"ACCREDITED 17025 WITH UNCERTAINTIES",0,"")</f>
        <v>0</v>
      </c>
      <c r="X1923" s="1" t="str">
        <f>IF(Table1[[#This Row],[DUT Read]]="","N/A",Table1[[#This Row],[Std Error]]+Table1[[#This Row],[DUT Read]]+Table1[[#This Row],[DUT Ucty]])</f>
        <v>N/A</v>
      </c>
      <c r="Y1923" s="1" t="str">
        <f>IF(Table1[[#This Row],[Std Read]]="","N/A",Table1[[#This Row],[Std Read]]+Table1[[#This Row],[Std Ucty]])</f>
        <v>N/A</v>
      </c>
      <c r="Z19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3" s="1" t="str">
        <f>IF(Table1[[#This Row],[Spec Type]]="","N/A",Table1[[#This Row],[Spec Type]])</f>
        <v>±</v>
      </c>
      <c r="AC1923" s="1" t="str">
        <f>IF(Table1[[#This Row],[Spec Type2]]="N/A","N/A",IF(AND(Table1[[#This Row],[DUT Adj Read]]&gt;=Table1[[#This Row],[Low Tol]],Table1[[#This Row],[DUT Adj Read]]&lt;=Table1[[#This Row],[High Tol]]),"Pass","Fail"))</f>
        <v>Fail</v>
      </c>
      <c r="AD1923" s="1" t="str">
        <f>IF(AND(Table1[[#This Row],[Spec Type2]]="N/A",Table1[[#This Row],[DUT Adj Read]]="N/A",Table1[[#This Row],[Std Adj Read]]="N/A"),"N/A",IF(Table1[[#This Row],[DUT Adj Read]]="N/A",IF(Table1[[#This Row],[Std Adj Read]]&gt;Table1[[#This Row],[Low Tol]],"Pass","Fail"),IF(Table1[[#This Row],[DUT Adj Read]]&gt;Table1[[#This Row],[Low Tol]],"Pass","Fail")))</f>
        <v>Pass</v>
      </c>
      <c r="AE1923" s="1" t="str">
        <f>IF(AND(Table1[[#This Row],[Spec Type2]]="N/A",Table1[[#This Row],[DUT Adj Read]]="N/A",Table1[[#This Row],[Std Adj Read]]="N/A"),"N/A",IF(Table1[[#This Row],[DUT Adj Read]]="N/A",IF(Table1[[#This Row],[Std Adj Read]]&lt;Table1[[#This Row],[High Tol]],"Pass","Fail"),IF(Table1[[#This Row],[DUT Adj Read]]&lt;Table1[[#This Row],[High Tol]],"Pass","Fail")))</f>
        <v>Fail</v>
      </c>
      <c r="AF1923" s="1" t="str">
        <f>IF(AND(Table1[[#This Row],[Spec Type2]]="N/A",Table1[[#This Row],[DUT Adj Read]]="N/A",Table1[[#This Row],[Std Adj Read]]="N/A"),"N/A",IF(Table1[[#This Row],[DUT Adj Read]]="N/A",IF(Table1[[#This Row],[Std Adj Read]]&gt;=Table1[[#This Row],[Low Tol]],"Pass","Fail"),IF(Table1[[#This Row],[DUT Adj Read]]&gt;=Table1[[#This Row],[Low Tol]],"Pass","Fail")))</f>
        <v>Pass</v>
      </c>
      <c r="AG1923" s="1" t="str">
        <f>IF(AND(Table1[[#This Row],[Spec Type2]]="N/A",Table1[[#This Row],[DUT Adj Read]]="N/A",Table1[[#This Row],[Std Adj Read]]="N/A"),"N/A",IF(Table1[[#This Row],[DUT Adj Read]]="N/A",IF(Table1[[#This Row],[Std Adj Read]]&lt;=Table1[[#This Row],[High Tol]],"Pass","Fail"),IF(Table1[[#This Row],[DUT Adj Read]]&lt;=Table1[[#This Row],[High Tol]],"Pass","Fail")))</f>
        <v>Fail</v>
      </c>
      <c r="AH19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3" s="1" t="b">
        <v>0</v>
      </c>
      <c r="AN1923" s="1" t="b">
        <v>0</v>
      </c>
      <c r="AO1923" s="1" t="b">
        <v>0</v>
      </c>
    </row>
    <row r="1924" spans="1:41" x14ac:dyDescent="0.25">
      <c r="A1924" s="10"/>
      <c r="B1924" s="10"/>
      <c r="C1924" s="10"/>
      <c r="D1924" s="10"/>
      <c r="E1924" s="10"/>
      <c r="F1924" s="10"/>
      <c r="G1924" s="10"/>
      <c r="H1924" s="10"/>
      <c r="I1924" s="1" t="str">
        <f t="shared" si="87"/>
        <v/>
      </c>
      <c r="J1924" s="1" t="s">
        <v>35</v>
      </c>
      <c r="K1924" s="1" t="str">
        <f t="shared" si="88"/>
        <v/>
      </c>
      <c r="L1924" s="1" t="str">
        <f t="shared" si="89"/>
        <v/>
      </c>
      <c r="M1924" s="1">
        <f>IF(OR(Table1[[#This Row],[Std Nom]]="",Table1[[#This Row],[Std Read]]=""),0,Table1[[#This Row],[Std Nom]]-Table1[[#This Row],[Std Read]])</f>
        <v>0</v>
      </c>
      <c r="N1924" s="1">
        <f>IF(Calculations!$F$5="ACCREDITED 17025 WITH UNCERTAINTIES",$N$10,0)</f>
        <v>0</v>
      </c>
      <c r="O1924" s="1" t="str">
        <f>IFERROR(Table1[[#This Row],[Std Nom]]-(_xlfn.XLOOKUP(Table1[[#This Row],[Manufacturer]]&amp;" "&amp;Table1[[#This Row],[Model]],Table13[MFR &amp; MDL],Table13[Tolerance % CW ],"")/100*Table1[[#This Row],[Std Nom]]),"")</f>
        <v/>
      </c>
      <c r="P1924" s="1" t="str">
        <f>IFERROR(Table1[[#This Row],[Std Nom]]+(_xlfn.XLOOKUP(Table1[[#This Row],[Manufacturer]]&amp;" "&amp;Table1[[#This Row],[Model]],Table13[MFR &amp; MDL],Table13[Tolerance % CW ],"")/100*Table1[[#This Row],[Std Nom]]),"")</f>
        <v/>
      </c>
      <c r="Q1924" s="1" t="e">
        <f>Table1[[#This Row],[High Tol]]-Table1[[#This Row],[Low Tol]]</f>
        <v>#VALUE!</v>
      </c>
      <c r="R1924" s="1">
        <f>2*Table1[[#This Row],[Std Error]]</f>
        <v>0</v>
      </c>
      <c r="S1924" s="1" t="str">
        <f>IF(Table1[[#This Row],[High Tol]]="","N/A",IFERROR(ABS(Table1[[#This Row],[Tol Span]]/Table1[[#This Row],[Error Span]]),"N/A"))</f>
        <v>N/A</v>
      </c>
      <c r="T1924" s="1" t="str">
        <f>IF(OR(Table1[[#This Row],[Low Tol]]="",Table1[[#This Row],[High Tol]]=""),"Needs Analysis",IF(Table1[[#This Row],[Ratio]]&gt;=4,"Not Significant",IF(Table1[[#This Row],[Ratio]]&gt;=2,"Semi-Significant","Significant")))</f>
        <v>Needs Analysis</v>
      </c>
      <c r="W1924" s="1">
        <f>IF(Table1[[#This Row],[Cal Type]]&lt;&gt;"ACCREDITED 17025 WITH UNCERTAINTIES",0,"")</f>
        <v>0</v>
      </c>
      <c r="X1924" s="1" t="str">
        <f>IF(Table1[[#This Row],[DUT Read]]="","N/A",Table1[[#This Row],[Std Error]]+Table1[[#This Row],[DUT Read]]+Table1[[#This Row],[DUT Ucty]])</f>
        <v>N/A</v>
      </c>
      <c r="Y1924" s="1" t="str">
        <f>IF(Table1[[#This Row],[Std Read]]="","N/A",Table1[[#This Row],[Std Read]]+Table1[[#This Row],[Std Ucty]])</f>
        <v>N/A</v>
      </c>
      <c r="Z19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4" s="1" t="str">
        <f>IF(Table1[[#This Row],[Spec Type]]="","N/A",Table1[[#This Row],[Spec Type]])</f>
        <v>±</v>
      </c>
      <c r="AC1924" s="1" t="str">
        <f>IF(Table1[[#This Row],[Spec Type2]]="N/A","N/A",IF(AND(Table1[[#This Row],[DUT Adj Read]]&gt;=Table1[[#This Row],[Low Tol]],Table1[[#This Row],[DUT Adj Read]]&lt;=Table1[[#This Row],[High Tol]]),"Pass","Fail"))</f>
        <v>Fail</v>
      </c>
      <c r="AD1924" s="1" t="str">
        <f>IF(AND(Table1[[#This Row],[Spec Type2]]="N/A",Table1[[#This Row],[DUT Adj Read]]="N/A",Table1[[#This Row],[Std Adj Read]]="N/A"),"N/A",IF(Table1[[#This Row],[DUT Adj Read]]="N/A",IF(Table1[[#This Row],[Std Adj Read]]&gt;Table1[[#This Row],[Low Tol]],"Pass","Fail"),IF(Table1[[#This Row],[DUT Adj Read]]&gt;Table1[[#This Row],[Low Tol]],"Pass","Fail")))</f>
        <v>Pass</v>
      </c>
      <c r="AE1924" s="1" t="str">
        <f>IF(AND(Table1[[#This Row],[Spec Type2]]="N/A",Table1[[#This Row],[DUT Adj Read]]="N/A",Table1[[#This Row],[Std Adj Read]]="N/A"),"N/A",IF(Table1[[#This Row],[DUT Adj Read]]="N/A",IF(Table1[[#This Row],[Std Adj Read]]&lt;Table1[[#This Row],[High Tol]],"Pass","Fail"),IF(Table1[[#This Row],[DUT Adj Read]]&lt;Table1[[#This Row],[High Tol]],"Pass","Fail")))</f>
        <v>Fail</v>
      </c>
      <c r="AF1924" s="1" t="str">
        <f>IF(AND(Table1[[#This Row],[Spec Type2]]="N/A",Table1[[#This Row],[DUT Adj Read]]="N/A",Table1[[#This Row],[Std Adj Read]]="N/A"),"N/A",IF(Table1[[#This Row],[DUT Adj Read]]="N/A",IF(Table1[[#This Row],[Std Adj Read]]&gt;=Table1[[#This Row],[Low Tol]],"Pass","Fail"),IF(Table1[[#This Row],[DUT Adj Read]]&gt;=Table1[[#This Row],[Low Tol]],"Pass","Fail")))</f>
        <v>Pass</v>
      </c>
      <c r="AG1924" s="1" t="str">
        <f>IF(AND(Table1[[#This Row],[Spec Type2]]="N/A",Table1[[#This Row],[DUT Adj Read]]="N/A",Table1[[#This Row],[Std Adj Read]]="N/A"),"N/A",IF(Table1[[#This Row],[DUT Adj Read]]="N/A",IF(Table1[[#This Row],[Std Adj Read]]&lt;=Table1[[#This Row],[High Tol]],"Pass","Fail"),IF(Table1[[#This Row],[DUT Adj Read]]&lt;=Table1[[#This Row],[High Tol]],"Pass","Fail")))</f>
        <v>Fail</v>
      </c>
      <c r="AH19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4" s="1" t="b">
        <v>0</v>
      </c>
      <c r="AN1924" s="1" t="b">
        <v>0</v>
      </c>
      <c r="AO1924" s="1" t="b">
        <v>0</v>
      </c>
    </row>
    <row r="1925" spans="1:41" x14ac:dyDescent="0.25">
      <c r="A1925" s="10"/>
      <c r="B1925" s="10"/>
      <c r="C1925" s="10"/>
      <c r="D1925" s="10"/>
      <c r="E1925" s="10"/>
      <c r="F1925" s="10"/>
      <c r="G1925" s="10"/>
      <c r="H1925" s="10"/>
      <c r="I1925" s="1" t="str">
        <f t="shared" si="87"/>
        <v/>
      </c>
      <c r="J1925" s="1" t="s">
        <v>35</v>
      </c>
      <c r="K1925" s="1" t="str">
        <f t="shared" si="88"/>
        <v/>
      </c>
      <c r="L1925" s="1" t="str">
        <f t="shared" si="89"/>
        <v/>
      </c>
      <c r="M1925" s="1">
        <f>IF(OR(Table1[[#This Row],[Std Nom]]="",Table1[[#This Row],[Std Read]]=""),0,Table1[[#This Row],[Std Nom]]-Table1[[#This Row],[Std Read]])</f>
        <v>0</v>
      </c>
      <c r="N1925" s="1">
        <f>IF(Calculations!$F$5="ACCREDITED 17025 WITH UNCERTAINTIES",$N$10,0)</f>
        <v>0</v>
      </c>
      <c r="O1925" s="1" t="str">
        <f>IFERROR(Table1[[#This Row],[Std Nom]]-(_xlfn.XLOOKUP(Table1[[#This Row],[Manufacturer]]&amp;" "&amp;Table1[[#This Row],[Model]],Table13[MFR &amp; MDL],Table13[Tolerance % CW ],"")/100*Table1[[#This Row],[Std Nom]]),"")</f>
        <v/>
      </c>
      <c r="P1925" s="1" t="str">
        <f>IFERROR(Table1[[#This Row],[Std Nom]]+(_xlfn.XLOOKUP(Table1[[#This Row],[Manufacturer]]&amp;" "&amp;Table1[[#This Row],[Model]],Table13[MFR &amp; MDL],Table13[Tolerance % CW ],"")/100*Table1[[#This Row],[Std Nom]]),"")</f>
        <v/>
      </c>
      <c r="Q1925" s="1" t="e">
        <f>Table1[[#This Row],[High Tol]]-Table1[[#This Row],[Low Tol]]</f>
        <v>#VALUE!</v>
      </c>
      <c r="R1925" s="1">
        <f>2*Table1[[#This Row],[Std Error]]</f>
        <v>0</v>
      </c>
      <c r="S1925" s="1" t="str">
        <f>IF(Table1[[#This Row],[High Tol]]="","N/A",IFERROR(ABS(Table1[[#This Row],[Tol Span]]/Table1[[#This Row],[Error Span]]),"N/A"))</f>
        <v>N/A</v>
      </c>
      <c r="T1925" s="1" t="str">
        <f>IF(OR(Table1[[#This Row],[Low Tol]]="",Table1[[#This Row],[High Tol]]=""),"Needs Analysis",IF(Table1[[#This Row],[Ratio]]&gt;=4,"Not Significant",IF(Table1[[#This Row],[Ratio]]&gt;=2,"Semi-Significant","Significant")))</f>
        <v>Needs Analysis</v>
      </c>
      <c r="W1925" s="1">
        <f>IF(Table1[[#This Row],[Cal Type]]&lt;&gt;"ACCREDITED 17025 WITH UNCERTAINTIES",0,"")</f>
        <v>0</v>
      </c>
      <c r="X1925" s="1" t="str">
        <f>IF(Table1[[#This Row],[DUT Read]]="","N/A",Table1[[#This Row],[Std Error]]+Table1[[#This Row],[DUT Read]]+Table1[[#This Row],[DUT Ucty]])</f>
        <v>N/A</v>
      </c>
      <c r="Y1925" s="1" t="str">
        <f>IF(Table1[[#This Row],[Std Read]]="","N/A",Table1[[#This Row],[Std Read]]+Table1[[#This Row],[Std Ucty]])</f>
        <v>N/A</v>
      </c>
      <c r="Z19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5" s="1" t="str">
        <f>IF(Table1[[#This Row],[Spec Type]]="","N/A",Table1[[#This Row],[Spec Type]])</f>
        <v>±</v>
      </c>
      <c r="AC1925" s="1" t="str">
        <f>IF(Table1[[#This Row],[Spec Type2]]="N/A","N/A",IF(AND(Table1[[#This Row],[DUT Adj Read]]&gt;=Table1[[#This Row],[Low Tol]],Table1[[#This Row],[DUT Adj Read]]&lt;=Table1[[#This Row],[High Tol]]),"Pass","Fail"))</f>
        <v>Fail</v>
      </c>
      <c r="AD1925" s="1" t="str">
        <f>IF(AND(Table1[[#This Row],[Spec Type2]]="N/A",Table1[[#This Row],[DUT Adj Read]]="N/A",Table1[[#This Row],[Std Adj Read]]="N/A"),"N/A",IF(Table1[[#This Row],[DUT Adj Read]]="N/A",IF(Table1[[#This Row],[Std Adj Read]]&gt;Table1[[#This Row],[Low Tol]],"Pass","Fail"),IF(Table1[[#This Row],[DUT Adj Read]]&gt;Table1[[#This Row],[Low Tol]],"Pass","Fail")))</f>
        <v>Pass</v>
      </c>
      <c r="AE1925" s="1" t="str">
        <f>IF(AND(Table1[[#This Row],[Spec Type2]]="N/A",Table1[[#This Row],[DUT Adj Read]]="N/A",Table1[[#This Row],[Std Adj Read]]="N/A"),"N/A",IF(Table1[[#This Row],[DUT Adj Read]]="N/A",IF(Table1[[#This Row],[Std Adj Read]]&lt;Table1[[#This Row],[High Tol]],"Pass","Fail"),IF(Table1[[#This Row],[DUT Adj Read]]&lt;Table1[[#This Row],[High Tol]],"Pass","Fail")))</f>
        <v>Fail</v>
      </c>
      <c r="AF1925" s="1" t="str">
        <f>IF(AND(Table1[[#This Row],[Spec Type2]]="N/A",Table1[[#This Row],[DUT Adj Read]]="N/A",Table1[[#This Row],[Std Adj Read]]="N/A"),"N/A",IF(Table1[[#This Row],[DUT Adj Read]]="N/A",IF(Table1[[#This Row],[Std Adj Read]]&gt;=Table1[[#This Row],[Low Tol]],"Pass","Fail"),IF(Table1[[#This Row],[DUT Adj Read]]&gt;=Table1[[#This Row],[Low Tol]],"Pass","Fail")))</f>
        <v>Pass</v>
      </c>
      <c r="AG1925" s="1" t="str">
        <f>IF(AND(Table1[[#This Row],[Spec Type2]]="N/A",Table1[[#This Row],[DUT Adj Read]]="N/A",Table1[[#This Row],[Std Adj Read]]="N/A"),"N/A",IF(Table1[[#This Row],[DUT Adj Read]]="N/A",IF(Table1[[#This Row],[Std Adj Read]]&lt;=Table1[[#This Row],[High Tol]],"Pass","Fail"),IF(Table1[[#This Row],[DUT Adj Read]]&lt;=Table1[[#This Row],[High Tol]],"Pass","Fail")))</f>
        <v>Fail</v>
      </c>
      <c r="AH19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5" s="1" t="b">
        <v>0</v>
      </c>
      <c r="AN1925" s="1" t="b">
        <v>0</v>
      </c>
      <c r="AO1925" s="1" t="b">
        <v>0</v>
      </c>
    </row>
    <row r="1926" spans="1:41" x14ac:dyDescent="0.25">
      <c r="A1926" s="10"/>
      <c r="B1926" s="10"/>
      <c r="C1926" s="10"/>
      <c r="D1926" s="10"/>
      <c r="E1926" s="10"/>
      <c r="F1926" s="10"/>
      <c r="G1926" s="10"/>
      <c r="H1926" s="10"/>
      <c r="I1926" s="1" t="str">
        <f t="shared" si="87"/>
        <v/>
      </c>
      <c r="J1926" s="1" t="s">
        <v>35</v>
      </c>
      <c r="K1926" s="1" t="str">
        <f t="shared" si="88"/>
        <v/>
      </c>
      <c r="L1926" s="1" t="str">
        <f t="shared" si="89"/>
        <v/>
      </c>
      <c r="M1926" s="1">
        <f>IF(OR(Table1[[#This Row],[Std Nom]]="",Table1[[#This Row],[Std Read]]=""),0,Table1[[#This Row],[Std Nom]]-Table1[[#This Row],[Std Read]])</f>
        <v>0</v>
      </c>
      <c r="N1926" s="1">
        <f>IF(Calculations!$F$5="ACCREDITED 17025 WITH UNCERTAINTIES",$N$10,0)</f>
        <v>0</v>
      </c>
      <c r="O1926" s="1" t="str">
        <f>IFERROR(Table1[[#This Row],[Std Nom]]-(_xlfn.XLOOKUP(Table1[[#This Row],[Manufacturer]]&amp;" "&amp;Table1[[#This Row],[Model]],Table13[MFR &amp; MDL],Table13[Tolerance % CW ],"")/100*Table1[[#This Row],[Std Nom]]),"")</f>
        <v/>
      </c>
      <c r="P1926" s="1" t="str">
        <f>IFERROR(Table1[[#This Row],[Std Nom]]+(_xlfn.XLOOKUP(Table1[[#This Row],[Manufacturer]]&amp;" "&amp;Table1[[#This Row],[Model]],Table13[MFR &amp; MDL],Table13[Tolerance % CW ],"")/100*Table1[[#This Row],[Std Nom]]),"")</f>
        <v/>
      </c>
      <c r="Q1926" s="1" t="e">
        <f>Table1[[#This Row],[High Tol]]-Table1[[#This Row],[Low Tol]]</f>
        <v>#VALUE!</v>
      </c>
      <c r="R1926" s="1">
        <f>2*Table1[[#This Row],[Std Error]]</f>
        <v>0</v>
      </c>
      <c r="S1926" s="1" t="str">
        <f>IF(Table1[[#This Row],[High Tol]]="","N/A",IFERROR(ABS(Table1[[#This Row],[Tol Span]]/Table1[[#This Row],[Error Span]]),"N/A"))</f>
        <v>N/A</v>
      </c>
      <c r="T1926" s="1" t="str">
        <f>IF(OR(Table1[[#This Row],[Low Tol]]="",Table1[[#This Row],[High Tol]]=""),"Needs Analysis",IF(Table1[[#This Row],[Ratio]]&gt;=4,"Not Significant",IF(Table1[[#This Row],[Ratio]]&gt;=2,"Semi-Significant","Significant")))</f>
        <v>Needs Analysis</v>
      </c>
      <c r="W1926" s="1">
        <f>IF(Table1[[#This Row],[Cal Type]]&lt;&gt;"ACCREDITED 17025 WITH UNCERTAINTIES",0,"")</f>
        <v>0</v>
      </c>
      <c r="X1926" s="1" t="str">
        <f>IF(Table1[[#This Row],[DUT Read]]="","N/A",Table1[[#This Row],[Std Error]]+Table1[[#This Row],[DUT Read]]+Table1[[#This Row],[DUT Ucty]])</f>
        <v>N/A</v>
      </c>
      <c r="Y1926" s="1" t="str">
        <f>IF(Table1[[#This Row],[Std Read]]="","N/A",Table1[[#This Row],[Std Read]]+Table1[[#This Row],[Std Ucty]])</f>
        <v>N/A</v>
      </c>
      <c r="Z19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6" s="1" t="str">
        <f>IF(Table1[[#This Row],[Spec Type]]="","N/A",Table1[[#This Row],[Spec Type]])</f>
        <v>±</v>
      </c>
      <c r="AC1926" s="1" t="str">
        <f>IF(Table1[[#This Row],[Spec Type2]]="N/A","N/A",IF(AND(Table1[[#This Row],[DUT Adj Read]]&gt;=Table1[[#This Row],[Low Tol]],Table1[[#This Row],[DUT Adj Read]]&lt;=Table1[[#This Row],[High Tol]]),"Pass","Fail"))</f>
        <v>Fail</v>
      </c>
      <c r="AD1926" s="1" t="str">
        <f>IF(AND(Table1[[#This Row],[Spec Type2]]="N/A",Table1[[#This Row],[DUT Adj Read]]="N/A",Table1[[#This Row],[Std Adj Read]]="N/A"),"N/A",IF(Table1[[#This Row],[DUT Adj Read]]="N/A",IF(Table1[[#This Row],[Std Adj Read]]&gt;Table1[[#This Row],[Low Tol]],"Pass","Fail"),IF(Table1[[#This Row],[DUT Adj Read]]&gt;Table1[[#This Row],[Low Tol]],"Pass","Fail")))</f>
        <v>Pass</v>
      </c>
      <c r="AE1926" s="1" t="str">
        <f>IF(AND(Table1[[#This Row],[Spec Type2]]="N/A",Table1[[#This Row],[DUT Adj Read]]="N/A",Table1[[#This Row],[Std Adj Read]]="N/A"),"N/A",IF(Table1[[#This Row],[DUT Adj Read]]="N/A",IF(Table1[[#This Row],[Std Adj Read]]&lt;Table1[[#This Row],[High Tol]],"Pass","Fail"),IF(Table1[[#This Row],[DUT Adj Read]]&lt;Table1[[#This Row],[High Tol]],"Pass","Fail")))</f>
        <v>Fail</v>
      </c>
      <c r="AF1926" s="1" t="str">
        <f>IF(AND(Table1[[#This Row],[Spec Type2]]="N/A",Table1[[#This Row],[DUT Adj Read]]="N/A",Table1[[#This Row],[Std Adj Read]]="N/A"),"N/A",IF(Table1[[#This Row],[DUT Adj Read]]="N/A",IF(Table1[[#This Row],[Std Adj Read]]&gt;=Table1[[#This Row],[Low Tol]],"Pass","Fail"),IF(Table1[[#This Row],[DUT Adj Read]]&gt;=Table1[[#This Row],[Low Tol]],"Pass","Fail")))</f>
        <v>Pass</v>
      </c>
      <c r="AG1926" s="1" t="str">
        <f>IF(AND(Table1[[#This Row],[Spec Type2]]="N/A",Table1[[#This Row],[DUT Adj Read]]="N/A",Table1[[#This Row],[Std Adj Read]]="N/A"),"N/A",IF(Table1[[#This Row],[DUT Adj Read]]="N/A",IF(Table1[[#This Row],[Std Adj Read]]&lt;=Table1[[#This Row],[High Tol]],"Pass","Fail"),IF(Table1[[#This Row],[DUT Adj Read]]&lt;=Table1[[#This Row],[High Tol]],"Pass","Fail")))</f>
        <v>Fail</v>
      </c>
      <c r="AH19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6" s="1" t="b">
        <v>0</v>
      </c>
      <c r="AN1926" s="1" t="b">
        <v>0</v>
      </c>
      <c r="AO1926" s="1" t="b">
        <v>0</v>
      </c>
    </row>
    <row r="1927" spans="1:41" x14ac:dyDescent="0.25">
      <c r="A1927" s="10"/>
      <c r="B1927" s="10"/>
      <c r="C1927" s="10"/>
      <c r="D1927" s="10"/>
      <c r="E1927" s="10"/>
      <c r="F1927" s="10"/>
      <c r="G1927" s="10"/>
      <c r="H1927" s="10"/>
      <c r="I1927" s="1" t="str">
        <f t="shared" si="87"/>
        <v/>
      </c>
      <c r="J1927" s="1" t="s">
        <v>35</v>
      </c>
      <c r="K1927" s="1" t="str">
        <f t="shared" si="88"/>
        <v/>
      </c>
      <c r="L1927" s="1" t="str">
        <f t="shared" si="89"/>
        <v/>
      </c>
      <c r="M1927" s="1">
        <f>IF(OR(Table1[[#This Row],[Std Nom]]="",Table1[[#This Row],[Std Read]]=""),0,Table1[[#This Row],[Std Nom]]-Table1[[#This Row],[Std Read]])</f>
        <v>0</v>
      </c>
      <c r="N1927" s="1">
        <f>IF(Calculations!$F$5="ACCREDITED 17025 WITH UNCERTAINTIES",$N$10,0)</f>
        <v>0</v>
      </c>
      <c r="O1927" s="1" t="str">
        <f>IFERROR(Table1[[#This Row],[Std Nom]]-(_xlfn.XLOOKUP(Table1[[#This Row],[Manufacturer]]&amp;" "&amp;Table1[[#This Row],[Model]],Table13[MFR &amp; MDL],Table13[Tolerance % CW ],"")/100*Table1[[#This Row],[Std Nom]]),"")</f>
        <v/>
      </c>
      <c r="P1927" s="1" t="str">
        <f>IFERROR(Table1[[#This Row],[Std Nom]]+(_xlfn.XLOOKUP(Table1[[#This Row],[Manufacturer]]&amp;" "&amp;Table1[[#This Row],[Model]],Table13[MFR &amp; MDL],Table13[Tolerance % CW ],"")/100*Table1[[#This Row],[Std Nom]]),"")</f>
        <v/>
      </c>
      <c r="Q1927" s="1" t="e">
        <f>Table1[[#This Row],[High Tol]]-Table1[[#This Row],[Low Tol]]</f>
        <v>#VALUE!</v>
      </c>
      <c r="R1927" s="1">
        <f>2*Table1[[#This Row],[Std Error]]</f>
        <v>0</v>
      </c>
      <c r="S1927" s="1" t="str">
        <f>IF(Table1[[#This Row],[High Tol]]="","N/A",IFERROR(ABS(Table1[[#This Row],[Tol Span]]/Table1[[#This Row],[Error Span]]),"N/A"))</f>
        <v>N/A</v>
      </c>
      <c r="T1927" s="1" t="str">
        <f>IF(OR(Table1[[#This Row],[Low Tol]]="",Table1[[#This Row],[High Tol]]=""),"Needs Analysis",IF(Table1[[#This Row],[Ratio]]&gt;=4,"Not Significant",IF(Table1[[#This Row],[Ratio]]&gt;=2,"Semi-Significant","Significant")))</f>
        <v>Needs Analysis</v>
      </c>
      <c r="W1927" s="1">
        <f>IF(Table1[[#This Row],[Cal Type]]&lt;&gt;"ACCREDITED 17025 WITH UNCERTAINTIES",0,"")</f>
        <v>0</v>
      </c>
      <c r="X1927" s="1" t="str">
        <f>IF(Table1[[#This Row],[DUT Read]]="","N/A",Table1[[#This Row],[Std Error]]+Table1[[#This Row],[DUT Read]]+Table1[[#This Row],[DUT Ucty]])</f>
        <v>N/A</v>
      </c>
      <c r="Y1927" s="1" t="str">
        <f>IF(Table1[[#This Row],[Std Read]]="","N/A",Table1[[#This Row],[Std Read]]+Table1[[#This Row],[Std Ucty]])</f>
        <v>N/A</v>
      </c>
      <c r="Z19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7" s="1" t="str">
        <f>IF(Table1[[#This Row],[Spec Type]]="","N/A",Table1[[#This Row],[Spec Type]])</f>
        <v>±</v>
      </c>
      <c r="AC1927" s="1" t="str">
        <f>IF(Table1[[#This Row],[Spec Type2]]="N/A","N/A",IF(AND(Table1[[#This Row],[DUT Adj Read]]&gt;=Table1[[#This Row],[Low Tol]],Table1[[#This Row],[DUT Adj Read]]&lt;=Table1[[#This Row],[High Tol]]),"Pass","Fail"))</f>
        <v>Fail</v>
      </c>
      <c r="AD1927" s="1" t="str">
        <f>IF(AND(Table1[[#This Row],[Spec Type2]]="N/A",Table1[[#This Row],[DUT Adj Read]]="N/A",Table1[[#This Row],[Std Adj Read]]="N/A"),"N/A",IF(Table1[[#This Row],[DUT Adj Read]]="N/A",IF(Table1[[#This Row],[Std Adj Read]]&gt;Table1[[#This Row],[Low Tol]],"Pass","Fail"),IF(Table1[[#This Row],[DUT Adj Read]]&gt;Table1[[#This Row],[Low Tol]],"Pass","Fail")))</f>
        <v>Pass</v>
      </c>
      <c r="AE1927" s="1" t="str">
        <f>IF(AND(Table1[[#This Row],[Spec Type2]]="N/A",Table1[[#This Row],[DUT Adj Read]]="N/A",Table1[[#This Row],[Std Adj Read]]="N/A"),"N/A",IF(Table1[[#This Row],[DUT Adj Read]]="N/A",IF(Table1[[#This Row],[Std Adj Read]]&lt;Table1[[#This Row],[High Tol]],"Pass","Fail"),IF(Table1[[#This Row],[DUT Adj Read]]&lt;Table1[[#This Row],[High Tol]],"Pass","Fail")))</f>
        <v>Fail</v>
      </c>
      <c r="AF1927" s="1" t="str">
        <f>IF(AND(Table1[[#This Row],[Spec Type2]]="N/A",Table1[[#This Row],[DUT Adj Read]]="N/A",Table1[[#This Row],[Std Adj Read]]="N/A"),"N/A",IF(Table1[[#This Row],[DUT Adj Read]]="N/A",IF(Table1[[#This Row],[Std Adj Read]]&gt;=Table1[[#This Row],[Low Tol]],"Pass","Fail"),IF(Table1[[#This Row],[DUT Adj Read]]&gt;=Table1[[#This Row],[Low Tol]],"Pass","Fail")))</f>
        <v>Pass</v>
      </c>
      <c r="AG1927" s="1" t="str">
        <f>IF(AND(Table1[[#This Row],[Spec Type2]]="N/A",Table1[[#This Row],[DUT Adj Read]]="N/A",Table1[[#This Row],[Std Adj Read]]="N/A"),"N/A",IF(Table1[[#This Row],[DUT Adj Read]]="N/A",IF(Table1[[#This Row],[Std Adj Read]]&lt;=Table1[[#This Row],[High Tol]],"Pass","Fail"),IF(Table1[[#This Row],[DUT Adj Read]]&lt;=Table1[[#This Row],[High Tol]],"Pass","Fail")))</f>
        <v>Fail</v>
      </c>
      <c r="AH19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7" s="1" t="b">
        <v>0</v>
      </c>
      <c r="AN1927" s="1" t="b">
        <v>0</v>
      </c>
      <c r="AO1927" s="1" t="b">
        <v>0</v>
      </c>
    </row>
    <row r="1928" spans="1:41" x14ac:dyDescent="0.25">
      <c r="A1928" s="10"/>
      <c r="B1928" s="10"/>
      <c r="C1928" s="10"/>
      <c r="D1928" s="10"/>
      <c r="E1928" s="10"/>
      <c r="F1928" s="10"/>
      <c r="G1928" s="10"/>
      <c r="H1928" s="10"/>
      <c r="I1928" s="1" t="str">
        <f t="shared" si="87"/>
        <v/>
      </c>
      <c r="J1928" s="1" t="s">
        <v>35</v>
      </c>
      <c r="K1928" s="1" t="str">
        <f t="shared" si="88"/>
        <v/>
      </c>
      <c r="L1928" s="1" t="str">
        <f t="shared" si="89"/>
        <v/>
      </c>
      <c r="M1928" s="1">
        <f>IF(OR(Table1[[#This Row],[Std Nom]]="",Table1[[#This Row],[Std Read]]=""),0,Table1[[#This Row],[Std Nom]]-Table1[[#This Row],[Std Read]])</f>
        <v>0</v>
      </c>
      <c r="N1928" s="1">
        <f>IF(Calculations!$F$5="ACCREDITED 17025 WITH UNCERTAINTIES",$N$10,0)</f>
        <v>0</v>
      </c>
      <c r="O1928" s="1" t="str">
        <f>IFERROR(Table1[[#This Row],[Std Nom]]-(_xlfn.XLOOKUP(Table1[[#This Row],[Manufacturer]]&amp;" "&amp;Table1[[#This Row],[Model]],Table13[MFR &amp; MDL],Table13[Tolerance % CW ],"")/100*Table1[[#This Row],[Std Nom]]),"")</f>
        <v/>
      </c>
      <c r="P1928" s="1" t="str">
        <f>IFERROR(Table1[[#This Row],[Std Nom]]+(_xlfn.XLOOKUP(Table1[[#This Row],[Manufacturer]]&amp;" "&amp;Table1[[#This Row],[Model]],Table13[MFR &amp; MDL],Table13[Tolerance % CW ],"")/100*Table1[[#This Row],[Std Nom]]),"")</f>
        <v/>
      </c>
      <c r="Q1928" s="1" t="e">
        <f>Table1[[#This Row],[High Tol]]-Table1[[#This Row],[Low Tol]]</f>
        <v>#VALUE!</v>
      </c>
      <c r="R1928" s="1">
        <f>2*Table1[[#This Row],[Std Error]]</f>
        <v>0</v>
      </c>
      <c r="S1928" s="1" t="str">
        <f>IF(Table1[[#This Row],[High Tol]]="","N/A",IFERROR(ABS(Table1[[#This Row],[Tol Span]]/Table1[[#This Row],[Error Span]]),"N/A"))</f>
        <v>N/A</v>
      </c>
      <c r="T1928" s="1" t="str">
        <f>IF(OR(Table1[[#This Row],[Low Tol]]="",Table1[[#This Row],[High Tol]]=""),"Needs Analysis",IF(Table1[[#This Row],[Ratio]]&gt;=4,"Not Significant",IF(Table1[[#This Row],[Ratio]]&gt;=2,"Semi-Significant","Significant")))</f>
        <v>Needs Analysis</v>
      </c>
      <c r="W1928" s="1">
        <f>IF(Table1[[#This Row],[Cal Type]]&lt;&gt;"ACCREDITED 17025 WITH UNCERTAINTIES",0,"")</f>
        <v>0</v>
      </c>
      <c r="X1928" s="1" t="str">
        <f>IF(Table1[[#This Row],[DUT Read]]="","N/A",Table1[[#This Row],[Std Error]]+Table1[[#This Row],[DUT Read]]+Table1[[#This Row],[DUT Ucty]])</f>
        <v>N/A</v>
      </c>
      <c r="Y1928" s="1" t="str">
        <f>IF(Table1[[#This Row],[Std Read]]="","N/A",Table1[[#This Row],[Std Read]]+Table1[[#This Row],[Std Ucty]])</f>
        <v>N/A</v>
      </c>
      <c r="Z19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8" s="1" t="str">
        <f>IF(Table1[[#This Row],[Spec Type]]="","N/A",Table1[[#This Row],[Spec Type]])</f>
        <v>±</v>
      </c>
      <c r="AC1928" s="1" t="str">
        <f>IF(Table1[[#This Row],[Spec Type2]]="N/A","N/A",IF(AND(Table1[[#This Row],[DUT Adj Read]]&gt;=Table1[[#This Row],[Low Tol]],Table1[[#This Row],[DUT Adj Read]]&lt;=Table1[[#This Row],[High Tol]]),"Pass","Fail"))</f>
        <v>Fail</v>
      </c>
      <c r="AD1928" s="1" t="str">
        <f>IF(AND(Table1[[#This Row],[Spec Type2]]="N/A",Table1[[#This Row],[DUT Adj Read]]="N/A",Table1[[#This Row],[Std Adj Read]]="N/A"),"N/A",IF(Table1[[#This Row],[DUT Adj Read]]="N/A",IF(Table1[[#This Row],[Std Adj Read]]&gt;Table1[[#This Row],[Low Tol]],"Pass","Fail"),IF(Table1[[#This Row],[DUT Adj Read]]&gt;Table1[[#This Row],[Low Tol]],"Pass","Fail")))</f>
        <v>Pass</v>
      </c>
      <c r="AE1928" s="1" t="str">
        <f>IF(AND(Table1[[#This Row],[Spec Type2]]="N/A",Table1[[#This Row],[DUT Adj Read]]="N/A",Table1[[#This Row],[Std Adj Read]]="N/A"),"N/A",IF(Table1[[#This Row],[DUT Adj Read]]="N/A",IF(Table1[[#This Row],[Std Adj Read]]&lt;Table1[[#This Row],[High Tol]],"Pass","Fail"),IF(Table1[[#This Row],[DUT Adj Read]]&lt;Table1[[#This Row],[High Tol]],"Pass","Fail")))</f>
        <v>Fail</v>
      </c>
      <c r="AF1928" s="1" t="str">
        <f>IF(AND(Table1[[#This Row],[Spec Type2]]="N/A",Table1[[#This Row],[DUT Adj Read]]="N/A",Table1[[#This Row],[Std Adj Read]]="N/A"),"N/A",IF(Table1[[#This Row],[DUT Adj Read]]="N/A",IF(Table1[[#This Row],[Std Adj Read]]&gt;=Table1[[#This Row],[Low Tol]],"Pass","Fail"),IF(Table1[[#This Row],[DUT Adj Read]]&gt;=Table1[[#This Row],[Low Tol]],"Pass","Fail")))</f>
        <v>Pass</v>
      </c>
      <c r="AG1928" s="1" t="str">
        <f>IF(AND(Table1[[#This Row],[Spec Type2]]="N/A",Table1[[#This Row],[DUT Adj Read]]="N/A",Table1[[#This Row],[Std Adj Read]]="N/A"),"N/A",IF(Table1[[#This Row],[DUT Adj Read]]="N/A",IF(Table1[[#This Row],[Std Adj Read]]&lt;=Table1[[#This Row],[High Tol]],"Pass","Fail"),IF(Table1[[#This Row],[DUT Adj Read]]&lt;=Table1[[#This Row],[High Tol]],"Pass","Fail")))</f>
        <v>Fail</v>
      </c>
      <c r="AH19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8" s="1" t="b">
        <v>0</v>
      </c>
      <c r="AN1928" s="1" t="b">
        <v>0</v>
      </c>
      <c r="AO1928" s="1" t="b">
        <v>0</v>
      </c>
    </row>
    <row r="1929" spans="1:41" x14ac:dyDescent="0.25">
      <c r="A1929" s="10"/>
      <c r="B1929" s="10"/>
      <c r="C1929" s="10"/>
      <c r="D1929" s="10"/>
      <c r="E1929" s="10"/>
      <c r="F1929" s="10"/>
      <c r="G1929" s="10"/>
      <c r="H1929" s="10"/>
      <c r="I1929" s="1" t="str">
        <f t="shared" si="87"/>
        <v/>
      </c>
      <c r="J1929" s="1" t="s">
        <v>35</v>
      </c>
      <c r="K1929" s="1" t="str">
        <f t="shared" si="88"/>
        <v/>
      </c>
      <c r="L1929" s="1" t="str">
        <f t="shared" si="89"/>
        <v/>
      </c>
      <c r="M1929" s="1">
        <f>IF(OR(Table1[[#This Row],[Std Nom]]="",Table1[[#This Row],[Std Read]]=""),0,Table1[[#This Row],[Std Nom]]-Table1[[#This Row],[Std Read]])</f>
        <v>0</v>
      </c>
      <c r="N1929" s="1">
        <f>IF(Calculations!$F$5="ACCREDITED 17025 WITH UNCERTAINTIES",$N$10,0)</f>
        <v>0</v>
      </c>
      <c r="O1929" s="1" t="str">
        <f>IFERROR(Table1[[#This Row],[Std Nom]]-(_xlfn.XLOOKUP(Table1[[#This Row],[Manufacturer]]&amp;" "&amp;Table1[[#This Row],[Model]],Table13[MFR &amp; MDL],Table13[Tolerance % CW ],"")/100*Table1[[#This Row],[Std Nom]]),"")</f>
        <v/>
      </c>
      <c r="P1929" s="1" t="str">
        <f>IFERROR(Table1[[#This Row],[Std Nom]]+(_xlfn.XLOOKUP(Table1[[#This Row],[Manufacturer]]&amp;" "&amp;Table1[[#This Row],[Model]],Table13[MFR &amp; MDL],Table13[Tolerance % CW ],"")/100*Table1[[#This Row],[Std Nom]]),"")</f>
        <v/>
      </c>
      <c r="Q1929" s="1" t="e">
        <f>Table1[[#This Row],[High Tol]]-Table1[[#This Row],[Low Tol]]</f>
        <v>#VALUE!</v>
      </c>
      <c r="R1929" s="1">
        <f>2*Table1[[#This Row],[Std Error]]</f>
        <v>0</v>
      </c>
      <c r="S1929" s="1" t="str">
        <f>IF(Table1[[#This Row],[High Tol]]="","N/A",IFERROR(ABS(Table1[[#This Row],[Tol Span]]/Table1[[#This Row],[Error Span]]),"N/A"))</f>
        <v>N/A</v>
      </c>
      <c r="T1929" s="1" t="str">
        <f>IF(OR(Table1[[#This Row],[Low Tol]]="",Table1[[#This Row],[High Tol]]=""),"Needs Analysis",IF(Table1[[#This Row],[Ratio]]&gt;=4,"Not Significant",IF(Table1[[#This Row],[Ratio]]&gt;=2,"Semi-Significant","Significant")))</f>
        <v>Needs Analysis</v>
      </c>
      <c r="W1929" s="1">
        <f>IF(Table1[[#This Row],[Cal Type]]&lt;&gt;"ACCREDITED 17025 WITH UNCERTAINTIES",0,"")</f>
        <v>0</v>
      </c>
      <c r="X1929" s="1" t="str">
        <f>IF(Table1[[#This Row],[DUT Read]]="","N/A",Table1[[#This Row],[Std Error]]+Table1[[#This Row],[DUT Read]]+Table1[[#This Row],[DUT Ucty]])</f>
        <v>N/A</v>
      </c>
      <c r="Y1929" s="1" t="str">
        <f>IF(Table1[[#This Row],[Std Read]]="","N/A",Table1[[#This Row],[Std Read]]+Table1[[#This Row],[Std Ucty]])</f>
        <v>N/A</v>
      </c>
      <c r="Z19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9" s="1" t="str">
        <f>IF(Table1[[#This Row],[Spec Type]]="","N/A",Table1[[#This Row],[Spec Type]])</f>
        <v>±</v>
      </c>
      <c r="AC1929" s="1" t="str">
        <f>IF(Table1[[#This Row],[Spec Type2]]="N/A","N/A",IF(AND(Table1[[#This Row],[DUT Adj Read]]&gt;=Table1[[#This Row],[Low Tol]],Table1[[#This Row],[DUT Adj Read]]&lt;=Table1[[#This Row],[High Tol]]),"Pass","Fail"))</f>
        <v>Fail</v>
      </c>
      <c r="AD1929" s="1" t="str">
        <f>IF(AND(Table1[[#This Row],[Spec Type2]]="N/A",Table1[[#This Row],[DUT Adj Read]]="N/A",Table1[[#This Row],[Std Adj Read]]="N/A"),"N/A",IF(Table1[[#This Row],[DUT Adj Read]]="N/A",IF(Table1[[#This Row],[Std Adj Read]]&gt;Table1[[#This Row],[Low Tol]],"Pass","Fail"),IF(Table1[[#This Row],[DUT Adj Read]]&gt;Table1[[#This Row],[Low Tol]],"Pass","Fail")))</f>
        <v>Pass</v>
      </c>
      <c r="AE1929" s="1" t="str">
        <f>IF(AND(Table1[[#This Row],[Spec Type2]]="N/A",Table1[[#This Row],[DUT Adj Read]]="N/A",Table1[[#This Row],[Std Adj Read]]="N/A"),"N/A",IF(Table1[[#This Row],[DUT Adj Read]]="N/A",IF(Table1[[#This Row],[Std Adj Read]]&lt;Table1[[#This Row],[High Tol]],"Pass","Fail"),IF(Table1[[#This Row],[DUT Adj Read]]&lt;Table1[[#This Row],[High Tol]],"Pass","Fail")))</f>
        <v>Fail</v>
      </c>
      <c r="AF1929" s="1" t="str">
        <f>IF(AND(Table1[[#This Row],[Spec Type2]]="N/A",Table1[[#This Row],[DUT Adj Read]]="N/A",Table1[[#This Row],[Std Adj Read]]="N/A"),"N/A",IF(Table1[[#This Row],[DUT Adj Read]]="N/A",IF(Table1[[#This Row],[Std Adj Read]]&gt;=Table1[[#This Row],[Low Tol]],"Pass","Fail"),IF(Table1[[#This Row],[DUT Adj Read]]&gt;=Table1[[#This Row],[Low Tol]],"Pass","Fail")))</f>
        <v>Pass</v>
      </c>
      <c r="AG1929" s="1" t="str">
        <f>IF(AND(Table1[[#This Row],[Spec Type2]]="N/A",Table1[[#This Row],[DUT Adj Read]]="N/A",Table1[[#This Row],[Std Adj Read]]="N/A"),"N/A",IF(Table1[[#This Row],[DUT Adj Read]]="N/A",IF(Table1[[#This Row],[Std Adj Read]]&lt;=Table1[[#This Row],[High Tol]],"Pass","Fail"),IF(Table1[[#This Row],[DUT Adj Read]]&lt;=Table1[[#This Row],[High Tol]],"Pass","Fail")))</f>
        <v>Fail</v>
      </c>
      <c r="AH19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9" s="1" t="b">
        <v>0</v>
      </c>
      <c r="AN1929" s="1" t="b">
        <v>0</v>
      </c>
      <c r="AO1929" s="1" t="b">
        <v>0</v>
      </c>
    </row>
    <row r="1930" spans="1:41" x14ac:dyDescent="0.25">
      <c r="A1930" s="10"/>
      <c r="B1930" s="10"/>
      <c r="C1930" s="10"/>
      <c r="D1930" s="10"/>
      <c r="E1930" s="10"/>
      <c r="F1930" s="10"/>
      <c r="G1930" s="10"/>
      <c r="H1930" s="10"/>
      <c r="I1930" s="1" t="str">
        <f t="shared" si="87"/>
        <v/>
      </c>
      <c r="J1930" s="1" t="s">
        <v>35</v>
      </c>
      <c r="K1930" s="1" t="str">
        <f t="shared" si="88"/>
        <v/>
      </c>
      <c r="L1930" s="1" t="str">
        <f t="shared" si="89"/>
        <v/>
      </c>
      <c r="M1930" s="1">
        <f>IF(OR(Table1[[#This Row],[Std Nom]]="",Table1[[#This Row],[Std Read]]=""),0,Table1[[#This Row],[Std Nom]]-Table1[[#This Row],[Std Read]])</f>
        <v>0</v>
      </c>
      <c r="N1930" s="1">
        <f>IF(Calculations!$F$5="ACCREDITED 17025 WITH UNCERTAINTIES",$N$10,0)</f>
        <v>0</v>
      </c>
      <c r="O1930" s="1" t="str">
        <f>IFERROR(Table1[[#This Row],[Std Nom]]-(_xlfn.XLOOKUP(Table1[[#This Row],[Manufacturer]]&amp;" "&amp;Table1[[#This Row],[Model]],Table13[MFR &amp; MDL],Table13[Tolerance % CW ],"")/100*Table1[[#This Row],[Std Nom]]),"")</f>
        <v/>
      </c>
      <c r="P1930" s="1" t="str">
        <f>IFERROR(Table1[[#This Row],[Std Nom]]+(_xlfn.XLOOKUP(Table1[[#This Row],[Manufacturer]]&amp;" "&amp;Table1[[#This Row],[Model]],Table13[MFR &amp; MDL],Table13[Tolerance % CW ],"")/100*Table1[[#This Row],[Std Nom]]),"")</f>
        <v/>
      </c>
      <c r="Q1930" s="1" t="e">
        <f>Table1[[#This Row],[High Tol]]-Table1[[#This Row],[Low Tol]]</f>
        <v>#VALUE!</v>
      </c>
      <c r="R1930" s="1">
        <f>2*Table1[[#This Row],[Std Error]]</f>
        <v>0</v>
      </c>
      <c r="S1930" s="1" t="str">
        <f>IF(Table1[[#This Row],[High Tol]]="","N/A",IFERROR(ABS(Table1[[#This Row],[Tol Span]]/Table1[[#This Row],[Error Span]]),"N/A"))</f>
        <v>N/A</v>
      </c>
      <c r="T1930" s="1" t="str">
        <f>IF(OR(Table1[[#This Row],[Low Tol]]="",Table1[[#This Row],[High Tol]]=""),"Needs Analysis",IF(Table1[[#This Row],[Ratio]]&gt;=4,"Not Significant",IF(Table1[[#This Row],[Ratio]]&gt;=2,"Semi-Significant","Significant")))</f>
        <v>Needs Analysis</v>
      </c>
      <c r="W1930" s="1">
        <f>IF(Table1[[#This Row],[Cal Type]]&lt;&gt;"ACCREDITED 17025 WITH UNCERTAINTIES",0,"")</f>
        <v>0</v>
      </c>
      <c r="X1930" s="1" t="str">
        <f>IF(Table1[[#This Row],[DUT Read]]="","N/A",Table1[[#This Row],[Std Error]]+Table1[[#This Row],[DUT Read]]+Table1[[#This Row],[DUT Ucty]])</f>
        <v>N/A</v>
      </c>
      <c r="Y1930" s="1" t="str">
        <f>IF(Table1[[#This Row],[Std Read]]="","N/A",Table1[[#This Row],[Std Read]]+Table1[[#This Row],[Std Ucty]])</f>
        <v>N/A</v>
      </c>
      <c r="Z19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0" s="1" t="str">
        <f>IF(Table1[[#This Row],[Spec Type]]="","N/A",Table1[[#This Row],[Spec Type]])</f>
        <v>±</v>
      </c>
      <c r="AC1930" s="1" t="str">
        <f>IF(Table1[[#This Row],[Spec Type2]]="N/A","N/A",IF(AND(Table1[[#This Row],[DUT Adj Read]]&gt;=Table1[[#This Row],[Low Tol]],Table1[[#This Row],[DUT Adj Read]]&lt;=Table1[[#This Row],[High Tol]]),"Pass","Fail"))</f>
        <v>Fail</v>
      </c>
      <c r="AD1930" s="1" t="str">
        <f>IF(AND(Table1[[#This Row],[Spec Type2]]="N/A",Table1[[#This Row],[DUT Adj Read]]="N/A",Table1[[#This Row],[Std Adj Read]]="N/A"),"N/A",IF(Table1[[#This Row],[DUT Adj Read]]="N/A",IF(Table1[[#This Row],[Std Adj Read]]&gt;Table1[[#This Row],[Low Tol]],"Pass","Fail"),IF(Table1[[#This Row],[DUT Adj Read]]&gt;Table1[[#This Row],[Low Tol]],"Pass","Fail")))</f>
        <v>Pass</v>
      </c>
      <c r="AE1930" s="1" t="str">
        <f>IF(AND(Table1[[#This Row],[Spec Type2]]="N/A",Table1[[#This Row],[DUT Adj Read]]="N/A",Table1[[#This Row],[Std Adj Read]]="N/A"),"N/A",IF(Table1[[#This Row],[DUT Adj Read]]="N/A",IF(Table1[[#This Row],[Std Adj Read]]&lt;Table1[[#This Row],[High Tol]],"Pass","Fail"),IF(Table1[[#This Row],[DUT Adj Read]]&lt;Table1[[#This Row],[High Tol]],"Pass","Fail")))</f>
        <v>Fail</v>
      </c>
      <c r="AF1930" s="1" t="str">
        <f>IF(AND(Table1[[#This Row],[Spec Type2]]="N/A",Table1[[#This Row],[DUT Adj Read]]="N/A",Table1[[#This Row],[Std Adj Read]]="N/A"),"N/A",IF(Table1[[#This Row],[DUT Adj Read]]="N/A",IF(Table1[[#This Row],[Std Adj Read]]&gt;=Table1[[#This Row],[Low Tol]],"Pass","Fail"),IF(Table1[[#This Row],[DUT Adj Read]]&gt;=Table1[[#This Row],[Low Tol]],"Pass","Fail")))</f>
        <v>Pass</v>
      </c>
      <c r="AG1930" s="1" t="str">
        <f>IF(AND(Table1[[#This Row],[Spec Type2]]="N/A",Table1[[#This Row],[DUT Adj Read]]="N/A",Table1[[#This Row],[Std Adj Read]]="N/A"),"N/A",IF(Table1[[#This Row],[DUT Adj Read]]="N/A",IF(Table1[[#This Row],[Std Adj Read]]&lt;=Table1[[#This Row],[High Tol]],"Pass","Fail"),IF(Table1[[#This Row],[DUT Adj Read]]&lt;=Table1[[#This Row],[High Tol]],"Pass","Fail")))</f>
        <v>Fail</v>
      </c>
      <c r="AH19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0" s="1" t="b">
        <v>0</v>
      </c>
      <c r="AN1930" s="1" t="b">
        <v>0</v>
      </c>
      <c r="AO1930" s="1" t="b">
        <v>0</v>
      </c>
    </row>
    <row r="1931" spans="1:41" x14ac:dyDescent="0.25">
      <c r="A1931" s="10"/>
      <c r="B1931" s="10"/>
      <c r="C1931" s="10"/>
      <c r="D1931" s="10"/>
      <c r="E1931" s="10"/>
      <c r="F1931" s="10"/>
      <c r="G1931" s="10"/>
      <c r="H1931" s="10"/>
      <c r="I1931" s="1" t="str">
        <f t="shared" ref="I1931:I1994" si="90">IF($I$10="","",$I$10)</f>
        <v/>
      </c>
      <c r="J1931" s="1" t="s">
        <v>35</v>
      </c>
      <c r="K1931" s="1" t="str">
        <f t="shared" ref="K1931:K1994" si="91">IF($K$10="","",$K$10)</f>
        <v/>
      </c>
      <c r="L1931" s="1" t="str">
        <f t="shared" ref="L1931:L1994" si="92">IF($L$10="","",$L$10)</f>
        <v/>
      </c>
      <c r="M1931" s="1">
        <f>IF(OR(Table1[[#This Row],[Std Nom]]="",Table1[[#This Row],[Std Read]]=""),0,Table1[[#This Row],[Std Nom]]-Table1[[#This Row],[Std Read]])</f>
        <v>0</v>
      </c>
      <c r="N1931" s="1">
        <f>IF(Calculations!$F$5="ACCREDITED 17025 WITH UNCERTAINTIES",$N$10,0)</f>
        <v>0</v>
      </c>
      <c r="O1931" s="1" t="str">
        <f>IFERROR(Table1[[#This Row],[Std Nom]]-(_xlfn.XLOOKUP(Table1[[#This Row],[Manufacturer]]&amp;" "&amp;Table1[[#This Row],[Model]],Table13[MFR &amp; MDL],Table13[Tolerance % CW ],"")/100*Table1[[#This Row],[Std Nom]]),"")</f>
        <v/>
      </c>
      <c r="P1931" s="1" t="str">
        <f>IFERROR(Table1[[#This Row],[Std Nom]]+(_xlfn.XLOOKUP(Table1[[#This Row],[Manufacturer]]&amp;" "&amp;Table1[[#This Row],[Model]],Table13[MFR &amp; MDL],Table13[Tolerance % CW ],"")/100*Table1[[#This Row],[Std Nom]]),"")</f>
        <v/>
      </c>
      <c r="Q1931" s="1" t="e">
        <f>Table1[[#This Row],[High Tol]]-Table1[[#This Row],[Low Tol]]</f>
        <v>#VALUE!</v>
      </c>
      <c r="R1931" s="1">
        <f>2*Table1[[#This Row],[Std Error]]</f>
        <v>0</v>
      </c>
      <c r="S1931" s="1" t="str">
        <f>IF(Table1[[#This Row],[High Tol]]="","N/A",IFERROR(ABS(Table1[[#This Row],[Tol Span]]/Table1[[#This Row],[Error Span]]),"N/A"))</f>
        <v>N/A</v>
      </c>
      <c r="T1931" s="1" t="str">
        <f>IF(OR(Table1[[#This Row],[Low Tol]]="",Table1[[#This Row],[High Tol]]=""),"Needs Analysis",IF(Table1[[#This Row],[Ratio]]&gt;=4,"Not Significant",IF(Table1[[#This Row],[Ratio]]&gt;=2,"Semi-Significant","Significant")))</f>
        <v>Needs Analysis</v>
      </c>
      <c r="W1931" s="1">
        <f>IF(Table1[[#This Row],[Cal Type]]&lt;&gt;"ACCREDITED 17025 WITH UNCERTAINTIES",0,"")</f>
        <v>0</v>
      </c>
      <c r="X1931" s="1" t="str">
        <f>IF(Table1[[#This Row],[DUT Read]]="","N/A",Table1[[#This Row],[Std Error]]+Table1[[#This Row],[DUT Read]]+Table1[[#This Row],[DUT Ucty]])</f>
        <v>N/A</v>
      </c>
      <c r="Y1931" s="1" t="str">
        <f>IF(Table1[[#This Row],[Std Read]]="","N/A",Table1[[#This Row],[Std Read]]+Table1[[#This Row],[Std Ucty]])</f>
        <v>N/A</v>
      </c>
      <c r="Z19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1" s="1" t="str">
        <f>IF(Table1[[#This Row],[Spec Type]]="","N/A",Table1[[#This Row],[Spec Type]])</f>
        <v>±</v>
      </c>
      <c r="AC1931" s="1" t="str">
        <f>IF(Table1[[#This Row],[Spec Type2]]="N/A","N/A",IF(AND(Table1[[#This Row],[DUT Adj Read]]&gt;=Table1[[#This Row],[Low Tol]],Table1[[#This Row],[DUT Adj Read]]&lt;=Table1[[#This Row],[High Tol]]),"Pass","Fail"))</f>
        <v>Fail</v>
      </c>
      <c r="AD1931" s="1" t="str">
        <f>IF(AND(Table1[[#This Row],[Spec Type2]]="N/A",Table1[[#This Row],[DUT Adj Read]]="N/A",Table1[[#This Row],[Std Adj Read]]="N/A"),"N/A",IF(Table1[[#This Row],[DUT Adj Read]]="N/A",IF(Table1[[#This Row],[Std Adj Read]]&gt;Table1[[#This Row],[Low Tol]],"Pass","Fail"),IF(Table1[[#This Row],[DUT Adj Read]]&gt;Table1[[#This Row],[Low Tol]],"Pass","Fail")))</f>
        <v>Pass</v>
      </c>
      <c r="AE1931" s="1" t="str">
        <f>IF(AND(Table1[[#This Row],[Spec Type2]]="N/A",Table1[[#This Row],[DUT Adj Read]]="N/A",Table1[[#This Row],[Std Adj Read]]="N/A"),"N/A",IF(Table1[[#This Row],[DUT Adj Read]]="N/A",IF(Table1[[#This Row],[Std Adj Read]]&lt;Table1[[#This Row],[High Tol]],"Pass","Fail"),IF(Table1[[#This Row],[DUT Adj Read]]&lt;Table1[[#This Row],[High Tol]],"Pass","Fail")))</f>
        <v>Fail</v>
      </c>
      <c r="AF1931" s="1" t="str">
        <f>IF(AND(Table1[[#This Row],[Spec Type2]]="N/A",Table1[[#This Row],[DUT Adj Read]]="N/A",Table1[[#This Row],[Std Adj Read]]="N/A"),"N/A",IF(Table1[[#This Row],[DUT Adj Read]]="N/A",IF(Table1[[#This Row],[Std Adj Read]]&gt;=Table1[[#This Row],[Low Tol]],"Pass","Fail"),IF(Table1[[#This Row],[DUT Adj Read]]&gt;=Table1[[#This Row],[Low Tol]],"Pass","Fail")))</f>
        <v>Pass</v>
      </c>
      <c r="AG1931" s="1" t="str">
        <f>IF(AND(Table1[[#This Row],[Spec Type2]]="N/A",Table1[[#This Row],[DUT Adj Read]]="N/A",Table1[[#This Row],[Std Adj Read]]="N/A"),"N/A",IF(Table1[[#This Row],[DUT Adj Read]]="N/A",IF(Table1[[#This Row],[Std Adj Read]]&lt;=Table1[[#This Row],[High Tol]],"Pass","Fail"),IF(Table1[[#This Row],[DUT Adj Read]]&lt;=Table1[[#This Row],[High Tol]],"Pass","Fail")))</f>
        <v>Fail</v>
      </c>
      <c r="AH19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1" s="1" t="b">
        <v>0</v>
      </c>
      <c r="AN1931" s="1" t="b">
        <v>0</v>
      </c>
      <c r="AO1931" s="1" t="b">
        <v>0</v>
      </c>
    </row>
    <row r="1932" spans="1:41" x14ac:dyDescent="0.25">
      <c r="A1932" s="10"/>
      <c r="B1932" s="10"/>
      <c r="C1932" s="10"/>
      <c r="D1932" s="10"/>
      <c r="E1932" s="10"/>
      <c r="F1932" s="10"/>
      <c r="G1932" s="10"/>
      <c r="H1932" s="10"/>
      <c r="I1932" s="1" t="str">
        <f t="shared" si="90"/>
        <v/>
      </c>
      <c r="J1932" s="1" t="s">
        <v>35</v>
      </c>
      <c r="K1932" s="1" t="str">
        <f t="shared" si="91"/>
        <v/>
      </c>
      <c r="L1932" s="1" t="str">
        <f t="shared" si="92"/>
        <v/>
      </c>
      <c r="M1932" s="1">
        <f>IF(OR(Table1[[#This Row],[Std Nom]]="",Table1[[#This Row],[Std Read]]=""),0,Table1[[#This Row],[Std Nom]]-Table1[[#This Row],[Std Read]])</f>
        <v>0</v>
      </c>
      <c r="N1932" s="1">
        <f>IF(Calculations!$F$5="ACCREDITED 17025 WITH UNCERTAINTIES",$N$10,0)</f>
        <v>0</v>
      </c>
      <c r="O1932" s="1" t="str">
        <f>IFERROR(Table1[[#This Row],[Std Nom]]-(_xlfn.XLOOKUP(Table1[[#This Row],[Manufacturer]]&amp;" "&amp;Table1[[#This Row],[Model]],Table13[MFR &amp; MDL],Table13[Tolerance % CW ],"")/100*Table1[[#This Row],[Std Nom]]),"")</f>
        <v/>
      </c>
      <c r="P1932" s="1" t="str">
        <f>IFERROR(Table1[[#This Row],[Std Nom]]+(_xlfn.XLOOKUP(Table1[[#This Row],[Manufacturer]]&amp;" "&amp;Table1[[#This Row],[Model]],Table13[MFR &amp; MDL],Table13[Tolerance % CW ],"")/100*Table1[[#This Row],[Std Nom]]),"")</f>
        <v/>
      </c>
      <c r="Q1932" s="1" t="e">
        <f>Table1[[#This Row],[High Tol]]-Table1[[#This Row],[Low Tol]]</f>
        <v>#VALUE!</v>
      </c>
      <c r="R1932" s="1">
        <f>2*Table1[[#This Row],[Std Error]]</f>
        <v>0</v>
      </c>
      <c r="S1932" s="1" t="str">
        <f>IF(Table1[[#This Row],[High Tol]]="","N/A",IFERROR(ABS(Table1[[#This Row],[Tol Span]]/Table1[[#This Row],[Error Span]]),"N/A"))</f>
        <v>N/A</v>
      </c>
      <c r="T1932" s="1" t="str">
        <f>IF(OR(Table1[[#This Row],[Low Tol]]="",Table1[[#This Row],[High Tol]]=""),"Needs Analysis",IF(Table1[[#This Row],[Ratio]]&gt;=4,"Not Significant",IF(Table1[[#This Row],[Ratio]]&gt;=2,"Semi-Significant","Significant")))</f>
        <v>Needs Analysis</v>
      </c>
      <c r="W1932" s="1">
        <f>IF(Table1[[#This Row],[Cal Type]]&lt;&gt;"ACCREDITED 17025 WITH UNCERTAINTIES",0,"")</f>
        <v>0</v>
      </c>
      <c r="X1932" s="1" t="str">
        <f>IF(Table1[[#This Row],[DUT Read]]="","N/A",Table1[[#This Row],[Std Error]]+Table1[[#This Row],[DUT Read]]+Table1[[#This Row],[DUT Ucty]])</f>
        <v>N/A</v>
      </c>
      <c r="Y1932" s="1" t="str">
        <f>IF(Table1[[#This Row],[Std Read]]="","N/A",Table1[[#This Row],[Std Read]]+Table1[[#This Row],[Std Ucty]])</f>
        <v>N/A</v>
      </c>
      <c r="Z19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2" s="1" t="str">
        <f>IF(Table1[[#This Row],[Spec Type]]="","N/A",Table1[[#This Row],[Spec Type]])</f>
        <v>±</v>
      </c>
      <c r="AC1932" s="1" t="str">
        <f>IF(Table1[[#This Row],[Spec Type2]]="N/A","N/A",IF(AND(Table1[[#This Row],[DUT Adj Read]]&gt;=Table1[[#This Row],[Low Tol]],Table1[[#This Row],[DUT Adj Read]]&lt;=Table1[[#This Row],[High Tol]]),"Pass","Fail"))</f>
        <v>Fail</v>
      </c>
      <c r="AD1932" s="1" t="str">
        <f>IF(AND(Table1[[#This Row],[Spec Type2]]="N/A",Table1[[#This Row],[DUT Adj Read]]="N/A",Table1[[#This Row],[Std Adj Read]]="N/A"),"N/A",IF(Table1[[#This Row],[DUT Adj Read]]="N/A",IF(Table1[[#This Row],[Std Adj Read]]&gt;Table1[[#This Row],[Low Tol]],"Pass","Fail"),IF(Table1[[#This Row],[DUT Adj Read]]&gt;Table1[[#This Row],[Low Tol]],"Pass","Fail")))</f>
        <v>Pass</v>
      </c>
      <c r="AE1932" s="1" t="str">
        <f>IF(AND(Table1[[#This Row],[Spec Type2]]="N/A",Table1[[#This Row],[DUT Adj Read]]="N/A",Table1[[#This Row],[Std Adj Read]]="N/A"),"N/A",IF(Table1[[#This Row],[DUT Adj Read]]="N/A",IF(Table1[[#This Row],[Std Adj Read]]&lt;Table1[[#This Row],[High Tol]],"Pass","Fail"),IF(Table1[[#This Row],[DUT Adj Read]]&lt;Table1[[#This Row],[High Tol]],"Pass","Fail")))</f>
        <v>Fail</v>
      </c>
      <c r="AF1932" s="1" t="str">
        <f>IF(AND(Table1[[#This Row],[Spec Type2]]="N/A",Table1[[#This Row],[DUT Adj Read]]="N/A",Table1[[#This Row],[Std Adj Read]]="N/A"),"N/A",IF(Table1[[#This Row],[DUT Adj Read]]="N/A",IF(Table1[[#This Row],[Std Adj Read]]&gt;=Table1[[#This Row],[Low Tol]],"Pass","Fail"),IF(Table1[[#This Row],[DUT Adj Read]]&gt;=Table1[[#This Row],[Low Tol]],"Pass","Fail")))</f>
        <v>Pass</v>
      </c>
      <c r="AG1932" s="1" t="str">
        <f>IF(AND(Table1[[#This Row],[Spec Type2]]="N/A",Table1[[#This Row],[DUT Adj Read]]="N/A",Table1[[#This Row],[Std Adj Read]]="N/A"),"N/A",IF(Table1[[#This Row],[DUT Adj Read]]="N/A",IF(Table1[[#This Row],[Std Adj Read]]&lt;=Table1[[#This Row],[High Tol]],"Pass","Fail"),IF(Table1[[#This Row],[DUT Adj Read]]&lt;=Table1[[#This Row],[High Tol]],"Pass","Fail")))</f>
        <v>Fail</v>
      </c>
      <c r="AH19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2" s="1" t="b">
        <v>0</v>
      </c>
      <c r="AN1932" s="1" t="b">
        <v>0</v>
      </c>
      <c r="AO1932" s="1" t="b">
        <v>0</v>
      </c>
    </row>
    <row r="1933" spans="1:41" x14ac:dyDescent="0.25">
      <c r="A1933" s="10"/>
      <c r="B1933" s="10"/>
      <c r="C1933" s="10"/>
      <c r="D1933" s="10"/>
      <c r="E1933" s="10"/>
      <c r="F1933" s="10"/>
      <c r="G1933" s="10"/>
      <c r="H1933" s="10"/>
      <c r="I1933" s="1" t="str">
        <f t="shared" si="90"/>
        <v/>
      </c>
      <c r="J1933" s="1" t="s">
        <v>35</v>
      </c>
      <c r="K1933" s="1" t="str">
        <f t="shared" si="91"/>
        <v/>
      </c>
      <c r="L1933" s="1" t="str">
        <f t="shared" si="92"/>
        <v/>
      </c>
      <c r="M1933" s="1">
        <f>IF(OR(Table1[[#This Row],[Std Nom]]="",Table1[[#This Row],[Std Read]]=""),0,Table1[[#This Row],[Std Nom]]-Table1[[#This Row],[Std Read]])</f>
        <v>0</v>
      </c>
      <c r="N1933" s="1">
        <f>IF(Calculations!$F$5="ACCREDITED 17025 WITH UNCERTAINTIES",$N$10,0)</f>
        <v>0</v>
      </c>
      <c r="O1933" s="1" t="str">
        <f>IFERROR(Table1[[#This Row],[Std Nom]]-(_xlfn.XLOOKUP(Table1[[#This Row],[Manufacturer]]&amp;" "&amp;Table1[[#This Row],[Model]],Table13[MFR &amp; MDL],Table13[Tolerance % CW ],"")/100*Table1[[#This Row],[Std Nom]]),"")</f>
        <v/>
      </c>
      <c r="P1933" s="1" t="str">
        <f>IFERROR(Table1[[#This Row],[Std Nom]]+(_xlfn.XLOOKUP(Table1[[#This Row],[Manufacturer]]&amp;" "&amp;Table1[[#This Row],[Model]],Table13[MFR &amp; MDL],Table13[Tolerance % CW ],"")/100*Table1[[#This Row],[Std Nom]]),"")</f>
        <v/>
      </c>
      <c r="Q1933" s="1" t="e">
        <f>Table1[[#This Row],[High Tol]]-Table1[[#This Row],[Low Tol]]</f>
        <v>#VALUE!</v>
      </c>
      <c r="R1933" s="1">
        <f>2*Table1[[#This Row],[Std Error]]</f>
        <v>0</v>
      </c>
      <c r="S1933" s="1" t="str">
        <f>IF(Table1[[#This Row],[High Tol]]="","N/A",IFERROR(ABS(Table1[[#This Row],[Tol Span]]/Table1[[#This Row],[Error Span]]),"N/A"))</f>
        <v>N/A</v>
      </c>
      <c r="T1933" s="1" t="str">
        <f>IF(OR(Table1[[#This Row],[Low Tol]]="",Table1[[#This Row],[High Tol]]=""),"Needs Analysis",IF(Table1[[#This Row],[Ratio]]&gt;=4,"Not Significant",IF(Table1[[#This Row],[Ratio]]&gt;=2,"Semi-Significant","Significant")))</f>
        <v>Needs Analysis</v>
      </c>
      <c r="W1933" s="1">
        <f>IF(Table1[[#This Row],[Cal Type]]&lt;&gt;"ACCREDITED 17025 WITH UNCERTAINTIES",0,"")</f>
        <v>0</v>
      </c>
      <c r="X1933" s="1" t="str">
        <f>IF(Table1[[#This Row],[DUT Read]]="","N/A",Table1[[#This Row],[Std Error]]+Table1[[#This Row],[DUT Read]]+Table1[[#This Row],[DUT Ucty]])</f>
        <v>N/A</v>
      </c>
      <c r="Y1933" s="1" t="str">
        <f>IF(Table1[[#This Row],[Std Read]]="","N/A",Table1[[#This Row],[Std Read]]+Table1[[#This Row],[Std Ucty]])</f>
        <v>N/A</v>
      </c>
      <c r="Z19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3" s="1" t="str">
        <f>IF(Table1[[#This Row],[Spec Type]]="","N/A",Table1[[#This Row],[Spec Type]])</f>
        <v>±</v>
      </c>
      <c r="AC1933" s="1" t="str">
        <f>IF(Table1[[#This Row],[Spec Type2]]="N/A","N/A",IF(AND(Table1[[#This Row],[DUT Adj Read]]&gt;=Table1[[#This Row],[Low Tol]],Table1[[#This Row],[DUT Adj Read]]&lt;=Table1[[#This Row],[High Tol]]),"Pass","Fail"))</f>
        <v>Fail</v>
      </c>
      <c r="AD1933" s="1" t="str">
        <f>IF(AND(Table1[[#This Row],[Spec Type2]]="N/A",Table1[[#This Row],[DUT Adj Read]]="N/A",Table1[[#This Row],[Std Adj Read]]="N/A"),"N/A",IF(Table1[[#This Row],[DUT Adj Read]]="N/A",IF(Table1[[#This Row],[Std Adj Read]]&gt;Table1[[#This Row],[Low Tol]],"Pass","Fail"),IF(Table1[[#This Row],[DUT Adj Read]]&gt;Table1[[#This Row],[Low Tol]],"Pass","Fail")))</f>
        <v>Pass</v>
      </c>
      <c r="AE1933" s="1" t="str">
        <f>IF(AND(Table1[[#This Row],[Spec Type2]]="N/A",Table1[[#This Row],[DUT Adj Read]]="N/A",Table1[[#This Row],[Std Adj Read]]="N/A"),"N/A",IF(Table1[[#This Row],[DUT Adj Read]]="N/A",IF(Table1[[#This Row],[Std Adj Read]]&lt;Table1[[#This Row],[High Tol]],"Pass","Fail"),IF(Table1[[#This Row],[DUT Adj Read]]&lt;Table1[[#This Row],[High Tol]],"Pass","Fail")))</f>
        <v>Fail</v>
      </c>
      <c r="AF1933" s="1" t="str">
        <f>IF(AND(Table1[[#This Row],[Spec Type2]]="N/A",Table1[[#This Row],[DUT Adj Read]]="N/A",Table1[[#This Row],[Std Adj Read]]="N/A"),"N/A",IF(Table1[[#This Row],[DUT Adj Read]]="N/A",IF(Table1[[#This Row],[Std Adj Read]]&gt;=Table1[[#This Row],[Low Tol]],"Pass","Fail"),IF(Table1[[#This Row],[DUT Adj Read]]&gt;=Table1[[#This Row],[Low Tol]],"Pass","Fail")))</f>
        <v>Pass</v>
      </c>
      <c r="AG1933" s="1" t="str">
        <f>IF(AND(Table1[[#This Row],[Spec Type2]]="N/A",Table1[[#This Row],[DUT Adj Read]]="N/A",Table1[[#This Row],[Std Adj Read]]="N/A"),"N/A",IF(Table1[[#This Row],[DUT Adj Read]]="N/A",IF(Table1[[#This Row],[Std Adj Read]]&lt;=Table1[[#This Row],[High Tol]],"Pass","Fail"),IF(Table1[[#This Row],[DUT Adj Read]]&lt;=Table1[[#This Row],[High Tol]],"Pass","Fail")))</f>
        <v>Fail</v>
      </c>
      <c r="AH19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3" s="1" t="b">
        <v>0</v>
      </c>
      <c r="AN1933" s="1" t="b">
        <v>0</v>
      </c>
      <c r="AO1933" s="1" t="b">
        <v>0</v>
      </c>
    </row>
    <row r="1934" spans="1:41" x14ac:dyDescent="0.25">
      <c r="A1934" s="10"/>
      <c r="B1934" s="10"/>
      <c r="C1934" s="10"/>
      <c r="D1934" s="10"/>
      <c r="E1934" s="10"/>
      <c r="F1934" s="10"/>
      <c r="G1934" s="10"/>
      <c r="H1934" s="10"/>
      <c r="I1934" s="1" t="str">
        <f t="shared" si="90"/>
        <v/>
      </c>
      <c r="J1934" s="1" t="s">
        <v>35</v>
      </c>
      <c r="K1934" s="1" t="str">
        <f t="shared" si="91"/>
        <v/>
      </c>
      <c r="L1934" s="1" t="str">
        <f t="shared" si="92"/>
        <v/>
      </c>
      <c r="M1934" s="1">
        <f>IF(OR(Table1[[#This Row],[Std Nom]]="",Table1[[#This Row],[Std Read]]=""),0,Table1[[#This Row],[Std Nom]]-Table1[[#This Row],[Std Read]])</f>
        <v>0</v>
      </c>
      <c r="N1934" s="1">
        <f>IF(Calculations!$F$5="ACCREDITED 17025 WITH UNCERTAINTIES",$N$10,0)</f>
        <v>0</v>
      </c>
      <c r="O1934" s="1" t="str">
        <f>IFERROR(Table1[[#This Row],[Std Nom]]-(_xlfn.XLOOKUP(Table1[[#This Row],[Manufacturer]]&amp;" "&amp;Table1[[#This Row],[Model]],Table13[MFR &amp; MDL],Table13[Tolerance % CW ],"")/100*Table1[[#This Row],[Std Nom]]),"")</f>
        <v/>
      </c>
      <c r="P1934" s="1" t="str">
        <f>IFERROR(Table1[[#This Row],[Std Nom]]+(_xlfn.XLOOKUP(Table1[[#This Row],[Manufacturer]]&amp;" "&amp;Table1[[#This Row],[Model]],Table13[MFR &amp; MDL],Table13[Tolerance % CW ],"")/100*Table1[[#This Row],[Std Nom]]),"")</f>
        <v/>
      </c>
      <c r="Q1934" s="1" t="e">
        <f>Table1[[#This Row],[High Tol]]-Table1[[#This Row],[Low Tol]]</f>
        <v>#VALUE!</v>
      </c>
      <c r="R1934" s="1">
        <f>2*Table1[[#This Row],[Std Error]]</f>
        <v>0</v>
      </c>
      <c r="S1934" s="1" t="str">
        <f>IF(Table1[[#This Row],[High Tol]]="","N/A",IFERROR(ABS(Table1[[#This Row],[Tol Span]]/Table1[[#This Row],[Error Span]]),"N/A"))</f>
        <v>N/A</v>
      </c>
      <c r="T1934" s="1" t="str">
        <f>IF(OR(Table1[[#This Row],[Low Tol]]="",Table1[[#This Row],[High Tol]]=""),"Needs Analysis",IF(Table1[[#This Row],[Ratio]]&gt;=4,"Not Significant",IF(Table1[[#This Row],[Ratio]]&gt;=2,"Semi-Significant","Significant")))</f>
        <v>Needs Analysis</v>
      </c>
      <c r="W1934" s="1">
        <f>IF(Table1[[#This Row],[Cal Type]]&lt;&gt;"ACCREDITED 17025 WITH UNCERTAINTIES",0,"")</f>
        <v>0</v>
      </c>
      <c r="X1934" s="1" t="str">
        <f>IF(Table1[[#This Row],[DUT Read]]="","N/A",Table1[[#This Row],[Std Error]]+Table1[[#This Row],[DUT Read]]+Table1[[#This Row],[DUT Ucty]])</f>
        <v>N/A</v>
      </c>
      <c r="Y1934" s="1" t="str">
        <f>IF(Table1[[#This Row],[Std Read]]="","N/A",Table1[[#This Row],[Std Read]]+Table1[[#This Row],[Std Ucty]])</f>
        <v>N/A</v>
      </c>
      <c r="Z19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4" s="1" t="str">
        <f>IF(Table1[[#This Row],[Spec Type]]="","N/A",Table1[[#This Row],[Spec Type]])</f>
        <v>±</v>
      </c>
      <c r="AC1934" s="1" t="str">
        <f>IF(Table1[[#This Row],[Spec Type2]]="N/A","N/A",IF(AND(Table1[[#This Row],[DUT Adj Read]]&gt;=Table1[[#This Row],[Low Tol]],Table1[[#This Row],[DUT Adj Read]]&lt;=Table1[[#This Row],[High Tol]]),"Pass","Fail"))</f>
        <v>Fail</v>
      </c>
      <c r="AD1934" s="1" t="str">
        <f>IF(AND(Table1[[#This Row],[Spec Type2]]="N/A",Table1[[#This Row],[DUT Adj Read]]="N/A",Table1[[#This Row],[Std Adj Read]]="N/A"),"N/A",IF(Table1[[#This Row],[DUT Adj Read]]="N/A",IF(Table1[[#This Row],[Std Adj Read]]&gt;Table1[[#This Row],[Low Tol]],"Pass","Fail"),IF(Table1[[#This Row],[DUT Adj Read]]&gt;Table1[[#This Row],[Low Tol]],"Pass","Fail")))</f>
        <v>Pass</v>
      </c>
      <c r="AE1934" s="1" t="str">
        <f>IF(AND(Table1[[#This Row],[Spec Type2]]="N/A",Table1[[#This Row],[DUT Adj Read]]="N/A",Table1[[#This Row],[Std Adj Read]]="N/A"),"N/A",IF(Table1[[#This Row],[DUT Adj Read]]="N/A",IF(Table1[[#This Row],[Std Adj Read]]&lt;Table1[[#This Row],[High Tol]],"Pass","Fail"),IF(Table1[[#This Row],[DUT Adj Read]]&lt;Table1[[#This Row],[High Tol]],"Pass","Fail")))</f>
        <v>Fail</v>
      </c>
      <c r="AF1934" s="1" t="str">
        <f>IF(AND(Table1[[#This Row],[Spec Type2]]="N/A",Table1[[#This Row],[DUT Adj Read]]="N/A",Table1[[#This Row],[Std Adj Read]]="N/A"),"N/A",IF(Table1[[#This Row],[DUT Adj Read]]="N/A",IF(Table1[[#This Row],[Std Adj Read]]&gt;=Table1[[#This Row],[Low Tol]],"Pass","Fail"),IF(Table1[[#This Row],[DUT Adj Read]]&gt;=Table1[[#This Row],[Low Tol]],"Pass","Fail")))</f>
        <v>Pass</v>
      </c>
      <c r="AG1934" s="1" t="str">
        <f>IF(AND(Table1[[#This Row],[Spec Type2]]="N/A",Table1[[#This Row],[DUT Adj Read]]="N/A",Table1[[#This Row],[Std Adj Read]]="N/A"),"N/A",IF(Table1[[#This Row],[DUT Adj Read]]="N/A",IF(Table1[[#This Row],[Std Adj Read]]&lt;=Table1[[#This Row],[High Tol]],"Pass","Fail"),IF(Table1[[#This Row],[DUT Adj Read]]&lt;=Table1[[#This Row],[High Tol]],"Pass","Fail")))</f>
        <v>Fail</v>
      </c>
      <c r="AH19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4" s="1" t="b">
        <v>0</v>
      </c>
      <c r="AN1934" s="1" t="b">
        <v>0</v>
      </c>
      <c r="AO1934" s="1" t="b">
        <v>0</v>
      </c>
    </row>
    <row r="1935" spans="1:41" x14ac:dyDescent="0.25">
      <c r="A1935" s="10"/>
      <c r="B1935" s="10"/>
      <c r="C1935" s="10"/>
      <c r="D1935" s="10"/>
      <c r="E1935" s="10"/>
      <c r="F1935" s="10"/>
      <c r="G1935" s="10"/>
      <c r="H1935" s="10"/>
      <c r="I1935" s="1" t="str">
        <f t="shared" si="90"/>
        <v/>
      </c>
      <c r="J1935" s="1" t="s">
        <v>35</v>
      </c>
      <c r="K1935" s="1" t="str">
        <f t="shared" si="91"/>
        <v/>
      </c>
      <c r="L1935" s="1" t="str">
        <f t="shared" si="92"/>
        <v/>
      </c>
      <c r="M1935" s="1">
        <f>IF(OR(Table1[[#This Row],[Std Nom]]="",Table1[[#This Row],[Std Read]]=""),0,Table1[[#This Row],[Std Nom]]-Table1[[#This Row],[Std Read]])</f>
        <v>0</v>
      </c>
      <c r="N1935" s="1">
        <f>IF(Calculations!$F$5="ACCREDITED 17025 WITH UNCERTAINTIES",$N$10,0)</f>
        <v>0</v>
      </c>
      <c r="O1935" s="1" t="str">
        <f>IFERROR(Table1[[#This Row],[Std Nom]]-(_xlfn.XLOOKUP(Table1[[#This Row],[Manufacturer]]&amp;" "&amp;Table1[[#This Row],[Model]],Table13[MFR &amp; MDL],Table13[Tolerance % CW ],"")/100*Table1[[#This Row],[Std Nom]]),"")</f>
        <v/>
      </c>
      <c r="P1935" s="1" t="str">
        <f>IFERROR(Table1[[#This Row],[Std Nom]]+(_xlfn.XLOOKUP(Table1[[#This Row],[Manufacturer]]&amp;" "&amp;Table1[[#This Row],[Model]],Table13[MFR &amp; MDL],Table13[Tolerance % CW ],"")/100*Table1[[#This Row],[Std Nom]]),"")</f>
        <v/>
      </c>
      <c r="Q1935" s="1" t="e">
        <f>Table1[[#This Row],[High Tol]]-Table1[[#This Row],[Low Tol]]</f>
        <v>#VALUE!</v>
      </c>
      <c r="R1935" s="1">
        <f>2*Table1[[#This Row],[Std Error]]</f>
        <v>0</v>
      </c>
      <c r="S1935" s="1" t="str">
        <f>IF(Table1[[#This Row],[High Tol]]="","N/A",IFERROR(ABS(Table1[[#This Row],[Tol Span]]/Table1[[#This Row],[Error Span]]),"N/A"))</f>
        <v>N/A</v>
      </c>
      <c r="T1935" s="1" t="str">
        <f>IF(OR(Table1[[#This Row],[Low Tol]]="",Table1[[#This Row],[High Tol]]=""),"Needs Analysis",IF(Table1[[#This Row],[Ratio]]&gt;=4,"Not Significant",IF(Table1[[#This Row],[Ratio]]&gt;=2,"Semi-Significant","Significant")))</f>
        <v>Needs Analysis</v>
      </c>
      <c r="W1935" s="1">
        <f>IF(Table1[[#This Row],[Cal Type]]&lt;&gt;"ACCREDITED 17025 WITH UNCERTAINTIES",0,"")</f>
        <v>0</v>
      </c>
      <c r="X1935" s="1" t="str">
        <f>IF(Table1[[#This Row],[DUT Read]]="","N/A",Table1[[#This Row],[Std Error]]+Table1[[#This Row],[DUT Read]]+Table1[[#This Row],[DUT Ucty]])</f>
        <v>N/A</v>
      </c>
      <c r="Y1935" s="1" t="str">
        <f>IF(Table1[[#This Row],[Std Read]]="","N/A",Table1[[#This Row],[Std Read]]+Table1[[#This Row],[Std Ucty]])</f>
        <v>N/A</v>
      </c>
      <c r="Z19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5" s="1" t="str">
        <f>IF(Table1[[#This Row],[Spec Type]]="","N/A",Table1[[#This Row],[Spec Type]])</f>
        <v>±</v>
      </c>
      <c r="AC1935" s="1" t="str">
        <f>IF(Table1[[#This Row],[Spec Type2]]="N/A","N/A",IF(AND(Table1[[#This Row],[DUT Adj Read]]&gt;=Table1[[#This Row],[Low Tol]],Table1[[#This Row],[DUT Adj Read]]&lt;=Table1[[#This Row],[High Tol]]),"Pass","Fail"))</f>
        <v>Fail</v>
      </c>
      <c r="AD1935" s="1" t="str">
        <f>IF(AND(Table1[[#This Row],[Spec Type2]]="N/A",Table1[[#This Row],[DUT Adj Read]]="N/A",Table1[[#This Row],[Std Adj Read]]="N/A"),"N/A",IF(Table1[[#This Row],[DUT Adj Read]]="N/A",IF(Table1[[#This Row],[Std Adj Read]]&gt;Table1[[#This Row],[Low Tol]],"Pass","Fail"),IF(Table1[[#This Row],[DUT Adj Read]]&gt;Table1[[#This Row],[Low Tol]],"Pass","Fail")))</f>
        <v>Pass</v>
      </c>
      <c r="AE1935" s="1" t="str">
        <f>IF(AND(Table1[[#This Row],[Spec Type2]]="N/A",Table1[[#This Row],[DUT Adj Read]]="N/A",Table1[[#This Row],[Std Adj Read]]="N/A"),"N/A",IF(Table1[[#This Row],[DUT Adj Read]]="N/A",IF(Table1[[#This Row],[Std Adj Read]]&lt;Table1[[#This Row],[High Tol]],"Pass","Fail"),IF(Table1[[#This Row],[DUT Adj Read]]&lt;Table1[[#This Row],[High Tol]],"Pass","Fail")))</f>
        <v>Fail</v>
      </c>
      <c r="AF1935" s="1" t="str">
        <f>IF(AND(Table1[[#This Row],[Spec Type2]]="N/A",Table1[[#This Row],[DUT Adj Read]]="N/A",Table1[[#This Row],[Std Adj Read]]="N/A"),"N/A",IF(Table1[[#This Row],[DUT Adj Read]]="N/A",IF(Table1[[#This Row],[Std Adj Read]]&gt;=Table1[[#This Row],[Low Tol]],"Pass","Fail"),IF(Table1[[#This Row],[DUT Adj Read]]&gt;=Table1[[#This Row],[Low Tol]],"Pass","Fail")))</f>
        <v>Pass</v>
      </c>
      <c r="AG1935" s="1" t="str">
        <f>IF(AND(Table1[[#This Row],[Spec Type2]]="N/A",Table1[[#This Row],[DUT Adj Read]]="N/A",Table1[[#This Row],[Std Adj Read]]="N/A"),"N/A",IF(Table1[[#This Row],[DUT Adj Read]]="N/A",IF(Table1[[#This Row],[Std Adj Read]]&lt;=Table1[[#This Row],[High Tol]],"Pass","Fail"),IF(Table1[[#This Row],[DUT Adj Read]]&lt;=Table1[[#This Row],[High Tol]],"Pass","Fail")))</f>
        <v>Fail</v>
      </c>
      <c r="AH19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5" s="1" t="b">
        <v>0</v>
      </c>
      <c r="AN1935" s="1" t="b">
        <v>0</v>
      </c>
      <c r="AO1935" s="1" t="b">
        <v>0</v>
      </c>
    </row>
    <row r="1936" spans="1:41" x14ac:dyDescent="0.25">
      <c r="A1936" s="10"/>
      <c r="B1936" s="10"/>
      <c r="C1936" s="10"/>
      <c r="D1936" s="10"/>
      <c r="E1936" s="10"/>
      <c r="F1936" s="10"/>
      <c r="G1936" s="10"/>
      <c r="H1936" s="10"/>
      <c r="I1936" s="1" t="str">
        <f t="shared" si="90"/>
        <v/>
      </c>
      <c r="J1936" s="1" t="s">
        <v>35</v>
      </c>
      <c r="K1936" s="1" t="str">
        <f t="shared" si="91"/>
        <v/>
      </c>
      <c r="L1936" s="1" t="str">
        <f t="shared" si="92"/>
        <v/>
      </c>
      <c r="M1936" s="1">
        <f>IF(OR(Table1[[#This Row],[Std Nom]]="",Table1[[#This Row],[Std Read]]=""),0,Table1[[#This Row],[Std Nom]]-Table1[[#This Row],[Std Read]])</f>
        <v>0</v>
      </c>
      <c r="N1936" s="1">
        <f>IF(Calculations!$F$5="ACCREDITED 17025 WITH UNCERTAINTIES",$N$10,0)</f>
        <v>0</v>
      </c>
      <c r="O1936" s="1" t="str">
        <f>IFERROR(Table1[[#This Row],[Std Nom]]-(_xlfn.XLOOKUP(Table1[[#This Row],[Manufacturer]]&amp;" "&amp;Table1[[#This Row],[Model]],Table13[MFR &amp; MDL],Table13[Tolerance % CW ],"")/100*Table1[[#This Row],[Std Nom]]),"")</f>
        <v/>
      </c>
      <c r="P1936" s="1" t="str">
        <f>IFERROR(Table1[[#This Row],[Std Nom]]+(_xlfn.XLOOKUP(Table1[[#This Row],[Manufacturer]]&amp;" "&amp;Table1[[#This Row],[Model]],Table13[MFR &amp; MDL],Table13[Tolerance % CW ],"")/100*Table1[[#This Row],[Std Nom]]),"")</f>
        <v/>
      </c>
      <c r="Q1936" s="1" t="e">
        <f>Table1[[#This Row],[High Tol]]-Table1[[#This Row],[Low Tol]]</f>
        <v>#VALUE!</v>
      </c>
      <c r="R1936" s="1">
        <f>2*Table1[[#This Row],[Std Error]]</f>
        <v>0</v>
      </c>
      <c r="S1936" s="1" t="str">
        <f>IF(Table1[[#This Row],[High Tol]]="","N/A",IFERROR(ABS(Table1[[#This Row],[Tol Span]]/Table1[[#This Row],[Error Span]]),"N/A"))</f>
        <v>N/A</v>
      </c>
      <c r="T1936" s="1" t="str">
        <f>IF(OR(Table1[[#This Row],[Low Tol]]="",Table1[[#This Row],[High Tol]]=""),"Needs Analysis",IF(Table1[[#This Row],[Ratio]]&gt;=4,"Not Significant",IF(Table1[[#This Row],[Ratio]]&gt;=2,"Semi-Significant","Significant")))</f>
        <v>Needs Analysis</v>
      </c>
      <c r="W1936" s="1">
        <f>IF(Table1[[#This Row],[Cal Type]]&lt;&gt;"ACCREDITED 17025 WITH UNCERTAINTIES",0,"")</f>
        <v>0</v>
      </c>
      <c r="X1936" s="1" t="str">
        <f>IF(Table1[[#This Row],[DUT Read]]="","N/A",Table1[[#This Row],[Std Error]]+Table1[[#This Row],[DUT Read]]+Table1[[#This Row],[DUT Ucty]])</f>
        <v>N/A</v>
      </c>
      <c r="Y1936" s="1" t="str">
        <f>IF(Table1[[#This Row],[Std Read]]="","N/A",Table1[[#This Row],[Std Read]]+Table1[[#This Row],[Std Ucty]])</f>
        <v>N/A</v>
      </c>
      <c r="Z19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6" s="1" t="str">
        <f>IF(Table1[[#This Row],[Spec Type]]="","N/A",Table1[[#This Row],[Spec Type]])</f>
        <v>±</v>
      </c>
      <c r="AC1936" s="1" t="str">
        <f>IF(Table1[[#This Row],[Spec Type2]]="N/A","N/A",IF(AND(Table1[[#This Row],[DUT Adj Read]]&gt;=Table1[[#This Row],[Low Tol]],Table1[[#This Row],[DUT Adj Read]]&lt;=Table1[[#This Row],[High Tol]]),"Pass","Fail"))</f>
        <v>Fail</v>
      </c>
      <c r="AD1936" s="1" t="str">
        <f>IF(AND(Table1[[#This Row],[Spec Type2]]="N/A",Table1[[#This Row],[DUT Adj Read]]="N/A",Table1[[#This Row],[Std Adj Read]]="N/A"),"N/A",IF(Table1[[#This Row],[DUT Adj Read]]="N/A",IF(Table1[[#This Row],[Std Adj Read]]&gt;Table1[[#This Row],[Low Tol]],"Pass","Fail"),IF(Table1[[#This Row],[DUT Adj Read]]&gt;Table1[[#This Row],[Low Tol]],"Pass","Fail")))</f>
        <v>Pass</v>
      </c>
      <c r="AE1936" s="1" t="str">
        <f>IF(AND(Table1[[#This Row],[Spec Type2]]="N/A",Table1[[#This Row],[DUT Adj Read]]="N/A",Table1[[#This Row],[Std Adj Read]]="N/A"),"N/A",IF(Table1[[#This Row],[DUT Adj Read]]="N/A",IF(Table1[[#This Row],[Std Adj Read]]&lt;Table1[[#This Row],[High Tol]],"Pass","Fail"),IF(Table1[[#This Row],[DUT Adj Read]]&lt;Table1[[#This Row],[High Tol]],"Pass","Fail")))</f>
        <v>Fail</v>
      </c>
      <c r="AF1936" s="1" t="str">
        <f>IF(AND(Table1[[#This Row],[Spec Type2]]="N/A",Table1[[#This Row],[DUT Adj Read]]="N/A",Table1[[#This Row],[Std Adj Read]]="N/A"),"N/A",IF(Table1[[#This Row],[DUT Adj Read]]="N/A",IF(Table1[[#This Row],[Std Adj Read]]&gt;=Table1[[#This Row],[Low Tol]],"Pass","Fail"),IF(Table1[[#This Row],[DUT Adj Read]]&gt;=Table1[[#This Row],[Low Tol]],"Pass","Fail")))</f>
        <v>Pass</v>
      </c>
      <c r="AG1936" s="1" t="str">
        <f>IF(AND(Table1[[#This Row],[Spec Type2]]="N/A",Table1[[#This Row],[DUT Adj Read]]="N/A",Table1[[#This Row],[Std Adj Read]]="N/A"),"N/A",IF(Table1[[#This Row],[DUT Adj Read]]="N/A",IF(Table1[[#This Row],[Std Adj Read]]&lt;=Table1[[#This Row],[High Tol]],"Pass","Fail"),IF(Table1[[#This Row],[DUT Adj Read]]&lt;=Table1[[#This Row],[High Tol]],"Pass","Fail")))</f>
        <v>Fail</v>
      </c>
      <c r="AH19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6" s="1" t="b">
        <v>0</v>
      </c>
      <c r="AN1936" s="1" t="b">
        <v>0</v>
      </c>
      <c r="AO1936" s="1" t="b">
        <v>0</v>
      </c>
    </row>
    <row r="1937" spans="1:41" x14ac:dyDescent="0.25">
      <c r="A1937" s="10"/>
      <c r="B1937" s="10"/>
      <c r="C1937" s="10"/>
      <c r="D1937" s="10"/>
      <c r="E1937" s="10"/>
      <c r="F1937" s="10"/>
      <c r="G1937" s="10"/>
      <c r="H1937" s="10"/>
      <c r="I1937" s="1" t="str">
        <f t="shared" si="90"/>
        <v/>
      </c>
      <c r="J1937" s="1" t="s">
        <v>35</v>
      </c>
      <c r="K1937" s="1" t="str">
        <f t="shared" si="91"/>
        <v/>
      </c>
      <c r="L1937" s="1" t="str">
        <f t="shared" si="92"/>
        <v/>
      </c>
      <c r="M1937" s="1">
        <f>IF(OR(Table1[[#This Row],[Std Nom]]="",Table1[[#This Row],[Std Read]]=""),0,Table1[[#This Row],[Std Nom]]-Table1[[#This Row],[Std Read]])</f>
        <v>0</v>
      </c>
      <c r="N1937" s="1">
        <f>IF(Calculations!$F$5="ACCREDITED 17025 WITH UNCERTAINTIES",$N$10,0)</f>
        <v>0</v>
      </c>
      <c r="O1937" s="1" t="str">
        <f>IFERROR(Table1[[#This Row],[Std Nom]]-(_xlfn.XLOOKUP(Table1[[#This Row],[Manufacturer]]&amp;" "&amp;Table1[[#This Row],[Model]],Table13[MFR &amp; MDL],Table13[Tolerance % CW ],"")/100*Table1[[#This Row],[Std Nom]]),"")</f>
        <v/>
      </c>
      <c r="P1937" s="1" t="str">
        <f>IFERROR(Table1[[#This Row],[Std Nom]]+(_xlfn.XLOOKUP(Table1[[#This Row],[Manufacturer]]&amp;" "&amp;Table1[[#This Row],[Model]],Table13[MFR &amp; MDL],Table13[Tolerance % CW ],"")/100*Table1[[#This Row],[Std Nom]]),"")</f>
        <v/>
      </c>
      <c r="Q1937" s="1" t="e">
        <f>Table1[[#This Row],[High Tol]]-Table1[[#This Row],[Low Tol]]</f>
        <v>#VALUE!</v>
      </c>
      <c r="R1937" s="1">
        <f>2*Table1[[#This Row],[Std Error]]</f>
        <v>0</v>
      </c>
      <c r="S1937" s="1" t="str">
        <f>IF(Table1[[#This Row],[High Tol]]="","N/A",IFERROR(ABS(Table1[[#This Row],[Tol Span]]/Table1[[#This Row],[Error Span]]),"N/A"))</f>
        <v>N/A</v>
      </c>
      <c r="T1937" s="1" t="str">
        <f>IF(OR(Table1[[#This Row],[Low Tol]]="",Table1[[#This Row],[High Tol]]=""),"Needs Analysis",IF(Table1[[#This Row],[Ratio]]&gt;=4,"Not Significant",IF(Table1[[#This Row],[Ratio]]&gt;=2,"Semi-Significant","Significant")))</f>
        <v>Needs Analysis</v>
      </c>
      <c r="W1937" s="1">
        <f>IF(Table1[[#This Row],[Cal Type]]&lt;&gt;"ACCREDITED 17025 WITH UNCERTAINTIES",0,"")</f>
        <v>0</v>
      </c>
      <c r="X1937" s="1" t="str">
        <f>IF(Table1[[#This Row],[DUT Read]]="","N/A",Table1[[#This Row],[Std Error]]+Table1[[#This Row],[DUT Read]]+Table1[[#This Row],[DUT Ucty]])</f>
        <v>N/A</v>
      </c>
      <c r="Y1937" s="1" t="str">
        <f>IF(Table1[[#This Row],[Std Read]]="","N/A",Table1[[#This Row],[Std Read]]+Table1[[#This Row],[Std Ucty]])</f>
        <v>N/A</v>
      </c>
      <c r="Z19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7" s="1" t="str">
        <f>IF(Table1[[#This Row],[Spec Type]]="","N/A",Table1[[#This Row],[Spec Type]])</f>
        <v>±</v>
      </c>
      <c r="AC1937" s="1" t="str">
        <f>IF(Table1[[#This Row],[Spec Type2]]="N/A","N/A",IF(AND(Table1[[#This Row],[DUT Adj Read]]&gt;=Table1[[#This Row],[Low Tol]],Table1[[#This Row],[DUT Adj Read]]&lt;=Table1[[#This Row],[High Tol]]),"Pass","Fail"))</f>
        <v>Fail</v>
      </c>
      <c r="AD1937" s="1" t="str">
        <f>IF(AND(Table1[[#This Row],[Spec Type2]]="N/A",Table1[[#This Row],[DUT Adj Read]]="N/A",Table1[[#This Row],[Std Adj Read]]="N/A"),"N/A",IF(Table1[[#This Row],[DUT Adj Read]]="N/A",IF(Table1[[#This Row],[Std Adj Read]]&gt;Table1[[#This Row],[Low Tol]],"Pass","Fail"),IF(Table1[[#This Row],[DUT Adj Read]]&gt;Table1[[#This Row],[Low Tol]],"Pass","Fail")))</f>
        <v>Pass</v>
      </c>
      <c r="AE1937" s="1" t="str">
        <f>IF(AND(Table1[[#This Row],[Spec Type2]]="N/A",Table1[[#This Row],[DUT Adj Read]]="N/A",Table1[[#This Row],[Std Adj Read]]="N/A"),"N/A",IF(Table1[[#This Row],[DUT Adj Read]]="N/A",IF(Table1[[#This Row],[Std Adj Read]]&lt;Table1[[#This Row],[High Tol]],"Pass","Fail"),IF(Table1[[#This Row],[DUT Adj Read]]&lt;Table1[[#This Row],[High Tol]],"Pass","Fail")))</f>
        <v>Fail</v>
      </c>
      <c r="AF1937" s="1" t="str">
        <f>IF(AND(Table1[[#This Row],[Spec Type2]]="N/A",Table1[[#This Row],[DUT Adj Read]]="N/A",Table1[[#This Row],[Std Adj Read]]="N/A"),"N/A",IF(Table1[[#This Row],[DUT Adj Read]]="N/A",IF(Table1[[#This Row],[Std Adj Read]]&gt;=Table1[[#This Row],[Low Tol]],"Pass","Fail"),IF(Table1[[#This Row],[DUT Adj Read]]&gt;=Table1[[#This Row],[Low Tol]],"Pass","Fail")))</f>
        <v>Pass</v>
      </c>
      <c r="AG1937" s="1" t="str">
        <f>IF(AND(Table1[[#This Row],[Spec Type2]]="N/A",Table1[[#This Row],[DUT Adj Read]]="N/A",Table1[[#This Row],[Std Adj Read]]="N/A"),"N/A",IF(Table1[[#This Row],[DUT Adj Read]]="N/A",IF(Table1[[#This Row],[Std Adj Read]]&lt;=Table1[[#This Row],[High Tol]],"Pass","Fail"),IF(Table1[[#This Row],[DUT Adj Read]]&lt;=Table1[[#This Row],[High Tol]],"Pass","Fail")))</f>
        <v>Fail</v>
      </c>
      <c r="AH19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7" s="1" t="b">
        <v>0</v>
      </c>
      <c r="AN1937" s="1" t="b">
        <v>0</v>
      </c>
      <c r="AO1937" s="1" t="b">
        <v>0</v>
      </c>
    </row>
    <row r="1938" spans="1:41" x14ac:dyDescent="0.25">
      <c r="A1938" s="10"/>
      <c r="B1938" s="10"/>
      <c r="C1938" s="10"/>
      <c r="D1938" s="10"/>
      <c r="E1938" s="10"/>
      <c r="F1938" s="10"/>
      <c r="G1938" s="10"/>
      <c r="H1938" s="10"/>
      <c r="I1938" s="1" t="str">
        <f t="shared" si="90"/>
        <v/>
      </c>
      <c r="J1938" s="1" t="s">
        <v>35</v>
      </c>
      <c r="K1938" s="1" t="str">
        <f t="shared" si="91"/>
        <v/>
      </c>
      <c r="L1938" s="1" t="str">
        <f t="shared" si="92"/>
        <v/>
      </c>
      <c r="M1938" s="1">
        <f>IF(OR(Table1[[#This Row],[Std Nom]]="",Table1[[#This Row],[Std Read]]=""),0,Table1[[#This Row],[Std Nom]]-Table1[[#This Row],[Std Read]])</f>
        <v>0</v>
      </c>
      <c r="N1938" s="1">
        <f>IF(Calculations!$F$5="ACCREDITED 17025 WITH UNCERTAINTIES",$N$10,0)</f>
        <v>0</v>
      </c>
      <c r="O1938" s="1" t="str">
        <f>IFERROR(Table1[[#This Row],[Std Nom]]-(_xlfn.XLOOKUP(Table1[[#This Row],[Manufacturer]]&amp;" "&amp;Table1[[#This Row],[Model]],Table13[MFR &amp; MDL],Table13[Tolerance % CW ],"")/100*Table1[[#This Row],[Std Nom]]),"")</f>
        <v/>
      </c>
      <c r="P1938" s="1" t="str">
        <f>IFERROR(Table1[[#This Row],[Std Nom]]+(_xlfn.XLOOKUP(Table1[[#This Row],[Manufacturer]]&amp;" "&amp;Table1[[#This Row],[Model]],Table13[MFR &amp; MDL],Table13[Tolerance % CW ],"")/100*Table1[[#This Row],[Std Nom]]),"")</f>
        <v/>
      </c>
      <c r="Q1938" s="1" t="e">
        <f>Table1[[#This Row],[High Tol]]-Table1[[#This Row],[Low Tol]]</f>
        <v>#VALUE!</v>
      </c>
      <c r="R1938" s="1">
        <f>2*Table1[[#This Row],[Std Error]]</f>
        <v>0</v>
      </c>
      <c r="S1938" s="1" t="str">
        <f>IF(Table1[[#This Row],[High Tol]]="","N/A",IFERROR(ABS(Table1[[#This Row],[Tol Span]]/Table1[[#This Row],[Error Span]]),"N/A"))</f>
        <v>N/A</v>
      </c>
      <c r="T1938" s="1" t="str">
        <f>IF(OR(Table1[[#This Row],[Low Tol]]="",Table1[[#This Row],[High Tol]]=""),"Needs Analysis",IF(Table1[[#This Row],[Ratio]]&gt;=4,"Not Significant",IF(Table1[[#This Row],[Ratio]]&gt;=2,"Semi-Significant","Significant")))</f>
        <v>Needs Analysis</v>
      </c>
      <c r="W1938" s="1">
        <f>IF(Table1[[#This Row],[Cal Type]]&lt;&gt;"ACCREDITED 17025 WITH UNCERTAINTIES",0,"")</f>
        <v>0</v>
      </c>
      <c r="X1938" s="1" t="str">
        <f>IF(Table1[[#This Row],[DUT Read]]="","N/A",Table1[[#This Row],[Std Error]]+Table1[[#This Row],[DUT Read]]+Table1[[#This Row],[DUT Ucty]])</f>
        <v>N/A</v>
      </c>
      <c r="Y1938" s="1" t="str">
        <f>IF(Table1[[#This Row],[Std Read]]="","N/A",Table1[[#This Row],[Std Read]]+Table1[[#This Row],[Std Ucty]])</f>
        <v>N/A</v>
      </c>
      <c r="Z19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8" s="1" t="str">
        <f>IF(Table1[[#This Row],[Spec Type]]="","N/A",Table1[[#This Row],[Spec Type]])</f>
        <v>±</v>
      </c>
      <c r="AC1938" s="1" t="str">
        <f>IF(Table1[[#This Row],[Spec Type2]]="N/A","N/A",IF(AND(Table1[[#This Row],[DUT Adj Read]]&gt;=Table1[[#This Row],[Low Tol]],Table1[[#This Row],[DUT Adj Read]]&lt;=Table1[[#This Row],[High Tol]]),"Pass","Fail"))</f>
        <v>Fail</v>
      </c>
      <c r="AD1938" s="1" t="str">
        <f>IF(AND(Table1[[#This Row],[Spec Type2]]="N/A",Table1[[#This Row],[DUT Adj Read]]="N/A",Table1[[#This Row],[Std Adj Read]]="N/A"),"N/A",IF(Table1[[#This Row],[DUT Adj Read]]="N/A",IF(Table1[[#This Row],[Std Adj Read]]&gt;Table1[[#This Row],[Low Tol]],"Pass","Fail"),IF(Table1[[#This Row],[DUT Adj Read]]&gt;Table1[[#This Row],[Low Tol]],"Pass","Fail")))</f>
        <v>Pass</v>
      </c>
      <c r="AE1938" s="1" t="str">
        <f>IF(AND(Table1[[#This Row],[Spec Type2]]="N/A",Table1[[#This Row],[DUT Adj Read]]="N/A",Table1[[#This Row],[Std Adj Read]]="N/A"),"N/A",IF(Table1[[#This Row],[DUT Adj Read]]="N/A",IF(Table1[[#This Row],[Std Adj Read]]&lt;Table1[[#This Row],[High Tol]],"Pass","Fail"),IF(Table1[[#This Row],[DUT Adj Read]]&lt;Table1[[#This Row],[High Tol]],"Pass","Fail")))</f>
        <v>Fail</v>
      </c>
      <c r="AF1938" s="1" t="str">
        <f>IF(AND(Table1[[#This Row],[Spec Type2]]="N/A",Table1[[#This Row],[DUT Adj Read]]="N/A",Table1[[#This Row],[Std Adj Read]]="N/A"),"N/A",IF(Table1[[#This Row],[DUT Adj Read]]="N/A",IF(Table1[[#This Row],[Std Adj Read]]&gt;=Table1[[#This Row],[Low Tol]],"Pass","Fail"),IF(Table1[[#This Row],[DUT Adj Read]]&gt;=Table1[[#This Row],[Low Tol]],"Pass","Fail")))</f>
        <v>Pass</v>
      </c>
      <c r="AG1938" s="1" t="str">
        <f>IF(AND(Table1[[#This Row],[Spec Type2]]="N/A",Table1[[#This Row],[DUT Adj Read]]="N/A",Table1[[#This Row],[Std Adj Read]]="N/A"),"N/A",IF(Table1[[#This Row],[DUT Adj Read]]="N/A",IF(Table1[[#This Row],[Std Adj Read]]&lt;=Table1[[#This Row],[High Tol]],"Pass","Fail"),IF(Table1[[#This Row],[DUT Adj Read]]&lt;=Table1[[#This Row],[High Tol]],"Pass","Fail")))</f>
        <v>Fail</v>
      </c>
      <c r="AH19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8" s="1" t="b">
        <v>0</v>
      </c>
      <c r="AN1938" s="1" t="b">
        <v>0</v>
      </c>
      <c r="AO1938" s="1" t="b">
        <v>0</v>
      </c>
    </row>
    <row r="1939" spans="1:41" x14ac:dyDescent="0.25">
      <c r="A1939" s="10"/>
      <c r="B1939" s="10"/>
      <c r="C1939" s="10"/>
      <c r="D1939" s="10"/>
      <c r="E1939" s="10"/>
      <c r="F1939" s="10"/>
      <c r="G1939" s="10"/>
      <c r="H1939" s="10"/>
      <c r="I1939" s="1" t="str">
        <f t="shared" si="90"/>
        <v/>
      </c>
      <c r="J1939" s="1" t="s">
        <v>35</v>
      </c>
      <c r="K1939" s="1" t="str">
        <f t="shared" si="91"/>
        <v/>
      </c>
      <c r="L1939" s="1" t="str">
        <f t="shared" si="92"/>
        <v/>
      </c>
      <c r="M1939" s="1">
        <f>IF(OR(Table1[[#This Row],[Std Nom]]="",Table1[[#This Row],[Std Read]]=""),0,Table1[[#This Row],[Std Nom]]-Table1[[#This Row],[Std Read]])</f>
        <v>0</v>
      </c>
      <c r="N1939" s="1">
        <f>IF(Calculations!$F$5="ACCREDITED 17025 WITH UNCERTAINTIES",$N$10,0)</f>
        <v>0</v>
      </c>
      <c r="O1939" s="1" t="str">
        <f>IFERROR(Table1[[#This Row],[Std Nom]]-(_xlfn.XLOOKUP(Table1[[#This Row],[Manufacturer]]&amp;" "&amp;Table1[[#This Row],[Model]],Table13[MFR &amp; MDL],Table13[Tolerance % CW ],"")/100*Table1[[#This Row],[Std Nom]]),"")</f>
        <v/>
      </c>
      <c r="P1939" s="1" t="str">
        <f>IFERROR(Table1[[#This Row],[Std Nom]]+(_xlfn.XLOOKUP(Table1[[#This Row],[Manufacturer]]&amp;" "&amp;Table1[[#This Row],[Model]],Table13[MFR &amp; MDL],Table13[Tolerance % CW ],"")/100*Table1[[#This Row],[Std Nom]]),"")</f>
        <v/>
      </c>
      <c r="Q1939" s="1" t="e">
        <f>Table1[[#This Row],[High Tol]]-Table1[[#This Row],[Low Tol]]</f>
        <v>#VALUE!</v>
      </c>
      <c r="R1939" s="1">
        <f>2*Table1[[#This Row],[Std Error]]</f>
        <v>0</v>
      </c>
      <c r="S1939" s="1" t="str">
        <f>IF(Table1[[#This Row],[High Tol]]="","N/A",IFERROR(ABS(Table1[[#This Row],[Tol Span]]/Table1[[#This Row],[Error Span]]),"N/A"))</f>
        <v>N/A</v>
      </c>
      <c r="T1939" s="1" t="str">
        <f>IF(OR(Table1[[#This Row],[Low Tol]]="",Table1[[#This Row],[High Tol]]=""),"Needs Analysis",IF(Table1[[#This Row],[Ratio]]&gt;=4,"Not Significant",IF(Table1[[#This Row],[Ratio]]&gt;=2,"Semi-Significant","Significant")))</f>
        <v>Needs Analysis</v>
      </c>
      <c r="W1939" s="1">
        <f>IF(Table1[[#This Row],[Cal Type]]&lt;&gt;"ACCREDITED 17025 WITH UNCERTAINTIES",0,"")</f>
        <v>0</v>
      </c>
      <c r="X1939" s="1" t="str">
        <f>IF(Table1[[#This Row],[DUT Read]]="","N/A",Table1[[#This Row],[Std Error]]+Table1[[#This Row],[DUT Read]]+Table1[[#This Row],[DUT Ucty]])</f>
        <v>N/A</v>
      </c>
      <c r="Y1939" s="1" t="str">
        <f>IF(Table1[[#This Row],[Std Read]]="","N/A",Table1[[#This Row],[Std Read]]+Table1[[#This Row],[Std Ucty]])</f>
        <v>N/A</v>
      </c>
      <c r="Z19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9" s="1" t="str">
        <f>IF(Table1[[#This Row],[Spec Type]]="","N/A",Table1[[#This Row],[Spec Type]])</f>
        <v>±</v>
      </c>
      <c r="AC1939" s="1" t="str">
        <f>IF(Table1[[#This Row],[Spec Type2]]="N/A","N/A",IF(AND(Table1[[#This Row],[DUT Adj Read]]&gt;=Table1[[#This Row],[Low Tol]],Table1[[#This Row],[DUT Adj Read]]&lt;=Table1[[#This Row],[High Tol]]),"Pass","Fail"))</f>
        <v>Fail</v>
      </c>
      <c r="AD1939" s="1" t="str">
        <f>IF(AND(Table1[[#This Row],[Spec Type2]]="N/A",Table1[[#This Row],[DUT Adj Read]]="N/A",Table1[[#This Row],[Std Adj Read]]="N/A"),"N/A",IF(Table1[[#This Row],[DUT Adj Read]]="N/A",IF(Table1[[#This Row],[Std Adj Read]]&gt;Table1[[#This Row],[Low Tol]],"Pass","Fail"),IF(Table1[[#This Row],[DUT Adj Read]]&gt;Table1[[#This Row],[Low Tol]],"Pass","Fail")))</f>
        <v>Pass</v>
      </c>
      <c r="AE1939" s="1" t="str">
        <f>IF(AND(Table1[[#This Row],[Spec Type2]]="N/A",Table1[[#This Row],[DUT Adj Read]]="N/A",Table1[[#This Row],[Std Adj Read]]="N/A"),"N/A",IF(Table1[[#This Row],[DUT Adj Read]]="N/A",IF(Table1[[#This Row],[Std Adj Read]]&lt;Table1[[#This Row],[High Tol]],"Pass","Fail"),IF(Table1[[#This Row],[DUT Adj Read]]&lt;Table1[[#This Row],[High Tol]],"Pass","Fail")))</f>
        <v>Fail</v>
      </c>
      <c r="AF1939" s="1" t="str">
        <f>IF(AND(Table1[[#This Row],[Spec Type2]]="N/A",Table1[[#This Row],[DUT Adj Read]]="N/A",Table1[[#This Row],[Std Adj Read]]="N/A"),"N/A",IF(Table1[[#This Row],[DUT Adj Read]]="N/A",IF(Table1[[#This Row],[Std Adj Read]]&gt;=Table1[[#This Row],[Low Tol]],"Pass","Fail"),IF(Table1[[#This Row],[DUT Adj Read]]&gt;=Table1[[#This Row],[Low Tol]],"Pass","Fail")))</f>
        <v>Pass</v>
      </c>
      <c r="AG1939" s="1" t="str">
        <f>IF(AND(Table1[[#This Row],[Spec Type2]]="N/A",Table1[[#This Row],[DUT Adj Read]]="N/A",Table1[[#This Row],[Std Adj Read]]="N/A"),"N/A",IF(Table1[[#This Row],[DUT Adj Read]]="N/A",IF(Table1[[#This Row],[Std Adj Read]]&lt;=Table1[[#This Row],[High Tol]],"Pass","Fail"),IF(Table1[[#This Row],[DUT Adj Read]]&lt;=Table1[[#This Row],[High Tol]],"Pass","Fail")))</f>
        <v>Fail</v>
      </c>
      <c r="AH19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9" s="1" t="b">
        <v>0</v>
      </c>
      <c r="AN1939" s="1" t="b">
        <v>0</v>
      </c>
      <c r="AO1939" s="1" t="b">
        <v>0</v>
      </c>
    </row>
    <row r="1940" spans="1:41" x14ac:dyDescent="0.25">
      <c r="A1940" s="10"/>
      <c r="B1940" s="10"/>
      <c r="C1940" s="10"/>
      <c r="D1940" s="10"/>
      <c r="E1940" s="10"/>
      <c r="F1940" s="10"/>
      <c r="G1940" s="10"/>
      <c r="H1940" s="10"/>
      <c r="I1940" s="1" t="str">
        <f t="shared" si="90"/>
        <v/>
      </c>
      <c r="J1940" s="1" t="s">
        <v>35</v>
      </c>
      <c r="K1940" s="1" t="str">
        <f t="shared" si="91"/>
        <v/>
      </c>
      <c r="L1940" s="1" t="str">
        <f t="shared" si="92"/>
        <v/>
      </c>
      <c r="M1940" s="1">
        <f>IF(OR(Table1[[#This Row],[Std Nom]]="",Table1[[#This Row],[Std Read]]=""),0,Table1[[#This Row],[Std Nom]]-Table1[[#This Row],[Std Read]])</f>
        <v>0</v>
      </c>
      <c r="N1940" s="1">
        <f>IF(Calculations!$F$5="ACCREDITED 17025 WITH UNCERTAINTIES",$N$10,0)</f>
        <v>0</v>
      </c>
      <c r="O1940" s="1" t="str">
        <f>IFERROR(Table1[[#This Row],[Std Nom]]-(_xlfn.XLOOKUP(Table1[[#This Row],[Manufacturer]]&amp;" "&amp;Table1[[#This Row],[Model]],Table13[MFR &amp; MDL],Table13[Tolerance % CW ],"")/100*Table1[[#This Row],[Std Nom]]),"")</f>
        <v/>
      </c>
      <c r="P1940" s="1" t="str">
        <f>IFERROR(Table1[[#This Row],[Std Nom]]+(_xlfn.XLOOKUP(Table1[[#This Row],[Manufacturer]]&amp;" "&amp;Table1[[#This Row],[Model]],Table13[MFR &amp; MDL],Table13[Tolerance % CW ],"")/100*Table1[[#This Row],[Std Nom]]),"")</f>
        <v/>
      </c>
      <c r="Q1940" s="1" t="e">
        <f>Table1[[#This Row],[High Tol]]-Table1[[#This Row],[Low Tol]]</f>
        <v>#VALUE!</v>
      </c>
      <c r="R1940" s="1">
        <f>2*Table1[[#This Row],[Std Error]]</f>
        <v>0</v>
      </c>
      <c r="S1940" s="1" t="str">
        <f>IF(Table1[[#This Row],[High Tol]]="","N/A",IFERROR(ABS(Table1[[#This Row],[Tol Span]]/Table1[[#This Row],[Error Span]]),"N/A"))</f>
        <v>N/A</v>
      </c>
      <c r="T1940" s="1" t="str">
        <f>IF(OR(Table1[[#This Row],[Low Tol]]="",Table1[[#This Row],[High Tol]]=""),"Needs Analysis",IF(Table1[[#This Row],[Ratio]]&gt;=4,"Not Significant",IF(Table1[[#This Row],[Ratio]]&gt;=2,"Semi-Significant","Significant")))</f>
        <v>Needs Analysis</v>
      </c>
      <c r="W1940" s="1">
        <f>IF(Table1[[#This Row],[Cal Type]]&lt;&gt;"ACCREDITED 17025 WITH UNCERTAINTIES",0,"")</f>
        <v>0</v>
      </c>
      <c r="X1940" s="1" t="str">
        <f>IF(Table1[[#This Row],[DUT Read]]="","N/A",Table1[[#This Row],[Std Error]]+Table1[[#This Row],[DUT Read]]+Table1[[#This Row],[DUT Ucty]])</f>
        <v>N/A</v>
      </c>
      <c r="Y1940" s="1" t="str">
        <f>IF(Table1[[#This Row],[Std Read]]="","N/A",Table1[[#This Row],[Std Read]]+Table1[[#This Row],[Std Ucty]])</f>
        <v>N/A</v>
      </c>
      <c r="Z19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0" s="1" t="str">
        <f>IF(Table1[[#This Row],[Spec Type]]="","N/A",Table1[[#This Row],[Spec Type]])</f>
        <v>±</v>
      </c>
      <c r="AC1940" s="1" t="str">
        <f>IF(Table1[[#This Row],[Spec Type2]]="N/A","N/A",IF(AND(Table1[[#This Row],[DUT Adj Read]]&gt;=Table1[[#This Row],[Low Tol]],Table1[[#This Row],[DUT Adj Read]]&lt;=Table1[[#This Row],[High Tol]]),"Pass","Fail"))</f>
        <v>Fail</v>
      </c>
      <c r="AD1940" s="1" t="str">
        <f>IF(AND(Table1[[#This Row],[Spec Type2]]="N/A",Table1[[#This Row],[DUT Adj Read]]="N/A",Table1[[#This Row],[Std Adj Read]]="N/A"),"N/A",IF(Table1[[#This Row],[DUT Adj Read]]="N/A",IF(Table1[[#This Row],[Std Adj Read]]&gt;Table1[[#This Row],[Low Tol]],"Pass","Fail"),IF(Table1[[#This Row],[DUT Adj Read]]&gt;Table1[[#This Row],[Low Tol]],"Pass","Fail")))</f>
        <v>Pass</v>
      </c>
      <c r="AE1940" s="1" t="str">
        <f>IF(AND(Table1[[#This Row],[Spec Type2]]="N/A",Table1[[#This Row],[DUT Adj Read]]="N/A",Table1[[#This Row],[Std Adj Read]]="N/A"),"N/A",IF(Table1[[#This Row],[DUT Adj Read]]="N/A",IF(Table1[[#This Row],[Std Adj Read]]&lt;Table1[[#This Row],[High Tol]],"Pass","Fail"),IF(Table1[[#This Row],[DUT Adj Read]]&lt;Table1[[#This Row],[High Tol]],"Pass","Fail")))</f>
        <v>Fail</v>
      </c>
      <c r="AF1940" s="1" t="str">
        <f>IF(AND(Table1[[#This Row],[Spec Type2]]="N/A",Table1[[#This Row],[DUT Adj Read]]="N/A",Table1[[#This Row],[Std Adj Read]]="N/A"),"N/A",IF(Table1[[#This Row],[DUT Adj Read]]="N/A",IF(Table1[[#This Row],[Std Adj Read]]&gt;=Table1[[#This Row],[Low Tol]],"Pass","Fail"),IF(Table1[[#This Row],[DUT Adj Read]]&gt;=Table1[[#This Row],[Low Tol]],"Pass","Fail")))</f>
        <v>Pass</v>
      </c>
      <c r="AG1940" s="1" t="str">
        <f>IF(AND(Table1[[#This Row],[Spec Type2]]="N/A",Table1[[#This Row],[DUT Adj Read]]="N/A",Table1[[#This Row],[Std Adj Read]]="N/A"),"N/A",IF(Table1[[#This Row],[DUT Adj Read]]="N/A",IF(Table1[[#This Row],[Std Adj Read]]&lt;=Table1[[#This Row],[High Tol]],"Pass","Fail"),IF(Table1[[#This Row],[DUT Adj Read]]&lt;=Table1[[#This Row],[High Tol]],"Pass","Fail")))</f>
        <v>Fail</v>
      </c>
      <c r="AH19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0" s="1" t="b">
        <v>0</v>
      </c>
      <c r="AN1940" s="1" t="b">
        <v>0</v>
      </c>
      <c r="AO1940" s="1" t="b">
        <v>0</v>
      </c>
    </row>
    <row r="1941" spans="1:41" x14ac:dyDescent="0.25">
      <c r="A1941" s="10"/>
      <c r="B1941" s="10"/>
      <c r="C1941" s="10"/>
      <c r="D1941" s="10"/>
      <c r="E1941" s="10"/>
      <c r="F1941" s="10"/>
      <c r="G1941" s="10"/>
      <c r="H1941" s="10"/>
      <c r="I1941" s="1" t="str">
        <f t="shared" si="90"/>
        <v/>
      </c>
      <c r="J1941" s="1" t="s">
        <v>35</v>
      </c>
      <c r="K1941" s="1" t="str">
        <f t="shared" si="91"/>
        <v/>
      </c>
      <c r="L1941" s="1" t="str">
        <f t="shared" si="92"/>
        <v/>
      </c>
      <c r="M1941" s="1">
        <f>IF(OR(Table1[[#This Row],[Std Nom]]="",Table1[[#This Row],[Std Read]]=""),0,Table1[[#This Row],[Std Nom]]-Table1[[#This Row],[Std Read]])</f>
        <v>0</v>
      </c>
      <c r="N1941" s="1">
        <f>IF(Calculations!$F$5="ACCREDITED 17025 WITH UNCERTAINTIES",$N$10,0)</f>
        <v>0</v>
      </c>
      <c r="O1941" s="1" t="str">
        <f>IFERROR(Table1[[#This Row],[Std Nom]]-(_xlfn.XLOOKUP(Table1[[#This Row],[Manufacturer]]&amp;" "&amp;Table1[[#This Row],[Model]],Table13[MFR &amp; MDL],Table13[Tolerance % CW ],"")/100*Table1[[#This Row],[Std Nom]]),"")</f>
        <v/>
      </c>
      <c r="P1941" s="1" t="str">
        <f>IFERROR(Table1[[#This Row],[Std Nom]]+(_xlfn.XLOOKUP(Table1[[#This Row],[Manufacturer]]&amp;" "&amp;Table1[[#This Row],[Model]],Table13[MFR &amp; MDL],Table13[Tolerance % CW ],"")/100*Table1[[#This Row],[Std Nom]]),"")</f>
        <v/>
      </c>
      <c r="Q1941" s="1" t="e">
        <f>Table1[[#This Row],[High Tol]]-Table1[[#This Row],[Low Tol]]</f>
        <v>#VALUE!</v>
      </c>
      <c r="R1941" s="1">
        <f>2*Table1[[#This Row],[Std Error]]</f>
        <v>0</v>
      </c>
      <c r="S1941" s="1" t="str">
        <f>IF(Table1[[#This Row],[High Tol]]="","N/A",IFERROR(ABS(Table1[[#This Row],[Tol Span]]/Table1[[#This Row],[Error Span]]),"N/A"))</f>
        <v>N/A</v>
      </c>
      <c r="T1941" s="1" t="str">
        <f>IF(OR(Table1[[#This Row],[Low Tol]]="",Table1[[#This Row],[High Tol]]=""),"Needs Analysis",IF(Table1[[#This Row],[Ratio]]&gt;=4,"Not Significant",IF(Table1[[#This Row],[Ratio]]&gt;=2,"Semi-Significant","Significant")))</f>
        <v>Needs Analysis</v>
      </c>
      <c r="W1941" s="1">
        <f>IF(Table1[[#This Row],[Cal Type]]&lt;&gt;"ACCREDITED 17025 WITH UNCERTAINTIES",0,"")</f>
        <v>0</v>
      </c>
      <c r="X1941" s="1" t="str">
        <f>IF(Table1[[#This Row],[DUT Read]]="","N/A",Table1[[#This Row],[Std Error]]+Table1[[#This Row],[DUT Read]]+Table1[[#This Row],[DUT Ucty]])</f>
        <v>N/A</v>
      </c>
      <c r="Y1941" s="1" t="str">
        <f>IF(Table1[[#This Row],[Std Read]]="","N/A",Table1[[#This Row],[Std Read]]+Table1[[#This Row],[Std Ucty]])</f>
        <v>N/A</v>
      </c>
      <c r="Z19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1" s="1" t="str">
        <f>IF(Table1[[#This Row],[Spec Type]]="","N/A",Table1[[#This Row],[Spec Type]])</f>
        <v>±</v>
      </c>
      <c r="AC1941" s="1" t="str">
        <f>IF(Table1[[#This Row],[Spec Type2]]="N/A","N/A",IF(AND(Table1[[#This Row],[DUT Adj Read]]&gt;=Table1[[#This Row],[Low Tol]],Table1[[#This Row],[DUT Adj Read]]&lt;=Table1[[#This Row],[High Tol]]),"Pass","Fail"))</f>
        <v>Fail</v>
      </c>
      <c r="AD1941" s="1" t="str">
        <f>IF(AND(Table1[[#This Row],[Spec Type2]]="N/A",Table1[[#This Row],[DUT Adj Read]]="N/A",Table1[[#This Row],[Std Adj Read]]="N/A"),"N/A",IF(Table1[[#This Row],[DUT Adj Read]]="N/A",IF(Table1[[#This Row],[Std Adj Read]]&gt;Table1[[#This Row],[Low Tol]],"Pass","Fail"),IF(Table1[[#This Row],[DUT Adj Read]]&gt;Table1[[#This Row],[Low Tol]],"Pass","Fail")))</f>
        <v>Pass</v>
      </c>
      <c r="AE1941" s="1" t="str">
        <f>IF(AND(Table1[[#This Row],[Spec Type2]]="N/A",Table1[[#This Row],[DUT Adj Read]]="N/A",Table1[[#This Row],[Std Adj Read]]="N/A"),"N/A",IF(Table1[[#This Row],[DUT Adj Read]]="N/A",IF(Table1[[#This Row],[Std Adj Read]]&lt;Table1[[#This Row],[High Tol]],"Pass","Fail"),IF(Table1[[#This Row],[DUT Adj Read]]&lt;Table1[[#This Row],[High Tol]],"Pass","Fail")))</f>
        <v>Fail</v>
      </c>
      <c r="AF1941" s="1" t="str">
        <f>IF(AND(Table1[[#This Row],[Spec Type2]]="N/A",Table1[[#This Row],[DUT Adj Read]]="N/A",Table1[[#This Row],[Std Adj Read]]="N/A"),"N/A",IF(Table1[[#This Row],[DUT Adj Read]]="N/A",IF(Table1[[#This Row],[Std Adj Read]]&gt;=Table1[[#This Row],[Low Tol]],"Pass","Fail"),IF(Table1[[#This Row],[DUT Adj Read]]&gt;=Table1[[#This Row],[Low Tol]],"Pass","Fail")))</f>
        <v>Pass</v>
      </c>
      <c r="AG1941" s="1" t="str">
        <f>IF(AND(Table1[[#This Row],[Spec Type2]]="N/A",Table1[[#This Row],[DUT Adj Read]]="N/A",Table1[[#This Row],[Std Adj Read]]="N/A"),"N/A",IF(Table1[[#This Row],[DUT Adj Read]]="N/A",IF(Table1[[#This Row],[Std Adj Read]]&lt;=Table1[[#This Row],[High Tol]],"Pass","Fail"),IF(Table1[[#This Row],[DUT Adj Read]]&lt;=Table1[[#This Row],[High Tol]],"Pass","Fail")))</f>
        <v>Fail</v>
      </c>
      <c r="AH19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1" s="1" t="b">
        <v>0</v>
      </c>
      <c r="AN1941" s="1" t="b">
        <v>0</v>
      </c>
      <c r="AO1941" s="1" t="b">
        <v>0</v>
      </c>
    </row>
    <row r="1942" spans="1:41" x14ac:dyDescent="0.25">
      <c r="A1942" s="10"/>
      <c r="B1942" s="10"/>
      <c r="C1942" s="10"/>
      <c r="D1942" s="10"/>
      <c r="E1942" s="10"/>
      <c r="F1942" s="10"/>
      <c r="G1942" s="10"/>
      <c r="H1942" s="10"/>
      <c r="I1942" s="1" t="str">
        <f t="shared" si="90"/>
        <v/>
      </c>
      <c r="J1942" s="1" t="s">
        <v>35</v>
      </c>
      <c r="K1942" s="1" t="str">
        <f t="shared" si="91"/>
        <v/>
      </c>
      <c r="L1942" s="1" t="str">
        <f t="shared" si="92"/>
        <v/>
      </c>
      <c r="M1942" s="1">
        <f>IF(OR(Table1[[#This Row],[Std Nom]]="",Table1[[#This Row],[Std Read]]=""),0,Table1[[#This Row],[Std Nom]]-Table1[[#This Row],[Std Read]])</f>
        <v>0</v>
      </c>
      <c r="N1942" s="1">
        <f>IF(Calculations!$F$5="ACCREDITED 17025 WITH UNCERTAINTIES",$N$10,0)</f>
        <v>0</v>
      </c>
      <c r="O1942" s="1" t="str">
        <f>IFERROR(Table1[[#This Row],[Std Nom]]-(_xlfn.XLOOKUP(Table1[[#This Row],[Manufacturer]]&amp;" "&amp;Table1[[#This Row],[Model]],Table13[MFR &amp; MDL],Table13[Tolerance % CW ],"")/100*Table1[[#This Row],[Std Nom]]),"")</f>
        <v/>
      </c>
      <c r="P1942" s="1" t="str">
        <f>IFERROR(Table1[[#This Row],[Std Nom]]+(_xlfn.XLOOKUP(Table1[[#This Row],[Manufacturer]]&amp;" "&amp;Table1[[#This Row],[Model]],Table13[MFR &amp; MDL],Table13[Tolerance % CW ],"")/100*Table1[[#This Row],[Std Nom]]),"")</f>
        <v/>
      </c>
      <c r="Q1942" s="1" t="e">
        <f>Table1[[#This Row],[High Tol]]-Table1[[#This Row],[Low Tol]]</f>
        <v>#VALUE!</v>
      </c>
      <c r="R1942" s="1">
        <f>2*Table1[[#This Row],[Std Error]]</f>
        <v>0</v>
      </c>
      <c r="S1942" s="1" t="str">
        <f>IF(Table1[[#This Row],[High Tol]]="","N/A",IFERROR(ABS(Table1[[#This Row],[Tol Span]]/Table1[[#This Row],[Error Span]]),"N/A"))</f>
        <v>N/A</v>
      </c>
      <c r="T1942" s="1" t="str">
        <f>IF(OR(Table1[[#This Row],[Low Tol]]="",Table1[[#This Row],[High Tol]]=""),"Needs Analysis",IF(Table1[[#This Row],[Ratio]]&gt;=4,"Not Significant",IF(Table1[[#This Row],[Ratio]]&gt;=2,"Semi-Significant","Significant")))</f>
        <v>Needs Analysis</v>
      </c>
      <c r="W1942" s="1">
        <f>IF(Table1[[#This Row],[Cal Type]]&lt;&gt;"ACCREDITED 17025 WITH UNCERTAINTIES",0,"")</f>
        <v>0</v>
      </c>
      <c r="X1942" s="1" t="str">
        <f>IF(Table1[[#This Row],[DUT Read]]="","N/A",Table1[[#This Row],[Std Error]]+Table1[[#This Row],[DUT Read]]+Table1[[#This Row],[DUT Ucty]])</f>
        <v>N/A</v>
      </c>
      <c r="Y1942" s="1" t="str">
        <f>IF(Table1[[#This Row],[Std Read]]="","N/A",Table1[[#This Row],[Std Read]]+Table1[[#This Row],[Std Ucty]])</f>
        <v>N/A</v>
      </c>
      <c r="Z19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2" s="1" t="str">
        <f>IF(Table1[[#This Row],[Spec Type]]="","N/A",Table1[[#This Row],[Spec Type]])</f>
        <v>±</v>
      </c>
      <c r="AC1942" s="1" t="str">
        <f>IF(Table1[[#This Row],[Spec Type2]]="N/A","N/A",IF(AND(Table1[[#This Row],[DUT Adj Read]]&gt;=Table1[[#This Row],[Low Tol]],Table1[[#This Row],[DUT Adj Read]]&lt;=Table1[[#This Row],[High Tol]]),"Pass","Fail"))</f>
        <v>Fail</v>
      </c>
      <c r="AD1942" s="1" t="str">
        <f>IF(AND(Table1[[#This Row],[Spec Type2]]="N/A",Table1[[#This Row],[DUT Adj Read]]="N/A",Table1[[#This Row],[Std Adj Read]]="N/A"),"N/A",IF(Table1[[#This Row],[DUT Adj Read]]="N/A",IF(Table1[[#This Row],[Std Adj Read]]&gt;Table1[[#This Row],[Low Tol]],"Pass","Fail"),IF(Table1[[#This Row],[DUT Adj Read]]&gt;Table1[[#This Row],[Low Tol]],"Pass","Fail")))</f>
        <v>Pass</v>
      </c>
      <c r="AE1942" s="1" t="str">
        <f>IF(AND(Table1[[#This Row],[Spec Type2]]="N/A",Table1[[#This Row],[DUT Adj Read]]="N/A",Table1[[#This Row],[Std Adj Read]]="N/A"),"N/A",IF(Table1[[#This Row],[DUT Adj Read]]="N/A",IF(Table1[[#This Row],[Std Adj Read]]&lt;Table1[[#This Row],[High Tol]],"Pass","Fail"),IF(Table1[[#This Row],[DUT Adj Read]]&lt;Table1[[#This Row],[High Tol]],"Pass","Fail")))</f>
        <v>Fail</v>
      </c>
      <c r="AF1942" s="1" t="str">
        <f>IF(AND(Table1[[#This Row],[Spec Type2]]="N/A",Table1[[#This Row],[DUT Adj Read]]="N/A",Table1[[#This Row],[Std Adj Read]]="N/A"),"N/A",IF(Table1[[#This Row],[DUT Adj Read]]="N/A",IF(Table1[[#This Row],[Std Adj Read]]&gt;=Table1[[#This Row],[Low Tol]],"Pass","Fail"),IF(Table1[[#This Row],[DUT Adj Read]]&gt;=Table1[[#This Row],[Low Tol]],"Pass","Fail")))</f>
        <v>Pass</v>
      </c>
      <c r="AG1942" s="1" t="str">
        <f>IF(AND(Table1[[#This Row],[Spec Type2]]="N/A",Table1[[#This Row],[DUT Adj Read]]="N/A",Table1[[#This Row],[Std Adj Read]]="N/A"),"N/A",IF(Table1[[#This Row],[DUT Adj Read]]="N/A",IF(Table1[[#This Row],[Std Adj Read]]&lt;=Table1[[#This Row],[High Tol]],"Pass","Fail"),IF(Table1[[#This Row],[DUT Adj Read]]&lt;=Table1[[#This Row],[High Tol]],"Pass","Fail")))</f>
        <v>Fail</v>
      </c>
      <c r="AH19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2" s="1" t="b">
        <v>0</v>
      </c>
      <c r="AN1942" s="1" t="b">
        <v>0</v>
      </c>
      <c r="AO1942" s="1" t="b">
        <v>0</v>
      </c>
    </row>
    <row r="1943" spans="1:41" x14ac:dyDescent="0.25">
      <c r="A1943" s="10"/>
      <c r="B1943" s="10"/>
      <c r="C1943" s="10"/>
      <c r="D1943" s="10"/>
      <c r="E1943" s="10"/>
      <c r="F1943" s="10"/>
      <c r="G1943" s="10"/>
      <c r="H1943" s="10"/>
      <c r="I1943" s="1" t="str">
        <f t="shared" si="90"/>
        <v/>
      </c>
      <c r="J1943" s="1" t="s">
        <v>35</v>
      </c>
      <c r="K1943" s="1" t="str">
        <f t="shared" si="91"/>
        <v/>
      </c>
      <c r="L1943" s="1" t="str">
        <f t="shared" si="92"/>
        <v/>
      </c>
      <c r="M1943" s="1">
        <f>IF(OR(Table1[[#This Row],[Std Nom]]="",Table1[[#This Row],[Std Read]]=""),0,Table1[[#This Row],[Std Nom]]-Table1[[#This Row],[Std Read]])</f>
        <v>0</v>
      </c>
      <c r="N1943" s="1">
        <f>IF(Calculations!$F$5="ACCREDITED 17025 WITH UNCERTAINTIES",$N$10,0)</f>
        <v>0</v>
      </c>
      <c r="O1943" s="1" t="str">
        <f>IFERROR(Table1[[#This Row],[Std Nom]]-(_xlfn.XLOOKUP(Table1[[#This Row],[Manufacturer]]&amp;" "&amp;Table1[[#This Row],[Model]],Table13[MFR &amp; MDL],Table13[Tolerance % CW ],"")/100*Table1[[#This Row],[Std Nom]]),"")</f>
        <v/>
      </c>
      <c r="P1943" s="1" t="str">
        <f>IFERROR(Table1[[#This Row],[Std Nom]]+(_xlfn.XLOOKUP(Table1[[#This Row],[Manufacturer]]&amp;" "&amp;Table1[[#This Row],[Model]],Table13[MFR &amp; MDL],Table13[Tolerance % CW ],"")/100*Table1[[#This Row],[Std Nom]]),"")</f>
        <v/>
      </c>
      <c r="Q1943" s="1" t="e">
        <f>Table1[[#This Row],[High Tol]]-Table1[[#This Row],[Low Tol]]</f>
        <v>#VALUE!</v>
      </c>
      <c r="R1943" s="1">
        <f>2*Table1[[#This Row],[Std Error]]</f>
        <v>0</v>
      </c>
      <c r="S1943" s="1" t="str">
        <f>IF(Table1[[#This Row],[High Tol]]="","N/A",IFERROR(ABS(Table1[[#This Row],[Tol Span]]/Table1[[#This Row],[Error Span]]),"N/A"))</f>
        <v>N/A</v>
      </c>
      <c r="T1943" s="1" t="str">
        <f>IF(OR(Table1[[#This Row],[Low Tol]]="",Table1[[#This Row],[High Tol]]=""),"Needs Analysis",IF(Table1[[#This Row],[Ratio]]&gt;=4,"Not Significant",IF(Table1[[#This Row],[Ratio]]&gt;=2,"Semi-Significant","Significant")))</f>
        <v>Needs Analysis</v>
      </c>
      <c r="W1943" s="1">
        <f>IF(Table1[[#This Row],[Cal Type]]&lt;&gt;"ACCREDITED 17025 WITH UNCERTAINTIES",0,"")</f>
        <v>0</v>
      </c>
      <c r="X1943" s="1" t="str">
        <f>IF(Table1[[#This Row],[DUT Read]]="","N/A",Table1[[#This Row],[Std Error]]+Table1[[#This Row],[DUT Read]]+Table1[[#This Row],[DUT Ucty]])</f>
        <v>N/A</v>
      </c>
      <c r="Y1943" s="1" t="str">
        <f>IF(Table1[[#This Row],[Std Read]]="","N/A",Table1[[#This Row],[Std Read]]+Table1[[#This Row],[Std Ucty]])</f>
        <v>N/A</v>
      </c>
      <c r="Z19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3" s="1" t="str">
        <f>IF(Table1[[#This Row],[Spec Type]]="","N/A",Table1[[#This Row],[Spec Type]])</f>
        <v>±</v>
      </c>
      <c r="AC1943" s="1" t="str">
        <f>IF(Table1[[#This Row],[Spec Type2]]="N/A","N/A",IF(AND(Table1[[#This Row],[DUT Adj Read]]&gt;=Table1[[#This Row],[Low Tol]],Table1[[#This Row],[DUT Adj Read]]&lt;=Table1[[#This Row],[High Tol]]),"Pass","Fail"))</f>
        <v>Fail</v>
      </c>
      <c r="AD1943" s="1" t="str">
        <f>IF(AND(Table1[[#This Row],[Spec Type2]]="N/A",Table1[[#This Row],[DUT Adj Read]]="N/A",Table1[[#This Row],[Std Adj Read]]="N/A"),"N/A",IF(Table1[[#This Row],[DUT Adj Read]]="N/A",IF(Table1[[#This Row],[Std Adj Read]]&gt;Table1[[#This Row],[Low Tol]],"Pass","Fail"),IF(Table1[[#This Row],[DUT Adj Read]]&gt;Table1[[#This Row],[Low Tol]],"Pass","Fail")))</f>
        <v>Pass</v>
      </c>
      <c r="AE1943" s="1" t="str">
        <f>IF(AND(Table1[[#This Row],[Spec Type2]]="N/A",Table1[[#This Row],[DUT Adj Read]]="N/A",Table1[[#This Row],[Std Adj Read]]="N/A"),"N/A",IF(Table1[[#This Row],[DUT Adj Read]]="N/A",IF(Table1[[#This Row],[Std Adj Read]]&lt;Table1[[#This Row],[High Tol]],"Pass","Fail"),IF(Table1[[#This Row],[DUT Adj Read]]&lt;Table1[[#This Row],[High Tol]],"Pass","Fail")))</f>
        <v>Fail</v>
      </c>
      <c r="AF1943" s="1" t="str">
        <f>IF(AND(Table1[[#This Row],[Spec Type2]]="N/A",Table1[[#This Row],[DUT Adj Read]]="N/A",Table1[[#This Row],[Std Adj Read]]="N/A"),"N/A",IF(Table1[[#This Row],[DUT Adj Read]]="N/A",IF(Table1[[#This Row],[Std Adj Read]]&gt;=Table1[[#This Row],[Low Tol]],"Pass","Fail"),IF(Table1[[#This Row],[DUT Adj Read]]&gt;=Table1[[#This Row],[Low Tol]],"Pass","Fail")))</f>
        <v>Pass</v>
      </c>
      <c r="AG1943" s="1" t="str">
        <f>IF(AND(Table1[[#This Row],[Spec Type2]]="N/A",Table1[[#This Row],[DUT Adj Read]]="N/A",Table1[[#This Row],[Std Adj Read]]="N/A"),"N/A",IF(Table1[[#This Row],[DUT Adj Read]]="N/A",IF(Table1[[#This Row],[Std Adj Read]]&lt;=Table1[[#This Row],[High Tol]],"Pass","Fail"),IF(Table1[[#This Row],[DUT Adj Read]]&lt;=Table1[[#This Row],[High Tol]],"Pass","Fail")))</f>
        <v>Fail</v>
      </c>
      <c r="AH19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3" s="1" t="b">
        <v>0</v>
      </c>
      <c r="AN1943" s="1" t="b">
        <v>0</v>
      </c>
      <c r="AO1943" s="1" t="b">
        <v>0</v>
      </c>
    </row>
    <row r="1944" spans="1:41" x14ac:dyDescent="0.25">
      <c r="A1944" s="10"/>
      <c r="B1944" s="10"/>
      <c r="C1944" s="10"/>
      <c r="D1944" s="10"/>
      <c r="E1944" s="10"/>
      <c r="F1944" s="10"/>
      <c r="G1944" s="10"/>
      <c r="H1944" s="10"/>
      <c r="I1944" s="1" t="str">
        <f t="shared" si="90"/>
        <v/>
      </c>
      <c r="J1944" s="1" t="s">
        <v>35</v>
      </c>
      <c r="K1944" s="1" t="str">
        <f t="shared" si="91"/>
        <v/>
      </c>
      <c r="L1944" s="1" t="str">
        <f t="shared" si="92"/>
        <v/>
      </c>
      <c r="M1944" s="1">
        <f>IF(OR(Table1[[#This Row],[Std Nom]]="",Table1[[#This Row],[Std Read]]=""),0,Table1[[#This Row],[Std Nom]]-Table1[[#This Row],[Std Read]])</f>
        <v>0</v>
      </c>
      <c r="N1944" s="1">
        <f>IF(Calculations!$F$5="ACCREDITED 17025 WITH UNCERTAINTIES",$N$10,0)</f>
        <v>0</v>
      </c>
      <c r="O1944" s="1" t="str">
        <f>IFERROR(Table1[[#This Row],[Std Nom]]-(_xlfn.XLOOKUP(Table1[[#This Row],[Manufacturer]]&amp;" "&amp;Table1[[#This Row],[Model]],Table13[MFR &amp; MDL],Table13[Tolerance % CW ],"")/100*Table1[[#This Row],[Std Nom]]),"")</f>
        <v/>
      </c>
      <c r="P1944" s="1" t="str">
        <f>IFERROR(Table1[[#This Row],[Std Nom]]+(_xlfn.XLOOKUP(Table1[[#This Row],[Manufacturer]]&amp;" "&amp;Table1[[#This Row],[Model]],Table13[MFR &amp; MDL],Table13[Tolerance % CW ],"")/100*Table1[[#This Row],[Std Nom]]),"")</f>
        <v/>
      </c>
      <c r="Q1944" s="1" t="e">
        <f>Table1[[#This Row],[High Tol]]-Table1[[#This Row],[Low Tol]]</f>
        <v>#VALUE!</v>
      </c>
      <c r="R1944" s="1">
        <f>2*Table1[[#This Row],[Std Error]]</f>
        <v>0</v>
      </c>
      <c r="S1944" s="1" t="str">
        <f>IF(Table1[[#This Row],[High Tol]]="","N/A",IFERROR(ABS(Table1[[#This Row],[Tol Span]]/Table1[[#This Row],[Error Span]]),"N/A"))</f>
        <v>N/A</v>
      </c>
      <c r="T1944" s="1" t="str">
        <f>IF(OR(Table1[[#This Row],[Low Tol]]="",Table1[[#This Row],[High Tol]]=""),"Needs Analysis",IF(Table1[[#This Row],[Ratio]]&gt;=4,"Not Significant",IF(Table1[[#This Row],[Ratio]]&gt;=2,"Semi-Significant","Significant")))</f>
        <v>Needs Analysis</v>
      </c>
      <c r="W1944" s="1">
        <f>IF(Table1[[#This Row],[Cal Type]]&lt;&gt;"ACCREDITED 17025 WITH UNCERTAINTIES",0,"")</f>
        <v>0</v>
      </c>
      <c r="X1944" s="1" t="str">
        <f>IF(Table1[[#This Row],[DUT Read]]="","N/A",Table1[[#This Row],[Std Error]]+Table1[[#This Row],[DUT Read]]+Table1[[#This Row],[DUT Ucty]])</f>
        <v>N/A</v>
      </c>
      <c r="Y1944" s="1" t="str">
        <f>IF(Table1[[#This Row],[Std Read]]="","N/A",Table1[[#This Row],[Std Read]]+Table1[[#This Row],[Std Ucty]])</f>
        <v>N/A</v>
      </c>
      <c r="Z19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4" s="1" t="str">
        <f>IF(Table1[[#This Row],[Spec Type]]="","N/A",Table1[[#This Row],[Spec Type]])</f>
        <v>±</v>
      </c>
      <c r="AC1944" s="1" t="str">
        <f>IF(Table1[[#This Row],[Spec Type2]]="N/A","N/A",IF(AND(Table1[[#This Row],[DUT Adj Read]]&gt;=Table1[[#This Row],[Low Tol]],Table1[[#This Row],[DUT Adj Read]]&lt;=Table1[[#This Row],[High Tol]]),"Pass","Fail"))</f>
        <v>Fail</v>
      </c>
      <c r="AD1944" s="1" t="str">
        <f>IF(AND(Table1[[#This Row],[Spec Type2]]="N/A",Table1[[#This Row],[DUT Adj Read]]="N/A",Table1[[#This Row],[Std Adj Read]]="N/A"),"N/A",IF(Table1[[#This Row],[DUT Adj Read]]="N/A",IF(Table1[[#This Row],[Std Adj Read]]&gt;Table1[[#This Row],[Low Tol]],"Pass","Fail"),IF(Table1[[#This Row],[DUT Adj Read]]&gt;Table1[[#This Row],[Low Tol]],"Pass","Fail")))</f>
        <v>Pass</v>
      </c>
      <c r="AE1944" s="1" t="str">
        <f>IF(AND(Table1[[#This Row],[Spec Type2]]="N/A",Table1[[#This Row],[DUT Adj Read]]="N/A",Table1[[#This Row],[Std Adj Read]]="N/A"),"N/A",IF(Table1[[#This Row],[DUT Adj Read]]="N/A",IF(Table1[[#This Row],[Std Adj Read]]&lt;Table1[[#This Row],[High Tol]],"Pass","Fail"),IF(Table1[[#This Row],[DUT Adj Read]]&lt;Table1[[#This Row],[High Tol]],"Pass","Fail")))</f>
        <v>Fail</v>
      </c>
      <c r="AF1944" s="1" t="str">
        <f>IF(AND(Table1[[#This Row],[Spec Type2]]="N/A",Table1[[#This Row],[DUT Adj Read]]="N/A",Table1[[#This Row],[Std Adj Read]]="N/A"),"N/A",IF(Table1[[#This Row],[DUT Adj Read]]="N/A",IF(Table1[[#This Row],[Std Adj Read]]&gt;=Table1[[#This Row],[Low Tol]],"Pass","Fail"),IF(Table1[[#This Row],[DUT Adj Read]]&gt;=Table1[[#This Row],[Low Tol]],"Pass","Fail")))</f>
        <v>Pass</v>
      </c>
      <c r="AG1944" s="1" t="str">
        <f>IF(AND(Table1[[#This Row],[Spec Type2]]="N/A",Table1[[#This Row],[DUT Adj Read]]="N/A",Table1[[#This Row],[Std Adj Read]]="N/A"),"N/A",IF(Table1[[#This Row],[DUT Adj Read]]="N/A",IF(Table1[[#This Row],[Std Adj Read]]&lt;=Table1[[#This Row],[High Tol]],"Pass","Fail"),IF(Table1[[#This Row],[DUT Adj Read]]&lt;=Table1[[#This Row],[High Tol]],"Pass","Fail")))</f>
        <v>Fail</v>
      </c>
      <c r="AH19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4" s="1" t="b">
        <v>0</v>
      </c>
      <c r="AN1944" s="1" t="b">
        <v>0</v>
      </c>
      <c r="AO1944" s="1" t="b">
        <v>0</v>
      </c>
    </row>
    <row r="1945" spans="1:41" x14ac:dyDescent="0.25">
      <c r="A1945" s="10"/>
      <c r="B1945" s="10"/>
      <c r="C1945" s="10"/>
      <c r="D1945" s="10"/>
      <c r="E1945" s="10"/>
      <c r="F1945" s="10"/>
      <c r="G1945" s="10"/>
      <c r="H1945" s="10"/>
      <c r="I1945" s="1" t="str">
        <f t="shared" si="90"/>
        <v/>
      </c>
      <c r="J1945" s="1" t="s">
        <v>35</v>
      </c>
      <c r="K1945" s="1" t="str">
        <f t="shared" si="91"/>
        <v/>
      </c>
      <c r="L1945" s="1" t="str">
        <f t="shared" si="92"/>
        <v/>
      </c>
      <c r="M1945" s="1">
        <f>IF(OR(Table1[[#This Row],[Std Nom]]="",Table1[[#This Row],[Std Read]]=""),0,Table1[[#This Row],[Std Nom]]-Table1[[#This Row],[Std Read]])</f>
        <v>0</v>
      </c>
      <c r="N1945" s="1">
        <f>IF(Calculations!$F$5="ACCREDITED 17025 WITH UNCERTAINTIES",$N$10,0)</f>
        <v>0</v>
      </c>
      <c r="O1945" s="1" t="str">
        <f>IFERROR(Table1[[#This Row],[Std Nom]]-(_xlfn.XLOOKUP(Table1[[#This Row],[Manufacturer]]&amp;" "&amp;Table1[[#This Row],[Model]],Table13[MFR &amp; MDL],Table13[Tolerance % CW ],"")/100*Table1[[#This Row],[Std Nom]]),"")</f>
        <v/>
      </c>
      <c r="P1945" s="1" t="str">
        <f>IFERROR(Table1[[#This Row],[Std Nom]]+(_xlfn.XLOOKUP(Table1[[#This Row],[Manufacturer]]&amp;" "&amp;Table1[[#This Row],[Model]],Table13[MFR &amp; MDL],Table13[Tolerance % CW ],"")/100*Table1[[#This Row],[Std Nom]]),"")</f>
        <v/>
      </c>
      <c r="Q1945" s="1" t="e">
        <f>Table1[[#This Row],[High Tol]]-Table1[[#This Row],[Low Tol]]</f>
        <v>#VALUE!</v>
      </c>
      <c r="R1945" s="1">
        <f>2*Table1[[#This Row],[Std Error]]</f>
        <v>0</v>
      </c>
      <c r="S1945" s="1" t="str">
        <f>IF(Table1[[#This Row],[High Tol]]="","N/A",IFERROR(ABS(Table1[[#This Row],[Tol Span]]/Table1[[#This Row],[Error Span]]),"N/A"))</f>
        <v>N/A</v>
      </c>
      <c r="T1945" s="1" t="str">
        <f>IF(OR(Table1[[#This Row],[Low Tol]]="",Table1[[#This Row],[High Tol]]=""),"Needs Analysis",IF(Table1[[#This Row],[Ratio]]&gt;=4,"Not Significant",IF(Table1[[#This Row],[Ratio]]&gt;=2,"Semi-Significant","Significant")))</f>
        <v>Needs Analysis</v>
      </c>
      <c r="W1945" s="1">
        <f>IF(Table1[[#This Row],[Cal Type]]&lt;&gt;"ACCREDITED 17025 WITH UNCERTAINTIES",0,"")</f>
        <v>0</v>
      </c>
      <c r="X1945" s="1" t="str">
        <f>IF(Table1[[#This Row],[DUT Read]]="","N/A",Table1[[#This Row],[Std Error]]+Table1[[#This Row],[DUT Read]]+Table1[[#This Row],[DUT Ucty]])</f>
        <v>N/A</v>
      </c>
      <c r="Y1945" s="1" t="str">
        <f>IF(Table1[[#This Row],[Std Read]]="","N/A",Table1[[#This Row],[Std Read]]+Table1[[#This Row],[Std Ucty]])</f>
        <v>N/A</v>
      </c>
      <c r="Z19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5" s="1" t="str">
        <f>IF(Table1[[#This Row],[Spec Type]]="","N/A",Table1[[#This Row],[Spec Type]])</f>
        <v>±</v>
      </c>
      <c r="AC1945" s="1" t="str">
        <f>IF(Table1[[#This Row],[Spec Type2]]="N/A","N/A",IF(AND(Table1[[#This Row],[DUT Adj Read]]&gt;=Table1[[#This Row],[Low Tol]],Table1[[#This Row],[DUT Adj Read]]&lt;=Table1[[#This Row],[High Tol]]),"Pass","Fail"))</f>
        <v>Fail</v>
      </c>
      <c r="AD1945" s="1" t="str">
        <f>IF(AND(Table1[[#This Row],[Spec Type2]]="N/A",Table1[[#This Row],[DUT Adj Read]]="N/A",Table1[[#This Row],[Std Adj Read]]="N/A"),"N/A",IF(Table1[[#This Row],[DUT Adj Read]]="N/A",IF(Table1[[#This Row],[Std Adj Read]]&gt;Table1[[#This Row],[Low Tol]],"Pass","Fail"),IF(Table1[[#This Row],[DUT Adj Read]]&gt;Table1[[#This Row],[Low Tol]],"Pass","Fail")))</f>
        <v>Pass</v>
      </c>
      <c r="AE1945" s="1" t="str">
        <f>IF(AND(Table1[[#This Row],[Spec Type2]]="N/A",Table1[[#This Row],[DUT Adj Read]]="N/A",Table1[[#This Row],[Std Adj Read]]="N/A"),"N/A",IF(Table1[[#This Row],[DUT Adj Read]]="N/A",IF(Table1[[#This Row],[Std Adj Read]]&lt;Table1[[#This Row],[High Tol]],"Pass","Fail"),IF(Table1[[#This Row],[DUT Adj Read]]&lt;Table1[[#This Row],[High Tol]],"Pass","Fail")))</f>
        <v>Fail</v>
      </c>
      <c r="AF1945" s="1" t="str">
        <f>IF(AND(Table1[[#This Row],[Spec Type2]]="N/A",Table1[[#This Row],[DUT Adj Read]]="N/A",Table1[[#This Row],[Std Adj Read]]="N/A"),"N/A",IF(Table1[[#This Row],[DUT Adj Read]]="N/A",IF(Table1[[#This Row],[Std Adj Read]]&gt;=Table1[[#This Row],[Low Tol]],"Pass","Fail"),IF(Table1[[#This Row],[DUT Adj Read]]&gt;=Table1[[#This Row],[Low Tol]],"Pass","Fail")))</f>
        <v>Pass</v>
      </c>
      <c r="AG1945" s="1" t="str">
        <f>IF(AND(Table1[[#This Row],[Spec Type2]]="N/A",Table1[[#This Row],[DUT Adj Read]]="N/A",Table1[[#This Row],[Std Adj Read]]="N/A"),"N/A",IF(Table1[[#This Row],[DUT Adj Read]]="N/A",IF(Table1[[#This Row],[Std Adj Read]]&lt;=Table1[[#This Row],[High Tol]],"Pass","Fail"),IF(Table1[[#This Row],[DUT Adj Read]]&lt;=Table1[[#This Row],[High Tol]],"Pass","Fail")))</f>
        <v>Fail</v>
      </c>
      <c r="AH19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5" s="1" t="b">
        <v>0</v>
      </c>
      <c r="AN1945" s="1" t="b">
        <v>0</v>
      </c>
      <c r="AO1945" s="1" t="b">
        <v>0</v>
      </c>
    </row>
    <row r="1946" spans="1:41" x14ac:dyDescent="0.25">
      <c r="A1946" s="10"/>
      <c r="B1946" s="10"/>
      <c r="C1946" s="10"/>
      <c r="D1946" s="10"/>
      <c r="E1946" s="10"/>
      <c r="F1946" s="10"/>
      <c r="G1946" s="10"/>
      <c r="H1946" s="10"/>
      <c r="I1946" s="1" t="str">
        <f t="shared" si="90"/>
        <v/>
      </c>
      <c r="J1946" s="1" t="s">
        <v>35</v>
      </c>
      <c r="K1946" s="1" t="str">
        <f t="shared" si="91"/>
        <v/>
      </c>
      <c r="L1946" s="1" t="str">
        <f t="shared" si="92"/>
        <v/>
      </c>
      <c r="M1946" s="1">
        <f>IF(OR(Table1[[#This Row],[Std Nom]]="",Table1[[#This Row],[Std Read]]=""),0,Table1[[#This Row],[Std Nom]]-Table1[[#This Row],[Std Read]])</f>
        <v>0</v>
      </c>
      <c r="N1946" s="1">
        <f>IF(Calculations!$F$5="ACCREDITED 17025 WITH UNCERTAINTIES",$N$10,0)</f>
        <v>0</v>
      </c>
      <c r="O1946" s="1" t="str">
        <f>IFERROR(Table1[[#This Row],[Std Nom]]-(_xlfn.XLOOKUP(Table1[[#This Row],[Manufacturer]]&amp;" "&amp;Table1[[#This Row],[Model]],Table13[MFR &amp; MDL],Table13[Tolerance % CW ],"")/100*Table1[[#This Row],[Std Nom]]),"")</f>
        <v/>
      </c>
      <c r="P1946" s="1" t="str">
        <f>IFERROR(Table1[[#This Row],[Std Nom]]+(_xlfn.XLOOKUP(Table1[[#This Row],[Manufacturer]]&amp;" "&amp;Table1[[#This Row],[Model]],Table13[MFR &amp; MDL],Table13[Tolerance % CW ],"")/100*Table1[[#This Row],[Std Nom]]),"")</f>
        <v/>
      </c>
      <c r="Q1946" s="1" t="e">
        <f>Table1[[#This Row],[High Tol]]-Table1[[#This Row],[Low Tol]]</f>
        <v>#VALUE!</v>
      </c>
      <c r="R1946" s="1">
        <f>2*Table1[[#This Row],[Std Error]]</f>
        <v>0</v>
      </c>
      <c r="S1946" s="1" t="str">
        <f>IF(Table1[[#This Row],[High Tol]]="","N/A",IFERROR(ABS(Table1[[#This Row],[Tol Span]]/Table1[[#This Row],[Error Span]]),"N/A"))</f>
        <v>N/A</v>
      </c>
      <c r="T1946" s="1" t="str">
        <f>IF(OR(Table1[[#This Row],[Low Tol]]="",Table1[[#This Row],[High Tol]]=""),"Needs Analysis",IF(Table1[[#This Row],[Ratio]]&gt;=4,"Not Significant",IF(Table1[[#This Row],[Ratio]]&gt;=2,"Semi-Significant","Significant")))</f>
        <v>Needs Analysis</v>
      </c>
      <c r="W1946" s="1">
        <f>IF(Table1[[#This Row],[Cal Type]]&lt;&gt;"ACCREDITED 17025 WITH UNCERTAINTIES",0,"")</f>
        <v>0</v>
      </c>
      <c r="X1946" s="1" t="str">
        <f>IF(Table1[[#This Row],[DUT Read]]="","N/A",Table1[[#This Row],[Std Error]]+Table1[[#This Row],[DUT Read]]+Table1[[#This Row],[DUT Ucty]])</f>
        <v>N/A</v>
      </c>
      <c r="Y1946" s="1" t="str">
        <f>IF(Table1[[#This Row],[Std Read]]="","N/A",Table1[[#This Row],[Std Read]]+Table1[[#This Row],[Std Ucty]])</f>
        <v>N/A</v>
      </c>
      <c r="Z19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6" s="1" t="str">
        <f>IF(Table1[[#This Row],[Spec Type]]="","N/A",Table1[[#This Row],[Spec Type]])</f>
        <v>±</v>
      </c>
      <c r="AC1946" s="1" t="str">
        <f>IF(Table1[[#This Row],[Spec Type2]]="N/A","N/A",IF(AND(Table1[[#This Row],[DUT Adj Read]]&gt;=Table1[[#This Row],[Low Tol]],Table1[[#This Row],[DUT Adj Read]]&lt;=Table1[[#This Row],[High Tol]]),"Pass","Fail"))</f>
        <v>Fail</v>
      </c>
      <c r="AD1946" s="1" t="str">
        <f>IF(AND(Table1[[#This Row],[Spec Type2]]="N/A",Table1[[#This Row],[DUT Adj Read]]="N/A",Table1[[#This Row],[Std Adj Read]]="N/A"),"N/A",IF(Table1[[#This Row],[DUT Adj Read]]="N/A",IF(Table1[[#This Row],[Std Adj Read]]&gt;Table1[[#This Row],[Low Tol]],"Pass","Fail"),IF(Table1[[#This Row],[DUT Adj Read]]&gt;Table1[[#This Row],[Low Tol]],"Pass","Fail")))</f>
        <v>Pass</v>
      </c>
      <c r="AE1946" s="1" t="str">
        <f>IF(AND(Table1[[#This Row],[Spec Type2]]="N/A",Table1[[#This Row],[DUT Adj Read]]="N/A",Table1[[#This Row],[Std Adj Read]]="N/A"),"N/A",IF(Table1[[#This Row],[DUT Adj Read]]="N/A",IF(Table1[[#This Row],[Std Adj Read]]&lt;Table1[[#This Row],[High Tol]],"Pass","Fail"),IF(Table1[[#This Row],[DUT Adj Read]]&lt;Table1[[#This Row],[High Tol]],"Pass","Fail")))</f>
        <v>Fail</v>
      </c>
      <c r="AF1946" s="1" t="str">
        <f>IF(AND(Table1[[#This Row],[Spec Type2]]="N/A",Table1[[#This Row],[DUT Adj Read]]="N/A",Table1[[#This Row],[Std Adj Read]]="N/A"),"N/A",IF(Table1[[#This Row],[DUT Adj Read]]="N/A",IF(Table1[[#This Row],[Std Adj Read]]&gt;=Table1[[#This Row],[Low Tol]],"Pass","Fail"),IF(Table1[[#This Row],[DUT Adj Read]]&gt;=Table1[[#This Row],[Low Tol]],"Pass","Fail")))</f>
        <v>Pass</v>
      </c>
      <c r="AG1946" s="1" t="str">
        <f>IF(AND(Table1[[#This Row],[Spec Type2]]="N/A",Table1[[#This Row],[DUT Adj Read]]="N/A",Table1[[#This Row],[Std Adj Read]]="N/A"),"N/A",IF(Table1[[#This Row],[DUT Adj Read]]="N/A",IF(Table1[[#This Row],[Std Adj Read]]&lt;=Table1[[#This Row],[High Tol]],"Pass","Fail"),IF(Table1[[#This Row],[DUT Adj Read]]&lt;=Table1[[#This Row],[High Tol]],"Pass","Fail")))</f>
        <v>Fail</v>
      </c>
      <c r="AH19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6" s="1" t="b">
        <v>0</v>
      </c>
      <c r="AN1946" s="1" t="b">
        <v>0</v>
      </c>
      <c r="AO1946" s="1" t="b">
        <v>0</v>
      </c>
    </row>
    <row r="1947" spans="1:41" x14ac:dyDescent="0.25">
      <c r="A1947" s="10"/>
      <c r="B1947" s="10"/>
      <c r="C1947" s="10"/>
      <c r="D1947" s="10"/>
      <c r="E1947" s="10"/>
      <c r="F1947" s="10"/>
      <c r="G1947" s="10"/>
      <c r="H1947" s="10"/>
      <c r="I1947" s="1" t="str">
        <f t="shared" si="90"/>
        <v/>
      </c>
      <c r="J1947" s="1" t="s">
        <v>35</v>
      </c>
      <c r="K1947" s="1" t="str">
        <f t="shared" si="91"/>
        <v/>
      </c>
      <c r="L1947" s="1" t="str">
        <f t="shared" si="92"/>
        <v/>
      </c>
      <c r="M1947" s="1">
        <f>IF(OR(Table1[[#This Row],[Std Nom]]="",Table1[[#This Row],[Std Read]]=""),0,Table1[[#This Row],[Std Nom]]-Table1[[#This Row],[Std Read]])</f>
        <v>0</v>
      </c>
      <c r="N1947" s="1">
        <f>IF(Calculations!$F$5="ACCREDITED 17025 WITH UNCERTAINTIES",$N$10,0)</f>
        <v>0</v>
      </c>
      <c r="O1947" s="1" t="str">
        <f>IFERROR(Table1[[#This Row],[Std Nom]]-(_xlfn.XLOOKUP(Table1[[#This Row],[Manufacturer]]&amp;" "&amp;Table1[[#This Row],[Model]],Table13[MFR &amp; MDL],Table13[Tolerance % CW ],"")/100*Table1[[#This Row],[Std Nom]]),"")</f>
        <v/>
      </c>
      <c r="P1947" s="1" t="str">
        <f>IFERROR(Table1[[#This Row],[Std Nom]]+(_xlfn.XLOOKUP(Table1[[#This Row],[Manufacturer]]&amp;" "&amp;Table1[[#This Row],[Model]],Table13[MFR &amp; MDL],Table13[Tolerance % CW ],"")/100*Table1[[#This Row],[Std Nom]]),"")</f>
        <v/>
      </c>
      <c r="Q1947" s="1" t="e">
        <f>Table1[[#This Row],[High Tol]]-Table1[[#This Row],[Low Tol]]</f>
        <v>#VALUE!</v>
      </c>
      <c r="R1947" s="1">
        <f>2*Table1[[#This Row],[Std Error]]</f>
        <v>0</v>
      </c>
      <c r="S1947" s="1" t="str">
        <f>IF(Table1[[#This Row],[High Tol]]="","N/A",IFERROR(ABS(Table1[[#This Row],[Tol Span]]/Table1[[#This Row],[Error Span]]),"N/A"))</f>
        <v>N/A</v>
      </c>
      <c r="T1947" s="1" t="str">
        <f>IF(OR(Table1[[#This Row],[Low Tol]]="",Table1[[#This Row],[High Tol]]=""),"Needs Analysis",IF(Table1[[#This Row],[Ratio]]&gt;=4,"Not Significant",IF(Table1[[#This Row],[Ratio]]&gt;=2,"Semi-Significant","Significant")))</f>
        <v>Needs Analysis</v>
      </c>
      <c r="W1947" s="1">
        <f>IF(Table1[[#This Row],[Cal Type]]&lt;&gt;"ACCREDITED 17025 WITH UNCERTAINTIES",0,"")</f>
        <v>0</v>
      </c>
      <c r="X1947" s="1" t="str">
        <f>IF(Table1[[#This Row],[DUT Read]]="","N/A",Table1[[#This Row],[Std Error]]+Table1[[#This Row],[DUT Read]]+Table1[[#This Row],[DUT Ucty]])</f>
        <v>N/A</v>
      </c>
      <c r="Y1947" s="1" t="str">
        <f>IF(Table1[[#This Row],[Std Read]]="","N/A",Table1[[#This Row],[Std Read]]+Table1[[#This Row],[Std Ucty]])</f>
        <v>N/A</v>
      </c>
      <c r="Z19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7" s="1" t="str">
        <f>IF(Table1[[#This Row],[Spec Type]]="","N/A",Table1[[#This Row],[Spec Type]])</f>
        <v>±</v>
      </c>
      <c r="AC1947" s="1" t="str">
        <f>IF(Table1[[#This Row],[Spec Type2]]="N/A","N/A",IF(AND(Table1[[#This Row],[DUT Adj Read]]&gt;=Table1[[#This Row],[Low Tol]],Table1[[#This Row],[DUT Adj Read]]&lt;=Table1[[#This Row],[High Tol]]),"Pass","Fail"))</f>
        <v>Fail</v>
      </c>
      <c r="AD1947" s="1" t="str">
        <f>IF(AND(Table1[[#This Row],[Spec Type2]]="N/A",Table1[[#This Row],[DUT Adj Read]]="N/A",Table1[[#This Row],[Std Adj Read]]="N/A"),"N/A",IF(Table1[[#This Row],[DUT Adj Read]]="N/A",IF(Table1[[#This Row],[Std Adj Read]]&gt;Table1[[#This Row],[Low Tol]],"Pass","Fail"),IF(Table1[[#This Row],[DUT Adj Read]]&gt;Table1[[#This Row],[Low Tol]],"Pass","Fail")))</f>
        <v>Pass</v>
      </c>
      <c r="AE1947" s="1" t="str">
        <f>IF(AND(Table1[[#This Row],[Spec Type2]]="N/A",Table1[[#This Row],[DUT Adj Read]]="N/A",Table1[[#This Row],[Std Adj Read]]="N/A"),"N/A",IF(Table1[[#This Row],[DUT Adj Read]]="N/A",IF(Table1[[#This Row],[Std Adj Read]]&lt;Table1[[#This Row],[High Tol]],"Pass","Fail"),IF(Table1[[#This Row],[DUT Adj Read]]&lt;Table1[[#This Row],[High Tol]],"Pass","Fail")))</f>
        <v>Fail</v>
      </c>
      <c r="AF1947" s="1" t="str">
        <f>IF(AND(Table1[[#This Row],[Spec Type2]]="N/A",Table1[[#This Row],[DUT Adj Read]]="N/A",Table1[[#This Row],[Std Adj Read]]="N/A"),"N/A",IF(Table1[[#This Row],[DUT Adj Read]]="N/A",IF(Table1[[#This Row],[Std Adj Read]]&gt;=Table1[[#This Row],[Low Tol]],"Pass","Fail"),IF(Table1[[#This Row],[DUT Adj Read]]&gt;=Table1[[#This Row],[Low Tol]],"Pass","Fail")))</f>
        <v>Pass</v>
      </c>
      <c r="AG1947" s="1" t="str">
        <f>IF(AND(Table1[[#This Row],[Spec Type2]]="N/A",Table1[[#This Row],[DUT Adj Read]]="N/A",Table1[[#This Row],[Std Adj Read]]="N/A"),"N/A",IF(Table1[[#This Row],[DUT Adj Read]]="N/A",IF(Table1[[#This Row],[Std Adj Read]]&lt;=Table1[[#This Row],[High Tol]],"Pass","Fail"),IF(Table1[[#This Row],[DUT Adj Read]]&lt;=Table1[[#This Row],[High Tol]],"Pass","Fail")))</f>
        <v>Fail</v>
      </c>
      <c r="AH19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7" s="1" t="b">
        <v>0</v>
      </c>
      <c r="AN1947" s="1" t="b">
        <v>0</v>
      </c>
      <c r="AO1947" s="1" t="b">
        <v>0</v>
      </c>
    </row>
    <row r="1948" spans="1:41" x14ac:dyDescent="0.25">
      <c r="A1948" s="10"/>
      <c r="B1948" s="10"/>
      <c r="C1948" s="10"/>
      <c r="D1948" s="10"/>
      <c r="E1948" s="10"/>
      <c r="F1948" s="10"/>
      <c r="G1948" s="10"/>
      <c r="H1948" s="10"/>
      <c r="I1948" s="1" t="str">
        <f t="shared" si="90"/>
        <v/>
      </c>
      <c r="J1948" s="1" t="s">
        <v>35</v>
      </c>
      <c r="K1948" s="1" t="str">
        <f t="shared" si="91"/>
        <v/>
      </c>
      <c r="L1948" s="1" t="str">
        <f t="shared" si="92"/>
        <v/>
      </c>
      <c r="M1948" s="1">
        <f>IF(OR(Table1[[#This Row],[Std Nom]]="",Table1[[#This Row],[Std Read]]=""),0,Table1[[#This Row],[Std Nom]]-Table1[[#This Row],[Std Read]])</f>
        <v>0</v>
      </c>
      <c r="N1948" s="1">
        <f>IF(Calculations!$F$5="ACCREDITED 17025 WITH UNCERTAINTIES",$N$10,0)</f>
        <v>0</v>
      </c>
      <c r="O1948" s="1" t="str">
        <f>IFERROR(Table1[[#This Row],[Std Nom]]-(_xlfn.XLOOKUP(Table1[[#This Row],[Manufacturer]]&amp;" "&amp;Table1[[#This Row],[Model]],Table13[MFR &amp; MDL],Table13[Tolerance % CW ],"")/100*Table1[[#This Row],[Std Nom]]),"")</f>
        <v/>
      </c>
      <c r="P1948" s="1" t="str">
        <f>IFERROR(Table1[[#This Row],[Std Nom]]+(_xlfn.XLOOKUP(Table1[[#This Row],[Manufacturer]]&amp;" "&amp;Table1[[#This Row],[Model]],Table13[MFR &amp; MDL],Table13[Tolerance % CW ],"")/100*Table1[[#This Row],[Std Nom]]),"")</f>
        <v/>
      </c>
      <c r="Q1948" s="1" t="e">
        <f>Table1[[#This Row],[High Tol]]-Table1[[#This Row],[Low Tol]]</f>
        <v>#VALUE!</v>
      </c>
      <c r="R1948" s="1">
        <f>2*Table1[[#This Row],[Std Error]]</f>
        <v>0</v>
      </c>
      <c r="S1948" s="1" t="str">
        <f>IF(Table1[[#This Row],[High Tol]]="","N/A",IFERROR(ABS(Table1[[#This Row],[Tol Span]]/Table1[[#This Row],[Error Span]]),"N/A"))</f>
        <v>N/A</v>
      </c>
      <c r="T1948" s="1" t="str">
        <f>IF(OR(Table1[[#This Row],[Low Tol]]="",Table1[[#This Row],[High Tol]]=""),"Needs Analysis",IF(Table1[[#This Row],[Ratio]]&gt;=4,"Not Significant",IF(Table1[[#This Row],[Ratio]]&gt;=2,"Semi-Significant","Significant")))</f>
        <v>Needs Analysis</v>
      </c>
      <c r="W1948" s="1">
        <f>IF(Table1[[#This Row],[Cal Type]]&lt;&gt;"ACCREDITED 17025 WITH UNCERTAINTIES",0,"")</f>
        <v>0</v>
      </c>
      <c r="X1948" s="1" t="str">
        <f>IF(Table1[[#This Row],[DUT Read]]="","N/A",Table1[[#This Row],[Std Error]]+Table1[[#This Row],[DUT Read]]+Table1[[#This Row],[DUT Ucty]])</f>
        <v>N/A</v>
      </c>
      <c r="Y1948" s="1" t="str">
        <f>IF(Table1[[#This Row],[Std Read]]="","N/A",Table1[[#This Row],[Std Read]]+Table1[[#This Row],[Std Ucty]])</f>
        <v>N/A</v>
      </c>
      <c r="Z19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8" s="1" t="str">
        <f>IF(Table1[[#This Row],[Spec Type]]="","N/A",Table1[[#This Row],[Spec Type]])</f>
        <v>±</v>
      </c>
      <c r="AC1948" s="1" t="str">
        <f>IF(Table1[[#This Row],[Spec Type2]]="N/A","N/A",IF(AND(Table1[[#This Row],[DUT Adj Read]]&gt;=Table1[[#This Row],[Low Tol]],Table1[[#This Row],[DUT Adj Read]]&lt;=Table1[[#This Row],[High Tol]]),"Pass","Fail"))</f>
        <v>Fail</v>
      </c>
      <c r="AD1948" s="1" t="str">
        <f>IF(AND(Table1[[#This Row],[Spec Type2]]="N/A",Table1[[#This Row],[DUT Adj Read]]="N/A",Table1[[#This Row],[Std Adj Read]]="N/A"),"N/A",IF(Table1[[#This Row],[DUT Adj Read]]="N/A",IF(Table1[[#This Row],[Std Adj Read]]&gt;Table1[[#This Row],[Low Tol]],"Pass","Fail"),IF(Table1[[#This Row],[DUT Adj Read]]&gt;Table1[[#This Row],[Low Tol]],"Pass","Fail")))</f>
        <v>Pass</v>
      </c>
      <c r="AE1948" s="1" t="str">
        <f>IF(AND(Table1[[#This Row],[Spec Type2]]="N/A",Table1[[#This Row],[DUT Adj Read]]="N/A",Table1[[#This Row],[Std Adj Read]]="N/A"),"N/A",IF(Table1[[#This Row],[DUT Adj Read]]="N/A",IF(Table1[[#This Row],[Std Adj Read]]&lt;Table1[[#This Row],[High Tol]],"Pass","Fail"),IF(Table1[[#This Row],[DUT Adj Read]]&lt;Table1[[#This Row],[High Tol]],"Pass","Fail")))</f>
        <v>Fail</v>
      </c>
      <c r="AF1948" s="1" t="str">
        <f>IF(AND(Table1[[#This Row],[Spec Type2]]="N/A",Table1[[#This Row],[DUT Adj Read]]="N/A",Table1[[#This Row],[Std Adj Read]]="N/A"),"N/A",IF(Table1[[#This Row],[DUT Adj Read]]="N/A",IF(Table1[[#This Row],[Std Adj Read]]&gt;=Table1[[#This Row],[Low Tol]],"Pass","Fail"),IF(Table1[[#This Row],[DUT Adj Read]]&gt;=Table1[[#This Row],[Low Tol]],"Pass","Fail")))</f>
        <v>Pass</v>
      </c>
      <c r="AG1948" s="1" t="str">
        <f>IF(AND(Table1[[#This Row],[Spec Type2]]="N/A",Table1[[#This Row],[DUT Adj Read]]="N/A",Table1[[#This Row],[Std Adj Read]]="N/A"),"N/A",IF(Table1[[#This Row],[DUT Adj Read]]="N/A",IF(Table1[[#This Row],[Std Adj Read]]&lt;=Table1[[#This Row],[High Tol]],"Pass","Fail"),IF(Table1[[#This Row],[DUT Adj Read]]&lt;=Table1[[#This Row],[High Tol]],"Pass","Fail")))</f>
        <v>Fail</v>
      </c>
      <c r="AH19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8" s="1" t="b">
        <v>0</v>
      </c>
      <c r="AN1948" s="1" t="b">
        <v>0</v>
      </c>
      <c r="AO1948" s="1" t="b">
        <v>0</v>
      </c>
    </row>
    <row r="1949" spans="1:41" x14ac:dyDescent="0.25">
      <c r="A1949" s="10"/>
      <c r="B1949" s="10"/>
      <c r="C1949" s="10"/>
      <c r="D1949" s="10"/>
      <c r="E1949" s="10"/>
      <c r="F1949" s="10"/>
      <c r="G1949" s="10"/>
      <c r="H1949" s="10"/>
      <c r="I1949" s="1" t="str">
        <f t="shared" si="90"/>
        <v/>
      </c>
      <c r="J1949" s="1" t="s">
        <v>35</v>
      </c>
      <c r="K1949" s="1" t="str">
        <f t="shared" si="91"/>
        <v/>
      </c>
      <c r="L1949" s="1" t="str">
        <f t="shared" si="92"/>
        <v/>
      </c>
      <c r="M1949" s="1">
        <f>IF(OR(Table1[[#This Row],[Std Nom]]="",Table1[[#This Row],[Std Read]]=""),0,Table1[[#This Row],[Std Nom]]-Table1[[#This Row],[Std Read]])</f>
        <v>0</v>
      </c>
      <c r="N1949" s="1">
        <f>IF(Calculations!$F$5="ACCREDITED 17025 WITH UNCERTAINTIES",$N$10,0)</f>
        <v>0</v>
      </c>
      <c r="O1949" s="1" t="str">
        <f>IFERROR(Table1[[#This Row],[Std Nom]]-(_xlfn.XLOOKUP(Table1[[#This Row],[Manufacturer]]&amp;" "&amp;Table1[[#This Row],[Model]],Table13[MFR &amp; MDL],Table13[Tolerance % CW ],"")/100*Table1[[#This Row],[Std Nom]]),"")</f>
        <v/>
      </c>
      <c r="P1949" s="1" t="str">
        <f>IFERROR(Table1[[#This Row],[Std Nom]]+(_xlfn.XLOOKUP(Table1[[#This Row],[Manufacturer]]&amp;" "&amp;Table1[[#This Row],[Model]],Table13[MFR &amp; MDL],Table13[Tolerance % CW ],"")/100*Table1[[#This Row],[Std Nom]]),"")</f>
        <v/>
      </c>
      <c r="Q1949" s="1" t="e">
        <f>Table1[[#This Row],[High Tol]]-Table1[[#This Row],[Low Tol]]</f>
        <v>#VALUE!</v>
      </c>
      <c r="R1949" s="1">
        <f>2*Table1[[#This Row],[Std Error]]</f>
        <v>0</v>
      </c>
      <c r="S1949" s="1" t="str">
        <f>IF(Table1[[#This Row],[High Tol]]="","N/A",IFERROR(ABS(Table1[[#This Row],[Tol Span]]/Table1[[#This Row],[Error Span]]),"N/A"))</f>
        <v>N/A</v>
      </c>
      <c r="T1949" s="1" t="str">
        <f>IF(OR(Table1[[#This Row],[Low Tol]]="",Table1[[#This Row],[High Tol]]=""),"Needs Analysis",IF(Table1[[#This Row],[Ratio]]&gt;=4,"Not Significant",IF(Table1[[#This Row],[Ratio]]&gt;=2,"Semi-Significant","Significant")))</f>
        <v>Needs Analysis</v>
      </c>
      <c r="W1949" s="1">
        <f>IF(Table1[[#This Row],[Cal Type]]&lt;&gt;"ACCREDITED 17025 WITH UNCERTAINTIES",0,"")</f>
        <v>0</v>
      </c>
      <c r="X1949" s="1" t="str">
        <f>IF(Table1[[#This Row],[DUT Read]]="","N/A",Table1[[#This Row],[Std Error]]+Table1[[#This Row],[DUT Read]]+Table1[[#This Row],[DUT Ucty]])</f>
        <v>N/A</v>
      </c>
      <c r="Y1949" s="1" t="str">
        <f>IF(Table1[[#This Row],[Std Read]]="","N/A",Table1[[#This Row],[Std Read]]+Table1[[#This Row],[Std Ucty]])</f>
        <v>N/A</v>
      </c>
      <c r="Z19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9" s="1" t="str">
        <f>IF(Table1[[#This Row],[Spec Type]]="","N/A",Table1[[#This Row],[Spec Type]])</f>
        <v>±</v>
      </c>
      <c r="AC1949" s="1" t="str">
        <f>IF(Table1[[#This Row],[Spec Type2]]="N/A","N/A",IF(AND(Table1[[#This Row],[DUT Adj Read]]&gt;=Table1[[#This Row],[Low Tol]],Table1[[#This Row],[DUT Adj Read]]&lt;=Table1[[#This Row],[High Tol]]),"Pass","Fail"))</f>
        <v>Fail</v>
      </c>
      <c r="AD1949" s="1" t="str">
        <f>IF(AND(Table1[[#This Row],[Spec Type2]]="N/A",Table1[[#This Row],[DUT Adj Read]]="N/A",Table1[[#This Row],[Std Adj Read]]="N/A"),"N/A",IF(Table1[[#This Row],[DUT Adj Read]]="N/A",IF(Table1[[#This Row],[Std Adj Read]]&gt;Table1[[#This Row],[Low Tol]],"Pass","Fail"),IF(Table1[[#This Row],[DUT Adj Read]]&gt;Table1[[#This Row],[Low Tol]],"Pass","Fail")))</f>
        <v>Pass</v>
      </c>
      <c r="AE1949" s="1" t="str">
        <f>IF(AND(Table1[[#This Row],[Spec Type2]]="N/A",Table1[[#This Row],[DUT Adj Read]]="N/A",Table1[[#This Row],[Std Adj Read]]="N/A"),"N/A",IF(Table1[[#This Row],[DUT Adj Read]]="N/A",IF(Table1[[#This Row],[Std Adj Read]]&lt;Table1[[#This Row],[High Tol]],"Pass","Fail"),IF(Table1[[#This Row],[DUT Adj Read]]&lt;Table1[[#This Row],[High Tol]],"Pass","Fail")))</f>
        <v>Fail</v>
      </c>
      <c r="AF1949" s="1" t="str">
        <f>IF(AND(Table1[[#This Row],[Spec Type2]]="N/A",Table1[[#This Row],[DUT Adj Read]]="N/A",Table1[[#This Row],[Std Adj Read]]="N/A"),"N/A",IF(Table1[[#This Row],[DUT Adj Read]]="N/A",IF(Table1[[#This Row],[Std Adj Read]]&gt;=Table1[[#This Row],[Low Tol]],"Pass","Fail"),IF(Table1[[#This Row],[DUT Adj Read]]&gt;=Table1[[#This Row],[Low Tol]],"Pass","Fail")))</f>
        <v>Pass</v>
      </c>
      <c r="AG1949" s="1" t="str">
        <f>IF(AND(Table1[[#This Row],[Spec Type2]]="N/A",Table1[[#This Row],[DUT Adj Read]]="N/A",Table1[[#This Row],[Std Adj Read]]="N/A"),"N/A",IF(Table1[[#This Row],[DUT Adj Read]]="N/A",IF(Table1[[#This Row],[Std Adj Read]]&lt;=Table1[[#This Row],[High Tol]],"Pass","Fail"),IF(Table1[[#This Row],[DUT Adj Read]]&lt;=Table1[[#This Row],[High Tol]],"Pass","Fail")))</f>
        <v>Fail</v>
      </c>
      <c r="AH19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9" s="1" t="b">
        <v>0</v>
      </c>
      <c r="AN1949" s="1" t="b">
        <v>0</v>
      </c>
      <c r="AO1949" s="1" t="b">
        <v>0</v>
      </c>
    </row>
    <row r="1950" spans="1:41" x14ac:dyDescent="0.25">
      <c r="A1950" s="10"/>
      <c r="B1950" s="10"/>
      <c r="C1950" s="10"/>
      <c r="D1950" s="10"/>
      <c r="E1950" s="10"/>
      <c r="F1950" s="10"/>
      <c r="G1950" s="10"/>
      <c r="H1950" s="10"/>
      <c r="I1950" s="1" t="str">
        <f t="shared" si="90"/>
        <v/>
      </c>
      <c r="J1950" s="1" t="s">
        <v>35</v>
      </c>
      <c r="K1950" s="1" t="str">
        <f t="shared" si="91"/>
        <v/>
      </c>
      <c r="L1950" s="1" t="str">
        <f t="shared" si="92"/>
        <v/>
      </c>
      <c r="M1950" s="1">
        <f>IF(OR(Table1[[#This Row],[Std Nom]]="",Table1[[#This Row],[Std Read]]=""),0,Table1[[#This Row],[Std Nom]]-Table1[[#This Row],[Std Read]])</f>
        <v>0</v>
      </c>
      <c r="N1950" s="1">
        <f>IF(Calculations!$F$5="ACCREDITED 17025 WITH UNCERTAINTIES",$N$10,0)</f>
        <v>0</v>
      </c>
      <c r="O1950" s="1" t="str">
        <f>IFERROR(Table1[[#This Row],[Std Nom]]-(_xlfn.XLOOKUP(Table1[[#This Row],[Manufacturer]]&amp;" "&amp;Table1[[#This Row],[Model]],Table13[MFR &amp; MDL],Table13[Tolerance % CW ],"")/100*Table1[[#This Row],[Std Nom]]),"")</f>
        <v/>
      </c>
      <c r="P1950" s="1" t="str">
        <f>IFERROR(Table1[[#This Row],[Std Nom]]+(_xlfn.XLOOKUP(Table1[[#This Row],[Manufacturer]]&amp;" "&amp;Table1[[#This Row],[Model]],Table13[MFR &amp; MDL],Table13[Tolerance % CW ],"")/100*Table1[[#This Row],[Std Nom]]),"")</f>
        <v/>
      </c>
      <c r="Q1950" s="1" t="e">
        <f>Table1[[#This Row],[High Tol]]-Table1[[#This Row],[Low Tol]]</f>
        <v>#VALUE!</v>
      </c>
      <c r="R1950" s="1">
        <f>2*Table1[[#This Row],[Std Error]]</f>
        <v>0</v>
      </c>
      <c r="S1950" s="1" t="str">
        <f>IF(Table1[[#This Row],[High Tol]]="","N/A",IFERROR(ABS(Table1[[#This Row],[Tol Span]]/Table1[[#This Row],[Error Span]]),"N/A"))</f>
        <v>N/A</v>
      </c>
      <c r="T1950" s="1" t="str">
        <f>IF(OR(Table1[[#This Row],[Low Tol]]="",Table1[[#This Row],[High Tol]]=""),"Needs Analysis",IF(Table1[[#This Row],[Ratio]]&gt;=4,"Not Significant",IF(Table1[[#This Row],[Ratio]]&gt;=2,"Semi-Significant","Significant")))</f>
        <v>Needs Analysis</v>
      </c>
      <c r="W1950" s="1">
        <f>IF(Table1[[#This Row],[Cal Type]]&lt;&gt;"ACCREDITED 17025 WITH UNCERTAINTIES",0,"")</f>
        <v>0</v>
      </c>
      <c r="X1950" s="1" t="str">
        <f>IF(Table1[[#This Row],[DUT Read]]="","N/A",Table1[[#This Row],[Std Error]]+Table1[[#This Row],[DUT Read]]+Table1[[#This Row],[DUT Ucty]])</f>
        <v>N/A</v>
      </c>
      <c r="Y1950" s="1" t="str">
        <f>IF(Table1[[#This Row],[Std Read]]="","N/A",Table1[[#This Row],[Std Read]]+Table1[[#This Row],[Std Ucty]])</f>
        <v>N/A</v>
      </c>
      <c r="Z19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0" s="1" t="str">
        <f>IF(Table1[[#This Row],[Spec Type]]="","N/A",Table1[[#This Row],[Spec Type]])</f>
        <v>±</v>
      </c>
      <c r="AC1950" s="1" t="str">
        <f>IF(Table1[[#This Row],[Spec Type2]]="N/A","N/A",IF(AND(Table1[[#This Row],[DUT Adj Read]]&gt;=Table1[[#This Row],[Low Tol]],Table1[[#This Row],[DUT Adj Read]]&lt;=Table1[[#This Row],[High Tol]]),"Pass","Fail"))</f>
        <v>Fail</v>
      </c>
      <c r="AD1950" s="1" t="str">
        <f>IF(AND(Table1[[#This Row],[Spec Type2]]="N/A",Table1[[#This Row],[DUT Adj Read]]="N/A",Table1[[#This Row],[Std Adj Read]]="N/A"),"N/A",IF(Table1[[#This Row],[DUT Adj Read]]="N/A",IF(Table1[[#This Row],[Std Adj Read]]&gt;Table1[[#This Row],[Low Tol]],"Pass","Fail"),IF(Table1[[#This Row],[DUT Adj Read]]&gt;Table1[[#This Row],[Low Tol]],"Pass","Fail")))</f>
        <v>Pass</v>
      </c>
      <c r="AE1950" s="1" t="str">
        <f>IF(AND(Table1[[#This Row],[Spec Type2]]="N/A",Table1[[#This Row],[DUT Adj Read]]="N/A",Table1[[#This Row],[Std Adj Read]]="N/A"),"N/A",IF(Table1[[#This Row],[DUT Adj Read]]="N/A",IF(Table1[[#This Row],[Std Adj Read]]&lt;Table1[[#This Row],[High Tol]],"Pass","Fail"),IF(Table1[[#This Row],[DUT Adj Read]]&lt;Table1[[#This Row],[High Tol]],"Pass","Fail")))</f>
        <v>Fail</v>
      </c>
      <c r="AF1950" s="1" t="str">
        <f>IF(AND(Table1[[#This Row],[Spec Type2]]="N/A",Table1[[#This Row],[DUT Adj Read]]="N/A",Table1[[#This Row],[Std Adj Read]]="N/A"),"N/A",IF(Table1[[#This Row],[DUT Adj Read]]="N/A",IF(Table1[[#This Row],[Std Adj Read]]&gt;=Table1[[#This Row],[Low Tol]],"Pass","Fail"),IF(Table1[[#This Row],[DUT Adj Read]]&gt;=Table1[[#This Row],[Low Tol]],"Pass","Fail")))</f>
        <v>Pass</v>
      </c>
      <c r="AG1950" s="1" t="str">
        <f>IF(AND(Table1[[#This Row],[Spec Type2]]="N/A",Table1[[#This Row],[DUT Adj Read]]="N/A",Table1[[#This Row],[Std Adj Read]]="N/A"),"N/A",IF(Table1[[#This Row],[DUT Adj Read]]="N/A",IF(Table1[[#This Row],[Std Adj Read]]&lt;=Table1[[#This Row],[High Tol]],"Pass","Fail"),IF(Table1[[#This Row],[DUT Adj Read]]&lt;=Table1[[#This Row],[High Tol]],"Pass","Fail")))</f>
        <v>Fail</v>
      </c>
      <c r="AH19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0" s="1" t="b">
        <v>0</v>
      </c>
      <c r="AN1950" s="1" t="b">
        <v>0</v>
      </c>
      <c r="AO1950" s="1" t="b">
        <v>0</v>
      </c>
    </row>
    <row r="1951" spans="1:41" x14ac:dyDescent="0.25">
      <c r="A1951" s="10"/>
      <c r="B1951" s="10"/>
      <c r="C1951" s="10"/>
      <c r="D1951" s="10"/>
      <c r="E1951" s="10"/>
      <c r="F1951" s="10"/>
      <c r="G1951" s="10"/>
      <c r="H1951" s="10"/>
      <c r="I1951" s="1" t="str">
        <f t="shared" si="90"/>
        <v/>
      </c>
      <c r="J1951" s="1" t="s">
        <v>35</v>
      </c>
      <c r="K1951" s="1" t="str">
        <f t="shared" si="91"/>
        <v/>
      </c>
      <c r="L1951" s="1" t="str">
        <f t="shared" si="92"/>
        <v/>
      </c>
      <c r="M1951" s="1">
        <f>IF(OR(Table1[[#This Row],[Std Nom]]="",Table1[[#This Row],[Std Read]]=""),0,Table1[[#This Row],[Std Nom]]-Table1[[#This Row],[Std Read]])</f>
        <v>0</v>
      </c>
      <c r="N1951" s="1">
        <f>IF(Calculations!$F$5="ACCREDITED 17025 WITH UNCERTAINTIES",$N$10,0)</f>
        <v>0</v>
      </c>
      <c r="O1951" s="1" t="str">
        <f>IFERROR(Table1[[#This Row],[Std Nom]]-(_xlfn.XLOOKUP(Table1[[#This Row],[Manufacturer]]&amp;" "&amp;Table1[[#This Row],[Model]],Table13[MFR &amp; MDL],Table13[Tolerance % CW ],"")/100*Table1[[#This Row],[Std Nom]]),"")</f>
        <v/>
      </c>
      <c r="P1951" s="1" t="str">
        <f>IFERROR(Table1[[#This Row],[Std Nom]]+(_xlfn.XLOOKUP(Table1[[#This Row],[Manufacturer]]&amp;" "&amp;Table1[[#This Row],[Model]],Table13[MFR &amp; MDL],Table13[Tolerance % CW ],"")/100*Table1[[#This Row],[Std Nom]]),"")</f>
        <v/>
      </c>
      <c r="Q1951" s="1" t="e">
        <f>Table1[[#This Row],[High Tol]]-Table1[[#This Row],[Low Tol]]</f>
        <v>#VALUE!</v>
      </c>
      <c r="R1951" s="1">
        <f>2*Table1[[#This Row],[Std Error]]</f>
        <v>0</v>
      </c>
      <c r="S1951" s="1" t="str">
        <f>IF(Table1[[#This Row],[High Tol]]="","N/A",IFERROR(ABS(Table1[[#This Row],[Tol Span]]/Table1[[#This Row],[Error Span]]),"N/A"))</f>
        <v>N/A</v>
      </c>
      <c r="T1951" s="1" t="str">
        <f>IF(OR(Table1[[#This Row],[Low Tol]]="",Table1[[#This Row],[High Tol]]=""),"Needs Analysis",IF(Table1[[#This Row],[Ratio]]&gt;=4,"Not Significant",IF(Table1[[#This Row],[Ratio]]&gt;=2,"Semi-Significant","Significant")))</f>
        <v>Needs Analysis</v>
      </c>
      <c r="W1951" s="1">
        <f>IF(Table1[[#This Row],[Cal Type]]&lt;&gt;"ACCREDITED 17025 WITH UNCERTAINTIES",0,"")</f>
        <v>0</v>
      </c>
      <c r="X1951" s="1" t="str">
        <f>IF(Table1[[#This Row],[DUT Read]]="","N/A",Table1[[#This Row],[Std Error]]+Table1[[#This Row],[DUT Read]]+Table1[[#This Row],[DUT Ucty]])</f>
        <v>N/A</v>
      </c>
      <c r="Y1951" s="1" t="str">
        <f>IF(Table1[[#This Row],[Std Read]]="","N/A",Table1[[#This Row],[Std Read]]+Table1[[#This Row],[Std Ucty]])</f>
        <v>N/A</v>
      </c>
      <c r="Z19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1" s="1" t="str">
        <f>IF(Table1[[#This Row],[Spec Type]]="","N/A",Table1[[#This Row],[Spec Type]])</f>
        <v>±</v>
      </c>
      <c r="AC1951" s="1" t="str">
        <f>IF(Table1[[#This Row],[Spec Type2]]="N/A","N/A",IF(AND(Table1[[#This Row],[DUT Adj Read]]&gt;=Table1[[#This Row],[Low Tol]],Table1[[#This Row],[DUT Adj Read]]&lt;=Table1[[#This Row],[High Tol]]),"Pass","Fail"))</f>
        <v>Fail</v>
      </c>
      <c r="AD1951" s="1" t="str">
        <f>IF(AND(Table1[[#This Row],[Spec Type2]]="N/A",Table1[[#This Row],[DUT Adj Read]]="N/A",Table1[[#This Row],[Std Adj Read]]="N/A"),"N/A",IF(Table1[[#This Row],[DUT Adj Read]]="N/A",IF(Table1[[#This Row],[Std Adj Read]]&gt;Table1[[#This Row],[Low Tol]],"Pass","Fail"),IF(Table1[[#This Row],[DUT Adj Read]]&gt;Table1[[#This Row],[Low Tol]],"Pass","Fail")))</f>
        <v>Pass</v>
      </c>
      <c r="AE1951" s="1" t="str">
        <f>IF(AND(Table1[[#This Row],[Spec Type2]]="N/A",Table1[[#This Row],[DUT Adj Read]]="N/A",Table1[[#This Row],[Std Adj Read]]="N/A"),"N/A",IF(Table1[[#This Row],[DUT Adj Read]]="N/A",IF(Table1[[#This Row],[Std Adj Read]]&lt;Table1[[#This Row],[High Tol]],"Pass","Fail"),IF(Table1[[#This Row],[DUT Adj Read]]&lt;Table1[[#This Row],[High Tol]],"Pass","Fail")))</f>
        <v>Fail</v>
      </c>
      <c r="AF1951" s="1" t="str">
        <f>IF(AND(Table1[[#This Row],[Spec Type2]]="N/A",Table1[[#This Row],[DUT Adj Read]]="N/A",Table1[[#This Row],[Std Adj Read]]="N/A"),"N/A",IF(Table1[[#This Row],[DUT Adj Read]]="N/A",IF(Table1[[#This Row],[Std Adj Read]]&gt;=Table1[[#This Row],[Low Tol]],"Pass","Fail"),IF(Table1[[#This Row],[DUT Adj Read]]&gt;=Table1[[#This Row],[Low Tol]],"Pass","Fail")))</f>
        <v>Pass</v>
      </c>
      <c r="AG1951" s="1" t="str">
        <f>IF(AND(Table1[[#This Row],[Spec Type2]]="N/A",Table1[[#This Row],[DUT Adj Read]]="N/A",Table1[[#This Row],[Std Adj Read]]="N/A"),"N/A",IF(Table1[[#This Row],[DUT Adj Read]]="N/A",IF(Table1[[#This Row],[Std Adj Read]]&lt;=Table1[[#This Row],[High Tol]],"Pass","Fail"),IF(Table1[[#This Row],[DUT Adj Read]]&lt;=Table1[[#This Row],[High Tol]],"Pass","Fail")))</f>
        <v>Fail</v>
      </c>
      <c r="AH19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1" s="1" t="b">
        <v>0</v>
      </c>
      <c r="AN1951" s="1" t="b">
        <v>0</v>
      </c>
      <c r="AO1951" s="1" t="b">
        <v>0</v>
      </c>
    </row>
    <row r="1952" spans="1:41" x14ac:dyDescent="0.25">
      <c r="A1952" s="10"/>
      <c r="B1952" s="10"/>
      <c r="C1952" s="10"/>
      <c r="D1952" s="10"/>
      <c r="E1952" s="10"/>
      <c r="F1952" s="10"/>
      <c r="G1952" s="10"/>
      <c r="H1952" s="10"/>
      <c r="I1952" s="1" t="str">
        <f t="shared" si="90"/>
        <v/>
      </c>
      <c r="J1952" s="1" t="s">
        <v>35</v>
      </c>
      <c r="K1952" s="1" t="str">
        <f t="shared" si="91"/>
        <v/>
      </c>
      <c r="L1952" s="1" t="str">
        <f t="shared" si="92"/>
        <v/>
      </c>
      <c r="M1952" s="1">
        <f>IF(OR(Table1[[#This Row],[Std Nom]]="",Table1[[#This Row],[Std Read]]=""),0,Table1[[#This Row],[Std Nom]]-Table1[[#This Row],[Std Read]])</f>
        <v>0</v>
      </c>
      <c r="N1952" s="1">
        <f>IF(Calculations!$F$5="ACCREDITED 17025 WITH UNCERTAINTIES",$N$10,0)</f>
        <v>0</v>
      </c>
      <c r="O1952" s="1" t="str">
        <f>IFERROR(Table1[[#This Row],[Std Nom]]-(_xlfn.XLOOKUP(Table1[[#This Row],[Manufacturer]]&amp;" "&amp;Table1[[#This Row],[Model]],Table13[MFR &amp; MDL],Table13[Tolerance % CW ],"")/100*Table1[[#This Row],[Std Nom]]),"")</f>
        <v/>
      </c>
      <c r="P1952" s="1" t="str">
        <f>IFERROR(Table1[[#This Row],[Std Nom]]+(_xlfn.XLOOKUP(Table1[[#This Row],[Manufacturer]]&amp;" "&amp;Table1[[#This Row],[Model]],Table13[MFR &amp; MDL],Table13[Tolerance % CW ],"")/100*Table1[[#This Row],[Std Nom]]),"")</f>
        <v/>
      </c>
      <c r="Q1952" s="1" t="e">
        <f>Table1[[#This Row],[High Tol]]-Table1[[#This Row],[Low Tol]]</f>
        <v>#VALUE!</v>
      </c>
      <c r="R1952" s="1">
        <f>2*Table1[[#This Row],[Std Error]]</f>
        <v>0</v>
      </c>
      <c r="S1952" s="1" t="str">
        <f>IF(Table1[[#This Row],[High Tol]]="","N/A",IFERROR(ABS(Table1[[#This Row],[Tol Span]]/Table1[[#This Row],[Error Span]]),"N/A"))</f>
        <v>N/A</v>
      </c>
      <c r="T1952" s="1" t="str">
        <f>IF(OR(Table1[[#This Row],[Low Tol]]="",Table1[[#This Row],[High Tol]]=""),"Needs Analysis",IF(Table1[[#This Row],[Ratio]]&gt;=4,"Not Significant",IF(Table1[[#This Row],[Ratio]]&gt;=2,"Semi-Significant","Significant")))</f>
        <v>Needs Analysis</v>
      </c>
      <c r="W1952" s="1">
        <f>IF(Table1[[#This Row],[Cal Type]]&lt;&gt;"ACCREDITED 17025 WITH UNCERTAINTIES",0,"")</f>
        <v>0</v>
      </c>
      <c r="X1952" s="1" t="str">
        <f>IF(Table1[[#This Row],[DUT Read]]="","N/A",Table1[[#This Row],[Std Error]]+Table1[[#This Row],[DUT Read]]+Table1[[#This Row],[DUT Ucty]])</f>
        <v>N/A</v>
      </c>
      <c r="Y1952" s="1" t="str">
        <f>IF(Table1[[#This Row],[Std Read]]="","N/A",Table1[[#This Row],[Std Read]]+Table1[[#This Row],[Std Ucty]])</f>
        <v>N/A</v>
      </c>
      <c r="Z19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2" s="1" t="str">
        <f>IF(Table1[[#This Row],[Spec Type]]="","N/A",Table1[[#This Row],[Spec Type]])</f>
        <v>±</v>
      </c>
      <c r="AC1952" s="1" t="str">
        <f>IF(Table1[[#This Row],[Spec Type2]]="N/A","N/A",IF(AND(Table1[[#This Row],[DUT Adj Read]]&gt;=Table1[[#This Row],[Low Tol]],Table1[[#This Row],[DUT Adj Read]]&lt;=Table1[[#This Row],[High Tol]]),"Pass","Fail"))</f>
        <v>Fail</v>
      </c>
      <c r="AD1952" s="1" t="str">
        <f>IF(AND(Table1[[#This Row],[Spec Type2]]="N/A",Table1[[#This Row],[DUT Adj Read]]="N/A",Table1[[#This Row],[Std Adj Read]]="N/A"),"N/A",IF(Table1[[#This Row],[DUT Adj Read]]="N/A",IF(Table1[[#This Row],[Std Adj Read]]&gt;Table1[[#This Row],[Low Tol]],"Pass","Fail"),IF(Table1[[#This Row],[DUT Adj Read]]&gt;Table1[[#This Row],[Low Tol]],"Pass","Fail")))</f>
        <v>Pass</v>
      </c>
      <c r="AE1952" s="1" t="str">
        <f>IF(AND(Table1[[#This Row],[Spec Type2]]="N/A",Table1[[#This Row],[DUT Adj Read]]="N/A",Table1[[#This Row],[Std Adj Read]]="N/A"),"N/A",IF(Table1[[#This Row],[DUT Adj Read]]="N/A",IF(Table1[[#This Row],[Std Adj Read]]&lt;Table1[[#This Row],[High Tol]],"Pass","Fail"),IF(Table1[[#This Row],[DUT Adj Read]]&lt;Table1[[#This Row],[High Tol]],"Pass","Fail")))</f>
        <v>Fail</v>
      </c>
      <c r="AF1952" s="1" t="str">
        <f>IF(AND(Table1[[#This Row],[Spec Type2]]="N/A",Table1[[#This Row],[DUT Adj Read]]="N/A",Table1[[#This Row],[Std Adj Read]]="N/A"),"N/A",IF(Table1[[#This Row],[DUT Adj Read]]="N/A",IF(Table1[[#This Row],[Std Adj Read]]&gt;=Table1[[#This Row],[Low Tol]],"Pass","Fail"),IF(Table1[[#This Row],[DUT Adj Read]]&gt;=Table1[[#This Row],[Low Tol]],"Pass","Fail")))</f>
        <v>Pass</v>
      </c>
      <c r="AG1952" s="1" t="str">
        <f>IF(AND(Table1[[#This Row],[Spec Type2]]="N/A",Table1[[#This Row],[DUT Adj Read]]="N/A",Table1[[#This Row],[Std Adj Read]]="N/A"),"N/A",IF(Table1[[#This Row],[DUT Adj Read]]="N/A",IF(Table1[[#This Row],[Std Adj Read]]&lt;=Table1[[#This Row],[High Tol]],"Pass","Fail"),IF(Table1[[#This Row],[DUT Adj Read]]&lt;=Table1[[#This Row],[High Tol]],"Pass","Fail")))</f>
        <v>Fail</v>
      </c>
      <c r="AH19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2" s="1" t="b">
        <v>0</v>
      </c>
      <c r="AN1952" s="1" t="b">
        <v>0</v>
      </c>
      <c r="AO1952" s="1" t="b">
        <v>0</v>
      </c>
    </row>
    <row r="1953" spans="1:41" x14ac:dyDescent="0.25">
      <c r="A1953" s="10"/>
      <c r="B1953" s="10"/>
      <c r="C1953" s="10"/>
      <c r="D1953" s="10"/>
      <c r="E1953" s="10"/>
      <c r="F1953" s="10"/>
      <c r="G1953" s="10"/>
      <c r="H1953" s="10"/>
      <c r="I1953" s="1" t="str">
        <f t="shared" si="90"/>
        <v/>
      </c>
      <c r="J1953" s="1" t="s">
        <v>35</v>
      </c>
      <c r="K1953" s="1" t="str">
        <f t="shared" si="91"/>
        <v/>
      </c>
      <c r="L1953" s="1" t="str">
        <f t="shared" si="92"/>
        <v/>
      </c>
      <c r="M1953" s="1">
        <f>IF(OR(Table1[[#This Row],[Std Nom]]="",Table1[[#This Row],[Std Read]]=""),0,Table1[[#This Row],[Std Nom]]-Table1[[#This Row],[Std Read]])</f>
        <v>0</v>
      </c>
      <c r="N1953" s="1">
        <f>IF(Calculations!$F$5="ACCREDITED 17025 WITH UNCERTAINTIES",$N$10,0)</f>
        <v>0</v>
      </c>
      <c r="O1953" s="1" t="str">
        <f>IFERROR(Table1[[#This Row],[Std Nom]]-(_xlfn.XLOOKUP(Table1[[#This Row],[Manufacturer]]&amp;" "&amp;Table1[[#This Row],[Model]],Table13[MFR &amp; MDL],Table13[Tolerance % CW ],"")/100*Table1[[#This Row],[Std Nom]]),"")</f>
        <v/>
      </c>
      <c r="P1953" s="1" t="str">
        <f>IFERROR(Table1[[#This Row],[Std Nom]]+(_xlfn.XLOOKUP(Table1[[#This Row],[Manufacturer]]&amp;" "&amp;Table1[[#This Row],[Model]],Table13[MFR &amp; MDL],Table13[Tolerance % CW ],"")/100*Table1[[#This Row],[Std Nom]]),"")</f>
        <v/>
      </c>
      <c r="Q1953" s="1" t="e">
        <f>Table1[[#This Row],[High Tol]]-Table1[[#This Row],[Low Tol]]</f>
        <v>#VALUE!</v>
      </c>
      <c r="R1953" s="1">
        <f>2*Table1[[#This Row],[Std Error]]</f>
        <v>0</v>
      </c>
      <c r="S1953" s="1" t="str">
        <f>IF(Table1[[#This Row],[High Tol]]="","N/A",IFERROR(ABS(Table1[[#This Row],[Tol Span]]/Table1[[#This Row],[Error Span]]),"N/A"))</f>
        <v>N/A</v>
      </c>
      <c r="T1953" s="1" t="str">
        <f>IF(OR(Table1[[#This Row],[Low Tol]]="",Table1[[#This Row],[High Tol]]=""),"Needs Analysis",IF(Table1[[#This Row],[Ratio]]&gt;=4,"Not Significant",IF(Table1[[#This Row],[Ratio]]&gt;=2,"Semi-Significant","Significant")))</f>
        <v>Needs Analysis</v>
      </c>
      <c r="W1953" s="1">
        <f>IF(Table1[[#This Row],[Cal Type]]&lt;&gt;"ACCREDITED 17025 WITH UNCERTAINTIES",0,"")</f>
        <v>0</v>
      </c>
      <c r="X1953" s="1" t="str">
        <f>IF(Table1[[#This Row],[DUT Read]]="","N/A",Table1[[#This Row],[Std Error]]+Table1[[#This Row],[DUT Read]]+Table1[[#This Row],[DUT Ucty]])</f>
        <v>N/A</v>
      </c>
      <c r="Y1953" s="1" t="str">
        <f>IF(Table1[[#This Row],[Std Read]]="","N/A",Table1[[#This Row],[Std Read]]+Table1[[#This Row],[Std Ucty]])</f>
        <v>N/A</v>
      </c>
      <c r="Z19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3" s="1" t="str">
        <f>IF(Table1[[#This Row],[Spec Type]]="","N/A",Table1[[#This Row],[Spec Type]])</f>
        <v>±</v>
      </c>
      <c r="AC1953" s="1" t="str">
        <f>IF(Table1[[#This Row],[Spec Type2]]="N/A","N/A",IF(AND(Table1[[#This Row],[DUT Adj Read]]&gt;=Table1[[#This Row],[Low Tol]],Table1[[#This Row],[DUT Adj Read]]&lt;=Table1[[#This Row],[High Tol]]),"Pass","Fail"))</f>
        <v>Fail</v>
      </c>
      <c r="AD1953" s="1" t="str">
        <f>IF(AND(Table1[[#This Row],[Spec Type2]]="N/A",Table1[[#This Row],[DUT Adj Read]]="N/A",Table1[[#This Row],[Std Adj Read]]="N/A"),"N/A",IF(Table1[[#This Row],[DUT Adj Read]]="N/A",IF(Table1[[#This Row],[Std Adj Read]]&gt;Table1[[#This Row],[Low Tol]],"Pass","Fail"),IF(Table1[[#This Row],[DUT Adj Read]]&gt;Table1[[#This Row],[Low Tol]],"Pass","Fail")))</f>
        <v>Pass</v>
      </c>
      <c r="AE1953" s="1" t="str">
        <f>IF(AND(Table1[[#This Row],[Spec Type2]]="N/A",Table1[[#This Row],[DUT Adj Read]]="N/A",Table1[[#This Row],[Std Adj Read]]="N/A"),"N/A",IF(Table1[[#This Row],[DUT Adj Read]]="N/A",IF(Table1[[#This Row],[Std Adj Read]]&lt;Table1[[#This Row],[High Tol]],"Pass","Fail"),IF(Table1[[#This Row],[DUT Adj Read]]&lt;Table1[[#This Row],[High Tol]],"Pass","Fail")))</f>
        <v>Fail</v>
      </c>
      <c r="AF1953" s="1" t="str">
        <f>IF(AND(Table1[[#This Row],[Spec Type2]]="N/A",Table1[[#This Row],[DUT Adj Read]]="N/A",Table1[[#This Row],[Std Adj Read]]="N/A"),"N/A",IF(Table1[[#This Row],[DUT Adj Read]]="N/A",IF(Table1[[#This Row],[Std Adj Read]]&gt;=Table1[[#This Row],[Low Tol]],"Pass","Fail"),IF(Table1[[#This Row],[DUT Adj Read]]&gt;=Table1[[#This Row],[Low Tol]],"Pass","Fail")))</f>
        <v>Pass</v>
      </c>
      <c r="AG1953" s="1" t="str">
        <f>IF(AND(Table1[[#This Row],[Spec Type2]]="N/A",Table1[[#This Row],[DUT Adj Read]]="N/A",Table1[[#This Row],[Std Adj Read]]="N/A"),"N/A",IF(Table1[[#This Row],[DUT Adj Read]]="N/A",IF(Table1[[#This Row],[Std Adj Read]]&lt;=Table1[[#This Row],[High Tol]],"Pass","Fail"),IF(Table1[[#This Row],[DUT Adj Read]]&lt;=Table1[[#This Row],[High Tol]],"Pass","Fail")))</f>
        <v>Fail</v>
      </c>
      <c r="AH19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3" s="1" t="b">
        <v>0</v>
      </c>
      <c r="AN1953" s="1" t="b">
        <v>0</v>
      </c>
      <c r="AO1953" s="1" t="b">
        <v>0</v>
      </c>
    </row>
    <row r="1954" spans="1:41" x14ac:dyDescent="0.25">
      <c r="A1954" s="10"/>
      <c r="B1954" s="10"/>
      <c r="C1954" s="10"/>
      <c r="D1954" s="10"/>
      <c r="E1954" s="10"/>
      <c r="F1954" s="10"/>
      <c r="G1954" s="10"/>
      <c r="H1954" s="10"/>
      <c r="I1954" s="1" t="str">
        <f t="shared" si="90"/>
        <v/>
      </c>
      <c r="J1954" s="1" t="s">
        <v>35</v>
      </c>
      <c r="K1954" s="1" t="str">
        <f t="shared" si="91"/>
        <v/>
      </c>
      <c r="L1954" s="1" t="str">
        <f t="shared" si="92"/>
        <v/>
      </c>
      <c r="M1954" s="1">
        <f>IF(OR(Table1[[#This Row],[Std Nom]]="",Table1[[#This Row],[Std Read]]=""),0,Table1[[#This Row],[Std Nom]]-Table1[[#This Row],[Std Read]])</f>
        <v>0</v>
      </c>
      <c r="N1954" s="1">
        <f>IF(Calculations!$F$5="ACCREDITED 17025 WITH UNCERTAINTIES",$N$10,0)</f>
        <v>0</v>
      </c>
      <c r="O1954" s="1" t="str">
        <f>IFERROR(Table1[[#This Row],[Std Nom]]-(_xlfn.XLOOKUP(Table1[[#This Row],[Manufacturer]]&amp;" "&amp;Table1[[#This Row],[Model]],Table13[MFR &amp; MDL],Table13[Tolerance % CW ],"")/100*Table1[[#This Row],[Std Nom]]),"")</f>
        <v/>
      </c>
      <c r="P1954" s="1" t="str">
        <f>IFERROR(Table1[[#This Row],[Std Nom]]+(_xlfn.XLOOKUP(Table1[[#This Row],[Manufacturer]]&amp;" "&amp;Table1[[#This Row],[Model]],Table13[MFR &amp; MDL],Table13[Tolerance % CW ],"")/100*Table1[[#This Row],[Std Nom]]),"")</f>
        <v/>
      </c>
      <c r="Q1954" s="1" t="e">
        <f>Table1[[#This Row],[High Tol]]-Table1[[#This Row],[Low Tol]]</f>
        <v>#VALUE!</v>
      </c>
      <c r="R1954" s="1">
        <f>2*Table1[[#This Row],[Std Error]]</f>
        <v>0</v>
      </c>
      <c r="S1954" s="1" t="str">
        <f>IF(Table1[[#This Row],[High Tol]]="","N/A",IFERROR(ABS(Table1[[#This Row],[Tol Span]]/Table1[[#This Row],[Error Span]]),"N/A"))</f>
        <v>N/A</v>
      </c>
      <c r="T1954" s="1" t="str">
        <f>IF(OR(Table1[[#This Row],[Low Tol]]="",Table1[[#This Row],[High Tol]]=""),"Needs Analysis",IF(Table1[[#This Row],[Ratio]]&gt;=4,"Not Significant",IF(Table1[[#This Row],[Ratio]]&gt;=2,"Semi-Significant","Significant")))</f>
        <v>Needs Analysis</v>
      </c>
      <c r="W1954" s="1">
        <f>IF(Table1[[#This Row],[Cal Type]]&lt;&gt;"ACCREDITED 17025 WITH UNCERTAINTIES",0,"")</f>
        <v>0</v>
      </c>
      <c r="X1954" s="1" t="str">
        <f>IF(Table1[[#This Row],[DUT Read]]="","N/A",Table1[[#This Row],[Std Error]]+Table1[[#This Row],[DUT Read]]+Table1[[#This Row],[DUT Ucty]])</f>
        <v>N/A</v>
      </c>
      <c r="Y1954" s="1" t="str">
        <f>IF(Table1[[#This Row],[Std Read]]="","N/A",Table1[[#This Row],[Std Read]]+Table1[[#This Row],[Std Ucty]])</f>
        <v>N/A</v>
      </c>
      <c r="Z19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4" s="1" t="str">
        <f>IF(Table1[[#This Row],[Spec Type]]="","N/A",Table1[[#This Row],[Spec Type]])</f>
        <v>±</v>
      </c>
      <c r="AC1954" s="1" t="str">
        <f>IF(Table1[[#This Row],[Spec Type2]]="N/A","N/A",IF(AND(Table1[[#This Row],[DUT Adj Read]]&gt;=Table1[[#This Row],[Low Tol]],Table1[[#This Row],[DUT Adj Read]]&lt;=Table1[[#This Row],[High Tol]]),"Pass","Fail"))</f>
        <v>Fail</v>
      </c>
      <c r="AD1954" s="1" t="str">
        <f>IF(AND(Table1[[#This Row],[Spec Type2]]="N/A",Table1[[#This Row],[DUT Adj Read]]="N/A",Table1[[#This Row],[Std Adj Read]]="N/A"),"N/A",IF(Table1[[#This Row],[DUT Adj Read]]="N/A",IF(Table1[[#This Row],[Std Adj Read]]&gt;Table1[[#This Row],[Low Tol]],"Pass","Fail"),IF(Table1[[#This Row],[DUT Adj Read]]&gt;Table1[[#This Row],[Low Tol]],"Pass","Fail")))</f>
        <v>Pass</v>
      </c>
      <c r="AE1954" s="1" t="str">
        <f>IF(AND(Table1[[#This Row],[Spec Type2]]="N/A",Table1[[#This Row],[DUT Adj Read]]="N/A",Table1[[#This Row],[Std Adj Read]]="N/A"),"N/A",IF(Table1[[#This Row],[DUT Adj Read]]="N/A",IF(Table1[[#This Row],[Std Adj Read]]&lt;Table1[[#This Row],[High Tol]],"Pass","Fail"),IF(Table1[[#This Row],[DUT Adj Read]]&lt;Table1[[#This Row],[High Tol]],"Pass","Fail")))</f>
        <v>Fail</v>
      </c>
      <c r="AF1954" s="1" t="str">
        <f>IF(AND(Table1[[#This Row],[Spec Type2]]="N/A",Table1[[#This Row],[DUT Adj Read]]="N/A",Table1[[#This Row],[Std Adj Read]]="N/A"),"N/A",IF(Table1[[#This Row],[DUT Adj Read]]="N/A",IF(Table1[[#This Row],[Std Adj Read]]&gt;=Table1[[#This Row],[Low Tol]],"Pass","Fail"),IF(Table1[[#This Row],[DUT Adj Read]]&gt;=Table1[[#This Row],[Low Tol]],"Pass","Fail")))</f>
        <v>Pass</v>
      </c>
      <c r="AG1954" s="1" t="str">
        <f>IF(AND(Table1[[#This Row],[Spec Type2]]="N/A",Table1[[#This Row],[DUT Adj Read]]="N/A",Table1[[#This Row],[Std Adj Read]]="N/A"),"N/A",IF(Table1[[#This Row],[DUT Adj Read]]="N/A",IF(Table1[[#This Row],[Std Adj Read]]&lt;=Table1[[#This Row],[High Tol]],"Pass","Fail"),IF(Table1[[#This Row],[DUT Adj Read]]&lt;=Table1[[#This Row],[High Tol]],"Pass","Fail")))</f>
        <v>Fail</v>
      </c>
      <c r="AH19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4" s="1" t="b">
        <v>0</v>
      </c>
      <c r="AN1954" s="1" t="b">
        <v>0</v>
      </c>
      <c r="AO1954" s="1" t="b">
        <v>0</v>
      </c>
    </row>
    <row r="1955" spans="1:41" x14ac:dyDescent="0.25">
      <c r="A1955" s="10"/>
      <c r="B1955" s="10"/>
      <c r="C1955" s="10"/>
      <c r="D1955" s="10"/>
      <c r="E1955" s="10"/>
      <c r="F1955" s="10"/>
      <c r="G1955" s="10"/>
      <c r="H1955" s="10"/>
      <c r="I1955" s="1" t="str">
        <f t="shared" si="90"/>
        <v/>
      </c>
      <c r="J1955" s="1" t="s">
        <v>35</v>
      </c>
      <c r="K1955" s="1" t="str">
        <f t="shared" si="91"/>
        <v/>
      </c>
      <c r="L1955" s="1" t="str">
        <f t="shared" si="92"/>
        <v/>
      </c>
      <c r="M1955" s="1">
        <f>IF(OR(Table1[[#This Row],[Std Nom]]="",Table1[[#This Row],[Std Read]]=""),0,Table1[[#This Row],[Std Nom]]-Table1[[#This Row],[Std Read]])</f>
        <v>0</v>
      </c>
      <c r="N1955" s="1">
        <f>IF(Calculations!$F$5="ACCREDITED 17025 WITH UNCERTAINTIES",$N$10,0)</f>
        <v>0</v>
      </c>
      <c r="O1955" s="1" t="str">
        <f>IFERROR(Table1[[#This Row],[Std Nom]]-(_xlfn.XLOOKUP(Table1[[#This Row],[Manufacturer]]&amp;" "&amp;Table1[[#This Row],[Model]],Table13[MFR &amp; MDL],Table13[Tolerance % CW ],"")/100*Table1[[#This Row],[Std Nom]]),"")</f>
        <v/>
      </c>
      <c r="P1955" s="1" t="str">
        <f>IFERROR(Table1[[#This Row],[Std Nom]]+(_xlfn.XLOOKUP(Table1[[#This Row],[Manufacturer]]&amp;" "&amp;Table1[[#This Row],[Model]],Table13[MFR &amp; MDL],Table13[Tolerance % CW ],"")/100*Table1[[#This Row],[Std Nom]]),"")</f>
        <v/>
      </c>
      <c r="Q1955" s="1" t="e">
        <f>Table1[[#This Row],[High Tol]]-Table1[[#This Row],[Low Tol]]</f>
        <v>#VALUE!</v>
      </c>
      <c r="R1955" s="1">
        <f>2*Table1[[#This Row],[Std Error]]</f>
        <v>0</v>
      </c>
      <c r="S1955" s="1" t="str">
        <f>IF(Table1[[#This Row],[High Tol]]="","N/A",IFERROR(ABS(Table1[[#This Row],[Tol Span]]/Table1[[#This Row],[Error Span]]),"N/A"))</f>
        <v>N/A</v>
      </c>
      <c r="T1955" s="1" t="str">
        <f>IF(OR(Table1[[#This Row],[Low Tol]]="",Table1[[#This Row],[High Tol]]=""),"Needs Analysis",IF(Table1[[#This Row],[Ratio]]&gt;=4,"Not Significant",IF(Table1[[#This Row],[Ratio]]&gt;=2,"Semi-Significant","Significant")))</f>
        <v>Needs Analysis</v>
      </c>
      <c r="W1955" s="1">
        <f>IF(Table1[[#This Row],[Cal Type]]&lt;&gt;"ACCREDITED 17025 WITH UNCERTAINTIES",0,"")</f>
        <v>0</v>
      </c>
      <c r="X1955" s="1" t="str">
        <f>IF(Table1[[#This Row],[DUT Read]]="","N/A",Table1[[#This Row],[Std Error]]+Table1[[#This Row],[DUT Read]]+Table1[[#This Row],[DUT Ucty]])</f>
        <v>N/A</v>
      </c>
      <c r="Y1955" s="1" t="str">
        <f>IF(Table1[[#This Row],[Std Read]]="","N/A",Table1[[#This Row],[Std Read]]+Table1[[#This Row],[Std Ucty]])</f>
        <v>N/A</v>
      </c>
      <c r="Z19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5" s="1" t="str">
        <f>IF(Table1[[#This Row],[Spec Type]]="","N/A",Table1[[#This Row],[Spec Type]])</f>
        <v>±</v>
      </c>
      <c r="AC1955" s="1" t="str">
        <f>IF(Table1[[#This Row],[Spec Type2]]="N/A","N/A",IF(AND(Table1[[#This Row],[DUT Adj Read]]&gt;=Table1[[#This Row],[Low Tol]],Table1[[#This Row],[DUT Adj Read]]&lt;=Table1[[#This Row],[High Tol]]),"Pass","Fail"))</f>
        <v>Fail</v>
      </c>
      <c r="AD1955" s="1" t="str">
        <f>IF(AND(Table1[[#This Row],[Spec Type2]]="N/A",Table1[[#This Row],[DUT Adj Read]]="N/A",Table1[[#This Row],[Std Adj Read]]="N/A"),"N/A",IF(Table1[[#This Row],[DUT Adj Read]]="N/A",IF(Table1[[#This Row],[Std Adj Read]]&gt;Table1[[#This Row],[Low Tol]],"Pass","Fail"),IF(Table1[[#This Row],[DUT Adj Read]]&gt;Table1[[#This Row],[Low Tol]],"Pass","Fail")))</f>
        <v>Pass</v>
      </c>
      <c r="AE1955" s="1" t="str">
        <f>IF(AND(Table1[[#This Row],[Spec Type2]]="N/A",Table1[[#This Row],[DUT Adj Read]]="N/A",Table1[[#This Row],[Std Adj Read]]="N/A"),"N/A",IF(Table1[[#This Row],[DUT Adj Read]]="N/A",IF(Table1[[#This Row],[Std Adj Read]]&lt;Table1[[#This Row],[High Tol]],"Pass","Fail"),IF(Table1[[#This Row],[DUT Adj Read]]&lt;Table1[[#This Row],[High Tol]],"Pass","Fail")))</f>
        <v>Fail</v>
      </c>
      <c r="AF1955" s="1" t="str">
        <f>IF(AND(Table1[[#This Row],[Spec Type2]]="N/A",Table1[[#This Row],[DUT Adj Read]]="N/A",Table1[[#This Row],[Std Adj Read]]="N/A"),"N/A",IF(Table1[[#This Row],[DUT Adj Read]]="N/A",IF(Table1[[#This Row],[Std Adj Read]]&gt;=Table1[[#This Row],[Low Tol]],"Pass","Fail"),IF(Table1[[#This Row],[DUT Adj Read]]&gt;=Table1[[#This Row],[Low Tol]],"Pass","Fail")))</f>
        <v>Pass</v>
      </c>
      <c r="AG1955" s="1" t="str">
        <f>IF(AND(Table1[[#This Row],[Spec Type2]]="N/A",Table1[[#This Row],[DUT Adj Read]]="N/A",Table1[[#This Row],[Std Adj Read]]="N/A"),"N/A",IF(Table1[[#This Row],[DUT Adj Read]]="N/A",IF(Table1[[#This Row],[Std Adj Read]]&lt;=Table1[[#This Row],[High Tol]],"Pass","Fail"),IF(Table1[[#This Row],[DUT Adj Read]]&lt;=Table1[[#This Row],[High Tol]],"Pass","Fail")))</f>
        <v>Fail</v>
      </c>
      <c r="AH19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5" s="1" t="b">
        <v>0</v>
      </c>
      <c r="AN1955" s="1" t="b">
        <v>0</v>
      </c>
      <c r="AO1955" s="1" t="b">
        <v>0</v>
      </c>
    </row>
    <row r="1956" spans="1:41" x14ac:dyDescent="0.25">
      <c r="A1956" s="10"/>
      <c r="B1956" s="10"/>
      <c r="C1956" s="10"/>
      <c r="D1956" s="10"/>
      <c r="E1956" s="10"/>
      <c r="F1956" s="10"/>
      <c r="G1956" s="10"/>
      <c r="H1956" s="10"/>
      <c r="I1956" s="1" t="str">
        <f t="shared" si="90"/>
        <v/>
      </c>
      <c r="J1956" s="1" t="s">
        <v>35</v>
      </c>
      <c r="K1956" s="1" t="str">
        <f t="shared" si="91"/>
        <v/>
      </c>
      <c r="L1956" s="1" t="str">
        <f t="shared" si="92"/>
        <v/>
      </c>
      <c r="M1956" s="1">
        <f>IF(OR(Table1[[#This Row],[Std Nom]]="",Table1[[#This Row],[Std Read]]=""),0,Table1[[#This Row],[Std Nom]]-Table1[[#This Row],[Std Read]])</f>
        <v>0</v>
      </c>
      <c r="N1956" s="1">
        <f>IF(Calculations!$F$5="ACCREDITED 17025 WITH UNCERTAINTIES",$N$10,0)</f>
        <v>0</v>
      </c>
      <c r="O1956" s="1" t="str">
        <f>IFERROR(Table1[[#This Row],[Std Nom]]-(_xlfn.XLOOKUP(Table1[[#This Row],[Manufacturer]]&amp;" "&amp;Table1[[#This Row],[Model]],Table13[MFR &amp; MDL],Table13[Tolerance % CW ],"")/100*Table1[[#This Row],[Std Nom]]),"")</f>
        <v/>
      </c>
      <c r="P1956" s="1" t="str">
        <f>IFERROR(Table1[[#This Row],[Std Nom]]+(_xlfn.XLOOKUP(Table1[[#This Row],[Manufacturer]]&amp;" "&amp;Table1[[#This Row],[Model]],Table13[MFR &amp; MDL],Table13[Tolerance % CW ],"")/100*Table1[[#This Row],[Std Nom]]),"")</f>
        <v/>
      </c>
      <c r="Q1956" s="1" t="e">
        <f>Table1[[#This Row],[High Tol]]-Table1[[#This Row],[Low Tol]]</f>
        <v>#VALUE!</v>
      </c>
      <c r="R1956" s="1">
        <f>2*Table1[[#This Row],[Std Error]]</f>
        <v>0</v>
      </c>
      <c r="S1956" s="1" t="str">
        <f>IF(Table1[[#This Row],[High Tol]]="","N/A",IFERROR(ABS(Table1[[#This Row],[Tol Span]]/Table1[[#This Row],[Error Span]]),"N/A"))</f>
        <v>N/A</v>
      </c>
      <c r="T1956" s="1" t="str">
        <f>IF(OR(Table1[[#This Row],[Low Tol]]="",Table1[[#This Row],[High Tol]]=""),"Needs Analysis",IF(Table1[[#This Row],[Ratio]]&gt;=4,"Not Significant",IF(Table1[[#This Row],[Ratio]]&gt;=2,"Semi-Significant","Significant")))</f>
        <v>Needs Analysis</v>
      </c>
      <c r="W1956" s="1">
        <f>IF(Table1[[#This Row],[Cal Type]]&lt;&gt;"ACCREDITED 17025 WITH UNCERTAINTIES",0,"")</f>
        <v>0</v>
      </c>
      <c r="X1956" s="1" t="str">
        <f>IF(Table1[[#This Row],[DUT Read]]="","N/A",Table1[[#This Row],[Std Error]]+Table1[[#This Row],[DUT Read]]+Table1[[#This Row],[DUT Ucty]])</f>
        <v>N/A</v>
      </c>
      <c r="Y1956" s="1" t="str">
        <f>IF(Table1[[#This Row],[Std Read]]="","N/A",Table1[[#This Row],[Std Read]]+Table1[[#This Row],[Std Ucty]])</f>
        <v>N/A</v>
      </c>
      <c r="Z19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6" s="1" t="str">
        <f>IF(Table1[[#This Row],[Spec Type]]="","N/A",Table1[[#This Row],[Spec Type]])</f>
        <v>±</v>
      </c>
      <c r="AC1956" s="1" t="str">
        <f>IF(Table1[[#This Row],[Spec Type2]]="N/A","N/A",IF(AND(Table1[[#This Row],[DUT Adj Read]]&gt;=Table1[[#This Row],[Low Tol]],Table1[[#This Row],[DUT Adj Read]]&lt;=Table1[[#This Row],[High Tol]]),"Pass","Fail"))</f>
        <v>Fail</v>
      </c>
      <c r="AD1956" s="1" t="str">
        <f>IF(AND(Table1[[#This Row],[Spec Type2]]="N/A",Table1[[#This Row],[DUT Adj Read]]="N/A",Table1[[#This Row],[Std Adj Read]]="N/A"),"N/A",IF(Table1[[#This Row],[DUT Adj Read]]="N/A",IF(Table1[[#This Row],[Std Adj Read]]&gt;Table1[[#This Row],[Low Tol]],"Pass","Fail"),IF(Table1[[#This Row],[DUT Adj Read]]&gt;Table1[[#This Row],[Low Tol]],"Pass","Fail")))</f>
        <v>Pass</v>
      </c>
      <c r="AE1956" s="1" t="str">
        <f>IF(AND(Table1[[#This Row],[Spec Type2]]="N/A",Table1[[#This Row],[DUT Adj Read]]="N/A",Table1[[#This Row],[Std Adj Read]]="N/A"),"N/A",IF(Table1[[#This Row],[DUT Adj Read]]="N/A",IF(Table1[[#This Row],[Std Adj Read]]&lt;Table1[[#This Row],[High Tol]],"Pass","Fail"),IF(Table1[[#This Row],[DUT Adj Read]]&lt;Table1[[#This Row],[High Tol]],"Pass","Fail")))</f>
        <v>Fail</v>
      </c>
      <c r="AF1956" s="1" t="str">
        <f>IF(AND(Table1[[#This Row],[Spec Type2]]="N/A",Table1[[#This Row],[DUT Adj Read]]="N/A",Table1[[#This Row],[Std Adj Read]]="N/A"),"N/A",IF(Table1[[#This Row],[DUT Adj Read]]="N/A",IF(Table1[[#This Row],[Std Adj Read]]&gt;=Table1[[#This Row],[Low Tol]],"Pass","Fail"),IF(Table1[[#This Row],[DUT Adj Read]]&gt;=Table1[[#This Row],[Low Tol]],"Pass","Fail")))</f>
        <v>Pass</v>
      </c>
      <c r="AG1956" s="1" t="str">
        <f>IF(AND(Table1[[#This Row],[Spec Type2]]="N/A",Table1[[#This Row],[DUT Adj Read]]="N/A",Table1[[#This Row],[Std Adj Read]]="N/A"),"N/A",IF(Table1[[#This Row],[DUT Adj Read]]="N/A",IF(Table1[[#This Row],[Std Adj Read]]&lt;=Table1[[#This Row],[High Tol]],"Pass","Fail"),IF(Table1[[#This Row],[DUT Adj Read]]&lt;=Table1[[#This Row],[High Tol]],"Pass","Fail")))</f>
        <v>Fail</v>
      </c>
      <c r="AH19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6" s="1" t="b">
        <v>0</v>
      </c>
      <c r="AN1956" s="1" t="b">
        <v>0</v>
      </c>
      <c r="AO1956" s="1" t="b">
        <v>0</v>
      </c>
    </row>
    <row r="1957" spans="1:41" x14ac:dyDescent="0.25">
      <c r="A1957" s="10"/>
      <c r="B1957" s="10"/>
      <c r="C1957" s="10"/>
      <c r="D1957" s="10"/>
      <c r="E1957" s="10"/>
      <c r="F1957" s="10"/>
      <c r="G1957" s="10"/>
      <c r="H1957" s="10"/>
      <c r="I1957" s="1" t="str">
        <f t="shared" si="90"/>
        <v/>
      </c>
      <c r="J1957" s="1" t="s">
        <v>35</v>
      </c>
      <c r="K1957" s="1" t="str">
        <f t="shared" si="91"/>
        <v/>
      </c>
      <c r="L1957" s="1" t="str">
        <f t="shared" si="92"/>
        <v/>
      </c>
      <c r="M1957" s="1">
        <f>IF(OR(Table1[[#This Row],[Std Nom]]="",Table1[[#This Row],[Std Read]]=""),0,Table1[[#This Row],[Std Nom]]-Table1[[#This Row],[Std Read]])</f>
        <v>0</v>
      </c>
      <c r="N1957" s="1">
        <f>IF(Calculations!$F$5="ACCREDITED 17025 WITH UNCERTAINTIES",$N$10,0)</f>
        <v>0</v>
      </c>
      <c r="O1957" s="1" t="str">
        <f>IFERROR(Table1[[#This Row],[Std Nom]]-(_xlfn.XLOOKUP(Table1[[#This Row],[Manufacturer]]&amp;" "&amp;Table1[[#This Row],[Model]],Table13[MFR &amp; MDL],Table13[Tolerance % CW ],"")/100*Table1[[#This Row],[Std Nom]]),"")</f>
        <v/>
      </c>
      <c r="P1957" s="1" t="str">
        <f>IFERROR(Table1[[#This Row],[Std Nom]]+(_xlfn.XLOOKUP(Table1[[#This Row],[Manufacturer]]&amp;" "&amp;Table1[[#This Row],[Model]],Table13[MFR &amp; MDL],Table13[Tolerance % CW ],"")/100*Table1[[#This Row],[Std Nom]]),"")</f>
        <v/>
      </c>
      <c r="Q1957" s="1" t="e">
        <f>Table1[[#This Row],[High Tol]]-Table1[[#This Row],[Low Tol]]</f>
        <v>#VALUE!</v>
      </c>
      <c r="R1957" s="1">
        <f>2*Table1[[#This Row],[Std Error]]</f>
        <v>0</v>
      </c>
      <c r="S1957" s="1" t="str">
        <f>IF(Table1[[#This Row],[High Tol]]="","N/A",IFERROR(ABS(Table1[[#This Row],[Tol Span]]/Table1[[#This Row],[Error Span]]),"N/A"))</f>
        <v>N/A</v>
      </c>
      <c r="T1957" s="1" t="str">
        <f>IF(OR(Table1[[#This Row],[Low Tol]]="",Table1[[#This Row],[High Tol]]=""),"Needs Analysis",IF(Table1[[#This Row],[Ratio]]&gt;=4,"Not Significant",IF(Table1[[#This Row],[Ratio]]&gt;=2,"Semi-Significant","Significant")))</f>
        <v>Needs Analysis</v>
      </c>
      <c r="W1957" s="1">
        <f>IF(Table1[[#This Row],[Cal Type]]&lt;&gt;"ACCREDITED 17025 WITH UNCERTAINTIES",0,"")</f>
        <v>0</v>
      </c>
      <c r="X1957" s="1" t="str">
        <f>IF(Table1[[#This Row],[DUT Read]]="","N/A",Table1[[#This Row],[Std Error]]+Table1[[#This Row],[DUT Read]]+Table1[[#This Row],[DUT Ucty]])</f>
        <v>N/A</v>
      </c>
      <c r="Y1957" s="1" t="str">
        <f>IF(Table1[[#This Row],[Std Read]]="","N/A",Table1[[#This Row],[Std Read]]+Table1[[#This Row],[Std Ucty]])</f>
        <v>N/A</v>
      </c>
      <c r="Z19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7" s="1" t="str">
        <f>IF(Table1[[#This Row],[Spec Type]]="","N/A",Table1[[#This Row],[Spec Type]])</f>
        <v>±</v>
      </c>
      <c r="AC1957" s="1" t="str">
        <f>IF(Table1[[#This Row],[Spec Type2]]="N/A","N/A",IF(AND(Table1[[#This Row],[DUT Adj Read]]&gt;=Table1[[#This Row],[Low Tol]],Table1[[#This Row],[DUT Adj Read]]&lt;=Table1[[#This Row],[High Tol]]),"Pass","Fail"))</f>
        <v>Fail</v>
      </c>
      <c r="AD1957" s="1" t="str">
        <f>IF(AND(Table1[[#This Row],[Spec Type2]]="N/A",Table1[[#This Row],[DUT Adj Read]]="N/A",Table1[[#This Row],[Std Adj Read]]="N/A"),"N/A",IF(Table1[[#This Row],[DUT Adj Read]]="N/A",IF(Table1[[#This Row],[Std Adj Read]]&gt;Table1[[#This Row],[Low Tol]],"Pass","Fail"),IF(Table1[[#This Row],[DUT Adj Read]]&gt;Table1[[#This Row],[Low Tol]],"Pass","Fail")))</f>
        <v>Pass</v>
      </c>
      <c r="AE1957" s="1" t="str">
        <f>IF(AND(Table1[[#This Row],[Spec Type2]]="N/A",Table1[[#This Row],[DUT Adj Read]]="N/A",Table1[[#This Row],[Std Adj Read]]="N/A"),"N/A",IF(Table1[[#This Row],[DUT Adj Read]]="N/A",IF(Table1[[#This Row],[Std Adj Read]]&lt;Table1[[#This Row],[High Tol]],"Pass","Fail"),IF(Table1[[#This Row],[DUT Adj Read]]&lt;Table1[[#This Row],[High Tol]],"Pass","Fail")))</f>
        <v>Fail</v>
      </c>
      <c r="AF1957" s="1" t="str">
        <f>IF(AND(Table1[[#This Row],[Spec Type2]]="N/A",Table1[[#This Row],[DUT Adj Read]]="N/A",Table1[[#This Row],[Std Adj Read]]="N/A"),"N/A",IF(Table1[[#This Row],[DUT Adj Read]]="N/A",IF(Table1[[#This Row],[Std Adj Read]]&gt;=Table1[[#This Row],[Low Tol]],"Pass","Fail"),IF(Table1[[#This Row],[DUT Adj Read]]&gt;=Table1[[#This Row],[Low Tol]],"Pass","Fail")))</f>
        <v>Pass</v>
      </c>
      <c r="AG1957" s="1" t="str">
        <f>IF(AND(Table1[[#This Row],[Spec Type2]]="N/A",Table1[[#This Row],[DUT Adj Read]]="N/A",Table1[[#This Row],[Std Adj Read]]="N/A"),"N/A",IF(Table1[[#This Row],[DUT Adj Read]]="N/A",IF(Table1[[#This Row],[Std Adj Read]]&lt;=Table1[[#This Row],[High Tol]],"Pass","Fail"),IF(Table1[[#This Row],[DUT Adj Read]]&lt;=Table1[[#This Row],[High Tol]],"Pass","Fail")))</f>
        <v>Fail</v>
      </c>
      <c r="AH19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7" s="1" t="b">
        <v>0</v>
      </c>
      <c r="AN1957" s="1" t="b">
        <v>0</v>
      </c>
      <c r="AO1957" s="1" t="b">
        <v>0</v>
      </c>
    </row>
    <row r="1958" spans="1:41" x14ac:dyDescent="0.25">
      <c r="A1958" s="10"/>
      <c r="B1958" s="10"/>
      <c r="C1958" s="10"/>
      <c r="D1958" s="10"/>
      <c r="E1958" s="10"/>
      <c r="F1958" s="10"/>
      <c r="G1958" s="10"/>
      <c r="H1958" s="10"/>
      <c r="I1958" s="1" t="str">
        <f t="shared" si="90"/>
        <v/>
      </c>
      <c r="J1958" s="1" t="s">
        <v>35</v>
      </c>
      <c r="K1958" s="1" t="str">
        <f t="shared" si="91"/>
        <v/>
      </c>
      <c r="L1958" s="1" t="str">
        <f t="shared" si="92"/>
        <v/>
      </c>
      <c r="M1958" s="1">
        <f>IF(OR(Table1[[#This Row],[Std Nom]]="",Table1[[#This Row],[Std Read]]=""),0,Table1[[#This Row],[Std Nom]]-Table1[[#This Row],[Std Read]])</f>
        <v>0</v>
      </c>
      <c r="N1958" s="1">
        <f>IF(Calculations!$F$5="ACCREDITED 17025 WITH UNCERTAINTIES",$N$10,0)</f>
        <v>0</v>
      </c>
      <c r="O1958" s="1" t="str">
        <f>IFERROR(Table1[[#This Row],[Std Nom]]-(_xlfn.XLOOKUP(Table1[[#This Row],[Manufacturer]]&amp;" "&amp;Table1[[#This Row],[Model]],Table13[MFR &amp; MDL],Table13[Tolerance % CW ],"")/100*Table1[[#This Row],[Std Nom]]),"")</f>
        <v/>
      </c>
      <c r="P1958" s="1" t="str">
        <f>IFERROR(Table1[[#This Row],[Std Nom]]+(_xlfn.XLOOKUP(Table1[[#This Row],[Manufacturer]]&amp;" "&amp;Table1[[#This Row],[Model]],Table13[MFR &amp; MDL],Table13[Tolerance % CW ],"")/100*Table1[[#This Row],[Std Nom]]),"")</f>
        <v/>
      </c>
      <c r="Q1958" s="1" t="e">
        <f>Table1[[#This Row],[High Tol]]-Table1[[#This Row],[Low Tol]]</f>
        <v>#VALUE!</v>
      </c>
      <c r="R1958" s="1">
        <f>2*Table1[[#This Row],[Std Error]]</f>
        <v>0</v>
      </c>
      <c r="S1958" s="1" t="str">
        <f>IF(Table1[[#This Row],[High Tol]]="","N/A",IFERROR(ABS(Table1[[#This Row],[Tol Span]]/Table1[[#This Row],[Error Span]]),"N/A"))</f>
        <v>N/A</v>
      </c>
      <c r="T1958" s="1" t="str">
        <f>IF(OR(Table1[[#This Row],[Low Tol]]="",Table1[[#This Row],[High Tol]]=""),"Needs Analysis",IF(Table1[[#This Row],[Ratio]]&gt;=4,"Not Significant",IF(Table1[[#This Row],[Ratio]]&gt;=2,"Semi-Significant","Significant")))</f>
        <v>Needs Analysis</v>
      </c>
      <c r="W1958" s="1">
        <f>IF(Table1[[#This Row],[Cal Type]]&lt;&gt;"ACCREDITED 17025 WITH UNCERTAINTIES",0,"")</f>
        <v>0</v>
      </c>
      <c r="X1958" s="1" t="str">
        <f>IF(Table1[[#This Row],[DUT Read]]="","N/A",Table1[[#This Row],[Std Error]]+Table1[[#This Row],[DUT Read]]+Table1[[#This Row],[DUT Ucty]])</f>
        <v>N/A</v>
      </c>
      <c r="Y1958" s="1" t="str">
        <f>IF(Table1[[#This Row],[Std Read]]="","N/A",Table1[[#This Row],[Std Read]]+Table1[[#This Row],[Std Ucty]])</f>
        <v>N/A</v>
      </c>
      <c r="Z19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8" s="1" t="str">
        <f>IF(Table1[[#This Row],[Spec Type]]="","N/A",Table1[[#This Row],[Spec Type]])</f>
        <v>±</v>
      </c>
      <c r="AC1958" s="1" t="str">
        <f>IF(Table1[[#This Row],[Spec Type2]]="N/A","N/A",IF(AND(Table1[[#This Row],[DUT Adj Read]]&gt;=Table1[[#This Row],[Low Tol]],Table1[[#This Row],[DUT Adj Read]]&lt;=Table1[[#This Row],[High Tol]]),"Pass","Fail"))</f>
        <v>Fail</v>
      </c>
      <c r="AD1958" s="1" t="str">
        <f>IF(AND(Table1[[#This Row],[Spec Type2]]="N/A",Table1[[#This Row],[DUT Adj Read]]="N/A",Table1[[#This Row],[Std Adj Read]]="N/A"),"N/A",IF(Table1[[#This Row],[DUT Adj Read]]="N/A",IF(Table1[[#This Row],[Std Adj Read]]&gt;Table1[[#This Row],[Low Tol]],"Pass","Fail"),IF(Table1[[#This Row],[DUT Adj Read]]&gt;Table1[[#This Row],[Low Tol]],"Pass","Fail")))</f>
        <v>Pass</v>
      </c>
      <c r="AE1958" s="1" t="str">
        <f>IF(AND(Table1[[#This Row],[Spec Type2]]="N/A",Table1[[#This Row],[DUT Adj Read]]="N/A",Table1[[#This Row],[Std Adj Read]]="N/A"),"N/A",IF(Table1[[#This Row],[DUT Adj Read]]="N/A",IF(Table1[[#This Row],[Std Adj Read]]&lt;Table1[[#This Row],[High Tol]],"Pass","Fail"),IF(Table1[[#This Row],[DUT Adj Read]]&lt;Table1[[#This Row],[High Tol]],"Pass","Fail")))</f>
        <v>Fail</v>
      </c>
      <c r="AF1958" s="1" t="str">
        <f>IF(AND(Table1[[#This Row],[Spec Type2]]="N/A",Table1[[#This Row],[DUT Adj Read]]="N/A",Table1[[#This Row],[Std Adj Read]]="N/A"),"N/A",IF(Table1[[#This Row],[DUT Adj Read]]="N/A",IF(Table1[[#This Row],[Std Adj Read]]&gt;=Table1[[#This Row],[Low Tol]],"Pass","Fail"),IF(Table1[[#This Row],[DUT Adj Read]]&gt;=Table1[[#This Row],[Low Tol]],"Pass","Fail")))</f>
        <v>Pass</v>
      </c>
      <c r="AG1958" s="1" t="str">
        <f>IF(AND(Table1[[#This Row],[Spec Type2]]="N/A",Table1[[#This Row],[DUT Adj Read]]="N/A",Table1[[#This Row],[Std Adj Read]]="N/A"),"N/A",IF(Table1[[#This Row],[DUT Adj Read]]="N/A",IF(Table1[[#This Row],[Std Adj Read]]&lt;=Table1[[#This Row],[High Tol]],"Pass","Fail"),IF(Table1[[#This Row],[DUT Adj Read]]&lt;=Table1[[#This Row],[High Tol]],"Pass","Fail")))</f>
        <v>Fail</v>
      </c>
      <c r="AH19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8" s="1" t="b">
        <v>0</v>
      </c>
      <c r="AN1958" s="1" t="b">
        <v>0</v>
      </c>
      <c r="AO1958" s="1" t="b">
        <v>0</v>
      </c>
    </row>
    <row r="1959" spans="1:41" x14ac:dyDescent="0.25">
      <c r="A1959" s="10"/>
      <c r="B1959" s="10"/>
      <c r="C1959" s="10"/>
      <c r="D1959" s="10"/>
      <c r="E1959" s="10"/>
      <c r="F1959" s="10"/>
      <c r="G1959" s="10"/>
      <c r="H1959" s="10"/>
      <c r="I1959" s="1" t="str">
        <f t="shared" si="90"/>
        <v/>
      </c>
      <c r="J1959" s="1" t="s">
        <v>35</v>
      </c>
      <c r="K1959" s="1" t="str">
        <f t="shared" si="91"/>
        <v/>
      </c>
      <c r="L1959" s="1" t="str">
        <f t="shared" si="92"/>
        <v/>
      </c>
      <c r="M1959" s="1">
        <f>IF(OR(Table1[[#This Row],[Std Nom]]="",Table1[[#This Row],[Std Read]]=""),0,Table1[[#This Row],[Std Nom]]-Table1[[#This Row],[Std Read]])</f>
        <v>0</v>
      </c>
      <c r="N1959" s="1">
        <f>IF(Calculations!$F$5="ACCREDITED 17025 WITH UNCERTAINTIES",$N$10,0)</f>
        <v>0</v>
      </c>
      <c r="O1959" s="1" t="str">
        <f>IFERROR(Table1[[#This Row],[Std Nom]]-(_xlfn.XLOOKUP(Table1[[#This Row],[Manufacturer]]&amp;" "&amp;Table1[[#This Row],[Model]],Table13[MFR &amp; MDL],Table13[Tolerance % CW ],"")/100*Table1[[#This Row],[Std Nom]]),"")</f>
        <v/>
      </c>
      <c r="P1959" s="1" t="str">
        <f>IFERROR(Table1[[#This Row],[Std Nom]]+(_xlfn.XLOOKUP(Table1[[#This Row],[Manufacturer]]&amp;" "&amp;Table1[[#This Row],[Model]],Table13[MFR &amp; MDL],Table13[Tolerance % CW ],"")/100*Table1[[#This Row],[Std Nom]]),"")</f>
        <v/>
      </c>
      <c r="Q1959" s="1" t="e">
        <f>Table1[[#This Row],[High Tol]]-Table1[[#This Row],[Low Tol]]</f>
        <v>#VALUE!</v>
      </c>
      <c r="R1959" s="1">
        <f>2*Table1[[#This Row],[Std Error]]</f>
        <v>0</v>
      </c>
      <c r="S1959" s="1" t="str">
        <f>IF(Table1[[#This Row],[High Tol]]="","N/A",IFERROR(ABS(Table1[[#This Row],[Tol Span]]/Table1[[#This Row],[Error Span]]),"N/A"))</f>
        <v>N/A</v>
      </c>
      <c r="T1959" s="1" t="str">
        <f>IF(OR(Table1[[#This Row],[Low Tol]]="",Table1[[#This Row],[High Tol]]=""),"Needs Analysis",IF(Table1[[#This Row],[Ratio]]&gt;=4,"Not Significant",IF(Table1[[#This Row],[Ratio]]&gt;=2,"Semi-Significant","Significant")))</f>
        <v>Needs Analysis</v>
      </c>
      <c r="W1959" s="1">
        <f>IF(Table1[[#This Row],[Cal Type]]&lt;&gt;"ACCREDITED 17025 WITH UNCERTAINTIES",0,"")</f>
        <v>0</v>
      </c>
      <c r="X1959" s="1" t="str">
        <f>IF(Table1[[#This Row],[DUT Read]]="","N/A",Table1[[#This Row],[Std Error]]+Table1[[#This Row],[DUT Read]]+Table1[[#This Row],[DUT Ucty]])</f>
        <v>N/A</v>
      </c>
      <c r="Y1959" s="1" t="str">
        <f>IF(Table1[[#This Row],[Std Read]]="","N/A",Table1[[#This Row],[Std Read]]+Table1[[#This Row],[Std Ucty]])</f>
        <v>N/A</v>
      </c>
      <c r="Z19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9" s="1" t="str">
        <f>IF(Table1[[#This Row],[Spec Type]]="","N/A",Table1[[#This Row],[Spec Type]])</f>
        <v>±</v>
      </c>
      <c r="AC1959" s="1" t="str">
        <f>IF(Table1[[#This Row],[Spec Type2]]="N/A","N/A",IF(AND(Table1[[#This Row],[DUT Adj Read]]&gt;=Table1[[#This Row],[Low Tol]],Table1[[#This Row],[DUT Adj Read]]&lt;=Table1[[#This Row],[High Tol]]),"Pass","Fail"))</f>
        <v>Fail</v>
      </c>
      <c r="AD1959" s="1" t="str">
        <f>IF(AND(Table1[[#This Row],[Spec Type2]]="N/A",Table1[[#This Row],[DUT Adj Read]]="N/A",Table1[[#This Row],[Std Adj Read]]="N/A"),"N/A",IF(Table1[[#This Row],[DUT Adj Read]]="N/A",IF(Table1[[#This Row],[Std Adj Read]]&gt;Table1[[#This Row],[Low Tol]],"Pass","Fail"),IF(Table1[[#This Row],[DUT Adj Read]]&gt;Table1[[#This Row],[Low Tol]],"Pass","Fail")))</f>
        <v>Pass</v>
      </c>
      <c r="AE1959" s="1" t="str">
        <f>IF(AND(Table1[[#This Row],[Spec Type2]]="N/A",Table1[[#This Row],[DUT Adj Read]]="N/A",Table1[[#This Row],[Std Adj Read]]="N/A"),"N/A",IF(Table1[[#This Row],[DUT Adj Read]]="N/A",IF(Table1[[#This Row],[Std Adj Read]]&lt;Table1[[#This Row],[High Tol]],"Pass","Fail"),IF(Table1[[#This Row],[DUT Adj Read]]&lt;Table1[[#This Row],[High Tol]],"Pass","Fail")))</f>
        <v>Fail</v>
      </c>
      <c r="AF1959" s="1" t="str">
        <f>IF(AND(Table1[[#This Row],[Spec Type2]]="N/A",Table1[[#This Row],[DUT Adj Read]]="N/A",Table1[[#This Row],[Std Adj Read]]="N/A"),"N/A",IF(Table1[[#This Row],[DUT Adj Read]]="N/A",IF(Table1[[#This Row],[Std Adj Read]]&gt;=Table1[[#This Row],[Low Tol]],"Pass","Fail"),IF(Table1[[#This Row],[DUT Adj Read]]&gt;=Table1[[#This Row],[Low Tol]],"Pass","Fail")))</f>
        <v>Pass</v>
      </c>
      <c r="AG1959" s="1" t="str">
        <f>IF(AND(Table1[[#This Row],[Spec Type2]]="N/A",Table1[[#This Row],[DUT Adj Read]]="N/A",Table1[[#This Row],[Std Adj Read]]="N/A"),"N/A",IF(Table1[[#This Row],[DUT Adj Read]]="N/A",IF(Table1[[#This Row],[Std Adj Read]]&lt;=Table1[[#This Row],[High Tol]],"Pass","Fail"),IF(Table1[[#This Row],[DUT Adj Read]]&lt;=Table1[[#This Row],[High Tol]],"Pass","Fail")))</f>
        <v>Fail</v>
      </c>
      <c r="AH19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9" s="1" t="b">
        <v>0</v>
      </c>
      <c r="AN1959" s="1" t="b">
        <v>0</v>
      </c>
      <c r="AO1959" s="1" t="b">
        <v>0</v>
      </c>
    </row>
    <row r="1960" spans="1:41" x14ac:dyDescent="0.25">
      <c r="A1960" s="10"/>
      <c r="B1960" s="10"/>
      <c r="C1960" s="10"/>
      <c r="D1960" s="10"/>
      <c r="E1960" s="10"/>
      <c r="F1960" s="10"/>
      <c r="G1960" s="10"/>
      <c r="H1960" s="10"/>
      <c r="I1960" s="1" t="str">
        <f t="shared" si="90"/>
        <v/>
      </c>
      <c r="J1960" s="1" t="s">
        <v>35</v>
      </c>
      <c r="K1960" s="1" t="str">
        <f t="shared" si="91"/>
        <v/>
      </c>
      <c r="L1960" s="1" t="str">
        <f t="shared" si="92"/>
        <v/>
      </c>
      <c r="M1960" s="1">
        <f>IF(OR(Table1[[#This Row],[Std Nom]]="",Table1[[#This Row],[Std Read]]=""),0,Table1[[#This Row],[Std Nom]]-Table1[[#This Row],[Std Read]])</f>
        <v>0</v>
      </c>
      <c r="N1960" s="1">
        <f>IF(Calculations!$F$5="ACCREDITED 17025 WITH UNCERTAINTIES",$N$10,0)</f>
        <v>0</v>
      </c>
      <c r="O1960" s="1" t="str">
        <f>IFERROR(Table1[[#This Row],[Std Nom]]-(_xlfn.XLOOKUP(Table1[[#This Row],[Manufacturer]]&amp;" "&amp;Table1[[#This Row],[Model]],Table13[MFR &amp; MDL],Table13[Tolerance % CW ],"")/100*Table1[[#This Row],[Std Nom]]),"")</f>
        <v/>
      </c>
      <c r="P1960" s="1" t="str">
        <f>IFERROR(Table1[[#This Row],[Std Nom]]+(_xlfn.XLOOKUP(Table1[[#This Row],[Manufacturer]]&amp;" "&amp;Table1[[#This Row],[Model]],Table13[MFR &amp; MDL],Table13[Tolerance % CW ],"")/100*Table1[[#This Row],[Std Nom]]),"")</f>
        <v/>
      </c>
      <c r="Q1960" s="1" t="e">
        <f>Table1[[#This Row],[High Tol]]-Table1[[#This Row],[Low Tol]]</f>
        <v>#VALUE!</v>
      </c>
      <c r="R1960" s="1">
        <f>2*Table1[[#This Row],[Std Error]]</f>
        <v>0</v>
      </c>
      <c r="S1960" s="1" t="str">
        <f>IF(Table1[[#This Row],[High Tol]]="","N/A",IFERROR(ABS(Table1[[#This Row],[Tol Span]]/Table1[[#This Row],[Error Span]]),"N/A"))</f>
        <v>N/A</v>
      </c>
      <c r="T1960" s="1" t="str">
        <f>IF(OR(Table1[[#This Row],[Low Tol]]="",Table1[[#This Row],[High Tol]]=""),"Needs Analysis",IF(Table1[[#This Row],[Ratio]]&gt;=4,"Not Significant",IF(Table1[[#This Row],[Ratio]]&gt;=2,"Semi-Significant","Significant")))</f>
        <v>Needs Analysis</v>
      </c>
      <c r="W1960" s="1">
        <f>IF(Table1[[#This Row],[Cal Type]]&lt;&gt;"ACCREDITED 17025 WITH UNCERTAINTIES",0,"")</f>
        <v>0</v>
      </c>
      <c r="X1960" s="1" t="str">
        <f>IF(Table1[[#This Row],[DUT Read]]="","N/A",Table1[[#This Row],[Std Error]]+Table1[[#This Row],[DUT Read]]+Table1[[#This Row],[DUT Ucty]])</f>
        <v>N/A</v>
      </c>
      <c r="Y1960" s="1" t="str">
        <f>IF(Table1[[#This Row],[Std Read]]="","N/A",Table1[[#This Row],[Std Read]]+Table1[[#This Row],[Std Ucty]])</f>
        <v>N/A</v>
      </c>
      <c r="Z19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0" s="1" t="str">
        <f>IF(Table1[[#This Row],[Spec Type]]="","N/A",Table1[[#This Row],[Spec Type]])</f>
        <v>±</v>
      </c>
      <c r="AC1960" s="1" t="str">
        <f>IF(Table1[[#This Row],[Spec Type2]]="N/A","N/A",IF(AND(Table1[[#This Row],[DUT Adj Read]]&gt;=Table1[[#This Row],[Low Tol]],Table1[[#This Row],[DUT Adj Read]]&lt;=Table1[[#This Row],[High Tol]]),"Pass","Fail"))</f>
        <v>Fail</v>
      </c>
      <c r="AD1960" s="1" t="str">
        <f>IF(AND(Table1[[#This Row],[Spec Type2]]="N/A",Table1[[#This Row],[DUT Adj Read]]="N/A",Table1[[#This Row],[Std Adj Read]]="N/A"),"N/A",IF(Table1[[#This Row],[DUT Adj Read]]="N/A",IF(Table1[[#This Row],[Std Adj Read]]&gt;Table1[[#This Row],[Low Tol]],"Pass","Fail"),IF(Table1[[#This Row],[DUT Adj Read]]&gt;Table1[[#This Row],[Low Tol]],"Pass","Fail")))</f>
        <v>Pass</v>
      </c>
      <c r="AE1960" s="1" t="str">
        <f>IF(AND(Table1[[#This Row],[Spec Type2]]="N/A",Table1[[#This Row],[DUT Adj Read]]="N/A",Table1[[#This Row],[Std Adj Read]]="N/A"),"N/A",IF(Table1[[#This Row],[DUT Adj Read]]="N/A",IF(Table1[[#This Row],[Std Adj Read]]&lt;Table1[[#This Row],[High Tol]],"Pass","Fail"),IF(Table1[[#This Row],[DUT Adj Read]]&lt;Table1[[#This Row],[High Tol]],"Pass","Fail")))</f>
        <v>Fail</v>
      </c>
      <c r="AF1960" s="1" t="str">
        <f>IF(AND(Table1[[#This Row],[Spec Type2]]="N/A",Table1[[#This Row],[DUT Adj Read]]="N/A",Table1[[#This Row],[Std Adj Read]]="N/A"),"N/A",IF(Table1[[#This Row],[DUT Adj Read]]="N/A",IF(Table1[[#This Row],[Std Adj Read]]&gt;=Table1[[#This Row],[Low Tol]],"Pass","Fail"),IF(Table1[[#This Row],[DUT Adj Read]]&gt;=Table1[[#This Row],[Low Tol]],"Pass","Fail")))</f>
        <v>Pass</v>
      </c>
      <c r="AG1960" s="1" t="str">
        <f>IF(AND(Table1[[#This Row],[Spec Type2]]="N/A",Table1[[#This Row],[DUT Adj Read]]="N/A",Table1[[#This Row],[Std Adj Read]]="N/A"),"N/A",IF(Table1[[#This Row],[DUT Adj Read]]="N/A",IF(Table1[[#This Row],[Std Adj Read]]&lt;=Table1[[#This Row],[High Tol]],"Pass","Fail"),IF(Table1[[#This Row],[DUT Adj Read]]&lt;=Table1[[#This Row],[High Tol]],"Pass","Fail")))</f>
        <v>Fail</v>
      </c>
      <c r="AH19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0" s="1" t="b">
        <v>0</v>
      </c>
      <c r="AN1960" s="1" t="b">
        <v>0</v>
      </c>
      <c r="AO1960" s="1" t="b">
        <v>0</v>
      </c>
    </row>
    <row r="1961" spans="1:41" x14ac:dyDescent="0.25">
      <c r="A1961" s="10"/>
      <c r="B1961" s="10"/>
      <c r="C1961" s="10"/>
      <c r="D1961" s="10"/>
      <c r="E1961" s="10"/>
      <c r="F1961" s="10"/>
      <c r="G1961" s="10"/>
      <c r="H1961" s="10"/>
      <c r="I1961" s="1" t="str">
        <f t="shared" si="90"/>
        <v/>
      </c>
      <c r="J1961" s="1" t="s">
        <v>35</v>
      </c>
      <c r="K1961" s="1" t="str">
        <f t="shared" si="91"/>
        <v/>
      </c>
      <c r="L1961" s="1" t="str">
        <f t="shared" si="92"/>
        <v/>
      </c>
      <c r="M1961" s="1">
        <f>IF(OR(Table1[[#This Row],[Std Nom]]="",Table1[[#This Row],[Std Read]]=""),0,Table1[[#This Row],[Std Nom]]-Table1[[#This Row],[Std Read]])</f>
        <v>0</v>
      </c>
      <c r="N1961" s="1">
        <f>IF(Calculations!$F$5="ACCREDITED 17025 WITH UNCERTAINTIES",$N$10,0)</f>
        <v>0</v>
      </c>
      <c r="O1961" s="1" t="str">
        <f>IFERROR(Table1[[#This Row],[Std Nom]]-(_xlfn.XLOOKUP(Table1[[#This Row],[Manufacturer]]&amp;" "&amp;Table1[[#This Row],[Model]],Table13[MFR &amp; MDL],Table13[Tolerance % CW ],"")/100*Table1[[#This Row],[Std Nom]]),"")</f>
        <v/>
      </c>
      <c r="P1961" s="1" t="str">
        <f>IFERROR(Table1[[#This Row],[Std Nom]]+(_xlfn.XLOOKUP(Table1[[#This Row],[Manufacturer]]&amp;" "&amp;Table1[[#This Row],[Model]],Table13[MFR &amp; MDL],Table13[Tolerance % CW ],"")/100*Table1[[#This Row],[Std Nom]]),"")</f>
        <v/>
      </c>
      <c r="Q1961" s="1" t="e">
        <f>Table1[[#This Row],[High Tol]]-Table1[[#This Row],[Low Tol]]</f>
        <v>#VALUE!</v>
      </c>
      <c r="R1961" s="1">
        <f>2*Table1[[#This Row],[Std Error]]</f>
        <v>0</v>
      </c>
      <c r="S1961" s="1" t="str">
        <f>IF(Table1[[#This Row],[High Tol]]="","N/A",IFERROR(ABS(Table1[[#This Row],[Tol Span]]/Table1[[#This Row],[Error Span]]),"N/A"))</f>
        <v>N/A</v>
      </c>
      <c r="T1961" s="1" t="str">
        <f>IF(OR(Table1[[#This Row],[Low Tol]]="",Table1[[#This Row],[High Tol]]=""),"Needs Analysis",IF(Table1[[#This Row],[Ratio]]&gt;=4,"Not Significant",IF(Table1[[#This Row],[Ratio]]&gt;=2,"Semi-Significant","Significant")))</f>
        <v>Needs Analysis</v>
      </c>
      <c r="W1961" s="1">
        <f>IF(Table1[[#This Row],[Cal Type]]&lt;&gt;"ACCREDITED 17025 WITH UNCERTAINTIES",0,"")</f>
        <v>0</v>
      </c>
      <c r="X1961" s="1" t="str">
        <f>IF(Table1[[#This Row],[DUT Read]]="","N/A",Table1[[#This Row],[Std Error]]+Table1[[#This Row],[DUT Read]]+Table1[[#This Row],[DUT Ucty]])</f>
        <v>N/A</v>
      </c>
      <c r="Y1961" s="1" t="str">
        <f>IF(Table1[[#This Row],[Std Read]]="","N/A",Table1[[#This Row],[Std Read]]+Table1[[#This Row],[Std Ucty]])</f>
        <v>N/A</v>
      </c>
      <c r="Z19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1" s="1" t="str">
        <f>IF(Table1[[#This Row],[Spec Type]]="","N/A",Table1[[#This Row],[Spec Type]])</f>
        <v>±</v>
      </c>
      <c r="AC1961" s="1" t="str">
        <f>IF(Table1[[#This Row],[Spec Type2]]="N/A","N/A",IF(AND(Table1[[#This Row],[DUT Adj Read]]&gt;=Table1[[#This Row],[Low Tol]],Table1[[#This Row],[DUT Adj Read]]&lt;=Table1[[#This Row],[High Tol]]),"Pass","Fail"))</f>
        <v>Fail</v>
      </c>
      <c r="AD1961" s="1" t="str">
        <f>IF(AND(Table1[[#This Row],[Spec Type2]]="N/A",Table1[[#This Row],[DUT Adj Read]]="N/A",Table1[[#This Row],[Std Adj Read]]="N/A"),"N/A",IF(Table1[[#This Row],[DUT Adj Read]]="N/A",IF(Table1[[#This Row],[Std Adj Read]]&gt;Table1[[#This Row],[Low Tol]],"Pass","Fail"),IF(Table1[[#This Row],[DUT Adj Read]]&gt;Table1[[#This Row],[Low Tol]],"Pass","Fail")))</f>
        <v>Pass</v>
      </c>
      <c r="AE1961" s="1" t="str">
        <f>IF(AND(Table1[[#This Row],[Spec Type2]]="N/A",Table1[[#This Row],[DUT Adj Read]]="N/A",Table1[[#This Row],[Std Adj Read]]="N/A"),"N/A",IF(Table1[[#This Row],[DUT Adj Read]]="N/A",IF(Table1[[#This Row],[Std Adj Read]]&lt;Table1[[#This Row],[High Tol]],"Pass","Fail"),IF(Table1[[#This Row],[DUT Adj Read]]&lt;Table1[[#This Row],[High Tol]],"Pass","Fail")))</f>
        <v>Fail</v>
      </c>
      <c r="AF1961" s="1" t="str">
        <f>IF(AND(Table1[[#This Row],[Spec Type2]]="N/A",Table1[[#This Row],[DUT Adj Read]]="N/A",Table1[[#This Row],[Std Adj Read]]="N/A"),"N/A",IF(Table1[[#This Row],[DUT Adj Read]]="N/A",IF(Table1[[#This Row],[Std Adj Read]]&gt;=Table1[[#This Row],[Low Tol]],"Pass","Fail"),IF(Table1[[#This Row],[DUT Adj Read]]&gt;=Table1[[#This Row],[Low Tol]],"Pass","Fail")))</f>
        <v>Pass</v>
      </c>
      <c r="AG1961" s="1" t="str">
        <f>IF(AND(Table1[[#This Row],[Spec Type2]]="N/A",Table1[[#This Row],[DUT Adj Read]]="N/A",Table1[[#This Row],[Std Adj Read]]="N/A"),"N/A",IF(Table1[[#This Row],[DUT Adj Read]]="N/A",IF(Table1[[#This Row],[Std Adj Read]]&lt;=Table1[[#This Row],[High Tol]],"Pass","Fail"),IF(Table1[[#This Row],[DUT Adj Read]]&lt;=Table1[[#This Row],[High Tol]],"Pass","Fail")))</f>
        <v>Fail</v>
      </c>
      <c r="AH19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1" s="1" t="b">
        <v>0</v>
      </c>
      <c r="AN1961" s="1" t="b">
        <v>0</v>
      </c>
      <c r="AO1961" s="1" t="b">
        <v>0</v>
      </c>
    </row>
    <row r="1962" spans="1:41" x14ac:dyDescent="0.25">
      <c r="A1962" s="10"/>
      <c r="B1962" s="10"/>
      <c r="C1962" s="10"/>
      <c r="D1962" s="10"/>
      <c r="E1962" s="10"/>
      <c r="F1962" s="10"/>
      <c r="G1962" s="10"/>
      <c r="H1962" s="10"/>
      <c r="I1962" s="1" t="str">
        <f t="shared" si="90"/>
        <v/>
      </c>
      <c r="J1962" s="1" t="s">
        <v>35</v>
      </c>
      <c r="K1962" s="1" t="str">
        <f t="shared" si="91"/>
        <v/>
      </c>
      <c r="L1962" s="1" t="str">
        <f t="shared" si="92"/>
        <v/>
      </c>
      <c r="M1962" s="1">
        <f>IF(OR(Table1[[#This Row],[Std Nom]]="",Table1[[#This Row],[Std Read]]=""),0,Table1[[#This Row],[Std Nom]]-Table1[[#This Row],[Std Read]])</f>
        <v>0</v>
      </c>
      <c r="N1962" s="1">
        <f>IF(Calculations!$F$5="ACCREDITED 17025 WITH UNCERTAINTIES",$N$10,0)</f>
        <v>0</v>
      </c>
      <c r="O1962" s="1" t="str">
        <f>IFERROR(Table1[[#This Row],[Std Nom]]-(_xlfn.XLOOKUP(Table1[[#This Row],[Manufacturer]]&amp;" "&amp;Table1[[#This Row],[Model]],Table13[MFR &amp; MDL],Table13[Tolerance % CW ],"")/100*Table1[[#This Row],[Std Nom]]),"")</f>
        <v/>
      </c>
      <c r="P1962" s="1" t="str">
        <f>IFERROR(Table1[[#This Row],[Std Nom]]+(_xlfn.XLOOKUP(Table1[[#This Row],[Manufacturer]]&amp;" "&amp;Table1[[#This Row],[Model]],Table13[MFR &amp; MDL],Table13[Tolerance % CW ],"")/100*Table1[[#This Row],[Std Nom]]),"")</f>
        <v/>
      </c>
      <c r="Q1962" s="1" t="e">
        <f>Table1[[#This Row],[High Tol]]-Table1[[#This Row],[Low Tol]]</f>
        <v>#VALUE!</v>
      </c>
      <c r="R1962" s="1">
        <f>2*Table1[[#This Row],[Std Error]]</f>
        <v>0</v>
      </c>
      <c r="S1962" s="1" t="str">
        <f>IF(Table1[[#This Row],[High Tol]]="","N/A",IFERROR(ABS(Table1[[#This Row],[Tol Span]]/Table1[[#This Row],[Error Span]]),"N/A"))</f>
        <v>N/A</v>
      </c>
      <c r="T1962" s="1" t="str">
        <f>IF(OR(Table1[[#This Row],[Low Tol]]="",Table1[[#This Row],[High Tol]]=""),"Needs Analysis",IF(Table1[[#This Row],[Ratio]]&gt;=4,"Not Significant",IF(Table1[[#This Row],[Ratio]]&gt;=2,"Semi-Significant","Significant")))</f>
        <v>Needs Analysis</v>
      </c>
      <c r="W1962" s="1">
        <f>IF(Table1[[#This Row],[Cal Type]]&lt;&gt;"ACCREDITED 17025 WITH UNCERTAINTIES",0,"")</f>
        <v>0</v>
      </c>
      <c r="X1962" s="1" t="str">
        <f>IF(Table1[[#This Row],[DUT Read]]="","N/A",Table1[[#This Row],[Std Error]]+Table1[[#This Row],[DUT Read]]+Table1[[#This Row],[DUT Ucty]])</f>
        <v>N/A</v>
      </c>
      <c r="Y1962" s="1" t="str">
        <f>IF(Table1[[#This Row],[Std Read]]="","N/A",Table1[[#This Row],[Std Read]]+Table1[[#This Row],[Std Ucty]])</f>
        <v>N/A</v>
      </c>
      <c r="Z19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2" s="1" t="str">
        <f>IF(Table1[[#This Row],[Spec Type]]="","N/A",Table1[[#This Row],[Spec Type]])</f>
        <v>±</v>
      </c>
      <c r="AC1962" s="1" t="str">
        <f>IF(Table1[[#This Row],[Spec Type2]]="N/A","N/A",IF(AND(Table1[[#This Row],[DUT Adj Read]]&gt;=Table1[[#This Row],[Low Tol]],Table1[[#This Row],[DUT Adj Read]]&lt;=Table1[[#This Row],[High Tol]]),"Pass","Fail"))</f>
        <v>Fail</v>
      </c>
      <c r="AD1962" s="1" t="str">
        <f>IF(AND(Table1[[#This Row],[Spec Type2]]="N/A",Table1[[#This Row],[DUT Adj Read]]="N/A",Table1[[#This Row],[Std Adj Read]]="N/A"),"N/A",IF(Table1[[#This Row],[DUT Adj Read]]="N/A",IF(Table1[[#This Row],[Std Adj Read]]&gt;Table1[[#This Row],[Low Tol]],"Pass","Fail"),IF(Table1[[#This Row],[DUT Adj Read]]&gt;Table1[[#This Row],[Low Tol]],"Pass","Fail")))</f>
        <v>Pass</v>
      </c>
      <c r="AE1962" s="1" t="str">
        <f>IF(AND(Table1[[#This Row],[Spec Type2]]="N/A",Table1[[#This Row],[DUT Adj Read]]="N/A",Table1[[#This Row],[Std Adj Read]]="N/A"),"N/A",IF(Table1[[#This Row],[DUT Adj Read]]="N/A",IF(Table1[[#This Row],[Std Adj Read]]&lt;Table1[[#This Row],[High Tol]],"Pass","Fail"),IF(Table1[[#This Row],[DUT Adj Read]]&lt;Table1[[#This Row],[High Tol]],"Pass","Fail")))</f>
        <v>Fail</v>
      </c>
      <c r="AF1962" s="1" t="str">
        <f>IF(AND(Table1[[#This Row],[Spec Type2]]="N/A",Table1[[#This Row],[DUT Adj Read]]="N/A",Table1[[#This Row],[Std Adj Read]]="N/A"),"N/A",IF(Table1[[#This Row],[DUT Adj Read]]="N/A",IF(Table1[[#This Row],[Std Adj Read]]&gt;=Table1[[#This Row],[Low Tol]],"Pass","Fail"),IF(Table1[[#This Row],[DUT Adj Read]]&gt;=Table1[[#This Row],[Low Tol]],"Pass","Fail")))</f>
        <v>Pass</v>
      </c>
      <c r="AG1962" s="1" t="str">
        <f>IF(AND(Table1[[#This Row],[Spec Type2]]="N/A",Table1[[#This Row],[DUT Adj Read]]="N/A",Table1[[#This Row],[Std Adj Read]]="N/A"),"N/A",IF(Table1[[#This Row],[DUT Adj Read]]="N/A",IF(Table1[[#This Row],[Std Adj Read]]&lt;=Table1[[#This Row],[High Tol]],"Pass","Fail"),IF(Table1[[#This Row],[DUT Adj Read]]&lt;=Table1[[#This Row],[High Tol]],"Pass","Fail")))</f>
        <v>Fail</v>
      </c>
      <c r="AH19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2" s="1" t="b">
        <v>0</v>
      </c>
      <c r="AN1962" s="1" t="b">
        <v>0</v>
      </c>
      <c r="AO1962" s="1" t="b">
        <v>0</v>
      </c>
    </row>
    <row r="1963" spans="1:41" x14ac:dyDescent="0.25">
      <c r="A1963" s="10"/>
      <c r="B1963" s="10"/>
      <c r="C1963" s="10"/>
      <c r="D1963" s="10"/>
      <c r="E1963" s="10"/>
      <c r="F1963" s="10"/>
      <c r="G1963" s="10"/>
      <c r="H1963" s="10"/>
      <c r="I1963" s="1" t="str">
        <f t="shared" si="90"/>
        <v/>
      </c>
      <c r="J1963" s="1" t="s">
        <v>35</v>
      </c>
      <c r="K1963" s="1" t="str">
        <f t="shared" si="91"/>
        <v/>
      </c>
      <c r="L1963" s="1" t="str">
        <f t="shared" si="92"/>
        <v/>
      </c>
      <c r="M1963" s="1">
        <f>IF(OR(Table1[[#This Row],[Std Nom]]="",Table1[[#This Row],[Std Read]]=""),0,Table1[[#This Row],[Std Nom]]-Table1[[#This Row],[Std Read]])</f>
        <v>0</v>
      </c>
      <c r="N1963" s="1">
        <f>IF(Calculations!$F$5="ACCREDITED 17025 WITH UNCERTAINTIES",$N$10,0)</f>
        <v>0</v>
      </c>
      <c r="O1963" s="1" t="str">
        <f>IFERROR(Table1[[#This Row],[Std Nom]]-(_xlfn.XLOOKUP(Table1[[#This Row],[Manufacturer]]&amp;" "&amp;Table1[[#This Row],[Model]],Table13[MFR &amp; MDL],Table13[Tolerance % CW ],"")/100*Table1[[#This Row],[Std Nom]]),"")</f>
        <v/>
      </c>
      <c r="P1963" s="1" t="str">
        <f>IFERROR(Table1[[#This Row],[Std Nom]]+(_xlfn.XLOOKUP(Table1[[#This Row],[Manufacturer]]&amp;" "&amp;Table1[[#This Row],[Model]],Table13[MFR &amp; MDL],Table13[Tolerance % CW ],"")/100*Table1[[#This Row],[Std Nom]]),"")</f>
        <v/>
      </c>
      <c r="Q1963" s="1" t="e">
        <f>Table1[[#This Row],[High Tol]]-Table1[[#This Row],[Low Tol]]</f>
        <v>#VALUE!</v>
      </c>
      <c r="R1963" s="1">
        <f>2*Table1[[#This Row],[Std Error]]</f>
        <v>0</v>
      </c>
      <c r="S1963" s="1" t="str">
        <f>IF(Table1[[#This Row],[High Tol]]="","N/A",IFERROR(ABS(Table1[[#This Row],[Tol Span]]/Table1[[#This Row],[Error Span]]),"N/A"))</f>
        <v>N/A</v>
      </c>
      <c r="T1963" s="1" t="str">
        <f>IF(OR(Table1[[#This Row],[Low Tol]]="",Table1[[#This Row],[High Tol]]=""),"Needs Analysis",IF(Table1[[#This Row],[Ratio]]&gt;=4,"Not Significant",IF(Table1[[#This Row],[Ratio]]&gt;=2,"Semi-Significant","Significant")))</f>
        <v>Needs Analysis</v>
      </c>
      <c r="W1963" s="1">
        <f>IF(Table1[[#This Row],[Cal Type]]&lt;&gt;"ACCREDITED 17025 WITH UNCERTAINTIES",0,"")</f>
        <v>0</v>
      </c>
      <c r="X1963" s="1" t="str">
        <f>IF(Table1[[#This Row],[DUT Read]]="","N/A",Table1[[#This Row],[Std Error]]+Table1[[#This Row],[DUT Read]]+Table1[[#This Row],[DUT Ucty]])</f>
        <v>N/A</v>
      </c>
      <c r="Y1963" s="1" t="str">
        <f>IF(Table1[[#This Row],[Std Read]]="","N/A",Table1[[#This Row],[Std Read]]+Table1[[#This Row],[Std Ucty]])</f>
        <v>N/A</v>
      </c>
      <c r="Z19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3" s="1" t="str">
        <f>IF(Table1[[#This Row],[Spec Type]]="","N/A",Table1[[#This Row],[Spec Type]])</f>
        <v>±</v>
      </c>
      <c r="AC1963" s="1" t="str">
        <f>IF(Table1[[#This Row],[Spec Type2]]="N/A","N/A",IF(AND(Table1[[#This Row],[DUT Adj Read]]&gt;=Table1[[#This Row],[Low Tol]],Table1[[#This Row],[DUT Adj Read]]&lt;=Table1[[#This Row],[High Tol]]),"Pass","Fail"))</f>
        <v>Fail</v>
      </c>
      <c r="AD1963" s="1" t="str">
        <f>IF(AND(Table1[[#This Row],[Spec Type2]]="N/A",Table1[[#This Row],[DUT Adj Read]]="N/A",Table1[[#This Row],[Std Adj Read]]="N/A"),"N/A",IF(Table1[[#This Row],[DUT Adj Read]]="N/A",IF(Table1[[#This Row],[Std Adj Read]]&gt;Table1[[#This Row],[Low Tol]],"Pass","Fail"),IF(Table1[[#This Row],[DUT Adj Read]]&gt;Table1[[#This Row],[Low Tol]],"Pass","Fail")))</f>
        <v>Pass</v>
      </c>
      <c r="AE1963" s="1" t="str">
        <f>IF(AND(Table1[[#This Row],[Spec Type2]]="N/A",Table1[[#This Row],[DUT Adj Read]]="N/A",Table1[[#This Row],[Std Adj Read]]="N/A"),"N/A",IF(Table1[[#This Row],[DUT Adj Read]]="N/A",IF(Table1[[#This Row],[Std Adj Read]]&lt;Table1[[#This Row],[High Tol]],"Pass","Fail"),IF(Table1[[#This Row],[DUT Adj Read]]&lt;Table1[[#This Row],[High Tol]],"Pass","Fail")))</f>
        <v>Fail</v>
      </c>
      <c r="AF1963" s="1" t="str">
        <f>IF(AND(Table1[[#This Row],[Spec Type2]]="N/A",Table1[[#This Row],[DUT Adj Read]]="N/A",Table1[[#This Row],[Std Adj Read]]="N/A"),"N/A",IF(Table1[[#This Row],[DUT Adj Read]]="N/A",IF(Table1[[#This Row],[Std Adj Read]]&gt;=Table1[[#This Row],[Low Tol]],"Pass","Fail"),IF(Table1[[#This Row],[DUT Adj Read]]&gt;=Table1[[#This Row],[Low Tol]],"Pass","Fail")))</f>
        <v>Pass</v>
      </c>
      <c r="AG1963" s="1" t="str">
        <f>IF(AND(Table1[[#This Row],[Spec Type2]]="N/A",Table1[[#This Row],[DUT Adj Read]]="N/A",Table1[[#This Row],[Std Adj Read]]="N/A"),"N/A",IF(Table1[[#This Row],[DUT Adj Read]]="N/A",IF(Table1[[#This Row],[Std Adj Read]]&lt;=Table1[[#This Row],[High Tol]],"Pass","Fail"),IF(Table1[[#This Row],[DUT Adj Read]]&lt;=Table1[[#This Row],[High Tol]],"Pass","Fail")))</f>
        <v>Fail</v>
      </c>
      <c r="AH19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3" s="1" t="b">
        <v>0</v>
      </c>
      <c r="AN1963" s="1" t="b">
        <v>0</v>
      </c>
      <c r="AO1963" s="1" t="b">
        <v>0</v>
      </c>
    </row>
    <row r="1964" spans="1:41" x14ac:dyDescent="0.25">
      <c r="A1964" s="10"/>
      <c r="B1964" s="10"/>
      <c r="C1964" s="10"/>
      <c r="D1964" s="10"/>
      <c r="E1964" s="10"/>
      <c r="F1964" s="10"/>
      <c r="G1964" s="10"/>
      <c r="H1964" s="10"/>
      <c r="I1964" s="1" t="str">
        <f t="shared" si="90"/>
        <v/>
      </c>
      <c r="J1964" s="1" t="s">
        <v>35</v>
      </c>
      <c r="K1964" s="1" t="str">
        <f t="shared" si="91"/>
        <v/>
      </c>
      <c r="L1964" s="1" t="str">
        <f t="shared" si="92"/>
        <v/>
      </c>
      <c r="M1964" s="1">
        <f>IF(OR(Table1[[#This Row],[Std Nom]]="",Table1[[#This Row],[Std Read]]=""),0,Table1[[#This Row],[Std Nom]]-Table1[[#This Row],[Std Read]])</f>
        <v>0</v>
      </c>
      <c r="N1964" s="1">
        <f>IF(Calculations!$F$5="ACCREDITED 17025 WITH UNCERTAINTIES",$N$10,0)</f>
        <v>0</v>
      </c>
      <c r="O1964" s="1" t="str">
        <f>IFERROR(Table1[[#This Row],[Std Nom]]-(_xlfn.XLOOKUP(Table1[[#This Row],[Manufacturer]]&amp;" "&amp;Table1[[#This Row],[Model]],Table13[MFR &amp; MDL],Table13[Tolerance % CW ],"")/100*Table1[[#This Row],[Std Nom]]),"")</f>
        <v/>
      </c>
      <c r="P1964" s="1" t="str">
        <f>IFERROR(Table1[[#This Row],[Std Nom]]+(_xlfn.XLOOKUP(Table1[[#This Row],[Manufacturer]]&amp;" "&amp;Table1[[#This Row],[Model]],Table13[MFR &amp; MDL],Table13[Tolerance % CW ],"")/100*Table1[[#This Row],[Std Nom]]),"")</f>
        <v/>
      </c>
      <c r="Q1964" s="1" t="e">
        <f>Table1[[#This Row],[High Tol]]-Table1[[#This Row],[Low Tol]]</f>
        <v>#VALUE!</v>
      </c>
      <c r="R1964" s="1">
        <f>2*Table1[[#This Row],[Std Error]]</f>
        <v>0</v>
      </c>
      <c r="S1964" s="1" t="str">
        <f>IF(Table1[[#This Row],[High Tol]]="","N/A",IFERROR(ABS(Table1[[#This Row],[Tol Span]]/Table1[[#This Row],[Error Span]]),"N/A"))</f>
        <v>N/A</v>
      </c>
      <c r="T1964" s="1" t="str">
        <f>IF(OR(Table1[[#This Row],[Low Tol]]="",Table1[[#This Row],[High Tol]]=""),"Needs Analysis",IF(Table1[[#This Row],[Ratio]]&gt;=4,"Not Significant",IF(Table1[[#This Row],[Ratio]]&gt;=2,"Semi-Significant","Significant")))</f>
        <v>Needs Analysis</v>
      </c>
      <c r="W1964" s="1">
        <f>IF(Table1[[#This Row],[Cal Type]]&lt;&gt;"ACCREDITED 17025 WITH UNCERTAINTIES",0,"")</f>
        <v>0</v>
      </c>
      <c r="X1964" s="1" t="str">
        <f>IF(Table1[[#This Row],[DUT Read]]="","N/A",Table1[[#This Row],[Std Error]]+Table1[[#This Row],[DUT Read]]+Table1[[#This Row],[DUT Ucty]])</f>
        <v>N/A</v>
      </c>
      <c r="Y1964" s="1" t="str">
        <f>IF(Table1[[#This Row],[Std Read]]="","N/A",Table1[[#This Row],[Std Read]]+Table1[[#This Row],[Std Ucty]])</f>
        <v>N/A</v>
      </c>
      <c r="Z19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4" s="1" t="str">
        <f>IF(Table1[[#This Row],[Spec Type]]="","N/A",Table1[[#This Row],[Spec Type]])</f>
        <v>±</v>
      </c>
      <c r="AC1964" s="1" t="str">
        <f>IF(Table1[[#This Row],[Spec Type2]]="N/A","N/A",IF(AND(Table1[[#This Row],[DUT Adj Read]]&gt;=Table1[[#This Row],[Low Tol]],Table1[[#This Row],[DUT Adj Read]]&lt;=Table1[[#This Row],[High Tol]]),"Pass","Fail"))</f>
        <v>Fail</v>
      </c>
      <c r="AD1964" s="1" t="str">
        <f>IF(AND(Table1[[#This Row],[Spec Type2]]="N/A",Table1[[#This Row],[DUT Adj Read]]="N/A",Table1[[#This Row],[Std Adj Read]]="N/A"),"N/A",IF(Table1[[#This Row],[DUT Adj Read]]="N/A",IF(Table1[[#This Row],[Std Adj Read]]&gt;Table1[[#This Row],[Low Tol]],"Pass","Fail"),IF(Table1[[#This Row],[DUT Adj Read]]&gt;Table1[[#This Row],[Low Tol]],"Pass","Fail")))</f>
        <v>Pass</v>
      </c>
      <c r="AE1964" s="1" t="str">
        <f>IF(AND(Table1[[#This Row],[Spec Type2]]="N/A",Table1[[#This Row],[DUT Adj Read]]="N/A",Table1[[#This Row],[Std Adj Read]]="N/A"),"N/A",IF(Table1[[#This Row],[DUT Adj Read]]="N/A",IF(Table1[[#This Row],[Std Adj Read]]&lt;Table1[[#This Row],[High Tol]],"Pass","Fail"),IF(Table1[[#This Row],[DUT Adj Read]]&lt;Table1[[#This Row],[High Tol]],"Pass","Fail")))</f>
        <v>Fail</v>
      </c>
      <c r="AF1964" s="1" t="str">
        <f>IF(AND(Table1[[#This Row],[Spec Type2]]="N/A",Table1[[#This Row],[DUT Adj Read]]="N/A",Table1[[#This Row],[Std Adj Read]]="N/A"),"N/A",IF(Table1[[#This Row],[DUT Adj Read]]="N/A",IF(Table1[[#This Row],[Std Adj Read]]&gt;=Table1[[#This Row],[Low Tol]],"Pass","Fail"),IF(Table1[[#This Row],[DUT Adj Read]]&gt;=Table1[[#This Row],[Low Tol]],"Pass","Fail")))</f>
        <v>Pass</v>
      </c>
      <c r="AG1964" s="1" t="str">
        <f>IF(AND(Table1[[#This Row],[Spec Type2]]="N/A",Table1[[#This Row],[DUT Adj Read]]="N/A",Table1[[#This Row],[Std Adj Read]]="N/A"),"N/A",IF(Table1[[#This Row],[DUT Adj Read]]="N/A",IF(Table1[[#This Row],[Std Adj Read]]&lt;=Table1[[#This Row],[High Tol]],"Pass","Fail"),IF(Table1[[#This Row],[DUT Adj Read]]&lt;=Table1[[#This Row],[High Tol]],"Pass","Fail")))</f>
        <v>Fail</v>
      </c>
      <c r="AH19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4" s="1" t="b">
        <v>0</v>
      </c>
      <c r="AN1964" s="1" t="b">
        <v>0</v>
      </c>
      <c r="AO1964" s="1" t="b">
        <v>0</v>
      </c>
    </row>
    <row r="1965" spans="1:41" x14ac:dyDescent="0.25">
      <c r="A1965" s="10"/>
      <c r="B1965" s="10"/>
      <c r="C1965" s="10"/>
      <c r="D1965" s="10"/>
      <c r="E1965" s="10"/>
      <c r="F1965" s="10"/>
      <c r="G1965" s="10"/>
      <c r="H1965" s="10"/>
      <c r="I1965" s="1" t="str">
        <f t="shared" si="90"/>
        <v/>
      </c>
      <c r="J1965" s="1" t="s">
        <v>35</v>
      </c>
      <c r="K1965" s="1" t="str">
        <f t="shared" si="91"/>
        <v/>
      </c>
      <c r="L1965" s="1" t="str">
        <f t="shared" si="92"/>
        <v/>
      </c>
      <c r="M1965" s="1">
        <f>IF(OR(Table1[[#This Row],[Std Nom]]="",Table1[[#This Row],[Std Read]]=""),0,Table1[[#This Row],[Std Nom]]-Table1[[#This Row],[Std Read]])</f>
        <v>0</v>
      </c>
      <c r="N1965" s="1">
        <f>IF(Calculations!$F$5="ACCREDITED 17025 WITH UNCERTAINTIES",$N$10,0)</f>
        <v>0</v>
      </c>
      <c r="O1965" s="1" t="str">
        <f>IFERROR(Table1[[#This Row],[Std Nom]]-(_xlfn.XLOOKUP(Table1[[#This Row],[Manufacturer]]&amp;" "&amp;Table1[[#This Row],[Model]],Table13[MFR &amp; MDL],Table13[Tolerance % CW ],"")/100*Table1[[#This Row],[Std Nom]]),"")</f>
        <v/>
      </c>
      <c r="P1965" s="1" t="str">
        <f>IFERROR(Table1[[#This Row],[Std Nom]]+(_xlfn.XLOOKUP(Table1[[#This Row],[Manufacturer]]&amp;" "&amp;Table1[[#This Row],[Model]],Table13[MFR &amp; MDL],Table13[Tolerance % CW ],"")/100*Table1[[#This Row],[Std Nom]]),"")</f>
        <v/>
      </c>
      <c r="Q1965" s="1" t="e">
        <f>Table1[[#This Row],[High Tol]]-Table1[[#This Row],[Low Tol]]</f>
        <v>#VALUE!</v>
      </c>
      <c r="R1965" s="1">
        <f>2*Table1[[#This Row],[Std Error]]</f>
        <v>0</v>
      </c>
      <c r="S1965" s="1" t="str">
        <f>IF(Table1[[#This Row],[High Tol]]="","N/A",IFERROR(ABS(Table1[[#This Row],[Tol Span]]/Table1[[#This Row],[Error Span]]),"N/A"))</f>
        <v>N/A</v>
      </c>
      <c r="T1965" s="1" t="str">
        <f>IF(OR(Table1[[#This Row],[Low Tol]]="",Table1[[#This Row],[High Tol]]=""),"Needs Analysis",IF(Table1[[#This Row],[Ratio]]&gt;=4,"Not Significant",IF(Table1[[#This Row],[Ratio]]&gt;=2,"Semi-Significant","Significant")))</f>
        <v>Needs Analysis</v>
      </c>
      <c r="W1965" s="1">
        <f>IF(Table1[[#This Row],[Cal Type]]&lt;&gt;"ACCREDITED 17025 WITH UNCERTAINTIES",0,"")</f>
        <v>0</v>
      </c>
      <c r="X1965" s="1" t="str">
        <f>IF(Table1[[#This Row],[DUT Read]]="","N/A",Table1[[#This Row],[Std Error]]+Table1[[#This Row],[DUT Read]]+Table1[[#This Row],[DUT Ucty]])</f>
        <v>N/A</v>
      </c>
      <c r="Y1965" s="1" t="str">
        <f>IF(Table1[[#This Row],[Std Read]]="","N/A",Table1[[#This Row],[Std Read]]+Table1[[#This Row],[Std Ucty]])</f>
        <v>N/A</v>
      </c>
      <c r="Z19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5" s="1" t="str">
        <f>IF(Table1[[#This Row],[Spec Type]]="","N/A",Table1[[#This Row],[Spec Type]])</f>
        <v>±</v>
      </c>
      <c r="AC1965" s="1" t="str">
        <f>IF(Table1[[#This Row],[Spec Type2]]="N/A","N/A",IF(AND(Table1[[#This Row],[DUT Adj Read]]&gt;=Table1[[#This Row],[Low Tol]],Table1[[#This Row],[DUT Adj Read]]&lt;=Table1[[#This Row],[High Tol]]),"Pass","Fail"))</f>
        <v>Fail</v>
      </c>
      <c r="AD1965" s="1" t="str">
        <f>IF(AND(Table1[[#This Row],[Spec Type2]]="N/A",Table1[[#This Row],[DUT Adj Read]]="N/A",Table1[[#This Row],[Std Adj Read]]="N/A"),"N/A",IF(Table1[[#This Row],[DUT Adj Read]]="N/A",IF(Table1[[#This Row],[Std Adj Read]]&gt;Table1[[#This Row],[Low Tol]],"Pass","Fail"),IF(Table1[[#This Row],[DUT Adj Read]]&gt;Table1[[#This Row],[Low Tol]],"Pass","Fail")))</f>
        <v>Pass</v>
      </c>
      <c r="AE1965" s="1" t="str">
        <f>IF(AND(Table1[[#This Row],[Spec Type2]]="N/A",Table1[[#This Row],[DUT Adj Read]]="N/A",Table1[[#This Row],[Std Adj Read]]="N/A"),"N/A",IF(Table1[[#This Row],[DUT Adj Read]]="N/A",IF(Table1[[#This Row],[Std Adj Read]]&lt;Table1[[#This Row],[High Tol]],"Pass","Fail"),IF(Table1[[#This Row],[DUT Adj Read]]&lt;Table1[[#This Row],[High Tol]],"Pass","Fail")))</f>
        <v>Fail</v>
      </c>
      <c r="AF1965" s="1" t="str">
        <f>IF(AND(Table1[[#This Row],[Spec Type2]]="N/A",Table1[[#This Row],[DUT Adj Read]]="N/A",Table1[[#This Row],[Std Adj Read]]="N/A"),"N/A",IF(Table1[[#This Row],[DUT Adj Read]]="N/A",IF(Table1[[#This Row],[Std Adj Read]]&gt;=Table1[[#This Row],[Low Tol]],"Pass","Fail"),IF(Table1[[#This Row],[DUT Adj Read]]&gt;=Table1[[#This Row],[Low Tol]],"Pass","Fail")))</f>
        <v>Pass</v>
      </c>
      <c r="AG1965" s="1" t="str">
        <f>IF(AND(Table1[[#This Row],[Spec Type2]]="N/A",Table1[[#This Row],[DUT Adj Read]]="N/A",Table1[[#This Row],[Std Adj Read]]="N/A"),"N/A",IF(Table1[[#This Row],[DUT Adj Read]]="N/A",IF(Table1[[#This Row],[Std Adj Read]]&lt;=Table1[[#This Row],[High Tol]],"Pass","Fail"),IF(Table1[[#This Row],[DUT Adj Read]]&lt;=Table1[[#This Row],[High Tol]],"Pass","Fail")))</f>
        <v>Fail</v>
      </c>
      <c r="AH19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5" s="1" t="b">
        <v>0</v>
      </c>
      <c r="AN1965" s="1" t="b">
        <v>0</v>
      </c>
      <c r="AO1965" s="1" t="b">
        <v>0</v>
      </c>
    </row>
    <row r="1966" spans="1:41" x14ac:dyDescent="0.25">
      <c r="A1966" s="10"/>
      <c r="B1966" s="10"/>
      <c r="C1966" s="10"/>
      <c r="D1966" s="10"/>
      <c r="E1966" s="10"/>
      <c r="F1966" s="10"/>
      <c r="G1966" s="10"/>
      <c r="H1966" s="10"/>
      <c r="I1966" s="1" t="str">
        <f t="shared" si="90"/>
        <v/>
      </c>
      <c r="J1966" s="1" t="s">
        <v>35</v>
      </c>
      <c r="K1966" s="1" t="str">
        <f t="shared" si="91"/>
        <v/>
      </c>
      <c r="L1966" s="1" t="str">
        <f t="shared" si="92"/>
        <v/>
      </c>
      <c r="M1966" s="1">
        <f>IF(OR(Table1[[#This Row],[Std Nom]]="",Table1[[#This Row],[Std Read]]=""),0,Table1[[#This Row],[Std Nom]]-Table1[[#This Row],[Std Read]])</f>
        <v>0</v>
      </c>
      <c r="N1966" s="1">
        <f>IF(Calculations!$F$5="ACCREDITED 17025 WITH UNCERTAINTIES",$N$10,0)</f>
        <v>0</v>
      </c>
      <c r="O1966" s="1" t="str">
        <f>IFERROR(Table1[[#This Row],[Std Nom]]-(_xlfn.XLOOKUP(Table1[[#This Row],[Manufacturer]]&amp;" "&amp;Table1[[#This Row],[Model]],Table13[MFR &amp; MDL],Table13[Tolerance % CW ],"")/100*Table1[[#This Row],[Std Nom]]),"")</f>
        <v/>
      </c>
      <c r="P1966" s="1" t="str">
        <f>IFERROR(Table1[[#This Row],[Std Nom]]+(_xlfn.XLOOKUP(Table1[[#This Row],[Manufacturer]]&amp;" "&amp;Table1[[#This Row],[Model]],Table13[MFR &amp; MDL],Table13[Tolerance % CW ],"")/100*Table1[[#This Row],[Std Nom]]),"")</f>
        <v/>
      </c>
      <c r="Q1966" s="1" t="e">
        <f>Table1[[#This Row],[High Tol]]-Table1[[#This Row],[Low Tol]]</f>
        <v>#VALUE!</v>
      </c>
      <c r="R1966" s="1">
        <f>2*Table1[[#This Row],[Std Error]]</f>
        <v>0</v>
      </c>
      <c r="S1966" s="1" t="str">
        <f>IF(Table1[[#This Row],[High Tol]]="","N/A",IFERROR(ABS(Table1[[#This Row],[Tol Span]]/Table1[[#This Row],[Error Span]]),"N/A"))</f>
        <v>N/A</v>
      </c>
      <c r="T1966" s="1" t="str">
        <f>IF(OR(Table1[[#This Row],[Low Tol]]="",Table1[[#This Row],[High Tol]]=""),"Needs Analysis",IF(Table1[[#This Row],[Ratio]]&gt;=4,"Not Significant",IF(Table1[[#This Row],[Ratio]]&gt;=2,"Semi-Significant","Significant")))</f>
        <v>Needs Analysis</v>
      </c>
      <c r="W1966" s="1">
        <f>IF(Table1[[#This Row],[Cal Type]]&lt;&gt;"ACCREDITED 17025 WITH UNCERTAINTIES",0,"")</f>
        <v>0</v>
      </c>
      <c r="X1966" s="1" t="str">
        <f>IF(Table1[[#This Row],[DUT Read]]="","N/A",Table1[[#This Row],[Std Error]]+Table1[[#This Row],[DUT Read]]+Table1[[#This Row],[DUT Ucty]])</f>
        <v>N/A</v>
      </c>
      <c r="Y1966" s="1" t="str">
        <f>IF(Table1[[#This Row],[Std Read]]="","N/A",Table1[[#This Row],[Std Read]]+Table1[[#This Row],[Std Ucty]])</f>
        <v>N/A</v>
      </c>
      <c r="Z19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6" s="1" t="str">
        <f>IF(Table1[[#This Row],[Spec Type]]="","N/A",Table1[[#This Row],[Spec Type]])</f>
        <v>±</v>
      </c>
      <c r="AC1966" s="1" t="str">
        <f>IF(Table1[[#This Row],[Spec Type2]]="N/A","N/A",IF(AND(Table1[[#This Row],[DUT Adj Read]]&gt;=Table1[[#This Row],[Low Tol]],Table1[[#This Row],[DUT Adj Read]]&lt;=Table1[[#This Row],[High Tol]]),"Pass","Fail"))</f>
        <v>Fail</v>
      </c>
      <c r="AD1966" s="1" t="str">
        <f>IF(AND(Table1[[#This Row],[Spec Type2]]="N/A",Table1[[#This Row],[DUT Adj Read]]="N/A",Table1[[#This Row],[Std Adj Read]]="N/A"),"N/A",IF(Table1[[#This Row],[DUT Adj Read]]="N/A",IF(Table1[[#This Row],[Std Adj Read]]&gt;Table1[[#This Row],[Low Tol]],"Pass","Fail"),IF(Table1[[#This Row],[DUT Adj Read]]&gt;Table1[[#This Row],[Low Tol]],"Pass","Fail")))</f>
        <v>Pass</v>
      </c>
      <c r="AE1966" s="1" t="str">
        <f>IF(AND(Table1[[#This Row],[Spec Type2]]="N/A",Table1[[#This Row],[DUT Adj Read]]="N/A",Table1[[#This Row],[Std Adj Read]]="N/A"),"N/A",IF(Table1[[#This Row],[DUT Adj Read]]="N/A",IF(Table1[[#This Row],[Std Adj Read]]&lt;Table1[[#This Row],[High Tol]],"Pass","Fail"),IF(Table1[[#This Row],[DUT Adj Read]]&lt;Table1[[#This Row],[High Tol]],"Pass","Fail")))</f>
        <v>Fail</v>
      </c>
      <c r="AF1966" s="1" t="str">
        <f>IF(AND(Table1[[#This Row],[Spec Type2]]="N/A",Table1[[#This Row],[DUT Adj Read]]="N/A",Table1[[#This Row],[Std Adj Read]]="N/A"),"N/A",IF(Table1[[#This Row],[DUT Adj Read]]="N/A",IF(Table1[[#This Row],[Std Adj Read]]&gt;=Table1[[#This Row],[Low Tol]],"Pass","Fail"),IF(Table1[[#This Row],[DUT Adj Read]]&gt;=Table1[[#This Row],[Low Tol]],"Pass","Fail")))</f>
        <v>Pass</v>
      </c>
      <c r="AG1966" s="1" t="str">
        <f>IF(AND(Table1[[#This Row],[Spec Type2]]="N/A",Table1[[#This Row],[DUT Adj Read]]="N/A",Table1[[#This Row],[Std Adj Read]]="N/A"),"N/A",IF(Table1[[#This Row],[DUT Adj Read]]="N/A",IF(Table1[[#This Row],[Std Adj Read]]&lt;=Table1[[#This Row],[High Tol]],"Pass","Fail"),IF(Table1[[#This Row],[DUT Adj Read]]&lt;=Table1[[#This Row],[High Tol]],"Pass","Fail")))</f>
        <v>Fail</v>
      </c>
      <c r="AH19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6" s="1" t="b">
        <v>0</v>
      </c>
      <c r="AN1966" s="1" t="b">
        <v>0</v>
      </c>
      <c r="AO1966" s="1" t="b">
        <v>0</v>
      </c>
    </row>
    <row r="1967" spans="1:41" x14ac:dyDescent="0.25">
      <c r="A1967" s="10"/>
      <c r="B1967" s="10"/>
      <c r="C1967" s="10"/>
      <c r="D1967" s="10"/>
      <c r="E1967" s="10"/>
      <c r="F1967" s="10"/>
      <c r="G1967" s="10"/>
      <c r="H1967" s="10"/>
      <c r="I1967" s="1" t="str">
        <f t="shared" si="90"/>
        <v/>
      </c>
      <c r="J1967" s="1" t="s">
        <v>35</v>
      </c>
      <c r="K1967" s="1" t="str">
        <f t="shared" si="91"/>
        <v/>
      </c>
      <c r="L1967" s="1" t="str">
        <f t="shared" si="92"/>
        <v/>
      </c>
      <c r="M1967" s="1">
        <f>IF(OR(Table1[[#This Row],[Std Nom]]="",Table1[[#This Row],[Std Read]]=""),0,Table1[[#This Row],[Std Nom]]-Table1[[#This Row],[Std Read]])</f>
        <v>0</v>
      </c>
      <c r="N1967" s="1">
        <f>IF(Calculations!$F$5="ACCREDITED 17025 WITH UNCERTAINTIES",$N$10,0)</f>
        <v>0</v>
      </c>
      <c r="O1967" s="1" t="str">
        <f>IFERROR(Table1[[#This Row],[Std Nom]]-(_xlfn.XLOOKUP(Table1[[#This Row],[Manufacturer]]&amp;" "&amp;Table1[[#This Row],[Model]],Table13[MFR &amp; MDL],Table13[Tolerance % CW ],"")/100*Table1[[#This Row],[Std Nom]]),"")</f>
        <v/>
      </c>
      <c r="P1967" s="1" t="str">
        <f>IFERROR(Table1[[#This Row],[Std Nom]]+(_xlfn.XLOOKUP(Table1[[#This Row],[Manufacturer]]&amp;" "&amp;Table1[[#This Row],[Model]],Table13[MFR &amp; MDL],Table13[Tolerance % CW ],"")/100*Table1[[#This Row],[Std Nom]]),"")</f>
        <v/>
      </c>
      <c r="Q1967" s="1" t="e">
        <f>Table1[[#This Row],[High Tol]]-Table1[[#This Row],[Low Tol]]</f>
        <v>#VALUE!</v>
      </c>
      <c r="R1967" s="1">
        <f>2*Table1[[#This Row],[Std Error]]</f>
        <v>0</v>
      </c>
      <c r="S1967" s="1" t="str">
        <f>IF(Table1[[#This Row],[High Tol]]="","N/A",IFERROR(ABS(Table1[[#This Row],[Tol Span]]/Table1[[#This Row],[Error Span]]),"N/A"))</f>
        <v>N/A</v>
      </c>
      <c r="T1967" s="1" t="str">
        <f>IF(OR(Table1[[#This Row],[Low Tol]]="",Table1[[#This Row],[High Tol]]=""),"Needs Analysis",IF(Table1[[#This Row],[Ratio]]&gt;=4,"Not Significant",IF(Table1[[#This Row],[Ratio]]&gt;=2,"Semi-Significant","Significant")))</f>
        <v>Needs Analysis</v>
      </c>
      <c r="W1967" s="1">
        <f>IF(Table1[[#This Row],[Cal Type]]&lt;&gt;"ACCREDITED 17025 WITH UNCERTAINTIES",0,"")</f>
        <v>0</v>
      </c>
      <c r="X1967" s="1" t="str">
        <f>IF(Table1[[#This Row],[DUT Read]]="","N/A",Table1[[#This Row],[Std Error]]+Table1[[#This Row],[DUT Read]]+Table1[[#This Row],[DUT Ucty]])</f>
        <v>N/A</v>
      </c>
      <c r="Y1967" s="1" t="str">
        <f>IF(Table1[[#This Row],[Std Read]]="","N/A",Table1[[#This Row],[Std Read]]+Table1[[#This Row],[Std Ucty]])</f>
        <v>N/A</v>
      </c>
      <c r="Z19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7" s="1" t="str">
        <f>IF(Table1[[#This Row],[Spec Type]]="","N/A",Table1[[#This Row],[Spec Type]])</f>
        <v>±</v>
      </c>
      <c r="AC1967" s="1" t="str">
        <f>IF(Table1[[#This Row],[Spec Type2]]="N/A","N/A",IF(AND(Table1[[#This Row],[DUT Adj Read]]&gt;=Table1[[#This Row],[Low Tol]],Table1[[#This Row],[DUT Adj Read]]&lt;=Table1[[#This Row],[High Tol]]),"Pass","Fail"))</f>
        <v>Fail</v>
      </c>
      <c r="AD1967" s="1" t="str">
        <f>IF(AND(Table1[[#This Row],[Spec Type2]]="N/A",Table1[[#This Row],[DUT Adj Read]]="N/A",Table1[[#This Row],[Std Adj Read]]="N/A"),"N/A",IF(Table1[[#This Row],[DUT Adj Read]]="N/A",IF(Table1[[#This Row],[Std Adj Read]]&gt;Table1[[#This Row],[Low Tol]],"Pass","Fail"),IF(Table1[[#This Row],[DUT Adj Read]]&gt;Table1[[#This Row],[Low Tol]],"Pass","Fail")))</f>
        <v>Pass</v>
      </c>
      <c r="AE1967" s="1" t="str">
        <f>IF(AND(Table1[[#This Row],[Spec Type2]]="N/A",Table1[[#This Row],[DUT Adj Read]]="N/A",Table1[[#This Row],[Std Adj Read]]="N/A"),"N/A",IF(Table1[[#This Row],[DUT Adj Read]]="N/A",IF(Table1[[#This Row],[Std Adj Read]]&lt;Table1[[#This Row],[High Tol]],"Pass","Fail"),IF(Table1[[#This Row],[DUT Adj Read]]&lt;Table1[[#This Row],[High Tol]],"Pass","Fail")))</f>
        <v>Fail</v>
      </c>
      <c r="AF1967" s="1" t="str">
        <f>IF(AND(Table1[[#This Row],[Spec Type2]]="N/A",Table1[[#This Row],[DUT Adj Read]]="N/A",Table1[[#This Row],[Std Adj Read]]="N/A"),"N/A",IF(Table1[[#This Row],[DUT Adj Read]]="N/A",IF(Table1[[#This Row],[Std Adj Read]]&gt;=Table1[[#This Row],[Low Tol]],"Pass","Fail"),IF(Table1[[#This Row],[DUT Adj Read]]&gt;=Table1[[#This Row],[Low Tol]],"Pass","Fail")))</f>
        <v>Pass</v>
      </c>
      <c r="AG1967" s="1" t="str">
        <f>IF(AND(Table1[[#This Row],[Spec Type2]]="N/A",Table1[[#This Row],[DUT Adj Read]]="N/A",Table1[[#This Row],[Std Adj Read]]="N/A"),"N/A",IF(Table1[[#This Row],[DUT Adj Read]]="N/A",IF(Table1[[#This Row],[Std Adj Read]]&lt;=Table1[[#This Row],[High Tol]],"Pass","Fail"),IF(Table1[[#This Row],[DUT Adj Read]]&lt;=Table1[[#This Row],[High Tol]],"Pass","Fail")))</f>
        <v>Fail</v>
      </c>
      <c r="AH19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7" s="1" t="b">
        <v>0</v>
      </c>
      <c r="AN1967" s="1" t="b">
        <v>0</v>
      </c>
      <c r="AO1967" s="1" t="b">
        <v>0</v>
      </c>
    </row>
    <row r="1968" spans="1:41" x14ac:dyDescent="0.25">
      <c r="A1968" s="10"/>
      <c r="B1968" s="10"/>
      <c r="C1968" s="10"/>
      <c r="D1968" s="10"/>
      <c r="E1968" s="10"/>
      <c r="F1968" s="10"/>
      <c r="G1968" s="10"/>
      <c r="H1968" s="10"/>
      <c r="I1968" s="1" t="str">
        <f t="shared" si="90"/>
        <v/>
      </c>
      <c r="J1968" s="1" t="s">
        <v>35</v>
      </c>
      <c r="K1968" s="1" t="str">
        <f t="shared" si="91"/>
        <v/>
      </c>
      <c r="L1968" s="1" t="str">
        <f t="shared" si="92"/>
        <v/>
      </c>
      <c r="M1968" s="1">
        <f>IF(OR(Table1[[#This Row],[Std Nom]]="",Table1[[#This Row],[Std Read]]=""),0,Table1[[#This Row],[Std Nom]]-Table1[[#This Row],[Std Read]])</f>
        <v>0</v>
      </c>
      <c r="N1968" s="1">
        <f>IF(Calculations!$F$5="ACCREDITED 17025 WITH UNCERTAINTIES",$N$10,0)</f>
        <v>0</v>
      </c>
      <c r="O1968" s="1" t="str">
        <f>IFERROR(Table1[[#This Row],[Std Nom]]-(_xlfn.XLOOKUP(Table1[[#This Row],[Manufacturer]]&amp;" "&amp;Table1[[#This Row],[Model]],Table13[MFR &amp; MDL],Table13[Tolerance % CW ],"")/100*Table1[[#This Row],[Std Nom]]),"")</f>
        <v/>
      </c>
      <c r="P1968" s="1" t="str">
        <f>IFERROR(Table1[[#This Row],[Std Nom]]+(_xlfn.XLOOKUP(Table1[[#This Row],[Manufacturer]]&amp;" "&amp;Table1[[#This Row],[Model]],Table13[MFR &amp; MDL],Table13[Tolerance % CW ],"")/100*Table1[[#This Row],[Std Nom]]),"")</f>
        <v/>
      </c>
      <c r="Q1968" s="1" t="e">
        <f>Table1[[#This Row],[High Tol]]-Table1[[#This Row],[Low Tol]]</f>
        <v>#VALUE!</v>
      </c>
      <c r="R1968" s="1">
        <f>2*Table1[[#This Row],[Std Error]]</f>
        <v>0</v>
      </c>
      <c r="S1968" s="1" t="str">
        <f>IF(Table1[[#This Row],[High Tol]]="","N/A",IFERROR(ABS(Table1[[#This Row],[Tol Span]]/Table1[[#This Row],[Error Span]]),"N/A"))</f>
        <v>N/A</v>
      </c>
      <c r="T1968" s="1" t="str">
        <f>IF(OR(Table1[[#This Row],[Low Tol]]="",Table1[[#This Row],[High Tol]]=""),"Needs Analysis",IF(Table1[[#This Row],[Ratio]]&gt;=4,"Not Significant",IF(Table1[[#This Row],[Ratio]]&gt;=2,"Semi-Significant","Significant")))</f>
        <v>Needs Analysis</v>
      </c>
      <c r="W1968" s="1">
        <f>IF(Table1[[#This Row],[Cal Type]]&lt;&gt;"ACCREDITED 17025 WITH UNCERTAINTIES",0,"")</f>
        <v>0</v>
      </c>
      <c r="X1968" s="1" t="str">
        <f>IF(Table1[[#This Row],[DUT Read]]="","N/A",Table1[[#This Row],[Std Error]]+Table1[[#This Row],[DUT Read]]+Table1[[#This Row],[DUT Ucty]])</f>
        <v>N/A</v>
      </c>
      <c r="Y1968" s="1" t="str">
        <f>IF(Table1[[#This Row],[Std Read]]="","N/A",Table1[[#This Row],[Std Read]]+Table1[[#This Row],[Std Ucty]])</f>
        <v>N/A</v>
      </c>
      <c r="Z19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8" s="1" t="str">
        <f>IF(Table1[[#This Row],[Spec Type]]="","N/A",Table1[[#This Row],[Spec Type]])</f>
        <v>±</v>
      </c>
      <c r="AC1968" s="1" t="str">
        <f>IF(Table1[[#This Row],[Spec Type2]]="N/A","N/A",IF(AND(Table1[[#This Row],[DUT Adj Read]]&gt;=Table1[[#This Row],[Low Tol]],Table1[[#This Row],[DUT Adj Read]]&lt;=Table1[[#This Row],[High Tol]]),"Pass","Fail"))</f>
        <v>Fail</v>
      </c>
      <c r="AD1968" s="1" t="str">
        <f>IF(AND(Table1[[#This Row],[Spec Type2]]="N/A",Table1[[#This Row],[DUT Adj Read]]="N/A",Table1[[#This Row],[Std Adj Read]]="N/A"),"N/A",IF(Table1[[#This Row],[DUT Adj Read]]="N/A",IF(Table1[[#This Row],[Std Adj Read]]&gt;Table1[[#This Row],[Low Tol]],"Pass","Fail"),IF(Table1[[#This Row],[DUT Adj Read]]&gt;Table1[[#This Row],[Low Tol]],"Pass","Fail")))</f>
        <v>Pass</v>
      </c>
      <c r="AE1968" s="1" t="str">
        <f>IF(AND(Table1[[#This Row],[Spec Type2]]="N/A",Table1[[#This Row],[DUT Adj Read]]="N/A",Table1[[#This Row],[Std Adj Read]]="N/A"),"N/A",IF(Table1[[#This Row],[DUT Adj Read]]="N/A",IF(Table1[[#This Row],[Std Adj Read]]&lt;Table1[[#This Row],[High Tol]],"Pass","Fail"),IF(Table1[[#This Row],[DUT Adj Read]]&lt;Table1[[#This Row],[High Tol]],"Pass","Fail")))</f>
        <v>Fail</v>
      </c>
      <c r="AF1968" s="1" t="str">
        <f>IF(AND(Table1[[#This Row],[Spec Type2]]="N/A",Table1[[#This Row],[DUT Adj Read]]="N/A",Table1[[#This Row],[Std Adj Read]]="N/A"),"N/A",IF(Table1[[#This Row],[DUT Adj Read]]="N/A",IF(Table1[[#This Row],[Std Adj Read]]&gt;=Table1[[#This Row],[Low Tol]],"Pass","Fail"),IF(Table1[[#This Row],[DUT Adj Read]]&gt;=Table1[[#This Row],[Low Tol]],"Pass","Fail")))</f>
        <v>Pass</v>
      </c>
      <c r="AG1968" s="1" t="str">
        <f>IF(AND(Table1[[#This Row],[Spec Type2]]="N/A",Table1[[#This Row],[DUT Adj Read]]="N/A",Table1[[#This Row],[Std Adj Read]]="N/A"),"N/A",IF(Table1[[#This Row],[DUT Adj Read]]="N/A",IF(Table1[[#This Row],[Std Adj Read]]&lt;=Table1[[#This Row],[High Tol]],"Pass","Fail"),IF(Table1[[#This Row],[DUT Adj Read]]&lt;=Table1[[#This Row],[High Tol]],"Pass","Fail")))</f>
        <v>Fail</v>
      </c>
      <c r="AH19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8" s="1" t="b">
        <v>0</v>
      </c>
      <c r="AN1968" s="1" t="b">
        <v>0</v>
      </c>
      <c r="AO1968" s="1" t="b">
        <v>0</v>
      </c>
    </row>
    <row r="1969" spans="1:41" x14ac:dyDescent="0.25">
      <c r="A1969" s="10"/>
      <c r="B1969" s="10"/>
      <c r="C1969" s="10"/>
      <c r="D1969" s="10"/>
      <c r="E1969" s="10"/>
      <c r="F1969" s="10"/>
      <c r="G1969" s="10"/>
      <c r="H1969" s="10"/>
      <c r="I1969" s="1" t="str">
        <f t="shared" si="90"/>
        <v/>
      </c>
      <c r="J1969" s="1" t="s">
        <v>35</v>
      </c>
      <c r="K1969" s="1" t="str">
        <f t="shared" si="91"/>
        <v/>
      </c>
      <c r="L1969" s="1" t="str">
        <f t="shared" si="92"/>
        <v/>
      </c>
      <c r="M1969" s="1">
        <f>IF(OR(Table1[[#This Row],[Std Nom]]="",Table1[[#This Row],[Std Read]]=""),0,Table1[[#This Row],[Std Nom]]-Table1[[#This Row],[Std Read]])</f>
        <v>0</v>
      </c>
      <c r="N1969" s="1">
        <f>IF(Calculations!$F$5="ACCREDITED 17025 WITH UNCERTAINTIES",$N$10,0)</f>
        <v>0</v>
      </c>
      <c r="O1969" s="1" t="str">
        <f>IFERROR(Table1[[#This Row],[Std Nom]]-(_xlfn.XLOOKUP(Table1[[#This Row],[Manufacturer]]&amp;" "&amp;Table1[[#This Row],[Model]],Table13[MFR &amp; MDL],Table13[Tolerance % CW ],"")/100*Table1[[#This Row],[Std Nom]]),"")</f>
        <v/>
      </c>
      <c r="P1969" s="1" t="str">
        <f>IFERROR(Table1[[#This Row],[Std Nom]]+(_xlfn.XLOOKUP(Table1[[#This Row],[Manufacturer]]&amp;" "&amp;Table1[[#This Row],[Model]],Table13[MFR &amp; MDL],Table13[Tolerance % CW ],"")/100*Table1[[#This Row],[Std Nom]]),"")</f>
        <v/>
      </c>
      <c r="Q1969" s="1" t="e">
        <f>Table1[[#This Row],[High Tol]]-Table1[[#This Row],[Low Tol]]</f>
        <v>#VALUE!</v>
      </c>
      <c r="R1969" s="1">
        <f>2*Table1[[#This Row],[Std Error]]</f>
        <v>0</v>
      </c>
      <c r="S1969" s="1" t="str">
        <f>IF(Table1[[#This Row],[High Tol]]="","N/A",IFERROR(ABS(Table1[[#This Row],[Tol Span]]/Table1[[#This Row],[Error Span]]),"N/A"))</f>
        <v>N/A</v>
      </c>
      <c r="T1969" s="1" t="str">
        <f>IF(OR(Table1[[#This Row],[Low Tol]]="",Table1[[#This Row],[High Tol]]=""),"Needs Analysis",IF(Table1[[#This Row],[Ratio]]&gt;=4,"Not Significant",IF(Table1[[#This Row],[Ratio]]&gt;=2,"Semi-Significant","Significant")))</f>
        <v>Needs Analysis</v>
      </c>
      <c r="W1969" s="1">
        <f>IF(Table1[[#This Row],[Cal Type]]&lt;&gt;"ACCREDITED 17025 WITH UNCERTAINTIES",0,"")</f>
        <v>0</v>
      </c>
      <c r="X1969" s="1" t="str">
        <f>IF(Table1[[#This Row],[DUT Read]]="","N/A",Table1[[#This Row],[Std Error]]+Table1[[#This Row],[DUT Read]]+Table1[[#This Row],[DUT Ucty]])</f>
        <v>N/A</v>
      </c>
      <c r="Y1969" s="1" t="str">
        <f>IF(Table1[[#This Row],[Std Read]]="","N/A",Table1[[#This Row],[Std Read]]+Table1[[#This Row],[Std Ucty]])</f>
        <v>N/A</v>
      </c>
      <c r="Z19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9" s="1" t="str">
        <f>IF(Table1[[#This Row],[Spec Type]]="","N/A",Table1[[#This Row],[Spec Type]])</f>
        <v>±</v>
      </c>
      <c r="AC1969" s="1" t="str">
        <f>IF(Table1[[#This Row],[Spec Type2]]="N/A","N/A",IF(AND(Table1[[#This Row],[DUT Adj Read]]&gt;=Table1[[#This Row],[Low Tol]],Table1[[#This Row],[DUT Adj Read]]&lt;=Table1[[#This Row],[High Tol]]),"Pass","Fail"))</f>
        <v>Fail</v>
      </c>
      <c r="AD1969" s="1" t="str">
        <f>IF(AND(Table1[[#This Row],[Spec Type2]]="N/A",Table1[[#This Row],[DUT Adj Read]]="N/A",Table1[[#This Row],[Std Adj Read]]="N/A"),"N/A",IF(Table1[[#This Row],[DUT Adj Read]]="N/A",IF(Table1[[#This Row],[Std Adj Read]]&gt;Table1[[#This Row],[Low Tol]],"Pass","Fail"),IF(Table1[[#This Row],[DUT Adj Read]]&gt;Table1[[#This Row],[Low Tol]],"Pass","Fail")))</f>
        <v>Pass</v>
      </c>
      <c r="AE1969" s="1" t="str">
        <f>IF(AND(Table1[[#This Row],[Spec Type2]]="N/A",Table1[[#This Row],[DUT Adj Read]]="N/A",Table1[[#This Row],[Std Adj Read]]="N/A"),"N/A",IF(Table1[[#This Row],[DUT Adj Read]]="N/A",IF(Table1[[#This Row],[Std Adj Read]]&lt;Table1[[#This Row],[High Tol]],"Pass","Fail"),IF(Table1[[#This Row],[DUT Adj Read]]&lt;Table1[[#This Row],[High Tol]],"Pass","Fail")))</f>
        <v>Fail</v>
      </c>
      <c r="AF1969" s="1" t="str">
        <f>IF(AND(Table1[[#This Row],[Spec Type2]]="N/A",Table1[[#This Row],[DUT Adj Read]]="N/A",Table1[[#This Row],[Std Adj Read]]="N/A"),"N/A",IF(Table1[[#This Row],[DUT Adj Read]]="N/A",IF(Table1[[#This Row],[Std Adj Read]]&gt;=Table1[[#This Row],[Low Tol]],"Pass","Fail"),IF(Table1[[#This Row],[DUT Adj Read]]&gt;=Table1[[#This Row],[Low Tol]],"Pass","Fail")))</f>
        <v>Pass</v>
      </c>
      <c r="AG1969" s="1" t="str">
        <f>IF(AND(Table1[[#This Row],[Spec Type2]]="N/A",Table1[[#This Row],[DUT Adj Read]]="N/A",Table1[[#This Row],[Std Adj Read]]="N/A"),"N/A",IF(Table1[[#This Row],[DUT Adj Read]]="N/A",IF(Table1[[#This Row],[Std Adj Read]]&lt;=Table1[[#This Row],[High Tol]],"Pass","Fail"),IF(Table1[[#This Row],[DUT Adj Read]]&lt;=Table1[[#This Row],[High Tol]],"Pass","Fail")))</f>
        <v>Fail</v>
      </c>
      <c r="AH19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9" s="1" t="b">
        <v>0</v>
      </c>
      <c r="AN1969" s="1" t="b">
        <v>0</v>
      </c>
      <c r="AO1969" s="1" t="b">
        <v>0</v>
      </c>
    </row>
    <row r="1970" spans="1:41" x14ac:dyDescent="0.25">
      <c r="A1970" s="10"/>
      <c r="B1970" s="10"/>
      <c r="C1970" s="10"/>
      <c r="D1970" s="10"/>
      <c r="E1970" s="10"/>
      <c r="F1970" s="10"/>
      <c r="G1970" s="10"/>
      <c r="H1970" s="10"/>
      <c r="I1970" s="1" t="str">
        <f t="shared" si="90"/>
        <v/>
      </c>
      <c r="J1970" s="1" t="s">
        <v>35</v>
      </c>
      <c r="K1970" s="1" t="str">
        <f t="shared" si="91"/>
        <v/>
      </c>
      <c r="L1970" s="1" t="str">
        <f t="shared" si="92"/>
        <v/>
      </c>
      <c r="M1970" s="1">
        <f>IF(OR(Table1[[#This Row],[Std Nom]]="",Table1[[#This Row],[Std Read]]=""),0,Table1[[#This Row],[Std Nom]]-Table1[[#This Row],[Std Read]])</f>
        <v>0</v>
      </c>
      <c r="N1970" s="1">
        <f>IF(Calculations!$F$5="ACCREDITED 17025 WITH UNCERTAINTIES",$N$10,0)</f>
        <v>0</v>
      </c>
      <c r="O1970" s="1" t="str">
        <f>IFERROR(Table1[[#This Row],[Std Nom]]-(_xlfn.XLOOKUP(Table1[[#This Row],[Manufacturer]]&amp;" "&amp;Table1[[#This Row],[Model]],Table13[MFR &amp; MDL],Table13[Tolerance % CW ],"")/100*Table1[[#This Row],[Std Nom]]),"")</f>
        <v/>
      </c>
      <c r="P1970" s="1" t="str">
        <f>IFERROR(Table1[[#This Row],[Std Nom]]+(_xlfn.XLOOKUP(Table1[[#This Row],[Manufacturer]]&amp;" "&amp;Table1[[#This Row],[Model]],Table13[MFR &amp; MDL],Table13[Tolerance % CW ],"")/100*Table1[[#This Row],[Std Nom]]),"")</f>
        <v/>
      </c>
      <c r="Q1970" s="1" t="e">
        <f>Table1[[#This Row],[High Tol]]-Table1[[#This Row],[Low Tol]]</f>
        <v>#VALUE!</v>
      </c>
      <c r="R1970" s="1">
        <f>2*Table1[[#This Row],[Std Error]]</f>
        <v>0</v>
      </c>
      <c r="S1970" s="1" t="str">
        <f>IF(Table1[[#This Row],[High Tol]]="","N/A",IFERROR(ABS(Table1[[#This Row],[Tol Span]]/Table1[[#This Row],[Error Span]]),"N/A"))</f>
        <v>N/A</v>
      </c>
      <c r="T1970" s="1" t="str">
        <f>IF(OR(Table1[[#This Row],[Low Tol]]="",Table1[[#This Row],[High Tol]]=""),"Needs Analysis",IF(Table1[[#This Row],[Ratio]]&gt;=4,"Not Significant",IF(Table1[[#This Row],[Ratio]]&gt;=2,"Semi-Significant","Significant")))</f>
        <v>Needs Analysis</v>
      </c>
      <c r="W1970" s="1">
        <f>IF(Table1[[#This Row],[Cal Type]]&lt;&gt;"ACCREDITED 17025 WITH UNCERTAINTIES",0,"")</f>
        <v>0</v>
      </c>
      <c r="X1970" s="1" t="str">
        <f>IF(Table1[[#This Row],[DUT Read]]="","N/A",Table1[[#This Row],[Std Error]]+Table1[[#This Row],[DUT Read]]+Table1[[#This Row],[DUT Ucty]])</f>
        <v>N/A</v>
      </c>
      <c r="Y1970" s="1" t="str">
        <f>IF(Table1[[#This Row],[Std Read]]="","N/A",Table1[[#This Row],[Std Read]]+Table1[[#This Row],[Std Ucty]])</f>
        <v>N/A</v>
      </c>
      <c r="Z19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0" s="1" t="str">
        <f>IF(Table1[[#This Row],[Spec Type]]="","N/A",Table1[[#This Row],[Spec Type]])</f>
        <v>±</v>
      </c>
      <c r="AC1970" s="1" t="str">
        <f>IF(Table1[[#This Row],[Spec Type2]]="N/A","N/A",IF(AND(Table1[[#This Row],[DUT Adj Read]]&gt;=Table1[[#This Row],[Low Tol]],Table1[[#This Row],[DUT Adj Read]]&lt;=Table1[[#This Row],[High Tol]]),"Pass","Fail"))</f>
        <v>Fail</v>
      </c>
      <c r="AD1970" s="1" t="str">
        <f>IF(AND(Table1[[#This Row],[Spec Type2]]="N/A",Table1[[#This Row],[DUT Adj Read]]="N/A",Table1[[#This Row],[Std Adj Read]]="N/A"),"N/A",IF(Table1[[#This Row],[DUT Adj Read]]="N/A",IF(Table1[[#This Row],[Std Adj Read]]&gt;Table1[[#This Row],[Low Tol]],"Pass","Fail"),IF(Table1[[#This Row],[DUT Adj Read]]&gt;Table1[[#This Row],[Low Tol]],"Pass","Fail")))</f>
        <v>Pass</v>
      </c>
      <c r="AE1970" s="1" t="str">
        <f>IF(AND(Table1[[#This Row],[Spec Type2]]="N/A",Table1[[#This Row],[DUT Adj Read]]="N/A",Table1[[#This Row],[Std Adj Read]]="N/A"),"N/A",IF(Table1[[#This Row],[DUT Adj Read]]="N/A",IF(Table1[[#This Row],[Std Adj Read]]&lt;Table1[[#This Row],[High Tol]],"Pass","Fail"),IF(Table1[[#This Row],[DUT Adj Read]]&lt;Table1[[#This Row],[High Tol]],"Pass","Fail")))</f>
        <v>Fail</v>
      </c>
      <c r="AF1970" s="1" t="str">
        <f>IF(AND(Table1[[#This Row],[Spec Type2]]="N/A",Table1[[#This Row],[DUT Adj Read]]="N/A",Table1[[#This Row],[Std Adj Read]]="N/A"),"N/A",IF(Table1[[#This Row],[DUT Adj Read]]="N/A",IF(Table1[[#This Row],[Std Adj Read]]&gt;=Table1[[#This Row],[Low Tol]],"Pass","Fail"),IF(Table1[[#This Row],[DUT Adj Read]]&gt;=Table1[[#This Row],[Low Tol]],"Pass","Fail")))</f>
        <v>Pass</v>
      </c>
      <c r="AG1970" s="1" t="str">
        <f>IF(AND(Table1[[#This Row],[Spec Type2]]="N/A",Table1[[#This Row],[DUT Adj Read]]="N/A",Table1[[#This Row],[Std Adj Read]]="N/A"),"N/A",IF(Table1[[#This Row],[DUT Adj Read]]="N/A",IF(Table1[[#This Row],[Std Adj Read]]&lt;=Table1[[#This Row],[High Tol]],"Pass","Fail"),IF(Table1[[#This Row],[DUT Adj Read]]&lt;=Table1[[#This Row],[High Tol]],"Pass","Fail")))</f>
        <v>Fail</v>
      </c>
      <c r="AH19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0" s="1" t="b">
        <v>0</v>
      </c>
      <c r="AN1970" s="1" t="b">
        <v>0</v>
      </c>
      <c r="AO1970" s="1" t="b">
        <v>0</v>
      </c>
    </row>
    <row r="1971" spans="1:41" x14ac:dyDescent="0.25">
      <c r="A1971" s="10"/>
      <c r="B1971" s="10"/>
      <c r="C1971" s="10"/>
      <c r="D1971" s="10"/>
      <c r="E1971" s="10"/>
      <c r="F1971" s="10"/>
      <c r="G1971" s="10"/>
      <c r="H1971" s="10"/>
      <c r="I1971" s="1" t="str">
        <f t="shared" si="90"/>
        <v/>
      </c>
      <c r="J1971" s="1" t="s">
        <v>35</v>
      </c>
      <c r="K1971" s="1" t="str">
        <f t="shared" si="91"/>
        <v/>
      </c>
      <c r="L1971" s="1" t="str">
        <f t="shared" si="92"/>
        <v/>
      </c>
      <c r="M1971" s="1">
        <f>IF(OR(Table1[[#This Row],[Std Nom]]="",Table1[[#This Row],[Std Read]]=""),0,Table1[[#This Row],[Std Nom]]-Table1[[#This Row],[Std Read]])</f>
        <v>0</v>
      </c>
      <c r="N1971" s="1">
        <f>IF(Calculations!$F$5="ACCREDITED 17025 WITH UNCERTAINTIES",$N$10,0)</f>
        <v>0</v>
      </c>
      <c r="O1971" s="1" t="str">
        <f>IFERROR(Table1[[#This Row],[Std Nom]]-(_xlfn.XLOOKUP(Table1[[#This Row],[Manufacturer]]&amp;" "&amp;Table1[[#This Row],[Model]],Table13[MFR &amp; MDL],Table13[Tolerance % CW ],"")/100*Table1[[#This Row],[Std Nom]]),"")</f>
        <v/>
      </c>
      <c r="P1971" s="1" t="str">
        <f>IFERROR(Table1[[#This Row],[Std Nom]]+(_xlfn.XLOOKUP(Table1[[#This Row],[Manufacturer]]&amp;" "&amp;Table1[[#This Row],[Model]],Table13[MFR &amp; MDL],Table13[Tolerance % CW ],"")/100*Table1[[#This Row],[Std Nom]]),"")</f>
        <v/>
      </c>
      <c r="Q1971" s="1" t="e">
        <f>Table1[[#This Row],[High Tol]]-Table1[[#This Row],[Low Tol]]</f>
        <v>#VALUE!</v>
      </c>
      <c r="R1971" s="1">
        <f>2*Table1[[#This Row],[Std Error]]</f>
        <v>0</v>
      </c>
      <c r="S1971" s="1" t="str">
        <f>IF(Table1[[#This Row],[High Tol]]="","N/A",IFERROR(ABS(Table1[[#This Row],[Tol Span]]/Table1[[#This Row],[Error Span]]),"N/A"))</f>
        <v>N/A</v>
      </c>
      <c r="T1971" s="1" t="str">
        <f>IF(OR(Table1[[#This Row],[Low Tol]]="",Table1[[#This Row],[High Tol]]=""),"Needs Analysis",IF(Table1[[#This Row],[Ratio]]&gt;=4,"Not Significant",IF(Table1[[#This Row],[Ratio]]&gt;=2,"Semi-Significant","Significant")))</f>
        <v>Needs Analysis</v>
      </c>
      <c r="W1971" s="1">
        <f>IF(Table1[[#This Row],[Cal Type]]&lt;&gt;"ACCREDITED 17025 WITH UNCERTAINTIES",0,"")</f>
        <v>0</v>
      </c>
      <c r="X1971" s="1" t="str">
        <f>IF(Table1[[#This Row],[DUT Read]]="","N/A",Table1[[#This Row],[Std Error]]+Table1[[#This Row],[DUT Read]]+Table1[[#This Row],[DUT Ucty]])</f>
        <v>N/A</v>
      </c>
      <c r="Y1971" s="1" t="str">
        <f>IF(Table1[[#This Row],[Std Read]]="","N/A",Table1[[#This Row],[Std Read]]+Table1[[#This Row],[Std Ucty]])</f>
        <v>N/A</v>
      </c>
      <c r="Z19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1" s="1" t="str">
        <f>IF(Table1[[#This Row],[Spec Type]]="","N/A",Table1[[#This Row],[Spec Type]])</f>
        <v>±</v>
      </c>
      <c r="AC1971" s="1" t="str">
        <f>IF(Table1[[#This Row],[Spec Type2]]="N/A","N/A",IF(AND(Table1[[#This Row],[DUT Adj Read]]&gt;=Table1[[#This Row],[Low Tol]],Table1[[#This Row],[DUT Adj Read]]&lt;=Table1[[#This Row],[High Tol]]),"Pass","Fail"))</f>
        <v>Fail</v>
      </c>
      <c r="AD1971" s="1" t="str">
        <f>IF(AND(Table1[[#This Row],[Spec Type2]]="N/A",Table1[[#This Row],[DUT Adj Read]]="N/A",Table1[[#This Row],[Std Adj Read]]="N/A"),"N/A",IF(Table1[[#This Row],[DUT Adj Read]]="N/A",IF(Table1[[#This Row],[Std Adj Read]]&gt;Table1[[#This Row],[Low Tol]],"Pass","Fail"),IF(Table1[[#This Row],[DUT Adj Read]]&gt;Table1[[#This Row],[Low Tol]],"Pass","Fail")))</f>
        <v>Pass</v>
      </c>
      <c r="AE1971" s="1" t="str">
        <f>IF(AND(Table1[[#This Row],[Spec Type2]]="N/A",Table1[[#This Row],[DUT Adj Read]]="N/A",Table1[[#This Row],[Std Adj Read]]="N/A"),"N/A",IF(Table1[[#This Row],[DUT Adj Read]]="N/A",IF(Table1[[#This Row],[Std Adj Read]]&lt;Table1[[#This Row],[High Tol]],"Pass","Fail"),IF(Table1[[#This Row],[DUT Adj Read]]&lt;Table1[[#This Row],[High Tol]],"Pass","Fail")))</f>
        <v>Fail</v>
      </c>
      <c r="AF1971" s="1" t="str">
        <f>IF(AND(Table1[[#This Row],[Spec Type2]]="N/A",Table1[[#This Row],[DUT Adj Read]]="N/A",Table1[[#This Row],[Std Adj Read]]="N/A"),"N/A",IF(Table1[[#This Row],[DUT Adj Read]]="N/A",IF(Table1[[#This Row],[Std Adj Read]]&gt;=Table1[[#This Row],[Low Tol]],"Pass","Fail"),IF(Table1[[#This Row],[DUT Adj Read]]&gt;=Table1[[#This Row],[Low Tol]],"Pass","Fail")))</f>
        <v>Pass</v>
      </c>
      <c r="AG1971" s="1" t="str">
        <f>IF(AND(Table1[[#This Row],[Spec Type2]]="N/A",Table1[[#This Row],[DUT Adj Read]]="N/A",Table1[[#This Row],[Std Adj Read]]="N/A"),"N/A",IF(Table1[[#This Row],[DUT Adj Read]]="N/A",IF(Table1[[#This Row],[Std Adj Read]]&lt;=Table1[[#This Row],[High Tol]],"Pass","Fail"),IF(Table1[[#This Row],[DUT Adj Read]]&lt;=Table1[[#This Row],[High Tol]],"Pass","Fail")))</f>
        <v>Fail</v>
      </c>
      <c r="AH19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1" s="1" t="b">
        <v>0</v>
      </c>
      <c r="AN1971" s="1" t="b">
        <v>0</v>
      </c>
      <c r="AO1971" s="1" t="b">
        <v>0</v>
      </c>
    </row>
    <row r="1972" spans="1:41" x14ac:dyDescent="0.25">
      <c r="A1972" s="10"/>
      <c r="B1972" s="10"/>
      <c r="C1972" s="10"/>
      <c r="D1972" s="10"/>
      <c r="E1972" s="10"/>
      <c r="F1972" s="10"/>
      <c r="G1972" s="10"/>
      <c r="H1972" s="10"/>
      <c r="I1972" s="1" t="str">
        <f t="shared" si="90"/>
        <v/>
      </c>
      <c r="J1972" s="1" t="s">
        <v>35</v>
      </c>
      <c r="K1972" s="1" t="str">
        <f t="shared" si="91"/>
        <v/>
      </c>
      <c r="L1972" s="1" t="str">
        <f t="shared" si="92"/>
        <v/>
      </c>
      <c r="M1972" s="1">
        <f>IF(OR(Table1[[#This Row],[Std Nom]]="",Table1[[#This Row],[Std Read]]=""),0,Table1[[#This Row],[Std Nom]]-Table1[[#This Row],[Std Read]])</f>
        <v>0</v>
      </c>
      <c r="N1972" s="1">
        <f>IF(Calculations!$F$5="ACCREDITED 17025 WITH UNCERTAINTIES",$N$10,0)</f>
        <v>0</v>
      </c>
      <c r="O1972" s="1" t="str">
        <f>IFERROR(Table1[[#This Row],[Std Nom]]-(_xlfn.XLOOKUP(Table1[[#This Row],[Manufacturer]]&amp;" "&amp;Table1[[#This Row],[Model]],Table13[MFR &amp; MDL],Table13[Tolerance % CW ],"")/100*Table1[[#This Row],[Std Nom]]),"")</f>
        <v/>
      </c>
      <c r="P1972" s="1" t="str">
        <f>IFERROR(Table1[[#This Row],[Std Nom]]+(_xlfn.XLOOKUP(Table1[[#This Row],[Manufacturer]]&amp;" "&amp;Table1[[#This Row],[Model]],Table13[MFR &amp; MDL],Table13[Tolerance % CW ],"")/100*Table1[[#This Row],[Std Nom]]),"")</f>
        <v/>
      </c>
      <c r="Q1972" s="1" t="e">
        <f>Table1[[#This Row],[High Tol]]-Table1[[#This Row],[Low Tol]]</f>
        <v>#VALUE!</v>
      </c>
      <c r="R1972" s="1">
        <f>2*Table1[[#This Row],[Std Error]]</f>
        <v>0</v>
      </c>
      <c r="S1972" s="1" t="str">
        <f>IF(Table1[[#This Row],[High Tol]]="","N/A",IFERROR(ABS(Table1[[#This Row],[Tol Span]]/Table1[[#This Row],[Error Span]]),"N/A"))</f>
        <v>N/A</v>
      </c>
      <c r="T1972" s="1" t="str">
        <f>IF(OR(Table1[[#This Row],[Low Tol]]="",Table1[[#This Row],[High Tol]]=""),"Needs Analysis",IF(Table1[[#This Row],[Ratio]]&gt;=4,"Not Significant",IF(Table1[[#This Row],[Ratio]]&gt;=2,"Semi-Significant","Significant")))</f>
        <v>Needs Analysis</v>
      </c>
      <c r="W1972" s="1">
        <f>IF(Table1[[#This Row],[Cal Type]]&lt;&gt;"ACCREDITED 17025 WITH UNCERTAINTIES",0,"")</f>
        <v>0</v>
      </c>
      <c r="X1972" s="1" t="str">
        <f>IF(Table1[[#This Row],[DUT Read]]="","N/A",Table1[[#This Row],[Std Error]]+Table1[[#This Row],[DUT Read]]+Table1[[#This Row],[DUT Ucty]])</f>
        <v>N/A</v>
      </c>
      <c r="Y1972" s="1" t="str">
        <f>IF(Table1[[#This Row],[Std Read]]="","N/A",Table1[[#This Row],[Std Read]]+Table1[[#This Row],[Std Ucty]])</f>
        <v>N/A</v>
      </c>
      <c r="Z19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2" s="1" t="str">
        <f>IF(Table1[[#This Row],[Spec Type]]="","N/A",Table1[[#This Row],[Spec Type]])</f>
        <v>±</v>
      </c>
      <c r="AC1972" s="1" t="str">
        <f>IF(Table1[[#This Row],[Spec Type2]]="N/A","N/A",IF(AND(Table1[[#This Row],[DUT Adj Read]]&gt;=Table1[[#This Row],[Low Tol]],Table1[[#This Row],[DUT Adj Read]]&lt;=Table1[[#This Row],[High Tol]]),"Pass","Fail"))</f>
        <v>Fail</v>
      </c>
      <c r="AD1972" s="1" t="str">
        <f>IF(AND(Table1[[#This Row],[Spec Type2]]="N/A",Table1[[#This Row],[DUT Adj Read]]="N/A",Table1[[#This Row],[Std Adj Read]]="N/A"),"N/A",IF(Table1[[#This Row],[DUT Adj Read]]="N/A",IF(Table1[[#This Row],[Std Adj Read]]&gt;Table1[[#This Row],[Low Tol]],"Pass","Fail"),IF(Table1[[#This Row],[DUT Adj Read]]&gt;Table1[[#This Row],[Low Tol]],"Pass","Fail")))</f>
        <v>Pass</v>
      </c>
      <c r="AE1972" s="1" t="str">
        <f>IF(AND(Table1[[#This Row],[Spec Type2]]="N/A",Table1[[#This Row],[DUT Adj Read]]="N/A",Table1[[#This Row],[Std Adj Read]]="N/A"),"N/A",IF(Table1[[#This Row],[DUT Adj Read]]="N/A",IF(Table1[[#This Row],[Std Adj Read]]&lt;Table1[[#This Row],[High Tol]],"Pass","Fail"),IF(Table1[[#This Row],[DUT Adj Read]]&lt;Table1[[#This Row],[High Tol]],"Pass","Fail")))</f>
        <v>Fail</v>
      </c>
      <c r="AF1972" s="1" t="str">
        <f>IF(AND(Table1[[#This Row],[Spec Type2]]="N/A",Table1[[#This Row],[DUT Adj Read]]="N/A",Table1[[#This Row],[Std Adj Read]]="N/A"),"N/A",IF(Table1[[#This Row],[DUT Adj Read]]="N/A",IF(Table1[[#This Row],[Std Adj Read]]&gt;=Table1[[#This Row],[Low Tol]],"Pass","Fail"),IF(Table1[[#This Row],[DUT Adj Read]]&gt;=Table1[[#This Row],[Low Tol]],"Pass","Fail")))</f>
        <v>Pass</v>
      </c>
      <c r="AG1972" s="1" t="str">
        <f>IF(AND(Table1[[#This Row],[Spec Type2]]="N/A",Table1[[#This Row],[DUT Adj Read]]="N/A",Table1[[#This Row],[Std Adj Read]]="N/A"),"N/A",IF(Table1[[#This Row],[DUT Adj Read]]="N/A",IF(Table1[[#This Row],[Std Adj Read]]&lt;=Table1[[#This Row],[High Tol]],"Pass","Fail"),IF(Table1[[#This Row],[DUT Adj Read]]&lt;=Table1[[#This Row],[High Tol]],"Pass","Fail")))</f>
        <v>Fail</v>
      </c>
      <c r="AH19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2" s="1" t="b">
        <v>0</v>
      </c>
      <c r="AN1972" s="1" t="b">
        <v>0</v>
      </c>
      <c r="AO1972" s="1" t="b">
        <v>0</v>
      </c>
    </row>
    <row r="1973" spans="1:41" x14ac:dyDescent="0.25">
      <c r="A1973" s="10"/>
      <c r="B1973" s="10"/>
      <c r="C1973" s="10"/>
      <c r="D1973" s="10"/>
      <c r="E1973" s="10"/>
      <c r="F1973" s="10"/>
      <c r="G1973" s="10"/>
      <c r="H1973" s="10"/>
      <c r="I1973" s="1" t="str">
        <f t="shared" si="90"/>
        <v/>
      </c>
      <c r="J1973" s="1" t="s">
        <v>35</v>
      </c>
      <c r="K1973" s="1" t="str">
        <f t="shared" si="91"/>
        <v/>
      </c>
      <c r="L1973" s="1" t="str">
        <f t="shared" si="92"/>
        <v/>
      </c>
      <c r="M1973" s="1">
        <f>IF(OR(Table1[[#This Row],[Std Nom]]="",Table1[[#This Row],[Std Read]]=""),0,Table1[[#This Row],[Std Nom]]-Table1[[#This Row],[Std Read]])</f>
        <v>0</v>
      </c>
      <c r="N1973" s="1">
        <f>IF(Calculations!$F$5="ACCREDITED 17025 WITH UNCERTAINTIES",$N$10,0)</f>
        <v>0</v>
      </c>
      <c r="O1973" s="1" t="str">
        <f>IFERROR(Table1[[#This Row],[Std Nom]]-(_xlfn.XLOOKUP(Table1[[#This Row],[Manufacturer]]&amp;" "&amp;Table1[[#This Row],[Model]],Table13[MFR &amp; MDL],Table13[Tolerance % CW ],"")/100*Table1[[#This Row],[Std Nom]]),"")</f>
        <v/>
      </c>
      <c r="P1973" s="1" t="str">
        <f>IFERROR(Table1[[#This Row],[Std Nom]]+(_xlfn.XLOOKUP(Table1[[#This Row],[Manufacturer]]&amp;" "&amp;Table1[[#This Row],[Model]],Table13[MFR &amp; MDL],Table13[Tolerance % CW ],"")/100*Table1[[#This Row],[Std Nom]]),"")</f>
        <v/>
      </c>
      <c r="Q1973" s="1" t="e">
        <f>Table1[[#This Row],[High Tol]]-Table1[[#This Row],[Low Tol]]</f>
        <v>#VALUE!</v>
      </c>
      <c r="R1973" s="1">
        <f>2*Table1[[#This Row],[Std Error]]</f>
        <v>0</v>
      </c>
      <c r="S1973" s="1" t="str">
        <f>IF(Table1[[#This Row],[High Tol]]="","N/A",IFERROR(ABS(Table1[[#This Row],[Tol Span]]/Table1[[#This Row],[Error Span]]),"N/A"))</f>
        <v>N/A</v>
      </c>
      <c r="T1973" s="1" t="str">
        <f>IF(OR(Table1[[#This Row],[Low Tol]]="",Table1[[#This Row],[High Tol]]=""),"Needs Analysis",IF(Table1[[#This Row],[Ratio]]&gt;=4,"Not Significant",IF(Table1[[#This Row],[Ratio]]&gt;=2,"Semi-Significant","Significant")))</f>
        <v>Needs Analysis</v>
      </c>
      <c r="W1973" s="1">
        <f>IF(Table1[[#This Row],[Cal Type]]&lt;&gt;"ACCREDITED 17025 WITH UNCERTAINTIES",0,"")</f>
        <v>0</v>
      </c>
      <c r="X1973" s="1" t="str">
        <f>IF(Table1[[#This Row],[DUT Read]]="","N/A",Table1[[#This Row],[Std Error]]+Table1[[#This Row],[DUT Read]]+Table1[[#This Row],[DUT Ucty]])</f>
        <v>N/A</v>
      </c>
      <c r="Y1973" s="1" t="str">
        <f>IF(Table1[[#This Row],[Std Read]]="","N/A",Table1[[#This Row],[Std Read]]+Table1[[#This Row],[Std Ucty]])</f>
        <v>N/A</v>
      </c>
      <c r="Z19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3" s="1" t="str">
        <f>IF(Table1[[#This Row],[Spec Type]]="","N/A",Table1[[#This Row],[Spec Type]])</f>
        <v>±</v>
      </c>
      <c r="AC1973" s="1" t="str">
        <f>IF(Table1[[#This Row],[Spec Type2]]="N/A","N/A",IF(AND(Table1[[#This Row],[DUT Adj Read]]&gt;=Table1[[#This Row],[Low Tol]],Table1[[#This Row],[DUT Adj Read]]&lt;=Table1[[#This Row],[High Tol]]),"Pass","Fail"))</f>
        <v>Fail</v>
      </c>
      <c r="AD1973" s="1" t="str">
        <f>IF(AND(Table1[[#This Row],[Spec Type2]]="N/A",Table1[[#This Row],[DUT Adj Read]]="N/A",Table1[[#This Row],[Std Adj Read]]="N/A"),"N/A",IF(Table1[[#This Row],[DUT Adj Read]]="N/A",IF(Table1[[#This Row],[Std Adj Read]]&gt;Table1[[#This Row],[Low Tol]],"Pass","Fail"),IF(Table1[[#This Row],[DUT Adj Read]]&gt;Table1[[#This Row],[Low Tol]],"Pass","Fail")))</f>
        <v>Pass</v>
      </c>
      <c r="AE1973" s="1" t="str">
        <f>IF(AND(Table1[[#This Row],[Spec Type2]]="N/A",Table1[[#This Row],[DUT Adj Read]]="N/A",Table1[[#This Row],[Std Adj Read]]="N/A"),"N/A",IF(Table1[[#This Row],[DUT Adj Read]]="N/A",IF(Table1[[#This Row],[Std Adj Read]]&lt;Table1[[#This Row],[High Tol]],"Pass","Fail"),IF(Table1[[#This Row],[DUT Adj Read]]&lt;Table1[[#This Row],[High Tol]],"Pass","Fail")))</f>
        <v>Fail</v>
      </c>
      <c r="AF1973" s="1" t="str">
        <f>IF(AND(Table1[[#This Row],[Spec Type2]]="N/A",Table1[[#This Row],[DUT Adj Read]]="N/A",Table1[[#This Row],[Std Adj Read]]="N/A"),"N/A",IF(Table1[[#This Row],[DUT Adj Read]]="N/A",IF(Table1[[#This Row],[Std Adj Read]]&gt;=Table1[[#This Row],[Low Tol]],"Pass","Fail"),IF(Table1[[#This Row],[DUT Adj Read]]&gt;=Table1[[#This Row],[Low Tol]],"Pass","Fail")))</f>
        <v>Pass</v>
      </c>
      <c r="AG1973" s="1" t="str">
        <f>IF(AND(Table1[[#This Row],[Spec Type2]]="N/A",Table1[[#This Row],[DUT Adj Read]]="N/A",Table1[[#This Row],[Std Adj Read]]="N/A"),"N/A",IF(Table1[[#This Row],[DUT Adj Read]]="N/A",IF(Table1[[#This Row],[Std Adj Read]]&lt;=Table1[[#This Row],[High Tol]],"Pass","Fail"),IF(Table1[[#This Row],[DUT Adj Read]]&lt;=Table1[[#This Row],[High Tol]],"Pass","Fail")))</f>
        <v>Fail</v>
      </c>
      <c r="AH19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3" s="1" t="b">
        <v>0</v>
      </c>
      <c r="AN1973" s="1" t="b">
        <v>0</v>
      </c>
      <c r="AO1973" s="1" t="b">
        <v>0</v>
      </c>
    </row>
    <row r="1974" spans="1:41" x14ac:dyDescent="0.25">
      <c r="A1974" s="10"/>
      <c r="B1974" s="10"/>
      <c r="C1974" s="10"/>
      <c r="D1974" s="10"/>
      <c r="E1974" s="10"/>
      <c r="F1974" s="10"/>
      <c r="G1974" s="10"/>
      <c r="H1974" s="10"/>
      <c r="I1974" s="1" t="str">
        <f t="shared" si="90"/>
        <v/>
      </c>
      <c r="J1974" s="1" t="s">
        <v>35</v>
      </c>
      <c r="K1974" s="1" t="str">
        <f t="shared" si="91"/>
        <v/>
      </c>
      <c r="L1974" s="1" t="str">
        <f t="shared" si="92"/>
        <v/>
      </c>
      <c r="M1974" s="1">
        <f>IF(OR(Table1[[#This Row],[Std Nom]]="",Table1[[#This Row],[Std Read]]=""),0,Table1[[#This Row],[Std Nom]]-Table1[[#This Row],[Std Read]])</f>
        <v>0</v>
      </c>
      <c r="N1974" s="1">
        <f>IF(Calculations!$F$5="ACCREDITED 17025 WITH UNCERTAINTIES",$N$10,0)</f>
        <v>0</v>
      </c>
      <c r="O1974" s="1" t="str">
        <f>IFERROR(Table1[[#This Row],[Std Nom]]-(_xlfn.XLOOKUP(Table1[[#This Row],[Manufacturer]]&amp;" "&amp;Table1[[#This Row],[Model]],Table13[MFR &amp; MDL],Table13[Tolerance % CW ],"")/100*Table1[[#This Row],[Std Nom]]),"")</f>
        <v/>
      </c>
      <c r="P1974" s="1" t="str">
        <f>IFERROR(Table1[[#This Row],[Std Nom]]+(_xlfn.XLOOKUP(Table1[[#This Row],[Manufacturer]]&amp;" "&amp;Table1[[#This Row],[Model]],Table13[MFR &amp; MDL],Table13[Tolerance % CW ],"")/100*Table1[[#This Row],[Std Nom]]),"")</f>
        <v/>
      </c>
      <c r="Q1974" s="1" t="e">
        <f>Table1[[#This Row],[High Tol]]-Table1[[#This Row],[Low Tol]]</f>
        <v>#VALUE!</v>
      </c>
      <c r="R1974" s="1">
        <f>2*Table1[[#This Row],[Std Error]]</f>
        <v>0</v>
      </c>
      <c r="S1974" s="1" t="str">
        <f>IF(Table1[[#This Row],[High Tol]]="","N/A",IFERROR(ABS(Table1[[#This Row],[Tol Span]]/Table1[[#This Row],[Error Span]]),"N/A"))</f>
        <v>N/A</v>
      </c>
      <c r="T1974" s="1" t="str">
        <f>IF(OR(Table1[[#This Row],[Low Tol]]="",Table1[[#This Row],[High Tol]]=""),"Needs Analysis",IF(Table1[[#This Row],[Ratio]]&gt;=4,"Not Significant",IF(Table1[[#This Row],[Ratio]]&gt;=2,"Semi-Significant","Significant")))</f>
        <v>Needs Analysis</v>
      </c>
      <c r="W1974" s="1">
        <f>IF(Table1[[#This Row],[Cal Type]]&lt;&gt;"ACCREDITED 17025 WITH UNCERTAINTIES",0,"")</f>
        <v>0</v>
      </c>
      <c r="X1974" s="1" t="str">
        <f>IF(Table1[[#This Row],[DUT Read]]="","N/A",Table1[[#This Row],[Std Error]]+Table1[[#This Row],[DUT Read]]+Table1[[#This Row],[DUT Ucty]])</f>
        <v>N/A</v>
      </c>
      <c r="Y1974" s="1" t="str">
        <f>IF(Table1[[#This Row],[Std Read]]="","N/A",Table1[[#This Row],[Std Read]]+Table1[[#This Row],[Std Ucty]])</f>
        <v>N/A</v>
      </c>
      <c r="Z19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4" s="1" t="str">
        <f>IF(Table1[[#This Row],[Spec Type]]="","N/A",Table1[[#This Row],[Spec Type]])</f>
        <v>±</v>
      </c>
      <c r="AC1974" s="1" t="str">
        <f>IF(Table1[[#This Row],[Spec Type2]]="N/A","N/A",IF(AND(Table1[[#This Row],[DUT Adj Read]]&gt;=Table1[[#This Row],[Low Tol]],Table1[[#This Row],[DUT Adj Read]]&lt;=Table1[[#This Row],[High Tol]]),"Pass","Fail"))</f>
        <v>Fail</v>
      </c>
      <c r="AD1974" s="1" t="str">
        <f>IF(AND(Table1[[#This Row],[Spec Type2]]="N/A",Table1[[#This Row],[DUT Adj Read]]="N/A",Table1[[#This Row],[Std Adj Read]]="N/A"),"N/A",IF(Table1[[#This Row],[DUT Adj Read]]="N/A",IF(Table1[[#This Row],[Std Adj Read]]&gt;Table1[[#This Row],[Low Tol]],"Pass","Fail"),IF(Table1[[#This Row],[DUT Adj Read]]&gt;Table1[[#This Row],[Low Tol]],"Pass","Fail")))</f>
        <v>Pass</v>
      </c>
      <c r="AE1974" s="1" t="str">
        <f>IF(AND(Table1[[#This Row],[Spec Type2]]="N/A",Table1[[#This Row],[DUT Adj Read]]="N/A",Table1[[#This Row],[Std Adj Read]]="N/A"),"N/A",IF(Table1[[#This Row],[DUT Adj Read]]="N/A",IF(Table1[[#This Row],[Std Adj Read]]&lt;Table1[[#This Row],[High Tol]],"Pass","Fail"),IF(Table1[[#This Row],[DUT Adj Read]]&lt;Table1[[#This Row],[High Tol]],"Pass","Fail")))</f>
        <v>Fail</v>
      </c>
      <c r="AF1974" s="1" t="str">
        <f>IF(AND(Table1[[#This Row],[Spec Type2]]="N/A",Table1[[#This Row],[DUT Adj Read]]="N/A",Table1[[#This Row],[Std Adj Read]]="N/A"),"N/A",IF(Table1[[#This Row],[DUT Adj Read]]="N/A",IF(Table1[[#This Row],[Std Adj Read]]&gt;=Table1[[#This Row],[Low Tol]],"Pass","Fail"),IF(Table1[[#This Row],[DUT Adj Read]]&gt;=Table1[[#This Row],[Low Tol]],"Pass","Fail")))</f>
        <v>Pass</v>
      </c>
      <c r="AG1974" s="1" t="str">
        <f>IF(AND(Table1[[#This Row],[Spec Type2]]="N/A",Table1[[#This Row],[DUT Adj Read]]="N/A",Table1[[#This Row],[Std Adj Read]]="N/A"),"N/A",IF(Table1[[#This Row],[DUT Adj Read]]="N/A",IF(Table1[[#This Row],[Std Adj Read]]&lt;=Table1[[#This Row],[High Tol]],"Pass","Fail"),IF(Table1[[#This Row],[DUT Adj Read]]&lt;=Table1[[#This Row],[High Tol]],"Pass","Fail")))</f>
        <v>Fail</v>
      </c>
      <c r="AH19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4" s="1" t="b">
        <v>0</v>
      </c>
      <c r="AN1974" s="1" t="b">
        <v>0</v>
      </c>
      <c r="AO1974" s="1" t="b">
        <v>0</v>
      </c>
    </row>
    <row r="1975" spans="1:41" x14ac:dyDescent="0.25">
      <c r="A1975" s="10"/>
      <c r="B1975" s="10"/>
      <c r="C1975" s="10"/>
      <c r="D1975" s="10"/>
      <c r="E1975" s="10"/>
      <c r="F1975" s="10"/>
      <c r="G1975" s="10"/>
      <c r="H1975" s="10"/>
      <c r="I1975" s="1" t="str">
        <f t="shared" si="90"/>
        <v/>
      </c>
      <c r="J1975" s="1" t="s">
        <v>35</v>
      </c>
      <c r="K1975" s="1" t="str">
        <f t="shared" si="91"/>
        <v/>
      </c>
      <c r="L1975" s="1" t="str">
        <f t="shared" si="92"/>
        <v/>
      </c>
      <c r="M1975" s="1">
        <f>IF(OR(Table1[[#This Row],[Std Nom]]="",Table1[[#This Row],[Std Read]]=""),0,Table1[[#This Row],[Std Nom]]-Table1[[#This Row],[Std Read]])</f>
        <v>0</v>
      </c>
      <c r="N1975" s="1">
        <f>IF(Calculations!$F$5="ACCREDITED 17025 WITH UNCERTAINTIES",$N$10,0)</f>
        <v>0</v>
      </c>
      <c r="O1975" s="1" t="str">
        <f>IFERROR(Table1[[#This Row],[Std Nom]]-(_xlfn.XLOOKUP(Table1[[#This Row],[Manufacturer]]&amp;" "&amp;Table1[[#This Row],[Model]],Table13[MFR &amp; MDL],Table13[Tolerance % CW ],"")/100*Table1[[#This Row],[Std Nom]]),"")</f>
        <v/>
      </c>
      <c r="P1975" s="1" t="str">
        <f>IFERROR(Table1[[#This Row],[Std Nom]]+(_xlfn.XLOOKUP(Table1[[#This Row],[Manufacturer]]&amp;" "&amp;Table1[[#This Row],[Model]],Table13[MFR &amp; MDL],Table13[Tolerance % CW ],"")/100*Table1[[#This Row],[Std Nom]]),"")</f>
        <v/>
      </c>
      <c r="Q1975" s="1" t="e">
        <f>Table1[[#This Row],[High Tol]]-Table1[[#This Row],[Low Tol]]</f>
        <v>#VALUE!</v>
      </c>
      <c r="R1975" s="1">
        <f>2*Table1[[#This Row],[Std Error]]</f>
        <v>0</v>
      </c>
      <c r="S1975" s="1" t="str">
        <f>IF(Table1[[#This Row],[High Tol]]="","N/A",IFERROR(ABS(Table1[[#This Row],[Tol Span]]/Table1[[#This Row],[Error Span]]),"N/A"))</f>
        <v>N/A</v>
      </c>
      <c r="T1975" s="1" t="str">
        <f>IF(OR(Table1[[#This Row],[Low Tol]]="",Table1[[#This Row],[High Tol]]=""),"Needs Analysis",IF(Table1[[#This Row],[Ratio]]&gt;=4,"Not Significant",IF(Table1[[#This Row],[Ratio]]&gt;=2,"Semi-Significant","Significant")))</f>
        <v>Needs Analysis</v>
      </c>
      <c r="W1975" s="1">
        <f>IF(Table1[[#This Row],[Cal Type]]&lt;&gt;"ACCREDITED 17025 WITH UNCERTAINTIES",0,"")</f>
        <v>0</v>
      </c>
      <c r="X1975" s="1" t="str">
        <f>IF(Table1[[#This Row],[DUT Read]]="","N/A",Table1[[#This Row],[Std Error]]+Table1[[#This Row],[DUT Read]]+Table1[[#This Row],[DUT Ucty]])</f>
        <v>N/A</v>
      </c>
      <c r="Y1975" s="1" t="str">
        <f>IF(Table1[[#This Row],[Std Read]]="","N/A",Table1[[#This Row],[Std Read]]+Table1[[#This Row],[Std Ucty]])</f>
        <v>N/A</v>
      </c>
      <c r="Z19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5" s="1" t="str">
        <f>IF(Table1[[#This Row],[Spec Type]]="","N/A",Table1[[#This Row],[Spec Type]])</f>
        <v>±</v>
      </c>
      <c r="AC1975" s="1" t="str">
        <f>IF(Table1[[#This Row],[Spec Type2]]="N/A","N/A",IF(AND(Table1[[#This Row],[DUT Adj Read]]&gt;=Table1[[#This Row],[Low Tol]],Table1[[#This Row],[DUT Adj Read]]&lt;=Table1[[#This Row],[High Tol]]),"Pass","Fail"))</f>
        <v>Fail</v>
      </c>
      <c r="AD1975" s="1" t="str">
        <f>IF(AND(Table1[[#This Row],[Spec Type2]]="N/A",Table1[[#This Row],[DUT Adj Read]]="N/A",Table1[[#This Row],[Std Adj Read]]="N/A"),"N/A",IF(Table1[[#This Row],[DUT Adj Read]]="N/A",IF(Table1[[#This Row],[Std Adj Read]]&gt;Table1[[#This Row],[Low Tol]],"Pass","Fail"),IF(Table1[[#This Row],[DUT Adj Read]]&gt;Table1[[#This Row],[Low Tol]],"Pass","Fail")))</f>
        <v>Pass</v>
      </c>
      <c r="AE1975" s="1" t="str">
        <f>IF(AND(Table1[[#This Row],[Spec Type2]]="N/A",Table1[[#This Row],[DUT Adj Read]]="N/A",Table1[[#This Row],[Std Adj Read]]="N/A"),"N/A",IF(Table1[[#This Row],[DUT Adj Read]]="N/A",IF(Table1[[#This Row],[Std Adj Read]]&lt;Table1[[#This Row],[High Tol]],"Pass","Fail"),IF(Table1[[#This Row],[DUT Adj Read]]&lt;Table1[[#This Row],[High Tol]],"Pass","Fail")))</f>
        <v>Fail</v>
      </c>
      <c r="AF1975" s="1" t="str">
        <f>IF(AND(Table1[[#This Row],[Spec Type2]]="N/A",Table1[[#This Row],[DUT Adj Read]]="N/A",Table1[[#This Row],[Std Adj Read]]="N/A"),"N/A",IF(Table1[[#This Row],[DUT Adj Read]]="N/A",IF(Table1[[#This Row],[Std Adj Read]]&gt;=Table1[[#This Row],[Low Tol]],"Pass","Fail"),IF(Table1[[#This Row],[DUT Adj Read]]&gt;=Table1[[#This Row],[Low Tol]],"Pass","Fail")))</f>
        <v>Pass</v>
      </c>
      <c r="AG1975" s="1" t="str">
        <f>IF(AND(Table1[[#This Row],[Spec Type2]]="N/A",Table1[[#This Row],[DUT Adj Read]]="N/A",Table1[[#This Row],[Std Adj Read]]="N/A"),"N/A",IF(Table1[[#This Row],[DUT Adj Read]]="N/A",IF(Table1[[#This Row],[Std Adj Read]]&lt;=Table1[[#This Row],[High Tol]],"Pass","Fail"),IF(Table1[[#This Row],[DUT Adj Read]]&lt;=Table1[[#This Row],[High Tol]],"Pass","Fail")))</f>
        <v>Fail</v>
      </c>
      <c r="AH19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5" s="1" t="b">
        <v>0</v>
      </c>
      <c r="AN1975" s="1" t="b">
        <v>0</v>
      </c>
      <c r="AO1975" s="1" t="b">
        <v>0</v>
      </c>
    </row>
    <row r="1976" spans="1:41" x14ac:dyDescent="0.25">
      <c r="A1976" s="10"/>
      <c r="B1976" s="10"/>
      <c r="C1976" s="10"/>
      <c r="D1976" s="10"/>
      <c r="E1976" s="10"/>
      <c r="F1976" s="10"/>
      <c r="G1976" s="10"/>
      <c r="H1976" s="10"/>
      <c r="I1976" s="1" t="str">
        <f t="shared" si="90"/>
        <v/>
      </c>
      <c r="J1976" s="1" t="s">
        <v>35</v>
      </c>
      <c r="K1976" s="1" t="str">
        <f t="shared" si="91"/>
        <v/>
      </c>
      <c r="L1976" s="1" t="str">
        <f t="shared" si="92"/>
        <v/>
      </c>
      <c r="M1976" s="1">
        <f>IF(OR(Table1[[#This Row],[Std Nom]]="",Table1[[#This Row],[Std Read]]=""),0,Table1[[#This Row],[Std Nom]]-Table1[[#This Row],[Std Read]])</f>
        <v>0</v>
      </c>
      <c r="N1976" s="1">
        <f>IF(Calculations!$F$5="ACCREDITED 17025 WITH UNCERTAINTIES",$N$10,0)</f>
        <v>0</v>
      </c>
      <c r="O1976" s="1" t="str">
        <f>IFERROR(Table1[[#This Row],[Std Nom]]-(_xlfn.XLOOKUP(Table1[[#This Row],[Manufacturer]]&amp;" "&amp;Table1[[#This Row],[Model]],Table13[MFR &amp; MDL],Table13[Tolerance % CW ],"")/100*Table1[[#This Row],[Std Nom]]),"")</f>
        <v/>
      </c>
      <c r="P1976" s="1" t="str">
        <f>IFERROR(Table1[[#This Row],[Std Nom]]+(_xlfn.XLOOKUP(Table1[[#This Row],[Manufacturer]]&amp;" "&amp;Table1[[#This Row],[Model]],Table13[MFR &amp; MDL],Table13[Tolerance % CW ],"")/100*Table1[[#This Row],[Std Nom]]),"")</f>
        <v/>
      </c>
      <c r="Q1976" s="1" t="e">
        <f>Table1[[#This Row],[High Tol]]-Table1[[#This Row],[Low Tol]]</f>
        <v>#VALUE!</v>
      </c>
      <c r="R1976" s="1">
        <f>2*Table1[[#This Row],[Std Error]]</f>
        <v>0</v>
      </c>
      <c r="S1976" s="1" t="str">
        <f>IF(Table1[[#This Row],[High Tol]]="","N/A",IFERROR(ABS(Table1[[#This Row],[Tol Span]]/Table1[[#This Row],[Error Span]]),"N/A"))</f>
        <v>N/A</v>
      </c>
      <c r="T1976" s="1" t="str">
        <f>IF(OR(Table1[[#This Row],[Low Tol]]="",Table1[[#This Row],[High Tol]]=""),"Needs Analysis",IF(Table1[[#This Row],[Ratio]]&gt;=4,"Not Significant",IF(Table1[[#This Row],[Ratio]]&gt;=2,"Semi-Significant","Significant")))</f>
        <v>Needs Analysis</v>
      </c>
      <c r="W1976" s="1">
        <f>IF(Table1[[#This Row],[Cal Type]]&lt;&gt;"ACCREDITED 17025 WITH UNCERTAINTIES",0,"")</f>
        <v>0</v>
      </c>
      <c r="X1976" s="1" t="str">
        <f>IF(Table1[[#This Row],[DUT Read]]="","N/A",Table1[[#This Row],[Std Error]]+Table1[[#This Row],[DUT Read]]+Table1[[#This Row],[DUT Ucty]])</f>
        <v>N/A</v>
      </c>
      <c r="Y1976" s="1" t="str">
        <f>IF(Table1[[#This Row],[Std Read]]="","N/A",Table1[[#This Row],[Std Read]]+Table1[[#This Row],[Std Ucty]])</f>
        <v>N/A</v>
      </c>
      <c r="Z19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6" s="1" t="str">
        <f>IF(Table1[[#This Row],[Spec Type]]="","N/A",Table1[[#This Row],[Spec Type]])</f>
        <v>±</v>
      </c>
      <c r="AC1976" s="1" t="str">
        <f>IF(Table1[[#This Row],[Spec Type2]]="N/A","N/A",IF(AND(Table1[[#This Row],[DUT Adj Read]]&gt;=Table1[[#This Row],[Low Tol]],Table1[[#This Row],[DUT Adj Read]]&lt;=Table1[[#This Row],[High Tol]]),"Pass","Fail"))</f>
        <v>Fail</v>
      </c>
      <c r="AD1976" s="1" t="str">
        <f>IF(AND(Table1[[#This Row],[Spec Type2]]="N/A",Table1[[#This Row],[DUT Adj Read]]="N/A",Table1[[#This Row],[Std Adj Read]]="N/A"),"N/A",IF(Table1[[#This Row],[DUT Adj Read]]="N/A",IF(Table1[[#This Row],[Std Adj Read]]&gt;Table1[[#This Row],[Low Tol]],"Pass","Fail"),IF(Table1[[#This Row],[DUT Adj Read]]&gt;Table1[[#This Row],[Low Tol]],"Pass","Fail")))</f>
        <v>Pass</v>
      </c>
      <c r="AE1976" s="1" t="str">
        <f>IF(AND(Table1[[#This Row],[Spec Type2]]="N/A",Table1[[#This Row],[DUT Adj Read]]="N/A",Table1[[#This Row],[Std Adj Read]]="N/A"),"N/A",IF(Table1[[#This Row],[DUT Adj Read]]="N/A",IF(Table1[[#This Row],[Std Adj Read]]&lt;Table1[[#This Row],[High Tol]],"Pass","Fail"),IF(Table1[[#This Row],[DUT Adj Read]]&lt;Table1[[#This Row],[High Tol]],"Pass","Fail")))</f>
        <v>Fail</v>
      </c>
      <c r="AF1976" s="1" t="str">
        <f>IF(AND(Table1[[#This Row],[Spec Type2]]="N/A",Table1[[#This Row],[DUT Adj Read]]="N/A",Table1[[#This Row],[Std Adj Read]]="N/A"),"N/A",IF(Table1[[#This Row],[DUT Adj Read]]="N/A",IF(Table1[[#This Row],[Std Adj Read]]&gt;=Table1[[#This Row],[Low Tol]],"Pass","Fail"),IF(Table1[[#This Row],[DUT Adj Read]]&gt;=Table1[[#This Row],[Low Tol]],"Pass","Fail")))</f>
        <v>Pass</v>
      </c>
      <c r="AG1976" s="1" t="str">
        <f>IF(AND(Table1[[#This Row],[Spec Type2]]="N/A",Table1[[#This Row],[DUT Adj Read]]="N/A",Table1[[#This Row],[Std Adj Read]]="N/A"),"N/A",IF(Table1[[#This Row],[DUT Adj Read]]="N/A",IF(Table1[[#This Row],[Std Adj Read]]&lt;=Table1[[#This Row],[High Tol]],"Pass","Fail"),IF(Table1[[#This Row],[DUT Adj Read]]&lt;=Table1[[#This Row],[High Tol]],"Pass","Fail")))</f>
        <v>Fail</v>
      </c>
      <c r="AH19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6" s="1" t="b">
        <v>0</v>
      </c>
      <c r="AN1976" s="1" t="b">
        <v>0</v>
      </c>
      <c r="AO1976" s="1" t="b">
        <v>0</v>
      </c>
    </row>
    <row r="1977" spans="1:41" x14ac:dyDescent="0.25">
      <c r="A1977" s="10"/>
      <c r="B1977" s="10"/>
      <c r="C1977" s="10"/>
      <c r="D1977" s="10"/>
      <c r="E1977" s="10"/>
      <c r="F1977" s="10"/>
      <c r="G1977" s="10"/>
      <c r="H1977" s="10"/>
      <c r="I1977" s="1" t="str">
        <f t="shared" si="90"/>
        <v/>
      </c>
      <c r="J1977" s="1" t="s">
        <v>35</v>
      </c>
      <c r="K1977" s="1" t="str">
        <f t="shared" si="91"/>
        <v/>
      </c>
      <c r="L1977" s="1" t="str">
        <f t="shared" si="92"/>
        <v/>
      </c>
      <c r="M1977" s="1">
        <f>IF(OR(Table1[[#This Row],[Std Nom]]="",Table1[[#This Row],[Std Read]]=""),0,Table1[[#This Row],[Std Nom]]-Table1[[#This Row],[Std Read]])</f>
        <v>0</v>
      </c>
      <c r="N1977" s="1">
        <f>IF(Calculations!$F$5="ACCREDITED 17025 WITH UNCERTAINTIES",$N$10,0)</f>
        <v>0</v>
      </c>
      <c r="O1977" s="1" t="str">
        <f>IFERROR(Table1[[#This Row],[Std Nom]]-(_xlfn.XLOOKUP(Table1[[#This Row],[Manufacturer]]&amp;" "&amp;Table1[[#This Row],[Model]],Table13[MFR &amp; MDL],Table13[Tolerance % CW ],"")/100*Table1[[#This Row],[Std Nom]]),"")</f>
        <v/>
      </c>
      <c r="P1977" s="1" t="str">
        <f>IFERROR(Table1[[#This Row],[Std Nom]]+(_xlfn.XLOOKUP(Table1[[#This Row],[Manufacturer]]&amp;" "&amp;Table1[[#This Row],[Model]],Table13[MFR &amp; MDL],Table13[Tolerance % CW ],"")/100*Table1[[#This Row],[Std Nom]]),"")</f>
        <v/>
      </c>
      <c r="Q1977" s="1" t="e">
        <f>Table1[[#This Row],[High Tol]]-Table1[[#This Row],[Low Tol]]</f>
        <v>#VALUE!</v>
      </c>
      <c r="R1977" s="1">
        <f>2*Table1[[#This Row],[Std Error]]</f>
        <v>0</v>
      </c>
      <c r="S1977" s="1" t="str">
        <f>IF(Table1[[#This Row],[High Tol]]="","N/A",IFERROR(ABS(Table1[[#This Row],[Tol Span]]/Table1[[#This Row],[Error Span]]),"N/A"))</f>
        <v>N/A</v>
      </c>
      <c r="T1977" s="1" t="str">
        <f>IF(OR(Table1[[#This Row],[Low Tol]]="",Table1[[#This Row],[High Tol]]=""),"Needs Analysis",IF(Table1[[#This Row],[Ratio]]&gt;=4,"Not Significant",IF(Table1[[#This Row],[Ratio]]&gt;=2,"Semi-Significant","Significant")))</f>
        <v>Needs Analysis</v>
      </c>
      <c r="W1977" s="1">
        <f>IF(Table1[[#This Row],[Cal Type]]&lt;&gt;"ACCREDITED 17025 WITH UNCERTAINTIES",0,"")</f>
        <v>0</v>
      </c>
      <c r="X1977" s="1" t="str">
        <f>IF(Table1[[#This Row],[DUT Read]]="","N/A",Table1[[#This Row],[Std Error]]+Table1[[#This Row],[DUT Read]]+Table1[[#This Row],[DUT Ucty]])</f>
        <v>N/A</v>
      </c>
      <c r="Y1977" s="1" t="str">
        <f>IF(Table1[[#This Row],[Std Read]]="","N/A",Table1[[#This Row],[Std Read]]+Table1[[#This Row],[Std Ucty]])</f>
        <v>N/A</v>
      </c>
      <c r="Z19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7" s="1" t="str">
        <f>IF(Table1[[#This Row],[Spec Type]]="","N/A",Table1[[#This Row],[Spec Type]])</f>
        <v>±</v>
      </c>
      <c r="AC1977" s="1" t="str">
        <f>IF(Table1[[#This Row],[Spec Type2]]="N/A","N/A",IF(AND(Table1[[#This Row],[DUT Adj Read]]&gt;=Table1[[#This Row],[Low Tol]],Table1[[#This Row],[DUT Adj Read]]&lt;=Table1[[#This Row],[High Tol]]),"Pass","Fail"))</f>
        <v>Fail</v>
      </c>
      <c r="AD1977" s="1" t="str">
        <f>IF(AND(Table1[[#This Row],[Spec Type2]]="N/A",Table1[[#This Row],[DUT Adj Read]]="N/A",Table1[[#This Row],[Std Adj Read]]="N/A"),"N/A",IF(Table1[[#This Row],[DUT Adj Read]]="N/A",IF(Table1[[#This Row],[Std Adj Read]]&gt;Table1[[#This Row],[Low Tol]],"Pass","Fail"),IF(Table1[[#This Row],[DUT Adj Read]]&gt;Table1[[#This Row],[Low Tol]],"Pass","Fail")))</f>
        <v>Pass</v>
      </c>
      <c r="AE1977" s="1" t="str">
        <f>IF(AND(Table1[[#This Row],[Spec Type2]]="N/A",Table1[[#This Row],[DUT Adj Read]]="N/A",Table1[[#This Row],[Std Adj Read]]="N/A"),"N/A",IF(Table1[[#This Row],[DUT Adj Read]]="N/A",IF(Table1[[#This Row],[Std Adj Read]]&lt;Table1[[#This Row],[High Tol]],"Pass","Fail"),IF(Table1[[#This Row],[DUT Adj Read]]&lt;Table1[[#This Row],[High Tol]],"Pass","Fail")))</f>
        <v>Fail</v>
      </c>
      <c r="AF1977" s="1" t="str">
        <f>IF(AND(Table1[[#This Row],[Spec Type2]]="N/A",Table1[[#This Row],[DUT Adj Read]]="N/A",Table1[[#This Row],[Std Adj Read]]="N/A"),"N/A",IF(Table1[[#This Row],[DUT Adj Read]]="N/A",IF(Table1[[#This Row],[Std Adj Read]]&gt;=Table1[[#This Row],[Low Tol]],"Pass","Fail"),IF(Table1[[#This Row],[DUT Adj Read]]&gt;=Table1[[#This Row],[Low Tol]],"Pass","Fail")))</f>
        <v>Pass</v>
      </c>
      <c r="AG1977" s="1" t="str">
        <f>IF(AND(Table1[[#This Row],[Spec Type2]]="N/A",Table1[[#This Row],[DUT Adj Read]]="N/A",Table1[[#This Row],[Std Adj Read]]="N/A"),"N/A",IF(Table1[[#This Row],[DUT Adj Read]]="N/A",IF(Table1[[#This Row],[Std Adj Read]]&lt;=Table1[[#This Row],[High Tol]],"Pass","Fail"),IF(Table1[[#This Row],[DUT Adj Read]]&lt;=Table1[[#This Row],[High Tol]],"Pass","Fail")))</f>
        <v>Fail</v>
      </c>
      <c r="AH19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7" s="1" t="b">
        <v>0</v>
      </c>
      <c r="AN1977" s="1" t="b">
        <v>0</v>
      </c>
      <c r="AO1977" s="1" t="b">
        <v>0</v>
      </c>
    </row>
    <row r="1978" spans="1:41" x14ac:dyDescent="0.25">
      <c r="A1978" s="10"/>
      <c r="B1978" s="10"/>
      <c r="C1978" s="10"/>
      <c r="D1978" s="10"/>
      <c r="E1978" s="10"/>
      <c r="F1978" s="10"/>
      <c r="G1978" s="10"/>
      <c r="H1978" s="10"/>
      <c r="I1978" s="1" t="str">
        <f t="shared" si="90"/>
        <v/>
      </c>
      <c r="J1978" s="1" t="s">
        <v>35</v>
      </c>
      <c r="K1978" s="1" t="str">
        <f t="shared" si="91"/>
        <v/>
      </c>
      <c r="L1978" s="1" t="str">
        <f t="shared" si="92"/>
        <v/>
      </c>
      <c r="M1978" s="1">
        <f>IF(OR(Table1[[#This Row],[Std Nom]]="",Table1[[#This Row],[Std Read]]=""),0,Table1[[#This Row],[Std Nom]]-Table1[[#This Row],[Std Read]])</f>
        <v>0</v>
      </c>
      <c r="N1978" s="1">
        <f>IF(Calculations!$F$5="ACCREDITED 17025 WITH UNCERTAINTIES",$N$10,0)</f>
        <v>0</v>
      </c>
      <c r="O1978" s="1" t="str">
        <f>IFERROR(Table1[[#This Row],[Std Nom]]-(_xlfn.XLOOKUP(Table1[[#This Row],[Manufacturer]]&amp;" "&amp;Table1[[#This Row],[Model]],Table13[MFR &amp; MDL],Table13[Tolerance % CW ],"")/100*Table1[[#This Row],[Std Nom]]),"")</f>
        <v/>
      </c>
      <c r="P1978" s="1" t="str">
        <f>IFERROR(Table1[[#This Row],[Std Nom]]+(_xlfn.XLOOKUP(Table1[[#This Row],[Manufacturer]]&amp;" "&amp;Table1[[#This Row],[Model]],Table13[MFR &amp; MDL],Table13[Tolerance % CW ],"")/100*Table1[[#This Row],[Std Nom]]),"")</f>
        <v/>
      </c>
      <c r="Q1978" s="1" t="e">
        <f>Table1[[#This Row],[High Tol]]-Table1[[#This Row],[Low Tol]]</f>
        <v>#VALUE!</v>
      </c>
      <c r="R1978" s="1">
        <f>2*Table1[[#This Row],[Std Error]]</f>
        <v>0</v>
      </c>
      <c r="S1978" s="1" t="str">
        <f>IF(Table1[[#This Row],[High Tol]]="","N/A",IFERROR(ABS(Table1[[#This Row],[Tol Span]]/Table1[[#This Row],[Error Span]]),"N/A"))</f>
        <v>N/A</v>
      </c>
      <c r="T1978" s="1" t="str">
        <f>IF(OR(Table1[[#This Row],[Low Tol]]="",Table1[[#This Row],[High Tol]]=""),"Needs Analysis",IF(Table1[[#This Row],[Ratio]]&gt;=4,"Not Significant",IF(Table1[[#This Row],[Ratio]]&gt;=2,"Semi-Significant","Significant")))</f>
        <v>Needs Analysis</v>
      </c>
      <c r="W1978" s="1">
        <f>IF(Table1[[#This Row],[Cal Type]]&lt;&gt;"ACCREDITED 17025 WITH UNCERTAINTIES",0,"")</f>
        <v>0</v>
      </c>
      <c r="X1978" s="1" t="str">
        <f>IF(Table1[[#This Row],[DUT Read]]="","N/A",Table1[[#This Row],[Std Error]]+Table1[[#This Row],[DUT Read]]+Table1[[#This Row],[DUT Ucty]])</f>
        <v>N/A</v>
      </c>
      <c r="Y1978" s="1" t="str">
        <f>IF(Table1[[#This Row],[Std Read]]="","N/A",Table1[[#This Row],[Std Read]]+Table1[[#This Row],[Std Ucty]])</f>
        <v>N/A</v>
      </c>
      <c r="Z19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8" s="1" t="str">
        <f>IF(Table1[[#This Row],[Spec Type]]="","N/A",Table1[[#This Row],[Spec Type]])</f>
        <v>±</v>
      </c>
      <c r="AC1978" s="1" t="str">
        <f>IF(Table1[[#This Row],[Spec Type2]]="N/A","N/A",IF(AND(Table1[[#This Row],[DUT Adj Read]]&gt;=Table1[[#This Row],[Low Tol]],Table1[[#This Row],[DUT Adj Read]]&lt;=Table1[[#This Row],[High Tol]]),"Pass","Fail"))</f>
        <v>Fail</v>
      </c>
      <c r="AD1978" s="1" t="str">
        <f>IF(AND(Table1[[#This Row],[Spec Type2]]="N/A",Table1[[#This Row],[DUT Adj Read]]="N/A",Table1[[#This Row],[Std Adj Read]]="N/A"),"N/A",IF(Table1[[#This Row],[DUT Adj Read]]="N/A",IF(Table1[[#This Row],[Std Adj Read]]&gt;Table1[[#This Row],[Low Tol]],"Pass","Fail"),IF(Table1[[#This Row],[DUT Adj Read]]&gt;Table1[[#This Row],[Low Tol]],"Pass","Fail")))</f>
        <v>Pass</v>
      </c>
      <c r="AE1978" s="1" t="str">
        <f>IF(AND(Table1[[#This Row],[Spec Type2]]="N/A",Table1[[#This Row],[DUT Adj Read]]="N/A",Table1[[#This Row],[Std Adj Read]]="N/A"),"N/A",IF(Table1[[#This Row],[DUT Adj Read]]="N/A",IF(Table1[[#This Row],[Std Adj Read]]&lt;Table1[[#This Row],[High Tol]],"Pass","Fail"),IF(Table1[[#This Row],[DUT Adj Read]]&lt;Table1[[#This Row],[High Tol]],"Pass","Fail")))</f>
        <v>Fail</v>
      </c>
      <c r="AF1978" s="1" t="str">
        <f>IF(AND(Table1[[#This Row],[Spec Type2]]="N/A",Table1[[#This Row],[DUT Adj Read]]="N/A",Table1[[#This Row],[Std Adj Read]]="N/A"),"N/A",IF(Table1[[#This Row],[DUT Adj Read]]="N/A",IF(Table1[[#This Row],[Std Adj Read]]&gt;=Table1[[#This Row],[Low Tol]],"Pass","Fail"),IF(Table1[[#This Row],[DUT Adj Read]]&gt;=Table1[[#This Row],[Low Tol]],"Pass","Fail")))</f>
        <v>Pass</v>
      </c>
      <c r="AG1978" s="1" t="str">
        <f>IF(AND(Table1[[#This Row],[Spec Type2]]="N/A",Table1[[#This Row],[DUT Adj Read]]="N/A",Table1[[#This Row],[Std Adj Read]]="N/A"),"N/A",IF(Table1[[#This Row],[DUT Adj Read]]="N/A",IF(Table1[[#This Row],[Std Adj Read]]&lt;=Table1[[#This Row],[High Tol]],"Pass","Fail"),IF(Table1[[#This Row],[DUT Adj Read]]&lt;=Table1[[#This Row],[High Tol]],"Pass","Fail")))</f>
        <v>Fail</v>
      </c>
      <c r="AH19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8" s="1" t="b">
        <v>0</v>
      </c>
      <c r="AN1978" s="1" t="b">
        <v>0</v>
      </c>
      <c r="AO1978" s="1" t="b">
        <v>0</v>
      </c>
    </row>
    <row r="1979" spans="1:41" x14ac:dyDescent="0.25">
      <c r="A1979" s="10"/>
      <c r="B1979" s="10"/>
      <c r="C1979" s="10"/>
      <c r="D1979" s="10"/>
      <c r="E1979" s="10"/>
      <c r="F1979" s="10"/>
      <c r="G1979" s="10"/>
      <c r="H1979" s="10"/>
      <c r="I1979" s="1" t="str">
        <f t="shared" si="90"/>
        <v/>
      </c>
      <c r="J1979" s="1" t="s">
        <v>35</v>
      </c>
      <c r="K1979" s="1" t="str">
        <f t="shared" si="91"/>
        <v/>
      </c>
      <c r="L1979" s="1" t="str">
        <f t="shared" si="92"/>
        <v/>
      </c>
      <c r="M1979" s="1">
        <f>IF(OR(Table1[[#This Row],[Std Nom]]="",Table1[[#This Row],[Std Read]]=""),0,Table1[[#This Row],[Std Nom]]-Table1[[#This Row],[Std Read]])</f>
        <v>0</v>
      </c>
      <c r="N1979" s="1">
        <f>IF(Calculations!$F$5="ACCREDITED 17025 WITH UNCERTAINTIES",$N$10,0)</f>
        <v>0</v>
      </c>
      <c r="O1979" s="1" t="str">
        <f>IFERROR(Table1[[#This Row],[Std Nom]]-(_xlfn.XLOOKUP(Table1[[#This Row],[Manufacturer]]&amp;" "&amp;Table1[[#This Row],[Model]],Table13[MFR &amp; MDL],Table13[Tolerance % CW ],"")/100*Table1[[#This Row],[Std Nom]]),"")</f>
        <v/>
      </c>
      <c r="P1979" s="1" t="str">
        <f>IFERROR(Table1[[#This Row],[Std Nom]]+(_xlfn.XLOOKUP(Table1[[#This Row],[Manufacturer]]&amp;" "&amp;Table1[[#This Row],[Model]],Table13[MFR &amp; MDL],Table13[Tolerance % CW ],"")/100*Table1[[#This Row],[Std Nom]]),"")</f>
        <v/>
      </c>
      <c r="Q1979" s="1" t="e">
        <f>Table1[[#This Row],[High Tol]]-Table1[[#This Row],[Low Tol]]</f>
        <v>#VALUE!</v>
      </c>
      <c r="R1979" s="1">
        <f>2*Table1[[#This Row],[Std Error]]</f>
        <v>0</v>
      </c>
      <c r="S1979" s="1" t="str">
        <f>IF(Table1[[#This Row],[High Tol]]="","N/A",IFERROR(ABS(Table1[[#This Row],[Tol Span]]/Table1[[#This Row],[Error Span]]),"N/A"))</f>
        <v>N/A</v>
      </c>
      <c r="T1979" s="1" t="str">
        <f>IF(OR(Table1[[#This Row],[Low Tol]]="",Table1[[#This Row],[High Tol]]=""),"Needs Analysis",IF(Table1[[#This Row],[Ratio]]&gt;=4,"Not Significant",IF(Table1[[#This Row],[Ratio]]&gt;=2,"Semi-Significant","Significant")))</f>
        <v>Needs Analysis</v>
      </c>
      <c r="W1979" s="1">
        <f>IF(Table1[[#This Row],[Cal Type]]&lt;&gt;"ACCREDITED 17025 WITH UNCERTAINTIES",0,"")</f>
        <v>0</v>
      </c>
      <c r="X1979" s="1" t="str">
        <f>IF(Table1[[#This Row],[DUT Read]]="","N/A",Table1[[#This Row],[Std Error]]+Table1[[#This Row],[DUT Read]]+Table1[[#This Row],[DUT Ucty]])</f>
        <v>N/A</v>
      </c>
      <c r="Y1979" s="1" t="str">
        <f>IF(Table1[[#This Row],[Std Read]]="","N/A",Table1[[#This Row],[Std Read]]+Table1[[#This Row],[Std Ucty]])</f>
        <v>N/A</v>
      </c>
      <c r="Z19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9" s="1" t="str">
        <f>IF(Table1[[#This Row],[Spec Type]]="","N/A",Table1[[#This Row],[Spec Type]])</f>
        <v>±</v>
      </c>
      <c r="AC1979" s="1" t="str">
        <f>IF(Table1[[#This Row],[Spec Type2]]="N/A","N/A",IF(AND(Table1[[#This Row],[DUT Adj Read]]&gt;=Table1[[#This Row],[Low Tol]],Table1[[#This Row],[DUT Adj Read]]&lt;=Table1[[#This Row],[High Tol]]),"Pass","Fail"))</f>
        <v>Fail</v>
      </c>
      <c r="AD1979" s="1" t="str">
        <f>IF(AND(Table1[[#This Row],[Spec Type2]]="N/A",Table1[[#This Row],[DUT Adj Read]]="N/A",Table1[[#This Row],[Std Adj Read]]="N/A"),"N/A",IF(Table1[[#This Row],[DUT Adj Read]]="N/A",IF(Table1[[#This Row],[Std Adj Read]]&gt;Table1[[#This Row],[Low Tol]],"Pass","Fail"),IF(Table1[[#This Row],[DUT Adj Read]]&gt;Table1[[#This Row],[Low Tol]],"Pass","Fail")))</f>
        <v>Pass</v>
      </c>
      <c r="AE1979" s="1" t="str">
        <f>IF(AND(Table1[[#This Row],[Spec Type2]]="N/A",Table1[[#This Row],[DUT Adj Read]]="N/A",Table1[[#This Row],[Std Adj Read]]="N/A"),"N/A",IF(Table1[[#This Row],[DUT Adj Read]]="N/A",IF(Table1[[#This Row],[Std Adj Read]]&lt;Table1[[#This Row],[High Tol]],"Pass","Fail"),IF(Table1[[#This Row],[DUT Adj Read]]&lt;Table1[[#This Row],[High Tol]],"Pass","Fail")))</f>
        <v>Fail</v>
      </c>
      <c r="AF1979" s="1" t="str">
        <f>IF(AND(Table1[[#This Row],[Spec Type2]]="N/A",Table1[[#This Row],[DUT Adj Read]]="N/A",Table1[[#This Row],[Std Adj Read]]="N/A"),"N/A",IF(Table1[[#This Row],[DUT Adj Read]]="N/A",IF(Table1[[#This Row],[Std Adj Read]]&gt;=Table1[[#This Row],[Low Tol]],"Pass","Fail"),IF(Table1[[#This Row],[DUT Adj Read]]&gt;=Table1[[#This Row],[Low Tol]],"Pass","Fail")))</f>
        <v>Pass</v>
      </c>
      <c r="AG1979" s="1" t="str">
        <f>IF(AND(Table1[[#This Row],[Spec Type2]]="N/A",Table1[[#This Row],[DUT Adj Read]]="N/A",Table1[[#This Row],[Std Adj Read]]="N/A"),"N/A",IF(Table1[[#This Row],[DUT Adj Read]]="N/A",IF(Table1[[#This Row],[Std Adj Read]]&lt;=Table1[[#This Row],[High Tol]],"Pass","Fail"),IF(Table1[[#This Row],[DUT Adj Read]]&lt;=Table1[[#This Row],[High Tol]],"Pass","Fail")))</f>
        <v>Fail</v>
      </c>
      <c r="AH19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9" s="1" t="b">
        <v>0</v>
      </c>
      <c r="AN1979" s="1" t="b">
        <v>0</v>
      </c>
      <c r="AO1979" s="1" t="b">
        <v>0</v>
      </c>
    </row>
    <row r="1980" spans="1:41" x14ac:dyDescent="0.25">
      <c r="A1980" s="10"/>
      <c r="B1980" s="10"/>
      <c r="C1980" s="10"/>
      <c r="D1980" s="10"/>
      <c r="E1980" s="10"/>
      <c r="F1980" s="10"/>
      <c r="G1980" s="10"/>
      <c r="H1980" s="10"/>
      <c r="I1980" s="1" t="str">
        <f t="shared" si="90"/>
        <v/>
      </c>
      <c r="J1980" s="1" t="s">
        <v>35</v>
      </c>
      <c r="K1980" s="1" t="str">
        <f t="shared" si="91"/>
        <v/>
      </c>
      <c r="L1980" s="1" t="str">
        <f t="shared" si="92"/>
        <v/>
      </c>
      <c r="M1980" s="1">
        <f>IF(OR(Table1[[#This Row],[Std Nom]]="",Table1[[#This Row],[Std Read]]=""),0,Table1[[#This Row],[Std Nom]]-Table1[[#This Row],[Std Read]])</f>
        <v>0</v>
      </c>
      <c r="N1980" s="1">
        <f>IF(Calculations!$F$5="ACCREDITED 17025 WITH UNCERTAINTIES",$N$10,0)</f>
        <v>0</v>
      </c>
      <c r="O1980" s="1" t="str">
        <f>IFERROR(Table1[[#This Row],[Std Nom]]-(_xlfn.XLOOKUP(Table1[[#This Row],[Manufacturer]]&amp;" "&amp;Table1[[#This Row],[Model]],Table13[MFR &amp; MDL],Table13[Tolerance % CW ],"")/100*Table1[[#This Row],[Std Nom]]),"")</f>
        <v/>
      </c>
      <c r="P1980" s="1" t="str">
        <f>IFERROR(Table1[[#This Row],[Std Nom]]+(_xlfn.XLOOKUP(Table1[[#This Row],[Manufacturer]]&amp;" "&amp;Table1[[#This Row],[Model]],Table13[MFR &amp; MDL],Table13[Tolerance % CW ],"")/100*Table1[[#This Row],[Std Nom]]),"")</f>
        <v/>
      </c>
      <c r="Q1980" s="1" t="e">
        <f>Table1[[#This Row],[High Tol]]-Table1[[#This Row],[Low Tol]]</f>
        <v>#VALUE!</v>
      </c>
      <c r="R1980" s="1">
        <f>2*Table1[[#This Row],[Std Error]]</f>
        <v>0</v>
      </c>
      <c r="S1980" s="1" t="str">
        <f>IF(Table1[[#This Row],[High Tol]]="","N/A",IFERROR(ABS(Table1[[#This Row],[Tol Span]]/Table1[[#This Row],[Error Span]]),"N/A"))</f>
        <v>N/A</v>
      </c>
      <c r="T1980" s="1" t="str">
        <f>IF(OR(Table1[[#This Row],[Low Tol]]="",Table1[[#This Row],[High Tol]]=""),"Needs Analysis",IF(Table1[[#This Row],[Ratio]]&gt;=4,"Not Significant",IF(Table1[[#This Row],[Ratio]]&gt;=2,"Semi-Significant","Significant")))</f>
        <v>Needs Analysis</v>
      </c>
      <c r="W1980" s="1">
        <f>IF(Table1[[#This Row],[Cal Type]]&lt;&gt;"ACCREDITED 17025 WITH UNCERTAINTIES",0,"")</f>
        <v>0</v>
      </c>
      <c r="X1980" s="1" t="str">
        <f>IF(Table1[[#This Row],[DUT Read]]="","N/A",Table1[[#This Row],[Std Error]]+Table1[[#This Row],[DUT Read]]+Table1[[#This Row],[DUT Ucty]])</f>
        <v>N/A</v>
      </c>
      <c r="Y1980" s="1" t="str">
        <f>IF(Table1[[#This Row],[Std Read]]="","N/A",Table1[[#This Row],[Std Read]]+Table1[[#This Row],[Std Ucty]])</f>
        <v>N/A</v>
      </c>
      <c r="Z19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0" s="1" t="str">
        <f>IF(Table1[[#This Row],[Spec Type]]="","N/A",Table1[[#This Row],[Spec Type]])</f>
        <v>±</v>
      </c>
      <c r="AC1980" s="1" t="str">
        <f>IF(Table1[[#This Row],[Spec Type2]]="N/A","N/A",IF(AND(Table1[[#This Row],[DUT Adj Read]]&gt;=Table1[[#This Row],[Low Tol]],Table1[[#This Row],[DUT Adj Read]]&lt;=Table1[[#This Row],[High Tol]]),"Pass","Fail"))</f>
        <v>Fail</v>
      </c>
      <c r="AD1980" s="1" t="str">
        <f>IF(AND(Table1[[#This Row],[Spec Type2]]="N/A",Table1[[#This Row],[DUT Adj Read]]="N/A",Table1[[#This Row],[Std Adj Read]]="N/A"),"N/A",IF(Table1[[#This Row],[DUT Adj Read]]="N/A",IF(Table1[[#This Row],[Std Adj Read]]&gt;Table1[[#This Row],[Low Tol]],"Pass","Fail"),IF(Table1[[#This Row],[DUT Adj Read]]&gt;Table1[[#This Row],[Low Tol]],"Pass","Fail")))</f>
        <v>Pass</v>
      </c>
      <c r="AE1980" s="1" t="str">
        <f>IF(AND(Table1[[#This Row],[Spec Type2]]="N/A",Table1[[#This Row],[DUT Adj Read]]="N/A",Table1[[#This Row],[Std Adj Read]]="N/A"),"N/A",IF(Table1[[#This Row],[DUT Adj Read]]="N/A",IF(Table1[[#This Row],[Std Adj Read]]&lt;Table1[[#This Row],[High Tol]],"Pass","Fail"),IF(Table1[[#This Row],[DUT Adj Read]]&lt;Table1[[#This Row],[High Tol]],"Pass","Fail")))</f>
        <v>Fail</v>
      </c>
      <c r="AF1980" s="1" t="str">
        <f>IF(AND(Table1[[#This Row],[Spec Type2]]="N/A",Table1[[#This Row],[DUT Adj Read]]="N/A",Table1[[#This Row],[Std Adj Read]]="N/A"),"N/A",IF(Table1[[#This Row],[DUT Adj Read]]="N/A",IF(Table1[[#This Row],[Std Adj Read]]&gt;=Table1[[#This Row],[Low Tol]],"Pass","Fail"),IF(Table1[[#This Row],[DUT Adj Read]]&gt;=Table1[[#This Row],[Low Tol]],"Pass","Fail")))</f>
        <v>Pass</v>
      </c>
      <c r="AG1980" s="1" t="str">
        <f>IF(AND(Table1[[#This Row],[Spec Type2]]="N/A",Table1[[#This Row],[DUT Adj Read]]="N/A",Table1[[#This Row],[Std Adj Read]]="N/A"),"N/A",IF(Table1[[#This Row],[DUT Adj Read]]="N/A",IF(Table1[[#This Row],[Std Adj Read]]&lt;=Table1[[#This Row],[High Tol]],"Pass","Fail"),IF(Table1[[#This Row],[DUT Adj Read]]&lt;=Table1[[#This Row],[High Tol]],"Pass","Fail")))</f>
        <v>Fail</v>
      </c>
      <c r="AH19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0" s="1" t="b">
        <v>0</v>
      </c>
      <c r="AN1980" s="1" t="b">
        <v>0</v>
      </c>
      <c r="AO1980" s="1" t="b">
        <v>0</v>
      </c>
    </row>
    <row r="1981" spans="1:41" x14ac:dyDescent="0.25">
      <c r="A1981" s="10"/>
      <c r="B1981" s="10"/>
      <c r="C1981" s="10"/>
      <c r="D1981" s="10"/>
      <c r="E1981" s="10"/>
      <c r="F1981" s="10"/>
      <c r="G1981" s="10"/>
      <c r="H1981" s="10"/>
      <c r="I1981" s="1" t="str">
        <f t="shared" si="90"/>
        <v/>
      </c>
      <c r="J1981" s="1" t="s">
        <v>35</v>
      </c>
      <c r="K1981" s="1" t="str">
        <f t="shared" si="91"/>
        <v/>
      </c>
      <c r="L1981" s="1" t="str">
        <f t="shared" si="92"/>
        <v/>
      </c>
      <c r="M1981" s="1">
        <f>IF(OR(Table1[[#This Row],[Std Nom]]="",Table1[[#This Row],[Std Read]]=""),0,Table1[[#This Row],[Std Nom]]-Table1[[#This Row],[Std Read]])</f>
        <v>0</v>
      </c>
      <c r="N1981" s="1">
        <f>IF(Calculations!$F$5="ACCREDITED 17025 WITH UNCERTAINTIES",$N$10,0)</f>
        <v>0</v>
      </c>
      <c r="O1981" s="1" t="str">
        <f>IFERROR(Table1[[#This Row],[Std Nom]]-(_xlfn.XLOOKUP(Table1[[#This Row],[Manufacturer]]&amp;" "&amp;Table1[[#This Row],[Model]],Table13[MFR &amp; MDL],Table13[Tolerance % CW ],"")/100*Table1[[#This Row],[Std Nom]]),"")</f>
        <v/>
      </c>
      <c r="P1981" s="1" t="str">
        <f>IFERROR(Table1[[#This Row],[Std Nom]]+(_xlfn.XLOOKUP(Table1[[#This Row],[Manufacturer]]&amp;" "&amp;Table1[[#This Row],[Model]],Table13[MFR &amp; MDL],Table13[Tolerance % CW ],"")/100*Table1[[#This Row],[Std Nom]]),"")</f>
        <v/>
      </c>
      <c r="Q1981" s="1" t="e">
        <f>Table1[[#This Row],[High Tol]]-Table1[[#This Row],[Low Tol]]</f>
        <v>#VALUE!</v>
      </c>
      <c r="R1981" s="1">
        <f>2*Table1[[#This Row],[Std Error]]</f>
        <v>0</v>
      </c>
      <c r="S1981" s="1" t="str">
        <f>IF(Table1[[#This Row],[High Tol]]="","N/A",IFERROR(ABS(Table1[[#This Row],[Tol Span]]/Table1[[#This Row],[Error Span]]),"N/A"))</f>
        <v>N/A</v>
      </c>
      <c r="T1981" s="1" t="str">
        <f>IF(OR(Table1[[#This Row],[Low Tol]]="",Table1[[#This Row],[High Tol]]=""),"Needs Analysis",IF(Table1[[#This Row],[Ratio]]&gt;=4,"Not Significant",IF(Table1[[#This Row],[Ratio]]&gt;=2,"Semi-Significant","Significant")))</f>
        <v>Needs Analysis</v>
      </c>
      <c r="W1981" s="1">
        <f>IF(Table1[[#This Row],[Cal Type]]&lt;&gt;"ACCREDITED 17025 WITH UNCERTAINTIES",0,"")</f>
        <v>0</v>
      </c>
      <c r="X1981" s="1" t="str">
        <f>IF(Table1[[#This Row],[DUT Read]]="","N/A",Table1[[#This Row],[Std Error]]+Table1[[#This Row],[DUT Read]]+Table1[[#This Row],[DUT Ucty]])</f>
        <v>N/A</v>
      </c>
      <c r="Y1981" s="1" t="str">
        <f>IF(Table1[[#This Row],[Std Read]]="","N/A",Table1[[#This Row],[Std Read]]+Table1[[#This Row],[Std Ucty]])</f>
        <v>N/A</v>
      </c>
      <c r="Z19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1" s="1" t="str">
        <f>IF(Table1[[#This Row],[Spec Type]]="","N/A",Table1[[#This Row],[Spec Type]])</f>
        <v>±</v>
      </c>
      <c r="AC1981" s="1" t="str">
        <f>IF(Table1[[#This Row],[Spec Type2]]="N/A","N/A",IF(AND(Table1[[#This Row],[DUT Adj Read]]&gt;=Table1[[#This Row],[Low Tol]],Table1[[#This Row],[DUT Adj Read]]&lt;=Table1[[#This Row],[High Tol]]),"Pass","Fail"))</f>
        <v>Fail</v>
      </c>
      <c r="AD1981" s="1" t="str">
        <f>IF(AND(Table1[[#This Row],[Spec Type2]]="N/A",Table1[[#This Row],[DUT Adj Read]]="N/A",Table1[[#This Row],[Std Adj Read]]="N/A"),"N/A",IF(Table1[[#This Row],[DUT Adj Read]]="N/A",IF(Table1[[#This Row],[Std Adj Read]]&gt;Table1[[#This Row],[Low Tol]],"Pass","Fail"),IF(Table1[[#This Row],[DUT Adj Read]]&gt;Table1[[#This Row],[Low Tol]],"Pass","Fail")))</f>
        <v>Pass</v>
      </c>
      <c r="AE1981" s="1" t="str">
        <f>IF(AND(Table1[[#This Row],[Spec Type2]]="N/A",Table1[[#This Row],[DUT Adj Read]]="N/A",Table1[[#This Row],[Std Adj Read]]="N/A"),"N/A",IF(Table1[[#This Row],[DUT Adj Read]]="N/A",IF(Table1[[#This Row],[Std Adj Read]]&lt;Table1[[#This Row],[High Tol]],"Pass","Fail"),IF(Table1[[#This Row],[DUT Adj Read]]&lt;Table1[[#This Row],[High Tol]],"Pass","Fail")))</f>
        <v>Fail</v>
      </c>
      <c r="AF1981" s="1" t="str">
        <f>IF(AND(Table1[[#This Row],[Spec Type2]]="N/A",Table1[[#This Row],[DUT Adj Read]]="N/A",Table1[[#This Row],[Std Adj Read]]="N/A"),"N/A",IF(Table1[[#This Row],[DUT Adj Read]]="N/A",IF(Table1[[#This Row],[Std Adj Read]]&gt;=Table1[[#This Row],[Low Tol]],"Pass","Fail"),IF(Table1[[#This Row],[DUT Adj Read]]&gt;=Table1[[#This Row],[Low Tol]],"Pass","Fail")))</f>
        <v>Pass</v>
      </c>
      <c r="AG1981" s="1" t="str">
        <f>IF(AND(Table1[[#This Row],[Spec Type2]]="N/A",Table1[[#This Row],[DUT Adj Read]]="N/A",Table1[[#This Row],[Std Adj Read]]="N/A"),"N/A",IF(Table1[[#This Row],[DUT Adj Read]]="N/A",IF(Table1[[#This Row],[Std Adj Read]]&lt;=Table1[[#This Row],[High Tol]],"Pass","Fail"),IF(Table1[[#This Row],[DUT Adj Read]]&lt;=Table1[[#This Row],[High Tol]],"Pass","Fail")))</f>
        <v>Fail</v>
      </c>
      <c r="AH19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1" s="1" t="b">
        <v>0</v>
      </c>
      <c r="AN1981" s="1" t="b">
        <v>0</v>
      </c>
      <c r="AO1981" s="1" t="b">
        <v>0</v>
      </c>
    </row>
    <row r="1982" spans="1:41" x14ac:dyDescent="0.25">
      <c r="A1982" s="10"/>
      <c r="B1982" s="10"/>
      <c r="C1982" s="10"/>
      <c r="D1982" s="10"/>
      <c r="E1982" s="10"/>
      <c r="F1982" s="10"/>
      <c r="G1982" s="10"/>
      <c r="H1982" s="10"/>
      <c r="I1982" s="1" t="str">
        <f t="shared" si="90"/>
        <v/>
      </c>
      <c r="J1982" s="1" t="s">
        <v>35</v>
      </c>
      <c r="K1982" s="1" t="str">
        <f t="shared" si="91"/>
        <v/>
      </c>
      <c r="L1982" s="1" t="str">
        <f t="shared" si="92"/>
        <v/>
      </c>
      <c r="M1982" s="1">
        <f>IF(OR(Table1[[#This Row],[Std Nom]]="",Table1[[#This Row],[Std Read]]=""),0,Table1[[#This Row],[Std Nom]]-Table1[[#This Row],[Std Read]])</f>
        <v>0</v>
      </c>
      <c r="N1982" s="1">
        <f>IF(Calculations!$F$5="ACCREDITED 17025 WITH UNCERTAINTIES",$N$10,0)</f>
        <v>0</v>
      </c>
      <c r="O1982" s="1" t="str">
        <f>IFERROR(Table1[[#This Row],[Std Nom]]-(_xlfn.XLOOKUP(Table1[[#This Row],[Manufacturer]]&amp;" "&amp;Table1[[#This Row],[Model]],Table13[MFR &amp; MDL],Table13[Tolerance % CW ],"")/100*Table1[[#This Row],[Std Nom]]),"")</f>
        <v/>
      </c>
      <c r="P1982" s="1" t="str">
        <f>IFERROR(Table1[[#This Row],[Std Nom]]+(_xlfn.XLOOKUP(Table1[[#This Row],[Manufacturer]]&amp;" "&amp;Table1[[#This Row],[Model]],Table13[MFR &amp; MDL],Table13[Tolerance % CW ],"")/100*Table1[[#This Row],[Std Nom]]),"")</f>
        <v/>
      </c>
      <c r="Q1982" s="1" t="e">
        <f>Table1[[#This Row],[High Tol]]-Table1[[#This Row],[Low Tol]]</f>
        <v>#VALUE!</v>
      </c>
      <c r="R1982" s="1">
        <f>2*Table1[[#This Row],[Std Error]]</f>
        <v>0</v>
      </c>
      <c r="S1982" s="1" t="str">
        <f>IF(Table1[[#This Row],[High Tol]]="","N/A",IFERROR(ABS(Table1[[#This Row],[Tol Span]]/Table1[[#This Row],[Error Span]]),"N/A"))</f>
        <v>N/A</v>
      </c>
      <c r="T1982" s="1" t="str">
        <f>IF(OR(Table1[[#This Row],[Low Tol]]="",Table1[[#This Row],[High Tol]]=""),"Needs Analysis",IF(Table1[[#This Row],[Ratio]]&gt;=4,"Not Significant",IF(Table1[[#This Row],[Ratio]]&gt;=2,"Semi-Significant","Significant")))</f>
        <v>Needs Analysis</v>
      </c>
      <c r="W1982" s="1">
        <f>IF(Table1[[#This Row],[Cal Type]]&lt;&gt;"ACCREDITED 17025 WITH UNCERTAINTIES",0,"")</f>
        <v>0</v>
      </c>
      <c r="X1982" s="1" t="str">
        <f>IF(Table1[[#This Row],[DUT Read]]="","N/A",Table1[[#This Row],[Std Error]]+Table1[[#This Row],[DUT Read]]+Table1[[#This Row],[DUT Ucty]])</f>
        <v>N/A</v>
      </c>
      <c r="Y1982" s="1" t="str">
        <f>IF(Table1[[#This Row],[Std Read]]="","N/A",Table1[[#This Row],[Std Read]]+Table1[[#This Row],[Std Ucty]])</f>
        <v>N/A</v>
      </c>
      <c r="Z19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2" s="1" t="str">
        <f>IF(Table1[[#This Row],[Spec Type]]="","N/A",Table1[[#This Row],[Spec Type]])</f>
        <v>±</v>
      </c>
      <c r="AC1982" s="1" t="str">
        <f>IF(Table1[[#This Row],[Spec Type2]]="N/A","N/A",IF(AND(Table1[[#This Row],[DUT Adj Read]]&gt;=Table1[[#This Row],[Low Tol]],Table1[[#This Row],[DUT Adj Read]]&lt;=Table1[[#This Row],[High Tol]]),"Pass","Fail"))</f>
        <v>Fail</v>
      </c>
      <c r="AD1982" s="1" t="str">
        <f>IF(AND(Table1[[#This Row],[Spec Type2]]="N/A",Table1[[#This Row],[DUT Adj Read]]="N/A",Table1[[#This Row],[Std Adj Read]]="N/A"),"N/A",IF(Table1[[#This Row],[DUT Adj Read]]="N/A",IF(Table1[[#This Row],[Std Adj Read]]&gt;Table1[[#This Row],[Low Tol]],"Pass","Fail"),IF(Table1[[#This Row],[DUT Adj Read]]&gt;Table1[[#This Row],[Low Tol]],"Pass","Fail")))</f>
        <v>Pass</v>
      </c>
      <c r="AE1982" s="1" t="str">
        <f>IF(AND(Table1[[#This Row],[Spec Type2]]="N/A",Table1[[#This Row],[DUT Adj Read]]="N/A",Table1[[#This Row],[Std Adj Read]]="N/A"),"N/A",IF(Table1[[#This Row],[DUT Adj Read]]="N/A",IF(Table1[[#This Row],[Std Adj Read]]&lt;Table1[[#This Row],[High Tol]],"Pass","Fail"),IF(Table1[[#This Row],[DUT Adj Read]]&lt;Table1[[#This Row],[High Tol]],"Pass","Fail")))</f>
        <v>Fail</v>
      </c>
      <c r="AF1982" s="1" t="str">
        <f>IF(AND(Table1[[#This Row],[Spec Type2]]="N/A",Table1[[#This Row],[DUT Adj Read]]="N/A",Table1[[#This Row],[Std Adj Read]]="N/A"),"N/A",IF(Table1[[#This Row],[DUT Adj Read]]="N/A",IF(Table1[[#This Row],[Std Adj Read]]&gt;=Table1[[#This Row],[Low Tol]],"Pass","Fail"),IF(Table1[[#This Row],[DUT Adj Read]]&gt;=Table1[[#This Row],[Low Tol]],"Pass","Fail")))</f>
        <v>Pass</v>
      </c>
      <c r="AG1982" s="1" t="str">
        <f>IF(AND(Table1[[#This Row],[Spec Type2]]="N/A",Table1[[#This Row],[DUT Adj Read]]="N/A",Table1[[#This Row],[Std Adj Read]]="N/A"),"N/A",IF(Table1[[#This Row],[DUT Adj Read]]="N/A",IF(Table1[[#This Row],[Std Adj Read]]&lt;=Table1[[#This Row],[High Tol]],"Pass","Fail"),IF(Table1[[#This Row],[DUT Adj Read]]&lt;=Table1[[#This Row],[High Tol]],"Pass","Fail")))</f>
        <v>Fail</v>
      </c>
      <c r="AH19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2" s="1" t="b">
        <v>0</v>
      </c>
      <c r="AN1982" s="1" t="b">
        <v>0</v>
      </c>
      <c r="AO1982" s="1" t="b">
        <v>0</v>
      </c>
    </row>
    <row r="1983" spans="1:41" x14ac:dyDescent="0.25">
      <c r="A1983" s="10"/>
      <c r="B1983" s="10"/>
      <c r="C1983" s="10"/>
      <c r="D1983" s="10"/>
      <c r="E1983" s="10"/>
      <c r="F1983" s="10"/>
      <c r="G1983" s="10"/>
      <c r="H1983" s="10"/>
      <c r="I1983" s="1" t="str">
        <f t="shared" si="90"/>
        <v/>
      </c>
      <c r="J1983" s="1" t="s">
        <v>35</v>
      </c>
      <c r="K1983" s="1" t="str">
        <f t="shared" si="91"/>
        <v/>
      </c>
      <c r="L1983" s="1" t="str">
        <f t="shared" si="92"/>
        <v/>
      </c>
      <c r="M1983" s="1">
        <f>IF(OR(Table1[[#This Row],[Std Nom]]="",Table1[[#This Row],[Std Read]]=""),0,Table1[[#This Row],[Std Nom]]-Table1[[#This Row],[Std Read]])</f>
        <v>0</v>
      </c>
      <c r="N1983" s="1">
        <f>IF(Calculations!$F$5="ACCREDITED 17025 WITH UNCERTAINTIES",$N$10,0)</f>
        <v>0</v>
      </c>
      <c r="O1983" s="1" t="str">
        <f>IFERROR(Table1[[#This Row],[Std Nom]]-(_xlfn.XLOOKUP(Table1[[#This Row],[Manufacturer]]&amp;" "&amp;Table1[[#This Row],[Model]],Table13[MFR &amp; MDL],Table13[Tolerance % CW ],"")/100*Table1[[#This Row],[Std Nom]]),"")</f>
        <v/>
      </c>
      <c r="P1983" s="1" t="str">
        <f>IFERROR(Table1[[#This Row],[Std Nom]]+(_xlfn.XLOOKUP(Table1[[#This Row],[Manufacturer]]&amp;" "&amp;Table1[[#This Row],[Model]],Table13[MFR &amp; MDL],Table13[Tolerance % CW ],"")/100*Table1[[#This Row],[Std Nom]]),"")</f>
        <v/>
      </c>
      <c r="Q1983" s="1" t="e">
        <f>Table1[[#This Row],[High Tol]]-Table1[[#This Row],[Low Tol]]</f>
        <v>#VALUE!</v>
      </c>
      <c r="R1983" s="1">
        <f>2*Table1[[#This Row],[Std Error]]</f>
        <v>0</v>
      </c>
      <c r="S1983" s="1" t="str">
        <f>IF(Table1[[#This Row],[High Tol]]="","N/A",IFERROR(ABS(Table1[[#This Row],[Tol Span]]/Table1[[#This Row],[Error Span]]),"N/A"))</f>
        <v>N/A</v>
      </c>
      <c r="T1983" s="1" t="str">
        <f>IF(OR(Table1[[#This Row],[Low Tol]]="",Table1[[#This Row],[High Tol]]=""),"Needs Analysis",IF(Table1[[#This Row],[Ratio]]&gt;=4,"Not Significant",IF(Table1[[#This Row],[Ratio]]&gt;=2,"Semi-Significant","Significant")))</f>
        <v>Needs Analysis</v>
      </c>
      <c r="W1983" s="1">
        <f>IF(Table1[[#This Row],[Cal Type]]&lt;&gt;"ACCREDITED 17025 WITH UNCERTAINTIES",0,"")</f>
        <v>0</v>
      </c>
      <c r="X1983" s="1" t="str">
        <f>IF(Table1[[#This Row],[DUT Read]]="","N/A",Table1[[#This Row],[Std Error]]+Table1[[#This Row],[DUT Read]]+Table1[[#This Row],[DUT Ucty]])</f>
        <v>N/A</v>
      </c>
      <c r="Y1983" s="1" t="str">
        <f>IF(Table1[[#This Row],[Std Read]]="","N/A",Table1[[#This Row],[Std Read]]+Table1[[#This Row],[Std Ucty]])</f>
        <v>N/A</v>
      </c>
      <c r="Z19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3" s="1" t="str">
        <f>IF(Table1[[#This Row],[Spec Type]]="","N/A",Table1[[#This Row],[Spec Type]])</f>
        <v>±</v>
      </c>
      <c r="AC1983" s="1" t="str">
        <f>IF(Table1[[#This Row],[Spec Type2]]="N/A","N/A",IF(AND(Table1[[#This Row],[DUT Adj Read]]&gt;=Table1[[#This Row],[Low Tol]],Table1[[#This Row],[DUT Adj Read]]&lt;=Table1[[#This Row],[High Tol]]),"Pass","Fail"))</f>
        <v>Fail</v>
      </c>
      <c r="AD1983" s="1" t="str">
        <f>IF(AND(Table1[[#This Row],[Spec Type2]]="N/A",Table1[[#This Row],[DUT Adj Read]]="N/A",Table1[[#This Row],[Std Adj Read]]="N/A"),"N/A",IF(Table1[[#This Row],[DUT Adj Read]]="N/A",IF(Table1[[#This Row],[Std Adj Read]]&gt;Table1[[#This Row],[Low Tol]],"Pass","Fail"),IF(Table1[[#This Row],[DUT Adj Read]]&gt;Table1[[#This Row],[Low Tol]],"Pass","Fail")))</f>
        <v>Pass</v>
      </c>
      <c r="AE1983" s="1" t="str">
        <f>IF(AND(Table1[[#This Row],[Spec Type2]]="N/A",Table1[[#This Row],[DUT Adj Read]]="N/A",Table1[[#This Row],[Std Adj Read]]="N/A"),"N/A",IF(Table1[[#This Row],[DUT Adj Read]]="N/A",IF(Table1[[#This Row],[Std Adj Read]]&lt;Table1[[#This Row],[High Tol]],"Pass","Fail"),IF(Table1[[#This Row],[DUT Adj Read]]&lt;Table1[[#This Row],[High Tol]],"Pass","Fail")))</f>
        <v>Fail</v>
      </c>
      <c r="AF1983" s="1" t="str">
        <f>IF(AND(Table1[[#This Row],[Spec Type2]]="N/A",Table1[[#This Row],[DUT Adj Read]]="N/A",Table1[[#This Row],[Std Adj Read]]="N/A"),"N/A",IF(Table1[[#This Row],[DUT Adj Read]]="N/A",IF(Table1[[#This Row],[Std Adj Read]]&gt;=Table1[[#This Row],[Low Tol]],"Pass","Fail"),IF(Table1[[#This Row],[DUT Adj Read]]&gt;=Table1[[#This Row],[Low Tol]],"Pass","Fail")))</f>
        <v>Pass</v>
      </c>
      <c r="AG1983" s="1" t="str">
        <f>IF(AND(Table1[[#This Row],[Spec Type2]]="N/A",Table1[[#This Row],[DUT Adj Read]]="N/A",Table1[[#This Row],[Std Adj Read]]="N/A"),"N/A",IF(Table1[[#This Row],[DUT Adj Read]]="N/A",IF(Table1[[#This Row],[Std Adj Read]]&lt;=Table1[[#This Row],[High Tol]],"Pass","Fail"),IF(Table1[[#This Row],[DUT Adj Read]]&lt;=Table1[[#This Row],[High Tol]],"Pass","Fail")))</f>
        <v>Fail</v>
      </c>
      <c r="AH19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3" s="1" t="b">
        <v>0</v>
      </c>
      <c r="AN1983" s="1" t="b">
        <v>0</v>
      </c>
      <c r="AO1983" s="1" t="b">
        <v>0</v>
      </c>
    </row>
    <row r="1984" spans="1:41" x14ac:dyDescent="0.25">
      <c r="A1984" s="10"/>
      <c r="B1984" s="10"/>
      <c r="C1984" s="10"/>
      <c r="D1984" s="10"/>
      <c r="E1984" s="10"/>
      <c r="F1984" s="10"/>
      <c r="G1984" s="10"/>
      <c r="H1984" s="10"/>
      <c r="I1984" s="1" t="str">
        <f t="shared" si="90"/>
        <v/>
      </c>
      <c r="J1984" s="1" t="s">
        <v>35</v>
      </c>
      <c r="K1984" s="1" t="str">
        <f t="shared" si="91"/>
        <v/>
      </c>
      <c r="L1984" s="1" t="str">
        <f t="shared" si="92"/>
        <v/>
      </c>
      <c r="M1984" s="1">
        <f>IF(OR(Table1[[#This Row],[Std Nom]]="",Table1[[#This Row],[Std Read]]=""),0,Table1[[#This Row],[Std Nom]]-Table1[[#This Row],[Std Read]])</f>
        <v>0</v>
      </c>
      <c r="N1984" s="1">
        <f>IF(Calculations!$F$5="ACCREDITED 17025 WITH UNCERTAINTIES",$N$10,0)</f>
        <v>0</v>
      </c>
      <c r="O1984" s="1" t="str">
        <f>IFERROR(Table1[[#This Row],[Std Nom]]-(_xlfn.XLOOKUP(Table1[[#This Row],[Manufacturer]]&amp;" "&amp;Table1[[#This Row],[Model]],Table13[MFR &amp; MDL],Table13[Tolerance % CW ],"")/100*Table1[[#This Row],[Std Nom]]),"")</f>
        <v/>
      </c>
      <c r="P1984" s="1" t="str">
        <f>IFERROR(Table1[[#This Row],[Std Nom]]+(_xlfn.XLOOKUP(Table1[[#This Row],[Manufacturer]]&amp;" "&amp;Table1[[#This Row],[Model]],Table13[MFR &amp; MDL],Table13[Tolerance % CW ],"")/100*Table1[[#This Row],[Std Nom]]),"")</f>
        <v/>
      </c>
      <c r="Q1984" s="1" t="e">
        <f>Table1[[#This Row],[High Tol]]-Table1[[#This Row],[Low Tol]]</f>
        <v>#VALUE!</v>
      </c>
      <c r="R1984" s="1">
        <f>2*Table1[[#This Row],[Std Error]]</f>
        <v>0</v>
      </c>
      <c r="S1984" s="1" t="str">
        <f>IF(Table1[[#This Row],[High Tol]]="","N/A",IFERROR(ABS(Table1[[#This Row],[Tol Span]]/Table1[[#This Row],[Error Span]]),"N/A"))</f>
        <v>N/A</v>
      </c>
      <c r="T1984" s="1" t="str">
        <f>IF(OR(Table1[[#This Row],[Low Tol]]="",Table1[[#This Row],[High Tol]]=""),"Needs Analysis",IF(Table1[[#This Row],[Ratio]]&gt;=4,"Not Significant",IF(Table1[[#This Row],[Ratio]]&gt;=2,"Semi-Significant","Significant")))</f>
        <v>Needs Analysis</v>
      </c>
      <c r="W1984" s="1">
        <f>IF(Table1[[#This Row],[Cal Type]]&lt;&gt;"ACCREDITED 17025 WITH UNCERTAINTIES",0,"")</f>
        <v>0</v>
      </c>
      <c r="X1984" s="1" t="str">
        <f>IF(Table1[[#This Row],[DUT Read]]="","N/A",Table1[[#This Row],[Std Error]]+Table1[[#This Row],[DUT Read]]+Table1[[#This Row],[DUT Ucty]])</f>
        <v>N/A</v>
      </c>
      <c r="Y1984" s="1" t="str">
        <f>IF(Table1[[#This Row],[Std Read]]="","N/A",Table1[[#This Row],[Std Read]]+Table1[[#This Row],[Std Ucty]])</f>
        <v>N/A</v>
      </c>
      <c r="Z19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4" s="1" t="str">
        <f>IF(Table1[[#This Row],[Spec Type]]="","N/A",Table1[[#This Row],[Spec Type]])</f>
        <v>±</v>
      </c>
      <c r="AC1984" s="1" t="str">
        <f>IF(Table1[[#This Row],[Spec Type2]]="N/A","N/A",IF(AND(Table1[[#This Row],[DUT Adj Read]]&gt;=Table1[[#This Row],[Low Tol]],Table1[[#This Row],[DUT Adj Read]]&lt;=Table1[[#This Row],[High Tol]]),"Pass","Fail"))</f>
        <v>Fail</v>
      </c>
      <c r="AD1984" s="1" t="str">
        <f>IF(AND(Table1[[#This Row],[Spec Type2]]="N/A",Table1[[#This Row],[DUT Adj Read]]="N/A",Table1[[#This Row],[Std Adj Read]]="N/A"),"N/A",IF(Table1[[#This Row],[DUT Adj Read]]="N/A",IF(Table1[[#This Row],[Std Adj Read]]&gt;Table1[[#This Row],[Low Tol]],"Pass","Fail"),IF(Table1[[#This Row],[DUT Adj Read]]&gt;Table1[[#This Row],[Low Tol]],"Pass","Fail")))</f>
        <v>Pass</v>
      </c>
      <c r="AE1984" s="1" t="str">
        <f>IF(AND(Table1[[#This Row],[Spec Type2]]="N/A",Table1[[#This Row],[DUT Adj Read]]="N/A",Table1[[#This Row],[Std Adj Read]]="N/A"),"N/A",IF(Table1[[#This Row],[DUT Adj Read]]="N/A",IF(Table1[[#This Row],[Std Adj Read]]&lt;Table1[[#This Row],[High Tol]],"Pass","Fail"),IF(Table1[[#This Row],[DUT Adj Read]]&lt;Table1[[#This Row],[High Tol]],"Pass","Fail")))</f>
        <v>Fail</v>
      </c>
      <c r="AF1984" s="1" t="str">
        <f>IF(AND(Table1[[#This Row],[Spec Type2]]="N/A",Table1[[#This Row],[DUT Adj Read]]="N/A",Table1[[#This Row],[Std Adj Read]]="N/A"),"N/A",IF(Table1[[#This Row],[DUT Adj Read]]="N/A",IF(Table1[[#This Row],[Std Adj Read]]&gt;=Table1[[#This Row],[Low Tol]],"Pass","Fail"),IF(Table1[[#This Row],[DUT Adj Read]]&gt;=Table1[[#This Row],[Low Tol]],"Pass","Fail")))</f>
        <v>Pass</v>
      </c>
      <c r="AG1984" s="1" t="str">
        <f>IF(AND(Table1[[#This Row],[Spec Type2]]="N/A",Table1[[#This Row],[DUT Adj Read]]="N/A",Table1[[#This Row],[Std Adj Read]]="N/A"),"N/A",IF(Table1[[#This Row],[DUT Adj Read]]="N/A",IF(Table1[[#This Row],[Std Adj Read]]&lt;=Table1[[#This Row],[High Tol]],"Pass","Fail"),IF(Table1[[#This Row],[DUT Adj Read]]&lt;=Table1[[#This Row],[High Tol]],"Pass","Fail")))</f>
        <v>Fail</v>
      </c>
      <c r="AH19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4" s="1" t="b">
        <v>0</v>
      </c>
      <c r="AN1984" s="1" t="b">
        <v>0</v>
      </c>
      <c r="AO1984" s="1" t="b">
        <v>0</v>
      </c>
    </row>
    <row r="1985" spans="1:41" x14ac:dyDescent="0.25">
      <c r="A1985" s="10"/>
      <c r="B1985" s="10"/>
      <c r="C1985" s="10"/>
      <c r="D1985" s="10"/>
      <c r="E1985" s="10"/>
      <c r="F1985" s="10"/>
      <c r="G1985" s="10"/>
      <c r="H1985" s="10"/>
      <c r="I1985" s="1" t="str">
        <f t="shared" si="90"/>
        <v/>
      </c>
      <c r="J1985" s="1" t="s">
        <v>35</v>
      </c>
      <c r="K1985" s="1" t="str">
        <f t="shared" si="91"/>
        <v/>
      </c>
      <c r="L1985" s="1" t="str">
        <f t="shared" si="92"/>
        <v/>
      </c>
      <c r="M1985" s="1">
        <f>IF(OR(Table1[[#This Row],[Std Nom]]="",Table1[[#This Row],[Std Read]]=""),0,Table1[[#This Row],[Std Nom]]-Table1[[#This Row],[Std Read]])</f>
        <v>0</v>
      </c>
      <c r="N1985" s="1">
        <f>IF(Calculations!$F$5="ACCREDITED 17025 WITH UNCERTAINTIES",$N$10,0)</f>
        <v>0</v>
      </c>
      <c r="O1985" s="1" t="str">
        <f>IFERROR(Table1[[#This Row],[Std Nom]]-(_xlfn.XLOOKUP(Table1[[#This Row],[Manufacturer]]&amp;" "&amp;Table1[[#This Row],[Model]],Table13[MFR &amp; MDL],Table13[Tolerance % CW ],"")/100*Table1[[#This Row],[Std Nom]]),"")</f>
        <v/>
      </c>
      <c r="P1985" s="1" t="str">
        <f>IFERROR(Table1[[#This Row],[Std Nom]]+(_xlfn.XLOOKUP(Table1[[#This Row],[Manufacturer]]&amp;" "&amp;Table1[[#This Row],[Model]],Table13[MFR &amp; MDL],Table13[Tolerance % CW ],"")/100*Table1[[#This Row],[Std Nom]]),"")</f>
        <v/>
      </c>
      <c r="Q1985" s="1" t="e">
        <f>Table1[[#This Row],[High Tol]]-Table1[[#This Row],[Low Tol]]</f>
        <v>#VALUE!</v>
      </c>
      <c r="R1985" s="1">
        <f>2*Table1[[#This Row],[Std Error]]</f>
        <v>0</v>
      </c>
      <c r="S1985" s="1" t="str">
        <f>IF(Table1[[#This Row],[High Tol]]="","N/A",IFERROR(ABS(Table1[[#This Row],[Tol Span]]/Table1[[#This Row],[Error Span]]),"N/A"))</f>
        <v>N/A</v>
      </c>
      <c r="T1985" s="1" t="str">
        <f>IF(OR(Table1[[#This Row],[Low Tol]]="",Table1[[#This Row],[High Tol]]=""),"Needs Analysis",IF(Table1[[#This Row],[Ratio]]&gt;=4,"Not Significant",IF(Table1[[#This Row],[Ratio]]&gt;=2,"Semi-Significant","Significant")))</f>
        <v>Needs Analysis</v>
      </c>
      <c r="W1985" s="1">
        <f>IF(Table1[[#This Row],[Cal Type]]&lt;&gt;"ACCREDITED 17025 WITH UNCERTAINTIES",0,"")</f>
        <v>0</v>
      </c>
      <c r="X1985" s="1" t="str">
        <f>IF(Table1[[#This Row],[DUT Read]]="","N/A",Table1[[#This Row],[Std Error]]+Table1[[#This Row],[DUT Read]]+Table1[[#This Row],[DUT Ucty]])</f>
        <v>N/A</v>
      </c>
      <c r="Y1985" s="1" t="str">
        <f>IF(Table1[[#This Row],[Std Read]]="","N/A",Table1[[#This Row],[Std Read]]+Table1[[#This Row],[Std Ucty]])</f>
        <v>N/A</v>
      </c>
      <c r="Z19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5" s="1" t="str">
        <f>IF(Table1[[#This Row],[Spec Type]]="","N/A",Table1[[#This Row],[Spec Type]])</f>
        <v>±</v>
      </c>
      <c r="AC1985" s="1" t="str">
        <f>IF(Table1[[#This Row],[Spec Type2]]="N/A","N/A",IF(AND(Table1[[#This Row],[DUT Adj Read]]&gt;=Table1[[#This Row],[Low Tol]],Table1[[#This Row],[DUT Adj Read]]&lt;=Table1[[#This Row],[High Tol]]),"Pass","Fail"))</f>
        <v>Fail</v>
      </c>
      <c r="AD1985" s="1" t="str">
        <f>IF(AND(Table1[[#This Row],[Spec Type2]]="N/A",Table1[[#This Row],[DUT Adj Read]]="N/A",Table1[[#This Row],[Std Adj Read]]="N/A"),"N/A",IF(Table1[[#This Row],[DUT Adj Read]]="N/A",IF(Table1[[#This Row],[Std Adj Read]]&gt;Table1[[#This Row],[Low Tol]],"Pass","Fail"),IF(Table1[[#This Row],[DUT Adj Read]]&gt;Table1[[#This Row],[Low Tol]],"Pass","Fail")))</f>
        <v>Pass</v>
      </c>
      <c r="AE1985" s="1" t="str">
        <f>IF(AND(Table1[[#This Row],[Spec Type2]]="N/A",Table1[[#This Row],[DUT Adj Read]]="N/A",Table1[[#This Row],[Std Adj Read]]="N/A"),"N/A",IF(Table1[[#This Row],[DUT Adj Read]]="N/A",IF(Table1[[#This Row],[Std Adj Read]]&lt;Table1[[#This Row],[High Tol]],"Pass","Fail"),IF(Table1[[#This Row],[DUT Adj Read]]&lt;Table1[[#This Row],[High Tol]],"Pass","Fail")))</f>
        <v>Fail</v>
      </c>
      <c r="AF1985" s="1" t="str">
        <f>IF(AND(Table1[[#This Row],[Spec Type2]]="N/A",Table1[[#This Row],[DUT Adj Read]]="N/A",Table1[[#This Row],[Std Adj Read]]="N/A"),"N/A",IF(Table1[[#This Row],[DUT Adj Read]]="N/A",IF(Table1[[#This Row],[Std Adj Read]]&gt;=Table1[[#This Row],[Low Tol]],"Pass","Fail"),IF(Table1[[#This Row],[DUT Adj Read]]&gt;=Table1[[#This Row],[Low Tol]],"Pass","Fail")))</f>
        <v>Pass</v>
      </c>
      <c r="AG1985" s="1" t="str">
        <f>IF(AND(Table1[[#This Row],[Spec Type2]]="N/A",Table1[[#This Row],[DUT Adj Read]]="N/A",Table1[[#This Row],[Std Adj Read]]="N/A"),"N/A",IF(Table1[[#This Row],[DUT Adj Read]]="N/A",IF(Table1[[#This Row],[Std Adj Read]]&lt;=Table1[[#This Row],[High Tol]],"Pass","Fail"),IF(Table1[[#This Row],[DUT Adj Read]]&lt;=Table1[[#This Row],[High Tol]],"Pass","Fail")))</f>
        <v>Fail</v>
      </c>
      <c r="AH19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5" s="1" t="b">
        <v>0</v>
      </c>
      <c r="AN1985" s="1" t="b">
        <v>0</v>
      </c>
      <c r="AO1985" s="1" t="b">
        <v>0</v>
      </c>
    </row>
    <row r="1986" spans="1:41" x14ac:dyDescent="0.25">
      <c r="A1986" s="10"/>
      <c r="B1986" s="10"/>
      <c r="C1986" s="10"/>
      <c r="D1986" s="10"/>
      <c r="E1986" s="10"/>
      <c r="F1986" s="10"/>
      <c r="G1986" s="10"/>
      <c r="H1986" s="10"/>
      <c r="I1986" s="1" t="str">
        <f t="shared" si="90"/>
        <v/>
      </c>
      <c r="J1986" s="1" t="s">
        <v>35</v>
      </c>
      <c r="K1986" s="1" t="str">
        <f t="shared" si="91"/>
        <v/>
      </c>
      <c r="L1986" s="1" t="str">
        <f t="shared" si="92"/>
        <v/>
      </c>
      <c r="M1986" s="1">
        <f>IF(OR(Table1[[#This Row],[Std Nom]]="",Table1[[#This Row],[Std Read]]=""),0,Table1[[#This Row],[Std Nom]]-Table1[[#This Row],[Std Read]])</f>
        <v>0</v>
      </c>
      <c r="N1986" s="1">
        <f>IF(Calculations!$F$5="ACCREDITED 17025 WITH UNCERTAINTIES",$N$10,0)</f>
        <v>0</v>
      </c>
      <c r="O1986" s="1" t="str">
        <f>IFERROR(Table1[[#This Row],[Std Nom]]-(_xlfn.XLOOKUP(Table1[[#This Row],[Manufacturer]]&amp;" "&amp;Table1[[#This Row],[Model]],Table13[MFR &amp; MDL],Table13[Tolerance % CW ],"")/100*Table1[[#This Row],[Std Nom]]),"")</f>
        <v/>
      </c>
      <c r="P1986" s="1" t="str">
        <f>IFERROR(Table1[[#This Row],[Std Nom]]+(_xlfn.XLOOKUP(Table1[[#This Row],[Manufacturer]]&amp;" "&amp;Table1[[#This Row],[Model]],Table13[MFR &amp; MDL],Table13[Tolerance % CW ],"")/100*Table1[[#This Row],[Std Nom]]),"")</f>
        <v/>
      </c>
      <c r="Q1986" s="1" t="e">
        <f>Table1[[#This Row],[High Tol]]-Table1[[#This Row],[Low Tol]]</f>
        <v>#VALUE!</v>
      </c>
      <c r="R1986" s="1">
        <f>2*Table1[[#This Row],[Std Error]]</f>
        <v>0</v>
      </c>
      <c r="S1986" s="1" t="str">
        <f>IF(Table1[[#This Row],[High Tol]]="","N/A",IFERROR(ABS(Table1[[#This Row],[Tol Span]]/Table1[[#This Row],[Error Span]]),"N/A"))</f>
        <v>N/A</v>
      </c>
      <c r="T1986" s="1" t="str">
        <f>IF(OR(Table1[[#This Row],[Low Tol]]="",Table1[[#This Row],[High Tol]]=""),"Needs Analysis",IF(Table1[[#This Row],[Ratio]]&gt;=4,"Not Significant",IF(Table1[[#This Row],[Ratio]]&gt;=2,"Semi-Significant","Significant")))</f>
        <v>Needs Analysis</v>
      </c>
      <c r="W1986" s="1">
        <f>IF(Table1[[#This Row],[Cal Type]]&lt;&gt;"ACCREDITED 17025 WITH UNCERTAINTIES",0,"")</f>
        <v>0</v>
      </c>
      <c r="X1986" s="1" t="str">
        <f>IF(Table1[[#This Row],[DUT Read]]="","N/A",Table1[[#This Row],[Std Error]]+Table1[[#This Row],[DUT Read]]+Table1[[#This Row],[DUT Ucty]])</f>
        <v>N/A</v>
      </c>
      <c r="Y1986" s="1" t="str">
        <f>IF(Table1[[#This Row],[Std Read]]="","N/A",Table1[[#This Row],[Std Read]]+Table1[[#This Row],[Std Ucty]])</f>
        <v>N/A</v>
      </c>
      <c r="Z19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6" s="1" t="str">
        <f>IF(Table1[[#This Row],[Spec Type]]="","N/A",Table1[[#This Row],[Spec Type]])</f>
        <v>±</v>
      </c>
      <c r="AC1986" s="1" t="str">
        <f>IF(Table1[[#This Row],[Spec Type2]]="N/A","N/A",IF(AND(Table1[[#This Row],[DUT Adj Read]]&gt;=Table1[[#This Row],[Low Tol]],Table1[[#This Row],[DUT Adj Read]]&lt;=Table1[[#This Row],[High Tol]]),"Pass","Fail"))</f>
        <v>Fail</v>
      </c>
      <c r="AD1986" s="1" t="str">
        <f>IF(AND(Table1[[#This Row],[Spec Type2]]="N/A",Table1[[#This Row],[DUT Adj Read]]="N/A",Table1[[#This Row],[Std Adj Read]]="N/A"),"N/A",IF(Table1[[#This Row],[DUT Adj Read]]="N/A",IF(Table1[[#This Row],[Std Adj Read]]&gt;Table1[[#This Row],[Low Tol]],"Pass","Fail"),IF(Table1[[#This Row],[DUT Adj Read]]&gt;Table1[[#This Row],[Low Tol]],"Pass","Fail")))</f>
        <v>Pass</v>
      </c>
      <c r="AE1986" s="1" t="str">
        <f>IF(AND(Table1[[#This Row],[Spec Type2]]="N/A",Table1[[#This Row],[DUT Adj Read]]="N/A",Table1[[#This Row],[Std Adj Read]]="N/A"),"N/A",IF(Table1[[#This Row],[DUT Adj Read]]="N/A",IF(Table1[[#This Row],[Std Adj Read]]&lt;Table1[[#This Row],[High Tol]],"Pass","Fail"),IF(Table1[[#This Row],[DUT Adj Read]]&lt;Table1[[#This Row],[High Tol]],"Pass","Fail")))</f>
        <v>Fail</v>
      </c>
      <c r="AF1986" s="1" t="str">
        <f>IF(AND(Table1[[#This Row],[Spec Type2]]="N/A",Table1[[#This Row],[DUT Adj Read]]="N/A",Table1[[#This Row],[Std Adj Read]]="N/A"),"N/A",IF(Table1[[#This Row],[DUT Adj Read]]="N/A",IF(Table1[[#This Row],[Std Adj Read]]&gt;=Table1[[#This Row],[Low Tol]],"Pass","Fail"),IF(Table1[[#This Row],[DUT Adj Read]]&gt;=Table1[[#This Row],[Low Tol]],"Pass","Fail")))</f>
        <v>Pass</v>
      </c>
      <c r="AG1986" s="1" t="str">
        <f>IF(AND(Table1[[#This Row],[Spec Type2]]="N/A",Table1[[#This Row],[DUT Adj Read]]="N/A",Table1[[#This Row],[Std Adj Read]]="N/A"),"N/A",IF(Table1[[#This Row],[DUT Adj Read]]="N/A",IF(Table1[[#This Row],[Std Adj Read]]&lt;=Table1[[#This Row],[High Tol]],"Pass","Fail"),IF(Table1[[#This Row],[DUT Adj Read]]&lt;=Table1[[#This Row],[High Tol]],"Pass","Fail")))</f>
        <v>Fail</v>
      </c>
      <c r="AH19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6" s="1" t="b">
        <v>0</v>
      </c>
      <c r="AN1986" s="1" t="b">
        <v>0</v>
      </c>
      <c r="AO1986" s="1" t="b">
        <v>0</v>
      </c>
    </row>
    <row r="1987" spans="1:41" x14ac:dyDescent="0.25">
      <c r="A1987" s="10"/>
      <c r="B1987" s="10"/>
      <c r="C1987" s="10"/>
      <c r="D1987" s="10"/>
      <c r="E1987" s="10"/>
      <c r="F1987" s="10"/>
      <c r="G1987" s="10"/>
      <c r="H1987" s="10"/>
      <c r="I1987" s="1" t="str">
        <f t="shared" si="90"/>
        <v/>
      </c>
      <c r="J1987" s="1" t="s">
        <v>35</v>
      </c>
      <c r="K1987" s="1" t="str">
        <f t="shared" si="91"/>
        <v/>
      </c>
      <c r="L1987" s="1" t="str">
        <f t="shared" si="92"/>
        <v/>
      </c>
      <c r="M1987" s="1">
        <f>IF(OR(Table1[[#This Row],[Std Nom]]="",Table1[[#This Row],[Std Read]]=""),0,Table1[[#This Row],[Std Nom]]-Table1[[#This Row],[Std Read]])</f>
        <v>0</v>
      </c>
      <c r="N1987" s="1">
        <f>IF(Calculations!$F$5="ACCREDITED 17025 WITH UNCERTAINTIES",$N$10,0)</f>
        <v>0</v>
      </c>
      <c r="O1987" s="1" t="str">
        <f>IFERROR(Table1[[#This Row],[Std Nom]]-(_xlfn.XLOOKUP(Table1[[#This Row],[Manufacturer]]&amp;" "&amp;Table1[[#This Row],[Model]],Table13[MFR &amp; MDL],Table13[Tolerance % CW ],"")/100*Table1[[#This Row],[Std Nom]]),"")</f>
        <v/>
      </c>
      <c r="P1987" s="1" t="str">
        <f>IFERROR(Table1[[#This Row],[Std Nom]]+(_xlfn.XLOOKUP(Table1[[#This Row],[Manufacturer]]&amp;" "&amp;Table1[[#This Row],[Model]],Table13[MFR &amp; MDL],Table13[Tolerance % CW ],"")/100*Table1[[#This Row],[Std Nom]]),"")</f>
        <v/>
      </c>
      <c r="Q1987" s="1" t="e">
        <f>Table1[[#This Row],[High Tol]]-Table1[[#This Row],[Low Tol]]</f>
        <v>#VALUE!</v>
      </c>
      <c r="R1987" s="1">
        <f>2*Table1[[#This Row],[Std Error]]</f>
        <v>0</v>
      </c>
      <c r="S1987" s="1" t="str">
        <f>IF(Table1[[#This Row],[High Tol]]="","N/A",IFERROR(ABS(Table1[[#This Row],[Tol Span]]/Table1[[#This Row],[Error Span]]),"N/A"))</f>
        <v>N/A</v>
      </c>
      <c r="T1987" s="1" t="str">
        <f>IF(OR(Table1[[#This Row],[Low Tol]]="",Table1[[#This Row],[High Tol]]=""),"Needs Analysis",IF(Table1[[#This Row],[Ratio]]&gt;=4,"Not Significant",IF(Table1[[#This Row],[Ratio]]&gt;=2,"Semi-Significant","Significant")))</f>
        <v>Needs Analysis</v>
      </c>
      <c r="W1987" s="1">
        <f>IF(Table1[[#This Row],[Cal Type]]&lt;&gt;"ACCREDITED 17025 WITH UNCERTAINTIES",0,"")</f>
        <v>0</v>
      </c>
      <c r="X1987" s="1" t="str">
        <f>IF(Table1[[#This Row],[DUT Read]]="","N/A",Table1[[#This Row],[Std Error]]+Table1[[#This Row],[DUT Read]]+Table1[[#This Row],[DUT Ucty]])</f>
        <v>N/A</v>
      </c>
      <c r="Y1987" s="1" t="str">
        <f>IF(Table1[[#This Row],[Std Read]]="","N/A",Table1[[#This Row],[Std Read]]+Table1[[#This Row],[Std Ucty]])</f>
        <v>N/A</v>
      </c>
      <c r="Z19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7" s="1" t="str">
        <f>IF(Table1[[#This Row],[Spec Type]]="","N/A",Table1[[#This Row],[Spec Type]])</f>
        <v>±</v>
      </c>
      <c r="AC1987" s="1" t="str">
        <f>IF(Table1[[#This Row],[Spec Type2]]="N/A","N/A",IF(AND(Table1[[#This Row],[DUT Adj Read]]&gt;=Table1[[#This Row],[Low Tol]],Table1[[#This Row],[DUT Adj Read]]&lt;=Table1[[#This Row],[High Tol]]),"Pass","Fail"))</f>
        <v>Fail</v>
      </c>
      <c r="AD1987" s="1" t="str">
        <f>IF(AND(Table1[[#This Row],[Spec Type2]]="N/A",Table1[[#This Row],[DUT Adj Read]]="N/A",Table1[[#This Row],[Std Adj Read]]="N/A"),"N/A",IF(Table1[[#This Row],[DUT Adj Read]]="N/A",IF(Table1[[#This Row],[Std Adj Read]]&gt;Table1[[#This Row],[Low Tol]],"Pass","Fail"),IF(Table1[[#This Row],[DUT Adj Read]]&gt;Table1[[#This Row],[Low Tol]],"Pass","Fail")))</f>
        <v>Pass</v>
      </c>
      <c r="AE1987" s="1" t="str">
        <f>IF(AND(Table1[[#This Row],[Spec Type2]]="N/A",Table1[[#This Row],[DUT Adj Read]]="N/A",Table1[[#This Row],[Std Adj Read]]="N/A"),"N/A",IF(Table1[[#This Row],[DUT Adj Read]]="N/A",IF(Table1[[#This Row],[Std Adj Read]]&lt;Table1[[#This Row],[High Tol]],"Pass","Fail"),IF(Table1[[#This Row],[DUT Adj Read]]&lt;Table1[[#This Row],[High Tol]],"Pass","Fail")))</f>
        <v>Fail</v>
      </c>
      <c r="AF1987" s="1" t="str">
        <f>IF(AND(Table1[[#This Row],[Spec Type2]]="N/A",Table1[[#This Row],[DUT Adj Read]]="N/A",Table1[[#This Row],[Std Adj Read]]="N/A"),"N/A",IF(Table1[[#This Row],[DUT Adj Read]]="N/A",IF(Table1[[#This Row],[Std Adj Read]]&gt;=Table1[[#This Row],[Low Tol]],"Pass","Fail"),IF(Table1[[#This Row],[DUT Adj Read]]&gt;=Table1[[#This Row],[Low Tol]],"Pass","Fail")))</f>
        <v>Pass</v>
      </c>
      <c r="AG1987" s="1" t="str">
        <f>IF(AND(Table1[[#This Row],[Spec Type2]]="N/A",Table1[[#This Row],[DUT Adj Read]]="N/A",Table1[[#This Row],[Std Adj Read]]="N/A"),"N/A",IF(Table1[[#This Row],[DUT Adj Read]]="N/A",IF(Table1[[#This Row],[Std Adj Read]]&lt;=Table1[[#This Row],[High Tol]],"Pass","Fail"),IF(Table1[[#This Row],[DUT Adj Read]]&lt;=Table1[[#This Row],[High Tol]],"Pass","Fail")))</f>
        <v>Fail</v>
      </c>
      <c r="AH19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7" s="1" t="b">
        <v>0</v>
      </c>
      <c r="AN1987" s="1" t="b">
        <v>0</v>
      </c>
      <c r="AO1987" s="1" t="b">
        <v>0</v>
      </c>
    </row>
    <row r="1988" spans="1:41" x14ac:dyDescent="0.25">
      <c r="A1988" s="10"/>
      <c r="B1988" s="10"/>
      <c r="C1988" s="10"/>
      <c r="D1988" s="10"/>
      <c r="E1988" s="10"/>
      <c r="F1988" s="10"/>
      <c r="G1988" s="10"/>
      <c r="H1988" s="10"/>
      <c r="I1988" s="1" t="str">
        <f t="shared" si="90"/>
        <v/>
      </c>
      <c r="J1988" s="1" t="s">
        <v>35</v>
      </c>
      <c r="K1988" s="1" t="str">
        <f t="shared" si="91"/>
        <v/>
      </c>
      <c r="L1988" s="1" t="str">
        <f t="shared" si="92"/>
        <v/>
      </c>
      <c r="M1988" s="1">
        <f>IF(OR(Table1[[#This Row],[Std Nom]]="",Table1[[#This Row],[Std Read]]=""),0,Table1[[#This Row],[Std Nom]]-Table1[[#This Row],[Std Read]])</f>
        <v>0</v>
      </c>
      <c r="N1988" s="1">
        <f>IF(Calculations!$F$5="ACCREDITED 17025 WITH UNCERTAINTIES",$N$10,0)</f>
        <v>0</v>
      </c>
      <c r="O1988" s="1" t="str">
        <f>IFERROR(Table1[[#This Row],[Std Nom]]-(_xlfn.XLOOKUP(Table1[[#This Row],[Manufacturer]]&amp;" "&amp;Table1[[#This Row],[Model]],Table13[MFR &amp; MDL],Table13[Tolerance % CW ],"")/100*Table1[[#This Row],[Std Nom]]),"")</f>
        <v/>
      </c>
      <c r="P1988" s="1" t="str">
        <f>IFERROR(Table1[[#This Row],[Std Nom]]+(_xlfn.XLOOKUP(Table1[[#This Row],[Manufacturer]]&amp;" "&amp;Table1[[#This Row],[Model]],Table13[MFR &amp; MDL],Table13[Tolerance % CW ],"")/100*Table1[[#This Row],[Std Nom]]),"")</f>
        <v/>
      </c>
      <c r="Q1988" s="1" t="e">
        <f>Table1[[#This Row],[High Tol]]-Table1[[#This Row],[Low Tol]]</f>
        <v>#VALUE!</v>
      </c>
      <c r="R1988" s="1">
        <f>2*Table1[[#This Row],[Std Error]]</f>
        <v>0</v>
      </c>
      <c r="S1988" s="1" t="str">
        <f>IF(Table1[[#This Row],[High Tol]]="","N/A",IFERROR(ABS(Table1[[#This Row],[Tol Span]]/Table1[[#This Row],[Error Span]]),"N/A"))</f>
        <v>N/A</v>
      </c>
      <c r="T1988" s="1" t="str">
        <f>IF(OR(Table1[[#This Row],[Low Tol]]="",Table1[[#This Row],[High Tol]]=""),"Needs Analysis",IF(Table1[[#This Row],[Ratio]]&gt;=4,"Not Significant",IF(Table1[[#This Row],[Ratio]]&gt;=2,"Semi-Significant","Significant")))</f>
        <v>Needs Analysis</v>
      </c>
      <c r="W1988" s="1">
        <f>IF(Table1[[#This Row],[Cal Type]]&lt;&gt;"ACCREDITED 17025 WITH UNCERTAINTIES",0,"")</f>
        <v>0</v>
      </c>
      <c r="X1988" s="1" t="str">
        <f>IF(Table1[[#This Row],[DUT Read]]="","N/A",Table1[[#This Row],[Std Error]]+Table1[[#This Row],[DUT Read]]+Table1[[#This Row],[DUT Ucty]])</f>
        <v>N/A</v>
      </c>
      <c r="Y1988" s="1" t="str">
        <f>IF(Table1[[#This Row],[Std Read]]="","N/A",Table1[[#This Row],[Std Read]]+Table1[[#This Row],[Std Ucty]])</f>
        <v>N/A</v>
      </c>
      <c r="Z19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8" s="1" t="str">
        <f>IF(Table1[[#This Row],[Spec Type]]="","N/A",Table1[[#This Row],[Spec Type]])</f>
        <v>±</v>
      </c>
      <c r="AC1988" s="1" t="str">
        <f>IF(Table1[[#This Row],[Spec Type2]]="N/A","N/A",IF(AND(Table1[[#This Row],[DUT Adj Read]]&gt;=Table1[[#This Row],[Low Tol]],Table1[[#This Row],[DUT Adj Read]]&lt;=Table1[[#This Row],[High Tol]]),"Pass","Fail"))</f>
        <v>Fail</v>
      </c>
      <c r="AD1988" s="1" t="str">
        <f>IF(AND(Table1[[#This Row],[Spec Type2]]="N/A",Table1[[#This Row],[DUT Adj Read]]="N/A",Table1[[#This Row],[Std Adj Read]]="N/A"),"N/A",IF(Table1[[#This Row],[DUT Adj Read]]="N/A",IF(Table1[[#This Row],[Std Adj Read]]&gt;Table1[[#This Row],[Low Tol]],"Pass","Fail"),IF(Table1[[#This Row],[DUT Adj Read]]&gt;Table1[[#This Row],[Low Tol]],"Pass","Fail")))</f>
        <v>Pass</v>
      </c>
      <c r="AE1988" s="1" t="str">
        <f>IF(AND(Table1[[#This Row],[Spec Type2]]="N/A",Table1[[#This Row],[DUT Adj Read]]="N/A",Table1[[#This Row],[Std Adj Read]]="N/A"),"N/A",IF(Table1[[#This Row],[DUT Adj Read]]="N/A",IF(Table1[[#This Row],[Std Adj Read]]&lt;Table1[[#This Row],[High Tol]],"Pass","Fail"),IF(Table1[[#This Row],[DUT Adj Read]]&lt;Table1[[#This Row],[High Tol]],"Pass","Fail")))</f>
        <v>Fail</v>
      </c>
      <c r="AF1988" s="1" t="str">
        <f>IF(AND(Table1[[#This Row],[Spec Type2]]="N/A",Table1[[#This Row],[DUT Adj Read]]="N/A",Table1[[#This Row],[Std Adj Read]]="N/A"),"N/A",IF(Table1[[#This Row],[DUT Adj Read]]="N/A",IF(Table1[[#This Row],[Std Adj Read]]&gt;=Table1[[#This Row],[Low Tol]],"Pass","Fail"),IF(Table1[[#This Row],[DUT Adj Read]]&gt;=Table1[[#This Row],[Low Tol]],"Pass","Fail")))</f>
        <v>Pass</v>
      </c>
      <c r="AG1988" s="1" t="str">
        <f>IF(AND(Table1[[#This Row],[Spec Type2]]="N/A",Table1[[#This Row],[DUT Adj Read]]="N/A",Table1[[#This Row],[Std Adj Read]]="N/A"),"N/A",IF(Table1[[#This Row],[DUT Adj Read]]="N/A",IF(Table1[[#This Row],[Std Adj Read]]&lt;=Table1[[#This Row],[High Tol]],"Pass","Fail"),IF(Table1[[#This Row],[DUT Adj Read]]&lt;=Table1[[#This Row],[High Tol]],"Pass","Fail")))</f>
        <v>Fail</v>
      </c>
      <c r="AH19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8" s="1" t="b">
        <v>0</v>
      </c>
      <c r="AN1988" s="1" t="b">
        <v>0</v>
      </c>
      <c r="AO1988" s="1" t="b">
        <v>0</v>
      </c>
    </row>
    <row r="1989" spans="1:41" x14ac:dyDescent="0.25">
      <c r="A1989" s="10"/>
      <c r="B1989" s="10"/>
      <c r="C1989" s="10"/>
      <c r="D1989" s="10"/>
      <c r="E1989" s="10"/>
      <c r="F1989" s="10"/>
      <c r="G1989" s="10"/>
      <c r="H1989" s="10"/>
      <c r="I1989" s="1" t="str">
        <f t="shared" si="90"/>
        <v/>
      </c>
      <c r="J1989" s="1" t="s">
        <v>35</v>
      </c>
      <c r="K1989" s="1" t="str">
        <f t="shared" si="91"/>
        <v/>
      </c>
      <c r="L1989" s="1" t="str">
        <f t="shared" si="92"/>
        <v/>
      </c>
      <c r="M1989" s="1">
        <f>IF(OR(Table1[[#This Row],[Std Nom]]="",Table1[[#This Row],[Std Read]]=""),0,Table1[[#This Row],[Std Nom]]-Table1[[#This Row],[Std Read]])</f>
        <v>0</v>
      </c>
      <c r="N1989" s="1">
        <f>IF(Calculations!$F$5="ACCREDITED 17025 WITH UNCERTAINTIES",$N$10,0)</f>
        <v>0</v>
      </c>
      <c r="O1989" s="1" t="str">
        <f>IFERROR(Table1[[#This Row],[Std Nom]]-(_xlfn.XLOOKUP(Table1[[#This Row],[Manufacturer]]&amp;" "&amp;Table1[[#This Row],[Model]],Table13[MFR &amp; MDL],Table13[Tolerance % CW ],"")/100*Table1[[#This Row],[Std Nom]]),"")</f>
        <v/>
      </c>
      <c r="P1989" s="1" t="str">
        <f>IFERROR(Table1[[#This Row],[Std Nom]]+(_xlfn.XLOOKUP(Table1[[#This Row],[Manufacturer]]&amp;" "&amp;Table1[[#This Row],[Model]],Table13[MFR &amp; MDL],Table13[Tolerance % CW ],"")/100*Table1[[#This Row],[Std Nom]]),"")</f>
        <v/>
      </c>
      <c r="Q1989" s="1" t="e">
        <f>Table1[[#This Row],[High Tol]]-Table1[[#This Row],[Low Tol]]</f>
        <v>#VALUE!</v>
      </c>
      <c r="R1989" s="1">
        <f>2*Table1[[#This Row],[Std Error]]</f>
        <v>0</v>
      </c>
      <c r="S1989" s="1" t="str">
        <f>IF(Table1[[#This Row],[High Tol]]="","N/A",IFERROR(ABS(Table1[[#This Row],[Tol Span]]/Table1[[#This Row],[Error Span]]),"N/A"))</f>
        <v>N/A</v>
      </c>
      <c r="T1989" s="1" t="str">
        <f>IF(OR(Table1[[#This Row],[Low Tol]]="",Table1[[#This Row],[High Tol]]=""),"Needs Analysis",IF(Table1[[#This Row],[Ratio]]&gt;=4,"Not Significant",IF(Table1[[#This Row],[Ratio]]&gt;=2,"Semi-Significant","Significant")))</f>
        <v>Needs Analysis</v>
      </c>
      <c r="W1989" s="1">
        <f>IF(Table1[[#This Row],[Cal Type]]&lt;&gt;"ACCREDITED 17025 WITH UNCERTAINTIES",0,"")</f>
        <v>0</v>
      </c>
      <c r="X1989" s="1" t="str">
        <f>IF(Table1[[#This Row],[DUT Read]]="","N/A",Table1[[#This Row],[Std Error]]+Table1[[#This Row],[DUT Read]]+Table1[[#This Row],[DUT Ucty]])</f>
        <v>N/A</v>
      </c>
      <c r="Y1989" s="1" t="str">
        <f>IF(Table1[[#This Row],[Std Read]]="","N/A",Table1[[#This Row],[Std Read]]+Table1[[#This Row],[Std Ucty]])</f>
        <v>N/A</v>
      </c>
      <c r="Z19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9" s="1" t="str">
        <f>IF(Table1[[#This Row],[Spec Type]]="","N/A",Table1[[#This Row],[Spec Type]])</f>
        <v>±</v>
      </c>
      <c r="AC1989" s="1" t="str">
        <f>IF(Table1[[#This Row],[Spec Type2]]="N/A","N/A",IF(AND(Table1[[#This Row],[DUT Adj Read]]&gt;=Table1[[#This Row],[Low Tol]],Table1[[#This Row],[DUT Adj Read]]&lt;=Table1[[#This Row],[High Tol]]),"Pass","Fail"))</f>
        <v>Fail</v>
      </c>
      <c r="AD1989" s="1" t="str">
        <f>IF(AND(Table1[[#This Row],[Spec Type2]]="N/A",Table1[[#This Row],[DUT Adj Read]]="N/A",Table1[[#This Row],[Std Adj Read]]="N/A"),"N/A",IF(Table1[[#This Row],[DUT Adj Read]]="N/A",IF(Table1[[#This Row],[Std Adj Read]]&gt;Table1[[#This Row],[Low Tol]],"Pass","Fail"),IF(Table1[[#This Row],[DUT Adj Read]]&gt;Table1[[#This Row],[Low Tol]],"Pass","Fail")))</f>
        <v>Pass</v>
      </c>
      <c r="AE1989" s="1" t="str">
        <f>IF(AND(Table1[[#This Row],[Spec Type2]]="N/A",Table1[[#This Row],[DUT Adj Read]]="N/A",Table1[[#This Row],[Std Adj Read]]="N/A"),"N/A",IF(Table1[[#This Row],[DUT Adj Read]]="N/A",IF(Table1[[#This Row],[Std Adj Read]]&lt;Table1[[#This Row],[High Tol]],"Pass","Fail"),IF(Table1[[#This Row],[DUT Adj Read]]&lt;Table1[[#This Row],[High Tol]],"Pass","Fail")))</f>
        <v>Fail</v>
      </c>
      <c r="AF1989" s="1" t="str">
        <f>IF(AND(Table1[[#This Row],[Spec Type2]]="N/A",Table1[[#This Row],[DUT Adj Read]]="N/A",Table1[[#This Row],[Std Adj Read]]="N/A"),"N/A",IF(Table1[[#This Row],[DUT Adj Read]]="N/A",IF(Table1[[#This Row],[Std Adj Read]]&gt;=Table1[[#This Row],[Low Tol]],"Pass","Fail"),IF(Table1[[#This Row],[DUT Adj Read]]&gt;=Table1[[#This Row],[Low Tol]],"Pass","Fail")))</f>
        <v>Pass</v>
      </c>
      <c r="AG1989" s="1" t="str">
        <f>IF(AND(Table1[[#This Row],[Spec Type2]]="N/A",Table1[[#This Row],[DUT Adj Read]]="N/A",Table1[[#This Row],[Std Adj Read]]="N/A"),"N/A",IF(Table1[[#This Row],[DUT Adj Read]]="N/A",IF(Table1[[#This Row],[Std Adj Read]]&lt;=Table1[[#This Row],[High Tol]],"Pass","Fail"),IF(Table1[[#This Row],[DUT Adj Read]]&lt;=Table1[[#This Row],[High Tol]],"Pass","Fail")))</f>
        <v>Fail</v>
      </c>
      <c r="AH19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9" s="1" t="b">
        <v>0</v>
      </c>
      <c r="AN1989" s="1" t="b">
        <v>0</v>
      </c>
      <c r="AO1989" s="1" t="b">
        <v>0</v>
      </c>
    </row>
    <row r="1990" spans="1:41" x14ac:dyDescent="0.25">
      <c r="A1990" s="10"/>
      <c r="B1990" s="10"/>
      <c r="C1990" s="10"/>
      <c r="D1990" s="10"/>
      <c r="E1990" s="10"/>
      <c r="F1990" s="10"/>
      <c r="G1990" s="10"/>
      <c r="H1990" s="10"/>
      <c r="I1990" s="1" t="str">
        <f t="shared" si="90"/>
        <v/>
      </c>
      <c r="J1990" s="1" t="s">
        <v>35</v>
      </c>
      <c r="K1990" s="1" t="str">
        <f t="shared" si="91"/>
        <v/>
      </c>
      <c r="L1990" s="1" t="str">
        <f t="shared" si="92"/>
        <v/>
      </c>
      <c r="M1990" s="1">
        <f>IF(OR(Table1[[#This Row],[Std Nom]]="",Table1[[#This Row],[Std Read]]=""),0,Table1[[#This Row],[Std Nom]]-Table1[[#This Row],[Std Read]])</f>
        <v>0</v>
      </c>
      <c r="N1990" s="1">
        <f>IF(Calculations!$F$5="ACCREDITED 17025 WITH UNCERTAINTIES",$N$10,0)</f>
        <v>0</v>
      </c>
      <c r="O1990" s="1" t="str">
        <f>IFERROR(Table1[[#This Row],[Std Nom]]-(_xlfn.XLOOKUP(Table1[[#This Row],[Manufacturer]]&amp;" "&amp;Table1[[#This Row],[Model]],Table13[MFR &amp; MDL],Table13[Tolerance % CW ],"")/100*Table1[[#This Row],[Std Nom]]),"")</f>
        <v/>
      </c>
      <c r="P1990" s="1" t="str">
        <f>IFERROR(Table1[[#This Row],[Std Nom]]+(_xlfn.XLOOKUP(Table1[[#This Row],[Manufacturer]]&amp;" "&amp;Table1[[#This Row],[Model]],Table13[MFR &amp; MDL],Table13[Tolerance % CW ],"")/100*Table1[[#This Row],[Std Nom]]),"")</f>
        <v/>
      </c>
      <c r="Q1990" s="1" t="e">
        <f>Table1[[#This Row],[High Tol]]-Table1[[#This Row],[Low Tol]]</f>
        <v>#VALUE!</v>
      </c>
      <c r="R1990" s="1">
        <f>2*Table1[[#This Row],[Std Error]]</f>
        <v>0</v>
      </c>
      <c r="S1990" s="1" t="str">
        <f>IF(Table1[[#This Row],[High Tol]]="","N/A",IFERROR(ABS(Table1[[#This Row],[Tol Span]]/Table1[[#This Row],[Error Span]]),"N/A"))</f>
        <v>N/A</v>
      </c>
      <c r="T1990" s="1" t="str">
        <f>IF(OR(Table1[[#This Row],[Low Tol]]="",Table1[[#This Row],[High Tol]]=""),"Needs Analysis",IF(Table1[[#This Row],[Ratio]]&gt;=4,"Not Significant",IF(Table1[[#This Row],[Ratio]]&gt;=2,"Semi-Significant","Significant")))</f>
        <v>Needs Analysis</v>
      </c>
      <c r="W1990" s="1">
        <f>IF(Table1[[#This Row],[Cal Type]]&lt;&gt;"ACCREDITED 17025 WITH UNCERTAINTIES",0,"")</f>
        <v>0</v>
      </c>
      <c r="X1990" s="1" t="str">
        <f>IF(Table1[[#This Row],[DUT Read]]="","N/A",Table1[[#This Row],[Std Error]]+Table1[[#This Row],[DUT Read]]+Table1[[#This Row],[DUT Ucty]])</f>
        <v>N/A</v>
      </c>
      <c r="Y1990" s="1" t="str">
        <f>IF(Table1[[#This Row],[Std Read]]="","N/A",Table1[[#This Row],[Std Read]]+Table1[[#This Row],[Std Ucty]])</f>
        <v>N/A</v>
      </c>
      <c r="Z19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0" s="1" t="str">
        <f>IF(Table1[[#This Row],[Spec Type]]="","N/A",Table1[[#This Row],[Spec Type]])</f>
        <v>±</v>
      </c>
      <c r="AC1990" s="1" t="str">
        <f>IF(Table1[[#This Row],[Spec Type2]]="N/A","N/A",IF(AND(Table1[[#This Row],[DUT Adj Read]]&gt;=Table1[[#This Row],[Low Tol]],Table1[[#This Row],[DUT Adj Read]]&lt;=Table1[[#This Row],[High Tol]]),"Pass","Fail"))</f>
        <v>Fail</v>
      </c>
      <c r="AD1990" s="1" t="str">
        <f>IF(AND(Table1[[#This Row],[Spec Type2]]="N/A",Table1[[#This Row],[DUT Adj Read]]="N/A",Table1[[#This Row],[Std Adj Read]]="N/A"),"N/A",IF(Table1[[#This Row],[DUT Adj Read]]="N/A",IF(Table1[[#This Row],[Std Adj Read]]&gt;Table1[[#This Row],[Low Tol]],"Pass","Fail"),IF(Table1[[#This Row],[DUT Adj Read]]&gt;Table1[[#This Row],[Low Tol]],"Pass","Fail")))</f>
        <v>Pass</v>
      </c>
      <c r="AE1990" s="1" t="str">
        <f>IF(AND(Table1[[#This Row],[Spec Type2]]="N/A",Table1[[#This Row],[DUT Adj Read]]="N/A",Table1[[#This Row],[Std Adj Read]]="N/A"),"N/A",IF(Table1[[#This Row],[DUT Adj Read]]="N/A",IF(Table1[[#This Row],[Std Adj Read]]&lt;Table1[[#This Row],[High Tol]],"Pass","Fail"),IF(Table1[[#This Row],[DUT Adj Read]]&lt;Table1[[#This Row],[High Tol]],"Pass","Fail")))</f>
        <v>Fail</v>
      </c>
      <c r="AF1990" s="1" t="str">
        <f>IF(AND(Table1[[#This Row],[Spec Type2]]="N/A",Table1[[#This Row],[DUT Adj Read]]="N/A",Table1[[#This Row],[Std Adj Read]]="N/A"),"N/A",IF(Table1[[#This Row],[DUT Adj Read]]="N/A",IF(Table1[[#This Row],[Std Adj Read]]&gt;=Table1[[#This Row],[Low Tol]],"Pass","Fail"),IF(Table1[[#This Row],[DUT Adj Read]]&gt;=Table1[[#This Row],[Low Tol]],"Pass","Fail")))</f>
        <v>Pass</v>
      </c>
      <c r="AG1990" s="1" t="str">
        <f>IF(AND(Table1[[#This Row],[Spec Type2]]="N/A",Table1[[#This Row],[DUT Adj Read]]="N/A",Table1[[#This Row],[Std Adj Read]]="N/A"),"N/A",IF(Table1[[#This Row],[DUT Adj Read]]="N/A",IF(Table1[[#This Row],[Std Adj Read]]&lt;=Table1[[#This Row],[High Tol]],"Pass","Fail"),IF(Table1[[#This Row],[DUT Adj Read]]&lt;=Table1[[#This Row],[High Tol]],"Pass","Fail")))</f>
        <v>Fail</v>
      </c>
      <c r="AH19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0" s="1" t="b">
        <v>0</v>
      </c>
      <c r="AN1990" s="1" t="b">
        <v>0</v>
      </c>
      <c r="AO1990" s="1" t="b">
        <v>0</v>
      </c>
    </row>
    <row r="1991" spans="1:41" x14ac:dyDescent="0.25">
      <c r="A1991" s="10"/>
      <c r="B1991" s="10"/>
      <c r="C1991" s="10"/>
      <c r="D1991" s="10"/>
      <c r="E1991" s="10"/>
      <c r="F1991" s="10"/>
      <c r="G1991" s="10"/>
      <c r="H1991" s="10"/>
      <c r="I1991" s="1" t="str">
        <f t="shared" si="90"/>
        <v/>
      </c>
      <c r="J1991" s="1" t="s">
        <v>35</v>
      </c>
      <c r="K1991" s="1" t="str">
        <f t="shared" si="91"/>
        <v/>
      </c>
      <c r="L1991" s="1" t="str">
        <f t="shared" si="92"/>
        <v/>
      </c>
      <c r="M1991" s="1">
        <f>IF(OR(Table1[[#This Row],[Std Nom]]="",Table1[[#This Row],[Std Read]]=""),0,Table1[[#This Row],[Std Nom]]-Table1[[#This Row],[Std Read]])</f>
        <v>0</v>
      </c>
      <c r="N1991" s="1">
        <f>IF(Calculations!$F$5="ACCREDITED 17025 WITH UNCERTAINTIES",$N$10,0)</f>
        <v>0</v>
      </c>
      <c r="O1991" s="1" t="str">
        <f>IFERROR(Table1[[#This Row],[Std Nom]]-(_xlfn.XLOOKUP(Table1[[#This Row],[Manufacturer]]&amp;" "&amp;Table1[[#This Row],[Model]],Table13[MFR &amp; MDL],Table13[Tolerance % CW ],"")/100*Table1[[#This Row],[Std Nom]]),"")</f>
        <v/>
      </c>
      <c r="P1991" s="1" t="str">
        <f>IFERROR(Table1[[#This Row],[Std Nom]]+(_xlfn.XLOOKUP(Table1[[#This Row],[Manufacturer]]&amp;" "&amp;Table1[[#This Row],[Model]],Table13[MFR &amp; MDL],Table13[Tolerance % CW ],"")/100*Table1[[#This Row],[Std Nom]]),"")</f>
        <v/>
      </c>
      <c r="Q1991" s="1" t="e">
        <f>Table1[[#This Row],[High Tol]]-Table1[[#This Row],[Low Tol]]</f>
        <v>#VALUE!</v>
      </c>
      <c r="R1991" s="1">
        <f>2*Table1[[#This Row],[Std Error]]</f>
        <v>0</v>
      </c>
      <c r="S1991" s="1" t="str">
        <f>IF(Table1[[#This Row],[High Tol]]="","N/A",IFERROR(ABS(Table1[[#This Row],[Tol Span]]/Table1[[#This Row],[Error Span]]),"N/A"))</f>
        <v>N/A</v>
      </c>
      <c r="T1991" s="1" t="str">
        <f>IF(OR(Table1[[#This Row],[Low Tol]]="",Table1[[#This Row],[High Tol]]=""),"Needs Analysis",IF(Table1[[#This Row],[Ratio]]&gt;=4,"Not Significant",IF(Table1[[#This Row],[Ratio]]&gt;=2,"Semi-Significant","Significant")))</f>
        <v>Needs Analysis</v>
      </c>
      <c r="W1991" s="1">
        <f>IF(Table1[[#This Row],[Cal Type]]&lt;&gt;"ACCREDITED 17025 WITH UNCERTAINTIES",0,"")</f>
        <v>0</v>
      </c>
      <c r="X1991" s="1" t="str">
        <f>IF(Table1[[#This Row],[DUT Read]]="","N/A",Table1[[#This Row],[Std Error]]+Table1[[#This Row],[DUT Read]]+Table1[[#This Row],[DUT Ucty]])</f>
        <v>N/A</v>
      </c>
      <c r="Y1991" s="1" t="str">
        <f>IF(Table1[[#This Row],[Std Read]]="","N/A",Table1[[#This Row],[Std Read]]+Table1[[#This Row],[Std Ucty]])</f>
        <v>N/A</v>
      </c>
      <c r="Z19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1" s="1" t="str">
        <f>IF(Table1[[#This Row],[Spec Type]]="","N/A",Table1[[#This Row],[Spec Type]])</f>
        <v>±</v>
      </c>
      <c r="AC1991" s="1" t="str">
        <f>IF(Table1[[#This Row],[Spec Type2]]="N/A","N/A",IF(AND(Table1[[#This Row],[DUT Adj Read]]&gt;=Table1[[#This Row],[Low Tol]],Table1[[#This Row],[DUT Adj Read]]&lt;=Table1[[#This Row],[High Tol]]),"Pass","Fail"))</f>
        <v>Fail</v>
      </c>
      <c r="AD1991" s="1" t="str">
        <f>IF(AND(Table1[[#This Row],[Spec Type2]]="N/A",Table1[[#This Row],[DUT Adj Read]]="N/A",Table1[[#This Row],[Std Adj Read]]="N/A"),"N/A",IF(Table1[[#This Row],[DUT Adj Read]]="N/A",IF(Table1[[#This Row],[Std Adj Read]]&gt;Table1[[#This Row],[Low Tol]],"Pass","Fail"),IF(Table1[[#This Row],[DUT Adj Read]]&gt;Table1[[#This Row],[Low Tol]],"Pass","Fail")))</f>
        <v>Pass</v>
      </c>
      <c r="AE1991" s="1" t="str">
        <f>IF(AND(Table1[[#This Row],[Spec Type2]]="N/A",Table1[[#This Row],[DUT Adj Read]]="N/A",Table1[[#This Row],[Std Adj Read]]="N/A"),"N/A",IF(Table1[[#This Row],[DUT Adj Read]]="N/A",IF(Table1[[#This Row],[Std Adj Read]]&lt;Table1[[#This Row],[High Tol]],"Pass","Fail"),IF(Table1[[#This Row],[DUT Adj Read]]&lt;Table1[[#This Row],[High Tol]],"Pass","Fail")))</f>
        <v>Fail</v>
      </c>
      <c r="AF1991" s="1" t="str">
        <f>IF(AND(Table1[[#This Row],[Spec Type2]]="N/A",Table1[[#This Row],[DUT Adj Read]]="N/A",Table1[[#This Row],[Std Adj Read]]="N/A"),"N/A",IF(Table1[[#This Row],[DUT Adj Read]]="N/A",IF(Table1[[#This Row],[Std Adj Read]]&gt;=Table1[[#This Row],[Low Tol]],"Pass","Fail"),IF(Table1[[#This Row],[DUT Adj Read]]&gt;=Table1[[#This Row],[Low Tol]],"Pass","Fail")))</f>
        <v>Pass</v>
      </c>
      <c r="AG1991" s="1" t="str">
        <f>IF(AND(Table1[[#This Row],[Spec Type2]]="N/A",Table1[[#This Row],[DUT Adj Read]]="N/A",Table1[[#This Row],[Std Adj Read]]="N/A"),"N/A",IF(Table1[[#This Row],[DUT Adj Read]]="N/A",IF(Table1[[#This Row],[Std Adj Read]]&lt;=Table1[[#This Row],[High Tol]],"Pass","Fail"),IF(Table1[[#This Row],[DUT Adj Read]]&lt;=Table1[[#This Row],[High Tol]],"Pass","Fail")))</f>
        <v>Fail</v>
      </c>
      <c r="AH19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1" s="1" t="b">
        <v>0</v>
      </c>
      <c r="AN1991" s="1" t="b">
        <v>0</v>
      </c>
      <c r="AO1991" s="1" t="b">
        <v>0</v>
      </c>
    </row>
    <row r="1992" spans="1:41" x14ac:dyDescent="0.25">
      <c r="A1992" s="10"/>
      <c r="B1992" s="10"/>
      <c r="C1992" s="10"/>
      <c r="D1992" s="10"/>
      <c r="E1992" s="10"/>
      <c r="F1992" s="10"/>
      <c r="G1992" s="10"/>
      <c r="H1992" s="10"/>
      <c r="I1992" s="1" t="str">
        <f t="shared" si="90"/>
        <v/>
      </c>
      <c r="J1992" s="1" t="s">
        <v>35</v>
      </c>
      <c r="K1992" s="1" t="str">
        <f t="shared" si="91"/>
        <v/>
      </c>
      <c r="L1992" s="1" t="str">
        <f t="shared" si="92"/>
        <v/>
      </c>
      <c r="M1992" s="1">
        <f>IF(OR(Table1[[#This Row],[Std Nom]]="",Table1[[#This Row],[Std Read]]=""),0,Table1[[#This Row],[Std Nom]]-Table1[[#This Row],[Std Read]])</f>
        <v>0</v>
      </c>
      <c r="N1992" s="1">
        <f>IF(Calculations!$F$5="ACCREDITED 17025 WITH UNCERTAINTIES",$N$10,0)</f>
        <v>0</v>
      </c>
      <c r="O1992" s="1" t="str">
        <f>IFERROR(Table1[[#This Row],[Std Nom]]-(_xlfn.XLOOKUP(Table1[[#This Row],[Manufacturer]]&amp;" "&amp;Table1[[#This Row],[Model]],Table13[MFR &amp; MDL],Table13[Tolerance % CW ],"")/100*Table1[[#This Row],[Std Nom]]),"")</f>
        <v/>
      </c>
      <c r="P1992" s="1" t="str">
        <f>IFERROR(Table1[[#This Row],[Std Nom]]+(_xlfn.XLOOKUP(Table1[[#This Row],[Manufacturer]]&amp;" "&amp;Table1[[#This Row],[Model]],Table13[MFR &amp; MDL],Table13[Tolerance % CW ],"")/100*Table1[[#This Row],[Std Nom]]),"")</f>
        <v/>
      </c>
      <c r="Q1992" s="1" t="e">
        <f>Table1[[#This Row],[High Tol]]-Table1[[#This Row],[Low Tol]]</f>
        <v>#VALUE!</v>
      </c>
      <c r="R1992" s="1">
        <f>2*Table1[[#This Row],[Std Error]]</f>
        <v>0</v>
      </c>
      <c r="S1992" s="1" t="str">
        <f>IF(Table1[[#This Row],[High Tol]]="","N/A",IFERROR(ABS(Table1[[#This Row],[Tol Span]]/Table1[[#This Row],[Error Span]]),"N/A"))</f>
        <v>N/A</v>
      </c>
      <c r="T1992" s="1" t="str">
        <f>IF(OR(Table1[[#This Row],[Low Tol]]="",Table1[[#This Row],[High Tol]]=""),"Needs Analysis",IF(Table1[[#This Row],[Ratio]]&gt;=4,"Not Significant",IF(Table1[[#This Row],[Ratio]]&gt;=2,"Semi-Significant","Significant")))</f>
        <v>Needs Analysis</v>
      </c>
      <c r="W1992" s="1">
        <f>IF(Table1[[#This Row],[Cal Type]]&lt;&gt;"ACCREDITED 17025 WITH UNCERTAINTIES",0,"")</f>
        <v>0</v>
      </c>
      <c r="X1992" s="1" t="str">
        <f>IF(Table1[[#This Row],[DUT Read]]="","N/A",Table1[[#This Row],[Std Error]]+Table1[[#This Row],[DUT Read]]+Table1[[#This Row],[DUT Ucty]])</f>
        <v>N/A</v>
      </c>
      <c r="Y1992" s="1" t="str">
        <f>IF(Table1[[#This Row],[Std Read]]="","N/A",Table1[[#This Row],[Std Read]]+Table1[[#This Row],[Std Ucty]])</f>
        <v>N/A</v>
      </c>
      <c r="Z19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2" s="1" t="str">
        <f>IF(Table1[[#This Row],[Spec Type]]="","N/A",Table1[[#This Row],[Spec Type]])</f>
        <v>±</v>
      </c>
      <c r="AC1992" s="1" t="str">
        <f>IF(Table1[[#This Row],[Spec Type2]]="N/A","N/A",IF(AND(Table1[[#This Row],[DUT Adj Read]]&gt;=Table1[[#This Row],[Low Tol]],Table1[[#This Row],[DUT Adj Read]]&lt;=Table1[[#This Row],[High Tol]]),"Pass","Fail"))</f>
        <v>Fail</v>
      </c>
      <c r="AD1992" s="1" t="str">
        <f>IF(AND(Table1[[#This Row],[Spec Type2]]="N/A",Table1[[#This Row],[DUT Adj Read]]="N/A",Table1[[#This Row],[Std Adj Read]]="N/A"),"N/A",IF(Table1[[#This Row],[DUT Adj Read]]="N/A",IF(Table1[[#This Row],[Std Adj Read]]&gt;Table1[[#This Row],[Low Tol]],"Pass","Fail"),IF(Table1[[#This Row],[DUT Adj Read]]&gt;Table1[[#This Row],[Low Tol]],"Pass","Fail")))</f>
        <v>Pass</v>
      </c>
      <c r="AE1992" s="1" t="str">
        <f>IF(AND(Table1[[#This Row],[Spec Type2]]="N/A",Table1[[#This Row],[DUT Adj Read]]="N/A",Table1[[#This Row],[Std Adj Read]]="N/A"),"N/A",IF(Table1[[#This Row],[DUT Adj Read]]="N/A",IF(Table1[[#This Row],[Std Adj Read]]&lt;Table1[[#This Row],[High Tol]],"Pass","Fail"),IF(Table1[[#This Row],[DUT Adj Read]]&lt;Table1[[#This Row],[High Tol]],"Pass","Fail")))</f>
        <v>Fail</v>
      </c>
      <c r="AF1992" s="1" t="str">
        <f>IF(AND(Table1[[#This Row],[Spec Type2]]="N/A",Table1[[#This Row],[DUT Adj Read]]="N/A",Table1[[#This Row],[Std Adj Read]]="N/A"),"N/A",IF(Table1[[#This Row],[DUT Adj Read]]="N/A",IF(Table1[[#This Row],[Std Adj Read]]&gt;=Table1[[#This Row],[Low Tol]],"Pass","Fail"),IF(Table1[[#This Row],[DUT Adj Read]]&gt;=Table1[[#This Row],[Low Tol]],"Pass","Fail")))</f>
        <v>Pass</v>
      </c>
      <c r="AG1992" s="1" t="str">
        <f>IF(AND(Table1[[#This Row],[Spec Type2]]="N/A",Table1[[#This Row],[DUT Adj Read]]="N/A",Table1[[#This Row],[Std Adj Read]]="N/A"),"N/A",IF(Table1[[#This Row],[DUT Adj Read]]="N/A",IF(Table1[[#This Row],[Std Adj Read]]&lt;=Table1[[#This Row],[High Tol]],"Pass","Fail"),IF(Table1[[#This Row],[DUT Adj Read]]&lt;=Table1[[#This Row],[High Tol]],"Pass","Fail")))</f>
        <v>Fail</v>
      </c>
      <c r="AH19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2" s="1" t="b">
        <v>0</v>
      </c>
      <c r="AN1992" s="1" t="b">
        <v>0</v>
      </c>
      <c r="AO1992" s="1" t="b">
        <v>0</v>
      </c>
    </row>
    <row r="1993" spans="1:41" x14ac:dyDescent="0.25">
      <c r="A1993" s="10"/>
      <c r="B1993" s="10"/>
      <c r="C1993" s="10"/>
      <c r="D1993" s="10"/>
      <c r="E1993" s="10"/>
      <c r="F1993" s="10"/>
      <c r="G1993" s="10"/>
      <c r="H1993" s="10"/>
      <c r="I1993" s="1" t="str">
        <f t="shared" si="90"/>
        <v/>
      </c>
      <c r="J1993" s="1" t="s">
        <v>35</v>
      </c>
      <c r="K1993" s="1" t="str">
        <f t="shared" si="91"/>
        <v/>
      </c>
      <c r="L1993" s="1" t="str">
        <f t="shared" si="92"/>
        <v/>
      </c>
      <c r="M1993" s="1">
        <f>IF(OR(Table1[[#This Row],[Std Nom]]="",Table1[[#This Row],[Std Read]]=""),0,Table1[[#This Row],[Std Nom]]-Table1[[#This Row],[Std Read]])</f>
        <v>0</v>
      </c>
      <c r="N1993" s="1">
        <f>IF(Calculations!$F$5="ACCREDITED 17025 WITH UNCERTAINTIES",$N$10,0)</f>
        <v>0</v>
      </c>
      <c r="O1993" s="1" t="str">
        <f>IFERROR(Table1[[#This Row],[Std Nom]]-(_xlfn.XLOOKUP(Table1[[#This Row],[Manufacturer]]&amp;" "&amp;Table1[[#This Row],[Model]],Table13[MFR &amp; MDL],Table13[Tolerance % CW ],"")/100*Table1[[#This Row],[Std Nom]]),"")</f>
        <v/>
      </c>
      <c r="P1993" s="1" t="str">
        <f>IFERROR(Table1[[#This Row],[Std Nom]]+(_xlfn.XLOOKUP(Table1[[#This Row],[Manufacturer]]&amp;" "&amp;Table1[[#This Row],[Model]],Table13[MFR &amp; MDL],Table13[Tolerance % CW ],"")/100*Table1[[#This Row],[Std Nom]]),"")</f>
        <v/>
      </c>
      <c r="Q1993" s="1" t="e">
        <f>Table1[[#This Row],[High Tol]]-Table1[[#This Row],[Low Tol]]</f>
        <v>#VALUE!</v>
      </c>
      <c r="R1993" s="1">
        <f>2*Table1[[#This Row],[Std Error]]</f>
        <v>0</v>
      </c>
      <c r="S1993" s="1" t="str">
        <f>IF(Table1[[#This Row],[High Tol]]="","N/A",IFERROR(ABS(Table1[[#This Row],[Tol Span]]/Table1[[#This Row],[Error Span]]),"N/A"))</f>
        <v>N/A</v>
      </c>
      <c r="T1993" s="1" t="str">
        <f>IF(OR(Table1[[#This Row],[Low Tol]]="",Table1[[#This Row],[High Tol]]=""),"Needs Analysis",IF(Table1[[#This Row],[Ratio]]&gt;=4,"Not Significant",IF(Table1[[#This Row],[Ratio]]&gt;=2,"Semi-Significant","Significant")))</f>
        <v>Needs Analysis</v>
      </c>
      <c r="W1993" s="1">
        <f>IF(Table1[[#This Row],[Cal Type]]&lt;&gt;"ACCREDITED 17025 WITH UNCERTAINTIES",0,"")</f>
        <v>0</v>
      </c>
      <c r="X1993" s="1" t="str">
        <f>IF(Table1[[#This Row],[DUT Read]]="","N/A",Table1[[#This Row],[Std Error]]+Table1[[#This Row],[DUT Read]]+Table1[[#This Row],[DUT Ucty]])</f>
        <v>N/A</v>
      </c>
      <c r="Y1993" s="1" t="str">
        <f>IF(Table1[[#This Row],[Std Read]]="","N/A",Table1[[#This Row],[Std Read]]+Table1[[#This Row],[Std Ucty]])</f>
        <v>N/A</v>
      </c>
      <c r="Z19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3" s="1" t="str">
        <f>IF(Table1[[#This Row],[Spec Type]]="","N/A",Table1[[#This Row],[Spec Type]])</f>
        <v>±</v>
      </c>
      <c r="AC1993" s="1" t="str">
        <f>IF(Table1[[#This Row],[Spec Type2]]="N/A","N/A",IF(AND(Table1[[#This Row],[DUT Adj Read]]&gt;=Table1[[#This Row],[Low Tol]],Table1[[#This Row],[DUT Adj Read]]&lt;=Table1[[#This Row],[High Tol]]),"Pass","Fail"))</f>
        <v>Fail</v>
      </c>
      <c r="AD1993" s="1" t="str">
        <f>IF(AND(Table1[[#This Row],[Spec Type2]]="N/A",Table1[[#This Row],[DUT Adj Read]]="N/A",Table1[[#This Row],[Std Adj Read]]="N/A"),"N/A",IF(Table1[[#This Row],[DUT Adj Read]]="N/A",IF(Table1[[#This Row],[Std Adj Read]]&gt;Table1[[#This Row],[Low Tol]],"Pass","Fail"),IF(Table1[[#This Row],[DUT Adj Read]]&gt;Table1[[#This Row],[Low Tol]],"Pass","Fail")))</f>
        <v>Pass</v>
      </c>
      <c r="AE1993" s="1" t="str">
        <f>IF(AND(Table1[[#This Row],[Spec Type2]]="N/A",Table1[[#This Row],[DUT Adj Read]]="N/A",Table1[[#This Row],[Std Adj Read]]="N/A"),"N/A",IF(Table1[[#This Row],[DUT Adj Read]]="N/A",IF(Table1[[#This Row],[Std Adj Read]]&lt;Table1[[#This Row],[High Tol]],"Pass","Fail"),IF(Table1[[#This Row],[DUT Adj Read]]&lt;Table1[[#This Row],[High Tol]],"Pass","Fail")))</f>
        <v>Fail</v>
      </c>
      <c r="AF1993" s="1" t="str">
        <f>IF(AND(Table1[[#This Row],[Spec Type2]]="N/A",Table1[[#This Row],[DUT Adj Read]]="N/A",Table1[[#This Row],[Std Adj Read]]="N/A"),"N/A",IF(Table1[[#This Row],[DUT Adj Read]]="N/A",IF(Table1[[#This Row],[Std Adj Read]]&gt;=Table1[[#This Row],[Low Tol]],"Pass","Fail"),IF(Table1[[#This Row],[DUT Adj Read]]&gt;=Table1[[#This Row],[Low Tol]],"Pass","Fail")))</f>
        <v>Pass</v>
      </c>
      <c r="AG1993" s="1" t="str">
        <f>IF(AND(Table1[[#This Row],[Spec Type2]]="N/A",Table1[[#This Row],[DUT Adj Read]]="N/A",Table1[[#This Row],[Std Adj Read]]="N/A"),"N/A",IF(Table1[[#This Row],[DUT Adj Read]]="N/A",IF(Table1[[#This Row],[Std Adj Read]]&lt;=Table1[[#This Row],[High Tol]],"Pass","Fail"),IF(Table1[[#This Row],[DUT Adj Read]]&lt;=Table1[[#This Row],[High Tol]],"Pass","Fail")))</f>
        <v>Fail</v>
      </c>
      <c r="AH19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3" s="1" t="b">
        <v>0</v>
      </c>
      <c r="AN1993" s="1" t="b">
        <v>0</v>
      </c>
      <c r="AO1993" s="1" t="b">
        <v>0</v>
      </c>
    </row>
    <row r="1994" spans="1:41" x14ac:dyDescent="0.25">
      <c r="A1994" s="10"/>
      <c r="B1994" s="10"/>
      <c r="C1994" s="10"/>
      <c r="D1994" s="10"/>
      <c r="E1994" s="10"/>
      <c r="F1994" s="10"/>
      <c r="G1994" s="10"/>
      <c r="H1994" s="10"/>
      <c r="I1994" s="1" t="str">
        <f t="shared" si="90"/>
        <v/>
      </c>
      <c r="J1994" s="1" t="s">
        <v>35</v>
      </c>
      <c r="K1994" s="1" t="str">
        <f t="shared" si="91"/>
        <v/>
      </c>
      <c r="L1994" s="1" t="str">
        <f t="shared" si="92"/>
        <v/>
      </c>
      <c r="M1994" s="1">
        <f>IF(OR(Table1[[#This Row],[Std Nom]]="",Table1[[#This Row],[Std Read]]=""),0,Table1[[#This Row],[Std Nom]]-Table1[[#This Row],[Std Read]])</f>
        <v>0</v>
      </c>
      <c r="N1994" s="1">
        <f>IF(Calculations!$F$5="ACCREDITED 17025 WITH UNCERTAINTIES",$N$10,0)</f>
        <v>0</v>
      </c>
      <c r="O1994" s="1" t="str">
        <f>IFERROR(Table1[[#This Row],[Std Nom]]-(_xlfn.XLOOKUP(Table1[[#This Row],[Manufacturer]]&amp;" "&amp;Table1[[#This Row],[Model]],Table13[MFR &amp; MDL],Table13[Tolerance % CW ],"")/100*Table1[[#This Row],[Std Nom]]),"")</f>
        <v/>
      </c>
      <c r="P1994" s="1" t="str">
        <f>IFERROR(Table1[[#This Row],[Std Nom]]+(_xlfn.XLOOKUP(Table1[[#This Row],[Manufacturer]]&amp;" "&amp;Table1[[#This Row],[Model]],Table13[MFR &amp; MDL],Table13[Tolerance % CW ],"")/100*Table1[[#This Row],[Std Nom]]),"")</f>
        <v/>
      </c>
      <c r="Q1994" s="1" t="e">
        <f>Table1[[#This Row],[High Tol]]-Table1[[#This Row],[Low Tol]]</f>
        <v>#VALUE!</v>
      </c>
      <c r="R1994" s="1">
        <f>2*Table1[[#This Row],[Std Error]]</f>
        <v>0</v>
      </c>
      <c r="S1994" s="1" t="str">
        <f>IF(Table1[[#This Row],[High Tol]]="","N/A",IFERROR(ABS(Table1[[#This Row],[Tol Span]]/Table1[[#This Row],[Error Span]]),"N/A"))</f>
        <v>N/A</v>
      </c>
      <c r="T1994" s="1" t="str">
        <f>IF(OR(Table1[[#This Row],[Low Tol]]="",Table1[[#This Row],[High Tol]]=""),"Needs Analysis",IF(Table1[[#This Row],[Ratio]]&gt;=4,"Not Significant",IF(Table1[[#This Row],[Ratio]]&gt;=2,"Semi-Significant","Significant")))</f>
        <v>Needs Analysis</v>
      </c>
      <c r="W1994" s="1">
        <f>IF(Table1[[#This Row],[Cal Type]]&lt;&gt;"ACCREDITED 17025 WITH UNCERTAINTIES",0,"")</f>
        <v>0</v>
      </c>
      <c r="X1994" s="1" t="str">
        <f>IF(Table1[[#This Row],[DUT Read]]="","N/A",Table1[[#This Row],[Std Error]]+Table1[[#This Row],[DUT Read]]+Table1[[#This Row],[DUT Ucty]])</f>
        <v>N/A</v>
      </c>
      <c r="Y1994" s="1" t="str">
        <f>IF(Table1[[#This Row],[Std Read]]="","N/A",Table1[[#This Row],[Std Read]]+Table1[[#This Row],[Std Ucty]])</f>
        <v>N/A</v>
      </c>
      <c r="Z19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4" s="1" t="str">
        <f>IF(Table1[[#This Row],[Spec Type]]="","N/A",Table1[[#This Row],[Spec Type]])</f>
        <v>±</v>
      </c>
      <c r="AC1994" s="1" t="str">
        <f>IF(Table1[[#This Row],[Spec Type2]]="N/A","N/A",IF(AND(Table1[[#This Row],[DUT Adj Read]]&gt;=Table1[[#This Row],[Low Tol]],Table1[[#This Row],[DUT Adj Read]]&lt;=Table1[[#This Row],[High Tol]]),"Pass","Fail"))</f>
        <v>Fail</v>
      </c>
      <c r="AD1994" s="1" t="str">
        <f>IF(AND(Table1[[#This Row],[Spec Type2]]="N/A",Table1[[#This Row],[DUT Adj Read]]="N/A",Table1[[#This Row],[Std Adj Read]]="N/A"),"N/A",IF(Table1[[#This Row],[DUT Adj Read]]="N/A",IF(Table1[[#This Row],[Std Adj Read]]&gt;Table1[[#This Row],[Low Tol]],"Pass","Fail"),IF(Table1[[#This Row],[DUT Adj Read]]&gt;Table1[[#This Row],[Low Tol]],"Pass","Fail")))</f>
        <v>Pass</v>
      </c>
      <c r="AE1994" s="1" t="str">
        <f>IF(AND(Table1[[#This Row],[Spec Type2]]="N/A",Table1[[#This Row],[DUT Adj Read]]="N/A",Table1[[#This Row],[Std Adj Read]]="N/A"),"N/A",IF(Table1[[#This Row],[DUT Adj Read]]="N/A",IF(Table1[[#This Row],[Std Adj Read]]&lt;Table1[[#This Row],[High Tol]],"Pass","Fail"),IF(Table1[[#This Row],[DUT Adj Read]]&lt;Table1[[#This Row],[High Tol]],"Pass","Fail")))</f>
        <v>Fail</v>
      </c>
      <c r="AF1994" s="1" t="str">
        <f>IF(AND(Table1[[#This Row],[Spec Type2]]="N/A",Table1[[#This Row],[DUT Adj Read]]="N/A",Table1[[#This Row],[Std Adj Read]]="N/A"),"N/A",IF(Table1[[#This Row],[DUT Adj Read]]="N/A",IF(Table1[[#This Row],[Std Adj Read]]&gt;=Table1[[#This Row],[Low Tol]],"Pass","Fail"),IF(Table1[[#This Row],[DUT Adj Read]]&gt;=Table1[[#This Row],[Low Tol]],"Pass","Fail")))</f>
        <v>Pass</v>
      </c>
      <c r="AG1994" s="1" t="str">
        <f>IF(AND(Table1[[#This Row],[Spec Type2]]="N/A",Table1[[#This Row],[DUT Adj Read]]="N/A",Table1[[#This Row],[Std Adj Read]]="N/A"),"N/A",IF(Table1[[#This Row],[DUT Adj Read]]="N/A",IF(Table1[[#This Row],[Std Adj Read]]&lt;=Table1[[#This Row],[High Tol]],"Pass","Fail"),IF(Table1[[#This Row],[DUT Adj Read]]&lt;=Table1[[#This Row],[High Tol]],"Pass","Fail")))</f>
        <v>Fail</v>
      </c>
      <c r="AH19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4" s="1" t="b">
        <v>0</v>
      </c>
      <c r="AN1994" s="1" t="b">
        <v>0</v>
      </c>
      <c r="AO1994" s="1" t="b">
        <v>0</v>
      </c>
    </row>
    <row r="1995" spans="1:41" x14ac:dyDescent="0.25">
      <c r="A1995" s="10"/>
      <c r="B1995" s="10"/>
      <c r="C1995" s="10"/>
      <c r="D1995" s="10"/>
      <c r="E1995" s="10"/>
      <c r="F1995" s="10"/>
      <c r="G1995" s="10"/>
      <c r="H1995" s="10"/>
      <c r="I1995" s="1" t="str">
        <f t="shared" ref="I1995:I2058" si="93">IF($I$10="","",$I$10)</f>
        <v/>
      </c>
      <c r="J1995" s="1" t="s">
        <v>35</v>
      </c>
      <c r="K1995" s="1" t="str">
        <f t="shared" ref="K1995:K2058" si="94">IF($K$10="","",$K$10)</f>
        <v/>
      </c>
      <c r="L1995" s="1" t="str">
        <f t="shared" ref="L1995:L2058" si="95">IF($L$10="","",$L$10)</f>
        <v/>
      </c>
      <c r="M1995" s="1">
        <f>IF(OR(Table1[[#This Row],[Std Nom]]="",Table1[[#This Row],[Std Read]]=""),0,Table1[[#This Row],[Std Nom]]-Table1[[#This Row],[Std Read]])</f>
        <v>0</v>
      </c>
      <c r="N1995" s="1">
        <f>IF(Calculations!$F$5="ACCREDITED 17025 WITH UNCERTAINTIES",$N$10,0)</f>
        <v>0</v>
      </c>
      <c r="O1995" s="1" t="str">
        <f>IFERROR(Table1[[#This Row],[Std Nom]]-(_xlfn.XLOOKUP(Table1[[#This Row],[Manufacturer]]&amp;" "&amp;Table1[[#This Row],[Model]],Table13[MFR &amp; MDL],Table13[Tolerance % CW ],"")/100*Table1[[#This Row],[Std Nom]]),"")</f>
        <v/>
      </c>
      <c r="P1995" s="1" t="str">
        <f>IFERROR(Table1[[#This Row],[Std Nom]]+(_xlfn.XLOOKUP(Table1[[#This Row],[Manufacturer]]&amp;" "&amp;Table1[[#This Row],[Model]],Table13[MFR &amp; MDL],Table13[Tolerance % CW ],"")/100*Table1[[#This Row],[Std Nom]]),"")</f>
        <v/>
      </c>
      <c r="Q1995" s="1" t="e">
        <f>Table1[[#This Row],[High Tol]]-Table1[[#This Row],[Low Tol]]</f>
        <v>#VALUE!</v>
      </c>
      <c r="R1995" s="1">
        <f>2*Table1[[#This Row],[Std Error]]</f>
        <v>0</v>
      </c>
      <c r="S1995" s="1" t="str">
        <f>IF(Table1[[#This Row],[High Tol]]="","N/A",IFERROR(ABS(Table1[[#This Row],[Tol Span]]/Table1[[#This Row],[Error Span]]),"N/A"))</f>
        <v>N/A</v>
      </c>
      <c r="T1995" s="1" t="str">
        <f>IF(OR(Table1[[#This Row],[Low Tol]]="",Table1[[#This Row],[High Tol]]=""),"Needs Analysis",IF(Table1[[#This Row],[Ratio]]&gt;=4,"Not Significant",IF(Table1[[#This Row],[Ratio]]&gt;=2,"Semi-Significant","Significant")))</f>
        <v>Needs Analysis</v>
      </c>
      <c r="W1995" s="1">
        <f>IF(Table1[[#This Row],[Cal Type]]&lt;&gt;"ACCREDITED 17025 WITH UNCERTAINTIES",0,"")</f>
        <v>0</v>
      </c>
      <c r="X1995" s="1" t="str">
        <f>IF(Table1[[#This Row],[DUT Read]]="","N/A",Table1[[#This Row],[Std Error]]+Table1[[#This Row],[DUT Read]]+Table1[[#This Row],[DUT Ucty]])</f>
        <v>N/A</v>
      </c>
      <c r="Y1995" s="1" t="str">
        <f>IF(Table1[[#This Row],[Std Read]]="","N/A",Table1[[#This Row],[Std Read]]+Table1[[#This Row],[Std Ucty]])</f>
        <v>N/A</v>
      </c>
      <c r="Z19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5" s="1" t="str">
        <f>IF(Table1[[#This Row],[Spec Type]]="","N/A",Table1[[#This Row],[Spec Type]])</f>
        <v>±</v>
      </c>
      <c r="AC1995" s="1" t="str">
        <f>IF(Table1[[#This Row],[Spec Type2]]="N/A","N/A",IF(AND(Table1[[#This Row],[DUT Adj Read]]&gt;=Table1[[#This Row],[Low Tol]],Table1[[#This Row],[DUT Adj Read]]&lt;=Table1[[#This Row],[High Tol]]),"Pass","Fail"))</f>
        <v>Fail</v>
      </c>
      <c r="AD1995" s="1" t="str">
        <f>IF(AND(Table1[[#This Row],[Spec Type2]]="N/A",Table1[[#This Row],[DUT Adj Read]]="N/A",Table1[[#This Row],[Std Adj Read]]="N/A"),"N/A",IF(Table1[[#This Row],[DUT Adj Read]]="N/A",IF(Table1[[#This Row],[Std Adj Read]]&gt;Table1[[#This Row],[Low Tol]],"Pass","Fail"),IF(Table1[[#This Row],[DUT Adj Read]]&gt;Table1[[#This Row],[Low Tol]],"Pass","Fail")))</f>
        <v>Pass</v>
      </c>
      <c r="AE1995" s="1" t="str">
        <f>IF(AND(Table1[[#This Row],[Spec Type2]]="N/A",Table1[[#This Row],[DUT Adj Read]]="N/A",Table1[[#This Row],[Std Adj Read]]="N/A"),"N/A",IF(Table1[[#This Row],[DUT Adj Read]]="N/A",IF(Table1[[#This Row],[Std Adj Read]]&lt;Table1[[#This Row],[High Tol]],"Pass","Fail"),IF(Table1[[#This Row],[DUT Adj Read]]&lt;Table1[[#This Row],[High Tol]],"Pass","Fail")))</f>
        <v>Fail</v>
      </c>
      <c r="AF1995" s="1" t="str">
        <f>IF(AND(Table1[[#This Row],[Spec Type2]]="N/A",Table1[[#This Row],[DUT Adj Read]]="N/A",Table1[[#This Row],[Std Adj Read]]="N/A"),"N/A",IF(Table1[[#This Row],[DUT Adj Read]]="N/A",IF(Table1[[#This Row],[Std Adj Read]]&gt;=Table1[[#This Row],[Low Tol]],"Pass","Fail"),IF(Table1[[#This Row],[DUT Adj Read]]&gt;=Table1[[#This Row],[Low Tol]],"Pass","Fail")))</f>
        <v>Pass</v>
      </c>
      <c r="AG1995" s="1" t="str">
        <f>IF(AND(Table1[[#This Row],[Spec Type2]]="N/A",Table1[[#This Row],[DUT Adj Read]]="N/A",Table1[[#This Row],[Std Adj Read]]="N/A"),"N/A",IF(Table1[[#This Row],[DUT Adj Read]]="N/A",IF(Table1[[#This Row],[Std Adj Read]]&lt;=Table1[[#This Row],[High Tol]],"Pass","Fail"),IF(Table1[[#This Row],[DUT Adj Read]]&lt;=Table1[[#This Row],[High Tol]],"Pass","Fail")))</f>
        <v>Fail</v>
      </c>
      <c r="AH19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5" s="1" t="b">
        <v>0</v>
      </c>
      <c r="AN1995" s="1" t="b">
        <v>0</v>
      </c>
      <c r="AO1995" s="1" t="b">
        <v>0</v>
      </c>
    </row>
    <row r="1996" spans="1:41" x14ac:dyDescent="0.25">
      <c r="A1996" s="10"/>
      <c r="B1996" s="10"/>
      <c r="C1996" s="10"/>
      <c r="D1996" s="10"/>
      <c r="E1996" s="10"/>
      <c r="F1996" s="10"/>
      <c r="G1996" s="10"/>
      <c r="H1996" s="10"/>
      <c r="I1996" s="1" t="str">
        <f t="shared" si="93"/>
        <v/>
      </c>
      <c r="J1996" s="1" t="s">
        <v>35</v>
      </c>
      <c r="K1996" s="1" t="str">
        <f t="shared" si="94"/>
        <v/>
      </c>
      <c r="L1996" s="1" t="str">
        <f t="shared" si="95"/>
        <v/>
      </c>
      <c r="M1996" s="1">
        <f>IF(OR(Table1[[#This Row],[Std Nom]]="",Table1[[#This Row],[Std Read]]=""),0,Table1[[#This Row],[Std Nom]]-Table1[[#This Row],[Std Read]])</f>
        <v>0</v>
      </c>
      <c r="N1996" s="1">
        <f>IF(Calculations!$F$5="ACCREDITED 17025 WITH UNCERTAINTIES",$N$10,0)</f>
        <v>0</v>
      </c>
      <c r="O1996" s="1" t="str">
        <f>IFERROR(Table1[[#This Row],[Std Nom]]-(_xlfn.XLOOKUP(Table1[[#This Row],[Manufacturer]]&amp;" "&amp;Table1[[#This Row],[Model]],Table13[MFR &amp; MDL],Table13[Tolerance % CW ],"")/100*Table1[[#This Row],[Std Nom]]),"")</f>
        <v/>
      </c>
      <c r="P1996" s="1" t="str">
        <f>IFERROR(Table1[[#This Row],[Std Nom]]+(_xlfn.XLOOKUP(Table1[[#This Row],[Manufacturer]]&amp;" "&amp;Table1[[#This Row],[Model]],Table13[MFR &amp; MDL],Table13[Tolerance % CW ],"")/100*Table1[[#This Row],[Std Nom]]),"")</f>
        <v/>
      </c>
      <c r="Q1996" s="1" t="e">
        <f>Table1[[#This Row],[High Tol]]-Table1[[#This Row],[Low Tol]]</f>
        <v>#VALUE!</v>
      </c>
      <c r="R1996" s="1">
        <f>2*Table1[[#This Row],[Std Error]]</f>
        <v>0</v>
      </c>
      <c r="S1996" s="1" t="str">
        <f>IF(Table1[[#This Row],[High Tol]]="","N/A",IFERROR(ABS(Table1[[#This Row],[Tol Span]]/Table1[[#This Row],[Error Span]]),"N/A"))</f>
        <v>N/A</v>
      </c>
      <c r="T1996" s="1" t="str">
        <f>IF(OR(Table1[[#This Row],[Low Tol]]="",Table1[[#This Row],[High Tol]]=""),"Needs Analysis",IF(Table1[[#This Row],[Ratio]]&gt;=4,"Not Significant",IF(Table1[[#This Row],[Ratio]]&gt;=2,"Semi-Significant","Significant")))</f>
        <v>Needs Analysis</v>
      </c>
      <c r="W1996" s="1">
        <f>IF(Table1[[#This Row],[Cal Type]]&lt;&gt;"ACCREDITED 17025 WITH UNCERTAINTIES",0,"")</f>
        <v>0</v>
      </c>
      <c r="X1996" s="1" t="str">
        <f>IF(Table1[[#This Row],[DUT Read]]="","N/A",Table1[[#This Row],[Std Error]]+Table1[[#This Row],[DUT Read]]+Table1[[#This Row],[DUT Ucty]])</f>
        <v>N/A</v>
      </c>
      <c r="Y1996" s="1" t="str">
        <f>IF(Table1[[#This Row],[Std Read]]="","N/A",Table1[[#This Row],[Std Read]]+Table1[[#This Row],[Std Ucty]])</f>
        <v>N/A</v>
      </c>
      <c r="Z19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6" s="1" t="str">
        <f>IF(Table1[[#This Row],[Spec Type]]="","N/A",Table1[[#This Row],[Spec Type]])</f>
        <v>±</v>
      </c>
      <c r="AC1996" s="1" t="str">
        <f>IF(Table1[[#This Row],[Spec Type2]]="N/A","N/A",IF(AND(Table1[[#This Row],[DUT Adj Read]]&gt;=Table1[[#This Row],[Low Tol]],Table1[[#This Row],[DUT Adj Read]]&lt;=Table1[[#This Row],[High Tol]]),"Pass","Fail"))</f>
        <v>Fail</v>
      </c>
      <c r="AD1996" s="1" t="str">
        <f>IF(AND(Table1[[#This Row],[Spec Type2]]="N/A",Table1[[#This Row],[DUT Adj Read]]="N/A",Table1[[#This Row],[Std Adj Read]]="N/A"),"N/A",IF(Table1[[#This Row],[DUT Adj Read]]="N/A",IF(Table1[[#This Row],[Std Adj Read]]&gt;Table1[[#This Row],[Low Tol]],"Pass","Fail"),IF(Table1[[#This Row],[DUT Adj Read]]&gt;Table1[[#This Row],[Low Tol]],"Pass","Fail")))</f>
        <v>Pass</v>
      </c>
      <c r="AE1996" s="1" t="str">
        <f>IF(AND(Table1[[#This Row],[Spec Type2]]="N/A",Table1[[#This Row],[DUT Adj Read]]="N/A",Table1[[#This Row],[Std Adj Read]]="N/A"),"N/A",IF(Table1[[#This Row],[DUT Adj Read]]="N/A",IF(Table1[[#This Row],[Std Adj Read]]&lt;Table1[[#This Row],[High Tol]],"Pass","Fail"),IF(Table1[[#This Row],[DUT Adj Read]]&lt;Table1[[#This Row],[High Tol]],"Pass","Fail")))</f>
        <v>Fail</v>
      </c>
      <c r="AF1996" s="1" t="str">
        <f>IF(AND(Table1[[#This Row],[Spec Type2]]="N/A",Table1[[#This Row],[DUT Adj Read]]="N/A",Table1[[#This Row],[Std Adj Read]]="N/A"),"N/A",IF(Table1[[#This Row],[DUT Adj Read]]="N/A",IF(Table1[[#This Row],[Std Adj Read]]&gt;=Table1[[#This Row],[Low Tol]],"Pass","Fail"),IF(Table1[[#This Row],[DUT Adj Read]]&gt;=Table1[[#This Row],[Low Tol]],"Pass","Fail")))</f>
        <v>Pass</v>
      </c>
      <c r="AG1996" s="1" t="str">
        <f>IF(AND(Table1[[#This Row],[Spec Type2]]="N/A",Table1[[#This Row],[DUT Adj Read]]="N/A",Table1[[#This Row],[Std Adj Read]]="N/A"),"N/A",IF(Table1[[#This Row],[DUT Adj Read]]="N/A",IF(Table1[[#This Row],[Std Adj Read]]&lt;=Table1[[#This Row],[High Tol]],"Pass","Fail"),IF(Table1[[#This Row],[DUT Adj Read]]&lt;=Table1[[#This Row],[High Tol]],"Pass","Fail")))</f>
        <v>Fail</v>
      </c>
      <c r="AH19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6" s="1" t="b">
        <v>0</v>
      </c>
      <c r="AN1996" s="1" t="b">
        <v>0</v>
      </c>
      <c r="AO1996" s="1" t="b">
        <v>0</v>
      </c>
    </row>
    <row r="1997" spans="1:41" x14ac:dyDescent="0.25">
      <c r="A1997" s="10"/>
      <c r="B1997" s="10"/>
      <c r="C1997" s="10"/>
      <c r="D1997" s="10"/>
      <c r="E1997" s="10"/>
      <c r="F1997" s="10"/>
      <c r="G1997" s="10"/>
      <c r="H1997" s="10"/>
      <c r="I1997" s="1" t="str">
        <f t="shared" si="93"/>
        <v/>
      </c>
      <c r="J1997" s="1" t="s">
        <v>35</v>
      </c>
      <c r="K1997" s="1" t="str">
        <f t="shared" si="94"/>
        <v/>
      </c>
      <c r="L1997" s="1" t="str">
        <f t="shared" si="95"/>
        <v/>
      </c>
      <c r="M1997" s="1">
        <f>IF(OR(Table1[[#This Row],[Std Nom]]="",Table1[[#This Row],[Std Read]]=""),0,Table1[[#This Row],[Std Nom]]-Table1[[#This Row],[Std Read]])</f>
        <v>0</v>
      </c>
      <c r="N1997" s="1">
        <f>IF(Calculations!$F$5="ACCREDITED 17025 WITH UNCERTAINTIES",$N$10,0)</f>
        <v>0</v>
      </c>
      <c r="O1997" s="1" t="str">
        <f>IFERROR(Table1[[#This Row],[Std Nom]]-(_xlfn.XLOOKUP(Table1[[#This Row],[Manufacturer]]&amp;" "&amp;Table1[[#This Row],[Model]],Table13[MFR &amp; MDL],Table13[Tolerance % CW ],"")/100*Table1[[#This Row],[Std Nom]]),"")</f>
        <v/>
      </c>
      <c r="P1997" s="1" t="str">
        <f>IFERROR(Table1[[#This Row],[Std Nom]]+(_xlfn.XLOOKUP(Table1[[#This Row],[Manufacturer]]&amp;" "&amp;Table1[[#This Row],[Model]],Table13[MFR &amp; MDL],Table13[Tolerance % CW ],"")/100*Table1[[#This Row],[Std Nom]]),"")</f>
        <v/>
      </c>
      <c r="Q1997" s="1" t="e">
        <f>Table1[[#This Row],[High Tol]]-Table1[[#This Row],[Low Tol]]</f>
        <v>#VALUE!</v>
      </c>
      <c r="R1997" s="1">
        <f>2*Table1[[#This Row],[Std Error]]</f>
        <v>0</v>
      </c>
      <c r="S1997" s="1" t="str">
        <f>IF(Table1[[#This Row],[High Tol]]="","N/A",IFERROR(ABS(Table1[[#This Row],[Tol Span]]/Table1[[#This Row],[Error Span]]),"N/A"))</f>
        <v>N/A</v>
      </c>
      <c r="T1997" s="1" t="str">
        <f>IF(OR(Table1[[#This Row],[Low Tol]]="",Table1[[#This Row],[High Tol]]=""),"Needs Analysis",IF(Table1[[#This Row],[Ratio]]&gt;=4,"Not Significant",IF(Table1[[#This Row],[Ratio]]&gt;=2,"Semi-Significant","Significant")))</f>
        <v>Needs Analysis</v>
      </c>
      <c r="W1997" s="1">
        <f>IF(Table1[[#This Row],[Cal Type]]&lt;&gt;"ACCREDITED 17025 WITH UNCERTAINTIES",0,"")</f>
        <v>0</v>
      </c>
      <c r="X1997" s="1" t="str">
        <f>IF(Table1[[#This Row],[DUT Read]]="","N/A",Table1[[#This Row],[Std Error]]+Table1[[#This Row],[DUT Read]]+Table1[[#This Row],[DUT Ucty]])</f>
        <v>N/A</v>
      </c>
      <c r="Y1997" s="1" t="str">
        <f>IF(Table1[[#This Row],[Std Read]]="","N/A",Table1[[#This Row],[Std Read]]+Table1[[#This Row],[Std Ucty]])</f>
        <v>N/A</v>
      </c>
      <c r="Z19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7" s="1" t="str">
        <f>IF(Table1[[#This Row],[Spec Type]]="","N/A",Table1[[#This Row],[Spec Type]])</f>
        <v>±</v>
      </c>
      <c r="AC1997" s="1" t="str">
        <f>IF(Table1[[#This Row],[Spec Type2]]="N/A","N/A",IF(AND(Table1[[#This Row],[DUT Adj Read]]&gt;=Table1[[#This Row],[Low Tol]],Table1[[#This Row],[DUT Adj Read]]&lt;=Table1[[#This Row],[High Tol]]),"Pass","Fail"))</f>
        <v>Fail</v>
      </c>
      <c r="AD1997" s="1" t="str">
        <f>IF(AND(Table1[[#This Row],[Spec Type2]]="N/A",Table1[[#This Row],[DUT Adj Read]]="N/A",Table1[[#This Row],[Std Adj Read]]="N/A"),"N/A",IF(Table1[[#This Row],[DUT Adj Read]]="N/A",IF(Table1[[#This Row],[Std Adj Read]]&gt;Table1[[#This Row],[Low Tol]],"Pass","Fail"),IF(Table1[[#This Row],[DUT Adj Read]]&gt;Table1[[#This Row],[Low Tol]],"Pass","Fail")))</f>
        <v>Pass</v>
      </c>
      <c r="AE1997" s="1" t="str">
        <f>IF(AND(Table1[[#This Row],[Spec Type2]]="N/A",Table1[[#This Row],[DUT Adj Read]]="N/A",Table1[[#This Row],[Std Adj Read]]="N/A"),"N/A",IF(Table1[[#This Row],[DUT Adj Read]]="N/A",IF(Table1[[#This Row],[Std Adj Read]]&lt;Table1[[#This Row],[High Tol]],"Pass","Fail"),IF(Table1[[#This Row],[DUT Adj Read]]&lt;Table1[[#This Row],[High Tol]],"Pass","Fail")))</f>
        <v>Fail</v>
      </c>
      <c r="AF1997" s="1" t="str">
        <f>IF(AND(Table1[[#This Row],[Spec Type2]]="N/A",Table1[[#This Row],[DUT Adj Read]]="N/A",Table1[[#This Row],[Std Adj Read]]="N/A"),"N/A",IF(Table1[[#This Row],[DUT Adj Read]]="N/A",IF(Table1[[#This Row],[Std Adj Read]]&gt;=Table1[[#This Row],[Low Tol]],"Pass","Fail"),IF(Table1[[#This Row],[DUT Adj Read]]&gt;=Table1[[#This Row],[Low Tol]],"Pass","Fail")))</f>
        <v>Pass</v>
      </c>
      <c r="AG1997" s="1" t="str">
        <f>IF(AND(Table1[[#This Row],[Spec Type2]]="N/A",Table1[[#This Row],[DUT Adj Read]]="N/A",Table1[[#This Row],[Std Adj Read]]="N/A"),"N/A",IF(Table1[[#This Row],[DUT Adj Read]]="N/A",IF(Table1[[#This Row],[Std Adj Read]]&lt;=Table1[[#This Row],[High Tol]],"Pass","Fail"),IF(Table1[[#This Row],[DUT Adj Read]]&lt;=Table1[[#This Row],[High Tol]],"Pass","Fail")))</f>
        <v>Fail</v>
      </c>
      <c r="AH19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7" s="1" t="b">
        <v>0</v>
      </c>
      <c r="AN1997" s="1" t="b">
        <v>0</v>
      </c>
      <c r="AO1997" s="1" t="b">
        <v>0</v>
      </c>
    </row>
    <row r="1998" spans="1:41" x14ac:dyDescent="0.25">
      <c r="A1998" s="10"/>
      <c r="B1998" s="10"/>
      <c r="C1998" s="10"/>
      <c r="D1998" s="10"/>
      <c r="E1998" s="10"/>
      <c r="F1998" s="10"/>
      <c r="G1998" s="10"/>
      <c r="H1998" s="10"/>
      <c r="I1998" s="1" t="str">
        <f t="shared" si="93"/>
        <v/>
      </c>
      <c r="J1998" s="1" t="s">
        <v>35</v>
      </c>
      <c r="K1998" s="1" t="str">
        <f t="shared" si="94"/>
        <v/>
      </c>
      <c r="L1998" s="1" t="str">
        <f t="shared" si="95"/>
        <v/>
      </c>
      <c r="M1998" s="1">
        <f>IF(OR(Table1[[#This Row],[Std Nom]]="",Table1[[#This Row],[Std Read]]=""),0,Table1[[#This Row],[Std Nom]]-Table1[[#This Row],[Std Read]])</f>
        <v>0</v>
      </c>
      <c r="N1998" s="1">
        <f>IF(Calculations!$F$5="ACCREDITED 17025 WITH UNCERTAINTIES",$N$10,0)</f>
        <v>0</v>
      </c>
      <c r="O1998" s="1" t="str">
        <f>IFERROR(Table1[[#This Row],[Std Nom]]-(_xlfn.XLOOKUP(Table1[[#This Row],[Manufacturer]]&amp;" "&amp;Table1[[#This Row],[Model]],Table13[MFR &amp; MDL],Table13[Tolerance % CW ],"")/100*Table1[[#This Row],[Std Nom]]),"")</f>
        <v/>
      </c>
      <c r="P1998" s="1" t="str">
        <f>IFERROR(Table1[[#This Row],[Std Nom]]+(_xlfn.XLOOKUP(Table1[[#This Row],[Manufacturer]]&amp;" "&amp;Table1[[#This Row],[Model]],Table13[MFR &amp; MDL],Table13[Tolerance % CW ],"")/100*Table1[[#This Row],[Std Nom]]),"")</f>
        <v/>
      </c>
      <c r="Q1998" s="1" t="e">
        <f>Table1[[#This Row],[High Tol]]-Table1[[#This Row],[Low Tol]]</f>
        <v>#VALUE!</v>
      </c>
      <c r="R1998" s="1">
        <f>2*Table1[[#This Row],[Std Error]]</f>
        <v>0</v>
      </c>
      <c r="S1998" s="1" t="str">
        <f>IF(Table1[[#This Row],[High Tol]]="","N/A",IFERROR(ABS(Table1[[#This Row],[Tol Span]]/Table1[[#This Row],[Error Span]]),"N/A"))</f>
        <v>N/A</v>
      </c>
      <c r="T1998" s="1" t="str">
        <f>IF(OR(Table1[[#This Row],[Low Tol]]="",Table1[[#This Row],[High Tol]]=""),"Needs Analysis",IF(Table1[[#This Row],[Ratio]]&gt;=4,"Not Significant",IF(Table1[[#This Row],[Ratio]]&gt;=2,"Semi-Significant","Significant")))</f>
        <v>Needs Analysis</v>
      </c>
      <c r="W1998" s="1">
        <f>IF(Table1[[#This Row],[Cal Type]]&lt;&gt;"ACCREDITED 17025 WITH UNCERTAINTIES",0,"")</f>
        <v>0</v>
      </c>
      <c r="X1998" s="1" t="str">
        <f>IF(Table1[[#This Row],[DUT Read]]="","N/A",Table1[[#This Row],[Std Error]]+Table1[[#This Row],[DUT Read]]+Table1[[#This Row],[DUT Ucty]])</f>
        <v>N/A</v>
      </c>
      <c r="Y1998" s="1" t="str">
        <f>IF(Table1[[#This Row],[Std Read]]="","N/A",Table1[[#This Row],[Std Read]]+Table1[[#This Row],[Std Ucty]])</f>
        <v>N/A</v>
      </c>
      <c r="Z19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8" s="1" t="str">
        <f>IF(Table1[[#This Row],[Spec Type]]="","N/A",Table1[[#This Row],[Spec Type]])</f>
        <v>±</v>
      </c>
      <c r="AC1998" s="1" t="str">
        <f>IF(Table1[[#This Row],[Spec Type2]]="N/A","N/A",IF(AND(Table1[[#This Row],[DUT Adj Read]]&gt;=Table1[[#This Row],[Low Tol]],Table1[[#This Row],[DUT Adj Read]]&lt;=Table1[[#This Row],[High Tol]]),"Pass","Fail"))</f>
        <v>Fail</v>
      </c>
      <c r="AD1998" s="1" t="str">
        <f>IF(AND(Table1[[#This Row],[Spec Type2]]="N/A",Table1[[#This Row],[DUT Adj Read]]="N/A",Table1[[#This Row],[Std Adj Read]]="N/A"),"N/A",IF(Table1[[#This Row],[DUT Adj Read]]="N/A",IF(Table1[[#This Row],[Std Adj Read]]&gt;Table1[[#This Row],[Low Tol]],"Pass","Fail"),IF(Table1[[#This Row],[DUT Adj Read]]&gt;Table1[[#This Row],[Low Tol]],"Pass","Fail")))</f>
        <v>Pass</v>
      </c>
      <c r="AE1998" s="1" t="str">
        <f>IF(AND(Table1[[#This Row],[Spec Type2]]="N/A",Table1[[#This Row],[DUT Adj Read]]="N/A",Table1[[#This Row],[Std Adj Read]]="N/A"),"N/A",IF(Table1[[#This Row],[DUT Adj Read]]="N/A",IF(Table1[[#This Row],[Std Adj Read]]&lt;Table1[[#This Row],[High Tol]],"Pass","Fail"),IF(Table1[[#This Row],[DUT Adj Read]]&lt;Table1[[#This Row],[High Tol]],"Pass","Fail")))</f>
        <v>Fail</v>
      </c>
      <c r="AF1998" s="1" t="str">
        <f>IF(AND(Table1[[#This Row],[Spec Type2]]="N/A",Table1[[#This Row],[DUT Adj Read]]="N/A",Table1[[#This Row],[Std Adj Read]]="N/A"),"N/A",IF(Table1[[#This Row],[DUT Adj Read]]="N/A",IF(Table1[[#This Row],[Std Adj Read]]&gt;=Table1[[#This Row],[Low Tol]],"Pass","Fail"),IF(Table1[[#This Row],[DUT Adj Read]]&gt;=Table1[[#This Row],[Low Tol]],"Pass","Fail")))</f>
        <v>Pass</v>
      </c>
      <c r="AG1998" s="1" t="str">
        <f>IF(AND(Table1[[#This Row],[Spec Type2]]="N/A",Table1[[#This Row],[DUT Adj Read]]="N/A",Table1[[#This Row],[Std Adj Read]]="N/A"),"N/A",IF(Table1[[#This Row],[DUT Adj Read]]="N/A",IF(Table1[[#This Row],[Std Adj Read]]&lt;=Table1[[#This Row],[High Tol]],"Pass","Fail"),IF(Table1[[#This Row],[DUT Adj Read]]&lt;=Table1[[#This Row],[High Tol]],"Pass","Fail")))</f>
        <v>Fail</v>
      </c>
      <c r="AH19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8" s="1" t="b">
        <v>0</v>
      </c>
      <c r="AN1998" s="1" t="b">
        <v>0</v>
      </c>
      <c r="AO1998" s="1" t="b">
        <v>0</v>
      </c>
    </row>
    <row r="1999" spans="1:41" x14ac:dyDescent="0.25">
      <c r="A1999" s="10"/>
      <c r="B1999" s="10"/>
      <c r="C1999" s="10"/>
      <c r="D1999" s="10"/>
      <c r="E1999" s="10"/>
      <c r="F1999" s="10"/>
      <c r="G1999" s="10"/>
      <c r="H1999" s="10"/>
      <c r="I1999" s="1" t="str">
        <f t="shared" si="93"/>
        <v/>
      </c>
      <c r="J1999" s="1" t="s">
        <v>35</v>
      </c>
      <c r="K1999" s="1" t="str">
        <f t="shared" si="94"/>
        <v/>
      </c>
      <c r="L1999" s="1" t="str">
        <f t="shared" si="95"/>
        <v/>
      </c>
      <c r="M1999" s="1">
        <f>IF(OR(Table1[[#This Row],[Std Nom]]="",Table1[[#This Row],[Std Read]]=""),0,Table1[[#This Row],[Std Nom]]-Table1[[#This Row],[Std Read]])</f>
        <v>0</v>
      </c>
      <c r="N1999" s="1">
        <f>IF(Calculations!$F$5="ACCREDITED 17025 WITH UNCERTAINTIES",$N$10,0)</f>
        <v>0</v>
      </c>
      <c r="O1999" s="1" t="str">
        <f>IFERROR(Table1[[#This Row],[Std Nom]]-(_xlfn.XLOOKUP(Table1[[#This Row],[Manufacturer]]&amp;" "&amp;Table1[[#This Row],[Model]],Table13[MFR &amp; MDL],Table13[Tolerance % CW ],"")/100*Table1[[#This Row],[Std Nom]]),"")</f>
        <v/>
      </c>
      <c r="P1999" s="1" t="str">
        <f>IFERROR(Table1[[#This Row],[Std Nom]]+(_xlfn.XLOOKUP(Table1[[#This Row],[Manufacturer]]&amp;" "&amp;Table1[[#This Row],[Model]],Table13[MFR &amp; MDL],Table13[Tolerance % CW ],"")/100*Table1[[#This Row],[Std Nom]]),"")</f>
        <v/>
      </c>
      <c r="Q1999" s="1" t="e">
        <f>Table1[[#This Row],[High Tol]]-Table1[[#This Row],[Low Tol]]</f>
        <v>#VALUE!</v>
      </c>
      <c r="R1999" s="1">
        <f>2*Table1[[#This Row],[Std Error]]</f>
        <v>0</v>
      </c>
      <c r="S1999" s="1" t="str">
        <f>IF(Table1[[#This Row],[High Tol]]="","N/A",IFERROR(ABS(Table1[[#This Row],[Tol Span]]/Table1[[#This Row],[Error Span]]),"N/A"))</f>
        <v>N/A</v>
      </c>
      <c r="T1999" s="1" t="str">
        <f>IF(OR(Table1[[#This Row],[Low Tol]]="",Table1[[#This Row],[High Tol]]=""),"Needs Analysis",IF(Table1[[#This Row],[Ratio]]&gt;=4,"Not Significant",IF(Table1[[#This Row],[Ratio]]&gt;=2,"Semi-Significant","Significant")))</f>
        <v>Needs Analysis</v>
      </c>
      <c r="W1999" s="1">
        <f>IF(Table1[[#This Row],[Cal Type]]&lt;&gt;"ACCREDITED 17025 WITH UNCERTAINTIES",0,"")</f>
        <v>0</v>
      </c>
      <c r="X1999" s="1" t="str">
        <f>IF(Table1[[#This Row],[DUT Read]]="","N/A",Table1[[#This Row],[Std Error]]+Table1[[#This Row],[DUT Read]]+Table1[[#This Row],[DUT Ucty]])</f>
        <v>N/A</v>
      </c>
      <c r="Y1999" s="1" t="str">
        <f>IF(Table1[[#This Row],[Std Read]]="","N/A",Table1[[#This Row],[Std Read]]+Table1[[#This Row],[Std Ucty]])</f>
        <v>N/A</v>
      </c>
      <c r="Z19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9" s="1" t="str">
        <f>IF(Table1[[#This Row],[Spec Type]]="","N/A",Table1[[#This Row],[Spec Type]])</f>
        <v>±</v>
      </c>
      <c r="AC1999" s="1" t="str">
        <f>IF(Table1[[#This Row],[Spec Type2]]="N/A","N/A",IF(AND(Table1[[#This Row],[DUT Adj Read]]&gt;=Table1[[#This Row],[Low Tol]],Table1[[#This Row],[DUT Adj Read]]&lt;=Table1[[#This Row],[High Tol]]),"Pass","Fail"))</f>
        <v>Fail</v>
      </c>
      <c r="AD1999" s="1" t="str">
        <f>IF(AND(Table1[[#This Row],[Spec Type2]]="N/A",Table1[[#This Row],[DUT Adj Read]]="N/A",Table1[[#This Row],[Std Adj Read]]="N/A"),"N/A",IF(Table1[[#This Row],[DUT Adj Read]]="N/A",IF(Table1[[#This Row],[Std Adj Read]]&gt;Table1[[#This Row],[Low Tol]],"Pass","Fail"),IF(Table1[[#This Row],[DUT Adj Read]]&gt;Table1[[#This Row],[Low Tol]],"Pass","Fail")))</f>
        <v>Pass</v>
      </c>
      <c r="AE1999" s="1" t="str">
        <f>IF(AND(Table1[[#This Row],[Spec Type2]]="N/A",Table1[[#This Row],[DUT Adj Read]]="N/A",Table1[[#This Row],[Std Adj Read]]="N/A"),"N/A",IF(Table1[[#This Row],[DUT Adj Read]]="N/A",IF(Table1[[#This Row],[Std Adj Read]]&lt;Table1[[#This Row],[High Tol]],"Pass","Fail"),IF(Table1[[#This Row],[DUT Adj Read]]&lt;Table1[[#This Row],[High Tol]],"Pass","Fail")))</f>
        <v>Fail</v>
      </c>
      <c r="AF1999" s="1" t="str">
        <f>IF(AND(Table1[[#This Row],[Spec Type2]]="N/A",Table1[[#This Row],[DUT Adj Read]]="N/A",Table1[[#This Row],[Std Adj Read]]="N/A"),"N/A",IF(Table1[[#This Row],[DUT Adj Read]]="N/A",IF(Table1[[#This Row],[Std Adj Read]]&gt;=Table1[[#This Row],[Low Tol]],"Pass","Fail"),IF(Table1[[#This Row],[DUT Adj Read]]&gt;=Table1[[#This Row],[Low Tol]],"Pass","Fail")))</f>
        <v>Pass</v>
      </c>
      <c r="AG1999" s="1" t="str">
        <f>IF(AND(Table1[[#This Row],[Spec Type2]]="N/A",Table1[[#This Row],[DUT Adj Read]]="N/A",Table1[[#This Row],[Std Adj Read]]="N/A"),"N/A",IF(Table1[[#This Row],[DUT Adj Read]]="N/A",IF(Table1[[#This Row],[Std Adj Read]]&lt;=Table1[[#This Row],[High Tol]],"Pass","Fail"),IF(Table1[[#This Row],[DUT Adj Read]]&lt;=Table1[[#This Row],[High Tol]],"Pass","Fail")))</f>
        <v>Fail</v>
      </c>
      <c r="AH19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9" s="1" t="b">
        <v>0</v>
      </c>
      <c r="AN1999" s="1" t="b">
        <v>0</v>
      </c>
      <c r="AO1999" s="1" t="b">
        <v>0</v>
      </c>
    </row>
    <row r="2000" spans="1:41" x14ac:dyDescent="0.25">
      <c r="A2000" s="10"/>
      <c r="B2000" s="10"/>
      <c r="C2000" s="10"/>
      <c r="D2000" s="10"/>
      <c r="E2000" s="10"/>
      <c r="F2000" s="10"/>
      <c r="G2000" s="10"/>
      <c r="H2000" s="10"/>
      <c r="I2000" s="1" t="str">
        <f t="shared" si="93"/>
        <v/>
      </c>
      <c r="J2000" s="1" t="s">
        <v>35</v>
      </c>
      <c r="K2000" s="1" t="str">
        <f t="shared" si="94"/>
        <v/>
      </c>
      <c r="L2000" s="1" t="str">
        <f t="shared" si="95"/>
        <v/>
      </c>
      <c r="M2000" s="1">
        <f>IF(OR(Table1[[#This Row],[Std Nom]]="",Table1[[#This Row],[Std Read]]=""),0,Table1[[#This Row],[Std Nom]]-Table1[[#This Row],[Std Read]])</f>
        <v>0</v>
      </c>
      <c r="N2000" s="1">
        <f>IF(Calculations!$F$5="ACCREDITED 17025 WITH UNCERTAINTIES",$N$10,0)</f>
        <v>0</v>
      </c>
      <c r="O2000" s="1" t="str">
        <f>IFERROR(Table1[[#This Row],[Std Nom]]-(_xlfn.XLOOKUP(Table1[[#This Row],[Manufacturer]]&amp;" "&amp;Table1[[#This Row],[Model]],Table13[MFR &amp; MDL],Table13[Tolerance % CW ],"")/100*Table1[[#This Row],[Std Nom]]),"")</f>
        <v/>
      </c>
      <c r="P2000" s="1" t="str">
        <f>IFERROR(Table1[[#This Row],[Std Nom]]+(_xlfn.XLOOKUP(Table1[[#This Row],[Manufacturer]]&amp;" "&amp;Table1[[#This Row],[Model]],Table13[MFR &amp; MDL],Table13[Tolerance % CW ],"")/100*Table1[[#This Row],[Std Nom]]),"")</f>
        <v/>
      </c>
      <c r="Q2000" s="1" t="e">
        <f>Table1[[#This Row],[High Tol]]-Table1[[#This Row],[Low Tol]]</f>
        <v>#VALUE!</v>
      </c>
      <c r="R2000" s="1">
        <f>2*Table1[[#This Row],[Std Error]]</f>
        <v>0</v>
      </c>
      <c r="S2000" s="1" t="str">
        <f>IF(Table1[[#This Row],[High Tol]]="","N/A",IFERROR(ABS(Table1[[#This Row],[Tol Span]]/Table1[[#This Row],[Error Span]]),"N/A"))</f>
        <v>N/A</v>
      </c>
      <c r="T2000" s="1" t="str">
        <f>IF(OR(Table1[[#This Row],[Low Tol]]="",Table1[[#This Row],[High Tol]]=""),"Needs Analysis",IF(Table1[[#This Row],[Ratio]]&gt;=4,"Not Significant",IF(Table1[[#This Row],[Ratio]]&gt;=2,"Semi-Significant","Significant")))</f>
        <v>Needs Analysis</v>
      </c>
      <c r="W2000" s="1">
        <f>IF(Table1[[#This Row],[Cal Type]]&lt;&gt;"ACCREDITED 17025 WITH UNCERTAINTIES",0,"")</f>
        <v>0</v>
      </c>
      <c r="X2000" s="1" t="str">
        <f>IF(Table1[[#This Row],[DUT Read]]="","N/A",Table1[[#This Row],[Std Error]]+Table1[[#This Row],[DUT Read]]+Table1[[#This Row],[DUT Ucty]])</f>
        <v>N/A</v>
      </c>
      <c r="Y2000" s="1" t="str">
        <f>IF(Table1[[#This Row],[Std Read]]="","N/A",Table1[[#This Row],[Std Read]]+Table1[[#This Row],[Std Ucty]])</f>
        <v>N/A</v>
      </c>
      <c r="Z20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0" s="1" t="str">
        <f>IF(Table1[[#This Row],[Spec Type]]="","N/A",Table1[[#This Row],[Spec Type]])</f>
        <v>±</v>
      </c>
      <c r="AC2000" s="1" t="str">
        <f>IF(Table1[[#This Row],[Spec Type2]]="N/A","N/A",IF(AND(Table1[[#This Row],[DUT Adj Read]]&gt;=Table1[[#This Row],[Low Tol]],Table1[[#This Row],[DUT Adj Read]]&lt;=Table1[[#This Row],[High Tol]]),"Pass","Fail"))</f>
        <v>Fail</v>
      </c>
      <c r="AD2000" s="1" t="str">
        <f>IF(AND(Table1[[#This Row],[Spec Type2]]="N/A",Table1[[#This Row],[DUT Adj Read]]="N/A",Table1[[#This Row],[Std Adj Read]]="N/A"),"N/A",IF(Table1[[#This Row],[DUT Adj Read]]="N/A",IF(Table1[[#This Row],[Std Adj Read]]&gt;Table1[[#This Row],[Low Tol]],"Pass","Fail"),IF(Table1[[#This Row],[DUT Adj Read]]&gt;Table1[[#This Row],[Low Tol]],"Pass","Fail")))</f>
        <v>Pass</v>
      </c>
      <c r="AE2000" s="1" t="str">
        <f>IF(AND(Table1[[#This Row],[Spec Type2]]="N/A",Table1[[#This Row],[DUT Adj Read]]="N/A",Table1[[#This Row],[Std Adj Read]]="N/A"),"N/A",IF(Table1[[#This Row],[DUT Adj Read]]="N/A",IF(Table1[[#This Row],[Std Adj Read]]&lt;Table1[[#This Row],[High Tol]],"Pass","Fail"),IF(Table1[[#This Row],[DUT Adj Read]]&lt;Table1[[#This Row],[High Tol]],"Pass","Fail")))</f>
        <v>Fail</v>
      </c>
      <c r="AF2000" s="1" t="str">
        <f>IF(AND(Table1[[#This Row],[Spec Type2]]="N/A",Table1[[#This Row],[DUT Adj Read]]="N/A",Table1[[#This Row],[Std Adj Read]]="N/A"),"N/A",IF(Table1[[#This Row],[DUT Adj Read]]="N/A",IF(Table1[[#This Row],[Std Adj Read]]&gt;=Table1[[#This Row],[Low Tol]],"Pass","Fail"),IF(Table1[[#This Row],[DUT Adj Read]]&gt;=Table1[[#This Row],[Low Tol]],"Pass","Fail")))</f>
        <v>Pass</v>
      </c>
      <c r="AG2000" s="1" t="str">
        <f>IF(AND(Table1[[#This Row],[Spec Type2]]="N/A",Table1[[#This Row],[DUT Adj Read]]="N/A",Table1[[#This Row],[Std Adj Read]]="N/A"),"N/A",IF(Table1[[#This Row],[DUT Adj Read]]="N/A",IF(Table1[[#This Row],[Std Adj Read]]&lt;=Table1[[#This Row],[High Tol]],"Pass","Fail"),IF(Table1[[#This Row],[DUT Adj Read]]&lt;=Table1[[#This Row],[High Tol]],"Pass","Fail")))</f>
        <v>Fail</v>
      </c>
      <c r="AH20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0" s="1" t="b">
        <v>0</v>
      </c>
      <c r="AN2000" s="1" t="b">
        <v>0</v>
      </c>
      <c r="AO2000" s="1" t="b">
        <v>0</v>
      </c>
    </row>
    <row r="2001" spans="1:41" x14ac:dyDescent="0.25">
      <c r="A2001" s="10"/>
      <c r="B2001" s="10"/>
      <c r="C2001" s="10"/>
      <c r="D2001" s="10"/>
      <c r="E2001" s="10"/>
      <c r="F2001" s="10"/>
      <c r="G2001" s="10"/>
      <c r="H2001" s="10"/>
      <c r="I2001" s="1" t="str">
        <f t="shared" si="93"/>
        <v/>
      </c>
      <c r="J2001" s="1" t="s">
        <v>35</v>
      </c>
      <c r="K2001" s="1" t="str">
        <f t="shared" si="94"/>
        <v/>
      </c>
      <c r="L2001" s="1" t="str">
        <f t="shared" si="95"/>
        <v/>
      </c>
      <c r="M2001" s="1">
        <f>IF(OR(Table1[[#This Row],[Std Nom]]="",Table1[[#This Row],[Std Read]]=""),0,Table1[[#This Row],[Std Nom]]-Table1[[#This Row],[Std Read]])</f>
        <v>0</v>
      </c>
      <c r="N2001" s="1">
        <f>IF(Calculations!$F$5="ACCREDITED 17025 WITH UNCERTAINTIES",$N$10,0)</f>
        <v>0</v>
      </c>
      <c r="O2001" s="1" t="str">
        <f>IFERROR(Table1[[#This Row],[Std Nom]]-(_xlfn.XLOOKUP(Table1[[#This Row],[Manufacturer]]&amp;" "&amp;Table1[[#This Row],[Model]],Table13[MFR &amp; MDL],Table13[Tolerance % CW ],"")/100*Table1[[#This Row],[Std Nom]]),"")</f>
        <v/>
      </c>
      <c r="P2001" s="1" t="str">
        <f>IFERROR(Table1[[#This Row],[Std Nom]]+(_xlfn.XLOOKUP(Table1[[#This Row],[Manufacturer]]&amp;" "&amp;Table1[[#This Row],[Model]],Table13[MFR &amp; MDL],Table13[Tolerance % CW ],"")/100*Table1[[#This Row],[Std Nom]]),"")</f>
        <v/>
      </c>
      <c r="Q2001" s="1" t="e">
        <f>Table1[[#This Row],[High Tol]]-Table1[[#This Row],[Low Tol]]</f>
        <v>#VALUE!</v>
      </c>
      <c r="R2001" s="1">
        <f>2*Table1[[#This Row],[Std Error]]</f>
        <v>0</v>
      </c>
      <c r="S2001" s="1" t="str">
        <f>IF(Table1[[#This Row],[High Tol]]="","N/A",IFERROR(ABS(Table1[[#This Row],[Tol Span]]/Table1[[#This Row],[Error Span]]),"N/A"))</f>
        <v>N/A</v>
      </c>
      <c r="T2001" s="1" t="str">
        <f>IF(OR(Table1[[#This Row],[Low Tol]]="",Table1[[#This Row],[High Tol]]=""),"Needs Analysis",IF(Table1[[#This Row],[Ratio]]&gt;=4,"Not Significant",IF(Table1[[#This Row],[Ratio]]&gt;=2,"Semi-Significant","Significant")))</f>
        <v>Needs Analysis</v>
      </c>
      <c r="W2001" s="1">
        <f>IF(Table1[[#This Row],[Cal Type]]&lt;&gt;"ACCREDITED 17025 WITH UNCERTAINTIES",0,"")</f>
        <v>0</v>
      </c>
      <c r="X2001" s="1" t="str">
        <f>IF(Table1[[#This Row],[DUT Read]]="","N/A",Table1[[#This Row],[Std Error]]+Table1[[#This Row],[DUT Read]]+Table1[[#This Row],[DUT Ucty]])</f>
        <v>N/A</v>
      </c>
      <c r="Y2001" s="1" t="str">
        <f>IF(Table1[[#This Row],[Std Read]]="","N/A",Table1[[#This Row],[Std Read]]+Table1[[#This Row],[Std Ucty]])</f>
        <v>N/A</v>
      </c>
      <c r="Z20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1" s="1" t="str">
        <f>IF(Table1[[#This Row],[Spec Type]]="","N/A",Table1[[#This Row],[Spec Type]])</f>
        <v>±</v>
      </c>
      <c r="AC2001" s="1" t="str">
        <f>IF(Table1[[#This Row],[Spec Type2]]="N/A","N/A",IF(AND(Table1[[#This Row],[DUT Adj Read]]&gt;=Table1[[#This Row],[Low Tol]],Table1[[#This Row],[DUT Adj Read]]&lt;=Table1[[#This Row],[High Tol]]),"Pass","Fail"))</f>
        <v>Fail</v>
      </c>
      <c r="AD2001" s="1" t="str">
        <f>IF(AND(Table1[[#This Row],[Spec Type2]]="N/A",Table1[[#This Row],[DUT Adj Read]]="N/A",Table1[[#This Row],[Std Adj Read]]="N/A"),"N/A",IF(Table1[[#This Row],[DUT Adj Read]]="N/A",IF(Table1[[#This Row],[Std Adj Read]]&gt;Table1[[#This Row],[Low Tol]],"Pass","Fail"),IF(Table1[[#This Row],[DUT Adj Read]]&gt;Table1[[#This Row],[Low Tol]],"Pass","Fail")))</f>
        <v>Pass</v>
      </c>
      <c r="AE2001" s="1" t="str">
        <f>IF(AND(Table1[[#This Row],[Spec Type2]]="N/A",Table1[[#This Row],[DUT Adj Read]]="N/A",Table1[[#This Row],[Std Adj Read]]="N/A"),"N/A",IF(Table1[[#This Row],[DUT Adj Read]]="N/A",IF(Table1[[#This Row],[Std Adj Read]]&lt;Table1[[#This Row],[High Tol]],"Pass","Fail"),IF(Table1[[#This Row],[DUT Adj Read]]&lt;Table1[[#This Row],[High Tol]],"Pass","Fail")))</f>
        <v>Fail</v>
      </c>
      <c r="AF2001" s="1" t="str">
        <f>IF(AND(Table1[[#This Row],[Spec Type2]]="N/A",Table1[[#This Row],[DUT Adj Read]]="N/A",Table1[[#This Row],[Std Adj Read]]="N/A"),"N/A",IF(Table1[[#This Row],[DUT Adj Read]]="N/A",IF(Table1[[#This Row],[Std Adj Read]]&gt;=Table1[[#This Row],[Low Tol]],"Pass","Fail"),IF(Table1[[#This Row],[DUT Adj Read]]&gt;=Table1[[#This Row],[Low Tol]],"Pass","Fail")))</f>
        <v>Pass</v>
      </c>
      <c r="AG2001" s="1" t="str">
        <f>IF(AND(Table1[[#This Row],[Spec Type2]]="N/A",Table1[[#This Row],[DUT Adj Read]]="N/A",Table1[[#This Row],[Std Adj Read]]="N/A"),"N/A",IF(Table1[[#This Row],[DUT Adj Read]]="N/A",IF(Table1[[#This Row],[Std Adj Read]]&lt;=Table1[[#This Row],[High Tol]],"Pass","Fail"),IF(Table1[[#This Row],[DUT Adj Read]]&lt;=Table1[[#This Row],[High Tol]],"Pass","Fail")))</f>
        <v>Fail</v>
      </c>
      <c r="AH20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1" s="1" t="b">
        <v>0</v>
      </c>
      <c r="AN2001" s="1" t="b">
        <v>0</v>
      </c>
      <c r="AO2001" s="1" t="b">
        <v>0</v>
      </c>
    </row>
    <row r="2002" spans="1:41" x14ac:dyDescent="0.25">
      <c r="A2002" s="10"/>
      <c r="B2002" s="10"/>
      <c r="C2002" s="10"/>
      <c r="D2002" s="10"/>
      <c r="E2002" s="10"/>
      <c r="F2002" s="10"/>
      <c r="G2002" s="10"/>
      <c r="H2002" s="10"/>
      <c r="I2002" s="1" t="str">
        <f t="shared" si="93"/>
        <v/>
      </c>
      <c r="J2002" s="1" t="s">
        <v>35</v>
      </c>
      <c r="K2002" s="1" t="str">
        <f t="shared" si="94"/>
        <v/>
      </c>
      <c r="L2002" s="1" t="str">
        <f t="shared" si="95"/>
        <v/>
      </c>
      <c r="M2002" s="1">
        <f>IF(OR(Table1[[#This Row],[Std Nom]]="",Table1[[#This Row],[Std Read]]=""),0,Table1[[#This Row],[Std Nom]]-Table1[[#This Row],[Std Read]])</f>
        <v>0</v>
      </c>
      <c r="N2002" s="1">
        <f>IF(Calculations!$F$5="ACCREDITED 17025 WITH UNCERTAINTIES",$N$10,0)</f>
        <v>0</v>
      </c>
      <c r="O2002" s="1" t="str">
        <f>IFERROR(Table1[[#This Row],[Std Nom]]-(_xlfn.XLOOKUP(Table1[[#This Row],[Manufacturer]]&amp;" "&amp;Table1[[#This Row],[Model]],Table13[MFR &amp; MDL],Table13[Tolerance % CW ],"")/100*Table1[[#This Row],[Std Nom]]),"")</f>
        <v/>
      </c>
      <c r="P2002" s="1" t="str">
        <f>IFERROR(Table1[[#This Row],[Std Nom]]+(_xlfn.XLOOKUP(Table1[[#This Row],[Manufacturer]]&amp;" "&amp;Table1[[#This Row],[Model]],Table13[MFR &amp; MDL],Table13[Tolerance % CW ],"")/100*Table1[[#This Row],[Std Nom]]),"")</f>
        <v/>
      </c>
      <c r="Q2002" s="1" t="e">
        <f>Table1[[#This Row],[High Tol]]-Table1[[#This Row],[Low Tol]]</f>
        <v>#VALUE!</v>
      </c>
      <c r="R2002" s="1">
        <f>2*Table1[[#This Row],[Std Error]]</f>
        <v>0</v>
      </c>
      <c r="S2002" s="1" t="str">
        <f>IF(Table1[[#This Row],[High Tol]]="","N/A",IFERROR(ABS(Table1[[#This Row],[Tol Span]]/Table1[[#This Row],[Error Span]]),"N/A"))</f>
        <v>N/A</v>
      </c>
      <c r="T2002" s="1" t="str">
        <f>IF(OR(Table1[[#This Row],[Low Tol]]="",Table1[[#This Row],[High Tol]]=""),"Needs Analysis",IF(Table1[[#This Row],[Ratio]]&gt;=4,"Not Significant",IF(Table1[[#This Row],[Ratio]]&gt;=2,"Semi-Significant","Significant")))</f>
        <v>Needs Analysis</v>
      </c>
      <c r="W2002" s="1">
        <f>IF(Table1[[#This Row],[Cal Type]]&lt;&gt;"ACCREDITED 17025 WITH UNCERTAINTIES",0,"")</f>
        <v>0</v>
      </c>
      <c r="X2002" s="1" t="str">
        <f>IF(Table1[[#This Row],[DUT Read]]="","N/A",Table1[[#This Row],[Std Error]]+Table1[[#This Row],[DUT Read]]+Table1[[#This Row],[DUT Ucty]])</f>
        <v>N/A</v>
      </c>
      <c r="Y2002" s="1" t="str">
        <f>IF(Table1[[#This Row],[Std Read]]="","N/A",Table1[[#This Row],[Std Read]]+Table1[[#This Row],[Std Ucty]])</f>
        <v>N/A</v>
      </c>
      <c r="Z20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2" s="1" t="str">
        <f>IF(Table1[[#This Row],[Spec Type]]="","N/A",Table1[[#This Row],[Spec Type]])</f>
        <v>±</v>
      </c>
      <c r="AC2002" s="1" t="str">
        <f>IF(Table1[[#This Row],[Spec Type2]]="N/A","N/A",IF(AND(Table1[[#This Row],[DUT Adj Read]]&gt;=Table1[[#This Row],[Low Tol]],Table1[[#This Row],[DUT Adj Read]]&lt;=Table1[[#This Row],[High Tol]]),"Pass","Fail"))</f>
        <v>Fail</v>
      </c>
      <c r="AD2002" s="1" t="str">
        <f>IF(AND(Table1[[#This Row],[Spec Type2]]="N/A",Table1[[#This Row],[DUT Adj Read]]="N/A",Table1[[#This Row],[Std Adj Read]]="N/A"),"N/A",IF(Table1[[#This Row],[DUT Adj Read]]="N/A",IF(Table1[[#This Row],[Std Adj Read]]&gt;Table1[[#This Row],[Low Tol]],"Pass","Fail"),IF(Table1[[#This Row],[DUT Adj Read]]&gt;Table1[[#This Row],[Low Tol]],"Pass","Fail")))</f>
        <v>Pass</v>
      </c>
      <c r="AE2002" s="1" t="str">
        <f>IF(AND(Table1[[#This Row],[Spec Type2]]="N/A",Table1[[#This Row],[DUT Adj Read]]="N/A",Table1[[#This Row],[Std Adj Read]]="N/A"),"N/A",IF(Table1[[#This Row],[DUT Adj Read]]="N/A",IF(Table1[[#This Row],[Std Adj Read]]&lt;Table1[[#This Row],[High Tol]],"Pass","Fail"),IF(Table1[[#This Row],[DUT Adj Read]]&lt;Table1[[#This Row],[High Tol]],"Pass","Fail")))</f>
        <v>Fail</v>
      </c>
      <c r="AF2002" s="1" t="str">
        <f>IF(AND(Table1[[#This Row],[Spec Type2]]="N/A",Table1[[#This Row],[DUT Adj Read]]="N/A",Table1[[#This Row],[Std Adj Read]]="N/A"),"N/A",IF(Table1[[#This Row],[DUT Adj Read]]="N/A",IF(Table1[[#This Row],[Std Adj Read]]&gt;=Table1[[#This Row],[Low Tol]],"Pass","Fail"),IF(Table1[[#This Row],[DUT Adj Read]]&gt;=Table1[[#This Row],[Low Tol]],"Pass","Fail")))</f>
        <v>Pass</v>
      </c>
      <c r="AG2002" s="1" t="str">
        <f>IF(AND(Table1[[#This Row],[Spec Type2]]="N/A",Table1[[#This Row],[DUT Adj Read]]="N/A",Table1[[#This Row],[Std Adj Read]]="N/A"),"N/A",IF(Table1[[#This Row],[DUT Adj Read]]="N/A",IF(Table1[[#This Row],[Std Adj Read]]&lt;=Table1[[#This Row],[High Tol]],"Pass","Fail"),IF(Table1[[#This Row],[DUT Adj Read]]&lt;=Table1[[#This Row],[High Tol]],"Pass","Fail")))</f>
        <v>Fail</v>
      </c>
      <c r="AH20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2" s="1" t="b">
        <v>0</v>
      </c>
      <c r="AN2002" s="1" t="b">
        <v>0</v>
      </c>
      <c r="AO2002" s="1" t="b">
        <v>0</v>
      </c>
    </row>
    <row r="2003" spans="1:41" x14ac:dyDescent="0.25">
      <c r="A2003" s="10"/>
      <c r="B2003" s="10"/>
      <c r="C2003" s="10"/>
      <c r="D2003" s="10"/>
      <c r="E2003" s="10"/>
      <c r="F2003" s="10"/>
      <c r="G2003" s="10"/>
      <c r="H2003" s="10"/>
      <c r="I2003" s="1" t="str">
        <f t="shared" si="93"/>
        <v/>
      </c>
      <c r="J2003" s="1" t="s">
        <v>35</v>
      </c>
      <c r="K2003" s="1" t="str">
        <f t="shared" si="94"/>
        <v/>
      </c>
      <c r="L2003" s="1" t="str">
        <f t="shared" si="95"/>
        <v/>
      </c>
      <c r="M2003" s="1">
        <f>IF(OR(Table1[[#This Row],[Std Nom]]="",Table1[[#This Row],[Std Read]]=""),0,Table1[[#This Row],[Std Nom]]-Table1[[#This Row],[Std Read]])</f>
        <v>0</v>
      </c>
      <c r="N2003" s="1">
        <f>IF(Calculations!$F$5="ACCREDITED 17025 WITH UNCERTAINTIES",$N$10,0)</f>
        <v>0</v>
      </c>
      <c r="O2003" s="1" t="str">
        <f>IFERROR(Table1[[#This Row],[Std Nom]]-(_xlfn.XLOOKUP(Table1[[#This Row],[Manufacturer]]&amp;" "&amp;Table1[[#This Row],[Model]],Table13[MFR &amp; MDL],Table13[Tolerance % CW ],"")/100*Table1[[#This Row],[Std Nom]]),"")</f>
        <v/>
      </c>
      <c r="P2003" s="1" t="str">
        <f>IFERROR(Table1[[#This Row],[Std Nom]]+(_xlfn.XLOOKUP(Table1[[#This Row],[Manufacturer]]&amp;" "&amp;Table1[[#This Row],[Model]],Table13[MFR &amp; MDL],Table13[Tolerance % CW ],"")/100*Table1[[#This Row],[Std Nom]]),"")</f>
        <v/>
      </c>
      <c r="Q2003" s="1" t="e">
        <f>Table1[[#This Row],[High Tol]]-Table1[[#This Row],[Low Tol]]</f>
        <v>#VALUE!</v>
      </c>
      <c r="R2003" s="1">
        <f>2*Table1[[#This Row],[Std Error]]</f>
        <v>0</v>
      </c>
      <c r="S2003" s="1" t="str">
        <f>IF(Table1[[#This Row],[High Tol]]="","N/A",IFERROR(ABS(Table1[[#This Row],[Tol Span]]/Table1[[#This Row],[Error Span]]),"N/A"))</f>
        <v>N/A</v>
      </c>
      <c r="T2003" s="1" t="str">
        <f>IF(OR(Table1[[#This Row],[Low Tol]]="",Table1[[#This Row],[High Tol]]=""),"Needs Analysis",IF(Table1[[#This Row],[Ratio]]&gt;=4,"Not Significant",IF(Table1[[#This Row],[Ratio]]&gt;=2,"Semi-Significant","Significant")))</f>
        <v>Needs Analysis</v>
      </c>
      <c r="W2003" s="1">
        <f>IF(Table1[[#This Row],[Cal Type]]&lt;&gt;"ACCREDITED 17025 WITH UNCERTAINTIES",0,"")</f>
        <v>0</v>
      </c>
      <c r="X2003" s="1" t="str">
        <f>IF(Table1[[#This Row],[DUT Read]]="","N/A",Table1[[#This Row],[Std Error]]+Table1[[#This Row],[DUT Read]]+Table1[[#This Row],[DUT Ucty]])</f>
        <v>N/A</v>
      </c>
      <c r="Y2003" s="1" t="str">
        <f>IF(Table1[[#This Row],[Std Read]]="","N/A",Table1[[#This Row],[Std Read]]+Table1[[#This Row],[Std Ucty]])</f>
        <v>N/A</v>
      </c>
      <c r="Z20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3" s="1" t="str">
        <f>IF(Table1[[#This Row],[Spec Type]]="","N/A",Table1[[#This Row],[Spec Type]])</f>
        <v>±</v>
      </c>
      <c r="AC2003" s="1" t="str">
        <f>IF(Table1[[#This Row],[Spec Type2]]="N/A","N/A",IF(AND(Table1[[#This Row],[DUT Adj Read]]&gt;=Table1[[#This Row],[Low Tol]],Table1[[#This Row],[DUT Adj Read]]&lt;=Table1[[#This Row],[High Tol]]),"Pass","Fail"))</f>
        <v>Fail</v>
      </c>
      <c r="AD2003" s="1" t="str">
        <f>IF(AND(Table1[[#This Row],[Spec Type2]]="N/A",Table1[[#This Row],[DUT Adj Read]]="N/A",Table1[[#This Row],[Std Adj Read]]="N/A"),"N/A",IF(Table1[[#This Row],[DUT Adj Read]]="N/A",IF(Table1[[#This Row],[Std Adj Read]]&gt;Table1[[#This Row],[Low Tol]],"Pass","Fail"),IF(Table1[[#This Row],[DUT Adj Read]]&gt;Table1[[#This Row],[Low Tol]],"Pass","Fail")))</f>
        <v>Pass</v>
      </c>
      <c r="AE2003" s="1" t="str">
        <f>IF(AND(Table1[[#This Row],[Spec Type2]]="N/A",Table1[[#This Row],[DUT Adj Read]]="N/A",Table1[[#This Row],[Std Adj Read]]="N/A"),"N/A",IF(Table1[[#This Row],[DUT Adj Read]]="N/A",IF(Table1[[#This Row],[Std Adj Read]]&lt;Table1[[#This Row],[High Tol]],"Pass","Fail"),IF(Table1[[#This Row],[DUT Adj Read]]&lt;Table1[[#This Row],[High Tol]],"Pass","Fail")))</f>
        <v>Fail</v>
      </c>
      <c r="AF2003" s="1" t="str">
        <f>IF(AND(Table1[[#This Row],[Spec Type2]]="N/A",Table1[[#This Row],[DUT Adj Read]]="N/A",Table1[[#This Row],[Std Adj Read]]="N/A"),"N/A",IF(Table1[[#This Row],[DUT Adj Read]]="N/A",IF(Table1[[#This Row],[Std Adj Read]]&gt;=Table1[[#This Row],[Low Tol]],"Pass","Fail"),IF(Table1[[#This Row],[DUT Adj Read]]&gt;=Table1[[#This Row],[Low Tol]],"Pass","Fail")))</f>
        <v>Pass</v>
      </c>
      <c r="AG2003" s="1" t="str">
        <f>IF(AND(Table1[[#This Row],[Spec Type2]]="N/A",Table1[[#This Row],[DUT Adj Read]]="N/A",Table1[[#This Row],[Std Adj Read]]="N/A"),"N/A",IF(Table1[[#This Row],[DUT Adj Read]]="N/A",IF(Table1[[#This Row],[Std Adj Read]]&lt;=Table1[[#This Row],[High Tol]],"Pass","Fail"),IF(Table1[[#This Row],[DUT Adj Read]]&lt;=Table1[[#This Row],[High Tol]],"Pass","Fail")))</f>
        <v>Fail</v>
      </c>
      <c r="AH20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3" s="1" t="b">
        <v>0</v>
      </c>
      <c r="AN2003" s="1" t="b">
        <v>0</v>
      </c>
      <c r="AO2003" s="1" t="b">
        <v>0</v>
      </c>
    </row>
    <row r="2004" spans="1:41" x14ac:dyDescent="0.25">
      <c r="A2004" s="10"/>
      <c r="B2004" s="10"/>
      <c r="C2004" s="10"/>
      <c r="D2004" s="10"/>
      <c r="E2004" s="10"/>
      <c r="F2004" s="10"/>
      <c r="G2004" s="10"/>
      <c r="H2004" s="10"/>
      <c r="I2004" s="1" t="str">
        <f t="shared" si="93"/>
        <v/>
      </c>
      <c r="J2004" s="1" t="s">
        <v>35</v>
      </c>
      <c r="K2004" s="1" t="str">
        <f t="shared" si="94"/>
        <v/>
      </c>
      <c r="L2004" s="1" t="str">
        <f t="shared" si="95"/>
        <v/>
      </c>
      <c r="M2004" s="1">
        <f>IF(OR(Table1[[#This Row],[Std Nom]]="",Table1[[#This Row],[Std Read]]=""),0,Table1[[#This Row],[Std Nom]]-Table1[[#This Row],[Std Read]])</f>
        <v>0</v>
      </c>
      <c r="N2004" s="1">
        <f>IF(Calculations!$F$5="ACCREDITED 17025 WITH UNCERTAINTIES",$N$10,0)</f>
        <v>0</v>
      </c>
      <c r="O2004" s="1" t="str">
        <f>IFERROR(Table1[[#This Row],[Std Nom]]-(_xlfn.XLOOKUP(Table1[[#This Row],[Manufacturer]]&amp;" "&amp;Table1[[#This Row],[Model]],Table13[MFR &amp; MDL],Table13[Tolerance % CW ],"")/100*Table1[[#This Row],[Std Nom]]),"")</f>
        <v/>
      </c>
      <c r="P2004" s="1" t="str">
        <f>IFERROR(Table1[[#This Row],[Std Nom]]+(_xlfn.XLOOKUP(Table1[[#This Row],[Manufacturer]]&amp;" "&amp;Table1[[#This Row],[Model]],Table13[MFR &amp; MDL],Table13[Tolerance % CW ],"")/100*Table1[[#This Row],[Std Nom]]),"")</f>
        <v/>
      </c>
      <c r="Q2004" s="1" t="e">
        <f>Table1[[#This Row],[High Tol]]-Table1[[#This Row],[Low Tol]]</f>
        <v>#VALUE!</v>
      </c>
      <c r="R2004" s="1">
        <f>2*Table1[[#This Row],[Std Error]]</f>
        <v>0</v>
      </c>
      <c r="S2004" s="1" t="str">
        <f>IF(Table1[[#This Row],[High Tol]]="","N/A",IFERROR(ABS(Table1[[#This Row],[Tol Span]]/Table1[[#This Row],[Error Span]]),"N/A"))</f>
        <v>N/A</v>
      </c>
      <c r="T2004" s="1" t="str">
        <f>IF(OR(Table1[[#This Row],[Low Tol]]="",Table1[[#This Row],[High Tol]]=""),"Needs Analysis",IF(Table1[[#This Row],[Ratio]]&gt;=4,"Not Significant",IF(Table1[[#This Row],[Ratio]]&gt;=2,"Semi-Significant","Significant")))</f>
        <v>Needs Analysis</v>
      </c>
      <c r="W2004" s="1">
        <f>IF(Table1[[#This Row],[Cal Type]]&lt;&gt;"ACCREDITED 17025 WITH UNCERTAINTIES",0,"")</f>
        <v>0</v>
      </c>
      <c r="X2004" s="1" t="str">
        <f>IF(Table1[[#This Row],[DUT Read]]="","N/A",Table1[[#This Row],[Std Error]]+Table1[[#This Row],[DUT Read]]+Table1[[#This Row],[DUT Ucty]])</f>
        <v>N/A</v>
      </c>
      <c r="Y2004" s="1" t="str">
        <f>IF(Table1[[#This Row],[Std Read]]="","N/A",Table1[[#This Row],[Std Read]]+Table1[[#This Row],[Std Ucty]])</f>
        <v>N/A</v>
      </c>
      <c r="Z20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4" s="1" t="str">
        <f>IF(Table1[[#This Row],[Spec Type]]="","N/A",Table1[[#This Row],[Spec Type]])</f>
        <v>±</v>
      </c>
      <c r="AC2004" s="1" t="str">
        <f>IF(Table1[[#This Row],[Spec Type2]]="N/A","N/A",IF(AND(Table1[[#This Row],[DUT Adj Read]]&gt;=Table1[[#This Row],[Low Tol]],Table1[[#This Row],[DUT Adj Read]]&lt;=Table1[[#This Row],[High Tol]]),"Pass","Fail"))</f>
        <v>Fail</v>
      </c>
      <c r="AD2004" s="1" t="str">
        <f>IF(AND(Table1[[#This Row],[Spec Type2]]="N/A",Table1[[#This Row],[DUT Adj Read]]="N/A",Table1[[#This Row],[Std Adj Read]]="N/A"),"N/A",IF(Table1[[#This Row],[DUT Adj Read]]="N/A",IF(Table1[[#This Row],[Std Adj Read]]&gt;Table1[[#This Row],[Low Tol]],"Pass","Fail"),IF(Table1[[#This Row],[DUT Adj Read]]&gt;Table1[[#This Row],[Low Tol]],"Pass","Fail")))</f>
        <v>Pass</v>
      </c>
      <c r="AE2004" s="1" t="str">
        <f>IF(AND(Table1[[#This Row],[Spec Type2]]="N/A",Table1[[#This Row],[DUT Adj Read]]="N/A",Table1[[#This Row],[Std Adj Read]]="N/A"),"N/A",IF(Table1[[#This Row],[DUT Adj Read]]="N/A",IF(Table1[[#This Row],[Std Adj Read]]&lt;Table1[[#This Row],[High Tol]],"Pass","Fail"),IF(Table1[[#This Row],[DUT Adj Read]]&lt;Table1[[#This Row],[High Tol]],"Pass","Fail")))</f>
        <v>Fail</v>
      </c>
      <c r="AF2004" s="1" t="str">
        <f>IF(AND(Table1[[#This Row],[Spec Type2]]="N/A",Table1[[#This Row],[DUT Adj Read]]="N/A",Table1[[#This Row],[Std Adj Read]]="N/A"),"N/A",IF(Table1[[#This Row],[DUT Adj Read]]="N/A",IF(Table1[[#This Row],[Std Adj Read]]&gt;=Table1[[#This Row],[Low Tol]],"Pass","Fail"),IF(Table1[[#This Row],[DUT Adj Read]]&gt;=Table1[[#This Row],[Low Tol]],"Pass","Fail")))</f>
        <v>Pass</v>
      </c>
      <c r="AG2004" s="1" t="str">
        <f>IF(AND(Table1[[#This Row],[Spec Type2]]="N/A",Table1[[#This Row],[DUT Adj Read]]="N/A",Table1[[#This Row],[Std Adj Read]]="N/A"),"N/A",IF(Table1[[#This Row],[DUT Adj Read]]="N/A",IF(Table1[[#This Row],[Std Adj Read]]&lt;=Table1[[#This Row],[High Tol]],"Pass","Fail"),IF(Table1[[#This Row],[DUT Adj Read]]&lt;=Table1[[#This Row],[High Tol]],"Pass","Fail")))</f>
        <v>Fail</v>
      </c>
      <c r="AH20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4" s="1" t="b">
        <v>0</v>
      </c>
      <c r="AN2004" s="1" t="b">
        <v>0</v>
      </c>
      <c r="AO2004" s="1" t="b">
        <v>0</v>
      </c>
    </row>
    <row r="2005" spans="1:41" x14ac:dyDescent="0.25">
      <c r="A2005" s="10"/>
      <c r="B2005" s="10"/>
      <c r="C2005" s="10"/>
      <c r="D2005" s="10"/>
      <c r="E2005" s="10"/>
      <c r="F2005" s="10"/>
      <c r="G2005" s="10"/>
      <c r="H2005" s="10"/>
      <c r="I2005" s="1" t="str">
        <f t="shared" si="93"/>
        <v/>
      </c>
      <c r="J2005" s="1" t="s">
        <v>35</v>
      </c>
      <c r="K2005" s="1" t="str">
        <f t="shared" si="94"/>
        <v/>
      </c>
      <c r="L2005" s="1" t="str">
        <f t="shared" si="95"/>
        <v/>
      </c>
      <c r="M2005" s="1">
        <f>IF(OR(Table1[[#This Row],[Std Nom]]="",Table1[[#This Row],[Std Read]]=""),0,Table1[[#This Row],[Std Nom]]-Table1[[#This Row],[Std Read]])</f>
        <v>0</v>
      </c>
      <c r="N2005" s="1">
        <f>IF(Calculations!$F$5="ACCREDITED 17025 WITH UNCERTAINTIES",$N$10,0)</f>
        <v>0</v>
      </c>
      <c r="O2005" s="1" t="str">
        <f>IFERROR(Table1[[#This Row],[Std Nom]]-(_xlfn.XLOOKUP(Table1[[#This Row],[Manufacturer]]&amp;" "&amp;Table1[[#This Row],[Model]],Table13[MFR &amp; MDL],Table13[Tolerance % CW ],"")/100*Table1[[#This Row],[Std Nom]]),"")</f>
        <v/>
      </c>
      <c r="P2005" s="1" t="str">
        <f>IFERROR(Table1[[#This Row],[Std Nom]]+(_xlfn.XLOOKUP(Table1[[#This Row],[Manufacturer]]&amp;" "&amp;Table1[[#This Row],[Model]],Table13[MFR &amp; MDL],Table13[Tolerance % CW ],"")/100*Table1[[#This Row],[Std Nom]]),"")</f>
        <v/>
      </c>
      <c r="Q2005" s="1" t="e">
        <f>Table1[[#This Row],[High Tol]]-Table1[[#This Row],[Low Tol]]</f>
        <v>#VALUE!</v>
      </c>
      <c r="R2005" s="1">
        <f>2*Table1[[#This Row],[Std Error]]</f>
        <v>0</v>
      </c>
      <c r="S2005" s="1" t="str">
        <f>IF(Table1[[#This Row],[High Tol]]="","N/A",IFERROR(ABS(Table1[[#This Row],[Tol Span]]/Table1[[#This Row],[Error Span]]),"N/A"))</f>
        <v>N/A</v>
      </c>
      <c r="T2005" s="1" t="str">
        <f>IF(OR(Table1[[#This Row],[Low Tol]]="",Table1[[#This Row],[High Tol]]=""),"Needs Analysis",IF(Table1[[#This Row],[Ratio]]&gt;=4,"Not Significant",IF(Table1[[#This Row],[Ratio]]&gt;=2,"Semi-Significant","Significant")))</f>
        <v>Needs Analysis</v>
      </c>
      <c r="W2005" s="1">
        <f>IF(Table1[[#This Row],[Cal Type]]&lt;&gt;"ACCREDITED 17025 WITH UNCERTAINTIES",0,"")</f>
        <v>0</v>
      </c>
      <c r="X2005" s="1" t="str">
        <f>IF(Table1[[#This Row],[DUT Read]]="","N/A",Table1[[#This Row],[Std Error]]+Table1[[#This Row],[DUT Read]]+Table1[[#This Row],[DUT Ucty]])</f>
        <v>N/A</v>
      </c>
      <c r="Y2005" s="1" t="str">
        <f>IF(Table1[[#This Row],[Std Read]]="","N/A",Table1[[#This Row],[Std Read]]+Table1[[#This Row],[Std Ucty]])</f>
        <v>N/A</v>
      </c>
      <c r="Z20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5" s="1" t="str">
        <f>IF(Table1[[#This Row],[Spec Type]]="","N/A",Table1[[#This Row],[Spec Type]])</f>
        <v>±</v>
      </c>
      <c r="AC2005" s="1" t="str">
        <f>IF(Table1[[#This Row],[Spec Type2]]="N/A","N/A",IF(AND(Table1[[#This Row],[DUT Adj Read]]&gt;=Table1[[#This Row],[Low Tol]],Table1[[#This Row],[DUT Adj Read]]&lt;=Table1[[#This Row],[High Tol]]),"Pass","Fail"))</f>
        <v>Fail</v>
      </c>
      <c r="AD2005" s="1" t="str">
        <f>IF(AND(Table1[[#This Row],[Spec Type2]]="N/A",Table1[[#This Row],[DUT Adj Read]]="N/A",Table1[[#This Row],[Std Adj Read]]="N/A"),"N/A",IF(Table1[[#This Row],[DUT Adj Read]]="N/A",IF(Table1[[#This Row],[Std Adj Read]]&gt;Table1[[#This Row],[Low Tol]],"Pass","Fail"),IF(Table1[[#This Row],[DUT Adj Read]]&gt;Table1[[#This Row],[Low Tol]],"Pass","Fail")))</f>
        <v>Pass</v>
      </c>
      <c r="AE2005" s="1" t="str">
        <f>IF(AND(Table1[[#This Row],[Spec Type2]]="N/A",Table1[[#This Row],[DUT Adj Read]]="N/A",Table1[[#This Row],[Std Adj Read]]="N/A"),"N/A",IF(Table1[[#This Row],[DUT Adj Read]]="N/A",IF(Table1[[#This Row],[Std Adj Read]]&lt;Table1[[#This Row],[High Tol]],"Pass","Fail"),IF(Table1[[#This Row],[DUT Adj Read]]&lt;Table1[[#This Row],[High Tol]],"Pass","Fail")))</f>
        <v>Fail</v>
      </c>
      <c r="AF2005" s="1" t="str">
        <f>IF(AND(Table1[[#This Row],[Spec Type2]]="N/A",Table1[[#This Row],[DUT Adj Read]]="N/A",Table1[[#This Row],[Std Adj Read]]="N/A"),"N/A",IF(Table1[[#This Row],[DUT Adj Read]]="N/A",IF(Table1[[#This Row],[Std Adj Read]]&gt;=Table1[[#This Row],[Low Tol]],"Pass","Fail"),IF(Table1[[#This Row],[DUT Adj Read]]&gt;=Table1[[#This Row],[Low Tol]],"Pass","Fail")))</f>
        <v>Pass</v>
      </c>
      <c r="AG2005" s="1" t="str">
        <f>IF(AND(Table1[[#This Row],[Spec Type2]]="N/A",Table1[[#This Row],[DUT Adj Read]]="N/A",Table1[[#This Row],[Std Adj Read]]="N/A"),"N/A",IF(Table1[[#This Row],[DUT Adj Read]]="N/A",IF(Table1[[#This Row],[Std Adj Read]]&lt;=Table1[[#This Row],[High Tol]],"Pass","Fail"),IF(Table1[[#This Row],[DUT Adj Read]]&lt;=Table1[[#This Row],[High Tol]],"Pass","Fail")))</f>
        <v>Fail</v>
      </c>
      <c r="AH20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5" s="1" t="b">
        <v>0</v>
      </c>
      <c r="AN2005" s="1" t="b">
        <v>0</v>
      </c>
      <c r="AO2005" s="1" t="b">
        <v>0</v>
      </c>
    </row>
    <row r="2006" spans="1:41" x14ac:dyDescent="0.25">
      <c r="A2006" s="10"/>
      <c r="B2006" s="10"/>
      <c r="C2006" s="10"/>
      <c r="D2006" s="10"/>
      <c r="E2006" s="10"/>
      <c r="F2006" s="10"/>
      <c r="G2006" s="10"/>
      <c r="H2006" s="10"/>
      <c r="I2006" s="1" t="str">
        <f t="shared" si="93"/>
        <v/>
      </c>
      <c r="J2006" s="1" t="s">
        <v>35</v>
      </c>
      <c r="K2006" s="1" t="str">
        <f t="shared" si="94"/>
        <v/>
      </c>
      <c r="L2006" s="1" t="str">
        <f t="shared" si="95"/>
        <v/>
      </c>
      <c r="M2006" s="1">
        <f>IF(OR(Table1[[#This Row],[Std Nom]]="",Table1[[#This Row],[Std Read]]=""),0,Table1[[#This Row],[Std Nom]]-Table1[[#This Row],[Std Read]])</f>
        <v>0</v>
      </c>
      <c r="N2006" s="1">
        <f>IF(Calculations!$F$5="ACCREDITED 17025 WITH UNCERTAINTIES",$N$10,0)</f>
        <v>0</v>
      </c>
      <c r="O2006" s="1" t="str">
        <f>IFERROR(Table1[[#This Row],[Std Nom]]-(_xlfn.XLOOKUP(Table1[[#This Row],[Manufacturer]]&amp;" "&amp;Table1[[#This Row],[Model]],Table13[MFR &amp; MDL],Table13[Tolerance % CW ],"")/100*Table1[[#This Row],[Std Nom]]),"")</f>
        <v/>
      </c>
      <c r="P2006" s="1" t="str">
        <f>IFERROR(Table1[[#This Row],[Std Nom]]+(_xlfn.XLOOKUP(Table1[[#This Row],[Manufacturer]]&amp;" "&amp;Table1[[#This Row],[Model]],Table13[MFR &amp; MDL],Table13[Tolerance % CW ],"")/100*Table1[[#This Row],[Std Nom]]),"")</f>
        <v/>
      </c>
      <c r="Q2006" s="1" t="e">
        <f>Table1[[#This Row],[High Tol]]-Table1[[#This Row],[Low Tol]]</f>
        <v>#VALUE!</v>
      </c>
      <c r="R2006" s="1">
        <f>2*Table1[[#This Row],[Std Error]]</f>
        <v>0</v>
      </c>
      <c r="S2006" s="1" t="str">
        <f>IF(Table1[[#This Row],[High Tol]]="","N/A",IFERROR(ABS(Table1[[#This Row],[Tol Span]]/Table1[[#This Row],[Error Span]]),"N/A"))</f>
        <v>N/A</v>
      </c>
      <c r="T2006" s="1" t="str">
        <f>IF(OR(Table1[[#This Row],[Low Tol]]="",Table1[[#This Row],[High Tol]]=""),"Needs Analysis",IF(Table1[[#This Row],[Ratio]]&gt;=4,"Not Significant",IF(Table1[[#This Row],[Ratio]]&gt;=2,"Semi-Significant","Significant")))</f>
        <v>Needs Analysis</v>
      </c>
      <c r="W2006" s="1">
        <f>IF(Table1[[#This Row],[Cal Type]]&lt;&gt;"ACCREDITED 17025 WITH UNCERTAINTIES",0,"")</f>
        <v>0</v>
      </c>
      <c r="X2006" s="1" t="str">
        <f>IF(Table1[[#This Row],[DUT Read]]="","N/A",Table1[[#This Row],[Std Error]]+Table1[[#This Row],[DUT Read]]+Table1[[#This Row],[DUT Ucty]])</f>
        <v>N/A</v>
      </c>
      <c r="Y2006" s="1" t="str">
        <f>IF(Table1[[#This Row],[Std Read]]="","N/A",Table1[[#This Row],[Std Read]]+Table1[[#This Row],[Std Ucty]])</f>
        <v>N/A</v>
      </c>
      <c r="Z20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6" s="1" t="str">
        <f>IF(Table1[[#This Row],[Spec Type]]="","N/A",Table1[[#This Row],[Spec Type]])</f>
        <v>±</v>
      </c>
      <c r="AC2006" s="1" t="str">
        <f>IF(Table1[[#This Row],[Spec Type2]]="N/A","N/A",IF(AND(Table1[[#This Row],[DUT Adj Read]]&gt;=Table1[[#This Row],[Low Tol]],Table1[[#This Row],[DUT Adj Read]]&lt;=Table1[[#This Row],[High Tol]]),"Pass","Fail"))</f>
        <v>Fail</v>
      </c>
      <c r="AD2006" s="1" t="str">
        <f>IF(AND(Table1[[#This Row],[Spec Type2]]="N/A",Table1[[#This Row],[DUT Adj Read]]="N/A",Table1[[#This Row],[Std Adj Read]]="N/A"),"N/A",IF(Table1[[#This Row],[DUT Adj Read]]="N/A",IF(Table1[[#This Row],[Std Adj Read]]&gt;Table1[[#This Row],[Low Tol]],"Pass","Fail"),IF(Table1[[#This Row],[DUT Adj Read]]&gt;Table1[[#This Row],[Low Tol]],"Pass","Fail")))</f>
        <v>Pass</v>
      </c>
      <c r="AE2006" s="1" t="str">
        <f>IF(AND(Table1[[#This Row],[Spec Type2]]="N/A",Table1[[#This Row],[DUT Adj Read]]="N/A",Table1[[#This Row],[Std Adj Read]]="N/A"),"N/A",IF(Table1[[#This Row],[DUT Adj Read]]="N/A",IF(Table1[[#This Row],[Std Adj Read]]&lt;Table1[[#This Row],[High Tol]],"Pass","Fail"),IF(Table1[[#This Row],[DUT Adj Read]]&lt;Table1[[#This Row],[High Tol]],"Pass","Fail")))</f>
        <v>Fail</v>
      </c>
      <c r="AF2006" s="1" t="str">
        <f>IF(AND(Table1[[#This Row],[Spec Type2]]="N/A",Table1[[#This Row],[DUT Adj Read]]="N/A",Table1[[#This Row],[Std Adj Read]]="N/A"),"N/A",IF(Table1[[#This Row],[DUT Adj Read]]="N/A",IF(Table1[[#This Row],[Std Adj Read]]&gt;=Table1[[#This Row],[Low Tol]],"Pass","Fail"),IF(Table1[[#This Row],[DUT Adj Read]]&gt;=Table1[[#This Row],[Low Tol]],"Pass","Fail")))</f>
        <v>Pass</v>
      </c>
      <c r="AG2006" s="1" t="str">
        <f>IF(AND(Table1[[#This Row],[Spec Type2]]="N/A",Table1[[#This Row],[DUT Adj Read]]="N/A",Table1[[#This Row],[Std Adj Read]]="N/A"),"N/A",IF(Table1[[#This Row],[DUT Adj Read]]="N/A",IF(Table1[[#This Row],[Std Adj Read]]&lt;=Table1[[#This Row],[High Tol]],"Pass","Fail"),IF(Table1[[#This Row],[DUT Adj Read]]&lt;=Table1[[#This Row],[High Tol]],"Pass","Fail")))</f>
        <v>Fail</v>
      </c>
      <c r="AH20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6" s="1" t="b">
        <v>0</v>
      </c>
      <c r="AN2006" s="1" t="b">
        <v>0</v>
      </c>
      <c r="AO2006" s="1" t="b">
        <v>0</v>
      </c>
    </row>
    <row r="2007" spans="1:41" x14ac:dyDescent="0.25">
      <c r="A2007" s="10"/>
      <c r="B2007" s="10"/>
      <c r="C2007" s="10"/>
      <c r="D2007" s="10"/>
      <c r="E2007" s="10"/>
      <c r="F2007" s="10"/>
      <c r="G2007" s="10"/>
      <c r="H2007" s="10"/>
      <c r="I2007" s="1" t="str">
        <f t="shared" si="93"/>
        <v/>
      </c>
      <c r="J2007" s="1" t="s">
        <v>35</v>
      </c>
      <c r="K2007" s="1" t="str">
        <f t="shared" si="94"/>
        <v/>
      </c>
      <c r="L2007" s="1" t="str">
        <f t="shared" si="95"/>
        <v/>
      </c>
      <c r="M2007" s="1">
        <f>IF(OR(Table1[[#This Row],[Std Nom]]="",Table1[[#This Row],[Std Read]]=""),0,Table1[[#This Row],[Std Nom]]-Table1[[#This Row],[Std Read]])</f>
        <v>0</v>
      </c>
      <c r="N2007" s="1">
        <f>IF(Calculations!$F$5="ACCREDITED 17025 WITH UNCERTAINTIES",$N$10,0)</f>
        <v>0</v>
      </c>
      <c r="O2007" s="1" t="str">
        <f>IFERROR(Table1[[#This Row],[Std Nom]]-(_xlfn.XLOOKUP(Table1[[#This Row],[Manufacturer]]&amp;" "&amp;Table1[[#This Row],[Model]],Table13[MFR &amp; MDL],Table13[Tolerance % CW ],"")/100*Table1[[#This Row],[Std Nom]]),"")</f>
        <v/>
      </c>
      <c r="P2007" s="1" t="str">
        <f>IFERROR(Table1[[#This Row],[Std Nom]]+(_xlfn.XLOOKUP(Table1[[#This Row],[Manufacturer]]&amp;" "&amp;Table1[[#This Row],[Model]],Table13[MFR &amp; MDL],Table13[Tolerance % CW ],"")/100*Table1[[#This Row],[Std Nom]]),"")</f>
        <v/>
      </c>
      <c r="Q2007" s="1" t="e">
        <f>Table1[[#This Row],[High Tol]]-Table1[[#This Row],[Low Tol]]</f>
        <v>#VALUE!</v>
      </c>
      <c r="R2007" s="1">
        <f>2*Table1[[#This Row],[Std Error]]</f>
        <v>0</v>
      </c>
      <c r="S2007" s="1" t="str">
        <f>IF(Table1[[#This Row],[High Tol]]="","N/A",IFERROR(ABS(Table1[[#This Row],[Tol Span]]/Table1[[#This Row],[Error Span]]),"N/A"))</f>
        <v>N/A</v>
      </c>
      <c r="T2007" s="1" t="str">
        <f>IF(OR(Table1[[#This Row],[Low Tol]]="",Table1[[#This Row],[High Tol]]=""),"Needs Analysis",IF(Table1[[#This Row],[Ratio]]&gt;=4,"Not Significant",IF(Table1[[#This Row],[Ratio]]&gt;=2,"Semi-Significant","Significant")))</f>
        <v>Needs Analysis</v>
      </c>
      <c r="W2007" s="1">
        <f>IF(Table1[[#This Row],[Cal Type]]&lt;&gt;"ACCREDITED 17025 WITH UNCERTAINTIES",0,"")</f>
        <v>0</v>
      </c>
      <c r="X2007" s="1" t="str">
        <f>IF(Table1[[#This Row],[DUT Read]]="","N/A",Table1[[#This Row],[Std Error]]+Table1[[#This Row],[DUT Read]]+Table1[[#This Row],[DUT Ucty]])</f>
        <v>N/A</v>
      </c>
      <c r="Y2007" s="1" t="str">
        <f>IF(Table1[[#This Row],[Std Read]]="","N/A",Table1[[#This Row],[Std Read]]+Table1[[#This Row],[Std Ucty]])</f>
        <v>N/A</v>
      </c>
      <c r="Z20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7" s="1" t="str">
        <f>IF(Table1[[#This Row],[Spec Type]]="","N/A",Table1[[#This Row],[Spec Type]])</f>
        <v>±</v>
      </c>
      <c r="AC2007" s="1" t="str">
        <f>IF(Table1[[#This Row],[Spec Type2]]="N/A","N/A",IF(AND(Table1[[#This Row],[DUT Adj Read]]&gt;=Table1[[#This Row],[Low Tol]],Table1[[#This Row],[DUT Adj Read]]&lt;=Table1[[#This Row],[High Tol]]),"Pass","Fail"))</f>
        <v>Fail</v>
      </c>
      <c r="AD2007" s="1" t="str">
        <f>IF(AND(Table1[[#This Row],[Spec Type2]]="N/A",Table1[[#This Row],[DUT Adj Read]]="N/A",Table1[[#This Row],[Std Adj Read]]="N/A"),"N/A",IF(Table1[[#This Row],[DUT Adj Read]]="N/A",IF(Table1[[#This Row],[Std Adj Read]]&gt;Table1[[#This Row],[Low Tol]],"Pass","Fail"),IF(Table1[[#This Row],[DUT Adj Read]]&gt;Table1[[#This Row],[Low Tol]],"Pass","Fail")))</f>
        <v>Pass</v>
      </c>
      <c r="AE2007" s="1" t="str">
        <f>IF(AND(Table1[[#This Row],[Spec Type2]]="N/A",Table1[[#This Row],[DUT Adj Read]]="N/A",Table1[[#This Row],[Std Adj Read]]="N/A"),"N/A",IF(Table1[[#This Row],[DUT Adj Read]]="N/A",IF(Table1[[#This Row],[Std Adj Read]]&lt;Table1[[#This Row],[High Tol]],"Pass","Fail"),IF(Table1[[#This Row],[DUT Adj Read]]&lt;Table1[[#This Row],[High Tol]],"Pass","Fail")))</f>
        <v>Fail</v>
      </c>
      <c r="AF2007" s="1" t="str">
        <f>IF(AND(Table1[[#This Row],[Spec Type2]]="N/A",Table1[[#This Row],[DUT Adj Read]]="N/A",Table1[[#This Row],[Std Adj Read]]="N/A"),"N/A",IF(Table1[[#This Row],[DUT Adj Read]]="N/A",IF(Table1[[#This Row],[Std Adj Read]]&gt;=Table1[[#This Row],[Low Tol]],"Pass","Fail"),IF(Table1[[#This Row],[DUT Adj Read]]&gt;=Table1[[#This Row],[Low Tol]],"Pass","Fail")))</f>
        <v>Pass</v>
      </c>
      <c r="AG2007" s="1" t="str">
        <f>IF(AND(Table1[[#This Row],[Spec Type2]]="N/A",Table1[[#This Row],[DUT Adj Read]]="N/A",Table1[[#This Row],[Std Adj Read]]="N/A"),"N/A",IF(Table1[[#This Row],[DUT Adj Read]]="N/A",IF(Table1[[#This Row],[Std Adj Read]]&lt;=Table1[[#This Row],[High Tol]],"Pass","Fail"),IF(Table1[[#This Row],[DUT Adj Read]]&lt;=Table1[[#This Row],[High Tol]],"Pass","Fail")))</f>
        <v>Fail</v>
      </c>
      <c r="AH20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7" s="1" t="b">
        <v>0</v>
      </c>
      <c r="AN2007" s="1" t="b">
        <v>0</v>
      </c>
      <c r="AO2007" s="1" t="b">
        <v>0</v>
      </c>
    </row>
    <row r="2008" spans="1:41" x14ac:dyDescent="0.25">
      <c r="A2008" s="10"/>
      <c r="B2008" s="10"/>
      <c r="C2008" s="10"/>
      <c r="D2008" s="10"/>
      <c r="E2008" s="10"/>
      <c r="F2008" s="10"/>
      <c r="G2008" s="10"/>
      <c r="H2008" s="10"/>
      <c r="I2008" s="1" t="str">
        <f t="shared" si="93"/>
        <v/>
      </c>
      <c r="J2008" s="1" t="s">
        <v>35</v>
      </c>
      <c r="K2008" s="1" t="str">
        <f t="shared" si="94"/>
        <v/>
      </c>
      <c r="L2008" s="1" t="str">
        <f t="shared" si="95"/>
        <v/>
      </c>
      <c r="M2008" s="1">
        <f>IF(OR(Table1[[#This Row],[Std Nom]]="",Table1[[#This Row],[Std Read]]=""),0,Table1[[#This Row],[Std Nom]]-Table1[[#This Row],[Std Read]])</f>
        <v>0</v>
      </c>
      <c r="N2008" s="1">
        <f>IF(Calculations!$F$5="ACCREDITED 17025 WITH UNCERTAINTIES",$N$10,0)</f>
        <v>0</v>
      </c>
      <c r="O2008" s="1" t="str">
        <f>IFERROR(Table1[[#This Row],[Std Nom]]-(_xlfn.XLOOKUP(Table1[[#This Row],[Manufacturer]]&amp;" "&amp;Table1[[#This Row],[Model]],Table13[MFR &amp; MDL],Table13[Tolerance % CW ],"")/100*Table1[[#This Row],[Std Nom]]),"")</f>
        <v/>
      </c>
      <c r="P2008" s="1" t="str">
        <f>IFERROR(Table1[[#This Row],[Std Nom]]+(_xlfn.XLOOKUP(Table1[[#This Row],[Manufacturer]]&amp;" "&amp;Table1[[#This Row],[Model]],Table13[MFR &amp; MDL],Table13[Tolerance % CW ],"")/100*Table1[[#This Row],[Std Nom]]),"")</f>
        <v/>
      </c>
      <c r="Q2008" s="1" t="e">
        <f>Table1[[#This Row],[High Tol]]-Table1[[#This Row],[Low Tol]]</f>
        <v>#VALUE!</v>
      </c>
      <c r="R2008" s="1">
        <f>2*Table1[[#This Row],[Std Error]]</f>
        <v>0</v>
      </c>
      <c r="S2008" s="1" t="str">
        <f>IF(Table1[[#This Row],[High Tol]]="","N/A",IFERROR(ABS(Table1[[#This Row],[Tol Span]]/Table1[[#This Row],[Error Span]]),"N/A"))</f>
        <v>N/A</v>
      </c>
      <c r="T2008" s="1" t="str">
        <f>IF(OR(Table1[[#This Row],[Low Tol]]="",Table1[[#This Row],[High Tol]]=""),"Needs Analysis",IF(Table1[[#This Row],[Ratio]]&gt;=4,"Not Significant",IF(Table1[[#This Row],[Ratio]]&gt;=2,"Semi-Significant","Significant")))</f>
        <v>Needs Analysis</v>
      </c>
      <c r="W2008" s="1">
        <f>IF(Table1[[#This Row],[Cal Type]]&lt;&gt;"ACCREDITED 17025 WITH UNCERTAINTIES",0,"")</f>
        <v>0</v>
      </c>
      <c r="X2008" s="1" t="str">
        <f>IF(Table1[[#This Row],[DUT Read]]="","N/A",Table1[[#This Row],[Std Error]]+Table1[[#This Row],[DUT Read]]+Table1[[#This Row],[DUT Ucty]])</f>
        <v>N/A</v>
      </c>
      <c r="Y2008" s="1" t="str">
        <f>IF(Table1[[#This Row],[Std Read]]="","N/A",Table1[[#This Row],[Std Read]]+Table1[[#This Row],[Std Ucty]])</f>
        <v>N/A</v>
      </c>
      <c r="Z20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8" s="1" t="str">
        <f>IF(Table1[[#This Row],[Spec Type]]="","N/A",Table1[[#This Row],[Spec Type]])</f>
        <v>±</v>
      </c>
      <c r="AC2008" s="1" t="str">
        <f>IF(Table1[[#This Row],[Spec Type2]]="N/A","N/A",IF(AND(Table1[[#This Row],[DUT Adj Read]]&gt;=Table1[[#This Row],[Low Tol]],Table1[[#This Row],[DUT Adj Read]]&lt;=Table1[[#This Row],[High Tol]]),"Pass","Fail"))</f>
        <v>Fail</v>
      </c>
      <c r="AD2008" s="1" t="str">
        <f>IF(AND(Table1[[#This Row],[Spec Type2]]="N/A",Table1[[#This Row],[DUT Adj Read]]="N/A",Table1[[#This Row],[Std Adj Read]]="N/A"),"N/A",IF(Table1[[#This Row],[DUT Adj Read]]="N/A",IF(Table1[[#This Row],[Std Adj Read]]&gt;Table1[[#This Row],[Low Tol]],"Pass","Fail"),IF(Table1[[#This Row],[DUT Adj Read]]&gt;Table1[[#This Row],[Low Tol]],"Pass","Fail")))</f>
        <v>Pass</v>
      </c>
      <c r="AE2008" s="1" t="str">
        <f>IF(AND(Table1[[#This Row],[Spec Type2]]="N/A",Table1[[#This Row],[DUT Adj Read]]="N/A",Table1[[#This Row],[Std Adj Read]]="N/A"),"N/A",IF(Table1[[#This Row],[DUT Adj Read]]="N/A",IF(Table1[[#This Row],[Std Adj Read]]&lt;Table1[[#This Row],[High Tol]],"Pass","Fail"),IF(Table1[[#This Row],[DUT Adj Read]]&lt;Table1[[#This Row],[High Tol]],"Pass","Fail")))</f>
        <v>Fail</v>
      </c>
      <c r="AF2008" s="1" t="str">
        <f>IF(AND(Table1[[#This Row],[Spec Type2]]="N/A",Table1[[#This Row],[DUT Adj Read]]="N/A",Table1[[#This Row],[Std Adj Read]]="N/A"),"N/A",IF(Table1[[#This Row],[DUT Adj Read]]="N/A",IF(Table1[[#This Row],[Std Adj Read]]&gt;=Table1[[#This Row],[Low Tol]],"Pass","Fail"),IF(Table1[[#This Row],[DUT Adj Read]]&gt;=Table1[[#This Row],[Low Tol]],"Pass","Fail")))</f>
        <v>Pass</v>
      </c>
      <c r="AG2008" s="1" t="str">
        <f>IF(AND(Table1[[#This Row],[Spec Type2]]="N/A",Table1[[#This Row],[DUT Adj Read]]="N/A",Table1[[#This Row],[Std Adj Read]]="N/A"),"N/A",IF(Table1[[#This Row],[DUT Adj Read]]="N/A",IF(Table1[[#This Row],[Std Adj Read]]&lt;=Table1[[#This Row],[High Tol]],"Pass","Fail"),IF(Table1[[#This Row],[DUT Adj Read]]&lt;=Table1[[#This Row],[High Tol]],"Pass","Fail")))</f>
        <v>Fail</v>
      </c>
      <c r="AH20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8" s="1" t="b">
        <v>0</v>
      </c>
      <c r="AN2008" s="1" t="b">
        <v>0</v>
      </c>
      <c r="AO2008" s="1" t="b">
        <v>0</v>
      </c>
    </row>
    <row r="2009" spans="1:41" x14ac:dyDescent="0.25">
      <c r="A2009" s="10"/>
      <c r="B2009" s="10"/>
      <c r="C2009" s="10"/>
      <c r="D2009" s="10"/>
      <c r="E2009" s="10"/>
      <c r="F2009" s="10"/>
      <c r="G2009" s="10"/>
      <c r="H2009" s="10"/>
      <c r="I2009" s="1" t="str">
        <f t="shared" si="93"/>
        <v/>
      </c>
      <c r="J2009" s="1" t="s">
        <v>35</v>
      </c>
      <c r="K2009" s="1" t="str">
        <f t="shared" si="94"/>
        <v/>
      </c>
      <c r="L2009" s="1" t="str">
        <f t="shared" si="95"/>
        <v/>
      </c>
      <c r="M2009" s="1">
        <f>IF(OR(Table1[[#This Row],[Std Nom]]="",Table1[[#This Row],[Std Read]]=""),0,Table1[[#This Row],[Std Nom]]-Table1[[#This Row],[Std Read]])</f>
        <v>0</v>
      </c>
      <c r="N2009" s="1">
        <f>IF(Calculations!$F$5="ACCREDITED 17025 WITH UNCERTAINTIES",$N$10,0)</f>
        <v>0</v>
      </c>
      <c r="O2009" s="1" t="str">
        <f>IFERROR(Table1[[#This Row],[Std Nom]]-(_xlfn.XLOOKUP(Table1[[#This Row],[Manufacturer]]&amp;" "&amp;Table1[[#This Row],[Model]],Table13[MFR &amp; MDL],Table13[Tolerance % CW ],"")/100*Table1[[#This Row],[Std Nom]]),"")</f>
        <v/>
      </c>
      <c r="P2009" s="1" t="str">
        <f>IFERROR(Table1[[#This Row],[Std Nom]]+(_xlfn.XLOOKUP(Table1[[#This Row],[Manufacturer]]&amp;" "&amp;Table1[[#This Row],[Model]],Table13[MFR &amp; MDL],Table13[Tolerance % CW ],"")/100*Table1[[#This Row],[Std Nom]]),"")</f>
        <v/>
      </c>
      <c r="Q2009" s="1" t="e">
        <f>Table1[[#This Row],[High Tol]]-Table1[[#This Row],[Low Tol]]</f>
        <v>#VALUE!</v>
      </c>
      <c r="R2009" s="1">
        <f>2*Table1[[#This Row],[Std Error]]</f>
        <v>0</v>
      </c>
      <c r="S2009" s="1" t="str">
        <f>IF(Table1[[#This Row],[High Tol]]="","N/A",IFERROR(ABS(Table1[[#This Row],[Tol Span]]/Table1[[#This Row],[Error Span]]),"N/A"))</f>
        <v>N/A</v>
      </c>
      <c r="T2009" s="1" t="str">
        <f>IF(OR(Table1[[#This Row],[Low Tol]]="",Table1[[#This Row],[High Tol]]=""),"Needs Analysis",IF(Table1[[#This Row],[Ratio]]&gt;=4,"Not Significant",IF(Table1[[#This Row],[Ratio]]&gt;=2,"Semi-Significant","Significant")))</f>
        <v>Needs Analysis</v>
      </c>
      <c r="W2009" s="1">
        <f>IF(Table1[[#This Row],[Cal Type]]&lt;&gt;"ACCREDITED 17025 WITH UNCERTAINTIES",0,"")</f>
        <v>0</v>
      </c>
      <c r="X2009" s="1" t="str">
        <f>IF(Table1[[#This Row],[DUT Read]]="","N/A",Table1[[#This Row],[Std Error]]+Table1[[#This Row],[DUT Read]]+Table1[[#This Row],[DUT Ucty]])</f>
        <v>N/A</v>
      </c>
      <c r="Y2009" s="1" t="str">
        <f>IF(Table1[[#This Row],[Std Read]]="","N/A",Table1[[#This Row],[Std Read]]+Table1[[#This Row],[Std Ucty]])</f>
        <v>N/A</v>
      </c>
      <c r="Z20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9" s="1" t="str">
        <f>IF(Table1[[#This Row],[Spec Type]]="","N/A",Table1[[#This Row],[Spec Type]])</f>
        <v>±</v>
      </c>
      <c r="AC2009" s="1" t="str">
        <f>IF(Table1[[#This Row],[Spec Type2]]="N/A","N/A",IF(AND(Table1[[#This Row],[DUT Adj Read]]&gt;=Table1[[#This Row],[Low Tol]],Table1[[#This Row],[DUT Adj Read]]&lt;=Table1[[#This Row],[High Tol]]),"Pass","Fail"))</f>
        <v>Fail</v>
      </c>
      <c r="AD2009" s="1" t="str">
        <f>IF(AND(Table1[[#This Row],[Spec Type2]]="N/A",Table1[[#This Row],[DUT Adj Read]]="N/A",Table1[[#This Row],[Std Adj Read]]="N/A"),"N/A",IF(Table1[[#This Row],[DUT Adj Read]]="N/A",IF(Table1[[#This Row],[Std Adj Read]]&gt;Table1[[#This Row],[Low Tol]],"Pass","Fail"),IF(Table1[[#This Row],[DUT Adj Read]]&gt;Table1[[#This Row],[Low Tol]],"Pass","Fail")))</f>
        <v>Pass</v>
      </c>
      <c r="AE2009" s="1" t="str">
        <f>IF(AND(Table1[[#This Row],[Spec Type2]]="N/A",Table1[[#This Row],[DUT Adj Read]]="N/A",Table1[[#This Row],[Std Adj Read]]="N/A"),"N/A",IF(Table1[[#This Row],[DUT Adj Read]]="N/A",IF(Table1[[#This Row],[Std Adj Read]]&lt;Table1[[#This Row],[High Tol]],"Pass","Fail"),IF(Table1[[#This Row],[DUT Adj Read]]&lt;Table1[[#This Row],[High Tol]],"Pass","Fail")))</f>
        <v>Fail</v>
      </c>
      <c r="AF2009" s="1" t="str">
        <f>IF(AND(Table1[[#This Row],[Spec Type2]]="N/A",Table1[[#This Row],[DUT Adj Read]]="N/A",Table1[[#This Row],[Std Adj Read]]="N/A"),"N/A",IF(Table1[[#This Row],[DUT Adj Read]]="N/A",IF(Table1[[#This Row],[Std Adj Read]]&gt;=Table1[[#This Row],[Low Tol]],"Pass","Fail"),IF(Table1[[#This Row],[DUT Adj Read]]&gt;=Table1[[#This Row],[Low Tol]],"Pass","Fail")))</f>
        <v>Pass</v>
      </c>
      <c r="AG2009" s="1" t="str">
        <f>IF(AND(Table1[[#This Row],[Spec Type2]]="N/A",Table1[[#This Row],[DUT Adj Read]]="N/A",Table1[[#This Row],[Std Adj Read]]="N/A"),"N/A",IF(Table1[[#This Row],[DUT Adj Read]]="N/A",IF(Table1[[#This Row],[Std Adj Read]]&lt;=Table1[[#This Row],[High Tol]],"Pass","Fail"),IF(Table1[[#This Row],[DUT Adj Read]]&lt;=Table1[[#This Row],[High Tol]],"Pass","Fail")))</f>
        <v>Fail</v>
      </c>
      <c r="AH20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9" s="1" t="b">
        <v>0</v>
      </c>
      <c r="AN2009" s="1" t="b">
        <v>0</v>
      </c>
      <c r="AO2009" s="1" t="b">
        <v>0</v>
      </c>
    </row>
    <row r="2010" spans="1:41" x14ac:dyDescent="0.25">
      <c r="A2010" s="10"/>
      <c r="B2010" s="10"/>
      <c r="C2010" s="10"/>
      <c r="D2010" s="10"/>
      <c r="E2010" s="10"/>
      <c r="F2010" s="10"/>
      <c r="G2010" s="10"/>
      <c r="H2010" s="10"/>
      <c r="I2010" s="1" t="str">
        <f t="shared" si="93"/>
        <v/>
      </c>
      <c r="J2010" s="1" t="s">
        <v>35</v>
      </c>
      <c r="K2010" s="1" t="str">
        <f t="shared" si="94"/>
        <v/>
      </c>
      <c r="L2010" s="1" t="str">
        <f t="shared" si="95"/>
        <v/>
      </c>
      <c r="M2010" s="1">
        <f>IF(OR(Table1[[#This Row],[Std Nom]]="",Table1[[#This Row],[Std Read]]=""),0,Table1[[#This Row],[Std Nom]]-Table1[[#This Row],[Std Read]])</f>
        <v>0</v>
      </c>
      <c r="N2010" s="1">
        <f>IF(Calculations!$F$5="ACCREDITED 17025 WITH UNCERTAINTIES",$N$10,0)</f>
        <v>0</v>
      </c>
      <c r="O2010" s="1" t="str">
        <f>IFERROR(Table1[[#This Row],[Std Nom]]-(_xlfn.XLOOKUP(Table1[[#This Row],[Manufacturer]]&amp;" "&amp;Table1[[#This Row],[Model]],Table13[MFR &amp; MDL],Table13[Tolerance % CW ],"")/100*Table1[[#This Row],[Std Nom]]),"")</f>
        <v/>
      </c>
      <c r="P2010" s="1" t="str">
        <f>IFERROR(Table1[[#This Row],[Std Nom]]+(_xlfn.XLOOKUP(Table1[[#This Row],[Manufacturer]]&amp;" "&amp;Table1[[#This Row],[Model]],Table13[MFR &amp; MDL],Table13[Tolerance % CW ],"")/100*Table1[[#This Row],[Std Nom]]),"")</f>
        <v/>
      </c>
      <c r="Q2010" s="1" t="e">
        <f>Table1[[#This Row],[High Tol]]-Table1[[#This Row],[Low Tol]]</f>
        <v>#VALUE!</v>
      </c>
      <c r="R2010" s="1">
        <f>2*Table1[[#This Row],[Std Error]]</f>
        <v>0</v>
      </c>
      <c r="S2010" s="1" t="str">
        <f>IF(Table1[[#This Row],[High Tol]]="","N/A",IFERROR(ABS(Table1[[#This Row],[Tol Span]]/Table1[[#This Row],[Error Span]]),"N/A"))</f>
        <v>N/A</v>
      </c>
      <c r="T2010" s="1" t="str">
        <f>IF(OR(Table1[[#This Row],[Low Tol]]="",Table1[[#This Row],[High Tol]]=""),"Needs Analysis",IF(Table1[[#This Row],[Ratio]]&gt;=4,"Not Significant",IF(Table1[[#This Row],[Ratio]]&gt;=2,"Semi-Significant","Significant")))</f>
        <v>Needs Analysis</v>
      </c>
      <c r="W2010" s="1">
        <f>IF(Table1[[#This Row],[Cal Type]]&lt;&gt;"ACCREDITED 17025 WITH UNCERTAINTIES",0,"")</f>
        <v>0</v>
      </c>
      <c r="X2010" s="1" t="str">
        <f>IF(Table1[[#This Row],[DUT Read]]="","N/A",Table1[[#This Row],[Std Error]]+Table1[[#This Row],[DUT Read]]+Table1[[#This Row],[DUT Ucty]])</f>
        <v>N/A</v>
      </c>
      <c r="Y2010" s="1" t="str">
        <f>IF(Table1[[#This Row],[Std Read]]="","N/A",Table1[[#This Row],[Std Read]]+Table1[[#This Row],[Std Ucty]])</f>
        <v>N/A</v>
      </c>
      <c r="Z20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0" s="1" t="str">
        <f>IF(Table1[[#This Row],[Spec Type]]="","N/A",Table1[[#This Row],[Spec Type]])</f>
        <v>±</v>
      </c>
      <c r="AC2010" s="1" t="str">
        <f>IF(Table1[[#This Row],[Spec Type2]]="N/A","N/A",IF(AND(Table1[[#This Row],[DUT Adj Read]]&gt;=Table1[[#This Row],[Low Tol]],Table1[[#This Row],[DUT Adj Read]]&lt;=Table1[[#This Row],[High Tol]]),"Pass","Fail"))</f>
        <v>Fail</v>
      </c>
      <c r="AD2010" s="1" t="str">
        <f>IF(AND(Table1[[#This Row],[Spec Type2]]="N/A",Table1[[#This Row],[DUT Adj Read]]="N/A",Table1[[#This Row],[Std Adj Read]]="N/A"),"N/A",IF(Table1[[#This Row],[DUT Adj Read]]="N/A",IF(Table1[[#This Row],[Std Adj Read]]&gt;Table1[[#This Row],[Low Tol]],"Pass","Fail"),IF(Table1[[#This Row],[DUT Adj Read]]&gt;Table1[[#This Row],[Low Tol]],"Pass","Fail")))</f>
        <v>Pass</v>
      </c>
      <c r="AE2010" s="1" t="str">
        <f>IF(AND(Table1[[#This Row],[Spec Type2]]="N/A",Table1[[#This Row],[DUT Adj Read]]="N/A",Table1[[#This Row],[Std Adj Read]]="N/A"),"N/A",IF(Table1[[#This Row],[DUT Adj Read]]="N/A",IF(Table1[[#This Row],[Std Adj Read]]&lt;Table1[[#This Row],[High Tol]],"Pass","Fail"),IF(Table1[[#This Row],[DUT Adj Read]]&lt;Table1[[#This Row],[High Tol]],"Pass","Fail")))</f>
        <v>Fail</v>
      </c>
      <c r="AF2010" s="1" t="str">
        <f>IF(AND(Table1[[#This Row],[Spec Type2]]="N/A",Table1[[#This Row],[DUT Adj Read]]="N/A",Table1[[#This Row],[Std Adj Read]]="N/A"),"N/A",IF(Table1[[#This Row],[DUT Adj Read]]="N/A",IF(Table1[[#This Row],[Std Adj Read]]&gt;=Table1[[#This Row],[Low Tol]],"Pass","Fail"),IF(Table1[[#This Row],[DUT Adj Read]]&gt;=Table1[[#This Row],[Low Tol]],"Pass","Fail")))</f>
        <v>Pass</v>
      </c>
      <c r="AG2010" s="1" t="str">
        <f>IF(AND(Table1[[#This Row],[Spec Type2]]="N/A",Table1[[#This Row],[DUT Adj Read]]="N/A",Table1[[#This Row],[Std Adj Read]]="N/A"),"N/A",IF(Table1[[#This Row],[DUT Adj Read]]="N/A",IF(Table1[[#This Row],[Std Adj Read]]&lt;=Table1[[#This Row],[High Tol]],"Pass","Fail"),IF(Table1[[#This Row],[DUT Adj Read]]&lt;=Table1[[#This Row],[High Tol]],"Pass","Fail")))</f>
        <v>Fail</v>
      </c>
      <c r="AH20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0" s="1" t="b">
        <v>0</v>
      </c>
      <c r="AN2010" s="1" t="b">
        <v>0</v>
      </c>
      <c r="AO2010" s="1" t="b">
        <v>0</v>
      </c>
    </row>
    <row r="2011" spans="1:41" x14ac:dyDescent="0.25">
      <c r="A2011" s="10"/>
      <c r="B2011" s="10"/>
      <c r="C2011" s="10"/>
      <c r="D2011" s="10"/>
      <c r="E2011" s="10"/>
      <c r="F2011" s="10"/>
      <c r="G2011" s="10"/>
      <c r="H2011" s="10"/>
      <c r="I2011" s="1" t="str">
        <f t="shared" si="93"/>
        <v/>
      </c>
      <c r="J2011" s="1" t="s">
        <v>35</v>
      </c>
      <c r="K2011" s="1" t="str">
        <f t="shared" si="94"/>
        <v/>
      </c>
      <c r="L2011" s="1" t="str">
        <f t="shared" si="95"/>
        <v/>
      </c>
      <c r="M2011" s="1">
        <f>IF(OR(Table1[[#This Row],[Std Nom]]="",Table1[[#This Row],[Std Read]]=""),0,Table1[[#This Row],[Std Nom]]-Table1[[#This Row],[Std Read]])</f>
        <v>0</v>
      </c>
      <c r="N2011" s="1">
        <f>IF(Calculations!$F$5="ACCREDITED 17025 WITH UNCERTAINTIES",$N$10,0)</f>
        <v>0</v>
      </c>
      <c r="O2011" s="1" t="str">
        <f>IFERROR(Table1[[#This Row],[Std Nom]]-(_xlfn.XLOOKUP(Table1[[#This Row],[Manufacturer]]&amp;" "&amp;Table1[[#This Row],[Model]],Table13[MFR &amp; MDL],Table13[Tolerance % CW ],"")/100*Table1[[#This Row],[Std Nom]]),"")</f>
        <v/>
      </c>
      <c r="P2011" s="1" t="str">
        <f>IFERROR(Table1[[#This Row],[Std Nom]]+(_xlfn.XLOOKUP(Table1[[#This Row],[Manufacturer]]&amp;" "&amp;Table1[[#This Row],[Model]],Table13[MFR &amp; MDL],Table13[Tolerance % CW ],"")/100*Table1[[#This Row],[Std Nom]]),"")</f>
        <v/>
      </c>
      <c r="Q2011" s="1" t="e">
        <f>Table1[[#This Row],[High Tol]]-Table1[[#This Row],[Low Tol]]</f>
        <v>#VALUE!</v>
      </c>
      <c r="R2011" s="1">
        <f>2*Table1[[#This Row],[Std Error]]</f>
        <v>0</v>
      </c>
      <c r="S2011" s="1" t="str">
        <f>IF(Table1[[#This Row],[High Tol]]="","N/A",IFERROR(ABS(Table1[[#This Row],[Tol Span]]/Table1[[#This Row],[Error Span]]),"N/A"))</f>
        <v>N/A</v>
      </c>
      <c r="T2011" s="1" t="str">
        <f>IF(OR(Table1[[#This Row],[Low Tol]]="",Table1[[#This Row],[High Tol]]=""),"Needs Analysis",IF(Table1[[#This Row],[Ratio]]&gt;=4,"Not Significant",IF(Table1[[#This Row],[Ratio]]&gt;=2,"Semi-Significant","Significant")))</f>
        <v>Needs Analysis</v>
      </c>
      <c r="W2011" s="1">
        <f>IF(Table1[[#This Row],[Cal Type]]&lt;&gt;"ACCREDITED 17025 WITH UNCERTAINTIES",0,"")</f>
        <v>0</v>
      </c>
      <c r="X2011" s="1" t="str">
        <f>IF(Table1[[#This Row],[DUT Read]]="","N/A",Table1[[#This Row],[Std Error]]+Table1[[#This Row],[DUT Read]]+Table1[[#This Row],[DUT Ucty]])</f>
        <v>N/A</v>
      </c>
      <c r="Y2011" s="1" t="str">
        <f>IF(Table1[[#This Row],[Std Read]]="","N/A",Table1[[#This Row],[Std Read]]+Table1[[#This Row],[Std Ucty]])</f>
        <v>N/A</v>
      </c>
      <c r="Z20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1" s="1" t="str">
        <f>IF(Table1[[#This Row],[Spec Type]]="","N/A",Table1[[#This Row],[Spec Type]])</f>
        <v>±</v>
      </c>
      <c r="AC2011" s="1" t="str">
        <f>IF(Table1[[#This Row],[Spec Type2]]="N/A","N/A",IF(AND(Table1[[#This Row],[DUT Adj Read]]&gt;=Table1[[#This Row],[Low Tol]],Table1[[#This Row],[DUT Adj Read]]&lt;=Table1[[#This Row],[High Tol]]),"Pass","Fail"))</f>
        <v>Fail</v>
      </c>
      <c r="AD2011" s="1" t="str">
        <f>IF(AND(Table1[[#This Row],[Spec Type2]]="N/A",Table1[[#This Row],[DUT Adj Read]]="N/A",Table1[[#This Row],[Std Adj Read]]="N/A"),"N/A",IF(Table1[[#This Row],[DUT Adj Read]]="N/A",IF(Table1[[#This Row],[Std Adj Read]]&gt;Table1[[#This Row],[Low Tol]],"Pass","Fail"),IF(Table1[[#This Row],[DUT Adj Read]]&gt;Table1[[#This Row],[Low Tol]],"Pass","Fail")))</f>
        <v>Pass</v>
      </c>
      <c r="AE2011" s="1" t="str">
        <f>IF(AND(Table1[[#This Row],[Spec Type2]]="N/A",Table1[[#This Row],[DUT Adj Read]]="N/A",Table1[[#This Row],[Std Adj Read]]="N/A"),"N/A",IF(Table1[[#This Row],[DUT Adj Read]]="N/A",IF(Table1[[#This Row],[Std Adj Read]]&lt;Table1[[#This Row],[High Tol]],"Pass","Fail"),IF(Table1[[#This Row],[DUT Adj Read]]&lt;Table1[[#This Row],[High Tol]],"Pass","Fail")))</f>
        <v>Fail</v>
      </c>
      <c r="AF2011" s="1" t="str">
        <f>IF(AND(Table1[[#This Row],[Spec Type2]]="N/A",Table1[[#This Row],[DUT Adj Read]]="N/A",Table1[[#This Row],[Std Adj Read]]="N/A"),"N/A",IF(Table1[[#This Row],[DUT Adj Read]]="N/A",IF(Table1[[#This Row],[Std Adj Read]]&gt;=Table1[[#This Row],[Low Tol]],"Pass","Fail"),IF(Table1[[#This Row],[DUT Adj Read]]&gt;=Table1[[#This Row],[Low Tol]],"Pass","Fail")))</f>
        <v>Pass</v>
      </c>
      <c r="AG2011" s="1" t="str">
        <f>IF(AND(Table1[[#This Row],[Spec Type2]]="N/A",Table1[[#This Row],[DUT Adj Read]]="N/A",Table1[[#This Row],[Std Adj Read]]="N/A"),"N/A",IF(Table1[[#This Row],[DUT Adj Read]]="N/A",IF(Table1[[#This Row],[Std Adj Read]]&lt;=Table1[[#This Row],[High Tol]],"Pass","Fail"),IF(Table1[[#This Row],[DUT Adj Read]]&lt;=Table1[[#This Row],[High Tol]],"Pass","Fail")))</f>
        <v>Fail</v>
      </c>
      <c r="AH20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1" s="1" t="b">
        <v>0</v>
      </c>
      <c r="AN2011" s="1" t="b">
        <v>0</v>
      </c>
      <c r="AO2011" s="1" t="b">
        <v>0</v>
      </c>
    </row>
    <row r="2012" spans="1:41" x14ac:dyDescent="0.25">
      <c r="A2012" s="10"/>
      <c r="B2012" s="10"/>
      <c r="C2012" s="10"/>
      <c r="D2012" s="10"/>
      <c r="E2012" s="10"/>
      <c r="F2012" s="10"/>
      <c r="G2012" s="10"/>
      <c r="H2012" s="10"/>
      <c r="I2012" s="1" t="str">
        <f t="shared" si="93"/>
        <v/>
      </c>
      <c r="J2012" s="1" t="s">
        <v>35</v>
      </c>
      <c r="K2012" s="1" t="str">
        <f t="shared" si="94"/>
        <v/>
      </c>
      <c r="L2012" s="1" t="str">
        <f t="shared" si="95"/>
        <v/>
      </c>
      <c r="M2012" s="1">
        <f>IF(OR(Table1[[#This Row],[Std Nom]]="",Table1[[#This Row],[Std Read]]=""),0,Table1[[#This Row],[Std Nom]]-Table1[[#This Row],[Std Read]])</f>
        <v>0</v>
      </c>
      <c r="N2012" s="1">
        <f>IF(Calculations!$F$5="ACCREDITED 17025 WITH UNCERTAINTIES",$N$10,0)</f>
        <v>0</v>
      </c>
      <c r="O2012" s="1" t="str">
        <f>IFERROR(Table1[[#This Row],[Std Nom]]-(_xlfn.XLOOKUP(Table1[[#This Row],[Manufacturer]]&amp;" "&amp;Table1[[#This Row],[Model]],Table13[MFR &amp; MDL],Table13[Tolerance % CW ],"")/100*Table1[[#This Row],[Std Nom]]),"")</f>
        <v/>
      </c>
      <c r="P2012" s="1" t="str">
        <f>IFERROR(Table1[[#This Row],[Std Nom]]+(_xlfn.XLOOKUP(Table1[[#This Row],[Manufacturer]]&amp;" "&amp;Table1[[#This Row],[Model]],Table13[MFR &amp; MDL],Table13[Tolerance % CW ],"")/100*Table1[[#This Row],[Std Nom]]),"")</f>
        <v/>
      </c>
      <c r="Q2012" s="1" t="e">
        <f>Table1[[#This Row],[High Tol]]-Table1[[#This Row],[Low Tol]]</f>
        <v>#VALUE!</v>
      </c>
      <c r="R2012" s="1">
        <f>2*Table1[[#This Row],[Std Error]]</f>
        <v>0</v>
      </c>
      <c r="S2012" s="1" t="str">
        <f>IF(Table1[[#This Row],[High Tol]]="","N/A",IFERROR(ABS(Table1[[#This Row],[Tol Span]]/Table1[[#This Row],[Error Span]]),"N/A"))</f>
        <v>N/A</v>
      </c>
      <c r="T2012" s="1" t="str">
        <f>IF(OR(Table1[[#This Row],[Low Tol]]="",Table1[[#This Row],[High Tol]]=""),"Needs Analysis",IF(Table1[[#This Row],[Ratio]]&gt;=4,"Not Significant",IF(Table1[[#This Row],[Ratio]]&gt;=2,"Semi-Significant","Significant")))</f>
        <v>Needs Analysis</v>
      </c>
      <c r="W2012" s="1">
        <f>IF(Table1[[#This Row],[Cal Type]]&lt;&gt;"ACCREDITED 17025 WITH UNCERTAINTIES",0,"")</f>
        <v>0</v>
      </c>
      <c r="X2012" s="1" t="str">
        <f>IF(Table1[[#This Row],[DUT Read]]="","N/A",Table1[[#This Row],[Std Error]]+Table1[[#This Row],[DUT Read]]+Table1[[#This Row],[DUT Ucty]])</f>
        <v>N/A</v>
      </c>
      <c r="Y2012" s="1" t="str">
        <f>IF(Table1[[#This Row],[Std Read]]="","N/A",Table1[[#This Row],[Std Read]]+Table1[[#This Row],[Std Ucty]])</f>
        <v>N/A</v>
      </c>
      <c r="Z20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2" s="1" t="str">
        <f>IF(Table1[[#This Row],[Spec Type]]="","N/A",Table1[[#This Row],[Spec Type]])</f>
        <v>±</v>
      </c>
      <c r="AC2012" s="1" t="str">
        <f>IF(Table1[[#This Row],[Spec Type2]]="N/A","N/A",IF(AND(Table1[[#This Row],[DUT Adj Read]]&gt;=Table1[[#This Row],[Low Tol]],Table1[[#This Row],[DUT Adj Read]]&lt;=Table1[[#This Row],[High Tol]]),"Pass","Fail"))</f>
        <v>Fail</v>
      </c>
      <c r="AD2012" s="1" t="str">
        <f>IF(AND(Table1[[#This Row],[Spec Type2]]="N/A",Table1[[#This Row],[DUT Adj Read]]="N/A",Table1[[#This Row],[Std Adj Read]]="N/A"),"N/A",IF(Table1[[#This Row],[DUT Adj Read]]="N/A",IF(Table1[[#This Row],[Std Adj Read]]&gt;Table1[[#This Row],[Low Tol]],"Pass","Fail"),IF(Table1[[#This Row],[DUT Adj Read]]&gt;Table1[[#This Row],[Low Tol]],"Pass","Fail")))</f>
        <v>Pass</v>
      </c>
      <c r="AE2012" s="1" t="str">
        <f>IF(AND(Table1[[#This Row],[Spec Type2]]="N/A",Table1[[#This Row],[DUT Adj Read]]="N/A",Table1[[#This Row],[Std Adj Read]]="N/A"),"N/A",IF(Table1[[#This Row],[DUT Adj Read]]="N/A",IF(Table1[[#This Row],[Std Adj Read]]&lt;Table1[[#This Row],[High Tol]],"Pass","Fail"),IF(Table1[[#This Row],[DUT Adj Read]]&lt;Table1[[#This Row],[High Tol]],"Pass","Fail")))</f>
        <v>Fail</v>
      </c>
      <c r="AF2012" s="1" t="str">
        <f>IF(AND(Table1[[#This Row],[Spec Type2]]="N/A",Table1[[#This Row],[DUT Adj Read]]="N/A",Table1[[#This Row],[Std Adj Read]]="N/A"),"N/A",IF(Table1[[#This Row],[DUT Adj Read]]="N/A",IF(Table1[[#This Row],[Std Adj Read]]&gt;=Table1[[#This Row],[Low Tol]],"Pass","Fail"),IF(Table1[[#This Row],[DUT Adj Read]]&gt;=Table1[[#This Row],[Low Tol]],"Pass","Fail")))</f>
        <v>Pass</v>
      </c>
      <c r="AG2012" s="1" t="str">
        <f>IF(AND(Table1[[#This Row],[Spec Type2]]="N/A",Table1[[#This Row],[DUT Adj Read]]="N/A",Table1[[#This Row],[Std Adj Read]]="N/A"),"N/A",IF(Table1[[#This Row],[DUT Adj Read]]="N/A",IF(Table1[[#This Row],[Std Adj Read]]&lt;=Table1[[#This Row],[High Tol]],"Pass","Fail"),IF(Table1[[#This Row],[DUT Adj Read]]&lt;=Table1[[#This Row],[High Tol]],"Pass","Fail")))</f>
        <v>Fail</v>
      </c>
      <c r="AH20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2" s="1" t="b">
        <v>0</v>
      </c>
      <c r="AN2012" s="1" t="b">
        <v>0</v>
      </c>
      <c r="AO2012" s="1" t="b">
        <v>0</v>
      </c>
    </row>
    <row r="2013" spans="1:41" x14ac:dyDescent="0.25">
      <c r="A2013" s="10"/>
      <c r="B2013" s="10"/>
      <c r="C2013" s="10"/>
      <c r="D2013" s="10"/>
      <c r="E2013" s="10"/>
      <c r="F2013" s="10"/>
      <c r="G2013" s="10"/>
      <c r="H2013" s="10"/>
      <c r="I2013" s="1" t="str">
        <f t="shared" si="93"/>
        <v/>
      </c>
      <c r="J2013" s="1" t="s">
        <v>35</v>
      </c>
      <c r="K2013" s="1" t="str">
        <f t="shared" si="94"/>
        <v/>
      </c>
      <c r="L2013" s="1" t="str">
        <f t="shared" si="95"/>
        <v/>
      </c>
      <c r="M2013" s="1">
        <f>IF(OR(Table1[[#This Row],[Std Nom]]="",Table1[[#This Row],[Std Read]]=""),0,Table1[[#This Row],[Std Nom]]-Table1[[#This Row],[Std Read]])</f>
        <v>0</v>
      </c>
      <c r="N2013" s="1">
        <f>IF(Calculations!$F$5="ACCREDITED 17025 WITH UNCERTAINTIES",$N$10,0)</f>
        <v>0</v>
      </c>
      <c r="O2013" s="1" t="str">
        <f>IFERROR(Table1[[#This Row],[Std Nom]]-(_xlfn.XLOOKUP(Table1[[#This Row],[Manufacturer]]&amp;" "&amp;Table1[[#This Row],[Model]],Table13[MFR &amp; MDL],Table13[Tolerance % CW ],"")/100*Table1[[#This Row],[Std Nom]]),"")</f>
        <v/>
      </c>
      <c r="P2013" s="1" t="str">
        <f>IFERROR(Table1[[#This Row],[Std Nom]]+(_xlfn.XLOOKUP(Table1[[#This Row],[Manufacturer]]&amp;" "&amp;Table1[[#This Row],[Model]],Table13[MFR &amp; MDL],Table13[Tolerance % CW ],"")/100*Table1[[#This Row],[Std Nom]]),"")</f>
        <v/>
      </c>
      <c r="Q2013" s="1" t="e">
        <f>Table1[[#This Row],[High Tol]]-Table1[[#This Row],[Low Tol]]</f>
        <v>#VALUE!</v>
      </c>
      <c r="R2013" s="1">
        <f>2*Table1[[#This Row],[Std Error]]</f>
        <v>0</v>
      </c>
      <c r="S2013" s="1" t="str">
        <f>IF(Table1[[#This Row],[High Tol]]="","N/A",IFERROR(ABS(Table1[[#This Row],[Tol Span]]/Table1[[#This Row],[Error Span]]),"N/A"))</f>
        <v>N/A</v>
      </c>
      <c r="T2013" s="1" t="str">
        <f>IF(OR(Table1[[#This Row],[Low Tol]]="",Table1[[#This Row],[High Tol]]=""),"Needs Analysis",IF(Table1[[#This Row],[Ratio]]&gt;=4,"Not Significant",IF(Table1[[#This Row],[Ratio]]&gt;=2,"Semi-Significant","Significant")))</f>
        <v>Needs Analysis</v>
      </c>
      <c r="W2013" s="1">
        <f>IF(Table1[[#This Row],[Cal Type]]&lt;&gt;"ACCREDITED 17025 WITH UNCERTAINTIES",0,"")</f>
        <v>0</v>
      </c>
      <c r="X2013" s="1" t="str">
        <f>IF(Table1[[#This Row],[DUT Read]]="","N/A",Table1[[#This Row],[Std Error]]+Table1[[#This Row],[DUT Read]]+Table1[[#This Row],[DUT Ucty]])</f>
        <v>N/A</v>
      </c>
      <c r="Y2013" s="1" t="str">
        <f>IF(Table1[[#This Row],[Std Read]]="","N/A",Table1[[#This Row],[Std Read]]+Table1[[#This Row],[Std Ucty]])</f>
        <v>N/A</v>
      </c>
      <c r="Z20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3" s="1" t="str">
        <f>IF(Table1[[#This Row],[Spec Type]]="","N/A",Table1[[#This Row],[Spec Type]])</f>
        <v>±</v>
      </c>
      <c r="AC2013" s="1" t="str">
        <f>IF(Table1[[#This Row],[Spec Type2]]="N/A","N/A",IF(AND(Table1[[#This Row],[DUT Adj Read]]&gt;=Table1[[#This Row],[Low Tol]],Table1[[#This Row],[DUT Adj Read]]&lt;=Table1[[#This Row],[High Tol]]),"Pass","Fail"))</f>
        <v>Fail</v>
      </c>
      <c r="AD2013" s="1" t="str">
        <f>IF(AND(Table1[[#This Row],[Spec Type2]]="N/A",Table1[[#This Row],[DUT Adj Read]]="N/A",Table1[[#This Row],[Std Adj Read]]="N/A"),"N/A",IF(Table1[[#This Row],[DUT Adj Read]]="N/A",IF(Table1[[#This Row],[Std Adj Read]]&gt;Table1[[#This Row],[Low Tol]],"Pass","Fail"),IF(Table1[[#This Row],[DUT Adj Read]]&gt;Table1[[#This Row],[Low Tol]],"Pass","Fail")))</f>
        <v>Pass</v>
      </c>
      <c r="AE2013" s="1" t="str">
        <f>IF(AND(Table1[[#This Row],[Spec Type2]]="N/A",Table1[[#This Row],[DUT Adj Read]]="N/A",Table1[[#This Row],[Std Adj Read]]="N/A"),"N/A",IF(Table1[[#This Row],[DUT Adj Read]]="N/A",IF(Table1[[#This Row],[Std Adj Read]]&lt;Table1[[#This Row],[High Tol]],"Pass","Fail"),IF(Table1[[#This Row],[DUT Adj Read]]&lt;Table1[[#This Row],[High Tol]],"Pass","Fail")))</f>
        <v>Fail</v>
      </c>
      <c r="AF2013" s="1" t="str">
        <f>IF(AND(Table1[[#This Row],[Spec Type2]]="N/A",Table1[[#This Row],[DUT Adj Read]]="N/A",Table1[[#This Row],[Std Adj Read]]="N/A"),"N/A",IF(Table1[[#This Row],[DUT Adj Read]]="N/A",IF(Table1[[#This Row],[Std Adj Read]]&gt;=Table1[[#This Row],[Low Tol]],"Pass","Fail"),IF(Table1[[#This Row],[DUT Adj Read]]&gt;=Table1[[#This Row],[Low Tol]],"Pass","Fail")))</f>
        <v>Pass</v>
      </c>
      <c r="AG2013" s="1" t="str">
        <f>IF(AND(Table1[[#This Row],[Spec Type2]]="N/A",Table1[[#This Row],[DUT Adj Read]]="N/A",Table1[[#This Row],[Std Adj Read]]="N/A"),"N/A",IF(Table1[[#This Row],[DUT Adj Read]]="N/A",IF(Table1[[#This Row],[Std Adj Read]]&lt;=Table1[[#This Row],[High Tol]],"Pass","Fail"),IF(Table1[[#This Row],[DUT Adj Read]]&lt;=Table1[[#This Row],[High Tol]],"Pass","Fail")))</f>
        <v>Fail</v>
      </c>
      <c r="AH20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3" s="1" t="b">
        <v>0</v>
      </c>
      <c r="AN2013" s="1" t="b">
        <v>0</v>
      </c>
      <c r="AO2013" s="1" t="b">
        <v>0</v>
      </c>
    </row>
    <row r="2014" spans="1:41" x14ac:dyDescent="0.25">
      <c r="A2014" s="10"/>
      <c r="B2014" s="10"/>
      <c r="C2014" s="10"/>
      <c r="D2014" s="10"/>
      <c r="E2014" s="10"/>
      <c r="F2014" s="10"/>
      <c r="G2014" s="10"/>
      <c r="H2014" s="10"/>
      <c r="I2014" s="1" t="str">
        <f t="shared" si="93"/>
        <v/>
      </c>
      <c r="J2014" s="1" t="s">
        <v>35</v>
      </c>
      <c r="K2014" s="1" t="str">
        <f t="shared" si="94"/>
        <v/>
      </c>
      <c r="L2014" s="1" t="str">
        <f t="shared" si="95"/>
        <v/>
      </c>
      <c r="M2014" s="1">
        <f>IF(OR(Table1[[#This Row],[Std Nom]]="",Table1[[#This Row],[Std Read]]=""),0,Table1[[#This Row],[Std Nom]]-Table1[[#This Row],[Std Read]])</f>
        <v>0</v>
      </c>
      <c r="N2014" s="1">
        <f>IF(Calculations!$F$5="ACCREDITED 17025 WITH UNCERTAINTIES",$N$10,0)</f>
        <v>0</v>
      </c>
      <c r="O2014" s="1" t="str">
        <f>IFERROR(Table1[[#This Row],[Std Nom]]-(_xlfn.XLOOKUP(Table1[[#This Row],[Manufacturer]]&amp;" "&amp;Table1[[#This Row],[Model]],Table13[MFR &amp; MDL],Table13[Tolerance % CW ],"")/100*Table1[[#This Row],[Std Nom]]),"")</f>
        <v/>
      </c>
      <c r="P2014" s="1" t="str">
        <f>IFERROR(Table1[[#This Row],[Std Nom]]+(_xlfn.XLOOKUP(Table1[[#This Row],[Manufacturer]]&amp;" "&amp;Table1[[#This Row],[Model]],Table13[MFR &amp; MDL],Table13[Tolerance % CW ],"")/100*Table1[[#This Row],[Std Nom]]),"")</f>
        <v/>
      </c>
      <c r="Q2014" s="1" t="e">
        <f>Table1[[#This Row],[High Tol]]-Table1[[#This Row],[Low Tol]]</f>
        <v>#VALUE!</v>
      </c>
      <c r="R2014" s="1">
        <f>2*Table1[[#This Row],[Std Error]]</f>
        <v>0</v>
      </c>
      <c r="S2014" s="1" t="str">
        <f>IF(Table1[[#This Row],[High Tol]]="","N/A",IFERROR(ABS(Table1[[#This Row],[Tol Span]]/Table1[[#This Row],[Error Span]]),"N/A"))</f>
        <v>N/A</v>
      </c>
      <c r="T2014" s="1" t="str">
        <f>IF(OR(Table1[[#This Row],[Low Tol]]="",Table1[[#This Row],[High Tol]]=""),"Needs Analysis",IF(Table1[[#This Row],[Ratio]]&gt;=4,"Not Significant",IF(Table1[[#This Row],[Ratio]]&gt;=2,"Semi-Significant","Significant")))</f>
        <v>Needs Analysis</v>
      </c>
      <c r="W2014" s="1">
        <f>IF(Table1[[#This Row],[Cal Type]]&lt;&gt;"ACCREDITED 17025 WITH UNCERTAINTIES",0,"")</f>
        <v>0</v>
      </c>
      <c r="X2014" s="1" t="str">
        <f>IF(Table1[[#This Row],[DUT Read]]="","N/A",Table1[[#This Row],[Std Error]]+Table1[[#This Row],[DUT Read]]+Table1[[#This Row],[DUT Ucty]])</f>
        <v>N/A</v>
      </c>
      <c r="Y2014" s="1" t="str">
        <f>IF(Table1[[#This Row],[Std Read]]="","N/A",Table1[[#This Row],[Std Read]]+Table1[[#This Row],[Std Ucty]])</f>
        <v>N/A</v>
      </c>
      <c r="Z20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4" s="1" t="str">
        <f>IF(Table1[[#This Row],[Spec Type]]="","N/A",Table1[[#This Row],[Spec Type]])</f>
        <v>±</v>
      </c>
      <c r="AC2014" s="1" t="str">
        <f>IF(Table1[[#This Row],[Spec Type2]]="N/A","N/A",IF(AND(Table1[[#This Row],[DUT Adj Read]]&gt;=Table1[[#This Row],[Low Tol]],Table1[[#This Row],[DUT Adj Read]]&lt;=Table1[[#This Row],[High Tol]]),"Pass","Fail"))</f>
        <v>Fail</v>
      </c>
      <c r="AD2014" s="1" t="str">
        <f>IF(AND(Table1[[#This Row],[Spec Type2]]="N/A",Table1[[#This Row],[DUT Adj Read]]="N/A",Table1[[#This Row],[Std Adj Read]]="N/A"),"N/A",IF(Table1[[#This Row],[DUT Adj Read]]="N/A",IF(Table1[[#This Row],[Std Adj Read]]&gt;Table1[[#This Row],[Low Tol]],"Pass","Fail"),IF(Table1[[#This Row],[DUT Adj Read]]&gt;Table1[[#This Row],[Low Tol]],"Pass","Fail")))</f>
        <v>Pass</v>
      </c>
      <c r="AE2014" s="1" t="str">
        <f>IF(AND(Table1[[#This Row],[Spec Type2]]="N/A",Table1[[#This Row],[DUT Adj Read]]="N/A",Table1[[#This Row],[Std Adj Read]]="N/A"),"N/A",IF(Table1[[#This Row],[DUT Adj Read]]="N/A",IF(Table1[[#This Row],[Std Adj Read]]&lt;Table1[[#This Row],[High Tol]],"Pass","Fail"),IF(Table1[[#This Row],[DUT Adj Read]]&lt;Table1[[#This Row],[High Tol]],"Pass","Fail")))</f>
        <v>Fail</v>
      </c>
      <c r="AF2014" s="1" t="str">
        <f>IF(AND(Table1[[#This Row],[Spec Type2]]="N/A",Table1[[#This Row],[DUT Adj Read]]="N/A",Table1[[#This Row],[Std Adj Read]]="N/A"),"N/A",IF(Table1[[#This Row],[DUT Adj Read]]="N/A",IF(Table1[[#This Row],[Std Adj Read]]&gt;=Table1[[#This Row],[Low Tol]],"Pass","Fail"),IF(Table1[[#This Row],[DUT Adj Read]]&gt;=Table1[[#This Row],[Low Tol]],"Pass","Fail")))</f>
        <v>Pass</v>
      </c>
      <c r="AG2014" s="1" t="str">
        <f>IF(AND(Table1[[#This Row],[Spec Type2]]="N/A",Table1[[#This Row],[DUT Adj Read]]="N/A",Table1[[#This Row],[Std Adj Read]]="N/A"),"N/A",IF(Table1[[#This Row],[DUT Adj Read]]="N/A",IF(Table1[[#This Row],[Std Adj Read]]&lt;=Table1[[#This Row],[High Tol]],"Pass","Fail"),IF(Table1[[#This Row],[DUT Adj Read]]&lt;=Table1[[#This Row],[High Tol]],"Pass","Fail")))</f>
        <v>Fail</v>
      </c>
      <c r="AH20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4" s="1" t="b">
        <v>0</v>
      </c>
      <c r="AN2014" s="1" t="b">
        <v>0</v>
      </c>
      <c r="AO2014" s="1" t="b">
        <v>0</v>
      </c>
    </row>
    <row r="2015" spans="1:41" x14ac:dyDescent="0.25">
      <c r="A2015" s="10"/>
      <c r="B2015" s="10"/>
      <c r="C2015" s="10"/>
      <c r="D2015" s="10"/>
      <c r="E2015" s="10"/>
      <c r="F2015" s="10"/>
      <c r="G2015" s="10"/>
      <c r="H2015" s="10"/>
      <c r="I2015" s="1" t="str">
        <f t="shared" si="93"/>
        <v/>
      </c>
      <c r="J2015" s="1" t="s">
        <v>35</v>
      </c>
      <c r="K2015" s="1" t="str">
        <f t="shared" si="94"/>
        <v/>
      </c>
      <c r="L2015" s="1" t="str">
        <f t="shared" si="95"/>
        <v/>
      </c>
      <c r="M2015" s="1">
        <f>IF(OR(Table1[[#This Row],[Std Nom]]="",Table1[[#This Row],[Std Read]]=""),0,Table1[[#This Row],[Std Nom]]-Table1[[#This Row],[Std Read]])</f>
        <v>0</v>
      </c>
      <c r="N2015" s="1">
        <f>IF(Calculations!$F$5="ACCREDITED 17025 WITH UNCERTAINTIES",$N$10,0)</f>
        <v>0</v>
      </c>
      <c r="O2015" s="1" t="str">
        <f>IFERROR(Table1[[#This Row],[Std Nom]]-(_xlfn.XLOOKUP(Table1[[#This Row],[Manufacturer]]&amp;" "&amp;Table1[[#This Row],[Model]],Table13[MFR &amp; MDL],Table13[Tolerance % CW ],"")/100*Table1[[#This Row],[Std Nom]]),"")</f>
        <v/>
      </c>
      <c r="P2015" s="1" t="str">
        <f>IFERROR(Table1[[#This Row],[Std Nom]]+(_xlfn.XLOOKUP(Table1[[#This Row],[Manufacturer]]&amp;" "&amp;Table1[[#This Row],[Model]],Table13[MFR &amp; MDL],Table13[Tolerance % CW ],"")/100*Table1[[#This Row],[Std Nom]]),"")</f>
        <v/>
      </c>
      <c r="Q2015" s="1" t="e">
        <f>Table1[[#This Row],[High Tol]]-Table1[[#This Row],[Low Tol]]</f>
        <v>#VALUE!</v>
      </c>
      <c r="R2015" s="1">
        <f>2*Table1[[#This Row],[Std Error]]</f>
        <v>0</v>
      </c>
      <c r="S2015" s="1" t="str">
        <f>IF(Table1[[#This Row],[High Tol]]="","N/A",IFERROR(ABS(Table1[[#This Row],[Tol Span]]/Table1[[#This Row],[Error Span]]),"N/A"))</f>
        <v>N/A</v>
      </c>
      <c r="T2015" s="1" t="str">
        <f>IF(OR(Table1[[#This Row],[Low Tol]]="",Table1[[#This Row],[High Tol]]=""),"Needs Analysis",IF(Table1[[#This Row],[Ratio]]&gt;=4,"Not Significant",IF(Table1[[#This Row],[Ratio]]&gt;=2,"Semi-Significant","Significant")))</f>
        <v>Needs Analysis</v>
      </c>
      <c r="W2015" s="1">
        <f>IF(Table1[[#This Row],[Cal Type]]&lt;&gt;"ACCREDITED 17025 WITH UNCERTAINTIES",0,"")</f>
        <v>0</v>
      </c>
      <c r="X2015" s="1" t="str">
        <f>IF(Table1[[#This Row],[DUT Read]]="","N/A",Table1[[#This Row],[Std Error]]+Table1[[#This Row],[DUT Read]]+Table1[[#This Row],[DUT Ucty]])</f>
        <v>N/A</v>
      </c>
      <c r="Y2015" s="1" t="str">
        <f>IF(Table1[[#This Row],[Std Read]]="","N/A",Table1[[#This Row],[Std Read]]+Table1[[#This Row],[Std Ucty]])</f>
        <v>N/A</v>
      </c>
      <c r="Z20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5" s="1" t="str">
        <f>IF(Table1[[#This Row],[Spec Type]]="","N/A",Table1[[#This Row],[Spec Type]])</f>
        <v>±</v>
      </c>
      <c r="AC2015" s="1" t="str">
        <f>IF(Table1[[#This Row],[Spec Type2]]="N/A","N/A",IF(AND(Table1[[#This Row],[DUT Adj Read]]&gt;=Table1[[#This Row],[Low Tol]],Table1[[#This Row],[DUT Adj Read]]&lt;=Table1[[#This Row],[High Tol]]),"Pass","Fail"))</f>
        <v>Fail</v>
      </c>
      <c r="AD2015" s="1" t="str">
        <f>IF(AND(Table1[[#This Row],[Spec Type2]]="N/A",Table1[[#This Row],[DUT Adj Read]]="N/A",Table1[[#This Row],[Std Adj Read]]="N/A"),"N/A",IF(Table1[[#This Row],[DUT Adj Read]]="N/A",IF(Table1[[#This Row],[Std Adj Read]]&gt;Table1[[#This Row],[Low Tol]],"Pass","Fail"),IF(Table1[[#This Row],[DUT Adj Read]]&gt;Table1[[#This Row],[Low Tol]],"Pass","Fail")))</f>
        <v>Pass</v>
      </c>
      <c r="AE2015" s="1" t="str">
        <f>IF(AND(Table1[[#This Row],[Spec Type2]]="N/A",Table1[[#This Row],[DUT Adj Read]]="N/A",Table1[[#This Row],[Std Adj Read]]="N/A"),"N/A",IF(Table1[[#This Row],[DUT Adj Read]]="N/A",IF(Table1[[#This Row],[Std Adj Read]]&lt;Table1[[#This Row],[High Tol]],"Pass","Fail"),IF(Table1[[#This Row],[DUT Adj Read]]&lt;Table1[[#This Row],[High Tol]],"Pass","Fail")))</f>
        <v>Fail</v>
      </c>
      <c r="AF2015" s="1" t="str">
        <f>IF(AND(Table1[[#This Row],[Spec Type2]]="N/A",Table1[[#This Row],[DUT Adj Read]]="N/A",Table1[[#This Row],[Std Adj Read]]="N/A"),"N/A",IF(Table1[[#This Row],[DUT Adj Read]]="N/A",IF(Table1[[#This Row],[Std Adj Read]]&gt;=Table1[[#This Row],[Low Tol]],"Pass","Fail"),IF(Table1[[#This Row],[DUT Adj Read]]&gt;=Table1[[#This Row],[Low Tol]],"Pass","Fail")))</f>
        <v>Pass</v>
      </c>
      <c r="AG2015" s="1" t="str">
        <f>IF(AND(Table1[[#This Row],[Spec Type2]]="N/A",Table1[[#This Row],[DUT Adj Read]]="N/A",Table1[[#This Row],[Std Adj Read]]="N/A"),"N/A",IF(Table1[[#This Row],[DUT Adj Read]]="N/A",IF(Table1[[#This Row],[Std Adj Read]]&lt;=Table1[[#This Row],[High Tol]],"Pass","Fail"),IF(Table1[[#This Row],[DUT Adj Read]]&lt;=Table1[[#This Row],[High Tol]],"Pass","Fail")))</f>
        <v>Fail</v>
      </c>
      <c r="AH20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5" s="1" t="b">
        <v>0</v>
      </c>
      <c r="AN2015" s="1" t="b">
        <v>0</v>
      </c>
      <c r="AO2015" s="1" t="b">
        <v>0</v>
      </c>
    </row>
    <row r="2016" spans="1:41" x14ac:dyDescent="0.25">
      <c r="A2016" s="10"/>
      <c r="B2016" s="10"/>
      <c r="C2016" s="10"/>
      <c r="D2016" s="10"/>
      <c r="E2016" s="10"/>
      <c r="F2016" s="10"/>
      <c r="G2016" s="10"/>
      <c r="H2016" s="10"/>
      <c r="I2016" s="1" t="str">
        <f t="shared" si="93"/>
        <v/>
      </c>
      <c r="J2016" s="1" t="s">
        <v>35</v>
      </c>
      <c r="K2016" s="1" t="str">
        <f t="shared" si="94"/>
        <v/>
      </c>
      <c r="L2016" s="1" t="str">
        <f t="shared" si="95"/>
        <v/>
      </c>
      <c r="M2016" s="1">
        <f>IF(OR(Table1[[#This Row],[Std Nom]]="",Table1[[#This Row],[Std Read]]=""),0,Table1[[#This Row],[Std Nom]]-Table1[[#This Row],[Std Read]])</f>
        <v>0</v>
      </c>
      <c r="N2016" s="1">
        <f>IF(Calculations!$F$5="ACCREDITED 17025 WITH UNCERTAINTIES",$N$10,0)</f>
        <v>0</v>
      </c>
      <c r="O2016" s="1" t="str">
        <f>IFERROR(Table1[[#This Row],[Std Nom]]-(_xlfn.XLOOKUP(Table1[[#This Row],[Manufacturer]]&amp;" "&amp;Table1[[#This Row],[Model]],Table13[MFR &amp; MDL],Table13[Tolerance % CW ],"")/100*Table1[[#This Row],[Std Nom]]),"")</f>
        <v/>
      </c>
      <c r="P2016" s="1" t="str">
        <f>IFERROR(Table1[[#This Row],[Std Nom]]+(_xlfn.XLOOKUP(Table1[[#This Row],[Manufacturer]]&amp;" "&amp;Table1[[#This Row],[Model]],Table13[MFR &amp; MDL],Table13[Tolerance % CW ],"")/100*Table1[[#This Row],[Std Nom]]),"")</f>
        <v/>
      </c>
      <c r="Q2016" s="1" t="e">
        <f>Table1[[#This Row],[High Tol]]-Table1[[#This Row],[Low Tol]]</f>
        <v>#VALUE!</v>
      </c>
      <c r="R2016" s="1">
        <f>2*Table1[[#This Row],[Std Error]]</f>
        <v>0</v>
      </c>
      <c r="S2016" s="1" t="str">
        <f>IF(Table1[[#This Row],[High Tol]]="","N/A",IFERROR(ABS(Table1[[#This Row],[Tol Span]]/Table1[[#This Row],[Error Span]]),"N/A"))</f>
        <v>N/A</v>
      </c>
      <c r="T2016" s="1" t="str">
        <f>IF(OR(Table1[[#This Row],[Low Tol]]="",Table1[[#This Row],[High Tol]]=""),"Needs Analysis",IF(Table1[[#This Row],[Ratio]]&gt;=4,"Not Significant",IF(Table1[[#This Row],[Ratio]]&gt;=2,"Semi-Significant","Significant")))</f>
        <v>Needs Analysis</v>
      </c>
      <c r="W2016" s="1">
        <f>IF(Table1[[#This Row],[Cal Type]]&lt;&gt;"ACCREDITED 17025 WITH UNCERTAINTIES",0,"")</f>
        <v>0</v>
      </c>
      <c r="X2016" s="1" t="str">
        <f>IF(Table1[[#This Row],[DUT Read]]="","N/A",Table1[[#This Row],[Std Error]]+Table1[[#This Row],[DUT Read]]+Table1[[#This Row],[DUT Ucty]])</f>
        <v>N/A</v>
      </c>
      <c r="Y2016" s="1" t="str">
        <f>IF(Table1[[#This Row],[Std Read]]="","N/A",Table1[[#This Row],[Std Read]]+Table1[[#This Row],[Std Ucty]])</f>
        <v>N/A</v>
      </c>
      <c r="Z20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6" s="1" t="str">
        <f>IF(Table1[[#This Row],[Spec Type]]="","N/A",Table1[[#This Row],[Spec Type]])</f>
        <v>±</v>
      </c>
      <c r="AC2016" s="1" t="str">
        <f>IF(Table1[[#This Row],[Spec Type2]]="N/A","N/A",IF(AND(Table1[[#This Row],[DUT Adj Read]]&gt;=Table1[[#This Row],[Low Tol]],Table1[[#This Row],[DUT Adj Read]]&lt;=Table1[[#This Row],[High Tol]]),"Pass","Fail"))</f>
        <v>Fail</v>
      </c>
      <c r="AD2016" s="1" t="str">
        <f>IF(AND(Table1[[#This Row],[Spec Type2]]="N/A",Table1[[#This Row],[DUT Adj Read]]="N/A",Table1[[#This Row],[Std Adj Read]]="N/A"),"N/A",IF(Table1[[#This Row],[DUT Adj Read]]="N/A",IF(Table1[[#This Row],[Std Adj Read]]&gt;Table1[[#This Row],[Low Tol]],"Pass","Fail"),IF(Table1[[#This Row],[DUT Adj Read]]&gt;Table1[[#This Row],[Low Tol]],"Pass","Fail")))</f>
        <v>Pass</v>
      </c>
      <c r="AE2016" s="1" t="str">
        <f>IF(AND(Table1[[#This Row],[Spec Type2]]="N/A",Table1[[#This Row],[DUT Adj Read]]="N/A",Table1[[#This Row],[Std Adj Read]]="N/A"),"N/A",IF(Table1[[#This Row],[DUT Adj Read]]="N/A",IF(Table1[[#This Row],[Std Adj Read]]&lt;Table1[[#This Row],[High Tol]],"Pass","Fail"),IF(Table1[[#This Row],[DUT Adj Read]]&lt;Table1[[#This Row],[High Tol]],"Pass","Fail")))</f>
        <v>Fail</v>
      </c>
      <c r="AF2016" s="1" t="str">
        <f>IF(AND(Table1[[#This Row],[Spec Type2]]="N/A",Table1[[#This Row],[DUT Adj Read]]="N/A",Table1[[#This Row],[Std Adj Read]]="N/A"),"N/A",IF(Table1[[#This Row],[DUT Adj Read]]="N/A",IF(Table1[[#This Row],[Std Adj Read]]&gt;=Table1[[#This Row],[Low Tol]],"Pass","Fail"),IF(Table1[[#This Row],[DUT Adj Read]]&gt;=Table1[[#This Row],[Low Tol]],"Pass","Fail")))</f>
        <v>Pass</v>
      </c>
      <c r="AG2016" s="1" t="str">
        <f>IF(AND(Table1[[#This Row],[Spec Type2]]="N/A",Table1[[#This Row],[DUT Adj Read]]="N/A",Table1[[#This Row],[Std Adj Read]]="N/A"),"N/A",IF(Table1[[#This Row],[DUT Adj Read]]="N/A",IF(Table1[[#This Row],[Std Adj Read]]&lt;=Table1[[#This Row],[High Tol]],"Pass","Fail"),IF(Table1[[#This Row],[DUT Adj Read]]&lt;=Table1[[#This Row],[High Tol]],"Pass","Fail")))</f>
        <v>Fail</v>
      </c>
      <c r="AH20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6" s="1" t="b">
        <v>0</v>
      </c>
      <c r="AN2016" s="1" t="b">
        <v>0</v>
      </c>
      <c r="AO2016" s="1" t="b">
        <v>0</v>
      </c>
    </row>
    <row r="2017" spans="1:41" x14ac:dyDescent="0.25">
      <c r="A2017" s="10"/>
      <c r="B2017" s="10"/>
      <c r="C2017" s="10"/>
      <c r="D2017" s="10"/>
      <c r="E2017" s="10"/>
      <c r="F2017" s="10"/>
      <c r="G2017" s="10"/>
      <c r="H2017" s="10"/>
      <c r="I2017" s="1" t="str">
        <f t="shared" si="93"/>
        <v/>
      </c>
      <c r="J2017" s="1" t="s">
        <v>35</v>
      </c>
      <c r="K2017" s="1" t="str">
        <f t="shared" si="94"/>
        <v/>
      </c>
      <c r="L2017" s="1" t="str">
        <f t="shared" si="95"/>
        <v/>
      </c>
      <c r="M2017" s="1">
        <f>IF(OR(Table1[[#This Row],[Std Nom]]="",Table1[[#This Row],[Std Read]]=""),0,Table1[[#This Row],[Std Nom]]-Table1[[#This Row],[Std Read]])</f>
        <v>0</v>
      </c>
      <c r="N2017" s="1">
        <f>IF(Calculations!$F$5="ACCREDITED 17025 WITH UNCERTAINTIES",$N$10,0)</f>
        <v>0</v>
      </c>
      <c r="O2017" s="1" t="str">
        <f>IFERROR(Table1[[#This Row],[Std Nom]]-(_xlfn.XLOOKUP(Table1[[#This Row],[Manufacturer]]&amp;" "&amp;Table1[[#This Row],[Model]],Table13[MFR &amp; MDL],Table13[Tolerance % CW ],"")/100*Table1[[#This Row],[Std Nom]]),"")</f>
        <v/>
      </c>
      <c r="P2017" s="1" t="str">
        <f>IFERROR(Table1[[#This Row],[Std Nom]]+(_xlfn.XLOOKUP(Table1[[#This Row],[Manufacturer]]&amp;" "&amp;Table1[[#This Row],[Model]],Table13[MFR &amp; MDL],Table13[Tolerance % CW ],"")/100*Table1[[#This Row],[Std Nom]]),"")</f>
        <v/>
      </c>
      <c r="Q2017" s="1" t="e">
        <f>Table1[[#This Row],[High Tol]]-Table1[[#This Row],[Low Tol]]</f>
        <v>#VALUE!</v>
      </c>
      <c r="R2017" s="1">
        <f>2*Table1[[#This Row],[Std Error]]</f>
        <v>0</v>
      </c>
      <c r="S2017" s="1" t="str">
        <f>IF(Table1[[#This Row],[High Tol]]="","N/A",IFERROR(ABS(Table1[[#This Row],[Tol Span]]/Table1[[#This Row],[Error Span]]),"N/A"))</f>
        <v>N/A</v>
      </c>
      <c r="T2017" s="1" t="str">
        <f>IF(OR(Table1[[#This Row],[Low Tol]]="",Table1[[#This Row],[High Tol]]=""),"Needs Analysis",IF(Table1[[#This Row],[Ratio]]&gt;=4,"Not Significant",IF(Table1[[#This Row],[Ratio]]&gt;=2,"Semi-Significant","Significant")))</f>
        <v>Needs Analysis</v>
      </c>
      <c r="W2017" s="1">
        <f>IF(Table1[[#This Row],[Cal Type]]&lt;&gt;"ACCREDITED 17025 WITH UNCERTAINTIES",0,"")</f>
        <v>0</v>
      </c>
      <c r="X2017" s="1" t="str">
        <f>IF(Table1[[#This Row],[DUT Read]]="","N/A",Table1[[#This Row],[Std Error]]+Table1[[#This Row],[DUT Read]]+Table1[[#This Row],[DUT Ucty]])</f>
        <v>N/A</v>
      </c>
      <c r="Y2017" s="1" t="str">
        <f>IF(Table1[[#This Row],[Std Read]]="","N/A",Table1[[#This Row],[Std Read]]+Table1[[#This Row],[Std Ucty]])</f>
        <v>N/A</v>
      </c>
      <c r="Z20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7" s="1" t="str">
        <f>IF(Table1[[#This Row],[Spec Type]]="","N/A",Table1[[#This Row],[Spec Type]])</f>
        <v>±</v>
      </c>
      <c r="AC2017" s="1" t="str">
        <f>IF(Table1[[#This Row],[Spec Type2]]="N/A","N/A",IF(AND(Table1[[#This Row],[DUT Adj Read]]&gt;=Table1[[#This Row],[Low Tol]],Table1[[#This Row],[DUT Adj Read]]&lt;=Table1[[#This Row],[High Tol]]),"Pass","Fail"))</f>
        <v>Fail</v>
      </c>
      <c r="AD2017" s="1" t="str">
        <f>IF(AND(Table1[[#This Row],[Spec Type2]]="N/A",Table1[[#This Row],[DUT Adj Read]]="N/A",Table1[[#This Row],[Std Adj Read]]="N/A"),"N/A",IF(Table1[[#This Row],[DUT Adj Read]]="N/A",IF(Table1[[#This Row],[Std Adj Read]]&gt;Table1[[#This Row],[Low Tol]],"Pass","Fail"),IF(Table1[[#This Row],[DUT Adj Read]]&gt;Table1[[#This Row],[Low Tol]],"Pass","Fail")))</f>
        <v>Pass</v>
      </c>
      <c r="AE2017" s="1" t="str">
        <f>IF(AND(Table1[[#This Row],[Spec Type2]]="N/A",Table1[[#This Row],[DUT Adj Read]]="N/A",Table1[[#This Row],[Std Adj Read]]="N/A"),"N/A",IF(Table1[[#This Row],[DUT Adj Read]]="N/A",IF(Table1[[#This Row],[Std Adj Read]]&lt;Table1[[#This Row],[High Tol]],"Pass","Fail"),IF(Table1[[#This Row],[DUT Adj Read]]&lt;Table1[[#This Row],[High Tol]],"Pass","Fail")))</f>
        <v>Fail</v>
      </c>
      <c r="AF2017" s="1" t="str">
        <f>IF(AND(Table1[[#This Row],[Spec Type2]]="N/A",Table1[[#This Row],[DUT Adj Read]]="N/A",Table1[[#This Row],[Std Adj Read]]="N/A"),"N/A",IF(Table1[[#This Row],[DUT Adj Read]]="N/A",IF(Table1[[#This Row],[Std Adj Read]]&gt;=Table1[[#This Row],[Low Tol]],"Pass","Fail"),IF(Table1[[#This Row],[DUT Adj Read]]&gt;=Table1[[#This Row],[Low Tol]],"Pass","Fail")))</f>
        <v>Pass</v>
      </c>
      <c r="AG2017" s="1" t="str">
        <f>IF(AND(Table1[[#This Row],[Spec Type2]]="N/A",Table1[[#This Row],[DUT Adj Read]]="N/A",Table1[[#This Row],[Std Adj Read]]="N/A"),"N/A",IF(Table1[[#This Row],[DUT Adj Read]]="N/A",IF(Table1[[#This Row],[Std Adj Read]]&lt;=Table1[[#This Row],[High Tol]],"Pass","Fail"),IF(Table1[[#This Row],[DUT Adj Read]]&lt;=Table1[[#This Row],[High Tol]],"Pass","Fail")))</f>
        <v>Fail</v>
      </c>
      <c r="AH20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7" s="1" t="b">
        <v>0</v>
      </c>
      <c r="AN2017" s="1" t="b">
        <v>0</v>
      </c>
      <c r="AO2017" s="1" t="b">
        <v>0</v>
      </c>
    </row>
    <row r="2018" spans="1:41" x14ac:dyDescent="0.25">
      <c r="A2018" s="10"/>
      <c r="B2018" s="10"/>
      <c r="C2018" s="10"/>
      <c r="D2018" s="10"/>
      <c r="E2018" s="10"/>
      <c r="F2018" s="10"/>
      <c r="G2018" s="10"/>
      <c r="H2018" s="10"/>
      <c r="I2018" s="1" t="str">
        <f t="shared" si="93"/>
        <v/>
      </c>
      <c r="J2018" s="1" t="s">
        <v>35</v>
      </c>
      <c r="K2018" s="1" t="str">
        <f t="shared" si="94"/>
        <v/>
      </c>
      <c r="L2018" s="1" t="str">
        <f t="shared" si="95"/>
        <v/>
      </c>
      <c r="M2018" s="1">
        <f>IF(OR(Table1[[#This Row],[Std Nom]]="",Table1[[#This Row],[Std Read]]=""),0,Table1[[#This Row],[Std Nom]]-Table1[[#This Row],[Std Read]])</f>
        <v>0</v>
      </c>
      <c r="N2018" s="1">
        <f>IF(Calculations!$F$5="ACCREDITED 17025 WITH UNCERTAINTIES",$N$10,0)</f>
        <v>0</v>
      </c>
      <c r="O2018" s="1" t="str">
        <f>IFERROR(Table1[[#This Row],[Std Nom]]-(_xlfn.XLOOKUP(Table1[[#This Row],[Manufacturer]]&amp;" "&amp;Table1[[#This Row],[Model]],Table13[MFR &amp; MDL],Table13[Tolerance % CW ],"")/100*Table1[[#This Row],[Std Nom]]),"")</f>
        <v/>
      </c>
      <c r="P2018" s="1" t="str">
        <f>IFERROR(Table1[[#This Row],[Std Nom]]+(_xlfn.XLOOKUP(Table1[[#This Row],[Manufacturer]]&amp;" "&amp;Table1[[#This Row],[Model]],Table13[MFR &amp; MDL],Table13[Tolerance % CW ],"")/100*Table1[[#This Row],[Std Nom]]),"")</f>
        <v/>
      </c>
      <c r="Q2018" s="1" t="e">
        <f>Table1[[#This Row],[High Tol]]-Table1[[#This Row],[Low Tol]]</f>
        <v>#VALUE!</v>
      </c>
      <c r="R2018" s="1">
        <f>2*Table1[[#This Row],[Std Error]]</f>
        <v>0</v>
      </c>
      <c r="S2018" s="1" t="str">
        <f>IF(Table1[[#This Row],[High Tol]]="","N/A",IFERROR(ABS(Table1[[#This Row],[Tol Span]]/Table1[[#This Row],[Error Span]]),"N/A"))</f>
        <v>N/A</v>
      </c>
      <c r="T2018" s="1" t="str">
        <f>IF(OR(Table1[[#This Row],[Low Tol]]="",Table1[[#This Row],[High Tol]]=""),"Needs Analysis",IF(Table1[[#This Row],[Ratio]]&gt;=4,"Not Significant",IF(Table1[[#This Row],[Ratio]]&gt;=2,"Semi-Significant","Significant")))</f>
        <v>Needs Analysis</v>
      </c>
      <c r="W2018" s="1">
        <f>IF(Table1[[#This Row],[Cal Type]]&lt;&gt;"ACCREDITED 17025 WITH UNCERTAINTIES",0,"")</f>
        <v>0</v>
      </c>
      <c r="X2018" s="1" t="str">
        <f>IF(Table1[[#This Row],[DUT Read]]="","N/A",Table1[[#This Row],[Std Error]]+Table1[[#This Row],[DUT Read]]+Table1[[#This Row],[DUT Ucty]])</f>
        <v>N/A</v>
      </c>
      <c r="Y2018" s="1" t="str">
        <f>IF(Table1[[#This Row],[Std Read]]="","N/A",Table1[[#This Row],[Std Read]]+Table1[[#This Row],[Std Ucty]])</f>
        <v>N/A</v>
      </c>
      <c r="Z20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8" s="1" t="str">
        <f>IF(Table1[[#This Row],[Spec Type]]="","N/A",Table1[[#This Row],[Spec Type]])</f>
        <v>±</v>
      </c>
      <c r="AC2018" s="1" t="str">
        <f>IF(Table1[[#This Row],[Spec Type2]]="N/A","N/A",IF(AND(Table1[[#This Row],[DUT Adj Read]]&gt;=Table1[[#This Row],[Low Tol]],Table1[[#This Row],[DUT Adj Read]]&lt;=Table1[[#This Row],[High Tol]]),"Pass","Fail"))</f>
        <v>Fail</v>
      </c>
      <c r="AD2018" s="1" t="str">
        <f>IF(AND(Table1[[#This Row],[Spec Type2]]="N/A",Table1[[#This Row],[DUT Adj Read]]="N/A",Table1[[#This Row],[Std Adj Read]]="N/A"),"N/A",IF(Table1[[#This Row],[DUT Adj Read]]="N/A",IF(Table1[[#This Row],[Std Adj Read]]&gt;Table1[[#This Row],[Low Tol]],"Pass","Fail"),IF(Table1[[#This Row],[DUT Adj Read]]&gt;Table1[[#This Row],[Low Tol]],"Pass","Fail")))</f>
        <v>Pass</v>
      </c>
      <c r="AE2018" s="1" t="str">
        <f>IF(AND(Table1[[#This Row],[Spec Type2]]="N/A",Table1[[#This Row],[DUT Adj Read]]="N/A",Table1[[#This Row],[Std Adj Read]]="N/A"),"N/A",IF(Table1[[#This Row],[DUT Adj Read]]="N/A",IF(Table1[[#This Row],[Std Adj Read]]&lt;Table1[[#This Row],[High Tol]],"Pass","Fail"),IF(Table1[[#This Row],[DUT Adj Read]]&lt;Table1[[#This Row],[High Tol]],"Pass","Fail")))</f>
        <v>Fail</v>
      </c>
      <c r="AF2018" s="1" t="str">
        <f>IF(AND(Table1[[#This Row],[Spec Type2]]="N/A",Table1[[#This Row],[DUT Adj Read]]="N/A",Table1[[#This Row],[Std Adj Read]]="N/A"),"N/A",IF(Table1[[#This Row],[DUT Adj Read]]="N/A",IF(Table1[[#This Row],[Std Adj Read]]&gt;=Table1[[#This Row],[Low Tol]],"Pass","Fail"),IF(Table1[[#This Row],[DUT Adj Read]]&gt;=Table1[[#This Row],[Low Tol]],"Pass","Fail")))</f>
        <v>Pass</v>
      </c>
      <c r="AG2018" s="1" t="str">
        <f>IF(AND(Table1[[#This Row],[Spec Type2]]="N/A",Table1[[#This Row],[DUT Adj Read]]="N/A",Table1[[#This Row],[Std Adj Read]]="N/A"),"N/A",IF(Table1[[#This Row],[DUT Adj Read]]="N/A",IF(Table1[[#This Row],[Std Adj Read]]&lt;=Table1[[#This Row],[High Tol]],"Pass","Fail"),IF(Table1[[#This Row],[DUT Adj Read]]&lt;=Table1[[#This Row],[High Tol]],"Pass","Fail")))</f>
        <v>Fail</v>
      </c>
      <c r="AH20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8" s="1" t="b">
        <v>0</v>
      </c>
      <c r="AN2018" s="1" t="b">
        <v>0</v>
      </c>
      <c r="AO2018" s="1" t="b">
        <v>0</v>
      </c>
    </row>
    <row r="2019" spans="1:41" x14ac:dyDescent="0.25">
      <c r="A2019" s="10"/>
      <c r="B2019" s="10"/>
      <c r="C2019" s="10"/>
      <c r="D2019" s="10"/>
      <c r="E2019" s="10"/>
      <c r="F2019" s="10"/>
      <c r="G2019" s="10"/>
      <c r="H2019" s="10"/>
      <c r="I2019" s="1" t="str">
        <f t="shared" si="93"/>
        <v/>
      </c>
      <c r="J2019" s="1" t="s">
        <v>35</v>
      </c>
      <c r="K2019" s="1" t="str">
        <f t="shared" si="94"/>
        <v/>
      </c>
      <c r="L2019" s="1" t="str">
        <f t="shared" si="95"/>
        <v/>
      </c>
      <c r="M2019" s="1">
        <f>IF(OR(Table1[[#This Row],[Std Nom]]="",Table1[[#This Row],[Std Read]]=""),0,Table1[[#This Row],[Std Nom]]-Table1[[#This Row],[Std Read]])</f>
        <v>0</v>
      </c>
      <c r="N2019" s="1">
        <f>IF(Calculations!$F$5="ACCREDITED 17025 WITH UNCERTAINTIES",$N$10,0)</f>
        <v>0</v>
      </c>
      <c r="O2019" s="1" t="str">
        <f>IFERROR(Table1[[#This Row],[Std Nom]]-(_xlfn.XLOOKUP(Table1[[#This Row],[Manufacturer]]&amp;" "&amp;Table1[[#This Row],[Model]],Table13[MFR &amp; MDL],Table13[Tolerance % CW ],"")/100*Table1[[#This Row],[Std Nom]]),"")</f>
        <v/>
      </c>
      <c r="P2019" s="1" t="str">
        <f>IFERROR(Table1[[#This Row],[Std Nom]]+(_xlfn.XLOOKUP(Table1[[#This Row],[Manufacturer]]&amp;" "&amp;Table1[[#This Row],[Model]],Table13[MFR &amp; MDL],Table13[Tolerance % CW ],"")/100*Table1[[#This Row],[Std Nom]]),"")</f>
        <v/>
      </c>
      <c r="Q2019" s="1" t="e">
        <f>Table1[[#This Row],[High Tol]]-Table1[[#This Row],[Low Tol]]</f>
        <v>#VALUE!</v>
      </c>
      <c r="R2019" s="1">
        <f>2*Table1[[#This Row],[Std Error]]</f>
        <v>0</v>
      </c>
      <c r="S2019" s="1" t="str">
        <f>IF(Table1[[#This Row],[High Tol]]="","N/A",IFERROR(ABS(Table1[[#This Row],[Tol Span]]/Table1[[#This Row],[Error Span]]),"N/A"))</f>
        <v>N/A</v>
      </c>
      <c r="T2019" s="1" t="str">
        <f>IF(OR(Table1[[#This Row],[Low Tol]]="",Table1[[#This Row],[High Tol]]=""),"Needs Analysis",IF(Table1[[#This Row],[Ratio]]&gt;=4,"Not Significant",IF(Table1[[#This Row],[Ratio]]&gt;=2,"Semi-Significant","Significant")))</f>
        <v>Needs Analysis</v>
      </c>
      <c r="W2019" s="1">
        <f>IF(Table1[[#This Row],[Cal Type]]&lt;&gt;"ACCREDITED 17025 WITH UNCERTAINTIES",0,"")</f>
        <v>0</v>
      </c>
      <c r="X2019" s="1" t="str">
        <f>IF(Table1[[#This Row],[DUT Read]]="","N/A",Table1[[#This Row],[Std Error]]+Table1[[#This Row],[DUT Read]]+Table1[[#This Row],[DUT Ucty]])</f>
        <v>N/A</v>
      </c>
      <c r="Y2019" s="1" t="str">
        <f>IF(Table1[[#This Row],[Std Read]]="","N/A",Table1[[#This Row],[Std Read]]+Table1[[#This Row],[Std Ucty]])</f>
        <v>N/A</v>
      </c>
      <c r="Z20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9" s="1" t="str">
        <f>IF(Table1[[#This Row],[Spec Type]]="","N/A",Table1[[#This Row],[Spec Type]])</f>
        <v>±</v>
      </c>
      <c r="AC2019" s="1" t="str">
        <f>IF(Table1[[#This Row],[Spec Type2]]="N/A","N/A",IF(AND(Table1[[#This Row],[DUT Adj Read]]&gt;=Table1[[#This Row],[Low Tol]],Table1[[#This Row],[DUT Adj Read]]&lt;=Table1[[#This Row],[High Tol]]),"Pass","Fail"))</f>
        <v>Fail</v>
      </c>
      <c r="AD2019" s="1" t="str">
        <f>IF(AND(Table1[[#This Row],[Spec Type2]]="N/A",Table1[[#This Row],[DUT Adj Read]]="N/A",Table1[[#This Row],[Std Adj Read]]="N/A"),"N/A",IF(Table1[[#This Row],[DUT Adj Read]]="N/A",IF(Table1[[#This Row],[Std Adj Read]]&gt;Table1[[#This Row],[Low Tol]],"Pass","Fail"),IF(Table1[[#This Row],[DUT Adj Read]]&gt;Table1[[#This Row],[Low Tol]],"Pass","Fail")))</f>
        <v>Pass</v>
      </c>
      <c r="AE2019" s="1" t="str">
        <f>IF(AND(Table1[[#This Row],[Spec Type2]]="N/A",Table1[[#This Row],[DUT Adj Read]]="N/A",Table1[[#This Row],[Std Adj Read]]="N/A"),"N/A",IF(Table1[[#This Row],[DUT Adj Read]]="N/A",IF(Table1[[#This Row],[Std Adj Read]]&lt;Table1[[#This Row],[High Tol]],"Pass","Fail"),IF(Table1[[#This Row],[DUT Adj Read]]&lt;Table1[[#This Row],[High Tol]],"Pass","Fail")))</f>
        <v>Fail</v>
      </c>
      <c r="AF2019" s="1" t="str">
        <f>IF(AND(Table1[[#This Row],[Spec Type2]]="N/A",Table1[[#This Row],[DUT Adj Read]]="N/A",Table1[[#This Row],[Std Adj Read]]="N/A"),"N/A",IF(Table1[[#This Row],[DUT Adj Read]]="N/A",IF(Table1[[#This Row],[Std Adj Read]]&gt;=Table1[[#This Row],[Low Tol]],"Pass","Fail"),IF(Table1[[#This Row],[DUT Adj Read]]&gt;=Table1[[#This Row],[Low Tol]],"Pass","Fail")))</f>
        <v>Pass</v>
      </c>
      <c r="AG2019" s="1" t="str">
        <f>IF(AND(Table1[[#This Row],[Spec Type2]]="N/A",Table1[[#This Row],[DUT Adj Read]]="N/A",Table1[[#This Row],[Std Adj Read]]="N/A"),"N/A",IF(Table1[[#This Row],[DUT Adj Read]]="N/A",IF(Table1[[#This Row],[Std Adj Read]]&lt;=Table1[[#This Row],[High Tol]],"Pass","Fail"),IF(Table1[[#This Row],[DUT Adj Read]]&lt;=Table1[[#This Row],[High Tol]],"Pass","Fail")))</f>
        <v>Fail</v>
      </c>
      <c r="AH20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9" s="1" t="b">
        <v>0</v>
      </c>
      <c r="AN2019" s="1" t="b">
        <v>0</v>
      </c>
      <c r="AO2019" s="1" t="b">
        <v>0</v>
      </c>
    </row>
    <row r="2020" spans="1:41" x14ac:dyDescent="0.25">
      <c r="A2020" s="10"/>
      <c r="B2020" s="10"/>
      <c r="C2020" s="10"/>
      <c r="D2020" s="10"/>
      <c r="E2020" s="10"/>
      <c r="F2020" s="10"/>
      <c r="G2020" s="10"/>
      <c r="H2020" s="10"/>
      <c r="I2020" s="1" t="str">
        <f t="shared" si="93"/>
        <v/>
      </c>
      <c r="J2020" s="1" t="s">
        <v>35</v>
      </c>
      <c r="K2020" s="1" t="str">
        <f t="shared" si="94"/>
        <v/>
      </c>
      <c r="L2020" s="1" t="str">
        <f t="shared" si="95"/>
        <v/>
      </c>
      <c r="M2020" s="1">
        <f>IF(OR(Table1[[#This Row],[Std Nom]]="",Table1[[#This Row],[Std Read]]=""),0,Table1[[#This Row],[Std Nom]]-Table1[[#This Row],[Std Read]])</f>
        <v>0</v>
      </c>
      <c r="N2020" s="1">
        <f>IF(Calculations!$F$5="ACCREDITED 17025 WITH UNCERTAINTIES",$N$10,0)</f>
        <v>0</v>
      </c>
      <c r="O2020" s="1" t="str">
        <f>IFERROR(Table1[[#This Row],[Std Nom]]-(_xlfn.XLOOKUP(Table1[[#This Row],[Manufacturer]]&amp;" "&amp;Table1[[#This Row],[Model]],Table13[MFR &amp; MDL],Table13[Tolerance % CW ],"")/100*Table1[[#This Row],[Std Nom]]),"")</f>
        <v/>
      </c>
      <c r="P2020" s="1" t="str">
        <f>IFERROR(Table1[[#This Row],[Std Nom]]+(_xlfn.XLOOKUP(Table1[[#This Row],[Manufacturer]]&amp;" "&amp;Table1[[#This Row],[Model]],Table13[MFR &amp; MDL],Table13[Tolerance % CW ],"")/100*Table1[[#This Row],[Std Nom]]),"")</f>
        <v/>
      </c>
      <c r="Q2020" s="1" t="e">
        <f>Table1[[#This Row],[High Tol]]-Table1[[#This Row],[Low Tol]]</f>
        <v>#VALUE!</v>
      </c>
      <c r="R2020" s="1">
        <f>2*Table1[[#This Row],[Std Error]]</f>
        <v>0</v>
      </c>
      <c r="S2020" s="1" t="str">
        <f>IF(Table1[[#This Row],[High Tol]]="","N/A",IFERROR(ABS(Table1[[#This Row],[Tol Span]]/Table1[[#This Row],[Error Span]]),"N/A"))</f>
        <v>N/A</v>
      </c>
      <c r="T2020" s="1" t="str">
        <f>IF(OR(Table1[[#This Row],[Low Tol]]="",Table1[[#This Row],[High Tol]]=""),"Needs Analysis",IF(Table1[[#This Row],[Ratio]]&gt;=4,"Not Significant",IF(Table1[[#This Row],[Ratio]]&gt;=2,"Semi-Significant","Significant")))</f>
        <v>Needs Analysis</v>
      </c>
      <c r="W2020" s="1">
        <f>IF(Table1[[#This Row],[Cal Type]]&lt;&gt;"ACCREDITED 17025 WITH UNCERTAINTIES",0,"")</f>
        <v>0</v>
      </c>
      <c r="X2020" s="1" t="str">
        <f>IF(Table1[[#This Row],[DUT Read]]="","N/A",Table1[[#This Row],[Std Error]]+Table1[[#This Row],[DUT Read]]+Table1[[#This Row],[DUT Ucty]])</f>
        <v>N/A</v>
      </c>
      <c r="Y2020" s="1" t="str">
        <f>IF(Table1[[#This Row],[Std Read]]="","N/A",Table1[[#This Row],[Std Read]]+Table1[[#This Row],[Std Ucty]])</f>
        <v>N/A</v>
      </c>
      <c r="Z20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0" s="1" t="str">
        <f>IF(Table1[[#This Row],[Spec Type]]="","N/A",Table1[[#This Row],[Spec Type]])</f>
        <v>±</v>
      </c>
      <c r="AC2020" s="1" t="str">
        <f>IF(Table1[[#This Row],[Spec Type2]]="N/A","N/A",IF(AND(Table1[[#This Row],[DUT Adj Read]]&gt;=Table1[[#This Row],[Low Tol]],Table1[[#This Row],[DUT Adj Read]]&lt;=Table1[[#This Row],[High Tol]]),"Pass","Fail"))</f>
        <v>Fail</v>
      </c>
      <c r="AD2020" s="1" t="str">
        <f>IF(AND(Table1[[#This Row],[Spec Type2]]="N/A",Table1[[#This Row],[DUT Adj Read]]="N/A",Table1[[#This Row],[Std Adj Read]]="N/A"),"N/A",IF(Table1[[#This Row],[DUT Adj Read]]="N/A",IF(Table1[[#This Row],[Std Adj Read]]&gt;Table1[[#This Row],[Low Tol]],"Pass","Fail"),IF(Table1[[#This Row],[DUT Adj Read]]&gt;Table1[[#This Row],[Low Tol]],"Pass","Fail")))</f>
        <v>Pass</v>
      </c>
      <c r="AE2020" s="1" t="str">
        <f>IF(AND(Table1[[#This Row],[Spec Type2]]="N/A",Table1[[#This Row],[DUT Adj Read]]="N/A",Table1[[#This Row],[Std Adj Read]]="N/A"),"N/A",IF(Table1[[#This Row],[DUT Adj Read]]="N/A",IF(Table1[[#This Row],[Std Adj Read]]&lt;Table1[[#This Row],[High Tol]],"Pass","Fail"),IF(Table1[[#This Row],[DUT Adj Read]]&lt;Table1[[#This Row],[High Tol]],"Pass","Fail")))</f>
        <v>Fail</v>
      </c>
      <c r="AF2020" s="1" t="str">
        <f>IF(AND(Table1[[#This Row],[Spec Type2]]="N/A",Table1[[#This Row],[DUT Adj Read]]="N/A",Table1[[#This Row],[Std Adj Read]]="N/A"),"N/A",IF(Table1[[#This Row],[DUT Adj Read]]="N/A",IF(Table1[[#This Row],[Std Adj Read]]&gt;=Table1[[#This Row],[Low Tol]],"Pass","Fail"),IF(Table1[[#This Row],[DUT Adj Read]]&gt;=Table1[[#This Row],[Low Tol]],"Pass","Fail")))</f>
        <v>Pass</v>
      </c>
      <c r="AG2020" s="1" t="str">
        <f>IF(AND(Table1[[#This Row],[Spec Type2]]="N/A",Table1[[#This Row],[DUT Adj Read]]="N/A",Table1[[#This Row],[Std Adj Read]]="N/A"),"N/A",IF(Table1[[#This Row],[DUT Adj Read]]="N/A",IF(Table1[[#This Row],[Std Adj Read]]&lt;=Table1[[#This Row],[High Tol]],"Pass","Fail"),IF(Table1[[#This Row],[DUT Adj Read]]&lt;=Table1[[#This Row],[High Tol]],"Pass","Fail")))</f>
        <v>Fail</v>
      </c>
      <c r="AH20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0" s="1" t="b">
        <v>0</v>
      </c>
      <c r="AN2020" s="1" t="b">
        <v>0</v>
      </c>
      <c r="AO2020" s="1" t="b">
        <v>0</v>
      </c>
    </row>
    <row r="2021" spans="1:41" x14ac:dyDescent="0.25">
      <c r="A2021" s="10"/>
      <c r="B2021" s="10"/>
      <c r="C2021" s="10"/>
      <c r="D2021" s="10"/>
      <c r="E2021" s="10"/>
      <c r="F2021" s="10"/>
      <c r="G2021" s="10"/>
      <c r="H2021" s="10"/>
      <c r="I2021" s="1" t="str">
        <f t="shared" si="93"/>
        <v/>
      </c>
      <c r="J2021" s="1" t="s">
        <v>35</v>
      </c>
      <c r="K2021" s="1" t="str">
        <f t="shared" si="94"/>
        <v/>
      </c>
      <c r="L2021" s="1" t="str">
        <f t="shared" si="95"/>
        <v/>
      </c>
      <c r="M2021" s="1">
        <f>IF(OR(Table1[[#This Row],[Std Nom]]="",Table1[[#This Row],[Std Read]]=""),0,Table1[[#This Row],[Std Nom]]-Table1[[#This Row],[Std Read]])</f>
        <v>0</v>
      </c>
      <c r="N2021" s="1">
        <f>IF(Calculations!$F$5="ACCREDITED 17025 WITH UNCERTAINTIES",$N$10,0)</f>
        <v>0</v>
      </c>
      <c r="O2021" s="1" t="str">
        <f>IFERROR(Table1[[#This Row],[Std Nom]]-(_xlfn.XLOOKUP(Table1[[#This Row],[Manufacturer]]&amp;" "&amp;Table1[[#This Row],[Model]],Table13[MFR &amp; MDL],Table13[Tolerance % CW ],"")/100*Table1[[#This Row],[Std Nom]]),"")</f>
        <v/>
      </c>
      <c r="P2021" s="1" t="str">
        <f>IFERROR(Table1[[#This Row],[Std Nom]]+(_xlfn.XLOOKUP(Table1[[#This Row],[Manufacturer]]&amp;" "&amp;Table1[[#This Row],[Model]],Table13[MFR &amp; MDL],Table13[Tolerance % CW ],"")/100*Table1[[#This Row],[Std Nom]]),"")</f>
        <v/>
      </c>
      <c r="Q2021" s="1" t="e">
        <f>Table1[[#This Row],[High Tol]]-Table1[[#This Row],[Low Tol]]</f>
        <v>#VALUE!</v>
      </c>
      <c r="R2021" s="1">
        <f>2*Table1[[#This Row],[Std Error]]</f>
        <v>0</v>
      </c>
      <c r="S2021" s="1" t="str">
        <f>IF(Table1[[#This Row],[High Tol]]="","N/A",IFERROR(ABS(Table1[[#This Row],[Tol Span]]/Table1[[#This Row],[Error Span]]),"N/A"))</f>
        <v>N/A</v>
      </c>
      <c r="T2021" s="1" t="str">
        <f>IF(OR(Table1[[#This Row],[Low Tol]]="",Table1[[#This Row],[High Tol]]=""),"Needs Analysis",IF(Table1[[#This Row],[Ratio]]&gt;=4,"Not Significant",IF(Table1[[#This Row],[Ratio]]&gt;=2,"Semi-Significant","Significant")))</f>
        <v>Needs Analysis</v>
      </c>
      <c r="W2021" s="1">
        <f>IF(Table1[[#This Row],[Cal Type]]&lt;&gt;"ACCREDITED 17025 WITH UNCERTAINTIES",0,"")</f>
        <v>0</v>
      </c>
      <c r="X2021" s="1" t="str">
        <f>IF(Table1[[#This Row],[DUT Read]]="","N/A",Table1[[#This Row],[Std Error]]+Table1[[#This Row],[DUT Read]]+Table1[[#This Row],[DUT Ucty]])</f>
        <v>N/A</v>
      </c>
      <c r="Y2021" s="1" t="str">
        <f>IF(Table1[[#This Row],[Std Read]]="","N/A",Table1[[#This Row],[Std Read]]+Table1[[#This Row],[Std Ucty]])</f>
        <v>N/A</v>
      </c>
      <c r="Z20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1" s="1" t="str">
        <f>IF(Table1[[#This Row],[Spec Type]]="","N/A",Table1[[#This Row],[Spec Type]])</f>
        <v>±</v>
      </c>
      <c r="AC2021" s="1" t="str">
        <f>IF(Table1[[#This Row],[Spec Type2]]="N/A","N/A",IF(AND(Table1[[#This Row],[DUT Adj Read]]&gt;=Table1[[#This Row],[Low Tol]],Table1[[#This Row],[DUT Adj Read]]&lt;=Table1[[#This Row],[High Tol]]),"Pass","Fail"))</f>
        <v>Fail</v>
      </c>
      <c r="AD2021" s="1" t="str">
        <f>IF(AND(Table1[[#This Row],[Spec Type2]]="N/A",Table1[[#This Row],[DUT Adj Read]]="N/A",Table1[[#This Row],[Std Adj Read]]="N/A"),"N/A",IF(Table1[[#This Row],[DUT Adj Read]]="N/A",IF(Table1[[#This Row],[Std Adj Read]]&gt;Table1[[#This Row],[Low Tol]],"Pass","Fail"),IF(Table1[[#This Row],[DUT Adj Read]]&gt;Table1[[#This Row],[Low Tol]],"Pass","Fail")))</f>
        <v>Pass</v>
      </c>
      <c r="AE2021" s="1" t="str">
        <f>IF(AND(Table1[[#This Row],[Spec Type2]]="N/A",Table1[[#This Row],[DUT Adj Read]]="N/A",Table1[[#This Row],[Std Adj Read]]="N/A"),"N/A",IF(Table1[[#This Row],[DUT Adj Read]]="N/A",IF(Table1[[#This Row],[Std Adj Read]]&lt;Table1[[#This Row],[High Tol]],"Pass","Fail"),IF(Table1[[#This Row],[DUT Adj Read]]&lt;Table1[[#This Row],[High Tol]],"Pass","Fail")))</f>
        <v>Fail</v>
      </c>
      <c r="AF2021" s="1" t="str">
        <f>IF(AND(Table1[[#This Row],[Spec Type2]]="N/A",Table1[[#This Row],[DUT Adj Read]]="N/A",Table1[[#This Row],[Std Adj Read]]="N/A"),"N/A",IF(Table1[[#This Row],[DUT Adj Read]]="N/A",IF(Table1[[#This Row],[Std Adj Read]]&gt;=Table1[[#This Row],[Low Tol]],"Pass","Fail"),IF(Table1[[#This Row],[DUT Adj Read]]&gt;=Table1[[#This Row],[Low Tol]],"Pass","Fail")))</f>
        <v>Pass</v>
      </c>
      <c r="AG2021" s="1" t="str">
        <f>IF(AND(Table1[[#This Row],[Spec Type2]]="N/A",Table1[[#This Row],[DUT Adj Read]]="N/A",Table1[[#This Row],[Std Adj Read]]="N/A"),"N/A",IF(Table1[[#This Row],[DUT Adj Read]]="N/A",IF(Table1[[#This Row],[Std Adj Read]]&lt;=Table1[[#This Row],[High Tol]],"Pass","Fail"),IF(Table1[[#This Row],[DUT Adj Read]]&lt;=Table1[[#This Row],[High Tol]],"Pass","Fail")))</f>
        <v>Fail</v>
      </c>
      <c r="AH20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1" s="1" t="b">
        <v>0</v>
      </c>
      <c r="AN2021" s="1" t="b">
        <v>0</v>
      </c>
      <c r="AO2021" s="1" t="b">
        <v>0</v>
      </c>
    </row>
    <row r="2022" spans="1:41" x14ac:dyDescent="0.25">
      <c r="A2022" s="10"/>
      <c r="B2022" s="10"/>
      <c r="C2022" s="10"/>
      <c r="D2022" s="10"/>
      <c r="E2022" s="10"/>
      <c r="F2022" s="10"/>
      <c r="G2022" s="10"/>
      <c r="H2022" s="10"/>
      <c r="I2022" s="1" t="str">
        <f t="shared" si="93"/>
        <v/>
      </c>
      <c r="J2022" s="1" t="s">
        <v>35</v>
      </c>
      <c r="K2022" s="1" t="str">
        <f t="shared" si="94"/>
        <v/>
      </c>
      <c r="L2022" s="1" t="str">
        <f t="shared" si="95"/>
        <v/>
      </c>
      <c r="M2022" s="1">
        <f>IF(OR(Table1[[#This Row],[Std Nom]]="",Table1[[#This Row],[Std Read]]=""),0,Table1[[#This Row],[Std Nom]]-Table1[[#This Row],[Std Read]])</f>
        <v>0</v>
      </c>
      <c r="N2022" s="1">
        <f>IF(Calculations!$F$5="ACCREDITED 17025 WITH UNCERTAINTIES",$N$10,0)</f>
        <v>0</v>
      </c>
      <c r="O2022" s="1" t="str">
        <f>IFERROR(Table1[[#This Row],[Std Nom]]-(_xlfn.XLOOKUP(Table1[[#This Row],[Manufacturer]]&amp;" "&amp;Table1[[#This Row],[Model]],Table13[MFR &amp; MDL],Table13[Tolerance % CW ],"")/100*Table1[[#This Row],[Std Nom]]),"")</f>
        <v/>
      </c>
      <c r="P2022" s="1" t="str">
        <f>IFERROR(Table1[[#This Row],[Std Nom]]+(_xlfn.XLOOKUP(Table1[[#This Row],[Manufacturer]]&amp;" "&amp;Table1[[#This Row],[Model]],Table13[MFR &amp; MDL],Table13[Tolerance % CW ],"")/100*Table1[[#This Row],[Std Nom]]),"")</f>
        <v/>
      </c>
      <c r="Q2022" s="1" t="e">
        <f>Table1[[#This Row],[High Tol]]-Table1[[#This Row],[Low Tol]]</f>
        <v>#VALUE!</v>
      </c>
      <c r="R2022" s="1">
        <f>2*Table1[[#This Row],[Std Error]]</f>
        <v>0</v>
      </c>
      <c r="S2022" s="1" t="str">
        <f>IF(Table1[[#This Row],[High Tol]]="","N/A",IFERROR(ABS(Table1[[#This Row],[Tol Span]]/Table1[[#This Row],[Error Span]]),"N/A"))</f>
        <v>N/A</v>
      </c>
      <c r="T2022" s="1" t="str">
        <f>IF(OR(Table1[[#This Row],[Low Tol]]="",Table1[[#This Row],[High Tol]]=""),"Needs Analysis",IF(Table1[[#This Row],[Ratio]]&gt;=4,"Not Significant",IF(Table1[[#This Row],[Ratio]]&gt;=2,"Semi-Significant","Significant")))</f>
        <v>Needs Analysis</v>
      </c>
      <c r="W2022" s="1">
        <f>IF(Table1[[#This Row],[Cal Type]]&lt;&gt;"ACCREDITED 17025 WITH UNCERTAINTIES",0,"")</f>
        <v>0</v>
      </c>
      <c r="X2022" s="1" t="str">
        <f>IF(Table1[[#This Row],[DUT Read]]="","N/A",Table1[[#This Row],[Std Error]]+Table1[[#This Row],[DUT Read]]+Table1[[#This Row],[DUT Ucty]])</f>
        <v>N/A</v>
      </c>
      <c r="Y2022" s="1" t="str">
        <f>IF(Table1[[#This Row],[Std Read]]="","N/A",Table1[[#This Row],[Std Read]]+Table1[[#This Row],[Std Ucty]])</f>
        <v>N/A</v>
      </c>
      <c r="Z20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2" s="1" t="str">
        <f>IF(Table1[[#This Row],[Spec Type]]="","N/A",Table1[[#This Row],[Spec Type]])</f>
        <v>±</v>
      </c>
      <c r="AC2022" s="1" t="str">
        <f>IF(Table1[[#This Row],[Spec Type2]]="N/A","N/A",IF(AND(Table1[[#This Row],[DUT Adj Read]]&gt;=Table1[[#This Row],[Low Tol]],Table1[[#This Row],[DUT Adj Read]]&lt;=Table1[[#This Row],[High Tol]]),"Pass","Fail"))</f>
        <v>Fail</v>
      </c>
      <c r="AD2022" s="1" t="str">
        <f>IF(AND(Table1[[#This Row],[Spec Type2]]="N/A",Table1[[#This Row],[DUT Adj Read]]="N/A",Table1[[#This Row],[Std Adj Read]]="N/A"),"N/A",IF(Table1[[#This Row],[DUT Adj Read]]="N/A",IF(Table1[[#This Row],[Std Adj Read]]&gt;Table1[[#This Row],[Low Tol]],"Pass","Fail"),IF(Table1[[#This Row],[DUT Adj Read]]&gt;Table1[[#This Row],[Low Tol]],"Pass","Fail")))</f>
        <v>Pass</v>
      </c>
      <c r="AE2022" s="1" t="str">
        <f>IF(AND(Table1[[#This Row],[Spec Type2]]="N/A",Table1[[#This Row],[DUT Adj Read]]="N/A",Table1[[#This Row],[Std Adj Read]]="N/A"),"N/A",IF(Table1[[#This Row],[DUT Adj Read]]="N/A",IF(Table1[[#This Row],[Std Adj Read]]&lt;Table1[[#This Row],[High Tol]],"Pass","Fail"),IF(Table1[[#This Row],[DUT Adj Read]]&lt;Table1[[#This Row],[High Tol]],"Pass","Fail")))</f>
        <v>Fail</v>
      </c>
      <c r="AF2022" s="1" t="str">
        <f>IF(AND(Table1[[#This Row],[Spec Type2]]="N/A",Table1[[#This Row],[DUT Adj Read]]="N/A",Table1[[#This Row],[Std Adj Read]]="N/A"),"N/A",IF(Table1[[#This Row],[DUT Adj Read]]="N/A",IF(Table1[[#This Row],[Std Adj Read]]&gt;=Table1[[#This Row],[Low Tol]],"Pass","Fail"),IF(Table1[[#This Row],[DUT Adj Read]]&gt;=Table1[[#This Row],[Low Tol]],"Pass","Fail")))</f>
        <v>Pass</v>
      </c>
      <c r="AG2022" s="1" t="str">
        <f>IF(AND(Table1[[#This Row],[Spec Type2]]="N/A",Table1[[#This Row],[DUT Adj Read]]="N/A",Table1[[#This Row],[Std Adj Read]]="N/A"),"N/A",IF(Table1[[#This Row],[DUT Adj Read]]="N/A",IF(Table1[[#This Row],[Std Adj Read]]&lt;=Table1[[#This Row],[High Tol]],"Pass","Fail"),IF(Table1[[#This Row],[DUT Adj Read]]&lt;=Table1[[#This Row],[High Tol]],"Pass","Fail")))</f>
        <v>Fail</v>
      </c>
      <c r="AH20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2" s="1" t="b">
        <v>0</v>
      </c>
      <c r="AN2022" s="1" t="b">
        <v>0</v>
      </c>
      <c r="AO2022" s="1" t="b">
        <v>0</v>
      </c>
    </row>
    <row r="2023" spans="1:41" x14ac:dyDescent="0.25">
      <c r="A2023" s="10"/>
      <c r="B2023" s="10"/>
      <c r="C2023" s="10"/>
      <c r="D2023" s="10"/>
      <c r="E2023" s="10"/>
      <c r="F2023" s="10"/>
      <c r="G2023" s="10"/>
      <c r="H2023" s="10"/>
      <c r="I2023" s="1" t="str">
        <f t="shared" si="93"/>
        <v/>
      </c>
      <c r="J2023" s="1" t="s">
        <v>35</v>
      </c>
      <c r="K2023" s="1" t="str">
        <f t="shared" si="94"/>
        <v/>
      </c>
      <c r="L2023" s="1" t="str">
        <f t="shared" si="95"/>
        <v/>
      </c>
      <c r="M2023" s="1">
        <f>IF(OR(Table1[[#This Row],[Std Nom]]="",Table1[[#This Row],[Std Read]]=""),0,Table1[[#This Row],[Std Nom]]-Table1[[#This Row],[Std Read]])</f>
        <v>0</v>
      </c>
      <c r="N2023" s="1">
        <f>IF(Calculations!$F$5="ACCREDITED 17025 WITH UNCERTAINTIES",$N$10,0)</f>
        <v>0</v>
      </c>
      <c r="O2023" s="1" t="str">
        <f>IFERROR(Table1[[#This Row],[Std Nom]]-(_xlfn.XLOOKUP(Table1[[#This Row],[Manufacturer]]&amp;" "&amp;Table1[[#This Row],[Model]],Table13[MFR &amp; MDL],Table13[Tolerance % CW ],"")/100*Table1[[#This Row],[Std Nom]]),"")</f>
        <v/>
      </c>
      <c r="P2023" s="1" t="str">
        <f>IFERROR(Table1[[#This Row],[Std Nom]]+(_xlfn.XLOOKUP(Table1[[#This Row],[Manufacturer]]&amp;" "&amp;Table1[[#This Row],[Model]],Table13[MFR &amp; MDL],Table13[Tolerance % CW ],"")/100*Table1[[#This Row],[Std Nom]]),"")</f>
        <v/>
      </c>
      <c r="Q2023" s="1" t="e">
        <f>Table1[[#This Row],[High Tol]]-Table1[[#This Row],[Low Tol]]</f>
        <v>#VALUE!</v>
      </c>
      <c r="R2023" s="1">
        <f>2*Table1[[#This Row],[Std Error]]</f>
        <v>0</v>
      </c>
      <c r="S2023" s="1" t="str">
        <f>IF(Table1[[#This Row],[High Tol]]="","N/A",IFERROR(ABS(Table1[[#This Row],[Tol Span]]/Table1[[#This Row],[Error Span]]),"N/A"))</f>
        <v>N/A</v>
      </c>
      <c r="T2023" s="1" t="str">
        <f>IF(OR(Table1[[#This Row],[Low Tol]]="",Table1[[#This Row],[High Tol]]=""),"Needs Analysis",IF(Table1[[#This Row],[Ratio]]&gt;=4,"Not Significant",IF(Table1[[#This Row],[Ratio]]&gt;=2,"Semi-Significant","Significant")))</f>
        <v>Needs Analysis</v>
      </c>
      <c r="W2023" s="1">
        <f>IF(Table1[[#This Row],[Cal Type]]&lt;&gt;"ACCREDITED 17025 WITH UNCERTAINTIES",0,"")</f>
        <v>0</v>
      </c>
      <c r="X2023" s="1" t="str">
        <f>IF(Table1[[#This Row],[DUT Read]]="","N/A",Table1[[#This Row],[Std Error]]+Table1[[#This Row],[DUT Read]]+Table1[[#This Row],[DUT Ucty]])</f>
        <v>N/A</v>
      </c>
      <c r="Y2023" s="1" t="str">
        <f>IF(Table1[[#This Row],[Std Read]]="","N/A",Table1[[#This Row],[Std Read]]+Table1[[#This Row],[Std Ucty]])</f>
        <v>N/A</v>
      </c>
      <c r="Z20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3" s="1" t="str">
        <f>IF(Table1[[#This Row],[Spec Type]]="","N/A",Table1[[#This Row],[Spec Type]])</f>
        <v>±</v>
      </c>
      <c r="AC2023" s="1" t="str">
        <f>IF(Table1[[#This Row],[Spec Type2]]="N/A","N/A",IF(AND(Table1[[#This Row],[DUT Adj Read]]&gt;=Table1[[#This Row],[Low Tol]],Table1[[#This Row],[DUT Adj Read]]&lt;=Table1[[#This Row],[High Tol]]),"Pass","Fail"))</f>
        <v>Fail</v>
      </c>
      <c r="AD2023" s="1" t="str">
        <f>IF(AND(Table1[[#This Row],[Spec Type2]]="N/A",Table1[[#This Row],[DUT Adj Read]]="N/A",Table1[[#This Row],[Std Adj Read]]="N/A"),"N/A",IF(Table1[[#This Row],[DUT Adj Read]]="N/A",IF(Table1[[#This Row],[Std Adj Read]]&gt;Table1[[#This Row],[Low Tol]],"Pass","Fail"),IF(Table1[[#This Row],[DUT Adj Read]]&gt;Table1[[#This Row],[Low Tol]],"Pass","Fail")))</f>
        <v>Pass</v>
      </c>
      <c r="AE2023" s="1" t="str">
        <f>IF(AND(Table1[[#This Row],[Spec Type2]]="N/A",Table1[[#This Row],[DUT Adj Read]]="N/A",Table1[[#This Row],[Std Adj Read]]="N/A"),"N/A",IF(Table1[[#This Row],[DUT Adj Read]]="N/A",IF(Table1[[#This Row],[Std Adj Read]]&lt;Table1[[#This Row],[High Tol]],"Pass","Fail"),IF(Table1[[#This Row],[DUT Adj Read]]&lt;Table1[[#This Row],[High Tol]],"Pass","Fail")))</f>
        <v>Fail</v>
      </c>
      <c r="AF2023" s="1" t="str">
        <f>IF(AND(Table1[[#This Row],[Spec Type2]]="N/A",Table1[[#This Row],[DUT Adj Read]]="N/A",Table1[[#This Row],[Std Adj Read]]="N/A"),"N/A",IF(Table1[[#This Row],[DUT Adj Read]]="N/A",IF(Table1[[#This Row],[Std Adj Read]]&gt;=Table1[[#This Row],[Low Tol]],"Pass","Fail"),IF(Table1[[#This Row],[DUT Adj Read]]&gt;=Table1[[#This Row],[Low Tol]],"Pass","Fail")))</f>
        <v>Pass</v>
      </c>
      <c r="AG2023" s="1" t="str">
        <f>IF(AND(Table1[[#This Row],[Spec Type2]]="N/A",Table1[[#This Row],[DUT Adj Read]]="N/A",Table1[[#This Row],[Std Adj Read]]="N/A"),"N/A",IF(Table1[[#This Row],[DUT Adj Read]]="N/A",IF(Table1[[#This Row],[Std Adj Read]]&lt;=Table1[[#This Row],[High Tol]],"Pass","Fail"),IF(Table1[[#This Row],[DUT Adj Read]]&lt;=Table1[[#This Row],[High Tol]],"Pass","Fail")))</f>
        <v>Fail</v>
      </c>
      <c r="AH20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3" s="1" t="b">
        <v>0</v>
      </c>
      <c r="AN2023" s="1" t="b">
        <v>0</v>
      </c>
      <c r="AO2023" s="1" t="b">
        <v>0</v>
      </c>
    </row>
    <row r="2024" spans="1:41" x14ac:dyDescent="0.25">
      <c r="A2024" s="10"/>
      <c r="B2024" s="10"/>
      <c r="C2024" s="10"/>
      <c r="D2024" s="10"/>
      <c r="E2024" s="10"/>
      <c r="F2024" s="10"/>
      <c r="G2024" s="10"/>
      <c r="H2024" s="10"/>
      <c r="I2024" s="1" t="str">
        <f t="shared" si="93"/>
        <v/>
      </c>
      <c r="J2024" s="1" t="s">
        <v>35</v>
      </c>
      <c r="K2024" s="1" t="str">
        <f t="shared" si="94"/>
        <v/>
      </c>
      <c r="L2024" s="1" t="str">
        <f t="shared" si="95"/>
        <v/>
      </c>
      <c r="M2024" s="1">
        <f>IF(OR(Table1[[#This Row],[Std Nom]]="",Table1[[#This Row],[Std Read]]=""),0,Table1[[#This Row],[Std Nom]]-Table1[[#This Row],[Std Read]])</f>
        <v>0</v>
      </c>
      <c r="N2024" s="1">
        <f>IF(Calculations!$F$5="ACCREDITED 17025 WITH UNCERTAINTIES",$N$10,0)</f>
        <v>0</v>
      </c>
      <c r="O2024" s="1" t="str">
        <f>IFERROR(Table1[[#This Row],[Std Nom]]-(_xlfn.XLOOKUP(Table1[[#This Row],[Manufacturer]]&amp;" "&amp;Table1[[#This Row],[Model]],Table13[MFR &amp; MDL],Table13[Tolerance % CW ],"")/100*Table1[[#This Row],[Std Nom]]),"")</f>
        <v/>
      </c>
      <c r="P2024" s="1" t="str">
        <f>IFERROR(Table1[[#This Row],[Std Nom]]+(_xlfn.XLOOKUP(Table1[[#This Row],[Manufacturer]]&amp;" "&amp;Table1[[#This Row],[Model]],Table13[MFR &amp; MDL],Table13[Tolerance % CW ],"")/100*Table1[[#This Row],[Std Nom]]),"")</f>
        <v/>
      </c>
      <c r="Q2024" s="1" t="e">
        <f>Table1[[#This Row],[High Tol]]-Table1[[#This Row],[Low Tol]]</f>
        <v>#VALUE!</v>
      </c>
      <c r="R2024" s="1">
        <f>2*Table1[[#This Row],[Std Error]]</f>
        <v>0</v>
      </c>
      <c r="S2024" s="1" t="str">
        <f>IF(Table1[[#This Row],[High Tol]]="","N/A",IFERROR(ABS(Table1[[#This Row],[Tol Span]]/Table1[[#This Row],[Error Span]]),"N/A"))</f>
        <v>N/A</v>
      </c>
      <c r="T2024" s="1" t="str">
        <f>IF(OR(Table1[[#This Row],[Low Tol]]="",Table1[[#This Row],[High Tol]]=""),"Needs Analysis",IF(Table1[[#This Row],[Ratio]]&gt;=4,"Not Significant",IF(Table1[[#This Row],[Ratio]]&gt;=2,"Semi-Significant","Significant")))</f>
        <v>Needs Analysis</v>
      </c>
      <c r="W2024" s="1">
        <f>IF(Table1[[#This Row],[Cal Type]]&lt;&gt;"ACCREDITED 17025 WITH UNCERTAINTIES",0,"")</f>
        <v>0</v>
      </c>
      <c r="X2024" s="1" t="str">
        <f>IF(Table1[[#This Row],[DUT Read]]="","N/A",Table1[[#This Row],[Std Error]]+Table1[[#This Row],[DUT Read]]+Table1[[#This Row],[DUT Ucty]])</f>
        <v>N/A</v>
      </c>
      <c r="Y2024" s="1" t="str">
        <f>IF(Table1[[#This Row],[Std Read]]="","N/A",Table1[[#This Row],[Std Read]]+Table1[[#This Row],[Std Ucty]])</f>
        <v>N/A</v>
      </c>
      <c r="Z20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4" s="1" t="str">
        <f>IF(Table1[[#This Row],[Spec Type]]="","N/A",Table1[[#This Row],[Spec Type]])</f>
        <v>±</v>
      </c>
      <c r="AC2024" s="1" t="str">
        <f>IF(Table1[[#This Row],[Spec Type2]]="N/A","N/A",IF(AND(Table1[[#This Row],[DUT Adj Read]]&gt;=Table1[[#This Row],[Low Tol]],Table1[[#This Row],[DUT Adj Read]]&lt;=Table1[[#This Row],[High Tol]]),"Pass","Fail"))</f>
        <v>Fail</v>
      </c>
      <c r="AD2024" s="1" t="str">
        <f>IF(AND(Table1[[#This Row],[Spec Type2]]="N/A",Table1[[#This Row],[DUT Adj Read]]="N/A",Table1[[#This Row],[Std Adj Read]]="N/A"),"N/A",IF(Table1[[#This Row],[DUT Adj Read]]="N/A",IF(Table1[[#This Row],[Std Adj Read]]&gt;Table1[[#This Row],[Low Tol]],"Pass","Fail"),IF(Table1[[#This Row],[DUT Adj Read]]&gt;Table1[[#This Row],[Low Tol]],"Pass","Fail")))</f>
        <v>Pass</v>
      </c>
      <c r="AE2024" s="1" t="str">
        <f>IF(AND(Table1[[#This Row],[Spec Type2]]="N/A",Table1[[#This Row],[DUT Adj Read]]="N/A",Table1[[#This Row],[Std Adj Read]]="N/A"),"N/A",IF(Table1[[#This Row],[DUT Adj Read]]="N/A",IF(Table1[[#This Row],[Std Adj Read]]&lt;Table1[[#This Row],[High Tol]],"Pass","Fail"),IF(Table1[[#This Row],[DUT Adj Read]]&lt;Table1[[#This Row],[High Tol]],"Pass","Fail")))</f>
        <v>Fail</v>
      </c>
      <c r="AF2024" s="1" t="str">
        <f>IF(AND(Table1[[#This Row],[Spec Type2]]="N/A",Table1[[#This Row],[DUT Adj Read]]="N/A",Table1[[#This Row],[Std Adj Read]]="N/A"),"N/A",IF(Table1[[#This Row],[DUT Adj Read]]="N/A",IF(Table1[[#This Row],[Std Adj Read]]&gt;=Table1[[#This Row],[Low Tol]],"Pass","Fail"),IF(Table1[[#This Row],[DUT Adj Read]]&gt;=Table1[[#This Row],[Low Tol]],"Pass","Fail")))</f>
        <v>Pass</v>
      </c>
      <c r="AG2024" s="1" t="str">
        <f>IF(AND(Table1[[#This Row],[Spec Type2]]="N/A",Table1[[#This Row],[DUT Adj Read]]="N/A",Table1[[#This Row],[Std Adj Read]]="N/A"),"N/A",IF(Table1[[#This Row],[DUT Adj Read]]="N/A",IF(Table1[[#This Row],[Std Adj Read]]&lt;=Table1[[#This Row],[High Tol]],"Pass","Fail"),IF(Table1[[#This Row],[DUT Adj Read]]&lt;=Table1[[#This Row],[High Tol]],"Pass","Fail")))</f>
        <v>Fail</v>
      </c>
      <c r="AH20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4" s="1" t="b">
        <v>0</v>
      </c>
      <c r="AN2024" s="1" t="b">
        <v>0</v>
      </c>
      <c r="AO2024" s="1" t="b">
        <v>0</v>
      </c>
    </row>
    <row r="2025" spans="1:41" x14ac:dyDescent="0.25">
      <c r="A2025" s="10"/>
      <c r="B2025" s="10"/>
      <c r="C2025" s="10"/>
      <c r="D2025" s="10"/>
      <c r="E2025" s="10"/>
      <c r="F2025" s="10"/>
      <c r="G2025" s="10"/>
      <c r="H2025" s="10"/>
      <c r="I2025" s="1" t="str">
        <f t="shared" si="93"/>
        <v/>
      </c>
      <c r="J2025" s="1" t="s">
        <v>35</v>
      </c>
      <c r="K2025" s="1" t="str">
        <f t="shared" si="94"/>
        <v/>
      </c>
      <c r="L2025" s="1" t="str">
        <f t="shared" si="95"/>
        <v/>
      </c>
      <c r="M2025" s="1">
        <f>IF(OR(Table1[[#This Row],[Std Nom]]="",Table1[[#This Row],[Std Read]]=""),0,Table1[[#This Row],[Std Nom]]-Table1[[#This Row],[Std Read]])</f>
        <v>0</v>
      </c>
      <c r="N2025" s="1">
        <f>IF(Calculations!$F$5="ACCREDITED 17025 WITH UNCERTAINTIES",$N$10,0)</f>
        <v>0</v>
      </c>
      <c r="O2025" s="1" t="str">
        <f>IFERROR(Table1[[#This Row],[Std Nom]]-(_xlfn.XLOOKUP(Table1[[#This Row],[Manufacturer]]&amp;" "&amp;Table1[[#This Row],[Model]],Table13[MFR &amp; MDL],Table13[Tolerance % CW ],"")/100*Table1[[#This Row],[Std Nom]]),"")</f>
        <v/>
      </c>
      <c r="P2025" s="1" t="str">
        <f>IFERROR(Table1[[#This Row],[Std Nom]]+(_xlfn.XLOOKUP(Table1[[#This Row],[Manufacturer]]&amp;" "&amp;Table1[[#This Row],[Model]],Table13[MFR &amp; MDL],Table13[Tolerance % CW ],"")/100*Table1[[#This Row],[Std Nom]]),"")</f>
        <v/>
      </c>
      <c r="Q2025" s="1" t="e">
        <f>Table1[[#This Row],[High Tol]]-Table1[[#This Row],[Low Tol]]</f>
        <v>#VALUE!</v>
      </c>
      <c r="R2025" s="1">
        <f>2*Table1[[#This Row],[Std Error]]</f>
        <v>0</v>
      </c>
      <c r="S2025" s="1" t="str">
        <f>IF(Table1[[#This Row],[High Tol]]="","N/A",IFERROR(ABS(Table1[[#This Row],[Tol Span]]/Table1[[#This Row],[Error Span]]),"N/A"))</f>
        <v>N/A</v>
      </c>
      <c r="T2025" s="1" t="str">
        <f>IF(OR(Table1[[#This Row],[Low Tol]]="",Table1[[#This Row],[High Tol]]=""),"Needs Analysis",IF(Table1[[#This Row],[Ratio]]&gt;=4,"Not Significant",IF(Table1[[#This Row],[Ratio]]&gt;=2,"Semi-Significant","Significant")))</f>
        <v>Needs Analysis</v>
      </c>
      <c r="W2025" s="1">
        <f>IF(Table1[[#This Row],[Cal Type]]&lt;&gt;"ACCREDITED 17025 WITH UNCERTAINTIES",0,"")</f>
        <v>0</v>
      </c>
      <c r="X2025" s="1" t="str">
        <f>IF(Table1[[#This Row],[DUT Read]]="","N/A",Table1[[#This Row],[Std Error]]+Table1[[#This Row],[DUT Read]]+Table1[[#This Row],[DUT Ucty]])</f>
        <v>N/A</v>
      </c>
      <c r="Y2025" s="1" t="str">
        <f>IF(Table1[[#This Row],[Std Read]]="","N/A",Table1[[#This Row],[Std Read]]+Table1[[#This Row],[Std Ucty]])</f>
        <v>N/A</v>
      </c>
      <c r="Z20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5" s="1" t="str">
        <f>IF(Table1[[#This Row],[Spec Type]]="","N/A",Table1[[#This Row],[Spec Type]])</f>
        <v>±</v>
      </c>
      <c r="AC2025" s="1" t="str">
        <f>IF(Table1[[#This Row],[Spec Type2]]="N/A","N/A",IF(AND(Table1[[#This Row],[DUT Adj Read]]&gt;=Table1[[#This Row],[Low Tol]],Table1[[#This Row],[DUT Adj Read]]&lt;=Table1[[#This Row],[High Tol]]),"Pass","Fail"))</f>
        <v>Fail</v>
      </c>
      <c r="AD2025" s="1" t="str">
        <f>IF(AND(Table1[[#This Row],[Spec Type2]]="N/A",Table1[[#This Row],[DUT Adj Read]]="N/A",Table1[[#This Row],[Std Adj Read]]="N/A"),"N/A",IF(Table1[[#This Row],[DUT Adj Read]]="N/A",IF(Table1[[#This Row],[Std Adj Read]]&gt;Table1[[#This Row],[Low Tol]],"Pass","Fail"),IF(Table1[[#This Row],[DUT Adj Read]]&gt;Table1[[#This Row],[Low Tol]],"Pass","Fail")))</f>
        <v>Pass</v>
      </c>
      <c r="AE2025" s="1" t="str">
        <f>IF(AND(Table1[[#This Row],[Spec Type2]]="N/A",Table1[[#This Row],[DUT Adj Read]]="N/A",Table1[[#This Row],[Std Adj Read]]="N/A"),"N/A",IF(Table1[[#This Row],[DUT Adj Read]]="N/A",IF(Table1[[#This Row],[Std Adj Read]]&lt;Table1[[#This Row],[High Tol]],"Pass","Fail"),IF(Table1[[#This Row],[DUT Adj Read]]&lt;Table1[[#This Row],[High Tol]],"Pass","Fail")))</f>
        <v>Fail</v>
      </c>
      <c r="AF2025" s="1" t="str">
        <f>IF(AND(Table1[[#This Row],[Spec Type2]]="N/A",Table1[[#This Row],[DUT Adj Read]]="N/A",Table1[[#This Row],[Std Adj Read]]="N/A"),"N/A",IF(Table1[[#This Row],[DUT Adj Read]]="N/A",IF(Table1[[#This Row],[Std Adj Read]]&gt;=Table1[[#This Row],[Low Tol]],"Pass","Fail"),IF(Table1[[#This Row],[DUT Adj Read]]&gt;=Table1[[#This Row],[Low Tol]],"Pass","Fail")))</f>
        <v>Pass</v>
      </c>
      <c r="AG2025" s="1" t="str">
        <f>IF(AND(Table1[[#This Row],[Spec Type2]]="N/A",Table1[[#This Row],[DUT Adj Read]]="N/A",Table1[[#This Row],[Std Adj Read]]="N/A"),"N/A",IF(Table1[[#This Row],[DUT Adj Read]]="N/A",IF(Table1[[#This Row],[Std Adj Read]]&lt;=Table1[[#This Row],[High Tol]],"Pass","Fail"),IF(Table1[[#This Row],[DUT Adj Read]]&lt;=Table1[[#This Row],[High Tol]],"Pass","Fail")))</f>
        <v>Fail</v>
      </c>
      <c r="AH20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5" s="1" t="b">
        <v>0</v>
      </c>
      <c r="AN2025" s="1" t="b">
        <v>0</v>
      </c>
      <c r="AO2025" s="1" t="b">
        <v>0</v>
      </c>
    </row>
    <row r="2026" spans="1:41" x14ac:dyDescent="0.25">
      <c r="A2026" s="10"/>
      <c r="B2026" s="10"/>
      <c r="C2026" s="10"/>
      <c r="D2026" s="10"/>
      <c r="E2026" s="10"/>
      <c r="F2026" s="10"/>
      <c r="G2026" s="10"/>
      <c r="H2026" s="10"/>
      <c r="I2026" s="1" t="str">
        <f t="shared" si="93"/>
        <v/>
      </c>
      <c r="J2026" s="1" t="s">
        <v>35</v>
      </c>
      <c r="K2026" s="1" t="str">
        <f t="shared" si="94"/>
        <v/>
      </c>
      <c r="L2026" s="1" t="str">
        <f t="shared" si="95"/>
        <v/>
      </c>
      <c r="M2026" s="1">
        <f>IF(OR(Table1[[#This Row],[Std Nom]]="",Table1[[#This Row],[Std Read]]=""),0,Table1[[#This Row],[Std Nom]]-Table1[[#This Row],[Std Read]])</f>
        <v>0</v>
      </c>
      <c r="N2026" s="1">
        <f>IF(Calculations!$F$5="ACCREDITED 17025 WITH UNCERTAINTIES",$N$10,0)</f>
        <v>0</v>
      </c>
      <c r="O2026" s="1" t="str">
        <f>IFERROR(Table1[[#This Row],[Std Nom]]-(_xlfn.XLOOKUP(Table1[[#This Row],[Manufacturer]]&amp;" "&amp;Table1[[#This Row],[Model]],Table13[MFR &amp; MDL],Table13[Tolerance % CW ],"")/100*Table1[[#This Row],[Std Nom]]),"")</f>
        <v/>
      </c>
      <c r="P2026" s="1" t="str">
        <f>IFERROR(Table1[[#This Row],[Std Nom]]+(_xlfn.XLOOKUP(Table1[[#This Row],[Manufacturer]]&amp;" "&amp;Table1[[#This Row],[Model]],Table13[MFR &amp; MDL],Table13[Tolerance % CW ],"")/100*Table1[[#This Row],[Std Nom]]),"")</f>
        <v/>
      </c>
      <c r="Q2026" s="1" t="e">
        <f>Table1[[#This Row],[High Tol]]-Table1[[#This Row],[Low Tol]]</f>
        <v>#VALUE!</v>
      </c>
      <c r="R2026" s="1">
        <f>2*Table1[[#This Row],[Std Error]]</f>
        <v>0</v>
      </c>
      <c r="S2026" s="1" t="str">
        <f>IF(Table1[[#This Row],[High Tol]]="","N/A",IFERROR(ABS(Table1[[#This Row],[Tol Span]]/Table1[[#This Row],[Error Span]]),"N/A"))</f>
        <v>N/A</v>
      </c>
      <c r="T2026" s="1" t="str">
        <f>IF(OR(Table1[[#This Row],[Low Tol]]="",Table1[[#This Row],[High Tol]]=""),"Needs Analysis",IF(Table1[[#This Row],[Ratio]]&gt;=4,"Not Significant",IF(Table1[[#This Row],[Ratio]]&gt;=2,"Semi-Significant","Significant")))</f>
        <v>Needs Analysis</v>
      </c>
      <c r="W2026" s="1">
        <f>IF(Table1[[#This Row],[Cal Type]]&lt;&gt;"ACCREDITED 17025 WITH UNCERTAINTIES",0,"")</f>
        <v>0</v>
      </c>
      <c r="X2026" s="1" t="str">
        <f>IF(Table1[[#This Row],[DUT Read]]="","N/A",Table1[[#This Row],[Std Error]]+Table1[[#This Row],[DUT Read]]+Table1[[#This Row],[DUT Ucty]])</f>
        <v>N/A</v>
      </c>
      <c r="Y2026" s="1" t="str">
        <f>IF(Table1[[#This Row],[Std Read]]="","N/A",Table1[[#This Row],[Std Read]]+Table1[[#This Row],[Std Ucty]])</f>
        <v>N/A</v>
      </c>
      <c r="Z20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6" s="1" t="str">
        <f>IF(Table1[[#This Row],[Spec Type]]="","N/A",Table1[[#This Row],[Spec Type]])</f>
        <v>±</v>
      </c>
      <c r="AC2026" s="1" t="str">
        <f>IF(Table1[[#This Row],[Spec Type2]]="N/A","N/A",IF(AND(Table1[[#This Row],[DUT Adj Read]]&gt;=Table1[[#This Row],[Low Tol]],Table1[[#This Row],[DUT Adj Read]]&lt;=Table1[[#This Row],[High Tol]]),"Pass","Fail"))</f>
        <v>Fail</v>
      </c>
      <c r="AD2026" s="1" t="str">
        <f>IF(AND(Table1[[#This Row],[Spec Type2]]="N/A",Table1[[#This Row],[DUT Adj Read]]="N/A",Table1[[#This Row],[Std Adj Read]]="N/A"),"N/A",IF(Table1[[#This Row],[DUT Adj Read]]="N/A",IF(Table1[[#This Row],[Std Adj Read]]&gt;Table1[[#This Row],[Low Tol]],"Pass","Fail"),IF(Table1[[#This Row],[DUT Adj Read]]&gt;Table1[[#This Row],[Low Tol]],"Pass","Fail")))</f>
        <v>Pass</v>
      </c>
      <c r="AE2026" s="1" t="str">
        <f>IF(AND(Table1[[#This Row],[Spec Type2]]="N/A",Table1[[#This Row],[DUT Adj Read]]="N/A",Table1[[#This Row],[Std Adj Read]]="N/A"),"N/A",IF(Table1[[#This Row],[DUT Adj Read]]="N/A",IF(Table1[[#This Row],[Std Adj Read]]&lt;Table1[[#This Row],[High Tol]],"Pass","Fail"),IF(Table1[[#This Row],[DUT Adj Read]]&lt;Table1[[#This Row],[High Tol]],"Pass","Fail")))</f>
        <v>Fail</v>
      </c>
      <c r="AF2026" s="1" t="str">
        <f>IF(AND(Table1[[#This Row],[Spec Type2]]="N/A",Table1[[#This Row],[DUT Adj Read]]="N/A",Table1[[#This Row],[Std Adj Read]]="N/A"),"N/A",IF(Table1[[#This Row],[DUT Adj Read]]="N/A",IF(Table1[[#This Row],[Std Adj Read]]&gt;=Table1[[#This Row],[Low Tol]],"Pass","Fail"),IF(Table1[[#This Row],[DUT Adj Read]]&gt;=Table1[[#This Row],[Low Tol]],"Pass","Fail")))</f>
        <v>Pass</v>
      </c>
      <c r="AG2026" s="1" t="str">
        <f>IF(AND(Table1[[#This Row],[Spec Type2]]="N/A",Table1[[#This Row],[DUT Adj Read]]="N/A",Table1[[#This Row],[Std Adj Read]]="N/A"),"N/A",IF(Table1[[#This Row],[DUT Adj Read]]="N/A",IF(Table1[[#This Row],[Std Adj Read]]&lt;=Table1[[#This Row],[High Tol]],"Pass","Fail"),IF(Table1[[#This Row],[DUT Adj Read]]&lt;=Table1[[#This Row],[High Tol]],"Pass","Fail")))</f>
        <v>Fail</v>
      </c>
      <c r="AH20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6" s="1" t="b">
        <v>0</v>
      </c>
      <c r="AN2026" s="1" t="b">
        <v>0</v>
      </c>
      <c r="AO2026" s="1" t="b">
        <v>0</v>
      </c>
    </row>
    <row r="2027" spans="1:41" x14ac:dyDescent="0.25">
      <c r="A2027" s="10"/>
      <c r="B2027" s="10"/>
      <c r="C2027" s="10"/>
      <c r="D2027" s="10"/>
      <c r="E2027" s="10"/>
      <c r="F2027" s="10"/>
      <c r="G2027" s="10"/>
      <c r="H2027" s="10"/>
      <c r="I2027" s="1" t="str">
        <f t="shared" si="93"/>
        <v/>
      </c>
      <c r="J2027" s="1" t="s">
        <v>35</v>
      </c>
      <c r="K2027" s="1" t="str">
        <f t="shared" si="94"/>
        <v/>
      </c>
      <c r="L2027" s="1" t="str">
        <f t="shared" si="95"/>
        <v/>
      </c>
      <c r="M2027" s="1">
        <f>IF(OR(Table1[[#This Row],[Std Nom]]="",Table1[[#This Row],[Std Read]]=""),0,Table1[[#This Row],[Std Nom]]-Table1[[#This Row],[Std Read]])</f>
        <v>0</v>
      </c>
      <c r="N2027" s="1">
        <f>IF(Calculations!$F$5="ACCREDITED 17025 WITH UNCERTAINTIES",$N$10,0)</f>
        <v>0</v>
      </c>
      <c r="O2027" s="1" t="str">
        <f>IFERROR(Table1[[#This Row],[Std Nom]]-(_xlfn.XLOOKUP(Table1[[#This Row],[Manufacturer]]&amp;" "&amp;Table1[[#This Row],[Model]],Table13[MFR &amp; MDL],Table13[Tolerance % CW ],"")/100*Table1[[#This Row],[Std Nom]]),"")</f>
        <v/>
      </c>
      <c r="P2027" s="1" t="str">
        <f>IFERROR(Table1[[#This Row],[Std Nom]]+(_xlfn.XLOOKUP(Table1[[#This Row],[Manufacturer]]&amp;" "&amp;Table1[[#This Row],[Model]],Table13[MFR &amp; MDL],Table13[Tolerance % CW ],"")/100*Table1[[#This Row],[Std Nom]]),"")</f>
        <v/>
      </c>
      <c r="Q2027" s="1" t="e">
        <f>Table1[[#This Row],[High Tol]]-Table1[[#This Row],[Low Tol]]</f>
        <v>#VALUE!</v>
      </c>
      <c r="R2027" s="1">
        <f>2*Table1[[#This Row],[Std Error]]</f>
        <v>0</v>
      </c>
      <c r="S2027" s="1" t="str">
        <f>IF(Table1[[#This Row],[High Tol]]="","N/A",IFERROR(ABS(Table1[[#This Row],[Tol Span]]/Table1[[#This Row],[Error Span]]),"N/A"))</f>
        <v>N/A</v>
      </c>
      <c r="T2027" s="1" t="str">
        <f>IF(OR(Table1[[#This Row],[Low Tol]]="",Table1[[#This Row],[High Tol]]=""),"Needs Analysis",IF(Table1[[#This Row],[Ratio]]&gt;=4,"Not Significant",IF(Table1[[#This Row],[Ratio]]&gt;=2,"Semi-Significant","Significant")))</f>
        <v>Needs Analysis</v>
      </c>
      <c r="W2027" s="1">
        <f>IF(Table1[[#This Row],[Cal Type]]&lt;&gt;"ACCREDITED 17025 WITH UNCERTAINTIES",0,"")</f>
        <v>0</v>
      </c>
      <c r="X2027" s="1" t="str">
        <f>IF(Table1[[#This Row],[DUT Read]]="","N/A",Table1[[#This Row],[Std Error]]+Table1[[#This Row],[DUT Read]]+Table1[[#This Row],[DUT Ucty]])</f>
        <v>N/A</v>
      </c>
      <c r="Y2027" s="1" t="str">
        <f>IF(Table1[[#This Row],[Std Read]]="","N/A",Table1[[#This Row],[Std Read]]+Table1[[#This Row],[Std Ucty]])</f>
        <v>N/A</v>
      </c>
      <c r="Z20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7" s="1" t="str">
        <f>IF(Table1[[#This Row],[Spec Type]]="","N/A",Table1[[#This Row],[Spec Type]])</f>
        <v>±</v>
      </c>
      <c r="AC2027" s="1" t="str">
        <f>IF(Table1[[#This Row],[Spec Type2]]="N/A","N/A",IF(AND(Table1[[#This Row],[DUT Adj Read]]&gt;=Table1[[#This Row],[Low Tol]],Table1[[#This Row],[DUT Adj Read]]&lt;=Table1[[#This Row],[High Tol]]),"Pass","Fail"))</f>
        <v>Fail</v>
      </c>
      <c r="AD2027" s="1" t="str">
        <f>IF(AND(Table1[[#This Row],[Spec Type2]]="N/A",Table1[[#This Row],[DUT Adj Read]]="N/A",Table1[[#This Row],[Std Adj Read]]="N/A"),"N/A",IF(Table1[[#This Row],[DUT Adj Read]]="N/A",IF(Table1[[#This Row],[Std Adj Read]]&gt;Table1[[#This Row],[Low Tol]],"Pass","Fail"),IF(Table1[[#This Row],[DUT Adj Read]]&gt;Table1[[#This Row],[Low Tol]],"Pass","Fail")))</f>
        <v>Pass</v>
      </c>
      <c r="AE2027" s="1" t="str">
        <f>IF(AND(Table1[[#This Row],[Spec Type2]]="N/A",Table1[[#This Row],[DUT Adj Read]]="N/A",Table1[[#This Row],[Std Adj Read]]="N/A"),"N/A",IF(Table1[[#This Row],[DUT Adj Read]]="N/A",IF(Table1[[#This Row],[Std Adj Read]]&lt;Table1[[#This Row],[High Tol]],"Pass","Fail"),IF(Table1[[#This Row],[DUT Adj Read]]&lt;Table1[[#This Row],[High Tol]],"Pass","Fail")))</f>
        <v>Fail</v>
      </c>
      <c r="AF2027" s="1" t="str">
        <f>IF(AND(Table1[[#This Row],[Spec Type2]]="N/A",Table1[[#This Row],[DUT Adj Read]]="N/A",Table1[[#This Row],[Std Adj Read]]="N/A"),"N/A",IF(Table1[[#This Row],[DUT Adj Read]]="N/A",IF(Table1[[#This Row],[Std Adj Read]]&gt;=Table1[[#This Row],[Low Tol]],"Pass","Fail"),IF(Table1[[#This Row],[DUT Adj Read]]&gt;=Table1[[#This Row],[Low Tol]],"Pass","Fail")))</f>
        <v>Pass</v>
      </c>
      <c r="AG2027" s="1" t="str">
        <f>IF(AND(Table1[[#This Row],[Spec Type2]]="N/A",Table1[[#This Row],[DUT Adj Read]]="N/A",Table1[[#This Row],[Std Adj Read]]="N/A"),"N/A",IF(Table1[[#This Row],[DUT Adj Read]]="N/A",IF(Table1[[#This Row],[Std Adj Read]]&lt;=Table1[[#This Row],[High Tol]],"Pass","Fail"),IF(Table1[[#This Row],[DUT Adj Read]]&lt;=Table1[[#This Row],[High Tol]],"Pass","Fail")))</f>
        <v>Fail</v>
      </c>
      <c r="AH20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7" s="1" t="b">
        <v>0</v>
      </c>
      <c r="AN2027" s="1" t="b">
        <v>0</v>
      </c>
      <c r="AO2027" s="1" t="b">
        <v>0</v>
      </c>
    </row>
    <row r="2028" spans="1:41" x14ac:dyDescent="0.25">
      <c r="A2028" s="10"/>
      <c r="B2028" s="10"/>
      <c r="C2028" s="10"/>
      <c r="D2028" s="10"/>
      <c r="E2028" s="10"/>
      <c r="F2028" s="10"/>
      <c r="G2028" s="10"/>
      <c r="H2028" s="10"/>
      <c r="I2028" s="1" t="str">
        <f t="shared" si="93"/>
        <v/>
      </c>
      <c r="J2028" s="1" t="s">
        <v>35</v>
      </c>
      <c r="K2028" s="1" t="str">
        <f t="shared" si="94"/>
        <v/>
      </c>
      <c r="L2028" s="1" t="str">
        <f t="shared" si="95"/>
        <v/>
      </c>
      <c r="M2028" s="1">
        <f>IF(OR(Table1[[#This Row],[Std Nom]]="",Table1[[#This Row],[Std Read]]=""),0,Table1[[#This Row],[Std Nom]]-Table1[[#This Row],[Std Read]])</f>
        <v>0</v>
      </c>
      <c r="N2028" s="1">
        <f>IF(Calculations!$F$5="ACCREDITED 17025 WITH UNCERTAINTIES",$N$10,0)</f>
        <v>0</v>
      </c>
      <c r="O2028" s="1" t="str">
        <f>IFERROR(Table1[[#This Row],[Std Nom]]-(_xlfn.XLOOKUP(Table1[[#This Row],[Manufacturer]]&amp;" "&amp;Table1[[#This Row],[Model]],Table13[MFR &amp; MDL],Table13[Tolerance % CW ],"")/100*Table1[[#This Row],[Std Nom]]),"")</f>
        <v/>
      </c>
      <c r="P2028" s="1" t="str">
        <f>IFERROR(Table1[[#This Row],[Std Nom]]+(_xlfn.XLOOKUP(Table1[[#This Row],[Manufacturer]]&amp;" "&amp;Table1[[#This Row],[Model]],Table13[MFR &amp; MDL],Table13[Tolerance % CW ],"")/100*Table1[[#This Row],[Std Nom]]),"")</f>
        <v/>
      </c>
      <c r="Q2028" s="1" t="e">
        <f>Table1[[#This Row],[High Tol]]-Table1[[#This Row],[Low Tol]]</f>
        <v>#VALUE!</v>
      </c>
      <c r="R2028" s="1">
        <f>2*Table1[[#This Row],[Std Error]]</f>
        <v>0</v>
      </c>
      <c r="S2028" s="1" t="str">
        <f>IF(Table1[[#This Row],[High Tol]]="","N/A",IFERROR(ABS(Table1[[#This Row],[Tol Span]]/Table1[[#This Row],[Error Span]]),"N/A"))</f>
        <v>N/A</v>
      </c>
      <c r="T2028" s="1" t="str">
        <f>IF(OR(Table1[[#This Row],[Low Tol]]="",Table1[[#This Row],[High Tol]]=""),"Needs Analysis",IF(Table1[[#This Row],[Ratio]]&gt;=4,"Not Significant",IF(Table1[[#This Row],[Ratio]]&gt;=2,"Semi-Significant","Significant")))</f>
        <v>Needs Analysis</v>
      </c>
      <c r="W2028" s="1">
        <f>IF(Table1[[#This Row],[Cal Type]]&lt;&gt;"ACCREDITED 17025 WITH UNCERTAINTIES",0,"")</f>
        <v>0</v>
      </c>
      <c r="X2028" s="1" t="str">
        <f>IF(Table1[[#This Row],[DUT Read]]="","N/A",Table1[[#This Row],[Std Error]]+Table1[[#This Row],[DUT Read]]+Table1[[#This Row],[DUT Ucty]])</f>
        <v>N/A</v>
      </c>
      <c r="Y2028" s="1" t="str">
        <f>IF(Table1[[#This Row],[Std Read]]="","N/A",Table1[[#This Row],[Std Read]]+Table1[[#This Row],[Std Ucty]])</f>
        <v>N/A</v>
      </c>
      <c r="Z20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8" s="1" t="str">
        <f>IF(Table1[[#This Row],[Spec Type]]="","N/A",Table1[[#This Row],[Spec Type]])</f>
        <v>±</v>
      </c>
      <c r="AC2028" s="1" t="str">
        <f>IF(Table1[[#This Row],[Spec Type2]]="N/A","N/A",IF(AND(Table1[[#This Row],[DUT Adj Read]]&gt;=Table1[[#This Row],[Low Tol]],Table1[[#This Row],[DUT Adj Read]]&lt;=Table1[[#This Row],[High Tol]]),"Pass","Fail"))</f>
        <v>Fail</v>
      </c>
      <c r="AD2028" s="1" t="str">
        <f>IF(AND(Table1[[#This Row],[Spec Type2]]="N/A",Table1[[#This Row],[DUT Adj Read]]="N/A",Table1[[#This Row],[Std Adj Read]]="N/A"),"N/A",IF(Table1[[#This Row],[DUT Adj Read]]="N/A",IF(Table1[[#This Row],[Std Adj Read]]&gt;Table1[[#This Row],[Low Tol]],"Pass","Fail"),IF(Table1[[#This Row],[DUT Adj Read]]&gt;Table1[[#This Row],[Low Tol]],"Pass","Fail")))</f>
        <v>Pass</v>
      </c>
      <c r="AE2028" s="1" t="str">
        <f>IF(AND(Table1[[#This Row],[Spec Type2]]="N/A",Table1[[#This Row],[DUT Adj Read]]="N/A",Table1[[#This Row],[Std Adj Read]]="N/A"),"N/A",IF(Table1[[#This Row],[DUT Adj Read]]="N/A",IF(Table1[[#This Row],[Std Adj Read]]&lt;Table1[[#This Row],[High Tol]],"Pass","Fail"),IF(Table1[[#This Row],[DUT Adj Read]]&lt;Table1[[#This Row],[High Tol]],"Pass","Fail")))</f>
        <v>Fail</v>
      </c>
      <c r="AF2028" s="1" t="str">
        <f>IF(AND(Table1[[#This Row],[Spec Type2]]="N/A",Table1[[#This Row],[DUT Adj Read]]="N/A",Table1[[#This Row],[Std Adj Read]]="N/A"),"N/A",IF(Table1[[#This Row],[DUT Adj Read]]="N/A",IF(Table1[[#This Row],[Std Adj Read]]&gt;=Table1[[#This Row],[Low Tol]],"Pass","Fail"),IF(Table1[[#This Row],[DUT Adj Read]]&gt;=Table1[[#This Row],[Low Tol]],"Pass","Fail")))</f>
        <v>Pass</v>
      </c>
      <c r="AG2028" s="1" t="str">
        <f>IF(AND(Table1[[#This Row],[Spec Type2]]="N/A",Table1[[#This Row],[DUT Adj Read]]="N/A",Table1[[#This Row],[Std Adj Read]]="N/A"),"N/A",IF(Table1[[#This Row],[DUT Adj Read]]="N/A",IF(Table1[[#This Row],[Std Adj Read]]&lt;=Table1[[#This Row],[High Tol]],"Pass","Fail"),IF(Table1[[#This Row],[DUT Adj Read]]&lt;=Table1[[#This Row],[High Tol]],"Pass","Fail")))</f>
        <v>Fail</v>
      </c>
      <c r="AH20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8" s="1" t="b">
        <v>0</v>
      </c>
      <c r="AN2028" s="1" t="b">
        <v>0</v>
      </c>
      <c r="AO2028" s="1" t="b">
        <v>0</v>
      </c>
    </row>
    <row r="2029" spans="1:41" x14ac:dyDescent="0.25">
      <c r="A2029" s="10"/>
      <c r="B2029" s="10"/>
      <c r="C2029" s="10"/>
      <c r="D2029" s="10"/>
      <c r="E2029" s="10"/>
      <c r="F2029" s="10"/>
      <c r="G2029" s="10"/>
      <c r="H2029" s="10"/>
      <c r="I2029" s="1" t="str">
        <f t="shared" si="93"/>
        <v/>
      </c>
      <c r="J2029" s="1" t="s">
        <v>35</v>
      </c>
      <c r="K2029" s="1" t="str">
        <f t="shared" si="94"/>
        <v/>
      </c>
      <c r="L2029" s="1" t="str">
        <f t="shared" si="95"/>
        <v/>
      </c>
      <c r="M2029" s="1">
        <f>IF(OR(Table1[[#This Row],[Std Nom]]="",Table1[[#This Row],[Std Read]]=""),0,Table1[[#This Row],[Std Nom]]-Table1[[#This Row],[Std Read]])</f>
        <v>0</v>
      </c>
      <c r="N2029" s="1">
        <f>IF(Calculations!$F$5="ACCREDITED 17025 WITH UNCERTAINTIES",$N$10,0)</f>
        <v>0</v>
      </c>
      <c r="O2029" s="1" t="str">
        <f>IFERROR(Table1[[#This Row],[Std Nom]]-(_xlfn.XLOOKUP(Table1[[#This Row],[Manufacturer]]&amp;" "&amp;Table1[[#This Row],[Model]],Table13[MFR &amp; MDL],Table13[Tolerance % CW ],"")/100*Table1[[#This Row],[Std Nom]]),"")</f>
        <v/>
      </c>
      <c r="P2029" s="1" t="str">
        <f>IFERROR(Table1[[#This Row],[Std Nom]]+(_xlfn.XLOOKUP(Table1[[#This Row],[Manufacturer]]&amp;" "&amp;Table1[[#This Row],[Model]],Table13[MFR &amp; MDL],Table13[Tolerance % CW ],"")/100*Table1[[#This Row],[Std Nom]]),"")</f>
        <v/>
      </c>
      <c r="Q2029" s="1" t="e">
        <f>Table1[[#This Row],[High Tol]]-Table1[[#This Row],[Low Tol]]</f>
        <v>#VALUE!</v>
      </c>
      <c r="R2029" s="1">
        <f>2*Table1[[#This Row],[Std Error]]</f>
        <v>0</v>
      </c>
      <c r="S2029" s="1" t="str">
        <f>IF(Table1[[#This Row],[High Tol]]="","N/A",IFERROR(ABS(Table1[[#This Row],[Tol Span]]/Table1[[#This Row],[Error Span]]),"N/A"))</f>
        <v>N/A</v>
      </c>
      <c r="T2029" s="1" t="str">
        <f>IF(OR(Table1[[#This Row],[Low Tol]]="",Table1[[#This Row],[High Tol]]=""),"Needs Analysis",IF(Table1[[#This Row],[Ratio]]&gt;=4,"Not Significant",IF(Table1[[#This Row],[Ratio]]&gt;=2,"Semi-Significant","Significant")))</f>
        <v>Needs Analysis</v>
      </c>
      <c r="W2029" s="1">
        <f>IF(Table1[[#This Row],[Cal Type]]&lt;&gt;"ACCREDITED 17025 WITH UNCERTAINTIES",0,"")</f>
        <v>0</v>
      </c>
      <c r="X2029" s="1" t="str">
        <f>IF(Table1[[#This Row],[DUT Read]]="","N/A",Table1[[#This Row],[Std Error]]+Table1[[#This Row],[DUT Read]]+Table1[[#This Row],[DUT Ucty]])</f>
        <v>N/A</v>
      </c>
      <c r="Y2029" s="1" t="str">
        <f>IF(Table1[[#This Row],[Std Read]]="","N/A",Table1[[#This Row],[Std Read]]+Table1[[#This Row],[Std Ucty]])</f>
        <v>N/A</v>
      </c>
      <c r="Z20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9" s="1" t="str">
        <f>IF(Table1[[#This Row],[Spec Type]]="","N/A",Table1[[#This Row],[Spec Type]])</f>
        <v>±</v>
      </c>
      <c r="AC2029" s="1" t="str">
        <f>IF(Table1[[#This Row],[Spec Type2]]="N/A","N/A",IF(AND(Table1[[#This Row],[DUT Adj Read]]&gt;=Table1[[#This Row],[Low Tol]],Table1[[#This Row],[DUT Adj Read]]&lt;=Table1[[#This Row],[High Tol]]),"Pass","Fail"))</f>
        <v>Fail</v>
      </c>
      <c r="AD2029" s="1" t="str">
        <f>IF(AND(Table1[[#This Row],[Spec Type2]]="N/A",Table1[[#This Row],[DUT Adj Read]]="N/A",Table1[[#This Row],[Std Adj Read]]="N/A"),"N/A",IF(Table1[[#This Row],[DUT Adj Read]]="N/A",IF(Table1[[#This Row],[Std Adj Read]]&gt;Table1[[#This Row],[Low Tol]],"Pass","Fail"),IF(Table1[[#This Row],[DUT Adj Read]]&gt;Table1[[#This Row],[Low Tol]],"Pass","Fail")))</f>
        <v>Pass</v>
      </c>
      <c r="AE2029" s="1" t="str">
        <f>IF(AND(Table1[[#This Row],[Spec Type2]]="N/A",Table1[[#This Row],[DUT Adj Read]]="N/A",Table1[[#This Row],[Std Adj Read]]="N/A"),"N/A",IF(Table1[[#This Row],[DUT Adj Read]]="N/A",IF(Table1[[#This Row],[Std Adj Read]]&lt;Table1[[#This Row],[High Tol]],"Pass","Fail"),IF(Table1[[#This Row],[DUT Adj Read]]&lt;Table1[[#This Row],[High Tol]],"Pass","Fail")))</f>
        <v>Fail</v>
      </c>
      <c r="AF2029" s="1" t="str">
        <f>IF(AND(Table1[[#This Row],[Spec Type2]]="N/A",Table1[[#This Row],[DUT Adj Read]]="N/A",Table1[[#This Row],[Std Adj Read]]="N/A"),"N/A",IF(Table1[[#This Row],[DUT Adj Read]]="N/A",IF(Table1[[#This Row],[Std Adj Read]]&gt;=Table1[[#This Row],[Low Tol]],"Pass","Fail"),IF(Table1[[#This Row],[DUT Adj Read]]&gt;=Table1[[#This Row],[Low Tol]],"Pass","Fail")))</f>
        <v>Pass</v>
      </c>
      <c r="AG2029" s="1" t="str">
        <f>IF(AND(Table1[[#This Row],[Spec Type2]]="N/A",Table1[[#This Row],[DUT Adj Read]]="N/A",Table1[[#This Row],[Std Adj Read]]="N/A"),"N/A",IF(Table1[[#This Row],[DUT Adj Read]]="N/A",IF(Table1[[#This Row],[Std Adj Read]]&lt;=Table1[[#This Row],[High Tol]],"Pass","Fail"),IF(Table1[[#This Row],[DUT Adj Read]]&lt;=Table1[[#This Row],[High Tol]],"Pass","Fail")))</f>
        <v>Fail</v>
      </c>
      <c r="AH20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9" s="1" t="b">
        <v>0</v>
      </c>
      <c r="AN2029" s="1" t="b">
        <v>0</v>
      </c>
      <c r="AO2029" s="1" t="b">
        <v>0</v>
      </c>
    </row>
    <row r="2030" spans="1:41" x14ac:dyDescent="0.25">
      <c r="A2030" s="10"/>
      <c r="B2030" s="10"/>
      <c r="C2030" s="10"/>
      <c r="D2030" s="10"/>
      <c r="E2030" s="10"/>
      <c r="F2030" s="10"/>
      <c r="G2030" s="10"/>
      <c r="H2030" s="10"/>
      <c r="I2030" s="1" t="str">
        <f t="shared" si="93"/>
        <v/>
      </c>
      <c r="J2030" s="1" t="s">
        <v>35</v>
      </c>
      <c r="K2030" s="1" t="str">
        <f t="shared" si="94"/>
        <v/>
      </c>
      <c r="L2030" s="1" t="str">
        <f t="shared" si="95"/>
        <v/>
      </c>
      <c r="M2030" s="1">
        <f>IF(OR(Table1[[#This Row],[Std Nom]]="",Table1[[#This Row],[Std Read]]=""),0,Table1[[#This Row],[Std Nom]]-Table1[[#This Row],[Std Read]])</f>
        <v>0</v>
      </c>
      <c r="N2030" s="1">
        <f>IF(Calculations!$F$5="ACCREDITED 17025 WITH UNCERTAINTIES",$N$10,0)</f>
        <v>0</v>
      </c>
      <c r="O2030" s="1" t="str">
        <f>IFERROR(Table1[[#This Row],[Std Nom]]-(_xlfn.XLOOKUP(Table1[[#This Row],[Manufacturer]]&amp;" "&amp;Table1[[#This Row],[Model]],Table13[MFR &amp; MDL],Table13[Tolerance % CW ],"")/100*Table1[[#This Row],[Std Nom]]),"")</f>
        <v/>
      </c>
      <c r="P2030" s="1" t="str">
        <f>IFERROR(Table1[[#This Row],[Std Nom]]+(_xlfn.XLOOKUP(Table1[[#This Row],[Manufacturer]]&amp;" "&amp;Table1[[#This Row],[Model]],Table13[MFR &amp; MDL],Table13[Tolerance % CW ],"")/100*Table1[[#This Row],[Std Nom]]),"")</f>
        <v/>
      </c>
      <c r="Q2030" s="1" t="e">
        <f>Table1[[#This Row],[High Tol]]-Table1[[#This Row],[Low Tol]]</f>
        <v>#VALUE!</v>
      </c>
      <c r="R2030" s="1">
        <f>2*Table1[[#This Row],[Std Error]]</f>
        <v>0</v>
      </c>
      <c r="S2030" s="1" t="str">
        <f>IF(Table1[[#This Row],[High Tol]]="","N/A",IFERROR(ABS(Table1[[#This Row],[Tol Span]]/Table1[[#This Row],[Error Span]]),"N/A"))</f>
        <v>N/A</v>
      </c>
      <c r="T2030" s="1" t="str">
        <f>IF(OR(Table1[[#This Row],[Low Tol]]="",Table1[[#This Row],[High Tol]]=""),"Needs Analysis",IF(Table1[[#This Row],[Ratio]]&gt;=4,"Not Significant",IF(Table1[[#This Row],[Ratio]]&gt;=2,"Semi-Significant","Significant")))</f>
        <v>Needs Analysis</v>
      </c>
      <c r="W2030" s="1">
        <f>IF(Table1[[#This Row],[Cal Type]]&lt;&gt;"ACCREDITED 17025 WITH UNCERTAINTIES",0,"")</f>
        <v>0</v>
      </c>
      <c r="X2030" s="1" t="str">
        <f>IF(Table1[[#This Row],[DUT Read]]="","N/A",Table1[[#This Row],[Std Error]]+Table1[[#This Row],[DUT Read]]+Table1[[#This Row],[DUT Ucty]])</f>
        <v>N/A</v>
      </c>
      <c r="Y2030" s="1" t="str">
        <f>IF(Table1[[#This Row],[Std Read]]="","N/A",Table1[[#This Row],[Std Read]]+Table1[[#This Row],[Std Ucty]])</f>
        <v>N/A</v>
      </c>
      <c r="Z20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0" s="1" t="str">
        <f>IF(Table1[[#This Row],[Spec Type]]="","N/A",Table1[[#This Row],[Spec Type]])</f>
        <v>±</v>
      </c>
      <c r="AC2030" s="1" t="str">
        <f>IF(Table1[[#This Row],[Spec Type2]]="N/A","N/A",IF(AND(Table1[[#This Row],[DUT Adj Read]]&gt;=Table1[[#This Row],[Low Tol]],Table1[[#This Row],[DUT Adj Read]]&lt;=Table1[[#This Row],[High Tol]]),"Pass","Fail"))</f>
        <v>Fail</v>
      </c>
      <c r="AD2030" s="1" t="str">
        <f>IF(AND(Table1[[#This Row],[Spec Type2]]="N/A",Table1[[#This Row],[DUT Adj Read]]="N/A",Table1[[#This Row],[Std Adj Read]]="N/A"),"N/A",IF(Table1[[#This Row],[DUT Adj Read]]="N/A",IF(Table1[[#This Row],[Std Adj Read]]&gt;Table1[[#This Row],[Low Tol]],"Pass","Fail"),IF(Table1[[#This Row],[DUT Adj Read]]&gt;Table1[[#This Row],[Low Tol]],"Pass","Fail")))</f>
        <v>Pass</v>
      </c>
      <c r="AE2030" s="1" t="str">
        <f>IF(AND(Table1[[#This Row],[Spec Type2]]="N/A",Table1[[#This Row],[DUT Adj Read]]="N/A",Table1[[#This Row],[Std Adj Read]]="N/A"),"N/A",IF(Table1[[#This Row],[DUT Adj Read]]="N/A",IF(Table1[[#This Row],[Std Adj Read]]&lt;Table1[[#This Row],[High Tol]],"Pass","Fail"),IF(Table1[[#This Row],[DUT Adj Read]]&lt;Table1[[#This Row],[High Tol]],"Pass","Fail")))</f>
        <v>Fail</v>
      </c>
      <c r="AF2030" s="1" t="str">
        <f>IF(AND(Table1[[#This Row],[Spec Type2]]="N/A",Table1[[#This Row],[DUT Adj Read]]="N/A",Table1[[#This Row],[Std Adj Read]]="N/A"),"N/A",IF(Table1[[#This Row],[DUT Adj Read]]="N/A",IF(Table1[[#This Row],[Std Adj Read]]&gt;=Table1[[#This Row],[Low Tol]],"Pass","Fail"),IF(Table1[[#This Row],[DUT Adj Read]]&gt;=Table1[[#This Row],[Low Tol]],"Pass","Fail")))</f>
        <v>Pass</v>
      </c>
      <c r="AG2030" s="1" t="str">
        <f>IF(AND(Table1[[#This Row],[Spec Type2]]="N/A",Table1[[#This Row],[DUT Adj Read]]="N/A",Table1[[#This Row],[Std Adj Read]]="N/A"),"N/A",IF(Table1[[#This Row],[DUT Adj Read]]="N/A",IF(Table1[[#This Row],[Std Adj Read]]&lt;=Table1[[#This Row],[High Tol]],"Pass","Fail"),IF(Table1[[#This Row],[DUT Adj Read]]&lt;=Table1[[#This Row],[High Tol]],"Pass","Fail")))</f>
        <v>Fail</v>
      </c>
      <c r="AH20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0" s="1" t="b">
        <v>0</v>
      </c>
      <c r="AN2030" s="1" t="b">
        <v>0</v>
      </c>
      <c r="AO2030" s="1" t="b">
        <v>0</v>
      </c>
    </row>
    <row r="2031" spans="1:41" x14ac:dyDescent="0.25">
      <c r="A2031" s="10"/>
      <c r="B2031" s="10"/>
      <c r="C2031" s="10"/>
      <c r="D2031" s="10"/>
      <c r="E2031" s="10"/>
      <c r="F2031" s="10"/>
      <c r="G2031" s="10"/>
      <c r="H2031" s="10"/>
      <c r="I2031" s="1" t="str">
        <f t="shared" si="93"/>
        <v/>
      </c>
      <c r="J2031" s="1" t="s">
        <v>35</v>
      </c>
      <c r="K2031" s="1" t="str">
        <f t="shared" si="94"/>
        <v/>
      </c>
      <c r="L2031" s="1" t="str">
        <f t="shared" si="95"/>
        <v/>
      </c>
      <c r="M2031" s="1">
        <f>IF(OR(Table1[[#This Row],[Std Nom]]="",Table1[[#This Row],[Std Read]]=""),0,Table1[[#This Row],[Std Nom]]-Table1[[#This Row],[Std Read]])</f>
        <v>0</v>
      </c>
      <c r="N2031" s="1">
        <f>IF(Calculations!$F$5="ACCREDITED 17025 WITH UNCERTAINTIES",$N$10,0)</f>
        <v>0</v>
      </c>
      <c r="O2031" s="1" t="str">
        <f>IFERROR(Table1[[#This Row],[Std Nom]]-(_xlfn.XLOOKUP(Table1[[#This Row],[Manufacturer]]&amp;" "&amp;Table1[[#This Row],[Model]],Table13[MFR &amp; MDL],Table13[Tolerance % CW ],"")/100*Table1[[#This Row],[Std Nom]]),"")</f>
        <v/>
      </c>
      <c r="P2031" s="1" t="str">
        <f>IFERROR(Table1[[#This Row],[Std Nom]]+(_xlfn.XLOOKUP(Table1[[#This Row],[Manufacturer]]&amp;" "&amp;Table1[[#This Row],[Model]],Table13[MFR &amp; MDL],Table13[Tolerance % CW ],"")/100*Table1[[#This Row],[Std Nom]]),"")</f>
        <v/>
      </c>
      <c r="Q2031" s="1" t="e">
        <f>Table1[[#This Row],[High Tol]]-Table1[[#This Row],[Low Tol]]</f>
        <v>#VALUE!</v>
      </c>
      <c r="R2031" s="1">
        <f>2*Table1[[#This Row],[Std Error]]</f>
        <v>0</v>
      </c>
      <c r="S2031" s="1" t="str">
        <f>IF(Table1[[#This Row],[High Tol]]="","N/A",IFERROR(ABS(Table1[[#This Row],[Tol Span]]/Table1[[#This Row],[Error Span]]),"N/A"))</f>
        <v>N/A</v>
      </c>
      <c r="T2031" s="1" t="str">
        <f>IF(OR(Table1[[#This Row],[Low Tol]]="",Table1[[#This Row],[High Tol]]=""),"Needs Analysis",IF(Table1[[#This Row],[Ratio]]&gt;=4,"Not Significant",IF(Table1[[#This Row],[Ratio]]&gt;=2,"Semi-Significant","Significant")))</f>
        <v>Needs Analysis</v>
      </c>
      <c r="W2031" s="1">
        <f>IF(Table1[[#This Row],[Cal Type]]&lt;&gt;"ACCREDITED 17025 WITH UNCERTAINTIES",0,"")</f>
        <v>0</v>
      </c>
      <c r="X2031" s="1" t="str">
        <f>IF(Table1[[#This Row],[DUT Read]]="","N/A",Table1[[#This Row],[Std Error]]+Table1[[#This Row],[DUT Read]]+Table1[[#This Row],[DUT Ucty]])</f>
        <v>N/A</v>
      </c>
      <c r="Y2031" s="1" t="str">
        <f>IF(Table1[[#This Row],[Std Read]]="","N/A",Table1[[#This Row],[Std Read]]+Table1[[#This Row],[Std Ucty]])</f>
        <v>N/A</v>
      </c>
      <c r="Z20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1" s="1" t="str">
        <f>IF(Table1[[#This Row],[Spec Type]]="","N/A",Table1[[#This Row],[Spec Type]])</f>
        <v>±</v>
      </c>
      <c r="AC2031" s="1" t="str">
        <f>IF(Table1[[#This Row],[Spec Type2]]="N/A","N/A",IF(AND(Table1[[#This Row],[DUT Adj Read]]&gt;=Table1[[#This Row],[Low Tol]],Table1[[#This Row],[DUT Adj Read]]&lt;=Table1[[#This Row],[High Tol]]),"Pass","Fail"))</f>
        <v>Fail</v>
      </c>
      <c r="AD2031" s="1" t="str">
        <f>IF(AND(Table1[[#This Row],[Spec Type2]]="N/A",Table1[[#This Row],[DUT Adj Read]]="N/A",Table1[[#This Row],[Std Adj Read]]="N/A"),"N/A",IF(Table1[[#This Row],[DUT Adj Read]]="N/A",IF(Table1[[#This Row],[Std Adj Read]]&gt;Table1[[#This Row],[Low Tol]],"Pass","Fail"),IF(Table1[[#This Row],[DUT Adj Read]]&gt;Table1[[#This Row],[Low Tol]],"Pass","Fail")))</f>
        <v>Pass</v>
      </c>
      <c r="AE2031" s="1" t="str">
        <f>IF(AND(Table1[[#This Row],[Spec Type2]]="N/A",Table1[[#This Row],[DUT Adj Read]]="N/A",Table1[[#This Row],[Std Adj Read]]="N/A"),"N/A",IF(Table1[[#This Row],[DUT Adj Read]]="N/A",IF(Table1[[#This Row],[Std Adj Read]]&lt;Table1[[#This Row],[High Tol]],"Pass","Fail"),IF(Table1[[#This Row],[DUT Adj Read]]&lt;Table1[[#This Row],[High Tol]],"Pass","Fail")))</f>
        <v>Fail</v>
      </c>
      <c r="AF2031" s="1" t="str">
        <f>IF(AND(Table1[[#This Row],[Spec Type2]]="N/A",Table1[[#This Row],[DUT Adj Read]]="N/A",Table1[[#This Row],[Std Adj Read]]="N/A"),"N/A",IF(Table1[[#This Row],[DUT Adj Read]]="N/A",IF(Table1[[#This Row],[Std Adj Read]]&gt;=Table1[[#This Row],[Low Tol]],"Pass","Fail"),IF(Table1[[#This Row],[DUT Adj Read]]&gt;=Table1[[#This Row],[Low Tol]],"Pass","Fail")))</f>
        <v>Pass</v>
      </c>
      <c r="AG2031" s="1" t="str">
        <f>IF(AND(Table1[[#This Row],[Spec Type2]]="N/A",Table1[[#This Row],[DUT Adj Read]]="N/A",Table1[[#This Row],[Std Adj Read]]="N/A"),"N/A",IF(Table1[[#This Row],[DUT Adj Read]]="N/A",IF(Table1[[#This Row],[Std Adj Read]]&lt;=Table1[[#This Row],[High Tol]],"Pass","Fail"),IF(Table1[[#This Row],[DUT Adj Read]]&lt;=Table1[[#This Row],[High Tol]],"Pass","Fail")))</f>
        <v>Fail</v>
      </c>
      <c r="AH20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1" s="1" t="b">
        <v>0</v>
      </c>
      <c r="AN2031" s="1" t="b">
        <v>0</v>
      </c>
      <c r="AO2031" s="1" t="b">
        <v>0</v>
      </c>
    </row>
    <row r="2032" spans="1:41" x14ac:dyDescent="0.25">
      <c r="A2032" s="10"/>
      <c r="B2032" s="10"/>
      <c r="C2032" s="10"/>
      <c r="D2032" s="10"/>
      <c r="E2032" s="10"/>
      <c r="F2032" s="10"/>
      <c r="G2032" s="10"/>
      <c r="H2032" s="10"/>
      <c r="I2032" s="1" t="str">
        <f t="shared" si="93"/>
        <v/>
      </c>
      <c r="J2032" s="1" t="s">
        <v>35</v>
      </c>
      <c r="K2032" s="1" t="str">
        <f t="shared" si="94"/>
        <v/>
      </c>
      <c r="L2032" s="1" t="str">
        <f t="shared" si="95"/>
        <v/>
      </c>
      <c r="M2032" s="1">
        <f>IF(OR(Table1[[#This Row],[Std Nom]]="",Table1[[#This Row],[Std Read]]=""),0,Table1[[#This Row],[Std Nom]]-Table1[[#This Row],[Std Read]])</f>
        <v>0</v>
      </c>
      <c r="N2032" s="1">
        <f>IF(Calculations!$F$5="ACCREDITED 17025 WITH UNCERTAINTIES",$N$10,0)</f>
        <v>0</v>
      </c>
      <c r="O2032" s="1" t="str">
        <f>IFERROR(Table1[[#This Row],[Std Nom]]-(_xlfn.XLOOKUP(Table1[[#This Row],[Manufacturer]]&amp;" "&amp;Table1[[#This Row],[Model]],Table13[MFR &amp; MDL],Table13[Tolerance % CW ],"")/100*Table1[[#This Row],[Std Nom]]),"")</f>
        <v/>
      </c>
      <c r="P2032" s="1" t="str">
        <f>IFERROR(Table1[[#This Row],[Std Nom]]+(_xlfn.XLOOKUP(Table1[[#This Row],[Manufacturer]]&amp;" "&amp;Table1[[#This Row],[Model]],Table13[MFR &amp; MDL],Table13[Tolerance % CW ],"")/100*Table1[[#This Row],[Std Nom]]),"")</f>
        <v/>
      </c>
      <c r="Q2032" s="1" t="e">
        <f>Table1[[#This Row],[High Tol]]-Table1[[#This Row],[Low Tol]]</f>
        <v>#VALUE!</v>
      </c>
      <c r="R2032" s="1">
        <f>2*Table1[[#This Row],[Std Error]]</f>
        <v>0</v>
      </c>
      <c r="S2032" s="1" t="str">
        <f>IF(Table1[[#This Row],[High Tol]]="","N/A",IFERROR(ABS(Table1[[#This Row],[Tol Span]]/Table1[[#This Row],[Error Span]]),"N/A"))</f>
        <v>N/A</v>
      </c>
      <c r="T2032" s="1" t="str">
        <f>IF(OR(Table1[[#This Row],[Low Tol]]="",Table1[[#This Row],[High Tol]]=""),"Needs Analysis",IF(Table1[[#This Row],[Ratio]]&gt;=4,"Not Significant",IF(Table1[[#This Row],[Ratio]]&gt;=2,"Semi-Significant","Significant")))</f>
        <v>Needs Analysis</v>
      </c>
      <c r="W2032" s="1">
        <f>IF(Table1[[#This Row],[Cal Type]]&lt;&gt;"ACCREDITED 17025 WITH UNCERTAINTIES",0,"")</f>
        <v>0</v>
      </c>
      <c r="X2032" s="1" t="str">
        <f>IF(Table1[[#This Row],[DUT Read]]="","N/A",Table1[[#This Row],[Std Error]]+Table1[[#This Row],[DUT Read]]+Table1[[#This Row],[DUT Ucty]])</f>
        <v>N/A</v>
      </c>
      <c r="Y2032" s="1" t="str">
        <f>IF(Table1[[#This Row],[Std Read]]="","N/A",Table1[[#This Row],[Std Read]]+Table1[[#This Row],[Std Ucty]])</f>
        <v>N/A</v>
      </c>
      <c r="Z20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2" s="1" t="str">
        <f>IF(Table1[[#This Row],[Spec Type]]="","N/A",Table1[[#This Row],[Spec Type]])</f>
        <v>±</v>
      </c>
      <c r="AC2032" s="1" t="str">
        <f>IF(Table1[[#This Row],[Spec Type2]]="N/A","N/A",IF(AND(Table1[[#This Row],[DUT Adj Read]]&gt;=Table1[[#This Row],[Low Tol]],Table1[[#This Row],[DUT Adj Read]]&lt;=Table1[[#This Row],[High Tol]]),"Pass","Fail"))</f>
        <v>Fail</v>
      </c>
      <c r="AD2032" s="1" t="str">
        <f>IF(AND(Table1[[#This Row],[Spec Type2]]="N/A",Table1[[#This Row],[DUT Adj Read]]="N/A",Table1[[#This Row],[Std Adj Read]]="N/A"),"N/A",IF(Table1[[#This Row],[DUT Adj Read]]="N/A",IF(Table1[[#This Row],[Std Adj Read]]&gt;Table1[[#This Row],[Low Tol]],"Pass","Fail"),IF(Table1[[#This Row],[DUT Adj Read]]&gt;Table1[[#This Row],[Low Tol]],"Pass","Fail")))</f>
        <v>Pass</v>
      </c>
      <c r="AE2032" s="1" t="str">
        <f>IF(AND(Table1[[#This Row],[Spec Type2]]="N/A",Table1[[#This Row],[DUT Adj Read]]="N/A",Table1[[#This Row],[Std Adj Read]]="N/A"),"N/A",IF(Table1[[#This Row],[DUT Adj Read]]="N/A",IF(Table1[[#This Row],[Std Adj Read]]&lt;Table1[[#This Row],[High Tol]],"Pass","Fail"),IF(Table1[[#This Row],[DUT Adj Read]]&lt;Table1[[#This Row],[High Tol]],"Pass","Fail")))</f>
        <v>Fail</v>
      </c>
      <c r="AF2032" s="1" t="str">
        <f>IF(AND(Table1[[#This Row],[Spec Type2]]="N/A",Table1[[#This Row],[DUT Adj Read]]="N/A",Table1[[#This Row],[Std Adj Read]]="N/A"),"N/A",IF(Table1[[#This Row],[DUT Adj Read]]="N/A",IF(Table1[[#This Row],[Std Adj Read]]&gt;=Table1[[#This Row],[Low Tol]],"Pass","Fail"),IF(Table1[[#This Row],[DUT Adj Read]]&gt;=Table1[[#This Row],[Low Tol]],"Pass","Fail")))</f>
        <v>Pass</v>
      </c>
      <c r="AG2032" s="1" t="str">
        <f>IF(AND(Table1[[#This Row],[Spec Type2]]="N/A",Table1[[#This Row],[DUT Adj Read]]="N/A",Table1[[#This Row],[Std Adj Read]]="N/A"),"N/A",IF(Table1[[#This Row],[DUT Adj Read]]="N/A",IF(Table1[[#This Row],[Std Adj Read]]&lt;=Table1[[#This Row],[High Tol]],"Pass","Fail"),IF(Table1[[#This Row],[DUT Adj Read]]&lt;=Table1[[#This Row],[High Tol]],"Pass","Fail")))</f>
        <v>Fail</v>
      </c>
      <c r="AH20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2" s="1" t="b">
        <v>0</v>
      </c>
      <c r="AN2032" s="1" t="b">
        <v>0</v>
      </c>
      <c r="AO2032" s="1" t="b">
        <v>0</v>
      </c>
    </row>
    <row r="2033" spans="1:41" x14ac:dyDescent="0.25">
      <c r="A2033" s="10"/>
      <c r="B2033" s="10"/>
      <c r="C2033" s="10"/>
      <c r="D2033" s="10"/>
      <c r="E2033" s="10"/>
      <c r="F2033" s="10"/>
      <c r="G2033" s="10"/>
      <c r="H2033" s="10"/>
      <c r="I2033" s="1" t="str">
        <f t="shared" si="93"/>
        <v/>
      </c>
      <c r="J2033" s="1" t="s">
        <v>35</v>
      </c>
      <c r="K2033" s="1" t="str">
        <f t="shared" si="94"/>
        <v/>
      </c>
      <c r="L2033" s="1" t="str">
        <f t="shared" si="95"/>
        <v/>
      </c>
      <c r="M2033" s="1">
        <f>IF(OR(Table1[[#This Row],[Std Nom]]="",Table1[[#This Row],[Std Read]]=""),0,Table1[[#This Row],[Std Nom]]-Table1[[#This Row],[Std Read]])</f>
        <v>0</v>
      </c>
      <c r="N2033" s="1">
        <f>IF(Calculations!$F$5="ACCREDITED 17025 WITH UNCERTAINTIES",$N$10,0)</f>
        <v>0</v>
      </c>
      <c r="O2033" s="1" t="str">
        <f>IFERROR(Table1[[#This Row],[Std Nom]]-(_xlfn.XLOOKUP(Table1[[#This Row],[Manufacturer]]&amp;" "&amp;Table1[[#This Row],[Model]],Table13[MFR &amp; MDL],Table13[Tolerance % CW ],"")/100*Table1[[#This Row],[Std Nom]]),"")</f>
        <v/>
      </c>
      <c r="P2033" s="1" t="str">
        <f>IFERROR(Table1[[#This Row],[Std Nom]]+(_xlfn.XLOOKUP(Table1[[#This Row],[Manufacturer]]&amp;" "&amp;Table1[[#This Row],[Model]],Table13[MFR &amp; MDL],Table13[Tolerance % CW ],"")/100*Table1[[#This Row],[Std Nom]]),"")</f>
        <v/>
      </c>
      <c r="Q2033" s="1" t="e">
        <f>Table1[[#This Row],[High Tol]]-Table1[[#This Row],[Low Tol]]</f>
        <v>#VALUE!</v>
      </c>
      <c r="R2033" s="1">
        <f>2*Table1[[#This Row],[Std Error]]</f>
        <v>0</v>
      </c>
      <c r="S2033" s="1" t="str">
        <f>IF(Table1[[#This Row],[High Tol]]="","N/A",IFERROR(ABS(Table1[[#This Row],[Tol Span]]/Table1[[#This Row],[Error Span]]),"N/A"))</f>
        <v>N/A</v>
      </c>
      <c r="T2033" s="1" t="str">
        <f>IF(OR(Table1[[#This Row],[Low Tol]]="",Table1[[#This Row],[High Tol]]=""),"Needs Analysis",IF(Table1[[#This Row],[Ratio]]&gt;=4,"Not Significant",IF(Table1[[#This Row],[Ratio]]&gt;=2,"Semi-Significant","Significant")))</f>
        <v>Needs Analysis</v>
      </c>
      <c r="W2033" s="1">
        <f>IF(Table1[[#This Row],[Cal Type]]&lt;&gt;"ACCREDITED 17025 WITH UNCERTAINTIES",0,"")</f>
        <v>0</v>
      </c>
      <c r="X2033" s="1" t="str">
        <f>IF(Table1[[#This Row],[DUT Read]]="","N/A",Table1[[#This Row],[Std Error]]+Table1[[#This Row],[DUT Read]]+Table1[[#This Row],[DUT Ucty]])</f>
        <v>N/A</v>
      </c>
      <c r="Y2033" s="1" t="str">
        <f>IF(Table1[[#This Row],[Std Read]]="","N/A",Table1[[#This Row],[Std Read]]+Table1[[#This Row],[Std Ucty]])</f>
        <v>N/A</v>
      </c>
      <c r="Z20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3" s="1" t="str">
        <f>IF(Table1[[#This Row],[Spec Type]]="","N/A",Table1[[#This Row],[Spec Type]])</f>
        <v>±</v>
      </c>
      <c r="AC2033" s="1" t="str">
        <f>IF(Table1[[#This Row],[Spec Type2]]="N/A","N/A",IF(AND(Table1[[#This Row],[DUT Adj Read]]&gt;=Table1[[#This Row],[Low Tol]],Table1[[#This Row],[DUT Adj Read]]&lt;=Table1[[#This Row],[High Tol]]),"Pass","Fail"))</f>
        <v>Fail</v>
      </c>
      <c r="AD2033" s="1" t="str">
        <f>IF(AND(Table1[[#This Row],[Spec Type2]]="N/A",Table1[[#This Row],[DUT Adj Read]]="N/A",Table1[[#This Row],[Std Adj Read]]="N/A"),"N/A",IF(Table1[[#This Row],[DUT Adj Read]]="N/A",IF(Table1[[#This Row],[Std Adj Read]]&gt;Table1[[#This Row],[Low Tol]],"Pass","Fail"),IF(Table1[[#This Row],[DUT Adj Read]]&gt;Table1[[#This Row],[Low Tol]],"Pass","Fail")))</f>
        <v>Pass</v>
      </c>
      <c r="AE2033" s="1" t="str">
        <f>IF(AND(Table1[[#This Row],[Spec Type2]]="N/A",Table1[[#This Row],[DUT Adj Read]]="N/A",Table1[[#This Row],[Std Adj Read]]="N/A"),"N/A",IF(Table1[[#This Row],[DUT Adj Read]]="N/A",IF(Table1[[#This Row],[Std Adj Read]]&lt;Table1[[#This Row],[High Tol]],"Pass","Fail"),IF(Table1[[#This Row],[DUT Adj Read]]&lt;Table1[[#This Row],[High Tol]],"Pass","Fail")))</f>
        <v>Fail</v>
      </c>
      <c r="AF2033" s="1" t="str">
        <f>IF(AND(Table1[[#This Row],[Spec Type2]]="N/A",Table1[[#This Row],[DUT Adj Read]]="N/A",Table1[[#This Row],[Std Adj Read]]="N/A"),"N/A",IF(Table1[[#This Row],[DUT Adj Read]]="N/A",IF(Table1[[#This Row],[Std Adj Read]]&gt;=Table1[[#This Row],[Low Tol]],"Pass","Fail"),IF(Table1[[#This Row],[DUT Adj Read]]&gt;=Table1[[#This Row],[Low Tol]],"Pass","Fail")))</f>
        <v>Pass</v>
      </c>
      <c r="AG2033" s="1" t="str">
        <f>IF(AND(Table1[[#This Row],[Spec Type2]]="N/A",Table1[[#This Row],[DUT Adj Read]]="N/A",Table1[[#This Row],[Std Adj Read]]="N/A"),"N/A",IF(Table1[[#This Row],[DUT Adj Read]]="N/A",IF(Table1[[#This Row],[Std Adj Read]]&lt;=Table1[[#This Row],[High Tol]],"Pass","Fail"),IF(Table1[[#This Row],[DUT Adj Read]]&lt;=Table1[[#This Row],[High Tol]],"Pass","Fail")))</f>
        <v>Fail</v>
      </c>
      <c r="AH20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3" s="1" t="b">
        <v>0</v>
      </c>
      <c r="AN2033" s="1" t="b">
        <v>0</v>
      </c>
      <c r="AO2033" s="1" t="b">
        <v>0</v>
      </c>
    </row>
    <row r="2034" spans="1:41" x14ac:dyDescent="0.25">
      <c r="A2034" s="10"/>
      <c r="B2034" s="10"/>
      <c r="C2034" s="10"/>
      <c r="D2034" s="10"/>
      <c r="E2034" s="10"/>
      <c r="F2034" s="10"/>
      <c r="G2034" s="10"/>
      <c r="H2034" s="10"/>
      <c r="I2034" s="1" t="str">
        <f t="shared" si="93"/>
        <v/>
      </c>
      <c r="J2034" s="1" t="s">
        <v>35</v>
      </c>
      <c r="K2034" s="1" t="str">
        <f t="shared" si="94"/>
        <v/>
      </c>
      <c r="L2034" s="1" t="str">
        <f t="shared" si="95"/>
        <v/>
      </c>
      <c r="M2034" s="1">
        <f>IF(OR(Table1[[#This Row],[Std Nom]]="",Table1[[#This Row],[Std Read]]=""),0,Table1[[#This Row],[Std Nom]]-Table1[[#This Row],[Std Read]])</f>
        <v>0</v>
      </c>
      <c r="N2034" s="1">
        <f>IF(Calculations!$F$5="ACCREDITED 17025 WITH UNCERTAINTIES",$N$10,0)</f>
        <v>0</v>
      </c>
      <c r="O2034" s="1" t="str">
        <f>IFERROR(Table1[[#This Row],[Std Nom]]-(_xlfn.XLOOKUP(Table1[[#This Row],[Manufacturer]]&amp;" "&amp;Table1[[#This Row],[Model]],Table13[MFR &amp; MDL],Table13[Tolerance % CW ],"")/100*Table1[[#This Row],[Std Nom]]),"")</f>
        <v/>
      </c>
      <c r="P2034" s="1" t="str">
        <f>IFERROR(Table1[[#This Row],[Std Nom]]+(_xlfn.XLOOKUP(Table1[[#This Row],[Manufacturer]]&amp;" "&amp;Table1[[#This Row],[Model]],Table13[MFR &amp; MDL],Table13[Tolerance % CW ],"")/100*Table1[[#This Row],[Std Nom]]),"")</f>
        <v/>
      </c>
      <c r="Q2034" s="1" t="e">
        <f>Table1[[#This Row],[High Tol]]-Table1[[#This Row],[Low Tol]]</f>
        <v>#VALUE!</v>
      </c>
      <c r="R2034" s="1">
        <f>2*Table1[[#This Row],[Std Error]]</f>
        <v>0</v>
      </c>
      <c r="S2034" s="1" t="str">
        <f>IF(Table1[[#This Row],[High Tol]]="","N/A",IFERROR(ABS(Table1[[#This Row],[Tol Span]]/Table1[[#This Row],[Error Span]]),"N/A"))</f>
        <v>N/A</v>
      </c>
      <c r="T2034" s="1" t="str">
        <f>IF(OR(Table1[[#This Row],[Low Tol]]="",Table1[[#This Row],[High Tol]]=""),"Needs Analysis",IF(Table1[[#This Row],[Ratio]]&gt;=4,"Not Significant",IF(Table1[[#This Row],[Ratio]]&gt;=2,"Semi-Significant","Significant")))</f>
        <v>Needs Analysis</v>
      </c>
      <c r="W2034" s="1">
        <f>IF(Table1[[#This Row],[Cal Type]]&lt;&gt;"ACCREDITED 17025 WITH UNCERTAINTIES",0,"")</f>
        <v>0</v>
      </c>
      <c r="X2034" s="1" t="str">
        <f>IF(Table1[[#This Row],[DUT Read]]="","N/A",Table1[[#This Row],[Std Error]]+Table1[[#This Row],[DUT Read]]+Table1[[#This Row],[DUT Ucty]])</f>
        <v>N/A</v>
      </c>
      <c r="Y2034" s="1" t="str">
        <f>IF(Table1[[#This Row],[Std Read]]="","N/A",Table1[[#This Row],[Std Read]]+Table1[[#This Row],[Std Ucty]])</f>
        <v>N/A</v>
      </c>
      <c r="Z20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4" s="1" t="str">
        <f>IF(Table1[[#This Row],[Spec Type]]="","N/A",Table1[[#This Row],[Spec Type]])</f>
        <v>±</v>
      </c>
      <c r="AC2034" s="1" t="str">
        <f>IF(Table1[[#This Row],[Spec Type2]]="N/A","N/A",IF(AND(Table1[[#This Row],[DUT Adj Read]]&gt;=Table1[[#This Row],[Low Tol]],Table1[[#This Row],[DUT Adj Read]]&lt;=Table1[[#This Row],[High Tol]]),"Pass","Fail"))</f>
        <v>Fail</v>
      </c>
      <c r="AD2034" s="1" t="str">
        <f>IF(AND(Table1[[#This Row],[Spec Type2]]="N/A",Table1[[#This Row],[DUT Adj Read]]="N/A",Table1[[#This Row],[Std Adj Read]]="N/A"),"N/A",IF(Table1[[#This Row],[DUT Adj Read]]="N/A",IF(Table1[[#This Row],[Std Adj Read]]&gt;Table1[[#This Row],[Low Tol]],"Pass","Fail"),IF(Table1[[#This Row],[DUT Adj Read]]&gt;Table1[[#This Row],[Low Tol]],"Pass","Fail")))</f>
        <v>Pass</v>
      </c>
      <c r="AE2034" s="1" t="str">
        <f>IF(AND(Table1[[#This Row],[Spec Type2]]="N/A",Table1[[#This Row],[DUT Adj Read]]="N/A",Table1[[#This Row],[Std Adj Read]]="N/A"),"N/A",IF(Table1[[#This Row],[DUT Adj Read]]="N/A",IF(Table1[[#This Row],[Std Adj Read]]&lt;Table1[[#This Row],[High Tol]],"Pass","Fail"),IF(Table1[[#This Row],[DUT Adj Read]]&lt;Table1[[#This Row],[High Tol]],"Pass","Fail")))</f>
        <v>Fail</v>
      </c>
      <c r="AF2034" s="1" t="str">
        <f>IF(AND(Table1[[#This Row],[Spec Type2]]="N/A",Table1[[#This Row],[DUT Adj Read]]="N/A",Table1[[#This Row],[Std Adj Read]]="N/A"),"N/A",IF(Table1[[#This Row],[DUT Adj Read]]="N/A",IF(Table1[[#This Row],[Std Adj Read]]&gt;=Table1[[#This Row],[Low Tol]],"Pass","Fail"),IF(Table1[[#This Row],[DUT Adj Read]]&gt;=Table1[[#This Row],[Low Tol]],"Pass","Fail")))</f>
        <v>Pass</v>
      </c>
      <c r="AG2034" s="1" t="str">
        <f>IF(AND(Table1[[#This Row],[Spec Type2]]="N/A",Table1[[#This Row],[DUT Adj Read]]="N/A",Table1[[#This Row],[Std Adj Read]]="N/A"),"N/A",IF(Table1[[#This Row],[DUT Adj Read]]="N/A",IF(Table1[[#This Row],[Std Adj Read]]&lt;=Table1[[#This Row],[High Tol]],"Pass","Fail"),IF(Table1[[#This Row],[DUT Adj Read]]&lt;=Table1[[#This Row],[High Tol]],"Pass","Fail")))</f>
        <v>Fail</v>
      </c>
      <c r="AH20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4" s="1" t="b">
        <v>0</v>
      </c>
      <c r="AN2034" s="1" t="b">
        <v>0</v>
      </c>
      <c r="AO2034" s="1" t="b">
        <v>0</v>
      </c>
    </row>
    <row r="2035" spans="1:41" x14ac:dyDescent="0.25">
      <c r="A2035" s="10"/>
      <c r="B2035" s="10"/>
      <c r="C2035" s="10"/>
      <c r="D2035" s="10"/>
      <c r="E2035" s="10"/>
      <c r="F2035" s="10"/>
      <c r="G2035" s="10"/>
      <c r="H2035" s="10"/>
      <c r="I2035" s="1" t="str">
        <f t="shared" si="93"/>
        <v/>
      </c>
      <c r="J2035" s="1" t="s">
        <v>35</v>
      </c>
      <c r="K2035" s="1" t="str">
        <f t="shared" si="94"/>
        <v/>
      </c>
      <c r="L2035" s="1" t="str">
        <f t="shared" si="95"/>
        <v/>
      </c>
      <c r="M2035" s="1">
        <f>IF(OR(Table1[[#This Row],[Std Nom]]="",Table1[[#This Row],[Std Read]]=""),0,Table1[[#This Row],[Std Nom]]-Table1[[#This Row],[Std Read]])</f>
        <v>0</v>
      </c>
      <c r="N2035" s="1">
        <f>IF(Calculations!$F$5="ACCREDITED 17025 WITH UNCERTAINTIES",$N$10,0)</f>
        <v>0</v>
      </c>
      <c r="O2035" s="1" t="str">
        <f>IFERROR(Table1[[#This Row],[Std Nom]]-(_xlfn.XLOOKUP(Table1[[#This Row],[Manufacturer]]&amp;" "&amp;Table1[[#This Row],[Model]],Table13[MFR &amp; MDL],Table13[Tolerance % CW ],"")/100*Table1[[#This Row],[Std Nom]]),"")</f>
        <v/>
      </c>
      <c r="P2035" s="1" t="str">
        <f>IFERROR(Table1[[#This Row],[Std Nom]]+(_xlfn.XLOOKUP(Table1[[#This Row],[Manufacturer]]&amp;" "&amp;Table1[[#This Row],[Model]],Table13[MFR &amp; MDL],Table13[Tolerance % CW ],"")/100*Table1[[#This Row],[Std Nom]]),"")</f>
        <v/>
      </c>
      <c r="Q2035" s="1" t="e">
        <f>Table1[[#This Row],[High Tol]]-Table1[[#This Row],[Low Tol]]</f>
        <v>#VALUE!</v>
      </c>
      <c r="R2035" s="1">
        <f>2*Table1[[#This Row],[Std Error]]</f>
        <v>0</v>
      </c>
      <c r="S2035" s="1" t="str">
        <f>IF(Table1[[#This Row],[High Tol]]="","N/A",IFERROR(ABS(Table1[[#This Row],[Tol Span]]/Table1[[#This Row],[Error Span]]),"N/A"))</f>
        <v>N/A</v>
      </c>
      <c r="T2035" s="1" t="str">
        <f>IF(OR(Table1[[#This Row],[Low Tol]]="",Table1[[#This Row],[High Tol]]=""),"Needs Analysis",IF(Table1[[#This Row],[Ratio]]&gt;=4,"Not Significant",IF(Table1[[#This Row],[Ratio]]&gt;=2,"Semi-Significant","Significant")))</f>
        <v>Needs Analysis</v>
      </c>
      <c r="W2035" s="1">
        <f>IF(Table1[[#This Row],[Cal Type]]&lt;&gt;"ACCREDITED 17025 WITH UNCERTAINTIES",0,"")</f>
        <v>0</v>
      </c>
      <c r="X2035" s="1" t="str">
        <f>IF(Table1[[#This Row],[DUT Read]]="","N/A",Table1[[#This Row],[Std Error]]+Table1[[#This Row],[DUT Read]]+Table1[[#This Row],[DUT Ucty]])</f>
        <v>N/A</v>
      </c>
      <c r="Y2035" s="1" t="str">
        <f>IF(Table1[[#This Row],[Std Read]]="","N/A",Table1[[#This Row],[Std Read]]+Table1[[#This Row],[Std Ucty]])</f>
        <v>N/A</v>
      </c>
      <c r="Z20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5" s="1" t="str">
        <f>IF(Table1[[#This Row],[Spec Type]]="","N/A",Table1[[#This Row],[Spec Type]])</f>
        <v>±</v>
      </c>
      <c r="AC2035" s="1" t="str">
        <f>IF(Table1[[#This Row],[Spec Type2]]="N/A","N/A",IF(AND(Table1[[#This Row],[DUT Adj Read]]&gt;=Table1[[#This Row],[Low Tol]],Table1[[#This Row],[DUT Adj Read]]&lt;=Table1[[#This Row],[High Tol]]),"Pass","Fail"))</f>
        <v>Fail</v>
      </c>
      <c r="AD2035" s="1" t="str">
        <f>IF(AND(Table1[[#This Row],[Spec Type2]]="N/A",Table1[[#This Row],[DUT Adj Read]]="N/A",Table1[[#This Row],[Std Adj Read]]="N/A"),"N/A",IF(Table1[[#This Row],[DUT Adj Read]]="N/A",IF(Table1[[#This Row],[Std Adj Read]]&gt;Table1[[#This Row],[Low Tol]],"Pass","Fail"),IF(Table1[[#This Row],[DUT Adj Read]]&gt;Table1[[#This Row],[Low Tol]],"Pass","Fail")))</f>
        <v>Pass</v>
      </c>
      <c r="AE2035" s="1" t="str">
        <f>IF(AND(Table1[[#This Row],[Spec Type2]]="N/A",Table1[[#This Row],[DUT Adj Read]]="N/A",Table1[[#This Row],[Std Adj Read]]="N/A"),"N/A",IF(Table1[[#This Row],[DUT Adj Read]]="N/A",IF(Table1[[#This Row],[Std Adj Read]]&lt;Table1[[#This Row],[High Tol]],"Pass","Fail"),IF(Table1[[#This Row],[DUT Adj Read]]&lt;Table1[[#This Row],[High Tol]],"Pass","Fail")))</f>
        <v>Fail</v>
      </c>
      <c r="AF2035" s="1" t="str">
        <f>IF(AND(Table1[[#This Row],[Spec Type2]]="N/A",Table1[[#This Row],[DUT Adj Read]]="N/A",Table1[[#This Row],[Std Adj Read]]="N/A"),"N/A",IF(Table1[[#This Row],[DUT Adj Read]]="N/A",IF(Table1[[#This Row],[Std Adj Read]]&gt;=Table1[[#This Row],[Low Tol]],"Pass","Fail"),IF(Table1[[#This Row],[DUT Adj Read]]&gt;=Table1[[#This Row],[Low Tol]],"Pass","Fail")))</f>
        <v>Pass</v>
      </c>
      <c r="AG2035" s="1" t="str">
        <f>IF(AND(Table1[[#This Row],[Spec Type2]]="N/A",Table1[[#This Row],[DUT Adj Read]]="N/A",Table1[[#This Row],[Std Adj Read]]="N/A"),"N/A",IF(Table1[[#This Row],[DUT Adj Read]]="N/A",IF(Table1[[#This Row],[Std Adj Read]]&lt;=Table1[[#This Row],[High Tol]],"Pass","Fail"),IF(Table1[[#This Row],[DUT Adj Read]]&lt;=Table1[[#This Row],[High Tol]],"Pass","Fail")))</f>
        <v>Fail</v>
      </c>
      <c r="AH20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5" s="1" t="b">
        <v>0</v>
      </c>
      <c r="AN2035" s="1" t="b">
        <v>0</v>
      </c>
      <c r="AO2035" s="1" t="b">
        <v>0</v>
      </c>
    </row>
    <row r="2036" spans="1:41" x14ac:dyDescent="0.25">
      <c r="A2036" s="10"/>
      <c r="B2036" s="10"/>
      <c r="C2036" s="10"/>
      <c r="D2036" s="10"/>
      <c r="E2036" s="10"/>
      <c r="F2036" s="10"/>
      <c r="G2036" s="10"/>
      <c r="H2036" s="10"/>
      <c r="I2036" s="1" t="str">
        <f t="shared" si="93"/>
        <v/>
      </c>
      <c r="J2036" s="1" t="s">
        <v>35</v>
      </c>
      <c r="K2036" s="1" t="str">
        <f t="shared" si="94"/>
        <v/>
      </c>
      <c r="L2036" s="1" t="str">
        <f t="shared" si="95"/>
        <v/>
      </c>
      <c r="M2036" s="1">
        <f>IF(OR(Table1[[#This Row],[Std Nom]]="",Table1[[#This Row],[Std Read]]=""),0,Table1[[#This Row],[Std Nom]]-Table1[[#This Row],[Std Read]])</f>
        <v>0</v>
      </c>
      <c r="N2036" s="1">
        <f>IF(Calculations!$F$5="ACCREDITED 17025 WITH UNCERTAINTIES",$N$10,0)</f>
        <v>0</v>
      </c>
      <c r="O2036" s="1" t="str">
        <f>IFERROR(Table1[[#This Row],[Std Nom]]-(_xlfn.XLOOKUP(Table1[[#This Row],[Manufacturer]]&amp;" "&amp;Table1[[#This Row],[Model]],Table13[MFR &amp; MDL],Table13[Tolerance % CW ],"")/100*Table1[[#This Row],[Std Nom]]),"")</f>
        <v/>
      </c>
      <c r="P2036" s="1" t="str">
        <f>IFERROR(Table1[[#This Row],[Std Nom]]+(_xlfn.XLOOKUP(Table1[[#This Row],[Manufacturer]]&amp;" "&amp;Table1[[#This Row],[Model]],Table13[MFR &amp; MDL],Table13[Tolerance % CW ],"")/100*Table1[[#This Row],[Std Nom]]),"")</f>
        <v/>
      </c>
      <c r="Q2036" s="1" t="e">
        <f>Table1[[#This Row],[High Tol]]-Table1[[#This Row],[Low Tol]]</f>
        <v>#VALUE!</v>
      </c>
      <c r="R2036" s="1">
        <f>2*Table1[[#This Row],[Std Error]]</f>
        <v>0</v>
      </c>
      <c r="S2036" s="1" t="str">
        <f>IF(Table1[[#This Row],[High Tol]]="","N/A",IFERROR(ABS(Table1[[#This Row],[Tol Span]]/Table1[[#This Row],[Error Span]]),"N/A"))</f>
        <v>N/A</v>
      </c>
      <c r="T2036" s="1" t="str">
        <f>IF(OR(Table1[[#This Row],[Low Tol]]="",Table1[[#This Row],[High Tol]]=""),"Needs Analysis",IF(Table1[[#This Row],[Ratio]]&gt;=4,"Not Significant",IF(Table1[[#This Row],[Ratio]]&gt;=2,"Semi-Significant","Significant")))</f>
        <v>Needs Analysis</v>
      </c>
      <c r="W2036" s="1">
        <f>IF(Table1[[#This Row],[Cal Type]]&lt;&gt;"ACCREDITED 17025 WITH UNCERTAINTIES",0,"")</f>
        <v>0</v>
      </c>
      <c r="X2036" s="1" t="str">
        <f>IF(Table1[[#This Row],[DUT Read]]="","N/A",Table1[[#This Row],[Std Error]]+Table1[[#This Row],[DUT Read]]+Table1[[#This Row],[DUT Ucty]])</f>
        <v>N/A</v>
      </c>
      <c r="Y2036" s="1" t="str">
        <f>IF(Table1[[#This Row],[Std Read]]="","N/A",Table1[[#This Row],[Std Read]]+Table1[[#This Row],[Std Ucty]])</f>
        <v>N/A</v>
      </c>
      <c r="Z20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6" s="1" t="str">
        <f>IF(Table1[[#This Row],[Spec Type]]="","N/A",Table1[[#This Row],[Spec Type]])</f>
        <v>±</v>
      </c>
      <c r="AC2036" s="1" t="str">
        <f>IF(Table1[[#This Row],[Spec Type2]]="N/A","N/A",IF(AND(Table1[[#This Row],[DUT Adj Read]]&gt;=Table1[[#This Row],[Low Tol]],Table1[[#This Row],[DUT Adj Read]]&lt;=Table1[[#This Row],[High Tol]]),"Pass","Fail"))</f>
        <v>Fail</v>
      </c>
      <c r="AD2036" s="1" t="str">
        <f>IF(AND(Table1[[#This Row],[Spec Type2]]="N/A",Table1[[#This Row],[DUT Adj Read]]="N/A",Table1[[#This Row],[Std Adj Read]]="N/A"),"N/A",IF(Table1[[#This Row],[DUT Adj Read]]="N/A",IF(Table1[[#This Row],[Std Adj Read]]&gt;Table1[[#This Row],[Low Tol]],"Pass","Fail"),IF(Table1[[#This Row],[DUT Adj Read]]&gt;Table1[[#This Row],[Low Tol]],"Pass","Fail")))</f>
        <v>Pass</v>
      </c>
      <c r="AE2036" s="1" t="str">
        <f>IF(AND(Table1[[#This Row],[Spec Type2]]="N/A",Table1[[#This Row],[DUT Adj Read]]="N/A",Table1[[#This Row],[Std Adj Read]]="N/A"),"N/A",IF(Table1[[#This Row],[DUT Adj Read]]="N/A",IF(Table1[[#This Row],[Std Adj Read]]&lt;Table1[[#This Row],[High Tol]],"Pass","Fail"),IF(Table1[[#This Row],[DUT Adj Read]]&lt;Table1[[#This Row],[High Tol]],"Pass","Fail")))</f>
        <v>Fail</v>
      </c>
      <c r="AF2036" s="1" t="str">
        <f>IF(AND(Table1[[#This Row],[Spec Type2]]="N/A",Table1[[#This Row],[DUT Adj Read]]="N/A",Table1[[#This Row],[Std Adj Read]]="N/A"),"N/A",IF(Table1[[#This Row],[DUT Adj Read]]="N/A",IF(Table1[[#This Row],[Std Adj Read]]&gt;=Table1[[#This Row],[Low Tol]],"Pass","Fail"),IF(Table1[[#This Row],[DUT Adj Read]]&gt;=Table1[[#This Row],[Low Tol]],"Pass","Fail")))</f>
        <v>Pass</v>
      </c>
      <c r="AG2036" s="1" t="str">
        <f>IF(AND(Table1[[#This Row],[Spec Type2]]="N/A",Table1[[#This Row],[DUT Adj Read]]="N/A",Table1[[#This Row],[Std Adj Read]]="N/A"),"N/A",IF(Table1[[#This Row],[DUT Adj Read]]="N/A",IF(Table1[[#This Row],[Std Adj Read]]&lt;=Table1[[#This Row],[High Tol]],"Pass","Fail"),IF(Table1[[#This Row],[DUT Adj Read]]&lt;=Table1[[#This Row],[High Tol]],"Pass","Fail")))</f>
        <v>Fail</v>
      </c>
      <c r="AH20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6" s="1" t="b">
        <v>0</v>
      </c>
      <c r="AN2036" s="1" t="b">
        <v>0</v>
      </c>
      <c r="AO2036" s="1" t="b">
        <v>0</v>
      </c>
    </row>
    <row r="2037" spans="1:41" x14ac:dyDescent="0.25">
      <c r="A2037" s="10"/>
      <c r="B2037" s="10"/>
      <c r="C2037" s="10"/>
      <c r="D2037" s="10"/>
      <c r="E2037" s="10"/>
      <c r="F2037" s="10"/>
      <c r="G2037" s="10"/>
      <c r="H2037" s="10"/>
      <c r="I2037" s="1" t="str">
        <f t="shared" si="93"/>
        <v/>
      </c>
      <c r="J2037" s="1" t="s">
        <v>35</v>
      </c>
      <c r="K2037" s="1" t="str">
        <f t="shared" si="94"/>
        <v/>
      </c>
      <c r="L2037" s="1" t="str">
        <f t="shared" si="95"/>
        <v/>
      </c>
      <c r="M2037" s="1">
        <f>IF(OR(Table1[[#This Row],[Std Nom]]="",Table1[[#This Row],[Std Read]]=""),0,Table1[[#This Row],[Std Nom]]-Table1[[#This Row],[Std Read]])</f>
        <v>0</v>
      </c>
      <c r="N2037" s="1">
        <f>IF(Calculations!$F$5="ACCREDITED 17025 WITH UNCERTAINTIES",$N$10,0)</f>
        <v>0</v>
      </c>
      <c r="O2037" s="1" t="str">
        <f>IFERROR(Table1[[#This Row],[Std Nom]]-(_xlfn.XLOOKUP(Table1[[#This Row],[Manufacturer]]&amp;" "&amp;Table1[[#This Row],[Model]],Table13[MFR &amp; MDL],Table13[Tolerance % CW ],"")/100*Table1[[#This Row],[Std Nom]]),"")</f>
        <v/>
      </c>
      <c r="P2037" s="1" t="str">
        <f>IFERROR(Table1[[#This Row],[Std Nom]]+(_xlfn.XLOOKUP(Table1[[#This Row],[Manufacturer]]&amp;" "&amp;Table1[[#This Row],[Model]],Table13[MFR &amp; MDL],Table13[Tolerance % CW ],"")/100*Table1[[#This Row],[Std Nom]]),"")</f>
        <v/>
      </c>
      <c r="Q2037" s="1" t="e">
        <f>Table1[[#This Row],[High Tol]]-Table1[[#This Row],[Low Tol]]</f>
        <v>#VALUE!</v>
      </c>
      <c r="R2037" s="1">
        <f>2*Table1[[#This Row],[Std Error]]</f>
        <v>0</v>
      </c>
      <c r="S2037" s="1" t="str">
        <f>IF(Table1[[#This Row],[High Tol]]="","N/A",IFERROR(ABS(Table1[[#This Row],[Tol Span]]/Table1[[#This Row],[Error Span]]),"N/A"))</f>
        <v>N/A</v>
      </c>
      <c r="T2037" s="1" t="str">
        <f>IF(OR(Table1[[#This Row],[Low Tol]]="",Table1[[#This Row],[High Tol]]=""),"Needs Analysis",IF(Table1[[#This Row],[Ratio]]&gt;=4,"Not Significant",IF(Table1[[#This Row],[Ratio]]&gt;=2,"Semi-Significant","Significant")))</f>
        <v>Needs Analysis</v>
      </c>
      <c r="W2037" s="1">
        <f>IF(Table1[[#This Row],[Cal Type]]&lt;&gt;"ACCREDITED 17025 WITH UNCERTAINTIES",0,"")</f>
        <v>0</v>
      </c>
      <c r="X2037" s="1" t="str">
        <f>IF(Table1[[#This Row],[DUT Read]]="","N/A",Table1[[#This Row],[Std Error]]+Table1[[#This Row],[DUT Read]]+Table1[[#This Row],[DUT Ucty]])</f>
        <v>N/A</v>
      </c>
      <c r="Y2037" s="1" t="str">
        <f>IF(Table1[[#This Row],[Std Read]]="","N/A",Table1[[#This Row],[Std Read]]+Table1[[#This Row],[Std Ucty]])</f>
        <v>N/A</v>
      </c>
      <c r="Z20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7" s="1" t="str">
        <f>IF(Table1[[#This Row],[Spec Type]]="","N/A",Table1[[#This Row],[Spec Type]])</f>
        <v>±</v>
      </c>
      <c r="AC2037" s="1" t="str">
        <f>IF(Table1[[#This Row],[Spec Type2]]="N/A","N/A",IF(AND(Table1[[#This Row],[DUT Adj Read]]&gt;=Table1[[#This Row],[Low Tol]],Table1[[#This Row],[DUT Adj Read]]&lt;=Table1[[#This Row],[High Tol]]),"Pass","Fail"))</f>
        <v>Fail</v>
      </c>
      <c r="AD2037" s="1" t="str">
        <f>IF(AND(Table1[[#This Row],[Spec Type2]]="N/A",Table1[[#This Row],[DUT Adj Read]]="N/A",Table1[[#This Row],[Std Adj Read]]="N/A"),"N/A",IF(Table1[[#This Row],[DUT Adj Read]]="N/A",IF(Table1[[#This Row],[Std Adj Read]]&gt;Table1[[#This Row],[Low Tol]],"Pass","Fail"),IF(Table1[[#This Row],[DUT Adj Read]]&gt;Table1[[#This Row],[Low Tol]],"Pass","Fail")))</f>
        <v>Pass</v>
      </c>
      <c r="AE2037" s="1" t="str">
        <f>IF(AND(Table1[[#This Row],[Spec Type2]]="N/A",Table1[[#This Row],[DUT Adj Read]]="N/A",Table1[[#This Row],[Std Adj Read]]="N/A"),"N/A",IF(Table1[[#This Row],[DUT Adj Read]]="N/A",IF(Table1[[#This Row],[Std Adj Read]]&lt;Table1[[#This Row],[High Tol]],"Pass","Fail"),IF(Table1[[#This Row],[DUT Adj Read]]&lt;Table1[[#This Row],[High Tol]],"Pass","Fail")))</f>
        <v>Fail</v>
      </c>
      <c r="AF2037" s="1" t="str">
        <f>IF(AND(Table1[[#This Row],[Spec Type2]]="N/A",Table1[[#This Row],[DUT Adj Read]]="N/A",Table1[[#This Row],[Std Adj Read]]="N/A"),"N/A",IF(Table1[[#This Row],[DUT Adj Read]]="N/A",IF(Table1[[#This Row],[Std Adj Read]]&gt;=Table1[[#This Row],[Low Tol]],"Pass","Fail"),IF(Table1[[#This Row],[DUT Adj Read]]&gt;=Table1[[#This Row],[Low Tol]],"Pass","Fail")))</f>
        <v>Pass</v>
      </c>
      <c r="AG2037" s="1" t="str">
        <f>IF(AND(Table1[[#This Row],[Spec Type2]]="N/A",Table1[[#This Row],[DUT Adj Read]]="N/A",Table1[[#This Row],[Std Adj Read]]="N/A"),"N/A",IF(Table1[[#This Row],[DUT Adj Read]]="N/A",IF(Table1[[#This Row],[Std Adj Read]]&lt;=Table1[[#This Row],[High Tol]],"Pass","Fail"),IF(Table1[[#This Row],[DUT Adj Read]]&lt;=Table1[[#This Row],[High Tol]],"Pass","Fail")))</f>
        <v>Fail</v>
      </c>
      <c r="AH20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7" s="1" t="b">
        <v>0</v>
      </c>
      <c r="AN2037" s="1" t="b">
        <v>0</v>
      </c>
      <c r="AO2037" s="1" t="b">
        <v>0</v>
      </c>
    </row>
    <row r="2038" spans="1:41" x14ac:dyDescent="0.25">
      <c r="A2038" s="10"/>
      <c r="B2038" s="10"/>
      <c r="C2038" s="10"/>
      <c r="D2038" s="10"/>
      <c r="E2038" s="10"/>
      <c r="F2038" s="10"/>
      <c r="G2038" s="10"/>
      <c r="H2038" s="10"/>
      <c r="I2038" s="1" t="str">
        <f t="shared" si="93"/>
        <v/>
      </c>
      <c r="J2038" s="1" t="s">
        <v>35</v>
      </c>
      <c r="K2038" s="1" t="str">
        <f t="shared" si="94"/>
        <v/>
      </c>
      <c r="L2038" s="1" t="str">
        <f t="shared" si="95"/>
        <v/>
      </c>
      <c r="M2038" s="1">
        <f>IF(OR(Table1[[#This Row],[Std Nom]]="",Table1[[#This Row],[Std Read]]=""),0,Table1[[#This Row],[Std Nom]]-Table1[[#This Row],[Std Read]])</f>
        <v>0</v>
      </c>
      <c r="N2038" s="1">
        <f>IF(Calculations!$F$5="ACCREDITED 17025 WITH UNCERTAINTIES",$N$10,0)</f>
        <v>0</v>
      </c>
      <c r="O2038" s="1" t="str">
        <f>IFERROR(Table1[[#This Row],[Std Nom]]-(_xlfn.XLOOKUP(Table1[[#This Row],[Manufacturer]]&amp;" "&amp;Table1[[#This Row],[Model]],Table13[MFR &amp; MDL],Table13[Tolerance % CW ],"")/100*Table1[[#This Row],[Std Nom]]),"")</f>
        <v/>
      </c>
      <c r="P2038" s="1" t="str">
        <f>IFERROR(Table1[[#This Row],[Std Nom]]+(_xlfn.XLOOKUP(Table1[[#This Row],[Manufacturer]]&amp;" "&amp;Table1[[#This Row],[Model]],Table13[MFR &amp; MDL],Table13[Tolerance % CW ],"")/100*Table1[[#This Row],[Std Nom]]),"")</f>
        <v/>
      </c>
      <c r="Q2038" s="1" t="e">
        <f>Table1[[#This Row],[High Tol]]-Table1[[#This Row],[Low Tol]]</f>
        <v>#VALUE!</v>
      </c>
      <c r="R2038" s="1">
        <f>2*Table1[[#This Row],[Std Error]]</f>
        <v>0</v>
      </c>
      <c r="S2038" s="1" t="str">
        <f>IF(Table1[[#This Row],[High Tol]]="","N/A",IFERROR(ABS(Table1[[#This Row],[Tol Span]]/Table1[[#This Row],[Error Span]]),"N/A"))</f>
        <v>N/A</v>
      </c>
      <c r="T2038" s="1" t="str">
        <f>IF(OR(Table1[[#This Row],[Low Tol]]="",Table1[[#This Row],[High Tol]]=""),"Needs Analysis",IF(Table1[[#This Row],[Ratio]]&gt;=4,"Not Significant",IF(Table1[[#This Row],[Ratio]]&gt;=2,"Semi-Significant","Significant")))</f>
        <v>Needs Analysis</v>
      </c>
      <c r="W2038" s="1">
        <f>IF(Table1[[#This Row],[Cal Type]]&lt;&gt;"ACCREDITED 17025 WITH UNCERTAINTIES",0,"")</f>
        <v>0</v>
      </c>
      <c r="X2038" s="1" t="str">
        <f>IF(Table1[[#This Row],[DUT Read]]="","N/A",Table1[[#This Row],[Std Error]]+Table1[[#This Row],[DUT Read]]+Table1[[#This Row],[DUT Ucty]])</f>
        <v>N/A</v>
      </c>
      <c r="Y2038" s="1" t="str">
        <f>IF(Table1[[#This Row],[Std Read]]="","N/A",Table1[[#This Row],[Std Read]]+Table1[[#This Row],[Std Ucty]])</f>
        <v>N/A</v>
      </c>
      <c r="Z20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8" s="1" t="str">
        <f>IF(Table1[[#This Row],[Spec Type]]="","N/A",Table1[[#This Row],[Spec Type]])</f>
        <v>±</v>
      </c>
      <c r="AC2038" s="1" t="str">
        <f>IF(Table1[[#This Row],[Spec Type2]]="N/A","N/A",IF(AND(Table1[[#This Row],[DUT Adj Read]]&gt;=Table1[[#This Row],[Low Tol]],Table1[[#This Row],[DUT Adj Read]]&lt;=Table1[[#This Row],[High Tol]]),"Pass","Fail"))</f>
        <v>Fail</v>
      </c>
      <c r="AD2038" s="1" t="str">
        <f>IF(AND(Table1[[#This Row],[Spec Type2]]="N/A",Table1[[#This Row],[DUT Adj Read]]="N/A",Table1[[#This Row],[Std Adj Read]]="N/A"),"N/A",IF(Table1[[#This Row],[DUT Adj Read]]="N/A",IF(Table1[[#This Row],[Std Adj Read]]&gt;Table1[[#This Row],[Low Tol]],"Pass","Fail"),IF(Table1[[#This Row],[DUT Adj Read]]&gt;Table1[[#This Row],[Low Tol]],"Pass","Fail")))</f>
        <v>Pass</v>
      </c>
      <c r="AE2038" s="1" t="str">
        <f>IF(AND(Table1[[#This Row],[Spec Type2]]="N/A",Table1[[#This Row],[DUT Adj Read]]="N/A",Table1[[#This Row],[Std Adj Read]]="N/A"),"N/A",IF(Table1[[#This Row],[DUT Adj Read]]="N/A",IF(Table1[[#This Row],[Std Adj Read]]&lt;Table1[[#This Row],[High Tol]],"Pass","Fail"),IF(Table1[[#This Row],[DUT Adj Read]]&lt;Table1[[#This Row],[High Tol]],"Pass","Fail")))</f>
        <v>Fail</v>
      </c>
      <c r="AF2038" s="1" t="str">
        <f>IF(AND(Table1[[#This Row],[Spec Type2]]="N/A",Table1[[#This Row],[DUT Adj Read]]="N/A",Table1[[#This Row],[Std Adj Read]]="N/A"),"N/A",IF(Table1[[#This Row],[DUT Adj Read]]="N/A",IF(Table1[[#This Row],[Std Adj Read]]&gt;=Table1[[#This Row],[Low Tol]],"Pass","Fail"),IF(Table1[[#This Row],[DUT Adj Read]]&gt;=Table1[[#This Row],[Low Tol]],"Pass","Fail")))</f>
        <v>Pass</v>
      </c>
      <c r="AG2038" s="1" t="str">
        <f>IF(AND(Table1[[#This Row],[Spec Type2]]="N/A",Table1[[#This Row],[DUT Adj Read]]="N/A",Table1[[#This Row],[Std Adj Read]]="N/A"),"N/A",IF(Table1[[#This Row],[DUT Adj Read]]="N/A",IF(Table1[[#This Row],[Std Adj Read]]&lt;=Table1[[#This Row],[High Tol]],"Pass","Fail"),IF(Table1[[#This Row],[DUT Adj Read]]&lt;=Table1[[#This Row],[High Tol]],"Pass","Fail")))</f>
        <v>Fail</v>
      </c>
      <c r="AH20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8" s="1" t="b">
        <v>0</v>
      </c>
      <c r="AN2038" s="1" t="b">
        <v>0</v>
      </c>
      <c r="AO2038" s="1" t="b">
        <v>0</v>
      </c>
    </row>
    <row r="2039" spans="1:41" x14ac:dyDescent="0.25">
      <c r="A2039" s="10"/>
      <c r="B2039" s="10"/>
      <c r="C2039" s="10"/>
      <c r="D2039" s="10"/>
      <c r="E2039" s="10"/>
      <c r="F2039" s="10"/>
      <c r="G2039" s="10"/>
      <c r="H2039" s="10"/>
      <c r="I2039" s="1" t="str">
        <f t="shared" si="93"/>
        <v/>
      </c>
      <c r="J2039" s="1" t="s">
        <v>35</v>
      </c>
      <c r="K2039" s="1" t="str">
        <f t="shared" si="94"/>
        <v/>
      </c>
      <c r="L2039" s="1" t="str">
        <f t="shared" si="95"/>
        <v/>
      </c>
      <c r="M2039" s="1">
        <f>IF(OR(Table1[[#This Row],[Std Nom]]="",Table1[[#This Row],[Std Read]]=""),0,Table1[[#This Row],[Std Nom]]-Table1[[#This Row],[Std Read]])</f>
        <v>0</v>
      </c>
      <c r="N2039" s="1">
        <f>IF(Calculations!$F$5="ACCREDITED 17025 WITH UNCERTAINTIES",$N$10,0)</f>
        <v>0</v>
      </c>
      <c r="O2039" s="1" t="str">
        <f>IFERROR(Table1[[#This Row],[Std Nom]]-(_xlfn.XLOOKUP(Table1[[#This Row],[Manufacturer]]&amp;" "&amp;Table1[[#This Row],[Model]],Table13[MFR &amp; MDL],Table13[Tolerance % CW ],"")/100*Table1[[#This Row],[Std Nom]]),"")</f>
        <v/>
      </c>
      <c r="P2039" s="1" t="str">
        <f>IFERROR(Table1[[#This Row],[Std Nom]]+(_xlfn.XLOOKUP(Table1[[#This Row],[Manufacturer]]&amp;" "&amp;Table1[[#This Row],[Model]],Table13[MFR &amp; MDL],Table13[Tolerance % CW ],"")/100*Table1[[#This Row],[Std Nom]]),"")</f>
        <v/>
      </c>
      <c r="Q2039" s="1" t="e">
        <f>Table1[[#This Row],[High Tol]]-Table1[[#This Row],[Low Tol]]</f>
        <v>#VALUE!</v>
      </c>
      <c r="R2039" s="1">
        <f>2*Table1[[#This Row],[Std Error]]</f>
        <v>0</v>
      </c>
      <c r="S2039" s="1" t="str">
        <f>IF(Table1[[#This Row],[High Tol]]="","N/A",IFERROR(ABS(Table1[[#This Row],[Tol Span]]/Table1[[#This Row],[Error Span]]),"N/A"))</f>
        <v>N/A</v>
      </c>
      <c r="T2039" s="1" t="str">
        <f>IF(OR(Table1[[#This Row],[Low Tol]]="",Table1[[#This Row],[High Tol]]=""),"Needs Analysis",IF(Table1[[#This Row],[Ratio]]&gt;=4,"Not Significant",IF(Table1[[#This Row],[Ratio]]&gt;=2,"Semi-Significant","Significant")))</f>
        <v>Needs Analysis</v>
      </c>
      <c r="W2039" s="1">
        <f>IF(Table1[[#This Row],[Cal Type]]&lt;&gt;"ACCREDITED 17025 WITH UNCERTAINTIES",0,"")</f>
        <v>0</v>
      </c>
      <c r="X2039" s="1" t="str">
        <f>IF(Table1[[#This Row],[DUT Read]]="","N/A",Table1[[#This Row],[Std Error]]+Table1[[#This Row],[DUT Read]]+Table1[[#This Row],[DUT Ucty]])</f>
        <v>N/A</v>
      </c>
      <c r="Y2039" s="1" t="str">
        <f>IF(Table1[[#This Row],[Std Read]]="","N/A",Table1[[#This Row],[Std Read]]+Table1[[#This Row],[Std Ucty]])</f>
        <v>N/A</v>
      </c>
      <c r="Z20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9" s="1" t="str">
        <f>IF(Table1[[#This Row],[Spec Type]]="","N/A",Table1[[#This Row],[Spec Type]])</f>
        <v>±</v>
      </c>
      <c r="AC2039" s="1" t="str">
        <f>IF(Table1[[#This Row],[Spec Type2]]="N/A","N/A",IF(AND(Table1[[#This Row],[DUT Adj Read]]&gt;=Table1[[#This Row],[Low Tol]],Table1[[#This Row],[DUT Adj Read]]&lt;=Table1[[#This Row],[High Tol]]),"Pass","Fail"))</f>
        <v>Fail</v>
      </c>
      <c r="AD2039" s="1" t="str">
        <f>IF(AND(Table1[[#This Row],[Spec Type2]]="N/A",Table1[[#This Row],[DUT Adj Read]]="N/A",Table1[[#This Row],[Std Adj Read]]="N/A"),"N/A",IF(Table1[[#This Row],[DUT Adj Read]]="N/A",IF(Table1[[#This Row],[Std Adj Read]]&gt;Table1[[#This Row],[Low Tol]],"Pass","Fail"),IF(Table1[[#This Row],[DUT Adj Read]]&gt;Table1[[#This Row],[Low Tol]],"Pass","Fail")))</f>
        <v>Pass</v>
      </c>
      <c r="AE2039" s="1" t="str">
        <f>IF(AND(Table1[[#This Row],[Spec Type2]]="N/A",Table1[[#This Row],[DUT Adj Read]]="N/A",Table1[[#This Row],[Std Adj Read]]="N/A"),"N/A",IF(Table1[[#This Row],[DUT Adj Read]]="N/A",IF(Table1[[#This Row],[Std Adj Read]]&lt;Table1[[#This Row],[High Tol]],"Pass","Fail"),IF(Table1[[#This Row],[DUT Adj Read]]&lt;Table1[[#This Row],[High Tol]],"Pass","Fail")))</f>
        <v>Fail</v>
      </c>
      <c r="AF2039" s="1" t="str">
        <f>IF(AND(Table1[[#This Row],[Spec Type2]]="N/A",Table1[[#This Row],[DUT Adj Read]]="N/A",Table1[[#This Row],[Std Adj Read]]="N/A"),"N/A",IF(Table1[[#This Row],[DUT Adj Read]]="N/A",IF(Table1[[#This Row],[Std Adj Read]]&gt;=Table1[[#This Row],[Low Tol]],"Pass","Fail"),IF(Table1[[#This Row],[DUT Adj Read]]&gt;=Table1[[#This Row],[Low Tol]],"Pass","Fail")))</f>
        <v>Pass</v>
      </c>
      <c r="AG2039" s="1" t="str">
        <f>IF(AND(Table1[[#This Row],[Spec Type2]]="N/A",Table1[[#This Row],[DUT Adj Read]]="N/A",Table1[[#This Row],[Std Adj Read]]="N/A"),"N/A",IF(Table1[[#This Row],[DUT Adj Read]]="N/A",IF(Table1[[#This Row],[Std Adj Read]]&lt;=Table1[[#This Row],[High Tol]],"Pass","Fail"),IF(Table1[[#This Row],[DUT Adj Read]]&lt;=Table1[[#This Row],[High Tol]],"Pass","Fail")))</f>
        <v>Fail</v>
      </c>
      <c r="AH20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9" s="1" t="b">
        <v>0</v>
      </c>
      <c r="AN2039" s="1" t="b">
        <v>0</v>
      </c>
      <c r="AO2039" s="1" t="b">
        <v>0</v>
      </c>
    </row>
    <row r="2040" spans="1:41" x14ac:dyDescent="0.25">
      <c r="A2040" s="10"/>
      <c r="B2040" s="10"/>
      <c r="C2040" s="10"/>
      <c r="D2040" s="10"/>
      <c r="E2040" s="10"/>
      <c r="F2040" s="10"/>
      <c r="G2040" s="10"/>
      <c r="H2040" s="10"/>
      <c r="I2040" s="1" t="str">
        <f t="shared" si="93"/>
        <v/>
      </c>
      <c r="J2040" s="1" t="s">
        <v>35</v>
      </c>
      <c r="K2040" s="1" t="str">
        <f t="shared" si="94"/>
        <v/>
      </c>
      <c r="L2040" s="1" t="str">
        <f t="shared" si="95"/>
        <v/>
      </c>
      <c r="M2040" s="1">
        <f>IF(OR(Table1[[#This Row],[Std Nom]]="",Table1[[#This Row],[Std Read]]=""),0,Table1[[#This Row],[Std Nom]]-Table1[[#This Row],[Std Read]])</f>
        <v>0</v>
      </c>
      <c r="N2040" s="1">
        <f>IF(Calculations!$F$5="ACCREDITED 17025 WITH UNCERTAINTIES",$N$10,0)</f>
        <v>0</v>
      </c>
      <c r="O2040" s="1" t="str">
        <f>IFERROR(Table1[[#This Row],[Std Nom]]-(_xlfn.XLOOKUP(Table1[[#This Row],[Manufacturer]]&amp;" "&amp;Table1[[#This Row],[Model]],Table13[MFR &amp; MDL],Table13[Tolerance % CW ],"")/100*Table1[[#This Row],[Std Nom]]),"")</f>
        <v/>
      </c>
      <c r="P2040" s="1" t="str">
        <f>IFERROR(Table1[[#This Row],[Std Nom]]+(_xlfn.XLOOKUP(Table1[[#This Row],[Manufacturer]]&amp;" "&amp;Table1[[#This Row],[Model]],Table13[MFR &amp; MDL],Table13[Tolerance % CW ],"")/100*Table1[[#This Row],[Std Nom]]),"")</f>
        <v/>
      </c>
      <c r="Q2040" s="1" t="e">
        <f>Table1[[#This Row],[High Tol]]-Table1[[#This Row],[Low Tol]]</f>
        <v>#VALUE!</v>
      </c>
      <c r="R2040" s="1">
        <f>2*Table1[[#This Row],[Std Error]]</f>
        <v>0</v>
      </c>
      <c r="S2040" s="1" t="str">
        <f>IF(Table1[[#This Row],[High Tol]]="","N/A",IFERROR(ABS(Table1[[#This Row],[Tol Span]]/Table1[[#This Row],[Error Span]]),"N/A"))</f>
        <v>N/A</v>
      </c>
      <c r="T2040" s="1" t="str">
        <f>IF(OR(Table1[[#This Row],[Low Tol]]="",Table1[[#This Row],[High Tol]]=""),"Needs Analysis",IF(Table1[[#This Row],[Ratio]]&gt;=4,"Not Significant",IF(Table1[[#This Row],[Ratio]]&gt;=2,"Semi-Significant","Significant")))</f>
        <v>Needs Analysis</v>
      </c>
      <c r="W2040" s="1">
        <f>IF(Table1[[#This Row],[Cal Type]]&lt;&gt;"ACCREDITED 17025 WITH UNCERTAINTIES",0,"")</f>
        <v>0</v>
      </c>
      <c r="X2040" s="1" t="str">
        <f>IF(Table1[[#This Row],[DUT Read]]="","N/A",Table1[[#This Row],[Std Error]]+Table1[[#This Row],[DUT Read]]+Table1[[#This Row],[DUT Ucty]])</f>
        <v>N/A</v>
      </c>
      <c r="Y2040" s="1" t="str">
        <f>IF(Table1[[#This Row],[Std Read]]="","N/A",Table1[[#This Row],[Std Read]]+Table1[[#This Row],[Std Ucty]])</f>
        <v>N/A</v>
      </c>
      <c r="Z20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0" s="1" t="str">
        <f>IF(Table1[[#This Row],[Spec Type]]="","N/A",Table1[[#This Row],[Spec Type]])</f>
        <v>±</v>
      </c>
      <c r="AC2040" s="1" t="str">
        <f>IF(Table1[[#This Row],[Spec Type2]]="N/A","N/A",IF(AND(Table1[[#This Row],[DUT Adj Read]]&gt;=Table1[[#This Row],[Low Tol]],Table1[[#This Row],[DUT Adj Read]]&lt;=Table1[[#This Row],[High Tol]]),"Pass","Fail"))</f>
        <v>Fail</v>
      </c>
      <c r="AD2040" s="1" t="str">
        <f>IF(AND(Table1[[#This Row],[Spec Type2]]="N/A",Table1[[#This Row],[DUT Adj Read]]="N/A",Table1[[#This Row],[Std Adj Read]]="N/A"),"N/A",IF(Table1[[#This Row],[DUT Adj Read]]="N/A",IF(Table1[[#This Row],[Std Adj Read]]&gt;Table1[[#This Row],[Low Tol]],"Pass","Fail"),IF(Table1[[#This Row],[DUT Adj Read]]&gt;Table1[[#This Row],[Low Tol]],"Pass","Fail")))</f>
        <v>Pass</v>
      </c>
      <c r="AE2040" s="1" t="str">
        <f>IF(AND(Table1[[#This Row],[Spec Type2]]="N/A",Table1[[#This Row],[DUT Adj Read]]="N/A",Table1[[#This Row],[Std Adj Read]]="N/A"),"N/A",IF(Table1[[#This Row],[DUT Adj Read]]="N/A",IF(Table1[[#This Row],[Std Adj Read]]&lt;Table1[[#This Row],[High Tol]],"Pass","Fail"),IF(Table1[[#This Row],[DUT Adj Read]]&lt;Table1[[#This Row],[High Tol]],"Pass","Fail")))</f>
        <v>Fail</v>
      </c>
      <c r="AF2040" s="1" t="str">
        <f>IF(AND(Table1[[#This Row],[Spec Type2]]="N/A",Table1[[#This Row],[DUT Adj Read]]="N/A",Table1[[#This Row],[Std Adj Read]]="N/A"),"N/A",IF(Table1[[#This Row],[DUT Adj Read]]="N/A",IF(Table1[[#This Row],[Std Adj Read]]&gt;=Table1[[#This Row],[Low Tol]],"Pass","Fail"),IF(Table1[[#This Row],[DUT Adj Read]]&gt;=Table1[[#This Row],[Low Tol]],"Pass","Fail")))</f>
        <v>Pass</v>
      </c>
      <c r="AG2040" s="1" t="str">
        <f>IF(AND(Table1[[#This Row],[Spec Type2]]="N/A",Table1[[#This Row],[DUT Adj Read]]="N/A",Table1[[#This Row],[Std Adj Read]]="N/A"),"N/A",IF(Table1[[#This Row],[DUT Adj Read]]="N/A",IF(Table1[[#This Row],[Std Adj Read]]&lt;=Table1[[#This Row],[High Tol]],"Pass","Fail"),IF(Table1[[#This Row],[DUT Adj Read]]&lt;=Table1[[#This Row],[High Tol]],"Pass","Fail")))</f>
        <v>Fail</v>
      </c>
      <c r="AH20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0" s="1" t="b">
        <v>0</v>
      </c>
      <c r="AN2040" s="1" t="b">
        <v>0</v>
      </c>
      <c r="AO2040" s="1" t="b">
        <v>0</v>
      </c>
    </row>
    <row r="2041" spans="1:41" x14ac:dyDescent="0.25">
      <c r="A2041" s="10"/>
      <c r="B2041" s="10"/>
      <c r="C2041" s="10"/>
      <c r="D2041" s="10"/>
      <c r="E2041" s="10"/>
      <c r="F2041" s="10"/>
      <c r="G2041" s="10"/>
      <c r="H2041" s="10"/>
      <c r="I2041" s="1" t="str">
        <f t="shared" si="93"/>
        <v/>
      </c>
      <c r="J2041" s="1" t="s">
        <v>35</v>
      </c>
      <c r="K2041" s="1" t="str">
        <f t="shared" si="94"/>
        <v/>
      </c>
      <c r="L2041" s="1" t="str">
        <f t="shared" si="95"/>
        <v/>
      </c>
      <c r="M2041" s="1">
        <f>IF(OR(Table1[[#This Row],[Std Nom]]="",Table1[[#This Row],[Std Read]]=""),0,Table1[[#This Row],[Std Nom]]-Table1[[#This Row],[Std Read]])</f>
        <v>0</v>
      </c>
      <c r="N2041" s="1">
        <f>IF(Calculations!$F$5="ACCREDITED 17025 WITH UNCERTAINTIES",$N$10,0)</f>
        <v>0</v>
      </c>
      <c r="O2041" s="1" t="str">
        <f>IFERROR(Table1[[#This Row],[Std Nom]]-(_xlfn.XLOOKUP(Table1[[#This Row],[Manufacturer]]&amp;" "&amp;Table1[[#This Row],[Model]],Table13[MFR &amp; MDL],Table13[Tolerance % CW ],"")/100*Table1[[#This Row],[Std Nom]]),"")</f>
        <v/>
      </c>
      <c r="P2041" s="1" t="str">
        <f>IFERROR(Table1[[#This Row],[Std Nom]]+(_xlfn.XLOOKUP(Table1[[#This Row],[Manufacturer]]&amp;" "&amp;Table1[[#This Row],[Model]],Table13[MFR &amp; MDL],Table13[Tolerance % CW ],"")/100*Table1[[#This Row],[Std Nom]]),"")</f>
        <v/>
      </c>
      <c r="Q2041" s="1" t="e">
        <f>Table1[[#This Row],[High Tol]]-Table1[[#This Row],[Low Tol]]</f>
        <v>#VALUE!</v>
      </c>
      <c r="R2041" s="1">
        <f>2*Table1[[#This Row],[Std Error]]</f>
        <v>0</v>
      </c>
      <c r="S2041" s="1" t="str">
        <f>IF(Table1[[#This Row],[High Tol]]="","N/A",IFERROR(ABS(Table1[[#This Row],[Tol Span]]/Table1[[#This Row],[Error Span]]),"N/A"))</f>
        <v>N/A</v>
      </c>
      <c r="T2041" s="1" t="str">
        <f>IF(OR(Table1[[#This Row],[Low Tol]]="",Table1[[#This Row],[High Tol]]=""),"Needs Analysis",IF(Table1[[#This Row],[Ratio]]&gt;=4,"Not Significant",IF(Table1[[#This Row],[Ratio]]&gt;=2,"Semi-Significant","Significant")))</f>
        <v>Needs Analysis</v>
      </c>
      <c r="W2041" s="1">
        <f>IF(Table1[[#This Row],[Cal Type]]&lt;&gt;"ACCREDITED 17025 WITH UNCERTAINTIES",0,"")</f>
        <v>0</v>
      </c>
      <c r="X2041" s="1" t="str">
        <f>IF(Table1[[#This Row],[DUT Read]]="","N/A",Table1[[#This Row],[Std Error]]+Table1[[#This Row],[DUT Read]]+Table1[[#This Row],[DUT Ucty]])</f>
        <v>N/A</v>
      </c>
      <c r="Y2041" s="1" t="str">
        <f>IF(Table1[[#This Row],[Std Read]]="","N/A",Table1[[#This Row],[Std Read]]+Table1[[#This Row],[Std Ucty]])</f>
        <v>N/A</v>
      </c>
      <c r="Z20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1" s="1" t="str">
        <f>IF(Table1[[#This Row],[Spec Type]]="","N/A",Table1[[#This Row],[Spec Type]])</f>
        <v>±</v>
      </c>
      <c r="AC2041" s="1" t="str">
        <f>IF(Table1[[#This Row],[Spec Type2]]="N/A","N/A",IF(AND(Table1[[#This Row],[DUT Adj Read]]&gt;=Table1[[#This Row],[Low Tol]],Table1[[#This Row],[DUT Adj Read]]&lt;=Table1[[#This Row],[High Tol]]),"Pass","Fail"))</f>
        <v>Fail</v>
      </c>
      <c r="AD2041" s="1" t="str">
        <f>IF(AND(Table1[[#This Row],[Spec Type2]]="N/A",Table1[[#This Row],[DUT Adj Read]]="N/A",Table1[[#This Row],[Std Adj Read]]="N/A"),"N/A",IF(Table1[[#This Row],[DUT Adj Read]]="N/A",IF(Table1[[#This Row],[Std Adj Read]]&gt;Table1[[#This Row],[Low Tol]],"Pass","Fail"),IF(Table1[[#This Row],[DUT Adj Read]]&gt;Table1[[#This Row],[Low Tol]],"Pass","Fail")))</f>
        <v>Pass</v>
      </c>
      <c r="AE2041" s="1" t="str">
        <f>IF(AND(Table1[[#This Row],[Spec Type2]]="N/A",Table1[[#This Row],[DUT Adj Read]]="N/A",Table1[[#This Row],[Std Adj Read]]="N/A"),"N/A",IF(Table1[[#This Row],[DUT Adj Read]]="N/A",IF(Table1[[#This Row],[Std Adj Read]]&lt;Table1[[#This Row],[High Tol]],"Pass","Fail"),IF(Table1[[#This Row],[DUT Adj Read]]&lt;Table1[[#This Row],[High Tol]],"Pass","Fail")))</f>
        <v>Fail</v>
      </c>
      <c r="AF2041" s="1" t="str">
        <f>IF(AND(Table1[[#This Row],[Spec Type2]]="N/A",Table1[[#This Row],[DUT Adj Read]]="N/A",Table1[[#This Row],[Std Adj Read]]="N/A"),"N/A",IF(Table1[[#This Row],[DUT Adj Read]]="N/A",IF(Table1[[#This Row],[Std Adj Read]]&gt;=Table1[[#This Row],[Low Tol]],"Pass","Fail"),IF(Table1[[#This Row],[DUT Adj Read]]&gt;=Table1[[#This Row],[Low Tol]],"Pass","Fail")))</f>
        <v>Pass</v>
      </c>
      <c r="AG2041" s="1" t="str">
        <f>IF(AND(Table1[[#This Row],[Spec Type2]]="N/A",Table1[[#This Row],[DUT Adj Read]]="N/A",Table1[[#This Row],[Std Adj Read]]="N/A"),"N/A",IF(Table1[[#This Row],[DUT Adj Read]]="N/A",IF(Table1[[#This Row],[Std Adj Read]]&lt;=Table1[[#This Row],[High Tol]],"Pass","Fail"),IF(Table1[[#This Row],[DUT Adj Read]]&lt;=Table1[[#This Row],[High Tol]],"Pass","Fail")))</f>
        <v>Fail</v>
      </c>
      <c r="AH20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1" s="1" t="b">
        <v>0</v>
      </c>
      <c r="AN2041" s="1" t="b">
        <v>0</v>
      </c>
      <c r="AO2041" s="1" t="b">
        <v>0</v>
      </c>
    </row>
    <row r="2042" spans="1:41" x14ac:dyDescent="0.25">
      <c r="A2042" s="10"/>
      <c r="B2042" s="10"/>
      <c r="C2042" s="10"/>
      <c r="D2042" s="10"/>
      <c r="E2042" s="10"/>
      <c r="F2042" s="10"/>
      <c r="G2042" s="10"/>
      <c r="H2042" s="10"/>
      <c r="I2042" s="1" t="str">
        <f t="shared" si="93"/>
        <v/>
      </c>
      <c r="J2042" s="1" t="s">
        <v>35</v>
      </c>
      <c r="K2042" s="1" t="str">
        <f t="shared" si="94"/>
        <v/>
      </c>
      <c r="L2042" s="1" t="str">
        <f t="shared" si="95"/>
        <v/>
      </c>
      <c r="M2042" s="1">
        <f>IF(OR(Table1[[#This Row],[Std Nom]]="",Table1[[#This Row],[Std Read]]=""),0,Table1[[#This Row],[Std Nom]]-Table1[[#This Row],[Std Read]])</f>
        <v>0</v>
      </c>
      <c r="N2042" s="1">
        <f>IF(Calculations!$F$5="ACCREDITED 17025 WITH UNCERTAINTIES",$N$10,0)</f>
        <v>0</v>
      </c>
      <c r="O2042" s="1" t="str">
        <f>IFERROR(Table1[[#This Row],[Std Nom]]-(_xlfn.XLOOKUP(Table1[[#This Row],[Manufacturer]]&amp;" "&amp;Table1[[#This Row],[Model]],Table13[MFR &amp; MDL],Table13[Tolerance % CW ],"")/100*Table1[[#This Row],[Std Nom]]),"")</f>
        <v/>
      </c>
      <c r="P2042" s="1" t="str">
        <f>IFERROR(Table1[[#This Row],[Std Nom]]+(_xlfn.XLOOKUP(Table1[[#This Row],[Manufacturer]]&amp;" "&amp;Table1[[#This Row],[Model]],Table13[MFR &amp; MDL],Table13[Tolerance % CW ],"")/100*Table1[[#This Row],[Std Nom]]),"")</f>
        <v/>
      </c>
      <c r="Q2042" s="1" t="e">
        <f>Table1[[#This Row],[High Tol]]-Table1[[#This Row],[Low Tol]]</f>
        <v>#VALUE!</v>
      </c>
      <c r="R2042" s="1">
        <f>2*Table1[[#This Row],[Std Error]]</f>
        <v>0</v>
      </c>
      <c r="S2042" s="1" t="str">
        <f>IF(Table1[[#This Row],[High Tol]]="","N/A",IFERROR(ABS(Table1[[#This Row],[Tol Span]]/Table1[[#This Row],[Error Span]]),"N/A"))</f>
        <v>N/A</v>
      </c>
      <c r="T2042" s="1" t="str">
        <f>IF(OR(Table1[[#This Row],[Low Tol]]="",Table1[[#This Row],[High Tol]]=""),"Needs Analysis",IF(Table1[[#This Row],[Ratio]]&gt;=4,"Not Significant",IF(Table1[[#This Row],[Ratio]]&gt;=2,"Semi-Significant","Significant")))</f>
        <v>Needs Analysis</v>
      </c>
      <c r="W2042" s="1">
        <f>IF(Table1[[#This Row],[Cal Type]]&lt;&gt;"ACCREDITED 17025 WITH UNCERTAINTIES",0,"")</f>
        <v>0</v>
      </c>
      <c r="X2042" s="1" t="str">
        <f>IF(Table1[[#This Row],[DUT Read]]="","N/A",Table1[[#This Row],[Std Error]]+Table1[[#This Row],[DUT Read]]+Table1[[#This Row],[DUT Ucty]])</f>
        <v>N/A</v>
      </c>
      <c r="Y2042" s="1" t="str">
        <f>IF(Table1[[#This Row],[Std Read]]="","N/A",Table1[[#This Row],[Std Read]]+Table1[[#This Row],[Std Ucty]])</f>
        <v>N/A</v>
      </c>
      <c r="Z20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2" s="1" t="str">
        <f>IF(Table1[[#This Row],[Spec Type]]="","N/A",Table1[[#This Row],[Spec Type]])</f>
        <v>±</v>
      </c>
      <c r="AC2042" s="1" t="str">
        <f>IF(Table1[[#This Row],[Spec Type2]]="N/A","N/A",IF(AND(Table1[[#This Row],[DUT Adj Read]]&gt;=Table1[[#This Row],[Low Tol]],Table1[[#This Row],[DUT Adj Read]]&lt;=Table1[[#This Row],[High Tol]]),"Pass","Fail"))</f>
        <v>Fail</v>
      </c>
      <c r="AD2042" s="1" t="str">
        <f>IF(AND(Table1[[#This Row],[Spec Type2]]="N/A",Table1[[#This Row],[DUT Adj Read]]="N/A",Table1[[#This Row],[Std Adj Read]]="N/A"),"N/A",IF(Table1[[#This Row],[DUT Adj Read]]="N/A",IF(Table1[[#This Row],[Std Adj Read]]&gt;Table1[[#This Row],[Low Tol]],"Pass","Fail"),IF(Table1[[#This Row],[DUT Adj Read]]&gt;Table1[[#This Row],[Low Tol]],"Pass","Fail")))</f>
        <v>Pass</v>
      </c>
      <c r="AE2042" s="1" t="str">
        <f>IF(AND(Table1[[#This Row],[Spec Type2]]="N/A",Table1[[#This Row],[DUT Adj Read]]="N/A",Table1[[#This Row],[Std Adj Read]]="N/A"),"N/A",IF(Table1[[#This Row],[DUT Adj Read]]="N/A",IF(Table1[[#This Row],[Std Adj Read]]&lt;Table1[[#This Row],[High Tol]],"Pass","Fail"),IF(Table1[[#This Row],[DUT Adj Read]]&lt;Table1[[#This Row],[High Tol]],"Pass","Fail")))</f>
        <v>Fail</v>
      </c>
      <c r="AF2042" s="1" t="str">
        <f>IF(AND(Table1[[#This Row],[Spec Type2]]="N/A",Table1[[#This Row],[DUT Adj Read]]="N/A",Table1[[#This Row],[Std Adj Read]]="N/A"),"N/A",IF(Table1[[#This Row],[DUT Adj Read]]="N/A",IF(Table1[[#This Row],[Std Adj Read]]&gt;=Table1[[#This Row],[Low Tol]],"Pass","Fail"),IF(Table1[[#This Row],[DUT Adj Read]]&gt;=Table1[[#This Row],[Low Tol]],"Pass","Fail")))</f>
        <v>Pass</v>
      </c>
      <c r="AG2042" s="1" t="str">
        <f>IF(AND(Table1[[#This Row],[Spec Type2]]="N/A",Table1[[#This Row],[DUT Adj Read]]="N/A",Table1[[#This Row],[Std Adj Read]]="N/A"),"N/A",IF(Table1[[#This Row],[DUT Adj Read]]="N/A",IF(Table1[[#This Row],[Std Adj Read]]&lt;=Table1[[#This Row],[High Tol]],"Pass","Fail"),IF(Table1[[#This Row],[DUT Adj Read]]&lt;=Table1[[#This Row],[High Tol]],"Pass","Fail")))</f>
        <v>Fail</v>
      </c>
      <c r="AH20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2" s="1" t="b">
        <v>0</v>
      </c>
      <c r="AN2042" s="1" t="b">
        <v>0</v>
      </c>
      <c r="AO2042" s="1" t="b">
        <v>0</v>
      </c>
    </row>
    <row r="2043" spans="1:41" x14ac:dyDescent="0.25">
      <c r="A2043" s="10"/>
      <c r="B2043" s="10"/>
      <c r="C2043" s="10"/>
      <c r="D2043" s="10"/>
      <c r="E2043" s="10"/>
      <c r="F2043" s="10"/>
      <c r="G2043" s="10"/>
      <c r="H2043" s="10"/>
      <c r="I2043" s="1" t="str">
        <f t="shared" si="93"/>
        <v/>
      </c>
      <c r="J2043" s="1" t="s">
        <v>35</v>
      </c>
      <c r="K2043" s="1" t="str">
        <f t="shared" si="94"/>
        <v/>
      </c>
      <c r="L2043" s="1" t="str">
        <f t="shared" si="95"/>
        <v/>
      </c>
      <c r="M2043" s="1">
        <f>IF(OR(Table1[[#This Row],[Std Nom]]="",Table1[[#This Row],[Std Read]]=""),0,Table1[[#This Row],[Std Nom]]-Table1[[#This Row],[Std Read]])</f>
        <v>0</v>
      </c>
      <c r="N2043" s="1">
        <f>IF(Calculations!$F$5="ACCREDITED 17025 WITH UNCERTAINTIES",$N$10,0)</f>
        <v>0</v>
      </c>
      <c r="O2043" s="1" t="str">
        <f>IFERROR(Table1[[#This Row],[Std Nom]]-(_xlfn.XLOOKUP(Table1[[#This Row],[Manufacturer]]&amp;" "&amp;Table1[[#This Row],[Model]],Table13[MFR &amp; MDL],Table13[Tolerance % CW ],"")/100*Table1[[#This Row],[Std Nom]]),"")</f>
        <v/>
      </c>
      <c r="P2043" s="1" t="str">
        <f>IFERROR(Table1[[#This Row],[Std Nom]]+(_xlfn.XLOOKUP(Table1[[#This Row],[Manufacturer]]&amp;" "&amp;Table1[[#This Row],[Model]],Table13[MFR &amp; MDL],Table13[Tolerance % CW ],"")/100*Table1[[#This Row],[Std Nom]]),"")</f>
        <v/>
      </c>
      <c r="Q2043" s="1" t="e">
        <f>Table1[[#This Row],[High Tol]]-Table1[[#This Row],[Low Tol]]</f>
        <v>#VALUE!</v>
      </c>
      <c r="R2043" s="1">
        <f>2*Table1[[#This Row],[Std Error]]</f>
        <v>0</v>
      </c>
      <c r="S2043" s="1" t="str">
        <f>IF(Table1[[#This Row],[High Tol]]="","N/A",IFERROR(ABS(Table1[[#This Row],[Tol Span]]/Table1[[#This Row],[Error Span]]),"N/A"))</f>
        <v>N/A</v>
      </c>
      <c r="T2043" s="1" t="str">
        <f>IF(OR(Table1[[#This Row],[Low Tol]]="",Table1[[#This Row],[High Tol]]=""),"Needs Analysis",IF(Table1[[#This Row],[Ratio]]&gt;=4,"Not Significant",IF(Table1[[#This Row],[Ratio]]&gt;=2,"Semi-Significant","Significant")))</f>
        <v>Needs Analysis</v>
      </c>
      <c r="W2043" s="1">
        <f>IF(Table1[[#This Row],[Cal Type]]&lt;&gt;"ACCREDITED 17025 WITH UNCERTAINTIES",0,"")</f>
        <v>0</v>
      </c>
      <c r="X2043" s="1" t="str">
        <f>IF(Table1[[#This Row],[DUT Read]]="","N/A",Table1[[#This Row],[Std Error]]+Table1[[#This Row],[DUT Read]]+Table1[[#This Row],[DUT Ucty]])</f>
        <v>N/A</v>
      </c>
      <c r="Y2043" s="1" t="str">
        <f>IF(Table1[[#This Row],[Std Read]]="","N/A",Table1[[#This Row],[Std Read]]+Table1[[#This Row],[Std Ucty]])</f>
        <v>N/A</v>
      </c>
      <c r="Z20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3" s="1" t="str">
        <f>IF(Table1[[#This Row],[Spec Type]]="","N/A",Table1[[#This Row],[Spec Type]])</f>
        <v>±</v>
      </c>
      <c r="AC2043" s="1" t="str">
        <f>IF(Table1[[#This Row],[Spec Type2]]="N/A","N/A",IF(AND(Table1[[#This Row],[DUT Adj Read]]&gt;=Table1[[#This Row],[Low Tol]],Table1[[#This Row],[DUT Adj Read]]&lt;=Table1[[#This Row],[High Tol]]),"Pass","Fail"))</f>
        <v>Fail</v>
      </c>
      <c r="AD2043" s="1" t="str">
        <f>IF(AND(Table1[[#This Row],[Spec Type2]]="N/A",Table1[[#This Row],[DUT Adj Read]]="N/A",Table1[[#This Row],[Std Adj Read]]="N/A"),"N/A",IF(Table1[[#This Row],[DUT Adj Read]]="N/A",IF(Table1[[#This Row],[Std Adj Read]]&gt;Table1[[#This Row],[Low Tol]],"Pass","Fail"),IF(Table1[[#This Row],[DUT Adj Read]]&gt;Table1[[#This Row],[Low Tol]],"Pass","Fail")))</f>
        <v>Pass</v>
      </c>
      <c r="AE2043" s="1" t="str">
        <f>IF(AND(Table1[[#This Row],[Spec Type2]]="N/A",Table1[[#This Row],[DUT Adj Read]]="N/A",Table1[[#This Row],[Std Adj Read]]="N/A"),"N/A",IF(Table1[[#This Row],[DUT Adj Read]]="N/A",IF(Table1[[#This Row],[Std Adj Read]]&lt;Table1[[#This Row],[High Tol]],"Pass","Fail"),IF(Table1[[#This Row],[DUT Adj Read]]&lt;Table1[[#This Row],[High Tol]],"Pass","Fail")))</f>
        <v>Fail</v>
      </c>
      <c r="AF2043" s="1" t="str">
        <f>IF(AND(Table1[[#This Row],[Spec Type2]]="N/A",Table1[[#This Row],[DUT Adj Read]]="N/A",Table1[[#This Row],[Std Adj Read]]="N/A"),"N/A",IF(Table1[[#This Row],[DUT Adj Read]]="N/A",IF(Table1[[#This Row],[Std Adj Read]]&gt;=Table1[[#This Row],[Low Tol]],"Pass","Fail"),IF(Table1[[#This Row],[DUT Adj Read]]&gt;=Table1[[#This Row],[Low Tol]],"Pass","Fail")))</f>
        <v>Pass</v>
      </c>
      <c r="AG2043" s="1" t="str">
        <f>IF(AND(Table1[[#This Row],[Spec Type2]]="N/A",Table1[[#This Row],[DUT Adj Read]]="N/A",Table1[[#This Row],[Std Adj Read]]="N/A"),"N/A",IF(Table1[[#This Row],[DUT Adj Read]]="N/A",IF(Table1[[#This Row],[Std Adj Read]]&lt;=Table1[[#This Row],[High Tol]],"Pass","Fail"),IF(Table1[[#This Row],[DUT Adj Read]]&lt;=Table1[[#This Row],[High Tol]],"Pass","Fail")))</f>
        <v>Fail</v>
      </c>
      <c r="AH20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3" s="1" t="b">
        <v>0</v>
      </c>
      <c r="AN2043" s="1" t="b">
        <v>0</v>
      </c>
      <c r="AO2043" s="1" t="b">
        <v>0</v>
      </c>
    </row>
    <row r="2044" spans="1:41" x14ac:dyDescent="0.25">
      <c r="A2044" s="10"/>
      <c r="B2044" s="10"/>
      <c r="C2044" s="10"/>
      <c r="D2044" s="10"/>
      <c r="E2044" s="10"/>
      <c r="F2044" s="10"/>
      <c r="G2044" s="10"/>
      <c r="H2044" s="10"/>
      <c r="I2044" s="1" t="str">
        <f t="shared" si="93"/>
        <v/>
      </c>
      <c r="J2044" s="1" t="s">
        <v>35</v>
      </c>
      <c r="K2044" s="1" t="str">
        <f t="shared" si="94"/>
        <v/>
      </c>
      <c r="L2044" s="1" t="str">
        <f t="shared" si="95"/>
        <v/>
      </c>
      <c r="M2044" s="1">
        <f>IF(OR(Table1[[#This Row],[Std Nom]]="",Table1[[#This Row],[Std Read]]=""),0,Table1[[#This Row],[Std Nom]]-Table1[[#This Row],[Std Read]])</f>
        <v>0</v>
      </c>
      <c r="N2044" s="1">
        <f>IF(Calculations!$F$5="ACCREDITED 17025 WITH UNCERTAINTIES",$N$10,0)</f>
        <v>0</v>
      </c>
      <c r="O2044" s="1" t="str">
        <f>IFERROR(Table1[[#This Row],[Std Nom]]-(_xlfn.XLOOKUP(Table1[[#This Row],[Manufacturer]]&amp;" "&amp;Table1[[#This Row],[Model]],Table13[MFR &amp; MDL],Table13[Tolerance % CW ],"")/100*Table1[[#This Row],[Std Nom]]),"")</f>
        <v/>
      </c>
      <c r="P2044" s="1" t="str">
        <f>IFERROR(Table1[[#This Row],[Std Nom]]+(_xlfn.XLOOKUP(Table1[[#This Row],[Manufacturer]]&amp;" "&amp;Table1[[#This Row],[Model]],Table13[MFR &amp; MDL],Table13[Tolerance % CW ],"")/100*Table1[[#This Row],[Std Nom]]),"")</f>
        <v/>
      </c>
      <c r="Q2044" s="1" t="e">
        <f>Table1[[#This Row],[High Tol]]-Table1[[#This Row],[Low Tol]]</f>
        <v>#VALUE!</v>
      </c>
      <c r="R2044" s="1">
        <f>2*Table1[[#This Row],[Std Error]]</f>
        <v>0</v>
      </c>
      <c r="S2044" s="1" t="str">
        <f>IF(Table1[[#This Row],[High Tol]]="","N/A",IFERROR(ABS(Table1[[#This Row],[Tol Span]]/Table1[[#This Row],[Error Span]]),"N/A"))</f>
        <v>N/A</v>
      </c>
      <c r="T2044" s="1" t="str">
        <f>IF(OR(Table1[[#This Row],[Low Tol]]="",Table1[[#This Row],[High Tol]]=""),"Needs Analysis",IF(Table1[[#This Row],[Ratio]]&gt;=4,"Not Significant",IF(Table1[[#This Row],[Ratio]]&gt;=2,"Semi-Significant","Significant")))</f>
        <v>Needs Analysis</v>
      </c>
      <c r="W2044" s="1">
        <f>IF(Table1[[#This Row],[Cal Type]]&lt;&gt;"ACCREDITED 17025 WITH UNCERTAINTIES",0,"")</f>
        <v>0</v>
      </c>
      <c r="X2044" s="1" t="str">
        <f>IF(Table1[[#This Row],[DUT Read]]="","N/A",Table1[[#This Row],[Std Error]]+Table1[[#This Row],[DUT Read]]+Table1[[#This Row],[DUT Ucty]])</f>
        <v>N/A</v>
      </c>
      <c r="Y2044" s="1" t="str">
        <f>IF(Table1[[#This Row],[Std Read]]="","N/A",Table1[[#This Row],[Std Read]]+Table1[[#This Row],[Std Ucty]])</f>
        <v>N/A</v>
      </c>
      <c r="Z20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4" s="1" t="str">
        <f>IF(Table1[[#This Row],[Spec Type]]="","N/A",Table1[[#This Row],[Spec Type]])</f>
        <v>±</v>
      </c>
      <c r="AC2044" s="1" t="str">
        <f>IF(Table1[[#This Row],[Spec Type2]]="N/A","N/A",IF(AND(Table1[[#This Row],[DUT Adj Read]]&gt;=Table1[[#This Row],[Low Tol]],Table1[[#This Row],[DUT Adj Read]]&lt;=Table1[[#This Row],[High Tol]]),"Pass","Fail"))</f>
        <v>Fail</v>
      </c>
      <c r="AD2044" s="1" t="str">
        <f>IF(AND(Table1[[#This Row],[Spec Type2]]="N/A",Table1[[#This Row],[DUT Adj Read]]="N/A",Table1[[#This Row],[Std Adj Read]]="N/A"),"N/A",IF(Table1[[#This Row],[DUT Adj Read]]="N/A",IF(Table1[[#This Row],[Std Adj Read]]&gt;Table1[[#This Row],[Low Tol]],"Pass","Fail"),IF(Table1[[#This Row],[DUT Adj Read]]&gt;Table1[[#This Row],[Low Tol]],"Pass","Fail")))</f>
        <v>Pass</v>
      </c>
      <c r="AE2044" s="1" t="str">
        <f>IF(AND(Table1[[#This Row],[Spec Type2]]="N/A",Table1[[#This Row],[DUT Adj Read]]="N/A",Table1[[#This Row],[Std Adj Read]]="N/A"),"N/A",IF(Table1[[#This Row],[DUT Adj Read]]="N/A",IF(Table1[[#This Row],[Std Adj Read]]&lt;Table1[[#This Row],[High Tol]],"Pass","Fail"),IF(Table1[[#This Row],[DUT Adj Read]]&lt;Table1[[#This Row],[High Tol]],"Pass","Fail")))</f>
        <v>Fail</v>
      </c>
      <c r="AF2044" s="1" t="str">
        <f>IF(AND(Table1[[#This Row],[Spec Type2]]="N/A",Table1[[#This Row],[DUT Adj Read]]="N/A",Table1[[#This Row],[Std Adj Read]]="N/A"),"N/A",IF(Table1[[#This Row],[DUT Adj Read]]="N/A",IF(Table1[[#This Row],[Std Adj Read]]&gt;=Table1[[#This Row],[Low Tol]],"Pass","Fail"),IF(Table1[[#This Row],[DUT Adj Read]]&gt;=Table1[[#This Row],[Low Tol]],"Pass","Fail")))</f>
        <v>Pass</v>
      </c>
      <c r="AG2044" s="1" t="str">
        <f>IF(AND(Table1[[#This Row],[Spec Type2]]="N/A",Table1[[#This Row],[DUT Adj Read]]="N/A",Table1[[#This Row],[Std Adj Read]]="N/A"),"N/A",IF(Table1[[#This Row],[DUT Adj Read]]="N/A",IF(Table1[[#This Row],[Std Adj Read]]&lt;=Table1[[#This Row],[High Tol]],"Pass","Fail"),IF(Table1[[#This Row],[DUT Adj Read]]&lt;=Table1[[#This Row],[High Tol]],"Pass","Fail")))</f>
        <v>Fail</v>
      </c>
      <c r="AH20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4" s="1" t="b">
        <v>0</v>
      </c>
      <c r="AN2044" s="1" t="b">
        <v>0</v>
      </c>
      <c r="AO2044" s="1" t="b">
        <v>0</v>
      </c>
    </row>
    <row r="2045" spans="1:41" x14ac:dyDescent="0.25">
      <c r="A2045" s="10"/>
      <c r="B2045" s="10"/>
      <c r="C2045" s="10"/>
      <c r="D2045" s="10"/>
      <c r="E2045" s="10"/>
      <c r="F2045" s="10"/>
      <c r="G2045" s="10"/>
      <c r="H2045" s="10"/>
      <c r="I2045" s="1" t="str">
        <f t="shared" si="93"/>
        <v/>
      </c>
      <c r="J2045" s="1" t="s">
        <v>35</v>
      </c>
      <c r="K2045" s="1" t="str">
        <f t="shared" si="94"/>
        <v/>
      </c>
      <c r="L2045" s="1" t="str">
        <f t="shared" si="95"/>
        <v/>
      </c>
      <c r="M2045" s="1">
        <f>IF(OR(Table1[[#This Row],[Std Nom]]="",Table1[[#This Row],[Std Read]]=""),0,Table1[[#This Row],[Std Nom]]-Table1[[#This Row],[Std Read]])</f>
        <v>0</v>
      </c>
      <c r="N2045" s="1">
        <f>IF(Calculations!$F$5="ACCREDITED 17025 WITH UNCERTAINTIES",$N$10,0)</f>
        <v>0</v>
      </c>
      <c r="O2045" s="1" t="str">
        <f>IFERROR(Table1[[#This Row],[Std Nom]]-(_xlfn.XLOOKUP(Table1[[#This Row],[Manufacturer]]&amp;" "&amp;Table1[[#This Row],[Model]],Table13[MFR &amp; MDL],Table13[Tolerance % CW ],"")/100*Table1[[#This Row],[Std Nom]]),"")</f>
        <v/>
      </c>
      <c r="P2045" s="1" t="str">
        <f>IFERROR(Table1[[#This Row],[Std Nom]]+(_xlfn.XLOOKUP(Table1[[#This Row],[Manufacturer]]&amp;" "&amp;Table1[[#This Row],[Model]],Table13[MFR &amp; MDL],Table13[Tolerance % CW ],"")/100*Table1[[#This Row],[Std Nom]]),"")</f>
        <v/>
      </c>
      <c r="Q2045" s="1" t="e">
        <f>Table1[[#This Row],[High Tol]]-Table1[[#This Row],[Low Tol]]</f>
        <v>#VALUE!</v>
      </c>
      <c r="R2045" s="1">
        <f>2*Table1[[#This Row],[Std Error]]</f>
        <v>0</v>
      </c>
      <c r="S2045" s="1" t="str">
        <f>IF(Table1[[#This Row],[High Tol]]="","N/A",IFERROR(ABS(Table1[[#This Row],[Tol Span]]/Table1[[#This Row],[Error Span]]),"N/A"))</f>
        <v>N/A</v>
      </c>
      <c r="T2045" s="1" t="str">
        <f>IF(OR(Table1[[#This Row],[Low Tol]]="",Table1[[#This Row],[High Tol]]=""),"Needs Analysis",IF(Table1[[#This Row],[Ratio]]&gt;=4,"Not Significant",IF(Table1[[#This Row],[Ratio]]&gt;=2,"Semi-Significant","Significant")))</f>
        <v>Needs Analysis</v>
      </c>
      <c r="W2045" s="1">
        <f>IF(Table1[[#This Row],[Cal Type]]&lt;&gt;"ACCREDITED 17025 WITH UNCERTAINTIES",0,"")</f>
        <v>0</v>
      </c>
      <c r="X2045" s="1" t="str">
        <f>IF(Table1[[#This Row],[DUT Read]]="","N/A",Table1[[#This Row],[Std Error]]+Table1[[#This Row],[DUT Read]]+Table1[[#This Row],[DUT Ucty]])</f>
        <v>N/A</v>
      </c>
      <c r="Y2045" s="1" t="str">
        <f>IF(Table1[[#This Row],[Std Read]]="","N/A",Table1[[#This Row],[Std Read]]+Table1[[#This Row],[Std Ucty]])</f>
        <v>N/A</v>
      </c>
      <c r="Z20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5" s="1" t="str">
        <f>IF(Table1[[#This Row],[Spec Type]]="","N/A",Table1[[#This Row],[Spec Type]])</f>
        <v>±</v>
      </c>
      <c r="AC2045" s="1" t="str">
        <f>IF(Table1[[#This Row],[Spec Type2]]="N/A","N/A",IF(AND(Table1[[#This Row],[DUT Adj Read]]&gt;=Table1[[#This Row],[Low Tol]],Table1[[#This Row],[DUT Adj Read]]&lt;=Table1[[#This Row],[High Tol]]),"Pass","Fail"))</f>
        <v>Fail</v>
      </c>
      <c r="AD2045" s="1" t="str">
        <f>IF(AND(Table1[[#This Row],[Spec Type2]]="N/A",Table1[[#This Row],[DUT Adj Read]]="N/A",Table1[[#This Row],[Std Adj Read]]="N/A"),"N/A",IF(Table1[[#This Row],[DUT Adj Read]]="N/A",IF(Table1[[#This Row],[Std Adj Read]]&gt;Table1[[#This Row],[Low Tol]],"Pass","Fail"),IF(Table1[[#This Row],[DUT Adj Read]]&gt;Table1[[#This Row],[Low Tol]],"Pass","Fail")))</f>
        <v>Pass</v>
      </c>
      <c r="AE2045" s="1" t="str">
        <f>IF(AND(Table1[[#This Row],[Spec Type2]]="N/A",Table1[[#This Row],[DUT Adj Read]]="N/A",Table1[[#This Row],[Std Adj Read]]="N/A"),"N/A",IF(Table1[[#This Row],[DUT Adj Read]]="N/A",IF(Table1[[#This Row],[Std Adj Read]]&lt;Table1[[#This Row],[High Tol]],"Pass","Fail"),IF(Table1[[#This Row],[DUT Adj Read]]&lt;Table1[[#This Row],[High Tol]],"Pass","Fail")))</f>
        <v>Fail</v>
      </c>
      <c r="AF2045" s="1" t="str">
        <f>IF(AND(Table1[[#This Row],[Spec Type2]]="N/A",Table1[[#This Row],[DUT Adj Read]]="N/A",Table1[[#This Row],[Std Adj Read]]="N/A"),"N/A",IF(Table1[[#This Row],[DUT Adj Read]]="N/A",IF(Table1[[#This Row],[Std Adj Read]]&gt;=Table1[[#This Row],[Low Tol]],"Pass","Fail"),IF(Table1[[#This Row],[DUT Adj Read]]&gt;=Table1[[#This Row],[Low Tol]],"Pass","Fail")))</f>
        <v>Pass</v>
      </c>
      <c r="AG2045" s="1" t="str">
        <f>IF(AND(Table1[[#This Row],[Spec Type2]]="N/A",Table1[[#This Row],[DUT Adj Read]]="N/A",Table1[[#This Row],[Std Adj Read]]="N/A"),"N/A",IF(Table1[[#This Row],[DUT Adj Read]]="N/A",IF(Table1[[#This Row],[Std Adj Read]]&lt;=Table1[[#This Row],[High Tol]],"Pass","Fail"),IF(Table1[[#This Row],[DUT Adj Read]]&lt;=Table1[[#This Row],[High Tol]],"Pass","Fail")))</f>
        <v>Fail</v>
      </c>
      <c r="AH20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5" s="1" t="b">
        <v>0</v>
      </c>
      <c r="AN2045" s="1" t="b">
        <v>0</v>
      </c>
      <c r="AO2045" s="1" t="b">
        <v>0</v>
      </c>
    </row>
    <row r="2046" spans="1:41" x14ac:dyDescent="0.25">
      <c r="A2046" s="10"/>
      <c r="B2046" s="10"/>
      <c r="C2046" s="10"/>
      <c r="D2046" s="10"/>
      <c r="E2046" s="10"/>
      <c r="F2046" s="10"/>
      <c r="G2046" s="10"/>
      <c r="H2046" s="10"/>
      <c r="I2046" s="1" t="str">
        <f t="shared" si="93"/>
        <v/>
      </c>
      <c r="J2046" s="1" t="s">
        <v>35</v>
      </c>
      <c r="K2046" s="1" t="str">
        <f t="shared" si="94"/>
        <v/>
      </c>
      <c r="L2046" s="1" t="str">
        <f t="shared" si="95"/>
        <v/>
      </c>
      <c r="M2046" s="1">
        <f>IF(OR(Table1[[#This Row],[Std Nom]]="",Table1[[#This Row],[Std Read]]=""),0,Table1[[#This Row],[Std Nom]]-Table1[[#This Row],[Std Read]])</f>
        <v>0</v>
      </c>
      <c r="N2046" s="1">
        <f>IF(Calculations!$F$5="ACCREDITED 17025 WITH UNCERTAINTIES",$N$10,0)</f>
        <v>0</v>
      </c>
      <c r="O2046" s="1" t="str">
        <f>IFERROR(Table1[[#This Row],[Std Nom]]-(_xlfn.XLOOKUP(Table1[[#This Row],[Manufacturer]]&amp;" "&amp;Table1[[#This Row],[Model]],Table13[MFR &amp; MDL],Table13[Tolerance % CW ],"")/100*Table1[[#This Row],[Std Nom]]),"")</f>
        <v/>
      </c>
      <c r="P2046" s="1" t="str">
        <f>IFERROR(Table1[[#This Row],[Std Nom]]+(_xlfn.XLOOKUP(Table1[[#This Row],[Manufacturer]]&amp;" "&amp;Table1[[#This Row],[Model]],Table13[MFR &amp; MDL],Table13[Tolerance % CW ],"")/100*Table1[[#This Row],[Std Nom]]),"")</f>
        <v/>
      </c>
      <c r="Q2046" s="1" t="e">
        <f>Table1[[#This Row],[High Tol]]-Table1[[#This Row],[Low Tol]]</f>
        <v>#VALUE!</v>
      </c>
      <c r="R2046" s="1">
        <f>2*Table1[[#This Row],[Std Error]]</f>
        <v>0</v>
      </c>
      <c r="S2046" s="1" t="str">
        <f>IF(Table1[[#This Row],[High Tol]]="","N/A",IFERROR(ABS(Table1[[#This Row],[Tol Span]]/Table1[[#This Row],[Error Span]]),"N/A"))</f>
        <v>N/A</v>
      </c>
      <c r="T2046" s="1" t="str">
        <f>IF(OR(Table1[[#This Row],[Low Tol]]="",Table1[[#This Row],[High Tol]]=""),"Needs Analysis",IF(Table1[[#This Row],[Ratio]]&gt;=4,"Not Significant",IF(Table1[[#This Row],[Ratio]]&gt;=2,"Semi-Significant","Significant")))</f>
        <v>Needs Analysis</v>
      </c>
      <c r="W2046" s="1">
        <f>IF(Table1[[#This Row],[Cal Type]]&lt;&gt;"ACCREDITED 17025 WITH UNCERTAINTIES",0,"")</f>
        <v>0</v>
      </c>
      <c r="X2046" s="1" t="str">
        <f>IF(Table1[[#This Row],[DUT Read]]="","N/A",Table1[[#This Row],[Std Error]]+Table1[[#This Row],[DUT Read]]+Table1[[#This Row],[DUT Ucty]])</f>
        <v>N/A</v>
      </c>
      <c r="Y2046" s="1" t="str">
        <f>IF(Table1[[#This Row],[Std Read]]="","N/A",Table1[[#This Row],[Std Read]]+Table1[[#This Row],[Std Ucty]])</f>
        <v>N/A</v>
      </c>
      <c r="Z20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6" s="1" t="str">
        <f>IF(Table1[[#This Row],[Spec Type]]="","N/A",Table1[[#This Row],[Spec Type]])</f>
        <v>±</v>
      </c>
      <c r="AC2046" s="1" t="str">
        <f>IF(Table1[[#This Row],[Spec Type2]]="N/A","N/A",IF(AND(Table1[[#This Row],[DUT Adj Read]]&gt;=Table1[[#This Row],[Low Tol]],Table1[[#This Row],[DUT Adj Read]]&lt;=Table1[[#This Row],[High Tol]]),"Pass","Fail"))</f>
        <v>Fail</v>
      </c>
      <c r="AD2046" s="1" t="str">
        <f>IF(AND(Table1[[#This Row],[Spec Type2]]="N/A",Table1[[#This Row],[DUT Adj Read]]="N/A",Table1[[#This Row],[Std Adj Read]]="N/A"),"N/A",IF(Table1[[#This Row],[DUT Adj Read]]="N/A",IF(Table1[[#This Row],[Std Adj Read]]&gt;Table1[[#This Row],[Low Tol]],"Pass","Fail"),IF(Table1[[#This Row],[DUT Adj Read]]&gt;Table1[[#This Row],[Low Tol]],"Pass","Fail")))</f>
        <v>Pass</v>
      </c>
      <c r="AE2046" s="1" t="str">
        <f>IF(AND(Table1[[#This Row],[Spec Type2]]="N/A",Table1[[#This Row],[DUT Adj Read]]="N/A",Table1[[#This Row],[Std Adj Read]]="N/A"),"N/A",IF(Table1[[#This Row],[DUT Adj Read]]="N/A",IF(Table1[[#This Row],[Std Adj Read]]&lt;Table1[[#This Row],[High Tol]],"Pass","Fail"),IF(Table1[[#This Row],[DUT Adj Read]]&lt;Table1[[#This Row],[High Tol]],"Pass","Fail")))</f>
        <v>Fail</v>
      </c>
      <c r="AF2046" s="1" t="str">
        <f>IF(AND(Table1[[#This Row],[Spec Type2]]="N/A",Table1[[#This Row],[DUT Adj Read]]="N/A",Table1[[#This Row],[Std Adj Read]]="N/A"),"N/A",IF(Table1[[#This Row],[DUT Adj Read]]="N/A",IF(Table1[[#This Row],[Std Adj Read]]&gt;=Table1[[#This Row],[Low Tol]],"Pass","Fail"),IF(Table1[[#This Row],[DUT Adj Read]]&gt;=Table1[[#This Row],[Low Tol]],"Pass","Fail")))</f>
        <v>Pass</v>
      </c>
      <c r="AG2046" s="1" t="str">
        <f>IF(AND(Table1[[#This Row],[Spec Type2]]="N/A",Table1[[#This Row],[DUT Adj Read]]="N/A",Table1[[#This Row],[Std Adj Read]]="N/A"),"N/A",IF(Table1[[#This Row],[DUT Adj Read]]="N/A",IF(Table1[[#This Row],[Std Adj Read]]&lt;=Table1[[#This Row],[High Tol]],"Pass","Fail"),IF(Table1[[#This Row],[DUT Adj Read]]&lt;=Table1[[#This Row],[High Tol]],"Pass","Fail")))</f>
        <v>Fail</v>
      </c>
      <c r="AH20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6" s="1" t="b">
        <v>0</v>
      </c>
      <c r="AN2046" s="1" t="b">
        <v>0</v>
      </c>
      <c r="AO2046" s="1" t="b">
        <v>0</v>
      </c>
    </row>
    <row r="2047" spans="1:41" x14ac:dyDescent="0.25">
      <c r="A2047" s="10"/>
      <c r="B2047" s="10"/>
      <c r="C2047" s="10"/>
      <c r="D2047" s="10"/>
      <c r="E2047" s="10"/>
      <c r="F2047" s="10"/>
      <c r="G2047" s="10"/>
      <c r="H2047" s="10"/>
      <c r="I2047" s="1" t="str">
        <f t="shared" si="93"/>
        <v/>
      </c>
      <c r="J2047" s="1" t="s">
        <v>35</v>
      </c>
      <c r="K2047" s="1" t="str">
        <f t="shared" si="94"/>
        <v/>
      </c>
      <c r="L2047" s="1" t="str">
        <f t="shared" si="95"/>
        <v/>
      </c>
      <c r="M2047" s="1">
        <f>IF(OR(Table1[[#This Row],[Std Nom]]="",Table1[[#This Row],[Std Read]]=""),0,Table1[[#This Row],[Std Nom]]-Table1[[#This Row],[Std Read]])</f>
        <v>0</v>
      </c>
      <c r="N2047" s="1">
        <f>IF(Calculations!$F$5="ACCREDITED 17025 WITH UNCERTAINTIES",$N$10,0)</f>
        <v>0</v>
      </c>
      <c r="O2047" s="1" t="str">
        <f>IFERROR(Table1[[#This Row],[Std Nom]]-(_xlfn.XLOOKUP(Table1[[#This Row],[Manufacturer]]&amp;" "&amp;Table1[[#This Row],[Model]],Table13[MFR &amp; MDL],Table13[Tolerance % CW ],"")/100*Table1[[#This Row],[Std Nom]]),"")</f>
        <v/>
      </c>
      <c r="P2047" s="1" t="str">
        <f>IFERROR(Table1[[#This Row],[Std Nom]]+(_xlfn.XLOOKUP(Table1[[#This Row],[Manufacturer]]&amp;" "&amp;Table1[[#This Row],[Model]],Table13[MFR &amp; MDL],Table13[Tolerance % CW ],"")/100*Table1[[#This Row],[Std Nom]]),"")</f>
        <v/>
      </c>
      <c r="Q2047" s="1" t="e">
        <f>Table1[[#This Row],[High Tol]]-Table1[[#This Row],[Low Tol]]</f>
        <v>#VALUE!</v>
      </c>
      <c r="R2047" s="1">
        <f>2*Table1[[#This Row],[Std Error]]</f>
        <v>0</v>
      </c>
      <c r="S2047" s="1" t="str">
        <f>IF(Table1[[#This Row],[High Tol]]="","N/A",IFERROR(ABS(Table1[[#This Row],[Tol Span]]/Table1[[#This Row],[Error Span]]),"N/A"))</f>
        <v>N/A</v>
      </c>
      <c r="T2047" s="1" t="str">
        <f>IF(OR(Table1[[#This Row],[Low Tol]]="",Table1[[#This Row],[High Tol]]=""),"Needs Analysis",IF(Table1[[#This Row],[Ratio]]&gt;=4,"Not Significant",IF(Table1[[#This Row],[Ratio]]&gt;=2,"Semi-Significant","Significant")))</f>
        <v>Needs Analysis</v>
      </c>
      <c r="W2047" s="1">
        <f>IF(Table1[[#This Row],[Cal Type]]&lt;&gt;"ACCREDITED 17025 WITH UNCERTAINTIES",0,"")</f>
        <v>0</v>
      </c>
      <c r="X2047" s="1" t="str">
        <f>IF(Table1[[#This Row],[DUT Read]]="","N/A",Table1[[#This Row],[Std Error]]+Table1[[#This Row],[DUT Read]]+Table1[[#This Row],[DUT Ucty]])</f>
        <v>N/A</v>
      </c>
      <c r="Y2047" s="1" t="str">
        <f>IF(Table1[[#This Row],[Std Read]]="","N/A",Table1[[#This Row],[Std Read]]+Table1[[#This Row],[Std Ucty]])</f>
        <v>N/A</v>
      </c>
      <c r="Z20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7" s="1" t="str">
        <f>IF(Table1[[#This Row],[Spec Type]]="","N/A",Table1[[#This Row],[Spec Type]])</f>
        <v>±</v>
      </c>
      <c r="AC2047" s="1" t="str">
        <f>IF(Table1[[#This Row],[Spec Type2]]="N/A","N/A",IF(AND(Table1[[#This Row],[DUT Adj Read]]&gt;=Table1[[#This Row],[Low Tol]],Table1[[#This Row],[DUT Adj Read]]&lt;=Table1[[#This Row],[High Tol]]),"Pass","Fail"))</f>
        <v>Fail</v>
      </c>
      <c r="AD2047" s="1" t="str">
        <f>IF(AND(Table1[[#This Row],[Spec Type2]]="N/A",Table1[[#This Row],[DUT Adj Read]]="N/A",Table1[[#This Row],[Std Adj Read]]="N/A"),"N/A",IF(Table1[[#This Row],[DUT Adj Read]]="N/A",IF(Table1[[#This Row],[Std Adj Read]]&gt;Table1[[#This Row],[Low Tol]],"Pass","Fail"),IF(Table1[[#This Row],[DUT Adj Read]]&gt;Table1[[#This Row],[Low Tol]],"Pass","Fail")))</f>
        <v>Pass</v>
      </c>
      <c r="AE2047" s="1" t="str">
        <f>IF(AND(Table1[[#This Row],[Spec Type2]]="N/A",Table1[[#This Row],[DUT Adj Read]]="N/A",Table1[[#This Row],[Std Adj Read]]="N/A"),"N/A",IF(Table1[[#This Row],[DUT Adj Read]]="N/A",IF(Table1[[#This Row],[Std Adj Read]]&lt;Table1[[#This Row],[High Tol]],"Pass","Fail"),IF(Table1[[#This Row],[DUT Adj Read]]&lt;Table1[[#This Row],[High Tol]],"Pass","Fail")))</f>
        <v>Fail</v>
      </c>
      <c r="AF2047" s="1" t="str">
        <f>IF(AND(Table1[[#This Row],[Spec Type2]]="N/A",Table1[[#This Row],[DUT Adj Read]]="N/A",Table1[[#This Row],[Std Adj Read]]="N/A"),"N/A",IF(Table1[[#This Row],[DUT Adj Read]]="N/A",IF(Table1[[#This Row],[Std Adj Read]]&gt;=Table1[[#This Row],[Low Tol]],"Pass","Fail"),IF(Table1[[#This Row],[DUT Adj Read]]&gt;=Table1[[#This Row],[Low Tol]],"Pass","Fail")))</f>
        <v>Pass</v>
      </c>
      <c r="AG2047" s="1" t="str">
        <f>IF(AND(Table1[[#This Row],[Spec Type2]]="N/A",Table1[[#This Row],[DUT Adj Read]]="N/A",Table1[[#This Row],[Std Adj Read]]="N/A"),"N/A",IF(Table1[[#This Row],[DUT Adj Read]]="N/A",IF(Table1[[#This Row],[Std Adj Read]]&lt;=Table1[[#This Row],[High Tol]],"Pass","Fail"),IF(Table1[[#This Row],[DUT Adj Read]]&lt;=Table1[[#This Row],[High Tol]],"Pass","Fail")))</f>
        <v>Fail</v>
      </c>
      <c r="AH20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7" s="1" t="b">
        <v>0</v>
      </c>
      <c r="AN2047" s="1" t="b">
        <v>0</v>
      </c>
      <c r="AO2047" s="1" t="b">
        <v>0</v>
      </c>
    </row>
    <row r="2048" spans="1:41" x14ac:dyDescent="0.25">
      <c r="A2048" s="10"/>
      <c r="B2048" s="10"/>
      <c r="C2048" s="10"/>
      <c r="D2048" s="10"/>
      <c r="E2048" s="10"/>
      <c r="F2048" s="10"/>
      <c r="G2048" s="10"/>
      <c r="H2048" s="10"/>
      <c r="I2048" s="1" t="str">
        <f t="shared" si="93"/>
        <v/>
      </c>
      <c r="J2048" s="1" t="s">
        <v>35</v>
      </c>
      <c r="K2048" s="1" t="str">
        <f t="shared" si="94"/>
        <v/>
      </c>
      <c r="L2048" s="1" t="str">
        <f t="shared" si="95"/>
        <v/>
      </c>
      <c r="M2048" s="1">
        <f>IF(OR(Table1[[#This Row],[Std Nom]]="",Table1[[#This Row],[Std Read]]=""),0,Table1[[#This Row],[Std Nom]]-Table1[[#This Row],[Std Read]])</f>
        <v>0</v>
      </c>
      <c r="N2048" s="1">
        <f>IF(Calculations!$F$5="ACCREDITED 17025 WITH UNCERTAINTIES",$N$10,0)</f>
        <v>0</v>
      </c>
      <c r="O2048" s="1" t="str">
        <f>IFERROR(Table1[[#This Row],[Std Nom]]-(_xlfn.XLOOKUP(Table1[[#This Row],[Manufacturer]]&amp;" "&amp;Table1[[#This Row],[Model]],Table13[MFR &amp; MDL],Table13[Tolerance % CW ],"")/100*Table1[[#This Row],[Std Nom]]),"")</f>
        <v/>
      </c>
      <c r="P2048" s="1" t="str">
        <f>IFERROR(Table1[[#This Row],[Std Nom]]+(_xlfn.XLOOKUP(Table1[[#This Row],[Manufacturer]]&amp;" "&amp;Table1[[#This Row],[Model]],Table13[MFR &amp; MDL],Table13[Tolerance % CW ],"")/100*Table1[[#This Row],[Std Nom]]),"")</f>
        <v/>
      </c>
      <c r="Q2048" s="1" t="e">
        <f>Table1[[#This Row],[High Tol]]-Table1[[#This Row],[Low Tol]]</f>
        <v>#VALUE!</v>
      </c>
      <c r="R2048" s="1">
        <f>2*Table1[[#This Row],[Std Error]]</f>
        <v>0</v>
      </c>
      <c r="S2048" s="1" t="str">
        <f>IF(Table1[[#This Row],[High Tol]]="","N/A",IFERROR(ABS(Table1[[#This Row],[Tol Span]]/Table1[[#This Row],[Error Span]]),"N/A"))</f>
        <v>N/A</v>
      </c>
      <c r="T2048" s="1" t="str">
        <f>IF(OR(Table1[[#This Row],[Low Tol]]="",Table1[[#This Row],[High Tol]]=""),"Needs Analysis",IF(Table1[[#This Row],[Ratio]]&gt;=4,"Not Significant",IF(Table1[[#This Row],[Ratio]]&gt;=2,"Semi-Significant","Significant")))</f>
        <v>Needs Analysis</v>
      </c>
      <c r="W2048" s="1">
        <f>IF(Table1[[#This Row],[Cal Type]]&lt;&gt;"ACCREDITED 17025 WITH UNCERTAINTIES",0,"")</f>
        <v>0</v>
      </c>
      <c r="X2048" s="1" t="str">
        <f>IF(Table1[[#This Row],[DUT Read]]="","N/A",Table1[[#This Row],[Std Error]]+Table1[[#This Row],[DUT Read]]+Table1[[#This Row],[DUT Ucty]])</f>
        <v>N/A</v>
      </c>
      <c r="Y2048" s="1" t="str">
        <f>IF(Table1[[#This Row],[Std Read]]="","N/A",Table1[[#This Row],[Std Read]]+Table1[[#This Row],[Std Ucty]])</f>
        <v>N/A</v>
      </c>
      <c r="Z20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8" s="1" t="str">
        <f>IF(Table1[[#This Row],[Spec Type]]="","N/A",Table1[[#This Row],[Spec Type]])</f>
        <v>±</v>
      </c>
      <c r="AC2048" s="1" t="str">
        <f>IF(Table1[[#This Row],[Spec Type2]]="N/A","N/A",IF(AND(Table1[[#This Row],[DUT Adj Read]]&gt;=Table1[[#This Row],[Low Tol]],Table1[[#This Row],[DUT Adj Read]]&lt;=Table1[[#This Row],[High Tol]]),"Pass","Fail"))</f>
        <v>Fail</v>
      </c>
      <c r="AD2048" s="1" t="str">
        <f>IF(AND(Table1[[#This Row],[Spec Type2]]="N/A",Table1[[#This Row],[DUT Adj Read]]="N/A",Table1[[#This Row],[Std Adj Read]]="N/A"),"N/A",IF(Table1[[#This Row],[DUT Adj Read]]="N/A",IF(Table1[[#This Row],[Std Adj Read]]&gt;Table1[[#This Row],[Low Tol]],"Pass","Fail"),IF(Table1[[#This Row],[DUT Adj Read]]&gt;Table1[[#This Row],[Low Tol]],"Pass","Fail")))</f>
        <v>Pass</v>
      </c>
      <c r="AE2048" s="1" t="str">
        <f>IF(AND(Table1[[#This Row],[Spec Type2]]="N/A",Table1[[#This Row],[DUT Adj Read]]="N/A",Table1[[#This Row],[Std Adj Read]]="N/A"),"N/A",IF(Table1[[#This Row],[DUT Adj Read]]="N/A",IF(Table1[[#This Row],[Std Adj Read]]&lt;Table1[[#This Row],[High Tol]],"Pass","Fail"),IF(Table1[[#This Row],[DUT Adj Read]]&lt;Table1[[#This Row],[High Tol]],"Pass","Fail")))</f>
        <v>Fail</v>
      </c>
      <c r="AF2048" s="1" t="str">
        <f>IF(AND(Table1[[#This Row],[Spec Type2]]="N/A",Table1[[#This Row],[DUT Adj Read]]="N/A",Table1[[#This Row],[Std Adj Read]]="N/A"),"N/A",IF(Table1[[#This Row],[DUT Adj Read]]="N/A",IF(Table1[[#This Row],[Std Adj Read]]&gt;=Table1[[#This Row],[Low Tol]],"Pass","Fail"),IF(Table1[[#This Row],[DUT Adj Read]]&gt;=Table1[[#This Row],[Low Tol]],"Pass","Fail")))</f>
        <v>Pass</v>
      </c>
      <c r="AG2048" s="1" t="str">
        <f>IF(AND(Table1[[#This Row],[Spec Type2]]="N/A",Table1[[#This Row],[DUT Adj Read]]="N/A",Table1[[#This Row],[Std Adj Read]]="N/A"),"N/A",IF(Table1[[#This Row],[DUT Adj Read]]="N/A",IF(Table1[[#This Row],[Std Adj Read]]&lt;=Table1[[#This Row],[High Tol]],"Pass","Fail"),IF(Table1[[#This Row],[DUT Adj Read]]&lt;=Table1[[#This Row],[High Tol]],"Pass","Fail")))</f>
        <v>Fail</v>
      </c>
      <c r="AH20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8" s="1" t="b">
        <v>0</v>
      </c>
      <c r="AN2048" s="1" t="b">
        <v>0</v>
      </c>
      <c r="AO2048" s="1" t="b">
        <v>0</v>
      </c>
    </row>
    <row r="2049" spans="1:41" x14ac:dyDescent="0.25">
      <c r="A2049" s="10"/>
      <c r="B2049" s="10"/>
      <c r="C2049" s="10"/>
      <c r="D2049" s="10"/>
      <c r="E2049" s="10"/>
      <c r="F2049" s="10"/>
      <c r="G2049" s="10"/>
      <c r="H2049" s="10"/>
      <c r="I2049" s="1" t="str">
        <f t="shared" si="93"/>
        <v/>
      </c>
      <c r="J2049" s="1" t="s">
        <v>35</v>
      </c>
      <c r="K2049" s="1" t="str">
        <f t="shared" si="94"/>
        <v/>
      </c>
      <c r="L2049" s="1" t="str">
        <f t="shared" si="95"/>
        <v/>
      </c>
      <c r="M2049" s="1">
        <f>IF(OR(Table1[[#This Row],[Std Nom]]="",Table1[[#This Row],[Std Read]]=""),0,Table1[[#This Row],[Std Nom]]-Table1[[#This Row],[Std Read]])</f>
        <v>0</v>
      </c>
      <c r="N2049" s="1">
        <f>IF(Calculations!$F$5="ACCREDITED 17025 WITH UNCERTAINTIES",$N$10,0)</f>
        <v>0</v>
      </c>
      <c r="O2049" s="1" t="str">
        <f>IFERROR(Table1[[#This Row],[Std Nom]]-(_xlfn.XLOOKUP(Table1[[#This Row],[Manufacturer]]&amp;" "&amp;Table1[[#This Row],[Model]],Table13[MFR &amp; MDL],Table13[Tolerance % CW ],"")/100*Table1[[#This Row],[Std Nom]]),"")</f>
        <v/>
      </c>
      <c r="P2049" s="1" t="str">
        <f>IFERROR(Table1[[#This Row],[Std Nom]]+(_xlfn.XLOOKUP(Table1[[#This Row],[Manufacturer]]&amp;" "&amp;Table1[[#This Row],[Model]],Table13[MFR &amp; MDL],Table13[Tolerance % CW ],"")/100*Table1[[#This Row],[Std Nom]]),"")</f>
        <v/>
      </c>
      <c r="Q2049" s="1" t="e">
        <f>Table1[[#This Row],[High Tol]]-Table1[[#This Row],[Low Tol]]</f>
        <v>#VALUE!</v>
      </c>
      <c r="R2049" s="1">
        <f>2*Table1[[#This Row],[Std Error]]</f>
        <v>0</v>
      </c>
      <c r="S2049" s="1" t="str">
        <f>IF(Table1[[#This Row],[High Tol]]="","N/A",IFERROR(ABS(Table1[[#This Row],[Tol Span]]/Table1[[#This Row],[Error Span]]),"N/A"))</f>
        <v>N/A</v>
      </c>
      <c r="T2049" s="1" t="str">
        <f>IF(OR(Table1[[#This Row],[Low Tol]]="",Table1[[#This Row],[High Tol]]=""),"Needs Analysis",IF(Table1[[#This Row],[Ratio]]&gt;=4,"Not Significant",IF(Table1[[#This Row],[Ratio]]&gt;=2,"Semi-Significant","Significant")))</f>
        <v>Needs Analysis</v>
      </c>
      <c r="W2049" s="1">
        <f>IF(Table1[[#This Row],[Cal Type]]&lt;&gt;"ACCREDITED 17025 WITH UNCERTAINTIES",0,"")</f>
        <v>0</v>
      </c>
      <c r="X2049" s="1" t="str">
        <f>IF(Table1[[#This Row],[DUT Read]]="","N/A",Table1[[#This Row],[Std Error]]+Table1[[#This Row],[DUT Read]]+Table1[[#This Row],[DUT Ucty]])</f>
        <v>N/A</v>
      </c>
      <c r="Y2049" s="1" t="str">
        <f>IF(Table1[[#This Row],[Std Read]]="","N/A",Table1[[#This Row],[Std Read]]+Table1[[#This Row],[Std Ucty]])</f>
        <v>N/A</v>
      </c>
      <c r="Z20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9" s="1" t="str">
        <f>IF(Table1[[#This Row],[Spec Type]]="","N/A",Table1[[#This Row],[Spec Type]])</f>
        <v>±</v>
      </c>
      <c r="AC2049" s="1" t="str">
        <f>IF(Table1[[#This Row],[Spec Type2]]="N/A","N/A",IF(AND(Table1[[#This Row],[DUT Adj Read]]&gt;=Table1[[#This Row],[Low Tol]],Table1[[#This Row],[DUT Adj Read]]&lt;=Table1[[#This Row],[High Tol]]),"Pass","Fail"))</f>
        <v>Fail</v>
      </c>
      <c r="AD2049" s="1" t="str">
        <f>IF(AND(Table1[[#This Row],[Spec Type2]]="N/A",Table1[[#This Row],[DUT Adj Read]]="N/A",Table1[[#This Row],[Std Adj Read]]="N/A"),"N/A",IF(Table1[[#This Row],[DUT Adj Read]]="N/A",IF(Table1[[#This Row],[Std Adj Read]]&gt;Table1[[#This Row],[Low Tol]],"Pass","Fail"),IF(Table1[[#This Row],[DUT Adj Read]]&gt;Table1[[#This Row],[Low Tol]],"Pass","Fail")))</f>
        <v>Pass</v>
      </c>
      <c r="AE2049" s="1" t="str">
        <f>IF(AND(Table1[[#This Row],[Spec Type2]]="N/A",Table1[[#This Row],[DUT Adj Read]]="N/A",Table1[[#This Row],[Std Adj Read]]="N/A"),"N/A",IF(Table1[[#This Row],[DUT Adj Read]]="N/A",IF(Table1[[#This Row],[Std Adj Read]]&lt;Table1[[#This Row],[High Tol]],"Pass","Fail"),IF(Table1[[#This Row],[DUT Adj Read]]&lt;Table1[[#This Row],[High Tol]],"Pass","Fail")))</f>
        <v>Fail</v>
      </c>
      <c r="AF2049" s="1" t="str">
        <f>IF(AND(Table1[[#This Row],[Spec Type2]]="N/A",Table1[[#This Row],[DUT Adj Read]]="N/A",Table1[[#This Row],[Std Adj Read]]="N/A"),"N/A",IF(Table1[[#This Row],[DUT Adj Read]]="N/A",IF(Table1[[#This Row],[Std Adj Read]]&gt;=Table1[[#This Row],[Low Tol]],"Pass","Fail"),IF(Table1[[#This Row],[DUT Adj Read]]&gt;=Table1[[#This Row],[Low Tol]],"Pass","Fail")))</f>
        <v>Pass</v>
      </c>
      <c r="AG2049" s="1" t="str">
        <f>IF(AND(Table1[[#This Row],[Spec Type2]]="N/A",Table1[[#This Row],[DUT Adj Read]]="N/A",Table1[[#This Row],[Std Adj Read]]="N/A"),"N/A",IF(Table1[[#This Row],[DUT Adj Read]]="N/A",IF(Table1[[#This Row],[Std Adj Read]]&lt;=Table1[[#This Row],[High Tol]],"Pass","Fail"),IF(Table1[[#This Row],[DUT Adj Read]]&lt;=Table1[[#This Row],[High Tol]],"Pass","Fail")))</f>
        <v>Fail</v>
      </c>
      <c r="AH20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9" s="1" t="b">
        <v>0</v>
      </c>
      <c r="AN2049" s="1" t="b">
        <v>0</v>
      </c>
      <c r="AO2049" s="1" t="b">
        <v>0</v>
      </c>
    </row>
    <row r="2050" spans="1:41" x14ac:dyDescent="0.25">
      <c r="A2050" s="10"/>
      <c r="B2050" s="10"/>
      <c r="C2050" s="10"/>
      <c r="D2050" s="10"/>
      <c r="E2050" s="10"/>
      <c r="F2050" s="10"/>
      <c r="G2050" s="10"/>
      <c r="H2050" s="10"/>
      <c r="I2050" s="1" t="str">
        <f t="shared" si="93"/>
        <v/>
      </c>
      <c r="J2050" s="1" t="s">
        <v>35</v>
      </c>
      <c r="K2050" s="1" t="str">
        <f t="shared" si="94"/>
        <v/>
      </c>
      <c r="L2050" s="1" t="str">
        <f t="shared" si="95"/>
        <v/>
      </c>
      <c r="M2050" s="1">
        <f>IF(OR(Table1[[#This Row],[Std Nom]]="",Table1[[#This Row],[Std Read]]=""),0,Table1[[#This Row],[Std Nom]]-Table1[[#This Row],[Std Read]])</f>
        <v>0</v>
      </c>
      <c r="N2050" s="1">
        <f>IF(Calculations!$F$5="ACCREDITED 17025 WITH UNCERTAINTIES",$N$10,0)</f>
        <v>0</v>
      </c>
      <c r="O2050" s="1" t="str">
        <f>IFERROR(Table1[[#This Row],[Std Nom]]-(_xlfn.XLOOKUP(Table1[[#This Row],[Manufacturer]]&amp;" "&amp;Table1[[#This Row],[Model]],Table13[MFR &amp; MDL],Table13[Tolerance % CW ],"")/100*Table1[[#This Row],[Std Nom]]),"")</f>
        <v/>
      </c>
      <c r="P2050" s="1" t="str">
        <f>IFERROR(Table1[[#This Row],[Std Nom]]+(_xlfn.XLOOKUP(Table1[[#This Row],[Manufacturer]]&amp;" "&amp;Table1[[#This Row],[Model]],Table13[MFR &amp; MDL],Table13[Tolerance % CW ],"")/100*Table1[[#This Row],[Std Nom]]),"")</f>
        <v/>
      </c>
      <c r="Q2050" s="1" t="e">
        <f>Table1[[#This Row],[High Tol]]-Table1[[#This Row],[Low Tol]]</f>
        <v>#VALUE!</v>
      </c>
      <c r="R2050" s="1">
        <f>2*Table1[[#This Row],[Std Error]]</f>
        <v>0</v>
      </c>
      <c r="S2050" s="1" t="str">
        <f>IF(Table1[[#This Row],[High Tol]]="","N/A",IFERROR(ABS(Table1[[#This Row],[Tol Span]]/Table1[[#This Row],[Error Span]]),"N/A"))</f>
        <v>N/A</v>
      </c>
      <c r="T2050" s="1" t="str">
        <f>IF(OR(Table1[[#This Row],[Low Tol]]="",Table1[[#This Row],[High Tol]]=""),"Needs Analysis",IF(Table1[[#This Row],[Ratio]]&gt;=4,"Not Significant",IF(Table1[[#This Row],[Ratio]]&gt;=2,"Semi-Significant","Significant")))</f>
        <v>Needs Analysis</v>
      </c>
      <c r="W2050" s="1">
        <f>IF(Table1[[#This Row],[Cal Type]]&lt;&gt;"ACCREDITED 17025 WITH UNCERTAINTIES",0,"")</f>
        <v>0</v>
      </c>
      <c r="X2050" s="1" t="str">
        <f>IF(Table1[[#This Row],[DUT Read]]="","N/A",Table1[[#This Row],[Std Error]]+Table1[[#This Row],[DUT Read]]+Table1[[#This Row],[DUT Ucty]])</f>
        <v>N/A</v>
      </c>
      <c r="Y2050" s="1" t="str">
        <f>IF(Table1[[#This Row],[Std Read]]="","N/A",Table1[[#This Row],[Std Read]]+Table1[[#This Row],[Std Ucty]])</f>
        <v>N/A</v>
      </c>
      <c r="Z20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0" s="1" t="str">
        <f>IF(Table1[[#This Row],[Spec Type]]="","N/A",Table1[[#This Row],[Spec Type]])</f>
        <v>±</v>
      </c>
      <c r="AC2050" s="1" t="str">
        <f>IF(Table1[[#This Row],[Spec Type2]]="N/A","N/A",IF(AND(Table1[[#This Row],[DUT Adj Read]]&gt;=Table1[[#This Row],[Low Tol]],Table1[[#This Row],[DUT Adj Read]]&lt;=Table1[[#This Row],[High Tol]]),"Pass","Fail"))</f>
        <v>Fail</v>
      </c>
      <c r="AD2050" s="1" t="str">
        <f>IF(AND(Table1[[#This Row],[Spec Type2]]="N/A",Table1[[#This Row],[DUT Adj Read]]="N/A",Table1[[#This Row],[Std Adj Read]]="N/A"),"N/A",IF(Table1[[#This Row],[DUT Adj Read]]="N/A",IF(Table1[[#This Row],[Std Adj Read]]&gt;Table1[[#This Row],[Low Tol]],"Pass","Fail"),IF(Table1[[#This Row],[DUT Adj Read]]&gt;Table1[[#This Row],[Low Tol]],"Pass","Fail")))</f>
        <v>Pass</v>
      </c>
      <c r="AE2050" s="1" t="str">
        <f>IF(AND(Table1[[#This Row],[Spec Type2]]="N/A",Table1[[#This Row],[DUT Adj Read]]="N/A",Table1[[#This Row],[Std Adj Read]]="N/A"),"N/A",IF(Table1[[#This Row],[DUT Adj Read]]="N/A",IF(Table1[[#This Row],[Std Adj Read]]&lt;Table1[[#This Row],[High Tol]],"Pass","Fail"),IF(Table1[[#This Row],[DUT Adj Read]]&lt;Table1[[#This Row],[High Tol]],"Pass","Fail")))</f>
        <v>Fail</v>
      </c>
      <c r="AF2050" s="1" t="str">
        <f>IF(AND(Table1[[#This Row],[Spec Type2]]="N/A",Table1[[#This Row],[DUT Adj Read]]="N/A",Table1[[#This Row],[Std Adj Read]]="N/A"),"N/A",IF(Table1[[#This Row],[DUT Adj Read]]="N/A",IF(Table1[[#This Row],[Std Adj Read]]&gt;=Table1[[#This Row],[Low Tol]],"Pass","Fail"),IF(Table1[[#This Row],[DUT Adj Read]]&gt;=Table1[[#This Row],[Low Tol]],"Pass","Fail")))</f>
        <v>Pass</v>
      </c>
      <c r="AG2050" s="1" t="str">
        <f>IF(AND(Table1[[#This Row],[Spec Type2]]="N/A",Table1[[#This Row],[DUT Adj Read]]="N/A",Table1[[#This Row],[Std Adj Read]]="N/A"),"N/A",IF(Table1[[#This Row],[DUT Adj Read]]="N/A",IF(Table1[[#This Row],[Std Adj Read]]&lt;=Table1[[#This Row],[High Tol]],"Pass","Fail"),IF(Table1[[#This Row],[DUT Adj Read]]&lt;=Table1[[#This Row],[High Tol]],"Pass","Fail")))</f>
        <v>Fail</v>
      </c>
      <c r="AH20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0" s="1" t="b">
        <v>0</v>
      </c>
      <c r="AN2050" s="1" t="b">
        <v>0</v>
      </c>
      <c r="AO2050" s="1" t="b">
        <v>0</v>
      </c>
    </row>
    <row r="2051" spans="1:41" x14ac:dyDescent="0.25">
      <c r="A2051" s="10"/>
      <c r="B2051" s="10"/>
      <c r="C2051" s="10"/>
      <c r="D2051" s="10"/>
      <c r="E2051" s="10"/>
      <c r="F2051" s="10"/>
      <c r="G2051" s="10"/>
      <c r="H2051" s="10"/>
      <c r="I2051" s="1" t="str">
        <f t="shared" si="93"/>
        <v/>
      </c>
      <c r="J2051" s="1" t="s">
        <v>35</v>
      </c>
      <c r="K2051" s="1" t="str">
        <f t="shared" si="94"/>
        <v/>
      </c>
      <c r="L2051" s="1" t="str">
        <f t="shared" si="95"/>
        <v/>
      </c>
      <c r="M2051" s="1">
        <f>IF(OR(Table1[[#This Row],[Std Nom]]="",Table1[[#This Row],[Std Read]]=""),0,Table1[[#This Row],[Std Nom]]-Table1[[#This Row],[Std Read]])</f>
        <v>0</v>
      </c>
      <c r="N2051" s="1">
        <f>IF(Calculations!$F$5="ACCREDITED 17025 WITH UNCERTAINTIES",$N$10,0)</f>
        <v>0</v>
      </c>
      <c r="O2051" s="1" t="str">
        <f>IFERROR(Table1[[#This Row],[Std Nom]]-(_xlfn.XLOOKUP(Table1[[#This Row],[Manufacturer]]&amp;" "&amp;Table1[[#This Row],[Model]],Table13[MFR &amp; MDL],Table13[Tolerance % CW ],"")/100*Table1[[#This Row],[Std Nom]]),"")</f>
        <v/>
      </c>
      <c r="P2051" s="1" t="str">
        <f>IFERROR(Table1[[#This Row],[Std Nom]]+(_xlfn.XLOOKUP(Table1[[#This Row],[Manufacturer]]&amp;" "&amp;Table1[[#This Row],[Model]],Table13[MFR &amp; MDL],Table13[Tolerance % CW ],"")/100*Table1[[#This Row],[Std Nom]]),"")</f>
        <v/>
      </c>
      <c r="Q2051" s="1" t="e">
        <f>Table1[[#This Row],[High Tol]]-Table1[[#This Row],[Low Tol]]</f>
        <v>#VALUE!</v>
      </c>
      <c r="R2051" s="1">
        <f>2*Table1[[#This Row],[Std Error]]</f>
        <v>0</v>
      </c>
      <c r="S2051" s="1" t="str">
        <f>IF(Table1[[#This Row],[High Tol]]="","N/A",IFERROR(ABS(Table1[[#This Row],[Tol Span]]/Table1[[#This Row],[Error Span]]),"N/A"))</f>
        <v>N/A</v>
      </c>
      <c r="T2051" s="1" t="str">
        <f>IF(OR(Table1[[#This Row],[Low Tol]]="",Table1[[#This Row],[High Tol]]=""),"Needs Analysis",IF(Table1[[#This Row],[Ratio]]&gt;=4,"Not Significant",IF(Table1[[#This Row],[Ratio]]&gt;=2,"Semi-Significant","Significant")))</f>
        <v>Needs Analysis</v>
      </c>
      <c r="W2051" s="1">
        <f>IF(Table1[[#This Row],[Cal Type]]&lt;&gt;"ACCREDITED 17025 WITH UNCERTAINTIES",0,"")</f>
        <v>0</v>
      </c>
      <c r="X2051" s="1" t="str">
        <f>IF(Table1[[#This Row],[DUT Read]]="","N/A",Table1[[#This Row],[Std Error]]+Table1[[#This Row],[DUT Read]]+Table1[[#This Row],[DUT Ucty]])</f>
        <v>N/A</v>
      </c>
      <c r="Y2051" s="1" t="str">
        <f>IF(Table1[[#This Row],[Std Read]]="","N/A",Table1[[#This Row],[Std Read]]+Table1[[#This Row],[Std Ucty]])</f>
        <v>N/A</v>
      </c>
      <c r="Z20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1" s="1" t="str">
        <f>IF(Table1[[#This Row],[Spec Type]]="","N/A",Table1[[#This Row],[Spec Type]])</f>
        <v>±</v>
      </c>
      <c r="AC2051" s="1" t="str">
        <f>IF(Table1[[#This Row],[Spec Type2]]="N/A","N/A",IF(AND(Table1[[#This Row],[DUT Adj Read]]&gt;=Table1[[#This Row],[Low Tol]],Table1[[#This Row],[DUT Adj Read]]&lt;=Table1[[#This Row],[High Tol]]),"Pass","Fail"))</f>
        <v>Fail</v>
      </c>
      <c r="AD2051" s="1" t="str">
        <f>IF(AND(Table1[[#This Row],[Spec Type2]]="N/A",Table1[[#This Row],[DUT Adj Read]]="N/A",Table1[[#This Row],[Std Adj Read]]="N/A"),"N/A",IF(Table1[[#This Row],[DUT Adj Read]]="N/A",IF(Table1[[#This Row],[Std Adj Read]]&gt;Table1[[#This Row],[Low Tol]],"Pass","Fail"),IF(Table1[[#This Row],[DUT Adj Read]]&gt;Table1[[#This Row],[Low Tol]],"Pass","Fail")))</f>
        <v>Pass</v>
      </c>
      <c r="AE2051" s="1" t="str">
        <f>IF(AND(Table1[[#This Row],[Spec Type2]]="N/A",Table1[[#This Row],[DUT Adj Read]]="N/A",Table1[[#This Row],[Std Adj Read]]="N/A"),"N/A",IF(Table1[[#This Row],[DUT Adj Read]]="N/A",IF(Table1[[#This Row],[Std Adj Read]]&lt;Table1[[#This Row],[High Tol]],"Pass","Fail"),IF(Table1[[#This Row],[DUT Adj Read]]&lt;Table1[[#This Row],[High Tol]],"Pass","Fail")))</f>
        <v>Fail</v>
      </c>
      <c r="AF2051" s="1" t="str">
        <f>IF(AND(Table1[[#This Row],[Spec Type2]]="N/A",Table1[[#This Row],[DUT Adj Read]]="N/A",Table1[[#This Row],[Std Adj Read]]="N/A"),"N/A",IF(Table1[[#This Row],[DUT Adj Read]]="N/A",IF(Table1[[#This Row],[Std Adj Read]]&gt;=Table1[[#This Row],[Low Tol]],"Pass","Fail"),IF(Table1[[#This Row],[DUT Adj Read]]&gt;=Table1[[#This Row],[Low Tol]],"Pass","Fail")))</f>
        <v>Pass</v>
      </c>
      <c r="AG2051" s="1" t="str">
        <f>IF(AND(Table1[[#This Row],[Spec Type2]]="N/A",Table1[[#This Row],[DUT Adj Read]]="N/A",Table1[[#This Row],[Std Adj Read]]="N/A"),"N/A",IF(Table1[[#This Row],[DUT Adj Read]]="N/A",IF(Table1[[#This Row],[Std Adj Read]]&lt;=Table1[[#This Row],[High Tol]],"Pass","Fail"),IF(Table1[[#This Row],[DUT Adj Read]]&lt;=Table1[[#This Row],[High Tol]],"Pass","Fail")))</f>
        <v>Fail</v>
      </c>
      <c r="AH20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1" s="1" t="b">
        <v>0</v>
      </c>
      <c r="AN2051" s="1" t="b">
        <v>0</v>
      </c>
      <c r="AO2051" s="1" t="b">
        <v>0</v>
      </c>
    </row>
    <row r="2052" spans="1:41" x14ac:dyDescent="0.25">
      <c r="A2052" s="10"/>
      <c r="B2052" s="10"/>
      <c r="C2052" s="10"/>
      <c r="D2052" s="10"/>
      <c r="E2052" s="10"/>
      <c r="F2052" s="10"/>
      <c r="G2052" s="10"/>
      <c r="H2052" s="10"/>
      <c r="I2052" s="1" t="str">
        <f t="shared" si="93"/>
        <v/>
      </c>
      <c r="J2052" s="1" t="s">
        <v>35</v>
      </c>
      <c r="K2052" s="1" t="str">
        <f t="shared" si="94"/>
        <v/>
      </c>
      <c r="L2052" s="1" t="str">
        <f t="shared" si="95"/>
        <v/>
      </c>
      <c r="M2052" s="1">
        <f>IF(OR(Table1[[#This Row],[Std Nom]]="",Table1[[#This Row],[Std Read]]=""),0,Table1[[#This Row],[Std Nom]]-Table1[[#This Row],[Std Read]])</f>
        <v>0</v>
      </c>
      <c r="N2052" s="1">
        <f>IF(Calculations!$F$5="ACCREDITED 17025 WITH UNCERTAINTIES",$N$10,0)</f>
        <v>0</v>
      </c>
      <c r="O2052" s="1" t="str">
        <f>IFERROR(Table1[[#This Row],[Std Nom]]-(_xlfn.XLOOKUP(Table1[[#This Row],[Manufacturer]]&amp;" "&amp;Table1[[#This Row],[Model]],Table13[MFR &amp; MDL],Table13[Tolerance % CW ],"")/100*Table1[[#This Row],[Std Nom]]),"")</f>
        <v/>
      </c>
      <c r="P2052" s="1" t="str">
        <f>IFERROR(Table1[[#This Row],[Std Nom]]+(_xlfn.XLOOKUP(Table1[[#This Row],[Manufacturer]]&amp;" "&amp;Table1[[#This Row],[Model]],Table13[MFR &amp; MDL],Table13[Tolerance % CW ],"")/100*Table1[[#This Row],[Std Nom]]),"")</f>
        <v/>
      </c>
      <c r="Q2052" s="1" t="e">
        <f>Table1[[#This Row],[High Tol]]-Table1[[#This Row],[Low Tol]]</f>
        <v>#VALUE!</v>
      </c>
      <c r="R2052" s="1">
        <f>2*Table1[[#This Row],[Std Error]]</f>
        <v>0</v>
      </c>
      <c r="S2052" s="1" t="str">
        <f>IF(Table1[[#This Row],[High Tol]]="","N/A",IFERROR(ABS(Table1[[#This Row],[Tol Span]]/Table1[[#This Row],[Error Span]]),"N/A"))</f>
        <v>N/A</v>
      </c>
      <c r="T2052" s="1" t="str">
        <f>IF(OR(Table1[[#This Row],[Low Tol]]="",Table1[[#This Row],[High Tol]]=""),"Needs Analysis",IF(Table1[[#This Row],[Ratio]]&gt;=4,"Not Significant",IF(Table1[[#This Row],[Ratio]]&gt;=2,"Semi-Significant","Significant")))</f>
        <v>Needs Analysis</v>
      </c>
      <c r="W2052" s="1">
        <f>IF(Table1[[#This Row],[Cal Type]]&lt;&gt;"ACCREDITED 17025 WITH UNCERTAINTIES",0,"")</f>
        <v>0</v>
      </c>
      <c r="X2052" s="1" t="str">
        <f>IF(Table1[[#This Row],[DUT Read]]="","N/A",Table1[[#This Row],[Std Error]]+Table1[[#This Row],[DUT Read]]+Table1[[#This Row],[DUT Ucty]])</f>
        <v>N/A</v>
      </c>
      <c r="Y2052" s="1" t="str">
        <f>IF(Table1[[#This Row],[Std Read]]="","N/A",Table1[[#This Row],[Std Read]]+Table1[[#This Row],[Std Ucty]])</f>
        <v>N/A</v>
      </c>
      <c r="Z20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2" s="1" t="str">
        <f>IF(Table1[[#This Row],[Spec Type]]="","N/A",Table1[[#This Row],[Spec Type]])</f>
        <v>±</v>
      </c>
      <c r="AC2052" s="1" t="str">
        <f>IF(Table1[[#This Row],[Spec Type2]]="N/A","N/A",IF(AND(Table1[[#This Row],[DUT Adj Read]]&gt;=Table1[[#This Row],[Low Tol]],Table1[[#This Row],[DUT Adj Read]]&lt;=Table1[[#This Row],[High Tol]]),"Pass","Fail"))</f>
        <v>Fail</v>
      </c>
      <c r="AD2052" s="1" t="str">
        <f>IF(AND(Table1[[#This Row],[Spec Type2]]="N/A",Table1[[#This Row],[DUT Adj Read]]="N/A",Table1[[#This Row],[Std Adj Read]]="N/A"),"N/A",IF(Table1[[#This Row],[DUT Adj Read]]="N/A",IF(Table1[[#This Row],[Std Adj Read]]&gt;Table1[[#This Row],[Low Tol]],"Pass","Fail"),IF(Table1[[#This Row],[DUT Adj Read]]&gt;Table1[[#This Row],[Low Tol]],"Pass","Fail")))</f>
        <v>Pass</v>
      </c>
      <c r="AE2052" s="1" t="str">
        <f>IF(AND(Table1[[#This Row],[Spec Type2]]="N/A",Table1[[#This Row],[DUT Adj Read]]="N/A",Table1[[#This Row],[Std Adj Read]]="N/A"),"N/A",IF(Table1[[#This Row],[DUT Adj Read]]="N/A",IF(Table1[[#This Row],[Std Adj Read]]&lt;Table1[[#This Row],[High Tol]],"Pass","Fail"),IF(Table1[[#This Row],[DUT Adj Read]]&lt;Table1[[#This Row],[High Tol]],"Pass","Fail")))</f>
        <v>Fail</v>
      </c>
      <c r="AF2052" s="1" t="str">
        <f>IF(AND(Table1[[#This Row],[Spec Type2]]="N/A",Table1[[#This Row],[DUT Adj Read]]="N/A",Table1[[#This Row],[Std Adj Read]]="N/A"),"N/A",IF(Table1[[#This Row],[DUT Adj Read]]="N/A",IF(Table1[[#This Row],[Std Adj Read]]&gt;=Table1[[#This Row],[Low Tol]],"Pass","Fail"),IF(Table1[[#This Row],[DUT Adj Read]]&gt;=Table1[[#This Row],[Low Tol]],"Pass","Fail")))</f>
        <v>Pass</v>
      </c>
      <c r="AG2052" s="1" t="str">
        <f>IF(AND(Table1[[#This Row],[Spec Type2]]="N/A",Table1[[#This Row],[DUT Adj Read]]="N/A",Table1[[#This Row],[Std Adj Read]]="N/A"),"N/A",IF(Table1[[#This Row],[DUT Adj Read]]="N/A",IF(Table1[[#This Row],[Std Adj Read]]&lt;=Table1[[#This Row],[High Tol]],"Pass","Fail"),IF(Table1[[#This Row],[DUT Adj Read]]&lt;=Table1[[#This Row],[High Tol]],"Pass","Fail")))</f>
        <v>Fail</v>
      </c>
      <c r="AH20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2" s="1" t="b">
        <v>0</v>
      </c>
      <c r="AN2052" s="1" t="b">
        <v>0</v>
      </c>
      <c r="AO2052" s="1" t="b">
        <v>0</v>
      </c>
    </row>
    <row r="2053" spans="1:41" x14ac:dyDescent="0.25">
      <c r="A2053" s="10"/>
      <c r="B2053" s="10"/>
      <c r="C2053" s="10"/>
      <c r="D2053" s="10"/>
      <c r="E2053" s="10"/>
      <c r="F2053" s="10"/>
      <c r="G2053" s="10"/>
      <c r="H2053" s="10"/>
      <c r="I2053" s="1" t="str">
        <f t="shared" si="93"/>
        <v/>
      </c>
      <c r="J2053" s="1" t="s">
        <v>35</v>
      </c>
      <c r="K2053" s="1" t="str">
        <f t="shared" si="94"/>
        <v/>
      </c>
      <c r="L2053" s="1" t="str">
        <f t="shared" si="95"/>
        <v/>
      </c>
      <c r="M2053" s="1">
        <f>IF(OR(Table1[[#This Row],[Std Nom]]="",Table1[[#This Row],[Std Read]]=""),0,Table1[[#This Row],[Std Nom]]-Table1[[#This Row],[Std Read]])</f>
        <v>0</v>
      </c>
      <c r="N2053" s="1">
        <f>IF(Calculations!$F$5="ACCREDITED 17025 WITH UNCERTAINTIES",$N$10,0)</f>
        <v>0</v>
      </c>
      <c r="O2053" s="1" t="str">
        <f>IFERROR(Table1[[#This Row],[Std Nom]]-(_xlfn.XLOOKUP(Table1[[#This Row],[Manufacturer]]&amp;" "&amp;Table1[[#This Row],[Model]],Table13[MFR &amp; MDL],Table13[Tolerance % CW ],"")/100*Table1[[#This Row],[Std Nom]]),"")</f>
        <v/>
      </c>
      <c r="P2053" s="1" t="str">
        <f>IFERROR(Table1[[#This Row],[Std Nom]]+(_xlfn.XLOOKUP(Table1[[#This Row],[Manufacturer]]&amp;" "&amp;Table1[[#This Row],[Model]],Table13[MFR &amp; MDL],Table13[Tolerance % CW ],"")/100*Table1[[#This Row],[Std Nom]]),"")</f>
        <v/>
      </c>
      <c r="Q2053" s="1" t="e">
        <f>Table1[[#This Row],[High Tol]]-Table1[[#This Row],[Low Tol]]</f>
        <v>#VALUE!</v>
      </c>
      <c r="R2053" s="1">
        <f>2*Table1[[#This Row],[Std Error]]</f>
        <v>0</v>
      </c>
      <c r="S2053" s="1" t="str">
        <f>IF(Table1[[#This Row],[High Tol]]="","N/A",IFERROR(ABS(Table1[[#This Row],[Tol Span]]/Table1[[#This Row],[Error Span]]),"N/A"))</f>
        <v>N/A</v>
      </c>
      <c r="T2053" s="1" t="str">
        <f>IF(OR(Table1[[#This Row],[Low Tol]]="",Table1[[#This Row],[High Tol]]=""),"Needs Analysis",IF(Table1[[#This Row],[Ratio]]&gt;=4,"Not Significant",IF(Table1[[#This Row],[Ratio]]&gt;=2,"Semi-Significant","Significant")))</f>
        <v>Needs Analysis</v>
      </c>
      <c r="W2053" s="1">
        <f>IF(Table1[[#This Row],[Cal Type]]&lt;&gt;"ACCREDITED 17025 WITH UNCERTAINTIES",0,"")</f>
        <v>0</v>
      </c>
      <c r="X2053" s="1" t="str">
        <f>IF(Table1[[#This Row],[DUT Read]]="","N/A",Table1[[#This Row],[Std Error]]+Table1[[#This Row],[DUT Read]]+Table1[[#This Row],[DUT Ucty]])</f>
        <v>N/A</v>
      </c>
      <c r="Y2053" s="1" t="str">
        <f>IF(Table1[[#This Row],[Std Read]]="","N/A",Table1[[#This Row],[Std Read]]+Table1[[#This Row],[Std Ucty]])</f>
        <v>N/A</v>
      </c>
      <c r="Z20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3" s="1" t="str">
        <f>IF(Table1[[#This Row],[Spec Type]]="","N/A",Table1[[#This Row],[Spec Type]])</f>
        <v>±</v>
      </c>
      <c r="AC2053" s="1" t="str">
        <f>IF(Table1[[#This Row],[Spec Type2]]="N/A","N/A",IF(AND(Table1[[#This Row],[DUT Adj Read]]&gt;=Table1[[#This Row],[Low Tol]],Table1[[#This Row],[DUT Adj Read]]&lt;=Table1[[#This Row],[High Tol]]),"Pass","Fail"))</f>
        <v>Fail</v>
      </c>
      <c r="AD2053" s="1" t="str">
        <f>IF(AND(Table1[[#This Row],[Spec Type2]]="N/A",Table1[[#This Row],[DUT Adj Read]]="N/A",Table1[[#This Row],[Std Adj Read]]="N/A"),"N/A",IF(Table1[[#This Row],[DUT Adj Read]]="N/A",IF(Table1[[#This Row],[Std Adj Read]]&gt;Table1[[#This Row],[Low Tol]],"Pass","Fail"),IF(Table1[[#This Row],[DUT Adj Read]]&gt;Table1[[#This Row],[Low Tol]],"Pass","Fail")))</f>
        <v>Pass</v>
      </c>
      <c r="AE2053" s="1" t="str">
        <f>IF(AND(Table1[[#This Row],[Spec Type2]]="N/A",Table1[[#This Row],[DUT Adj Read]]="N/A",Table1[[#This Row],[Std Adj Read]]="N/A"),"N/A",IF(Table1[[#This Row],[DUT Adj Read]]="N/A",IF(Table1[[#This Row],[Std Adj Read]]&lt;Table1[[#This Row],[High Tol]],"Pass","Fail"),IF(Table1[[#This Row],[DUT Adj Read]]&lt;Table1[[#This Row],[High Tol]],"Pass","Fail")))</f>
        <v>Fail</v>
      </c>
      <c r="AF2053" s="1" t="str">
        <f>IF(AND(Table1[[#This Row],[Spec Type2]]="N/A",Table1[[#This Row],[DUT Adj Read]]="N/A",Table1[[#This Row],[Std Adj Read]]="N/A"),"N/A",IF(Table1[[#This Row],[DUT Adj Read]]="N/A",IF(Table1[[#This Row],[Std Adj Read]]&gt;=Table1[[#This Row],[Low Tol]],"Pass","Fail"),IF(Table1[[#This Row],[DUT Adj Read]]&gt;=Table1[[#This Row],[Low Tol]],"Pass","Fail")))</f>
        <v>Pass</v>
      </c>
      <c r="AG2053" s="1" t="str">
        <f>IF(AND(Table1[[#This Row],[Spec Type2]]="N/A",Table1[[#This Row],[DUT Adj Read]]="N/A",Table1[[#This Row],[Std Adj Read]]="N/A"),"N/A",IF(Table1[[#This Row],[DUT Adj Read]]="N/A",IF(Table1[[#This Row],[Std Adj Read]]&lt;=Table1[[#This Row],[High Tol]],"Pass","Fail"),IF(Table1[[#This Row],[DUT Adj Read]]&lt;=Table1[[#This Row],[High Tol]],"Pass","Fail")))</f>
        <v>Fail</v>
      </c>
      <c r="AH20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3" s="1" t="b">
        <v>0</v>
      </c>
      <c r="AN2053" s="1" t="b">
        <v>0</v>
      </c>
      <c r="AO2053" s="1" t="b">
        <v>0</v>
      </c>
    </row>
    <row r="2054" spans="1:41" x14ac:dyDescent="0.25">
      <c r="A2054" s="10"/>
      <c r="B2054" s="10"/>
      <c r="C2054" s="10"/>
      <c r="D2054" s="10"/>
      <c r="E2054" s="10"/>
      <c r="F2054" s="10"/>
      <c r="G2054" s="10"/>
      <c r="H2054" s="10"/>
      <c r="I2054" s="1" t="str">
        <f t="shared" si="93"/>
        <v/>
      </c>
      <c r="J2054" s="1" t="s">
        <v>35</v>
      </c>
      <c r="K2054" s="1" t="str">
        <f t="shared" si="94"/>
        <v/>
      </c>
      <c r="L2054" s="1" t="str">
        <f t="shared" si="95"/>
        <v/>
      </c>
      <c r="M2054" s="1">
        <f>IF(OR(Table1[[#This Row],[Std Nom]]="",Table1[[#This Row],[Std Read]]=""),0,Table1[[#This Row],[Std Nom]]-Table1[[#This Row],[Std Read]])</f>
        <v>0</v>
      </c>
      <c r="N2054" s="1">
        <f>IF(Calculations!$F$5="ACCREDITED 17025 WITH UNCERTAINTIES",$N$10,0)</f>
        <v>0</v>
      </c>
      <c r="O2054" s="1" t="str">
        <f>IFERROR(Table1[[#This Row],[Std Nom]]-(_xlfn.XLOOKUP(Table1[[#This Row],[Manufacturer]]&amp;" "&amp;Table1[[#This Row],[Model]],Table13[MFR &amp; MDL],Table13[Tolerance % CW ],"")/100*Table1[[#This Row],[Std Nom]]),"")</f>
        <v/>
      </c>
      <c r="P2054" s="1" t="str">
        <f>IFERROR(Table1[[#This Row],[Std Nom]]+(_xlfn.XLOOKUP(Table1[[#This Row],[Manufacturer]]&amp;" "&amp;Table1[[#This Row],[Model]],Table13[MFR &amp; MDL],Table13[Tolerance % CW ],"")/100*Table1[[#This Row],[Std Nom]]),"")</f>
        <v/>
      </c>
      <c r="Q2054" s="1" t="e">
        <f>Table1[[#This Row],[High Tol]]-Table1[[#This Row],[Low Tol]]</f>
        <v>#VALUE!</v>
      </c>
      <c r="R2054" s="1">
        <f>2*Table1[[#This Row],[Std Error]]</f>
        <v>0</v>
      </c>
      <c r="S2054" s="1" t="str">
        <f>IF(Table1[[#This Row],[High Tol]]="","N/A",IFERROR(ABS(Table1[[#This Row],[Tol Span]]/Table1[[#This Row],[Error Span]]),"N/A"))</f>
        <v>N/A</v>
      </c>
      <c r="T2054" s="1" t="str">
        <f>IF(OR(Table1[[#This Row],[Low Tol]]="",Table1[[#This Row],[High Tol]]=""),"Needs Analysis",IF(Table1[[#This Row],[Ratio]]&gt;=4,"Not Significant",IF(Table1[[#This Row],[Ratio]]&gt;=2,"Semi-Significant","Significant")))</f>
        <v>Needs Analysis</v>
      </c>
      <c r="W2054" s="1">
        <f>IF(Table1[[#This Row],[Cal Type]]&lt;&gt;"ACCREDITED 17025 WITH UNCERTAINTIES",0,"")</f>
        <v>0</v>
      </c>
      <c r="X2054" s="1" t="str">
        <f>IF(Table1[[#This Row],[DUT Read]]="","N/A",Table1[[#This Row],[Std Error]]+Table1[[#This Row],[DUT Read]]+Table1[[#This Row],[DUT Ucty]])</f>
        <v>N/A</v>
      </c>
      <c r="Y2054" s="1" t="str">
        <f>IF(Table1[[#This Row],[Std Read]]="","N/A",Table1[[#This Row],[Std Read]]+Table1[[#This Row],[Std Ucty]])</f>
        <v>N/A</v>
      </c>
      <c r="Z20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4" s="1" t="str">
        <f>IF(Table1[[#This Row],[Spec Type]]="","N/A",Table1[[#This Row],[Spec Type]])</f>
        <v>±</v>
      </c>
      <c r="AC2054" s="1" t="str">
        <f>IF(Table1[[#This Row],[Spec Type2]]="N/A","N/A",IF(AND(Table1[[#This Row],[DUT Adj Read]]&gt;=Table1[[#This Row],[Low Tol]],Table1[[#This Row],[DUT Adj Read]]&lt;=Table1[[#This Row],[High Tol]]),"Pass","Fail"))</f>
        <v>Fail</v>
      </c>
      <c r="AD2054" s="1" t="str">
        <f>IF(AND(Table1[[#This Row],[Spec Type2]]="N/A",Table1[[#This Row],[DUT Adj Read]]="N/A",Table1[[#This Row],[Std Adj Read]]="N/A"),"N/A",IF(Table1[[#This Row],[DUT Adj Read]]="N/A",IF(Table1[[#This Row],[Std Adj Read]]&gt;Table1[[#This Row],[Low Tol]],"Pass","Fail"),IF(Table1[[#This Row],[DUT Adj Read]]&gt;Table1[[#This Row],[Low Tol]],"Pass","Fail")))</f>
        <v>Pass</v>
      </c>
      <c r="AE2054" s="1" t="str">
        <f>IF(AND(Table1[[#This Row],[Spec Type2]]="N/A",Table1[[#This Row],[DUT Adj Read]]="N/A",Table1[[#This Row],[Std Adj Read]]="N/A"),"N/A",IF(Table1[[#This Row],[DUT Adj Read]]="N/A",IF(Table1[[#This Row],[Std Adj Read]]&lt;Table1[[#This Row],[High Tol]],"Pass","Fail"),IF(Table1[[#This Row],[DUT Adj Read]]&lt;Table1[[#This Row],[High Tol]],"Pass","Fail")))</f>
        <v>Fail</v>
      </c>
      <c r="AF2054" s="1" t="str">
        <f>IF(AND(Table1[[#This Row],[Spec Type2]]="N/A",Table1[[#This Row],[DUT Adj Read]]="N/A",Table1[[#This Row],[Std Adj Read]]="N/A"),"N/A",IF(Table1[[#This Row],[DUT Adj Read]]="N/A",IF(Table1[[#This Row],[Std Adj Read]]&gt;=Table1[[#This Row],[Low Tol]],"Pass","Fail"),IF(Table1[[#This Row],[DUT Adj Read]]&gt;=Table1[[#This Row],[Low Tol]],"Pass","Fail")))</f>
        <v>Pass</v>
      </c>
      <c r="AG2054" s="1" t="str">
        <f>IF(AND(Table1[[#This Row],[Spec Type2]]="N/A",Table1[[#This Row],[DUT Adj Read]]="N/A",Table1[[#This Row],[Std Adj Read]]="N/A"),"N/A",IF(Table1[[#This Row],[DUT Adj Read]]="N/A",IF(Table1[[#This Row],[Std Adj Read]]&lt;=Table1[[#This Row],[High Tol]],"Pass","Fail"),IF(Table1[[#This Row],[DUT Adj Read]]&lt;=Table1[[#This Row],[High Tol]],"Pass","Fail")))</f>
        <v>Fail</v>
      </c>
      <c r="AH20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4" s="1" t="b">
        <v>0</v>
      </c>
      <c r="AN2054" s="1" t="b">
        <v>0</v>
      </c>
      <c r="AO2054" s="1" t="b">
        <v>0</v>
      </c>
    </row>
    <row r="2055" spans="1:41" x14ac:dyDescent="0.25">
      <c r="A2055" s="10"/>
      <c r="B2055" s="10"/>
      <c r="C2055" s="10"/>
      <c r="D2055" s="10"/>
      <c r="E2055" s="10"/>
      <c r="F2055" s="10"/>
      <c r="G2055" s="10"/>
      <c r="H2055" s="10"/>
      <c r="I2055" s="1" t="str">
        <f t="shared" si="93"/>
        <v/>
      </c>
      <c r="J2055" s="1" t="s">
        <v>35</v>
      </c>
      <c r="K2055" s="1" t="str">
        <f t="shared" si="94"/>
        <v/>
      </c>
      <c r="L2055" s="1" t="str">
        <f t="shared" si="95"/>
        <v/>
      </c>
      <c r="M2055" s="1">
        <f>IF(OR(Table1[[#This Row],[Std Nom]]="",Table1[[#This Row],[Std Read]]=""),0,Table1[[#This Row],[Std Nom]]-Table1[[#This Row],[Std Read]])</f>
        <v>0</v>
      </c>
      <c r="N2055" s="1">
        <f>IF(Calculations!$F$5="ACCREDITED 17025 WITH UNCERTAINTIES",$N$10,0)</f>
        <v>0</v>
      </c>
      <c r="O2055" s="1" t="str">
        <f>IFERROR(Table1[[#This Row],[Std Nom]]-(_xlfn.XLOOKUP(Table1[[#This Row],[Manufacturer]]&amp;" "&amp;Table1[[#This Row],[Model]],Table13[MFR &amp; MDL],Table13[Tolerance % CW ],"")/100*Table1[[#This Row],[Std Nom]]),"")</f>
        <v/>
      </c>
      <c r="P2055" s="1" t="str">
        <f>IFERROR(Table1[[#This Row],[Std Nom]]+(_xlfn.XLOOKUP(Table1[[#This Row],[Manufacturer]]&amp;" "&amp;Table1[[#This Row],[Model]],Table13[MFR &amp; MDL],Table13[Tolerance % CW ],"")/100*Table1[[#This Row],[Std Nom]]),"")</f>
        <v/>
      </c>
      <c r="Q2055" s="1" t="e">
        <f>Table1[[#This Row],[High Tol]]-Table1[[#This Row],[Low Tol]]</f>
        <v>#VALUE!</v>
      </c>
      <c r="R2055" s="1">
        <f>2*Table1[[#This Row],[Std Error]]</f>
        <v>0</v>
      </c>
      <c r="S2055" s="1" t="str">
        <f>IF(Table1[[#This Row],[High Tol]]="","N/A",IFERROR(ABS(Table1[[#This Row],[Tol Span]]/Table1[[#This Row],[Error Span]]),"N/A"))</f>
        <v>N/A</v>
      </c>
      <c r="T2055" s="1" t="str">
        <f>IF(OR(Table1[[#This Row],[Low Tol]]="",Table1[[#This Row],[High Tol]]=""),"Needs Analysis",IF(Table1[[#This Row],[Ratio]]&gt;=4,"Not Significant",IF(Table1[[#This Row],[Ratio]]&gt;=2,"Semi-Significant","Significant")))</f>
        <v>Needs Analysis</v>
      </c>
      <c r="W2055" s="1">
        <f>IF(Table1[[#This Row],[Cal Type]]&lt;&gt;"ACCREDITED 17025 WITH UNCERTAINTIES",0,"")</f>
        <v>0</v>
      </c>
      <c r="X2055" s="1" t="str">
        <f>IF(Table1[[#This Row],[DUT Read]]="","N/A",Table1[[#This Row],[Std Error]]+Table1[[#This Row],[DUT Read]]+Table1[[#This Row],[DUT Ucty]])</f>
        <v>N/A</v>
      </c>
      <c r="Y2055" s="1" t="str">
        <f>IF(Table1[[#This Row],[Std Read]]="","N/A",Table1[[#This Row],[Std Read]]+Table1[[#This Row],[Std Ucty]])</f>
        <v>N/A</v>
      </c>
      <c r="Z20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5" s="1" t="str">
        <f>IF(Table1[[#This Row],[Spec Type]]="","N/A",Table1[[#This Row],[Spec Type]])</f>
        <v>±</v>
      </c>
      <c r="AC2055" s="1" t="str">
        <f>IF(Table1[[#This Row],[Spec Type2]]="N/A","N/A",IF(AND(Table1[[#This Row],[DUT Adj Read]]&gt;=Table1[[#This Row],[Low Tol]],Table1[[#This Row],[DUT Adj Read]]&lt;=Table1[[#This Row],[High Tol]]),"Pass","Fail"))</f>
        <v>Fail</v>
      </c>
      <c r="AD2055" s="1" t="str">
        <f>IF(AND(Table1[[#This Row],[Spec Type2]]="N/A",Table1[[#This Row],[DUT Adj Read]]="N/A",Table1[[#This Row],[Std Adj Read]]="N/A"),"N/A",IF(Table1[[#This Row],[DUT Adj Read]]="N/A",IF(Table1[[#This Row],[Std Adj Read]]&gt;Table1[[#This Row],[Low Tol]],"Pass","Fail"),IF(Table1[[#This Row],[DUT Adj Read]]&gt;Table1[[#This Row],[Low Tol]],"Pass","Fail")))</f>
        <v>Pass</v>
      </c>
      <c r="AE2055" s="1" t="str">
        <f>IF(AND(Table1[[#This Row],[Spec Type2]]="N/A",Table1[[#This Row],[DUT Adj Read]]="N/A",Table1[[#This Row],[Std Adj Read]]="N/A"),"N/A",IF(Table1[[#This Row],[DUT Adj Read]]="N/A",IF(Table1[[#This Row],[Std Adj Read]]&lt;Table1[[#This Row],[High Tol]],"Pass","Fail"),IF(Table1[[#This Row],[DUT Adj Read]]&lt;Table1[[#This Row],[High Tol]],"Pass","Fail")))</f>
        <v>Fail</v>
      </c>
      <c r="AF2055" s="1" t="str">
        <f>IF(AND(Table1[[#This Row],[Spec Type2]]="N/A",Table1[[#This Row],[DUT Adj Read]]="N/A",Table1[[#This Row],[Std Adj Read]]="N/A"),"N/A",IF(Table1[[#This Row],[DUT Adj Read]]="N/A",IF(Table1[[#This Row],[Std Adj Read]]&gt;=Table1[[#This Row],[Low Tol]],"Pass","Fail"),IF(Table1[[#This Row],[DUT Adj Read]]&gt;=Table1[[#This Row],[Low Tol]],"Pass","Fail")))</f>
        <v>Pass</v>
      </c>
      <c r="AG2055" s="1" t="str">
        <f>IF(AND(Table1[[#This Row],[Spec Type2]]="N/A",Table1[[#This Row],[DUT Adj Read]]="N/A",Table1[[#This Row],[Std Adj Read]]="N/A"),"N/A",IF(Table1[[#This Row],[DUT Adj Read]]="N/A",IF(Table1[[#This Row],[Std Adj Read]]&lt;=Table1[[#This Row],[High Tol]],"Pass","Fail"),IF(Table1[[#This Row],[DUT Adj Read]]&lt;=Table1[[#This Row],[High Tol]],"Pass","Fail")))</f>
        <v>Fail</v>
      </c>
      <c r="AH20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5" s="1" t="b">
        <v>0</v>
      </c>
      <c r="AN2055" s="1" t="b">
        <v>0</v>
      </c>
      <c r="AO2055" s="1" t="b">
        <v>0</v>
      </c>
    </row>
    <row r="2056" spans="1:41" x14ac:dyDescent="0.25">
      <c r="A2056" s="10"/>
      <c r="B2056" s="10"/>
      <c r="C2056" s="10"/>
      <c r="D2056" s="10"/>
      <c r="E2056" s="10"/>
      <c r="F2056" s="10"/>
      <c r="G2056" s="10"/>
      <c r="H2056" s="10"/>
      <c r="I2056" s="1" t="str">
        <f t="shared" si="93"/>
        <v/>
      </c>
      <c r="J2056" s="1" t="s">
        <v>35</v>
      </c>
      <c r="K2056" s="1" t="str">
        <f t="shared" si="94"/>
        <v/>
      </c>
      <c r="L2056" s="1" t="str">
        <f t="shared" si="95"/>
        <v/>
      </c>
      <c r="M2056" s="1">
        <f>IF(OR(Table1[[#This Row],[Std Nom]]="",Table1[[#This Row],[Std Read]]=""),0,Table1[[#This Row],[Std Nom]]-Table1[[#This Row],[Std Read]])</f>
        <v>0</v>
      </c>
      <c r="N2056" s="1">
        <f>IF(Calculations!$F$5="ACCREDITED 17025 WITH UNCERTAINTIES",$N$10,0)</f>
        <v>0</v>
      </c>
      <c r="O2056" s="1" t="str">
        <f>IFERROR(Table1[[#This Row],[Std Nom]]-(_xlfn.XLOOKUP(Table1[[#This Row],[Manufacturer]]&amp;" "&amp;Table1[[#This Row],[Model]],Table13[MFR &amp; MDL],Table13[Tolerance % CW ],"")/100*Table1[[#This Row],[Std Nom]]),"")</f>
        <v/>
      </c>
      <c r="P2056" s="1" t="str">
        <f>IFERROR(Table1[[#This Row],[Std Nom]]+(_xlfn.XLOOKUP(Table1[[#This Row],[Manufacturer]]&amp;" "&amp;Table1[[#This Row],[Model]],Table13[MFR &amp; MDL],Table13[Tolerance % CW ],"")/100*Table1[[#This Row],[Std Nom]]),"")</f>
        <v/>
      </c>
      <c r="Q2056" s="1" t="e">
        <f>Table1[[#This Row],[High Tol]]-Table1[[#This Row],[Low Tol]]</f>
        <v>#VALUE!</v>
      </c>
      <c r="R2056" s="1">
        <f>2*Table1[[#This Row],[Std Error]]</f>
        <v>0</v>
      </c>
      <c r="S2056" s="1" t="str">
        <f>IF(Table1[[#This Row],[High Tol]]="","N/A",IFERROR(ABS(Table1[[#This Row],[Tol Span]]/Table1[[#This Row],[Error Span]]),"N/A"))</f>
        <v>N/A</v>
      </c>
      <c r="T2056" s="1" t="str">
        <f>IF(OR(Table1[[#This Row],[Low Tol]]="",Table1[[#This Row],[High Tol]]=""),"Needs Analysis",IF(Table1[[#This Row],[Ratio]]&gt;=4,"Not Significant",IF(Table1[[#This Row],[Ratio]]&gt;=2,"Semi-Significant","Significant")))</f>
        <v>Needs Analysis</v>
      </c>
      <c r="W2056" s="1">
        <f>IF(Table1[[#This Row],[Cal Type]]&lt;&gt;"ACCREDITED 17025 WITH UNCERTAINTIES",0,"")</f>
        <v>0</v>
      </c>
      <c r="X2056" s="1" t="str">
        <f>IF(Table1[[#This Row],[DUT Read]]="","N/A",Table1[[#This Row],[Std Error]]+Table1[[#This Row],[DUT Read]]+Table1[[#This Row],[DUT Ucty]])</f>
        <v>N/A</v>
      </c>
      <c r="Y2056" s="1" t="str">
        <f>IF(Table1[[#This Row],[Std Read]]="","N/A",Table1[[#This Row],[Std Read]]+Table1[[#This Row],[Std Ucty]])</f>
        <v>N/A</v>
      </c>
      <c r="Z20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6" s="1" t="str">
        <f>IF(Table1[[#This Row],[Spec Type]]="","N/A",Table1[[#This Row],[Spec Type]])</f>
        <v>±</v>
      </c>
      <c r="AC2056" s="1" t="str">
        <f>IF(Table1[[#This Row],[Spec Type2]]="N/A","N/A",IF(AND(Table1[[#This Row],[DUT Adj Read]]&gt;=Table1[[#This Row],[Low Tol]],Table1[[#This Row],[DUT Adj Read]]&lt;=Table1[[#This Row],[High Tol]]),"Pass","Fail"))</f>
        <v>Fail</v>
      </c>
      <c r="AD2056" s="1" t="str">
        <f>IF(AND(Table1[[#This Row],[Spec Type2]]="N/A",Table1[[#This Row],[DUT Adj Read]]="N/A",Table1[[#This Row],[Std Adj Read]]="N/A"),"N/A",IF(Table1[[#This Row],[DUT Adj Read]]="N/A",IF(Table1[[#This Row],[Std Adj Read]]&gt;Table1[[#This Row],[Low Tol]],"Pass","Fail"),IF(Table1[[#This Row],[DUT Adj Read]]&gt;Table1[[#This Row],[Low Tol]],"Pass","Fail")))</f>
        <v>Pass</v>
      </c>
      <c r="AE2056" s="1" t="str">
        <f>IF(AND(Table1[[#This Row],[Spec Type2]]="N/A",Table1[[#This Row],[DUT Adj Read]]="N/A",Table1[[#This Row],[Std Adj Read]]="N/A"),"N/A",IF(Table1[[#This Row],[DUT Adj Read]]="N/A",IF(Table1[[#This Row],[Std Adj Read]]&lt;Table1[[#This Row],[High Tol]],"Pass","Fail"),IF(Table1[[#This Row],[DUT Adj Read]]&lt;Table1[[#This Row],[High Tol]],"Pass","Fail")))</f>
        <v>Fail</v>
      </c>
      <c r="AF2056" s="1" t="str">
        <f>IF(AND(Table1[[#This Row],[Spec Type2]]="N/A",Table1[[#This Row],[DUT Adj Read]]="N/A",Table1[[#This Row],[Std Adj Read]]="N/A"),"N/A",IF(Table1[[#This Row],[DUT Adj Read]]="N/A",IF(Table1[[#This Row],[Std Adj Read]]&gt;=Table1[[#This Row],[Low Tol]],"Pass","Fail"),IF(Table1[[#This Row],[DUT Adj Read]]&gt;=Table1[[#This Row],[Low Tol]],"Pass","Fail")))</f>
        <v>Pass</v>
      </c>
      <c r="AG2056" s="1" t="str">
        <f>IF(AND(Table1[[#This Row],[Spec Type2]]="N/A",Table1[[#This Row],[DUT Adj Read]]="N/A",Table1[[#This Row],[Std Adj Read]]="N/A"),"N/A",IF(Table1[[#This Row],[DUT Adj Read]]="N/A",IF(Table1[[#This Row],[Std Adj Read]]&lt;=Table1[[#This Row],[High Tol]],"Pass","Fail"),IF(Table1[[#This Row],[DUT Adj Read]]&lt;=Table1[[#This Row],[High Tol]],"Pass","Fail")))</f>
        <v>Fail</v>
      </c>
      <c r="AH20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6" s="1" t="b">
        <v>0</v>
      </c>
      <c r="AN2056" s="1" t="b">
        <v>0</v>
      </c>
      <c r="AO2056" s="1" t="b">
        <v>0</v>
      </c>
    </row>
    <row r="2057" spans="1:41" x14ac:dyDescent="0.25">
      <c r="A2057" s="10"/>
      <c r="B2057" s="10"/>
      <c r="C2057" s="10"/>
      <c r="D2057" s="10"/>
      <c r="E2057" s="10"/>
      <c r="F2057" s="10"/>
      <c r="G2057" s="10"/>
      <c r="H2057" s="10"/>
      <c r="I2057" s="1" t="str">
        <f t="shared" si="93"/>
        <v/>
      </c>
      <c r="J2057" s="1" t="s">
        <v>35</v>
      </c>
      <c r="K2057" s="1" t="str">
        <f t="shared" si="94"/>
        <v/>
      </c>
      <c r="L2057" s="1" t="str">
        <f t="shared" si="95"/>
        <v/>
      </c>
      <c r="M2057" s="1">
        <f>IF(OR(Table1[[#This Row],[Std Nom]]="",Table1[[#This Row],[Std Read]]=""),0,Table1[[#This Row],[Std Nom]]-Table1[[#This Row],[Std Read]])</f>
        <v>0</v>
      </c>
      <c r="N2057" s="1">
        <f>IF(Calculations!$F$5="ACCREDITED 17025 WITH UNCERTAINTIES",$N$10,0)</f>
        <v>0</v>
      </c>
      <c r="O2057" s="1" t="str">
        <f>IFERROR(Table1[[#This Row],[Std Nom]]-(_xlfn.XLOOKUP(Table1[[#This Row],[Manufacturer]]&amp;" "&amp;Table1[[#This Row],[Model]],Table13[MFR &amp; MDL],Table13[Tolerance % CW ],"")/100*Table1[[#This Row],[Std Nom]]),"")</f>
        <v/>
      </c>
      <c r="P2057" s="1" t="str">
        <f>IFERROR(Table1[[#This Row],[Std Nom]]+(_xlfn.XLOOKUP(Table1[[#This Row],[Manufacturer]]&amp;" "&amp;Table1[[#This Row],[Model]],Table13[MFR &amp; MDL],Table13[Tolerance % CW ],"")/100*Table1[[#This Row],[Std Nom]]),"")</f>
        <v/>
      </c>
      <c r="Q2057" s="1" t="e">
        <f>Table1[[#This Row],[High Tol]]-Table1[[#This Row],[Low Tol]]</f>
        <v>#VALUE!</v>
      </c>
      <c r="R2057" s="1">
        <f>2*Table1[[#This Row],[Std Error]]</f>
        <v>0</v>
      </c>
      <c r="S2057" s="1" t="str">
        <f>IF(Table1[[#This Row],[High Tol]]="","N/A",IFERROR(ABS(Table1[[#This Row],[Tol Span]]/Table1[[#This Row],[Error Span]]),"N/A"))</f>
        <v>N/A</v>
      </c>
      <c r="T2057" s="1" t="str">
        <f>IF(OR(Table1[[#This Row],[Low Tol]]="",Table1[[#This Row],[High Tol]]=""),"Needs Analysis",IF(Table1[[#This Row],[Ratio]]&gt;=4,"Not Significant",IF(Table1[[#This Row],[Ratio]]&gt;=2,"Semi-Significant","Significant")))</f>
        <v>Needs Analysis</v>
      </c>
      <c r="W2057" s="1">
        <f>IF(Table1[[#This Row],[Cal Type]]&lt;&gt;"ACCREDITED 17025 WITH UNCERTAINTIES",0,"")</f>
        <v>0</v>
      </c>
      <c r="X2057" s="1" t="str">
        <f>IF(Table1[[#This Row],[DUT Read]]="","N/A",Table1[[#This Row],[Std Error]]+Table1[[#This Row],[DUT Read]]+Table1[[#This Row],[DUT Ucty]])</f>
        <v>N/A</v>
      </c>
      <c r="Y2057" s="1" t="str">
        <f>IF(Table1[[#This Row],[Std Read]]="","N/A",Table1[[#This Row],[Std Read]]+Table1[[#This Row],[Std Ucty]])</f>
        <v>N/A</v>
      </c>
      <c r="Z20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7" s="1" t="str">
        <f>IF(Table1[[#This Row],[Spec Type]]="","N/A",Table1[[#This Row],[Spec Type]])</f>
        <v>±</v>
      </c>
      <c r="AC2057" s="1" t="str">
        <f>IF(Table1[[#This Row],[Spec Type2]]="N/A","N/A",IF(AND(Table1[[#This Row],[DUT Adj Read]]&gt;=Table1[[#This Row],[Low Tol]],Table1[[#This Row],[DUT Adj Read]]&lt;=Table1[[#This Row],[High Tol]]),"Pass","Fail"))</f>
        <v>Fail</v>
      </c>
      <c r="AD2057" s="1" t="str">
        <f>IF(AND(Table1[[#This Row],[Spec Type2]]="N/A",Table1[[#This Row],[DUT Adj Read]]="N/A",Table1[[#This Row],[Std Adj Read]]="N/A"),"N/A",IF(Table1[[#This Row],[DUT Adj Read]]="N/A",IF(Table1[[#This Row],[Std Adj Read]]&gt;Table1[[#This Row],[Low Tol]],"Pass","Fail"),IF(Table1[[#This Row],[DUT Adj Read]]&gt;Table1[[#This Row],[Low Tol]],"Pass","Fail")))</f>
        <v>Pass</v>
      </c>
      <c r="AE2057" s="1" t="str">
        <f>IF(AND(Table1[[#This Row],[Spec Type2]]="N/A",Table1[[#This Row],[DUT Adj Read]]="N/A",Table1[[#This Row],[Std Adj Read]]="N/A"),"N/A",IF(Table1[[#This Row],[DUT Adj Read]]="N/A",IF(Table1[[#This Row],[Std Adj Read]]&lt;Table1[[#This Row],[High Tol]],"Pass","Fail"),IF(Table1[[#This Row],[DUT Adj Read]]&lt;Table1[[#This Row],[High Tol]],"Pass","Fail")))</f>
        <v>Fail</v>
      </c>
      <c r="AF2057" s="1" t="str">
        <f>IF(AND(Table1[[#This Row],[Spec Type2]]="N/A",Table1[[#This Row],[DUT Adj Read]]="N/A",Table1[[#This Row],[Std Adj Read]]="N/A"),"N/A",IF(Table1[[#This Row],[DUT Adj Read]]="N/A",IF(Table1[[#This Row],[Std Adj Read]]&gt;=Table1[[#This Row],[Low Tol]],"Pass","Fail"),IF(Table1[[#This Row],[DUT Adj Read]]&gt;=Table1[[#This Row],[Low Tol]],"Pass","Fail")))</f>
        <v>Pass</v>
      </c>
      <c r="AG2057" s="1" t="str">
        <f>IF(AND(Table1[[#This Row],[Spec Type2]]="N/A",Table1[[#This Row],[DUT Adj Read]]="N/A",Table1[[#This Row],[Std Adj Read]]="N/A"),"N/A",IF(Table1[[#This Row],[DUT Adj Read]]="N/A",IF(Table1[[#This Row],[Std Adj Read]]&lt;=Table1[[#This Row],[High Tol]],"Pass","Fail"),IF(Table1[[#This Row],[DUT Adj Read]]&lt;=Table1[[#This Row],[High Tol]],"Pass","Fail")))</f>
        <v>Fail</v>
      </c>
      <c r="AH20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7" s="1" t="b">
        <v>0</v>
      </c>
      <c r="AN2057" s="1" t="b">
        <v>0</v>
      </c>
      <c r="AO2057" s="1" t="b">
        <v>0</v>
      </c>
    </row>
    <row r="2058" spans="1:41" x14ac:dyDescent="0.25">
      <c r="A2058" s="10"/>
      <c r="B2058" s="10"/>
      <c r="C2058" s="10"/>
      <c r="D2058" s="10"/>
      <c r="E2058" s="10"/>
      <c r="F2058" s="10"/>
      <c r="G2058" s="10"/>
      <c r="H2058" s="10"/>
      <c r="I2058" s="1" t="str">
        <f t="shared" si="93"/>
        <v/>
      </c>
      <c r="J2058" s="1" t="s">
        <v>35</v>
      </c>
      <c r="K2058" s="1" t="str">
        <f t="shared" si="94"/>
        <v/>
      </c>
      <c r="L2058" s="1" t="str">
        <f t="shared" si="95"/>
        <v/>
      </c>
      <c r="M2058" s="1">
        <f>IF(OR(Table1[[#This Row],[Std Nom]]="",Table1[[#This Row],[Std Read]]=""),0,Table1[[#This Row],[Std Nom]]-Table1[[#This Row],[Std Read]])</f>
        <v>0</v>
      </c>
      <c r="N2058" s="1">
        <f>IF(Calculations!$F$5="ACCREDITED 17025 WITH UNCERTAINTIES",$N$10,0)</f>
        <v>0</v>
      </c>
      <c r="O2058" s="1" t="str">
        <f>IFERROR(Table1[[#This Row],[Std Nom]]-(_xlfn.XLOOKUP(Table1[[#This Row],[Manufacturer]]&amp;" "&amp;Table1[[#This Row],[Model]],Table13[MFR &amp; MDL],Table13[Tolerance % CW ],"")/100*Table1[[#This Row],[Std Nom]]),"")</f>
        <v/>
      </c>
      <c r="P2058" s="1" t="str">
        <f>IFERROR(Table1[[#This Row],[Std Nom]]+(_xlfn.XLOOKUP(Table1[[#This Row],[Manufacturer]]&amp;" "&amp;Table1[[#This Row],[Model]],Table13[MFR &amp; MDL],Table13[Tolerance % CW ],"")/100*Table1[[#This Row],[Std Nom]]),"")</f>
        <v/>
      </c>
      <c r="Q2058" s="1" t="e">
        <f>Table1[[#This Row],[High Tol]]-Table1[[#This Row],[Low Tol]]</f>
        <v>#VALUE!</v>
      </c>
      <c r="R2058" s="1">
        <f>2*Table1[[#This Row],[Std Error]]</f>
        <v>0</v>
      </c>
      <c r="S2058" s="1" t="str">
        <f>IF(Table1[[#This Row],[High Tol]]="","N/A",IFERROR(ABS(Table1[[#This Row],[Tol Span]]/Table1[[#This Row],[Error Span]]),"N/A"))</f>
        <v>N/A</v>
      </c>
      <c r="T2058" s="1" t="str">
        <f>IF(OR(Table1[[#This Row],[Low Tol]]="",Table1[[#This Row],[High Tol]]=""),"Needs Analysis",IF(Table1[[#This Row],[Ratio]]&gt;=4,"Not Significant",IF(Table1[[#This Row],[Ratio]]&gt;=2,"Semi-Significant","Significant")))</f>
        <v>Needs Analysis</v>
      </c>
      <c r="W2058" s="1">
        <f>IF(Table1[[#This Row],[Cal Type]]&lt;&gt;"ACCREDITED 17025 WITH UNCERTAINTIES",0,"")</f>
        <v>0</v>
      </c>
      <c r="X2058" s="1" t="str">
        <f>IF(Table1[[#This Row],[DUT Read]]="","N/A",Table1[[#This Row],[Std Error]]+Table1[[#This Row],[DUT Read]]+Table1[[#This Row],[DUT Ucty]])</f>
        <v>N/A</v>
      </c>
      <c r="Y2058" s="1" t="str">
        <f>IF(Table1[[#This Row],[Std Read]]="","N/A",Table1[[#This Row],[Std Read]]+Table1[[#This Row],[Std Ucty]])</f>
        <v>N/A</v>
      </c>
      <c r="Z20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8" s="1" t="str">
        <f>IF(Table1[[#This Row],[Spec Type]]="","N/A",Table1[[#This Row],[Spec Type]])</f>
        <v>±</v>
      </c>
      <c r="AC2058" s="1" t="str">
        <f>IF(Table1[[#This Row],[Spec Type2]]="N/A","N/A",IF(AND(Table1[[#This Row],[DUT Adj Read]]&gt;=Table1[[#This Row],[Low Tol]],Table1[[#This Row],[DUT Adj Read]]&lt;=Table1[[#This Row],[High Tol]]),"Pass","Fail"))</f>
        <v>Fail</v>
      </c>
      <c r="AD2058" s="1" t="str">
        <f>IF(AND(Table1[[#This Row],[Spec Type2]]="N/A",Table1[[#This Row],[DUT Adj Read]]="N/A",Table1[[#This Row],[Std Adj Read]]="N/A"),"N/A",IF(Table1[[#This Row],[DUT Adj Read]]="N/A",IF(Table1[[#This Row],[Std Adj Read]]&gt;Table1[[#This Row],[Low Tol]],"Pass","Fail"),IF(Table1[[#This Row],[DUT Adj Read]]&gt;Table1[[#This Row],[Low Tol]],"Pass","Fail")))</f>
        <v>Pass</v>
      </c>
      <c r="AE2058" s="1" t="str">
        <f>IF(AND(Table1[[#This Row],[Spec Type2]]="N/A",Table1[[#This Row],[DUT Adj Read]]="N/A",Table1[[#This Row],[Std Adj Read]]="N/A"),"N/A",IF(Table1[[#This Row],[DUT Adj Read]]="N/A",IF(Table1[[#This Row],[Std Adj Read]]&lt;Table1[[#This Row],[High Tol]],"Pass","Fail"),IF(Table1[[#This Row],[DUT Adj Read]]&lt;Table1[[#This Row],[High Tol]],"Pass","Fail")))</f>
        <v>Fail</v>
      </c>
      <c r="AF2058" s="1" t="str">
        <f>IF(AND(Table1[[#This Row],[Spec Type2]]="N/A",Table1[[#This Row],[DUT Adj Read]]="N/A",Table1[[#This Row],[Std Adj Read]]="N/A"),"N/A",IF(Table1[[#This Row],[DUT Adj Read]]="N/A",IF(Table1[[#This Row],[Std Adj Read]]&gt;=Table1[[#This Row],[Low Tol]],"Pass","Fail"),IF(Table1[[#This Row],[DUT Adj Read]]&gt;=Table1[[#This Row],[Low Tol]],"Pass","Fail")))</f>
        <v>Pass</v>
      </c>
      <c r="AG2058" s="1" t="str">
        <f>IF(AND(Table1[[#This Row],[Spec Type2]]="N/A",Table1[[#This Row],[DUT Adj Read]]="N/A",Table1[[#This Row],[Std Adj Read]]="N/A"),"N/A",IF(Table1[[#This Row],[DUT Adj Read]]="N/A",IF(Table1[[#This Row],[Std Adj Read]]&lt;=Table1[[#This Row],[High Tol]],"Pass","Fail"),IF(Table1[[#This Row],[DUT Adj Read]]&lt;=Table1[[#This Row],[High Tol]],"Pass","Fail")))</f>
        <v>Fail</v>
      </c>
      <c r="AH20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8" s="1" t="b">
        <v>0</v>
      </c>
      <c r="AN2058" s="1" t="b">
        <v>0</v>
      </c>
      <c r="AO2058" s="1" t="b">
        <v>0</v>
      </c>
    </row>
    <row r="2059" spans="1:41" x14ac:dyDescent="0.25">
      <c r="A2059" s="10"/>
      <c r="B2059" s="10"/>
      <c r="C2059" s="10"/>
      <c r="D2059" s="10"/>
      <c r="E2059" s="10"/>
      <c r="F2059" s="10"/>
      <c r="G2059" s="10"/>
      <c r="H2059" s="10"/>
      <c r="I2059" s="1" t="str">
        <f t="shared" ref="I2059:I2122" si="96">IF($I$10="","",$I$10)</f>
        <v/>
      </c>
      <c r="J2059" s="1" t="s">
        <v>35</v>
      </c>
      <c r="K2059" s="1" t="str">
        <f t="shared" ref="K2059:K2122" si="97">IF($K$10="","",$K$10)</f>
        <v/>
      </c>
      <c r="L2059" s="1" t="str">
        <f t="shared" ref="L2059:L2122" si="98">IF($L$10="","",$L$10)</f>
        <v/>
      </c>
      <c r="M2059" s="1">
        <f>IF(OR(Table1[[#This Row],[Std Nom]]="",Table1[[#This Row],[Std Read]]=""),0,Table1[[#This Row],[Std Nom]]-Table1[[#This Row],[Std Read]])</f>
        <v>0</v>
      </c>
      <c r="N2059" s="1">
        <f>IF(Calculations!$F$5="ACCREDITED 17025 WITH UNCERTAINTIES",$N$10,0)</f>
        <v>0</v>
      </c>
      <c r="O2059" s="1" t="str">
        <f>IFERROR(Table1[[#This Row],[Std Nom]]-(_xlfn.XLOOKUP(Table1[[#This Row],[Manufacturer]]&amp;" "&amp;Table1[[#This Row],[Model]],Table13[MFR &amp; MDL],Table13[Tolerance % CW ],"")/100*Table1[[#This Row],[Std Nom]]),"")</f>
        <v/>
      </c>
      <c r="P2059" s="1" t="str">
        <f>IFERROR(Table1[[#This Row],[Std Nom]]+(_xlfn.XLOOKUP(Table1[[#This Row],[Manufacturer]]&amp;" "&amp;Table1[[#This Row],[Model]],Table13[MFR &amp; MDL],Table13[Tolerance % CW ],"")/100*Table1[[#This Row],[Std Nom]]),"")</f>
        <v/>
      </c>
      <c r="Q2059" s="1" t="e">
        <f>Table1[[#This Row],[High Tol]]-Table1[[#This Row],[Low Tol]]</f>
        <v>#VALUE!</v>
      </c>
      <c r="R2059" s="1">
        <f>2*Table1[[#This Row],[Std Error]]</f>
        <v>0</v>
      </c>
      <c r="S2059" s="1" t="str">
        <f>IF(Table1[[#This Row],[High Tol]]="","N/A",IFERROR(ABS(Table1[[#This Row],[Tol Span]]/Table1[[#This Row],[Error Span]]),"N/A"))</f>
        <v>N/A</v>
      </c>
      <c r="T2059" s="1" t="str">
        <f>IF(OR(Table1[[#This Row],[Low Tol]]="",Table1[[#This Row],[High Tol]]=""),"Needs Analysis",IF(Table1[[#This Row],[Ratio]]&gt;=4,"Not Significant",IF(Table1[[#This Row],[Ratio]]&gt;=2,"Semi-Significant","Significant")))</f>
        <v>Needs Analysis</v>
      </c>
      <c r="W2059" s="1">
        <f>IF(Table1[[#This Row],[Cal Type]]&lt;&gt;"ACCREDITED 17025 WITH UNCERTAINTIES",0,"")</f>
        <v>0</v>
      </c>
      <c r="X2059" s="1" t="str">
        <f>IF(Table1[[#This Row],[DUT Read]]="","N/A",Table1[[#This Row],[Std Error]]+Table1[[#This Row],[DUT Read]]+Table1[[#This Row],[DUT Ucty]])</f>
        <v>N/A</v>
      </c>
      <c r="Y2059" s="1" t="str">
        <f>IF(Table1[[#This Row],[Std Read]]="","N/A",Table1[[#This Row],[Std Read]]+Table1[[#This Row],[Std Ucty]])</f>
        <v>N/A</v>
      </c>
      <c r="Z20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9" s="1" t="str">
        <f>IF(Table1[[#This Row],[Spec Type]]="","N/A",Table1[[#This Row],[Spec Type]])</f>
        <v>±</v>
      </c>
      <c r="AC2059" s="1" t="str">
        <f>IF(Table1[[#This Row],[Spec Type2]]="N/A","N/A",IF(AND(Table1[[#This Row],[DUT Adj Read]]&gt;=Table1[[#This Row],[Low Tol]],Table1[[#This Row],[DUT Adj Read]]&lt;=Table1[[#This Row],[High Tol]]),"Pass","Fail"))</f>
        <v>Fail</v>
      </c>
      <c r="AD2059" s="1" t="str">
        <f>IF(AND(Table1[[#This Row],[Spec Type2]]="N/A",Table1[[#This Row],[DUT Adj Read]]="N/A",Table1[[#This Row],[Std Adj Read]]="N/A"),"N/A",IF(Table1[[#This Row],[DUT Adj Read]]="N/A",IF(Table1[[#This Row],[Std Adj Read]]&gt;Table1[[#This Row],[Low Tol]],"Pass","Fail"),IF(Table1[[#This Row],[DUT Adj Read]]&gt;Table1[[#This Row],[Low Tol]],"Pass","Fail")))</f>
        <v>Pass</v>
      </c>
      <c r="AE2059" s="1" t="str">
        <f>IF(AND(Table1[[#This Row],[Spec Type2]]="N/A",Table1[[#This Row],[DUT Adj Read]]="N/A",Table1[[#This Row],[Std Adj Read]]="N/A"),"N/A",IF(Table1[[#This Row],[DUT Adj Read]]="N/A",IF(Table1[[#This Row],[Std Adj Read]]&lt;Table1[[#This Row],[High Tol]],"Pass","Fail"),IF(Table1[[#This Row],[DUT Adj Read]]&lt;Table1[[#This Row],[High Tol]],"Pass","Fail")))</f>
        <v>Fail</v>
      </c>
      <c r="AF2059" s="1" t="str">
        <f>IF(AND(Table1[[#This Row],[Spec Type2]]="N/A",Table1[[#This Row],[DUT Adj Read]]="N/A",Table1[[#This Row],[Std Adj Read]]="N/A"),"N/A",IF(Table1[[#This Row],[DUT Adj Read]]="N/A",IF(Table1[[#This Row],[Std Adj Read]]&gt;=Table1[[#This Row],[Low Tol]],"Pass","Fail"),IF(Table1[[#This Row],[DUT Adj Read]]&gt;=Table1[[#This Row],[Low Tol]],"Pass","Fail")))</f>
        <v>Pass</v>
      </c>
      <c r="AG2059" s="1" t="str">
        <f>IF(AND(Table1[[#This Row],[Spec Type2]]="N/A",Table1[[#This Row],[DUT Adj Read]]="N/A",Table1[[#This Row],[Std Adj Read]]="N/A"),"N/A",IF(Table1[[#This Row],[DUT Adj Read]]="N/A",IF(Table1[[#This Row],[Std Adj Read]]&lt;=Table1[[#This Row],[High Tol]],"Pass","Fail"),IF(Table1[[#This Row],[DUT Adj Read]]&lt;=Table1[[#This Row],[High Tol]],"Pass","Fail")))</f>
        <v>Fail</v>
      </c>
      <c r="AH20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9" s="1" t="b">
        <v>0</v>
      </c>
      <c r="AN2059" s="1" t="b">
        <v>0</v>
      </c>
      <c r="AO2059" s="1" t="b">
        <v>0</v>
      </c>
    </row>
    <row r="2060" spans="1:41" x14ac:dyDescent="0.25">
      <c r="A2060" s="10"/>
      <c r="B2060" s="10"/>
      <c r="C2060" s="10"/>
      <c r="D2060" s="10"/>
      <c r="E2060" s="10"/>
      <c r="F2060" s="10"/>
      <c r="G2060" s="10"/>
      <c r="H2060" s="10"/>
      <c r="I2060" s="1" t="str">
        <f t="shared" si="96"/>
        <v/>
      </c>
      <c r="J2060" s="1" t="s">
        <v>35</v>
      </c>
      <c r="K2060" s="1" t="str">
        <f t="shared" si="97"/>
        <v/>
      </c>
      <c r="L2060" s="1" t="str">
        <f t="shared" si="98"/>
        <v/>
      </c>
      <c r="M2060" s="1">
        <f>IF(OR(Table1[[#This Row],[Std Nom]]="",Table1[[#This Row],[Std Read]]=""),0,Table1[[#This Row],[Std Nom]]-Table1[[#This Row],[Std Read]])</f>
        <v>0</v>
      </c>
      <c r="N2060" s="1">
        <f>IF(Calculations!$F$5="ACCREDITED 17025 WITH UNCERTAINTIES",$N$10,0)</f>
        <v>0</v>
      </c>
      <c r="O2060" s="1" t="str">
        <f>IFERROR(Table1[[#This Row],[Std Nom]]-(_xlfn.XLOOKUP(Table1[[#This Row],[Manufacturer]]&amp;" "&amp;Table1[[#This Row],[Model]],Table13[MFR &amp; MDL],Table13[Tolerance % CW ],"")/100*Table1[[#This Row],[Std Nom]]),"")</f>
        <v/>
      </c>
      <c r="P2060" s="1" t="str">
        <f>IFERROR(Table1[[#This Row],[Std Nom]]+(_xlfn.XLOOKUP(Table1[[#This Row],[Manufacturer]]&amp;" "&amp;Table1[[#This Row],[Model]],Table13[MFR &amp; MDL],Table13[Tolerance % CW ],"")/100*Table1[[#This Row],[Std Nom]]),"")</f>
        <v/>
      </c>
      <c r="Q2060" s="1" t="e">
        <f>Table1[[#This Row],[High Tol]]-Table1[[#This Row],[Low Tol]]</f>
        <v>#VALUE!</v>
      </c>
      <c r="R2060" s="1">
        <f>2*Table1[[#This Row],[Std Error]]</f>
        <v>0</v>
      </c>
      <c r="S2060" s="1" t="str">
        <f>IF(Table1[[#This Row],[High Tol]]="","N/A",IFERROR(ABS(Table1[[#This Row],[Tol Span]]/Table1[[#This Row],[Error Span]]),"N/A"))</f>
        <v>N/A</v>
      </c>
      <c r="T2060" s="1" t="str">
        <f>IF(OR(Table1[[#This Row],[Low Tol]]="",Table1[[#This Row],[High Tol]]=""),"Needs Analysis",IF(Table1[[#This Row],[Ratio]]&gt;=4,"Not Significant",IF(Table1[[#This Row],[Ratio]]&gt;=2,"Semi-Significant","Significant")))</f>
        <v>Needs Analysis</v>
      </c>
      <c r="W2060" s="1">
        <f>IF(Table1[[#This Row],[Cal Type]]&lt;&gt;"ACCREDITED 17025 WITH UNCERTAINTIES",0,"")</f>
        <v>0</v>
      </c>
      <c r="X2060" s="1" t="str">
        <f>IF(Table1[[#This Row],[DUT Read]]="","N/A",Table1[[#This Row],[Std Error]]+Table1[[#This Row],[DUT Read]]+Table1[[#This Row],[DUT Ucty]])</f>
        <v>N/A</v>
      </c>
      <c r="Y2060" s="1" t="str">
        <f>IF(Table1[[#This Row],[Std Read]]="","N/A",Table1[[#This Row],[Std Read]]+Table1[[#This Row],[Std Ucty]])</f>
        <v>N/A</v>
      </c>
      <c r="Z20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0" s="1" t="str">
        <f>IF(Table1[[#This Row],[Spec Type]]="","N/A",Table1[[#This Row],[Spec Type]])</f>
        <v>±</v>
      </c>
      <c r="AC2060" s="1" t="str">
        <f>IF(Table1[[#This Row],[Spec Type2]]="N/A","N/A",IF(AND(Table1[[#This Row],[DUT Adj Read]]&gt;=Table1[[#This Row],[Low Tol]],Table1[[#This Row],[DUT Adj Read]]&lt;=Table1[[#This Row],[High Tol]]),"Pass","Fail"))</f>
        <v>Fail</v>
      </c>
      <c r="AD2060" s="1" t="str">
        <f>IF(AND(Table1[[#This Row],[Spec Type2]]="N/A",Table1[[#This Row],[DUT Adj Read]]="N/A",Table1[[#This Row],[Std Adj Read]]="N/A"),"N/A",IF(Table1[[#This Row],[DUT Adj Read]]="N/A",IF(Table1[[#This Row],[Std Adj Read]]&gt;Table1[[#This Row],[Low Tol]],"Pass","Fail"),IF(Table1[[#This Row],[DUT Adj Read]]&gt;Table1[[#This Row],[Low Tol]],"Pass","Fail")))</f>
        <v>Pass</v>
      </c>
      <c r="AE2060" s="1" t="str">
        <f>IF(AND(Table1[[#This Row],[Spec Type2]]="N/A",Table1[[#This Row],[DUT Adj Read]]="N/A",Table1[[#This Row],[Std Adj Read]]="N/A"),"N/A",IF(Table1[[#This Row],[DUT Adj Read]]="N/A",IF(Table1[[#This Row],[Std Adj Read]]&lt;Table1[[#This Row],[High Tol]],"Pass","Fail"),IF(Table1[[#This Row],[DUT Adj Read]]&lt;Table1[[#This Row],[High Tol]],"Pass","Fail")))</f>
        <v>Fail</v>
      </c>
      <c r="AF2060" s="1" t="str">
        <f>IF(AND(Table1[[#This Row],[Spec Type2]]="N/A",Table1[[#This Row],[DUT Adj Read]]="N/A",Table1[[#This Row],[Std Adj Read]]="N/A"),"N/A",IF(Table1[[#This Row],[DUT Adj Read]]="N/A",IF(Table1[[#This Row],[Std Adj Read]]&gt;=Table1[[#This Row],[Low Tol]],"Pass","Fail"),IF(Table1[[#This Row],[DUT Adj Read]]&gt;=Table1[[#This Row],[Low Tol]],"Pass","Fail")))</f>
        <v>Pass</v>
      </c>
      <c r="AG2060" s="1" t="str">
        <f>IF(AND(Table1[[#This Row],[Spec Type2]]="N/A",Table1[[#This Row],[DUT Adj Read]]="N/A",Table1[[#This Row],[Std Adj Read]]="N/A"),"N/A",IF(Table1[[#This Row],[DUT Adj Read]]="N/A",IF(Table1[[#This Row],[Std Adj Read]]&lt;=Table1[[#This Row],[High Tol]],"Pass","Fail"),IF(Table1[[#This Row],[DUT Adj Read]]&lt;=Table1[[#This Row],[High Tol]],"Pass","Fail")))</f>
        <v>Fail</v>
      </c>
      <c r="AH20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0" s="1" t="b">
        <v>0</v>
      </c>
      <c r="AN2060" s="1" t="b">
        <v>0</v>
      </c>
      <c r="AO2060" s="1" t="b">
        <v>0</v>
      </c>
    </row>
    <row r="2061" spans="1:41" x14ac:dyDescent="0.25">
      <c r="A2061" s="10"/>
      <c r="B2061" s="10"/>
      <c r="C2061" s="10"/>
      <c r="D2061" s="10"/>
      <c r="E2061" s="10"/>
      <c r="F2061" s="10"/>
      <c r="G2061" s="10"/>
      <c r="H2061" s="10"/>
      <c r="I2061" s="1" t="str">
        <f t="shared" si="96"/>
        <v/>
      </c>
      <c r="J2061" s="1" t="s">
        <v>35</v>
      </c>
      <c r="K2061" s="1" t="str">
        <f t="shared" si="97"/>
        <v/>
      </c>
      <c r="L2061" s="1" t="str">
        <f t="shared" si="98"/>
        <v/>
      </c>
      <c r="M2061" s="1">
        <f>IF(OR(Table1[[#This Row],[Std Nom]]="",Table1[[#This Row],[Std Read]]=""),0,Table1[[#This Row],[Std Nom]]-Table1[[#This Row],[Std Read]])</f>
        <v>0</v>
      </c>
      <c r="N2061" s="1">
        <f>IF(Calculations!$F$5="ACCREDITED 17025 WITH UNCERTAINTIES",$N$10,0)</f>
        <v>0</v>
      </c>
      <c r="O2061" s="1" t="str">
        <f>IFERROR(Table1[[#This Row],[Std Nom]]-(_xlfn.XLOOKUP(Table1[[#This Row],[Manufacturer]]&amp;" "&amp;Table1[[#This Row],[Model]],Table13[MFR &amp; MDL],Table13[Tolerance % CW ],"")/100*Table1[[#This Row],[Std Nom]]),"")</f>
        <v/>
      </c>
      <c r="P2061" s="1" t="str">
        <f>IFERROR(Table1[[#This Row],[Std Nom]]+(_xlfn.XLOOKUP(Table1[[#This Row],[Manufacturer]]&amp;" "&amp;Table1[[#This Row],[Model]],Table13[MFR &amp; MDL],Table13[Tolerance % CW ],"")/100*Table1[[#This Row],[Std Nom]]),"")</f>
        <v/>
      </c>
      <c r="Q2061" s="1" t="e">
        <f>Table1[[#This Row],[High Tol]]-Table1[[#This Row],[Low Tol]]</f>
        <v>#VALUE!</v>
      </c>
      <c r="R2061" s="1">
        <f>2*Table1[[#This Row],[Std Error]]</f>
        <v>0</v>
      </c>
      <c r="S2061" s="1" t="str">
        <f>IF(Table1[[#This Row],[High Tol]]="","N/A",IFERROR(ABS(Table1[[#This Row],[Tol Span]]/Table1[[#This Row],[Error Span]]),"N/A"))</f>
        <v>N/A</v>
      </c>
      <c r="T2061" s="1" t="str">
        <f>IF(OR(Table1[[#This Row],[Low Tol]]="",Table1[[#This Row],[High Tol]]=""),"Needs Analysis",IF(Table1[[#This Row],[Ratio]]&gt;=4,"Not Significant",IF(Table1[[#This Row],[Ratio]]&gt;=2,"Semi-Significant","Significant")))</f>
        <v>Needs Analysis</v>
      </c>
      <c r="W2061" s="1">
        <f>IF(Table1[[#This Row],[Cal Type]]&lt;&gt;"ACCREDITED 17025 WITH UNCERTAINTIES",0,"")</f>
        <v>0</v>
      </c>
      <c r="X2061" s="1" t="str">
        <f>IF(Table1[[#This Row],[DUT Read]]="","N/A",Table1[[#This Row],[Std Error]]+Table1[[#This Row],[DUT Read]]+Table1[[#This Row],[DUT Ucty]])</f>
        <v>N/A</v>
      </c>
      <c r="Y2061" s="1" t="str">
        <f>IF(Table1[[#This Row],[Std Read]]="","N/A",Table1[[#This Row],[Std Read]]+Table1[[#This Row],[Std Ucty]])</f>
        <v>N/A</v>
      </c>
      <c r="Z20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1" s="1" t="str">
        <f>IF(Table1[[#This Row],[Spec Type]]="","N/A",Table1[[#This Row],[Spec Type]])</f>
        <v>±</v>
      </c>
      <c r="AC2061" s="1" t="str">
        <f>IF(Table1[[#This Row],[Spec Type2]]="N/A","N/A",IF(AND(Table1[[#This Row],[DUT Adj Read]]&gt;=Table1[[#This Row],[Low Tol]],Table1[[#This Row],[DUT Adj Read]]&lt;=Table1[[#This Row],[High Tol]]),"Pass","Fail"))</f>
        <v>Fail</v>
      </c>
      <c r="AD2061" s="1" t="str">
        <f>IF(AND(Table1[[#This Row],[Spec Type2]]="N/A",Table1[[#This Row],[DUT Adj Read]]="N/A",Table1[[#This Row],[Std Adj Read]]="N/A"),"N/A",IF(Table1[[#This Row],[DUT Adj Read]]="N/A",IF(Table1[[#This Row],[Std Adj Read]]&gt;Table1[[#This Row],[Low Tol]],"Pass","Fail"),IF(Table1[[#This Row],[DUT Adj Read]]&gt;Table1[[#This Row],[Low Tol]],"Pass","Fail")))</f>
        <v>Pass</v>
      </c>
      <c r="AE2061" s="1" t="str">
        <f>IF(AND(Table1[[#This Row],[Spec Type2]]="N/A",Table1[[#This Row],[DUT Adj Read]]="N/A",Table1[[#This Row],[Std Adj Read]]="N/A"),"N/A",IF(Table1[[#This Row],[DUT Adj Read]]="N/A",IF(Table1[[#This Row],[Std Adj Read]]&lt;Table1[[#This Row],[High Tol]],"Pass","Fail"),IF(Table1[[#This Row],[DUT Adj Read]]&lt;Table1[[#This Row],[High Tol]],"Pass","Fail")))</f>
        <v>Fail</v>
      </c>
      <c r="AF2061" s="1" t="str">
        <f>IF(AND(Table1[[#This Row],[Spec Type2]]="N/A",Table1[[#This Row],[DUT Adj Read]]="N/A",Table1[[#This Row],[Std Adj Read]]="N/A"),"N/A",IF(Table1[[#This Row],[DUT Adj Read]]="N/A",IF(Table1[[#This Row],[Std Adj Read]]&gt;=Table1[[#This Row],[Low Tol]],"Pass","Fail"),IF(Table1[[#This Row],[DUT Adj Read]]&gt;=Table1[[#This Row],[Low Tol]],"Pass","Fail")))</f>
        <v>Pass</v>
      </c>
      <c r="AG2061" s="1" t="str">
        <f>IF(AND(Table1[[#This Row],[Spec Type2]]="N/A",Table1[[#This Row],[DUT Adj Read]]="N/A",Table1[[#This Row],[Std Adj Read]]="N/A"),"N/A",IF(Table1[[#This Row],[DUT Adj Read]]="N/A",IF(Table1[[#This Row],[Std Adj Read]]&lt;=Table1[[#This Row],[High Tol]],"Pass","Fail"),IF(Table1[[#This Row],[DUT Adj Read]]&lt;=Table1[[#This Row],[High Tol]],"Pass","Fail")))</f>
        <v>Fail</v>
      </c>
      <c r="AH20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1" s="1" t="b">
        <v>0</v>
      </c>
      <c r="AN2061" s="1" t="b">
        <v>0</v>
      </c>
      <c r="AO2061" s="1" t="b">
        <v>0</v>
      </c>
    </row>
    <row r="2062" spans="1:41" x14ac:dyDescent="0.25">
      <c r="A2062" s="10"/>
      <c r="B2062" s="10"/>
      <c r="C2062" s="10"/>
      <c r="D2062" s="10"/>
      <c r="E2062" s="10"/>
      <c r="F2062" s="10"/>
      <c r="G2062" s="10"/>
      <c r="H2062" s="10"/>
      <c r="I2062" s="1" t="str">
        <f t="shared" si="96"/>
        <v/>
      </c>
      <c r="J2062" s="1" t="s">
        <v>35</v>
      </c>
      <c r="K2062" s="1" t="str">
        <f t="shared" si="97"/>
        <v/>
      </c>
      <c r="L2062" s="1" t="str">
        <f t="shared" si="98"/>
        <v/>
      </c>
      <c r="M2062" s="1">
        <f>IF(OR(Table1[[#This Row],[Std Nom]]="",Table1[[#This Row],[Std Read]]=""),0,Table1[[#This Row],[Std Nom]]-Table1[[#This Row],[Std Read]])</f>
        <v>0</v>
      </c>
      <c r="N2062" s="1">
        <f>IF(Calculations!$F$5="ACCREDITED 17025 WITH UNCERTAINTIES",$N$10,0)</f>
        <v>0</v>
      </c>
      <c r="O2062" s="1" t="str">
        <f>IFERROR(Table1[[#This Row],[Std Nom]]-(_xlfn.XLOOKUP(Table1[[#This Row],[Manufacturer]]&amp;" "&amp;Table1[[#This Row],[Model]],Table13[MFR &amp; MDL],Table13[Tolerance % CW ],"")/100*Table1[[#This Row],[Std Nom]]),"")</f>
        <v/>
      </c>
      <c r="P2062" s="1" t="str">
        <f>IFERROR(Table1[[#This Row],[Std Nom]]+(_xlfn.XLOOKUP(Table1[[#This Row],[Manufacturer]]&amp;" "&amp;Table1[[#This Row],[Model]],Table13[MFR &amp; MDL],Table13[Tolerance % CW ],"")/100*Table1[[#This Row],[Std Nom]]),"")</f>
        <v/>
      </c>
      <c r="Q2062" s="1" t="e">
        <f>Table1[[#This Row],[High Tol]]-Table1[[#This Row],[Low Tol]]</f>
        <v>#VALUE!</v>
      </c>
      <c r="R2062" s="1">
        <f>2*Table1[[#This Row],[Std Error]]</f>
        <v>0</v>
      </c>
      <c r="S2062" s="1" t="str">
        <f>IF(Table1[[#This Row],[High Tol]]="","N/A",IFERROR(ABS(Table1[[#This Row],[Tol Span]]/Table1[[#This Row],[Error Span]]),"N/A"))</f>
        <v>N/A</v>
      </c>
      <c r="T2062" s="1" t="str">
        <f>IF(OR(Table1[[#This Row],[Low Tol]]="",Table1[[#This Row],[High Tol]]=""),"Needs Analysis",IF(Table1[[#This Row],[Ratio]]&gt;=4,"Not Significant",IF(Table1[[#This Row],[Ratio]]&gt;=2,"Semi-Significant","Significant")))</f>
        <v>Needs Analysis</v>
      </c>
      <c r="W2062" s="1">
        <f>IF(Table1[[#This Row],[Cal Type]]&lt;&gt;"ACCREDITED 17025 WITH UNCERTAINTIES",0,"")</f>
        <v>0</v>
      </c>
      <c r="X2062" s="1" t="str">
        <f>IF(Table1[[#This Row],[DUT Read]]="","N/A",Table1[[#This Row],[Std Error]]+Table1[[#This Row],[DUT Read]]+Table1[[#This Row],[DUT Ucty]])</f>
        <v>N/A</v>
      </c>
      <c r="Y2062" s="1" t="str">
        <f>IF(Table1[[#This Row],[Std Read]]="","N/A",Table1[[#This Row],[Std Read]]+Table1[[#This Row],[Std Ucty]])</f>
        <v>N/A</v>
      </c>
      <c r="Z20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2" s="1" t="str">
        <f>IF(Table1[[#This Row],[Spec Type]]="","N/A",Table1[[#This Row],[Spec Type]])</f>
        <v>±</v>
      </c>
      <c r="AC2062" s="1" t="str">
        <f>IF(Table1[[#This Row],[Spec Type2]]="N/A","N/A",IF(AND(Table1[[#This Row],[DUT Adj Read]]&gt;=Table1[[#This Row],[Low Tol]],Table1[[#This Row],[DUT Adj Read]]&lt;=Table1[[#This Row],[High Tol]]),"Pass","Fail"))</f>
        <v>Fail</v>
      </c>
      <c r="AD2062" s="1" t="str">
        <f>IF(AND(Table1[[#This Row],[Spec Type2]]="N/A",Table1[[#This Row],[DUT Adj Read]]="N/A",Table1[[#This Row],[Std Adj Read]]="N/A"),"N/A",IF(Table1[[#This Row],[DUT Adj Read]]="N/A",IF(Table1[[#This Row],[Std Adj Read]]&gt;Table1[[#This Row],[Low Tol]],"Pass","Fail"),IF(Table1[[#This Row],[DUT Adj Read]]&gt;Table1[[#This Row],[Low Tol]],"Pass","Fail")))</f>
        <v>Pass</v>
      </c>
      <c r="AE2062" s="1" t="str">
        <f>IF(AND(Table1[[#This Row],[Spec Type2]]="N/A",Table1[[#This Row],[DUT Adj Read]]="N/A",Table1[[#This Row],[Std Adj Read]]="N/A"),"N/A",IF(Table1[[#This Row],[DUT Adj Read]]="N/A",IF(Table1[[#This Row],[Std Adj Read]]&lt;Table1[[#This Row],[High Tol]],"Pass","Fail"),IF(Table1[[#This Row],[DUT Adj Read]]&lt;Table1[[#This Row],[High Tol]],"Pass","Fail")))</f>
        <v>Fail</v>
      </c>
      <c r="AF2062" s="1" t="str">
        <f>IF(AND(Table1[[#This Row],[Spec Type2]]="N/A",Table1[[#This Row],[DUT Adj Read]]="N/A",Table1[[#This Row],[Std Adj Read]]="N/A"),"N/A",IF(Table1[[#This Row],[DUT Adj Read]]="N/A",IF(Table1[[#This Row],[Std Adj Read]]&gt;=Table1[[#This Row],[Low Tol]],"Pass","Fail"),IF(Table1[[#This Row],[DUT Adj Read]]&gt;=Table1[[#This Row],[Low Tol]],"Pass","Fail")))</f>
        <v>Pass</v>
      </c>
      <c r="AG2062" s="1" t="str">
        <f>IF(AND(Table1[[#This Row],[Spec Type2]]="N/A",Table1[[#This Row],[DUT Adj Read]]="N/A",Table1[[#This Row],[Std Adj Read]]="N/A"),"N/A",IF(Table1[[#This Row],[DUT Adj Read]]="N/A",IF(Table1[[#This Row],[Std Adj Read]]&lt;=Table1[[#This Row],[High Tol]],"Pass","Fail"),IF(Table1[[#This Row],[DUT Adj Read]]&lt;=Table1[[#This Row],[High Tol]],"Pass","Fail")))</f>
        <v>Fail</v>
      </c>
      <c r="AH20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2" s="1" t="b">
        <v>0</v>
      </c>
      <c r="AN2062" s="1" t="b">
        <v>0</v>
      </c>
      <c r="AO2062" s="1" t="b">
        <v>0</v>
      </c>
    </row>
    <row r="2063" spans="1:41" x14ac:dyDescent="0.25">
      <c r="A2063" s="10"/>
      <c r="B2063" s="10"/>
      <c r="C2063" s="10"/>
      <c r="D2063" s="10"/>
      <c r="E2063" s="10"/>
      <c r="F2063" s="10"/>
      <c r="G2063" s="10"/>
      <c r="H2063" s="10"/>
      <c r="I2063" s="1" t="str">
        <f t="shared" si="96"/>
        <v/>
      </c>
      <c r="J2063" s="1" t="s">
        <v>35</v>
      </c>
      <c r="K2063" s="1" t="str">
        <f t="shared" si="97"/>
        <v/>
      </c>
      <c r="L2063" s="1" t="str">
        <f t="shared" si="98"/>
        <v/>
      </c>
      <c r="M2063" s="1">
        <f>IF(OR(Table1[[#This Row],[Std Nom]]="",Table1[[#This Row],[Std Read]]=""),0,Table1[[#This Row],[Std Nom]]-Table1[[#This Row],[Std Read]])</f>
        <v>0</v>
      </c>
      <c r="N2063" s="1">
        <f>IF(Calculations!$F$5="ACCREDITED 17025 WITH UNCERTAINTIES",$N$10,0)</f>
        <v>0</v>
      </c>
      <c r="O2063" s="1" t="str">
        <f>IFERROR(Table1[[#This Row],[Std Nom]]-(_xlfn.XLOOKUP(Table1[[#This Row],[Manufacturer]]&amp;" "&amp;Table1[[#This Row],[Model]],Table13[MFR &amp; MDL],Table13[Tolerance % CW ],"")/100*Table1[[#This Row],[Std Nom]]),"")</f>
        <v/>
      </c>
      <c r="P2063" s="1" t="str">
        <f>IFERROR(Table1[[#This Row],[Std Nom]]+(_xlfn.XLOOKUP(Table1[[#This Row],[Manufacturer]]&amp;" "&amp;Table1[[#This Row],[Model]],Table13[MFR &amp; MDL],Table13[Tolerance % CW ],"")/100*Table1[[#This Row],[Std Nom]]),"")</f>
        <v/>
      </c>
      <c r="Q2063" s="1" t="e">
        <f>Table1[[#This Row],[High Tol]]-Table1[[#This Row],[Low Tol]]</f>
        <v>#VALUE!</v>
      </c>
      <c r="R2063" s="1">
        <f>2*Table1[[#This Row],[Std Error]]</f>
        <v>0</v>
      </c>
      <c r="S2063" s="1" t="str">
        <f>IF(Table1[[#This Row],[High Tol]]="","N/A",IFERROR(ABS(Table1[[#This Row],[Tol Span]]/Table1[[#This Row],[Error Span]]),"N/A"))</f>
        <v>N/A</v>
      </c>
      <c r="T2063" s="1" t="str">
        <f>IF(OR(Table1[[#This Row],[Low Tol]]="",Table1[[#This Row],[High Tol]]=""),"Needs Analysis",IF(Table1[[#This Row],[Ratio]]&gt;=4,"Not Significant",IF(Table1[[#This Row],[Ratio]]&gt;=2,"Semi-Significant","Significant")))</f>
        <v>Needs Analysis</v>
      </c>
      <c r="W2063" s="1">
        <f>IF(Table1[[#This Row],[Cal Type]]&lt;&gt;"ACCREDITED 17025 WITH UNCERTAINTIES",0,"")</f>
        <v>0</v>
      </c>
      <c r="X2063" s="1" t="str">
        <f>IF(Table1[[#This Row],[DUT Read]]="","N/A",Table1[[#This Row],[Std Error]]+Table1[[#This Row],[DUT Read]]+Table1[[#This Row],[DUT Ucty]])</f>
        <v>N/A</v>
      </c>
      <c r="Y2063" s="1" t="str">
        <f>IF(Table1[[#This Row],[Std Read]]="","N/A",Table1[[#This Row],[Std Read]]+Table1[[#This Row],[Std Ucty]])</f>
        <v>N/A</v>
      </c>
      <c r="Z20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3" s="1" t="str">
        <f>IF(Table1[[#This Row],[Spec Type]]="","N/A",Table1[[#This Row],[Spec Type]])</f>
        <v>±</v>
      </c>
      <c r="AC2063" s="1" t="str">
        <f>IF(Table1[[#This Row],[Spec Type2]]="N/A","N/A",IF(AND(Table1[[#This Row],[DUT Adj Read]]&gt;=Table1[[#This Row],[Low Tol]],Table1[[#This Row],[DUT Adj Read]]&lt;=Table1[[#This Row],[High Tol]]),"Pass","Fail"))</f>
        <v>Fail</v>
      </c>
      <c r="AD2063" s="1" t="str">
        <f>IF(AND(Table1[[#This Row],[Spec Type2]]="N/A",Table1[[#This Row],[DUT Adj Read]]="N/A",Table1[[#This Row],[Std Adj Read]]="N/A"),"N/A",IF(Table1[[#This Row],[DUT Adj Read]]="N/A",IF(Table1[[#This Row],[Std Adj Read]]&gt;Table1[[#This Row],[Low Tol]],"Pass","Fail"),IF(Table1[[#This Row],[DUT Adj Read]]&gt;Table1[[#This Row],[Low Tol]],"Pass","Fail")))</f>
        <v>Pass</v>
      </c>
      <c r="AE2063" s="1" t="str">
        <f>IF(AND(Table1[[#This Row],[Spec Type2]]="N/A",Table1[[#This Row],[DUT Adj Read]]="N/A",Table1[[#This Row],[Std Adj Read]]="N/A"),"N/A",IF(Table1[[#This Row],[DUT Adj Read]]="N/A",IF(Table1[[#This Row],[Std Adj Read]]&lt;Table1[[#This Row],[High Tol]],"Pass","Fail"),IF(Table1[[#This Row],[DUT Adj Read]]&lt;Table1[[#This Row],[High Tol]],"Pass","Fail")))</f>
        <v>Fail</v>
      </c>
      <c r="AF2063" s="1" t="str">
        <f>IF(AND(Table1[[#This Row],[Spec Type2]]="N/A",Table1[[#This Row],[DUT Adj Read]]="N/A",Table1[[#This Row],[Std Adj Read]]="N/A"),"N/A",IF(Table1[[#This Row],[DUT Adj Read]]="N/A",IF(Table1[[#This Row],[Std Adj Read]]&gt;=Table1[[#This Row],[Low Tol]],"Pass","Fail"),IF(Table1[[#This Row],[DUT Adj Read]]&gt;=Table1[[#This Row],[Low Tol]],"Pass","Fail")))</f>
        <v>Pass</v>
      </c>
      <c r="AG2063" s="1" t="str">
        <f>IF(AND(Table1[[#This Row],[Spec Type2]]="N/A",Table1[[#This Row],[DUT Adj Read]]="N/A",Table1[[#This Row],[Std Adj Read]]="N/A"),"N/A",IF(Table1[[#This Row],[DUT Adj Read]]="N/A",IF(Table1[[#This Row],[Std Adj Read]]&lt;=Table1[[#This Row],[High Tol]],"Pass","Fail"),IF(Table1[[#This Row],[DUT Adj Read]]&lt;=Table1[[#This Row],[High Tol]],"Pass","Fail")))</f>
        <v>Fail</v>
      </c>
      <c r="AH20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3" s="1" t="b">
        <v>0</v>
      </c>
      <c r="AN2063" s="1" t="b">
        <v>0</v>
      </c>
      <c r="AO2063" s="1" t="b">
        <v>0</v>
      </c>
    </row>
    <row r="2064" spans="1:41" x14ac:dyDescent="0.25">
      <c r="A2064" s="10"/>
      <c r="B2064" s="10"/>
      <c r="C2064" s="10"/>
      <c r="D2064" s="10"/>
      <c r="E2064" s="10"/>
      <c r="F2064" s="10"/>
      <c r="G2064" s="10"/>
      <c r="H2064" s="10"/>
      <c r="I2064" s="1" t="str">
        <f t="shared" si="96"/>
        <v/>
      </c>
      <c r="J2064" s="1" t="s">
        <v>35</v>
      </c>
      <c r="K2064" s="1" t="str">
        <f t="shared" si="97"/>
        <v/>
      </c>
      <c r="L2064" s="1" t="str">
        <f t="shared" si="98"/>
        <v/>
      </c>
      <c r="M2064" s="1">
        <f>IF(OR(Table1[[#This Row],[Std Nom]]="",Table1[[#This Row],[Std Read]]=""),0,Table1[[#This Row],[Std Nom]]-Table1[[#This Row],[Std Read]])</f>
        <v>0</v>
      </c>
      <c r="N2064" s="1">
        <f>IF(Calculations!$F$5="ACCREDITED 17025 WITH UNCERTAINTIES",$N$10,0)</f>
        <v>0</v>
      </c>
      <c r="O2064" s="1" t="str">
        <f>IFERROR(Table1[[#This Row],[Std Nom]]-(_xlfn.XLOOKUP(Table1[[#This Row],[Manufacturer]]&amp;" "&amp;Table1[[#This Row],[Model]],Table13[MFR &amp; MDL],Table13[Tolerance % CW ],"")/100*Table1[[#This Row],[Std Nom]]),"")</f>
        <v/>
      </c>
      <c r="P2064" s="1" t="str">
        <f>IFERROR(Table1[[#This Row],[Std Nom]]+(_xlfn.XLOOKUP(Table1[[#This Row],[Manufacturer]]&amp;" "&amp;Table1[[#This Row],[Model]],Table13[MFR &amp; MDL],Table13[Tolerance % CW ],"")/100*Table1[[#This Row],[Std Nom]]),"")</f>
        <v/>
      </c>
      <c r="Q2064" s="1" t="e">
        <f>Table1[[#This Row],[High Tol]]-Table1[[#This Row],[Low Tol]]</f>
        <v>#VALUE!</v>
      </c>
      <c r="R2064" s="1">
        <f>2*Table1[[#This Row],[Std Error]]</f>
        <v>0</v>
      </c>
      <c r="S2064" s="1" t="str">
        <f>IF(Table1[[#This Row],[High Tol]]="","N/A",IFERROR(ABS(Table1[[#This Row],[Tol Span]]/Table1[[#This Row],[Error Span]]),"N/A"))</f>
        <v>N/A</v>
      </c>
      <c r="T2064" s="1" t="str">
        <f>IF(OR(Table1[[#This Row],[Low Tol]]="",Table1[[#This Row],[High Tol]]=""),"Needs Analysis",IF(Table1[[#This Row],[Ratio]]&gt;=4,"Not Significant",IF(Table1[[#This Row],[Ratio]]&gt;=2,"Semi-Significant","Significant")))</f>
        <v>Needs Analysis</v>
      </c>
      <c r="W2064" s="1">
        <f>IF(Table1[[#This Row],[Cal Type]]&lt;&gt;"ACCREDITED 17025 WITH UNCERTAINTIES",0,"")</f>
        <v>0</v>
      </c>
      <c r="X2064" s="1" t="str">
        <f>IF(Table1[[#This Row],[DUT Read]]="","N/A",Table1[[#This Row],[Std Error]]+Table1[[#This Row],[DUT Read]]+Table1[[#This Row],[DUT Ucty]])</f>
        <v>N/A</v>
      </c>
      <c r="Y2064" s="1" t="str">
        <f>IF(Table1[[#This Row],[Std Read]]="","N/A",Table1[[#This Row],[Std Read]]+Table1[[#This Row],[Std Ucty]])</f>
        <v>N/A</v>
      </c>
      <c r="Z20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4" s="1" t="str">
        <f>IF(Table1[[#This Row],[Spec Type]]="","N/A",Table1[[#This Row],[Spec Type]])</f>
        <v>±</v>
      </c>
      <c r="AC2064" s="1" t="str">
        <f>IF(Table1[[#This Row],[Spec Type2]]="N/A","N/A",IF(AND(Table1[[#This Row],[DUT Adj Read]]&gt;=Table1[[#This Row],[Low Tol]],Table1[[#This Row],[DUT Adj Read]]&lt;=Table1[[#This Row],[High Tol]]),"Pass","Fail"))</f>
        <v>Fail</v>
      </c>
      <c r="AD2064" s="1" t="str">
        <f>IF(AND(Table1[[#This Row],[Spec Type2]]="N/A",Table1[[#This Row],[DUT Adj Read]]="N/A",Table1[[#This Row],[Std Adj Read]]="N/A"),"N/A",IF(Table1[[#This Row],[DUT Adj Read]]="N/A",IF(Table1[[#This Row],[Std Adj Read]]&gt;Table1[[#This Row],[Low Tol]],"Pass","Fail"),IF(Table1[[#This Row],[DUT Adj Read]]&gt;Table1[[#This Row],[Low Tol]],"Pass","Fail")))</f>
        <v>Pass</v>
      </c>
      <c r="AE2064" s="1" t="str">
        <f>IF(AND(Table1[[#This Row],[Spec Type2]]="N/A",Table1[[#This Row],[DUT Adj Read]]="N/A",Table1[[#This Row],[Std Adj Read]]="N/A"),"N/A",IF(Table1[[#This Row],[DUT Adj Read]]="N/A",IF(Table1[[#This Row],[Std Adj Read]]&lt;Table1[[#This Row],[High Tol]],"Pass","Fail"),IF(Table1[[#This Row],[DUT Adj Read]]&lt;Table1[[#This Row],[High Tol]],"Pass","Fail")))</f>
        <v>Fail</v>
      </c>
      <c r="AF2064" s="1" t="str">
        <f>IF(AND(Table1[[#This Row],[Spec Type2]]="N/A",Table1[[#This Row],[DUT Adj Read]]="N/A",Table1[[#This Row],[Std Adj Read]]="N/A"),"N/A",IF(Table1[[#This Row],[DUT Adj Read]]="N/A",IF(Table1[[#This Row],[Std Adj Read]]&gt;=Table1[[#This Row],[Low Tol]],"Pass","Fail"),IF(Table1[[#This Row],[DUT Adj Read]]&gt;=Table1[[#This Row],[Low Tol]],"Pass","Fail")))</f>
        <v>Pass</v>
      </c>
      <c r="AG2064" s="1" t="str">
        <f>IF(AND(Table1[[#This Row],[Spec Type2]]="N/A",Table1[[#This Row],[DUT Adj Read]]="N/A",Table1[[#This Row],[Std Adj Read]]="N/A"),"N/A",IF(Table1[[#This Row],[DUT Adj Read]]="N/A",IF(Table1[[#This Row],[Std Adj Read]]&lt;=Table1[[#This Row],[High Tol]],"Pass","Fail"),IF(Table1[[#This Row],[DUT Adj Read]]&lt;=Table1[[#This Row],[High Tol]],"Pass","Fail")))</f>
        <v>Fail</v>
      </c>
      <c r="AH20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4" s="1" t="b">
        <v>0</v>
      </c>
      <c r="AN2064" s="1" t="b">
        <v>0</v>
      </c>
      <c r="AO2064" s="1" t="b">
        <v>0</v>
      </c>
    </row>
    <row r="2065" spans="1:41" x14ac:dyDescent="0.25">
      <c r="A2065" s="10"/>
      <c r="B2065" s="10"/>
      <c r="C2065" s="10"/>
      <c r="D2065" s="10"/>
      <c r="E2065" s="10"/>
      <c r="F2065" s="10"/>
      <c r="G2065" s="10"/>
      <c r="H2065" s="10"/>
      <c r="I2065" s="1" t="str">
        <f t="shared" si="96"/>
        <v/>
      </c>
      <c r="J2065" s="1" t="s">
        <v>35</v>
      </c>
      <c r="K2065" s="1" t="str">
        <f t="shared" si="97"/>
        <v/>
      </c>
      <c r="L2065" s="1" t="str">
        <f t="shared" si="98"/>
        <v/>
      </c>
      <c r="M2065" s="1">
        <f>IF(OR(Table1[[#This Row],[Std Nom]]="",Table1[[#This Row],[Std Read]]=""),0,Table1[[#This Row],[Std Nom]]-Table1[[#This Row],[Std Read]])</f>
        <v>0</v>
      </c>
      <c r="N2065" s="1">
        <f>IF(Calculations!$F$5="ACCREDITED 17025 WITH UNCERTAINTIES",$N$10,0)</f>
        <v>0</v>
      </c>
      <c r="O2065" s="1" t="str">
        <f>IFERROR(Table1[[#This Row],[Std Nom]]-(_xlfn.XLOOKUP(Table1[[#This Row],[Manufacturer]]&amp;" "&amp;Table1[[#This Row],[Model]],Table13[MFR &amp; MDL],Table13[Tolerance % CW ],"")/100*Table1[[#This Row],[Std Nom]]),"")</f>
        <v/>
      </c>
      <c r="P2065" s="1" t="str">
        <f>IFERROR(Table1[[#This Row],[Std Nom]]+(_xlfn.XLOOKUP(Table1[[#This Row],[Manufacturer]]&amp;" "&amp;Table1[[#This Row],[Model]],Table13[MFR &amp; MDL],Table13[Tolerance % CW ],"")/100*Table1[[#This Row],[Std Nom]]),"")</f>
        <v/>
      </c>
      <c r="Q2065" s="1" t="e">
        <f>Table1[[#This Row],[High Tol]]-Table1[[#This Row],[Low Tol]]</f>
        <v>#VALUE!</v>
      </c>
      <c r="R2065" s="1">
        <f>2*Table1[[#This Row],[Std Error]]</f>
        <v>0</v>
      </c>
      <c r="S2065" s="1" t="str">
        <f>IF(Table1[[#This Row],[High Tol]]="","N/A",IFERROR(ABS(Table1[[#This Row],[Tol Span]]/Table1[[#This Row],[Error Span]]),"N/A"))</f>
        <v>N/A</v>
      </c>
      <c r="T2065" s="1" t="str">
        <f>IF(OR(Table1[[#This Row],[Low Tol]]="",Table1[[#This Row],[High Tol]]=""),"Needs Analysis",IF(Table1[[#This Row],[Ratio]]&gt;=4,"Not Significant",IF(Table1[[#This Row],[Ratio]]&gt;=2,"Semi-Significant","Significant")))</f>
        <v>Needs Analysis</v>
      </c>
      <c r="W2065" s="1">
        <f>IF(Table1[[#This Row],[Cal Type]]&lt;&gt;"ACCREDITED 17025 WITH UNCERTAINTIES",0,"")</f>
        <v>0</v>
      </c>
      <c r="X2065" s="1" t="str">
        <f>IF(Table1[[#This Row],[DUT Read]]="","N/A",Table1[[#This Row],[Std Error]]+Table1[[#This Row],[DUT Read]]+Table1[[#This Row],[DUT Ucty]])</f>
        <v>N/A</v>
      </c>
      <c r="Y2065" s="1" t="str">
        <f>IF(Table1[[#This Row],[Std Read]]="","N/A",Table1[[#This Row],[Std Read]]+Table1[[#This Row],[Std Ucty]])</f>
        <v>N/A</v>
      </c>
      <c r="Z20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5" s="1" t="str">
        <f>IF(Table1[[#This Row],[Spec Type]]="","N/A",Table1[[#This Row],[Spec Type]])</f>
        <v>±</v>
      </c>
      <c r="AC2065" s="1" t="str">
        <f>IF(Table1[[#This Row],[Spec Type2]]="N/A","N/A",IF(AND(Table1[[#This Row],[DUT Adj Read]]&gt;=Table1[[#This Row],[Low Tol]],Table1[[#This Row],[DUT Adj Read]]&lt;=Table1[[#This Row],[High Tol]]),"Pass","Fail"))</f>
        <v>Fail</v>
      </c>
      <c r="AD2065" s="1" t="str">
        <f>IF(AND(Table1[[#This Row],[Spec Type2]]="N/A",Table1[[#This Row],[DUT Adj Read]]="N/A",Table1[[#This Row],[Std Adj Read]]="N/A"),"N/A",IF(Table1[[#This Row],[DUT Adj Read]]="N/A",IF(Table1[[#This Row],[Std Adj Read]]&gt;Table1[[#This Row],[Low Tol]],"Pass","Fail"),IF(Table1[[#This Row],[DUT Adj Read]]&gt;Table1[[#This Row],[Low Tol]],"Pass","Fail")))</f>
        <v>Pass</v>
      </c>
      <c r="AE2065" s="1" t="str">
        <f>IF(AND(Table1[[#This Row],[Spec Type2]]="N/A",Table1[[#This Row],[DUT Adj Read]]="N/A",Table1[[#This Row],[Std Adj Read]]="N/A"),"N/A",IF(Table1[[#This Row],[DUT Adj Read]]="N/A",IF(Table1[[#This Row],[Std Adj Read]]&lt;Table1[[#This Row],[High Tol]],"Pass","Fail"),IF(Table1[[#This Row],[DUT Adj Read]]&lt;Table1[[#This Row],[High Tol]],"Pass","Fail")))</f>
        <v>Fail</v>
      </c>
      <c r="AF2065" s="1" t="str">
        <f>IF(AND(Table1[[#This Row],[Spec Type2]]="N/A",Table1[[#This Row],[DUT Adj Read]]="N/A",Table1[[#This Row],[Std Adj Read]]="N/A"),"N/A",IF(Table1[[#This Row],[DUT Adj Read]]="N/A",IF(Table1[[#This Row],[Std Adj Read]]&gt;=Table1[[#This Row],[Low Tol]],"Pass","Fail"),IF(Table1[[#This Row],[DUT Adj Read]]&gt;=Table1[[#This Row],[Low Tol]],"Pass","Fail")))</f>
        <v>Pass</v>
      </c>
      <c r="AG2065" s="1" t="str">
        <f>IF(AND(Table1[[#This Row],[Spec Type2]]="N/A",Table1[[#This Row],[DUT Adj Read]]="N/A",Table1[[#This Row],[Std Adj Read]]="N/A"),"N/A",IF(Table1[[#This Row],[DUT Adj Read]]="N/A",IF(Table1[[#This Row],[Std Adj Read]]&lt;=Table1[[#This Row],[High Tol]],"Pass","Fail"),IF(Table1[[#This Row],[DUT Adj Read]]&lt;=Table1[[#This Row],[High Tol]],"Pass","Fail")))</f>
        <v>Fail</v>
      </c>
      <c r="AH20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5" s="1" t="b">
        <v>0</v>
      </c>
      <c r="AN2065" s="1" t="b">
        <v>0</v>
      </c>
      <c r="AO2065" s="1" t="b">
        <v>0</v>
      </c>
    </row>
    <row r="2066" spans="1:41" x14ac:dyDescent="0.25">
      <c r="A2066" s="10"/>
      <c r="B2066" s="10"/>
      <c r="C2066" s="10"/>
      <c r="D2066" s="10"/>
      <c r="E2066" s="10"/>
      <c r="F2066" s="10"/>
      <c r="G2066" s="10"/>
      <c r="H2066" s="10"/>
      <c r="I2066" s="1" t="str">
        <f t="shared" si="96"/>
        <v/>
      </c>
      <c r="J2066" s="1" t="s">
        <v>35</v>
      </c>
      <c r="K2066" s="1" t="str">
        <f t="shared" si="97"/>
        <v/>
      </c>
      <c r="L2066" s="1" t="str">
        <f t="shared" si="98"/>
        <v/>
      </c>
      <c r="M2066" s="1">
        <f>IF(OR(Table1[[#This Row],[Std Nom]]="",Table1[[#This Row],[Std Read]]=""),0,Table1[[#This Row],[Std Nom]]-Table1[[#This Row],[Std Read]])</f>
        <v>0</v>
      </c>
      <c r="N2066" s="1">
        <f>IF(Calculations!$F$5="ACCREDITED 17025 WITH UNCERTAINTIES",$N$10,0)</f>
        <v>0</v>
      </c>
      <c r="O2066" s="1" t="str">
        <f>IFERROR(Table1[[#This Row],[Std Nom]]-(_xlfn.XLOOKUP(Table1[[#This Row],[Manufacturer]]&amp;" "&amp;Table1[[#This Row],[Model]],Table13[MFR &amp; MDL],Table13[Tolerance % CW ],"")/100*Table1[[#This Row],[Std Nom]]),"")</f>
        <v/>
      </c>
      <c r="P2066" s="1" t="str">
        <f>IFERROR(Table1[[#This Row],[Std Nom]]+(_xlfn.XLOOKUP(Table1[[#This Row],[Manufacturer]]&amp;" "&amp;Table1[[#This Row],[Model]],Table13[MFR &amp; MDL],Table13[Tolerance % CW ],"")/100*Table1[[#This Row],[Std Nom]]),"")</f>
        <v/>
      </c>
      <c r="Q2066" s="1" t="e">
        <f>Table1[[#This Row],[High Tol]]-Table1[[#This Row],[Low Tol]]</f>
        <v>#VALUE!</v>
      </c>
      <c r="R2066" s="1">
        <f>2*Table1[[#This Row],[Std Error]]</f>
        <v>0</v>
      </c>
      <c r="S2066" s="1" t="str">
        <f>IF(Table1[[#This Row],[High Tol]]="","N/A",IFERROR(ABS(Table1[[#This Row],[Tol Span]]/Table1[[#This Row],[Error Span]]),"N/A"))</f>
        <v>N/A</v>
      </c>
      <c r="T2066" s="1" t="str">
        <f>IF(OR(Table1[[#This Row],[Low Tol]]="",Table1[[#This Row],[High Tol]]=""),"Needs Analysis",IF(Table1[[#This Row],[Ratio]]&gt;=4,"Not Significant",IF(Table1[[#This Row],[Ratio]]&gt;=2,"Semi-Significant","Significant")))</f>
        <v>Needs Analysis</v>
      </c>
      <c r="W2066" s="1">
        <f>IF(Table1[[#This Row],[Cal Type]]&lt;&gt;"ACCREDITED 17025 WITH UNCERTAINTIES",0,"")</f>
        <v>0</v>
      </c>
      <c r="X2066" s="1" t="str">
        <f>IF(Table1[[#This Row],[DUT Read]]="","N/A",Table1[[#This Row],[Std Error]]+Table1[[#This Row],[DUT Read]]+Table1[[#This Row],[DUT Ucty]])</f>
        <v>N/A</v>
      </c>
      <c r="Y2066" s="1" t="str">
        <f>IF(Table1[[#This Row],[Std Read]]="","N/A",Table1[[#This Row],[Std Read]]+Table1[[#This Row],[Std Ucty]])</f>
        <v>N/A</v>
      </c>
      <c r="Z20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6" s="1" t="str">
        <f>IF(Table1[[#This Row],[Spec Type]]="","N/A",Table1[[#This Row],[Spec Type]])</f>
        <v>±</v>
      </c>
      <c r="AC2066" s="1" t="str">
        <f>IF(Table1[[#This Row],[Spec Type2]]="N/A","N/A",IF(AND(Table1[[#This Row],[DUT Adj Read]]&gt;=Table1[[#This Row],[Low Tol]],Table1[[#This Row],[DUT Adj Read]]&lt;=Table1[[#This Row],[High Tol]]),"Pass","Fail"))</f>
        <v>Fail</v>
      </c>
      <c r="AD2066" s="1" t="str">
        <f>IF(AND(Table1[[#This Row],[Spec Type2]]="N/A",Table1[[#This Row],[DUT Adj Read]]="N/A",Table1[[#This Row],[Std Adj Read]]="N/A"),"N/A",IF(Table1[[#This Row],[DUT Adj Read]]="N/A",IF(Table1[[#This Row],[Std Adj Read]]&gt;Table1[[#This Row],[Low Tol]],"Pass","Fail"),IF(Table1[[#This Row],[DUT Adj Read]]&gt;Table1[[#This Row],[Low Tol]],"Pass","Fail")))</f>
        <v>Pass</v>
      </c>
      <c r="AE2066" s="1" t="str">
        <f>IF(AND(Table1[[#This Row],[Spec Type2]]="N/A",Table1[[#This Row],[DUT Adj Read]]="N/A",Table1[[#This Row],[Std Adj Read]]="N/A"),"N/A",IF(Table1[[#This Row],[DUT Adj Read]]="N/A",IF(Table1[[#This Row],[Std Adj Read]]&lt;Table1[[#This Row],[High Tol]],"Pass","Fail"),IF(Table1[[#This Row],[DUT Adj Read]]&lt;Table1[[#This Row],[High Tol]],"Pass","Fail")))</f>
        <v>Fail</v>
      </c>
      <c r="AF2066" s="1" t="str">
        <f>IF(AND(Table1[[#This Row],[Spec Type2]]="N/A",Table1[[#This Row],[DUT Adj Read]]="N/A",Table1[[#This Row],[Std Adj Read]]="N/A"),"N/A",IF(Table1[[#This Row],[DUT Adj Read]]="N/A",IF(Table1[[#This Row],[Std Adj Read]]&gt;=Table1[[#This Row],[Low Tol]],"Pass","Fail"),IF(Table1[[#This Row],[DUT Adj Read]]&gt;=Table1[[#This Row],[Low Tol]],"Pass","Fail")))</f>
        <v>Pass</v>
      </c>
      <c r="AG2066" s="1" t="str">
        <f>IF(AND(Table1[[#This Row],[Spec Type2]]="N/A",Table1[[#This Row],[DUT Adj Read]]="N/A",Table1[[#This Row],[Std Adj Read]]="N/A"),"N/A",IF(Table1[[#This Row],[DUT Adj Read]]="N/A",IF(Table1[[#This Row],[Std Adj Read]]&lt;=Table1[[#This Row],[High Tol]],"Pass","Fail"),IF(Table1[[#This Row],[DUT Adj Read]]&lt;=Table1[[#This Row],[High Tol]],"Pass","Fail")))</f>
        <v>Fail</v>
      </c>
      <c r="AH20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6" s="1" t="b">
        <v>0</v>
      </c>
      <c r="AN2066" s="1" t="b">
        <v>0</v>
      </c>
      <c r="AO2066" s="1" t="b">
        <v>0</v>
      </c>
    </row>
    <row r="2067" spans="1:41" x14ac:dyDescent="0.25">
      <c r="A2067" s="10"/>
      <c r="B2067" s="10"/>
      <c r="C2067" s="10"/>
      <c r="D2067" s="10"/>
      <c r="E2067" s="10"/>
      <c r="F2067" s="10"/>
      <c r="G2067" s="10"/>
      <c r="H2067" s="10"/>
      <c r="I2067" s="1" t="str">
        <f t="shared" si="96"/>
        <v/>
      </c>
      <c r="J2067" s="1" t="s">
        <v>35</v>
      </c>
      <c r="K2067" s="1" t="str">
        <f t="shared" si="97"/>
        <v/>
      </c>
      <c r="L2067" s="1" t="str">
        <f t="shared" si="98"/>
        <v/>
      </c>
      <c r="M2067" s="1">
        <f>IF(OR(Table1[[#This Row],[Std Nom]]="",Table1[[#This Row],[Std Read]]=""),0,Table1[[#This Row],[Std Nom]]-Table1[[#This Row],[Std Read]])</f>
        <v>0</v>
      </c>
      <c r="N2067" s="1">
        <f>IF(Calculations!$F$5="ACCREDITED 17025 WITH UNCERTAINTIES",$N$10,0)</f>
        <v>0</v>
      </c>
      <c r="O2067" s="1" t="str">
        <f>IFERROR(Table1[[#This Row],[Std Nom]]-(_xlfn.XLOOKUP(Table1[[#This Row],[Manufacturer]]&amp;" "&amp;Table1[[#This Row],[Model]],Table13[MFR &amp; MDL],Table13[Tolerance % CW ],"")/100*Table1[[#This Row],[Std Nom]]),"")</f>
        <v/>
      </c>
      <c r="P2067" s="1" t="str">
        <f>IFERROR(Table1[[#This Row],[Std Nom]]+(_xlfn.XLOOKUP(Table1[[#This Row],[Manufacturer]]&amp;" "&amp;Table1[[#This Row],[Model]],Table13[MFR &amp; MDL],Table13[Tolerance % CW ],"")/100*Table1[[#This Row],[Std Nom]]),"")</f>
        <v/>
      </c>
      <c r="Q2067" s="1" t="e">
        <f>Table1[[#This Row],[High Tol]]-Table1[[#This Row],[Low Tol]]</f>
        <v>#VALUE!</v>
      </c>
      <c r="R2067" s="1">
        <f>2*Table1[[#This Row],[Std Error]]</f>
        <v>0</v>
      </c>
      <c r="S2067" s="1" t="str">
        <f>IF(Table1[[#This Row],[High Tol]]="","N/A",IFERROR(ABS(Table1[[#This Row],[Tol Span]]/Table1[[#This Row],[Error Span]]),"N/A"))</f>
        <v>N/A</v>
      </c>
      <c r="T2067" s="1" t="str">
        <f>IF(OR(Table1[[#This Row],[Low Tol]]="",Table1[[#This Row],[High Tol]]=""),"Needs Analysis",IF(Table1[[#This Row],[Ratio]]&gt;=4,"Not Significant",IF(Table1[[#This Row],[Ratio]]&gt;=2,"Semi-Significant","Significant")))</f>
        <v>Needs Analysis</v>
      </c>
      <c r="W2067" s="1">
        <f>IF(Table1[[#This Row],[Cal Type]]&lt;&gt;"ACCREDITED 17025 WITH UNCERTAINTIES",0,"")</f>
        <v>0</v>
      </c>
      <c r="X2067" s="1" t="str">
        <f>IF(Table1[[#This Row],[DUT Read]]="","N/A",Table1[[#This Row],[Std Error]]+Table1[[#This Row],[DUT Read]]+Table1[[#This Row],[DUT Ucty]])</f>
        <v>N/A</v>
      </c>
      <c r="Y2067" s="1" t="str">
        <f>IF(Table1[[#This Row],[Std Read]]="","N/A",Table1[[#This Row],[Std Read]]+Table1[[#This Row],[Std Ucty]])</f>
        <v>N/A</v>
      </c>
      <c r="Z20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7" s="1" t="str">
        <f>IF(Table1[[#This Row],[Spec Type]]="","N/A",Table1[[#This Row],[Spec Type]])</f>
        <v>±</v>
      </c>
      <c r="AC2067" s="1" t="str">
        <f>IF(Table1[[#This Row],[Spec Type2]]="N/A","N/A",IF(AND(Table1[[#This Row],[DUT Adj Read]]&gt;=Table1[[#This Row],[Low Tol]],Table1[[#This Row],[DUT Adj Read]]&lt;=Table1[[#This Row],[High Tol]]),"Pass","Fail"))</f>
        <v>Fail</v>
      </c>
      <c r="AD2067" s="1" t="str">
        <f>IF(AND(Table1[[#This Row],[Spec Type2]]="N/A",Table1[[#This Row],[DUT Adj Read]]="N/A",Table1[[#This Row],[Std Adj Read]]="N/A"),"N/A",IF(Table1[[#This Row],[DUT Adj Read]]="N/A",IF(Table1[[#This Row],[Std Adj Read]]&gt;Table1[[#This Row],[Low Tol]],"Pass","Fail"),IF(Table1[[#This Row],[DUT Adj Read]]&gt;Table1[[#This Row],[Low Tol]],"Pass","Fail")))</f>
        <v>Pass</v>
      </c>
      <c r="AE2067" s="1" t="str">
        <f>IF(AND(Table1[[#This Row],[Spec Type2]]="N/A",Table1[[#This Row],[DUT Adj Read]]="N/A",Table1[[#This Row],[Std Adj Read]]="N/A"),"N/A",IF(Table1[[#This Row],[DUT Adj Read]]="N/A",IF(Table1[[#This Row],[Std Adj Read]]&lt;Table1[[#This Row],[High Tol]],"Pass","Fail"),IF(Table1[[#This Row],[DUT Adj Read]]&lt;Table1[[#This Row],[High Tol]],"Pass","Fail")))</f>
        <v>Fail</v>
      </c>
      <c r="AF2067" s="1" t="str">
        <f>IF(AND(Table1[[#This Row],[Spec Type2]]="N/A",Table1[[#This Row],[DUT Adj Read]]="N/A",Table1[[#This Row],[Std Adj Read]]="N/A"),"N/A",IF(Table1[[#This Row],[DUT Adj Read]]="N/A",IF(Table1[[#This Row],[Std Adj Read]]&gt;=Table1[[#This Row],[Low Tol]],"Pass","Fail"),IF(Table1[[#This Row],[DUT Adj Read]]&gt;=Table1[[#This Row],[Low Tol]],"Pass","Fail")))</f>
        <v>Pass</v>
      </c>
      <c r="AG2067" s="1" t="str">
        <f>IF(AND(Table1[[#This Row],[Spec Type2]]="N/A",Table1[[#This Row],[DUT Adj Read]]="N/A",Table1[[#This Row],[Std Adj Read]]="N/A"),"N/A",IF(Table1[[#This Row],[DUT Adj Read]]="N/A",IF(Table1[[#This Row],[Std Adj Read]]&lt;=Table1[[#This Row],[High Tol]],"Pass","Fail"),IF(Table1[[#This Row],[DUT Adj Read]]&lt;=Table1[[#This Row],[High Tol]],"Pass","Fail")))</f>
        <v>Fail</v>
      </c>
      <c r="AH20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7" s="1" t="b">
        <v>0</v>
      </c>
      <c r="AN2067" s="1" t="b">
        <v>0</v>
      </c>
      <c r="AO2067" s="1" t="b">
        <v>0</v>
      </c>
    </row>
    <row r="2068" spans="1:41" x14ac:dyDescent="0.25">
      <c r="A2068" s="10"/>
      <c r="B2068" s="10"/>
      <c r="C2068" s="10"/>
      <c r="D2068" s="10"/>
      <c r="E2068" s="10"/>
      <c r="F2068" s="10"/>
      <c r="G2068" s="10"/>
      <c r="H2068" s="10"/>
      <c r="I2068" s="1" t="str">
        <f t="shared" si="96"/>
        <v/>
      </c>
      <c r="J2068" s="1" t="s">
        <v>35</v>
      </c>
      <c r="K2068" s="1" t="str">
        <f t="shared" si="97"/>
        <v/>
      </c>
      <c r="L2068" s="1" t="str">
        <f t="shared" si="98"/>
        <v/>
      </c>
      <c r="M2068" s="1">
        <f>IF(OR(Table1[[#This Row],[Std Nom]]="",Table1[[#This Row],[Std Read]]=""),0,Table1[[#This Row],[Std Nom]]-Table1[[#This Row],[Std Read]])</f>
        <v>0</v>
      </c>
      <c r="N2068" s="1">
        <f>IF(Calculations!$F$5="ACCREDITED 17025 WITH UNCERTAINTIES",$N$10,0)</f>
        <v>0</v>
      </c>
      <c r="O2068" s="1" t="str">
        <f>IFERROR(Table1[[#This Row],[Std Nom]]-(_xlfn.XLOOKUP(Table1[[#This Row],[Manufacturer]]&amp;" "&amp;Table1[[#This Row],[Model]],Table13[MFR &amp; MDL],Table13[Tolerance % CW ],"")/100*Table1[[#This Row],[Std Nom]]),"")</f>
        <v/>
      </c>
      <c r="P2068" s="1" t="str">
        <f>IFERROR(Table1[[#This Row],[Std Nom]]+(_xlfn.XLOOKUP(Table1[[#This Row],[Manufacturer]]&amp;" "&amp;Table1[[#This Row],[Model]],Table13[MFR &amp; MDL],Table13[Tolerance % CW ],"")/100*Table1[[#This Row],[Std Nom]]),"")</f>
        <v/>
      </c>
      <c r="Q2068" s="1" t="e">
        <f>Table1[[#This Row],[High Tol]]-Table1[[#This Row],[Low Tol]]</f>
        <v>#VALUE!</v>
      </c>
      <c r="R2068" s="1">
        <f>2*Table1[[#This Row],[Std Error]]</f>
        <v>0</v>
      </c>
      <c r="S2068" s="1" t="str">
        <f>IF(Table1[[#This Row],[High Tol]]="","N/A",IFERROR(ABS(Table1[[#This Row],[Tol Span]]/Table1[[#This Row],[Error Span]]),"N/A"))</f>
        <v>N/A</v>
      </c>
      <c r="T2068" s="1" t="str">
        <f>IF(OR(Table1[[#This Row],[Low Tol]]="",Table1[[#This Row],[High Tol]]=""),"Needs Analysis",IF(Table1[[#This Row],[Ratio]]&gt;=4,"Not Significant",IF(Table1[[#This Row],[Ratio]]&gt;=2,"Semi-Significant","Significant")))</f>
        <v>Needs Analysis</v>
      </c>
      <c r="W2068" s="1">
        <f>IF(Table1[[#This Row],[Cal Type]]&lt;&gt;"ACCREDITED 17025 WITH UNCERTAINTIES",0,"")</f>
        <v>0</v>
      </c>
      <c r="X2068" s="1" t="str">
        <f>IF(Table1[[#This Row],[DUT Read]]="","N/A",Table1[[#This Row],[Std Error]]+Table1[[#This Row],[DUT Read]]+Table1[[#This Row],[DUT Ucty]])</f>
        <v>N/A</v>
      </c>
      <c r="Y2068" s="1" t="str">
        <f>IF(Table1[[#This Row],[Std Read]]="","N/A",Table1[[#This Row],[Std Read]]+Table1[[#This Row],[Std Ucty]])</f>
        <v>N/A</v>
      </c>
      <c r="Z20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8" s="1" t="str">
        <f>IF(Table1[[#This Row],[Spec Type]]="","N/A",Table1[[#This Row],[Spec Type]])</f>
        <v>±</v>
      </c>
      <c r="AC2068" s="1" t="str">
        <f>IF(Table1[[#This Row],[Spec Type2]]="N/A","N/A",IF(AND(Table1[[#This Row],[DUT Adj Read]]&gt;=Table1[[#This Row],[Low Tol]],Table1[[#This Row],[DUT Adj Read]]&lt;=Table1[[#This Row],[High Tol]]),"Pass","Fail"))</f>
        <v>Fail</v>
      </c>
      <c r="AD2068" s="1" t="str">
        <f>IF(AND(Table1[[#This Row],[Spec Type2]]="N/A",Table1[[#This Row],[DUT Adj Read]]="N/A",Table1[[#This Row],[Std Adj Read]]="N/A"),"N/A",IF(Table1[[#This Row],[DUT Adj Read]]="N/A",IF(Table1[[#This Row],[Std Adj Read]]&gt;Table1[[#This Row],[Low Tol]],"Pass","Fail"),IF(Table1[[#This Row],[DUT Adj Read]]&gt;Table1[[#This Row],[Low Tol]],"Pass","Fail")))</f>
        <v>Pass</v>
      </c>
      <c r="AE2068" s="1" t="str">
        <f>IF(AND(Table1[[#This Row],[Spec Type2]]="N/A",Table1[[#This Row],[DUT Adj Read]]="N/A",Table1[[#This Row],[Std Adj Read]]="N/A"),"N/A",IF(Table1[[#This Row],[DUT Adj Read]]="N/A",IF(Table1[[#This Row],[Std Adj Read]]&lt;Table1[[#This Row],[High Tol]],"Pass","Fail"),IF(Table1[[#This Row],[DUT Adj Read]]&lt;Table1[[#This Row],[High Tol]],"Pass","Fail")))</f>
        <v>Fail</v>
      </c>
      <c r="AF2068" s="1" t="str">
        <f>IF(AND(Table1[[#This Row],[Spec Type2]]="N/A",Table1[[#This Row],[DUT Adj Read]]="N/A",Table1[[#This Row],[Std Adj Read]]="N/A"),"N/A",IF(Table1[[#This Row],[DUT Adj Read]]="N/A",IF(Table1[[#This Row],[Std Adj Read]]&gt;=Table1[[#This Row],[Low Tol]],"Pass","Fail"),IF(Table1[[#This Row],[DUT Adj Read]]&gt;=Table1[[#This Row],[Low Tol]],"Pass","Fail")))</f>
        <v>Pass</v>
      </c>
      <c r="AG2068" s="1" t="str">
        <f>IF(AND(Table1[[#This Row],[Spec Type2]]="N/A",Table1[[#This Row],[DUT Adj Read]]="N/A",Table1[[#This Row],[Std Adj Read]]="N/A"),"N/A",IF(Table1[[#This Row],[DUT Adj Read]]="N/A",IF(Table1[[#This Row],[Std Adj Read]]&lt;=Table1[[#This Row],[High Tol]],"Pass","Fail"),IF(Table1[[#This Row],[DUT Adj Read]]&lt;=Table1[[#This Row],[High Tol]],"Pass","Fail")))</f>
        <v>Fail</v>
      </c>
      <c r="AH20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8" s="1" t="b">
        <v>0</v>
      </c>
      <c r="AN2068" s="1" t="b">
        <v>0</v>
      </c>
      <c r="AO2068" s="1" t="b">
        <v>0</v>
      </c>
    </row>
    <row r="2069" spans="1:41" x14ac:dyDescent="0.25">
      <c r="A2069" s="10"/>
      <c r="B2069" s="10"/>
      <c r="C2069" s="10"/>
      <c r="D2069" s="10"/>
      <c r="E2069" s="10"/>
      <c r="F2069" s="10"/>
      <c r="G2069" s="10"/>
      <c r="H2069" s="10"/>
      <c r="I2069" s="1" t="str">
        <f t="shared" si="96"/>
        <v/>
      </c>
      <c r="J2069" s="1" t="s">
        <v>35</v>
      </c>
      <c r="K2069" s="1" t="str">
        <f t="shared" si="97"/>
        <v/>
      </c>
      <c r="L2069" s="1" t="str">
        <f t="shared" si="98"/>
        <v/>
      </c>
      <c r="M2069" s="1">
        <f>IF(OR(Table1[[#This Row],[Std Nom]]="",Table1[[#This Row],[Std Read]]=""),0,Table1[[#This Row],[Std Nom]]-Table1[[#This Row],[Std Read]])</f>
        <v>0</v>
      </c>
      <c r="N2069" s="1">
        <f>IF(Calculations!$F$5="ACCREDITED 17025 WITH UNCERTAINTIES",$N$10,0)</f>
        <v>0</v>
      </c>
      <c r="O2069" s="1" t="str">
        <f>IFERROR(Table1[[#This Row],[Std Nom]]-(_xlfn.XLOOKUP(Table1[[#This Row],[Manufacturer]]&amp;" "&amp;Table1[[#This Row],[Model]],Table13[MFR &amp; MDL],Table13[Tolerance % CW ],"")/100*Table1[[#This Row],[Std Nom]]),"")</f>
        <v/>
      </c>
      <c r="P2069" s="1" t="str">
        <f>IFERROR(Table1[[#This Row],[Std Nom]]+(_xlfn.XLOOKUP(Table1[[#This Row],[Manufacturer]]&amp;" "&amp;Table1[[#This Row],[Model]],Table13[MFR &amp; MDL],Table13[Tolerance % CW ],"")/100*Table1[[#This Row],[Std Nom]]),"")</f>
        <v/>
      </c>
      <c r="Q2069" s="1" t="e">
        <f>Table1[[#This Row],[High Tol]]-Table1[[#This Row],[Low Tol]]</f>
        <v>#VALUE!</v>
      </c>
      <c r="R2069" s="1">
        <f>2*Table1[[#This Row],[Std Error]]</f>
        <v>0</v>
      </c>
      <c r="S2069" s="1" t="str">
        <f>IF(Table1[[#This Row],[High Tol]]="","N/A",IFERROR(ABS(Table1[[#This Row],[Tol Span]]/Table1[[#This Row],[Error Span]]),"N/A"))</f>
        <v>N/A</v>
      </c>
      <c r="T2069" s="1" t="str">
        <f>IF(OR(Table1[[#This Row],[Low Tol]]="",Table1[[#This Row],[High Tol]]=""),"Needs Analysis",IF(Table1[[#This Row],[Ratio]]&gt;=4,"Not Significant",IF(Table1[[#This Row],[Ratio]]&gt;=2,"Semi-Significant","Significant")))</f>
        <v>Needs Analysis</v>
      </c>
      <c r="W2069" s="1">
        <f>IF(Table1[[#This Row],[Cal Type]]&lt;&gt;"ACCREDITED 17025 WITH UNCERTAINTIES",0,"")</f>
        <v>0</v>
      </c>
      <c r="X2069" s="1" t="str">
        <f>IF(Table1[[#This Row],[DUT Read]]="","N/A",Table1[[#This Row],[Std Error]]+Table1[[#This Row],[DUT Read]]+Table1[[#This Row],[DUT Ucty]])</f>
        <v>N/A</v>
      </c>
      <c r="Y2069" s="1" t="str">
        <f>IF(Table1[[#This Row],[Std Read]]="","N/A",Table1[[#This Row],[Std Read]]+Table1[[#This Row],[Std Ucty]])</f>
        <v>N/A</v>
      </c>
      <c r="Z20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9" s="1" t="str">
        <f>IF(Table1[[#This Row],[Spec Type]]="","N/A",Table1[[#This Row],[Spec Type]])</f>
        <v>±</v>
      </c>
      <c r="AC2069" s="1" t="str">
        <f>IF(Table1[[#This Row],[Spec Type2]]="N/A","N/A",IF(AND(Table1[[#This Row],[DUT Adj Read]]&gt;=Table1[[#This Row],[Low Tol]],Table1[[#This Row],[DUT Adj Read]]&lt;=Table1[[#This Row],[High Tol]]),"Pass","Fail"))</f>
        <v>Fail</v>
      </c>
      <c r="AD2069" s="1" t="str">
        <f>IF(AND(Table1[[#This Row],[Spec Type2]]="N/A",Table1[[#This Row],[DUT Adj Read]]="N/A",Table1[[#This Row],[Std Adj Read]]="N/A"),"N/A",IF(Table1[[#This Row],[DUT Adj Read]]="N/A",IF(Table1[[#This Row],[Std Adj Read]]&gt;Table1[[#This Row],[Low Tol]],"Pass","Fail"),IF(Table1[[#This Row],[DUT Adj Read]]&gt;Table1[[#This Row],[Low Tol]],"Pass","Fail")))</f>
        <v>Pass</v>
      </c>
      <c r="AE2069" s="1" t="str">
        <f>IF(AND(Table1[[#This Row],[Spec Type2]]="N/A",Table1[[#This Row],[DUT Adj Read]]="N/A",Table1[[#This Row],[Std Adj Read]]="N/A"),"N/A",IF(Table1[[#This Row],[DUT Adj Read]]="N/A",IF(Table1[[#This Row],[Std Adj Read]]&lt;Table1[[#This Row],[High Tol]],"Pass","Fail"),IF(Table1[[#This Row],[DUT Adj Read]]&lt;Table1[[#This Row],[High Tol]],"Pass","Fail")))</f>
        <v>Fail</v>
      </c>
      <c r="AF2069" s="1" t="str">
        <f>IF(AND(Table1[[#This Row],[Spec Type2]]="N/A",Table1[[#This Row],[DUT Adj Read]]="N/A",Table1[[#This Row],[Std Adj Read]]="N/A"),"N/A",IF(Table1[[#This Row],[DUT Adj Read]]="N/A",IF(Table1[[#This Row],[Std Adj Read]]&gt;=Table1[[#This Row],[Low Tol]],"Pass","Fail"),IF(Table1[[#This Row],[DUT Adj Read]]&gt;=Table1[[#This Row],[Low Tol]],"Pass","Fail")))</f>
        <v>Pass</v>
      </c>
      <c r="AG2069" s="1" t="str">
        <f>IF(AND(Table1[[#This Row],[Spec Type2]]="N/A",Table1[[#This Row],[DUT Adj Read]]="N/A",Table1[[#This Row],[Std Adj Read]]="N/A"),"N/A",IF(Table1[[#This Row],[DUT Adj Read]]="N/A",IF(Table1[[#This Row],[Std Adj Read]]&lt;=Table1[[#This Row],[High Tol]],"Pass","Fail"),IF(Table1[[#This Row],[DUT Adj Read]]&lt;=Table1[[#This Row],[High Tol]],"Pass","Fail")))</f>
        <v>Fail</v>
      </c>
      <c r="AH20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9" s="1" t="b">
        <v>0</v>
      </c>
      <c r="AN2069" s="1" t="b">
        <v>0</v>
      </c>
      <c r="AO2069" s="1" t="b">
        <v>0</v>
      </c>
    </row>
    <row r="2070" spans="1:41" x14ac:dyDescent="0.25">
      <c r="A2070" s="10"/>
      <c r="B2070" s="10"/>
      <c r="C2070" s="10"/>
      <c r="D2070" s="10"/>
      <c r="E2070" s="10"/>
      <c r="F2070" s="10"/>
      <c r="G2070" s="10"/>
      <c r="H2070" s="10"/>
      <c r="I2070" s="1" t="str">
        <f t="shared" si="96"/>
        <v/>
      </c>
      <c r="J2070" s="1" t="s">
        <v>35</v>
      </c>
      <c r="K2070" s="1" t="str">
        <f t="shared" si="97"/>
        <v/>
      </c>
      <c r="L2070" s="1" t="str">
        <f t="shared" si="98"/>
        <v/>
      </c>
      <c r="M2070" s="1">
        <f>IF(OR(Table1[[#This Row],[Std Nom]]="",Table1[[#This Row],[Std Read]]=""),0,Table1[[#This Row],[Std Nom]]-Table1[[#This Row],[Std Read]])</f>
        <v>0</v>
      </c>
      <c r="N2070" s="1">
        <f>IF(Calculations!$F$5="ACCREDITED 17025 WITH UNCERTAINTIES",$N$10,0)</f>
        <v>0</v>
      </c>
      <c r="O2070" s="1" t="str">
        <f>IFERROR(Table1[[#This Row],[Std Nom]]-(_xlfn.XLOOKUP(Table1[[#This Row],[Manufacturer]]&amp;" "&amp;Table1[[#This Row],[Model]],Table13[MFR &amp; MDL],Table13[Tolerance % CW ],"")/100*Table1[[#This Row],[Std Nom]]),"")</f>
        <v/>
      </c>
      <c r="P2070" s="1" t="str">
        <f>IFERROR(Table1[[#This Row],[Std Nom]]+(_xlfn.XLOOKUP(Table1[[#This Row],[Manufacturer]]&amp;" "&amp;Table1[[#This Row],[Model]],Table13[MFR &amp; MDL],Table13[Tolerance % CW ],"")/100*Table1[[#This Row],[Std Nom]]),"")</f>
        <v/>
      </c>
      <c r="Q2070" s="1" t="e">
        <f>Table1[[#This Row],[High Tol]]-Table1[[#This Row],[Low Tol]]</f>
        <v>#VALUE!</v>
      </c>
      <c r="R2070" s="1">
        <f>2*Table1[[#This Row],[Std Error]]</f>
        <v>0</v>
      </c>
      <c r="S2070" s="1" t="str">
        <f>IF(Table1[[#This Row],[High Tol]]="","N/A",IFERROR(ABS(Table1[[#This Row],[Tol Span]]/Table1[[#This Row],[Error Span]]),"N/A"))</f>
        <v>N/A</v>
      </c>
      <c r="T2070" s="1" t="str">
        <f>IF(OR(Table1[[#This Row],[Low Tol]]="",Table1[[#This Row],[High Tol]]=""),"Needs Analysis",IF(Table1[[#This Row],[Ratio]]&gt;=4,"Not Significant",IF(Table1[[#This Row],[Ratio]]&gt;=2,"Semi-Significant","Significant")))</f>
        <v>Needs Analysis</v>
      </c>
      <c r="W2070" s="1">
        <f>IF(Table1[[#This Row],[Cal Type]]&lt;&gt;"ACCREDITED 17025 WITH UNCERTAINTIES",0,"")</f>
        <v>0</v>
      </c>
      <c r="X2070" s="1" t="str">
        <f>IF(Table1[[#This Row],[DUT Read]]="","N/A",Table1[[#This Row],[Std Error]]+Table1[[#This Row],[DUT Read]]+Table1[[#This Row],[DUT Ucty]])</f>
        <v>N/A</v>
      </c>
      <c r="Y2070" s="1" t="str">
        <f>IF(Table1[[#This Row],[Std Read]]="","N/A",Table1[[#This Row],[Std Read]]+Table1[[#This Row],[Std Ucty]])</f>
        <v>N/A</v>
      </c>
      <c r="Z20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0" s="1" t="str">
        <f>IF(Table1[[#This Row],[Spec Type]]="","N/A",Table1[[#This Row],[Spec Type]])</f>
        <v>±</v>
      </c>
      <c r="AC2070" s="1" t="str">
        <f>IF(Table1[[#This Row],[Spec Type2]]="N/A","N/A",IF(AND(Table1[[#This Row],[DUT Adj Read]]&gt;=Table1[[#This Row],[Low Tol]],Table1[[#This Row],[DUT Adj Read]]&lt;=Table1[[#This Row],[High Tol]]),"Pass","Fail"))</f>
        <v>Fail</v>
      </c>
      <c r="AD2070" s="1" t="str">
        <f>IF(AND(Table1[[#This Row],[Spec Type2]]="N/A",Table1[[#This Row],[DUT Adj Read]]="N/A",Table1[[#This Row],[Std Adj Read]]="N/A"),"N/A",IF(Table1[[#This Row],[DUT Adj Read]]="N/A",IF(Table1[[#This Row],[Std Adj Read]]&gt;Table1[[#This Row],[Low Tol]],"Pass","Fail"),IF(Table1[[#This Row],[DUT Adj Read]]&gt;Table1[[#This Row],[Low Tol]],"Pass","Fail")))</f>
        <v>Pass</v>
      </c>
      <c r="AE2070" s="1" t="str">
        <f>IF(AND(Table1[[#This Row],[Spec Type2]]="N/A",Table1[[#This Row],[DUT Adj Read]]="N/A",Table1[[#This Row],[Std Adj Read]]="N/A"),"N/A",IF(Table1[[#This Row],[DUT Adj Read]]="N/A",IF(Table1[[#This Row],[Std Adj Read]]&lt;Table1[[#This Row],[High Tol]],"Pass","Fail"),IF(Table1[[#This Row],[DUT Adj Read]]&lt;Table1[[#This Row],[High Tol]],"Pass","Fail")))</f>
        <v>Fail</v>
      </c>
      <c r="AF2070" s="1" t="str">
        <f>IF(AND(Table1[[#This Row],[Spec Type2]]="N/A",Table1[[#This Row],[DUT Adj Read]]="N/A",Table1[[#This Row],[Std Adj Read]]="N/A"),"N/A",IF(Table1[[#This Row],[DUT Adj Read]]="N/A",IF(Table1[[#This Row],[Std Adj Read]]&gt;=Table1[[#This Row],[Low Tol]],"Pass","Fail"),IF(Table1[[#This Row],[DUT Adj Read]]&gt;=Table1[[#This Row],[Low Tol]],"Pass","Fail")))</f>
        <v>Pass</v>
      </c>
      <c r="AG2070" s="1" t="str">
        <f>IF(AND(Table1[[#This Row],[Spec Type2]]="N/A",Table1[[#This Row],[DUT Adj Read]]="N/A",Table1[[#This Row],[Std Adj Read]]="N/A"),"N/A",IF(Table1[[#This Row],[DUT Adj Read]]="N/A",IF(Table1[[#This Row],[Std Adj Read]]&lt;=Table1[[#This Row],[High Tol]],"Pass","Fail"),IF(Table1[[#This Row],[DUT Adj Read]]&lt;=Table1[[#This Row],[High Tol]],"Pass","Fail")))</f>
        <v>Fail</v>
      </c>
      <c r="AH20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0" s="1" t="b">
        <v>0</v>
      </c>
      <c r="AN2070" s="1" t="b">
        <v>0</v>
      </c>
      <c r="AO2070" s="1" t="b">
        <v>0</v>
      </c>
    </row>
    <row r="2071" spans="1:41" x14ac:dyDescent="0.25">
      <c r="A2071" s="10"/>
      <c r="B2071" s="10"/>
      <c r="C2071" s="10"/>
      <c r="D2071" s="10"/>
      <c r="E2071" s="10"/>
      <c r="F2071" s="10"/>
      <c r="G2071" s="10"/>
      <c r="H2071" s="10"/>
      <c r="I2071" s="1" t="str">
        <f t="shared" si="96"/>
        <v/>
      </c>
      <c r="J2071" s="1" t="s">
        <v>35</v>
      </c>
      <c r="K2071" s="1" t="str">
        <f t="shared" si="97"/>
        <v/>
      </c>
      <c r="L2071" s="1" t="str">
        <f t="shared" si="98"/>
        <v/>
      </c>
      <c r="M2071" s="1">
        <f>IF(OR(Table1[[#This Row],[Std Nom]]="",Table1[[#This Row],[Std Read]]=""),0,Table1[[#This Row],[Std Nom]]-Table1[[#This Row],[Std Read]])</f>
        <v>0</v>
      </c>
      <c r="N2071" s="1">
        <f>IF(Calculations!$F$5="ACCREDITED 17025 WITH UNCERTAINTIES",$N$10,0)</f>
        <v>0</v>
      </c>
      <c r="O2071" s="1" t="str">
        <f>IFERROR(Table1[[#This Row],[Std Nom]]-(_xlfn.XLOOKUP(Table1[[#This Row],[Manufacturer]]&amp;" "&amp;Table1[[#This Row],[Model]],Table13[MFR &amp; MDL],Table13[Tolerance % CW ],"")/100*Table1[[#This Row],[Std Nom]]),"")</f>
        <v/>
      </c>
      <c r="P2071" s="1" t="str">
        <f>IFERROR(Table1[[#This Row],[Std Nom]]+(_xlfn.XLOOKUP(Table1[[#This Row],[Manufacturer]]&amp;" "&amp;Table1[[#This Row],[Model]],Table13[MFR &amp; MDL],Table13[Tolerance % CW ],"")/100*Table1[[#This Row],[Std Nom]]),"")</f>
        <v/>
      </c>
      <c r="Q2071" s="1" t="e">
        <f>Table1[[#This Row],[High Tol]]-Table1[[#This Row],[Low Tol]]</f>
        <v>#VALUE!</v>
      </c>
      <c r="R2071" s="1">
        <f>2*Table1[[#This Row],[Std Error]]</f>
        <v>0</v>
      </c>
      <c r="S2071" s="1" t="str">
        <f>IF(Table1[[#This Row],[High Tol]]="","N/A",IFERROR(ABS(Table1[[#This Row],[Tol Span]]/Table1[[#This Row],[Error Span]]),"N/A"))</f>
        <v>N/A</v>
      </c>
      <c r="T2071" s="1" t="str">
        <f>IF(OR(Table1[[#This Row],[Low Tol]]="",Table1[[#This Row],[High Tol]]=""),"Needs Analysis",IF(Table1[[#This Row],[Ratio]]&gt;=4,"Not Significant",IF(Table1[[#This Row],[Ratio]]&gt;=2,"Semi-Significant","Significant")))</f>
        <v>Needs Analysis</v>
      </c>
      <c r="W2071" s="1">
        <f>IF(Table1[[#This Row],[Cal Type]]&lt;&gt;"ACCREDITED 17025 WITH UNCERTAINTIES",0,"")</f>
        <v>0</v>
      </c>
      <c r="X2071" s="1" t="str">
        <f>IF(Table1[[#This Row],[DUT Read]]="","N/A",Table1[[#This Row],[Std Error]]+Table1[[#This Row],[DUT Read]]+Table1[[#This Row],[DUT Ucty]])</f>
        <v>N/A</v>
      </c>
      <c r="Y2071" s="1" t="str">
        <f>IF(Table1[[#This Row],[Std Read]]="","N/A",Table1[[#This Row],[Std Read]]+Table1[[#This Row],[Std Ucty]])</f>
        <v>N/A</v>
      </c>
      <c r="Z20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1" s="1" t="str">
        <f>IF(Table1[[#This Row],[Spec Type]]="","N/A",Table1[[#This Row],[Spec Type]])</f>
        <v>±</v>
      </c>
      <c r="AC2071" s="1" t="str">
        <f>IF(Table1[[#This Row],[Spec Type2]]="N/A","N/A",IF(AND(Table1[[#This Row],[DUT Adj Read]]&gt;=Table1[[#This Row],[Low Tol]],Table1[[#This Row],[DUT Adj Read]]&lt;=Table1[[#This Row],[High Tol]]),"Pass","Fail"))</f>
        <v>Fail</v>
      </c>
      <c r="AD2071" s="1" t="str">
        <f>IF(AND(Table1[[#This Row],[Spec Type2]]="N/A",Table1[[#This Row],[DUT Adj Read]]="N/A",Table1[[#This Row],[Std Adj Read]]="N/A"),"N/A",IF(Table1[[#This Row],[DUT Adj Read]]="N/A",IF(Table1[[#This Row],[Std Adj Read]]&gt;Table1[[#This Row],[Low Tol]],"Pass","Fail"),IF(Table1[[#This Row],[DUT Adj Read]]&gt;Table1[[#This Row],[Low Tol]],"Pass","Fail")))</f>
        <v>Pass</v>
      </c>
      <c r="AE2071" s="1" t="str">
        <f>IF(AND(Table1[[#This Row],[Spec Type2]]="N/A",Table1[[#This Row],[DUT Adj Read]]="N/A",Table1[[#This Row],[Std Adj Read]]="N/A"),"N/A",IF(Table1[[#This Row],[DUT Adj Read]]="N/A",IF(Table1[[#This Row],[Std Adj Read]]&lt;Table1[[#This Row],[High Tol]],"Pass","Fail"),IF(Table1[[#This Row],[DUT Adj Read]]&lt;Table1[[#This Row],[High Tol]],"Pass","Fail")))</f>
        <v>Fail</v>
      </c>
      <c r="AF2071" s="1" t="str">
        <f>IF(AND(Table1[[#This Row],[Spec Type2]]="N/A",Table1[[#This Row],[DUT Adj Read]]="N/A",Table1[[#This Row],[Std Adj Read]]="N/A"),"N/A",IF(Table1[[#This Row],[DUT Adj Read]]="N/A",IF(Table1[[#This Row],[Std Adj Read]]&gt;=Table1[[#This Row],[Low Tol]],"Pass","Fail"),IF(Table1[[#This Row],[DUT Adj Read]]&gt;=Table1[[#This Row],[Low Tol]],"Pass","Fail")))</f>
        <v>Pass</v>
      </c>
      <c r="AG2071" s="1" t="str">
        <f>IF(AND(Table1[[#This Row],[Spec Type2]]="N/A",Table1[[#This Row],[DUT Adj Read]]="N/A",Table1[[#This Row],[Std Adj Read]]="N/A"),"N/A",IF(Table1[[#This Row],[DUT Adj Read]]="N/A",IF(Table1[[#This Row],[Std Adj Read]]&lt;=Table1[[#This Row],[High Tol]],"Pass","Fail"),IF(Table1[[#This Row],[DUT Adj Read]]&lt;=Table1[[#This Row],[High Tol]],"Pass","Fail")))</f>
        <v>Fail</v>
      </c>
      <c r="AH20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1" s="1" t="b">
        <v>0</v>
      </c>
      <c r="AN2071" s="1" t="b">
        <v>0</v>
      </c>
      <c r="AO2071" s="1" t="b">
        <v>0</v>
      </c>
    </row>
    <row r="2072" spans="1:41" x14ac:dyDescent="0.25">
      <c r="A2072" s="10"/>
      <c r="B2072" s="10"/>
      <c r="C2072" s="10"/>
      <c r="D2072" s="10"/>
      <c r="E2072" s="10"/>
      <c r="F2072" s="10"/>
      <c r="G2072" s="10"/>
      <c r="H2072" s="10"/>
      <c r="I2072" s="1" t="str">
        <f t="shared" si="96"/>
        <v/>
      </c>
      <c r="J2072" s="1" t="s">
        <v>35</v>
      </c>
      <c r="K2072" s="1" t="str">
        <f t="shared" si="97"/>
        <v/>
      </c>
      <c r="L2072" s="1" t="str">
        <f t="shared" si="98"/>
        <v/>
      </c>
      <c r="M2072" s="1">
        <f>IF(OR(Table1[[#This Row],[Std Nom]]="",Table1[[#This Row],[Std Read]]=""),0,Table1[[#This Row],[Std Nom]]-Table1[[#This Row],[Std Read]])</f>
        <v>0</v>
      </c>
      <c r="N2072" s="1">
        <f>IF(Calculations!$F$5="ACCREDITED 17025 WITH UNCERTAINTIES",$N$10,0)</f>
        <v>0</v>
      </c>
      <c r="O2072" s="1" t="str">
        <f>IFERROR(Table1[[#This Row],[Std Nom]]-(_xlfn.XLOOKUP(Table1[[#This Row],[Manufacturer]]&amp;" "&amp;Table1[[#This Row],[Model]],Table13[MFR &amp; MDL],Table13[Tolerance % CW ],"")/100*Table1[[#This Row],[Std Nom]]),"")</f>
        <v/>
      </c>
      <c r="P2072" s="1" t="str">
        <f>IFERROR(Table1[[#This Row],[Std Nom]]+(_xlfn.XLOOKUP(Table1[[#This Row],[Manufacturer]]&amp;" "&amp;Table1[[#This Row],[Model]],Table13[MFR &amp; MDL],Table13[Tolerance % CW ],"")/100*Table1[[#This Row],[Std Nom]]),"")</f>
        <v/>
      </c>
      <c r="Q2072" s="1" t="e">
        <f>Table1[[#This Row],[High Tol]]-Table1[[#This Row],[Low Tol]]</f>
        <v>#VALUE!</v>
      </c>
      <c r="R2072" s="1">
        <f>2*Table1[[#This Row],[Std Error]]</f>
        <v>0</v>
      </c>
      <c r="S2072" s="1" t="str">
        <f>IF(Table1[[#This Row],[High Tol]]="","N/A",IFERROR(ABS(Table1[[#This Row],[Tol Span]]/Table1[[#This Row],[Error Span]]),"N/A"))</f>
        <v>N/A</v>
      </c>
      <c r="T2072" s="1" t="str">
        <f>IF(OR(Table1[[#This Row],[Low Tol]]="",Table1[[#This Row],[High Tol]]=""),"Needs Analysis",IF(Table1[[#This Row],[Ratio]]&gt;=4,"Not Significant",IF(Table1[[#This Row],[Ratio]]&gt;=2,"Semi-Significant","Significant")))</f>
        <v>Needs Analysis</v>
      </c>
      <c r="W2072" s="1">
        <f>IF(Table1[[#This Row],[Cal Type]]&lt;&gt;"ACCREDITED 17025 WITH UNCERTAINTIES",0,"")</f>
        <v>0</v>
      </c>
      <c r="X2072" s="1" t="str">
        <f>IF(Table1[[#This Row],[DUT Read]]="","N/A",Table1[[#This Row],[Std Error]]+Table1[[#This Row],[DUT Read]]+Table1[[#This Row],[DUT Ucty]])</f>
        <v>N/A</v>
      </c>
      <c r="Y2072" s="1" t="str">
        <f>IF(Table1[[#This Row],[Std Read]]="","N/A",Table1[[#This Row],[Std Read]]+Table1[[#This Row],[Std Ucty]])</f>
        <v>N/A</v>
      </c>
      <c r="Z20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2" s="1" t="str">
        <f>IF(Table1[[#This Row],[Spec Type]]="","N/A",Table1[[#This Row],[Spec Type]])</f>
        <v>±</v>
      </c>
      <c r="AC2072" s="1" t="str">
        <f>IF(Table1[[#This Row],[Spec Type2]]="N/A","N/A",IF(AND(Table1[[#This Row],[DUT Adj Read]]&gt;=Table1[[#This Row],[Low Tol]],Table1[[#This Row],[DUT Adj Read]]&lt;=Table1[[#This Row],[High Tol]]),"Pass","Fail"))</f>
        <v>Fail</v>
      </c>
      <c r="AD2072" s="1" t="str">
        <f>IF(AND(Table1[[#This Row],[Spec Type2]]="N/A",Table1[[#This Row],[DUT Adj Read]]="N/A",Table1[[#This Row],[Std Adj Read]]="N/A"),"N/A",IF(Table1[[#This Row],[DUT Adj Read]]="N/A",IF(Table1[[#This Row],[Std Adj Read]]&gt;Table1[[#This Row],[Low Tol]],"Pass","Fail"),IF(Table1[[#This Row],[DUT Adj Read]]&gt;Table1[[#This Row],[Low Tol]],"Pass","Fail")))</f>
        <v>Pass</v>
      </c>
      <c r="AE2072" s="1" t="str">
        <f>IF(AND(Table1[[#This Row],[Spec Type2]]="N/A",Table1[[#This Row],[DUT Adj Read]]="N/A",Table1[[#This Row],[Std Adj Read]]="N/A"),"N/A",IF(Table1[[#This Row],[DUT Adj Read]]="N/A",IF(Table1[[#This Row],[Std Adj Read]]&lt;Table1[[#This Row],[High Tol]],"Pass","Fail"),IF(Table1[[#This Row],[DUT Adj Read]]&lt;Table1[[#This Row],[High Tol]],"Pass","Fail")))</f>
        <v>Fail</v>
      </c>
      <c r="AF2072" s="1" t="str">
        <f>IF(AND(Table1[[#This Row],[Spec Type2]]="N/A",Table1[[#This Row],[DUT Adj Read]]="N/A",Table1[[#This Row],[Std Adj Read]]="N/A"),"N/A",IF(Table1[[#This Row],[DUT Adj Read]]="N/A",IF(Table1[[#This Row],[Std Adj Read]]&gt;=Table1[[#This Row],[Low Tol]],"Pass","Fail"),IF(Table1[[#This Row],[DUT Adj Read]]&gt;=Table1[[#This Row],[Low Tol]],"Pass","Fail")))</f>
        <v>Pass</v>
      </c>
      <c r="AG2072" s="1" t="str">
        <f>IF(AND(Table1[[#This Row],[Spec Type2]]="N/A",Table1[[#This Row],[DUT Adj Read]]="N/A",Table1[[#This Row],[Std Adj Read]]="N/A"),"N/A",IF(Table1[[#This Row],[DUT Adj Read]]="N/A",IF(Table1[[#This Row],[Std Adj Read]]&lt;=Table1[[#This Row],[High Tol]],"Pass","Fail"),IF(Table1[[#This Row],[DUT Adj Read]]&lt;=Table1[[#This Row],[High Tol]],"Pass","Fail")))</f>
        <v>Fail</v>
      </c>
      <c r="AH20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2" s="1" t="b">
        <v>0</v>
      </c>
      <c r="AN2072" s="1" t="b">
        <v>0</v>
      </c>
      <c r="AO2072" s="1" t="b">
        <v>0</v>
      </c>
    </row>
    <row r="2073" spans="1:41" x14ac:dyDescent="0.25">
      <c r="A2073" s="10"/>
      <c r="B2073" s="10"/>
      <c r="C2073" s="10"/>
      <c r="D2073" s="10"/>
      <c r="E2073" s="10"/>
      <c r="F2073" s="10"/>
      <c r="G2073" s="10"/>
      <c r="H2073" s="10"/>
      <c r="I2073" s="1" t="str">
        <f t="shared" si="96"/>
        <v/>
      </c>
      <c r="J2073" s="1" t="s">
        <v>35</v>
      </c>
      <c r="K2073" s="1" t="str">
        <f t="shared" si="97"/>
        <v/>
      </c>
      <c r="L2073" s="1" t="str">
        <f t="shared" si="98"/>
        <v/>
      </c>
      <c r="M2073" s="1">
        <f>IF(OR(Table1[[#This Row],[Std Nom]]="",Table1[[#This Row],[Std Read]]=""),0,Table1[[#This Row],[Std Nom]]-Table1[[#This Row],[Std Read]])</f>
        <v>0</v>
      </c>
      <c r="N2073" s="1">
        <f>IF(Calculations!$F$5="ACCREDITED 17025 WITH UNCERTAINTIES",$N$10,0)</f>
        <v>0</v>
      </c>
      <c r="O2073" s="1" t="str">
        <f>IFERROR(Table1[[#This Row],[Std Nom]]-(_xlfn.XLOOKUP(Table1[[#This Row],[Manufacturer]]&amp;" "&amp;Table1[[#This Row],[Model]],Table13[MFR &amp; MDL],Table13[Tolerance % CW ],"")/100*Table1[[#This Row],[Std Nom]]),"")</f>
        <v/>
      </c>
      <c r="P2073" s="1" t="str">
        <f>IFERROR(Table1[[#This Row],[Std Nom]]+(_xlfn.XLOOKUP(Table1[[#This Row],[Manufacturer]]&amp;" "&amp;Table1[[#This Row],[Model]],Table13[MFR &amp; MDL],Table13[Tolerance % CW ],"")/100*Table1[[#This Row],[Std Nom]]),"")</f>
        <v/>
      </c>
      <c r="Q2073" s="1" t="e">
        <f>Table1[[#This Row],[High Tol]]-Table1[[#This Row],[Low Tol]]</f>
        <v>#VALUE!</v>
      </c>
      <c r="R2073" s="1">
        <f>2*Table1[[#This Row],[Std Error]]</f>
        <v>0</v>
      </c>
      <c r="S2073" s="1" t="str">
        <f>IF(Table1[[#This Row],[High Tol]]="","N/A",IFERROR(ABS(Table1[[#This Row],[Tol Span]]/Table1[[#This Row],[Error Span]]),"N/A"))</f>
        <v>N/A</v>
      </c>
      <c r="T2073" s="1" t="str">
        <f>IF(OR(Table1[[#This Row],[Low Tol]]="",Table1[[#This Row],[High Tol]]=""),"Needs Analysis",IF(Table1[[#This Row],[Ratio]]&gt;=4,"Not Significant",IF(Table1[[#This Row],[Ratio]]&gt;=2,"Semi-Significant","Significant")))</f>
        <v>Needs Analysis</v>
      </c>
      <c r="W2073" s="1">
        <f>IF(Table1[[#This Row],[Cal Type]]&lt;&gt;"ACCREDITED 17025 WITH UNCERTAINTIES",0,"")</f>
        <v>0</v>
      </c>
      <c r="X2073" s="1" t="str">
        <f>IF(Table1[[#This Row],[DUT Read]]="","N/A",Table1[[#This Row],[Std Error]]+Table1[[#This Row],[DUT Read]]+Table1[[#This Row],[DUT Ucty]])</f>
        <v>N/A</v>
      </c>
      <c r="Y2073" s="1" t="str">
        <f>IF(Table1[[#This Row],[Std Read]]="","N/A",Table1[[#This Row],[Std Read]]+Table1[[#This Row],[Std Ucty]])</f>
        <v>N/A</v>
      </c>
      <c r="Z20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3" s="1" t="str">
        <f>IF(Table1[[#This Row],[Spec Type]]="","N/A",Table1[[#This Row],[Spec Type]])</f>
        <v>±</v>
      </c>
      <c r="AC2073" s="1" t="str">
        <f>IF(Table1[[#This Row],[Spec Type2]]="N/A","N/A",IF(AND(Table1[[#This Row],[DUT Adj Read]]&gt;=Table1[[#This Row],[Low Tol]],Table1[[#This Row],[DUT Adj Read]]&lt;=Table1[[#This Row],[High Tol]]),"Pass","Fail"))</f>
        <v>Fail</v>
      </c>
      <c r="AD2073" s="1" t="str">
        <f>IF(AND(Table1[[#This Row],[Spec Type2]]="N/A",Table1[[#This Row],[DUT Adj Read]]="N/A",Table1[[#This Row],[Std Adj Read]]="N/A"),"N/A",IF(Table1[[#This Row],[DUT Adj Read]]="N/A",IF(Table1[[#This Row],[Std Adj Read]]&gt;Table1[[#This Row],[Low Tol]],"Pass","Fail"),IF(Table1[[#This Row],[DUT Adj Read]]&gt;Table1[[#This Row],[Low Tol]],"Pass","Fail")))</f>
        <v>Pass</v>
      </c>
      <c r="AE2073" s="1" t="str">
        <f>IF(AND(Table1[[#This Row],[Spec Type2]]="N/A",Table1[[#This Row],[DUT Adj Read]]="N/A",Table1[[#This Row],[Std Adj Read]]="N/A"),"N/A",IF(Table1[[#This Row],[DUT Adj Read]]="N/A",IF(Table1[[#This Row],[Std Adj Read]]&lt;Table1[[#This Row],[High Tol]],"Pass","Fail"),IF(Table1[[#This Row],[DUT Adj Read]]&lt;Table1[[#This Row],[High Tol]],"Pass","Fail")))</f>
        <v>Fail</v>
      </c>
      <c r="AF2073" s="1" t="str">
        <f>IF(AND(Table1[[#This Row],[Spec Type2]]="N/A",Table1[[#This Row],[DUT Adj Read]]="N/A",Table1[[#This Row],[Std Adj Read]]="N/A"),"N/A",IF(Table1[[#This Row],[DUT Adj Read]]="N/A",IF(Table1[[#This Row],[Std Adj Read]]&gt;=Table1[[#This Row],[Low Tol]],"Pass","Fail"),IF(Table1[[#This Row],[DUT Adj Read]]&gt;=Table1[[#This Row],[Low Tol]],"Pass","Fail")))</f>
        <v>Pass</v>
      </c>
      <c r="AG2073" s="1" t="str">
        <f>IF(AND(Table1[[#This Row],[Spec Type2]]="N/A",Table1[[#This Row],[DUT Adj Read]]="N/A",Table1[[#This Row],[Std Adj Read]]="N/A"),"N/A",IF(Table1[[#This Row],[DUT Adj Read]]="N/A",IF(Table1[[#This Row],[Std Adj Read]]&lt;=Table1[[#This Row],[High Tol]],"Pass","Fail"),IF(Table1[[#This Row],[DUT Adj Read]]&lt;=Table1[[#This Row],[High Tol]],"Pass","Fail")))</f>
        <v>Fail</v>
      </c>
      <c r="AH20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3" s="1" t="b">
        <v>0</v>
      </c>
      <c r="AN2073" s="1" t="b">
        <v>0</v>
      </c>
      <c r="AO2073" s="1" t="b">
        <v>0</v>
      </c>
    </row>
    <row r="2074" spans="1:41" x14ac:dyDescent="0.25">
      <c r="A2074" s="10"/>
      <c r="B2074" s="10"/>
      <c r="C2074" s="10"/>
      <c r="D2074" s="10"/>
      <c r="E2074" s="10"/>
      <c r="F2074" s="10"/>
      <c r="G2074" s="10"/>
      <c r="H2074" s="10"/>
      <c r="I2074" s="1" t="str">
        <f t="shared" si="96"/>
        <v/>
      </c>
      <c r="J2074" s="1" t="s">
        <v>35</v>
      </c>
      <c r="K2074" s="1" t="str">
        <f t="shared" si="97"/>
        <v/>
      </c>
      <c r="L2074" s="1" t="str">
        <f t="shared" si="98"/>
        <v/>
      </c>
      <c r="M2074" s="1">
        <f>IF(OR(Table1[[#This Row],[Std Nom]]="",Table1[[#This Row],[Std Read]]=""),0,Table1[[#This Row],[Std Nom]]-Table1[[#This Row],[Std Read]])</f>
        <v>0</v>
      </c>
      <c r="N2074" s="1">
        <f>IF(Calculations!$F$5="ACCREDITED 17025 WITH UNCERTAINTIES",$N$10,0)</f>
        <v>0</v>
      </c>
      <c r="O2074" s="1" t="str">
        <f>IFERROR(Table1[[#This Row],[Std Nom]]-(_xlfn.XLOOKUP(Table1[[#This Row],[Manufacturer]]&amp;" "&amp;Table1[[#This Row],[Model]],Table13[MFR &amp; MDL],Table13[Tolerance % CW ],"")/100*Table1[[#This Row],[Std Nom]]),"")</f>
        <v/>
      </c>
      <c r="P2074" s="1" t="str">
        <f>IFERROR(Table1[[#This Row],[Std Nom]]+(_xlfn.XLOOKUP(Table1[[#This Row],[Manufacturer]]&amp;" "&amp;Table1[[#This Row],[Model]],Table13[MFR &amp; MDL],Table13[Tolerance % CW ],"")/100*Table1[[#This Row],[Std Nom]]),"")</f>
        <v/>
      </c>
      <c r="Q2074" s="1" t="e">
        <f>Table1[[#This Row],[High Tol]]-Table1[[#This Row],[Low Tol]]</f>
        <v>#VALUE!</v>
      </c>
      <c r="R2074" s="1">
        <f>2*Table1[[#This Row],[Std Error]]</f>
        <v>0</v>
      </c>
      <c r="S2074" s="1" t="str">
        <f>IF(Table1[[#This Row],[High Tol]]="","N/A",IFERROR(ABS(Table1[[#This Row],[Tol Span]]/Table1[[#This Row],[Error Span]]),"N/A"))</f>
        <v>N/A</v>
      </c>
      <c r="T2074" s="1" t="str">
        <f>IF(OR(Table1[[#This Row],[Low Tol]]="",Table1[[#This Row],[High Tol]]=""),"Needs Analysis",IF(Table1[[#This Row],[Ratio]]&gt;=4,"Not Significant",IF(Table1[[#This Row],[Ratio]]&gt;=2,"Semi-Significant","Significant")))</f>
        <v>Needs Analysis</v>
      </c>
      <c r="W2074" s="1">
        <f>IF(Table1[[#This Row],[Cal Type]]&lt;&gt;"ACCREDITED 17025 WITH UNCERTAINTIES",0,"")</f>
        <v>0</v>
      </c>
      <c r="X2074" s="1" t="str">
        <f>IF(Table1[[#This Row],[DUT Read]]="","N/A",Table1[[#This Row],[Std Error]]+Table1[[#This Row],[DUT Read]]+Table1[[#This Row],[DUT Ucty]])</f>
        <v>N/A</v>
      </c>
      <c r="Y2074" s="1" t="str">
        <f>IF(Table1[[#This Row],[Std Read]]="","N/A",Table1[[#This Row],[Std Read]]+Table1[[#This Row],[Std Ucty]])</f>
        <v>N/A</v>
      </c>
      <c r="Z20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4" s="1" t="str">
        <f>IF(Table1[[#This Row],[Spec Type]]="","N/A",Table1[[#This Row],[Spec Type]])</f>
        <v>±</v>
      </c>
      <c r="AC2074" s="1" t="str">
        <f>IF(Table1[[#This Row],[Spec Type2]]="N/A","N/A",IF(AND(Table1[[#This Row],[DUT Adj Read]]&gt;=Table1[[#This Row],[Low Tol]],Table1[[#This Row],[DUT Adj Read]]&lt;=Table1[[#This Row],[High Tol]]),"Pass","Fail"))</f>
        <v>Fail</v>
      </c>
      <c r="AD2074" s="1" t="str">
        <f>IF(AND(Table1[[#This Row],[Spec Type2]]="N/A",Table1[[#This Row],[DUT Adj Read]]="N/A",Table1[[#This Row],[Std Adj Read]]="N/A"),"N/A",IF(Table1[[#This Row],[DUT Adj Read]]="N/A",IF(Table1[[#This Row],[Std Adj Read]]&gt;Table1[[#This Row],[Low Tol]],"Pass","Fail"),IF(Table1[[#This Row],[DUT Adj Read]]&gt;Table1[[#This Row],[Low Tol]],"Pass","Fail")))</f>
        <v>Pass</v>
      </c>
      <c r="AE2074" s="1" t="str">
        <f>IF(AND(Table1[[#This Row],[Spec Type2]]="N/A",Table1[[#This Row],[DUT Adj Read]]="N/A",Table1[[#This Row],[Std Adj Read]]="N/A"),"N/A",IF(Table1[[#This Row],[DUT Adj Read]]="N/A",IF(Table1[[#This Row],[Std Adj Read]]&lt;Table1[[#This Row],[High Tol]],"Pass","Fail"),IF(Table1[[#This Row],[DUT Adj Read]]&lt;Table1[[#This Row],[High Tol]],"Pass","Fail")))</f>
        <v>Fail</v>
      </c>
      <c r="AF2074" s="1" t="str">
        <f>IF(AND(Table1[[#This Row],[Spec Type2]]="N/A",Table1[[#This Row],[DUT Adj Read]]="N/A",Table1[[#This Row],[Std Adj Read]]="N/A"),"N/A",IF(Table1[[#This Row],[DUT Adj Read]]="N/A",IF(Table1[[#This Row],[Std Adj Read]]&gt;=Table1[[#This Row],[Low Tol]],"Pass","Fail"),IF(Table1[[#This Row],[DUT Adj Read]]&gt;=Table1[[#This Row],[Low Tol]],"Pass","Fail")))</f>
        <v>Pass</v>
      </c>
      <c r="AG2074" s="1" t="str">
        <f>IF(AND(Table1[[#This Row],[Spec Type2]]="N/A",Table1[[#This Row],[DUT Adj Read]]="N/A",Table1[[#This Row],[Std Adj Read]]="N/A"),"N/A",IF(Table1[[#This Row],[DUT Adj Read]]="N/A",IF(Table1[[#This Row],[Std Adj Read]]&lt;=Table1[[#This Row],[High Tol]],"Pass","Fail"),IF(Table1[[#This Row],[DUT Adj Read]]&lt;=Table1[[#This Row],[High Tol]],"Pass","Fail")))</f>
        <v>Fail</v>
      </c>
      <c r="AH20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4" s="1" t="b">
        <v>0</v>
      </c>
      <c r="AN2074" s="1" t="b">
        <v>0</v>
      </c>
      <c r="AO2074" s="1" t="b">
        <v>0</v>
      </c>
    </row>
    <row r="2075" spans="1:41" x14ac:dyDescent="0.25">
      <c r="A2075" s="10"/>
      <c r="B2075" s="10"/>
      <c r="C2075" s="10"/>
      <c r="D2075" s="10"/>
      <c r="E2075" s="10"/>
      <c r="F2075" s="10"/>
      <c r="G2075" s="10"/>
      <c r="H2075" s="10"/>
      <c r="I2075" s="1" t="str">
        <f t="shared" si="96"/>
        <v/>
      </c>
      <c r="J2075" s="1" t="s">
        <v>35</v>
      </c>
      <c r="K2075" s="1" t="str">
        <f t="shared" si="97"/>
        <v/>
      </c>
      <c r="L2075" s="1" t="str">
        <f t="shared" si="98"/>
        <v/>
      </c>
      <c r="M2075" s="1">
        <f>IF(OR(Table1[[#This Row],[Std Nom]]="",Table1[[#This Row],[Std Read]]=""),0,Table1[[#This Row],[Std Nom]]-Table1[[#This Row],[Std Read]])</f>
        <v>0</v>
      </c>
      <c r="N2075" s="1">
        <f>IF(Calculations!$F$5="ACCREDITED 17025 WITH UNCERTAINTIES",$N$10,0)</f>
        <v>0</v>
      </c>
      <c r="O2075" s="1" t="str">
        <f>IFERROR(Table1[[#This Row],[Std Nom]]-(_xlfn.XLOOKUP(Table1[[#This Row],[Manufacturer]]&amp;" "&amp;Table1[[#This Row],[Model]],Table13[MFR &amp; MDL],Table13[Tolerance % CW ],"")/100*Table1[[#This Row],[Std Nom]]),"")</f>
        <v/>
      </c>
      <c r="P2075" s="1" t="str">
        <f>IFERROR(Table1[[#This Row],[Std Nom]]+(_xlfn.XLOOKUP(Table1[[#This Row],[Manufacturer]]&amp;" "&amp;Table1[[#This Row],[Model]],Table13[MFR &amp; MDL],Table13[Tolerance % CW ],"")/100*Table1[[#This Row],[Std Nom]]),"")</f>
        <v/>
      </c>
      <c r="Q2075" s="1" t="e">
        <f>Table1[[#This Row],[High Tol]]-Table1[[#This Row],[Low Tol]]</f>
        <v>#VALUE!</v>
      </c>
      <c r="R2075" s="1">
        <f>2*Table1[[#This Row],[Std Error]]</f>
        <v>0</v>
      </c>
      <c r="S2075" s="1" t="str">
        <f>IF(Table1[[#This Row],[High Tol]]="","N/A",IFERROR(ABS(Table1[[#This Row],[Tol Span]]/Table1[[#This Row],[Error Span]]),"N/A"))</f>
        <v>N/A</v>
      </c>
      <c r="T2075" s="1" t="str">
        <f>IF(OR(Table1[[#This Row],[Low Tol]]="",Table1[[#This Row],[High Tol]]=""),"Needs Analysis",IF(Table1[[#This Row],[Ratio]]&gt;=4,"Not Significant",IF(Table1[[#This Row],[Ratio]]&gt;=2,"Semi-Significant","Significant")))</f>
        <v>Needs Analysis</v>
      </c>
      <c r="W2075" s="1">
        <f>IF(Table1[[#This Row],[Cal Type]]&lt;&gt;"ACCREDITED 17025 WITH UNCERTAINTIES",0,"")</f>
        <v>0</v>
      </c>
      <c r="X2075" s="1" t="str">
        <f>IF(Table1[[#This Row],[DUT Read]]="","N/A",Table1[[#This Row],[Std Error]]+Table1[[#This Row],[DUT Read]]+Table1[[#This Row],[DUT Ucty]])</f>
        <v>N/A</v>
      </c>
      <c r="Y2075" s="1" t="str">
        <f>IF(Table1[[#This Row],[Std Read]]="","N/A",Table1[[#This Row],[Std Read]]+Table1[[#This Row],[Std Ucty]])</f>
        <v>N/A</v>
      </c>
      <c r="Z20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5" s="1" t="str">
        <f>IF(Table1[[#This Row],[Spec Type]]="","N/A",Table1[[#This Row],[Spec Type]])</f>
        <v>±</v>
      </c>
      <c r="AC2075" s="1" t="str">
        <f>IF(Table1[[#This Row],[Spec Type2]]="N/A","N/A",IF(AND(Table1[[#This Row],[DUT Adj Read]]&gt;=Table1[[#This Row],[Low Tol]],Table1[[#This Row],[DUT Adj Read]]&lt;=Table1[[#This Row],[High Tol]]),"Pass","Fail"))</f>
        <v>Fail</v>
      </c>
      <c r="AD2075" s="1" t="str">
        <f>IF(AND(Table1[[#This Row],[Spec Type2]]="N/A",Table1[[#This Row],[DUT Adj Read]]="N/A",Table1[[#This Row],[Std Adj Read]]="N/A"),"N/A",IF(Table1[[#This Row],[DUT Adj Read]]="N/A",IF(Table1[[#This Row],[Std Adj Read]]&gt;Table1[[#This Row],[Low Tol]],"Pass","Fail"),IF(Table1[[#This Row],[DUT Adj Read]]&gt;Table1[[#This Row],[Low Tol]],"Pass","Fail")))</f>
        <v>Pass</v>
      </c>
      <c r="AE2075" s="1" t="str">
        <f>IF(AND(Table1[[#This Row],[Spec Type2]]="N/A",Table1[[#This Row],[DUT Adj Read]]="N/A",Table1[[#This Row],[Std Adj Read]]="N/A"),"N/A",IF(Table1[[#This Row],[DUT Adj Read]]="N/A",IF(Table1[[#This Row],[Std Adj Read]]&lt;Table1[[#This Row],[High Tol]],"Pass","Fail"),IF(Table1[[#This Row],[DUT Adj Read]]&lt;Table1[[#This Row],[High Tol]],"Pass","Fail")))</f>
        <v>Fail</v>
      </c>
      <c r="AF2075" s="1" t="str">
        <f>IF(AND(Table1[[#This Row],[Spec Type2]]="N/A",Table1[[#This Row],[DUT Adj Read]]="N/A",Table1[[#This Row],[Std Adj Read]]="N/A"),"N/A",IF(Table1[[#This Row],[DUT Adj Read]]="N/A",IF(Table1[[#This Row],[Std Adj Read]]&gt;=Table1[[#This Row],[Low Tol]],"Pass","Fail"),IF(Table1[[#This Row],[DUT Adj Read]]&gt;=Table1[[#This Row],[Low Tol]],"Pass","Fail")))</f>
        <v>Pass</v>
      </c>
      <c r="AG2075" s="1" t="str">
        <f>IF(AND(Table1[[#This Row],[Spec Type2]]="N/A",Table1[[#This Row],[DUT Adj Read]]="N/A",Table1[[#This Row],[Std Adj Read]]="N/A"),"N/A",IF(Table1[[#This Row],[DUT Adj Read]]="N/A",IF(Table1[[#This Row],[Std Adj Read]]&lt;=Table1[[#This Row],[High Tol]],"Pass","Fail"),IF(Table1[[#This Row],[DUT Adj Read]]&lt;=Table1[[#This Row],[High Tol]],"Pass","Fail")))</f>
        <v>Fail</v>
      </c>
      <c r="AH20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5" s="1" t="b">
        <v>0</v>
      </c>
      <c r="AN2075" s="1" t="b">
        <v>0</v>
      </c>
      <c r="AO2075" s="1" t="b">
        <v>0</v>
      </c>
    </row>
    <row r="2076" spans="1:41" x14ac:dyDescent="0.25">
      <c r="A2076" s="10"/>
      <c r="B2076" s="10"/>
      <c r="C2076" s="10"/>
      <c r="D2076" s="10"/>
      <c r="E2076" s="10"/>
      <c r="F2076" s="10"/>
      <c r="G2076" s="10"/>
      <c r="H2076" s="10"/>
      <c r="I2076" s="1" t="str">
        <f t="shared" si="96"/>
        <v/>
      </c>
      <c r="J2076" s="1" t="s">
        <v>35</v>
      </c>
      <c r="K2076" s="1" t="str">
        <f t="shared" si="97"/>
        <v/>
      </c>
      <c r="L2076" s="1" t="str">
        <f t="shared" si="98"/>
        <v/>
      </c>
      <c r="M2076" s="1">
        <f>IF(OR(Table1[[#This Row],[Std Nom]]="",Table1[[#This Row],[Std Read]]=""),0,Table1[[#This Row],[Std Nom]]-Table1[[#This Row],[Std Read]])</f>
        <v>0</v>
      </c>
      <c r="N2076" s="1">
        <f>IF(Calculations!$F$5="ACCREDITED 17025 WITH UNCERTAINTIES",$N$10,0)</f>
        <v>0</v>
      </c>
      <c r="O2076" s="1" t="str">
        <f>IFERROR(Table1[[#This Row],[Std Nom]]-(_xlfn.XLOOKUP(Table1[[#This Row],[Manufacturer]]&amp;" "&amp;Table1[[#This Row],[Model]],Table13[MFR &amp; MDL],Table13[Tolerance % CW ],"")/100*Table1[[#This Row],[Std Nom]]),"")</f>
        <v/>
      </c>
      <c r="P2076" s="1" t="str">
        <f>IFERROR(Table1[[#This Row],[Std Nom]]+(_xlfn.XLOOKUP(Table1[[#This Row],[Manufacturer]]&amp;" "&amp;Table1[[#This Row],[Model]],Table13[MFR &amp; MDL],Table13[Tolerance % CW ],"")/100*Table1[[#This Row],[Std Nom]]),"")</f>
        <v/>
      </c>
      <c r="Q2076" s="1" t="e">
        <f>Table1[[#This Row],[High Tol]]-Table1[[#This Row],[Low Tol]]</f>
        <v>#VALUE!</v>
      </c>
      <c r="R2076" s="1">
        <f>2*Table1[[#This Row],[Std Error]]</f>
        <v>0</v>
      </c>
      <c r="S2076" s="1" t="str">
        <f>IF(Table1[[#This Row],[High Tol]]="","N/A",IFERROR(ABS(Table1[[#This Row],[Tol Span]]/Table1[[#This Row],[Error Span]]),"N/A"))</f>
        <v>N/A</v>
      </c>
      <c r="T2076" s="1" t="str">
        <f>IF(OR(Table1[[#This Row],[Low Tol]]="",Table1[[#This Row],[High Tol]]=""),"Needs Analysis",IF(Table1[[#This Row],[Ratio]]&gt;=4,"Not Significant",IF(Table1[[#This Row],[Ratio]]&gt;=2,"Semi-Significant","Significant")))</f>
        <v>Needs Analysis</v>
      </c>
      <c r="W2076" s="1">
        <f>IF(Table1[[#This Row],[Cal Type]]&lt;&gt;"ACCREDITED 17025 WITH UNCERTAINTIES",0,"")</f>
        <v>0</v>
      </c>
      <c r="X2076" s="1" t="str">
        <f>IF(Table1[[#This Row],[DUT Read]]="","N/A",Table1[[#This Row],[Std Error]]+Table1[[#This Row],[DUT Read]]+Table1[[#This Row],[DUT Ucty]])</f>
        <v>N/A</v>
      </c>
      <c r="Y2076" s="1" t="str">
        <f>IF(Table1[[#This Row],[Std Read]]="","N/A",Table1[[#This Row],[Std Read]]+Table1[[#This Row],[Std Ucty]])</f>
        <v>N/A</v>
      </c>
      <c r="Z20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6" s="1" t="str">
        <f>IF(Table1[[#This Row],[Spec Type]]="","N/A",Table1[[#This Row],[Spec Type]])</f>
        <v>±</v>
      </c>
      <c r="AC2076" s="1" t="str">
        <f>IF(Table1[[#This Row],[Spec Type2]]="N/A","N/A",IF(AND(Table1[[#This Row],[DUT Adj Read]]&gt;=Table1[[#This Row],[Low Tol]],Table1[[#This Row],[DUT Adj Read]]&lt;=Table1[[#This Row],[High Tol]]),"Pass","Fail"))</f>
        <v>Fail</v>
      </c>
      <c r="AD2076" s="1" t="str">
        <f>IF(AND(Table1[[#This Row],[Spec Type2]]="N/A",Table1[[#This Row],[DUT Adj Read]]="N/A",Table1[[#This Row],[Std Adj Read]]="N/A"),"N/A",IF(Table1[[#This Row],[DUT Adj Read]]="N/A",IF(Table1[[#This Row],[Std Adj Read]]&gt;Table1[[#This Row],[Low Tol]],"Pass","Fail"),IF(Table1[[#This Row],[DUT Adj Read]]&gt;Table1[[#This Row],[Low Tol]],"Pass","Fail")))</f>
        <v>Pass</v>
      </c>
      <c r="AE2076" s="1" t="str">
        <f>IF(AND(Table1[[#This Row],[Spec Type2]]="N/A",Table1[[#This Row],[DUT Adj Read]]="N/A",Table1[[#This Row],[Std Adj Read]]="N/A"),"N/A",IF(Table1[[#This Row],[DUT Adj Read]]="N/A",IF(Table1[[#This Row],[Std Adj Read]]&lt;Table1[[#This Row],[High Tol]],"Pass","Fail"),IF(Table1[[#This Row],[DUT Adj Read]]&lt;Table1[[#This Row],[High Tol]],"Pass","Fail")))</f>
        <v>Fail</v>
      </c>
      <c r="AF2076" s="1" t="str">
        <f>IF(AND(Table1[[#This Row],[Spec Type2]]="N/A",Table1[[#This Row],[DUT Adj Read]]="N/A",Table1[[#This Row],[Std Adj Read]]="N/A"),"N/A",IF(Table1[[#This Row],[DUT Adj Read]]="N/A",IF(Table1[[#This Row],[Std Adj Read]]&gt;=Table1[[#This Row],[Low Tol]],"Pass","Fail"),IF(Table1[[#This Row],[DUT Adj Read]]&gt;=Table1[[#This Row],[Low Tol]],"Pass","Fail")))</f>
        <v>Pass</v>
      </c>
      <c r="AG2076" s="1" t="str">
        <f>IF(AND(Table1[[#This Row],[Spec Type2]]="N/A",Table1[[#This Row],[DUT Adj Read]]="N/A",Table1[[#This Row],[Std Adj Read]]="N/A"),"N/A",IF(Table1[[#This Row],[DUT Adj Read]]="N/A",IF(Table1[[#This Row],[Std Adj Read]]&lt;=Table1[[#This Row],[High Tol]],"Pass","Fail"),IF(Table1[[#This Row],[DUT Adj Read]]&lt;=Table1[[#This Row],[High Tol]],"Pass","Fail")))</f>
        <v>Fail</v>
      </c>
      <c r="AH20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6" s="1" t="b">
        <v>0</v>
      </c>
      <c r="AN2076" s="1" t="b">
        <v>0</v>
      </c>
      <c r="AO2076" s="1" t="b">
        <v>0</v>
      </c>
    </row>
    <row r="2077" spans="1:41" x14ac:dyDescent="0.25">
      <c r="A2077" s="10"/>
      <c r="B2077" s="10"/>
      <c r="C2077" s="10"/>
      <c r="D2077" s="10"/>
      <c r="E2077" s="10"/>
      <c r="F2077" s="10"/>
      <c r="G2077" s="10"/>
      <c r="H2077" s="10"/>
      <c r="I2077" s="1" t="str">
        <f t="shared" si="96"/>
        <v/>
      </c>
      <c r="J2077" s="1" t="s">
        <v>35</v>
      </c>
      <c r="K2077" s="1" t="str">
        <f t="shared" si="97"/>
        <v/>
      </c>
      <c r="L2077" s="1" t="str">
        <f t="shared" si="98"/>
        <v/>
      </c>
      <c r="M2077" s="1">
        <f>IF(OR(Table1[[#This Row],[Std Nom]]="",Table1[[#This Row],[Std Read]]=""),0,Table1[[#This Row],[Std Nom]]-Table1[[#This Row],[Std Read]])</f>
        <v>0</v>
      </c>
      <c r="N2077" s="1">
        <f>IF(Calculations!$F$5="ACCREDITED 17025 WITH UNCERTAINTIES",$N$10,0)</f>
        <v>0</v>
      </c>
      <c r="O2077" s="1" t="str">
        <f>IFERROR(Table1[[#This Row],[Std Nom]]-(_xlfn.XLOOKUP(Table1[[#This Row],[Manufacturer]]&amp;" "&amp;Table1[[#This Row],[Model]],Table13[MFR &amp; MDL],Table13[Tolerance % CW ],"")/100*Table1[[#This Row],[Std Nom]]),"")</f>
        <v/>
      </c>
      <c r="P2077" s="1" t="str">
        <f>IFERROR(Table1[[#This Row],[Std Nom]]+(_xlfn.XLOOKUP(Table1[[#This Row],[Manufacturer]]&amp;" "&amp;Table1[[#This Row],[Model]],Table13[MFR &amp; MDL],Table13[Tolerance % CW ],"")/100*Table1[[#This Row],[Std Nom]]),"")</f>
        <v/>
      </c>
      <c r="Q2077" s="1" t="e">
        <f>Table1[[#This Row],[High Tol]]-Table1[[#This Row],[Low Tol]]</f>
        <v>#VALUE!</v>
      </c>
      <c r="R2077" s="1">
        <f>2*Table1[[#This Row],[Std Error]]</f>
        <v>0</v>
      </c>
      <c r="S2077" s="1" t="str">
        <f>IF(Table1[[#This Row],[High Tol]]="","N/A",IFERROR(ABS(Table1[[#This Row],[Tol Span]]/Table1[[#This Row],[Error Span]]),"N/A"))</f>
        <v>N/A</v>
      </c>
      <c r="T2077" s="1" t="str">
        <f>IF(OR(Table1[[#This Row],[Low Tol]]="",Table1[[#This Row],[High Tol]]=""),"Needs Analysis",IF(Table1[[#This Row],[Ratio]]&gt;=4,"Not Significant",IF(Table1[[#This Row],[Ratio]]&gt;=2,"Semi-Significant","Significant")))</f>
        <v>Needs Analysis</v>
      </c>
      <c r="W2077" s="1">
        <f>IF(Table1[[#This Row],[Cal Type]]&lt;&gt;"ACCREDITED 17025 WITH UNCERTAINTIES",0,"")</f>
        <v>0</v>
      </c>
      <c r="X2077" s="1" t="str">
        <f>IF(Table1[[#This Row],[DUT Read]]="","N/A",Table1[[#This Row],[Std Error]]+Table1[[#This Row],[DUT Read]]+Table1[[#This Row],[DUT Ucty]])</f>
        <v>N/A</v>
      </c>
      <c r="Y2077" s="1" t="str">
        <f>IF(Table1[[#This Row],[Std Read]]="","N/A",Table1[[#This Row],[Std Read]]+Table1[[#This Row],[Std Ucty]])</f>
        <v>N/A</v>
      </c>
      <c r="Z20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7" s="1" t="str">
        <f>IF(Table1[[#This Row],[Spec Type]]="","N/A",Table1[[#This Row],[Spec Type]])</f>
        <v>±</v>
      </c>
      <c r="AC2077" s="1" t="str">
        <f>IF(Table1[[#This Row],[Spec Type2]]="N/A","N/A",IF(AND(Table1[[#This Row],[DUT Adj Read]]&gt;=Table1[[#This Row],[Low Tol]],Table1[[#This Row],[DUT Adj Read]]&lt;=Table1[[#This Row],[High Tol]]),"Pass","Fail"))</f>
        <v>Fail</v>
      </c>
      <c r="AD2077" s="1" t="str">
        <f>IF(AND(Table1[[#This Row],[Spec Type2]]="N/A",Table1[[#This Row],[DUT Adj Read]]="N/A",Table1[[#This Row],[Std Adj Read]]="N/A"),"N/A",IF(Table1[[#This Row],[DUT Adj Read]]="N/A",IF(Table1[[#This Row],[Std Adj Read]]&gt;Table1[[#This Row],[Low Tol]],"Pass","Fail"),IF(Table1[[#This Row],[DUT Adj Read]]&gt;Table1[[#This Row],[Low Tol]],"Pass","Fail")))</f>
        <v>Pass</v>
      </c>
      <c r="AE2077" s="1" t="str">
        <f>IF(AND(Table1[[#This Row],[Spec Type2]]="N/A",Table1[[#This Row],[DUT Adj Read]]="N/A",Table1[[#This Row],[Std Adj Read]]="N/A"),"N/A",IF(Table1[[#This Row],[DUT Adj Read]]="N/A",IF(Table1[[#This Row],[Std Adj Read]]&lt;Table1[[#This Row],[High Tol]],"Pass","Fail"),IF(Table1[[#This Row],[DUT Adj Read]]&lt;Table1[[#This Row],[High Tol]],"Pass","Fail")))</f>
        <v>Fail</v>
      </c>
      <c r="AF2077" s="1" t="str">
        <f>IF(AND(Table1[[#This Row],[Spec Type2]]="N/A",Table1[[#This Row],[DUT Adj Read]]="N/A",Table1[[#This Row],[Std Adj Read]]="N/A"),"N/A",IF(Table1[[#This Row],[DUT Adj Read]]="N/A",IF(Table1[[#This Row],[Std Adj Read]]&gt;=Table1[[#This Row],[Low Tol]],"Pass","Fail"),IF(Table1[[#This Row],[DUT Adj Read]]&gt;=Table1[[#This Row],[Low Tol]],"Pass","Fail")))</f>
        <v>Pass</v>
      </c>
      <c r="AG2077" s="1" t="str">
        <f>IF(AND(Table1[[#This Row],[Spec Type2]]="N/A",Table1[[#This Row],[DUT Adj Read]]="N/A",Table1[[#This Row],[Std Adj Read]]="N/A"),"N/A",IF(Table1[[#This Row],[DUT Adj Read]]="N/A",IF(Table1[[#This Row],[Std Adj Read]]&lt;=Table1[[#This Row],[High Tol]],"Pass","Fail"),IF(Table1[[#This Row],[DUT Adj Read]]&lt;=Table1[[#This Row],[High Tol]],"Pass","Fail")))</f>
        <v>Fail</v>
      </c>
      <c r="AH20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7" s="1" t="b">
        <v>0</v>
      </c>
      <c r="AN2077" s="1" t="b">
        <v>0</v>
      </c>
      <c r="AO2077" s="1" t="b">
        <v>0</v>
      </c>
    </row>
    <row r="2078" spans="1:41" x14ac:dyDescent="0.25">
      <c r="A2078" s="10"/>
      <c r="B2078" s="10"/>
      <c r="C2078" s="10"/>
      <c r="D2078" s="10"/>
      <c r="E2078" s="10"/>
      <c r="F2078" s="10"/>
      <c r="G2078" s="10"/>
      <c r="H2078" s="10"/>
      <c r="I2078" s="1" t="str">
        <f t="shared" si="96"/>
        <v/>
      </c>
      <c r="J2078" s="1" t="s">
        <v>35</v>
      </c>
      <c r="K2078" s="1" t="str">
        <f t="shared" si="97"/>
        <v/>
      </c>
      <c r="L2078" s="1" t="str">
        <f t="shared" si="98"/>
        <v/>
      </c>
      <c r="M2078" s="1">
        <f>IF(OR(Table1[[#This Row],[Std Nom]]="",Table1[[#This Row],[Std Read]]=""),0,Table1[[#This Row],[Std Nom]]-Table1[[#This Row],[Std Read]])</f>
        <v>0</v>
      </c>
      <c r="N2078" s="1">
        <f>IF(Calculations!$F$5="ACCREDITED 17025 WITH UNCERTAINTIES",$N$10,0)</f>
        <v>0</v>
      </c>
      <c r="O2078" s="1" t="str">
        <f>IFERROR(Table1[[#This Row],[Std Nom]]-(_xlfn.XLOOKUP(Table1[[#This Row],[Manufacturer]]&amp;" "&amp;Table1[[#This Row],[Model]],Table13[MFR &amp; MDL],Table13[Tolerance % CW ],"")/100*Table1[[#This Row],[Std Nom]]),"")</f>
        <v/>
      </c>
      <c r="P2078" s="1" t="str">
        <f>IFERROR(Table1[[#This Row],[Std Nom]]+(_xlfn.XLOOKUP(Table1[[#This Row],[Manufacturer]]&amp;" "&amp;Table1[[#This Row],[Model]],Table13[MFR &amp; MDL],Table13[Tolerance % CW ],"")/100*Table1[[#This Row],[Std Nom]]),"")</f>
        <v/>
      </c>
      <c r="Q2078" s="1" t="e">
        <f>Table1[[#This Row],[High Tol]]-Table1[[#This Row],[Low Tol]]</f>
        <v>#VALUE!</v>
      </c>
      <c r="R2078" s="1">
        <f>2*Table1[[#This Row],[Std Error]]</f>
        <v>0</v>
      </c>
      <c r="S2078" s="1" t="str">
        <f>IF(Table1[[#This Row],[High Tol]]="","N/A",IFERROR(ABS(Table1[[#This Row],[Tol Span]]/Table1[[#This Row],[Error Span]]),"N/A"))</f>
        <v>N/A</v>
      </c>
      <c r="T2078" s="1" t="str">
        <f>IF(OR(Table1[[#This Row],[Low Tol]]="",Table1[[#This Row],[High Tol]]=""),"Needs Analysis",IF(Table1[[#This Row],[Ratio]]&gt;=4,"Not Significant",IF(Table1[[#This Row],[Ratio]]&gt;=2,"Semi-Significant","Significant")))</f>
        <v>Needs Analysis</v>
      </c>
      <c r="W2078" s="1">
        <f>IF(Table1[[#This Row],[Cal Type]]&lt;&gt;"ACCREDITED 17025 WITH UNCERTAINTIES",0,"")</f>
        <v>0</v>
      </c>
      <c r="X2078" s="1" t="str">
        <f>IF(Table1[[#This Row],[DUT Read]]="","N/A",Table1[[#This Row],[Std Error]]+Table1[[#This Row],[DUT Read]]+Table1[[#This Row],[DUT Ucty]])</f>
        <v>N/A</v>
      </c>
      <c r="Y2078" s="1" t="str">
        <f>IF(Table1[[#This Row],[Std Read]]="","N/A",Table1[[#This Row],[Std Read]]+Table1[[#This Row],[Std Ucty]])</f>
        <v>N/A</v>
      </c>
      <c r="Z20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8" s="1" t="str">
        <f>IF(Table1[[#This Row],[Spec Type]]="","N/A",Table1[[#This Row],[Spec Type]])</f>
        <v>±</v>
      </c>
      <c r="AC2078" s="1" t="str">
        <f>IF(Table1[[#This Row],[Spec Type2]]="N/A","N/A",IF(AND(Table1[[#This Row],[DUT Adj Read]]&gt;=Table1[[#This Row],[Low Tol]],Table1[[#This Row],[DUT Adj Read]]&lt;=Table1[[#This Row],[High Tol]]),"Pass","Fail"))</f>
        <v>Fail</v>
      </c>
      <c r="AD2078" s="1" t="str">
        <f>IF(AND(Table1[[#This Row],[Spec Type2]]="N/A",Table1[[#This Row],[DUT Adj Read]]="N/A",Table1[[#This Row],[Std Adj Read]]="N/A"),"N/A",IF(Table1[[#This Row],[DUT Adj Read]]="N/A",IF(Table1[[#This Row],[Std Adj Read]]&gt;Table1[[#This Row],[Low Tol]],"Pass","Fail"),IF(Table1[[#This Row],[DUT Adj Read]]&gt;Table1[[#This Row],[Low Tol]],"Pass","Fail")))</f>
        <v>Pass</v>
      </c>
      <c r="AE2078" s="1" t="str">
        <f>IF(AND(Table1[[#This Row],[Spec Type2]]="N/A",Table1[[#This Row],[DUT Adj Read]]="N/A",Table1[[#This Row],[Std Adj Read]]="N/A"),"N/A",IF(Table1[[#This Row],[DUT Adj Read]]="N/A",IF(Table1[[#This Row],[Std Adj Read]]&lt;Table1[[#This Row],[High Tol]],"Pass","Fail"),IF(Table1[[#This Row],[DUT Adj Read]]&lt;Table1[[#This Row],[High Tol]],"Pass","Fail")))</f>
        <v>Fail</v>
      </c>
      <c r="AF2078" s="1" t="str">
        <f>IF(AND(Table1[[#This Row],[Spec Type2]]="N/A",Table1[[#This Row],[DUT Adj Read]]="N/A",Table1[[#This Row],[Std Adj Read]]="N/A"),"N/A",IF(Table1[[#This Row],[DUT Adj Read]]="N/A",IF(Table1[[#This Row],[Std Adj Read]]&gt;=Table1[[#This Row],[Low Tol]],"Pass","Fail"),IF(Table1[[#This Row],[DUT Adj Read]]&gt;=Table1[[#This Row],[Low Tol]],"Pass","Fail")))</f>
        <v>Pass</v>
      </c>
      <c r="AG2078" s="1" t="str">
        <f>IF(AND(Table1[[#This Row],[Spec Type2]]="N/A",Table1[[#This Row],[DUT Adj Read]]="N/A",Table1[[#This Row],[Std Adj Read]]="N/A"),"N/A",IF(Table1[[#This Row],[DUT Adj Read]]="N/A",IF(Table1[[#This Row],[Std Adj Read]]&lt;=Table1[[#This Row],[High Tol]],"Pass","Fail"),IF(Table1[[#This Row],[DUT Adj Read]]&lt;=Table1[[#This Row],[High Tol]],"Pass","Fail")))</f>
        <v>Fail</v>
      </c>
      <c r="AH20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8" s="1" t="b">
        <v>0</v>
      </c>
      <c r="AN2078" s="1" t="b">
        <v>0</v>
      </c>
      <c r="AO2078" s="1" t="b">
        <v>0</v>
      </c>
    </row>
    <row r="2079" spans="1:41" x14ac:dyDescent="0.25">
      <c r="A2079" s="10"/>
      <c r="B2079" s="10"/>
      <c r="C2079" s="10"/>
      <c r="D2079" s="10"/>
      <c r="E2079" s="10"/>
      <c r="F2079" s="10"/>
      <c r="G2079" s="10"/>
      <c r="H2079" s="10"/>
      <c r="I2079" s="1" t="str">
        <f t="shared" si="96"/>
        <v/>
      </c>
      <c r="J2079" s="1" t="s">
        <v>35</v>
      </c>
      <c r="K2079" s="1" t="str">
        <f t="shared" si="97"/>
        <v/>
      </c>
      <c r="L2079" s="1" t="str">
        <f t="shared" si="98"/>
        <v/>
      </c>
      <c r="M2079" s="1">
        <f>IF(OR(Table1[[#This Row],[Std Nom]]="",Table1[[#This Row],[Std Read]]=""),0,Table1[[#This Row],[Std Nom]]-Table1[[#This Row],[Std Read]])</f>
        <v>0</v>
      </c>
      <c r="N2079" s="1">
        <f>IF(Calculations!$F$5="ACCREDITED 17025 WITH UNCERTAINTIES",$N$10,0)</f>
        <v>0</v>
      </c>
      <c r="O2079" s="1" t="str">
        <f>IFERROR(Table1[[#This Row],[Std Nom]]-(_xlfn.XLOOKUP(Table1[[#This Row],[Manufacturer]]&amp;" "&amp;Table1[[#This Row],[Model]],Table13[MFR &amp; MDL],Table13[Tolerance % CW ],"")/100*Table1[[#This Row],[Std Nom]]),"")</f>
        <v/>
      </c>
      <c r="P2079" s="1" t="str">
        <f>IFERROR(Table1[[#This Row],[Std Nom]]+(_xlfn.XLOOKUP(Table1[[#This Row],[Manufacturer]]&amp;" "&amp;Table1[[#This Row],[Model]],Table13[MFR &amp; MDL],Table13[Tolerance % CW ],"")/100*Table1[[#This Row],[Std Nom]]),"")</f>
        <v/>
      </c>
      <c r="Q2079" s="1" t="e">
        <f>Table1[[#This Row],[High Tol]]-Table1[[#This Row],[Low Tol]]</f>
        <v>#VALUE!</v>
      </c>
      <c r="R2079" s="1">
        <f>2*Table1[[#This Row],[Std Error]]</f>
        <v>0</v>
      </c>
      <c r="S2079" s="1" t="str">
        <f>IF(Table1[[#This Row],[High Tol]]="","N/A",IFERROR(ABS(Table1[[#This Row],[Tol Span]]/Table1[[#This Row],[Error Span]]),"N/A"))</f>
        <v>N/A</v>
      </c>
      <c r="T2079" s="1" t="str">
        <f>IF(OR(Table1[[#This Row],[Low Tol]]="",Table1[[#This Row],[High Tol]]=""),"Needs Analysis",IF(Table1[[#This Row],[Ratio]]&gt;=4,"Not Significant",IF(Table1[[#This Row],[Ratio]]&gt;=2,"Semi-Significant","Significant")))</f>
        <v>Needs Analysis</v>
      </c>
      <c r="W2079" s="1">
        <f>IF(Table1[[#This Row],[Cal Type]]&lt;&gt;"ACCREDITED 17025 WITH UNCERTAINTIES",0,"")</f>
        <v>0</v>
      </c>
      <c r="X2079" s="1" t="str">
        <f>IF(Table1[[#This Row],[DUT Read]]="","N/A",Table1[[#This Row],[Std Error]]+Table1[[#This Row],[DUT Read]]+Table1[[#This Row],[DUT Ucty]])</f>
        <v>N/A</v>
      </c>
      <c r="Y2079" s="1" t="str">
        <f>IF(Table1[[#This Row],[Std Read]]="","N/A",Table1[[#This Row],[Std Read]]+Table1[[#This Row],[Std Ucty]])</f>
        <v>N/A</v>
      </c>
      <c r="Z20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9" s="1" t="str">
        <f>IF(Table1[[#This Row],[Spec Type]]="","N/A",Table1[[#This Row],[Spec Type]])</f>
        <v>±</v>
      </c>
      <c r="AC2079" s="1" t="str">
        <f>IF(Table1[[#This Row],[Spec Type2]]="N/A","N/A",IF(AND(Table1[[#This Row],[DUT Adj Read]]&gt;=Table1[[#This Row],[Low Tol]],Table1[[#This Row],[DUT Adj Read]]&lt;=Table1[[#This Row],[High Tol]]),"Pass","Fail"))</f>
        <v>Fail</v>
      </c>
      <c r="AD2079" s="1" t="str">
        <f>IF(AND(Table1[[#This Row],[Spec Type2]]="N/A",Table1[[#This Row],[DUT Adj Read]]="N/A",Table1[[#This Row],[Std Adj Read]]="N/A"),"N/A",IF(Table1[[#This Row],[DUT Adj Read]]="N/A",IF(Table1[[#This Row],[Std Adj Read]]&gt;Table1[[#This Row],[Low Tol]],"Pass","Fail"),IF(Table1[[#This Row],[DUT Adj Read]]&gt;Table1[[#This Row],[Low Tol]],"Pass","Fail")))</f>
        <v>Pass</v>
      </c>
      <c r="AE2079" s="1" t="str">
        <f>IF(AND(Table1[[#This Row],[Spec Type2]]="N/A",Table1[[#This Row],[DUT Adj Read]]="N/A",Table1[[#This Row],[Std Adj Read]]="N/A"),"N/A",IF(Table1[[#This Row],[DUT Adj Read]]="N/A",IF(Table1[[#This Row],[Std Adj Read]]&lt;Table1[[#This Row],[High Tol]],"Pass","Fail"),IF(Table1[[#This Row],[DUT Adj Read]]&lt;Table1[[#This Row],[High Tol]],"Pass","Fail")))</f>
        <v>Fail</v>
      </c>
      <c r="AF2079" s="1" t="str">
        <f>IF(AND(Table1[[#This Row],[Spec Type2]]="N/A",Table1[[#This Row],[DUT Adj Read]]="N/A",Table1[[#This Row],[Std Adj Read]]="N/A"),"N/A",IF(Table1[[#This Row],[DUT Adj Read]]="N/A",IF(Table1[[#This Row],[Std Adj Read]]&gt;=Table1[[#This Row],[Low Tol]],"Pass","Fail"),IF(Table1[[#This Row],[DUT Adj Read]]&gt;=Table1[[#This Row],[Low Tol]],"Pass","Fail")))</f>
        <v>Pass</v>
      </c>
      <c r="AG2079" s="1" t="str">
        <f>IF(AND(Table1[[#This Row],[Spec Type2]]="N/A",Table1[[#This Row],[DUT Adj Read]]="N/A",Table1[[#This Row],[Std Adj Read]]="N/A"),"N/A",IF(Table1[[#This Row],[DUT Adj Read]]="N/A",IF(Table1[[#This Row],[Std Adj Read]]&lt;=Table1[[#This Row],[High Tol]],"Pass","Fail"),IF(Table1[[#This Row],[DUT Adj Read]]&lt;=Table1[[#This Row],[High Tol]],"Pass","Fail")))</f>
        <v>Fail</v>
      </c>
      <c r="AH20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9" s="1" t="b">
        <v>0</v>
      </c>
      <c r="AN2079" s="1" t="b">
        <v>0</v>
      </c>
      <c r="AO2079" s="1" t="b">
        <v>0</v>
      </c>
    </row>
    <row r="2080" spans="1:41" x14ac:dyDescent="0.25">
      <c r="A2080" s="10"/>
      <c r="B2080" s="10"/>
      <c r="C2080" s="10"/>
      <c r="D2080" s="10"/>
      <c r="E2080" s="10"/>
      <c r="F2080" s="10"/>
      <c r="G2080" s="10"/>
      <c r="H2080" s="10"/>
      <c r="I2080" s="1" t="str">
        <f t="shared" si="96"/>
        <v/>
      </c>
      <c r="J2080" s="1" t="s">
        <v>35</v>
      </c>
      <c r="K2080" s="1" t="str">
        <f t="shared" si="97"/>
        <v/>
      </c>
      <c r="L2080" s="1" t="str">
        <f t="shared" si="98"/>
        <v/>
      </c>
      <c r="M2080" s="1">
        <f>IF(OR(Table1[[#This Row],[Std Nom]]="",Table1[[#This Row],[Std Read]]=""),0,Table1[[#This Row],[Std Nom]]-Table1[[#This Row],[Std Read]])</f>
        <v>0</v>
      </c>
      <c r="N2080" s="1">
        <f>IF(Calculations!$F$5="ACCREDITED 17025 WITH UNCERTAINTIES",$N$10,0)</f>
        <v>0</v>
      </c>
      <c r="O2080" s="1" t="str">
        <f>IFERROR(Table1[[#This Row],[Std Nom]]-(_xlfn.XLOOKUP(Table1[[#This Row],[Manufacturer]]&amp;" "&amp;Table1[[#This Row],[Model]],Table13[MFR &amp; MDL],Table13[Tolerance % CW ],"")/100*Table1[[#This Row],[Std Nom]]),"")</f>
        <v/>
      </c>
      <c r="P2080" s="1" t="str">
        <f>IFERROR(Table1[[#This Row],[Std Nom]]+(_xlfn.XLOOKUP(Table1[[#This Row],[Manufacturer]]&amp;" "&amp;Table1[[#This Row],[Model]],Table13[MFR &amp; MDL],Table13[Tolerance % CW ],"")/100*Table1[[#This Row],[Std Nom]]),"")</f>
        <v/>
      </c>
      <c r="Q2080" s="1" t="e">
        <f>Table1[[#This Row],[High Tol]]-Table1[[#This Row],[Low Tol]]</f>
        <v>#VALUE!</v>
      </c>
      <c r="R2080" s="1">
        <f>2*Table1[[#This Row],[Std Error]]</f>
        <v>0</v>
      </c>
      <c r="S2080" s="1" t="str">
        <f>IF(Table1[[#This Row],[High Tol]]="","N/A",IFERROR(ABS(Table1[[#This Row],[Tol Span]]/Table1[[#This Row],[Error Span]]),"N/A"))</f>
        <v>N/A</v>
      </c>
      <c r="T2080" s="1" t="str">
        <f>IF(OR(Table1[[#This Row],[Low Tol]]="",Table1[[#This Row],[High Tol]]=""),"Needs Analysis",IF(Table1[[#This Row],[Ratio]]&gt;=4,"Not Significant",IF(Table1[[#This Row],[Ratio]]&gt;=2,"Semi-Significant","Significant")))</f>
        <v>Needs Analysis</v>
      </c>
      <c r="W2080" s="1">
        <f>IF(Table1[[#This Row],[Cal Type]]&lt;&gt;"ACCREDITED 17025 WITH UNCERTAINTIES",0,"")</f>
        <v>0</v>
      </c>
      <c r="X2080" s="1" t="str">
        <f>IF(Table1[[#This Row],[DUT Read]]="","N/A",Table1[[#This Row],[Std Error]]+Table1[[#This Row],[DUT Read]]+Table1[[#This Row],[DUT Ucty]])</f>
        <v>N/A</v>
      </c>
      <c r="Y2080" s="1" t="str">
        <f>IF(Table1[[#This Row],[Std Read]]="","N/A",Table1[[#This Row],[Std Read]]+Table1[[#This Row],[Std Ucty]])</f>
        <v>N/A</v>
      </c>
      <c r="Z20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0" s="1" t="str">
        <f>IF(Table1[[#This Row],[Spec Type]]="","N/A",Table1[[#This Row],[Spec Type]])</f>
        <v>±</v>
      </c>
      <c r="AC2080" s="1" t="str">
        <f>IF(Table1[[#This Row],[Spec Type2]]="N/A","N/A",IF(AND(Table1[[#This Row],[DUT Adj Read]]&gt;=Table1[[#This Row],[Low Tol]],Table1[[#This Row],[DUT Adj Read]]&lt;=Table1[[#This Row],[High Tol]]),"Pass","Fail"))</f>
        <v>Fail</v>
      </c>
      <c r="AD2080" s="1" t="str">
        <f>IF(AND(Table1[[#This Row],[Spec Type2]]="N/A",Table1[[#This Row],[DUT Adj Read]]="N/A",Table1[[#This Row],[Std Adj Read]]="N/A"),"N/A",IF(Table1[[#This Row],[DUT Adj Read]]="N/A",IF(Table1[[#This Row],[Std Adj Read]]&gt;Table1[[#This Row],[Low Tol]],"Pass","Fail"),IF(Table1[[#This Row],[DUT Adj Read]]&gt;Table1[[#This Row],[Low Tol]],"Pass","Fail")))</f>
        <v>Pass</v>
      </c>
      <c r="AE2080" s="1" t="str">
        <f>IF(AND(Table1[[#This Row],[Spec Type2]]="N/A",Table1[[#This Row],[DUT Adj Read]]="N/A",Table1[[#This Row],[Std Adj Read]]="N/A"),"N/A",IF(Table1[[#This Row],[DUT Adj Read]]="N/A",IF(Table1[[#This Row],[Std Adj Read]]&lt;Table1[[#This Row],[High Tol]],"Pass","Fail"),IF(Table1[[#This Row],[DUT Adj Read]]&lt;Table1[[#This Row],[High Tol]],"Pass","Fail")))</f>
        <v>Fail</v>
      </c>
      <c r="AF2080" s="1" t="str">
        <f>IF(AND(Table1[[#This Row],[Spec Type2]]="N/A",Table1[[#This Row],[DUT Adj Read]]="N/A",Table1[[#This Row],[Std Adj Read]]="N/A"),"N/A",IF(Table1[[#This Row],[DUT Adj Read]]="N/A",IF(Table1[[#This Row],[Std Adj Read]]&gt;=Table1[[#This Row],[Low Tol]],"Pass","Fail"),IF(Table1[[#This Row],[DUT Adj Read]]&gt;=Table1[[#This Row],[Low Tol]],"Pass","Fail")))</f>
        <v>Pass</v>
      </c>
      <c r="AG2080" s="1" t="str">
        <f>IF(AND(Table1[[#This Row],[Spec Type2]]="N/A",Table1[[#This Row],[DUT Adj Read]]="N/A",Table1[[#This Row],[Std Adj Read]]="N/A"),"N/A",IF(Table1[[#This Row],[DUT Adj Read]]="N/A",IF(Table1[[#This Row],[Std Adj Read]]&lt;=Table1[[#This Row],[High Tol]],"Pass","Fail"),IF(Table1[[#This Row],[DUT Adj Read]]&lt;=Table1[[#This Row],[High Tol]],"Pass","Fail")))</f>
        <v>Fail</v>
      </c>
      <c r="AH20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0" s="1" t="b">
        <v>0</v>
      </c>
      <c r="AN2080" s="1" t="b">
        <v>0</v>
      </c>
      <c r="AO2080" s="1" t="b">
        <v>0</v>
      </c>
    </row>
    <row r="2081" spans="1:41" x14ac:dyDescent="0.25">
      <c r="A2081" s="10"/>
      <c r="B2081" s="10"/>
      <c r="C2081" s="10"/>
      <c r="D2081" s="10"/>
      <c r="E2081" s="10"/>
      <c r="F2081" s="10"/>
      <c r="G2081" s="10"/>
      <c r="H2081" s="10"/>
      <c r="I2081" s="1" t="str">
        <f t="shared" si="96"/>
        <v/>
      </c>
      <c r="J2081" s="1" t="s">
        <v>35</v>
      </c>
      <c r="K2081" s="1" t="str">
        <f t="shared" si="97"/>
        <v/>
      </c>
      <c r="L2081" s="1" t="str">
        <f t="shared" si="98"/>
        <v/>
      </c>
      <c r="M2081" s="1">
        <f>IF(OR(Table1[[#This Row],[Std Nom]]="",Table1[[#This Row],[Std Read]]=""),0,Table1[[#This Row],[Std Nom]]-Table1[[#This Row],[Std Read]])</f>
        <v>0</v>
      </c>
      <c r="N2081" s="1">
        <f>IF(Calculations!$F$5="ACCREDITED 17025 WITH UNCERTAINTIES",$N$10,0)</f>
        <v>0</v>
      </c>
      <c r="O2081" s="1" t="str">
        <f>IFERROR(Table1[[#This Row],[Std Nom]]-(_xlfn.XLOOKUP(Table1[[#This Row],[Manufacturer]]&amp;" "&amp;Table1[[#This Row],[Model]],Table13[MFR &amp; MDL],Table13[Tolerance % CW ],"")/100*Table1[[#This Row],[Std Nom]]),"")</f>
        <v/>
      </c>
      <c r="P2081" s="1" t="str">
        <f>IFERROR(Table1[[#This Row],[Std Nom]]+(_xlfn.XLOOKUP(Table1[[#This Row],[Manufacturer]]&amp;" "&amp;Table1[[#This Row],[Model]],Table13[MFR &amp; MDL],Table13[Tolerance % CW ],"")/100*Table1[[#This Row],[Std Nom]]),"")</f>
        <v/>
      </c>
      <c r="Q2081" s="1" t="e">
        <f>Table1[[#This Row],[High Tol]]-Table1[[#This Row],[Low Tol]]</f>
        <v>#VALUE!</v>
      </c>
      <c r="R2081" s="1">
        <f>2*Table1[[#This Row],[Std Error]]</f>
        <v>0</v>
      </c>
      <c r="S2081" s="1" t="str">
        <f>IF(Table1[[#This Row],[High Tol]]="","N/A",IFERROR(ABS(Table1[[#This Row],[Tol Span]]/Table1[[#This Row],[Error Span]]),"N/A"))</f>
        <v>N/A</v>
      </c>
      <c r="T2081" s="1" t="str">
        <f>IF(OR(Table1[[#This Row],[Low Tol]]="",Table1[[#This Row],[High Tol]]=""),"Needs Analysis",IF(Table1[[#This Row],[Ratio]]&gt;=4,"Not Significant",IF(Table1[[#This Row],[Ratio]]&gt;=2,"Semi-Significant","Significant")))</f>
        <v>Needs Analysis</v>
      </c>
      <c r="W2081" s="1">
        <f>IF(Table1[[#This Row],[Cal Type]]&lt;&gt;"ACCREDITED 17025 WITH UNCERTAINTIES",0,"")</f>
        <v>0</v>
      </c>
      <c r="X2081" s="1" t="str">
        <f>IF(Table1[[#This Row],[DUT Read]]="","N/A",Table1[[#This Row],[Std Error]]+Table1[[#This Row],[DUT Read]]+Table1[[#This Row],[DUT Ucty]])</f>
        <v>N/A</v>
      </c>
      <c r="Y2081" s="1" t="str">
        <f>IF(Table1[[#This Row],[Std Read]]="","N/A",Table1[[#This Row],[Std Read]]+Table1[[#This Row],[Std Ucty]])</f>
        <v>N/A</v>
      </c>
      <c r="Z20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1" s="1" t="str">
        <f>IF(Table1[[#This Row],[Spec Type]]="","N/A",Table1[[#This Row],[Spec Type]])</f>
        <v>±</v>
      </c>
      <c r="AC2081" s="1" t="str">
        <f>IF(Table1[[#This Row],[Spec Type2]]="N/A","N/A",IF(AND(Table1[[#This Row],[DUT Adj Read]]&gt;=Table1[[#This Row],[Low Tol]],Table1[[#This Row],[DUT Adj Read]]&lt;=Table1[[#This Row],[High Tol]]),"Pass","Fail"))</f>
        <v>Fail</v>
      </c>
      <c r="AD2081" s="1" t="str">
        <f>IF(AND(Table1[[#This Row],[Spec Type2]]="N/A",Table1[[#This Row],[DUT Adj Read]]="N/A",Table1[[#This Row],[Std Adj Read]]="N/A"),"N/A",IF(Table1[[#This Row],[DUT Adj Read]]="N/A",IF(Table1[[#This Row],[Std Adj Read]]&gt;Table1[[#This Row],[Low Tol]],"Pass","Fail"),IF(Table1[[#This Row],[DUT Adj Read]]&gt;Table1[[#This Row],[Low Tol]],"Pass","Fail")))</f>
        <v>Pass</v>
      </c>
      <c r="AE2081" s="1" t="str">
        <f>IF(AND(Table1[[#This Row],[Spec Type2]]="N/A",Table1[[#This Row],[DUT Adj Read]]="N/A",Table1[[#This Row],[Std Adj Read]]="N/A"),"N/A",IF(Table1[[#This Row],[DUT Adj Read]]="N/A",IF(Table1[[#This Row],[Std Adj Read]]&lt;Table1[[#This Row],[High Tol]],"Pass","Fail"),IF(Table1[[#This Row],[DUT Adj Read]]&lt;Table1[[#This Row],[High Tol]],"Pass","Fail")))</f>
        <v>Fail</v>
      </c>
      <c r="AF2081" s="1" t="str">
        <f>IF(AND(Table1[[#This Row],[Spec Type2]]="N/A",Table1[[#This Row],[DUT Adj Read]]="N/A",Table1[[#This Row],[Std Adj Read]]="N/A"),"N/A",IF(Table1[[#This Row],[DUT Adj Read]]="N/A",IF(Table1[[#This Row],[Std Adj Read]]&gt;=Table1[[#This Row],[Low Tol]],"Pass","Fail"),IF(Table1[[#This Row],[DUT Adj Read]]&gt;=Table1[[#This Row],[Low Tol]],"Pass","Fail")))</f>
        <v>Pass</v>
      </c>
      <c r="AG2081" s="1" t="str">
        <f>IF(AND(Table1[[#This Row],[Spec Type2]]="N/A",Table1[[#This Row],[DUT Adj Read]]="N/A",Table1[[#This Row],[Std Adj Read]]="N/A"),"N/A",IF(Table1[[#This Row],[DUT Adj Read]]="N/A",IF(Table1[[#This Row],[Std Adj Read]]&lt;=Table1[[#This Row],[High Tol]],"Pass","Fail"),IF(Table1[[#This Row],[DUT Adj Read]]&lt;=Table1[[#This Row],[High Tol]],"Pass","Fail")))</f>
        <v>Fail</v>
      </c>
      <c r="AH20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1" s="1" t="b">
        <v>0</v>
      </c>
      <c r="AN2081" s="1" t="b">
        <v>0</v>
      </c>
      <c r="AO2081" s="1" t="b">
        <v>0</v>
      </c>
    </row>
    <row r="2082" spans="1:41" x14ac:dyDescent="0.25">
      <c r="A2082" s="10"/>
      <c r="B2082" s="10"/>
      <c r="C2082" s="10"/>
      <c r="D2082" s="10"/>
      <c r="E2082" s="10"/>
      <c r="F2082" s="10"/>
      <c r="G2082" s="10"/>
      <c r="H2082" s="10"/>
      <c r="I2082" s="1" t="str">
        <f t="shared" si="96"/>
        <v/>
      </c>
      <c r="J2082" s="1" t="s">
        <v>35</v>
      </c>
      <c r="K2082" s="1" t="str">
        <f t="shared" si="97"/>
        <v/>
      </c>
      <c r="L2082" s="1" t="str">
        <f t="shared" si="98"/>
        <v/>
      </c>
      <c r="M2082" s="1">
        <f>IF(OR(Table1[[#This Row],[Std Nom]]="",Table1[[#This Row],[Std Read]]=""),0,Table1[[#This Row],[Std Nom]]-Table1[[#This Row],[Std Read]])</f>
        <v>0</v>
      </c>
      <c r="N2082" s="1">
        <f>IF(Calculations!$F$5="ACCREDITED 17025 WITH UNCERTAINTIES",$N$10,0)</f>
        <v>0</v>
      </c>
      <c r="O2082" s="1" t="str">
        <f>IFERROR(Table1[[#This Row],[Std Nom]]-(_xlfn.XLOOKUP(Table1[[#This Row],[Manufacturer]]&amp;" "&amp;Table1[[#This Row],[Model]],Table13[MFR &amp; MDL],Table13[Tolerance % CW ],"")/100*Table1[[#This Row],[Std Nom]]),"")</f>
        <v/>
      </c>
      <c r="P2082" s="1" t="str">
        <f>IFERROR(Table1[[#This Row],[Std Nom]]+(_xlfn.XLOOKUP(Table1[[#This Row],[Manufacturer]]&amp;" "&amp;Table1[[#This Row],[Model]],Table13[MFR &amp; MDL],Table13[Tolerance % CW ],"")/100*Table1[[#This Row],[Std Nom]]),"")</f>
        <v/>
      </c>
      <c r="Q2082" s="1" t="e">
        <f>Table1[[#This Row],[High Tol]]-Table1[[#This Row],[Low Tol]]</f>
        <v>#VALUE!</v>
      </c>
      <c r="R2082" s="1">
        <f>2*Table1[[#This Row],[Std Error]]</f>
        <v>0</v>
      </c>
      <c r="S2082" s="1" t="str">
        <f>IF(Table1[[#This Row],[High Tol]]="","N/A",IFERROR(ABS(Table1[[#This Row],[Tol Span]]/Table1[[#This Row],[Error Span]]),"N/A"))</f>
        <v>N/A</v>
      </c>
      <c r="T2082" s="1" t="str">
        <f>IF(OR(Table1[[#This Row],[Low Tol]]="",Table1[[#This Row],[High Tol]]=""),"Needs Analysis",IF(Table1[[#This Row],[Ratio]]&gt;=4,"Not Significant",IF(Table1[[#This Row],[Ratio]]&gt;=2,"Semi-Significant","Significant")))</f>
        <v>Needs Analysis</v>
      </c>
      <c r="W2082" s="1">
        <f>IF(Table1[[#This Row],[Cal Type]]&lt;&gt;"ACCREDITED 17025 WITH UNCERTAINTIES",0,"")</f>
        <v>0</v>
      </c>
      <c r="X2082" s="1" t="str">
        <f>IF(Table1[[#This Row],[DUT Read]]="","N/A",Table1[[#This Row],[Std Error]]+Table1[[#This Row],[DUT Read]]+Table1[[#This Row],[DUT Ucty]])</f>
        <v>N/A</v>
      </c>
      <c r="Y2082" s="1" t="str">
        <f>IF(Table1[[#This Row],[Std Read]]="","N/A",Table1[[#This Row],[Std Read]]+Table1[[#This Row],[Std Ucty]])</f>
        <v>N/A</v>
      </c>
      <c r="Z20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2" s="1" t="str">
        <f>IF(Table1[[#This Row],[Spec Type]]="","N/A",Table1[[#This Row],[Spec Type]])</f>
        <v>±</v>
      </c>
      <c r="AC2082" s="1" t="str">
        <f>IF(Table1[[#This Row],[Spec Type2]]="N/A","N/A",IF(AND(Table1[[#This Row],[DUT Adj Read]]&gt;=Table1[[#This Row],[Low Tol]],Table1[[#This Row],[DUT Adj Read]]&lt;=Table1[[#This Row],[High Tol]]),"Pass","Fail"))</f>
        <v>Fail</v>
      </c>
      <c r="AD2082" s="1" t="str">
        <f>IF(AND(Table1[[#This Row],[Spec Type2]]="N/A",Table1[[#This Row],[DUT Adj Read]]="N/A",Table1[[#This Row],[Std Adj Read]]="N/A"),"N/A",IF(Table1[[#This Row],[DUT Adj Read]]="N/A",IF(Table1[[#This Row],[Std Adj Read]]&gt;Table1[[#This Row],[Low Tol]],"Pass","Fail"),IF(Table1[[#This Row],[DUT Adj Read]]&gt;Table1[[#This Row],[Low Tol]],"Pass","Fail")))</f>
        <v>Pass</v>
      </c>
      <c r="AE2082" s="1" t="str">
        <f>IF(AND(Table1[[#This Row],[Spec Type2]]="N/A",Table1[[#This Row],[DUT Adj Read]]="N/A",Table1[[#This Row],[Std Adj Read]]="N/A"),"N/A",IF(Table1[[#This Row],[DUT Adj Read]]="N/A",IF(Table1[[#This Row],[Std Adj Read]]&lt;Table1[[#This Row],[High Tol]],"Pass","Fail"),IF(Table1[[#This Row],[DUT Adj Read]]&lt;Table1[[#This Row],[High Tol]],"Pass","Fail")))</f>
        <v>Fail</v>
      </c>
      <c r="AF2082" s="1" t="str">
        <f>IF(AND(Table1[[#This Row],[Spec Type2]]="N/A",Table1[[#This Row],[DUT Adj Read]]="N/A",Table1[[#This Row],[Std Adj Read]]="N/A"),"N/A",IF(Table1[[#This Row],[DUT Adj Read]]="N/A",IF(Table1[[#This Row],[Std Adj Read]]&gt;=Table1[[#This Row],[Low Tol]],"Pass","Fail"),IF(Table1[[#This Row],[DUT Adj Read]]&gt;=Table1[[#This Row],[Low Tol]],"Pass","Fail")))</f>
        <v>Pass</v>
      </c>
      <c r="AG2082" s="1" t="str">
        <f>IF(AND(Table1[[#This Row],[Spec Type2]]="N/A",Table1[[#This Row],[DUT Adj Read]]="N/A",Table1[[#This Row],[Std Adj Read]]="N/A"),"N/A",IF(Table1[[#This Row],[DUT Adj Read]]="N/A",IF(Table1[[#This Row],[Std Adj Read]]&lt;=Table1[[#This Row],[High Tol]],"Pass","Fail"),IF(Table1[[#This Row],[DUT Adj Read]]&lt;=Table1[[#This Row],[High Tol]],"Pass","Fail")))</f>
        <v>Fail</v>
      </c>
      <c r="AH20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2" s="1" t="b">
        <v>0</v>
      </c>
      <c r="AN2082" s="1" t="b">
        <v>0</v>
      </c>
      <c r="AO2082" s="1" t="b">
        <v>0</v>
      </c>
    </row>
    <row r="2083" spans="1:41" x14ac:dyDescent="0.25">
      <c r="A2083" s="10"/>
      <c r="B2083" s="10"/>
      <c r="C2083" s="10"/>
      <c r="D2083" s="10"/>
      <c r="E2083" s="10"/>
      <c r="F2083" s="10"/>
      <c r="G2083" s="10"/>
      <c r="H2083" s="10"/>
      <c r="I2083" s="1" t="str">
        <f t="shared" si="96"/>
        <v/>
      </c>
      <c r="J2083" s="1" t="s">
        <v>35</v>
      </c>
      <c r="K2083" s="1" t="str">
        <f t="shared" si="97"/>
        <v/>
      </c>
      <c r="L2083" s="1" t="str">
        <f t="shared" si="98"/>
        <v/>
      </c>
      <c r="M2083" s="1">
        <f>IF(OR(Table1[[#This Row],[Std Nom]]="",Table1[[#This Row],[Std Read]]=""),0,Table1[[#This Row],[Std Nom]]-Table1[[#This Row],[Std Read]])</f>
        <v>0</v>
      </c>
      <c r="N2083" s="1">
        <f>IF(Calculations!$F$5="ACCREDITED 17025 WITH UNCERTAINTIES",$N$10,0)</f>
        <v>0</v>
      </c>
      <c r="O2083" s="1" t="str">
        <f>IFERROR(Table1[[#This Row],[Std Nom]]-(_xlfn.XLOOKUP(Table1[[#This Row],[Manufacturer]]&amp;" "&amp;Table1[[#This Row],[Model]],Table13[MFR &amp; MDL],Table13[Tolerance % CW ],"")/100*Table1[[#This Row],[Std Nom]]),"")</f>
        <v/>
      </c>
      <c r="P2083" s="1" t="str">
        <f>IFERROR(Table1[[#This Row],[Std Nom]]+(_xlfn.XLOOKUP(Table1[[#This Row],[Manufacturer]]&amp;" "&amp;Table1[[#This Row],[Model]],Table13[MFR &amp; MDL],Table13[Tolerance % CW ],"")/100*Table1[[#This Row],[Std Nom]]),"")</f>
        <v/>
      </c>
      <c r="Q2083" s="1" t="e">
        <f>Table1[[#This Row],[High Tol]]-Table1[[#This Row],[Low Tol]]</f>
        <v>#VALUE!</v>
      </c>
      <c r="R2083" s="1">
        <f>2*Table1[[#This Row],[Std Error]]</f>
        <v>0</v>
      </c>
      <c r="S2083" s="1" t="str">
        <f>IF(Table1[[#This Row],[High Tol]]="","N/A",IFERROR(ABS(Table1[[#This Row],[Tol Span]]/Table1[[#This Row],[Error Span]]),"N/A"))</f>
        <v>N/A</v>
      </c>
      <c r="T2083" s="1" t="str">
        <f>IF(OR(Table1[[#This Row],[Low Tol]]="",Table1[[#This Row],[High Tol]]=""),"Needs Analysis",IF(Table1[[#This Row],[Ratio]]&gt;=4,"Not Significant",IF(Table1[[#This Row],[Ratio]]&gt;=2,"Semi-Significant","Significant")))</f>
        <v>Needs Analysis</v>
      </c>
      <c r="W2083" s="1">
        <f>IF(Table1[[#This Row],[Cal Type]]&lt;&gt;"ACCREDITED 17025 WITH UNCERTAINTIES",0,"")</f>
        <v>0</v>
      </c>
      <c r="X2083" s="1" t="str">
        <f>IF(Table1[[#This Row],[DUT Read]]="","N/A",Table1[[#This Row],[Std Error]]+Table1[[#This Row],[DUT Read]]+Table1[[#This Row],[DUT Ucty]])</f>
        <v>N/A</v>
      </c>
      <c r="Y2083" s="1" t="str">
        <f>IF(Table1[[#This Row],[Std Read]]="","N/A",Table1[[#This Row],[Std Read]]+Table1[[#This Row],[Std Ucty]])</f>
        <v>N/A</v>
      </c>
      <c r="Z20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3" s="1" t="str">
        <f>IF(Table1[[#This Row],[Spec Type]]="","N/A",Table1[[#This Row],[Spec Type]])</f>
        <v>±</v>
      </c>
      <c r="AC2083" s="1" t="str">
        <f>IF(Table1[[#This Row],[Spec Type2]]="N/A","N/A",IF(AND(Table1[[#This Row],[DUT Adj Read]]&gt;=Table1[[#This Row],[Low Tol]],Table1[[#This Row],[DUT Adj Read]]&lt;=Table1[[#This Row],[High Tol]]),"Pass","Fail"))</f>
        <v>Fail</v>
      </c>
      <c r="AD2083" s="1" t="str">
        <f>IF(AND(Table1[[#This Row],[Spec Type2]]="N/A",Table1[[#This Row],[DUT Adj Read]]="N/A",Table1[[#This Row],[Std Adj Read]]="N/A"),"N/A",IF(Table1[[#This Row],[DUT Adj Read]]="N/A",IF(Table1[[#This Row],[Std Adj Read]]&gt;Table1[[#This Row],[Low Tol]],"Pass","Fail"),IF(Table1[[#This Row],[DUT Adj Read]]&gt;Table1[[#This Row],[Low Tol]],"Pass","Fail")))</f>
        <v>Pass</v>
      </c>
      <c r="AE2083" s="1" t="str">
        <f>IF(AND(Table1[[#This Row],[Spec Type2]]="N/A",Table1[[#This Row],[DUT Adj Read]]="N/A",Table1[[#This Row],[Std Adj Read]]="N/A"),"N/A",IF(Table1[[#This Row],[DUT Adj Read]]="N/A",IF(Table1[[#This Row],[Std Adj Read]]&lt;Table1[[#This Row],[High Tol]],"Pass","Fail"),IF(Table1[[#This Row],[DUT Adj Read]]&lt;Table1[[#This Row],[High Tol]],"Pass","Fail")))</f>
        <v>Fail</v>
      </c>
      <c r="AF2083" s="1" t="str">
        <f>IF(AND(Table1[[#This Row],[Spec Type2]]="N/A",Table1[[#This Row],[DUT Adj Read]]="N/A",Table1[[#This Row],[Std Adj Read]]="N/A"),"N/A",IF(Table1[[#This Row],[DUT Adj Read]]="N/A",IF(Table1[[#This Row],[Std Adj Read]]&gt;=Table1[[#This Row],[Low Tol]],"Pass","Fail"),IF(Table1[[#This Row],[DUT Adj Read]]&gt;=Table1[[#This Row],[Low Tol]],"Pass","Fail")))</f>
        <v>Pass</v>
      </c>
      <c r="AG2083" s="1" t="str">
        <f>IF(AND(Table1[[#This Row],[Spec Type2]]="N/A",Table1[[#This Row],[DUT Adj Read]]="N/A",Table1[[#This Row],[Std Adj Read]]="N/A"),"N/A",IF(Table1[[#This Row],[DUT Adj Read]]="N/A",IF(Table1[[#This Row],[Std Adj Read]]&lt;=Table1[[#This Row],[High Tol]],"Pass","Fail"),IF(Table1[[#This Row],[DUT Adj Read]]&lt;=Table1[[#This Row],[High Tol]],"Pass","Fail")))</f>
        <v>Fail</v>
      </c>
      <c r="AH20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3" s="1" t="b">
        <v>0</v>
      </c>
      <c r="AN2083" s="1" t="b">
        <v>0</v>
      </c>
      <c r="AO2083" s="1" t="b">
        <v>0</v>
      </c>
    </row>
    <row r="2084" spans="1:41" x14ac:dyDescent="0.25">
      <c r="A2084" s="10"/>
      <c r="B2084" s="10"/>
      <c r="C2084" s="10"/>
      <c r="D2084" s="10"/>
      <c r="E2084" s="10"/>
      <c r="F2084" s="10"/>
      <c r="G2084" s="10"/>
      <c r="H2084" s="10"/>
      <c r="I2084" s="1" t="str">
        <f t="shared" si="96"/>
        <v/>
      </c>
      <c r="J2084" s="1" t="s">
        <v>35</v>
      </c>
      <c r="K2084" s="1" t="str">
        <f t="shared" si="97"/>
        <v/>
      </c>
      <c r="L2084" s="1" t="str">
        <f t="shared" si="98"/>
        <v/>
      </c>
      <c r="M2084" s="1">
        <f>IF(OR(Table1[[#This Row],[Std Nom]]="",Table1[[#This Row],[Std Read]]=""),0,Table1[[#This Row],[Std Nom]]-Table1[[#This Row],[Std Read]])</f>
        <v>0</v>
      </c>
      <c r="N2084" s="1">
        <f>IF(Calculations!$F$5="ACCREDITED 17025 WITH UNCERTAINTIES",$N$10,0)</f>
        <v>0</v>
      </c>
      <c r="O2084" s="1" t="str">
        <f>IFERROR(Table1[[#This Row],[Std Nom]]-(_xlfn.XLOOKUP(Table1[[#This Row],[Manufacturer]]&amp;" "&amp;Table1[[#This Row],[Model]],Table13[MFR &amp; MDL],Table13[Tolerance % CW ],"")/100*Table1[[#This Row],[Std Nom]]),"")</f>
        <v/>
      </c>
      <c r="P2084" s="1" t="str">
        <f>IFERROR(Table1[[#This Row],[Std Nom]]+(_xlfn.XLOOKUP(Table1[[#This Row],[Manufacturer]]&amp;" "&amp;Table1[[#This Row],[Model]],Table13[MFR &amp; MDL],Table13[Tolerance % CW ],"")/100*Table1[[#This Row],[Std Nom]]),"")</f>
        <v/>
      </c>
      <c r="Q2084" s="1" t="e">
        <f>Table1[[#This Row],[High Tol]]-Table1[[#This Row],[Low Tol]]</f>
        <v>#VALUE!</v>
      </c>
      <c r="R2084" s="1">
        <f>2*Table1[[#This Row],[Std Error]]</f>
        <v>0</v>
      </c>
      <c r="S2084" s="1" t="str">
        <f>IF(Table1[[#This Row],[High Tol]]="","N/A",IFERROR(ABS(Table1[[#This Row],[Tol Span]]/Table1[[#This Row],[Error Span]]),"N/A"))</f>
        <v>N/A</v>
      </c>
      <c r="T2084" s="1" t="str">
        <f>IF(OR(Table1[[#This Row],[Low Tol]]="",Table1[[#This Row],[High Tol]]=""),"Needs Analysis",IF(Table1[[#This Row],[Ratio]]&gt;=4,"Not Significant",IF(Table1[[#This Row],[Ratio]]&gt;=2,"Semi-Significant","Significant")))</f>
        <v>Needs Analysis</v>
      </c>
      <c r="W2084" s="1">
        <f>IF(Table1[[#This Row],[Cal Type]]&lt;&gt;"ACCREDITED 17025 WITH UNCERTAINTIES",0,"")</f>
        <v>0</v>
      </c>
      <c r="X2084" s="1" t="str">
        <f>IF(Table1[[#This Row],[DUT Read]]="","N/A",Table1[[#This Row],[Std Error]]+Table1[[#This Row],[DUT Read]]+Table1[[#This Row],[DUT Ucty]])</f>
        <v>N/A</v>
      </c>
      <c r="Y2084" s="1" t="str">
        <f>IF(Table1[[#This Row],[Std Read]]="","N/A",Table1[[#This Row],[Std Read]]+Table1[[#This Row],[Std Ucty]])</f>
        <v>N/A</v>
      </c>
      <c r="Z20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4" s="1" t="str">
        <f>IF(Table1[[#This Row],[Spec Type]]="","N/A",Table1[[#This Row],[Spec Type]])</f>
        <v>±</v>
      </c>
      <c r="AC2084" s="1" t="str">
        <f>IF(Table1[[#This Row],[Spec Type2]]="N/A","N/A",IF(AND(Table1[[#This Row],[DUT Adj Read]]&gt;=Table1[[#This Row],[Low Tol]],Table1[[#This Row],[DUT Adj Read]]&lt;=Table1[[#This Row],[High Tol]]),"Pass","Fail"))</f>
        <v>Fail</v>
      </c>
      <c r="AD2084" s="1" t="str">
        <f>IF(AND(Table1[[#This Row],[Spec Type2]]="N/A",Table1[[#This Row],[DUT Adj Read]]="N/A",Table1[[#This Row],[Std Adj Read]]="N/A"),"N/A",IF(Table1[[#This Row],[DUT Adj Read]]="N/A",IF(Table1[[#This Row],[Std Adj Read]]&gt;Table1[[#This Row],[Low Tol]],"Pass","Fail"),IF(Table1[[#This Row],[DUT Adj Read]]&gt;Table1[[#This Row],[Low Tol]],"Pass","Fail")))</f>
        <v>Pass</v>
      </c>
      <c r="AE2084" s="1" t="str">
        <f>IF(AND(Table1[[#This Row],[Spec Type2]]="N/A",Table1[[#This Row],[DUT Adj Read]]="N/A",Table1[[#This Row],[Std Adj Read]]="N/A"),"N/A",IF(Table1[[#This Row],[DUT Adj Read]]="N/A",IF(Table1[[#This Row],[Std Adj Read]]&lt;Table1[[#This Row],[High Tol]],"Pass","Fail"),IF(Table1[[#This Row],[DUT Adj Read]]&lt;Table1[[#This Row],[High Tol]],"Pass","Fail")))</f>
        <v>Fail</v>
      </c>
      <c r="AF2084" s="1" t="str">
        <f>IF(AND(Table1[[#This Row],[Spec Type2]]="N/A",Table1[[#This Row],[DUT Adj Read]]="N/A",Table1[[#This Row],[Std Adj Read]]="N/A"),"N/A",IF(Table1[[#This Row],[DUT Adj Read]]="N/A",IF(Table1[[#This Row],[Std Adj Read]]&gt;=Table1[[#This Row],[Low Tol]],"Pass","Fail"),IF(Table1[[#This Row],[DUT Adj Read]]&gt;=Table1[[#This Row],[Low Tol]],"Pass","Fail")))</f>
        <v>Pass</v>
      </c>
      <c r="AG2084" s="1" t="str">
        <f>IF(AND(Table1[[#This Row],[Spec Type2]]="N/A",Table1[[#This Row],[DUT Adj Read]]="N/A",Table1[[#This Row],[Std Adj Read]]="N/A"),"N/A",IF(Table1[[#This Row],[DUT Adj Read]]="N/A",IF(Table1[[#This Row],[Std Adj Read]]&lt;=Table1[[#This Row],[High Tol]],"Pass","Fail"),IF(Table1[[#This Row],[DUT Adj Read]]&lt;=Table1[[#This Row],[High Tol]],"Pass","Fail")))</f>
        <v>Fail</v>
      </c>
      <c r="AH20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4" s="1" t="b">
        <v>0</v>
      </c>
      <c r="AN2084" s="1" t="b">
        <v>0</v>
      </c>
      <c r="AO2084" s="1" t="b">
        <v>0</v>
      </c>
    </row>
    <row r="2085" spans="1:41" x14ac:dyDescent="0.25">
      <c r="A2085" s="10"/>
      <c r="B2085" s="10"/>
      <c r="C2085" s="10"/>
      <c r="D2085" s="10"/>
      <c r="E2085" s="10"/>
      <c r="F2085" s="10"/>
      <c r="G2085" s="10"/>
      <c r="H2085" s="10"/>
      <c r="I2085" s="1" t="str">
        <f t="shared" si="96"/>
        <v/>
      </c>
      <c r="J2085" s="1" t="s">
        <v>35</v>
      </c>
      <c r="K2085" s="1" t="str">
        <f t="shared" si="97"/>
        <v/>
      </c>
      <c r="L2085" s="1" t="str">
        <f t="shared" si="98"/>
        <v/>
      </c>
      <c r="M2085" s="1">
        <f>IF(OR(Table1[[#This Row],[Std Nom]]="",Table1[[#This Row],[Std Read]]=""),0,Table1[[#This Row],[Std Nom]]-Table1[[#This Row],[Std Read]])</f>
        <v>0</v>
      </c>
      <c r="N2085" s="1">
        <f>IF(Calculations!$F$5="ACCREDITED 17025 WITH UNCERTAINTIES",$N$10,0)</f>
        <v>0</v>
      </c>
      <c r="O2085" s="1" t="str">
        <f>IFERROR(Table1[[#This Row],[Std Nom]]-(_xlfn.XLOOKUP(Table1[[#This Row],[Manufacturer]]&amp;" "&amp;Table1[[#This Row],[Model]],Table13[MFR &amp; MDL],Table13[Tolerance % CW ],"")/100*Table1[[#This Row],[Std Nom]]),"")</f>
        <v/>
      </c>
      <c r="P2085" s="1" t="str">
        <f>IFERROR(Table1[[#This Row],[Std Nom]]+(_xlfn.XLOOKUP(Table1[[#This Row],[Manufacturer]]&amp;" "&amp;Table1[[#This Row],[Model]],Table13[MFR &amp; MDL],Table13[Tolerance % CW ],"")/100*Table1[[#This Row],[Std Nom]]),"")</f>
        <v/>
      </c>
      <c r="Q2085" s="1" t="e">
        <f>Table1[[#This Row],[High Tol]]-Table1[[#This Row],[Low Tol]]</f>
        <v>#VALUE!</v>
      </c>
      <c r="R2085" s="1">
        <f>2*Table1[[#This Row],[Std Error]]</f>
        <v>0</v>
      </c>
      <c r="S2085" s="1" t="str">
        <f>IF(Table1[[#This Row],[High Tol]]="","N/A",IFERROR(ABS(Table1[[#This Row],[Tol Span]]/Table1[[#This Row],[Error Span]]),"N/A"))</f>
        <v>N/A</v>
      </c>
      <c r="T2085" s="1" t="str">
        <f>IF(OR(Table1[[#This Row],[Low Tol]]="",Table1[[#This Row],[High Tol]]=""),"Needs Analysis",IF(Table1[[#This Row],[Ratio]]&gt;=4,"Not Significant",IF(Table1[[#This Row],[Ratio]]&gt;=2,"Semi-Significant","Significant")))</f>
        <v>Needs Analysis</v>
      </c>
      <c r="W2085" s="1">
        <f>IF(Table1[[#This Row],[Cal Type]]&lt;&gt;"ACCREDITED 17025 WITH UNCERTAINTIES",0,"")</f>
        <v>0</v>
      </c>
      <c r="X2085" s="1" t="str">
        <f>IF(Table1[[#This Row],[DUT Read]]="","N/A",Table1[[#This Row],[Std Error]]+Table1[[#This Row],[DUT Read]]+Table1[[#This Row],[DUT Ucty]])</f>
        <v>N/A</v>
      </c>
      <c r="Y2085" s="1" t="str">
        <f>IF(Table1[[#This Row],[Std Read]]="","N/A",Table1[[#This Row],[Std Read]]+Table1[[#This Row],[Std Ucty]])</f>
        <v>N/A</v>
      </c>
      <c r="Z20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5" s="1" t="str">
        <f>IF(Table1[[#This Row],[Spec Type]]="","N/A",Table1[[#This Row],[Spec Type]])</f>
        <v>±</v>
      </c>
      <c r="AC2085" s="1" t="str">
        <f>IF(Table1[[#This Row],[Spec Type2]]="N/A","N/A",IF(AND(Table1[[#This Row],[DUT Adj Read]]&gt;=Table1[[#This Row],[Low Tol]],Table1[[#This Row],[DUT Adj Read]]&lt;=Table1[[#This Row],[High Tol]]),"Pass","Fail"))</f>
        <v>Fail</v>
      </c>
      <c r="AD2085" s="1" t="str">
        <f>IF(AND(Table1[[#This Row],[Spec Type2]]="N/A",Table1[[#This Row],[DUT Adj Read]]="N/A",Table1[[#This Row],[Std Adj Read]]="N/A"),"N/A",IF(Table1[[#This Row],[DUT Adj Read]]="N/A",IF(Table1[[#This Row],[Std Adj Read]]&gt;Table1[[#This Row],[Low Tol]],"Pass","Fail"),IF(Table1[[#This Row],[DUT Adj Read]]&gt;Table1[[#This Row],[Low Tol]],"Pass","Fail")))</f>
        <v>Pass</v>
      </c>
      <c r="AE2085" s="1" t="str">
        <f>IF(AND(Table1[[#This Row],[Spec Type2]]="N/A",Table1[[#This Row],[DUT Adj Read]]="N/A",Table1[[#This Row],[Std Adj Read]]="N/A"),"N/A",IF(Table1[[#This Row],[DUT Adj Read]]="N/A",IF(Table1[[#This Row],[Std Adj Read]]&lt;Table1[[#This Row],[High Tol]],"Pass","Fail"),IF(Table1[[#This Row],[DUT Adj Read]]&lt;Table1[[#This Row],[High Tol]],"Pass","Fail")))</f>
        <v>Fail</v>
      </c>
      <c r="AF2085" s="1" t="str">
        <f>IF(AND(Table1[[#This Row],[Spec Type2]]="N/A",Table1[[#This Row],[DUT Adj Read]]="N/A",Table1[[#This Row],[Std Adj Read]]="N/A"),"N/A",IF(Table1[[#This Row],[DUT Adj Read]]="N/A",IF(Table1[[#This Row],[Std Adj Read]]&gt;=Table1[[#This Row],[Low Tol]],"Pass","Fail"),IF(Table1[[#This Row],[DUT Adj Read]]&gt;=Table1[[#This Row],[Low Tol]],"Pass","Fail")))</f>
        <v>Pass</v>
      </c>
      <c r="AG2085" s="1" t="str">
        <f>IF(AND(Table1[[#This Row],[Spec Type2]]="N/A",Table1[[#This Row],[DUT Adj Read]]="N/A",Table1[[#This Row],[Std Adj Read]]="N/A"),"N/A",IF(Table1[[#This Row],[DUT Adj Read]]="N/A",IF(Table1[[#This Row],[Std Adj Read]]&lt;=Table1[[#This Row],[High Tol]],"Pass","Fail"),IF(Table1[[#This Row],[DUT Adj Read]]&lt;=Table1[[#This Row],[High Tol]],"Pass","Fail")))</f>
        <v>Fail</v>
      </c>
      <c r="AH20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5" s="1" t="b">
        <v>0</v>
      </c>
      <c r="AN2085" s="1" t="b">
        <v>0</v>
      </c>
      <c r="AO2085" s="1" t="b">
        <v>0</v>
      </c>
    </row>
    <row r="2086" spans="1:41" x14ac:dyDescent="0.25">
      <c r="A2086" s="10"/>
      <c r="B2086" s="10"/>
      <c r="C2086" s="10"/>
      <c r="D2086" s="10"/>
      <c r="E2086" s="10"/>
      <c r="F2086" s="10"/>
      <c r="G2086" s="10"/>
      <c r="H2086" s="10"/>
      <c r="I2086" s="1" t="str">
        <f t="shared" si="96"/>
        <v/>
      </c>
      <c r="J2086" s="1" t="s">
        <v>35</v>
      </c>
      <c r="K2086" s="1" t="str">
        <f t="shared" si="97"/>
        <v/>
      </c>
      <c r="L2086" s="1" t="str">
        <f t="shared" si="98"/>
        <v/>
      </c>
      <c r="M2086" s="1">
        <f>IF(OR(Table1[[#This Row],[Std Nom]]="",Table1[[#This Row],[Std Read]]=""),0,Table1[[#This Row],[Std Nom]]-Table1[[#This Row],[Std Read]])</f>
        <v>0</v>
      </c>
      <c r="N2086" s="1">
        <f>IF(Calculations!$F$5="ACCREDITED 17025 WITH UNCERTAINTIES",$N$10,0)</f>
        <v>0</v>
      </c>
      <c r="O2086" s="1" t="str">
        <f>IFERROR(Table1[[#This Row],[Std Nom]]-(_xlfn.XLOOKUP(Table1[[#This Row],[Manufacturer]]&amp;" "&amp;Table1[[#This Row],[Model]],Table13[MFR &amp; MDL],Table13[Tolerance % CW ],"")/100*Table1[[#This Row],[Std Nom]]),"")</f>
        <v/>
      </c>
      <c r="P2086" s="1" t="str">
        <f>IFERROR(Table1[[#This Row],[Std Nom]]+(_xlfn.XLOOKUP(Table1[[#This Row],[Manufacturer]]&amp;" "&amp;Table1[[#This Row],[Model]],Table13[MFR &amp; MDL],Table13[Tolerance % CW ],"")/100*Table1[[#This Row],[Std Nom]]),"")</f>
        <v/>
      </c>
      <c r="Q2086" s="1" t="e">
        <f>Table1[[#This Row],[High Tol]]-Table1[[#This Row],[Low Tol]]</f>
        <v>#VALUE!</v>
      </c>
      <c r="R2086" s="1">
        <f>2*Table1[[#This Row],[Std Error]]</f>
        <v>0</v>
      </c>
      <c r="S2086" s="1" t="str">
        <f>IF(Table1[[#This Row],[High Tol]]="","N/A",IFERROR(ABS(Table1[[#This Row],[Tol Span]]/Table1[[#This Row],[Error Span]]),"N/A"))</f>
        <v>N/A</v>
      </c>
      <c r="T2086" s="1" t="str">
        <f>IF(OR(Table1[[#This Row],[Low Tol]]="",Table1[[#This Row],[High Tol]]=""),"Needs Analysis",IF(Table1[[#This Row],[Ratio]]&gt;=4,"Not Significant",IF(Table1[[#This Row],[Ratio]]&gt;=2,"Semi-Significant","Significant")))</f>
        <v>Needs Analysis</v>
      </c>
      <c r="W2086" s="1">
        <f>IF(Table1[[#This Row],[Cal Type]]&lt;&gt;"ACCREDITED 17025 WITH UNCERTAINTIES",0,"")</f>
        <v>0</v>
      </c>
      <c r="X2086" s="1" t="str">
        <f>IF(Table1[[#This Row],[DUT Read]]="","N/A",Table1[[#This Row],[Std Error]]+Table1[[#This Row],[DUT Read]]+Table1[[#This Row],[DUT Ucty]])</f>
        <v>N/A</v>
      </c>
      <c r="Y2086" s="1" t="str">
        <f>IF(Table1[[#This Row],[Std Read]]="","N/A",Table1[[#This Row],[Std Read]]+Table1[[#This Row],[Std Ucty]])</f>
        <v>N/A</v>
      </c>
      <c r="Z20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6" s="1" t="str">
        <f>IF(Table1[[#This Row],[Spec Type]]="","N/A",Table1[[#This Row],[Spec Type]])</f>
        <v>±</v>
      </c>
      <c r="AC2086" s="1" t="str">
        <f>IF(Table1[[#This Row],[Spec Type2]]="N/A","N/A",IF(AND(Table1[[#This Row],[DUT Adj Read]]&gt;=Table1[[#This Row],[Low Tol]],Table1[[#This Row],[DUT Adj Read]]&lt;=Table1[[#This Row],[High Tol]]),"Pass","Fail"))</f>
        <v>Fail</v>
      </c>
      <c r="AD2086" s="1" t="str">
        <f>IF(AND(Table1[[#This Row],[Spec Type2]]="N/A",Table1[[#This Row],[DUT Adj Read]]="N/A",Table1[[#This Row],[Std Adj Read]]="N/A"),"N/A",IF(Table1[[#This Row],[DUT Adj Read]]="N/A",IF(Table1[[#This Row],[Std Adj Read]]&gt;Table1[[#This Row],[Low Tol]],"Pass","Fail"),IF(Table1[[#This Row],[DUT Adj Read]]&gt;Table1[[#This Row],[Low Tol]],"Pass","Fail")))</f>
        <v>Pass</v>
      </c>
      <c r="AE2086" s="1" t="str">
        <f>IF(AND(Table1[[#This Row],[Spec Type2]]="N/A",Table1[[#This Row],[DUT Adj Read]]="N/A",Table1[[#This Row],[Std Adj Read]]="N/A"),"N/A",IF(Table1[[#This Row],[DUT Adj Read]]="N/A",IF(Table1[[#This Row],[Std Adj Read]]&lt;Table1[[#This Row],[High Tol]],"Pass","Fail"),IF(Table1[[#This Row],[DUT Adj Read]]&lt;Table1[[#This Row],[High Tol]],"Pass","Fail")))</f>
        <v>Fail</v>
      </c>
      <c r="AF2086" s="1" t="str">
        <f>IF(AND(Table1[[#This Row],[Spec Type2]]="N/A",Table1[[#This Row],[DUT Adj Read]]="N/A",Table1[[#This Row],[Std Adj Read]]="N/A"),"N/A",IF(Table1[[#This Row],[DUT Adj Read]]="N/A",IF(Table1[[#This Row],[Std Adj Read]]&gt;=Table1[[#This Row],[Low Tol]],"Pass","Fail"),IF(Table1[[#This Row],[DUT Adj Read]]&gt;=Table1[[#This Row],[Low Tol]],"Pass","Fail")))</f>
        <v>Pass</v>
      </c>
      <c r="AG2086" s="1" t="str">
        <f>IF(AND(Table1[[#This Row],[Spec Type2]]="N/A",Table1[[#This Row],[DUT Adj Read]]="N/A",Table1[[#This Row],[Std Adj Read]]="N/A"),"N/A",IF(Table1[[#This Row],[DUT Adj Read]]="N/A",IF(Table1[[#This Row],[Std Adj Read]]&lt;=Table1[[#This Row],[High Tol]],"Pass","Fail"),IF(Table1[[#This Row],[DUT Adj Read]]&lt;=Table1[[#This Row],[High Tol]],"Pass","Fail")))</f>
        <v>Fail</v>
      </c>
      <c r="AH20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6" s="1" t="b">
        <v>0</v>
      </c>
      <c r="AN2086" s="1" t="b">
        <v>0</v>
      </c>
      <c r="AO2086" s="1" t="b">
        <v>0</v>
      </c>
    </row>
    <row r="2087" spans="1:41" x14ac:dyDescent="0.25">
      <c r="A2087" s="10"/>
      <c r="B2087" s="10"/>
      <c r="C2087" s="10"/>
      <c r="D2087" s="10"/>
      <c r="E2087" s="10"/>
      <c r="F2087" s="10"/>
      <c r="G2087" s="10"/>
      <c r="H2087" s="10"/>
      <c r="I2087" s="1" t="str">
        <f t="shared" si="96"/>
        <v/>
      </c>
      <c r="J2087" s="1" t="s">
        <v>35</v>
      </c>
      <c r="K2087" s="1" t="str">
        <f t="shared" si="97"/>
        <v/>
      </c>
      <c r="L2087" s="1" t="str">
        <f t="shared" si="98"/>
        <v/>
      </c>
      <c r="M2087" s="1">
        <f>IF(OR(Table1[[#This Row],[Std Nom]]="",Table1[[#This Row],[Std Read]]=""),0,Table1[[#This Row],[Std Nom]]-Table1[[#This Row],[Std Read]])</f>
        <v>0</v>
      </c>
      <c r="N2087" s="1">
        <f>IF(Calculations!$F$5="ACCREDITED 17025 WITH UNCERTAINTIES",$N$10,0)</f>
        <v>0</v>
      </c>
      <c r="O2087" s="1" t="str">
        <f>IFERROR(Table1[[#This Row],[Std Nom]]-(_xlfn.XLOOKUP(Table1[[#This Row],[Manufacturer]]&amp;" "&amp;Table1[[#This Row],[Model]],Table13[MFR &amp; MDL],Table13[Tolerance % CW ],"")/100*Table1[[#This Row],[Std Nom]]),"")</f>
        <v/>
      </c>
      <c r="P2087" s="1" t="str">
        <f>IFERROR(Table1[[#This Row],[Std Nom]]+(_xlfn.XLOOKUP(Table1[[#This Row],[Manufacturer]]&amp;" "&amp;Table1[[#This Row],[Model]],Table13[MFR &amp; MDL],Table13[Tolerance % CW ],"")/100*Table1[[#This Row],[Std Nom]]),"")</f>
        <v/>
      </c>
      <c r="Q2087" s="1" t="e">
        <f>Table1[[#This Row],[High Tol]]-Table1[[#This Row],[Low Tol]]</f>
        <v>#VALUE!</v>
      </c>
      <c r="R2087" s="1">
        <f>2*Table1[[#This Row],[Std Error]]</f>
        <v>0</v>
      </c>
      <c r="S2087" s="1" t="str">
        <f>IF(Table1[[#This Row],[High Tol]]="","N/A",IFERROR(ABS(Table1[[#This Row],[Tol Span]]/Table1[[#This Row],[Error Span]]),"N/A"))</f>
        <v>N/A</v>
      </c>
      <c r="T2087" s="1" t="str">
        <f>IF(OR(Table1[[#This Row],[Low Tol]]="",Table1[[#This Row],[High Tol]]=""),"Needs Analysis",IF(Table1[[#This Row],[Ratio]]&gt;=4,"Not Significant",IF(Table1[[#This Row],[Ratio]]&gt;=2,"Semi-Significant","Significant")))</f>
        <v>Needs Analysis</v>
      </c>
      <c r="W2087" s="1">
        <f>IF(Table1[[#This Row],[Cal Type]]&lt;&gt;"ACCREDITED 17025 WITH UNCERTAINTIES",0,"")</f>
        <v>0</v>
      </c>
      <c r="X2087" s="1" t="str">
        <f>IF(Table1[[#This Row],[DUT Read]]="","N/A",Table1[[#This Row],[Std Error]]+Table1[[#This Row],[DUT Read]]+Table1[[#This Row],[DUT Ucty]])</f>
        <v>N/A</v>
      </c>
      <c r="Y2087" s="1" t="str">
        <f>IF(Table1[[#This Row],[Std Read]]="","N/A",Table1[[#This Row],[Std Read]]+Table1[[#This Row],[Std Ucty]])</f>
        <v>N/A</v>
      </c>
      <c r="Z20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7" s="1" t="str">
        <f>IF(Table1[[#This Row],[Spec Type]]="","N/A",Table1[[#This Row],[Spec Type]])</f>
        <v>±</v>
      </c>
      <c r="AC2087" s="1" t="str">
        <f>IF(Table1[[#This Row],[Spec Type2]]="N/A","N/A",IF(AND(Table1[[#This Row],[DUT Adj Read]]&gt;=Table1[[#This Row],[Low Tol]],Table1[[#This Row],[DUT Adj Read]]&lt;=Table1[[#This Row],[High Tol]]),"Pass","Fail"))</f>
        <v>Fail</v>
      </c>
      <c r="AD2087" s="1" t="str">
        <f>IF(AND(Table1[[#This Row],[Spec Type2]]="N/A",Table1[[#This Row],[DUT Adj Read]]="N/A",Table1[[#This Row],[Std Adj Read]]="N/A"),"N/A",IF(Table1[[#This Row],[DUT Adj Read]]="N/A",IF(Table1[[#This Row],[Std Adj Read]]&gt;Table1[[#This Row],[Low Tol]],"Pass","Fail"),IF(Table1[[#This Row],[DUT Adj Read]]&gt;Table1[[#This Row],[Low Tol]],"Pass","Fail")))</f>
        <v>Pass</v>
      </c>
      <c r="AE2087" s="1" t="str">
        <f>IF(AND(Table1[[#This Row],[Spec Type2]]="N/A",Table1[[#This Row],[DUT Adj Read]]="N/A",Table1[[#This Row],[Std Adj Read]]="N/A"),"N/A",IF(Table1[[#This Row],[DUT Adj Read]]="N/A",IF(Table1[[#This Row],[Std Adj Read]]&lt;Table1[[#This Row],[High Tol]],"Pass","Fail"),IF(Table1[[#This Row],[DUT Adj Read]]&lt;Table1[[#This Row],[High Tol]],"Pass","Fail")))</f>
        <v>Fail</v>
      </c>
      <c r="AF2087" s="1" t="str">
        <f>IF(AND(Table1[[#This Row],[Spec Type2]]="N/A",Table1[[#This Row],[DUT Adj Read]]="N/A",Table1[[#This Row],[Std Adj Read]]="N/A"),"N/A",IF(Table1[[#This Row],[DUT Adj Read]]="N/A",IF(Table1[[#This Row],[Std Adj Read]]&gt;=Table1[[#This Row],[Low Tol]],"Pass","Fail"),IF(Table1[[#This Row],[DUT Adj Read]]&gt;=Table1[[#This Row],[Low Tol]],"Pass","Fail")))</f>
        <v>Pass</v>
      </c>
      <c r="AG2087" s="1" t="str">
        <f>IF(AND(Table1[[#This Row],[Spec Type2]]="N/A",Table1[[#This Row],[DUT Adj Read]]="N/A",Table1[[#This Row],[Std Adj Read]]="N/A"),"N/A",IF(Table1[[#This Row],[DUT Adj Read]]="N/A",IF(Table1[[#This Row],[Std Adj Read]]&lt;=Table1[[#This Row],[High Tol]],"Pass","Fail"),IF(Table1[[#This Row],[DUT Adj Read]]&lt;=Table1[[#This Row],[High Tol]],"Pass","Fail")))</f>
        <v>Fail</v>
      </c>
      <c r="AH20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7" s="1" t="b">
        <v>0</v>
      </c>
      <c r="AN2087" s="1" t="b">
        <v>0</v>
      </c>
      <c r="AO2087" s="1" t="b">
        <v>0</v>
      </c>
    </row>
    <row r="2088" spans="1:41" x14ac:dyDescent="0.25">
      <c r="A2088" s="10"/>
      <c r="B2088" s="10"/>
      <c r="C2088" s="10"/>
      <c r="D2088" s="10"/>
      <c r="E2088" s="10"/>
      <c r="F2088" s="10"/>
      <c r="G2088" s="10"/>
      <c r="H2088" s="10"/>
      <c r="I2088" s="1" t="str">
        <f t="shared" si="96"/>
        <v/>
      </c>
      <c r="J2088" s="1" t="s">
        <v>35</v>
      </c>
      <c r="K2088" s="1" t="str">
        <f t="shared" si="97"/>
        <v/>
      </c>
      <c r="L2088" s="1" t="str">
        <f t="shared" si="98"/>
        <v/>
      </c>
      <c r="M2088" s="1">
        <f>IF(OR(Table1[[#This Row],[Std Nom]]="",Table1[[#This Row],[Std Read]]=""),0,Table1[[#This Row],[Std Nom]]-Table1[[#This Row],[Std Read]])</f>
        <v>0</v>
      </c>
      <c r="N2088" s="1">
        <f>IF(Calculations!$F$5="ACCREDITED 17025 WITH UNCERTAINTIES",$N$10,0)</f>
        <v>0</v>
      </c>
      <c r="O2088" s="1" t="str">
        <f>IFERROR(Table1[[#This Row],[Std Nom]]-(_xlfn.XLOOKUP(Table1[[#This Row],[Manufacturer]]&amp;" "&amp;Table1[[#This Row],[Model]],Table13[MFR &amp; MDL],Table13[Tolerance % CW ],"")/100*Table1[[#This Row],[Std Nom]]),"")</f>
        <v/>
      </c>
      <c r="P2088" s="1" t="str">
        <f>IFERROR(Table1[[#This Row],[Std Nom]]+(_xlfn.XLOOKUP(Table1[[#This Row],[Manufacturer]]&amp;" "&amp;Table1[[#This Row],[Model]],Table13[MFR &amp; MDL],Table13[Tolerance % CW ],"")/100*Table1[[#This Row],[Std Nom]]),"")</f>
        <v/>
      </c>
      <c r="Q2088" s="1" t="e">
        <f>Table1[[#This Row],[High Tol]]-Table1[[#This Row],[Low Tol]]</f>
        <v>#VALUE!</v>
      </c>
      <c r="R2088" s="1">
        <f>2*Table1[[#This Row],[Std Error]]</f>
        <v>0</v>
      </c>
      <c r="S2088" s="1" t="str">
        <f>IF(Table1[[#This Row],[High Tol]]="","N/A",IFERROR(ABS(Table1[[#This Row],[Tol Span]]/Table1[[#This Row],[Error Span]]),"N/A"))</f>
        <v>N/A</v>
      </c>
      <c r="T2088" s="1" t="str">
        <f>IF(OR(Table1[[#This Row],[Low Tol]]="",Table1[[#This Row],[High Tol]]=""),"Needs Analysis",IF(Table1[[#This Row],[Ratio]]&gt;=4,"Not Significant",IF(Table1[[#This Row],[Ratio]]&gt;=2,"Semi-Significant","Significant")))</f>
        <v>Needs Analysis</v>
      </c>
      <c r="W2088" s="1">
        <f>IF(Table1[[#This Row],[Cal Type]]&lt;&gt;"ACCREDITED 17025 WITH UNCERTAINTIES",0,"")</f>
        <v>0</v>
      </c>
      <c r="X2088" s="1" t="str">
        <f>IF(Table1[[#This Row],[DUT Read]]="","N/A",Table1[[#This Row],[Std Error]]+Table1[[#This Row],[DUT Read]]+Table1[[#This Row],[DUT Ucty]])</f>
        <v>N/A</v>
      </c>
      <c r="Y2088" s="1" t="str">
        <f>IF(Table1[[#This Row],[Std Read]]="","N/A",Table1[[#This Row],[Std Read]]+Table1[[#This Row],[Std Ucty]])</f>
        <v>N/A</v>
      </c>
      <c r="Z20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8" s="1" t="str">
        <f>IF(Table1[[#This Row],[Spec Type]]="","N/A",Table1[[#This Row],[Spec Type]])</f>
        <v>±</v>
      </c>
      <c r="AC2088" s="1" t="str">
        <f>IF(Table1[[#This Row],[Spec Type2]]="N/A","N/A",IF(AND(Table1[[#This Row],[DUT Adj Read]]&gt;=Table1[[#This Row],[Low Tol]],Table1[[#This Row],[DUT Adj Read]]&lt;=Table1[[#This Row],[High Tol]]),"Pass","Fail"))</f>
        <v>Fail</v>
      </c>
      <c r="AD2088" s="1" t="str">
        <f>IF(AND(Table1[[#This Row],[Spec Type2]]="N/A",Table1[[#This Row],[DUT Adj Read]]="N/A",Table1[[#This Row],[Std Adj Read]]="N/A"),"N/A",IF(Table1[[#This Row],[DUT Adj Read]]="N/A",IF(Table1[[#This Row],[Std Adj Read]]&gt;Table1[[#This Row],[Low Tol]],"Pass","Fail"),IF(Table1[[#This Row],[DUT Adj Read]]&gt;Table1[[#This Row],[Low Tol]],"Pass","Fail")))</f>
        <v>Pass</v>
      </c>
      <c r="AE2088" s="1" t="str">
        <f>IF(AND(Table1[[#This Row],[Spec Type2]]="N/A",Table1[[#This Row],[DUT Adj Read]]="N/A",Table1[[#This Row],[Std Adj Read]]="N/A"),"N/A",IF(Table1[[#This Row],[DUT Adj Read]]="N/A",IF(Table1[[#This Row],[Std Adj Read]]&lt;Table1[[#This Row],[High Tol]],"Pass","Fail"),IF(Table1[[#This Row],[DUT Adj Read]]&lt;Table1[[#This Row],[High Tol]],"Pass","Fail")))</f>
        <v>Fail</v>
      </c>
      <c r="AF2088" s="1" t="str">
        <f>IF(AND(Table1[[#This Row],[Spec Type2]]="N/A",Table1[[#This Row],[DUT Adj Read]]="N/A",Table1[[#This Row],[Std Adj Read]]="N/A"),"N/A",IF(Table1[[#This Row],[DUT Adj Read]]="N/A",IF(Table1[[#This Row],[Std Adj Read]]&gt;=Table1[[#This Row],[Low Tol]],"Pass","Fail"),IF(Table1[[#This Row],[DUT Adj Read]]&gt;=Table1[[#This Row],[Low Tol]],"Pass","Fail")))</f>
        <v>Pass</v>
      </c>
      <c r="AG2088" s="1" t="str">
        <f>IF(AND(Table1[[#This Row],[Spec Type2]]="N/A",Table1[[#This Row],[DUT Adj Read]]="N/A",Table1[[#This Row],[Std Adj Read]]="N/A"),"N/A",IF(Table1[[#This Row],[DUT Adj Read]]="N/A",IF(Table1[[#This Row],[Std Adj Read]]&lt;=Table1[[#This Row],[High Tol]],"Pass","Fail"),IF(Table1[[#This Row],[DUT Adj Read]]&lt;=Table1[[#This Row],[High Tol]],"Pass","Fail")))</f>
        <v>Fail</v>
      </c>
      <c r="AH20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8" s="1" t="b">
        <v>0</v>
      </c>
      <c r="AN2088" s="1" t="b">
        <v>0</v>
      </c>
      <c r="AO2088" s="1" t="b">
        <v>0</v>
      </c>
    </row>
    <row r="2089" spans="1:41" x14ac:dyDescent="0.25">
      <c r="A2089" s="10"/>
      <c r="B2089" s="10"/>
      <c r="C2089" s="10"/>
      <c r="D2089" s="10"/>
      <c r="E2089" s="10"/>
      <c r="F2089" s="10"/>
      <c r="G2089" s="10"/>
      <c r="H2089" s="10"/>
      <c r="I2089" s="1" t="str">
        <f t="shared" si="96"/>
        <v/>
      </c>
      <c r="J2089" s="1" t="s">
        <v>35</v>
      </c>
      <c r="K2089" s="1" t="str">
        <f t="shared" si="97"/>
        <v/>
      </c>
      <c r="L2089" s="1" t="str">
        <f t="shared" si="98"/>
        <v/>
      </c>
      <c r="M2089" s="1">
        <f>IF(OR(Table1[[#This Row],[Std Nom]]="",Table1[[#This Row],[Std Read]]=""),0,Table1[[#This Row],[Std Nom]]-Table1[[#This Row],[Std Read]])</f>
        <v>0</v>
      </c>
      <c r="N2089" s="1">
        <f>IF(Calculations!$F$5="ACCREDITED 17025 WITH UNCERTAINTIES",$N$10,0)</f>
        <v>0</v>
      </c>
      <c r="O2089" s="1" t="str">
        <f>IFERROR(Table1[[#This Row],[Std Nom]]-(_xlfn.XLOOKUP(Table1[[#This Row],[Manufacturer]]&amp;" "&amp;Table1[[#This Row],[Model]],Table13[MFR &amp; MDL],Table13[Tolerance % CW ],"")/100*Table1[[#This Row],[Std Nom]]),"")</f>
        <v/>
      </c>
      <c r="P2089" s="1" t="str">
        <f>IFERROR(Table1[[#This Row],[Std Nom]]+(_xlfn.XLOOKUP(Table1[[#This Row],[Manufacturer]]&amp;" "&amp;Table1[[#This Row],[Model]],Table13[MFR &amp; MDL],Table13[Tolerance % CW ],"")/100*Table1[[#This Row],[Std Nom]]),"")</f>
        <v/>
      </c>
      <c r="Q2089" s="1" t="e">
        <f>Table1[[#This Row],[High Tol]]-Table1[[#This Row],[Low Tol]]</f>
        <v>#VALUE!</v>
      </c>
      <c r="R2089" s="1">
        <f>2*Table1[[#This Row],[Std Error]]</f>
        <v>0</v>
      </c>
      <c r="S2089" s="1" t="str">
        <f>IF(Table1[[#This Row],[High Tol]]="","N/A",IFERROR(ABS(Table1[[#This Row],[Tol Span]]/Table1[[#This Row],[Error Span]]),"N/A"))</f>
        <v>N/A</v>
      </c>
      <c r="T2089" s="1" t="str">
        <f>IF(OR(Table1[[#This Row],[Low Tol]]="",Table1[[#This Row],[High Tol]]=""),"Needs Analysis",IF(Table1[[#This Row],[Ratio]]&gt;=4,"Not Significant",IF(Table1[[#This Row],[Ratio]]&gt;=2,"Semi-Significant","Significant")))</f>
        <v>Needs Analysis</v>
      </c>
      <c r="W2089" s="1">
        <f>IF(Table1[[#This Row],[Cal Type]]&lt;&gt;"ACCREDITED 17025 WITH UNCERTAINTIES",0,"")</f>
        <v>0</v>
      </c>
      <c r="X2089" s="1" t="str">
        <f>IF(Table1[[#This Row],[DUT Read]]="","N/A",Table1[[#This Row],[Std Error]]+Table1[[#This Row],[DUT Read]]+Table1[[#This Row],[DUT Ucty]])</f>
        <v>N/A</v>
      </c>
      <c r="Y2089" s="1" t="str">
        <f>IF(Table1[[#This Row],[Std Read]]="","N/A",Table1[[#This Row],[Std Read]]+Table1[[#This Row],[Std Ucty]])</f>
        <v>N/A</v>
      </c>
      <c r="Z20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9" s="1" t="str">
        <f>IF(Table1[[#This Row],[Spec Type]]="","N/A",Table1[[#This Row],[Spec Type]])</f>
        <v>±</v>
      </c>
      <c r="AC2089" s="1" t="str">
        <f>IF(Table1[[#This Row],[Spec Type2]]="N/A","N/A",IF(AND(Table1[[#This Row],[DUT Adj Read]]&gt;=Table1[[#This Row],[Low Tol]],Table1[[#This Row],[DUT Adj Read]]&lt;=Table1[[#This Row],[High Tol]]),"Pass","Fail"))</f>
        <v>Fail</v>
      </c>
      <c r="AD2089" s="1" t="str">
        <f>IF(AND(Table1[[#This Row],[Spec Type2]]="N/A",Table1[[#This Row],[DUT Adj Read]]="N/A",Table1[[#This Row],[Std Adj Read]]="N/A"),"N/A",IF(Table1[[#This Row],[DUT Adj Read]]="N/A",IF(Table1[[#This Row],[Std Adj Read]]&gt;Table1[[#This Row],[Low Tol]],"Pass","Fail"),IF(Table1[[#This Row],[DUT Adj Read]]&gt;Table1[[#This Row],[Low Tol]],"Pass","Fail")))</f>
        <v>Pass</v>
      </c>
      <c r="AE2089" s="1" t="str">
        <f>IF(AND(Table1[[#This Row],[Spec Type2]]="N/A",Table1[[#This Row],[DUT Adj Read]]="N/A",Table1[[#This Row],[Std Adj Read]]="N/A"),"N/A",IF(Table1[[#This Row],[DUT Adj Read]]="N/A",IF(Table1[[#This Row],[Std Adj Read]]&lt;Table1[[#This Row],[High Tol]],"Pass","Fail"),IF(Table1[[#This Row],[DUT Adj Read]]&lt;Table1[[#This Row],[High Tol]],"Pass","Fail")))</f>
        <v>Fail</v>
      </c>
      <c r="AF2089" s="1" t="str">
        <f>IF(AND(Table1[[#This Row],[Spec Type2]]="N/A",Table1[[#This Row],[DUT Adj Read]]="N/A",Table1[[#This Row],[Std Adj Read]]="N/A"),"N/A",IF(Table1[[#This Row],[DUT Adj Read]]="N/A",IF(Table1[[#This Row],[Std Adj Read]]&gt;=Table1[[#This Row],[Low Tol]],"Pass","Fail"),IF(Table1[[#This Row],[DUT Adj Read]]&gt;=Table1[[#This Row],[Low Tol]],"Pass","Fail")))</f>
        <v>Pass</v>
      </c>
      <c r="AG2089" s="1" t="str">
        <f>IF(AND(Table1[[#This Row],[Spec Type2]]="N/A",Table1[[#This Row],[DUT Adj Read]]="N/A",Table1[[#This Row],[Std Adj Read]]="N/A"),"N/A",IF(Table1[[#This Row],[DUT Adj Read]]="N/A",IF(Table1[[#This Row],[Std Adj Read]]&lt;=Table1[[#This Row],[High Tol]],"Pass","Fail"),IF(Table1[[#This Row],[DUT Adj Read]]&lt;=Table1[[#This Row],[High Tol]],"Pass","Fail")))</f>
        <v>Fail</v>
      </c>
      <c r="AH20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9" s="1" t="b">
        <v>0</v>
      </c>
      <c r="AN2089" s="1" t="b">
        <v>0</v>
      </c>
      <c r="AO2089" s="1" t="b">
        <v>0</v>
      </c>
    </row>
    <row r="2090" spans="1:41" x14ac:dyDescent="0.25">
      <c r="A2090" s="10"/>
      <c r="B2090" s="10"/>
      <c r="C2090" s="10"/>
      <c r="D2090" s="10"/>
      <c r="E2090" s="10"/>
      <c r="F2090" s="10"/>
      <c r="G2090" s="10"/>
      <c r="H2090" s="10"/>
      <c r="I2090" s="1" t="str">
        <f t="shared" si="96"/>
        <v/>
      </c>
      <c r="J2090" s="1" t="s">
        <v>35</v>
      </c>
      <c r="K2090" s="1" t="str">
        <f t="shared" si="97"/>
        <v/>
      </c>
      <c r="L2090" s="1" t="str">
        <f t="shared" si="98"/>
        <v/>
      </c>
      <c r="M2090" s="1">
        <f>IF(OR(Table1[[#This Row],[Std Nom]]="",Table1[[#This Row],[Std Read]]=""),0,Table1[[#This Row],[Std Nom]]-Table1[[#This Row],[Std Read]])</f>
        <v>0</v>
      </c>
      <c r="N2090" s="1">
        <f>IF(Calculations!$F$5="ACCREDITED 17025 WITH UNCERTAINTIES",$N$10,0)</f>
        <v>0</v>
      </c>
      <c r="O2090" s="1" t="str">
        <f>IFERROR(Table1[[#This Row],[Std Nom]]-(_xlfn.XLOOKUP(Table1[[#This Row],[Manufacturer]]&amp;" "&amp;Table1[[#This Row],[Model]],Table13[MFR &amp; MDL],Table13[Tolerance % CW ],"")/100*Table1[[#This Row],[Std Nom]]),"")</f>
        <v/>
      </c>
      <c r="P2090" s="1" t="str">
        <f>IFERROR(Table1[[#This Row],[Std Nom]]+(_xlfn.XLOOKUP(Table1[[#This Row],[Manufacturer]]&amp;" "&amp;Table1[[#This Row],[Model]],Table13[MFR &amp; MDL],Table13[Tolerance % CW ],"")/100*Table1[[#This Row],[Std Nom]]),"")</f>
        <v/>
      </c>
      <c r="Q2090" s="1" t="e">
        <f>Table1[[#This Row],[High Tol]]-Table1[[#This Row],[Low Tol]]</f>
        <v>#VALUE!</v>
      </c>
      <c r="R2090" s="1">
        <f>2*Table1[[#This Row],[Std Error]]</f>
        <v>0</v>
      </c>
      <c r="S2090" s="1" t="str">
        <f>IF(Table1[[#This Row],[High Tol]]="","N/A",IFERROR(ABS(Table1[[#This Row],[Tol Span]]/Table1[[#This Row],[Error Span]]),"N/A"))</f>
        <v>N/A</v>
      </c>
      <c r="T2090" s="1" t="str">
        <f>IF(OR(Table1[[#This Row],[Low Tol]]="",Table1[[#This Row],[High Tol]]=""),"Needs Analysis",IF(Table1[[#This Row],[Ratio]]&gt;=4,"Not Significant",IF(Table1[[#This Row],[Ratio]]&gt;=2,"Semi-Significant","Significant")))</f>
        <v>Needs Analysis</v>
      </c>
      <c r="W2090" s="1">
        <f>IF(Table1[[#This Row],[Cal Type]]&lt;&gt;"ACCREDITED 17025 WITH UNCERTAINTIES",0,"")</f>
        <v>0</v>
      </c>
      <c r="X2090" s="1" t="str">
        <f>IF(Table1[[#This Row],[DUT Read]]="","N/A",Table1[[#This Row],[Std Error]]+Table1[[#This Row],[DUT Read]]+Table1[[#This Row],[DUT Ucty]])</f>
        <v>N/A</v>
      </c>
      <c r="Y2090" s="1" t="str">
        <f>IF(Table1[[#This Row],[Std Read]]="","N/A",Table1[[#This Row],[Std Read]]+Table1[[#This Row],[Std Ucty]])</f>
        <v>N/A</v>
      </c>
      <c r="Z20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0" s="1" t="str">
        <f>IF(Table1[[#This Row],[Spec Type]]="","N/A",Table1[[#This Row],[Spec Type]])</f>
        <v>±</v>
      </c>
      <c r="AC2090" s="1" t="str">
        <f>IF(Table1[[#This Row],[Spec Type2]]="N/A","N/A",IF(AND(Table1[[#This Row],[DUT Adj Read]]&gt;=Table1[[#This Row],[Low Tol]],Table1[[#This Row],[DUT Adj Read]]&lt;=Table1[[#This Row],[High Tol]]),"Pass","Fail"))</f>
        <v>Fail</v>
      </c>
      <c r="AD2090" s="1" t="str">
        <f>IF(AND(Table1[[#This Row],[Spec Type2]]="N/A",Table1[[#This Row],[DUT Adj Read]]="N/A",Table1[[#This Row],[Std Adj Read]]="N/A"),"N/A",IF(Table1[[#This Row],[DUT Adj Read]]="N/A",IF(Table1[[#This Row],[Std Adj Read]]&gt;Table1[[#This Row],[Low Tol]],"Pass","Fail"),IF(Table1[[#This Row],[DUT Adj Read]]&gt;Table1[[#This Row],[Low Tol]],"Pass","Fail")))</f>
        <v>Pass</v>
      </c>
      <c r="AE2090" s="1" t="str">
        <f>IF(AND(Table1[[#This Row],[Spec Type2]]="N/A",Table1[[#This Row],[DUT Adj Read]]="N/A",Table1[[#This Row],[Std Adj Read]]="N/A"),"N/A",IF(Table1[[#This Row],[DUT Adj Read]]="N/A",IF(Table1[[#This Row],[Std Adj Read]]&lt;Table1[[#This Row],[High Tol]],"Pass","Fail"),IF(Table1[[#This Row],[DUT Adj Read]]&lt;Table1[[#This Row],[High Tol]],"Pass","Fail")))</f>
        <v>Fail</v>
      </c>
      <c r="AF2090" s="1" t="str">
        <f>IF(AND(Table1[[#This Row],[Spec Type2]]="N/A",Table1[[#This Row],[DUT Adj Read]]="N/A",Table1[[#This Row],[Std Adj Read]]="N/A"),"N/A",IF(Table1[[#This Row],[DUT Adj Read]]="N/A",IF(Table1[[#This Row],[Std Adj Read]]&gt;=Table1[[#This Row],[Low Tol]],"Pass","Fail"),IF(Table1[[#This Row],[DUT Adj Read]]&gt;=Table1[[#This Row],[Low Tol]],"Pass","Fail")))</f>
        <v>Pass</v>
      </c>
      <c r="AG2090" s="1" t="str">
        <f>IF(AND(Table1[[#This Row],[Spec Type2]]="N/A",Table1[[#This Row],[DUT Adj Read]]="N/A",Table1[[#This Row],[Std Adj Read]]="N/A"),"N/A",IF(Table1[[#This Row],[DUT Adj Read]]="N/A",IF(Table1[[#This Row],[Std Adj Read]]&lt;=Table1[[#This Row],[High Tol]],"Pass","Fail"),IF(Table1[[#This Row],[DUT Adj Read]]&lt;=Table1[[#This Row],[High Tol]],"Pass","Fail")))</f>
        <v>Fail</v>
      </c>
      <c r="AH20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0" s="1" t="b">
        <v>0</v>
      </c>
      <c r="AN2090" s="1" t="b">
        <v>0</v>
      </c>
      <c r="AO2090" s="1" t="b">
        <v>0</v>
      </c>
    </row>
    <row r="2091" spans="1:41" x14ac:dyDescent="0.25">
      <c r="A2091" s="10"/>
      <c r="B2091" s="10"/>
      <c r="C2091" s="10"/>
      <c r="D2091" s="10"/>
      <c r="E2091" s="10"/>
      <c r="F2091" s="10"/>
      <c r="G2091" s="10"/>
      <c r="H2091" s="10"/>
      <c r="I2091" s="1" t="str">
        <f t="shared" si="96"/>
        <v/>
      </c>
      <c r="J2091" s="1" t="s">
        <v>35</v>
      </c>
      <c r="K2091" s="1" t="str">
        <f t="shared" si="97"/>
        <v/>
      </c>
      <c r="L2091" s="1" t="str">
        <f t="shared" si="98"/>
        <v/>
      </c>
      <c r="M2091" s="1">
        <f>IF(OR(Table1[[#This Row],[Std Nom]]="",Table1[[#This Row],[Std Read]]=""),0,Table1[[#This Row],[Std Nom]]-Table1[[#This Row],[Std Read]])</f>
        <v>0</v>
      </c>
      <c r="N2091" s="1">
        <f>IF(Calculations!$F$5="ACCREDITED 17025 WITH UNCERTAINTIES",$N$10,0)</f>
        <v>0</v>
      </c>
      <c r="O2091" s="1" t="str">
        <f>IFERROR(Table1[[#This Row],[Std Nom]]-(_xlfn.XLOOKUP(Table1[[#This Row],[Manufacturer]]&amp;" "&amp;Table1[[#This Row],[Model]],Table13[MFR &amp; MDL],Table13[Tolerance % CW ],"")/100*Table1[[#This Row],[Std Nom]]),"")</f>
        <v/>
      </c>
      <c r="P2091" s="1" t="str">
        <f>IFERROR(Table1[[#This Row],[Std Nom]]+(_xlfn.XLOOKUP(Table1[[#This Row],[Manufacturer]]&amp;" "&amp;Table1[[#This Row],[Model]],Table13[MFR &amp; MDL],Table13[Tolerance % CW ],"")/100*Table1[[#This Row],[Std Nom]]),"")</f>
        <v/>
      </c>
      <c r="Q2091" s="1" t="e">
        <f>Table1[[#This Row],[High Tol]]-Table1[[#This Row],[Low Tol]]</f>
        <v>#VALUE!</v>
      </c>
      <c r="R2091" s="1">
        <f>2*Table1[[#This Row],[Std Error]]</f>
        <v>0</v>
      </c>
      <c r="S2091" s="1" t="str">
        <f>IF(Table1[[#This Row],[High Tol]]="","N/A",IFERROR(ABS(Table1[[#This Row],[Tol Span]]/Table1[[#This Row],[Error Span]]),"N/A"))</f>
        <v>N/A</v>
      </c>
      <c r="T2091" s="1" t="str">
        <f>IF(OR(Table1[[#This Row],[Low Tol]]="",Table1[[#This Row],[High Tol]]=""),"Needs Analysis",IF(Table1[[#This Row],[Ratio]]&gt;=4,"Not Significant",IF(Table1[[#This Row],[Ratio]]&gt;=2,"Semi-Significant","Significant")))</f>
        <v>Needs Analysis</v>
      </c>
      <c r="W2091" s="1">
        <f>IF(Table1[[#This Row],[Cal Type]]&lt;&gt;"ACCREDITED 17025 WITH UNCERTAINTIES",0,"")</f>
        <v>0</v>
      </c>
      <c r="X2091" s="1" t="str">
        <f>IF(Table1[[#This Row],[DUT Read]]="","N/A",Table1[[#This Row],[Std Error]]+Table1[[#This Row],[DUT Read]]+Table1[[#This Row],[DUT Ucty]])</f>
        <v>N/A</v>
      </c>
      <c r="Y2091" s="1" t="str">
        <f>IF(Table1[[#This Row],[Std Read]]="","N/A",Table1[[#This Row],[Std Read]]+Table1[[#This Row],[Std Ucty]])</f>
        <v>N/A</v>
      </c>
      <c r="Z20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1" s="1" t="str">
        <f>IF(Table1[[#This Row],[Spec Type]]="","N/A",Table1[[#This Row],[Spec Type]])</f>
        <v>±</v>
      </c>
      <c r="AC2091" s="1" t="str">
        <f>IF(Table1[[#This Row],[Spec Type2]]="N/A","N/A",IF(AND(Table1[[#This Row],[DUT Adj Read]]&gt;=Table1[[#This Row],[Low Tol]],Table1[[#This Row],[DUT Adj Read]]&lt;=Table1[[#This Row],[High Tol]]),"Pass","Fail"))</f>
        <v>Fail</v>
      </c>
      <c r="AD2091" s="1" t="str">
        <f>IF(AND(Table1[[#This Row],[Spec Type2]]="N/A",Table1[[#This Row],[DUT Adj Read]]="N/A",Table1[[#This Row],[Std Adj Read]]="N/A"),"N/A",IF(Table1[[#This Row],[DUT Adj Read]]="N/A",IF(Table1[[#This Row],[Std Adj Read]]&gt;Table1[[#This Row],[Low Tol]],"Pass","Fail"),IF(Table1[[#This Row],[DUT Adj Read]]&gt;Table1[[#This Row],[Low Tol]],"Pass","Fail")))</f>
        <v>Pass</v>
      </c>
      <c r="AE2091" s="1" t="str">
        <f>IF(AND(Table1[[#This Row],[Spec Type2]]="N/A",Table1[[#This Row],[DUT Adj Read]]="N/A",Table1[[#This Row],[Std Adj Read]]="N/A"),"N/A",IF(Table1[[#This Row],[DUT Adj Read]]="N/A",IF(Table1[[#This Row],[Std Adj Read]]&lt;Table1[[#This Row],[High Tol]],"Pass","Fail"),IF(Table1[[#This Row],[DUT Adj Read]]&lt;Table1[[#This Row],[High Tol]],"Pass","Fail")))</f>
        <v>Fail</v>
      </c>
      <c r="AF2091" s="1" t="str">
        <f>IF(AND(Table1[[#This Row],[Spec Type2]]="N/A",Table1[[#This Row],[DUT Adj Read]]="N/A",Table1[[#This Row],[Std Adj Read]]="N/A"),"N/A",IF(Table1[[#This Row],[DUT Adj Read]]="N/A",IF(Table1[[#This Row],[Std Adj Read]]&gt;=Table1[[#This Row],[Low Tol]],"Pass","Fail"),IF(Table1[[#This Row],[DUT Adj Read]]&gt;=Table1[[#This Row],[Low Tol]],"Pass","Fail")))</f>
        <v>Pass</v>
      </c>
      <c r="AG2091" s="1" t="str">
        <f>IF(AND(Table1[[#This Row],[Spec Type2]]="N/A",Table1[[#This Row],[DUT Adj Read]]="N/A",Table1[[#This Row],[Std Adj Read]]="N/A"),"N/A",IF(Table1[[#This Row],[DUT Adj Read]]="N/A",IF(Table1[[#This Row],[Std Adj Read]]&lt;=Table1[[#This Row],[High Tol]],"Pass","Fail"),IF(Table1[[#This Row],[DUT Adj Read]]&lt;=Table1[[#This Row],[High Tol]],"Pass","Fail")))</f>
        <v>Fail</v>
      </c>
      <c r="AH20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1" s="1" t="b">
        <v>0</v>
      </c>
      <c r="AN2091" s="1" t="b">
        <v>0</v>
      </c>
      <c r="AO2091" s="1" t="b">
        <v>0</v>
      </c>
    </row>
    <row r="2092" spans="1:41" x14ac:dyDescent="0.25">
      <c r="A2092" s="10"/>
      <c r="B2092" s="10"/>
      <c r="C2092" s="10"/>
      <c r="D2092" s="10"/>
      <c r="E2092" s="10"/>
      <c r="F2092" s="10"/>
      <c r="G2092" s="10"/>
      <c r="H2092" s="10"/>
      <c r="I2092" s="1" t="str">
        <f t="shared" si="96"/>
        <v/>
      </c>
      <c r="J2092" s="1" t="s">
        <v>35</v>
      </c>
      <c r="K2092" s="1" t="str">
        <f t="shared" si="97"/>
        <v/>
      </c>
      <c r="L2092" s="1" t="str">
        <f t="shared" si="98"/>
        <v/>
      </c>
      <c r="M2092" s="1">
        <f>IF(OR(Table1[[#This Row],[Std Nom]]="",Table1[[#This Row],[Std Read]]=""),0,Table1[[#This Row],[Std Nom]]-Table1[[#This Row],[Std Read]])</f>
        <v>0</v>
      </c>
      <c r="N2092" s="1">
        <f>IF(Calculations!$F$5="ACCREDITED 17025 WITH UNCERTAINTIES",$N$10,0)</f>
        <v>0</v>
      </c>
      <c r="O2092" s="1" t="str">
        <f>IFERROR(Table1[[#This Row],[Std Nom]]-(_xlfn.XLOOKUP(Table1[[#This Row],[Manufacturer]]&amp;" "&amp;Table1[[#This Row],[Model]],Table13[MFR &amp; MDL],Table13[Tolerance % CW ],"")/100*Table1[[#This Row],[Std Nom]]),"")</f>
        <v/>
      </c>
      <c r="P2092" s="1" t="str">
        <f>IFERROR(Table1[[#This Row],[Std Nom]]+(_xlfn.XLOOKUP(Table1[[#This Row],[Manufacturer]]&amp;" "&amp;Table1[[#This Row],[Model]],Table13[MFR &amp; MDL],Table13[Tolerance % CW ],"")/100*Table1[[#This Row],[Std Nom]]),"")</f>
        <v/>
      </c>
      <c r="Q2092" s="1" t="e">
        <f>Table1[[#This Row],[High Tol]]-Table1[[#This Row],[Low Tol]]</f>
        <v>#VALUE!</v>
      </c>
      <c r="R2092" s="1">
        <f>2*Table1[[#This Row],[Std Error]]</f>
        <v>0</v>
      </c>
      <c r="S2092" s="1" t="str">
        <f>IF(Table1[[#This Row],[High Tol]]="","N/A",IFERROR(ABS(Table1[[#This Row],[Tol Span]]/Table1[[#This Row],[Error Span]]),"N/A"))</f>
        <v>N/A</v>
      </c>
      <c r="T2092" s="1" t="str">
        <f>IF(OR(Table1[[#This Row],[Low Tol]]="",Table1[[#This Row],[High Tol]]=""),"Needs Analysis",IF(Table1[[#This Row],[Ratio]]&gt;=4,"Not Significant",IF(Table1[[#This Row],[Ratio]]&gt;=2,"Semi-Significant","Significant")))</f>
        <v>Needs Analysis</v>
      </c>
      <c r="W2092" s="1">
        <f>IF(Table1[[#This Row],[Cal Type]]&lt;&gt;"ACCREDITED 17025 WITH UNCERTAINTIES",0,"")</f>
        <v>0</v>
      </c>
      <c r="X2092" s="1" t="str">
        <f>IF(Table1[[#This Row],[DUT Read]]="","N/A",Table1[[#This Row],[Std Error]]+Table1[[#This Row],[DUT Read]]+Table1[[#This Row],[DUT Ucty]])</f>
        <v>N/A</v>
      </c>
      <c r="Y2092" s="1" t="str">
        <f>IF(Table1[[#This Row],[Std Read]]="","N/A",Table1[[#This Row],[Std Read]]+Table1[[#This Row],[Std Ucty]])</f>
        <v>N/A</v>
      </c>
      <c r="Z20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2" s="1" t="str">
        <f>IF(Table1[[#This Row],[Spec Type]]="","N/A",Table1[[#This Row],[Spec Type]])</f>
        <v>±</v>
      </c>
      <c r="AC2092" s="1" t="str">
        <f>IF(Table1[[#This Row],[Spec Type2]]="N/A","N/A",IF(AND(Table1[[#This Row],[DUT Adj Read]]&gt;=Table1[[#This Row],[Low Tol]],Table1[[#This Row],[DUT Adj Read]]&lt;=Table1[[#This Row],[High Tol]]),"Pass","Fail"))</f>
        <v>Fail</v>
      </c>
      <c r="AD2092" s="1" t="str">
        <f>IF(AND(Table1[[#This Row],[Spec Type2]]="N/A",Table1[[#This Row],[DUT Adj Read]]="N/A",Table1[[#This Row],[Std Adj Read]]="N/A"),"N/A",IF(Table1[[#This Row],[DUT Adj Read]]="N/A",IF(Table1[[#This Row],[Std Adj Read]]&gt;Table1[[#This Row],[Low Tol]],"Pass","Fail"),IF(Table1[[#This Row],[DUT Adj Read]]&gt;Table1[[#This Row],[Low Tol]],"Pass","Fail")))</f>
        <v>Pass</v>
      </c>
      <c r="AE2092" s="1" t="str">
        <f>IF(AND(Table1[[#This Row],[Spec Type2]]="N/A",Table1[[#This Row],[DUT Adj Read]]="N/A",Table1[[#This Row],[Std Adj Read]]="N/A"),"N/A",IF(Table1[[#This Row],[DUT Adj Read]]="N/A",IF(Table1[[#This Row],[Std Adj Read]]&lt;Table1[[#This Row],[High Tol]],"Pass","Fail"),IF(Table1[[#This Row],[DUT Adj Read]]&lt;Table1[[#This Row],[High Tol]],"Pass","Fail")))</f>
        <v>Fail</v>
      </c>
      <c r="AF2092" s="1" t="str">
        <f>IF(AND(Table1[[#This Row],[Spec Type2]]="N/A",Table1[[#This Row],[DUT Adj Read]]="N/A",Table1[[#This Row],[Std Adj Read]]="N/A"),"N/A",IF(Table1[[#This Row],[DUT Adj Read]]="N/A",IF(Table1[[#This Row],[Std Adj Read]]&gt;=Table1[[#This Row],[Low Tol]],"Pass","Fail"),IF(Table1[[#This Row],[DUT Adj Read]]&gt;=Table1[[#This Row],[Low Tol]],"Pass","Fail")))</f>
        <v>Pass</v>
      </c>
      <c r="AG2092" s="1" t="str">
        <f>IF(AND(Table1[[#This Row],[Spec Type2]]="N/A",Table1[[#This Row],[DUT Adj Read]]="N/A",Table1[[#This Row],[Std Adj Read]]="N/A"),"N/A",IF(Table1[[#This Row],[DUT Adj Read]]="N/A",IF(Table1[[#This Row],[Std Adj Read]]&lt;=Table1[[#This Row],[High Tol]],"Pass","Fail"),IF(Table1[[#This Row],[DUT Adj Read]]&lt;=Table1[[#This Row],[High Tol]],"Pass","Fail")))</f>
        <v>Fail</v>
      </c>
      <c r="AH20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2" s="1" t="b">
        <v>0</v>
      </c>
      <c r="AN2092" s="1" t="b">
        <v>0</v>
      </c>
      <c r="AO2092" s="1" t="b">
        <v>0</v>
      </c>
    </row>
    <row r="2093" spans="1:41" x14ac:dyDescent="0.25">
      <c r="A2093" s="10"/>
      <c r="B2093" s="10"/>
      <c r="C2093" s="10"/>
      <c r="D2093" s="10"/>
      <c r="E2093" s="10"/>
      <c r="F2093" s="10"/>
      <c r="G2093" s="10"/>
      <c r="H2093" s="10"/>
      <c r="I2093" s="1" t="str">
        <f t="shared" si="96"/>
        <v/>
      </c>
      <c r="J2093" s="1" t="s">
        <v>35</v>
      </c>
      <c r="K2093" s="1" t="str">
        <f t="shared" si="97"/>
        <v/>
      </c>
      <c r="L2093" s="1" t="str">
        <f t="shared" si="98"/>
        <v/>
      </c>
      <c r="M2093" s="1">
        <f>IF(OR(Table1[[#This Row],[Std Nom]]="",Table1[[#This Row],[Std Read]]=""),0,Table1[[#This Row],[Std Nom]]-Table1[[#This Row],[Std Read]])</f>
        <v>0</v>
      </c>
      <c r="N2093" s="1">
        <f>IF(Calculations!$F$5="ACCREDITED 17025 WITH UNCERTAINTIES",$N$10,0)</f>
        <v>0</v>
      </c>
      <c r="O2093" s="1" t="str">
        <f>IFERROR(Table1[[#This Row],[Std Nom]]-(_xlfn.XLOOKUP(Table1[[#This Row],[Manufacturer]]&amp;" "&amp;Table1[[#This Row],[Model]],Table13[MFR &amp; MDL],Table13[Tolerance % CW ],"")/100*Table1[[#This Row],[Std Nom]]),"")</f>
        <v/>
      </c>
      <c r="P2093" s="1" t="str">
        <f>IFERROR(Table1[[#This Row],[Std Nom]]+(_xlfn.XLOOKUP(Table1[[#This Row],[Manufacturer]]&amp;" "&amp;Table1[[#This Row],[Model]],Table13[MFR &amp; MDL],Table13[Tolerance % CW ],"")/100*Table1[[#This Row],[Std Nom]]),"")</f>
        <v/>
      </c>
      <c r="Q2093" s="1" t="e">
        <f>Table1[[#This Row],[High Tol]]-Table1[[#This Row],[Low Tol]]</f>
        <v>#VALUE!</v>
      </c>
      <c r="R2093" s="1">
        <f>2*Table1[[#This Row],[Std Error]]</f>
        <v>0</v>
      </c>
      <c r="S2093" s="1" t="str">
        <f>IF(Table1[[#This Row],[High Tol]]="","N/A",IFERROR(ABS(Table1[[#This Row],[Tol Span]]/Table1[[#This Row],[Error Span]]),"N/A"))</f>
        <v>N/A</v>
      </c>
      <c r="T2093" s="1" t="str">
        <f>IF(OR(Table1[[#This Row],[Low Tol]]="",Table1[[#This Row],[High Tol]]=""),"Needs Analysis",IF(Table1[[#This Row],[Ratio]]&gt;=4,"Not Significant",IF(Table1[[#This Row],[Ratio]]&gt;=2,"Semi-Significant","Significant")))</f>
        <v>Needs Analysis</v>
      </c>
      <c r="W2093" s="1">
        <f>IF(Table1[[#This Row],[Cal Type]]&lt;&gt;"ACCREDITED 17025 WITH UNCERTAINTIES",0,"")</f>
        <v>0</v>
      </c>
      <c r="X2093" s="1" t="str">
        <f>IF(Table1[[#This Row],[DUT Read]]="","N/A",Table1[[#This Row],[Std Error]]+Table1[[#This Row],[DUT Read]]+Table1[[#This Row],[DUT Ucty]])</f>
        <v>N/A</v>
      </c>
      <c r="Y2093" s="1" t="str">
        <f>IF(Table1[[#This Row],[Std Read]]="","N/A",Table1[[#This Row],[Std Read]]+Table1[[#This Row],[Std Ucty]])</f>
        <v>N/A</v>
      </c>
      <c r="Z20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3" s="1" t="str">
        <f>IF(Table1[[#This Row],[Spec Type]]="","N/A",Table1[[#This Row],[Spec Type]])</f>
        <v>±</v>
      </c>
      <c r="AC2093" s="1" t="str">
        <f>IF(Table1[[#This Row],[Spec Type2]]="N/A","N/A",IF(AND(Table1[[#This Row],[DUT Adj Read]]&gt;=Table1[[#This Row],[Low Tol]],Table1[[#This Row],[DUT Adj Read]]&lt;=Table1[[#This Row],[High Tol]]),"Pass","Fail"))</f>
        <v>Fail</v>
      </c>
      <c r="AD2093" s="1" t="str">
        <f>IF(AND(Table1[[#This Row],[Spec Type2]]="N/A",Table1[[#This Row],[DUT Adj Read]]="N/A",Table1[[#This Row],[Std Adj Read]]="N/A"),"N/A",IF(Table1[[#This Row],[DUT Adj Read]]="N/A",IF(Table1[[#This Row],[Std Adj Read]]&gt;Table1[[#This Row],[Low Tol]],"Pass","Fail"),IF(Table1[[#This Row],[DUT Adj Read]]&gt;Table1[[#This Row],[Low Tol]],"Pass","Fail")))</f>
        <v>Pass</v>
      </c>
      <c r="AE2093" s="1" t="str">
        <f>IF(AND(Table1[[#This Row],[Spec Type2]]="N/A",Table1[[#This Row],[DUT Adj Read]]="N/A",Table1[[#This Row],[Std Adj Read]]="N/A"),"N/A",IF(Table1[[#This Row],[DUT Adj Read]]="N/A",IF(Table1[[#This Row],[Std Adj Read]]&lt;Table1[[#This Row],[High Tol]],"Pass","Fail"),IF(Table1[[#This Row],[DUT Adj Read]]&lt;Table1[[#This Row],[High Tol]],"Pass","Fail")))</f>
        <v>Fail</v>
      </c>
      <c r="AF2093" s="1" t="str">
        <f>IF(AND(Table1[[#This Row],[Spec Type2]]="N/A",Table1[[#This Row],[DUT Adj Read]]="N/A",Table1[[#This Row],[Std Adj Read]]="N/A"),"N/A",IF(Table1[[#This Row],[DUT Adj Read]]="N/A",IF(Table1[[#This Row],[Std Adj Read]]&gt;=Table1[[#This Row],[Low Tol]],"Pass","Fail"),IF(Table1[[#This Row],[DUT Adj Read]]&gt;=Table1[[#This Row],[Low Tol]],"Pass","Fail")))</f>
        <v>Pass</v>
      </c>
      <c r="AG2093" s="1" t="str">
        <f>IF(AND(Table1[[#This Row],[Spec Type2]]="N/A",Table1[[#This Row],[DUT Adj Read]]="N/A",Table1[[#This Row],[Std Adj Read]]="N/A"),"N/A",IF(Table1[[#This Row],[DUT Adj Read]]="N/A",IF(Table1[[#This Row],[Std Adj Read]]&lt;=Table1[[#This Row],[High Tol]],"Pass","Fail"),IF(Table1[[#This Row],[DUT Adj Read]]&lt;=Table1[[#This Row],[High Tol]],"Pass","Fail")))</f>
        <v>Fail</v>
      </c>
      <c r="AH20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3" s="1" t="b">
        <v>0</v>
      </c>
      <c r="AN2093" s="1" t="b">
        <v>0</v>
      </c>
      <c r="AO2093" s="1" t="b">
        <v>0</v>
      </c>
    </row>
    <row r="2094" spans="1:41" x14ac:dyDescent="0.25">
      <c r="A2094" s="10"/>
      <c r="B2094" s="10"/>
      <c r="C2094" s="10"/>
      <c r="D2094" s="10"/>
      <c r="E2094" s="10"/>
      <c r="F2094" s="10"/>
      <c r="G2094" s="10"/>
      <c r="H2094" s="10"/>
      <c r="I2094" s="1" t="str">
        <f t="shared" si="96"/>
        <v/>
      </c>
      <c r="J2094" s="1" t="s">
        <v>35</v>
      </c>
      <c r="K2094" s="1" t="str">
        <f t="shared" si="97"/>
        <v/>
      </c>
      <c r="L2094" s="1" t="str">
        <f t="shared" si="98"/>
        <v/>
      </c>
      <c r="M2094" s="1">
        <f>IF(OR(Table1[[#This Row],[Std Nom]]="",Table1[[#This Row],[Std Read]]=""),0,Table1[[#This Row],[Std Nom]]-Table1[[#This Row],[Std Read]])</f>
        <v>0</v>
      </c>
      <c r="N2094" s="1">
        <f>IF(Calculations!$F$5="ACCREDITED 17025 WITH UNCERTAINTIES",$N$10,0)</f>
        <v>0</v>
      </c>
      <c r="O2094" s="1" t="str">
        <f>IFERROR(Table1[[#This Row],[Std Nom]]-(_xlfn.XLOOKUP(Table1[[#This Row],[Manufacturer]]&amp;" "&amp;Table1[[#This Row],[Model]],Table13[MFR &amp; MDL],Table13[Tolerance % CW ],"")/100*Table1[[#This Row],[Std Nom]]),"")</f>
        <v/>
      </c>
      <c r="P2094" s="1" t="str">
        <f>IFERROR(Table1[[#This Row],[Std Nom]]+(_xlfn.XLOOKUP(Table1[[#This Row],[Manufacturer]]&amp;" "&amp;Table1[[#This Row],[Model]],Table13[MFR &amp; MDL],Table13[Tolerance % CW ],"")/100*Table1[[#This Row],[Std Nom]]),"")</f>
        <v/>
      </c>
      <c r="Q2094" s="1" t="e">
        <f>Table1[[#This Row],[High Tol]]-Table1[[#This Row],[Low Tol]]</f>
        <v>#VALUE!</v>
      </c>
      <c r="R2094" s="1">
        <f>2*Table1[[#This Row],[Std Error]]</f>
        <v>0</v>
      </c>
      <c r="S2094" s="1" t="str">
        <f>IF(Table1[[#This Row],[High Tol]]="","N/A",IFERROR(ABS(Table1[[#This Row],[Tol Span]]/Table1[[#This Row],[Error Span]]),"N/A"))</f>
        <v>N/A</v>
      </c>
      <c r="T2094" s="1" t="str">
        <f>IF(OR(Table1[[#This Row],[Low Tol]]="",Table1[[#This Row],[High Tol]]=""),"Needs Analysis",IF(Table1[[#This Row],[Ratio]]&gt;=4,"Not Significant",IF(Table1[[#This Row],[Ratio]]&gt;=2,"Semi-Significant","Significant")))</f>
        <v>Needs Analysis</v>
      </c>
      <c r="W2094" s="1">
        <f>IF(Table1[[#This Row],[Cal Type]]&lt;&gt;"ACCREDITED 17025 WITH UNCERTAINTIES",0,"")</f>
        <v>0</v>
      </c>
      <c r="X2094" s="1" t="str">
        <f>IF(Table1[[#This Row],[DUT Read]]="","N/A",Table1[[#This Row],[Std Error]]+Table1[[#This Row],[DUT Read]]+Table1[[#This Row],[DUT Ucty]])</f>
        <v>N/A</v>
      </c>
      <c r="Y2094" s="1" t="str">
        <f>IF(Table1[[#This Row],[Std Read]]="","N/A",Table1[[#This Row],[Std Read]]+Table1[[#This Row],[Std Ucty]])</f>
        <v>N/A</v>
      </c>
      <c r="Z20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4" s="1" t="str">
        <f>IF(Table1[[#This Row],[Spec Type]]="","N/A",Table1[[#This Row],[Spec Type]])</f>
        <v>±</v>
      </c>
      <c r="AC2094" s="1" t="str">
        <f>IF(Table1[[#This Row],[Spec Type2]]="N/A","N/A",IF(AND(Table1[[#This Row],[DUT Adj Read]]&gt;=Table1[[#This Row],[Low Tol]],Table1[[#This Row],[DUT Adj Read]]&lt;=Table1[[#This Row],[High Tol]]),"Pass","Fail"))</f>
        <v>Fail</v>
      </c>
      <c r="AD2094" s="1" t="str">
        <f>IF(AND(Table1[[#This Row],[Spec Type2]]="N/A",Table1[[#This Row],[DUT Adj Read]]="N/A",Table1[[#This Row],[Std Adj Read]]="N/A"),"N/A",IF(Table1[[#This Row],[DUT Adj Read]]="N/A",IF(Table1[[#This Row],[Std Adj Read]]&gt;Table1[[#This Row],[Low Tol]],"Pass","Fail"),IF(Table1[[#This Row],[DUT Adj Read]]&gt;Table1[[#This Row],[Low Tol]],"Pass","Fail")))</f>
        <v>Pass</v>
      </c>
      <c r="AE2094" s="1" t="str">
        <f>IF(AND(Table1[[#This Row],[Spec Type2]]="N/A",Table1[[#This Row],[DUT Adj Read]]="N/A",Table1[[#This Row],[Std Adj Read]]="N/A"),"N/A",IF(Table1[[#This Row],[DUT Adj Read]]="N/A",IF(Table1[[#This Row],[Std Adj Read]]&lt;Table1[[#This Row],[High Tol]],"Pass","Fail"),IF(Table1[[#This Row],[DUT Adj Read]]&lt;Table1[[#This Row],[High Tol]],"Pass","Fail")))</f>
        <v>Fail</v>
      </c>
      <c r="AF2094" s="1" t="str">
        <f>IF(AND(Table1[[#This Row],[Spec Type2]]="N/A",Table1[[#This Row],[DUT Adj Read]]="N/A",Table1[[#This Row],[Std Adj Read]]="N/A"),"N/A",IF(Table1[[#This Row],[DUT Adj Read]]="N/A",IF(Table1[[#This Row],[Std Adj Read]]&gt;=Table1[[#This Row],[Low Tol]],"Pass","Fail"),IF(Table1[[#This Row],[DUT Adj Read]]&gt;=Table1[[#This Row],[Low Tol]],"Pass","Fail")))</f>
        <v>Pass</v>
      </c>
      <c r="AG2094" s="1" t="str">
        <f>IF(AND(Table1[[#This Row],[Spec Type2]]="N/A",Table1[[#This Row],[DUT Adj Read]]="N/A",Table1[[#This Row],[Std Adj Read]]="N/A"),"N/A",IF(Table1[[#This Row],[DUT Adj Read]]="N/A",IF(Table1[[#This Row],[Std Adj Read]]&lt;=Table1[[#This Row],[High Tol]],"Pass","Fail"),IF(Table1[[#This Row],[DUT Adj Read]]&lt;=Table1[[#This Row],[High Tol]],"Pass","Fail")))</f>
        <v>Fail</v>
      </c>
      <c r="AH20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4" s="1" t="b">
        <v>0</v>
      </c>
      <c r="AN2094" s="1" t="b">
        <v>0</v>
      </c>
      <c r="AO2094" s="1" t="b">
        <v>0</v>
      </c>
    </row>
    <row r="2095" spans="1:41" x14ac:dyDescent="0.25">
      <c r="A2095" s="10"/>
      <c r="B2095" s="10"/>
      <c r="C2095" s="10"/>
      <c r="D2095" s="10"/>
      <c r="E2095" s="10"/>
      <c r="F2095" s="10"/>
      <c r="G2095" s="10"/>
      <c r="H2095" s="10"/>
      <c r="I2095" s="1" t="str">
        <f t="shared" si="96"/>
        <v/>
      </c>
      <c r="J2095" s="1" t="s">
        <v>35</v>
      </c>
      <c r="K2095" s="1" t="str">
        <f t="shared" si="97"/>
        <v/>
      </c>
      <c r="L2095" s="1" t="str">
        <f t="shared" si="98"/>
        <v/>
      </c>
      <c r="M2095" s="1">
        <f>IF(OR(Table1[[#This Row],[Std Nom]]="",Table1[[#This Row],[Std Read]]=""),0,Table1[[#This Row],[Std Nom]]-Table1[[#This Row],[Std Read]])</f>
        <v>0</v>
      </c>
      <c r="N2095" s="1">
        <f>IF(Calculations!$F$5="ACCREDITED 17025 WITH UNCERTAINTIES",$N$10,0)</f>
        <v>0</v>
      </c>
      <c r="O2095" s="1" t="str">
        <f>IFERROR(Table1[[#This Row],[Std Nom]]-(_xlfn.XLOOKUP(Table1[[#This Row],[Manufacturer]]&amp;" "&amp;Table1[[#This Row],[Model]],Table13[MFR &amp; MDL],Table13[Tolerance % CW ],"")/100*Table1[[#This Row],[Std Nom]]),"")</f>
        <v/>
      </c>
      <c r="P2095" s="1" t="str">
        <f>IFERROR(Table1[[#This Row],[Std Nom]]+(_xlfn.XLOOKUP(Table1[[#This Row],[Manufacturer]]&amp;" "&amp;Table1[[#This Row],[Model]],Table13[MFR &amp; MDL],Table13[Tolerance % CW ],"")/100*Table1[[#This Row],[Std Nom]]),"")</f>
        <v/>
      </c>
      <c r="Q2095" s="1" t="e">
        <f>Table1[[#This Row],[High Tol]]-Table1[[#This Row],[Low Tol]]</f>
        <v>#VALUE!</v>
      </c>
      <c r="R2095" s="1">
        <f>2*Table1[[#This Row],[Std Error]]</f>
        <v>0</v>
      </c>
      <c r="S2095" s="1" t="str">
        <f>IF(Table1[[#This Row],[High Tol]]="","N/A",IFERROR(ABS(Table1[[#This Row],[Tol Span]]/Table1[[#This Row],[Error Span]]),"N/A"))</f>
        <v>N/A</v>
      </c>
      <c r="T2095" s="1" t="str">
        <f>IF(OR(Table1[[#This Row],[Low Tol]]="",Table1[[#This Row],[High Tol]]=""),"Needs Analysis",IF(Table1[[#This Row],[Ratio]]&gt;=4,"Not Significant",IF(Table1[[#This Row],[Ratio]]&gt;=2,"Semi-Significant","Significant")))</f>
        <v>Needs Analysis</v>
      </c>
      <c r="W2095" s="1">
        <f>IF(Table1[[#This Row],[Cal Type]]&lt;&gt;"ACCREDITED 17025 WITH UNCERTAINTIES",0,"")</f>
        <v>0</v>
      </c>
      <c r="X2095" s="1" t="str">
        <f>IF(Table1[[#This Row],[DUT Read]]="","N/A",Table1[[#This Row],[Std Error]]+Table1[[#This Row],[DUT Read]]+Table1[[#This Row],[DUT Ucty]])</f>
        <v>N/A</v>
      </c>
      <c r="Y2095" s="1" t="str">
        <f>IF(Table1[[#This Row],[Std Read]]="","N/A",Table1[[#This Row],[Std Read]]+Table1[[#This Row],[Std Ucty]])</f>
        <v>N/A</v>
      </c>
      <c r="Z20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5" s="1" t="str">
        <f>IF(Table1[[#This Row],[Spec Type]]="","N/A",Table1[[#This Row],[Spec Type]])</f>
        <v>±</v>
      </c>
      <c r="AC2095" s="1" t="str">
        <f>IF(Table1[[#This Row],[Spec Type2]]="N/A","N/A",IF(AND(Table1[[#This Row],[DUT Adj Read]]&gt;=Table1[[#This Row],[Low Tol]],Table1[[#This Row],[DUT Adj Read]]&lt;=Table1[[#This Row],[High Tol]]),"Pass","Fail"))</f>
        <v>Fail</v>
      </c>
      <c r="AD2095" s="1" t="str">
        <f>IF(AND(Table1[[#This Row],[Spec Type2]]="N/A",Table1[[#This Row],[DUT Adj Read]]="N/A",Table1[[#This Row],[Std Adj Read]]="N/A"),"N/A",IF(Table1[[#This Row],[DUT Adj Read]]="N/A",IF(Table1[[#This Row],[Std Adj Read]]&gt;Table1[[#This Row],[Low Tol]],"Pass","Fail"),IF(Table1[[#This Row],[DUT Adj Read]]&gt;Table1[[#This Row],[Low Tol]],"Pass","Fail")))</f>
        <v>Pass</v>
      </c>
      <c r="AE2095" s="1" t="str">
        <f>IF(AND(Table1[[#This Row],[Spec Type2]]="N/A",Table1[[#This Row],[DUT Adj Read]]="N/A",Table1[[#This Row],[Std Adj Read]]="N/A"),"N/A",IF(Table1[[#This Row],[DUT Adj Read]]="N/A",IF(Table1[[#This Row],[Std Adj Read]]&lt;Table1[[#This Row],[High Tol]],"Pass","Fail"),IF(Table1[[#This Row],[DUT Adj Read]]&lt;Table1[[#This Row],[High Tol]],"Pass","Fail")))</f>
        <v>Fail</v>
      </c>
      <c r="AF2095" s="1" t="str">
        <f>IF(AND(Table1[[#This Row],[Spec Type2]]="N/A",Table1[[#This Row],[DUT Adj Read]]="N/A",Table1[[#This Row],[Std Adj Read]]="N/A"),"N/A",IF(Table1[[#This Row],[DUT Adj Read]]="N/A",IF(Table1[[#This Row],[Std Adj Read]]&gt;=Table1[[#This Row],[Low Tol]],"Pass","Fail"),IF(Table1[[#This Row],[DUT Adj Read]]&gt;=Table1[[#This Row],[Low Tol]],"Pass","Fail")))</f>
        <v>Pass</v>
      </c>
      <c r="AG2095" s="1" t="str">
        <f>IF(AND(Table1[[#This Row],[Spec Type2]]="N/A",Table1[[#This Row],[DUT Adj Read]]="N/A",Table1[[#This Row],[Std Adj Read]]="N/A"),"N/A",IF(Table1[[#This Row],[DUT Adj Read]]="N/A",IF(Table1[[#This Row],[Std Adj Read]]&lt;=Table1[[#This Row],[High Tol]],"Pass","Fail"),IF(Table1[[#This Row],[DUT Adj Read]]&lt;=Table1[[#This Row],[High Tol]],"Pass","Fail")))</f>
        <v>Fail</v>
      </c>
      <c r="AH20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5" s="1" t="b">
        <v>0</v>
      </c>
      <c r="AN2095" s="1" t="b">
        <v>0</v>
      </c>
      <c r="AO2095" s="1" t="b">
        <v>0</v>
      </c>
    </row>
    <row r="2096" spans="1:41" x14ac:dyDescent="0.25">
      <c r="A2096" s="10"/>
      <c r="B2096" s="10"/>
      <c r="C2096" s="10"/>
      <c r="D2096" s="10"/>
      <c r="E2096" s="10"/>
      <c r="F2096" s="10"/>
      <c r="G2096" s="10"/>
      <c r="H2096" s="10"/>
      <c r="I2096" s="1" t="str">
        <f t="shared" si="96"/>
        <v/>
      </c>
      <c r="J2096" s="1" t="s">
        <v>35</v>
      </c>
      <c r="K2096" s="1" t="str">
        <f t="shared" si="97"/>
        <v/>
      </c>
      <c r="L2096" s="1" t="str">
        <f t="shared" si="98"/>
        <v/>
      </c>
      <c r="M2096" s="1">
        <f>IF(OR(Table1[[#This Row],[Std Nom]]="",Table1[[#This Row],[Std Read]]=""),0,Table1[[#This Row],[Std Nom]]-Table1[[#This Row],[Std Read]])</f>
        <v>0</v>
      </c>
      <c r="N2096" s="1">
        <f>IF(Calculations!$F$5="ACCREDITED 17025 WITH UNCERTAINTIES",$N$10,0)</f>
        <v>0</v>
      </c>
      <c r="O2096" s="1" t="str">
        <f>IFERROR(Table1[[#This Row],[Std Nom]]-(_xlfn.XLOOKUP(Table1[[#This Row],[Manufacturer]]&amp;" "&amp;Table1[[#This Row],[Model]],Table13[MFR &amp; MDL],Table13[Tolerance % CW ],"")/100*Table1[[#This Row],[Std Nom]]),"")</f>
        <v/>
      </c>
      <c r="P2096" s="1" t="str">
        <f>IFERROR(Table1[[#This Row],[Std Nom]]+(_xlfn.XLOOKUP(Table1[[#This Row],[Manufacturer]]&amp;" "&amp;Table1[[#This Row],[Model]],Table13[MFR &amp; MDL],Table13[Tolerance % CW ],"")/100*Table1[[#This Row],[Std Nom]]),"")</f>
        <v/>
      </c>
      <c r="Q2096" s="1" t="e">
        <f>Table1[[#This Row],[High Tol]]-Table1[[#This Row],[Low Tol]]</f>
        <v>#VALUE!</v>
      </c>
      <c r="R2096" s="1">
        <f>2*Table1[[#This Row],[Std Error]]</f>
        <v>0</v>
      </c>
      <c r="S2096" s="1" t="str">
        <f>IF(Table1[[#This Row],[High Tol]]="","N/A",IFERROR(ABS(Table1[[#This Row],[Tol Span]]/Table1[[#This Row],[Error Span]]),"N/A"))</f>
        <v>N/A</v>
      </c>
      <c r="T2096" s="1" t="str">
        <f>IF(OR(Table1[[#This Row],[Low Tol]]="",Table1[[#This Row],[High Tol]]=""),"Needs Analysis",IF(Table1[[#This Row],[Ratio]]&gt;=4,"Not Significant",IF(Table1[[#This Row],[Ratio]]&gt;=2,"Semi-Significant","Significant")))</f>
        <v>Needs Analysis</v>
      </c>
      <c r="W2096" s="1">
        <f>IF(Table1[[#This Row],[Cal Type]]&lt;&gt;"ACCREDITED 17025 WITH UNCERTAINTIES",0,"")</f>
        <v>0</v>
      </c>
      <c r="X2096" s="1" t="str">
        <f>IF(Table1[[#This Row],[DUT Read]]="","N/A",Table1[[#This Row],[Std Error]]+Table1[[#This Row],[DUT Read]]+Table1[[#This Row],[DUT Ucty]])</f>
        <v>N/A</v>
      </c>
      <c r="Y2096" s="1" t="str">
        <f>IF(Table1[[#This Row],[Std Read]]="","N/A",Table1[[#This Row],[Std Read]]+Table1[[#This Row],[Std Ucty]])</f>
        <v>N/A</v>
      </c>
      <c r="Z20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6" s="1" t="str">
        <f>IF(Table1[[#This Row],[Spec Type]]="","N/A",Table1[[#This Row],[Spec Type]])</f>
        <v>±</v>
      </c>
      <c r="AC2096" s="1" t="str">
        <f>IF(Table1[[#This Row],[Spec Type2]]="N/A","N/A",IF(AND(Table1[[#This Row],[DUT Adj Read]]&gt;=Table1[[#This Row],[Low Tol]],Table1[[#This Row],[DUT Adj Read]]&lt;=Table1[[#This Row],[High Tol]]),"Pass","Fail"))</f>
        <v>Fail</v>
      </c>
      <c r="AD2096" s="1" t="str">
        <f>IF(AND(Table1[[#This Row],[Spec Type2]]="N/A",Table1[[#This Row],[DUT Adj Read]]="N/A",Table1[[#This Row],[Std Adj Read]]="N/A"),"N/A",IF(Table1[[#This Row],[DUT Adj Read]]="N/A",IF(Table1[[#This Row],[Std Adj Read]]&gt;Table1[[#This Row],[Low Tol]],"Pass","Fail"),IF(Table1[[#This Row],[DUT Adj Read]]&gt;Table1[[#This Row],[Low Tol]],"Pass","Fail")))</f>
        <v>Pass</v>
      </c>
      <c r="AE2096" s="1" t="str">
        <f>IF(AND(Table1[[#This Row],[Spec Type2]]="N/A",Table1[[#This Row],[DUT Adj Read]]="N/A",Table1[[#This Row],[Std Adj Read]]="N/A"),"N/A",IF(Table1[[#This Row],[DUT Adj Read]]="N/A",IF(Table1[[#This Row],[Std Adj Read]]&lt;Table1[[#This Row],[High Tol]],"Pass","Fail"),IF(Table1[[#This Row],[DUT Adj Read]]&lt;Table1[[#This Row],[High Tol]],"Pass","Fail")))</f>
        <v>Fail</v>
      </c>
      <c r="AF2096" s="1" t="str">
        <f>IF(AND(Table1[[#This Row],[Spec Type2]]="N/A",Table1[[#This Row],[DUT Adj Read]]="N/A",Table1[[#This Row],[Std Adj Read]]="N/A"),"N/A",IF(Table1[[#This Row],[DUT Adj Read]]="N/A",IF(Table1[[#This Row],[Std Adj Read]]&gt;=Table1[[#This Row],[Low Tol]],"Pass","Fail"),IF(Table1[[#This Row],[DUT Adj Read]]&gt;=Table1[[#This Row],[Low Tol]],"Pass","Fail")))</f>
        <v>Pass</v>
      </c>
      <c r="AG2096" s="1" t="str">
        <f>IF(AND(Table1[[#This Row],[Spec Type2]]="N/A",Table1[[#This Row],[DUT Adj Read]]="N/A",Table1[[#This Row],[Std Adj Read]]="N/A"),"N/A",IF(Table1[[#This Row],[DUT Adj Read]]="N/A",IF(Table1[[#This Row],[Std Adj Read]]&lt;=Table1[[#This Row],[High Tol]],"Pass","Fail"),IF(Table1[[#This Row],[DUT Adj Read]]&lt;=Table1[[#This Row],[High Tol]],"Pass","Fail")))</f>
        <v>Fail</v>
      </c>
      <c r="AH20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6" s="1" t="b">
        <v>0</v>
      </c>
      <c r="AN2096" s="1" t="b">
        <v>0</v>
      </c>
      <c r="AO2096" s="1" t="b">
        <v>0</v>
      </c>
    </row>
    <row r="2097" spans="1:41" x14ac:dyDescent="0.25">
      <c r="A2097" s="10"/>
      <c r="B2097" s="10"/>
      <c r="C2097" s="10"/>
      <c r="D2097" s="10"/>
      <c r="E2097" s="10"/>
      <c r="F2097" s="10"/>
      <c r="G2097" s="10"/>
      <c r="H2097" s="10"/>
      <c r="I2097" s="1" t="str">
        <f t="shared" si="96"/>
        <v/>
      </c>
      <c r="J2097" s="1" t="s">
        <v>35</v>
      </c>
      <c r="K2097" s="1" t="str">
        <f t="shared" si="97"/>
        <v/>
      </c>
      <c r="L2097" s="1" t="str">
        <f t="shared" si="98"/>
        <v/>
      </c>
      <c r="M2097" s="1">
        <f>IF(OR(Table1[[#This Row],[Std Nom]]="",Table1[[#This Row],[Std Read]]=""),0,Table1[[#This Row],[Std Nom]]-Table1[[#This Row],[Std Read]])</f>
        <v>0</v>
      </c>
      <c r="N2097" s="1">
        <f>IF(Calculations!$F$5="ACCREDITED 17025 WITH UNCERTAINTIES",$N$10,0)</f>
        <v>0</v>
      </c>
      <c r="O2097" s="1" t="str">
        <f>IFERROR(Table1[[#This Row],[Std Nom]]-(_xlfn.XLOOKUP(Table1[[#This Row],[Manufacturer]]&amp;" "&amp;Table1[[#This Row],[Model]],Table13[MFR &amp; MDL],Table13[Tolerance % CW ],"")/100*Table1[[#This Row],[Std Nom]]),"")</f>
        <v/>
      </c>
      <c r="P2097" s="1" t="str">
        <f>IFERROR(Table1[[#This Row],[Std Nom]]+(_xlfn.XLOOKUP(Table1[[#This Row],[Manufacturer]]&amp;" "&amp;Table1[[#This Row],[Model]],Table13[MFR &amp; MDL],Table13[Tolerance % CW ],"")/100*Table1[[#This Row],[Std Nom]]),"")</f>
        <v/>
      </c>
      <c r="Q2097" s="1" t="e">
        <f>Table1[[#This Row],[High Tol]]-Table1[[#This Row],[Low Tol]]</f>
        <v>#VALUE!</v>
      </c>
      <c r="R2097" s="1">
        <f>2*Table1[[#This Row],[Std Error]]</f>
        <v>0</v>
      </c>
      <c r="S2097" s="1" t="str">
        <f>IF(Table1[[#This Row],[High Tol]]="","N/A",IFERROR(ABS(Table1[[#This Row],[Tol Span]]/Table1[[#This Row],[Error Span]]),"N/A"))</f>
        <v>N/A</v>
      </c>
      <c r="T2097" s="1" t="str">
        <f>IF(OR(Table1[[#This Row],[Low Tol]]="",Table1[[#This Row],[High Tol]]=""),"Needs Analysis",IF(Table1[[#This Row],[Ratio]]&gt;=4,"Not Significant",IF(Table1[[#This Row],[Ratio]]&gt;=2,"Semi-Significant","Significant")))</f>
        <v>Needs Analysis</v>
      </c>
      <c r="W2097" s="1">
        <f>IF(Table1[[#This Row],[Cal Type]]&lt;&gt;"ACCREDITED 17025 WITH UNCERTAINTIES",0,"")</f>
        <v>0</v>
      </c>
      <c r="X2097" s="1" t="str">
        <f>IF(Table1[[#This Row],[DUT Read]]="","N/A",Table1[[#This Row],[Std Error]]+Table1[[#This Row],[DUT Read]]+Table1[[#This Row],[DUT Ucty]])</f>
        <v>N/A</v>
      </c>
      <c r="Y2097" s="1" t="str">
        <f>IF(Table1[[#This Row],[Std Read]]="","N/A",Table1[[#This Row],[Std Read]]+Table1[[#This Row],[Std Ucty]])</f>
        <v>N/A</v>
      </c>
      <c r="Z20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7" s="1" t="str">
        <f>IF(Table1[[#This Row],[Spec Type]]="","N/A",Table1[[#This Row],[Spec Type]])</f>
        <v>±</v>
      </c>
      <c r="AC2097" s="1" t="str">
        <f>IF(Table1[[#This Row],[Spec Type2]]="N/A","N/A",IF(AND(Table1[[#This Row],[DUT Adj Read]]&gt;=Table1[[#This Row],[Low Tol]],Table1[[#This Row],[DUT Adj Read]]&lt;=Table1[[#This Row],[High Tol]]),"Pass","Fail"))</f>
        <v>Fail</v>
      </c>
      <c r="AD2097" s="1" t="str">
        <f>IF(AND(Table1[[#This Row],[Spec Type2]]="N/A",Table1[[#This Row],[DUT Adj Read]]="N/A",Table1[[#This Row],[Std Adj Read]]="N/A"),"N/A",IF(Table1[[#This Row],[DUT Adj Read]]="N/A",IF(Table1[[#This Row],[Std Adj Read]]&gt;Table1[[#This Row],[Low Tol]],"Pass","Fail"),IF(Table1[[#This Row],[DUT Adj Read]]&gt;Table1[[#This Row],[Low Tol]],"Pass","Fail")))</f>
        <v>Pass</v>
      </c>
      <c r="AE2097" s="1" t="str">
        <f>IF(AND(Table1[[#This Row],[Spec Type2]]="N/A",Table1[[#This Row],[DUT Adj Read]]="N/A",Table1[[#This Row],[Std Adj Read]]="N/A"),"N/A",IF(Table1[[#This Row],[DUT Adj Read]]="N/A",IF(Table1[[#This Row],[Std Adj Read]]&lt;Table1[[#This Row],[High Tol]],"Pass","Fail"),IF(Table1[[#This Row],[DUT Adj Read]]&lt;Table1[[#This Row],[High Tol]],"Pass","Fail")))</f>
        <v>Fail</v>
      </c>
      <c r="AF2097" s="1" t="str">
        <f>IF(AND(Table1[[#This Row],[Spec Type2]]="N/A",Table1[[#This Row],[DUT Adj Read]]="N/A",Table1[[#This Row],[Std Adj Read]]="N/A"),"N/A",IF(Table1[[#This Row],[DUT Adj Read]]="N/A",IF(Table1[[#This Row],[Std Adj Read]]&gt;=Table1[[#This Row],[Low Tol]],"Pass","Fail"),IF(Table1[[#This Row],[DUT Adj Read]]&gt;=Table1[[#This Row],[Low Tol]],"Pass","Fail")))</f>
        <v>Pass</v>
      </c>
      <c r="AG2097" s="1" t="str">
        <f>IF(AND(Table1[[#This Row],[Spec Type2]]="N/A",Table1[[#This Row],[DUT Adj Read]]="N/A",Table1[[#This Row],[Std Adj Read]]="N/A"),"N/A",IF(Table1[[#This Row],[DUT Adj Read]]="N/A",IF(Table1[[#This Row],[Std Adj Read]]&lt;=Table1[[#This Row],[High Tol]],"Pass","Fail"),IF(Table1[[#This Row],[DUT Adj Read]]&lt;=Table1[[#This Row],[High Tol]],"Pass","Fail")))</f>
        <v>Fail</v>
      </c>
      <c r="AH20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7" s="1" t="b">
        <v>0</v>
      </c>
      <c r="AN2097" s="1" t="b">
        <v>0</v>
      </c>
      <c r="AO2097" s="1" t="b">
        <v>0</v>
      </c>
    </row>
    <row r="2098" spans="1:41" x14ac:dyDescent="0.25">
      <c r="A2098" s="10"/>
      <c r="B2098" s="10"/>
      <c r="C2098" s="10"/>
      <c r="D2098" s="10"/>
      <c r="E2098" s="10"/>
      <c r="F2098" s="10"/>
      <c r="G2098" s="10"/>
      <c r="H2098" s="10"/>
      <c r="I2098" s="1" t="str">
        <f t="shared" si="96"/>
        <v/>
      </c>
      <c r="J2098" s="1" t="s">
        <v>35</v>
      </c>
      <c r="K2098" s="1" t="str">
        <f t="shared" si="97"/>
        <v/>
      </c>
      <c r="L2098" s="1" t="str">
        <f t="shared" si="98"/>
        <v/>
      </c>
      <c r="M2098" s="1">
        <f>IF(OR(Table1[[#This Row],[Std Nom]]="",Table1[[#This Row],[Std Read]]=""),0,Table1[[#This Row],[Std Nom]]-Table1[[#This Row],[Std Read]])</f>
        <v>0</v>
      </c>
      <c r="N2098" s="1">
        <f>IF(Calculations!$F$5="ACCREDITED 17025 WITH UNCERTAINTIES",$N$10,0)</f>
        <v>0</v>
      </c>
      <c r="O2098" s="1" t="str">
        <f>IFERROR(Table1[[#This Row],[Std Nom]]-(_xlfn.XLOOKUP(Table1[[#This Row],[Manufacturer]]&amp;" "&amp;Table1[[#This Row],[Model]],Table13[MFR &amp; MDL],Table13[Tolerance % CW ],"")/100*Table1[[#This Row],[Std Nom]]),"")</f>
        <v/>
      </c>
      <c r="P2098" s="1" t="str">
        <f>IFERROR(Table1[[#This Row],[Std Nom]]+(_xlfn.XLOOKUP(Table1[[#This Row],[Manufacturer]]&amp;" "&amp;Table1[[#This Row],[Model]],Table13[MFR &amp; MDL],Table13[Tolerance % CW ],"")/100*Table1[[#This Row],[Std Nom]]),"")</f>
        <v/>
      </c>
      <c r="Q2098" s="1" t="e">
        <f>Table1[[#This Row],[High Tol]]-Table1[[#This Row],[Low Tol]]</f>
        <v>#VALUE!</v>
      </c>
      <c r="R2098" s="1">
        <f>2*Table1[[#This Row],[Std Error]]</f>
        <v>0</v>
      </c>
      <c r="S2098" s="1" t="str">
        <f>IF(Table1[[#This Row],[High Tol]]="","N/A",IFERROR(ABS(Table1[[#This Row],[Tol Span]]/Table1[[#This Row],[Error Span]]),"N/A"))</f>
        <v>N/A</v>
      </c>
      <c r="T2098" s="1" t="str">
        <f>IF(OR(Table1[[#This Row],[Low Tol]]="",Table1[[#This Row],[High Tol]]=""),"Needs Analysis",IF(Table1[[#This Row],[Ratio]]&gt;=4,"Not Significant",IF(Table1[[#This Row],[Ratio]]&gt;=2,"Semi-Significant","Significant")))</f>
        <v>Needs Analysis</v>
      </c>
      <c r="W2098" s="1">
        <f>IF(Table1[[#This Row],[Cal Type]]&lt;&gt;"ACCREDITED 17025 WITH UNCERTAINTIES",0,"")</f>
        <v>0</v>
      </c>
      <c r="X2098" s="1" t="str">
        <f>IF(Table1[[#This Row],[DUT Read]]="","N/A",Table1[[#This Row],[Std Error]]+Table1[[#This Row],[DUT Read]]+Table1[[#This Row],[DUT Ucty]])</f>
        <v>N/A</v>
      </c>
      <c r="Y2098" s="1" t="str">
        <f>IF(Table1[[#This Row],[Std Read]]="","N/A",Table1[[#This Row],[Std Read]]+Table1[[#This Row],[Std Ucty]])</f>
        <v>N/A</v>
      </c>
      <c r="Z20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8" s="1" t="str">
        <f>IF(Table1[[#This Row],[Spec Type]]="","N/A",Table1[[#This Row],[Spec Type]])</f>
        <v>±</v>
      </c>
      <c r="AC2098" s="1" t="str">
        <f>IF(Table1[[#This Row],[Spec Type2]]="N/A","N/A",IF(AND(Table1[[#This Row],[DUT Adj Read]]&gt;=Table1[[#This Row],[Low Tol]],Table1[[#This Row],[DUT Adj Read]]&lt;=Table1[[#This Row],[High Tol]]),"Pass","Fail"))</f>
        <v>Fail</v>
      </c>
      <c r="AD2098" s="1" t="str">
        <f>IF(AND(Table1[[#This Row],[Spec Type2]]="N/A",Table1[[#This Row],[DUT Adj Read]]="N/A",Table1[[#This Row],[Std Adj Read]]="N/A"),"N/A",IF(Table1[[#This Row],[DUT Adj Read]]="N/A",IF(Table1[[#This Row],[Std Adj Read]]&gt;Table1[[#This Row],[Low Tol]],"Pass","Fail"),IF(Table1[[#This Row],[DUT Adj Read]]&gt;Table1[[#This Row],[Low Tol]],"Pass","Fail")))</f>
        <v>Pass</v>
      </c>
      <c r="AE2098" s="1" t="str">
        <f>IF(AND(Table1[[#This Row],[Spec Type2]]="N/A",Table1[[#This Row],[DUT Adj Read]]="N/A",Table1[[#This Row],[Std Adj Read]]="N/A"),"N/A",IF(Table1[[#This Row],[DUT Adj Read]]="N/A",IF(Table1[[#This Row],[Std Adj Read]]&lt;Table1[[#This Row],[High Tol]],"Pass","Fail"),IF(Table1[[#This Row],[DUT Adj Read]]&lt;Table1[[#This Row],[High Tol]],"Pass","Fail")))</f>
        <v>Fail</v>
      </c>
      <c r="AF2098" s="1" t="str">
        <f>IF(AND(Table1[[#This Row],[Spec Type2]]="N/A",Table1[[#This Row],[DUT Adj Read]]="N/A",Table1[[#This Row],[Std Adj Read]]="N/A"),"N/A",IF(Table1[[#This Row],[DUT Adj Read]]="N/A",IF(Table1[[#This Row],[Std Adj Read]]&gt;=Table1[[#This Row],[Low Tol]],"Pass","Fail"),IF(Table1[[#This Row],[DUT Adj Read]]&gt;=Table1[[#This Row],[Low Tol]],"Pass","Fail")))</f>
        <v>Pass</v>
      </c>
      <c r="AG2098" s="1" t="str">
        <f>IF(AND(Table1[[#This Row],[Spec Type2]]="N/A",Table1[[#This Row],[DUT Adj Read]]="N/A",Table1[[#This Row],[Std Adj Read]]="N/A"),"N/A",IF(Table1[[#This Row],[DUT Adj Read]]="N/A",IF(Table1[[#This Row],[Std Adj Read]]&lt;=Table1[[#This Row],[High Tol]],"Pass","Fail"),IF(Table1[[#This Row],[DUT Adj Read]]&lt;=Table1[[#This Row],[High Tol]],"Pass","Fail")))</f>
        <v>Fail</v>
      </c>
      <c r="AH20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8" s="1" t="b">
        <v>0</v>
      </c>
      <c r="AN2098" s="1" t="b">
        <v>0</v>
      </c>
      <c r="AO2098" s="1" t="b">
        <v>0</v>
      </c>
    </row>
    <row r="2099" spans="1:41" x14ac:dyDescent="0.25">
      <c r="A2099" s="10"/>
      <c r="B2099" s="10"/>
      <c r="C2099" s="10"/>
      <c r="D2099" s="10"/>
      <c r="E2099" s="10"/>
      <c r="F2099" s="10"/>
      <c r="G2099" s="10"/>
      <c r="H2099" s="10"/>
      <c r="I2099" s="1" t="str">
        <f t="shared" si="96"/>
        <v/>
      </c>
      <c r="J2099" s="1" t="s">
        <v>35</v>
      </c>
      <c r="K2099" s="1" t="str">
        <f t="shared" si="97"/>
        <v/>
      </c>
      <c r="L2099" s="1" t="str">
        <f t="shared" si="98"/>
        <v/>
      </c>
      <c r="M2099" s="1">
        <f>IF(OR(Table1[[#This Row],[Std Nom]]="",Table1[[#This Row],[Std Read]]=""),0,Table1[[#This Row],[Std Nom]]-Table1[[#This Row],[Std Read]])</f>
        <v>0</v>
      </c>
      <c r="N2099" s="1">
        <f>IF(Calculations!$F$5="ACCREDITED 17025 WITH UNCERTAINTIES",$N$10,0)</f>
        <v>0</v>
      </c>
      <c r="O2099" s="1" t="str">
        <f>IFERROR(Table1[[#This Row],[Std Nom]]-(_xlfn.XLOOKUP(Table1[[#This Row],[Manufacturer]]&amp;" "&amp;Table1[[#This Row],[Model]],Table13[MFR &amp; MDL],Table13[Tolerance % CW ],"")/100*Table1[[#This Row],[Std Nom]]),"")</f>
        <v/>
      </c>
      <c r="P2099" s="1" t="str">
        <f>IFERROR(Table1[[#This Row],[Std Nom]]+(_xlfn.XLOOKUP(Table1[[#This Row],[Manufacturer]]&amp;" "&amp;Table1[[#This Row],[Model]],Table13[MFR &amp; MDL],Table13[Tolerance % CW ],"")/100*Table1[[#This Row],[Std Nom]]),"")</f>
        <v/>
      </c>
      <c r="Q2099" s="1" t="e">
        <f>Table1[[#This Row],[High Tol]]-Table1[[#This Row],[Low Tol]]</f>
        <v>#VALUE!</v>
      </c>
      <c r="R2099" s="1">
        <f>2*Table1[[#This Row],[Std Error]]</f>
        <v>0</v>
      </c>
      <c r="S2099" s="1" t="str">
        <f>IF(Table1[[#This Row],[High Tol]]="","N/A",IFERROR(ABS(Table1[[#This Row],[Tol Span]]/Table1[[#This Row],[Error Span]]),"N/A"))</f>
        <v>N/A</v>
      </c>
      <c r="T2099" s="1" t="str">
        <f>IF(OR(Table1[[#This Row],[Low Tol]]="",Table1[[#This Row],[High Tol]]=""),"Needs Analysis",IF(Table1[[#This Row],[Ratio]]&gt;=4,"Not Significant",IF(Table1[[#This Row],[Ratio]]&gt;=2,"Semi-Significant","Significant")))</f>
        <v>Needs Analysis</v>
      </c>
      <c r="W2099" s="1">
        <f>IF(Table1[[#This Row],[Cal Type]]&lt;&gt;"ACCREDITED 17025 WITH UNCERTAINTIES",0,"")</f>
        <v>0</v>
      </c>
      <c r="X2099" s="1" t="str">
        <f>IF(Table1[[#This Row],[DUT Read]]="","N/A",Table1[[#This Row],[Std Error]]+Table1[[#This Row],[DUT Read]]+Table1[[#This Row],[DUT Ucty]])</f>
        <v>N/A</v>
      </c>
      <c r="Y2099" s="1" t="str">
        <f>IF(Table1[[#This Row],[Std Read]]="","N/A",Table1[[#This Row],[Std Read]]+Table1[[#This Row],[Std Ucty]])</f>
        <v>N/A</v>
      </c>
      <c r="Z20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9" s="1" t="str">
        <f>IF(Table1[[#This Row],[Spec Type]]="","N/A",Table1[[#This Row],[Spec Type]])</f>
        <v>±</v>
      </c>
      <c r="AC2099" s="1" t="str">
        <f>IF(Table1[[#This Row],[Spec Type2]]="N/A","N/A",IF(AND(Table1[[#This Row],[DUT Adj Read]]&gt;=Table1[[#This Row],[Low Tol]],Table1[[#This Row],[DUT Adj Read]]&lt;=Table1[[#This Row],[High Tol]]),"Pass","Fail"))</f>
        <v>Fail</v>
      </c>
      <c r="AD2099" s="1" t="str">
        <f>IF(AND(Table1[[#This Row],[Spec Type2]]="N/A",Table1[[#This Row],[DUT Adj Read]]="N/A",Table1[[#This Row],[Std Adj Read]]="N/A"),"N/A",IF(Table1[[#This Row],[DUT Adj Read]]="N/A",IF(Table1[[#This Row],[Std Adj Read]]&gt;Table1[[#This Row],[Low Tol]],"Pass","Fail"),IF(Table1[[#This Row],[DUT Adj Read]]&gt;Table1[[#This Row],[Low Tol]],"Pass","Fail")))</f>
        <v>Pass</v>
      </c>
      <c r="AE2099" s="1" t="str">
        <f>IF(AND(Table1[[#This Row],[Spec Type2]]="N/A",Table1[[#This Row],[DUT Adj Read]]="N/A",Table1[[#This Row],[Std Adj Read]]="N/A"),"N/A",IF(Table1[[#This Row],[DUT Adj Read]]="N/A",IF(Table1[[#This Row],[Std Adj Read]]&lt;Table1[[#This Row],[High Tol]],"Pass","Fail"),IF(Table1[[#This Row],[DUT Adj Read]]&lt;Table1[[#This Row],[High Tol]],"Pass","Fail")))</f>
        <v>Fail</v>
      </c>
      <c r="AF2099" s="1" t="str">
        <f>IF(AND(Table1[[#This Row],[Spec Type2]]="N/A",Table1[[#This Row],[DUT Adj Read]]="N/A",Table1[[#This Row],[Std Adj Read]]="N/A"),"N/A",IF(Table1[[#This Row],[DUT Adj Read]]="N/A",IF(Table1[[#This Row],[Std Adj Read]]&gt;=Table1[[#This Row],[Low Tol]],"Pass","Fail"),IF(Table1[[#This Row],[DUT Adj Read]]&gt;=Table1[[#This Row],[Low Tol]],"Pass","Fail")))</f>
        <v>Pass</v>
      </c>
      <c r="AG2099" s="1" t="str">
        <f>IF(AND(Table1[[#This Row],[Spec Type2]]="N/A",Table1[[#This Row],[DUT Adj Read]]="N/A",Table1[[#This Row],[Std Adj Read]]="N/A"),"N/A",IF(Table1[[#This Row],[DUT Adj Read]]="N/A",IF(Table1[[#This Row],[Std Adj Read]]&lt;=Table1[[#This Row],[High Tol]],"Pass","Fail"),IF(Table1[[#This Row],[DUT Adj Read]]&lt;=Table1[[#This Row],[High Tol]],"Pass","Fail")))</f>
        <v>Fail</v>
      </c>
      <c r="AH20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9" s="1" t="b">
        <v>0</v>
      </c>
      <c r="AN2099" s="1" t="b">
        <v>0</v>
      </c>
      <c r="AO2099" s="1" t="b">
        <v>0</v>
      </c>
    </row>
    <row r="2100" spans="1:41" x14ac:dyDescent="0.25">
      <c r="A2100" s="10"/>
      <c r="B2100" s="10"/>
      <c r="C2100" s="10"/>
      <c r="D2100" s="10"/>
      <c r="E2100" s="10"/>
      <c r="F2100" s="10"/>
      <c r="G2100" s="10"/>
      <c r="H2100" s="10"/>
      <c r="I2100" s="1" t="str">
        <f t="shared" si="96"/>
        <v/>
      </c>
      <c r="J2100" s="1" t="s">
        <v>35</v>
      </c>
      <c r="K2100" s="1" t="str">
        <f t="shared" si="97"/>
        <v/>
      </c>
      <c r="L2100" s="1" t="str">
        <f t="shared" si="98"/>
        <v/>
      </c>
      <c r="M2100" s="1">
        <f>IF(OR(Table1[[#This Row],[Std Nom]]="",Table1[[#This Row],[Std Read]]=""),0,Table1[[#This Row],[Std Nom]]-Table1[[#This Row],[Std Read]])</f>
        <v>0</v>
      </c>
      <c r="N2100" s="1">
        <f>IF(Calculations!$F$5="ACCREDITED 17025 WITH UNCERTAINTIES",$N$10,0)</f>
        <v>0</v>
      </c>
      <c r="O2100" s="1" t="str">
        <f>IFERROR(Table1[[#This Row],[Std Nom]]-(_xlfn.XLOOKUP(Table1[[#This Row],[Manufacturer]]&amp;" "&amp;Table1[[#This Row],[Model]],Table13[MFR &amp; MDL],Table13[Tolerance % CW ],"")/100*Table1[[#This Row],[Std Nom]]),"")</f>
        <v/>
      </c>
      <c r="P2100" s="1" t="str">
        <f>IFERROR(Table1[[#This Row],[Std Nom]]+(_xlfn.XLOOKUP(Table1[[#This Row],[Manufacturer]]&amp;" "&amp;Table1[[#This Row],[Model]],Table13[MFR &amp; MDL],Table13[Tolerance % CW ],"")/100*Table1[[#This Row],[Std Nom]]),"")</f>
        <v/>
      </c>
      <c r="Q2100" s="1" t="e">
        <f>Table1[[#This Row],[High Tol]]-Table1[[#This Row],[Low Tol]]</f>
        <v>#VALUE!</v>
      </c>
      <c r="R2100" s="1">
        <f>2*Table1[[#This Row],[Std Error]]</f>
        <v>0</v>
      </c>
      <c r="S2100" s="1" t="str">
        <f>IF(Table1[[#This Row],[High Tol]]="","N/A",IFERROR(ABS(Table1[[#This Row],[Tol Span]]/Table1[[#This Row],[Error Span]]),"N/A"))</f>
        <v>N/A</v>
      </c>
      <c r="T2100" s="1" t="str">
        <f>IF(OR(Table1[[#This Row],[Low Tol]]="",Table1[[#This Row],[High Tol]]=""),"Needs Analysis",IF(Table1[[#This Row],[Ratio]]&gt;=4,"Not Significant",IF(Table1[[#This Row],[Ratio]]&gt;=2,"Semi-Significant","Significant")))</f>
        <v>Needs Analysis</v>
      </c>
      <c r="W2100" s="1">
        <f>IF(Table1[[#This Row],[Cal Type]]&lt;&gt;"ACCREDITED 17025 WITH UNCERTAINTIES",0,"")</f>
        <v>0</v>
      </c>
      <c r="X2100" s="1" t="str">
        <f>IF(Table1[[#This Row],[DUT Read]]="","N/A",Table1[[#This Row],[Std Error]]+Table1[[#This Row],[DUT Read]]+Table1[[#This Row],[DUT Ucty]])</f>
        <v>N/A</v>
      </c>
      <c r="Y2100" s="1" t="str">
        <f>IF(Table1[[#This Row],[Std Read]]="","N/A",Table1[[#This Row],[Std Read]]+Table1[[#This Row],[Std Ucty]])</f>
        <v>N/A</v>
      </c>
      <c r="Z21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0" s="1" t="str">
        <f>IF(Table1[[#This Row],[Spec Type]]="","N/A",Table1[[#This Row],[Spec Type]])</f>
        <v>±</v>
      </c>
      <c r="AC2100" s="1" t="str">
        <f>IF(Table1[[#This Row],[Spec Type2]]="N/A","N/A",IF(AND(Table1[[#This Row],[DUT Adj Read]]&gt;=Table1[[#This Row],[Low Tol]],Table1[[#This Row],[DUT Adj Read]]&lt;=Table1[[#This Row],[High Tol]]),"Pass","Fail"))</f>
        <v>Fail</v>
      </c>
      <c r="AD2100" s="1" t="str">
        <f>IF(AND(Table1[[#This Row],[Spec Type2]]="N/A",Table1[[#This Row],[DUT Adj Read]]="N/A",Table1[[#This Row],[Std Adj Read]]="N/A"),"N/A",IF(Table1[[#This Row],[DUT Adj Read]]="N/A",IF(Table1[[#This Row],[Std Adj Read]]&gt;Table1[[#This Row],[Low Tol]],"Pass","Fail"),IF(Table1[[#This Row],[DUT Adj Read]]&gt;Table1[[#This Row],[Low Tol]],"Pass","Fail")))</f>
        <v>Pass</v>
      </c>
      <c r="AE2100" s="1" t="str">
        <f>IF(AND(Table1[[#This Row],[Spec Type2]]="N/A",Table1[[#This Row],[DUT Adj Read]]="N/A",Table1[[#This Row],[Std Adj Read]]="N/A"),"N/A",IF(Table1[[#This Row],[DUT Adj Read]]="N/A",IF(Table1[[#This Row],[Std Adj Read]]&lt;Table1[[#This Row],[High Tol]],"Pass","Fail"),IF(Table1[[#This Row],[DUT Adj Read]]&lt;Table1[[#This Row],[High Tol]],"Pass","Fail")))</f>
        <v>Fail</v>
      </c>
      <c r="AF2100" s="1" t="str">
        <f>IF(AND(Table1[[#This Row],[Spec Type2]]="N/A",Table1[[#This Row],[DUT Adj Read]]="N/A",Table1[[#This Row],[Std Adj Read]]="N/A"),"N/A",IF(Table1[[#This Row],[DUT Adj Read]]="N/A",IF(Table1[[#This Row],[Std Adj Read]]&gt;=Table1[[#This Row],[Low Tol]],"Pass","Fail"),IF(Table1[[#This Row],[DUT Adj Read]]&gt;=Table1[[#This Row],[Low Tol]],"Pass","Fail")))</f>
        <v>Pass</v>
      </c>
      <c r="AG2100" s="1" t="str">
        <f>IF(AND(Table1[[#This Row],[Spec Type2]]="N/A",Table1[[#This Row],[DUT Adj Read]]="N/A",Table1[[#This Row],[Std Adj Read]]="N/A"),"N/A",IF(Table1[[#This Row],[DUT Adj Read]]="N/A",IF(Table1[[#This Row],[Std Adj Read]]&lt;=Table1[[#This Row],[High Tol]],"Pass","Fail"),IF(Table1[[#This Row],[DUT Adj Read]]&lt;=Table1[[#This Row],[High Tol]],"Pass","Fail")))</f>
        <v>Fail</v>
      </c>
      <c r="AH21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0" s="1" t="b">
        <v>0</v>
      </c>
      <c r="AN2100" s="1" t="b">
        <v>0</v>
      </c>
      <c r="AO2100" s="1" t="b">
        <v>0</v>
      </c>
    </row>
    <row r="2101" spans="1:41" x14ac:dyDescent="0.25">
      <c r="A2101" s="10"/>
      <c r="B2101" s="10"/>
      <c r="C2101" s="10"/>
      <c r="D2101" s="10"/>
      <c r="E2101" s="10"/>
      <c r="F2101" s="10"/>
      <c r="G2101" s="10"/>
      <c r="H2101" s="10"/>
      <c r="I2101" s="1" t="str">
        <f t="shared" si="96"/>
        <v/>
      </c>
      <c r="J2101" s="1" t="s">
        <v>35</v>
      </c>
      <c r="K2101" s="1" t="str">
        <f t="shared" si="97"/>
        <v/>
      </c>
      <c r="L2101" s="1" t="str">
        <f t="shared" si="98"/>
        <v/>
      </c>
      <c r="M2101" s="1">
        <f>IF(OR(Table1[[#This Row],[Std Nom]]="",Table1[[#This Row],[Std Read]]=""),0,Table1[[#This Row],[Std Nom]]-Table1[[#This Row],[Std Read]])</f>
        <v>0</v>
      </c>
      <c r="N2101" s="1">
        <f>IF(Calculations!$F$5="ACCREDITED 17025 WITH UNCERTAINTIES",$N$10,0)</f>
        <v>0</v>
      </c>
      <c r="O2101" s="1" t="str">
        <f>IFERROR(Table1[[#This Row],[Std Nom]]-(_xlfn.XLOOKUP(Table1[[#This Row],[Manufacturer]]&amp;" "&amp;Table1[[#This Row],[Model]],Table13[MFR &amp; MDL],Table13[Tolerance % CW ],"")/100*Table1[[#This Row],[Std Nom]]),"")</f>
        <v/>
      </c>
      <c r="P2101" s="1" t="str">
        <f>IFERROR(Table1[[#This Row],[Std Nom]]+(_xlfn.XLOOKUP(Table1[[#This Row],[Manufacturer]]&amp;" "&amp;Table1[[#This Row],[Model]],Table13[MFR &amp; MDL],Table13[Tolerance % CW ],"")/100*Table1[[#This Row],[Std Nom]]),"")</f>
        <v/>
      </c>
      <c r="Q2101" s="1" t="e">
        <f>Table1[[#This Row],[High Tol]]-Table1[[#This Row],[Low Tol]]</f>
        <v>#VALUE!</v>
      </c>
      <c r="R2101" s="1">
        <f>2*Table1[[#This Row],[Std Error]]</f>
        <v>0</v>
      </c>
      <c r="S2101" s="1" t="str">
        <f>IF(Table1[[#This Row],[High Tol]]="","N/A",IFERROR(ABS(Table1[[#This Row],[Tol Span]]/Table1[[#This Row],[Error Span]]),"N/A"))</f>
        <v>N/A</v>
      </c>
      <c r="T2101" s="1" t="str">
        <f>IF(OR(Table1[[#This Row],[Low Tol]]="",Table1[[#This Row],[High Tol]]=""),"Needs Analysis",IF(Table1[[#This Row],[Ratio]]&gt;=4,"Not Significant",IF(Table1[[#This Row],[Ratio]]&gt;=2,"Semi-Significant","Significant")))</f>
        <v>Needs Analysis</v>
      </c>
      <c r="W2101" s="1">
        <f>IF(Table1[[#This Row],[Cal Type]]&lt;&gt;"ACCREDITED 17025 WITH UNCERTAINTIES",0,"")</f>
        <v>0</v>
      </c>
      <c r="X2101" s="1" t="str">
        <f>IF(Table1[[#This Row],[DUT Read]]="","N/A",Table1[[#This Row],[Std Error]]+Table1[[#This Row],[DUT Read]]+Table1[[#This Row],[DUT Ucty]])</f>
        <v>N/A</v>
      </c>
      <c r="Y2101" s="1" t="str">
        <f>IF(Table1[[#This Row],[Std Read]]="","N/A",Table1[[#This Row],[Std Read]]+Table1[[#This Row],[Std Ucty]])</f>
        <v>N/A</v>
      </c>
      <c r="Z21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1" s="1" t="str">
        <f>IF(Table1[[#This Row],[Spec Type]]="","N/A",Table1[[#This Row],[Spec Type]])</f>
        <v>±</v>
      </c>
      <c r="AC2101" s="1" t="str">
        <f>IF(Table1[[#This Row],[Spec Type2]]="N/A","N/A",IF(AND(Table1[[#This Row],[DUT Adj Read]]&gt;=Table1[[#This Row],[Low Tol]],Table1[[#This Row],[DUT Adj Read]]&lt;=Table1[[#This Row],[High Tol]]),"Pass","Fail"))</f>
        <v>Fail</v>
      </c>
      <c r="AD2101" s="1" t="str">
        <f>IF(AND(Table1[[#This Row],[Spec Type2]]="N/A",Table1[[#This Row],[DUT Adj Read]]="N/A",Table1[[#This Row],[Std Adj Read]]="N/A"),"N/A",IF(Table1[[#This Row],[DUT Adj Read]]="N/A",IF(Table1[[#This Row],[Std Adj Read]]&gt;Table1[[#This Row],[Low Tol]],"Pass","Fail"),IF(Table1[[#This Row],[DUT Adj Read]]&gt;Table1[[#This Row],[Low Tol]],"Pass","Fail")))</f>
        <v>Pass</v>
      </c>
      <c r="AE2101" s="1" t="str">
        <f>IF(AND(Table1[[#This Row],[Spec Type2]]="N/A",Table1[[#This Row],[DUT Adj Read]]="N/A",Table1[[#This Row],[Std Adj Read]]="N/A"),"N/A",IF(Table1[[#This Row],[DUT Adj Read]]="N/A",IF(Table1[[#This Row],[Std Adj Read]]&lt;Table1[[#This Row],[High Tol]],"Pass","Fail"),IF(Table1[[#This Row],[DUT Adj Read]]&lt;Table1[[#This Row],[High Tol]],"Pass","Fail")))</f>
        <v>Fail</v>
      </c>
      <c r="AF2101" s="1" t="str">
        <f>IF(AND(Table1[[#This Row],[Spec Type2]]="N/A",Table1[[#This Row],[DUT Adj Read]]="N/A",Table1[[#This Row],[Std Adj Read]]="N/A"),"N/A",IF(Table1[[#This Row],[DUT Adj Read]]="N/A",IF(Table1[[#This Row],[Std Adj Read]]&gt;=Table1[[#This Row],[Low Tol]],"Pass","Fail"),IF(Table1[[#This Row],[DUT Adj Read]]&gt;=Table1[[#This Row],[Low Tol]],"Pass","Fail")))</f>
        <v>Pass</v>
      </c>
      <c r="AG2101" s="1" t="str">
        <f>IF(AND(Table1[[#This Row],[Spec Type2]]="N/A",Table1[[#This Row],[DUT Adj Read]]="N/A",Table1[[#This Row],[Std Adj Read]]="N/A"),"N/A",IF(Table1[[#This Row],[DUT Adj Read]]="N/A",IF(Table1[[#This Row],[Std Adj Read]]&lt;=Table1[[#This Row],[High Tol]],"Pass","Fail"),IF(Table1[[#This Row],[DUT Adj Read]]&lt;=Table1[[#This Row],[High Tol]],"Pass","Fail")))</f>
        <v>Fail</v>
      </c>
      <c r="AH21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1" s="1" t="b">
        <v>0</v>
      </c>
      <c r="AN2101" s="1" t="b">
        <v>0</v>
      </c>
      <c r="AO2101" s="1" t="b">
        <v>0</v>
      </c>
    </row>
    <row r="2102" spans="1:41" x14ac:dyDescent="0.25">
      <c r="A2102" s="10"/>
      <c r="B2102" s="10"/>
      <c r="C2102" s="10"/>
      <c r="D2102" s="10"/>
      <c r="E2102" s="10"/>
      <c r="F2102" s="10"/>
      <c r="G2102" s="10"/>
      <c r="H2102" s="10"/>
      <c r="I2102" s="1" t="str">
        <f t="shared" si="96"/>
        <v/>
      </c>
      <c r="J2102" s="1" t="s">
        <v>35</v>
      </c>
      <c r="K2102" s="1" t="str">
        <f t="shared" si="97"/>
        <v/>
      </c>
      <c r="L2102" s="1" t="str">
        <f t="shared" si="98"/>
        <v/>
      </c>
      <c r="M2102" s="1">
        <f>IF(OR(Table1[[#This Row],[Std Nom]]="",Table1[[#This Row],[Std Read]]=""),0,Table1[[#This Row],[Std Nom]]-Table1[[#This Row],[Std Read]])</f>
        <v>0</v>
      </c>
      <c r="N2102" s="1">
        <f>IF(Calculations!$F$5="ACCREDITED 17025 WITH UNCERTAINTIES",$N$10,0)</f>
        <v>0</v>
      </c>
      <c r="O2102" s="1" t="str">
        <f>IFERROR(Table1[[#This Row],[Std Nom]]-(_xlfn.XLOOKUP(Table1[[#This Row],[Manufacturer]]&amp;" "&amp;Table1[[#This Row],[Model]],Table13[MFR &amp; MDL],Table13[Tolerance % CW ],"")/100*Table1[[#This Row],[Std Nom]]),"")</f>
        <v/>
      </c>
      <c r="P2102" s="1" t="str">
        <f>IFERROR(Table1[[#This Row],[Std Nom]]+(_xlfn.XLOOKUP(Table1[[#This Row],[Manufacturer]]&amp;" "&amp;Table1[[#This Row],[Model]],Table13[MFR &amp; MDL],Table13[Tolerance % CW ],"")/100*Table1[[#This Row],[Std Nom]]),"")</f>
        <v/>
      </c>
      <c r="Q2102" s="1" t="e">
        <f>Table1[[#This Row],[High Tol]]-Table1[[#This Row],[Low Tol]]</f>
        <v>#VALUE!</v>
      </c>
      <c r="R2102" s="1">
        <f>2*Table1[[#This Row],[Std Error]]</f>
        <v>0</v>
      </c>
      <c r="S2102" s="1" t="str">
        <f>IF(Table1[[#This Row],[High Tol]]="","N/A",IFERROR(ABS(Table1[[#This Row],[Tol Span]]/Table1[[#This Row],[Error Span]]),"N/A"))</f>
        <v>N/A</v>
      </c>
      <c r="T2102" s="1" t="str">
        <f>IF(OR(Table1[[#This Row],[Low Tol]]="",Table1[[#This Row],[High Tol]]=""),"Needs Analysis",IF(Table1[[#This Row],[Ratio]]&gt;=4,"Not Significant",IF(Table1[[#This Row],[Ratio]]&gt;=2,"Semi-Significant","Significant")))</f>
        <v>Needs Analysis</v>
      </c>
      <c r="W2102" s="1">
        <f>IF(Table1[[#This Row],[Cal Type]]&lt;&gt;"ACCREDITED 17025 WITH UNCERTAINTIES",0,"")</f>
        <v>0</v>
      </c>
      <c r="X2102" s="1" t="str">
        <f>IF(Table1[[#This Row],[DUT Read]]="","N/A",Table1[[#This Row],[Std Error]]+Table1[[#This Row],[DUT Read]]+Table1[[#This Row],[DUT Ucty]])</f>
        <v>N/A</v>
      </c>
      <c r="Y2102" s="1" t="str">
        <f>IF(Table1[[#This Row],[Std Read]]="","N/A",Table1[[#This Row],[Std Read]]+Table1[[#This Row],[Std Ucty]])</f>
        <v>N/A</v>
      </c>
      <c r="Z21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2" s="1" t="str">
        <f>IF(Table1[[#This Row],[Spec Type]]="","N/A",Table1[[#This Row],[Spec Type]])</f>
        <v>±</v>
      </c>
      <c r="AC2102" s="1" t="str">
        <f>IF(Table1[[#This Row],[Spec Type2]]="N/A","N/A",IF(AND(Table1[[#This Row],[DUT Adj Read]]&gt;=Table1[[#This Row],[Low Tol]],Table1[[#This Row],[DUT Adj Read]]&lt;=Table1[[#This Row],[High Tol]]),"Pass","Fail"))</f>
        <v>Fail</v>
      </c>
      <c r="AD2102" s="1" t="str">
        <f>IF(AND(Table1[[#This Row],[Spec Type2]]="N/A",Table1[[#This Row],[DUT Adj Read]]="N/A",Table1[[#This Row],[Std Adj Read]]="N/A"),"N/A",IF(Table1[[#This Row],[DUT Adj Read]]="N/A",IF(Table1[[#This Row],[Std Adj Read]]&gt;Table1[[#This Row],[Low Tol]],"Pass","Fail"),IF(Table1[[#This Row],[DUT Adj Read]]&gt;Table1[[#This Row],[Low Tol]],"Pass","Fail")))</f>
        <v>Pass</v>
      </c>
      <c r="AE2102" s="1" t="str">
        <f>IF(AND(Table1[[#This Row],[Spec Type2]]="N/A",Table1[[#This Row],[DUT Adj Read]]="N/A",Table1[[#This Row],[Std Adj Read]]="N/A"),"N/A",IF(Table1[[#This Row],[DUT Adj Read]]="N/A",IF(Table1[[#This Row],[Std Adj Read]]&lt;Table1[[#This Row],[High Tol]],"Pass","Fail"),IF(Table1[[#This Row],[DUT Adj Read]]&lt;Table1[[#This Row],[High Tol]],"Pass","Fail")))</f>
        <v>Fail</v>
      </c>
      <c r="AF2102" s="1" t="str">
        <f>IF(AND(Table1[[#This Row],[Spec Type2]]="N/A",Table1[[#This Row],[DUT Adj Read]]="N/A",Table1[[#This Row],[Std Adj Read]]="N/A"),"N/A",IF(Table1[[#This Row],[DUT Adj Read]]="N/A",IF(Table1[[#This Row],[Std Adj Read]]&gt;=Table1[[#This Row],[Low Tol]],"Pass","Fail"),IF(Table1[[#This Row],[DUT Adj Read]]&gt;=Table1[[#This Row],[Low Tol]],"Pass","Fail")))</f>
        <v>Pass</v>
      </c>
      <c r="AG2102" s="1" t="str">
        <f>IF(AND(Table1[[#This Row],[Spec Type2]]="N/A",Table1[[#This Row],[DUT Adj Read]]="N/A",Table1[[#This Row],[Std Adj Read]]="N/A"),"N/A",IF(Table1[[#This Row],[DUT Adj Read]]="N/A",IF(Table1[[#This Row],[Std Adj Read]]&lt;=Table1[[#This Row],[High Tol]],"Pass","Fail"),IF(Table1[[#This Row],[DUT Adj Read]]&lt;=Table1[[#This Row],[High Tol]],"Pass","Fail")))</f>
        <v>Fail</v>
      </c>
      <c r="AH21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2" s="1" t="b">
        <v>0</v>
      </c>
      <c r="AN2102" s="1" t="b">
        <v>0</v>
      </c>
      <c r="AO2102" s="1" t="b">
        <v>0</v>
      </c>
    </row>
    <row r="2103" spans="1:41" x14ac:dyDescent="0.25">
      <c r="A2103" s="10"/>
      <c r="B2103" s="10"/>
      <c r="C2103" s="10"/>
      <c r="D2103" s="10"/>
      <c r="E2103" s="10"/>
      <c r="F2103" s="10"/>
      <c r="G2103" s="10"/>
      <c r="H2103" s="10"/>
      <c r="I2103" s="1" t="str">
        <f t="shared" si="96"/>
        <v/>
      </c>
      <c r="J2103" s="1" t="s">
        <v>35</v>
      </c>
      <c r="K2103" s="1" t="str">
        <f t="shared" si="97"/>
        <v/>
      </c>
      <c r="L2103" s="1" t="str">
        <f t="shared" si="98"/>
        <v/>
      </c>
      <c r="M2103" s="1">
        <f>IF(OR(Table1[[#This Row],[Std Nom]]="",Table1[[#This Row],[Std Read]]=""),0,Table1[[#This Row],[Std Nom]]-Table1[[#This Row],[Std Read]])</f>
        <v>0</v>
      </c>
      <c r="N2103" s="1">
        <f>IF(Calculations!$F$5="ACCREDITED 17025 WITH UNCERTAINTIES",$N$10,0)</f>
        <v>0</v>
      </c>
      <c r="O2103" s="1" t="str">
        <f>IFERROR(Table1[[#This Row],[Std Nom]]-(_xlfn.XLOOKUP(Table1[[#This Row],[Manufacturer]]&amp;" "&amp;Table1[[#This Row],[Model]],Table13[MFR &amp; MDL],Table13[Tolerance % CW ],"")/100*Table1[[#This Row],[Std Nom]]),"")</f>
        <v/>
      </c>
      <c r="P2103" s="1" t="str">
        <f>IFERROR(Table1[[#This Row],[Std Nom]]+(_xlfn.XLOOKUP(Table1[[#This Row],[Manufacturer]]&amp;" "&amp;Table1[[#This Row],[Model]],Table13[MFR &amp; MDL],Table13[Tolerance % CW ],"")/100*Table1[[#This Row],[Std Nom]]),"")</f>
        <v/>
      </c>
      <c r="Q2103" s="1" t="e">
        <f>Table1[[#This Row],[High Tol]]-Table1[[#This Row],[Low Tol]]</f>
        <v>#VALUE!</v>
      </c>
      <c r="R2103" s="1">
        <f>2*Table1[[#This Row],[Std Error]]</f>
        <v>0</v>
      </c>
      <c r="S2103" s="1" t="str">
        <f>IF(Table1[[#This Row],[High Tol]]="","N/A",IFERROR(ABS(Table1[[#This Row],[Tol Span]]/Table1[[#This Row],[Error Span]]),"N/A"))</f>
        <v>N/A</v>
      </c>
      <c r="T2103" s="1" t="str">
        <f>IF(OR(Table1[[#This Row],[Low Tol]]="",Table1[[#This Row],[High Tol]]=""),"Needs Analysis",IF(Table1[[#This Row],[Ratio]]&gt;=4,"Not Significant",IF(Table1[[#This Row],[Ratio]]&gt;=2,"Semi-Significant","Significant")))</f>
        <v>Needs Analysis</v>
      </c>
      <c r="W2103" s="1">
        <f>IF(Table1[[#This Row],[Cal Type]]&lt;&gt;"ACCREDITED 17025 WITH UNCERTAINTIES",0,"")</f>
        <v>0</v>
      </c>
      <c r="X2103" s="1" t="str">
        <f>IF(Table1[[#This Row],[DUT Read]]="","N/A",Table1[[#This Row],[Std Error]]+Table1[[#This Row],[DUT Read]]+Table1[[#This Row],[DUT Ucty]])</f>
        <v>N/A</v>
      </c>
      <c r="Y2103" s="1" t="str">
        <f>IF(Table1[[#This Row],[Std Read]]="","N/A",Table1[[#This Row],[Std Read]]+Table1[[#This Row],[Std Ucty]])</f>
        <v>N/A</v>
      </c>
      <c r="Z21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3" s="1" t="str">
        <f>IF(Table1[[#This Row],[Spec Type]]="","N/A",Table1[[#This Row],[Spec Type]])</f>
        <v>±</v>
      </c>
      <c r="AC2103" s="1" t="str">
        <f>IF(Table1[[#This Row],[Spec Type2]]="N/A","N/A",IF(AND(Table1[[#This Row],[DUT Adj Read]]&gt;=Table1[[#This Row],[Low Tol]],Table1[[#This Row],[DUT Adj Read]]&lt;=Table1[[#This Row],[High Tol]]),"Pass","Fail"))</f>
        <v>Fail</v>
      </c>
      <c r="AD2103" s="1" t="str">
        <f>IF(AND(Table1[[#This Row],[Spec Type2]]="N/A",Table1[[#This Row],[DUT Adj Read]]="N/A",Table1[[#This Row],[Std Adj Read]]="N/A"),"N/A",IF(Table1[[#This Row],[DUT Adj Read]]="N/A",IF(Table1[[#This Row],[Std Adj Read]]&gt;Table1[[#This Row],[Low Tol]],"Pass","Fail"),IF(Table1[[#This Row],[DUT Adj Read]]&gt;Table1[[#This Row],[Low Tol]],"Pass","Fail")))</f>
        <v>Pass</v>
      </c>
      <c r="AE2103" s="1" t="str">
        <f>IF(AND(Table1[[#This Row],[Spec Type2]]="N/A",Table1[[#This Row],[DUT Adj Read]]="N/A",Table1[[#This Row],[Std Adj Read]]="N/A"),"N/A",IF(Table1[[#This Row],[DUT Adj Read]]="N/A",IF(Table1[[#This Row],[Std Adj Read]]&lt;Table1[[#This Row],[High Tol]],"Pass","Fail"),IF(Table1[[#This Row],[DUT Adj Read]]&lt;Table1[[#This Row],[High Tol]],"Pass","Fail")))</f>
        <v>Fail</v>
      </c>
      <c r="AF2103" s="1" t="str">
        <f>IF(AND(Table1[[#This Row],[Spec Type2]]="N/A",Table1[[#This Row],[DUT Adj Read]]="N/A",Table1[[#This Row],[Std Adj Read]]="N/A"),"N/A",IF(Table1[[#This Row],[DUT Adj Read]]="N/A",IF(Table1[[#This Row],[Std Adj Read]]&gt;=Table1[[#This Row],[Low Tol]],"Pass","Fail"),IF(Table1[[#This Row],[DUT Adj Read]]&gt;=Table1[[#This Row],[Low Tol]],"Pass","Fail")))</f>
        <v>Pass</v>
      </c>
      <c r="AG2103" s="1" t="str">
        <f>IF(AND(Table1[[#This Row],[Spec Type2]]="N/A",Table1[[#This Row],[DUT Adj Read]]="N/A",Table1[[#This Row],[Std Adj Read]]="N/A"),"N/A",IF(Table1[[#This Row],[DUT Adj Read]]="N/A",IF(Table1[[#This Row],[Std Adj Read]]&lt;=Table1[[#This Row],[High Tol]],"Pass","Fail"),IF(Table1[[#This Row],[DUT Adj Read]]&lt;=Table1[[#This Row],[High Tol]],"Pass","Fail")))</f>
        <v>Fail</v>
      </c>
      <c r="AH21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3" s="1" t="b">
        <v>0</v>
      </c>
      <c r="AN2103" s="1" t="b">
        <v>0</v>
      </c>
      <c r="AO2103" s="1" t="b">
        <v>0</v>
      </c>
    </row>
    <row r="2104" spans="1:41" x14ac:dyDescent="0.25">
      <c r="A2104" s="10"/>
      <c r="B2104" s="10"/>
      <c r="C2104" s="10"/>
      <c r="D2104" s="10"/>
      <c r="E2104" s="10"/>
      <c r="F2104" s="10"/>
      <c r="G2104" s="10"/>
      <c r="H2104" s="10"/>
      <c r="I2104" s="1" t="str">
        <f t="shared" si="96"/>
        <v/>
      </c>
      <c r="J2104" s="1" t="s">
        <v>35</v>
      </c>
      <c r="K2104" s="1" t="str">
        <f t="shared" si="97"/>
        <v/>
      </c>
      <c r="L2104" s="1" t="str">
        <f t="shared" si="98"/>
        <v/>
      </c>
      <c r="M2104" s="1">
        <f>IF(OR(Table1[[#This Row],[Std Nom]]="",Table1[[#This Row],[Std Read]]=""),0,Table1[[#This Row],[Std Nom]]-Table1[[#This Row],[Std Read]])</f>
        <v>0</v>
      </c>
      <c r="N2104" s="1">
        <f>IF(Calculations!$F$5="ACCREDITED 17025 WITH UNCERTAINTIES",$N$10,0)</f>
        <v>0</v>
      </c>
      <c r="O2104" s="1" t="str">
        <f>IFERROR(Table1[[#This Row],[Std Nom]]-(_xlfn.XLOOKUP(Table1[[#This Row],[Manufacturer]]&amp;" "&amp;Table1[[#This Row],[Model]],Table13[MFR &amp; MDL],Table13[Tolerance % CW ],"")/100*Table1[[#This Row],[Std Nom]]),"")</f>
        <v/>
      </c>
      <c r="P2104" s="1" t="str">
        <f>IFERROR(Table1[[#This Row],[Std Nom]]+(_xlfn.XLOOKUP(Table1[[#This Row],[Manufacturer]]&amp;" "&amp;Table1[[#This Row],[Model]],Table13[MFR &amp; MDL],Table13[Tolerance % CW ],"")/100*Table1[[#This Row],[Std Nom]]),"")</f>
        <v/>
      </c>
      <c r="Q2104" s="1" t="e">
        <f>Table1[[#This Row],[High Tol]]-Table1[[#This Row],[Low Tol]]</f>
        <v>#VALUE!</v>
      </c>
      <c r="R2104" s="1">
        <f>2*Table1[[#This Row],[Std Error]]</f>
        <v>0</v>
      </c>
      <c r="S2104" s="1" t="str">
        <f>IF(Table1[[#This Row],[High Tol]]="","N/A",IFERROR(ABS(Table1[[#This Row],[Tol Span]]/Table1[[#This Row],[Error Span]]),"N/A"))</f>
        <v>N/A</v>
      </c>
      <c r="T2104" s="1" t="str">
        <f>IF(OR(Table1[[#This Row],[Low Tol]]="",Table1[[#This Row],[High Tol]]=""),"Needs Analysis",IF(Table1[[#This Row],[Ratio]]&gt;=4,"Not Significant",IF(Table1[[#This Row],[Ratio]]&gt;=2,"Semi-Significant","Significant")))</f>
        <v>Needs Analysis</v>
      </c>
      <c r="W2104" s="1">
        <f>IF(Table1[[#This Row],[Cal Type]]&lt;&gt;"ACCREDITED 17025 WITH UNCERTAINTIES",0,"")</f>
        <v>0</v>
      </c>
      <c r="X2104" s="1" t="str">
        <f>IF(Table1[[#This Row],[DUT Read]]="","N/A",Table1[[#This Row],[Std Error]]+Table1[[#This Row],[DUT Read]]+Table1[[#This Row],[DUT Ucty]])</f>
        <v>N/A</v>
      </c>
      <c r="Y2104" s="1" t="str">
        <f>IF(Table1[[#This Row],[Std Read]]="","N/A",Table1[[#This Row],[Std Read]]+Table1[[#This Row],[Std Ucty]])</f>
        <v>N/A</v>
      </c>
      <c r="Z21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4" s="1" t="str">
        <f>IF(Table1[[#This Row],[Spec Type]]="","N/A",Table1[[#This Row],[Spec Type]])</f>
        <v>±</v>
      </c>
      <c r="AC2104" s="1" t="str">
        <f>IF(Table1[[#This Row],[Spec Type2]]="N/A","N/A",IF(AND(Table1[[#This Row],[DUT Adj Read]]&gt;=Table1[[#This Row],[Low Tol]],Table1[[#This Row],[DUT Adj Read]]&lt;=Table1[[#This Row],[High Tol]]),"Pass","Fail"))</f>
        <v>Fail</v>
      </c>
      <c r="AD2104" s="1" t="str">
        <f>IF(AND(Table1[[#This Row],[Spec Type2]]="N/A",Table1[[#This Row],[DUT Adj Read]]="N/A",Table1[[#This Row],[Std Adj Read]]="N/A"),"N/A",IF(Table1[[#This Row],[DUT Adj Read]]="N/A",IF(Table1[[#This Row],[Std Adj Read]]&gt;Table1[[#This Row],[Low Tol]],"Pass","Fail"),IF(Table1[[#This Row],[DUT Adj Read]]&gt;Table1[[#This Row],[Low Tol]],"Pass","Fail")))</f>
        <v>Pass</v>
      </c>
      <c r="AE2104" s="1" t="str">
        <f>IF(AND(Table1[[#This Row],[Spec Type2]]="N/A",Table1[[#This Row],[DUT Adj Read]]="N/A",Table1[[#This Row],[Std Adj Read]]="N/A"),"N/A",IF(Table1[[#This Row],[DUT Adj Read]]="N/A",IF(Table1[[#This Row],[Std Adj Read]]&lt;Table1[[#This Row],[High Tol]],"Pass","Fail"),IF(Table1[[#This Row],[DUT Adj Read]]&lt;Table1[[#This Row],[High Tol]],"Pass","Fail")))</f>
        <v>Fail</v>
      </c>
      <c r="AF2104" s="1" t="str">
        <f>IF(AND(Table1[[#This Row],[Spec Type2]]="N/A",Table1[[#This Row],[DUT Adj Read]]="N/A",Table1[[#This Row],[Std Adj Read]]="N/A"),"N/A",IF(Table1[[#This Row],[DUT Adj Read]]="N/A",IF(Table1[[#This Row],[Std Adj Read]]&gt;=Table1[[#This Row],[Low Tol]],"Pass","Fail"),IF(Table1[[#This Row],[DUT Adj Read]]&gt;=Table1[[#This Row],[Low Tol]],"Pass","Fail")))</f>
        <v>Pass</v>
      </c>
      <c r="AG2104" s="1" t="str">
        <f>IF(AND(Table1[[#This Row],[Spec Type2]]="N/A",Table1[[#This Row],[DUT Adj Read]]="N/A",Table1[[#This Row],[Std Adj Read]]="N/A"),"N/A",IF(Table1[[#This Row],[DUT Adj Read]]="N/A",IF(Table1[[#This Row],[Std Adj Read]]&lt;=Table1[[#This Row],[High Tol]],"Pass","Fail"),IF(Table1[[#This Row],[DUT Adj Read]]&lt;=Table1[[#This Row],[High Tol]],"Pass","Fail")))</f>
        <v>Fail</v>
      </c>
      <c r="AH21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4" s="1" t="b">
        <v>0</v>
      </c>
      <c r="AN2104" s="1" t="b">
        <v>0</v>
      </c>
      <c r="AO2104" s="1" t="b">
        <v>0</v>
      </c>
    </row>
    <row r="2105" spans="1:41" x14ac:dyDescent="0.25">
      <c r="A2105" s="10"/>
      <c r="B2105" s="10"/>
      <c r="C2105" s="10"/>
      <c r="D2105" s="10"/>
      <c r="E2105" s="10"/>
      <c r="F2105" s="10"/>
      <c r="G2105" s="10"/>
      <c r="H2105" s="10"/>
      <c r="I2105" s="1" t="str">
        <f t="shared" si="96"/>
        <v/>
      </c>
      <c r="J2105" s="1" t="s">
        <v>35</v>
      </c>
      <c r="K2105" s="1" t="str">
        <f t="shared" si="97"/>
        <v/>
      </c>
      <c r="L2105" s="1" t="str">
        <f t="shared" si="98"/>
        <v/>
      </c>
      <c r="M2105" s="1">
        <f>IF(OR(Table1[[#This Row],[Std Nom]]="",Table1[[#This Row],[Std Read]]=""),0,Table1[[#This Row],[Std Nom]]-Table1[[#This Row],[Std Read]])</f>
        <v>0</v>
      </c>
      <c r="N2105" s="1">
        <f>IF(Calculations!$F$5="ACCREDITED 17025 WITH UNCERTAINTIES",$N$10,0)</f>
        <v>0</v>
      </c>
      <c r="O2105" s="1" t="str">
        <f>IFERROR(Table1[[#This Row],[Std Nom]]-(_xlfn.XLOOKUP(Table1[[#This Row],[Manufacturer]]&amp;" "&amp;Table1[[#This Row],[Model]],Table13[MFR &amp; MDL],Table13[Tolerance % CW ],"")/100*Table1[[#This Row],[Std Nom]]),"")</f>
        <v/>
      </c>
      <c r="P2105" s="1" t="str">
        <f>IFERROR(Table1[[#This Row],[Std Nom]]+(_xlfn.XLOOKUP(Table1[[#This Row],[Manufacturer]]&amp;" "&amp;Table1[[#This Row],[Model]],Table13[MFR &amp; MDL],Table13[Tolerance % CW ],"")/100*Table1[[#This Row],[Std Nom]]),"")</f>
        <v/>
      </c>
      <c r="Q2105" s="1" t="e">
        <f>Table1[[#This Row],[High Tol]]-Table1[[#This Row],[Low Tol]]</f>
        <v>#VALUE!</v>
      </c>
      <c r="R2105" s="1">
        <f>2*Table1[[#This Row],[Std Error]]</f>
        <v>0</v>
      </c>
      <c r="S2105" s="1" t="str">
        <f>IF(Table1[[#This Row],[High Tol]]="","N/A",IFERROR(ABS(Table1[[#This Row],[Tol Span]]/Table1[[#This Row],[Error Span]]),"N/A"))</f>
        <v>N/A</v>
      </c>
      <c r="T2105" s="1" t="str">
        <f>IF(OR(Table1[[#This Row],[Low Tol]]="",Table1[[#This Row],[High Tol]]=""),"Needs Analysis",IF(Table1[[#This Row],[Ratio]]&gt;=4,"Not Significant",IF(Table1[[#This Row],[Ratio]]&gt;=2,"Semi-Significant","Significant")))</f>
        <v>Needs Analysis</v>
      </c>
      <c r="W2105" s="1">
        <f>IF(Table1[[#This Row],[Cal Type]]&lt;&gt;"ACCREDITED 17025 WITH UNCERTAINTIES",0,"")</f>
        <v>0</v>
      </c>
      <c r="X2105" s="1" t="str">
        <f>IF(Table1[[#This Row],[DUT Read]]="","N/A",Table1[[#This Row],[Std Error]]+Table1[[#This Row],[DUT Read]]+Table1[[#This Row],[DUT Ucty]])</f>
        <v>N/A</v>
      </c>
      <c r="Y2105" s="1" t="str">
        <f>IF(Table1[[#This Row],[Std Read]]="","N/A",Table1[[#This Row],[Std Read]]+Table1[[#This Row],[Std Ucty]])</f>
        <v>N/A</v>
      </c>
      <c r="Z21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5" s="1" t="str">
        <f>IF(Table1[[#This Row],[Spec Type]]="","N/A",Table1[[#This Row],[Spec Type]])</f>
        <v>±</v>
      </c>
      <c r="AC2105" s="1" t="str">
        <f>IF(Table1[[#This Row],[Spec Type2]]="N/A","N/A",IF(AND(Table1[[#This Row],[DUT Adj Read]]&gt;=Table1[[#This Row],[Low Tol]],Table1[[#This Row],[DUT Adj Read]]&lt;=Table1[[#This Row],[High Tol]]),"Pass","Fail"))</f>
        <v>Fail</v>
      </c>
      <c r="AD2105" s="1" t="str">
        <f>IF(AND(Table1[[#This Row],[Spec Type2]]="N/A",Table1[[#This Row],[DUT Adj Read]]="N/A",Table1[[#This Row],[Std Adj Read]]="N/A"),"N/A",IF(Table1[[#This Row],[DUT Adj Read]]="N/A",IF(Table1[[#This Row],[Std Adj Read]]&gt;Table1[[#This Row],[Low Tol]],"Pass","Fail"),IF(Table1[[#This Row],[DUT Adj Read]]&gt;Table1[[#This Row],[Low Tol]],"Pass","Fail")))</f>
        <v>Pass</v>
      </c>
      <c r="AE2105" s="1" t="str">
        <f>IF(AND(Table1[[#This Row],[Spec Type2]]="N/A",Table1[[#This Row],[DUT Adj Read]]="N/A",Table1[[#This Row],[Std Adj Read]]="N/A"),"N/A",IF(Table1[[#This Row],[DUT Adj Read]]="N/A",IF(Table1[[#This Row],[Std Adj Read]]&lt;Table1[[#This Row],[High Tol]],"Pass","Fail"),IF(Table1[[#This Row],[DUT Adj Read]]&lt;Table1[[#This Row],[High Tol]],"Pass","Fail")))</f>
        <v>Fail</v>
      </c>
      <c r="AF2105" s="1" t="str">
        <f>IF(AND(Table1[[#This Row],[Spec Type2]]="N/A",Table1[[#This Row],[DUT Adj Read]]="N/A",Table1[[#This Row],[Std Adj Read]]="N/A"),"N/A",IF(Table1[[#This Row],[DUT Adj Read]]="N/A",IF(Table1[[#This Row],[Std Adj Read]]&gt;=Table1[[#This Row],[Low Tol]],"Pass","Fail"),IF(Table1[[#This Row],[DUT Adj Read]]&gt;=Table1[[#This Row],[Low Tol]],"Pass","Fail")))</f>
        <v>Pass</v>
      </c>
      <c r="AG2105" s="1" t="str">
        <f>IF(AND(Table1[[#This Row],[Spec Type2]]="N/A",Table1[[#This Row],[DUT Adj Read]]="N/A",Table1[[#This Row],[Std Adj Read]]="N/A"),"N/A",IF(Table1[[#This Row],[DUT Adj Read]]="N/A",IF(Table1[[#This Row],[Std Adj Read]]&lt;=Table1[[#This Row],[High Tol]],"Pass","Fail"),IF(Table1[[#This Row],[DUT Adj Read]]&lt;=Table1[[#This Row],[High Tol]],"Pass","Fail")))</f>
        <v>Fail</v>
      </c>
      <c r="AH21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5" s="1" t="b">
        <v>0</v>
      </c>
      <c r="AN2105" s="1" t="b">
        <v>0</v>
      </c>
      <c r="AO2105" s="1" t="b">
        <v>0</v>
      </c>
    </row>
    <row r="2106" spans="1:41" x14ac:dyDescent="0.25">
      <c r="A2106" s="10"/>
      <c r="B2106" s="10"/>
      <c r="C2106" s="10"/>
      <c r="D2106" s="10"/>
      <c r="E2106" s="10"/>
      <c r="F2106" s="10"/>
      <c r="G2106" s="10"/>
      <c r="H2106" s="10"/>
      <c r="I2106" s="1" t="str">
        <f t="shared" si="96"/>
        <v/>
      </c>
      <c r="J2106" s="1" t="s">
        <v>35</v>
      </c>
      <c r="K2106" s="1" t="str">
        <f t="shared" si="97"/>
        <v/>
      </c>
      <c r="L2106" s="1" t="str">
        <f t="shared" si="98"/>
        <v/>
      </c>
      <c r="M2106" s="1">
        <f>IF(OR(Table1[[#This Row],[Std Nom]]="",Table1[[#This Row],[Std Read]]=""),0,Table1[[#This Row],[Std Nom]]-Table1[[#This Row],[Std Read]])</f>
        <v>0</v>
      </c>
      <c r="N2106" s="1">
        <f>IF(Calculations!$F$5="ACCREDITED 17025 WITH UNCERTAINTIES",$N$10,0)</f>
        <v>0</v>
      </c>
      <c r="O2106" s="1" t="str">
        <f>IFERROR(Table1[[#This Row],[Std Nom]]-(_xlfn.XLOOKUP(Table1[[#This Row],[Manufacturer]]&amp;" "&amp;Table1[[#This Row],[Model]],Table13[MFR &amp; MDL],Table13[Tolerance % CW ],"")/100*Table1[[#This Row],[Std Nom]]),"")</f>
        <v/>
      </c>
      <c r="P2106" s="1" t="str">
        <f>IFERROR(Table1[[#This Row],[Std Nom]]+(_xlfn.XLOOKUP(Table1[[#This Row],[Manufacturer]]&amp;" "&amp;Table1[[#This Row],[Model]],Table13[MFR &amp; MDL],Table13[Tolerance % CW ],"")/100*Table1[[#This Row],[Std Nom]]),"")</f>
        <v/>
      </c>
      <c r="Q2106" s="1" t="e">
        <f>Table1[[#This Row],[High Tol]]-Table1[[#This Row],[Low Tol]]</f>
        <v>#VALUE!</v>
      </c>
      <c r="R2106" s="1">
        <f>2*Table1[[#This Row],[Std Error]]</f>
        <v>0</v>
      </c>
      <c r="S2106" s="1" t="str">
        <f>IF(Table1[[#This Row],[High Tol]]="","N/A",IFERROR(ABS(Table1[[#This Row],[Tol Span]]/Table1[[#This Row],[Error Span]]),"N/A"))</f>
        <v>N/A</v>
      </c>
      <c r="T2106" s="1" t="str">
        <f>IF(OR(Table1[[#This Row],[Low Tol]]="",Table1[[#This Row],[High Tol]]=""),"Needs Analysis",IF(Table1[[#This Row],[Ratio]]&gt;=4,"Not Significant",IF(Table1[[#This Row],[Ratio]]&gt;=2,"Semi-Significant","Significant")))</f>
        <v>Needs Analysis</v>
      </c>
      <c r="W2106" s="1">
        <f>IF(Table1[[#This Row],[Cal Type]]&lt;&gt;"ACCREDITED 17025 WITH UNCERTAINTIES",0,"")</f>
        <v>0</v>
      </c>
      <c r="X2106" s="1" t="str">
        <f>IF(Table1[[#This Row],[DUT Read]]="","N/A",Table1[[#This Row],[Std Error]]+Table1[[#This Row],[DUT Read]]+Table1[[#This Row],[DUT Ucty]])</f>
        <v>N/A</v>
      </c>
      <c r="Y2106" s="1" t="str">
        <f>IF(Table1[[#This Row],[Std Read]]="","N/A",Table1[[#This Row],[Std Read]]+Table1[[#This Row],[Std Ucty]])</f>
        <v>N/A</v>
      </c>
      <c r="Z21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6" s="1" t="str">
        <f>IF(Table1[[#This Row],[Spec Type]]="","N/A",Table1[[#This Row],[Spec Type]])</f>
        <v>±</v>
      </c>
      <c r="AC2106" s="1" t="str">
        <f>IF(Table1[[#This Row],[Spec Type2]]="N/A","N/A",IF(AND(Table1[[#This Row],[DUT Adj Read]]&gt;=Table1[[#This Row],[Low Tol]],Table1[[#This Row],[DUT Adj Read]]&lt;=Table1[[#This Row],[High Tol]]),"Pass","Fail"))</f>
        <v>Fail</v>
      </c>
      <c r="AD2106" s="1" t="str">
        <f>IF(AND(Table1[[#This Row],[Spec Type2]]="N/A",Table1[[#This Row],[DUT Adj Read]]="N/A",Table1[[#This Row],[Std Adj Read]]="N/A"),"N/A",IF(Table1[[#This Row],[DUT Adj Read]]="N/A",IF(Table1[[#This Row],[Std Adj Read]]&gt;Table1[[#This Row],[Low Tol]],"Pass","Fail"),IF(Table1[[#This Row],[DUT Adj Read]]&gt;Table1[[#This Row],[Low Tol]],"Pass","Fail")))</f>
        <v>Pass</v>
      </c>
      <c r="AE2106" s="1" t="str">
        <f>IF(AND(Table1[[#This Row],[Spec Type2]]="N/A",Table1[[#This Row],[DUT Adj Read]]="N/A",Table1[[#This Row],[Std Adj Read]]="N/A"),"N/A",IF(Table1[[#This Row],[DUT Adj Read]]="N/A",IF(Table1[[#This Row],[Std Adj Read]]&lt;Table1[[#This Row],[High Tol]],"Pass","Fail"),IF(Table1[[#This Row],[DUT Adj Read]]&lt;Table1[[#This Row],[High Tol]],"Pass","Fail")))</f>
        <v>Fail</v>
      </c>
      <c r="AF2106" s="1" t="str">
        <f>IF(AND(Table1[[#This Row],[Spec Type2]]="N/A",Table1[[#This Row],[DUT Adj Read]]="N/A",Table1[[#This Row],[Std Adj Read]]="N/A"),"N/A",IF(Table1[[#This Row],[DUT Adj Read]]="N/A",IF(Table1[[#This Row],[Std Adj Read]]&gt;=Table1[[#This Row],[Low Tol]],"Pass","Fail"),IF(Table1[[#This Row],[DUT Adj Read]]&gt;=Table1[[#This Row],[Low Tol]],"Pass","Fail")))</f>
        <v>Pass</v>
      </c>
      <c r="AG2106" s="1" t="str">
        <f>IF(AND(Table1[[#This Row],[Spec Type2]]="N/A",Table1[[#This Row],[DUT Adj Read]]="N/A",Table1[[#This Row],[Std Adj Read]]="N/A"),"N/A",IF(Table1[[#This Row],[DUT Adj Read]]="N/A",IF(Table1[[#This Row],[Std Adj Read]]&lt;=Table1[[#This Row],[High Tol]],"Pass","Fail"),IF(Table1[[#This Row],[DUT Adj Read]]&lt;=Table1[[#This Row],[High Tol]],"Pass","Fail")))</f>
        <v>Fail</v>
      </c>
      <c r="AH21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6" s="1" t="b">
        <v>0</v>
      </c>
      <c r="AN2106" s="1" t="b">
        <v>0</v>
      </c>
      <c r="AO2106" s="1" t="b">
        <v>0</v>
      </c>
    </row>
    <row r="2107" spans="1:41" x14ac:dyDescent="0.25">
      <c r="A2107" s="10"/>
      <c r="B2107" s="10"/>
      <c r="C2107" s="10"/>
      <c r="D2107" s="10"/>
      <c r="E2107" s="10"/>
      <c r="F2107" s="10"/>
      <c r="G2107" s="10"/>
      <c r="H2107" s="10"/>
      <c r="I2107" s="1" t="str">
        <f t="shared" si="96"/>
        <v/>
      </c>
      <c r="J2107" s="1" t="s">
        <v>35</v>
      </c>
      <c r="K2107" s="1" t="str">
        <f t="shared" si="97"/>
        <v/>
      </c>
      <c r="L2107" s="1" t="str">
        <f t="shared" si="98"/>
        <v/>
      </c>
      <c r="M2107" s="1">
        <f>IF(OR(Table1[[#This Row],[Std Nom]]="",Table1[[#This Row],[Std Read]]=""),0,Table1[[#This Row],[Std Nom]]-Table1[[#This Row],[Std Read]])</f>
        <v>0</v>
      </c>
      <c r="N2107" s="1">
        <f>IF(Calculations!$F$5="ACCREDITED 17025 WITH UNCERTAINTIES",$N$10,0)</f>
        <v>0</v>
      </c>
      <c r="O2107" s="1" t="str">
        <f>IFERROR(Table1[[#This Row],[Std Nom]]-(_xlfn.XLOOKUP(Table1[[#This Row],[Manufacturer]]&amp;" "&amp;Table1[[#This Row],[Model]],Table13[MFR &amp; MDL],Table13[Tolerance % CW ],"")/100*Table1[[#This Row],[Std Nom]]),"")</f>
        <v/>
      </c>
      <c r="P2107" s="1" t="str">
        <f>IFERROR(Table1[[#This Row],[Std Nom]]+(_xlfn.XLOOKUP(Table1[[#This Row],[Manufacturer]]&amp;" "&amp;Table1[[#This Row],[Model]],Table13[MFR &amp; MDL],Table13[Tolerance % CW ],"")/100*Table1[[#This Row],[Std Nom]]),"")</f>
        <v/>
      </c>
      <c r="Q2107" s="1" t="e">
        <f>Table1[[#This Row],[High Tol]]-Table1[[#This Row],[Low Tol]]</f>
        <v>#VALUE!</v>
      </c>
      <c r="R2107" s="1">
        <f>2*Table1[[#This Row],[Std Error]]</f>
        <v>0</v>
      </c>
      <c r="S2107" s="1" t="str">
        <f>IF(Table1[[#This Row],[High Tol]]="","N/A",IFERROR(ABS(Table1[[#This Row],[Tol Span]]/Table1[[#This Row],[Error Span]]),"N/A"))</f>
        <v>N/A</v>
      </c>
      <c r="T2107" s="1" t="str">
        <f>IF(OR(Table1[[#This Row],[Low Tol]]="",Table1[[#This Row],[High Tol]]=""),"Needs Analysis",IF(Table1[[#This Row],[Ratio]]&gt;=4,"Not Significant",IF(Table1[[#This Row],[Ratio]]&gt;=2,"Semi-Significant","Significant")))</f>
        <v>Needs Analysis</v>
      </c>
      <c r="W2107" s="1">
        <f>IF(Table1[[#This Row],[Cal Type]]&lt;&gt;"ACCREDITED 17025 WITH UNCERTAINTIES",0,"")</f>
        <v>0</v>
      </c>
      <c r="X2107" s="1" t="str">
        <f>IF(Table1[[#This Row],[DUT Read]]="","N/A",Table1[[#This Row],[Std Error]]+Table1[[#This Row],[DUT Read]]+Table1[[#This Row],[DUT Ucty]])</f>
        <v>N/A</v>
      </c>
      <c r="Y2107" s="1" t="str">
        <f>IF(Table1[[#This Row],[Std Read]]="","N/A",Table1[[#This Row],[Std Read]]+Table1[[#This Row],[Std Ucty]])</f>
        <v>N/A</v>
      </c>
      <c r="Z21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7" s="1" t="str">
        <f>IF(Table1[[#This Row],[Spec Type]]="","N/A",Table1[[#This Row],[Spec Type]])</f>
        <v>±</v>
      </c>
      <c r="AC2107" s="1" t="str">
        <f>IF(Table1[[#This Row],[Spec Type2]]="N/A","N/A",IF(AND(Table1[[#This Row],[DUT Adj Read]]&gt;=Table1[[#This Row],[Low Tol]],Table1[[#This Row],[DUT Adj Read]]&lt;=Table1[[#This Row],[High Tol]]),"Pass","Fail"))</f>
        <v>Fail</v>
      </c>
      <c r="AD2107" s="1" t="str">
        <f>IF(AND(Table1[[#This Row],[Spec Type2]]="N/A",Table1[[#This Row],[DUT Adj Read]]="N/A",Table1[[#This Row],[Std Adj Read]]="N/A"),"N/A",IF(Table1[[#This Row],[DUT Adj Read]]="N/A",IF(Table1[[#This Row],[Std Adj Read]]&gt;Table1[[#This Row],[Low Tol]],"Pass","Fail"),IF(Table1[[#This Row],[DUT Adj Read]]&gt;Table1[[#This Row],[Low Tol]],"Pass","Fail")))</f>
        <v>Pass</v>
      </c>
      <c r="AE2107" s="1" t="str">
        <f>IF(AND(Table1[[#This Row],[Spec Type2]]="N/A",Table1[[#This Row],[DUT Adj Read]]="N/A",Table1[[#This Row],[Std Adj Read]]="N/A"),"N/A",IF(Table1[[#This Row],[DUT Adj Read]]="N/A",IF(Table1[[#This Row],[Std Adj Read]]&lt;Table1[[#This Row],[High Tol]],"Pass","Fail"),IF(Table1[[#This Row],[DUT Adj Read]]&lt;Table1[[#This Row],[High Tol]],"Pass","Fail")))</f>
        <v>Fail</v>
      </c>
      <c r="AF2107" s="1" t="str">
        <f>IF(AND(Table1[[#This Row],[Spec Type2]]="N/A",Table1[[#This Row],[DUT Adj Read]]="N/A",Table1[[#This Row],[Std Adj Read]]="N/A"),"N/A",IF(Table1[[#This Row],[DUT Adj Read]]="N/A",IF(Table1[[#This Row],[Std Adj Read]]&gt;=Table1[[#This Row],[Low Tol]],"Pass","Fail"),IF(Table1[[#This Row],[DUT Adj Read]]&gt;=Table1[[#This Row],[Low Tol]],"Pass","Fail")))</f>
        <v>Pass</v>
      </c>
      <c r="AG2107" s="1" t="str">
        <f>IF(AND(Table1[[#This Row],[Spec Type2]]="N/A",Table1[[#This Row],[DUT Adj Read]]="N/A",Table1[[#This Row],[Std Adj Read]]="N/A"),"N/A",IF(Table1[[#This Row],[DUT Adj Read]]="N/A",IF(Table1[[#This Row],[Std Adj Read]]&lt;=Table1[[#This Row],[High Tol]],"Pass","Fail"),IF(Table1[[#This Row],[DUT Adj Read]]&lt;=Table1[[#This Row],[High Tol]],"Pass","Fail")))</f>
        <v>Fail</v>
      </c>
      <c r="AH21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7" s="1" t="b">
        <v>0</v>
      </c>
      <c r="AN2107" s="1" t="b">
        <v>0</v>
      </c>
      <c r="AO2107" s="1" t="b">
        <v>0</v>
      </c>
    </row>
    <row r="2108" spans="1:41" x14ac:dyDescent="0.25">
      <c r="A2108" s="10"/>
      <c r="B2108" s="10"/>
      <c r="C2108" s="10"/>
      <c r="D2108" s="10"/>
      <c r="E2108" s="10"/>
      <c r="F2108" s="10"/>
      <c r="G2108" s="10"/>
      <c r="H2108" s="10"/>
      <c r="I2108" s="1" t="str">
        <f t="shared" si="96"/>
        <v/>
      </c>
      <c r="J2108" s="1" t="s">
        <v>35</v>
      </c>
      <c r="K2108" s="1" t="str">
        <f t="shared" si="97"/>
        <v/>
      </c>
      <c r="L2108" s="1" t="str">
        <f t="shared" si="98"/>
        <v/>
      </c>
      <c r="M2108" s="1">
        <f>IF(OR(Table1[[#This Row],[Std Nom]]="",Table1[[#This Row],[Std Read]]=""),0,Table1[[#This Row],[Std Nom]]-Table1[[#This Row],[Std Read]])</f>
        <v>0</v>
      </c>
      <c r="N2108" s="1">
        <f>IF(Calculations!$F$5="ACCREDITED 17025 WITH UNCERTAINTIES",$N$10,0)</f>
        <v>0</v>
      </c>
      <c r="O2108" s="1" t="str">
        <f>IFERROR(Table1[[#This Row],[Std Nom]]-(_xlfn.XLOOKUP(Table1[[#This Row],[Manufacturer]]&amp;" "&amp;Table1[[#This Row],[Model]],Table13[MFR &amp; MDL],Table13[Tolerance % CW ],"")/100*Table1[[#This Row],[Std Nom]]),"")</f>
        <v/>
      </c>
      <c r="P2108" s="1" t="str">
        <f>IFERROR(Table1[[#This Row],[Std Nom]]+(_xlfn.XLOOKUP(Table1[[#This Row],[Manufacturer]]&amp;" "&amp;Table1[[#This Row],[Model]],Table13[MFR &amp; MDL],Table13[Tolerance % CW ],"")/100*Table1[[#This Row],[Std Nom]]),"")</f>
        <v/>
      </c>
      <c r="Q2108" s="1" t="e">
        <f>Table1[[#This Row],[High Tol]]-Table1[[#This Row],[Low Tol]]</f>
        <v>#VALUE!</v>
      </c>
      <c r="R2108" s="1">
        <f>2*Table1[[#This Row],[Std Error]]</f>
        <v>0</v>
      </c>
      <c r="S2108" s="1" t="str">
        <f>IF(Table1[[#This Row],[High Tol]]="","N/A",IFERROR(ABS(Table1[[#This Row],[Tol Span]]/Table1[[#This Row],[Error Span]]),"N/A"))</f>
        <v>N/A</v>
      </c>
      <c r="T2108" s="1" t="str">
        <f>IF(OR(Table1[[#This Row],[Low Tol]]="",Table1[[#This Row],[High Tol]]=""),"Needs Analysis",IF(Table1[[#This Row],[Ratio]]&gt;=4,"Not Significant",IF(Table1[[#This Row],[Ratio]]&gt;=2,"Semi-Significant","Significant")))</f>
        <v>Needs Analysis</v>
      </c>
      <c r="W2108" s="1">
        <f>IF(Table1[[#This Row],[Cal Type]]&lt;&gt;"ACCREDITED 17025 WITH UNCERTAINTIES",0,"")</f>
        <v>0</v>
      </c>
      <c r="X2108" s="1" t="str">
        <f>IF(Table1[[#This Row],[DUT Read]]="","N/A",Table1[[#This Row],[Std Error]]+Table1[[#This Row],[DUT Read]]+Table1[[#This Row],[DUT Ucty]])</f>
        <v>N/A</v>
      </c>
      <c r="Y2108" s="1" t="str">
        <f>IF(Table1[[#This Row],[Std Read]]="","N/A",Table1[[#This Row],[Std Read]]+Table1[[#This Row],[Std Ucty]])</f>
        <v>N/A</v>
      </c>
      <c r="Z21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8" s="1" t="str">
        <f>IF(Table1[[#This Row],[Spec Type]]="","N/A",Table1[[#This Row],[Spec Type]])</f>
        <v>±</v>
      </c>
      <c r="AC2108" s="1" t="str">
        <f>IF(Table1[[#This Row],[Spec Type2]]="N/A","N/A",IF(AND(Table1[[#This Row],[DUT Adj Read]]&gt;=Table1[[#This Row],[Low Tol]],Table1[[#This Row],[DUT Adj Read]]&lt;=Table1[[#This Row],[High Tol]]),"Pass","Fail"))</f>
        <v>Fail</v>
      </c>
      <c r="AD2108" s="1" t="str">
        <f>IF(AND(Table1[[#This Row],[Spec Type2]]="N/A",Table1[[#This Row],[DUT Adj Read]]="N/A",Table1[[#This Row],[Std Adj Read]]="N/A"),"N/A",IF(Table1[[#This Row],[DUT Adj Read]]="N/A",IF(Table1[[#This Row],[Std Adj Read]]&gt;Table1[[#This Row],[Low Tol]],"Pass","Fail"),IF(Table1[[#This Row],[DUT Adj Read]]&gt;Table1[[#This Row],[Low Tol]],"Pass","Fail")))</f>
        <v>Pass</v>
      </c>
      <c r="AE2108" s="1" t="str">
        <f>IF(AND(Table1[[#This Row],[Spec Type2]]="N/A",Table1[[#This Row],[DUT Adj Read]]="N/A",Table1[[#This Row],[Std Adj Read]]="N/A"),"N/A",IF(Table1[[#This Row],[DUT Adj Read]]="N/A",IF(Table1[[#This Row],[Std Adj Read]]&lt;Table1[[#This Row],[High Tol]],"Pass","Fail"),IF(Table1[[#This Row],[DUT Adj Read]]&lt;Table1[[#This Row],[High Tol]],"Pass","Fail")))</f>
        <v>Fail</v>
      </c>
      <c r="AF2108" s="1" t="str">
        <f>IF(AND(Table1[[#This Row],[Spec Type2]]="N/A",Table1[[#This Row],[DUT Adj Read]]="N/A",Table1[[#This Row],[Std Adj Read]]="N/A"),"N/A",IF(Table1[[#This Row],[DUT Adj Read]]="N/A",IF(Table1[[#This Row],[Std Adj Read]]&gt;=Table1[[#This Row],[Low Tol]],"Pass","Fail"),IF(Table1[[#This Row],[DUT Adj Read]]&gt;=Table1[[#This Row],[Low Tol]],"Pass","Fail")))</f>
        <v>Pass</v>
      </c>
      <c r="AG2108" s="1" t="str">
        <f>IF(AND(Table1[[#This Row],[Spec Type2]]="N/A",Table1[[#This Row],[DUT Adj Read]]="N/A",Table1[[#This Row],[Std Adj Read]]="N/A"),"N/A",IF(Table1[[#This Row],[DUT Adj Read]]="N/A",IF(Table1[[#This Row],[Std Adj Read]]&lt;=Table1[[#This Row],[High Tol]],"Pass","Fail"),IF(Table1[[#This Row],[DUT Adj Read]]&lt;=Table1[[#This Row],[High Tol]],"Pass","Fail")))</f>
        <v>Fail</v>
      </c>
      <c r="AH21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8" s="1" t="b">
        <v>0</v>
      </c>
      <c r="AN2108" s="1" t="b">
        <v>0</v>
      </c>
      <c r="AO2108" s="1" t="b">
        <v>0</v>
      </c>
    </row>
    <row r="2109" spans="1:41" x14ac:dyDescent="0.25">
      <c r="A2109" s="10"/>
      <c r="B2109" s="10"/>
      <c r="C2109" s="10"/>
      <c r="D2109" s="10"/>
      <c r="E2109" s="10"/>
      <c r="F2109" s="10"/>
      <c r="G2109" s="10"/>
      <c r="H2109" s="10"/>
      <c r="I2109" s="1" t="str">
        <f t="shared" si="96"/>
        <v/>
      </c>
      <c r="J2109" s="1" t="s">
        <v>35</v>
      </c>
      <c r="K2109" s="1" t="str">
        <f t="shared" si="97"/>
        <v/>
      </c>
      <c r="L2109" s="1" t="str">
        <f t="shared" si="98"/>
        <v/>
      </c>
      <c r="M2109" s="1">
        <f>IF(OR(Table1[[#This Row],[Std Nom]]="",Table1[[#This Row],[Std Read]]=""),0,Table1[[#This Row],[Std Nom]]-Table1[[#This Row],[Std Read]])</f>
        <v>0</v>
      </c>
      <c r="N2109" s="1">
        <f>IF(Calculations!$F$5="ACCREDITED 17025 WITH UNCERTAINTIES",$N$10,0)</f>
        <v>0</v>
      </c>
      <c r="O2109" s="1" t="str">
        <f>IFERROR(Table1[[#This Row],[Std Nom]]-(_xlfn.XLOOKUP(Table1[[#This Row],[Manufacturer]]&amp;" "&amp;Table1[[#This Row],[Model]],Table13[MFR &amp; MDL],Table13[Tolerance % CW ],"")/100*Table1[[#This Row],[Std Nom]]),"")</f>
        <v/>
      </c>
      <c r="P2109" s="1" t="str">
        <f>IFERROR(Table1[[#This Row],[Std Nom]]+(_xlfn.XLOOKUP(Table1[[#This Row],[Manufacturer]]&amp;" "&amp;Table1[[#This Row],[Model]],Table13[MFR &amp; MDL],Table13[Tolerance % CW ],"")/100*Table1[[#This Row],[Std Nom]]),"")</f>
        <v/>
      </c>
      <c r="Q2109" s="1" t="e">
        <f>Table1[[#This Row],[High Tol]]-Table1[[#This Row],[Low Tol]]</f>
        <v>#VALUE!</v>
      </c>
      <c r="R2109" s="1">
        <f>2*Table1[[#This Row],[Std Error]]</f>
        <v>0</v>
      </c>
      <c r="S2109" s="1" t="str">
        <f>IF(Table1[[#This Row],[High Tol]]="","N/A",IFERROR(ABS(Table1[[#This Row],[Tol Span]]/Table1[[#This Row],[Error Span]]),"N/A"))</f>
        <v>N/A</v>
      </c>
      <c r="T2109" s="1" t="str">
        <f>IF(OR(Table1[[#This Row],[Low Tol]]="",Table1[[#This Row],[High Tol]]=""),"Needs Analysis",IF(Table1[[#This Row],[Ratio]]&gt;=4,"Not Significant",IF(Table1[[#This Row],[Ratio]]&gt;=2,"Semi-Significant","Significant")))</f>
        <v>Needs Analysis</v>
      </c>
      <c r="W2109" s="1">
        <f>IF(Table1[[#This Row],[Cal Type]]&lt;&gt;"ACCREDITED 17025 WITH UNCERTAINTIES",0,"")</f>
        <v>0</v>
      </c>
      <c r="X2109" s="1" t="str">
        <f>IF(Table1[[#This Row],[DUT Read]]="","N/A",Table1[[#This Row],[Std Error]]+Table1[[#This Row],[DUT Read]]+Table1[[#This Row],[DUT Ucty]])</f>
        <v>N/A</v>
      </c>
      <c r="Y2109" s="1" t="str">
        <f>IF(Table1[[#This Row],[Std Read]]="","N/A",Table1[[#This Row],[Std Read]]+Table1[[#This Row],[Std Ucty]])</f>
        <v>N/A</v>
      </c>
      <c r="Z21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9" s="1" t="str">
        <f>IF(Table1[[#This Row],[Spec Type]]="","N/A",Table1[[#This Row],[Spec Type]])</f>
        <v>±</v>
      </c>
      <c r="AC2109" s="1" t="str">
        <f>IF(Table1[[#This Row],[Spec Type2]]="N/A","N/A",IF(AND(Table1[[#This Row],[DUT Adj Read]]&gt;=Table1[[#This Row],[Low Tol]],Table1[[#This Row],[DUT Adj Read]]&lt;=Table1[[#This Row],[High Tol]]),"Pass","Fail"))</f>
        <v>Fail</v>
      </c>
      <c r="AD2109" s="1" t="str">
        <f>IF(AND(Table1[[#This Row],[Spec Type2]]="N/A",Table1[[#This Row],[DUT Adj Read]]="N/A",Table1[[#This Row],[Std Adj Read]]="N/A"),"N/A",IF(Table1[[#This Row],[DUT Adj Read]]="N/A",IF(Table1[[#This Row],[Std Adj Read]]&gt;Table1[[#This Row],[Low Tol]],"Pass","Fail"),IF(Table1[[#This Row],[DUT Adj Read]]&gt;Table1[[#This Row],[Low Tol]],"Pass","Fail")))</f>
        <v>Pass</v>
      </c>
      <c r="AE2109" s="1" t="str">
        <f>IF(AND(Table1[[#This Row],[Spec Type2]]="N/A",Table1[[#This Row],[DUT Adj Read]]="N/A",Table1[[#This Row],[Std Adj Read]]="N/A"),"N/A",IF(Table1[[#This Row],[DUT Adj Read]]="N/A",IF(Table1[[#This Row],[Std Adj Read]]&lt;Table1[[#This Row],[High Tol]],"Pass","Fail"),IF(Table1[[#This Row],[DUT Adj Read]]&lt;Table1[[#This Row],[High Tol]],"Pass","Fail")))</f>
        <v>Fail</v>
      </c>
      <c r="AF2109" s="1" t="str">
        <f>IF(AND(Table1[[#This Row],[Spec Type2]]="N/A",Table1[[#This Row],[DUT Adj Read]]="N/A",Table1[[#This Row],[Std Adj Read]]="N/A"),"N/A",IF(Table1[[#This Row],[DUT Adj Read]]="N/A",IF(Table1[[#This Row],[Std Adj Read]]&gt;=Table1[[#This Row],[Low Tol]],"Pass","Fail"),IF(Table1[[#This Row],[DUT Adj Read]]&gt;=Table1[[#This Row],[Low Tol]],"Pass","Fail")))</f>
        <v>Pass</v>
      </c>
      <c r="AG2109" s="1" t="str">
        <f>IF(AND(Table1[[#This Row],[Spec Type2]]="N/A",Table1[[#This Row],[DUT Adj Read]]="N/A",Table1[[#This Row],[Std Adj Read]]="N/A"),"N/A",IF(Table1[[#This Row],[DUT Adj Read]]="N/A",IF(Table1[[#This Row],[Std Adj Read]]&lt;=Table1[[#This Row],[High Tol]],"Pass","Fail"),IF(Table1[[#This Row],[DUT Adj Read]]&lt;=Table1[[#This Row],[High Tol]],"Pass","Fail")))</f>
        <v>Fail</v>
      </c>
      <c r="AH21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9" s="1" t="b">
        <v>0</v>
      </c>
      <c r="AN2109" s="1" t="b">
        <v>0</v>
      </c>
      <c r="AO2109" s="1" t="b">
        <v>0</v>
      </c>
    </row>
    <row r="2110" spans="1:41" x14ac:dyDescent="0.25">
      <c r="A2110" s="10"/>
      <c r="B2110" s="10"/>
      <c r="C2110" s="10"/>
      <c r="D2110" s="10"/>
      <c r="E2110" s="10"/>
      <c r="F2110" s="10"/>
      <c r="G2110" s="10"/>
      <c r="H2110" s="10"/>
      <c r="I2110" s="1" t="str">
        <f t="shared" si="96"/>
        <v/>
      </c>
      <c r="J2110" s="1" t="s">
        <v>35</v>
      </c>
      <c r="K2110" s="1" t="str">
        <f t="shared" si="97"/>
        <v/>
      </c>
      <c r="L2110" s="1" t="str">
        <f t="shared" si="98"/>
        <v/>
      </c>
      <c r="M2110" s="1">
        <f>IF(OR(Table1[[#This Row],[Std Nom]]="",Table1[[#This Row],[Std Read]]=""),0,Table1[[#This Row],[Std Nom]]-Table1[[#This Row],[Std Read]])</f>
        <v>0</v>
      </c>
      <c r="N2110" s="1">
        <f>IF(Calculations!$F$5="ACCREDITED 17025 WITH UNCERTAINTIES",$N$10,0)</f>
        <v>0</v>
      </c>
      <c r="O2110" s="1" t="str">
        <f>IFERROR(Table1[[#This Row],[Std Nom]]-(_xlfn.XLOOKUP(Table1[[#This Row],[Manufacturer]]&amp;" "&amp;Table1[[#This Row],[Model]],Table13[MFR &amp; MDL],Table13[Tolerance % CW ],"")/100*Table1[[#This Row],[Std Nom]]),"")</f>
        <v/>
      </c>
      <c r="P2110" s="1" t="str">
        <f>IFERROR(Table1[[#This Row],[Std Nom]]+(_xlfn.XLOOKUP(Table1[[#This Row],[Manufacturer]]&amp;" "&amp;Table1[[#This Row],[Model]],Table13[MFR &amp; MDL],Table13[Tolerance % CW ],"")/100*Table1[[#This Row],[Std Nom]]),"")</f>
        <v/>
      </c>
      <c r="Q2110" s="1" t="e">
        <f>Table1[[#This Row],[High Tol]]-Table1[[#This Row],[Low Tol]]</f>
        <v>#VALUE!</v>
      </c>
      <c r="R2110" s="1">
        <f>2*Table1[[#This Row],[Std Error]]</f>
        <v>0</v>
      </c>
      <c r="S2110" s="1" t="str">
        <f>IF(Table1[[#This Row],[High Tol]]="","N/A",IFERROR(ABS(Table1[[#This Row],[Tol Span]]/Table1[[#This Row],[Error Span]]),"N/A"))</f>
        <v>N/A</v>
      </c>
      <c r="T2110" s="1" t="str">
        <f>IF(OR(Table1[[#This Row],[Low Tol]]="",Table1[[#This Row],[High Tol]]=""),"Needs Analysis",IF(Table1[[#This Row],[Ratio]]&gt;=4,"Not Significant",IF(Table1[[#This Row],[Ratio]]&gt;=2,"Semi-Significant","Significant")))</f>
        <v>Needs Analysis</v>
      </c>
      <c r="W2110" s="1">
        <f>IF(Table1[[#This Row],[Cal Type]]&lt;&gt;"ACCREDITED 17025 WITH UNCERTAINTIES",0,"")</f>
        <v>0</v>
      </c>
      <c r="X2110" s="1" t="str">
        <f>IF(Table1[[#This Row],[DUT Read]]="","N/A",Table1[[#This Row],[Std Error]]+Table1[[#This Row],[DUT Read]]+Table1[[#This Row],[DUT Ucty]])</f>
        <v>N/A</v>
      </c>
      <c r="Y2110" s="1" t="str">
        <f>IF(Table1[[#This Row],[Std Read]]="","N/A",Table1[[#This Row],[Std Read]]+Table1[[#This Row],[Std Ucty]])</f>
        <v>N/A</v>
      </c>
      <c r="Z21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0" s="1" t="str">
        <f>IF(Table1[[#This Row],[Spec Type]]="","N/A",Table1[[#This Row],[Spec Type]])</f>
        <v>±</v>
      </c>
      <c r="AC2110" s="1" t="str">
        <f>IF(Table1[[#This Row],[Spec Type2]]="N/A","N/A",IF(AND(Table1[[#This Row],[DUT Adj Read]]&gt;=Table1[[#This Row],[Low Tol]],Table1[[#This Row],[DUT Adj Read]]&lt;=Table1[[#This Row],[High Tol]]),"Pass","Fail"))</f>
        <v>Fail</v>
      </c>
      <c r="AD2110" s="1" t="str">
        <f>IF(AND(Table1[[#This Row],[Spec Type2]]="N/A",Table1[[#This Row],[DUT Adj Read]]="N/A",Table1[[#This Row],[Std Adj Read]]="N/A"),"N/A",IF(Table1[[#This Row],[DUT Adj Read]]="N/A",IF(Table1[[#This Row],[Std Adj Read]]&gt;Table1[[#This Row],[Low Tol]],"Pass","Fail"),IF(Table1[[#This Row],[DUT Adj Read]]&gt;Table1[[#This Row],[Low Tol]],"Pass","Fail")))</f>
        <v>Pass</v>
      </c>
      <c r="AE2110" s="1" t="str">
        <f>IF(AND(Table1[[#This Row],[Spec Type2]]="N/A",Table1[[#This Row],[DUT Adj Read]]="N/A",Table1[[#This Row],[Std Adj Read]]="N/A"),"N/A",IF(Table1[[#This Row],[DUT Adj Read]]="N/A",IF(Table1[[#This Row],[Std Adj Read]]&lt;Table1[[#This Row],[High Tol]],"Pass","Fail"),IF(Table1[[#This Row],[DUT Adj Read]]&lt;Table1[[#This Row],[High Tol]],"Pass","Fail")))</f>
        <v>Fail</v>
      </c>
      <c r="AF2110" s="1" t="str">
        <f>IF(AND(Table1[[#This Row],[Spec Type2]]="N/A",Table1[[#This Row],[DUT Adj Read]]="N/A",Table1[[#This Row],[Std Adj Read]]="N/A"),"N/A",IF(Table1[[#This Row],[DUT Adj Read]]="N/A",IF(Table1[[#This Row],[Std Adj Read]]&gt;=Table1[[#This Row],[Low Tol]],"Pass","Fail"),IF(Table1[[#This Row],[DUT Adj Read]]&gt;=Table1[[#This Row],[Low Tol]],"Pass","Fail")))</f>
        <v>Pass</v>
      </c>
      <c r="AG2110" s="1" t="str">
        <f>IF(AND(Table1[[#This Row],[Spec Type2]]="N/A",Table1[[#This Row],[DUT Adj Read]]="N/A",Table1[[#This Row],[Std Adj Read]]="N/A"),"N/A",IF(Table1[[#This Row],[DUT Adj Read]]="N/A",IF(Table1[[#This Row],[Std Adj Read]]&lt;=Table1[[#This Row],[High Tol]],"Pass","Fail"),IF(Table1[[#This Row],[DUT Adj Read]]&lt;=Table1[[#This Row],[High Tol]],"Pass","Fail")))</f>
        <v>Fail</v>
      </c>
      <c r="AH21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0" s="1" t="b">
        <v>0</v>
      </c>
      <c r="AN2110" s="1" t="b">
        <v>0</v>
      </c>
      <c r="AO2110" s="1" t="b">
        <v>0</v>
      </c>
    </row>
    <row r="2111" spans="1:41" x14ac:dyDescent="0.25">
      <c r="A2111" s="10"/>
      <c r="B2111" s="10"/>
      <c r="C2111" s="10"/>
      <c r="D2111" s="10"/>
      <c r="E2111" s="10"/>
      <c r="F2111" s="10"/>
      <c r="G2111" s="10"/>
      <c r="H2111" s="10"/>
      <c r="I2111" s="1" t="str">
        <f t="shared" si="96"/>
        <v/>
      </c>
      <c r="J2111" s="1" t="s">
        <v>35</v>
      </c>
      <c r="K2111" s="1" t="str">
        <f t="shared" si="97"/>
        <v/>
      </c>
      <c r="L2111" s="1" t="str">
        <f t="shared" si="98"/>
        <v/>
      </c>
      <c r="M2111" s="1">
        <f>IF(OR(Table1[[#This Row],[Std Nom]]="",Table1[[#This Row],[Std Read]]=""),0,Table1[[#This Row],[Std Nom]]-Table1[[#This Row],[Std Read]])</f>
        <v>0</v>
      </c>
      <c r="N2111" s="1">
        <f>IF(Calculations!$F$5="ACCREDITED 17025 WITH UNCERTAINTIES",$N$10,0)</f>
        <v>0</v>
      </c>
      <c r="O2111" s="1" t="str">
        <f>IFERROR(Table1[[#This Row],[Std Nom]]-(_xlfn.XLOOKUP(Table1[[#This Row],[Manufacturer]]&amp;" "&amp;Table1[[#This Row],[Model]],Table13[MFR &amp; MDL],Table13[Tolerance % CW ],"")/100*Table1[[#This Row],[Std Nom]]),"")</f>
        <v/>
      </c>
      <c r="P2111" s="1" t="str">
        <f>IFERROR(Table1[[#This Row],[Std Nom]]+(_xlfn.XLOOKUP(Table1[[#This Row],[Manufacturer]]&amp;" "&amp;Table1[[#This Row],[Model]],Table13[MFR &amp; MDL],Table13[Tolerance % CW ],"")/100*Table1[[#This Row],[Std Nom]]),"")</f>
        <v/>
      </c>
      <c r="Q2111" s="1" t="e">
        <f>Table1[[#This Row],[High Tol]]-Table1[[#This Row],[Low Tol]]</f>
        <v>#VALUE!</v>
      </c>
      <c r="R2111" s="1">
        <f>2*Table1[[#This Row],[Std Error]]</f>
        <v>0</v>
      </c>
      <c r="S2111" s="1" t="str">
        <f>IF(Table1[[#This Row],[High Tol]]="","N/A",IFERROR(ABS(Table1[[#This Row],[Tol Span]]/Table1[[#This Row],[Error Span]]),"N/A"))</f>
        <v>N/A</v>
      </c>
      <c r="T2111" s="1" t="str">
        <f>IF(OR(Table1[[#This Row],[Low Tol]]="",Table1[[#This Row],[High Tol]]=""),"Needs Analysis",IF(Table1[[#This Row],[Ratio]]&gt;=4,"Not Significant",IF(Table1[[#This Row],[Ratio]]&gt;=2,"Semi-Significant","Significant")))</f>
        <v>Needs Analysis</v>
      </c>
      <c r="W2111" s="1">
        <f>IF(Table1[[#This Row],[Cal Type]]&lt;&gt;"ACCREDITED 17025 WITH UNCERTAINTIES",0,"")</f>
        <v>0</v>
      </c>
      <c r="X2111" s="1" t="str">
        <f>IF(Table1[[#This Row],[DUT Read]]="","N/A",Table1[[#This Row],[Std Error]]+Table1[[#This Row],[DUT Read]]+Table1[[#This Row],[DUT Ucty]])</f>
        <v>N/A</v>
      </c>
      <c r="Y2111" s="1" t="str">
        <f>IF(Table1[[#This Row],[Std Read]]="","N/A",Table1[[#This Row],[Std Read]]+Table1[[#This Row],[Std Ucty]])</f>
        <v>N/A</v>
      </c>
      <c r="Z21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1" s="1" t="str">
        <f>IF(Table1[[#This Row],[Spec Type]]="","N/A",Table1[[#This Row],[Spec Type]])</f>
        <v>±</v>
      </c>
      <c r="AC2111" s="1" t="str">
        <f>IF(Table1[[#This Row],[Spec Type2]]="N/A","N/A",IF(AND(Table1[[#This Row],[DUT Adj Read]]&gt;=Table1[[#This Row],[Low Tol]],Table1[[#This Row],[DUT Adj Read]]&lt;=Table1[[#This Row],[High Tol]]),"Pass","Fail"))</f>
        <v>Fail</v>
      </c>
      <c r="AD2111" s="1" t="str">
        <f>IF(AND(Table1[[#This Row],[Spec Type2]]="N/A",Table1[[#This Row],[DUT Adj Read]]="N/A",Table1[[#This Row],[Std Adj Read]]="N/A"),"N/A",IF(Table1[[#This Row],[DUT Adj Read]]="N/A",IF(Table1[[#This Row],[Std Adj Read]]&gt;Table1[[#This Row],[Low Tol]],"Pass","Fail"),IF(Table1[[#This Row],[DUT Adj Read]]&gt;Table1[[#This Row],[Low Tol]],"Pass","Fail")))</f>
        <v>Pass</v>
      </c>
      <c r="AE2111" s="1" t="str">
        <f>IF(AND(Table1[[#This Row],[Spec Type2]]="N/A",Table1[[#This Row],[DUT Adj Read]]="N/A",Table1[[#This Row],[Std Adj Read]]="N/A"),"N/A",IF(Table1[[#This Row],[DUT Adj Read]]="N/A",IF(Table1[[#This Row],[Std Adj Read]]&lt;Table1[[#This Row],[High Tol]],"Pass","Fail"),IF(Table1[[#This Row],[DUT Adj Read]]&lt;Table1[[#This Row],[High Tol]],"Pass","Fail")))</f>
        <v>Fail</v>
      </c>
      <c r="AF2111" s="1" t="str">
        <f>IF(AND(Table1[[#This Row],[Spec Type2]]="N/A",Table1[[#This Row],[DUT Adj Read]]="N/A",Table1[[#This Row],[Std Adj Read]]="N/A"),"N/A",IF(Table1[[#This Row],[DUT Adj Read]]="N/A",IF(Table1[[#This Row],[Std Adj Read]]&gt;=Table1[[#This Row],[Low Tol]],"Pass","Fail"),IF(Table1[[#This Row],[DUT Adj Read]]&gt;=Table1[[#This Row],[Low Tol]],"Pass","Fail")))</f>
        <v>Pass</v>
      </c>
      <c r="AG2111" s="1" t="str">
        <f>IF(AND(Table1[[#This Row],[Spec Type2]]="N/A",Table1[[#This Row],[DUT Adj Read]]="N/A",Table1[[#This Row],[Std Adj Read]]="N/A"),"N/A",IF(Table1[[#This Row],[DUT Adj Read]]="N/A",IF(Table1[[#This Row],[Std Adj Read]]&lt;=Table1[[#This Row],[High Tol]],"Pass","Fail"),IF(Table1[[#This Row],[DUT Adj Read]]&lt;=Table1[[#This Row],[High Tol]],"Pass","Fail")))</f>
        <v>Fail</v>
      </c>
      <c r="AH21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1" s="1" t="b">
        <v>0</v>
      </c>
      <c r="AN2111" s="1" t="b">
        <v>0</v>
      </c>
      <c r="AO2111" s="1" t="b">
        <v>0</v>
      </c>
    </row>
    <row r="2112" spans="1:41" x14ac:dyDescent="0.25">
      <c r="A2112" s="10"/>
      <c r="B2112" s="10"/>
      <c r="C2112" s="10"/>
      <c r="D2112" s="10"/>
      <c r="E2112" s="10"/>
      <c r="F2112" s="10"/>
      <c r="G2112" s="10"/>
      <c r="H2112" s="10"/>
      <c r="I2112" s="1" t="str">
        <f t="shared" si="96"/>
        <v/>
      </c>
      <c r="J2112" s="1" t="s">
        <v>35</v>
      </c>
      <c r="K2112" s="1" t="str">
        <f t="shared" si="97"/>
        <v/>
      </c>
      <c r="L2112" s="1" t="str">
        <f t="shared" si="98"/>
        <v/>
      </c>
      <c r="M2112" s="1">
        <f>IF(OR(Table1[[#This Row],[Std Nom]]="",Table1[[#This Row],[Std Read]]=""),0,Table1[[#This Row],[Std Nom]]-Table1[[#This Row],[Std Read]])</f>
        <v>0</v>
      </c>
      <c r="N2112" s="1">
        <f>IF(Calculations!$F$5="ACCREDITED 17025 WITH UNCERTAINTIES",$N$10,0)</f>
        <v>0</v>
      </c>
      <c r="O2112" s="1" t="str">
        <f>IFERROR(Table1[[#This Row],[Std Nom]]-(_xlfn.XLOOKUP(Table1[[#This Row],[Manufacturer]]&amp;" "&amp;Table1[[#This Row],[Model]],Table13[MFR &amp; MDL],Table13[Tolerance % CW ],"")/100*Table1[[#This Row],[Std Nom]]),"")</f>
        <v/>
      </c>
      <c r="P2112" s="1" t="str">
        <f>IFERROR(Table1[[#This Row],[Std Nom]]+(_xlfn.XLOOKUP(Table1[[#This Row],[Manufacturer]]&amp;" "&amp;Table1[[#This Row],[Model]],Table13[MFR &amp; MDL],Table13[Tolerance % CW ],"")/100*Table1[[#This Row],[Std Nom]]),"")</f>
        <v/>
      </c>
      <c r="Q2112" s="1" t="e">
        <f>Table1[[#This Row],[High Tol]]-Table1[[#This Row],[Low Tol]]</f>
        <v>#VALUE!</v>
      </c>
      <c r="R2112" s="1">
        <f>2*Table1[[#This Row],[Std Error]]</f>
        <v>0</v>
      </c>
      <c r="S2112" s="1" t="str">
        <f>IF(Table1[[#This Row],[High Tol]]="","N/A",IFERROR(ABS(Table1[[#This Row],[Tol Span]]/Table1[[#This Row],[Error Span]]),"N/A"))</f>
        <v>N/A</v>
      </c>
      <c r="T2112" s="1" t="str">
        <f>IF(OR(Table1[[#This Row],[Low Tol]]="",Table1[[#This Row],[High Tol]]=""),"Needs Analysis",IF(Table1[[#This Row],[Ratio]]&gt;=4,"Not Significant",IF(Table1[[#This Row],[Ratio]]&gt;=2,"Semi-Significant","Significant")))</f>
        <v>Needs Analysis</v>
      </c>
      <c r="W2112" s="1">
        <f>IF(Table1[[#This Row],[Cal Type]]&lt;&gt;"ACCREDITED 17025 WITH UNCERTAINTIES",0,"")</f>
        <v>0</v>
      </c>
      <c r="X2112" s="1" t="str">
        <f>IF(Table1[[#This Row],[DUT Read]]="","N/A",Table1[[#This Row],[Std Error]]+Table1[[#This Row],[DUT Read]]+Table1[[#This Row],[DUT Ucty]])</f>
        <v>N/A</v>
      </c>
      <c r="Y2112" s="1" t="str">
        <f>IF(Table1[[#This Row],[Std Read]]="","N/A",Table1[[#This Row],[Std Read]]+Table1[[#This Row],[Std Ucty]])</f>
        <v>N/A</v>
      </c>
      <c r="Z21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2" s="1" t="str">
        <f>IF(Table1[[#This Row],[Spec Type]]="","N/A",Table1[[#This Row],[Spec Type]])</f>
        <v>±</v>
      </c>
      <c r="AC2112" s="1" t="str">
        <f>IF(Table1[[#This Row],[Spec Type2]]="N/A","N/A",IF(AND(Table1[[#This Row],[DUT Adj Read]]&gt;=Table1[[#This Row],[Low Tol]],Table1[[#This Row],[DUT Adj Read]]&lt;=Table1[[#This Row],[High Tol]]),"Pass","Fail"))</f>
        <v>Fail</v>
      </c>
      <c r="AD2112" s="1" t="str">
        <f>IF(AND(Table1[[#This Row],[Spec Type2]]="N/A",Table1[[#This Row],[DUT Adj Read]]="N/A",Table1[[#This Row],[Std Adj Read]]="N/A"),"N/A",IF(Table1[[#This Row],[DUT Adj Read]]="N/A",IF(Table1[[#This Row],[Std Adj Read]]&gt;Table1[[#This Row],[Low Tol]],"Pass","Fail"),IF(Table1[[#This Row],[DUT Adj Read]]&gt;Table1[[#This Row],[Low Tol]],"Pass","Fail")))</f>
        <v>Pass</v>
      </c>
      <c r="AE2112" s="1" t="str">
        <f>IF(AND(Table1[[#This Row],[Spec Type2]]="N/A",Table1[[#This Row],[DUT Adj Read]]="N/A",Table1[[#This Row],[Std Adj Read]]="N/A"),"N/A",IF(Table1[[#This Row],[DUT Adj Read]]="N/A",IF(Table1[[#This Row],[Std Adj Read]]&lt;Table1[[#This Row],[High Tol]],"Pass","Fail"),IF(Table1[[#This Row],[DUT Adj Read]]&lt;Table1[[#This Row],[High Tol]],"Pass","Fail")))</f>
        <v>Fail</v>
      </c>
      <c r="AF2112" s="1" t="str">
        <f>IF(AND(Table1[[#This Row],[Spec Type2]]="N/A",Table1[[#This Row],[DUT Adj Read]]="N/A",Table1[[#This Row],[Std Adj Read]]="N/A"),"N/A",IF(Table1[[#This Row],[DUT Adj Read]]="N/A",IF(Table1[[#This Row],[Std Adj Read]]&gt;=Table1[[#This Row],[Low Tol]],"Pass","Fail"),IF(Table1[[#This Row],[DUT Adj Read]]&gt;=Table1[[#This Row],[Low Tol]],"Pass","Fail")))</f>
        <v>Pass</v>
      </c>
      <c r="AG2112" s="1" t="str">
        <f>IF(AND(Table1[[#This Row],[Spec Type2]]="N/A",Table1[[#This Row],[DUT Adj Read]]="N/A",Table1[[#This Row],[Std Adj Read]]="N/A"),"N/A",IF(Table1[[#This Row],[DUT Adj Read]]="N/A",IF(Table1[[#This Row],[Std Adj Read]]&lt;=Table1[[#This Row],[High Tol]],"Pass","Fail"),IF(Table1[[#This Row],[DUT Adj Read]]&lt;=Table1[[#This Row],[High Tol]],"Pass","Fail")))</f>
        <v>Fail</v>
      </c>
      <c r="AH21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2" s="1" t="b">
        <v>0</v>
      </c>
      <c r="AN2112" s="1" t="b">
        <v>0</v>
      </c>
      <c r="AO2112" s="1" t="b">
        <v>0</v>
      </c>
    </row>
    <row r="2113" spans="1:41" x14ac:dyDescent="0.25">
      <c r="A2113" s="10"/>
      <c r="B2113" s="10"/>
      <c r="C2113" s="10"/>
      <c r="D2113" s="10"/>
      <c r="E2113" s="10"/>
      <c r="F2113" s="10"/>
      <c r="G2113" s="10"/>
      <c r="H2113" s="10"/>
      <c r="I2113" s="1" t="str">
        <f t="shared" si="96"/>
        <v/>
      </c>
      <c r="J2113" s="1" t="s">
        <v>35</v>
      </c>
      <c r="K2113" s="1" t="str">
        <f t="shared" si="97"/>
        <v/>
      </c>
      <c r="L2113" s="1" t="str">
        <f t="shared" si="98"/>
        <v/>
      </c>
      <c r="M2113" s="1">
        <f>IF(OR(Table1[[#This Row],[Std Nom]]="",Table1[[#This Row],[Std Read]]=""),0,Table1[[#This Row],[Std Nom]]-Table1[[#This Row],[Std Read]])</f>
        <v>0</v>
      </c>
      <c r="N2113" s="1">
        <f>IF(Calculations!$F$5="ACCREDITED 17025 WITH UNCERTAINTIES",$N$10,0)</f>
        <v>0</v>
      </c>
      <c r="O2113" s="1" t="str">
        <f>IFERROR(Table1[[#This Row],[Std Nom]]-(_xlfn.XLOOKUP(Table1[[#This Row],[Manufacturer]]&amp;" "&amp;Table1[[#This Row],[Model]],Table13[MFR &amp; MDL],Table13[Tolerance % CW ],"")/100*Table1[[#This Row],[Std Nom]]),"")</f>
        <v/>
      </c>
      <c r="P2113" s="1" t="str">
        <f>IFERROR(Table1[[#This Row],[Std Nom]]+(_xlfn.XLOOKUP(Table1[[#This Row],[Manufacturer]]&amp;" "&amp;Table1[[#This Row],[Model]],Table13[MFR &amp; MDL],Table13[Tolerance % CW ],"")/100*Table1[[#This Row],[Std Nom]]),"")</f>
        <v/>
      </c>
      <c r="Q2113" s="1" t="e">
        <f>Table1[[#This Row],[High Tol]]-Table1[[#This Row],[Low Tol]]</f>
        <v>#VALUE!</v>
      </c>
      <c r="R2113" s="1">
        <f>2*Table1[[#This Row],[Std Error]]</f>
        <v>0</v>
      </c>
      <c r="S2113" s="1" t="str">
        <f>IF(Table1[[#This Row],[High Tol]]="","N/A",IFERROR(ABS(Table1[[#This Row],[Tol Span]]/Table1[[#This Row],[Error Span]]),"N/A"))</f>
        <v>N/A</v>
      </c>
      <c r="T2113" s="1" t="str">
        <f>IF(OR(Table1[[#This Row],[Low Tol]]="",Table1[[#This Row],[High Tol]]=""),"Needs Analysis",IF(Table1[[#This Row],[Ratio]]&gt;=4,"Not Significant",IF(Table1[[#This Row],[Ratio]]&gt;=2,"Semi-Significant","Significant")))</f>
        <v>Needs Analysis</v>
      </c>
      <c r="W2113" s="1">
        <f>IF(Table1[[#This Row],[Cal Type]]&lt;&gt;"ACCREDITED 17025 WITH UNCERTAINTIES",0,"")</f>
        <v>0</v>
      </c>
      <c r="X2113" s="1" t="str">
        <f>IF(Table1[[#This Row],[DUT Read]]="","N/A",Table1[[#This Row],[Std Error]]+Table1[[#This Row],[DUT Read]]+Table1[[#This Row],[DUT Ucty]])</f>
        <v>N/A</v>
      </c>
      <c r="Y2113" s="1" t="str">
        <f>IF(Table1[[#This Row],[Std Read]]="","N/A",Table1[[#This Row],[Std Read]]+Table1[[#This Row],[Std Ucty]])</f>
        <v>N/A</v>
      </c>
      <c r="Z21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3" s="1" t="str">
        <f>IF(Table1[[#This Row],[Spec Type]]="","N/A",Table1[[#This Row],[Spec Type]])</f>
        <v>±</v>
      </c>
      <c r="AC2113" s="1" t="str">
        <f>IF(Table1[[#This Row],[Spec Type2]]="N/A","N/A",IF(AND(Table1[[#This Row],[DUT Adj Read]]&gt;=Table1[[#This Row],[Low Tol]],Table1[[#This Row],[DUT Adj Read]]&lt;=Table1[[#This Row],[High Tol]]),"Pass","Fail"))</f>
        <v>Fail</v>
      </c>
      <c r="AD2113" s="1" t="str">
        <f>IF(AND(Table1[[#This Row],[Spec Type2]]="N/A",Table1[[#This Row],[DUT Adj Read]]="N/A",Table1[[#This Row],[Std Adj Read]]="N/A"),"N/A",IF(Table1[[#This Row],[DUT Adj Read]]="N/A",IF(Table1[[#This Row],[Std Adj Read]]&gt;Table1[[#This Row],[Low Tol]],"Pass","Fail"),IF(Table1[[#This Row],[DUT Adj Read]]&gt;Table1[[#This Row],[Low Tol]],"Pass","Fail")))</f>
        <v>Pass</v>
      </c>
      <c r="AE2113" s="1" t="str">
        <f>IF(AND(Table1[[#This Row],[Spec Type2]]="N/A",Table1[[#This Row],[DUT Adj Read]]="N/A",Table1[[#This Row],[Std Adj Read]]="N/A"),"N/A",IF(Table1[[#This Row],[DUT Adj Read]]="N/A",IF(Table1[[#This Row],[Std Adj Read]]&lt;Table1[[#This Row],[High Tol]],"Pass","Fail"),IF(Table1[[#This Row],[DUT Adj Read]]&lt;Table1[[#This Row],[High Tol]],"Pass","Fail")))</f>
        <v>Fail</v>
      </c>
      <c r="AF2113" s="1" t="str">
        <f>IF(AND(Table1[[#This Row],[Spec Type2]]="N/A",Table1[[#This Row],[DUT Adj Read]]="N/A",Table1[[#This Row],[Std Adj Read]]="N/A"),"N/A",IF(Table1[[#This Row],[DUT Adj Read]]="N/A",IF(Table1[[#This Row],[Std Adj Read]]&gt;=Table1[[#This Row],[Low Tol]],"Pass","Fail"),IF(Table1[[#This Row],[DUT Adj Read]]&gt;=Table1[[#This Row],[Low Tol]],"Pass","Fail")))</f>
        <v>Pass</v>
      </c>
      <c r="AG2113" s="1" t="str">
        <f>IF(AND(Table1[[#This Row],[Spec Type2]]="N/A",Table1[[#This Row],[DUT Adj Read]]="N/A",Table1[[#This Row],[Std Adj Read]]="N/A"),"N/A",IF(Table1[[#This Row],[DUT Adj Read]]="N/A",IF(Table1[[#This Row],[Std Adj Read]]&lt;=Table1[[#This Row],[High Tol]],"Pass","Fail"),IF(Table1[[#This Row],[DUT Adj Read]]&lt;=Table1[[#This Row],[High Tol]],"Pass","Fail")))</f>
        <v>Fail</v>
      </c>
      <c r="AH21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3" s="1" t="b">
        <v>0</v>
      </c>
      <c r="AN2113" s="1" t="b">
        <v>0</v>
      </c>
      <c r="AO2113" s="1" t="b">
        <v>0</v>
      </c>
    </row>
    <row r="2114" spans="1:41" x14ac:dyDescent="0.25">
      <c r="A2114" s="10"/>
      <c r="B2114" s="10"/>
      <c r="C2114" s="10"/>
      <c r="D2114" s="10"/>
      <c r="E2114" s="10"/>
      <c r="F2114" s="10"/>
      <c r="G2114" s="10"/>
      <c r="H2114" s="10"/>
      <c r="I2114" s="1" t="str">
        <f t="shared" si="96"/>
        <v/>
      </c>
      <c r="J2114" s="1" t="s">
        <v>35</v>
      </c>
      <c r="K2114" s="1" t="str">
        <f t="shared" si="97"/>
        <v/>
      </c>
      <c r="L2114" s="1" t="str">
        <f t="shared" si="98"/>
        <v/>
      </c>
      <c r="M2114" s="1">
        <f>IF(OR(Table1[[#This Row],[Std Nom]]="",Table1[[#This Row],[Std Read]]=""),0,Table1[[#This Row],[Std Nom]]-Table1[[#This Row],[Std Read]])</f>
        <v>0</v>
      </c>
      <c r="N2114" s="1">
        <f>IF(Calculations!$F$5="ACCREDITED 17025 WITH UNCERTAINTIES",$N$10,0)</f>
        <v>0</v>
      </c>
      <c r="O2114" s="1" t="str">
        <f>IFERROR(Table1[[#This Row],[Std Nom]]-(_xlfn.XLOOKUP(Table1[[#This Row],[Manufacturer]]&amp;" "&amp;Table1[[#This Row],[Model]],Table13[MFR &amp; MDL],Table13[Tolerance % CW ],"")/100*Table1[[#This Row],[Std Nom]]),"")</f>
        <v/>
      </c>
      <c r="P2114" s="1" t="str">
        <f>IFERROR(Table1[[#This Row],[Std Nom]]+(_xlfn.XLOOKUP(Table1[[#This Row],[Manufacturer]]&amp;" "&amp;Table1[[#This Row],[Model]],Table13[MFR &amp; MDL],Table13[Tolerance % CW ],"")/100*Table1[[#This Row],[Std Nom]]),"")</f>
        <v/>
      </c>
      <c r="Q2114" s="1" t="e">
        <f>Table1[[#This Row],[High Tol]]-Table1[[#This Row],[Low Tol]]</f>
        <v>#VALUE!</v>
      </c>
      <c r="R2114" s="1">
        <f>2*Table1[[#This Row],[Std Error]]</f>
        <v>0</v>
      </c>
      <c r="S2114" s="1" t="str">
        <f>IF(Table1[[#This Row],[High Tol]]="","N/A",IFERROR(ABS(Table1[[#This Row],[Tol Span]]/Table1[[#This Row],[Error Span]]),"N/A"))</f>
        <v>N/A</v>
      </c>
      <c r="T2114" s="1" t="str">
        <f>IF(OR(Table1[[#This Row],[Low Tol]]="",Table1[[#This Row],[High Tol]]=""),"Needs Analysis",IF(Table1[[#This Row],[Ratio]]&gt;=4,"Not Significant",IF(Table1[[#This Row],[Ratio]]&gt;=2,"Semi-Significant","Significant")))</f>
        <v>Needs Analysis</v>
      </c>
      <c r="W2114" s="1">
        <f>IF(Table1[[#This Row],[Cal Type]]&lt;&gt;"ACCREDITED 17025 WITH UNCERTAINTIES",0,"")</f>
        <v>0</v>
      </c>
      <c r="X2114" s="1" t="str">
        <f>IF(Table1[[#This Row],[DUT Read]]="","N/A",Table1[[#This Row],[Std Error]]+Table1[[#This Row],[DUT Read]]+Table1[[#This Row],[DUT Ucty]])</f>
        <v>N/A</v>
      </c>
      <c r="Y2114" s="1" t="str">
        <f>IF(Table1[[#This Row],[Std Read]]="","N/A",Table1[[#This Row],[Std Read]]+Table1[[#This Row],[Std Ucty]])</f>
        <v>N/A</v>
      </c>
      <c r="Z21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4" s="1" t="str">
        <f>IF(Table1[[#This Row],[Spec Type]]="","N/A",Table1[[#This Row],[Spec Type]])</f>
        <v>±</v>
      </c>
      <c r="AC2114" s="1" t="str">
        <f>IF(Table1[[#This Row],[Spec Type2]]="N/A","N/A",IF(AND(Table1[[#This Row],[DUT Adj Read]]&gt;=Table1[[#This Row],[Low Tol]],Table1[[#This Row],[DUT Adj Read]]&lt;=Table1[[#This Row],[High Tol]]),"Pass","Fail"))</f>
        <v>Fail</v>
      </c>
      <c r="AD2114" s="1" t="str">
        <f>IF(AND(Table1[[#This Row],[Spec Type2]]="N/A",Table1[[#This Row],[DUT Adj Read]]="N/A",Table1[[#This Row],[Std Adj Read]]="N/A"),"N/A",IF(Table1[[#This Row],[DUT Adj Read]]="N/A",IF(Table1[[#This Row],[Std Adj Read]]&gt;Table1[[#This Row],[Low Tol]],"Pass","Fail"),IF(Table1[[#This Row],[DUT Adj Read]]&gt;Table1[[#This Row],[Low Tol]],"Pass","Fail")))</f>
        <v>Pass</v>
      </c>
      <c r="AE2114" s="1" t="str">
        <f>IF(AND(Table1[[#This Row],[Spec Type2]]="N/A",Table1[[#This Row],[DUT Adj Read]]="N/A",Table1[[#This Row],[Std Adj Read]]="N/A"),"N/A",IF(Table1[[#This Row],[DUT Adj Read]]="N/A",IF(Table1[[#This Row],[Std Adj Read]]&lt;Table1[[#This Row],[High Tol]],"Pass","Fail"),IF(Table1[[#This Row],[DUT Adj Read]]&lt;Table1[[#This Row],[High Tol]],"Pass","Fail")))</f>
        <v>Fail</v>
      </c>
      <c r="AF2114" s="1" t="str">
        <f>IF(AND(Table1[[#This Row],[Spec Type2]]="N/A",Table1[[#This Row],[DUT Adj Read]]="N/A",Table1[[#This Row],[Std Adj Read]]="N/A"),"N/A",IF(Table1[[#This Row],[DUT Adj Read]]="N/A",IF(Table1[[#This Row],[Std Adj Read]]&gt;=Table1[[#This Row],[Low Tol]],"Pass","Fail"),IF(Table1[[#This Row],[DUT Adj Read]]&gt;=Table1[[#This Row],[Low Tol]],"Pass","Fail")))</f>
        <v>Pass</v>
      </c>
      <c r="AG2114" s="1" t="str">
        <f>IF(AND(Table1[[#This Row],[Spec Type2]]="N/A",Table1[[#This Row],[DUT Adj Read]]="N/A",Table1[[#This Row],[Std Adj Read]]="N/A"),"N/A",IF(Table1[[#This Row],[DUT Adj Read]]="N/A",IF(Table1[[#This Row],[Std Adj Read]]&lt;=Table1[[#This Row],[High Tol]],"Pass","Fail"),IF(Table1[[#This Row],[DUT Adj Read]]&lt;=Table1[[#This Row],[High Tol]],"Pass","Fail")))</f>
        <v>Fail</v>
      </c>
      <c r="AH21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4" s="1" t="b">
        <v>0</v>
      </c>
      <c r="AN2114" s="1" t="b">
        <v>0</v>
      </c>
      <c r="AO2114" s="1" t="b">
        <v>0</v>
      </c>
    </row>
    <row r="2115" spans="1:41" x14ac:dyDescent="0.25">
      <c r="A2115" s="10"/>
      <c r="B2115" s="10"/>
      <c r="C2115" s="10"/>
      <c r="D2115" s="10"/>
      <c r="E2115" s="10"/>
      <c r="F2115" s="10"/>
      <c r="G2115" s="10"/>
      <c r="H2115" s="10"/>
      <c r="I2115" s="1" t="str">
        <f t="shared" si="96"/>
        <v/>
      </c>
      <c r="J2115" s="1" t="s">
        <v>35</v>
      </c>
      <c r="K2115" s="1" t="str">
        <f t="shared" si="97"/>
        <v/>
      </c>
      <c r="L2115" s="1" t="str">
        <f t="shared" si="98"/>
        <v/>
      </c>
      <c r="M2115" s="1">
        <f>IF(OR(Table1[[#This Row],[Std Nom]]="",Table1[[#This Row],[Std Read]]=""),0,Table1[[#This Row],[Std Nom]]-Table1[[#This Row],[Std Read]])</f>
        <v>0</v>
      </c>
      <c r="N2115" s="1">
        <f>IF(Calculations!$F$5="ACCREDITED 17025 WITH UNCERTAINTIES",$N$10,0)</f>
        <v>0</v>
      </c>
      <c r="O2115" s="1" t="str">
        <f>IFERROR(Table1[[#This Row],[Std Nom]]-(_xlfn.XLOOKUP(Table1[[#This Row],[Manufacturer]]&amp;" "&amp;Table1[[#This Row],[Model]],Table13[MFR &amp; MDL],Table13[Tolerance % CW ],"")/100*Table1[[#This Row],[Std Nom]]),"")</f>
        <v/>
      </c>
      <c r="P2115" s="1" t="str">
        <f>IFERROR(Table1[[#This Row],[Std Nom]]+(_xlfn.XLOOKUP(Table1[[#This Row],[Manufacturer]]&amp;" "&amp;Table1[[#This Row],[Model]],Table13[MFR &amp; MDL],Table13[Tolerance % CW ],"")/100*Table1[[#This Row],[Std Nom]]),"")</f>
        <v/>
      </c>
      <c r="Q2115" s="1" t="e">
        <f>Table1[[#This Row],[High Tol]]-Table1[[#This Row],[Low Tol]]</f>
        <v>#VALUE!</v>
      </c>
      <c r="R2115" s="1">
        <f>2*Table1[[#This Row],[Std Error]]</f>
        <v>0</v>
      </c>
      <c r="S2115" s="1" t="str">
        <f>IF(Table1[[#This Row],[High Tol]]="","N/A",IFERROR(ABS(Table1[[#This Row],[Tol Span]]/Table1[[#This Row],[Error Span]]),"N/A"))</f>
        <v>N/A</v>
      </c>
      <c r="T2115" s="1" t="str">
        <f>IF(OR(Table1[[#This Row],[Low Tol]]="",Table1[[#This Row],[High Tol]]=""),"Needs Analysis",IF(Table1[[#This Row],[Ratio]]&gt;=4,"Not Significant",IF(Table1[[#This Row],[Ratio]]&gt;=2,"Semi-Significant","Significant")))</f>
        <v>Needs Analysis</v>
      </c>
      <c r="W2115" s="1">
        <f>IF(Table1[[#This Row],[Cal Type]]&lt;&gt;"ACCREDITED 17025 WITH UNCERTAINTIES",0,"")</f>
        <v>0</v>
      </c>
      <c r="X2115" s="1" t="str">
        <f>IF(Table1[[#This Row],[DUT Read]]="","N/A",Table1[[#This Row],[Std Error]]+Table1[[#This Row],[DUT Read]]+Table1[[#This Row],[DUT Ucty]])</f>
        <v>N/A</v>
      </c>
      <c r="Y2115" s="1" t="str">
        <f>IF(Table1[[#This Row],[Std Read]]="","N/A",Table1[[#This Row],[Std Read]]+Table1[[#This Row],[Std Ucty]])</f>
        <v>N/A</v>
      </c>
      <c r="Z21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5" s="1" t="str">
        <f>IF(Table1[[#This Row],[Spec Type]]="","N/A",Table1[[#This Row],[Spec Type]])</f>
        <v>±</v>
      </c>
      <c r="AC2115" s="1" t="str">
        <f>IF(Table1[[#This Row],[Spec Type2]]="N/A","N/A",IF(AND(Table1[[#This Row],[DUT Adj Read]]&gt;=Table1[[#This Row],[Low Tol]],Table1[[#This Row],[DUT Adj Read]]&lt;=Table1[[#This Row],[High Tol]]),"Pass","Fail"))</f>
        <v>Fail</v>
      </c>
      <c r="AD2115" s="1" t="str">
        <f>IF(AND(Table1[[#This Row],[Spec Type2]]="N/A",Table1[[#This Row],[DUT Adj Read]]="N/A",Table1[[#This Row],[Std Adj Read]]="N/A"),"N/A",IF(Table1[[#This Row],[DUT Adj Read]]="N/A",IF(Table1[[#This Row],[Std Adj Read]]&gt;Table1[[#This Row],[Low Tol]],"Pass","Fail"),IF(Table1[[#This Row],[DUT Adj Read]]&gt;Table1[[#This Row],[Low Tol]],"Pass","Fail")))</f>
        <v>Pass</v>
      </c>
      <c r="AE2115" s="1" t="str">
        <f>IF(AND(Table1[[#This Row],[Spec Type2]]="N/A",Table1[[#This Row],[DUT Adj Read]]="N/A",Table1[[#This Row],[Std Adj Read]]="N/A"),"N/A",IF(Table1[[#This Row],[DUT Adj Read]]="N/A",IF(Table1[[#This Row],[Std Adj Read]]&lt;Table1[[#This Row],[High Tol]],"Pass","Fail"),IF(Table1[[#This Row],[DUT Adj Read]]&lt;Table1[[#This Row],[High Tol]],"Pass","Fail")))</f>
        <v>Fail</v>
      </c>
      <c r="AF2115" s="1" t="str">
        <f>IF(AND(Table1[[#This Row],[Spec Type2]]="N/A",Table1[[#This Row],[DUT Adj Read]]="N/A",Table1[[#This Row],[Std Adj Read]]="N/A"),"N/A",IF(Table1[[#This Row],[DUT Adj Read]]="N/A",IF(Table1[[#This Row],[Std Adj Read]]&gt;=Table1[[#This Row],[Low Tol]],"Pass","Fail"),IF(Table1[[#This Row],[DUT Adj Read]]&gt;=Table1[[#This Row],[Low Tol]],"Pass","Fail")))</f>
        <v>Pass</v>
      </c>
      <c r="AG2115" s="1" t="str">
        <f>IF(AND(Table1[[#This Row],[Spec Type2]]="N/A",Table1[[#This Row],[DUT Adj Read]]="N/A",Table1[[#This Row],[Std Adj Read]]="N/A"),"N/A",IF(Table1[[#This Row],[DUT Adj Read]]="N/A",IF(Table1[[#This Row],[Std Adj Read]]&lt;=Table1[[#This Row],[High Tol]],"Pass","Fail"),IF(Table1[[#This Row],[DUT Adj Read]]&lt;=Table1[[#This Row],[High Tol]],"Pass","Fail")))</f>
        <v>Fail</v>
      </c>
      <c r="AH21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5" s="1" t="b">
        <v>0</v>
      </c>
      <c r="AN2115" s="1" t="b">
        <v>0</v>
      </c>
      <c r="AO2115" s="1" t="b">
        <v>0</v>
      </c>
    </row>
    <row r="2116" spans="1:41" x14ac:dyDescent="0.25">
      <c r="A2116" s="10"/>
      <c r="B2116" s="10"/>
      <c r="C2116" s="10"/>
      <c r="D2116" s="10"/>
      <c r="E2116" s="10"/>
      <c r="F2116" s="10"/>
      <c r="G2116" s="10"/>
      <c r="H2116" s="10"/>
      <c r="I2116" s="1" t="str">
        <f t="shared" si="96"/>
        <v/>
      </c>
      <c r="J2116" s="1" t="s">
        <v>35</v>
      </c>
      <c r="K2116" s="1" t="str">
        <f t="shared" si="97"/>
        <v/>
      </c>
      <c r="L2116" s="1" t="str">
        <f t="shared" si="98"/>
        <v/>
      </c>
      <c r="M2116" s="1">
        <f>IF(OR(Table1[[#This Row],[Std Nom]]="",Table1[[#This Row],[Std Read]]=""),0,Table1[[#This Row],[Std Nom]]-Table1[[#This Row],[Std Read]])</f>
        <v>0</v>
      </c>
      <c r="N2116" s="1">
        <f>IF(Calculations!$F$5="ACCREDITED 17025 WITH UNCERTAINTIES",$N$10,0)</f>
        <v>0</v>
      </c>
      <c r="O2116" s="1" t="str">
        <f>IFERROR(Table1[[#This Row],[Std Nom]]-(_xlfn.XLOOKUP(Table1[[#This Row],[Manufacturer]]&amp;" "&amp;Table1[[#This Row],[Model]],Table13[MFR &amp; MDL],Table13[Tolerance % CW ],"")/100*Table1[[#This Row],[Std Nom]]),"")</f>
        <v/>
      </c>
      <c r="P2116" s="1" t="str">
        <f>IFERROR(Table1[[#This Row],[Std Nom]]+(_xlfn.XLOOKUP(Table1[[#This Row],[Manufacturer]]&amp;" "&amp;Table1[[#This Row],[Model]],Table13[MFR &amp; MDL],Table13[Tolerance % CW ],"")/100*Table1[[#This Row],[Std Nom]]),"")</f>
        <v/>
      </c>
      <c r="Q2116" s="1" t="e">
        <f>Table1[[#This Row],[High Tol]]-Table1[[#This Row],[Low Tol]]</f>
        <v>#VALUE!</v>
      </c>
      <c r="R2116" s="1">
        <f>2*Table1[[#This Row],[Std Error]]</f>
        <v>0</v>
      </c>
      <c r="S2116" s="1" t="str">
        <f>IF(Table1[[#This Row],[High Tol]]="","N/A",IFERROR(ABS(Table1[[#This Row],[Tol Span]]/Table1[[#This Row],[Error Span]]),"N/A"))</f>
        <v>N/A</v>
      </c>
      <c r="T2116" s="1" t="str">
        <f>IF(OR(Table1[[#This Row],[Low Tol]]="",Table1[[#This Row],[High Tol]]=""),"Needs Analysis",IF(Table1[[#This Row],[Ratio]]&gt;=4,"Not Significant",IF(Table1[[#This Row],[Ratio]]&gt;=2,"Semi-Significant","Significant")))</f>
        <v>Needs Analysis</v>
      </c>
      <c r="W2116" s="1">
        <f>IF(Table1[[#This Row],[Cal Type]]&lt;&gt;"ACCREDITED 17025 WITH UNCERTAINTIES",0,"")</f>
        <v>0</v>
      </c>
      <c r="X2116" s="1" t="str">
        <f>IF(Table1[[#This Row],[DUT Read]]="","N/A",Table1[[#This Row],[Std Error]]+Table1[[#This Row],[DUT Read]]+Table1[[#This Row],[DUT Ucty]])</f>
        <v>N/A</v>
      </c>
      <c r="Y2116" s="1" t="str">
        <f>IF(Table1[[#This Row],[Std Read]]="","N/A",Table1[[#This Row],[Std Read]]+Table1[[#This Row],[Std Ucty]])</f>
        <v>N/A</v>
      </c>
      <c r="Z21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6" s="1" t="str">
        <f>IF(Table1[[#This Row],[Spec Type]]="","N/A",Table1[[#This Row],[Spec Type]])</f>
        <v>±</v>
      </c>
      <c r="AC2116" s="1" t="str">
        <f>IF(Table1[[#This Row],[Spec Type2]]="N/A","N/A",IF(AND(Table1[[#This Row],[DUT Adj Read]]&gt;=Table1[[#This Row],[Low Tol]],Table1[[#This Row],[DUT Adj Read]]&lt;=Table1[[#This Row],[High Tol]]),"Pass","Fail"))</f>
        <v>Fail</v>
      </c>
      <c r="AD2116" s="1" t="str">
        <f>IF(AND(Table1[[#This Row],[Spec Type2]]="N/A",Table1[[#This Row],[DUT Adj Read]]="N/A",Table1[[#This Row],[Std Adj Read]]="N/A"),"N/A",IF(Table1[[#This Row],[DUT Adj Read]]="N/A",IF(Table1[[#This Row],[Std Adj Read]]&gt;Table1[[#This Row],[Low Tol]],"Pass","Fail"),IF(Table1[[#This Row],[DUT Adj Read]]&gt;Table1[[#This Row],[Low Tol]],"Pass","Fail")))</f>
        <v>Pass</v>
      </c>
      <c r="AE2116" s="1" t="str">
        <f>IF(AND(Table1[[#This Row],[Spec Type2]]="N/A",Table1[[#This Row],[DUT Adj Read]]="N/A",Table1[[#This Row],[Std Adj Read]]="N/A"),"N/A",IF(Table1[[#This Row],[DUT Adj Read]]="N/A",IF(Table1[[#This Row],[Std Adj Read]]&lt;Table1[[#This Row],[High Tol]],"Pass","Fail"),IF(Table1[[#This Row],[DUT Adj Read]]&lt;Table1[[#This Row],[High Tol]],"Pass","Fail")))</f>
        <v>Fail</v>
      </c>
      <c r="AF2116" s="1" t="str">
        <f>IF(AND(Table1[[#This Row],[Spec Type2]]="N/A",Table1[[#This Row],[DUT Adj Read]]="N/A",Table1[[#This Row],[Std Adj Read]]="N/A"),"N/A",IF(Table1[[#This Row],[DUT Adj Read]]="N/A",IF(Table1[[#This Row],[Std Adj Read]]&gt;=Table1[[#This Row],[Low Tol]],"Pass","Fail"),IF(Table1[[#This Row],[DUT Adj Read]]&gt;=Table1[[#This Row],[Low Tol]],"Pass","Fail")))</f>
        <v>Pass</v>
      </c>
      <c r="AG2116" s="1" t="str">
        <f>IF(AND(Table1[[#This Row],[Spec Type2]]="N/A",Table1[[#This Row],[DUT Adj Read]]="N/A",Table1[[#This Row],[Std Adj Read]]="N/A"),"N/A",IF(Table1[[#This Row],[DUT Adj Read]]="N/A",IF(Table1[[#This Row],[Std Adj Read]]&lt;=Table1[[#This Row],[High Tol]],"Pass","Fail"),IF(Table1[[#This Row],[DUT Adj Read]]&lt;=Table1[[#This Row],[High Tol]],"Pass","Fail")))</f>
        <v>Fail</v>
      </c>
      <c r="AH21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6" s="1" t="b">
        <v>0</v>
      </c>
      <c r="AN2116" s="1" t="b">
        <v>0</v>
      </c>
      <c r="AO2116" s="1" t="b">
        <v>0</v>
      </c>
    </row>
    <row r="2117" spans="1:41" x14ac:dyDescent="0.25">
      <c r="A2117" s="10"/>
      <c r="B2117" s="10"/>
      <c r="C2117" s="10"/>
      <c r="D2117" s="10"/>
      <c r="E2117" s="10"/>
      <c r="F2117" s="10"/>
      <c r="G2117" s="10"/>
      <c r="H2117" s="10"/>
      <c r="I2117" s="1" t="str">
        <f t="shared" si="96"/>
        <v/>
      </c>
      <c r="J2117" s="1" t="s">
        <v>35</v>
      </c>
      <c r="K2117" s="1" t="str">
        <f t="shared" si="97"/>
        <v/>
      </c>
      <c r="L2117" s="1" t="str">
        <f t="shared" si="98"/>
        <v/>
      </c>
      <c r="M2117" s="1">
        <f>IF(OR(Table1[[#This Row],[Std Nom]]="",Table1[[#This Row],[Std Read]]=""),0,Table1[[#This Row],[Std Nom]]-Table1[[#This Row],[Std Read]])</f>
        <v>0</v>
      </c>
      <c r="N2117" s="1">
        <f>IF(Calculations!$F$5="ACCREDITED 17025 WITH UNCERTAINTIES",$N$10,0)</f>
        <v>0</v>
      </c>
      <c r="O2117" s="1" t="str">
        <f>IFERROR(Table1[[#This Row],[Std Nom]]-(_xlfn.XLOOKUP(Table1[[#This Row],[Manufacturer]]&amp;" "&amp;Table1[[#This Row],[Model]],Table13[MFR &amp; MDL],Table13[Tolerance % CW ],"")/100*Table1[[#This Row],[Std Nom]]),"")</f>
        <v/>
      </c>
      <c r="P2117" s="1" t="str">
        <f>IFERROR(Table1[[#This Row],[Std Nom]]+(_xlfn.XLOOKUP(Table1[[#This Row],[Manufacturer]]&amp;" "&amp;Table1[[#This Row],[Model]],Table13[MFR &amp; MDL],Table13[Tolerance % CW ],"")/100*Table1[[#This Row],[Std Nom]]),"")</f>
        <v/>
      </c>
      <c r="Q2117" s="1" t="e">
        <f>Table1[[#This Row],[High Tol]]-Table1[[#This Row],[Low Tol]]</f>
        <v>#VALUE!</v>
      </c>
      <c r="R2117" s="1">
        <f>2*Table1[[#This Row],[Std Error]]</f>
        <v>0</v>
      </c>
      <c r="S2117" s="1" t="str">
        <f>IF(Table1[[#This Row],[High Tol]]="","N/A",IFERROR(ABS(Table1[[#This Row],[Tol Span]]/Table1[[#This Row],[Error Span]]),"N/A"))</f>
        <v>N/A</v>
      </c>
      <c r="T2117" s="1" t="str">
        <f>IF(OR(Table1[[#This Row],[Low Tol]]="",Table1[[#This Row],[High Tol]]=""),"Needs Analysis",IF(Table1[[#This Row],[Ratio]]&gt;=4,"Not Significant",IF(Table1[[#This Row],[Ratio]]&gt;=2,"Semi-Significant","Significant")))</f>
        <v>Needs Analysis</v>
      </c>
      <c r="W2117" s="1">
        <f>IF(Table1[[#This Row],[Cal Type]]&lt;&gt;"ACCREDITED 17025 WITH UNCERTAINTIES",0,"")</f>
        <v>0</v>
      </c>
      <c r="X2117" s="1" t="str">
        <f>IF(Table1[[#This Row],[DUT Read]]="","N/A",Table1[[#This Row],[Std Error]]+Table1[[#This Row],[DUT Read]]+Table1[[#This Row],[DUT Ucty]])</f>
        <v>N/A</v>
      </c>
      <c r="Y2117" s="1" t="str">
        <f>IF(Table1[[#This Row],[Std Read]]="","N/A",Table1[[#This Row],[Std Read]]+Table1[[#This Row],[Std Ucty]])</f>
        <v>N/A</v>
      </c>
      <c r="Z21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7" s="1" t="str">
        <f>IF(Table1[[#This Row],[Spec Type]]="","N/A",Table1[[#This Row],[Spec Type]])</f>
        <v>±</v>
      </c>
      <c r="AC2117" s="1" t="str">
        <f>IF(Table1[[#This Row],[Spec Type2]]="N/A","N/A",IF(AND(Table1[[#This Row],[DUT Adj Read]]&gt;=Table1[[#This Row],[Low Tol]],Table1[[#This Row],[DUT Adj Read]]&lt;=Table1[[#This Row],[High Tol]]),"Pass","Fail"))</f>
        <v>Fail</v>
      </c>
      <c r="AD2117" s="1" t="str">
        <f>IF(AND(Table1[[#This Row],[Spec Type2]]="N/A",Table1[[#This Row],[DUT Adj Read]]="N/A",Table1[[#This Row],[Std Adj Read]]="N/A"),"N/A",IF(Table1[[#This Row],[DUT Adj Read]]="N/A",IF(Table1[[#This Row],[Std Adj Read]]&gt;Table1[[#This Row],[Low Tol]],"Pass","Fail"),IF(Table1[[#This Row],[DUT Adj Read]]&gt;Table1[[#This Row],[Low Tol]],"Pass","Fail")))</f>
        <v>Pass</v>
      </c>
      <c r="AE2117" s="1" t="str">
        <f>IF(AND(Table1[[#This Row],[Spec Type2]]="N/A",Table1[[#This Row],[DUT Adj Read]]="N/A",Table1[[#This Row],[Std Adj Read]]="N/A"),"N/A",IF(Table1[[#This Row],[DUT Adj Read]]="N/A",IF(Table1[[#This Row],[Std Adj Read]]&lt;Table1[[#This Row],[High Tol]],"Pass","Fail"),IF(Table1[[#This Row],[DUT Adj Read]]&lt;Table1[[#This Row],[High Tol]],"Pass","Fail")))</f>
        <v>Fail</v>
      </c>
      <c r="AF2117" s="1" t="str">
        <f>IF(AND(Table1[[#This Row],[Spec Type2]]="N/A",Table1[[#This Row],[DUT Adj Read]]="N/A",Table1[[#This Row],[Std Adj Read]]="N/A"),"N/A",IF(Table1[[#This Row],[DUT Adj Read]]="N/A",IF(Table1[[#This Row],[Std Adj Read]]&gt;=Table1[[#This Row],[Low Tol]],"Pass","Fail"),IF(Table1[[#This Row],[DUT Adj Read]]&gt;=Table1[[#This Row],[Low Tol]],"Pass","Fail")))</f>
        <v>Pass</v>
      </c>
      <c r="AG2117" s="1" t="str">
        <f>IF(AND(Table1[[#This Row],[Spec Type2]]="N/A",Table1[[#This Row],[DUT Adj Read]]="N/A",Table1[[#This Row],[Std Adj Read]]="N/A"),"N/A",IF(Table1[[#This Row],[DUT Adj Read]]="N/A",IF(Table1[[#This Row],[Std Adj Read]]&lt;=Table1[[#This Row],[High Tol]],"Pass","Fail"),IF(Table1[[#This Row],[DUT Adj Read]]&lt;=Table1[[#This Row],[High Tol]],"Pass","Fail")))</f>
        <v>Fail</v>
      </c>
      <c r="AH21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7" s="1" t="b">
        <v>0</v>
      </c>
      <c r="AN2117" s="1" t="b">
        <v>0</v>
      </c>
      <c r="AO2117" s="1" t="b">
        <v>0</v>
      </c>
    </row>
    <row r="2118" spans="1:41" x14ac:dyDescent="0.25">
      <c r="A2118" s="10"/>
      <c r="B2118" s="10"/>
      <c r="C2118" s="10"/>
      <c r="D2118" s="10"/>
      <c r="E2118" s="10"/>
      <c r="F2118" s="10"/>
      <c r="G2118" s="10"/>
      <c r="H2118" s="10"/>
      <c r="I2118" s="1" t="str">
        <f t="shared" si="96"/>
        <v/>
      </c>
      <c r="J2118" s="1" t="s">
        <v>35</v>
      </c>
      <c r="K2118" s="1" t="str">
        <f t="shared" si="97"/>
        <v/>
      </c>
      <c r="L2118" s="1" t="str">
        <f t="shared" si="98"/>
        <v/>
      </c>
      <c r="M2118" s="1">
        <f>IF(OR(Table1[[#This Row],[Std Nom]]="",Table1[[#This Row],[Std Read]]=""),0,Table1[[#This Row],[Std Nom]]-Table1[[#This Row],[Std Read]])</f>
        <v>0</v>
      </c>
      <c r="N2118" s="1">
        <f>IF(Calculations!$F$5="ACCREDITED 17025 WITH UNCERTAINTIES",$N$10,0)</f>
        <v>0</v>
      </c>
      <c r="O2118" s="1" t="str">
        <f>IFERROR(Table1[[#This Row],[Std Nom]]-(_xlfn.XLOOKUP(Table1[[#This Row],[Manufacturer]]&amp;" "&amp;Table1[[#This Row],[Model]],Table13[MFR &amp; MDL],Table13[Tolerance % CW ],"")/100*Table1[[#This Row],[Std Nom]]),"")</f>
        <v/>
      </c>
      <c r="P2118" s="1" t="str">
        <f>IFERROR(Table1[[#This Row],[Std Nom]]+(_xlfn.XLOOKUP(Table1[[#This Row],[Manufacturer]]&amp;" "&amp;Table1[[#This Row],[Model]],Table13[MFR &amp; MDL],Table13[Tolerance % CW ],"")/100*Table1[[#This Row],[Std Nom]]),"")</f>
        <v/>
      </c>
      <c r="Q2118" s="1" t="e">
        <f>Table1[[#This Row],[High Tol]]-Table1[[#This Row],[Low Tol]]</f>
        <v>#VALUE!</v>
      </c>
      <c r="R2118" s="1">
        <f>2*Table1[[#This Row],[Std Error]]</f>
        <v>0</v>
      </c>
      <c r="S2118" s="1" t="str">
        <f>IF(Table1[[#This Row],[High Tol]]="","N/A",IFERROR(ABS(Table1[[#This Row],[Tol Span]]/Table1[[#This Row],[Error Span]]),"N/A"))</f>
        <v>N/A</v>
      </c>
      <c r="T2118" s="1" t="str">
        <f>IF(OR(Table1[[#This Row],[Low Tol]]="",Table1[[#This Row],[High Tol]]=""),"Needs Analysis",IF(Table1[[#This Row],[Ratio]]&gt;=4,"Not Significant",IF(Table1[[#This Row],[Ratio]]&gt;=2,"Semi-Significant","Significant")))</f>
        <v>Needs Analysis</v>
      </c>
      <c r="W2118" s="1">
        <f>IF(Table1[[#This Row],[Cal Type]]&lt;&gt;"ACCREDITED 17025 WITH UNCERTAINTIES",0,"")</f>
        <v>0</v>
      </c>
      <c r="X2118" s="1" t="str">
        <f>IF(Table1[[#This Row],[DUT Read]]="","N/A",Table1[[#This Row],[Std Error]]+Table1[[#This Row],[DUT Read]]+Table1[[#This Row],[DUT Ucty]])</f>
        <v>N/A</v>
      </c>
      <c r="Y2118" s="1" t="str">
        <f>IF(Table1[[#This Row],[Std Read]]="","N/A",Table1[[#This Row],[Std Read]]+Table1[[#This Row],[Std Ucty]])</f>
        <v>N/A</v>
      </c>
      <c r="Z21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8" s="1" t="str">
        <f>IF(Table1[[#This Row],[Spec Type]]="","N/A",Table1[[#This Row],[Spec Type]])</f>
        <v>±</v>
      </c>
      <c r="AC2118" s="1" t="str">
        <f>IF(Table1[[#This Row],[Spec Type2]]="N/A","N/A",IF(AND(Table1[[#This Row],[DUT Adj Read]]&gt;=Table1[[#This Row],[Low Tol]],Table1[[#This Row],[DUT Adj Read]]&lt;=Table1[[#This Row],[High Tol]]),"Pass","Fail"))</f>
        <v>Fail</v>
      </c>
      <c r="AD2118" s="1" t="str">
        <f>IF(AND(Table1[[#This Row],[Spec Type2]]="N/A",Table1[[#This Row],[DUT Adj Read]]="N/A",Table1[[#This Row],[Std Adj Read]]="N/A"),"N/A",IF(Table1[[#This Row],[DUT Adj Read]]="N/A",IF(Table1[[#This Row],[Std Adj Read]]&gt;Table1[[#This Row],[Low Tol]],"Pass","Fail"),IF(Table1[[#This Row],[DUT Adj Read]]&gt;Table1[[#This Row],[Low Tol]],"Pass","Fail")))</f>
        <v>Pass</v>
      </c>
      <c r="AE2118" s="1" t="str">
        <f>IF(AND(Table1[[#This Row],[Spec Type2]]="N/A",Table1[[#This Row],[DUT Adj Read]]="N/A",Table1[[#This Row],[Std Adj Read]]="N/A"),"N/A",IF(Table1[[#This Row],[DUT Adj Read]]="N/A",IF(Table1[[#This Row],[Std Adj Read]]&lt;Table1[[#This Row],[High Tol]],"Pass","Fail"),IF(Table1[[#This Row],[DUT Adj Read]]&lt;Table1[[#This Row],[High Tol]],"Pass","Fail")))</f>
        <v>Fail</v>
      </c>
      <c r="AF2118" s="1" t="str">
        <f>IF(AND(Table1[[#This Row],[Spec Type2]]="N/A",Table1[[#This Row],[DUT Adj Read]]="N/A",Table1[[#This Row],[Std Adj Read]]="N/A"),"N/A",IF(Table1[[#This Row],[DUT Adj Read]]="N/A",IF(Table1[[#This Row],[Std Adj Read]]&gt;=Table1[[#This Row],[Low Tol]],"Pass","Fail"),IF(Table1[[#This Row],[DUT Adj Read]]&gt;=Table1[[#This Row],[Low Tol]],"Pass","Fail")))</f>
        <v>Pass</v>
      </c>
      <c r="AG2118" s="1" t="str">
        <f>IF(AND(Table1[[#This Row],[Spec Type2]]="N/A",Table1[[#This Row],[DUT Adj Read]]="N/A",Table1[[#This Row],[Std Adj Read]]="N/A"),"N/A",IF(Table1[[#This Row],[DUT Adj Read]]="N/A",IF(Table1[[#This Row],[Std Adj Read]]&lt;=Table1[[#This Row],[High Tol]],"Pass","Fail"),IF(Table1[[#This Row],[DUT Adj Read]]&lt;=Table1[[#This Row],[High Tol]],"Pass","Fail")))</f>
        <v>Fail</v>
      </c>
      <c r="AH21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8" s="1" t="b">
        <v>0</v>
      </c>
      <c r="AN2118" s="1" t="b">
        <v>0</v>
      </c>
      <c r="AO2118" s="1" t="b">
        <v>0</v>
      </c>
    </row>
    <row r="2119" spans="1:41" x14ac:dyDescent="0.25">
      <c r="A2119" s="10"/>
      <c r="B2119" s="10"/>
      <c r="C2119" s="10"/>
      <c r="D2119" s="10"/>
      <c r="E2119" s="10"/>
      <c r="F2119" s="10"/>
      <c r="G2119" s="10"/>
      <c r="H2119" s="10"/>
      <c r="I2119" s="1" t="str">
        <f t="shared" si="96"/>
        <v/>
      </c>
      <c r="J2119" s="1" t="s">
        <v>35</v>
      </c>
      <c r="K2119" s="1" t="str">
        <f t="shared" si="97"/>
        <v/>
      </c>
      <c r="L2119" s="1" t="str">
        <f t="shared" si="98"/>
        <v/>
      </c>
      <c r="M2119" s="1">
        <f>IF(OR(Table1[[#This Row],[Std Nom]]="",Table1[[#This Row],[Std Read]]=""),0,Table1[[#This Row],[Std Nom]]-Table1[[#This Row],[Std Read]])</f>
        <v>0</v>
      </c>
      <c r="N2119" s="1">
        <f>IF(Calculations!$F$5="ACCREDITED 17025 WITH UNCERTAINTIES",$N$10,0)</f>
        <v>0</v>
      </c>
      <c r="O2119" s="1" t="str">
        <f>IFERROR(Table1[[#This Row],[Std Nom]]-(_xlfn.XLOOKUP(Table1[[#This Row],[Manufacturer]]&amp;" "&amp;Table1[[#This Row],[Model]],Table13[MFR &amp; MDL],Table13[Tolerance % CW ],"")/100*Table1[[#This Row],[Std Nom]]),"")</f>
        <v/>
      </c>
      <c r="P2119" s="1" t="str">
        <f>IFERROR(Table1[[#This Row],[Std Nom]]+(_xlfn.XLOOKUP(Table1[[#This Row],[Manufacturer]]&amp;" "&amp;Table1[[#This Row],[Model]],Table13[MFR &amp; MDL],Table13[Tolerance % CW ],"")/100*Table1[[#This Row],[Std Nom]]),"")</f>
        <v/>
      </c>
      <c r="Q2119" s="1" t="e">
        <f>Table1[[#This Row],[High Tol]]-Table1[[#This Row],[Low Tol]]</f>
        <v>#VALUE!</v>
      </c>
      <c r="R2119" s="1">
        <f>2*Table1[[#This Row],[Std Error]]</f>
        <v>0</v>
      </c>
      <c r="S2119" s="1" t="str">
        <f>IF(Table1[[#This Row],[High Tol]]="","N/A",IFERROR(ABS(Table1[[#This Row],[Tol Span]]/Table1[[#This Row],[Error Span]]),"N/A"))</f>
        <v>N/A</v>
      </c>
      <c r="T2119" s="1" t="str">
        <f>IF(OR(Table1[[#This Row],[Low Tol]]="",Table1[[#This Row],[High Tol]]=""),"Needs Analysis",IF(Table1[[#This Row],[Ratio]]&gt;=4,"Not Significant",IF(Table1[[#This Row],[Ratio]]&gt;=2,"Semi-Significant","Significant")))</f>
        <v>Needs Analysis</v>
      </c>
      <c r="W2119" s="1">
        <f>IF(Table1[[#This Row],[Cal Type]]&lt;&gt;"ACCREDITED 17025 WITH UNCERTAINTIES",0,"")</f>
        <v>0</v>
      </c>
      <c r="X2119" s="1" t="str">
        <f>IF(Table1[[#This Row],[DUT Read]]="","N/A",Table1[[#This Row],[Std Error]]+Table1[[#This Row],[DUT Read]]+Table1[[#This Row],[DUT Ucty]])</f>
        <v>N/A</v>
      </c>
      <c r="Y2119" s="1" t="str">
        <f>IF(Table1[[#This Row],[Std Read]]="","N/A",Table1[[#This Row],[Std Read]]+Table1[[#This Row],[Std Ucty]])</f>
        <v>N/A</v>
      </c>
      <c r="Z21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9" s="1" t="str">
        <f>IF(Table1[[#This Row],[Spec Type]]="","N/A",Table1[[#This Row],[Spec Type]])</f>
        <v>±</v>
      </c>
      <c r="AC2119" s="1" t="str">
        <f>IF(Table1[[#This Row],[Spec Type2]]="N/A","N/A",IF(AND(Table1[[#This Row],[DUT Adj Read]]&gt;=Table1[[#This Row],[Low Tol]],Table1[[#This Row],[DUT Adj Read]]&lt;=Table1[[#This Row],[High Tol]]),"Pass","Fail"))</f>
        <v>Fail</v>
      </c>
      <c r="AD2119" s="1" t="str">
        <f>IF(AND(Table1[[#This Row],[Spec Type2]]="N/A",Table1[[#This Row],[DUT Adj Read]]="N/A",Table1[[#This Row],[Std Adj Read]]="N/A"),"N/A",IF(Table1[[#This Row],[DUT Adj Read]]="N/A",IF(Table1[[#This Row],[Std Adj Read]]&gt;Table1[[#This Row],[Low Tol]],"Pass","Fail"),IF(Table1[[#This Row],[DUT Adj Read]]&gt;Table1[[#This Row],[Low Tol]],"Pass","Fail")))</f>
        <v>Pass</v>
      </c>
      <c r="AE2119" s="1" t="str">
        <f>IF(AND(Table1[[#This Row],[Spec Type2]]="N/A",Table1[[#This Row],[DUT Adj Read]]="N/A",Table1[[#This Row],[Std Adj Read]]="N/A"),"N/A",IF(Table1[[#This Row],[DUT Adj Read]]="N/A",IF(Table1[[#This Row],[Std Adj Read]]&lt;Table1[[#This Row],[High Tol]],"Pass","Fail"),IF(Table1[[#This Row],[DUT Adj Read]]&lt;Table1[[#This Row],[High Tol]],"Pass","Fail")))</f>
        <v>Fail</v>
      </c>
      <c r="AF2119" s="1" t="str">
        <f>IF(AND(Table1[[#This Row],[Spec Type2]]="N/A",Table1[[#This Row],[DUT Adj Read]]="N/A",Table1[[#This Row],[Std Adj Read]]="N/A"),"N/A",IF(Table1[[#This Row],[DUT Adj Read]]="N/A",IF(Table1[[#This Row],[Std Adj Read]]&gt;=Table1[[#This Row],[Low Tol]],"Pass","Fail"),IF(Table1[[#This Row],[DUT Adj Read]]&gt;=Table1[[#This Row],[Low Tol]],"Pass","Fail")))</f>
        <v>Pass</v>
      </c>
      <c r="AG2119" s="1" t="str">
        <f>IF(AND(Table1[[#This Row],[Spec Type2]]="N/A",Table1[[#This Row],[DUT Adj Read]]="N/A",Table1[[#This Row],[Std Adj Read]]="N/A"),"N/A",IF(Table1[[#This Row],[DUT Adj Read]]="N/A",IF(Table1[[#This Row],[Std Adj Read]]&lt;=Table1[[#This Row],[High Tol]],"Pass","Fail"),IF(Table1[[#This Row],[DUT Adj Read]]&lt;=Table1[[#This Row],[High Tol]],"Pass","Fail")))</f>
        <v>Fail</v>
      </c>
      <c r="AH21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9" s="1" t="b">
        <v>0</v>
      </c>
      <c r="AN2119" s="1" t="b">
        <v>0</v>
      </c>
      <c r="AO2119" s="1" t="b">
        <v>0</v>
      </c>
    </row>
    <row r="2120" spans="1:41" x14ac:dyDescent="0.25">
      <c r="A2120" s="10"/>
      <c r="B2120" s="10"/>
      <c r="C2120" s="10"/>
      <c r="D2120" s="10"/>
      <c r="E2120" s="10"/>
      <c r="F2120" s="10"/>
      <c r="G2120" s="10"/>
      <c r="H2120" s="10"/>
      <c r="I2120" s="1" t="str">
        <f t="shared" si="96"/>
        <v/>
      </c>
      <c r="J2120" s="1" t="s">
        <v>35</v>
      </c>
      <c r="K2120" s="1" t="str">
        <f t="shared" si="97"/>
        <v/>
      </c>
      <c r="L2120" s="1" t="str">
        <f t="shared" si="98"/>
        <v/>
      </c>
      <c r="M2120" s="1">
        <f>IF(OR(Table1[[#This Row],[Std Nom]]="",Table1[[#This Row],[Std Read]]=""),0,Table1[[#This Row],[Std Nom]]-Table1[[#This Row],[Std Read]])</f>
        <v>0</v>
      </c>
      <c r="N2120" s="1">
        <f>IF(Calculations!$F$5="ACCREDITED 17025 WITH UNCERTAINTIES",$N$10,0)</f>
        <v>0</v>
      </c>
      <c r="O2120" s="1" t="str">
        <f>IFERROR(Table1[[#This Row],[Std Nom]]-(_xlfn.XLOOKUP(Table1[[#This Row],[Manufacturer]]&amp;" "&amp;Table1[[#This Row],[Model]],Table13[MFR &amp; MDL],Table13[Tolerance % CW ],"")/100*Table1[[#This Row],[Std Nom]]),"")</f>
        <v/>
      </c>
      <c r="P2120" s="1" t="str">
        <f>IFERROR(Table1[[#This Row],[Std Nom]]+(_xlfn.XLOOKUP(Table1[[#This Row],[Manufacturer]]&amp;" "&amp;Table1[[#This Row],[Model]],Table13[MFR &amp; MDL],Table13[Tolerance % CW ],"")/100*Table1[[#This Row],[Std Nom]]),"")</f>
        <v/>
      </c>
      <c r="Q2120" s="1" t="e">
        <f>Table1[[#This Row],[High Tol]]-Table1[[#This Row],[Low Tol]]</f>
        <v>#VALUE!</v>
      </c>
      <c r="R2120" s="1">
        <f>2*Table1[[#This Row],[Std Error]]</f>
        <v>0</v>
      </c>
      <c r="S2120" s="1" t="str">
        <f>IF(Table1[[#This Row],[High Tol]]="","N/A",IFERROR(ABS(Table1[[#This Row],[Tol Span]]/Table1[[#This Row],[Error Span]]),"N/A"))</f>
        <v>N/A</v>
      </c>
      <c r="T2120" s="1" t="str">
        <f>IF(OR(Table1[[#This Row],[Low Tol]]="",Table1[[#This Row],[High Tol]]=""),"Needs Analysis",IF(Table1[[#This Row],[Ratio]]&gt;=4,"Not Significant",IF(Table1[[#This Row],[Ratio]]&gt;=2,"Semi-Significant","Significant")))</f>
        <v>Needs Analysis</v>
      </c>
      <c r="W2120" s="1">
        <f>IF(Table1[[#This Row],[Cal Type]]&lt;&gt;"ACCREDITED 17025 WITH UNCERTAINTIES",0,"")</f>
        <v>0</v>
      </c>
      <c r="X2120" s="1" t="str">
        <f>IF(Table1[[#This Row],[DUT Read]]="","N/A",Table1[[#This Row],[Std Error]]+Table1[[#This Row],[DUT Read]]+Table1[[#This Row],[DUT Ucty]])</f>
        <v>N/A</v>
      </c>
      <c r="Y2120" s="1" t="str">
        <f>IF(Table1[[#This Row],[Std Read]]="","N/A",Table1[[#This Row],[Std Read]]+Table1[[#This Row],[Std Ucty]])</f>
        <v>N/A</v>
      </c>
      <c r="Z21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0" s="1" t="str">
        <f>IF(Table1[[#This Row],[Spec Type]]="","N/A",Table1[[#This Row],[Spec Type]])</f>
        <v>±</v>
      </c>
      <c r="AC2120" s="1" t="str">
        <f>IF(Table1[[#This Row],[Spec Type2]]="N/A","N/A",IF(AND(Table1[[#This Row],[DUT Adj Read]]&gt;=Table1[[#This Row],[Low Tol]],Table1[[#This Row],[DUT Adj Read]]&lt;=Table1[[#This Row],[High Tol]]),"Pass","Fail"))</f>
        <v>Fail</v>
      </c>
      <c r="AD2120" s="1" t="str">
        <f>IF(AND(Table1[[#This Row],[Spec Type2]]="N/A",Table1[[#This Row],[DUT Adj Read]]="N/A",Table1[[#This Row],[Std Adj Read]]="N/A"),"N/A",IF(Table1[[#This Row],[DUT Adj Read]]="N/A",IF(Table1[[#This Row],[Std Adj Read]]&gt;Table1[[#This Row],[Low Tol]],"Pass","Fail"),IF(Table1[[#This Row],[DUT Adj Read]]&gt;Table1[[#This Row],[Low Tol]],"Pass","Fail")))</f>
        <v>Pass</v>
      </c>
      <c r="AE2120" s="1" t="str">
        <f>IF(AND(Table1[[#This Row],[Spec Type2]]="N/A",Table1[[#This Row],[DUT Adj Read]]="N/A",Table1[[#This Row],[Std Adj Read]]="N/A"),"N/A",IF(Table1[[#This Row],[DUT Adj Read]]="N/A",IF(Table1[[#This Row],[Std Adj Read]]&lt;Table1[[#This Row],[High Tol]],"Pass","Fail"),IF(Table1[[#This Row],[DUT Adj Read]]&lt;Table1[[#This Row],[High Tol]],"Pass","Fail")))</f>
        <v>Fail</v>
      </c>
      <c r="AF2120" s="1" t="str">
        <f>IF(AND(Table1[[#This Row],[Spec Type2]]="N/A",Table1[[#This Row],[DUT Adj Read]]="N/A",Table1[[#This Row],[Std Adj Read]]="N/A"),"N/A",IF(Table1[[#This Row],[DUT Adj Read]]="N/A",IF(Table1[[#This Row],[Std Adj Read]]&gt;=Table1[[#This Row],[Low Tol]],"Pass","Fail"),IF(Table1[[#This Row],[DUT Adj Read]]&gt;=Table1[[#This Row],[Low Tol]],"Pass","Fail")))</f>
        <v>Pass</v>
      </c>
      <c r="AG2120" s="1" t="str">
        <f>IF(AND(Table1[[#This Row],[Spec Type2]]="N/A",Table1[[#This Row],[DUT Adj Read]]="N/A",Table1[[#This Row],[Std Adj Read]]="N/A"),"N/A",IF(Table1[[#This Row],[DUT Adj Read]]="N/A",IF(Table1[[#This Row],[Std Adj Read]]&lt;=Table1[[#This Row],[High Tol]],"Pass","Fail"),IF(Table1[[#This Row],[DUT Adj Read]]&lt;=Table1[[#This Row],[High Tol]],"Pass","Fail")))</f>
        <v>Fail</v>
      </c>
      <c r="AH21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0" s="1" t="b">
        <v>0</v>
      </c>
      <c r="AN2120" s="1" t="b">
        <v>0</v>
      </c>
      <c r="AO2120" s="1" t="b">
        <v>0</v>
      </c>
    </row>
    <row r="2121" spans="1:41" x14ac:dyDescent="0.25">
      <c r="A2121" s="10"/>
      <c r="B2121" s="10"/>
      <c r="C2121" s="10"/>
      <c r="D2121" s="10"/>
      <c r="E2121" s="10"/>
      <c r="F2121" s="10"/>
      <c r="G2121" s="10"/>
      <c r="H2121" s="10"/>
      <c r="I2121" s="1" t="str">
        <f t="shared" si="96"/>
        <v/>
      </c>
      <c r="J2121" s="1" t="s">
        <v>35</v>
      </c>
      <c r="K2121" s="1" t="str">
        <f t="shared" si="97"/>
        <v/>
      </c>
      <c r="L2121" s="1" t="str">
        <f t="shared" si="98"/>
        <v/>
      </c>
      <c r="M2121" s="1">
        <f>IF(OR(Table1[[#This Row],[Std Nom]]="",Table1[[#This Row],[Std Read]]=""),0,Table1[[#This Row],[Std Nom]]-Table1[[#This Row],[Std Read]])</f>
        <v>0</v>
      </c>
      <c r="N2121" s="1">
        <f>IF(Calculations!$F$5="ACCREDITED 17025 WITH UNCERTAINTIES",$N$10,0)</f>
        <v>0</v>
      </c>
      <c r="O2121" s="1" t="str">
        <f>IFERROR(Table1[[#This Row],[Std Nom]]-(_xlfn.XLOOKUP(Table1[[#This Row],[Manufacturer]]&amp;" "&amp;Table1[[#This Row],[Model]],Table13[MFR &amp; MDL],Table13[Tolerance % CW ],"")/100*Table1[[#This Row],[Std Nom]]),"")</f>
        <v/>
      </c>
      <c r="P2121" s="1" t="str">
        <f>IFERROR(Table1[[#This Row],[Std Nom]]+(_xlfn.XLOOKUP(Table1[[#This Row],[Manufacturer]]&amp;" "&amp;Table1[[#This Row],[Model]],Table13[MFR &amp; MDL],Table13[Tolerance % CW ],"")/100*Table1[[#This Row],[Std Nom]]),"")</f>
        <v/>
      </c>
      <c r="Q2121" s="1" t="e">
        <f>Table1[[#This Row],[High Tol]]-Table1[[#This Row],[Low Tol]]</f>
        <v>#VALUE!</v>
      </c>
      <c r="R2121" s="1">
        <f>2*Table1[[#This Row],[Std Error]]</f>
        <v>0</v>
      </c>
      <c r="S2121" s="1" t="str">
        <f>IF(Table1[[#This Row],[High Tol]]="","N/A",IFERROR(ABS(Table1[[#This Row],[Tol Span]]/Table1[[#This Row],[Error Span]]),"N/A"))</f>
        <v>N/A</v>
      </c>
      <c r="T2121" s="1" t="str">
        <f>IF(OR(Table1[[#This Row],[Low Tol]]="",Table1[[#This Row],[High Tol]]=""),"Needs Analysis",IF(Table1[[#This Row],[Ratio]]&gt;=4,"Not Significant",IF(Table1[[#This Row],[Ratio]]&gt;=2,"Semi-Significant","Significant")))</f>
        <v>Needs Analysis</v>
      </c>
      <c r="W2121" s="1">
        <f>IF(Table1[[#This Row],[Cal Type]]&lt;&gt;"ACCREDITED 17025 WITH UNCERTAINTIES",0,"")</f>
        <v>0</v>
      </c>
      <c r="X2121" s="1" t="str">
        <f>IF(Table1[[#This Row],[DUT Read]]="","N/A",Table1[[#This Row],[Std Error]]+Table1[[#This Row],[DUT Read]]+Table1[[#This Row],[DUT Ucty]])</f>
        <v>N/A</v>
      </c>
      <c r="Y2121" s="1" t="str">
        <f>IF(Table1[[#This Row],[Std Read]]="","N/A",Table1[[#This Row],[Std Read]]+Table1[[#This Row],[Std Ucty]])</f>
        <v>N/A</v>
      </c>
      <c r="Z21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1" s="1" t="str">
        <f>IF(Table1[[#This Row],[Spec Type]]="","N/A",Table1[[#This Row],[Spec Type]])</f>
        <v>±</v>
      </c>
      <c r="AC2121" s="1" t="str">
        <f>IF(Table1[[#This Row],[Spec Type2]]="N/A","N/A",IF(AND(Table1[[#This Row],[DUT Adj Read]]&gt;=Table1[[#This Row],[Low Tol]],Table1[[#This Row],[DUT Adj Read]]&lt;=Table1[[#This Row],[High Tol]]),"Pass","Fail"))</f>
        <v>Fail</v>
      </c>
      <c r="AD2121" s="1" t="str">
        <f>IF(AND(Table1[[#This Row],[Spec Type2]]="N/A",Table1[[#This Row],[DUT Adj Read]]="N/A",Table1[[#This Row],[Std Adj Read]]="N/A"),"N/A",IF(Table1[[#This Row],[DUT Adj Read]]="N/A",IF(Table1[[#This Row],[Std Adj Read]]&gt;Table1[[#This Row],[Low Tol]],"Pass","Fail"),IF(Table1[[#This Row],[DUT Adj Read]]&gt;Table1[[#This Row],[Low Tol]],"Pass","Fail")))</f>
        <v>Pass</v>
      </c>
      <c r="AE2121" s="1" t="str">
        <f>IF(AND(Table1[[#This Row],[Spec Type2]]="N/A",Table1[[#This Row],[DUT Adj Read]]="N/A",Table1[[#This Row],[Std Adj Read]]="N/A"),"N/A",IF(Table1[[#This Row],[DUT Adj Read]]="N/A",IF(Table1[[#This Row],[Std Adj Read]]&lt;Table1[[#This Row],[High Tol]],"Pass","Fail"),IF(Table1[[#This Row],[DUT Adj Read]]&lt;Table1[[#This Row],[High Tol]],"Pass","Fail")))</f>
        <v>Fail</v>
      </c>
      <c r="AF2121" s="1" t="str">
        <f>IF(AND(Table1[[#This Row],[Spec Type2]]="N/A",Table1[[#This Row],[DUT Adj Read]]="N/A",Table1[[#This Row],[Std Adj Read]]="N/A"),"N/A",IF(Table1[[#This Row],[DUT Adj Read]]="N/A",IF(Table1[[#This Row],[Std Adj Read]]&gt;=Table1[[#This Row],[Low Tol]],"Pass","Fail"),IF(Table1[[#This Row],[DUT Adj Read]]&gt;=Table1[[#This Row],[Low Tol]],"Pass","Fail")))</f>
        <v>Pass</v>
      </c>
      <c r="AG2121" s="1" t="str">
        <f>IF(AND(Table1[[#This Row],[Spec Type2]]="N/A",Table1[[#This Row],[DUT Adj Read]]="N/A",Table1[[#This Row],[Std Adj Read]]="N/A"),"N/A",IF(Table1[[#This Row],[DUT Adj Read]]="N/A",IF(Table1[[#This Row],[Std Adj Read]]&lt;=Table1[[#This Row],[High Tol]],"Pass","Fail"),IF(Table1[[#This Row],[DUT Adj Read]]&lt;=Table1[[#This Row],[High Tol]],"Pass","Fail")))</f>
        <v>Fail</v>
      </c>
      <c r="AH21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1" s="1" t="b">
        <v>0</v>
      </c>
      <c r="AN2121" s="1" t="b">
        <v>0</v>
      </c>
      <c r="AO2121" s="1" t="b">
        <v>0</v>
      </c>
    </row>
    <row r="2122" spans="1:41" x14ac:dyDescent="0.25">
      <c r="A2122" s="10"/>
      <c r="B2122" s="10"/>
      <c r="C2122" s="10"/>
      <c r="D2122" s="10"/>
      <c r="E2122" s="10"/>
      <c r="F2122" s="10"/>
      <c r="G2122" s="10"/>
      <c r="H2122" s="10"/>
      <c r="I2122" s="1" t="str">
        <f t="shared" si="96"/>
        <v/>
      </c>
      <c r="J2122" s="1" t="s">
        <v>35</v>
      </c>
      <c r="K2122" s="1" t="str">
        <f t="shared" si="97"/>
        <v/>
      </c>
      <c r="L2122" s="1" t="str">
        <f t="shared" si="98"/>
        <v/>
      </c>
      <c r="M2122" s="1">
        <f>IF(OR(Table1[[#This Row],[Std Nom]]="",Table1[[#This Row],[Std Read]]=""),0,Table1[[#This Row],[Std Nom]]-Table1[[#This Row],[Std Read]])</f>
        <v>0</v>
      </c>
      <c r="N2122" s="1">
        <f>IF(Calculations!$F$5="ACCREDITED 17025 WITH UNCERTAINTIES",$N$10,0)</f>
        <v>0</v>
      </c>
      <c r="O2122" s="1" t="str">
        <f>IFERROR(Table1[[#This Row],[Std Nom]]-(_xlfn.XLOOKUP(Table1[[#This Row],[Manufacturer]]&amp;" "&amp;Table1[[#This Row],[Model]],Table13[MFR &amp; MDL],Table13[Tolerance % CW ],"")/100*Table1[[#This Row],[Std Nom]]),"")</f>
        <v/>
      </c>
      <c r="P2122" s="1" t="str">
        <f>IFERROR(Table1[[#This Row],[Std Nom]]+(_xlfn.XLOOKUP(Table1[[#This Row],[Manufacturer]]&amp;" "&amp;Table1[[#This Row],[Model]],Table13[MFR &amp; MDL],Table13[Tolerance % CW ],"")/100*Table1[[#This Row],[Std Nom]]),"")</f>
        <v/>
      </c>
      <c r="Q2122" s="1" t="e">
        <f>Table1[[#This Row],[High Tol]]-Table1[[#This Row],[Low Tol]]</f>
        <v>#VALUE!</v>
      </c>
      <c r="R2122" s="1">
        <f>2*Table1[[#This Row],[Std Error]]</f>
        <v>0</v>
      </c>
      <c r="S2122" s="1" t="str">
        <f>IF(Table1[[#This Row],[High Tol]]="","N/A",IFERROR(ABS(Table1[[#This Row],[Tol Span]]/Table1[[#This Row],[Error Span]]),"N/A"))</f>
        <v>N/A</v>
      </c>
      <c r="T2122" s="1" t="str">
        <f>IF(OR(Table1[[#This Row],[Low Tol]]="",Table1[[#This Row],[High Tol]]=""),"Needs Analysis",IF(Table1[[#This Row],[Ratio]]&gt;=4,"Not Significant",IF(Table1[[#This Row],[Ratio]]&gt;=2,"Semi-Significant","Significant")))</f>
        <v>Needs Analysis</v>
      </c>
      <c r="W2122" s="1">
        <f>IF(Table1[[#This Row],[Cal Type]]&lt;&gt;"ACCREDITED 17025 WITH UNCERTAINTIES",0,"")</f>
        <v>0</v>
      </c>
      <c r="X2122" s="1" t="str">
        <f>IF(Table1[[#This Row],[DUT Read]]="","N/A",Table1[[#This Row],[Std Error]]+Table1[[#This Row],[DUT Read]]+Table1[[#This Row],[DUT Ucty]])</f>
        <v>N/A</v>
      </c>
      <c r="Y2122" s="1" t="str">
        <f>IF(Table1[[#This Row],[Std Read]]="","N/A",Table1[[#This Row],[Std Read]]+Table1[[#This Row],[Std Ucty]])</f>
        <v>N/A</v>
      </c>
      <c r="Z21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2" s="1" t="str">
        <f>IF(Table1[[#This Row],[Spec Type]]="","N/A",Table1[[#This Row],[Spec Type]])</f>
        <v>±</v>
      </c>
      <c r="AC2122" s="1" t="str">
        <f>IF(Table1[[#This Row],[Spec Type2]]="N/A","N/A",IF(AND(Table1[[#This Row],[DUT Adj Read]]&gt;=Table1[[#This Row],[Low Tol]],Table1[[#This Row],[DUT Adj Read]]&lt;=Table1[[#This Row],[High Tol]]),"Pass","Fail"))</f>
        <v>Fail</v>
      </c>
      <c r="AD2122" s="1" t="str">
        <f>IF(AND(Table1[[#This Row],[Spec Type2]]="N/A",Table1[[#This Row],[DUT Adj Read]]="N/A",Table1[[#This Row],[Std Adj Read]]="N/A"),"N/A",IF(Table1[[#This Row],[DUT Adj Read]]="N/A",IF(Table1[[#This Row],[Std Adj Read]]&gt;Table1[[#This Row],[Low Tol]],"Pass","Fail"),IF(Table1[[#This Row],[DUT Adj Read]]&gt;Table1[[#This Row],[Low Tol]],"Pass","Fail")))</f>
        <v>Pass</v>
      </c>
      <c r="AE2122" s="1" t="str">
        <f>IF(AND(Table1[[#This Row],[Spec Type2]]="N/A",Table1[[#This Row],[DUT Adj Read]]="N/A",Table1[[#This Row],[Std Adj Read]]="N/A"),"N/A",IF(Table1[[#This Row],[DUT Adj Read]]="N/A",IF(Table1[[#This Row],[Std Adj Read]]&lt;Table1[[#This Row],[High Tol]],"Pass","Fail"),IF(Table1[[#This Row],[DUT Adj Read]]&lt;Table1[[#This Row],[High Tol]],"Pass","Fail")))</f>
        <v>Fail</v>
      </c>
      <c r="AF2122" s="1" t="str">
        <f>IF(AND(Table1[[#This Row],[Spec Type2]]="N/A",Table1[[#This Row],[DUT Adj Read]]="N/A",Table1[[#This Row],[Std Adj Read]]="N/A"),"N/A",IF(Table1[[#This Row],[DUT Adj Read]]="N/A",IF(Table1[[#This Row],[Std Adj Read]]&gt;=Table1[[#This Row],[Low Tol]],"Pass","Fail"),IF(Table1[[#This Row],[DUT Adj Read]]&gt;=Table1[[#This Row],[Low Tol]],"Pass","Fail")))</f>
        <v>Pass</v>
      </c>
      <c r="AG2122" s="1" t="str">
        <f>IF(AND(Table1[[#This Row],[Spec Type2]]="N/A",Table1[[#This Row],[DUT Adj Read]]="N/A",Table1[[#This Row],[Std Adj Read]]="N/A"),"N/A",IF(Table1[[#This Row],[DUT Adj Read]]="N/A",IF(Table1[[#This Row],[Std Adj Read]]&lt;=Table1[[#This Row],[High Tol]],"Pass","Fail"),IF(Table1[[#This Row],[DUT Adj Read]]&lt;=Table1[[#This Row],[High Tol]],"Pass","Fail")))</f>
        <v>Fail</v>
      </c>
      <c r="AH21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2" s="1" t="b">
        <v>0</v>
      </c>
      <c r="AN2122" s="1" t="b">
        <v>0</v>
      </c>
      <c r="AO2122" s="1" t="b">
        <v>0</v>
      </c>
    </row>
    <row r="2123" spans="1:41" x14ac:dyDescent="0.25">
      <c r="A2123" s="10"/>
      <c r="B2123" s="10"/>
      <c r="C2123" s="10"/>
      <c r="D2123" s="10"/>
      <c r="E2123" s="10"/>
      <c r="F2123" s="10"/>
      <c r="G2123" s="10"/>
      <c r="H2123" s="10"/>
      <c r="I2123" s="1" t="str">
        <f t="shared" ref="I2123:I2186" si="99">IF($I$10="","",$I$10)</f>
        <v/>
      </c>
      <c r="J2123" s="1" t="s">
        <v>35</v>
      </c>
      <c r="K2123" s="1" t="str">
        <f t="shared" ref="K2123:K2186" si="100">IF($K$10="","",$K$10)</f>
        <v/>
      </c>
      <c r="L2123" s="1" t="str">
        <f t="shared" ref="L2123:L2186" si="101">IF($L$10="","",$L$10)</f>
        <v/>
      </c>
      <c r="M2123" s="1">
        <f>IF(OR(Table1[[#This Row],[Std Nom]]="",Table1[[#This Row],[Std Read]]=""),0,Table1[[#This Row],[Std Nom]]-Table1[[#This Row],[Std Read]])</f>
        <v>0</v>
      </c>
      <c r="N2123" s="1">
        <f>IF(Calculations!$F$5="ACCREDITED 17025 WITH UNCERTAINTIES",$N$10,0)</f>
        <v>0</v>
      </c>
      <c r="O2123" s="1" t="str">
        <f>IFERROR(Table1[[#This Row],[Std Nom]]-(_xlfn.XLOOKUP(Table1[[#This Row],[Manufacturer]]&amp;" "&amp;Table1[[#This Row],[Model]],Table13[MFR &amp; MDL],Table13[Tolerance % CW ],"")/100*Table1[[#This Row],[Std Nom]]),"")</f>
        <v/>
      </c>
      <c r="P2123" s="1" t="str">
        <f>IFERROR(Table1[[#This Row],[Std Nom]]+(_xlfn.XLOOKUP(Table1[[#This Row],[Manufacturer]]&amp;" "&amp;Table1[[#This Row],[Model]],Table13[MFR &amp; MDL],Table13[Tolerance % CW ],"")/100*Table1[[#This Row],[Std Nom]]),"")</f>
        <v/>
      </c>
      <c r="Q2123" s="1" t="e">
        <f>Table1[[#This Row],[High Tol]]-Table1[[#This Row],[Low Tol]]</f>
        <v>#VALUE!</v>
      </c>
      <c r="R2123" s="1">
        <f>2*Table1[[#This Row],[Std Error]]</f>
        <v>0</v>
      </c>
      <c r="S2123" s="1" t="str">
        <f>IF(Table1[[#This Row],[High Tol]]="","N/A",IFERROR(ABS(Table1[[#This Row],[Tol Span]]/Table1[[#This Row],[Error Span]]),"N/A"))</f>
        <v>N/A</v>
      </c>
      <c r="T2123" s="1" t="str">
        <f>IF(OR(Table1[[#This Row],[Low Tol]]="",Table1[[#This Row],[High Tol]]=""),"Needs Analysis",IF(Table1[[#This Row],[Ratio]]&gt;=4,"Not Significant",IF(Table1[[#This Row],[Ratio]]&gt;=2,"Semi-Significant","Significant")))</f>
        <v>Needs Analysis</v>
      </c>
      <c r="W2123" s="1">
        <f>IF(Table1[[#This Row],[Cal Type]]&lt;&gt;"ACCREDITED 17025 WITH UNCERTAINTIES",0,"")</f>
        <v>0</v>
      </c>
      <c r="X2123" s="1" t="str">
        <f>IF(Table1[[#This Row],[DUT Read]]="","N/A",Table1[[#This Row],[Std Error]]+Table1[[#This Row],[DUT Read]]+Table1[[#This Row],[DUT Ucty]])</f>
        <v>N/A</v>
      </c>
      <c r="Y2123" s="1" t="str">
        <f>IF(Table1[[#This Row],[Std Read]]="","N/A",Table1[[#This Row],[Std Read]]+Table1[[#This Row],[Std Ucty]])</f>
        <v>N/A</v>
      </c>
      <c r="Z21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3" s="1" t="str">
        <f>IF(Table1[[#This Row],[Spec Type]]="","N/A",Table1[[#This Row],[Spec Type]])</f>
        <v>±</v>
      </c>
      <c r="AC2123" s="1" t="str">
        <f>IF(Table1[[#This Row],[Spec Type2]]="N/A","N/A",IF(AND(Table1[[#This Row],[DUT Adj Read]]&gt;=Table1[[#This Row],[Low Tol]],Table1[[#This Row],[DUT Adj Read]]&lt;=Table1[[#This Row],[High Tol]]),"Pass","Fail"))</f>
        <v>Fail</v>
      </c>
      <c r="AD2123" s="1" t="str">
        <f>IF(AND(Table1[[#This Row],[Spec Type2]]="N/A",Table1[[#This Row],[DUT Adj Read]]="N/A",Table1[[#This Row],[Std Adj Read]]="N/A"),"N/A",IF(Table1[[#This Row],[DUT Adj Read]]="N/A",IF(Table1[[#This Row],[Std Adj Read]]&gt;Table1[[#This Row],[Low Tol]],"Pass","Fail"),IF(Table1[[#This Row],[DUT Adj Read]]&gt;Table1[[#This Row],[Low Tol]],"Pass","Fail")))</f>
        <v>Pass</v>
      </c>
      <c r="AE2123" s="1" t="str">
        <f>IF(AND(Table1[[#This Row],[Spec Type2]]="N/A",Table1[[#This Row],[DUT Adj Read]]="N/A",Table1[[#This Row],[Std Adj Read]]="N/A"),"N/A",IF(Table1[[#This Row],[DUT Adj Read]]="N/A",IF(Table1[[#This Row],[Std Adj Read]]&lt;Table1[[#This Row],[High Tol]],"Pass","Fail"),IF(Table1[[#This Row],[DUT Adj Read]]&lt;Table1[[#This Row],[High Tol]],"Pass","Fail")))</f>
        <v>Fail</v>
      </c>
      <c r="AF2123" s="1" t="str">
        <f>IF(AND(Table1[[#This Row],[Spec Type2]]="N/A",Table1[[#This Row],[DUT Adj Read]]="N/A",Table1[[#This Row],[Std Adj Read]]="N/A"),"N/A",IF(Table1[[#This Row],[DUT Adj Read]]="N/A",IF(Table1[[#This Row],[Std Adj Read]]&gt;=Table1[[#This Row],[Low Tol]],"Pass","Fail"),IF(Table1[[#This Row],[DUT Adj Read]]&gt;=Table1[[#This Row],[Low Tol]],"Pass","Fail")))</f>
        <v>Pass</v>
      </c>
      <c r="AG2123" s="1" t="str">
        <f>IF(AND(Table1[[#This Row],[Spec Type2]]="N/A",Table1[[#This Row],[DUT Adj Read]]="N/A",Table1[[#This Row],[Std Adj Read]]="N/A"),"N/A",IF(Table1[[#This Row],[DUT Adj Read]]="N/A",IF(Table1[[#This Row],[Std Adj Read]]&lt;=Table1[[#This Row],[High Tol]],"Pass","Fail"),IF(Table1[[#This Row],[DUT Adj Read]]&lt;=Table1[[#This Row],[High Tol]],"Pass","Fail")))</f>
        <v>Fail</v>
      </c>
      <c r="AH21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3" s="1" t="b">
        <v>0</v>
      </c>
      <c r="AN2123" s="1" t="b">
        <v>0</v>
      </c>
      <c r="AO2123" s="1" t="b">
        <v>0</v>
      </c>
    </row>
    <row r="2124" spans="1:41" x14ac:dyDescent="0.25">
      <c r="A2124" s="10"/>
      <c r="B2124" s="10"/>
      <c r="C2124" s="10"/>
      <c r="D2124" s="10"/>
      <c r="E2124" s="10"/>
      <c r="F2124" s="10"/>
      <c r="G2124" s="10"/>
      <c r="H2124" s="10"/>
      <c r="I2124" s="1" t="str">
        <f t="shared" si="99"/>
        <v/>
      </c>
      <c r="J2124" s="1" t="s">
        <v>35</v>
      </c>
      <c r="K2124" s="1" t="str">
        <f t="shared" si="100"/>
        <v/>
      </c>
      <c r="L2124" s="1" t="str">
        <f t="shared" si="101"/>
        <v/>
      </c>
      <c r="M2124" s="1">
        <f>IF(OR(Table1[[#This Row],[Std Nom]]="",Table1[[#This Row],[Std Read]]=""),0,Table1[[#This Row],[Std Nom]]-Table1[[#This Row],[Std Read]])</f>
        <v>0</v>
      </c>
      <c r="N2124" s="1">
        <f>IF(Calculations!$F$5="ACCREDITED 17025 WITH UNCERTAINTIES",$N$10,0)</f>
        <v>0</v>
      </c>
      <c r="O2124" s="1" t="str">
        <f>IFERROR(Table1[[#This Row],[Std Nom]]-(_xlfn.XLOOKUP(Table1[[#This Row],[Manufacturer]]&amp;" "&amp;Table1[[#This Row],[Model]],Table13[MFR &amp; MDL],Table13[Tolerance % CW ],"")/100*Table1[[#This Row],[Std Nom]]),"")</f>
        <v/>
      </c>
      <c r="P2124" s="1" t="str">
        <f>IFERROR(Table1[[#This Row],[Std Nom]]+(_xlfn.XLOOKUP(Table1[[#This Row],[Manufacturer]]&amp;" "&amp;Table1[[#This Row],[Model]],Table13[MFR &amp; MDL],Table13[Tolerance % CW ],"")/100*Table1[[#This Row],[Std Nom]]),"")</f>
        <v/>
      </c>
      <c r="Q2124" s="1" t="e">
        <f>Table1[[#This Row],[High Tol]]-Table1[[#This Row],[Low Tol]]</f>
        <v>#VALUE!</v>
      </c>
      <c r="R2124" s="1">
        <f>2*Table1[[#This Row],[Std Error]]</f>
        <v>0</v>
      </c>
      <c r="S2124" s="1" t="str">
        <f>IF(Table1[[#This Row],[High Tol]]="","N/A",IFERROR(ABS(Table1[[#This Row],[Tol Span]]/Table1[[#This Row],[Error Span]]),"N/A"))</f>
        <v>N/A</v>
      </c>
      <c r="T2124" s="1" t="str">
        <f>IF(OR(Table1[[#This Row],[Low Tol]]="",Table1[[#This Row],[High Tol]]=""),"Needs Analysis",IF(Table1[[#This Row],[Ratio]]&gt;=4,"Not Significant",IF(Table1[[#This Row],[Ratio]]&gt;=2,"Semi-Significant","Significant")))</f>
        <v>Needs Analysis</v>
      </c>
      <c r="W2124" s="1">
        <f>IF(Table1[[#This Row],[Cal Type]]&lt;&gt;"ACCREDITED 17025 WITH UNCERTAINTIES",0,"")</f>
        <v>0</v>
      </c>
      <c r="X2124" s="1" t="str">
        <f>IF(Table1[[#This Row],[DUT Read]]="","N/A",Table1[[#This Row],[Std Error]]+Table1[[#This Row],[DUT Read]]+Table1[[#This Row],[DUT Ucty]])</f>
        <v>N/A</v>
      </c>
      <c r="Y2124" s="1" t="str">
        <f>IF(Table1[[#This Row],[Std Read]]="","N/A",Table1[[#This Row],[Std Read]]+Table1[[#This Row],[Std Ucty]])</f>
        <v>N/A</v>
      </c>
      <c r="Z21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4" s="1" t="str">
        <f>IF(Table1[[#This Row],[Spec Type]]="","N/A",Table1[[#This Row],[Spec Type]])</f>
        <v>±</v>
      </c>
      <c r="AC2124" s="1" t="str">
        <f>IF(Table1[[#This Row],[Spec Type2]]="N/A","N/A",IF(AND(Table1[[#This Row],[DUT Adj Read]]&gt;=Table1[[#This Row],[Low Tol]],Table1[[#This Row],[DUT Adj Read]]&lt;=Table1[[#This Row],[High Tol]]),"Pass","Fail"))</f>
        <v>Fail</v>
      </c>
      <c r="AD2124" s="1" t="str">
        <f>IF(AND(Table1[[#This Row],[Spec Type2]]="N/A",Table1[[#This Row],[DUT Adj Read]]="N/A",Table1[[#This Row],[Std Adj Read]]="N/A"),"N/A",IF(Table1[[#This Row],[DUT Adj Read]]="N/A",IF(Table1[[#This Row],[Std Adj Read]]&gt;Table1[[#This Row],[Low Tol]],"Pass","Fail"),IF(Table1[[#This Row],[DUT Adj Read]]&gt;Table1[[#This Row],[Low Tol]],"Pass","Fail")))</f>
        <v>Pass</v>
      </c>
      <c r="AE2124" s="1" t="str">
        <f>IF(AND(Table1[[#This Row],[Spec Type2]]="N/A",Table1[[#This Row],[DUT Adj Read]]="N/A",Table1[[#This Row],[Std Adj Read]]="N/A"),"N/A",IF(Table1[[#This Row],[DUT Adj Read]]="N/A",IF(Table1[[#This Row],[Std Adj Read]]&lt;Table1[[#This Row],[High Tol]],"Pass","Fail"),IF(Table1[[#This Row],[DUT Adj Read]]&lt;Table1[[#This Row],[High Tol]],"Pass","Fail")))</f>
        <v>Fail</v>
      </c>
      <c r="AF2124" s="1" t="str">
        <f>IF(AND(Table1[[#This Row],[Spec Type2]]="N/A",Table1[[#This Row],[DUT Adj Read]]="N/A",Table1[[#This Row],[Std Adj Read]]="N/A"),"N/A",IF(Table1[[#This Row],[DUT Adj Read]]="N/A",IF(Table1[[#This Row],[Std Adj Read]]&gt;=Table1[[#This Row],[Low Tol]],"Pass","Fail"),IF(Table1[[#This Row],[DUT Adj Read]]&gt;=Table1[[#This Row],[Low Tol]],"Pass","Fail")))</f>
        <v>Pass</v>
      </c>
      <c r="AG2124" s="1" t="str">
        <f>IF(AND(Table1[[#This Row],[Spec Type2]]="N/A",Table1[[#This Row],[DUT Adj Read]]="N/A",Table1[[#This Row],[Std Adj Read]]="N/A"),"N/A",IF(Table1[[#This Row],[DUT Adj Read]]="N/A",IF(Table1[[#This Row],[Std Adj Read]]&lt;=Table1[[#This Row],[High Tol]],"Pass","Fail"),IF(Table1[[#This Row],[DUT Adj Read]]&lt;=Table1[[#This Row],[High Tol]],"Pass","Fail")))</f>
        <v>Fail</v>
      </c>
      <c r="AH21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4" s="1" t="b">
        <v>0</v>
      </c>
      <c r="AN2124" s="1" t="b">
        <v>0</v>
      </c>
      <c r="AO2124" s="1" t="b">
        <v>0</v>
      </c>
    </row>
    <row r="2125" spans="1:41" x14ac:dyDescent="0.25">
      <c r="A2125" s="10"/>
      <c r="B2125" s="10"/>
      <c r="C2125" s="10"/>
      <c r="D2125" s="10"/>
      <c r="E2125" s="10"/>
      <c r="F2125" s="10"/>
      <c r="G2125" s="10"/>
      <c r="H2125" s="10"/>
      <c r="I2125" s="1" t="str">
        <f t="shared" si="99"/>
        <v/>
      </c>
      <c r="J2125" s="1" t="s">
        <v>35</v>
      </c>
      <c r="K2125" s="1" t="str">
        <f t="shared" si="100"/>
        <v/>
      </c>
      <c r="L2125" s="1" t="str">
        <f t="shared" si="101"/>
        <v/>
      </c>
      <c r="M2125" s="1">
        <f>IF(OR(Table1[[#This Row],[Std Nom]]="",Table1[[#This Row],[Std Read]]=""),0,Table1[[#This Row],[Std Nom]]-Table1[[#This Row],[Std Read]])</f>
        <v>0</v>
      </c>
      <c r="N2125" s="1">
        <f>IF(Calculations!$F$5="ACCREDITED 17025 WITH UNCERTAINTIES",$N$10,0)</f>
        <v>0</v>
      </c>
      <c r="O2125" s="1" t="str">
        <f>IFERROR(Table1[[#This Row],[Std Nom]]-(_xlfn.XLOOKUP(Table1[[#This Row],[Manufacturer]]&amp;" "&amp;Table1[[#This Row],[Model]],Table13[MFR &amp; MDL],Table13[Tolerance % CW ],"")/100*Table1[[#This Row],[Std Nom]]),"")</f>
        <v/>
      </c>
      <c r="P2125" s="1" t="str">
        <f>IFERROR(Table1[[#This Row],[Std Nom]]+(_xlfn.XLOOKUP(Table1[[#This Row],[Manufacturer]]&amp;" "&amp;Table1[[#This Row],[Model]],Table13[MFR &amp; MDL],Table13[Tolerance % CW ],"")/100*Table1[[#This Row],[Std Nom]]),"")</f>
        <v/>
      </c>
      <c r="Q2125" s="1" t="e">
        <f>Table1[[#This Row],[High Tol]]-Table1[[#This Row],[Low Tol]]</f>
        <v>#VALUE!</v>
      </c>
      <c r="R2125" s="1">
        <f>2*Table1[[#This Row],[Std Error]]</f>
        <v>0</v>
      </c>
      <c r="S2125" s="1" t="str">
        <f>IF(Table1[[#This Row],[High Tol]]="","N/A",IFERROR(ABS(Table1[[#This Row],[Tol Span]]/Table1[[#This Row],[Error Span]]),"N/A"))</f>
        <v>N/A</v>
      </c>
      <c r="T2125" s="1" t="str">
        <f>IF(OR(Table1[[#This Row],[Low Tol]]="",Table1[[#This Row],[High Tol]]=""),"Needs Analysis",IF(Table1[[#This Row],[Ratio]]&gt;=4,"Not Significant",IF(Table1[[#This Row],[Ratio]]&gt;=2,"Semi-Significant","Significant")))</f>
        <v>Needs Analysis</v>
      </c>
      <c r="W2125" s="1">
        <f>IF(Table1[[#This Row],[Cal Type]]&lt;&gt;"ACCREDITED 17025 WITH UNCERTAINTIES",0,"")</f>
        <v>0</v>
      </c>
      <c r="X2125" s="1" t="str">
        <f>IF(Table1[[#This Row],[DUT Read]]="","N/A",Table1[[#This Row],[Std Error]]+Table1[[#This Row],[DUT Read]]+Table1[[#This Row],[DUT Ucty]])</f>
        <v>N/A</v>
      </c>
      <c r="Y2125" s="1" t="str">
        <f>IF(Table1[[#This Row],[Std Read]]="","N/A",Table1[[#This Row],[Std Read]]+Table1[[#This Row],[Std Ucty]])</f>
        <v>N/A</v>
      </c>
      <c r="Z21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5" s="1" t="str">
        <f>IF(Table1[[#This Row],[Spec Type]]="","N/A",Table1[[#This Row],[Spec Type]])</f>
        <v>±</v>
      </c>
      <c r="AC2125" s="1" t="str">
        <f>IF(Table1[[#This Row],[Spec Type2]]="N/A","N/A",IF(AND(Table1[[#This Row],[DUT Adj Read]]&gt;=Table1[[#This Row],[Low Tol]],Table1[[#This Row],[DUT Adj Read]]&lt;=Table1[[#This Row],[High Tol]]),"Pass","Fail"))</f>
        <v>Fail</v>
      </c>
      <c r="AD2125" s="1" t="str">
        <f>IF(AND(Table1[[#This Row],[Spec Type2]]="N/A",Table1[[#This Row],[DUT Adj Read]]="N/A",Table1[[#This Row],[Std Adj Read]]="N/A"),"N/A",IF(Table1[[#This Row],[DUT Adj Read]]="N/A",IF(Table1[[#This Row],[Std Adj Read]]&gt;Table1[[#This Row],[Low Tol]],"Pass","Fail"),IF(Table1[[#This Row],[DUT Adj Read]]&gt;Table1[[#This Row],[Low Tol]],"Pass","Fail")))</f>
        <v>Pass</v>
      </c>
      <c r="AE2125" s="1" t="str">
        <f>IF(AND(Table1[[#This Row],[Spec Type2]]="N/A",Table1[[#This Row],[DUT Adj Read]]="N/A",Table1[[#This Row],[Std Adj Read]]="N/A"),"N/A",IF(Table1[[#This Row],[DUT Adj Read]]="N/A",IF(Table1[[#This Row],[Std Adj Read]]&lt;Table1[[#This Row],[High Tol]],"Pass","Fail"),IF(Table1[[#This Row],[DUT Adj Read]]&lt;Table1[[#This Row],[High Tol]],"Pass","Fail")))</f>
        <v>Fail</v>
      </c>
      <c r="AF2125" s="1" t="str">
        <f>IF(AND(Table1[[#This Row],[Spec Type2]]="N/A",Table1[[#This Row],[DUT Adj Read]]="N/A",Table1[[#This Row],[Std Adj Read]]="N/A"),"N/A",IF(Table1[[#This Row],[DUT Adj Read]]="N/A",IF(Table1[[#This Row],[Std Adj Read]]&gt;=Table1[[#This Row],[Low Tol]],"Pass","Fail"),IF(Table1[[#This Row],[DUT Adj Read]]&gt;=Table1[[#This Row],[Low Tol]],"Pass","Fail")))</f>
        <v>Pass</v>
      </c>
      <c r="AG2125" s="1" t="str">
        <f>IF(AND(Table1[[#This Row],[Spec Type2]]="N/A",Table1[[#This Row],[DUT Adj Read]]="N/A",Table1[[#This Row],[Std Adj Read]]="N/A"),"N/A",IF(Table1[[#This Row],[DUT Adj Read]]="N/A",IF(Table1[[#This Row],[Std Adj Read]]&lt;=Table1[[#This Row],[High Tol]],"Pass","Fail"),IF(Table1[[#This Row],[DUT Adj Read]]&lt;=Table1[[#This Row],[High Tol]],"Pass","Fail")))</f>
        <v>Fail</v>
      </c>
      <c r="AH21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5" s="1" t="b">
        <v>0</v>
      </c>
      <c r="AN2125" s="1" t="b">
        <v>0</v>
      </c>
      <c r="AO2125" s="1" t="b">
        <v>0</v>
      </c>
    </row>
    <row r="2126" spans="1:41" x14ac:dyDescent="0.25">
      <c r="A2126" s="10"/>
      <c r="B2126" s="10"/>
      <c r="C2126" s="10"/>
      <c r="D2126" s="10"/>
      <c r="E2126" s="10"/>
      <c r="F2126" s="10"/>
      <c r="G2126" s="10"/>
      <c r="H2126" s="10"/>
      <c r="I2126" s="1" t="str">
        <f t="shared" si="99"/>
        <v/>
      </c>
      <c r="J2126" s="1" t="s">
        <v>35</v>
      </c>
      <c r="K2126" s="1" t="str">
        <f t="shared" si="100"/>
        <v/>
      </c>
      <c r="L2126" s="1" t="str">
        <f t="shared" si="101"/>
        <v/>
      </c>
      <c r="M2126" s="1">
        <f>IF(OR(Table1[[#This Row],[Std Nom]]="",Table1[[#This Row],[Std Read]]=""),0,Table1[[#This Row],[Std Nom]]-Table1[[#This Row],[Std Read]])</f>
        <v>0</v>
      </c>
      <c r="N2126" s="1">
        <f>IF(Calculations!$F$5="ACCREDITED 17025 WITH UNCERTAINTIES",$N$10,0)</f>
        <v>0</v>
      </c>
      <c r="O2126" s="1" t="str">
        <f>IFERROR(Table1[[#This Row],[Std Nom]]-(_xlfn.XLOOKUP(Table1[[#This Row],[Manufacturer]]&amp;" "&amp;Table1[[#This Row],[Model]],Table13[MFR &amp; MDL],Table13[Tolerance % CW ],"")/100*Table1[[#This Row],[Std Nom]]),"")</f>
        <v/>
      </c>
      <c r="P2126" s="1" t="str">
        <f>IFERROR(Table1[[#This Row],[Std Nom]]+(_xlfn.XLOOKUP(Table1[[#This Row],[Manufacturer]]&amp;" "&amp;Table1[[#This Row],[Model]],Table13[MFR &amp; MDL],Table13[Tolerance % CW ],"")/100*Table1[[#This Row],[Std Nom]]),"")</f>
        <v/>
      </c>
      <c r="Q2126" s="1" t="e">
        <f>Table1[[#This Row],[High Tol]]-Table1[[#This Row],[Low Tol]]</f>
        <v>#VALUE!</v>
      </c>
      <c r="R2126" s="1">
        <f>2*Table1[[#This Row],[Std Error]]</f>
        <v>0</v>
      </c>
      <c r="S2126" s="1" t="str">
        <f>IF(Table1[[#This Row],[High Tol]]="","N/A",IFERROR(ABS(Table1[[#This Row],[Tol Span]]/Table1[[#This Row],[Error Span]]),"N/A"))</f>
        <v>N/A</v>
      </c>
      <c r="T2126" s="1" t="str">
        <f>IF(OR(Table1[[#This Row],[Low Tol]]="",Table1[[#This Row],[High Tol]]=""),"Needs Analysis",IF(Table1[[#This Row],[Ratio]]&gt;=4,"Not Significant",IF(Table1[[#This Row],[Ratio]]&gt;=2,"Semi-Significant","Significant")))</f>
        <v>Needs Analysis</v>
      </c>
      <c r="W2126" s="1">
        <f>IF(Table1[[#This Row],[Cal Type]]&lt;&gt;"ACCREDITED 17025 WITH UNCERTAINTIES",0,"")</f>
        <v>0</v>
      </c>
      <c r="X2126" s="1" t="str">
        <f>IF(Table1[[#This Row],[DUT Read]]="","N/A",Table1[[#This Row],[Std Error]]+Table1[[#This Row],[DUT Read]]+Table1[[#This Row],[DUT Ucty]])</f>
        <v>N/A</v>
      </c>
      <c r="Y2126" s="1" t="str">
        <f>IF(Table1[[#This Row],[Std Read]]="","N/A",Table1[[#This Row],[Std Read]]+Table1[[#This Row],[Std Ucty]])</f>
        <v>N/A</v>
      </c>
      <c r="Z21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6" s="1" t="str">
        <f>IF(Table1[[#This Row],[Spec Type]]="","N/A",Table1[[#This Row],[Spec Type]])</f>
        <v>±</v>
      </c>
      <c r="AC2126" s="1" t="str">
        <f>IF(Table1[[#This Row],[Spec Type2]]="N/A","N/A",IF(AND(Table1[[#This Row],[DUT Adj Read]]&gt;=Table1[[#This Row],[Low Tol]],Table1[[#This Row],[DUT Adj Read]]&lt;=Table1[[#This Row],[High Tol]]),"Pass","Fail"))</f>
        <v>Fail</v>
      </c>
      <c r="AD2126" s="1" t="str">
        <f>IF(AND(Table1[[#This Row],[Spec Type2]]="N/A",Table1[[#This Row],[DUT Adj Read]]="N/A",Table1[[#This Row],[Std Adj Read]]="N/A"),"N/A",IF(Table1[[#This Row],[DUT Adj Read]]="N/A",IF(Table1[[#This Row],[Std Adj Read]]&gt;Table1[[#This Row],[Low Tol]],"Pass","Fail"),IF(Table1[[#This Row],[DUT Adj Read]]&gt;Table1[[#This Row],[Low Tol]],"Pass","Fail")))</f>
        <v>Pass</v>
      </c>
      <c r="AE2126" s="1" t="str">
        <f>IF(AND(Table1[[#This Row],[Spec Type2]]="N/A",Table1[[#This Row],[DUT Adj Read]]="N/A",Table1[[#This Row],[Std Adj Read]]="N/A"),"N/A",IF(Table1[[#This Row],[DUT Adj Read]]="N/A",IF(Table1[[#This Row],[Std Adj Read]]&lt;Table1[[#This Row],[High Tol]],"Pass","Fail"),IF(Table1[[#This Row],[DUT Adj Read]]&lt;Table1[[#This Row],[High Tol]],"Pass","Fail")))</f>
        <v>Fail</v>
      </c>
      <c r="AF2126" s="1" t="str">
        <f>IF(AND(Table1[[#This Row],[Spec Type2]]="N/A",Table1[[#This Row],[DUT Adj Read]]="N/A",Table1[[#This Row],[Std Adj Read]]="N/A"),"N/A",IF(Table1[[#This Row],[DUT Adj Read]]="N/A",IF(Table1[[#This Row],[Std Adj Read]]&gt;=Table1[[#This Row],[Low Tol]],"Pass","Fail"),IF(Table1[[#This Row],[DUT Adj Read]]&gt;=Table1[[#This Row],[Low Tol]],"Pass","Fail")))</f>
        <v>Pass</v>
      </c>
      <c r="AG2126" s="1" t="str">
        <f>IF(AND(Table1[[#This Row],[Spec Type2]]="N/A",Table1[[#This Row],[DUT Adj Read]]="N/A",Table1[[#This Row],[Std Adj Read]]="N/A"),"N/A",IF(Table1[[#This Row],[DUT Adj Read]]="N/A",IF(Table1[[#This Row],[Std Adj Read]]&lt;=Table1[[#This Row],[High Tol]],"Pass","Fail"),IF(Table1[[#This Row],[DUT Adj Read]]&lt;=Table1[[#This Row],[High Tol]],"Pass","Fail")))</f>
        <v>Fail</v>
      </c>
      <c r="AH21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6" s="1" t="b">
        <v>0</v>
      </c>
      <c r="AN2126" s="1" t="b">
        <v>0</v>
      </c>
      <c r="AO2126" s="1" t="b">
        <v>0</v>
      </c>
    </row>
    <row r="2127" spans="1:41" x14ac:dyDescent="0.25">
      <c r="A2127" s="10"/>
      <c r="B2127" s="10"/>
      <c r="C2127" s="10"/>
      <c r="D2127" s="10"/>
      <c r="E2127" s="10"/>
      <c r="F2127" s="10"/>
      <c r="G2127" s="10"/>
      <c r="H2127" s="10"/>
      <c r="I2127" s="1" t="str">
        <f t="shared" si="99"/>
        <v/>
      </c>
      <c r="J2127" s="1" t="s">
        <v>35</v>
      </c>
      <c r="K2127" s="1" t="str">
        <f t="shared" si="100"/>
        <v/>
      </c>
      <c r="L2127" s="1" t="str">
        <f t="shared" si="101"/>
        <v/>
      </c>
      <c r="M2127" s="1">
        <f>IF(OR(Table1[[#This Row],[Std Nom]]="",Table1[[#This Row],[Std Read]]=""),0,Table1[[#This Row],[Std Nom]]-Table1[[#This Row],[Std Read]])</f>
        <v>0</v>
      </c>
      <c r="N2127" s="1">
        <f>IF(Calculations!$F$5="ACCREDITED 17025 WITH UNCERTAINTIES",$N$10,0)</f>
        <v>0</v>
      </c>
      <c r="O2127" s="1" t="str">
        <f>IFERROR(Table1[[#This Row],[Std Nom]]-(_xlfn.XLOOKUP(Table1[[#This Row],[Manufacturer]]&amp;" "&amp;Table1[[#This Row],[Model]],Table13[MFR &amp; MDL],Table13[Tolerance % CW ],"")/100*Table1[[#This Row],[Std Nom]]),"")</f>
        <v/>
      </c>
      <c r="P2127" s="1" t="str">
        <f>IFERROR(Table1[[#This Row],[Std Nom]]+(_xlfn.XLOOKUP(Table1[[#This Row],[Manufacturer]]&amp;" "&amp;Table1[[#This Row],[Model]],Table13[MFR &amp; MDL],Table13[Tolerance % CW ],"")/100*Table1[[#This Row],[Std Nom]]),"")</f>
        <v/>
      </c>
      <c r="Q2127" s="1" t="e">
        <f>Table1[[#This Row],[High Tol]]-Table1[[#This Row],[Low Tol]]</f>
        <v>#VALUE!</v>
      </c>
      <c r="R2127" s="1">
        <f>2*Table1[[#This Row],[Std Error]]</f>
        <v>0</v>
      </c>
      <c r="S2127" s="1" t="str">
        <f>IF(Table1[[#This Row],[High Tol]]="","N/A",IFERROR(ABS(Table1[[#This Row],[Tol Span]]/Table1[[#This Row],[Error Span]]),"N/A"))</f>
        <v>N/A</v>
      </c>
      <c r="T2127" s="1" t="str">
        <f>IF(OR(Table1[[#This Row],[Low Tol]]="",Table1[[#This Row],[High Tol]]=""),"Needs Analysis",IF(Table1[[#This Row],[Ratio]]&gt;=4,"Not Significant",IF(Table1[[#This Row],[Ratio]]&gt;=2,"Semi-Significant","Significant")))</f>
        <v>Needs Analysis</v>
      </c>
      <c r="W2127" s="1">
        <f>IF(Table1[[#This Row],[Cal Type]]&lt;&gt;"ACCREDITED 17025 WITH UNCERTAINTIES",0,"")</f>
        <v>0</v>
      </c>
      <c r="X2127" s="1" t="str">
        <f>IF(Table1[[#This Row],[DUT Read]]="","N/A",Table1[[#This Row],[Std Error]]+Table1[[#This Row],[DUT Read]]+Table1[[#This Row],[DUT Ucty]])</f>
        <v>N/A</v>
      </c>
      <c r="Y2127" s="1" t="str">
        <f>IF(Table1[[#This Row],[Std Read]]="","N/A",Table1[[#This Row],[Std Read]]+Table1[[#This Row],[Std Ucty]])</f>
        <v>N/A</v>
      </c>
      <c r="Z21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7" s="1" t="str">
        <f>IF(Table1[[#This Row],[Spec Type]]="","N/A",Table1[[#This Row],[Spec Type]])</f>
        <v>±</v>
      </c>
      <c r="AC2127" s="1" t="str">
        <f>IF(Table1[[#This Row],[Spec Type2]]="N/A","N/A",IF(AND(Table1[[#This Row],[DUT Adj Read]]&gt;=Table1[[#This Row],[Low Tol]],Table1[[#This Row],[DUT Adj Read]]&lt;=Table1[[#This Row],[High Tol]]),"Pass","Fail"))</f>
        <v>Fail</v>
      </c>
      <c r="AD2127" s="1" t="str">
        <f>IF(AND(Table1[[#This Row],[Spec Type2]]="N/A",Table1[[#This Row],[DUT Adj Read]]="N/A",Table1[[#This Row],[Std Adj Read]]="N/A"),"N/A",IF(Table1[[#This Row],[DUT Adj Read]]="N/A",IF(Table1[[#This Row],[Std Adj Read]]&gt;Table1[[#This Row],[Low Tol]],"Pass","Fail"),IF(Table1[[#This Row],[DUT Adj Read]]&gt;Table1[[#This Row],[Low Tol]],"Pass","Fail")))</f>
        <v>Pass</v>
      </c>
      <c r="AE2127" s="1" t="str">
        <f>IF(AND(Table1[[#This Row],[Spec Type2]]="N/A",Table1[[#This Row],[DUT Adj Read]]="N/A",Table1[[#This Row],[Std Adj Read]]="N/A"),"N/A",IF(Table1[[#This Row],[DUT Adj Read]]="N/A",IF(Table1[[#This Row],[Std Adj Read]]&lt;Table1[[#This Row],[High Tol]],"Pass","Fail"),IF(Table1[[#This Row],[DUT Adj Read]]&lt;Table1[[#This Row],[High Tol]],"Pass","Fail")))</f>
        <v>Fail</v>
      </c>
      <c r="AF2127" s="1" t="str">
        <f>IF(AND(Table1[[#This Row],[Spec Type2]]="N/A",Table1[[#This Row],[DUT Adj Read]]="N/A",Table1[[#This Row],[Std Adj Read]]="N/A"),"N/A",IF(Table1[[#This Row],[DUT Adj Read]]="N/A",IF(Table1[[#This Row],[Std Adj Read]]&gt;=Table1[[#This Row],[Low Tol]],"Pass","Fail"),IF(Table1[[#This Row],[DUT Adj Read]]&gt;=Table1[[#This Row],[Low Tol]],"Pass","Fail")))</f>
        <v>Pass</v>
      </c>
      <c r="AG2127" s="1" t="str">
        <f>IF(AND(Table1[[#This Row],[Spec Type2]]="N/A",Table1[[#This Row],[DUT Adj Read]]="N/A",Table1[[#This Row],[Std Adj Read]]="N/A"),"N/A",IF(Table1[[#This Row],[DUT Adj Read]]="N/A",IF(Table1[[#This Row],[Std Adj Read]]&lt;=Table1[[#This Row],[High Tol]],"Pass","Fail"),IF(Table1[[#This Row],[DUT Adj Read]]&lt;=Table1[[#This Row],[High Tol]],"Pass","Fail")))</f>
        <v>Fail</v>
      </c>
      <c r="AH21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7" s="1" t="b">
        <v>0</v>
      </c>
      <c r="AN2127" s="1" t="b">
        <v>0</v>
      </c>
      <c r="AO2127" s="1" t="b">
        <v>0</v>
      </c>
    </row>
    <row r="2128" spans="1:41" x14ac:dyDescent="0.25">
      <c r="A2128" s="10"/>
      <c r="B2128" s="10"/>
      <c r="C2128" s="10"/>
      <c r="D2128" s="10"/>
      <c r="E2128" s="10"/>
      <c r="F2128" s="10"/>
      <c r="G2128" s="10"/>
      <c r="H2128" s="10"/>
      <c r="I2128" s="1" t="str">
        <f t="shared" si="99"/>
        <v/>
      </c>
      <c r="J2128" s="1" t="s">
        <v>35</v>
      </c>
      <c r="K2128" s="1" t="str">
        <f t="shared" si="100"/>
        <v/>
      </c>
      <c r="L2128" s="1" t="str">
        <f t="shared" si="101"/>
        <v/>
      </c>
      <c r="M2128" s="1">
        <f>IF(OR(Table1[[#This Row],[Std Nom]]="",Table1[[#This Row],[Std Read]]=""),0,Table1[[#This Row],[Std Nom]]-Table1[[#This Row],[Std Read]])</f>
        <v>0</v>
      </c>
      <c r="N2128" s="1">
        <f>IF(Calculations!$F$5="ACCREDITED 17025 WITH UNCERTAINTIES",$N$10,0)</f>
        <v>0</v>
      </c>
      <c r="O2128" s="1" t="str">
        <f>IFERROR(Table1[[#This Row],[Std Nom]]-(_xlfn.XLOOKUP(Table1[[#This Row],[Manufacturer]]&amp;" "&amp;Table1[[#This Row],[Model]],Table13[MFR &amp; MDL],Table13[Tolerance % CW ],"")/100*Table1[[#This Row],[Std Nom]]),"")</f>
        <v/>
      </c>
      <c r="P2128" s="1" t="str">
        <f>IFERROR(Table1[[#This Row],[Std Nom]]+(_xlfn.XLOOKUP(Table1[[#This Row],[Manufacturer]]&amp;" "&amp;Table1[[#This Row],[Model]],Table13[MFR &amp; MDL],Table13[Tolerance % CW ],"")/100*Table1[[#This Row],[Std Nom]]),"")</f>
        <v/>
      </c>
      <c r="Q2128" s="1" t="e">
        <f>Table1[[#This Row],[High Tol]]-Table1[[#This Row],[Low Tol]]</f>
        <v>#VALUE!</v>
      </c>
      <c r="R2128" s="1">
        <f>2*Table1[[#This Row],[Std Error]]</f>
        <v>0</v>
      </c>
      <c r="S2128" s="1" t="str">
        <f>IF(Table1[[#This Row],[High Tol]]="","N/A",IFERROR(ABS(Table1[[#This Row],[Tol Span]]/Table1[[#This Row],[Error Span]]),"N/A"))</f>
        <v>N/A</v>
      </c>
      <c r="T2128" s="1" t="str">
        <f>IF(OR(Table1[[#This Row],[Low Tol]]="",Table1[[#This Row],[High Tol]]=""),"Needs Analysis",IF(Table1[[#This Row],[Ratio]]&gt;=4,"Not Significant",IF(Table1[[#This Row],[Ratio]]&gt;=2,"Semi-Significant","Significant")))</f>
        <v>Needs Analysis</v>
      </c>
      <c r="W2128" s="1">
        <f>IF(Table1[[#This Row],[Cal Type]]&lt;&gt;"ACCREDITED 17025 WITH UNCERTAINTIES",0,"")</f>
        <v>0</v>
      </c>
      <c r="X2128" s="1" t="str">
        <f>IF(Table1[[#This Row],[DUT Read]]="","N/A",Table1[[#This Row],[Std Error]]+Table1[[#This Row],[DUT Read]]+Table1[[#This Row],[DUT Ucty]])</f>
        <v>N/A</v>
      </c>
      <c r="Y2128" s="1" t="str">
        <f>IF(Table1[[#This Row],[Std Read]]="","N/A",Table1[[#This Row],[Std Read]]+Table1[[#This Row],[Std Ucty]])</f>
        <v>N/A</v>
      </c>
      <c r="Z21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8" s="1" t="str">
        <f>IF(Table1[[#This Row],[Spec Type]]="","N/A",Table1[[#This Row],[Spec Type]])</f>
        <v>±</v>
      </c>
      <c r="AC2128" s="1" t="str">
        <f>IF(Table1[[#This Row],[Spec Type2]]="N/A","N/A",IF(AND(Table1[[#This Row],[DUT Adj Read]]&gt;=Table1[[#This Row],[Low Tol]],Table1[[#This Row],[DUT Adj Read]]&lt;=Table1[[#This Row],[High Tol]]),"Pass","Fail"))</f>
        <v>Fail</v>
      </c>
      <c r="AD2128" s="1" t="str">
        <f>IF(AND(Table1[[#This Row],[Spec Type2]]="N/A",Table1[[#This Row],[DUT Adj Read]]="N/A",Table1[[#This Row],[Std Adj Read]]="N/A"),"N/A",IF(Table1[[#This Row],[DUT Adj Read]]="N/A",IF(Table1[[#This Row],[Std Adj Read]]&gt;Table1[[#This Row],[Low Tol]],"Pass","Fail"),IF(Table1[[#This Row],[DUT Adj Read]]&gt;Table1[[#This Row],[Low Tol]],"Pass","Fail")))</f>
        <v>Pass</v>
      </c>
      <c r="AE2128" s="1" t="str">
        <f>IF(AND(Table1[[#This Row],[Spec Type2]]="N/A",Table1[[#This Row],[DUT Adj Read]]="N/A",Table1[[#This Row],[Std Adj Read]]="N/A"),"N/A",IF(Table1[[#This Row],[DUT Adj Read]]="N/A",IF(Table1[[#This Row],[Std Adj Read]]&lt;Table1[[#This Row],[High Tol]],"Pass","Fail"),IF(Table1[[#This Row],[DUT Adj Read]]&lt;Table1[[#This Row],[High Tol]],"Pass","Fail")))</f>
        <v>Fail</v>
      </c>
      <c r="AF2128" s="1" t="str">
        <f>IF(AND(Table1[[#This Row],[Spec Type2]]="N/A",Table1[[#This Row],[DUT Adj Read]]="N/A",Table1[[#This Row],[Std Adj Read]]="N/A"),"N/A",IF(Table1[[#This Row],[DUT Adj Read]]="N/A",IF(Table1[[#This Row],[Std Adj Read]]&gt;=Table1[[#This Row],[Low Tol]],"Pass","Fail"),IF(Table1[[#This Row],[DUT Adj Read]]&gt;=Table1[[#This Row],[Low Tol]],"Pass","Fail")))</f>
        <v>Pass</v>
      </c>
      <c r="AG2128" s="1" t="str">
        <f>IF(AND(Table1[[#This Row],[Spec Type2]]="N/A",Table1[[#This Row],[DUT Adj Read]]="N/A",Table1[[#This Row],[Std Adj Read]]="N/A"),"N/A",IF(Table1[[#This Row],[DUT Adj Read]]="N/A",IF(Table1[[#This Row],[Std Adj Read]]&lt;=Table1[[#This Row],[High Tol]],"Pass","Fail"),IF(Table1[[#This Row],[DUT Adj Read]]&lt;=Table1[[#This Row],[High Tol]],"Pass","Fail")))</f>
        <v>Fail</v>
      </c>
      <c r="AH21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8" s="1" t="b">
        <v>0</v>
      </c>
      <c r="AN2128" s="1" t="b">
        <v>0</v>
      </c>
      <c r="AO2128" s="1" t="b">
        <v>0</v>
      </c>
    </row>
    <row r="2129" spans="1:41" x14ac:dyDescent="0.25">
      <c r="A2129" s="10"/>
      <c r="B2129" s="10"/>
      <c r="C2129" s="10"/>
      <c r="D2129" s="10"/>
      <c r="E2129" s="10"/>
      <c r="F2129" s="10"/>
      <c r="G2129" s="10"/>
      <c r="H2129" s="10"/>
      <c r="I2129" s="1" t="str">
        <f t="shared" si="99"/>
        <v/>
      </c>
      <c r="J2129" s="1" t="s">
        <v>35</v>
      </c>
      <c r="K2129" s="1" t="str">
        <f t="shared" si="100"/>
        <v/>
      </c>
      <c r="L2129" s="1" t="str">
        <f t="shared" si="101"/>
        <v/>
      </c>
      <c r="M2129" s="1">
        <f>IF(OR(Table1[[#This Row],[Std Nom]]="",Table1[[#This Row],[Std Read]]=""),0,Table1[[#This Row],[Std Nom]]-Table1[[#This Row],[Std Read]])</f>
        <v>0</v>
      </c>
      <c r="N2129" s="1">
        <f>IF(Calculations!$F$5="ACCREDITED 17025 WITH UNCERTAINTIES",$N$10,0)</f>
        <v>0</v>
      </c>
      <c r="O2129" s="1" t="str">
        <f>IFERROR(Table1[[#This Row],[Std Nom]]-(_xlfn.XLOOKUP(Table1[[#This Row],[Manufacturer]]&amp;" "&amp;Table1[[#This Row],[Model]],Table13[MFR &amp; MDL],Table13[Tolerance % CW ],"")/100*Table1[[#This Row],[Std Nom]]),"")</f>
        <v/>
      </c>
      <c r="P2129" s="1" t="str">
        <f>IFERROR(Table1[[#This Row],[Std Nom]]+(_xlfn.XLOOKUP(Table1[[#This Row],[Manufacturer]]&amp;" "&amp;Table1[[#This Row],[Model]],Table13[MFR &amp; MDL],Table13[Tolerance % CW ],"")/100*Table1[[#This Row],[Std Nom]]),"")</f>
        <v/>
      </c>
      <c r="Q2129" s="1" t="e">
        <f>Table1[[#This Row],[High Tol]]-Table1[[#This Row],[Low Tol]]</f>
        <v>#VALUE!</v>
      </c>
      <c r="R2129" s="1">
        <f>2*Table1[[#This Row],[Std Error]]</f>
        <v>0</v>
      </c>
      <c r="S2129" s="1" t="str">
        <f>IF(Table1[[#This Row],[High Tol]]="","N/A",IFERROR(ABS(Table1[[#This Row],[Tol Span]]/Table1[[#This Row],[Error Span]]),"N/A"))</f>
        <v>N/A</v>
      </c>
      <c r="T2129" s="1" t="str">
        <f>IF(OR(Table1[[#This Row],[Low Tol]]="",Table1[[#This Row],[High Tol]]=""),"Needs Analysis",IF(Table1[[#This Row],[Ratio]]&gt;=4,"Not Significant",IF(Table1[[#This Row],[Ratio]]&gt;=2,"Semi-Significant","Significant")))</f>
        <v>Needs Analysis</v>
      </c>
      <c r="W2129" s="1">
        <f>IF(Table1[[#This Row],[Cal Type]]&lt;&gt;"ACCREDITED 17025 WITH UNCERTAINTIES",0,"")</f>
        <v>0</v>
      </c>
      <c r="X2129" s="1" t="str">
        <f>IF(Table1[[#This Row],[DUT Read]]="","N/A",Table1[[#This Row],[Std Error]]+Table1[[#This Row],[DUT Read]]+Table1[[#This Row],[DUT Ucty]])</f>
        <v>N/A</v>
      </c>
      <c r="Y2129" s="1" t="str">
        <f>IF(Table1[[#This Row],[Std Read]]="","N/A",Table1[[#This Row],[Std Read]]+Table1[[#This Row],[Std Ucty]])</f>
        <v>N/A</v>
      </c>
      <c r="Z21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9" s="1" t="str">
        <f>IF(Table1[[#This Row],[Spec Type]]="","N/A",Table1[[#This Row],[Spec Type]])</f>
        <v>±</v>
      </c>
      <c r="AC2129" s="1" t="str">
        <f>IF(Table1[[#This Row],[Spec Type2]]="N/A","N/A",IF(AND(Table1[[#This Row],[DUT Adj Read]]&gt;=Table1[[#This Row],[Low Tol]],Table1[[#This Row],[DUT Adj Read]]&lt;=Table1[[#This Row],[High Tol]]),"Pass","Fail"))</f>
        <v>Fail</v>
      </c>
      <c r="AD2129" s="1" t="str">
        <f>IF(AND(Table1[[#This Row],[Spec Type2]]="N/A",Table1[[#This Row],[DUT Adj Read]]="N/A",Table1[[#This Row],[Std Adj Read]]="N/A"),"N/A",IF(Table1[[#This Row],[DUT Adj Read]]="N/A",IF(Table1[[#This Row],[Std Adj Read]]&gt;Table1[[#This Row],[Low Tol]],"Pass","Fail"),IF(Table1[[#This Row],[DUT Adj Read]]&gt;Table1[[#This Row],[Low Tol]],"Pass","Fail")))</f>
        <v>Pass</v>
      </c>
      <c r="AE2129" s="1" t="str">
        <f>IF(AND(Table1[[#This Row],[Spec Type2]]="N/A",Table1[[#This Row],[DUT Adj Read]]="N/A",Table1[[#This Row],[Std Adj Read]]="N/A"),"N/A",IF(Table1[[#This Row],[DUT Adj Read]]="N/A",IF(Table1[[#This Row],[Std Adj Read]]&lt;Table1[[#This Row],[High Tol]],"Pass","Fail"),IF(Table1[[#This Row],[DUT Adj Read]]&lt;Table1[[#This Row],[High Tol]],"Pass","Fail")))</f>
        <v>Fail</v>
      </c>
      <c r="AF2129" s="1" t="str">
        <f>IF(AND(Table1[[#This Row],[Spec Type2]]="N/A",Table1[[#This Row],[DUT Adj Read]]="N/A",Table1[[#This Row],[Std Adj Read]]="N/A"),"N/A",IF(Table1[[#This Row],[DUT Adj Read]]="N/A",IF(Table1[[#This Row],[Std Adj Read]]&gt;=Table1[[#This Row],[Low Tol]],"Pass","Fail"),IF(Table1[[#This Row],[DUT Adj Read]]&gt;=Table1[[#This Row],[Low Tol]],"Pass","Fail")))</f>
        <v>Pass</v>
      </c>
      <c r="AG2129" s="1" t="str">
        <f>IF(AND(Table1[[#This Row],[Spec Type2]]="N/A",Table1[[#This Row],[DUT Adj Read]]="N/A",Table1[[#This Row],[Std Adj Read]]="N/A"),"N/A",IF(Table1[[#This Row],[DUT Adj Read]]="N/A",IF(Table1[[#This Row],[Std Adj Read]]&lt;=Table1[[#This Row],[High Tol]],"Pass","Fail"),IF(Table1[[#This Row],[DUT Adj Read]]&lt;=Table1[[#This Row],[High Tol]],"Pass","Fail")))</f>
        <v>Fail</v>
      </c>
      <c r="AH21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9" s="1" t="b">
        <v>0</v>
      </c>
      <c r="AN2129" s="1" t="b">
        <v>0</v>
      </c>
      <c r="AO2129" s="1" t="b">
        <v>0</v>
      </c>
    </row>
    <row r="2130" spans="1:41" x14ac:dyDescent="0.25">
      <c r="A2130" s="10"/>
      <c r="B2130" s="10"/>
      <c r="C2130" s="10"/>
      <c r="D2130" s="10"/>
      <c r="E2130" s="10"/>
      <c r="F2130" s="10"/>
      <c r="G2130" s="10"/>
      <c r="H2130" s="10"/>
      <c r="I2130" s="1" t="str">
        <f t="shared" si="99"/>
        <v/>
      </c>
      <c r="J2130" s="1" t="s">
        <v>35</v>
      </c>
      <c r="K2130" s="1" t="str">
        <f t="shared" si="100"/>
        <v/>
      </c>
      <c r="L2130" s="1" t="str">
        <f t="shared" si="101"/>
        <v/>
      </c>
      <c r="M2130" s="1">
        <f>IF(OR(Table1[[#This Row],[Std Nom]]="",Table1[[#This Row],[Std Read]]=""),0,Table1[[#This Row],[Std Nom]]-Table1[[#This Row],[Std Read]])</f>
        <v>0</v>
      </c>
      <c r="N2130" s="1">
        <f>IF(Calculations!$F$5="ACCREDITED 17025 WITH UNCERTAINTIES",$N$10,0)</f>
        <v>0</v>
      </c>
      <c r="O2130" s="1" t="str">
        <f>IFERROR(Table1[[#This Row],[Std Nom]]-(_xlfn.XLOOKUP(Table1[[#This Row],[Manufacturer]]&amp;" "&amp;Table1[[#This Row],[Model]],Table13[MFR &amp; MDL],Table13[Tolerance % CW ],"")/100*Table1[[#This Row],[Std Nom]]),"")</f>
        <v/>
      </c>
      <c r="P2130" s="1" t="str">
        <f>IFERROR(Table1[[#This Row],[Std Nom]]+(_xlfn.XLOOKUP(Table1[[#This Row],[Manufacturer]]&amp;" "&amp;Table1[[#This Row],[Model]],Table13[MFR &amp; MDL],Table13[Tolerance % CW ],"")/100*Table1[[#This Row],[Std Nom]]),"")</f>
        <v/>
      </c>
      <c r="Q2130" s="1" t="e">
        <f>Table1[[#This Row],[High Tol]]-Table1[[#This Row],[Low Tol]]</f>
        <v>#VALUE!</v>
      </c>
      <c r="R2130" s="1">
        <f>2*Table1[[#This Row],[Std Error]]</f>
        <v>0</v>
      </c>
      <c r="S2130" s="1" t="str">
        <f>IF(Table1[[#This Row],[High Tol]]="","N/A",IFERROR(ABS(Table1[[#This Row],[Tol Span]]/Table1[[#This Row],[Error Span]]),"N/A"))</f>
        <v>N/A</v>
      </c>
      <c r="T2130" s="1" t="str">
        <f>IF(OR(Table1[[#This Row],[Low Tol]]="",Table1[[#This Row],[High Tol]]=""),"Needs Analysis",IF(Table1[[#This Row],[Ratio]]&gt;=4,"Not Significant",IF(Table1[[#This Row],[Ratio]]&gt;=2,"Semi-Significant","Significant")))</f>
        <v>Needs Analysis</v>
      </c>
      <c r="W2130" s="1">
        <f>IF(Table1[[#This Row],[Cal Type]]&lt;&gt;"ACCREDITED 17025 WITH UNCERTAINTIES",0,"")</f>
        <v>0</v>
      </c>
      <c r="X2130" s="1" t="str">
        <f>IF(Table1[[#This Row],[DUT Read]]="","N/A",Table1[[#This Row],[Std Error]]+Table1[[#This Row],[DUT Read]]+Table1[[#This Row],[DUT Ucty]])</f>
        <v>N/A</v>
      </c>
      <c r="Y2130" s="1" t="str">
        <f>IF(Table1[[#This Row],[Std Read]]="","N/A",Table1[[#This Row],[Std Read]]+Table1[[#This Row],[Std Ucty]])</f>
        <v>N/A</v>
      </c>
      <c r="Z21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0" s="1" t="str">
        <f>IF(Table1[[#This Row],[Spec Type]]="","N/A",Table1[[#This Row],[Spec Type]])</f>
        <v>±</v>
      </c>
      <c r="AC2130" s="1" t="str">
        <f>IF(Table1[[#This Row],[Spec Type2]]="N/A","N/A",IF(AND(Table1[[#This Row],[DUT Adj Read]]&gt;=Table1[[#This Row],[Low Tol]],Table1[[#This Row],[DUT Adj Read]]&lt;=Table1[[#This Row],[High Tol]]),"Pass","Fail"))</f>
        <v>Fail</v>
      </c>
      <c r="AD2130" s="1" t="str">
        <f>IF(AND(Table1[[#This Row],[Spec Type2]]="N/A",Table1[[#This Row],[DUT Adj Read]]="N/A",Table1[[#This Row],[Std Adj Read]]="N/A"),"N/A",IF(Table1[[#This Row],[DUT Adj Read]]="N/A",IF(Table1[[#This Row],[Std Adj Read]]&gt;Table1[[#This Row],[Low Tol]],"Pass","Fail"),IF(Table1[[#This Row],[DUT Adj Read]]&gt;Table1[[#This Row],[Low Tol]],"Pass","Fail")))</f>
        <v>Pass</v>
      </c>
      <c r="AE2130" s="1" t="str">
        <f>IF(AND(Table1[[#This Row],[Spec Type2]]="N/A",Table1[[#This Row],[DUT Adj Read]]="N/A",Table1[[#This Row],[Std Adj Read]]="N/A"),"N/A",IF(Table1[[#This Row],[DUT Adj Read]]="N/A",IF(Table1[[#This Row],[Std Adj Read]]&lt;Table1[[#This Row],[High Tol]],"Pass","Fail"),IF(Table1[[#This Row],[DUT Adj Read]]&lt;Table1[[#This Row],[High Tol]],"Pass","Fail")))</f>
        <v>Fail</v>
      </c>
      <c r="AF2130" s="1" t="str">
        <f>IF(AND(Table1[[#This Row],[Spec Type2]]="N/A",Table1[[#This Row],[DUT Adj Read]]="N/A",Table1[[#This Row],[Std Adj Read]]="N/A"),"N/A",IF(Table1[[#This Row],[DUT Adj Read]]="N/A",IF(Table1[[#This Row],[Std Adj Read]]&gt;=Table1[[#This Row],[Low Tol]],"Pass","Fail"),IF(Table1[[#This Row],[DUT Adj Read]]&gt;=Table1[[#This Row],[Low Tol]],"Pass","Fail")))</f>
        <v>Pass</v>
      </c>
      <c r="AG2130" s="1" t="str">
        <f>IF(AND(Table1[[#This Row],[Spec Type2]]="N/A",Table1[[#This Row],[DUT Adj Read]]="N/A",Table1[[#This Row],[Std Adj Read]]="N/A"),"N/A",IF(Table1[[#This Row],[DUT Adj Read]]="N/A",IF(Table1[[#This Row],[Std Adj Read]]&lt;=Table1[[#This Row],[High Tol]],"Pass","Fail"),IF(Table1[[#This Row],[DUT Adj Read]]&lt;=Table1[[#This Row],[High Tol]],"Pass","Fail")))</f>
        <v>Fail</v>
      </c>
      <c r="AH21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0" s="1" t="b">
        <v>0</v>
      </c>
      <c r="AN2130" s="1" t="b">
        <v>0</v>
      </c>
      <c r="AO2130" s="1" t="b">
        <v>0</v>
      </c>
    </row>
    <row r="2131" spans="1:41" x14ac:dyDescent="0.25">
      <c r="A2131" s="10"/>
      <c r="B2131" s="10"/>
      <c r="C2131" s="10"/>
      <c r="D2131" s="10"/>
      <c r="E2131" s="10"/>
      <c r="F2131" s="10"/>
      <c r="G2131" s="10"/>
      <c r="H2131" s="10"/>
      <c r="I2131" s="1" t="str">
        <f t="shared" si="99"/>
        <v/>
      </c>
      <c r="J2131" s="1" t="s">
        <v>35</v>
      </c>
      <c r="K2131" s="1" t="str">
        <f t="shared" si="100"/>
        <v/>
      </c>
      <c r="L2131" s="1" t="str">
        <f t="shared" si="101"/>
        <v/>
      </c>
      <c r="M2131" s="1">
        <f>IF(OR(Table1[[#This Row],[Std Nom]]="",Table1[[#This Row],[Std Read]]=""),0,Table1[[#This Row],[Std Nom]]-Table1[[#This Row],[Std Read]])</f>
        <v>0</v>
      </c>
      <c r="N2131" s="1">
        <f>IF(Calculations!$F$5="ACCREDITED 17025 WITH UNCERTAINTIES",$N$10,0)</f>
        <v>0</v>
      </c>
      <c r="O2131" s="1" t="str">
        <f>IFERROR(Table1[[#This Row],[Std Nom]]-(_xlfn.XLOOKUP(Table1[[#This Row],[Manufacturer]]&amp;" "&amp;Table1[[#This Row],[Model]],Table13[MFR &amp; MDL],Table13[Tolerance % CW ],"")/100*Table1[[#This Row],[Std Nom]]),"")</f>
        <v/>
      </c>
      <c r="P2131" s="1" t="str">
        <f>IFERROR(Table1[[#This Row],[Std Nom]]+(_xlfn.XLOOKUP(Table1[[#This Row],[Manufacturer]]&amp;" "&amp;Table1[[#This Row],[Model]],Table13[MFR &amp; MDL],Table13[Tolerance % CW ],"")/100*Table1[[#This Row],[Std Nom]]),"")</f>
        <v/>
      </c>
      <c r="Q2131" s="1" t="e">
        <f>Table1[[#This Row],[High Tol]]-Table1[[#This Row],[Low Tol]]</f>
        <v>#VALUE!</v>
      </c>
      <c r="R2131" s="1">
        <f>2*Table1[[#This Row],[Std Error]]</f>
        <v>0</v>
      </c>
      <c r="S2131" s="1" t="str">
        <f>IF(Table1[[#This Row],[High Tol]]="","N/A",IFERROR(ABS(Table1[[#This Row],[Tol Span]]/Table1[[#This Row],[Error Span]]),"N/A"))</f>
        <v>N/A</v>
      </c>
      <c r="T2131" s="1" t="str">
        <f>IF(OR(Table1[[#This Row],[Low Tol]]="",Table1[[#This Row],[High Tol]]=""),"Needs Analysis",IF(Table1[[#This Row],[Ratio]]&gt;=4,"Not Significant",IF(Table1[[#This Row],[Ratio]]&gt;=2,"Semi-Significant","Significant")))</f>
        <v>Needs Analysis</v>
      </c>
      <c r="W2131" s="1">
        <f>IF(Table1[[#This Row],[Cal Type]]&lt;&gt;"ACCREDITED 17025 WITH UNCERTAINTIES",0,"")</f>
        <v>0</v>
      </c>
      <c r="X2131" s="1" t="str">
        <f>IF(Table1[[#This Row],[DUT Read]]="","N/A",Table1[[#This Row],[Std Error]]+Table1[[#This Row],[DUT Read]]+Table1[[#This Row],[DUT Ucty]])</f>
        <v>N/A</v>
      </c>
      <c r="Y2131" s="1" t="str">
        <f>IF(Table1[[#This Row],[Std Read]]="","N/A",Table1[[#This Row],[Std Read]]+Table1[[#This Row],[Std Ucty]])</f>
        <v>N/A</v>
      </c>
      <c r="Z21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1" s="1" t="str">
        <f>IF(Table1[[#This Row],[Spec Type]]="","N/A",Table1[[#This Row],[Spec Type]])</f>
        <v>±</v>
      </c>
      <c r="AC2131" s="1" t="str">
        <f>IF(Table1[[#This Row],[Spec Type2]]="N/A","N/A",IF(AND(Table1[[#This Row],[DUT Adj Read]]&gt;=Table1[[#This Row],[Low Tol]],Table1[[#This Row],[DUT Adj Read]]&lt;=Table1[[#This Row],[High Tol]]),"Pass","Fail"))</f>
        <v>Fail</v>
      </c>
      <c r="AD2131" s="1" t="str">
        <f>IF(AND(Table1[[#This Row],[Spec Type2]]="N/A",Table1[[#This Row],[DUT Adj Read]]="N/A",Table1[[#This Row],[Std Adj Read]]="N/A"),"N/A",IF(Table1[[#This Row],[DUT Adj Read]]="N/A",IF(Table1[[#This Row],[Std Adj Read]]&gt;Table1[[#This Row],[Low Tol]],"Pass","Fail"),IF(Table1[[#This Row],[DUT Adj Read]]&gt;Table1[[#This Row],[Low Tol]],"Pass","Fail")))</f>
        <v>Pass</v>
      </c>
      <c r="AE2131" s="1" t="str">
        <f>IF(AND(Table1[[#This Row],[Spec Type2]]="N/A",Table1[[#This Row],[DUT Adj Read]]="N/A",Table1[[#This Row],[Std Adj Read]]="N/A"),"N/A",IF(Table1[[#This Row],[DUT Adj Read]]="N/A",IF(Table1[[#This Row],[Std Adj Read]]&lt;Table1[[#This Row],[High Tol]],"Pass","Fail"),IF(Table1[[#This Row],[DUT Adj Read]]&lt;Table1[[#This Row],[High Tol]],"Pass","Fail")))</f>
        <v>Fail</v>
      </c>
      <c r="AF2131" s="1" t="str">
        <f>IF(AND(Table1[[#This Row],[Spec Type2]]="N/A",Table1[[#This Row],[DUT Adj Read]]="N/A",Table1[[#This Row],[Std Adj Read]]="N/A"),"N/A",IF(Table1[[#This Row],[DUT Adj Read]]="N/A",IF(Table1[[#This Row],[Std Adj Read]]&gt;=Table1[[#This Row],[Low Tol]],"Pass","Fail"),IF(Table1[[#This Row],[DUT Adj Read]]&gt;=Table1[[#This Row],[Low Tol]],"Pass","Fail")))</f>
        <v>Pass</v>
      </c>
      <c r="AG2131" s="1" t="str">
        <f>IF(AND(Table1[[#This Row],[Spec Type2]]="N/A",Table1[[#This Row],[DUT Adj Read]]="N/A",Table1[[#This Row],[Std Adj Read]]="N/A"),"N/A",IF(Table1[[#This Row],[DUT Adj Read]]="N/A",IF(Table1[[#This Row],[Std Adj Read]]&lt;=Table1[[#This Row],[High Tol]],"Pass","Fail"),IF(Table1[[#This Row],[DUT Adj Read]]&lt;=Table1[[#This Row],[High Tol]],"Pass","Fail")))</f>
        <v>Fail</v>
      </c>
      <c r="AH21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1" s="1" t="b">
        <v>0</v>
      </c>
      <c r="AN2131" s="1" t="b">
        <v>0</v>
      </c>
      <c r="AO2131" s="1" t="b">
        <v>0</v>
      </c>
    </row>
    <row r="2132" spans="1:41" x14ac:dyDescent="0.25">
      <c r="A2132" s="10"/>
      <c r="B2132" s="10"/>
      <c r="C2132" s="10"/>
      <c r="D2132" s="10"/>
      <c r="E2132" s="10"/>
      <c r="F2132" s="10"/>
      <c r="G2132" s="10"/>
      <c r="H2132" s="10"/>
      <c r="I2132" s="1" t="str">
        <f t="shared" si="99"/>
        <v/>
      </c>
      <c r="J2132" s="1" t="s">
        <v>35</v>
      </c>
      <c r="K2132" s="1" t="str">
        <f t="shared" si="100"/>
        <v/>
      </c>
      <c r="L2132" s="1" t="str">
        <f t="shared" si="101"/>
        <v/>
      </c>
      <c r="M2132" s="1">
        <f>IF(OR(Table1[[#This Row],[Std Nom]]="",Table1[[#This Row],[Std Read]]=""),0,Table1[[#This Row],[Std Nom]]-Table1[[#This Row],[Std Read]])</f>
        <v>0</v>
      </c>
      <c r="N2132" s="1">
        <f>IF(Calculations!$F$5="ACCREDITED 17025 WITH UNCERTAINTIES",$N$10,0)</f>
        <v>0</v>
      </c>
      <c r="O2132" s="1" t="str">
        <f>IFERROR(Table1[[#This Row],[Std Nom]]-(_xlfn.XLOOKUP(Table1[[#This Row],[Manufacturer]]&amp;" "&amp;Table1[[#This Row],[Model]],Table13[MFR &amp; MDL],Table13[Tolerance % CW ],"")/100*Table1[[#This Row],[Std Nom]]),"")</f>
        <v/>
      </c>
      <c r="P2132" s="1" t="str">
        <f>IFERROR(Table1[[#This Row],[Std Nom]]+(_xlfn.XLOOKUP(Table1[[#This Row],[Manufacturer]]&amp;" "&amp;Table1[[#This Row],[Model]],Table13[MFR &amp; MDL],Table13[Tolerance % CW ],"")/100*Table1[[#This Row],[Std Nom]]),"")</f>
        <v/>
      </c>
      <c r="Q2132" s="1" t="e">
        <f>Table1[[#This Row],[High Tol]]-Table1[[#This Row],[Low Tol]]</f>
        <v>#VALUE!</v>
      </c>
      <c r="R2132" s="1">
        <f>2*Table1[[#This Row],[Std Error]]</f>
        <v>0</v>
      </c>
      <c r="S2132" s="1" t="str">
        <f>IF(Table1[[#This Row],[High Tol]]="","N/A",IFERROR(ABS(Table1[[#This Row],[Tol Span]]/Table1[[#This Row],[Error Span]]),"N/A"))</f>
        <v>N/A</v>
      </c>
      <c r="T2132" s="1" t="str">
        <f>IF(OR(Table1[[#This Row],[Low Tol]]="",Table1[[#This Row],[High Tol]]=""),"Needs Analysis",IF(Table1[[#This Row],[Ratio]]&gt;=4,"Not Significant",IF(Table1[[#This Row],[Ratio]]&gt;=2,"Semi-Significant","Significant")))</f>
        <v>Needs Analysis</v>
      </c>
      <c r="W2132" s="1">
        <f>IF(Table1[[#This Row],[Cal Type]]&lt;&gt;"ACCREDITED 17025 WITH UNCERTAINTIES",0,"")</f>
        <v>0</v>
      </c>
      <c r="X2132" s="1" t="str">
        <f>IF(Table1[[#This Row],[DUT Read]]="","N/A",Table1[[#This Row],[Std Error]]+Table1[[#This Row],[DUT Read]]+Table1[[#This Row],[DUT Ucty]])</f>
        <v>N/A</v>
      </c>
      <c r="Y2132" s="1" t="str">
        <f>IF(Table1[[#This Row],[Std Read]]="","N/A",Table1[[#This Row],[Std Read]]+Table1[[#This Row],[Std Ucty]])</f>
        <v>N/A</v>
      </c>
      <c r="Z21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2" s="1" t="str">
        <f>IF(Table1[[#This Row],[Spec Type]]="","N/A",Table1[[#This Row],[Spec Type]])</f>
        <v>±</v>
      </c>
      <c r="AC2132" s="1" t="str">
        <f>IF(Table1[[#This Row],[Spec Type2]]="N/A","N/A",IF(AND(Table1[[#This Row],[DUT Adj Read]]&gt;=Table1[[#This Row],[Low Tol]],Table1[[#This Row],[DUT Adj Read]]&lt;=Table1[[#This Row],[High Tol]]),"Pass","Fail"))</f>
        <v>Fail</v>
      </c>
      <c r="AD2132" s="1" t="str">
        <f>IF(AND(Table1[[#This Row],[Spec Type2]]="N/A",Table1[[#This Row],[DUT Adj Read]]="N/A",Table1[[#This Row],[Std Adj Read]]="N/A"),"N/A",IF(Table1[[#This Row],[DUT Adj Read]]="N/A",IF(Table1[[#This Row],[Std Adj Read]]&gt;Table1[[#This Row],[Low Tol]],"Pass","Fail"),IF(Table1[[#This Row],[DUT Adj Read]]&gt;Table1[[#This Row],[Low Tol]],"Pass","Fail")))</f>
        <v>Pass</v>
      </c>
      <c r="AE2132" s="1" t="str">
        <f>IF(AND(Table1[[#This Row],[Spec Type2]]="N/A",Table1[[#This Row],[DUT Adj Read]]="N/A",Table1[[#This Row],[Std Adj Read]]="N/A"),"N/A",IF(Table1[[#This Row],[DUT Adj Read]]="N/A",IF(Table1[[#This Row],[Std Adj Read]]&lt;Table1[[#This Row],[High Tol]],"Pass","Fail"),IF(Table1[[#This Row],[DUT Adj Read]]&lt;Table1[[#This Row],[High Tol]],"Pass","Fail")))</f>
        <v>Fail</v>
      </c>
      <c r="AF2132" s="1" t="str">
        <f>IF(AND(Table1[[#This Row],[Spec Type2]]="N/A",Table1[[#This Row],[DUT Adj Read]]="N/A",Table1[[#This Row],[Std Adj Read]]="N/A"),"N/A",IF(Table1[[#This Row],[DUT Adj Read]]="N/A",IF(Table1[[#This Row],[Std Adj Read]]&gt;=Table1[[#This Row],[Low Tol]],"Pass","Fail"),IF(Table1[[#This Row],[DUT Adj Read]]&gt;=Table1[[#This Row],[Low Tol]],"Pass","Fail")))</f>
        <v>Pass</v>
      </c>
      <c r="AG2132" s="1" t="str">
        <f>IF(AND(Table1[[#This Row],[Spec Type2]]="N/A",Table1[[#This Row],[DUT Adj Read]]="N/A",Table1[[#This Row],[Std Adj Read]]="N/A"),"N/A",IF(Table1[[#This Row],[DUT Adj Read]]="N/A",IF(Table1[[#This Row],[Std Adj Read]]&lt;=Table1[[#This Row],[High Tol]],"Pass","Fail"),IF(Table1[[#This Row],[DUT Adj Read]]&lt;=Table1[[#This Row],[High Tol]],"Pass","Fail")))</f>
        <v>Fail</v>
      </c>
      <c r="AH21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2" s="1" t="b">
        <v>0</v>
      </c>
      <c r="AN2132" s="1" t="b">
        <v>0</v>
      </c>
      <c r="AO2132" s="1" t="b">
        <v>0</v>
      </c>
    </row>
    <row r="2133" spans="1:41" x14ac:dyDescent="0.25">
      <c r="A2133" s="10"/>
      <c r="B2133" s="10"/>
      <c r="C2133" s="10"/>
      <c r="D2133" s="10"/>
      <c r="E2133" s="10"/>
      <c r="F2133" s="10"/>
      <c r="G2133" s="10"/>
      <c r="H2133" s="10"/>
      <c r="I2133" s="1" t="str">
        <f t="shared" si="99"/>
        <v/>
      </c>
      <c r="J2133" s="1" t="s">
        <v>35</v>
      </c>
      <c r="K2133" s="1" t="str">
        <f t="shared" si="100"/>
        <v/>
      </c>
      <c r="L2133" s="1" t="str">
        <f t="shared" si="101"/>
        <v/>
      </c>
      <c r="M2133" s="1">
        <f>IF(OR(Table1[[#This Row],[Std Nom]]="",Table1[[#This Row],[Std Read]]=""),0,Table1[[#This Row],[Std Nom]]-Table1[[#This Row],[Std Read]])</f>
        <v>0</v>
      </c>
      <c r="N2133" s="1">
        <f>IF(Calculations!$F$5="ACCREDITED 17025 WITH UNCERTAINTIES",$N$10,0)</f>
        <v>0</v>
      </c>
      <c r="O2133" s="1" t="str">
        <f>IFERROR(Table1[[#This Row],[Std Nom]]-(_xlfn.XLOOKUP(Table1[[#This Row],[Manufacturer]]&amp;" "&amp;Table1[[#This Row],[Model]],Table13[MFR &amp; MDL],Table13[Tolerance % CW ],"")/100*Table1[[#This Row],[Std Nom]]),"")</f>
        <v/>
      </c>
      <c r="P2133" s="1" t="str">
        <f>IFERROR(Table1[[#This Row],[Std Nom]]+(_xlfn.XLOOKUP(Table1[[#This Row],[Manufacturer]]&amp;" "&amp;Table1[[#This Row],[Model]],Table13[MFR &amp; MDL],Table13[Tolerance % CW ],"")/100*Table1[[#This Row],[Std Nom]]),"")</f>
        <v/>
      </c>
      <c r="Q2133" s="1" t="e">
        <f>Table1[[#This Row],[High Tol]]-Table1[[#This Row],[Low Tol]]</f>
        <v>#VALUE!</v>
      </c>
      <c r="R2133" s="1">
        <f>2*Table1[[#This Row],[Std Error]]</f>
        <v>0</v>
      </c>
      <c r="S2133" s="1" t="str">
        <f>IF(Table1[[#This Row],[High Tol]]="","N/A",IFERROR(ABS(Table1[[#This Row],[Tol Span]]/Table1[[#This Row],[Error Span]]),"N/A"))</f>
        <v>N/A</v>
      </c>
      <c r="T2133" s="1" t="str">
        <f>IF(OR(Table1[[#This Row],[Low Tol]]="",Table1[[#This Row],[High Tol]]=""),"Needs Analysis",IF(Table1[[#This Row],[Ratio]]&gt;=4,"Not Significant",IF(Table1[[#This Row],[Ratio]]&gt;=2,"Semi-Significant","Significant")))</f>
        <v>Needs Analysis</v>
      </c>
      <c r="W2133" s="1">
        <f>IF(Table1[[#This Row],[Cal Type]]&lt;&gt;"ACCREDITED 17025 WITH UNCERTAINTIES",0,"")</f>
        <v>0</v>
      </c>
      <c r="X2133" s="1" t="str">
        <f>IF(Table1[[#This Row],[DUT Read]]="","N/A",Table1[[#This Row],[Std Error]]+Table1[[#This Row],[DUT Read]]+Table1[[#This Row],[DUT Ucty]])</f>
        <v>N/A</v>
      </c>
      <c r="Y2133" s="1" t="str">
        <f>IF(Table1[[#This Row],[Std Read]]="","N/A",Table1[[#This Row],[Std Read]]+Table1[[#This Row],[Std Ucty]])</f>
        <v>N/A</v>
      </c>
      <c r="Z21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3" s="1" t="str">
        <f>IF(Table1[[#This Row],[Spec Type]]="","N/A",Table1[[#This Row],[Spec Type]])</f>
        <v>±</v>
      </c>
      <c r="AC2133" s="1" t="str">
        <f>IF(Table1[[#This Row],[Spec Type2]]="N/A","N/A",IF(AND(Table1[[#This Row],[DUT Adj Read]]&gt;=Table1[[#This Row],[Low Tol]],Table1[[#This Row],[DUT Adj Read]]&lt;=Table1[[#This Row],[High Tol]]),"Pass","Fail"))</f>
        <v>Fail</v>
      </c>
      <c r="AD2133" s="1" t="str">
        <f>IF(AND(Table1[[#This Row],[Spec Type2]]="N/A",Table1[[#This Row],[DUT Adj Read]]="N/A",Table1[[#This Row],[Std Adj Read]]="N/A"),"N/A",IF(Table1[[#This Row],[DUT Adj Read]]="N/A",IF(Table1[[#This Row],[Std Adj Read]]&gt;Table1[[#This Row],[Low Tol]],"Pass","Fail"),IF(Table1[[#This Row],[DUT Adj Read]]&gt;Table1[[#This Row],[Low Tol]],"Pass","Fail")))</f>
        <v>Pass</v>
      </c>
      <c r="AE2133" s="1" t="str">
        <f>IF(AND(Table1[[#This Row],[Spec Type2]]="N/A",Table1[[#This Row],[DUT Adj Read]]="N/A",Table1[[#This Row],[Std Adj Read]]="N/A"),"N/A",IF(Table1[[#This Row],[DUT Adj Read]]="N/A",IF(Table1[[#This Row],[Std Adj Read]]&lt;Table1[[#This Row],[High Tol]],"Pass","Fail"),IF(Table1[[#This Row],[DUT Adj Read]]&lt;Table1[[#This Row],[High Tol]],"Pass","Fail")))</f>
        <v>Fail</v>
      </c>
      <c r="AF2133" s="1" t="str">
        <f>IF(AND(Table1[[#This Row],[Spec Type2]]="N/A",Table1[[#This Row],[DUT Adj Read]]="N/A",Table1[[#This Row],[Std Adj Read]]="N/A"),"N/A",IF(Table1[[#This Row],[DUT Adj Read]]="N/A",IF(Table1[[#This Row],[Std Adj Read]]&gt;=Table1[[#This Row],[Low Tol]],"Pass","Fail"),IF(Table1[[#This Row],[DUT Adj Read]]&gt;=Table1[[#This Row],[Low Tol]],"Pass","Fail")))</f>
        <v>Pass</v>
      </c>
      <c r="AG2133" s="1" t="str">
        <f>IF(AND(Table1[[#This Row],[Spec Type2]]="N/A",Table1[[#This Row],[DUT Adj Read]]="N/A",Table1[[#This Row],[Std Adj Read]]="N/A"),"N/A",IF(Table1[[#This Row],[DUT Adj Read]]="N/A",IF(Table1[[#This Row],[Std Adj Read]]&lt;=Table1[[#This Row],[High Tol]],"Pass","Fail"),IF(Table1[[#This Row],[DUT Adj Read]]&lt;=Table1[[#This Row],[High Tol]],"Pass","Fail")))</f>
        <v>Fail</v>
      </c>
      <c r="AH21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3" s="1" t="b">
        <v>0</v>
      </c>
      <c r="AN2133" s="1" t="b">
        <v>0</v>
      </c>
      <c r="AO2133" s="1" t="b">
        <v>0</v>
      </c>
    </row>
    <row r="2134" spans="1:41" x14ac:dyDescent="0.25">
      <c r="A2134" s="10"/>
      <c r="B2134" s="10"/>
      <c r="C2134" s="10"/>
      <c r="D2134" s="10"/>
      <c r="E2134" s="10"/>
      <c r="F2134" s="10"/>
      <c r="G2134" s="10"/>
      <c r="H2134" s="10"/>
      <c r="I2134" s="1" t="str">
        <f t="shared" si="99"/>
        <v/>
      </c>
      <c r="J2134" s="1" t="s">
        <v>35</v>
      </c>
      <c r="K2134" s="1" t="str">
        <f t="shared" si="100"/>
        <v/>
      </c>
      <c r="L2134" s="1" t="str">
        <f t="shared" si="101"/>
        <v/>
      </c>
      <c r="M2134" s="1">
        <f>IF(OR(Table1[[#This Row],[Std Nom]]="",Table1[[#This Row],[Std Read]]=""),0,Table1[[#This Row],[Std Nom]]-Table1[[#This Row],[Std Read]])</f>
        <v>0</v>
      </c>
      <c r="N2134" s="1">
        <f>IF(Calculations!$F$5="ACCREDITED 17025 WITH UNCERTAINTIES",$N$10,0)</f>
        <v>0</v>
      </c>
      <c r="O2134" s="1" t="str">
        <f>IFERROR(Table1[[#This Row],[Std Nom]]-(_xlfn.XLOOKUP(Table1[[#This Row],[Manufacturer]]&amp;" "&amp;Table1[[#This Row],[Model]],Table13[MFR &amp; MDL],Table13[Tolerance % CW ],"")/100*Table1[[#This Row],[Std Nom]]),"")</f>
        <v/>
      </c>
      <c r="P2134" s="1" t="str">
        <f>IFERROR(Table1[[#This Row],[Std Nom]]+(_xlfn.XLOOKUP(Table1[[#This Row],[Manufacturer]]&amp;" "&amp;Table1[[#This Row],[Model]],Table13[MFR &amp; MDL],Table13[Tolerance % CW ],"")/100*Table1[[#This Row],[Std Nom]]),"")</f>
        <v/>
      </c>
      <c r="Q2134" s="1" t="e">
        <f>Table1[[#This Row],[High Tol]]-Table1[[#This Row],[Low Tol]]</f>
        <v>#VALUE!</v>
      </c>
      <c r="R2134" s="1">
        <f>2*Table1[[#This Row],[Std Error]]</f>
        <v>0</v>
      </c>
      <c r="S2134" s="1" t="str">
        <f>IF(Table1[[#This Row],[High Tol]]="","N/A",IFERROR(ABS(Table1[[#This Row],[Tol Span]]/Table1[[#This Row],[Error Span]]),"N/A"))</f>
        <v>N/A</v>
      </c>
      <c r="T2134" s="1" t="str">
        <f>IF(OR(Table1[[#This Row],[Low Tol]]="",Table1[[#This Row],[High Tol]]=""),"Needs Analysis",IF(Table1[[#This Row],[Ratio]]&gt;=4,"Not Significant",IF(Table1[[#This Row],[Ratio]]&gt;=2,"Semi-Significant","Significant")))</f>
        <v>Needs Analysis</v>
      </c>
      <c r="W2134" s="1">
        <f>IF(Table1[[#This Row],[Cal Type]]&lt;&gt;"ACCREDITED 17025 WITH UNCERTAINTIES",0,"")</f>
        <v>0</v>
      </c>
      <c r="X2134" s="1" t="str">
        <f>IF(Table1[[#This Row],[DUT Read]]="","N/A",Table1[[#This Row],[Std Error]]+Table1[[#This Row],[DUT Read]]+Table1[[#This Row],[DUT Ucty]])</f>
        <v>N/A</v>
      </c>
      <c r="Y2134" s="1" t="str">
        <f>IF(Table1[[#This Row],[Std Read]]="","N/A",Table1[[#This Row],[Std Read]]+Table1[[#This Row],[Std Ucty]])</f>
        <v>N/A</v>
      </c>
      <c r="Z21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4" s="1" t="str">
        <f>IF(Table1[[#This Row],[Spec Type]]="","N/A",Table1[[#This Row],[Spec Type]])</f>
        <v>±</v>
      </c>
      <c r="AC2134" s="1" t="str">
        <f>IF(Table1[[#This Row],[Spec Type2]]="N/A","N/A",IF(AND(Table1[[#This Row],[DUT Adj Read]]&gt;=Table1[[#This Row],[Low Tol]],Table1[[#This Row],[DUT Adj Read]]&lt;=Table1[[#This Row],[High Tol]]),"Pass","Fail"))</f>
        <v>Fail</v>
      </c>
      <c r="AD2134" s="1" t="str">
        <f>IF(AND(Table1[[#This Row],[Spec Type2]]="N/A",Table1[[#This Row],[DUT Adj Read]]="N/A",Table1[[#This Row],[Std Adj Read]]="N/A"),"N/A",IF(Table1[[#This Row],[DUT Adj Read]]="N/A",IF(Table1[[#This Row],[Std Adj Read]]&gt;Table1[[#This Row],[Low Tol]],"Pass","Fail"),IF(Table1[[#This Row],[DUT Adj Read]]&gt;Table1[[#This Row],[Low Tol]],"Pass","Fail")))</f>
        <v>Pass</v>
      </c>
      <c r="AE2134" s="1" t="str">
        <f>IF(AND(Table1[[#This Row],[Spec Type2]]="N/A",Table1[[#This Row],[DUT Adj Read]]="N/A",Table1[[#This Row],[Std Adj Read]]="N/A"),"N/A",IF(Table1[[#This Row],[DUT Adj Read]]="N/A",IF(Table1[[#This Row],[Std Adj Read]]&lt;Table1[[#This Row],[High Tol]],"Pass","Fail"),IF(Table1[[#This Row],[DUT Adj Read]]&lt;Table1[[#This Row],[High Tol]],"Pass","Fail")))</f>
        <v>Fail</v>
      </c>
      <c r="AF2134" s="1" t="str">
        <f>IF(AND(Table1[[#This Row],[Spec Type2]]="N/A",Table1[[#This Row],[DUT Adj Read]]="N/A",Table1[[#This Row],[Std Adj Read]]="N/A"),"N/A",IF(Table1[[#This Row],[DUT Adj Read]]="N/A",IF(Table1[[#This Row],[Std Adj Read]]&gt;=Table1[[#This Row],[Low Tol]],"Pass","Fail"),IF(Table1[[#This Row],[DUT Adj Read]]&gt;=Table1[[#This Row],[Low Tol]],"Pass","Fail")))</f>
        <v>Pass</v>
      </c>
      <c r="AG2134" s="1" t="str">
        <f>IF(AND(Table1[[#This Row],[Spec Type2]]="N/A",Table1[[#This Row],[DUT Adj Read]]="N/A",Table1[[#This Row],[Std Adj Read]]="N/A"),"N/A",IF(Table1[[#This Row],[DUT Adj Read]]="N/A",IF(Table1[[#This Row],[Std Adj Read]]&lt;=Table1[[#This Row],[High Tol]],"Pass","Fail"),IF(Table1[[#This Row],[DUT Adj Read]]&lt;=Table1[[#This Row],[High Tol]],"Pass","Fail")))</f>
        <v>Fail</v>
      </c>
      <c r="AH21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4" s="1" t="b">
        <v>0</v>
      </c>
      <c r="AN2134" s="1" t="b">
        <v>0</v>
      </c>
      <c r="AO2134" s="1" t="b">
        <v>0</v>
      </c>
    </row>
    <row r="2135" spans="1:41" x14ac:dyDescent="0.25">
      <c r="A2135" s="10"/>
      <c r="B2135" s="10"/>
      <c r="C2135" s="10"/>
      <c r="D2135" s="10"/>
      <c r="E2135" s="10"/>
      <c r="F2135" s="10"/>
      <c r="G2135" s="10"/>
      <c r="H2135" s="10"/>
      <c r="I2135" s="1" t="str">
        <f t="shared" si="99"/>
        <v/>
      </c>
      <c r="J2135" s="1" t="s">
        <v>35</v>
      </c>
      <c r="K2135" s="1" t="str">
        <f t="shared" si="100"/>
        <v/>
      </c>
      <c r="L2135" s="1" t="str">
        <f t="shared" si="101"/>
        <v/>
      </c>
      <c r="M2135" s="1">
        <f>IF(OR(Table1[[#This Row],[Std Nom]]="",Table1[[#This Row],[Std Read]]=""),0,Table1[[#This Row],[Std Nom]]-Table1[[#This Row],[Std Read]])</f>
        <v>0</v>
      </c>
      <c r="N2135" s="1">
        <f>IF(Calculations!$F$5="ACCREDITED 17025 WITH UNCERTAINTIES",$N$10,0)</f>
        <v>0</v>
      </c>
      <c r="O2135" s="1" t="str">
        <f>IFERROR(Table1[[#This Row],[Std Nom]]-(_xlfn.XLOOKUP(Table1[[#This Row],[Manufacturer]]&amp;" "&amp;Table1[[#This Row],[Model]],Table13[MFR &amp; MDL],Table13[Tolerance % CW ],"")/100*Table1[[#This Row],[Std Nom]]),"")</f>
        <v/>
      </c>
      <c r="P2135" s="1" t="str">
        <f>IFERROR(Table1[[#This Row],[Std Nom]]+(_xlfn.XLOOKUP(Table1[[#This Row],[Manufacturer]]&amp;" "&amp;Table1[[#This Row],[Model]],Table13[MFR &amp; MDL],Table13[Tolerance % CW ],"")/100*Table1[[#This Row],[Std Nom]]),"")</f>
        <v/>
      </c>
      <c r="Q2135" s="1" t="e">
        <f>Table1[[#This Row],[High Tol]]-Table1[[#This Row],[Low Tol]]</f>
        <v>#VALUE!</v>
      </c>
      <c r="R2135" s="1">
        <f>2*Table1[[#This Row],[Std Error]]</f>
        <v>0</v>
      </c>
      <c r="S2135" s="1" t="str">
        <f>IF(Table1[[#This Row],[High Tol]]="","N/A",IFERROR(ABS(Table1[[#This Row],[Tol Span]]/Table1[[#This Row],[Error Span]]),"N/A"))</f>
        <v>N/A</v>
      </c>
      <c r="T2135" s="1" t="str">
        <f>IF(OR(Table1[[#This Row],[Low Tol]]="",Table1[[#This Row],[High Tol]]=""),"Needs Analysis",IF(Table1[[#This Row],[Ratio]]&gt;=4,"Not Significant",IF(Table1[[#This Row],[Ratio]]&gt;=2,"Semi-Significant","Significant")))</f>
        <v>Needs Analysis</v>
      </c>
      <c r="W2135" s="1">
        <f>IF(Table1[[#This Row],[Cal Type]]&lt;&gt;"ACCREDITED 17025 WITH UNCERTAINTIES",0,"")</f>
        <v>0</v>
      </c>
      <c r="X2135" s="1" t="str">
        <f>IF(Table1[[#This Row],[DUT Read]]="","N/A",Table1[[#This Row],[Std Error]]+Table1[[#This Row],[DUT Read]]+Table1[[#This Row],[DUT Ucty]])</f>
        <v>N/A</v>
      </c>
      <c r="Y2135" s="1" t="str">
        <f>IF(Table1[[#This Row],[Std Read]]="","N/A",Table1[[#This Row],[Std Read]]+Table1[[#This Row],[Std Ucty]])</f>
        <v>N/A</v>
      </c>
      <c r="Z21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5" s="1" t="str">
        <f>IF(Table1[[#This Row],[Spec Type]]="","N/A",Table1[[#This Row],[Spec Type]])</f>
        <v>±</v>
      </c>
      <c r="AC2135" s="1" t="str">
        <f>IF(Table1[[#This Row],[Spec Type2]]="N/A","N/A",IF(AND(Table1[[#This Row],[DUT Adj Read]]&gt;=Table1[[#This Row],[Low Tol]],Table1[[#This Row],[DUT Adj Read]]&lt;=Table1[[#This Row],[High Tol]]),"Pass","Fail"))</f>
        <v>Fail</v>
      </c>
      <c r="AD2135" s="1" t="str">
        <f>IF(AND(Table1[[#This Row],[Spec Type2]]="N/A",Table1[[#This Row],[DUT Adj Read]]="N/A",Table1[[#This Row],[Std Adj Read]]="N/A"),"N/A",IF(Table1[[#This Row],[DUT Adj Read]]="N/A",IF(Table1[[#This Row],[Std Adj Read]]&gt;Table1[[#This Row],[Low Tol]],"Pass","Fail"),IF(Table1[[#This Row],[DUT Adj Read]]&gt;Table1[[#This Row],[Low Tol]],"Pass","Fail")))</f>
        <v>Pass</v>
      </c>
      <c r="AE2135" s="1" t="str">
        <f>IF(AND(Table1[[#This Row],[Spec Type2]]="N/A",Table1[[#This Row],[DUT Adj Read]]="N/A",Table1[[#This Row],[Std Adj Read]]="N/A"),"N/A",IF(Table1[[#This Row],[DUT Adj Read]]="N/A",IF(Table1[[#This Row],[Std Adj Read]]&lt;Table1[[#This Row],[High Tol]],"Pass","Fail"),IF(Table1[[#This Row],[DUT Adj Read]]&lt;Table1[[#This Row],[High Tol]],"Pass","Fail")))</f>
        <v>Fail</v>
      </c>
      <c r="AF2135" s="1" t="str">
        <f>IF(AND(Table1[[#This Row],[Spec Type2]]="N/A",Table1[[#This Row],[DUT Adj Read]]="N/A",Table1[[#This Row],[Std Adj Read]]="N/A"),"N/A",IF(Table1[[#This Row],[DUT Adj Read]]="N/A",IF(Table1[[#This Row],[Std Adj Read]]&gt;=Table1[[#This Row],[Low Tol]],"Pass","Fail"),IF(Table1[[#This Row],[DUT Adj Read]]&gt;=Table1[[#This Row],[Low Tol]],"Pass","Fail")))</f>
        <v>Pass</v>
      </c>
      <c r="AG2135" s="1" t="str">
        <f>IF(AND(Table1[[#This Row],[Spec Type2]]="N/A",Table1[[#This Row],[DUT Adj Read]]="N/A",Table1[[#This Row],[Std Adj Read]]="N/A"),"N/A",IF(Table1[[#This Row],[DUT Adj Read]]="N/A",IF(Table1[[#This Row],[Std Adj Read]]&lt;=Table1[[#This Row],[High Tol]],"Pass","Fail"),IF(Table1[[#This Row],[DUT Adj Read]]&lt;=Table1[[#This Row],[High Tol]],"Pass","Fail")))</f>
        <v>Fail</v>
      </c>
      <c r="AH21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5" s="1" t="b">
        <v>0</v>
      </c>
      <c r="AN2135" s="1" t="b">
        <v>0</v>
      </c>
      <c r="AO2135" s="1" t="b">
        <v>0</v>
      </c>
    </row>
    <row r="2136" spans="1:41" x14ac:dyDescent="0.25">
      <c r="A2136" s="10"/>
      <c r="B2136" s="10"/>
      <c r="C2136" s="10"/>
      <c r="D2136" s="10"/>
      <c r="E2136" s="10"/>
      <c r="F2136" s="10"/>
      <c r="G2136" s="10"/>
      <c r="H2136" s="10"/>
      <c r="I2136" s="1" t="str">
        <f t="shared" si="99"/>
        <v/>
      </c>
      <c r="J2136" s="1" t="s">
        <v>35</v>
      </c>
      <c r="K2136" s="1" t="str">
        <f t="shared" si="100"/>
        <v/>
      </c>
      <c r="L2136" s="1" t="str">
        <f t="shared" si="101"/>
        <v/>
      </c>
      <c r="M2136" s="1">
        <f>IF(OR(Table1[[#This Row],[Std Nom]]="",Table1[[#This Row],[Std Read]]=""),0,Table1[[#This Row],[Std Nom]]-Table1[[#This Row],[Std Read]])</f>
        <v>0</v>
      </c>
      <c r="N2136" s="1">
        <f>IF(Calculations!$F$5="ACCREDITED 17025 WITH UNCERTAINTIES",$N$10,0)</f>
        <v>0</v>
      </c>
      <c r="O2136" s="1" t="str">
        <f>IFERROR(Table1[[#This Row],[Std Nom]]-(_xlfn.XLOOKUP(Table1[[#This Row],[Manufacturer]]&amp;" "&amp;Table1[[#This Row],[Model]],Table13[MFR &amp; MDL],Table13[Tolerance % CW ],"")/100*Table1[[#This Row],[Std Nom]]),"")</f>
        <v/>
      </c>
      <c r="P2136" s="1" t="str">
        <f>IFERROR(Table1[[#This Row],[Std Nom]]+(_xlfn.XLOOKUP(Table1[[#This Row],[Manufacturer]]&amp;" "&amp;Table1[[#This Row],[Model]],Table13[MFR &amp; MDL],Table13[Tolerance % CW ],"")/100*Table1[[#This Row],[Std Nom]]),"")</f>
        <v/>
      </c>
      <c r="Q2136" s="1" t="e">
        <f>Table1[[#This Row],[High Tol]]-Table1[[#This Row],[Low Tol]]</f>
        <v>#VALUE!</v>
      </c>
      <c r="R2136" s="1">
        <f>2*Table1[[#This Row],[Std Error]]</f>
        <v>0</v>
      </c>
      <c r="S2136" s="1" t="str">
        <f>IF(Table1[[#This Row],[High Tol]]="","N/A",IFERROR(ABS(Table1[[#This Row],[Tol Span]]/Table1[[#This Row],[Error Span]]),"N/A"))</f>
        <v>N/A</v>
      </c>
      <c r="T2136" s="1" t="str">
        <f>IF(OR(Table1[[#This Row],[Low Tol]]="",Table1[[#This Row],[High Tol]]=""),"Needs Analysis",IF(Table1[[#This Row],[Ratio]]&gt;=4,"Not Significant",IF(Table1[[#This Row],[Ratio]]&gt;=2,"Semi-Significant","Significant")))</f>
        <v>Needs Analysis</v>
      </c>
      <c r="W2136" s="1">
        <f>IF(Table1[[#This Row],[Cal Type]]&lt;&gt;"ACCREDITED 17025 WITH UNCERTAINTIES",0,"")</f>
        <v>0</v>
      </c>
      <c r="X2136" s="1" t="str">
        <f>IF(Table1[[#This Row],[DUT Read]]="","N/A",Table1[[#This Row],[Std Error]]+Table1[[#This Row],[DUT Read]]+Table1[[#This Row],[DUT Ucty]])</f>
        <v>N/A</v>
      </c>
      <c r="Y2136" s="1" t="str">
        <f>IF(Table1[[#This Row],[Std Read]]="","N/A",Table1[[#This Row],[Std Read]]+Table1[[#This Row],[Std Ucty]])</f>
        <v>N/A</v>
      </c>
      <c r="Z21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6" s="1" t="str">
        <f>IF(Table1[[#This Row],[Spec Type]]="","N/A",Table1[[#This Row],[Spec Type]])</f>
        <v>±</v>
      </c>
      <c r="AC2136" s="1" t="str">
        <f>IF(Table1[[#This Row],[Spec Type2]]="N/A","N/A",IF(AND(Table1[[#This Row],[DUT Adj Read]]&gt;=Table1[[#This Row],[Low Tol]],Table1[[#This Row],[DUT Adj Read]]&lt;=Table1[[#This Row],[High Tol]]),"Pass","Fail"))</f>
        <v>Fail</v>
      </c>
      <c r="AD2136" s="1" t="str">
        <f>IF(AND(Table1[[#This Row],[Spec Type2]]="N/A",Table1[[#This Row],[DUT Adj Read]]="N/A",Table1[[#This Row],[Std Adj Read]]="N/A"),"N/A",IF(Table1[[#This Row],[DUT Adj Read]]="N/A",IF(Table1[[#This Row],[Std Adj Read]]&gt;Table1[[#This Row],[Low Tol]],"Pass","Fail"),IF(Table1[[#This Row],[DUT Adj Read]]&gt;Table1[[#This Row],[Low Tol]],"Pass","Fail")))</f>
        <v>Pass</v>
      </c>
      <c r="AE2136" s="1" t="str">
        <f>IF(AND(Table1[[#This Row],[Spec Type2]]="N/A",Table1[[#This Row],[DUT Adj Read]]="N/A",Table1[[#This Row],[Std Adj Read]]="N/A"),"N/A",IF(Table1[[#This Row],[DUT Adj Read]]="N/A",IF(Table1[[#This Row],[Std Adj Read]]&lt;Table1[[#This Row],[High Tol]],"Pass","Fail"),IF(Table1[[#This Row],[DUT Adj Read]]&lt;Table1[[#This Row],[High Tol]],"Pass","Fail")))</f>
        <v>Fail</v>
      </c>
      <c r="AF2136" s="1" t="str">
        <f>IF(AND(Table1[[#This Row],[Spec Type2]]="N/A",Table1[[#This Row],[DUT Adj Read]]="N/A",Table1[[#This Row],[Std Adj Read]]="N/A"),"N/A",IF(Table1[[#This Row],[DUT Adj Read]]="N/A",IF(Table1[[#This Row],[Std Adj Read]]&gt;=Table1[[#This Row],[Low Tol]],"Pass","Fail"),IF(Table1[[#This Row],[DUT Adj Read]]&gt;=Table1[[#This Row],[Low Tol]],"Pass","Fail")))</f>
        <v>Pass</v>
      </c>
      <c r="AG2136" s="1" t="str">
        <f>IF(AND(Table1[[#This Row],[Spec Type2]]="N/A",Table1[[#This Row],[DUT Adj Read]]="N/A",Table1[[#This Row],[Std Adj Read]]="N/A"),"N/A",IF(Table1[[#This Row],[DUT Adj Read]]="N/A",IF(Table1[[#This Row],[Std Adj Read]]&lt;=Table1[[#This Row],[High Tol]],"Pass","Fail"),IF(Table1[[#This Row],[DUT Adj Read]]&lt;=Table1[[#This Row],[High Tol]],"Pass","Fail")))</f>
        <v>Fail</v>
      </c>
      <c r="AH21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6" s="1" t="b">
        <v>0</v>
      </c>
      <c r="AN2136" s="1" t="b">
        <v>0</v>
      </c>
      <c r="AO2136" s="1" t="b">
        <v>0</v>
      </c>
    </row>
    <row r="2137" spans="1:41" x14ac:dyDescent="0.25">
      <c r="A2137" s="10"/>
      <c r="B2137" s="10"/>
      <c r="C2137" s="10"/>
      <c r="D2137" s="10"/>
      <c r="E2137" s="10"/>
      <c r="F2137" s="10"/>
      <c r="G2137" s="10"/>
      <c r="H2137" s="10"/>
      <c r="I2137" s="1" t="str">
        <f t="shared" si="99"/>
        <v/>
      </c>
      <c r="J2137" s="1" t="s">
        <v>35</v>
      </c>
      <c r="K2137" s="1" t="str">
        <f t="shared" si="100"/>
        <v/>
      </c>
      <c r="L2137" s="1" t="str">
        <f t="shared" si="101"/>
        <v/>
      </c>
      <c r="M2137" s="1">
        <f>IF(OR(Table1[[#This Row],[Std Nom]]="",Table1[[#This Row],[Std Read]]=""),0,Table1[[#This Row],[Std Nom]]-Table1[[#This Row],[Std Read]])</f>
        <v>0</v>
      </c>
      <c r="N2137" s="1">
        <f>IF(Calculations!$F$5="ACCREDITED 17025 WITH UNCERTAINTIES",$N$10,0)</f>
        <v>0</v>
      </c>
      <c r="O2137" s="1" t="str">
        <f>IFERROR(Table1[[#This Row],[Std Nom]]-(_xlfn.XLOOKUP(Table1[[#This Row],[Manufacturer]]&amp;" "&amp;Table1[[#This Row],[Model]],Table13[MFR &amp; MDL],Table13[Tolerance % CW ],"")/100*Table1[[#This Row],[Std Nom]]),"")</f>
        <v/>
      </c>
      <c r="P2137" s="1" t="str">
        <f>IFERROR(Table1[[#This Row],[Std Nom]]+(_xlfn.XLOOKUP(Table1[[#This Row],[Manufacturer]]&amp;" "&amp;Table1[[#This Row],[Model]],Table13[MFR &amp; MDL],Table13[Tolerance % CW ],"")/100*Table1[[#This Row],[Std Nom]]),"")</f>
        <v/>
      </c>
      <c r="Q2137" s="1" t="e">
        <f>Table1[[#This Row],[High Tol]]-Table1[[#This Row],[Low Tol]]</f>
        <v>#VALUE!</v>
      </c>
      <c r="R2137" s="1">
        <f>2*Table1[[#This Row],[Std Error]]</f>
        <v>0</v>
      </c>
      <c r="S2137" s="1" t="str">
        <f>IF(Table1[[#This Row],[High Tol]]="","N/A",IFERROR(ABS(Table1[[#This Row],[Tol Span]]/Table1[[#This Row],[Error Span]]),"N/A"))</f>
        <v>N/A</v>
      </c>
      <c r="T2137" s="1" t="str">
        <f>IF(OR(Table1[[#This Row],[Low Tol]]="",Table1[[#This Row],[High Tol]]=""),"Needs Analysis",IF(Table1[[#This Row],[Ratio]]&gt;=4,"Not Significant",IF(Table1[[#This Row],[Ratio]]&gt;=2,"Semi-Significant","Significant")))</f>
        <v>Needs Analysis</v>
      </c>
      <c r="W2137" s="1">
        <f>IF(Table1[[#This Row],[Cal Type]]&lt;&gt;"ACCREDITED 17025 WITH UNCERTAINTIES",0,"")</f>
        <v>0</v>
      </c>
      <c r="X2137" s="1" t="str">
        <f>IF(Table1[[#This Row],[DUT Read]]="","N/A",Table1[[#This Row],[Std Error]]+Table1[[#This Row],[DUT Read]]+Table1[[#This Row],[DUT Ucty]])</f>
        <v>N/A</v>
      </c>
      <c r="Y2137" s="1" t="str">
        <f>IF(Table1[[#This Row],[Std Read]]="","N/A",Table1[[#This Row],[Std Read]]+Table1[[#This Row],[Std Ucty]])</f>
        <v>N/A</v>
      </c>
      <c r="Z21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7" s="1" t="str">
        <f>IF(Table1[[#This Row],[Spec Type]]="","N/A",Table1[[#This Row],[Spec Type]])</f>
        <v>±</v>
      </c>
      <c r="AC2137" s="1" t="str">
        <f>IF(Table1[[#This Row],[Spec Type2]]="N/A","N/A",IF(AND(Table1[[#This Row],[DUT Adj Read]]&gt;=Table1[[#This Row],[Low Tol]],Table1[[#This Row],[DUT Adj Read]]&lt;=Table1[[#This Row],[High Tol]]),"Pass","Fail"))</f>
        <v>Fail</v>
      </c>
      <c r="AD2137" s="1" t="str">
        <f>IF(AND(Table1[[#This Row],[Spec Type2]]="N/A",Table1[[#This Row],[DUT Adj Read]]="N/A",Table1[[#This Row],[Std Adj Read]]="N/A"),"N/A",IF(Table1[[#This Row],[DUT Adj Read]]="N/A",IF(Table1[[#This Row],[Std Adj Read]]&gt;Table1[[#This Row],[Low Tol]],"Pass","Fail"),IF(Table1[[#This Row],[DUT Adj Read]]&gt;Table1[[#This Row],[Low Tol]],"Pass","Fail")))</f>
        <v>Pass</v>
      </c>
      <c r="AE2137" s="1" t="str">
        <f>IF(AND(Table1[[#This Row],[Spec Type2]]="N/A",Table1[[#This Row],[DUT Adj Read]]="N/A",Table1[[#This Row],[Std Adj Read]]="N/A"),"N/A",IF(Table1[[#This Row],[DUT Adj Read]]="N/A",IF(Table1[[#This Row],[Std Adj Read]]&lt;Table1[[#This Row],[High Tol]],"Pass","Fail"),IF(Table1[[#This Row],[DUT Adj Read]]&lt;Table1[[#This Row],[High Tol]],"Pass","Fail")))</f>
        <v>Fail</v>
      </c>
      <c r="AF2137" s="1" t="str">
        <f>IF(AND(Table1[[#This Row],[Spec Type2]]="N/A",Table1[[#This Row],[DUT Adj Read]]="N/A",Table1[[#This Row],[Std Adj Read]]="N/A"),"N/A",IF(Table1[[#This Row],[DUT Adj Read]]="N/A",IF(Table1[[#This Row],[Std Adj Read]]&gt;=Table1[[#This Row],[Low Tol]],"Pass","Fail"),IF(Table1[[#This Row],[DUT Adj Read]]&gt;=Table1[[#This Row],[Low Tol]],"Pass","Fail")))</f>
        <v>Pass</v>
      </c>
      <c r="AG2137" s="1" t="str">
        <f>IF(AND(Table1[[#This Row],[Spec Type2]]="N/A",Table1[[#This Row],[DUT Adj Read]]="N/A",Table1[[#This Row],[Std Adj Read]]="N/A"),"N/A",IF(Table1[[#This Row],[DUT Adj Read]]="N/A",IF(Table1[[#This Row],[Std Adj Read]]&lt;=Table1[[#This Row],[High Tol]],"Pass","Fail"),IF(Table1[[#This Row],[DUT Adj Read]]&lt;=Table1[[#This Row],[High Tol]],"Pass","Fail")))</f>
        <v>Fail</v>
      </c>
      <c r="AH21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7" s="1" t="b">
        <v>0</v>
      </c>
      <c r="AN2137" s="1" t="b">
        <v>0</v>
      </c>
      <c r="AO2137" s="1" t="b">
        <v>0</v>
      </c>
    </row>
    <row r="2138" spans="1:41" x14ac:dyDescent="0.25">
      <c r="A2138" s="10"/>
      <c r="B2138" s="10"/>
      <c r="C2138" s="10"/>
      <c r="D2138" s="10"/>
      <c r="E2138" s="10"/>
      <c r="F2138" s="10"/>
      <c r="G2138" s="10"/>
      <c r="H2138" s="10"/>
      <c r="I2138" s="1" t="str">
        <f t="shared" si="99"/>
        <v/>
      </c>
      <c r="J2138" s="1" t="s">
        <v>35</v>
      </c>
      <c r="K2138" s="1" t="str">
        <f t="shared" si="100"/>
        <v/>
      </c>
      <c r="L2138" s="1" t="str">
        <f t="shared" si="101"/>
        <v/>
      </c>
      <c r="M2138" s="1">
        <f>IF(OR(Table1[[#This Row],[Std Nom]]="",Table1[[#This Row],[Std Read]]=""),0,Table1[[#This Row],[Std Nom]]-Table1[[#This Row],[Std Read]])</f>
        <v>0</v>
      </c>
      <c r="N2138" s="1">
        <f>IF(Calculations!$F$5="ACCREDITED 17025 WITH UNCERTAINTIES",$N$10,0)</f>
        <v>0</v>
      </c>
      <c r="O2138" s="1" t="str">
        <f>IFERROR(Table1[[#This Row],[Std Nom]]-(_xlfn.XLOOKUP(Table1[[#This Row],[Manufacturer]]&amp;" "&amp;Table1[[#This Row],[Model]],Table13[MFR &amp; MDL],Table13[Tolerance % CW ],"")/100*Table1[[#This Row],[Std Nom]]),"")</f>
        <v/>
      </c>
      <c r="P2138" s="1" t="str">
        <f>IFERROR(Table1[[#This Row],[Std Nom]]+(_xlfn.XLOOKUP(Table1[[#This Row],[Manufacturer]]&amp;" "&amp;Table1[[#This Row],[Model]],Table13[MFR &amp; MDL],Table13[Tolerance % CW ],"")/100*Table1[[#This Row],[Std Nom]]),"")</f>
        <v/>
      </c>
      <c r="Q2138" s="1" t="e">
        <f>Table1[[#This Row],[High Tol]]-Table1[[#This Row],[Low Tol]]</f>
        <v>#VALUE!</v>
      </c>
      <c r="R2138" s="1">
        <f>2*Table1[[#This Row],[Std Error]]</f>
        <v>0</v>
      </c>
      <c r="S2138" s="1" t="str">
        <f>IF(Table1[[#This Row],[High Tol]]="","N/A",IFERROR(ABS(Table1[[#This Row],[Tol Span]]/Table1[[#This Row],[Error Span]]),"N/A"))</f>
        <v>N/A</v>
      </c>
      <c r="T2138" s="1" t="str">
        <f>IF(OR(Table1[[#This Row],[Low Tol]]="",Table1[[#This Row],[High Tol]]=""),"Needs Analysis",IF(Table1[[#This Row],[Ratio]]&gt;=4,"Not Significant",IF(Table1[[#This Row],[Ratio]]&gt;=2,"Semi-Significant","Significant")))</f>
        <v>Needs Analysis</v>
      </c>
      <c r="W2138" s="1">
        <f>IF(Table1[[#This Row],[Cal Type]]&lt;&gt;"ACCREDITED 17025 WITH UNCERTAINTIES",0,"")</f>
        <v>0</v>
      </c>
      <c r="X2138" s="1" t="str">
        <f>IF(Table1[[#This Row],[DUT Read]]="","N/A",Table1[[#This Row],[Std Error]]+Table1[[#This Row],[DUT Read]]+Table1[[#This Row],[DUT Ucty]])</f>
        <v>N/A</v>
      </c>
      <c r="Y2138" s="1" t="str">
        <f>IF(Table1[[#This Row],[Std Read]]="","N/A",Table1[[#This Row],[Std Read]]+Table1[[#This Row],[Std Ucty]])</f>
        <v>N/A</v>
      </c>
      <c r="Z21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8" s="1" t="str">
        <f>IF(Table1[[#This Row],[Spec Type]]="","N/A",Table1[[#This Row],[Spec Type]])</f>
        <v>±</v>
      </c>
      <c r="AC2138" s="1" t="str">
        <f>IF(Table1[[#This Row],[Spec Type2]]="N/A","N/A",IF(AND(Table1[[#This Row],[DUT Adj Read]]&gt;=Table1[[#This Row],[Low Tol]],Table1[[#This Row],[DUT Adj Read]]&lt;=Table1[[#This Row],[High Tol]]),"Pass","Fail"))</f>
        <v>Fail</v>
      </c>
      <c r="AD2138" s="1" t="str">
        <f>IF(AND(Table1[[#This Row],[Spec Type2]]="N/A",Table1[[#This Row],[DUT Adj Read]]="N/A",Table1[[#This Row],[Std Adj Read]]="N/A"),"N/A",IF(Table1[[#This Row],[DUT Adj Read]]="N/A",IF(Table1[[#This Row],[Std Adj Read]]&gt;Table1[[#This Row],[Low Tol]],"Pass","Fail"),IF(Table1[[#This Row],[DUT Adj Read]]&gt;Table1[[#This Row],[Low Tol]],"Pass","Fail")))</f>
        <v>Pass</v>
      </c>
      <c r="AE2138" s="1" t="str">
        <f>IF(AND(Table1[[#This Row],[Spec Type2]]="N/A",Table1[[#This Row],[DUT Adj Read]]="N/A",Table1[[#This Row],[Std Adj Read]]="N/A"),"N/A",IF(Table1[[#This Row],[DUT Adj Read]]="N/A",IF(Table1[[#This Row],[Std Adj Read]]&lt;Table1[[#This Row],[High Tol]],"Pass","Fail"),IF(Table1[[#This Row],[DUT Adj Read]]&lt;Table1[[#This Row],[High Tol]],"Pass","Fail")))</f>
        <v>Fail</v>
      </c>
      <c r="AF2138" s="1" t="str">
        <f>IF(AND(Table1[[#This Row],[Spec Type2]]="N/A",Table1[[#This Row],[DUT Adj Read]]="N/A",Table1[[#This Row],[Std Adj Read]]="N/A"),"N/A",IF(Table1[[#This Row],[DUT Adj Read]]="N/A",IF(Table1[[#This Row],[Std Adj Read]]&gt;=Table1[[#This Row],[Low Tol]],"Pass","Fail"),IF(Table1[[#This Row],[DUT Adj Read]]&gt;=Table1[[#This Row],[Low Tol]],"Pass","Fail")))</f>
        <v>Pass</v>
      </c>
      <c r="AG2138" s="1" t="str">
        <f>IF(AND(Table1[[#This Row],[Spec Type2]]="N/A",Table1[[#This Row],[DUT Adj Read]]="N/A",Table1[[#This Row],[Std Adj Read]]="N/A"),"N/A",IF(Table1[[#This Row],[DUT Adj Read]]="N/A",IF(Table1[[#This Row],[Std Adj Read]]&lt;=Table1[[#This Row],[High Tol]],"Pass","Fail"),IF(Table1[[#This Row],[DUT Adj Read]]&lt;=Table1[[#This Row],[High Tol]],"Pass","Fail")))</f>
        <v>Fail</v>
      </c>
      <c r="AH21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8" s="1" t="b">
        <v>0</v>
      </c>
      <c r="AN2138" s="1" t="b">
        <v>0</v>
      </c>
      <c r="AO2138" s="1" t="b">
        <v>0</v>
      </c>
    </row>
    <row r="2139" spans="1:41" x14ac:dyDescent="0.25">
      <c r="A2139" s="10"/>
      <c r="B2139" s="10"/>
      <c r="C2139" s="10"/>
      <c r="D2139" s="10"/>
      <c r="E2139" s="10"/>
      <c r="F2139" s="10"/>
      <c r="G2139" s="10"/>
      <c r="H2139" s="10"/>
      <c r="I2139" s="1" t="str">
        <f t="shared" si="99"/>
        <v/>
      </c>
      <c r="J2139" s="1" t="s">
        <v>35</v>
      </c>
      <c r="K2139" s="1" t="str">
        <f t="shared" si="100"/>
        <v/>
      </c>
      <c r="L2139" s="1" t="str">
        <f t="shared" si="101"/>
        <v/>
      </c>
      <c r="M2139" s="1">
        <f>IF(OR(Table1[[#This Row],[Std Nom]]="",Table1[[#This Row],[Std Read]]=""),0,Table1[[#This Row],[Std Nom]]-Table1[[#This Row],[Std Read]])</f>
        <v>0</v>
      </c>
      <c r="N2139" s="1">
        <f>IF(Calculations!$F$5="ACCREDITED 17025 WITH UNCERTAINTIES",$N$10,0)</f>
        <v>0</v>
      </c>
      <c r="O2139" s="1" t="str">
        <f>IFERROR(Table1[[#This Row],[Std Nom]]-(_xlfn.XLOOKUP(Table1[[#This Row],[Manufacturer]]&amp;" "&amp;Table1[[#This Row],[Model]],Table13[MFR &amp; MDL],Table13[Tolerance % CW ],"")/100*Table1[[#This Row],[Std Nom]]),"")</f>
        <v/>
      </c>
      <c r="P2139" s="1" t="str">
        <f>IFERROR(Table1[[#This Row],[Std Nom]]+(_xlfn.XLOOKUP(Table1[[#This Row],[Manufacturer]]&amp;" "&amp;Table1[[#This Row],[Model]],Table13[MFR &amp; MDL],Table13[Tolerance % CW ],"")/100*Table1[[#This Row],[Std Nom]]),"")</f>
        <v/>
      </c>
      <c r="Q2139" s="1" t="e">
        <f>Table1[[#This Row],[High Tol]]-Table1[[#This Row],[Low Tol]]</f>
        <v>#VALUE!</v>
      </c>
      <c r="R2139" s="1">
        <f>2*Table1[[#This Row],[Std Error]]</f>
        <v>0</v>
      </c>
      <c r="S2139" s="1" t="str">
        <f>IF(Table1[[#This Row],[High Tol]]="","N/A",IFERROR(ABS(Table1[[#This Row],[Tol Span]]/Table1[[#This Row],[Error Span]]),"N/A"))</f>
        <v>N/A</v>
      </c>
      <c r="T2139" s="1" t="str">
        <f>IF(OR(Table1[[#This Row],[Low Tol]]="",Table1[[#This Row],[High Tol]]=""),"Needs Analysis",IF(Table1[[#This Row],[Ratio]]&gt;=4,"Not Significant",IF(Table1[[#This Row],[Ratio]]&gt;=2,"Semi-Significant","Significant")))</f>
        <v>Needs Analysis</v>
      </c>
      <c r="W2139" s="1">
        <f>IF(Table1[[#This Row],[Cal Type]]&lt;&gt;"ACCREDITED 17025 WITH UNCERTAINTIES",0,"")</f>
        <v>0</v>
      </c>
      <c r="X2139" s="1" t="str">
        <f>IF(Table1[[#This Row],[DUT Read]]="","N/A",Table1[[#This Row],[Std Error]]+Table1[[#This Row],[DUT Read]]+Table1[[#This Row],[DUT Ucty]])</f>
        <v>N/A</v>
      </c>
      <c r="Y2139" s="1" t="str">
        <f>IF(Table1[[#This Row],[Std Read]]="","N/A",Table1[[#This Row],[Std Read]]+Table1[[#This Row],[Std Ucty]])</f>
        <v>N/A</v>
      </c>
      <c r="Z21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9" s="1" t="str">
        <f>IF(Table1[[#This Row],[Spec Type]]="","N/A",Table1[[#This Row],[Spec Type]])</f>
        <v>±</v>
      </c>
      <c r="AC2139" s="1" t="str">
        <f>IF(Table1[[#This Row],[Spec Type2]]="N/A","N/A",IF(AND(Table1[[#This Row],[DUT Adj Read]]&gt;=Table1[[#This Row],[Low Tol]],Table1[[#This Row],[DUT Adj Read]]&lt;=Table1[[#This Row],[High Tol]]),"Pass","Fail"))</f>
        <v>Fail</v>
      </c>
      <c r="AD2139" s="1" t="str">
        <f>IF(AND(Table1[[#This Row],[Spec Type2]]="N/A",Table1[[#This Row],[DUT Adj Read]]="N/A",Table1[[#This Row],[Std Adj Read]]="N/A"),"N/A",IF(Table1[[#This Row],[DUT Adj Read]]="N/A",IF(Table1[[#This Row],[Std Adj Read]]&gt;Table1[[#This Row],[Low Tol]],"Pass","Fail"),IF(Table1[[#This Row],[DUT Adj Read]]&gt;Table1[[#This Row],[Low Tol]],"Pass","Fail")))</f>
        <v>Pass</v>
      </c>
      <c r="AE2139" s="1" t="str">
        <f>IF(AND(Table1[[#This Row],[Spec Type2]]="N/A",Table1[[#This Row],[DUT Adj Read]]="N/A",Table1[[#This Row],[Std Adj Read]]="N/A"),"N/A",IF(Table1[[#This Row],[DUT Adj Read]]="N/A",IF(Table1[[#This Row],[Std Adj Read]]&lt;Table1[[#This Row],[High Tol]],"Pass","Fail"),IF(Table1[[#This Row],[DUT Adj Read]]&lt;Table1[[#This Row],[High Tol]],"Pass","Fail")))</f>
        <v>Fail</v>
      </c>
      <c r="AF2139" s="1" t="str">
        <f>IF(AND(Table1[[#This Row],[Spec Type2]]="N/A",Table1[[#This Row],[DUT Adj Read]]="N/A",Table1[[#This Row],[Std Adj Read]]="N/A"),"N/A",IF(Table1[[#This Row],[DUT Adj Read]]="N/A",IF(Table1[[#This Row],[Std Adj Read]]&gt;=Table1[[#This Row],[Low Tol]],"Pass","Fail"),IF(Table1[[#This Row],[DUT Adj Read]]&gt;=Table1[[#This Row],[Low Tol]],"Pass","Fail")))</f>
        <v>Pass</v>
      </c>
      <c r="AG2139" s="1" t="str">
        <f>IF(AND(Table1[[#This Row],[Spec Type2]]="N/A",Table1[[#This Row],[DUT Adj Read]]="N/A",Table1[[#This Row],[Std Adj Read]]="N/A"),"N/A",IF(Table1[[#This Row],[DUT Adj Read]]="N/A",IF(Table1[[#This Row],[Std Adj Read]]&lt;=Table1[[#This Row],[High Tol]],"Pass","Fail"),IF(Table1[[#This Row],[DUT Adj Read]]&lt;=Table1[[#This Row],[High Tol]],"Pass","Fail")))</f>
        <v>Fail</v>
      </c>
      <c r="AH21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9" s="1" t="b">
        <v>0</v>
      </c>
      <c r="AN2139" s="1" t="b">
        <v>0</v>
      </c>
      <c r="AO2139" s="1" t="b">
        <v>0</v>
      </c>
    </row>
    <row r="2140" spans="1:41" x14ac:dyDescent="0.25">
      <c r="A2140" s="10"/>
      <c r="B2140" s="10"/>
      <c r="C2140" s="10"/>
      <c r="D2140" s="10"/>
      <c r="E2140" s="10"/>
      <c r="F2140" s="10"/>
      <c r="G2140" s="10"/>
      <c r="H2140" s="10"/>
      <c r="I2140" s="1" t="str">
        <f t="shared" si="99"/>
        <v/>
      </c>
      <c r="J2140" s="1" t="s">
        <v>35</v>
      </c>
      <c r="K2140" s="1" t="str">
        <f t="shared" si="100"/>
        <v/>
      </c>
      <c r="L2140" s="1" t="str">
        <f t="shared" si="101"/>
        <v/>
      </c>
      <c r="M2140" s="1">
        <f>IF(OR(Table1[[#This Row],[Std Nom]]="",Table1[[#This Row],[Std Read]]=""),0,Table1[[#This Row],[Std Nom]]-Table1[[#This Row],[Std Read]])</f>
        <v>0</v>
      </c>
      <c r="N2140" s="1">
        <f>IF(Calculations!$F$5="ACCREDITED 17025 WITH UNCERTAINTIES",$N$10,0)</f>
        <v>0</v>
      </c>
      <c r="O2140" s="1" t="str">
        <f>IFERROR(Table1[[#This Row],[Std Nom]]-(_xlfn.XLOOKUP(Table1[[#This Row],[Manufacturer]]&amp;" "&amp;Table1[[#This Row],[Model]],Table13[MFR &amp; MDL],Table13[Tolerance % CW ],"")/100*Table1[[#This Row],[Std Nom]]),"")</f>
        <v/>
      </c>
      <c r="P2140" s="1" t="str">
        <f>IFERROR(Table1[[#This Row],[Std Nom]]+(_xlfn.XLOOKUP(Table1[[#This Row],[Manufacturer]]&amp;" "&amp;Table1[[#This Row],[Model]],Table13[MFR &amp; MDL],Table13[Tolerance % CW ],"")/100*Table1[[#This Row],[Std Nom]]),"")</f>
        <v/>
      </c>
      <c r="Q2140" s="1" t="e">
        <f>Table1[[#This Row],[High Tol]]-Table1[[#This Row],[Low Tol]]</f>
        <v>#VALUE!</v>
      </c>
      <c r="R2140" s="1">
        <f>2*Table1[[#This Row],[Std Error]]</f>
        <v>0</v>
      </c>
      <c r="S2140" s="1" t="str">
        <f>IF(Table1[[#This Row],[High Tol]]="","N/A",IFERROR(ABS(Table1[[#This Row],[Tol Span]]/Table1[[#This Row],[Error Span]]),"N/A"))</f>
        <v>N/A</v>
      </c>
      <c r="T2140" s="1" t="str">
        <f>IF(OR(Table1[[#This Row],[Low Tol]]="",Table1[[#This Row],[High Tol]]=""),"Needs Analysis",IF(Table1[[#This Row],[Ratio]]&gt;=4,"Not Significant",IF(Table1[[#This Row],[Ratio]]&gt;=2,"Semi-Significant","Significant")))</f>
        <v>Needs Analysis</v>
      </c>
      <c r="W2140" s="1">
        <f>IF(Table1[[#This Row],[Cal Type]]&lt;&gt;"ACCREDITED 17025 WITH UNCERTAINTIES",0,"")</f>
        <v>0</v>
      </c>
      <c r="X2140" s="1" t="str">
        <f>IF(Table1[[#This Row],[DUT Read]]="","N/A",Table1[[#This Row],[Std Error]]+Table1[[#This Row],[DUT Read]]+Table1[[#This Row],[DUT Ucty]])</f>
        <v>N/A</v>
      </c>
      <c r="Y2140" s="1" t="str">
        <f>IF(Table1[[#This Row],[Std Read]]="","N/A",Table1[[#This Row],[Std Read]]+Table1[[#This Row],[Std Ucty]])</f>
        <v>N/A</v>
      </c>
      <c r="Z21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0" s="1" t="str">
        <f>IF(Table1[[#This Row],[Spec Type]]="","N/A",Table1[[#This Row],[Spec Type]])</f>
        <v>±</v>
      </c>
      <c r="AC2140" s="1" t="str">
        <f>IF(Table1[[#This Row],[Spec Type2]]="N/A","N/A",IF(AND(Table1[[#This Row],[DUT Adj Read]]&gt;=Table1[[#This Row],[Low Tol]],Table1[[#This Row],[DUT Adj Read]]&lt;=Table1[[#This Row],[High Tol]]),"Pass","Fail"))</f>
        <v>Fail</v>
      </c>
      <c r="AD2140" s="1" t="str">
        <f>IF(AND(Table1[[#This Row],[Spec Type2]]="N/A",Table1[[#This Row],[DUT Adj Read]]="N/A",Table1[[#This Row],[Std Adj Read]]="N/A"),"N/A",IF(Table1[[#This Row],[DUT Adj Read]]="N/A",IF(Table1[[#This Row],[Std Adj Read]]&gt;Table1[[#This Row],[Low Tol]],"Pass","Fail"),IF(Table1[[#This Row],[DUT Adj Read]]&gt;Table1[[#This Row],[Low Tol]],"Pass","Fail")))</f>
        <v>Pass</v>
      </c>
      <c r="AE2140" s="1" t="str">
        <f>IF(AND(Table1[[#This Row],[Spec Type2]]="N/A",Table1[[#This Row],[DUT Adj Read]]="N/A",Table1[[#This Row],[Std Adj Read]]="N/A"),"N/A",IF(Table1[[#This Row],[DUT Adj Read]]="N/A",IF(Table1[[#This Row],[Std Adj Read]]&lt;Table1[[#This Row],[High Tol]],"Pass","Fail"),IF(Table1[[#This Row],[DUT Adj Read]]&lt;Table1[[#This Row],[High Tol]],"Pass","Fail")))</f>
        <v>Fail</v>
      </c>
      <c r="AF2140" s="1" t="str">
        <f>IF(AND(Table1[[#This Row],[Spec Type2]]="N/A",Table1[[#This Row],[DUT Adj Read]]="N/A",Table1[[#This Row],[Std Adj Read]]="N/A"),"N/A",IF(Table1[[#This Row],[DUT Adj Read]]="N/A",IF(Table1[[#This Row],[Std Adj Read]]&gt;=Table1[[#This Row],[Low Tol]],"Pass","Fail"),IF(Table1[[#This Row],[DUT Adj Read]]&gt;=Table1[[#This Row],[Low Tol]],"Pass","Fail")))</f>
        <v>Pass</v>
      </c>
      <c r="AG2140" s="1" t="str">
        <f>IF(AND(Table1[[#This Row],[Spec Type2]]="N/A",Table1[[#This Row],[DUT Adj Read]]="N/A",Table1[[#This Row],[Std Adj Read]]="N/A"),"N/A",IF(Table1[[#This Row],[DUT Adj Read]]="N/A",IF(Table1[[#This Row],[Std Adj Read]]&lt;=Table1[[#This Row],[High Tol]],"Pass","Fail"),IF(Table1[[#This Row],[DUT Adj Read]]&lt;=Table1[[#This Row],[High Tol]],"Pass","Fail")))</f>
        <v>Fail</v>
      </c>
      <c r="AH21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0" s="1" t="b">
        <v>0</v>
      </c>
      <c r="AN2140" s="1" t="b">
        <v>0</v>
      </c>
      <c r="AO2140" s="1" t="b">
        <v>0</v>
      </c>
    </row>
    <row r="2141" spans="1:41" x14ac:dyDescent="0.25">
      <c r="A2141" s="10"/>
      <c r="B2141" s="10"/>
      <c r="C2141" s="10"/>
      <c r="D2141" s="10"/>
      <c r="E2141" s="10"/>
      <c r="F2141" s="10"/>
      <c r="G2141" s="10"/>
      <c r="H2141" s="10"/>
      <c r="I2141" s="1" t="str">
        <f t="shared" si="99"/>
        <v/>
      </c>
      <c r="J2141" s="1" t="s">
        <v>35</v>
      </c>
      <c r="K2141" s="1" t="str">
        <f t="shared" si="100"/>
        <v/>
      </c>
      <c r="L2141" s="1" t="str">
        <f t="shared" si="101"/>
        <v/>
      </c>
      <c r="M2141" s="1">
        <f>IF(OR(Table1[[#This Row],[Std Nom]]="",Table1[[#This Row],[Std Read]]=""),0,Table1[[#This Row],[Std Nom]]-Table1[[#This Row],[Std Read]])</f>
        <v>0</v>
      </c>
      <c r="N2141" s="1">
        <f>IF(Calculations!$F$5="ACCREDITED 17025 WITH UNCERTAINTIES",$N$10,0)</f>
        <v>0</v>
      </c>
      <c r="O2141" s="1" t="str">
        <f>IFERROR(Table1[[#This Row],[Std Nom]]-(_xlfn.XLOOKUP(Table1[[#This Row],[Manufacturer]]&amp;" "&amp;Table1[[#This Row],[Model]],Table13[MFR &amp; MDL],Table13[Tolerance % CW ],"")/100*Table1[[#This Row],[Std Nom]]),"")</f>
        <v/>
      </c>
      <c r="P2141" s="1" t="str">
        <f>IFERROR(Table1[[#This Row],[Std Nom]]+(_xlfn.XLOOKUP(Table1[[#This Row],[Manufacturer]]&amp;" "&amp;Table1[[#This Row],[Model]],Table13[MFR &amp; MDL],Table13[Tolerance % CW ],"")/100*Table1[[#This Row],[Std Nom]]),"")</f>
        <v/>
      </c>
      <c r="Q2141" s="1" t="e">
        <f>Table1[[#This Row],[High Tol]]-Table1[[#This Row],[Low Tol]]</f>
        <v>#VALUE!</v>
      </c>
      <c r="R2141" s="1">
        <f>2*Table1[[#This Row],[Std Error]]</f>
        <v>0</v>
      </c>
      <c r="S2141" s="1" t="str">
        <f>IF(Table1[[#This Row],[High Tol]]="","N/A",IFERROR(ABS(Table1[[#This Row],[Tol Span]]/Table1[[#This Row],[Error Span]]),"N/A"))</f>
        <v>N/A</v>
      </c>
      <c r="T2141" s="1" t="str">
        <f>IF(OR(Table1[[#This Row],[Low Tol]]="",Table1[[#This Row],[High Tol]]=""),"Needs Analysis",IF(Table1[[#This Row],[Ratio]]&gt;=4,"Not Significant",IF(Table1[[#This Row],[Ratio]]&gt;=2,"Semi-Significant","Significant")))</f>
        <v>Needs Analysis</v>
      </c>
      <c r="W2141" s="1">
        <f>IF(Table1[[#This Row],[Cal Type]]&lt;&gt;"ACCREDITED 17025 WITH UNCERTAINTIES",0,"")</f>
        <v>0</v>
      </c>
      <c r="X2141" s="1" t="str">
        <f>IF(Table1[[#This Row],[DUT Read]]="","N/A",Table1[[#This Row],[Std Error]]+Table1[[#This Row],[DUT Read]]+Table1[[#This Row],[DUT Ucty]])</f>
        <v>N/A</v>
      </c>
      <c r="Y2141" s="1" t="str">
        <f>IF(Table1[[#This Row],[Std Read]]="","N/A",Table1[[#This Row],[Std Read]]+Table1[[#This Row],[Std Ucty]])</f>
        <v>N/A</v>
      </c>
      <c r="Z21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1" s="1" t="str">
        <f>IF(Table1[[#This Row],[Spec Type]]="","N/A",Table1[[#This Row],[Spec Type]])</f>
        <v>±</v>
      </c>
      <c r="AC2141" s="1" t="str">
        <f>IF(Table1[[#This Row],[Spec Type2]]="N/A","N/A",IF(AND(Table1[[#This Row],[DUT Adj Read]]&gt;=Table1[[#This Row],[Low Tol]],Table1[[#This Row],[DUT Adj Read]]&lt;=Table1[[#This Row],[High Tol]]),"Pass","Fail"))</f>
        <v>Fail</v>
      </c>
      <c r="AD2141" s="1" t="str">
        <f>IF(AND(Table1[[#This Row],[Spec Type2]]="N/A",Table1[[#This Row],[DUT Adj Read]]="N/A",Table1[[#This Row],[Std Adj Read]]="N/A"),"N/A",IF(Table1[[#This Row],[DUT Adj Read]]="N/A",IF(Table1[[#This Row],[Std Adj Read]]&gt;Table1[[#This Row],[Low Tol]],"Pass","Fail"),IF(Table1[[#This Row],[DUT Adj Read]]&gt;Table1[[#This Row],[Low Tol]],"Pass","Fail")))</f>
        <v>Pass</v>
      </c>
      <c r="AE2141" s="1" t="str">
        <f>IF(AND(Table1[[#This Row],[Spec Type2]]="N/A",Table1[[#This Row],[DUT Adj Read]]="N/A",Table1[[#This Row],[Std Adj Read]]="N/A"),"N/A",IF(Table1[[#This Row],[DUT Adj Read]]="N/A",IF(Table1[[#This Row],[Std Adj Read]]&lt;Table1[[#This Row],[High Tol]],"Pass","Fail"),IF(Table1[[#This Row],[DUT Adj Read]]&lt;Table1[[#This Row],[High Tol]],"Pass","Fail")))</f>
        <v>Fail</v>
      </c>
      <c r="AF2141" s="1" t="str">
        <f>IF(AND(Table1[[#This Row],[Spec Type2]]="N/A",Table1[[#This Row],[DUT Adj Read]]="N/A",Table1[[#This Row],[Std Adj Read]]="N/A"),"N/A",IF(Table1[[#This Row],[DUT Adj Read]]="N/A",IF(Table1[[#This Row],[Std Adj Read]]&gt;=Table1[[#This Row],[Low Tol]],"Pass","Fail"),IF(Table1[[#This Row],[DUT Adj Read]]&gt;=Table1[[#This Row],[Low Tol]],"Pass","Fail")))</f>
        <v>Pass</v>
      </c>
      <c r="AG2141" s="1" t="str">
        <f>IF(AND(Table1[[#This Row],[Spec Type2]]="N/A",Table1[[#This Row],[DUT Adj Read]]="N/A",Table1[[#This Row],[Std Adj Read]]="N/A"),"N/A",IF(Table1[[#This Row],[DUT Adj Read]]="N/A",IF(Table1[[#This Row],[Std Adj Read]]&lt;=Table1[[#This Row],[High Tol]],"Pass","Fail"),IF(Table1[[#This Row],[DUT Adj Read]]&lt;=Table1[[#This Row],[High Tol]],"Pass","Fail")))</f>
        <v>Fail</v>
      </c>
      <c r="AH21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1" s="1" t="b">
        <v>0</v>
      </c>
      <c r="AN2141" s="1" t="b">
        <v>0</v>
      </c>
      <c r="AO2141" s="1" t="b">
        <v>0</v>
      </c>
    </row>
    <row r="2142" spans="1:41" x14ac:dyDescent="0.25">
      <c r="A2142" s="10"/>
      <c r="B2142" s="10"/>
      <c r="C2142" s="10"/>
      <c r="D2142" s="10"/>
      <c r="E2142" s="10"/>
      <c r="F2142" s="10"/>
      <c r="G2142" s="10"/>
      <c r="H2142" s="10"/>
      <c r="I2142" s="1" t="str">
        <f t="shared" si="99"/>
        <v/>
      </c>
      <c r="J2142" s="1" t="s">
        <v>35</v>
      </c>
      <c r="K2142" s="1" t="str">
        <f t="shared" si="100"/>
        <v/>
      </c>
      <c r="L2142" s="1" t="str">
        <f t="shared" si="101"/>
        <v/>
      </c>
      <c r="M2142" s="1">
        <f>IF(OR(Table1[[#This Row],[Std Nom]]="",Table1[[#This Row],[Std Read]]=""),0,Table1[[#This Row],[Std Nom]]-Table1[[#This Row],[Std Read]])</f>
        <v>0</v>
      </c>
      <c r="N2142" s="1">
        <f>IF(Calculations!$F$5="ACCREDITED 17025 WITH UNCERTAINTIES",$N$10,0)</f>
        <v>0</v>
      </c>
      <c r="O2142" s="1" t="str">
        <f>IFERROR(Table1[[#This Row],[Std Nom]]-(_xlfn.XLOOKUP(Table1[[#This Row],[Manufacturer]]&amp;" "&amp;Table1[[#This Row],[Model]],Table13[MFR &amp; MDL],Table13[Tolerance % CW ],"")/100*Table1[[#This Row],[Std Nom]]),"")</f>
        <v/>
      </c>
      <c r="P2142" s="1" t="str">
        <f>IFERROR(Table1[[#This Row],[Std Nom]]+(_xlfn.XLOOKUP(Table1[[#This Row],[Manufacturer]]&amp;" "&amp;Table1[[#This Row],[Model]],Table13[MFR &amp; MDL],Table13[Tolerance % CW ],"")/100*Table1[[#This Row],[Std Nom]]),"")</f>
        <v/>
      </c>
      <c r="Q2142" s="1" t="e">
        <f>Table1[[#This Row],[High Tol]]-Table1[[#This Row],[Low Tol]]</f>
        <v>#VALUE!</v>
      </c>
      <c r="R2142" s="1">
        <f>2*Table1[[#This Row],[Std Error]]</f>
        <v>0</v>
      </c>
      <c r="S2142" s="1" t="str">
        <f>IF(Table1[[#This Row],[High Tol]]="","N/A",IFERROR(ABS(Table1[[#This Row],[Tol Span]]/Table1[[#This Row],[Error Span]]),"N/A"))</f>
        <v>N/A</v>
      </c>
      <c r="T2142" s="1" t="str">
        <f>IF(OR(Table1[[#This Row],[Low Tol]]="",Table1[[#This Row],[High Tol]]=""),"Needs Analysis",IF(Table1[[#This Row],[Ratio]]&gt;=4,"Not Significant",IF(Table1[[#This Row],[Ratio]]&gt;=2,"Semi-Significant","Significant")))</f>
        <v>Needs Analysis</v>
      </c>
      <c r="W2142" s="1">
        <f>IF(Table1[[#This Row],[Cal Type]]&lt;&gt;"ACCREDITED 17025 WITH UNCERTAINTIES",0,"")</f>
        <v>0</v>
      </c>
      <c r="X2142" s="1" t="str">
        <f>IF(Table1[[#This Row],[DUT Read]]="","N/A",Table1[[#This Row],[Std Error]]+Table1[[#This Row],[DUT Read]]+Table1[[#This Row],[DUT Ucty]])</f>
        <v>N/A</v>
      </c>
      <c r="Y2142" s="1" t="str">
        <f>IF(Table1[[#This Row],[Std Read]]="","N/A",Table1[[#This Row],[Std Read]]+Table1[[#This Row],[Std Ucty]])</f>
        <v>N/A</v>
      </c>
      <c r="Z21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2" s="1" t="str">
        <f>IF(Table1[[#This Row],[Spec Type]]="","N/A",Table1[[#This Row],[Spec Type]])</f>
        <v>±</v>
      </c>
      <c r="AC2142" s="1" t="str">
        <f>IF(Table1[[#This Row],[Spec Type2]]="N/A","N/A",IF(AND(Table1[[#This Row],[DUT Adj Read]]&gt;=Table1[[#This Row],[Low Tol]],Table1[[#This Row],[DUT Adj Read]]&lt;=Table1[[#This Row],[High Tol]]),"Pass","Fail"))</f>
        <v>Fail</v>
      </c>
      <c r="AD2142" s="1" t="str">
        <f>IF(AND(Table1[[#This Row],[Spec Type2]]="N/A",Table1[[#This Row],[DUT Adj Read]]="N/A",Table1[[#This Row],[Std Adj Read]]="N/A"),"N/A",IF(Table1[[#This Row],[DUT Adj Read]]="N/A",IF(Table1[[#This Row],[Std Adj Read]]&gt;Table1[[#This Row],[Low Tol]],"Pass","Fail"),IF(Table1[[#This Row],[DUT Adj Read]]&gt;Table1[[#This Row],[Low Tol]],"Pass","Fail")))</f>
        <v>Pass</v>
      </c>
      <c r="AE2142" s="1" t="str">
        <f>IF(AND(Table1[[#This Row],[Spec Type2]]="N/A",Table1[[#This Row],[DUT Adj Read]]="N/A",Table1[[#This Row],[Std Adj Read]]="N/A"),"N/A",IF(Table1[[#This Row],[DUT Adj Read]]="N/A",IF(Table1[[#This Row],[Std Adj Read]]&lt;Table1[[#This Row],[High Tol]],"Pass","Fail"),IF(Table1[[#This Row],[DUT Adj Read]]&lt;Table1[[#This Row],[High Tol]],"Pass","Fail")))</f>
        <v>Fail</v>
      </c>
      <c r="AF2142" s="1" t="str">
        <f>IF(AND(Table1[[#This Row],[Spec Type2]]="N/A",Table1[[#This Row],[DUT Adj Read]]="N/A",Table1[[#This Row],[Std Adj Read]]="N/A"),"N/A",IF(Table1[[#This Row],[DUT Adj Read]]="N/A",IF(Table1[[#This Row],[Std Adj Read]]&gt;=Table1[[#This Row],[Low Tol]],"Pass","Fail"),IF(Table1[[#This Row],[DUT Adj Read]]&gt;=Table1[[#This Row],[Low Tol]],"Pass","Fail")))</f>
        <v>Pass</v>
      </c>
      <c r="AG2142" s="1" t="str">
        <f>IF(AND(Table1[[#This Row],[Spec Type2]]="N/A",Table1[[#This Row],[DUT Adj Read]]="N/A",Table1[[#This Row],[Std Adj Read]]="N/A"),"N/A",IF(Table1[[#This Row],[DUT Adj Read]]="N/A",IF(Table1[[#This Row],[Std Adj Read]]&lt;=Table1[[#This Row],[High Tol]],"Pass","Fail"),IF(Table1[[#This Row],[DUT Adj Read]]&lt;=Table1[[#This Row],[High Tol]],"Pass","Fail")))</f>
        <v>Fail</v>
      </c>
      <c r="AH21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2" s="1" t="b">
        <v>0</v>
      </c>
      <c r="AN2142" s="1" t="b">
        <v>0</v>
      </c>
      <c r="AO2142" s="1" t="b">
        <v>0</v>
      </c>
    </row>
    <row r="2143" spans="1:41" x14ac:dyDescent="0.25">
      <c r="A2143" s="10"/>
      <c r="B2143" s="10"/>
      <c r="C2143" s="10"/>
      <c r="D2143" s="10"/>
      <c r="E2143" s="10"/>
      <c r="F2143" s="10"/>
      <c r="G2143" s="10"/>
      <c r="H2143" s="10"/>
      <c r="I2143" s="1" t="str">
        <f t="shared" si="99"/>
        <v/>
      </c>
      <c r="J2143" s="1" t="s">
        <v>35</v>
      </c>
      <c r="K2143" s="1" t="str">
        <f t="shared" si="100"/>
        <v/>
      </c>
      <c r="L2143" s="1" t="str">
        <f t="shared" si="101"/>
        <v/>
      </c>
      <c r="M2143" s="1">
        <f>IF(OR(Table1[[#This Row],[Std Nom]]="",Table1[[#This Row],[Std Read]]=""),0,Table1[[#This Row],[Std Nom]]-Table1[[#This Row],[Std Read]])</f>
        <v>0</v>
      </c>
      <c r="N2143" s="1">
        <f>IF(Calculations!$F$5="ACCREDITED 17025 WITH UNCERTAINTIES",$N$10,0)</f>
        <v>0</v>
      </c>
      <c r="O2143" s="1" t="str">
        <f>IFERROR(Table1[[#This Row],[Std Nom]]-(_xlfn.XLOOKUP(Table1[[#This Row],[Manufacturer]]&amp;" "&amp;Table1[[#This Row],[Model]],Table13[MFR &amp; MDL],Table13[Tolerance % CW ],"")/100*Table1[[#This Row],[Std Nom]]),"")</f>
        <v/>
      </c>
      <c r="P2143" s="1" t="str">
        <f>IFERROR(Table1[[#This Row],[Std Nom]]+(_xlfn.XLOOKUP(Table1[[#This Row],[Manufacturer]]&amp;" "&amp;Table1[[#This Row],[Model]],Table13[MFR &amp; MDL],Table13[Tolerance % CW ],"")/100*Table1[[#This Row],[Std Nom]]),"")</f>
        <v/>
      </c>
      <c r="Q2143" s="1" t="e">
        <f>Table1[[#This Row],[High Tol]]-Table1[[#This Row],[Low Tol]]</f>
        <v>#VALUE!</v>
      </c>
      <c r="R2143" s="1">
        <f>2*Table1[[#This Row],[Std Error]]</f>
        <v>0</v>
      </c>
      <c r="S2143" s="1" t="str">
        <f>IF(Table1[[#This Row],[High Tol]]="","N/A",IFERROR(ABS(Table1[[#This Row],[Tol Span]]/Table1[[#This Row],[Error Span]]),"N/A"))</f>
        <v>N/A</v>
      </c>
      <c r="T2143" s="1" t="str">
        <f>IF(OR(Table1[[#This Row],[Low Tol]]="",Table1[[#This Row],[High Tol]]=""),"Needs Analysis",IF(Table1[[#This Row],[Ratio]]&gt;=4,"Not Significant",IF(Table1[[#This Row],[Ratio]]&gt;=2,"Semi-Significant","Significant")))</f>
        <v>Needs Analysis</v>
      </c>
      <c r="W2143" s="1">
        <f>IF(Table1[[#This Row],[Cal Type]]&lt;&gt;"ACCREDITED 17025 WITH UNCERTAINTIES",0,"")</f>
        <v>0</v>
      </c>
      <c r="X2143" s="1" t="str">
        <f>IF(Table1[[#This Row],[DUT Read]]="","N/A",Table1[[#This Row],[Std Error]]+Table1[[#This Row],[DUT Read]]+Table1[[#This Row],[DUT Ucty]])</f>
        <v>N/A</v>
      </c>
      <c r="Y2143" s="1" t="str">
        <f>IF(Table1[[#This Row],[Std Read]]="","N/A",Table1[[#This Row],[Std Read]]+Table1[[#This Row],[Std Ucty]])</f>
        <v>N/A</v>
      </c>
      <c r="Z21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3" s="1" t="str">
        <f>IF(Table1[[#This Row],[Spec Type]]="","N/A",Table1[[#This Row],[Spec Type]])</f>
        <v>±</v>
      </c>
      <c r="AC2143" s="1" t="str">
        <f>IF(Table1[[#This Row],[Spec Type2]]="N/A","N/A",IF(AND(Table1[[#This Row],[DUT Adj Read]]&gt;=Table1[[#This Row],[Low Tol]],Table1[[#This Row],[DUT Adj Read]]&lt;=Table1[[#This Row],[High Tol]]),"Pass","Fail"))</f>
        <v>Fail</v>
      </c>
      <c r="AD2143" s="1" t="str">
        <f>IF(AND(Table1[[#This Row],[Spec Type2]]="N/A",Table1[[#This Row],[DUT Adj Read]]="N/A",Table1[[#This Row],[Std Adj Read]]="N/A"),"N/A",IF(Table1[[#This Row],[DUT Adj Read]]="N/A",IF(Table1[[#This Row],[Std Adj Read]]&gt;Table1[[#This Row],[Low Tol]],"Pass","Fail"),IF(Table1[[#This Row],[DUT Adj Read]]&gt;Table1[[#This Row],[Low Tol]],"Pass","Fail")))</f>
        <v>Pass</v>
      </c>
      <c r="AE2143" s="1" t="str">
        <f>IF(AND(Table1[[#This Row],[Spec Type2]]="N/A",Table1[[#This Row],[DUT Adj Read]]="N/A",Table1[[#This Row],[Std Adj Read]]="N/A"),"N/A",IF(Table1[[#This Row],[DUT Adj Read]]="N/A",IF(Table1[[#This Row],[Std Adj Read]]&lt;Table1[[#This Row],[High Tol]],"Pass","Fail"),IF(Table1[[#This Row],[DUT Adj Read]]&lt;Table1[[#This Row],[High Tol]],"Pass","Fail")))</f>
        <v>Fail</v>
      </c>
      <c r="AF2143" s="1" t="str">
        <f>IF(AND(Table1[[#This Row],[Spec Type2]]="N/A",Table1[[#This Row],[DUT Adj Read]]="N/A",Table1[[#This Row],[Std Adj Read]]="N/A"),"N/A",IF(Table1[[#This Row],[DUT Adj Read]]="N/A",IF(Table1[[#This Row],[Std Adj Read]]&gt;=Table1[[#This Row],[Low Tol]],"Pass","Fail"),IF(Table1[[#This Row],[DUT Adj Read]]&gt;=Table1[[#This Row],[Low Tol]],"Pass","Fail")))</f>
        <v>Pass</v>
      </c>
      <c r="AG2143" s="1" t="str">
        <f>IF(AND(Table1[[#This Row],[Spec Type2]]="N/A",Table1[[#This Row],[DUT Adj Read]]="N/A",Table1[[#This Row],[Std Adj Read]]="N/A"),"N/A",IF(Table1[[#This Row],[DUT Adj Read]]="N/A",IF(Table1[[#This Row],[Std Adj Read]]&lt;=Table1[[#This Row],[High Tol]],"Pass","Fail"),IF(Table1[[#This Row],[DUT Adj Read]]&lt;=Table1[[#This Row],[High Tol]],"Pass","Fail")))</f>
        <v>Fail</v>
      </c>
      <c r="AH21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3" s="1" t="b">
        <v>0</v>
      </c>
      <c r="AN2143" s="1" t="b">
        <v>0</v>
      </c>
      <c r="AO2143" s="1" t="b">
        <v>0</v>
      </c>
    </row>
    <row r="2144" spans="1:41" x14ac:dyDescent="0.25">
      <c r="A2144" s="10"/>
      <c r="B2144" s="10"/>
      <c r="C2144" s="10"/>
      <c r="D2144" s="10"/>
      <c r="E2144" s="10"/>
      <c r="F2144" s="10"/>
      <c r="G2144" s="10"/>
      <c r="H2144" s="10"/>
      <c r="I2144" s="1" t="str">
        <f t="shared" si="99"/>
        <v/>
      </c>
      <c r="J2144" s="1" t="s">
        <v>35</v>
      </c>
      <c r="K2144" s="1" t="str">
        <f t="shared" si="100"/>
        <v/>
      </c>
      <c r="L2144" s="1" t="str">
        <f t="shared" si="101"/>
        <v/>
      </c>
      <c r="M2144" s="1">
        <f>IF(OR(Table1[[#This Row],[Std Nom]]="",Table1[[#This Row],[Std Read]]=""),0,Table1[[#This Row],[Std Nom]]-Table1[[#This Row],[Std Read]])</f>
        <v>0</v>
      </c>
      <c r="N2144" s="1">
        <f>IF(Calculations!$F$5="ACCREDITED 17025 WITH UNCERTAINTIES",$N$10,0)</f>
        <v>0</v>
      </c>
      <c r="O2144" s="1" t="str">
        <f>IFERROR(Table1[[#This Row],[Std Nom]]-(_xlfn.XLOOKUP(Table1[[#This Row],[Manufacturer]]&amp;" "&amp;Table1[[#This Row],[Model]],Table13[MFR &amp; MDL],Table13[Tolerance % CW ],"")/100*Table1[[#This Row],[Std Nom]]),"")</f>
        <v/>
      </c>
      <c r="P2144" s="1" t="str">
        <f>IFERROR(Table1[[#This Row],[Std Nom]]+(_xlfn.XLOOKUP(Table1[[#This Row],[Manufacturer]]&amp;" "&amp;Table1[[#This Row],[Model]],Table13[MFR &amp; MDL],Table13[Tolerance % CW ],"")/100*Table1[[#This Row],[Std Nom]]),"")</f>
        <v/>
      </c>
      <c r="Q2144" s="1" t="e">
        <f>Table1[[#This Row],[High Tol]]-Table1[[#This Row],[Low Tol]]</f>
        <v>#VALUE!</v>
      </c>
      <c r="R2144" s="1">
        <f>2*Table1[[#This Row],[Std Error]]</f>
        <v>0</v>
      </c>
      <c r="S2144" s="1" t="str">
        <f>IF(Table1[[#This Row],[High Tol]]="","N/A",IFERROR(ABS(Table1[[#This Row],[Tol Span]]/Table1[[#This Row],[Error Span]]),"N/A"))</f>
        <v>N/A</v>
      </c>
      <c r="T2144" s="1" t="str">
        <f>IF(OR(Table1[[#This Row],[Low Tol]]="",Table1[[#This Row],[High Tol]]=""),"Needs Analysis",IF(Table1[[#This Row],[Ratio]]&gt;=4,"Not Significant",IF(Table1[[#This Row],[Ratio]]&gt;=2,"Semi-Significant","Significant")))</f>
        <v>Needs Analysis</v>
      </c>
      <c r="W2144" s="1">
        <f>IF(Table1[[#This Row],[Cal Type]]&lt;&gt;"ACCREDITED 17025 WITH UNCERTAINTIES",0,"")</f>
        <v>0</v>
      </c>
      <c r="X2144" s="1" t="str">
        <f>IF(Table1[[#This Row],[DUT Read]]="","N/A",Table1[[#This Row],[Std Error]]+Table1[[#This Row],[DUT Read]]+Table1[[#This Row],[DUT Ucty]])</f>
        <v>N/A</v>
      </c>
      <c r="Y2144" s="1" t="str">
        <f>IF(Table1[[#This Row],[Std Read]]="","N/A",Table1[[#This Row],[Std Read]]+Table1[[#This Row],[Std Ucty]])</f>
        <v>N/A</v>
      </c>
      <c r="Z21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4" s="1" t="str">
        <f>IF(Table1[[#This Row],[Spec Type]]="","N/A",Table1[[#This Row],[Spec Type]])</f>
        <v>±</v>
      </c>
      <c r="AC2144" s="1" t="str">
        <f>IF(Table1[[#This Row],[Spec Type2]]="N/A","N/A",IF(AND(Table1[[#This Row],[DUT Adj Read]]&gt;=Table1[[#This Row],[Low Tol]],Table1[[#This Row],[DUT Adj Read]]&lt;=Table1[[#This Row],[High Tol]]),"Pass","Fail"))</f>
        <v>Fail</v>
      </c>
      <c r="AD2144" s="1" t="str">
        <f>IF(AND(Table1[[#This Row],[Spec Type2]]="N/A",Table1[[#This Row],[DUT Adj Read]]="N/A",Table1[[#This Row],[Std Adj Read]]="N/A"),"N/A",IF(Table1[[#This Row],[DUT Adj Read]]="N/A",IF(Table1[[#This Row],[Std Adj Read]]&gt;Table1[[#This Row],[Low Tol]],"Pass","Fail"),IF(Table1[[#This Row],[DUT Adj Read]]&gt;Table1[[#This Row],[Low Tol]],"Pass","Fail")))</f>
        <v>Pass</v>
      </c>
      <c r="AE2144" s="1" t="str">
        <f>IF(AND(Table1[[#This Row],[Spec Type2]]="N/A",Table1[[#This Row],[DUT Adj Read]]="N/A",Table1[[#This Row],[Std Adj Read]]="N/A"),"N/A",IF(Table1[[#This Row],[DUT Adj Read]]="N/A",IF(Table1[[#This Row],[Std Adj Read]]&lt;Table1[[#This Row],[High Tol]],"Pass","Fail"),IF(Table1[[#This Row],[DUT Adj Read]]&lt;Table1[[#This Row],[High Tol]],"Pass","Fail")))</f>
        <v>Fail</v>
      </c>
      <c r="AF2144" s="1" t="str">
        <f>IF(AND(Table1[[#This Row],[Spec Type2]]="N/A",Table1[[#This Row],[DUT Adj Read]]="N/A",Table1[[#This Row],[Std Adj Read]]="N/A"),"N/A",IF(Table1[[#This Row],[DUT Adj Read]]="N/A",IF(Table1[[#This Row],[Std Adj Read]]&gt;=Table1[[#This Row],[Low Tol]],"Pass","Fail"),IF(Table1[[#This Row],[DUT Adj Read]]&gt;=Table1[[#This Row],[Low Tol]],"Pass","Fail")))</f>
        <v>Pass</v>
      </c>
      <c r="AG2144" s="1" t="str">
        <f>IF(AND(Table1[[#This Row],[Spec Type2]]="N/A",Table1[[#This Row],[DUT Adj Read]]="N/A",Table1[[#This Row],[Std Adj Read]]="N/A"),"N/A",IF(Table1[[#This Row],[DUT Adj Read]]="N/A",IF(Table1[[#This Row],[Std Adj Read]]&lt;=Table1[[#This Row],[High Tol]],"Pass","Fail"),IF(Table1[[#This Row],[DUT Adj Read]]&lt;=Table1[[#This Row],[High Tol]],"Pass","Fail")))</f>
        <v>Fail</v>
      </c>
      <c r="AH21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4" s="1" t="b">
        <v>0</v>
      </c>
      <c r="AN2144" s="1" t="b">
        <v>0</v>
      </c>
      <c r="AO2144" s="1" t="b">
        <v>0</v>
      </c>
    </row>
    <row r="2145" spans="1:41" x14ac:dyDescent="0.25">
      <c r="A2145" s="10"/>
      <c r="B2145" s="10"/>
      <c r="C2145" s="10"/>
      <c r="D2145" s="10"/>
      <c r="E2145" s="10"/>
      <c r="F2145" s="10"/>
      <c r="G2145" s="10"/>
      <c r="H2145" s="10"/>
      <c r="I2145" s="1" t="str">
        <f t="shared" si="99"/>
        <v/>
      </c>
      <c r="J2145" s="1" t="s">
        <v>35</v>
      </c>
      <c r="K2145" s="1" t="str">
        <f t="shared" si="100"/>
        <v/>
      </c>
      <c r="L2145" s="1" t="str">
        <f t="shared" si="101"/>
        <v/>
      </c>
      <c r="M2145" s="1">
        <f>IF(OR(Table1[[#This Row],[Std Nom]]="",Table1[[#This Row],[Std Read]]=""),0,Table1[[#This Row],[Std Nom]]-Table1[[#This Row],[Std Read]])</f>
        <v>0</v>
      </c>
      <c r="N2145" s="1">
        <f>IF(Calculations!$F$5="ACCREDITED 17025 WITH UNCERTAINTIES",$N$10,0)</f>
        <v>0</v>
      </c>
      <c r="O2145" s="1" t="str">
        <f>IFERROR(Table1[[#This Row],[Std Nom]]-(_xlfn.XLOOKUP(Table1[[#This Row],[Manufacturer]]&amp;" "&amp;Table1[[#This Row],[Model]],Table13[MFR &amp; MDL],Table13[Tolerance % CW ],"")/100*Table1[[#This Row],[Std Nom]]),"")</f>
        <v/>
      </c>
      <c r="P2145" s="1" t="str">
        <f>IFERROR(Table1[[#This Row],[Std Nom]]+(_xlfn.XLOOKUP(Table1[[#This Row],[Manufacturer]]&amp;" "&amp;Table1[[#This Row],[Model]],Table13[MFR &amp; MDL],Table13[Tolerance % CW ],"")/100*Table1[[#This Row],[Std Nom]]),"")</f>
        <v/>
      </c>
      <c r="Q2145" s="1" t="e">
        <f>Table1[[#This Row],[High Tol]]-Table1[[#This Row],[Low Tol]]</f>
        <v>#VALUE!</v>
      </c>
      <c r="R2145" s="1">
        <f>2*Table1[[#This Row],[Std Error]]</f>
        <v>0</v>
      </c>
      <c r="S2145" s="1" t="str">
        <f>IF(Table1[[#This Row],[High Tol]]="","N/A",IFERROR(ABS(Table1[[#This Row],[Tol Span]]/Table1[[#This Row],[Error Span]]),"N/A"))</f>
        <v>N/A</v>
      </c>
      <c r="T2145" s="1" t="str">
        <f>IF(OR(Table1[[#This Row],[Low Tol]]="",Table1[[#This Row],[High Tol]]=""),"Needs Analysis",IF(Table1[[#This Row],[Ratio]]&gt;=4,"Not Significant",IF(Table1[[#This Row],[Ratio]]&gt;=2,"Semi-Significant","Significant")))</f>
        <v>Needs Analysis</v>
      </c>
      <c r="W2145" s="1">
        <f>IF(Table1[[#This Row],[Cal Type]]&lt;&gt;"ACCREDITED 17025 WITH UNCERTAINTIES",0,"")</f>
        <v>0</v>
      </c>
      <c r="X2145" s="1" t="str">
        <f>IF(Table1[[#This Row],[DUT Read]]="","N/A",Table1[[#This Row],[Std Error]]+Table1[[#This Row],[DUT Read]]+Table1[[#This Row],[DUT Ucty]])</f>
        <v>N/A</v>
      </c>
      <c r="Y2145" s="1" t="str">
        <f>IF(Table1[[#This Row],[Std Read]]="","N/A",Table1[[#This Row],[Std Read]]+Table1[[#This Row],[Std Ucty]])</f>
        <v>N/A</v>
      </c>
      <c r="Z21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5" s="1" t="str">
        <f>IF(Table1[[#This Row],[Spec Type]]="","N/A",Table1[[#This Row],[Spec Type]])</f>
        <v>±</v>
      </c>
      <c r="AC2145" s="1" t="str">
        <f>IF(Table1[[#This Row],[Spec Type2]]="N/A","N/A",IF(AND(Table1[[#This Row],[DUT Adj Read]]&gt;=Table1[[#This Row],[Low Tol]],Table1[[#This Row],[DUT Adj Read]]&lt;=Table1[[#This Row],[High Tol]]),"Pass","Fail"))</f>
        <v>Fail</v>
      </c>
      <c r="AD2145" s="1" t="str">
        <f>IF(AND(Table1[[#This Row],[Spec Type2]]="N/A",Table1[[#This Row],[DUT Adj Read]]="N/A",Table1[[#This Row],[Std Adj Read]]="N/A"),"N/A",IF(Table1[[#This Row],[DUT Adj Read]]="N/A",IF(Table1[[#This Row],[Std Adj Read]]&gt;Table1[[#This Row],[Low Tol]],"Pass","Fail"),IF(Table1[[#This Row],[DUT Adj Read]]&gt;Table1[[#This Row],[Low Tol]],"Pass","Fail")))</f>
        <v>Pass</v>
      </c>
      <c r="AE2145" s="1" t="str">
        <f>IF(AND(Table1[[#This Row],[Spec Type2]]="N/A",Table1[[#This Row],[DUT Adj Read]]="N/A",Table1[[#This Row],[Std Adj Read]]="N/A"),"N/A",IF(Table1[[#This Row],[DUT Adj Read]]="N/A",IF(Table1[[#This Row],[Std Adj Read]]&lt;Table1[[#This Row],[High Tol]],"Pass","Fail"),IF(Table1[[#This Row],[DUT Adj Read]]&lt;Table1[[#This Row],[High Tol]],"Pass","Fail")))</f>
        <v>Fail</v>
      </c>
      <c r="AF2145" s="1" t="str">
        <f>IF(AND(Table1[[#This Row],[Spec Type2]]="N/A",Table1[[#This Row],[DUT Adj Read]]="N/A",Table1[[#This Row],[Std Adj Read]]="N/A"),"N/A",IF(Table1[[#This Row],[DUT Adj Read]]="N/A",IF(Table1[[#This Row],[Std Adj Read]]&gt;=Table1[[#This Row],[Low Tol]],"Pass","Fail"),IF(Table1[[#This Row],[DUT Adj Read]]&gt;=Table1[[#This Row],[Low Tol]],"Pass","Fail")))</f>
        <v>Pass</v>
      </c>
      <c r="AG2145" s="1" t="str">
        <f>IF(AND(Table1[[#This Row],[Spec Type2]]="N/A",Table1[[#This Row],[DUT Adj Read]]="N/A",Table1[[#This Row],[Std Adj Read]]="N/A"),"N/A",IF(Table1[[#This Row],[DUT Adj Read]]="N/A",IF(Table1[[#This Row],[Std Adj Read]]&lt;=Table1[[#This Row],[High Tol]],"Pass","Fail"),IF(Table1[[#This Row],[DUT Adj Read]]&lt;=Table1[[#This Row],[High Tol]],"Pass","Fail")))</f>
        <v>Fail</v>
      </c>
      <c r="AH21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5" s="1" t="b">
        <v>0</v>
      </c>
      <c r="AN2145" s="1" t="b">
        <v>0</v>
      </c>
      <c r="AO2145" s="1" t="b">
        <v>0</v>
      </c>
    </row>
    <row r="2146" spans="1:41" x14ac:dyDescent="0.25">
      <c r="A2146" s="10"/>
      <c r="B2146" s="10"/>
      <c r="C2146" s="10"/>
      <c r="D2146" s="10"/>
      <c r="E2146" s="10"/>
      <c r="F2146" s="10"/>
      <c r="G2146" s="10"/>
      <c r="H2146" s="10"/>
      <c r="I2146" s="1" t="str">
        <f t="shared" si="99"/>
        <v/>
      </c>
      <c r="J2146" s="1" t="s">
        <v>35</v>
      </c>
      <c r="K2146" s="1" t="str">
        <f t="shared" si="100"/>
        <v/>
      </c>
      <c r="L2146" s="1" t="str">
        <f t="shared" si="101"/>
        <v/>
      </c>
      <c r="M2146" s="1">
        <f>IF(OR(Table1[[#This Row],[Std Nom]]="",Table1[[#This Row],[Std Read]]=""),0,Table1[[#This Row],[Std Nom]]-Table1[[#This Row],[Std Read]])</f>
        <v>0</v>
      </c>
      <c r="N2146" s="1">
        <f>IF(Calculations!$F$5="ACCREDITED 17025 WITH UNCERTAINTIES",$N$10,0)</f>
        <v>0</v>
      </c>
      <c r="O2146" s="1" t="str">
        <f>IFERROR(Table1[[#This Row],[Std Nom]]-(_xlfn.XLOOKUP(Table1[[#This Row],[Manufacturer]]&amp;" "&amp;Table1[[#This Row],[Model]],Table13[MFR &amp; MDL],Table13[Tolerance % CW ],"")/100*Table1[[#This Row],[Std Nom]]),"")</f>
        <v/>
      </c>
      <c r="P2146" s="1" t="str">
        <f>IFERROR(Table1[[#This Row],[Std Nom]]+(_xlfn.XLOOKUP(Table1[[#This Row],[Manufacturer]]&amp;" "&amp;Table1[[#This Row],[Model]],Table13[MFR &amp; MDL],Table13[Tolerance % CW ],"")/100*Table1[[#This Row],[Std Nom]]),"")</f>
        <v/>
      </c>
      <c r="Q2146" s="1" t="e">
        <f>Table1[[#This Row],[High Tol]]-Table1[[#This Row],[Low Tol]]</f>
        <v>#VALUE!</v>
      </c>
      <c r="R2146" s="1">
        <f>2*Table1[[#This Row],[Std Error]]</f>
        <v>0</v>
      </c>
      <c r="S2146" s="1" t="str">
        <f>IF(Table1[[#This Row],[High Tol]]="","N/A",IFERROR(ABS(Table1[[#This Row],[Tol Span]]/Table1[[#This Row],[Error Span]]),"N/A"))</f>
        <v>N/A</v>
      </c>
      <c r="T2146" s="1" t="str">
        <f>IF(OR(Table1[[#This Row],[Low Tol]]="",Table1[[#This Row],[High Tol]]=""),"Needs Analysis",IF(Table1[[#This Row],[Ratio]]&gt;=4,"Not Significant",IF(Table1[[#This Row],[Ratio]]&gt;=2,"Semi-Significant","Significant")))</f>
        <v>Needs Analysis</v>
      </c>
      <c r="W2146" s="1">
        <f>IF(Table1[[#This Row],[Cal Type]]&lt;&gt;"ACCREDITED 17025 WITH UNCERTAINTIES",0,"")</f>
        <v>0</v>
      </c>
      <c r="X2146" s="1" t="str">
        <f>IF(Table1[[#This Row],[DUT Read]]="","N/A",Table1[[#This Row],[Std Error]]+Table1[[#This Row],[DUT Read]]+Table1[[#This Row],[DUT Ucty]])</f>
        <v>N/A</v>
      </c>
      <c r="Y2146" s="1" t="str">
        <f>IF(Table1[[#This Row],[Std Read]]="","N/A",Table1[[#This Row],[Std Read]]+Table1[[#This Row],[Std Ucty]])</f>
        <v>N/A</v>
      </c>
      <c r="Z21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6" s="1" t="str">
        <f>IF(Table1[[#This Row],[Spec Type]]="","N/A",Table1[[#This Row],[Spec Type]])</f>
        <v>±</v>
      </c>
      <c r="AC2146" s="1" t="str">
        <f>IF(Table1[[#This Row],[Spec Type2]]="N/A","N/A",IF(AND(Table1[[#This Row],[DUT Adj Read]]&gt;=Table1[[#This Row],[Low Tol]],Table1[[#This Row],[DUT Adj Read]]&lt;=Table1[[#This Row],[High Tol]]),"Pass","Fail"))</f>
        <v>Fail</v>
      </c>
      <c r="AD2146" s="1" t="str">
        <f>IF(AND(Table1[[#This Row],[Spec Type2]]="N/A",Table1[[#This Row],[DUT Adj Read]]="N/A",Table1[[#This Row],[Std Adj Read]]="N/A"),"N/A",IF(Table1[[#This Row],[DUT Adj Read]]="N/A",IF(Table1[[#This Row],[Std Adj Read]]&gt;Table1[[#This Row],[Low Tol]],"Pass","Fail"),IF(Table1[[#This Row],[DUT Adj Read]]&gt;Table1[[#This Row],[Low Tol]],"Pass","Fail")))</f>
        <v>Pass</v>
      </c>
      <c r="AE2146" s="1" t="str">
        <f>IF(AND(Table1[[#This Row],[Spec Type2]]="N/A",Table1[[#This Row],[DUT Adj Read]]="N/A",Table1[[#This Row],[Std Adj Read]]="N/A"),"N/A",IF(Table1[[#This Row],[DUT Adj Read]]="N/A",IF(Table1[[#This Row],[Std Adj Read]]&lt;Table1[[#This Row],[High Tol]],"Pass","Fail"),IF(Table1[[#This Row],[DUT Adj Read]]&lt;Table1[[#This Row],[High Tol]],"Pass","Fail")))</f>
        <v>Fail</v>
      </c>
      <c r="AF2146" s="1" t="str">
        <f>IF(AND(Table1[[#This Row],[Spec Type2]]="N/A",Table1[[#This Row],[DUT Adj Read]]="N/A",Table1[[#This Row],[Std Adj Read]]="N/A"),"N/A",IF(Table1[[#This Row],[DUT Adj Read]]="N/A",IF(Table1[[#This Row],[Std Adj Read]]&gt;=Table1[[#This Row],[Low Tol]],"Pass","Fail"),IF(Table1[[#This Row],[DUT Adj Read]]&gt;=Table1[[#This Row],[Low Tol]],"Pass","Fail")))</f>
        <v>Pass</v>
      </c>
      <c r="AG2146" s="1" t="str">
        <f>IF(AND(Table1[[#This Row],[Spec Type2]]="N/A",Table1[[#This Row],[DUT Adj Read]]="N/A",Table1[[#This Row],[Std Adj Read]]="N/A"),"N/A",IF(Table1[[#This Row],[DUT Adj Read]]="N/A",IF(Table1[[#This Row],[Std Adj Read]]&lt;=Table1[[#This Row],[High Tol]],"Pass","Fail"),IF(Table1[[#This Row],[DUT Adj Read]]&lt;=Table1[[#This Row],[High Tol]],"Pass","Fail")))</f>
        <v>Fail</v>
      </c>
      <c r="AH21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6" s="1" t="b">
        <v>0</v>
      </c>
      <c r="AN2146" s="1" t="b">
        <v>0</v>
      </c>
      <c r="AO2146" s="1" t="b">
        <v>0</v>
      </c>
    </row>
    <row r="2147" spans="1:41" x14ac:dyDescent="0.25">
      <c r="A2147" s="10"/>
      <c r="B2147" s="10"/>
      <c r="C2147" s="10"/>
      <c r="D2147" s="10"/>
      <c r="E2147" s="10"/>
      <c r="F2147" s="10"/>
      <c r="G2147" s="10"/>
      <c r="H2147" s="10"/>
      <c r="I2147" s="1" t="str">
        <f t="shared" si="99"/>
        <v/>
      </c>
      <c r="J2147" s="1" t="s">
        <v>35</v>
      </c>
      <c r="K2147" s="1" t="str">
        <f t="shared" si="100"/>
        <v/>
      </c>
      <c r="L2147" s="1" t="str">
        <f t="shared" si="101"/>
        <v/>
      </c>
      <c r="M2147" s="1">
        <f>IF(OR(Table1[[#This Row],[Std Nom]]="",Table1[[#This Row],[Std Read]]=""),0,Table1[[#This Row],[Std Nom]]-Table1[[#This Row],[Std Read]])</f>
        <v>0</v>
      </c>
      <c r="N2147" s="1">
        <f>IF(Calculations!$F$5="ACCREDITED 17025 WITH UNCERTAINTIES",$N$10,0)</f>
        <v>0</v>
      </c>
      <c r="O2147" s="1" t="str">
        <f>IFERROR(Table1[[#This Row],[Std Nom]]-(_xlfn.XLOOKUP(Table1[[#This Row],[Manufacturer]]&amp;" "&amp;Table1[[#This Row],[Model]],Table13[MFR &amp; MDL],Table13[Tolerance % CW ],"")/100*Table1[[#This Row],[Std Nom]]),"")</f>
        <v/>
      </c>
      <c r="P2147" s="1" t="str">
        <f>IFERROR(Table1[[#This Row],[Std Nom]]+(_xlfn.XLOOKUP(Table1[[#This Row],[Manufacturer]]&amp;" "&amp;Table1[[#This Row],[Model]],Table13[MFR &amp; MDL],Table13[Tolerance % CW ],"")/100*Table1[[#This Row],[Std Nom]]),"")</f>
        <v/>
      </c>
      <c r="Q2147" s="1" t="e">
        <f>Table1[[#This Row],[High Tol]]-Table1[[#This Row],[Low Tol]]</f>
        <v>#VALUE!</v>
      </c>
      <c r="R2147" s="1">
        <f>2*Table1[[#This Row],[Std Error]]</f>
        <v>0</v>
      </c>
      <c r="S2147" s="1" t="str">
        <f>IF(Table1[[#This Row],[High Tol]]="","N/A",IFERROR(ABS(Table1[[#This Row],[Tol Span]]/Table1[[#This Row],[Error Span]]),"N/A"))</f>
        <v>N/A</v>
      </c>
      <c r="T2147" s="1" t="str">
        <f>IF(OR(Table1[[#This Row],[Low Tol]]="",Table1[[#This Row],[High Tol]]=""),"Needs Analysis",IF(Table1[[#This Row],[Ratio]]&gt;=4,"Not Significant",IF(Table1[[#This Row],[Ratio]]&gt;=2,"Semi-Significant","Significant")))</f>
        <v>Needs Analysis</v>
      </c>
      <c r="W2147" s="1">
        <f>IF(Table1[[#This Row],[Cal Type]]&lt;&gt;"ACCREDITED 17025 WITH UNCERTAINTIES",0,"")</f>
        <v>0</v>
      </c>
      <c r="X2147" s="1" t="str">
        <f>IF(Table1[[#This Row],[DUT Read]]="","N/A",Table1[[#This Row],[Std Error]]+Table1[[#This Row],[DUT Read]]+Table1[[#This Row],[DUT Ucty]])</f>
        <v>N/A</v>
      </c>
      <c r="Y2147" s="1" t="str">
        <f>IF(Table1[[#This Row],[Std Read]]="","N/A",Table1[[#This Row],[Std Read]]+Table1[[#This Row],[Std Ucty]])</f>
        <v>N/A</v>
      </c>
      <c r="Z21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7" s="1" t="str">
        <f>IF(Table1[[#This Row],[Spec Type]]="","N/A",Table1[[#This Row],[Spec Type]])</f>
        <v>±</v>
      </c>
      <c r="AC2147" s="1" t="str">
        <f>IF(Table1[[#This Row],[Spec Type2]]="N/A","N/A",IF(AND(Table1[[#This Row],[DUT Adj Read]]&gt;=Table1[[#This Row],[Low Tol]],Table1[[#This Row],[DUT Adj Read]]&lt;=Table1[[#This Row],[High Tol]]),"Pass","Fail"))</f>
        <v>Fail</v>
      </c>
      <c r="AD2147" s="1" t="str">
        <f>IF(AND(Table1[[#This Row],[Spec Type2]]="N/A",Table1[[#This Row],[DUT Adj Read]]="N/A",Table1[[#This Row],[Std Adj Read]]="N/A"),"N/A",IF(Table1[[#This Row],[DUT Adj Read]]="N/A",IF(Table1[[#This Row],[Std Adj Read]]&gt;Table1[[#This Row],[Low Tol]],"Pass","Fail"),IF(Table1[[#This Row],[DUT Adj Read]]&gt;Table1[[#This Row],[Low Tol]],"Pass","Fail")))</f>
        <v>Pass</v>
      </c>
      <c r="AE2147" s="1" t="str">
        <f>IF(AND(Table1[[#This Row],[Spec Type2]]="N/A",Table1[[#This Row],[DUT Adj Read]]="N/A",Table1[[#This Row],[Std Adj Read]]="N/A"),"N/A",IF(Table1[[#This Row],[DUT Adj Read]]="N/A",IF(Table1[[#This Row],[Std Adj Read]]&lt;Table1[[#This Row],[High Tol]],"Pass","Fail"),IF(Table1[[#This Row],[DUT Adj Read]]&lt;Table1[[#This Row],[High Tol]],"Pass","Fail")))</f>
        <v>Fail</v>
      </c>
      <c r="AF2147" s="1" t="str">
        <f>IF(AND(Table1[[#This Row],[Spec Type2]]="N/A",Table1[[#This Row],[DUT Adj Read]]="N/A",Table1[[#This Row],[Std Adj Read]]="N/A"),"N/A",IF(Table1[[#This Row],[DUT Adj Read]]="N/A",IF(Table1[[#This Row],[Std Adj Read]]&gt;=Table1[[#This Row],[Low Tol]],"Pass","Fail"),IF(Table1[[#This Row],[DUT Adj Read]]&gt;=Table1[[#This Row],[Low Tol]],"Pass","Fail")))</f>
        <v>Pass</v>
      </c>
      <c r="AG2147" s="1" t="str">
        <f>IF(AND(Table1[[#This Row],[Spec Type2]]="N/A",Table1[[#This Row],[DUT Adj Read]]="N/A",Table1[[#This Row],[Std Adj Read]]="N/A"),"N/A",IF(Table1[[#This Row],[DUT Adj Read]]="N/A",IF(Table1[[#This Row],[Std Adj Read]]&lt;=Table1[[#This Row],[High Tol]],"Pass","Fail"),IF(Table1[[#This Row],[DUT Adj Read]]&lt;=Table1[[#This Row],[High Tol]],"Pass","Fail")))</f>
        <v>Fail</v>
      </c>
      <c r="AH21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7" s="1" t="b">
        <v>0</v>
      </c>
      <c r="AN2147" s="1" t="b">
        <v>0</v>
      </c>
      <c r="AO2147" s="1" t="b">
        <v>0</v>
      </c>
    </row>
    <row r="2148" spans="1:41" x14ac:dyDescent="0.25">
      <c r="A2148" s="10"/>
      <c r="B2148" s="10"/>
      <c r="C2148" s="10"/>
      <c r="D2148" s="10"/>
      <c r="E2148" s="10"/>
      <c r="F2148" s="10"/>
      <c r="G2148" s="10"/>
      <c r="H2148" s="10"/>
      <c r="I2148" s="1" t="str">
        <f t="shared" si="99"/>
        <v/>
      </c>
      <c r="J2148" s="1" t="s">
        <v>35</v>
      </c>
      <c r="K2148" s="1" t="str">
        <f t="shared" si="100"/>
        <v/>
      </c>
      <c r="L2148" s="1" t="str">
        <f t="shared" si="101"/>
        <v/>
      </c>
      <c r="M2148" s="1">
        <f>IF(OR(Table1[[#This Row],[Std Nom]]="",Table1[[#This Row],[Std Read]]=""),0,Table1[[#This Row],[Std Nom]]-Table1[[#This Row],[Std Read]])</f>
        <v>0</v>
      </c>
      <c r="N2148" s="1">
        <f>IF(Calculations!$F$5="ACCREDITED 17025 WITH UNCERTAINTIES",$N$10,0)</f>
        <v>0</v>
      </c>
      <c r="O2148" s="1" t="str">
        <f>IFERROR(Table1[[#This Row],[Std Nom]]-(_xlfn.XLOOKUP(Table1[[#This Row],[Manufacturer]]&amp;" "&amp;Table1[[#This Row],[Model]],Table13[MFR &amp; MDL],Table13[Tolerance % CW ],"")/100*Table1[[#This Row],[Std Nom]]),"")</f>
        <v/>
      </c>
      <c r="P2148" s="1" t="str">
        <f>IFERROR(Table1[[#This Row],[Std Nom]]+(_xlfn.XLOOKUP(Table1[[#This Row],[Manufacturer]]&amp;" "&amp;Table1[[#This Row],[Model]],Table13[MFR &amp; MDL],Table13[Tolerance % CW ],"")/100*Table1[[#This Row],[Std Nom]]),"")</f>
        <v/>
      </c>
      <c r="Q2148" s="1" t="e">
        <f>Table1[[#This Row],[High Tol]]-Table1[[#This Row],[Low Tol]]</f>
        <v>#VALUE!</v>
      </c>
      <c r="R2148" s="1">
        <f>2*Table1[[#This Row],[Std Error]]</f>
        <v>0</v>
      </c>
      <c r="S2148" s="1" t="str">
        <f>IF(Table1[[#This Row],[High Tol]]="","N/A",IFERROR(ABS(Table1[[#This Row],[Tol Span]]/Table1[[#This Row],[Error Span]]),"N/A"))</f>
        <v>N/A</v>
      </c>
      <c r="T2148" s="1" t="str">
        <f>IF(OR(Table1[[#This Row],[Low Tol]]="",Table1[[#This Row],[High Tol]]=""),"Needs Analysis",IF(Table1[[#This Row],[Ratio]]&gt;=4,"Not Significant",IF(Table1[[#This Row],[Ratio]]&gt;=2,"Semi-Significant","Significant")))</f>
        <v>Needs Analysis</v>
      </c>
      <c r="W2148" s="1">
        <f>IF(Table1[[#This Row],[Cal Type]]&lt;&gt;"ACCREDITED 17025 WITH UNCERTAINTIES",0,"")</f>
        <v>0</v>
      </c>
      <c r="X2148" s="1" t="str">
        <f>IF(Table1[[#This Row],[DUT Read]]="","N/A",Table1[[#This Row],[Std Error]]+Table1[[#This Row],[DUT Read]]+Table1[[#This Row],[DUT Ucty]])</f>
        <v>N/A</v>
      </c>
      <c r="Y2148" s="1" t="str">
        <f>IF(Table1[[#This Row],[Std Read]]="","N/A",Table1[[#This Row],[Std Read]]+Table1[[#This Row],[Std Ucty]])</f>
        <v>N/A</v>
      </c>
      <c r="Z21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8" s="1" t="str">
        <f>IF(Table1[[#This Row],[Spec Type]]="","N/A",Table1[[#This Row],[Spec Type]])</f>
        <v>±</v>
      </c>
      <c r="AC2148" s="1" t="str">
        <f>IF(Table1[[#This Row],[Spec Type2]]="N/A","N/A",IF(AND(Table1[[#This Row],[DUT Adj Read]]&gt;=Table1[[#This Row],[Low Tol]],Table1[[#This Row],[DUT Adj Read]]&lt;=Table1[[#This Row],[High Tol]]),"Pass","Fail"))</f>
        <v>Fail</v>
      </c>
      <c r="AD2148" s="1" t="str">
        <f>IF(AND(Table1[[#This Row],[Spec Type2]]="N/A",Table1[[#This Row],[DUT Adj Read]]="N/A",Table1[[#This Row],[Std Adj Read]]="N/A"),"N/A",IF(Table1[[#This Row],[DUT Adj Read]]="N/A",IF(Table1[[#This Row],[Std Adj Read]]&gt;Table1[[#This Row],[Low Tol]],"Pass","Fail"),IF(Table1[[#This Row],[DUT Adj Read]]&gt;Table1[[#This Row],[Low Tol]],"Pass","Fail")))</f>
        <v>Pass</v>
      </c>
      <c r="AE2148" s="1" t="str">
        <f>IF(AND(Table1[[#This Row],[Spec Type2]]="N/A",Table1[[#This Row],[DUT Adj Read]]="N/A",Table1[[#This Row],[Std Adj Read]]="N/A"),"N/A",IF(Table1[[#This Row],[DUT Adj Read]]="N/A",IF(Table1[[#This Row],[Std Adj Read]]&lt;Table1[[#This Row],[High Tol]],"Pass","Fail"),IF(Table1[[#This Row],[DUT Adj Read]]&lt;Table1[[#This Row],[High Tol]],"Pass","Fail")))</f>
        <v>Fail</v>
      </c>
      <c r="AF2148" s="1" t="str">
        <f>IF(AND(Table1[[#This Row],[Spec Type2]]="N/A",Table1[[#This Row],[DUT Adj Read]]="N/A",Table1[[#This Row],[Std Adj Read]]="N/A"),"N/A",IF(Table1[[#This Row],[DUT Adj Read]]="N/A",IF(Table1[[#This Row],[Std Adj Read]]&gt;=Table1[[#This Row],[Low Tol]],"Pass","Fail"),IF(Table1[[#This Row],[DUT Adj Read]]&gt;=Table1[[#This Row],[Low Tol]],"Pass","Fail")))</f>
        <v>Pass</v>
      </c>
      <c r="AG2148" s="1" t="str">
        <f>IF(AND(Table1[[#This Row],[Spec Type2]]="N/A",Table1[[#This Row],[DUT Adj Read]]="N/A",Table1[[#This Row],[Std Adj Read]]="N/A"),"N/A",IF(Table1[[#This Row],[DUT Adj Read]]="N/A",IF(Table1[[#This Row],[Std Adj Read]]&lt;=Table1[[#This Row],[High Tol]],"Pass","Fail"),IF(Table1[[#This Row],[DUT Adj Read]]&lt;=Table1[[#This Row],[High Tol]],"Pass","Fail")))</f>
        <v>Fail</v>
      </c>
      <c r="AH21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8" s="1" t="b">
        <v>0</v>
      </c>
      <c r="AN2148" s="1" t="b">
        <v>0</v>
      </c>
      <c r="AO2148" s="1" t="b">
        <v>0</v>
      </c>
    </row>
    <row r="2149" spans="1:41" x14ac:dyDescent="0.25">
      <c r="A2149" s="10"/>
      <c r="B2149" s="10"/>
      <c r="C2149" s="10"/>
      <c r="D2149" s="10"/>
      <c r="E2149" s="10"/>
      <c r="F2149" s="10"/>
      <c r="G2149" s="10"/>
      <c r="H2149" s="10"/>
      <c r="I2149" s="1" t="str">
        <f t="shared" si="99"/>
        <v/>
      </c>
      <c r="J2149" s="1" t="s">
        <v>35</v>
      </c>
      <c r="K2149" s="1" t="str">
        <f t="shared" si="100"/>
        <v/>
      </c>
      <c r="L2149" s="1" t="str">
        <f t="shared" si="101"/>
        <v/>
      </c>
      <c r="M2149" s="1">
        <f>IF(OR(Table1[[#This Row],[Std Nom]]="",Table1[[#This Row],[Std Read]]=""),0,Table1[[#This Row],[Std Nom]]-Table1[[#This Row],[Std Read]])</f>
        <v>0</v>
      </c>
      <c r="N2149" s="1">
        <f>IF(Calculations!$F$5="ACCREDITED 17025 WITH UNCERTAINTIES",$N$10,0)</f>
        <v>0</v>
      </c>
      <c r="O2149" s="1" t="str">
        <f>IFERROR(Table1[[#This Row],[Std Nom]]-(_xlfn.XLOOKUP(Table1[[#This Row],[Manufacturer]]&amp;" "&amp;Table1[[#This Row],[Model]],Table13[MFR &amp; MDL],Table13[Tolerance % CW ],"")/100*Table1[[#This Row],[Std Nom]]),"")</f>
        <v/>
      </c>
      <c r="P2149" s="1" t="str">
        <f>IFERROR(Table1[[#This Row],[Std Nom]]+(_xlfn.XLOOKUP(Table1[[#This Row],[Manufacturer]]&amp;" "&amp;Table1[[#This Row],[Model]],Table13[MFR &amp; MDL],Table13[Tolerance % CW ],"")/100*Table1[[#This Row],[Std Nom]]),"")</f>
        <v/>
      </c>
      <c r="Q2149" s="1" t="e">
        <f>Table1[[#This Row],[High Tol]]-Table1[[#This Row],[Low Tol]]</f>
        <v>#VALUE!</v>
      </c>
      <c r="R2149" s="1">
        <f>2*Table1[[#This Row],[Std Error]]</f>
        <v>0</v>
      </c>
      <c r="S2149" s="1" t="str">
        <f>IF(Table1[[#This Row],[High Tol]]="","N/A",IFERROR(ABS(Table1[[#This Row],[Tol Span]]/Table1[[#This Row],[Error Span]]),"N/A"))</f>
        <v>N/A</v>
      </c>
      <c r="T2149" s="1" t="str">
        <f>IF(OR(Table1[[#This Row],[Low Tol]]="",Table1[[#This Row],[High Tol]]=""),"Needs Analysis",IF(Table1[[#This Row],[Ratio]]&gt;=4,"Not Significant",IF(Table1[[#This Row],[Ratio]]&gt;=2,"Semi-Significant","Significant")))</f>
        <v>Needs Analysis</v>
      </c>
      <c r="W2149" s="1">
        <f>IF(Table1[[#This Row],[Cal Type]]&lt;&gt;"ACCREDITED 17025 WITH UNCERTAINTIES",0,"")</f>
        <v>0</v>
      </c>
      <c r="X2149" s="1" t="str">
        <f>IF(Table1[[#This Row],[DUT Read]]="","N/A",Table1[[#This Row],[Std Error]]+Table1[[#This Row],[DUT Read]]+Table1[[#This Row],[DUT Ucty]])</f>
        <v>N/A</v>
      </c>
      <c r="Y2149" s="1" t="str">
        <f>IF(Table1[[#This Row],[Std Read]]="","N/A",Table1[[#This Row],[Std Read]]+Table1[[#This Row],[Std Ucty]])</f>
        <v>N/A</v>
      </c>
      <c r="Z21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9" s="1" t="str">
        <f>IF(Table1[[#This Row],[Spec Type]]="","N/A",Table1[[#This Row],[Spec Type]])</f>
        <v>±</v>
      </c>
      <c r="AC2149" s="1" t="str">
        <f>IF(Table1[[#This Row],[Spec Type2]]="N/A","N/A",IF(AND(Table1[[#This Row],[DUT Adj Read]]&gt;=Table1[[#This Row],[Low Tol]],Table1[[#This Row],[DUT Adj Read]]&lt;=Table1[[#This Row],[High Tol]]),"Pass","Fail"))</f>
        <v>Fail</v>
      </c>
      <c r="AD2149" s="1" t="str">
        <f>IF(AND(Table1[[#This Row],[Spec Type2]]="N/A",Table1[[#This Row],[DUT Adj Read]]="N/A",Table1[[#This Row],[Std Adj Read]]="N/A"),"N/A",IF(Table1[[#This Row],[DUT Adj Read]]="N/A",IF(Table1[[#This Row],[Std Adj Read]]&gt;Table1[[#This Row],[Low Tol]],"Pass","Fail"),IF(Table1[[#This Row],[DUT Adj Read]]&gt;Table1[[#This Row],[Low Tol]],"Pass","Fail")))</f>
        <v>Pass</v>
      </c>
      <c r="AE2149" s="1" t="str">
        <f>IF(AND(Table1[[#This Row],[Spec Type2]]="N/A",Table1[[#This Row],[DUT Adj Read]]="N/A",Table1[[#This Row],[Std Adj Read]]="N/A"),"N/A",IF(Table1[[#This Row],[DUT Adj Read]]="N/A",IF(Table1[[#This Row],[Std Adj Read]]&lt;Table1[[#This Row],[High Tol]],"Pass","Fail"),IF(Table1[[#This Row],[DUT Adj Read]]&lt;Table1[[#This Row],[High Tol]],"Pass","Fail")))</f>
        <v>Fail</v>
      </c>
      <c r="AF2149" s="1" t="str">
        <f>IF(AND(Table1[[#This Row],[Spec Type2]]="N/A",Table1[[#This Row],[DUT Adj Read]]="N/A",Table1[[#This Row],[Std Adj Read]]="N/A"),"N/A",IF(Table1[[#This Row],[DUT Adj Read]]="N/A",IF(Table1[[#This Row],[Std Adj Read]]&gt;=Table1[[#This Row],[Low Tol]],"Pass","Fail"),IF(Table1[[#This Row],[DUT Adj Read]]&gt;=Table1[[#This Row],[Low Tol]],"Pass","Fail")))</f>
        <v>Pass</v>
      </c>
      <c r="AG2149" s="1" t="str">
        <f>IF(AND(Table1[[#This Row],[Spec Type2]]="N/A",Table1[[#This Row],[DUT Adj Read]]="N/A",Table1[[#This Row],[Std Adj Read]]="N/A"),"N/A",IF(Table1[[#This Row],[DUT Adj Read]]="N/A",IF(Table1[[#This Row],[Std Adj Read]]&lt;=Table1[[#This Row],[High Tol]],"Pass","Fail"),IF(Table1[[#This Row],[DUT Adj Read]]&lt;=Table1[[#This Row],[High Tol]],"Pass","Fail")))</f>
        <v>Fail</v>
      </c>
      <c r="AH21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9" s="1" t="b">
        <v>0</v>
      </c>
      <c r="AN2149" s="1" t="b">
        <v>0</v>
      </c>
      <c r="AO2149" s="1" t="b">
        <v>0</v>
      </c>
    </row>
    <row r="2150" spans="1:41" x14ac:dyDescent="0.25">
      <c r="A2150" s="10"/>
      <c r="B2150" s="10"/>
      <c r="C2150" s="10"/>
      <c r="D2150" s="10"/>
      <c r="E2150" s="10"/>
      <c r="F2150" s="10"/>
      <c r="G2150" s="10"/>
      <c r="H2150" s="10"/>
      <c r="I2150" s="1" t="str">
        <f t="shared" si="99"/>
        <v/>
      </c>
      <c r="J2150" s="1" t="s">
        <v>35</v>
      </c>
      <c r="K2150" s="1" t="str">
        <f t="shared" si="100"/>
        <v/>
      </c>
      <c r="L2150" s="1" t="str">
        <f t="shared" si="101"/>
        <v/>
      </c>
      <c r="M2150" s="1">
        <f>IF(OR(Table1[[#This Row],[Std Nom]]="",Table1[[#This Row],[Std Read]]=""),0,Table1[[#This Row],[Std Nom]]-Table1[[#This Row],[Std Read]])</f>
        <v>0</v>
      </c>
      <c r="N2150" s="1">
        <f>IF(Calculations!$F$5="ACCREDITED 17025 WITH UNCERTAINTIES",$N$10,0)</f>
        <v>0</v>
      </c>
      <c r="O2150" s="1" t="str">
        <f>IFERROR(Table1[[#This Row],[Std Nom]]-(_xlfn.XLOOKUP(Table1[[#This Row],[Manufacturer]]&amp;" "&amp;Table1[[#This Row],[Model]],Table13[MFR &amp; MDL],Table13[Tolerance % CW ],"")/100*Table1[[#This Row],[Std Nom]]),"")</f>
        <v/>
      </c>
      <c r="P2150" s="1" t="str">
        <f>IFERROR(Table1[[#This Row],[Std Nom]]+(_xlfn.XLOOKUP(Table1[[#This Row],[Manufacturer]]&amp;" "&amp;Table1[[#This Row],[Model]],Table13[MFR &amp; MDL],Table13[Tolerance % CW ],"")/100*Table1[[#This Row],[Std Nom]]),"")</f>
        <v/>
      </c>
      <c r="Q2150" s="1" t="e">
        <f>Table1[[#This Row],[High Tol]]-Table1[[#This Row],[Low Tol]]</f>
        <v>#VALUE!</v>
      </c>
      <c r="R2150" s="1">
        <f>2*Table1[[#This Row],[Std Error]]</f>
        <v>0</v>
      </c>
      <c r="S2150" s="1" t="str">
        <f>IF(Table1[[#This Row],[High Tol]]="","N/A",IFERROR(ABS(Table1[[#This Row],[Tol Span]]/Table1[[#This Row],[Error Span]]),"N/A"))</f>
        <v>N/A</v>
      </c>
      <c r="T2150" s="1" t="str">
        <f>IF(OR(Table1[[#This Row],[Low Tol]]="",Table1[[#This Row],[High Tol]]=""),"Needs Analysis",IF(Table1[[#This Row],[Ratio]]&gt;=4,"Not Significant",IF(Table1[[#This Row],[Ratio]]&gt;=2,"Semi-Significant","Significant")))</f>
        <v>Needs Analysis</v>
      </c>
      <c r="W2150" s="1">
        <f>IF(Table1[[#This Row],[Cal Type]]&lt;&gt;"ACCREDITED 17025 WITH UNCERTAINTIES",0,"")</f>
        <v>0</v>
      </c>
      <c r="X2150" s="1" t="str">
        <f>IF(Table1[[#This Row],[DUT Read]]="","N/A",Table1[[#This Row],[Std Error]]+Table1[[#This Row],[DUT Read]]+Table1[[#This Row],[DUT Ucty]])</f>
        <v>N/A</v>
      </c>
      <c r="Y2150" s="1" t="str">
        <f>IF(Table1[[#This Row],[Std Read]]="","N/A",Table1[[#This Row],[Std Read]]+Table1[[#This Row],[Std Ucty]])</f>
        <v>N/A</v>
      </c>
      <c r="Z21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0" s="1" t="str">
        <f>IF(Table1[[#This Row],[Spec Type]]="","N/A",Table1[[#This Row],[Spec Type]])</f>
        <v>±</v>
      </c>
      <c r="AC2150" s="1" t="str">
        <f>IF(Table1[[#This Row],[Spec Type2]]="N/A","N/A",IF(AND(Table1[[#This Row],[DUT Adj Read]]&gt;=Table1[[#This Row],[Low Tol]],Table1[[#This Row],[DUT Adj Read]]&lt;=Table1[[#This Row],[High Tol]]),"Pass","Fail"))</f>
        <v>Fail</v>
      </c>
      <c r="AD2150" s="1" t="str">
        <f>IF(AND(Table1[[#This Row],[Spec Type2]]="N/A",Table1[[#This Row],[DUT Adj Read]]="N/A",Table1[[#This Row],[Std Adj Read]]="N/A"),"N/A",IF(Table1[[#This Row],[DUT Adj Read]]="N/A",IF(Table1[[#This Row],[Std Adj Read]]&gt;Table1[[#This Row],[Low Tol]],"Pass","Fail"),IF(Table1[[#This Row],[DUT Adj Read]]&gt;Table1[[#This Row],[Low Tol]],"Pass","Fail")))</f>
        <v>Pass</v>
      </c>
      <c r="AE2150" s="1" t="str">
        <f>IF(AND(Table1[[#This Row],[Spec Type2]]="N/A",Table1[[#This Row],[DUT Adj Read]]="N/A",Table1[[#This Row],[Std Adj Read]]="N/A"),"N/A",IF(Table1[[#This Row],[DUT Adj Read]]="N/A",IF(Table1[[#This Row],[Std Adj Read]]&lt;Table1[[#This Row],[High Tol]],"Pass","Fail"),IF(Table1[[#This Row],[DUT Adj Read]]&lt;Table1[[#This Row],[High Tol]],"Pass","Fail")))</f>
        <v>Fail</v>
      </c>
      <c r="AF2150" s="1" t="str">
        <f>IF(AND(Table1[[#This Row],[Spec Type2]]="N/A",Table1[[#This Row],[DUT Adj Read]]="N/A",Table1[[#This Row],[Std Adj Read]]="N/A"),"N/A",IF(Table1[[#This Row],[DUT Adj Read]]="N/A",IF(Table1[[#This Row],[Std Adj Read]]&gt;=Table1[[#This Row],[Low Tol]],"Pass","Fail"),IF(Table1[[#This Row],[DUT Adj Read]]&gt;=Table1[[#This Row],[Low Tol]],"Pass","Fail")))</f>
        <v>Pass</v>
      </c>
      <c r="AG2150" s="1" t="str">
        <f>IF(AND(Table1[[#This Row],[Spec Type2]]="N/A",Table1[[#This Row],[DUT Adj Read]]="N/A",Table1[[#This Row],[Std Adj Read]]="N/A"),"N/A",IF(Table1[[#This Row],[DUT Adj Read]]="N/A",IF(Table1[[#This Row],[Std Adj Read]]&lt;=Table1[[#This Row],[High Tol]],"Pass","Fail"),IF(Table1[[#This Row],[DUT Adj Read]]&lt;=Table1[[#This Row],[High Tol]],"Pass","Fail")))</f>
        <v>Fail</v>
      </c>
      <c r="AH21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0" s="1" t="b">
        <v>0</v>
      </c>
      <c r="AN2150" s="1" t="b">
        <v>0</v>
      </c>
      <c r="AO2150" s="1" t="b">
        <v>0</v>
      </c>
    </row>
    <row r="2151" spans="1:41" x14ac:dyDescent="0.25">
      <c r="A2151" s="10"/>
      <c r="B2151" s="10"/>
      <c r="C2151" s="10"/>
      <c r="D2151" s="10"/>
      <c r="E2151" s="10"/>
      <c r="F2151" s="10"/>
      <c r="G2151" s="10"/>
      <c r="H2151" s="10"/>
      <c r="I2151" s="1" t="str">
        <f t="shared" si="99"/>
        <v/>
      </c>
      <c r="J2151" s="1" t="s">
        <v>35</v>
      </c>
      <c r="K2151" s="1" t="str">
        <f t="shared" si="100"/>
        <v/>
      </c>
      <c r="L2151" s="1" t="str">
        <f t="shared" si="101"/>
        <v/>
      </c>
      <c r="M2151" s="1">
        <f>IF(OR(Table1[[#This Row],[Std Nom]]="",Table1[[#This Row],[Std Read]]=""),0,Table1[[#This Row],[Std Nom]]-Table1[[#This Row],[Std Read]])</f>
        <v>0</v>
      </c>
      <c r="N2151" s="1">
        <f>IF(Calculations!$F$5="ACCREDITED 17025 WITH UNCERTAINTIES",$N$10,0)</f>
        <v>0</v>
      </c>
      <c r="O2151" s="1" t="str">
        <f>IFERROR(Table1[[#This Row],[Std Nom]]-(_xlfn.XLOOKUP(Table1[[#This Row],[Manufacturer]]&amp;" "&amp;Table1[[#This Row],[Model]],Table13[MFR &amp; MDL],Table13[Tolerance % CW ],"")/100*Table1[[#This Row],[Std Nom]]),"")</f>
        <v/>
      </c>
      <c r="P2151" s="1" t="str">
        <f>IFERROR(Table1[[#This Row],[Std Nom]]+(_xlfn.XLOOKUP(Table1[[#This Row],[Manufacturer]]&amp;" "&amp;Table1[[#This Row],[Model]],Table13[MFR &amp; MDL],Table13[Tolerance % CW ],"")/100*Table1[[#This Row],[Std Nom]]),"")</f>
        <v/>
      </c>
      <c r="Q2151" s="1" t="e">
        <f>Table1[[#This Row],[High Tol]]-Table1[[#This Row],[Low Tol]]</f>
        <v>#VALUE!</v>
      </c>
      <c r="R2151" s="1">
        <f>2*Table1[[#This Row],[Std Error]]</f>
        <v>0</v>
      </c>
      <c r="S2151" s="1" t="str">
        <f>IF(Table1[[#This Row],[High Tol]]="","N/A",IFERROR(ABS(Table1[[#This Row],[Tol Span]]/Table1[[#This Row],[Error Span]]),"N/A"))</f>
        <v>N/A</v>
      </c>
      <c r="T2151" s="1" t="str">
        <f>IF(OR(Table1[[#This Row],[Low Tol]]="",Table1[[#This Row],[High Tol]]=""),"Needs Analysis",IF(Table1[[#This Row],[Ratio]]&gt;=4,"Not Significant",IF(Table1[[#This Row],[Ratio]]&gt;=2,"Semi-Significant","Significant")))</f>
        <v>Needs Analysis</v>
      </c>
      <c r="W2151" s="1">
        <f>IF(Table1[[#This Row],[Cal Type]]&lt;&gt;"ACCREDITED 17025 WITH UNCERTAINTIES",0,"")</f>
        <v>0</v>
      </c>
      <c r="X2151" s="1" t="str">
        <f>IF(Table1[[#This Row],[DUT Read]]="","N/A",Table1[[#This Row],[Std Error]]+Table1[[#This Row],[DUT Read]]+Table1[[#This Row],[DUT Ucty]])</f>
        <v>N/A</v>
      </c>
      <c r="Y2151" s="1" t="str">
        <f>IF(Table1[[#This Row],[Std Read]]="","N/A",Table1[[#This Row],[Std Read]]+Table1[[#This Row],[Std Ucty]])</f>
        <v>N/A</v>
      </c>
      <c r="Z21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1" s="1" t="str">
        <f>IF(Table1[[#This Row],[Spec Type]]="","N/A",Table1[[#This Row],[Spec Type]])</f>
        <v>±</v>
      </c>
      <c r="AC2151" s="1" t="str">
        <f>IF(Table1[[#This Row],[Spec Type2]]="N/A","N/A",IF(AND(Table1[[#This Row],[DUT Adj Read]]&gt;=Table1[[#This Row],[Low Tol]],Table1[[#This Row],[DUT Adj Read]]&lt;=Table1[[#This Row],[High Tol]]),"Pass","Fail"))</f>
        <v>Fail</v>
      </c>
      <c r="AD2151" s="1" t="str">
        <f>IF(AND(Table1[[#This Row],[Spec Type2]]="N/A",Table1[[#This Row],[DUT Adj Read]]="N/A",Table1[[#This Row],[Std Adj Read]]="N/A"),"N/A",IF(Table1[[#This Row],[DUT Adj Read]]="N/A",IF(Table1[[#This Row],[Std Adj Read]]&gt;Table1[[#This Row],[Low Tol]],"Pass","Fail"),IF(Table1[[#This Row],[DUT Adj Read]]&gt;Table1[[#This Row],[Low Tol]],"Pass","Fail")))</f>
        <v>Pass</v>
      </c>
      <c r="AE2151" s="1" t="str">
        <f>IF(AND(Table1[[#This Row],[Spec Type2]]="N/A",Table1[[#This Row],[DUT Adj Read]]="N/A",Table1[[#This Row],[Std Adj Read]]="N/A"),"N/A",IF(Table1[[#This Row],[DUT Adj Read]]="N/A",IF(Table1[[#This Row],[Std Adj Read]]&lt;Table1[[#This Row],[High Tol]],"Pass","Fail"),IF(Table1[[#This Row],[DUT Adj Read]]&lt;Table1[[#This Row],[High Tol]],"Pass","Fail")))</f>
        <v>Fail</v>
      </c>
      <c r="AF2151" s="1" t="str">
        <f>IF(AND(Table1[[#This Row],[Spec Type2]]="N/A",Table1[[#This Row],[DUT Adj Read]]="N/A",Table1[[#This Row],[Std Adj Read]]="N/A"),"N/A",IF(Table1[[#This Row],[DUT Adj Read]]="N/A",IF(Table1[[#This Row],[Std Adj Read]]&gt;=Table1[[#This Row],[Low Tol]],"Pass","Fail"),IF(Table1[[#This Row],[DUT Adj Read]]&gt;=Table1[[#This Row],[Low Tol]],"Pass","Fail")))</f>
        <v>Pass</v>
      </c>
      <c r="AG2151" s="1" t="str">
        <f>IF(AND(Table1[[#This Row],[Spec Type2]]="N/A",Table1[[#This Row],[DUT Adj Read]]="N/A",Table1[[#This Row],[Std Adj Read]]="N/A"),"N/A",IF(Table1[[#This Row],[DUT Adj Read]]="N/A",IF(Table1[[#This Row],[Std Adj Read]]&lt;=Table1[[#This Row],[High Tol]],"Pass","Fail"),IF(Table1[[#This Row],[DUT Adj Read]]&lt;=Table1[[#This Row],[High Tol]],"Pass","Fail")))</f>
        <v>Fail</v>
      </c>
      <c r="AH21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1" s="1" t="b">
        <v>0</v>
      </c>
      <c r="AN2151" s="1" t="b">
        <v>0</v>
      </c>
      <c r="AO2151" s="1" t="b">
        <v>0</v>
      </c>
    </row>
    <row r="2152" spans="1:41" x14ac:dyDescent="0.25">
      <c r="A2152" s="10"/>
      <c r="B2152" s="10"/>
      <c r="C2152" s="10"/>
      <c r="D2152" s="10"/>
      <c r="E2152" s="10"/>
      <c r="F2152" s="10"/>
      <c r="G2152" s="10"/>
      <c r="H2152" s="10"/>
      <c r="I2152" s="1" t="str">
        <f t="shared" si="99"/>
        <v/>
      </c>
      <c r="J2152" s="1" t="s">
        <v>35</v>
      </c>
      <c r="K2152" s="1" t="str">
        <f t="shared" si="100"/>
        <v/>
      </c>
      <c r="L2152" s="1" t="str">
        <f t="shared" si="101"/>
        <v/>
      </c>
      <c r="M2152" s="1">
        <f>IF(OR(Table1[[#This Row],[Std Nom]]="",Table1[[#This Row],[Std Read]]=""),0,Table1[[#This Row],[Std Nom]]-Table1[[#This Row],[Std Read]])</f>
        <v>0</v>
      </c>
      <c r="N2152" s="1">
        <f>IF(Calculations!$F$5="ACCREDITED 17025 WITH UNCERTAINTIES",$N$10,0)</f>
        <v>0</v>
      </c>
      <c r="O2152" s="1" t="str">
        <f>IFERROR(Table1[[#This Row],[Std Nom]]-(_xlfn.XLOOKUP(Table1[[#This Row],[Manufacturer]]&amp;" "&amp;Table1[[#This Row],[Model]],Table13[MFR &amp; MDL],Table13[Tolerance % CW ],"")/100*Table1[[#This Row],[Std Nom]]),"")</f>
        <v/>
      </c>
      <c r="P2152" s="1" t="str">
        <f>IFERROR(Table1[[#This Row],[Std Nom]]+(_xlfn.XLOOKUP(Table1[[#This Row],[Manufacturer]]&amp;" "&amp;Table1[[#This Row],[Model]],Table13[MFR &amp; MDL],Table13[Tolerance % CW ],"")/100*Table1[[#This Row],[Std Nom]]),"")</f>
        <v/>
      </c>
      <c r="Q2152" s="1" t="e">
        <f>Table1[[#This Row],[High Tol]]-Table1[[#This Row],[Low Tol]]</f>
        <v>#VALUE!</v>
      </c>
      <c r="R2152" s="1">
        <f>2*Table1[[#This Row],[Std Error]]</f>
        <v>0</v>
      </c>
      <c r="S2152" s="1" t="str">
        <f>IF(Table1[[#This Row],[High Tol]]="","N/A",IFERROR(ABS(Table1[[#This Row],[Tol Span]]/Table1[[#This Row],[Error Span]]),"N/A"))</f>
        <v>N/A</v>
      </c>
      <c r="T2152" s="1" t="str">
        <f>IF(OR(Table1[[#This Row],[Low Tol]]="",Table1[[#This Row],[High Tol]]=""),"Needs Analysis",IF(Table1[[#This Row],[Ratio]]&gt;=4,"Not Significant",IF(Table1[[#This Row],[Ratio]]&gt;=2,"Semi-Significant","Significant")))</f>
        <v>Needs Analysis</v>
      </c>
      <c r="W2152" s="1">
        <f>IF(Table1[[#This Row],[Cal Type]]&lt;&gt;"ACCREDITED 17025 WITH UNCERTAINTIES",0,"")</f>
        <v>0</v>
      </c>
      <c r="X2152" s="1" t="str">
        <f>IF(Table1[[#This Row],[DUT Read]]="","N/A",Table1[[#This Row],[Std Error]]+Table1[[#This Row],[DUT Read]]+Table1[[#This Row],[DUT Ucty]])</f>
        <v>N/A</v>
      </c>
      <c r="Y2152" s="1" t="str">
        <f>IF(Table1[[#This Row],[Std Read]]="","N/A",Table1[[#This Row],[Std Read]]+Table1[[#This Row],[Std Ucty]])</f>
        <v>N/A</v>
      </c>
      <c r="Z21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2" s="1" t="str">
        <f>IF(Table1[[#This Row],[Spec Type]]="","N/A",Table1[[#This Row],[Spec Type]])</f>
        <v>±</v>
      </c>
      <c r="AC2152" s="1" t="str">
        <f>IF(Table1[[#This Row],[Spec Type2]]="N/A","N/A",IF(AND(Table1[[#This Row],[DUT Adj Read]]&gt;=Table1[[#This Row],[Low Tol]],Table1[[#This Row],[DUT Adj Read]]&lt;=Table1[[#This Row],[High Tol]]),"Pass","Fail"))</f>
        <v>Fail</v>
      </c>
      <c r="AD2152" s="1" t="str">
        <f>IF(AND(Table1[[#This Row],[Spec Type2]]="N/A",Table1[[#This Row],[DUT Adj Read]]="N/A",Table1[[#This Row],[Std Adj Read]]="N/A"),"N/A",IF(Table1[[#This Row],[DUT Adj Read]]="N/A",IF(Table1[[#This Row],[Std Adj Read]]&gt;Table1[[#This Row],[Low Tol]],"Pass","Fail"),IF(Table1[[#This Row],[DUT Adj Read]]&gt;Table1[[#This Row],[Low Tol]],"Pass","Fail")))</f>
        <v>Pass</v>
      </c>
      <c r="AE2152" s="1" t="str">
        <f>IF(AND(Table1[[#This Row],[Spec Type2]]="N/A",Table1[[#This Row],[DUT Adj Read]]="N/A",Table1[[#This Row],[Std Adj Read]]="N/A"),"N/A",IF(Table1[[#This Row],[DUT Adj Read]]="N/A",IF(Table1[[#This Row],[Std Adj Read]]&lt;Table1[[#This Row],[High Tol]],"Pass","Fail"),IF(Table1[[#This Row],[DUT Adj Read]]&lt;Table1[[#This Row],[High Tol]],"Pass","Fail")))</f>
        <v>Fail</v>
      </c>
      <c r="AF2152" s="1" t="str">
        <f>IF(AND(Table1[[#This Row],[Spec Type2]]="N/A",Table1[[#This Row],[DUT Adj Read]]="N/A",Table1[[#This Row],[Std Adj Read]]="N/A"),"N/A",IF(Table1[[#This Row],[DUT Adj Read]]="N/A",IF(Table1[[#This Row],[Std Adj Read]]&gt;=Table1[[#This Row],[Low Tol]],"Pass","Fail"),IF(Table1[[#This Row],[DUT Adj Read]]&gt;=Table1[[#This Row],[Low Tol]],"Pass","Fail")))</f>
        <v>Pass</v>
      </c>
      <c r="AG2152" s="1" t="str">
        <f>IF(AND(Table1[[#This Row],[Spec Type2]]="N/A",Table1[[#This Row],[DUT Adj Read]]="N/A",Table1[[#This Row],[Std Adj Read]]="N/A"),"N/A",IF(Table1[[#This Row],[DUT Adj Read]]="N/A",IF(Table1[[#This Row],[Std Adj Read]]&lt;=Table1[[#This Row],[High Tol]],"Pass","Fail"),IF(Table1[[#This Row],[DUT Adj Read]]&lt;=Table1[[#This Row],[High Tol]],"Pass","Fail")))</f>
        <v>Fail</v>
      </c>
      <c r="AH21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2" s="1" t="b">
        <v>0</v>
      </c>
      <c r="AN2152" s="1" t="b">
        <v>0</v>
      </c>
      <c r="AO2152" s="1" t="b">
        <v>0</v>
      </c>
    </row>
    <row r="2153" spans="1:41" x14ac:dyDescent="0.25">
      <c r="A2153" s="10"/>
      <c r="B2153" s="10"/>
      <c r="C2153" s="10"/>
      <c r="D2153" s="10"/>
      <c r="E2153" s="10"/>
      <c r="F2153" s="10"/>
      <c r="G2153" s="10"/>
      <c r="H2153" s="10"/>
      <c r="I2153" s="1" t="str">
        <f t="shared" si="99"/>
        <v/>
      </c>
      <c r="J2153" s="1" t="s">
        <v>35</v>
      </c>
      <c r="K2153" s="1" t="str">
        <f t="shared" si="100"/>
        <v/>
      </c>
      <c r="L2153" s="1" t="str">
        <f t="shared" si="101"/>
        <v/>
      </c>
      <c r="M2153" s="1">
        <f>IF(OR(Table1[[#This Row],[Std Nom]]="",Table1[[#This Row],[Std Read]]=""),0,Table1[[#This Row],[Std Nom]]-Table1[[#This Row],[Std Read]])</f>
        <v>0</v>
      </c>
      <c r="N2153" s="1">
        <f>IF(Calculations!$F$5="ACCREDITED 17025 WITH UNCERTAINTIES",$N$10,0)</f>
        <v>0</v>
      </c>
      <c r="O2153" s="1" t="str">
        <f>IFERROR(Table1[[#This Row],[Std Nom]]-(_xlfn.XLOOKUP(Table1[[#This Row],[Manufacturer]]&amp;" "&amp;Table1[[#This Row],[Model]],Table13[MFR &amp; MDL],Table13[Tolerance % CW ],"")/100*Table1[[#This Row],[Std Nom]]),"")</f>
        <v/>
      </c>
      <c r="P2153" s="1" t="str">
        <f>IFERROR(Table1[[#This Row],[Std Nom]]+(_xlfn.XLOOKUP(Table1[[#This Row],[Manufacturer]]&amp;" "&amp;Table1[[#This Row],[Model]],Table13[MFR &amp; MDL],Table13[Tolerance % CW ],"")/100*Table1[[#This Row],[Std Nom]]),"")</f>
        <v/>
      </c>
      <c r="Q2153" s="1" t="e">
        <f>Table1[[#This Row],[High Tol]]-Table1[[#This Row],[Low Tol]]</f>
        <v>#VALUE!</v>
      </c>
      <c r="R2153" s="1">
        <f>2*Table1[[#This Row],[Std Error]]</f>
        <v>0</v>
      </c>
      <c r="S2153" s="1" t="str">
        <f>IF(Table1[[#This Row],[High Tol]]="","N/A",IFERROR(ABS(Table1[[#This Row],[Tol Span]]/Table1[[#This Row],[Error Span]]),"N/A"))</f>
        <v>N/A</v>
      </c>
      <c r="T2153" s="1" t="str">
        <f>IF(OR(Table1[[#This Row],[Low Tol]]="",Table1[[#This Row],[High Tol]]=""),"Needs Analysis",IF(Table1[[#This Row],[Ratio]]&gt;=4,"Not Significant",IF(Table1[[#This Row],[Ratio]]&gt;=2,"Semi-Significant","Significant")))</f>
        <v>Needs Analysis</v>
      </c>
      <c r="W2153" s="1">
        <f>IF(Table1[[#This Row],[Cal Type]]&lt;&gt;"ACCREDITED 17025 WITH UNCERTAINTIES",0,"")</f>
        <v>0</v>
      </c>
      <c r="X2153" s="1" t="str">
        <f>IF(Table1[[#This Row],[DUT Read]]="","N/A",Table1[[#This Row],[Std Error]]+Table1[[#This Row],[DUT Read]]+Table1[[#This Row],[DUT Ucty]])</f>
        <v>N/A</v>
      </c>
      <c r="Y2153" s="1" t="str">
        <f>IF(Table1[[#This Row],[Std Read]]="","N/A",Table1[[#This Row],[Std Read]]+Table1[[#This Row],[Std Ucty]])</f>
        <v>N/A</v>
      </c>
      <c r="Z21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3" s="1" t="str">
        <f>IF(Table1[[#This Row],[Spec Type]]="","N/A",Table1[[#This Row],[Spec Type]])</f>
        <v>±</v>
      </c>
      <c r="AC2153" s="1" t="str">
        <f>IF(Table1[[#This Row],[Spec Type2]]="N/A","N/A",IF(AND(Table1[[#This Row],[DUT Adj Read]]&gt;=Table1[[#This Row],[Low Tol]],Table1[[#This Row],[DUT Adj Read]]&lt;=Table1[[#This Row],[High Tol]]),"Pass","Fail"))</f>
        <v>Fail</v>
      </c>
      <c r="AD2153" s="1" t="str">
        <f>IF(AND(Table1[[#This Row],[Spec Type2]]="N/A",Table1[[#This Row],[DUT Adj Read]]="N/A",Table1[[#This Row],[Std Adj Read]]="N/A"),"N/A",IF(Table1[[#This Row],[DUT Adj Read]]="N/A",IF(Table1[[#This Row],[Std Adj Read]]&gt;Table1[[#This Row],[Low Tol]],"Pass","Fail"),IF(Table1[[#This Row],[DUT Adj Read]]&gt;Table1[[#This Row],[Low Tol]],"Pass","Fail")))</f>
        <v>Pass</v>
      </c>
      <c r="AE2153" s="1" t="str">
        <f>IF(AND(Table1[[#This Row],[Spec Type2]]="N/A",Table1[[#This Row],[DUT Adj Read]]="N/A",Table1[[#This Row],[Std Adj Read]]="N/A"),"N/A",IF(Table1[[#This Row],[DUT Adj Read]]="N/A",IF(Table1[[#This Row],[Std Adj Read]]&lt;Table1[[#This Row],[High Tol]],"Pass","Fail"),IF(Table1[[#This Row],[DUT Adj Read]]&lt;Table1[[#This Row],[High Tol]],"Pass","Fail")))</f>
        <v>Fail</v>
      </c>
      <c r="AF2153" s="1" t="str">
        <f>IF(AND(Table1[[#This Row],[Spec Type2]]="N/A",Table1[[#This Row],[DUT Adj Read]]="N/A",Table1[[#This Row],[Std Adj Read]]="N/A"),"N/A",IF(Table1[[#This Row],[DUT Adj Read]]="N/A",IF(Table1[[#This Row],[Std Adj Read]]&gt;=Table1[[#This Row],[Low Tol]],"Pass","Fail"),IF(Table1[[#This Row],[DUT Adj Read]]&gt;=Table1[[#This Row],[Low Tol]],"Pass","Fail")))</f>
        <v>Pass</v>
      </c>
      <c r="AG2153" s="1" t="str">
        <f>IF(AND(Table1[[#This Row],[Spec Type2]]="N/A",Table1[[#This Row],[DUT Adj Read]]="N/A",Table1[[#This Row],[Std Adj Read]]="N/A"),"N/A",IF(Table1[[#This Row],[DUT Adj Read]]="N/A",IF(Table1[[#This Row],[Std Adj Read]]&lt;=Table1[[#This Row],[High Tol]],"Pass","Fail"),IF(Table1[[#This Row],[DUT Adj Read]]&lt;=Table1[[#This Row],[High Tol]],"Pass","Fail")))</f>
        <v>Fail</v>
      </c>
      <c r="AH21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3" s="1" t="b">
        <v>0</v>
      </c>
      <c r="AN2153" s="1" t="b">
        <v>0</v>
      </c>
      <c r="AO2153" s="1" t="b">
        <v>0</v>
      </c>
    </row>
    <row r="2154" spans="1:41" x14ac:dyDescent="0.25">
      <c r="A2154" s="10"/>
      <c r="B2154" s="10"/>
      <c r="C2154" s="10"/>
      <c r="D2154" s="10"/>
      <c r="E2154" s="10"/>
      <c r="F2154" s="10"/>
      <c r="G2154" s="10"/>
      <c r="H2154" s="10"/>
      <c r="I2154" s="1" t="str">
        <f t="shared" si="99"/>
        <v/>
      </c>
      <c r="J2154" s="1" t="s">
        <v>35</v>
      </c>
      <c r="K2154" s="1" t="str">
        <f t="shared" si="100"/>
        <v/>
      </c>
      <c r="L2154" s="1" t="str">
        <f t="shared" si="101"/>
        <v/>
      </c>
      <c r="M2154" s="1">
        <f>IF(OR(Table1[[#This Row],[Std Nom]]="",Table1[[#This Row],[Std Read]]=""),0,Table1[[#This Row],[Std Nom]]-Table1[[#This Row],[Std Read]])</f>
        <v>0</v>
      </c>
      <c r="N2154" s="1">
        <f>IF(Calculations!$F$5="ACCREDITED 17025 WITH UNCERTAINTIES",$N$10,0)</f>
        <v>0</v>
      </c>
      <c r="O2154" s="1" t="str">
        <f>IFERROR(Table1[[#This Row],[Std Nom]]-(_xlfn.XLOOKUP(Table1[[#This Row],[Manufacturer]]&amp;" "&amp;Table1[[#This Row],[Model]],Table13[MFR &amp; MDL],Table13[Tolerance % CW ],"")/100*Table1[[#This Row],[Std Nom]]),"")</f>
        <v/>
      </c>
      <c r="P2154" s="1" t="str">
        <f>IFERROR(Table1[[#This Row],[Std Nom]]+(_xlfn.XLOOKUP(Table1[[#This Row],[Manufacturer]]&amp;" "&amp;Table1[[#This Row],[Model]],Table13[MFR &amp; MDL],Table13[Tolerance % CW ],"")/100*Table1[[#This Row],[Std Nom]]),"")</f>
        <v/>
      </c>
      <c r="Q2154" s="1" t="e">
        <f>Table1[[#This Row],[High Tol]]-Table1[[#This Row],[Low Tol]]</f>
        <v>#VALUE!</v>
      </c>
      <c r="R2154" s="1">
        <f>2*Table1[[#This Row],[Std Error]]</f>
        <v>0</v>
      </c>
      <c r="S2154" s="1" t="str">
        <f>IF(Table1[[#This Row],[High Tol]]="","N/A",IFERROR(ABS(Table1[[#This Row],[Tol Span]]/Table1[[#This Row],[Error Span]]),"N/A"))</f>
        <v>N/A</v>
      </c>
      <c r="T2154" s="1" t="str">
        <f>IF(OR(Table1[[#This Row],[Low Tol]]="",Table1[[#This Row],[High Tol]]=""),"Needs Analysis",IF(Table1[[#This Row],[Ratio]]&gt;=4,"Not Significant",IF(Table1[[#This Row],[Ratio]]&gt;=2,"Semi-Significant","Significant")))</f>
        <v>Needs Analysis</v>
      </c>
      <c r="W2154" s="1">
        <f>IF(Table1[[#This Row],[Cal Type]]&lt;&gt;"ACCREDITED 17025 WITH UNCERTAINTIES",0,"")</f>
        <v>0</v>
      </c>
      <c r="X2154" s="1" t="str">
        <f>IF(Table1[[#This Row],[DUT Read]]="","N/A",Table1[[#This Row],[Std Error]]+Table1[[#This Row],[DUT Read]]+Table1[[#This Row],[DUT Ucty]])</f>
        <v>N/A</v>
      </c>
      <c r="Y2154" s="1" t="str">
        <f>IF(Table1[[#This Row],[Std Read]]="","N/A",Table1[[#This Row],[Std Read]]+Table1[[#This Row],[Std Ucty]])</f>
        <v>N/A</v>
      </c>
      <c r="Z21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4" s="1" t="str">
        <f>IF(Table1[[#This Row],[Spec Type]]="","N/A",Table1[[#This Row],[Spec Type]])</f>
        <v>±</v>
      </c>
      <c r="AC2154" s="1" t="str">
        <f>IF(Table1[[#This Row],[Spec Type2]]="N/A","N/A",IF(AND(Table1[[#This Row],[DUT Adj Read]]&gt;=Table1[[#This Row],[Low Tol]],Table1[[#This Row],[DUT Adj Read]]&lt;=Table1[[#This Row],[High Tol]]),"Pass","Fail"))</f>
        <v>Fail</v>
      </c>
      <c r="AD2154" s="1" t="str">
        <f>IF(AND(Table1[[#This Row],[Spec Type2]]="N/A",Table1[[#This Row],[DUT Adj Read]]="N/A",Table1[[#This Row],[Std Adj Read]]="N/A"),"N/A",IF(Table1[[#This Row],[DUT Adj Read]]="N/A",IF(Table1[[#This Row],[Std Adj Read]]&gt;Table1[[#This Row],[Low Tol]],"Pass","Fail"),IF(Table1[[#This Row],[DUT Adj Read]]&gt;Table1[[#This Row],[Low Tol]],"Pass","Fail")))</f>
        <v>Pass</v>
      </c>
      <c r="AE2154" s="1" t="str">
        <f>IF(AND(Table1[[#This Row],[Spec Type2]]="N/A",Table1[[#This Row],[DUT Adj Read]]="N/A",Table1[[#This Row],[Std Adj Read]]="N/A"),"N/A",IF(Table1[[#This Row],[DUT Adj Read]]="N/A",IF(Table1[[#This Row],[Std Adj Read]]&lt;Table1[[#This Row],[High Tol]],"Pass","Fail"),IF(Table1[[#This Row],[DUT Adj Read]]&lt;Table1[[#This Row],[High Tol]],"Pass","Fail")))</f>
        <v>Fail</v>
      </c>
      <c r="AF2154" s="1" t="str">
        <f>IF(AND(Table1[[#This Row],[Spec Type2]]="N/A",Table1[[#This Row],[DUT Adj Read]]="N/A",Table1[[#This Row],[Std Adj Read]]="N/A"),"N/A",IF(Table1[[#This Row],[DUT Adj Read]]="N/A",IF(Table1[[#This Row],[Std Adj Read]]&gt;=Table1[[#This Row],[Low Tol]],"Pass","Fail"),IF(Table1[[#This Row],[DUT Adj Read]]&gt;=Table1[[#This Row],[Low Tol]],"Pass","Fail")))</f>
        <v>Pass</v>
      </c>
      <c r="AG2154" s="1" t="str">
        <f>IF(AND(Table1[[#This Row],[Spec Type2]]="N/A",Table1[[#This Row],[DUT Adj Read]]="N/A",Table1[[#This Row],[Std Adj Read]]="N/A"),"N/A",IF(Table1[[#This Row],[DUT Adj Read]]="N/A",IF(Table1[[#This Row],[Std Adj Read]]&lt;=Table1[[#This Row],[High Tol]],"Pass","Fail"),IF(Table1[[#This Row],[DUT Adj Read]]&lt;=Table1[[#This Row],[High Tol]],"Pass","Fail")))</f>
        <v>Fail</v>
      </c>
      <c r="AH21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4" s="1" t="b">
        <v>0</v>
      </c>
      <c r="AN2154" s="1" t="b">
        <v>0</v>
      </c>
      <c r="AO2154" s="1" t="b">
        <v>0</v>
      </c>
    </row>
    <row r="2155" spans="1:41" x14ac:dyDescent="0.25">
      <c r="A2155" s="10"/>
      <c r="B2155" s="10"/>
      <c r="C2155" s="10"/>
      <c r="D2155" s="10"/>
      <c r="E2155" s="10"/>
      <c r="F2155" s="10"/>
      <c r="G2155" s="10"/>
      <c r="H2155" s="10"/>
      <c r="I2155" s="1" t="str">
        <f t="shared" si="99"/>
        <v/>
      </c>
      <c r="J2155" s="1" t="s">
        <v>35</v>
      </c>
      <c r="K2155" s="1" t="str">
        <f t="shared" si="100"/>
        <v/>
      </c>
      <c r="L2155" s="1" t="str">
        <f t="shared" si="101"/>
        <v/>
      </c>
      <c r="M2155" s="1">
        <f>IF(OR(Table1[[#This Row],[Std Nom]]="",Table1[[#This Row],[Std Read]]=""),0,Table1[[#This Row],[Std Nom]]-Table1[[#This Row],[Std Read]])</f>
        <v>0</v>
      </c>
      <c r="N2155" s="1">
        <f>IF(Calculations!$F$5="ACCREDITED 17025 WITH UNCERTAINTIES",$N$10,0)</f>
        <v>0</v>
      </c>
      <c r="O2155" s="1" t="str">
        <f>IFERROR(Table1[[#This Row],[Std Nom]]-(_xlfn.XLOOKUP(Table1[[#This Row],[Manufacturer]]&amp;" "&amp;Table1[[#This Row],[Model]],Table13[MFR &amp; MDL],Table13[Tolerance % CW ],"")/100*Table1[[#This Row],[Std Nom]]),"")</f>
        <v/>
      </c>
      <c r="P2155" s="1" t="str">
        <f>IFERROR(Table1[[#This Row],[Std Nom]]+(_xlfn.XLOOKUP(Table1[[#This Row],[Manufacturer]]&amp;" "&amp;Table1[[#This Row],[Model]],Table13[MFR &amp; MDL],Table13[Tolerance % CW ],"")/100*Table1[[#This Row],[Std Nom]]),"")</f>
        <v/>
      </c>
      <c r="Q2155" s="1" t="e">
        <f>Table1[[#This Row],[High Tol]]-Table1[[#This Row],[Low Tol]]</f>
        <v>#VALUE!</v>
      </c>
      <c r="R2155" s="1">
        <f>2*Table1[[#This Row],[Std Error]]</f>
        <v>0</v>
      </c>
      <c r="S2155" s="1" t="str">
        <f>IF(Table1[[#This Row],[High Tol]]="","N/A",IFERROR(ABS(Table1[[#This Row],[Tol Span]]/Table1[[#This Row],[Error Span]]),"N/A"))</f>
        <v>N/A</v>
      </c>
      <c r="T2155" s="1" t="str">
        <f>IF(OR(Table1[[#This Row],[Low Tol]]="",Table1[[#This Row],[High Tol]]=""),"Needs Analysis",IF(Table1[[#This Row],[Ratio]]&gt;=4,"Not Significant",IF(Table1[[#This Row],[Ratio]]&gt;=2,"Semi-Significant","Significant")))</f>
        <v>Needs Analysis</v>
      </c>
      <c r="W2155" s="1">
        <f>IF(Table1[[#This Row],[Cal Type]]&lt;&gt;"ACCREDITED 17025 WITH UNCERTAINTIES",0,"")</f>
        <v>0</v>
      </c>
      <c r="X2155" s="1" t="str">
        <f>IF(Table1[[#This Row],[DUT Read]]="","N/A",Table1[[#This Row],[Std Error]]+Table1[[#This Row],[DUT Read]]+Table1[[#This Row],[DUT Ucty]])</f>
        <v>N/A</v>
      </c>
      <c r="Y2155" s="1" t="str">
        <f>IF(Table1[[#This Row],[Std Read]]="","N/A",Table1[[#This Row],[Std Read]]+Table1[[#This Row],[Std Ucty]])</f>
        <v>N/A</v>
      </c>
      <c r="Z21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5" s="1" t="str">
        <f>IF(Table1[[#This Row],[Spec Type]]="","N/A",Table1[[#This Row],[Spec Type]])</f>
        <v>±</v>
      </c>
      <c r="AC2155" s="1" t="str">
        <f>IF(Table1[[#This Row],[Spec Type2]]="N/A","N/A",IF(AND(Table1[[#This Row],[DUT Adj Read]]&gt;=Table1[[#This Row],[Low Tol]],Table1[[#This Row],[DUT Adj Read]]&lt;=Table1[[#This Row],[High Tol]]),"Pass","Fail"))</f>
        <v>Fail</v>
      </c>
      <c r="AD2155" s="1" t="str">
        <f>IF(AND(Table1[[#This Row],[Spec Type2]]="N/A",Table1[[#This Row],[DUT Adj Read]]="N/A",Table1[[#This Row],[Std Adj Read]]="N/A"),"N/A",IF(Table1[[#This Row],[DUT Adj Read]]="N/A",IF(Table1[[#This Row],[Std Adj Read]]&gt;Table1[[#This Row],[Low Tol]],"Pass","Fail"),IF(Table1[[#This Row],[DUT Adj Read]]&gt;Table1[[#This Row],[Low Tol]],"Pass","Fail")))</f>
        <v>Pass</v>
      </c>
      <c r="AE2155" s="1" t="str">
        <f>IF(AND(Table1[[#This Row],[Spec Type2]]="N/A",Table1[[#This Row],[DUT Adj Read]]="N/A",Table1[[#This Row],[Std Adj Read]]="N/A"),"N/A",IF(Table1[[#This Row],[DUT Adj Read]]="N/A",IF(Table1[[#This Row],[Std Adj Read]]&lt;Table1[[#This Row],[High Tol]],"Pass","Fail"),IF(Table1[[#This Row],[DUT Adj Read]]&lt;Table1[[#This Row],[High Tol]],"Pass","Fail")))</f>
        <v>Fail</v>
      </c>
      <c r="AF2155" s="1" t="str">
        <f>IF(AND(Table1[[#This Row],[Spec Type2]]="N/A",Table1[[#This Row],[DUT Adj Read]]="N/A",Table1[[#This Row],[Std Adj Read]]="N/A"),"N/A",IF(Table1[[#This Row],[DUT Adj Read]]="N/A",IF(Table1[[#This Row],[Std Adj Read]]&gt;=Table1[[#This Row],[Low Tol]],"Pass","Fail"),IF(Table1[[#This Row],[DUT Adj Read]]&gt;=Table1[[#This Row],[Low Tol]],"Pass","Fail")))</f>
        <v>Pass</v>
      </c>
      <c r="AG2155" s="1" t="str">
        <f>IF(AND(Table1[[#This Row],[Spec Type2]]="N/A",Table1[[#This Row],[DUT Adj Read]]="N/A",Table1[[#This Row],[Std Adj Read]]="N/A"),"N/A",IF(Table1[[#This Row],[DUT Adj Read]]="N/A",IF(Table1[[#This Row],[Std Adj Read]]&lt;=Table1[[#This Row],[High Tol]],"Pass","Fail"),IF(Table1[[#This Row],[DUT Adj Read]]&lt;=Table1[[#This Row],[High Tol]],"Pass","Fail")))</f>
        <v>Fail</v>
      </c>
      <c r="AH21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5" s="1" t="b">
        <v>0</v>
      </c>
      <c r="AN2155" s="1" t="b">
        <v>0</v>
      </c>
      <c r="AO2155" s="1" t="b">
        <v>0</v>
      </c>
    </row>
    <row r="2156" spans="1:41" x14ac:dyDescent="0.25">
      <c r="A2156" s="10"/>
      <c r="B2156" s="10"/>
      <c r="C2156" s="10"/>
      <c r="D2156" s="10"/>
      <c r="E2156" s="10"/>
      <c r="F2156" s="10"/>
      <c r="G2156" s="10"/>
      <c r="H2156" s="10"/>
      <c r="I2156" s="1" t="str">
        <f t="shared" si="99"/>
        <v/>
      </c>
      <c r="J2156" s="1" t="s">
        <v>35</v>
      </c>
      <c r="K2156" s="1" t="str">
        <f t="shared" si="100"/>
        <v/>
      </c>
      <c r="L2156" s="1" t="str">
        <f t="shared" si="101"/>
        <v/>
      </c>
      <c r="M2156" s="1">
        <f>IF(OR(Table1[[#This Row],[Std Nom]]="",Table1[[#This Row],[Std Read]]=""),0,Table1[[#This Row],[Std Nom]]-Table1[[#This Row],[Std Read]])</f>
        <v>0</v>
      </c>
      <c r="N2156" s="1">
        <f>IF(Calculations!$F$5="ACCREDITED 17025 WITH UNCERTAINTIES",$N$10,0)</f>
        <v>0</v>
      </c>
      <c r="O2156" s="1" t="str">
        <f>IFERROR(Table1[[#This Row],[Std Nom]]-(_xlfn.XLOOKUP(Table1[[#This Row],[Manufacturer]]&amp;" "&amp;Table1[[#This Row],[Model]],Table13[MFR &amp; MDL],Table13[Tolerance % CW ],"")/100*Table1[[#This Row],[Std Nom]]),"")</f>
        <v/>
      </c>
      <c r="P2156" s="1" t="str">
        <f>IFERROR(Table1[[#This Row],[Std Nom]]+(_xlfn.XLOOKUP(Table1[[#This Row],[Manufacturer]]&amp;" "&amp;Table1[[#This Row],[Model]],Table13[MFR &amp; MDL],Table13[Tolerance % CW ],"")/100*Table1[[#This Row],[Std Nom]]),"")</f>
        <v/>
      </c>
      <c r="Q2156" s="1" t="e">
        <f>Table1[[#This Row],[High Tol]]-Table1[[#This Row],[Low Tol]]</f>
        <v>#VALUE!</v>
      </c>
      <c r="R2156" s="1">
        <f>2*Table1[[#This Row],[Std Error]]</f>
        <v>0</v>
      </c>
      <c r="S2156" s="1" t="str">
        <f>IF(Table1[[#This Row],[High Tol]]="","N/A",IFERROR(ABS(Table1[[#This Row],[Tol Span]]/Table1[[#This Row],[Error Span]]),"N/A"))</f>
        <v>N/A</v>
      </c>
      <c r="T2156" s="1" t="str">
        <f>IF(OR(Table1[[#This Row],[Low Tol]]="",Table1[[#This Row],[High Tol]]=""),"Needs Analysis",IF(Table1[[#This Row],[Ratio]]&gt;=4,"Not Significant",IF(Table1[[#This Row],[Ratio]]&gt;=2,"Semi-Significant","Significant")))</f>
        <v>Needs Analysis</v>
      </c>
      <c r="W2156" s="1">
        <f>IF(Table1[[#This Row],[Cal Type]]&lt;&gt;"ACCREDITED 17025 WITH UNCERTAINTIES",0,"")</f>
        <v>0</v>
      </c>
      <c r="X2156" s="1" t="str">
        <f>IF(Table1[[#This Row],[DUT Read]]="","N/A",Table1[[#This Row],[Std Error]]+Table1[[#This Row],[DUT Read]]+Table1[[#This Row],[DUT Ucty]])</f>
        <v>N/A</v>
      </c>
      <c r="Y2156" s="1" t="str">
        <f>IF(Table1[[#This Row],[Std Read]]="","N/A",Table1[[#This Row],[Std Read]]+Table1[[#This Row],[Std Ucty]])</f>
        <v>N/A</v>
      </c>
      <c r="Z21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6" s="1" t="str">
        <f>IF(Table1[[#This Row],[Spec Type]]="","N/A",Table1[[#This Row],[Spec Type]])</f>
        <v>±</v>
      </c>
      <c r="AC2156" s="1" t="str">
        <f>IF(Table1[[#This Row],[Spec Type2]]="N/A","N/A",IF(AND(Table1[[#This Row],[DUT Adj Read]]&gt;=Table1[[#This Row],[Low Tol]],Table1[[#This Row],[DUT Adj Read]]&lt;=Table1[[#This Row],[High Tol]]),"Pass","Fail"))</f>
        <v>Fail</v>
      </c>
      <c r="AD2156" s="1" t="str">
        <f>IF(AND(Table1[[#This Row],[Spec Type2]]="N/A",Table1[[#This Row],[DUT Adj Read]]="N/A",Table1[[#This Row],[Std Adj Read]]="N/A"),"N/A",IF(Table1[[#This Row],[DUT Adj Read]]="N/A",IF(Table1[[#This Row],[Std Adj Read]]&gt;Table1[[#This Row],[Low Tol]],"Pass","Fail"),IF(Table1[[#This Row],[DUT Adj Read]]&gt;Table1[[#This Row],[Low Tol]],"Pass","Fail")))</f>
        <v>Pass</v>
      </c>
      <c r="AE2156" s="1" t="str">
        <f>IF(AND(Table1[[#This Row],[Spec Type2]]="N/A",Table1[[#This Row],[DUT Adj Read]]="N/A",Table1[[#This Row],[Std Adj Read]]="N/A"),"N/A",IF(Table1[[#This Row],[DUT Adj Read]]="N/A",IF(Table1[[#This Row],[Std Adj Read]]&lt;Table1[[#This Row],[High Tol]],"Pass","Fail"),IF(Table1[[#This Row],[DUT Adj Read]]&lt;Table1[[#This Row],[High Tol]],"Pass","Fail")))</f>
        <v>Fail</v>
      </c>
      <c r="AF2156" s="1" t="str">
        <f>IF(AND(Table1[[#This Row],[Spec Type2]]="N/A",Table1[[#This Row],[DUT Adj Read]]="N/A",Table1[[#This Row],[Std Adj Read]]="N/A"),"N/A",IF(Table1[[#This Row],[DUT Adj Read]]="N/A",IF(Table1[[#This Row],[Std Adj Read]]&gt;=Table1[[#This Row],[Low Tol]],"Pass","Fail"),IF(Table1[[#This Row],[DUT Adj Read]]&gt;=Table1[[#This Row],[Low Tol]],"Pass","Fail")))</f>
        <v>Pass</v>
      </c>
      <c r="AG2156" s="1" t="str">
        <f>IF(AND(Table1[[#This Row],[Spec Type2]]="N/A",Table1[[#This Row],[DUT Adj Read]]="N/A",Table1[[#This Row],[Std Adj Read]]="N/A"),"N/A",IF(Table1[[#This Row],[DUT Adj Read]]="N/A",IF(Table1[[#This Row],[Std Adj Read]]&lt;=Table1[[#This Row],[High Tol]],"Pass","Fail"),IF(Table1[[#This Row],[DUT Adj Read]]&lt;=Table1[[#This Row],[High Tol]],"Pass","Fail")))</f>
        <v>Fail</v>
      </c>
      <c r="AH21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6" s="1" t="b">
        <v>0</v>
      </c>
      <c r="AN2156" s="1" t="b">
        <v>0</v>
      </c>
      <c r="AO2156" s="1" t="b">
        <v>0</v>
      </c>
    </row>
    <row r="2157" spans="1:41" x14ac:dyDescent="0.25">
      <c r="A2157" s="10"/>
      <c r="B2157" s="10"/>
      <c r="C2157" s="10"/>
      <c r="D2157" s="10"/>
      <c r="E2157" s="10"/>
      <c r="F2157" s="10"/>
      <c r="G2157" s="10"/>
      <c r="H2157" s="10"/>
      <c r="I2157" s="1" t="str">
        <f t="shared" si="99"/>
        <v/>
      </c>
      <c r="J2157" s="1" t="s">
        <v>35</v>
      </c>
      <c r="K2157" s="1" t="str">
        <f t="shared" si="100"/>
        <v/>
      </c>
      <c r="L2157" s="1" t="str">
        <f t="shared" si="101"/>
        <v/>
      </c>
      <c r="M2157" s="1">
        <f>IF(OR(Table1[[#This Row],[Std Nom]]="",Table1[[#This Row],[Std Read]]=""),0,Table1[[#This Row],[Std Nom]]-Table1[[#This Row],[Std Read]])</f>
        <v>0</v>
      </c>
      <c r="N2157" s="1">
        <f>IF(Calculations!$F$5="ACCREDITED 17025 WITH UNCERTAINTIES",$N$10,0)</f>
        <v>0</v>
      </c>
      <c r="O2157" s="1" t="str">
        <f>IFERROR(Table1[[#This Row],[Std Nom]]-(_xlfn.XLOOKUP(Table1[[#This Row],[Manufacturer]]&amp;" "&amp;Table1[[#This Row],[Model]],Table13[MFR &amp; MDL],Table13[Tolerance % CW ],"")/100*Table1[[#This Row],[Std Nom]]),"")</f>
        <v/>
      </c>
      <c r="P2157" s="1" t="str">
        <f>IFERROR(Table1[[#This Row],[Std Nom]]+(_xlfn.XLOOKUP(Table1[[#This Row],[Manufacturer]]&amp;" "&amp;Table1[[#This Row],[Model]],Table13[MFR &amp; MDL],Table13[Tolerance % CW ],"")/100*Table1[[#This Row],[Std Nom]]),"")</f>
        <v/>
      </c>
      <c r="Q2157" s="1" t="e">
        <f>Table1[[#This Row],[High Tol]]-Table1[[#This Row],[Low Tol]]</f>
        <v>#VALUE!</v>
      </c>
      <c r="R2157" s="1">
        <f>2*Table1[[#This Row],[Std Error]]</f>
        <v>0</v>
      </c>
      <c r="S2157" s="1" t="str">
        <f>IF(Table1[[#This Row],[High Tol]]="","N/A",IFERROR(ABS(Table1[[#This Row],[Tol Span]]/Table1[[#This Row],[Error Span]]),"N/A"))</f>
        <v>N/A</v>
      </c>
      <c r="T2157" s="1" t="str">
        <f>IF(OR(Table1[[#This Row],[Low Tol]]="",Table1[[#This Row],[High Tol]]=""),"Needs Analysis",IF(Table1[[#This Row],[Ratio]]&gt;=4,"Not Significant",IF(Table1[[#This Row],[Ratio]]&gt;=2,"Semi-Significant","Significant")))</f>
        <v>Needs Analysis</v>
      </c>
      <c r="W2157" s="1">
        <f>IF(Table1[[#This Row],[Cal Type]]&lt;&gt;"ACCREDITED 17025 WITH UNCERTAINTIES",0,"")</f>
        <v>0</v>
      </c>
      <c r="X2157" s="1" t="str">
        <f>IF(Table1[[#This Row],[DUT Read]]="","N/A",Table1[[#This Row],[Std Error]]+Table1[[#This Row],[DUT Read]]+Table1[[#This Row],[DUT Ucty]])</f>
        <v>N/A</v>
      </c>
      <c r="Y2157" s="1" t="str">
        <f>IF(Table1[[#This Row],[Std Read]]="","N/A",Table1[[#This Row],[Std Read]]+Table1[[#This Row],[Std Ucty]])</f>
        <v>N/A</v>
      </c>
      <c r="Z21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7" s="1" t="str">
        <f>IF(Table1[[#This Row],[Spec Type]]="","N/A",Table1[[#This Row],[Spec Type]])</f>
        <v>±</v>
      </c>
      <c r="AC2157" s="1" t="str">
        <f>IF(Table1[[#This Row],[Spec Type2]]="N/A","N/A",IF(AND(Table1[[#This Row],[DUT Adj Read]]&gt;=Table1[[#This Row],[Low Tol]],Table1[[#This Row],[DUT Adj Read]]&lt;=Table1[[#This Row],[High Tol]]),"Pass","Fail"))</f>
        <v>Fail</v>
      </c>
      <c r="AD2157" s="1" t="str">
        <f>IF(AND(Table1[[#This Row],[Spec Type2]]="N/A",Table1[[#This Row],[DUT Adj Read]]="N/A",Table1[[#This Row],[Std Adj Read]]="N/A"),"N/A",IF(Table1[[#This Row],[DUT Adj Read]]="N/A",IF(Table1[[#This Row],[Std Adj Read]]&gt;Table1[[#This Row],[Low Tol]],"Pass","Fail"),IF(Table1[[#This Row],[DUT Adj Read]]&gt;Table1[[#This Row],[Low Tol]],"Pass","Fail")))</f>
        <v>Pass</v>
      </c>
      <c r="AE2157" s="1" t="str">
        <f>IF(AND(Table1[[#This Row],[Spec Type2]]="N/A",Table1[[#This Row],[DUT Adj Read]]="N/A",Table1[[#This Row],[Std Adj Read]]="N/A"),"N/A",IF(Table1[[#This Row],[DUT Adj Read]]="N/A",IF(Table1[[#This Row],[Std Adj Read]]&lt;Table1[[#This Row],[High Tol]],"Pass","Fail"),IF(Table1[[#This Row],[DUT Adj Read]]&lt;Table1[[#This Row],[High Tol]],"Pass","Fail")))</f>
        <v>Fail</v>
      </c>
      <c r="AF2157" s="1" t="str">
        <f>IF(AND(Table1[[#This Row],[Spec Type2]]="N/A",Table1[[#This Row],[DUT Adj Read]]="N/A",Table1[[#This Row],[Std Adj Read]]="N/A"),"N/A",IF(Table1[[#This Row],[DUT Adj Read]]="N/A",IF(Table1[[#This Row],[Std Adj Read]]&gt;=Table1[[#This Row],[Low Tol]],"Pass","Fail"),IF(Table1[[#This Row],[DUT Adj Read]]&gt;=Table1[[#This Row],[Low Tol]],"Pass","Fail")))</f>
        <v>Pass</v>
      </c>
      <c r="AG2157" s="1" t="str">
        <f>IF(AND(Table1[[#This Row],[Spec Type2]]="N/A",Table1[[#This Row],[DUT Adj Read]]="N/A",Table1[[#This Row],[Std Adj Read]]="N/A"),"N/A",IF(Table1[[#This Row],[DUT Adj Read]]="N/A",IF(Table1[[#This Row],[Std Adj Read]]&lt;=Table1[[#This Row],[High Tol]],"Pass","Fail"),IF(Table1[[#This Row],[DUT Adj Read]]&lt;=Table1[[#This Row],[High Tol]],"Pass","Fail")))</f>
        <v>Fail</v>
      </c>
      <c r="AH21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7" s="1" t="b">
        <v>0</v>
      </c>
      <c r="AN2157" s="1" t="b">
        <v>0</v>
      </c>
      <c r="AO2157" s="1" t="b">
        <v>0</v>
      </c>
    </row>
    <row r="2158" spans="1:41" x14ac:dyDescent="0.25">
      <c r="A2158" s="10"/>
      <c r="B2158" s="10"/>
      <c r="C2158" s="10"/>
      <c r="D2158" s="10"/>
      <c r="E2158" s="10"/>
      <c r="F2158" s="10"/>
      <c r="G2158" s="10"/>
      <c r="H2158" s="10"/>
      <c r="I2158" s="1" t="str">
        <f t="shared" si="99"/>
        <v/>
      </c>
      <c r="J2158" s="1" t="s">
        <v>35</v>
      </c>
      <c r="K2158" s="1" t="str">
        <f t="shared" si="100"/>
        <v/>
      </c>
      <c r="L2158" s="1" t="str">
        <f t="shared" si="101"/>
        <v/>
      </c>
      <c r="M2158" s="1">
        <f>IF(OR(Table1[[#This Row],[Std Nom]]="",Table1[[#This Row],[Std Read]]=""),0,Table1[[#This Row],[Std Nom]]-Table1[[#This Row],[Std Read]])</f>
        <v>0</v>
      </c>
      <c r="N2158" s="1">
        <f>IF(Calculations!$F$5="ACCREDITED 17025 WITH UNCERTAINTIES",$N$10,0)</f>
        <v>0</v>
      </c>
      <c r="O2158" s="1" t="str">
        <f>IFERROR(Table1[[#This Row],[Std Nom]]-(_xlfn.XLOOKUP(Table1[[#This Row],[Manufacturer]]&amp;" "&amp;Table1[[#This Row],[Model]],Table13[MFR &amp; MDL],Table13[Tolerance % CW ],"")/100*Table1[[#This Row],[Std Nom]]),"")</f>
        <v/>
      </c>
      <c r="P2158" s="1" t="str">
        <f>IFERROR(Table1[[#This Row],[Std Nom]]+(_xlfn.XLOOKUP(Table1[[#This Row],[Manufacturer]]&amp;" "&amp;Table1[[#This Row],[Model]],Table13[MFR &amp; MDL],Table13[Tolerance % CW ],"")/100*Table1[[#This Row],[Std Nom]]),"")</f>
        <v/>
      </c>
      <c r="Q2158" s="1" t="e">
        <f>Table1[[#This Row],[High Tol]]-Table1[[#This Row],[Low Tol]]</f>
        <v>#VALUE!</v>
      </c>
      <c r="R2158" s="1">
        <f>2*Table1[[#This Row],[Std Error]]</f>
        <v>0</v>
      </c>
      <c r="S2158" s="1" t="str">
        <f>IF(Table1[[#This Row],[High Tol]]="","N/A",IFERROR(ABS(Table1[[#This Row],[Tol Span]]/Table1[[#This Row],[Error Span]]),"N/A"))</f>
        <v>N/A</v>
      </c>
      <c r="T2158" s="1" t="str">
        <f>IF(OR(Table1[[#This Row],[Low Tol]]="",Table1[[#This Row],[High Tol]]=""),"Needs Analysis",IF(Table1[[#This Row],[Ratio]]&gt;=4,"Not Significant",IF(Table1[[#This Row],[Ratio]]&gt;=2,"Semi-Significant","Significant")))</f>
        <v>Needs Analysis</v>
      </c>
      <c r="W2158" s="1">
        <f>IF(Table1[[#This Row],[Cal Type]]&lt;&gt;"ACCREDITED 17025 WITH UNCERTAINTIES",0,"")</f>
        <v>0</v>
      </c>
      <c r="X2158" s="1" t="str">
        <f>IF(Table1[[#This Row],[DUT Read]]="","N/A",Table1[[#This Row],[Std Error]]+Table1[[#This Row],[DUT Read]]+Table1[[#This Row],[DUT Ucty]])</f>
        <v>N/A</v>
      </c>
      <c r="Y2158" s="1" t="str">
        <f>IF(Table1[[#This Row],[Std Read]]="","N/A",Table1[[#This Row],[Std Read]]+Table1[[#This Row],[Std Ucty]])</f>
        <v>N/A</v>
      </c>
      <c r="Z21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8" s="1" t="str">
        <f>IF(Table1[[#This Row],[Spec Type]]="","N/A",Table1[[#This Row],[Spec Type]])</f>
        <v>±</v>
      </c>
      <c r="AC2158" s="1" t="str">
        <f>IF(Table1[[#This Row],[Spec Type2]]="N/A","N/A",IF(AND(Table1[[#This Row],[DUT Adj Read]]&gt;=Table1[[#This Row],[Low Tol]],Table1[[#This Row],[DUT Adj Read]]&lt;=Table1[[#This Row],[High Tol]]),"Pass","Fail"))</f>
        <v>Fail</v>
      </c>
      <c r="AD2158" s="1" t="str">
        <f>IF(AND(Table1[[#This Row],[Spec Type2]]="N/A",Table1[[#This Row],[DUT Adj Read]]="N/A",Table1[[#This Row],[Std Adj Read]]="N/A"),"N/A",IF(Table1[[#This Row],[DUT Adj Read]]="N/A",IF(Table1[[#This Row],[Std Adj Read]]&gt;Table1[[#This Row],[Low Tol]],"Pass","Fail"),IF(Table1[[#This Row],[DUT Adj Read]]&gt;Table1[[#This Row],[Low Tol]],"Pass","Fail")))</f>
        <v>Pass</v>
      </c>
      <c r="AE2158" s="1" t="str">
        <f>IF(AND(Table1[[#This Row],[Spec Type2]]="N/A",Table1[[#This Row],[DUT Adj Read]]="N/A",Table1[[#This Row],[Std Adj Read]]="N/A"),"N/A",IF(Table1[[#This Row],[DUT Adj Read]]="N/A",IF(Table1[[#This Row],[Std Adj Read]]&lt;Table1[[#This Row],[High Tol]],"Pass","Fail"),IF(Table1[[#This Row],[DUT Adj Read]]&lt;Table1[[#This Row],[High Tol]],"Pass","Fail")))</f>
        <v>Fail</v>
      </c>
      <c r="AF2158" s="1" t="str">
        <f>IF(AND(Table1[[#This Row],[Spec Type2]]="N/A",Table1[[#This Row],[DUT Adj Read]]="N/A",Table1[[#This Row],[Std Adj Read]]="N/A"),"N/A",IF(Table1[[#This Row],[DUT Adj Read]]="N/A",IF(Table1[[#This Row],[Std Adj Read]]&gt;=Table1[[#This Row],[Low Tol]],"Pass","Fail"),IF(Table1[[#This Row],[DUT Adj Read]]&gt;=Table1[[#This Row],[Low Tol]],"Pass","Fail")))</f>
        <v>Pass</v>
      </c>
      <c r="AG2158" s="1" t="str">
        <f>IF(AND(Table1[[#This Row],[Spec Type2]]="N/A",Table1[[#This Row],[DUT Adj Read]]="N/A",Table1[[#This Row],[Std Adj Read]]="N/A"),"N/A",IF(Table1[[#This Row],[DUT Adj Read]]="N/A",IF(Table1[[#This Row],[Std Adj Read]]&lt;=Table1[[#This Row],[High Tol]],"Pass","Fail"),IF(Table1[[#This Row],[DUT Adj Read]]&lt;=Table1[[#This Row],[High Tol]],"Pass","Fail")))</f>
        <v>Fail</v>
      </c>
      <c r="AH21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8" s="1" t="b">
        <v>0</v>
      </c>
      <c r="AN2158" s="1" t="b">
        <v>0</v>
      </c>
      <c r="AO2158" s="1" t="b">
        <v>0</v>
      </c>
    </row>
    <row r="2159" spans="1:41" x14ac:dyDescent="0.25">
      <c r="A2159" s="10"/>
      <c r="B2159" s="10"/>
      <c r="C2159" s="10"/>
      <c r="D2159" s="10"/>
      <c r="E2159" s="10"/>
      <c r="F2159" s="10"/>
      <c r="G2159" s="10"/>
      <c r="H2159" s="10"/>
      <c r="I2159" s="1" t="str">
        <f t="shared" si="99"/>
        <v/>
      </c>
      <c r="J2159" s="1" t="s">
        <v>35</v>
      </c>
      <c r="K2159" s="1" t="str">
        <f t="shared" si="100"/>
        <v/>
      </c>
      <c r="L2159" s="1" t="str">
        <f t="shared" si="101"/>
        <v/>
      </c>
      <c r="M2159" s="1">
        <f>IF(OR(Table1[[#This Row],[Std Nom]]="",Table1[[#This Row],[Std Read]]=""),0,Table1[[#This Row],[Std Nom]]-Table1[[#This Row],[Std Read]])</f>
        <v>0</v>
      </c>
      <c r="N2159" s="1">
        <f>IF(Calculations!$F$5="ACCREDITED 17025 WITH UNCERTAINTIES",$N$10,0)</f>
        <v>0</v>
      </c>
      <c r="O2159" s="1" t="str">
        <f>IFERROR(Table1[[#This Row],[Std Nom]]-(_xlfn.XLOOKUP(Table1[[#This Row],[Manufacturer]]&amp;" "&amp;Table1[[#This Row],[Model]],Table13[MFR &amp; MDL],Table13[Tolerance % CW ],"")/100*Table1[[#This Row],[Std Nom]]),"")</f>
        <v/>
      </c>
      <c r="P2159" s="1" t="str">
        <f>IFERROR(Table1[[#This Row],[Std Nom]]+(_xlfn.XLOOKUP(Table1[[#This Row],[Manufacturer]]&amp;" "&amp;Table1[[#This Row],[Model]],Table13[MFR &amp; MDL],Table13[Tolerance % CW ],"")/100*Table1[[#This Row],[Std Nom]]),"")</f>
        <v/>
      </c>
      <c r="Q2159" s="1" t="e">
        <f>Table1[[#This Row],[High Tol]]-Table1[[#This Row],[Low Tol]]</f>
        <v>#VALUE!</v>
      </c>
      <c r="R2159" s="1">
        <f>2*Table1[[#This Row],[Std Error]]</f>
        <v>0</v>
      </c>
      <c r="S2159" s="1" t="str">
        <f>IF(Table1[[#This Row],[High Tol]]="","N/A",IFERROR(ABS(Table1[[#This Row],[Tol Span]]/Table1[[#This Row],[Error Span]]),"N/A"))</f>
        <v>N/A</v>
      </c>
      <c r="T2159" s="1" t="str">
        <f>IF(OR(Table1[[#This Row],[Low Tol]]="",Table1[[#This Row],[High Tol]]=""),"Needs Analysis",IF(Table1[[#This Row],[Ratio]]&gt;=4,"Not Significant",IF(Table1[[#This Row],[Ratio]]&gt;=2,"Semi-Significant","Significant")))</f>
        <v>Needs Analysis</v>
      </c>
      <c r="W2159" s="1">
        <f>IF(Table1[[#This Row],[Cal Type]]&lt;&gt;"ACCREDITED 17025 WITH UNCERTAINTIES",0,"")</f>
        <v>0</v>
      </c>
      <c r="X2159" s="1" t="str">
        <f>IF(Table1[[#This Row],[DUT Read]]="","N/A",Table1[[#This Row],[Std Error]]+Table1[[#This Row],[DUT Read]]+Table1[[#This Row],[DUT Ucty]])</f>
        <v>N/A</v>
      </c>
      <c r="Y2159" s="1" t="str">
        <f>IF(Table1[[#This Row],[Std Read]]="","N/A",Table1[[#This Row],[Std Read]]+Table1[[#This Row],[Std Ucty]])</f>
        <v>N/A</v>
      </c>
      <c r="Z21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9" s="1" t="str">
        <f>IF(Table1[[#This Row],[Spec Type]]="","N/A",Table1[[#This Row],[Spec Type]])</f>
        <v>±</v>
      </c>
      <c r="AC2159" s="1" t="str">
        <f>IF(Table1[[#This Row],[Spec Type2]]="N/A","N/A",IF(AND(Table1[[#This Row],[DUT Adj Read]]&gt;=Table1[[#This Row],[Low Tol]],Table1[[#This Row],[DUT Adj Read]]&lt;=Table1[[#This Row],[High Tol]]),"Pass","Fail"))</f>
        <v>Fail</v>
      </c>
      <c r="AD2159" s="1" t="str">
        <f>IF(AND(Table1[[#This Row],[Spec Type2]]="N/A",Table1[[#This Row],[DUT Adj Read]]="N/A",Table1[[#This Row],[Std Adj Read]]="N/A"),"N/A",IF(Table1[[#This Row],[DUT Adj Read]]="N/A",IF(Table1[[#This Row],[Std Adj Read]]&gt;Table1[[#This Row],[Low Tol]],"Pass","Fail"),IF(Table1[[#This Row],[DUT Adj Read]]&gt;Table1[[#This Row],[Low Tol]],"Pass","Fail")))</f>
        <v>Pass</v>
      </c>
      <c r="AE2159" s="1" t="str">
        <f>IF(AND(Table1[[#This Row],[Spec Type2]]="N/A",Table1[[#This Row],[DUT Adj Read]]="N/A",Table1[[#This Row],[Std Adj Read]]="N/A"),"N/A",IF(Table1[[#This Row],[DUT Adj Read]]="N/A",IF(Table1[[#This Row],[Std Adj Read]]&lt;Table1[[#This Row],[High Tol]],"Pass","Fail"),IF(Table1[[#This Row],[DUT Adj Read]]&lt;Table1[[#This Row],[High Tol]],"Pass","Fail")))</f>
        <v>Fail</v>
      </c>
      <c r="AF2159" s="1" t="str">
        <f>IF(AND(Table1[[#This Row],[Spec Type2]]="N/A",Table1[[#This Row],[DUT Adj Read]]="N/A",Table1[[#This Row],[Std Adj Read]]="N/A"),"N/A",IF(Table1[[#This Row],[DUT Adj Read]]="N/A",IF(Table1[[#This Row],[Std Adj Read]]&gt;=Table1[[#This Row],[Low Tol]],"Pass","Fail"),IF(Table1[[#This Row],[DUT Adj Read]]&gt;=Table1[[#This Row],[Low Tol]],"Pass","Fail")))</f>
        <v>Pass</v>
      </c>
      <c r="AG2159" s="1" t="str">
        <f>IF(AND(Table1[[#This Row],[Spec Type2]]="N/A",Table1[[#This Row],[DUT Adj Read]]="N/A",Table1[[#This Row],[Std Adj Read]]="N/A"),"N/A",IF(Table1[[#This Row],[DUT Adj Read]]="N/A",IF(Table1[[#This Row],[Std Adj Read]]&lt;=Table1[[#This Row],[High Tol]],"Pass","Fail"),IF(Table1[[#This Row],[DUT Adj Read]]&lt;=Table1[[#This Row],[High Tol]],"Pass","Fail")))</f>
        <v>Fail</v>
      </c>
      <c r="AH21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9" s="1" t="b">
        <v>0</v>
      </c>
      <c r="AN2159" s="1" t="b">
        <v>0</v>
      </c>
      <c r="AO2159" s="1" t="b">
        <v>0</v>
      </c>
    </row>
    <row r="2160" spans="1:41" x14ac:dyDescent="0.25">
      <c r="A2160" s="10"/>
      <c r="B2160" s="10"/>
      <c r="C2160" s="10"/>
      <c r="D2160" s="10"/>
      <c r="E2160" s="10"/>
      <c r="F2160" s="10"/>
      <c r="G2160" s="10"/>
      <c r="H2160" s="10"/>
      <c r="I2160" s="1" t="str">
        <f t="shared" si="99"/>
        <v/>
      </c>
      <c r="J2160" s="1" t="s">
        <v>35</v>
      </c>
      <c r="K2160" s="1" t="str">
        <f t="shared" si="100"/>
        <v/>
      </c>
      <c r="L2160" s="1" t="str">
        <f t="shared" si="101"/>
        <v/>
      </c>
      <c r="M2160" s="1">
        <f>IF(OR(Table1[[#This Row],[Std Nom]]="",Table1[[#This Row],[Std Read]]=""),0,Table1[[#This Row],[Std Nom]]-Table1[[#This Row],[Std Read]])</f>
        <v>0</v>
      </c>
      <c r="N2160" s="1">
        <f>IF(Calculations!$F$5="ACCREDITED 17025 WITH UNCERTAINTIES",$N$10,0)</f>
        <v>0</v>
      </c>
      <c r="O2160" s="1" t="str">
        <f>IFERROR(Table1[[#This Row],[Std Nom]]-(_xlfn.XLOOKUP(Table1[[#This Row],[Manufacturer]]&amp;" "&amp;Table1[[#This Row],[Model]],Table13[MFR &amp; MDL],Table13[Tolerance % CW ],"")/100*Table1[[#This Row],[Std Nom]]),"")</f>
        <v/>
      </c>
      <c r="P2160" s="1" t="str">
        <f>IFERROR(Table1[[#This Row],[Std Nom]]+(_xlfn.XLOOKUP(Table1[[#This Row],[Manufacturer]]&amp;" "&amp;Table1[[#This Row],[Model]],Table13[MFR &amp; MDL],Table13[Tolerance % CW ],"")/100*Table1[[#This Row],[Std Nom]]),"")</f>
        <v/>
      </c>
      <c r="Q2160" s="1" t="e">
        <f>Table1[[#This Row],[High Tol]]-Table1[[#This Row],[Low Tol]]</f>
        <v>#VALUE!</v>
      </c>
      <c r="R2160" s="1">
        <f>2*Table1[[#This Row],[Std Error]]</f>
        <v>0</v>
      </c>
      <c r="S2160" s="1" t="str">
        <f>IF(Table1[[#This Row],[High Tol]]="","N/A",IFERROR(ABS(Table1[[#This Row],[Tol Span]]/Table1[[#This Row],[Error Span]]),"N/A"))</f>
        <v>N/A</v>
      </c>
      <c r="T2160" s="1" t="str">
        <f>IF(OR(Table1[[#This Row],[Low Tol]]="",Table1[[#This Row],[High Tol]]=""),"Needs Analysis",IF(Table1[[#This Row],[Ratio]]&gt;=4,"Not Significant",IF(Table1[[#This Row],[Ratio]]&gt;=2,"Semi-Significant","Significant")))</f>
        <v>Needs Analysis</v>
      </c>
      <c r="W2160" s="1">
        <f>IF(Table1[[#This Row],[Cal Type]]&lt;&gt;"ACCREDITED 17025 WITH UNCERTAINTIES",0,"")</f>
        <v>0</v>
      </c>
      <c r="X2160" s="1" t="str">
        <f>IF(Table1[[#This Row],[DUT Read]]="","N/A",Table1[[#This Row],[Std Error]]+Table1[[#This Row],[DUT Read]]+Table1[[#This Row],[DUT Ucty]])</f>
        <v>N/A</v>
      </c>
      <c r="Y2160" s="1" t="str">
        <f>IF(Table1[[#This Row],[Std Read]]="","N/A",Table1[[#This Row],[Std Read]]+Table1[[#This Row],[Std Ucty]])</f>
        <v>N/A</v>
      </c>
      <c r="Z21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0" s="1" t="str">
        <f>IF(Table1[[#This Row],[Spec Type]]="","N/A",Table1[[#This Row],[Spec Type]])</f>
        <v>±</v>
      </c>
      <c r="AC2160" s="1" t="str">
        <f>IF(Table1[[#This Row],[Spec Type2]]="N/A","N/A",IF(AND(Table1[[#This Row],[DUT Adj Read]]&gt;=Table1[[#This Row],[Low Tol]],Table1[[#This Row],[DUT Adj Read]]&lt;=Table1[[#This Row],[High Tol]]),"Pass","Fail"))</f>
        <v>Fail</v>
      </c>
      <c r="AD2160" s="1" t="str">
        <f>IF(AND(Table1[[#This Row],[Spec Type2]]="N/A",Table1[[#This Row],[DUT Adj Read]]="N/A",Table1[[#This Row],[Std Adj Read]]="N/A"),"N/A",IF(Table1[[#This Row],[DUT Adj Read]]="N/A",IF(Table1[[#This Row],[Std Adj Read]]&gt;Table1[[#This Row],[Low Tol]],"Pass","Fail"),IF(Table1[[#This Row],[DUT Adj Read]]&gt;Table1[[#This Row],[Low Tol]],"Pass","Fail")))</f>
        <v>Pass</v>
      </c>
      <c r="AE2160" s="1" t="str">
        <f>IF(AND(Table1[[#This Row],[Spec Type2]]="N/A",Table1[[#This Row],[DUT Adj Read]]="N/A",Table1[[#This Row],[Std Adj Read]]="N/A"),"N/A",IF(Table1[[#This Row],[DUT Adj Read]]="N/A",IF(Table1[[#This Row],[Std Adj Read]]&lt;Table1[[#This Row],[High Tol]],"Pass","Fail"),IF(Table1[[#This Row],[DUT Adj Read]]&lt;Table1[[#This Row],[High Tol]],"Pass","Fail")))</f>
        <v>Fail</v>
      </c>
      <c r="AF2160" s="1" t="str">
        <f>IF(AND(Table1[[#This Row],[Spec Type2]]="N/A",Table1[[#This Row],[DUT Adj Read]]="N/A",Table1[[#This Row],[Std Adj Read]]="N/A"),"N/A",IF(Table1[[#This Row],[DUT Adj Read]]="N/A",IF(Table1[[#This Row],[Std Adj Read]]&gt;=Table1[[#This Row],[Low Tol]],"Pass","Fail"),IF(Table1[[#This Row],[DUT Adj Read]]&gt;=Table1[[#This Row],[Low Tol]],"Pass","Fail")))</f>
        <v>Pass</v>
      </c>
      <c r="AG2160" s="1" t="str">
        <f>IF(AND(Table1[[#This Row],[Spec Type2]]="N/A",Table1[[#This Row],[DUT Adj Read]]="N/A",Table1[[#This Row],[Std Adj Read]]="N/A"),"N/A",IF(Table1[[#This Row],[DUT Adj Read]]="N/A",IF(Table1[[#This Row],[Std Adj Read]]&lt;=Table1[[#This Row],[High Tol]],"Pass","Fail"),IF(Table1[[#This Row],[DUT Adj Read]]&lt;=Table1[[#This Row],[High Tol]],"Pass","Fail")))</f>
        <v>Fail</v>
      </c>
      <c r="AH21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0" s="1" t="b">
        <v>0</v>
      </c>
      <c r="AN2160" s="1" t="b">
        <v>0</v>
      </c>
      <c r="AO2160" s="1" t="b">
        <v>0</v>
      </c>
    </row>
    <row r="2161" spans="1:41" x14ac:dyDescent="0.25">
      <c r="A2161" s="10"/>
      <c r="B2161" s="10"/>
      <c r="C2161" s="10"/>
      <c r="D2161" s="10"/>
      <c r="E2161" s="10"/>
      <c r="F2161" s="10"/>
      <c r="G2161" s="10"/>
      <c r="H2161" s="10"/>
      <c r="I2161" s="1" t="str">
        <f t="shared" si="99"/>
        <v/>
      </c>
      <c r="J2161" s="1" t="s">
        <v>35</v>
      </c>
      <c r="K2161" s="1" t="str">
        <f t="shared" si="100"/>
        <v/>
      </c>
      <c r="L2161" s="1" t="str">
        <f t="shared" si="101"/>
        <v/>
      </c>
      <c r="M2161" s="1">
        <f>IF(OR(Table1[[#This Row],[Std Nom]]="",Table1[[#This Row],[Std Read]]=""),0,Table1[[#This Row],[Std Nom]]-Table1[[#This Row],[Std Read]])</f>
        <v>0</v>
      </c>
      <c r="N2161" s="1">
        <f>IF(Calculations!$F$5="ACCREDITED 17025 WITH UNCERTAINTIES",$N$10,0)</f>
        <v>0</v>
      </c>
      <c r="O2161" s="1" t="str">
        <f>IFERROR(Table1[[#This Row],[Std Nom]]-(_xlfn.XLOOKUP(Table1[[#This Row],[Manufacturer]]&amp;" "&amp;Table1[[#This Row],[Model]],Table13[MFR &amp; MDL],Table13[Tolerance % CW ],"")/100*Table1[[#This Row],[Std Nom]]),"")</f>
        <v/>
      </c>
      <c r="P2161" s="1" t="str">
        <f>IFERROR(Table1[[#This Row],[Std Nom]]+(_xlfn.XLOOKUP(Table1[[#This Row],[Manufacturer]]&amp;" "&amp;Table1[[#This Row],[Model]],Table13[MFR &amp; MDL],Table13[Tolerance % CW ],"")/100*Table1[[#This Row],[Std Nom]]),"")</f>
        <v/>
      </c>
      <c r="Q2161" s="1" t="e">
        <f>Table1[[#This Row],[High Tol]]-Table1[[#This Row],[Low Tol]]</f>
        <v>#VALUE!</v>
      </c>
      <c r="R2161" s="1">
        <f>2*Table1[[#This Row],[Std Error]]</f>
        <v>0</v>
      </c>
      <c r="S2161" s="1" t="str">
        <f>IF(Table1[[#This Row],[High Tol]]="","N/A",IFERROR(ABS(Table1[[#This Row],[Tol Span]]/Table1[[#This Row],[Error Span]]),"N/A"))</f>
        <v>N/A</v>
      </c>
      <c r="T2161" s="1" t="str">
        <f>IF(OR(Table1[[#This Row],[Low Tol]]="",Table1[[#This Row],[High Tol]]=""),"Needs Analysis",IF(Table1[[#This Row],[Ratio]]&gt;=4,"Not Significant",IF(Table1[[#This Row],[Ratio]]&gt;=2,"Semi-Significant","Significant")))</f>
        <v>Needs Analysis</v>
      </c>
      <c r="W2161" s="1">
        <f>IF(Table1[[#This Row],[Cal Type]]&lt;&gt;"ACCREDITED 17025 WITH UNCERTAINTIES",0,"")</f>
        <v>0</v>
      </c>
      <c r="X2161" s="1" t="str">
        <f>IF(Table1[[#This Row],[DUT Read]]="","N/A",Table1[[#This Row],[Std Error]]+Table1[[#This Row],[DUT Read]]+Table1[[#This Row],[DUT Ucty]])</f>
        <v>N/A</v>
      </c>
      <c r="Y2161" s="1" t="str">
        <f>IF(Table1[[#This Row],[Std Read]]="","N/A",Table1[[#This Row],[Std Read]]+Table1[[#This Row],[Std Ucty]])</f>
        <v>N/A</v>
      </c>
      <c r="Z21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1" s="1" t="str">
        <f>IF(Table1[[#This Row],[Spec Type]]="","N/A",Table1[[#This Row],[Spec Type]])</f>
        <v>±</v>
      </c>
      <c r="AC2161" s="1" t="str">
        <f>IF(Table1[[#This Row],[Spec Type2]]="N/A","N/A",IF(AND(Table1[[#This Row],[DUT Adj Read]]&gt;=Table1[[#This Row],[Low Tol]],Table1[[#This Row],[DUT Adj Read]]&lt;=Table1[[#This Row],[High Tol]]),"Pass","Fail"))</f>
        <v>Fail</v>
      </c>
      <c r="AD2161" s="1" t="str">
        <f>IF(AND(Table1[[#This Row],[Spec Type2]]="N/A",Table1[[#This Row],[DUT Adj Read]]="N/A",Table1[[#This Row],[Std Adj Read]]="N/A"),"N/A",IF(Table1[[#This Row],[DUT Adj Read]]="N/A",IF(Table1[[#This Row],[Std Adj Read]]&gt;Table1[[#This Row],[Low Tol]],"Pass","Fail"),IF(Table1[[#This Row],[DUT Adj Read]]&gt;Table1[[#This Row],[Low Tol]],"Pass","Fail")))</f>
        <v>Pass</v>
      </c>
      <c r="AE2161" s="1" t="str">
        <f>IF(AND(Table1[[#This Row],[Spec Type2]]="N/A",Table1[[#This Row],[DUT Adj Read]]="N/A",Table1[[#This Row],[Std Adj Read]]="N/A"),"N/A",IF(Table1[[#This Row],[DUT Adj Read]]="N/A",IF(Table1[[#This Row],[Std Adj Read]]&lt;Table1[[#This Row],[High Tol]],"Pass","Fail"),IF(Table1[[#This Row],[DUT Adj Read]]&lt;Table1[[#This Row],[High Tol]],"Pass","Fail")))</f>
        <v>Fail</v>
      </c>
      <c r="AF2161" s="1" t="str">
        <f>IF(AND(Table1[[#This Row],[Spec Type2]]="N/A",Table1[[#This Row],[DUT Adj Read]]="N/A",Table1[[#This Row],[Std Adj Read]]="N/A"),"N/A",IF(Table1[[#This Row],[DUT Adj Read]]="N/A",IF(Table1[[#This Row],[Std Adj Read]]&gt;=Table1[[#This Row],[Low Tol]],"Pass","Fail"),IF(Table1[[#This Row],[DUT Adj Read]]&gt;=Table1[[#This Row],[Low Tol]],"Pass","Fail")))</f>
        <v>Pass</v>
      </c>
      <c r="AG2161" s="1" t="str">
        <f>IF(AND(Table1[[#This Row],[Spec Type2]]="N/A",Table1[[#This Row],[DUT Adj Read]]="N/A",Table1[[#This Row],[Std Adj Read]]="N/A"),"N/A",IF(Table1[[#This Row],[DUT Adj Read]]="N/A",IF(Table1[[#This Row],[Std Adj Read]]&lt;=Table1[[#This Row],[High Tol]],"Pass","Fail"),IF(Table1[[#This Row],[DUT Adj Read]]&lt;=Table1[[#This Row],[High Tol]],"Pass","Fail")))</f>
        <v>Fail</v>
      </c>
      <c r="AH21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1" s="1" t="b">
        <v>0</v>
      </c>
      <c r="AN2161" s="1" t="b">
        <v>0</v>
      </c>
      <c r="AO2161" s="1" t="b">
        <v>0</v>
      </c>
    </row>
    <row r="2162" spans="1:41" x14ac:dyDescent="0.25">
      <c r="A2162" s="10"/>
      <c r="B2162" s="10"/>
      <c r="C2162" s="10"/>
      <c r="D2162" s="10"/>
      <c r="E2162" s="10"/>
      <c r="F2162" s="10"/>
      <c r="G2162" s="10"/>
      <c r="H2162" s="10"/>
      <c r="I2162" s="1" t="str">
        <f t="shared" si="99"/>
        <v/>
      </c>
      <c r="J2162" s="1" t="s">
        <v>35</v>
      </c>
      <c r="K2162" s="1" t="str">
        <f t="shared" si="100"/>
        <v/>
      </c>
      <c r="L2162" s="1" t="str">
        <f t="shared" si="101"/>
        <v/>
      </c>
      <c r="M2162" s="1">
        <f>IF(OR(Table1[[#This Row],[Std Nom]]="",Table1[[#This Row],[Std Read]]=""),0,Table1[[#This Row],[Std Nom]]-Table1[[#This Row],[Std Read]])</f>
        <v>0</v>
      </c>
      <c r="N2162" s="1">
        <f>IF(Calculations!$F$5="ACCREDITED 17025 WITH UNCERTAINTIES",$N$10,0)</f>
        <v>0</v>
      </c>
      <c r="O2162" s="1" t="str">
        <f>IFERROR(Table1[[#This Row],[Std Nom]]-(_xlfn.XLOOKUP(Table1[[#This Row],[Manufacturer]]&amp;" "&amp;Table1[[#This Row],[Model]],Table13[MFR &amp; MDL],Table13[Tolerance % CW ],"")/100*Table1[[#This Row],[Std Nom]]),"")</f>
        <v/>
      </c>
      <c r="P2162" s="1" t="str">
        <f>IFERROR(Table1[[#This Row],[Std Nom]]+(_xlfn.XLOOKUP(Table1[[#This Row],[Manufacturer]]&amp;" "&amp;Table1[[#This Row],[Model]],Table13[MFR &amp; MDL],Table13[Tolerance % CW ],"")/100*Table1[[#This Row],[Std Nom]]),"")</f>
        <v/>
      </c>
      <c r="Q2162" s="1" t="e">
        <f>Table1[[#This Row],[High Tol]]-Table1[[#This Row],[Low Tol]]</f>
        <v>#VALUE!</v>
      </c>
      <c r="R2162" s="1">
        <f>2*Table1[[#This Row],[Std Error]]</f>
        <v>0</v>
      </c>
      <c r="S2162" s="1" t="str">
        <f>IF(Table1[[#This Row],[High Tol]]="","N/A",IFERROR(ABS(Table1[[#This Row],[Tol Span]]/Table1[[#This Row],[Error Span]]),"N/A"))</f>
        <v>N/A</v>
      </c>
      <c r="T2162" s="1" t="str">
        <f>IF(OR(Table1[[#This Row],[Low Tol]]="",Table1[[#This Row],[High Tol]]=""),"Needs Analysis",IF(Table1[[#This Row],[Ratio]]&gt;=4,"Not Significant",IF(Table1[[#This Row],[Ratio]]&gt;=2,"Semi-Significant","Significant")))</f>
        <v>Needs Analysis</v>
      </c>
      <c r="W2162" s="1">
        <f>IF(Table1[[#This Row],[Cal Type]]&lt;&gt;"ACCREDITED 17025 WITH UNCERTAINTIES",0,"")</f>
        <v>0</v>
      </c>
      <c r="X2162" s="1" t="str">
        <f>IF(Table1[[#This Row],[DUT Read]]="","N/A",Table1[[#This Row],[Std Error]]+Table1[[#This Row],[DUT Read]]+Table1[[#This Row],[DUT Ucty]])</f>
        <v>N/A</v>
      </c>
      <c r="Y2162" s="1" t="str">
        <f>IF(Table1[[#This Row],[Std Read]]="","N/A",Table1[[#This Row],[Std Read]]+Table1[[#This Row],[Std Ucty]])</f>
        <v>N/A</v>
      </c>
      <c r="Z21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2" s="1" t="str">
        <f>IF(Table1[[#This Row],[Spec Type]]="","N/A",Table1[[#This Row],[Spec Type]])</f>
        <v>±</v>
      </c>
      <c r="AC2162" s="1" t="str">
        <f>IF(Table1[[#This Row],[Spec Type2]]="N/A","N/A",IF(AND(Table1[[#This Row],[DUT Adj Read]]&gt;=Table1[[#This Row],[Low Tol]],Table1[[#This Row],[DUT Adj Read]]&lt;=Table1[[#This Row],[High Tol]]),"Pass","Fail"))</f>
        <v>Fail</v>
      </c>
      <c r="AD2162" s="1" t="str">
        <f>IF(AND(Table1[[#This Row],[Spec Type2]]="N/A",Table1[[#This Row],[DUT Adj Read]]="N/A",Table1[[#This Row],[Std Adj Read]]="N/A"),"N/A",IF(Table1[[#This Row],[DUT Adj Read]]="N/A",IF(Table1[[#This Row],[Std Adj Read]]&gt;Table1[[#This Row],[Low Tol]],"Pass","Fail"),IF(Table1[[#This Row],[DUT Adj Read]]&gt;Table1[[#This Row],[Low Tol]],"Pass","Fail")))</f>
        <v>Pass</v>
      </c>
      <c r="AE2162" s="1" t="str">
        <f>IF(AND(Table1[[#This Row],[Spec Type2]]="N/A",Table1[[#This Row],[DUT Adj Read]]="N/A",Table1[[#This Row],[Std Adj Read]]="N/A"),"N/A",IF(Table1[[#This Row],[DUT Adj Read]]="N/A",IF(Table1[[#This Row],[Std Adj Read]]&lt;Table1[[#This Row],[High Tol]],"Pass","Fail"),IF(Table1[[#This Row],[DUT Adj Read]]&lt;Table1[[#This Row],[High Tol]],"Pass","Fail")))</f>
        <v>Fail</v>
      </c>
      <c r="AF2162" s="1" t="str">
        <f>IF(AND(Table1[[#This Row],[Spec Type2]]="N/A",Table1[[#This Row],[DUT Adj Read]]="N/A",Table1[[#This Row],[Std Adj Read]]="N/A"),"N/A",IF(Table1[[#This Row],[DUT Adj Read]]="N/A",IF(Table1[[#This Row],[Std Adj Read]]&gt;=Table1[[#This Row],[Low Tol]],"Pass","Fail"),IF(Table1[[#This Row],[DUT Adj Read]]&gt;=Table1[[#This Row],[Low Tol]],"Pass","Fail")))</f>
        <v>Pass</v>
      </c>
      <c r="AG2162" s="1" t="str">
        <f>IF(AND(Table1[[#This Row],[Spec Type2]]="N/A",Table1[[#This Row],[DUT Adj Read]]="N/A",Table1[[#This Row],[Std Adj Read]]="N/A"),"N/A",IF(Table1[[#This Row],[DUT Adj Read]]="N/A",IF(Table1[[#This Row],[Std Adj Read]]&lt;=Table1[[#This Row],[High Tol]],"Pass","Fail"),IF(Table1[[#This Row],[DUT Adj Read]]&lt;=Table1[[#This Row],[High Tol]],"Pass","Fail")))</f>
        <v>Fail</v>
      </c>
      <c r="AH21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2" s="1" t="b">
        <v>0</v>
      </c>
      <c r="AN2162" s="1" t="b">
        <v>0</v>
      </c>
      <c r="AO2162" s="1" t="b">
        <v>0</v>
      </c>
    </row>
    <row r="2163" spans="1:41" x14ac:dyDescent="0.25">
      <c r="A2163" s="10"/>
      <c r="B2163" s="10"/>
      <c r="C2163" s="10"/>
      <c r="D2163" s="10"/>
      <c r="E2163" s="10"/>
      <c r="F2163" s="10"/>
      <c r="G2163" s="10"/>
      <c r="H2163" s="10"/>
      <c r="I2163" s="1" t="str">
        <f t="shared" si="99"/>
        <v/>
      </c>
      <c r="J2163" s="1" t="s">
        <v>35</v>
      </c>
      <c r="K2163" s="1" t="str">
        <f t="shared" si="100"/>
        <v/>
      </c>
      <c r="L2163" s="1" t="str">
        <f t="shared" si="101"/>
        <v/>
      </c>
      <c r="M2163" s="1">
        <f>IF(OR(Table1[[#This Row],[Std Nom]]="",Table1[[#This Row],[Std Read]]=""),0,Table1[[#This Row],[Std Nom]]-Table1[[#This Row],[Std Read]])</f>
        <v>0</v>
      </c>
      <c r="N2163" s="1">
        <f>IF(Calculations!$F$5="ACCREDITED 17025 WITH UNCERTAINTIES",$N$10,0)</f>
        <v>0</v>
      </c>
      <c r="O2163" s="1" t="str">
        <f>IFERROR(Table1[[#This Row],[Std Nom]]-(_xlfn.XLOOKUP(Table1[[#This Row],[Manufacturer]]&amp;" "&amp;Table1[[#This Row],[Model]],Table13[MFR &amp; MDL],Table13[Tolerance % CW ],"")/100*Table1[[#This Row],[Std Nom]]),"")</f>
        <v/>
      </c>
      <c r="P2163" s="1" t="str">
        <f>IFERROR(Table1[[#This Row],[Std Nom]]+(_xlfn.XLOOKUP(Table1[[#This Row],[Manufacturer]]&amp;" "&amp;Table1[[#This Row],[Model]],Table13[MFR &amp; MDL],Table13[Tolerance % CW ],"")/100*Table1[[#This Row],[Std Nom]]),"")</f>
        <v/>
      </c>
      <c r="Q2163" s="1" t="e">
        <f>Table1[[#This Row],[High Tol]]-Table1[[#This Row],[Low Tol]]</f>
        <v>#VALUE!</v>
      </c>
      <c r="R2163" s="1">
        <f>2*Table1[[#This Row],[Std Error]]</f>
        <v>0</v>
      </c>
      <c r="S2163" s="1" t="str">
        <f>IF(Table1[[#This Row],[High Tol]]="","N/A",IFERROR(ABS(Table1[[#This Row],[Tol Span]]/Table1[[#This Row],[Error Span]]),"N/A"))</f>
        <v>N/A</v>
      </c>
      <c r="T2163" s="1" t="str">
        <f>IF(OR(Table1[[#This Row],[Low Tol]]="",Table1[[#This Row],[High Tol]]=""),"Needs Analysis",IF(Table1[[#This Row],[Ratio]]&gt;=4,"Not Significant",IF(Table1[[#This Row],[Ratio]]&gt;=2,"Semi-Significant","Significant")))</f>
        <v>Needs Analysis</v>
      </c>
      <c r="W2163" s="1">
        <f>IF(Table1[[#This Row],[Cal Type]]&lt;&gt;"ACCREDITED 17025 WITH UNCERTAINTIES",0,"")</f>
        <v>0</v>
      </c>
      <c r="X2163" s="1" t="str">
        <f>IF(Table1[[#This Row],[DUT Read]]="","N/A",Table1[[#This Row],[Std Error]]+Table1[[#This Row],[DUT Read]]+Table1[[#This Row],[DUT Ucty]])</f>
        <v>N/A</v>
      </c>
      <c r="Y2163" s="1" t="str">
        <f>IF(Table1[[#This Row],[Std Read]]="","N/A",Table1[[#This Row],[Std Read]]+Table1[[#This Row],[Std Ucty]])</f>
        <v>N/A</v>
      </c>
      <c r="Z21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3" s="1" t="str">
        <f>IF(Table1[[#This Row],[Spec Type]]="","N/A",Table1[[#This Row],[Spec Type]])</f>
        <v>±</v>
      </c>
      <c r="AC2163" s="1" t="str">
        <f>IF(Table1[[#This Row],[Spec Type2]]="N/A","N/A",IF(AND(Table1[[#This Row],[DUT Adj Read]]&gt;=Table1[[#This Row],[Low Tol]],Table1[[#This Row],[DUT Adj Read]]&lt;=Table1[[#This Row],[High Tol]]),"Pass","Fail"))</f>
        <v>Fail</v>
      </c>
      <c r="AD2163" s="1" t="str">
        <f>IF(AND(Table1[[#This Row],[Spec Type2]]="N/A",Table1[[#This Row],[DUT Adj Read]]="N/A",Table1[[#This Row],[Std Adj Read]]="N/A"),"N/A",IF(Table1[[#This Row],[DUT Adj Read]]="N/A",IF(Table1[[#This Row],[Std Adj Read]]&gt;Table1[[#This Row],[Low Tol]],"Pass","Fail"),IF(Table1[[#This Row],[DUT Adj Read]]&gt;Table1[[#This Row],[Low Tol]],"Pass","Fail")))</f>
        <v>Pass</v>
      </c>
      <c r="AE2163" s="1" t="str">
        <f>IF(AND(Table1[[#This Row],[Spec Type2]]="N/A",Table1[[#This Row],[DUT Adj Read]]="N/A",Table1[[#This Row],[Std Adj Read]]="N/A"),"N/A",IF(Table1[[#This Row],[DUT Adj Read]]="N/A",IF(Table1[[#This Row],[Std Adj Read]]&lt;Table1[[#This Row],[High Tol]],"Pass","Fail"),IF(Table1[[#This Row],[DUT Adj Read]]&lt;Table1[[#This Row],[High Tol]],"Pass","Fail")))</f>
        <v>Fail</v>
      </c>
      <c r="AF2163" s="1" t="str">
        <f>IF(AND(Table1[[#This Row],[Spec Type2]]="N/A",Table1[[#This Row],[DUT Adj Read]]="N/A",Table1[[#This Row],[Std Adj Read]]="N/A"),"N/A",IF(Table1[[#This Row],[DUT Adj Read]]="N/A",IF(Table1[[#This Row],[Std Adj Read]]&gt;=Table1[[#This Row],[Low Tol]],"Pass","Fail"),IF(Table1[[#This Row],[DUT Adj Read]]&gt;=Table1[[#This Row],[Low Tol]],"Pass","Fail")))</f>
        <v>Pass</v>
      </c>
      <c r="AG2163" s="1" t="str">
        <f>IF(AND(Table1[[#This Row],[Spec Type2]]="N/A",Table1[[#This Row],[DUT Adj Read]]="N/A",Table1[[#This Row],[Std Adj Read]]="N/A"),"N/A",IF(Table1[[#This Row],[DUT Adj Read]]="N/A",IF(Table1[[#This Row],[Std Adj Read]]&lt;=Table1[[#This Row],[High Tol]],"Pass","Fail"),IF(Table1[[#This Row],[DUT Adj Read]]&lt;=Table1[[#This Row],[High Tol]],"Pass","Fail")))</f>
        <v>Fail</v>
      </c>
      <c r="AH21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3" s="1" t="b">
        <v>0</v>
      </c>
      <c r="AN2163" s="1" t="b">
        <v>0</v>
      </c>
      <c r="AO2163" s="1" t="b">
        <v>0</v>
      </c>
    </row>
    <row r="2164" spans="1:41" x14ac:dyDescent="0.25">
      <c r="A2164" s="10"/>
      <c r="B2164" s="10"/>
      <c r="C2164" s="10"/>
      <c r="D2164" s="10"/>
      <c r="E2164" s="10"/>
      <c r="F2164" s="10"/>
      <c r="G2164" s="10"/>
      <c r="H2164" s="10"/>
      <c r="I2164" s="1" t="str">
        <f t="shared" si="99"/>
        <v/>
      </c>
      <c r="J2164" s="1" t="s">
        <v>35</v>
      </c>
      <c r="K2164" s="1" t="str">
        <f t="shared" si="100"/>
        <v/>
      </c>
      <c r="L2164" s="1" t="str">
        <f t="shared" si="101"/>
        <v/>
      </c>
      <c r="M2164" s="1">
        <f>IF(OR(Table1[[#This Row],[Std Nom]]="",Table1[[#This Row],[Std Read]]=""),0,Table1[[#This Row],[Std Nom]]-Table1[[#This Row],[Std Read]])</f>
        <v>0</v>
      </c>
      <c r="N2164" s="1">
        <f>IF(Calculations!$F$5="ACCREDITED 17025 WITH UNCERTAINTIES",$N$10,0)</f>
        <v>0</v>
      </c>
      <c r="O2164" s="1" t="str">
        <f>IFERROR(Table1[[#This Row],[Std Nom]]-(_xlfn.XLOOKUP(Table1[[#This Row],[Manufacturer]]&amp;" "&amp;Table1[[#This Row],[Model]],Table13[MFR &amp; MDL],Table13[Tolerance % CW ],"")/100*Table1[[#This Row],[Std Nom]]),"")</f>
        <v/>
      </c>
      <c r="P2164" s="1" t="str">
        <f>IFERROR(Table1[[#This Row],[Std Nom]]+(_xlfn.XLOOKUP(Table1[[#This Row],[Manufacturer]]&amp;" "&amp;Table1[[#This Row],[Model]],Table13[MFR &amp; MDL],Table13[Tolerance % CW ],"")/100*Table1[[#This Row],[Std Nom]]),"")</f>
        <v/>
      </c>
      <c r="Q2164" s="1" t="e">
        <f>Table1[[#This Row],[High Tol]]-Table1[[#This Row],[Low Tol]]</f>
        <v>#VALUE!</v>
      </c>
      <c r="R2164" s="1">
        <f>2*Table1[[#This Row],[Std Error]]</f>
        <v>0</v>
      </c>
      <c r="S2164" s="1" t="str">
        <f>IF(Table1[[#This Row],[High Tol]]="","N/A",IFERROR(ABS(Table1[[#This Row],[Tol Span]]/Table1[[#This Row],[Error Span]]),"N/A"))</f>
        <v>N/A</v>
      </c>
      <c r="T2164" s="1" t="str">
        <f>IF(OR(Table1[[#This Row],[Low Tol]]="",Table1[[#This Row],[High Tol]]=""),"Needs Analysis",IF(Table1[[#This Row],[Ratio]]&gt;=4,"Not Significant",IF(Table1[[#This Row],[Ratio]]&gt;=2,"Semi-Significant","Significant")))</f>
        <v>Needs Analysis</v>
      </c>
      <c r="W2164" s="1">
        <f>IF(Table1[[#This Row],[Cal Type]]&lt;&gt;"ACCREDITED 17025 WITH UNCERTAINTIES",0,"")</f>
        <v>0</v>
      </c>
      <c r="X2164" s="1" t="str">
        <f>IF(Table1[[#This Row],[DUT Read]]="","N/A",Table1[[#This Row],[Std Error]]+Table1[[#This Row],[DUT Read]]+Table1[[#This Row],[DUT Ucty]])</f>
        <v>N/A</v>
      </c>
      <c r="Y2164" s="1" t="str">
        <f>IF(Table1[[#This Row],[Std Read]]="","N/A",Table1[[#This Row],[Std Read]]+Table1[[#This Row],[Std Ucty]])</f>
        <v>N/A</v>
      </c>
      <c r="Z21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4" s="1" t="str">
        <f>IF(Table1[[#This Row],[Spec Type]]="","N/A",Table1[[#This Row],[Spec Type]])</f>
        <v>±</v>
      </c>
      <c r="AC2164" s="1" t="str">
        <f>IF(Table1[[#This Row],[Spec Type2]]="N/A","N/A",IF(AND(Table1[[#This Row],[DUT Adj Read]]&gt;=Table1[[#This Row],[Low Tol]],Table1[[#This Row],[DUT Adj Read]]&lt;=Table1[[#This Row],[High Tol]]),"Pass","Fail"))</f>
        <v>Fail</v>
      </c>
      <c r="AD2164" s="1" t="str">
        <f>IF(AND(Table1[[#This Row],[Spec Type2]]="N/A",Table1[[#This Row],[DUT Adj Read]]="N/A",Table1[[#This Row],[Std Adj Read]]="N/A"),"N/A",IF(Table1[[#This Row],[DUT Adj Read]]="N/A",IF(Table1[[#This Row],[Std Adj Read]]&gt;Table1[[#This Row],[Low Tol]],"Pass","Fail"),IF(Table1[[#This Row],[DUT Adj Read]]&gt;Table1[[#This Row],[Low Tol]],"Pass","Fail")))</f>
        <v>Pass</v>
      </c>
      <c r="AE2164" s="1" t="str">
        <f>IF(AND(Table1[[#This Row],[Spec Type2]]="N/A",Table1[[#This Row],[DUT Adj Read]]="N/A",Table1[[#This Row],[Std Adj Read]]="N/A"),"N/A",IF(Table1[[#This Row],[DUT Adj Read]]="N/A",IF(Table1[[#This Row],[Std Adj Read]]&lt;Table1[[#This Row],[High Tol]],"Pass","Fail"),IF(Table1[[#This Row],[DUT Adj Read]]&lt;Table1[[#This Row],[High Tol]],"Pass","Fail")))</f>
        <v>Fail</v>
      </c>
      <c r="AF2164" s="1" t="str">
        <f>IF(AND(Table1[[#This Row],[Spec Type2]]="N/A",Table1[[#This Row],[DUT Adj Read]]="N/A",Table1[[#This Row],[Std Adj Read]]="N/A"),"N/A",IF(Table1[[#This Row],[DUT Adj Read]]="N/A",IF(Table1[[#This Row],[Std Adj Read]]&gt;=Table1[[#This Row],[Low Tol]],"Pass","Fail"),IF(Table1[[#This Row],[DUT Adj Read]]&gt;=Table1[[#This Row],[Low Tol]],"Pass","Fail")))</f>
        <v>Pass</v>
      </c>
      <c r="AG2164" s="1" t="str">
        <f>IF(AND(Table1[[#This Row],[Spec Type2]]="N/A",Table1[[#This Row],[DUT Adj Read]]="N/A",Table1[[#This Row],[Std Adj Read]]="N/A"),"N/A",IF(Table1[[#This Row],[DUT Adj Read]]="N/A",IF(Table1[[#This Row],[Std Adj Read]]&lt;=Table1[[#This Row],[High Tol]],"Pass","Fail"),IF(Table1[[#This Row],[DUT Adj Read]]&lt;=Table1[[#This Row],[High Tol]],"Pass","Fail")))</f>
        <v>Fail</v>
      </c>
      <c r="AH21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4" s="1" t="b">
        <v>0</v>
      </c>
      <c r="AN2164" s="1" t="b">
        <v>0</v>
      </c>
      <c r="AO2164" s="1" t="b">
        <v>0</v>
      </c>
    </row>
    <row r="2165" spans="1:41" x14ac:dyDescent="0.25">
      <c r="A2165" s="10"/>
      <c r="B2165" s="10"/>
      <c r="C2165" s="10"/>
      <c r="D2165" s="10"/>
      <c r="E2165" s="10"/>
      <c r="F2165" s="10"/>
      <c r="G2165" s="10"/>
      <c r="H2165" s="10"/>
      <c r="I2165" s="1" t="str">
        <f t="shared" si="99"/>
        <v/>
      </c>
      <c r="J2165" s="1" t="s">
        <v>35</v>
      </c>
      <c r="K2165" s="1" t="str">
        <f t="shared" si="100"/>
        <v/>
      </c>
      <c r="L2165" s="1" t="str">
        <f t="shared" si="101"/>
        <v/>
      </c>
      <c r="M2165" s="1">
        <f>IF(OR(Table1[[#This Row],[Std Nom]]="",Table1[[#This Row],[Std Read]]=""),0,Table1[[#This Row],[Std Nom]]-Table1[[#This Row],[Std Read]])</f>
        <v>0</v>
      </c>
      <c r="N2165" s="1">
        <f>IF(Calculations!$F$5="ACCREDITED 17025 WITH UNCERTAINTIES",$N$10,0)</f>
        <v>0</v>
      </c>
      <c r="O2165" s="1" t="str">
        <f>IFERROR(Table1[[#This Row],[Std Nom]]-(_xlfn.XLOOKUP(Table1[[#This Row],[Manufacturer]]&amp;" "&amp;Table1[[#This Row],[Model]],Table13[MFR &amp; MDL],Table13[Tolerance % CW ],"")/100*Table1[[#This Row],[Std Nom]]),"")</f>
        <v/>
      </c>
      <c r="P2165" s="1" t="str">
        <f>IFERROR(Table1[[#This Row],[Std Nom]]+(_xlfn.XLOOKUP(Table1[[#This Row],[Manufacturer]]&amp;" "&amp;Table1[[#This Row],[Model]],Table13[MFR &amp; MDL],Table13[Tolerance % CW ],"")/100*Table1[[#This Row],[Std Nom]]),"")</f>
        <v/>
      </c>
      <c r="Q2165" s="1" t="e">
        <f>Table1[[#This Row],[High Tol]]-Table1[[#This Row],[Low Tol]]</f>
        <v>#VALUE!</v>
      </c>
      <c r="R2165" s="1">
        <f>2*Table1[[#This Row],[Std Error]]</f>
        <v>0</v>
      </c>
      <c r="S2165" s="1" t="str">
        <f>IF(Table1[[#This Row],[High Tol]]="","N/A",IFERROR(ABS(Table1[[#This Row],[Tol Span]]/Table1[[#This Row],[Error Span]]),"N/A"))</f>
        <v>N/A</v>
      </c>
      <c r="T2165" s="1" t="str">
        <f>IF(OR(Table1[[#This Row],[Low Tol]]="",Table1[[#This Row],[High Tol]]=""),"Needs Analysis",IF(Table1[[#This Row],[Ratio]]&gt;=4,"Not Significant",IF(Table1[[#This Row],[Ratio]]&gt;=2,"Semi-Significant","Significant")))</f>
        <v>Needs Analysis</v>
      </c>
      <c r="W2165" s="1">
        <f>IF(Table1[[#This Row],[Cal Type]]&lt;&gt;"ACCREDITED 17025 WITH UNCERTAINTIES",0,"")</f>
        <v>0</v>
      </c>
      <c r="X2165" s="1" t="str">
        <f>IF(Table1[[#This Row],[DUT Read]]="","N/A",Table1[[#This Row],[Std Error]]+Table1[[#This Row],[DUT Read]]+Table1[[#This Row],[DUT Ucty]])</f>
        <v>N/A</v>
      </c>
      <c r="Y2165" s="1" t="str">
        <f>IF(Table1[[#This Row],[Std Read]]="","N/A",Table1[[#This Row],[Std Read]]+Table1[[#This Row],[Std Ucty]])</f>
        <v>N/A</v>
      </c>
      <c r="Z21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5" s="1" t="str">
        <f>IF(Table1[[#This Row],[Spec Type]]="","N/A",Table1[[#This Row],[Spec Type]])</f>
        <v>±</v>
      </c>
      <c r="AC2165" s="1" t="str">
        <f>IF(Table1[[#This Row],[Spec Type2]]="N/A","N/A",IF(AND(Table1[[#This Row],[DUT Adj Read]]&gt;=Table1[[#This Row],[Low Tol]],Table1[[#This Row],[DUT Adj Read]]&lt;=Table1[[#This Row],[High Tol]]),"Pass","Fail"))</f>
        <v>Fail</v>
      </c>
      <c r="AD2165" s="1" t="str">
        <f>IF(AND(Table1[[#This Row],[Spec Type2]]="N/A",Table1[[#This Row],[DUT Adj Read]]="N/A",Table1[[#This Row],[Std Adj Read]]="N/A"),"N/A",IF(Table1[[#This Row],[DUT Adj Read]]="N/A",IF(Table1[[#This Row],[Std Adj Read]]&gt;Table1[[#This Row],[Low Tol]],"Pass","Fail"),IF(Table1[[#This Row],[DUT Adj Read]]&gt;Table1[[#This Row],[Low Tol]],"Pass","Fail")))</f>
        <v>Pass</v>
      </c>
      <c r="AE2165" s="1" t="str">
        <f>IF(AND(Table1[[#This Row],[Spec Type2]]="N/A",Table1[[#This Row],[DUT Adj Read]]="N/A",Table1[[#This Row],[Std Adj Read]]="N/A"),"N/A",IF(Table1[[#This Row],[DUT Adj Read]]="N/A",IF(Table1[[#This Row],[Std Adj Read]]&lt;Table1[[#This Row],[High Tol]],"Pass","Fail"),IF(Table1[[#This Row],[DUT Adj Read]]&lt;Table1[[#This Row],[High Tol]],"Pass","Fail")))</f>
        <v>Fail</v>
      </c>
      <c r="AF2165" s="1" t="str">
        <f>IF(AND(Table1[[#This Row],[Spec Type2]]="N/A",Table1[[#This Row],[DUT Adj Read]]="N/A",Table1[[#This Row],[Std Adj Read]]="N/A"),"N/A",IF(Table1[[#This Row],[DUT Adj Read]]="N/A",IF(Table1[[#This Row],[Std Adj Read]]&gt;=Table1[[#This Row],[Low Tol]],"Pass","Fail"),IF(Table1[[#This Row],[DUT Adj Read]]&gt;=Table1[[#This Row],[Low Tol]],"Pass","Fail")))</f>
        <v>Pass</v>
      </c>
      <c r="AG2165" s="1" t="str">
        <f>IF(AND(Table1[[#This Row],[Spec Type2]]="N/A",Table1[[#This Row],[DUT Adj Read]]="N/A",Table1[[#This Row],[Std Adj Read]]="N/A"),"N/A",IF(Table1[[#This Row],[DUT Adj Read]]="N/A",IF(Table1[[#This Row],[Std Adj Read]]&lt;=Table1[[#This Row],[High Tol]],"Pass","Fail"),IF(Table1[[#This Row],[DUT Adj Read]]&lt;=Table1[[#This Row],[High Tol]],"Pass","Fail")))</f>
        <v>Fail</v>
      </c>
      <c r="AH21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5" s="1" t="b">
        <v>0</v>
      </c>
      <c r="AN2165" s="1" t="b">
        <v>0</v>
      </c>
      <c r="AO2165" s="1" t="b">
        <v>0</v>
      </c>
    </row>
    <row r="2166" spans="1:41" x14ac:dyDescent="0.25">
      <c r="A2166" s="10"/>
      <c r="B2166" s="10"/>
      <c r="C2166" s="10"/>
      <c r="D2166" s="10"/>
      <c r="E2166" s="10"/>
      <c r="F2166" s="10"/>
      <c r="G2166" s="10"/>
      <c r="H2166" s="10"/>
      <c r="I2166" s="1" t="str">
        <f t="shared" si="99"/>
        <v/>
      </c>
      <c r="J2166" s="1" t="s">
        <v>35</v>
      </c>
      <c r="K2166" s="1" t="str">
        <f t="shared" si="100"/>
        <v/>
      </c>
      <c r="L2166" s="1" t="str">
        <f t="shared" si="101"/>
        <v/>
      </c>
      <c r="M2166" s="1">
        <f>IF(OR(Table1[[#This Row],[Std Nom]]="",Table1[[#This Row],[Std Read]]=""),0,Table1[[#This Row],[Std Nom]]-Table1[[#This Row],[Std Read]])</f>
        <v>0</v>
      </c>
      <c r="N2166" s="1">
        <f>IF(Calculations!$F$5="ACCREDITED 17025 WITH UNCERTAINTIES",$N$10,0)</f>
        <v>0</v>
      </c>
      <c r="O2166" s="1" t="str">
        <f>IFERROR(Table1[[#This Row],[Std Nom]]-(_xlfn.XLOOKUP(Table1[[#This Row],[Manufacturer]]&amp;" "&amp;Table1[[#This Row],[Model]],Table13[MFR &amp; MDL],Table13[Tolerance % CW ],"")/100*Table1[[#This Row],[Std Nom]]),"")</f>
        <v/>
      </c>
      <c r="P2166" s="1" t="str">
        <f>IFERROR(Table1[[#This Row],[Std Nom]]+(_xlfn.XLOOKUP(Table1[[#This Row],[Manufacturer]]&amp;" "&amp;Table1[[#This Row],[Model]],Table13[MFR &amp; MDL],Table13[Tolerance % CW ],"")/100*Table1[[#This Row],[Std Nom]]),"")</f>
        <v/>
      </c>
      <c r="Q2166" s="1" t="e">
        <f>Table1[[#This Row],[High Tol]]-Table1[[#This Row],[Low Tol]]</f>
        <v>#VALUE!</v>
      </c>
      <c r="R2166" s="1">
        <f>2*Table1[[#This Row],[Std Error]]</f>
        <v>0</v>
      </c>
      <c r="S2166" s="1" t="str">
        <f>IF(Table1[[#This Row],[High Tol]]="","N/A",IFERROR(ABS(Table1[[#This Row],[Tol Span]]/Table1[[#This Row],[Error Span]]),"N/A"))</f>
        <v>N/A</v>
      </c>
      <c r="T2166" s="1" t="str">
        <f>IF(OR(Table1[[#This Row],[Low Tol]]="",Table1[[#This Row],[High Tol]]=""),"Needs Analysis",IF(Table1[[#This Row],[Ratio]]&gt;=4,"Not Significant",IF(Table1[[#This Row],[Ratio]]&gt;=2,"Semi-Significant","Significant")))</f>
        <v>Needs Analysis</v>
      </c>
      <c r="W2166" s="1">
        <f>IF(Table1[[#This Row],[Cal Type]]&lt;&gt;"ACCREDITED 17025 WITH UNCERTAINTIES",0,"")</f>
        <v>0</v>
      </c>
      <c r="X2166" s="1" t="str">
        <f>IF(Table1[[#This Row],[DUT Read]]="","N/A",Table1[[#This Row],[Std Error]]+Table1[[#This Row],[DUT Read]]+Table1[[#This Row],[DUT Ucty]])</f>
        <v>N/A</v>
      </c>
      <c r="Y2166" s="1" t="str">
        <f>IF(Table1[[#This Row],[Std Read]]="","N/A",Table1[[#This Row],[Std Read]]+Table1[[#This Row],[Std Ucty]])</f>
        <v>N/A</v>
      </c>
      <c r="Z21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6" s="1" t="str">
        <f>IF(Table1[[#This Row],[Spec Type]]="","N/A",Table1[[#This Row],[Spec Type]])</f>
        <v>±</v>
      </c>
      <c r="AC2166" s="1" t="str">
        <f>IF(Table1[[#This Row],[Spec Type2]]="N/A","N/A",IF(AND(Table1[[#This Row],[DUT Adj Read]]&gt;=Table1[[#This Row],[Low Tol]],Table1[[#This Row],[DUT Adj Read]]&lt;=Table1[[#This Row],[High Tol]]),"Pass","Fail"))</f>
        <v>Fail</v>
      </c>
      <c r="AD2166" s="1" t="str">
        <f>IF(AND(Table1[[#This Row],[Spec Type2]]="N/A",Table1[[#This Row],[DUT Adj Read]]="N/A",Table1[[#This Row],[Std Adj Read]]="N/A"),"N/A",IF(Table1[[#This Row],[DUT Adj Read]]="N/A",IF(Table1[[#This Row],[Std Adj Read]]&gt;Table1[[#This Row],[Low Tol]],"Pass","Fail"),IF(Table1[[#This Row],[DUT Adj Read]]&gt;Table1[[#This Row],[Low Tol]],"Pass","Fail")))</f>
        <v>Pass</v>
      </c>
      <c r="AE2166" s="1" t="str">
        <f>IF(AND(Table1[[#This Row],[Spec Type2]]="N/A",Table1[[#This Row],[DUT Adj Read]]="N/A",Table1[[#This Row],[Std Adj Read]]="N/A"),"N/A",IF(Table1[[#This Row],[DUT Adj Read]]="N/A",IF(Table1[[#This Row],[Std Adj Read]]&lt;Table1[[#This Row],[High Tol]],"Pass","Fail"),IF(Table1[[#This Row],[DUT Adj Read]]&lt;Table1[[#This Row],[High Tol]],"Pass","Fail")))</f>
        <v>Fail</v>
      </c>
      <c r="AF2166" s="1" t="str">
        <f>IF(AND(Table1[[#This Row],[Spec Type2]]="N/A",Table1[[#This Row],[DUT Adj Read]]="N/A",Table1[[#This Row],[Std Adj Read]]="N/A"),"N/A",IF(Table1[[#This Row],[DUT Adj Read]]="N/A",IF(Table1[[#This Row],[Std Adj Read]]&gt;=Table1[[#This Row],[Low Tol]],"Pass","Fail"),IF(Table1[[#This Row],[DUT Adj Read]]&gt;=Table1[[#This Row],[Low Tol]],"Pass","Fail")))</f>
        <v>Pass</v>
      </c>
      <c r="AG2166" s="1" t="str">
        <f>IF(AND(Table1[[#This Row],[Spec Type2]]="N/A",Table1[[#This Row],[DUT Adj Read]]="N/A",Table1[[#This Row],[Std Adj Read]]="N/A"),"N/A",IF(Table1[[#This Row],[DUT Adj Read]]="N/A",IF(Table1[[#This Row],[Std Adj Read]]&lt;=Table1[[#This Row],[High Tol]],"Pass","Fail"),IF(Table1[[#This Row],[DUT Adj Read]]&lt;=Table1[[#This Row],[High Tol]],"Pass","Fail")))</f>
        <v>Fail</v>
      </c>
      <c r="AH21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6" s="1" t="b">
        <v>0</v>
      </c>
      <c r="AN2166" s="1" t="b">
        <v>0</v>
      </c>
      <c r="AO2166" s="1" t="b">
        <v>0</v>
      </c>
    </row>
    <row r="2167" spans="1:41" x14ac:dyDescent="0.25">
      <c r="A2167" s="10"/>
      <c r="B2167" s="10"/>
      <c r="C2167" s="10"/>
      <c r="D2167" s="10"/>
      <c r="E2167" s="10"/>
      <c r="F2167" s="10"/>
      <c r="G2167" s="10"/>
      <c r="H2167" s="10"/>
      <c r="I2167" s="1" t="str">
        <f t="shared" si="99"/>
        <v/>
      </c>
      <c r="J2167" s="1" t="s">
        <v>35</v>
      </c>
      <c r="K2167" s="1" t="str">
        <f t="shared" si="100"/>
        <v/>
      </c>
      <c r="L2167" s="1" t="str">
        <f t="shared" si="101"/>
        <v/>
      </c>
      <c r="M2167" s="1">
        <f>IF(OR(Table1[[#This Row],[Std Nom]]="",Table1[[#This Row],[Std Read]]=""),0,Table1[[#This Row],[Std Nom]]-Table1[[#This Row],[Std Read]])</f>
        <v>0</v>
      </c>
      <c r="N2167" s="1">
        <f>IF(Calculations!$F$5="ACCREDITED 17025 WITH UNCERTAINTIES",$N$10,0)</f>
        <v>0</v>
      </c>
      <c r="O2167" s="1" t="str">
        <f>IFERROR(Table1[[#This Row],[Std Nom]]-(_xlfn.XLOOKUP(Table1[[#This Row],[Manufacturer]]&amp;" "&amp;Table1[[#This Row],[Model]],Table13[MFR &amp; MDL],Table13[Tolerance % CW ],"")/100*Table1[[#This Row],[Std Nom]]),"")</f>
        <v/>
      </c>
      <c r="P2167" s="1" t="str">
        <f>IFERROR(Table1[[#This Row],[Std Nom]]+(_xlfn.XLOOKUP(Table1[[#This Row],[Manufacturer]]&amp;" "&amp;Table1[[#This Row],[Model]],Table13[MFR &amp; MDL],Table13[Tolerance % CW ],"")/100*Table1[[#This Row],[Std Nom]]),"")</f>
        <v/>
      </c>
      <c r="Q2167" s="1" t="e">
        <f>Table1[[#This Row],[High Tol]]-Table1[[#This Row],[Low Tol]]</f>
        <v>#VALUE!</v>
      </c>
      <c r="R2167" s="1">
        <f>2*Table1[[#This Row],[Std Error]]</f>
        <v>0</v>
      </c>
      <c r="S2167" s="1" t="str">
        <f>IF(Table1[[#This Row],[High Tol]]="","N/A",IFERROR(ABS(Table1[[#This Row],[Tol Span]]/Table1[[#This Row],[Error Span]]),"N/A"))</f>
        <v>N/A</v>
      </c>
      <c r="T2167" s="1" t="str">
        <f>IF(OR(Table1[[#This Row],[Low Tol]]="",Table1[[#This Row],[High Tol]]=""),"Needs Analysis",IF(Table1[[#This Row],[Ratio]]&gt;=4,"Not Significant",IF(Table1[[#This Row],[Ratio]]&gt;=2,"Semi-Significant","Significant")))</f>
        <v>Needs Analysis</v>
      </c>
      <c r="W2167" s="1">
        <f>IF(Table1[[#This Row],[Cal Type]]&lt;&gt;"ACCREDITED 17025 WITH UNCERTAINTIES",0,"")</f>
        <v>0</v>
      </c>
      <c r="X2167" s="1" t="str">
        <f>IF(Table1[[#This Row],[DUT Read]]="","N/A",Table1[[#This Row],[Std Error]]+Table1[[#This Row],[DUT Read]]+Table1[[#This Row],[DUT Ucty]])</f>
        <v>N/A</v>
      </c>
      <c r="Y2167" s="1" t="str">
        <f>IF(Table1[[#This Row],[Std Read]]="","N/A",Table1[[#This Row],[Std Read]]+Table1[[#This Row],[Std Ucty]])</f>
        <v>N/A</v>
      </c>
      <c r="Z21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7" s="1" t="str">
        <f>IF(Table1[[#This Row],[Spec Type]]="","N/A",Table1[[#This Row],[Spec Type]])</f>
        <v>±</v>
      </c>
      <c r="AC2167" s="1" t="str">
        <f>IF(Table1[[#This Row],[Spec Type2]]="N/A","N/A",IF(AND(Table1[[#This Row],[DUT Adj Read]]&gt;=Table1[[#This Row],[Low Tol]],Table1[[#This Row],[DUT Adj Read]]&lt;=Table1[[#This Row],[High Tol]]),"Pass","Fail"))</f>
        <v>Fail</v>
      </c>
      <c r="AD2167" s="1" t="str">
        <f>IF(AND(Table1[[#This Row],[Spec Type2]]="N/A",Table1[[#This Row],[DUT Adj Read]]="N/A",Table1[[#This Row],[Std Adj Read]]="N/A"),"N/A",IF(Table1[[#This Row],[DUT Adj Read]]="N/A",IF(Table1[[#This Row],[Std Adj Read]]&gt;Table1[[#This Row],[Low Tol]],"Pass","Fail"),IF(Table1[[#This Row],[DUT Adj Read]]&gt;Table1[[#This Row],[Low Tol]],"Pass","Fail")))</f>
        <v>Pass</v>
      </c>
      <c r="AE2167" s="1" t="str">
        <f>IF(AND(Table1[[#This Row],[Spec Type2]]="N/A",Table1[[#This Row],[DUT Adj Read]]="N/A",Table1[[#This Row],[Std Adj Read]]="N/A"),"N/A",IF(Table1[[#This Row],[DUT Adj Read]]="N/A",IF(Table1[[#This Row],[Std Adj Read]]&lt;Table1[[#This Row],[High Tol]],"Pass","Fail"),IF(Table1[[#This Row],[DUT Adj Read]]&lt;Table1[[#This Row],[High Tol]],"Pass","Fail")))</f>
        <v>Fail</v>
      </c>
      <c r="AF2167" s="1" t="str">
        <f>IF(AND(Table1[[#This Row],[Spec Type2]]="N/A",Table1[[#This Row],[DUT Adj Read]]="N/A",Table1[[#This Row],[Std Adj Read]]="N/A"),"N/A",IF(Table1[[#This Row],[DUT Adj Read]]="N/A",IF(Table1[[#This Row],[Std Adj Read]]&gt;=Table1[[#This Row],[Low Tol]],"Pass","Fail"),IF(Table1[[#This Row],[DUT Adj Read]]&gt;=Table1[[#This Row],[Low Tol]],"Pass","Fail")))</f>
        <v>Pass</v>
      </c>
      <c r="AG2167" s="1" t="str">
        <f>IF(AND(Table1[[#This Row],[Spec Type2]]="N/A",Table1[[#This Row],[DUT Adj Read]]="N/A",Table1[[#This Row],[Std Adj Read]]="N/A"),"N/A",IF(Table1[[#This Row],[DUT Adj Read]]="N/A",IF(Table1[[#This Row],[Std Adj Read]]&lt;=Table1[[#This Row],[High Tol]],"Pass","Fail"),IF(Table1[[#This Row],[DUT Adj Read]]&lt;=Table1[[#This Row],[High Tol]],"Pass","Fail")))</f>
        <v>Fail</v>
      </c>
      <c r="AH21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7" s="1" t="b">
        <v>0</v>
      </c>
      <c r="AN2167" s="1" t="b">
        <v>0</v>
      </c>
      <c r="AO2167" s="1" t="b">
        <v>0</v>
      </c>
    </row>
    <row r="2168" spans="1:41" x14ac:dyDescent="0.25">
      <c r="A2168" s="10"/>
      <c r="B2168" s="10"/>
      <c r="C2168" s="10"/>
      <c r="D2168" s="10"/>
      <c r="E2168" s="10"/>
      <c r="F2168" s="10"/>
      <c r="G2168" s="10"/>
      <c r="H2168" s="10"/>
      <c r="I2168" s="1" t="str">
        <f t="shared" si="99"/>
        <v/>
      </c>
      <c r="J2168" s="1" t="s">
        <v>35</v>
      </c>
      <c r="K2168" s="1" t="str">
        <f t="shared" si="100"/>
        <v/>
      </c>
      <c r="L2168" s="1" t="str">
        <f t="shared" si="101"/>
        <v/>
      </c>
      <c r="M2168" s="1">
        <f>IF(OR(Table1[[#This Row],[Std Nom]]="",Table1[[#This Row],[Std Read]]=""),0,Table1[[#This Row],[Std Nom]]-Table1[[#This Row],[Std Read]])</f>
        <v>0</v>
      </c>
      <c r="N2168" s="1">
        <f>IF(Calculations!$F$5="ACCREDITED 17025 WITH UNCERTAINTIES",$N$10,0)</f>
        <v>0</v>
      </c>
      <c r="O2168" s="1" t="str">
        <f>IFERROR(Table1[[#This Row],[Std Nom]]-(_xlfn.XLOOKUP(Table1[[#This Row],[Manufacturer]]&amp;" "&amp;Table1[[#This Row],[Model]],Table13[MFR &amp; MDL],Table13[Tolerance % CW ],"")/100*Table1[[#This Row],[Std Nom]]),"")</f>
        <v/>
      </c>
      <c r="P2168" s="1" t="str">
        <f>IFERROR(Table1[[#This Row],[Std Nom]]+(_xlfn.XLOOKUP(Table1[[#This Row],[Manufacturer]]&amp;" "&amp;Table1[[#This Row],[Model]],Table13[MFR &amp; MDL],Table13[Tolerance % CW ],"")/100*Table1[[#This Row],[Std Nom]]),"")</f>
        <v/>
      </c>
      <c r="Q2168" s="1" t="e">
        <f>Table1[[#This Row],[High Tol]]-Table1[[#This Row],[Low Tol]]</f>
        <v>#VALUE!</v>
      </c>
      <c r="R2168" s="1">
        <f>2*Table1[[#This Row],[Std Error]]</f>
        <v>0</v>
      </c>
      <c r="S2168" s="1" t="str">
        <f>IF(Table1[[#This Row],[High Tol]]="","N/A",IFERROR(ABS(Table1[[#This Row],[Tol Span]]/Table1[[#This Row],[Error Span]]),"N/A"))</f>
        <v>N/A</v>
      </c>
      <c r="T2168" s="1" t="str">
        <f>IF(OR(Table1[[#This Row],[Low Tol]]="",Table1[[#This Row],[High Tol]]=""),"Needs Analysis",IF(Table1[[#This Row],[Ratio]]&gt;=4,"Not Significant",IF(Table1[[#This Row],[Ratio]]&gt;=2,"Semi-Significant","Significant")))</f>
        <v>Needs Analysis</v>
      </c>
      <c r="W2168" s="1">
        <f>IF(Table1[[#This Row],[Cal Type]]&lt;&gt;"ACCREDITED 17025 WITH UNCERTAINTIES",0,"")</f>
        <v>0</v>
      </c>
      <c r="X2168" s="1" t="str">
        <f>IF(Table1[[#This Row],[DUT Read]]="","N/A",Table1[[#This Row],[Std Error]]+Table1[[#This Row],[DUT Read]]+Table1[[#This Row],[DUT Ucty]])</f>
        <v>N/A</v>
      </c>
      <c r="Y2168" s="1" t="str">
        <f>IF(Table1[[#This Row],[Std Read]]="","N/A",Table1[[#This Row],[Std Read]]+Table1[[#This Row],[Std Ucty]])</f>
        <v>N/A</v>
      </c>
      <c r="Z21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8" s="1" t="str">
        <f>IF(Table1[[#This Row],[Spec Type]]="","N/A",Table1[[#This Row],[Spec Type]])</f>
        <v>±</v>
      </c>
      <c r="AC2168" s="1" t="str">
        <f>IF(Table1[[#This Row],[Spec Type2]]="N/A","N/A",IF(AND(Table1[[#This Row],[DUT Adj Read]]&gt;=Table1[[#This Row],[Low Tol]],Table1[[#This Row],[DUT Adj Read]]&lt;=Table1[[#This Row],[High Tol]]),"Pass","Fail"))</f>
        <v>Fail</v>
      </c>
      <c r="AD2168" s="1" t="str">
        <f>IF(AND(Table1[[#This Row],[Spec Type2]]="N/A",Table1[[#This Row],[DUT Adj Read]]="N/A",Table1[[#This Row],[Std Adj Read]]="N/A"),"N/A",IF(Table1[[#This Row],[DUT Adj Read]]="N/A",IF(Table1[[#This Row],[Std Adj Read]]&gt;Table1[[#This Row],[Low Tol]],"Pass","Fail"),IF(Table1[[#This Row],[DUT Adj Read]]&gt;Table1[[#This Row],[Low Tol]],"Pass","Fail")))</f>
        <v>Pass</v>
      </c>
      <c r="AE2168" s="1" t="str">
        <f>IF(AND(Table1[[#This Row],[Spec Type2]]="N/A",Table1[[#This Row],[DUT Adj Read]]="N/A",Table1[[#This Row],[Std Adj Read]]="N/A"),"N/A",IF(Table1[[#This Row],[DUT Adj Read]]="N/A",IF(Table1[[#This Row],[Std Adj Read]]&lt;Table1[[#This Row],[High Tol]],"Pass","Fail"),IF(Table1[[#This Row],[DUT Adj Read]]&lt;Table1[[#This Row],[High Tol]],"Pass","Fail")))</f>
        <v>Fail</v>
      </c>
      <c r="AF2168" s="1" t="str">
        <f>IF(AND(Table1[[#This Row],[Spec Type2]]="N/A",Table1[[#This Row],[DUT Adj Read]]="N/A",Table1[[#This Row],[Std Adj Read]]="N/A"),"N/A",IF(Table1[[#This Row],[DUT Adj Read]]="N/A",IF(Table1[[#This Row],[Std Adj Read]]&gt;=Table1[[#This Row],[Low Tol]],"Pass","Fail"),IF(Table1[[#This Row],[DUT Adj Read]]&gt;=Table1[[#This Row],[Low Tol]],"Pass","Fail")))</f>
        <v>Pass</v>
      </c>
      <c r="AG2168" s="1" t="str">
        <f>IF(AND(Table1[[#This Row],[Spec Type2]]="N/A",Table1[[#This Row],[DUT Adj Read]]="N/A",Table1[[#This Row],[Std Adj Read]]="N/A"),"N/A",IF(Table1[[#This Row],[DUT Adj Read]]="N/A",IF(Table1[[#This Row],[Std Adj Read]]&lt;=Table1[[#This Row],[High Tol]],"Pass","Fail"),IF(Table1[[#This Row],[DUT Adj Read]]&lt;=Table1[[#This Row],[High Tol]],"Pass","Fail")))</f>
        <v>Fail</v>
      </c>
      <c r="AH21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8" s="1" t="b">
        <v>0</v>
      </c>
      <c r="AN2168" s="1" t="b">
        <v>0</v>
      </c>
      <c r="AO2168" s="1" t="b">
        <v>0</v>
      </c>
    </row>
    <row r="2169" spans="1:41" x14ac:dyDescent="0.25">
      <c r="A2169" s="10"/>
      <c r="B2169" s="10"/>
      <c r="C2169" s="10"/>
      <c r="D2169" s="10"/>
      <c r="E2169" s="10"/>
      <c r="F2169" s="10"/>
      <c r="G2169" s="10"/>
      <c r="H2169" s="10"/>
      <c r="I2169" s="1" t="str">
        <f t="shared" si="99"/>
        <v/>
      </c>
      <c r="J2169" s="1" t="s">
        <v>35</v>
      </c>
      <c r="K2169" s="1" t="str">
        <f t="shared" si="100"/>
        <v/>
      </c>
      <c r="L2169" s="1" t="str">
        <f t="shared" si="101"/>
        <v/>
      </c>
      <c r="M2169" s="1">
        <f>IF(OR(Table1[[#This Row],[Std Nom]]="",Table1[[#This Row],[Std Read]]=""),0,Table1[[#This Row],[Std Nom]]-Table1[[#This Row],[Std Read]])</f>
        <v>0</v>
      </c>
      <c r="N2169" s="1">
        <f>IF(Calculations!$F$5="ACCREDITED 17025 WITH UNCERTAINTIES",$N$10,0)</f>
        <v>0</v>
      </c>
      <c r="O2169" s="1" t="str">
        <f>IFERROR(Table1[[#This Row],[Std Nom]]-(_xlfn.XLOOKUP(Table1[[#This Row],[Manufacturer]]&amp;" "&amp;Table1[[#This Row],[Model]],Table13[MFR &amp; MDL],Table13[Tolerance % CW ],"")/100*Table1[[#This Row],[Std Nom]]),"")</f>
        <v/>
      </c>
      <c r="P2169" s="1" t="str">
        <f>IFERROR(Table1[[#This Row],[Std Nom]]+(_xlfn.XLOOKUP(Table1[[#This Row],[Manufacturer]]&amp;" "&amp;Table1[[#This Row],[Model]],Table13[MFR &amp; MDL],Table13[Tolerance % CW ],"")/100*Table1[[#This Row],[Std Nom]]),"")</f>
        <v/>
      </c>
      <c r="Q2169" s="1" t="e">
        <f>Table1[[#This Row],[High Tol]]-Table1[[#This Row],[Low Tol]]</f>
        <v>#VALUE!</v>
      </c>
      <c r="R2169" s="1">
        <f>2*Table1[[#This Row],[Std Error]]</f>
        <v>0</v>
      </c>
      <c r="S2169" s="1" t="str">
        <f>IF(Table1[[#This Row],[High Tol]]="","N/A",IFERROR(ABS(Table1[[#This Row],[Tol Span]]/Table1[[#This Row],[Error Span]]),"N/A"))</f>
        <v>N/A</v>
      </c>
      <c r="T2169" s="1" t="str">
        <f>IF(OR(Table1[[#This Row],[Low Tol]]="",Table1[[#This Row],[High Tol]]=""),"Needs Analysis",IF(Table1[[#This Row],[Ratio]]&gt;=4,"Not Significant",IF(Table1[[#This Row],[Ratio]]&gt;=2,"Semi-Significant","Significant")))</f>
        <v>Needs Analysis</v>
      </c>
      <c r="W2169" s="1">
        <f>IF(Table1[[#This Row],[Cal Type]]&lt;&gt;"ACCREDITED 17025 WITH UNCERTAINTIES",0,"")</f>
        <v>0</v>
      </c>
      <c r="X2169" s="1" t="str">
        <f>IF(Table1[[#This Row],[DUT Read]]="","N/A",Table1[[#This Row],[Std Error]]+Table1[[#This Row],[DUT Read]]+Table1[[#This Row],[DUT Ucty]])</f>
        <v>N/A</v>
      </c>
      <c r="Y2169" s="1" t="str">
        <f>IF(Table1[[#This Row],[Std Read]]="","N/A",Table1[[#This Row],[Std Read]]+Table1[[#This Row],[Std Ucty]])</f>
        <v>N/A</v>
      </c>
      <c r="Z21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9" s="1" t="str">
        <f>IF(Table1[[#This Row],[Spec Type]]="","N/A",Table1[[#This Row],[Spec Type]])</f>
        <v>±</v>
      </c>
      <c r="AC2169" s="1" t="str">
        <f>IF(Table1[[#This Row],[Spec Type2]]="N/A","N/A",IF(AND(Table1[[#This Row],[DUT Adj Read]]&gt;=Table1[[#This Row],[Low Tol]],Table1[[#This Row],[DUT Adj Read]]&lt;=Table1[[#This Row],[High Tol]]),"Pass","Fail"))</f>
        <v>Fail</v>
      </c>
      <c r="AD2169" s="1" t="str">
        <f>IF(AND(Table1[[#This Row],[Spec Type2]]="N/A",Table1[[#This Row],[DUT Adj Read]]="N/A",Table1[[#This Row],[Std Adj Read]]="N/A"),"N/A",IF(Table1[[#This Row],[DUT Adj Read]]="N/A",IF(Table1[[#This Row],[Std Adj Read]]&gt;Table1[[#This Row],[Low Tol]],"Pass","Fail"),IF(Table1[[#This Row],[DUT Adj Read]]&gt;Table1[[#This Row],[Low Tol]],"Pass","Fail")))</f>
        <v>Pass</v>
      </c>
      <c r="AE2169" s="1" t="str">
        <f>IF(AND(Table1[[#This Row],[Spec Type2]]="N/A",Table1[[#This Row],[DUT Adj Read]]="N/A",Table1[[#This Row],[Std Adj Read]]="N/A"),"N/A",IF(Table1[[#This Row],[DUT Adj Read]]="N/A",IF(Table1[[#This Row],[Std Adj Read]]&lt;Table1[[#This Row],[High Tol]],"Pass","Fail"),IF(Table1[[#This Row],[DUT Adj Read]]&lt;Table1[[#This Row],[High Tol]],"Pass","Fail")))</f>
        <v>Fail</v>
      </c>
      <c r="AF2169" s="1" t="str">
        <f>IF(AND(Table1[[#This Row],[Spec Type2]]="N/A",Table1[[#This Row],[DUT Adj Read]]="N/A",Table1[[#This Row],[Std Adj Read]]="N/A"),"N/A",IF(Table1[[#This Row],[DUT Adj Read]]="N/A",IF(Table1[[#This Row],[Std Adj Read]]&gt;=Table1[[#This Row],[Low Tol]],"Pass","Fail"),IF(Table1[[#This Row],[DUT Adj Read]]&gt;=Table1[[#This Row],[Low Tol]],"Pass","Fail")))</f>
        <v>Pass</v>
      </c>
      <c r="AG2169" s="1" t="str">
        <f>IF(AND(Table1[[#This Row],[Spec Type2]]="N/A",Table1[[#This Row],[DUT Adj Read]]="N/A",Table1[[#This Row],[Std Adj Read]]="N/A"),"N/A",IF(Table1[[#This Row],[DUT Adj Read]]="N/A",IF(Table1[[#This Row],[Std Adj Read]]&lt;=Table1[[#This Row],[High Tol]],"Pass","Fail"),IF(Table1[[#This Row],[DUT Adj Read]]&lt;=Table1[[#This Row],[High Tol]],"Pass","Fail")))</f>
        <v>Fail</v>
      </c>
      <c r="AH21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9" s="1" t="b">
        <v>0</v>
      </c>
      <c r="AN2169" s="1" t="b">
        <v>0</v>
      </c>
      <c r="AO2169" s="1" t="b">
        <v>0</v>
      </c>
    </row>
    <row r="2170" spans="1:41" x14ac:dyDescent="0.25">
      <c r="A2170" s="10"/>
      <c r="B2170" s="10"/>
      <c r="C2170" s="10"/>
      <c r="D2170" s="10"/>
      <c r="E2170" s="10"/>
      <c r="F2170" s="10"/>
      <c r="G2170" s="10"/>
      <c r="H2170" s="10"/>
      <c r="I2170" s="1" t="str">
        <f t="shared" si="99"/>
        <v/>
      </c>
      <c r="J2170" s="1" t="s">
        <v>35</v>
      </c>
      <c r="K2170" s="1" t="str">
        <f t="shared" si="100"/>
        <v/>
      </c>
      <c r="L2170" s="1" t="str">
        <f t="shared" si="101"/>
        <v/>
      </c>
      <c r="M2170" s="1">
        <f>IF(OR(Table1[[#This Row],[Std Nom]]="",Table1[[#This Row],[Std Read]]=""),0,Table1[[#This Row],[Std Nom]]-Table1[[#This Row],[Std Read]])</f>
        <v>0</v>
      </c>
      <c r="N2170" s="1">
        <f>IF(Calculations!$F$5="ACCREDITED 17025 WITH UNCERTAINTIES",$N$10,0)</f>
        <v>0</v>
      </c>
      <c r="O2170" s="1" t="str">
        <f>IFERROR(Table1[[#This Row],[Std Nom]]-(_xlfn.XLOOKUP(Table1[[#This Row],[Manufacturer]]&amp;" "&amp;Table1[[#This Row],[Model]],Table13[MFR &amp; MDL],Table13[Tolerance % CW ],"")/100*Table1[[#This Row],[Std Nom]]),"")</f>
        <v/>
      </c>
      <c r="P2170" s="1" t="str">
        <f>IFERROR(Table1[[#This Row],[Std Nom]]+(_xlfn.XLOOKUP(Table1[[#This Row],[Manufacturer]]&amp;" "&amp;Table1[[#This Row],[Model]],Table13[MFR &amp; MDL],Table13[Tolerance % CW ],"")/100*Table1[[#This Row],[Std Nom]]),"")</f>
        <v/>
      </c>
      <c r="Q2170" s="1" t="e">
        <f>Table1[[#This Row],[High Tol]]-Table1[[#This Row],[Low Tol]]</f>
        <v>#VALUE!</v>
      </c>
      <c r="R2170" s="1">
        <f>2*Table1[[#This Row],[Std Error]]</f>
        <v>0</v>
      </c>
      <c r="S2170" s="1" t="str">
        <f>IF(Table1[[#This Row],[High Tol]]="","N/A",IFERROR(ABS(Table1[[#This Row],[Tol Span]]/Table1[[#This Row],[Error Span]]),"N/A"))</f>
        <v>N/A</v>
      </c>
      <c r="T2170" s="1" t="str">
        <f>IF(OR(Table1[[#This Row],[Low Tol]]="",Table1[[#This Row],[High Tol]]=""),"Needs Analysis",IF(Table1[[#This Row],[Ratio]]&gt;=4,"Not Significant",IF(Table1[[#This Row],[Ratio]]&gt;=2,"Semi-Significant","Significant")))</f>
        <v>Needs Analysis</v>
      </c>
      <c r="W2170" s="1">
        <f>IF(Table1[[#This Row],[Cal Type]]&lt;&gt;"ACCREDITED 17025 WITH UNCERTAINTIES",0,"")</f>
        <v>0</v>
      </c>
      <c r="X2170" s="1" t="str">
        <f>IF(Table1[[#This Row],[DUT Read]]="","N/A",Table1[[#This Row],[Std Error]]+Table1[[#This Row],[DUT Read]]+Table1[[#This Row],[DUT Ucty]])</f>
        <v>N/A</v>
      </c>
      <c r="Y2170" s="1" t="str">
        <f>IF(Table1[[#This Row],[Std Read]]="","N/A",Table1[[#This Row],[Std Read]]+Table1[[#This Row],[Std Ucty]])</f>
        <v>N/A</v>
      </c>
      <c r="Z21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0" s="1" t="str">
        <f>IF(Table1[[#This Row],[Spec Type]]="","N/A",Table1[[#This Row],[Spec Type]])</f>
        <v>±</v>
      </c>
      <c r="AC2170" s="1" t="str">
        <f>IF(Table1[[#This Row],[Spec Type2]]="N/A","N/A",IF(AND(Table1[[#This Row],[DUT Adj Read]]&gt;=Table1[[#This Row],[Low Tol]],Table1[[#This Row],[DUT Adj Read]]&lt;=Table1[[#This Row],[High Tol]]),"Pass","Fail"))</f>
        <v>Fail</v>
      </c>
      <c r="AD2170" s="1" t="str">
        <f>IF(AND(Table1[[#This Row],[Spec Type2]]="N/A",Table1[[#This Row],[DUT Adj Read]]="N/A",Table1[[#This Row],[Std Adj Read]]="N/A"),"N/A",IF(Table1[[#This Row],[DUT Adj Read]]="N/A",IF(Table1[[#This Row],[Std Adj Read]]&gt;Table1[[#This Row],[Low Tol]],"Pass","Fail"),IF(Table1[[#This Row],[DUT Adj Read]]&gt;Table1[[#This Row],[Low Tol]],"Pass","Fail")))</f>
        <v>Pass</v>
      </c>
      <c r="AE2170" s="1" t="str">
        <f>IF(AND(Table1[[#This Row],[Spec Type2]]="N/A",Table1[[#This Row],[DUT Adj Read]]="N/A",Table1[[#This Row],[Std Adj Read]]="N/A"),"N/A",IF(Table1[[#This Row],[DUT Adj Read]]="N/A",IF(Table1[[#This Row],[Std Adj Read]]&lt;Table1[[#This Row],[High Tol]],"Pass","Fail"),IF(Table1[[#This Row],[DUT Adj Read]]&lt;Table1[[#This Row],[High Tol]],"Pass","Fail")))</f>
        <v>Fail</v>
      </c>
      <c r="AF2170" s="1" t="str">
        <f>IF(AND(Table1[[#This Row],[Spec Type2]]="N/A",Table1[[#This Row],[DUT Adj Read]]="N/A",Table1[[#This Row],[Std Adj Read]]="N/A"),"N/A",IF(Table1[[#This Row],[DUT Adj Read]]="N/A",IF(Table1[[#This Row],[Std Adj Read]]&gt;=Table1[[#This Row],[Low Tol]],"Pass","Fail"),IF(Table1[[#This Row],[DUT Adj Read]]&gt;=Table1[[#This Row],[Low Tol]],"Pass","Fail")))</f>
        <v>Pass</v>
      </c>
      <c r="AG2170" s="1" t="str">
        <f>IF(AND(Table1[[#This Row],[Spec Type2]]="N/A",Table1[[#This Row],[DUT Adj Read]]="N/A",Table1[[#This Row],[Std Adj Read]]="N/A"),"N/A",IF(Table1[[#This Row],[DUT Adj Read]]="N/A",IF(Table1[[#This Row],[Std Adj Read]]&lt;=Table1[[#This Row],[High Tol]],"Pass","Fail"),IF(Table1[[#This Row],[DUT Adj Read]]&lt;=Table1[[#This Row],[High Tol]],"Pass","Fail")))</f>
        <v>Fail</v>
      </c>
      <c r="AH21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0" s="1" t="b">
        <v>0</v>
      </c>
      <c r="AN2170" s="1" t="b">
        <v>0</v>
      </c>
      <c r="AO2170" s="1" t="b">
        <v>0</v>
      </c>
    </row>
    <row r="2171" spans="1:41" x14ac:dyDescent="0.25">
      <c r="A2171" s="10"/>
      <c r="B2171" s="10"/>
      <c r="C2171" s="10"/>
      <c r="D2171" s="10"/>
      <c r="E2171" s="10"/>
      <c r="F2171" s="10"/>
      <c r="G2171" s="10"/>
      <c r="H2171" s="10"/>
      <c r="I2171" s="1" t="str">
        <f t="shared" si="99"/>
        <v/>
      </c>
      <c r="J2171" s="1" t="s">
        <v>35</v>
      </c>
      <c r="K2171" s="1" t="str">
        <f t="shared" si="100"/>
        <v/>
      </c>
      <c r="L2171" s="1" t="str">
        <f t="shared" si="101"/>
        <v/>
      </c>
      <c r="M2171" s="1">
        <f>IF(OR(Table1[[#This Row],[Std Nom]]="",Table1[[#This Row],[Std Read]]=""),0,Table1[[#This Row],[Std Nom]]-Table1[[#This Row],[Std Read]])</f>
        <v>0</v>
      </c>
      <c r="N2171" s="1">
        <f>IF(Calculations!$F$5="ACCREDITED 17025 WITH UNCERTAINTIES",$N$10,0)</f>
        <v>0</v>
      </c>
      <c r="O2171" s="1" t="str">
        <f>IFERROR(Table1[[#This Row],[Std Nom]]-(_xlfn.XLOOKUP(Table1[[#This Row],[Manufacturer]]&amp;" "&amp;Table1[[#This Row],[Model]],Table13[MFR &amp; MDL],Table13[Tolerance % CW ],"")/100*Table1[[#This Row],[Std Nom]]),"")</f>
        <v/>
      </c>
      <c r="P2171" s="1" t="str">
        <f>IFERROR(Table1[[#This Row],[Std Nom]]+(_xlfn.XLOOKUP(Table1[[#This Row],[Manufacturer]]&amp;" "&amp;Table1[[#This Row],[Model]],Table13[MFR &amp; MDL],Table13[Tolerance % CW ],"")/100*Table1[[#This Row],[Std Nom]]),"")</f>
        <v/>
      </c>
      <c r="Q2171" s="1" t="e">
        <f>Table1[[#This Row],[High Tol]]-Table1[[#This Row],[Low Tol]]</f>
        <v>#VALUE!</v>
      </c>
      <c r="R2171" s="1">
        <f>2*Table1[[#This Row],[Std Error]]</f>
        <v>0</v>
      </c>
      <c r="S2171" s="1" t="str">
        <f>IF(Table1[[#This Row],[High Tol]]="","N/A",IFERROR(ABS(Table1[[#This Row],[Tol Span]]/Table1[[#This Row],[Error Span]]),"N/A"))</f>
        <v>N/A</v>
      </c>
      <c r="T2171" s="1" t="str">
        <f>IF(OR(Table1[[#This Row],[Low Tol]]="",Table1[[#This Row],[High Tol]]=""),"Needs Analysis",IF(Table1[[#This Row],[Ratio]]&gt;=4,"Not Significant",IF(Table1[[#This Row],[Ratio]]&gt;=2,"Semi-Significant","Significant")))</f>
        <v>Needs Analysis</v>
      </c>
      <c r="W2171" s="1">
        <f>IF(Table1[[#This Row],[Cal Type]]&lt;&gt;"ACCREDITED 17025 WITH UNCERTAINTIES",0,"")</f>
        <v>0</v>
      </c>
      <c r="X2171" s="1" t="str">
        <f>IF(Table1[[#This Row],[DUT Read]]="","N/A",Table1[[#This Row],[Std Error]]+Table1[[#This Row],[DUT Read]]+Table1[[#This Row],[DUT Ucty]])</f>
        <v>N/A</v>
      </c>
      <c r="Y2171" s="1" t="str">
        <f>IF(Table1[[#This Row],[Std Read]]="","N/A",Table1[[#This Row],[Std Read]]+Table1[[#This Row],[Std Ucty]])</f>
        <v>N/A</v>
      </c>
      <c r="Z21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1" s="1" t="str">
        <f>IF(Table1[[#This Row],[Spec Type]]="","N/A",Table1[[#This Row],[Spec Type]])</f>
        <v>±</v>
      </c>
      <c r="AC2171" s="1" t="str">
        <f>IF(Table1[[#This Row],[Spec Type2]]="N/A","N/A",IF(AND(Table1[[#This Row],[DUT Adj Read]]&gt;=Table1[[#This Row],[Low Tol]],Table1[[#This Row],[DUT Adj Read]]&lt;=Table1[[#This Row],[High Tol]]),"Pass","Fail"))</f>
        <v>Fail</v>
      </c>
      <c r="AD2171" s="1" t="str">
        <f>IF(AND(Table1[[#This Row],[Spec Type2]]="N/A",Table1[[#This Row],[DUT Adj Read]]="N/A",Table1[[#This Row],[Std Adj Read]]="N/A"),"N/A",IF(Table1[[#This Row],[DUT Adj Read]]="N/A",IF(Table1[[#This Row],[Std Adj Read]]&gt;Table1[[#This Row],[Low Tol]],"Pass","Fail"),IF(Table1[[#This Row],[DUT Adj Read]]&gt;Table1[[#This Row],[Low Tol]],"Pass","Fail")))</f>
        <v>Pass</v>
      </c>
      <c r="AE2171" s="1" t="str">
        <f>IF(AND(Table1[[#This Row],[Spec Type2]]="N/A",Table1[[#This Row],[DUT Adj Read]]="N/A",Table1[[#This Row],[Std Adj Read]]="N/A"),"N/A",IF(Table1[[#This Row],[DUT Adj Read]]="N/A",IF(Table1[[#This Row],[Std Adj Read]]&lt;Table1[[#This Row],[High Tol]],"Pass","Fail"),IF(Table1[[#This Row],[DUT Adj Read]]&lt;Table1[[#This Row],[High Tol]],"Pass","Fail")))</f>
        <v>Fail</v>
      </c>
      <c r="AF2171" s="1" t="str">
        <f>IF(AND(Table1[[#This Row],[Spec Type2]]="N/A",Table1[[#This Row],[DUT Adj Read]]="N/A",Table1[[#This Row],[Std Adj Read]]="N/A"),"N/A",IF(Table1[[#This Row],[DUT Adj Read]]="N/A",IF(Table1[[#This Row],[Std Adj Read]]&gt;=Table1[[#This Row],[Low Tol]],"Pass","Fail"),IF(Table1[[#This Row],[DUT Adj Read]]&gt;=Table1[[#This Row],[Low Tol]],"Pass","Fail")))</f>
        <v>Pass</v>
      </c>
      <c r="AG2171" s="1" t="str">
        <f>IF(AND(Table1[[#This Row],[Spec Type2]]="N/A",Table1[[#This Row],[DUT Adj Read]]="N/A",Table1[[#This Row],[Std Adj Read]]="N/A"),"N/A",IF(Table1[[#This Row],[DUT Adj Read]]="N/A",IF(Table1[[#This Row],[Std Adj Read]]&lt;=Table1[[#This Row],[High Tol]],"Pass","Fail"),IF(Table1[[#This Row],[DUT Adj Read]]&lt;=Table1[[#This Row],[High Tol]],"Pass","Fail")))</f>
        <v>Fail</v>
      </c>
      <c r="AH21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1" s="1" t="b">
        <v>0</v>
      </c>
      <c r="AN2171" s="1" t="b">
        <v>0</v>
      </c>
      <c r="AO2171" s="1" t="b">
        <v>0</v>
      </c>
    </row>
    <row r="2172" spans="1:41" x14ac:dyDescent="0.25">
      <c r="A2172" s="10"/>
      <c r="B2172" s="10"/>
      <c r="C2172" s="10"/>
      <c r="D2172" s="10"/>
      <c r="E2172" s="10"/>
      <c r="F2172" s="10"/>
      <c r="G2172" s="10"/>
      <c r="H2172" s="10"/>
      <c r="I2172" s="1" t="str">
        <f t="shared" si="99"/>
        <v/>
      </c>
      <c r="J2172" s="1" t="s">
        <v>35</v>
      </c>
      <c r="K2172" s="1" t="str">
        <f t="shared" si="100"/>
        <v/>
      </c>
      <c r="L2172" s="1" t="str">
        <f t="shared" si="101"/>
        <v/>
      </c>
      <c r="M2172" s="1">
        <f>IF(OR(Table1[[#This Row],[Std Nom]]="",Table1[[#This Row],[Std Read]]=""),0,Table1[[#This Row],[Std Nom]]-Table1[[#This Row],[Std Read]])</f>
        <v>0</v>
      </c>
      <c r="N2172" s="1">
        <f>IF(Calculations!$F$5="ACCREDITED 17025 WITH UNCERTAINTIES",$N$10,0)</f>
        <v>0</v>
      </c>
      <c r="O2172" s="1" t="str">
        <f>IFERROR(Table1[[#This Row],[Std Nom]]-(_xlfn.XLOOKUP(Table1[[#This Row],[Manufacturer]]&amp;" "&amp;Table1[[#This Row],[Model]],Table13[MFR &amp; MDL],Table13[Tolerance % CW ],"")/100*Table1[[#This Row],[Std Nom]]),"")</f>
        <v/>
      </c>
      <c r="P2172" s="1" t="str">
        <f>IFERROR(Table1[[#This Row],[Std Nom]]+(_xlfn.XLOOKUP(Table1[[#This Row],[Manufacturer]]&amp;" "&amp;Table1[[#This Row],[Model]],Table13[MFR &amp; MDL],Table13[Tolerance % CW ],"")/100*Table1[[#This Row],[Std Nom]]),"")</f>
        <v/>
      </c>
      <c r="Q2172" s="1" t="e">
        <f>Table1[[#This Row],[High Tol]]-Table1[[#This Row],[Low Tol]]</f>
        <v>#VALUE!</v>
      </c>
      <c r="R2172" s="1">
        <f>2*Table1[[#This Row],[Std Error]]</f>
        <v>0</v>
      </c>
      <c r="S2172" s="1" t="str">
        <f>IF(Table1[[#This Row],[High Tol]]="","N/A",IFERROR(ABS(Table1[[#This Row],[Tol Span]]/Table1[[#This Row],[Error Span]]),"N/A"))</f>
        <v>N/A</v>
      </c>
      <c r="T2172" s="1" t="str">
        <f>IF(OR(Table1[[#This Row],[Low Tol]]="",Table1[[#This Row],[High Tol]]=""),"Needs Analysis",IF(Table1[[#This Row],[Ratio]]&gt;=4,"Not Significant",IF(Table1[[#This Row],[Ratio]]&gt;=2,"Semi-Significant","Significant")))</f>
        <v>Needs Analysis</v>
      </c>
      <c r="W2172" s="1">
        <f>IF(Table1[[#This Row],[Cal Type]]&lt;&gt;"ACCREDITED 17025 WITH UNCERTAINTIES",0,"")</f>
        <v>0</v>
      </c>
      <c r="X2172" s="1" t="str">
        <f>IF(Table1[[#This Row],[DUT Read]]="","N/A",Table1[[#This Row],[Std Error]]+Table1[[#This Row],[DUT Read]]+Table1[[#This Row],[DUT Ucty]])</f>
        <v>N/A</v>
      </c>
      <c r="Y2172" s="1" t="str">
        <f>IF(Table1[[#This Row],[Std Read]]="","N/A",Table1[[#This Row],[Std Read]]+Table1[[#This Row],[Std Ucty]])</f>
        <v>N/A</v>
      </c>
      <c r="Z21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2" s="1" t="str">
        <f>IF(Table1[[#This Row],[Spec Type]]="","N/A",Table1[[#This Row],[Spec Type]])</f>
        <v>±</v>
      </c>
      <c r="AC2172" s="1" t="str">
        <f>IF(Table1[[#This Row],[Spec Type2]]="N/A","N/A",IF(AND(Table1[[#This Row],[DUT Adj Read]]&gt;=Table1[[#This Row],[Low Tol]],Table1[[#This Row],[DUT Adj Read]]&lt;=Table1[[#This Row],[High Tol]]),"Pass","Fail"))</f>
        <v>Fail</v>
      </c>
      <c r="AD2172" s="1" t="str">
        <f>IF(AND(Table1[[#This Row],[Spec Type2]]="N/A",Table1[[#This Row],[DUT Adj Read]]="N/A",Table1[[#This Row],[Std Adj Read]]="N/A"),"N/A",IF(Table1[[#This Row],[DUT Adj Read]]="N/A",IF(Table1[[#This Row],[Std Adj Read]]&gt;Table1[[#This Row],[Low Tol]],"Pass","Fail"),IF(Table1[[#This Row],[DUT Adj Read]]&gt;Table1[[#This Row],[Low Tol]],"Pass","Fail")))</f>
        <v>Pass</v>
      </c>
      <c r="AE2172" s="1" t="str">
        <f>IF(AND(Table1[[#This Row],[Spec Type2]]="N/A",Table1[[#This Row],[DUT Adj Read]]="N/A",Table1[[#This Row],[Std Adj Read]]="N/A"),"N/A",IF(Table1[[#This Row],[DUT Adj Read]]="N/A",IF(Table1[[#This Row],[Std Adj Read]]&lt;Table1[[#This Row],[High Tol]],"Pass","Fail"),IF(Table1[[#This Row],[DUT Adj Read]]&lt;Table1[[#This Row],[High Tol]],"Pass","Fail")))</f>
        <v>Fail</v>
      </c>
      <c r="AF2172" s="1" t="str">
        <f>IF(AND(Table1[[#This Row],[Spec Type2]]="N/A",Table1[[#This Row],[DUT Adj Read]]="N/A",Table1[[#This Row],[Std Adj Read]]="N/A"),"N/A",IF(Table1[[#This Row],[DUT Adj Read]]="N/A",IF(Table1[[#This Row],[Std Adj Read]]&gt;=Table1[[#This Row],[Low Tol]],"Pass","Fail"),IF(Table1[[#This Row],[DUT Adj Read]]&gt;=Table1[[#This Row],[Low Tol]],"Pass","Fail")))</f>
        <v>Pass</v>
      </c>
      <c r="AG2172" s="1" t="str">
        <f>IF(AND(Table1[[#This Row],[Spec Type2]]="N/A",Table1[[#This Row],[DUT Adj Read]]="N/A",Table1[[#This Row],[Std Adj Read]]="N/A"),"N/A",IF(Table1[[#This Row],[DUT Adj Read]]="N/A",IF(Table1[[#This Row],[Std Adj Read]]&lt;=Table1[[#This Row],[High Tol]],"Pass","Fail"),IF(Table1[[#This Row],[DUT Adj Read]]&lt;=Table1[[#This Row],[High Tol]],"Pass","Fail")))</f>
        <v>Fail</v>
      </c>
      <c r="AH21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2" s="1" t="b">
        <v>0</v>
      </c>
      <c r="AN2172" s="1" t="b">
        <v>0</v>
      </c>
      <c r="AO2172" s="1" t="b">
        <v>0</v>
      </c>
    </row>
    <row r="2173" spans="1:41" x14ac:dyDescent="0.25">
      <c r="A2173" s="10"/>
      <c r="B2173" s="10"/>
      <c r="C2173" s="10"/>
      <c r="D2173" s="10"/>
      <c r="E2173" s="10"/>
      <c r="F2173" s="10"/>
      <c r="G2173" s="10"/>
      <c r="H2173" s="10"/>
      <c r="I2173" s="1" t="str">
        <f t="shared" si="99"/>
        <v/>
      </c>
      <c r="J2173" s="1" t="s">
        <v>35</v>
      </c>
      <c r="K2173" s="1" t="str">
        <f t="shared" si="100"/>
        <v/>
      </c>
      <c r="L2173" s="1" t="str">
        <f t="shared" si="101"/>
        <v/>
      </c>
      <c r="M2173" s="1">
        <f>IF(OR(Table1[[#This Row],[Std Nom]]="",Table1[[#This Row],[Std Read]]=""),0,Table1[[#This Row],[Std Nom]]-Table1[[#This Row],[Std Read]])</f>
        <v>0</v>
      </c>
      <c r="N2173" s="1">
        <f>IF(Calculations!$F$5="ACCREDITED 17025 WITH UNCERTAINTIES",$N$10,0)</f>
        <v>0</v>
      </c>
      <c r="O2173" s="1" t="str">
        <f>IFERROR(Table1[[#This Row],[Std Nom]]-(_xlfn.XLOOKUP(Table1[[#This Row],[Manufacturer]]&amp;" "&amp;Table1[[#This Row],[Model]],Table13[MFR &amp; MDL],Table13[Tolerance % CW ],"")/100*Table1[[#This Row],[Std Nom]]),"")</f>
        <v/>
      </c>
      <c r="P2173" s="1" t="str">
        <f>IFERROR(Table1[[#This Row],[Std Nom]]+(_xlfn.XLOOKUP(Table1[[#This Row],[Manufacturer]]&amp;" "&amp;Table1[[#This Row],[Model]],Table13[MFR &amp; MDL],Table13[Tolerance % CW ],"")/100*Table1[[#This Row],[Std Nom]]),"")</f>
        <v/>
      </c>
      <c r="Q2173" s="1" t="e">
        <f>Table1[[#This Row],[High Tol]]-Table1[[#This Row],[Low Tol]]</f>
        <v>#VALUE!</v>
      </c>
      <c r="R2173" s="1">
        <f>2*Table1[[#This Row],[Std Error]]</f>
        <v>0</v>
      </c>
      <c r="S2173" s="1" t="str">
        <f>IF(Table1[[#This Row],[High Tol]]="","N/A",IFERROR(ABS(Table1[[#This Row],[Tol Span]]/Table1[[#This Row],[Error Span]]),"N/A"))</f>
        <v>N/A</v>
      </c>
      <c r="T2173" s="1" t="str">
        <f>IF(OR(Table1[[#This Row],[Low Tol]]="",Table1[[#This Row],[High Tol]]=""),"Needs Analysis",IF(Table1[[#This Row],[Ratio]]&gt;=4,"Not Significant",IF(Table1[[#This Row],[Ratio]]&gt;=2,"Semi-Significant","Significant")))</f>
        <v>Needs Analysis</v>
      </c>
      <c r="W2173" s="1">
        <f>IF(Table1[[#This Row],[Cal Type]]&lt;&gt;"ACCREDITED 17025 WITH UNCERTAINTIES",0,"")</f>
        <v>0</v>
      </c>
      <c r="X2173" s="1" t="str">
        <f>IF(Table1[[#This Row],[DUT Read]]="","N/A",Table1[[#This Row],[Std Error]]+Table1[[#This Row],[DUT Read]]+Table1[[#This Row],[DUT Ucty]])</f>
        <v>N/A</v>
      </c>
      <c r="Y2173" s="1" t="str">
        <f>IF(Table1[[#This Row],[Std Read]]="","N/A",Table1[[#This Row],[Std Read]]+Table1[[#This Row],[Std Ucty]])</f>
        <v>N/A</v>
      </c>
      <c r="Z21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3" s="1" t="str">
        <f>IF(Table1[[#This Row],[Spec Type]]="","N/A",Table1[[#This Row],[Spec Type]])</f>
        <v>±</v>
      </c>
      <c r="AC2173" s="1" t="str">
        <f>IF(Table1[[#This Row],[Spec Type2]]="N/A","N/A",IF(AND(Table1[[#This Row],[DUT Adj Read]]&gt;=Table1[[#This Row],[Low Tol]],Table1[[#This Row],[DUT Adj Read]]&lt;=Table1[[#This Row],[High Tol]]),"Pass","Fail"))</f>
        <v>Fail</v>
      </c>
      <c r="AD2173" s="1" t="str">
        <f>IF(AND(Table1[[#This Row],[Spec Type2]]="N/A",Table1[[#This Row],[DUT Adj Read]]="N/A",Table1[[#This Row],[Std Adj Read]]="N/A"),"N/A",IF(Table1[[#This Row],[DUT Adj Read]]="N/A",IF(Table1[[#This Row],[Std Adj Read]]&gt;Table1[[#This Row],[Low Tol]],"Pass","Fail"),IF(Table1[[#This Row],[DUT Adj Read]]&gt;Table1[[#This Row],[Low Tol]],"Pass","Fail")))</f>
        <v>Pass</v>
      </c>
      <c r="AE2173" s="1" t="str">
        <f>IF(AND(Table1[[#This Row],[Spec Type2]]="N/A",Table1[[#This Row],[DUT Adj Read]]="N/A",Table1[[#This Row],[Std Adj Read]]="N/A"),"N/A",IF(Table1[[#This Row],[DUT Adj Read]]="N/A",IF(Table1[[#This Row],[Std Adj Read]]&lt;Table1[[#This Row],[High Tol]],"Pass","Fail"),IF(Table1[[#This Row],[DUT Adj Read]]&lt;Table1[[#This Row],[High Tol]],"Pass","Fail")))</f>
        <v>Fail</v>
      </c>
      <c r="AF2173" s="1" t="str">
        <f>IF(AND(Table1[[#This Row],[Spec Type2]]="N/A",Table1[[#This Row],[DUT Adj Read]]="N/A",Table1[[#This Row],[Std Adj Read]]="N/A"),"N/A",IF(Table1[[#This Row],[DUT Adj Read]]="N/A",IF(Table1[[#This Row],[Std Adj Read]]&gt;=Table1[[#This Row],[Low Tol]],"Pass","Fail"),IF(Table1[[#This Row],[DUT Adj Read]]&gt;=Table1[[#This Row],[Low Tol]],"Pass","Fail")))</f>
        <v>Pass</v>
      </c>
      <c r="AG2173" s="1" t="str">
        <f>IF(AND(Table1[[#This Row],[Spec Type2]]="N/A",Table1[[#This Row],[DUT Adj Read]]="N/A",Table1[[#This Row],[Std Adj Read]]="N/A"),"N/A",IF(Table1[[#This Row],[DUT Adj Read]]="N/A",IF(Table1[[#This Row],[Std Adj Read]]&lt;=Table1[[#This Row],[High Tol]],"Pass","Fail"),IF(Table1[[#This Row],[DUT Adj Read]]&lt;=Table1[[#This Row],[High Tol]],"Pass","Fail")))</f>
        <v>Fail</v>
      </c>
      <c r="AH21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3" s="1" t="b">
        <v>0</v>
      </c>
      <c r="AN2173" s="1" t="b">
        <v>0</v>
      </c>
      <c r="AO2173" s="1" t="b">
        <v>0</v>
      </c>
    </row>
    <row r="2174" spans="1:41" x14ac:dyDescent="0.25">
      <c r="A2174" s="10"/>
      <c r="B2174" s="10"/>
      <c r="C2174" s="10"/>
      <c r="D2174" s="10"/>
      <c r="E2174" s="10"/>
      <c r="F2174" s="10"/>
      <c r="G2174" s="10"/>
      <c r="H2174" s="10"/>
      <c r="I2174" s="1" t="str">
        <f t="shared" si="99"/>
        <v/>
      </c>
      <c r="J2174" s="1" t="s">
        <v>35</v>
      </c>
      <c r="K2174" s="1" t="str">
        <f t="shared" si="100"/>
        <v/>
      </c>
      <c r="L2174" s="1" t="str">
        <f t="shared" si="101"/>
        <v/>
      </c>
      <c r="M2174" s="1">
        <f>IF(OR(Table1[[#This Row],[Std Nom]]="",Table1[[#This Row],[Std Read]]=""),0,Table1[[#This Row],[Std Nom]]-Table1[[#This Row],[Std Read]])</f>
        <v>0</v>
      </c>
      <c r="N2174" s="1">
        <f>IF(Calculations!$F$5="ACCREDITED 17025 WITH UNCERTAINTIES",$N$10,0)</f>
        <v>0</v>
      </c>
      <c r="O2174" s="1" t="str">
        <f>IFERROR(Table1[[#This Row],[Std Nom]]-(_xlfn.XLOOKUP(Table1[[#This Row],[Manufacturer]]&amp;" "&amp;Table1[[#This Row],[Model]],Table13[MFR &amp; MDL],Table13[Tolerance % CW ],"")/100*Table1[[#This Row],[Std Nom]]),"")</f>
        <v/>
      </c>
      <c r="P2174" s="1" t="str">
        <f>IFERROR(Table1[[#This Row],[Std Nom]]+(_xlfn.XLOOKUP(Table1[[#This Row],[Manufacturer]]&amp;" "&amp;Table1[[#This Row],[Model]],Table13[MFR &amp; MDL],Table13[Tolerance % CW ],"")/100*Table1[[#This Row],[Std Nom]]),"")</f>
        <v/>
      </c>
      <c r="Q2174" s="1" t="e">
        <f>Table1[[#This Row],[High Tol]]-Table1[[#This Row],[Low Tol]]</f>
        <v>#VALUE!</v>
      </c>
      <c r="R2174" s="1">
        <f>2*Table1[[#This Row],[Std Error]]</f>
        <v>0</v>
      </c>
      <c r="S2174" s="1" t="str">
        <f>IF(Table1[[#This Row],[High Tol]]="","N/A",IFERROR(ABS(Table1[[#This Row],[Tol Span]]/Table1[[#This Row],[Error Span]]),"N/A"))</f>
        <v>N/A</v>
      </c>
      <c r="T2174" s="1" t="str">
        <f>IF(OR(Table1[[#This Row],[Low Tol]]="",Table1[[#This Row],[High Tol]]=""),"Needs Analysis",IF(Table1[[#This Row],[Ratio]]&gt;=4,"Not Significant",IF(Table1[[#This Row],[Ratio]]&gt;=2,"Semi-Significant","Significant")))</f>
        <v>Needs Analysis</v>
      </c>
      <c r="W2174" s="1">
        <f>IF(Table1[[#This Row],[Cal Type]]&lt;&gt;"ACCREDITED 17025 WITH UNCERTAINTIES",0,"")</f>
        <v>0</v>
      </c>
      <c r="X2174" s="1" t="str">
        <f>IF(Table1[[#This Row],[DUT Read]]="","N/A",Table1[[#This Row],[Std Error]]+Table1[[#This Row],[DUT Read]]+Table1[[#This Row],[DUT Ucty]])</f>
        <v>N/A</v>
      </c>
      <c r="Y2174" s="1" t="str">
        <f>IF(Table1[[#This Row],[Std Read]]="","N/A",Table1[[#This Row],[Std Read]]+Table1[[#This Row],[Std Ucty]])</f>
        <v>N/A</v>
      </c>
      <c r="Z21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4" s="1" t="str">
        <f>IF(Table1[[#This Row],[Spec Type]]="","N/A",Table1[[#This Row],[Spec Type]])</f>
        <v>±</v>
      </c>
      <c r="AC2174" s="1" t="str">
        <f>IF(Table1[[#This Row],[Spec Type2]]="N/A","N/A",IF(AND(Table1[[#This Row],[DUT Adj Read]]&gt;=Table1[[#This Row],[Low Tol]],Table1[[#This Row],[DUT Adj Read]]&lt;=Table1[[#This Row],[High Tol]]),"Pass","Fail"))</f>
        <v>Fail</v>
      </c>
      <c r="AD2174" s="1" t="str">
        <f>IF(AND(Table1[[#This Row],[Spec Type2]]="N/A",Table1[[#This Row],[DUT Adj Read]]="N/A",Table1[[#This Row],[Std Adj Read]]="N/A"),"N/A",IF(Table1[[#This Row],[DUT Adj Read]]="N/A",IF(Table1[[#This Row],[Std Adj Read]]&gt;Table1[[#This Row],[Low Tol]],"Pass","Fail"),IF(Table1[[#This Row],[DUT Adj Read]]&gt;Table1[[#This Row],[Low Tol]],"Pass","Fail")))</f>
        <v>Pass</v>
      </c>
      <c r="AE2174" s="1" t="str">
        <f>IF(AND(Table1[[#This Row],[Spec Type2]]="N/A",Table1[[#This Row],[DUT Adj Read]]="N/A",Table1[[#This Row],[Std Adj Read]]="N/A"),"N/A",IF(Table1[[#This Row],[DUT Adj Read]]="N/A",IF(Table1[[#This Row],[Std Adj Read]]&lt;Table1[[#This Row],[High Tol]],"Pass","Fail"),IF(Table1[[#This Row],[DUT Adj Read]]&lt;Table1[[#This Row],[High Tol]],"Pass","Fail")))</f>
        <v>Fail</v>
      </c>
      <c r="AF2174" s="1" t="str">
        <f>IF(AND(Table1[[#This Row],[Spec Type2]]="N/A",Table1[[#This Row],[DUT Adj Read]]="N/A",Table1[[#This Row],[Std Adj Read]]="N/A"),"N/A",IF(Table1[[#This Row],[DUT Adj Read]]="N/A",IF(Table1[[#This Row],[Std Adj Read]]&gt;=Table1[[#This Row],[Low Tol]],"Pass","Fail"),IF(Table1[[#This Row],[DUT Adj Read]]&gt;=Table1[[#This Row],[Low Tol]],"Pass","Fail")))</f>
        <v>Pass</v>
      </c>
      <c r="AG2174" s="1" t="str">
        <f>IF(AND(Table1[[#This Row],[Spec Type2]]="N/A",Table1[[#This Row],[DUT Adj Read]]="N/A",Table1[[#This Row],[Std Adj Read]]="N/A"),"N/A",IF(Table1[[#This Row],[DUT Adj Read]]="N/A",IF(Table1[[#This Row],[Std Adj Read]]&lt;=Table1[[#This Row],[High Tol]],"Pass","Fail"),IF(Table1[[#This Row],[DUT Adj Read]]&lt;=Table1[[#This Row],[High Tol]],"Pass","Fail")))</f>
        <v>Fail</v>
      </c>
      <c r="AH21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4" s="1" t="b">
        <v>0</v>
      </c>
      <c r="AN2174" s="1" t="b">
        <v>0</v>
      </c>
      <c r="AO2174" s="1" t="b">
        <v>0</v>
      </c>
    </row>
    <row r="2175" spans="1:41" x14ac:dyDescent="0.25">
      <c r="A2175" s="10"/>
      <c r="B2175" s="10"/>
      <c r="C2175" s="10"/>
      <c r="D2175" s="10"/>
      <c r="E2175" s="10"/>
      <c r="F2175" s="10"/>
      <c r="G2175" s="10"/>
      <c r="H2175" s="10"/>
      <c r="I2175" s="1" t="str">
        <f t="shared" si="99"/>
        <v/>
      </c>
      <c r="J2175" s="1" t="s">
        <v>35</v>
      </c>
      <c r="K2175" s="1" t="str">
        <f t="shared" si="100"/>
        <v/>
      </c>
      <c r="L2175" s="1" t="str">
        <f t="shared" si="101"/>
        <v/>
      </c>
      <c r="M2175" s="1">
        <f>IF(OR(Table1[[#This Row],[Std Nom]]="",Table1[[#This Row],[Std Read]]=""),0,Table1[[#This Row],[Std Nom]]-Table1[[#This Row],[Std Read]])</f>
        <v>0</v>
      </c>
      <c r="N2175" s="1">
        <f>IF(Calculations!$F$5="ACCREDITED 17025 WITH UNCERTAINTIES",$N$10,0)</f>
        <v>0</v>
      </c>
      <c r="O2175" s="1" t="str">
        <f>IFERROR(Table1[[#This Row],[Std Nom]]-(_xlfn.XLOOKUP(Table1[[#This Row],[Manufacturer]]&amp;" "&amp;Table1[[#This Row],[Model]],Table13[MFR &amp; MDL],Table13[Tolerance % CW ],"")/100*Table1[[#This Row],[Std Nom]]),"")</f>
        <v/>
      </c>
      <c r="P2175" s="1" t="str">
        <f>IFERROR(Table1[[#This Row],[Std Nom]]+(_xlfn.XLOOKUP(Table1[[#This Row],[Manufacturer]]&amp;" "&amp;Table1[[#This Row],[Model]],Table13[MFR &amp; MDL],Table13[Tolerance % CW ],"")/100*Table1[[#This Row],[Std Nom]]),"")</f>
        <v/>
      </c>
      <c r="Q2175" s="1" t="e">
        <f>Table1[[#This Row],[High Tol]]-Table1[[#This Row],[Low Tol]]</f>
        <v>#VALUE!</v>
      </c>
      <c r="R2175" s="1">
        <f>2*Table1[[#This Row],[Std Error]]</f>
        <v>0</v>
      </c>
      <c r="S2175" s="1" t="str">
        <f>IF(Table1[[#This Row],[High Tol]]="","N/A",IFERROR(ABS(Table1[[#This Row],[Tol Span]]/Table1[[#This Row],[Error Span]]),"N/A"))</f>
        <v>N/A</v>
      </c>
      <c r="T2175" s="1" t="str">
        <f>IF(OR(Table1[[#This Row],[Low Tol]]="",Table1[[#This Row],[High Tol]]=""),"Needs Analysis",IF(Table1[[#This Row],[Ratio]]&gt;=4,"Not Significant",IF(Table1[[#This Row],[Ratio]]&gt;=2,"Semi-Significant","Significant")))</f>
        <v>Needs Analysis</v>
      </c>
      <c r="W2175" s="1">
        <f>IF(Table1[[#This Row],[Cal Type]]&lt;&gt;"ACCREDITED 17025 WITH UNCERTAINTIES",0,"")</f>
        <v>0</v>
      </c>
      <c r="X2175" s="1" t="str">
        <f>IF(Table1[[#This Row],[DUT Read]]="","N/A",Table1[[#This Row],[Std Error]]+Table1[[#This Row],[DUT Read]]+Table1[[#This Row],[DUT Ucty]])</f>
        <v>N/A</v>
      </c>
      <c r="Y2175" s="1" t="str">
        <f>IF(Table1[[#This Row],[Std Read]]="","N/A",Table1[[#This Row],[Std Read]]+Table1[[#This Row],[Std Ucty]])</f>
        <v>N/A</v>
      </c>
      <c r="Z21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5" s="1" t="str">
        <f>IF(Table1[[#This Row],[Spec Type]]="","N/A",Table1[[#This Row],[Spec Type]])</f>
        <v>±</v>
      </c>
      <c r="AC2175" s="1" t="str">
        <f>IF(Table1[[#This Row],[Spec Type2]]="N/A","N/A",IF(AND(Table1[[#This Row],[DUT Adj Read]]&gt;=Table1[[#This Row],[Low Tol]],Table1[[#This Row],[DUT Adj Read]]&lt;=Table1[[#This Row],[High Tol]]),"Pass","Fail"))</f>
        <v>Fail</v>
      </c>
      <c r="AD2175" s="1" t="str">
        <f>IF(AND(Table1[[#This Row],[Spec Type2]]="N/A",Table1[[#This Row],[DUT Adj Read]]="N/A",Table1[[#This Row],[Std Adj Read]]="N/A"),"N/A",IF(Table1[[#This Row],[DUT Adj Read]]="N/A",IF(Table1[[#This Row],[Std Adj Read]]&gt;Table1[[#This Row],[Low Tol]],"Pass","Fail"),IF(Table1[[#This Row],[DUT Adj Read]]&gt;Table1[[#This Row],[Low Tol]],"Pass","Fail")))</f>
        <v>Pass</v>
      </c>
      <c r="AE2175" s="1" t="str">
        <f>IF(AND(Table1[[#This Row],[Spec Type2]]="N/A",Table1[[#This Row],[DUT Adj Read]]="N/A",Table1[[#This Row],[Std Adj Read]]="N/A"),"N/A",IF(Table1[[#This Row],[DUT Adj Read]]="N/A",IF(Table1[[#This Row],[Std Adj Read]]&lt;Table1[[#This Row],[High Tol]],"Pass","Fail"),IF(Table1[[#This Row],[DUT Adj Read]]&lt;Table1[[#This Row],[High Tol]],"Pass","Fail")))</f>
        <v>Fail</v>
      </c>
      <c r="AF2175" s="1" t="str">
        <f>IF(AND(Table1[[#This Row],[Spec Type2]]="N/A",Table1[[#This Row],[DUT Adj Read]]="N/A",Table1[[#This Row],[Std Adj Read]]="N/A"),"N/A",IF(Table1[[#This Row],[DUT Adj Read]]="N/A",IF(Table1[[#This Row],[Std Adj Read]]&gt;=Table1[[#This Row],[Low Tol]],"Pass","Fail"),IF(Table1[[#This Row],[DUT Adj Read]]&gt;=Table1[[#This Row],[Low Tol]],"Pass","Fail")))</f>
        <v>Pass</v>
      </c>
      <c r="AG2175" s="1" t="str">
        <f>IF(AND(Table1[[#This Row],[Spec Type2]]="N/A",Table1[[#This Row],[DUT Adj Read]]="N/A",Table1[[#This Row],[Std Adj Read]]="N/A"),"N/A",IF(Table1[[#This Row],[DUT Adj Read]]="N/A",IF(Table1[[#This Row],[Std Adj Read]]&lt;=Table1[[#This Row],[High Tol]],"Pass","Fail"),IF(Table1[[#This Row],[DUT Adj Read]]&lt;=Table1[[#This Row],[High Tol]],"Pass","Fail")))</f>
        <v>Fail</v>
      </c>
      <c r="AH21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5" s="1" t="b">
        <v>0</v>
      </c>
      <c r="AN2175" s="1" t="b">
        <v>0</v>
      </c>
      <c r="AO2175" s="1" t="b">
        <v>0</v>
      </c>
    </row>
    <row r="2176" spans="1:41" x14ac:dyDescent="0.25">
      <c r="A2176" s="10"/>
      <c r="B2176" s="10"/>
      <c r="C2176" s="10"/>
      <c r="D2176" s="10"/>
      <c r="E2176" s="10"/>
      <c r="F2176" s="10"/>
      <c r="G2176" s="10"/>
      <c r="H2176" s="10"/>
      <c r="I2176" s="1" t="str">
        <f t="shared" si="99"/>
        <v/>
      </c>
      <c r="J2176" s="1" t="s">
        <v>35</v>
      </c>
      <c r="K2176" s="1" t="str">
        <f t="shared" si="100"/>
        <v/>
      </c>
      <c r="L2176" s="1" t="str">
        <f t="shared" si="101"/>
        <v/>
      </c>
      <c r="M2176" s="1">
        <f>IF(OR(Table1[[#This Row],[Std Nom]]="",Table1[[#This Row],[Std Read]]=""),0,Table1[[#This Row],[Std Nom]]-Table1[[#This Row],[Std Read]])</f>
        <v>0</v>
      </c>
      <c r="N2176" s="1">
        <f>IF(Calculations!$F$5="ACCREDITED 17025 WITH UNCERTAINTIES",$N$10,0)</f>
        <v>0</v>
      </c>
      <c r="O2176" s="1" t="str">
        <f>IFERROR(Table1[[#This Row],[Std Nom]]-(_xlfn.XLOOKUP(Table1[[#This Row],[Manufacturer]]&amp;" "&amp;Table1[[#This Row],[Model]],Table13[MFR &amp; MDL],Table13[Tolerance % CW ],"")/100*Table1[[#This Row],[Std Nom]]),"")</f>
        <v/>
      </c>
      <c r="P2176" s="1" t="str">
        <f>IFERROR(Table1[[#This Row],[Std Nom]]+(_xlfn.XLOOKUP(Table1[[#This Row],[Manufacturer]]&amp;" "&amp;Table1[[#This Row],[Model]],Table13[MFR &amp; MDL],Table13[Tolerance % CW ],"")/100*Table1[[#This Row],[Std Nom]]),"")</f>
        <v/>
      </c>
      <c r="Q2176" s="1" t="e">
        <f>Table1[[#This Row],[High Tol]]-Table1[[#This Row],[Low Tol]]</f>
        <v>#VALUE!</v>
      </c>
      <c r="R2176" s="1">
        <f>2*Table1[[#This Row],[Std Error]]</f>
        <v>0</v>
      </c>
      <c r="S2176" s="1" t="str">
        <f>IF(Table1[[#This Row],[High Tol]]="","N/A",IFERROR(ABS(Table1[[#This Row],[Tol Span]]/Table1[[#This Row],[Error Span]]),"N/A"))</f>
        <v>N/A</v>
      </c>
      <c r="T2176" s="1" t="str">
        <f>IF(OR(Table1[[#This Row],[Low Tol]]="",Table1[[#This Row],[High Tol]]=""),"Needs Analysis",IF(Table1[[#This Row],[Ratio]]&gt;=4,"Not Significant",IF(Table1[[#This Row],[Ratio]]&gt;=2,"Semi-Significant","Significant")))</f>
        <v>Needs Analysis</v>
      </c>
      <c r="W2176" s="1">
        <f>IF(Table1[[#This Row],[Cal Type]]&lt;&gt;"ACCREDITED 17025 WITH UNCERTAINTIES",0,"")</f>
        <v>0</v>
      </c>
      <c r="X2176" s="1" t="str">
        <f>IF(Table1[[#This Row],[DUT Read]]="","N/A",Table1[[#This Row],[Std Error]]+Table1[[#This Row],[DUT Read]]+Table1[[#This Row],[DUT Ucty]])</f>
        <v>N/A</v>
      </c>
      <c r="Y2176" s="1" t="str">
        <f>IF(Table1[[#This Row],[Std Read]]="","N/A",Table1[[#This Row],[Std Read]]+Table1[[#This Row],[Std Ucty]])</f>
        <v>N/A</v>
      </c>
      <c r="Z21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6" s="1" t="str">
        <f>IF(Table1[[#This Row],[Spec Type]]="","N/A",Table1[[#This Row],[Spec Type]])</f>
        <v>±</v>
      </c>
      <c r="AC2176" s="1" t="str">
        <f>IF(Table1[[#This Row],[Spec Type2]]="N/A","N/A",IF(AND(Table1[[#This Row],[DUT Adj Read]]&gt;=Table1[[#This Row],[Low Tol]],Table1[[#This Row],[DUT Adj Read]]&lt;=Table1[[#This Row],[High Tol]]),"Pass","Fail"))</f>
        <v>Fail</v>
      </c>
      <c r="AD2176" s="1" t="str">
        <f>IF(AND(Table1[[#This Row],[Spec Type2]]="N/A",Table1[[#This Row],[DUT Adj Read]]="N/A",Table1[[#This Row],[Std Adj Read]]="N/A"),"N/A",IF(Table1[[#This Row],[DUT Adj Read]]="N/A",IF(Table1[[#This Row],[Std Adj Read]]&gt;Table1[[#This Row],[Low Tol]],"Pass","Fail"),IF(Table1[[#This Row],[DUT Adj Read]]&gt;Table1[[#This Row],[Low Tol]],"Pass","Fail")))</f>
        <v>Pass</v>
      </c>
      <c r="AE2176" s="1" t="str">
        <f>IF(AND(Table1[[#This Row],[Spec Type2]]="N/A",Table1[[#This Row],[DUT Adj Read]]="N/A",Table1[[#This Row],[Std Adj Read]]="N/A"),"N/A",IF(Table1[[#This Row],[DUT Adj Read]]="N/A",IF(Table1[[#This Row],[Std Adj Read]]&lt;Table1[[#This Row],[High Tol]],"Pass","Fail"),IF(Table1[[#This Row],[DUT Adj Read]]&lt;Table1[[#This Row],[High Tol]],"Pass","Fail")))</f>
        <v>Fail</v>
      </c>
      <c r="AF2176" s="1" t="str">
        <f>IF(AND(Table1[[#This Row],[Spec Type2]]="N/A",Table1[[#This Row],[DUT Adj Read]]="N/A",Table1[[#This Row],[Std Adj Read]]="N/A"),"N/A",IF(Table1[[#This Row],[DUT Adj Read]]="N/A",IF(Table1[[#This Row],[Std Adj Read]]&gt;=Table1[[#This Row],[Low Tol]],"Pass","Fail"),IF(Table1[[#This Row],[DUT Adj Read]]&gt;=Table1[[#This Row],[Low Tol]],"Pass","Fail")))</f>
        <v>Pass</v>
      </c>
      <c r="AG2176" s="1" t="str">
        <f>IF(AND(Table1[[#This Row],[Spec Type2]]="N/A",Table1[[#This Row],[DUT Adj Read]]="N/A",Table1[[#This Row],[Std Adj Read]]="N/A"),"N/A",IF(Table1[[#This Row],[DUT Adj Read]]="N/A",IF(Table1[[#This Row],[Std Adj Read]]&lt;=Table1[[#This Row],[High Tol]],"Pass","Fail"),IF(Table1[[#This Row],[DUT Adj Read]]&lt;=Table1[[#This Row],[High Tol]],"Pass","Fail")))</f>
        <v>Fail</v>
      </c>
      <c r="AH21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6" s="1" t="b">
        <v>0</v>
      </c>
      <c r="AN2176" s="1" t="b">
        <v>0</v>
      </c>
      <c r="AO2176" s="1" t="b">
        <v>0</v>
      </c>
    </row>
    <row r="2177" spans="1:41" x14ac:dyDescent="0.25">
      <c r="A2177" s="10"/>
      <c r="B2177" s="10"/>
      <c r="C2177" s="10"/>
      <c r="D2177" s="10"/>
      <c r="E2177" s="10"/>
      <c r="F2177" s="10"/>
      <c r="G2177" s="10"/>
      <c r="H2177" s="10"/>
      <c r="I2177" s="1" t="str">
        <f t="shared" si="99"/>
        <v/>
      </c>
      <c r="J2177" s="1" t="s">
        <v>35</v>
      </c>
      <c r="K2177" s="1" t="str">
        <f t="shared" si="100"/>
        <v/>
      </c>
      <c r="L2177" s="1" t="str">
        <f t="shared" si="101"/>
        <v/>
      </c>
      <c r="M2177" s="1">
        <f>IF(OR(Table1[[#This Row],[Std Nom]]="",Table1[[#This Row],[Std Read]]=""),0,Table1[[#This Row],[Std Nom]]-Table1[[#This Row],[Std Read]])</f>
        <v>0</v>
      </c>
      <c r="N2177" s="1">
        <f>IF(Calculations!$F$5="ACCREDITED 17025 WITH UNCERTAINTIES",$N$10,0)</f>
        <v>0</v>
      </c>
      <c r="O2177" s="1" t="str">
        <f>IFERROR(Table1[[#This Row],[Std Nom]]-(_xlfn.XLOOKUP(Table1[[#This Row],[Manufacturer]]&amp;" "&amp;Table1[[#This Row],[Model]],Table13[MFR &amp; MDL],Table13[Tolerance % CW ],"")/100*Table1[[#This Row],[Std Nom]]),"")</f>
        <v/>
      </c>
      <c r="P2177" s="1" t="str">
        <f>IFERROR(Table1[[#This Row],[Std Nom]]+(_xlfn.XLOOKUP(Table1[[#This Row],[Manufacturer]]&amp;" "&amp;Table1[[#This Row],[Model]],Table13[MFR &amp; MDL],Table13[Tolerance % CW ],"")/100*Table1[[#This Row],[Std Nom]]),"")</f>
        <v/>
      </c>
      <c r="Q2177" s="1" t="e">
        <f>Table1[[#This Row],[High Tol]]-Table1[[#This Row],[Low Tol]]</f>
        <v>#VALUE!</v>
      </c>
      <c r="R2177" s="1">
        <f>2*Table1[[#This Row],[Std Error]]</f>
        <v>0</v>
      </c>
      <c r="S2177" s="1" t="str">
        <f>IF(Table1[[#This Row],[High Tol]]="","N/A",IFERROR(ABS(Table1[[#This Row],[Tol Span]]/Table1[[#This Row],[Error Span]]),"N/A"))</f>
        <v>N/A</v>
      </c>
      <c r="T2177" s="1" t="str">
        <f>IF(OR(Table1[[#This Row],[Low Tol]]="",Table1[[#This Row],[High Tol]]=""),"Needs Analysis",IF(Table1[[#This Row],[Ratio]]&gt;=4,"Not Significant",IF(Table1[[#This Row],[Ratio]]&gt;=2,"Semi-Significant","Significant")))</f>
        <v>Needs Analysis</v>
      </c>
      <c r="W2177" s="1">
        <f>IF(Table1[[#This Row],[Cal Type]]&lt;&gt;"ACCREDITED 17025 WITH UNCERTAINTIES",0,"")</f>
        <v>0</v>
      </c>
      <c r="X2177" s="1" t="str">
        <f>IF(Table1[[#This Row],[DUT Read]]="","N/A",Table1[[#This Row],[Std Error]]+Table1[[#This Row],[DUT Read]]+Table1[[#This Row],[DUT Ucty]])</f>
        <v>N/A</v>
      </c>
      <c r="Y2177" s="1" t="str">
        <f>IF(Table1[[#This Row],[Std Read]]="","N/A",Table1[[#This Row],[Std Read]]+Table1[[#This Row],[Std Ucty]])</f>
        <v>N/A</v>
      </c>
      <c r="Z21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7" s="1" t="str">
        <f>IF(Table1[[#This Row],[Spec Type]]="","N/A",Table1[[#This Row],[Spec Type]])</f>
        <v>±</v>
      </c>
      <c r="AC2177" s="1" t="str">
        <f>IF(Table1[[#This Row],[Spec Type2]]="N/A","N/A",IF(AND(Table1[[#This Row],[DUT Adj Read]]&gt;=Table1[[#This Row],[Low Tol]],Table1[[#This Row],[DUT Adj Read]]&lt;=Table1[[#This Row],[High Tol]]),"Pass","Fail"))</f>
        <v>Fail</v>
      </c>
      <c r="AD2177" s="1" t="str">
        <f>IF(AND(Table1[[#This Row],[Spec Type2]]="N/A",Table1[[#This Row],[DUT Adj Read]]="N/A",Table1[[#This Row],[Std Adj Read]]="N/A"),"N/A",IF(Table1[[#This Row],[DUT Adj Read]]="N/A",IF(Table1[[#This Row],[Std Adj Read]]&gt;Table1[[#This Row],[Low Tol]],"Pass","Fail"),IF(Table1[[#This Row],[DUT Adj Read]]&gt;Table1[[#This Row],[Low Tol]],"Pass","Fail")))</f>
        <v>Pass</v>
      </c>
      <c r="AE2177" s="1" t="str">
        <f>IF(AND(Table1[[#This Row],[Spec Type2]]="N/A",Table1[[#This Row],[DUT Adj Read]]="N/A",Table1[[#This Row],[Std Adj Read]]="N/A"),"N/A",IF(Table1[[#This Row],[DUT Adj Read]]="N/A",IF(Table1[[#This Row],[Std Adj Read]]&lt;Table1[[#This Row],[High Tol]],"Pass","Fail"),IF(Table1[[#This Row],[DUT Adj Read]]&lt;Table1[[#This Row],[High Tol]],"Pass","Fail")))</f>
        <v>Fail</v>
      </c>
      <c r="AF2177" s="1" t="str">
        <f>IF(AND(Table1[[#This Row],[Spec Type2]]="N/A",Table1[[#This Row],[DUT Adj Read]]="N/A",Table1[[#This Row],[Std Adj Read]]="N/A"),"N/A",IF(Table1[[#This Row],[DUT Adj Read]]="N/A",IF(Table1[[#This Row],[Std Adj Read]]&gt;=Table1[[#This Row],[Low Tol]],"Pass","Fail"),IF(Table1[[#This Row],[DUT Adj Read]]&gt;=Table1[[#This Row],[Low Tol]],"Pass","Fail")))</f>
        <v>Pass</v>
      </c>
      <c r="AG2177" s="1" t="str">
        <f>IF(AND(Table1[[#This Row],[Spec Type2]]="N/A",Table1[[#This Row],[DUT Adj Read]]="N/A",Table1[[#This Row],[Std Adj Read]]="N/A"),"N/A",IF(Table1[[#This Row],[DUT Adj Read]]="N/A",IF(Table1[[#This Row],[Std Adj Read]]&lt;=Table1[[#This Row],[High Tol]],"Pass","Fail"),IF(Table1[[#This Row],[DUT Adj Read]]&lt;=Table1[[#This Row],[High Tol]],"Pass","Fail")))</f>
        <v>Fail</v>
      </c>
      <c r="AH21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7" s="1" t="b">
        <v>0</v>
      </c>
      <c r="AN2177" s="1" t="b">
        <v>0</v>
      </c>
      <c r="AO2177" s="1" t="b">
        <v>0</v>
      </c>
    </row>
    <row r="2178" spans="1:41" x14ac:dyDescent="0.25">
      <c r="A2178" s="10"/>
      <c r="B2178" s="10"/>
      <c r="C2178" s="10"/>
      <c r="D2178" s="10"/>
      <c r="E2178" s="10"/>
      <c r="F2178" s="10"/>
      <c r="G2178" s="10"/>
      <c r="H2178" s="10"/>
      <c r="I2178" s="1" t="str">
        <f t="shared" si="99"/>
        <v/>
      </c>
      <c r="J2178" s="1" t="s">
        <v>35</v>
      </c>
      <c r="K2178" s="1" t="str">
        <f t="shared" si="100"/>
        <v/>
      </c>
      <c r="L2178" s="1" t="str">
        <f t="shared" si="101"/>
        <v/>
      </c>
      <c r="M2178" s="1">
        <f>IF(OR(Table1[[#This Row],[Std Nom]]="",Table1[[#This Row],[Std Read]]=""),0,Table1[[#This Row],[Std Nom]]-Table1[[#This Row],[Std Read]])</f>
        <v>0</v>
      </c>
      <c r="N2178" s="1">
        <f>IF(Calculations!$F$5="ACCREDITED 17025 WITH UNCERTAINTIES",$N$10,0)</f>
        <v>0</v>
      </c>
      <c r="O2178" s="1" t="str">
        <f>IFERROR(Table1[[#This Row],[Std Nom]]-(_xlfn.XLOOKUP(Table1[[#This Row],[Manufacturer]]&amp;" "&amp;Table1[[#This Row],[Model]],Table13[MFR &amp; MDL],Table13[Tolerance % CW ],"")/100*Table1[[#This Row],[Std Nom]]),"")</f>
        <v/>
      </c>
      <c r="P2178" s="1" t="str">
        <f>IFERROR(Table1[[#This Row],[Std Nom]]+(_xlfn.XLOOKUP(Table1[[#This Row],[Manufacturer]]&amp;" "&amp;Table1[[#This Row],[Model]],Table13[MFR &amp; MDL],Table13[Tolerance % CW ],"")/100*Table1[[#This Row],[Std Nom]]),"")</f>
        <v/>
      </c>
      <c r="Q2178" s="1" t="e">
        <f>Table1[[#This Row],[High Tol]]-Table1[[#This Row],[Low Tol]]</f>
        <v>#VALUE!</v>
      </c>
      <c r="R2178" s="1">
        <f>2*Table1[[#This Row],[Std Error]]</f>
        <v>0</v>
      </c>
      <c r="S2178" s="1" t="str">
        <f>IF(Table1[[#This Row],[High Tol]]="","N/A",IFERROR(ABS(Table1[[#This Row],[Tol Span]]/Table1[[#This Row],[Error Span]]),"N/A"))</f>
        <v>N/A</v>
      </c>
      <c r="T2178" s="1" t="str">
        <f>IF(OR(Table1[[#This Row],[Low Tol]]="",Table1[[#This Row],[High Tol]]=""),"Needs Analysis",IF(Table1[[#This Row],[Ratio]]&gt;=4,"Not Significant",IF(Table1[[#This Row],[Ratio]]&gt;=2,"Semi-Significant","Significant")))</f>
        <v>Needs Analysis</v>
      </c>
      <c r="W2178" s="1">
        <f>IF(Table1[[#This Row],[Cal Type]]&lt;&gt;"ACCREDITED 17025 WITH UNCERTAINTIES",0,"")</f>
        <v>0</v>
      </c>
      <c r="X2178" s="1" t="str">
        <f>IF(Table1[[#This Row],[DUT Read]]="","N/A",Table1[[#This Row],[Std Error]]+Table1[[#This Row],[DUT Read]]+Table1[[#This Row],[DUT Ucty]])</f>
        <v>N/A</v>
      </c>
      <c r="Y2178" s="1" t="str">
        <f>IF(Table1[[#This Row],[Std Read]]="","N/A",Table1[[#This Row],[Std Read]]+Table1[[#This Row],[Std Ucty]])</f>
        <v>N/A</v>
      </c>
      <c r="Z21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8" s="1" t="str">
        <f>IF(Table1[[#This Row],[Spec Type]]="","N/A",Table1[[#This Row],[Spec Type]])</f>
        <v>±</v>
      </c>
      <c r="AC2178" s="1" t="str">
        <f>IF(Table1[[#This Row],[Spec Type2]]="N/A","N/A",IF(AND(Table1[[#This Row],[DUT Adj Read]]&gt;=Table1[[#This Row],[Low Tol]],Table1[[#This Row],[DUT Adj Read]]&lt;=Table1[[#This Row],[High Tol]]),"Pass","Fail"))</f>
        <v>Fail</v>
      </c>
      <c r="AD2178" s="1" t="str">
        <f>IF(AND(Table1[[#This Row],[Spec Type2]]="N/A",Table1[[#This Row],[DUT Adj Read]]="N/A",Table1[[#This Row],[Std Adj Read]]="N/A"),"N/A",IF(Table1[[#This Row],[DUT Adj Read]]="N/A",IF(Table1[[#This Row],[Std Adj Read]]&gt;Table1[[#This Row],[Low Tol]],"Pass","Fail"),IF(Table1[[#This Row],[DUT Adj Read]]&gt;Table1[[#This Row],[Low Tol]],"Pass","Fail")))</f>
        <v>Pass</v>
      </c>
      <c r="AE2178" s="1" t="str">
        <f>IF(AND(Table1[[#This Row],[Spec Type2]]="N/A",Table1[[#This Row],[DUT Adj Read]]="N/A",Table1[[#This Row],[Std Adj Read]]="N/A"),"N/A",IF(Table1[[#This Row],[DUT Adj Read]]="N/A",IF(Table1[[#This Row],[Std Adj Read]]&lt;Table1[[#This Row],[High Tol]],"Pass","Fail"),IF(Table1[[#This Row],[DUT Adj Read]]&lt;Table1[[#This Row],[High Tol]],"Pass","Fail")))</f>
        <v>Fail</v>
      </c>
      <c r="AF2178" s="1" t="str">
        <f>IF(AND(Table1[[#This Row],[Spec Type2]]="N/A",Table1[[#This Row],[DUT Adj Read]]="N/A",Table1[[#This Row],[Std Adj Read]]="N/A"),"N/A",IF(Table1[[#This Row],[DUT Adj Read]]="N/A",IF(Table1[[#This Row],[Std Adj Read]]&gt;=Table1[[#This Row],[Low Tol]],"Pass","Fail"),IF(Table1[[#This Row],[DUT Adj Read]]&gt;=Table1[[#This Row],[Low Tol]],"Pass","Fail")))</f>
        <v>Pass</v>
      </c>
      <c r="AG2178" s="1" t="str">
        <f>IF(AND(Table1[[#This Row],[Spec Type2]]="N/A",Table1[[#This Row],[DUT Adj Read]]="N/A",Table1[[#This Row],[Std Adj Read]]="N/A"),"N/A",IF(Table1[[#This Row],[DUT Adj Read]]="N/A",IF(Table1[[#This Row],[Std Adj Read]]&lt;=Table1[[#This Row],[High Tol]],"Pass","Fail"),IF(Table1[[#This Row],[DUT Adj Read]]&lt;=Table1[[#This Row],[High Tol]],"Pass","Fail")))</f>
        <v>Fail</v>
      </c>
      <c r="AH21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8" s="1" t="b">
        <v>0</v>
      </c>
      <c r="AN2178" s="1" t="b">
        <v>0</v>
      </c>
      <c r="AO2178" s="1" t="b">
        <v>0</v>
      </c>
    </row>
    <row r="2179" spans="1:41" x14ac:dyDescent="0.25">
      <c r="A2179" s="10"/>
      <c r="B2179" s="10"/>
      <c r="C2179" s="10"/>
      <c r="D2179" s="10"/>
      <c r="E2179" s="10"/>
      <c r="F2179" s="10"/>
      <c r="G2179" s="10"/>
      <c r="H2179" s="10"/>
      <c r="I2179" s="1" t="str">
        <f t="shared" si="99"/>
        <v/>
      </c>
      <c r="J2179" s="1" t="s">
        <v>35</v>
      </c>
      <c r="K2179" s="1" t="str">
        <f t="shared" si="100"/>
        <v/>
      </c>
      <c r="L2179" s="1" t="str">
        <f t="shared" si="101"/>
        <v/>
      </c>
      <c r="M2179" s="1">
        <f>IF(OR(Table1[[#This Row],[Std Nom]]="",Table1[[#This Row],[Std Read]]=""),0,Table1[[#This Row],[Std Nom]]-Table1[[#This Row],[Std Read]])</f>
        <v>0</v>
      </c>
      <c r="N2179" s="1">
        <f>IF(Calculations!$F$5="ACCREDITED 17025 WITH UNCERTAINTIES",$N$10,0)</f>
        <v>0</v>
      </c>
      <c r="O2179" s="1" t="str">
        <f>IFERROR(Table1[[#This Row],[Std Nom]]-(_xlfn.XLOOKUP(Table1[[#This Row],[Manufacturer]]&amp;" "&amp;Table1[[#This Row],[Model]],Table13[MFR &amp; MDL],Table13[Tolerance % CW ],"")/100*Table1[[#This Row],[Std Nom]]),"")</f>
        <v/>
      </c>
      <c r="P2179" s="1" t="str">
        <f>IFERROR(Table1[[#This Row],[Std Nom]]+(_xlfn.XLOOKUP(Table1[[#This Row],[Manufacturer]]&amp;" "&amp;Table1[[#This Row],[Model]],Table13[MFR &amp; MDL],Table13[Tolerance % CW ],"")/100*Table1[[#This Row],[Std Nom]]),"")</f>
        <v/>
      </c>
      <c r="Q2179" s="1" t="e">
        <f>Table1[[#This Row],[High Tol]]-Table1[[#This Row],[Low Tol]]</f>
        <v>#VALUE!</v>
      </c>
      <c r="R2179" s="1">
        <f>2*Table1[[#This Row],[Std Error]]</f>
        <v>0</v>
      </c>
      <c r="S2179" s="1" t="str">
        <f>IF(Table1[[#This Row],[High Tol]]="","N/A",IFERROR(ABS(Table1[[#This Row],[Tol Span]]/Table1[[#This Row],[Error Span]]),"N/A"))</f>
        <v>N/A</v>
      </c>
      <c r="T2179" s="1" t="str">
        <f>IF(OR(Table1[[#This Row],[Low Tol]]="",Table1[[#This Row],[High Tol]]=""),"Needs Analysis",IF(Table1[[#This Row],[Ratio]]&gt;=4,"Not Significant",IF(Table1[[#This Row],[Ratio]]&gt;=2,"Semi-Significant","Significant")))</f>
        <v>Needs Analysis</v>
      </c>
      <c r="W2179" s="1">
        <f>IF(Table1[[#This Row],[Cal Type]]&lt;&gt;"ACCREDITED 17025 WITH UNCERTAINTIES",0,"")</f>
        <v>0</v>
      </c>
      <c r="X2179" s="1" t="str">
        <f>IF(Table1[[#This Row],[DUT Read]]="","N/A",Table1[[#This Row],[Std Error]]+Table1[[#This Row],[DUT Read]]+Table1[[#This Row],[DUT Ucty]])</f>
        <v>N/A</v>
      </c>
      <c r="Y2179" s="1" t="str">
        <f>IF(Table1[[#This Row],[Std Read]]="","N/A",Table1[[#This Row],[Std Read]]+Table1[[#This Row],[Std Ucty]])</f>
        <v>N/A</v>
      </c>
      <c r="Z21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9" s="1" t="str">
        <f>IF(Table1[[#This Row],[Spec Type]]="","N/A",Table1[[#This Row],[Spec Type]])</f>
        <v>±</v>
      </c>
      <c r="AC2179" s="1" t="str">
        <f>IF(Table1[[#This Row],[Spec Type2]]="N/A","N/A",IF(AND(Table1[[#This Row],[DUT Adj Read]]&gt;=Table1[[#This Row],[Low Tol]],Table1[[#This Row],[DUT Adj Read]]&lt;=Table1[[#This Row],[High Tol]]),"Pass","Fail"))</f>
        <v>Fail</v>
      </c>
      <c r="AD2179" s="1" t="str">
        <f>IF(AND(Table1[[#This Row],[Spec Type2]]="N/A",Table1[[#This Row],[DUT Adj Read]]="N/A",Table1[[#This Row],[Std Adj Read]]="N/A"),"N/A",IF(Table1[[#This Row],[DUT Adj Read]]="N/A",IF(Table1[[#This Row],[Std Adj Read]]&gt;Table1[[#This Row],[Low Tol]],"Pass","Fail"),IF(Table1[[#This Row],[DUT Adj Read]]&gt;Table1[[#This Row],[Low Tol]],"Pass","Fail")))</f>
        <v>Pass</v>
      </c>
      <c r="AE2179" s="1" t="str">
        <f>IF(AND(Table1[[#This Row],[Spec Type2]]="N/A",Table1[[#This Row],[DUT Adj Read]]="N/A",Table1[[#This Row],[Std Adj Read]]="N/A"),"N/A",IF(Table1[[#This Row],[DUT Adj Read]]="N/A",IF(Table1[[#This Row],[Std Adj Read]]&lt;Table1[[#This Row],[High Tol]],"Pass","Fail"),IF(Table1[[#This Row],[DUT Adj Read]]&lt;Table1[[#This Row],[High Tol]],"Pass","Fail")))</f>
        <v>Fail</v>
      </c>
      <c r="AF2179" s="1" t="str">
        <f>IF(AND(Table1[[#This Row],[Spec Type2]]="N/A",Table1[[#This Row],[DUT Adj Read]]="N/A",Table1[[#This Row],[Std Adj Read]]="N/A"),"N/A",IF(Table1[[#This Row],[DUT Adj Read]]="N/A",IF(Table1[[#This Row],[Std Adj Read]]&gt;=Table1[[#This Row],[Low Tol]],"Pass","Fail"),IF(Table1[[#This Row],[DUT Adj Read]]&gt;=Table1[[#This Row],[Low Tol]],"Pass","Fail")))</f>
        <v>Pass</v>
      </c>
      <c r="AG2179" s="1" t="str">
        <f>IF(AND(Table1[[#This Row],[Spec Type2]]="N/A",Table1[[#This Row],[DUT Adj Read]]="N/A",Table1[[#This Row],[Std Adj Read]]="N/A"),"N/A",IF(Table1[[#This Row],[DUT Adj Read]]="N/A",IF(Table1[[#This Row],[Std Adj Read]]&lt;=Table1[[#This Row],[High Tol]],"Pass","Fail"),IF(Table1[[#This Row],[DUT Adj Read]]&lt;=Table1[[#This Row],[High Tol]],"Pass","Fail")))</f>
        <v>Fail</v>
      </c>
      <c r="AH21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9" s="1" t="b">
        <v>0</v>
      </c>
      <c r="AN2179" s="1" t="b">
        <v>0</v>
      </c>
      <c r="AO2179" s="1" t="b">
        <v>0</v>
      </c>
    </row>
    <row r="2180" spans="1:41" x14ac:dyDescent="0.25">
      <c r="A2180" s="10"/>
      <c r="B2180" s="10"/>
      <c r="C2180" s="10"/>
      <c r="D2180" s="10"/>
      <c r="E2180" s="10"/>
      <c r="F2180" s="10"/>
      <c r="G2180" s="10"/>
      <c r="H2180" s="10"/>
      <c r="I2180" s="1" t="str">
        <f t="shared" si="99"/>
        <v/>
      </c>
      <c r="J2180" s="1" t="s">
        <v>35</v>
      </c>
      <c r="K2180" s="1" t="str">
        <f t="shared" si="100"/>
        <v/>
      </c>
      <c r="L2180" s="1" t="str">
        <f t="shared" si="101"/>
        <v/>
      </c>
      <c r="M2180" s="1">
        <f>IF(OR(Table1[[#This Row],[Std Nom]]="",Table1[[#This Row],[Std Read]]=""),0,Table1[[#This Row],[Std Nom]]-Table1[[#This Row],[Std Read]])</f>
        <v>0</v>
      </c>
      <c r="N2180" s="1">
        <f>IF(Calculations!$F$5="ACCREDITED 17025 WITH UNCERTAINTIES",$N$10,0)</f>
        <v>0</v>
      </c>
      <c r="O2180" s="1" t="str">
        <f>IFERROR(Table1[[#This Row],[Std Nom]]-(_xlfn.XLOOKUP(Table1[[#This Row],[Manufacturer]]&amp;" "&amp;Table1[[#This Row],[Model]],Table13[MFR &amp; MDL],Table13[Tolerance % CW ],"")/100*Table1[[#This Row],[Std Nom]]),"")</f>
        <v/>
      </c>
      <c r="P2180" s="1" t="str">
        <f>IFERROR(Table1[[#This Row],[Std Nom]]+(_xlfn.XLOOKUP(Table1[[#This Row],[Manufacturer]]&amp;" "&amp;Table1[[#This Row],[Model]],Table13[MFR &amp; MDL],Table13[Tolerance % CW ],"")/100*Table1[[#This Row],[Std Nom]]),"")</f>
        <v/>
      </c>
      <c r="Q2180" s="1" t="e">
        <f>Table1[[#This Row],[High Tol]]-Table1[[#This Row],[Low Tol]]</f>
        <v>#VALUE!</v>
      </c>
      <c r="R2180" s="1">
        <f>2*Table1[[#This Row],[Std Error]]</f>
        <v>0</v>
      </c>
      <c r="S2180" s="1" t="str">
        <f>IF(Table1[[#This Row],[High Tol]]="","N/A",IFERROR(ABS(Table1[[#This Row],[Tol Span]]/Table1[[#This Row],[Error Span]]),"N/A"))</f>
        <v>N/A</v>
      </c>
      <c r="T2180" s="1" t="str">
        <f>IF(OR(Table1[[#This Row],[Low Tol]]="",Table1[[#This Row],[High Tol]]=""),"Needs Analysis",IF(Table1[[#This Row],[Ratio]]&gt;=4,"Not Significant",IF(Table1[[#This Row],[Ratio]]&gt;=2,"Semi-Significant","Significant")))</f>
        <v>Needs Analysis</v>
      </c>
      <c r="W2180" s="1">
        <f>IF(Table1[[#This Row],[Cal Type]]&lt;&gt;"ACCREDITED 17025 WITH UNCERTAINTIES",0,"")</f>
        <v>0</v>
      </c>
      <c r="X2180" s="1" t="str">
        <f>IF(Table1[[#This Row],[DUT Read]]="","N/A",Table1[[#This Row],[Std Error]]+Table1[[#This Row],[DUT Read]]+Table1[[#This Row],[DUT Ucty]])</f>
        <v>N/A</v>
      </c>
      <c r="Y2180" s="1" t="str">
        <f>IF(Table1[[#This Row],[Std Read]]="","N/A",Table1[[#This Row],[Std Read]]+Table1[[#This Row],[Std Ucty]])</f>
        <v>N/A</v>
      </c>
      <c r="Z21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0" s="1" t="str">
        <f>IF(Table1[[#This Row],[Spec Type]]="","N/A",Table1[[#This Row],[Spec Type]])</f>
        <v>±</v>
      </c>
      <c r="AC2180" s="1" t="str">
        <f>IF(Table1[[#This Row],[Spec Type2]]="N/A","N/A",IF(AND(Table1[[#This Row],[DUT Adj Read]]&gt;=Table1[[#This Row],[Low Tol]],Table1[[#This Row],[DUT Adj Read]]&lt;=Table1[[#This Row],[High Tol]]),"Pass","Fail"))</f>
        <v>Fail</v>
      </c>
      <c r="AD2180" s="1" t="str">
        <f>IF(AND(Table1[[#This Row],[Spec Type2]]="N/A",Table1[[#This Row],[DUT Adj Read]]="N/A",Table1[[#This Row],[Std Adj Read]]="N/A"),"N/A",IF(Table1[[#This Row],[DUT Adj Read]]="N/A",IF(Table1[[#This Row],[Std Adj Read]]&gt;Table1[[#This Row],[Low Tol]],"Pass","Fail"),IF(Table1[[#This Row],[DUT Adj Read]]&gt;Table1[[#This Row],[Low Tol]],"Pass","Fail")))</f>
        <v>Pass</v>
      </c>
      <c r="AE2180" s="1" t="str">
        <f>IF(AND(Table1[[#This Row],[Spec Type2]]="N/A",Table1[[#This Row],[DUT Adj Read]]="N/A",Table1[[#This Row],[Std Adj Read]]="N/A"),"N/A",IF(Table1[[#This Row],[DUT Adj Read]]="N/A",IF(Table1[[#This Row],[Std Adj Read]]&lt;Table1[[#This Row],[High Tol]],"Pass","Fail"),IF(Table1[[#This Row],[DUT Adj Read]]&lt;Table1[[#This Row],[High Tol]],"Pass","Fail")))</f>
        <v>Fail</v>
      </c>
      <c r="AF2180" s="1" t="str">
        <f>IF(AND(Table1[[#This Row],[Spec Type2]]="N/A",Table1[[#This Row],[DUT Adj Read]]="N/A",Table1[[#This Row],[Std Adj Read]]="N/A"),"N/A",IF(Table1[[#This Row],[DUT Adj Read]]="N/A",IF(Table1[[#This Row],[Std Adj Read]]&gt;=Table1[[#This Row],[Low Tol]],"Pass","Fail"),IF(Table1[[#This Row],[DUT Adj Read]]&gt;=Table1[[#This Row],[Low Tol]],"Pass","Fail")))</f>
        <v>Pass</v>
      </c>
      <c r="AG2180" s="1" t="str">
        <f>IF(AND(Table1[[#This Row],[Spec Type2]]="N/A",Table1[[#This Row],[DUT Adj Read]]="N/A",Table1[[#This Row],[Std Adj Read]]="N/A"),"N/A",IF(Table1[[#This Row],[DUT Adj Read]]="N/A",IF(Table1[[#This Row],[Std Adj Read]]&lt;=Table1[[#This Row],[High Tol]],"Pass","Fail"),IF(Table1[[#This Row],[DUT Adj Read]]&lt;=Table1[[#This Row],[High Tol]],"Pass","Fail")))</f>
        <v>Fail</v>
      </c>
      <c r="AH21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0" s="1" t="b">
        <v>0</v>
      </c>
      <c r="AN2180" s="1" t="b">
        <v>0</v>
      </c>
      <c r="AO2180" s="1" t="b">
        <v>0</v>
      </c>
    </row>
    <row r="2181" spans="1:41" x14ac:dyDescent="0.25">
      <c r="A2181" s="10"/>
      <c r="B2181" s="10"/>
      <c r="C2181" s="10"/>
      <c r="D2181" s="10"/>
      <c r="E2181" s="10"/>
      <c r="F2181" s="10"/>
      <c r="G2181" s="10"/>
      <c r="H2181" s="10"/>
      <c r="I2181" s="1" t="str">
        <f t="shared" si="99"/>
        <v/>
      </c>
      <c r="J2181" s="1" t="s">
        <v>35</v>
      </c>
      <c r="K2181" s="1" t="str">
        <f t="shared" si="100"/>
        <v/>
      </c>
      <c r="L2181" s="1" t="str">
        <f t="shared" si="101"/>
        <v/>
      </c>
      <c r="M2181" s="1">
        <f>IF(OR(Table1[[#This Row],[Std Nom]]="",Table1[[#This Row],[Std Read]]=""),0,Table1[[#This Row],[Std Nom]]-Table1[[#This Row],[Std Read]])</f>
        <v>0</v>
      </c>
      <c r="N2181" s="1">
        <f>IF(Calculations!$F$5="ACCREDITED 17025 WITH UNCERTAINTIES",$N$10,0)</f>
        <v>0</v>
      </c>
      <c r="O2181" s="1" t="str">
        <f>IFERROR(Table1[[#This Row],[Std Nom]]-(_xlfn.XLOOKUP(Table1[[#This Row],[Manufacturer]]&amp;" "&amp;Table1[[#This Row],[Model]],Table13[MFR &amp; MDL],Table13[Tolerance % CW ],"")/100*Table1[[#This Row],[Std Nom]]),"")</f>
        <v/>
      </c>
      <c r="P2181" s="1" t="str">
        <f>IFERROR(Table1[[#This Row],[Std Nom]]+(_xlfn.XLOOKUP(Table1[[#This Row],[Manufacturer]]&amp;" "&amp;Table1[[#This Row],[Model]],Table13[MFR &amp; MDL],Table13[Tolerance % CW ],"")/100*Table1[[#This Row],[Std Nom]]),"")</f>
        <v/>
      </c>
      <c r="Q2181" s="1" t="e">
        <f>Table1[[#This Row],[High Tol]]-Table1[[#This Row],[Low Tol]]</f>
        <v>#VALUE!</v>
      </c>
      <c r="R2181" s="1">
        <f>2*Table1[[#This Row],[Std Error]]</f>
        <v>0</v>
      </c>
      <c r="S2181" s="1" t="str">
        <f>IF(Table1[[#This Row],[High Tol]]="","N/A",IFERROR(ABS(Table1[[#This Row],[Tol Span]]/Table1[[#This Row],[Error Span]]),"N/A"))</f>
        <v>N/A</v>
      </c>
      <c r="T2181" s="1" t="str">
        <f>IF(OR(Table1[[#This Row],[Low Tol]]="",Table1[[#This Row],[High Tol]]=""),"Needs Analysis",IF(Table1[[#This Row],[Ratio]]&gt;=4,"Not Significant",IF(Table1[[#This Row],[Ratio]]&gt;=2,"Semi-Significant","Significant")))</f>
        <v>Needs Analysis</v>
      </c>
      <c r="W2181" s="1">
        <f>IF(Table1[[#This Row],[Cal Type]]&lt;&gt;"ACCREDITED 17025 WITH UNCERTAINTIES",0,"")</f>
        <v>0</v>
      </c>
      <c r="X2181" s="1" t="str">
        <f>IF(Table1[[#This Row],[DUT Read]]="","N/A",Table1[[#This Row],[Std Error]]+Table1[[#This Row],[DUT Read]]+Table1[[#This Row],[DUT Ucty]])</f>
        <v>N/A</v>
      </c>
      <c r="Y2181" s="1" t="str">
        <f>IF(Table1[[#This Row],[Std Read]]="","N/A",Table1[[#This Row],[Std Read]]+Table1[[#This Row],[Std Ucty]])</f>
        <v>N/A</v>
      </c>
      <c r="Z21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1" s="1" t="str">
        <f>IF(Table1[[#This Row],[Spec Type]]="","N/A",Table1[[#This Row],[Spec Type]])</f>
        <v>±</v>
      </c>
      <c r="AC2181" s="1" t="str">
        <f>IF(Table1[[#This Row],[Spec Type2]]="N/A","N/A",IF(AND(Table1[[#This Row],[DUT Adj Read]]&gt;=Table1[[#This Row],[Low Tol]],Table1[[#This Row],[DUT Adj Read]]&lt;=Table1[[#This Row],[High Tol]]),"Pass","Fail"))</f>
        <v>Fail</v>
      </c>
      <c r="AD2181" s="1" t="str">
        <f>IF(AND(Table1[[#This Row],[Spec Type2]]="N/A",Table1[[#This Row],[DUT Adj Read]]="N/A",Table1[[#This Row],[Std Adj Read]]="N/A"),"N/A",IF(Table1[[#This Row],[DUT Adj Read]]="N/A",IF(Table1[[#This Row],[Std Adj Read]]&gt;Table1[[#This Row],[Low Tol]],"Pass","Fail"),IF(Table1[[#This Row],[DUT Adj Read]]&gt;Table1[[#This Row],[Low Tol]],"Pass","Fail")))</f>
        <v>Pass</v>
      </c>
      <c r="AE2181" s="1" t="str">
        <f>IF(AND(Table1[[#This Row],[Spec Type2]]="N/A",Table1[[#This Row],[DUT Adj Read]]="N/A",Table1[[#This Row],[Std Adj Read]]="N/A"),"N/A",IF(Table1[[#This Row],[DUT Adj Read]]="N/A",IF(Table1[[#This Row],[Std Adj Read]]&lt;Table1[[#This Row],[High Tol]],"Pass","Fail"),IF(Table1[[#This Row],[DUT Adj Read]]&lt;Table1[[#This Row],[High Tol]],"Pass","Fail")))</f>
        <v>Fail</v>
      </c>
      <c r="AF2181" s="1" t="str">
        <f>IF(AND(Table1[[#This Row],[Spec Type2]]="N/A",Table1[[#This Row],[DUT Adj Read]]="N/A",Table1[[#This Row],[Std Adj Read]]="N/A"),"N/A",IF(Table1[[#This Row],[DUT Adj Read]]="N/A",IF(Table1[[#This Row],[Std Adj Read]]&gt;=Table1[[#This Row],[Low Tol]],"Pass","Fail"),IF(Table1[[#This Row],[DUT Adj Read]]&gt;=Table1[[#This Row],[Low Tol]],"Pass","Fail")))</f>
        <v>Pass</v>
      </c>
      <c r="AG2181" s="1" t="str">
        <f>IF(AND(Table1[[#This Row],[Spec Type2]]="N/A",Table1[[#This Row],[DUT Adj Read]]="N/A",Table1[[#This Row],[Std Adj Read]]="N/A"),"N/A",IF(Table1[[#This Row],[DUT Adj Read]]="N/A",IF(Table1[[#This Row],[Std Adj Read]]&lt;=Table1[[#This Row],[High Tol]],"Pass","Fail"),IF(Table1[[#This Row],[DUT Adj Read]]&lt;=Table1[[#This Row],[High Tol]],"Pass","Fail")))</f>
        <v>Fail</v>
      </c>
      <c r="AH21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1" s="1" t="b">
        <v>0</v>
      </c>
      <c r="AN2181" s="1" t="b">
        <v>0</v>
      </c>
      <c r="AO2181" s="1" t="b">
        <v>0</v>
      </c>
    </row>
    <row r="2182" spans="1:41" x14ac:dyDescent="0.25">
      <c r="A2182" s="10"/>
      <c r="B2182" s="10"/>
      <c r="C2182" s="10"/>
      <c r="D2182" s="10"/>
      <c r="E2182" s="10"/>
      <c r="F2182" s="10"/>
      <c r="G2182" s="10"/>
      <c r="H2182" s="10"/>
      <c r="I2182" s="1" t="str">
        <f t="shared" si="99"/>
        <v/>
      </c>
      <c r="J2182" s="1" t="s">
        <v>35</v>
      </c>
      <c r="K2182" s="1" t="str">
        <f t="shared" si="100"/>
        <v/>
      </c>
      <c r="L2182" s="1" t="str">
        <f t="shared" si="101"/>
        <v/>
      </c>
      <c r="M2182" s="1">
        <f>IF(OR(Table1[[#This Row],[Std Nom]]="",Table1[[#This Row],[Std Read]]=""),0,Table1[[#This Row],[Std Nom]]-Table1[[#This Row],[Std Read]])</f>
        <v>0</v>
      </c>
      <c r="N2182" s="1">
        <f>IF(Calculations!$F$5="ACCREDITED 17025 WITH UNCERTAINTIES",$N$10,0)</f>
        <v>0</v>
      </c>
      <c r="O2182" s="1" t="str">
        <f>IFERROR(Table1[[#This Row],[Std Nom]]-(_xlfn.XLOOKUP(Table1[[#This Row],[Manufacturer]]&amp;" "&amp;Table1[[#This Row],[Model]],Table13[MFR &amp; MDL],Table13[Tolerance % CW ],"")/100*Table1[[#This Row],[Std Nom]]),"")</f>
        <v/>
      </c>
      <c r="P2182" s="1" t="str">
        <f>IFERROR(Table1[[#This Row],[Std Nom]]+(_xlfn.XLOOKUP(Table1[[#This Row],[Manufacturer]]&amp;" "&amp;Table1[[#This Row],[Model]],Table13[MFR &amp; MDL],Table13[Tolerance % CW ],"")/100*Table1[[#This Row],[Std Nom]]),"")</f>
        <v/>
      </c>
      <c r="Q2182" s="1" t="e">
        <f>Table1[[#This Row],[High Tol]]-Table1[[#This Row],[Low Tol]]</f>
        <v>#VALUE!</v>
      </c>
      <c r="R2182" s="1">
        <f>2*Table1[[#This Row],[Std Error]]</f>
        <v>0</v>
      </c>
      <c r="S2182" s="1" t="str">
        <f>IF(Table1[[#This Row],[High Tol]]="","N/A",IFERROR(ABS(Table1[[#This Row],[Tol Span]]/Table1[[#This Row],[Error Span]]),"N/A"))</f>
        <v>N/A</v>
      </c>
      <c r="T2182" s="1" t="str">
        <f>IF(OR(Table1[[#This Row],[Low Tol]]="",Table1[[#This Row],[High Tol]]=""),"Needs Analysis",IF(Table1[[#This Row],[Ratio]]&gt;=4,"Not Significant",IF(Table1[[#This Row],[Ratio]]&gt;=2,"Semi-Significant","Significant")))</f>
        <v>Needs Analysis</v>
      </c>
      <c r="W2182" s="1">
        <f>IF(Table1[[#This Row],[Cal Type]]&lt;&gt;"ACCREDITED 17025 WITH UNCERTAINTIES",0,"")</f>
        <v>0</v>
      </c>
      <c r="X2182" s="1" t="str">
        <f>IF(Table1[[#This Row],[DUT Read]]="","N/A",Table1[[#This Row],[Std Error]]+Table1[[#This Row],[DUT Read]]+Table1[[#This Row],[DUT Ucty]])</f>
        <v>N/A</v>
      </c>
      <c r="Y2182" s="1" t="str">
        <f>IF(Table1[[#This Row],[Std Read]]="","N/A",Table1[[#This Row],[Std Read]]+Table1[[#This Row],[Std Ucty]])</f>
        <v>N/A</v>
      </c>
      <c r="Z21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2" s="1" t="str">
        <f>IF(Table1[[#This Row],[Spec Type]]="","N/A",Table1[[#This Row],[Spec Type]])</f>
        <v>±</v>
      </c>
      <c r="AC2182" s="1" t="str">
        <f>IF(Table1[[#This Row],[Spec Type2]]="N/A","N/A",IF(AND(Table1[[#This Row],[DUT Adj Read]]&gt;=Table1[[#This Row],[Low Tol]],Table1[[#This Row],[DUT Adj Read]]&lt;=Table1[[#This Row],[High Tol]]),"Pass","Fail"))</f>
        <v>Fail</v>
      </c>
      <c r="AD2182" s="1" t="str">
        <f>IF(AND(Table1[[#This Row],[Spec Type2]]="N/A",Table1[[#This Row],[DUT Adj Read]]="N/A",Table1[[#This Row],[Std Adj Read]]="N/A"),"N/A",IF(Table1[[#This Row],[DUT Adj Read]]="N/A",IF(Table1[[#This Row],[Std Adj Read]]&gt;Table1[[#This Row],[Low Tol]],"Pass","Fail"),IF(Table1[[#This Row],[DUT Adj Read]]&gt;Table1[[#This Row],[Low Tol]],"Pass","Fail")))</f>
        <v>Pass</v>
      </c>
      <c r="AE2182" s="1" t="str">
        <f>IF(AND(Table1[[#This Row],[Spec Type2]]="N/A",Table1[[#This Row],[DUT Adj Read]]="N/A",Table1[[#This Row],[Std Adj Read]]="N/A"),"N/A",IF(Table1[[#This Row],[DUT Adj Read]]="N/A",IF(Table1[[#This Row],[Std Adj Read]]&lt;Table1[[#This Row],[High Tol]],"Pass","Fail"),IF(Table1[[#This Row],[DUT Adj Read]]&lt;Table1[[#This Row],[High Tol]],"Pass","Fail")))</f>
        <v>Fail</v>
      </c>
      <c r="AF2182" s="1" t="str">
        <f>IF(AND(Table1[[#This Row],[Spec Type2]]="N/A",Table1[[#This Row],[DUT Adj Read]]="N/A",Table1[[#This Row],[Std Adj Read]]="N/A"),"N/A",IF(Table1[[#This Row],[DUT Adj Read]]="N/A",IF(Table1[[#This Row],[Std Adj Read]]&gt;=Table1[[#This Row],[Low Tol]],"Pass","Fail"),IF(Table1[[#This Row],[DUT Adj Read]]&gt;=Table1[[#This Row],[Low Tol]],"Pass","Fail")))</f>
        <v>Pass</v>
      </c>
      <c r="AG2182" s="1" t="str">
        <f>IF(AND(Table1[[#This Row],[Spec Type2]]="N/A",Table1[[#This Row],[DUT Adj Read]]="N/A",Table1[[#This Row],[Std Adj Read]]="N/A"),"N/A",IF(Table1[[#This Row],[DUT Adj Read]]="N/A",IF(Table1[[#This Row],[Std Adj Read]]&lt;=Table1[[#This Row],[High Tol]],"Pass","Fail"),IF(Table1[[#This Row],[DUT Adj Read]]&lt;=Table1[[#This Row],[High Tol]],"Pass","Fail")))</f>
        <v>Fail</v>
      </c>
      <c r="AH21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2" s="1" t="b">
        <v>0</v>
      </c>
      <c r="AN2182" s="1" t="b">
        <v>0</v>
      </c>
      <c r="AO2182" s="1" t="b">
        <v>0</v>
      </c>
    </row>
    <row r="2183" spans="1:41" x14ac:dyDescent="0.25">
      <c r="A2183" s="10"/>
      <c r="B2183" s="10"/>
      <c r="C2183" s="10"/>
      <c r="D2183" s="10"/>
      <c r="E2183" s="10"/>
      <c r="F2183" s="10"/>
      <c r="G2183" s="10"/>
      <c r="H2183" s="10"/>
      <c r="I2183" s="1" t="str">
        <f t="shared" si="99"/>
        <v/>
      </c>
      <c r="J2183" s="1" t="s">
        <v>35</v>
      </c>
      <c r="K2183" s="1" t="str">
        <f t="shared" si="100"/>
        <v/>
      </c>
      <c r="L2183" s="1" t="str">
        <f t="shared" si="101"/>
        <v/>
      </c>
      <c r="M2183" s="1">
        <f>IF(OR(Table1[[#This Row],[Std Nom]]="",Table1[[#This Row],[Std Read]]=""),0,Table1[[#This Row],[Std Nom]]-Table1[[#This Row],[Std Read]])</f>
        <v>0</v>
      </c>
      <c r="N2183" s="1">
        <f>IF(Calculations!$F$5="ACCREDITED 17025 WITH UNCERTAINTIES",$N$10,0)</f>
        <v>0</v>
      </c>
      <c r="O2183" s="1" t="str">
        <f>IFERROR(Table1[[#This Row],[Std Nom]]-(_xlfn.XLOOKUP(Table1[[#This Row],[Manufacturer]]&amp;" "&amp;Table1[[#This Row],[Model]],Table13[MFR &amp; MDL],Table13[Tolerance % CW ],"")/100*Table1[[#This Row],[Std Nom]]),"")</f>
        <v/>
      </c>
      <c r="P2183" s="1" t="str">
        <f>IFERROR(Table1[[#This Row],[Std Nom]]+(_xlfn.XLOOKUP(Table1[[#This Row],[Manufacturer]]&amp;" "&amp;Table1[[#This Row],[Model]],Table13[MFR &amp; MDL],Table13[Tolerance % CW ],"")/100*Table1[[#This Row],[Std Nom]]),"")</f>
        <v/>
      </c>
      <c r="Q2183" s="1" t="e">
        <f>Table1[[#This Row],[High Tol]]-Table1[[#This Row],[Low Tol]]</f>
        <v>#VALUE!</v>
      </c>
      <c r="R2183" s="1">
        <f>2*Table1[[#This Row],[Std Error]]</f>
        <v>0</v>
      </c>
      <c r="S2183" s="1" t="str">
        <f>IF(Table1[[#This Row],[High Tol]]="","N/A",IFERROR(ABS(Table1[[#This Row],[Tol Span]]/Table1[[#This Row],[Error Span]]),"N/A"))</f>
        <v>N/A</v>
      </c>
      <c r="T2183" s="1" t="str">
        <f>IF(OR(Table1[[#This Row],[Low Tol]]="",Table1[[#This Row],[High Tol]]=""),"Needs Analysis",IF(Table1[[#This Row],[Ratio]]&gt;=4,"Not Significant",IF(Table1[[#This Row],[Ratio]]&gt;=2,"Semi-Significant","Significant")))</f>
        <v>Needs Analysis</v>
      </c>
      <c r="W2183" s="1">
        <f>IF(Table1[[#This Row],[Cal Type]]&lt;&gt;"ACCREDITED 17025 WITH UNCERTAINTIES",0,"")</f>
        <v>0</v>
      </c>
      <c r="X2183" s="1" t="str">
        <f>IF(Table1[[#This Row],[DUT Read]]="","N/A",Table1[[#This Row],[Std Error]]+Table1[[#This Row],[DUT Read]]+Table1[[#This Row],[DUT Ucty]])</f>
        <v>N/A</v>
      </c>
      <c r="Y2183" s="1" t="str">
        <f>IF(Table1[[#This Row],[Std Read]]="","N/A",Table1[[#This Row],[Std Read]]+Table1[[#This Row],[Std Ucty]])</f>
        <v>N/A</v>
      </c>
      <c r="Z21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3" s="1" t="str">
        <f>IF(Table1[[#This Row],[Spec Type]]="","N/A",Table1[[#This Row],[Spec Type]])</f>
        <v>±</v>
      </c>
      <c r="AC2183" s="1" t="str">
        <f>IF(Table1[[#This Row],[Spec Type2]]="N/A","N/A",IF(AND(Table1[[#This Row],[DUT Adj Read]]&gt;=Table1[[#This Row],[Low Tol]],Table1[[#This Row],[DUT Adj Read]]&lt;=Table1[[#This Row],[High Tol]]),"Pass","Fail"))</f>
        <v>Fail</v>
      </c>
      <c r="AD2183" s="1" t="str">
        <f>IF(AND(Table1[[#This Row],[Spec Type2]]="N/A",Table1[[#This Row],[DUT Adj Read]]="N/A",Table1[[#This Row],[Std Adj Read]]="N/A"),"N/A",IF(Table1[[#This Row],[DUT Adj Read]]="N/A",IF(Table1[[#This Row],[Std Adj Read]]&gt;Table1[[#This Row],[Low Tol]],"Pass","Fail"),IF(Table1[[#This Row],[DUT Adj Read]]&gt;Table1[[#This Row],[Low Tol]],"Pass","Fail")))</f>
        <v>Pass</v>
      </c>
      <c r="AE2183" s="1" t="str">
        <f>IF(AND(Table1[[#This Row],[Spec Type2]]="N/A",Table1[[#This Row],[DUT Adj Read]]="N/A",Table1[[#This Row],[Std Adj Read]]="N/A"),"N/A",IF(Table1[[#This Row],[DUT Adj Read]]="N/A",IF(Table1[[#This Row],[Std Adj Read]]&lt;Table1[[#This Row],[High Tol]],"Pass","Fail"),IF(Table1[[#This Row],[DUT Adj Read]]&lt;Table1[[#This Row],[High Tol]],"Pass","Fail")))</f>
        <v>Fail</v>
      </c>
      <c r="AF2183" s="1" t="str">
        <f>IF(AND(Table1[[#This Row],[Spec Type2]]="N/A",Table1[[#This Row],[DUT Adj Read]]="N/A",Table1[[#This Row],[Std Adj Read]]="N/A"),"N/A",IF(Table1[[#This Row],[DUT Adj Read]]="N/A",IF(Table1[[#This Row],[Std Adj Read]]&gt;=Table1[[#This Row],[Low Tol]],"Pass","Fail"),IF(Table1[[#This Row],[DUT Adj Read]]&gt;=Table1[[#This Row],[Low Tol]],"Pass","Fail")))</f>
        <v>Pass</v>
      </c>
      <c r="AG2183" s="1" t="str">
        <f>IF(AND(Table1[[#This Row],[Spec Type2]]="N/A",Table1[[#This Row],[DUT Adj Read]]="N/A",Table1[[#This Row],[Std Adj Read]]="N/A"),"N/A",IF(Table1[[#This Row],[DUT Adj Read]]="N/A",IF(Table1[[#This Row],[Std Adj Read]]&lt;=Table1[[#This Row],[High Tol]],"Pass","Fail"),IF(Table1[[#This Row],[DUT Adj Read]]&lt;=Table1[[#This Row],[High Tol]],"Pass","Fail")))</f>
        <v>Fail</v>
      </c>
      <c r="AH21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3" s="1" t="b">
        <v>0</v>
      </c>
      <c r="AN2183" s="1" t="b">
        <v>0</v>
      </c>
      <c r="AO2183" s="1" t="b">
        <v>0</v>
      </c>
    </row>
    <row r="2184" spans="1:41" x14ac:dyDescent="0.25">
      <c r="A2184" s="10"/>
      <c r="B2184" s="10"/>
      <c r="C2184" s="10"/>
      <c r="D2184" s="10"/>
      <c r="E2184" s="10"/>
      <c r="F2184" s="10"/>
      <c r="G2184" s="10"/>
      <c r="H2184" s="10"/>
      <c r="I2184" s="1" t="str">
        <f t="shared" si="99"/>
        <v/>
      </c>
      <c r="J2184" s="1" t="s">
        <v>35</v>
      </c>
      <c r="K2184" s="1" t="str">
        <f t="shared" si="100"/>
        <v/>
      </c>
      <c r="L2184" s="1" t="str">
        <f t="shared" si="101"/>
        <v/>
      </c>
      <c r="M2184" s="1">
        <f>IF(OR(Table1[[#This Row],[Std Nom]]="",Table1[[#This Row],[Std Read]]=""),0,Table1[[#This Row],[Std Nom]]-Table1[[#This Row],[Std Read]])</f>
        <v>0</v>
      </c>
      <c r="N2184" s="1">
        <f>IF(Calculations!$F$5="ACCREDITED 17025 WITH UNCERTAINTIES",$N$10,0)</f>
        <v>0</v>
      </c>
      <c r="O2184" s="1" t="str">
        <f>IFERROR(Table1[[#This Row],[Std Nom]]-(_xlfn.XLOOKUP(Table1[[#This Row],[Manufacturer]]&amp;" "&amp;Table1[[#This Row],[Model]],Table13[MFR &amp; MDL],Table13[Tolerance % CW ],"")/100*Table1[[#This Row],[Std Nom]]),"")</f>
        <v/>
      </c>
      <c r="P2184" s="1" t="str">
        <f>IFERROR(Table1[[#This Row],[Std Nom]]+(_xlfn.XLOOKUP(Table1[[#This Row],[Manufacturer]]&amp;" "&amp;Table1[[#This Row],[Model]],Table13[MFR &amp; MDL],Table13[Tolerance % CW ],"")/100*Table1[[#This Row],[Std Nom]]),"")</f>
        <v/>
      </c>
      <c r="Q2184" s="1" t="e">
        <f>Table1[[#This Row],[High Tol]]-Table1[[#This Row],[Low Tol]]</f>
        <v>#VALUE!</v>
      </c>
      <c r="R2184" s="1">
        <f>2*Table1[[#This Row],[Std Error]]</f>
        <v>0</v>
      </c>
      <c r="S2184" s="1" t="str">
        <f>IF(Table1[[#This Row],[High Tol]]="","N/A",IFERROR(ABS(Table1[[#This Row],[Tol Span]]/Table1[[#This Row],[Error Span]]),"N/A"))</f>
        <v>N/A</v>
      </c>
      <c r="T2184" s="1" t="str">
        <f>IF(OR(Table1[[#This Row],[Low Tol]]="",Table1[[#This Row],[High Tol]]=""),"Needs Analysis",IF(Table1[[#This Row],[Ratio]]&gt;=4,"Not Significant",IF(Table1[[#This Row],[Ratio]]&gt;=2,"Semi-Significant","Significant")))</f>
        <v>Needs Analysis</v>
      </c>
      <c r="W2184" s="1">
        <f>IF(Table1[[#This Row],[Cal Type]]&lt;&gt;"ACCREDITED 17025 WITH UNCERTAINTIES",0,"")</f>
        <v>0</v>
      </c>
      <c r="X2184" s="1" t="str">
        <f>IF(Table1[[#This Row],[DUT Read]]="","N/A",Table1[[#This Row],[Std Error]]+Table1[[#This Row],[DUT Read]]+Table1[[#This Row],[DUT Ucty]])</f>
        <v>N/A</v>
      </c>
      <c r="Y2184" s="1" t="str">
        <f>IF(Table1[[#This Row],[Std Read]]="","N/A",Table1[[#This Row],[Std Read]]+Table1[[#This Row],[Std Ucty]])</f>
        <v>N/A</v>
      </c>
      <c r="Z21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4" s="1" t="str">
        <f>IF(Table1[[#This Row],[Spec Type]]="","N/A",Table1[[#This Row],[Spec Type]])</f>
        <v>±</v>
      </c>
      <c r="AC2184" s="1" t="str">
        <f>IF(Table1[[#This Row],[Spec Type2]]="N/A","N/A",IF(AND(Table1[[#This Row],[DUT Adj Read]]&gt;=Table1[[#This Row],[Low Tol]],Table1[[#This Row],[DUT Adj Read]]&lt;=Table1[[#This Row],[High Tol]]),"Pass","Fail"))</f>
        <v>Fail</v>
      </c>
      <c r="AD2184" s="1" t="str">
        <f>IF(AND(Table1[[#This Row],[Spec Type2]]="N/A",Table1[[#This Row],[DUT Adj Read]]="N/A",Table1[[#This Row],[Std Adj Read]]="N/A"),"N/A",IF(Table1[[#This Row],[DUT Adj Read]]="N/A",IF(Table1[[#This Row],[Std Adj Read]]&gt;Table1[[#This Row],[Low Tol]],"Pass","Fail"),IF(Table1[[#This Row],[DUT Adj Read]]&gt;Table1[[#This Row],[Low Tol]],"Pass","Fail")))</f>
        <v>Pass</v>
      </c>
      <c r="AE2184" s="1" t="str">
        <f>IF(AND(Table1[[#This Row],[Spec Type2]]="N/A",Table1[[#This Row],[DUT Adj Read]]="N/A",Table1[[#This Row],[Std Adj Read]]="N/A"),"N/A",IF(Table1[[#This Row],[DUT Adj Read]]="N/A",IF(Table1[[#This Row],[Std Adj Read]]&lt;Table1[[#This Row],[High Tol]],"Pass","Fail"),IF(Table1[[#This Row],[DUT Adj Read]]&lt;Table1[[#This Row],[High Tol]],"Pass","Fail")))</f>
        <v>Fail</v>
      </c>
      <c r="AF2184" s="1" t="str">
        <f>IF(AND(Table1[[#This Row],[Spec Type2]]="N/A",Table1[[#This Row],[DUT Adj Read]]="N/A",Table1[[#This Row],[Std Adj Read]]="N/A"),"N/A",IF(Table1[[#This Row],[DUT Adj Read]]="N/A",IF(Table1[[#This Row],[Std Adj Read]]&gt;=Table1[[#This Row],[Low Tol]],"Pass","Fail"),IF(Table1[[#This Row],[DUT Adj Read]]&gt;=Table1[[#This Row],[Low Tol]],"Pass","Fail")))</f>
        <v>Pass</v>
      </c>
      <c r="AG2184" s="1" t="str">
        <f>IF(AND(Table1[[#This Row],[Spec Type2]]="N/A",Table1[[#This Row],[DUT Adj Read]]="N/A",Table1[[#This Row],[Std Adj Read]]="N/A"),"N/A",IF(Table1[[#This Row],[DUT Adj Read]]="N/A",IF(Table1[[#This Row],[Std Adj Read]]&lt;=Table1[[#This Row],[High Tol]],"Pass","Fail"),IF(Table1[[#This Row],[DUT Adj Read]]&lt;=Table1[[#This Row],[High Tol]],"Pass","Fail")))</f>
        <v>Fail</v>
      </c>
      <c r="AH21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4" s="1" t="b">
        <v>0</v>
      </c>
      <c r="AN2184" s="1" t="b">
        <v>0</v>
      </c>
      <c r="AO2184" s="1" t="b">
        <v>0</v>
      </c>
    </row>
    <row r="2185" spans="1:41" x14ac:dyDescent="0.25">
      <c r="A2185" s="10"/>
      <c r="B2185" s="10"/>
      <c r="C2185" s="10"/>
      <c r="D2185" s="10"/>
      <c r="E2185" s="10"/>
      <c r="F2185" s="10"/>
      <c r="G2185" s="10"/>
      <c r="H2185" s="10"/>
      <c r="I2185" s="1" t="str">
        <f t="shared" si="99"/>
        <v/>
      </c>
      <c r="J2185" s="1" t="s">
        <v>35</v>
      </c>
      <c r="K2185" s="1" t="str">
        <f t="shared" si="100"/>
        <v/>
      </c>
      <c r="L2185" s="1" t="str">
        <f t="shared" si="101"/>
        <v/>
      </c>
      <c r="M2185" s="1">
        <f>IF(OR(Table1[[#This Row],[Std Nom]]="",Table1[[#This Row],[Std Read]]=""),0,Table1[[#This Row],[Std Nom]]-Table1[[#This Row],[Std Read]])</f>
        <v>0</v>
      </c>
      <c r="N2185" s="1">
        <f>IF(Calculations!$F$5="ACCREDITED 17025 WITH UNCERTAINTIES",$N$10,0)</f>
        <v>0</v>
      </c>
      <c r="O2185" s="1" t="str">
        <f>IFERROR(Table1[[#This Row],[Std Nom]]-(_xlfn.XLOOKUP(Table1[[#This Row],[Manufacturer]]&amp;" "&amp;Table1[[#This Row],[Model]],Table13[MFR &amp; MDL],Table13[Tolerance % CW ],"")/100*Table1[[#This Row],[Std Nom]]),"")</f>
        <v/>
      </c>
      <c r="P2185" s="1" t="str">
        <f>IFERROR(Table1[[#This Row],[Std Nom]]+(_xlfn.XLOOKUP(Table1[[#This Row],[Manufacturer]]&amp;" "&amp;Table1[[#This Row],[Model]],Table13[MFR &amp; MDL],Table13[Tolerance % CW ],"")/100*Table1[[#This Row],[Std Nom]]),"")</f>
        <v/>
      </c>
      <c r="Q2185" s="1" t="e">
        <f>Table1[[#This Row],[High Tol]]-Table1[[#This Row],[Low Tol]]</f>
        <v>#VALUE!</v>
      </c>
      <c r="R2185" s="1">
        <f>2*Table1[[#This Row],[Std Error]]</f>
        <v>0</v>
      </c>
      <c r="S2185" s="1" t="str">
        <f>IF(Table1[[#This Row],[High Tol]]="","N/A",IFERROR(ABS(Table1[[#This Row],[Tol Span]]/Table1[[#This Row],[Error Span]]),"N/A"))</f>
        <v>N/A</v>
      </c>
      <c r="T2185" s="1" t="str">
        <f>IF(OR(Table1[[#This Row],[Low Tol]]="",Table1[[#This Row],[High Tol]]=""),"Needs Analysis",IF(Table1[[#This Row],[Ratio]]&gt;=4,"Not Significant",IF(Table1[[#This Row],[Ratio]]&gt;=2,"Semi-Significant","Significant")))</f>
        <v>Needs Analysis</v>
      </c>
      <c r="W2185" s="1">
        <f>IF(Table1[[#This Row],[Cal Type]]&lt;&gt;"ACCREDITED 17025 WITH UNCERTAINTIES",0,"")</f>
        <v>0</v>
      </c>
      <c r="X2185" s="1" t="str">
        <f>IF(Table1[[#This Row],[DUT Read]]="","N/A",Table1[[#This Row],[Std Error]]+Table1[[#This Row],[DUT Read]]+Table1[[#This Row],[DUT Ucty]])</f>
        <v>N/A</v>
      </c>
      <c r="Y2185" s="1" t="str">
        <f>IF(Table1[[#This Row],[Std Read]]="","N/A",Table1[[#This Row],[Std Read]]+Table1[[#This Row],[Std Ucty]])</f>
        <v>N/A</v>
      </c>
      <c r="Z21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5" s="1" t="str">
        <f>IF(Table1[[#This Row],[Spec Type]]="","N/A",Table1[[#This Row],[Spec Type]])</f>
        <v>±</v>
      </c>
      <c r="AC2185" s="1" t="str">
        <f>IF(Table1[[#This Row],[Spec Type2]]="N/A","N/A",IF(AND(Table1[[#This Row],[DUT Adj Read]]&gt;=Table1[[#This Row],[Low Tol]],Table1[[#This Row],[DUT Adj Read]]&lt;=Table1[[#This Row],[High Tol]]),"Pass","Fail"))</f>
        <v>Fail</v>
      </c>
      <c r="AD2185" s="1" t="str">
        <f>IF(AND(Table1[[#This Row],[Spec Type2]]="N/A",Table1[[#This Row],[DUT Adj Read]]="N/A",Table1[[#This Row],[Std Adj Read]]="N/A"),"N/A",IF(Table1[[#This Row],[DUT Adj Read]]="N/A",IF(Table1[[#This Row],[Std Adj Read]]&gt;Table1[[#This Row],[Low Tol]],"Pass","Fail"),IF(Table1[[#This Row],[DUT Adj Read]]&gt;Table1[[#This Row],[Low Tol]],"Pass","Fail")))</f>
        <v>Pass</v>
      </c>
      <c r="AE2185" s="1" t="str">
        <f>IF(AND(Table1[[#This Row],[Spec Type2]]="N/A",Table1[[#This Row],[DUT Adj Read]]="N/A",Table1[[#This Row],[Std Adj Read]]="N/A"),"N/A",IF(Table1[[#This Row],[DUT Adj Read]]="N/A",IF(Table1[[#This Row],[Std Adj Read]]&lt;Table1[[#This Row],[High Tol]],"Pass","Fail"),IF(Table1[[#This Row],[DUT Adj Read]]&lt;Table1[[#This Row],[High Tol]],"Pass","Fail")))</f>
        <v>Fail</v>
      </c>
      <c r="AF2185" s="1" t="str">
        <f>IF(AND(Table1[[#This Row],[Spec Type2]]="N/A",Table1[[#This Row],[DUT Adj Read]]="N/A",Table1[[#This Row],[Std Adj Read]]="N/A"),"N/A",IF(Table1[[#This Row],[DUT Adj Read]]="N/A",IF(Table1[[#This Row],[Std Adj Read]]&gt;=Table1[[#This Row],[Low Tol]],"Pass","Fail"),IF(Table1[[#This Row],[DUT Adj Read]]&gt;=Table1[[#This Row],[Low Tol]],"Pass","Fail")))</f>
        <v>Pass</v>
      </c>
      <c r="AG2185" s="1" t="str">
        <f>IF(AND(Table1[[#This Row],[Spec Type2]]="N/A",Table1[[#This Row],[DUT Adj Read]]="N/A",Table1[[#This Row],[Std Adj Read]]="N/A"),"N/A",IF(Table1[[#This Row],[DUT Adj Read]]="N/A",IF(Table1[[#This Row],[Std Adj Read]]&lt;=Table1[[#This Row],[High Tol]],"Pass","Fail"),IF(Table1[[#This Row],[DUT Adj Read]]&lt;=Table1[[#This Row],[High Tol]],"Pass","Fail")))</f>
        <v>Fail</v>
      </c>
      <c r="AH21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5" s="1" t="b">
        <v>0</v>
      </c>
      <c r="AN2185" s="1" t="b">
        <v>0</v>
      </c>
      <c r="AO2185" s="1" t="b">
        <v>0</v>
      </c>
    </row>
    <row r="2186" spans="1:41" x14ac:dyDescent="0.25">
      <c r="A2186" s="10"/>
      <c r="B2186" s="10"/>
      <c r="C2186" s="10"/>
      <c r="D2186" s="10"/>
      <c r="E2186" s="10"/>
      <c r="F2186" s="10"/>
      <c r="G2186" s="10"/>
      <c r="H2186" s="10"/>
      <c r="I2186" s="1" t="str">
        <f t="shared" si="99"/>
        <v/>
      </c>
      <c r="J2186" s="1" t="s">
        <v>35</v>
      </c>
      <c r="K2186" s="1" t="str">
        <f t="shared" si="100"/>
        <v/>
      </c>
      <c r="L2186" s="1" t="str">
        <f t="shared" si="101"/>
        <v/>
      </c>
      <c r="M2186" s="1">
        <f>IF(OR(Table1[[#This Row],[Std Nom]]="",Table1[[#This Row],[Std Read]]=""),0,Table1[[#This Row],[Std Nom]]-Table1[[#This Row],[Std Read]])</f>
        <v>0</v>
      </c>
      <c r="N2186" s="1">
        <f>IF(Calculations!$F$5="ACCREDITED 17025 WITH UNCERTAINTIES",$N$10,0)</f>
        <v>0</v>
      </c>
      <c r="O2186" s="1" t="str">
        <f>IFERROR(Table1[[#This Row],[Std Nom]]-(_xlfn.XLOOKUP(Table1[[#This Row],[Manufacturer]]&amp;" "&amp;Table1[[#This Row],[Model]],Table13[MFR &amp; MDL],Table13[Tolerance % CW ],"")/100*Table1[[#This Row],[Std Nom]]),"")</f>
        <v/>
      </c>
      <c r="P2186" s="1" t="str">
        <f>IFERROR(Table1[[#This Row],[Std Nom]]+(_xlfn.XLOOKUP(Table1[[#This Row],[Manufacturer]]&amp;" "&amp;Table1[[#This Row],[Model]],Table13[MFR &amp; MDL],Table13[Tolerance % CW ],"")/100*Table1[[#This Row],[Std Nom]]),"")</f>
        <v/>
      </c>
      <c r="Q2186" s="1" t="e">
        <f>Table1[[#This Row],[High Tol]]-Table1[[#This Row],[Low Tol]]</f>
        <v>#VALUE!</v>
      </c>
      <c r="R2186" s="1">
        <f>2*Table1[[#This Row],[Std Error]]</f>
        <v>0</v>
      </c>
      <c r="S2186" s="1" t="str">
        <f>IF(Table1[[#This Row],[High Tol]]="","N/A",IFERROR(ABS(Table1[[#This Row],[Tol Span]]/Table1[[#This Row],[Error Span]]),"N/A"))</f>
        <v>N/A</v>
      </c>
      <c r="T2186" s="1" t="str">
        <f>IF(OR(Table1[[#This Row],[Low Tol]]="",Table1[[#This Row],[High Tol]]=""),"Needs Analysis",IF(Table1[[#This Row],[Ratio]]&gt;=4,"Not Significant",IF(Table1[[#This Row],[Ratio]]&gt;=2,"Semi-Significant","Significant")))</f>
        <v>Needs Analysis</v>
      </c>
      <c r="W2186" s="1">
        <f>IF(Table1[[#This Row],[Cal Type]]&lt;&gt;"ACCREDITED 17025 WITH UNCERTAINTIES",0,"")</f>
        <v>0</v>
      </c>
      <c r="X2186" s="1" t="str">
        <f>IF(Table1[[#This Row],[DUT Read]]="","N/A",Table1[[#This Row],[Std Error]]+Table1[[#This Row],[DUT Read]]+Table1[[#This Row],[DUT Ucty]])</f>
        <v>N/A</v>
      </c>
      <c r="Y2186" s="1" t="str">
        <f>IF(Table1[[#This Row],[Std Read]]="","N/A",Table1[[#This Row],[Std Read]]+Table1[[#This Row],[Std Ucty]])</f>
        <v>N/A</v>
      </c>
      <c r="Z21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6" s="1" t="str">
        <f>IF(Table1[[#This Row],[Spec Type]]="","N/A",Table1[[#This Row],[Spec Type]])</f>
        <v>±</v>
      </c>
      <c r="AC2186" s="1" t="str">
        <f>IF(Table1[[#This Row],[Spec Type2]]="N/A","N/A",IF(AND(Table1[[#This Row],[DUT Adj Read]]&gt;=Table1[[#This Row],[Low Tol]],Table1[[#This Row],[DUT Adj Read]]&lt;=Table1[[#This Row],[High Tol]]),"Pass","Fail"))</f>
        <v>Fail</v>
      </c>
      <c r="AD2186" s="1" t="str">
        <f>IF(AND(Table1[[#This Row],[Spec Type2]]="N/A",Table1[[#This Row],[DUT Adj Read]]="N/A",Table1[[#This Row],[Std Adj Read]]="N/A"),"N/A",IF(Table1[[#This Row],[DUT Adj Read]]="N/A",IF(Table1[[#This Row],[Std Adj Read]]&gt;Table1[[#This Row],[Low Tol]],"Pass","Fail"),IF(Table1[[#This Row],[DUT Adj Read]]&gt;Table1[[#This Row],[Low Tol]],"Pass","Fail")))</f>
        <v>Pass</v>
      </c>
      <c r="AE2186" s="1" t="str">
        <f>IF(AND(Table1[[#This Row],[Spec Type2]]="N/A",Table1[[#This Row],[DUT Adj Read]]="N/A",Table1[[#This Row],[Std Adj Read]]="N/A"),"N/A",IF(Table1[[#This Row],[DUT Adj Read]]="N/A",IF(Table1[[#This Row],[Std Adj Read]]&lt;Table1[[#This Row],[High Tol]],"Pass","Fail"),IF(Table1[[#This Row],[DUT Adj Read]]&lt;Table1[[#This Row],[High Tol]],"Pass","Fail")))</f>
        <v>Fail</v>
      </c>
      <c r="AF2186" s="1" t="str">
        <f>IF(AND(Table1[[#This Row],[Spec Type2]]="N/A",Table1[[#This Row],[DUT Adj Read]]="N/A",Table1[[#This Row],[Std Adj Read]]="N/A"),"N/A",IF(Table1[[#This Row],[DUT Adj Read]]="N/A",IF(Table1[[#This Row],[Std Adj Read]]&gt;=Table1[[#This Row],[Low Tol]],"Pass","Fail"),IF(Table1[[#This Row],[DUT Adj Read]]&gt;=Table1[[#This Row],[Low Tol]],"Pass","Fail")))</f>
        <v>Pass</v>
      </c>
      <c r="AG2186" s="1" t="str">
        <f>IF(AND(Table1[[#This Row],[Spec Type2]]="N/A",Table1[[#This Row],[DUT Adj Read]]="N/A",Table1[[#This Row],[Std Adj Read]]="N/A"),"N/A",IF(Table1[[#This Row],[DUT Adj Read]]="N/A",IF(Table1[[#This Row],[Std Adj Read]]&lt;=Table1[[#This Row],[High Tol]],"Pass","Fail"),IF(Table1[[#This Row],[DUT Adj Read]]&lt;=Table1[[#This Row],[High Tol]],"Pass","Fail")))</f>
        <v>Fail</v>
      </c>
      <c r="AH21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6" s="1" t="b">
        <v>0</v>
      </c>
      <c r="AN2186" s="1" t="b">
        <v>0</v>
      </c>
      <c r="AO2186" s="1" t="b">
        <v>0</v>
      </c>
    </row>
    <row r="2187" spans="1:41" x14ac:dyDescent="0.25">
      <c r="A2187" s="10"/>
      <c r="B2187" s="10"/>
      <c r="C2187" s="10"/>
      <c r="D2187" s="10"/>
      <c r="E2187" s="10"/>
      <c r="F2187" s="10"/>
      <c r="G2187" s="10"/>
      <c r="H2187" s="10"/>
      <c r="I2187" s="1" t="str">
        <f t="shared" ref="I2187:I2250" si="102">IF($I$10="","",$I$10)</f>
        <v/>
      </c>
      <c r="J2187" s="1" t="s">
        <v>35</v>
      </c>
      <c r="K2187" s="1" t="str">
        <f t="shared" ref="K2187:K2250" si="103">IF($K$10="","",$K$10)</f>
        <v/>
      </c>
      <c r="L2187" s="1" t="str">
        <f t="shared" ref="L2187:L2250" si="104">IF($L$10="","",$L$10)</f>
        <v/>
      </c>
      <c r="M2187" s="1">
        <f>IF(OR(Table1[[#This Row],[Std Nom]]="",Table1[[#This Row],[Std Read]]=""),0,Table1[[#This Row],[Std Nom]]-Table1[[#This Row],[Std Read]])</f>
        <v>0</v>
      </c>
      <c r="N2187" s="1">
        <f>IF(Calculations!$F$5="ACCREDITED 17025 WITH UNCERTAINTIES",$N$10,0)</f>
        <v>0</v>
      </c>
      <c r="O2187" s="1" t="str">
        <f>IFERROR(Table1[[#This Row],[Std Nom]]-(_xlfn.XLOOKUP(Table1[[#This Row],[Manufacturer]]&amp;" "&amp;Table1[[#This Row],[Model]],Table13[MFR &amp; MDL],Table13[Tolerance % CW ],"")/100*Table1[[#This Row],[Std Nom]]),"")</f>
        <v/>
      </c>
      <c r="P2187" s="1" t="str">
        <f>IFERROR(Table1[[#This Row],[Std Nom]]+(_xlfn.XLOOKUP(Table1[[#This Row],[Manufacturer]]&amp;" "&amp;Table1[[#This Row],[Model]],Table13[MFR &amp; MDL],Table13[Tolerance % CW ],"")/100*Table1[[#This Row],[Std Nom]]),"")</f>
        <v/>
      </c>
      <c r="Q2187" s="1" t="e">
        <f>Table1[[#This Row],[High Tol]]-Table1[[#This Row],[Low Tol]]</f>
        <v>#VALUE!</v>
      </c>
      <c r="R2187" s="1">
        <f>2*Table1[[#This Row],[Std Error]]</f>
        <v>0</v>
      </c>
      <c r="S2187" s="1" t="str">
        <f>IF(Table1[[#This Row],[High Tol]]="","N/A",IFERROR(ABS(Table1[[#This Row],[Tol Span]]/Table1[[#This Row],[Error Span]]),"N/A"))</f>
        <v>N/A</v>
      </c>
      <c r="T2187" s="1" t="str">
        <f>IF(OR(Table1[[#This Row],[Low Tol]]="",Table1[[#This Row],[High Tol]]=""),"Needs Analysis",IF(Table1[[#This Row],[Ratio]]&gt;=4,"Not Significant",IF(Table1[[#This Row],[Ratio]]&gt;=2,"Semi-Significant","Significant")))</f>
        <v>Needs Analysis</v>
      </c>
      <c r="W2187" s="1">
        <f>IF(Table1[[#This Row],[Cal Type]]&lt;&gt;"ACCREDITED 17025 WITH UNCERTAINTIES",0,"")</f>
        <v>0</v>
      </c>
      <c r="X2187" s="1" t="str">
        <f>IF(Table1[[#This Row],[DUT Read]]="","N/A",Table1[[#This Row],[Std Error]]+Table1[[#This Row],[DUT Read]]+Table1[[#This Row],[DUT Ucty]])</f>
        <v>N/A</v>
      </c>
      <c r="Y2187" s="1" t="str">
        <f>IF(Table1[[#This Row],[Std Read]]="","N/A",Table1[[#This Row],[Std Read]]+Table1[[#This Row],[Std Ucty]])</f>
        <v>N/A</v>
      </c>
      <c r="Z21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7" s="1" t="str">
        <f>IF(Table1[[#This Row],[Spec Type]]="","N/A",Table1[[#This Row],[Spec Type]])</f>
        <v>±</v>
      </c>
      <c r="AC2187" s="1" t="str">
        <f>IF(Table1[[#This Row],[Spec Type2]]="N/A","N/A",IF(AND(Table1[[#This Row],[DUT Adj Read]]&gt;=Table1[[#This Row],[Low Tol]],Table1[[#This Row],[DUT Adj Read]]&lt;=Table1[[#This Row],[High Tol]]),"Pass","Fail"))</f>
        <v>Fail</v>
      </c>
      <c r="AD2187" s="1" t="str">
        <f>IF(AND(Table1[[#This Row],[Spec Type2]]="N/A",Table1[[#This Row],[DUT Adj Read]]="N/A",Table1[[#This Row],[Std Adj Read]]="N/A"),"N/A",IF(Table1[[#This Row],[DUT Adj Read]]="N/A",IF(Table1[[#This Row],[Std Adj Read]]&gt;Table1[[#This Row],[Low Tol]],"Pass","Fail"),IF(Table1[[#This Row],[DUT Adj Read]]&gt;Table1[[#This Row],[Low Tol]],"Pass","Fail")))</f>
        <v>Pass</v>
      </c>
      <c r="AE2187" s="1" t="str">
        <f>IF(AND(Table1[[#This Row],[Spec Type2]]="N/A",Table1[[#This Row],[DUT Adj Read]]="N/A",Table1[[#This Row],[Std Adj Read]]="N/A"),"N/A",IF(Table1[[#This Row],[DUT Adj Read]]="N/A",IF(Table1[[#This Row],[Std Adj Read]]&lt;Table1[[#This Row],[High Tol]],"Pass","Fail"),IF(Table1[[#This Row],[DUT Adj Read]]&lt;Table1[[#This Row],[High Tol]],"Pass","Fail")))</f>
        <v>Fail</v>
      </c>
      <c r="AF2187" s="1" t="str">
        <f>IF(AND(Table1[[#This Row],[Spec Type2]]="N/A",Table1[[#This Row],[DUT Adj Read]]="N/A",Table1[[#This Row],[Std Adj Read]]="N/A"),"N/A",IF(Table1[[#This Row],[DUT Adj Read]]="N/A",IF(Table1[[#This Row],[Std Adj Read]]&gt;=Table1[[#This Row],[Low Tol]],"Pass","Fail"),IF(Table1[[#This Row],[DUT Adj Read]]&gt;=Table1[[#This Row],[Low Tol]],"Pass","Fail")))</f>
        <v>Pass</v>
      </c>
      <c r="AG2187" s="1" t="str">
        <f>IF(AND(Table1[[#This Row],[Spec Type2]]="N/A",Table1[[#This Row],[DUT Adj Read]]="N/A",Table1[[#This Row],[Std Adj Read]]="N/A"),"N/A",IF(Table1[[#This Row],[DUT Adj Read]]="N/A",IF(Table1[[#This Row],[Std Adj Read]]&lt;=Table1[[#This Row],[High Tol]],"Pass","Fail"),IF(Table1[[#This Row],[DUT Adj Read]]&lt;=Table1[[#This Row],[High Tol]],"Pass","Fail")))</f>
        <v>Fail</v>
      </c>
      <c r="AH21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7" s="1" t="b">
        <v>0</v>
      </c>
      <c r="AN2187" s="1" t="b">
        <v>0</v>
      </c>
      <c r="AO2187" s="1" t="b">
        <v>0</v>
      </c>
    </row>
    <row r="2188" spans="1:41" x14ac:dyDescent="0.25">
      <c r="A2188" s="10"/>
      <c r="B2188" s="10"/>
      <c r="C2188" s="10"/>
      <c r="D2188" s="10"/>
      <c r="E2188" s="10"/>
      <c r="F2188" s="10"/>
      <c r="G2188" s="10"/>
      <c r="H2188" s="10"/>
      <c r="I2188" s="1" t="str">
        <f t="shared" si="102"/>
        <v/>
      </c>
      <c r="J2188" s="1" t="s">
        <v>35</v>
      </c>
      <c r="K2188" s="1" t="str">
        <f t="shared" si="103"/>
        <v/>
      </c>
      <c r="L2188" s="1" t="str">
        <f t="shared" si="104"/>
        <v/>
      </c>
      <c r="M2188" s="1">
        <f>IF(OR(Table1[[#This Row],[Std Nom]]="",Table1[[#This Row],[Std Read]]=""),0,Table1[[#This Row],[Std Nom]]-Table1[[#This Row],[Std Read]])</f>
        <v>0</v>
      </c>
      <c r="N2188" s="1">
        <f>IF(Calculations!$F$5="ACCREDITED 17025 WITH UNCERTAINTIES",$N$10,0)</f>
        <v>0</v>
      </c>
      <c r="O2188" s="1" t="str">
        <f>IFERROR(Table1[[#This Row],[Std Nom]]-(_xlfn.XLOOKUP(Table1[[#This Row],[Manufacturer]]&amp;" "&amp;Table1[[#This Row],[Model]],Table13[MFR &amp; MDL],Table13[Tolerance % CW ],"")/100*Table1[[#This Row],[Std Nom]]),"")</f>
        <v/>
      </c>
      <c r="P2188" s="1" t="str">
        <f>IFERROR(Table1[[#This Row],[Std Nom]]+(_xlfn.XLOOKUP(Table1[[#This Row],[Manufacturer]]&amp;" "&amp;Table1[[#This Row],[Model]],Table13[MFR &amp; MDL],Table13[Tolerance % CW ],"")/100*Table1[[#This Row],[Std Nom]]),"")</f>
        <v/>
      </c>
      <c r="Q2188" s="1" t="e">
        <f>Table1[[#This Row],[High Tol]]-Table1[[#This Row],[Low Tol]]</f>
        <v>#VALUE!</v>
      </c>
      <c r="R2188" s="1">
        <f>2*Table1[[#This Row],[Std Error]]</f>
        <v>0</v>
      </c>
      <c r="S2188" s="1" t="str">
        <f>IF(Table1[[#This Row],[High Tol]]="","N/A",IFERROR(ABS(Table1[[#This Row],[Tol Span]]/Table1[[#This Row],[Error Span]]),"N/A"))</f>
        <v>N/A</v>
      </c>
      <c r="T2188" s="1" t="str">
        <f>IF(OR(Table1[[#This Row],[Low Tol]]="",Table1[[#This Row],[High Tol]]=""),"Needs Analysis",IF(Table1[[#This Row],[Ratio]]&gt;=4,"Not Significant",IF(Table1[[#This Row],[Ratio]]&gt;=2,"Semi-Significant","Significant")))</f>
        <v>Needs Analysis</v>
      </c>
      <c r="W2188" s="1">
        <f>IF(Table1[[#This Row],[Cal Type]]&lt;&gt;"ACCREDITED 17025 WITH UNCERTAINTIES",0,"")</f>
        <v>0</v>
      </c>
      <c r="X2188" s="1" t="str">
        <f>IF(Table1[[#This Row],[DUT Read]]="","N/A",Table1[[#This Row],[Std Error]]+Table1[[#This Row],[DUT Read]]+Table1[[#This Row],[DUT Ucty]])</f>
        <v>N/A</v>
      </c>
      <c r="Y2188" s="1" t="str">
        <f>IF(Table1[[#This Row],[Std Read]]="","N/A",Table1[[#This Row],[Std Read]]+Table1[[#This Row],[Std Ucty]])</f>
        <v>N/A</v>
      </c>
      <c r="Z21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8" s="1" t="str">
        <f>IF(Table1[[#This Row],[Spec Type]]="","N/A",Table1[[#This Row],[Spec Type]])</f>
        <v>±</v>
      </c>
      <c r="AC2188" s="1" t="str">
        <f>IF(Table1[[#This Row],[Spec Type2]]="N/A","N/A",IF(AND(Table1[[#This Row],[DUT Adj Read]]&gt;=Table1[[#This Row],[Low Tol]],Table1[[#This Row],[DUT Adj Read]]&lt;=Table1[[#This Row],[High Tol]]),"Pass","Fail"))</f>
        <v>Fail</v>
      </c>
      <c r="AD2188" s="1" t="str">
        <f>IF(AND(Table1[[#This Row],[Spec Type2]]="N/A",Table1[[#This Row],[DUT Adj Read]]="N/A",Table1[[#This Row],[Std Adj Read]]="N/A"),"N/A",IF(Table1[[#This Row],[DUT Adj Read]]="N/A",IF(Table1[[#This Row],[Std Adj Read]]&gt;Table1[[#This Row],[Low Tol]],"Pass","Fail"),IF(Table1[[#This Row],[DUT Adj Read]]&gt;Table1[[#This Row],[Low Tol]],"Pass","Fail")))</f>
        <v>Pass</v>
      </c>
      <c r="AE2188" s="1" t="str">
        <f>IF(AND(Table1[[#This Row],[Spec Type2]]="N/A",Table1[[#This Row],[DUT Adj Read]]="N/A",Table1[[#This Row],[Std Adj Read]]="N/A"),"N/A",IF(Table1[[#This Row],[DUT Adj Read]]="N/A",IF(Table1[[#This Row],[Std Adj Read]]&lt;Table1[[#This Row],[High Tol]],"Pass","Fail"),IF(Table1[[#This Row],[DUT Adj Read]]&lt;Table1[[#This Row],[High Tol]],"Pass","Fail")))</f>
        <v>Fail</v>
      </c>
      <c r="AF2188" s="1" t="str">
        <f>IF(AND(Table1[[#This Row],[Spec Type2]]="N/A",Table1[[#This Row],[DUT Adj Read]]="N/A",Table1[[#This Row],[Std Adj Read]]="N/A"),"N/A",IF(Table1[[#This Row],[DUT Adj Read]]="N/A",IF(Table1[[#This Row],[Std Adj Read]]&gt;=Table1[[#This Row],[Low Tol]],"Pass","Fail"),IF(Table1[[#This Row],[DUT Adj Read]]&gt;=Table1[[#This Row],[Low Tol]],"Pass","Fail")))</f>
        <v>Pass</v>
      </c>
      <c r="AG2188" s="1" t="str">
        <f>IF(AND(Table1[[#This Row],[Spec Type2]]="N/A",Table1[[#This Row],[DUT Adj Read]]="N/A",Table1[[#This Row],[Std Adj Read]]="N/A"),"N/A",IF(Table1[[#This Row],[DUT Adj Read]]="N/A",IF(Table1[[#This Row],[Std Adj Read]]&lt;=Table1[[#This Row],[High Tol]],"Pass","Fail"),IF(Table1[[#This Row],[DUT Adj Read]]&lt;=Table1[[#This Row],[High Tol]],"Pass","Fail")))</f>
        <v>Fail</v>
      </c>
      <c r="AH21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8" s="1" t="b">
        <v>0</v>
      </c>
      <c r="AN2188" s="1" t="b">
        <v>0</v>
      </c>
      <c r="AO2188" s="1" t="b">
        <v>0</v>
      </c>
    </row>
    <row r="2189" spans="1:41" x14ac:dyDescent="0.25">
      <c r="A2189" s="10"/>
      <c r="B2189" s="10"/>
      <c r="C2189" s="10"/>
      <c r="D2189" s="10"/>
      <c r="E2189" s="10"/>
      <c r="F2189" s="10"/>
      <c r="G2189" s="10"/>
      <c r="H2189" s="10"/>
      <c r="I2189" s="1" t="str">
        <f t="shared" si="102"/>
        <v/>
      </c>
      <c r="J2189" s="1" t="s">
        <v>35</v>
      </c>
      <c r="K2189" s="1" t="str">
        <f t="shared" si="103"/>
        <v/>
      </c>
      <c r="L2189" s="1" t="str">
        <f t="shared" si="104"/>
        <v/>
      </c>
      <c r="M2189" s="1">
        <f>IF(OR(Table1[[#This Row],[Std Nom]]="",Table1[[#This Row],[Std Read]]=""),0,Table1[[#This Row],[Std Nom]]-Table1[[#This Row],[Std Read]])</f>
        <v>0</v>
      </c>
      <c r="N2189" s="1">
        <f>IF(Calculations!$F$5="ACCREDITED 17025 WITH UNCERTAINTIES",$N$10,0)</f>
        <v>0</v>
      </c>
      <c r="O2189" s="1" t="str">
        <f>IFERROR(Table1[[#This Row],[Std Nom]]-(_xlfn.XLOOKUP(Table1[[#This Row],[Manufacturer]]&amp;" "&amp;Table1[[#This Row],[Model]],Table13[MFR &amp; MDL],Table13[Tolerance % CW ],"")/100*Table1[[#This Row],[Std Nom]]),"")</f>
        <v/>
      </c>
      <c r="P2189" s="1" t="str">
        <f>IFERROR(Table1[[#This Row],[Std Nom]]+(_xlfn.XLOOKUP(Table1[[#This Row],[Manufacturer]]&amp;" "&amp;Table1[[#This Row],[Model]],Table13[MFR &amp; MDL],Table13[Tolerance % CW ],"")/100*Table1[[#This Row],[Std Nom]]),"")</f>
        <v/>
      </c>
      <c r="Q2189" s="1" t="e">
        <f>Table1[[#This Row],[High Tol]]-Table1[[#This Row],[Low Tol]]</f>
        <v>#VALUE!</v>
      </c>
      <c r="R2189" s="1">
        <f>2*Table1[[#This Row],[Std Error]]</f>
        <v>0</v>
      </c>
      <c r="S2189" s="1" t="str">
        <f>IF(Table1[[#This Row],[High Tol]]="","N/A",IFERROR(ABS(Table1[[#This Row],[Tol Span]]/Table1[[#This Row],[Error Span]]),"N/A"))</f>
        <v>N/A</v>
      </c>
      <c r="T2189" s="1" t="str">
        <f>IF(OR(Table1[[#This Row],[Low Tol]]="",Table1[[#This Row],[High Tol]]=""),"Needs Analysis",IF(Table1[[#This Row],[Ratio]]&gt;=4,"Not Significant",IF(Table1[[#This Row],[Ratio]]&gt;=2,"Semi-Significant","Significant")))</f>
        <v>Needs Analysis</v>
      </c>
      <c r="W2189" s="1">
        <f>IF(Table1[[#This Row],[Cal Type]]&lt;&gt;"ACCREDITED 17025 WITH UNCERTAINTIES",0,"")</f>
        <v>0</v>
      </c>
      <c r="X2189" s="1" t="str">
        <f>IF(Table1[[#This Row],[DUT Read]]="","N/A",Table1[[#This Row],[Std Error]]+Table1[[#This Row],[DUT Read]]+Table1[[#This Row],[DUT Ucty]])</f>
        <v>N/A</v>
      </c>
      <c r="Y2189" s="1" t="str">
        <f>IF(Table1[[#This Row],[Std Read]]="","N/A",Table1[[#This Row],[Std Read]]+Table1[[#This Row],[Std Ucty]])</f>
        <v>N/A</v>
      </c>
      <c r="Z21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9" s="1" t="str">
        <f>IF(Table1[[#This Row],[Spec Type]]="","N/A",Table1[[#This Row],[Spec Type]])</f>
        <v>±</v>
      </c>
      <c r="AC2189" s="1" t="str">
        <f>IF(Table1[[#This Row],[Spec Type2]]="N/A","N/A",IF(AND(Table1[[#This Row],[DUT Adj Read]]&gt;=Table1[[#This Row],[Low Tol]],Table1[[#This Row],[DUT Adj Read]]&lt;=Table1[[#This Row],[High Tol]]),"Pass","Fail"))</f>
        <v>Fail</v>
      </c>
      <c r="AD2189" s="1" t="str">
        <f>IF(AND(Table1[[#This Row],[Spec Type2]]="N/A",Table1[[#This Row],[DUT Adj Read]]="N/A",Table1[[#This Row],[Std Adj Read]]="N/A"),"N/A",IF(Table1[[#This Row],[DUT Adj Read]]="N/A",IF(Table1[[#This Row],[Std Adj Read]]&gt;Table1[[#This Row],[Low Tol]],"Pass","Fail"),IF(Table1[[#This Row],[DUT Adj Read]]&gt;Table1[[#This Row],[Low Tol]],"Pass","Fail")))</f>
        <v>Pass</v>
      </c>
      <c r="AE2189" s="1" t="str">
        <f>IF(AND(Table1[[#This Row],[Spec Type2]]="N/A",Table1[[#This Row],[DUT Adj Read]]="N/A",Table1[[#This Row],[Std Adj Read]]="N/A"),"N/A",IF(Table1[[#This Row],[DUT Adj Read]]="N/A",IF(Table1[[#This Row],[Std Adj Read]]&lt;Table1[[#This Row],[High Tol]],"Pass","Fail"),IF(Table1[[#This Row],[DUT Adj Read]]&lt;Table1[[#This Row],[High Tol]],"Pass","Fail")))</f>
        <v>Fail</v>
      </c>
      <c r="AF2189" s="1" t="str">
        <f>IF(AND(Table1[[#This Row],[Spec Type2]]="N/A",Table1[[#This Row],[DUT Adj Read]]="N/A",Table1[[#This Row],[Std Adj Read]]="N/A"),"N/A",IF(Table1[[#This Row],[DUT Adj Read]]="N/A",IF(Table1[[#This Row],[Std Adj Read]]&gt;=Table1[[#This Row],[Low Tol]],"Pass","Fail"),IF(Table1[[#This Row],[DUT Adj Read]]&gt;=Table1[[#This Row],[Low Tol]],"Pass","Fail")))</f>
        <v>Pass</v>
      </c>
      <c r="AG2189" s="1" t="str">
        <f>IF(AND(Table1[[#This Row],[Spec Type2]]="N/A",Table1[[#This Row],[DUT Adj Read]]="N/A",Table1[[#This Row],[Std Adj Read]]="N/A"),"N/A",IF(Table1[[#This Row],[DUT Adj Read]]="N/A",IF(Table1[[#This Row],[Std Adj Read]]&lt;=Table1[[#This Row],[High Tol]],"Pass","Fail"),IF(Table1[[#This Row],[DUT Adj Read]]&lt;=Table1[[#This Row],[High Tol]],"Pass","Fail")))</f>
        <v>Fail</v>
      </c>
      <c r="AH21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9" s="1" t="b">
        <v>0</v>
      </c>
      <c r="AN2189" s="1" t="b">
        <v>0</v>
      </c>
      <c r="AO2189" s="1" t="b">
        <v>0</v>
      </c>
    </row>
    <row r="2190" spans="1:41" x14ac:dyDescent="0.25">
      <c r="A2190" s="10"/>
      <c r="B2190" s="10"/>
      <c r="C2190" s="10"/>
      <c r="D2190" s="10"/>
      <c r="E2190" s="10"/>
      <c r="F2190" s="10"/>
      <c r="G2190" s="10"/>
      <c r="H2190" s="10"/>
      <c r="I2190" s="1" t="str">
        <f t="shared" si="102"/>
        <v/>
      </c>
      <c r="J2190" s="1" t="s">
        <v>35</v>
      </c>
      <c r="K2190" s="1" t="str">
        <f t="shared" si="103"/>
        <v/>
      </c>
      <c r="L2190" s="1" t="str">
        <f t="shared" si="104"/>
        <v/>
      </c>
      <c r="M2190" s="1">
        <f>IF(OR(Table1[[#This Row],[Std Nom]]="",Table1[[#This Row],[Std Read]]=""),0,Table1[[#This Row],[Std Nom]]-Table1[[#This Row],[Std Read]])</f>
        <v>0</v>
      </c>
      <c r="N2190" s="1">
        <f>IF(Calculations!$F$5="ACCREDITED 17025 WITH UNCERTAINTIES",$N$10,0)</f>
        <v>0</v>
      </c>
      <c r="O2190" s="1" t="str">
        <f>IFERROR(Table1[[#This Row],[Std Nom]]-(_xlfn.XLOOKUP(Table1[[#This Row],[Manufacturer]]&amp;" "&amp;Table1[[#This Row],[Model]],Table13[MFR &amp; MDL],Table13[Tolerance % CW ],"")/100*Table1[[#This Row],[Std Nom]]),"")</f>
        <v/>
      </c>
      <c r="P2190" s="1" t="str">
        <f>IFERROR(Table1[[#This Row],[Std Nom]]+(_xlfn.XLOOKUP(Table1[[#This Row],[Manufacturer]]&amp;" "&amp;Table1[[#This Row],[Model]],Table13[MFR &amp; MDL],Table13[Tolerance % CW ],"")/100*Table1[[#This Row],[Std Nom]]),"")</f>
        <v/>
      </c>
      <c r="Q2190" s="1" t="e">
        <f>Table1[[#This Row],[High Tol]]-Table1[[#This Row],[Low Tol]]</f>
        <v>#VALUE!</v>
      </c>
      <c r="R2190" s="1">
        <f>2*Table1[[#This Row],[Std Error]]</f>
        <v>0</v>
      </c>
      <c r="S2190" s="1" t="str">
        <f>IF(Table1[[#This Row],[High Tol]]="","N/A",IFERROR(ABS(Table1[[#This Row],[Tol Span]]/Table1[[#This Row],[Error Span]]),"N/A"))</f>
        <v>N/A</v>
      </c>
      <c r="T2190" s="1" t="str">
        <f>IF(OR(Table1[[#This Row],[Low Tol]]="",Table1[[#This Row],[High Tol]]=""),"Needs Analysis",IF(Table1[[#This Row],[Ratio]]&gt;=4,"Not Significant",IF(Table1[[#This Row],[Ratio]]&gt;=2,"Semi-Significant","Significant")))</f>
        <v>Needs Analysis</v>
      </c>
      <c r="W2190" s="1">
        <f>IF(Table1[[#This Row],[Cal Type]]&lt;&gt;"ACCREDITED 17025 WITH UNCERTAINTIES",0,"")</f>
        <v>0</v>
      </c>
      <c r="X2190" s="1" t="str">
        <f>IF(Table1[[#This Row],[DUT Read]]="","N/A",Table1[[#This Row],[Std Error]]+Table1[[#This Row],[DUT Read]]+Table1[[#This Row],[DUT Ucty]])</f>
        <v>N/A</v>
      </c>
      <c r="Y2190" s="1" t="str">
        <f>IF(Table1[[#This Row],[Std Read]]="","N/A",Table1[[#This Row],[Std Read]]+Table1[[#This Row],[Std Ucty]])</f>
        <v>N/A</v>
      </c>
      <c r="Z21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0" s="1" t="str">
        <f>IF(Table1[[#This Row],[Spec Type]]="","N/A",Table1[[#This Row],[Spec Type]])</f>
        <v>±</v>
      </c>
      <c r="AC2190" s="1" t="str">
        <f>IF(Table1[[#This Row],[Spec Type2]]="N/A","N/A",IF(AND(Table1[[#This Row],[DUT Adj Read]]&gt;=Table1[[#This Row],[Low Tol]],Table1[[#This Row],[DUT Adj Read]]&lt;=Table1[[#This Row],[High Tol]]),"Pass","Fail"))</f>
        <v>Fail</v>
      </c>
      <c r="AD2190" s="1" t="str">
        <f>IF(AND(Table1[[#This Row],[Spec Type2]]="N/A",Table1[[#This Row],[DUT Adj Read]]="N/A",Table1[[#This Row],[Std Adj Read]]="N/A"),"N/A",IF(Table1[[#This Row],[DUT Adj Read]]="N/A",IF(Table1[[#This Row],[Std Adj Read]]&gt;Table1[[#This Row],[Low Tol]],"Pass","Fail"),IF(Table1[[#This Row],[DUT Adj Read]]&gt;Table1[[#This Row],[Low Tol]],"Pass","Fail")))</f>
        <v>Pass</v>
      </c>
      <c r="AE2190" s="1" t="str">
        <f>IF(AND(Table1[[#This Row],[Spec Type2]]="N/A",Table1[[#This Row],[DUT Adj Read]]="N/A",Table1[[#This Row],[Std Adj Read]]="N/A"),"N/A",IF(Table1[[#This Row],[DUT Adj Read]]="N/A",IF(Table1[[#This Row],[Std Adj Read]]&lt;Table1[[#This Row],[High Tol]],"Pass","Fail"),IF(Table1[[#This Row],[DUT Adj Read]]&lt;Table1[[#This Row],[High Tol]],"Pass","Fail")))</f>
        <v>Fail</v>
      </c>
      <c r="AF2190" s="1" t="str">
        <f>IF(AND(Table1[[#This Row],[Spec Type2]]="N/A",Table1[[#This Row],[DUT Adj Read]]="N/A",Table1[[#This Row],[Std Adj Read]]="N/A"),"N/A",IF(Table1[[#This Row],[DUT Adj Read]]="N/A",IF(Table1[[#This Row],[Std Adj Read]]&gt;=Table1[[#This Row],[Low Tol]],"Pass","Fail"),IF(Table1[[#This Row],[DUT Adj Read]]&gt;=Table1[[#This Row],[Low Tol]],"Pass","Fail")))</f>
        <v>Pass</v>
      </c>
      <c r="AG2190" s="1" t="str">
        <f>IF(AND(Table1[[#This Row],[Spec Type2]]="N/A",Table1[[#This Row],[DUT Adj Read]]="N/A",Table1[[#This Row],[Std Adj Read]]="N/A"),"N/A",IF(Table1[[#This Row],[DUT Adj Read]]="N/A",IF(Table1[[#This Row],[Std Adj Read]]&lt;=Table1[[#This Row],[High Tol]],"Pass","Fail"),IF(Table1[[#This Row],[DUT Adj Read]]&lt;=Table1[[#This Row],[High Tol]],"Pass","Fail")))</f>
        <v>Fail</v>
      </c>
      <c r="AH21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0" s="1" t="b">
        <v>0</v>
      </c>
      <c r="AN2190" s="1" t="b">
        <v>0</v>
      </c>
      <c r="AO2190" s="1" t="b">
        <v>0</v>
      </c>
    </row>
    <row r="2191" spans="1:41" x14ac:dyDescent="0.25">
      <c r="A2191" s="10"/>
      <c r="B2191" s="10"/>
      <c r="C2191" s="10"/>
      <c r="D2191" s="10"/>
      <c r="E2191" s="10"/>
      <c r="F2191" s="10"/>
      <c r="G2191" s="10"/>
      <c r="H2191" s="10"/>
      <c r="I2191" s="1" t="str">
        <f t="shared" si="102"/>
        <v/>
      </c>
      <c r="J2191" s="1" t="s">
        <v>35</v>
      </c>
      <c r="K2191" s="1" t="str">
        <f t="shared" si="103"/>
        <v/>
      </c>
      <c r="L2191" s="1" t="str">
        <f t="shared" si="104"/>
        <v/>
      </c>
      <c r="M2191" s="1">
        <f>IF(OR(Table1[[#This Row],[Std Nom]]="",Table1[[#This Row],[Std Read]]=""),0,Table1[[#This Row],[Std Nom]]-Table1[[#This Row],[Std Read]])</f>
        <v>0</v>
      </c>
      <c r="N2191" s="1">
        <f>IF(Calculations!$F$5="ACCREDITED 17025 WITH UNCERTAINTIES",$N$10,0)</f>
        <v>0</v>
      </c>
      <c r="O2191" s="1" t="str">
        <f>IFERROR(Table1[[#This Row],[Std Nom]]-(_xlfn.XLOOKUP(Table1[[#This Row],[Manufacturer]]&amp;" "&amp;Table1[[#This Row],[Model]],Table13[MFR &amp; MDL],Table13[Tolerance % CW ],"")/100*Table1[[#This Row],[Std Nom]]),"")</f>
        <v/>
      </c>
      <c r="P2191" s="1" t="str">
        <f>IFERROR(Table1[[#This Row],[Std Nom]]+(_xlfn.XLOOKUP(Table1[[#This Row],[Manufacturer]]&amp;" "&amp;Table1[[#This Row],[Model]],Table13[MFR &amp; MDL],Table13[Tolerance % CW ],"")/100*Table1[[#This Row],[Std Nom]]),"")</f>
        <v/>
      </c>
      <c r="Q2191" s="1" t="e">
        <f>Table1[[#This Row],[High Tol]]-Table1[[#This Row],[Low Tol]]</f>
        <v>#VALUE!</v>
      </c>
      <c r="R2191" s="1">
        <f>2*Table1[[#This Row],[Std Error]]</f>
        <v>0</v>
      </c>
      <c r="S2191" s="1" t="str">
        <f>IF(Table1[[#This Row],[High Tol]]="","N/A",IFERROR(ABS(Table1[[#This Row],[Tol Span]]/Table1[[#This Row],[Error Span]]),"N/A"))</f>
        <v>N/A</v>
      </c>
      <c r="T2191" s="1" t="str">
        <f>IF(OR(Table1[[#This Row],[Low Tol]]="",Table1[[#This Row],[High Tol]]=""),"Needs Analysis",IF(Table1[[#This Row],[Ratio]]&gt;=4,"Not Significant",IF(Table1[[#This Row],[Ratio]]&gt;=2,"Semi-Significant","Significant")))</f>
        <v>Needs Analysis</v>
      </c>
      <c r="W2191" s="1">
        <f>IF(Table1[[#This Row],[Cal Type]]&lt;&gt;"ACCREDITED 17025 WITH UNCERTAINTIES",0,"")</f>
        <v>0</v>
      </c>
      <c r="X2191" s="1" t="str">
        <f>IF(Table1[[#This Row],[DUT Read]]="","N/A",Table1[[#This Row],[Std Error]]+Table1[[#This Row],[DUT Read]]+Table1[[#This Row],[DUT Ucty]])</f>
        <v>N/A</v>
      </c>
      <c r="Y2191" s="1" t="str">
        <f>IF(Table1[[#This Row],[Std Read]]="","N/A",Table1[[#This Row],[Std Read]]+Table1[[#This Row],[Std Ucty]])</f>
        <v>N/A</v>
      </c>
      <c r="Z21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1" s="1" t="str">
        <f>IF(Table1[[#This Row],[Spec Type]]="","N/A",Table1[[#This Row],[Spec Type]])</f>
        <v>±</v>
      </c>
      <c r="AC2191" s="1" t="str">
        <f>IF(Table1[[#This Row],[Spec Type2]]="N/A","N/A",IF(AND(Table1[[#This Row],[DUT Adj Read]]&gt;=Table1[[#This Row],[Low Tol]],Table1[[#This Row],[DUT Adj Read]]&lt;=Table1[[#This Row],[High Tol]]),"Pass","Fail"))</f>
        <v>Fail</v>
      </c>
      <c r="AD2191" s="1" t="str">
        <f>IF(AND(Table1[[#This Row],[Spec Type2]]="N/A",Table1[[#This Row],[DUT Adj Read]]="N/A",Table1[[#This Row],[Std Adj Read]]="N/A"),"N/A",IF(Table1[[#This Row],[DUT Adj Read]]="N/A",IF(Table1[[#This Row],[Std Adj Read]]&gt;Table1[[#This Row],[Low Tol]],"Pass","Fail"),IF(Table1[[#This Row],[DUT Adj Read]]&gt;Table1[[#This Row],[Low Tol]],"Pass","Fail")))</f>
        <v>Pass</v>
      </c>
      <c r="AE2191" s="1" t="str">
        <f>IF(AND(Table1[[#This Row],[Spec Type2]]="N/A",Table1[[#This Row],[DUT Adj Read]]="N/A",Table1[[#This Row],[Std Adj Read]]="N/A"),"N/A",IF(Table1[[#This Row],[DUT Adj Read]]="N/A",IF(Table1[[#This Row],[Std Adj Read]]&lt;Table1[[#This Row],[High Tol]],"Pass","Fail"),IF(Table1[[#This Row],[DUT Adj Read]]&lt;Table1[[#This Row],[High Tol]],"Pass","Fail")))</f>
        <v>Fail</v>
      </c>
      <c r="AF2191" s="1" t="str">
        <f>IF(AND(Table1[[#This Row],[Spec Type2]]="N/A",Table1[[#This Row],[DUT Adj Read]]="N/A",Table1[[#This Row],[Std Adj Read]]="N/A"),"N/A",IF(Table1[[#This Row],[DUT Adj Read]]="N/A",IF(Table1[[#This Row],[Std Adj Read]]&gt;=Table1[[#This Row],[Low Tol]],"Pass","Fail"),IF(Table1[[#This Row],[DUT Adj Read]]&gt;=Table1[[#This Row],[Low Tol]],"Pass","Fail")))</f>
        <v>Pass</v>
      </c>
      <c r="AG2191" s="1" t="str">
        <f>IF(AND(Table1[[#This Row],[Spec Type2]]="N/A",Table1[[#This Row],[DUT Adj Read]]="N/A",Table1[[#This Row],[Std Adj Read]]="N/A"),"N/A",IF(Table1[[#This Row],[DUT Adj Read]]="N/A",IF(Table1[[#This Row],[Std Adj Read]]&lt;=Table1[[#This Row],[High Tol]],"Pass","Fail"),IF(Table1[[#This Row],[DUT Adj Read]]&lt;=Table1[[#This Row],[High Tol]],"Pass","Fail")))</f>
        <v>Fail</v>
      </c>
      <c r="AH21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1" s="1" t="b">
        <v>0</v>
      </c>
      <c r="AN2191" s="1" t="b">
        <v>0</v>
      </c>
      <c r="AO2191" s="1" t="b">
        <v>0</v>
      </c>
    </row>
    <row r="2192" spans="1:41" x14ac:dyDescent="0.25">
      <c r="A2192" s="10"/>
      <c r="B2192" s="10"/>
      <c r="C2192" s="10"/>
      <c r="D2192" s="10"/>
      <c r="E2192" s="10"/>
      <c r="F2192" s="10"/>
      <c r="G2192" s="10"/>
      <c r="H2192" s="10"/>
      <c r="I2192" s="1" t="str">
        <f t="shared" si="102"/>
        <v/>
      </c>
      <c r="J2192" s="1" t="s">
        <v>35</v>
      </c>
      <c r="K2192" s="1" t="str">
        <f t="shared" si="103"/>
        <v/>
      </c>
      <c r="L2192" s="1" t="str">
        <f t="shared" si="104"/>
        <v/>
      </c>
      <c r="M2192" s="1">
        <f>IF(OR(Table1[[#This Row],[Std Nom]]="",Table1[[#This Row],[Std Read]]=""),0,Table1[[#This Row],[Std Nom]]-Table1[[#This Row],[Std Read]])</f>
        <v>0</v>
      </c>
      <c r="N2192" s="1">
        <f>IF(Calculations!$F$5="ACCREDITED 17025 WITH UNCERTAINTIES",$N$10,0)</f>
        <v>0</v>
      </c>
      <c r="O2192" s="1" t="str">
        <f>IFERROR(Table1[[#This Row],[Std Nom]]-(_xlfn.XLOOKUP(Table1[[#This Row],[Manufacturer]]&amp;" "&amp;Table1[[#This Row],[Model]],Table13[MFR &amp; MDL],Table13[Tolerance % CW ],"")/100*Table1[[#This Row],[Std Nom]]),"")</f>
        <v/>
      </c>
      <c r="P2192" s="1" t="str">
        <f>IFERROR(Table1[[#This Row],[Std Nom]]+(_xlfn.XLOOKUP(Table1[[#This Row],[Manufacturer]]&amp;" "&amp;Table1[[#This Row],[Model]],Table13[MFR &amp; MDL],Table13[Tolerance % CW ],"")/100*Table1[[#This Row],[Std Nom]]),"")</f>
        <v/>
      </c>
      <c r="Q2192" s="1" t="e">
        <f>Table1[[#This Row],[High Tol]]-Table1[[#This Row],[Low Tol]]</f>
        <v>#VALUE!</v>
      </c>
      <c r="R2192" s="1">
        <f>2*Table1[[#This Row],[Std Error]]</f>
        <v>0</v>
      </c>
      <c r="S2192" s="1" t="str">
        <f>IF(Table1[[#This Row],[High Tol]]="","N/A",IFERROR(ABS(Table1[[#This Row],[Tol Span]]/Table1[[#This Row],[Error Span]]),"N/A"))</f>
        <v>N/A</v>
      </c>
      <c r="T2192" s="1" t="str">
        <f>IF(OR(Table1[[#This Row],[Low Tol]]="",Table1[[#This Row],[High Tol]]=""),"Needs Analysis",IF(Table1[[#This Row],[Ratio]]&gt;=4,"Not Significant",IF(Table1[[#This Row],[Ratio]]&gt;=2,"Semi-Significant","Significant")))</f>
        <v>Needs Analysis</v>
      </c>
      <c r="W2192" s="1">
        <f>IF(Table1[[#This Row],[Cal Type]]&lt;&gt;"ACCREDITED 17025 WITH UNCERTAINTIES",0,"")</f>
        <v>0</v>
      </c>
      <c r="X2192" s="1" t="str">
        <f>IF(Table1[[#This Row],[DUT Read]]="","N/A",Table1[[#This Row],[Std Error]]+Table1[[#This Row],[DUT Read]]+Table1[[#This Row],[DUT Ucty]])</f>
        <v>N/A</v>
      </c>
      <c r="Y2192" s="1" t="str">
        <f>IF(Table1[[#This Row],[Std Read]]="","N/A",Table1[[#This Row],[Std Read]]+Table1[[#This Row],[Std Ucty]])</f>
        <v>N/A</v>
      </c>
      <c r="Z21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2" s="1" t="str">
        <f>IF(Table1[[#This Row],[Spec Type]]="","N/A",Table1[[#This Row],[Spec Type]])</f>
        <v>±</v>
      </c>
      <c r="AC2192" s="1" t="str">
        <f>IF(Table1[[#This Row],[Spec Type2]]="N/A","N/A",IF(AND(Table1[[#This Row],[DUT Adj Read]]&gt;=Table1[[#This Row],[Low Tol]],Table1[[#This Row],[DUT Adj Read]]&lt;=Table1[[#This Row],[High Tol]]),"Pass","Fail"))</f>
        <v>Fail</v>
      </c>
      <c r="AD2192" s="1" t="str">
        <f>IF(AND(Table1[[#This Row],[Spec Type2]]="N/A",Table1[[#This Row],[DUT Adj Read]]="N/A",Table1[[#This Row],[Std Adj Read]]="N/A"),"N/A",IF(Table1[[#This Row],[DUT Adj Read]]="N/A",IF(Table1[[#This Row],[Std Adj Read]]&gt;Table1[[#This Row],[Low Tol]],"Pass","Fail"),IF(Table1[[#This Row],[DUT Adj Read]]&gt;Table1[[#This Row],[Low Tol]],"Pass","Fail")))</f>
        <v>Pass</v>
      </c>
      <c r="AE2192" s="1" t="str">
        <f>IF(AND(Table1[[#This Row],[Spec Type2]]="N/A",Table1[[#This Row],[DUT Adj Read]]="N/A",Table1[[#This Row],[Std Adj Read]]="N/A"),"N/A",IF(Table1[[#This Row],[DUT Adj Read]]="N/A",IF(Table1[[#This Row],[Std Adj Read]]&lt;Table1[[#This Row],[High Tol]],"Pass","Fail"),IF(Table1[[#This Row],[DUT Adj Read]]&lt;Table1[[#This Row],[High Tol]],"Pass","Fail")))</f>
        <v>Fail</v>
      </c>
      <c r="AF2192" s="1" t="str">
        <f>IF(AND(Table1[[#This Row],[Spec Type2]]="N/A",Table1[[#This Row],[DUT Adj Read]]="N/A",Table1[[#This Row],[Std Adj Read]]="N/A"),"N/A",IF(Table1[[#This Row],[DUT Adj Read]]="N/A",IF(Table1[[#This Row],[Std Adj Read]]&gt;=Table1[[#This Row],[Low Tol]],"Pass","Fail"),IF(Table1[[#This Row],[DUT Adj Read]]&gt;=Table1[[#This Row],[Low Tol]],"Pass","Fail")))</f>
        <v>Pass</v>
      </c>
      <c r="AG2192" s="1" t="str">
        <f>IF(AND(Table1[[#This Row],[Spec Type2]]="N/A",Table1[[#This Row],[DUT Adj Read]]="N/A",Table1[[#This Row],[Std Adj Read]]="N/A"),"N/A",IF(Table1[[#This Row],[DUT Adj Read]]="N/A",IF(Table1[[#This Row],[Std Adj Read]]&lt;=Table1[[#This Row],[High Tol]],"Pass","Fail"),IF(Table1[[#This Row],[DUT Adj Read]]&lt;=Table1[[#This Row],[High Tol]],"Pass","Fail")))</f>
        <v>Fail</v>
      </c>
      <c r="AH21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2" s="1" t="b">
        <v>0</v>
      </c>
      <c r="AN2192" s="1" t="b">
        <v>0</v>
      </c>
      <c r="AO2192" s="1" t="b">
        <v>0</v>
      </c>
    </row>
    <row r="2193" spans="1:41" x14ac:dyDescent="0.25">
      <c r="A2193" s="10"/>
      <c r="B2193" s="10"/>
      <c r="C2193" s="10"/>
      <c r="D2193" s="10"/>
      <c r="E2193" s="10"/>
      <c r="F2193" s="10"/>
      <c r="G2193" s="10"/>
      <c r="H2193" s="10"/>
      <c r="I2193" s="1" t="str">
        <f t="shared" si="102"/>
        <v/>
      </c>
      <c r="J2193" s="1" t="s">
        <v>35</v>
      </c>
      <c r="K2193" s="1" t="str">
        <f t="shared" si="103"/>
        <v/>
      </c>
      <c r="L2193" s="1" t="str">
        <f t="shared" si="104"/>
        <v/>
      </c>
      <c r="M2193" s="1">
        <f>IF(OR(Table1[[#This Row],[Std Nom]]="",Table1[[#This Row],[Std Read]]=""),0,Table1[[#This Row],[Std Nom]]-Table1[[#This Row],[Std Read]])</f>
        <v>0</v>
      </c>
      <c r="N2193" s="1">
        <f>IF(Calculations!$F$5="ACCREDITED 17025 WITH UNCERTAINTIES",$N$10,0)</f>
        <v>0</v>
      </c>
      <c r="O2193" s="1" t="str">
        <f>IFERROR(Table1[[#This Row],[Std Nom]]-(_xlfn.XLOOKUP(Table1[[#This Row],[Manufacturer]]&amp;" "&amp;Table1[[#This Row],[Model]],Table13[MFR &amp; MDL],Table13[Tolerance % CW ],"")/100*Table1[[#This Row],[Std Nom]]),"")</f>
        <v/>
      </c>
      <c r="P2193" s="1" t="str">
        <f>IFERROR(Table1[[#This Row],[Std Nom]]+(_xlfn.XLOOKUP(Table1[[#This Row],[Manufacturer]]&amp;" "&amp;Table1[[#This Row],[Model]],Table13[MFR &amp; MDL],Table13[Tolerance % CW ],"")/100*Table1[[#This Row],[Std Nom]]),"")</f>
        <v/>
      </c>
      <c r="Q2193" s="1" t="e">
        <f>Table1[[#This Row],[High Tol]]-Table1[[#This Row],[Low Tol]]</f>
        <v>#VALUE!</v>
      </c>
      <c r="R2193" s="1">
        <f>2*Table1[[#This Row],[Std Error]]</f>
        <v>0</v>
      </c>
      <c r="S2193" s="1" t="str">
        <f>IF(Table1[[#This Row],[High Tol]]="","N/A",IFERROR(ABS(Table1[[#This Row],[Tol Span]]/Table1[[#This Row],[Error Span]]),"N/A"))</f>
        <v>N/A</v>
      </c>
      <c r="T2193" s="1" t="str">
        <f>IF(OR(Table1[[#This Row],[Low Tol]]="",Table1[[#This Row],[High Tol]]=""),"Needs Analysis",IF(Table1[[#This Row],[Ratio]]&gt;=4,"Not Significant",IF(Table1[[#This Row],[Ratio]]&gt;=2,"Semi-Significant","Significant")))</f>
        <v>Needs Analysis</v>
      </c>
      <c r="W2193" s="1">
        <f>IF(Table1[[#This Row],[Cal Type]]&lt;&gt;"ACCREDITED 17025 WITH UNCERTAINTIES",0,"")</f>
        <v>0</v>
      </c>
      <c r="X2193" s="1" t="str">
        <f>IF(Table1[[#This Row],[DUT Read]]="","N/A",Table1[[#This Row],[Std Error]]+Table1[[#This Row],[DUT Read]]+Table1[[#This Row],[DUT Ucty]])</f>
        <v>N/A</v>
      </c>
      <c r="Y2193" s="1" t="str">
        <f>IF(Table1[[#This Row],[Std Read]]="","N/A",Table1[[#This Row],[Std Read]]+Table1[[#This Row],[Std Ucty]])</f>
        <v>N/A</v>
      </c>
      <c r="Z21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3" s="1" t="str">
        <f>IF(Table1[[#This Row],[Spec Type]]="","N/A",Table1[[#This Row],[Spec Type]])</f>
        <v>±</v>
      </c>
      <c r="AC2193" s="1" t="str">
        <f>IF(Table1[[#This Row],[Spec Type2]]="N/A","N/A",IF(AND(Table1[[#This Row],[DUT Adj Read]]&gt;=Table1[[#This Row],[Low Tol]],Table1[[#This Row],[DUT Adj Read]]&lt;=Table1[[#This Row],[High Tol]]),"Pass","Fail"))</f>
        <v>Fail</v>
      </c>
      <c r="AD2193" s="1" t="str">
        <f>IF(AND(Table1[[#This Row],[Spec Type2]]="N/A",Table1[[#This Row],[DUT Adj Read]]="N/A",Table1[[#This Row],[Std Adj Read]]="N/A"),"N/A",IF(Table1[[#This Row],[DUT Adj Read]]="N/A",IF(Table1[[#This Row],[Std Adj Read]]&gt;Table1[[#This Row],[Low Tol]],"Pass","Fail"),IF(Table1[[#This Row],[DUT Adj Read]]&gt;Table1[[#This Row],[Low Tol]],"Pass","Fail")))</f>
        <v>Pass</v>
      </c>
      <c r="AE2193" s="1" t="str">
        <f>IF(AND(Table1[[#This Row],[Spec Type2]]="N/A",Table1[[#This Row],[DUT Adj Read]]="N/A",Table1[[#This Row],[Std Adj Read]]="N/A"),"N/A",IF(Table1[[#This Row],[DUT Adj Read]]="N/A",IF(Table1[[#This Row],[Std Adj Read]]&lt;Table1[[#This Row],[High Tol]],"Pass","Fail"),IF(Table1[[#This Row],[DUT Adj Read]]&lt;Table1[[#This Row],[High Tol]],"Pass","Fail")))</f>
        <v>Fail</v>
      </c>
      <c r="AF2193" s="1" t="str">
        <f>IF(AND(Table1[[#This Row],[Spec Type2]]="N/A",Table1[[#This Row],[DUT Adj Read]]="N/A",Table1[[#This Row],[Std Adj Read]]="N/A"),"N/A",IF(Table1[[#This Row],[DUT Adj Read]]="N/A",IF(Table1[[#This Row],[Std Adj Read]]&gt;=Table1[[#This Row],[Low Tol]],"Pass","Fail"),IF(Table1[[#This Row],[DUT Adj Read]]&gt;=Table1[[#This Row],[Low Tol]],"Pass","Fail")))</f>
        <v>Pass</v>
      </c>
      <c r="AG2193" s="1" t="str">
        <f>IF(AND(Table1[[#This Row],[Spec Type2]]="N/A",Table1[[#This Row],[DUT Adj Read]]="N/A",Table1[[#This Row],[Std Adj Read]]="N/A"),"N/A",IF(Table1[[#This Row],[DUT Adj Read]]="N/A",IF(Table1[[#This Row],[Std Adj Read]]&lt;=Table1[[#This Row],[High Tol]],"Pass","Fail"),IF(Table1[[#This Row],[DUT Adj Read]]&lt;=Table1[[#This Row],[High Tol]],"Pass","Fail")))</f>
        <v>Fail</v>
      </c>
      <c r="AH21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3" s="1" t="b">
        <v>0</v>
      </c>
      <c r="AN2193" s="1" t="b">
        <v>0</v>
      </c>
      <c r="AO2193" s="1" t="b">
        <v>0</v>
      </c>
    </row>
    <row r="2194" spans="1:41" x14ac:dyDescent="0.25">
      <c r="A2194" s="10"/>
      <c r="B2194" s="10"/>
      <c r="C2194" s="10"/>
      <c r="D2194" s="10"/>
      <c r="E2194" s="10"/>
      <c r="F2194" s="10"/>
      <c r="G2194" s="10"/>
      <c r="H2194" s="10"/>
      <c r="I2194" s="1" t="str">
        <f t="shared" si="102"/>
        <v/>
      </c>
      <c r="J2194" s="1" t="s">
        <v>35</v>
      </c>
      <c r="K2194" s="1" t="str">
        <f t="shared" si="103"/>
        <v/>
      </c>
      <c r="L2194" s="1" t="str">
        <f t="shared" si="104"/>
        <v/>
      </c>
      <c r="M2194" s="1">
        <f>IF(OR(Table1[[#This Row],[Std Nom]]="",Table1[[#This Row],[Std Read]]=""),0,Table1[[#This Row],[Std Nom]]-Table1[[#This Row],[Std Read]])</f>
        <v>0</v>
      </c>
      <c r="N2194" s="1">
        <f>IF(Calculations!$F$5="ACCREDITED 17025 WITH UNCERTAINTIES",$N$10,0)</f>
        <v>0</v>
      </c>
      <c r="O2194" s="1" t="str">
        <f>IFERROR(Table1[[#This Row],[Std Nom]]-(_xlfn.XLOOKUP(Table1[[#This Row],[Manufacturer]]&amp;" "&amp;Table1[[#This Row],[Model]],Table13[MFR &amp; MDL],Table13[Tolerance % CW ],"")/100*Table1[[#This Row],[Std Nom]]),"")</f>
        <v/>
      </c>
      <c r="P2194" s="1" t="str">
        <f>IFERROR(Table1[[#This Row],[Std Nom]]+(_xlfn.XLOOKUP(Table1[[#This Row],[Manufacturer]]&amp;" "&amp;Table1[[#This Row],[Model]],Table13[MFR &amp; MDL],Table13[Tolerance % CW ],"")/100*Table1[[#This Row],[Std Nom]]),"")</f>
        <v/>
      </c>
      <c r="Q2194" s="1" t="e">
        <f>Table1[[#This Row],[High Tol]]-Table1[[#This Row],[Low Tol]]</f>
        <v>#VALUE!</v>
      </c>
      <c r="R2194" s="1">
        <f>2*Table1[[#This Row],[Std Error]]</f>
        <v>0</v>
      </c>
      <c r="S2194" s="1" t="str">
        <f>IF(Table1[[#This Row],[High Tol]]="","N/A",IFERROR(ABS(Table1[[#This Row],[Tol Span]]/Table1[[#This Row],[Error Span]]),"N/A"))</f>
        <v>N/A</v>
      </c>
      <c r="T2194" s="1" t="str">
        <f>IF(OR(Table1[[#This Row],[Low Tol]]="",Table1[[#This Row],[High Tol]]=""),"Needs Analysis",IF(Table1[[#This Row],[Ratio]]&gt;=4,"Not Significant",IF(Table1[[#This Row],[Ratio]]&gt;=2,"Semi-Significant","Significant")))</f>
        <v>Needs Analysis</v>
      </c>
      <c r="W2194" s="1">
        <f>IF(Table1[[#This Row],[Cal Type]]&lt;&gt;"ACCREDITED 17025 WITH UNCERTAINTIES",0,"")</f>
        <v>0</v>
      </c>
      <c r="X2194" s="1" t="str">
        <f>IF(Table1[[#This Row],[DUT Read]]="","N/A",Table1[[#This Row],[Std Error]]+Table1[[#This Row],[DUT Read]]+Table1[[#This Row],[DUT Ucty]])</f>
        <v>N/A</v>
      </c>
      <c r="Y2194" s="1" t="str">
        <f>IF(Table1[[#This Row],[Std Read]]="","N/A",Table1[[#This Row],[Std Read]]+Table1[[#This Row],[Std Ucty]])</f>
        <v>N/A</v>
      </c>
      <c r="Z21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4" s="1" t="str">
        <f>IF(Table1[[#This Row],[Spec Type]]="","N/A",Table1[[#This Row],[Spec Type]])</f>
        <v>±</v>
      </c>
      <c r="AC2194" s="1" t="str">
        <f>IF(Table1[[#This Row],[Spec Type2]]="N/A","N/A",IF(AND(Table1[[#This Row],[DUT Adj Read]]&gt;=Table1[[#This Row],[Low Tol]],Table1[[#This Row],[DUT Adj Read]]&lt;=Table1[[#This Row],[High Tol]]),"Pass","Fail"))</f>
        <v>Fail</v>
      </c>
      <c r="AD2194" s="1" t="str">
        <f>IF(AND(Table1[[#This Row],[Spec Type2]]="N/A",Table1[[#This Row],[DUT Adj Read]]="N/A",Table1[[#This Row],[Std Adj Read]]="N/A"),"N/A",IF(Table1[[#This Row],[DUT Adj Read]]="N/A",IF(Table1[[#This Row],[Std Adj Read]]&gt;Table1[[#This Row],[Low Tol]],"Pass","Fail"),IF(Table1[[#This Row],[DUT Adj Read]]&gt;Table1[[#This Row],[Low Tol]],"Pass","Fail")))</f>
        <v>Pass</v>
      </c>
      <c r="AE2194" s="1" t="str">
        <f>IF(AND(Table1[[#This Row],[Spec Type2]]="N/A",Table1[[#This Row],[DUT Adj Read]]="N/A",Table1[[#This Row],[Std Adj Read]]="N/A"),"N/A",IF(Table1[[#This Row],[DUT Adj Read]]="N/A",IF(Table1[[#This Row],[Std Adj Read]]&lt;Table1[[#This Row],[High Tol]],"Pass","Fail"),IF(Table1[[#This Row],[DUT Adj Read]]&lt;Table1[[#This Row],[High Tol]],"Pass","Fail")))</f>
        <v>Fail</v>
      </c>
      <c r="AF2194" s="1" t="str">
        <f>IF(AND(Table1[[#This Row],[Spec Type2]]="N/A",Table1[[#This Row],[DUT Adj Read]]="N/A",Table1[[#This Row],[Std Adj Read]]="N/A"),"N/A",IF(Table1[[#This Row],[DUT Adj Read]]="N/A",IF(Table1[[#This Row],[Std Adj Read]]&gt;=Table1[[#This Row],[Low Tol]],"Pass","Fail"),IF(Table1[[#This Row],[DUT Adj Read]]&gt;=Table1[[#This Row],[Low Tol]],"Pass","Fail")))</f>
        <v>Pass</v>
      </c>
      <c r="AG2194" s="1" t="str">
        <f>IF(AND(Table1[[#This Row],[Spec Type2]]="N/A",Table1[[#This Row],[DUT Adj Read]]="N/A",Table1[[#This Row],[Std Adj Read]]="N/A"),"N/A",IF(Table1[[#This Row],[DUT Adj Read]]="N/A",IF(Table1[[#This Row],[Std Adj Read]]&lt;=Table1[[#This Row],[High Tol]],"Pass","Fail"),IF(Table1[[#This Row],[DUT Adj Read]]&lt;=Table1[[#This Row],[High Tol]],"Pass","Fail")))</f>
        <v>Fail</v>
      </c>
      <c r="AH21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4" s="1" t="b">
        <v>0</v>
      </c>
      <c r="AN2194" s="1" t="b">
        <v>0</v>
      </c>
      <c r="AO2194" s="1" t="b">
        <v>0</v>
      </c>
    </row>
    <row r="2195" spans="1:41" x14ac:dyDescent="0.25">
      <c r="A2195" s="10"/>
      <c r="B2195" s="10"/>
      <c r="C2195" s="10"/>
      <c r="D2195" s="10"/>
      <c r="E2195" s="10"/>
      <c r="F2195" s="10"/>
      <c r="G2195" s="10"/>
      <c r="H2195" s="10"/>
      <c r="I2195" s="1" t="str">
        <f t="shared" si="102"/>
        <v/>
      </c>
      <c r="J2195" s="1" t="s">
        <v>35</v>
      </c>
      <c r="K2195" s="1" t="str">
        <f t="shared" si="103"/>
        <v/>
      </c>
      <c r="L2195" s="1" t="str">
        <f t="shared" si="104"/>
        <v/>
      </c>
      <c r="M2195" s="1">
        <f>IF(OR(Table1[[#This Row],[Std Nom]]="",Table1[[#This Row],[Std Read]]=""),0,Table1[[#This Row],[Std Nom]]-Table1[[#This Row],[Std Read]])</f>
        <v>0</v>
      </c>
      <c r="N2195" s="1">
        <f>IF(Calculations!$F$5="ACCREDITED 17025 WITH UNCERTAINTIES",$N$10,0)</f>
        <v>0</v>
      </c>
      <c r="O2195" s="1" t="str">
        <f>IFERROR(Table1[[#This Row],[Std Nom]]-(_xlfn.XLOOKUP(Table1[[#This Row],[Manufacturer]]&amp;" "&amp;Table1[[#This Row],[Model]],Table13[MFR &amp; MDL],Table13[Tolerance % CW ],"")/100*Table1[[#This Row],[Std Nom]]),"")</f>
        <v/>
      </c>
      <c r="P2195" s="1" t="str">
        <f>IFERROR(Table1[[#This Row],[Std Nom]]+(_xlfn.XLOOKUP(Table1[[#This Row],[Manufacturer]]&amp;" "&amp;Table1[[#This Row],[Model]],Table13[MFR &amp; MDL],Table13[Tolerance % CW ],"")/100*Table1[[#This Row],[Std Nom]]),"")</f>
        <v/>
      </c>
      <c r="Q2195" s="1" t="e">
        <f>Table1[[#This Row],[High Tol]]-Table1[[#This Row],[Low Tol]]</f>
        <v>#VALUE!</v>
      </c>
      <c r="R2195" s="1">
        <f>2*Table1[[#This Row],[Std Error]]</f>
        <v>0</v>
      </c>
      <c r="S2195" s="1" t="str">
        <f>IF(Table1[[#This Row],[High Tol]]="","N/A",IFERROR(ABS(Table1[[#This Row],[Tol Span]]/Table1[[#This Row],[Error Span]]),"N/A"))</f>
        <v>N/A</v>
      </c>
      <c r="T2195" s="1" t="str">
        <f>IF(OR(Table1[[#This Row],[Low Tol]]="",Table1[[#This Row],[High Tol]]=""),"Needs Analysis",IF(Table1[[#This Row],[Ratio]]&gt;=4,"Not Significant",IF(Table1[[#This Row],[Ratio]]&gt;=2,"Semi-Significant","Significant")))</f>
        <v>Needs Analysis</v>
      </c>
      <c r="W2195" s="1">
        <f>IF(Table1[[#This Row],[Cal Type]]&lt;&gt;"ACCREDITED 17025 WITH UNCERTAINTIES",0,"")</f>
        <v>0</v>
      </c>
      <c r="X2195" s="1" t="str">
        <f>IF(Table1[[#This Row],[DUT Read]]="","N/A",Table1[[#This Row],[Std Error]]+Table1[[#This Row],[DUT Read]]+Table1[[#This Row],[DUT Ucty]])</f>
        <v>N/A</v>
      </c>
      <c r="Y2195" s="1" t="str">
        <f>IF(Table1[[#This Row],[Std Read]]="","N/A",Table1[[#This Row],[Std Read]]+Table1[[#This Row],[Std Ucty]])</f>
        <v>N/A</v>
      </c>
      <c r="Z21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5" s="1" t="str">
        <f>IF(Table1[[#This Row],[Spec Type]]="","N/A",Table1[[#This Row],[Spec Type]])</f>
        <v>±</v>
      </c>
      <c r="AC2195" s="1" t="str">
        <f>IF(Table1[[#This Row],[Spec Type2]]="N/A","N/A",IF(AND(Table1[[#This Row],[DUT Adj Read]]&gt;=Table1[[#This Row],[Low Tol]],Table1[[#This Row],[DUT Adj Read]]&lt;=Table1[[#This Row],[High Tol]]),"Pass","Fail"))</f>
        <v>Fail</v>
      </c>
      <c r="AD2195" s="1" t="str">
        <f>IF(AND(Table1[[#This Row],[Spec Type2]]="N/A",Table1[[#This Row],[DUT Adj Read]]="N/A",Table1[[#This Row],[Std Adj Read]]="N/A"),"N/A",IF(Table1[[#This Row],[DUT Adj Read]]="N/A",IF(Table1[[#This Row],[Std Adj Read]]&gt;Table1[[#This Row],[Low Tol]],"Pass","Fail"),IF(Table1[[#This Row],[DUT Adj Read]]&gt;Table1[[#This Row],[Low Tol]],"Pass","Fail")))</f>
        <v>Pass</v>
      </c>
      <c r="AE2195" s="1" t="str">
        <f>IF(AND(Table1[[#This Row],[Spec Type2]]="N/A",Table1[[#This Row],[DUT Adj Read]]="N/A",Table1[[#This Row],[Std Adj Read]]="N/A"),"N/A",IF(Table1[[#This Row],[DUT Adj Read]]="N/A",IF(Table1[[#This Row],[Std Adj Read]]&lt;Table1[[#This Row],[High Tol]],"Pass","Fail"),IF(Table1[[#This Row],[DUT Adj Read]]&lt;Table1[[#This Row],[High Tol]],"Pass","Fail")))</f>
        <v>Fail</v>
      </c>
      <c r="AF2195" s="1" t="str">
        <f>IF(AND(Table1[[#This Row],[Spec Type2]]="N/A",Table1[[#This Row],[DUT Adj Read]]="N/A",Table1[[#This Row],[Std Adj Read]]="N/A"),"N/A",IF(Table1[[#This Row],[DUT Adj Read]]="N/A",IF(Table1[[#This Row],[Std Adj Read]]&gt;=Table1[[#This Row],[Low Tol]],"Pass","Fail"),IF(Table1[[#This Row],[DUT Adj Read]]&gt;=Table1[[#This Row],[Low Tol]],"Pass","Fail")))</f>
        <v>Pass</v>
      </c>
      <c r="AG2195" s="1" t="str">
        <f>IF(AND(Table1[[#This Row],[Spec Type2]]="N/A",Table1[[#This Row],[DUT Adj Read]]="N/A",Table1[[#This Row],[Std Adj Read]]="N/A"),"N/A",IF(Table1[[#This Row],[DUT Adj Read]]="N/A",IF(Table1[[#This Row],[Std Adj Read]]&lt;=Table1[[#This Row],[High Tol]],"Pass","Fail"),IF(Table1[[#This Row],[DUT Adj Read]]&lt;=Table1[[#This Row],[High Tol]],"Pass","Fail")))</f>
        <v>Fail</v>
      </c>
      <c r="AH21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5" s="1" t="b">
        <v>0</v>
      </c>
      <c r="AN2195" s="1" t="b">
        <v>0</v>
      </c>
      <c r="AO2195" s="1" t="b">
        <v>0</v>
      </c>
    </row>
    <row r="2196" spans="1:41" x14ac:dyDescent="0.25">
      <c r="A2196" s="10"/>
      <c r="B2196" s="10"/>
      <c r="C2196" s="10"/>
      <c r="D2196" s="10"/>
      <c r="E2196" s="10"/>
      <c r="F2196" s="10"/>
      <c r="G2196" s="10"/>
      <c r="H2196" s="10"/>
      <c r="I2196" s="1" t="str">
        <f t="shared" si="102"/>
        <v/>
      </c>
      <c r="J2196" s="1" t="s">
        <v>35</v>
      </c>
      <c r="K2196" s="1" t="str">
        <f t="shared" si="103"/>
        <v/>
      </c>
      <c r="L2196" s="1" t="str">
        <f t="shared" si="104"/>
        <v/>
      </c>
      <c r="M2196" s="1">
        <f>IF(OR(Table1[[#This Row],[Std Nom]]="",Table1[[#This Row],[Std Read]]=""),0,Table1[[#This Row],[Std Nom]]-Table1[[#This Row],[Std Read]])</f>
        <v>0</v>
      </c>
      <c r="N2196" s="1">
        <f>IF(Calculations!$F$5="ACCREDITED 17025 WITH UNCERTAINTIES",$N$10,0)</f>
        <v>0</v>
      </c>
      <c r="O2196" s="1" t="str">
        <f>IFERROR(Table1[[#This Row],[Std Nom]]-(_xlfn.XLOOKUP(Table1[[#This Row],[Manufacturer]]&amp;" "&amp;Table1[[#This Row],[Model]],Table13[MFR &amp; MDL],Table13[Tolerance % CW ],"")/100*Table1[[#This Row],[Std Nom]]),"")</f>
        <v/>
      </c>
      <c r="P2196" s="1" t="str">
        <f>IFERROR(Table1[[#This Row],[Std Nom]]+(_xlfn.XLOOKUP(Table1[[#This Row],[Manufacturer]]&amp;" "&amp;Table1[[#This Row],[Model]],Table13[MFR &amp; MDL],Table13[Tolerance % CW ],"")/100*Table1[[#This Row],[Std Nom]]),"")</f>
        <v/>
      </c>
      <c r="Q2196" s="1" t="e">
        <f>Table1[[#This Row],[High Tol]]-Table1[[#This Row],[Low Tol]]</f>
        <v>#VALUE!</v>
      </c>
      <c r="R2196" s="1">
        <f>2*Table1[[#This Row],[Std Error]]</f>
        <v>0</v>
      </c>
      <c r="S2196" s="1" t="str">
        <f>IF(Table1[[#This Row],[High Tol]]="","N/A",IFERROR(ABS(Table1[[#This Row],[Tol Span]]/Table1[[#This Row],[Error Span]]),"N/A"))</f>
        <v>N/A</v>
      </c>
      <c r="T2196" s="1" t="str">
        <f>IF(OR(Table1[[#This Row],[Low Tol]]="",Table1[[#This Row],[High Tol]]=""),"Needs Analysis",IF(Table1[[#This Row],[Ratio]]&gt;=4,"Not Significant",IF(Table1[[#This Row],[Ratio]]&gt;=2,"Semi-Significant","Significant")))</f>
        <v>Needs Analysis</v>
      </c>
      <c r="W2196" s="1">
        <f>IF(Table1[[#This Row],[Cal Type]]&lt;&gt;"ACCREDITED 17025 WITH UNCERTAINTIES",0,"")</f>
        <v>0</v>
      </c>
      <c r="X2196" s="1" t="str">
        <f>IF(Table1[[#This Row],[DUT Read]]="","N/A",Table1[[#This Row],[Std Error]]+Table1[[#This Row],[DUT Read]]+Table1[[#This Row],[DUT Ucty]])</f>
        <v>N/A</v>
      </c>
      <c r="Y2196" s="1" t="str">
        <f>IF(Table1[[#This Row],[Std Read]]="","N/A",Table1[[#This Row],[Std Read]]+Table1[[#This Row],[Std Ucty]])</f>
        <v>N/A</v>
      </c>
      <c r="Z21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6" s="1" t="str">
        <f>IF(Table1[[#This Row],[Spec Type]]="","N/A",Table1[[#This Row],[Spec Type]])</f>
        <v>±</v>
      </c>
      <c r="AC2196" s="1" t="str">
        <f>IF(Table1[[#This Row],[Spec Type2]]="N/A","N/A",IF(AND(Table1[[#This Row],[DUT Adj Read]]&gt;=Table1[[#This Row],[Low Tol]],Table1[[#This Row],[DUT Adj Read]]&lt;=Table1[[#This Row],[High Tol]]),"Pass","Fail"))</f>
        <v>Fail</v>
      </c>
      <c r="AD2196" s="1" t="str">
        <f>IF(AND(Table1[[#This Row],[Spec Type2]]="N/A",Table1[[#This Row],[DUT Adj Read]]="N/A",Table1[[#This Row],[Std Adj Read]]="N/A"),"N/A",IF(Table1[[#This Row],[DUT Adj Read]]="N/A",IF(Table1[[#This Row],[Std Adj Read]]&gt;Table1[[#This Row],[Low Tol]],"Pass","Fail"),IF(Table1[[#This Row],[DUT Adj Read]]&gt;Table1[[#This Row],[Low Tol]],"Pass","Fail")))</f>
        <v>Pass</v>
      </c>
      <c r="AE2196" s="1" t="str">
        <f>IF(AND(Table1[[#This Row],[Spec Type2]]="N/A",Table1[[#This Row],[DUT Adj Read]]="N/A",Table1[[#This Row],[Std Adj Read]]="N/A"),"N/A",IF(Table1[[#This Row],[DUT Adj Read]]="N/A",IF(Table1[[#This Row],[Std Adj Read]]&lt;Table1[[#This Row],[High Tol]],"Pass","Fail"),IF(Table1[[#This Row],[DUT Adj Read]]&lt;Table1[[#This Row],[High Tol]],"Pass","Fail")))</f>
        <v>Fail</v>
      </c>
      <c r="AF2196" s="1" t="str">
        <f>IF(AND(Table1[[#This Row],[Spec Type2]]="N/A",Table1[[#This Row],[DUT Adj Read]]="N/A",Table1[[#This Row],[Std Adj Read]]="N/A"),"N/A",IF(Table1[[#This Row],[DUT Adj Read]]="N/A",IF(Table1[[#This Row],[Std Adj Read]]&gt;=Table1[[#This Row],[Low Tol]],"Pass","Fail"),IF(Table1[[#This Row],[DUT Adj Read]]&gt;=Table1[[#This Row],[Low Tol]],"Pass","Fail")))</f>
        <v>Pass</v>
      </c>
      <c r="AG2196" s="1" t="str">
        <f>IF(AND(Table1[[#This Row],[Spec Type2]]="N/A",Table1[[#This Row],[DUT Adj Read]]="N/A",Table1[[#This Row],[Std Adj Read]]="N/A"),"N/A",IF(Table1[[#This Row],[DUT Adj Read]]="N/A",IF(Table1[[#This Row],[Std Adj Read]]&lt;=Table1[[#This Row],[High Tol]],"Pass","Fail"),IF(Table1[[#This Row],[DUT Adj Read]]&lt;=Table1[[#This Row],[High Tol]],"Pass","Fail")))</f>
        <v>Fail</v>
      </c>
      <c r="AH21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6" s="1" t="b">
        <v>0</v>
      </c>
      <c r="AN2196" s="1" t="b">
        <v>0</v>
      </c>
      <c r="AO2196" s="1" t="b">
        <v>0</v>
      </c>
    </row>
    <row r="2197" spans="1:41" x14ac:dyDescent="0.25">
      <c r="A2197" s="10"/>
      <c r="B2197" s="10"/>
      <c r="C2197" s="10"/>
      <c r="D2197" s="10"/>
      <c r="E2197" s="10"/>
      <c r="F2197" s="10"/>
      <c r="G2197" s="10"/>
      <c r="H2197" s="10"/>
      <c r="I2197" s="1" t="str">
        <f t="shared" si="102"/>
        <v/>
      </c>
      <c r="J2197" s="1" t="s">
        <v>35</v>
      </c>
      <c r="K2197" s="1" t="str">
        <f t="shared" si="103"/>
        <v/>
      </c>
      <c r="L2197" s="1" t="str">
        <f t="shared" si="104"/>
        <v/>
      </c>
      <c r="M2197" s="1">
        <f>IF(OR(Table1[[#This Row],[Std Nom]]="",Table1[[#This Row],[Std Read]]=""),0,Table1[[#This Row],[Std Nom]]-Table1[[#This Row],[Std Read]])</f>
        <v>0</v>
      </c>
      <c r="N2197" s="1">
        <f>IF(Calculations!$F$5="ACCREDITED 17025 WITH UNCERTAINTIES",$N$10,0)</f>
        <v>0</v>
      </c>
      <c r="O2197" s="1" t="str">
        <f>IFERROR(Table1[[#This Row],[Std Nom]]-(_xlfn.XLOOKUP(Table1[[#This Row],[Manufacturer]]&amp;" "&amp;Table1[[#This Row],[Model]],Table13[MFR &amp; MDL],Table13[Tolerance % CW ],"")/100*Table1[[#This Row],[Std Nom]]),"")</f>
        <v/>
      </c>
      <c r="P2197" s="1" t="str">
        <f>IFERROR(Table1[[#This Row],[Std Nom]]+(_xlfn.XLOOKUP(Table1[[#This Row],[Manufacturer]]&amp;" "&amp;Table1[[#This Row],[Model]],Table13[MFR &amp; MDL],Table13[Tolerance % CW ],"")/100*Table1[[#This Row],[Std Nom]]),"")</f>
        <v/>
      </c>
      <c r="Q2197" s="1" t="e">
        <f>Table1[[#This Row],[High Tol]]-Table1[[#This Row],[Low Tol]]</f>
        <v>#VALUE!</v>
      </c>
      <c r="R2197" s="1">
        <f>2*Table1[[#This Row],[Std Error]]</f>
        <v>0</v>
      </c>
      <c r="S2197" s="1" t="str">
        <f>IF(Table1[[#This Row],[High Tol]]="","N/A",IFERROR(ABS(Table1[[#This Row],[Tol Span]]/Table1[[#This Row],[Error Span]]),"N/A"))</f>
        <v>N/A</v>
      </c>
      <c r="T2197" s="1" t="str">
        <f>IF(OR(Table1[[#This Row],[Low Tol]]="",Table1[[#This Row],[High Tol]]=""),"Needs Analysis",IF(Table1[[#This Row],[Ratio]]&gt;=4,"Not Significant",IF(Table1[[#This Row],[Ratio]]&gt;=2,"Semi-Significant","Significant")))</f>
        <v>Needs Analysis</v>
      </c>
      <c r="W2197" s="1">
        <f>IF(Table1[[#This Row],[Cal Type]]&lt;&gt;"ACCREDITED 17025 WITH UNCERTAINTIES",0,"")</f>
        <v>0</v>
      </c>
      <c r="X2197" s="1" t="str">
        <f>IF(Table1[[#This Row],[DUT Read]]="","N/A",Table1[[#This Row],[Std Error]]+Table1[[#This Row],[DUT Read]]+Table1[[#This Row],[DUT Ucty]])</f>
        <v>N/A</v>
      </c>
      <c r="Y2197" s="1" t="str">
        <f>IF(Table1[[#This Row],[Std Read]]="","N/A",Table1[[#This Row],[Std Read]]+Table1[[#This Row],[Std Ucty]])</f>
        <v>N/A</v>
      </c>
      <c r="Z21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7" s="1" t="str">
        <f>IF(Table1[[#This Row],[Spec Type]]="","N/A",Table1[[#This Row],[Spec Type]])</f>
        <v>±</v>
      </c>
      <c r="AC2197" s="1" t="str">
        <f>IF(Table1[[#This Row],[Spec Type2]]="N/A","N/A",IF(AND(Table1[[#This Row],[DUT Adj Read]]&gt;=Table1[[#This Row],[Low Tol]],Table1[[#This Row],[DUT Adj Read]]&lt;=Table1[[#This Row],[High Tol]]),"Pass","Fail"))</f>
        <v>Fail</v>
      </c>
      <c r="AD2197" s="1" t="str">
        <f>IF(AND(Table1[[#This Row],[Spec Type2]]="N/A",Table1[[#This Row],[DUT Adj Read]]="N/A",Table1[[#This Row],[Std Adj Read]]="N/A"),"N/A",IF(Table1[[#This Row],[DUT Adj Read]]="N/A",IF(Table1[[#This Row],[Std Adj Read]]&gt;Table1[[#This Row],[Low Tol]],"Pass","Fail"),IF(Table1[[#This Row],[DUT Adj Read]]&gt;Table1[[#This Row],[Low Tol]],"Pass","Fail")))</f>
        <v>Pass</v>
      </c>
      <c r="AE2197" s="1" t="str">
        <f>IF(AND(Table1[[#This Row],[Spec Type2]]="N/A",Table1[[#This Row],[DUT Adj Read]]="N/A",Table1[[#This Row],[Std Adj Read]]="N/A"),"N/A",IF(Table1[[#This Row],[DUT Adj Read]]="N/A",IF(Table1[[#This Row],[Std Adj Read]]&lt;Table1[[#This Row],[High Tol]],"Pass","Fail"),IF(Table1[[#This Row],[DUT Adj Read]]&lt;Table1[[#This Row],[High Tol]],"Pass","Fail")))</f>
        <v>Fail</v>
      </c>
      <c r="AF2197" s="1" t="str">
        <f>IF(AND(Table1[[#This Row],[Spec Type2]]="N/A",Table1[[#This Row],[DUT Adj Read]]="N/A",Table1[[#This Row],[Std Adj Read]]="N/A"),"N/A",IF(Table1[[#This Row],[DUT Adj Read]]="N/A",IF(Table1[[#This Row],[Std Adj Read]]&gt;=Table1[[#This Row],[Low Tol]],"Pass","Fail"),IF(Table1[[#This Row],[DUT Adj Read]]&gt;=Table1[[#This Row],[Low Tol]],"Pass","Fail")))</f>
        <v>Pass</v>
      </c>
      <c r="AG2197" s="1" t="str">
        <f>IF(AND(Table1[[#This Row],[Spec Type2]]="N/A",Table1[[#This Row],[DUT Adj Read]]="N/A",Table1[[#This Row],[Std Adj Read]]="N/A"),"N/A",IF(Table1[[#This Row],[DUT Adj Read]]="N/A",IF(Table1[[#This Row],[Std Adj Read]]&lt;=Table1[[#This Row],[High Tol]],"Pass","Fail"),IF(Table1[[#This Row],[DUT Adj Read]]&lt;=Table1[[#This Row],[High Tol]],"Pass","Fail")))</f>
        <v>Fail</v>
      </c>
      <c r="AH21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7" s="1" t="b">
        <v>0</v>
      </c>
      <c r="AN2197" s="1" t="b">
        <v>0</v>
      </c>
      <c r="AO2197" s="1" t="b">
        <v>0</v>
      </c>
    </row>
    <row r="2198" spans="1:41" x14ac:dyDescent="0.25">
      <c r="A2198" s="10"/>
      <c r="B2198" s="10"/>
      <c r="C2198" s="10"/>
      <c r="D2198" s="10"/>
      <c r="E2198" s="10"/>
      <c r="F2198" s="10"/>
      <c r="G2198" s="10"/>
      <c r="H2198" s="10"/>
      <c r="I2198" s="1" t="str">
        <f t="shared" si="102"/>
        <v/>
      </c>
      <c r="J2198" s="1" t="s">
        <v>35</v>
      </c>
      <c r="K2198" s="1" t="str">
        <f t="shared" si="103"/>
        <v/>
      </c>
      <c r="L2198" s="1" t="str">
        <f t="shared" si="104"/>
        <v/>
      </c>
      <c r="M2198" s="1">
        <f>IF(OR(Table1[[#This Row],[Std Nom]]="",Table1[[#This Row],[Std Read]]=""),0,Table1[[#This Row],[Std Nom]]-Table1[[#This Row],[Std Read]])</f>
        <v>0</v>
      </c>
      <c r="N2198" s="1">
        <f>IF(Calculations!$F$5="ACCREDITED 17025 WITH UNCERTAINTIES",$N$10,0)</f>
        <v>0</v>
      </c>
      <c r="O2198" s="1" t="str">
        <f>IFERROR(Table1[[#This Row],[Std Nom]]-(_xlfn.XLOOKUP(Table1[[#This Row],[Manufacturer]]&amp;" "&amp;Table1[[#This Row],[Model]],Table13[MFR &amp; MDL],Table13[Tolerance % CW ],"")/100*Table1[[#This Row],[Std Nom]]),"")</f>
        <v/>
      </c>
      <c r="P2198" s="1" t="str">
        <f>IFERROR(Table1[[#This Row],[Std Nom]]+(_xlfn.XLOOKUP(Table1[[#This Row],[Manufacturer]]&amp;" "&amp;Table1[[#This Row],[Model]],Table13[MFR &amp; MDL],Table13[Tolerance % CW ],"")/100*Table1[[#This Row],[Std Nom]]),"")</f>
        <v/>
      </c>
      <c r="Q2198" s="1" t="e">
        <f>Table1[[#This Row],[High Tol]]-Table1[[#This Row],[Low Tol]]</f>
        <v>#VALUE!</v>
      </c>
      <c r="R2198" s="1">
        <f>2*Table1[[#This Row],[Std Error]]</f>
        <v>0</v>
      </c>
      <c r="S2198" s="1" t="str">
        <f>IF(Table1[[#This Row],[High Tol]]="","N/A",IFERROR(ABS(Table1[[#This Row],[Tol Span]]/Table1[[#This Row],[Error Span]]),"N/A"))</f>
        <v>N/A</v>
      </c>
      <c r="T2198" s="1" t="str">
        <f>IF(OR(Table1[[#This Row],[Low Tol]]="",Table1[[#This Row],[High Tol]]=""),"Needs Analysis",IF(Table1[[#This Row],[Ratio]]&gt;=4,"Not Significant",IF(Table1[[#This Row],[Ratio]]&gt;=2,"Semi-Significant","Significant")))</f>
        <v>Needs Analysis</v>
      </c>
      <c r="W2198" s="1">
        <f>IF(Table1[[#This Row],[Cal Type]]&lt;&gt;"ACCREDITED 17025 WITH UNCERTAINTIES",0,"")</f>
        <v>0</v>
      </c>
      <c r="X2198" s="1" t="str">
        <f>IF(Table1[[#This Row],[DUT Read]]="","N/A",Table1[[#This Row],[Std Error]]+Table1[[#This Row],[DUT Read]]+Table1[[#This Row],[DUT Ucty]])</f>
        <v>N/A</v>
      </c>
      <c r="Y2198" s="1" t="str">
        <f>IF(Table1[[#This Row],[Std Read]]="","N/A",Table1[[#This Row],[Std Read]]+Table1[[#This Row],[Std Ucty]])</f>
        <v>N/A</v>
      </c>
      <c r="Z21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8" s="1" t="str">
        <f>IF(Table1[[#This Row],[Spec Type]]="","N/A",Table1[[#This Row],[Spec Type]])</f>
        <v>±</v>
      </c>
      <c r="AC2198" s="1" t="str">
        <f>IF(Table1[[#This Row],[Spec Type2]]="N/A","N/A",IF(AND(Table1[[#This Row],[DUT Adj Read]]&gt;=Table1[[#This Row],[Low Tol]],Table1[[#This Row],[DUT Adj Read]]&lt;=Table1[[#This Row],[High Tol]]),"Pass","Fail"))</f>
        <v>Fail</v>
      </c>
      <c r="AD2198" s="1" t="str">
        <f>IF(AND(Table1[[#This Row],[Spec Type2]]="N/A",Table1[[#This Row],[DUT Adj Read]]="N/A",Table1[[#This Row],[Std Adj Read]]="N/A"),"N/A",IF(Table1[[#This Row],[DUT Adj Read]]="N/A",IF(Table1[[#This Row],[Std Adj Read]]&gt;Table1[[#This Row],[Low Tol]],"Pass","Fail"),IF(Table1[[#This Row],[DUT Adj Read]]&gt;Table1[[#This Row],[Low Tol]],"Pass","Fail")))</f>
        <v>Pass</v>
      </c>
      <c r="AE2198" s="1" t="str">
        <f>IF(AND(Table1[[#This Row],[Spec Type2]]="N/A",Table1[[#This Row],[DUT Adj Read]]="N/A",Table1[[#This Row],[Std Adj Read]]="N/A"),"N/A",IF(Table1[[#This Row],[DUT Adj Read]]="N/A",IF(Table1[[#This Row],[Std Adj Read]]&lt;Table1[[#This Row],[High Tol]],"Pass","Fail"),IF(Table1[[#This Row],[DUT Adj Read]]&lt;Table1[[#This Row],[High Tol]],"Pass","Fail")))</f>
        <v>Fail</v>
      </c>
      <c r="AF2198" s="1" t="str">
        <f>IF(AND(Table1[[#This Row],[Spec Type2]]="N/A",Table1[[#This Row],[DUT Adj Read]]="N/A",Table1[[#This Row],[Std Adj Read]]="N/A"),"N/A",IF(Table1[[#This Row],[DUT Adj Read]]="N/A",IF(Table1[[#This Row],[Std Adj Read]]&gt;=Table1[[#This Row],[Low Tol]],"Pass","Fail"),IF(Table1[[#This Row],[DUT Adj Read]]&gt;=Table1[[#This Row],[Low Tol]],"Pass","Fail")))</f>
        <v>Pass</v>
      </c>
      <c r="AG2198" s="1" t="str">
        <f>IF(AND(Table1[[#This Row],[Spec Type2]]="N/A",Table1[[#This Row],[DUT Adj Read]]="N/A",Table1[[#This Row],[Std Adj Read]]="N/A"),"N/A",IF(Table1[[#This Row],[DUT Adj Read]]="N/A",IF(Table1[[#This Row],[Std Adj Read]]&lt;=Table1[[#This Row],[High Tol]],"Pass","Fail"),IF(Table1[[#This Row],[DUT Adj Read]]&lt;=Table1[[#This Row],[High Tol]],"Pass","Fail")))</f>
        <v>Fail</v>
      </c>
      <c r="AH21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8" s="1" t="b">
        <v>0</v>
      </c>
      <c r="AN2198" s="1" t="b">
        <v>0</v>
      </c>
      <c r="AO2198" s="1" t="b">
        <v>0</v>
      </c>
    </row>
    <row r="2199" spans="1:41" x14ac:dyDescent="0.25">
      <c r="A2199" s="10"/>
      <c r="B2199" s="10"/>
      <c r="C2199" s="10"/>
      <c r="D2199" s="10"/>
      <c r="E2199" s="10"/>
      <c r="F2199" s="10"/>
      <c r="G2199" s="10"/>
      <c r="H2199" s="10"/>
      <c r="I2199" s="1" t="str">
        <f t="shared" si="102"/>
        <v/>
      </c>
      <c r="J2199" s="1" t="s">
        <v>35</v>
      </c>
      <c r="K2199" s="1" t="str">
        <f t="shared" si="103"/>
        <v/>
      </c>
      <c r="L2199" s="1" t="str">
        <f t="shared" si="104"/>
        <v/>
      </c>
      <c r="M2199" s="1">
        <f>IF(OR(Table1[[#This Row],[Std Nom]]="",Table1[[#This Row],[Std Read]]=""),0,Table1[[#This Row],[Std Nom]]-Table1[[#This Row],[Std Read]])</f>
        <v>0</v>
      </c>
      <c r="N2199" s="1">
        <f>IF(Calculations!$F$5="ACCREDITED 17025 WITH UNCERTAINTIES",$N$10,0)</f>
        <v>0</v>
      </c>
      <c r="O2199" s="1" t="str">
        <f>IFERROR(Table1[[#This Row],[Std Nom]]-(_xlfn.XLOOKUP(Table1[[#This Row],[Manufacturer]]&amp;" "&amp;Table1[[#This Row],[Model]],Table13[MFR &amp; MDL],Table13[Tolerance % CW ],"")/100*Table1[[#This Row],[Std Nom]]),"")</f>
        <v/>
      </c>
      <c r="P2199" s="1" t="str">
        <f>IFERROR(Table1[[#This Row],[Std Nom]]+(_xlfn.XLOOKUP(Table1[[#This Row],[Manufacturer]]&amp;" "&amp;Table1[[#This Row],[Model]],Table13[MFR &amp; MDL],Table13[Tolerance % CW ],"")/100*Table1[[#This Row],[Std Nom]]),"")</f>
        <v/>
      </c>
      <c r="Q2199" s="1" t="e">
        <f>Table1[[#This Row],[High Tol]]-Table1[[#This Row],[Low Tol]]</f>
        <v>#VALUE!</v>
      </c>
      <c r="R2199" s="1">
        <f>2*Table1[[#This Row],[Std Error]]</f>
        <v>0</v>
      </c>
      <c r="S2199" s="1" t="str">
        <f>IF(Table1[[#This Row],[High Tol]]="","N/A",IFERROR(ABS(Table1[[#This Row],[Tol Span]]/Table1[[#This Row],[Error Span]]),"N/A"))</f>
        <v>N/A</v>
      </c>
      <c r="T2199" s="1" t="str">
        <f>IF(OR(Table1[[#This Row],[Low Tol]]="",Table1[[#This Row],[High Tol]]=""),"Needs Analysis",IF(Table1[[#This Row],[Ratio]]&gt;=4,"Not Significant",IF(Table1[[#This Row],[Ratio]]&gt;=2,"Semi-Significant","Significant")))</f>
        <v>Needs Analysis</v>
      </c>
      <c r="W2199" s="1">
        <f>IF(Table1[[#This Row],[Cal Type]]&lt;&gt;"ACCREDITED 17025 WITH UNCERTAINTIES",0,"")</f>
        <v>0</v>
      </c>
      <c r="X2199" s="1" t="str">
        <f>IF(Table1[[#This Row],[DUT Read]]="","N/A",Table1[[#This Row],[Std Error]]+Table1[[#This Row],[DUT Read]]+Table1[[#This Row],[DUT Ucty]])</f>
        <v>N/A</v>
      </c>
      <c r="Y2199" s="1" t="str">
        <f>IF(Table1[[#This Row],[Std Read]]="","N/A",Table1[[#This Row],[Std Read]]+Table1[[#This Row],[Std Ucty]])</f>
        <v>N/A</v>
      </c>
      <c r="Z21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9" s="1" t="str">
        <f>IF(Table1[[#This Row],[Spec Type]]="","N/A",Table1[[#This Row],[Spec Type]])</f>
        <v>±</v>
      </c>
      <c r="AC2199" s="1" t="str">
        <f>IF(Table1[[#This Row],[Spec Type2]]="N/A","N/A",IF(AND(Table1[[#This Row],[DUT Adj Read]]&gt;=Table1[[#This Row],[Low Tol]],Table1[[#This Row],[DUT Adj Read]]&lt;=Table1[[#This Row],[High Tol]]),"Pass","Fail"))</f>
        <v>Fail</v>
      </c>
      <c r="AD2199" s="1" t="str">
        <f>IF(AND(Table1[[#This Row],[Spec Type2]]="N/A",Table1[[#This Row],[DUT Adj Read]]="N/A",Table1[[#This Row],[Std Adj Read]]="N/A"),"N/A",IF(Table1[[#This Row],[DUT Adj Read]]="N/A",IF(Table1[[#This Row],[Std Adj Read]]&gt;Table1[[#This Row],[Low Tol]],"Pass","Fail"),IF(Table1[[#This Row],[DUT Adj Read]]&gt;Table1[[#This Row],[Low Tol]],"Pass","Fail")))</f>
        <v>Pass</v>
      </c>
      <c r="AE2199" s="1" t="str">
        <f>IF(AND(Table1[[#This Row],[Spec Type2]]="N/A",Table1[[#This Row],[DUT Adj Read]]="N/A",Table1[[#This Row],[Std Adj Read]]="N/A"),"N/A",IF(Table1[[#This Row],[DUT Adj Read]]="N/A",IF(Table1[[#This Row],[Std Adj Read]]&lt;Table1[[#This Row],[High Tol]],"Pass","Fail"),IF(Table1[[#This Row],[DUT Adj Read]]&lt;Table1[[#This Row],[High Tol]],"Pass","Fail")))</f>
        <v>Fail</v>
      </c>
      <c r="AF2199" s="1" t="str">
        <f>IF(AND(Table1[[#This Row],[Spec Type2]]="N/A",Table1[[#This Row],[DUT Adj Read]]="N/A",Table1[[#This Row],[Std Adj Read]]="N/A"),"N/A",IF(Table1[[#This Row],[DUT Adj Read]]="N/A",IF(Table1[[#This Row],[Std Adj Read]]&gt;=Table1[[#This Row],[Low Tol]],"Pass","Fail"),IF(Table1[[#This Row],[DUT Adj Read]]&gt;=Table1[[#This Row],[Low Tol]],"Pass","Fail")))</f>
        <v>Pass</v>
      </c>
      <c r="AG2199" s="1" t="str">
        <f>IF(AND(Table1[[#This Row],[Spec Type2]]="N/A",Table1[[#This Row],[DUT Adj Read]]="N/A",Table1[[#This Row],[Std Adj Read]]="N/A"),"N/A",IF(Table1[[#This Row],[DUT Adj Read]]="N/A",IF(Table1[[#This Row],[Std Adj Read]]&lt;=Table1[[#This Row],[High Tol]],"Pass","Fail"),IF(Table1[[#This Row],[DUT Adj Read]]&lt;=Table1[[#This Row],[High Tol]],"Pass","Fail")))</f>
        <v>Fail</v>
      </c>
      <c r="AH21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9" s="1" t="b">
        <v>0</v>
      </c>
      <c r="AN2199" s="1" t="b">
        <v>0</v>
      </c>
      <c r="AO2199" s="1" t="b">
        <v>0</v>
      </c>
    </row>
    <row r="2200" spans="1:41" x14ac:dyDescent="0.25">
      <c r="A2200" s="10"/>
      <c r="B2200" s="10"/>
      <c r="C2200" s="10"/>
      <c r="D2200" s="10"/>
      <c r="E2200" s="10"/>
      <c r="F2200" s="10"/>
      <c r="G2200" s="10"/>
      <c r="H2200" s="10"/>
      <c r="I2200" s="1" t="str">
        <f t="shared" si="102"/>
        <v/>
      </c>
      <c r="J2200" s="1" t="s">
        <v>35</v>
      </c>
      <c r="K2200" s="1" t="str">
        <f t="shared" si="103"/>
        <v/>
      </c>
      <c r="L2200" s="1" t="str">
        <f t="shared" si="104"/>
        <v/>
      </c>
      <c r="M2200" s="1">
        <f>IF(OR(Table1[[#This Row],[Std Nom]]="",Table1[[#This Row],[Std Read]]=""),0,Table1[[#This Row],[Std Nom]]-Table1[[#This Row],[Std Read]])</f>
        <v>0</v>
      </c>
      <c r="N2200" s="1">
        <f>IF(Calculations!$F$5="ACCREDITED 17025 WITH UNCERTAINTIES",$N$10,0)</f>
        <v>0</v>
      </c>
      <c r="O2200" s="1" t="str">
        <f>IFERROR(Table1[[#This Row],[Std Nom]]-(_xlfn.XLOOKUP(Table1[[#This Row],[Manufacturer]]&amp;" "&amp;Table1[[#This Row],[Model]],Table13[MFR &amp; MDL],Table13[Tolerance % CW ],"")/100*Table1[[#This Row],[Std Nom]]),"")</f>
        <v/>
      </c>
      <c r="P2200" s="1" t="str">
        <f>IFERROR(Table1[[#This Row],[Std Nom]]+(_xlfn.XLOOKUP(Table1[[#This Row],[Manufacturer]]&amp;" "&amp;Table1[[#This Row],[Model]],Table13[MFR &amp; MDL],Table13[Tolerance % CW ],"")/100*Table1[[#This Row],[Std Nom]]),"")</f>
        <v/>
      </c>
      <c r="Q2200" s="1" t="e">
        <f>Table1[[#This Row],[High Tol]]-Table1[[#This Row],[Low Tol]]</f>
        <v>#VALUE!</v>
      </c>
      <c r="R2200" s="1">
        <f>2*Table1[[#This Row],[Std Error]]</f>
        <v>0</v>
      </c>
      <c r="S2200" s="1" t="str">
        <f>IF(Table1[[#This Row],[High Tol]]="","N/A",IFERROR(ABS(Table1[[#This Row],[Tol Span]]/Table1[[#This Row],[Error Span]]),"N/A"))</f>
        <v>N/A</v>
      </c>
      <c r="T2200" s="1" t="str">
        <f>IF(OR(Table1[[#This Row],[Low Tol]]="",Table1[[#This Row],[High Tol]]=""),"Needs Analysis",IF(Table1[[#This Row],[Ratio]]&gt;=4,"Not Significant",IF(Table1[[#This Row],[Ratio]]&gt;=2,"Semi-Significant","Significant")))</f>
        <v>Needs Analysis</v>
      </c>
      <c r="W2200" s="1">
        <f>IF(Table1[[#This Row],[Cal Type]]&lt;&gt;"ACCREDITED 17025 WITH UNCERTAINTIES",0,"")</f>
        <v>0</v>
      </c>
      <c r="X2200" s="1" t="str">
        <f>IF(Table1[[#This Row],[DUT Read]]="","N/A",Table1[[#This Row],[Std Error]]+Table1[[#This Row],[DUT Read]]+Table1[[#This Row],[DUT Ucty]])</f>
        <v>N/A</v>
      </c>
      <c r="Y2200" s="1" t="str">
        <f>IF(Table1[[#This Row],[Std Read]]="","N/A",Table1[[#This Row],[Std Read]]+Table1[[#This Row],[Std Ucty]])</f>
        <v>N/A</v>
      </c>
      <c r="Z22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0" s="1" t="str">
        <f>IF(Table1[[#This Row],[Spec Type]]="","N/A",Table1[[#This Row],[Spec Type]])</f>
        <v>±</v>
      </c>
      <c r="AC2200" s="1" t="str">
        <f>IF(Table1[[#This Row],[Spec Type2]]="N/A","N/A",IF(AND(Table1[[#This Row],[DUT Adj Read]]&gt;=Table1[[#This Row],[Low Tol]],Table1[[#This Row],[DUT Adj Read]]&lt;=Table1[[#This Row],[High Tol]]),"Pass","Fail"))</f>
        <v>Fail</v>
      </c>
      <c r="AD2200" s="1" t="str">
        <f>IF(AND(Table1[[#This Row],[Spec Type2]]="N/A",Table1[[#This Row],[DUT Adj Read]]="N/A",Table1[[#This Row],[Std Adj Read]]="N/A"),"N/A",IF(Table1[[#This Row],[DUT Adj Read]]="N/A",IF(Table1[[#This Row],[Std Adj Read]]&gt;Table1[[#This Row],[Low Tol]],"Pass","Fail"),IF(Table1[[#This Row],[DUT Adj Read]]&gt;Table1[[#This Row],[Low Tol]],"Pass","Fail")))</f>
        <v>Pass</v>
      </c>
      <c r="AE2200" s="1" t="str">
        <f>IF(AND(Table1[[#This Row],[Spec Type2]]="N/A",Table1[[#This Row],[DUT Adj Read]]="N/A",Table1[[#This Row],[Std Adj Read]]="N/A"),"N/A",IF(Table1[[#This Row],[DUT Adj Read]]="N/A",IF(Table1[[#This Row],[Std Adj Read]]&lt;Table1[[#This Row],[High Tol]],"Pass","Fail"),IF(Table1[[#This Row],[DUT Adj Read]]&lt;Table1[[#This Row],[High Tol]],"Pass","Fail")))</f>
        <v>Fail</v>
      </c>
      <c r="AF2200" s="1" t="str">
        <f>IF(AND(Table1[[#This Row],[Spec Type2]]="N/A",Table1[[#This Row],[DUT Adj Read]]="N/A",Table1[[#This Row],[Std Adj Read]]="N/A"),"N/A",IF(Table1[[#This Row],[DUT Adj Read]]="N/A",IF(Table1[[#This Row],[Std Adj Read]]&gt;=Table1[[#This Row],[Low Tol]],"Pass","Fail"),IF(Table1[[#This Row],[DUT Adj Read]]&gt;=Table1[[#This Row],[Low Tol]],"Pass","Fail")))</f>
        <v>Pass</v>
      </c>
      <c r="AG2200" s="1" t="str">
        <f>IF(AND(Table1[[#This Row],[Spec Type2]]="N/A",Table1[[#This Row],[DUT Adj Read]]="N/A",Table1[[#This Row],[Std Adj Read]]="N/A"),"N/A",IF(Table1[[#This Row],[DUT Adj Read]]="N/A",IF(Table1[[#This Row],[Std Adj Read]]&lt;=Table1[[#This Row],[High Tol]],"Pass","Fail"),IF(Table1[[#This Row],[DUT Adj Read]]&lt;=Table1[[#This Row],[High Tol]],"Pass","Fail")))</f>
        <v>Fail</v>
      </c>
      <c r="AH22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0" s="1" t="b">
        <v>0</v>
      </c>
      <c r="AN2200" s="1" t="b">
        <v>0</v>
      </c>
      <c r="AO2200" s="1" t="b">
        <v>0</v>
      </c>
    </row>
    <row r="2201" spans="1:41" x14ac:dyDescent="0.25">
      <c r="A2201" s="10"/>
      <c r="B2201" s="10"/>
      <c r="C2201" s="10"/>
      <c r="D2201" s="10"/>
      <c r="E2201" s="10"/>
      <c r="F2201" s="10"/>
      <c r="G2201" s="10"/>
      <c r="H2201" s="10"/>
      <c r="I2201" s="1" t="str">
        <f t="shared" si="102"/>
        <v/>
      </c>
      <c r="J2201" s="1" t="s">
        <v>35</v>
      </c>
      <c r="K2201" s="1" t="str">
        <f t="shared" si="103"/>
        <v/>
      </c>
      <c r="L2201" s="1" t="str">
        <f t="shared" si="104"/>
        <v/>
      </c>
      <c r="M2201" s="1">
        <f>IF(OR(Table1[[#This Row],[Std Nom]]="",Table1[[#This Row],[Std Read]]=""),0,Table1[[#This Row],[Std Nom]]-Table1[[#This Row],[Std Read]])</f>
        <v>0</v>
      </c>
      <c r="N2201" s="1">
        <f>IF(Calculations!$F$5="ACCREDITED 17025 WITH UNCERTAINTIES",$N$10,0)</f>
        <v>0</v>
      </c>
      <c r="O2201" s="1" t="str">
        <f>IFERROR(Table1[[#This Row],[Std Nom]]-(_xlfn.XLOOKUP(Table1[[#This Row],[Manufacturer]]&amp;" "&amp;Table1[[#This Row],[Model]],Table13[MFR &amp; MDL],Table13[Tolerance % CW ],"")/100*Table1[[#This Row],[Std Nom]]),"")</f>
        <v/>
      </c>
      <c r="P2201" s="1" t="str">
        <f>IFERROR(Table1[[#This Row],[Std Nom]]+(_xlfn.XLOOKUP(Table1[[#This Row],[Manufacturer]]&amp;" "&amp;Table1[[#This Row],[Model]],Table13[MFR &amp; MDL],Table13[Tolerance % CW ],"")/100*Table1[[#This Row],[Std Nom]]),"")</f>
        <v/>
      </c>
      <c r="Q2201" s="1" t="e">
        <f>Table1[[#This Row],[High Tol]]-Table1[[#This Row],[Low Tol]]</f>
        <v>#VALUE!</v>
      </c>
      <c r="R2201" s="1">
        <f>2*Table1[[#This Row],[Std Error]]</f>
        <v>0</v>
      </c>
      <c r="S2201" s="1" t="str">
        <f>IF(Table1[[#This Row],[High Tol]]="","N/A",IFERROR(ABS(Table1[[#This Row],[Tol Span]]/Table1[[#This Row],[Error Span]]),"N/A"))</f>
        <v>N/A</v>
      </c>
      <c r="T2201" s="1" t="str">
        <f>IF(OR(Table1[[#This Row],[Low Tol]]="",Table1[[#This Row],[High Tol]]=""),"Needs Analysis",IF(Table1[[#This Row],[Ratio]]&gt;=4,"Not Significant",IF(Table1[[#This Row],[Ratio]]&gt;=2,"Semi-Significant","Significant")))</f>
        <v>Needs Analysis</v>
      </c>
      <c r="W2201" s="1">
        <f>IF(Table1[[#This Row],[Cal Type]]&lt;&gt;"ACCREDITED 17025 WITH UNCERTAINTIES",0,"")</f>
        <v>0</v>
      </c>
      <c r="X2201" s="1" t="str">
        <f>IF(Table1[[#This Row],[DUT Read]]="","N/A",Table1[[#This Row],[Std Error]]+Table1[[#This Row],[DUT Read]]+Table1[[#This Row],[DUT Ucty]])</f>
        <v>N/A</v>
      </c>
      <c r="Y2201" s="1" t="str">
        <f>IF(Table1[[#This Row],[Std Read]]="","N/A",Table1[[#This Row],[Std Read]]+Table1[[#This Row],[Std Ucty]])</f>
        <v>N/A</v>
      </c>
      <c r="Z22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1" s="1" t="str">
        <f>IF(Table1[[#This Row],[Spec Type]]="","N/A",Table1[[#This Row],[Spec Type]])</f>
        <v>±</v>
      </c>
      <c r="AC2201" s="1" t="str">
        <f>IF(Table1[[#This Row],[Spec Type2]]="N/A","N/A",IF(AND(Table1[[#This Row],[DUT Adj Read]]&gt;=Table1[[#This Row],[Low Tol]],Table1[[#This Row],[DUT Adj Read]]&lt;=Table1[[#This Row],[High Tol]]),"Pass","Fail"))</f>
        <v>Fail</v>
      </c>
      <c r="AD2201" s="1" t="str">
        <f>IF(AND(Table1[[#This Row],[Spec Type2]]="N/A",Table1[[#This Row],[DUT Adj Read]]="N/A",Table1[[#This Row],[Std Adj Read]]="N/A"),"N/A",IF(Table1[[#This Row],[DUT Adj Read]]="N/A",IF(Table1[[#This Row],[Std Adj Read]]&gt;Table1[[#This Row],[Low Tol]],"Pass","Fail"),IF(Table1[[#This Row],[DUT Adj Read]]&gt;Table1[[#This Row],[Low Tol]],"Pass","Fail")))</f>
        <v>Pass</v>
      </c>
      <c r="AE2201" s="1" t="str">
        <f>IF(AND(Table1[[#This Row],[Spec Type2]]="N/A",Table1[[#This Row],[DUT Adj Read]]="N/A",Table1[[#This Row],[Std Adj Read]]="N/A"),"N/A",IF(Table1[[#This Row],[DUT Adj Read]]="N/A",IF(Table1[[#This Row],[Std Adj Read]]&lt;Table1[[#This Row],[High Tol]],"Pass","Fail"),IF(Table1[[#This Row],[DUT Adj Read]]&lt;Table1[[#This Row],[High Tol]],"Pass","Fail")))</f>
        <v>Fail</v>
      </c>
      <c r="AF2201" s="1" t="str">
        <f>IF(AND(Table1[[#This Row],[Spec Type2]]="N/A",Table1[[#This Row],[DUT Adj Read]]="N/A",Table1[[#This Row],[Std Adj Read]]="N/A"),"N/A",IF(Table1[[#This Row],[DUT Adj Read]]="N/A",IF(Table1[[#This Row],[Std Adj Read]]&gt;=Table1[[#This Row],[Low Tol]],"Pass","Fail"),IF(Table1[[#This Row],[DUT Adj Read]]&gt;=Table1[[#This Row],[Low Tol]],"Pass","Fail")))</f>
        <v>Pass</v>
      </c>
      <c r="AG2201" s="1" t="str">
        <f>IF(AND(Table1[[#This Row],[Spec Type2]]="N/A",Table1[[#This Row],[DUT Adj Read]]="N/A",Table1[[#This Row],[Std Adj Read]]="N/A"),"N/A",IF(Table1[[#This Row],[DUT Adj Read]]="N/A",IF(Table1[[#This Row],[Std Adj Read]]&lt;=Table1[[#This Row],[High Tol]],"Pass","Fail"),IF(Table1[[#This Row],[DUT Adj Read]]&lt;=Table1[[#This Row],[High Tol]],"Pass","Fail")))</f>
        <v>Fail</v>
      </c>
      <c r="AH22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1" s="1" t="b">
        <v>0</v>
      </c>
      <c r="AN2201" s="1" t="b">
        <v>0</v>
      </c>
      <c r="AO2201" s="1" t="b">
        <v>0</v>
      </c>
    </row>
    <row r="2202" spans="1:41" x14ac:dyDescent="0.25">
      <c r="A2202" s="10"/>
      <c r="B2202" s="10"/>
      <c r="C2202" s="10"/>
      <c r="D2202" s="10"/>
      <c r="E2202" s="10"/>
      <c r="F2202" s="10"/>
      <c r="G2202" s="10"/>
      <c r="H2202" s="10"/>
      <c r="I2202" s="1" t="str">
        <f t="shared" si="102"/>
        <v/>
      </c>
      <c r="J2202" s="1" t="s">
        <v>35</v>
      </c>
      <c r="K2202" s="1" t="str">
        <f t="shared" si="103"/>
        <v/>
      </c>
      <c r="L2202" s="1" t="str">
        <f t="shared" si="104"/>
        <v/>
      </c>
      <c r="M2202" s="1">
        <f>IF(OR(Table1[[#This Row],[Std Nom]]="",Table1[[#This Row],[Std Read]]=""),0,Table1[[#This Row],[Std Nom]]-Table1[[#This Row],[Std Read]])</f>
        <v>0</v>
      </c>
      <c r="N2202" s="1">
        <f>IF(Calculations!$F$5="ACCREDITED 17025 WITH UNCERTAINTIES",$N$10,0)</f>
        <v>0</v>
      </c>
      <c r="O2202" s="1" t="str">
        <f>IFERROR(Table1[[#This Row],[Std Nom]]-(_xlfn.XLOOKUP(Table1[[#This Row],[Manufacturer]]&amp;" "&amp;Table1[[#This Row],[Model]],Table13[MFR &amp; MDL],Table13[Tolerance % CW ],"")/100*Table1[[#This Row],[Std Nom]]),"")</f>
        <v/>
      </c>
      <c r="P2202" s="1" t="str">
        <f>IFERROR(Table1[[#This Row],[Std Nom]]+(_xlfn.XLOOKUP(Table1[[#This Row],[Manufacturer]]&amp;" "&amp;Table1[[#This Row],[Model]],Table13[MFR &amp; MDL],Table13[Tolerance % CW ],"")/100*Table1[[#This Row],[Std Nom]]),"")</f>
        <v/>
      </c>
      <c r="Q2202" s="1" t="e">
        <f>Table1[[#This Row],[High Tol]]-Table1[[#This Row],[Low Tol]]</f>
        <v>#VALUE!</v>
      </c>
      <c r="R2202" s="1">
        <f>2*Table1[[#This Row],[Std Error]]</f>
        <v>0</v>
      </c>
      <c r="S2202" s="1" t="str">
        <f>IF(Table1[[#This Row],[High Tol]]="","N/A",IFERROR(ABS(Table1[[#This Row],[Tol Span]]/Table1[[#This Row],[Error Span]]),"N/A"))</f>
        <v>N/A</v>
      </c>
      <c r="T2202" s="1" t="str">
        <f>IF(OR(Table1[[#This Row],[Low Tol]]="",Table1[[#This Row],[High Tol]]=""),"Needs Analysis",IF(Table1[[#This Row],[Ratio]]&gt;=4,"Not Significant",IF(Table1[[#This Row],[Ratio]]&gt;=2,"Semi-Significant","Significant")))</f>
        <v>Needs Analysis</v>
      </c>
      <c r="W2202" s="1">
        <f>IF(Table1[[#This Row],[Cal Type]]&lt;&gt;"ACCREDITED 17025 WITH UNCERTAINTIES",0,"")</f>
        <v>0</v>
      </c>
      <c r="X2202" s="1" t="str">
        <f>IF(Table1[[#This Row],[DUT Read]]="","N/A",Table1[[#This Row],[Std Error]]+Table1[[#This Row],[DUT Read]]+Table1[[#This Row],[DUT Ucty]])</f>
        <v>N/A</v>
      </c>
      <c r="Y2202" s="1" t="str">
        <f>IF(Table1[[#This Row],[Std Read]]="","N/A",Table1[[#This Row],[Std Read]]+Table1[[#This Row],[Std Ucty]])</f>
        <v>N/A</v>
      </c>
      <c r="Z22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2" s="1" t="str">
        <f>IF(Table1[[#This Row],[Spec Type]]="","N/A",Table1[[#This Row],[Spec Type]])</f>
        <v>±</v>
      </c>
      <c r="AC2202" s="1" t="str">
        <f>IF(Table1[[#This Row],[Spec Type2]]="N/A","N/A",IF(AND(Table1[[#This Row],[DUT Adj Read]]&gt;=Table1[[#This Row],[Low Tol]],Table1[[#This Row],[DUT Adj Read]]&lt;=Table1[[#This Row],[High Tol]]),"Pass","Fail"))</f>
        <v>Fail</v>
      </c>
      <c r="AD2202" s="1" t="str">
        <f>IF(AND(Table1[[#This Row],[Spec Type2]]="N/A",Table1[[#This Row],[DUT Adj Read]]="N/A",Table1[[#This Row],[Std Adj Read]]="N/A"),"N/A",IF(Table1[[#This Row],[DUT Adj Read]]="N/A",IF(Table1[[#This Row],[Std Adj Read]]&gt;Table1[[#This Row],[Low Tol]],"Pass","Fail"),IF(Table1[[#This Row],[DUT Adj Read]]&gt;Table1[[#This Row],[Low Tol]],"Pass","Fail")))</f>
        <v>Pass</v>
      </c>
      <c r="AE2202" s="1" t="str">
        <f>IF(AND(Table1[[#This Row],[Spec Type2]]="N/A",Table1[[#This Row],[DUT Adj Read]]="N/A",Table1[[#This Row],[Std Adj Read]]="N/A"),"N/A",IF(Table1[[#This Row],[DUT Adj Read]]="N/A",IF(Table1[[#This Row],[Std Adj Read]]&lt;Table1[[#This Row],[High Tol]],"Pass","Fail"),IF(Table1[[#This Row],[DUT Adj Read]]&lt;Table1[[#This Row],[High Tol]],"Pass","Fail")))</f>
        <v>Fail</v>
      </c>
      <c r="AF2202" s="1" t="str">
        <f>IF(AND(Table1[[#This Row],[Spec Type2]]="N/A",Table1[[#This Row],[DUT Adj Read]]="N/A",Table1[[#This Row],[Std Adj Read]]="N/A"),"N/A",IF(Table1[[#This Row],[DUT Adj Read]]="N/A",IF(Table1[[#This Row],[Std Adj Read]]&gt;=Table1[[#This Row],[Low Tol]],"Pass","Fail"),IF(Table1[[#This Row],[DUT Adj Read]]&gt;=Table1[[#This Row],[Low Tol]],"Pass","Fail")))</f>
        <v>Pass</v>
      </c>
      <c r="AG2202" s="1" t="str">
        <f>IF(AND(Table1[[#This Row],[Spec Type2]]="N/A",Table1[[#This Row],[DUT Adj Read]]="N/A",Table1[[#This Row],[Std Adj Read]]="N/A"),"N/A",IF(Table1[[#This Row],[DUT Adj Read]]="N/A",IF(Table1[[#This Row],[Std Adj Read]]&lt;=Table1[[#This Row],[High Tol]],"Pass","Fail"),IF(Table1[[#This Row],[DUT Adj Read]]&lt;=Table1[[#This Row],[High Tol]],"Pass","Fail")))</f>
        <v>Fail</v>
      </c>
      <c r="AH22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2" s="1" t="b">
        <v>0</v>
      </c>
      <c r="AN2202" s="1" t="b">
        <v>0</v>
      </c>
      <c r="AO2202" s="1" t="b">
        <v>0</v>
      </c>
    </row>
    <row r="2203" spans="1:41" x14ac:dyDescent="0.25">
      <c r="A2203" s="10"/>
      <c r="B2203" s="10"/>
      <c r="C2203" s="10"/>
      <c r="D2203" s="10"/>
      <c r="E2203" s="10"/>
      <c r="F2203" s="10"/>
      <c r="G2203" s="10"/>
      <c r="H2203" s="10"/>
      <c r="I2203" s="1" t="str">
        <f t="shared" si="102"/>
        <v/>
      </c>
      <c r="J2203" s="1" t="s">
        <v>35</v>
      </c>
      <c r="K2203" s="1" t="str">
        <f t="shared" si="103"/>
        <v/>
      </c>
      <c r="L2203" s="1" t="str">
        <f t="shared" si="104"/>
        <v/>
      </c>
      <c r="M2203" s="1">
        <f>IF(OR(Table1[[#This Row],[Std Nom]]="",Table1[[#This Row],[Std Read]]=""),0,Table1[[#This Row],[Std Nom]]-Table1[[#This Row],[Std Read]])</f>
        <v>0</v>
      </c>
      <c r="N2203" s="1">
        <f>IF(Calculations!$F$5="ACCREDITED 17025 WITH UNCERTAINTIES",$N$10,0)</f>
        <v>0</v>
      </c>
      <c r="O2203" s="1" t="str">
        <f>IFERROR(Table1[[#This Row],[Std Nom]]-(_xlfn.XLOOKUP(Table1[[#This Row],[Manufacturer]]&amp;" "&amp;Table1[[#This Row],[Model]],Table13[MFR &amp; MDL],Table13[Tolerance % CW ],"")/100*Table1[[#This Row],[Std Nom]]),"")</f>
        <v/>
      </c>
      <c r="P2203" s="1" t="str">
        <f>IFERROR(Table1[[#This Row],[Std Nom]]+(_xlfn.XLOOKUP(Table1[[#This Row],[Manufacturer]]&amp;" "&amp;Table1[[#This Row],[Model]],Table13[MFR &amp; MDL],Table13[Tolerance % CW ],"")/100*Table1[[#This Row],[Std Nom]]),"")</f>
        <v/>
      </c>
      <c r="Q2203" s="1" t="e">
        <f>Table1[[#This Row],[High Tol]]-Table1[[#This Row],[Low Tol]]</f>
        <v>#VALUE!</v>
      </c>
      <c r="R2203" s="1">
        <f>2*Table1[[#This Row],[Std Error]]</f>
        <v>0</v>
      </c>
      <c r="S2203" s="1" t="str">
        <f>IF(Table1[[#This Row],[High Tol]]="","N/A",IFERROR(ABS(Table1[[#This Row],[Tol Span]]/Table1[[#This Row],[Error Span]]),"N/A"))</f>
        <v>N/A</v>
      </c>
      <c r="T2203" s="1" t="str">
        <f>IF(OR(Table1[[#This Row],[Low Tol]]="",Table1[[#This Row],[High Tol]]=""),"Needs Analysis",IF(Table1[[#This Row],[Ratio]]&gt;=4,"Not Significant",IF(Table1[[#This Row],[Ratio]]&gt;=2,"Semi-Significant","Significant")))</f>
        <v>Needs Analysis</v>
      </c>
      <c r="W2203" s="1">
        <f>IF(Table1[[#This Row],[Cal Type]]&lt;&gt;"ACCREDITED 17025 WITH UNCERTAINTIES",0,"")</f>
        <v>0</v>
      </c>
      <c r="X2203" s="1" t="str">
        <f>IF(Table1[[#This Row],[DUT Read]]="","N/A",Table1[[#This Row],[Std Error]]+Table1[[#This Row],[DUT Read]]+Table1[[#This Row],[DUT Ucty]])</f>
        <v>N/A</v>
      </c>
      <c r="Y2203" s="1" t="str">
        <f>IF(Table1[[#This Row],[Std Read]]="","N/A",Table1[[#This Row],[Std Read]]+Table1[[#This Row],[Std Ucty]])</f>
        <v>N/A</v>
      </c>
      <c r="Z22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3" s="1" t="str">
        <f>IF(Table1[[#This Row],[Spec Type]]="","N/A",Table1[[#This Row],[Spec Type]])</f>
        <v>±</v>
      </c>
      <c r="AC2203" s="1" t="str">
        <f>IF(Table1[[#This Row],[Spec Type2]]="N/A","N/A",IF(AND(Table1[[#This Row],[DUT Adj Read]]&gt;=Table1[[#This Row],[Low Tol]],Table1[[#This Row],[DUT Adj Read]]&lt;=Table1[[#This Row],[High Tol]]),"Pass","Fail"))</f>
        <v>Fail</v>
      </c>
      <c r="AD2203" s="1" t="str">
        <f>IF(AND(Table1[[#This Row],[Spec Type2]]="N/A",Table1[[#This Row],[DUT Adj Read]]="N/A",Table1[[#This Row],[Std Adj Read]]="N/A"),"N/A",IF(Table1[[#This Row],[DUT Adj Read]]="N/A",IF(Table1[[#This Row],[Std Adj Read]]&gt;Table1[[#This Row],[Low Tol]],"Pass","Fail"),IF(Table1[[#This Row],[DUT Adj Read]]&gt;Table1[[#This Row],[Low Tol]],"Pass","Fail")))</f>
        <v>Pass</v>
      </c>
      <c r="AE2203" s="1" t="str">
        <f>IF(AND(Table1[[#This Row],[Spec Type2]]="N/A",Table1[[#This Row],[DUT Adj Read]]="N/A",Table1[[#This Row],[Std Adj Read]]="N/A"),"N/A",IF(Table1[[#This Row],[DUT Adj Read]]="N/A",IF(Table1[[#This Row],[Std Adj Read]]&lt;Table1[[#This Row],[High Tol]],"Pass","Fail"),IF(Table1[[#This Row],[DUT Adj Read]]&lt;Table1[[#This Row],[High Tol]],"Pass","Fail")))</f>
        <v>Fail</v>
      </c>
      <c r="AF2203" s="1" t="str">
        <f>IF(AND(Table1[[#This Row],[Spec Type2]]="N/A",Table1[[#This Row],[DUT Adj Read]]="N/A",Table1[[#This Row],[Std Adj Read]]="N/A"),"N/A",IF(Table1[[#This Row],[DUT Adj Read]]="N/A",IF(Table1[[#This Row],[Std Adj Read]]&gt;=Table1[[#This Row],[Low Tol]],"Pass","Fail"),IF(Table1[[#This Row],[DUT Adj Read]]&gt;=Table1[[#This Row],[Low Tol]],"Pass","Fail")))</f>
        <v>Pass</v>
      </c>
      <c r="AG2203" s="1" t="str">
        <f>IF(AND(Table1[[#This Row],[Spec Type2]]="N/A",Table1[[#This Row],[DUT Adj Read]]="N/A",Table1[[#This Row],[Std Adj Read]]="N/A"),"N/A",IF(Table1[[#This Row],[DUT Adj Read]]="N/A",IF(Table1[[#This Row],[Std Adj Read]]&lt;=Table1[[#This Row],[High Tol]],"Pass","Fail"),IF(Table1[[#This Row],[DUT Adj Read]]&lt;=Table1[[#This Row],[High Tol]],"Pass","Fail")))</f>
        <v>Fail</v>
      </c>
      <c r="AH22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3" s="1" t="b">
        <v>0</v>
      </c>
      <c r="AN2203" s="1" t="b">
        <v>0</v>
      </c>
      <c r="AO2203" s="1" t="b">
        <v>0</v>
      </c>
    </row>
    <row r="2204" spans="1:41" x14ac:dyDescent="0.25">
      <c r="A2204" s="10"/>
      <c r="B2204" s="10"/>
      <c r="C2204" s="10"/>
      <c r="D2204" s="10"/>
      <c r="E2204" s="10"/>
      <c r="F2204" s="10"/>
      <c r="G2204" s="10"/>
      <c r="H2204" s="10"/>
      <c r="I2204" s="1" t="str">
        <f t="shared" si="102"/>
        <v/>
      </c>
      <c r="J2204" s="1" t="s">
        <v>35</v>
      </c>
      <c r="K2204" s="1" t="str">
        <f t="shared" si="103"/>
        <v/>
      </c>
      <c r="L2204" s="1" t="str">
        <f t="shared" si="104"/>
        <v/>
      </c>
      <c r="M2204" s="1">
        <f>IF(OR(Table1[[#This Row],[Std Nom]]="",Table1[[#This Row],[Std Read]]=""),0,Table1[[#This Row],[Std Nom]]-Table1[[#This Row],[Std Read]])</f>
        <v>0</v>
      </c>
      <c r="N2204" s="1">
        <f>IF(Calculations!$F$5="ACCREDITED 17025 WITH UNCERTAINTIES",$N$10,0)</f>
        <v>0</v>
      </c>
      <c r="O2204" s="1" t="str">
        <f>IFERROR(Table1[[#This Row],[Std Nom]]-(_xlfn.XLOOKUP(Table1[[#This Row],[Manufacturer]]&amp;" "&amp;Table1[[#This Row],[Model]],Table13[MFR &amp; MDL],Table13[Tolerance % CW ],"")/100*Table1[[#This Row],[Std Nom]]),"")</f>
        <v/>
      </c>
      <c r="P2204" s="1" t="str">
        <f>IFERROR(Table1[[#This Row],[Std Nom]]+(_xlfn.XLOOKUP(Table1[[#This Row],[Manufacturer]]&amp;" "&amp;Table1[[#This Row],[Model]],Table13[MFR &amp; MDL],Table13[Tolerance % CW ],"")/100*Table1[[#This Row],[Std Nom]]),"")</f>
        <v/>
      </c>
      <c r="Q2204" s="1" t="e">
        <f>Table1[[#This Row],[High Tol]]-Table1[[#This Row],[Low Tol]]</f>
        <v>#VALUE!</v>
      </c>
      <c r="R2204" s="1">
        <f>2*Table1[[#This Row],[Std Error]]</f>
        <v>0</v>
      </c>
      <c r="S2204" s="1" t="str">
        <f>IF(Table1[[#This Row],[High Tol]]="","N/A",IFERROR(ABS(Table1[[#This Row],[Tol Span]]/Table1[[#This Row],[Error Span]]),"N/A"))</f>
        <v>N/A</v>
      </c>
      <c r="T2204" s="1" t="str">
        <f>IF(OR(Table1[[#This Row],[Low Tol]]="",Table1[[#This Row],[High Tol]]=""),"Needs Analysis",IF(Table1[[#This Row],[Ratio]]&gt;=4,"Not Significant",IF(Table1[[#This Row],[Ratio]]&gt;=2,"Semi-Significant","Significant")))</f>
        <v>Needs Analysis</v>
      </c>
      <c r="W2204" s="1">
        <f>IF(Table1[[#This Row],[Cal Type]]&lt;&gt;"ACCREDITED 17025 WITH UNCERTAINTIES",0,"")</f>
        <v>0</v>
      </c>
      <c r="X2204" s="1" t="str">
        <f>IF(Table1[[#This Row],[DUT Read]]="","N/A",Table1[[#This Row],[Std Error]]+Table1[[#This Row],[DUT Read]]+Table1[[#This Row],[DUT Ucty]])</f>
        <v>N/A</v>
      </c>
      <c r="Y2204" s="1" t="str">
        <f>IF(Table1[[#This Row],[Std Read]]="","N/A",Table1[[#This Row],[Std Read]]+Table1[[#This Row],[Std Ucty]])</f>
        <v>N/A</v>
      </c>
      <c r="Z22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4" s="1" t="str">
        <f>IF(Table1[[#This Row],[Spec Type]]="","N/A",Table1[[#This Row],[Spec Type]])</f>
        <v>±</v>
      </c>
      <c r="AC2204" s="1" t="str">
        <f>IF(Table1[[#This Row],[Spec Type2]]="N/A","N/A",IF(AND(Table1[[#This Row],[DUT Adj Read]]&gt;=Table1[[#This Row],[Low Tol]],Table1[[#This Row],[DUT Adj Read]]&lt;=Table1[[#This Row],[High Tol]]),"Pass","Fail"))</f>
        <v>Fail</v>
      </c>
      <c r="AD2204" s="1" t="str">
        <f>IF(AND(Table1[[#This Row],[Spec Type2]]="N/A",Table1[[#This Row],[DUT Adj Read]]="N/A",Table1[[#This Row],[Std Adj Read]]="N/A"),"N/A",IF(Table1[[#This Row],[DUT Adj Read]]="N/A",IF(Table1[[#This Row],[Std Adj Read]]&gt;Table1[[#This Row],[Low Tol]],"Pass","Fail"),IF(Table1[[#This Row],[DUT Adj Read]]&gt;Table1[[#This Row],[Low Tol]],"Pass","Fail")))</f>
        <v>Pass</v>
      </c>
      <c r="AE2204" s="1" t="str">
        <f>IF(AND(Table1[[#This Row],[Spec Type2]]="N/A",Table1[[#This Row],[DUT Adj Read]]="N/A",Table1[[#This Row],[Std Adj Read]]="N/A"),"N/A",IF(Table1[[#This Row],[DUT Adj Read]]="N/A",IF(Table1[[#This Row],[Std Adj Read]]&lt;Table1[[#This Row],[High Tol]],"Pass","Fail"),IF(Table1[[#This Row],[DUT Adj Read]]&lt;Table1[[#This Row],[High Tol]],"Pass","Fail")))</f>
        <v>Fail</v>
      </c>
      <c r="AF2204" s="1" t="str">
        <f>IF(AND(Table1[[#This Row],[Spec Type2]]="N/A",Table1[[#This Row],[DUT Adj Read]]="N/A",Table1[[#This Row],[Std Adj Read]]="N/A"),"N/A",IF(Table1[[#This Row],[DUT Adj Read]]="N/A",IF(Table1[[#This Row],[Std Adj Read]]&gt;=Table1[[#This Row],[Low Tol]],"Pass","Fail"),IF(Table1[[#This Row],[DUT Adj Read]]&gt;=Table1[[#This Row],[Low Tol]],"Pass","Fail")))</f>
        <v>Pass</v>
      </c>
      <c r="AG2204" s="1" t="str">
        <f>IF(AND(Table1[[#This Row],[Spec Type2]]="N/A",Table1[[#This Row],[DUT Adj Read]]="N/A",Table1[[#This Row],[Std Adj Read]]="N/A"),"N/A",IF(Table1[[#This Row],[DUT Adj Read]]="N/A",IF(Table1[[#This Row],[Std Adj Read]]&lt;=Table1[[#This Row],[High Tol]],"Pass","Fail"),IF(Table1[[#This Row],[DUT Adj Read]]&lt;=Table1[[#This Row],[High Tol]],"Pass","Fail")))</f>
        <v>Fail</v>
      </c>
      <c r="AH22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4" s="1" t="b">
        <v>0</v>
      </c>
      <c r="AN2204" s="1" t="b">
        <v>0</v>
      </c>
      <c r="AO2204" s="1" t="b">
        <v>0</v>
      </c>
    </row>
    <row r="2205" spans="1:41" x14ac:dyDescent="0.25">
      <c r="A2205" s="10"/>
      <c r="B2205" s="10"/>
      <c r="C2205" s="10"/>
      <c r="D2205" s="10"/>
      <c r="E2205" s="10"/>
      <c r="F2205" s="10"/>
      <c r="G2205" s="10"/>
      <c r="H2205" s="10"/>
      <c r="I2205" s="1" t="str">
        <f t="shared" si="102"/>
        <v/>
      </c>
      <c r="J2205" s="1" t="s">
        <v>35</v>
      </c>
      <c r="K2205" s="1" t="str">
        <f t="shared" si="103"/>
        <v/>
      </c>
      <c r="L2205" s="1" t="str">
        <f t="shared" si="104"/>
        <v/>
      </c>
      <c r="M2205" s="1">
        <f>IF(OR(Table1[[#This Row],[Std Nom]]="",Table1[[#This Row],[Std Read]]=""),0,Table1[[#This Row],[Std Nom]]-Table1[[#This Row],[Std Read]])</f>
        <v>0</v>
      </c>
      <c r="N2205" s="1">
        <f>IF(Calculations!$F$5="ACCREDITED 17025 WITH UNCERTAINTIES",$N$10,0)</f>
        <v>0</v>
      </c>
      <c r="O2205" s="1" t="str">
        <f>IFERROR(Table1[[#This Row],[Std Nom]]-(_xlfn.XLOOKUP(Table1[[#This Row],[Manufacturer]]&amp;" "&amp;Table1[[#This Row],[Model]],Table13[MFR &amp; MDL],Table13[Tolerance % CW ],"")/100*Table1[[#This Row],[Std Nom]]),"")</f>
        <v/>
      </c>
      <c r="P2205" s="1" t="str">
        <f>IFERROR(Table1[[#This Row],[Std Nom]]+(_xlfn.XLOOKUP(Table1[[#This Row],[Manufacturer]]&amp;" "&amp;Table1[[#This Row],[Model]],Table13[MFR &amp; MDL],Table13[Tolerance % CW ],"")/100*Table1[[#This Row],[Std Nom]]),"")</f>
        <v/>
      </c>
      <c r="Q2205" s="1" t="e">
        <f>Table1[[#This Row],[High Tol]]-Table1[[#This Row],[Low Tol]]</f>
        <v>#VALUE!</v>
      </c>
      <c r="R2205" s="1">
        <f>2*Table1[[#This Row],[Std Error]]</f>
        <v>0</v>
      </c>
      <c r="S2205" s="1" t="str">
        <f>IF(Table1[[#This Row],[High Tol]]="","N/A",IFERROR(ABS(Table1[[#This Row],[Tol Span]]/Table1[[#This Row],[Error Span]]),"N/A"))</f>
        <v>N/A</v>
      </c>
      <c r="T2205" s="1" t="str">
        <f>IF(OR(Table1[[#This Row],[Low Tol]]="",Table1[[#This Row],[High Tol]]=""),"Needs Analysis",IF(Table1[[#This Row],[Ratio]]&gt;=4,"Not Significant",IF(Table1[[#This Row],[Ratio]]&gt;=2,"Semi-Significant","Significant")))</f>
        <v>Needs Analysis</v>
      </c>
      <c r="W2205" s="1">
        <f>IF(Table1[[#This Row],[Cal Type]]&lt;&gt;"ACCREDITED 17025 WITH UNCERTAINTIES",0,"")</f>
        <v>0</v>
      </c>
      <c r="X2205" s="1" t="str">
        <f>IF(Table1[[#This Row],[DUT Read]]="","N/A",Table1[[#This Row],[Std Error]]+Table1[[#This Row],[DUT Read]]+Table1[[#This Row],[DUT Ucty]])</f>
        <v>N/A</v>
      </c>
      <c r="Y2205" s="1" t="str">
        <f>IF(Table1[[#This Row],[Std Read]]="","N/A",Table1[[#This Row],[Std Read]]+Table1[[#This Row],[Std Ucty]])</f>
        <v>N/A</v>
      </c>
      <c r="Z22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5" s="1" t="str">
        <f>IF(Table1[[#This Row],[Spec Type]]="","N/A",Table1[[#This Row],[Spec Type]])</f>
        <v>±</v>
      </c>
      <c r="AC2205" s="1" t="str">
        <f>IF(Table1[[#This Row],[Spec Type2]]="N/A","N/A",IF(AND(Table1[[#This Row],[DUT Adj Read]]&gt;=Table1[[#This Row],[Low Tol]],Table1[[#This Row],[DUT Adj Read]]&lt;=Table1[[#This Row],[High Tol]]),"Pass","Fail"))</f>
        <v>Fail</v>
      </c>
      <c r="AD2205" s="1" t="str">
        <f>IF(AND(Table1[[#This Row],[Spec Type2]]="N/A",Table1[[#This Row],[DUT Adj Read]]="N/A",Table1[[#This Row],[Std Adj Read]]="N/A"),"N/A",IF(Table1[[#This Row],[DUT Adj Read]]="N/A",IF(Table1[[#This Row],[Std Adj Read]]&gt;Table1[[#This Row],[Low Tol]],"Pass","Fail"),IF(Table1[[#This Row],[DUT Adj Read]]&gt;Table1[[#This Row],[Low Tol]],"Pass","Fail")))</f>
        <v>Pass</v>
      </c>
      <c r="AE2205" s="1" t="str">
        <f>IF(AND(Table1[[#This Row],[Spec Type2]]="N/A",Table1[[#This Row],[DUT Adj Read]]="N/A",Table1[[#This Row],[Std Adj Read]]="N/A"),"N/A",IF(Table1[[#This Row],[DUT Adj Read]]="N/A",IF(Table1[[#This Row],[Std Adj Read]]&lt;Table1[[#This Row],[High Tol]],"Pass","Fail"),IF(Table1[[#This Row],[DUT Adj Read]]&lt;Table1[[#This Row],[High Tol]],"Pass","Fail")))</f>
        <v>Fail</v>
      </c>
      <c r="AF2205" s="1" t="str">
        <f>IF(AND(Table1[[#This Row],[Spec Type2]]="N/A",Table1[[#This Row],[DUT Adj Read]]="N/A",Table1[[#This Row],[Std Adj Read]]="N/A"),"N/A",IF(Table1[[#This Row],[DUT Adj Read]]="N/A",IF(Table1[[#This Row],[Std Adj Read]]&gt;=Table1[[#This Row],[Low Tol]],"Pass","Fail"),IF(Table1[[#This Row],[DUT Adj Read]]&gt;=Table1[[#This Row],[Low Tol]],"Pass","Fail")))</f>
        <v>Pass</v>
      </c>
      <c r="AG2205" s="1" t="str">
        <f>IF(AND(Table1[[#This Row],[Spec Type2]]="N/A",Table1[[#This Row],[DUT Adj Read]]="N/A",Table1[[#This Row],[Std Adj Read]]="N/A"),"N/A",IF(Table1[[#This Row],[DUT Adj Read]]="N/A",IF(Table1[[#This Row],[Std Adj Read]]&lt;=Table1[[#This Row],[High Tol]],"Pass","Fail"),IF(Table1[[#This Row],[DUT Adj Read]]&lt;=Table1[[#This Row],[High Tol]],"Pass","Fail")))</f>
        <v>Fail</v>
      </c>
      <c r="AH22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5" s="1" t="b">
        <v>0</v>
      </c>
      <c r="AN2205" s="1" t="b">
        <v>0</v>
      </c>
      <c r="AO2205" s="1" t="b">
        <v>0</v>
      </c>
    </row>
    <row r="2206" spans="1:41" x14ac:dyDescent="0.25">
      <c r="A2206" s="10"/>
      <c r="B2206" s="10"/>
      <c r="C2206" s="10"/>
      <c r="D2206" s="10"/>
      <c r="E2206" s="10"/>
      <c r="F2206" s="10"/>
      <c r="G2206" s="10"/>
      <c r="H2206" s="10"/>
      <c r="I2206" s="1" t="str">
        <f t="shared" si="102"/>
        <v/>
      </c>
      <c r="J2206" s="1" t="s">
        <v>35</v>
      </c>
      <c r="K2206" s="1" t="str">
        <f t="shared" si="103"/>
        <v/>
      </c>
      <c r="L2206" s="1" t="str">
        <f t="shared" si="104"/>
        <v/>
      </c>
      <c r="M2206" s="1">
        <f>IF(OR(Table1[[#This Row],[Std Nom]]="",Table1[[#This Row],[Std Read]]=""),0,Table1[[#This Row],[Std Nom]]-Table1[[#This Row],[Std Read]])</f>
        <v>0</v>
      </c>
      <c r="N2206" s="1">
        <f>IF(Calculations!$F$5="ACCREDITED 17025 WITH UNCERTAINTIES",$N$10,0)</f>
        <v>0</v>
      </c>
      <c r="O2206" s="1" t="str">
        <f>IFERROR(Table1[[#This Row],[Std Nom]]-(_xlfn.XLOOKUP(Table1[[#This Row],[Manufacturer]]&amp;" "&amp;Table1[[#This Row],[Model]],Table13[MFR &amp; MDL],Table13[Tolerance % CW ],"")/100*Table1[[#This Row],[Std Nom]]),"")</f>
        <v/>
      </c>
      <c r="P2206" s="1" t="str">
        <f>IFERROR(Table1[[#This Row],[Std Nom]]+(_xlfn.XLOOKUP(Table1[[#This Row],[Manufacturer]]&amp;" "&amp;Table1[[#This Row],[Model]],Table13[MFR &amp; MDL],Table13[Tolerance % CW ],"")/100*Table1[[#This Row],[Std Nom]]),"")</f>
        <v/>
      </c>
      <c r="Q2206" s="1" t="e">
        <f>Table1[[#This Row],[High Tol]]-Table1[[#This Row],[Low Tol]]</f>
        <v>#VALUE!</v>
      </c>
      <c r="R2206" s="1">
        <f>2*Table1[[#This Row],[Std Error]]</f>
        <v>0</v>
      </c>
      <c r="S2206" s="1" t="str">
        <f>IF(Table1[[#This Row],[High Tol]]="","N/A",IFERROR(ABS(Table1[[#This Row],[Tol Span]]/Table1[[#This Row],[Error Span]]),"N/A"))</f>
        <v>N/A</v>
      </c>
      <c r="T2206" s="1" t="str">
        <f>IF(OR(Table1[[#This Row],[Low Tol]]="",Table1[[#This Row],[High Tol]]=""),"Needs Analysis",IF(Table1[[#This Row],[Ratio]]&gt;=4,"Not Significant",IF(Table1[[#This Row],[Ratio]]&gt;=2,"Semi-Significant","Significant")))</f>
        <v>Needs Analysis</v>
      </c>
      <c r="W2206" s="1">
        <f>IF(Table1[[#This Row],[Cal Type]]&lt;&gt;"ACCREDITED 17025 WITH UNCERTAINTIES",0,"")</f>
        <v>0</v>
      </c>
      <c r="X2206" s="1" t="str">
        <f>IF(Table1[[#This Row],[DUT Read]]="","N/A",Table1[[#This Row],[Std Error]]+Table1[[#This Row],[DUT Read]]+Table1[[#This Row],[DUT Ucty]])</f>
        <v>N/A</v>
      </c>
      <c r="Y2206" s="1" t="str">
        <f>IF(Table1[[#This Row],[Std Read]]="","N/A",Table1[[#This Row],[Std Read]]+Table1[[#This Row],[Std Ucty]])</f>
        <v>N/A</v>
      </c>
      <c r="Z22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6" s="1" t="str">
        <f>IF(Table1[[#This Row],[Spec Type]]="","N/A",Table1[[#This Row],[Spec Type]])</f>
        <v>±</v>
      </c>
      <c r="AC2206" s="1" t="str">
        <f>IF(Table1[[#This Row],[Spec Type2]]="N/A","N/A",IF(AND(Table1[[#This Row],[DUT Adj Read]]&gt;=Table1[[#This Row],[Low Tol]],Table1[[#This Row],[DUT Adj Read]]&lt;=Table1[[#This Row],[High Tol]]),"Pass","Fail"))</f>
        <v>Fail</v>
      </c>
      <c r="AD2206" s="1" t="str">
        <f>IF(AND(Table1[[#This Row],[Spec Type2]]="N/A",Table1[[#This Row],[DUT Adj Read]]="N/A",Table1[[#This Row],[Std Adj Read]]="N/A"),"N/A",IF(Table1[[#This Row],[DUT Adj Read]]="N/A",IF(Table1[[#This Row],[Std Adj Read]]&gt;Table1[[#This Row],[Low Tol]],"Pass","Fail"),IF(Table1[[#This Row],[DUT Adj Read]]&gt;Table1[[#This Row],[Low Tol]],"Pass","Fail")))</f>
        <v>Pass</v>
      </c>
      <c r="AE2206" s="1" t="str">
        <f>IF(AND(Table1[[#This Row],[Spec Type2]]="N/A",Table1[[#This Row],[DUT Adj Read]]="N/A",Table1[[#This Row],[Std Adj Read]]="N/A"),"N/A",IF(Table1[[#This Row],[DUT Adj Read]]="N/A",IF(Table1[[#This Row],[Std Adj Read]]&lt;Table1[[#This Row],[High Tol]],"Pass","Fail"),IF(Table1[[#This Row],[DUT Adj Read]]&lt;Table1[[#This Row],[High Tol]],"Pass","Fail")))</f>
        <v>Fail</v>
      </c>
      <c r="AF2206" s="1" t="str">
        <f>IF(AND(Table1[[#This Row],[Spec Type2]]="N/A",Table1[[#This Row],[DUT Adj Read]]="N/A",Table1[[#This Row],[Std Adj Read]]="N/A"),"N/A",IF(Table1[[#This Row],[DUT Adj Read]]="N/A",IF(Table1[[#This Row],[Std Adj Read]]&gt;=Table1[[#This Row],[Low Tol]],"Pass","Fail"),IF(Table1[[#This Row],[DUT Adj Read]]&gt;=Table1[[#This Row],[Low Tol]],"Pass","Fail")))</f>
        <v>Pass</v>
      </c>
      <c r="AG2206" s="1" t="str">
        <f>IF(AND(Table1[[#This Row],[Spec Type2]]="N/A",Table1[[#This Row],[DUT Adj Read]]="N/A",Table1[[#This Row],[Std Adj Read]]="N/A"),"N/A",IF(Table1[[#This Row],[DUT Adj Read]]="N/A",IF(Table1[[#This Row],[Std Adj Read]]&lt;=Table1[[#This Row],[High Tol]],"Pass","Fail"),IF(Table1[[#This Row],[DUT Adj Read]]&lt;=Table1[[#This Row],[High Tol]],"Pass","Fail")))</f>
        <v>Fail</v>
      </c>
      <c r="AH22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6" s="1" t="b">
        <v>0</v>
      </c>
      <c r="AN2206" s="1" t="b">
        <v>0</v>
      </c>
      <c r="AO2206" s="1" t="b">
        <v>0</v>
      </c>
    </row>
    <row r="2207" spans="1:41" x14ac:dyDescent="0.25">
      <c r="A2207" s="10"/>
      <c r="B2207" s="10"/>
      <c r="C2207" s="10"/>
      <c r="D2207" s="10"/>
      <c r="E2207" s="10"/>
      <c r="F2207" s="10"/>
      <c r="G2207" s="10"/>
      <c r="H2207" s="10"/>
      <c r="I2207" s="1" t="str">
        <f t="shared" si="102"/>
        <v/>
      </c>
      <c r="J2207" s="1" t="s">
        <v>35</v>
      </c>
      <c r="K2207" s="1" t="str">
        <f t="shared" si="103"/>
        <v/>
      </c>
      <c r="L2207" s="1" t="str">
        <f t="shared" si="104"/>
        <v/>
      </c>
      <c r="M2207" s="1">
        <f>IF(OR(Table1[[#This Row],[Std Nom]]="",Table1[[#This Row],[Std Read]]=""),0,Table1[[#This Row],[Std Nom]]-Table1[[#This Row],[Std Read]])</f>
        <v>0</v>
      </c>
      <c r="N2207" s="1">
        <f>IF(Calculations!$F$5="ACCREDITED 17025 WITH UNCERTAINTIES",$N$10,0)</f>
        <v>0</v>
      </c>
      <c r="O2207" s="1" t="str">
        <f>IFERROR(Table1[[#This Row],[Std Nom]]-(_xlfn.XLOOKUP(Table1[[#This Row],[Manufacturer]]&amp;" "&amp;Table1[[#This Row],[Model]],Table13[MFR &amp; MDL],Table13[Tolerance % CW ],"")/100*Table1[[#This Row],[Std Nom]]),"")</f>
        <v/>
      </c>
      <c r="P2207" s="1" t="str">
        <f>IFERROR(Table1[[#This Row],[Std Nom]]+(_xlfn.XLOOKUP(Table1[[#This Row],[Manufacturer]]&amp;" "&amp;Table1[[#This Row],[Model]],Table13[MFR &amp; MDL],Table13[Tolerance % CW ],"")/100*Table1[[#This Row],[Std Nom]]),"")</f>
        <v/>
      </c>
      <c r="Q2207" s="1" t="e">
        <f>Table1[[#This Row],[High Tol]]-Table1[[#This Row],[Low Tol]]</f>
        <v>#VALUE!</v>
      </c>
      <c r="R2207" s="1">
        <f>2*Table1[[#This Row],[Std Error]]</f>
        <v>0</v>
      </c>
      <c r="S2207" s="1" t="str">
        <f>IF(Table1[[#This Row],[High Tol]]="","N/A",IFERROR(ABS(Table1[[#This Row],[Tol Span]]/Table1[[#This Row],[Error Span]]),"N/A"))</f>
        <v>N/A</v>
      </c>
      <c r="T2207" s="1" t="str">
        <f>IF(OR(Table1[[#This Row],[Low Tol]]="",Table1[[#This Row],[High Tol]]=""),"Needs Analysis",IF(Table1[[#This Row],[Ratio]]&gt;=4,"Not Significant",IF(Table1[[#This Row],[Ratio]]&gt;=2,"Semi-Significant","Significant")))</f>
        <v>Needs Analysis</v>
      </c>
      <c r="W2207" s="1">
        <f>IF(Table1[[#This Row],[Cal Type]]&lt;&gt;"ACCREDITED 17025 WITH UNCERTAINTIES",0,"")</f>
        <v>0</v>
      </c>
      <c r="X2207" s="1" t="str">
        <f>IF(Table1[[#This Row],[DUT Read]]="","N/A",Table1[[#This Row],[Std Error]]+Table1[[#This Row],[DUT Read]]+Table1[[#This Row],[DUT Ucty]])</f>
        <v>N/A</v>
      </c>
      <c r="Y2207" s="1" t="str">
        <f>IF(Table1[[#This Row],[Std Read]]="","N/A",Table1[[#This Row],[Std Read]]+Table1[[#This Row],[Std Ucty]])</f>
        <v>N/A</v>
      </c>
      <c r="Z22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7" s="1" t="str">
        <f>IF(Table1[[#This Row],[Spec Type]]="","N/A",Table1[[#This Row],[Spec Type]])</f>
        <v>±</v>
      </c>
      <c r="AC2207" s="1" t="str">
        <f>IF(Table1[[#This Row],[Spec Type2]]="N/A","N/A",IF(AND(Table1[[#This Row],[DUT Adj Read]]&gt;=Table1[[#This Row],[Low Tol]],Table1[[#This Row],[DUT Adj Read]]&lt;=Table1[[#This Row],[High Tol]]),"Pass","Fail"))</f>
        <v>Fail</v>
      </c>
      <c r="AD2207" s="1" t="str">
        <f>IF(AND(Table1[[#This Row],[Spec Type2]]="N/A",Table1[[#This Row],[DUT Adj Read]]="N/A",Table1[[#This Row],[Std Adj Read]]="N/A"),"N/A",IF(Table1[[#This Row],[DUT Adj Read]]="N/A",IF(Table1[[#This Row],[Std Adj Read]]&gt;Table1[[#This Row],[Low Tol]],"Pass","Fail"),IF(Table1[[#This Row],[DUT Adj Read]]&gt;Table1[[#This Row],[Low Tol]],"Pass","Fail")))</f>
        <v>Pass</v>
      </c>
      <c r="AE2207" s="1" t="str">
        <f>IF(AND(Table1[[#This Row],[Spec Type2]]="N/A",Table1[[#This Row],[DUT Adj Read]]="N/A",Table1[[#This Row],[Std Adj Read]]="N/A"),"N/A",IF(Table1[[#This Row],[DUT Adj Read]]="N/A",IF(Table1[[#This Row],[Std Adj Read]]&lt;Table1[[#This Row],[High Tol]],"Pass","Fail"),IF(Table1[[#This Row],[DUT Adj Read]]&lt;Table1[[#This Row],[High Tol]],"Pass","Fail")))</f>
        <v>Fail</v>
      </c>
      <c r="AF2207" s="1" t="str">
        <f>IF(AND(Table1[[#This Row],[Spec Type2]]="N/A",Table1[[#This Row],[DUT Adj Read]]="N/A",Table1[[#This Row],[Std Adj Read]]="N/A"),"N/A",IF(Table1[[#This Row],[DUT Adj Read]]="N/A",IF(Table1[[#This Row],[Std Adj Read]]&gt;=Table1[[#This Row],[Low Tol]],"Pass","Fail"),IF(Table1[[#This Row],[DUT Adj Read]]&gt;=Table1[[#This Row],[Low Tol]],"Pass","Fail")))</f>
        <v>Pass</v>
      </c>
      <c r="AG2207" s="1" t="str">
        <f>IF(AND(Table1[[#This Row],[Spec Type2]]="N/A",Table1[[#This Row],[DUT Adj Read]]="N/A",Table1[[#This Row],[Std Adj Read]]="N/A"),"N/A",IF(Table1[[#This Row],[DUT Adj Read]]="N/A",IF(Table1[[#This Row],[Std Adj Read]]&lt;=Table1[[#This Row],[High Tol]],"Pass","Fail"),IF(Table1[[#This Row],[DUT Adj Read]]&lt;=Table1[[#This Row],[High Tol]],"Pass","Fail")))</f>
        <v>Fail</v>
      </c>
      <c r="AH22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7" s="1" t="b">
        <v>0</v>
      </c>
      <c r="AN2207" s="1" t="b">
        <v>0</v>
      </c>
      <c r="AO2207" s="1" t="b">
        <v>0</v>
      </c>
    </row>
    <row r="2208" spans="1:41" x14ac:dyDescent="0.25">
      <c r="A2208" s="10"/>
      <c r="B2208" s="10"/>
      <c r="C2208" s="10"/>
      <c r="D2208" s="10"/>
      <c r="E2208" s="10"/>
      <c r="F2208" s="10"/>
      <c r="G2208" s="10"/>
      <c r="H2208" s="10"/>
      <c r="I2208" s="1" t="str">
        <f t="shared" si="102"/>
        <v/>
      </c>
      <c r="J2208" s="1" t="s">
        <v>35</v>
      </c>
      <c r="K2208" s="1" t="str">
        <f t="shared" si="103"/>
        <v/>
      </c>
      <c r="L2208" s="1" t="str">
        <f t="shared" si="104"/>
        <v/>
      </c>
      <c r="M2208" s="1">
        <f>IF(OR(Table1[[#This Row],[Std Nom]]="",Table1[[#This Row],[Std Read]]=""),0,Table1[[#This Row],[Std Nom]]-Table1[[#This Row],[Std Read]])</f>
        <v>0</v>
      </c>
      <c r="N2208" s="1">
        <f>IF(Calculations!$F$5="ACCREDITED 17025 WITH UNCERTAINTIES",$N$10,0)</f>
        <v>0</v>
      </c>
      <c r="O2208" s="1" t="str">
        <f>IFERROR(Table1[[#This Row],[Std Nom]]-(_xlfn.XLOOKUP(Table1[[#This Row],[Manufacturer]]&amp;" "&amp;Table1[[#This Row],[Model]],Table13[MFR &amp; MDL],Table13[Tolerance % CW ],"")/100*Table1[[#This Row],[Std Nom]]),"")</f>
        <v/>
      </c>
      <c r="P2208" s="1" t="str">
        <f>IFERROR(Table1[[#This Row],[Std Nom]]+(_xlfn.XLOOKUP(Table1[[#This Row],[Manufacturer]]&amp;" "&amp;Table1[[#This Row],[Model]],Table13[MFR &amp; MDL],Table13[Tolerance % CW ],"")/100*Table1[[#This Row],[Std Nom]]),"")</f>
        <v/>
      </c>
      <c r="Q2208" s="1" t="e">
        <f>Table1[[#This Row],[High Tol]]-Table1[[#This Row],[Low Tol]]</f>
        <v>#VALUE!</v>
      </c>
      <c r="R2208" s="1">
        <f>2*Table1[[#This Row],[Std Error]]</f>
        <v>0</v>
      </c>
      <c r="S2208" s="1" t="str">
        <f>IF(Table1[[#This Row],[High Tol]]="","N/A",IFERROR(ABS(Table1[[#This Row],[Tol Span]]/Table1[[#This Row],[Error Span]]),"N/A"))</f>
        <v>N/A</v>
      </c>
      <c r="T2208" s="1" t="str">
        <f>IF(OR(Table1[[#This Row],[Low Tol]]="",Table1[[#This Row],[High Tol]]=""),"Needs Analysis",IF(Table1[[#This Row],[Ratio]]&gt;=4,"Not Significant",IF(Table1[[#This Row],[Ratio]]&gt;=2,"Semi-Significant","Significant")))</f>
        <v>Needs Analysis</v>
      </c>
      <c r="W2208" s="1">
        <f>IF(Table1[[#This Row],[Cal Type]]&lt;&gt;"ACCREDITED 17025 WITH UNCERTAINTIES",0,"")</f>
        <v>0</v>
      </c>
      <c r="X2208" s="1" t="str">
        <f>IF(Table1[[#This Row],[DUT Read]]="","N/A",Table1[[#This Row],[Std Error]]+Table1[[#This Row],[DUT Read]]+Table1[[#This Row],[DUT Ucty]])</f>
        <v>N/A</v>
      </c>
      <c r="Y2208" s="1" t="str">
        <f>IF(Table1[[#This Row],[Std Read]]="","N/A",Table1[[#This Row],[Std Read]]+Table1[[#This Row],[Std Ucty]])</f>
        <v>N/A</v>
      </c>
      <c r="Z22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8" s="1" t="str">
        <f>IF(Table1[[#This Row],[Spec Type]]="","N/A",Table1[[#This Row],[Spec Type]])</f>
        <v>±</v>
      </c>
      <c r="AC2208" s="1" t="str">
        <f>IF(Table1[[#This Row],[Spec Type2]]="N/A","N/A",IF(AND(Table1[[#This Row],[DUT Adj Read]]&gt;=Table1[[#This Row],[Low Tol]],Table1[[#This Row],[DUT Adj Read]]&lt;=Table1[[#This Row],[High Tol]]),"Pass","Fail"))</f>
        <v>Fail</v>
      </c>
      <c r="AD2208" s="1" t="str">
        <f>IF(AND(Table1[[#This Row],[Spec Type2]]="N/A",Table1[[#This Row],[DUT Adj Read]]="N/A",Table1[[#This Row],[Std Adj Read]]="N/A"),"N/A",IF(Table1[[#This Row],[DUT Adj Read]]="N/A",IF(Table1[[#This Row],[Std Adj Read]]&gt;Table1[[#This Row],[Low Tol]],"Pass","Fail"),IF(Table1[[#This Row],[DUT Adj Read]]&gt;Table1[[#This Row],[Low Tol]],"Pass","Fail")))</f>
        <v>Pass</v>
      </c>
      <c r="AE2208" s="1" t="str">
        <f>IF(AND(Table1[[#This Row],[Spec Type2]]="N/A",Table1[[#This Row],[DUT Adj Read]]="N/A",Table1[[#This Row],[Std Adj Read]]="N/A"),"N/A",IF(Table1[[#This Row],[DUT Adj Read]]="N/A",IF(Table1[[#This Row],[Std Adj Read]]&lt;Table1[[#This Row],[High Tol]],"Pass","Fail"),IF(Table1[[#This Row],[DUT Adj Read]]&lt;Table1[[#This Row],[High Tol]],"Pass","Fail")))</f>
        <v>Fail</v>
      </c>
      <c r="AF2208" s="1" t="str">
        <f>IF(AND(Table1[[#This Row],[Spec Type2]]="N/A",Table1[[#This Row],[DUT Adj Read]]="N/A",Table1[[#This Row],[Std Adj Read]]="N/A"),"N/A",IF(Table1[[#This Row],[DUT Adj Read]]="N/A",IF(Table1[[#This Row],[Std Adj Read]]&gt;=Table1[[#This Row],[Low Tol]],"Pass","Fail"),IF(Table1[[#This Row],[DUT Adj Read]]&gt;=Table1[[#This Row],[Low Tol]],"Pass","Fail")))</f>
        <v>Pass</v>
      </c>
      <c r="AG2208" s="1" t="str">
        <f>IF(AND(Table1[[#This Row],[Spec Type2]]="N/A",Table1[[#This Row],[DUT Adj Read]]="N/A",Table1[[#This Row],[Std Adj Read]]="N/A"),"N/A",IF(Table1[[#This Row],[DUT Adj Read]]="N/A",IF(Table1[[#This Row],[Std Adj Read]]&lt;=Table1[[#This Row],[High Tol]],"Pass","Fail"),IF(Table1[[#This Row],[DUT Adj Read]]&lt;=Table1[[#This Row],[High Tol]],"Pass","Fail")))</f>
        <v>Fail</v>
      </c>
      <c r="AH22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8" s="1" t="b">
        <v>0</v>
      </c>
      <c r="AN2208" s="1" t="b">
        <v>0</v>
      </c>
      <c r="AO2208" s="1" t="b">
        <v>0</v>
      </c>
    </row>
    <row r="2209" spans="1:41" x14ac:dyDescent="0.25">
      <c r="A2209" s="10"/>
      <c r="B2209" s="10"/>
      <c r="C2209" s="10"/>
      <c r="D2209" s="10"/>
      <c r="E2209" s="10"/>
      <c r="F2209" s="10"/>
      <c r="G2209" s="10"/>
      <c r="H2209" s="10"/>
      <c r="I2209" s="1" t="str">
        <f t="shared" si="102"/>
        <v/>
      </c>
      <c r="J2209" s="1" t="s">
        <v>35</v>
      </c>
      <c r="K2209" s="1" t="str">
        <f t="shared" si="103"/>
        <v/>
      </c>
      <c r="L2209" s="1" t="str">
        <f t="shared" si="104"/>
        <v/>
      </c>
      <c r="M2209" s="1">
        <f>IF(OR(Table1[[#This Row],[Std Nom]]="",Table1[[#This Row],[Std Read]]=""),0,Table1[[#This Row],[Std Nom]]-Table1[[#This Row],[Std Read]])</f>
        <v>0</v>
      </c>
      <c r="N2209" s="1">
        <f>IF(Calculations!$F$5="ACCREDITED 17025 WITH UNCERTAINTIES",$N$10,0)</f>
        <v>0</v>
      </c>
      <c r="O2209" s="1" t="str">
        <f>IFERROR(Table1[[#This Row],[Std Nom]]-(_xlfn.XLOOKUP(Table1[[#This Row],[Manufacturer]]&amp;" "&amp;Table1[[#This Row],[Model]],Table13[MFR &amp; MDL],Table13[Tolerance % CW ],"")/100*Table1[[#This Row],[Std Nom]]),"")</f>
        <v/>
      </c>
      <c r="P2209" s="1" t="str">
        <f>IFERROR(Table1[[#This Row],[Std Nom]]+(_xlfn.XLOOKUP(Table1[[#This Row],[Manufacturer]]&amp;" "&amp;Table1[[#This Row],[Model]],Table13[MFR &amp; MDL],Table13[Tolerance % CW ],"")/100*Table1[[#This Row],[Std Nom]]),"")</f>
        <v/>
      </c>
      <c r="Q2209" s="1" t="e">
        <f>Table1[[#This Row],[High Tol]]-Table1[[#This Row],[Low Tol]]</f>
        <v>#VALUE!</v>
      </c>
      <c r="R2209" s="1">
        <f>2*Table1[[#This Row],[Std Error]]</f>
        <v>0</v>
      </c>
      <c r="S2209" s="1" t="str">
        <f>IF(Table1[[#This Row],[High Tol]]="","N/A",IFERROR(ABS(Table1[[#This Row],[Tol Span]]/Table1[[#This Row],[Error Span]]),"N/A"))</f>
        <v>N/A</v>
      </c>
      <c r="T2209" s="1" t="str">
        <f>IF(OR(Table1[[#This Row],[Low Tol]]="",Table1[[#This Row],[High Tol]]=""),"Needs Analysis",IF(Table1[[#This Row],[Ratio]]&gt;=4,"Not Significant",IF(Table1[[#This Row],[Ratio]]&gt;=2,"Semi-Significant","Significant")))</f>
        <v>Needs Analysis</v>
      </c>
      <c r="W2209" s="1">
        <f>IF(Table1[[#This Row],[Cal Type]]&lt;&gt;"ACCREDITED 17025 WITH UNCERTAINTIES",0,"")</f>
        <v>0</v>
      </c>
      <c r="X2209" s="1" t="str">
        <f>IF(Table1[[#This Row],[DUT Read]]="","N/A",Table1[[#This Row],[Std Error]]+Table1[[#This Row],[DUT Read]]+Table1[[#This Row],[DUT Ucty]])</f>
        <v>N/A</v>
      </c>
      <c r="Y2209" s="1" t="str">
        <f>IF(Table1[[#This Row],[Std Read]]="","N/A",Table1[[#This Row],[Std Read]]+Table1[[#This Row],[Std Ucty]])</f>
        <v>N/A</v>
      </c>
      <c r="Z22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9" s="1" t="str">
        <f>IF(Table1[[#This Row],[Spec Type]]="","N/A",Table1[[#This Row],[Spec Type]])</f>
        <v>±</v>
      </c>
      <c r="AC2209" s="1" t="str">
        <f>IF(Table1[[#This Row],[Spec Type2]]="N/A","N/A",IF(AND(Table1[[#This Row],[DUT Adj Read]]&gt;=Table1[[#This Row],[Low Tol]],Table1[[#This Row],[DUT Adj Read]]&lt;=Table1[[#This Row],[High Tol]]),"Pass","Fail"))</f>
        <v>Fail</v>
      </c>
      <c r="AD2209" s="1" t="str">
        <f>IF(AND(Table1[[#This Row],[Spec Type2]]="N/A",Table1[[#This Row],[DUT Adj Read]]="N/A",Table1[[#This Row],[Std Adj Read]]="N/A"),"N/A",IF(Table1[[#This Row],[DUT Adj Read]]="N/A",IF(Table1[[#This Row],[Std Adj Read]]&gt;Table1[[#This Row],[Low Tol]],"Pass","Fail"),IF(Table1[[#This Row],[DUT Adj Read]]&gt;Table1[[#This Row],[Low Tol]],"Pass","Fail")))</f>
        <v>Pass</v>
      </c>
      <c r="AE2209" s="1" t="str">
        <f>IF(AND(Table1[[#This Row],[Spec Type2]]="N/A",Table1[[#This Row],[DUT Adj Read]]="N/A",Table1[[#This Row],[Std Adj Read]]="N/A"),"N/A",IF(Table1[[#This Row],[DUT Adj Read]]="N/A",IF(Table1[[#This Row],[Std Adj Read]]&lt;Table1[[#This Row],[High Tol]],"Pass","Fail"),IF(Table1[[#This Row],[DUT Adj Read]]&lt;Table1[[#This Row],[High Tol]],"Pass","Fail")))</f>
        <v>Fail</v>
      </c>
      <c r="AF2209" s="1" t="str">
        <f>IF(AND(Table1[[#This Row],[Spec Type2]]="N/A",Table1[[#This Row],[DUT Adj Read]]="N/A",Table1[[#This Row],[Std Adj Read]]="N/A"),"N/A",IF(Table1[[#This Row],[DUT Adj Read]]="N/A",IF(Table1[[#This Row],[Std Adj Read]]&gt;=Table1[[#This Row],[Low Tol]],"Pass","Fail"),IF(Table1[[#This Row],[DUT Adj Read]]&gt;=Table1[[#This Row],[Low Tol]],"Pass","Fail")))</f>
        <v>Pass</v>
      </c>
      <c r="AG2209" s="1" t="str">
        <f>IF(AND(Table1[[#This Row],[Spec Type2]]="N/A",Table1[[#This Row],[DUT Adj Read]]="N/A",Table1[[#This Row],[Std Adj Read]]="N/A"),"N/A",IF(Table1[[#This Row],[DUT Adj Read]]="N/A",IF(Table1[[#This Row],[Std Adj Read]]&lt;=Table1[[#This Row],[High Tol]],"Pass","Fail"),IF(Table1[[#This Row],[DUT Adj Read]]&lt;=Table1[[#This Row],[High Tol]],"Pass","Fail")))</f>
        <v>Fail</v>
      </c>
      <c r="AH22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9" s="1" t="b">
        <v>0</v>
      </c>
      <c r="AN2209" s="1" t="b">
        <v>0</v>
      </c>
      <c r="AO2209" s="1" t="b">
        <v>0</v>
      </c>
    </row>
    <row r="2210" spans="1:41" x14ac:dyDescent="0.25">
      <c r="A2210" s="10"/>
      <c r="B2210" s="10"/>
      <c r="C2210" s="10"/>
      <c r="D2210" s="10"/>
      <c r="E2210" s="10"/>
      <c r="F2210" s="10"/>
      <c r="G2210" s="10"/>
      <c r="H2210" s="10"/>
      <c r="I2210" s="1" t="str">
        <f t="shared" si="102"/>
        <v/>
      </c>
      <c r="J2210" s="1" t="s">
        <v>35</v>
      </c>
      <c r="K2210" s="1" t="str">
        <f t="shared" si="103"/>
        <v/>
      </c>
      <c r="L2210" s="1" t="str">
        <f t="shared" si="104"/>
        <v/>
      </c>
      <c r="M2210" s="1">
        <f>IF(OR(Table1[[#This Row],[Std Nom]]="",Table1[[#This Row],[Std Read]]=""),0,Table1[[#This Row],[Std Nom]]-Table1[[#This Row],[Std Read]])</f>
        <v>0</v>
      </c>
      <c r="N2210" s="1">
        <f>IF(Calculations!$F$5="ACCREDITED 17025 WITH UNCERTAINTIES",$N$10,0)</f>
        <v>0</v>
      </c>
      <c r="O2210" s="1" t="str">
        <f>IFERROR(Table1[[#This Row],[Std Nom]]-(_xlfn.XLOOKUP(Table1[[#This Row],[Manufacturer]]&amp;" "&amp;Table1[[#This Row],[Model]],Table13[MFR &amp; MDL],Table13[Tolerance % CW ],"")/100*Table1[[#This Row],[Std Nom]]),"")</f>
        <v/>
      </c>
      <c r="P2210" s="1" t="str">
        <f>IFERROR(Table1[[#This Row],[Std Nom]]+(_xlfn.XLOOKUP(Table1[[#This Row],[Manufacturer]]&amp;" "&amp;Table1[[#This Row],[Model]],Table13[MFR &amp; MDL],Table13[Tolerance % CW ],"")/100*Table1[[#This Row],[Std Nom]]),"")</f>
        <v/>
      </c>
      <c r="Q2210" s="1" t="e">
        <f>Table1[[#This Row],[High Tol]]-Table1[[#This Row],[Low Tol]]</f>
        <v>#VALUE!</v>
      </c>
      <c r="R2210" s="1">
        <f>2*Table1[[#This Row],[Std Error]]</f>
        <v>0</v>
      </c>
      <c r="S2210" s="1" t="str">
        <f>IF(Table1[[#This Row],[High Tol]]="","N/A",IFERROR(ABS(Table1[[#This Row],[Tol Span]]/Table1[[#This Row],[Error Span]]),"N/A"))</f>
        <v>N/A</v>
      </c>
      <c r="T2210" s="1" t="str">
        <f>IF(OR(Table1[[#This Row],[Low Tol]]="",Table1[[#This Row],[High Tol]]=""),"Needs Analysis",IF(Table1[[#This Row],[Ratio]]&gt;=4,"Not Significant",IF(Table1[[#This Row],[Ratio]]&gt;=2,"Semi-Significant","Significant")))</f>
        <v>Needs Analysis</v>
      </c>
      <c r="W2210" s="1">
        <f>IF(Table1[[#This Row],[Cal Type]]&lt;&gt;"ACCREDITED 17025 WITH UNCERTAINTIES",0,"")</f>
        <v>0</v>
      </c>
      <c r="X2210" s="1" t="str">
        <f>IF(Table1[[#This Row],[DUT Read]]="","N/A",Table1[[#This Row],[Std Error]]+Table1[[#This Row],[DUT Read]]+Table1[[#This Row],[DUT Ucty]])</f>
        <v>N/A</v>
      </c>
      <c r="Y2210" s="1" t="str">
        <f>IF(Table1[[#This Row],[Std Read]]="","N/A",Table1[[#This Row],[Std Read]]+Table1[[#This Row],[Std Ucty]])</f>
        <v>N/A</v>
      </c>
      <c r="Z22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0" s="1" t="str">
        <f>IF(Table1[[#This Row],[Spec Type]]="","N/A",Table1[[#This Row],[Spec Type]])</f>
        <v>±</v>
      </c>
      <c r="AC2210" s="1" t="str">
        <f>IF(Table1[[#This Row],[Spec Type2]]="N/A","N/A",IF(AND(Table1[[#This Row],[DUT Adj Read]]&gt;=Table1[[#This Row],[Low Tol]],Table1[[#This Row],[DUT Adj Read]]&lt;=Table1[[#This Row],[High Tol]]),"Pass","Fail"))</f>
        <v>Fail</v>
      </c>
      <c r="AD2210" s="1" t="str">
        <f>IF(AND(Table1[[#This Row],[Spec Type2]]="N/A",Table1[[#This Row],[DUT Adj Read]]="N/A",Table1[[#This Row],[Std Adj Read]]="N/A"),"N/A",IF(Table1[[#This Row],[DUT Adj Read]]="N/A",IF(Table1[[#This Row],[Std Adj Read]]&gt;Table1[[#This Row],[Low Tol]],"Pass","Fail"),IF(Table1[[#This Row],[DUT Adj Read]]&gt;Table1[[#This Row],[Low Tol]],"Pass","Fail")))</f>
        <v>Pass</v>
      </c>
      <c r="AE2210" s="1" t="str">
        <f>IF(AND(Table1[[#This Row],[Spec Type2]]="N/A",Table1[[#This Row],[DUT Adj Read]]="N/A",Table1[[#This Row],[Std Adj Read]]="N/A"),"N/A",IF(Table1[[#This Row],[DUT Adj Read]]="N/A",IF(Table1[[#This Row],[Std Adj Read]]&lt;Table1[[#This Row],[High Tol]],"Pass","Fail"),IF(Table1[[#This Row],[DUT Adj Read]]&lt;Table1[[#This Row],[High Tol]],"Pass","Fail")))</f>
        <v>Fail</v>
      </c>
      <c r="AF2210" s="1" t="str">
        <f>IF(AND(Table1[[#This Row],[Spec Type2]]="N/A",Table1[[#This Row],[DUT Adj Read]]="N/A",Table1[[#This Row],[Std Adj Read]]="N/A"),"N/A",IF(Table1[[#This Row],[DUT Adj Read]]="N/A",IF(Table1[[#This Row],[Std Adj Read]]&gt;=Table1[[#This Row],[Low Tol]],"Pass","Fail"),IF(Table1[[#This Row],[DUT Adj Read]]&gt;=Table1[[#This Row],[Low Tol]],"Pass","Fail")))</f>
        <v>Pass</v>
      </c>
      <c r="AG2210" s="1" t="str">
        <f>IF(AND(Table1[[#This Row],[Spec Type2]]="N/A",Table1[[#This Row],[DUT Adj Read]]="N/A",Table1[[#This Row],[Std Adj Read]]="N/A"),"N/A",IF(Table1[[#This Row],[DUT Adj Read]]="N/A",IF(Table1[[#This Row],[Std Adj Read]]&lt;=Table1[[#This Row],[High Tol]],"Pass","Fail"),IF(Table1[[#This Row],[DUT Adj Read]]&lt;=Table1[[#This Row],[High Tol]],"Pass","Fail")))</f>
        <v>Fail</v>
      </c>
      <c r="AH22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0" s="1" t="b">
        <v>0</v>
      </c>
      <c r="AN2210" s="1" t="b">
        <v>0</v>
      </c>
      <c r="AO2210" s="1" t="b">
        <v>0</v>
      </c>
    </row>
    <row r="2211" spans="1:41" x14ac:dyDescent="0.25">
      <c r="A2211" s="10"/>
      <c r="B2211" s="10"/>
      <c r="C2211" s="10"/>
      <c r="D2211" s="10"/>
      <c r="E2211" s="10"/>
      <c r="F2211" s="10"/>
      <c r="G2211" s="10"/>
      <c r="H2211" s="10"/>
      <c r="I2211" s="1" t="str">
        <f t="shared" si="102"/>
        <v/>
      </c>
      <c r="J2211" s="1" t="s">
        <v>35</v>
      </c>
      <c r="K2211" s="1" t="str">
        <f t="shared" si="103"/>
        <v/>
      </c>
      <c r="L2211" s="1" t="str">
        <f t="shared" si="104"/>
        <v/>
      </c>
      <c r="M2211" s="1">
        <f>IF(OR(Table1[[#This Row],[Std Nom]]="",Table1[[#This Row],[Std Read]]=""),0,Table1[[#This Row],[Std Nom]]-Table1[[#This Row],[Std Read]])</f>
        <v>0</v>
      </c>
      <c r="N2211" s="1">
        <f>IF(Calculations!$F$5="ACCREDITED 17025 WITH UNCERTAINTIES",$N$10,0)</f>
        <v>0</v>
      </c>
      <c r="O2211" s="1" t="str">
        <f>IFERROR(Table1[[#This Row],[Std Nom]]-(_xlfn.XLOOKUP(Table1[[#This Row],[Manufacturer]]&amp;" "&amp;Table1[[#This Row],[Model]],Table13[MFR &amp; MDL],Table13[Tolerance % CW ],"")/100*Table1[[#This Row],[Std Nom]]),"")</f>
        <v/>
      </c>
      <c r="P2211" s="1" t="str">
        <f>IFERROR(Table1[[#This Row],[Std Nom]]+(_xlfn.XLOOKUP(Table1[[#This Row],[Manufacturer]]&amp;" "&amp;Table1[[#This Row],[Model]],Table13[MFR &amp; MDL],Table13[Tolerance % CW ],"")/100*Table1[[#This Row],[Std Nom]]),"")</f>
        <v/>
      </c>
      <c r="Q2211" s="1" t="e">
        <f>Table1[[#This Row],[High Tol]]-Table1[[#This Row],[Low Tol]]</f>
        <v>#VALUE!</v>
      </c>
      <c r="R2211" s="1">
        <f>2*Table1[[#This Row],[Std Error]]</f>
        <v>0</v>
      </c>
      <c r="S2211" s="1" t="str">
        <f>IF(Table1[[#This Row],[High Tol]]="","N/A",IFERROR(ABS(Table1[[#This Row],[Tol Span]]/Table1[[#This Row],[Error Span]]),"N/A"))</f>
        <v>N/A</v>
      </c>
      <c r="T2211" s="1" t="str">
        <f>IF(OR(Table1[[#This Row],[Low Tol]]="",Table1[[#This Row],[High Tol]]=""),"Needs Analysis",IF(Table1[[#This Row],[Ratio]]&gt;=4,"Not Significant",IF(Table1[[#This Row],[Ratio]]&gt;=2,"Semi-Significant","Significant")))</f>
        <v>Needs Analysis</v>
      </c>
      <c r="W2211" s="1">
        <f>IF(Table1[[#This Row],[Cal Type]]&lt;&gt;"ACCREDITED 17025 WITH UNCERTAINTIES",0,"")</f>
        <v>0</v>
      </c>
      <c r="X2211" s="1" t="str">
        <f>IF(Table1[[#This Row],[DUT Read]]="","N/A",Table1[[#This Row],[Std Error]]+Table1[[#This Row],[DUT Read]]+Table1[[#This Row],[DUT Ucty]])</f>
        <v>N/A</v>
      </c>
      <c r="Y2211" s="1" t="str">
        <f>IF(Table1[[#This Row],[Std Read]]="","N/A",Table1[[#This Row],[Std Read]]+Table1[[#This Row],[Std Ucty]])</f>
        <v>N/A</v>
      </c>
      <c r="Z22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1" s="1" t="str">
        <f>IF(Table1[[#This Row],[Spec Type]]="","N/A",Table1[[#This Row],[Spec Type]])</f>
        <v>±</v>
      </c>
      <c r="AC2211" s="1" t="str">
        <f>IF(Table1[[#This Row],[Spec Type2]]="N/A","N/A",IF(AND(Table1[[#This Row],[DUT Adj Read]]&gt;=Table1[[#This Row],[Low Tol]],Table1[[#This Row],[DUT Adj Read]]&lt;=Table1[[#This Row],[High Tol]]),"Pass","Fail"))</f>
        <v>Fail</v>
      </c>
      <c r="AD2211" s="1" t="str">
        <f>IF(AND(Table1[[#This Row],[Spec Type2]]="N/A",Table1[[#This Row],[DUT Adj Read]]="N/A",Table1[[#This Row],[Std Adj Read]]="N/A"),"N/A",IF(Table1[[#This Row],[DUT Adj Read]]="N/A",IF(Table1[[#This Row],[Std Adj Read]]&gt;Table1[[#This Row],[Low Tol]],"Pass","Fail"),IF(Table1[[#This Row],[DUT Adj Read]]&gt;Table1[[#This Row],[Low Tol]],"Pass","Fail")))</f>
        <v>Pass</v>
      </c>
      <c r="AE2211" s="1" t="str">
        <f>IF(AND(Table1[[#This Row],[Spec Type2]]="N/A",Table1[[#This Row],[DUT Adj Read]]="N/A",Table1[[#This Row],[Std Adj Read]]="N/A"),"N/A",IF(Table1[[#This Row],[DUT Adj Read]]="N/A",IF(Table1[[#This Row],[Std Adj Read]]&lt;Table1[[#This Row],[High Tol]],"Pass","Fail"),IF(Table1[[#This Row],[DUT Adj Read]]&lt;Table1[[#This Row],[High Tol]],"Pass","Fail")))</f>
        <v>Fail</v>
      </c>
      <c r="AF2211" s="1" t="str">
        <f>IF(AND(Table1[[#This Row],[Spec Type2]]="N/A",Table1[[#This Row],[DUT Adj Read]]="N/A",Table1[[#This Row],[Std Adj Read]]="N/A"),"N/A",IF(Table1[[#This Row],[DUT Adj Read]]="N/A",IF(Table1[[#This Row],[Std Adj Read]]&gt;=Table1[[#This Row],[Low Tol]],"Pass","Fail"),IF(Table1[[#This Row],[DUT Adj Read]]&gt;=Table1[[#This Row],[Low Tol]],"Pass","Fail")))</f>
        <v>Pass</v>
      </c>
      <c r="AG2211" s="1" t="str">
        <f>IF(AND(Table1[[#This Row],[Spec Type2]]="N/A",Table1[[#This Row],[DUT Adj Read]]="N/A",Table1[[#This Row],[Std Adj Read]]="N/A"),"N/A",IF(Table1[[#This Row],[DUT Adj Read]]="N/A",IF(Table1[[#This Row],[Std Adj Read]]&lt;=Table1[[#This Row],[High Tol]],"Pass","Fail"),IF(Table1[[#This Row],[DUT Adj Read]]&lt;=Table1[[#This Row],[High Tol]],"Pass","Fail")))</f>
        <v>Fail</v>
      </c>
      <c r="AH22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1" s="1" t="b">
        <v>0</v>
      </c>
      <c r="AN2211" s="1" t="b">
        <v>0</v>
      </c>
      <c r="AO2211" s="1" t="b">
        <v>0</v>
      </c>
    </row>
    <row r="2212" spans="1:41" x14ac:dyDescent="0.25">
      <c r="A2212" s="10"/>
      <c r="B2212" s="10"/>
      <c r="C2212" s="10"/>
      <c r="D2212" s="10"/>
      <c r="E2212" s="10"/>
      <c r="F2212" s="10"/>
      <c r="G2212" s="10"/>
      <c r="H2212" s="10"/>
      <c r="I2212" s="1" t="str">
        <f t="shared" si="102"/>
        <v/>
      </c>
      <c r="J2212" s="1" t="s">
        <v>35</v>
      </c>
      <c r="K2212" s="1" t="str">
        <f t="shared" si="103"/>
        <v/>
      </c>
      <c r="L2212" s="1" t="str">
        <f t="shared" si="104"/>
        <v/>
      </c>
      <c r="M2212" s="1">
        <f>IF(OR(Table1[[#This Row],[Std Nom]]="",Table1[[#This Row],[Std Read]]=""),0,Table1[[#This Row],[Std Nom]]-Table1[[#This Row],[Std Read]])</f>
        <v>0</v>
      </c>
      <c r="N2212" s="1">
        <f>IF(Calculations!$F$5="ACCREDITED 17025 WITH UNCERTAINTIES",$N$10,0)</f>
        <v>0</v>
      </c>
      <c r="O2212" s="1" t="str">
        <f>IFERROR(Table1[[#This Row],[Std Nom]]-(_xlfn.XLOOKUP(Table1[[#This Row],[Manufacturer]]&amp;" "&amp;Table1[[#This Row],[Model]],Table13[MFR &amp; MDL],Table13[Tolerance % CW ],"")/100*Table1[[#This Row],[Std Nom]]),"")</f>
        <v/>
      </c>
      <c r="P2212" s="1" t="str">
        <f>IFERROR(Table1[[#This Row],[Std Nom]]+(_xlfn.XLOOKUP(Table1[[#This Row],[Manufacturer]]&amp;" "&amp;Table1[[#This Row],[Model]],Table13[MFR &amp; MDL],Table13[Tolerance % CW ],"")/100*Table1[[#This Row],[Std Nom]]),"")</f>
        <v/>
      </c>
      <c r="Q2212" s="1" t="e">
        <f>Table1[[#This Row],[High Tol]]-Table1[[#This Row],[Low Tol]]</f>
        <v>#VALUE!</v>
      </c>
      <c r="R2212" s="1">
        <f>2*Table1[[#This Row],[Std Error]]</f>
        <v>0</v>
      </c>
      <c r="S2212" s="1" t="str">
        <f>IF(Table1[[#This Row],[High Tol]]="","N/A",IFERROR(ABS(Table1[[#This Row],[Tol Span]]/Table1[[#This Row],[Error Span]]),"N/A"))</f>
        <v>N/A</v>
      </c>
      <c r="T2212" s="1" t="str">
        <f>IF(OR(Table1[[#This Row],[Low Tol]]="",Table1[[#This Row],[High Tol]]=""),"Needs Analysis",IF(Table1[[#This Row],[Ratio]]&gt;=4,"Not Significant",IF(Table1[[#This Row],[Ratio]]&gt;=2,"Semi-Significant","Significant")))</f>
        <v>Needs Analysis</v>
      </c>
      <c r="W2212" s="1">
        <f>IF(Table1[[#This Row],[Cal Type]]&lt;&gt;"ACCREDITED 17025 WITH UNCERTAINTIES",0,"")</f>
        <v>0</v>
      </c>
      <c r="X2212" s="1" t="str">
        <f>IF(Table1[[#This Row],[DUT Read]]="","N/A",Table1[[#This Row],[Std Error]]+Table1[[#This Row],[DUT Read]]+Table1[[#This Row],[DUT Ucty]])</f>
        <v>N/A</v>
      </c>
      <c r="Y2212" s="1" t="str">
        <f>IF(Table1[[#This Row],[Std Read]]="","N/A",Table1[[#This Row],[Std Read]]+Table1[[#This Row],[Std Ucty]])</f>
        <v>N/A</v>
      </c>
      <c r="Z22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2" s="1" t="str">
        <f>IF(Table1[[#This Row],[Spec Type]]="","N/A",Table1[[#This Row],[Spec Type]])</f>
        <v>±</v>
      </c>
      <c r="AC2212" s="1" t="str">
        <f>IF(Table1[[#This Row],[Spec Type2]]="N/A","N/A",IF(AND(Table1[[#This Row],[DUT Adj Read]]&gt;=Table1[[#This Row],[Low Tol]],Table1[[#This Row],[DUT Adj Read]]&lt;=Table1[[#This Row],[High Tol]]),"Pass","Fail"))</f>
        <v>Fail</v>
      </c>
      <c r="AD2212" s="1" t="str">
        <f>IF(AND(Table1[[#This Row],[Spec Type2]]="N/A",Table1[[#This Row],[DUT Adj Read]]="N/A",Table1[[#This Row],[Std Adj Read]]="N/A"),"N/A",IF(Table1[[#This Row],[DUT Adj Read]]="N/A",IF(Table1[[#This Row],[Std Adj Read]]&gt;Table1[[#This Row],[Low Tol]],"Pass","Fail"),IF(Table1[[#This Row],[DUT Adj Read]]&gt;Table1[[#This Row],[Low Tol]],"Pass","Fail")))</f>
        <v>Pass</v>
      </c>
      <c r="AE2212" s="1" t="str">
        <f>IF(AND(Table1[[#This Row],[Spec Type2]]="N/A",Table1[[#This Row],[DUT Adj Read]]="N/A",Table1[[#This Row],[Std Adj Read]]="N/A"),"N/A",IF(Table1[[#This Row],[DUT Adj Read]]="N/A",IF(Table1[[#This Row],[Std Adj Read]]&lt;Table1[[#This Row],[High Tol]],"Pass","Fail"),IF(Table1[[#This Row],[DUT Adj Read]]&lt;Table1[[#This Row],[High Tol]],"Pass","Fail")))</f>
        <v>Fail</v>
      </c>
      <c r="AF2212" s="1" t="str">
        <f>IF(AND(Table1[[#This Row],[Spec Type2]]="N/A",Table1[[#This Row],[DUT Adj Read]]="N/A",Table1[[#This Row],[Std Adj Read]]="N/A"),"N/A",IF(Table1[[#This Row],[DUT Adj Read]]="N/A",IF(Table1[[#This Row],[Std Adj Read]]&gt;=Table1[[#This Row],[Low Tol]],"Pass","Fail"),IF(Table1[[#This Row],[DUT Adj Read]]&gt;=Table1[[#This Row],[Low Tol]],"Pass","Fail")))</f>
        <v>Pass</v>
      </c>
      <c r="AG2212" s="1" t="str">
        <f>IF(AND(Table1[[#This Row],[Spec Type2]]="N/A",Table1[[#This Row],[DUT Adj Read]]="N/A",Table1[[#This Row],[Std Adj Read]]="N/A"),"N/A",IF(Table1[[#This Row],[DUT Adj Read]]="N/A",IF(Table1[[#This Row],[Std Adj Read]]&lt;=Table1[[#This Row],[High Tol]],"Pass","Fail"),IF(Table1[[#This Row],[DUT Adj Read]]&lt;=Table1[[#This Row],[High Tol]],"Pass","Fail")))</f>
        <v>Fail</v>
      </c>
      <c r="AH22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2" s="1" t="b">
        <v>0</v>
      </c>
      <c r="AN2212" s="1" t="b">
        <v>0</v>
      </c>
      <c r="AO2212" s="1" t="b">
        <v>0</v>
      </c>
    </row>
    <row r="2213" spans="1:41" x14ac:dyDescent="0.25">
      <c r="A2213" s="10"/>
      <c r="B2213" s="10"/>
      <c r="C2213" s="10"/>
      <c r="D2213" s="10"/>
      <c r="E2213" s="10"/>
      <c r="F2213" s="10"/>
      <c r="G2213" s="10"/>
      <c r="H2213" s="10"/>
      <c r="I2213" s="1" t="str">
        <f t="shared" si="102"/>
        <v/>
      </c>
      <c r="J2213" s="1" t="s">
        <v>35</v>
      </c>
      <c r="K2213" s="1" t="str">
        <f t="shared" si="103"/>
        <v/>
      </c>
      <c r="L2213" s="1" t="str">
        <f t="shared" si="104"/>
        <v/>
      </c>
      <c r="M2213" s="1">
        <f>IF(OR(Table1[[#This Row],[Std Nom]]="",Table1[[#This Row],[Std Read]]=""),0,Table1[[#This Row],[Std Nom]]-Table1[[#This Row],[Std Read]])</f>
        <v>0</v>
      </c>
      <c r="N2213" s="1">
        <f>IF(Calculations!$F$5="ACCREDITED 17025 WITH UNCERTAINTIES",$N$10,0)</f>
        <v>0</v>
      </c>
      <c r="O2213" s="1" t="str">
        <f>IFERROR(Table1[[#This Row],[Std Nom]]-(_xlfn.XLOOKUP(Table1[[#This Row],[Manufacturer]]&amp;" "&amp;Table1[[#This Row],[Model]],Table13[MFR &amp; MDL],Table13[Tolerance % CW ],"")/100*Table1[[#This Row],[Std Nom]]),"")</f>
        <v/>
      </c>
      <c r="P2213" s="1" t="str">
        <f>IFERROR(Table1[[#This Row],[Std Nom]]+(_xlfn.XLOOKUP(Table1[[#This Row],[Manufacturer]]&amp;" "&amp;Table1[[#This Row],[Model]],Table13[MFR &amp; MDL],Table13[Tolerance % CW ],"")/100*Table1[[#This Row],[Std Nom]]),"")</f>
        <v/>
      </c>
      <c r="Q2213" s="1" t="e">
        <f>Table1[[#This Row],[High Tol]]-Table1[[#This Row],[Low Tol]]</f>
        <v>#VALUE!</v>
      </c>
      <c r="R2213" s="1">
        <f>2*Table1[[#This Row],[Std Error]]</f>
        <v>0</v>
      </c>
      <c r="S2213" s="1" t="str">
        <f>IF(Table1[[#This Row],[High Tol]]="","N/A",IFERROR(ABS(Table1[[#This Row],[Tol Span]]/Table1[[#This Row],[Error Span]]),"N/A"))</f>
        <v>N/A</v>
      </c>
      <c r="T2213" s="1" t="str">
        <f>IF(OR(Table1[[#This Row],[Low Tol]]="",Table1[[#This Row],[High Tol]]=""),"Needs Analysis",IF(Table1[[#This Row],[Ratio]]&gt;=4,"Not Significant",IF(Table1[[#This Row],[Ratio]]&gt;=2,"Semi-Significant","Significant")))</f>
        <v>Needs Analysis</v>
      </c>
      <c r="W2213" s="1">
        <f>IF(Table1[[#This Row],[Cal Type]]&lt;&gt;"ACCREDITED 17025 WITH UNCERTAINTIES",0,"")</f>
        <v>0</v>
      </c>
      <c r="X2213" s="1" t="str">
        <f>IF(Table1[[#This Row],[DUT Read]]="","N/A",Table1[[#This Row],[Std Error]]+Table1[[#This Row],[DUT Read]]+Table1[[#This Row],[DUT Ucty]])</f>
        <v>N/A</v>
      </c>
      <c r="Y2213" s="1" t="str">
        <f>IF(Table1[[#This Row],[Std Read]]="","N/A",Table1[[#This Row],[Std Read]]+Table1[[#This Row],[Std Ucty]])</f>
        <v>N/A</v>
      </c>
      <c r="Z22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3" s="1" t="str">
        <f>IF(Table1[[#This Row],[Spec Type]]="","N/A",Table1[[#This Row],[Spec Type]])</f>
        <v>±</v>
      </c>
      <c r="AC2213" s="1" t="str">
        <f>IF(Table1[[#This Row],[Spec Type2]]="N/A","N/A",IF(AND(Table1[[#This Row],[DUT Adj Read]]&gt;=Table1[[#This Row],[Low Tol]],Table1[[#This Row],[DUT Adj Read]]&lt;=Table1[[#This Row],[High Tol]]),"Pass","Fail"))</f>
        <v>Fail</v>
      </c>
      <c r="AD2213" s="1" t="str">
        <f>IF(AND(Table1[[#This Row],[Spec Type2]]="N/A",Table1[[#This Row],[DUT Adj Read]]="N/A",Table1[[#This Row],[Std Adj Read]]="N/A"),"N/A",IF(Table1[[#This Row],[DUT Adj Read]]="N/A",IF(Table1[[#This Row],[Std Adj Read]]&gt;Table1[[#This Row],[Low Tol]],"Pass","Fail"),IF(Table1[[#This Row],[DUT Adj Read]]&gt;Table1[[#This Row],[Low Tol]],"Pass","Fail")))</f>
        <v>Pass</v>
      </c>
      <c r="AE2213" s="1" t="str">
        <f>IF(AND(Table1[[#This Row],[Spec Type2]]="N/A",Table1[[#This Row],[DUT Adj Read]]="N/A",Table1[[#This Row],[Std Adj Read]]="N/A"),"N/A",IF(Table1[[#This Row],[DUT Adj Read]]="N/A",IF(Table1[[#This Row],[Std Adj Read]]&lt;Table1[[#This Row],[High Tol]],"Pass","Fail"),IF(Table1[[#This Row],[DUT Adj Read]]&lt;Table1[[#This Row],[High Tol]],"Pass","Fail")))</f>
        <v>Fail</v>
      </c>
      <c r="AF2213" s="1" t="str">
        <f>IF(AND(Table1[[#This Row],[Spec Type2]]="N/A",Table1[[#This Row],[DUT Adj Read]]="N/A",Table1[[#This Row],[Std Adj Read]]="N/A"),"N/A",IF(Table1[[#This Row],[DUT Adj Read]]="N/A",IF(Table1[[#This Row],[Std Adj Read]]&gt;=Table1[[#This Row],[Low Tol]],"Pass","Fail"),IF(Table1[[#This Row],[DUT Adj Read]]&gt;=Table1[[#This Row],[Low Tol]],"Pass","Fail")))</f>
        <v>Pass</v>
      </c>
      <c r="AG2213" s="1" t="str">
        <f>IF(AND(Table1[[#This Row],[Spec Type2]]="N/A",Table1[[#This Row],[DUT Adj Read]]="N/A",Table1[[#This Row],[Std Adj Read]]="N/A"),"N/A",IF(Table1[[#This Row],[DUT Adj Read]]="N/A",IF(Table1[[#This Row],[Std Adj Read]]&lt;=Table1[[#This Row],[High Tol]],"Pass","Fail"),IF(Table1[[#This Row],[DUT Adj Read]]&lt;=Table1[[#This Row],[High Tol]],"Pass","Fail")))</f>
        <v>Fail</v>
      </c>
      <c r="AH22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3" s="1" t="b">
        <v>0</v>
      </c>
      <c r="AN2213" s="1" t="b">
        <v>0</v>
      </c>
      <c r="AO2213" s="1" t="b">
        <v>0</v>
      </c>
    </row>
    <row r="2214" spans="1:41" x14ac:dyDescent="0.25">
      <c r="A2214" s="10"/>
      <c r="B2214" s="10"/>
      <c r="C2214" s="10"/>
      <c r="D2214" s="10"/>
      <c r="E2214" s="10"/>
      <c r="F2214" s="10"/>
      <c r="G2214" s="10"/>
      <c r="H2214" s="10"/>
      <c r="I2214" s="1" t="str">
        <f t="shared" si="102"/>
        <v/>
      </c>
      <c r="J2214" s="1" t="s">
        <v>35</v>
      </c>
      <c r="K2214" s="1" t="str">
        <f t="shared" si="103"/>
        <v/>
      </c>
      <c r="L2214" s="1" t="str">
        <f t="shared" si="104"/>
        <v/>
      </c>
      <c r="M2214" s="1">
        <f>IF(OR(Table1[[#This Row],[Std Nom]]="",Table1[[#This Row],[Std Read]]=""),0,Table1[[#This Row],[Std Nom]]-Table1[[#This Row],[Std Read]])</f>
        <v>0</v>
      </c>
      <c r="N2214" s="1">
        <f>IF(Calculations!$F$5="ACCREDITED 17025 WITH UNCERTAINTIES",$N$10,0)</f>
        <v>0</v>
      </c>
      <c r="O2214" s="1" t="str">
        <f>IFERROR(Table1[[#This Row],[Std Nom]]-(_xlfn.XLOOKUP(Table1[[#This Row],[Manufacturer]]&amp;" "&amp;Table1[[#This Row],[Model]],Table13[MFR &amp; MDL],Table13[Tolerance % CW ],"")/100*Table1[[#This Row],[Std Nom]]),"")</f>
        <v/>
      </c>
      <c r="P2214" s="1" t="str">
        <f>IFERROR(Table1[[#This Row],[Std Nom]]+(_xlfn.XLOOKUP(Table1[[#This Row],[Manufacturer]]&amp;" "&amp;Table1[[#This Row],[Model]],Table13[MFR &amp; MDL],Table13[Tolerance % CW ],"")/100*Table1[[#This Row],[Std Nom]]),"")</f>
        <v/>
      </c>
      <c r="Q2214" s="1" t="e">
        <f>Table1[[#This Row],[High Tol]]-Table1[[#This Row],[Low Tol]]</f>
        <v>#VALUE!</v>
      </c>
      <c r="R2214" s="1">
        <f>2*Table1[[#This Row],[Std Error]]</f>
        <v>0</v>
      </c>
      <c r="S2214" s="1" t="str">
        <f>IF(Table1[[#This Row],[High Tol]]="","N/A",IFERROR(ABS(Table1[[#This Row],[Tol Span]]/Table1[[#This Row],[Error Span]]),"N/A"))</f>
        <v>N/A</v>
      </c>
      <c r="T2214" s="1" t="str">
        <f>IF(OR(Table1[[#This Row],[Low Tol]]="",Table1[[#This Row],[High Tol]]=""),"Needs Analysis",IF(Table1[[#This Row],[Ratio]]&gt;=4,"Not Significant",IF(Table1[[#This Row],[Ratio]]&gt;=2,"Semi-Significant","Significant")))</f>
        <v>Needs Analysis</v>
      </c>
      <c r="W2214" s="1">
        <f>IF(Table1[[#This Row],[Cal Type]]&lt;&gt;"ACCREDITED 17025 WITH UNCERTAINTIES",0,"")</f>
        <v>0</v>
      </c>
      <c r="X2214" s="1" t="str">
        <f>IF(Table1[[#This Row],[DUT Read]]="","N/A",Table1[[#This Row],[Std Error]]+Table1[[#This Row],[DUT Read]]+Table1[[#This Row],[DUT Ucty]])</f>
        <v>N/A</v>
      </c>
      <c r="Y2214" s="1" t="str">
        <f>IF(Table1[[#This Row],[Std Read]]="","N/A",Table1[[#This Row],[Std Read]]+Table1[[#This Row],[Std Ucty]])</f>
        <v>N/A</v>
      </c>
      <c r="Z22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4" s="1" t="str">
        <f>IF(Table1[[#This Row],[Spec Type]]="","N/A",Table1[[#This Row],[Spec Type]])</f>
        <v>±</v>
      </c>
      <c r="AC2214" s="1" t="str">
        <f>IF(Table1[[#This Row],[Spec Type2]]="N/A","N/A",IF(AND(Table1[[#This Row],[DUT Adj Read]]&gt;=Table1[[#This Row],[Low Tol]],Table1[[#This Row],[DUT Adj Read]]&lt;=Table1[[#This Row],[High Tol]]),"Pass","Fail"))</f>
        <v>Fail</v>
      </c>
      <c r="AD2214" s="1" t="str">
        <f>IF(AND(Table1[[#This Row],[Spec Type2]]="N/A",Table1[[#This Row],[DUT Adj Read]]="N/A",Table1[[#This Row],[Std Adj Read]]="N/A"),"N/A",IF(Table1[[#This Row],[DUT Adj Read]]="N/A",IF(Table1[[#This Row],[Std Adj Read]]&gt;Table1[[#This Row],[Low Tol]],"Pass","Fail"),IF(Table1[[#This Row],[DUT Adj Read]]&gt;Table1[[#This Row],[Low Tol]],"Pass","Fail")))</f>
        <v>Pass</v>
      </c>
      <c r="AE2214" s="1" t="str">
        <f>IF(AND(Table1[[#This Row],[Spec Type2]]="N/A",Table1[[#This Row],[DUT Adj Read]]="N/A",Table1[[#This Row],[Std Adj Read]]="N/A"),"N/A",IF(Table1[[#This Row],[DUT Adj Read]]="N/A",IF(Table1[[#This Row],[Std Adj Read]]&lt;Table1[[#This Row],[High Tol]],"Pass","Fail"),IF(Table1[[#This Row],[DUT Adj Read]]&lt;Table1[[#This Row],[High Tol]],"Pass","Fail")))</f>
        <v>Fail</v>
      </c>
      <c r="AF2214" s="1" t="str">
        <f>IF(AND(Table1[[#This Row],[Spec Type2]]="N/A",Table1[[#This Row],[DUT Adj Read]]="N/A",Table1[[#This Row],[Std Adj Read]]="N/A"),"N/A",IF(Table1[[#This Row],[DUT Adj Read]]="N/A",IF(Table1[[#This Row],[Std Adj Read]]&gt;=Table1[[#This Row],[Low Tol]],"Pass","Fail"),IF(Table1[[#This Row],[DUT Adj Read]]&gt;=Table1[[#This Row],[Low Tol]],"Pass","Fail")))</f>
        <v>Pass</v>
      </c>
      <c r="AG2214" s="1" t="str">
        <f>IF(AND(Table1[[#This Row],[Spec Type2]]="N/A",Table1[[#This Row],[DUT Adj Read]]="N/A",Table1[[#This Row],[Std Adj Read]]="N/A"),"N/A",IF(Table1[[#This Row],[DUT Adj Read]]="N/A",IF(Table1[[#This Row],[Std Adj Read]]&lt;=Table1[[#This Row],[High Tol]],"Pass","Fail"),IF(Table1[[#This Row],[DUT Adj Read]]&lt;=Table1[[#This Row],[High Tol]],"Pass","Fail")))</f>
        <v>Fail</v>
      </c>
      <c r="AH22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4" s="1" t="b">
        <v>0</v>
      </c>
      <c r="AN2214" s="1" t="b">
        <v>0</v>
      </c>
      <c r="AO2214" s="1" t="b">
        <v>0</v>
      </c>
    </row>
    <row r="2215" spans="1:41" x14ac:dyDescent="0.25">
      <c r="A2215" s="10"/>
      <c r="B2215" s="10"/>
      <c r="C2215" s="10"/>
      <c r="D2215" s="10"/>
      <c r="E2215" s="10"/>
      <c r="F2215" s="10"/>
      <c r="G2215" s="10"/>
      <c r="H2215" s="10"/>
      <c r="I2215" s="1" t="str">
        <f t="shared" si="102"/>
        <v/>
      </c>
      <c r="J2215" s="1" t="s">
        <v>35</v>
      </c>
      <c r="K2215" s="1" t="str">
        <f t="shared" si="103"/>
        <v/>
      </c>
      <c r="L2215" s="1" t="str">
        <f t="shared" si="104"/>
        <v/>
      </c>
      <c r="M2215" s="1">
        <f>IF(OR(Table1[[#This Row],[Std Nom]]="",Table1[[#This Row],[Std Read]]=""),0,Table1[[#This Row],[Std Nom]]-Table1[[#This Row],[Std Read]])</f>
        <v>0</v>
      </c>
      <c r="N2215" s="1">
        <f>IF(Calculations!$F$5="ACCREDITED 17025 WITH UNCERTAINTIES",$N$10,0)</f>
        <v>0</v>
      </c>
      <c r="O2215" s="1" t="str">
        <f>IFERROR(Table1[[#This Row],[Std Nom]]-(_xlfn.XLOOKUP(Table1[[#This Row],[Manufacturer]]&amp;" "&amp;Table1[[#This Row],[Model]],Table13[MFR &amp; MDL],Table13[Tolerance % CW ],"")/100*Table1[[#This Row],[Std Nom]]),"")</f>
        <v/>
      </c>
      <c r="P2215" s="1" t="str">
        <f>IFERROR(Table1[[#This Row],[Std Nom]]+(_xlfn.XLOOKUP(Table1[[#This Row],[Manufacturer]]&amp;" "&amp;Table1[[#This Row],[Model]],Table13[MFR &amp; MDL],Table13[Tolerance % CW ],"")/100*Table1[[#This Row],[Std Nom]]),"")</f>
        <v/>
      </c>
      <c r="Q2215" s="1" t="e">
        <f>Table1[[#This Row],[High Tol]]-Table1[[#This Row],[Low Tol]]</f>
        <v>#VALUE!</v>
      </c>
      <c r="R2215" s="1">
        <f>2*Table1[[#This Row],[Std Error]]</f>
        <v>0</v>
      </c>
      <c r="S2215" s="1" t="str">
        <f>IF(Table1[[#This Row],[High Tol]]="","N/A",IFERROR(ABS(Table1[[#This Row],[Tol Span]]/Table1[[#This Row],[Error Span]]),"N/A"))</f>
        <v>N/A</v>
      </c>
      <c r="T2215" s="1" t="str">
        <f>IF(OR(Table1[[#This Row],[Low Tol]]="",Table1[[#This Row],[High Tol]]=""),"Needs Analysis",IF(Table1[[#This Row],[Ratio]]&gt;=4,"Not Significant",IF(Table1[[#This Row],[Ratio]]&gt;=2,"Semi-Significant","Significant")))</f>
        <v>Needs Analysis</v>
      </c>
      <c r="W2215" s="1">
        <f>IF(Table1[[#This Row],[Cal Type]]&lt;&gt;"ACCREDITED 17025 WITH UNCERTAINTIES",0,"")</f>
        <v>0</v>
      </c>
      <c r="X2215" s="1" t="str">
        <f>IF(Table1[[#This Row],[DUT Read]]="","N/A",Table1[[#This Row],[Std Error]]+Table1[[#This Row],[DUT Read]]+Table1[[#This Row],[DUT Ucty]])</f>
        <v>N/A</v>
      </c>
      <c r="Y2215" s="1" t="str">
        <f>IF(Table1[[#This Row],[Std Read]]="","N/A",Table1[[#This Row],[Std Read]]+Table1[[#This Row],[Std Ucty]])</f>
        <v>N/A</v>
      </c>
      <c r="Z22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5" s="1" t="str">
        <f>IF(Table1[[#This Row],[Spec Type]]="","N/A",Table1[[#This Row],[Spec Type]])</f>
        <v>±</v>
      </c>
      <c r="AC2215" s="1" t="str">
        <f>IF(Table1[[#This Row],[Spec Type2]]="N/A","N/A",IF(AND(Table1[[#This Row],[DUT Adj Read]]&gt;=Table1[[#This Row],[Low Tol]],Table1[[#This Row],[DUT Adj Read]]&lt;=Table1[[#This Row],[High Tol]]),"Pass","Fail"))</f>
        <v>Fail</v>
      </c>
      <c r="AD2215" s="1" t="str">
        <f>IF(AND(Table1[[#This Row],[Spec Type2]]="N/A",Table1[[#This Row],[DUT Adj Read]]="N/A",Table1[[#This Row],[Std Adj Read]]="N/A"),"N/A",IF(Table1[[#This Row],[DUT Adj Read]]="N/A",IF(Table1[[#This Row],[Std Adj Read]]&gt;Table1[[#This Row],[Low Tol]],"Pass","Fail"),IF(Table1[[#This Row],[DUT Adj Read]]&gt;Table1[[#This Row],[Low Tol]],"Pass","Fail")))</f>
        <v>Pass</v>
      </c>
      <c r="AE2215" s="1" t="str">
        <f>IF(AND(Table1[[#This Row],[Spec Type2]]="N/A",Table1[[#This Row],[DUT Adj Read]]="N/A",Table1[[#This Row],[Std Adj Read]]="N/A"),"N/A",IF(Table1[[#This Row],[DUT Adj Read]]="N/A",IF(Table1[[#This Row],[Std Adj Read]]&lt;Table1[[#This Row],[High Tol]],"Pass","Fail"),IF(Table1[[#This Row],[DUT Adj Read]]&lt;Table1[[#This Row],[High Tol]],"Pass","Fail")))</f>
        <v>Fail</v>
      </c>
      <c r="AF2215" s="1" t="str">
        <f>IF(AND(Table1[[#This Row],[Spec Type2]]="N/A",Table1[[#This Row],[DUT Adj Read]]="N/A",Table1[[#This Row],[Std Adj Read]]="N/A"),"N/A",IF(Table1[[#This Row],[DUT Adj Read]]="N/A",IF(Table1[[#This Row],[Std Adj Read]]&gt;=Table1[[#This Row],[Low Tol]],"Pass","Fail"),IF(Table1[[#This Row],[DUT Adj Read]]&gt;=Table1[[#This Row],[Low Tol]],"Pass","Fail")))</f>
        <v>Pass</v>
      </c>
      <c r="AG2215" s="1" t="str">
        <f>IF(AND(Table1[[#This Row],[Spec Type2]]="N/A",Table1[[#This Row],[DUT Adj Read]]="N/A",Table1[[#This Row],[Std Adj Read]]="N/A"),"N/A",IF(Table1[[#This Row],[DUT Adj Read]]="N/A",IF(Table1[[#This Row],[Std Adj Read]]&lt;=Table1[[#This Row],[High Tol]],"Pass","Fail"),IF(Table1[[#This Row],[DUT Adj Read]]&lt;=Table1[[#This Row],[High Tol]],"Pass","Fail")))</f>
        <v>Fail</v>
      </c>
      <c r="AH22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5" s="1" t="b">
        <v>0</v>
      </c>
      <c r="AN2215" s="1" t="b">
        <v>0</v>
      </c>
      <c r="AO2215" s="1" t="b">
        <v>0</v>
      </c>
    </row>
    <row r="2216" spans="1:41" x14ac:dyDescent="0.25">
      <c r="A2216" s="10"/>
      <c r="B2216" s="10"/>
      <c r="C2216" s="10"/>
      <c r="D2216" s="10"/>
      <c r="E2216" s="10"/>
      <c r="F2216" s="10"/>
      <c r="G2216" s="10"/>
      <c r="H2216" s="10"/>
      <c r="I2216" s="1" t="str">
        <f t="shared" si="102"/>
        <v/>
      </c>
      <c r="J2216" s="1" t="s">
        <v>35</v>
      </c>
      <c r="K2216" s="1" t="str">
        <f t="shared" si="103"/>
        <v/>
      </c>
      <c r="L2216" s="1" t="str">
        <f t="shared" si="104"/>
        <v/>
      </c>
      <c r="M2216" s="1">
        <f>IF(OR(Table1[[#This Row],[Std Nom]]="",Table1[[#This Row],[Std Read]]=""),0,Table1[[#This Row],[Std Nom]]-Table1[[#This Row],[Std Read]])</f>
        <v>0</v>
      </c>
      <c r="N2216" s="1">
        <f>IF(Calculations!$F$5="ACCREDITED 17025 WITH UNCERTAINTIES",$N$10,0)</f>
        <v>0</v>
      </c>
      <c r="O2216" s="1" t="str">
        <f>IFERROR(Table1[[#This Row],[Std Nom]]-(_xlfn.XLOOKUP(Table1[[#This Row],[Manufacturer]]&amp;" "&amp;Table1[[#This Row],[Model]],Table13[MFR &amp; MDL],Table13[Tolerance % CW ],"")/100*Table1[[#This Row],[Std Nom]]),"")</f>
        <v/>
      </c>
      <c r="P2216" s="1" t="str">
        <f>IFERROR(Table1[[#This Row],[Std Nom]]+(_xlfn.XLOOKUP(Table1[[#This Row],[Manufacturer]]&amp;" "&amp;Table1[[#This Row],[Model]],Table13[MFR &amp; MDL],Table13[Tolerance % CW ],"")/100*Table1[[#This Row],[Std Nom]]),"")</f>
        <v/>
      </c>
      <c r="Q2216" s="1" t="e">
        <f>Table1[[#This Row],[High Tol]]-Table1[[#This Row],[Low Tol]]</f>
        <v>#VALUE!</v>
      </c>
      <c r="R2216" s="1">
        <f>2*Table1[[#This Row],[Std Error]]</f>
        <v>0</v>
      </c>
      <c r="S2216" s="1" t="str">
        <f>IF(Table1[[#This Row],[High Tol]]="","N/A",IFERROR(ABS(Table1[[#This Row],[Tol Span]]/Table1[[#This Row],[Error Span]]),"N/A"))</f>
        <v>N/A</v>
      </c>
      <c r="T2216" s="1" t="str">
        <f>IF(OR(Table1[[#This Row],[Low Tol]]="",Table1[[#This Row],[High Tol]]=""),"Needs Analysis",IF(Table1[[#This Row],[Ratio]]&gt;=4,"Not Significant",IF(Table1[[#This Row],[Ratio]]&gt;=2,"Semi-Significant","Significant")))</f>
        <v>Needs Analysis</v>
      </c>
      <c r="W2216" s="1">
        <f>IF(Table1[[#This Row],[Cal Type]]&lt;&gt;"ACCREDITED 17025 WITH UNCERTAINTIES",0,"")</f>
        <v>0</v>
      </c>
      <c r="X2216" s="1" t="str">
        <f>IF(Table1[[#This Row],[DUT Read]]="","N/A",Table1[[#This Row],[Std Error]]+Table1[[#This Row],[DUT Read]]+Table1[[#This Row],[DUT Ucty]])</f>
        <v>N/A</v>
      </c>
      <c r="Y2216" s="1" t="str">
        <f>IF(Table1[[#This Row],[Std Read]]="","N/A",Table1[[#This Row],[Std Read]]+Table1[[#This Row],[Std Ucty]])</f>
        <v>N/A</v>
      </c>
      <c r="Z22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6" s="1" t="str">
        <f>IF(Table1[[#This Row],[Spec Type]]="","N/A",Table1[[#This Row],[Spec Type]])</f>
        <v>±</v>
      </c>
      <c r="AC2216" s="1" t="str">
        <f>IF(Table1[[#This Row],[Spec Type2]]="N/A","N/A",IF(AND(Table1[[#This Row],[DUT Adj Read]]&gt;=Table1[[#This Row],[Low Tol]],Table1[[#This Row],[DUT Adj Read]]&lt;=Table1[[#This Row],[High Tol]]),"Pass","Fail"))</f>
        <v>Fail</v>
      </c>
      <c r="AD2216" s="1" t="str">
        <f>IF(AND(Table1[[#This Row],[Spec Type2]]="N/A",Table1[[#This Row],[DUT Adj Read]]="N/A",Table1[[#This Row],[Std Adj Read]]="N/A"),"N/A",IF(Table1[[#This Row],[DUT Adj Read]]="N/A",IF(Table1[[#This Row],[Std Adj Read]]&gt;Table1[[#This Row],[Low Tol]],"Pass","Fail"),IF(Table1[[#This Row],[DUT Adj Read]]&gt;Table1[[#This Row],[Low Tol]],"Pass","Fail")))</f>
        <v>Pass</v>
      </c>
      <c r="AE2216" s="1" t="str">
        <f>IF(AND(Table1[[#This Row],[Spec Type2]]="N/A",Table1[[#This Row],[DUT Adj Read]]="N/A",Table1[[#This Row],[Std Adj Read]]="N/A"),"N/A",IF(Table1[[#This Row],[DUT Adj Read]]="N/A",IF(Table1[[#This Row],[Std Adj Read]]&lt;Table1[[#This Row],[High Tol]],"Pass","Fail"),IF(Table1[[#This Row],[DUT Adj Read]]&lt;Table1[[#This Row],[High Tol]],"Pass","Fail")))</f>
        <v>Fail</v>
      </c>
      <c r="AF2216" s="1" t="str">
        <f>IF(AND(Table1[[#This Row],[Spec Type2]]="N/A",Table1[[#This Row],[DUT Adj Read]]="N/A",Table1[[#This Row],[Std Adj Read]]="N/A"),"N/A",IF(Table1[[#This Row],[DUT Adj Read]]="N/A",IF(Table1[[#This Row],[Std Adj Read]]&gt;=Table1[[#This Row],[Low Tol]],"Pass","Fail"),IF(Table1[[#This Row],[DUT Adj Read]]&gt;=Table1[[#This Row],[Low Tol]],"Pass","Fail")))</f>
        <v>Pass</v>
      </c>
      <c r="AG2216" s="1" t="str">
        <f>IF(AND(Table1[[#This Row],[Spec Type2]]="N/A",Table1[[#This Row],[DUT Adj Read]]="N/A",Table1[[#This Row],[Std Adj Read]]="N/A"),"N/A",IF(Table1[[#This Row],[DUT Adj Read]]="N/A",IF(Table1[[#This Row],[Std Adj Read]]&lt;=Table1[[#This Row],[High Tol]],"Pass","Fail"),IF(Table1[[#This Row],[DUT Adj Read]]&lt;=Table1[[#This Row],[High Tol]],"Pass","Fail")))</f>
        <v>Fail</v>
      </c>
      <c r="AH22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6" s="1" t="b">
        <v>0</v>
      </c>
      <c r="AN2216" s="1" t="b">
        <v>0</v>
      </c>
      <c r="AO2216" s="1" t="b">
        <v>0</v>
      </c>
    </row>
    <row r="2217" spans="1:41" x14ac:dyDescent="0.25">
      <c r="A2217" s="10"/>
      <c r="B2217" s="10"/>
      <c r="C2217" s="10"/>
      <c r="D2217" s="10"/>
      <c r="E2217" s="10"/>
      <c r="F2217" s="10"/>
      <c r="G2217" s="10"/>
      <c r="H2217" s="10"/>
      <c r="I2217" s="1" t="str">
        <f t="shared" si="102"/>
        <v/>
      </c>
      <c r="J2217" s="1" t="s">
        <v>35</v>
      </c>
      <c r="K2217" s="1" t="str">
        <f t="shared" si="103"/>
        <v/>
      </c>
      <c r="L2217" s="1" t="str">
        <f t="shared" si="104"/>
        <v/>
      </c>
      <c r="M2217" s="1">
        <f>IF(OR(Table1[[#This Row],[Std Nom]]="",Table1[[#This Row],[Std Read]]=""),0,Table1[[#This Row],[Std Nom]]-Table1[[#This Row],[Std Read]])</f>
        <v>0</v>
      </c>
      <c r="N2217" s="1">
        <f>IF(Calculations!$F$5="ACCREDITED 17025 WITH UNCERTAINTIES",$N$10,0)</f>
        <v>0</v>
      </c>
      <c r="O2217" s="1" t="str">
        <f>IFERROR(Table1[[#This Row],[Std Nom]]-(_xlfn.XLOOKUP(Table1[[#This Row],[Manufacturer]]&amp;" "&amp;Table1[[#This Row],[Model]],Table13[MFR &amp; MDL],Table13[Tolerance % CW ],"")/100*Table1[[#This Row],[Std Nom]]),"")</f>
        <v/>
      </c>
      <c r="P2217" s="1" t="str">
        <f>IFERROR(Table1[[#This Row],[Std Nom]]+(_xlfn.XLOOKUP(Table1[[#This Row],[Manufacturer]]&amp;" "&amp;Table1[[#This Row],[Model]],Table13[MFR &amp; MDL],Table13[Tolerance % CW ],"")/100*Table1[[#This Row],[Std Nom]]),"")</f>
        <v/>
      </c>
      <c r="Q2217" s="1" t="e">
        <f>Table1[[#This Row],[High Tol]]-Table1[[#This Row],[Low Tol]]</f>
        <v>#VALUE!</v>
      </c>
      <c r="R2217" s="1">
        <f>2*Table1[[#This Row],[Std Error]]</f>
        <v>0</v>
      </c>
      <c r="S2217" s="1" t="str">
        <f>IF(Table1[[#This Row],[High Tol]]="","N/A",IFERROR(ABS(Table1[[#This Row],[Tol Span]]/Table1[[#This Row],[Error Span]]),"N/A"))</f>
        <v>N/A</v>
      </c>
      <c r="T2217" s="1" t="str">
        <f>IF(OR(Table1[[#This Row],[Low Tol]]="",Table1[[#This Row],[High Tol]]=""),"Needs Analysis",IF(Table1[[#This Row],[Ratio]]&gt;=4,"Not Significant",IF(Table1[[#This Row],[Ratio]]&gt;=2,"Semi-Significant","Significant")))</f>
        <v>Needs Analysis</v>
      </c>
      <c r="W2217" s="1">
        <f>IF(Table1[[#This Row],[Cal Type]]&lt;&gt;"ACCREDITED 17025 WITH UNCERTAINTIES",0,"")</f>
        <v>0</v>
      </c>
      <c r="X2217" s="1" t="str">
        <f>IF(Table1[[#This Row],[DUT Read]]="","N/A",Table1[[#This Row],[Std Error]]+Table1[[#This Row],[DUT Read]]+Table1[[#This Row],[DUT Ucty]])</f>
        <v>N/A</v>
      </c>
      <c r="Y2217" s="1" t="str">
        <f>IF(Table1[[#This Row],[Std Read]]="","N/A",Table1[[#This Row],[Std Read]]+Table1[[#This Row],[Std Ucty]])</f>
        <v>N/A</v>
      </c>
      <c r="Z22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7" s="1" t="str">
        <f>IF(Table1[[#This Row],[Spec Type]]="","N/A",Table1[[#This Row],[Spec Type]])</f>
        <v>±</v>
      </c>
      <c r="AC2217" s="1" t="str">
        <f>IF(Table1[[#This Row],[Spec Type2]]="N/A","N/A",IF(AND(Table1[[#This Row],[DUT Adj Read]]&gt;=Table1[[#This Row],[Low Tol]],Table1[[#This Row],[DUT Adj Read]]&lt;=Table1[[#This Row],[High Tol]]),"Pass","Fail"))</f>
        <v>Fail</v>
      </c>
      <c r="AD2217" s="1" t="str">
        <f>IF(AND(Table1[[#This Row],[Spec Type2]]="N/A",Table1[[#This Row],[DUT Adj Read]]="N/A",Table1[[#This Row],[Std Adj Read]]="N/A"),"N/A",IF(Table1[[#This Row],[DUT Adj Read]]="N/A",IF(Table1[[#This Row],[Std Adj Read]]&gt;Table1[[#This Row],[Low Tol]],"Pass","Fail"),IF(Table1[[#This Row],[DUT Adj Read]]&gt;Table1[[#This Row],[Low Tol]],"Pass","Fail")))</f>
        <v>Pass</v>
      </c>
      <c r="AE2217" s="1" t="str">
        <f>IF(AND(Table1[[#This Row],[Spec Type2]]="N/A",Table1[[#This Row],[DUT Adj Read]]="N/A",Table1[[#This Row],[Std Adj Read]]="N/A"),"N/A",IF(Table1[[#This Row],[DUT Adj Read]]="N/A",IF(Table1[[#This Row],[Std Adj Read]]&lt;Table1[[#This Row],[High Tol]],"Pass","Fail"),IF(Table1[[#This Row],[DUT Adj Read]]&lt;Table1[[#This Row],[High Tol]],"Pass","Fail")))</f>
        <v>Fail</v>
      </c>
      <c r="AF2217" s="1" t="str">
        <f>IF(AND(Table1[[#This Row],[Spec Type2]]="N/A",Table1[[#This Row],[DUT Adj Read]]="N/A",Table1[[#This Row],[Std Adj Read]]="N/A"),"N/A",IF(Table1[[#This Row],[DUT Adj Read]]="N/A",IF(Table1[[#This Row],[Std Adj Read]]&gt;=Table1[[#This Row],[Low Tol]],"Pass","Fail"),IF(Table1[[#This Row],[DUT Adj Read]]&gt;=Table1[[#This Row],[Low Tol]],"Pass","Fail")))</f>
        <v>Pass</v>
      </c>
      <c r="AG2217" s="1" t="str">
        <f>IF(AND(Table1[[#This Row],[Spec Type2]]="N/A",Table1[[#This Row],[DUT Adj Read]]="N/A",Table1[[#This Row],[Std Adj Read]]="N/A"),"N/A",IF(Table1[[#This Row],[DUT Adj Read]]="N/A",IF(Table1[[#This Row],[Std Adj Read]]&lt;=Table1[[#This Row],[High Tol]],"Pass","Fail"),IF(Table1[[#This Row],[DUT Adj Read]]&lt;=Table1[[#This Row],[High Tol]],"Pass","Fail")))</f>
        <v>Fail</v>
      </c>
      <c r="AH22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7" s="1" t="b">
        <v>0</v>
      </c>
      <c r="AN2217" s="1" t="b">
        <v>0</v>
      </c>
      <c r="AO2217" s="1" t="b">
        <v>0</v>
      </c>
    </row>
    <row r="2218" spans="1:41" x14ac:dyDescent="0.25">
      <c r="A2218" s="10"/>
      <c r="B2218" s="10"/>
      <c r="C2218" s="10"/>
      <c r="D2218" s="10"/>
      <c r="E2218" s="10"/>
      <c r="F2218" s="10"/>
      <c r="G2218" s="10"/>
      <c r="H2218" s="10"/>
      <c r="I2218" s="1" t="str">
        <f t="shared" si="102"/>
        <v/>
      </c>
      <c r="J2218" s="1" t="s">
        <v>35</v>
      </c>
      <c r="K2218" s="1" t="str">
        <f t="shared" si="103"/>
        <v/>
      </c>
      <c r="L2218" s="1" t="str">
        <f t="shared" si="104"/>
        <v/>
      </c>
      <c r="M2218" s="1">
        <f>IF(OR(Table1[[#This Row],[Std Nom]]="",Table1[[#This Row],[Std Read]]=""),0,Table1[[#This Row],[Std Nom]]-Table1[[#This Row],[Std Read]])</f>
        <v>0</v>
      </c>
      <c r="N2218" s="1">
        <f>IF(Calculations!$F$5="ACCREDITED 17025 WITH UNCERTAINTIES",$N$10,0)</f>
        <v>0</v>
      </c>
      <c r="O2218" s="1" t="str">
        <f>IFERROR(Table1[[#This Row],[Std Nom]]-(_xlfn.XLOOKUP(Table1[[#This Row],[Manufacturer]]&amp;" "&amp;Table1[[#This Row],[Model]],Table13[MFR &amp; MDL],Table13[Tolerance % CW ],"")/100*Table1[[#This Row],[Std Nom]]),"")</f>
        <v/>
      </c>
      <c r="P2218" s="1" t="str">
        <f>IFERROR(Table1[[#This Row],[Std Nom]]+(_xlfn.XLOOKUP(Table1[[#This Row],[Manufacturer]]&amp;" "&amp;Table1[[#This Row],[Model]],Table13[MFR &amp; MDL],Table13[Tolerance % CW ],"")/100*Table1[[#This Row],[Std Nom]]),"")</f>
        <v/>
      </c>
      <c r="Q2218" s="1" t="e">
        <f>Table1[[#This Row],[High Tol]]-Table1[[#This Row],[Low Tol]]</f>
        <v>#VALUE!</v>
      </c>
      <c r="R2218" s="1">
        <f>2*Table1[[#This Row],[Std Error]]</f>
        <v>0</v>
      </c>
      <c r="S2218" s="1" t="str">
        <f>IF(Table1[[#This Row],[High Tol]]="","N/A",IFERROR(ABS(Table1[[#This Row],[Tol Span]]/Table1[[#This Row],[Error Span]]),"N/A"))</f>
        <v>N/A</v>
      </c>
      <c r="T2218" s="1" t="str">
        <f>IF(OR(Table1[[#This Row],[Low Tol]]="",Table1[[#This Row],[High Tol]]=""),"Needs Analysis",IF(Table1[[#This Row],[Ratio]]&gt;=4,"Not Significant",IF(Table1[[#This Row],[Ratio]]&gt;=2,"Semi-Significant","Significant")))</f>
        <v>Needs Analysis</v>
      </c>
      <c r="W2218" s="1">
        <f>IF(Table1[[#This Row],[Cal Type]]&lt;&gt;"ACCREDITED 17025 WITH UNCERTAINTIES",0,"")</f>
        <v>0</v>
      </c>
      <c r="X2218" s="1" t="str">
        <f>IF(Table1[[#This Row],[DUT Read]]="","N/A",Table1[[#This Row],[Std Error]]+Table1[[#This Row],[DUT Read]]+Table1[[#This Row],[DUT Ucty]])</f>
        <v>N/A</v>
      </c>
      <c r="Y2218" s="1" t="str">
        <f>IF(Table1[[#This Row],[Std Read]]="","N/A",Table1[[#This Row],[Std Read]]+Table1[[#This Row],[Std Ucty]])</f>
        <v>N/A</v>
      </c>
      <c r="Z22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8" s="1" t="str">
        <f>IF(Table1[[#This Row],[Spec Type]]="","N/A",Table1[[#This Row],[Spec Type]])</f>
        <v>±</v>
      </c>
      <c r="AC2218" s="1" t="str">
        <f>IF(Table1[[#This Row],[Spec Type2]]="N/A","N/A",IF(AND(Table1[[#This Row],[DUT Adj Read]]&gt;=Table1[[#This Row],[Low Tol]],Table1[[#This Row],[DUT Adj Read]]&lt;=Table1[[#This Row],[High Tol]]),"Pass","Fail"))</f>
        <v>Fail</v>
      </c>
      <c r="AD2218" s="1" t="str">
        <f>IF(AND(Table1[[#This Row],[Spec Type2]]="N/A",Table1[[#This Row],[DUT Adj Read]]="N/A",Table1[[#This Row],[Std Adj Read]]="N/A"),"N/A",IF(Table1[[#This Row],[DUT Adj Read]]="N/A",IF(Table1[[#This Row],[Std Adj Read]]&gt;Table1[[#This Row],[Low Tol]],"Pass","Fail"),IF(Table1[[#This Row],[DUT Adj Read]]&gt;Table1[[#This Row],[Low Tol]],"Pass","Fail")))</f>
        <v>Pass</v>
      </c>
      <c r="AE2218" s="1" t="str">
        <f>IF(AND(Table1[[#This Row],[Spec Type2]]="N/A",Table1[[#This Row],[DUT Adj Read]]="N/A",Table1[[#This Row],[Std Adj Read]]="N/A"),"N/A",IF(Table1[[#This Row],[DUT Adj Read]]="N/A",IF(Table1[[#This Row],[Std Adj Read]]&lt;Table1[[#This Row],[High Tol]],"Pass","Fail"),IF(Table1[[#This Row],[DUT Adj Read]]&lt;Table1[[#This Row],[High Tol]],"Pass","Fail")))</f>
        <v>Fail</v>
      </c>
      <c r="AF2218" s="1" t="str">
        <f>IF(AND(Table1[[#This Row],[Spec Type2]]="N/A",Table1[[#This Row],[DUT Adj Read]]="N/A",Table1[[#This Row],[Std Adj Read]]="N/A"),"N/A",IF(Table1[[#This Row],[DUT Adj Read]]="N/A",IF(Table1[[#This Row],[Std Adj Read]]&gt;=Table1[[#This Row],[Low Tol]],"Pass","Fail"),IF(Table1[[#This Row],[DUT Adj Read]]&gt;=Table1[[#This Row],[Low Tol]],"Pass","Fail")))</f>
        <v>Pass</v>
      </c>
      <c r="AG2218" s="1" t="str">
        <f>IF(AND(Table1[[#This Row],[Spec Type2]]="N/A",Table1[[#This Row],[DUT Adj Read]]="N/A",Table1[[#This Row],[Std Adj Read]]="N/A"),"N/A",IF(Table1[[#This Row],[DUT Adj Read]]="N/A",IF(Table1[[#This Row],[Std Adj Read]]&lt;=Table1[[#This Row],[High Tol]],"Pass","Fail"),IF(Table1[[#This Row],[DUT Adj Read]]&lt;=Table1[[#This Row],[High Tol]],"Pass","Fail")))</f>
        <v>Fail</v>
      </c>
      <c r="AH22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8" s="1" t="b">
        <v>0</v>
      </c>
      <c r="AN2218" s="1" t="b">
        <v>0</v>
      </c>
      <c r="AO2218" s="1" t="b">
        <v>0</v>
      </c>
    </row>
    <row r="2219" spans="1:41" x14ac:dyDescent="0.25">
      <c r="A2219" s="10"/>
      <c r="B2219" s="10"/>
      <c r="C2219" s="10"/>
      <c r="D2219" s="10"/>
      <c r="E2219" s="10"/>
      <c r="F2219" s="10"/>
      <c r="G2219" s="10"/>
      <c r="H2219" s="10"/>
      <c r="I2219" s="1" t="str">
        <f t="shared" si="102"/>
        <v/>
      </c>
      <c r="J2219" s="1" t="s">
        <v>35</v>
      </c>
      <c r="K2219" s="1" t="str">
        <f t="shared" si="103"/>
        <v/>
      </c>
      <c r="L2219" s="1" t="str">
        <f t="shared" si="104"/>
        <v/>
      </c>
      <c r="M2219" s="1">
        <f>IF(OR(Table1[[#This Row],[Std Nom]]="",Table1[[#This Row],[Std Read]]=""),0,Table1[[#This Row],[Std Nom]]-Table1[[#This Row],[Std Read]])</f>
        <v>0</v>
      </c>
      <c r="N2219" s="1">
        <f>IF(Calculations!$F$5="ACCREDITED 17025 WITH UNCERTAINTIES",$N$10,0)</f>
        <v>0</v>
      </c>
      <c r="O2219" s="1" t="str">
        <f>IFERROR(Table1[[#This Row],[Std Nom]]-(_xlfn.XLOOKUP(Table1[[#This Row],[Manufacturer]]&amp;" "&amp;Table1[[#This Row],[Model]],Table13[MFR &amp; MDL],Table13[Tolerance % CW ],"")/100*Table1[[#This Row],[Std Nom]]),"")</f>
        <v/>
      </c>
      <c r="P2219" s="1" t="str">
        <f>IFERROR(Table1[[#This Row],[Std Nom]]+(_xlfn.XLOOKUP(Table1[[#This Row],[Manufacturer]]&amp;" "&amp;Table1[[#This Row],[Model]],Table13[MFR &amp; MDL],Table13[Tolerance % CW ],"")/100*Table1[[#This Row],[Std Nom]]),"")</f>
        <v/>
      </c>
      <c r="Q2219" s="1" t="e">
        <f>Table1[[#This Row],[High Tol]]-Table1[[#This Row],[Low Tol]]</f>
        <v>#VALUE!</v>
      </c>
      <c r="R2219" s="1">
        <f>2*Table1[[#This Row],[Std Error]]</f>
        <v>0</v>
      </c>
      <c r="S2219" s="1" t="str">
        <f>IF(Table1[[#This Row],[High Tol]]="","N/A",IFERROR(ABS(Table1[[#This Row],[Tol Span]]/Table1[[#This Row],[Error Span]]),"N/A"))</f>
        <v>N/A</v>
      </c>
      <c r="T2219" s="1" t="str">
        <f>IF(OR(Table1[[#This Row],[Low Tol]]="",Table1[[#This Row],[High Tol]]=""),"Needs Analysis",IF(Table1[[#This Row],[Ratio]]&gt;=4,"Not Significant",IF(Table1[[#This Row],[Ratio]]&gt;=2,"Semi-Significant","Significant")))</f>
        <v>Needs Analysis</v>
      </c>
      <c r="W2219" s="1">
        <f>IF(Table1[[#This Row],[Cal Type]]&lt;&gt;"ACCREDITED 17025 WITH UNCERTAINTIES",0,"")</f>
        <v>0</v>
      </c>
      <c r="X2219" s="1" t="str">
        <f>IF(Table1[[#This Row],[DUT Read]]="","N/A",Table1[[#This Row],[Std Error]]+Table1[[#This Row],[DUT Read]]+Table1[[#This Row],[DUT Ucty]])</f>
        <v>N/A</v>
      </c>
      <c r="Y2219" s="1" t="str">
        <f>IF(Table1[[#This Row],[Std Read]]="","N/A",Table1[[#This Row],[Std Read]]+Table1[[#This Row],[Std Ucty]])</f>
        <v>N/A</v>
      </c>
      <c r="Z22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9" s="1" t="str">
        <f>IF(Table1[[#This Row],[Spec Type]]="","N/A",Table1[[#This Row],[Spec Type]])</f>
        <v>±</v>
      </c>
      <c r="AC2219" s="1" t="str">
        <f>IF(Table1[[#This Row],[Spec Type2]]="N/A","N/A",IF(AND(Table1[[#This Row],[DUT Adj Read]]&gt;=Table1[[#This Row],[Low Tol]],Table1[[#This Row],[DUT Adj Read]]&lt;=Table1[[#This Row],[High Tol]]),"Pass","Fail"))</f>
        <v>Fail</v>
      </c>
      <c r="AD2219" s="1" t="str">
        <f>IF(AND(Table1[[#This Row],[Spec Type2]]="N/A",Table1[[#This Row],[DUT Adj Read]]="N/A",Table1[[#This Row],[Std Adj Read]]="N/A"),"N/A",IF(Table1[[#This Row],[DUT Adj Read]]="N/A",IF(Table1[[#This Row],[Std Adj Read]]&gt;Table1[[#This Row],[Low Tol]],"Pass","Fail"),IF(Table1[[#This Row],[DUT Adj Read]]&gt;Table1[[#This Row],[Low Tol]],"Pass","Fail")))</f>
        <v>Pass</v>
      </c>
      <c r="AE2219" s="1" t="str">
        <f>IF(AND(Table1[[#This Row],[Spec Type2]]="N/A",Table1[[#This Row],[DUT Adj Read]]="N/A",Table1[[#This Row],[Std Adj Read]]="N/A"),"N/A",IF(Table1[[#This Row],[DUT Adj Read]]="N/A",IF(Table1[[#This Row],[Std Adj Read]]&lt;Table1[[#This Row],[High Tol]],"Pass","Fail"),IF(Table1[[#This Row],[DUT Adj Read]]&lt;Table1[[#This Row],[High Tol]],"Pass","Fail")))</f>
        <v>Fail</v>
      </c>
      <c r="AF2219" s="1" t="str">
        <f>IF(AND(Table1[[#This Row],[Spec Type2]]="N/A",Table1[[#This Row],[DUT Adj Read]]="N/A",Table1[[#This Row],[Std Adj Read]]="N/A"),"N/A",IF(Table1[[#This Row],[DUT Adj Read]]="N/A",IF(Table1[[#This Row],[Std Adj Read]]&gt;=Table1[[#This Row],[Low Tol]],"Pass","Fail"),IF(Table1[[#This Row],[DUT Adj Read]]&gt;=Table1[[#This Row],[Low Tol]],"Pass","Fail")))</f>
        <v>Pass</v>
      </c>
      <c r="AG2219" s="1" t="str">
        <f>IF(AND(Table1[[#This Row],[Spec Type2]]="N/A",Table1[[#This Row],[DUT Adj Read]]="N/A",Table1[[#This Row],[Std Adj Read]]="N/A"),"N/A",IF(Table1[[#This Row],[DUT Adj Read]]="N/A",IF(Table1[[#This Row],[Std Adj Read]]&lt;=Table1[[#This Row],[High Tol]],"Pass","Fail"),IF(Table1[[#This Row],[DUT Adj Read]]&lt;=Table1[[#This Row],[High Tol]],"Pass","Fail")))</f>
        <v>Fail</v>
      </c>
      <c r="AH22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9" s="1" t="b">
        <v>0</v>
      </c>
      <c r="AN2219" s="1" t="b">
        <v>0</v>
      </c>
      <c r="AO2219" s="1" t="b">
        <v>0</v>
      </c>
    </row>
    <row r="2220" spans="1:41" x14ac:dyDescent="0.25">
      <c r="A2220" s="10"/>
      <c r="B2220" s="10"/>
      <c r="C2220" s="10"/>
      <c r="D2220" s="10"/>
      <c r="E2220" s="10"/>
      <c r="F2220" s="10"/>
      <c r="G2220" s="10"/>
      <c r="H2220" s="10"/>
      <c r="I2220" s="1" t="str">
        <f t="shared" si="102"/>
        <v/>
      </c>
      <c r="J2220" s="1" t="s">
        <v>35</v>
      </c>
      <c r="K2220" s="1" t="str">
        <f t="shared" si="103"/>
        <v/>
      </c>
      <c r="L2220" s="1" t="str">
        <f t="shared" si="104"/>
        <v/>
      </c>
      <c r="M2220" s="1">
        <f>IF(OR(Table1[[#This Row],[Std Nom]]="",Table1[[#This Row],[Std Read]]=""),0,Table1[[#This Row],[Std Nom]]-Table1[[#This Row],[Std Read]])</f>
        <v>0</v>
      </c>
      <c r="N2220" s="1">
        <f>IF(Calculations!$F$5="ACCREDITED 17025 WITH UNCERTAINTIES",$N$10,0)</f>
        <v>0</v>
      </c>
      <c r="O2220" s="1" t="str">
        <f>IFERROR(Table1[[#This Row],[Std Nom]]-(_xlfn.XLOOKUP(Table1[[#This Row],[Manufacturer]]&amp;" "&amp;Table1[[#This Row],[Model]],Table13[MFR &amp; MDL],Table13[Tolerance % CW ],"")/100*Table1[[#This Row],[Std Nom]]),"")</f>
        <v/>
      </c>
      <c r="P2220" s="1" t="str">
        <f>IFERROR(Table1[[#This Row],[Std Nom]]+(_xlfn.XLOOKUP(Table1[[#This Row],[Manufacturer]]&amp;" "&amp;Table1[[#This Row],[Model]],Table13[MFR &amp; MDL],Table13[Tolerance % CW ],"")/100*Table1[[#This Row],[Std Nom]]),"")</f>
        <v/>
      </c>
      <c r="Q2220" s="1" t="e">
        <f>Table1[[#This Row],[High Tol]]-Table1[[#This Row],[Low Tol]]</f>
        <v>#VALUE!</v>
      </c>
      <c r="R2220" s="1">
        <f>2*Table1[[#This Row],[Std Error]]</f>
        <v>0</v>
      </c>
      <c r="S2220" s="1" t="str">
        <f>IF(Table1[[#This Row],[High Tol]]="","N/A",IFERROR(ABS(Table1[[#This Row],[Tol Span]]/Table1[[#This Row],[Error Span]]),"N/A"))</f>
        <v>N/A</v>
      </c>
      <c r="T2220" s="1" t="str">
        <f>IF(OR(Table1[[#This Row],[Low Tol]]="",Table1[[#This Row],[High Tol]]=""),"Needs Analysis",IF(Table1[[#This Row],[Ratio]]&gt;=4,"Not Significant",IF(Table1[[#This Row],[Ratio]]&gt;=2,"Semi-Significant","Significant")))</f>
        <v>Needs Analysis</v>
      </c>
      <c r="W2220" s="1">
        <f>IF(Table1[[#This Row],[Cal Type]]&lt;&gt;"ACCREDITED 17025 WITH UNCERTAINTIES",0,"")</f>
        <v>0</v>
      </c>
      <c r="X2220" s="1" t="str">
        <f>IF(Table1[[#This Row],[DUT Read]]="","N/A",Table1[[#This Row],[Std Error]]+Table1[[#This Row],[DUT Read]]+Table1[[#This Row],[DUT Ucty]])</f>
        <v>N/A</v>
      </c>
      <c r="Y2220" s="1" t="str">
        <f>IF(Table1[[#This Row],[Std Read]]="","N/A",Table1[[#This Row],[Std Read]]+Table1[[#This Row],[Std Ucty]])</f>
        <v>N/A</v>
      </c>
      <c r="Z22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0" s="1" t="str">
        <f>IF(Table1[[#This Row],[Spec Type]]="","N/A",Table1[[#This Row],[Spec Type]])</f>
        <v>±</v>
      </c>
      <c r="AC2220" s="1" t="str">
        <f>IF(Table1[[#This Row],[Spec Type2]]="N/A","N/A",IF(AND(Table1[[#This Row],[DUT Adj Read]]&gt;=Table1[[#This Row],[Low Tol]],Table1[[#This Row],[DUT Adj Read]]&lt;=Table1[[#This Row],[High Tol]]),"Pass","Fail"))</f>
        <v>Fail</v>
      </c>
      <c r="AD2220" s="1" t="str">
        <f>IF(AND(Table1[[#This Row],[Spec Type2]]="N/A",Table1[[#This Row],[DUT Adj Read]]="N/A",Table1[[#This Row],[Std Adj Read]]="N/A"),"N/A",IF(Table1[[#This Row],[DUT Adj Read]]="N/A",IF(Table1[[#This Row],[Std Adj Read]]&gt;Table1[[#This Row],[Low Tol]],"Pass","Fail"),IF(Table1[[#This Row],[DUT Adj Read]]&gt;Table1[[#This Row],[Low Tol]],"Pass","Fail")))</f>
        <v>Pass</v>
      </c>
      <c r="AE2220" s="1" t="str">
        <f>IF(AND(Table1[[#This Row],[Spec Type2]]="N/A",Table1[[#This Row],[DUT Adj Read]]="N/A",Table1[[#This Row],[Std Adj Read]]="N/A"),"N/A",IF(Table1[[#This Row],[DUT Adj Read]]="N/A",IF(Table1[[#This Row],[Std Adj Read]]&lt;Table1[[#This Row],[High Tol]],"Pass","Fail"),IF(Table1[[#This Row],[DUT Adj Read]]&lt;Table1[[#This Row],[High Tol]],"Pass","Fail")))</f>
        <v>Fail</v>
      </c>
      <c r="AF2220" s="1" t="str">
        <f>IF(AND(Table1[[#This Row],[Spec Type2]]="N/A",Table1[[#This Row],[DUT Adj Read]]="N/A",Table1[[#This Row],[Std Adj Read]]="N/A"),"N/A",IF(Table1[[#This Row],[DUT Adj Read]]="N/A",IF(Table1[[#This Row],[Std Adj Read]]&gt;=Table1[[#This Row],[Low Tol]],"Pass","Fail"),IF(Table1[[#This Row],[DUT Adj Read]]&gt;=Table1[[#This Row],[Low Tol]],"Pass","Fail")))</f>
        <v>Pass</v>
      </c>
      <c r="AG2220" s="1" t="str">
        <f>IF(AND(Table1[[#This Row],[Spec Type2]]="N/A",Table1[[#This Row],[DUT Adj Read]]="N/A",Table1[[#This Row],[Std Adj Read]]="N/A"),"N/A",IF(Table1[[#This Row],[DUT Adj Read]]="N/A",IF(Table1[[#This Row],[Std Adj Read]]&lt;=Table1[[#This Row],[High Tol]],"Pass","Fail"),IF(Table1[[#This Row],[DUT Adj Read]]&lt;=Table1[[#This Row],[High Tol]],"Pass","Fail")))</f>
        <v>Fail</v>
      </c>
      <c r="AH22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0" s="1" t="b">
        <v>0</v>
      </c>
      <c r="AN2220" s="1" t="b">
        <v>0</v>
      </c>
      <c r="AO2220" s="1" t="b">
        <v>0</v>
      </c>
    </row>
    <row r="2221" spans="1:41" x14ac:dyDescent="0.25">
      <c r="A2221" s="10"/>
      <c r="B2221" s="10"/>
      <c r="C2221" s="10"/>
      <c r="D2221" s="10"/>
      <c r="E2221" s="10"/>
      <c r="F2221" s="10"/>
      <c r="G2221" s="10"/>
      <c r="H2221" s="10"/>
      <c r="I2221" s="1" t="str">
        <f t="shared" si="102"/>
        <v/>
      </c>
      <c r="J2221" s="1" t="s">
        <v>35</v>
      </c>
      <c r="K2221" s="1" t="str">
        <f t="shared" si="103"/>
        <v/>
      </c>
      <c r="L2221" s="1" t="str">
        <f t="shared" si="104"/>
        <v/>
      </c>
      <c r="M2221" s="1">
        <f>IF(OR(Table1[[#This Row],[Std Nom]]="",Table1[[#This Row],[Std Read]]=""),0,Table1[[#This Row],[Std Nom]]-Table1[[#This Row],[Std Read]])</f>
        <v>0</v>
      </c>
      <c r="N2221" s="1">
        <f>IF(Calculations!$F$5="ACCREDITED 17025 WITH UNCERTAINTIES",$N$10,0)</f>
        <v>0</v>
      </c>
      <c r="O2221" s="1" t="str">
        <f>IFERROR(Table1[[#This Row],[Std Nom]]-(_xlfn.XLOOKUP(Table1[[#This Row],[Manufacturer]]&amp;" "&amp;Table1[[#This Row],[Model]],Table13[MFR &amp; MDL],Table13[Tolerance % CW ],"")/100*Table1[[#This Row],[Std Nom]]),"")</f>
        <v/>
      </c>
      <c r="P2221" s="1" t="str">
        <f>IFERROR(Table1[[#This Row],[Std Nom]]+(_xlfn.XLOOKUP(Table1[[#This Row],[Manufacturer]]&amp;" "&amp;Table1[[#This Row],[Model]],Table13[MFR &amp; MDL],Table13[Tolerance % CW ],"")/100*Table1[[#This Row],[Std Nom]]),"")</f>
        <v/>
      </c>
      <c r="Q2221" s="1" t="e">
        <f>Table1[[#This Row],[High Tol]]-Table1[[#This Row],[Low Tol]]</f>
        <v>#VALUE!</v>
      </c>
      <c r="R2221" s="1">
        <f>2*Table1[[#This Row],[Std Error]]</f>
        <v>0</v>
      </c>
      <c r="S2221" s="1" t="str">
        <f>IF(Table1[[#This Row],[High Tol]]="","N/A",IFERROR(ABS(Table1[[#This Row],[Tol Span]]/Table1[[#This Row],[Error Span]]),"N/A"))</f>
        <v>N/A</v>
      </c>
      <c r="T2221" s="1" t="str">
        <f>IF(OR(Table1[[#This Row],[Low Tol]]="",Table1[[#This Row],[High Tol]]=""),"Needs Analysis",IF(Table1[[#This Row],[Ratio]]&gt;=4,"Not Significant",IF(Table1[[#This Row],[Ratio]]&gt;=2,"Semi-Significant","Significant")))</f>
        <v>Needs Analysis</v>
      </c>
      <c r="W2221" s="1">
        <f>IF(Table1[[#This Row],[Cal Type]]&lt;&gt;"ACCREDITED 17025 WITH UNCERTAINTIES",0,"")</f>
        <v>0</v>
      </c>
      <c r="X2221" s="1" t="str">
        <f>IF(Table1[[#This Row],[DUT Read]]="","N/A",Table1[[#This Row],[Std Error]]+Table1[[#This Row],[DUT Read]]+Table1[[#This Row],[DUT Ucty]])</f>
        <v>N/A</v>
      </c>
      <c r="Y2221" s="1" t="str">
        <f>IF(Table1[[#This Row],[Std Read]]="","N/A",Table1[[#This Row],[Std Read]]+Table1[[#This Row],[Std Ucty]])</f>
        <v>N/A</v>
      </c>
      <c r="Z22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1" s="1" t="str">
        <f>IF(Table1[[#This Row],[Spec Type]]="","N/A",Table1[[#This Row],[Spec Type]])</f>
        <v>±</v>
      </c>
      <c r="AC2221" s="1" t="str">
        <f>IF(Table1[[#This Row],[Spec Type2]]="N/A","N/A",IF(AND(Table1[[#This Row],[DUT Adj Read]]&gt;=Table1[[#This Row],[Low Tol]],Table1[[#This Row],[DUT Adj Read]]&lt;=Table1[[#This Row],[High Tol]]),"Pass","Fail"))</f>
        <v>Fail</v>
      </c>
      <c r="AD2221" s="1" t="str">
        <f>IF(AND(Table1[[#This Row],[Spec Type2]]="N/A",Table1[[#This Row],[DUT Adj Read]]="N/A",Table1[[#This Row],[Std Adj Read]]="N/A"),"N/A",IF(Table1[[#This Row],[DUT Adj Read]]="N/A",IF(Table1[[#This Row],[Std Adj Read]]&gt;Table1[[#This Row],[Low Tol]],"Pass","Fail"),IF(Table1[[#This Row],[DUT Adj Read]]&gt;Table1[[#This Row],[Low Tol]],"Pass","Fail")))</f>
        <v>Pass</v>
      </c>
      <c r="AE2221" s="1" t="str">
        <f>IF(AND(Table1[[#This Row],[Spec Type2]]="N/A",Table1[[#This Row],[DUT Adj Read]]="N/A",Table1[[#This Row],[Std Adj Read]]="N/A"),"N/A",IF(Table1[[#This Row],[DUT Adj Read]]="N/A",IF(Table1[[#This Row],[Std Adj Read]]&lt;Table1[[#This Row],[High Tol]],"Pass","Fail"),IF(Table1[[#This Row],[DUT Adj Read]]&lt;Table1[[#This Row],[High Tol]],"Pass","Fail")))</f>
        <v>Fail</v>
      </c>
      <c r="AF2221" s="1" t="str">
        <f>IF(AND(Table1[[#This Row],[Spec Type2]]="N/A",Table1[[#This Row],[DUT Adj Read]]="N/A",Table1[[#This Row],[Std Adj Read]]="N/A"),"N/A",IF(Table1[[#This Row],[DUT Adj Read]]="N/A",IF(Table1[[#This Row],[Std Adj Read]]&gt;=Table1[[#This Row],[Low Tol]],"Pass","Fail"),IF(Table1[[#This Row],[DUT Adj Read]]&gt;=Table1[[#This Row],[Low Tol]],"Pass","Fail")))</f>
        <v>Pass</v>
      </c>
      <c r="AG2221" s="1" t="str">
        <f>IF(AND(Table1[[#This Row],[Spec Type2]]="N/A",Table1[[#This Row],[DUT Adj Read]]="N/A",Table1[[#This Row],[Std Adj Read]]="N/A"),"N/A",IF(Table1[[#This Row],[DUT Adj Read]]="N/A",IF(Table1[[#This Row],[Std Adj Read]]&lt;=Table1[[#This Row],[High Tol]],"Pass","Fail"),IF(Table1[[#This Row],[DUT Adj Read]]&lt;=Table1[[#This Row],[High Tol]],"Pass","Fail")))</f>
        <v>Fail</v>
      </c>
      <c r="AH22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1" s="1" t="b">
        <v>0</v>
      </c>
      <c r="AN2221" s="1" t="b">
        <v>0</v>
      </c>
      <c r="AO2221" s="1" t="b">
        <v>0</v>
      </c>
    </row>
    <row r="2222" spans="1:41" x14ac:dyDescent="0.25">
      <c r="A2222" s="10"/>
      <c r="B2222" s="10"/>
      <c r="C2222" s="10"/>
      <c r="D2222" s="10"/>
      <c r="E2222" s="10"/>
      <c r="F2222" s="10"/>
      <c r="G2222" s="10"/>
      <c r="H2222" s="10"/>
      <c r="I2222" s="1" t="str">
        <f t="shared" si="102"/>
        <v/>
      </c>
      <c r="J2222" s="1" t="s">
        <v>35</v>
      </c>
      <c r="K2222" s="1" t="str">
        <f t="shared" si="103"/>
        <v/>
      </c>
      <c r="L2222" s="1" t="str">
        <f t="shared" si="104"/>
        <v/>
      </c>
      <c r="M2222" s="1">
        <f>IF(OR(Table1[[#This Row],[Std Nom]]="",Table1[[#This Row],[Std Read]]=""),0,Table1[[#This Row],[Std Nom]]-Table1[[#This Row],[Std Read]])</f>
        <v>0</v>
      </c>
      <c r="N2222" s="1">
        <f>IF(Calculations!$F$5="ACCREDITED 17025 WITH UNCERTAINTIES",$N$10,0)</f>
        <v>0</v>
      </c>
      <c r="O2222" s="1" t="str">
        <f>IFERROR(Table1[[#This Row],[Std Nom]]-(_xlfn.XLOOKUP(Table1[[#This Row],[Manufacturer]]&amp;" "&amp;Table1[[#This Row],[Model]],Table13[MFR &amp; MDL],Table13[Tolerance % CW ],"")/100*Table1[[#This Row],[Std Nom]]),"")</f>
        <v/>
      </c>
      <c r="P2222" s="1" t="str">
        <f>IFERROR(Table1[[#This Row],[Std Nom]]+(_xlfn.XLOOKUP(Table1[[#This Row],[Manufacturer]]&amp;" "&amp;Table1[[#This Row],[Model]],Table13[MFR &amp; MDL],Table13[Tolerance % CW ],"")/100*Table1[[#This Row],[Std Nom]]),"")</f>
        <v/>
      </c>
      <c r="Q2222" s="1" t="e">
        <f>Table1[[#This Row],[High Tol]]-Table1[[#This Row],[Low Tol]]</f>
        <v>#VALUE!</v>
      </c>
      <c r="R2222" s="1">
        <f>2*Table1[[#This Row],[Std Error]]</f>
        <v>0</v>
      </c>
      <c r="S2222" s="1" t="str">
        <f>IF(Table1[[#This Row],[High Tol]]="","N/A",IFERROR(ABS(Table1[[#This Row],[Tol Span]]/Table1[[#This Row],[Error Span]]),"N/A"))</f>
        <v>N/A</v>
      </c>
      <c r="T2222" s="1" t="str">
        <f>IF(OR(Table1[[#This Row],[Low Tol]]="",Table1[[#This Row],[High Tol]]=""),"Needs Analysis",IF(Table1[[#This Row],[Ratio]]&gt;=4,"Not Significant",IF(Table1[[#This Row],[Ratio]]&gt;=2,"Semi-Significant","Significant")))</f>
        <v>Needs Analysis</v>
      </c>
      <c r="W2222" s="1">
        <f>IF(Table1[[#This Row],[Cal Type]]&lt;&gt;"ACCREDITED 17025 WITH UNCERTAINTIES",0,"")</f>
        <v>0</v>
      </c>
      <c r="X2222" s="1" t="str">
        <f>IF(Table1[[#This Row],[DUT Read]]="","N/A",Table1[[#This Row],[Std Error]]+Table1[[#This Row],[DUT Read]]+Table1[[#This Row],[DUT Ucty]])</f>
        <v>N/A</v>
      </c>
      <c r="Y2222" s="1" t="str">
        <f>IF(Table1[[#This Row],[Std Read]]="","N/A",Table1[[#This Row],[Std Read]]+Table1[[#This Row],[Std Ucty]])</f>
        <v>N/A</v>
      </c>
      <c r="Z22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2" s="1" t="str">
        <f>IF(Table1[[#This Row],[Spec Type]]="","N/A",Table1[[#This Row],[Spec Type]])</f>
        <v>±</v>
      </c>
      <c r="AC2222" s="1" t="str">
        <f>IF(Table1[[#This Row],[Spec Type2]]="N/A","N/A",IF(AND(Table1[[#This Row],[DUT Adj Read]]&gt;=Table1[[#This Row],[Low Tol]],Table1[[#This Row],[DUT Adj Read]]&lt;=Table1[[#This Row],[High Tol]]),"Pass","Fail"))</f>
        <v>Fail</v>
      </c>
      <c r="AD2222" s="1" t="str">
        <f>IF(AND(Table1[[#This Row],[Spec Type2]]="N/A",Table1[[#This Row],[DUT Adj Read]]="N/A",Table1[[#This Row],[Std Adj Read]]="N/A"),"N/A",IF(Table1[[#This Row],[DUT Adj Read]]="N/A",IF(Table1[[#This Row],[Std Adj Read]]&gt;Table1[[#This Row],[Low Tol]],"Pass","Fail"),IF(Table1[[#This Row],[DUT Adj Read]]&gt;Table1[[#This Row],[Low Tol]],"Pass","Fail")))</f>
        <v>Pass</v>
      </c>
      <c r="AE2222" s="1" t="str">
        <f>IF(AND(Table1[[#This Row],[Spec Type2]]="N/A",Table1[[#This Row],[DUT Adj Read]]="N/A",Table1[[#This Row],[Std Adj Read]]="N/A"),"N/A",IF(Table1[[#This Row],[DUT Adj Read]]="N/A",IF(Table1[[#This Row],[Std Adj Read]]&lt;Table1[[#This Row],[High Tol]],"Pass","Fail"),IF(Table1[[#This Row],[DUT Adj Read]]&lt;Table1[[#This Row],[High Tol]],"Pass","Fail")))</f>
        <v>Fail</v>
      </c>
      <c r="AF2222" s="1" t="str">
        <f>IF(AND(Table1[[#This Row],[Spec Type2]]="N/A",Table1[[#This Row],[DUT Adj Read]]="N/A",Table1[[#This Row],[Std Adj Read]]="N/A"),"N/A",IF(Table1[[#This Row],[DUT Adj Read]]="N/A",IF(Table1[[#This Row],[Std Adj Read]]&gt;=Table1[[#This Row],[Low Tol]],"Pass","Fail"),IF(Table1[[#This Row],[DUT Adj Read]]&gt;=Table1[[#This Row],[Low Tol]],"Pass","Fail")))</f>
        <v>Pass</v>
      </c>
      <c r="AG2222" s="1" t="str">
        <f>IF(AND(Table1[[#This Row],[Spec Type2]]="N/A",Table1[[#This Row],[DUT Adj Read]]="N/A",Table1[[#This Row],[Std Adj Read]]="N/A"),"N/A",IF(Table1[[#This Row],[DUT Adj Read]]="N/A",IF(Table1[[#This Row],[Std Adj Read]]&lt;=Table1[[#This Row],[High Tol]],"Pass","Fail"),IF(Table1[[#This Row],[DUT Adj Read]]&lt;=Table1[[#This Row],[High Tol]],"Pass","Fail")))</f>
        <v>Fail</v>
      </c>
      <c r="AH22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2" s="1" t="b">
        <v>0</v>
      </c>
      <c r="AN2222" s="1" t="b">
        <v>0</v>
      </c>
      <c r="AO2222" s="1" t="b">
        <v>0</v>
      </c>
    </row>
    <row r="2223" spans="1:41" x14ac:dyDescent="0.25">
      <c r="A2223" s="10"/>
      <c r="B2223" s="10"/>
      <c r="C2223" s="10"/>
      <c r="D2223" s="10"/>
      <c r="E2223" s="10"/>
      <c r="F2223" s="10"/>
      <c r="G2223" s="10"/>
      <c r="H2223" s="10"/>
      <c r="I2223" s="1" t="str">
        <f t="shared" si="102"/>
        <v/>
      </c>
      <c r="J2223" s="1" t="s">
        <v>35</v>
      </c>
      <c r="K2223" s="1" t="str">
        <f t="shared" si="103"/>
        <v/>
      </c>
      <c r="L2223" s="1" t="str">
        <f t="shared" si="104"/>
        <v/>
      </c>
      <c r="M2223" s="1">
        <f>IF(OR(Table1[[#This Row],[Std Nom]]="",Table1[[#This Row],[Std Read]]=""),0,Table1[[#This Row],[Std Nom]]-Table1[[#This Row],[Std Read]])</f>
        <v>0</v>
      </c>
      <c r="N2223" s="1">
        <f>IF(Calculations!$F$5="ACCREDITED 17025 WITH UNCERTAINTIES",$N$10,0)</f>
        <v>0</v>
      </c>
      <c r="O2223" s="1" t="str">
        <f>IFERROR(Table1[[#This Row],[Std Nom]]-(_xlfn.XLOOKUP(Table1[[#This Row],[Manufacturer]]&amp;" "&amp;Table1[[#This Row],[Model]],Table13[MFR &amp; MDL],Table13[Tolerance % CW ],"")/100*Table1[[#This Row],[Std Nom]]),"")</f>
        <v/>
      </c>
      <c r="P2223" s="1" t="str">
        <f>IFERROR(Table1[[#This Row],[Std Nom]]+(_xlfn.XLOOKUP(Table1[[#This Row],[Manufacturer]]&amp;" "&amp;Table1[[#This Row],[Model]],Table13[MFR &amp; MDL],Table13[Tolerance % CW ],"")/100*Table1[[#This Row],[Std Nom]]),"")</f>
        <v/>
      </c>
      <c r="Q2223" s="1" t="e">
        <f>Table1[[#This Row],[High Tol]]-Table1[[#This Row],[Low Tol]]</f>
        <v>#VALUE!</v>
      </c>
      <c r="R2223" s="1">
        <f>2*Table1[[#This Row],[Std Error]]</f>
        <v>0</v>
      </c>
      <c r="S2223" s="1" t="str">
        <f>IF(Table1[[#This Row],[High Tol]]="","N/A",IFERROR(ABS(Table1[[#This Row],[Tol Span]]/Table1[[#This Row],[Error Span]]),"N/A"))</f>
        <v>N/A</v>
      </c>
      <c r="T2223" s="1" t="str">
        <f>IF(OR(Table1[[#This Row],[Low Tol]]="",Table1[[#This Row],[High Tol]]=""),"Needs Analysis",IF(Table1[[#This Row],[Ratio]]&gt;=4,"Not Significant",IF(Table1[[#This Row],[Ratio]]&gt;=2,"Semi-Significant","Significant")))</f>
        <v>Needs Analysis</v>
      </c>
      <c r="W2223" s="1">
        <f>IF(Table1[[#This Row],[Cal Type]]&lt;&gt;"ACCREDITED 17025 WITH UNCERTAINTIES",0,"")</f>
        <v>0</v>
      </c>
      <c r="X2223" s="1" t="str">
        <f>IF(Table1[[#This Row],[DUT Read]]="","N/A",Table1[[#This Row],[Std Error]]+Table1[[#This Row],[DUT Read]]+Table1[[#This Row],[DUT Ucty]])</f>
        <v>N/A</v>
      </c>
      <c r="Y2223" s="1" t="str">
        <f>IF(Table1[[#This Row],[Std Read]]="","N/A",Table1[[#This Row],[Std Read]]+Table1[[#This Row],[Std Ucty]])</f>
        <v>N/A</v>
      </c>
      <c r="Z22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3" s="1" t="str">
        <f>IF(Table1[[#This Row],[Spec Type]]="","N/A",Table1[[#This Row],[Spec Type]])</f>
        <v>±</v>
      </c>
      <c r="AC2223" s="1" t="str">
        <f>IF(Table1[[#This Row],[Spec Type2]]="N/A","N/A",IF(AND(Table1[[#This Row],[DUT Adj Read]]&gt;=Table1[[#This Row],[Low Tol]],Table1[[#This Row],[DUT Adj Read]]&lt;=Table1[[#This Row],[High Tol]]),"Pass","Fail"))</f>
        <v>Fail</v>
      </c>
      <c r="AD2223" s="1" t="str">
        <f>IF(AND(Table1[[#This Row],[Spec Type2]]="N/A",Table1[[#This Row],[DUT Adj Read]]="N/A",Table1[[#This Row],[Std Adj Read]]="N/A"),"N/A",IF(Table1[[#This Row],[DUT Adj Read]]="N/A",IF(Table1[[#This Row],[Std Adj Read]]&gt;Table1[[#This Row],[Low Tol]],"Pass","Fail"),IF(Table1[[#This Row],[DUT Adj Read]]&gt;Table1[[#This Row],[Low Tol]],"Pass","Fail")))</f>
        <v>Pass</v>
      </c>
      <c r="AE2223" s="1" t="str">
        <f>IF(AND(Table1[[#This Row],[Spec Type2]]="N/A",Table1[[#This Row],[DUT Adj Read]]="N/A",Table1[[#This Row],[Std Adj Read]]="N/A"),"N/A",IF(Table1[[#This Row],[DUT Adj Read]]="N/A",IF(Table1[[#This Row],[Std Adj Read]]&lt;Table1[[#This Row],[High Tol]],"Pass","Fail"),IF(Table1[[#This Row],[DUT Adj Read]]&lt;Table1[[#This Row],[High Tol]],"Pass","Fail")))</f>
        <v>Fail</v>
      </c>
      <c r="AF2223" s="1" t="str">
        <f>IF(AND(Table1[[#This Row],[Spec Type2]]="N/A",Table1[[#This Row],[DUT Adj Read]]="N/A",Table1[[#This Row],[Std Adj Read]]="N/A"),"N/A",IF(Table1[[#This Row],[DUT Adj Read]]="N/A",IF(Table1[[#This Row],[Std Adj Read]]&gt;=Table1[[#This Row],[Low Tol]],"Pass","Fail"),IF(Table1[[#This Row],[DUT Adj Read]]&gt;=Table1[[#This Row],[Low Tol]],"Pass","Fail")))</f>
        <v>Pass</v>
      </c>
      <c r="AG2223" s="1" t="str">
        <f>IF(AND(Table1[[#This Row],[Spec Type2]]="N/A",Table1[[#This Row],[DUT Adj Read]]="N/A",Table1[[#This Row],[Std Adj Read]]="N/A"),"N/A",IF(Table1[[#This Row],[DUT Adj Read]]="N/A",IF(Table1[[#This Row],[Std Adj Read]]&lt;=Table1[[#This Row],[High Tol]],"Pass","Fail"),IF(Table1[[#This Row],[DUT Adj Read]]&lt;=Table1[[#This Row],[High Tol]],"Pass","Fail")))</f>
        <v>Fail</v>
      </c>
      <c r="AH22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3" s="1" t="b">
        <v>0</v>
      </c>
      <c r="AN2223" s="1" t="b">
        <v>0</v>
      </c>
      <c r="AO2223" s="1" t="b">
        <v>0</v>
      </c>
    </row>
    <row r="2224" spans="1:41" x14ac:dyDescent="0.25">
      <c r="A2224" s="10"/>
      <c r="B2224" s="10"/>
      <c r="C2224" s="10"/>
      <c r="D2224" s="10"/>
      <c r="E2224" s="10"/>
      <c r="F2224" s="10"/>
      <c r="G2224" s="10"/>
      <c r="H2224" s="10"/>
      <c r="I2224" s="1" t="str">
        <f t="shared" si="102"/>
        <v/>
      </c>
      <c r="J2224" s="1" t="s">
        <v>35</v>
      </c>
      <c r="K2224" s="1" t="str">
        <f t="shared" si="103"/>
        <v/>
      </c>
      <c r="L2224" s="1" t="str">
        <f t="shared" si="104"/>
        <v/>
      </c>
      <c r="M2224" s="1">
        <f>IF(OR(Table1[[#This Row],[Std Nom]]="",Table1[[#This Row],[Std Read]]=""),0,Table1[[#This Row],[Std Nom]]-Table1[[#This Row],[Std Read]])</f>
        <v>0</v>
      </c>
      <c r="N2224" s="1">
        <f>IF(Calculations!$F$5="ACCREDITED 17025 WITH UNCERTAINTIES",$N$10,0)</f>
        <v>0</v>
      </c>
      <c r="O2224" s="1" t="str">
        <f>IFERROR(Table1[[#This Row],[Std Nom]]-(_xlfn.XLOOKUP(Table1[[#This Row],[Manufacturer]]&amp;" "&amp;Table1[[#This Row],[Model]],Table13[MFR &amp; MDL],Table13[Tolerance % CW ],"")/100*Table1[[#This Row],[Std Nom]]),"")</f>
        <v/>
      </c>
      <c r="P2224" s="1" t="str">
        <f>IFERROR(Table1[[#This Row],[Std Nom]]+(_xlfn.XLOOKUP(Table1[[#This Row],[Manufacturer]]&amp;" "&amp;Table1[[#This Row],[Model]],Table13[MFR &amp; MDL],Table13[Tolerance % CW ],"")/100*Table1[[#This Row],[Std Nom]]),"")</f>
        <v/>
      </c>
      <c r="Q2224" s="1" t="e">
        <f>Table1[[#This Row],[High Tol]]-Table1[[#This Row],[Low Tol]]</f>
        <v>#VALUE!</v>
      </c>
      <c r="R2224" s="1">
        <f>2*Table1[[#This Row],[Std Error]]</f>
        <v>0</v>
      </c>
      <c r="S2224" s="1" t="str">
        <f>IF(Table1[[#This Row],[High Tol]]="","N/A",IFERROR(ABS(Table1[[#This Row],[Tol Span]]/Table1[[#This Row],[Error Span]]),"N/A"))</f>
        <v>N/A</v>
      </c>
      <c r="T2224" s="1" t="str">
        <f>IF(OR(Table1[[#This Row],[Low Tol]]="",Table1[[#This Row],[High Tol]]=""),"Needs Analysis",IF(Table1[[#This Row],[Ratio]]&gt;=4,"Not Significant",IF(Table1[[#This Row],[Ratio]]&gt;=2,"Semi-Significant","Significant")))</f>
        <v>Needs Analysis</v>
      </c>
      <c r="W2224" s="1">
        <f>IF(Table1[[#This Row],[Cal Type]]&lt;&gt;"ACCREDITED 17025 WITH UNCERTAINTIES",0,"")</f>
        <v>0</v>
      </c>
      <c r="X2224" s="1" t="str">
        <f>IF(Table1[[#This Row],[DUT Read]]="","N/A",Table1[[#This Row],[Std Error]]+Table1[[#This Row],[DUT Read]]+Table1[[#This Row],[DUT Ucty]])</f>
        <v>N/A</v>
      </c>
      <c r="Y2224" s="1" t="str">
        <f>IF(Table1[[#This Row],[Std Read]]="","N/A",Table1[[#This Row],[Std Read]]+Table1[[#This Row],[Std Ucty]])</f>
        <v>N/A</v>
      </c>
      <c r="Z22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4" s="1" t="str">
        <f>IF(Table1[[#This Row],[Spec Type]]="","N/A",Table1[[#This Row],[Spec Type]])</f>
        <v>±</v>
      </c>
      <c r="AC2224" s="1" t="str">
        <f>IF(Table1[[#This Row],[Spec Type2]]="N/A","N/A",IF(AND(Table1[[#This Row],[DUT Adj Read]]&gt;=Table1[[#This Row],[Low Tol]],Table1[[#This Row],[DUT Adj Read]]&lt;=Table1[[#This Row],[High Tol]]),"Pass","Fail"))</f>
        <v>Fail</v>
      </c>
      <c r="AD2224" s="1" t="str">
        <f>IF(AND(Table1[[#This Row],[Spec Type2]]="N/A",Table1[[#This Row],[DUT Adj Read]]="N/A",Table1[[#This Row],[Std Adj Read]]="N/A"),"N/A",IF(Table1[[#This Row],[DUT Adj Read]]="N/A",IF(Table1[[#This Row],[Std Adj Read]]&gt;Table1[[#This Row],[Low Tol]],"Pass","Fail"),IF(Table1[[#This Row],[DUT Adj Read]]&gt;Table1[[#This Row],[Low Tol]],"Pass","Fail")))</f>
        <v>Pass</v>
      </c>
      <c r="AE2224" s="1" t="str">
        <f>IF(AND(Table1[[#This Row],[Spec Type2]]="N/A",Table1[[#This Row],[DUT Adj Read]]="N/A",Table1[[#This Row],[Std Adj Read]]="N/A"),"N/A",IF(Table1[[#This Row],[DUT Adj Read]]="N/A",IF(Table1[[#This Row],[Std Adj Read]]&lt;Table1[[#This Row],[High Tol]],"Pass","Fail"),IF(Table1[[#This Row],[DUT Adj Read]]&lt;Table1[[#This Row],[High Tol]],"Pass","Fail")))</f>
        <v>Fail</v>
      </c>
      <c r="AF2224" s="1" t="str">
        <f>IF(AND(Table1[[#This Row],[Spec Type2]]="N/A",Table1[[#This Row],[DUT Adj Read]]="N/A",Table1[[#This Row],[Std Adj Read]]="N/A"),"N/A",IF(Table1[[#This Row],[DUT Adj Read]]="N/A",IF(Table1[[#This Row],[Std Adj Read]]&gt;=Table1[[#This Row],[Low Tol]],"Pass","Fail"),IF(Table1[[#This Row],[DUT Adj Read]]&gt;=Table1[[#This Row],[Low Tol]],"Pass","Fail")))</f>
        <v>Pass</v>
      </c>
      <c r="AG2224" s="1" t="str">
        <f>IF(AND(Table1[[#This Row],[Spec Type2]]="N/A",Table1[[#This Row],[DUT Adj Read]]="N/A",Table1[[#This Row],[Std Adj Read]]="N/A"),"N/A",IF(Table1[[#This Row],[DUT Adj Read]]="N/A",IF(Table1[[#This Row],[Std Adj Read]]&lt;=Table1[[#This Row],[High Tol]],"Pass","Fail"),IF(Table1[[#This Row],[DUT Adj Read]]&lt;=Table1[[#This Row],[High Tol]],"Pass","Fail")))</f>
        <v>Fail</v>
      </c>
      <c r="AH22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4" s="1" t="b">
        <v>0</v>
      </c>
      <c r="AN2224" s="1" t="b">
        <v>0</v>
      </c>
      <c r="AO2224" s="1" t="b">
        <v>0</v>
      </c>
    </row>
    <row r="2225" spans="1:41" x14ac:dyDescent="0.25">
      <c r="A2225" s="10"/>
      <c r="B2225" s="10"/>
      <c r="C2225" s="10"/>
      <c r="D2225" s="10"/>
      <c r="E2225" s="10"/>
      <c r="F2225" s="10"/>
      <c r="G2225" s="10"/>
      <c r="H2225" s="10"/>
      <c r="I2225" s="1" t="str">
        <f t="shared" si="102"/>
        <v/>
      </c>
      <c r="J2225" s="1" t="s">
        <v>35</v>
      </c>
      <c r="K2225" s="1" t="str">
        <f t="shared" si="103"/>
        <v/>
      </c>
      <c r="L2225" s="1" t="str">
        <f t="shared" si="104"/>
        <v/>
      </c>
      <c r="M2225" s="1">
        <f>IF(OR(Table1[[#This Row],[Std Nom]]="",Table1[[#This Row],[Std Read]]=""),0,Table1[[#This Row],[Std Nom]]-Table1[[#This Row],[Std Read]])</f>
        <v>0</v>
      </c>
      <c r="N2225" s="1">
        <f>IF(Calculations!$F$5="ACCREDITED 17025 WITH UNCERTAINTIES",$N$10,0)</f>
        <v>0</v>
      </c>
      <c r="O2225" s="1" t="str">
        <f>IFERROR(Table1[[#This Row],[Std Nom]]-(_xlfn.XLOOKUP(Table1[[#This Row],[Manufacturer]]&amp;" "&amp;Table1[[#This Row],[Model]],Table13[MFR &amp; MDL],Table13[Tolerance % CW ],"")/100*Table1[[#This Row],[Std Nom]]),"")</f>
        <v/>
      </c>
      <c r="P2225" s="1" t="str">
        <f>IFERROR(Table1[[#This Row],[Std Nom]]+(_xlfn.XLOOKUP(Table1[[#This Row],[Manufacturer]]&amp;" "&amp;Table1[[#This Row],[Model]],Table13[MFR &amp; MDL],Table13[Tolerance % CW ],"")/100*Table1[[#This Row],[Std Nom]]),"")</f>
        <v/>
      </c>
      <c r="Q2225" s="1" t="e">
        <f>Table1[[#This Row],[High Tol]]-Table1[[#This Row],[Low Tol]]</f>
        <v>#VALUE!</v>
      </c>
      <c r="R2225" s="1">
        <f>2*Table1[[#This Row],[Std Error]]</f>
        <v>0</v>
      </c>
      <c r="S2225" s="1" t="str">
        <f>IF(Table1[[#This Row],[High Tol]]="","N/A",IFERROR(ABS(Table1[[#This Row],[Tol Span]]/Table1[[#This Row],[Error Span]]),"N/A"))</f>
        <v>N/A</v>
      </c>
      <c r="T2225" s="1" t="str">
        <f>IF(OR(Table1[[#This Row],[Low Tol]]="",Table1[[#This Row],[High Tol]]=""),"Needs Analysis",IF(Table1[[#This Row],[Ratio]]&gt;=4,"Not Significant",IF(Table1[[#This Row],[Ratio]]&gt;=2,"Semi-Significant","Significant")))</f>
        <v>Needs Analysis</v>
      </c>
      <c r="W2225" s="1">
        <f>IF(Table1[[#This Row],[Cal Type]]&lt;&gt;"ACCREDITED 17025 WITH UNCERTAINTIES",0,"")</f>
        <v>0</v>
      </c>
      <c r="X2225" s="1" t="str">
        <f>IF(Table1[[#This Row],[DUT Read]]="","N/A",Table1[[#This Row],[Std Error]]+Table1[[#This Row],[DUT Read]]+Table1[[#This Row],[DUT Ucty]])</f>
        <v>N/A</v>
      </c>
      <c r="Y2225" s="1" t="str">
        <f>IF(Table1[[#This Row],[Std Read]]="","N/A",Table1[[#This Row],[Std Read]]+Table1[[#This Row],[Std Ucty]])</f>
        <v>N/A</v>
      </c>
      <c r="Z22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5" s="1" t="str">
        <f>IF(Table1[[#This Row],[Spec Type]]="","N/A",Table1[[#This Row],[Spec Type]])</f>
        <v>±</v>
      </c>
      <c r="AC2225" s="1" t="str">
        <f>IF(Table1[[#This Row],[Spec Type2]]="N/A","N/A",IF(AND(Table1[[#This Row],[DUT Adj Read]]&gt;=Table1[[#This Row],[Low Tol]],Table1[[#This Row],[DUT Adj Read]]&lt;=Table1[[#This Row],[High Tol]]),"Pass","Fail"))</f>
        <v>Fail</v>
      </c>
      <c r="AD2225" s="1" t="str">
        <f>IF(AND(Table1[[#This Row],[Spec Type2]]="N/A",Table1[[#This Row],[DUT Adj Read]]="N/A",Table1[[#This Row],[Std Adj Read]]="N/A"),"N/A",IF(Table1[[#This Row],[DUT Adj Read]]="N/A",IF(Table1[[#This Row],[Std Adj Read]]&gt;Table1[[#This Row],[Low Tol]],"Pass","Fail"),IF(Table1[[#This Row],[DUT Adj Read]]&gt;Table1[[#This Row],[Low Tol]],"Pass","Fail")))</f>
        <v>Pass</v>
      </c>
      <c r="AE2225" s="1" t="str">
        <f>IF(AND(Table1[[#This Row],[Spec Type2]]="N/A",Table1[[#This Row],[DUT Adj Read]]="N/A",Table1[[#This Row],[Std Adj Read]]="N/A"),"N/A",IF(Table1[[#This Row],[DUT Adj Read]]="N/A",IF(Table1[[#This Row],[Std Adj Read]]&lt;Table1[[#This Row],[High Tol]],"Pass","Fail"),IF(Table1[[#This Row],[DUT Adj Read]]&lt;Table1[[#This Row],[High Tol]],"Pass","Fail")))</f>
        <v>Fail</v>
      </c>
      <c r="AF2225" s="1" t="str">
        <f>IF(AND(Table1[[#This Row],[Spec Type2]]="N/A",Table1[[#This Row],[DUT Adj Read]]="N/A",Table1[[#This Row],[Std Adj Read]]="N/A"),"N/A",IF(Table1[[#This Row],[DUT Adj Read]]="N/A",IF(Table1[[#This Row],[Std Adj Read]]&gt;=Table1[[#This Row],[Low Tol]],"Pass","Fail"),IF(Table1[[#This Row],[DUT Adj Read]]&gt;=Table1[[#This Row],[Low Tol]],"Pass","Fail")))</f>
        <v>Pass</v>
      </c>
      <c r="AG2225" s="1" t="str">
        <f>IF(AND(Table1[[#This Row],[Spec Type2]]="N/A",Table1[[#This Row],[DUT Adj Read]]="N/A",Table1[[#This Row],[Std Adj Read]]="N/A"),"N/A",IF(Table1[[#This Row],[DUT Adj Read]]="N/A",IF(Table1[[#This Row],[Std Adj Read]]&lt;=Table1[[#This Row],[High Tol]],"Pass","Fail"),IF(Table1[[#This Row],[DUT Adj Read]]&lt;=Table1[[#This Row],[High Tol]],"Pass","Fail")))</f>
        <v>Fail</v>
      </c>
      <c r="AH22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5" s="1" t="b">
        <v>0</v>
      </c>
      <c r="AN2225" s="1" t="b">
        <v>0</v>
      </c>
      <c r="AO2225" s="1" t="b">
        <v>0</v>
      </c>
    </row>
    <row r="2226" spans="1:41" x14ac:dyDescent="0.25">
      <c r="A2226" s="10"/>
      <c r="B2226" s="10"/>
      <c r="C2226" s="10"/>
      <c r="D2226" s="10"/>
      <c r="E2226" s="10"/>
      <c r="F2226" s="10"/>
      <c r="G2226" s="10"/>
      <c r="H2226" s="10"/>
      <c r="I2226" s="1" t="str">
        <f t="shared" si="102"/>
        <v/>
      </c>
      <c r="J2226" s="1" t="s">
        <v>35</v>
      </c>
      <c r="K2226" s="1" t="str">
        <f t="shared" si="103"/>
        <v/>
      </c>
      <c r="L2226" s="1" t="str">
        <f t="shared" si="104"/>
        <v/>
      </c>
      <c r="M2226" s="1">
        <f>IF(OR(Table1[[#This Row],[Std Nom]]="",Table1[[#This Row],[Std Read]]=""),0,Table1[[#This Row],[Std Nom]]-Table1[[#This Row],[Std Read]])</f>
        <v>0</v>
      </c>
      <c r="N2226" s="1">
        <f>IF(Calculations!$F$5="ACCREDITED 17025 WITH UNCERTAINTIES",$N$10,0)</f>
        <v>0</v>
      </c>
      <c r="O2226" s="1" t="str">
        <f>IFERROR(Table1[[#This Row],[Std Nom]]-(_xlfn.XLOOKUP(Table1[[#This Row],[Manufacturer]]&amp;" "&amp;Table1[[#This Row],[Model]],Table13[MFR &amp; MDL],Table13[Tolerance % CW ],"")/100*Table1[[#This Row],[Std Nom]]),"")</f>
        <v/>
      </c>
      <c r="P2226" s="1" t="str">
        <f>IFERROR(Table1[[#This Row],[Std Nom]]+(_xlfn.XLOOKUP(Table1[[#This Row],[Manufacturer]]&amp;" "&amp;Table1[[#This Row],[Model]],Table13[MFR &amp; MDL],Table13[Tolerance % CW ],"")/100*Table1[[#This Row],[Std Nom]]),"")</f>
        <v/>
      </c>
      <c r="Q2226" s="1" t="e">
        <f>Table1[[#This Row],[High Tol]]-Table1[[#This Row],[Low Tol]]</f>
        <v>#VALUE!</v>
      </c>
      <c r="R2226" s="1">
        <f>2*Table1[[#This Row],[Std Error]]</f>
        <v>0</v>
      </c>
      <c r="S2226" s="1" t="str">
        <f>IF(Table1[[#This Row],[High Tol]]="","N/A",IFERROR(ABS(Table1[[#This Row],[Tol Span]]/Table1[[#This Row],[Error Span]]),"N/A"))</f>
        <v>N/A</v>
      </c>
      <c r="T2226" s="1" t="str">
        <f>IF(OR(Table1[[#This Row],[Low Tol]]="",Table1[[#This Row],[High Tol]]=""),"Needs Analysis",IF(Table1[[#This Row],[Ratio]]&gt;=4,"Not Significant",IF(Table1[[#This Row],[Ratio]]&gt;=2,"Semi-Significant","Significant")))</f>
        <v>Needs Analysis</v>
      </c>
      <c r="W2226" s="1">
        <f>IF(Table1[[#This Row],[Cal Type]]&lt;&gt;"ACCREDITED 17025 WITH UNCERTAINTIES",0,"")</f>
        <v>0</v>
      </c>
      <c r="X2226" s="1" t="str">
        <f>IF(Table1[[#This Row],[DUT Read]]="","N/A",Table1[[#This Row],[Std Error]]+Table1[[#This Row],[DUT Read]]+Table1[[#This Row],[DUT Ucty]])</f>
        <v>N/A</v>
      </c>
      <c r="Y2226" s="1" t="str">
        <f>IF(Table1[[#This Row],[Std Read]]="","N/A",Table1[[#This Row],[Std Read]]+Table1[[#This Row],[Std Ucty]])</f>
        <v>N/A</v>
      </c>
      <c r="Z22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6" s="1" t="str">
        <f>IF(Table1[[#This Row],[Spec Type]]="","N/A",Table1[[#This Row],[Spec Type]])</f>
        <v>±</v>
      </c>
      <c r="AC2226" s="1" t="str">
        <f>IF(Table1[[#This Row],[Spec Type2]]="N/A","N/A",IF(AND(Table1[[#This Row],[DUT Adj Read]]&gt;=Table1[[#This Row],[Low Tol]],Table1[[#This Row],[DUT Adj Read]]&lt;=Table1[[#This Row],[High Tol]]),"Pass","Fail"))</f>
        <v>Fail</v>
      </c>
      <c r="AD2226" s="1" t="str">
        <f>IF(AND(Table1[[#This Row],[Spec Type2]]="N/A",Table1[[#This Row],[DUT Adj Read]]="N/A",Table1[[#This Row],[Std Adj Read]]="N/A"),"N/A",IF(Table1[[#This Row],[DUT Adj Read]]="N/A",IF(Table1[[#This Row],[Std Adj Read]]&gt;Table1[[#This Row],[Low Tol]],"Pass","Fail"),IF(Table1[[#This Row],[DUT Adj Read]]&gt;Table1[[#This Row],[Low Tol]],"Pass","Fail")))</f>
        <v>Pass</v>
      </c>
      <c r="AE2226" s="1" t="str">
        <f>IF(AND(Table1[[#This Row],[Spec Type2]]="N/A",Table1[[#This Row],[DUT Adj Read]]="N/A",Table1[[#This Row],[Std Adj Read]]="N/A"),"N/A",IF(Table1[[#This Row],[DUT Adj Read]]="N/A",IF(Table1[[#This Row],[Std Adj Read]]&lt;Table1[[#This Row],[High Tol]],"Pass","Fail"),IF(Table1[[#This Row],[DUT Adj Read]]&lt;Table1[[#This Row],[High Tol]],"Pass","Fail")))</f>
        <v>Fail</v>
      </c>
      <c r="AF2226" s="1" t="str">
        <f>IF(AND(Table1[[#This Row],[Spec Type2]]="N/A",Table1[[#This Row],[DUT Adj Read]]="N/A",Table1[[#This Row],[Std Adj Read]]="N/A"),"N/A",IF(Table1[[#This Row],[DUT Adj Read]]="N/A",IF(Table1[[#This Row],[Std Adj Read]]&gt;=Table1[[#This Row],[Low Tol]],"Pass","Fail"),IF(Table1[[#This Row],[DUT Adj Read]]&gt;=Table1[[#This Row],[Low Tol]],"Pass","Fail")))</f>
        <v>Pass</v>
      </c>
      <c r="AG2226" s="1" t="str">
        <f>IF(AND(Table1[[#This Row],[Spec Type2]]="N/A",Table1[[#This Row],[DUT Adj Read]]="N/A",Table1[[#This Row],[Std Adj Read]]="N/A"),"N/A",IF(Table1[[#This Row],[DUT Adj Read]]="N/A",IF(Table1[[#This Row],[Std Adj Read]]&lt;=Table1[[#This Row],[High Tol]],"Pass","Fail"),IF(Table1[[#This Row],[DUT Adj Read]]&lt;=Table1[[#This Row],[High Tol]],"Pass","Fail")))</f>
        <v>Fail</v>
      </c>
      <c r="AH22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6" s="1" t="b">
        <v>0</v>
      </c>
      <c r="AN2226" s="1" t="b">
        <v>0</v>
      </c>
      <c r="AO2226" s="1" t="b">
        <v>0</v>
      </c>
    </row>
    <row r="2227" spans="1:41" x14ac:dyDescent="0.25">
      <c r="A2227" s="10"/>
      <c r="B2227" s="10"/>
      <c r="C2227" s="10"/>
      <c r="D2227" s="10"/>
      <c r="E2227" s="10"/>
      <c r="F2227" s="10"/>
      <c r="G2227" s="10"/>
      <c r="H2227" s="10"/>
      <c r="I2227" s="1" t="str">
        <f t="shared" si="102"/>
        <v/>
      </c>
      <c r="J2227" s="1" t="s">
        <v>35</v>
      </c>
      <c r="K2227" s="1" t="str">
        <f t="shared" si="103"/>
        <v/>
      </c>
      <c r="L2227" s="1" t="str">
        <f t="shared" si="104"/>
        <v/>
      </c>
      <c r="M2227" s="1">
        <f>IF(OR(Table1[[#This Row],[Std Nom]]="",Table1[[#This Row],[Std Read]]=""),0,Table1[[#This Row],[Std Nom]]-Table1[[#This Row],[Std Read]])</f>
        <v>0</v>
      </c>
      <c r="N2227" s="1">
        <f>IF(Calculations!$F$5="ACCREDITED 17025 WITH UNCERTAINTIES",$N$10,0)</f>
        <v>0</v>
      </c>
      <c r="O2227" s="1" t="str">
        <f>IFERROR(Table1[[#This Row],[Std Nom]]-(_xlfn.XLOOKUP(Table1[[#This Row],[Manufacturer]]&amp;" "&amp;Table1[[#This Row],[Model]],Table13[MFR &amp; MDL],Table13[Tolerance % CW ],"")/100*Table1[[#This Row],[Std Nom]]),"")</f>
        <v/>
      </c>
      <c r="P2227" s="1" t="str">
        <f>IFERROR(Table1[[#This Row],[Std Nom]]+(_xlfn.XLOOKUP(Table1[[#This Row],[Manufacturer]]&amp;" "&amp;Table1[[#This Row],[Model]],Table13[MFR &amp; MDL],Table13[Tolerance % CW ],"")/100*Table1[[#This Row],[Std Nom]]),"")</f>
        <v/>
      </c>
      <c r="Q2227" s="1" t="e">
        <f>Table1[[#This Row],[High Tol]]-Table1[[#This Row],[Low Tol]]</f>
        <v>#VALUE!</v>
      </c>
      <c r="R2227" s="1">
        <f>2*Table1[[#This Row],[Std Error]]</f>
        <v>0</v>
      </c>
      <c r="S2227" s="1" t="str">
        <f>IF(Table1[[#This Row],[High Tol]]="","N/A",IFERROR(ABS(Table1[[#This Row],[Tol Span]]/Table1[[#This Row],[Error Span]]),"N/A"))</f>
        <v>N/A</v>
      </c>
      <c r="T2227" s="1" t="str">
        <f>IF(OR(Table1[[#This Row],[Low Tol]]="",Table1[[#This Row],[High Tol]]=""),"Needs Analysis",IF(Table1[[#This Row],[Ratio]]&gt;=4,"Not Significant",IF(Table1[[#This Row],[Ratio]]&gt;=2,"Semi-Significant","Significant")))</f>
        <v>Needs Analysis</v>
      </c>
      <c r="W2227" s="1">
        <f>IF(Table1[[#This Row],[Cal Type]]&lt;&gt;"ACCREDITED 17025 WITH UNCERTAINTIES",0,"")</f>
        <v>0</v>
      </c>
      <c r="X2227" s="1" t="str">
        <f>IF(Table1[[#This Row],[DUT Read]]="","N/A",Table1[[#This Row],[Std Error]]+Table1[[#This Row],[DUT Read]]+Table1[[#This Row],[DUT Ucty]])</f>
        <v>N/A</v>
      </c>
      <c r="Y2227" s="1" t="str">
        <f>IF(Table1[[#This Row],[Std Read]]="","N/A",Table1[[#This Row],[Std Read]]+Table1[[#This Row],[Std Ucty]])</f>
        <v>N/A</v>
      </c>
      <c r="Z22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7" s="1" t="str">
        <f>IF(Table1[[#This Row],[Spec Type]]="","N/A",Table1[[#This Row],[Spec Type]])</f>
        <v>±</v>
      </c>
      <c r="AC2227" s="1" t="str">
        <f>IF(Table1[[#This Row],[Spec Type2]]="N/A","N/A",IF(AND(Table1[[#This Row],[DUT Adj Read]]&gt;=Table1[[#This Row],[Low Tol]],Table1[[#This Row],[DUT Adj Read]]&lt;=Table1[[#This Row],[High Tol]]),"Pass","Fail"))</f>
        <v>Fail</v>
      </c>
      <c r="AD2227" s="1" t="str">
        <f>IF(AND(Table1[[#This Row],[Spec Type2]]="N/A",Table1[[#This Row],[DUT Adj Read]]="N/A",Table1[[#This Row],[Std Adj Read]]="N/A"),"N/A",IF(Table1[[#This Row],[DUT Adj Read]]="N/A",IF(Table1[[#This Row],[Std Adj Read]]&gt;Table1[[#This Row],[Low Tol]],"Pass","Fail"),IF(Table1[[#This Row],[DUT Adj Read]]&gt;Table1[[#This Row],[Low Tol]],"Pass","Fail")))</f>
        <v>Pass</v>
      </c>
      <c r="AE2227" s="1" t="str">
        <f>IF(AND(Table1[[#This Row],[Spec Type2]]="N/A",Table1[[#This Row],[DUT Adj Read]]="N/A",Table1[[#This Row],[Std Adj Read]]="N/A"),"N/A",IF(Table1[[#This Row],[DUT Adj Read]]="N/A",IF(Table1[[#This Row],[Std Adj Read]]&lt;Table1[[#This Row],[High Tol]],"Pass","Fail"),IF(Table1[[#This Row],[DUT Adj Read]]&lt;Table1[[#This Row],[High Tol]],"Pass","Fail")))</f>
        <v>Fail</v>
      </c>
      <c r="AF2227" s="1" t="str">
        <f>IF(AND(Table1[[#This Row],[Spec Type2]]="N/A",Table1[[#This Row],[DUT Adj Read]]="N/A",Table1[[#This Row],[Std Adj Read]]="N/A"),"N/A",IF(Table1[[#This Row],[DUT Adj Read]]="N/A",IF(Table1[[#This Row],[Std Adj Read]]&gt;=Table1[[#This Row],[Low Tol]],"Pass","Fail"),IF(Table1[[#This Row],[DUT Adj Read]]&gt;=Table1[[#This Row],[Low Tol]],"Pass","Fail")))</f>
        <v>Pass</v>
      </c>
      <c r="AG2227" s="1" t="str">
        <f>IF(AND(Table1[[#This Row],[Spec Type2]]="N/A",Table1[[#This Row],[DUT Adj Read]]="N/A",Table1[[#This Row],[Std Adj Read]]="N/A"),"N/A",IF(Table1[[#This Row],[DUT Adj Read]]="N/A",IF(Table1[[#This Row],[Std Adj Read]]&lt;=Table1[[#This Row],[High Tol]],"Pass","Fail"),IF(Table1[[#This Row],[DUT Adj Read]]&lt;=Table1[[#This Row],[High Tol]],"Pass","Fail")))</f>
        <v>Fail</v>
      </c>
      <c r="AH22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7" s="1" t="b">
        <v>0</v>
      </c>
      <c r="AN2227" s="1" t="b">
        <v>0</v>
      </c>
      <c r="AO2227" s="1" t="b">
        <v>0</v>
      </c>
    </row>
    <row r="2228" spans="1:41" x14ac:dyDescent="0.25">
      <c r="A2228" s="10"/>
      <c r="B2228" s="10"/>
      <c r="C2228" s="10"/>
      <c r="D2228" s="10"/>
      <c r="E2228" s="10"/>
      <c r="F2228" s="10"/>
      <c r="G2228" s="10"/>
      <c r="H2228" s="10"/>
      <c r="I2228" s="1" t="str">
        <f t="shared" si="102"/>
        <v/>
      </c>
      <c r="J2228" s="1" t="s">
        <v>35</v>
      </c>
      <c r="K2228" s="1" t="str">
        <f t="shared" si="103"/>
        <v/>
      </c>
      <c r="L2228" s="1" t="str">
        <f t="shared" si="104"/>
        <v/>
      </c>
      <c r="M2228" s="1">
        <f>IF(OR(Table1[[#This Row],[Std Nom]]="",Table1[[#This Row],[Std Read]]=""),0,Table1[[#This Row],[Std Nom]]-Table1[[#This Row],[Std Read]])</f>
        <v>0</v>
      </c>
      <c r="N2228" s="1">
        <f>IF(Calculations!$F$5="ACCREDITED 17025 WITH UNCERTAINTIES",$N$10,0)</f>
        <v>0</v>
      </c>
      <c r="O2228" s="1" t="str">
        <f>IFERROR(Table1[[#This Row],[Std Nom]]-(_xlfn.XLOOKUP(Table1[[#This Row],[Manufacturer]]&amp;" "&amp;Table1[[#This Row],[Model]],Table13[MFR &amp; MDL],Table13[Tolerance % CW ],"")/100*Table1[[#This Row],[Std Nom]]),"")</f>
        <v/>
      </c>
      <c r="P2228" s="1" t="str">
        <f>IFERROR(Table1[[#This Row],[Std Nom]]+(_xlfn.XLOOKUP(Table1[[#This Row],[Manufacturer]]&amp;" "&amp;Table1[[#This Row],[Model]],Table13[MFR &amp; MDL],Table13[Tolerance % CW ],"")/100*Table1[[#This Row],[Std Nom]]),"")</f>
        <v/>
      </c>
      <c r="Q2228" s="1" t="e">
        <f>Table1[[#This Row],[High Tol]]-Table1[[#This Row],[Low Tol]]</f>
        <v>#VALUE!</v>
      </c>
      <c r="R2228" s="1">
        <f>2*Table1[[#This Row],[Std Error]]</f>
        <v>0</v>
      </c>
      <c r="S2228" s="1" t="str">
        <f>IF(Table1[[#This Row],[High Tol]]="","N/A",IFERROR(ABS(Table1[[#This Row],[Tol Span]]/Table1[[#This Row],[Error Span]]),"N/A"))</f>
        <v>N/A</v>
      </c>
      <c r="T2228" s="1" t="str">
        <f>IF(OR(Table1[[#This Row],[Low Tol]]="",Table1[[#This Row],[High Tol]]=""),"Needs Analysis",IF(Table1[[#This Row],[Ratio]]&gt;=4,"Not Significant",IF(Table1[[#This Row],[Ratio]]&gt;=2,"Semi-Significant","Significant")))</f>
        <v>Needs Analysis</v>
      </c>
      <c r="W2228" s="1">
        <f>IF(Table1[[#This Row],[Cal Type]]&lt;&gt;"ACCREDITED 17025 WITH UNCERTAINTIES",0,"")</f>
        <v>0</v>
      </c>
      <c r="X2228" s="1" t="str">
        <f>IF(Table1[[#This Row],[DUT Read]]="","N/A",Table1[[#This Row],[Std Error]]+Table1[[#This Row],[DUT Read]]+Table1[[#This Row],[DUT Ucty]])</f>
        <v>N/A</v>
      </c>
      <c r="Y2228" s="1" t="str">
        <f>IF(Table1[[#This Row],[Std Read]]="","N/A",Table1[[#This Row],[Std Read]]+Table1[[#This Row],[Std Ucty]])</f>
        <v>N/A</v>
      </c>
      <c r="Z22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8" s="1" t="str">
        <f>IF(Table1[[#This Row],[Spec Type]]="","N/A",Table1[[#This Row],[Spec Type]])</f>
        <v>±</v>
      </c>
      <c r="AC2228" s="1" t="str">
        <f>IF(Table1[[#This Row],[Spec Type2]]="N/A","N/A",IF(AND(Table1[[#This Row],[DUT Adj Read]]&gt;=Table1[[#This Row],[Low Tol]],Table1[[#This Row],[DUT Adj Read]]&lt;=Table1[[#This Row],[High Tol]]),"Pass","Fail"))</f>
        <v>Fail</v>
      </c>
      <c r="AD2228" s="1" t="str">
        <f>IF(AND(Table1[[#This Row],[Spec Type2]]="N/A",Table1[[#This Row],[DUT Adj Read]]="N/A",Table1[[#This Row],[Std Adj Read]]="N/A"),"N/A",IF(Table1[[#This Row],[DUT Adj Read]]="N/A",IF(Table1[[#This Row],[Std Adj Read]]&gt;Table1[[#This Row],[Low Tol]],"Pass","Fail"),IF(Table1[[#This Row],[DUT Adj Read]]&gt;Table1[[#This Row],[Low Tol]],"Pass","Fail")))</f>
        <v>Pass</v>
      </c>
      <c r="AE2228" s="1" t="str">
        <f>IF(AND(Table1[[#This Row],[Spec Type2]]="N/A",Table1[[#This Row],[DUT Adj Read]]="N/A",Table1[[#This Row],[Std Adj Read]]="N/A"),"N/A",IF(Table1[[#This Row],[DUT Adj Read]]="N/A",IF(Table1[[#This Row],[Std Adj Read]]&lt;Table1[[#This Row],[High Tol]],"Pass","Fail"),IF(Table1[[#This Row],[DUT Adj Read]]&lt;Table1[[#This Row],[High Tol]],"Pass","Fail")))</f>
        <v>Fail</v>
      </c>
      <c r="AF2228" s="1" t="str">
        <f>IF(AND(Table1[[#This Row],[Spec Type2]]="N/A",Table1[[#This Row],[DUT Adj Read]]="N/A",Table1[[#This Row],[Std Adj Read]]="N/A"),"N/A",IF(Table1[[#This Row],[DUT Adj Read]]="N/A",IF(Table1[[#This Row],[Std Adj Read]]&gt;=Table1[[#This Row],[Low Tol]],"Pass","Fail"),IF(Table1[[#This Row],[DUT Adj Read]]&gt;=Table1[[#This Row],[Low Tol]],"Pass","Fail")))</f>
        <v>Pass</v>
      </c>
      <c r="AG2228" s="1" t="str">
        <f>IF(AND(Table1[[#This Row],[Spec Type2]]="N/A",Table1[[#This Row],[DUT Adj Read]]="N/A",Table1[[#This Row],[Std Adj Read]]="N/A"),"N/A",IF(Table1[[#This Row],[DUT Adj Read]]="N/A",IF(Table1[[#This Row],[Std Adj Read]]&lt;=Table1[[#This Row],[High Tol]],"Pass","Fail"),IF(Table1[[#This Row],[DUT Adj Read]]&lt;=Table1[[#This Row],[High Tol]],"Pass","Fail")))</f>
        <v>Fail</v>
      </c>
      <c r="AH22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8" s="1" t="b">
        <v>0</v>
      </c>
      <c r="AN2228" s="1" t="b">
        <v>0</v>
      </c>
      <c r="AO2228" s="1" t="b">
        <v>0</v>
      </c>
    </row>
    <row r="2229" spans="1:41" x14ac:dyDescent="0.25">
      <c r="A2229" s="10"/>
      <c r="B2229" s="10"/>
      <c r="C2229" s="10"/>
      <c r="D2229" s="10"/>
      <c r="E2229" s="10"/>
      <c r="F2229" s="10"/>
      <c r="G2229" s="10"/>
      <c r="H2229" s="10"/>
      <c r="I2229" s="1" t="str">
        <f t="shared" si="102"/>
        <v/>
      </c>
      <c r="J2229" s="1" t="s">
        <v>35</v>
      </c>
      <c r="K2229" s="1" t="str">
        <f t="shared" si="103"/>
        <v/>
      </c>
      <c r="L2229" s="1" t="str">
        <f t="shared" si="104"/>
        <v/>
      </c>
      <c r="M2229" s="1">
        <f>IF(OR(Table1[[#This Row],[Std Nom]]="",Table1[[#This Row],[Std Read]]=""),0,Table1[[#This Row],[Std Nom]]-Table1[[#This Row],[Std Read]])</f>
        <v>0</v>
      </c>
      <c r="N2229" s="1">
        <f>IF(Calculations!$F$5="ACCREDITED 17025 WITH UNCERTAINTIES",$N$10,0)</f>
        <v>0</v>
      </c>
      <c r="O2229" s="1" t="str">
        <f>IFERROR(Table1[[#This Row],[Std Nom]]-(_xlfn.XLOOKUP(Table1[[#This Row],[Manufacturer]]&amp;" "&amp;Table1[[#This Row],[Model]],Table13[MFR &amp; MDL],Table13[Tolerance % CW ],"")/100*Table1[[#This Row],[Std Nom]]),"")</f>
        <v/>
      </c>
      <c r="P2229" s="1" t="str">
        <f>IFERROR(Table1[[#This Row],[Std Nom]]+(_xlfn.XLOOKUP(Table1[[#This Row],[Manufacturer]]&amp;" "&amp;Table1[[#This Row],[Model]],Table13[MFR &amp; MDL],Table13[Tolerance % CW ],"")/100*Table1[[#This Row],[Std Nom]]),"")</f>
        <v/>
      </c>
      <c r="Q2229" s="1" t="e">
        <f>Table1[[#This Row],[High Tol]]-Table1[[#This Row],[Low Tol]]</f>
        <v>#VALUE!</v>
      </c>
      <c r="R2229" s="1">
        <f>2*Table1[[#This Row],[Std Error]]</f>
        <v>0</v>
      </c>
      <c r="S2229" s="1" t="str">
        <f>IF(Table1[[#This Row],[High Tol]]="","N/A",IFERROR(ABS(Table1[[#This Row],[Tol Span]]/Table1[[#This Row],[Error Span]]),"N/A"))</f>
        <v>N/A</v>
      </c>
      <c r="T2229" s="1" t="str">
        <f>IF(OR(Table1[[#This Row],[Low Tol]]="",Table1[[#This Row],[High Tol]]=""),"Needs Analysis",IF(Table1[[#This Row],[Ratio]]&gt;=4,"Not Significant",IF(Table1[[#This Row],[Ratio]]&gt;=2,"Semi-Significant","Significant")))</f>
        <v>Needs Analysis</v>
      </c>
      <c r="W2229" s="1">
        <f>IF(Table1[[#This Row],[Cal Type]]&lt;&gt;"ACCREDITED 17025 WITH UNCERTAINTIES",0,"")</f>
        <v>0</v>
      </c>
      <c r="X2229" s="1" t="str">
        <f>IF(Table1[[#This Row],[DUT Read]]="","N/A",Table1[[#This Row],[Std Error]]+Table1[[#This Row],[DUT Read]]+Table1[[#This Row],[DUT Ucty]])</f>
        <v>N/A</v>
      </c>
      <c r="Y2229" s="1" t="str">
        <f>IF(Table1[[#This Row],[Std Read]]="","N/A",Table1[[#This Row],[Std Read]]+Table1[[#This Row],[Std Ucty]])</f>
        <v>N/A</v>
      </c>
      <c r="Z22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9" s="1" t="str">
        <f>IF(Table1[[#This Row],[Spec Type]]="","N/A",Table1[[#This Row],[Spec Type]])</f>
        <v>±</v>
      </c>
      <c r="AC2229" s="1" t="str">
        <f>IF(Table1[[#This Row],[Spec Type2]]="N/A","N/A",IF(AND(Table1[[#This Row],[DUT Adj Read]]&gt;=Table1[[#This Row],[Low Tol]],Table1[[#This Row],[DUT Adj Read]]&lt;=Table1[[#This Row],[High Tol]]),"Pass","Fail"))</f>
        <v>Fail</v>
      </c>
      <c r="AD2229" s="1" t="str">
        <f>IF(AND(Table1[[#This Row],[Spec Type2]]="N/A",Table1[[#This Row],[DUT Adj Read]]="N/A",Table1[[#This Row],[Std Adj Read]]="N/A"),"N/A",IF(Table1[[#This Row],[DUT Adj Read]]="N/A",IF(Table1[[#This Row],[Std Adj Read]]&gt;Table1[[#This Row],[Low Tol]],"Pass","Fail"),IF(Table1[[#This Row],[DUT Adj Read]]&gt;Table1[[#This Row],[Low Tol]],"Pass","Fail")))</f>
        <v>Pass</v>
      </c>
      <c r="AE2229" s="1" t="str">
        <f>IF(AND(Table1[[#This Row],[Spec Type2]]="N/A",Table1[[#This Row],[DUT Adj Read]]="N/A",Table1[[#This Row],[Std Adj Read]]="N/A"),"N/A",IF(Table1[[#This Row],[DUT Adj Read]]="N/A",IF(Table1[[#This Row],[Std Adj Read]]&lt;Table1[[#This Row],[High Tol]],"Pass","Fail"),IF(Table1[[#This Row],[DUT Adj Read]]&lt;Table1[[#This Row],[High Tol]],"Pass","Fail")))</f>
        <v>Fail</v>
      </c>
      <c r="AF2229" s="1" t="str">
        <f>IF(AND(Table1[[#This Row],[Spec Type2]]="N/A",Table1[[#This Row],[DUT Adj Read]]="N/A",Table1[[#This Row],[Std Adj Read]]="N/A"),"N/A",IF(Table1[[#This Row],[DUT Adj Read]]="N/A",IF(Table1[[#This Row],[Std Adj Read]]&gt;=Table1[[#This Row],[Low Tol]],"Pass","Fail"),IF(Table1[[#This Row],[DUT Adj Read]]&gt;=Table1[[#This Row],[Low Tol]],"Pass","Fail")))</f>
        <v>Pass</v>
      </c>
      <c r="AG2229" s="1" t="str">
        <f>IF(AND(Table1[[#This Row],[Spec Type2]]="N/A",Table1[[#This Row],[DUT Adj Read]]="N/A",Table1[[#This Row],[Std Adj Read]]="N/A"),"N/A",IF(Table1[[#This Row],[DUT Adj Read]]="N/A",IF(Table1[[#This Row],[Std Adj Read]]&lt;=Table1[[#This Row],[High Tol]],"Pass","Fail"),IF(Table1[[#This Row],[DUT Adj Read]]&lt;=Table1[[#This Row],[High Tol]],"Pass","Fail")))</f>
        <v>Fail</v>
      </c>
      <c r="AH22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9" s="1" t="b">
        <v>0</v>
      </c>
      <c r="AN2229" s="1" t="b">
        <v>0</v>
      </c>
      <c r="AO2229" s="1" t="b">
        <v>0</v>
      </c>
    </row>
    <row r="2230" spans="1:41" x14ac:dyDescent="0.25">
      <c r="A2230" s="10"/>
      <c r="B2230" s="10"/>
      <c r="C2230" s="10"/>
      <c r="D2230" s="10"/>
      <c r="E2230" s="10"/>
      <c r="F2230" s="10"/>
      <c r="G2230" s="10"/>
      <c r="H2230" s="10"/>
      <c r="I2230" s="1" t="str">
        <f t="shared" si="102"/>
        <v/>
      </c>
      <c r="J2230" s="1" t="s">
        <v>35</v>
      </c>
      <c r="K2230" s="1" t="str">
        <f t="shared" si="103"/>
        <v/>
      </c>
      <c r="L2230" s="1" t="str">
        <f t="shared" si="104"/>
        <v/>
      </c>
      <c r="M2230" s="1">
        <f>IF(OR(Table1[[#This Row],[Std Nom]]="",Table1[[#This Row],[Std Read]]=""),0,Table1[[#This Row],[Std Nom]]-Table1[[#This Row],[Std Read]])</f>
        <v>0</v>
      </c>
      <c r="N2230" s="1">
        <f>IF(Calculations!$F$5="ACCREDITED 17025 WITH UNCERTAINTIES",$N$10,0)</f>
        <v>0</v>
      </c>
      <c r="O2230" s="1" t="str">
        <f>IFERROR(Table1[[#This Row],[Std Nom]]-(_xlfn.XLOOKUP(Table1[[#This Row],[Manufacturer]]&amp;" "&amp;Table1[[#This Row],[Model]],Table13[MFR &amp; MDL],Table13[Tolerance % CW ],"")/100*Table1[[#This Row],[Std Nom]]),"")</f>
        <v/>
      </c>
      <c r="P2230" s="1" t="str">
        <f>IFERROR(Table1[[#This Row],[Std Nom]]+(_xlfn.XLOOKUP(Table1[[#This Row],[Manufacturer]]&amp;" "&amp;Table1[[#This Row],[Model]],Table13[MFR &amp; MDL],Table13[Tolerance % CW ],"")/100*Table1[[#This Row],[Std Nom]]),"")</f>
        <v/>
      </c>
      <c r="Q2230" s="1" t="e">
        <f>Table1[[#This Row],[High Tol]]-Table1[[#This Row],[Low Tol]]</f>
        <v>#VALUE!</v>
      </c>
      <c r="R2230" s="1">
        <f>2*Table1[[#This Row],[Std Error]]</f>
        <v>0</v>
      </c>
      <c r="S2230" s="1" t="str">
        <f>IF(Table1[[#This Row],[High Tol]]="","N/A",IFERROR(ABS(Table1[[#This Row],[Tol Span]]/Table1[[#This Row],[Error Span]]),"N/A"))</f>
        <v>N/A</v>
      </c>
      <c r="T2230" s="1" t="str">
        <f>IF(OR(Table1[[#This Row],[Low Tol]]="",Table1[[#This Row],[High Tol]]=""),"Needs Analysis",IF(Table1[[#This Row],[Ratio]]&gt;=4,"Not Significant",IF(Table1[[#This Row],[Ratio]]&gt;=2,"Semi-Significant","Significant")))</f>
        <v>Needs Analysis</v>
      </c>
      <c r="W2230" s="1">
        <f>IF(Table1[[#This Row],[Cal Type]]&lt;&gt;"ACCREDITED 17025 WITH UNCERTAINTIES",0,"")</f>
        <v>0</v>
      </c>
      <c r="X2230" s="1" t="str">
        <f>IF(Table1[[#This Row],[DUT Read]]="","N/A",Table1[[#This Row],[Std Error]]+Table1[[#This Row],[DUT Read]]+Table1[[#This Row],[DUT Ucty]])</f>
        <v>N/A</v>
      </c>
      <c r="Y2230" s="1" t="str">
        <f>IF(Table1[[#This Row],[Std Read]]="","N/A",Table1[[#This Row],[Std Read]]+Table1[[#This Row],[Std Ucty]])</f>
        <v>N/A</v>
      </c>
      <c r="Z22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0" s="1" t="str">
        <f>IF(Table1[[#This Row],[Spec Type]]="","N/A",Table1[[#This Row],[Spec Type]])</f>
        <v>±</v>
      </c>
      <c r="AC2230" s="1" t="str">
        <f>IF(Table1[[#This Row],[Spec Type2]]="N/A","N/A",IF(AND(Table1[[#This Row],[DUT Adj Read]]&gt;=Table1[[#This Row],[Low Tol]],Table1[[#This Row],[DUT Adj Read]]&lt;=Table1[[#This Row],[High Tol]]),"Pass","Fail"))</f>
        <v>Fail</v>
      </c>
      <c r="AD2230" s="1" t="str">
        <f>IF(AND(Table1[[#This Row],[Spec Type2]]="N/A",Table1[[#This Row],[DUT Adj Read]]="N/A",Table1[[#This Row],[Std Adj Read]]="N/A"),"N/A",IF(Table1[[#This Row],[DUT Adj Read]]="N/A",IF(Table1[[#This Row],[Std Adj Read]]&gt;Table1[[#This Row],[Low Tol]],"Pass","Fail"),IF(Table1[[#This Row],[DUT Adj Read]]&gt;Table1[[#This Row],[Low Tol]],"Pass","Fail")))</f>
        <v>Pass</v>
      </c>
      <c r="AE2230" s="1" t="str">
        <f>IF(AND(Table1[[#This Row],[Spec Type2]]="N/A",Table1[[#This Row],[DUT Adj Read]]="N/A",Table1[[#This Row],[Std Adj Read]]="N/A"),"N/A",IF(Table1[[#This Row],[DUT Adj Read]]="N/A",IF(Table1[[#This Row],[Std Adj Read]]&lt;Table1[[#This Row],[High Tol]],"Pass","Fail"),IF(Table1[[#This Row],[DUT Adj Read]]&lt;Table1[[#This Row],[High Tol]],"Pass","Fail")))</f>
        <v>Fail</v>
      </c>
      <c r="AF2230" s="1" t="str">
        <f>IF(AND(Table1[[#This Row],[Spec Type2]]="N/A",Table1[[#This Row],[DUT Adj Read]]="N/A",Table1[[#This Row],[Std Adj Read]]="N/A"),"N/A",IF(Table1[[#This Row],[DUT Adj Read]]="N/A",IF(Table1[[#This Row],[Std Adj Read]]&gt;=Table1[[#This Row],[Low Tol]],"Pass","Fail"),IF(Table1[[#This Row],[DUT Adj Read]]&gt;=Table1[[#This Row],[Low Tol]],"Pass","Fail")))</f>
        <v>Pass</v>
      </c>
      <c r="AG2230" s="1" t="str">
        <f>IF(AND(Table1[[#This Row],[Spec Type2]]="N/A",Table1[[#This Row],[DUT Adj Read]]="N/A",Table1[[#This Row],[Std Adj Read]]="N/A"),"N/A",IF(Table1[[#This Row],[DUT Adj Read]]="N/A",IF(Table1[[#This Row],[Std Adj Read]]&lt;=Table1[[#This Row],[High Tol]],"Pass","Fail"),IF(Table1[[#This Row],[DUT Adj Read]]&lt;=Table1[[#This Row],[High Tol]],"Pass","Fail")))</f>
        <v>Fail</v>
      </c>
      <c r="AH22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0" s="1" t="b">
        <v>0</v>
      </c>
      <c r="AN2230" s="1" t="b">
        <v>0</v>
      </c>
      <c r="AO2230" s="1" t="b">
        <v>0</v>
      </c>
    </row>
    <row r="2231" spans="1:41" x14ac:dyDescent="0.25">
      <c r="A2231" s="10"/>
      <c r="B2231" s="10"/>
      <c r="C2231" s="10"/>
      <c r="D2231" s="10"/>
      <c r="E2231" s="10"/>
      <c r="F2231" s="10"/>
      <c r="G2231" s="10"/>
      <c r="H2231" s="10"/>
      <c r="I2231" s="1" t="str">
        <f t="shared" si="102"/>
        <v/>
      </c>
      <c r="J2231" s="1" t="s">
        <v>35</v>
      </c>
      <c r="K2231" s="1" t="str">
        <f t="shared" si="103"/>
        <v/>
      </c>
      <c r="L2231" s="1" t="str">
        <f t="shared" si="104"/>
        <v/>
      </c>
      <c r="M2231" s="1">
        <f>IF(OR(Table1[[#This Row],[Std Nom]]="",Table1[[#This Row],[Std Read]]=""),0,Table1[[#This Row],[Std Nom]]-Table1[[#This Row],[Std Read]])</f>
        <v>0</v>
      </c>
      <c r="N2231" s="1">
        <f>IF(Calculations!$F$5="ACCREDITED 17025 WITH UNCERTAINTIES",$N$10,0)</f>
        <v>0</v>
      </c>
      <c r="O2231" s="1" t="str">
        <f>IFERROR(Table1[[#This Row],[Std Nom]]-(_xlfn.XLOOKUP(Table1[[#This Row],[Manufacturer]]&amp;" "&amp;Table1[[#This Row],[Model]],Table13[MFR &amp; MDL],Table13[Tolerance % CW ],"")/100*Table1[[#This Row],[Std Nom]]),"")</f>
        <v/>
      </c>
      <c r="P2231" s="1" t="str">
        <f>IFERROR(Table1[[#This Row],[Std Nom]]+(_xlfn.XLOOKUP(Table1[[#This Row],[Manufacturer]]&amp;" "&amp;Table1[[#This Row],[Model]],Table13[MFR &amp; MDL],Table13[Tolerance % CW ],"")/100*Table1[[#This Row],[Std Nom]]),"")</f>
        <v/>
      </c>
      <c r="Q2231" s="1" t="e">
        <f>Table1[[#This Row],[High Tol]]-Table1[[#This Row],[Low Tol]]</f>
        <v>#VALUE!</v>
      </c>
      <c r="R2231" s="1">
        <f>2*Table1[[#This Row],[Std Error]]</f>
        <v>0</v>
      </c>
      <c r="S2231" s="1" t="str">
        <f>IF(Table1[[#This Row],[High Tol]]="","N/A",IFERROR(ABS(Table1[[#This Row],[Tol Span]]/Table1[[#This Row],[Error Span]]),"N/A"))</f>
        <v>N/A</v>
      </c>
      <c r="T2231" s="1" t="str">
        <f>IF(OR(Table1[[#This Row],[Low Tol]]="",Table1[[#This Row],[High Tol]]=""),"Needs Analysis",IF(Table1[[#This Row],[Ratio]]&gt;=4,"Not Significant",IF(Table1[[#This Row],[Ratio]]&gt;=2,"Semi-Significant","Significant")))</f>
        <v>Needs Analysis</v>
      </c>
      <c r="W2231" s="1">
        <f>IF(Table1[[#This Row],[Cal Type]]&lt;&gt;"ACCREDITED 17025 WITH UNCERTAINTIES",0,"")</f>
        <v>0</v>
      </c>
      <c r="X2231" s="1" t="str">
        <f>IF(Table1[[#This Row],[DUT Read]]="","N/A",Table1[[#This Row],[Std Error]]+Table1[[#This Row],[DUT Read]]+Table1[[#This Row],[DUT Ucty]])</f>
        <v>N/A</v>
      </c>
      <c r="Y2231" s="1" t="str">
        <f>IF(Table1[[#This Row],[Std Read]]="","N/A",Table1[[#This Row],[Std Read]]+Table1[[#This Row],[Std Ucty]])</f>
        <v>N/A</v>
      </c>
      <c r="Z22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1" s="1" t="str">
        <f>IF(Table1[[#This Row],[Spec Type]]="","N/A",Table1[[#This Row],[Spec Type]])</f>
        <v>±</v>
      </c>
      <c r="AC2231" s="1" t="str">
        <f>IF(Table1[[#This Row],[Spec Type2]]="N/A","N/A",IF(AND(Table1[[#This Row],[DUT Adj Read]]&gt;=Table1[[#This Row],[Low Tol]],Table1[[#This Row],[DUT Adj Read]]&lt;=Table1[[#This Row],[High Tol]]),"Pass","Fail"))</f>
        <v>Fail</v>
      </c>
      <c r="AD2231" s="1" t="str">
        <f>IF(AND(Table1[[#This Row],[Spec Type2]]="N/A",Table1[[#This Row],[DUT Adj Read]]="N/A",Table1[[#This Row],[Std Adj Read]]="N/A"),"N/A",IF(Table1[[#This Row],[DUT Adj Read]]="N/A",IF(Table1[[#This Row],[Std Adj Read]]&gt;Table1[[#This Row],[Low Tol]],"Pass","Fail"),IF(Table1[[#This Row],[DUT Adj Read]]&gt;Table1[[#This Row],[Low Tol]],"Pass","Fail")))</f>
        <v>Pass</v>
      </c>
      <c r="AE2231" s="1" t="str">
        <f>IF(AND(Table1[[#This Row],[Spec Type2]]="N/A",Table1[[#This Row],[DUT Adj Read]]="N/A",Table1[[#This Row],[Std Adj Read]]="N/A"),"N/A",IF(Table1[[#This Row],[DUT Adj Read]]="N/A",IF(Table1[[#This Row],[Std Adj Read]]&lt;Table1[[#This Row],[High Tol]],"Pass","Fail"),IF(Table1[[#This Row],[DUT Adj Read]]&lt;Table1[[#This Row],[High Tol]],"Pass","Fail")))</f>
        <v>Fail</v>
      </c>
      <c r="AF2231" s="1" t="str">
        <f>IF(AND(Table1[[#This Row],[Spec Type2]]="N/A",Table1[[#This Row],[DUT Adj Read]]="N/A",Table1[[#This Row],[Std Adj Read]]="N/A"),"N/A",IF(Table1[[#This Row],[DUT Adj Read]]="N/A",IF(Table1[[#This Row],[Std Adj Read]]&gt;=Table1[[#This Row],[Low Tol]],"Pass","Fail"),IF(Table1[[#This Row],[DUT Adj Read]]&gt;=Table1[[#This Row],[Low Tol]],"Pass","Fail")))</f>
        <v>Pass</v>
      </c>
      <c r="AG2231" s="1" t="str">
        <f>IF(AND(Table1[[#This Row],[Spec Type2]]="N/A",Table1[[#This Row],[DUT Adj Read]]="N/A",Table1[[#This Row],[Std Adj Read]]="N/A"),"N/A",IF(Table1[[#This Row],[DUT Adj Read]]="N/A",IF(Table1[[#This Row],[Std Adj Read]]&lt;=Table1[[#This Row],[High Tol]],"Pass","Fail"),IF(Table1[[#This Row],[DUT Adj Read]]&lt;=Table1[[#This Row],[High Tol]],"Pass","Fail")))</f>
        <v>Fail</v>
      </c>
      <c r="AH22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1" s="1" t="b">
        <v>0</v>
      </c>
      <c r="AN2231" s="1" t="b">
        <v>0</v>
      </c>
      <c r="AO2231" s="1" t="b">
        <v>0</v>
      </c>
    </row>
    <row r="2232" spans="1:41" x14ac:dyDescent="0.25">
      <c r="A2232" s="10"/>
      <c r="B2232" s="10"/>
      <c r="C2232" s="10"/>
      <c r="D2232" s="10"/>
      <c r="E2232" s="10"/>
      <c r="F2232" s="10"/>
      <c r="G2232" s="10"/>
      <c r="H2232" s="10"/>
      <c r="I2232" s="1" t="str">
        <f t="shared" si="102"/>
        <v/>
      </c>
      <c r="J2232" s="1" t="s">
        <v>35</v>
      </c>
      <c r="K2232" s="1" t="str">
        <f t="shared" si="103"/>
        <v/>
      </c>
      <c r="L2232" s="1" t="str">
        <f t="shared" si="104"/>
        <v/>
      </c>
      <c r="M2232" s="1">
        <f>IF(OR(Table1[[#This Row],[Std Nom]]="",Table1[[#This Row],[Std Read]]=""),0,Table1[[#This Row],[Std Nom]]-Table1[[#This Row],[Std Read]])</f>
        <v>0</v>
      </c>
      <c r="N2232" s="1">
        <f>IF(Calculations!$F$5="ACCREDITED 17025 WITH UNCERTAINTIES",$N$10,0)</f>
        <v>0</v>
      </c>
      <c r="O2232" s="1" t="str">
        <f>IFERROR(Table1[[#This Row],[Std Nom]]-(_xlfn.XLOOKUP(Table1[[#This Row],[Manufacturer]]&amp;" "&amp;Table1[[#This Row],[Model]],Table13[MFR &amp; MDL],Table13[Tolerance % CW ],"")/100*Table1[[#This Row],[Std Nom]]),"")</f>
        <v/>
      </c>
      <c r="P2232" s="1" t="str">
        <f>IFERROR(Table1[[#This Row],[Std Nom]]+(_xlfn.XLOOKUP(Table1[[#This Row],[Manufacturer]]&amp;" "&amp;Table1[[#This Row],[Model]],Table13[MFR &amp; MDL],Table13[Tolerance % CW ],"")/100*Table1[[#This Row],[Std Nom]]),"")</f>
        <v/>
      </c>
      <c r="Q2232" s="1" t="e">
        <f>Table1[[#This Row],[High Tol]]-Table1[[#This Row],[Low Tol]]</f>
        <v>#VALUE!</v>
      </c>
      <c r="R2232" s="1">
        <f>2*Table1[[#This Row],[Std Error]]</f>
        <v>0</v>
      </c>
      <c r="S2232" s="1" t="str">
        <f>IF(Table1[[#This Row],[High Tol]]="","N/A",IFERROR(ABS(Table1[[#This Row],[Tol Span]]/Table1[[#This Row],[Error Span]]),"N/A"))</f>
        <v>N/A</v>
      </c>
      <c r="T2232" s="1" t="str">
        <f>IF(OR(Table1[[#This Row],[Low Tol]]="",Table1[[#This Row],[High Tol]]=""),"Needs Analysis",IF(Table1[[#This Row],[Ratio]]&gt;=4,"Not Significant",IF(Table1[[#This Row],[Ratio]]&gt;=2,"Semi-Significant","Significant")))</f>
        <v>Needs Analysis</v>
      </c>
      <c r="W2232" s="1">
        <f>IF(Table1[[#This Row],[Cal Type]]&lt;&gt;"ACCREDITED 17025 WITH UNCERTAINTIES",0,"")</f>
        <v>0</v>
      </c>
      <c r="X2232" s="1" t="str">
        <f>IF(Table1[[#This Row],[DUT Read]]="","N/A",Table1[[#This Row],[Std Error]]+Table1[[#This Row],[DUT Read]]+Table1[[#This Row],[DUT Ucty]])</f>
        <v>N/A</v>
      </c>
      <c r="Y2232" s="1" t="str">
        <f>IF(Table1[[#This Row],[Std Read]]="","N/A",Table1[[#This Row],[Std Read]]+Table1[[#This Row],[Std Ucty]])</f>
        <v>N/A</v>
      </c>
      <c r="Z22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2" s="1" t="str">
        <f>IF(Table1[[#This Row],[Spec Type]]="","N/A",Table1[[#This Row],[Spec Type]])</f>
        <v>±</v>
      </c>
      <c r="AC2232" s="1" t="str">
        <f>IF(Table1[[#This Row],[Spec Type2]]="N/A","N/A",IF(AND(Table1[[#This Row],[DUT Adj Read]]&gt;=Table1[[#This Row],[Low Tol]],Table1[[#This Row],[DUT Adj Read]]&lt;=Table1[[#This Row],[High Tol]]),"Pass","Fail"))</f>
        <v>Fail</v>
      </c>
      <c r="AD2232" s="1" t="str">
        <f>IF(AND(Table1[[#This Row],[Spec Type2]]="N/A",Table1[[#This Row],[DUT Adj Read]]="N/A",Table1[[#This Row],[Std Adj Read]]="N/A"),"N/A",IF(Table1[[#This Row],[DUT Adj Read]]="N/A",IF(Table1[[#This Row],[Std Adj Read]]&gt;Table1[[#This Row],[Low Tol]],"Pass","Fail"),IF(Table1[[#This Row],[DUT Adj Read]]&gt;Table1[[#This Row],[Low Tol]],"Pass","Fail")))</f>
        <v>Pass</v>
      </c>
      <c r="AE2232" s="1" t="str">
        <f>IF(AND(Table1[[#This Row],[Spec Type2]]="N/A",Table1[[#This Row],[DUT Adj Read]]="N/A",Table1[[#This Row],[Std Adj Read]]="N/A"),"N/A",IF(Table1[[#This Row],[DUT Adj Read]]="N/A",IF(Table1[[#This Row],[Std Adj Read]]&lt;Table1[[#This Row],[High Tol]],"Pass","Fail"),IF(Table1[[#This Row],[DUT Adj Read]]&lt;Table1[[#This Row],[High Tol]],"Pass","Fail")))</f>
        <v>Fail</v>
      </c>
      <c r="AF2232" s="1" t="str">
        <f>IF(AND(Table1[[#This Row],[Spec Type2]]="N/A",Table1[[#This Row],[DUT Adj Read]]="N/A",Table1[[#This Row],[Std Adj Read]]="N/A"),"N/A",IF(Table1[[#This Row],[DUT Adj Read]]="N/A",IF(Table1[[#This Row],[Std Adj Read]]&gt;=Table1[[#This Row],[Low Tol]],"Pass","Fail"),IF(Table1[[#This Row],[DUT Adj Read]]&gt;=Table1[[#This Row],[Low Tol]],"Pass","Fail")))</f>
        <v>Pass</v>
      </c>
      <c r="AG2232" s="1" t="str">
        <f>IF(AND(Table1[[#This Row],[Spec Type2]]="N/A",Table1[[#This Row],[DUT Adj Read]]="N/A",Table1[[#This Row],[Std Adj Read]]="N/A"),"N/A",IF(Table1[[#This Row],[DUT Adj Read]]="N/A",IF(Table1[[#This Row],[Std Adj Read]]&lt;=Table1[[#This Row],[High Tol]],"Pass","Fail"),IF(Table1[[#This Row],[DUT Adj Read]]&lt;=Table1[[#This Row],[High Tol]],"Pass","Fail")))</f>
        <v>Fail</v>
      </c>
      <c r="AH22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2" s="1" t="b">
        <v>0</v>
      </c>
      <c r="AN2232" s="1" t="b">
        <v>0</v>
      </c>
      <c r="AO2232" s="1" t="b">
        <v>0</v>
      </c>
    </row>
    <row r="2233" spans="1:41" x14ac:dyDescent="0.25">
      <c r="A2233" s="10"/>
      <c r="B2233" s="10"/>
      <c r="C2233" s="10"/>
      <c r="D2233" s="10"/>
      <c r="E2233" s="10"/>
      <c r="F2233" s="10"/>
      <c r="G2233" s="10"/>
      <c r="H2233" s="10"/>
      <c r="I2233" s="1" t="str">
        <f t="shared" si="102"/>
        <v/>
      </c>
      <c r="J2233" s="1" t="s">
        <v>35</v>
      </c>
      <c r="K2233" s="1" t="str">
        <f t="shared" si="103"/>
        <v/>
      </c>
      <c r="L2233" s="1" t="str">
        <f t="shared" si="104"/>
        <v/>
      </c>
      <c r="M2233" s="1">
        <f>IF(OR(Table1[[#This Row],[Std Nom]]="",Table1[[#This Row],[Std Read]]=""),0,Table1[[#This Row],[Std Nom]]-Table1[[#This Row],[Std Read]])</f>
        <v>0</v>
      </c>
      <c r="N2233" s="1">
        <f>IF(Calculations!$F$5="ACCREDITED 17025 WITH UNCERTAINTIES",$N$10,0)</f>
        <v>0</v>
      </c>
      <c r="O2233" s="1" t="str">
        <f>IFERROR(Table1[[#This Row],[Std Nom]]-(_xlfn.XLOOKUP(Table1[[#This Row],[Manufacturer]]&amp;" "&amp;Table1[[#This Row],[Model]],Table13[MFR &amp; MDL],Table13[Tolerance % CW ],"")/100*Table1[[#This Row],[Std Nom]]),"")</f>
        <v/>
      </c>
      <c r="P2233" s="1" t="str">
        <f>IFERROR(Table1[[#This Row],[Std Nom]]+(_xlfn.XLOOKUP(Table1[[#This Row],[Manufacturer]]&amp;" "&amp;Table1[[#This Row],[Model]],Table13[MFR &amp; MDL],Table13[Tolerance % CW ],"")/100*Table1[[#This Row],[Std Nom]]),"")</f>
        <v/>
      </c>
      <c r="Q2233" s="1" t="e">
        <f>Table1[[#This Row],[High Tol]]-Table1[[#This Row],[Low Tol]]</f>
        <v>#VALUE!</v>
      </c>
      <c r="R2233" s="1">
        <f>2*Table1[[#This Row],[Std Error]]</f>
        <v>0</v>
      </c>
      <c r="S2233" s="1" t="str">
        <f>IF(Table1[[#This Row],[High Tol]]="","N/A",IFERROR(ABS(Table1[[#This Row],[Tol Span]]/Table1[[#This Row],[Error Span]]),"N/A"))</f>
        <v>N/A</v>
      </c>
      <c r="T2233" s="1" t="str">
        <f>IF(OR(Table1[[#This Row],[Low Tol]]="",Table1[[#This Row],[High Tol]]=""),"Needs Analysis",IF(Table1[[#This Row],[Ratio]]&gt;=4,"Not Significant",IF(Table1[[#This Row],[Ratio]]&gt;=2,"Semi-Significant","Significant")))</f>
        <v>Needs Analysis</v>
      </c>
      <c r="W2233" s="1">
        <f>IF(Table1[[#This Row],[Cal Type]]&lt;&gt;"ACCREDITED 17025 WITH UNCERTAINTIES",0,"")</f>
        <v>0</v>
      </c>
      <c r="X2233" s="1" t="str">
        <f>IF(Table1[[#This Row],[DUT Read]]="","N/A",Table1[[#This Row],[Std Error]]+Table1[[#This Row],[DUT Read]]+Table1[[#This Row],[DUT Ucty]])</f>
        <v>N/A</v>
      </c>
      <c r="Y2233" s="1" t="str">
        <f>IF(Table1[[#This Row],[Std Read]]="","N/A",Table1[[#This Row],[Std Read]]+Table1[[#This Row],[Std Ucty]])</f>
        <v>N/A</v>
      </c>
      <c r="Z22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3" s="1" t="str">
        <f>IF(Table1[[#This Row],[Spec Type]]="","N/A",Table1[[#This Row],[Spec Type]])</f>
        <v>±</v>
      </c>
      <c r="AC2233" s="1" t="str">
        <f>IF(Table1[[#This Row],[Spec Type2]]="N/A","N/A",IF(AND(Table1[[#This Row],[DUT Adj Read]]&gt;=Table1[[#This Row],[Low Tol]],Table1[[#This Row],[DUT Adj Read]]&lt;=Table1[[#This Row],[High Tol]]),"Pass","Fail"))</f>
        <v>Fail</v>
      </c>
      <c r="AD2233" s="1" t="str">
        <f>IF(AND(Table1[[#This Row],[Spec Type2]]="N/A",Table1[[#This Row],[DUT Adj Read]]="N/A",Table1[[#This Row],[Std Adj Read]]="N/A"),"N/A",IF(Table1[[#This Row],[DUT Adj Read]]="N/A",IF(Table1[[#This Row],[Std Adj Read]]&gt;Table1[[#This Row],[Low Tol]],"Pass","Fail"),IF(Table1[[#This Row],[DUT Adj Read]]&gt;Table1[[#This Row],[Low Tol]],"Pass","Fail")))</f>
        <v>Pass</v>
      </c>
      <c r="AE2233" s="1" t="str">
        <f>IF(AND(Table1[[#This Row],[Spec Type2]]="N/A",Table1[[#This Row],[DUT Adj Read]]="N/A",Table1[[#This Row],[Std Adj Read]]="N/A"),"N/A",IF(Table1[[#This Row],[DUT Adj Read]]="N/A",IF(Table1[[#This Row],[Std Adj Read]]&lt;Table1[[#This Row],[High Tol]],"Pass","Fail"),IF(Table1[[#This Row],[DUT Adj Read]]&lt;Table1[[#This Row],[High Tol]],"Pass","Fail")))</f>
        <v>Fail</v>
      </c>
      <c r="AF2233" s="1" t="str">
        <f>IF(AND(Table1[[#This Row],[Spec Type2]]="N/A",Table1[[#This Row],[DUT Adj Read]]="N/A",Table1[[#This Row],[Std Adj Read]]="N/A"),"N/A",IF(Table1[[#This Row],[DUT Adj Read]]="N/A",IF(Table1[[#This Row],[Std Adj Read]]&gt;=Table1[[#This Row],[Low Tol]],"Pass","Fail"),IF(Table1[[#This Row],[DUT Adj Read]]&gt;=Table1[[#This Row],[Low Tol]],"Pass","Fail")))</f>
        <v>Pass</v>
      </c>
      <c r="AG2233" s="1" t="str">
        <f>IF(AND(Table1[[#This Row],[Spec Type2]]="N/A",Table1[[#This Row],[DUT Adj Read]]="N/A",Table1[[#This Row],[Std Adj Read]]="N/A"),"N/A",IF(Table1[[#This Row],[DUT Adj Read]]="N/A",IF(Table1[[#This Row],[Std Adj Read]]&lt;=Table1[[#This Row],[High Tol]],"Pass","Fail"),IF(Table1[[#This Row],[DUT Adj Read]]&lt;=Table1[[#This Row],[High Tol]],"Pass","Fail")))</f>
        <v>Fail</v>
      </c>
      <c r="AH22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3" s="1" t="b">
        <v>0</v>
      </c>
      <c r="AN2233" s="1" t="b">
        <v>0</v>
      </c>
      <c r="AO2233" s="1" t="b">
        <v>0</v>
      </c>
    </row>
    <row r="2234" spans="1:41" x14ac:dyDescent="0.25">
      <c r="A2234" s="10"/>
      <c r="B2234" s="10"/>
      <c r="C2234" s="10"/>
      <c r="D2234" s="10"/>
      <c r="E2234" s="10"/>
      <c r="F2234" s="10"/>
      <c r="G2234" s="10"/>
      <c r="H2234" s="10"/>
      <c r="I2234" s="1" t="str">
        <f t="shared" si="102"/>
        <v/>
      </c>
      <c r="J2234" s="1" t="s">
        <v>35</v>
      </c>
      <c r="K2234" s="1" t="str">
        <f t="shared" si="103"/>
        <v/>
      </c>
      <c r="L2234" s="1" t="str">
        <f t="shared" si="104"/>
        <v/>
      </c>
      <c r="M2234" s="1">
        <f>IF(OR(Table1[[#This Row],[Std Nom]]="",Table1[[#This Row],[Std Read]]=""),0,Table1[[#This Row],[Std Nom]]-Table1[[#This Row],[Std Read]])</f>
        <v>0</v>
      </c>
      <c r="N2234" s="1">
        <f>IF(Calculations!$F$5="ACCREDITED 17025 WITH UNCERTAINTIES",$N$10,0)</f>
        <v>0</v>
      </c>
      <c r="O2234" s="1" t="str">
        <f>IFERROR(Table1[[#This Row],[Std Nom]]-(_xlfn.XLOOKUP(Table1[[#This Row],[Manufacturer]]&amp;" "&amp;Table1[[#This Row],[Model]],Table13[MFR &amp; MDL],Table13[Tolerance % CW ],"")/100*Table1[[#This Row],[Std Nom]]),"")</f>
        <v/>
      </c>
      <c r="P2234" s="1" t="str">
        <f>IFERROR(Table1[[#This Row],[Std Nom]]+(_xlfn.XLOOKUP(Table1[[#This Row],[Manufacturer]]&amp;" "&amp;Table1[[#This Row],[Model]],Table13[MFR &amp; MDL],Table13[Tolerance % CW ],"")/100*Table1[[#This Row],[Std Nom]]),"")</f>
        <v/>
      </c>
      <c r="Q2234" s="1" t="e">
        <f>Table1[[#This Row],[High Tol]]-Table1[[#This Row],[Low Tol]]</f>
        <v>#VALUE!</v>
      </c>
      <c r="R2234" s="1">
        <f>2*Table1[[#This Row],[Std Error]]</f>
        <v>0</v>
      </c>
      <c r="S2234" s="1" t="str">
        <f>IF(Table1[[#This Row],[High Tol]]="","N/A",IFERROR(ABS(Table1[[#This Row],[Tol Span]]/Table1[[#This Row],[Error Span]]),"N/A"))</f>
        <v>N/A</v>
      </c>
      <c r="T2234" s="1" t="str">
        <f>IF(OR(Table1[[#This Row],[Low Tol]]="",Table1[[#This Row],[High Tol]]=""),"Needs Analysis",IF(Table1[[#This Row],[Ratio]]&gt;=4,"Not Significant",IF(Table1[[#This Row],[Ratio]]&gt;=2,"Semi-Significant","Significant")))</f>
        <v>Needs Analysis</v>
      </c>
      <c r="W2234" s="1">
        <f>IF(Table1[[#This Row],[Cal Type]]&lt;&gt;"ACCREDITED 17025 WITH UNCERTAINTIES",0,"")</f>
        <v>0</v>
      </c>
      <c r="X2234" s="1" t="str">
        <f>IF(Table1[[#This Row],[DUT Read]]="","N/A",Table1[[#This Row],[Std Error]]+Table1[[#This Row],[DUT Read]]+Table1[[#This Row],[DUT Ucty]])</f>
        <v>N/A</v>
      </c>
      <c r="Y2234" s="1" t="str">
        <f>IF(Table1[[#This Row],[Std Read]]="","N/A",Table1[[#This Row],[Std Read]]+Table1[[#This Row],[Std Ucty]])</f>
        <v>N/A</v>
      </c>
      <c r="Z22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4" s="1" t="str">
        <f>IF(Table1[[#This Row],[Spec Type]]="","N/A",Table1[[#This Row],[Spec Type]])</f>
        <v>±</v>
      </c>
      <c r="AC2234" s="1" t="str">
        <f>IF(Table1[[#This Row],[Spec Type2]]="N/A","N/A",IF(AND(Table1[[#This Row],[DUT Adj Read]]&gt;=Table1[[#This Row],[Low Tol]],Table1[[#This Row],[DUT Adj Read]]&lt;=Table1[[#This Row],[High Tol]]),"Pass","Fail"))</f>
        <v>Fail</v>
      </c>
      <c r="AD2234" s="1" t="str">
        <f>IF(AND(Table1[[#This Row],[Spec Type2]]="N/A",Table1[[#This Row],[DUT Adj Read]]="N/A",Table1[[#This Row],[Std Adj Read]]="N/A"),"N/A",IF(Table1[[#This Row],[DUT Adj Read]]="N/A",IF(Table1[[#This Row],[Std Adj Read]]&gt;Table1[[#This Row],[Low Tol]],"Pass","Fail"),IF(Table1[[#This Row],[DUT Adj Read]]&gt;Table1[[#This Row],[Low Tol]],"Pass","Fail")))</f>
        <v>Pass</v>
      </c>
      <c r="AE2234" s="1" t="str">
        <f>IF(AND(Table1[[#This Row],[Spec Type2]]="N/A",Table1[[#This Row],[DUT Adj Read]]="N/A",Table1[[#This Row],[Std Adj Read]]="N/A"),"N/A",IF(Table1[[#This Row],[DUT Adj Read]]="N/A",IF(Table1[[#This Row],[Std Adj Read]]&lt;Table1[[#This Row],[High Tol]],"Pass","Fail"),IF(Table1[[#This Row],[DUT Adj Read]]&lt;Table1[[#This Row],[High Tol]],"Pass","Fail")))</f>
        <v>Fail</v>
      </c>
      <c r="AF2234" s="1" t="str">
        <f>IF(AND(Table1[[#This Row],[Spec Type2]]="N/A",Table1[[#This Row],[DUT Adj Read]]="N/A",Table1[[#This Row],[Std Adj Read]]="N/A"),"N/A",IF(Table1[[#This Row],[DUT Adj Read]]="N/A",IF(Table1[[#This Row],[Std Adj Read]]&gt;=Table1[[#This Row],[Low Tol]],"Pass","Fail"),IF(Table1[[#This Row],[DUT Adj Read]]&gt;=Table1[[#This Row],[Low Tol]],"Pass","Fail")))</f>
        <v>Pass</v>
      </c>
      <c r="AG2234" s="1" t="str">
        <f>IF(AND(Table1[[#This Row],[Spec Type2]]="N/A",Table1[[#This Row],[DUT Adj Read]]="N/A",Table1[[#This Row],[Std Adj Read]]="N/A"),"N/A",IF(Table1[[#This Row],[DUT Adj Read]]="N/A",IF(Table1[[#This Row],[Std Adj Read]]&lt;=Table1[[#This Row],[High Tol]],"Pass","Fail"),IF(Table1[[#This Row],[DUT Adj Read]]&lt;=Table1[[#This Row],[High Tol]],"Pass","Fail")))</f>
        <v>Fail</v>
      </c>
      <c r="AH22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4" s="1" t="b">
        <v>0</v>
      </c>
      <c r="AN2234" s="1" t="b">
        <v>0</v>
      </c>
      <c r="AO2234" s="1" t="b">
        <v>0</v>
      </c>
    </row>
    <row r="2235" spans="1:41" x14ac:dyDescent="0.25">
      <c r="A2235" s="10"/>
      <c r="B2235" s="10"/>
      <c r="C2235" s="10"/>
      <c r="D2235" s="10"/>
      <c r="E2235" s="10"/>
      <c r="F2235" s="10"/>
      <c r="G2235" s="10"/>
      <c r="H2235" s="10"/>
      <c r="I2235" s="1" t="str">
        <f t="shared" si="102"/>
        <v/>
      </c>
      <c r="J2235" s="1" t="s">
        <v>35</v>
      </c>
      <c r="K2235" s="1" t="str">
        <f t="shared" si="103"/>
        <v/>
      </c>
      <c r="L2235" s="1" t="str">
        <f t="shared" si="104"/>
        <v/>
      </c>
      <c r="M2235" s="1">
        <f>IF(OR(Table1[[#This Row],[Std Nom]]="",Table1[[#This Row],[Std Read]]=""),0,Table1[[#This Row],[Std Nom]]-Table1[[#This Row],[Std Read]])</f>
        <v>0</v>
      </c>
      <c r="N2235" s="1">
        <f>IF(Calculations!$F$5="ACCREDITED 17025 WITH UNCERTAINTIES",$N$10,0)</f>
        <v>0</v>
      </c>
      <c r="O2235" s="1" t="str">
        <f>IFERROR(Table1[[#This Row],[Std Nom]]-(_xlfn.XLOOKUP(Table1[[#This Row],[Manufacturer]]&amp;" "&amp;Table1[[#This Row],[Model]],Table13[MFR &amp; MDL],Table13[Tolerance % CW ],"")/100*Table1[[#This Row],[Std Nom]]),"")</f>
        <v/>
      </c>
      <c r="P2235" s="1" t="str">
        <f>IFERROR(Table1[[#This Row],[Std Nom]]+(_xlfn.XLOOKUP(Table1[[#This Row],[Manufacturer]]&amp;" "&amp;Table1[[#This Row],[Model]],Table13[MFR &amp; MDL],Table13[Tolerance % CW ],"")/100*Table1[[#This Row],[Std Nom]]),"")</f>
        <v/>
      </c>
      <c r="Q2235" s="1" t="e">
        <f>Table1[[#This Row],[High Tol]]-Table1[[#This Row],[Low Tol]]</f>
        <v>#VALUE!</v>
      </c>
      <c r="R2235" s="1">
        <f>2*Table1[[#This Row],[Std Error]]</f>
        <v>0</v>
      </c>
      <c r="S2235" s="1" t="str">
        <f>IF(Table1[[#This Row],[High Tol]]="","N/A",IFERROR(ABS(Table1[[#This Row],[Tol Span]]/Table1[[#This Row],[Error Span]]),"N/A"))</f>
        <v>N/A</v>
      </c>
      <c r="T2235" s="1" t="str">
        <f>IF(OR(Table1[[#This Row],[Low Tol]]="",Table1[[#This Row],[High Tol]]=""),"Needs Analysis",IF(Table1[[#This Row],[Ratio]]&gt;=4,"Not Significant",IF(Table1[[#This Row],[Ratio]]&gt;=2,"Semi-Significant","Significant")))</f>
        <v>Needs Analysis</v>
      </c>
      <c r="W2235" s="1">
        <f>IF(Table1[[#This Row],[Cal Type]]&lt;&gt;"ACCREDITED 17025 WITH UNCERTAINTIES",0,"")</f>
        <v>0</v>
      </c>
      <c r="X2235" s="1" t="str">
        <f>IF(Table1[[#This Row],[DUT Read]]="","N/A",Table1[[#This Row],[Std Error]]+Table1[[#This Row],[DUT Read]]+Table1[[#This Row],[DUT Ucty]])</f>
        <v>N/A</v>
      </c>
      <c r="Y2235" s="1" t="str">
        <f>IF(Table1[[#This Row],[Std Read]]="","N/A",Table1[[#This Row],[Std Read]]+Table1[[#This Row],[Std Ucty]])</f>
        <v>N/A</v>
      </c>
      <c r="Z22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5" s="1" t="str">
        <f>IF(Table1[[#This Row],[Spec Type]]="","N/A",Table1[[#This Row],[Spec Type]])</f>
        <v>±</v>
      </c>
      <c r="AC2235" s="1" t="str">
        <f>IF(Table1[[#This Row],[Spec Type2]]="N/A","N/A",IF(AND(Table1[[#This Row],[DUT Adj Read]]&gt;=Table1[[#This Row],[Low Tol]],Table1[[#This Row],[DUT Adj Read]]&lt;=Table1[[#This Row],[High Tol]]),"Pass","Fail"))</f>
        <v>Fail</v>
      </c>
      <c r="AD2235" s="1" t="str">
        <f>IF(AND(Table1[[#This Row],[Spec Type2]]="N/A",Table1[[#This Row],[DUT Adj Read]]="N/A",Table1[[#This Row],[Std Adj Read]]="N/A"),"N/A",IF(Table1[[#This Row],[DUT Adj Read]]="N/A",IF(Table1[[#This Row],[Std Adj Read]]&gt;Table1[[#This Row],[Low Tol]],"Pass","Fail"),IF(Table1[[#This Row],[DUT Adj Read]]&gt;Table1[[#This Row],[Low Tol]],"Pass","Fail")))</f>
        <v>Pass</v>
      </c>
      <c r="AE2235" s="1" t="str">
        <f>IF(AND(Table1[[#This Row],[Spec Type2]]="N/A",Table1[[#This Row],[DUT Adj Read]]="N/A",Table1[[#This Row],[Std Adj Read]]="N/A"),"N/A",IF(Table1[[#This Row],[DUT Adj Read]]="N/A",IF(Table1[[#This Row],[Std Adj Read]]&lt;Table1[[#This Row],[High Tol]],"Pass","Fail"),IF(Table1[[#This Row],[DUT Adj Read]]&lt;Table1[[#This Row],[High Tol]],"Pass","Fail")))</f>
        <v>Fail</v>
      </c>
      <c r="AF2235" s="1" t="str">
        <f>IF(AND(Table1[[#This Row],[Spec Type2]]="N/A",Table1[[#This Row],[DUT Adj Read]]="N/A",Table1[[#This Row],[Std Adj Read]]="N/A"),"N/A",IF(Table1[[#This Row],[DUT Adj Read]]="N/A",IF(Table1[[#This Row],[Std Adj Read]]&gt;=Table1[[#This Row],[Low Tol]],"Pass","Fail"),IF(Table1[[#This Row],[DUT Adj Read]]&gt;=Table1[[#This Row],[Low Tol]],"Pass","Fail")))</f>
        <v>Pass</v>
      </c>
      <c r="AG2235" s="1" t="str">
        <f>IF(AND(Table1[[#This Row],[Spec Type2]]="N/A",Table1[[#This Row],[DUT Adj Read]]="N/A",Table1[[#This Row],[Std Adj Read]]="N/A"),"N/A",IF(Table1[[#This Row],[DUT Adj Read]]="N/A",IF(Table1[[#This Row],[Std Adj Read]]&lt;=Table1[[#This Row],[High Tol]],"Pass","Fail"),IF(Table1[[#This Row],[DUT Adj Read]]&lt;=Table1[[#This Row],[High Tol]],"Pass","Fail")))</f>
        <v>Fail</v>
      </c>
      <c r="AH22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5" s="1" t="b">
        <v>0</v>
      </c>
      <c r="AN2235" s="1" t="b">
        <v>0</v>
      </c>
      <c r="AO2235" s="1" t="b">
        <v>0</v>
      </c>
    </row>
    <row r="2236" spans="1:41" x14ac:dyDescent="0.25">
      <c r="A2236" s="10"/>
      <c r="B2236" s="10"/>
      <c r="C2236" s="10"/>
      <c r="D2236" s="10"/>
      <c r="E2236" s="10"/>
      <c r="F2236" s="10"/>
      <c r="G2236" s="10"/>
      <c r="H2236" s="10"/>
      <c r="I2236" s="1" t="str">
        <f t="shared" si="102"/>
        <v/>
      </c>
      <c r="J2236" s="1" t="s">
        <v>35</v>
      </c>
      <c r="K2236" s="1" t="str">
        <f t="shared" si="103"/>
        <v/>
      </c>
      <c r="L2236" s="1" t="str">
        <f t="shared" si="104"/>
        <v/>
      </c>
      <c r="M2236" s="1">
        <f>IF(OR(Table1[[#This Row],[Std Nom]]="",Table1[[#This Row],[Std Read]]=""),0,Table1[[#This Row],[Std Nom]]-Table1[[#This Row],[Std Read]])</f>
        <v>0</v>
      </c>
      <c r="N2236" s="1">
        <f>IF(Calculations!$F$5="ACCREDITED 17025 WITH UNCERTAINTIES",$N$10,0)</f>
        <v>0</v>
      </c>
      <c r="O2236" s="1" t="str">
        <f>IFERROR(Table1[[#This Row],[Std Nom]]-(_xlfn.XLOOKUP(Table1[[#This Row],[Manufacturer]]&amp;" "&amp;Table1[[#This Row],[Model]],Table13[MFR &amp; MDL],Table13[Tolerance % CW ],"")/100*Table1[[#This Row],[Std Nom]]),"")</f>
        <v/>
      </c>
      <c r="P2236" s="1" t="str">
        <f>IFERROR(Table1[[#This Row],[Std Nom]]+(_xlfn.XLOOKUP(Table1[[#This Row],[Manufacturer]]&amp;" "&amp;Table1[[#This Row],[Model]],Table13[MFR &amp; MDL],Table13[Tolerance % CW ],"")/100*Table1[[#This Row],[Std Nom]]),"")</f>
        <v/>
      </c>
      <c r="Q2236" s="1" t="e">
        <f>Table1[[#This Row],[High Tol]]-Table1[[#This Row],[Low Tol]]</f>
        <v>#VALUE!</v>
      </c>
      <c r="R2236" s="1">
        <f>2*Table1[[#This Row],[Std Error]]</f>
        <v>0</v>
      </c>
      <c r="S2236" s="1" t="str">
        <f>IF(Table1[[#This Row],[High Tol]]="","N/A",IFERROR(ABS(Table1[[#This Row],[Tol Span]]/Table1[[#This Row],[Error Span]]),"N/A"))</f>
        <v>N/A</v>
      </c>
      <c r="T2236" s="1" t="str">
        <f>IF(OR(Table1[[#This Row],[Low Tol]]="",Table1[[#This Row],[High Tol]]=""),"Needs Analysis",IF(Table1[[#This Row],[Ratio]]&gt;=4,"Not Significant",IF(Table1[[#This Row],[Ratio]]&gt;=2,"Semi-Significant","Significant")))</f>
        <v>Needs Analysis</v>
      </c>
      <c r="W2236" s="1">
        <f>IF(Table1[[#This Row],[Cal Type]]&lt;&gt;"ACCREDITED 17025 WITH UNCERTAINTIES",0,"")</f>
        <v>0</v>
      </c>
      <c r="X2236" s="1" t="str">
        <f>IF(Table1[[#This Row],[DUT Read]]="","N/A",Table1[[#This Row],[Std Error]]+Table1[[#This Row],[DUT Read]]+Table1[[#This Row],[DUT Ucty]])</f>
        <v>N/A</v>
      </c>
      <c r="Y2236" s="1" t="str">
        <f>IF(Table1[[#This Row],[Std Read]]="","N/A",Table1[[#This Row],[Std Read]]+Table1[[#This Row],[Std Ucty]])</f>
        <v>N/A</v>
      </c>
      <c r="Z22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6" s="1" t="str">
        <f>IF(Table1[[#This Row],[Spec Type]]="","N/A",Table1[[#This Row],[Spec Type]])</f>
        <v>±</v>
      </c>
      <c r="AC2236" s="1" t="str">
        <f>IF(Table1[[#This Row],[Spec Type2]]="N/A","N/A",IF(AND(Table1[[#This Row],[DUT Adj Read]]&gt;=Table1[[#This Row],[Low Tol]],Table1[[#This Row],[DUT Adj Read]]&lt;=Table1[[#This Row],[High Tol]]),"Pass","Fail"))</f>
        <v>Fail</v>
      </c>
      <c r="AD2236" s="1" t="str">
        <f>IF(AND(Table1[[#This Row],[Spec Type2]]="N/A",Table1[[#This Row],[DUT Adj Read]]="N/A",Table1[[#This Row],[Std Adj Read]]="N/A"),"N/A",IF(Table1[[#This Row],[DUT Adj Read]]="N/A",IF(Table1[[#This Row],[Std Adj Read]]&gt;Table1[[#This Row],[Low Tol]],"Pass","Fail"),IF(Table1[[#This Row],[DUT Adj Read]]&gt;Table1[[#This Row],[Low Tol]],"Pass","Fail")))</f>
        <v>Pass</v>
      </c>
      <c r="AE2236" s="1" t="str">
        <f>IF(AND(Table1[[#This Row],[Spec Type2]]="N/A",Table1[[#This Row],[DUT Adj Read]]="N/A",Table1[[#This Row],[Std Adj Read]]="N/A"),"N/A",IF(Table1[[#This Row],[DUT Adj Read]]="N/A",IF(Table1[[#This Row],[Std Adj Read]]&lt;Table1[[#This Row],[High Tol]],"Pass","Fail"),IF(Table1[[#This Row],[DUT Adj Read]]&lt;Table1[[#This Row],[High Tol]],"Pass","Fail")))</f>
        <v>Fail</v>
      </c>
      <c r="AF2236" s="1" t="str">
        <f>IF(AND(Table1[[#This Row],[Spec Type2]]="N/A",Table1[[#This Row],[DUT Adj Read]]="N/A",Table1[[#This Row],[Std Adj Read]]="N/A"),"N/A",IF(Table1[[#This Row],[DUT Adj Read]]="N/A",IF(Table1[[#This Row],[Std Adj Read]]&gt;=Table1[[#This Row],[Low Tol]],"Pass","Fail"),IF(Table1[[#This Row],[DUT Adj Read]]&gt;=Table1[[#This Row],[Low Tol]],"Pass","Fail")))</f>
        <v>Pass</v>
      </c>
      <c r="AG2236" s="1" t="str">
        <f>IF(AND(Table1[[#This Row],[Spec Type2]]="N/A",Table1[[#This Row],[DUT Adj Read]]="N/A",Table1[[#This Row],[Std Adj Read]]="N/A"),"N/A",IF(Table1[[#This Row],[DUT Adj Read]]="N/A",IF(Table1[[#This Row],[Std Adj Read]]&lt;=Table1[[#This Row],[High Tol]],"Pass","Fail"),IF(Table1[[#This Row],[DUT Adj Read]]&lt;=Table1[[#This Row],[High Tol]],"Pass","Fail")))</f>
        <v>Fail</v>
      </c>
      <c r="AH22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6" s="1" t="b">
        <v>0</v>
      </c>
      <c r="AN2236" s="1" t="b">
        <v>0</v>
      </c>
      <c r="AO2236" s="1" t="b">
        <v>0</v>
      </c>
    </row>
    <row r="2237" spans="1:41" x14ac:dyDescent="0.25">
      <c r="A2237" s="10"/>
      <c r="B2237" s="10"/>
      <c r="C2237" s="10"/>
      <c r="D2237" s="10"/>
      <c r="E2237" s="10"/>
      <c r="F2237" s="10"/>
      <c r="G2237" s="10"/>
      <c r="H2237" s="10"/>
      <c r="I2237" s="1" t="str">
        <f t="shared" si="102"/>
        <v/>
      </c>
      <c r="J2237" s="1" t="s">
        <v>35</v>
      </c>
      <c r="K2237" s="1" t="str">
        <f t="shared" si="103"/>
        <v/>
      </c>
      <c r="L2237" s="1" t="str">
        <f t="shared" si="104"/>
        <v/>
      </c>
      <c r="M2237" s="1">
        <f>IF(OR(Table1[[#This Row],[Std Nom]]="",Table1[[#This Row],[Std Read]]=""),0,Table1[[#This Row],[Std Nom]]-Table1[[#This Row],[Std Read]])</f>
        <v>0</v>
      </c>
      <c r="N2237" s="1">
        <f>IF(Calculations!$F$5="ACCREDITED 17025 WITH UNCERTAINTIES",$N$10,0)</f>
        <v>0</v>
      </c>
      <c r="O2237" s="1" t="str">
        <f>IFERROR(Table1[[#This Row],[Std Nom]]-(_xlfn.XLOOKUP(Table1[[#This Row],[Manufacturer]]&amp;" "&amp;Table1[[#This Row],[Model]],Table13[MFR &amp; MDL],Table13[Tolerance % CW ],"")/100*Table1[[#This Row],[Std Nom]]),"")</f>
        <v/>
      </c>
      <c r="P2237" s="1" t="str">
        <f>IFERROR(Table1[[#This Row],[Std Nom]]+(_xlfn.XLOOKUP(Table1[[#This Row],[Manufacturer]]&amp;" "&amp;Table1[[#This Row],[Model]],Table13[MFR &amp; MDL],Table13[Tolerance % CW ],"")/100*Table1[[#This Row],[Std Nom]]),"")</f>
        <v/>
      </c>
      <c r="Q2237" s="1" t="e">
        <f>Table1[[#This Row],[High Tol]]-Table1[[#This Row],[Low Tol]]</f>
        <v>#VALUE!</v>
      </c>
      <c r="R2237" s="1">
        <f>2*Table1[[#This Row],[Std Error]]</f>
        <v>0</v>
      </c>
      <c r="S2237" s="1" t="str">
        <f>IF(Table1[[#This Row],[High Tol]]="","N/A",IFERROR(ABS(Table1[[#This Row],[Tol Span]]/Table1[[#This Row],[Error Span]]),"N/A"))</f>
        <v>N/A</v>
      </c>
      <c r="T2237" s="1" t="str">
        <f>IF(OR(Table1[[#This Row],[Low Tol]]="",Table1[[#This Row],[High Tol]]=""),"Needs Analysis",IF(Table1[[#This Row],[Ratio]]&gt;=4,"Not Significant",IF(Table1[[#This Row],[Ratio]]&gt;=2,"Semi-Significant","Significant")))</f>
        <v>Needs Analysis</v>
      </c>
      <c r="W2237" s="1">
        <f>IF(Table1[[#This Row],[Cal Type]]&lt;&gt;"ACCREDITED 17025 WITH UNCERTAINTIES",0,"")</f>
        <v>0</v>
      </c>
      <c r="X2237" s="1" t="str">
        <f>IF(Table1[[#This Row],[DUT Read]]="","N/A",Table1[[#This Row],[Std Error]]+Table1[[#This Row],[DUT Read]]+Table1[[#This Row],[DUT Ucty]])</f>
        <v>N/A</v>
      </c>
      <c r="Y2237" s="1" t="str">
        <f>IF(Table1[[#This Row],[Std Read]]="","N/A",Table1[[#This Row],[Std Read]]+Table1[[#This Row],[Std Ucty]])</f>
        <v>N/A</v>
      </c>
      <c r="Z22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7" s="1" t="str">
        <f>IF(Table1[[#This Row],[Spec Type]]="","N/A",Table1[[#This Row],[Spec Type]])</f>
        <v>±</v>
      </c>
      <c r="AC2237" s="1" t="str">
        <f>IF(Table1[[#This Row],[Spec Type2]]="N/A","N/A",IF(AND(Table1[[#This Row],[DUT Adj Read]]&gt;=Table1[[#This Row],[Low Tol]],Table1[[#This Row],[DUT Adj Read]]&lt;=Table1[[#This Row],[High Tol]]),"Pass","Fail"))</f>
        <v>Fail</v>
      </c>
      <c r="AD2237" s="1" t="str">
        <f>IF(AND(Table1[[#This Row],[Spec Type2]]="N/A",Table1[[#This Row],[DUT Adj Read]]="N/A",Table1[[#This Row],[Std Adj Read]]="N/A"),"N/A",IF(Table1[[#This Row],[DUT Adj Read]]="N/A",IF(Table1[[#This Row],[Std Adj Read]]&gt;Table1[[#This Row],[Low Tol]],"Pass","Fail"),IF(Table1[[#This Row],[DUT Adj Read]]&gt;Table1[[#This Row],[Low Tol]],"Pass","Fail")))</f>
        <v>Pass</v>
      </c>
      <c r="AE2237" s="1" t="str">
        <f>IF(AND(Table1[[#This Row],[Spec Type2]]="N/A",Table1[[#This Row],[DUT Adj Read]]="N/A",Table1[[#This Row],[Std Adj Read]]="N/A"),"N/A",IF(Table1[[#This Row],[DUT Adj Read]]="N/A",IF(Table1[[#This Row],[Std Adj Read]]&lt;Table1[[#This Row],[High Tol]],"Pass","Fail"),IF(Table1[[#This Row],[DUT Adj Read]]&lt;Table1[[#This Row],[High Tol]],"Pass","Fail")))</f>
        <v>Fail</v>
      </c>
      <c r="AF2237" s="1" t="str">
        <f>IF(AND(Table1[[#This Row],[Spec Type2]]="N/A",Table1[[#This Row],[DUT Adj Read]]="N/A",Table1[[#This Row],[Std Adj Read]]="N/A"),"N/A",IF(Table1[[#This Row],[DUT Adj Read]]="N/A",IF(Table1[[#This Row],[Std Adj Read]]&gt;=Table1[[#This Row],[Low Tol]],"Pass","Fail"),IF(Table1[[#This Row],[DUT Adj Read]]&gt;=Table1[[#This Row],[Low Tol]],"Pass","Fail")))</f>
        <v>Pass</v>
      </c>
      <c r="AG2237" s="1" t="str">
        <f>IF(AND(Table1[[#This Row],[Spec Type2]]="N/A",Table1[[#This Row],[DUT Adj Read]]="N/A",Table1[[#This Row],[Std Adj Read]]="N/A"),"N/A",IF(Table1[[#This Row],[DUT Adj Read]]="N/A",IF(Table1[[#This Row],[Std Adj Read]]&lt;=Table1[[#This Row],[High Tol]],"Pass","Fail"),IF(Table1[[#This Row],[DUT Adj Read]]&lt;=Table1[[#This Row],[High Tol]],"Pass","Fail")))</f>
        <v>Fail</v>
      </c>
      <c r="AH22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7" s="1" t="b">
        <v>0</v>
      </c>
      <c r="AN2237" s="1" t="b">
        <v>0</v>
      </c>
      <c r="AO2237" s="1" t="b">
        <v>0</v>
      </c>
    </row>
    <row r="2238" spans="1:41" x14ac:dyDescent="0.25">
      <c r="A2238" s="10"/>
      <c r="B2238" s="10"/>
      <c r="C2238" s="10"/>
      <c r="D2238" s="10"/>
      <c r="E2238" s="10"/>
      <c r="F2238" s="10"/>
      <c r="G2238" s="10"/>
      <c r="H2238" s="10"/>
      <c r="I2238" s="1" t="str">
        <f t="shared" si="102"/>
        <v/>
      </c>
      <c r="J2238" s="1" t="s">
        <v>35</v>
      </c>
      <c r="K2238" s="1" t="str">
        <f t="shared" si="103"/>
        <v/>
      </c>
      <c r="L2238" s="1" t="str">
        <f t="shared" si="104"/>
        <v/>
      </c>
      <c r="M2238" s="1">
        <f>IF(OR(Table1[[#This Row],[Std Nom]]="",Table1[[#This Row],[Std Read]]=""),0,Table1[[#This Row],[Std Nom]]-Table1[[#This Row],[Std Read]])</f>
        <v>0</v>
      </c>
      <c r="N2238" s="1">
        <f>IF(Calculations!$F$5="ACCREDITED 17025 WITH UNCERTAINTIES",$N$10,0)</f>
        <v>0</v>
      </c>
      <c r="O2238" s="1" t="str">
        <f>IFERROR(Table1[[#This Row],[Std Nom]]-(_xlfn.XLOOKUP(Table1[[#This Row],[Manufacturer]]&amp;" "&amp;Table1[[#This Row],[Model]],Table13[MFR &amp; MDL],Table13[Tolerance % CW ],"")/100*Table1[[#This Row],[Std Nom]]),"")</f>
        <v/>
      </c>
      <c r="P2238" s="1" t="str">
        <f>IFERROR(Table1[[#This Row],[Std Nom]]+(_xlfn.XLOOKUP(Table1[[#This Row],[Manufacturer]]&amp;" "&amp;Table1[[#This Row],[Model]],Table13[MFR &amp; MDL],Table13[Tolerance % CW ],"")/100*Table1[[#This Row],[Std Nom]]),"")</f>
        <v/>
      </c>
      <c r="Q2238" s="1" t="e">
        <f>Table1[[#This Row],[High Tol]]-Table1[[#This Row],[Low Tol]]</f>
        <v>#VALUE!</v>
      </c>
      <c r="R2238" s="1">
        <f>2*Table1[[#This Row],[Std Error]]</f>
        <v>0</v>
      </c>
      <c r="S2238" s="1" t="str">
        <f>IF(Table1[[#This Row],[High Tol]]="","N/A",IFERROR(ABS(Table1[[#This Row],[Tol Span]]/Table1[[#This Row],[Error Span]]),"N/A"))</f>
        <v>N/A</v>
      </c>
      <c r="T2238" s="1" t="str">
        <f>IF(OR(Table1[[#This Row],[Low Tol]]="",Table1[[#This Row],[High Tol]]=""),"Needs Analysis",IF(Table1[[#This Row],[Ratio]]&gt;=4,"Not Significant",IF(Table1[[#This Row],[Ratio]]&gt;=2,"Semi-Significant","Significant")))</f>
        <v>Needs Analysis</v>
      </c>
      <c r="W2238" s="1">
        <f>IF(Table1[[#This Row],[Cal Type]]&lt;&gt;"ACCREDITED 17025 WITH UNCERTAINTIES",0,"")</f>
        <v>0</v>
      </c>
      <c r="X2238" s="1" t="str">
        <f>IF(Table1[[#This Row],[DUT Read]]="","N/A",Table1[[#This Row],[Std Error]]+Table1[[#This Row],[DUT Read]]+Table1[[#This Row],[DUT Ucty]])</f>
        <v>N/A</v>
      </c>
      <c r="Y2238" s="1" t="str">
        <f>IF(Table1[[#This Row],[Std Read]]="","N/A",Table1[[#This Row],[Std Read]]+Table1[[#This Row],[Std Ucty]])</f>
        <v>N/A</v>
      </c>
      <c r="Z22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8" s="1" t="str">
        <f>IF(Table1[[#This Row],[Spec Type]]="","N/A",Table1[[#This Row],[Spec Type]])</f>
        <v>±</v>
      </c>
      <c r="AC2238" s="1" t="str">
        <f>IF(Table1[[#This Row],[Spec Type2]]="N/A","N/A",IF(AND(Table1[[#This Row],[DUT Adj Read]]&gt;=Table1[[#This Row],[Low Tol]],Table1[[#This Row],[DUT Adj Read]]&lt;=Table1[[#This Row],[High Tol]]),"Pass","Fail"))</f>
        <v>Fail</v>
      </c>
      <c r="AD2238" s="1" t="str">
        <f>IF(AND(Table1[[#This Row],[Spec Type2]]="N/A",Table1[[#This Row],[DUT Adj Read]]="N/A",Table1[[#This Row],[Std Adj Read]]="N/A"),"N/A",IF(Table1[[#This Row],[DUT Adj Read]]="N/A",IF(Table1[[#This Row],[Std Adj Read]]&gt;Table1[[#This Row],[Low Tol]],"Pass","Fail"),IF(Table1[[#This Row],[DUT Adj Read]]&gt;Table1[[#This Row],[Low Tol]],"Pass","Fail")))</f>
        <v>Pass</v>
      </c>
      <c r="AE2238" s="1" t="str">
        <f>IF(AND(Table1[[#This Row],[Spec Type2]]="N/A",Table1[[#This Row],[DUT Adj Read]]="N/A",Table1[[#This Row],[Std Adj Read]]="N/A"),"N/A",IF(Table1[[#This Row],[DUT Adj Read]]="N/A",IF(Table1[[#This Row],[Std Adj Read]]&lt;Table1[[#This Row],[High Tol]],"Pass","Fail"),IF(Table1[[#This Row],[DUT Adj Read]]&lt;Table1[[#This Row],[High Tol]],"Pass","Fail")))</f>
        <v>Fail</v>
      </c>
      <c r="AF2238" s="1" t="str">
        <f>IF(AND(Table1[[#This Row],[Spec Type2]]="N/A",Table1[[#This Row],[DUT Adj Read]]="N/A",Table1[[#This Row],[Std Adj Read]]="N/A"),"N/A",IF(Table1[[#This Row],[DUT Adj Read]]="N/A",IF(Table1[[#This Row],[Std Adj Read]]&gt;=Table1[[#This Row],[Low Tol]],"Pass","Fail"),IF(Table1[[#This Row],[DUT Adj Read]]&gt;=Table1[[#This Row],[Low Tol]],"Pass","Fail")))</f>
        <v>Pass</v>
      </c>
      <c r="AG2238" s="1" t="str">
        <f>IF(AND(Table1[[#This Row],[Spec Type2]]="N/A",Table1[[#This Row],[DUT Adj Read]]="N/A",Table1[[#This Row],[Std Adj Read]]="N/A"),"N/A",IF(Table1[[#This Row],[DUT Adj Read]]="N/A",IF(Table1[[#This Row],[Std Adj Read]]&lt;=Table1[[#This Row],[High Tol]],"Pass","Fail"),IF(Table1[[#This Row],[DUT Adj Read]]&lt;=Table1[[#This Row],[High Tol]],"Pass","Fail")))</f>
        <v>Fail</v>
      </c>
      <c r="AH22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8" s="1" t="b">
        <v>0</v>
      </c>
      <c r="AN2238" s="1" t="b">
        <v>0</v>
      </c>
      <c r="AO2238" s="1" t="b">
        <v>0</v>
      </c>
    </row>
    <row r="2239" spans="1:41" x14ac:dyDescent="0.25">
      <c r="A2239" s="10"/>
      <c r="B2239" s="10"/>
      <c r="C2239" s="10"/>
      <c r="D2239" s="10"/>
      <c r="E2239" s="10"/>
      <c r="F2239" s="10"/>
      <c r="G2239" s="10"/>
      <c r="H2239" s="10"/>
      <c r="I2239" s="1" t="str">
        <f t="shared" si="102"/>
        <v/>
      </c>
      <c r="J2239" s="1" t="s">
        <v>35</v>
      </c>
      <c r="K2239" s="1" t="str">
        <f t="shared" si="103"/>
        <v/>
      </c>
      <c r="L2239" s="1" t="str">
        <f t="shared" si="104"/>
        <v/>
      </c>
      <c r="M2239" s="1">
        <f>IF(OR(Table1[[#This Row],[Std Nom]]="",Table1[[#This Row],[Std Read]]=""),0,Table1[[#This Row],[Std Nom]]-Table1[[#This Row],[Std Read]])</f>
        <v>0</v>
      </c>
      <c r="N2239" s="1">
        <f>IF(Calculations!$F$5="ACCREDITED 17025 WITH UNCERTAINTIES",$N$10,0)</f>
        <v>0</v>
      </c>
      <c r="O2239" s="1" t="str">
        <f>IFERROR(Table1[[#This Row],[Std Nom]]-(_xlfn.XLOOKUP(Table1[[#This Row],[Manufacturer]]&amp;" "&amp;Table1[[#This Row],[Model]],Table13[MFR &amp; MDL],Table13[Tolerance % CW ],"")/100*Table1[[#This Row],[Std Nom]]),"")</f>
        <v/>
      </c>
      <c r="P2239" s="1" t="str">
        <f>IFERROR(Table1[[#This Row],[Std Nom]]+(_xlfn.XLOOKUP(Table1[[#This Row],[Manufacturer]]&amp;" "&amp;Table1[[#This Row],[Model]],Table13[MFR &amp; MDL],Table13[Tolerance % CW ],"")/100*Table1[[#This Row],[Std Nom]]),"")</f>
        <v/>
      </c>
      <c r="Q2239" s="1" t="e">
        <f>Table1[[#This Row],[High Tol]]-Table1[[#This Row],[Low Tol]]</f>
        <v>#VALUE!</v>
      </c>
      <c r="R2239" s="1">
        <f>2*Table1[[#This Row],[Std Error]]</f>
        <v>0</v>
      </c>
      <c r="S2239" s="1" t="str">
        <f>IF(Table1[[#This Row],[High Tol]]="","N/A",IFERROR(ABS(Table1[[#This Row],[Tol Span]]/Table1[[#This Row],[Error Span]]),"N/A"))</f>
        <v>N/A</v>
      </c>
      <c r="T2239" s="1" t="str">
        <f>IF(OR(Table1[[#This Row],[Low Tol]]="",Table1[[#This Row],[High Tol]]=""),"Needs Analysis",IF(Table1[[#This Row],[Ratio]]&gt;=4,"Not Significant",IF(Table1[[#This Row],[Ratio]]&gt;=2,"Semi-Significant","Significant")))</f>
        <v>Needs Analysis</v>
      </c>
      <c r="W2239" s="1">
        <f>IF(Table1[[#This Row],[Cal Type]]&lt;&gt;"ACCREDITED 17025 WITH UNCERTAINTIES",0,"")</f>
        <v>0</v>
      </c>
      <c r="X2239" s="1" t="str">
        <f>IF(Table1[[#This Row],[DUT Read]]="","N/A",Table1[[#This Row],[Std Error]]+Table1[[#This Row],[DUT Read]]+Table1[[#This Row],[DUT Ucty]])</f>
        <v>N/A</v>
      </c>
      <c r="Y2239" s="1" t="str">
        <f>IF(Table1[[#This Row],[Std Read]]="","N/A",Table1[[#This Row],[Std Read]]+Table1[[#This Row],[Std Ucty]])</f>
        <v>N/A</v>
      </c>
      <c r="Z22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9" s="1" t="str">
        <f>IF(Table1[[#This Row],[Spec Type]]="","N/A",Table1[[#This Row],[Spec Type]])</f>
        <v>±</v>
      </c>
      <c r="AC2239" s="1" t="str">
        <f>IF(Table1[[#This Row],[Spec Type2]]="N/A","N/A",IF(AND(Table1[[#This Row],[DUT Adj Read]]&gt;=Table1[[#This Row],[Low Tol]],Table1[[#This Row],[DUT Adj Read]]&lt;=Table1[[#This Row],[High Tol]]),"Pass","Fail"))</f>
        <v>Fail</v>
      </c>
      <c r="AD2239" s="1" t="str">
        <f>IF(AND(Table1[[#This Row],[Spec Type2]]="N/A",Table1[[#This Row],[DUT Adj Read]]="N/A",Table1[[#This Row],[Std Adj Read]]="N/A"),"N/A",IF(Table1[[#This Row],[DUT Adj Read]]="N/A",IF(Table1[[#This Row],[Std Adj Read]]&gt;Table1[[#This Row],[Low Tol]],"Pass","Fail"),IF(Table1[[#This Row],[DUT Adj Read]]&gt;Table1[[#This Row],[Low Tol]],"Pass","Fail")))</f>
        <v>Pass</v>
      </c>
      <c r="AE2239" s="1" t="str">
        <f>IF(AND(Table1[[#This Row],[Spec Type2]]="N/A",Table1[[#This Row],[DUT Adj Read]]="N/A",Table1[[#This Row],[Std Adj Read]]="N/A"),"N/A",IF(Table1[[#This Row],[DUT Adj Read]]="N/A",IF(Table1[[#This Row],[Std Adj Read]]&lt;Table1[[#This Row],[High Tol]],"Pass","Fail"),IF(Table1[[#This Row],[DUT Adj Read]]&lt;Table1[[#This Row],[High Tol]],"Pass","Fail")))</f>
        <v>Fail</v>
      </c>
      <c r="AF2239" s="1" t="str">
        <f>IF(AND(Table1[[#This Row],[Spec Type2]]="N/A",Table1[[#This Row],[DUT Adj Read]]="N/A",Table1[[#This Row],[Std Adj Read]]="N/A"),"N/A",IF(Table1[[#This Row],[DUT Adj Read]]="N/A",IF(Table1[[#This Row],[Std Adj Read]]&gt;=Table1[[#This Row],[Low Tol]],"Pass","Fail"),IF(Table1[[#This Row],[DUT Adj Read]]&gt;=Table1[[#This Row],[Low Tol]],"Pass","Fail")))</f>
        <v>Pass</v>
      </c>
      <c r="AG2239" s="1" t="str">
        <f>IF(AND(Table1[[#This Row],[Spec Type2]]="N/A",Table1[[#This Row],[DUT Adj Read]]="N/A",Table1[[#This Row],[Std Adj Read]]="N/A"),"N/A",IF(Table1[[#This Row],[DUT Adj Read]]="N/A",IF(Table1[[#This Row],[Std Adj Read]]&lt;=Table1[[#This Row],[High Tol]],"Pass","Fail"),IF(Table1[[#This Row],[DUT Adj Read]]&lt;=Table1[[#This Row],[High Tol]],"Pass","Fail")))</f>
        <v>Fail</v>
      </c>
      <c r="AH22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9" s="1" t="b">
        <v>0</v>
      </c>
      <c r="AN2239" s="1" t="b">
        <v>0</v>
      </c>
      <c r="AO2239" s="1" t="b">
        <v>0</v>
      </c>
    </row>
    <row r="2240" spans="1:41" x14ac:dyDescent="0.25">
      <c r="A2240" s="10"/>
      <c r="B2240" s="10"/>
      <c r="C2240" s="10"/>
      <c r="D2240" s="10"/>
      <c r="E2240" s="10"/>
      <c r="F2240" s="10"/>
      <c r="G2240" s="10"/>
      <c r="H2240" s="10"/>
      <c r="I2240" s="1" t="str">
        <f t="shared" si="102"/>
        <v/>
      </c>
      <c r="J2240" s="1" t="s">
        <v>35</v>
      </c>
      <c r="K2240" s="1" t="str">
        <f t="shared" si="103"/>
        <v/>
      </c>
      <c r="L2240" s="1" t="str">
        <f t="shared" si="104"/>
        <v/>
      </c>
      <c r="M2240" s="1">
        <f>IF(OR(Table1[[#This Row],[Std Nom]]="",Table1[[#This Row],[Std Read]]=""),0,Table1[[#This Row],[Std Nom]]-Table1[[#This Row],[Std Read]])</f>
        <v>0</v>
      </c>
      <c r="N2240" s="1">
        <f>IF(Calculations!$F$5="ACCREDITED 17025 WITH UNCERTAINTIES",$N$10,0)</f>
        <v>0</v>
      </c>
      <c r="O2240" s="1" t="str">
        <f>IFERROR(Table1[[#This Row],[Std Nom]]-(_xlfn.XLOOKUP(Table1[[#This Row],[Manufacturer]]&amp;" "&amp;Table1[[#This Row],[Model]],Table13[MFR &amp; MDL],Table13[Tolerance % CW ],"")/100*Table1[[#This Row],[Std Nom]]),"")</f>
        <v/>
      </c>
      <c r="P2240" s="1" t="str">
        <f>IFERROR(Table1[[#This Row],[Std Nom]]+(_xlfn.XLOOKUP(Table1[[#This Row],[Manufacturer]]&amp;" "&amp;Table1[[#This Row],[Model]],Table13[MFR &amp; MDL],Table13[Tolerance % CW ],"")/100*Table1[[#This Row],[Std Nom]]),"")</f>
        <v/>
      </c>
      <c r="Q2240" s="1" t="e">
        <f>Table1[[#This Row],[High Tol]]-Table1[[#This Row],[Low Tol]]</f>
        <v>#VALUE!</v>
      </c>
      <c r="R2240" s="1">
        <f>2*Table1[[#This Row],[Std Error]]</f>
        <v>0</v>
      </c>
      <c r="S2240" s="1" t="str">
        <f>IF(Table1[[#This Row],[High Tol]]="","N/A",IFERROR(ABS(Table1[[#This Row],[Tol Span]]/Table1[[#This Row],[Error Span]]),"N/A"))</f>
        <v>N/A</v>
      </c>
      <c r="T2240" s="1" t="str">
        <f>IF(OR(Table1[[#This Row],[Low Tol]]="",Table1[[#This Row],[High Tol]]=""),"Needs Analysis",IF(Table1[[#This Row],[Ratio]]&gt;=4,"Not Significant",IF(Table1[[#This Row],[Ratio]]&gt;=2,"Semi-Significant","Significant")))</f>
        <v>Needs Analysis</v>
      </c>
      <c r="W2240" s="1">
        <f>IF(Table1[[#This Row],[Cal Type]]&lt;&gt;"ACCREDITED 17025 WITH UNCERTAINTIES",0,"")</f>
        <v>0</v>
      </c>
      <c r="X2240" s="1" t="str">
        <f>IF(Table1[[#This Row],[DUT Read]]="","N/A",Table1[[#This Row],[Std Error]]+Table1[[#This Row],[DUT Read]]+Table1[[#This Row],[DUT Ucty]])</f>
        <v>N/A</v>
      </c>
      <c r="Y2240" s="1" t="str">
        <f>IF(Table1[[#This Row],[Std Read]]="","N/A",Table1[[#This Row],[Std Read]]+Table1[[#This Row],[Std Ucty]])</f>
        <v>N/A</v>
      </c>
      <c r="Z22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0" s="1" t="str">
        <f>IF(Table1[[#This Row],[Spec Type]]="","N/A",Table1[[#This Row],[Spec Type]])</f>
        <v>±</v>
      </c>
      <c r="AC2240" s="1" t="str">
        <f>IF(Table1[[#This Row],[Spec Type2]]="N/A","N/A",IF(AND(Table1[[#This Row],[DUT Adj Read]]&gt;=Table1[[#This Row],[Low Tol]],Table1[[#This Row],[DUT Adj Read]]&lt;=Table1[[#This Row],[High Tol]]),"Pass","Fail"))</f>
        <v>Fail</v>
      </c>
      <c r="AD2240" s="1" t="str">
        <f>IF(AND(Table1[[#This Row],[Spec Type2]]="N/A",Table1[[#This Row],[DUT Adj Read]]="N/A",Table1[[#This Row],[Std Adj Read]]="N/A"),"N/A",IF(Table1[[#This Row],[DUT Adj Read]]="N/A",IF(Table1[[#This Row],[Std Adj Read]]&gt;Table1[[#This Row],[Low Tol]],"Pass","Fail"),IF(Table1[[#This Row],[DUT Adj Read]]&gt;Table1[[#This Row],[Low Tol]],"Pass","Fail")))</f>
        <v>Pass</v>
      </c>
      <c r="AE2240" s="1" t="str">
        <f>IF(AND(Table1[[#This Row],[Spec Type2]]="N/A",Table1[[#This Row],[DUT Adj Read]]="N/A",Table1[[#This Row],[Std Adj Read]]="N/A"),"N/A",IF(Table1[[#This Row],[DUT Adj Read]]="N/A",IF(Table1[[#This Row],[Std Adj Read]]&lt;Table1[[#This Row],[High Tol]],"Pass","Fail"),IF(Table1[[#This Row],[DUT Adj Read]]&lt;Table1[[#This Row],[High Tol]],"Pass","Fail")))</f>
        <v>Fail</v>
      </c>
      <c r="AF2240" s="1" t="str">
        <f>IF(AND(Table1[[#This Row],[Spec Type2]]="N/A",Table1[[#This Row],[DUT Adj Read]]="N/A",Table1[[#This Row],[Std Adj Read]]="N/A"),"N/A",IF(Table1[[#This Row],[DUT Adj Read]]="N/A",IF(Table1[[#This Row],[Std Adj Read]]&gt;=Table1[[#This Row],[Low Tol]],"Pass","Fail"),IF(Table1[[#This Row],[DUT Adj Read]]&gt;=Table1[[#This Row],[Low Tol]],"Pass","Fail")))</f>
        <v>Pass</v>
      </c>
      <c r="AG2240" s="1" t="str">
        <f>IF(AND(Table1[[#This Row],[Spec Type2]]="N/A",Table1[[#This Row],[DUT Adj Read]]="N/A",Table1[[#This Row],[Std Adj Read]]="N/A"),"N/A",IF(Table1[[#This Row],[DUT Adj Read]]="N/A",IF(Table1[[#This Row],[Std Adj Read]]&lt;=Table1[[#This Row],[High Tol]],"Pass","Fail"),IF(Table1[[#This Row],[DUT Adj Read]]&lt;=Table1[[#This Row],[High Tol]],"Pass","Fail")))</f>
        <v>Fail</v>
      </c>
      <c r="AH22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0" s="1" t="b">
        <v>0</v>
      </c>
      <c r="AN2240" s="1" t="b">
        <v>0</v>
      </c>
      <c r="AO2240" s="1" t="b">
        <v>0</v>
      </c>
    </row>
    <row r="2241" spans="1:41" x14ac:dyDescent="0.25">
      <c r="A2241" s="10"/>
      <c r="B2241" s="10"/>
      <c r="C2241" s="10"/>
      <c r="D2241" s="10"/>
      <c r="E2241" s="10"/>
      <c r="F2241" s="10"/>
      <c r="G2241" s="10"/>
      <c r="H2241" s="10"/>
      <c r="I2241" s="1" t="str">
        <f t="shared" si="102"/>
        <v/>
      </c>
      <c r="J2241" s="1" t="s">
        <v>35</v>
      </c>
      <c r="K2241" s="1" t="str">
        <f t="shared" si="103"/>
        <v/>
      </c>
      <c r="L2241" s="1" t="str">
        <f t="shared" si="104"/>
        <v/>
      </c>
      <c r="M2241" s="1">
        <f>IF(OR(Table1[[#This Row],[Std Nom]]="",Table1[[#This Row],[Std Read]]=""),0,Table1[[#This Row],[Std Nom]]-Table1[[#This Row],[Std Read]])</f>
        <v>0</v>
      </c>
      <c r="N2241" s="1">
        <f>IF(Calculations!$F$5="ACCREDITED 17025 WITH UNCERTAINTIES",$N$10,0)</f>
        <v>0</v>
      </c>
      <c r="O2241" s="1" t="str">
        <f>IFERROR(Table1[[#This Row],[Std Nom]]-(_xlfn.XLOOKUP(Table1[[#This Row],[Manufacturer]]&amp;" "&amp;Table1[[#This Row],[Model]],Table13[MFR &amp; MDL],Table13[Tolerance % CW ],"")/100*Table1[[#This Row],[Std Nom]]),"")</f>
        <v/>
      </c>
      <c r="P2241" s="1" t="str">
        <f>IFERROR(Table1[[#This Row],[Std Nom]]+(_xlfn.XLOOKUP(Table1[[#This Row],[Manufacturer]]&amp;" "&amp;Table1[[#This Row],[Model]],Table13[MFR &amp; MDL],Table13[Tolerance % CW ],"")/100*Table1[[#This Row],[Std Nom]]),"")</f>
        <v/>
      </c>
      <c r="Q2241" s="1" t="e">
        <f>Table1[[#This Row],[High Tol]]-Table1[[#This Row],[Low Tol]]</f>
        <v>#VALUE!</v>
      </c>
      <c r="R2241" s="1">
        <f>2*Table1[[#This Row],[Std Error]]</f>
        <v>0</v>
      </c>
      <c r="S2241" s="1" t="str">
        <f>IF(Table1[[#This Row],[High Tol]]="","N/A",IFERROR(ABS(Table1[[#This Row],[Tol Span]]/Table1[[#This Row],[Error Span]]),"N/A"))</f>
        <v>N/A</v>
      </c>
      <c r="T2241" s="1" t="str">
        <f>IF(OR(Table1[[#This Row],[Low Tol]]="",Table1[[#This Row],[High Tol]]=""),"Needs Analysis",IF(Table1[[#This Row],[Ratio]]&gt;=4,"Not Significant",IF(Table1[[#This Row],[Ratio]]&gt;=2,"Semi-Significant","Significant")))</f>
        <v>Needs Analysis</v>
      </c>
      <c r="W2241" s="1">
        <f>IF(Table1[[#This Row],[Cal Type]]&lt;&gt;"ACCREDITED 17025 WITH UNCERTAINTIES",0,"")</f>
        <v>0</v>
      </c>
      <c r="X2241" s="1" t="str">
        <f>IF(Table1[[#This Row],[DUT Read]]="","N/A",Table1[[#This Row],[Std Error]]+Table1[[#This Row],[DUT Read]]+Table1[[#This Row],[DUT Ucty]])</f>
        <v>N/A</v>
      </c>
      <c r="Y2241" s="1" t="str">
        <f>IF(Table1[[#This Row],[Std Read]]="","N/A",Table1[[#This Row],[Std Read]]+Table1[[#This Row],[Std Ucty]])</f>
        <v>N/A</v>
      </c>
      <c r="Z22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1" s="1" t="str">
        <f>IF(Table1[[#This Row],[Spec Type]]="","N/A",Table1[[#This Row],[Spec Type]])</f>
        <v>±</v>
      </c>
      <c r="AC2241" s="1" t="str">
        <f>IF(Table1[[#This Row],[Spec Type2]]="N/A","N/A",IF(AND(Table1[[#This Row],[DUT Adj Read]]&gt;=Table1[[#This Row],[Low Tol]],Table1[[#This Row],[DUT Adj Read]]&lt;=Table1[[#This Row],[High Tol]]),"Pass","Fail"))</f>
        <v>Fail</v>
      </c>
      <c r="AD2241" s="1" t="str">
        <f>IF(AND(Table1[[#This Row],[Spec Type2]]="N/A",Table1[[#This Row],[DUT Adj Read]]="N/A",Table1[[#This Row],[Std Adj Read]]="N/A"),"N/A",IF(Table1[[#This Row],[DUT Adj Read]]="N/A",IF(Table1[[#This Row],[Std Adj Read]]&gt;Table1[[#This Row],[Low Tol]],"Pass","Fail"),IF(Table1[[#This Row],[DUT Adj Read]]&gt;Table1[[#This Row],[Low Tol]],"Pass","Fail")))</f>
        <v>Pass</v>
      </c>
      <c r="AE2241" s="1" t="str">
        <f>IF(AND(Table1[[#This Row],[Spec Type2]]="N/A",Table1[[#This Row],[DUT Adj Read]]="N/A",Table1[[#This Row],[Std Adj Read]]="N/A"),"N/A",IF(Table1[[#This Row],[DUT Adj Read]]="N/A",IF(Table1[[#This Row],[Std Adj Read]]&lt;Table1[[#This Row],[High Tol]],"Pass","Fail"),IF(Table1[[#This Row],[DUT Adj Read]]&lt;Table1[[#This Row],[High Tol]],"Pass","Fail")))</f>
        <v>Fail</v>
      </c>
      <c r="AF2241" s="1" t="str">
        <f>IF(AND(Table1[[#This Row],[Spec Type2]]="N/A",Table1[[#This Row],[DUT Adj Read]]="N/A",Table1[[#This Row],[Std Adj Read]]="N/A"),"N/A",IF(Table1[[#This Row],[DUT Adj Read]]="N/A",IF(Table1[[#This Row],[Std Adj Read]]&gt;=Table1[[#This Row],[Low Tol]],"Pass","Fail"),IF(Table1[[#This Row],[DUT Adj Read]]&gt;=Table1[[#This Row],[Low Tol]],"Pass","Fail")))</f>
        <v>Pass</v>
      </c>
      <c r="AG2241" s="1" t="str">
        <f>IF(AND(Table1[[#This Row],[Spec Type2]]="N/A",Table1[[#This Row],[DUT Adj Read]]="N/A",Table1[[#This Row],[Std Adj Read]]="N/A"),"N/A",IF(Table1[[#This Row],[DUT Adj Read]]="N/A",IF(Table1[[#This Row],[Std Adj Read]]&lt;=Table1[[#This Row],[High Tol]],"Pass","Fail"),IF(Table1[[#This Row],[DUT Adj Read]]&lt;=Table1[[#This Row],[High Tol]],"Pass","Fail")))</f>
        <v>Fail</v>
      </c>
      <c r="AH22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1" s="1" t="b">
        <v>0</v>
      </c>
      <c r="AN2241" s="1" t="b">
        <v>0</v>
      </c>
      <c r="AO2241" s="1" t="b">
        <v>0</v>
      </c>
    </row>
    <row r="2242" spans="1:41" x14ac:dyDescent="0.25">
      <c r="A2242" s="10"/>
      <c r="B2242" s="10"/>
      <c r="C2242" s="10"/>
      <c r="D2242" s="10"/>
      <c r="E2242" s="10"/>
      <c r="F2242" s="10"/>
      <c r="G2242" s="10"/>
      <c r="H2242" s="10"/>
      <c r="I2242" s="1" t="str">
        <f t="shared" si="102"/>
        <v/>
      </c>
      <c r="J2242" s="1" t="s">
        <v>35</v>
      </c>
      <c r="K2242" s="1" t="str">
        <f t="shared" si="103"/>
        <v/>
      </c>
      <c r="L2242" s="1" t="str">
        <f t="shared" si="104"/>
        <v/>
      </c>
      <c r="M2242" s="1">
        <f>IF(OR(Table1[[#This Row],[Std Nom]]="",Table1[[#This Row],[Std Read]]=""),0,Table1[[#This Row],[Std Nom]]-Table1[[#This Row],[Std Read]])</f>
        <v>0</v>
      </c>
      <c r="N2242" s="1">
        <f>IF(Calculations!$F$5="ACCREDITED 17025 WITH UNCERTAINTIES",$N$10,0)</f>
        <v>0</v>
      </c>
      <c r="O2242" s="1" t="str">
        <f>IFERROR(Table1[[#This Row],[Std Nom]]-(_xlfn.XLOOKUP(Table1[[#This Row],[Manufacturer]]&amp;" "&amp;Table1[[#This Row],[Model]],Table13[MFR &amp; MDL],Table13[Tolerance % CW ],"")/100*Table1[[#This Row],[Std Nom]]),"")</f>
        <v/>
      </c>
      <c r="P2242" s="1" t="str">
        <f>IFERROR(Table1[[#This Row],[Std Nom]]+(_xlfn.XLOOKUP(Table1[[#This Row],[Manufacturer]]&amp;" "&amp;Table1[[#This Row],[Model]],Table13[MFR &amp; MDL],Table13[Tolerance % CW ],"")/100*Table1[[#This Row],[Std Nom]]),"")</f>
        <v/>
      </c>
      <c r="Q2242" s="1" t="e">
        <f>Table1[[#This Row],[High Tol]]-Table1[[#This Row],[Low Tol]]</f>
        <v>#VALUE!</v>
      </c>
      <c r="R2242" s="1">
        <f>2*Table1[[#This Row],[Std Error]]</f>
        <v>0</v>
      </c>
      <c r="S2242" s="1" t="str">
        <f>IF(Table1[[#This Row],[High Tol]]="","N/A",IFERROR(ABS(Table1[[#This Row],[Tol Span]]/Table1[[#This Row],[Error Span]]),"N/A"))</f>
        <v>N/A</v>
      </c>
      <c r="T2242" s="1" t="str">
        <f>IF(OR(Table1[[#This Row],[Low Tol]]="",Table1[[#This Row],[High Tol]]=""),"Needs Analysis",IF(Table1[[#This Row],[Ratio]]&gt;=4,"Not Significant",IF(Table1[[#This Row],[Ratio]]&gt;=2,"Semi-Significant","Significant")))</f>
        <v>Needs Analysis</v>
      </c>
      <c r="W2242" s="1">
        <f>IF(Table1[[#This Row],[Cal Type]]&lt;&gt;"ACCREDITED 17025 WITH UNCERTAINTIES",0,"")</f>
        <v>0</v>
      </c>
      <c r="X2242" s="1" t="str">
        <f>IF(Table1[[#This Row],[DUT Read]]="","N/A",Table1[[#This Row],[Std Error]]+Table1[[#This Row],[DUT Read]]+Table1[[#This Row],[DUT Ucty]])</f>
        <v>N/A</v>
      </c>
      <c r="Y2242" s="1" t="str">
        <f>IF(Table1[[#This Row],[Std Read]]="","N/A",Table1[[#This Row],[Std Read]]+Table1[[#This Row],[Std Ucty]])</f>
        <v>N/A</v>
      </c>
      <c r="Z22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2" s="1" t="str">
        <f>IF(Table1[[#This Row],[Spec Type]]="","N/A",Table1[[#This Row],[Spec Type]])</f>
        <v>±</v>
      </c>
      <c r="AC2242" s="1" t="str">
        <f>IF(Table1[[#This Row],[Spec Type2]]="N/A","N/A",IF(AND(Table1[[#This Row],[DUT Adj Read]]&gt;=Table1[[#This Row],[Low Tol]],Table1[[#This Row],[DUT Adj Read]]&lt;=Table1[[#This Row],[High Tol]]),"Pass","Fail"))</f>
        <v>Fail</v>
      </c>
      <c r="AD2242" s="1" t="str">
        <f>IF(AND(Table1[[#This Row],[Spec Type2]]="N/A",Table1[[#This Row],[DUT Adj Read]]="N/A",Table1[[#This Row],[Std Adj Read]]="N/A"),"N/A",IF(Table1[[#This Row],[DUT Adj Read]]="N/A",IF(Table1[[#This Row],[Std Adj Read]]&gt;Table1[[#This Row],[Low Tol]],"Pass","Fail"),IF(Table1[[#This Row],[DUT Adj Read]]&gt;Table1[[#This Row],[Low Tol]],"Pass","Fail")))</f>
        <v>Pass</v>
      </c>
      <c r="AE2242" s="1" t="str">
        <f>IF(AND(Table1[[#This Row],[Spec Type2]]="N/A",Table1[[#This Row],[DUT Adj Read]]="N/A",Table1[[#This Row],[Std Adj Read]]="N/A"),"N/A",IF(Table1[[#This Row],[DUT Adj Read]]="N/A",IF(Table1[[#This Row],[Std Adj Read]]&lt;Table1[[#This Row],[High Tol]],"Pass","Fail"),IF(Table1[[#This Row],[DUT Adj Read]]&lt;Table1[[#This Row],[High Tol]],"Pass","Fail")))</f>
        <v>Fail</v>
      </c>
      <c r="AF2242" s="1" t="str">
        <f>IF(AND(Table1[[#This Row],[Spec Type2]]="N/A",Table1[[#This Row],[DUT Adj Read]]="N/A",Table1[[#This Row],[Std Adj Read]]="N/A"),"N/A",IF(Table1[[#This Row],[DUT Adj Read]]="N/A",IF(Table1[[#This Row],[Std Adj Read]]&gt;=Table1[[#This Row],[Low Tol]],"Pass","Fail"),IF(Table1[[#This Row],[DUT Adj Read]]&gt;=Table1[[#This Row],[Low Tol]],"Pass","Fail")))</f>
        <v>Pass</v>
      </c>
      <c r="AG2242" s="1" t="str">
        <f>IF(AND(Table1[[#This Row],[Spec Type2]]="N/A",Table1[[#This Row],[DUT Adj Read]]="N/A",Table1[[#This Row],[Std Adj Read]]="N/A"),"N/A",IF(Table1[[#This Row],[DUT Adj Read]]="N/A",IF(Table1[[#This Row],[Std Adj Read]]&lt;=Table1[[#This Row],[High Tol]],"Pass","Fail"),IF(Table1[[#This Row],[DUT Adj Read]]&lt;=Table1[[#This Row],[High Tol]],"Pass","Fail")))</f>
        <v>Fail</v>
      </c>
      <c r="AH22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2" s="1" t="b">
        <v>0</v>
      </c>
      <c r="AN2242" s="1" t="b">
        <v>0</v>
      </c>
      <c r="AO2242" s="1" t="b">
        <v>0</v>
      </c>
    </row>
    <row r="2243" spans="1:41" x14ac:dyDescent="0.25">
      <c r="A2243" s="10"/>
      <c r="B2243" s="10"/>
      <c r="C2243" s="10"/>
      <c r="D2243" s="10"/>
      <c r="E2243" s="10"/>
      <c r="F2243" s="10"/>
      <c r="G2243" s="10"/>
      <c r="H2243" s="10"/>
      <c r="I2243" s="1" t="str">
        <f t="shared" si="102"/>
        <v/>
      </c>
      <c r="J2243" s="1" t="s">
        <v>35</v>
      </c>
      <c r="K2243" s="1" t="str">
        <f t="shared" si="103"/>
        <v/>
      </c>
      <c r="L2243" s="1" t="str">
        <f t="shared" si="104"/>
        <v/>
      </c>
      <c r="M2243" s="1">
        <f>IF(OR(Table1[[#This Row],[Std Nom]]="",Table1[[#This Row],[Std Read]]=""),0,Table1[[#This Row],[Std Nom]]-Table1[[#This Row],[Std Read]])</f>
        <v>0</v>
      </c>
      <c r="N2243" s="1">
        <f>IF(Calculations!$F$5="ACCREDITED 17025 WITH UNCERTAINTIES",$N$10,0)</f>
        <v>0</v>
      </c>
      <c r="O2243" s="1" t="str">
        <f>IFERROR(Table1[[#This Row],[Std Nom]]-(_xlfn.XLOOKUP(Table1[[#This Row],[Manufacturer]]&amp;" "&amp;Table1[[#This Row],[Model]],Table13[MFR &amp; MDL],Table13[Tolerance % CW ],"")/100*Table1[[#This Row],[Std Nom]]),"")</f>
        <v/>
      </c>
      <c r="P2243" s="1" t="str">
        <f>IFERROR(Table1[[#This Row],[Std Nom]]+(_xlfn.XLOOKUP(Table1[[#This Row],[Manufacturer]]&amp;" "&amp;Table1[[#This Row],[Model]],Table13[MFR &amp; MDL],Table13[Tolerance % CW ],"")/100*Table1[[#This Row],[Std Nom]]),"")</f>
        <v/>
      </c>
      <c r="Q2243" s="1" t="e">
        <f>Table1[[#This Row],[High Tol]]-Table1[[#This Row],[Low Tol]]</f>
        <v>#VALUE!</v>
      </c>
      <c r="R2243" s="1">
        <f>2*Table1[[#This Row],[Std Error]]</f>
        <v>0</v>
      </c>
      <c r="S2243" s="1" t="str">
        <f>IF(Table1[[#This Row],[High Tol]]="","N/A",IFERROR(ABS(Table1[[#This Row],[Tol Span]]/Table1[[#This Row],[Error Span]]),"N/A"))</f>
        <v>N/A</v>
      </c>
      <c r="T2243" s="1" t="str">
        <f>IF(OR(Table1[[#This Row],[Low Tol]]="",Table1[[#This Row],[High Tol]]=""),"Needs Analysis",IF(Table1[[#This Row],[Ratio]]&gt;=4,"Not Significant",IF(Table1[[#This Row],[Ratio]]&gt;=2,"Semi-Significant","Significant")))</f>
        <v>Needs Analysis</v>
      </c>
      <c r="W2243" s="1">
        <f>IF(Table1[[#This Row],[Cal Type]]&lt;&gt;"ACCREDITED 17025 WITH UNCERTAINTIES",0,"")</f>
        <v>0</v>
      </c>
      <c r="X2243" s="1" t="str">
        <f>IF(Table1[[#This Row],[DUT Read]]="","N/A",Table1[[#This Row],[Std Error]]+Table1[[#This Row],[DUT Read]]+Table1[[#This Row],[DUT Ucty]])</f>
        <v>N/A</v>
      </c>
      <c r="Y2243" s="1" t="str">
        <f>IF(Table1[[#This Row],[Std Read]]="","N/A",Table1[[#This Row],[Std Read]]+Table1[[#This Row],[Std Ucty]])</f>
        <v>N/A</v>
      </c>
      <c r="Z22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3" s="1" t="str">
        <f>IF(Table1[[#This Row],[Spec Type]]="","N/A",Table1[[#This Row],[Spec Type]])</f>
        <v>±</v>
      </c>
      <c r="AC2243" s="1" t="str">
        <f>IF(Table1[[#This Row],[Spec Type2]]="N/A","N/A",IF(AND(Table1[[#This Row],[DUT Adj Read]]&gt;=Table1[[#This Row],[Low Tol]],Table1[[#This Row],[DUT Adj Read]]&lt;=Table1[[#This Row],[High Tol]]),"Pass","Fail"))</f>
        <v>Fail</v>
      </c>
      <c r="AD2243" s="1" t="str">
        <f>IF(AND(Table1[[#This Row],[Spec Type2]]="N/A",Table1[[#This Row],[DUT Adj Read]]="N/A",Table1[[#This Row],[Std Adj Read]]="N/A"),"N/A",IF(Table1[[#This Row],[DUT Adj Read]]="N/A",IF(Table1[[#This Row],[Std Adj Read]]&gt;Table1[[#This Row],[Low Tol]],"Pass","Fail"),IF(Table1[[#This Row],[DUT Adj Read]]&gt;Table1[[#This Row],[Low Tol]],"Pass","Fail")))</f>
        <v>Pass</v>
      </c>
      <c r="AE2243" s="1" t="str">
        <f>IF(AND(Table1[[#This Row],[Spec Type2]]="N/A",Table1[[#This Row],[DUT Adj Read]]="N/A",Table1[[#This Row],[Std Adj Read]]="N/A"),"N/A",IF(Table1[[#This Row],[DUT Adj Read]]="N/A",IF(Table1[[#This Row],[Std Adj Read]]&lt;Table1[[#This Row],[High Tol]],"Pass","Fail"),IF(Table1[[#This Row],[DUT Adj Read]]&lt;Table1[[#This Row],[High Tol]],"Pass","Fail")))</f>
        <v>Fail</v>
      </c>
      <c r="AF2243" s="1" t="str">
        <f>IF(AND(Table1[[#This Row],[Spec Type2]]="N/A",Table1[[#This Row],[DUT Adj Read]]="N/A",Table1[[#This Row],[Std Adj Read]]="N/A"),"N/A",IF(Table1[[#This Row],[DUT Adj Read]]="N/A",IF(Table1[[#This Row],[Std Adj Read]]&gt;=Table1[[#This Row],[Low Tol]],"Pass","Fail"),IF(Table1[[#This Row],[DUT Adj Read]]&gt;=Table1[[#This Row],[Low Tol]],"Pass","Fail")))</f>
        <v>Pass</v>
      </c>
      <c r="AG2243" s="1" t="str">
        <f>IF(AND(Table1[[#This Row],[Spec Type2]]="N/A",Table1[[#This Row],[DUT Adj Read]]="N/A",Table1[[#This Row],[Std Adj Read]]="N/A"),"N/A",IF(Table1[[#This Row],[DUT Adj Read]]="N/A",IF(Table1[[#This Row],[Std Adj Read]]&lt;=Table1[[#This Row],[High Tol]],"Pass","Fail"),IF(Table1[[#This Row],[DUT Adj Read]]&lt;=Table1[[#This Row],[High Tol]],"Pass","Fail")))</f>
        <v>Fail</v>
      </c>
      <c r="AH22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3" s="1" t="b">
        <v>0</v>
      </c>
      <c r="AN2243" s="1" t="b">
        <v>0</v>
      </c>
      <c r="AO2243" s="1" t="b">
        <v>0</v>
      </c>
    </row>
    <row r="2244" spans="1:41" x14ac:dyDescent="0.25">
      <c r="A2244" s="10"/>
      <c r="B2244" s="10"/>
      <c r="C2244" s="10"/>
      <c r="D2244" s="10"/>
      <c r="E2244" s="10"/>
      <c r="F2244" s="10"/>
      <c r="G2244" s="10"/>
      <c r="H2244" s="10"/>
      <c r="I2244" s="1" t="str">
        <f t="shared" si="102"/>
        <v/>
      </c>
      <c r="J2244" s="1" t="s">
        <v>35</v>
      </c>
      <c r="K2244" s="1" t="str">
        <f t="shared" si="103"/>
        <v/>
      </c>
      <c r="L2244" s="1" t="str">
        <f t="shared" si="104"/>
        <v/>
      </c>
      <c r="M2244" s="1">
        <f>IF(OR(Table1[[#This Row],[Std Nom]]="",Table1[[#This Row],[Std Read]]=""),0,Table1[[#This Row],[Std Nom]]-Table1[[#This Row],[Std Read]])</f>
        <v>0</v>
      </c>
      <c r="N2244" s="1">
        <f>IF(Calculations!$F$5="ACCREDITED 17025 WITH UNCERTAINTIES",$N$10,0)</f>
        <v>0</v>
      </c>
      <c r="O2244" s="1" t="str">
        <f>IFERROR(Table1[[#This Row],[Std Nom]]-(_xlfn.XLOOKUP(Table1[[#This Row],[Manufacturer]]&amp;" "&amp;Table1[[#This Row],[Model]],Table13[MFR &amp; MDL],Table13[Tolerance % CW ],"")/100*Table1[[#This Row],[Std Nom]]),"")</f>
        <v/>
      </c>
      <c r="P2244" s="1" t="str">
        <f>IFERROR(Table1[[#This Row],[Std Nom]]+(_xlfn.XLOOKUP(Table1[[#This Row],[Manufacturer]]&amp;" "&amp;Table1[[#This Row],[Model]],Table13[MFR &amp; MDL],Table13[Tolerance % CW ],"")/100*Table1[[#This Row],[Std Nom]]),"")</f>
        <v/>
      </c>
      <c r="Q2244" s="1" t="e">
        <f>Table1[[#This Row],[High Tol]]-Table1[[#This Row],[Low Tol]]</f>
        <v>#VALUE!</v>
      </c>
      <c r="R2244" s="1">
        <f>2*Table1[[#This Row],[Std Error]]</f>
        <v>0</v>
      </c>
      <c r="S2244" s="1" t="str">
        <f>IF(Table1[[#This Row],[High Tol]]="","N/A",IFERROR(ABS(Table1[[#This Row],[Tol Span]]/Table1[[#This Row],[Error Span]]),"N/A"))</f>
        <v>N/A</v>
      </c>
      <c r="T2244" s="1" t="str">
        <f>IF(OR(Table1[[#This Row],[Low Tol]]="",Table1[[#This Row],[High Tol]]=""),"Needs Analysis",IF(Table1[[#This Row],[Ratio]]&gt;=4,"Not Significant",IF(Table1[[#This Row],[Ratio]]&gt;=2,"Semi-Significant","Significant")))</f>
        <v>Needs Analysis</v>
      </c>
      <c r="W2244" s="1">
        <f>IF(Table1[[#This Row],[Cal Type]]&lt;&gt;"ACCREDITED 17025 WITH UNCERTAINTIES",0,"")</f>
        <v>0</v>
      </c>
      <c r="X2244" s="1" t="str">
        <f>IF(Table1[[#This Row],[DUT Read]]="","N/A",Table1[[#This Row],[Std Error]]+Table1[[#This Row],[DUT Read]]+Table1[[#This Row],[DUT Ucty]])</f>
        <v>N/A</v>
      </c>
      <c r="Y2244" s="1" t="str">
        <f>IF(Table1[[#This Row],[Std Read]]="","N/A",Table1[[#This Row],[Std Read]]+Table1[[#This Row],[Std Ucty]])</f>
        <v>N/A</v>
      </c>
      <c r="Z22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4" s="1" t="str">
        <f>IF(Table1[[#This Row],[Spec Type]]="","N/A",Table1[[#This Row],[Spec Type]])</f>
        <v>±</v>
      </c>
      <c r="AC2244" s="1" t="str">
        <f>IF(Table1[[#This Row],[Spec Type2]]="N/A","N/A",IF(AND(Table1[[#This Row],[DUT Adj Read]]&gt;=Table1[[#This Row],[Low Tol]],Table1[[#This Row],[DUT Adj Read]]&lt;=Table1[[#This Row],[High Tol]]),"Pass","Fail"))</f>
        <v>Fail</v>
      </c>
      <c r="AD2244" s="1" t="str">
        <f>IF(AND(Table1[[#This Row],[Spec Type2]]="N/A",Table1[[#This Row],[DUT Adj Read]]="N/A",Table1[[#This Row],[Std Adj Read]]="N/A"),"N/A",IF(Table1[[#This Row],[DUT Adj Read]]="N/A",IF(Table1[[#This Row],[Std Adj Read]]&gt;Table1[[#This Row],[Low Tol]],"Pass","Fail"),IF(Table1[[#This Row],[DUT Adj Read]]&gt;Table1[[#This Row],[Low Tol]],"Pass","Fail")))</f>
        <v>Pass</v>
      </c>
      <c r="AE2244" s="1" t="str">
        <f>IF(AND(Table1[[#This Row],[Spec Type2]]="N/A",Table1[[#This Row],[DUT Adj Read]]="N/A",Table1[[#This Row],[Std Adj Read]]="N/A"),"N/A",IF(Table1[[#This Row],[DUT Adj Read]]="N/A",IF(Table1[[#This Row],[Std Adj Read]]&lt;Table1[[#This Row],[High Tol]],"Pass","Fail"),IF(Table1[[#This Row],[DUT Adj Read]]&lt;Table1[[#This Row],[High Tol]],"Pass","Fail")))</f>
        <v>Fail</v>
      </c>
      <c r="AF2244" s="1" t="str">
        <f>IF(AND(Table1[[#This Row],[Spec Type2]]="N/A",Table1[[#This Row],[DUT Adj Read]]="N/A",Table1[[#This Row],[Std Adj Read]]="N/A"),"N/A",IF(Table1[[#This Row],[DUT Adj Read]]="N/A",IF(Table1[[#This Row],[Std Adj Read]]&gt;=Table1[[#This Row],[Low Tol]],"Pass","Fail"),IF(Table1[[#This Row],[DUT Adj Read]]&gt;=Table1[[#This Row],[Low Tol]],"Pass","Fail")))</f>
        <v>Pass</v>
      </c>
      <c r="AG2244" s="1" t="str">
        <f>IF(AND(Table1[[#This Row],[Spec Type2]]="N/A",Table1[[#This Row],[DUT Adj Read]]="N/A",Table1[[#This Row],[Std Adj Read]]="N/A"),"N/A",IF(Table1[[#This Row],[DUT Adj Read]]="N/A",IF(Table1[[#This Row],[Std Adj Read]]&lt;=Table1[[#This Row],[High Tol]],"Pass","Fail"),IF(Table1[[#This Row],[DUT Adj Read]]&lt;=Table1[[#This Row],[High Tol]],"Pass","Fail")))</f>
        <v>Fail</v>
      </c>
      <c r="AH22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4" s="1" t="b">
        <v>0</v>
      </c>
      <c r="AN2244" s="1" t="b">
        <v>0</v>
      </c>
      <c r="AO2244" s="1" t="b">
        <v>0</v>
      </c>
    </row>
    <row r="2245" spans="1:41" x14ac:dyDescent="0.25">
      <c r="A2245" s="10"/>
      <c r="B2245" s="10"/>
      <c r="C2245" s="10"/>
      <c r="D2245" s="10"/>
      <c r="E2245" s="10"/>
      <c r="F2245" s="10"/>
      <c r="G2245" s="10"/>
      <c r="H2245" s="10"/>
      <c r="I2245" s="1" t="str">
        <f t="shared" si="102"/>
        <v/>
      </c>
      <c r="J2245" s="1" t="s">
        <v>35</v>
      </c>
      <c r="K2245" s="1" t="str">
        <f t="shared" si="103"/>
        <v/>
      </c>
      <c r="L2245" s="1" t="str">
        <f t="shared" si="104"/>
        <v/>
      </c>
      <c r="M2245" s="1">
        <f>IF(OR(Table1[[#This Row],[Std Nom]]="",Table1[[#This Row],[Std Read]]=""),0,Table1[[#This Row],[Std Nom]]-Table1[[#This Row],[Std Read]])</f>
        <v>0</v>
      </c>
      <c r="N2245" s="1">
        <f>IF(Calculations!$F$5="ACCREDITED 17025 WITH UNCERTAINTIES",$N$10,0)</f>
        <v>0</v>
      </c>
      <c r="O2245" s="1" t="str">
        <f>IFERROR(Table1[[#This Row],[Std Nom]]-(_xlfn.XLOOKUP(Table1[[#This Row],[Manufacturer]]&amp;" "&amp;Table1[[#This Row],[Model]],Table13[MFR &amp; MDL],Table13[Tolerance % CW ],"")/100*Table1[[#This Row],[Std Nom]]),"")</f>
        <v/>
      </c>
      <c r="P2245" s="1" t="str">
        <f>IFERROR(Table1[[#This Row],[Std Nom]]+(_xlfn.XLOOKUP(Table1[[#This Row],[Manufacturer]]&amp;" "&amp;Table1[[#This Row],[Model]],Table13[MFR &amp; MDL],Table13[Tolerance % CW ],"")/100*Table1[[#This Row],[Std Nom]]),"")</f>
        <v/>
      </c>
      <c r="Q2245" s="1" t="e">
        <f>Table1[[#This Row],[High Tol]]-Table1[[#This Row],[Low Tol]]</f>
        <v>#VALUE!</v>
      </c>
      <c r="R2245" s="1">
        <f>2*Table1[[#This Row],[Std Error]]</f>
        <v>0</v>
      </c>
      <c r="S2245" s="1" t="str">
        <f>IF(Table1[[#This Row],[High Tol]]="","N/A",IFERROR(ABS(Table1[[#This Row],[Tol Span]]/Table1[[#This Row],[Error Span]]),"N/A"))</f>
        <v>N/A</v>
      </c>
      <c r="T2245" s="1" t="str">
        <f>IF(OR(Table1[[#This Row],[Low Tol]]="",Table1[[#This Row],[High Tol]]=""),"Needs Analysis",IF(Table1[[#This Row],[Ratio]]&gt;=4,"Not Significant",IF(Table1[[#This Row],[Ratio]]&gt;=2,"Semi-Significant","Significant")))</f>
        <v>Needs Analysis</v>
      </c>
      <c r="W2245" s="1">
        <f>IF(Table1[[#This Row],[Cal Type]]&lt;&gt;"ACCREDITED 17025 WITH UNCERTAINTIES",0,"")</f>
        <v>0</v>
      </c>
      <c r="X2245" s="1" t="str">
        <f>IF(Table1[[#This Row],[DUT Read]]="","N/A",Table1[[#This Row],[Std Error]]+Table1[[#This Row],[DUT Read]]+Table1[[#This Row],[DUT Ucty]])</f>
        <v>N/A</v>
      </c>
      <c r="Y2245" s="1" t="str">
        <f>IF(Table1[[#This Row],[Std Read]]="","N/A",Table1[[#This Row],[Std Read]]+Table1[[#This Row],[Std Ucty]])</f>
        <v>N/A</v>
      </c>
      <c r="Z22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5" s="1" t="str">
        <f>IF(Table1[[#This Row],[Spec Type]]="","N/A",Table1[[#This Row],[Spec Type]])</f>
        <v>±</v>
      </c>
      <c r="AC2245" s="1" t="str">
        <f>IF(Table1[[#This Row],[Spec Type2]]="N/A","N/A",IF(AND(Table1[[#This Row],[DUT Adj Read]]&gt;=Table1[[#This Row],[Low Tol]],Table1[[#This Row],[DUT Adj Read]]&lt;=Table1[[#This Row],[High Tol]]),"Pass","Fail"))</f>
        <v>Fail</v>
      </c>
      <c r="AD2245" s="1" t="str">
        <f>IF(AND(Table1[[#This Row],[Spec Type2]]="N/A",Table1[[#This Row],[DUT Adj Read]]="N/A",Table1[[#This Row],[Std Adj Read]]="N/A"),"N/A",IF(Table1[[#This Row],[DUT Adj Read]]="N/A",IF(Table1[[#This Row],[Std Adj Read]]&gt;Table1[[#This Row],[Low Tol]],"Pass","Fail"),IF(Table1[[#This Row],[DUT Adj Read]]&gt;Table1[[#This Row],[Low Tol]],"Pass","Fail")))</f>
        <v>Pass</v>
      </c>
      <c r="AE2245" s="1" t="str">
        <f>IF(AND(Table1[[#This Row],[Spec Type2]]="N/A",Table1[[#This Row],[DUT Adj Read]]="N/A",Table1[[#This Row],[Std Adj Read]]="N/A"),"N/A",IF(Table1[[#This Row],[DUT Adj Read]]="N/A",IF(Table1[[#This Row],[Std Adj Read]]&lt;Table1[[#This Row],[High Tol]],"Pass","Fail"),IF(Table1[[#This Row],[DUT Adj Read]]&lt;Table1[[#This Row],[High Tol]],"Pass","Fail")))</f>
        <v>Fail</v>
      </c>
      <c r="AF2245" s="1" t="str">
        <f>IF(AND(Table1[[#This Row],[Spec Type2]]="N/A",Table1[[#This Row],[DUT Adj Read]]="N/A",Table1[[#This Row],[Std Adj Read]]="N/A"),"N/A",IF(Table1[[#This Row],[DUT Adj Read]]="N/A",IF(Table1[[#This Row],[Std Adj Read]]&gt;=Table1[[#This Row],[Low Tol]],"Pass","Fail"),IF(Table1[[#This Row],[DUT Adj Read]]&gt;=Table1[[#This Row],[Low Tol]],"Pass","Fail")))</f>
        <v>Pass</v>
      </c>
      <c r="AG2245" s="1" t="str">
        <f>IF(AND(Table1[[#This Row],[Spec Type2]]="N/A",Table1[[#This Row],[DUT Adj Read]]="N/A",Table1[[#This Row],[Std Adj Read]]="N/A"),"N/A",IF(Table1[[#This Row],[DUT Adj Read]]="N/A",IF(Table1[[#This Row],[Std Adj Read]]&lt;=Table1[[#This Row],[High Tol]],"Pass","Fail"),IF(Table1[[#This Row],[DUT Adj Read]]&lt;=Table1[[#This Row],[High Tol]],"Pass","Fail")))</f>
        <v>Fail</v>
      </c>
      <c r="AH22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5" s="1" t="b">
        <v>0</v>
      </c>
      <c r="AN2245" s="1" t="b">
        <v>0</v>
      </c>
      <c r="AO2245" s="1" t="b">
        <v>0</v>
      </c>
    </row>
    <row r="2246" spans="1:41" x14ac:dyDescent="0.25">
      <c r="A2246" s="10"/>
      <c r="B2246" s="10"/>
      <c r="C2246" s="10"/>
      <c r="D2246" s="10"/>
      <c r="E2246" s="10"/>
      <c r="F2246" s="10"/>
      <c r="G2246" s="10"/>
      <c r="H2246" s="10"/>
      <c r="I2246" s="1" t="str">
        <f t="shared" si="102"/>
        <v/>
      </c>
      <c r="J2246" s="1" t="s">
        <v>35</v>
      </c>
      <c r="K2246" s="1" t="str">
        <f t="shared" si="103"/>
        <v/>
      </c>
      <c r="L2246" s="1" t="str">
        <f t="shared" si="104"/>
        <v/>
      </c>
      <c r="M2246" s="1">
        <f>IF(OR(Table1[[#This Row],[Std Nom]]="",Table1[[#This Row],[Std Read]]=""),0,Table1[[#This Row],[Std Nom]]-Table1[[#This Row],[Std Read]])</f>
        <v>0</v>
      </c>
      <c r="N2246" s="1">
        <f>IF(Calculations!$F$5="ACCREDITED 17025 WITH UNCERTAINTIES",$N$10,0)</f>
        <v>0</v>
      </c>
      <c r="O2246" s="1" t="str">
        <f>IFERROR(Table1[[#This Row],[Std Nom]]-(_xlfn.XLOOKUP(Table1[[#This Row],[Manufacturer]]&amp;" "&amp;Table1[[#This Row],[Model]],Table13[MFR &amp; MDL],Table13[Tolerance % CW ],"")/100*Table1[[#This Row],[Std Nom]]),"")</f>
        <v/>
      </c>
      <c r="P2246" s="1" t="str">
        <f>IFERROR(Table1[[#This Row],[Std Nom]]+(_xlfn.XLOOKUP(Table1[[#This Row],[Manufacturer]]&amp;" "&amp;Table1[[#This Row],[Model]],Table13[MFR &amp; MDL],Table13[Tolerance % CW ],"")/100*Table1[[#This Row],[Std Nom]]),"")</f>
        <v/>
      </c>
      <c r="Q2246" s="1" t="e">
        <f>Table1[[#This Row],[High Tol]]-Table1[[#This Row],[Low Tol]]</f>
        <v>#VALUE!</v>
      </c>
      <c r="R2246" s="1">
        <f>2*Table1[[#This Row],[Std Error]]</f>
        <v>0</v>
      </c>
      <c r="S2246" s="1" t="str">
        <f>IF(Table1[[#This Row],[High Tol]]="","N/A",IFERROR(ABS(Table1[[#This Row],[Tol Span]]/Table1[[#This Row],[Error Span]]),"N/A"))</f>
        <v>N/A</v>
      </c>
      <c r="T2246" s="1" t="str">
        <f>IF(OR(Table1[[#This Row],[Low Tol]]="",Table1[[#This Row],[High Tol]]=""),"Needs Analysis",IF(Table1[[#This Row],[Ratio]]&gt;=4,"Not Significant",IF(Table1[[#This Row],[Ratio]]&gt;=2,"Semi-Significant","Significant")))</f>
        <v>Needs Analysis</v>
      </c>
      <c r="W2246" s="1">
        <f>IF(Table1[[#This Row],[Cal Type]]&lt;&gt;"ACCREDITED 17025 WITH UNCERTAINTIES",0,"")</f>
        <v>0</v>
      </c>
      <c r="X2246" s="1" t="str">
        <f>IF(Table1[[#This Row],[DUT Read]]="","N/A",Table1[[#This Row],[Std Error]]+Table1[[#This Row],[DUT Read]]+Table1[[#This Row],[DUT Ucty]])</f>
        <v>N/A</v>
      </c>
      <c r="Y2246" s="1" t="str">
        <f>IF(Table1[[#This Row],[Std Read]]="","N/A",Table1[[#This Row],[Std Read]]+Table1[[#This Row],[Std Ucty]])</f>
        <v>N/A</v>
      </c>
      <c r="Z22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6" s="1" t="str">
        <f>IF(Table1[[#This Row],[Spec Type]]="","N/A",Table1[[#This Row],[Spec Type]])</f>
        <v>±</v>
      </c>
      <c r="AC2246" s="1" t="str">
        <f>IF(Table1[[#This Row],[Spec Type2]]="N/A","N/A",IF(AND(Table1[[#This Row],[DUT Adj Read]]&gt;=Table1[[#This Row],[Low Tol]],Table1[[#This Row],[DUT Adj Read]]&lt;=Table1[[#This Row],[High Tol]]),"Pass","Fail"))</f>
        <v>Fail</v>
      </c>
      <c r="AD2246" s="1" t="str">
        <f>IF(AND(Table1[[#This Row],[Spec Type2]]="N/A",Table1[[#This Row],[DUT Adj Read]]="N/A",Table1[[#This Row],[Std Adj Read]]="N/A"),"N/A",IF(Table1[[#This Row],[DUT Adj Read]]="N/A",IF(Table1[[#This Row],[Std Adj Read]]&gt;Table1[[#This Row],[Low Tol]],"Pass","Fail"),IF(Table1[[#This Row],[DUT Adj Read]]&gt;Table1[[#This Row],[Low Tol]],"Pass","Fail")))</f>
        <v>Pass</v>
      </c>
      <c r="AE2246" s="1" t="str">
        <f>IF(AND(Table1[[#This Row],[Spec Type2]]="N/A",Table1[[#This Row],[DUT Adj Read]]="N/A",Table1[[#This Row],[Std Adj Read]]="N/A"),"N/A",IF(Table1[[#This Row],[DUT Adj Read]]="N/A",IF(Table1[[#This Row],[Std Adj Read]]&lt;Table1[[#This Row],[High Tol]],"Pass","Fail"),IF(Table1[[#This Row],[DUT Adj Read]]&lt;Table1[[#This Row],[High Tol]],"Pass","Fail")))</f>
        <v>Fail</v>
      </c>
      <c r="AF2246" s="1" t="str">
        <f>IF(AND(Table1[[#This Row],[Spec Type2]]="N/A",Table1[[#This Row],[DUT Adj Read]]="N/A",Table1[[#This Row],[Std Adj Read]]="N/A"),"N/A",IF(Table1[[#This Row],[DUT Adj Read]]="N/A",IF(Table1[[#This Row],[Std Adj Read]]&gt;=Table1[[#This Row],[Low Tol]],"Pass","Fail"),IF(Table1[[#This Row],[DUT Adj Read]]&gt;=Table1[[#This Row],[Low Tol]],"Pass","Fail")))</f>
        <v>Pass</v>
      </c>
      <c r="AG2246" s="1" t="str">
        <f>IF(AND(Table1[[#This Row],[Spec Type2]]="N/A",Table1[[#This Row],[DUT Adj Read]]="N/A",Table1[[#This Row],[Std Adj Read]]="N/A"),"N/A",IF(Table1[[#This Row],[DUT Adj Read]]="N/A",IF(Table1[[#This Row],[Std Adj Read]]&lt;=Table1[[#This Row],[High Tol]],"Pass","Fail"),IF(Table1[[#This Row],[DUT Adj Read]]&lt;=Table1[[#This Row],[High Tol]],"Pass","Fail")))</f>
        <v>Fail</v>
      </c>
      <c r="AH22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6" s="1" t="b">
        <v>0</v>
      </c>
      <c r="AN2246" s="1" t="b">
        <v>0</v>
      </c>
      <c r="AO2246" s="1" t="b">
        <v>0</v>
      </c>
    </row>
    <row r="2247" spans="1:41" x14ac:dyDescent="0.25">
      <c r="A2247" s="10"/>
      <c r="B2247" s="10"/>
      <c r="C2247" s="10"/>
      <c r="D2247" s="10"/>
      <c r="E2247" s="10"/>
      <c r="F2247" s="10"/>
      <c r="G2247" s="10"/>
      <c r="H2247" s="10"/>
      <c r="I2247" s="1" t="str">
        <f t="shared" si="102"/>
        <v/>
      </c>
      <c r="J2247" s="1" t="s">
        <v>35</v>
      </c>
      <c r="K2247" s="1" t="str">
        <f t="shared" si="103"/>
        <v/>
      </c>
      <c r="L2247" s="1" t="str">
        <f t="shared" si="104"/>
        <v/>
      </c>
      <c r="M2247" s="1">
        <f>IF(OR(Table1[[#This Row],[Std Nom]]="",Table1[[#This Row],[Std Read]]=""),0,Table1[[#This Row],[Std Nom]]-Table1[[#This Row],[Std Read]])</f>
        <v>0</v>
      </c>
      <c r="N2247" s="1">
        <f>IF(Calculations!$F$5="ACCREDITED 17025 WITH UNCERTAINTIES",$N$10,0)</f>
        <v>0</v>
      </c>
      <c r="O2247" s="1" t="str">
        <f>IFERROR(Table1[[#This Row],[Std Nom]]-(_xlfn.XLOOKUP(Table1[[#This Row],[Manufacturer]]&amp;" "&amp;Table1[[#This Row],[Model]],Table13[MFR &amp; MDL],Table13[Tolerance % CW ],"")/100*Table1[[#This Row],[Std Nom]]),"")</f>
        <v/>
      </c>
      <c r="P2247" s="1" t="str">
        <f>IFERROR(Table1[[#This Row],[Std Nom]]+(_xlfn.XLOOKUP(Table1[[#This Row],[Manufacturer]]&amp;" "&amp;Table1[[#This Row],[Model]],Table13[MFR &amp; MDL],Table13[Tolerance % CW ],"")/100*Table1[[#This Row],[Std Nom]]),"")</f>
        <v/>
      </c>
      <c r="Q2247" s="1" t="e">
        <f>Table1[[#This Row],[High Tol]]-Table1[[#This Row],[Low Tol]]</f>
        <v>#VALUE!</v>
      </c>
      <c r="R2247" s="1">
        <f>2*Table1[[#This Row],[Std Error]]</f>
        <v>0</v>
      </c>
      <c r="S2247" s="1" t="str">
        <f>IF(Table1[[#This Row],[High Tol]]="","N/A",IFERROR(ABS(Table1[[#This Row],[Tol Span]]/Table1[[#This Row],[Error Span]]),"N/A"))</f>
        <v>N/A</v>
      </c>
      <c r="T2247" s="1" t="str">
        <f>IF(OR(Table1[[#This Row],[Low Tol]]="",Table1[[#This Row],[High Tol]]=""),"Needs Analysis",IF(Table1[[#This Row],[Ratio]]&gt;=4,"Not Significant",IF(Table1[[#This Row],[Ratio]]&gt;=2,"Semi-Significant","Significant")))</f>
        <v>Needs Analysis</v>
      </c>
      <c r="W2247" s="1">
        <f>IF(Table1[[#This Row],[Cal Type]]&lt;&gt;"ACCREDITED 17025 WITH UNCERTAINTIES",0,"")</f>
        <v>0</v>
      </c>
      <c r="X2247" s="1" t="str">
        <f>IF(Table1[[#This Row],[DUT Read]]="","N/A",Table1[[#This Row],[Std Error]]+Table1[[#This Row],[DUT Read]]+Table1[[#This Row],[DUT Ucty]])</f>
        <v>N/A</v>
      </c>
      <c r="Y2247" s="1" t="str">
        <f>IF(Table1[[#This Row],[Std Read]]="","N/A",Table1[[#This Row],[Std Read]]+Table1[[#This Row],[Std Ucty]])</f>
        <v>N/A</v>
      </c>
      <c r="Z22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7" s="1" t="str">
        <f>IF(Table1[[#This Row],[Spec Type]]="","N/A",Table1[[#This Row],[Spec Type]])</f>
        <v>±</v>
      </c>
      <c r="AC2247" s="1" t="str">
        <f>IF(Table1[[#This Row],[Spec Type2]]="N/A","N/A",IF(AND(Table1[[#This Row],[DUT Adj Read]]&gt;=Table1[[#This Row],[Low Tol]],Table1[[#This Row],[DUT Adj Read]]&lt;=Table1[[#This Row],[High Tol]]),"Pass","Fail"))</f>
        <v>Fail</v>
      </c>
      <c r="AD2247" s="1" t="str">
        <f>IF(AND(Table1[[#This Row],[Spec Type2]]="N/A",Table1[[#This Row],[DUT Adj Read]]="N/A",Table1[[#This Row],[Std Adj Read]]="N/A"),"N/A",IF(Table1[[#This Row],[DUT Adj Read]]="N/A",IF(Table1[[#This Row],[Std Adj Read]]&gt;Table1[[#This Row],[Low Tol]],"Pass","Fail"),IF(Table1[[#This Row],[DUT Adj Read]]&gt;Table1[[#This Row],[Low Tol]],"Pass","Fail")))</f>
        <v>Pass</v>
      </c>
      <c r="AE2247" s="1" t="str">
        <f>IF(AND(Table1[[#This Row],[Spec Type2]]="N/A",Table1[[#This Row],[DUT Adj Read]]="N/A",Table1[[#This Row],[Std Adj Read]]="N/A"),"N/A",IF(Table1[[#This Row],[DUT Adj Read]]="N/A",IF(Table1[[#This Row],[Std Adj Read]]&lt;Table1[[#This Row],[High Tol]],"Pass","Fail"),IF(Table1[[#This Row],[DUT Adj Read]]&lt;Table1[[#This Row],[High Tol]],"Pass","Fail")))</f>
        <v>Fail</v>
      </c>
      <c r="AF2247" s="1" t="str">
        <f>IF(AND(Table1[[#This Row],[Spec Type2]]="N/A",Table1[[#This Row],[DUT Adj Read]]="N/A",Table1[[#This Row],[Std Adj Read]]="N/A"),"N/A",IF(Table1[[#This Row],[DUT Adj Read]]="N/A",IF(Table1[[#This Row],[Std Adj Read]]&gt;=Table1[[#This Row],[Low Tol]],"Pass","Fail"),IF(Table1[[#This Row],[DUT Adj Read]]&gt;=Table1[[#This Row],[Low Tol]],"Pass","Fail")))</f>
        <v>Pass</v>
      </c>
      <c r="AG2247" s="1" t="str">
        <f>IF(AND(Table1[[#This Row],[Spec Type2]]="N/A",Table1[[#This Row],[DUT Adj Read]]="N/A",Table1[[#This Row],[Std Adj Read]]="N/A"),"N/A",IF(Table1[[#This Row],[DUT Adj Read]]="N/A",IF(Table1[[#This Row],[Std Adj Read]]&lt;=Table1[[#This Row],[High Tol]],"Pass","Fail"),IF(Table1[[#This Row],[DUT Adj Read]]&lt;=Table1[[#This Row],[High Tol]],"Pass","Fail")))</f>
        <v>Fail</v>
      </c>
      <c r="AH22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7" s="1" t="b">
        <v>0</v>
      </c>
      <c r="AN2247" s="1" t="b">
        <v>0</v>
      </c>
      <c r="AO2247" s="1" t="b">
        <v>0</v>
      </c>
    </row>
    <row r="2248" spans="1:41" x14ac:dyDescent="0.25">
      <c r="A2248" s="10"/>
      <c r="B2248" s="10"/>
      <c r="C2248" s="10"/>
      <c r="D2248" s="10"/>
      <c r="E2248" s="10"/>
      <c r="F2248" s="10"/>
      <c r="G2248" s="10"/>
      <c r="H2248" s="10"/>
      <c r="I2248" s="1" t="str">
        <f t="shared" si="102"/>
        <v/>
      </c>
      <c r="J2248" s="1" t="s">
        <v>35</v>
      </c>
      <c r="K2248" s="1" t="str">
        <f t="shared" si="103"/>
        <v/>
      </c>
      <c r="L2248" s="1" t="str">
        <f t="shared" si="104"/>
        <v/>
      </c>
      <c r="M2248" s="1">
        <f>IF(OR(Table1[[#This Row],[Std Nom]]="",Table1[[#This Row],[Std Read]]=""),0,Table1[[#This Row],[Std Nom]]-Table1[[#This Row],[Std Read]])</f>
        <v>0</v>
      </c>
      <c r="N2248" s="1">
        <f>IF(Calculations!$F$5="ACCREDITED 17025 WITH UNCERTAINTIES",$N$10,0)</f>
        <v>0</v>
      </c>
      <c r="O2248" s="1" t="str">
        <f>IFERROR(Table1[[#This Row],[Std Nom]]-(_xlfn.XLOOKUP(Table1[[#This Row],[Manufacturer]]&amp;" "&amp;Table1[[#This Row],[Model]],Table13[MFR &amp; MDL],Table13[Tolerance % CW ],"")/100*Table1[[#This Row],[Std Nom]]),"")</f>
        <v/>
      </c>
      <c r="P2248" s="1" t="str">
        <f>IFERROR(Table1[[#This Row],[Std Nom]]+(_xlfn.XLOOKUP(Table1[[#This Row],[Manufacturer]]&amp;" "&amp;Table1[[#This Row],[Model]],Table13[MFR &amp; MDL],Table13[Tolerance % CW ],"")/100*Table1[[#This Row],[Std Nom]]),"")</f>
        <v/>
      </c>
      <c r="Q2248" s="1" t="e">
        <f>Table1[[#This Row],[High Tol]]-Table1[[#This Row],[Low Tol]]</f>
        <v>#VALUE!</v>
      </c>
      <c r="R2248" s="1">
        <f>2*Table1[[#This Row],[Std Error]]</f>
        <v>0</v>
      </c>
      <c r="S2248" s="1" t="str">
        <f>IF(Table1[[#This Row],[High Tol]]="","N/A",IFERROR(ABS(Table1[[#This Row],[Tol Span]]/Table1[[#This Row],[Error Span]]),"N/A"))</f>
        <v>N/A</v>
      </c>
      <c r="T2248" s="1" t="str">
        <f>IF(OR(Table1[[#This Row],[Low Tol]]="",Table1[[#This Row],[High Tol]]=""),"Needs Analysis",IF(Table1[[#This Row],[Ratio]]&gt;=4,"Not Significant",IF(Table1[[#This Row],[Ratio]]&gt;=2,"Semi-Significant","Significant")))</f>
        <v>Needs Analysis</v>
      </c>
      <c r="W2248" s="1">
        <f>IF(Table1[[#This Row],[Cal Type]]&lt;&gt;"ACCREDITED 17025 WITH UNCERTAINTIES",0,"")</f>
        <v>0</v>
      </c>
      <c r="X2248" s="1" t="str">
        <f>IF(Table1[[#This Row],[DUT Read]]="","N/A",Table1[[#This Row],[Std Error]]+Table1[[#This Row],[DUT Read]]+Table1[[#This Row],[DUT Ucty]])</f>
        <v>N/A</v>
      </c>
      <c r="Y2248" s="1" t="str">
        <f>IF(Table1[[#This Row],[Std Read]]="","N/A",Table1[[#This Row],[Std Read]]+Table1[[#This Row],[Std Ucty]])</f>
        <v>N/A</v>
      </c>
      <c r="Z22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8" s="1" t="str">
        <f>IF(Table1[[#This Row],[Spec Type]]="","N/A",Table1[[#This Row],[Spec Type]])</f>
        <v>±</v>
      </c>
      <c r="AC2248" s="1" t="str">
        <f>IF(Table1[[#This Row],[Spec Type2]]="N/A","N/A",IF(AND(Table1[[#This Row],[DUT Adj Read]]&gt;=Table1[[#This Row],[Low Tol]],Table1[[#This Row],[DUT Adj Read]]&lt;=Table1[[#This Row],[High Tol]]),"Pass","Fail"))</f>
        <v>Fail</v>
      </c>
      <c r="AD2248" s="1" t="str">
        <f>IF(AND(Table1[[#This Row],[Spec Type2]]="N/A",Table1[[#This Row],[DUT Adj Read]]="N/A",Table1[[#This Row],[Std Adj Read]]="N/A"),"N/A",IF(Table1[[#This Row],[DUT Adj Read]]="N/A",IF(Table1[[#This Row],[Std Adj Read]]&gt;Table1[[#This Row],[Low Tol]],"Pass","Fail"),IF(Table1[[#This Row],[DUT Adj Read]]&gt;Table1[[#This Row],[Low Tol]],"Pass","Fail")))</f>
        <v>Pass</v>
      </c>
      <c r="AE2248" s="1" t="str">
        <f>IF(AND(Table1[[#This Row],[Spec Type2]]="N/A",Table1[[#This Row],[DUT Adj Read]]="N/A",Table1[[#This Row],[Std Adj Read]]="N/A"),"N/A",IF(Table1[[#This Row],[DUT Adj Read]]="N/A",IF(Table1[[#This Row],[Std Adj Read]]&lt;Table1[[#This Row],[High Tol]],"Pass","Fail"),IF(Table1[[#This Row],[DUT Adj Read]]&lt;Table1[[#This Row],[High Tol]],"Pass","Fail")))</f>
        <v>Fail</v>
      </c>
      <c r="AF2248" s="1" t="str">
        <f>IF(AND(Table1[[#This Row],[Spec Type2]]="N/A",Table1[[#This Row],[DUT Adj Read]]="N/A",Table1[[#This Row],[Std Adj Read]]="N/A"),"N/A",IF(Table1[[#This Row],[DUT Adj Read]]="N/A",IF(Table1[[#This Row],[Std Adj Read]]&gt;=Table1[[#This Row],[Low Tol]],"Pass","Fail"),IF(Table1[[#This Row],[DUT Adj Read]]&gt;=Table1[[#This Row],[Low Tol]],"Pass","Fail")))</f>
        <v>Pass</v>
      </c>
      <c r="AG2248" s="1" t="str">
        <f>IF(AND(Table1[[#This Row],[Spec Type2]]="N/A",Table1[[#This Row],[DUT Adj Read]]="N/A",Table1[[#This Row],[Std Adj Read]]="N/A"),"N/A",IF(Table1[[#This Row],[DUT Adj Read]]="N/A",IF(Table1[[#This Row],[Std Adj Read]]&lt;=Table1[[#This Row],[High Tol]],"Pass","Fail"),IF(Table1[[#This Row],[DUT Adj Read]]&lt;=Table1[[#This Row],[High Tol]],"Pass","Fail")))</f>
        <v>Fail</v>
      </c>
      <c r="AH22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8" s="1" t="b">
        <v>0</v>
      </c>
      <c r="AN2248" s="1" t="b">
        <v>0</v>
      </c>
      <c r="AO2248" s="1" t="b">
        <v>0</v>
      </c>
    </row>
    <row r="2249" spans="1:41" x14ac:dyDescent="0.25">
      <c r="A2249" s="10"/>
      <c r="B2249" s="10"/>
      <c r="C2249" s="10"/>
      <c r="D2249" s="10"/>
      <c r="E2249" s="10"/>
      <c r="F2249" s="10"/>
      <c r="G2249" s="10"/>
      <c r="H2249" s="10"/>
      <c r="I2249" s="1" t="str">
        <f t="shared" si="102"/>
        <v/>
      </c>
      <c r="J2249" s="1" t="s">
        <v>35</v>
      </c>
      <c r="K2249" s="1" t="str">
        <f t="shared" si="103"/>
        <v/>
      </c>
      <c r="L2249" s="1" t="str">
        <f t="shared" si="104"/>
        <v/>
      </c>
      <c r="M2249" s="1">
        <f>IF(OR(Table1[[#This Row],[Std Nom]]="",Table1[[#This Row],[Std Read]]=""),0,Table1[[#This Row],[Std Nom]]-Table1[[#This Row],[Std Read]])</f>
        <v>0</v>
      </c>
      <c r="N2249" s="1">
        <f>IF(Calculations!$F$5="ACCREDITED 17025 WITH UNCERTAINTIES",$N$10,0)</f>
        <v>0</v>
      </c>
      <c r="O2249" s="1" t="str">
        <f>IFERROR(Table1[[#This Row],[Std Nom]]-(_xlfn.XLOOKUP(Table1[[#This Row],[Manufacturer]]&amp;" "&amp;Table1[[#This Row],[Model]],Table13[MFR &amp; MDL],Table13[Tolerance % CW ],"")/100*Table1[[#This Row],[Std Nom]]),"")</f>
        <v/>
      </c>
      <c r="P2249" s="1" t="str">
        <f>IFERROR(Table1[[#This Row],[Std Nom]]+(_xlfn.XLOOKUP(Table1[[#This Row],[Manufacturer]]&amp;" "&amp;Table1[[#This Row],[Model]],Table13[MFR &amp; MDL],Table13[Tolerance % CW ],"")/100*Table1[[#This Row],[Std Nom]]),"")</f>
        <v/>
      </c>
      <c r="Q2249" s="1" t="e">
        <f>Table1[[#This Row],[High Tol]]-Table1[[#This Row],[Low Tol]]</f>
        <v>#VALUE!</v>
      </c>
      <c r="R2249" s="1">
        <f>2*Table1[[#This Row],[Std Error]]</f>
        <v>0</v>
      </c>
      <c r="S2249" s="1" t="str">
        <f>IF(Table1[[#This Row],[High Tol]]="","N/A",IFERROR(ABS(Table1[[#This Row],[Tol Span]]/Table1[[#This Row],[Error Span]]),"N/A"))</f>
        <v>N/A</v>
      </c>
      <c r="T2249" s="1" t="str">
        <f>IF(OR(Table1[[#This Row],[Low Tol]]="",Table1[[#This Row],[High Tol]]=""),"Needs Analysis",IF(Table1[[#This Row],[Ratio]]&gt;=4,"Not Significant",IF(Table1[[#This Row],[Ratio]]&gt;=2,"Semi-Significant","Significant")))</f>
        <v>Needs Analysis</v>
      </c>
      <c r="W2249" s="1">
        <f>IF(Table1[[#This Row],[Cal Type]]&lt;&gt;"ACCREDITED 17025 WITH UNCERTAINTIES",0,"")</f>
        <v>0</v>
      </c>
      <c r="X2249" s="1" t="str">
        <f>IF(Table1[[#This Row],[DUT Read]]="","N/A",Table1[[#This Row],[Std Error]]+Table1[[#This Row],[DUT Read]]+Table1[[#This Row],[DUT Ucty]])</f>
        <v>N/A</v>
      </c>
      <c r="Y2249" s="1" t="str">
        <f>IF(Table1[[#This Row],[Std Read]]="","N/A",Table1[[#This Row],[Std Read]]+Table1[[#This Row],[Std Ucty]])</f>
        <v>N/A</v>
      </c>
      <c r="Z22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9" s="1" t="str">
        <f>IF(Table1[[#This Row],[Spec Type]]="","N/A",Table1[[#This Row],[Spec Type]])</f>
        <v>±</v>
      </c>
      <c r="AC2249" s="1" t="str">
        <f>IF(Table1[[#This Row],[Spec Type2]]="N/A","N/A",IF(AND(Table1[[#This Row],[DUT Adj Read]]&gt;=Table1[[#This Row],[Low Tol]],Table1[[#This Row],[DUT Adj Read]]&lt;=Table1[[#This Row],[High Tol]]),"Pass","Fail"))</f>
        <v>Fail</v>
      </c>
      <c r="AD2249" s="1" t="str">
        <f>IF(AND(Table1[[#This Row],[Spec Type2]]="N/A",Table1[[#This Row],[DUT Adj Read]]="N/A",Table1[[#This Row],[Std Adj Read]]="N/A"),"N/A",IF(Table1[[#This Row],[DUT Adj Read]]="N/A",IF(Table1[[#This Row],[Std Adj Read]]&gt;Table1[[#This Row],[Low Tol]],"Pass","Fail"),IF(Table1[[#This Row],[DUT Adj Read]]&gt;Table1[[#This Row],[Low Tol]],"Pass","Fail")))</f>
        <v>Pass</v>
      </c>
      <c r="AE2249" s="1" t="str">
        <f>IF(AND(Table1[[#This Row],[Spec Type2]]="N/A",Table1[[#This Row],[DUT Adj Read]]="N/A",Table1[[#This Row],[Std Adj Read]]="N/A"),"N/A",IF(Table1[[#This Row],[DUT Adj Read]]="N/A",IF(Table1[[#This Row],[Std Adj Read]]&lt;Table1[[#This Row],[High Tol]],"Pass","Fail"),IF(Table1[[#This Row],[DUT Adj Read]]&lt;Table1[[#This Row],[High Tol]],"Pass","Fail")))</f>
        <v>Fail</v>
      </c>
      <c r="AF2249" s="1" t="str">
        <f>IF(AND(Table1[[#This Row],[Spec Type2]]="N/A",Table1[[#This Row],[DUT Adj Read]]="N/A",Table1[[#This Row],[Std Adj Read]]="N/A"),"N/A",IF(Table1[[#This Row],[DUT Adj Read]]="N/A",IF(Table1[[#This Row],[Std Adj Read]]&gt;=Table1[[#This Row],[Low Tol]],"Pass","Fail"),IF(Table1[[#This Row],[DUT Adj Read]]&gt;=Table1[[#This Row],[Low Tol]],"Pass","Fail")))</f>
        <v>Pass</v>
      </c>
      <c r="AG2249" s="1" t="str">
        <f>IF(AND(Table1[[#This Row],[Spec Type2]]="N/A",Table1[[#This Row],[DUT Adj Read]]="N/A",Table1[[#This Row],[Std Adj Read]]="N/A"),"N/A",IF(Table1[[#This Row],[DUT Adj Read]]="N/A",IF(Table1[[#This Row],[Std Adj Read]]&lt;=Table1[[#This Row],[High Tol]],"Pass","Fail"),IF(Table1[[#This Row],[DUT Adj Read]]&lt;=Table1[[#This Row],[High Tol]],"Pass","Fail")))</f>
        <v>Fail</v>
      </c>
      <c r="AH22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9" s="1" t="b">
        <v>0</v>
      </c>
      <c r="AN2249" s="1" t="b">
        <v>0</v>
      </c>
      <c r="AO2249" s="1" t="b">
        <v>0</v>
      </c>
    </row>
    <row r="2250" spans="1:41" x14ac:dyDescent="0.25">
      <c r="A2250" s="10"/>
      <c r="B2250" s="10"/>
      <c r="C2250" s="10"/>
      <c r="D2250" s="10"/>
      <c r="E2250" s="10"/>
      <c r="F2250" s="10"/>
      <c r="G2250" s="10"/>
      <c r="H2250" s="10"/>
      <c r="I2250" s="1" t="str">
        <f t="shared" si="102"/>
        <v/>
      </c>
      <c r="J2250" s="1" t="s">
        <v>35</v>
      </c>
      <c r="K2250" s="1" t="str">
        <f t="shared" si="103"/>
        <v/>
      </c>
      <c r="L2250" s="1" t="str">
        <f t="shared" si="104"/>
        <v/>
      </c>
      <c r="M2250" s="1">
        <f>IF(OR(Table1[[#This Row],[Std Nom]]="",Table1[[#This Row],[Std Read]]=""),0,Table1[[#This Row],[Std Nom]]-Table1[[#This Row],[Std Read]])</f>
        <v>0</v>
      </c>
      <c r="N2250" s="1">
        <f>IF(Calculations!$F$5="ACCREDITED 17025 WITH UNCERTAINTIES",$N$10,0)</f>
        <v>0</v>
      </c>
      <c r="O2250" s="1" t="str">
        <f>IFERROR(Table1[[#This Row],[Std Nom]]-(_xlfn.XLOOKUP(Table1[[#This Row],[Manufacturer]]&amp;" "&amp;Table1[[#This Row],[Model]],Table13[MFR &amp; MDL],Table13[Tolerance % CW ],"")/100*Table1[[#This Row],[Std Nom]]),"")</f>
        <v/>
      </c>
      <c r="P2250" s="1" t="str">
        <f>IFERROR(Table1[[#This Row],[Std Nom]]+(_xlfn.XLOOKUP(Table1[[#This Row],[Manufacturer]]&amp;" "&amp;Table1[[#This Row],[Model]],Table13[MFR &amp; MDL],Table13[Tolerance % CW ],"")/100*Table1[[#This Row],[Std Nom]]),"")</f>
        <v/>
      </c>
      <c r="Q2250" s="1" t="e">
        <f>Table1[[#This Row],[High Tol]]-Table1[[#This Row],[Low Tol]]</f>
        <v>#VALUE!</v>
      </c>
      <c r="R2250" s="1">
        <f>2*Table1[[#This Row],[Std Error]]</f>
        <v>0</v>
      </c>
      <c r="S2250" s="1" t="str">
        <f>IF(Table1[[#This Row],[High Tol]]="","N/A",IFERROR(ABS(Table1[[#This Row],[Tol Span]]/Table1[[#This Row],[Error Span]]),"N/A"))</f>
        <v>N/A</v>
      </c>
      <c r="T2250" s="1" t="str">
        <f>IF(OR(Table1[[#This Row],[Low Tol]]="",Table1[[#This Row],[High Tol]]=""),"Needs Analysis",IF(Table1[[#This Row],[Ratio]]&gt;=4,"Not Significant",IF(Table1[[#This Row],[Ratio]]&gt;=2,"Semi-Significant","Significant")))</f>
        <v>Needs Analysis</v>
      </c>
      <c r="W2250" s="1">
        <f>IF(Table1[[#This Row],[Cal Type]]&lt;&gt;"ACCREDITED 17025 WITH UNCERTAINTIES",0,"")</f>
        <v>0</v>
      </c>
      <c r="X2250" s="1" t="str">
        <f>IF(Table1[[#This Row],[DUT Read]]="","N/A",Table1[[#This Row],[Std Error]]+Table1[[#This Row],[DUT Read]]+Table1[[#This Row],[DUT Ucty]])</f>
        <v>N/A</v>
      </c>
      <c r="Y2250" s="1" t="str">
        <f>IF(Table1[[#This Row],[Std Read]]="","N/A",Table1[[#This Row],[Std Read]]+Table1[[#This Row],[Std Ucty]])</f>
        <v>N/A</v>
      </c>
      <c r="Z22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0" s="1" t="str">
        <f>IF(Table1[[#This Row],[Spec Type]]="","N/A",Table1[[#This Row],[Spec Type]])</f>
        <v>±</v>
      </c>
      <c r="AC2250" s="1" t="str">
        <f>IF(Table1[[#This Row],[Spec Type2]]="N/A","N/A",IF(AND(Table1[[#This Row],[DUT Adj Read]]&gt;=Table1[[#This Row],[Low Tol]],Table1[[#This Row],[DUT Adj Read]]&lt;=Table1[[#This Row],[High Tol]]),"Pass","Fail"))</f>
        <v>Fail</v>
      </c>
      <c r="AD2250" s="1" t="str">
        <f>IF(AND(Table1[[#This Row],[Spec Type2]]="N/A",Table1[[#This Row],[DUT Adj Read]]="N/A",Table1[[#This Row],[Std Adj Read]]="N/A"),"N/A",IF(Table1[[#This Row],[DUT Adj Read]]="N/A",IF(Table1[[#This Row],[Std Adj Read]]&gt;Table1[[#This Row],[Low Tol]],"Pass","Fail"),IF(Table1[[#This Row],[DUT Adj Read]]&gt;Table1[[#This Row],[Low Tol]],"Pass","Fail")))</f>
        <v>Pass</v>
      </c>
      <c r="AE2250" s="1" t="str">
        <f>IF(AND(Table1[[#This Row],[Spec Type2]]="N/A",Table1[[#This Row],[DUT Adj Read]]="N/A",Table1[[#This Row],[Std Adj Read]]="N/A"),"N/A",IF(Table1[[#This Row],[DUT Adj Read]]="N/A",IF(Table1[[#This Row],[Std Adj Read]]&lt;Table1[[#This Row],[High Tol]],"Pass","Fail"),IF(Table1[[#This Row],[DUT Adj Read]]&lt;Table1[[#This Row],[High Tol]],"Pass","Fail")))</f>
        <v>Fail</v>
      </c>
      <c r="AF2250" s="1" t="str">
        <f>IF(AND(Table1[[#This Row],[Spec Type2]]="N/A",Table1[[#This Row],[DUT Adj Read]]="N/A",Table1[[#This Row],[Std Adj Read]]="N/A"),"N/A",IF(Table1[[#This Row],[DUT Adj Read]]="N/A",IF(Table1[[#This Row],[Std Adj Read]]&gt;=Table1[[#This Row],[Low Tol]],"Pass","Fail"),IF(Table1[[#This Row],[DUT Adj Read]]&gt;=Table1[[#This Row],[Low Tol]],"Pass","Fail")))</f>
        <v>Pass</v>
      </c>
      <c r="AG2250" s="1" t="str">
        <f>IF(AND(Table1[[#This Row],[Spec Type2]]="N/A",Table1[[#This Row],[DUT Adj Read]]="N/A",Table1[[#This Row],[Std Adj Read]]="N/A"),"N/A",IF(Table1[[#This Row],[DUT Adj Read]]="N/A",IF(Table1[[#This Row],[Std Adj Read]]&lt;=Table1[[#This Row],[High Tol]],"Pass","Fail"),IF(Table1[[#This Row],[DUT Adj Read]]&lt;=Table1[[#This Row],[High Tol]],"Pass","Fail")))</f>
        <v>Fail</v>
      </c>
      <c r="AH22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0" s="1" t="b">
        <v>0</v>
      </c>
      <c r="AN2250" s="1" t="b">
        <v>0</v>
      </c>
      <c r="AO2250" s="1" t="b">
        <v>0</v>
      </c>
    </row>
    <row r="2251" spans="1:41" x14ac:dyDescent="0.25">
      <c r="A2251" s="10"/>
      <c r="B2251" s="10"/>
      <c r="C2251" s="10"/>
      <c r="D2251" s="10"/>
      <c r="E2251" s="10"/>
      <c r="F2251" s="10"/>
      <c r="G2251" s="10"/>
      <c r="H2251" s="10"/>
      <c r="I2251" s="1" t="str">
        <f t="shared" ref="I2251:I2314" si="105">IF($I$10="","",$I$10)</f>
        <v/>
      </c>
      <c r="J2251" s="1" t="s">
        <v>35</v>
      </c>
      <c r="K2251" s="1" t="str">
        <f t="shared" ref="K2251:K2314" si="106">IF($K$10="","",$K$10)</f>
        <v/>
      </c>
      <c r="L2251" s="1" t="str">
        <f t="shared" ref="L2251:L2314" si="107">IF($L$10="","",$L$10)</f>
        <v/>
      </c>
      <c r="M2251" s="1">
        <f>IF(OR(Table1[[#This Row],[Std Nom]]="",Table1[[#This Row],[Std Read]]=""),0,Table1[[#This Row],[Std Nom]]-Table1[[#This Row],[Std Read]])</f>
        <v>0</v>
      </c>
      <c r="N2251" s="1">
        <f>IF(Calculations!$F$5="ACCREDITED 17025 WITH UNCERTAINTIES",$N$10,0)</f>
        <v>0</v>
      </c>
      <c r="O2251" s="1" t="str">
        <f>IFERROR(Table1[[#This Row],[Std Nom]]-(_xlfn.XLOOKUP(Table1[[#This Row],[Manufacturer]]&amp;" "&amp;Table1[[#This Row],[Model]],Table13[MFR &amp; MDL],Table13[Tolerance % CW ],"")/100*Table1[[#This Row],[Std Nom]]),"")</f>
        <v/>
      </c>
      <c r="P2251" s="1" t="str">
        <f>IFERROR(Table1[[#This Row],[Std Nom]]+(_xlfn.XLOOKUP(Table1[[#This Row],[Manufacturer]]&amp;" "&amp;Table1[[#This Row],[Model]],Table13[MFR &amp; MDL],Table13[Tolerance % CW ],"")/100*Table1[[#This Row],[Std Nom]]),"")</f>
        <v/>
      </c>
      <c r="Q2251" s="1" t="e">
        <f>Table1[[#This Row],[High Tol]]-Table1[[#This Row],[Low Tol]]</f>
        <v>#VALUE!</v>
      </c>
      <c r="R2251" s="1">
        <f>2*Table1[[#This Row],[Std Error]]</f>
        <v>0</v>
      </c>
      <c r="S2251" s="1" t="str">
        <f>IF(Table1[[#This Row],[High Tol]]="","N/A",IFERROR(ABS(Table1[[#This Row],[Tol Span]]/Table1[[#This Row],[Error Span]]),"N/A"))</f>
        <v>N/A</v>
      </c>
      <c r="T2251" s="1" t="str">
        <f>IF(OR(Table1[[#This Row],[Low Tol]]="",Table1[[#This Row],[High Tol]]=""),"Needs Analysis",IF(Table1[[#This Row],[Ratio]]&gt;=4,"Not Significant",IF(Table1[[#This Row],[Ratio]]&gt;=2,"Semi-Significant","Significant")))</f>
        <v>Needs Analysis</v>
      </c>
      <c r="W2251" s="1">
        <f>IF(Table1[[#This Row],[Cal Type]]&lt;&gt;"ACCREDITED 17025 WITH UNCERTAINTIES",0,"")</f>
        <v>0</v>
      </c>
      <c r="X2251" s="1" t="str">
        <f>IF(Table1[[#This Row],[DUT Read]]="","N/A",Table1[[#This Row],[Std Error]]+Table1[[#This Row],[DUT Read]]+Table1[[#This Row],[DUT Ucty]])</f>
        <v>N/A</v>
      </c>
      <c r="Y2251" s="1" t="str">
        <f>IF(Table1[[#This Row],[Std Read]]="","N/A",Table1[[#This Row],[Std Read]]+Table1[[#This Row],[Std Ucty]])</f>
        <v>N/A</v>
      </c>
      <c r="Z22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1" s="1" t="str">
        <f>IF(Table1[[#This Row],[Spec Type]]="","N/A",Table1[[#This Row],[Spec Type]])</f>
        <v>±</v>
      </c>
      <c r="AC2251" s="1" t="str">
        <f>IF(Table1[[#This Row],[Spec Type2]]="N/A","N/A",IF(AND(Table1[[#This Row],[DUT Adj Read]]&gt;=Table1[[#This Row],[Low Tol]],Table1[[#This Row],[DUT Adj Read]]&lt;=Table1[[#This Row],[High Tol]]),"Pass","Fail"))</f>
        <v>Fail</v>
      </c>
      <c r="AD2251" s="1" t="str">
        <f>IF(AND(Table1[[#This Row],[Spec Type2]]="N/A",Table1[[#This Row],[DUT Adj Read]]="N/A",Table1[[#This Row],[Std Adj Read]]="N/A"),"N/A",IF(Table1[[#This Row],[DUT Adj Read]]="N/A",IF(Table1[[#This Row],[Std Adj Read]]&gt;Table1[[#This Row],[Low Tol]],"Pass","Fail"),IF(Table1[[#This Row],[DUT Adj Read]]&gt;Table1[[#This Row],[Low Tol]],"Pass","Fail")))</f>
        <v>Pass</v>
      </c>
      <c r="AE2251" s="1" t="str">
        <f>IF(AND(Table1[[#This Row],[Spec Type2]]="N/A",Table1[[#This Row],[DUT Adj Read]]="N/A",Table1[[#This Row],[Std Adj Read]]="N/A"),"N/A",IF(Table1[[#This Row],[DUT Adj Read]]="N/A",IF(Table1[[#This Row],[Std Adj Read]]&lt;Table1[[#This Row],[High Tol]],"Pass","Fail"),IF(Table1[[#This Row],[DUT Adj Read]]&lt;Table1[[#This Row],[High Tol]],"Pass","Fail")))</f>
        <v>Fail</v>
      </c>
      <c r="AF2251" s="1" t="str">
        <f>IF(AND(Table1[[#This Row],[Spec Type2]]="N/A",Table1[[#This Row],[DUT Adj Read]]="N/A",Table1[[#This Row],[Std Adj Read]]="N/A"),"N/A",IF(Table1[[#This Row],[DUT Adj Read]]="N/A",IF(Table1[[#This Row],[Std Adj Read]]&gt;=Table1[[#This Row],[Low Tol]],"Pass","Fail"),IF(Table1[[#This Row],[DUT Adj Read]]&gt;=Table1[[#This Row],[Low Tol]],"Pass","Fail")))</f>
        <v>Pass</v>
      </c>
      <c r="AG2251" s="1" t="str">
        <f>IF(AND(Table1[[#This Row],[Spec Type2]]="N/A",Table1[[#This Row],[DUT Adj Read]]="N/A",Table1[[#This Row],[Std Adj Read]]="N/A"),"N/A",IF(Table1[[#This Row],[DUT Adj Read]]="N/A",IF(Table1[[#This Row],[Std Adj Read]]&lt;=Table1[[#This Row],[High Tol]],"Pass","Fail"),IF(Table1[[#This Row],[DUT Adj Read]]&lt;=Table1[[#This Row],[High Tol]],"Pass","Fail")))</f>
        <v>Fail</v>
      </c>
      <c r="AH22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1" s="1" t="b">
        <v>0</v>
      </c>
      <c r="AN2251" s="1" t="b">
        <v>0</v>
      </c>
      <c r="AO2251" s="1" t="b">
        <v>0</v>
      </c>
    </row>
    <row r="2252" spans="1:41" x14ac:dyDescent="0.25">
      <c r="A2252" s="10"/>
      <c r="B2252" s="10"/>
      <c r="C2252" s="10"/>
      <c r="D2252" s="10"/>
      <c r="E2252" s="10"/>
      <c r="F2252" s="10"/>
      <c r="G2252" s="10"/>
      <c r="H2252" s="10"/>
      <c r="I2252" s="1" t="str">
        <f t="shared" si="105"/>
        <v/>
      </c>
      <c r="J2252" s="1" t="s">
        <v>35</v>
      </c>
      <c r="K2252" s="1" t="str">
        <f t="shared" si="106"/>
        <v/>
      </c>
      <c r="L2252" s="1" t="str">
        <f t="shared" si="107"/>
        <v/>
      </c>
      <c r="M2252" s="1">
        <f>IF(OR(Table1[[#This Row],[Std Nom]]="",Table1[[#This Row],[Std Read]]=""),0,Table1[[#This Row],[Std Nom]]-Table1[[#This Row],[Std Read]])</f>
        <v>0</v>
      </c>
      <c r="N2252" s="1">
        <f>IF(Calculations!$F$5="ACCREDITED 17025 WITH UNCERTAINTIES",$N$10,0)</f>
        <v>0</v>
      </c>
      <c r="O2252" s="1" t="str">
        <f>IFERROR(Table1[[#This Row],[Std Nom]]-(_xlfn.XLOOKUP(Table1[[#This Row],[Manufacturer]]&amp;" "&amp;Table1[[#This Row],[Model]],Table13[MFR &amp; MDL],Table13[Tolerance % CW ],"")/100*Table1[[#This Row],[Std Nom]]),"")</f>
        <v/>
      </c>
      <c r="P2252" s="1" t="str">
        <f>IFERROR(Table1[[#This Row],[Std Nom]]+(_xlfn.XLOOKUP(Table1[[#This Row],[Manufacturer]]&amp;" "&amp;Table1[[#This Row],[Model]],Table13[MFR &amp; MDL],Table13[Tolerance % CW ],"")/100*Table1[[#This Row],[Std Nom]]),"")</f>
        <v/>
      </c>
      <c r="Q2252" s="1" t="e">
        <f>Table1[[#This Row],[High Tol]]-Table1[[#This Row],[Low Tol]]</f>
        <v>#VALUE!</v>
      </c>
      <c r="R2252" s="1">
        <f>2*Table1[[#This Row],[Std Error]]</f>
        <v>0</v>
      </c>
      <c r="S2252" s="1" t="str">
        <f>IF(Table1[[#This Row],[High Tol]]="","N/A",IFERROR(ABS(Table1[[#This Row],[Tol Span]]/Table1[[#This Row],[Error Span]]),"N/A"))</f>
        <v>N/A</v>
      </c>
      <c r="T2252" s="1" t="str">
        <f>IF(OR(Table1[[#This Row],[Low Tol]]="",Table1[[#This Row],[High Tol]]=""),"Needs Analysis",IF(Table1[[#This Row],[Ratio]]&gt;=4,"Not Significant",IF(Table1[[#This Row],[Ratio]]&gt;=2,"Semi-Significant","Significant")))</f>
        <v>Needs Analysis</v>
      </c>
      <c r="W2252" s="1">
        <f>IF(Table1[[#This Row],[Cal Type]]&lt;&gt;"ACCREDITED 17025 WITH UNCERTAINTIES",0,"")</f>
        <v>0</v>
      </c>
      <c r="X2252" s="1" t="str">
        <f>IF(Table1[[#This Row],[DUT Read]]="","N/A",Table1[[#This Row],[Std Error]]+Table1[[#This Row],[DUT Read]]+Table1[[#This Row],[DUT Ucty]])</f>
        <v>N/A</v>
      </c>
      <c r="Y2252" s="1" t="str">
        <f>IF(Table1[[#This Row],[Std Read]]="","N/A",Table1[[#This Row],[Std Read]]+Table1[[#This Row],[Std Ucty]])</f>
        <v>N/A</v>
      </c>
      <c r="Z22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2" s="1" t="str">
        <f>IF(Table1[[#This Row],[Spec Type]]="","N/A",Table1[[#This Row],[Spec Type]])</f>
        <v>±</v>
      </c>
      <c r="AC2252" s="1" t="str">
        <f>IF(Table1[[#This Row],[Spec Type2]]="N/A","N/A",IF(AND(Table1[[#This Row],[DUT Adj Read]]&gt;=Table1[[#This Row],[Low Tol]],Table1[[#This Row],[DUT Adj Read]]&lt;=Table1[[#This Row],[High Tol]]),"Pass","Fail"))</f>
        <v>Fail</v>
      </c>
      <c r="AD2252" s="1" t="str">
        <f>IF(AND(Table1[[#This Row],[Spec Type2]]="N/A",Table1[[#This Row],[DUT Adj Read]]="N/A",Table1[[#This Row],[Std Adj Read]]="N/A"),"N/A",IF(Table1[[#This Row],[DUT Adj Read]]="N/A",IF(Table1[[#This Row],[Std Adj Read]]&gt;Table1[[#This Row],[Low Tol]],"Pass","Fail"),IF(Table1[[#This Row],[DUT Adj Read]]&gt;Table1[[#This Row],[Low Tol]],"Pass","Fail")))</f>
        <v>Pass</v>
      </c>
      <c r="AE2252" s="1" t="str">
        <f>IF(AND(Table1[[#This Row],[Spec Type2]]="N/A",Table1[[#This Row],[DUT Adj Read]]="N/A",Table1[[#This Row],[Std Adj Read]]="N/A"),"N/A",IF(Table1[[#This Row],[DUT Adj Read]]="N/A",IF(Table1[[#This Row],[Std Adj Read]]&lt;Table1[[#This Row],[High Tol]],"Pass","Fail"),IF(Table1[[#This Row],[DUT Adj Read]]&lt;Table1[[#This Row],[High Tol]],"Pass","Fail")))</f>
        <v>Fail</v>
      </c>
      <c r="AF2252" s="1" t="str">
        <f>IF(AND(Table1[[#This Row],[Spec Type2]]="N/A",Table1[[#This Row],[DUT Adj Read]]="N/A",Table1[[#This Row],[Std Adj Read]]="N/A"),"N/A",IF(Table1[[#This Row],[DUT Adj Read]]="N/A",IF(Table1[[#This Row],[Std Adj Read]]&gt;=Table1[[#This Row],[Low Tol]],"Pass","Fail"),IF(Table1[[#This Row],[DUT Adj Read]]&gt;=Table1[[#This Row],[Low Tol]],"Pass","Fail")))</f>
        <v>Pass</v>
      </c>
      <c r="AG2252" s="1" t="str">
        <f>IF(AND(Table1[[#This Row],[Spec Type2]]="N/A",Table1[[#This Row],[DUT Adj Read]]="N/A",Table1[[#This Row],[Std Adj Read]]="N/A"),"N/A",IF(Table1[[#This Row],[DUT Adj Read]]="N/A",IF(Table1[[#This Row],[Std Adj Read]]&lt;=Table1[[#This Row],[High Tol]],"Pass","Fail"),IF(Table1[[#This Row],[DUT Adj Read]]&lt;=Table1[[#This Row],[High Tol]],"Pass","Fail")))</f>
        <v>Fail</v>
      </c>
      <c r="AH22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2" s="1" t="b">
        <v>0</v>
      </c>
      <c r="AN2252" s="1" t="b">
        <v>0</v>
      </c>
      <c r="AO2252" s="1" t="b">
        <v>0</v>
      </c>
    </row>
    <row r="2253" spans="1:41" x14ac:dyDescent="0.25">
      <c r="A2253" s="10"/>
      <c r="B2253" s="10"/>
      <c r="C2253" s="10"/>
      <c r="D2253" s="10"/>
      <c r="E2253" s="10"/>
      <c r="F2253" s="10"/>
      <c r="G2253" s="10"/>
      <c r="H2253" s="10"/>
      <c r="I2253" s="1" t="str">
        <f t="shared" si="105"/>
        <v/>
      </c>
      <c r="J2253" s="1" t="s">
        <v>35</v>
      </c>
      <c r="K2253" s="1" t="str">
        <f t="shared" si="106"/>
        <v/>
      </c>
      <c r="L2253" s="1" t="str">
        <f t="shared" si="107"/>
        <v/>
      </c>
      <c r="M2253" s="1">
        <f>IF(OR(Table1[[#This Row],[Std Nom]]="",Table1[[#This Row],[Std Read]]=""),0,Table1[[#This Row],[Std Nom]]-Table1[[#This Row],[Std Read]])</f>
        <v>0</v>
      </c>
      <c r="N2253" s="1">
        <f>IF(Calculations!$F$5="ACCREDITED 17025 WITH UNCERTAINTIES",$N$10,0)</f>
        <v>0</v>
      </c>
      <c r="O2253" s="1" t="str">
        <f>IFERROR(Table1[[#This Row],[Std Nom]]-(_xlfn.XLOOKUP(Table1[[#This Row],[Manufacturer]]&amp;" "&amp;Table1[[#This Row],[Model]],Table13[MFR &amp; MDL],Table13[Tolerance % CW ],"")/100*Table1[[#This Row],[Std Nom]]),"")</f>
        <v/>
      </c>
      <c r="P2253" s="1" t="str">
        <f>IFERROR(Table1[[#This Row],[Std Nom]]+(_xlfn.XLOOKUP(Table1[[#This Row],[Manufacturer]]&amp;" "&amp;Table1[[#This Row],[Model]],Table13[MFR &amp; MDL],Table13[Tolerance % CW ],"")/100*Table1[[#This Row],[Std Nom]]),"")</f>
        <v/>
      </c>
      <c r="Q2253" s="1" t="e">
        <f>Table1[[#This Row],[High Tol]]-Table1[[#This Row],[Low Tol]]</f>
        <v>#VALUE!</v>
      </c>
      <c r="R2253" s="1">
        <f>2*Table1[[#This Row],[Std Error]]</f>
        <v>0</v>
      </c>
      <c r="S2253" s="1" t="str">
        <f>IF(Table1[[#This Row],[High Tol]]="","N/A",IFERROR(ABS(Table1[[#This Row],[Tol Span]]/Table1[[#This Row],[Error Span]]),"N/A"))</f>
        <v>N/A</v>
      </c>
      <c r="T2253" s="1" t="str">
        <f>IF(OR(Table1[[#This Row],[Low Tol]]="",Table1[[#This Row],[High Tol]]=""),"Needs Analysis",IF(Table1[[#This Row],[Ratio]]&gt;=4,"Not Significant",IF(Table1[[#This Row],[Ratio]]&gt;=2,"Semi-Significant","Significant")))</f>
        <v>Needs Analysis</v>
      </c>
      <c r="W2253" s="1">
        <f>IF(Table1[[#This Row],[Cal Type]]&lt;&gt;"ACCREDITED 17025 WITH UNCERTAINTIES",0,"")</f>
        <v>0</v>
      </c>
      <c r="X2253" s="1" t="str">
        <f>IF(Table1[[#This Row],[DUT Read]]="","N/A",Table1[[#This Row],[Std Error]]+Table1[[#This Row],[DUT Read]]+Table1[[#This Row],[DUT Ucty]])</f>
        <v>N/A</v>
      </c>
      <c r="Y2253" s="1" t="str">
        <f>IF(Table1[[#This Row],[Std Read]]="","N/A",Table1[[#This Row],[Std Read]]+Table1[[#This Row],[Std Ucty]])</f>
        <v>N/A</v>
      </c>
      <c r="Z22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3" s="1" t="str">
        <f>IF(Table1[[#This Row],[Spec Type]]="","N/A",Table1[[#This Row],[Spec Type]])</f>
        <v>±</v>
      </c>
      <c r="AC2253" s="1" t="str">
        <f>IF(Table1[[#This Row],[Spec Type2]]="N/A","N/A",IF(AND(Table1[[#This Row],[DUT Adj Read]]&gt;=Table1[[#This Row],[Low Tol]],Table1[[#This Row],[DUT Adj Read]]&lt;=Table1[[#This Row],[High Tol]]),"Pass","Fail"))</f>
        <v>Fail</v>
      </c>
      <c r="AD2253" s="1" t="str">
        <f>IF(AND(Table1[[#This Row],[Spec Type2]]="N/A",Table1[[#This Row],[DUT Adj Read]]="N/A",Table1[[#This Row],[Std Adj Read]]="N/A"),"N/A",IF(Table1[[#This Row],[DUT Adj Read]]="N/A",IF(Table1[[#This Row],[Std Adj Read]]&gt;Table1[[#This Row],[Low Tol]],"Pass","Fail"),IF(Table1[[#This Row],[DUT Adj Read]]&gt;Table1[[#This Row],[Low Tol]],"Pass","Fail")))</f>
        <v>Pass</v>
      </c>
      <c r="AE2253" s="1" t="str">
        <f>IF(AND(Table1[[#This Row],[Spec Type2]]="N/A",Table1[[#This Row],[DUT Adj Read]]="N/A",Table1[[#This Row],[Std Adj Read]]="N/A"),"N/A",IF(Table1[[#This Row],[DUT Adj Read]]="N/A",IF(Table1[[#This Row],[Std Adj Read]]&lt;Table1[[#This Row],[High Tol]],"Pass","Fail"),IF(Table1[[#This Row],[DUT Adj Read]]&lt;Table1[[#This Row],[High Tol]],"Pass","Fail")))</f>
        <v>Fail</v>
      </c>
      <c r="AF2253" s="1" t="str">
        <f>IF(AND(Table1[[#This Row],[Spec Type2]]="N/A",Table1[[#This Row],[DUT Adj Read]]="N/A",Table1[[#This Row],[Std Adj Read]]="N/A"),"N/A",IF(Table1[[#This Row],[DUT Adj Read]]="N/A",IF(Table1[[#This Row],[Std Adj Read]]&gt;=Table1[[#This Row],[Low Tol]],"Pass","Fail"),IF(Table1[[#This Row],[DUT Adj Read]]&gt;=Table1[[#This Row],[Low Tol]],"Pass","Fail")))</f>
        <v>Pass</v>
      </c>
      <c r="AG2253" s="1" t="str">
        <f>IF(AND(Table1[[#This Row],[Spec Type2]]="N/A",Table1[[#This Row],[DUT Adj Read]]="N/A",Table1[[#This Row],[Std Adj Read]]="N/A"),"N/A",IF(Table1[[#This Row],[DUT Adj Read]]="N/A",IF(Table1[[#This Row],[Std Adj Read]]&lt;=Table1[[#This Row],[High Tol]],"Pass","Fail"),IF(Table1[[#This Row],[DUT Adj Read]]&lt;=Table1[[#This Row],[High Tol]],"Pass","Fail")))</f>
        <v>Fail</v>
      </c>
      <c r="AH22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3" s="1" t="b">
        <v>0</v>
      </c>
      <c r="AN2253" s="1" t="b">
        <v>0</v>
      </c>
      <c r="AO2253" s="1" t="b">
        <v>0</v>
      </c>
    </row>
    <row r="2254" spans="1:41" x14ac:dyDescent="0.25">
      <c r="A2254" s="10"/>
      <c r="B2254" s="10"/>
      <c r="C2254" s="10"/>
      <c r="D2254" s="10"/>
      <c r="E2254" s="10"/>
      <c r="F2254" s="10"/>
      <c r="G2254" s="10"/>
      <c r="H2254" s="10"/>
      <c r="I2254" s="1" t="str">
        <f t="shared" si="105"/>
        <v/>
      </c>
      <c r="J2254" s="1" t="s">
        <v>35</v>
      </c>
      <c r="K2254" s="1" t="str">
        <f t="shared" si="106"/>
        <v/>
      </c>
      <c r="L2254" s="1" t="str">
        <f t="shared" si="107"/>
        <v/>
      </c>
      <c r="M2254" s="1">
        <f>IF(OR(Table1[[#This Row],[Std Nom]]="",Table1[[#This Row],[Std Read]]=""),0,Table1[[#This Row],[Std Nom]]-Table1[[#This Row],[Std Read]])</f>
        <v>0</v>
      </c>
      <c r="N2254" s="1">
        <f>IF(Calculations!$F$5="ACCREDITED 17025 WITH UNCERTAINTIES",$N$10,0)</f>
        <v>0</v>
      </c>
      <c r="O2254" s="1" t="str">
        <f>IFERROR(Table1[[#This Row],[Std Nom]]-(_xlfn.XLOOKUP(Table1[[#This Row],[Manufacturer]]&amp;" "&amp;Table1[[#This Row],[Model]],Table13[MFR &amp; MDL],Table13[Tolerance % CW ],"")/100*Table1[[#This Row],[Std Nom]]),"")</f>
        <v/>
      </c>
      <c r="P2254" s="1" t="str">
        <f>IFERROR(Table1[[#This Row],[Std Nom]]+(_xlfn.XLOOKUP(Table1[[#This Row],[Manufacturer]]&amp;" "&amp;Table1[[#This Row],[Model]],Table13[MFR &amp; MDL],Table13[Tolerance % CW ],"")/100*Table1[[#This Row],[Std Nom]]),"")</f>
        <v/>
      </c>
      <c r="Q2254" s="1" t="e">
        <f>Table1[[#This Row],[High Tol]]-Table1[[#This Row],[Low Tol]]</f>
        <v>#VALUE!</v>
      </c>
      <c r="R2254" s="1">
        <f>2*Table1[[#This Row],[Std Error]]</f>
        <v>0</v>
      </c>
      <c r="S2254" s="1" t="str">
        <f>IF(Table1[[#This Row],[High Tol]]="","N/A",IFERROR(ABS(Table1[[#This Row],[Tol Span]]/Table1[[#This Row],[Error Span]]),"N/A"))</f>
        <v>N/A</v>
      </c>
      <c r="T2254" s="1" t="str">
        <f>IF(OR(Table1[[#This Row],[Low Tol]]="",Table1[[#This Row],[High Tol]]=""),"Needs Analysis",IF(Table1[[#This Row],[Ratio]]&gt;=4,"Not Significant",IF(Table1[[#This Row],[Ratio]]&gt;=2,"Semi-Significant","Significant")))</f>
        <v>Needs Analysis</v>
      </c>
      <c r="W2254" s="1">
        <f>IF(Table1[[#This Row],[Cal Type]]&lt;&gt;"ACCREDITED 17025 WITH UNCERTAINTIES",0,"")</f>
        <v>0</v>
      </c>
      <c r="X2254" s="1" t="str">
        <f>IF(Table1[[#This Row],[DUT Read]]="","N/A",Table1[[#This Row],[Std Error]]+Table1[[#This Row],[DUT Read]]+Table1[[#This Row],[DUT Ucty]])</f>
        <v>N/A</v>
      </c>
      <c r="Y2254" s="1" t="str">
        <f>IF(Table1[[#This Row],[Std Read]]="","N/A",Table1[[#This Row],[Std Read]]+Table1[[#This Row],[Std Ucty]])</f>
        <v>N/A</v>
      </c>
      <c r="Z22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4" s="1" t="str">
        <f>IF(Table1[[#This Row],[Spec Type]]="","N/A",Table1[[#This Row],[Spec Type]])</f>
        <v>±</v>
      </c>
      <c r="AC2254" s="1" t="str">
        <f>IF(Table1[[#This Row],[Spec Type2]]="N/A","N/A",IF(AND(Table1[[#This Row],[DUT Adj Read]]&gt;=Table1[[#This Row],[Low Tol]],Table1[[#This Row],[DUT Adj Read]]&lt;=Table1[[#This Row],[High Tol]]),"Pass","Fail"))</f>
        <v>Fail</v>
      </c>
      <c r="AD2254" s="1" t="str">
        <f>IF(AND(Table1[[#This Row],[Spec Type2]]="N/A",Table1[[#This Row],[DUT Adj Read]]="N/A",Table1[[#This Row],[Std Adj Read]]="N/A"),"N/A",IF(Table1[[#This Row],[DUT Adj Read]]="N/A",IF(Table1[[#This Row],[Std Adj Read]]&gt;Table1[[#This Row],[Low Tol]],"Pass","Fail"),IF(Table1[[#This Row],[DUT Adj Read]]&gt;Table1[[#This Row],[Low Tol]],"Pass","Fail")))</f>
        <v>Pass</v>
      </c>
      <c r="AE2254" s="1" t="str">
        <f>IF(AND(Table1[[#This Row],[Spec Type2]]="N/A",Table1[[#This Row],[DUT Adj Read]]="N/A",Table1[[#This Row],[Std Adj Read]]="N/A"),"N/A",IF(Table1[[#This Row],[DUT Adj Read]]="N/A",IF(Table1[[#This Row],[Std Adj Read]]&lt;Table1[[#This Row],[High Tol]],"Pass","Fail"),IF(Table1[[#This Row],[DUT Adj Read]]&lt;Table1[[#This Row],[High Tol]],"Pass","Fail")))</f>
        <v>Fail</v>
      </c>
      <c r="AF2254" s="1" t="str">
        <f>IF(AND(Table1[[#This Row],[Spec Type2]]="N/A",Table1[[#This Row],[DUT Adj Read]]="N/A",Table1[[#This Row],[Std Adj Read]]="N/A"),"N/A",IF(Table1[[#This Row],[DUT Adj Read]]="N/A",IF(Table1[[#This Row],[Std Adj Read]]&gt;=Table1[[#This Row],[Low Tol]],"Pass","Fail"),IF(Table1[[#This Row],[DUT Adj Read]]&gt;=Table1[[#This Row],[Low Tol]],"Pass","Fail")))</f>
        <v>Pass</v>
      </c>
      <c r="AG2254" s="1" t="str">
        <f>IF(AND(Table1[[#This Row],[Spec Type2]]="N/A",Table1[[#This Row],[DUT Adj Read]]="N/A",Table1[[#This Row],[Std Adj Read]]="N/A"),"N/A",IF(Table1[[#This Row],[DUT Adj Read]]="N/A",IF(Table1[[#This Row],[Std Adj Read]]&lt;=Table1[[#This Row],[High Tol]],"Pass","Fail"),IF(Table1[[#This Row],[DUT Adj Read]]&lt;=Table1[[#This Row],[High Tol]],"Pass","Fail")))</f>
        <v>Fail</v>
      </c>
      <c r="AH22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4" s="1" t="b">
        <v>0</v>
      </c>
      <c r="AN2254" s="1" t="b">
        <v>0</v>
      </c>
      <c r="AO2254" s="1" t="b">
        <v>0</v>
      </c>
    </row>
    <row r="2255" spans="1:41" x14ac:dyDescent="0.25">
      <c r="A2255" s="10"/>
      <c r="B2255" s="10"/>
      <c r="C2255" s="10"/>
      <c r="D2255" s="10"/>
      <c r="E2255" s="10"/>
      <c r="F2255" s="10"/>
      <c r="G2255" s="10"/>
      <c r="H2255" s="10"/>
      <c r="I2255" s="1" t="str">
        <f t="shared" si="105"/>
        <v/>
      </c>
      <c r="J2255" s="1" t="s">
        <v>35</v>
      </c>
      <c r="K2255" s="1" t="str">
        <f t="shared" si="106"/>
        <v/>
      </c>
      <c r="L2255" s="1" t="str">
        <f t="shared" si="107"/>
        <v/>
      </c>
      <c r="M2255" s="1">
        <f>IF(OR(Table1[[#This Row],[Std Nom]]="",Table1[[#This Row],[Std Read]]=""),0,Table1[[#This Row],[Std Nom]]-Table1[[#This Row],[Std Read]])</f>
        <v>0</v>
      </c>
      <c r="N2255" s="1">
        <f>IF(Calculations!$F$5="ACCREDITED 17025 WITH UNCERTAINTIES",$N$10,0)</f>
        <v>0</v>
      </c>
      <c r="O2255" s="1" t="str">
        <f>IFERROR(Table1[[#This Row],[Std Nom]]-(_xlfn.XLOOKUP(Table1[[#This Row],[Manufacturer]]&amp;" "&amp;Table1[[#This Row],[Model]],Table13[MFR &amp; MDL],Table13[Tolerance % CW ],"")/100*Table1[[#This Row],[Std Nom]]),"")</f>
        <v/>
      </c>
      <c r="P2255" s="1" t="str">
        <f>IFERROR(Table1[[#This Row],[Std Nom]]+(_xlfn.XLOOKUP(Table1[[#This Row],[Manufacturer]]&amp;" "&amp;Table1[[#This Row],[Model]],Table13[MFR &amp; MDL],Table13[Tolerance % CW ],"")/100*Table1[[#This Row],[Std Nom]]),"")</f>
        <v/>
      </c>
      <c r="Q2255" s="1" t="e">
        <f>Table1[[#This Row],[High Tol]]-Table1[[#This Row],[Low Tol]]</f>
        <v>#VALUE!</v>
      </c>
      <c r="R2255" s="1">
        <f>2*Table1[[#This Row],[Std Error]]</f>
        <v>0</v>
      </c>
      <c r="S2255" s="1" t="str">
        <f>IF(Table1[[#This Row],[High Tol]]="","N/A",IFERROR(ABS(Table1[[#This Row],[Tol Span]]/Table1[[#This Row],[Error Span]]),"N/A"))</f>
        <v>N/A</v>
      </c>
      <c r="T2255" s="1" t="str">
        <f>IF(OR(Table1[[#This Row],[Low Tol]]="",Table1[[#This Row],[High Tol]]=""),"Needs Analysis",IF(Table1[[#This Row],[Ratio]]&gt;=4,"Not Significant",IF(Table1[[#This Row],[Ratio]]&gt;=2,"Semi-Significant","Significant")))</f>
        <v>Needs Analysis</v>
      </c>
      <c r="W2255" s="1">
        <f>IF(Table1[[#This Row],[Cal Type]]&lt;&gt;"ACCREDITED 17025 WITH UNCERTAINTIES",0,"")</f>
        <v>0</v>
      </c>
      <c r="X2255" s="1" t="str">
        <f>IF(Table1[[#This Row],[DUT Read]]="","N/A",Table1[[#This Row],[Std Error]]+Table1[[#This Row],[DUT Read]]+Table1[[#This Row],[DUT Ucty]])</f>
        <v>N/A</v>
      </c>
      <c r="Y2255" s="1" t="str">
        <f>IF(Table1[[#This Row],[Std Read]]="","N/A",Table1[[#This Row],[Std Read]]+Table1[[#This Row],[Std Ucty]])</f>
        <v>N/A</v>
      </c>
      <c r="Z22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5" s="1" t="str">
        <f>IF(Table1[[#This Row],[Spec Type]]="","N/A",Table1[[#This Row],[Spec Type]])</f>
        <v>±</v>
      </c>
      <c r="AC2255" s="1" t="str">
        <f>IF(Table1[[#This Row],[Spec Type2]]="N/A","N/A",IF(AND(Table1[[#This Row],[DUT Adj Read]]&gt;=Table1[[#This Row],[Low Tol]],Table1[[#This Row],[DUT Adj Read]]&lt;=Table1[[#This Row],[High Tol]]),"Pass","Fail"))</f>
        <v>Fail</v>
      </c>
      <c r="AD2255" s="1" t="str">
        <f>IF(AND(Table1[[#This Row],[Spec Type2]]="N/A",Table1[[#This Row],[DUT Adj Read]]="N/A",Table1[[#This Row],[Std Adj Read]]="N/A"),"N/A",IF(Table1[[#This Row],[DUT Adj Read]]="N/A",IF(Table1[[#This Row],[Std Adj Read]]&gt;Table1[[#This Row],[Low Tol]],"Pass","Fail"),IF(Table1[[#This Row],[DUT Adj Read]]&gt;Table1[[#This Row],[Low Tol]],"Pass","Fail")))</f>
        <v>Pass</v>
      </c>
      <c r="AE2255" s="1" t="str">
        <f>IF(AND(Table1[[#This Row],[Spec Type2]]="N/A",Table1[[#This Row],[DUT Adj Read]]="N/A",Table1[[#This Row],[Std Adj Read]]="N/A"),"N/A",IF(Table1[[#This Row],[DUT Adj Read]]="N/A",IF(Table1[[#This Row],[Std Adj Read]]&lt;Table1[[#This Row],[High Tol]],"Pass","Fail"),IF(Table1[[#This Row],[DUT Adj Read]]&lt;Table1[[#This Row],[High Tol]],"Pass","Fail")))</f>
        <v>Fail</v>
      </c>
      <c r="AF2255" s="1" t="str">
        <f>IF(AND(Table1[[#This Row],[Spec Type2]]="N/A",Table1[[#This Row],[DUT Adj Read]]="N/A",Table1[[#This Row],[Std Adj Read]]="N/A"),"N/A",IF(Table1[[#This Row],[DUT Adj Read]]="N/A",IF(Table1[[#This Row],[Std Adj Read]]&gt;=Table1[[#This Row],[Low Tol]],"Pass","Fail"),IF(Table1[[#This Row],[DUT Adj Read]]&gt;=Table1[[#This Row],[Low Tol]],"Pass","Fail")))</f>
        <v>Pass</v>
      </c>
      <c r="AG2255" s="1" t="str">
        <f>IF(AND(Table1[[#This Row],[Spec Type2]]="N/A",Table1[[#This Row],[DUT Adj Read]]="N/A",Table1[[#This Row],[Std Adj Read]]="N/A"),"N/A",IF(Table1[[#This Row],[DUT Adj Read]]="N/A",IF(Table1[[#This Row],[Std Adj Read]]&lt;=Table1[[#This Row],[High Tol]],"Pass","Fail"),IF(Table1[[#This Row],[DUT Adj Read]]&lt;=Table1[[#This Row],[High Tol]],"Pass","Fail")))</f>
        <v>Fail</v>
      </c>
      <c r="AH22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5" s="1" t="b">
        <v>0</v>
      </c>
      <c r="AN2255" s="1" t="b">
        <v>0</v>
      </c>
      <c r="AO2255" s="1" t="b">
        <v>0</v>
      </c>
    </row>
    <row r="2256" spans="1:41" x14ac:dyDescent="0.25">
      <c r="A2256" s="10"/>
      <c r="B2256" s="10"/>
      <c r="C2256" s="10"/>
      <c r="D2256" s="10"/>
      <c r="E2256" s="10"/>
      <c r="F2256" s="10"/>
      <c r="G2256" s="10"/>
      <c r="H2256" s="10"/>
      <c r="I2256" s="1" t="str">
        <f t="shared" si="105"/>
        <v/>
      </c>
      <c r="J2256" s="1" t="s">
        <v>35</v>
      </c>
      <c r="K2256" s="1" t="str">
        <f t="shared" si="106"/>
        <v/>
      </c>
      <c r="L2256" s="1" t="str">
        <f t="shared" si="107"/>
        <v/>
      </c>
      <c r="M2256" s="1">
        <f>IF(OR(Table1[[#This Row],[Std Nom]]="",Table1[[#This Row],[Std Read]]=""),0,Table1[[#This Row],[Std Nom]]-Table1[[#This Row],[Std Read]])</f>
        <v>0</v>
      </c>
      <c r="N2256" s="1">
        <f>IF(Calculations!$F$5="ACCREDITED 17025 WITH UNCERTAINTIES",$N$10,0)</f>
        <v>0</v>
      </c>
      <c r="O2256" s="1" t="str">
        <f>IFERROR(Table1[[#This Row],[Std Nom]]-(_xlfn.XLOOKUP(Table1[[#This Row],[Manufacturer]]&amp;" "&amp;Table1[[#This Row],[Model]],Table13[MFR &amp; MDL],Table13[Tolerance % CW ],"")/100*Table1[[#This Row],[Std Nom]]),"")</f>
        <v/>
      </c>
      <c r="P2256" s="1" t="str">
        <f>IFERROR(Table1[[#This Row],[Std Nom]]+(_xlfn.XLOOKUP(Table1[[#This Row],[Manufacturer]]&amp;" "&amp;Table1[[#This Row],[Model]],Table13[MFR &amp; MDL],Table13[Tolerance % CW ],"")/100*Table1[[#This Row],[Std Nom]]),"")</f>
        <v/>
      </c>
      <c r="Q2256" s="1" t="e">
        <f>Table1[[#This Row],[High Tol]]-Table1[[#This Row],[Low Tol]]</f>
        <v>#VALUE!</v>
      </c>
      <c r="R2256" s="1">
        <f>2*Table1[[#This Row],[Std Error]]</f>
        <v>0</v>
      </c>
      <c r="S2256" s="1" t="str">
        <f>IF(Table1[[#This Row],[High Tol]]="","N/A",IFERROR(ABS(Table1[[#This Row],[Tol Span]]/Table1[[#This Row],[Error Span]]),"N/A"))</f>
        <v>N/A</v>
      </c>
      <c r="T2256" s="1" t="str">
        <f>IF(OR(Table1[[#This Row],[Low Tol]]="",Table1[[#This Row],[High Tol]]=""),"Needs Analysis",IF(Table1[[#This Row],[Ratio]]&gt;=4,"Not Significant",IF(Table1[[#This Row],[Ratio]]&gt;=2,"Semi-Significant","Significant")))</f>
        <v>Needs Analysis</v>
      </c>
      <c r="W2256" s="1">
        <f>IF(Table1[[#This Row],[Cal Type]]&lt;&gt;"ACCREDITED 17025 WITH UNCERTAINTIES",0,"")</f>
        <v>0</v>
      </c>
      <c r="X2256" s="1" t="str">
        <f>IF(Table1[[#This Row],[DUT Read]]="","N/A",Table1[[#This Row],[Std Error]]+Table1[[#This Row],[DUT Read]]+Table1[[#This Row],[DUT Ucty]])</f>
        <v>N/A</v>
      </c>
      <c r="Y2256" s="1" t="str">
        <f>IF(Table1[[#This Row],[Std Read]]="","N/A",Table1[[#This Row],[Std Read]]+Table1[[#This Row],[Std Ucty]])</f>
        <v>N/A</v>
      </c>
      <c r="Z22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6" s="1" t="str">
        <f>IF(Table1[[#This Row],[Spec Type]]="","N/A",Table1[[#This Row],[Spec Type]])</f>
        <v>±</v>
      </c>
      <c r="AC2256" s="1" t="str">
        <f>IF(Table1[[#This Row],[Spec Type2]]="N/A","N/A",IF(AND(Table1[[#This Row],[DUT Adj Read]]&gt;=Table1[[#This Row],[Low Tol]],Table1[[#This Row],[DUT Adj Read]]&lt;=Table1[[#This Row],[High Tol]]),"Pass","Fail"))</f>
        <v>Fail</v>
      </c>
      <c r="AD2256" s="1" t="str">
        <f>IF(AND(Table1[[#This Row],[Spec Type2]]="N/A",Table1[[#This Row],[DUT Adj Read]]="N/A",Table1[[#This Row],[Std Adj Read]]="N/A"),"N/A",IF(Table1[[#This Row],[DUT Adj Read]]="N/A",IF(Table1[[#This Row],[Std Adj Read]]&gt;Table1[[#This Row],[Low Tol]],"Pass","Fail"),IF(Table1[[#This Row],[DUT Adj Read]]&gt;Table1[[#This Row],[Low Tol]],"Pass","Fail")))</f>
        <v>Pass</v>
      </c>
      <c r="AE2256" s="1" t="str">
        <f>IF(AND(Table1[[#This Row],[Spec Type2]]="N/A",Table1[[#This Row],[DUT Adj Read]]="N/A",Table1[[#This Row],[Std Adj Read]]="N/A"),"N/A",IF(Table1[[#This Row],[DUT Adj Read]]="N/A",IF(Table1[[#This Row],[Std Adj Read]]&lt;Table1[[#This Row],[High Tol]],"Pass","Fail"),IF(Table1[[#This Row],[DUT Adj Read]]&lt;Table1[[#This Row],[High Tol]],"Pass","Fail")))</f>
        <v>Fail</v>
      </c>
      <c r="AF2256" s="1" t="str">
        <f>IF(AND(Table1[[#This Row],[Spec Type2]]="N/A",Table1[[#This Row],[DUT Adj Read]]="N/A",Table1[[#This Row],[Std Adj Read]]="N/A"),"N/A",IF(Table1[[#This Row],[DUT Adj Read]]="N/A",IF(Table1[[#This Row],[Std Adj Read]]&gt;=Table1[[#This Row],[Low Tol]],"Pass","Fail"),IF(Table1[[#This Row],[DUT Adj Read]]&gt;=Table1[[#This Row],[Low Tol]],"Pass","Fail")))</f>
        <v>Pass</v>
      </c>
      <c r="AG2256" s="1" t="str">
        <f>IF(AND(Table1[[#This Row],[Spec Type2]]="N/A",Table1[[#This Row],[DUT Adj Read]]="N/A",Table1[[#This Row],[Std Adj Read]]="N/A"),"N/A",IF(Table1[[#This Row],[DUT Adj Read]]="N/A",IF(Table1[[#This Row],[Std Adj Read]]&lt;=Table1[[#This Row],[High Tol]],"Pass","Fail"),IF(Table1[[#This Row],[DUT Adj Read]]&lt;=Table1[[#This Row],[High Tol]],"Pass","Fail")))</f>
        <v>Fail</v>
      </c>
      <c r="AH22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6" s="1" t="b">
        <v>0</v>
      </c>
      <c r="AN2256" s="1" t="b">
        <v>0</v>
      </c>
      <c r="AO2256" s="1" t="b">
        <v>0</v>
      </c>
    </row>
    <row r="2257" spans="1:41" x14ac:dyDescent="0.25">
      <c r="A2257" s="10"/>
      <c r="B2257" s="10"/>
      <c r="C2257" s="10"/>
      <c r="D2257" s="10"/>
      <c r="E2257" s="10"/>
      <c r="F2257" s="10"/>
      <c r="G2257" s="10"/>
      <c r="H2257" s="10"/>
      <c r="I2257" s="1" t="str">
        <f t="shared" si="105"/>
        <v/>
      </c>
      <c r="J2257" s="1" t="s">
        <v>35</v>
      </c>
      <c r="K2257" s="1" t="str">
        <f t="shared" si="106"/>
        <v/>
      </c>
      <c r="L2257" s="1" t="str">
        <f t="shared" si="107"/>
        <v/>
      </c>
      <c r="M2257" s="1">
        <f>IF(OR(Table1[[#This Row],[Std Nom]]="",Table1[[#This Row],[Std Read]]=""),0,Table1[[#This Row],[Std Nom]]-Table1[[#This Row],[Std Read]])</f>
        <v>0</v>
      </c>
      <c r="N2257" s="1">
        <f>IF(Calculations!$F$5="ACCREDITED 17025 WITH UNCERTAINTIES",$N$10,0)</f>
        <v>0</v>
      </c>
      <c r="O2257" s="1" t="str">
        <f>IFERROR(Table1[[#This Row],[Std Nom]]-(_xlfn.XLOOKUP(Table1[[#This Row],[Manufacturer]]&amp;" "&amp;Table1[[#This Row],[Model]],Table13[MFR &amp; MDL],Table13[Tolerance % CW ],"")/100*Table1[[#This Row],[Std Nom]]),"")</f>
        <v/>
      </c>
      <c r="P2257" s="1" t="str">
        <f>IFERROR(Table1[[#This Row],[Std Nom]]+(_xlfn.XLOOKUP(Table1[[#This Row],[Manufacturer]]&amp;" "&amp;Table1[[#This Row],[Model]],Table13[MFR &amp; MDL],Table13[Tolerance % CW ],"")/100*Table1[[#This Row],[Std Nom]]),"")</f>
        <v/>
      </c>
      <c r="Q2257" s="1" t="e">
        <f>Table1[[#This Row],[High Tol]]-Table1[[#This Row],[Low Tol]]</f>
        <v>#VALUE!</v>
      </c>
      <c r="R2257" s="1">
        <f>2*Table1[[#This Row],[Std Error]]</f>
        <v>0</v>
      </c>
      <c r="S2257" s="1" t="str">
        <f>IF(Table1[[#This Row],[High Tol]]="","N/A",IFERROR(ABS(Table1[[#This Row],[Tol Span]]/Table1[[#This Row],[Error Span]]),"N/A"))</f>
        <v>N/A</v>
      </c>
      <c r="T2257" s="1" t="str">
        <f>IF(OR(Table1[[#This Row],[Low Tol]]="",Table1[[#This Row],[High Tol]]=""),"Needs Analysis",IF(Table1[[#This Row],[Ratio]]&gt;=4,"Not Significant",IF(Table1[[#This Row],[Ratio]]&gt;=2,"Semi-Significant","Significant")))</f>
        <v>Needs Analysis</v>
      </c>
      <c r="W2257" s="1">
        <f>IF(Table1[[#This Row],[Cal Type]]&lt;&gt;"ACCREDITED 17025 WITH UNCERTAINTIES",0,"")</f>
        <v>0</v>
      </c>
      <c r="X2257" s="1" t="str">
        <f>IF(Table1[[#This Row],[DUT Read]]="","N/A",Table1[[#This Row],[Std Error]]+Table1[[#This Row],[DUT Read]]+Table1[[#This Row],[DUT Ucty]])</f>
        <v>N/A</v>
      </c>
      <c r="Y2257" s="1" t="str">
        <f>IF(Table1[[#This Row],[Std Read]]="","N/A",Table1[[#This Row],[Std Read]]+Table1[[#This Row],[Std Ucty]])</f>
        <v>N/A</v>
      </c>
      <c r="Z22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7" s="1" t="str">
        <f>IF(Table1[[#This Row],[Spec Type]]="","N/A",Table1[[#This Row],[Spec Type]])</f>
        <v>±</v>
      </c>
      <c r="AC2257" s="1" t="str">
        <f>IF(Table1[[#This Row],[Spec Type2]]="N/A","N/A",IF(AND(Table1[[#This Row],[DUT Adj Read]]&gt;=Table1[[#This Row],[Low Tol]],Table1[[#This Row],[DUT Adj Read]]&lt;=Table1[[#This Row],[High Tol]]),"Pass","Fail"))</f>
        <v>Fail</v>
      </c>
      <c r="AD2257" s="1" t="str">
        <f>IF(AND(Table1[[#This Row],[Spec Type2]]="N/A",Table1[[#This Row],[DUT Adj Read]]="N/A",Table1[[#This Row],[Std Adj Read]]="N/A"),"N/A",IF(Table1[[#This Row],[DUT Adj Read]]="N/A",IF(Table1[[#This Row],[Std Adj Read]]&gt;Table1[[#This Row],[Low Tol]],"Pass","Fail"),IF(Table1[[#This Row],[DUT Adj Read]]&gt;Table1[[#This Row],[Low Tol]],"Pass","Fail")))</f>
        <v>Pass</v>
      </c>
      <c r="AE2257" s="1" t="str">
        <f>IF(AND(Table1[[#This Row],[Spec Type2]]="N/A",Table1[[#This Row],[DUT Adj Read]]="N/A",Table1[[#This Row],[Std Adj Read]]="N/A"),"N/A",IF(Table1[[#This Row],[DUT Adj Read]]="N/A",IF(Table1[[#This Row],[Std Adj Read]]&lt;Table1[[#This Row],[High Tol]],"Pass","Fail"),IF(Table1[[#This Row],[DUT Adj Read]]&lt;Table1[[#This Row],[High Tol]],"Pass","Fail")))</f>
        <v>Fail</v>
      </c>
      <c r="AF2257" s="1" t="str">
        <f>IF(AND(Table1[[#This Row],[Spec Type2]]="N/A",Table1[[#This Row],[DUT Adj Read]]="N/A",Table1[[#This Row],[Std Adj Read]]="N/A"),"N/A",IF(Table1[[#This Row],[DUT Adj Read]]="N/A",IF(Table1[[#This Row],[Std Adj Read]]&gt;=Table1[[#This Row],[Low Tol]],"Pass","Fail"),IF(Table1[[#This Row],[DUT Adj Read]]&gt;=Table1[[#This Row],[Low Tol]],"Pass","Fail")))</f>
        <v>Pass</v>
      </c>
      <c r="AG2257" s="1" t="str">
        <f>IF(AND(Table1[[#This Row],[Spec Type2]]="N/A",Table1[[#This Row],[DUT Adj Read]]="N/A",Table1[[#This Row],[Std Adj Read]]="N/A"),"N/A",IF(Table1[[#This Row],[DUT Adj Read]]="N/A",IF(Table1[[#This Row],[Std Adj Read]]&lt;=Table1[[#This Row],[High Tol]],"Pass","Fail"),IF(Table1[[#This Row],[DUT Adj Read]]&lt;=Table1[[#This Row],[High Tol]],"Pass","Fail")))</f>
        <v>Fail</v>
      </c>
      <c r="AH22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7" s="1" t="b">
        <v>0</v>
      </c>
      <c r="AN2257" s="1" t="b">
        <v>0</v>
      </c>
      <c r="AO2257" s="1" t="b">
        <v>0</v>
      </c>
    </row>
    <row r="2258" spans="1:41" x14ac:dyDescent="0.25">
      <c r="A2258" s="10"/>
      <c r="B2258" s="10"/>
      <c r="C2258" s="10"/>
      <c r="D2258" s="10"/>
      <c r="E2258" s="10"/>
      <c r="F2258" s="10"/>
      <c r="G2258" s="10"/>
      <c r="H2258" s="10"/>
      <c r="I2258" s="1" t="str">
        <f t="shared" si="105"/>
        <v/>
      </c>
      <c r="J2258" s="1" t="s">
        <v>35</v>
      </c>
      <c r="K2258" s="1" t="str">
        <f t="shared" si="106"/>
        <v/>
      </c>
      <c r="L2258" s="1" t="str">
        <f t="shared" si="107"/>
        <v/>
      </c>
      <c r="M2258" s="1">
        <f>IF(OR(Table1[[#This Row],[Std Nom]]="",Table1[[#This Row],[Std Read]]=""),0,Table1[[#This Row],[Std Nom]]-Table1[[#This Row],[Std Read]])</f>
        <v>0</v>
      </c>
      <c r="N2258" s="1">
        <f>IF(Calculations!$F$5="ACCREDITED 17025 WITH UNCERTAINTIES",$N$10,0)</f>
        <v>0</v>
      </c>
      <c r="O2258" s="1" t="str">
        <f>IFERROR(Table1[[#This Row],[Std Nom]]-(_xlfn.XLOOKUP(Table1[[#This Row],[Manufacturer]]&amp;" "&amp;Table1[[#This Row],[Model]],Table13[MFR &amp; MDL],Table13[Tolerance % CW ],"")/100*Table1[[#This Row],[Std Nom]]),"")</f>
        <v/>
      </c>
      <c r="P2258" s="1" t="str">
        <f>IFERROR(Table1[[#This Row],[Std Nom]]+(_xlfn.XLOOKUP(Table1[[#This Row],[Manufacturer]]&amp;" "&amp;Table1[[#This Row],[Model]],Table13[MFR &amp; MDL],Table13[Tolerance % CW ],"")/100*Table1[[#This Row],[Std Nom]]),"")</f>
        <v/>
      </c>
      <c r="Q2258" s="1" t="e">
        <f>Table1[[#This Row],[High Tol]]-Table1[[#This Row],[Low Tol]]</f>
        <v>#VALUE!</v>
      </c>
      <c r="R2258" s="1">
        <f>2*Table1[[#This Row],[Std Error]]</f>
        <v>0</v>
      </c>
      <c r="S2258" s="1" t="str">
        <f>IF(Table1[[#This Row],[High Tol]]="","N/A",IFERROR(ABS(Table1[[#This Row],[Tol Span]]/Table1[[#This Row],[Error Span]]),"N/A"))</f>
        <v>N/A</v>
      </c>
      <c r="T2258" s="1" t="str">
        <f>IF(OR(Table1[[#This Row],[Low Tol]]="",Table1[[#This Row],[High Tol]]=""),"Needs Analysis",IF(Table1[[#This Row],[Ratio]]&gt;=4,"Not Significant",IF(Table1[[#This Row],[Ratio]]&gt;=2,"Semi-Significant","Significant")))</f>
        <v>Needs Analysis</v>
      </c>
      <c r="W2258" s="1">
        <f>IF(Table1[[#This Row],[Cal Type]]&lt;&gt;"ACCREDITED 17025 WITH UNCERTAINTIES",0,"")</f>
        <v>0</v>
      </c>
      <c r="X2258" s="1" t="str">
        <f>IF(Table1[[#This Row],[DUT Read]]="","N/A",Table1[[#This Row],[Std Error]]+Table1[[#This Row],[DUT Read]]+Table1[[#This Row],[DUT Ucty]])</f>
        <v>N/A</v>
      </c>
      <c r="Y2258" s="1" t="str">
        <f>IF(Table1[[#This Row],[Std Read]]="","N/A",Table1[[#This Row],[Std Read]]+Table1[[#This Row],[Std Ucty]])</f>
        <v>N/A</v>
      </c>
      <c r="Z22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8" s="1" t="str">
        <f>IF(Table1[[#This Row],[Spec Type]]="","N/A",Table1[[#This Row],[Spec Type]])</f>
        <v>±</v>
      </c>
      <c r="AC2258" s="1" t="str">
        <f>IF(Table1[[#This Row],[Spec Type2]]="N/A","N/A",IF(AND(Table1[[#This Row],[DUT Adj Read]]&gt;=Table1[[#This Row],[Low Tol]],Table1[[#This Row],[DUT Adj Read]]&lt;=Table1[[#This Row],[High Tol]]),"Pass","Fail"))</f>
        <v>Fail</v>
      </c>
      <c r="AD2258" s="1" t="str">
        <f>IF(AND(Table1[[#This Row],[Spec Type2]]="N/A",Table1[[#This Row],[DUT Adj Read]]="N/A",Table1[[#This Row],[Std Adj Read]]="N/A"),"N/A",IF(Table1[[#This Row],[DUT Adj Read]]="N/A",IF(Table1[[#This Row],[Std Adj Read]]&gt;Table1[[#This Row],[Low Tol]],"Pass","Fail"),IF(Table1[[#This Row],[DUT Adj Read]]&gt;Table1[[#This Row],[Low Tol]],"Pass","Fail")))</f>
        <v>Pass</v>
      </c>
      <c r="AE2258" s="1" t="str">
        <f>IF(AND(Table1[[#This Row],[Spec Type2]]="N/A",Table1[[#This Row],[DUT Adj Read]]="N/A",Table1[[#This Row],[Std Adj Read]]="N/A"),"N/A",IF(Table1[[#This Row],[DUT Adj Read]]="N/A",IF(Table1[[#This Row],[Std Adj Read]]&lt;Table1[[#This Row],[High Tol]],"Pass","Fail"),IF(Table1[[#This Row],[DUT Adj Read]]&lt;Table1[[#This Row],[High Tol]],"Pass","Fail")))</f>
        <v>Fail</v>
      </c>
      <c r="AF2258" s="1" t="str">
        <f>IF(AND(Table1[[#This Row],[Spec Type2]]="N/A",Table1[[#This Row],[DUT Adj Read]]="N/A",Table1[[#This Row],[Std Adj Read]]="N/A"),"N/A",IF(Table1[[#This Row],[DUT Adj Read]]="N/A",IF(Table1[[#This Row],[Std Adj Read]]&gt;=Table1[[#This Row],[Low Tol]],"Pass","Fail"),IF(Table1[[#This Row],[DUT Adj Read]]&gt;=Table1[[#This Row],[Low Tol]],"Pass","Fail")))</f>
        <v>Pass</v>
      </c>
      <c r="AG2258" s="1" t="str">
        <f>IF(AND(Table1[[#This Row],[Spec Type2]]="N/A",Table1[[#This Row],[DUT Adj Read]]="N/A",Table1[[#This Row],[Std Adj Read]]="N/A"),"N/A",IF(Table1[[#This Row],[DUT Adj Read]]="N/A",IF(Table1[[#This Row],[Std Adj Read]]&lt;=Table1[[#This Row],[High Tol]],"Pass","Fail"),IF(Table1[[#This Row],[DUT Adj Read]]&lt;=Table1[[#This Row],[High Tol]],"Pass","Fail")))</f>
        <v>Fail</v>
      </c>
      <c r="AH22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8" s="1" t="b">
        <v>0</v>
      </c>
      <c r="AN2258" s="1" t="b">
        <v>0</v>
      </c>
      <c r="AO2258" s="1" t="b">
        <v>0</v>
      </c>
    </row>
    <row r="2259" spans="1:41" x14ac:dyDescent="0.25">
      <c r="A2259" s="10"/>
      <c r="B2259" s="10"/>
      <c r="C2259" s="10"/>
      <c r="D2259" s="10"/>
      <c r="E2259" s="10"/>
      <c r="F2259" s="10"/>
      <c r="G2259" s="10"/>
      <c r="H2259" s="10"/>
      <c r="I2259" s="1" t="str">
        <f t="shared" si="105"/>
        <v/>
      </c>
      <c r="J2259" s="1" t="s">
        <v>35</v>
      </c>
      <c r="K2259" s="1" t="str">
        <f t="shared" si="106"/>
        <v/>
      </c>
      <c r="L2259" s="1" t="str">
        <f t="shared" si="107"/>
        <v/>
      </c>
      <c r="M2259" s="1">
        <f>IF(OR(Table1[[#This Row],[Std Nom]]="",Table1[[#This Row],[Std Read]]=""),0,Table1[[#This Row],[Std Nom]]-Table1[[#This Row],[Std Read]])</f>
        <v>0</v>
      </c>
      <c r="N2259" s="1">
        <f>IF(Calculations!$F$5="ACCREDITED 17025 WITH UNCERTAINTIES",$N$10,0)</f>
        <v>0</v>
      </c>
      <c r="O2259" s="1" t="str">
        <f>IFERROR(Table1[[#This Row],[Std Nom]]-(_xlfn.XLOOKUP(Table1[[#This Row],[Manufacturer]]&amp;" "&amp;Table1[[#This Row],[Model]],Table13[MFR &amp; MDL],Table13[Tolerance % CW ],"")/100*Table1[[#This Row],[Std Nom]]),"")</f>
        <v/>
      </c>
      <c r="P2259" s="1" t="str">
        <f>IFERROR(Table1[[#This Row],[Std Nom]]+(_xlfn.XLOOKUP(Table1[[#This Row],[Manufacturer]]&amp;" "&amp;Table1[[#This Row],[Model]],Table13[MFR &amp; MDL],Table13[Tolerance % CW ],"")/100*Table1[[#This Row],[Std Nom]]),"")</f>
        <v/>
      </c>
      <c r="Q2259" s="1" t="e">
        <f>Table1[[#This Row],[High Tol]]-Table1[[#This Row],[Low Tol]]</f>
        <v>#VALUE!</v>
      </c>
      <c r="R2259" s="1">
        <f>2*Table1[[#This Row],[Std Error]]</f>
        <v>0</v>
      </c>
      <c r="S2259" s="1" t="str">
        <f>IF(Table1[[#This Row],[High Tol]]="","N/A",IFERROR(ABS(Table1[[#This Row],[Tol Span]]/Table1[[#This Row],[Error Span]]),"N/A"))</f>
        <v>N/A</v>
      </c>
      <c r="T2259" s="1" t="str">
        <f>IF(OR(Table1[[#This Row],[Low Tol]]="",Table1[[#This Row],[High Tol]]=""),"Needs Analysis",IF(Table1[[#This Row],[Ratio]]&gt;=4,"Not Significant",IF(Table1[[#This Row],[Ratio]]&gt;=2,"Semi-Significant","Significant")))</f>
        <v>Needs Analysis</v>
      </c>
      <c r="W2259" s="1">
        <f>IF(Table1[[#This Row],[Cal Type]]&lt;&gt;"ACCREDITED 17025 WITH UNCERTAINTIES",0,"")</f>
        <v>0</v>
      </c>
      <c r="X2259" s="1" t="str">
        <f>IF(Table1[[#This Row],[DUT Read]]="","N/A",Table1[[#This Row],[Std Error]]+Table1[[#This Row],[DUT Read]]+Table1[[#This Row],[DUT Ucty]])</f>
        <v>N/A</v>
      </c>
      <c r="Y2259" s="1" t="str">
        <f>IF(Table1[[#This Row],[Std Read]]="","N/A",Table1[[#This Row],[Std Read]]+Table1[[#This Row],[Std Ucty]])</f>
        <v>N/A</v>
      </c>
      <c r="Z22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9" s="1" t="str">
        <f>IF(Table1[[#This Row],[Spec Type]]="","N/A",Table1[[#This Row],[Spec Type]])</f>
        <v>±</v>
      </c>
      <c r="AC2259" s="1" t="str">
        <f>IF(Table1[[#This Row],[Spec Type2]]="N/A","N/A",IF(AND(Table1[[#This Row],[DUT Adj Read]]&gt;=Table1[[#This Row],[Low Tol]],Table1[[#This Row],[DUT Adj Read]]&lt;=Table1[[#This Row],[High Tol]]),"Pass","Fail"))</f>
        <v>Fail</v>
      </c>
      <c r="AD2259" s="1" t="str">
        <f>IF(AND(Table1[[#This Row],[Spec Type2]]="N/A",Table1[[#This Row],[DUT Adj Read]]="N/A",Table1[[#This Row],[Std Adj Read]]="N/A"),"N/A",IF(Table1[[#This Row],[DUT Adj Read]]="N/A",IF(Table1[[#This Row],[Std Adj Read]]&gt;Table1[[#This Row],[Low Tol]],"Pass","Fail"),IF(Table1[[#This Row],[DUT Adj Read]]&gt;Table1[[#This Row],[Low Tol]],"Pass","Fail")))</f>
        <v>Pass</v>
      </c>
      <c r="AE2259" s="1" t="str">
        <f>IF(AND(Table1[[#This Row],[Spec Type2]]="N/A",Table1[[#This Row],[DUT Adj Read]]="N/A",Table1[[#This Row],[Std Adj Read]]="N/A"),"N/A",IF(Table1[[#This Row],[DUT Adj Read]]="N/A",IF(Table1[[#This Row],[Std Adj Read]]&lt;Table1[[#This Row],[High Tol]],"Pass","Fail"),IF(Table1[[#This Row],[DUT Adj Read]]&lt;Table1[[#This Row],[High Tol]],"Pass","Fail")))</f>
        <v>Fail</v>
      </c>
      <c r="AF2259" s="1" t="str">
        <f>IF(AND(Table1[[#This Row],[Spec Type2]]="N/A",Table1[[#This Row],[DUT Adj Read]]="N/A",Table1[[#This Row],[Std Adj Read]]="N/A"),"N/A",IF(Table1[[#This Row],[DUT Adj Read]]="N/A",IF(Table1[[#This Row],[Std Adj Read]]&gt;=Table1[[#This Row],[Low Tol]],"Pass","Fail"),IF(Table1[[#This Row],[DUT Adj Read]]&gt;=Table1[[#This Row],[Low Tol]],"Pass","Fail")))</f>
        <v>Pass</v>
      </c>
      <c r="AG2259" s="1" t="str">
        <f>IF(AND(Table1[[#This Row],[Spec Type2]]="N/A",Table1[[#This Row],[DUT Adj Read]]="N/A",Table1[[#This Row],[Std Adj Read]]="N/A"),"N/A",IF(Table1[[#This Row],[DUT Adj Read]]="N/A",IF(Table1[[#This Row],[Std Adj Read]]&lt;=Table1[[#This Row],[High Tol]],"Pass","Fail"),IF(Table1[[#This Row],[DUT Adj Read]]&lt;=Table1[[#This Row],[High Tol]],"Pass","Fail")))</f>
        <v>Fail</v>
      </c>
      <c r="AH22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9" s="1" t="b">
        <v>0</v>
      </c>
      <c r="AN2259" s="1" t="b">
        <v>0</v>
      </c>
      <c r="AO2259" s="1" t="b">
        <v>0</v>
      </c>
    </row>
    <row r="2260" spans="1:41" x14ac:dyDescent="0.25">
      <c r="A2260" s="10"/>
      <c r="B2260" s="10"/>
      <c r="C2260" s="10"/>
      <c r="D2260" s="10"/>
      <c r="E2260" s="10"/>
      <c r="F2260" s="10"/>
      <c r="G2260" s="10"/>
      <c r="H2260" s="10"/>
      <c r="I2260" s="1" t="str">
        <f t="shared" si="105"/>
        <v/>
      </c>
      <c r="J2260" s="1" t="s">
        <v>35</v>
      </c>
      <c r="K2260" s="1" t="str">
        <f t="shared" si="106"/>
        <v/>
      </c>
      <c r="L2260" s="1" t="str">
        <f t="shared" si="107"/>
        <v/>
      </c>
      <c r="M2260" s="1">
        <f>IF(OR(Table1[[#This Row],[Std Nom]]="",Table1[[#This Row],[Std Read]]=""),0,Table1[[#This Row],[Std Nom]]-Table1[[#This Row],[Std Read]])</f>
        <v>0</v>
      </c>
      <c r="N2260" s="1">
        <f>IF(Calculations!$F$5="ACCREDITED 17025 WITH UNCERTAINTIES",$N$10,0)</f>
        <v>0</v>
      </c>
      <c r="O2260" s="1" t="str">
        <f>IFERROR(Table1[[#This Row],[Std Nom]]-(_xlfn.XLOOKUP(Table1[[#This Row],[Manufacturer]]&amp;" "&amp;Table1[[#This Row],[Model]],Table13[MFR &amp; MDL],Table13[Tolerance % CW ],"")/100*Table1[[#This Row],[Std Nom]]),"")</f>
        <v/>
      </c>
      <c r="P2260" s="1" t="str">
        <f>IFERROR(Table1[[#This Row],[Std Nom]]+(_xlfn.XLOOKUP(Table1[[#This Row],[Manufacturer]]&amp;" "&amp;Table1[[#This Row],[Model]],Table13[MFR &amp; MDL],Table13[Tolerance % CW ],"")/100*Table1[[#This Row],[Std Nom]]),"")</f>
        <v/>
      </c>
      <c r="Q2260" s="1" t="e">
        <f>Table1[[#This Row],[High Tol]]-Table1[[#This Row],[Low Tol]]</f>
        <v>#VALUE!</v>
      </c>
      <c r="R2260" s="1">
        <f>2*Table1[[#This Row],[Std Error]]</f>
        <v>0</v>
      </c>
      <c r="S2260" s="1" t="str">
        <f>IF(Table1[[#This Row],[High Tol]]="","N/A",IFERROR(ABS(Table1[[#This Row],[Tol Span]]/Table1[[#This Row],[Error Span]]),"N/A"))</f>
        <v>N/A</v>
      </c>
      <c r="T2260" s="1" t="str">
        <f>IF(OR(Table1[[#This Row],[Low Tol]]="",Table1[[#This Row],[High Tol]]=""),"Needs Analysis",IF(Table1[[#This Row],[Ratio]]&gt;=4,"Not Significant",IF(Table1[[#This Row],[Ratio]]&gt;=2,"Semi-Significant","Significant")))</f>
        <v>Needs Analysis</v>
      </c>
      <c r="W2260" s="1">
        <f>IF(Table1[[#This Row],[Cal Type]]&lt;&gt;"ACCREDITED 17025 WITH UNCERTAINTIES",0,"")</f>
        <v>0</v>
      </c>
      <c r="X2260" s="1" t="str">
        <f>IF(Table1[[#This Row],[DUT Read]]="","N/A",Table1[[#This Row],[Std Error]]+Table1[[#This Row],[DUT Read]]+Table1[[#This Row],[DUT Ucty]])</f>
        <v>N/A</v>
      </c>
      <c r="Y2260" s="1" t="str">
        <f>IF(Table1[[#This Row],[Std Read]]="","N/A",Table1[[#This Row],[Std Read]]+Table1[[#This Row],[Std Ucty]])</f>
        <v>N/A</v>
      </c>
      <c r="Z22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0" s="1" t="str">
        <f>IF(Table1[[#This Row],[Spec Type]]="","N/A",Table1[[#This Row],[Spec Type]])</f>
        <v>±</v>
      </c>
      <c r="AC2260" s="1" t="str">
        <f>IF(Table1[[#This Row],[Spec Type2]]="N/A","N/A",IF(AND(Table1[[#This Row],[DUT Adj Read]]&gt;=Table1[[#This Row],[Low Tol]],Table1[[#This Row],[DUT Adj Read]]&lt;=Table1[[#This Row],[High Tol]]),"Pass","Fail"))</f>
        <v>Fail</v>
      </c>
      <c r="AD2260" s="1" t="str">
        <f>IF(AND(Table1[[#This Row],[Spec Type2]]="N/A",Table1[[#This Row],[DUT Adj Read]]="N/A",Table1[[#This Row],[Std Adj Read]]="N/A"),"N/A",IF(Table1[[#This Row],[DUT Adj Read]]="N/A",IF(Table1[[#This Row],[Std Adj Read]]&gt;Table1[[#This Row],[Low Tol]],"Pass","Fail"),IF(Table1[[#This Row],[DUT Adj Read]]&gt;Table1[[#This Row],[Low Tol]],"Pass","Fail")))</f>
        <v>Pass</v>
      </c>
      <c r="AE2260" s="1" t="str">
        <f>IF(AND(Table1[[#This Row],[Spec Type2]]="N/A",Table1[[#This Row],[DUT Adj Read]]="N/A",Table1[[#This Row],[Std Adj Read]]="N/A"),"N/A",IF(Table1[[#This Row],[DUT Adj Read]]="N/A",IF(Table1[[#This Row],[Std Adj Read]]&lt;Table1[[#This Row],[High Tol]],"Pass","Fail"),IF(Table1[[#This Row],[DUT Adj Read]]&lt;Table1[[#This Row],[High Tol]],"Pass","Fail")))</f>
        <v>Fail</v>
      </c>
      <c r="AF2260" s="1" t="str">
        <f>IF(AND(Table1[[#This Row],[Spec Type2]]="N/A",Table1[[#This Row],[DUT Adj Read]]="N/A",Table1[[#This Row],[Std Adj Read]]="N/A"),"N/A",IF(Table1[[#This Row],[DUT Adj Read]]="N/A",IF(Table1[[#This Row],[Std Adj Read]]&gt;=Table1[[#This Row],[Low Tol]],"Pass","Fail"),IF(Table1[[#This Row],[DUT Adj Read]]&gt;=Table1[[#This Row],[Low Tol]],"Pass","Fail")))</f>
        <v>Pass</v>
      </c>
      <c r="AG2260" s="1" t="str">
        <f>IF(AND(Table1[[#This Row],[Spec Type2]]="N/A",Table1[[#This Row],[DUT Adj Read]]="N/A",Table1[[#This Row],[Std Adj Read]]="N/A"),"N/A",IF(Table1[[#This Row],[DUT Adj Read]]="N/A",IF(Table1[[#This Row],[Std Adj Read]]&lt;=Table1[[#This Row],[High Tol]],"Pass","Fail"),IF(Table1[[#This Row],[DUT Adj Read]]&lt;=Table1[[#This Row],[High Tol]],"Pass","Fail")))</f>
        <v>Fail</v>
      </c>
      <c r="AH22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0" s="1" t="b">
        <v>0</v>
      </c>
      <c r="AN2260" s="1" t="b">
        <v>0</v>
      </c>
      <c r="AO2260" s="1" t="b">
        <v>0</v>
      </c>
    </row>
    <row r="2261" spans="1:41" x14ac:dyDescent="0.25">
      <c r="A2261" s="10"/>
      <c r="B2261" s="10"/>
      <c r="C2261" s="10"/>
      <c r="D2261" s="10"/>
      <c r="E2261" s="10"/>
      <c r="F2261" s="10"/>
      <c r="G2261" s="10"/>
      <c r="H2261" s="10"/>
      <c r="I2261" s="1" t="str">
        <f t="shared" si="105"/>
        <v/>
      </c>
      <c r="J2261" s="1" t="s">
        <v>35</v>
      </c>
      <c r="K2261" s="1" t="str">
        <f t="shared" si="106"/>
        <v/>
      </c>
      <c r="L2261" s="1" t="str">
        <f t="shared" si="107"/>
        <v/>
      </c>
      <c r="M2261" s="1">
        <f>IF(OR(Table1[[#This Row],[Std Nom]]="",Table1[[#This Row],[Std Read]]=""),0,Table1[[#This Row],[Std Nom]]-Table1[[#This Row],[Std Read]])</f>
        <v>0</v>
      </c>
      <c r="N2261" s="1">
        <f>IF(Calculations!$F$5="ACCREDITED 17025 WITH UNCERTAINTIES",$N$10,0)</f>
        <v>0</v>
      </c>
      <c r="O2261" s="1" t="str">
        <f>IFERROR(Table1[[#This Row],[Std Nom]]-(_xlfn.XLOOKUP(Table1[[#This Row],[Manufacturer]]&amp;" "&amp;Table1[[#This Row],[Model]],Table13[MFR &amp; MDL],Table13[Tolerance % CW ],"")/100*Table1[[#This Row],[Std Nom]]),"")</f>
        <v/>
      </c>
      <c r="P2261" s="1" t="str">
        <f>IFERROR(Table1[[#This Row],[Std Nom]]+(_xlfn.XLOOKUP(Table1[[#This Row],[Manufacturer]]&amp;" "&amp;Table1[[#This Row],[Model]],Table13[MFR &amp; MDL],Table13[Tolerance % CW ],"")/100*Table1[[#This Row],[Std Nom]]),"")</f>
        <v/>
      </c>
      <c r="Q2261" s="1" t="e">
        <f>Table1[[#This Row],[High Tol]]-Table1[[#This Row],[Low Tol]]</f>
        <v>#VALUE!</v>
      </c>
      <c r="R2261" s="1">
        <f>2*Table1[[#This Row],[Std Error]]</f>
        <v>0</v>
      </c>
      <c r="S2261" s="1" t="str">
        <f>IF(Table1[[#This Row],[High Tol]]="","N/A",IFERROR(ABS(Table1[[#This Row],[Tol Span]]/Table1[[#This Row],[Error Span]]),"N/A"))</f>
        <v>N/A</v>
      </c>
      <c r="T2261" s="1" t="str">
        <f>IF(OR(Table1[[#This Row],[Low Tol]]="",Table1[[#This Row],[High Tol]]=""),"Needs Analysis",IF(Table1[[#This Row],[Ratio]]&gt;=4,"Not Significant",IF(Table1[[#This Row],[Ratio]]&gt;=2,"Semi-Significant","Significant")))</f>
        <v>Needs Analysis</v>
      </c>
      <c r="W2261" s="1">
        <f>IF(Table1[[#This Row],[Cal Type]]&lt;&gt;"ACCREDITED 17025 WITH UNCERTAINTIES",0,"")</f>
        <v>0</v>
      </c>
      <c r="X2261" s="1" t="str">
        <f>IF(Table1[[#This Row],[DUT Read]]="","N/A",Table1[[#This Row],[Std Error]]+Table1[[#This Row],[DUT Read]]+Table1[[#This Row],[DUT Ucty]])</f>
        <v>N/A</v>
      </c>
      <c r="Y2261" s="1" t="str">
        <f>IF(Table1[[#This Row],[Std Read]]="","N/A",Table1[[#This Row],[Std Read]]+Table1[[#This Row],[Std Ucty]])</f>
        <v>N/A</v>
      </c>
      <c r="Z22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1" s="1" t="str">
        <f>IF(Table1[[#This Row],[Spec Type]]="","N/A",Table1[[#This Row],[Spec Type]])</f>
        <v>±</v>
      </c>
      <c r="AC2261" s="1" t="str">
        <f>IF(Table1[[#This Row],[Spec Type2]]="N/A","N/A",IF(AND(Table1[[#This Row],[DUT Adj Read]]&gt;=Table1[[#This Row],[Low Tol]],Table1[[#This Row],[DUT Adj Read]]&lt;=Table1[[#This Row],[High Tol]]),"Pass","Fail"))</f>
        <v>Fail</v>
      </c>
      <c r="AD2261" s="1" t="str">
        <f>IF(AND(Table1[[#This Row],[Spec Type2]]="N/A",Table1[[#This Row],[DUT Adj Read]]="N/A",Table1[[#This Row],[Std Adj Read]]="N/A"),"N/A",IF(Table1[[#This Row],[DUT Adj Read]]="N/A",IF(Table1[[#This Row],[Std Adj Read]]&gt;Table1[[#This Row],[Low Tol]],"Pass","Fail"),IF(Table1[[#This Row],[DUT Adj Read]]&gt;Table1[[#This Row],[Low Tol]],"Pass","Fail")))</f>
        <v>Pass</v>
      </c>
      <c r="AE2261" s="1" t="str">
        <f>IF(AND(Table1[[#This Row],[Spec Type2]]="N/A",Table1[[#This Row],[DUT Adj Read]]="N/A",Table1[[#This Row],[Std Adj Read]]="N/A"),"N/A",IF(Table1[[#This Row],[DUT Adj Read]]="N/A",IF(Table1[[#This Row],[Std Adj Read]]&lt;Table1[[#This Row],[High Tol]],"Pass","Fail"),IF(Table1[[#This Row],[DUT Adj Read]]&lt;Table1[[#This Row],[High Tol]],"Pass","Fail")))</f>
        <v>Fail</v>
      </c>
      <c r="AF2261" s="1" t="str">
        <f>IF(AND(Table1[[#This Row],[Spec Type2]]="N/A",Table1[[#This Row],[DUT Adj Read]]="N/A",Table1[[#This Row],[Std Adj Read]]="N/A"),"N/A",IF(Table1[[#This Row],[DUT Adj Read]]="N/A",IF(Table1[[#This Row],[Std Adj Read]]&gt;=Table1[[#This Row],[Low Tol]],"Pass","Fail"),IF(Table1[[#This Row],[DUT Adj Read]]&gt;=Table1[[#This Row],[Low Tol]],"Pass","Fail")))</f>
        <v>Pass</v>
      </c>
      <c r="AG2261" s="1" t="str">
        <f>IF(AND(Table1[[#This Row],[Spec Type2]]="N/A",Table1[[#This Row],[DUT Adj Read]]="N/A",Table1[[#This Row],[Std Adj Read]]="N/A"),"N/A",IF(Table1[[#This Row],[DUT Adj Read]]="N/A",IF(Table1[[#This Row],[Std Adj Read]]&lt;=Table1[[#This Row],[High Tol]],"Pass","Fail"),IF(Table1[[#This Row],[DUT Adj Read]]&lt;=Table1[[#This Row],[High Tol]],"Pass","Fail")))</f>
        <v>Fail</v>
      </c>
      <c r="AH22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1" s="1" t="b">
        <v>0</v>
      </c>
      <c r="AN2261" s="1" t="b">
        <v>0</v>
      </c>
      <c r="AO2261" s="1" t="b">
        <v>0</v>
      </c>
    </row>
    <row r="2262" spans="1:41" x14ac:dyDescent="0.25">
      <c r="A2262" s="10"/>
      <c r="B2262" s="10"/>
      <c r="C2262" s="10"/>
      <c r="D2262" s="10"/>
      <c r="E2262" s="10"/>
      <c r="F2262" s="10"/>
      <c r="G2262" s="10"/>
      <c r="H2262" s="10"/>
      <c r="I2262" s="1" t="str">
        <f t="shared" si="105"/>
        <v/>
      </c>
      <c r="J2262" s="1" t="s">
        <v>35</v>
      </c>
      <c r="K2262" s="1" t="str">
        <f t="shared" si="106"/>
        <v/>
      </c>
      <c r="L2262" s="1" t="str">
        <f t="shared" si="107"/>
        <v/>
      </c>
      <c r="M2262" s="1">
        <f>IF(OR(Table1[[#This Row],[Std Nom]]="",Table1[[#This Row],[Std Read]]=""),0,Table1[[#This Row],[Std Nom]]-Table1[[#This Row],[Std Read]])</f>
        <v>0</v>
      </c>
      <c r="N2262" s="1">
        <f>IF(Calculations!$F$5="ACCREDITED 17025 WITH UNCERTAINTIES",$N$10,0)</f>
        <v>0</v>
      </c>
      <c r="O2262" s="1" t="str">
        <f>IFERROR(Table1[[#This Row],[Std Nom]]-(_xlfn.XLOOKUP(Table1[[#This Row],[Manufacturer]]&amp;" "&amp;Table1[[#This Row],[Model]],Table13[MFR &amp; MDL],Table13[Tolerance % CW ],"")/100*Table1[[#This Row],[Std Nom]]),"")</f>
        <v/>
      </c>
      <c r="P2262" s="1" t="str">
        <f>IFERROR(Table1[[#This Row],[Std Nom]]+(_xlfn.XLOOKUP(Table1[[#This Row],[Manufacturer]]&amp;" "&amp;Table1[[#This Row],[Model]],Table13[MFR &amp; MDL],Table13[Tolerance % CW ],"")/100*Table1[[#This Row],[Std Nom]]),"")</f>
        <v/>
      </c>
      <c r="Q2262" s="1" t="e">
        <f>Table1[[#This Row],[High Tol]]-Table1[[#This Row],[Low Tol]]</f>
        <v>#VALUE!</v>
      </c>
      <c r="R2262" s="1">
        <f>2*Table1[[#This Row],[Std Error]]</f>
        <v>0</v>
      </c>
      <c r="S2262" s="1" t="str">
        <f>IF(Table1[[#This Row],[High Tol]]="","N/A",IFERROR(ABS(Table1[[#This Row],[Tol Span]]/Table1[[#This Row],[Error Span]]),"N/A"))</f>
        <v>N/A</v>
      </c>
      <c r="T2262" s="1" t="str">
        <f>IF(OR(Table1[[#This Row],[Low Tol]]="",Table1[[#This Row],[High Tol]]=""),"Needs Analysis",IF(Table1[[#This Row],[Ratio]]&gt;=4,"Not Significant",IF(Table1[[#This Row],[Ratio]]&gt;=2,"Semi-Significant","Significant")))</f>
        <v>Needs Analysis</v>
      </c>
      <c r="W2262" s="1">
        <f>IF(Table1[[#This Row],[Cal Type]]&lt;&gt;"ACCREDITED 17025 WITH UNCERTAINTIES",0,"")</f>
        <v>0</v>
      </c>
      <c r="X2262" s="1" t="str">
        <f>IF(Table1[[#This Row],[DUT Read]]="","N/A",Table1[[#This Row],[Std Error]]+Table1[[#This Row],[DUT Read]]+Table1[[#This Row],[DUT Ucty]])</f>
        <v>N/A</v>
      </c>
      <c r="Y2262" s="1" t="str">
        <f>IF(Table1[[#This Row],[Std Read]]="","N/A",Table1[[#This Row],[Std Read]]+Table1[[#This Row],[Std Ucty]])</f>
        <v>N/A</v>
      </c>
      <c r="Z22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2" s="1" t="str">
        <f>IF(Table1[[#This Row],[Spec Type]]="","N/A",Table1[[#This Row],[Spec Type]])</f>
        <v>±</v>
      </c>
      <c r="AC2262" s="1" t="str">
        <f>IF(Table1[[#This Row],[Spec Type2]]="N/A","N/A",IF(AND(Table1[[#This Row],[DUT Adj Read]]&gt;=Table1[[#This Row],[Low Tol]],Table1[[#This Row],[DUT Adj Read]]&lt;=Table1[[#This Row],[High Tol]]),"Pass","Fail"))</f>
        <v>Fail</v>
      </c>
      <c r="AD2262" s="1" t="str">
        <f>IF(AND(Table1[[#This Row],[Spec Type2]]="N/A",Table1[[#This Row],[DUT Adj Read]]="N/A",Table1[[#This Row],[Std Adj Read]]="N/A"),"N/A",IF(Table1[[#This Row],[DUT Adj Read]]="N/A",IF(Table1[[#This Row],[Std Adj Read]]&gt;Table1[[#This Row],[Low Tol]],"Pass","Fail"),IF(Table1[[#This Row],[DUT Adj Read]]&gt;Table1[[#This Row],[Low Tol]],"Pass","Fail")))</f>
        <v>Pass</v>
      </c>
      <c r="AE2262" s="1" t="str">
        <f>IF(AND(Table1[[#This Row],[Spec Type2]]="N/A",Table1[[#This Row],[DUT Adj Read]]="N/A",Table1[[#This Row],[Std Adj Read]]="N/A"),"N/A",IF(Table1[[#This Row],[DUT Adj Read]]="N/A",IF(Table1[[#This Row],[Std Adj Read]]&lt;Table1[[#This Row],[High Tol]],"Pass","Fail"),IF(Table1[[#This Row],[DUT Adj Read]]&lt;Table1[[#This Row],[High Tol]],"Pass","Fail")))</f>
        <v>Fail</v>
      </c>
      <c r="AF2262" s="1" t="str">
        <f>IF(AND(Table1[[#This Row],[Spec Type2]]="N/A",Table1[[#This Row],[DUT Adj Read]]="N/A",Table1[[#This Row],[Std Adj Read]]="N/A"),"N/A",IF(Table1[[#This Row],[DUT Adj Read]]="N/A",IF(Table1[[#This Row],[Std Adj Read]]&gt;=Table1[[#This Row],[Low Tol]],"Pass","Fail"),IF(Table1[[#This Row],[DUT Adj Read]]&gt;=Table1[[#This Row],[Low Tol]],"Pass","Fail")))</f>
        <v>Pass</v>
      </c>
      <c r="AG2262" s="1" t="str">
        <f>IF(AND(Table1[[#This Row],[Spec Type2]]="N/A",Table1[[#This Row],[DUT Adj Read]]="N/A",Table1[[#This Row],[Std Adj Read]]="N/A"),"N/A",IF(Table1[[#This Row],[DUT Adj Read]]="N/A",IF(Table1[[#This Row],[Std Adj Read]]&lt;=Table1[[#This Row],[High Tol]],"Pass","Fail"),IF(Table1[[#This Row],[DUT Adj Read]]&lt;=Table1[[#This Row],[High Tol]],"Pass","Fail")))</f>
        <v>Fail</v>
      </c>
      <c r="AH22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2" s="1" t="b">
        <v>0</v>
      </c>
      <c r="AN2262" s="1" t="b">
        <v>0</v>
      </c>
      <c r="AO2262" s="1" t="b">
        <v>0</v>
      </c>
    </row>
    <row r="2263" spans="1:41" x14ac:dyDescent="0.25">
      <c r="A2263" s="10"/>
      <c r="B2263" s="10"/>
      <c r="C2263" s="10"/>
      <c r="D2263" s="10"/>
      <c r="E2263" s="10"/>
      <c r="F2263" s="10"/>
      <c r="G2263" s="10"/>
      <c r="H2263" s="10"/>
      <c r="I2263" s="1" t="str">
        <f t="shared" si="105"/>
        <v/>
      </c>
      <c r="J2263" s="1" t="s">
        <v>35</v>
      </c>
      <c r="K2263" s="1" t="str">
        <f t="shared" si="106"/>
        <v/>
      </c>
      <c r="L2263" s="1" t="str">
        <f t="shared" si="107"/>
        <v/>
      </c>
      <c r="M2263" s="1">
        <f>IF(OR(Table1[[#This Row],[Std Nom]]="",Table1[[#This Row],[Std Read]]=""),0,Table1[[#This Row],[Std Nom]]-Table1[[#This Row],[Std Read]])</f>
        <v>0</v>
      </c>
      <c r="N2263" s="1">
        <f>IF(Calculations!$F$5="ACCREDITED 17025 WITH UNCERTAINTIES",$N$10,0)</f>
        <v>0</v>
      </c>
      <c r="O2263" s="1" t="str">
        <f>IFERROR(Table1[[#This Row],[Std Nom]]-(_xlfn.XLOOKUP(Table1[[#This Row],[Manufacturer]]&amp;" "&amp;Table1[[#This Row],[Model]],Table13[MFR &amp; MDL],Table13[Tolerance % CW ],"")/100*Table1[[#This Row],[Std Nom]]),"")</f>
        <v/>
      </c>
      <c r="P2263" s="1" t="str">
        <f>IFERROR(Table1[[#This Row],[Std Nom]]+(_xlfn.XLOOKUP(Table1[[#This Row],[Manufacturer]]&amp;" "&amp;Table1[[#This Row],[Model]],Table13[MFR &amp; MDL],Table13[Tolerance % CW ],"")/100*Table1[[#This Row],[Std Nom]]),"")</f>
        <v/>
      </c>
      <c r="Q2263" s="1" t="e">
        <f>Table1[[#This Row],[High Tol]]-Table1[[#This Row],[Low Tol]]</f>
        <v>#VALUE!</v>
      </c>
      <c r="R2263" s="1">
        <f>2*Table1[[#This Row],[Std Error]]</f>
        <v>0</v>
      </c>
      <c r="S2263" s="1" t="str">
        <f>IF(Table1[[#This Row],[High Tol]]="","N/A",IFERROR(ABS(Table1[[#This Row],[Tol Span]]/Table1[[#This Row],[Error Span]]),"N/A"))</f>
        <v>N/A</v>
      </c>
      <c r="T2263" s="1" t="str">
        <f>IF(OR(Table1[[#This Row],[Low Tol]]="",Table1[[#This Row],[High Tol]]=""),"Needs Analysis",IF(Table1[[#This Row],[Ratio]]&gt;=4,"Not Significant",IF(Table1[[#This Row],[Ratio]]&gt;=2,"Semi-Significant","Significant")))</f>
        <v>Needs Analysis</v>
      </c>
      <c r="W2263" s="1">
        <f>IF(Table1[[#This Row],[Cal Type]]&lt;&gt;"ACCREDITED 17025 WITH UNCERTAINTIES",0,"")</f>
        <v>0</v>
      </c>
      <c r="X2263" s="1" t="str">
        <f>IF(Table1[[#This Row],[DUT Read]]="","N/A",Table1[[#This Row],[Std Error]]+Table1[[#This Row],[DUT Read]]+Table1[[#This Row],[DUT Ucty]])</f>
        <v>N/A</v>
      </c>
      <c r="Y2263" s="1" t="str">
        <f>IF(Table1[[#This Row],[Std Read]]="","N/A",Table1[[#This Row],[Std Read]]+Table1[[#This Row],[Std Ucty]])</f>
        <v>N/A</v>
      </c>
      <c r="Z22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3" s="1" t="str">
        <f>IF(Table1[[#This Row],[Spec Type]]="","N/A",Table1[[#This Row],[Spec Type]])</f>
        <v>±</v>
      </c>
      <c r="AC2263" s="1" t="str">
        <f>IF(Table1[[#This Row],[Spec Type2]]="N/A","N/A",IF(AND(Table1[[#This Row],[DUT Adj Read]]&gt;=Table1[[#This Row],[Low Tol]],Table1[[#This Row],[DUT Adj Read]]&lt;=Table1[[#This Row],[High Tol]]),"Pass","Fail"))</f>
        <v>Fail</v>
      </c>
      <c r="AD2263" s="1" t="str">
        <f>IF(AND(Table1[[#This Row],[Spec Type2]]="N/A",Table1[[#This Row],[DUT Adj Read]]="N/A",Table1[[#This Row],[Std Adj Read]]="N/A"),"N/A",IF(Table1[[#This Row],[DUT Adj Read]]="N/A",IF(Table1[[#This Row],[Std Adj Read]]&gt;Table1[[#This Row],[Low Tol]],"Pass","Fail"),IF(Table1[[#This Row],[DUT Adj Read]]&gt;Table1[[#This Row],[Low Tol]],"Pass","Fail")))</f>
        <v>Pass</v>
      </c>
      <c r="AE2263" s="1" t="str">
        <f>IF(AND(Table1[[#This Row],[Spec Type2]]="N/A",Table1[[#This Row],[DUT Adj Read]]="N/A",Table1[[#This Row],[Std Adj Read]]="N/A"),"N/A",IF(Table1[[#This Row],[DUT Adj Read]]="N/A",IF(Table1[[#This Row],[Std Adj Read]]&lt;Table1[[#This Row],[High Tol]],"Pass","Fail"),IF(Table1[[#This Row],[DUT Adj Read]]&lt;Table1[[#This Row],[High Tol]],"Pass","Fail")))</f>
        <v>Fail</v>
      </c>
      <c r="AF2263" s="1" t="str">
        <f>IF(AND(Table1[[#This Row],[Spec Type2]]="N/A",Table1[[#This Row],[DUT Adj Read]]="N/A",Table1[[#This Row],[Std Adj Read]]="N/A"),"N/A",IF(Table1[[#This Row],[DUT Adj Read]]="N/A",IF(Table1[[#This Row],[Std Adj Read]]&gt;=Table1[[#This Row],[Low Tol]],"Pass","Fail"),IF(Table1[[#This Row],[DUT Adj Read]]&gt;=Table1[[#This Row],[Low Tol]],"Pass","Fail")))</f>
        <v>Pass</v>
      </c>
      <c r="AG2263" s="1" t="str">
        <f>IF(AND(Table1[[#This Row],[Spec Type2]]="N/A",Table1[[#This Row],[DUT Adj Read]]="N/A",Table1[[#This Row],[Std Adj Read]]="N/A"),"N/A",IF(Table1[[#This Row],[DUT Adj Read]]="N/A",IF(Table1[[#This Row],[Std Adj Read]]&lt;=Table1[[#This Row],[High Tol]],"Pass","Fail"),IF(Table1[[#This Row],[DUT Adj Read]]&lt;=Table1[[#This Row],[High Tol]],"Pass","Fail")))</f>
        <v>Fail</v>
      </c>
      <c r="AH22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3" s="1" t="b">
        <v>0</v>
      </c>
      <c r="AN2263" s="1" t="b">
        <v>0</v>
      </c>
      <c r="AO2263" s="1" t="b">
        <v>0</v>
      </c>
    </row>
    <row r="2264" spans="1:41" x14ac:dyDescent="0.25">
      <c r="A2264" s="10"/>
      <c r="B2264" s="10"/>
      <c r="C2264" s="10"/>
      <c r="D2264" s="10"/>
      <c r="E2264" s="10"/>
      <c r="F2264" s="10"/>
      <c r="G2264" s="10"/>
      <c r="H2264" s="10"/>
      <c r="I2264" s="1" t="str">
        <f t="shared" si="105"/>
        <v/>
      </c>
      <c r="J2264" s="1" t="s">
        <v>35</v>
      </c>
      <c r="K2264" s="1" t="str">
        <f t="shared" si="106"/>
        <v/>
      </c>
      <c r="L2264" s="1" t="str">
        <f t="shared" si="107"/>
        <v/>
      </c>
      <c r="M2264" s="1">
        <f>IF(OR(Table1[[#This Row],[Std Nom]]="",Table1[[#This Row],[Std Read]]=""),0,Table1[[#This Row],[Std Nom]]-Table1[[#This Row],[Std Read]])</f>
        <v>0</v>
      </c>
      <c r="N2264" s="1">
        <f>IF(Calculations!$F$5="ACCREDITED 17025 WITH UNCERTAINTIES",$N$10,0)</f>
        <v>0</v>
      </c>
      <c r="O2264" s="1" t="str">
        <f>IFERROR(Table1[[#This Row],[Std Nom]]-(_xlfn.XLOOKUP(Table1[[#This Row],[Manufacturer]]&amp;" "&amp;Table1[[#This Row],[Model]],Table13[MFR &amp; MDL],Table13[Tolerance % CW ],"")/100*Table1[[#This Row],[Std Nom]]),"")</f>
        <v/>
      </c>
      <c r="P2264" s="1" t="str">
        <f>IFERROR(Table1[[#This Row],[Std Nom]]+(_xlfn.XLOOKUP(Table1[[#This Row],[Manufacturer]]&amp;" "&amp;Table1[[#This Row],[Model]],Table13[MFR &amp; MDL],Table13[Tolerance % CW ],"")/100*Table1[[#This Row],[Std Nom]]),"")</f>
        <v/>
      </c>
      <c r="Q2264" s="1" t="e">
        <f>Table1[[#This Row],[High Tol]]-Table1[[#This Row],[Low Tol]]</f>
        <v>#VALUE!</v>
      </c>
      <c r="R2264" s="1">
        <f>2*Table1[[#This Row],[Std Error]]</f>
        <v>0</v>
      </c>
      <c r="S2264" s="1" t="str">
        <f>IF(Table1[[#This Row],[High Tol]]="","N/A",IFERROR(ABS(Table1[[#This Row],[Tol Span]]/Table1[[#This Row],[Error Span]]),"N/A"))</f>
        <v>N/A</v>
      </c>
      <c r="T2264" s="1" t="str">
        <f>IF(OR(Table1[[#This Row],[Low Tol]]="",Table1[[#This Row],[High Tol]]=""),"Needs Analysis",IF(Table1[[#This Row],[Ratio]]&gt;=4,"Not Significant",IF(Table1[[#This Row],[Ratio]]&gt;=2,"Semi-Significant","Significant")))</f>
        <v>Needs Analysis</v>
      </c>
      <c r="W2264" s="1">
        <f>IF(Table1[[#This Row],[Cal Type]]&lt;&gt;"ACCREDITED 17025 WITH UNCERTAINTIES",0,"")</f>
        <v>0</v>
      </c>
      <c r="X2264" s="1" t="str">
        <f>IF(Table1[[#This Row],[DUT Read]]="","N/A",Table1[[#This Row],[Std Error]]+Table1[[#This Row],[DUT Read]]+Table1[[#This Row],[DUT Ucty]])</f>
        <v>N/A</v>
      </c>
      <c r="Y2264" s="1" t="str">
        <f>IF(Table1[[#This Row],[Std Read]]="","N/A",Table1[[#This Row],[Std Read]]+Table1[[#This Row],[Std Ucty]])</f>
        <v>N/A</v>
      </c>
      <c r="Z22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4" s="1" t="str">
        <f>IF(Table1[[#This Row],[Spec Type]]="","N/A",Table1[[#This Row],[Spec Type]])</f>
        <v>±</v>
      </c>
      <c r="AC2264" s="1" t="str">
        <f>IF(Table1[[#This Row],[Spec Type2]]="N/A","N/A",IF(AND(Table1[[#This Row],[DUT Adj Read]]&gt;=Table1[[#This Row],[Low Tol]],Table1[[#This Row],[DUT Adj Read]]&lt;=Table1[[#This Row],[High Tol]]),"Pass","Fail"))</f>
        <v>Fail</v>
      </c>
      <c r="AD2264" s="1" t="str">
        <f>IF(AND(Table1[[#This Row],[Spec Type2]]="N/A",Table1[[#This Row],[DUT Adj Read]]="N/A",Table1[[#This Row],[Std Adj Read]]="N/A"),"N/A",IF(Table1[[#This Row],[DUT Adj Read]]="N/A",IF(Table1[[#This Row],[Std Adj Read]]&gt;Table1[[#This Row],[Low Tol]],"Pass","Fail"),IF(Table1[[#This Row],[DUT Adj Read]]&gt;Table1[[#This Row],[Low Tol]],"Pass","Fail")))</f>
        <v>Pass</v>
      </c>
      <c r="AE2264" s="1" t="str">
        <f>IF(AND(Table1[[#This Row],[Spec Type2]]="N/A",Table1[[#This Row],[DUT Adj Read]]="N/A",Table1[[#This Row],[Std Adj Read]]="N/A"),"N/A",IF(Table1[[#This Row],[DUT Adj Read]]="N/A",IF(Table1[[#This Row],[Std Adj Read]]&lt;Table1[[#This Row],[High Tol]],"Pass","Fail"),IF(Table1[[#This Row],[DUT Adj Read]]&lt;Table1[[#This Row],[High Tol]],"Pass","Fail")))</f>
        <v>Fail</v>
      </c>
      <c r="AF2264" s="1" t="str">
        <f>IF(AND(Table1[[#This Row],[Spec Type2]]="N/A",Table1[[#This Row],[DUT Adj Read]]="N/A",Table1[[#This Row],[Std Adj Read]]="N/A"),"N/A",IF(Table1[[#This Row],[DUT Adj Read]]="N/A",IF(Table1[[#This Row],[Std Adj Read]]&gt;=Table1[[#This Row],[Low Tol]],"Pass","Fail"),IF(Table1[[#This Row],[DUT Adj Read]]&gt;=Table1[[#This Row],[Low Tol]],"Pass","Fail")))</f>
        <v>Pass</v>
      </c>
      <c r="AG2264" s="1" t="str">
        <f>IF(AND(Table1[[#This Row],[Spec Type2]]="N/A",Table1[[#This Row],[DUT Adj Read]]="N/A",Table1[[#This Row],[Std Adj Read]]="N/A"),"N/A",IF(Table1[[#This Row],[DUT Adj Read]]="N/A",IF(Table1[[#This Row],[Std Adj Read]]&lt;=Table1[[#This Row],[High Tol]],"Pass","Fail"),IF(Table1[[#This Row],[DUT Adj Read]]&lt;=Table1[[#This Row],[High Tol]],"Pass","Fail")))</f>
        <v>Fail</v>
      </c>
      <c r="AH22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4" s="1" t="b">
        <v>0</v>
      </c>
      <c r="AN2264" s="1" t="b">
        <v>0</v>
      </c>
      <c r="AO2264" s="1" t="b">
        <v>0</v>
      </c>
    </row>
    <row r="2265" spans="1:41" x14ac:dyDescent="0.25">
      <c r="A2265" s="10"/>
      <c r="B2265" s="10"/>
      <c r="C2265" s="10"/>
      <c r="D2265" s="10"/>
      <c r="E2265" s="10"/>
      <c r="F2265" s="10"/>
      <c r="G2265" s="10"/>
      <c r="H2265" s="10"/>
      <c r="I2265" s="1" t="str">
        <f t="shared" si="105"/>
        <v/>
      </c>
      <c r="J2265" s="1" t="s">
        <v>35</v>
      </c>
      <c r="K2265" s="1" t="str">
        <f t="shared" si="106"/>
        <v/>
      </c>
      <c r="L2265" s="1" t="str">
        <f t="shared" si="107"/>
        <v/>
      </c>
      <c r="M2265" s="1">
        <f>IF(OR(Table1[[#This Row],[Std Nom]]="",Table1[[#This Row],[Std Read]]=""),0,Table1[[#This Row],[Std Nom]]-Table1[[#This Row],[Std Read]])</f>
        <v>0</v>
      </c>
      <c r="N2265" s="1">
        <f>IF(Calculations!$F$5="ACCREDITED 17025 WITH UNCERTAINTIES",$N$10,0)</f>
        <v>0</v>
      </c>
      <c r="O2265" s="1" t="str">
        <f>IFERROR(Table1[[#This Row],[Std Nom]]-(_xlfn.XLOOKUP(Table1[[#This Row],[Manufacturer]]&amp;" "&amp;Table1[[#This Row],[Model]],Table13[MFR &amp; MDL],Table13[Tolerance % CW ],"")/100*Table1[[#This Row],[Std Nom]]),"")</f>
        <v/>
      </c>
      <c r="P2265" s="1" t="str">
        <f>IFERROR(Table1[[#This Row],[Std Nom]]+(_xlfn.XLOOKUP(Table1[[#This Row],[Manufacturer]]&amp;" "&amp;Table1[[#This Row],[Model]],Table13[MFR &amp; MDL],Table13[Tolerance % CW ],"")/100*Table1[[#This Row],[Std Nom]]),"")</f>
        <v/>
      </c>
      <c r="Q2265" s="1" t="e">
        <f>Table1[[#This Row],[High Tol]]-Table1[[#This Row],[Low Tol]]</f>
        <v>#VALUE!</v>
      </c>
      <c r="R2265" s="1">
        <f>2*Table1[[#This Row],[Std Error]]</f>
        <v>0</v>
      </c>
      <c r="S2265" s="1" t="str">
        <f>IF(Table1[[#This Row],[High Tol]]="","N/A",IFERROR(ABS(Table1[[#This Row],[Tol Span]]/Table1[[#This Row],[Error Span]]),"N/A"))</f>
        <v>N/A</v>
      </c>
      <c r="T2265" s="1" t="str">
        <f>IF(OR(Table1[[#This Row],[Low Tol]]="",Table1[[#This Row],[High Tol]]=""),"Needs Analysis",IF(Table1[[#This Row],[Ratio]]&gt;=4,"Not Significant",IF(Table1[[#This Row],[Ratio]]&gt;=2,"Semi-Significant","Significant")))</f>
        <v>Needs Analysis</v>
      </c>
      <c r="W2265" s="1">
        <f>IF(Table1[[#This Row],[Cal Type]]&lt;&gt;"ACCREDITED 17025 WITH UNCERTAINTIES",0,"")</f>
        <v>0</v>
      </c>
      <c r="X2265" s="1" t="str">
        <f>IF(Table1[[#This Row],[DUT Read]]="","N/A",Table1[[#This Row],[Std Error]]+Table1[[#This Row],[DUT Read]]+Table1[[#This Row],[DUT Ucty]])</f>
        <v>N/A</v>
      </c>
      <c r="Y2265" s="1" t="str">
        <f>IF(Table1[[#This Row],[Std Read]]="","N/A",Table1[[#This Row],[Std Read]]+Table1[[#This Row],[Std Ucty]])</f>
        <v>N/A</v>
      </c>
      <c r="Z22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5" s="1" t="str">
        <f>IF(Table1[[#This Row],[Spec Type]]="","N/A",Table1[[#This Row],[Spec Type]])</f>
        <v>±</v>
      </c>
      <c r="AC2265" s="1" t="str">
        <f>IF(Table1[[#This Row],[Spec Type2]]="N/A","N/A",IF(AND(Table1[[#This Row],[DUT Adj Read]]&gt;=Table1[[#This Row],[Low Tol]],Table1[[#This Row],[DUT Adj Read]]&lt;=Table1[[#This Row],[High Tol]]),"Pass","Fail"))</f>
        <v>Fail</v>
      </c>
      <c r="AD2265" s="1" t="str">
        <f>IF(AND(Table1[[#This Row],[Spec Type2]]="N/A",Table1[[#This Row],[DUT Adj Read]]="N/A",Table1[[#This Row],[Std Adj Read]]="N/A"),"N/A",IF(Table1[[#This Row],[DUT Adj Read]]="N/A",IF(Table1[[#This Row],[Std Adj Read]]&gt;Table1[[#This Row],[Low Tol]],"Pass","Fail"),IF(Table1[[#This Row],[DUT Adj Read]]&gt;Table1[[#This Row],[Low Tol]],"Pass","Fail")))</f>
        <v>Pass</v>
      </c>
      <c r="AE2265" s="1" t="str">
        <f>IF(AND(Table1[[#This Row],[Spec Type2]]="N/A",Table1[[#This Row],[DUT Adj Read]]="N/A",Table1[[#This Row],[Std Adj Read]]="N/A"),"N/A",IF(Table1[[#This Row],[DUT Adj Read]]="N/A",IF(Table1[[#This Row],[Std Adj Read]]&lt;Table1[[#This Row],[High Tol]],"Pass","Fail"),IF(Table1[[#This Row],[DUT Adj Read]]&lt;Table1[[#This Row],[High Tol]],"Pass","Fail")))</f>
        <v>Fail</v>
      </c>
      <c r="AF2265" s="1" t="str">
        <f>IF(AND(Table1[[#This Row],[Spec Type2]]="N/A",Table1[[#This Row],[DUT Adj Read]]="N/A",Table1[[#This Row],[Std Adj Read]]="N/A"),"N/A",IF(Table1[[#This Row],[DUT Adj Read]]="N/A",IF(Table1[[#This Row],[Std Adj Read]]&gt;=Table1[[#This Row],[Low Tol]],"Pass","Fail"),IF(Table1[[#This Row],[DUT Adj Read]]&gt;=Table1[[#This Row],[Low Tol]],"Pass","Fail")))</f>
        <v>Pass</v>
      </c>
      <c r="AG2265" s="1" t="str">
        <f>IF(AND(Table1[[#This Row],[Spec Type2]]="N/A",Table1[[#This Row],[DUT Adj Read]]="N/A",Table1[[#This Row],[Std Adj Read]]="N/A"),"N/A",IF(Table1[[#This Row],[DUT Adj Read]]="N/A",IF(Table1[[#This Row],[Std Adj Read]]&lt;=Table1[[#This Row],[High Tol]],"Pass","Fail"),IF(Table1[[#This Row],[DUT Adj Read]]&lt;=Table1[[#This Row],[High Tol]],"Pass","Fail")))</f>
        <v>Fail</v>
      </c>
      <c r="AH22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5" s="1" t="b">
        <v>0</v>
      </c>
      <c r="AN2265" s="1" t="b">
        <v>0</v>
      </c>
      <c r="AO2265" s="1" t="b">
        <v>0</v>
      </c>
    </row>
    <row r="2266" spans="1:41" x14ac:dyDescent="0.25">
      <c r="A2266" s="10"/>
      <c r="B2266" s="10"/>
      <c r="C2266" s="10"/>
      <c r="D2266" s="10"/>
      <c r="E2266" s="10"/>
      <c r="F2266" s="10"/>
      <c r="G2266" s="10"/>
      <c r="H2266" s="10"/>
      <c r="I2266" s="1" t="str">
        <f t="shared" si="105"/>
        <v/>
      </c>
      <c r="J2266" s="1" t="s">
        <v>35</v>
      </c>
      <c r="K2266" s="1" t="str">
        <f t="shared" si="106"/>
        <v/>
      </c>
      <c r="L2266" s="1" t="str">
        <f t="shared" si="107"/>
        <v/>
      </c>
      <c r="M2266" s="1">
        <f>IF(OR(Table1[[#This Row],[Std Nom]]="",Table1[[#This Row],[Std Read]]=""),0,Table1[[#This Row],[Std Nom]]-Table1[[#This Row],[Std Read]])</f>
        <v>0</v>
      </c>
      <c r="N2266" s="1">
        <f>IF(Calculations!$F$5="ACCREDITED 17025 WITH UNCERTAINTIES",$N$10,0)</f>
        <v>0</v>
      </c>
      <c r="O2266" s="1" t="str">
        <f>IFERROR(Table1[[#This Row],[Std Nom]]-(_xlfn.XLOOKUP(Table1[[#This Row],[Manufacturer]]&amp;" "&amp;Table1[[#This Row],[Model]],Table13[MFR &amp; MDL],Table13[Tolerance % CW ],"")/100*Table1[[#This Row],[Std Nom]]),"")</f>
        <v/>
      </c>
      <c r="P2266" s="1" t="str">
        <f>IFERROR(Table1[[#This Row],[Std Nom]]+(_xlfn.XLOOKUP(Table1[[#This Row],[Manufacturer]]&amp;" "&amp;Table1[[#This Row],[Model]],Table13[MFR &amp; MDL],Table13[Tolerance % CW ],"")/100*Table1[[#This Row],[Std Nom]]),"")</f>
        <v/>
      </c>
      <c r="Q2266" s="1" t="e">
        <f>Table1[[#This Row],[High Tol]]-Table1[[#This Row],[Low Tol]]</f>
        <v>#VALUE!</v>
      </c>
      <c r="R2266" s="1">
        <f>2*Table1[[#This Row],[Std Error]]</f>
        <v>0</v>
      </c>
      <c r="S2266" s="1" t="str">
        <f>IF(Table1[[#This Row],[High Tol]]="","N/A",IFERROR(ABS(Table1[[#This Row],[Tol Span]]/Table1[[#This Row],[Error Span]]),"N/A"))</f>
        <v>N/A</v>
      </c>
      <c r="T2266" s="1" t="str">
        <f>IF(OR(Table1[[#This Row],[Low Tol]]="",Table1[[#This Row],[High Tol]]=""),"Needs Analysis",IF(Table1[[#This Row],[Ratio]]&gt;=4,"Not Significant",IF(Table1[[#This Row],[Ratio]]&gt;=2,"Semi-Significant","Significant")))</f>
        <v>Needs Analysis</v>
      </c>
      <c r="W2266" s="1">
        <f>IF(Table1[[#This Row],[Cal Type]]&lt;&gt;"ACCREDITED 17025 WITH UNCERTAINTIES",0,"")</f>
        <v>0</v>
      </c>
      <c r="X2266" s="1" t="str">
        <f>IF(Table1[[#This Row],[DUT Read]]="","N/A",Table1[[#This Row],[Std Error]]+Table1[[#This Row],[DUT Read]]+Table1[[#This Row],[DUT Ucty]])</f>
        <v>N/A</v>
      </c>
      <c r="Y2266" s="1" t="str">
        <f>IF(Table1[[#This Row],[Std Read]]="","N/A",Table1[[#This Row],[Std Read]]+Table1[[#This Row],[Std Ucty]])</f>
        <v>N/A</v>
      </c>
      <c r="Z22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6" s="1" t="str">
        <f>IF(Table1[[#This Row],[Spec Type]]="","N/A",Table1[[#This Row],[Spec Type]])</f>
        <v>±</v>
      </c>
      <c r="AC2266" s="1" t="str">
        <f>IF(Table1[[#This Row],[Spec Type2]]="N/A","N/A",IF(AND(Table1[[#This Row],[DUT Adj Read]]&gt;=Table1[[#This Row],[Low Tol]],Table1[[#This Row],[DUT Adj Read]]&lt;=Table1[[#This Row],[High Tol]]),"Pass","Fail"))</f>
        <v>Fail</v>
      </c>
      <c r="AD2266" s="1" t="str">
        <f>IF(AND(Table1[[#This Row],[Spec Type2]]="N/A",Table1[[#This Row],[DUT Adj Read]]="N/A",Table1[[#This Row],[Std Adj Read]]="N/A"),"N/A",IF(Table1[[#This Row],[DUT Adj Read]]="N/A",IF(Table1[[#This Row],[Std Adj Read]]&gt;Table1[[#This Row],[Low Tol]],"Pass","Fail"),IF(Table1[[#This Row],[DUT Adj Read]]&gt;Table1[[#This Row],[Low Tol]],"Pass","Fail")))</f>
        <v>Pass</v>
      </c>
      <c r="AE2266" s="1" t="str">
        <f>IF(AND(Table1[[#This Row],[Spec Type2]]="N/A",Table1[[#This Row],[DUT Adj Read]]="N/A",Table1[[#This Row],[Std Adj Read]]="N/A"),"N/A",IF(Table1[[#This Row],[DUT Adj Read]]="N/A",IF(Table1[[#This Row],[Std Adj Read]]&lt;Table1[[#This Row],[High Tol]],"Pass","Fail"),IF(Table1[[#This Row],[DUT Adj Read]]&lt;Table1[[#This Row],[High Tol]],"Pass","Fail")))</f>
        <v>Fail</v>
      </c>
      <c r="AF2266" s="1" t="str">
        <f>IF(AND(Table1[[#This Row],[Spec Type2]]="N/A",Table1[[#This Row],[DUT Adj Read]]="N/A",Table1[[#This Row],[Std Adj Read]]="N/A"),"N/A",IF(Table1[[#This Row],[DUT Adj Read]]="N/A",IF(Table1[[#This Row],[Std Adj Read]]&gt;=Table1[[#This Row],[Low Tol]],"Pass","Fail"),IF(Table1[[#This Row],[DUT Adj Read]]&gt;=Table1[[#This Row],[Low Tol]],"Pass","Fail")))</f>
        <v>Pass</v>
      </c>
      <c r="AG2266" s="1" t="str">
        <f>IF(AND(Table1[[#This Row],[Spec Type2]]="N/A",Table1[[#This Row],[DUT Adj Read]]="N/A",Table1[[#This Row],[Std Adj Read]]="N/A"),"N/A",IF(Table1[[#This Row],[DUT Adj Read]]="N/A",IF(Table1[[#This Row],[Std Adj Read]]&lt;=Table1[[#This Row],[High Tol]],"Pass","Fail"),IF(Table1[[#This Row],[DUT Adj Read]]&lt;=Table1[[#This Row],[High Tol]],"Pass","Fail")))</f>
        <v>Fail</v>
      </c>
      <c r="AH22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6" s="1" t="b">
        <v>0</v>
      </c>
      <c r="AN2266" s="1" t="b">
        <v>0</v>
      </c>
      <c r="AO2266" s="1" t="b">
        <v>0</v>
      </c>
    </row>
    <row r="2267" spans="1:41" x14ac:dyDescent="0.25">
      <c r="A2267" s="10"/>
      <c r="B2267" s="10"/>
      <c r="C2267" s="10"/>
      <c r="D2267" s="10"/>
      <c r="E2267" s="10"/>
      <c r="F2267" s="10"/>
      <c r="G2267" s="10"/>
      <c r="H2267" s="10"/>
      <c r="I2267" s="1" t="str">
        <f t="shared" si="105"/>
        <v/>
      </c>
      <c r="J2267" s="1" t="s">
        <v>35</v>
      </c>
      <c r="K2267" s="1" t="str">
        <f t="shared" si="106"/>
        <v/>
      </c>
      <c r="L2267" s="1" t="str">
        <f t="shared" si="107"/>
        <v/>
      </c>
      <c r="M2267" s="1">
        <f>IF(OR(Table1[[#This Row],[Std Nom]]="",Table1[[#This Row],[Std Read]]=""),0,Table1[[#This Row],[Std Nom]]-Table1[[#This Row],[Std Read]])</f>
        <v>0</v>
      </c>
      <c r="N2267" s="1">
        <f>IF(Calculations!$F$5="ACCREDITED 17025 WITH UNCERTAINTIES",$N$10,0)</f>
        <v>0</v>
      </c>
      <c r="O2267" s="1" t="str">
        <f>IFERROR(Table1[[#This Row],[Std Nom]]-(_xlfn.XLOOKUP(Table1[[#This Row],[Manufacturer]]&amp;" "&amp;Table1[[#This Row],[Model]],Table13[MFR &amp; MDL],Table13[Tolerance % CW ],"")/100*Table1[[#This Row],[Std Nom]]),"")</f>
        <v/>
      </c>
      <c r="P2267" s="1" t="str">
        <f>IFERROR(Table1[[#This Row],[Std Nom]]+(_xlfn.XLOOKUP(Table1[[#This Row],[Manufacturer]]&amp;" "&amp;Table1[[#This Row],[Model]],Table13[MFR &amp; MDL],Table13[Tolerance % CW ],"")/100*Table1[[#This Row],[Std Nom]]),"")</f>
        <v/>
      </c>
      <c r="Q2267" s="1" t="e">
        <f>Table1[[#This Row],[High Tol]]-Table1[[#This Row],[Low Tol]]</f>
        <v>#VALUE!</v>
      </c>
      <c r="R2267" s="1">
        <f>2*Table1[[#This Row],[Std Error]]</f>
        <v>0</v>
      </c>
      <c r="S2267" s="1" t="str">
        <f>IF(Table1[[#This Row],[High Tol]]="","N/A",IFERROR(ABS(Table1[[#This Row],[Tol Span]]/Table1[[#This Row],[Error Span]]),"N/A"))</f>
        <v>N/A</v>
      </c>
      <c r="T2267" s="1" t="str">
        <f>IF(OR(Table1[[#This Row],[Low Tol]]="",Table1[[#This Row],[High Tol]]=""),"Needs Analysis",IF(Table1[[#This Row],[Ratio]]&gt;=4,"Not Significant",IF(Table1[[#This Row],[Ratio]]&gt;=2,"Semi-Significant","Significant")))</f>
        <v>Needs Analysis</v>
      </c>
      <c r="W2267" s="1">
        <f>IF(Table1[[#This Row],[Cal Type]]&lt;&gt;"ACCREDITED 17025 WITH UNCERTAINTIES",0,"")</f>
        <v>0</v>
      </c>
      <c r="X2267" s="1" t="str">
        <f>IF(Table1[[#This Row],[DUT Read]]="","N/A",Table1[[#This Row],[Std Error]]+Table1[[#This Row],[DUT Read]]+Table1[[#This Row],[DUT Ucty]])</f>
        <v>N/A</v>
      </c>
      <c r="Y2267" s="1" t="str">
        <f>IF(Table1[[#This Row],[Std Read]]="","N/A",Table1[[#This Row],[Std Read]]+Table1[[#This Row],[Std Ucty]])</f>
        <v>N/A</v>
      </c>
      <c r="Z22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7" s="1" t="str">
        <f>IF(Table1[[#This Row],[Spec Type]]="","N/A",Table1[[#This Row],[Spec Type]])</f>
        <v>±</v>
      </c>
      <c r="AC2267" s="1" t="str">
        <f>IF(Table1[[#This Row],[Spec Type2]]="N/A","N/A",IF(AND(Table1[[#This Row],[DUT Adj Read]]&gt;=Table1[[#This Row],[Low Tol]],Table1[[#This Row],[DUT Adj Read]]&lt;=Table1[[#This Row],[High Tol]]),"Pass","Fail"))</f>
        <v>Fail</v>
      </c>
      <c r="AD2267" s="1" t="str">
        <f>IF(AND(Table1[[#This Row],[Spec Type2]]="N/A",Table1[[#This Row],[DUT Adj Read]]="N/A",Table1[[#This Row],[Std Adj Read]]="N/A"),"N/A",IF(Table1[[#This Row],[DUT Adj Read]]="N/A",IF(Table1[[#This Row],[Std Adj Read]]&gt;Table1[[#This Row],[Low Tol]],"Pass","Fail"),IF(Table1[[#This Row],[DUT Adj Read]]&gt;Table1[[#This Row],[Low Tol]],"Pass","Fail")))</f>
        <v>Pass</v>
      </c>
      <c r="AE2267" s="1" t="str">
        <f>IF(AND(Table1[[#This Row],[Spec Type2]]="N/A",Table1[[#This Row],[DUT Adj Read]]="N/A",Table1[[#This Row],[Std Adj Read]]="N/A"),"N/A",IF(Table1[[#This Row],[DUT Adj Read]]="N/A",IF(Table1[[#This Row],[Std Adj Read]]&lt;Table1[[#This Row],[High Tol]],"Pass","Fail"),IF(Table1[[#This Row],[DUT Adj Read]]&lt;Table1[[#This Row],[High Tol]],"Pass","Fail")))</f>
        <v>Fail</v>
      </c>
      <c r="AF2267" s="1" t="str">
        <f>IF(AND(Table1[[#This Row],[Spec Type2]]="N/A",Table1[[#This Row],[DUT Adj Read]]="N/A",Table1[[#This Row],[Std Adj Read]]="N/A"),"N/A",IF(Table1[[#This Row],[DUT Adj Read]]="N/A",IF(Table1[[#This Row],[Std Adj Read]]&gt;=Table1[[#This Row],[Low Tol]],"Pass","Fail"),IF(Table1[[#This Row],[DUT Adj Read]]&gt;=Table1[[#This Row],[Low Tol]],"Pass","Fail")))</f>
        <v>Pass</v>
      </c>
      <c r="AG2267" s="1" t="str">
        <f>IF(AND(Table1[[#This Row],[Spec Type2]]="N/A",Table1[[#This Row],[DUT Adj Read]]="N/A",Table1[[#This Row],[Std Adj Read]]="N/A"),"N/A",IF(Table1[[#This Row],[DUT Adj Read]]="N/A",IF(Table1[[#This Row],[Std Adj Read]]&lt;=Table1[[#This Row],[High Tol]],"Pass","Fail"),IF(Table1[[#This Row],[DUT Adj Read]]&lt;=Table1[[#This Row],[High Tol]],"Pass","Fail")))</f>
        <v>Fail</v>
      </c>
      <c r="AH22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7" s="1" t="b">
        <v>0</v>
      </c>
      <c r="AN2267" s="1" t="b">
        <v>0</v>
      </c>
      <c r="AO2267" s="1" t="b">
        <v>0</v>
      </c>
    </row>
    <row r="2268" spans="1:41" x14ac:dyDescent="0.25">
      <c r="A2268" s="10"/>
      <c r="B2268" s="10"/>
      <c r="C2268" s="10"/>
      <c r="D2268" s="10"/>
      <c r="E2268" s="10"/>
      <c r="F2268" s="10"/>
      <c r="G2268" s="10"/>
      <c r="H2268" s="10"/>
      <c r="I2268" s="1" t="str">
        <f t="shared" si="105"/>
        <v/>
      </c>
      <c r="J2268" s="1" t="s">
        <v>35</v>
      </c>
      <c r="K2268" s="1" t="str">
        <f t="shared" si="106"/>
        <v/>
      </c>
      <c r="L2268" s="1" t="str">
        <f t="shared" si="107"/>
        <v/>
      </c>
      <c r="M2268" s="1">
        <f>IF(OR(Table1[[#This Row],[Std Nom]]="",Table1[[#This Row],[Std Read]]=""),0,Table1[[#This Row],[Std Nom]]-Table1[[#This Row],[Std Read]])</f>
        <v>0</v>
      </c>
      <c r="N2268" s="1">
        <f>IF(Calculations!$F$5="ACCREDITED 17025 WITH UNCERTAINTIES",$N$10,0)</f>
        <v>0</v>
      </c>
      <c r="O2268" s="1" t="str">
        <f>IFERROR(Table1[[#This Row],[Std Nom]]-(_xlfn.XLOOKUP(Table1[[#This Row],[Manufacturer]]&amp;" "&amp;Table1[[#This Row],[Model]],Table13[MFR &amp; MDL],Table13[Tolerance % CW ],"")/100*Table1[[#This Row],[Std Nom]]),"")</f>
        <v/>
      </c>
      <c r="P2268" s="1" t="str">
        <f>IFERROR(Table1[[#This Row],[Std Nom]]+(_xlfn.XLOOKUP(Table1[[#This Row],[Manufacturer]]&amp;" "&amp;Table1[[#This Row],[Model]],Table13[MFR &amp; MDL],Table13[Tolerance % CW ],"")/100*Table1[[#This Row],[Std Nom]]),"")</f>
        <v/>
      </c>
      <c r="Q2268" s="1" t="e">
        <f>Table1[[#This Row],[High Tol]]-Table1[[#This Row],[Low Tol]]</f>
        <v>#VALUE!</v>
      </c>
      <c r="R2268" s="1">
        <f>2*Table1[[#This Row],[Std Error]]</f>
        <v>0</v>
      </c>
      <c r="S2268" s="1" t="str">
        <f>IF(Table1[[#This Row],[High Tol]]="","N/A",IFERROR(ABS(Table1[[#This Row],[Tol Span]]/Table1[[#This Row],[Error Span]]),"N/A"))</f>
        <v>N/A</v>
      </c>
      <c r="T2268" s="1" t="str">
        <f>IF(OR(Table1[[#This Row],[Low Tol]]="",Table1[[#This Row],[High Tol]]=""),"Needs Analysis",IF(Table1[[#This Row],[Ratio]]&gt;=4,"Not Significant",IF(Table1[[#This Row],[Ratio]]&gt;=2,"Semi-Significant","Significant")))</f>
        <v>Needs Analysis</v>
      </c>
      <c r="W2268" s="1">
        <f>IF(Table1[[#This Row],[Cal Type]]&lt;&gt;"ACCREDITED 17025 WITH UNCERTAINTIES",0,"")</f>
        <v>0</v>
      </c>
      <c r="X2268" s="1" t="str">
        <f>IF(Table1[[#This Row],[DUT Read]]="","N/A",Table1[[#This Row],[Std Error]]+Table1[[#This Row],[DUT Read]]+Table1[[#This Row],[DUT Ucty]])</f>
        <v>N/A</v>
      </c>
      <c r="Y2268" s="1" t="str">
        <f>IF(Table1[[#This Row],[Std Read]]="","N/A",Table1[[#This Row],[Std Read]]+Table1[[#This Row],[Std Ucty]])</f>
        <v>N/A</v>
      </c>
      <c r="Z22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8" s="1" t="str">
        <f>IF(Table1[[#This Row],[Spec Type]]="","N/A",Table1[[#This Row],[Spec Type]])</f>
        <v>±</v>
      </c>
      <c r="AC2268" s="1" t="str">
        <f>IF(Table1[[#This Row],[Spec Type2]]="N/A","N/A",IF(AND(Table1[[#This Row],[DUT Adj Read]]&gt;=Table1[[#This Row],[Low Tol]],Table1[[#This Row],[DUT Adj Read]]&lt;=Table1[[#This Row],[High Tol]]),"Pass","Fail"))</f>
        <v>Fail</v>
      </c>
      <c r="AD2268" s="1" t="str">
        <f>IF(AND(Table1[[#This Row],[Spec Type2]]="N/A",Table1[[#This Row],[DUT Adj Read]]="N/A",Table1[[#This Row],[Std Adj Read]]="N/A"),"N/A",IF(Table1[[#This Row],[DUT Adj Read]]="N/A",IF(Table1[[#This Row],[Std Adj Read]]&gt;Table1[[#This Row],[Low Tol]],"Pass","Fail"),IF(Table1[[#This Row],[DUT Adj Read]]&gt;Table1[[#This Row],[Low Tol]],"Pass","Fail")))</f>
        <v>Pass</v>
      </c>
      <c r="AE2268" s="1" t="str">
        <f>IF(AND(Table1[[#This Row],[Spec Type2]]="N/A",Table1[[#This Row],[DUT Adj Read]]="N/A",Table1[[#This Row],[Std Adj Read]]="N/A"),"N/A",IF(Table1[[#This Row],[DUT Adj Read]]="N/A",IF(Table1[[#This Row],[Std Adj Read]]&lt;Table1[[#This Row],[High Tol]],"Pass","Fail"),IF(Table1[[#This Row],[DUT Adj Read]]&lt;Table1[[#This Row],[High Tol]],"Pass","Fail")))</f>
        <v>Fail</v>
      </c>
      <c r="AF2268" s="1" t="str">
        <f>IF(AND(Table1[[#This Row],[Spec Type2]]="N/A",Table1[[#This Row],[DUT Adj Read]]="N/A",Table1[[#This Row],[Std Adj Read]]="N/A"),"N/A",IF(Table1[[#This Row],[DUT Adj Read]]="N/A",IF(Table1[[#This Row],[Std Adj Read]]&gt;=Table1[[#This Row],[Low Tol]],"Pass","Fail"),IF(Table1[[#This Row],[DUT Adj Read]]&gt;=Table1[[#This Row],[Low Tol]],"Pass","Fail")))</f>
        <v>Pass</v>
      </c>
      <c r="AG2268" s="1" t="str">
        <f>IF(AND(Table1[[#This Row],[Spec Type2]]="N/A",Table1[[#This Row],[DUT Adj Read]]="N/A",Table1[[#This Row],[Std Adj Read]]="N/A"),"N/A",IF(Table1[[#This Row],[DUT Adj Read]]="N/A",IF(Table1[[#This Row],[Std Adj Read]]&lt;=Table1[[#This Row],[High Tol]],"Pass","Fail"),IF(Table1[[#This Row],[DUT Adj Read]]&lt;=Table1[[#This Row],[High Tol]],"Pass","Fail")))</f>
        <v>Fail</v>
      </c>
      <c r="AH22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8" s="1" t="b">
        <v>0</v>
      </c>
      <c r="AN2268" s="1" t="b">
        <v>0</v>
      </c>
      <c r="AO2268" s="1" t="b">
        <v>0</v>
      </c>
    </row>
    <row r="2269" spans="1:41" x14ac:dyDescent="0.25">
      <c r="A2269" s="10"/>
      <c r="B2269" s="10"/>
      <c r="C2269" s="10"/>
      <c r="D2269" s="10"/>
      <c r="E2269" s="10"/>
      <c r="F2269" s="10"/>
      <c r="G2269" s="10"/>
      <c r="H2269" s="10"/>
      <c r="I2269" s="1" t="str">
        <f t="shared" si="105"/>
        <v/>
      </c>
      <c r="J2269" s="1" t="s">
        <v>35</v>
      </c>
      <c r="K2269" s="1" t="str">
        <f t="shared" si="106"/>
        <v/>
      </c>
      <c r="L2269" s="1" t="str">
        <f t="shared" si="107"/>
        <v/>
      </c>
      <c r="M2269" s="1">
        <f>IF(OR(Table1[[#This Row],[Std Nom]]="",Table1[[#This Row],[Std Read]]=""),0,Table1[[#This Row],[Std Nom]]-Table1[[#This Row],[Std Read]])</f>
        <v>0</v>
      </c>
      <c r="N2269" s="1">
        <f>IF(Calculations!$F$5="ACCREDITED 17025 WITH UNCERTAINTIES",$N$10,0)</f>
        <v>0</v>
      </c>
      <c r="O2269" s="1" t="str">
        <f>IFERROR(Table1[[#This Row],[Std Nom]]-(_xlfn.XLOOKUP(Table1[[#This Row],[Manufacturer]]&amp;" "&amp;Table1[[#This Row],[Model]],Table13[MFR &amp; MDL],Table13[Tolerance % CW ],"")/100*Table1[[#This Row],[Std Nom]]),"")</f>
        <v/>
      </c>
      <c r="P2269" s="1" t="str">
        <f>IFERROR(Table1[[#This Row],[Std Nom]]+(_xlfn.XLOOKUP(Table1[[#This Row],[Manufacturer]]&amp;" "&amp;Table1[[#This Row],[Model]],Table13[MFR &amp; MDL],Table13[Tolerance % CW ],"")/100*Table1[[#This Row],[Std Nom]]),"")</f>
        <v/>
      </c>
      <c r="Q2269" s="1" t="e">
        <f>Table1[[#This Row],[High Tol]]-Table1[[#This Row],[Low Tol]]</f>
        <v>#VALUE!</v>
      </c>
      <c r="R2269" s="1">
        <f>2*Table1[[#This Row],[Std Error]]</f>
        <v>0</v>
      </c>
      <c r="S2269" s="1" t="str">
        <f>IF(Table1[[#This Row],[High Tol]]="","N/A",IFERROR(ABS(Table1[[#This Row],[Tol Span]]/Table1[[#This Row],[Error Span]]),"N/A"))</f>
        <v>N/A</v>
      </c>
      <c r="T2269" s="1" t="str">
        <f>IF(OR(Table1[[#This Row],[Low Tol]]="",Table1[[#This Row],[High Tol]]=""),"Needs Analysis",IF(Table1[[#This Row],[Ratio]]&gt;=4,"Not Significant",IF(Table1[[#This Row],[Ratio]]&gt;=2,"Semi-Significant","Significant")))</f>
        <v>Needs Analysis</v>
      </c>
      <c r="W2269" s="1">
        <f>IF(Table1[[#This Row],[Cal Type]]&lt;&gt;"ACCREDITED 17025 WITH UNCERTAINTIES",0,"")</f>
        <v>0</v>
      </c>
      <c r="X2269" s="1" t="str">
        <f>IF(Table1[[#This Row],[DUT Read]]="","N/A",Table1[[#This Row],[Std Error]]+Table1[[#This Row],[DUT Read]]+Table1[[#This Row],[DUT Ucty]])</f>
        <v>N/A</v>
      </c>
      <c r="Y2269" s="1" t="str">
        <f>IF(Table1[[#This Row],[Std Read]]="","N/A",Table1[[#This Row],[Std Read]]+Table1[[#This Row],[Std Ucty]])</f>
        <v>N/A</v>
      </c>
      <c r="Z22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9" s="1" t="str">
        <f>IF(Table1[[#This Row],[Spec Type]]="","N/A",Table1[[#This Row],[Spec Type]])</f>
        <v>±</v>
      </c>
      <c r="AC2269" s="1" t="str">
        <f>IF(Table1[[#This Row],[Spec Type2]]="N/A","N/A",IF(AND(Table1[[#This Row],[DUT Adj Read]]&gt;=Table1[[#This Row],[Low Tol]],Table1[[#This Row],[DUT Adj Read]]&lt;=Table1[[#This Row],[High Tol]]),"Pass","Fail"))</f>
        <v>Fail</v>
      </c>
      <c r="AD2269" s="1" t="str">
        <f>IF(AND(Table1[[#This Row],[Spec Type2]]="N/A",Table1[[#This Row],[DUT Adj Read]]="N/A",Table1[[#This Row],[Std Adj Read]]="N/A"),"N/A",IF(Table1[[#This Row],[DUT Adj Read]]="N/A",IF(Table1[[#This Row],[Std Adj Read]]&gt;Table1[[#This Row],[Low Tol]],"Pass","Fail"),IF(Table1[[#This Row],[DUT Adj Read]]&gt;Table1[[#This Row],[Low Tol]],"Pass","Fail")))</f>
        <v>Pass</v>
      </c>
      <c r="AE2269" s="1" t="str">
        <f>IF(AND(Table1[[#This Row],[Spec Type2]]="N/A",Table1[[#This Row],[DUT Adj Read]]="N/A",Table1[[#This Row],[Std Adj Read]]="N/A"),"N/A",IF(Table1[[#This Row],[DUT Adj Read]]="N/A",IF(Table1[[#This Row],[Std Adj Read]]&lt;Table1[[#This Row],[High Tol]],"Pass","Fail"),IF(Table1[[#This Row],[DUT Adj Read]]&lt;Table1[[#This Row],[High Tol]],"Pass","Fail")))</f>
        <v>Fail</v>
      </c>
      <c r="AF2269" s="1" t="str">
        <f>IF(AND(Table1[[#This Row],[Spec Type2]]="N/A",Table1[[#This Row],[DUT Adj Read]]="N/A",Table1[[#This Row],[Std Adj Read]]="N/A"),"N/A",IF(Table1[[#This Row],[DUT Adj Read]]="N/A",IF(Table1[[#This Row],[Std Adj Read]]&gt;=Table1[[#This Row],[Low Tol]],"Pass","Fail"),IF(Table1[[#This Row],[DUT Adj Read]]&gt;=Table1[[#This Row],[Low Tol]],"Pass","Fail")))</f>
        <v>Pass</v>
      </c>
      <c r="AG2269" s="1" t="str">
        <f>IF(AND(Table1[[#This Row],[Spec Type2]]="N/A",Table1[[#This Row],[DUT Adj Read]]="N/A",Table1[[#This Row],[Std Adj Read]]="N/A"),"N/A",IF(Table1[[#This Row],[DUT Adj Read]]="N/A",IF(Table1[[#This Row],[Std Adj Read]]&lt;=Table1[[#This Row],[High Tol]],"Pass","Fail"),IF(Table1[[#This Row],[DUT Adj Read]]&lt;=Table1[[#This Row],[High Tol]],"Pass","Fail")))</f>
        <v>Fail</v>
      </c>
      <c r="AH22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9" s="1" t="b">
        <v>0</v>
      </c>
      <c r="AN2269" s="1" t="b">
        <v>0</v>
      </c>
      <c r="AO2269" s="1" t="b">
        <v>0</v>
      </c>
    </row>
    <row r="2270" spans="1:41" x14ac:dyDescent="0.25">
      <c r="A2270" s="10"/>
      <c r="B2270" s="10"/>
      <c r="C2270" s="10"/>
      <c r="D2270" s="10"/>
      <c r="E2270" s="10"/>
      <c r="F2270" s="10"/>
      <c r="G2270" s="10"/>
      <c r="H2270" s="10"/>
      <c r="I2270" s="1" t="str">
        <f t="shared" si="105"/>
        <v/>
      </c>
      <c r="J2270" s="1" t="s">
        <v>35</v>
      </c>
      <c r="K2270" s="1" t="str">
        <f t="shared" si="106"/>
        <v/>
      </c>
      <c r="L2270" s="1" t="str">
        <f t="shared" si="107"/>
        <v/>
      </c>
      <c r="M2270" s="1">
        <f>IF(OR(Table1[[#This Row],[Std Nom]]="",Table1[[#This Row],[Std Read]]=""),0,Table1[[#This Row],[Std Nom]]-Table1[[#This Row],[Std Read]])</f>
        <v>0</v>
      </c>
      <c r="N2270" s="1">
        <f>IF(Calculations!$F$5="ACCREDITED 17025 WITH UNCERTAINTIES",$N$10,0)</f>
        <v>0</v>
      </c>
      <c r="O2270" s="1" t="str">
        <f>IFERROR(Table1[[#This Row],[Std Nom]]-(_xlfn.XLOOKUP(Table1[[#This Row],[Manufacturer]]&amp;" "&amp;Table1[[#This Row],[Model]],Table13[MFR &amp; MDL],Table13[Tolerance % CW ],"")/100*Table1[[#This Row],[Std Nom]]),"")</f>
        <v/>
      </c>
      <c r="P2270" s="1" t="str">
        <f>IFERROR(Table1[[#This Row],[Std Nom]]+(_xlfn.XLOOKUP(Table1[[#This Row],[Manufacturer]]&amp;" "&amp;Table1[[#This Row],[Model]],Table13[MFR &amp; MDL],Table13[Tolerance % CW ],"")/100*Table1[[#This Row],[Std Nom]]),"")</f>
        <v/>
      </c>
      <c r="Q2270" s="1" t="e">
        <f>Table1[[#This Row],[High Tol]]-Table1[[#This Row],[Low Tol]]</f>
        <v>#VALUE!</v>
      </c>
      <c r="R2270" s="1">
        <f>2*Table1[[#This Row],[Std Error]]</f>
        <v>0</v>
      </c>
      <c r="S2270" s="1" t="str">
        <f>IF(Table1[[#This Row],[High Tol]]="","N/A",IFERROR(ABS(Table1[[#This Row],[Tol Span]]/Table1[[#This Row],[Error Span]]),"N/A"))</f>
        <v>N/A</v>
      </c>
      <c r="T2270" s="1" t="str">
        <f>IF(OR(Table1[[#This Row],[Low Tol]]="",Table1[[#This Row],[High Tol]]=""),"Needs Analysis",IF(Table1[[#This Row],[Ratio]]&gt;=4,"Not Significant",IF(Table1[[#This Row],[Ratio]]&gt;=2,"Semi-Significant","Significant")))</f>
        <v>Needs Analysis</v>
      </c>
      <c r="W2270" s="1">
        <f>IF(Table1[[#This Row],[Cal Type]]&lt;&gt;"ACCREDITED 17025 WITH UNCERTAINTIES",0,"")</f>
        <v>0</v>
      </c>
      <c r="X2270" s="1" t="str">
        <f>IF(Table1[[#This Row],[DUT Read]]="","N/A",Table1[[#This Row],[Std Error]]+Table1[[#This Row],[DUT Read]]+Table1[[#This Row],[DUT Ucty]])</f>
        <v>N/A</v>
      </c>
      <c r="Y2270" s="1" t="str">
        <f>IF(Table1[[#This Row],[Std Read]]="","N/A",Table1[[#This Row],[Std Read]]+Table1[[#This Row],[Std Ucty]])</f>
        <v>N/A</v>
      </c>
      <c r="Z22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0" s="1" t="str">
        <f>IF(Table1[[#This Row],[Spec Type]]="","N/A",Table1[[#This Row],[Spec Type]])</f>
        <v>±</v>
      </c>
      <c r="AC2270" s="1" t="str">
        <f>IF(Table1[[#This Row],[Spec Type2]]="N/A","N/A",IF(AND(Table1[[#This Row],[DUT Adj Read]]&gt;=Table1[[#This Row],[Low Tol]],Table1[[#This Row],[DUT Adj Read]]&lt;=Table1[[#This Row],[High Tol]]),"Pass","Fail"))</f>
        <v>Fail</v>
      </c>
      <c r="AD2270" s="1" t="str">
        <f>IF(AND(Table1[[#This Row],[Spec Type2]]="N/A",Table1[[#This Row],[DUT Adj Read]]="N/A",Table1[[#This Row],[Std Adj Read]]="N/A"),"N/A",IF(Table1[[#This Row],[DUT Adj Read]]="N/A",IF(Table1[[#This Row],[Std Adj Read]]&gt;Table1[[#This Row],[Low Tol]],"Pass","Fail"),IF(Table1[[#This Row],[DUT Adj Read]]&gt;Table1[[#This Row],[Low Tol]],"Pass","Fail")))</f>
        <v>Pass</v>
      </c>
      <c r="AE2270" s="1" t="str">
        <f>IF(AND(Table1[[#This Row],[Spec Type2]]="N/A",Table1[[#This Row],[DUT Adj Read]]="N/A",Table1[[#This Row],[Std Adj Read]]="N/A"),"N/A",IF(Table1[[#This Row],[DUT Adj Read]]="N/A",IF(Table1[[#This Row],[Std Adj Read]]&lt;Table1[[#This Row],[High Tol]],"Pass","Fail"),IF(Table1[[#This Row],[DUT Adj Read]]&lt;Table1[[#This Row],[High Tol]],"Pass","Fail")))</f>
        <v>Fail</v>
      </c>
      <c r="AF2270" s="1" t="str">
        <f>IF(AND(Table1[[#This Row],[Spec Type2]]="N/A",Table1[[#This Row],[DUT Adj Read]]="N/A",Table1[[#This Row],[Std Adj Read]]="N/A"),"N/A",IF(Table1[[#This Row],[DUT Adj Read]]="N/A",IF(Table1[[#This Row],[Std Adj Read]]&gt;=Table1[[#This Row],[Low Tol]],"Pass","Fail"),IF(Table1[[#This Row],[DUT Adj Read]]&gt;=Table1[[#This Row],[Low Tol]],"Pass","Fail")))</f>
        <v>Pass</v>
      </c>
      <c r="AG2270" s="1" t="str">
        <f>IF(AND(Table1[[#This Row],[Spec Type2]]="N/A",Table1[[#This Row],[DUT Adj Read]]="N/A",Table1[[#This Row],[Std Adj Read]]="N/A"),"N/A",IF(Table1[[#This Row],[DUT Adj Read]]="N/A",IF(Table1[[#This Row],[Std Adj Read]]&lt;=Table1[[#This Row],[High Tol]],"Pass","Fail"),IF(Table1[[#This Row],[DUT Adj Read]]&lt;=Table1[[#This Row],[High Tol]],"Pass","Fail")))</f>
        <v>Fail</v>
      </c>
      <c r="AH22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0" s="1" t="b">
        <v>0</v>
      </c>
      <c r="AN2270" s="1" t="b">
        <v>0</v>
      </c>
      <c r="AO2270" s="1" t="b">
        <v>0</v>
      </c>
    </row>
    <row r="2271" spans="1:41" x14ac:dyDescent="0.25">
      <c r="A2271" s="10"/>
      <c r="B2271" s="10"/>
      <c r="C2271" s="10"/>
      <c r="D2271" s="10"/>
      <c r="E2271" s="10"/>
      <c r="F2271" s="10"/>
      <c r="G2271" s="10"/>
      <c r="H2271" s="10"/>
      <c r="I2271" s="1" t="str">
        <f t="shared" si="105"/>
        <v/>
      </c>
      <c r="J2271" s="1" t="s">
        <v>35</v>
      </c>
      <c r="K2271" s="1" t="str">
        <f t="shared" si="106"/>
        <v/>
      </c>
      <c r="L2271" s="1" t="str">
        <f t="shared" si="107"/>
        <v/>
      </c>
      <c r="M2271" s="1">
        <f>IF(OR(Table1[[#This Row],[Std Nom]]="",Table1[[#This Row],[Std Read]]=""),0,Table1[[#This Row],[Std Nom]]-Table1[[#This Row],[Std Read]])</f>
        <v>0</v>
      </c>
      <c r="N2271" s="1">
        <f>IF(Calculations!$F$5="ACCREDITED 17025 WITH UNCERTAINTIES",$N$10,0)</f>
        <v>0</v>
      </c>
      <c r="O2271" s="1" t="str">
        <f>IFERROR(Table1[[#This Row],[Std Nom]]-(_xlfn.XLOOKUP(Table1[[#This Row],[Manufacturer]]&amp;" "&amp;Table1[[#This Row],[Model]],Table13[MFR &amp; MDL],Table13[Tolerance % CW ],"")/100*Table1[[#This Row],[Std Nom]]),"")</f>
        <v/>
      </c>
      <c r="P2271" s="1" t="str">
        <f>IFERROR(Table1[[#This Row],[Std Nom]]+(_xlfn.XLOOKUP(Table1[[#This Row],[Manufacturer]]&amp;" "&amp;Table1[[#This Row],[Model]],Table13[MFR &amp; MDL],Table13[Tolerance % CW ],"")/100*Table1[[#This Row],[Std Nom]]),"")</f>
        <v/>
      </c>
      <c r="Q2271" s="1" t="e">
        <f>Table1[[#This Row],[High Tol]]-Table1[[#This Row],[Low Tol]]</f>
        <v>#VALUE!</v>
      </c>
      <c r="R2271" s="1">
        <f>2*Table1[[#This Row],[Std Error]]</f>
        <v>0</v>
      </c>
      <c r="S2271" s="1" t="str">
        <f>IF(Table1[[#This Row],[High Tol]]="","N/A",IFERROR(ABS(Table1[[#This Row],[Tol Span]]/Table1[[#This Row],[Error Span]]),"N/A"))</f>
        <v>N/A</v>
      </c>
      <c r="T2271" s="1" t="str">
        <f>IF(OR(Table1[[#This Row],[Low Tol]]="",Table1[[#This Row],[High Tol]]=""),"Needs Analysis",IF(Table1[[#This Row],[Ratio]]&gt;=4,"Not Significant",IF(Table1[[#This Row],[Ratio]]&gt;=2,"Semi-Significant","Significant")))</f>
        <v>Needs Analysis</v>
      </c>
      <c r="W2271" s="1">
        <f>IF(Table1[[#This Row],[Cal Type]]&lt;&gt;"ACCREDITED 17025 WITH UNCERTAINTIES",0,"")</f>
        <v>0</v>
      </c>
      <c r="X2271" s="1" t="str">
        <f>IF(Table1[[#This Row],[DUT Read]]="","N/A",Table1[[#This Row],[Std Error]]+Table1[[#This Row],[DUT Read]]+Table1[[#This Row],[DUT Ucty]])</f>
        <v>N/A</v>
      </c>
      <c r="Y2271" s="1" t="str">
        <f>IF(Table1[[#This Row],[Std Read]]="","N/A",Table1[[#This Row],[Std Read]]+Table1[[#This Row],[Std Ucty]])</f>
        <v>N/A</v>
      </c>
      <c r="Z22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1" s="1" t="str">
        <f>IF(Table1[[#This Row],[Spec Type]]="","N/A",Table1[[#This Row],[Spec Type]])</f>
        <v>±</v>
      </c>
      <c r="AC2271" s="1" t="str">
        <f>IF(Table1[[#This Row],[Spec Type2]]="N/A","N/A",IF(AND(Table1[[#This Row],[DUT Adj Read]]&gt;=Table1[[#This Row],[Low Tol]],Table1[[#This Row],[DUT Adj Read]]&lt;=Table1[[#This Row],[High Tol]]),"Pass","Fail"))</f>
        <v>Fail</v>
      </c>
      <c r="AD2271" s="1" t="str">
        <f>IF(AND(Table1[[#This Row],[Spec Type2]]="N/A",Table1[[#This Row],[DUT Adj Read]]="N/A",Table1[[#This Row],[Std Adj Read]]="N/A"),"N/A",IF(Table1[[#This Row],[DUT Adj Read]]="N/A",IF(Table1[[#This Row],[Std Adj Read]]&gt;Table1[[#This Row],[Low Tol]],"Pass","Fail"),IF(Table1[[#This Row],[DUT Adj Read]]&gt;Table1[[#This Row],[Low Tol]],"Pass","Fail")))</f>
        <v>Pass</v>
      </c>
      <c r="AE2271" s="1" t="str">
        <f>IF(AND(Table1[[#This Row],[Spec Type2]]="N/A",Table1[[#This Row],[DUT Adj Read]]="N/A",Table1[[#This Row],[Std Adj Read]]="N/A"),"N/A",IF(Table1[[#This Row],[DUT Adj Read]]="N/A",IF(Table1[[#This Row],[Std Adj Read]]&lt;Table1[[#This Row],[High Tol]],"Pass","Fail"),IF(Table1[[#This Row],[DUT Adj Read]]&lt;Table1[[#This Row],[High Tol]],"Pass","Fail")))</f>
        <v>Fail</v>
      </c>
      <c r="AF2271" s="1" t="str">
        <f>IF(AND(Table1[[#This Row],[Spec Type2]]="N/A",Table1[[#This Row],[DUT Adj Read]]="N/A",Table1[[#This Row],[Std Adj Read]]="N/A"),"N/A",IF(Table1[[#This Row],[DUT Adj Read]]="N/A",IF(Table1[[#This Row],[Std Adj Read]]&gt;=Table1[[#This Row],[Low Tol]],"Pass","Fail"),IF(Table1[[#This Row],[DUT Adj Read]]&gt;=Table1[[#This Row],[Low Tol]],"Pass","Fail")))</f>
        <v>Pass</v>
      </c>
      <c r="AG2271" s="1" t="str">
        <f>IF(AND(Table1[[#This Row],[Spec Type2]]="N/A",Table1[[#This Row],[DUT Adj Read]]="N/A",Table1[[#This Row],[Std Adj Read]]="N/A"),"N/A",IF(Table1[[#This Row],[DUT Adj Read]]="N/A",IF(Table1[[#This Row],[Std Adj Read]]&lt;=Table1[[#This Row],[High Tol]],"Pass","Fail"),IF(Table1[[#This Row],[DUT Adj Read]]&lt;=Table1[[#This Row],[High Tol]],"Pass","Fail")))</f>
        <v>Fail</v>
      </c>
      <c r="AH22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1" s="1" t="b">
        <v>0</v>
      </c>
      <c r="AN2271" s="1" t="b">
        <v>0</v>
      </c>
      <c r="AO2271" s="1" t="b">
        <v>0</v>
      </c>
    </row>
    <row r="2272" spans="1:41" x14ac:dyDescent="0.25">
      <c r="A2272" s="10"/>
      <c r="B2272" s="10"/>
      <c r="C2272" s="10"/>
      <c r="D2272" s="10"/>
      <c r="E2272" s="10"/>
      <c r="F2272" s="10"/>
      <c r="G2272" s="10"/>
      <c r="H2272" s="10"/>
      <c r="I2272" s="1" t="str">
        <f t="shared" si="105"/>
        <v/>
      </c>
      <c r="J2272" s="1" t="s">
        <v>35</v>
      </c>
      <c r="K2272" s="1" t="str">
        <f t="shared" si="106"/>
        <v/>
      </c>
      <c r="L2272" s="1" t="str">
        <f t="shared" si="107"/>
        <v/>
      </c>
      <c r="M2272" s="1">
        <f>IF(OR(Table1[[#This Row],[Std Nom]]="",Table1[[#This Row],[Std Read]]=""),0,Table1[[#This Row],[Std Nom]]-Table1[[#This Row],[Std Read]])</f>
        <v>0</v>
      </c>
      <c r="N2272" s="1">
        <f>IF(Calculations!$F$5="ACCREDITED 17025 WITH UNCERTAINTIES",$N$10,0)</f>
        <v>0</v>
      </c>
      <c r="O2272" s="1" t="str">
        <f>IFERROR(Table1[[#This Row],[Std Nom]]-(_xlfn.XLOOKUP(Table1[[#This Row],[Manufacturer]]&amp;" "&amp;Table1[[#This Row],[Model]],Table13[MFR &amp; MDL],Table13[Tolerance % CW ],"")/100*Table1[[#This Row],[Std Nom]]),"")</f>
        <v/>
      </c>
      <c r="P2272" s="1" t="str">
        <f>IFERROR(Table1[[#This Row],[Std Nom]]+(_xlfn.XLOOKUP(Table1[[#This Row],[Manufacturer]]&amp;" "&amp;Table1[[#This Row],[Model]],Table13[MFR &amp; MDL],Table13[Tolerance % CW ],"")/100*Table1[[#This Row],[Std Nom]]),"")</f>
        <v/>
      </c>
      <c r="Q2272" s="1" t="e">
        <f>Table1[[#This Row],[High Tol]]-Table1[[#This Row],[Low Tol]]</f>
        <v>#VALUE!</v>
      </c>
      <c r="R2272" s="1">
        <f>2*Table1[[#This Row],[Std Error]]</f>
        <v>0</v>
      </c>
      <c r="S2272" s="1" t="str">
        <f>IF(Table1[[#This Row],[High Tol]]="","N/A",IFERROR(ABS(Table1[[#This Row],[Tol Span]]/Table1[[#This Row],[Error Span]]),"N/A"))</f>
        <v>N/A</v>
      </c>
      <c r="T2272" s="1" t="str">
        <f>IF(OR(Table1[[#This Row],[Low Tol]]="",Table1[[#This Row],[High Tol]]=""),"Needs Analysis",IF(Table1[[#This Row],[Ratio]]&gt;=4,"Not Significant",IF(Table1[[#This Row],[Ratio]]&gt;=2,"Semi-Significant","Significant")))</f>
        <v>Needs Analysis</v>
      </c>
      <c r="W2272" s="1">
        <f>IF(Table1[[#This Row],[Cal Type]]&lt;&gt;"ACCREDITED 17025 WITH UNCERTAINTIES",0,"")</f>
        <v>0</v>
      </c>
      <c r="X2272" s="1" t="str">
        <f>IF(Table1[[#This Row],[DUT Read]]="","N/A",Table1[[#This Row],[Std Error]]+Table1[[#This Row],[DUT Read]]+Table1[[#This Row],[DUT Ucty]])</f>
        <v>N/A</v>
      </c>
      <c r="Y2272" s="1" t="str">
        <f>IF(Table1[[#This Row],[Std Read]]="","N/A",Table1[[#This Row],[Std Read]]+Table1[[#This Row],[Std Ucty]])</f>
        <v>N/A</v>
      </c>
      <c r="Z22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2" s="1" t="str">
        <f>IF(Table1[[#This Row],[Spec Type]]="","N/A",Table1[[#This Row],[Spec Type]])</f>
        <v>±</v>
      </c>
      <c r="AC2272" s="1" t="str">
        <f>IF(Table1[[#This Row],[Spec Type2]]="N/A","N/A",IF(AND(Table1[[#This Row],[DUT Adj Read]]&gt;=Table1[[#This Row],[Low Tol]],Table1[[#This Row],[DUT Adj Read]]&lt;=Table1[[#This Row],[High Tol]]),"Pass","Fail"))</f>
        <v>Fail</v>
      </c>
      <c r="AD2272" s="1" t="str">
        <f>IF(AND(Table1[[#This Row],[Spec Type2]]="N/A",Table1[[#This Row],[DUT Adj Read]]="N/A",Table1[[#This Row],[Std Adj Read]]="N/A"),"N/A",IF(Table1[[#This Row],[DUT Adj Read]]="N/A",IF(Table1[[#This Row],[Std Adj Read]]&gt;Table1[[#This Row],[Low Tol]],"Pass","Fail"),IF(Table1[[#This Row],[DUT Adj Read]]&gt;Table1[[#This Row],[Low Tol]],"Pass","Fail")))</f>
        <v>Pass</v>
      </c>
      <c r="AE2272" s="1" t="str">
        <f>IF(AND(Table1[[#This Row],[Spec Type2]]="N/A",Table1[[#This Row],[DUT Adj Read]]="N/A",Table1[[#This Row],[Std Adj Read]]="N/A"),"N/A",IF(Table1[[#This Row],[DUT Adj Read]]="N/A",IF(Table1[[#This Row],[Std Adj Read]]&lt;Table1[[#This Row],[High Tol]],"Pass","Fail"),IF(Table1[[#This Row],[DUT Adj Read]]&lt;Table1[[#This Row],[High Tol]],"Pass","Fail")))</f>
        <v>Fail</v>
      </c>
      <c r="AF2272" s="1" t="str">
        <f>IF(AND(Table1[[#This Row],[Spec Type2]]="N/A",Table1[[#This Row],[DUT Adj Read]]="N/A",Table1[[#This Row],[Std Adj Read]]="N/A"),"N/A",IF(Table1[[#This Row],[DUT Adj Read]]="N/A",IF(Table1[[#This Row],[Std Adj Read]]&gt;=Table1[[#This Row],[Low Tol]],"Pass","Fail"),IF(Table1[[#This Row],[DUT Adj Read]]&gt;=Table1[[#This Row],[Low Tol]],"Pass","Fail")))</f>
        <v>Pass</v>
      </c>
      <c r="AG2272" s="1" t="str">
        <f>IF(AND(Table1[[#This Row],[Spec Type2]]="N/A",Table1[[#This Row],[DUT Adj Read]]="N/A",Table1[[#This Row],[Std Adj Read]]="N/A"),"N/A",IF(Table1[[#This Row],[DUT Adj Read]]="N/A",IF(Table1[[#This Row],[Std Adj Read]]&lt;=Table1[[#This Row],[High Tol]],"Pass","Fail"),IF(Table1[[#This Row],[DUT Adj Read]]&lt;=Table1[[#This Row],[High Tol]],"Pass","Fail")))</f>
        <v>Fail</v>
      </c>
      <c r="AH22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2" s="1" t="b">
        <v>0</v>
      </c>
      <c r="AN2272" s="1" t="b">
        <v>0</v>
      </c>
      <c r="AO2272" s="1" t="b">
        <v>0</v>
      </c>
    </row>
    <row r="2273" spans="1:41" x14ac:dyDescent="0.25">
      <c r="A2273" s="10"/>
      <c r="B2273" s="10"/>
      <c r="C2273" s="10"/>
      <c r="D2273" s="10"/>
      <c r="E2273" s="10"/>
      <c r="F2273" s="10"/>
      <c r="G2273" s="10"/>
      <c r="H2273" s="10"/>
      <c r="I2273" s="1" t="str">
        <f t="shared" si="105"/>
        <v/>
      </c>
      <c r="J2273" s="1" t="s">
        <v>35</v>
      </c>
      <c r="K2273" s="1" t="str">
        <f t="shared" si="106"/>
        <v/>
      </c>
      <c r="L2273" s="1" t="str">
        <f t="shared" si="107"/>
        <v/>
      </c>
      <c r="M2273" s="1">
        <f>IF(OR(Table1[[#This Row],[Std Nom]]="",Table1[[#This Row],[Std Read]]=""),0,Table1[[#This Row],[Std Nom]]-Table1[[#This Row],[Std Read]])</f>
        <v>0</v>
      </c>
      <c r="N2273" s="1">
        <f>IF(Calculations!$F$5="ACCREDITED 17025 WITH UNCERTAINTIES",$N$10,0)</f>
        <v>0</v>
      </c>
      <c r="O2273" s="1" t="str">
        <f>IFERROR(Table1[[#This Row],[Std Nom]]-(_xlfn.XLOOKUP(Table1[[#This Row],[Manufacturer]]&amp;" "&amp;Table1[[#This Row],[Model]],Table13[MFR &amp; MDL],Table13[Tolerance % CW ],"")/100*Table1[[#This Row],[Std Nom]]),"")</f>
        <v/>
      </c>
      <c r="P2273" s="1" t="str">
        <f>IFERROR(Table1[[#This Row],[Std Nom]]+(_xlfn.XLOOKUP(Table1[[#This Row],[Manufacturer]]&amp;" "&amp;Table1[[#This Row],[Model]],Table13[MFR &amp; MDL],Table13[Tolerance % CW ],"")/100*Table1[[#This Row],[Std Nom]]),"")</f>
        <v/>
      </c>
      <c r="Q2273" s="1" t="e">
        <f>Table1[[#This Row],[High Tol]]-Table1[[#This Row],[Low Tol]]</f>
        <v>#VALUE!</v>
      </c>
      <c r="R2273" s="1">
        <f>2*Table1[[#This Row],[Std Error]]</f>
        <v>0</v>
      </c>
      <c r="S2273" s="1" t="str">
        <f>IF(Table1[[#This Row],[High Tol]]="","N/A",IFERROR(ABS(Table1[[#This Row],[Tol Span]]/Table1[[#This Row],[Error Span]]),"N/A"))</f>
        <v>N/A</v>
      </c>
      <c r="T2273" s="1" t="str">
        <f>IF(OR(Table1[[#This Row],[Low Tol]]="",Table1[[#This Row],[High Tol]]=""),"Needs Analysis",IF(Table1[[#This Row],[Ratio]]&gt;=4,"Not Significant",IF(Table1[[#This Row],[Ratio]]&gt;=2,"Semi-Significant","Significant")))</f>
        <v>Needs Analysis</v>
      </c>
      <c r="W2273" s="1">
        <f>IF(Table1[[#This Row],[Cal Type]]&lt;&gt;"ACCREDITED 17025 WITH UNCERTAINTIES",0,"")</f>
        <v>0</v>
      </c>
      <c r="X2273" s="1" t="str">
        <f>IF(Table1[[#This Row],[DUT Read]]="","N/A",Table1[[#This Row],[Std Error]]+Table1[[#This Row],[DUT Read]]+Table1[[#This Row],[DUT Ucty]])</f>
        <v>N/A</v>
      </c>
      <c r="Y2273" s="1" t="str">
        <f>IF(Table1[[#This Row],[Std Read]]="","N/A",Table1[[#This Row],[Std Read]]+Table1[[#This Row],[Std Ucty]])</f>
        <v>N/A</v>
      </c>
      <c r="Z22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3" s="1" t="str">
        <f>IF(Table1[[#This Row],[Spec Type]]="","N/A",Table1[[#This Row],[Spec Type]])</f>
        <v>±</v>
      </c>
      <c r="AC2273" s="1" t="str">
        <f>IF(Table1[[#This Row],[Spec Type2]]="N/A","N/A",IF(AND(Table1[[#This Row],[DUT Adj Read]]&gt;=Table1[[#This Row],[Low Tol]],Table1[[#This Row],[DUT Adj Read]]&lt;=Table1[[#This Row],[High Tol]]),"Pass","Fail"))</f>
        <v>Fail</v>
      </c>
      <c r="AD2273" s="1" t="str">
        <f>IF(AND(Table1[[#This Row],[Spec Type2]]="N/A",Table1[[#This Row],[DUT Adj Read]]="N/A",Table1[[#This Row],[Std Adj Read]]="N/A"),"N/A",IF(Table1[[#This Row],[DUT Adj Read]]="N/A",IF(Table1[[#This Row],[Std Adj Read]]&gt;Table1[[#This Row],[Low Tol]],"Pass","Fail"),IF(Table1[[#This Row],[DUT Adj Read]]&gt;Table1[[#This Row],[Low Tol]],"Pass","Fail")))</f>
        <v>Pass</v>
      </c>
      <c r="AE2273" s="1" t="str">
        <f>IF(AND(Table1[[#This Row],[Spec Type2]]="N/A",Table1[[#This Row],[DUT Adj Read]]="N/A",Table1[[#This Row],[Std Adj Read]]="N/A"),"N/A",IF(Table1[[#This Row],[DUT Adj Read]]="N/A",IF(Table1[[#This Row],[Std Adj Read]]&lt;Table1[[#This Row],[High Tol]],"Pass","Fail"),IF(Table1[[#This Row],[DUT Adj Read]]&lt;Table1[[#This Row],[High Tol]],"Pass","Fail")))</f>
        <v>Fail</v>
      </c>
      <c r="AF2273" s="1" t="str">
        <f>IF(AND(Table1[[#This Row],[Spec Type2]]="N/A",Table1[[#This Row],[DUT Adj Read]]="N/A",Table1[[#This Row],[Std Adj Read]]="N/A"),"N/A",IF(Table1[[#This Row],[DUT Adj Read]]="N/A",IF(Table1[[#This Row],[Std Adj Read]]&gt;=Table1[[#This Row],[Low Tol]],"Pass","Fail"),IF(Table1[[#This Row],[DUT Adj Read]]&gt;=Table1[[#This Row],[Low Tol]],"Pass","Fail")))</f>
        <v>Pass</v>
      </c>
      <c r="AG2273" s="1" t="str">
        <f>IF(AND(Table1[[#This Row],[Spec Type2]]="N/A",Table1[[#This Row],[DUT Adj Read]]="N/A",Table1[[#This Row],[Std Adj Read]]="N/A"),"N/A",IF(Table1[[#This Row],[DUT Adj Read]]="N/A",IF(Table1[[#This Row],[Std Adj Read]]&lt;=Table1[[#This Row],[High Tol]],"Pass","Fail"),IF(Table1[[#This Row],[DUT Adj Read]]&lt;=Table1[[#This Row],[High Tol]],"Pass","Fail")))</f>
        <v>Fail</v>
      </c>
      <c r="AH22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3" s="1" t="b">
        <v>0</v>
      </c>
      <c r="AN2273" s="1" t="b">
        <v>0</v>
      </c>
      <c r="AO2273" s="1" t="b">
        <v>0</v>
      </c>
    </row>
    <row r="2274" spans="1:41" x14ac:dyDescent="0.25">
      <c r="A2274" s="10"/>
      <c r="B2274" s="10"/>
      <c r="C2274" s="10"/>
      <c r="D2274" s="10"/>
      <c r="E2274" s="10"/>
      <c r="F2274" s="10"/>
      <c r="G2274" s="10"/>
      <c r="H2274" s="10"/>
      <c r="I2274" s="1" t="str">
        <f t="shared" si="105"/>
        <v/>
      </c>
      <c r="J2274" s="1" t="s">
        <v>35</v>
      </c>
      <c r="K2274" s="1" t="str">
        <f t="shared" si="106"/>
        <v/>
      </c>
      <c r="L2274" s="1" t="str">
        <f t="shared" si="107"/>
        <v/>
      </c>
      <c r="M2274" s="1">
        <f>IF(OR(Table1[[#This Row],[Std Nom]]="",Table1[[#This Row],[Std Read]]=""),0,Table1[[#This Row],[Std Nom]]-Table1[[#This Row],[Std Read]])</f>
        <v>0</v>
      </c>
      <c r="N2274" s="1">
        <f>IF(Calculations!$F$5="ACCREDITED 17025 WITH UNCERTAINTIES",$N$10,0)</f>
        <v>0</v>
      </c>
      <c r="O2274" s="1" t="str">
        <f>IFERROR(Table1[[#This Row],[Std Nom]]-(_xlfn.XLOOKUP(Table1[[#This Row],[Manufacturer]]&amp;" "&amp;Table1[[#This Row],[Model]],Table13[MFR &amp; MDL],Table13[Tolerance % CW ],"")/100*Table1[[#This Row],[Std Nom]]),"")</f>
        <v/>
      </c>
      <c r="P2274" s="1" t="str">
        <f>IFERROR(Table1[[#This Row],[Std Nom]]+(_xlfn.XLOOKUP(Table1[[#This Row],[Manufacturer]]&amp;" "&amp;Table1[[#This Row],[Model]],Table13[MFR &amp; MDL],Table13[Tolerance % CW ],"")/100*Table1[[#This Row],[Std Nom]]),"")</f>
        <v/>
      </c>
      <c r="Q2274" s="1" t="e">
        <f>Table1[[#This Row],[High Tol]]-Table1[[#This Row],[Low Tol]]</f>
        <v>#VALUE!</v>
      </c>
      <c r="R2274" s="1">
        <f>2*Table1[[#This Row],[Std Error]]</f>
        <v>0</v>
      </c>
      <c r="S2274" s="1" t="str">
        <f>IF(Table1[[#This Row],[High Tol]]="","N/A",IFERROR(ABS(Table1[[#This Row],[Tol Span]]/Table1[[#This Row],[Error Span]]),"N/A"))</f>
        <v>N/A</v>
      </c>
      <c r="T2274" s="1" t="str">
        <f>IF(OR(Table1[[#This Row],[Low Tol]]="",Table1[[#This Row],[High Tol]]=""),"Needs Analysis",IF(Table1[[#This Row],[Ratio]]&gt;=4,"Not Significant",IF(Table1[[#This Row],[Ratio]]&gt;=2,"Semi-Significant","Significant")))</f>
        <v>Needs Analysis</v>
      </c>
      <c r="W2274" s="1">
        <f>IF(Table1[[#This Row],[Cal Type]]&lt;&gt;"ACCREDITED 17025 WITH UNCERTAINTIES",0,"")</f>
        <v>0</v>
      </c>
      <c r="X2274" s="1" t="str">
        <f>IF(Table1[[#This Row],[DUT Read]]="","N/A",Table1[[#This Row],[Std Error]]+Table1[[#This Row],[DUT Read]]+Table1[[#This Row],[DUT Ucty]])</f>
        <v>N/A</v>
      </c>
      <c r="Y2274" s="1" t="str">
        <f>IF(Table1[[#This Row],[Std Read]]="","N/A",Table1[[#This Row],[Std Read]]+Table1[[#This Row],[Std Ucty]])</f>
        <v>N/A</v>
      </c>
      <c r="Z22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4" s="1" t="str">
        <f>IF(Table1[[#This Row],[Spec Type]]="","N/A",Table1[[#This Row],[Spec Type]])</f>
        <v>±</v>
      </c>
      <c r="AC2274" s="1" t="str">
        <f>IF(Table1[[#This Row],[Spec Type2]]="N/A","N/A",IF(AND(Table1[[#This Row],[DUT Adj Read]]&gt;=Table1[[#This Row],[Low Tol]],Table1[[#This Row],[DUT Adj Read]]&lt;=Table1[[#This Row],[High Tol]]),"Pass","Fail"))</f>
        <v>Fail</v>
      </c>
      <c r="AD2274" s="1" t="str">
        <f>IF(AND(Table1[[#This Row],[Spec Type2]]="N/A",Table1[[#This Row],[DUT Adj Read]]="N/A",Table1[[#This Row],[Std Adj Read]]="N/A"),"N/A",IF(Table1[[#This Row],[DUT Adj Read]]="N/A",IF(Table1[[#This Row],[Std Adj Read]]&gt;Table1[[#This Row],[Low Tol]],"Pass","Fail"),IF(Table1[[#This Row],[DUT Adj Read]]&gt;Table1[[#This Row],[Low Tol]],"Pass","Fail")))</f>
        <v>Pass</v>
      </c>
      <c r="AE2274" s="1" t="str">
        <f>IF(AND(Table1[[#This Row],[Spec Type2]]="N/A",Table1[[#This Row],[DUT Adj Read]]="N/A",Table1[[#This Row],[Std Adj Read]]="N/A"),"N/A",IF(Table1[[#This Row],[DUT Adj Read]]="N/A",IF(Table1[[#This Row],[Std Adj Read]]&lt;Table1[[#This Row],[High Tol]],"Pass","Fail"),IF(Table1[[#This Row],[DUT Adj Read]]&lt;Table1[[#This Row],[High Tol]],"Pass","Fail")))</f>
        <v>Fail</v>
      </c>
      <c r="AF2274" s="1" t="str">
        <f>IF(AND(Table1[[#This Row],[Spec Type2]]="N/A",Table1[[#This Row],[DUT Adj Read]]="N/A",Table1[[#This Row],[Std Adj Read]]="N/A"),"N/A",IF(Table1[[#This Row],[DUT Adj Read]]="N/A",IF(Table1[[#This Row],[Std Adj Read]]&gt;=Table1[[#This Row],[Low Tol]],"Pass","Fail"),IF(Table1[[#This Row],[DUT Adj Read]]&gt;=Table1[[#This Row],[Low Tol]],"Pass","Fail")))</f>
        <v>Pass</v>
      </c>
      <c r="AG2274" s="1" t="str">
        <f>IF(AND(Table1[[#This Row],[Spec Type2]]="N/A",Table1[[#This Row],[DUT Adj Read]]="N/A",Table1[[#This Row],[Std Adj Read]]="N/A"),"N/A",IF(Table1[[#This Row],[DUT Adj Read]]="N/A",IF(Table1[[#This Row],[Std Adj Read]]&lt;=Table1[[#This Row],[High Tol]],"Pass","Fail"),IF(Table1[[#This Row],[DUT Adj Read]]&lt;=Table1[[#This Row],[High Tol]],"Pass","Fail")))</f>
        <v>Fail</v>
      </c>
      <c r="AH22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4" s="1" t="b">
        <v>0</v>
      </c>
      <c r="AN2274" s="1" t="b">
        <v>0</v>
      </c>
      <c r="AO2274" s="1" t="b">
        <v>0</v>
      </c>
    </row>
    <row r="2275" spans="1:41" x14ac:dyDescent="0.25">
      <c r="A2275" s="10"/>
      <c r="B2275" s="10"/>
      <c r="C2275" s="10"/>
      <c r="D2275" s="10"/>
      <c r="E2275" s="10"/>
      <c r="F2275" s="10"/>
      <c r="G2275" s="10"/>
      <c r="H2275" s="10"/>
      <c r="I2275" s="1" t="str">
        <f t="shared" si="105"/>
        <v/>
      </c>
      <c r="J2275" s="1" t="s">
        <v>35</v>
      </c>
      <c r="K2275" s="1" t="str">
        <f t="shared" si="106"/>
        <v/>
      </c>
      <c r="L2275" s="1" t="str">
        <f t="shared" si="107"/>
        <v/>
      </c>
      <c r="M2275" s="1">
        <f>IF(OR(Table1[[#This Row],[Std Nom]]="",Table1[[#This Row],[Std Read]]=""),0,Table1[[#This Row],[Std Nom]]-Table1[[#This Row],[Std Read]])</f>
        <v>0</v>
      </c>
      <c r="N2275" s="1">
        <f>IF(Calculations!$F$5="ACCREDITED 17025 WITH UNCERTAINTIES",$N$10,0)</f>
        <v>0</v>
      </c>
      <c r="O2275" s="1" t="str">
        <f>IFERROR(Table1[[#This Row],[Std Nom]]-(_xlfn.XLOOKUP(Table1[[#This Row],[Manufacturer]]&amp;" "&amp;Table1[[#This Row],[Model]],Table13[MFR &amp; MDL],Table13[Tolerance % CW ],"")/100*Table1[[#This Row],[Std Nom]]),"")</f>
        <v/>
      </c>
      <c r="P2275" s="1" t="str">
        <f>IFERROR(Table1[[#This Row],[Std Nom]]+(_xlfn.XLOOKUP(Table1[[#This Row],[Manufacturer]]&amp;" "&amp;Table1[[#This Row],[Model]],Table13[MFR &amp; MDL],Table13[Tolerance % CW ],"")/100*Table1[[#This Row],[Std Nom]]),"")</f>
        <v/>
      </c>
      <c r="Q2275" s="1" t="e">
        <f>Table1[[#This Row],[High Tol]]-Table1[[#This Row],[Low Tol]]</f>
        <v>#VALUE!</v>
      </c>
      <c r="R2275" s="1">
        <f>2*Table1[[#This Row],[Std Error]]</f>
        <v>0</v>
      </c>
      <c r="S2275" s="1" t="str">
        <f>IF(Table1[[#This Row],[High Tol]]="","N/A",IFERROR(ABS(Table1[[#This Row],[Tol Span]]/Table1[[#This Row],[Error Span]]),"N/A"))</f>
        <v>N/A</v>
      </c>
      <c r="T2275" s="1" t="str">
        <f>IF(OR(Table1[[#This Row],[Low Tol]]="",Table1[[#This Row],[High Tol]]=""),"Needs Analysis",IF(Table1[[#This Row],[Ratio]]&gt;=4,"Not Significant",IF(Table1[[#This Row],[Ratio]]&gt;=2,"Semi-Significant","Significant")))</f>
        <v>Needs Analysis</v>
      </c>
      <c r="W2275" s="1">
        <f>IF(Table1[[#This Row],[Cal Type]]&lt;&gt;"ACCREDITED 17025 WITH UNCERTAINTIES",0,"")</f>
        <v>0</v>
      </c>
      <c r="X2275" s="1" t="str">
        <f>IF(Table1[[#This Row],[DUT Read]]="","N/A",Table1[[#This Row],[Std Error]]+Table1[[#This Row],[DUT Read]]+Table1[[#This Row],[DUT Ucty]])</f>
        <v>N/A</v>
      </c>
      <c r="Y2275" s="1" t="str">
        <f>IF(Table1[[#This Row],[Std Read]]="","N/A",Table1[[#This Row],[Std Read]]+Table1[[#This Row],[Std Ucty]])</f>
        <v>N/A</v>
      </c>
      <c r="Z22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5" s="1" t="str">
        <f>IF(Table1[[#This Row],[Spec Type]]="","N/A",Table1[[#This Row],[Spec Type]])</f>
        <v>±</v>
      </c>
      <c r="AC2275" s="1" t="str">
        <f>IF(Table1[[#This Row],[Spec Type2]]="N/A","N/A",IF(AND(Table1[[#This Row],[DUT Adj Read]]&gt;=Table1[[#This Row],[Low Tol]],Table1[[#This Row],[DUT Adj Read]]&lt;=Table1[[#This Row],[High Tol]]),"Pass","Fail"))</f>
        <v>Fail</v>
      </c>
      <c r="AD2275" s="1" t="str">
        <f>IF(AND(Table1[[#This Row],[Spec Type2]]="N/A",Table1[[#This Row],[DUT Adj Read]]="N/A",Table1[[#This Row],[Std Adj Read]]="N/A"),"N/A",IF(Table1[[#This Row],[DUT Adj Read]]="N/A",IF(Table1[[#This Row],[Std Adj Read]]&gt;Table1[[#This Row],[Low Tol]],"Pass","Fail"),IF(Table1[[#This Row],[DUT Adj Read]]&gt;Table1[[#This Row],[Low Tol]],"Pass","Fail")))</f>
        <v>Pass</v>
      </c>
      <c r="AE2275" s="1" t="str">
        <f>IF(AND(Table1[[#This Row],[Spec Type2]]="N/A",Table1[[#This Row],[DUT Adj Read]]="N/A",Table1[[#This Row],[Std Adj Read]]="N/A"),"N/A",IF(Table1[[#This Row],[DUT Adj Read]]="N/A",IF(Table1[[#This Row],[Std Adj Read]]&lt;Table1[[#This Row],[High Tol]],"Pass","Fail"),IF(Table1[[#This Row],[DUT Adj Read]]&lt;Table1[[#This Row],[High Tol]],"Pass","Fail")))</f>
        <v>Fail</v>
      </c>
      <c r="AF2275" s="1" t="str">
        <f>IF(AND(Table1[[#This Row],[Spec Type2]]="N/A",Table1[[#This Row],[DUT Adj Read]]="N/A",Table1[[#This Row],[Std Adj Read]]="N/A"),"N/A",IF(Table1[[#This Row],[DUT Adj Read]]="N/A",IF(Table1[[#This Row],[Std Adj Read]]&gt;=Table1[[#This Row],[Low Tol]],"Pass","Fail"),IF(Table1[[#This Row],[DUT Adj Read]]&gt;=Table1[[#This Row],[Low Tol]],"Pass","Fail")))</f>
        <v>Pass</v>
      </c>
      <c r="AG2275" s="1" t="str">
        <f>IF(AND(Table1[[#This Row],[Spec Type2]]="N/A",Table1[[#This Row],[DUT Adj Read]]="N/A",Table1[[#This Row],[Std Adj Read]]="N/A"),"N/A",IF(Table1[[#This Row],[DUT Adj Read]]="N/A",IF(Table1[[#This Row],[Std Adj Read]]&lt;=Table1[[#This Row],[High Tol]],"Pass","Fail"),IF(Table1[[#This Row],[DUT Adj Read]]&lt;=Table1[[#This Row],[High Tol]],"Pass","Fail")))</f>
        <v>Fail</v>
      </c>
      <c r="AH22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5" s="1" t="b">
        <v>0</v>
      </c>
      <c r="AN2275" s="1" t="b">
        <v>0</v>
      </c>
      <c r="AO2275" s="1" t="b">
        <v>0</v>
      </c>
    </row>
    <row r="2276" spans="1:41" x14ac:dyDescent="0.25">
      <c r="A2276" s="10"/>
      <c r="B2276" s="10"/>
      <c r="C2276" s="10"/>
      <c r="D2276" s="10"/>
      <c r="E2276" s="10"/>
      <c r="F2276" s="10"/>
      <c r="G2276" s="10"/>
      <c r="H2276" s="10"/>
      <c r="I2276" s="1" t="str">
        <f t="shared" si="105"/>
        <v/>
      </c>
      <c r="J2276" s="1" t="s">
        <v>35</v>
      </c>
      <c r="K2276" s="1" t="str">
        <f t="shared" si="106"/>
        <v/>
      </c>
      <c r="L2276" s="1" t="str">
        <f t="shared" si="107"/>
        <v/>
      </c>
      <c r="M2276" s="1">
        <f>IF(OR(Table1[[#This Row],[Std Nom]]="",Table1[[#This Row],[Std Read]]=""),0,Table1[[#This Row],[Std Nom]]-Table1[[#This Row],[Std Read]])</f>
        <v>0</v>
      </c>
      <c r="N2276" s="1">
        <f>IF(Calculations!$F$5="ACCREDITED 17025 WITH UNCERTAINTIES",$N$10,0)</f>
        <v>0</v>
      </c>
      <c r="O2276" s="1" t="str">
        <f>IFERROR(Table1[[#This Row],[Std Nom]]-(_xlfn.XLOOKUP(Table1[[#This Row],[Manufacturer]]&amp;" "&amp;Table1[[#This Row],[Model]],Table13[MFR &amp; MDL],Table13[Tolerance % CW ],"")/100*Table1[[#This Row],[Std Nom]]),"")</f>
        <v/>
      </c>
      <c r="P2276" s="1" t="str">
        <f>IFERROR(Table1[[#This Row],[Std Nom]]+(_xlfn.XLOOKUP(Table1[[#This Row],[Manufacturer]]&amp;" "&amp;Table1[[#This Row],[Model]],Table13[MFR &amp; MDL],Table13[Tolerance % CW ],"")/100*Table1[[#This Row],[Std Nom]]),"")</f>
        <v/>
      </c>
      <c r="Q2276" s="1" t="e">
        <f>Table1[[#This Row],[High Tol]]-Table1[[#This Row],[Low Tol]]</f>
        <v>#VALUE!</v>
      </c>
      <c r="R2276" s="1">
        <f>2*Table1[[#This Row],[Std Error]]</f>
        <v>0</v>
      </c>
      <c r="S2276" s="1" t="str">
        <f>IF(Table1[[#This Row],[High Tol]]="","N/A",IFERROR(ABS(Table1[[#This Row],[Tol Span]]/Table1[[#This Row],[Error Span]]),"N/A"))</f>
        <v>N/A</v>
      </c>
      <c r="T2276" s="1" t="str">
        <f>IF(OR(Table1[[#This Row],[Low Tol]]="",Table1[[#This Row],[High Tol]]=""),"Needs Analysis",IF(Table1[[#This Row],[Ratio]]&gt;=4,"Not Significant",IF(Table1[[#This Row],[Ratio]]&gt;=2,"Semi-Significant","Significant")))</f>
        <v>Needs Analysis</v>
      </c>
      <c r="W2276" s="1">
        <f>IF(Table1[[#This Row],[Cal Type]]&lt;&gt;"ACCREDITED 17025 WITH UNCERTAINTIES",0,"")</f>
        <v>0</v>
      </c>
      <c r="X2276" s="1" t="str">
        <f>IF(Table1[[#This Row],[DUT Read]]="","N/A",Table1[[#This Row],[Std Error]]+Table1[[#This Row],[DUT Read]]+Table1[[#This Row],[DUT Ucty]])</f>
        <v>N/A</v>
      </c>
      <c r="Y2276" s="1" t="str">
        <f>IF(Table1[[#This Row],[Std Read]]="","N/A",Table1[[#This Row],[Std Read]]+Table1[[#This Row],[Std Ucty]])</f>
        <v>N/A</v>
      </c>
      <c r="Z22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6" s="1" t="str">
        <f>IF(Table1[[#This Row],[Spec Type]]="","N/A",Table1[[#This Row],[Spec Type]])</f>
        <v>±</v>
      </c>
      <c r="AC2276" s="1" t="str">
        <f>IF(Table1[[#This Row],[Spec Type2]]="N/A","N/A",IF(AND(Table1[[#This Row],[DUT Adj Read]]&gt;=Table1[[#This Row],[Low Tol]],Table1[[#This Row],[DUT Adj Read]]&lt;=Table1[[#This Row],[High Tol]]),"Pass","Fail"))</f>
        <v>Fail</v>
      </c>
      <c r="AD2276" s="1" t="str">
        <f>IF(AND(Table1[[#This Row],[Spec Type2]]="N/A",Table1[[#This Row],[DUT Adj Read]]="N/A",Table1[[#This Row],[Std Adj Read]]="N/A"),"N/A",IF(Table1[[#This Row],[DUT Adj Read]]="N/A",IF(Table1[[#This Row],[Std Adj Read]]&gt;Table1[[#This Row],[Low Tol]],"Pass","Fail"),IF(Table1[[#This Row],[DUT Adj Read]]&gt;Table1[[#This Row],[Low Tol]],"Pass","Fail")))</f>
        <v>Pass</v>
      </c>
      <c r="AE2276" s="1" t="str">
        <f>IF(AND(Table1[[#This Row],[Spec Type2]]="N/A",Table1[[#This Row],[DUT Adj Read]]="N/A",Table1[[#This Row],[Std Adj Read]]="N/A"),"N/A",IF(Table1[[#This Row],[DUT Adj Read]]="N/A",IF(Table1[[#This Row],[Std Adj Read]]&lt;Table1[[#This Row],[High Tol]],"Pass","Fail"),IF(Table1[[#This Row],[DUT Adj Read]]&lt;Table1[[#This Row],[High Tol]],"Pass","Fail")))</f>
        <v>Fail</v>
      </c>
      <c r="AF2276" s="1" t="str">
        <f>IF(AND(Table1[[#This Row],[Spec Type2]]="N/A",Table1[[#This Row],[DUT Adj Read]]="N/A",Table1[[#This Row],[Std Adj Read]]="N/A"),"N/A",IF(Table1[[#This Row],[DUT Adj Read]]="N/A",IF(Table1[[#This Row],[Std Adj Read]]&gt;=Table1[[#This Row],[Low Tol]],"Pass","Fail"),IF(Table1[[#This Row],[DUT Adj Read]]&gt;=Table1[[#This Row],[Low Tol]],"Pass","Fail")))</f>
        <v>Pass</v>
      </c>
      <c r="AG2276" s="1" t="str">
        <f>IF(AND(Table1[[#This Row],[Spec Type2]]="N/A",Table1[[#This Row],[DUT Adj Read]]="N/A",Table1[[#This Row],[Std Adj Read]]="N/A"),"N/A",IF(Table1[[#This Row],[DUT Adj Read]]="N/A",IF(Table1[[#This Row],[Std Adj Read]]&lt;=Table1[[#This Row],[High Tol]],"Pass","Fail"),IF(Table1[[#This Row],[DUT Adj Read]]&lt;=Table1[[#This Row],[High Tol]],"Pass","Fail")))</f>
        <v>Fail</v>
      </c>
      <c r="AH22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6" s="1" t="b">
        <v>0</v>
      </c>
      <c r="AN2276" s="1" t="b">
        <v>0</v>
      </c>
      <c r="AO2276" s="1" t="b">
        <v>0</v>
      </c>
    </row>
    <row r="2277" spans="1:41" x14ac:dyDescent="0.25">
      <c r="A2277" s="10"/>
      <c r="B2277" s="10"/>
      <c r="C2277" s="10"/>
      <c r="D2277" s="10"/>
      <c r="E2277" s="10"/>
      <c r="F2277" s="10"/>
      <c r="G2277" s="10"/>
      <c r="H2277" s="10"/>
      <c r="I2277" s="1" t="str">
        <f t="shared" si="105"/>
        <v/>
      </c>
      <c r="J2277" s="1" t="s">
        <v>35</v>
      </c>
      <c r="K2277" s="1" t="str">
        <f t="shared" si="106"/>
        <v/>
      </c>
      <c r="L2277" s="1" t="str">
        <f t="shared" si="107"/>
        <v/>
      </c>
      <c r="M2277" s="1">
        <f>IF(OR(Table1[[#This Row],[Std Nom]]="",Table1[[#This Row],[Std Read]]=""),0,Table1[[#This Row],[Std Nom]]-Table1[[#This Row],[Std Read]])</f>
        <v>0</v>
      </c>
      <c r="N2277" s="1">
        <f>IF(Calculations!$F$5="ACCREDITED 17025 WITH UNCERTAINTIES",$N$10,0)</f>
        <v>0</v>
      </c>
      <c r="O2277" s="1" t="str">
        <f>IFERROR(Table1[[#This Row],[Std Nom]]-(_xlfn.XLOOKUP(Table1[[#This Row],[Manufacturer]]&amp;" "&amp;Table1[[#This Row],[Model]],Table13[MFR &amp; MDL],Table13[Tolerance % CW ],"")/100*Table1[[#This Row],[Std Nom]]),"")</f>
        <v/>
      </c>
      <c r="P2277" s="1" t="str">
        <f>IFERROR(Table1[[#This Row],[Std Nom]]+(_xlfn.XLOOKUP(Table1[[#This Row],[Manufacturer]]&amp;" "&amp;Table1[[#This Row],[Model]],Table13[MFR &amp; MDL],Table13[Tolerance % CW ],"")/100*Table1[[#This Row],[Std Nom]]),"")</f>
        <v/>
      </c>
      <c r="Q2277" s="1" t="e">
        <f>Table1[[#This Row],[High Tol]]-Table1[[#This Row],[Low Tol]]</f>
        <v>#VALUE!</v>
      </c>
      <c r="R2277" s="1">
        <f>2*Table1[[#This Row],[Std Error]]</f>
        <v>0</v>
      </c>
      <c r="S2277" s="1" t="str">
        <f>IF(Table1[[#This Row],[High Tol]]="","N/A",IFERROR(ABS(Table1[[#This Row],[Tol Span]]/Table1[[#This Row],[Error Span]]),"N/A"))</f>
        <v>N/A</v>
      </c>
      <c r="T2277" s="1" t="str">
        <f>IF(OR(Table1[[#This Row],[Low Tol]]="",Table1[[#This Row],[High Tol]]=""),"Needs Analysis",IF(Table1[[#This Row],[Ratio]]&gt;=4,"Not Significant",IF(Table1[[#This Row],[Ratio]]&gt;=2,"Semi-Significant","Significant")))</f>
        <v>Needs Analysis</v>
      </c>
      <c r="W2277" s="1">
        <f>IF(Table1[[#This Row],[Cal Type]]&lt;&gt;"ACCREDITED 17025 WITH UNCERTAINTIES",0,"")</f>
        <v>0</v>
      </c>
      <c r="X2277" s="1" t="str">
        <f>IF(Table1[[#This Row],[DUT Read]]="","N/A",Table1[[#This Row],[Std Error]]+Table1[[#This Row],[DUT Read]]+Table1[[#This Row],[DUT Ucty]])</f>
        <v>N/A</v>
      </c>
      <c r="Y2277" s="1" t="str">
        <f>IF(Table1[[#This Row],[Std Read]]="","N/A",Table1[[#This Row],[Std Read]]+Table1[[#This Row],[Std Ucty]])</f>
        <v>N/A</v>
      </c>
      <c r="Z22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7" s="1" t="str">
        <f>IF(Table1[[#This Row],[Spec Type]]="","N/A",Table1[[#This Row],[Spec Type]])</f>
        <v>±</v>
      </c>
      <c r="AC2277" s="1" t="str">
        <f>IF(Table1[[#This Row],[Spec Type2]]="N/A","N/A",IF(AND(Table1[[#This Row],[DUT Adj Read]]&gt;=Table1[[#This Row],[Low Tol]],Table1[[#This Row],[DUT Adj Read]]&lt;=Table1[[#This Row],[High Tol]]),"Pass","Fail"))</f>
        <v>Fail</v>
      </c>
      <c r="AD2277" s="1" t="str">
        <f>IF(AND(Table1[[#This Row],[Spec Type2]]="N/A",Table1[[#This Row],[DUT Adj Read]]="N/A",Table1[[#This Row],[Std Adj Read]]="N/A"),"N/A",IF(Table1[[#This Row],[DUT Adj Read]]="N/A",IF(Table1[[#This Row],[Std Adj Read]]&gt;Table1[[#This Row],[Low Tol]],"Pass","Fail"),IF(Table1[[#This Row],[DUT Adj Read]]&gt;Table1[[#This Row],[Low Tol]],"Pass","Fail")))</f>
        <v>Pass</v>
      </c>
      <c r="AE2277" s="1" t="str">
        <f>IF(AND(Table1[[#This Row],[Spec Type2]]="N/A",Table1[[#This Row],[DUT Adj Read]]="N/A",Table1[[#This Row],[Std Adj Read]]="N/A"),"N/A",IF(Table1[[#This Row],[DUT Adj Read]]="N/A",IF(Table1[[#This Row],[Std Adj Read]]&lt;Table1[[#This Row],[High Tol]],"Pass","Fail"),IF(Table1[[#This Row],[DUT Adj Read]]&lt;Table1[[#This Row],[High Tol]],"Pass","Fail")))</f>
        <v>Fail</v>
      </c>
      <c r="AF2277" s="1" t="str">
        <f>IF(AND(Table1[[#This Row],[Spec Type2]]="N/A",Table1[[#This Row],[DUT Adj Read]]="N/A",Table1[[#This Row],[Std Adj Read]]="N/A"),"N/A",IF(Table1[[#This Row],[DUT Adj Read]]="N/A",IF(Table1[[#This Row],[Std Adj Read]]&gt;=Table1[[#This Row],[Low Tol]],"Pass","Fail"),IF(Table1[[#This Row],[DUT Adj Read]]&gt;=Table1[[#This Row],[Low Tol]],"Pass","Fail")))</f>
        <v>Pass</v>
      </c>
      <c r="AG2277" s="1" t="str">
        <f>IF(AND(Table1[[#This Row],[Spec Type2]]="N/A",Table1[[#This Row],[DUT Adj Read]]="N/A",Table1[[#This Row],[Std Adj Read]]="N/A"),"N/A",IF(Table1[[#This Row],[DUT Adj Read]]="N/A",IF(Table1[[#This Row],[Std Adj Read]]&lt;=Table1[[#This Row],[High Tol]],"Pass","Fail"),IF(Table1[[#This Row],[DUT Adj Read]]&lt;=Table1[[#This Row],[High Tol]],"Pass","Fail")))</f>
        <v>Fail</v>
      </c>
      <c r="AH22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7" s="1" t="b">
        <v>0</v>
      </c>
      <c r="AN2277" s="1" t="b">
        <v>0</v>
      </c>
      <c r="AO2277" s="1" t="b">
        <v>0</v>
      </c>
    </row>
    <row r="2278" spans="1:41" x14ac:dyDescent="0.25">
      <c r="A2278" s="10"/>
      <c r="B2278" s="10"/>
      <c r="C2278" s="10"/>
      <c r="D2278" s="10"/>
      <c r="E2278" s="10"/>
      <c r="F2278" s="10"/>
      <c r="G2278" s="10"/>
      <c r="H2278" s="10"/>
      <c r="I2278" s="1" t="str">
        <f t="shared" si="105"/>
        <v/>
      </c>
      <c r="J2278" s="1" t="s">
        <v>35</v>
      </c>
      <c r="K2278" s="1" t="str">
        <f t="shared" si="106"/>
        <v/>
      </c>
      <c r="L2278" s="1" t="str">
        <f t="shared" si="107"/>
        <v/>
      </c>
      <c r="M2278" s="1">
        <f>IF(OR(Table1[[#This Row],[Std Nom]]="",Table1[[#This Row],[Std Read]]=""),0,Table1[[#This Row],[Std Nom]]-Table1[[#This Row],[Std Read]])</f>
        <v>0</v>
      </c>
      <c r="N2278" s="1">
        <f>IF(Calculations!$F$5="ACCREDITED 17025 WITH UNCERTAINTIES",$N$10,0)</f>
        <v>0</v>
      </c>
      <c r="O2278" s="1" t="str">
        <f>IFERROR(Table1[[#This Row],[Std Nom]]-(_xlfn.XLOOKUP(Table1[[#This Row],[Manufacturer]]&amp;" "&amp;Table1[[#This Row],[Model]],Table13[MFR &amp; MDL],Table13[Tolerance % CW ],"")/100*Table1[[#This Row],[Std Nom]]),"")</f>
        <v/>
      </c>
      <c r="P2278" s="1" t="str">
        <f>IFERROR(Table1[[#This Row],[Std Nom]]+(_xlfn.XLOOKUP(Table1[[#This Row],[Manufacturer]]&amp;" "&amp;Table1[[#This Row],[Model]],Table13[MFR &amp; MDL],Table13[Tolerance % CW ],"")/100*Table1[[#This Row],[Std Nom]]),"")</f>
        <v/>
      </c>
      <c r="Q2278" s="1" t="e">
        <f>Table1[[#This Row],[High Tol]]-Table1[[#This Row],[Low Tol]]</f>
        <v>#VALUE!</v>
      </c>
      <c r="R2278" s="1">
        <f>2*Table1[[#This Row],[Std Error]]</f>
        <v>0</v>
      </c>
      <c r="S2278" s="1" t="str">
        <f>IF(Table1[[#This Row],[High Tol]]="","N/A",IFERROR(ABS(Table1[[#This Row],[Tol Span]]/Table1[[#This Row],[Error Span]]),"N/A"))</f>
        <v>N/A</v>
      </c>
      <c r="T2278" s="1" t="str">
        <f>IF(OR(Table1[[#This Row],[Low Tol]]="",Table1[[#This Row],[High Tol]]=""),"Needs Analysis",IF(Table1[[#This Row],[Ratio]]&gt;=4,"Not Significant",IF(Table1[[#This Row],[Ratio]]&gt;=2,"Semi-Significant","Significant")))</f>
        <v>Needs Analysis</v>
      </c>
      <c r="W2278" s="1">
        <f>IF(Table1[[#This Row],[Cal Type]]&lt;&gt;"ACCREDITED 17025 WITH UNCERTAINTIES",0,"")</f>
        <v>0</v>
      </c>
      <c r="X2278" s="1" t="str">
        <f>IF(Table1[[#This Row],[DUT Read]]="","N/A",Table1[[#This Row],[Std Error]]+Table1[[#This Row],[DUT Read]]+Table1[[#This Row],[DUT Ucty]])</f>
        <v>N/A</v>
      </c>
      <c r="Y2278" s="1" t="str">
        <f>IF(Table1[[#This Row],[Std Read]]="","N/A",Table1[[#This Row],[Std Read]]+Table1[[#This Row],[Std Ucty]])</f>
        <v>N/A</v>
      </c>
      <c r="Z22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8" s="1" t="str">
        <f>IF(Table1[[#This Row],[Spec Type]]="","N/A",Table1[[#This Row],[Spec Type]])</f>
        <v>±</v>
      </c>
      <c r="AC2278" s="1" t="str">
        <f>IF(Table1[[#This Row],[Spec Type2]]="N/A","N/A",IF(AND(Table1[[#This Row],[DUT Adj Read]]&gt;=Table1[[#This Row],[Low Tol]],Table1[[#This Row],[DUT Adj Read]]&lt;=Table1[[#This Row],[High Tol]]),"Pass","Fail"))</f>
        <v>Fail</v>
      </c>
      <c r="AD2278" s="1" t="str">
        <f>IF(AND(Table1[[#This Row],[Spec Type2]]="N/A",Table1[[#This Row],[DUT Adj Read]]="N/A",Table1[[#This Row],[Std Adj Read]]="N/A"),"N/A",IF(Table1[[#This Row],[DUT Adj Read]]="N/A",IF(Table1[[#This Row],[Std Adj Read]]&gt;Table1[[#This Row],[Low Tol]],"Pass","Fail"),IF(Table1[[#This Row],[DUT Adj Read]]&gt;Table1[[#This Row],[Low Tol]],"Pass","Fail")))</f>
        <v>Pass</v>
      </c>
      <c r="AE2278" s="1" t="str">
        <f>IF(AND(Table1[[#This Row],[Spec Type2]]="N/A",Table1[[#This Row],[DUT Adj Read]]="N/A",Table1[[#This Row],[Std Adj Read]]="N/A"),"N/A",IF(Table1[[#This Row],[DUT Adj Read]]="N/A",IF(Table1[[#This Row],[Std Adj Read]]&lt;Table1[[#This Row],[High Tol]],"Pass","Fail"),IF(Table1[[#This Row],[DUT Adj Read]]&lt;Table1[[#This Row],[High Tol]],"Pass","Fail")))</f>
        <v>Fail</v>
      </c>
      <c r="AF2278" s="1" t="str">
        <f>IF(AND(Table1[[#This Row],[Spec Type2]]="N/A",Table1[[#This Row],[DUT Adj Read]]="N/A",Table1[[#This Row],[Std Adj Read]]="N/A"),"N/A",IF(Table1[[#This Row],[DUT Adj Read]]="N/A",IF(Table1[[#This Row],[Std Adj Read]]&gt;=Table1[[#This Row],[Low Tol]],"Pass","Fail"),IF(Table1[[#This Row],[DUT Adj Read]]&gt;=Table1[[#This Row],[Low Tol]],"Pass","Fail")))</f>
        <v>Pass</v>
      </c>
      <c r="AG2278" s="1" t="str">
        <f>IF(AND(Table1[[#This Row],[Spec Type2]]="N/A",Table1[[#This Row],[DUT Adj Read]]="N/A",Table1[[#This Row],[Std Adj Read]]="N/A"),"N/A",IF(Table1[[#This Row],[DUT Adj Read]]="N/A",IF(Table1[[#This Row],[Std Adj Read]]&lt;=Table1[[#This Row],[High Tol]],"Pass","Fail"),IF(Table1[[#This Row],[DUT Adj Read]]&lt;=Table1[[#This Row],[High Tol]],"Pass","Fail")))</f>
        <v>Fail</v>
      </c>
      <c r="AH22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8" s="1" t="b">
        <v>0</v>
      </c>
      <c r="AN2278" s="1" t="b">
        <v>0</v>
      </c>
      <c r="AO2278" s="1" t="b">
        <v>0</v>
      </c>
    </row>
    <row r="2279" spans="1:41" x14ac:dyDescent="0.25">
      <c r="A2279" s="10"/>
      <c r="B2279" s="10"/>
      <c r="C2279" s="10"/>
      <c r="D2279" s="10"/>
      <c r="E2279" s="10"/>
      <c r="F2279" s="10"/>
      <c r="G2279" s="10"/>
      <c r="H2279" s="10"/>
      <c r="I2279" s="1" t="str">
        <f t="shared" si="105"/>
        <v/>
      </c>
      <c r="J2279" s="1" t="s">
        <v>35</v>
      </c>
      <c r="K2279" s="1" t="str">
        <f t="shared" si="106"/>
        <v/>
      </c>
      <c r="L2279" s="1" t="str">
        <f t="shared" si="107"/>
        <v/>
      </c>
      <c r="M2279" s="1">
        <f>IF(OR(Table1[[#This Row],[Std Nom]]="",Table1[[#This Row],[Std Read]]=""),0,Table1[[#This Row],[Std Nom]]-Table1[[#This Row],[Std Read]])</f>
        <v>0</v>
      </c>
      <c r="N2279" s="1">
        <f>IF(Calculations!$F$5="ACCREDITED 17025 WITH UNCERTAINTIES",$N$10,0)</f>
        <v>0</v>
      </c>
      <c r="O2279" s="1" t="str">
        <f>IFERROR(Table1[[#This Row],[Std Nom]]-(_xlfn.XLOOKUP(Table1[[#This Row],[Manufacturer]]&amp;" "&amp;Table1[[#This Row],[Model]],Table13[MFR &amp; MDL],Table13[Tolerance % CW ],"")/100*Table1[[#This Row],[Std Nom]]),"")</f>
        <v/>
      </c>
      <c r="P2279" s="1" t="str">
        <f>IFERROR(Table1[[#This Row],[Std Nom]]+(_xlfn.XLOOKUP(Table1[[#This Row],[Manufacturer]]&amp;" "&amp;Table1[[#This Row],[Model]],Table13[MFR &amp; MDL],Table13[Tolerance % CW ],"")/100*Table1[[#This Row],[Std Nom]]),"")</f>
        <v/>
      </c>
      <c r="Q2279" s="1" t="e">
        <f>Table1[[#This Row],[High Tol]]-Table1[[#This Row],[Low Tol]]</f>
        <v>#VALUE!</v>
      </c>
      <c r="R2279" s="1">
        <f>2*Table1[[#This Row],[Std Error]]</f>
        <v>0</v>
      </c>
      <c r="S2279" s="1" t="str">
        <f>IF(Table1[[#This Row],[High Tol]]="","N/A",IFERROR(ABS(Table1[[#This Row],[Tol Span]]/Table1[[#This Row],[Error Span]]),"N/A"))</f>
        <v>N/A</v>
      </c>
      <c r="T2279" s="1" t="str">
        <f>IF(OR(Table1[[#This Row],[Low Tol]]="",Table1[[#This Row],[High Tol]]=""),"Needs Analysis",IF(Table1[[#This Row],[Ratio]]&gt;=4,"Not Significant",IF(Table1[[#This Row],[Ratio]]&gt;=2,"Semi-Significant","Significant")))</f>
        <v>Needs Analysis</v>
      </c>
      <c r="W2279" s="1">
        <f>IF(Table1[[#This Row],[Cal Type]]&lt;&gt;"ACCREDITED 17025 WITH UNCERTAINTIES",0,"")</f>
        <v>0</v>
      </c>
      <c r="X2279" s="1" t="str">
        <f>IF(Table1[[#This Row],[DUT Read]]="","N/A",Table1[[#This Row],[Std Error]]+Table1[[#This Row],[DUT Read]]+Table1[[#This Row],[DUT Ucty]])</f>
        <v>N/A</v>
      </c>
      <c r="Y2279" s="1" t="str">
        <f>IF(Table1[[#This Row],[Std Read]]="","N/A",Table1[[#This Row],[Std Read]]+Table1[[#This Row],[Std Ucty]])</f>
        <v>N/A</v>
      </c>
      <c r="Z22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9" s="1" t="str">
        <f>IF(Table1[[#This Row],[Spec Type]]="","N/A",Table1[[#This Row],[Spec Type]])</f>
        <v>±</v>
      </c>
      <c r="AC2279" s="1" t="str">
        <f>IF(Table1[[#This Row],[Spec Type2]]="N/A","N/A",IF(AND(Table1[[#This Row],[DUT Adj Read]]&gt;=Table1[[#This Row],[Low Tol]],Table1[[#This Row],[DUT Adj Read]]&lt;=Table1[[#This Row],[High Tol]]),"Pass","Fail"))</f>
        <v>Fail</v>
      </c>
      <c r="AD2279" s="1" t="str">
        <f>IF(AND(Table1[[#This Row],[Spec Type2]]="N/A",Table1[[#This Row],[DUT Adj Read]]="N/A",Table1[[#This Row],[Std Adj Read]]="N/A"),"N/A",IF(Table1[[#This Row],[DUT Adj Read]]="N/A",IF(Table1[[#This Row],[Std Adj Read]]&gt;Table1[[#This Row],[Low Tol]],"Pass","Fail"),IF(Table1[[#This Row],[DUT Adj Read]]&gt;Table1[[#This Row],[Low Tol]],"Pass","Fail")))</f>
        <v>Pass</v>
      </c>
      <c r="AE2279" s="1" t="str">
        <f>IF(AND(Table1[[#This Row],[Spec Type2]]="N/A",Table1[[#This Row],[DUT Adj Read]]="N/A",Table1[[#This Row],[Std Adj Read]]="N/A"),"N/A",IF(Table1[[#This Row],[DUT Adj Read]]="N/A",IF(Table1[[#This Row],[Std Adj Read]]&lt;Table1[[#This Row],[High Tol]],"Pass","Fail"),IF(Table1[[#This Row],[DUT Adj Read]]&lt;Table1[[#This Row],[High Tol]],"Pass","Fail")))</f>
        <v>Fail</v>
      </c>
      <c r="AF2279" s="1" t="str">
        <f>IF(AND(Table1[[#This Row],[Spec Type2]]="N/A",Table1[[#This Row],[DUT Adj Read]]="N/A",Table1[[#This Row],[Std Adj Read]]="N/A"),"N/A",IF(Table1[[#This Row],[DUT Adj Read]]="N/A",IF(Table1[[#This Row],[Std Adj Read]]&gt;=Table1[[#This Row],[Low Tol]],"Pass","Fail"),IF(Table1[[#This Row],[DUT Adj Read]]&gt;=Table1[[#This Row],[Low Tol]],"Pass","Fail")))</f>
        <v>Pass</v>
      </c>
      <c r="AG2279" s="1" t="str">
        <f>IF(AND(Table1[[#This Row],[Spec Type2]]="N/A",Table1[[#This Row],[DUT Adj Read]]="N/A",Table1[[#This Row],[Std Adj Read]]="N/A"),"N/A",IF(Table1[[#This Row],[DUT Adj Read]]="N/A",IF(Table1[[#This Row],[Std Adj Read]]&lt;=Table1[[#This Row],[High Tol]],"Pass","Fail"),IF(Table1[[#This Row],[DUT Adj Read]]&lt;=Table1[[#This Row],[High Tol]],"Pass","Fail")))</f>
        <v>Fail</v>
      </c>
      <c r="AH22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9" s="1" t="b">
        <v>0</v>
      </c>
      <c r="AN2279" s="1" t="b">
        <v>0</v>
      </c>
      <c r="AO2279" s="1" t="b">
        <v>0</v>
      </c>
    </row>
    <row r="2280" spans="1:41" x14ac:dyDescent="0.25">
      <c r="A2280" s="10"/>
      <c r="B2280" s="10"/>
      <c r="C2280" s="10"/>
      <c r="D2280" s="10"/>
      <c r="E2280" s="10"/>
      <c r="F2280" s="10"/>
      <c r="G2280" s="10"/>
      <c r="H2280" s="10"/>
      <c r="I2280" s="1" t="str">
        <f t="shared" si="105"/>
        <v/>
      </c>
      <c r="J2280" s="1" t="s">
        <v>35</v>
      </c>
      <c r="K2280" s="1" t="str">
        <f t="shared" si="106"/>
        <v/>
      </c>
      <c r="L2280" s="1" t="str">
        <f t="shared" si="107"/>
        <v/>
      </c>
      <c r="M2280" s="1">
        <f>IF(OR(Table1[[#This Row],[Std Nom]]="",Table1[[#This Row],[Std Read]]=""),0,Table1[[#This Row],[Std Nom]]-Table1[[#This Row],[Std Read]])</f>
        <v>0</v>
      </c>
      <c r="N2280" s="1">
        <f>IF(Calculations!$F$5="ACCREDITED 17025 WITH UNCERTAINTIES",$N$10,0)</f>
        <v>0</v>
      </c>
      <c r="O2280" s="1" t="str">
        <f>IFERROR(Table1[[#This Row],[Std Nom]]-(_xlfn.XLOOKUP(Table1[[#This Row],[Manufacturer]]&amp;" "&amp;Table1[[#This Row],[Model]],Table13[MFR &amp; MDL],Table13[Tolerance % CW ],"")/100*Table1[[#This Row],[Std Nom]]),"")</f>
        <v/>
      </c>
      <c r="P2280" s="1" t="str">
        <f>IFERROR(Table1[[#This Row],[Std Nom]]+(_xlfn.XLOOKUP(Table1[[#This Row],[Manufacturer]]&amp;" "&amp;Table1[[#This Row],[Model]],Table13[MFR &amp; MDL],Table13[Tolerance % CW ],"")/100*Table1[[#This Row],[Std Nom]]),"")</f>
        <v/>
      </c>
      <c r="Q2280" s="1" t="e">
        <f>Table1[[#This Row],[High Tol]]-Table1[[#This Row],[Low Tol]]</f>
        <v>#VALUE!</v>
      </c>
      <c r="R2280" s="1">
        <f>2*Table1[[#This Row],[Std Error]]</f>
        <v>0</v>
      </c>
      <c r="S2280" s="1" t="str">
        <f>IF(Table1[[#This Row],[High Tol]]="","N/A",IFERROR(ABS(Table1[[#This Row],[Tol Span]]/Table1[[#This Row],[Error Span]]),"N/A"))</f>
        <v>N/A</v>
      </c>
      <c r="T2280" s="1" t="str">
        <f>IF(OR(Table1[[#This Row],[Low Tol]]="",Table1[[#This Row],[High Tol]]=""),"Needs Analysis",IF(Table1[[#This Row],[Ratio]]&gt;=4,"Not Significant",IF(Table1[[#This Row],[Ratio]]&gt;=2,"Semi-Significant","Significant")))</f>
        <v>Needs Analysis</v>
      </c>
      <c r="W2280" s="1">
        <f>IF(Table1[[#This Row],[Cal Type]]&lt;&gt;"ACCREDITED 17025 WITH UNCERTAINTIES",0,"")</f>
        <v>0</v>
      </c>
      <c r="X2280" s="1" t="str">
        <f>IF(Table1[[#This Row],[DUT Read]]="","N/A",Table1[[#This Row],[Std Error]]+Table1[[#This Row],[DUT Read]]+Table1[[#This Row],[DUT Ucty]])</f>
        <v>N/A</v>
      </c>
      <c r="Y2280" s="1" t="str">
        <f>IF(Table1[[#This Row],[Std Read]]="","N/A",Table1[[#This Row],[Std Read]]+Table1[[#This Row],[Std Ucty]])</f>
        <v>N/A</v>
      </c>
      <c r="Z22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0" s="1" t="str">
        <f>IF(Table1[[#This Row],[Spec Type]]="","N/A",Table1[[#This Row],[Spec Type]])</f>
        <v>±</v>
      </c>
      <c r="AC2280" s="1" t="str">
        <f>IF(Table1[[#This Row],[Spec Type2]]="N/A","N/A",IF(AND(Table1[[#This Row],[DUT Adj Read]]&gt;=Table1[[#This Row],[Low Tol]],Table1[[#This Row],[DUT Adj Read]]&lt;=Table1[[#This Row],[High Tol]]),"Pass","Fail"))</f>
        <v>Fail</v>
      </c>
      <c r="AD2280" s="1" t="str">
        <f>IF(AND(Table1[[#This Row],[Spec Type2]]="N/A",Table1[[#This Row],[DUT Adj Read]]="N/A",Table1[[#This Row],[Std Adj Read]]="N/A"),"N/A",IF(Table1[[#This Row],[DUT Adj Read]]="N/A",IF(Table1[[#This Row],[Std Adj Read]]&gt;Table1[[#This Row],[Low Tol]],"Pass","Fail"),IF(Table1[[#This Row],[DUT Adj Read]]&gt;Table1[[#This Row],[Low Tol]],"Pass","Fail")))</f>
        <v>Pass</v>
      </c>
      <c r="AE2280" s="1" t="str">
        <f>IF(AND(Table1[[#This Row],[Spec Type2]]="N/A",Table1[[#This Row],[DUT Adj Read]]="N/A",Table1[[#This Row],[Std Adj Read]]="N/A"),"N/A",IF(Table1[[#This Row],[DUT Adj Read]]="N/A",IF(Table1[[#This Row],[Std Adj Read]]&lt;Table1[[#This Row],[High Tol]],"Pass","Fail"),IF(Table1[[#This Row],[DUT Adj Read]]&lt;Table1[[#This Row],[High Tol]],"Pass","Fail")))</f>
        <v>Fail</v>
      </c>
      <c r="AF2280" s="1" t="str">
        <f>IF(AND(Table1[[#This Row],[Spec Type2]]="N/A",Table1[[#This Row],[DUT Adj Read]]="N/A",Table1[[#This Row],[Std Adj Read]]="N/A"),"N/A",IF(Table1[[#This Row],[DUT Adj Read]]="N/A",IF(Table1[[#This Row],[Std Adj Read]]&gt;=Table1[[#This Row],[Low Tol]],"Pass","Fail"),IF(Table1[[#This Row],[DUT Adj Read]]&gt;=Table1[[#This Row],[Low Tol]],"Pass","Fail")))</f>
        <v>Pass</v>
      </c>
      <c r="AG2280" s="1" t="str">
        <f>IF(AND(Table1[[#This Row],[Spec Type2]]="N/A",Table1[[#This Row],[DUT Adj Read]]="N/A",Table1[[#This Row],[Std Adj Read]]="N/A"),"N/A",IF(Table1[[#This Row],[DUT Adj Read]]="N/A",IF(Table1[[#This Row],[Std Adj Read]]&lt;=Table1[[#This Row],[High Tol]],"Pass","Fail"),IF(Table1[[#This Row],[DUT Adj Read]]&lt;=Table1[[#This Row],[High Tol]],"Pass","Fail")))</f>
        <v>Fail</v>
      </c>
      <c r="AH22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0" s="1" t="b">
        <v>0</v>
      </c>
      <c r="AN2280" s="1" t="b">
        <v>0</v>
      </c>
      <c r="AO2280" s="1" t="b">
        <v>0</v>
      </c>
    </row>
    <row r="2281" spans="1:41" x14ac:dyDescent="0.25">
      <c r="A2281" s="10"/>
      <c r="B2281" s="10"/>
      <c r="C2281" s="10"/>
      <c r="D2281" s="10"/>
      <c r="E2281" s="10"/>
      <c r="F2281" s="10"/>
      <c r="G2281" s="10"/>
      <c r="H2281" s="10"/>
      <c r="I2281" s="1" t="str">
        <f t="shared" si="105"/>
        <v/>
      </c>
      <c r="J2281" s="1" t="s">
        <v>35</v>
      </c>
      <c r="K2281" s="1" t="str">
        <f t="shared" si="106"/>
        <v/>
      </c>
      <c r="L2281" s="1" t="str">
        <f t="shared" si="107"/>
        <v/>
      </c>
      <c r="M2281" s="1">
        <f>IF(OR(Table1[[#This Row],[Std Nom]]="",Table1[[#This Row],[Std Read]]=""),0,Table1[[#This Row],[Std Nom]]-Table1[[#This Row],[Std Read]])</f>
        <v>0</v>
      </c>
      <c r="N2281" s="1">
        <f>IF(Calculations!$F$5="ACCREDITED 17025 WITH UNCERTAINTIES",$N$10,0)</f>
        <v>0</v>
      </c>
      <c r="O2281" s="1" t="str">
        <f>IFERROR(Table1[[#This Row],[Std Nom]]-(_xlfn.XLOOKUP(Table1[[#This Row],[Manufacturer]]&amp;" "&amp;Table1[[#This Row],[Model]],Table13[MFR &amp; MDL],Table13[Tolerance % CW ],"")/100*Table1[[#This Row],[Std Nom]]),"")</f>
        <v/>
      </c>
      <c r="P2281" s="1" t="str">
        <f>IFERROR(Table1[[#This Row],[Std Nom]]+(_xlfn.XLOOKUP(Table1[[#This Row],[Manufacturer]]&amp;" "&amp;Table1[[#This Row],[Model]],Table13[MFR &amp; MDL],Table13[Tolerance % CW ],"")/100*Table1[[#This Row],[Std Nom]]),"")</f>
        <v/>
      </c>
      <c r="Q2281" s="1" t="e">
        <f>Table1[[#This Row],[High Tol]]-Table1[[#This Row],[Low Tol]]</f>
        <v>#VALUE!</v>
      </c>
      <c r="R2281" s="1">
        <f>2*Table1[[#This Row],[Std Error]]</f>
        <v>0</v>
      </c>
      <c r="S2281" s="1" t="str">
        <f>IF(Table1[[#This Row],[High Tol]]="","N/A",IFERROR(ABS(Table1[[#This Row],[Tol Span]]/Table1[[#This Row],[Error Span]]),"N/A"))</f>
        <v>N/A</v>
      </c>
      <c r="T2281" s="1" t="str">
        <f>IF(OR(Table1[[#This Row],[Low Tol]]="",Table1[[#This Row],[High Tol]]=""),"Needs Analysis",IF(Table1[[#This Row],[Ratio]]&gt;=4,"Not Significant",IF(Table1[[#This Row],[Ratio]]&gt;=2,"Semi-Significant","Significant")))</f>
        <v>Needs Analysis</v>
      </c>
      <c r="W2281" s="1">
        <f>IF(Table1[[#This Row],[Cal Type]]&lt;&gt;"ACCREDITED 17025 WITH UNCERTAINTIES",0,"")</f>
        <v>0</v>
      </c>
      <c r="X2281" s="1" t="str">
        <f>IF(Table1[[#This Row],[DUT Read]]="","N/A",Table1[[#This Row],[Std Error]]+Table1[[#This Row],[DUT Read]]+Table1[[#This Row],[DUT Ucty]])</f>
        <v>N/A</v>
      </c>
      <c r="Y2281" s="1" t="str">
        <f>IF(Table1[[#This Row],[Std Read]]="","N/A",Table1[[#This Row],[Std Read]]+Table1[[#This Row],[Std Ucty]])</f>
        <v>N/A</v>
      </c>
      <c r="Z22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1" s="1" t="str">
        <f>IF(Table1[[#This Row],[Spec Type]]="","N/A",Table1[[#This Row],[Spec Type]])</f>
        <v>±</v>
      </c>
      <c r="AC2281" s="1" t="str">
        <f>IF(Table1[[#This Row],[Spec Type2]]="N/A","N/A",IF(AND(Table1[[#This Row],[DUT Adj Read]]&gt;=Table1[[#This Row],[Low Tol]],Table1[[#This Row],[DUT Adj Read]]&lt;=Table1[[#This Row],[High Tol]]),"Pass","Fail"))</f>
        <v>Fail</v>
      </c>
      <c r="AD2281" s="1" t="str">
        <f>IF(AND(Table1[[#This Row],[Spec Type2]]="N/A",Table1[[#This Row],[DUT Adj Read]]="N/A",Table1[[#This Row],[Std Adj Read]]="N/A"),"N/A",IF(Table1[[#This Row],[DUT Adj Read]]="N/A",IF(Table1[[#This Row],[Std Adj Read]]&gt;Table1[[#This Row],[Low Tol]],"Pass","Fail"),IF(Table1[[#This Row],[DUT Adj Read]]&gt;Table1[[#This Row],[Low Tol]],"Pass","Fail")))</f>
        <v>Pass</v>
      </c>
      <c r="AE2281" s="1" t="str">
        <f>IF(AND(Table1[[#This Row],[Spec Type2]]="N/A",Table1[[#This Row],[DUT Adj Read]]="N/A",Table1[[#This Row],[Std Adj Read]]="N/A"),"N/A",IF(Table1[[#This Row],[DUT Adj Read]]="N/A",IF(Table1[[#This Row],[Std Adj Read]]&lt;Table1[[#This Row],[High Tol]],"Pass","Fail"),IF(Table1[[#This Row],[DUT Adj Read]]&lt;Table1[[#This Row],[High Tol]],"Pass","Fail")))</f>
        <v>Fail</v>
      </c>
      <c r="AF2281" s="1" t="str">
        <f>IF(AND(Table1[[#This Row],[Spec Type2]]="N/A",Table1[[#This Row],[DUT Adj Read]]="N/A",Table1[[#This Row],[Std Adj Read]]="N/A"),"N/A",IF(Table1[[#This Row],[DUT Adj Read]]="N/A",IF(Table1[[#This Row],[Std Adj Read]]&gt;=Table1[[#This Row],[Low Tol]],"Pass","Fail"),IF(Table1[[#This Row],[DUT Adj Read]]&gt;=Table1[[#This Row],[Low Tol]],"Pass","Fail")))</f>
        <v>Pass</v>
      </c>
      <c r="AG2281" s="1" t="str">
        <f>IF(AND(Table1[[#This Row],[Spec Type2]]="N/A",Table1[[#This Row],[DUT Adj Read]]="N/A",Table1[[#This Row],[Std Adj Read]]="N/A"),"N/A",IF(Table1[[#This Row],[DUT Adj Read]]="N/A",IF(Table1[[#This Row],[Std Adj Read]]&lt;=Table1[[#This Row],[High Tol]],"Pass","Fail"),IF(Table1[[#This Row],[DUT Adj Read]]&lt;=Table1[[#This Row],[High Tol]],"Pass","Fail")))</f>
        <v>Fail</v>
      </c>
      <c r="AH22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1" s="1" t="b">
        <v>0</v>
      </c>
      <c r="AN2281" s="1" t="b">
        <v>0</v>
      </c>
      <c r="AO2281" s="1" t="b">
        <v>0</v>
      </c>
    </row>
    <row r="2282" spans="1:41" x14ac:dyDescent="0.25">
      <c r="A2282" s="10"/>
      <c r="B2282" s="10"/>
      <c r="C2282" s="10"/>
      <c r="D2282" s="10"/>
      <c r="E2282" s="10"/>
      <c r="F2282" s="10"/>
      <c r="G2282" s="10"/>
      <c r="H2282" s="10"/>
      <c r="I2282" s="1" t="str">
        <f t="shared" si="105"/>
        <v/>
      </c>
      <c r="J2282" s="1" t="s">
        <v>35</v>
      </c>
      <c r="K2282" s="1" t="str">
        <f t="shared" si="106"/>
        <v/>
      </c>
      <c r="L2282" s="1" t="str">
        <f t="shared" si="107"/>
        <v/>
      </c>
      <c r="M2282" s="1">
        <f>IF(OR(Table1[[#This Row],[Std Nom]]="",Table1[[#This Row],[Std Read]]=""),0,Table1[[#This Row],[Std Nom]]-Table1[[#This Row],[Std Read]])</f>
        <v>0</v>
      </c>
      <c r="N2282" s="1">
        <f>IF(Calculations!$F$5="ACCREDITED 17025 WITH UNCERTAINTIES",$N$10,0)</f>
        <v>0</v>
      </c>
      <c r="O2282" s="1" t="str">
        <f>IFERROR(Table1[[#This Row],[Std Nom]]-(_xlfn.XLOOKUP(Table1[[#This Row],[Manufacturer]]&amp;" "&amp;Table1[[#This Row],[Model]],Table13[MFR &amp; MDL],Table13[Tolerance % CW ],"")/100*Table1[[#This Row],[Std Nom]]),"")</f>
        <v/>
      </c>
      <c r="P2282" s="1" t="str">
        <f>IFERROR(Table1[[#This Row],[Std Nom]]+(_xlfn.XLOOKUP(Table1[[#This Row],[Manufacturer]]&amp;" "&amp;Table1[[#This Row],[Model]],Table13[MFR &amp; MDL],Table13[Tolerance % CW ],"")/100*Table1[[#This Row],[Std Nom]]),"")</f>
        <v/>
      </c>
      <c r="Q2282" s="1" t="e">
        <f>Table1[[#This Row],[High Tol]]-Table1[[#This Row],[Low Tol]]</f>
        <v>#VALUE!</v>
      </c>
      <c r="R2282" s="1">
        <f>2*Table1[[#This Row],[Std Error]]</f>
        <v>0</v>
      </c>
      <c r="S2282" s="1" t="str">
        <f>IF(Table1[[#This Row],[High Tol]]="","N/A",IFERROR(ABS(Table1[[#This Row],[Tol Span]]/Table1[[#This Row],[Error Span]]),"N/A"))</f>
        <v>N/A</v>
      </c>
      <c r="T2282" s="1" t="str">
        <f>IF(OR(Table1[[#This Row],[Low Tol]]="",Table1[[#This Row],[High Tol]]=""),"Needs Analysis",IF(Table1[[#This Row],[Ratio]]&gt;=4,"Not Significant",IF(Table1[[#This Row],[Ratio]]&gt;=2,"Semi-Significant","Significant")))</f>
        <v>Needs Analysis</v>
      </c>
      <c r="W2282" s="1">
        <f>IF(Table1[[#This Row],[Cal Type]]&lt;&gt;"ACCREDITED 17025 WITH UNCERTAINTIES",0,"")</f>
        <v>0</v>
      </c>
      <c r="X2282" s="1" t="str">
        <f>IF(Table1[[#This Row],[DUT Read]]="","N/A",Table1[[#This Row],[Std Error]]+Table1[[#This Row],[DUT Read]]+Table1[[#This Row],[DUT Ucty]])</f>
        <v>N/A</v>
      </c>
      <c r="Y2282" s="1" t="str">
        <f>IF(Table1[[#This Row],[Std Read]]="","N/A",Table1[[#This Row],[Std Read]]+Table1[[#This Row],[Std Ucty]])</f>
        <v>N/A</v>
      </c>
      <c r="Z22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2" s="1" t="str">
        <f>IF(Table1[[#This Row],[Spec Type]]="","N/A",Table1[[#This Row],[Spec Type]])</f>
        <v>±</v>
      </c>
      <c r="AC2282" s="1" t="str">
        <f>IF(Table1[[#This Row],[Spec Type2]]="N/A","N/A",IF(AND(Table1[[#This Row],[DUT Adj Read]]&gt;=Table1[[#This Row],[Low Tol]],Table1[[#This Row],[DUT Adj Read]]&lt;=Table1[[#This Row],[High Tol]]),"Pass","Fail"))</f>
        <v>Fail</v>
      </c>
      <c r="AD2282" s="1" t="str">
        <f>IF(AND(Table1[[#This Row],[Spec Type2]]="N/A",Table1[[#This Row],[DUT Adj Read]]="N/A",Table1[[#This Row],[Std Adj Read]]="N/A"),"N/A",IF(Table1[[#This Row],[DUT Adj Read]]="N/A",IF(Table1[[#This Row],[Std Adj Read]]&gt;Table1[[#This Row],[Low Tol]],"Pass","Fail"),IF(Table1[[#This Row],[DUT Adj Read]]&gt;Table1[[#This Row],[Low Tol]],"Pass","Fail")))</f>
        <v>Pass</v>
      </c>
      <c r="AE2282" s="1" t="str">
        <f>IF(AND(Table1[[#This Row],[Spec Type2]]="N/A",Table1[[#This Row],[DUT Adj Read]]="N/A",Table1[[#This Row],[Std Adj Read]]="N/A"),"N/A",IF(Table1[[#This Row],[DUT Adj Read]]="N/A",IF(Table1[[#This Row],[Std Adj Read]]&lt;Table1[[#This Row],[High Tol]],"Pass","Fail"),IF(Table1[[#This Row],[DUT Adj Read]]&lt;Table1[[#This Row],[High Tol]],"Pass","Fail")))</f>
        <v>Fail</v>
      </c>
      <c r="AF2282" s="1" t="str">
        <f>IF(AND(Table1[[#This Row],[Spec Type2]]="N/A",Table1[[#This Row],[DUT Adj Read]]="N/A",Table1[[#This Row],[Std Adj Read]]="N/A"),"N/A",IF(Table1[[#This Row],[DUT Adj Read]]="N/A",IF(Table1[[#This Row],[Std Adj Read]]&gt;=Table1[[#This Row],[Low Tol]],"Pass","Fail"),IF(Table1[[#This Row],[DUT Adj Read]]&gt;=Table1[[#This Row],[Low Tol]],"Pass","Fail")))</f>
        <v>Pass</v>
      </c>
      <c r="AG2282" s="1" t="str">
        <f>IF(AND(Table1[[#This Row],[Spec Type2]]="N/A",Table1[[#This Row],[DUT Adj Read]]="N/A",Table1[[#This Row],[Std Adj Read]]="N/A"),"N/A",IF(Table1[[#This Row],[DUT Adj Read]]="N/A",IF(Table1[[#This Row],[Std Adj Read]]&lt;=Table1[[#This Row],[High Tol]],"Pass","Fail"),IF(Table1[[#This Row],[DUT Adj Read]]&lt;=Table1[[#This Row],[High Tol]],"Pass","Fail")))</f>
        <v>Fail</v>
      </c>
      <c r="AH22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2" s="1" t="b">
        <v>0</v>
      </c>
      <c r="AN2282" s="1" t="b">
        <v>0</v>
      </c>
      <c r="AO2282" s="1" t="b">
        <v>0</v>
      </c>
    </row>
    <row r="2283" spans="1:41" x14ac:dyDescent="0.25">
      <c r="A2283" s="10"/>
      <c r="B2283" s="10"/>
      <c r="C2283" s="10"/>
      <c r="D2283" s="10"/>
      <c r="E2283" s="10"/>
      <c r="F2283" s="10"/>
      <c r="G2283" s="10"/>
      <c r="H2283" s="10"/>
      <c r="I2283" s="1" t="str">
        <f t="shared" si="105"/>
        <v/>
      </c>
      <c r="J2283" s="1" t="s">
        <v>35</v>
      </c>
      <c r="K2283" s="1" t="str">
        <f t="shared" si="106"/>
        <v/>
      </c>
      <c r="L2283" s="1" t="str">
        <f t="shared" si="107"/>
        <v/>
      </c>
      <c r="M2283" s="1">
        <f>IF(OR(Table1[[#This Row],[Std Nom]]="",Table1[[#This Row],[Std Read]]=""),0,Table1[[#This Row],[Std Nom]]-Table1[[#This Row],[Std Read]])</f>
        <v>0</v>
      </c>
      <c r="N2283" s="1">
        <f>IF(Calculations!$F$5="ACCREDITED 17025 WITH UNCERTAINTIES",$N$10,0)</f>
        <v>0</v>
      </c>
      <c r="O2283" s="1" t="str">
        <f>IFERROR(Table1[[#This Row],[Std Nom]]-(_xlfn.XLOOKUP(Table1[[#This Row],[Manufacturer]]&amp;" "&amp;Table1[[#This Row],[Model]],Table13[MFR &amp; MDL],Table13[Tolerance % CW ],"")/100*Table1[[#This Row],[Std Nom]]),"")</f>
        <v/>
      </c>
      <c r="P2283" s="1" t="str">
        <f>IFERROR(Table1[[#This Row],[Std Nom]]+(_xlfn.XLOOKUP(Table1[[#This Row],[Manufacturer]]&amp;" "&amp;Table1[[#This Row],[Model]],Table13[MFR &amp; MDL],Table13[Tolerance % CW ],"")/100*Table1[[#This Row],[Std Nom]]),"")</f>
        <v/>
      </c>
      <c r="Q2283" s="1" t="e">
        <f>Table1[[#This Row],[High Tol]]-Table1[[#This Row],[Low Tol]]</f>
        <v>#VALUE!</v>
      </c>
      <c r="R2283" s="1">
        <f>2*Table1[[#This Row],[Std Error]]</f>
        <v>0</v>
      </c>
      <c r="S2283" s="1" t="str">
        <f>IF(Table1[[#This Row],[High Tol]]="","N/A",IFERROR(ABS(Table1[[#This Row],[Tol Span]]/Table1[[#This Row],[Error Span]]),"N/A"))</f>
        <v>N/A</v>
      </c>
      <c r="T2283" s="1" t="str">
        <f>IF(OR(Table1[[#This Row],[Low Tol]]="",Table1[[#This Row],[High Tol]]=""),"Needs Analysis",IF(Table1[[#This Row],[Ratio]]&gt;=4,"Not Significant",IF(Table1[[#This Row],[Ratio]]&gt;=2,"Semi-Significant","Significant")))</f>
        <v>Needs Analysis</v>
      </c>
      <c r="W2283" s="1">
        <f>IF(Table1[[#This Row],[Cal Type]]&lt;&gt;"ACCREDITED 17025 WITH UNCERTAINTIES",0,"")</f>
        <v>0</v>
      </c>
      <c r="X2283" s="1" t="str">
        <f>IF(Table1[[#This Row],[DUT Read]]="","N/A",Table1[[#This Row],[Std Error]]+Table1[[#This Row],[DUT Read]]+Table1[[#This Row],[DUT Ucty]])</f>
        <v>N/A</v>
      </c>
      <c r="Y2283" s="1" t="str">
        <f>IF(Table1[[#This Row],[Std Read]]="","N/A",Table1[[#This Row],[Std Read]]+Table1[[#This Row],[Std Ucty]])</f>
        <v>N/A</v>
      </c>
      <c r="Z22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3" s="1" t="str">
        <f>IF(Table1[[#This Row],[Spec Type]]="","N/A",Table1[[#This Row],[Spec Type]])</f>
        <v>±</v>
      </c>
      <c r="AC2283" s="1" t="str">
        <f>IF(Table1[[#This Row],[Spec Type2]]="N/A","N/A",IF(AND(Table1[[#This Row],[DUT Adj Read]]&gt;=Table1[[#This Row],[Low Tol]],Table1[[#This Row],[DUT Adj Read]]&lt;=Table1[[#This Row],[High Tol]]),"Pass","Fail"))</f>
        <v>Fail</v>
      </c>
      <c r="AD2283" s="1" t="str">
        <f>IF(AND(Table1[[#This Row],[Spec Type2]]="N/A",Table1[[#This Row],[DUT Adj Read]]="N/A",Table1[[#This Row],[Std Adj Read]]="N/A"),"N/A",IF(Table1[[#This Row],[DUT Adj Read]]="N/A",IF(Table1[[#This Row],[Std Adj Read]]&gt;Table1[[#This Row],[Low Tol]],"Pass","Fail"),IF(Table1[[#This Row],[DUT Adj Read]]&gt;Table1[[#This Row],[Low Tol]],"Pass","Fail")))</f>
        <v>Pass</v>
      </c>
      <c r="AE2283" s="1" t="str">
        <f>IF(AND(Table1[[#This Row],[Spec Type2]]="N/A",Table1[[#This Row],[DUT Adj Read]]="N/A",Table1[[#This Row],[Std Adj Read]]="N/A"),"N/A",IF(Table1[[#This Row],[DUT Adj Read]]="N/A",IF(Table1[[#This Row],[Std Adj Read]]&lt;Table1[[#This Row],[High Tol]],"Pass","Fail"),IF(Table1[[#This Row],[DUT Adj Read]]&lt;Table1[[#This Row],[High Tol]],"Pass","Fail")))</f>
        <v>Fail</v>
      </c>
      <c r="AF2283" s="1" t="str">
        <f>IF(AND(Table1[[#This Row],[Spec Type2]]="N/A",Table1[[#This Row],[DUT Adj Read]]="N/A",Table1[[#This Row],[Std Adj Read]]="N/A"),"N/A",IF(Table1[[#This Row],[DUT Adj Read]]="N/A",IF(Table1[[#This Row],[Std Adj Read]]&gt;=Table1[[#This Row],[Low Tol]],"Pass","Fail"),IF(Table1[[#This Row],[DUT Adj Read]]&gt;=Table1[[#This Row],[Low Tol]],"Pass","Fail")))</f>
        <v>Pass</v>
      </c>
      <c r="AG2283" s="1" t="str">
        <f>IF(AND(Table1[[#This Row],[Spec Type2]]="N/A",Table1[[#This Row],[DUT Adj Read]]="N/A",Table1[[#This Row],[Std Adj Read]]="N/A"),"N/A",IF(Table1[[#This Row],[DUT Adj Read]]="N/A",IF(Table1[[#This Row],[Std Adj Read]]&lt;=Table1[[#This Row],[High Tol]],"Pass","Fail"),IF(Table1[[#This Row],[DUT Adj Read]]&lt;=Table1[[#This Row],[High Tol]],"Pass","Fail")))</f>
        <v>Fail</v>
      </c>
      <c r="AH22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3" s="1" t="b">
        <v>0</v>
      </c>
      <c r="AN2283" s="1" t="b">
        <v>0</v>
      </c>
      <c r="AO2283" s="1" t="b">
        <v>0</v>
      </c>
    </row>
    <row r="2284" spans="1:41" x14ac:dyDescent="0.25">
      <c r="A2284" s="10"/>
      <c r="B2284" s="10"/>
      <c r="C2284" s="10"/>
      <c r="D2284" s="10"/>
      <c r="E2284" s="10"/>
      <c r="F2284" s="10"/>
      <c r="G2284" s="10"/>
      <c r="H2284" s="10"/>
      <c r="I2284" s="1" t="str">
        <f t="shared" si="105"/>
        <v/>
      </c>
      <c r="J2284" s="1" t="s">
        <v>35</v>
      </c>
      <c r="K2284" s="1" t="str">
        <f t="shared" si="106"/>
        <v/>
      </c>
      <c r="L2284" s="1" t="str">
        <f t="shared" si="107"/>
        <v/>
      </c>
      <c r="M2284" s="1">
        <f>IF(OR(Table1[[#This Row],[Std Nom]]="",Table1[[#This Row],[Std Read]]=""),0,Table1[[#This Row],[Std Nom]]-Table1[[#This Row],[Std Read]])</f>
        <v>0</v>
      </c>
      <c r="N2284" s="1">
        <f>IF(Calculations!$F$5="ACCREDITED 17025 WITH UNCERTAINTIES",$N$10,0)</f>
        <v>0</v>
      </c>
      <c r="O2284" s="1" t="str">
        <f>IFERROR(Table1[[#This Row],[Std Nom]]-(_xlfn.XLOOKUP(Table1[[#This Row],[Manufacturer]]&amp;" "&amp;Table1[[#This Row],[Model]],Table13[MFR &amp; MDL],Table13[Tolerance % CW ],"")/100*Table1[[#This Row],[Std Nom]]),"")</f>
        <v/>
      </c>
      <c r="P2284" s="1" t="str">
        <f>IFERROR(Table1[[#This Row],[Std Nom]]+(_xlfn.XLOOKUP(Table1[[#This Row],[Manufacturer]]&amp;" "&amp;Table1[[#This Row],[Model]],Table13[MFR &amp; MDL],Table13[Tolerance % CW ],"")/100*Table1[[#This Row],[Std Nom]]),"")</f>
        <v/>
      </c>
      <c r="Q2284" s="1" t="e">
        <f>Table1[[#This Row],[High Tol]]-Table1[[#This Row],[Low Tol]]</f>
        <v>#VALUE!</v>
      </c>
      <c r="R2284" s="1">
        <f>2*Table1[[#This Row],[Std Error]]</f>
        <v>0</v>
      </c>
      <c r="S2284" s="1" t="str">
        <f>IF(Table1[[#This Row],[High Tol]]="","N/A",IFERROR(ABS(Table1[[#This Row],[Tol Span]]/Table1[[#This Row],[Error Span]]),"N/A"))</f>
        <v>N/A</v>
      </c>
      <c r="T2284" s="1" t="str">
        <f>IF(OR(Table1[[#This Row],[Low Tol]]="",Table1[[#This Row],[High Tol]]=""),"Needs Analysis",IF(Table1[[#This Row],[Ratio]]&gt;=4,"Not Significant",IF(Table1[[#This Row],[Ratio]]&gt;=2,"Semi-Significant","Significant")))</f>
        <v>Needs Analysis</v>
      </c>
      <c r="W2284" s="1">
        <f>IF(Table1[[#This Row],[Cal Type]]&lt;&gt;"ACCREDITED 17025 WITH UNCERTAINTIES",0,"")</f>
        <v>0</v>
      </c>
      <c r="X2284" s="1" t="str">
        <f>IF(Table1[[#This Row],[DUT Read]]="","N/A",Table1[[#This Row],[Std Error]]+Table1[[#This Row],[DUT Read]]+Table1[[#This Row],[DUT Ucty]])</f>
        <v>N/A</v>
      </c>
      <c r="Y2284" s="1" t="str">
        <f>IF(Table1[[#This Row],[Std Read]]="","N/A",Table1[[#This Row],[Std Read]]+Table1[[#This Row],[Std Ucty]])</f>
        <v>N/A</v>
      </c>
      <c r="Z22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4" s="1" t="str">
        <f>IF(Table1[[#This Row],[Spec Type]]="","N/A",Table1[[#This Row],[Spec Type]])</f>
        <v>±</v>
      </c>
      <c r="AC2284" s="1" t="str">
        <f>IF(Table1[[#This Row],[Spec Type2]]="N/A","N/A",IF(AND(Table1[[#This Row],[DUT Adj Read]]&gt;=Table1[[#This Row],[Low Tol]],Table1[[#This Row],[DUT Adj Read]]&lt;=Table1[[#This Row],[High Tol]]),"Pass","Fail"))</f>
        <v>Fail</v>
      </c>
      <c r="AD2284" s="1" t="str">
        <f>IF(AND(Table1[[#This Row],[Spec Type2]]="N/A",Table1[[#This Row],[DUT Adj Read]]="N/A",Table1[[#This Row],[Std Adj Read]]="N/A"),"N/A",IF(Table1[[#This Row],[DUT Adj Read]]="N/A",IF(Table1[[#This Row],[Std Adj Read]]&gt;Table1[[#This Row],[Low Tol]],"Pass","Fail"),IF(Table1[[#This Row],[DUT Adj Read]]&gt;Table1[[#This Row],[Low Tol]],"Pass","Fail")))</f>
        <v>Pass</v>
      </c>
      <c r="AE2284" s="1" t="str">
        <f>IF(AND(Table1[[#This Row],[Spec Type2]]="N/A",Table1[[#This Row],[DUT Adj Read]]="N/A",Table1[[#This Row],[Std Adj Read]]="N/A"),"N/A",IF(Table1[[#This Row],[DUT Adj Read]]="N/A",IF(Table1[[#This Row],[Std Adj Read]]&lt;Table1[[#This Row],[High Tol]],"Pass","Fail"),IF(Table1[[#This Row],[DUT Adj Read]]&lt;Table1[[#This Row],[High Tol]],"Pass","Fail")))</f>
        <v>Fail</v>
      </c>
      <c r="AF2284" s="1" t="str">
        <f>IF(AND(Table1[[#This Row],[Spec Type2]]="N/A",Table1[[#This Row],[DUT Adj Read]]="N/A",Table1[[#This Row],[Std Adj Read]]="N/A"),"N/A",IF(Table1[[#This Row],[DUT Adj Read]]="N/A",IF(Table1[[#This Row],[Std Adj Read]]&gt;=Table1[[#This Row],[Low Tol]],"Pass","Fail"),IF(Table1[[#This Row],[DUT Adj Read]]&gt;=Table1[[#This Row],[Low Tol]],"Pass","Fail")))</f>
        <v>Pass</v>
      </c>
      <c r="AG2284" s="1" t="str">
        <f>IF(AND(Table1[[#This Row],[Spec Type2]]="N/A",Table1[[#This Row],[DUT Adj Read]]="N/A",Table1[[#This Row],[Std Adj Read]]="N/A"),"N/A",IF(Table1[[#This Row],[DUT Adj Read]]="N/A",IF(Table1[[#This Row],[Std Adj Read]]&lt;=Table1[[#This Row],[High Tol]],"Pass","Fail"),IF(Table1[[#This Row],[DUT Adj Read]]&lt;=Table1[[#This Row],[High Tol]],"Pass","Fail")))</f>
        <v>Fail</v>
      </c>
      <c r="AH22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4" s="1" t="b">
        <v>0</v>
      </c>
      <c r="AN2284" s="1" t="b">
        <v>0</v>
      </c>
      <c r="AO2284" s="1" t="b">
        <v>0</v>
      </c>
    </row>
    <row r="2285" spans="1:41" x14ac:dyDescent="0.25">
      <c r="A2285" s="10"/>
      <c r="B2285" s="10"/>
      <c r="C2285" s="10"/>
      <c r="D2285" s="10"/>
      <c r="E2285" s="10"/>
      <c r="F2285" s="10"/>
      <c r="G2285" s="10"/>
      <c r="H2285" s="10"/>
      <c r="I2285" s="1" t="str">
        <f t="shared" si="105"/>
        <v/>
      </c>
      <c r="J2285" s="1" t="s">
        <v>35</v>
      </c>
      <c r="K2285" s="1" t="str">
        <f t="shared" si="106"/>
        <v/>
      </c>
      <c r="L2285" s="1" t="str">
        <f t="shared" si="107"/>
        <v/>
      </c>
      <c r="M2285" s="1">
        <f>IF(OR(Table1[[#This Row],[Std Nom]]="",Table1[[#This Row],[Std Read]]=""),0,Table1[[#This Row],[Std Nom]]-Table1[[#This Row],[Std Read]])</f>
        <v>0</v>
      </c>
      <c r="N2285" s="1">
        <f>IF(Calculations!$F$5="ACCREDITED 17025 WITH UNCERTAINTIES",$N$10,0)</f>
        <v>0</v>
      </c>
      <c r="O2285" s="1" t="str">
        <f>IFERROR(Table1[[#This Row],[Std Nom]]-(_xlfn.XLOOKUP(Table1[[#This Row],[Manufacturer]]&amp;" "&amp;Table1[[#This Row],[Model]],Table13[MFR &amp; MDL],Table13[Tolerance % CW ],"")/100*Table1[[#This Row],[Std Nom]]),"")</f>
        <v/>
      </c>
      <c r="P2285" s="1" t="str">
        <f>IFERROR(Table1[[#This Row],[Std Nom]]+(_xlfn.XLOOKUP(Table1[[#This Row],[Manufacturer]]&amp;" "&amp;Table1[[#This Row],[Model]],Table13[MFR &amp; MDL],Table13[Tolerance % CW ],"")/100*Table1[[#This Row],[Std Nom]]),"")</f>
        <v/>
      </c>
      <c r="Q2285" s="1" t="e">
        <f>Table1[[#This Row],[High Tol]]-Table1[[#This Row],[Low Tol]]</f>
        <v>#VALUE!</v>
      </c>
      <c r="R2285" s="1">
        <f>2*Table1[[#This Row],[Std Error]]</f>
        <v>0</v>
      </c>
      <c r="S2285" s="1" t="str">
        <f>IF(Table1[[#This Row],[High Tol]]="","N/A",IFERROR(ABS(Table1[[#This Row],[Tol Span]]/Table1[[#This Row],[Error Span]]),"N/A"))</f>
        <v>N/A</v>
      </c>
      <c r="T2285" s="1" t="str">
        <f>IF(OR(Table1[[#This Row],[Low Tol]]="",Table1[[#This Row],[High Tol]]=""),"Needs Analysis",IF(Table1[[#This Row],[Ratio]]&gt;=4,"Not Significant",IF(Table1[[#This Row],[Ratio]]&gt;=2,"Semi-Significant","Significant")))</f>
        <v>Needs Analysis</v>
      </c>
      <c r="W2285" s="1">
        <f>IF(Table1[[#This Row],[Cal Type]]&lt;&gt;"ACCREDITED 17025 WITH UNCERTAINTIES",0,"")</f>
        <v>0</v>
      </c>
      <c r="X2285" s="1" t="str">
        <f>IF(Table1[[#This Row],[DUT Read]]="","N/A",Table1[[#This Row],[Std Error]]+Table1[[#This Row],[DUT Read]]+Table1[[#This Row],[DUT Ucty]])</f>
        <v>N/A</v>
      </c>
      <c r="Y2285" s="1" t="str">
        <f>IF(Table1[[#This Row],[Std Read]]="","N/A",Table1[[#This Row],[Std Read]]+Table1[[#This Row],[Std Ucty]])</f>
        <v>N/A</v>
      </c>
      <c r="Z22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5" s="1" t="str">
        <f>IF(Table1[[#This Row],[Spec Type]]="","N/A",Table1[[#This Row],[Spec Type]])</f>
        <v>±</v>
      </c>
      <c r="AC2285" s="1" t="str">
        <f>IF(Table1[[#This Row],[Spec Type2]]="N/A","N/A",IF(AND(Table1[[#This Row],[DUT Adj Read]]&gt;=Table1[[#This Row],[Low Tol]],Table1[[#This Row],[DUT Adj Read]]&lt;=Table1[[#This Row],[High Tol]]),"Pass","Fail"))</f>
        <v>Fail</v>
      </c>
      <c r="AD2285" s="1" t="str">
        <f>IF(AND(Table1[[#This Row],[Spec Type2]]="N/A",Table1[[#This Row],[DUT Adj Read]]="N/A",Table1[[#This Row],[Std Adj Read]]="N/A"),"N/A",IF(Table1[[#This Row],[DUT Adj Read]]="N/A",IF(Table1[[#This Row],[Std Adj Read]]&gt;Table1[[#This Row],[Low Tol]],"Pass","Fail"),IF(Table1[[#This Row],[DUT Adj Read]]&gt;Table1[[#This Row],[Low Tol]],"Pass","Fail")))</f>
        <v>Pass</v>
      </c>
      <c r="AE2285" s="1" t="str">
        <f>IF(AND(Table1[[#This Row],[Spec Type2]]="N/A",Table1[[#This Row],[DUT Adj Read]]="N/A",Table1[[#This Row],[Std Adj Read]]="N/A"),"N/A",IF(Table1[[#This Row],[DUT Adj Read]]="N/A",IF(Table1[[#This Row],[Std Adj Read]]&lt;Table1[[#This Row],[High Tol]],"Pass","Fail"),IF(Table1[[#This Row],[DUT Adj Read]]&lt;Table1[[#This Row],[High Tol]],"Pass","Fail")))</f>
        <v>Fail</v>
      </c>
      <c r="AF2285" s="1" t="str">
        <f>IF(AND(Table1[[#This Row],[Spec Type2]]="N/A",Table1[[#This Row],[DUT Adj Read]]="N/A",Table1[[#This Row],[Std Adj Read]]="N/A"),"N/A",IF(Table1[[#This Row],[DUT Adj Read]]="N/A",IF(Table1[[#This Row],[Std Adj Read]]&gt;=Table1[[#This Row],[Low Tol]],"Pass","Fail"),IF(Table1[[#This Row],[DUT Adj Read]]&gt;=Table1[[#This Row],[Low Tol]],"Pass","Fail")))</f>
        <v>Pass</v>
      </c>
      <c r="AG2285" s="1" t="str">
        <f>IF(AND(Table1[[#This Row],[Spec Type2]]="N/A",Table1[[#This Row],[DUT Adj Read]]="N/A",Table1[[#This Row],[Std Adj Read]]="N/A"),"N/A",IF(Table1[[#This Row],[DUT Adj Read]]="N/A",IF(Table1[[#This Row],[Std Adj Read]]&lt;=Table1[[#This Row],[High Tol]],"Pass","Fail"),IF(Table1[[#This Row],[DUT Adj Read]]&lt;=Table1[[#This Row],[High Tol]],"Pass","Fail")))</f>
        <v>Fail</v>
      </c>
      <c r="AH22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5" s="1" t="b">
        <v>0</v>
      </c>
      <c r="AN2285" s="1" t="b">
        <v>0</v>
      </c>
      <c r="AO2285" s="1" t="b">
        <v>0</v>
      </c>
    </row>
    <row r="2286" spans="1:41" x14ac:dyDescent="0.25">
      <c r="A2286" s="10"/>
      <c r="B2286" s="10"/>
      <c r="C2286" s="10"/>
      <c r="D2286" s="10"/>
      <c r="E2286" s="10"/>
      <c r="F2286" s="10"/>
      <c r="G2286" s="10"/>
      <c r="H2286" s="10"/>
      <c r="I2286" s="1" t="str">
        <f t="shared" si="105"/>
        <v/>
      </c>
      <c r="J2286" s="1" t="s">
        <v>35</v>
      </c>
      <c r="K2286" s="1" t="str">
        <f t="shared" si="106"/>
        <v/>
      </c>
      <c r="L2286" s="1" t="str">
        <f t="shared" si="107"/>
        <v/>
      </c>
      <c r="M2286" s="1">
        <f>IF(OR(Table1[[#This Row],[Std Nom]]="",Table1[[#This Row],[Std Read]]=""),0,Table1[[#This Row],[Std Nom]]-Table1[[#This Row],[Std Read]])</f>
        <v>0</v>
      </c>
      <c r="N2286" s="1">
        <f>IF(Calculations!$F$5="ACCREDITED 17025 WITH UNCERTAINTIES",$N$10,0)</f>
        <v>0</v>
      </c>
      <c r="O2286" s="1" t="str">
        <f>IFERROR(Table1[[#This Row],[Std Nom]]-(_xlfn.XLOOKUP(Table1[[#This Row],[Manufacturer]]&amp;" "&amp;Table1[[#This Row],[Model]],Table13[MFR &amp; MDL],Table13[Tolerance % CW ],"")/100*Table1[[#This Row],[Std Nom]]),"")</f>
        <v/>
      </c>
      <c r="P2286" s="1" t="str">
        <f>IFERROR(Table1[[#This Row],[Std Nom]]+(_xlfn.XLOOKUP(Table1[[#This Row],[Manufacturer]]&amp;" "&amp;Table1[[#This Row],[Model]],Table13[MFR &amp; MDL],Table13[Tolerance % CW ],"")/100*Table1[[#This Row],[Std Nom]]),"")</f>
        <v/>
      </c>
      <c r="Q2286" s="1" t="e">
        <f>Table1[[#This Row],[High Tol]]-Table1[[#This Row],[Low Tol]]</f>
        <v>#VALUE!</v>
      </c>
      <c r="R2286" s="1">
        <f>2*Table1[[#This Row],[Std Error]]</f>
        <v>0</v>
      </c>
      <c r="S2286" s="1" t="str">
        <f>IF(Table1[[#This Row],[High Tol]]="","N/A",IFERROR(ABS(Table1[[#This Row],[Tol Span]]/Table1[[#This Row],[Error Span]]),"N/A"))</f>
        <v>N/A</v>
      </c>
      <c r="T2286" s="1" t="str">
        <f>IF(OR(Table1[[#This Row],[Low Tol]]="",Table1[[#This Row],[High Tol]]=""),"Needs Analysis",IF(Table1[[#This Row],[Ratio]]&gt;=4,"Not Significant",IF(Table1[[#This Row],[Ratio]]&gt;=2,"Semi-Significant","Significant")))</f>
        <v>Needs Analysis</v>
      </c>
      <c r="W2286" s="1">
        <f>IF(Table1[[#This Row],[Cal Type]]&lt;&gt;"ACCREDITED 17025 WITH UNCERTAINTIES",0,"")</f>
        <v>0</v>
      </c>
      <c r="X2286" s="1" t="str">
        <f>IF(Table1[[#This Row],[DUT Read]]="","N/A",Table1[[#This Row],[Std Error]]+Table1[[#This Row],[DUT Read]]+Table1[[#This Row],[DUT Ucty]])</f>
        <v>N/A</v>
      </c>
      <c r="Y2286" s="1" t="str">
        <f>IF(Table1[[#This Row],[Std Read]]="","N/A",Table1[[#This Row],[Std Read]]+Table1[[#This Row],[Std Ucty]])</f>
        <v>N/A</v>
      </c>
      <c r="Z22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6" s="1" t="str">
        <f>IF(Table1[[#This Row],[Spec Type]]="","N/A",Table1[[#This Row],[Spec Type]])</f>
        <v>±</v>
      </c>
      <c r="AC2286" s="1" t="str">
        <f>IF(Table1[[#This Row],[Spec Type2]]="N/A","N/A",IF(AND(Table1[[#This Row],[DUT Adj Read]]&gt;=Table1[[#This Row],[Low Tol]],Table1[[#This Row],[DUT Adj Read]]&lt;=Table1[[#This Row],[High Tol]]),"Pass","Fail"))</f>
        <v>Fail</v>
      </c>
      <c r="AD2286" s="1" t="str">
        <f>IF(AND(Table1[[#This Row],[Spec Type2]]="N/A",Table1[[#This Row],[DUT Adj Read]]="N/A",Table1[[#This Row],[Std Adj Read]]="N/A"),"N/A",IF(Table1[[#This Row],[DUT Adj Read]]="N/A",IF(Table1[[#This Row],[Std Adj Read]]&gt;Table1[[#This Row],[Low Tol]],"Pass","Fail"),IF(Table1[[#This Row],[DUT Adj Read]]&gt;Table1[[#This Row],[Low Tol]],"Pass","Fail")))</f>
        <v>Pass</v>
      </c>
      <c r="AE2286" s="1" t="str">
        <f>IF(AND(Table1[[#This Row],[Spec Type2]]="N/A",Table1[[#This Row],[DUT Adj Read]]="N/A",Table1[[#This Row],[Std Adj Read]]="N/A"),"N/A",IF(Table1[[#This Row],[DUT Adj Read]]="N/A",IF(Table1[[#This Row],[Std Adj Read]]&lt;Table1[[#This Row],[High Tol]],"Pass","Fail"),IF(Table1[[#This Row],[DUT Adj Read]]&lt;Table1[[#This Row],[High Tol]],"Pass","Fail")))</f>
        <v>Fail</v>
      </c>
      <c r="AF2286" s="1" t="str">
        <f>IF(AND(Table1[[#This Row],[Spec Type2]]="N/A",Table1[[#This Row],[DUT Adj Read]]="N/A",Table1[[#This Row],[Std Adj Read]]="N/A"),"N/A",IF(Table1[[#This Row],[DUT Adj Read]]="N/A",IF(Table1[[#This Row],[Std Adj Read]]&gt;=Table1[[#This Row],[Low Tol]],"Pass","Fail"),IF(Table1[[#This Row],[DUT Adj Read]]&gt;=Table1[[#This Row],[Low Tol]],"Pass","Fail")))</f>
        <v>Pass</v>
      </c>
      <c r="AG2286" s="1" t="str">
        <f>IF(AND(Table1[[#This Row],[Spec Type2]]="N/A",Table1[[#This Row],[DUT Adj Read]]="N/A",Table1[[#This Row],[Std Adj Read]]="N/A"),"N/A",IF(Table1[[#This Row],[DUT Adj Read]]="N/A",IF(Table1[[#This Row],[Std Adj Read]]&lt;=Table1[[#This Row],[High Tol]],"Pass","Fail"),IF(Table1[[#This Row],[DUT Adj Read]]&lt;=Table1[[#This Row],[High Tol]],"Pass","Fail")))</f>
        <v>Fail</v>
      </c>
      <c r="AH22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6" s="1" t="b">
        <v>0</v>
      </c>
      <c r="AN2286" s="1" t="b">
        <v>0</v>
      </c>
      <c r="AO2286" s="1" t="b">
        <v>0</v>
      </c>
    </row>
    <row r="2287" spans="1:41" x14ac:dyDescent="0.25">
      <c r="A2287" s="10"/>
      <c r="B2287" s="10"/>
      <c r="C2287" s="10"/>
      <c r="D2287" s="10"/>
      <c r="E2287" s="10"/>
      <c r="F2287" s="10"/>
      <c r="G2287" s="10"/>
      <c r="H2287" s="10"/>
      <c r="I2287" s="1" t="str">
        <f t="shared" si="105"/>
        <v/>
      </c>
      <c r="J2287" s="1" t="s">
        <v>35</v>
      </c>
      <c r="K2287" s="1" t="str">
        <f t="shared" si="106"/>
        <v/>
      </c>
      <c r="L2287" s="1" t="str">
        <f t="shared" si="107"/>
        <v/>
      </c>
      <c r="M2287" s="1">
        <f>IF(OR(Table1[[#This Row],[Std Nom]]="",Table1[[#This Row],[Std Read]]=""),0,Table1[[#This Row],[Std Nom]]-Table1[[#This Row],[Std Read]])</f>
        <v>0</v>
      </c>
      <c r="N2287" s="1">
        <f>IF(Calculations!$F$5="ACCREDITED 17025 WITH UNCERTAINTIES",$N$10,0)</f>
        <v>0</v>
      </c>
      <c r="O2287" s="1" t="str">
        <f>IFERROR(Table1[[#This Row],[Std Nom]]-(_xlfn.XLOOKUP(Table1[[#This Row],[Manufacturer]]&amp;" "&amp;Table1[[#This Row],[Model]],Table13[MFR &amp; MDL],Table13[Tolerance % CW ],"")/100*Table1[[#This Row],[Std Nom]]),"")</f>
        <v/>
      </c>
      <c r="P2287" s="1" t="str">
        <f>IFERROR(Table1[[#This Row],[Std Nom]]+(_xlfn.XLOOKUP(Table1[[#This Row],[Manufacturer]]&amp;" "&amp;Table1[[#This Row],[Model]],Table13[MFR &amp; MDL],Table13[Tolerance % CW ],"")/100*Table1[[#This Row],[Std Nom]]),"")</f>
        <v/>
      </c>
      <c r="Q2287" s="1" t="e">
        <f>Table1[[#This Row],[High Tol]]-Table1[[#This Row],[Low Tol]]</f>
        <v>#VALUE!</v>
      </c>
      <c r="R2287" s="1">
        <f>2*Table1[[#This Row],[Std Error]]</f>
        <v>0</v>
      </c>
      <c r="S2287" s="1" t="str">
        <f>IF(Table1[[#This Row],[High Tol]]="","N/A",IFERROR(ABS(Table1[[#This Row],[Tol Span]]/Table1[[#This Row],[Error Span]]),"N/A"))</f>
        <v>N/A</v>
      </c>
      <c r="T2287" s="1" t="str">
        <f>IF(OR(Table1[[#This Row],[Low Tol]]="",Table1[[#This Row],[High Tol]]=""),"Needs Analysis",IF(Table1[[#This Row],[Ratio]]&gt;=4,"Not Significant",IF(Table1[[#This Row],[Ratio]]&gt;=2,"Semi-Significant","Significant")))</f>
        <v>Needs Analysis</v>
      </c>
      <c r="W2287" s="1">
        <f>IF(Table1[[#This Row],[Cal Type]]&lt;&gt;"ACCREDITED 17025 WITH UNCERTAINTIES",0,"")</f>
        <v>0</v>
      </c>
      <c r="X2287" s="1" t="str">
        <f>IF(Table1[[#This Row],[DUT Read]]="","N/A",Table1[[#This Row],[Std Error]]+Table1[[#This Row],[DUT Read]]+Table1[[#This Row],[DUT Ucty]])</f>
        <v>N/A</v>
      </c>
      <c r="Y2287" s="1" t="str">
        <f>IF(Table1[[#This Row],[Std Read]]="","N/A",Table1[[#This Row],[Std Read]]+Table1[[#This Row],[Std Ucty]])</f>
        <v>N/A</v>
      </c>
      <c r="Z22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7" s="1" t="str">
        <f>IF(Table1[[#This Row],[Spec Type]]="","N/A",Table1[[#This Row],[Spec Type]])</f>
        <v>±</v>
      </c>
      <c r="AC2287" s="1" t="str">
        <f>IF(Table1[[#This Row],[Spec Type2]]="N/A","N/A",IF(AND(Table1[[#This Row],[DUT Adj Read]]&gt;=Table1[[#This Row],[Low Tol]],Table1[[#This Row],[DUT Adj Read]]&lt;=Table1[[#This Row],[High Tol]]),"Pass","Fail"))</f>
        <v>Fail</v>
      </c>
      <c r="AD2287" s="1" t="str">
        <f>IF(AND(Table1[[#This Row],[Spec Type2]]="N/A",Table1[[#This Row],[DUT Adj Read]]="N/A",Table1[[#This Row],[Std Adj Read]]="N/A"),"N/A",IF(Table1[[#This Row],[DUT Adj Read]]="N/A",IF(Table1[[#This Row],[Std Adj Read]]&gt;Table1[[#This Row],[Low Tol]],"Pass","Fail"),IF(Table1[[#This Row],[DUT Adj Read]]&gt;Table1[[#This Row],[Low Tol]],"Pass","Fail")))</f>
        <v>Pass</v>
      </c>
      <c r="AE2287" s="1" t="str">
        <f>IF(AND(Table1[[#This Row],[Spec Type2]]="N/A",Table1[[#This Row],[DUT Adj Read]]="N/A",Table1[[#This Row],[Std Adj Read]]="N/A"),"N/A",IF(Table1[[#This Row],[DUT Adj Read]]="N/A",IF(Table1[[#This Row],[Std Adj Read]]&lt;Table1[[#This Row],[High Tol]],"Pass","Fail"),IF(Table1[[#This Row],[DUT Adj Read]]&lt;Table1[[#This Row],[High Tol]],"Pass","Fail")))</f>
        <v>Fail</v>
      </c>
      <c r="AF2287" s="1" t="str">
        <f>IF(AND(Table1[[#This Row],[Spec Type2]]="N/A",Table1[[#This Row],[DUT Adj Read]]="N/A",Table1[[#This Row],[Std Adj Read]]="N/A"),"N/A",IF(Table1[[#This Row],[DUT Adj Read]]="N/A",IF(Table1[[#This Row],[Std Adj Read]]&gt;=Table1[[#This Row],[Low Tol]],"Pass","Fail"),IF(Table1[[#This Row],[DUT Adj Read]]&gt;=Table1[[#This Row],[Low Tol]],"Pass","Fail")))</f>
        <v>Pass</v>
      </c>
      <c r="AG2287" s="1" t="str">
        <f>IF(AND(Table1[[#This Row],[Spec Type2]]="N/A",Table1[[#This Row],[DUT Adj Read]]="N/A",Table1[[#This Row],[Std Adj Read]]="N/A"),"N/A",IF(Table1[[#This Row],[DUT Adj Read]]="N/A",IF(Table1[[#This Row],[Std Adj Read]]&lt;=Table1[[#This Row],[High Tol]],"Pass","Fail"),IF(Table1[[#This Row],[DUT Adj Read]]&lt;=Table1[[#This Row],[High Tol]],"Pass","Fail")))</f>
        <v>Fail</v>
      </c>
      <c r="AH22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7" s="1" t="b">
        <v>0</v>
      </c>
      <c r="AN2287" s="1" t="b">
        <v>0</v>
      </c>
      <c r="AO2287" s="1" t="b">
        <v>0</v>
      </c>
    </row>
    <row r="2288" spans="1:41" x14ac:dyDescent="0.25">
      <c r="A2288" s="10"/>
      <c r="B2288" s="10"/>
      <c r="C2288" s="10"/>
      <c r="D2288" s="10"/>
      <c r="E2288" s="10"/>
      <c r="F2288" s="10"/>
      <c r="G2288" s="10"/>
      <c r="H2288" s="10"/>
      <c r="I2288" s="1" t="str">
        <f t="shared" si="105"/>
        <v/>
      </c>
      <c r="J2288" s="1" t="s">
        <v>35</v>
      </c>
      <c r="K2288" s="1" t="str">
        <f t="shared" si="106"/>
        <v/>
      </c>
      <c r="L2288" s="1" t="str">
        <f t="shared" si="107"/>
        <v/>
      </c>
      <c r="M2288" s="1">
        <f>IF(OR(Table1[[#This Row],[Std Nom]]="",Table1[[#This Row],[Std Read]]=""),0,Table1[[#This Row],[Std Nom]]-Table1[[#This Row],[Std Read]])</f>
        <v>0</v>
      </c>
      <c r="N2288" s="1">
        <f>IF(Calculations!$F$5="ACCREDITED 17025 WITH UNCERTAINTIES",$N$10,0)</f>
        <v>0</v>
      </c>
      <c r="O2288" s="1" t="str">
        <f>IFERROR(Table1[[#This Row],[Std Nom]]-(_xlfn.XLOOKUP(Table1[[#This Row],[Manufacturer]]&amp;" "&amp;Table1[[#This Row],[Model]],Table13[MFR &amp; MDL],Table13[Tolerance % CW ],"")/100*Table1[[#This Row],[Std Nom]]),"")</f>
        <v/>
      </c>
      <c r="P2288" s="1" t="str">
        <f>IFERROR(Table1[[#This Row],[Std Nom]]+(_xlfn.XLOOKUP(Table1[[#This Row],[Manufacturer]]&amp;" "&amp;Table1[[#This Row],[Model]],Table13[MFR &amp; MDL],Table13[Tolerance % CW ],"")/100*Table1[[#This Row],[Std Nom]]),"")</f>
        <v/>
      </c>
      <c r="Q2288" s="1" t="e">
        <f>Table1[[#This Row],[High Tol]]-Table1[[#This Row],[Low Tol]]</f>
        <v>#VALUE!</v>
      </c>
      <c r="R2288" s="1">
        <f>2*Table1[[#This Row],[Std Error]]</f>
        <v>0</v>
      </c>
      <c r="S2288" s="1" t="str">
        <f>IF(Table1[[#This Row],[High Tol]]="","N/A",IFERROR(ABS(Table1[[#This Row],[Tol Span]]/Table1[[#This Row],[Error Span]]),"N/A"))</f>
        <v>N/A</v>
      </c>
      <c r="T2288" s="1" t="str">
        <f>IF(OR(Table1[[#This Row],[Low Tol]]="",Table1[[#This Row],[High Tol]]=""),"Needs Analysis",IF(Table1[[#This Row],[Ratio]]&gt;=4,"Not Significant",IF(Table1[[#This Row],[Ratio]]&gt;=2,"Semi-Significant","Significant")))</f>
        <v>Needs Analysis</v>
      </c>
      <c r="W2288" s="1">
        <f>IF(Table1[[#This Row],[Cal Type]]&lt;&gt;"ACCREDITED 17025 WITH UNCERTAINTIES",0,"")</f>
        <v>0</v>
      </c>
      <c r="X2288" s="1" t="str">
        <f>IF(Table1[[#This Row],[DUT Read]]="","N/A",Table1[[#This Row],[Std Error]]+Table1[[#This Row],[DUT Read]]+Table1[[#This Row],[DUT Ucty]])</f>
        <v>N/A</v>
      </c>
      <c r="Y2288" s="1" t="str">
        <f>IF(Table1[[#This Row],[Std Read]]="","N/A",Table1[[#This Row],[Std Read]]+Table1[[#This Row],[Std Ucty]])</f>
        <v>N/A</v>
      </c>
      <c r="Z22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8" s="1" t="str">
        <f>IF(Table1[[#This Row],[Spec Type]]="","N/A",Table1[[#This Row],[Spec Type]])</f>
        <v>±</v>
      </c>
      <c r="AC2288" s="1" t="str">
        <f>IF(Table1[[#This Row],[Spec Type2]]="N/A","N/A",IF(AND(Table1[[#This Row],[DUT Adj Read]]&gt;=Table1[[#This Row],[Low Tol]],Table1[[#This Row],[DUT Adj Read]]&lt;=Table1[[#This Row],[High Tol]]),"Pass","Fail"))</f>
        <v>Fail</v>
      </c>
      <c r="AD2288" s="1" t="str">
        <f>IF(AND(Table1[[#This Row],[Spec Type2]]="N/A",Table1[[#This Row],[DUT Adj Read]]="N/A",Table1[[#This Row],[Std Adj Read]]="N/A"),"N/A",IF(Table1[[#This Row],[DUT Adj Read]]="N/A",IF(Table1[[#This Row],[Std Adj Read]]&gt;Table1[[#This Row],[Low Tol]],"Pass","Fail"),IF(Table1[[#This Row],[DUT Adj Read]]&gt;Table1[[#This Row],[Low Tol]],"Pass","Fail")))</f>
        <v>Pass</v>
      </c>
      <c r="AE2288" s="1" t="str">
        <f>IF(AND(Table1[[#This Row],[Spec Type2]]="N/A",Table1[[#This Row],[DUT Adj Read]]="N/A",Table1[[#This Row],[Std Adj Read]]="N/A"),"N/A",IF(Table1[[#This Row],[DUT Adj Read]]="N/A",IF(Table1[[#This Row],[Std Adj Read]]&lt;Table1[[#This Row],[High Tol]],"Pass","Fail"),IF(Table1[[#This Row],[DUT Adj Read]]&lt;Table1[[#This Row],[High Tol]],"Pass","Fail")))</f>
        <v>Fail</v>
      </c>
      <c r="AF2288" s="1" t="str">
        <f>IF(AND(Table1[[#This Row],[Spec Type2]]="N/A",Table1[[#This Row],[DUT Adj Read]]="N/A",Table1[[#This Row],[Std Adj Read]]="N/A"),"N/A",IF(Table1[[#This Row],[DUT Adj Read]]="N/A",IF(Table1[[#This Row],[Std Adj Read]]&gt;=Table1[[#This Row],[Low Tol]],"Pass","Fail"),IF(Table1[[#This Row],[DUT Adj Read]]&gt;=Table1[[#This Row],[Low Tol]],"Pass","Fail")))</f>
        <v>Pass</v>
      </c>
      <c r="AG2288" s="1" t="str">
        <f>IF(AND(Table1[[#This Row],[Spec Type2]]="N/A",Table1[[#This Row],[DUT Adj Read]]="N/A",Table1[[#This Row],[Std Adj Read]]="N/A"),"N/A",IF(Table1[[#This Row],[DUT Adj Read]]="N/A",IF(Table1[[#This Row],[Std Adj Read]]&lt;=Table1[[#This Row],[High Tol]],"Pass","Fail"),IF(Table1[[#This Row],[DUT Adj Read]]&lt;=Table1[[#This Row],[High Tol]],"Pass","Fail")))</f>
        <v>Fail</v>
      </c>
      <c r="AH22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8" s="1" t="b">
        <v>0</v>
      </c>
      <c r="AN2288" s="1" t="b">
        <v>0</v>
      </c>
      <c r="AO2288" s="1" t="b">
        <v>0</v>
      </c>
    </row>
    <row r="2289" spans="1:41" x14ac:dyDescent="0.25">
      <c r="A2289" s="10"/>
      <c r="B2289" s="10"/>
      <c r="C2289" s="10"/>
      <c r="D2289" s="10"/>
      <c r="E2289" s="10"/>
      <c r="F2289" s="10"/>
      <c r="G2289" s="10"/>
      <c r="H2289" s="10"/>
      <c r="I2289" s="1" t="str">
        <f t="shared" si="105"/>
        <v/>
      </c>
      <c r="J2289" s="1" t="s">
        <v>35</v>
      </c>
      <c r="K2289" s="1" t="str">
        <f t="shared" si="106"/>
        <v/>
      </c>
      <c r="L2289" s="1" t="str">
        <f t="shared" si="107"/>
        <v/>
      </c>
      <c r="M2289" s="1">
        <f>IF(OR(Table1[[#This Row],[Std Nom]]="",Table1[[#This Row],[Std Read]]=""),0,Table1[[#This Row],[Std Nom]]-Table1[[#This Row],[Std Read]])</f>
        <v>0</v>
      </c>
      <c r="N2289" s="1">
        <f>IF(Calculations!$F$5="ACCREDITED 17025 WITH UNCERTAINTIES",$N$10,0)</f>
        <v>0</v>
      </c>
      <c r="O2289" s="1" t="str">
        <f>IFERROR(Table1[[#This Row],[Std Nom]]-(_xlfn.XLOOKUP(Table1[[#This Row],[Manufacturer]]&amp;" "&amp;Table1[[#This Row],[Model]],Table13[MFR &amp; MDL],Table13[Tolerance % CW ],"")/100*Table1[[#This Row],[Std Nom]]),"")</f>
        <v/>
      </c>
      <c r="P2289" s="1" t="str">
        <f>IFERROR(Table1[[#This Row],[Std Nom]]+(_xlfn.XLOOKUP(Table1[[#This Row],[Manufacturer]]&amp;" "&amp;Table1[[#This Row],[Model]],Table13[MFR &amp; MDL],Table13[Tolerance % CW ],"")/100*Table1[[#This Row],[Std Nom]]),"")</f>
        <v/>
      </c>
      <c r="Q2289" s="1" t="e">
        <f>Table1[[#This Row],[High Tol]]-Table1[[#This Row],[Low Tol]]</f>
        <v>#VALUE!</v>
      </c>
      <c r="R2289" s="1">
        <f>2*Table1[[#This Row],[Std Error]]</f>
        <v>0</v>
      </c>
      <c r="S2289" s="1" t="str">
        <f>IF(Table1[[#This Row],[High Tol]]="","N/A",IFERROR(ABS(Table1[[#This Row],[Tol Span]]/Table1[[#This Row],[Error Span]]),"N/A"))</f>
        <v>N/A</v>
      </c>
      <c r="T2289" s="1" t="str">
        <f>IF(OR(Table1[[#This Row],[Low Tol]]="",Table1[[#This Row],[High Tol]]=""),"Needs Analysis",IF(Table1[[#This Row],[Ratio]]&gt;=4,"Not Significant",IF(Table1[[#This Row],[Ratio]]&gt;=2,"Semi-Significant","Significant")))</f>
        <v>Needs Analysis</v>
      </c>
      <c r="W2289" s="1">
        <f>IF(Table1[[#This Row],[Cal Type]]&lt;&gt;"ACCREDITED 17025 WITH UNCERTAINTIES",0,"")</f>
        <v>0</v>
      </c>
      <c r="X2289" s="1" t="str">
        <f>IF(Table1[[#This Row],[DUT Read]]="","N/A",Table1[[#This Row],[Std Error]]+Table1[[#This Row],[DUT Read]]+Table1[[#This Row],[DUT Ucty]])</f>
        <v>N/A</v>
      </c>
      <c r="Y2289" s="1" t="str">
        <f>IF(Table1[[#This Row],[Std Read]]="","N/A",Table1[[#This Row],[Std Read]]+Table1[[#This Row],[Std Ucty]])</f>
        <v>N/A</v>
      </c>
      <c r="Z22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9" s="1" t="str">
        <f>IF(Table1[[#This Row],[Spec Type]]="","N/A",Table1[[#This Row],[Spec Type]])</f>
        <v>±</v>
      </c>
      <c r="AC2289" s="1" t="str">
        <f>IF(Table1[[#This Row],[Spec Type2]]="N/A","N/A",IF(AND(Table1[[#This Row],[DUT Adj Read]]&gt;=Table1[[#This Row],[Low Tol]],Table1[[#This Row],[DUT Adj Read]]&lt;=Table1[[#This Row],[High Tol]]),"Pass","Fail"))</f>
        <v>Fail</v>
      </c>
      <c r="AD2289" s="1" t="str">
        <f>IF(AND(Table1[[#This Row],[Spec Type2]]="N/A",Table1[[#This Row],[DUT Adj Read]]="N/A",Table1[[#This Row],[Std Adj Read]]="N/A"),"N/A",IF(Table1[[#This Row],[DUT Adj Read]]="N/A",IF(Table1[[#This Row],[Std Adj Read]]&gt;Table1[[#This Row],[Low Tol]],"Pass","Fail"),IF(Table1[[#This Row],[DUT Adj Read]]&gt;Table1[[#This Row],[Low Tol]],"Pass","Fail")))</f>
        <v>Pass</v>
      </c>
      <c r="AE2289" s="1" t="str">
        <f>IF(AND(Table1[[#This Row],[Spec Type2]]="N/A",Table1[[#This Row],[DUT Adj Read]]="N/A",Table1[[#This Row],[Std Adj Read]]="N/A"),"N/A",IF(Table1[[#This Row],[DUT Adj Read]]="N/A",IF(Table1[[#This Row],[Std Adj Read]]&lt;Table1[[#This Row],[High Tol]],"Pass","Fail"),IF(Table1[[#This Row],[DUT Adj Read]]&lt;Table1[[#This Row],[High Tol]],"Pass","Fail")))</f>
        <v>Fail</v>
      </c>
      <c r="AF2289" s="1" t="str">
        <f>IF(AND(Table1[[#This Row],[Spec Type2]]="N/A",Table1[[#This Row],[DUT Adj Read]]="N/A",Table1[[#This Row],[Std Adj Read]]="N/A"),"N/A",IF(Table1[[#This Row],[DUT Adj Read]]="N/A",IF(Table1[[#This Row],[Std Adj Read]]&gt;=Table1[[#This Row],[Low Tol]],"Pass","Fail"),IF(Table1[[#This Row],[DUT Adj Read]]&gt;=Table1[[#This Row],[Low Tol]],"Pass","Fail")))</f>
        <v>Pass</v>
      </c>
      <c r="AG2289" s="1" t="str">
        <f>IF(AND(Table1[[#This Row],[Spec Type2]]="N/A",Table1[[#This Row],[DUT Adj Read]]="N/A",Table1[[#This Row],[Std Adj Read]]="N/A"),"N/A",IF(Table1[[#This Row],[DUT Adj Read]]="N/A",IF(Table1[[#This Row],[Std Adj Read]]&lt;=Table1[[#This Row],[High Tol]],"Pass","Fail"),IF(Table1[[#This Row],[DUT Adj Read]]&lt;=Table1[[#This Row],[High Tol]],"Pass","Fail")))</f>
        <v>Fail</v>
      </c>
      <c r="AH22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9" s="1" t="b">
        <v>0</v>
      </c>
      <c r="AN2289" s="1" t="b">
        <v>0</v>
      </c>
      <c r="AO2289" s="1" t="b">
        <v>0</v>
      </c>
    </row>
    <row r="2290" spans="1:41" x14ac:dyDescent="0.25">
      <c r="A2290" s="10"/>
      <c r="B2290" s="10"/>
      <c r="C2290" s="10"/>
      <c r="D2290" s="10"/>
      <c r="E2290" s="10"/>
      <c r="F2290" s="10"/>
      <c r="G2290" s="10"/>
      <c r="H2290" s="10"/>
      <c r="I2290" s="1" t="str">
        <f t="shared" si="105"/>
        <v/>
      </c>
      <c r="J2290" s="1" t="s">
        <v>35</v>
      </c>
      <c r="K2290" s="1" t="str">
        <f t="shared" si="106"/>
        <v/>
      </c>
      <c r="L2290" s="1" t="str">
        <f t="shared" si="107"/>
        <v/>
      </c>
      <c r="M2290" s="1">
        <f>IF(OR(Table1[[#This Row],[Std Nom]]="",Table1[[#This Row],[Std Read]]=""),0,Table1[[#This Row],[Std Nom]]-Table1[[#This Row],[Std Read]])</f>
        <v>0</v>
      </c>
      <c r="N2290" s="1">
        <f>IF(Calculations!$F$5="ACCREDITED 17025 WITH UNCERTAINTIES",$N$10,0)</f>
        <v>0</v>
      </c>
      <c r="O2290" s="1" t="str">
        <f>IFERROR(Table1[[#This Row],[Std Nom]]-(_xlfn.XLOOKUP(Table1[[#This Row],[Manufacturer]]&amp;" "&amp;Table1[[#This Row],[Model]],Table13[MFR &amp; MDL],Table13[Tolerance % CW ],"")/100*Table1[[#This Row],[Std Nom]]),"")</f>
        <v/>
      </c>
      <c r="P2290" s="1" t="str">
        <f>IFERROR(Table1[[#This Row],[Std Nom]]+(_xlfn.XLOOKUP(Table1[[#This Row],[Manufacturer]]&amp;" "&amp;Table1[[#This Row],[Model]],Table13[MFR &amp; MDL],Table13[Tolerance % CW ],"")/100*Table1[[#This Row],[Std Nom]]),"")</f>
        <v/>
      </c>
      <c r="Q2290" s="1" t="e">
        <f>Table1[[#This Row],[High Tol]]-Table1[[#This Row],[Low Tol]]</f>
        <v>#VALUE!</v>
      </c>
      <c r="R2290" s="1">
        <f>2*Table1[[#This Row],[Std Error]]</f>
        <v>0</v>
      </c>
      <c r="S2290" s="1" t="str">
        <f>IF(Table1[[#This Row],[High Tol]]="","N/A",IFERROR(ABS(Table1[[#This Row],[Tol Span]]/Table1[[#This Row],[Error Span]]),"N/A"))</f>
        <v>N/A</v>
      </c>
      <c r="T2290" s="1" t="str">
        <f>IF(OR(Table1[[#This Row],[Low Tol]]="",Table1[[#This Row],[High Tol]]=""),"Needs Analysis",IF(Table1[[#This Row],[Ratio]]&gt;=4,"Not Significant",IF(Table1[[#This Row],[Ratio]]&gt;=2,"Semi-Significant","Significant")))</f>
        <v>Needs Analysis</v>
      </c>
      <c r="W2290" s="1">
        <f>IF(Table1[[#This Row],[Cal Type]]&lt;&gt;"ACCREDITED 17025 WITH UNCERTAINTIES",0,"")</f>
        <v>0</v>
      </c>
      <c r="X2290" s="1" t="str">
        <f>IF(Table1[[#This Row],[DUT Read]]="","N/A",Table1[[#This Row],[Std Error]]+Table1[[#This Row],[DUT Read]]+Table1[[#This Row],[DUT Ucty]])</f>
        <v>N/A</v>
      </c>
      <c r="Y2290" s="1" t="str">
        <f>IF(Table1[[#This Row],[Std Read]]="","N/A",Table1[[#This Row],[Std Read]]+Table1[[#This Row],[Std Ucty]])</f>
        <v>N/A</v>
      </c>
      <c r="Z22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0" s="1" t="str">
        <f>IF(Table1[[#This Row],[Spec Type]]="","N/A",Table1[[#This Row],[Spec Type]])</f>
        <v>±</v>
      </c>
      <c r="AC2290" s="1" t="str">
        <f>IF(Table1[[#This Row],[Spec Type2]]="N/A","N/A",IF(AND(Table1[[#This Row],[DUT Adj Read]]&gt;=Table1[[#This Row],[Low Tol]],Table1[[#This Row],[DUT Adj Read]]&lt;=Table1[[#This Row],[High Tol]]),"Pass","Fail"))</f>
        <v>Fail</v>
      </c>
      <c r="AD2290" s="1" t="str">
        <f>IF(AND(Table1[[#This Row],[Spec Type2]]="N/A",Table1[[#This Row],[DUT Adj Read]]="N/A",Table1[[#This Row],[Std Adj Read]]="N/A"),"N/A",IF(Table1[[#This Row],[DUT Adj Read]]="N/A",IF(Table1[[#This Row],[Std Adj Read]]&gt;Table1[[#This Row],[Low Tol]],"Pass","Fail"),IF(Table1[[#This Row],[DUT Adj Read]]&gt;Table1[[#This Row],[Low Tol]],"Pass","Fail")))</f>
        <v>Pass</v>
      </c>
      <c r="AE2290" s="1" t="str">
        <f>IF(AND(Table1[[#This Row],[Spec Type2]]="N/A",Table1[[#This Row],[DUT Adj Read]]="N/A",Table1[[#This Row],[Std Adj Read]]="N/A"),"N/A",IF(Table1[[#This Row],[DUT Adj Read]]="N/A",IF(Table1[[#This Row],[Std Adj Read]]&lt;Table1[[#This Row],[High Tol]],"Pass","Fail"),IF(Table1[[#This Row],[DUT Adj Read]]&lt;Table1[[#This Row],[High Tol]],"Pass","Fail")))</f>
        <v>Fail</v>
      </c>
      <c r="AF2290" s="1" t="str">
        <f>IF(AND(Table1[[#This Row],[Spec Type2]]="N/A",Table1[[#This Row],[DUT Adj Read]]="N/A",Table1[[#This Row],[Std Adj Read]]="N/A"),"N/A",IF(Table1[[#This Row],[DUT Adj Read]]="N/A",IF(Table1[[#This Row],[Std Adj Read]]&gt;=Table1[[#This Row],[Low Tol]],"Pass","Fail"),IF(Table1[[#This Row],[DUT Adj Read]]&gt;=Table1[[#This Row],[Low Tol]],"Pass","Fail")))</f>
        <v>Pass</v>
      </c>
      <c r="AG2290" s="1" t="str">
        <f>IF(AND(Table1[[#This Row],[Spec Type2]]="N/A",Table1[[#This Row],[DUT Adj Read]]="N/A",Table1[[#This Row],[Std Adj Read]]="N/A"),"N/A",IF(Table1[[#This Row],[DUT Adj Read]]="N/A",IF(Table1[[#This Row],[Std Adj Read]]&lt;=Table1[[#This Row],[High Tol]],"Pass","Fail"),IF(Table1[[#This Row],[DUT Adj Read]]&lt;=Table1[[#This Row],[High Tol]],"Pass","Fail")))</f>
        <v>Fail</v>
      </c>
      <c r="AH22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0" s="1" t="b">
        <v>0</v>
      </c>
      <c r="AN2290" s="1" t="b">
        <v>0</v>
      </c>
      <c r="AO2290" s="1" t="b">
        <v>0</v>
      </c>
    </row>
    <row r="2291" spans="1:41" x14ac:dyDescent="0.25">
      <c r="A2291" s="10"/>
      <c r="B2291" s="10"/>
      <c r="C2291" s="10"/>
      <c r="D2291" s="10"/>
      <c r="E2291" s="10"/>
      <c r="F2291" s="10"/>
      <c r="G2291" s="10"/>
      <c r="H2291" s="10"/>
      <c r="I2291" s="1" t="str">
        <f t="shared" si="105"/>
        <v/>
      </c>
      <c r="J2291" s="1" t="s">
        <v>35</v>
      </c>
      <c r="K2291" s="1" t="str">
        <f t="shared" si="106"/>
        <v/>
      </c>
      <c r="L2291" s="1" t="str">
        <f t="shared" si="107"/>
        <v/>
      </c>
      <c r="M2291" s="1">
        <f>IF(OR(Table1[[#This Row],[Std Nom]]="",Table1[[#This Row],[Std Read]]=""),0,Table1[[#This Row],[Std Nom]]-Table1[[#This Row],[Std Read]])</f>
        <v>0</v>
      </c>
      <c r="N2291" s="1">
        <f>IF(Calculations!$F$5="ACCREDITED 17025 WITH UNCERTAINTIES",$N$10,0)</f>
        <v>0</v>
      </c>
      <c r="O2291" s="1" t="str">
        <f>IFERROR(Table1[[#This Row],[Std Nom]]-(_xlfn.XLOOKUP(Table1[[#This Row],[Manufacturer]]&amp;" "&amp;Table1[[#This Row],[Model]],Table13[MFR &amp; MDL],Table13[Tolerance % CW ],"")/100*Table1[[#This Row],[Std Nom]]),"")</f>
        <v/>
      </c>
      <c r="P2291" s="1" t="str">
        <f>IFERROR(Table1[[#This Row],[Std Nom]]+(_xlfn.XLOOKUP(Table1[[#This Row],[Manufacturer]]&amp;" "&amp;Table1[[#This Row],[Model]],Table13[MFR &amp; MDL],Table13[Tolerance % CW ],"")/100*Table1[[#This Row],[Std Nom]]),"")</f>
        <v/>
      </c>
      <c r="Q2291" s="1" t="e">
        <f>Table1[[#This Row],[High Tol]]-Table1[[#This Row],[Low Tol]]</f>
        <v>#VALUE!</v>
      </c>
      <c r="R2291" s="1">
        <f>2*Table1[[#This Row],[Std Error]]</f>
        <v>0</v>
      </c>
      <c r="S2291" s="1" t="str">
        <f>IF(Table1[[#This Row],[High Tol]]="","N/A",IFERROR(ABS(Table1[[#This Row],[Tol Span]]/Table1[[#This Row],[Error Span]]),"N/A"))</f>
        <v>N/A</v>
      </c>
      <c r="T2291" s="1" t="str">
        <f>IF(OR(Table1[[#This Row],[Low Tol]]="",Table1[[#This Row],[High Tol]]=""),"Needs Analysis",IF(Table1[[#This Row],[Ratio]]&gt;=4,"Not Significant",IF(Table1[[#This Row],[Ratio]]&gt;=2,"Semi-Significant","Significant")))</f>
        <v>Needs Analysis</v>
      </c>
      <c r="W2291" s="1">
        <f>IF(Table1[[#This Row],[Cal Type]]&lt;&gt;"ACCREDITED 17025 WITH UNCERTAINTIES",0,"")</f>
        <v>0</v>
      </c>
      <c r="X2291" s="1" t="str">
        <f>IF(Table1[[#This Row],[DUT Read]]="","N/A",Table1[[#This Row],[Std Error]]+Table1[[#This Row],[DUT Read]]+Table1[[#This Row],[DUT Ucty]])</f>
        <v>N/A</v>
      </c>
      <c r="Y2291" s="1" t="str">
        <f>IF(Table1[[#This Row],[Std Read]]="","N/A",Table1[[#This Row],[Std Read]]+Table1[[#This Row],[Std Ucty]])</f>
        <v>N/A</v>
      </c>
      <c r="Z22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1" s="1" t="str">
        <f>IF(Table1[[#This Row],[Spec Type]]="","N/A",Table1[[#This Row],[Spec Type]])</f>
        <v>±</v>
      </c>
      <c r="AC2291" s="1" t="str">
        <f>IF(Table1[[#This Row],[Spec Type2]]="N/A","N/A",IF(AND(Table1[[#This Row],[DUT Adj Read]]&gt;=Table1[[#This Row],[Low Tol]],Table1[[#This Row],[DUT Adj Read]]&lt;=Table1[[#This Row],[High Tol]]),"Pass","Fail"))</f>
        <v>Fail</v>
      </c>
      <c r="AD2291" s="1" t="str">
        <f>IF(AND(Table1[[#This Row],[Spec Type2]]="N/A",Table1[[#This Row],[DUT Adj Read]]="N/A",Table1[[#This Row],[Std Adj Read]]="N/A"),"N/A",IF(Table1[[#This Row],[DUT Adj Read]]="N/A",IF(Table1[[#This Row],[Std Adj Read]]&gt;Table1[[#This Row],[Low Tol]],"Pass","Fail"),IF(Table1[[#This Row],[DUT Adj Read]]&gt;Table1[[#This Row],[Low Tol]],"Pass","Fail")))</f>
        <v>Pass</v>
      </c>
      <c r="AE2291" s="1" t="str">
        <f>IF(AND(Table1[[#This Row],[Spec Type2]]="N/A",Table1[[#This Row],[DUT Adj Read]]="N/A",Table1[[#This Row],[Std Adj Read]]="N/A"),"N/A",IF(Table1[[#This Row],[DUT Adj Read]]="N/A",IF(Table1[[#This Row],[Std Adj Read]]&lt;Table1[[#This Row],[High Tol]],"Pass","Fail"),IF(Table1[[#This Row],[DUT Adj Read]]&lt;Table1[[#This Row],[High Tol]],"Pass","Fail")))</f>
        <v>Fail</v>
      </c>
      <c r="AF2291" s="1" t="str">
        <f>IF(AND(Table1[[#This Row],[Spec Type2]]="N/A",Table1[[#This Row],[DUT Adj Read]]="N/A",Table1[[#This Row],[Std Adj Read]]="N/A"),"N/A",IF(Table1[[#This Row],[DUT Adj Read]]="N/A",IF(Table1[[#This Row],[Std Adj Read]]&gt;=Table1[[#This Row],[Low Tol]],"Pass","Fail"),IF(Table1[[#This Row],[DUT Adj Read]]&gt;=Table1[[#This Row],[Low Tol]],"Pass","Fail")))</f>
        <v>Pass</v>
      </c>
      <c r="AG2291" s="1" t="str">
        <f>IF(AND(Table1[[#This Row],[Spec Type2]]="N/A",Table1[[#This Row],[DUT Adj Read]]="N/A",Table1[[#This Row],[Std Adj Read]]="N/A"),"N/A",IF(Table1[[#This Row],[DUT Adj Read]]="N/A",IF(Table1[[#This Row],[Std Adj Read]]&lt;=Table1[[#This Row],[High Tol]],"Pass","Fail"),IF(Table1[[#This Row],[DUT Adj Read]]&lt;=Table1[[#This Row],[High Tol]],"Pass","Fail")))</f>
        <v>Fail</v>
      </c>
      <c r="AH22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1" s="1" t="b">
        <v>0</v>
      </c>
      <c r="AN2291" s="1" t="b">
        <v>0</v>
      </c>
      <c r="AO2291" s="1" t="b">
        <v>0</v>
      </c>
    </row>
    <row r="2292" spans="1:41" x14ac:dyDescent="0.25">
      <c r="A2292" s="10"/>
      <c r="B2292" s="10"/>
      <c r="C2292" s="10"/>
      <c r="D2292" s="10"/>
      <c r="E2292" s="10"/>
      <c r="F2292" s="10"/>
      <c r="G2292" s="10"/>
      <c r="H2292" s="10"/>
      <c r="I2292" s="1" t="str">
        <f t="shared" si="105"/>
        <v/>
      </c>
      <c r="J2292" s="1" t="s">
        <v>35</v>
      </c>
      <c r="K2292" s="1" t="str">
        <f t="shared" si="106"/>
        <v/>
      </c>
      <c r="L2292" s="1" t="str">
        <f t="shared" si="107"/>
        <v/>
      </c>
      <c r="M2292" s="1">
        <f>IF(OR(Table1[[#This Row],[Std Nom]]="",Table1[[#This Row],[Std Read]]=""),0,Table1[[#This Row],[Std Nom]]-Table1[[#This Row],[Std Read]])</f>
        <v>0</v>
      </c>
      <c r="N2292" s="1">
        <f>IF(Calculations!$F$5="ACCREDITED 17025 WITH UNCERTAINTIES",$N$10,0)</f>
        <v>0</v>
      </c>
      <c r="O2292" s="1" t="str">
        <f>IFERROR(Table1[[#This Row],[Std Nom]]-(_xlfn.XLOOKUP(Table1[[#This Row],[Manufacturer]]&amp;" "&amp;Table1[[#This Row],[Model]],Table13[MFR &amp; MDL],Table13[Tolerance % CW ],"")/100*Table1[[#This Row],[Std Nom]]),"")</f>
        <v/>
      </c>
      <c r="P2292" s="1" t="str">
        <f>IFERROR(Table1[[#This Row],[Std Nom]]+(_xlfn.XLOOKUP(Table1[[#This Row],[Manufacturer]]&amp;" "&amp;Table1[[#This Row],[Model]],Table13[MFR &amp; MDL],Table13[Tolerance % CW ],"")/100*Table1[[#This Row],[Std Nom]]),"")</f>
        <v/>
      </c>
      <c r="Q2292" s="1" t="e">
        <f>Table1[[#This Row],[High Tol]]-Table1[[#This Row],[Low Tol]]</f>
        <v>#VALUE!</v>
      </c>
      <c r="R2292" s="1">
        <f>2*Table1[[#This Row],[Std Error]]</f>
        <v>0</v>
      </c>
      <c r="S2292" s="1" t="str">
        <f>IF(Table1[[#This Row],[High Tol]]="","N/A",IFERROR(ABS(Table1[[#This Row],[Tol Span]]/Table1[[#This Row],[Error Span]]),"N/A"))</f>
        <v>N/A</v>
      </c>
      <c r="T2292" s="1" t="str">
        <f>IF(OR(Table1[[#This Row],[Low Tol]]="",Table1[[#This Row],[High Tol]]=""),"Needs Analysis",IF(Table1[[#This Row],[Ratio]]&gt;=4,"Not Significant",IF(Table1[[#This Row],[Ratio]]&gt;=2,"Semi-Significant","Significant")))</f>
        <v>Needs Analysis</v>
      </c>
      <c r="W2292" s="1">
        <f>IF(Table1[[#This Row],[Cal Type]]&lt;&gt;"ACCREDITED 17025 WITH UNCERTAINTIES",0,"")</f>
        <v>0</v>
      </c>
      <c r="X2292" s="1" t="str">
        <f>IF(Table1[[#This Row],[DUT Read]]="","N/A",Table1[[#This Row],[Std Error]]+Table1[[#This Row],[DUT Read]]+Table1[[#This Row],[DUT Ucty]])</f>
        <v>N/A</v>
      </c>
      <c r="Y2292" s="1" t="str">
        <f>IF(Table1[[#This Row],[Std Read]]="","N/A",Table1[[#This Row],[Std Read]]+Table1[[#This Row],[Std Ucty]])</f>
        <v>N/A</v>
      </c>
      <c r="Z22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2" s="1" t="str">
        <f>IF(Table1[[#This Row],[Spec Type]]="","N/A",Table1[[#This Row],[Spec Type]])</f>
        <v>±</v>
      </c>
      <c r="AC2292" s="1" t="str">
        <f>IF(Table1[[#This Row],[Spec Type2]]="N/A","N/A",IF(AND(Table1[[#This Row],[DUT Adj Read]]&gt;=Table1[[#This Row],[Low Tol]],Table1[[#This Row],[DUT Adj Read]]&lt;=Table1[[#This Row],[High Tol]]),"Pass","Fail"))</f>
        <v>Fail</v>
      </c>
      <c r="AD2292" s="1" t="str">
        <f>IF(AND(Table1[[#This Row],[Spec Type2]]="N/A",Table1[[#This Row],[DUT Adj Read]]="N/A",Table1[[#This Row],[Std Adj Read]]="N/A"),"N/A",IF(Table1[[#This Row],[DUT Adj Read]]="N/A",IF(Table1[[#This Row],[Std Adj Read]]&gt;Table1[[#This Row],[Low Tol]],"Pass","Fail"),IF(Table1[[#This Row],[DUT Adj Read]]&gt;Table1[[#This Row],[Low Tol]],"Pass","Fail")))</f>
        <v>Pass</v>
      </c>
      <c r="AE2292" s="1" t="str">
        <f>IF(AND(Table1[[#This Row],[Spec Type2]]="N/A",Table1[[#This Row],[DUT Adj Read]]="N/A",Table1[[#This Row],[Std Adj Read]]="N/A"),"N/A",IF(Table1[[#This Row],[DUT Adj Read]]="N/A",IF(Table1[[#This Row],[Std Adj Read]]&lt;Table1[[#This Row],[High Tol]],"Pass","Fail"),IF(Table1[[#This Row],[DUT Adj Read]]&lt;Table1[[#This Row],[High Tol]],"Pass","Fail")))</f>
        <v>Fail</v>
      </c>
      <c r="AF2292" s="1" t="str">
        <f>IF(AND(Table1[[#This Row],[Spec Type2]]="N/A",Table1[[#This Row],[DUT Adj Read]]="N/A",Table1[[#This Row],[Std Adj Read]]="N/A"),"N/A",IF(Table1[[#This Row],[DUT Adj Read]]="N/A",IF(Table1[[#This Row],[Std Adj Read]]&gt;=Table1[[#This Row],[Low Tol]],"Pass","Fail"),IF(Table1[[#This Row],[DUT Adj Read]]&gt;=Table1[[#This Row],[Low Tol]],"Pass","Fail")))</f>
        <v>Pass</v>
      </c>
      <c r="AG2292" s="1" t="str">
        <f>IF(AND(Table1[[#This Row],[Spec Type2]]="N/A",Table1[[#This Row],[DUT Adj Read]]="N/A",Table1[[#This Row],[Std Adj Read]]="N/A"),"N/A",IF(Table1[[#This Row],[DUT Adj Read]]="N/A",IF(Table1[[#This Row],[Std Adj Read]]&lt;=Table1[[#This Row],[High Tol]],"Pass","Fail"),IF(Table1[[#This Row],[DUT Adj Read]]&lt;=Table1[[#This Row],[High Tol]],"Pass","Fail")))</f>
        <v>Fail</v>
      </c>
      <c r="AH22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2" s="1" t="b">
        <v>0</v>
      </c>
      <c r="AN2292" s="1" t="b">
        <v>0</v>
      </c>
      <c r="AO2292" s="1" t="b">
        <v>0</v>
      </c>
    </row>
    <row r="2293" spans="1:41" x14ac:dyDescent="0.25">
      <c r="A2293" s="10"/>
      <c r="B2293" s="10"/>
      <c r="C2293" s="10"/>
      <c r="D2293" s="10"/>
      <c r="E2293" s="10"/>
      <c r="F2293" s="10"/>
      <c r="G2293" s="10"/>
      <c r="H2293" s="10"/>
      <c r="I2293" s="1" t="str">
        <f t="shared" si="105"/>
        <v/>
      </c>
      <c r="J2293" s="1" t="s">
        <v>35</v>
      </c>
      <c r="K2293" s="1" t="str">
        <f t="shared" si="106"/>
        <v/>
      </c>
      <c r="L2293" s="1" t="str">
        <f t="shared" si="107"/>
        <v/>
      </c>
      <c r="M2293" s="1">
        <f>IF(OR(Table1[[#This Row],[Std Nom]]="",Table1[[#This Row],[Std Read]]=""),0,Table1[[#This Row],[Std Nom]]-Table1[[#This Row],[Std Read]])</f>
        <v>0</v>
      </c>
      <c r="N2293" s="1">
        <f>IF(Calculations!$F$5="ACCREDITED 17025 WITH UNCERTAINTIES",$N$10,0)</f>
        <v>0</v>
      </c>
      <c r="O2293" s="1" t="str">
        <f>IFERROR(Table1[[#This Row],[Std Nom]]-(_xlfn.XLOOKUP(Table1[[#This Row],[Manufacturer]]&amp;" "&amp;Table1[[#This Row],[Model]],Table13[MFR &amp; MDL],Table13[Tolerance % CW ],"")/100*Table1[[#This Row],[Std Nom]]),"")</f>
        <v/>
      </c>
      <c r="P2293" s="1" t="str">
        <f>IFERROR(Table1[[#This Row],[Std Nom]]+(_xlfn.XLOOKUP(Table1[[#This Row],[Manufacturer]]&amp;" "&amp;Table1[[#This Row],[Model]],Table13[MFR &amp; MDL],Table13[Tolerance % CW ],"")/100*Table1[[#This Row],[Std Nom]]),"")</f>
        <v/>
      </c>
      <c r="Q2293" s="1" t="e">
        <f>Table1[[#This Row],[High Tol]]-Table1[[#This Row],[Low Tol]]</f>
        <v>#VALUE!</v>
      </c>
      <c r="R2293" s="1">
        <f>2*Table1[[#This Row],[Std Error]]</f>
        <v>0</v>
      </c>
      <c r="S2293" s="1" t="str">
        <f>IF(Table1[[#This Row],[High Tol]]="","N/A",IFERROR(ABS(Table1[[#This Row],[Tol Span]]/Table1[[#This Row],[Error Span]]),"N/A"))</f>
        <v>N/A</v>
      </c>
      <c r="T2293" s="1" t="str">
        <f>IF(OR(Table1[[#This Row],[Low Tol]]="",Table1[[#This Row],[High Tol]]=""),"Needs Analysis",IF(Table1[[#This Row],[Ratio]]&gt;=4,"Not Significant",IF(Table1[[#This Row],[Ratio]]&gt;=2,"Semi-Significant","Significant")))</f>
        <v>Needs Analysis</v>
      </c>
      <c r="W2293" s="1">
        <f>IF(Table1[[#This Row],[Cal Type]]&lt;&gt;"ACCREDITED 17025 WITH UNCERTAINTIES",0,"")</f>
        <v>0</v>
      </c>
      <c r="X2293" s="1" t="str">
        <f>IF(Table1[[#This Row],[DUT Read]]="","N/A",Table1[[#This Row],[Std Error]]+Table1[[#This Row],[DUT Read]]+Table1[[#This Row],[DUT Ucty]])</f>
        <v>N/A</v>
      </c>
      <c r="Y2293" s="1" t="str">
        <f>IF(Table1[[#This Row],[Std Read]]="","N/A",Table1[[#This Row],[Std Read]]+Table1[[#This Row],[Std Ucty]])</f>
        <v>N/A</v>
      </c>
      <c r="Z22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3" s="1" t="str">
        <f>IF(Table1[[#This Row],[Spec Type]]="","N/A",Table1[[#This Row],[Spec Type]])</f>
        <v>±</v>
      </c>
      <c r="AC2293" s="1" t="str">
        <f>IF(Table1[[#This Row],[Spec Type2]]="N/A","N/A",IF(AND(Table1[[#This Row],[DUT Adj Read]]&gt;=Table1[[#This Row],[Low Tol]],Table1[[#This Row],[DUT Adj Read]]&lt;=Table1[[#This Row],[High Tol]]),"Pass","Fail"))</f>
        <v>Fail</v>
      </c>
      <c r="AD2293" s="1" t="str">
        <f>IF(AND(Table1[[#This Row],[Spec Type2]]="N/A",Table1[[#This Row],[DUT Adj Read]]="N/A",Table1[[#This Row],[Std Adj Read]]="N/A"),"N/A",IF(Table1[[#This Row],[DUT Adj Read]]="N/A",IF(Table1[[#This Row],[Std Adj Read]]&gt;Table1[[#This Row],[Low Tol]],"Pass","Fail"),IF(Table1[[#This Row],[DUT Adj Read]]&gt;Table1[[#This Row],[Low Tol]],"Pass","Fail")))</f>
        <v>Pass</v>
      </c>
      <c r="AE2293" s="1" t="str">
        <f>IF(AND(Table1[[#This Row],[Spec Type2]]="N/A",Table1[[#This Row],[DUT Adj Read]]="N/A",Table1[[#This Row],[Std Adj Read]]="N/A"),"N/A",IF(Table1[[#This Row],[DUT Adj Read]]="N/A",IF(Table1[[#This Row],[Std Adj Read]]&lt;Table1[[#This Row],[High Tol]],"Pass","Fail"),IF(Table1[[#This Row],[DUT Adj Read]]&lt;Table1[[#This Row],[High Tol]],"Pass","Fail")))</f>
        <v>Fail</v>
      </c>
      <c r="AF2293" s="1" t="str">
        <f>IF(AND(Table1[[#This Row],[Spec Type2]]="N/A",Table1[[#This Row],[DUT Adj Read]]="N/A",Table1[[#This Row],[Std Adj Read]]="N/A"),"N/A",IF(Table1[[#This Row],[DUT Adj Read]]="N/A",IF(Table1[[#This Row],[Std Adj Read]]&gt;=Table1[[#This Row],[Low Tol]],"Pass","Fail"),IF(Table1[[#This Row],[DUT Adj Read]]&gt;=Table1[[#This Row],[Low Tol]],"Pass","Fail")))</f>
        <v>Pass</v>
      </c>
      <c r="AG2293" s="1" t="str">
        <f>IF(AND(Table1[[#This Row],[Spec Type2]]="N/A",Table1[[#This Row],[DUT Adj Read]]="N/A",Table1[[#This Row],[Std Adj Read]]="N/A"),"N/A",IF(Table1[[#This Row],[DUT Adj Read]]="N/A",IF(Table1[[#This Row],[Std Adj Read]]&lt;=Table1[[#This Row],[High Tol]],"Pass","Fail"),IF(Table1[[#This Row],[DUT Adj Read]]&lt;=Table1[[#This Row],[High Tol]],"Pass","Fail")))</f>
        <v>Fail</v>
      </c>
      <c r="AH22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3" s="1" t="b">
        <v>0</v>
      </c>
      <c r="AN2293" s="1" t="b">
        <v>0</v>
      </c>
      <c r="AO2293" s="1" t="b">
        <v>0</v>
      </c>
    </row>
    <row r="2294" spans="1:41" x14ac:dyDescent="0.25">
      <c r="A2294" s="10"/>
      <c r="B2294" s="10"/>
      <c r="C2294" s="10"/>
      <c r="D2294" s="10"/>
      <c r="E2294" s="10"/>
      <c r="F2294" s="10"/>
      <c r="G2294" s="10"/>
      <c r="H2294" s="10"/>
      <c r="I2294" s="1" t="str">
        <f t="shared" si="105"/>
        <v/>
      </c>
      <c r="J2294" s="1" t="s">
        <v>35</v>
      </c>
      <c r="K2294" s="1" t="str">
        <f t="shared" si="106"/>
        <v/>
      </c>
      <c r="L2294" s="1" t="str">
        <f t="shared" si="107"/>
        <v/>
      </c>
      <c r="M2294" s="1">
        <f>IF(OR(Table1[[#This Row],[Std Nom]]="",Table1[[#This Row],[Std Read]]=""),0,Table1[[#This Row],[Std Nom]]-Table1[[#This Row],[Std Read]])</f>
        <v>0</v>
      </c>
      <c r="N2294" s="1">
        <f>IF(Calculations!$F$5="ACCREDITED 17025 WITH UNCERTAINTIES",$N$10,0)</f>
        <v>0</v>
      </c>
      <c r="O2294" s="1" t="str">
        <f>IFERROR(Table1[[#This Row],[Std Nom]]-(_xlfn.XLOOKUP(Table1[[#This Row],[Manufacturer]]&amp;" "&amp;Table1[[#This Row],[Model]],Table13[MFR &amp; MDL],Table13[Tolerance % CW ],"")/100*Table1[[#This Row],[Std Nom]]),"")</f>
        <v/>
      </c>
      <c r="P2294" s="1" t="str">
        <f>IFERROR(Table1[[#This Row],[Std Nom]]+(_xlfn.XLOOKUP(Table1[[#This Row],[Manufacturer]]&amp;" "&amp;Table1[[#This Row],[Model]],Table13[MFR &amp; MDL],Table13[Tolerance % CW ],"")/100*Table1[[#This Row],[Std Nom]]),"")</f>
        <v/>
      </c>
      <c r="Q2294" s="1" t="e">
        <f>Table1[[#This Row],[High Tol]]-Table1[[#This Row],[Low Tol]]</f>
        <v>#VALUE!</v>
      </c>
      <c r="R2294" s="1">
        <f>2*Table1[[#This Row],[Std Error]]</f>
        <v>0</v>
      </c>
      <c r="S2294" s="1" t="str">
        <f>IF(Table1[[#This Row],[High Tol]]="","N/A",IFERROR(ABS(Table1[[#This Row],[Tol Span]]/Table1[[#This Row],[Error Span]]),"N/A"))</f>
        <v>N/A</v>
      </c>
      <c r="T2294" s="1" t="str">
        <f>IF(OR(Table1[[#This Row],[Low Tol]]="",Table1[[#This Row],[High Tol]]=""),"Needs Analysis",IF(Table1[[#This Row],[Ratio]]&gt;=4,"Not Significant",IF(Table1[[#This Row],[Ratio]]&gt;=2,"Semi-Significant","Significant")))</f>
        <v>Needs Analysis</v>
      </c>
      <c r="W2294" s="1">
        <f>IF(Table1[[#This Row],[Cal Type]]&lt;&gt;"ACCREDITED 17025 WITH UNCERTAINTIES",0,"")</f>
        <v>0</v>
      </c>
      <c r="X2294" s="1" t="str">
        <f>IF(Table1[[#This Row],[DUT Read]]="","N/A",Table1[[#This Row],[Std Error]]+Table1[[#This Row],[DUT Read]]+Table1[[#This Row],[DUT Ucty]])</f>
        <v>N/A</v>
      </c>
      <c r="Y2294" s="1" t="str">
        <f>IF(Table1[[#This Row],[Std Read]]="","N/A",Table1[[#This Row],[Std Read]]+Table1[[#This Row],[Std Ucty]])</f>
        <v>N/A</v>
      </c>
      <c r="Z22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4" s="1" t="str">
        <f>IF(Table1[[#This Row],[Spec Type]]="","N/A",Table1[[#This Row],[Spec Type]])</f>
        <v>±</v>
      </c>
      <c r="AC2294" s="1" t="str">
        <f>IF(Table1[[#This Row],[Spec Type2]]="N/A","N/A",IF(AND(Table1[[#This Row],[DUT Adj Read]]&gt;=Table1[[#This Row],[Low Tol]],Table1[[#This Row],[DUT Adj Read]]&lt;=Table1[[#This Row],[High Tol]]),"Pass","Fail"))</f>
        <v>Fail</v>
      </c>
      <c r="AD2294" s="1" t="str">
        <f>IF(AND(Table1[[#This Row],[Spec Type2]]="N/A",Table1[[#This Row],[DUT Adj Read]]="N/A",Table1[[#This Row],[Std Adj Read]]="N/A"),"N/A",IF(Table1[[#This Row],[DUT Adj Read]]="N/A",IF(Table1[[#This Row],[Std Adj Read]]&gt;Table1[[#This Row],[Low Tol]],"Pass","Fail"),IF(Table1[[#This Row],[DUT Adj Read]]&gt;Table1[[#This Row],[Low Tol]],"Pass","Fail")))</f>
        <v>Pass</v>
      </c>
      <c r="AE2294" s="1" t="str">
        <f>IF(AND(Table1[[#This Row],[Spec Type2]]="N/A",Table1[[#This Row],[DUT Adj Read]]="N/A",Table1[[#This Row],[Std Adj Read]]="N/A"),"N/A",IF(Table1[[#This Row],[DUT Adj Read]]="N/A",IF(Table1[[#This Row],[Std Adj Read]]&lt;Table1[[#This Row],[High Tol]],"Pass","Fail"),IF(Table1[[#This Row],[DUT Adj Read]]&lt;Table1[[#This Row],[High Tol]],"Pass","Fail")))</f>
        <v>Fail</v>
      </c>
      <c r="AF2294" s="1" t="str">
        <f>IF(AND(Table1[[#This Row],[Spec Type2]]="N/A",Table1[[#This Row],[DUT Adj Read]]="N/A",Table1[[#This Row],[Std Adj Read]]="N/A"),"N/A",IF(Table1[[#This Row],[DUT Adj Read]]="N/A",IF(Table1[[#This Row],[Std Adj Read]]&gt;=Table1[[#This Row],[Low Tol]],"Pass","Fail"),IF(Table1[[#This Row],[DUT Adj Read]]&gt;=Table1[[#This Row],[Low Tol]],"Pass","Fail")))</f>
        <v>Pass</v>
      </c>
      <c r="AG2294" s="1" t="str">
        <f>IF(AND(Table1[[#This Row],[Spec Type2]]="N/A",Table1[[#This Row],[DUT Adj Read]]="N/A",Table1[[#This Row],[Std Adj Read]]="N/A"),"N/A",IF(Table1[[#This Row],[DUT Adj Read]]="N/A",IF(Table1[[#This Row],[Std Adj Read]]&lt;=Table1[[#This Row],[High Tol]],"Pass","Fail"),IF(Table1[[#This Row],[DUT Adj Read]]&lt;=Table1[[#This Row],[High Tol]],"Pass","Fail")))</f>
        <v>Fail</v>
      </c>
      <c r="AH22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4" s="1" t="b">
        <v>0</v>
      </c>
      <c r="AN2294" s="1" t="b">
        <v>0</v>
      </c>
      <c r="AO2294" s="1" t="b">
        <v>0</v>
      </c>
    </row>
    <row r="2295" spans="1:41" x14ac:dyDescent="0.25">
      <c r="A2295" s="10"/>
      <c r="B2295" s="10"/>
      <c r="C2295" s="10"/>
      <c r="D2295" s="10"/>
      <c r="E2295" s="10"/>
      <c r="F2295" s="10"/>
      <c r="G2295" s="10"/>
      <c r="H2295" s="10"/>
      <c r="I2295" s="1" t="str">
        <f t="shared" si="105"/>
        <v/>
      </c>
      <c r="J2295" s="1" t="s">
        <v>35</v>
      </c>
      <c r="K2295" s="1" t="str">
        <f t="shared" si="106"/>
        <v/>
      </c>
      <c r="L2295" s="1" t="str">
        <f t="shared" si="107"/>
        <v/>
      </c>
      <c r="M2295" s="1">
        <f>IF(OR(Table1[[#This Row],[Std Nom]]="",Table1[[#This Row],[Std Read]]=""),0,Table1[[#This Row],[Std Nom]]-Table1[[#This Row],[Std Read]])</f>
        <v>0</v>
      </c>
      <c r="N2295" s="1">
        <f>IF(Calculations!$F$5="ACCREDITED 17025 WITH UNCERTAINTIES",$N$10,0)</f>
        <v>0</v>
      </c>
      <c r="O2295" s="1" t="str">
        <f>IFERROR(Table1[[#This Row],[Std Nom]]-(_xlfn.XLOOKUP(Table1[[#This Row],[Manufacturer]]&amp;" "&amp;Table1[[#This Row],[Model]],Table13[MFR &amp; MDL],Table13[Tolerance % CW ],"")/100*Table1[[#This Row],[Std Nom]]),"")</f>
        <v/>
      </c>
      <c r="P2295" s="1" t="str">
        <f>IFERROR(Table1[[#This Row],[Std Nom]]+(_xlfn.XLOOKUP(Table1[[#This Row],[Manufacturer]]&amp;" "&amp;Table1[[#This Row],[Model]],Table13[MFR &amp; MDL],Table13[Tolerance % CW ],"")/100*Table1[[#This Row],[Std Nom]]),"")</f>
        <v/>
      </c>
      <c r="Q2295" s="1" t="e">
        <f>Table1[[#This Row],[High Tol]]-Table1[[#This Row],[Low Tol]]</f>
        <v>#VALUE!</v>
      </c>
      <c r="R2295" s="1">
        <f>2*Table1[[#This Row],[Std Error]]</f>
        <v>0</v>
      </c>
      <c r="S2295" s="1" t="str">
        <f>IF(Table1[[#This Row],[High Tol]]="","N/A",IFERROR(ABS(Table1[[#This Row],[Tol Span]]/Table1[[#This Row],[Error Span]]),"N/A"))</f>
        <v>N/A</v>
      </c>
      <c r="T2295" s="1" t="str">
        <f>IF(OR(Table1[[#This Row],[Low Tol]]="",Table1[[#This Row],[High Tol]]=""),"Needs Analysis",IF(Table1[[#This Row],[Ratio]]&gt;=4,"Not Significant",IF(Table1[[#This Row],[Ratio]]&gt;=2,"Semi-Significant","Significant")))</f>
        <v>Needs Analysis</v>
      </c>
      <c r="W2295" s="1">
        <f>IF(Table1[[#This Row],[Cal Type]]&lt;&gt;"ACCREDITED 17025 WITH UNCERTAINTIES",0,"")</f>
        <v>0</v>
      </c>
      <c r="X2295" s="1" t="str">
        <f>IF(Table1[[#This Row],[DUT Read]]="","N/A",Table1[[#This Row],[Std Error]]+Table1[[#This Row],[DUT Read]]+Table1[[#This Row],[DUT Ucty]])</f>
        <v>N/A</v>
      </c>
      <c r="Y2295" s="1" t="str">
        <f>IF(Table1[[#This Row],[Std Read]]="","N/A",Table1[[#This Row],[Std Read]]+Table1[[#This Row],[Std Ucty]])</f>
        <v>N/A</v>
      </c>
      <c r="Z22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5" s="1" t="str">
        <f>IF(Table1[[#This Row],[Spec Type]]="","N/A",Table1[[#This Row],[Spec Type]])</f>
        <v>±</v>
      </c>
      <c r="AC2295" s="1" t="str">
        <f>IF(Table1[[#This Row],[Spec Type2]]="N/A","N/A",IF(AND(Table1[[#This Row],[DUT Adj Read]]&gt;=Table1[[#This Row],[Low Tol]],Table1[[#This Row],[DUT Adj Read]]&lt;=Table1[[#This Row],[High Tol]]),"Pass","Fail"))</f>
        <v>Fail</v>
      </c>
      <c r="AD2295" s="1" t="str">
        <f>IF(AND(Table1[[#This Row],[Spec Type2]]="N/A",Table1[[#This Row],[DUT Adj Read]]="N/A",Table1[[#This Row],[Std Adj Read]]="N/A"),"N/A",IF(Table1[[#This Row],[DUT Adj Read]]="N/A",IF(Table1[[#This Row],[Std Adj Read]]&gt;Table1[[#This Row],[Low Tol]],"Pass","Fail"),IF(Table1[[#This Row],[DUT Adj Read]]&gt;Table1[[#This Row],[Low Tol]],"Pass","Fail")))</f>
        <v>Pass</v>
      </c>
      <c r="AE2295" s="1" t="str">
        <f>IF(AND(Table1[[#This Row],[Spec Type2]]="N/A",Table1[[#This Row],[DUT Adj Read]]="N/A",Table1[[#This Row],[Std Adj Read]]="N/A"),"N/A",IF(Table1[[#This Row],[DUT Adj Read]]="N/A",IF(Table1[[#This Row],[Std Adj Read]]&lt;Table1[[#This Row],[High Tol]],"Pass","Fail"),IF(Table1[[#This Row],[DUT Adj Read]]&lt;Table1[[#This Row],[High Tol]],"Pass","Fail")))</f>
        <v>Fail</v>
      </c>
      <c r="AF2295" s="1" t="str">
        <f>IF(AND(Table1[[#This Row],[Spec Type2]]="N/A",Table1[[#This Row],[DUT Adj Read]]="N/A",Table1[[#This Row],[Std Adj Read]]="N/A"),"N/A",IF(Table1[[#This Row],[DUT Adj Read]]="N/A",IF(Table1[[#This Row],[Std Adj Read]]&gt;=Table1[[#This Row],[Low Tol]],"Pass","Fail"),IF(Table1[[#This Row],[DUT Adj Read]]&gt;=Table1[[#This Row],[Low Tol]],"Pass","Fail")))</f>
        <v>Pass</v>
      </c>
      <c r="AG2295" s="1" t="str">
        <f>IF(AND(Table1[[#This Row],[Spec Type2]]="N/A",Table1[[#This Row],[DUT Adj Read]]="N/A",Table1[[#This Row],[Std Adj Read]]="N/A"),"N/A",IF(Table1[[#This Row],[DUT Adj Read]]="N/A",IF(Table1[[#This Row],[Std Adj Read]]&lt;=Table1[[#This Row],[High Tol]],"Pass","Fail"),IF(Table1[[#This Row],[DUT Adj Read]]&lt;=Table1[[#This Row],[High Tol]],"Pass","Fail")))</f>
        <v>Fail</v>
      </c>
      <c r="AH22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5" s="1" t="b">
        <v>0</v>
      </c>
      <c r="AN2295" s="1" t="b">
        <v>0</v>
      </c>
      <c r="AO2295" s="1" t="b">
        <v>0</v>
      </c>
    </row>
    <row r="2296" spans="1:41" x14ac:dyDescent="0.25">
      <c r="A2296" s="10"/>
      <c r="B2296" s="10"/>
      <c r="C2296" s="10"/>
      <c r="D2296" s="10"/>
      <c r="E2296" s="10"/>
      <c r="F2296" s="10"/>
      <c r="G2296" s="10"/>
      <c r="H2296" s="10"/>
      <c r="I2296" s="1" t="str">
        <f t="shared" si="105"/>
        <v/>
      </c>
      <c r="J2296" s="1" t="s">
        <v>35</v>
      </c>
      <c r="K2296" s="1" t="str">
        <f t="shared" si="106"/>
        <v/>
      </c>
      <c r="L2296" s="1" t="str">
        <f t="shared" si="107"/>
        <v/>
      </c>
      <c r="M2296" s="1">
        <f>IF(OR(Table1[[#This Row],[Std Nom]]="",Table1[[#This Row],[Std Read]]=""),0,Table1[[#This Row],[Std Nom]]-Table1[[#This Row],[Std Read]])</f>
        <v>0</v>
      </c>
      <c r="N2296" s="1">
        <f>IF(Calculations!$F$5="ACCREDITED 17025 WITH UNCERTAINTIES",$N$10,0)</f>
        <v>0</v>
      </c>
      <c r="O2296" s="1" t="str">
        <f>IFERROR(Table1[[#This Row],[Std Nom]]-(_xlfn.XLOOKUP(Table1[[#This Row],[Manufacturer]]&amp;" "&amp;Table1[[#This Row],[Model]],Table13[MFR &amp; MDL],Table13[Tolerance % CW ],"")/100*Table1[[#This Row],[Std Nom]]),"")</f>
        <v/>
      </c>
      <c r="P2296" s="1" t="str">
        <f>IFERROR(Table1[[#This Row],[Std Nom]]+(_xlfn.XLOOKUP(Table1[[#This Row],[Manufacturer]]&amp;" "&amp;Table1[[#This Row],[Model]],Table13[MFR &amp; MDL],Table13[Tolerance % CW ],"")/100*Table1[[#This Row],[Std Nom]]),"")</f>
        <v/>
      </c>
      <c r="Q2296" s="1" t="e">
        <f>Table1[[#This Row],[High Tol]]-Table1[[#This Row],[Low Tol]]</f>
        <v>#VALUE!</v>
      </c>
      <c r="R2296" s="1">
        <f>2*Table1[[#This Row],[Std Error]]</f>
        <v>0</v>
      </c>
      <c r="S2296" s="1" t="str">
        <f>IF(Table1[[#This Row],[High Tol]]="","N/A",IFERROR(ABS(Table1[[#This Row],[Tol Span]]/Table1[[#This Row],[Error Span]]),"N/A"))</f>
        <v>N/A</v>
      </c>
      <c r="T2296" s="1" t="str">
        <f>IF(OR(Table1[[#This Row],[Low Tol]]="",Table1[[#This Row],[High Tol]]=""),"Needs Analysis",IF(Table1[[#This Row],[Ratio]]&gt;=4,"Not Significant",IF(Table1[[#This Row],[Ratio]]&gt;=2,"Semi-Significant","Significant")))</f>
        <v>Needs Analysis</v>
      </c>
      <c r="W2296" s="1">
        <f>IF(Table1[[#This Row],[Cal Type]]&lt;&gt;"ACCREDITED 17025 WITH UNCERTAINTIES",0,"")</f>
        <v>0</v>
      </c>
      <c r="X2296" s="1" t="str">
        <f>IF(Table1[[#This Row],[DUT Read]]="","N/A",Table1[[#This Row],[Std Error]]+Table1[[#This Row],[DUT Read]]+Table1[[#This Row],[DUT Ucty]])</f>
        <v>N/A</v>
      </c>
      <c r="Y2296" s="1" t="str">
        <f>IF(Table1[[#This Row],[Std Read]]="","N/A",Table1[[#This Row],[Std Read]]+Table1[[#This Row],[Std Ucty]])</f>
        <v>N/A</v>
      </c>
      <c r="Z22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6" s="1" t="str">
        <f>IF(Table1[[#This Row],[Spec Type]]="","N/A",Table1[[#This Row],[Spec Type]])</f>
        <v>±</v>
      </c>
      <c r="AC2296" s="1" t="str">
        <f>IF(Table1[[#This Row],[Spec Type2]]="N/A","N/A",IF(AND(Table1[[#This Row],[DUT Adj Read]]&gt;=Table1[[#This Row],[Low Tol]],Table1[[#This Row],[DUT Adj Read]]&lt;=Table1[[#This Row],[High Tol]]),"Pass","Fail"))</f>
        <v>Fail</v>
      </c>
      <c r="AD2296" s="1" t="str">
        <f>IF(AND(Table1[[#This Row],[Spec Type2]]="N/A",Table1[[#This Row],[DUT Adj Read]]="N/A",Table1[[#This Row],[Std Adj Read]]="N/A"),"N/A",IF(Table1[[#This Row],[DUT Adj Read]]="N/A",IF(Table1[[#This Row],[Std Adj Read]]&gt;Table1[[#This Row],[Low Tol]],"Pass","Fail"),IF(Table1[[#This Row],[DUT Adj Read]]&gt;Table1[[#This Row],[Low Tol]],"Pass","Fail")))</f>
        <v>Pass</v>
      </c>
      <c r="AE2296" s="1" t="str">
        <f>IF(AND(Table1[[#This Row],[Spec Type2]]="N/A",Table1[[#This Row],[DUT Adj Read]]="N/A",Table1[[#This Row],[Std Adj Read]]="N/A"),"N/A",IF(Table1[[#This Row],[DUT Adj Read]]="N/A",IF(Table1[[#This Row],[Std Adj Read]]&lt;Table1[[#This Row],[High Tol]],"Pass","Fail"),IF(Table1[[#This Row],[DUT Adj Read]]&lt;Table1[[#This Row],[High Tol]],"Pass","Fail")))</f>
        <v>Fail</v>
      </c>
      <c r="AF2296" s="1" t="str">
        <f>IF(AND(Table1[[#This Row],[Spec Type2]]="N/A",Table1[[#This Row],[DUT Adj Read]]="N/A",Table1[[#This Row],[Std Adj Read]]="N/A"),"N/A",IF(Table1[[#This Row],[DUT Adj Read]]="N/A",IF(Table1[[#This Row],[Std Adj Read]]&gt;=Table1[[#This Row],[Low Tol]],"Pass","Fail"),IF(Table1[[#This Row],[DUT Adj Read]]&gt;=Table1[[#This Row],[Low Tol]],"Pass","Fail")))</f>
        <v>Pass</v>
      </c>
      <c r="AG2296" s="1" t="str">
        <f>IF(AND(Table1[[#This Row],[Spec Type2]]="N/A",Table1[[#This Row],[DUT Adj Read]]="N/A",Table1[[#This Row],[Std Adj Read]]="N/A"),"N/A",IF(Table1[[#This Row],[DUT Adj Read]]="N/A",IF(Table1[[#This Row],[Std Adj Read]]&lt;=Table1[[#This Row],[High Tol]],"Pass","Fail"),IF(Table1[[#This Row],[DUT Adj Read]]&lt;=Table1[[#This Row],[High Tol]],"Pass","Fail")))</f>
        <v>Fail</v>
      </c>
      <c r="AH22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6" s="1" t="b">
        <v>0</v>
      </c>
      <c r="AN2296" s="1" t="b">
        <v>0</v>
      </c>
      <c r="AO2296" s="1" t="b">
        <v>0</v>
      </c>
    </row>
    <row r="2297" spans="1:41" x14ac:dyDescent="0.25">
      <c r="A2297" s="10"/>
      <c r="B2297" s="10"/>
      <c r="C2297" s="10"/>
      <c r="D2297" s="10"/>
      <c r="E2297" s="10"/>
      <c r="F2297" s="10"/>
      <c r="G2297" s="10"/>
      <c r="H2297" s="10"/>
      <c r="I2297" s="1" t="str">
        <f t="shared" si="105"/>
        <v/>
      </c>
      <c r="J2297" s="1" t="s">
        <v>35</v>
      </c>
      <c r="K2297" s="1" t="str">
        <f t="shared" si="106"/>
        <v/>
      </c>
      <c r="L2297" s="1" t="str">
        <f t="shared" si="107"/>
        <v/>
      </c>
      <c r="M2297" s="1">
        <f>IF(OR(Table1[[#This Row],[Std Nom]]="",Table1[[#This Row],[Std Read]]=""),0,Table1[[#This Row],[Std Nom]]-Table1[[#This Row],[Std Read]])</f>
        <v>0</v>
      </c>
      <c r="N2297" s="1">
        <f>IF(Calculations!$F$5="ACCREDITED 17025 WITH UNCERTAINTIES",$N$10,0)</f>
        <v>0</v>
      </c>
      <c r="O2297" s="1" t="str">
        <f>IFERROR(Table1[[#This Row],[Std Nom]]-(_xlfn.XLOOKUP(Table1[[#This Row],[Manufacturer]]&amp;" "&amp;Table1[[#This Row],[Model]],Table13[MFR &amp; MDL],Table13[Tolerance % CW ],"")/100*Table1[[#This Row],[Std Nom]]),"")</f>
        <v/>
      </c>
      <c r="P2297" s="1" t="str">
        <f>IFERROR(Table1[[#This Row],[Std Nom]]+(_xlfn.XLOOKUP(Table1[[#This Row],[Manufacturer]]&amp;" "&amp;Table1[[#This Row],[Model]],Table13[MFR &amp; MDL],Table13[Tolerance % CW ],"")/100*Table1[[#This Row],[Std Nom]]),"")</f>
        <v/>
      </c>
      <c r="Q2297" s="1" t="e">
        <f>Table1[[#This Row],[High Tol]]-Table1[[#This Row],[Low Tol]]</f>
        <v>#VALUE!</v>
      </c>
      <c r="R2297" s="1">
        <f>2*Table1[[#This Row],[Std Error]]</f>
        <v>0</v>
      </c>
      <c r="S2297" s="1" t="str">
        <f>IF(Table1[[#This Row],[High Tol]]="","N/A",IFERROR(ABS(Table1[[#This Row],[Tol Span]]/Table1[[#This Row],[Error Span]]),"N/A"))</f>
        <v>N/A</v>
      </c>
      <c r="T2297" s="1" t="str">
        <f>IF(OR(Table1[[#This Row],[Low Tol]]="",Table1[[#This Row],[High Tol]]=""),"Needs Analysis",IF(Table1[[#This Row],[Ratio]]&gt;=4,"Not Significant",IF(Table1[[#This Row],[Ratio]]&gt;=2,"Semi-Significant","Significant")))</f>
        <v>Needs Analysis</v>
      </c>
      <c r="W2297" s="1">
        <f>IF(Table1[[#This Row],[Cal Type]]&lt;&gt;"ACCREDITED 17025 WITH UNCERTAINTIES",0,"")</f>
        <v>0</v>
      </c>
      <c r="X2297" s="1" t="str">
        <f>IF(Table1[[#This Row],[DUT Read]]="","N/A",Table1[[#This Row],[Std Error]]+Table1[[#This Row],[DUT Read]]+Table1[[#This Row],[DUT Ucty]])</f>
        <v>N/A</v>
      </c>
      <c r="Y2297" s="1" t="str">
        <f>IF(Table1[[#This Row],[Std Read]]="","N/A",Table1[[#This Row],[Std Read]]+Table1[[#This Row],[Std Ucty]])</f>
        <v>N/A</v>
      </c>
      <c r="Z22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7" s="1" t="str">
        <f>IF(Table1[[#This Row],[Spec Type]]="","N/A",Table1[[#This Row],[Spec Type]])</f>
        <v>±</v>
      </c>
      <c r="AC2297" s="1" t="str">
        <f>IF(Table1[[#This Row],[Spec Type2]]="N/A","N/A",IF(AND(Table1[[#This Row],[DUT Adj Read]]&gt;=Table1[[#This Row],[Low Tol]],Table1[[#This Row],[DUT Adj Read]]&lt;=Table1[[#This Row],[High Tol]]),"Pass","Fail"))</f>
        <v>Fail</v>
      </c>
      <c r="AD2297" s="1" t="str">
        <f>IF(AND(Table1[[#This Row],[Spec Type2]]="N/A",Table1[[#This Row],[DUT Adj Read]]="N/A",Table1[[#This Row],[Std Adj Read]]="N/A"),"N/A",IF(Table1[[#This Row],[DUT Adj Read]]="N/A",IF(Table1[[#This Row],[Std Adj Read]]&gt;Table1[[#This Row],[Low Tol]],"Pass","Fail"),IF(Table1[[#This Row],[DUT Adj Read]]&gt;Table1[[#This Row],[Low Tol]],"Pass","Fail")))</f>
        <v>Pass</v>
      </c>
      <c r="AE2297" s="1" t="str">
        <f>IF(AND(Table1[[#This Row],[Spec Type2]]="N/A",Table1[[#This Row],[DUT Adj Read]]="N/A",Table1[[#This Row],[Std Adj Read]]="N/A"),"N/A",IF(Table1[[#This Row],[DUT Adj Read]]="N/A",IF(Table1[[#This Row],[Std Adj Read]]&lt;Table1[[#This Row],[High Tol]],"Pass","Fail"),IF(Table1[[#This Row],[DUT Adj Read]]&lt;Table1[[#This Row],[High Tol]],"Pass","Fail")))</f>
        <v>Fail</v>
      </c>
      <c r="AF2297" s="1" t="str">
        <f>IF(AND(Table1[[#This Row],[Spec Type2]]="N/A",Table1[[#This Row],[DUT Adj Read]]="N/A",Table1[[#This Row],[Std Adj Read]]="N/A"),"N/A",IF(Table1[[#This Row],[DUT Adj Read]]="N/A",IF(Table1[[#This Row],[Std Adj Read]]&gt;=Table1[[#This Row],[Low Tol]],"Pass","Fail"),IF(Table1[[#This Row],[DUT Adj Read]]&gt;=Table1[[#This Row],[Low Tol]],"Pass","Fail")))</f>
        <v>Pass</v>
      </c>
      <c r="AG2297" s="1" t="str">
        <f>IF(AND(Table1[[#This Row],[Spec Type2]]="N/A",Table1[[#This Row],[DUT Adj Read]]="N/A",Table1[[#This Row],[Std Adj Read]]="N/A"),"N/A",IF(Table1[[#This Row],[DUT Adj Read]]="N/A",IF(Table1[[#This Row],[Std Adj Read]]&lt;=Table1[[#This Row],[High Tol]],"Pass","Fail"),IF(Table1[[#This Row],[DUT Adj Read]]&lt;=Table1[[#This Row],[High Tol]],"Pass","Fail")))</f>
        <v>Fail</v>
      </c>
      <c r="AH22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7" s="1" t="b">
        <v>0</v>
      </c>
      <c r="AN2297" s="1" t="b">
        <v>0</v>
      </c>
      <c r="AO2297" s="1" t="b">
        <v>0</v>
      </c>
    </row>
    <row r="2298" spans="1:41" x14ac:dyDescent="0.25">
      <c r="A2298" s="10"/>
      <c r="B2298" s="10"/>
      <c r="C2298" s="10"/>
      <c r="D2298" s="10"/>
      <c r="E2298" s="10"/>
      <c r="F2298" s="10"/>
      <c r="G2298" s="10"/>
      <c r="H2298" s="10"/>
      <c r="I2298" s="1" t="str">
        <f t="shared" si="105"/>
        <v/>
      </c>
      <c r="J2298" s="1" t="s">
        <v>35</v>
      </c>
      <c r="K2298" s="1" t="str">
        <f t="shared" si="106"/>
        <v/>
      </c>
      <c r="L2298" s="1" t="str">
        <f t="shared" si="107"/>
        <v/>
      </c>
      <c r="M2298" s="1">
        <f>IF(OR(Table1[[#This Row],[Std Nom]]="",Table1[[#This Row],[Std Read]]=""),0,Table1[[#This Row],[Std Nom]]-Table1[[#This Row],[Std Read]])</f>
        <v>0</v>
      </c>
      <c r="N2298" s="1">
        <f>IF(Calculations!$F$5="ACCREDITED 17025 WITH UNCERTAINTIES",$N$10,0)</f>
        <v>0</v>
      </c>
      <c r="O2298" s="1" t="str">
        <f>IFERROR(Table1[[#This Row],[Std Nom]]-(_xlfn.XLOOKUP(Table1[[#This Row],[Manufacturer]]&amp;" "&amp;Table1[[#This Row],[Model]],Table13[MFR &amp; MDL],Table13[Tolerance % CW ],"")/100*Table1[[#This Row],[Std Nom]]),"")</f>
        <v/>
      </c>
      <c r="P2298" s="1" t="str">
        <f>IFERROR(Table1[[#This Row],[Std Nom]]+(_xlfn.XLOOKUP(Table1[[#This Row],[Manufacturer]]&amp;" "&amp;Table1[[#This Row],[Model]],Table13[MFR &amp; MDL],Table13[Tolerance % CW ],"")/100*Table1[[#This Row],[Std Nom]]),"")</f>
        <v/>
      </c>
      <c r="Q2298" s="1" t="e">
        <f>Table1[[#This Row],[High Tol]]-Table1[[#This Row],[Low Tol]]</f>
        <v>#VALUE!</v>
      </c>
      <c r="R2298" s="1">
        <f>2*Table1[[#This Row],[Std Error]]</f>
        <v>0</v>
      </c>
      <c r="S2298" s="1" t="str">
        <f>IF(Table1[[#This Row],[High Tol]]="","N/A",IFERROR(ABS(Table1[[#This Row],[Tol Span]]/Table1[[#This Row],[Error Span]]),"N/A"))</f>
        <v>N/A</v>
      </c>
      <c r="T2298" s="1" t="str">
        <f>IF(OR(Table1[[#This Row],[Low Tol]]="",Table1[[#This Row],[High Tol]]=""),"Needs Analysis",IF(Table1[[#This Row],[Ratio]]&gt;=4,"Not Significant",IF(Table1[[#This Row],[Ratio]]&gt;=2,"Semi-Significant","Significant")))</f>
        <v>Needs Analysis</v>
      </c>
      <c r="W2298" s="1">
        <f>IF(Table1[[#This Row],[Cal Type]]&lt;&gt;"ACCREDITED 17025 WITH UNCERTAINTIES",0,"")</f>
        <v>0</v>
      </c>
      <c r="X2298" s="1" t="str">
        <f>IF(Table1[[#This Row],[DUT Read]]="","N/A",Table1[[#This Row],[Std Error]]+Table1[[#This Row],[DUT Read]]+Table1[[#This Row],[DUT Ucty]])</f>
        <v>N/A</v>
      </c>
      <c r="Y2298" s="1" t="str">
        <f>IF(Table1[[#This Row],[Std Read]]="","N/A",Table1[[#This Row],[Std Read]]+Table1[[#This Row],[Std Ucty]])</f>
        <v>N/A</v>
      </c>
      <c r="Z22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8" s="1" t="str">
        <f>IF(Table1[[#This Row],[Spec Type]]="","N/A",Table1[[#This Row],[Spec Type]])</f>
        <v>±</v>
      </c>
      <c r="AC2298" s="1" t="str">
        <f>IF(Table1[[#This Row],[Spec Type2]]="N/A","N/A",IF(AND(Table1[[#This Row],[DUT Adj Read]]&gt;=Table1[[#This Row],[Low Tol]],Table1[[#This Row],[DUT Adj Read]]&lt;=Table1[[#This Row],[High Tol]]),"Pass","Fail"))</f>
        <v>Fail</v>
      </c>
      <c r="AD2298" s="1" t="str">
        <f>IF(AND(Table1[[#This Row],[Spec Type2]]="N/A",Table1[[#This Row],[DUT Adj Read]]="N/A",Table1[[#This Row],[Std Adj Read]]="N/A"),"N/A",IF(Table1[[#This Row],[DUT Adj Read]]="N/A",IF(Table1[[#This Row],[Std Adj Read]]&gt;Table1[[#This Row],[Low Tol]],"Pass","Fail"),IF(Table1[[#This Row],[DUT Adj Read]]&gt;Table1[[#This Row],[Low Tol]],"Pass","Fail")))</f>
        <v>Pass</v>
      </c>
      <c r="AE2298" s="1" t="str">
        <f>IF(AND(Table1[[#This Row],[Spec Type2]]="N/A",Table1[[#This Row],[DUT Adj Read]]="N/A",Table1[[#This Row],[Std Adj Read]]="N/A"),"N/A",IF(Table1[[#This Row],[DUT Adj Read]]="N/A",IF(Table1[[#This Row],[Std Adj Read]]&lt;Table1[[#This Row],[High Tol]],"Pass","Fail"),IF(Table1[[#This Row],[DUT Adj Read]]&lt;Table1[[#This Row],[High Tol]],"Pass","Fail")))</f>
        <v>Fail</v>
      </c>
      <c r="AF2298" s="1" t="str">
        <f>IF(AND(Table1[[#This Row],[Spec Type2]]="N/A",Table1[[#This Row],[DUT Adj Read]]="N/A",Table1[[#This Row],[Std Adj Read]]="N/A"),"N/A",IF(Table1[[#This Row],[DUT Adj Read]]="N/A",IF(Table1[[#This Row],[Std Adj Read]]&gt;=Table1[[#This Row],[Low Tol]],"Pass","Fail"),IF(Table1[[#This Row],[DUT Adj Read]]&gt;=Table1[[#This Row],[Low Tol]],"Pass","Fail")))</f>
        <v>Pass</v>
      </c>
      <c r="AG2298" s="1" t="str">
        <f>IF(AND(Table1[[#This Row],[Spec Type2]]="N/A",Table1[[#This Row],[DUT Adj Read]]="N/A",Table1[[#This Row],[Std Adj Read]]="N/A"),"N/A",IF(Table1[[#This Row],[DUT Adj Read]]="N/A",IF(Table1[[#This Row],[Std Adj Read]]&lt;=Table1[[#This Row],[High Tol]],"Pass","Fail"),IF(Table1[[#This Row],[DUT Adj Read]]&lt;=Table1[[#This Row],[High Tol]],"Pass","Fail")))</f>
        <v>Fail</v>
      </c>
      <c r="AH22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8" s="1" t="b">
        <v>0</v>
      </c>
      <c r="AN2298" s="1" t="b">
        <v>0</v>
      </c>
      <c r="AO2298" s="1" t="b">
        <v>0</v>
      </c>
    </row>
    <row r="2299" spans="1:41" x14ac:dyDescent="0.25">
      <c r="A2299" s="10"/>
      <c r="B2299" s="10"/>
      <c r="C2299" s="10"/>
      <c r="D2299" s="10"/>
      <c r="E2299" s="10"/>
      <c r="F2299" s="10"/>
      <c r="G2299" s="10"/>
      <c r="H2299" s="10"/>
      <c r="I2299" s="1" t="str">
        <f t="shared" si="105"/>
        <v/>
      </c>
      <c r="J2299" s="1" t="s">
        <v>35</v>
      </c>
      <c r="K2299" s="1" t="str">
        <f t="shared" si="106"/>
        <v/>
      </c>
      <c r="L2299" s="1" t="str">
        <f t="shared" si="107"/>
        <v/>
      </c>
      <c r="M2299" s="1">
        <f>IF(OR(Table1[[#This Row],[Std Nom]]="",Table1[[#This Row],[Std Read]]=""),0,Table1[[#This Row],[Std Nom]]-Table1[[#This Row],[Std Read]])</f>
        <v>0</v>
      </c>
      <c r="N2299" s="1">
        <f>IF(Calculations!$F$5="ACCREDITED 17025 WITH UNCERTAINTIES",$N$10,0)</f>
        <v>0</v>
      </c>
      <c r="O2299" s="1" t="str">
        <f>IFERROR(Table1[[#This Row],[Std Nom]]-(_xlfn.XLOOKUP(Table1[[#This Row],[Manufacturer]]&amp;" "&amp;Table1[[#This Row],[Model]],Table13[MFR &amp; MDL],Table13[Tolerance % CW ],"")/100*Table1[[#This Row],[Std Nom]]),"")</f>
        <v/>
      </c>
      <c r="P2299" s="1" t="str">
        <f>IFERROR(Table1[[#This Row],[Std Nom]]+(_xlfn.XLOOKUP(Table1[[#This Row],[Manufacturer]]&amp;" "&amp;Table1[[#This Row],[Model]],Table13[MFR &amp; MDL],Table13[Tolerance % CW ],"")/100*Table1[[#This Row],[Std Nom]]),"")</f>
        <v/>
      </c>
      <c r="Q2299" s="1" t="e">
        <f>Table1[[#This Row],[High Tol]]-Table1[[#This Row],[Low Tol]]</f>
        <v>#VALUE!</v>
      </c>
      <c r="R2299" s="1">
        <f>2*Table1[[#This Row],[Std Error]]</f>
        <v>0</v>
      </c>
      <c r="S2299" s="1" t="str">
        <f>IF(Table1[[#This Row],[High Tol]]="","N/A",IFERROR(ABS(Table1[[#This Row],[Tol Span]]/Table1[[#This Row],[Error Span]]),"N/A"))</f>
        <v>N/A</v>
      </c>
      <c r="T2299" s="1" t="str">
        <f>IF(OR(Table1[[#This Row],[Low Tol]]="",Table1[[#This Row],[High Tol]]=""),"Needs Analysis",IF(Table1[[#This Row],[Ratio]]&gt;=4,"Not Significant",IF(Table1[[#This Row],[Ratio]]&gt;=2,"Semi-Significant","Significant")))</f>
        <v>Needs Analysis</v>
      </c>
      <c r="W2299" s="1">
        <f>IF(Table1[[#This Row],[Cal Type]]&lt;&gt;"ACCREDITED 17025 WITH UNCERTAINTIES",0,"")</f>
        <v>0</v>
      </c>
      <c r="X2299" s="1" t="str">
        <f>IF(Table1[[#This Row],[DUT Read]]="","N/A",Table1[[#This Row],[Std Error]]+Table1[[#This Row],[DUT Read]]+Table1[[#This Row],[DUT Ucty]])</f>
        <v>N/A</v>
      </c>
      <c r="Y2299" s="1" t="str">
        <f>IF(Table1[[#This Row],[Std Read]]="","N/A",Table1[[#This Row],[Std Read]]+Table1[[#This Row],[Std Ucty]])</f>
        <v>N/A</v>
      </c>
      <c r="Z22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9" s="1" t="str">
        <f>IF(Table1[[#This Row],[Spec Type]]="","N/A",Table1[[#This Row],[Spec Type]])</f>
        <v>±</v>
      </c>
      <c r="AC2299" s="1" t="str">
        <f>IF(Table1[[#This Row],[Spec Type2]]="N/A","N/A",IF(AND(Table1[[#This Row],[DUT Adj Read]]&gt;=Table1[[#This Row],[Low Tol]],Table1[[#This Row],[DUT Adj Read]]&lt;=Table1[[#This Row],[High Tol]]),"Pass","Fail"))</f>
        <v>Fail</v>
      </c>
      <c r="AD2299" s="1" t="str">
        <f>IF(AND(Table1[[#This Row],[Spec Type2]]="N/A",Table1[[#This Row],[DUT Adj Read]]="N/A",Table1[[#This Row],[Std Adj Read]]="N/A"),"N/A",IF(Table1[[#This Row],[DUT Adj Read]]="N/A",IF(Table1[[#This Row],[Std Adj Read]]&gt;Table1[[#This Row],[Low Tol]],"Pass","Fail"),IF(Table1[[#This Row],[DUT Adj Read]]&gt;Table1[[#This Row],[Low Tol]],"Pass","Fail")))</f>
        <v>Pass</v>
      </c>
      <c r="AE2299" s="1" t="str">
        <f>IF(AND(Table1[[#This Row],[Spec Type2]]="N/A",Table1[[#This Row],[DUT Adj Read]]="N/A",Table1[[#This Row],[Std Adj Read]]="N/A"),"N/A",IF(Table1[[#This Row],[DUT Adj Read]]="N/A",IF(Table1[[#This Row],[Std Adj Read]]&lt;Table1[[#This Row],[High Tol]],"Pass","Fail"),IF(Table1[[#This Row],[DUT Adj Read]]&lt;Table1[[#This Row],[High Tol]],"Pass","Fail")))</f>
        <v>Fail</v>
      </c>
      <c r="AF2299" s="1" t="str">
        <f>IF(AND(Table1[[#This Row],[Spec Type2]]="N/A",Table1[[#This Row],[DUT Adj Read]]="N/A",Table1[[#This Row],[Std Adj Read]]="N/A"),"N/A",IF(Table1[[#This Row],[DUT Adj Read]]="N/A",IF(Table1[[#This Row],[Std Adj Read]]&gt;=Table1[[#This Row],[Low Tol]],"Pass","Fail"),IF(Table1[[#This Row],[DUT Adj Read]]&gt;=Table1[[#This Row],[Low Tol]],"Pass","Fail")))</f>
        <v>Pass</v>
      </c>
      <c r="AG2299" s="1" t="str">
        <f>IF(AND(Table1[[#This Row],[Spec Type2]]="N/A",Table1[[#This Row],[DUT Adj Read]]="N/A",Table1[[#This Row],[Std Adj Read]]="N/A"),"N/A",IF(Table1[[#This Row],[DUT Adj Read]]="N/A",IF(Table1[[#This Row],[Std Adj Read]]&lt;=Table1[[#This Row],[High Tol]],"Pass","Fail"),IF(Table1[[#This Row],[DUT Adj Read]]&lt;=Table1[[#This Row],[High Tol]],"Pass","Fail")))</f>
        <v>Fail</v>
      </c>
      <c r="AH22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9" s="1" t="b">
        <v>0</v>
      </c>
      <c r="AN2299" s="1" t="b">
        <v>0</v>
      </c>
      <c r="AO2299" s="1" t="b">
        <v>0</v>
      </c>
    </row>
    <row r="2300" spans="1:41" x14ac:dyDescent="0.25">
      <c r="A2300" s="10"/>
      <c r="B2300" s="10"/>
      <c r="C2300" s="10"/>
      <c r="D2300" s="10"/>
      <c r="E2300" s="10"/>
      <c r="F2300" s="10"/>
      <c r="G2300" s="10"/>
      <c r="H2300" s="10"/>
      <c r="I2300" s="1" t="str">
        <f t="shared" si="105"/>
        <v/>
      </c>
      <c r="J2300" s="1" t="s">
        <v>35</v>
      </c>
      <c r="K2300" s="1" t="str">
        <f t="shared" si="106"/>
        <v/>
      </c>
      <c r="L2300" s="1" t="str">
        <f t="shared" si="107"/>
        <v/>
      </c>
      <c r="M2300" s="1">
        <f>IF(OR(Table1[[#This Row],[Std Nom]]="",Table1[[#This Row],[Std Read]]=""),0,Table1[[#This Row],[Std Nom]]-Table1[[#This Row],[Std Read]])</f>
        <v>0</v>
      </c>
      <c r="N2300" s="1">
        <f>IF(Calculations!$F$5="ACCREDITED 17025 WITH UNCERTAINTIES",$N$10,0)</f>
        <v>0</v>
      </c>
      <c r="O2300" s="1" t="str">
        <f>IFERROR(Table1[[#This Row],[Std Nom]]-(_xlfn.XLOOKUP(Table1[[#This Row],[Manufacturer]]&amp;" "&amp;Table1[[#This Row],[Model]],Table13[MFR &amp; MDL],Table13[Tolerance % CW ],"")/100*Table1[[#This Row],[Std Nom]]),"")</f>
        <v/>
      </c>
      <c r="P2300" s="1" t="str">
        <f>IFERROR(Table1[[#This Row],[Std Nom]]+(_xlfn.XLOOKUP(Table1[[#This Row],[Manufacturer]]&amp;" "&amp;Table1[[#This Row],[Model]],Table13[MFR &amp; MDL],Table13[Tolerance % CW ],"")/100*Table1[[#This Row],[Std Nom]]),"")</f>
        <v/>
      </c>
      <c r="Q2300" s="1" t="e">
        <f>Table1[[#This Row],[High Tol]]-Table1[[#This Row],[Low Tol]]</f>
        <v>#VALUE!</v>
      </c>
      <c r="R2300" s="1">
        <f>2*Table1[[#This Row],[Std Error]]</f>
        <v>0</v>
      </c>
      <c r="S2300" s="1" t="str">
        <f>IF(Table1[[#This Row],[High Tol]]="","N/A",IFERROR(ABS(Table1[[#This Row],[Tol Span]]/Table1[[#This Row],[Error Span]]),"N/A"))</f>
        <v>N/A</v>
      </c>
      <c r="T2300" s="1" t="str">
        <f>IF(OR(Table1[[#This Row],[Low Tol]]="",Table1[[#This Row],[High Tol]]=""),"Needs Analysis",IF(Table1[[#This Row],[Ratio]]&gt;=4,"Not Significant",IF(Table1[[#This Row],[Ratio]]&gt;=2,"Semi-Significant","Significant")))</f>
        <v>Needs Analysis</v>
      </c>
      <c r="W2300" s="1">
        <f>IF(Table1[[#This Row],[Cal Type]]&lt;&gt;"ACCREDITED 17025 WITH UNCERTAINTIES",0,"")</f>
        <v>0</v>
      </c>
      <c r="X2300" s="1" t="str">
        <f>IF(Table1[[#This Row],[DUT Read]]="","N/A",Table1[[#This Row],[Std Error]]+Table1[[#This Row],[DUT Read]]+Table1[[#This Row],[DUT Ucty]])</f>
        <v>N/A</v>
      </c>
      <c r="Y2300" s="1" t="str">
        <f>IF(Table1[[#This Row],[Std Read]]="","N/A",Table1[[#This Row],[Std Read]]+Table1[[#This Row],[Std Ucty]])</f>
        <v>N/A</v>
      </c>
      <c r="Z23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0" s="1" t="str">
        <f>IF(Table1[[#This Row],[Spec Type]]="","N/A",Table1[[#This Row],[Spec Type]])</f>
        <v>±</v>
      </c>
      <c r="AC2300" s="1" t="str">
        <f>IF(Table1[[#This Row],[Spec Type2]]="N/A","N/A",IF(AND(Table1[[#This Row],[DUT Adj Read]]&gt;=Table1[[#This Row],[Low Tol]],Table1[[#This Row],[DUT Adj Read]]&lt;=Table1[[#This Row],[High Tol]]),"Pass","Fail"))</f>
        <v>Fail</v>
      </c>
      <c r="AD2300" s="1" t="str">
        <f>IF(AND(Table1[[#This Row],[Spec Type2]]="N/A",Table1[[#This Row],[DUT Adj Read]]="N/A",Table1[[#This Row],[Std Adj Read]]="N/A"),"N/A",IF(Table1[[#This Row],[DUT Adj Read]]="N/A",IF(Table1[[#This Row],[Std Adj Read]]&gt;Table1[[#This Row],[Low Tol]],"Pass","Fail"),IF(Table1[[#This Row],[DUT Adj Read]]&gt;Table1[[#This Row],[Low Tol]],"Pass","Fail")))</f>
        <v>Pass</v>
      </c>
      <c r="AE2300" s="1" t="str">
        <f>IF(AND(Table1[[#This Row],[Spec Type2]]="N/A",Table1[[#This Row],[DUT Adj Read]]="N/A",Table1[[#This Row],[Std Adj Read]]="N/A"),"N/A",IF(Table1[[#This Row],[DUT Adj Read]]="N/A",IF(Table1[[#This Row],[Std Adj Read]]&lt;Table1[[#This Row],[High Tol]],"Pass","Fail"),IF(Table1[[#This Row],[DUT Adj Read]]&lt;Table1[[#This Row],[High Tol]],"Pass","Fail")))</f>
        <v>Fail</v>
      </c>
      <c r="AF2300" s="1" t="str">
        <f>IF(AND(Table1[[#This Row],[Spec Type2]]="N/A",Table1[[#This Row],[DUT Adj Read]]="N/A",Table1[[#This Row],[Std Adj Read]]="N/A"),"N/A",IF(Table1[[#This Row],[DUT Adj Read]]="N/A",IF(Table1[[#This Row],[Std Adj Read]]&gt;=Table1[[#This Row],[Low Tol]],"Pass","Fail"),IF(Table1[[#This Row],[DUT Adj Read]]&gt;=Table1[[#This Row],[Low Tol]],"Pass","Fail")))</f>
        <v>Pass</v>
      </c>
      <c r="AG2300" s="1" t="str">
        <f>IF(AND(Table1[[#This Row],[Spec Type2]]="N/A",Table1[[#This Row],[DUT Adj Read]]="N/A",Table1[[#This Row],[Std Adj Read]]="N/A"),"N/A",IF(Table1[[#This Row],[DUT Adj Read]]="N/A",IF(Table1[[#This Row],[Std Adj Read]]&lt;=Table1[[#This Row],[High Tol]],"Pass","Fail"),IF(Table1[[#This Row],[DUT Adj Read]]&lt;=Table1[[#This Row],[High Tol]],"Pass","Fail")))</f>
        <v>Fail</v>
      </c>
      <c r="AH23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0" s="1" t="b">
        <v>0</v>
      </c>
      <c r="AN2300" s="1" t="b">
        <v>0</v>
      </c>
      <c r="AO2300" s="1" t="b">
        <v>0</v>
      </c>
    </row>
    <row r="2301" spans="1:41" x14ac:dyDescent="0.25">
      <c r="A2301" s="10"/>
      <c r="B2301" s="10"/>
      <c r="C2301" s="10"/>
      <c r="D2301" s="10"/>
      <c r="E2301" s="10"/>
      <c r="F2301" s="10"/>
      <c r="G2301" s="10"/>
      <c r="H2301" s="10"/>
      <c r="I2301" s="1" t="str">
        <f t="shared" si="105"/>
        <v/>
      </c>
      <c r="J2301" s="1" t="s">
        <v>35</v>
      </c>
      <c r="K2301" s="1" t="str">
        <f t="shared" si="106"/>
        <v/>
      </c>
      <c r="L2301" s="1" t="str">
        <f t="shared" si="107"/>
        <v/>
      </c>
      <c r="M2301" s="1">
        <f>IF(OR(Table1[[#This Row],[Std Nom]]="",Table1[[#This Row],[Std Read]]=""),0,Table1[[#This Row],[Std Nom]]-Table1[[#This Row],[Std Read]])</f>
        <v>0</v>
      </c>
      <c r="N2301" s="1">
        <f>IF(Calculations!$F$5="ACCREDITED 17025 WITH UNCERTAINTIES",$N$10,0)</f>
        <v>0</v>
      </c>
      <c r="O2301" s="1" t="str">
        <f>IFERROR(Table1[[#This Row],[Std Nom]]-(_xlfn.XLOOKUP(Table1[[#This Row],[Manufacturer]]&amp;" "&amp;Table1[[#This Row],[Model]],Table13[MFR &amp; MDL],Table13[Tolerance % CW ],"")/100*Table1[[#This Row],[Std Nom]]),"")</f>
        <v/>
      </c>
      <c r="P2301" s="1" t="str">
        <f>IFERROR(Table1[[#This Row],[Std Nom]]+(_xlfn.XLOOKUP(Table1[[#This Row],[Manufacturer]]&amp;" "&amp;Table1[[#This Row],[Model]],Table13[MFR &amp; MDL],Table13[Tolerance % CW ],"")/100*Table1[[#This Row],[Std Nom]]),"")</f>
        <v/>
      </c>
      <c r="Q2301" s="1" t="e">
        <f>Table1[[#This Row],[High Tol]]-Table1[[#This Row],[Low Tol]]</f>
        <v>#VALUE!</v>
      </c>
      <c r="R2301" s="1">
        <f>2*Table1[[#This Row],[Std Error]]</f>
        <v>0</v>
      </c>
      <c r="S2301" s="1" t="str">
        <f>IF(Table1[[#This Row],[High Tol]]="","N/A",IFERROR(ABS(Table1[[#This Row],[Tol Span]]/Table1[[#This Row],[Error Span]]),"N/A"))</f>
        <v>N/A</v>
      </c>
      <c r="T2301" s="1" t="str">
        <f>IF(OR(Table1[[#This Row],[Low Tol]]="",Table1[[#This Row],[High Tol]]=""),"Needs Analysis",IF(Table1[[#This Row],[Ratio]]&gt;=4,"Not Significant",IF(Table1[[#This Row],[Ratio]]&gt;=2,"Semi-Significant","Significant")))</f>
        <v>Needs Analysis</v>
      </c>
      <c r="W2301" s="1">
        <f>IF(Table1[[#This Row],[Cal Type]]&lt;&gt;"ACCREDITED 17025 WITH UNCERTAINTIES",0,"")</f>
        <v>0</v>
      </c>
      <c r="X2301" s="1" t="str">
        <f>IF(Table1[[#This Row],[DUT Read]]="","N/A",Table1[[#This Row],[Std Error]]+Table1[[#This Row],[DUT Read]]+Table1[[#This Row],[DUT Ucty]])</f>
        <v>N/A</v>
      </c>
      <c r="Y2301" s="1" t="str">
        <f>IF(Table1[[#This Row],[Std Read]]="","N/A",Table1[[#This Row],[Std Read]]+Table1[[#This Row],[Std Ucty]])</f>
        <v>N/A</v>
      </c>
      <c r="Z23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1" s="1" t="str">
        <f>IF(Table1[[#This Row],[Spec Type]]="","N/A",Table1[[#This Row],[Spec Type]])</f>
        <v>±</v>
      </c>
      <c r="AC2301" s="1" t="str">
        <f>IF(Table1[[#This Row],[Spec Type2]]="N/A","N/A",IF(AND(Table1[[#This Row],[DUT Adj Read]]&gt;=Table1[[#This Row],[Low Tol]],Table1[[#This Row],[DUT Adj Read]]&lt;=Table1[[#This Row],[High Tol]]),"Pass","Fail"))</f>
        <v>Fail</v>
      </c>
      <c r="AD2301" s="1" t="str">
        <f>IF(AND(Table1[[#This Row],[Spec Type2]]="N/A",Table1[[#This Row],[DUT Adj Read]]="N/A",Table1[[#This Row],[Std Adj Read]]="N/A"),"N/A",IF(Table1[[#This Row],[DUT Adj Read]]="N/A",IF(Table1[[#This Row],[Std Adj Read]]&gt;Table1[[#This Row],[Low Tol]],"Pass","Fail"),IF(Table1[[#This Row],[DUT Adj Read]]&gt;Table1[[#This Row],[Low Tol]],"Pass","Fail")))</f>
        <v>Pass</v>
      </c>
      <c r="AE2301" s="1" t="str">
        <f>IF(AND(Table1[[#This Row],[Spec Type2]]="N/A",Table1[[#This Row],[DUT Adj Read]]="N/A",Table1[[#This Row],[Std Adj Read]]="N/A"),"N/A",IF(Table1[[#This Row],[DUT Adj Read]]="N/A",IF(Table1[[#This Row],[Std Adj Read]]&lt;Table1[[#This Row],[High Tol]],"Pass","Fail"),IF(Table1[[#This Row],[DUT Adj Read]]&lt;Table1[[#This Row],[High Tol]],"Pass","Fail")))</f>
        <v>Fail</v>
      </c>
      <c r="AF2301" s="1" t="str">
        <f>IF(AND(Table1[[#This Row],[Spec Type2]]="N/A",Table1[[#This Row],[DUT Adj Read]]="N/A",Table1[[#This Row],[Std Adj Read]]="N/A"),"N/A",IF(Table1[[#This Row],[DUT Adj Read]]="N/A",IF(Table1[[#This Row],[Std Adj Read]]&gt;=Table1[[#This Row],[Low Tol]],"Pass","Fail"),IF(Table1[[#This Row],[DUT Adj Read]]&gt;=Table1[[#This Row],[Low Tol]],"Pass","Fail")))</f>
        <v>Pass</v>
      </c>
      <c r="AG2301" s="1" t="str">
        <f>IF(AND(Table1[[#This Row],[Spec Type2]]="N/A",Table1[[#This Row],[DUT Adj Read]]="N/A",Table1[[#This Row],[Std Adj Read]]="N/A"),"N/A",IF(Table1[[#This Row],[DUT Adj Read]]="N/A",IF(Table1[[#This Row],[Std Adj Read]]&lt;=Table1[[#This Row],[High Tol]],"Pass","Fail"),IF(Table1[[#This Row],[DUT Adj Read]]&lt;=Table1[[#This Row],[High Tol]],"Pass","Fail")))</f>
        <v>Fail</v>
      </c>
      <c r="AH23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1" s="1" t="b">
        <v>0</v>
      </c>
      <c r="AN2301" s="1" t="b">
        <v>0</v>
      </c>
      <c r="AO2301" s="1" t="b">
        <v>0</v>
      </c>
    </row>
    <row r="2302" spans="1:41" x14ac:dyDescent="0.25">
      <c r="A2302" s="10"/>
      <c r="B2302" s="10"/>
      <c r="C2302" s="10"/>
      <c r="D2302" s="10"/>
      <c r="E2302" s="10"/>
      <c r="F2302" s="10"/>
      <c r="G2302" s="10"/>
      <c r="H2302" s="10"/>
      <c r="I2302" s="1" t="str">
        <f t="shared" si="105"/>
        <v/>
      </c>
      <c r="J2302" s="1" t="s">
        <v>35</v>
      </c>
      <c r="K2302" s="1" t="str">
        <f t="shared" si="106"/>
        <v/>
      </c>
      <c r="L2302" s="1" t="str">
        <f t="shared" si="107"/>
        <v/>
      </c>
      <c r="M2302" s="1">
        <f>IF(OR(Table1[[#This Row],[Std Nom]]="",Table1[[#This Row],[Std Read]]=""),0,Table1[[#This Row],[Std Nom]]-Table1[[#This Row],[Std Read]])</f>
        <v>0</v>
      </c>
      <c r="N2302" s="1">
        <f>IF(Calculations!$F$5="ACCREDITED 17025 WITH UNCERTAINTIES",$N$10,0)</f>
        <v>0</v>
      </c>
      <c r="O2302" s="1" t="str">
        <f>IFERROR(Table1[[#This Row],[Std Nom]]-(_xlfn.XLOOKUP(Table1[[#This Row],[Manufacturer]]&amp;" "&amp;Table1[[#This Row],[Model]],Table13[MFR &amp; MDL],Table13[Tolerance % CW ],"")/100*Table1[[#This Row],[Std Nom]]),"")</f>
        <v/>
      </c>
      <c r="P2302" s="1" t="str">
        <f>IFERROR(Table1[[#This Row],[Std Nom]]+(_xlfn.XLOOKUP(Table1[[#This Row],[Manufacturer]]&amp;" "&amp;Table1[[#This Row],[Model]],Table13[MFR &amp; MDL],Table13[Tolerance % CW ],"")/100*Table1[[#This Row],[Std Nom]]),"")</f>
        <v/>
      </c>
      <c r="Q2302" s="1" t="e">
        <f>Table1[[#This Row],[High Tol]]-Table1[[#This Row],[Low Tol]]</f>
        <v>#VALUE!</v>
      </c>
      <c r="R2302" s="1">
        <f>2*Table1[[#This Row],[Std Error]]</f>
        <v>0</v>
      </c>
      <c r="S2302" s="1" t="str">
        <f>IF(Table1[[#This Row],[High Tol]]="","N/A",IFERROR(ABS(Table1[[#This Row],[Tol Span]]/Table1[[#This Row],[Error Span]]),"N/A"))</f>
        <v>N/A</v>
      </c>
      <c r="T2302" s="1" t="str">
        <f>IF(OR(Table1[[#This Row],[Low Tol]]="",Table1[[#This Row],[High Tol]]=""),"Needs Analysis",IF(Table1[[#This Row],[Ratio]]&gt;=4,"Not Significant",IF(Table1[[#This Row],[Ratio]]&gt;=2,"Semi-Significant","Significant")))</f>
        <v>Needs Analysis</v>
      </c>
      <c r="W2302" s="1">
        <f>IF(Table1[[#This Row],[Cal Type]]&lt;&gt;"ACCREDITED 17025 WITH UNCERTAINTIES",0,"")</f>
        <v>0</v>
      </c>
      <c r="X2302" s="1" t="str">
        <f>IF(Table1[[#This Row],[DUT Read]]="","N/A",Table1[[#This Row],[Std Error]]+Table1[[#This Row],[DUT Read]]+Table1[[#This Row],[DUT Ucty]])</f>
        <v>N/A</v>
      </c>
      <c r="Y2302" s="1" t="str">
        <f>IF(Table1[[#This Row],[Std Read]]="","N/A",Table1[[#This Row],[Std Read]]+Table1[[#This Row],[Std Ucty]])</f>
        <v>N/A</v>
      </c>
      <c r="Z23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2" s="1" t="str">
        <f>IF(Table1[[#This Row],[Spec Type]]="","N/A",Table1[[#This Row],[Spec Type]])</f>
        <v>±</v>
      </c>
      <c r="AC2302" s="1" t="str">
        <f>IF(Table1[[#This Row],[Spec Type2]]="N/A","N/A",IF(AND(Table1[[#This Row],[DUT Adj Read]]&gt;=Table1[[#This Row],[Low Tol]],Table1[[#This Row],[DUT Adj Read]]&lt;=Table1[[#This Row],[High Tol]]),"Pass","Fail"))</f>
        <v>Fail</v>
      </c>
      <c r="AD2302" s="1" t="str">
        <f>IF(AND(Table1[[#This Row],[Spec Type2]]="N/A",Table1[[#This Row],[DUT Adj Read]]="N/A",Table1[[#This Row],[Std Adj Read]]="N/A"),"N/A",IF(Table1[[#This Row],[DUT Adj Read]]="N/A",IF(Table1[[#This Row],[Std Adj Read]]&gt;Table1[[#This Row],[Low Tol]],"Pass","Fail"),IF(Table1[[#This Row],[DUT Adj Read]]&gt;Table1[[#This Row],[Low Tol]],"Pass","Fail")))</f>
        <v>Pass</v>
      </c>
      <c r="AE2302" s="1" t="str">
        <f>IF(AND(Table1[[#This Row],[Spec Type2]]="N/A",Table1[[#This Row],[DUT Adj Read]]="N/A",Table1[[#This Row],[Std Adj Read]]="N/A"),"N/A",IF(Table1[[#This Row],[DUT Adj Read]]="N/A",IF(Table1[[#This Row],[Std Adj Read]]&lt;Table1[[#This Row],[High Tol]],"Pass","Fail"),IF(Table1[[#This Row],[DUT Adj Read]]&lt;Table1[[#This Row],[High Tol]],"Pass","Fail")))</f>
        <v>Fail</v>
      </c>
      <c r="AF2302" s="1" t="str">
        <f>IF(AND(Table1[[#This Row],[Spec Type2]]="N/A",Table1[[#This Row],[DUT Adj Read]]="N/A",Table1[[#This Row],[Std Adj Read]]="N/A"),"N/A",IF(Table1[[#This Row],[DUT Adj Read]]="N/A",IF(Table1[[#This Row],[Std Adj Read]]&gt;=Table1[[#This Row],[Low Tol]],"Pass","Fail"),IF(Table1[[#This Row],[DUT Adj Read]]&gt;=Table1[[#This Row],[Low Tol]],"Pass","Fail")))</f>
        <v>Pass</v>
      </c>
      <c r="AG2302" s="1" t="str">
        <f>IF(AND(Table1[[#This Row],[Spec Type2]]="N/A",Table1[[#This Row],[DUT Adj Read]]="N/A",Table1[[#This Row],[Std Adj Read]]="N/A"),"N/A",IF(Table1[[#This Row],[DUT Adj Read]]="N/A",IF(Table1[[#This Row],[Std Adj Read]]&lt;=Table1[[#This Row],[High Tol]],"Pass","Fail"),IF(Table1[[#This Row],[DUT Adj Read]]&lt;=Table1[[#This Row],[High Tol]],"Pass","Fail")))</f>
        <v>Fail</v>
      </c>
      <c r="AH23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2" s="1" t="b">
        <v>0</v>
      </c>
      <c r="AN2302" s="1" t="b">
        <v>0</v>
      </c>
      <c r="AO2302" s="1" t="b">
        <v>0</v>
      </c>
    </row>
    <row r="2303" spans="1:41" x14ac:dyDescent="0.25">
      <c r="A2303" s="10"/>
      <c r="B2303" s="10"/>
      <c r="C2303" s="10"/>
      <c r="D2303" s="10"/>
      <c r="E2303" s="10"/>
      <c r="F2303" s="10"/>
      <c r="G2303" s="10"/>
      <c r="H2303" s="10"/>
      <c r="I2303" s="1" t="str">
        <f t="shared" si="105"/>
        <v/>
      </c>
      <c r="J2303" s="1" t="s">
        <v>35</v>
      </c>
      <c r="K2303" s="1" t="str">
        <f t="shared" si="106"/>
        <v/>
      </c>
      <c r="L2303" s="1" t="str">
        <f t="shared" si="107"/>
        <v/>
      </c>
      <c r="M2303" s="1">
        <f>IF(OR(Table1[[#This Row],[Std Nom]]="",Table1[[#This Row],[Std Read]]=""),0,Table1[[#This Row],[Std Nom]]-Table1[[#This Row],[Std Read]])</f>
        <v>0</v>
      </c>
      <c r="N2303" s="1">
        <f>IF(Calculations!$F$5="ACCREDITED 17025 WITH UNCERTAINTIES",$N$10,0)</f>
        <v>0</v>
      </c>
      <c r="O2303" s="1" t="str">
        <f>IFERROR(Table1[[#This Row],[Std Nom]]-(_xlfn.XLOOKUP(Table1[[#This Row],[Manufacturer]]&amp;" "&amp;Table1[[#This Row],[Model]],Table13[MFR &amp; MDL],Table13[Tolerance % CW ],"")/100*Table1[[#This Row],[Std Nom]]),"")</f>
        <v/>
      </c>
      <c r="P2303" s="1" t="str">
        <f>IFERROR(Table1[[#This Row],[Std Nom]]+(_xlfn.XLOOKUP(Table1[[#This Row],[Manufacturer]]&amp;" "&amp;Table1[[#This Row],[Model]],Table13[MFR &amp; MDL],Table13[Tolerance % CW ],"")/100*Table1[[#This Row],[Std Nom]]),"")</f>
        <v/>
      </c>
      <c r="Q2303" s="1" t="e">
        <f>Table1[[#This Row],[High Tol]]-Table1[[#This Row],[Low Tol]]</f>
        <v>#VALUE!</v>
      </c>
      <c r="R2303" s="1">
        <f>2*Table1[[#This Row],[Std Error]]</f>
        <v>0</v>
      </c>
      <c r="S2303" s="1" t="str">
        <f>IF(Table1[[#This Row],[High Tol]]="","N/A",IFERROR(ABS(Table1[[#This Row],[Tol Span]]/Table1[[#This Row],[Error Span]]),"N/A"))</f>
        <v>N/A</v>
      </c>
      <c r="T2303" s="1" t="str">
        <f>IF(OR(Table1[[#This Row],[Low Tol]]="",Table1[[#This Row],[High Tol]]=""),"Needs Analysis",IF(Table1[[#This Row],[Ratio]]&gt;=4,"Not Significant",IF(Table1[[#This Row],[Ratio]]&gt;=2,"Semi-Significant","Significant")))</f>
        <v>Needs Analysis</v>
      </c>
      <c r="W2303" s="1">
        <f>IF(Table1[[#This Row],[Cal Type]]&lt;&gt;"ACCREDITED 17025 WITH UNCERTAINTIES",0,"")</f>
        <v>0</v>
      </c>
      <c r="X2303" s="1" t="str">
        <f>IF(Table1[[#This Row],[DUT Read]]="","N/A",Table1[[#This Row],[Std Error]]+Table1[[#This Row],[DUT Read]]+Table1[[#This Row],[DUT Ucty]])</f>
        <v>N/A</v>
      </c>
      <c r="Y2303" s="1" t="str">
        <f>IF(Table1[[#This Row],[Std Read]]="","N/A",Table1[[#This Row],[Std Read]]+Table1[[#This Row],[Std Ucty]])</f>
        <v>N/A</v>
      </c>
      <c r="Z23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3" s="1" t="str">
        <f>IF(Table1[[#This Row],[Spec Type]]="","N/A",Table1[[#This Row],[Spec Type]])</f>
        <v>±</v>
      </c>
      <c r="AC2303" s="1" t="str">
        <f>IF(Table1[[#This Row],[Spec Type2]]="N/A","N/A",IF(AND(Table1[[#This Row],[DUT Adj Read]]&gt;=Table1[[#This Row],[Low Tol]],Table1[[#This Row],[DUT Adj Read]]&lt;=Table1[[#This Row],[High Tol]]),"Pass","Fail"))</f>
        <v>Fail</v>
      </c>
      <c r="AD2303" s="1" t="str">
        <f>IF(AND(Table1[[#This Row],[Spec Type2]]="N/A",Table1[[#This Row],[DUT Adj Read]]="N/A",Table1[[#This Row],[Std Adj Read]]="N/A"),"N/A",IF(Table1[[#This Row],[DUT Adj Read]]="N/A",IF(Table1[[#This Row],[Std Adj Read]]&gt;Table1[[#This Row],[Low Tol]],"Pass","Fail"),IF(Table1[[#This Row],[DUT Adj Read]]&gt;Table1[[#This Row],[Low Tol]],"Pass","Fail")))</f>
        <v>Pass</v>
      </c>
      <c r="AE2303" s="1" t="str">
        <f>IF(AND(Table1[[#This Row],[Spec Type2]]="N/A",Table1[[#This Row],[DUT Adj Read]]="N/A",Table1[[#This Row],[Std Adj Read]]="N/A"),"N/A",IF(Table1[[#This Row],[DUT Adj Read]]="N/A",IF(Table1[[#This Row],[Std Adj Read]]&lt;Table1[[#This Row],[High Tol]],"Pass","Fail"),IF(Table1[[#This Row],[DUT Adj Read]]&lt;Table1[[#This Row],[High Tol]],"Pass","Fail")))</f>
        <v>Fail</v>
      </c>
      <c r="AF2303" s="1" t="str">
        <f>IF(AND(Table1[[#This Row],[Spec Type2]]="N/A",Table1[[#This Row],[DUT Adj Read]]="N/A",Table1[[#This Row],[Std Adj Read]]="N/A"),"N/A",IF(Table1[[#This Row],[DUT Adj Read]]="N/A",IF(Table1[[#This Row],[Std Adj Read]]&gt;=Table1[[#This Row],[Low Tol]],"Pass","Fail"),IF(Table1[[#This Row],[DUT Adj Read]]&gt;=Table1[[#This Row],[Low Tol]],"Pass","Fail")))</f>
        <v>Pass</v>
      </c>
      <c r="AG2303" s="1" t="str">
        <f>IF(AND(Table1[[#This Row],[Spec Type2]]="N/A",Table1[[#This Row],[DUT Adj Read]]="N/A",Table1[[#This Row],[Std Adj Read]]="N/A"),"N/A",IF(Table1[[#This Row],[DUT Adj Read]]="N/A",IF(Table1[[#This Row],[Std Adj Read]]&lt;=Table1[[#This Row],[High Tol]],"Pass","Fail"),IF(Table1[[#This Row],[DUT Adj Read]]&lt;=Table1[[#This Row],[High Tol]],"Pass","Fail")))</f>
        <v>Fail</v>
      </c>
      <c r="AH23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3" s="1" t="b">
        <v>0</v>
      </c>
      <c r="AN2303" s="1" t="b">
        <v>0</v>
      </c>
      <c r="AO2303" s="1" t="b">
        <v>0</v>
      </c>
    </row>
    <row r="2304" spans="1:41" x14ac:dyDescent="0.25">
      <c r="A2304" s="10"/>
      <c r="B2304" s="10"/>
      <c r="C2304" s="10"/>
      <c r="D2304" s="10"/>
      <c r="E2304" s="10"/>
      <c r="F2304" s="10"/>
      <c r="G2304" s="10"/>
      <c r="H2304" s="10"/>
      <c r="I2304" s="1" t="str">
        <f t="shared" si="105"/>
        <v/>
      </c>
      <c r="J2304" s="1" t="s">
        <v>35</v>
      </c>
      <c r="K2304" s="1" t="str">
        <f t="shared" si="106"/>
        <v/>
      </c>
      <c r="L2304" s="1" t="str">
        <f t="shared" si="107"/>
        <v/>
      </c>
      <c r="M2304" s="1">
        <f>IF(OR(Table1[[#This Row],[Std Nom]]="",Table1[[#This Row],[Std Read]]=""),0,Table1[[#This Row],[Std Nom]]-Table1[[#This Row],[Std Read]])</f>
        <v>0</v>
      </c>
      <c r="N2304" s="1">
        <f>IF(Calculations!$F$5="ACCREDITED 17025 WITH UNCERTAINTIES",$N$10,0)</f>
        <v>0</v>
      </c>
      <c r="O2304" s="1" t="str">
        <f>IFERROR(Table1[[#This Row],[Std Nom]]-(_xlfn.XLOOKUP(Table1[[#This Row],[Manufacturer]]&amp;" "&amp;Table1[[#This Row],[Model]],Table13[MFR &amp; MDL],Table13[Tolerance % CW ],"")/100*Table1[[#This Row],[Std Nom]]),"")</f>
        <v/>
      </c>
      <c r="P2304" s="1" t="str">
        <f>IFERROR(Table1[[#This Row],[Std Nom]]+(_xlfn.XLOOKUP(Table1[[#This Row],[Manufacturer]]&amp;" "&amp;Table1[[#This Row],[Model]],Table13[MFR &amp; MDL],Table13[Tolerance % CW ],"")/100*Table1[[#This Row],[Std Nom]]),"")</f>
        <v/>
      </c>
      <c r="Q2304" s="1" t="e">
        <f>Table1[[#This Row],[High Tol]]-Table1[[#This Row],[Low Tol]]</f>
        <v>#VALUE!</v>
      </c>
      <c r="R2304" s="1">
        <f>2*Table1[[#This Row],[Std Error]]</f>
        <v>0</v>
      </c>
      <c r="S2304" s="1" t="str">
        <f>IF(Table1[[#This Row],[High Tol]]="","N/A",IFERROR(ABS(Table1[[#This Row],[Tol Span]]/Table1[[#This Row],[Error Span]]),"N/A"))</f>
        <v>N/A</v>
      </c>
      <c r="T2304" s="1" t="str">
        <f>IF(OR(Table1[[#This Row],[Low Tol]]="",Table1[[#This Row],[High Tol]]=""),"Needs Analysis",IF(Table1[[#This Row],[Ratio]]&gt;=4,"Not Significant",IF(Table1[[#This Row],[Ratio]]&gt;=2,"Semi-Significant","Significant")))</f>
        <v>Needs Analysis</v>
      </c>
      <c r="W2304" s="1">
        <f>IF(Table1[[#This Row],[Cal Type]]&lt;&gt;"ACCREDITED 17025 WITH UNCERTAINTIES",0,"")</f>
        <v>0</v>
      </c>
      <c r="X2304" s="1" t="str">
        <f>IF(Table1[[#This Row],[DUT Read]]="","N/A",Table1[[#This Row],[Std Error]]+Table1[[#This Row],[DUT Read]]+Table1[[#This Row],[DUT Ucty]])</f>
        <v>N/A</v>
      </c>
      <c r="Y2304" s="1" t="str">
        <f>IF(Table1[[#This Row],[Std Read]]="","N/A",Table1[[#This Row],[Std Read]]+Table1[[#This Row],[Std Ucty]])</f>
        <v>N/A</v>
      </c>
      <c r="Z23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4" s="1" t="str">
        <f>IF(Table1[[#This Row],[Spec Type]]="","N/A",Table1[[#This Row],[Spec Type]])</f>
        <v>±</v>
      </c>
      <c r="AC2304" s="1" t="str">
        <f>IF(Table1[[#This Row],[Spec Type2]]="N/A","N/A",IF(AND(Table1[[#This Row],[DUT Adj Read]]&gt;=Table1[[#This Row],[Low Tol]],Table1[[#This Row],[DUT Adj Read]]&lt;=Table1[[#This Row],[High Tol]]),"Pass","Fail"))</f>
        <v>Fail</v>
      </c>
      <c r="AD2304" s="1" t="str">
        <f>IF(AND(Table1[[#This Row],[Spec Type2]]="N/A",Table1[[#This Row],[DUT Adj Read]]="N/A",Table1[[#This Row],[Std Adj Read]]="N/A"),"N/A",IF(Table1[[#This Row],[DUT Adj Read]]="N/A",IF(Table1[[#This Row],[Std Adj Read]]&gt;Table1[[#This Row],[Low Tol]],"Pass","Fail"),IF(Table1[[#This Row],[DUT Adj Read]]&gt;Table1[[#This Row],[Low Tol]],"Pass","Fail")))</f>
        <v>Pass</v>
      </c>
      <c r="AE2304" s="1" t="str">
        <f>IF(AND(Table1[[#This Row],[Spec Type2]]="N/A",Table1[[#This Row],[DUT Adj Read]]="N/A",Table1[[#This Row],[Std Adj Read]]="N/A"),"N/A",IF(Table1[[#This Row],[DUT Adj Read]]="N/A",IF(Table1[[#This Row],[Std Adj Read]]&lt;Table1[[#This Row],[High Tol]],"Pass","Fail"),IF(Table1[[#This Row],[DUT Adj Read]]&lt;Table1[[#This Row],[High Tol]],"Pass","Fail")))</f>
        <v>Fail</v>
      </c>
      <c r="AF2304" s="1" t="str">
        <f>IF(AND(Table1[[#This Row],[Spec Type2]]="N/A",Table1[[#This Row],[DUT Adj Read]]="N/A",Table1[[#This Row],[Std Adj Read]]="N/A"),"N/A",IF(Table1[[#This Row],[DUT Adj Read]]="N/A",IF(Table1[[#This Row],[Std Adj Read]]&gt;=Table1[[#This Row],[Low Tol]],"Pass","Fail"),IF(Table1[[#This Row],[DUT Adj Read]]&gt;=Table1[[#This Row],[Low Tol]],"Pass","Fail")))</f>
        <v>Pass</v>
      </c>
      <c r="AG2304" s="1" t="str">
        <f>IF(AND(Table1[[#This Row],[Spec Type2]]="N/A",Table1[[#This Row],[DUT Adj Read]]="N/A",Table1[[#This Row],[Std Adj Read]]="N/A"),"N/A",IF(Table1[[#This Row],[DUT Adj Read]]="N/A",IF(Table1[[#This Row],[Std Adj Read]]&lt;=Table1[[#This Row],[High Tol]],"Pass","Fail"),IF(Table1[[#This Row],[DUT Adj Read]]&lt;=Table1[[#This Row],[High Tol]],"Pass","Fail")))</f>
        <v>Fail</v>
      </c>
      <c r="AH23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4" s="1" t="b">
        <v>0</v>
      </c>
      <c r="AN2304" s="1" t="b">
        <v>0</v>
      </c>
      <c r="AO2304" s="1" t="b">
        <v>0</v>
      </c>
    </row>
    <row r="2305" spans="1:41" x14ac:dyDescent="0.25">
      <c r="A2305" s="10"/>
      <c r="B2305" s="10"/>
      <c r="C2305" s="10"/>
      <c r="D2305" s="10"/>
      <c r="E2305" s="10"/>
      <c r="F2305" s="10"/>
      <c r="G2305" s="10"/>
      <c r="H2305" s="10"/>
      <c r="I2305" s="1" t="str">
        <f t="shared" si="105"/>
        <v/>
      </c>
      <c r="J2305" s="1" t="s">
        <v>35</v>
      </c>
      <c r="K2305" s="1" t="str">
        <f t="shared" si="106"/>
        <v/>
      </c>
      <c r="L2305" s="1" t="str">
        <f t="shared" si="107"/>
        <v/>
      </c>
      <c r="M2305" s="1">
        <f>IF(OR(Table1[[#This Row],[Std Nom]]="",Table1[[#This Row],[Std Read]]=""),0,Table1[[#This Row],[Std Nom]]-Table1[[#This Row],[Std Read]])</f>
        <v>0</v>
      </c>
      <c r="N2305" s="1">
        <f>IF(Calculations!$F$5="ACCREDITED 17025 WITH UNCERTAINTIES",$N$10,0)</f>
        <v>0</v>
      </c>
      <c r="O2305" s="1" t="str">
        <f>IFERROR(Table1[[#This Row],[Std Nom]]-(_xlfn.XLOOKUP(Table1[[#This Row],[Manufacturer]]&amp;" "&amp;Table1[[#This Row],[Model]],Table13[MFR &amp; MDL],Table13[Tolerance % CW ],"")/100*Table1[[#This Row],[Std Nom]]),"")</f>
        <v/>
      </c>
      <c r="P2305" s="1" t="str">
        <f>IFERROR(Table1[[#This Row],[Std Nom]]+(_xlfn.XLOOKUP(Table1[[#This Row],[Manufacturer]]&amp;" "&amp;Table1[[#This Row],[Model]],Table13[MFR &amp; MDL],Table13[Tolerance % CW ],"")/100*Table1[[#This Row],[Std Nom]]),"")</f>
        <v/>
      </c>
      <c r="Q2305" s="1" t="e">
        <f>Table1[[#This Row],[High Tol]]-Table1[[#This Row],[Low Tol]]</f>
        <v>#VALUE!</v>
      </c>
      <c r="R2305" s="1">
        <f>2*Table1[[#This Row],[Std Error]]</f>
        <v>0</v>
      </c>
      <c r="S2305" s="1" t="str">
        <f>IF(Table1[[#This Row],[High Tol]]="","N/A",IFERROR(ABS(Table1[[#This Row],[Tol Span]]/Table1[[#This Row],[Error Span]]),"N/A"))</f>
        <v>N/A</v>
      </c>
      <c r="T2305" s="1" t="str">
        <f>IF(OR(Table1[[#This Row],[Low Tol]]="",Table1[[#This Row],[High Tol]]=""),"Needs Analysis",IF(Table1[[#This Row],[Ratio]]&gt;=4,"Not Significant",IF(Table1[[#This Row],[Ratio]]&gt;=2,"Semi-Significant","Significant")))</f>
        <v>Needs Analysis</v>
      </c>
      <c r="W2305" s="1">
        <f>IF(Table1[[#This Row],[Cal Type]]&lt;&gt;"ACCREDITED 17025 WITH UNCERTAINTIES",0,"")</f>
        <v>0</v>
      </c>
      <c r="X2305" s="1" t="str">
        <f>IF(Table1[[#This Row],[DUT Read]]="","N/A",Table1[[#This Row],[Std Error]]+Table1[[#This Row],[DUT Read]]+Table1[[#This Row],[DUT Ucty]])</f>
        <v>N/A</v>
      </c>
      <c r="Y2305" s="1" t="str">
        <f>IF(Table1[[#This Row],[Std Read]]="","N/A",Table1[[#This Row],[Std Read]]+Table1[[#This Row],[Std Ucty]])</f>
        <v>N/A</v>
      </c>
      <c r="Z23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5" s="1" t="str">
        <f>IF(Table1[[#This Row],[Spec Type]]="","N/A",Table1[[#This Row],[Spec Type]])</f>
        <v>±</v>
      </c>
      <c r="AC2305" s="1" t="str">
        <f>IF(Table1[[#This Row],[Spec Type2]]="N/A","N/A",IF(AND(Table1[[#This Row],[DUT Adj Read]]&gt;=Table1[[#This Row],[Low Tol]],Table1[[#This Row],[DUT Adj Read]]&lt;=Table1[[#This Row],[High Tol]]),"Pass","Fail"))</f>
        <v>Fail</v>
      </c>
      <c r="AD2305" s="1" t="str">
        <f>IF(AND(Table1[[#This Row],[Spec Type2]]="N/A",Table1[[#This Row],[DUT Adj Read]]="N/A",Table1[[#This Row],[Std Adj Read]]="N/A"),"N/A",IF(Table1[[#This Row],[DUT Adj Read]]="N/A",IF(Table1[[#This Row],[Std Adj Read]]&gt;Table1[[#This Row],[Low Tol]],"Pass","Fail"),IF(Table1[[#This Row],[DUT Adj Read]]&gt;Table1[[#This Row],[Low Tol]],"Pass","Fail")))</f>
        <v>Pass</v>
      </c>
      <c r="AE2305" s="1" t="str">
        <f>IF(AND(Table1[[#This Row],[Spec Type2]]="N/A",Table1[[#This Row],[DUT Adj Read]]="N/A",Table1[[#This Row],[Std Adj Read]]="N/A"),"N/A",IF(Table1[[#This Row],[DUT Adj Read]]="N/A",IF(Table1[[#This Row],[Std Adj Read]]&lt;Table1[[#This Row],[High Tol]],"Pass","Fail"),IF(Table1[[#This Row],[DUT Adj Read]]&lt;Table1[[#This Row],[High Tol]],"Pass","Fail")))</f>
        <v>Fail</v>
      </c>
      <c r="AF2305" s="1" t="str">
        <f>IF(AND(Table1[[#This Row],[Spec Type2]]="N/A",Table1[[#This Row],[DUT Adj Read]]="N/A",Table1[[#This Row],[Std Adj Read]]="N/A"),"N/A",IF(Table1[[#This Row],[DUT Adj Read]]="N/A",IF(Table1[[#This Row],[Std Adj Read]]&gt;=Table1[[#This Row],[Low Tol]],"Pass","Fail"),IF(Table1[[#This Row],[DUT Adj Read]]&gt;=Table1[[#This Row],[Low Tol]],"Pass","Fail")))</f>
        <v>Pass</v>
      </c>
      <c r="AG2305" s="1" t="str">
        <f>IF(AND(Table1[[#This Row],[Spec Type2]]="N/A",Table1[[#This Row],[DUT Adj Read]]="N/A",Table1[[#This Row],[Std Adj Read]]="N/A"),"N/A",IF(Table1[[#This Row],[DUT Adj Read]]="N/A",IF(Table1[[#This Row],[Std Adj Read]]&lt;=Table1[[#This Row],[High Tol]],"Pass","Fail"),IF(Table1[[#This Row],[DUT Adj Read]]&lt;=Table1[[#This Row],[High Tol]],"Pass","Fail")))</f>
        <v>Fail</v>
      </c>
      <c r="AH23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5" s="1" t="b">
        <v>0</v>
      </c>
      <c r="AN2305" s="1" t="b">
        <v>0</v>
      </c>
      <c r="AO2305" s="1" t="b">
        <v>0</v>
      </c>
    </row>
    <row r="2306" spans="1:41" x14ac:dyDescent="0.25">
      <c r="A2306" s="10"/>
      <c r="B2306" s="10"/>
      <c r="C2306" s="10"/>
      <c r="D2306" s="10"/>
      <c r="E2306" s="10"/>
      <c r="F2306" s="10"/>
      <c r="G2306" s="10"/>
      <c r="H2306" s="10"/>
      <c r="I2306" s="1" t="str">
        <f t="shared" si="105"/>
        <v/>
      </c>
      <c r="J2306" s="1" t="s">
        <v>35</v>
      </c>
      <c r="K2306" s="1" t="str">
        <f t="shared" si="106"/>
        <v/>
      </c>
      <c r="L2306" s="1" t="str">
        <f t="shared" si="107"/>
        <v/>
      </c>
      <c r="M2306" s="1">
        <f>IF(OR(Table1[[#This Row],[Std Nom]]="",Table1[[#This Row],[Std Read]]=""),0,Table1[[#This Row],[Std Nom]]-Table1[[#This Row],[Std Read]])</f>
        <v>0</v>
      </c>
      <c r="N2306" s="1">
        <f>IF(Calculations!$F$5="ACCREDITED 17025 WITH UNCERTAINTIES",$N$10,0)</f>
        <v>0</v>
      </c>
      <c r="O2306" s="1" t="str">
        <f>IFERROR(Table1[[#This Row],[Std Nom]]-(_xlfn.XLOOKUP(Table1[[#This Row],[Manufacturer]]&amp;" "&amp;Table1[[#This Row],[Model]],Table13[MFR &amp; MDL],Table13[Tolerance % CW ],"")/100*Table1[[#This Row],[Std Nom]]),"")</f>
        <v/>
      </c>
      <c r="P2306" s="1" t="str">
        <f>IFERROR(Table1[[#This Row],[Std Nom]]+(_xlfn.XLOOKUP(Table1[[#This Row],[Manufacturer]]&amp;" "&amp;Table1[[#This Row],[Model]],Table13[MFR &amp; MDL],Table13[Tolerance % CW ],"")/100*Table1[[#This Row],[Std Nom]]),"")</f>
        <v/>
      </c>
      <c r="Q2306" s="1" t="e">
        <f>Table1[[#This Row],[High Tol]]-Table1[[#This Row],[Low Tol]]</f>
        <v>#VALUE!</v>
      </c>
      <c r="R2306" s="1">
        <f>2*Table1[[#This Row],[Std Error]]</f>
        <v>0</v>
      </c>
      <c r="S2306" s="1" t="str">
        <f>IF(Table1[[#This Row],[High Tol]]="","N/A",IFERROR(ABS(Table1[[#This Row],[Tol Span]]/Table1[[#This Row],[Error Span]]),"N/A"))</f>
        <v>N/A</v>
      </c>
      <c r="T2306" s="1" t="str">
        <f>IF(OR(Table1[[#This Row],[Low Tol]]="",Table1[[#This Row],[High Tol]]=""),"Needs Analysis",IF(Table1[[#This Row],[Ratio]]&gt;=4,"Not Significant",IF(Table1[[#This Row],[Ratio]]&gt;=2,"Semi-Significant","Significant")))</f>
        <v>Needs Analysis</v>
      </c>
      <c r="W2306" s="1">
        <f>IF(Table1[[#This Row],[Cal Type]]&lt;&gt;"ACCREDITED 17025 WITH UNCERTAINTIES",0,"")</f>
        <v>0</v>
      </c>
      <c r="X2306" s="1" t="str">
        <f>IF(Table1[[#This Row],[DUT Read]]="","N/A",Table1[[#This Row],[Std Error]]+Table1[[#This Row],[DUT Read]]+Table1[[#This Row],[DUT Ucty]])</f>
        <v>N/A</v>
      </c>
      <c r="Y2306" s="1" t="str">
        <f>IF(Table1[[#This Row],[Std Read]]="","N/A",Table1[[#This Row],[Std Read]]+Table1[[#This Row],[Std Ucty]])</f>
        <v>N/A</v>
      </c>
      <c r="Z23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6" s="1" t="str">
        <f>IF(Table1[[#This Row],[Spec Type]]="","N/A",Table1[[#This Row],[Spec Type]])</f>
        <v>±</v>
      </c>
      <c r="AC2306" s="1" t="str">
        <f>IF(Table1[[#This Row],[Spec Type2]]="N/A","N/A",IF(AND(Table1[[#This Row],[DUT Adj Read]]&gt;=Table1[[#This Row],[Low Tol]],Table1[[#This Row],[DUT Adj Read]]&lt;=Table1[[#This Row],[High Tol]]),"Pass","Fail"))</f>
        <v>Fail</v>
      </c>
      <c r="AD2306" s="1" t="str">
        <f>IF(AND(Table1[[#This Row],[Spec Type2]]="N/A",Table1[[#This Row],[DUT Adj Read]]="N/A",Table1[[#This Row],[Std Adj Read]]="N/A"),"N/A",IF(Table1[[#This Row],[DUT Adj Read]]="N/A",IF(Table1[[#This Row],[Std Adj Read]]&gt;Table1[[#This Row],[Low Tol]],"Pass","Fail"),IF(Table1[[#This Row],[DUT Adj Read]]&gt;Table1[[#This Row],[Low Tol]],"Pass","Fail")))</f>
        <v>Pass</v>
      </c>
      <c r="AE2306" s="1" t="str">
        <f>IF(AND(Table1[[#This Row],[Spec Type2]]="N/A",Table1[[#This Row],[DUT Adj Read]]="N/A",Table1[[#This Row],[Std Adj Read]]="N/A"),"N/A",IF(Table1[[#This Row],[DUT Adj Read]]="N/A",IF(Table1[[#This Row],[Std Adj Read]]&lt;Table1[[#This Row],[High Tol]],"Pass","Fail"),IF(Table1[[#This Row],[DUT Adj Read]]&lt;Table1[[#This Row],[High Tol]],"Pass","Fail")))</f>
        <v>Fail</v>
      </c>
      <c r="AF2306" s="1" t="str">
        <f>IF(AND(Table1[[#This Row],[Spec Type2]]="N/A",Table1[[#This Row],[DUT Adj Read]]="N/A",Table1[[#This Row],[Std Adj Read]]="N/A"),"N/A",IF(Table1[[#This Row],[DUT Adj Read]]="N/A",IF(Table1[[#This Row],[Std Adj Read]]&gt;=Table1[[#This Row],[Low Tol]],"Pass","Fail"),IF(Table1[[#This Row],[DUT Adj Read]]&gt;=Table1[[#This Row],[Low Tol]],"Pass","Fail")))</f>
        <v>Pass</v>
      </c>
      <c r="AG2306" s="1" t="str">
        <f>IF(AND(Table1[[#This Row],[Spec Type2]]="N/A",Table1[[#This Row],[DUT Adj Read]]="N/A",Table1[[#This Row],[Std Adj Read]]="N/A"),"N/A",IF(Table1[[#This Row],[DUT Adj Read]]="N/A",IF(Table1[[#This Row],[Std Adj Read]]&lt;=Table1[[#This Row],[High Tol]],"Pass","Fail"),IF(Table1[[#This Row],[DUT Adj Read]]&lt;=Table1[[#This Row],[High Tol]],"Pass","Fail")))</f>
        <v>Fail</v>
      </c>
      <c r="AH23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6" s="1" t="b">
        <v>0</v>
      </c>
      <c r="AN2306" s="1" t="b">
        <v>0</v>
      </c>
      <c r="AO2306" s="1" t="b">
        <v>0</v>
      </c>
    </row>
    <row r="2307" spans="1:41" x14ac:dyDescent="0.25">
      <c r="A2307" s="10"/>
      <c r="B2307" s="10"/>
      <c r="C2307" s="10"/>
      <c r="D2307" s="10"/>
      <c r="E2307" s="10"/>
      <c r="F2307" s="10"/>
      <c r="G2307" s="10"/>
      <c r="H2307" s="10"/>
      <c r="I2307" s="1" t="str">
        <f t="shared" si="105"/>
        <v/>
      </c>
      <c r="J2307" s="1" t="s">
        <v>35</v>
      </c>
      <c r="K2307" s="1" t="str">
        <f t="shared" si="106"/>
        <v/>
      </c>
      <c r="L2307" s="1" t="str">
        <f t="shared" si="107"/>
        <v/>
      </c>
      <c r="M2307" s="1">
        <f>IF(OR(Table1[[#This Row],[Std Nom]]="",Table1[[#This Row],[Std Read]]=""),0,Table1[[#This Row],[Std Nom]]-Table1[[#This Row],[Std Read]])</f>
        <v>0</v>
      </c>
      <c r="N2307" s="1">
        <f>IF(Calculations!$F$5="ACCREDITED 17025 WITH UNCERTAINTIES",$N$10,0)</f>
        <v>0</v>
      </c>
      <c r="O2307" s="1" t="str">
        <f>IFERROR(Table1[[#This Row],[Std Nom]]-(_xlfn.XLOOKUP(Table1[[#This Row],[Manufacturer]]&amp;" "&amp;Table1[[#This Row],[Model]],Table13[MFR &amp; MDL],Table13[Tolerance % CW ],"")/100*Table1[[#This Row],[Std Nom]]),"")</f>
        <v/>
      </c>
      <c r="P2307" s="1" t="str">
        <f>IFERROR(Table1[[#This Row],[Std Nom]]+(_xlfn.XLOOKUP(Table1[[#This Row],[Manufacturer]]&amp;" "&amp;Table1[[#This Row],[Model]],Table13[MFR &amp; MDL],Table13[Tolerance % CW ],"")/100*Table1[[#This Row],[Std Nom]]),"")</f>
        <v/>
      </c>
      <c r="Q2307" s="1" t="e">
        <f>Table1[[#This Row],[High Tol]]-Table1[[#This Row],[Low Tol]]</f>
        <v>#VALUE!</v>
      </c>
      <c r="R2307" s="1">
        <f>2*Table1[[#This Row],[Std Error]]</f>
        <v>0</v>
      </c>
      <c r="S2307" s="1" t="str">
        <f>IF(Table1[[#This Row],[High Tol]]="","N/A",IFERROR(ABS(Table1[[#This Row],[Tol Span]]/Table1[[#This Row],[Error Span]]),"N/A"))</f>
        <v>N/A</v>
      </c>
      <c r="T2307" s="1" t="str">
        <f>IF(OR(Table1[[#This Row],[Low Tol]]="",Table1[[#This Row],[High Tol]]=""),"Needs Analysis",IF(Table1[[#This Row],[Ratio]]&gt;=4,"Not Significant",IF(Table1[[#This Row],[Ratio]]&gt;=2,"Semi-Significant","Significant")))</f>
        <v>Needs Analysis</v>
      </c>
      <c r="W2307" s="1">
        <f>IF(Table1[[#This Row],[Cal Type]]&lt;&gt;"ACCREDITED 17025 WITH UNCERTAINTIES",0,"")</f>
        <v>0</v>
      </c>
      <c r="X2307" s="1" t="str">
        <f>IF(Table1[[#This Row],[DUT Read]]="","N/A",Table1[[#This Row],[Std Error]]+Table1[[#This Row],[DUT Read]]+Table1[[#This Row],[DUT Ucty]])</f>
        <v>N/A</v>
      </c>
      <c r="Y2307" s="1" t="str">
        <f>IF(Table1[[#This Row],[Std Read]]="","N/A",Table1[[#This Row],[Std Read]]+Table1[[#This Row],[Std Ucty]])</f>
        <v>N/A</v>
      </c>
      <c r="Z23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7" s="1" t="str">
        <f>IF(Table1[[#This Row],[Spec Type]]="","N/A",Table1[[#This Row],[Spec Type]])</f>
        <v>±</v>
      </c>
      <c r="AC2307" s="1" t="str">
        <f>IF(Table1[[#This Row],[Spec Type2]]="N/A","N/A",IF(AND(Table1[[#This Row],[DUT Adj Read]]&gt;=Table1[[#This Row],[Low Tol]],Table1[[#This Row],[DUT Adj Read]]&lt;=Table1[[#This Row],[High Tol]]),"Pass","Fail"))</f>
        <v>Fail</v>
      </c>
      <c r="AD2307" s="1" t="str">
        <f>IF(AND(Table1[[#This Row],[Spec Type2]]="N/A",Table1[[#This Row],[DUT Adj Read]]="N/A",Table1[[#This Row],[Std Adj Read]]="N/A"),"N/A",IF(Table1[[#This Row],[DUT Adj Read]]="N/A",IF(Table1[[#This Row],[Std Adj Read]]&gt;Table1[[#This Row],[Low Tol]],"Pass","Fail"),IF(Table1[[#This Row],[DUT Adj Read]]&gt;Table1[[#This Row],[Low Tol]],"Pass","Fail")))</f>
        <v>Pass</v>
      </c>
      <c r="AE2307" s="1" t="str">
        <f>IF(AND(Table1[[#This Row],[Spec Type2]]="N/A",Table1[[#This Row],[DUT Adj Read]]="N/A",Table1[[#This Row],[Std Adj Read]]="N/A"),"N/A",IF(Table1[[#This Row],[DUT Adj Read]]="N/A",IF(Table1[[#This Row],[Std Adj Read]]&lt;Table1[[#This Row],[High Tol]],"Pass","Fail"),IF(Table1[[#This Row],[DUT Adj Read]]&lt;Table1[[#This Row],[High Tol]],"Pass","Fail")))</f>
        <v>Fail</v>
      </c>
      <c r="AF2307" s="1" t="str">
        <f>IF(AND(Table1[[#This Row],[Spec Type2]]="N/A",Table1[[#This Row],[DUT Adj Read]]="N/A",Table1[[#This Row],[Std Adj Read]]="N/A"),"N/A",IF(Table1[[#This Row],[DUT Adj Read]]="N/A",IF(Table1[[#This Row],[Std Adj Read]]&gt;=Table1[[#This Row],[Low Tol]],"Pass","Fail"),IF(Table1[[#This Row],[DUT Adj Read]]&gt;=Table1[[#This Row],[Low Tol]],"Pass","Fail")))</f>
        <v>Pass</v>
      </c>
      <c r="AG2307" s="1" t="str">
        <f>IF(AND(Table1[[#This Row],[Spec Type2]]="N/A",Table1[[#This Row],[DUT Adj Read]]="N/A",Table1[[#This Row],[Std Adj Read]]="N/A"),"N/A",IF(Table1[[#This Row],[DUT Adj Read]]="N/A",IF(Table1[[#This Row],[Std Adj Read]]&lt;=Table1[[#This Row],[High Tol]],"Pass","Fail"),IF(Table1[[#This Row],[DUT Adj Read]]&lt;=Table1[[#This Row],[High Tol]],"Pass","Fail")))</f>
        <v>Fail</v>
      </c>
      <c r="AH23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7" s="1" t="b">
        <v>0</v>
      </c>
      <c r="AN2307" s="1" t="b">
        <v>0</v>
      </c>
      <c r="AO2307" s="1" t="b">
        <v>0</v>
      </c>
    </row>
    <row r="2308" spans="1:41" x14ac:dyDescent="0.25">
      <c r="A2308" s="10"/>
      <c r="B2308" s="10"/>
      <c r="C2308" s="10"/>
      <c r="D2308" s="10"/>
      <c r="E2308" s="10"/>
      <c r="F2308" s="10"/>
      <c r="G2308" s="10"/>
      <c r="H2308" s="10"/>
      <c r="I2308" s="1" t="str">
        <f t="shared" si="105"/>
        <v/>
      </c>
      <c r="J2308" s="1" t="s">
        <v>35</v>
      </c>
      <c r="K2308" s="1" t="str">
        <f t="shared" si="106"/>
        <v/>
      </c>
      <c r="L2308" s="1" t="str">
        <f t="shared" si="107"/>
        <v/>
      </c>
      <c r="M2308" s="1">
        <f>IF(OR(Table1[[#This Row],[Std Nom]]="",Table1[[#This Row],[Std Read]]=""),0,Table1[[#This Row],[Std Nom]]-Table1[[#This Row],[Std Read]])</f>
        <v>0</v>
      </c>
      <c r="N2308" s="1">
        <f>IF(Calculations!$F$5="ACCREDITED 17025 WITH UNCERTAINTIES",$N$10,0)</f>
        <v>0</v>
      </c>
      <c r="O2308" s="1" t="str">
        <f>IFERROR(Table1[[#This Row],[Std Nom]]-(_xlfn.XLOOKUP(Table1[[#This Row],[Manufacturer]]&amp;" "&amp;Table1[[#This Row],[Model]],Table13[MFR &amp; MDL],Table13[Tolerance % CW ],"")/100*Table1[[#This Row],[Std Nom]]),"")</f>
        <v/>
      </c>
      <c r="P2308" s="1" t="str">
        <f>IFERROR(Table1[[#This Row],[Std Nom]]+(_xlfn.XLOOKUP(Table1[[#This Row],[Manufacturer]]&amp;" "&amp;Table1[[#This Row],[Model]],Table13[MFR &amp; MDL],Table13[Tolerance % CW ],"")/100*Table1[[#This Row],[Std Nom]]),"")</f>
        <v/>
      </c>
      <c r="Q2308" s="1" t="e">
        <f>Table1[[#This Row],[High Tol]]-Table1[[#This Row],[Low Tol]]</f>
        <v>#VALUE!</v>
      </c>
      <c r="R2308" s="1">
        <f>2*Table1[[#This Row],[Std Error]]</f>
        <v>0</v>
      </c>
      <c r="S2308" s="1" t="str">
        <f>IF(Table1[[#This Row],[High Tol]]="","N/A",IFERROR(ABS(Table1[[#This Row],[Tol Span]]/Table1[[#This Row],[Error Span]]),"N/A"))</f>
        <v>N/A</v>
      </c>
      <c r="T2308" s="1" t="str">
        <f>IF(OR(Table1[[#This Row],[Low Tol]]="",Table1[[#This Row],[High Tol]]=""),"Needs Analysis",IF(Table1[[#This Row],[Ratio]]&gt;=4,"Not Significant",IF(Table1[[#This Row],[Ratio]]&gt;=2,"Semi-Significant","Significant")))</f>
        <v>Needs Analysis</v>
      </c>
      <c r="W2308" s="1">
        <f>IF(Table1[[#This Row],[Cal Type]]&lt;&gt;"ACCREDITED 17025 WITH UNCERTAINTIES",0,"")</f>
        <v>0</v>
      </c>
      <c r="X2308" s="1" t="str">
        <f>IF(Table1[[#This Row],[DUT Read]]="","N/A",Table1[[#This Row],[Std Error]]+Table1[[#This Row],[DUT Read]]+Table1[[#This Row],[DUT Ucty]])</f>
        <v>N/A</v>
      </c>
      <c r="Y2308" s="1" t="str">
        <f>IF(Table1[[#This Row],[Std Read]]="","N/A",Table1[[#This Row],[Std Read]]+Table1[[#This Row],[Std Ucty]])</f>
        <v>N/A</v>
      </c>
      <c r="Z23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8" s="1" t="str">
        <f>IF(Table1[[#This Row],[Spec Type]]="","N/A",Table1[[#This Row],[Spec Type]])</f>
        <v>±</v>
      </c>
      <c r="AC2308" s="1" t="str">
        <f>IF(Table1[[#This Row],[Spec Type2]]="N/A","N/A",IF(AND(Table1[[#This Row],[DUT Adj Read]]&gt;=Table1[[#This Row],[Low Tol]],Table1[[#This Row],[DUT Adj Read]]&lt;=Table1[[#This Row],[High Tol]]),"Pass","Fail"))</f>
        <v>Fail</v>
      </c>
      <c r="AD2308" s="1" t="str">
        <f>IF(AND(Table1[[#This Row],[Spec Type2]]="N/A",Table1[[#This Row],[DUT Adj Read]]="N/A",Table1[[#This Row],[Std Adj Read]]="N/A"),"N/A",IF(Table1[[#This Row],[DUT Adj Read]]="N/A",IF(Table1[[#This Row],[Std Adj Read]]&gt;Table1[[#This Row],[Low Tol]],"Pass","Fail"),IF(Table1[[#This Row],[DUT Adj Read]]&gt;Table1[[#This Row],[Low Tol]],"Pass","Fail")))</f>
        <v>Pass</v>
      </c>
      <c r="AE2308" s="1" t="str">
        <f>IF(AND(Table1[[#This Row],[Spec Type2]]="N/A",Table1[[#This Row],[DUT Adj Read]]="N/A",Table1[[#This Row],[Std Adj Read]]="N/A"),"N/A",IF(Table1[[#This Row],[DUT Adj Read]]="N/A",IF(Table1[[#This Row],[Std Adj Read]]&lt;Table1[[#This Row],[High Tol]],"Pass","Fail"),IF(Table1[[#This Row],[DUT Adj Read]]&lt;Table1[[#This Row],[High Tol]],"Pass","Fail")))</f>
        <v>Fail</v>
      </c>
      <c r="AF2308" s="1" t="str">
        <f>IF(AND(Table1[[#This Row],[Spec Type2]]="N/A",Table1[[#This Row],[DUT Adj Read]]="N/A",Table1[[#This Row],[Std Adj Read]]="N/A"),"N/A",IF(Table1[[#This Row],[DUT Adj Read]]="N/A",IF(Table1[[#This Row],[Std Adj Read]]&gt;=Table1[[#This Row],[Low Tol]],"Pass","Fail"),IF(Table1[[#This Row],[DUT Adj Read]]&gt;=Table1[[#This Row],[Low Tol]],"Pass","Fail")))</f>
        <v>Pass</v>
      </c>
      <c r="AG2308" s="1" t="str">
        <f>IF(AND(Table1[[#This Row],[Spec Type2]]="N/A",Table1[[#This Row],[DUT Adj Read]]="N/A",Table1[[#This Row],[Std Adj Read]]="N/A"),"N/A",IF(Table1[[#This Row],[DUT Adj Read]]="N/A",IF(Table1[[#This Row],[Std Adj Read]]&lt;=Table1[[#This Row],[High Tol]],"Pass","Fail"),IF(Table1[[#This Row],[DUT Adj Read]]&lt;=Table1[[#This Row],[High Tol]],"Pass","Fail")))</f>
        <v>Fail</v>
      </c>
      <c r="AH23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8" s="1" t="b">
        <v>0</v>
      </c>
      <c r="AN2308" s="1" t="b">
        <v>0</v>
      </c>
      <c r="AO2308" s="1" t="b">
        <v>0</v>
      </c>
    </row>
    <row r="2309" spans="1:41" x14ac:dyDescent="0.25">
      <c r="A2309" s="10"/>
      <c r="B2309" s="10"/>
      <c r="C2309" s="10"/>
      <c r="D2309" s="10"/>
      <c r="E2309" s="10"/>
      <c r="F2309" s="10"/>
      <c r="G2309" s="10"/>
      <c r="H2309" s="10"/>
      <c r="I2309" s="1" t="str">
        <f t="shared" si="105"/>
        <v/>
      </c>
      <c r="J2309" s="1" t="s">
        <v>35</v>
      </c>
      <c r="K2309" s="1" t="str">
        <f t="shared" si="106"/>
        <v/>
      </c>
      <c r="L2309" s="1" t="str">
        <f t="shared" si="107"/>
        <v/>
      </c>
      <c r="M2309" s="1">
        <f>IF(OR(Table1[[#This Row],[Std Nom]]="",Table1[[#This Row],[Std Read]]=""),0,Table1[[#This Row],[Std Nom]]-Table1[[#This Row],[Std Read]])</f>
        <v>0</v>
      </c>
      <c r="N2309" s="1">
        <f>IF(Calculations!$F$5="ACCREDITED 17025 WITH UNCERTAINTIES",$N$10,0)</f>
        <v>0</v>
      </c>
      <c r="O2309" s="1" t="str">
        <f>IFERROR(Table1[[#This Row],[Std Nom]]-(_xlfn.XLOOKUP(Table1[[#This Row],[Manufacturer]]&amp;" "&amp;Table1[[#This Row],[Model]],Table13[MFR &amp; MDL],Table13[Tolerance % CW ],"")/100*Table1[[#This Row],[Std Nom]]),"")</f>
        <v/>
      </c>
      <c r="P2309" s="1" t="str">
        <f>IFERROR(Table1[[#This Row],[Std Nom]]+(_xlfn.XLOOKUP(Table1[[#This Row],[Manufacturer]]&amp;" "&amp;Table1[[#This Row],[Model]],Table13[MFR &amp; MDL],Table13[Tolerance % CW ],"")/100*Table1[[#This Row],[Std Nom]]),"")</f>
        <v/>
      </c>
      <c r="Q2309" s="1" t="e">
        <f>Table1[[#This Row],[High Tol]]-Table1[[#This Row],[Low Tol]]</f>
        <v>#VALUE!</v>
      </c>
      <c r="R2309" s="1">
        <f>2*Table1[[#This Row],[Std Error]]</f>
        <v>0</v>
      </c>
      <c r="S2309" s="1" t="str">
        <f>IF(Table1[[#This Row],[High Tol]]="","N/A",IFERROR(ABS(Table1[[#This Row],[Tol Span]]/Table1[[#This Row],[Error Span]]),"N/A"))</f>
        <v>N/A</v>
      </c>
      <c r="T2309" s="1" t="str">
        <f>IF(OR(Table1[[#This Row],[Low Tol]]="",Table1[[#This Row],[High Tol]]=""),"Needs Analysis",IF(Table1[[#This Row],[Ratio]]&gt;=4,"Not Significant",IF(Table1[[#This Row],[Ratio]]&gt;=2,"Semi-Significant","Significant")))</f>
        <v>Needs Analysis</v>
      </c>
      <c r="W2309" s="1">
        <f>IF(Table1[[#This Row],[Cal Type]]&lt;&gt;"ACCREDITED 17025 WITH UNCERTAINTIES",0,"")</f>
        <v>0</v>
      </c>
      <c r="X2309" s="1" t="str">
        <f>IF(Table1[[#This Row],[DUT Read]]="","N/A",Table1[[#This Row],[Std Error]]+Table1[[#This Row],[DUT Read]]+Table1[[#This Row],[DUT Ucty]])</f>
        <v>N/A</v>
      </c>
      <c r="Y2309" s="1" t="str">
        <f>IF(Table1[[#This Row],[Std Read]]="","N/A",Table1[[#This Row],[Std Read]]+Table1[[#This Row],[Std Ucty]])</f>
        <v>N/A</v>
      </c>
      <c r="Z23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9" s="1" t="str">
        <f>IF(Table1[[#This Row],[Spec Type]]="","N/A",Table1[[#This Row],[Spec Type]])</f>
        <v>±</v>
      </c>
      <c r="AC2309" s="1" t="str">
        <f>IF(Table1[[#This Row],[Spec Type2]]="N/A","N/A",IF(AND(Table1[[#This Row],[DUT Adj Read]]&gt;=Table1[[#This Row],[Low Tol]],Table1[[#This Row],[DUT Adj Read]]&lt;=Table1[[#This Row],[High Tol]]),"Pass","Fail"))</f>
        <v>Fail</v>
      </c>
      <c r="AD2309" s="1" t="str">
        <f>IF(AND(Table1[[#This Row],[Spec Type2]]="N/A",Table1[[#This Row],[DUT Adj Read]]="N/A",Table1[[#This Row],[Std Adj Read]]="N/A"),"N/A",IF(Table1[[#This Row],[DUT Adj Read]]="N/A",IF(Table1[[#This Row],[Std Adj Read]]&gt;Table1[[#This Row],[Low Tol]],"Pass","Fail"),IF(Table1[[#This Row],[DUT Adj Read]]&gt;Table1[[#This Row],[Low Tol]],"Pass","Fail")))</f>
        <v>Pass</v>
      </c>
      <c r="AE2309" s="1" t="str">
        <f>IF(AND(Table1[[#This Row],[Spec Type2]]="N/A",Table1[[#This Row],[DUT Adj Read]]="N/A",Table1[[#This Row],[Std Adj Read]]="N/A"),"N/A",IF(Table1[[#This Row],[DUT Adj Read]]="N/A",IF(Table1[[#This Row],[Std Adj Read]]&lt;Table1[[#This Row],[High Tol]],"Pass","Fail"),IF(Table1[[#This Row],[DUT Adj Read]]&lt;Table1[[#This Row],[High Tol]],"Pass","Fail")))</f>
        <v>Fail</v>
      </c>
      <c r="AF2309" s="1" t="str">
        <f>IF(AND(Table1[[#This Row],[Spec Type2]]="N/A",Table1[[#This Row],[DUT Adj Read]]="N/A",Table1[[#This Row],[Std Adj Read]]="N/A"),"N/A",IF(Table1[[#This Row],[DUT Adj Read]]="N/A",IF(Table1[[#This Row],[Std Adj Read]]&gt;=Table1[[#This Row],[Low Tol]],"Pass","Fail"),IF(Table1[[#This Row],[DUT Adj Read]]&gt;=Table1[[#This Row],[Low Tol]],"Pass","Fail")))</f>
        <v>Pass</v>
      </c>
      <c r="AG2309" s="1" t="str">
        <f>IF(AND(Table1[[#This Row],[Spec Type2]]="N/A",Table1[[#This Row],[DUT Adj Read]]="N/A",Table1[[#This Row],[Std Adj Read]]="N/A"),"N/A",IF(Table1[[#This Row],[DUT Adj Read]]="N/A",IF(Table1[[#This Row],[Std Adj Read]]&lt;=Table1[[#This Row],[High Tol]],"Pass","Fail"),IF(Table1[[#This Row],[DUT Adj Read]]&lt;=Table1[[#This Row],[High Tol]],"Pass","Fail")))</f>
        <v>Fail</v>
      </c>
      <c r="AH23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9" s="1" t="b">
        <v>0</v>
      </c>
      <c r="AN2309" s="1" t="b">
        <v>0</v>
      </c>
      <c r="AO2309" s="1" t="b">
        <v>0</v>
      </c>
    </row>
    <row r="2310" spans="1:41" x14ac:dyDescent="0.25">
      <c r="A2310" s="10"/>
      <c r="B2310" s="10"/>
      <c r="C2310" s="10"/>
      <c r="D2310" s="10"/>
      <c r="E2310" s="10"/>
      <c r="F2310" s="10"/>
      <c r="G2310" s="10"/>
      <c r="H2310" s="10"/>
      <c r="I2310" s="1" t="str">
        <f t="shared" si="105"/>
        <v/>
      </c>
      <c r="J2310" s="1" t="s">
        <v>35</v>
      </c>
      <c r="K2310" s="1" t="str">
        <f t="shared" si="106"/>
        <v/>
      </c>
      <c r="L2310" s="1" t="str">
        <f t="shared" si="107"/>
        <v/>
      </c>
      <c r="M2310" s="1">
        <f>IF(OR(Table1[[#This Row],[Std Nom]]="",Table1[[#This Row],[Std Read]]=""),0,Table1[[#This Row],[Std Nom]]-Table1[[#This Row],[Std Read]])</f>
        <v>0</v>
      </c>
      <c r="N2310" s="1">
        <f>IF(Calculations!$F$5="ACCREDITED 17025 WITH UNCERTAINTIES",$N$10,0)</f>
        <v>0</v>
      </c>
      <c r="O2310" s="1" t="str">
        <f>IFERROR(Table1[[#This Row],[Std Nom]]-(_xlfn.XLOOKUP(Table1[[#This Row],[Manufacturer]]&amp;" "&amp;Table1[[#This Row],[Model]],Table13[MFR &amp; MDL],Table13[Tolerance % CW ],"")/100*Table1[[#This Row],[Std Nom]]),"")</f>
        <v/>
      </c>
      <c r="P2310" s="1" t="str">
        <f>IFERROR(Table1[[#This Row],[Std Nom]]+(_xlfn.XLOOKUP(Table1[[#This Row],[Manufacturer]]&amp;" "&amp;Table1[[#This Row],[Model]],Table13[MFR &amp; MDL],Table13[Tolerance % CW ],"")/100*Table1[[#This Row],[Std Nom]]),"")</f>
        <v/>
      </c>
      <c r="Q2310" s="1" t="e">
        <f>Table1[[#This Row],[High Tol]]-Table1[[#This Row],[Low Tol]]</f>
        <v>#VALUE!</v>
      </c>
      <c r="R2310" s="1">
        <f>2*Table1[[#This Row],[Std Error]]</f>
        <v>0</v>
      </c>
      <c r="S2310" s="1" t="str">
        <f>IF(Table1[[#This Row],[High Tol]]="","N/A",IFERROR(ABS(Table1[[#This Row],[Tol Span]]/Table1[[#This Row],[Error Span]]),"N/A"))</f>
        <v>N/A</v>
      </c>
      <c r="T2310" s="1" t="str">
        <f>IF(OR(Table1[[#This Row],[Low Tol]]="",Table1[[#This Row],[High Tol]]=""),"Needs Analysis",IF(Table1[[#This Row],[Ratio]]&gt;=4,"Not Significant",IF(Table1[[#This Row],[Ratio]]&gt;=2,"Semi-Significant","Significant")))</f>
        <v>Needs Analysis</v>
      </c>
      <c r="W2310" s="1">
        <f>IF(Table1[[#This Row],[Cal Type]]&lt;&gt;"ACCREDITED 17025 WITH UNCERTAINTIES",0,"")</f>
        <v>0</v>
      </c>
      <c r="X2310" s="1" t="str">
        <f>IF(Table1[[#This Row],[DUT Read]]="","N/A",Table1[[#This Row],[Std Error]]+Table1[[#This Row],[DUT Read]]+Table1[[#This Row],[DUT Ucty]])</f>
        <v>N/A</v>
      </c>
      <c r="Y2310" s="1" t="str">
        <f>IF(Table1[[#This Row],[Std Read]]="","N/A",Table1[[#This Row],[Std Read]]+Table1[[#This Row],[Std Ucty]])</f>
        <v>N/A</v>
      </c>
      <c r="Z23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0" s="1" t="str">
        <f>IF(Table1[[#This Row],[Spec Type]]="","N/A",Table1[[#This Row],[Spec Type]])</f>
        <v>±</v>
      </c>
      <c r="AC2310" s="1" t="str">
        <f>IF(Table1[[#This Row],[Spec Type2]]="N/A","N/A",IF(AND(Table1[[#This Row],[DUT Adj Read]]&gt;=Table1[[#This Row],[Low Tol]],Table1[[#This Row],[DUT Adj Read]]&lt;=Table1[[#This Row],[High Tol]]),"Pass","Fail"))</f>
        <v>Fail</v>
      </c>
      <c r="AD2310" s="1" t="str">
        <f>IF(AND(Table1[[#This Row],[Spec Type2]]="N/A",Table1[[#This Row],[DUT Adj Read]]="N/A",Table1[[#This Row],[Std Adj Read]]="N/A"),"N/A",IF(Table1[[#This Row],[DUT Adj Read]]="N/A",IF(Table1[[#This Row],[Std Adj Read]]&gt;Table1[[#This Row],[Low Tol]],"Pass","Fail"),IF(Table1[[#This Row],[DUT Adj Read]]&gt;Table1[[#This Row],[Low Tol]],"Pass","Fail")))</f>
        <v>Pass</v>
      </c>
      <c r="AE2310" s="1" t="str">
        <f>IF(AND(Table1[[#This Row],[Spec Type2]]="N/A",Table1[[#This Row],[DUT Adj Read]]="N/A",Table1[[#This Row],[Std Adj Read]]="N/A"),"N/A",IF(Table1[[#This Row],[DUT Adj Read]]="N/A",IF(Table1[[#This Row],[Std Adj Read]]&lt;Table1[[#This Row],[High Tol]],"Pass","Fail"),IF(Table1[[#This Row],[DUT Adj Read]]&lt;Table1[[#This Row],[High Tol]],"Pass","Fail")))</f>
        <v>Fail</v>
      </c>
      <c r="AF2310" s="1" t="str">
        <f>IF(AND(Table1[[#This Row],[Spec Type2]]="N/A",Table1[[#This Row],[DUT Adj Read]]="N/A",Table1[[#This Row],[Std Adj Read]]="N/A"),"N/A",IF(Table1[[#This Row],[DUT Adj Read]]="N/A",IF(Table1[[#This Row],[Std Adj Read]]&gt;=Table1[[#This Row],[Low Tol]],"Pass","Fail"),IF(Table1[[#This Row],[DUT Adj Read]]&gt;=Table1[[#This Row],[Low Tol]],"Pass","Fail")))</f>
        <v>Pass</v>
      </c>
      <c r="AG2310" s="1" t="str">
        <f>IF(AND(Table1[[#This Row],[Spec Type2]]="N/A",Table1[[#This Row],[DUT Adj Read]]="N/A",Table1[[#This Row],[Std Adj Read]]="N/A"),"N/A",IF(Table1[[#This Row],[DUT Adj Read]]="N/A",IF(Table1[[#This Row],[Std Adj Read]]&lt;=Table1[[#This Row],[High Tol]],"Pass","Fail"),IF(Table1[[#This Row],[DUT Adj Read]]&lt;=Table1[[#This Row],[High Tol]],"Pass","Fail")))</f>
        <v>Fail</v>
      </c>
      <c r="AH23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0" s="1" t="b">
        <v>0</v>
      </c>
      <c r="AN2310" s="1" t="b">
        <v>0</v>
      </c>
      <c r="AO2310" s="1" t="b">
        <v>0</v>
      </c>
    </row>
    <row r="2311" spans="1:41" x14ac:dyDescent="0.25">
      <c r="A2311" s="10"/>
      <c r="B2311" s="10"/>
      <c r="C2311" s="10"/>
      <c r="D2311" s="10"/>
      <c r="E2311" s="10"/>
      <c r="F2311" s="10"/>
      <c r="G2311" s="10"/>
      <c r="H2311" s="10"/>
      <c r="I2311" s="1" t="str">
        <f t="shared" si="105"/>
        <v/>
      </c>
      <c r="J2311" s="1" t="s">
        <v>35</v>
      </c>
      <c r="K2311" s="1" t="str">
        <f t="shared" si="106"/>
        <v/>
      </c>
      <c r="L2311" s="1" t="str">
        <f t="shared" si="107"/>
        <v/>
      </c>
      <c r="M2311" s="1">
        <f>IF(OR(Table1[[#This Row],[Std Nom]]="",Table1[[#This Row],[Std Read]]=""),0,Table1[[#This Row],[Std Nom]]-Table1[[#This Row],[Std Read]])</f>
        <v>0</v>
      </c>
      <c r="N2311" s="1">
        <f>IF(Calculations!$F$5="ACCREDITED 17025 WITH UNCERTAINTIES",$N$10,0)</f>
        <v>0</v>
      </c>
      <c r="O2311" s="1" t="str">
        <f>IFERROR(Table1[[#This Row],[Std Nom]]-(_xlfn.XLOOKUP(Table1[[#This Row],[Manufacturer]]&amp;" "&amp;Table1[[#This Row],[Model]],Table13[MFR &amp; MDL],Table13[Tolerance % CW ],"")/100*Table1[[#This Row],[Std Nom]]),"")</f>
        <v/>
      </c>
      <c r="P2311" s="1" t="str">
        <f>IFERROR(Table1[[#This Row],[Std Nom]]+(_xlfn.XLOOKUP(Table1[[#This Row],[Manufacturer]]&amp;" "&amp;Table1[[#This Row],[Model]],Table13[MFR &amp; MDL],Table13[Tolerance % CW ],"")/100*Table1[[#This Row],[Std Nom]]),"")</f>
        <v/>
      </c>
      <c r="Q2311" s="1" t="e">
        <f>Table1[[#This Row],[High Tol]]-Table1[[#This Row],[Low Tol]]</f>
        <v>#VALUE!</v>
      </c>
      <c r="R2311" s="1">
        <f>2*Table1[[#This Row],[Std Error]]</f>
        <v>0</v>
      </c>
      <c r="S2311" s="1" t="str">
        <f>IF(Table1[[#This Row],[High Tol]]="","N/A",IFERROR(ABS(Table1[[#This Row],[Tol Span]]/Table1[[#This Row],[Error Span]]),"N/A"))</f>
        <v>N/A</v>
      </c>
      <c r="T2311" s="1" t="str">
        <f>IF(OR(Table1[[#This Row],[Low Tol]]="",Table1[[#This Row],[High Tol]]=""),"Needs Analysis",IF(Table1[[#This Row],[Ratio]]&gt;=4,"Not Significant",IF(Table1[[#This Row],[Ratio]]&gt;=2,"Semi-Significant","Significant")))</f>
        <v>Needs Analysis</v>
      </c>
      <c r="W2311" s="1">
        <f>IF(Table1[[#This Row],[Cal Type]]&lt;&gt;"ACCREDITED 17025 WITH UNCERTAINTIES",0,"")</f>
        <v>0</v>
      </c>
      <c r="X2311" s="1" t="str">
        <f>IF(Table1[[#This Row],[DUT Read]]="","N/A",Table1[[#This Row],[Std Error]]+Table1[[#This Row],[DUT Read]]+Table1[[#This Row],[DUT Ucty]])</f>
        <v>N/A</v>
      </c>
      <c r="Y2311" s="1" t="str">
        <f>IF(Table1[[#This Row],[Std Read]]="","N/A",Table1[[#This Row],[Std Read]]+Table1[[#This Row],[Std Ucty]])</f>
        <v>N/A</v>
      </c>
      <c r="Z23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1" s="1" t="str">
        <f>IF(Table1[[#This Row],[Spec Type]]="","N/A",Table1[[#This Row],[Spec Type]])</f>
        <v>±</v>
      </c>
      <c r="AC2311" s="1" t="str">
        <f>IF(Table1[[#This Row],[Spec Type2]]="N/A","N/A",IF(AND(Table1[[#This Row],[DUT Adj Read]]&gt;=Table1[[#This Row],[Low Tol]],Table1[[#This Row],[DUT Adj Read]]&lt;=Table1[[#This Row],[High Tol]]),"Pass","Fail"))</f>
        <v>Fail</v>
      </c>
      <c r="AD2311" s="1" t="str">
        <f>IF(AND(Table1[[#This Row],[Spec Type2]]="N/A",Table1[[#This Row],[DUT Adj Read]]="N/A",Table1[[#This Row],[Std Adj Read]]="N/A"),"N/A",IF(Table1[[#This Row],[DUT Adj Read]]="N/A",IF(Table1[[#This Row],[Std Adj Read]]&gt;Table1[[#This Row],[Low Tol]],"Pass","Fail"),IF(Table1[[#This Row],[DUT Adj Read]]&gt;Table1[[#This Row],[Low Tol]],"Pass","Fail")))</f>
        <v>Pass</v>
      </c>
      <c r="AE2311" s="1" t="str">
        <f>IF(AND(Table1[[#This Row],[Spec Type2]]="N/A",Table1[[#This Row],[DUT Adj Read]]="N/A",Table1[[#This Row],[Std Adj Read]]="N/A"),"N/A",IF(Table1[[#This Row],[DUT Adj Read]]="N/A",IF(Table1[[#This Row],[Std Adj Read]]&lt;Table1[[#This Row],[High Tol]],"Pass","Fail"),IF(Table1[[#This Row],[DUT Adj Read]]&lt;Table1[[#This Row],[High Tol]],"Pass","Fail")))</f>
        <v>Fail</v>
      </c>
      <c r="AF2311" s="1" t="str">
        <f>IF(AND(Table1[[#This Row],[Spec Type2]]="N/A",Table1[[#This Row],[DUT Adj Read]]="N/A",Table1[[#This Row],[Std Adj Read]]="N/A"),"N/A",IF(Table1[[#This Row],[DUT Adj Read]]="N/A",IF(Table1[[#This Row],[Std Adj Read]]&gt;=Table1[[#This Row],[Low Tol]],"Pass","Fail"),IF(Table1[[#This Row],[DUT Adj Read]]&gt;=Table1[[#This Row],[Low Tol]],"Pass","Fail")))</f>
        <v>Pass</v>
      </c>
      <c r="AG2311" s="1" t="str">
        <f>IF(AND(Table1[[#This Row],[Spec Type2]]="N/A",Table1[[#This Row],[DUT Adj Read]]="N/A",Table1[[#This Row],[Std Adj Read]]="N/A"),"N/A",IF(Table1[[#This Row],[DUT Adj Read]]="N/A",IF(Table1[[#This Row],[Std Adj Read]]&lt;=Table1[[#This Row],[High Tol]],"Pass","Fail"),IF(Table1[[#This Row],[DUT Adj Read]]&lt;=Table1[[#This Row],[High Tol]],"Pass","Fail")))</f>
        <v>Fail</v>
      </c>
      <c r="AH23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1" s="1" t="b">
        <v>0</v>
      </c>
      <c r="AN2311" s="1" t="b">
        <v>0</v>
      </c>
      <c r="AO2311" s="1" t="b">
        <v>0</v>
      </c>
    </row>
    <row r="2312" spans="1:41" x14ac:dyDescent="0.25">
      <c r="A2312" s="10"/>
      <c r="B2312" s="10"/>
      <c r="C2312" s="10"/>
      <c r="D2312" s="10"/>
      <c r="E2312" s="10"/>
      <c r="F2312" s="10"/>
      <c r="G2312" s="10"/>
      <c r="H2312" s="10"/>
      <c r="I2312" s="1" t="str">
        <f t="shared" si="105"/>
        <v/>
      </c>
      <c r="J2312" s="1" t="s">
        <v>35</v>
      </c>
      <c r="K2312" s="1" t="str">
        <f t="shared" si="106"/>
        <v/>
      </c>
      <c r="L2312" s="1" t="str">
        <f t="shared" si="107"/>
        <v/>
      </c>
      <c r="M2312" s="1">
        <f>IF(OR(Table1[[#This Row],[Std Nom]]="",Table1[[#This Row],[Std Read]]=""),0,Table1[[#This Row],[Std Nom]]-Table1[[#This Row],[Std Read]])</f>
        <v>0</v>
      </c>
      <c r="N2312" s="1">
        <f>IF(Calculations!$F$5="ACCREDITED 17025 WITH UNCERTAINTIES",$N$10,0)</f>
        <v>0</v>
      </c>
      <c r="O2312" s="1" t="str">
        <f>IFERROR(Table1[[#This Row],[Std Nom]]-(_xlfn.XLOOKUP(Table1[[#This Row],[Manufacturer]]&amp;" "&amp;Table1[[#This Row],[Model]],Table13[MFR &amp; MDL],Table13[Tolerance % CW ],"")/100*Table1[[#This Row],[Std Nom]]),"")</f>
        <v/>
      </c>
      <c r="P2312" s="1" t="str">
        <f>IFERROR(Table1[[#This Row],[Std Nom]]+(_xlfn.XLOOKUP(Table1[[#This Row],[Manufacturer]]&amp;" "&amp;Table1[[#This Row],[Model]],Table13[MFR &amp; MDL],Table13[Tolerance % CW ],"")/100*Table1[[#This Row],[Std Nom]]),"")</f>
        <v/>
      </c>
      <c r="Q2312" s="1" t="e">
        <f>Table1[[#This Row],[High Tol]]-Table1[[#This Row],[Low Tol]]</f>
        <v>#VALUE!</v>
      </c>
      <c r="R2312" s="1">
        <f>2*Table1[[#This Row],[Std Error]]</f>
        <v>0</v>
      </c>
      <c r="S2312" s="1" t="str">
        <f>IF(Table1[[#This Row],[High Tol]]="","N/A",IFERROR(ABS(Table1[[#This Row],[Tol Span]]/Table1[[#This Row],[Error Span]]),"N/A"))</f>
        <v>N/A</v>
      </c>
      <c r="T2312" s="1" t="str">
        <f>IF(OR(Table1[[#This Row],[Low Tol]]="",Table1[[#This Row],[High Tol]]=""),"Needs Analysis",IF(Table1[[#This Row],[Ratio]]&gt;=4,"Not Significant",IF(Table1[[#This Row],[Ratio]]&gt;=2,"Semi-Significant","Significant")))</f>
        <v>Needs Analysis</v>
      </c>
      <c r="W2312" s="1">
        <f>IF(Table1[[#This Row],[Cal Type]]&lt;&gt;"ACCREDITED 17025 WITH UNCERTAINTIES",0,"")</f>
        <v>0</v>
      </c>
      <c r="X2312" s="1" t="str">
        <f>IF(Table1[[#This Row],[DUT Read]]="","N/A",Table1[[#This Row],[Std Error]]+Table1[[#This Row],[DUT Read]]+Table1[[#This Row],[DUT Ucty]])</f>
        <v>N/A</v>
      </c>
      <c r="Y2312" s="1" t="str">
        <f>IF(Table1[[#This Row],[Std Read]]="","N/A",Table1[[#This Row],[Std Read]]+Table1[[#This Row],[Std Ucty]])</f>
        <v>N/A</v>
      </c>
      <c r="Z23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2" s="1" t="str">
        <f>IF(Table1[[#This Row],[Spec Type]]="","N/A",Table1[[#This Row],[Spec Type]])</f>
        <v>±</v>
      </c>
      <c r="AC2312" s="1" t="str">
        <f>IF(Table1[[#This Row],[Spec Type2]]="N/A","N/A",IF(AND(Table1[[#This Row],[DUT Adj Read]]&gt;=Table1[[#This Row],[Low Tol]],Table1[[#This Row],[DUT Adj Read]]&lt;=Table1[[#This Row],[High Tol]]),"Pass","Fail"))</f>
        <v>Fail</v>
      </c>
      <c r="AD2312" s="1" t="str">
        <f>IF(AND(Table1[[#This Row],[Spec Type2]]="N/A",Table1[[#This Row],[DUT Adj Read]]="N/A",Table1[[#This Row],[Std Adj Read]]="N/A"),"N/A",IF(Table1[[#This Row],[DUT Adj Read]]="N/A",IF(Table1[[#This Row],[Std Adj Read]]&gt;Table1[[#This Row],[Low Tol]],"Pass","Fail"),IF(Table1[[#This Row],[DUT Adj Read]]&gt;Table1[[#This Row],[Low Tol]],"Pass","Fail")))</f>
        <v>Pass</v>
      </c>
      <c r="AE2312" s="1" t="str">
        <f>IF(AND(Table1[[#This Row],[Spec Type2]]="N/A",Table1[[#This Row],[DUT Adj Read]]="N/A",Table1[[#This Row],[Std Adj Read]]="N/A"),"N/A",IF(Table1[[#This Row],[DUT Adj Read]]="N/A",IF(Table1[[#This Row],[Std Adj Read]]&lt;Table1[[#This Row],[High Tol]],"Pass","Fail"),IF(Table1[[#This Row],[DUT Adj Read]]&lt;Table1[[#This Row],[High Tol]],"Pass","Fail")))</f>
        <v>Fail</v>
      </c>
      <c r="AF2312" s="1" t="str">
        <f>IF(AND(Table1[[#This Row],[Spec Type2]]="N/A",Table1[[#This Row],[DUT Adj Read]]="N/A",Table1[[#This Row],[Std Adj Read]]="N/A"),"N/A",IF(Table1[[#This Row],[DUT Adj Read]]="N/A",IF(Table1[[#This Row],[Std Adj Read]]&gt;=Table1[[#This Row],[Low Tol]],"Pass","Fail"),IF(Table1[[#This Row],[DUT Adj Read]]&gt;=Table1[[#This Row],[Low Tol]],"Pass","Fail")))</f>
        <v>Pass</v>
      </c>
      <c r="AG2312" s="1" t="str">
        <f>IF(AND(Table1[[#This Row],[Spec Type2]]="N/A",Table1[[#This Row],[DUT Adj Read]]="N/A",Table1[[#This Row],[Std Adj Read]]="N/A"),"N/A",IF(Table1[[#This Row],[DUT Adj Read]]="N/A",IF(Table1[[#This Row],[Std Adj Read]]&lt;=Table1[[#This Row],[High Tol]],"Pass","Fail"),IF(Table1[[#This Row],[DUT Adj Read]]&lt;=Table1[[#This Row],[High Tol]],"Pass","Fail")))</f>
        <v>Fail</v>
      </c>
      <c r="AH23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2" s="1" t="b">
        <v>0</v>
      </c>
      <c r="AN2312" s="1" t="b">
        <v>0</v>
      </c>
      <c r="AO2312" s="1" t="b">
        <v>0</v>
      </c>
    </row>
    <row r="2313" spans="1:41" x14ac:dyDescent="0.25">
      <c r="A2313" s="10"/>
      <c r="B2313" s="10"/>
      <c r="C2313" s="10"/>
      <c r="D2313" s="10"/>
      <c r="E2313" s="10"/>
      <c r="F2313" s="10"/>
      <c r="G2313" s="10"/>
      <c r="H2313" s="10"/>
      <c r="I2313" s="1" t="str">
        <f t="shared" si="105"/>
        <v/>
      </c>
      <c r="J2313" s="1" t="s">
        <v>35</v>
      </c>
      <c r="K2313" s="1" t="str">
        <f t="shared" si="106"/>
        <v/>
      </c>
      <c r="L2313" s="1" t="str">
        <f t="shared" si="107"/>
        <v/>
      </c>
      <c r="M2313" s="1">
        <f>IF(OR(Table1[[#This Row],[Std Nom]]="",Table1[[#This Row],[Std Read]]=""),0,Table1[[#This Row],[Std Nom]]-Table1[[#This Row],[Std Read]])</f>
        <v>0</v>
      </c>
      <c r="N2313" s="1">
        <f>IF(Calculations!$F$5="ACCREDITED 17025 WITH UNCERTAINTIES",$N$10,0)</f>
        <v>0</v>
      </c>
      <c r="O2313" s="1" t="str">
        <f>IFERROR(Table1[[#This Row],[Std Nom]]-(_xlfn.XLOOKUP(Table1[[#This Row],[Manufacturer]]&amp;" "&amp;Table1[[#This Row],[Model]],Table13[MFR &amp; MDL],Table13[Tolerance % CW ],"")/100*Table1[[#This Row],[Std Nom]]),"")</f>
        <v/>
      </c>
      <c r="P2313" s="1" t="str">
        <f>IFERROR(Table1[[#This Row],[Std Nom]]+(_xlfn.XLOOKUP(Table1[[#This Row],[Manufacturer]]&amp;" "&amp;Table1[[#This Row],[Model]],Table13[MFR &amp; MDL],Table13[Tolerance % CW ],"")/100*Table1[[#This Row],[Std Nom]]),"")</f>
        <v/>
      </c>
      <c r="Q2313" s="1" t="e">
        <f>Table1[[#This Row],[High Tol]]-Table1[[#This Row],[Low Tol]]</f>
        <v>#VALUE!</v>
      </c>
      <c r="R2313" s="1">
        <f>2*Table1[[#This Row],[Std Error]]</f>
        <v>0</v>
      </c>
      <c r="S2313" s="1" t="str">
        <f>IF(Table1[[#This Row],[High Tol]]="","N/A",IFERROR(ABS(Table1[[#This Row],[Tol Span]]/Table1[[#This Row],[Error Span]]),"N/A"))</f>
        <v>N/A</v>
      </c>
      <c r="T2313" s="1" t="str">
        <f>IF(OR(Table1[[#This Row],[Low Tol]]="",Table1[[#This Row],[High Tol]]=""),"Needs Analysis",IF(Table1[[#This Row],[Ratio]]&gt;=4,"Not Significant",IF(Table1[[#This Row],[Ratio]]&gt;=2,"Semi-Significant","Significant")))</f>
        <v>Needs Analysis</v>
      </c>
      <c r="W2313" s="1">
        <f>IF(Table1[[#This Row],[Cal Type]]&lt;&gt;"ACCREDITED 17025 WITH UNCERTAINTIES",0,"")</f>
        <v>0</v>
      </c>
      <c r="X2313" s="1" t="str">
        <f>IF(Table1[[#This Row],[DUT Read]]="","N/A",Table1[[#This Row],[Std Error]]+Table1[[#This Row],[DUT Read]]+Table1[[#This Row],[DUT Ucty]])</f>
        <v>N/A</v>
      </c>
      <c r="Y2313" s="1" t="str">
        <f>IF(Table1[[#This Row],[Std Read]]="","N/A",Table1[[#This Row],[Std Read]]+Table1[[#This Row],[Std Ucty]])</f>
        <v>N/A</v>
      </c>
      <c r="Z23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3" s="1" t="str">
        <f>IF(Table1[[#This Row],[Spec Type]]="","N/A",Table1[[#This Row],[Spec Type]])</f>
        <v>±</v>
      </c>
      <c r="AC2313" s="1" t="str">
        <f>IF(Table1[[#This Row],[Spec Type2]]="N/A","N/A",IF(AND(Table1[[#This Row],[DUT Adj Read]]&gt;=Table1[[#This Row],[Low Tol]],Table1[[#This Row],[DUT Adj Read]]&lt;=Table1[[#This Row],[High Tol]]),"Pass","Fail"))</f>
        <v>Fail</v>
      </c>
      <c r="AD2313" s="1" t="str">
        <f>IF(AND(Table1[[#This Row],[Spec Type2]]="N/A",Table1[[#This Row],[DUT Adj Read]]="N/A",Table1[[#This Row],[Std Adj Read]]="N/A"),"N/A",IF(Table1[[#This Row],[DUT Adj Read]]="N/A",IF(Table1[[#This Row],[Std Adj Read]]&gt;Table1[[#This Row],[Low Tol]],"Pass","Fail"),IF(Table1[[#This Row],[DUT Adj Read]]&gt;Table1[[#This Row],[Low Tol]],"Pass","Fail")))</f>
        <v>Pass</v>
      </c>
      <c r="AE2313" s="1" t="str">
        <f>IF(AND(Table1[[#This Row],[Spec Type2]]="N/A",Table1[[#This Row],[DUT Adj Read]]="N/A",Table1[[#This Row],[Std Adj Read]]="N/A"),"N/A",IF(Table1[[#This Row],[DUT Adj Read]]="N/A",IF(Table1[[#This Row],[Std Adj Read]]&lt;Table1[[#This Row],[High Tol]],"Pass","Fail"),IF(Table1[[#This Row],[DUT Adj Read]]&lt;Table1[[#This Row],[High Tol]],"Pass","Fail")))</f>
        <v>Fail</v>
      </c>
      <c r="AF2313" s="1" t="str">
        <f>IF(AND(Table1[[#This Row],[Spec Type2]]="N/A",Table1[[#This Row],[DUT Adj Read]]="N/A",Table1[[#This Row],[Std Adj Read]]="N/A"),"N/A",IF(Table1[[#This Row],[DUT Adj Read]]="N/A",IF(Table1[[#This Row],[Std Adj Read]]&gt;=Table1[[#This Row],[Low Tol]],"Pass","Fail"),IF(Table1[[#This Row],[DUT Adj Read]]&gt;=Table1[[#This Row],[Low Tol]],"Pass","Fail")))</f>
        <v>Pass</v>
      </c>
      <c r="AG2313" s="1" t="str">
        <f>IF(AND(Table1[[#This Row],[Spec Type2]]="N/A",Table1[[#This Row],[DUT Adj Read]]="N/A",Table1[[#This Row],[Std Adj Read]]="N/A"),"N/A",IF(Table1[[#This Row],[DUT Adj Read]]="N/A",IF(Table1[[#This Row],[Std Adj Read]]&lt;=Table1[[#This Row],[High Tol]],"Pass","Fail"),IF(Table1[[#This Row],[DUT Adj Read]]&lt;=Table1[[#This Row],[High Tol]],"Pass","Fail")))</f>
        <v>Fail</v>
      </c>
      <c r="AH23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3" s="1" t="b">
        <v>0</v>
      </c>
      <c r="AN2313" s="1" t="b">
        <v>0</v>
      </c>
      <c r="AO2313" s="1" t="b">
        <v>0</v>
      </c>
    </row>
    <row r="2314" spans="1:41" x14ac:dyDescent="0.25">
      <c r="A2314" s="10"/>
      <c r="B2314" s="10"/>
      <c r="C2314" s="10"/>
      <c r="D2314" s="10"/>
      <c r="E2314" s="10"/>
      <c r="F2314" s="10"/>
      <c r="G2314" s="10"/>
      <c r="H2314" s="10"/>
      <c r="I2314" s="1" t="str">
        <f t="shared" si="105"/>
        <v/>
      </c>
      <c r="J2314" s="1" t="s">
        <v>35</v>
      </c>
      <c r="K2314" s="1" t="str">
        <f t="shared" si="106"/>
        <v/>
      </c>
      <c r="L2314" s="1" t="str">
        <f t="shared" si="107"/>
        <v/>
      </c>
      <c r="M2314" s="1">
        <f>IF(OR(Table1[[#This Row],[Std Nom]]="",Table1[[#This Row],[Std Read]]=""),0,Table1[[#This Row],[Std Nom]]-Table1[[#This Row],[Std Read]])</f>
        <v>0</v>
      </c>
      <c r="N2314" s="1">
        <f>IF(Calculations!$F$5="ACCREDITED 17025 WITH UNCERTAINTIES",$N$10,0)</f>
        <v>0</v>
      </c>
      <c r="O2314" s="1" t="str">
        <f>IFERROR(Table1[[#This Row],[Std Nom]]-(_xlfn.XLOOKUP(Table1[[#This Row],[Manufacturer]]&amp;" "&amp;Table1[[#This Row],[Model]],Table13[MFR &amp; MDL],Table13[Tolerance % CW ],"")/100*Table1[[#This Row],[Std Nom]]),"")</f>
        <v/>
      </c>
      <c r="P2314" s="1" t="str">
        <f>IFERROR(Table1[[#This Row],[Std Nom]]+(_xlfn.XLOOKUP(Table1[[#This Row],[Manufacturer]]&amp;" "&amp;Table1[[#This Row],[Model]],Table13[MFR &amp; MDL],Table13[Tolerance % CW ],"")/100*Table1[[#This Row],[Std Nom]]),"")</f>
        <v/>
      </c>
      <c r="Q2314" s="1" t="e">
        <f>Table1[[#This Row],[High Tol]]-Table1[[#This Row],[Low Tol]]</f>
        <v>#VALUE!</v>
      </c>
      <c r="R2314" s="1">
        <f>2*Table1[[#This Row],[Std Error]]</f>
        <v>0</v>
      </c>
      <c r="S2314" s="1" t="str">
        <f>IF(Table1[[#This Row],[High Tol]]="","N/A",IFERROR(ABS(Table1[[#This Row],[Tol Span]]/Table1[[#This Row],[Error Span]]),"N/A"))</f>
        <v>N/A</v>
      </c>
      <c r="T2314" s="1" t="str">
        <f>IF(OR(Table1[[#This Row],[Low Tol]]="",Table1[[#This Row],[High Tol]]=""),"Needs Analysis",IF(Table1[[#This Row],[Ratio]]&gt;=4,"Not Significant",IF(Table1[[#This Row],[Ratio]]&gt;=2,"Semi-Significant","Significant")))</f>
        <v>Needs Analysis</v>
      </c>
      <c r="W2314" s="1">
        <f>IF(Table1[[#This Row],[Cal Type]]&lt;&gt;"ACCREDITED 17025 WITH UNCERTAINTIES",0,"")</f>
        <v>0</v>
      </c>
      <c r="X2314" s="1" t="str">
        <f>IF(Table1[[#This Row],[DUT Read]]="","N/A",Table1[[#This Row],[Std Error]]+Table1[[#This Row],[DUT Read]]+Table1[[#This Row],[DUT Ucty]])</f>
        <v>N/A</v>
      </c>
      <c r="Y2314" s="1" t="str">
        <f>IF(Table1[[#This Row],[Std Read]]="","N/A",Table1[[#This Row],[Std Read]]+Table1[[#This Row],[Std Ucty]])</f>
        <v>N/A</v>
      </c>
      <c r="Z23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4" s="1" t="str">
        <f>IF(Table1[[#This Row],[Spec Type]]="","N/A",Table1[[#This Row],[Spec Type]])</f>
        <v>±</v>
      </c>
      <c r="AC2314" s="1" t="str">
        <f>IF(Table1[[#This Row],[Spec Type2]]="N/A","N/A",IF(AND(Table1[[#This Row],[DUT Adj Read]]&gt;=Table1[[#This Row],[Low Tol]],Table1[[#This Row],[DUT Adj Read]]&lt;=Table1[[#This Row],[High Tol]]),"Pass","Fail"))</f>
        <v>Fail</v>
      </c>
      <c r="AD2314" s="1" t="str">
        <f>IF(AND(Table1[[#This Row],[Spec Type2]]="N/A",Table1[[#This Row],[DUT Adj Read]]="N/A",Table1[[#This Row],[Std Adj Read]]="N/A"),"N/A",IF(Table1[[#This Row],[DUT Adj Read]]="N/A",IF(Table1[[#This Row],[Std Adj Read]]&gt;Table1[[#This Row],[Low Tol]],"Pass","Fail"),IF(Table1[[#This Row],[DUT Adj Read]]&gt;Table1[[#This Row],[Low Tol]],"Pass","Fail")))</f>
        <v>Pass</v>
      </c>
      <c r="AE2314" s="1" t="str">
        <f>IF(AND(Table1[[#This Row],[Spec Type2]]="N/A",Table1[[#This Row],[DUT Adj Read]]="N/A",Table1[[#This Row],[Std Adj Read]]="N/A"),"N/A",IF(Table1[[#This Row],[DUT Adj Read]]="N/A",IF(Table1[[#This Row],[Std Adj Read]]&lt;Table1[[#This Row],[High Tol]],"Pass","Fail"),IF(Table1[[#This Row],[DUT Adj Read]]&lt;Table1[[#This Row],[High Tol]],"Pass","Fail")))</f>
        <v>Fail</v>
      </c>
      <c r="AF2314" s="1" t="str">
        <f>IF(AND(Table1[[#This Row],[Spec Type2]]="N/A",Table1[[#This Row],[DUT Adj Read]]="N/A",Table1[[#This Row],[Std Adj Read]]="N/A"),"N/A",IF(Table1[[#This Row],[DUT Adj Read]]="N/A",IF(Table1[[#This Row],[Std Adj Read]]&gt;=Table1[[#This Row],[Low Tol]],"Pass","Fail"),IF(Table1[[#This Row],[DUT Adj Read]]&gt;=Table1[[#This Row],[Low Tol]],"Pass","Fail")))</f>
        <v>Pass</v>
      </c>
      <c r="AG2314" s="1" t="str">
        <f>IF(AND(Table1[[#This Row],[Spec Type2]]="N/A",Table1[[#This Row],[DUT Adj Read]]="N/A",Table1[[#This Row],[Std Adj Read]]="N/A"),"N/A",IF(Table1[[#This Row],[DUT Adj Read]]="N/A",IF(Table1[[#This Row],[Std Adj Read]]&lt;=Table1[[#This Row],[High Tol]],"Pass","Fail"),IF(Table1[[#This Row],[DUT Adj Read]]&lt;=Table1[[#This Row],[High Tol]],"Pass","Fail")))</f>
        <v>Fail</v>
      </c>
      <c r="AH23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4" s="1" t="b">
        <v>0</v>
      </c>
      <c r="AN2314" s="1" t="b">
        <v>0</v>
      </c>
      <c r="AO2314" s="1" t="b">
        <v>0</v>
      </c>
    </row>
    <row r="2315" spans="1:41" x14ac:dyDescent="0.25">
      <c r="A2315" s="10"/>
      <c r="B2315" s="10"/>
      <c r="C2315" s="10"/>
      <c r="D2315" s="10"/>
      <c r="E2315" s="10"/>
      <c r="F2315" s="10"/>
      <c r="G2315" s="10"/>
      <c r="H2315" s="10"/>
      <c r="I2315" s="1" t="str">
        <f t="shared" ref="I2315:I2378" si="108">IF($I$10="","",$I$10)</f>
        <v/>
      </c>
      <c r="J2315" s="1" t="s">
        <v>35</v>
      </c>
      <c r="K2315" s="1" t="str">
        <f t="shared" ref="K2315:K2378" si="109">IF($K$10="","",$K$10)</f>
        <v/>
      </c>
      <c r="L2315" s="1" t="str">
        <f t="shared" ref="L2315:L2378" si="110">IF($L$10="","",$L$10)</f>
        <v/>
      </c>
      <c r="M2315" s="1">
        <f>IF(OR(Table1[[#This Row],[Std Nom]]="",Table1[[#This Row],[Std Read]]=""),0,Table1[[#This Row],[Std Nom]]-Table1[[#This Row],[Std Read]])</f>
        <v>0</v>
      </c>
      <c r="N2315" s="1">
        <f>IF(Calculations!$F$5="ACCREDITED 17025 WITH UNCERTAINTIES",$N$10,0)</f>
        <v>0</v>
      </c>
      <c r="O2315" s="1" t="str">
        <f>IFERROR(Table1[[#This Row],[Std Nom]]-(_xlfn.XLOOKUP(Table1[[#This Row],[Manufacturer]]&amp;" "&amp;Table1[[#This Row],[Model]],Table13[MFR &amp; MDL],Table13[Tolerance % CW ],"")/100*Table1[[#This Row],[Std Nom]]),"")</f>
        <v/>
      </c>
      <c r="P2315" s="1" t="str">
        <f>IFERROR(Table1[[#This Row],[Std Nom]]+(_xlfn.XLOOKUP(Table1[[#This Row],[Manufacturer]]&amp;" "&amp;Table1[[#This Row],[Model]],Table13[MFR &amp; MDL],Table13[Tolerance % CW ],"")/100*Table1[[#This Row],[Std Nom]]),"")</f>
        <v/>
      </c>
      <c r="Q2315" s="1" t="e">
        <f>Table1[[#This Row],[High Tol]]-Table1[[#This Row],[Low Tol]]</f>
        <v>#VALUE!</v>
      </c>
      <c r="R2315" s="1">
        <f>2*Table1[[#This Row],[Std Error]]</f>
        <v>0</v>
      </c>
      <c r="S2315" s="1" t="str">
        <f>IF(Table1[[#This Row],[High Tol]]="","N/A",IFERROR(ABS(Table1[[#This Row],[Tol Span]]/Table1[[#This Row],[Error Span]]),"N/A"))</f>
        <v>N/A</v>
      </c>
      <c r="T2315" s="1" t="str">
        <f>IF(OR(Table1[[#This Row],[Low Tol]]="",Table1[[#This Row],[High Tol]]=""),"Needs Analysis",IF(Table1[[#This Row],[Ratio]]&gt;=4,"Not Significant",IF(Table1[[#This Row],[Ratio]]&gt;=2,"Semi-Significant","Significant")))</f>
        <v>Needs Analysis</v>
      </c>
      <c r="W2315" s="1">
        <f>IF(Table1[[#This Row],[Cal Type]]&lt;&gt;"ACCREDITED 17025 WITH UNCERTAINTIES",0,"")</f>
        <v>0</v>
      </c>
      <c r="X2315" s="1" t="str">
        <f>IF(Table1[[#This Row],[DUT Read]]="","N/A",Table1[[#This Row],[Std Error]]+Table1[[#This Row],[DUT Read]]+Table1[[#This Row],[DUT Ucty]])</f>
        <v>N/A</v>
      </c>
      <c r="Y2315" s="1" t="str">
        <f>IF(Table1[[#This Row],[Std Read]]="","N/A",Table1[[#This Row],[Std Read]]+Table1[[#This Row],[Std Ucty]])</f>
        <v>N/A</v>
      </c>
      <c r="Z23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5" s="1" t="str">
        <f>IF(Table1[[#This Row],[Spec Type]]="","N/A",Table1[[#This Row],[Spec Type]])</f>
        <v>±</v>
      </c>
      <c r="AC2315" s="1" t="str">
        <f>IF(Table1[[#This Row],[Spec Type2]]="N/A","N/A",IF(AND(Table1[[#This Row],[DUT Adj Read]]&gt;=Table1[[#This Row],[Low Tol]],Table1[[#This Row],[DUT Adj Read]]&lt;=Table1[[#This Row],[High Tol]]),"Pass","Fail"))</f>
        <v>Fail</v>
      </c>
      <c r="AD2315" s="1" t="str">
        <f>IF(AND(Table1[[#This Row],[Spec Type2]]="N/A",Table1[[#This Row],[DUT Adj Read]]="N/A",Table1[[#This Row],[Std Adj Read]]="N/A"),"N/A",IF(Table1[[#This Row],[DUT Adj Read]]="N/A",IF(Table1[[#This Row],[Std Adj Read]]&gt;Table1[[#This Row],[Low Tol]],"Pass","Fail"),IF(Table1[[#This Row],[DUT Adj Read]]&gt;Table1[[#This Row],[Low Tol]],"Pass","Fail")))</f>
        <v>Pass</v>
      </c>
      <c r="AE2315" s="1" t="str">
        <f>IF(AND(Table1[[#This Row],[Spec Type2]]="N/A",Table1[[#This Row],[DUT Adj Read]]="N/A",Table1[[#This Row],[Std Adj Read]]="N/A"),"N/A",IF(Table1[[#This Row],[DUT Adj Read]]="N/A",IF(Table1[[#This Row],[Std Adj Read]]&lt;Table1[[#This Row],[High Tol]],"Pass","Fail"),IF(Table1[[#This Row],[DUT Adj Read]]&lt;Table1[[#This Row],[High Tol]],"Pass","Fail")))</f>
        <v>Fail</v>
      </c>
      <c r="AF2315" s="1" t="str">
        <f>IF(AND(Table1[[#This Row],[Spec Type2]]="N/A",Table1[[#This Row],[DUT Adj Read]]="N/A",Table1[[#This Row],[Std Adj Read]]="N/A"),"N/A",IF(Table1[[#This Row],[DUT Adj Read]]="N/A",IF(Table1[[#This Row],[Std Adj Read]]&gt;=Table1[[#This Row],[Low Tol]],"Pass","Fail"),IF(Table1[[#This Row],[DUT Adj Read]]&gt;=Table1[[#This Row],[Low Tol]],"Pass","Fail")))</f>
        <v>Pass</v>
      </c>
      <c r="AG2315" s="1" t="str">
        <f>IF(AND(Table1[[#This Row],[Spec Type2]]="N/A",Table1[[#This Row],[DUT Adj Read]]="N/A",Table1[[#This Row],[Std Adj Read]]="N/A"),"N/A",IF(Table1[[#This Row],[DUT Adj Read]]="N/A",IF(Table1[[#This Row],[Std Adj Read]]&lt;=Table1[[#This Row],[High Tol]],"Pass","Fail"),IF(Table1[[#This Row],[DUT Adj Read]]&lt;=Table1[[#This Row],[High Tol]],"Pass","Fail")))</f>
        <v>Fail</v>
      </c>
      <c r="AH23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5" s="1" t="b">
        <v>0</v>
      </c>
      <c r="AN2315" s="1" t="b">
        <v>0</v>
      </c>
      <c r="AO2315" s="1" t="b">
        <v>0</v>
      </c>
    </row>
    <row r="2316" spans="1:41" x14ac:dyDescent="0.25">
      <c r="A2316" s="10"/>
      <c r="B2316" s="10"/>
      <c r="C2316" s="10"/>
      <c r="D2316" s="10"/>
      <c r="E2316" s="10"/>
      <c r="F2316" s="10"/>
      <c r="G2316" s="10"/>
      <c r="H2316" s="10"/>
      <c r="I2316" s="1" t="str">
        <f t="shared" si="108"/>
        <v/>
      </c>
      <c r="J2316" s="1" t="s">
        <v>35</v>
      </c>
      <c r="K2316" s="1" t="str">
        <f t="shared" si="109"/>
        <v/>
      </c>
      <c r="L2316" s="1" t="str">
        <f t="shared" si="110"/>
        <v/>
      </c>
      <c r="M2316" s="1">
        <f>IF(OR(Table1[[#This Row],[Std Nom]]="",Table1[[#This Row],[Std Read]]=""),0,Table1[[#This Row],[Std Nom]]-Table1[[#This Row],[Std Read]])</f>
        <v>0</v>
      </c>
      <c r="N2316" s="1">
        <f>IF(Calculations!$F$5="ACCREDITED 17025 WITH UNCERTAINTIES",$N$10,0)</f>
        <v>0</v>
      </c>
      <c r="O2316" s="1" t="str">
        <f>IFERROR(Table1[[#This Row],[Std Nom]]-(_xlfn.XLOOKUP(Table1[[#This Row],[Manufacturer]]&amp;" "&amp;Table1[[#This Row],[Model]],Table13[MFR &amp; MDL],Table13[Tolerance % CW ],"")/100*Table1[[#This Row],[Std Nom]]),"")</f>
        <v/>
      </c>
      <c r="P2316" s="1" t="str">
        <f>IFERROR(Table1[[#This Row],[Std Nom]]+(_xlfn.XLOOKUP(Table1[[#This Row],[Manufacturer]]&amp;" "&amp;Table1[[#This Row],[Model]],Table13[MFR &amp; MDL],Table13[Tolerance % CW ],"")/100*Table1[[#This Row],[Std Nom]]),"")</f>
        <v/>
      </c>
      <c r="Q2316" s="1" t="e">
        <f>Table1[[#This Row],[High Tol]]-Table1[[#This Row],[Low Tol]]</f>
        <v>#VALUE!</v>
      </c>
      <c r="R2316" s="1">
        <f>2*Table1[[#This Row],[Std Error]]</f>
        <v>0</v>
      </c>
      <c r="S2316" s="1" t="str">
        <f>IF(Table1[[#This Row],[High Tol]]="","N/A",IFERROR(ABS(Table1[[#This Row],[Tol Span]]/Table1[[#This Row],[Error Span]]),"N/A"))</f>
        <v>N/A</v>
      </c>
      <c r="T2316" s="1" t="str">
        <f>IF(OR(Table1[[#This Row],[Low Tol]]="",Table1[[#This Row],[High Tol]]=""),"Needs Analysis",IF(Table1[[#This Row],[Ratio]]&gt;=4,"Not Significant",IF(Table1[[#This Row],[Ratio]]&gt;=2,"Semi-Significant","Significant")))</f>
        <v>Needs Analysis</v>
      </c>
      <c r="W2316" s="1">
        <f>IF(Table1[[#This Row],[Cal Type]]&lt;&gt;"ACCREDITED 17025 WITH UNCERTAINTIES",0,"")</f>
        <v>0</v>
      </c>
      <c r="X2316" s="1" t="str">
        <f>IF(Table1[[#This Row],[DUT Read]]="","N/A",Table1[[#This Row],[Std Error]]+Table1[[#This Row],[DUT Read]]+Table1[[#This Row],[DUT Ucty]])</f>
        <v>N/A</v>
      </c>
      <c r="Y2316" s="1" t="str">
        <f>IF(Table1[[#This Row],[Std Read]]="","N/A",Table1[[#This Row],[Std Read]]+Table1[[#This Row],[Std Ucty]])</f>
        <v>N/A</v>
      </c>
      <c r="Z23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6" s="1" t="str">
        <f>IF(Table1[[#This Row],[Spec Type]]="","N/A",Table1[[#This Row],[Spec Type]])</f>
        <v>±</v>
      </c>
      <c r="AC2316" s="1" t="str">
        <f>IF(Table1[[#This Row],[Spec Type2]]="N/A","N/A",IF(AND(Table1[[#This Row],[DUT Adj Read]]&gt;=Table1[[#This Row],[Low Tol]],Table1[[#This Row],[DUT Adj Read]]&lt;=Table1[[#This Row],[High Tol]]),"Pass","Fail"))</f>
        <v>Fail</v>
      </c>
      <c r="AD2316" s="1" t="str">
        <f>IF(AND(Table1[[#This Row],[Spec Type2]]="N/A",Table1[[#This Row],[DUT Adj Read]]="N/A",Table1[[#This Row],[Std Adj Read]]="N/A"),"N/A",IF(Table1[[#This Row],[DUT Adj Read]]="N/A",IF(Table1[[#This Row],[Std Adj Read]]&gt;Table1[[#This Row],[Low Tol]],"Pass","Fail"),IF(Table1[[#This Row],[DUT Adj Read]]&gt;Table1[[#This Row],[Low Tol]],"Pass","Fail")))</f>
        <v>Pass</v>
      </c>
      <c r="AE2316" s="1" t="str">
        <f>IF(AND(Table1[[#This Row],[Spec Type2]]="N/A",Table1[[#This Row],[DUT Adj Read]]="N/A",Table1[[#This Row],[Std Adj Read]]="N/A"),"N/A",IF(Table1[[#This Row],[DUT Adj Read]]="N/A",IF(Table1[[#This Row],[Std Adj Read]]&lt;Table1[[#This Row],[High Tol]],"Pass","Fail"),IF(Table1[[#This Row],[DUT Adj Read]]&lt;Table1[[#This Row],[High Tol]],"Pass","Fail")))</f>
        <v>Fail</v>
      </c>
      <c r="AF2316" s="1" t="str">
        <f>IF(AND(Table1[[#This Row],[Spec Type2]]="N/A",Table1[[#This Row],[DUT Adj Read]]="N/A",Table1[[#This Row],[Std Adj Read]]="N/A"),"N/A",IF(Table1[[#This Row],[DUT Adj Read]]="N/A",IF(Table1[[#This Row],[Std Adj Read]]&gt;=Table1[[#This Row],[Low Tol]],"Pass","Fail"),IF(Table1[[#This Row],[DUT Adj Read]]&gt;=Table1[[#This Row],[Low Tol]],"Pass","Fail")))</f>
        <v>Pass</v>
      </c>
      <c r="AG2316" s="1" t="str">
        <f>IF(AND(Table1[[#This Row],[Spec Type2]]="N/A",Table1[[#This Row],[DUT Adj Read]]="N/A",Table1[[#This Row],[Std Adj Read]]="N/A"),"N/A",IF(Table1[[#This Row],[DUT Adj Read]]="N/A",IF(Table1[[#This Row],[Std Adj Read]]&lt;=Table1[[#This Row],[High Tol]],"Pass","Fail"),IF(Table1[[#This Row],[DUT Adj Read]]&lt;=Table1[[#This Row],[High Tol]],"Pass","Fail")))</f>
        <v>Fail</v>
      </c>
      <c r="AH23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6" s="1" t="b">
        <v>0</v>
      </c>
      <c r="AN2316" s="1" t="b">
        <v>0</v>
      </c>
      <c r="AO2316" s="1" t="b">
        <v>0</v>
      </c>
    </row>
    <row r="2317" spans="1:41" x14ac:dyDescent="0.25">
      <c r="A2317" s="10"/>
      <c r="B2317" s="10"/>
      <c r="C2317" s="10"/>
      <c r="D2317" s="10"/>
      <c r="E2317" s="10"/>
      <c r="F2317" s="10"/>
      <c r="G2317" s="10"/>
      <c r="H2317" s="10"/>
      <c r="I2317" s="1" t="str">
        <f t="shared" si="108"/>
        <v/>
      </c>
      <c r="J2317" s="1" t="s">
        <v>35</v>
      </c>
      <c r="K2317" s="1" t="str">
        <f t="shared" si="109"/>
        <v/>
      </c>
      <c r="L2317" s="1" t="str">
        <f t="shared" si="110"/>
        <v/>
      </c>
      <c r="M2317" s="1">
        <f>IF(OR(Table1[[#This Row],[Std Nom]]="",Table1[[#This Row],[Std Read]]=""),0,Table1[[#This Row],[Std Nom]]-Table1[[#This Row],[Std Read]])</f>
        <v>0</v>
      </c>
      <c r="N2317" s="1">
        <f>IF(Calculations!$F$5="ACCREDITED 17025 WITH UNCERTAINTIES",$N$10,0)</f>
        <v>0</v>
      </c>
      <c r="O2317" s="1" t="str">
        <f>IFERROR(Table1[[#This Row],[Std Nom]]-(_xlfn.XLOOKUP(Table1[[#This Row],[Manufacturer]]&amp;" "&amp;Table1[[#This Row],[Model]],Table13[MFR &amp; MDL],Table13[Tolerance % CW ],"")/100*Table1[[#This Row],[Std Nom]]),"")</f>
        <v/>
      </c>
      <c r="P2317" s="1" t="str">
        <f>IFERROR(Table1[[#This Row],[Std Nom]]+(_xlfn.XLOOKUP(Table1[[#This Row],[Manufacturer]]&amp;" "&amp;Table1[[#This Row],[Model]],Table13[MFR &amp; MDL],Table13[Tolerance % CW ],"")/100*Table1[[#This Row],[Std Nom]]),"")</f>
        <v/>
      </c>
      <c r="Q2317" s="1" t="e">
        <f>Table1[[#This Row],[High Tol]]-Table1[[#This Row],[Low Tol]]</f>
        <v>#VALUE!</v>
      </c>
      <c r="R2317" s="1">
        <f>2*Table1[[#This Row],[Std Error]]</f>
        <v>0</v>
      </c>
      <c r="S2317" s="1" t="str">
        <f>IF(Table1[[#This Row],[High Tol]]="","N/A",IFERROR(ABS(Table1[[#This Row],[Tol Span]]/Table1[[#This Row],[Error Span]]),"N/A"))</f>
        <v>N/A</v>
      </c>
      <c r="T2317" s="1" t="str">
        <f>IF(OR(Table1[[#This Row],[Low Tol]]="",Table1[[#This Row],[High Tol]]=""),"Needs Analysis",IF(Table1[[#This Row],[Ratio]]&gt;=4,"Not Significant",IF(Table1[[#This Row],[Ratio]]&gt;=2,"Semi-Significant","Significant")))</f>
        <v>Needs Analysis</v>
      </c>
      <c r="W2317" s="1">
        <f>IF(Table1[[#This Row],[Cal Type]]&lt;&gt;"ACCREDITED 17025 WITH UNCERTAINTIES",0,"")</f>
        <v>0</v>
      </c>
      <c r="X2317" s="1" t="str">
        <f>IF(Table1[[#This Row],[DUT Read]]="","N/A",Table1[[#This Row],[Std Error]]+Table1[[#This Row],[DUT Read]]+Table1[[#This Row],[DUT Ucty]])</f>
        <v>N/A</v>
      </c>
      <c r="Y2317" s="1" t="str">
        <f>IF(Table1[[#This Row],[Std Read]]="","N/A",Table1[[#This Row],[Std Read]]+Table1[[#This Row],[Std Ucty]])</f>
        <v>N/A</v>
      </c>
      <c r="Z23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7" s="1" t="str">
        <f>IF(Table1[[#This Row],[Spec Type]]="","N/A",Table1[[#This Row],[Spec Type]])</f>
        <v>±</v>
      </c>
      <c r="AC2317" s="1" t="str">
        <f>IF(Table1[[#This Row],[Spec Type2]]="N/A","N/A",IF(AND(Table1[[#This Row],[DUT Adj Read]]&gt;=Table1[[#This Row],[Low Tol]],Table1[[#This Row],[DUT Adj Read]]&lt;=Table1[[#This Row],[High Tol]]),"Pass","Fail"))</f>
        <v>Fail</v>
      </c>
      <c r="AD2317" s="1" t="str">
        <f>IF(AND(Table1[[#This Row],[Spec Type2]]="N/A",Table1[[#This Row],[DUT Adj Read]]="N/A",Table1[[#This Row],[Std Adj Read]]="N/A"),"N/A",IF(Table1[[#This Row],[DUT Adj Read]]="N/A",IF(Table1[[#This Row],[Std Adj Read]]&gt;Table1[[#This Row],[Low Tol]],"Pass","Fail"),IF(Table1[[#This Row],[DUT Adj Read]]&gt;Table1[[#This Row],[Low Tol]],"Pass","Fail")))</f>
        <v>Pass</v>
      </c>
      <c r="AE2317" s="1" t="str">
        <f>IF(AND(Table1[[#This Row],[Spec Type2]]="N/A",Table1[[#This Row],[DUT Adj Read]]="N/A",Table1[[#This Row],[Std Adj Read]]="N/A"),"N/A",IF(Table1[[#This Row],[DUT Adj Read]]="N/A",IF(Table1[[#This Row],[Std Adj Read]]&lt;Table1[[#This Row],[High Tol]],"Pass","Fail"),IF(Table1[[#This Row],[DUT Adj Read]]&lt;Table1[[#This Row],[High Tol]],"Pass","Fail")))</f>
        <v>Fail</v>
      </c>
      <c r="AF2317" s="1" t="str">
        <f>IF(AND(Table1[[#This Row],[Spec Type2]]="N/A",Table1[[#This Row],[DUT Adj Read]]="N/A",Table1[[#This Row],[Std Adj Read]]="N/A"),"N/A",IF(Table1[[#This Row],[DUT Adj Read]]="N/A",IF(Table1[[#This Row],[Std Adj Read]]&gt;=Table1[[#This Row],[Low Tol]],"Pass","Fail"),IF(Table1[[#This Row],[DUT Adj Read]]&gt;=Table1[[#This Row],[Low Tol]],"Pass","Fail")))</f>
        <v>Pass</v>
      </c>
      <c r="AG2317" s="1" t="str">
        <f>IF(AND(Table1[[#This Row],[Spec Type2]]="N/A",Table1[[#This Row],[DUT Adj Read]]="N/A",Table1[[#This Row],[Std Adj Read]]="N/A"),"N/A",IF(Table1[[#This Row],[DUT Adj Read]]="N/A",IF(Table1[[#This Row],[Std Adj Read]]&lt;=Table1[[#This Row],[High Tol]],"Pass","Fail"),IF(Table1[[#This Row],[DUT Adj Read]]&lt;=Table1[[#This Row],[High Tol]],"Pass","Fail")))</f>
        <v>Fail</v>
      </c>
      <c r="AH23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7" s="1" t="b">
        <v>0</v>
      </c>
      <c r="AN2317" s="1" t="b">
        <v>0</v>
      </c>
      <c r="AO2317" s="1" t="b">
        <v>0</v>
      </c>
    </row>
    <row r="2318" spans="1:41" x14ac:dyDescent="0.25">
      <c r="A2318" s="10"/>
      <c r="B2318" s="10"/>
      <c r="C2318" s="10"/>
      <c r="D2318" s="10"/>
      <c r="E2318" s="10"/>
      <c r="F2318" s="10"/>
      <c r="G2318" s="10"/>
      <c r="H2318" s="10"/>
      <c r="I2318" s="1" t="str">
        <f t="shared" si="108"/>
        <v/>
      </c>
      <c r="J2318" s="1" t="s">
        <v>35</v>
      </c>
      <c r="K2318" s="1" t="str">
        <f t="shared" si="109"/>
        <v/>
      </c>
      <c r="L2318" s="1" t="str">
        <f t="shared" si="110"/>
        <v/>
      </c>
      <c r="M2318" s="1">
        <f>IF(OR(Table1[[#This Row],[Std Nom]]="",Table1[[#This Row],[Std Read]]=""),0,Table1[[#This Row],[Std Nom]]-Table1[[#This Row],[Std Read]])</f>
        <v>0</v>
      </c>
      <c r="N2318" s="1">
        <f>IF(Calculations!$F$5="ACCREDITED 17025 WITH UNCERTAINTIES",$N$10,0)</f>
        <v>0</v>
      </c>
      <c r="O2318" s="1" t="str">
        <f>IFERROR(Table1[[#This Row],[Std Nom]]-(_xlfn.XLOOKUP(Table1[[#This Row],[Manufacturer]]&amp;" "&amp;Table1[[#This Row],[Model]],Table13[MFR &amp; MDL],Table13[Tolerance % CW ],"")/100*Table1[[#This Row],[Std Nom]]),"")</f>
        <v/>
      </c>
      <c r="P2318" s="1" t="str">
        <f>IFERROR(Table1[[#This Row],[Std Nom]]+(_xlfn.XLOOKUP(Table1[[#This Row],[Manufacturer]]&amp;" "&amp;Table1[[#This Row],[Model]],Table13[MFR &amp; MDL],Table13[Tolerance % CW ],"")/100*Table1[[#This Row],[Std Nom]]),"")</f>
        <v/>
      </c>
      <c r="Q2318" s="1" t="e">
        <f>Table1[[#This Row],[High Tol]]-Table1[[#This Row],[Low Tol]]</f>
        <v>#VALUE!</v>
      </c>
      <c r="R2318" s="1">
        <f>2*Table1[[#This Row],[Std Error]]</f>
        <v>0</v>
      </c>
      <c r="S2318" s="1" t="str">
        <f>IF(Table1[[#This Row],[High Tol]]="","N/A",IFERROR(ABS(Table1[[#This Row],[Tol Span]]/Table1[[#This Row],[Error Span]]),"N/A"))</f>
        <v>N/A</v>
      </c>
      <c r="T2318" s="1" t="str">
        <f>IF(OR(Table1[[#This Row],[Low Tol]]="",Table1[[#This Row],[High Tol]]=""),"Needs Analysis",IF(Table1[[#This Row],[Ratio]]&gt;=4,"Not Significant",IF(Table1[[#This Row],[Ratio]]&gt;=2,"Semi-Significant","Significant")))</f>
        <v>Needs Analysis</v>
      </c>
      <c r="W2318" s="1">
        <f>IF(Table1[[#This Row],[Cal Type]]&lt;&gt;"ACCREDITED 17025 WITH UNCERTAINTIES",0,"")</f>
        <v>0</v>
      </c>
      <c r="X2318" s="1" t="str">
        <f>IF(Table1[[#This Row],[DUT Read]]="","N/A",Table1[[#This Row],[Std Error]]+Table1[[#This Row],[DUT Read]]+Table1[[#This Row],[DUT Ucty]])</f>
        <v>N/A</v>
      </c>
      <c r="Y2318" s="1" t="str">
        <f>IF(Table1[[#This Row],[Std Read]]="","N/A",Table1[[#This Row],[Std Read]]+Table1[[#This Row],[Std Ucty]])</f>
        <v>N/A</v>
      </c>
      <c r="Z23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8" s="1" t="str">
        <f>IF(Table1[[#This Row],[Spec Type]]="","N/A",Table1[[#This Row],[Spec Type]])</f>
        <v>±</v>
      </c>
      <c r="AC2318" s="1" t="str">
        <f>IF(Table1[[#This Row],[Spec Type2]]="N/A","N/A",IF(AND(Table1[[#This Row],[DUT Adj Read]]&gt;=Table1[[#This Row],[Low Tol]],Table1[[#This Row],[DUT Adj Read]]&lt;=Table1[[#This Row],[High Tol]]),"Pass","Fail"))</f>
        <v>Fail</v>
      </c>
      <c r="AD2318" s="1" t="str">
        <f>IF(AND(Table1[[#This Row],[Spec Type2]]="N/A",Table1[[#This Row],[DUT Adj Read]]="N/A",Table1[[#This Row],[Std Adj Read]]="N/A"),"N/A",IF(Table1[[#This Row],[DUT Adj Read]]="N/A",IF(Table1[[#This Row],[Std Adj Read]]&gt;Table1[[#This Row],[Low Tol]],"Pass","Fail"),IF(Table1[[#This Row],[DUT Adj Read]]&gt;Table1[[#This Row],[Low Tol]],"Pass","Fail")))</f>
        <v>Pass</v>
      </c>
      <c r="AE2318" s="1" t="str">
        <f>IF(AND(Table1[[#This Row],[Spec Type2]]="N/A",Table1[[#This Row],[DUT Adj Read]]="N/A",Table1[[#This Row],[Std Adj Read]]="N/A"),"N/A",IF(Table1[[#This Row],[DUT Adj Read]]="N/A",IF(Table1[[#This Row],[Std Adj Read]]&lt;Table1[[#This Row],[High Tol]],"Pass","Fail"),IF(Table1[[#This Row],[DUT Adj Read]]&lt;Table1[[#This Row],[High Tol]],"Pass","Fail")))</f>
        <v>Fail</v>
      </c>
      <c r="AF2318" s="1" t="str">
        <f>IF(AND(Table1[[#This Row],[Spec Type2]]="N/A",Table1[[#This Row],[DUT Adj Read]]="N/A",Table1[[#This Row],[Std Adj Read]]="N/A"),"N/A",IF(Table1[[#This Row],[DUT Adj Read]]="N/A",IF(Table1[[#This Row],[Std Adj Read]]&gt;=Table1[[#This Row],[Low Tol]],"Pass","Fail"),IF(Table1[[#This Row],[DUT Adj Read]]&gt;=Table1[[#This Row],[Low Tol]],"Pass","Fail")))</f>
        <v>Pass</v>
      </c>
      <c r="AG2318" s="1" t="str">
        <f>IF(AND(Table1[[#This Row],[Spec Type2]]="N/A",Table1[[#This Row],[DUT Adj Read]]="N/A",Table1[[#This Row],[Std Adj Read]]="N/A"),"N/A",IF(Table1[[#This Row],[DUT Adj Read]]="N/A",IF(Table1[[#This Row],[Std Adj Read]]&lt;=Table1[[#This Row],[High Tol]],"Pass","Fail"),IF(Table1[[#This Row],[DUT Adj Read]]&lt;=Table1[[#This Row],[High Tol]],"Pass","Fail")))</f>
        <v>Fail</v>
      </c>
      <c r="AH23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8" s="1" t="b">
        <v>0</v>
      </c>
      <c r="AN2318" s="1" t="b">
        <v>0</v>
      </c>
      <c r="AO2318" s="1" t="b">
        <v>0</v>
      </c>
    </row>
    <row r="2319" spans="1:41" x14ac:dyDescent="0.25">
      <c r="A2319" s="10"/>
      <c r="B2319" s="10"/>
      <c r="C2319" s="10"/>
      <c r="D2319" s="10"/>
      <c r="E2319" s="10"/>
      <c r="F2319" s="10"/>
      <c r="G2319" s="10"/>
      <c r="H2319" s="10"/>
      <c r="I2319" s="1" t="str">
        <f t="shared" si="108"/>
        <v/>
      </c>
      <c r="J2319" s="1" t="s">
        <v>35</v>
      </c>
      <c r="K2319" s="1" t="str">
        <f t="shared" si="109"/>
        <v/>
      </c>
      <c r="L2319" s="1" t="str">
        <f t="shared" si="110"/>
        <v/>
      </c>
      <c r="M2319" s="1">
        <f>IF(OR(Table1[[#This Row],[Std Nom]]="",Table1[[#This Row],[Std Read]]=""),0,Table1[[#This Row],[Std Nom]]-Table1[[#This Row],[Std Read]])</f>
        <v>0</v>
      </c>
      <c r="N2319" s="1">
        <f>IF(Calculations!$F$5="ACCREDITED 17025 WITH UNCERTAINTIES",$N$10,0)</f>
        <v>0</v>
      </c>
      <c r="O2319" s="1" t="str">
        <f>IFERROR(Table1[[#This Row],[Std Nom]]-(_xlfn.XLOOKUP(Table1[[#This Row],[Manufacturer]]&amp;" "&amp;Table1[[#This Row],[Model]],Table13[MFR &amp; MDL],Table13[Tolerance % CW ],"")/100*Table1[[#This Row],[Std Nom]]),"")</f>
        <v/>
      </c>
      <c r="P2319" s="1" t="str">
        <f>IFERROR(Table1[[#This Row],[Std Nom]]+(_xlfn.XLOOKUP(Table1[[#This Row],[Manufacturer]]&amp;" "&amp;Table1[[#This Row],[Model]],Table13[MFR &amp; MDL],Table13[Tolerance % CW ],"")/100*Table1[[#This Row],[Std Nom]]),"")</f>
        <v/>
      </c>
      <c r="Q2319" s="1" t="e">
        <f>Table1[[#This Row],[High Tol]]-Table1[[#This Row],[Low Tol]]</f>
        <v>#VALUE!</v>
      </c>
      <c r="R2319" s="1">
        <f>2*Table1[[#This Row],[Std Error]]</f>
        <v>0</v>
      </c>
      <c r="S2319" s="1" t="str">
        <f>IF(Table1[[#This Row],[High Tol]]="","N/A",IFERROR(ABS(Table1[[#This Row],[Tol Span]]/Table1[[#This Row],[Error Span]]),"N/A"))</f>
        <v>N/A</v>
      </c>
      <c r="T2319" s="1" t="str">
        <f>IF(OR(Table1[[#This Row],[Low Tol]]="",Table1[[#This Row],[High Tol]]=""),"Needs Analysis",IF(Table1[[#This Row],[Ratio]]&gt;=4,"Not Significant",IF(Table1[[#This Row],[Ratio]]&gt;=2,"Semi-Significant","Significant")))</f>
        <v>Needs Analysis</v>
      </c>
      <c r="W2319" s="1">
        <f>IF(Table1[[#This Row],[Cal Type]]&lt;&gt;"ACCREDITED 17025 WITH UNCERTAINTIES",0,"")</f>
        <v>0</v>
      </c>
      <c r="X2319" s="1" t="str">
        <f>IF(Table1[[#This Row],[DUT Read]]="","N/A",Table1[[#This Row],[Std Error]]+Table1[[#This Row],[DUT Read]]+Table1[[#This Row],[DUT Ucty]])</f>
        <v>N/A</v>
      </c>
      <c r="Y2319" s="1" t="str">
        <f>IF(Table1[[#This Row],[Std Read]]="","N/A",Table1[[#This Row],[Std Read]]+Table1[[#This Row],[Std Ucty]])</f>
        <v>N/A</v>
      </c>
      <c r="Z23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9" s="1" t="str">
        <f>IF(Table1[[#This Row],[Spec Type]]="","N/A",Table1[[#This Row],[Spec Type]])</f>
        <v>±</v>
      </c>
      <c r="AC2319" s="1" t="str">
        <f>IF(Table1[[#This Row],[Spec Type2]]="N/A","N/A",IF(AND(Table1[[#This Row],[DUT Adj Read]]&gt;=Table1[[#This Row],[Low Tol]],Table1[[#This Row],[DUT Adj Read]]&lt;=Table1[[#This Row],[High Tol]]),"Pass","Fail"))</f>
        <v>Fail</v>
      </c>
      <c r="AD2319" s="1" t="str">
        <f>IF(AND(Table1[[#This Row],[Spec Type2]]="N/A",Table1[[#This Row],[DUT Adj Read]]="N/A",Table1[[#This Row],[Std Adj Read]]="N/A"),"N/A",IF(Table1[[#This Row],[DUT Adj Read]]="N/A",IF(Table1[[#This Row],[Std Adj Read]]&gt;Table1[[#This Row],[Low Tol]],"Pass","Fail"),IF(Table1[[#This Row],[DUT Adj Read]]&gt;Table1[[#This Row],[Low Tol]],"Pass","Fail")))</f>
        <v>Pass</v>
      </c>
      <c r="AE2319" s="1" t="str">
        <f>IF(AND(Table1[[#This Row],[Spec Type2]]="N/A",Table1[[#This Row],[DUT Adj Read]]="N/A",Table1[[#This Row],[Std Adj Read]]="N/A"),"N/A",IF(Table1[[#This Row],[DUT Adj Read]]="N/A",IF(Table1[[#This Row],[Std Adj Read]]&lt;Table1[[#This Row],[High Tol]],"Pass","Fail"),IF(Table1[[#This Row],[DUT Adj Read]]&lt;Table1[[#This Row],[High Tol]],"Pass","Fail")))</f>
        <v>Fail</v>
      </c>
      <c r="AF2319" s="1" t="str">
        <f>IF(AND(Table1[[#This Row],[Spec Type2]]="N/A",Table1[[#This Row],[DUT Adj Read]]="N/A",Table1[[#This Row],[Std Adj Read]]="N/A"),"N/A",IF(Table1[[#This Row],[DUT Adj Read]]="N/A",IF(Table1[[#This Row],[Std Adj Read]]&gt;=Table1[[#This Row],[Low Tol]],"Pass","Fail"),IF(Table1[[#This Row],[DUT Adj Read]]&gt;=Table1[[#This Row],[Low Tol]],"Pass","Fail")))</f>
        <v>Pass</v>
      </c>
      <c r="AG2319" s="1" t="str">
        <f>IF(AND(Table1[[#This Row],[Spec Type2]]="N/A",Table1[[#This Row],[DUT Adj Read]]="N/A",Table1[[#This Row],[Std Adj Read]]="N/A"),"N/A",IF(Table1[[#This Row],[DUT Adj Read]]="N/A",IF(Table1[[#This Row],[Std Adj Read]]&lt;=Table1[[#This Row],[High Tol]],"Pass","Fail"),IF(Table1[[#This Row],[DUT Adj Read]]&lt;=Table1[[#This Row],[High Tol]],"Pass","Fail")))</f>
        <v>Fail</v>
      </c>
      <c r="AH23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9" s="1" t="b">
        <v>0</v>
      </c>
      <c r="AN2319" s="1" t="b">
        <v>0</v>
      </c>
      <c r="AO2319" s="1" t="b">
        <v>0</v>
      </c>
    </row>
    <row r="2320" spans="1:41" x14ac:dyDescent="0.25">
      <c r="A2320" s="10"/>
      <c r="B2320" s="10"/>
      <c r="C2320" s="10"/>
      <c r="D2320" s="10"/>
      <c r="E2320" s="10"/>
      <c r="F2320" s="10"/>
      <c r="G2320" s="10"/>
      <c r="H2320" s="10"/>
      <c r="I2320" s="1" t="str">
        <f t="shared" si="108"/>
        <v/>
      </c>
      <c r="J2320" s="1" t="s">
        <v>35</v>
      </c>
      <c r="K2320" s="1" t="str">
        <f t="shared" si="109"/>
        <v/>
      </c>
      <c r="L2320" s="1" t="str">
        <f t="shared" si="110"/>
        <v/>
      </c>
      <c r="M2320" s="1">
        <f>IF(OR(Table1[[#This Row],[Std Nom]]="",Table1[[#This Row],[Std Read]]=""),0,Table1[[#This Row],[Std Nom]]-Table1[[#This Row],[Std Read]])</f>
        <v>0</v>
      </c>
      <c r="N2320" s="1">
        <f>IF(Calculations!$F$5="ACCREDITED 17025 WITH UNCERTAINTIES",$N$10,0)</f>
        <v>0</v>
      </c>
      <c r="O2320" s="1" t="str">
        <f>IFERROR(Table1[[#This Row],[Std Nom]]-(_xlfn.XLOOKUP(Table1[[#This Row],[Manufacturer]]&amp;" "&amp;Table1[[#This Row],[Model]],Table13[MFR &amp; MDL],Table13[Tolerance % CW ],"")/100*Table1[[#This Row],[Std Nom]]),"")</f>
        <v/>
      </c>
      <c r="P2320" s="1" t="str">
        <f>IFERROR(Table1[[#This Row],[Std Nom]]+(_xlfn.XLOOKUP(Table1[[#This Row],[Manufacturer]]&amp;" "&amp;Table1[[#This Row],[Model]],Table13[MFR &amp; MDL],Table13[Tolerance % CW ],"")/100*Table1[[#This Row],[Std Nom]]),"")</f>
        <v/>
      </c>
      <c r="Q2320" s="1" t="e">
        <f>Table1[[#This Row],[High Tol]]-Table1[[#This Row],[Low Tol]]</f>
        <v>#VALUE!</v>
      </c>
      <c r="R2320" s="1">
        <f>2*Table1[[#This Row],[Std Error]]</f>
        <v>0</v>
      </c>
      <c r="S2320" s="1" t="str">
        <f>IF(Table1[[#This Row],[High Tol]]="","N/A",IFERROR(ABS(Table1[[#This Row],[Tol Span]]/Table1[[#This Row],[Error Span]]),"N/A"))</f>
        <v>N/A</v>
      </c>
      <c r="T2320" s="1" t="str">
        <f>IF(OR(Table1[[#This Row],[Low Tol]]="",Table1[[#This Row],[High Tol]]=""),"Needs Analysis",IF(Table1[[#This Row],[Ratio]]&gt;=4,"Not Significant",IF(Table1[[#This Row],[Ratio]]&gt;=2,"Semi-Significant","Significant")))</f>
        <v>Needs Analysis</v>
      </c>
      <c r="W2320" s="1">
        <f>IF(Table1[[#This Row],[Cal Type]]&lt;&gt;"ACCREDITED 17025 WITH UNCERTAINTIES",0,"")</f>
        <v>0</v>
      </c>
      <c r="X2320" s="1" t="str">
        <f>IF(Table1[[#This Row],[DUT Read]]="","N/A",Table1[[#This Row],[Std Error]]+Table1[[#This Row],[DUT Read]]+Table1[[#This Row],[DUT Ucty]])</f>
        <v>N/A</v>
      </c>
      <c r="Y2320" s="1" t="str">
        <f>IF(Table1[[#This Row],[Std Read]]="","N/A",Table1[[#This Row],[Std Read]]+Table1[[#This Row],[Std Ucty]])</f>
        <v>N/A</v>
      </c>
      <c r="Z23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0" s="1" t="str">
        <f>IF(Table1[[#This Row],[Spec Type]]="","N/A",Table1[[#This Row],[Spec Type]])</f>
        <v>±</v>
      </c>
      <c r="AC2320" s="1" t="str">
        <f>IF(Table1[[#This Row],[Spec Type2]]="N/A","N/A",IF(AND(Table1[[#This Row],[DUT Adj Read]]&gt;=Table1[[#This Row],[Low Tol]],Table1[[#This Row],[DUT Adj Read]]&lt;=Table1[[#This Row],[High Tol]]),"Pass","Fail"))</f>
        <v>Fail</v>
      </c>
      <c r="AD2320" s="1" t="str">
        <f>IF(AND(Table1[[#This Row],[Spec Type2]]="N/A",Table1[[#This Row],[DUT Adj Read]]="N/A",Table1[[#This Row],[Std Adj Read]]="N/A"),"N/A",IF(Table1[[#This Row],[DUT Adj Read]]="N/A",IF(Table1[[#This Row],[Std Adj Read]]&gt;Table1[[#This Row],[Low Tol]],"Pass","Fail"),IF(Table1[[#This Row],[DUT Adj Read]]&gt;Table1[[#This Row],[Low Tol]],"Pass","Fail")))</f>
        <v>Pass</v>
      </c>
      <c r="AE2320" s="1" t="str">
        <f>IF(AND(Table1[[#This Row],[Spec Type2]]="N/A",Table1[[#This Row],[DUT Adj Read]]="N/A",Table1[[#This Row],[Std Adj Read]]="N/A"),"N/A",IF(Table1[[#This Row],[DUT Adj Read]]="N/A",IF(Table1[[#This Row],[Std Adj Read]]&lt;Table1[[#This Row],[High Tol]],"Pass","Fail"),IF(Table1[[#This Row],[DUT Adj Read]]&lt;Table1[[#This Row],[High Tol]],"Pass","Fail")))</f>
        <v>Fail</v>
      </c>
      <c r="AF2320" s="1" t="str">
        <f>IF(AND(Table1[[#This Row],[Spec Type2]]="N/A",Table1[[#This Row],[DUT Adj Read]]="N/A",Table1[[#This Row],[Std Adj Read]]="N/A"),"N/A",IF(Table1[[#This Row],[DUT Adj Read]]="N/A",IF(Table1[[#This Row],[Std Adj Read]]&gt;=Table1[[#This Row],[Low Tol]],"Pass","Fail"),IF(Table1[[#This Row],[DUT Adj Read]]&gt;=Table1[[#This Row],[Low Tol]],"Pass","Fail")))</f>
        <v>Pass</v>
      </c>
      <c r="AG2320" s="1" t="str">
        <f>IF(AND(Table1[[#This Row],[Spec Type2]]="N/A",Table1[[#This Row],[DUT Adj Read]]="N/A",Table1[[#This Row],[Std Adj Read]]="N/A"),"N/A",IF(Table1[[#This Row],[DUT Adj Read]]="N/A",IF(Table1[[#This Row],[Std Adj Read]]&lt;=Table1[[#This Row],[High Tol]],"Pass","Fail"),IF(Table1[[#This Row],[DUT Adj Read]]&lt;=Table1[[#This Row],[High Tol]],"Pass","Fail")))</f>
        <v>Fail</v>
      </c>
      <c r="AH23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0" s="1" t="b">
        <v>0</v>
      </c>
      <c r="AN2320" s="1" t="b">
        <v>0</v>
      </c>
      <c r="AO2320" s="1" t="b">
        <v>0</v>
      </c>
    </row>
    <row r="2321" spans="1:41" x14ac:dyDescent="0.25">
      <c r="A2321" s="10"/>
      <c r="B2321" s="10"/>
      <c r="C2321" s="10"/>
      <c r="D2321" s="10"/>
      <c r="E2321" s="10"/>
      <c r="F2321" s="10"/>
      <c r="G2321" s="10"/>
      <c r="H2321" s="10"/>
      <c r="I2321" s="1" t="str">
        <f t="shared" si="108"/>
        <v/>
      </c>
      <c r="J2321" s="1" t="s">
        <v>35</v>
      </c>
      <c r="K2321" s="1" t="str">
        <f t="shared" si="109"/>
        <v/>
      </c>
      <c r="L2321" s="1" t="str">
        <f t="shared" si="110"/>
        <v/>
      </c>
      <c r="M2321" s="1">
        <f>IF(OR(Table1[[#This Row],[Std Nom]]="",Table1[[#This Row],[Std Read]]=""),0,Table1[[#This Row],[Std Nom]]-Table1[[#This Row],[Std Read]])</f>
        <v>0</v>
      </c>
      <c r="N2321" s="1">
        <f>IF(Calculations!$F$5="ACCREDITED 17025 WITH UNCERTAINTIES",$N$10,0)</f>
        <v>0</v>
      </c>
      <c r="O2321" s="1" t="str">
        <f>IFERROR(Table1[[#This Row],[Std Nom]]-(_xlfn.XLOOKUP(Table1[[#This Row],[Manufacturer]]&amp;" "&amp;Table1[[#This Row],[Model]],Table13[MFR &amp; MDL],Table13[Tolerance % CW ],"")/100*Table1[[#This Row],[Std Nom]]),"")</f>
        <v/>
      </c>
      <c r="P2321" s="1" t="str">
        <f>IFERROR(Table1[[#This Row],[Std Nom]]+(_xlfn.XLOOKUP(Table1[[#This Row],[Manufacturer]]&amp;" "&amp;Table1[[#This Row],[Model]],Table13[MFR &amp; MDL],Table13[Tolerance % CW ],"")/100*Table1[[#This Row],[Std Nom]]),"")</f>
        <v/>
      </c>
      <c r="Q2321" s="1" t="e">
        <f>Table1[[#This Row],[High Tol]]-Table1[[#This Row],[Low Tol]]</f>
        <v>#VALUE!</v>
      </c>
      <c r="R2321" s="1">
        <f>2*Table1[[#This Row],[Std Error]]</f>
        <v>0</v>
      </c>
      <c r="S2321" s="1" t="str">
        <f>IF(Table1[[#This Row],[High Tol]]="","N/A",IFERROR(ABS(Table1[[#This Row],[Tol Span]]/Table1[[#This Row],[Error Span]]),"N/A"))</f>
        <v>N/A</v>
      </c>
      <c r="T2321" s="1" t="str">
        <f>IF(OR(Table1[[#This Row],[Low Tol]]="",Table1[[#This Row],[High Tol]]=""),"Needs Analysis",IF(Table1[[#This Row],[Ratio]]&gt;=4,"Not Significant",IF(Table1[[#This Row],[Ratio]]&gt;=2,"Semi-Significant","Significant")))</f>
        <v>Needs Analysis</v>
      </c>
      <c r="W2321" s="1">
        <f>IF(Table1[[#This Row],[Cal Type]]&lt;&gt;"ACCREDITED 17025 WITH UNCERTAINTIES",0,"")</f>
        <v>0</v>
      </c>
      <c r="X2321" s="1" t="str">
        <f>IF(Table1[[#This Row],[DUT Read]]="","N/A",Table1[[#This Row],[Std Error]]+Table1[[#This Row],[DUT Read]]+Table1[[#This Row],[DUT Ucty]])</f>
        <v>N/A</v>
      </c>
      <c r="Y2321" s="1" t="str">
        <f>IF(Table1[[#This Row],[Std Read]]="","N/A",Table1[[#This Row],[Std Read]]+Table1[[#This Row],[Std Ucty]])</f>
        <v>N/A</v>
      </c>
      <c r="Z23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1" s="1" t="str">
        <f>IF(Table1[[#This Row],[Spec Type]]="","N/A",Table1[[#This Row],[Spec Type]])</f>
        <v>±</v>
      </c>
      <c r="AC2321" s="1" t="str">
        <f>IF(Table1[[#This Row],[Spec Type2]]="N/A","N/A",IF(AND(Table1[[#This Row],[DUT Adj Read]]&gt;=Table1[[#This Row],[Low Tol]],Table1[[#This Row],[DUT Adj Read]]&lt;=Table1[[#This Row],[High Tol]]),"Pass","Fail"))</f>
        <v>Fail</v>
      </c>
      <c r="AD2321" s="1" t="str">
        <f>IF(AND(Table1[[#This Row],[Spec Type2]]="N/A",Table1[[#This Row],[DUT Adj Read]]="N/A",Table1[[#This Row],[Std Adj Read]]="N/A"),"N/A",IF(Table1[[#This Row],[DUT Adj Read]]="N/A",IF(Table1[[#This Row],[Std Adj Read]]&gt;Table1[[#This Row],[Low Tol]],"Pass","Fail"),IF(Table1[[#This Row],[DUT Adj Read]]&gt;Table1[[#This Row],[Low Tol]],"Pass","Fail")))</f>
        <v>Pass</v>
      </c>
      <c r="AE2321" s="1" t="str">
        <f>IF(AND(Table1[[#This Row],[Spec Type2]]="N/A",Table1[[#This Row],[DUT Adj Read]]="N/A",Table1[[#This Row],[Std Adj Read]]="N/A"),"N/A",IF(Table1[[#This Row],[DUT Adj Read]]="N/A",IF(Table1[[#This Row],[Std Adj Read]]&lt;Table1[[#This Row],[High Tol]],"Pass","Fail"),IF(Table1[[#This Row],[DUT Adj Read]]&lt;Table1[[#This Row],[High Tol]],"Pass","Fail")))</f>
        <v>Fail</v>
      </c>
      <c r="AF2321" s="1" t="str">
        <f>IF(AND(Table1[[#This Row],[Spec Type2]]="N/A",Table1[[#This Row],[DUT Adj Read]]="N/A",Table1[[#This Row],[Std Adj Read]]="N/A"),"N/A",IF(Table1[[#This Row],[DUT Adj Read]]="N/A",IF(Table1[[#This Row],[Std Adj Read]]&gt;=Table1[[#This Row],[Low Tol]],"Pass","Fail"),IF(Table1[[#This Row],[DUT Adj Read]]&gt;=Table1[[#This Row],[Low Tol]],"Pass","Fail")))</f>
        <v>Pass</v>
      </c>
      <c r="AG2321" s="1" t="str">
        <f>IF(AND(Table1[[#This Row],[Spec Type2]]="N/A",Table1[[#This Row],[DUT Adj Read]]="N/A",Table1[[#This Row],[Std Adj Read]]="N/A"),"N/A",IF(Table1[[#This Row],[DUT Adj Read]]="N/A",IF(Table1[[#This Row],[Std Adj Read]]&lt;=Table1[[#This Row],[High Tol]],"Pass","Fail"),IF(Table1[[#This Row],[DUT Adj Read]]&lt;=Table1[[#This Row],[High Tol]],"Pass","Fail")))</f>
        <v>Fail</v>
      </c>
      <c r="AH23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1" s="1" t="b">
        <v>0</v>
      </c>
      <c r="AN2321" s="1" t="b">
        <v>0</v>
      </c>
      <c r="AO2321" s="1" t="b">
        <v>0</v>
      </c>
    </row>
    <row r="2322" spans="1:41" x14ac:dyDescent="0.25">
      <c r="A2322" s="10"/>
      <c r="B2322" s="10"/>
      <c r="C2322" s="10"/>
      <c r="D2322" s="10"/>
      <c r="E2322" s="10"/>
      <c r="F2322" s="10"/>
      <c r="G2322" s="10"/>
      <c r="H2322" s="10"/>
      <c r="I2322" s="1" t="str">
        <f t="shared" si="108"/>
        <v/>
      </c>
      <c r="J2322" s="1" t="s">
        <v>35</v>
      </c>
      <c r="K2322" s="1" t="str">
        <f t="shared" si="109"/>
        <v/>
      </c>
      <c r="L2322" s="1" t="str">
        <f t="shared" si="110"/>
        <v/>
      </c>
      <c r="M2322" s="1">
        <f>IF(OR(Table1[[#This Row],[Std Nom]]="",Table1[[#This Row],[Std Read]]=""),0,Table1[[#This Row],[Std Nom]]-Table1[[#This Row],[Std Read]])</f>
        <v>0</v>
      </c>
      <c r="N2322" s="1">
        <f>IF(Calculations!$F$5="ACCREDITED 17025 WITH UNCERTAINTIES",$N$10,0)</f>
        <v>0</v>
      </c>
      <c r="O2322" s="1" t="str">
        <f>IFERROR(Table1[[#This Row],[Std Nom]]-(_xlfn.XLOOKUP(Table1[[#This Row],[Manufacturer]]&amp;" "&amp;Table1[[#This Row],[Model]],Table13[MFR &amp; MDL],Table13[Tolerance % CW ],"")/100*Table1[[#This Row],[Std Nom]]),"")</f>
        <v/>
      </c>
      <c r="P2322" s="1" t="str">
        <f>IFERROR(Table1[[#This Row],[Std Nom]]+(_xlfn.XLOOKUP(Table1[[#This Row],[Manufacturer]]&amp;" "&amp;Table1[[#This Row],[Model]],Table13[MFR &amp; MDL],Table13[Tolerance % CW ],"")/100*Table1[[#This Row],[Std Nom]]),"")</f>
        <v/>
      </c>
      <c r="Q2322" s="1" t="e">
        <f>Table1[[#This Row],[High Tol]]-Table1[[#This Row],[Low Tol]]</f>
        <v>#VALUE!</v>
      </c>
      <c r="R2322" s="1">
        <f>2*Table1[[#This Row],[Std Error]]</f>
        <v>0</v>
      </c>
      <c r="S2322" s="1" t="str">
        <f>IF(Table1[[#This Row],[High Tol]]="","N/A",IFERROR(ABS(Table1[[#This Row],[Tol Span]]/Table1[[#This Row],[Error Span]]),"N/A"))</f>
        <v>N/A</v>
      </c>
      <c r="T2322" s="1" t="str">
        <f>IF(OR(Table1[[#This Row],[Low Tol]]="",Table1[[#This Row],[High Tol]]=""),"Needs Analysis",IF(Table1[[#This Row],[Ratio]]&gt;=4,"Not Significant",IF(Table1[[#This Row],[Ratio]]&gt;=2,"Semi-Significant","Significant")))</f>
        <v>Needs Analysis</v>
      </c>
      <c r="W2322" s="1">
        <f>IF(Table1[[#This Row],[Cal Type]]&lt;&gt;"ACCREDITED 17025 WITH UNCERTAINTIES",0,"")</f>
        <v>0</v>
      </c>
      <c r="X2322" s="1" t="str">
        <f>IF(Table1[[#This Row],[DUT Read]]="","N/A",Table1[[#This Row],[Std Error]]+Table1[[#This Row],[DUT Read]]+Table1[[#This Row],[DUT Ucty]])</f>
        <v>N/A</v>
      </c>
      <c r="Y2322" s="1" t="str">
        <f>IF(Table1[[#This Row],[Std Read]]="","N/A",Table1[[#This Row],[Std Read]]+Table1[[#This Row],[Std Ucty]])</f>
        <v>N/A</v>
      </c>
      <c r="Z23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2" s="1" t="str">
        <f>IF(Table1[[#This Row],[Spec Type]]="","N/A",Table1[[#This Row],[Spec Type]])</f>
        <v>±</v>
      </c>
      <c r="AC2322" s="1" t="str">
        <f>IF(Table1[[#This Row],[Spec Type2]]="N/A","N/A",IF(AND(Table1[[#This Row],[DUT Adj Read]]&gt;=Table1[[#This Row],[Low Tol]],Table1[[#This Row],[DUT Adj Read]]&lt;=Table1[[#This Row],[High Tol]]),"Pass","Fail"))</f>
        <v>Fail</v>
      </c>
      <c r="AD2322" s="1" t="str">
        <f>IF(AND(Table1[[#This Row],[Spec Type2]]="N/A",Table1[[#This Row],[DUT Adj Read]]="N/A",Table1[[#This Row],[Std Adj Read]]="N/A"),"N/A",IF(Table1[[#This Row],[DUT Adj Read]]="N/A",IF(Table1[[#This Row],[Std Adj Read]]&gt;Table1[[#This Row],[Low Tol]],"Pass","Fail"),IF(Table1[[#This Row],[DUT Adj Read]]&gt;Table1[[#This Row],[Low Tol]],"Pass","Fail")))</f>
        <v>Pass</v>
      </c>
      <c r="AE2322" s="1" t="str">
        <f>IF(AND(Table1[[#This Row],[Spec Type2]]="N/A",Table1[[#This Row],[DUT Adj Read]]="N/A",Table1[[#This Row],[Std Adj Read]]="N/A"),"N/A",IF(Table1[[#This Row],[DUT Adj Read]]="N/A",IF(Table1[[#This Row],[Std Adj Read]]&lt;Table1[[#This Row],[High Tol]],"Pass","Fail"),IF(Table1[[#This Row],[DUT Adj Read]]&lt;Table1[[#This Row],[High Tol]],"Pass","Fail")))</f>
        <v>Fail</v>
      </c>
      <c r="AF2322" s="1" t="str">
        <f>IF(AND(Table1[[#This Row],[Spec Type2]]="N/A",Table1[[#This Row],[DUT Adj Read]]="N/A",Table1[[#This Row],[Std Adj Read]]="N/A"),"N/A",IF(Table1[[#This Row],[DUT Adj Read]]="N/A",IF(Table1[[#This Row],[Std Adj Read]]&gt;=Table1[[#This Row],[Low Tol]],"Pass","Fail"),IF(Table1[[#This Row],[DUT Adj Read]]&gt;=Table1[[#This Row],[Low Tol]],"Pass","Fail")))</f>
        <v>Pass</v>
      </c>
      <c r="AG2322" s="1" t="str">
        <f>IF(AND(Table1[[#This Row],[Spec Type2]]="N/A",Table1[[#This Row],[DUT Adj Read]]="N/A",Table1[[#This Row],[Std Adj Read]]="N/A"),"N/A",IF(Table1[[#This Row],[DUT Adj Read]]="N/A",IF(Table1[[#This Row],[Std Adj Read]]&lt;=Table1[[#This Row],[High Tol]],"Pass","Fail"),IF(Table1[[#This Row],[DUT Adj Read]]&lt;=Table1[[#This Row],[High Tol]],"Pass","Fail")))</f>
        <v>Fail</v>
      </c>
      <c r="AH23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2" s="1" t="b">
        <v>0</v>
      </c>
      <c r="AN2322" s="1" t="b">
        <v>0</v>
      </c>
      <c r="AO2322" s="1" t="b">
        <v>0</v>
      </c>
    </row>
    <row r="2323" spans="1:41" x14ac:dyDescent="0.25">
      <c r="A2323" s="10"/>
      <c r="B2323" s="10"/>
      <c r="C2323" s="10"/>
      <c r="D2323" s="10"/>
      <c r="E2323" s="10"/>
      <c r="F2323" s="10"/>
      <c r="G2323" s="10"/>
      <c r="H2323" s="10"/>
      <c r="I2323" s="1" t="str">
        <f t="shared" si="108"/>
        <v/>
      </c>
      <c r="J2323" s="1" t="s">
        <v>35</v>
      </c>
      <c r="K2323" s="1" t="str">
        <f t="shared" si="109"/>
        <v/>
      </c>
      <c r="L2323" s="1" t="str">
        <f t="shared" si="110"/>
        <v/>
      </c>
      <c r="M2323" s="1">
        <f>IF(OR(Table1[[#This Row],[Std Nom]]="",Table1[[#This Row],[Std Read]]=""),0,Table1[[#This Row],[Std Nom]]-Table1[[#This Row],[Std Read]])</f>
        <v>0</v>
      </c>
      <c r="N2323" s="1">
        <f>IF(Calculations!$F$5="ACCREDITED 17025 WITH UNCERTAINTIES",$N$10,0)</f>
        <v>0</v>
      </c>
      <c r="O2323" s="1" t="str">
        <f>IFERROR(Table1[[#This Row],[Std Nom]]-(_xlfn.XLOOKUP(Table1[[#This Row],[Manufacturer]]&amp;" "&amp;Table1[[#This Row],[Model]],Table13[MFR &amp; MDL],Table13[Tolerance % CW ],"")/100*Table1[[#This Row],[Std Nom]]),"")</f>
        <v/>
      </c>
      <c r="P2323" s="1" t="str">
        <f>IFERROR(Table1[[#This Row],[Std Nom]]+(_xlfn.XLOOKUP(Table1[[#This Row],[Manufacturer]]&amp;" "&amp;Table1[[#This Row],[Model]],Table13[MFR &amp; MDL],Table13[Tolerance % CW ],"")/100*Table1[[#This Row],[Std Nom]]),"")</f>
        <v/>
      </c>
      <c r="Q2323" s="1" t="e">
        <f>Table1[[#This Row],[High Tol]]-Table1[[#This Row],[Low Tol]]</f>
        <v>#VALUE!</v>
      </c>
      <c r="R2323" s="1">
        <f>2*Table1[[#This Row],[Std Error]]</f>
        <v>0</v>
      </c>
      <c r="S2323" s="1" t="str">
        <f>IF(Table1[[#This Row],[High Tol]]="","N/A",IFERROR(ABS(Table1[[#This Row],[Tol Span]]/Table1[[#This Row],[Error Span]]),"N/A"))</f>
        <v>N/A</v>
      </c>
      <c r="T2323" s="1" t="str">
        <f>IF(OR(Table1[[#This Row],[Low Tol]]="",Table1[[#This Row],[High Tol]]=""),"Needs Analysis",IF(Table1[[#This Row],[Ratio]]&gt;=4,"Not Significant",IF(Table1[[#This Row],[Ratio]]&gt;=2,"Semi-Significant","Significant")))</f>
        <v>Needs Analysis</v>
      </c>
      <c r="W2323" s="1">
        <f>IF(Table1[[#This Row],[Cal Type]]&lt;&gt;"ACCREDITED 17025 WITH UNCERTAINTIES",0,"")</f>
        <v>0</v>
      </c>
      <c r="X2323" s="1" t="str">
        <f>IF(Table1[[#This Row],[DUT Read]]="","N/A",Table1[[#This Row],[Std Error]]+Table1[[#This Row],[DUT Read]]+Table1[[#This Row],[DUT Ucty]])</f>
        <v>N/A</v>
      </c>
      <c r="Y2323" s="1" t="str">
        <f>IF(Table1[[#This Row],[Std Read]]="","N/A",Table1[[#This Row],[Std Read]]+Table1[[#This Row],[Std Ucty]])</f>
        <v>N/A</v>
      </c>
      <c r="Z23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3" s="1" t="str">
        <f>IF(Table1[[#This Row],[Spec Type]]="","N/A",Table1[[#This Row],[Spec Type]])</f>
        <v>±</v>
      </c>
      <c r="AC2323" s="1" t="str">
        <f>IF(Table1[[#This Row],[Spec Type2]]="N/A","N/A",IF(AND(Table1[[#This Row],[DUT Adj Read]]&gt;=Table1[[#This Row],[Low Tol]],Table1[[#This Row],[DUT Adj Read]]&lt;=Table1[[#This Row],[High Tol]]),"Pass","Fail"))</f>
        <v>Fail</v>
      </c>
      <c r="AD2323" s="1" t="str">
        <f>IF(AND(Table1[[#This Row],[Spec Type2]]="N/A",Table1[[#This Row],[DUT Adj Read]]="N/A",Table1[[#This Row],[Std Adj Read]]="N/A"),"N/A",IF(Table1[[#This Row],[DUT Adj Read]]="N/A",IF(Table1[[#This Row],[Std Adj Read]]&gt;Table1[[#This Row],[Low Tol]],"Pass","Fail"),IF(Table1[[#This Row],[DUT Adj Read]]&gt;Table1[[#This Row],[Low Tol]],"Pass","Fail")))</f>
        <v>Pass</v>
      </c>
      <c r="AE2323" s="1" t="str">
        <f>IF(AND(Table1[[#This Row],[Spec Type2]]="N/A",Table1[[#This Row],[DUT Adj Read]]="N/A",Table1[[#This Row],[Std Adj Read]]="N/A"),"N/A",IF(Table1[[#This Row],[DUT Adj Read]]="N/A",IF(Table1[[#This Row],[Std Adj Read]]&lt;Table1[[#This Row],[High Tol]],"Pass","Fail"),IF(Table1[[#This Row],[DUT Adj Read]]&lt;Table1[[#This Row],[High Tol]],"Pass","Fail")))</f>
        <v>Fail</v>
      </c>
      <c r="AF2323" s="1" t="str">
        <f>IF(AND(Table1[[#This Row],[Spec Type2]]="N/A",Table1[[#This Row],[DUT Adj Read]]="N/A",Table1[[#This Row],[Std Adj Read]]="N/A"),"N/A",IF(Table1[[#This Row],[DUT Adj Read]]="N/A",IF(Table1[[#This Row],[Std Adj Read]]&gt;=Table1[[#This Row],[Low Tol]],"Pass","Fail"),IF(Table1[[#This Row],[DUT Adj Read]]&gt;=Table1[[#This Row],[Low Tol]],"Pass","Fail")))</f>
        <v>Pass</v>
      </c>
      <c r="AG2323" s="1" t="str">
        <f>IF(AND(Table1[[#This Row],[Spec Type2]]="N/A",Table1[[#This Row],[DUT Adj Read]]="N/A",Table1[[#This Row],[Std Adj Read]]="N/A"),"N/A",IF(Table1[[#This Row],[DUT Adj Read]]="N/A",IF(Table1[[#This Row],[Std Adj Read]]&lt;=Table1[[#This Row],[High Tol]],"Pass","Fail"),IF(Table1[[#This Row],[DUT Adj Read]]&lt;=Table1[[#This Row],[High Tol]],"Pass","Fail")))</f>
        <v>Fail</v>
      </c>
      <c r="AH23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3" s="1" t="b">
        <v>0</v>
      </c>
      <c r="AN2323" s="1" t="b">
        <v>0</v>
      </c>
      <c r="AO2323" s="1" t="b">
        <v>0</v>
      </c>
    </row>
    <row r="2324" spans="1:41" x14ac:dyDescent="0.25">
      <c r="A2324" s="10"/>
      <c r="B2324" s="10"/>
      <c r="C2324" s="10"/>
      <c r="D2324" s="10"/>
      <c r="E2324" s="10"/>
      <c r="F2324" s="10"/>
      <c r="G2324" s="10"/>
      <c r="H2324" s="10"/>
      <c r="I2324" s="1" t="str">
        <f t="shared" si="108"/>
        <v/>
      </c>
      <c r="J2324" s="1" t="s">
        <v>35</v>
      </c>
      <c r="K2324" s="1" t="str">
        <f t="shared" si="109"/>
        <v/>
      </c>
      <c r="L2324" s="1" t="str">
        <f t="shared" si="110"/>
        <v/>
      </c>
      <c r="M2324" s="1">
        <f>IF(OR(Table1[[#This Row],[Std Nom]]="",Table1[[#This Row],[Std Read]]=""),0,Table1[[#This Row],[Std Nom]]-Table1[[#This Row],[Std Read]])</f>
        <v>0</v>
      </c>
      <c r="N2324" s="1">
        <f>IF(Calculations!$F$5="ACCREDITED 17025 WITH UNCERTAINTIES",$N$10,0)</f>
        <v>0</v>
      </c>
      <c r="O2324" s="1" t="str">
        <f>IFERROR(Table1[[#This Row],[Std Nom]]-(_xlfn.XLOOKUP(Table1[[#This Row],[Manufacturer]]&amp;" "&amp;Table1[[#This Row],[Model]],Table13[MFR &amp; MDL],Table13[Tolerance % CW ],"")/100*Table1[[#This Row],[Std Nom]]),"")</f>
        <v/>
      </c>
      <c r="P2324" s="1" t="str">
        <f>IFERROR(Table1[[#This Row],[Std Nom]]+(_xlfn.XLOOKUP(Table1[[#This Row],[Manufacturer]]&amp;" "&amp;Table1[[#This Row],[Model]],Table13[MFR &amp; MDL],Table13[Tolerance % CW ],"")/100*Table1[[#This Row],[Std Nom]]),"")</f>
        <v/>
      </c>
      <c r="Q2324" s="1" t="e">
        <f>Table1[[#This Row],[High Tol]]-Table1[[#This Row],[Low Tol]]</f>
        <v>#VALUE!</v>
      </c>
      <c r="R2324" s="1">
        <f>2*Table1[[#This Row],[Std Error]]</f>
        <v>0</v>
      </c>
      <c r="S2324" s="1" t="str">
        <f>IF(Table1[[#This Row],[High Tol]]="","N/A",IFERROR(ABS(Table1[[#This Row],[Tol Span]]/Table1[[#This Row],[Error Span]]),"N/A"))</f>
        <v>N/A</v>
      </c>
      <c r="T2324" s="1" t="str">
        <f>IF(OR(Table1[[#This Row],[Low Tol]]="",Table1[[#This Row],[High Tol]]=""),"Needs Analysis",IF(Table1[[#This Row],[Ratio]]&gt;=4,"Not Significant",IF(Table1[[#This Row],[Ratio]]&gt;=2,"Semi-Significant","Significant")))</f>
        <v>Needs Analysis</v>
      </c>
      <c r="W2324" s="1">
        <f>IF(Table1[[#This Row],[Cal Type]]&lt;&gt;"ACCREDITED 17025 WITH UNCERTAINTIES",0,"")</f>
        <v>0</v>
      </c>
      <c r="X2324" s="1" t="str">
        <f>IF(Table1[[#This Row],[DUT Read]]="","N/A",Table1[[#This Row],[Std Error]]+Table1[[#This Row],[DUT Read]]+Table1[[#This Row],[DUT Ucty]])</f>
        <v>N/A</v>
      </c>
      <c r="Y2324" s="1" t="str">
        <f>IF(Table1[[#This Row],[Std Read]]="","N/A",Table1[[#This Row],[Std Read]]+Table1[[#This Row],[Std Ucty]])</f>
        <v>N/A</v>
      </c>
      <c r="Z23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4" s="1" t="str">
        <f>IF(Table1[[#This Row],[Spec Type]]="","N/A",Table1[[#This Row],[Spec Type]])</f>
        <v>±</v>
      </c>
      <c r="AC2324" s="1" t="str">
        <f>IF(Table1[[#This Row],[Spec Type2]]="N/A","N/A",IF(AND(Table1[[#This Row],[DUT Adj Read]]&gt;=Table1[[#This Row],[Low Tol]],Table1[[#This Row],[DUT Adj Read]]&lt;=Table1[[#This Row],[High Tol]]),"Pass","Fail"))</f>
        <v>Fail</v>
      </c>
      <c r="AD2324" s="1" t="str">
        <f>IF(AND(Table1[[#This Row],[Spec Type2]]="N/A",Table1[[#This Row],[DUT Adj Read]]="N/A",Table1[[#This Row],[Std Adj Read]]="N/A"),"N/A",IF(Table1[[#This Row],[DUT Adj Read]]="N/A",IF(Table1[[#This Row],[Std Adj Read]]&gt;Table1[[#This Row],[Low Tol]],"Pass","Fail"),IF(Table1[[#This Row],[DUT Adj Read]]&gt;Table1[[#This Row],[Low Tol]],"Pass","Fail")))</f>
        <v>Pass</v>
      </c>
      <c r="AE2324" s="1" t="str">
        <f>IF(AND(Table1[[#This Row],[Spec Type2]]="N/A",Table1[[#This Row],[DUT Adj Read]]="N/A",Table1[[#This Row],[Std Adj Read]]="N/A"),"N/A",IF(Table1[[#This Row],[DUT Adj Read]]="N/A",IF(Table1[[#This Row],[Std Adj Read]]&lt;Table1[[#This Row],[High Tol]],"Pass","Fail"),IF(Table1[[#This Row],[DUT Adj Read]]&lt;Table1[[#This Row],[High Tol]],"Pass","Fail")))</f>
        <v>Fail</v>
      </c>
      <c r="AF2324" s="1" t="str">
        <f>IF(AND(Table1[[#This Row],[Spec Type2]]="N/A",Table1[[#This Row],[DUT Adj Read]]="N/A",Table1[[#This Row],[Std Adj Read]]="N/A"),"N/A",IF(Table1[[#This Row],[DUT Adj Read]]="N/A",IF(Table1[[#This Row],[Std Adj Read]]&gt;=Table1[[#This Row],[Low Tol]],"Pass","Fail"),IF(Table1[[#This Row],[DUT Adj Read]]&gt;=Table1[[#This Row],[Low Tol]],"Pass","Fail")))</f>
        <v>Pass</v>
      </c>
      <c r="AG2324" s="1" t="str">
        <f>IF(AND(Table1[[#This Row],[Spec Type2]]="N/A",Table1[[#This Row],[DUT Adj Read]]="N/A",Table1[[#This Row],[Std Adj Read]]="N/A"),"N/A",IF(Table1[[#This Row],[DUT Adj Read]]="N/A",IF(Table1[[#This Row],[Std Adj Read]]&lt;=Table1[[#This Row],[High Tol]],"Pass","Fail"),IF(Table1[[#This Row],[DUT Adj Read]]&lt;=Table1[[#This Row],[High Tol]],"Pass","Fail")))</f>
        <v>Fail</v>
      </c>
      <c r="AH23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4" s="1" t="b">
        <v>0</v>
      </c>
      <c r="AN2324" s="1" t="b">
        <v>0</v>
      </c>
      <c r="AO2324" s="1" t="b">
        <v>0</v>
      </c>
    </row>
    <row r="2325" spans="1:41" x14ac:dyDescent="0.25">
      <c r="A2325" s="10"/>
      <c r="B2325" s="10"/>
      <c r="C2325" s="10"/>
      <c r="D2325" s="10"/>
      <c r="E2325" s="10"/>
      <c r="F2325" s="10"/>
      <c r="G2325" s="10"/>
      <c r="H2325" s="10"/>
      <c r="I2325" s="1" t="str">
        <f t="shared" si="108"/>
        <v/>
      </c>
      <c r="J2325" s="1" t="s">
        <v>35</v>
      </c>
      <c r="K2325" s="1" t="str">
        <f t="shared" si="109"/>
        <v/>
      </c>
      <c r="L2325" s="1" t="str">
        <f t="shared" si="110"/>
        <v/>
      </c>
      <c r="M2325" s="1">
        <f>IF(OR(Table1[[#This Row],[Std Nom]]="",Table1[[#This Row],[Std Read]]=""),0,Table1[[#This Row],[Std Nom]]-Table1[[#This Row],[Std Read]])</f>
        <v>0</v>
      </c>
      <c r="N2325" s="1">
        <f>IF(Calculations!$F$5="ACCREDITED 17025 WITH UNCERTAINTIES",$N$10,0)</f>
        <v>0</v>
      </c>
      <c r="O2325" s="1" t="str">
        <f>IFERROR(Table1[[#This Row],[Std Nom]]-(_xlfn.XLOOKUP(Table1[[#This Row],[Manufacturer]]&amp;" "&amp;Table1[[#This Row],[Model]],Table13[MFR &amp; MDL],Table13[Tolerance % CW ],"")/100*Table1[[#This Row],[Std Nom]]),"")</f>
        <v/>
      </c>
      <c r="P2325" s="1" t="str">
        <f>IFERROR(Table1[[#This Row],[Std Nom]]+(_xlfn.XLOOKUP(Table1[[#This Row],[Manufacturer]]&amp;" "&amp;Table1[[#This Row],[Model]],Table13[MFR &amp; MDL],Table13[Tolerance % CW ],"")/100*Table1[[#This Row],[Std Nom]]),"")</f>
        <v/>
      </c>
      <c r="Q2325" s="1" t="e">
        <f>Table1[[#This Row],[High Tol]]-Table1[[#This Row],[Low Tol]]</f>
        <v>#VALUE!</v>
      </c>
      <c r="R2325" s="1">
        <f>2*Table1[[#This Row],[Std Error]]</f>
        <v>0</v>
      </c>
      <c r="S2325" s="1" t="str">
        <f>IF(Table1[[#This Row],[High Tol]]="","N/A",IFERROR(ABS(Table1[[#This Row],[Tol Span]]/Table1[[#This Row],[Error Span]]),"N/A"))</f>
        <v>N/A</v>
      </c>
      <c r="T2325" s="1" t="str">
        <f>IF(OR(Table1[[#This Row],[Low Tol]]="",Table1[[#This Row],[High Tol]]=""),"Needs Analysis",IF(Table1[[#This Row],[Ratio]]&gt;=4,"Not Significant",IF(Table1[[#This Row],[Ratio]]&gt;=2,"Semi-Significant","Significant")))</f>
        <v>Needs Analysis</v>
      </c>
      <c r="W2325" s="1">
        <f>IF(Table1[[#This Row],[Cal Type]]&lt;&gt;"ACCREDITED 17025 WITH UNCERTAINTIES",0,"")</f>
        <v>0</v>
      </c>
      <c r="X2325" s="1" t="str">
        <f>IF(Table1[[#This Row],[DUT Read]]="","N/A",Table1[[#This Row],[Std Error]]+Table1[[#This Row],[DUT Read]]+Table1[[#This Row],[DUT Ucty]])</f>
        <v>N/A</v>
      </c>
      <c r="Y2325" s="1" t="str">
        <f>IF(Table1[[#This Row],[Std Read]]="","N/A",Table1[[#This Row],[Std Read]]+Table1[[#This Row],[Std Ucty]])</f>
        <v>N/A</v>
      </c>
      <c r="Z23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5" s="1" t="str">
        <f>IF(Table1[[#This Row],[Spec Type]]="","N/A",Table1[[#This Row],[Spec Type]])</f>
        <v>±</v>
      </c>
      <c r="AC2325" s="1" t="str">
        <f>IF(Table1[[#This Row],[Spec Type2]]="N/A","N/A",IF(AND(Table1[[#This Row],[DUT Adj Read]]&gt;=Table1[[#This Row],[Low Tol]],Table1[[#This Row],[DUT Adj Read]]&lt;=Table1[[#This Row],[High Tol]]),"Pass","Fail"))</f>
        <v>Fail</v>
      </c>
      <c r="AD2325" s="1" t="str">
        <f>IF(AND(Table1[[#This Row],[Spec Type2]]="N/A",Table1[[#This Row],[DUT Adj Read]]="N/A",Table1[[#This Row],[Std Adj Read]]="N/A"),"N/A",IF(Table1[[#This Row],[DUT Adj Read]]="N/A",IF(Table1[[#This Row],[Std Adj Read]]&gt;Table1[[#This Row],[Low Tol]],"Pass","Fail"),IF(Table1[[#This Row],[DUT Adj Read]]&gt;Table1[[#This Row],[Low Tol]],"Pass","Fail")))</f>
        <v>Pass</v>
      </c>
      <c r="AE2325" s="1" t="str">
        <f>IF(AND(Table1[[#This Row],[Spec Type2]]="N/A",Table1[[#This Row],[DUT Adj Read]]="N/A",Table1[[#This Row],[Std Adj Read]]="N/A"),"N/A",IF(Table1[[#This Row],[DUT Adj Read]]="N/A",IF(Table1[[#This Row],[Std Adj Read]]&lt;Table1[[#This Row],[High Tol]],"Pass","Fail"),IF(Table1[[#This Row],[DUT Adj Read]]&lt;Table1[[#This Row],[High Tol]],"Pass","Fail")))</f>
        <v>Fail</v>
      </c>
      <c r="AF2325" s="1" t="str">
        <f>IF(AND(Table1[[#This Row],[Spec Type2]]="N/A",Table1[[#This Row],[DUT Adj Read]]="N/A",Table1[[#This Row],[Std Adj Read]]="N/A"),"N/A",IF(Table1[[#This Row],[DUT Adj Read]]="N/A",IF(Table1[[#This Row],[Std Adj Read]]&gt;=Table1[[#This Row],[Low Tol]],"Pass","Fail"),IF(Table1[[#This Row],[DUT Adj Read]]&gt;=Table1[[#This Row],[Low Tol]],"Pass","Fail")))</f>
        <v>Pass</v>
      </c>
      <c r="AG2325" s="1" t="str">
        <f>IF(AND(Table1[[#This Row],[Spec Type2]]="N/A",Table1[[#This Row],[DUT Adj Read]]="N/A",Table1[[#This Row],[Std Adj Read]]="N/A"),"N/A",IF(Table1[[#This Row],[DUT Adj Read]]="N/A",IF(Table1[[#This Row],[Std Adj Read]]&lt;=Table1[[#This Row],[High Tol]],"Pass","Fail"),IF(Table1[[#This Row],[DUT Adj Read]]&lt;=Table1[[#This Row],[High Tol]],"Pass","Fail")))</f>
        <v>Fail</v>
      </c>
      <c r="AH23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5" s="1" t="b">
        <v>0</v>
      </c>
      <c r="AN2325" s="1" t="b">
        <v>0</v>
      </c>
      <c r="AO2325" s="1" t="b">
        <v>0</v>
      </c>
    </row>
    <row r="2326" spans="1:41" x14ac:dyDescent="0.25">
      <c r="A2326" s="10"/>
      <c r="B2326" s="10"/>
      <c r="C2326" s="10"/>
      <c r="D2326" s="10"/>
      <c r="E2326" s="10"/>
      <c r="F2326" s="10"/>
      <c r="G2326" s="10"/>
      <c r="H2326" s="10"/>
      <c r="I2326" s="1" t="str">
        <f t="shared" si="108"/>
        <v/>
      </c>
      <c r="J2326" s="1" t="s">
        <v>35</v>
      </c>
      <c r="K2326" s="1" t="str">
        <f t="shared" si="109"/>
        <v/>
      </c>
      <c r="L2326" s="1" t="str">
        <f t="shared" si="110"/>
        <v/>
      </c>
      <c r="M2326" s="1">
        <f>IF(OR(Table1[[#This Row],[Std Nom]]="",Table1[[#This Row],[Std Read]]=""),0,Table1[[#This Row],[Std Nom]]-Table1[[#This Row],[Std Read]])</f>
        <v>0</v>
      </c>
      <c r="N2326" s="1">
        <f>IF(Calculations!$F$5="ACCREDITED 17025 WITH UNCERTAINTIES",$N$10,0)</f>
        <v>0</v>
      </c>
      <c r="O2326" s="1" t="str">
        <f>IFERROR(Table1[[#This Row],[Std Nom]]-(_xlfn.XLOOKUP(Table1[[#This Row],[Manufacturer]]&amp;" "&amp;Table1[[#This Row],[Model]],Table13[MFR &amp; MDL],Table13[Tolerance % CW ],"")/100*Table1[[#This Row],[Std Nom]]),"")</f>
        <v/>
      </c>
      <c r="P2326" s="1" t="str">
        <f>IFERROR(Table1[[#This Row],[Std Nom]]+(_xlfn.XLOOKUP(Table1[[#This Row],[Manufacturer]]&amp;" "&amp;Table1[[#This Row],[Model]],Table13[MFR &amp; MDL],Table13[Tolerance % CW ],"")/100*Table1[[#This Row],[Std Nom]]),"")</f>
        <v/>
      </c>
      <c r="Q2326" s="1" t="e">
        <f>Table1[[#This Row],[High Tol]]-Table1[[#This Row],[Low Tol]]</f>
        <v>#VALUE!</v>
      </c>
      <c r="R2326" s="1">
        <f>2*Table1[[#This Row],[Std Error]]</f>
        <v>0</v>
      </c>
      <c r="S2326" s="1" t="str">
        <f>IF(Table1[[#This Row],[High Tol]]="","N/A",IFERROR(ABS(Table1[[#This Row],[Tol Span]]/Table1[[#This Row],[Error Span]]),"N/A"))</f>
        <v>N/A</v>
      </c>
      <c r="T2326" s="1" t="str">
        <f>IF(OR(Table1[[#This Row],[Low Tol]]="",Table1[[#This Row],[High Tol]]=""),"Needs Analysis",IF(Table1[[#This Row],[Ratio]]&gt;=4,"Not Significant",IF(Table1[[#This Row],[Ratio]]&gt;=2,"Semi-Significant","Significant")))</f>
        <v>Needs Analysis</v>
      </c>
      <c r="W2326" s="1">
        <f>IF(Table1[[#This Row],[Cal Type]]&lt;&gt;"ACCREDITED 17025 WITH UNCERTAINTIES",0,"")</f>
        <v>0</v>
      </c>
      <c r="X2326" s="1" t="str">
        <f>IF(Table1[[#This Row],[DUT Read]]="","N/A",Table1[[#This Row],[Std Error]]+Table1[[#This Row],[DUT Read]]+Table1[[#This Row],[DUT Ucty]])</f>
        <v>N/A</v>
      </c>
      <c r="Y2326" s="1" t="str">
        <f>IF(Table1[[#This Row],[Std Read]]="","N/A",Table1[[#This Row],[Std Read]]+Table1[[#This Row],[Std Ucty]])</f>
        <v>N/A</v>
      </c>
      <c r="Z23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6" s="1" t="str">
        <f>IF(Table1[[#This Row],[Spec Type]]="","N/A",Table1[[#This Row],[Spec Type]])</f>
        <v>±</v>
      </c>
      <c r="AC2326" s="1" t="str">
        <f>IF(Table1[[#This Row],[Spec Type2]]="N/A","N/A",IF(AND(Table1[[#This Row],[DUT Adj Read]]&gt;=Table1[[#This Row],[Low Tol]],Table1[[#This Row],[DUT Adj Read]]&lt;=Table1[[#This Row],[High Tol]]),"Pass","Fail"))</f>
        <v>Fail</v>
      </c>
      <c r="AD2326" s="1" t="str">
        <f>IF(AND(Table1[[#This Row],[Spec Type2]]="N/A",Table1[[#This Row],[DUT Adj Read]]="N/A",Table1[[#This Row],[Std Adj Read]]="N/A"),"N/A",IF(Table1[[#This Row],[DUT Adj Read]]="N/A",IF(Table1[[#This Row],[Std Adj Read]]&gt;Table1[[#This Row],[Low Tol]],"Pass","Fail"),IF(Table1[[#This Row],[DUT Adj Read]]&gt;Table1[[#This Row],[Low Tol]],"Pass","Fail")))</f>
        <v>Pass</v>
      </c>
      <c r="AE2326" s="1" t="str">
        <f>IF(AND(Table1[[#This Row],[Spec Type2]]="N/A",Table1[[#This Row],[DUT Adj Read]]="N/A",Table1[[#This Row],[Std Adj Read]]="N/A"),"N/A",IF(Table1[[#This Row],[DUT Adj Read]]="N/A",IF(Table1[[#This Row],[Std Adj Read]]&lt;Table1[[#This Row],[High Tol]],"Pass","Fail"),IF(Table1[[#This Row],[DUT Adj Read]]&lt;Table1[[#This Row],[High Tol]],"Pass","Fail")))</f>
        <v>Fail</v>
      </c>
      <c r="AF2326" s="1" t="str">
        <f>IF(AND(Table1[[#This Row],[Spec Type2]]="N/A",Table1[[#This Row],[DUT Adj Read]]="N/A",Table1[[#This Row],[Std Adj Read]]="N/A"),"N/A",IF(Table1[[#This Row],[DUT Adj Read]]="N/A",IF(Table1[[#This Row],[Std Adj Read]]&gt;=Table1[[#This Row],[Low Tol]],"Pass","Fail"),IF(Table1[[#This Row],[DUT Adj Read]]&gt;=Table1[[#This Row],[Low Tol]],"Pass","Fail")))</f>
        <v>Pass</v>
      </c>
      <c r="AG2326" s="1" t="str">
        <f>IF(AND(Table1[[#This Row],[Spec Type2]]="N/A",Table1[[#This Row],[DUT Adj Read]]="N/A",Table1[[#This Row],[Std Adj Read]]="N/A"),"N/A",IF(Table1[[#This Row],[DUT Adj Read]]="N/A",IF(Table1[[#This Row],[Std Adj Read]]&lt;=Table1[[#This Row],[High Tol]],"Pass","Fail"),IF(Table1[[#This Row],[DUT Adj Read]]&lt;=Table1[[#This Row],[High Tol]],"Pass","Fail")))</f>
        <v>Fail</v>
      </c>
      <c r="AH23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6" s="1" t="b">
        <v>0</v>
      </c>
      <c r="AN2326" s="1" t="b">
        <v>0</v>
      </c>
      <c r="AO2326" s="1" t="b">
        <v>0</v>
      </c>
    </row>
    <row r="2327" spans="1:41" x14ac:dyDescent="0.25">
      <c r="A2327" s="10"/>
      <c r="B2327" s="10"/>
      <c r="C2327" s="10"/>
      <c r="D2327" s="10"/>
      <c r="E2327" s="10"/>
      <c r="F2327" s="10"/>
      <c r="G2327" s="10"/>
      <c r="H2327" s="10"/>
      <c r="I2327" s="1" t="str">
        <f t="shared" si="108"/>
        <v/>
      </c>
      <c r="J2327" s="1" t="s">
        <v>35</v>
      </c>
      <c r="K2327" s="1" t="str">
        <f t="shared" si="109"/>
        <v/>
      </c>
      <c r="L2327" s="1" t="str">
        <f t="shared" si="110"/>
        <v/>
      </c>
      <c r="M2327" s="1">
        <f>IF(OR(Table1[[#This Row],[Std Nom]]="",Table1[[#This Row],[Std Read]]=""),0,Table1[[#This Row],[Std Nom]]-Table1[[#This Row],[Std Read]])</f>
        <v>0</v>
      </c>
      <c r="N2327" s="1">
        <f>IF(Calculations!$F$5="ACCREDITED 17025 WITH UNCERTAINTIES",$N$10,0)</f>
        <v>0</v>
      </c>
      <c r="O2327" s="1" t="str">
        <f>IFERROR(Table1[[#This Row],[Std Nom]]-(_xlfn.XLOOKUP(Table1[[#This Row],[Manufacturer]]&amp;" "&amp;Table1[[#This Row],[Model]],Table13[MFR &amp; MDL],Table13[Tolerance % CW ],"")/100*Table1[[#This Row],[Std Nom]]),"")</f>
        <v/>
      </c>
      <c r="P2327" s="1" t="str">
        <f>IFERROR(Table1[[#This Row],[Std Nom]]+(_xlfn.XLOOKUP(Table1[[#This Row],[Manufacturer]]&amp;" "&amp;Table1[[#This Row],[Model]],Table13[MFR &amp; MDL],Table13[Tolerance % CW ],"")/100*Table1[[#This Row],[Std Nom]]),"")</f>
        <v/>
      </c>
      <c r="Q2327" s="1" t="e">
        <f>Table1[[#This Row],[High Tol]]-Table1[[#This Row],[Low Tol]]</f>
        <v>#VALUE!</v>
      </c>
      <c r="R2327" s="1">
        <f>2*Table1[[#This Row],[Std Error]]</f>
        <v>0</v>
      </c>
      <c r="S2327" s="1" t="str">
        <f>IF(Table1[[#This Row],[High Tol]]="","N/A",IFERROR(ABS(Table1[[#This Row],[Tol Span]]/Table1[[#This Row],[Error Span]]),"N/A"))</f>
        <v>N/A</v>
      </c>
      <c r="T2327" s="1" t="str">
        <f>IF(OR(Table1[[#This Row],[Low Tol]]="",Table1[[#This Row],[High Tol]]=""),"Needs Analysis",IF(Table1[[#This Row],[Ratio]]&gt;=4,"Not Significant",IF(Table1[[#This Row],[Ratio]]&gt;=2,"Semi-Significant","Significant")))</f>
        <v>Needs Analysis</v>
      </c>
      <c r="W2327" s="1">
        <f>IF(Table1[[#This Row],[Cal Type]]&lt;&gt;"ACCREDITED 17025 WITH UNCERTAINTIES",0,"")</f>
        <v>0</v>
      </c>
      <c r="X2327" s="1" t="str">
        <f>IF(Table1[[#This Row],[DUT Read]]="","N/A",Table1[[#This Row],[Std Error]]+Table1[[#This Row],[DUT Read]]+Table1[[#This Row],[DUT Ucty]])</f>
        <v>N/A</v>
      </c>
      <c r="Y2327" s="1" t="str">
        <f>IF(Table1[[#This Row],[Std Read]]="","N/A",Table1[[#This Row],[Std Read]]+Table1[[#This Row],[Std Ucty]])</f>
        <v>N/A</v>
      </c>
      <c r="Z23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7" s="1" t="str">
        <f>IF(Table1[[#This Row],[Spec Type]]="","N/A",Table1[[#This Row],[Spec Type]])</f>
        <v>±</v>
      </c>
      <c r="AC2327" s="1" t="str">
        <f>IF(Table1[[#This Row],[Spec Type2]]="N/A","N/A",IF(AND(Table1[[#This Row],[DUT Adj Read]]&gt;=Table1[[#This Row],[Low Tol]],Table1[[#This Row],[DUT Adj Read]]&lt;=Table1[[#This Row],[High Tol]]),"Pass","Fail"))</f>
        <v>Fail</v>
      </c>
      <c r="AD2327" s="1" t="str">
        <f>IF(AND(Table1[[#This Row],[Spec Type2]]="N/A",Table1[[#This Row],[DUT Adj Read]]="N/A",Table1[[#This Row],[Std Adj Read]]="N/A"),"N/A",IF(Table1[[#This Row],[DUT Adj Read]]="N/A",IF(Table1[[#This Row],[Std Adj Read]]&gt;Table1[[#This Row],[Low Tol]],"Pass","Fail"),IF(Table1[[#This Row],[DUT Adj Read]]&gt;Table1[[#This Row],[Low Tol]],"Pass","Fail")))</f>
        <v>Pass</v>
      </c>
      <c r="AE2327" s="1" t="str">
        <f>IF(AND(Table1[[#This Row],[Spec Type2]]="N/A",Table1[[#This Row],[DUT Adj Read]]="N/A",Table1[[#This Row],[Std Adj Read]]="N/A"),"N/A",IF(Table1[[#This Row],[DUT Adj Read]]="N/A",IF(Table1[[#This Row],[Std Adj Read]]&lt;Table1[[#This Row],[High Tol]],"Pass","Fail"),IF(Table1[[#This Row],[DUT Adj Read]]&lt;Table1[[#This Row],[High Tol]],"Pass","Fail")))</f>
        <v>Fail</v>
      </c>
      <c r="AF2327" s="1" t="str">
        <f>IF(AND(Table1[[#This Row],[Spec Type2]]="N/A",Table1[[#This Row],[DUT Adj Read]]="N/A",Table1[[#This Row],[Std Adj Read]]="N/A"),"N/A",IF(Table1[[#This Row],[DUT Adj Read]]="N/A",IF(Table1[[#This Row],[Std Adj Read]]&gt;=Table1[[#This Row],[Low Tol]],"Pass","Fail"),IF(Table1[[#This Row],[DUT Adj Read]]&gt;=Table1[[#This Row],[Low Tol]],"Pass","Fail")))</f>
        <v>Pass</v>
      </c>
      <c r="AG2327" s="1" t="str">
        <f>IF(AND(Table1[[#This Row],[Spec Type2]]="N/A",Table1[[#This Row],[DUT Adj Read]]="N/A",Table1[[#This Row],[Std Adj Read]]="N/A"),"N/A",IF(Table1[[#This Row],[DUT Adj Read]]="N/A",IF(Table1[[#This Row],[Std Adj Read]]&lt;=Table1[[#This Row],[High Tol]],"Pass","Fail"),IF(Table1[[#This Row],[DUT Adj Read]]&lt;=Table1[[#This Row],[High Tol]],"Pass","Fail")))</f>
        <v>Fail</v>
      </c>
      <c r="AH23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7" s="1" t="b">
        <v>0</v>
      </c>
      <c r="AN2327" s="1" t="b">
        <v>0</v>
      </c>
      <c r="AO2327" s="1" t="b">
        <v>0</v>
      </c>
    </row>
    <row r="2328" spans="1:41" x14ac:dyDescent="0.25">
      <c r="A2328" s="10"/>
      <c r="B2328" s="10"/>
      <c r="C2328" s="10"/>
      <c r="D2328" s="10"/>
      <c r="E2328" s="10"/>
      <c r="F2328" s="10"/>
      <c r="G2328" s="10"/>
      <c r="H2328" s="10"/>
      <c r="I2328" s="1" t="str">
        <f t="shared" si="108"/>
        <v/>
      </c>
      <c r="J2328" s="1" t="s">
        <v>35</v>
      </c>
      <c r="K2328" s="1" t="str">
        <f t="shared" si="109"/>
        <v/>
      </c>
      <c r="L2328" s="1" t="str">
        <f t="shared" si="110"/>
        <v/>
      </c>
      <c r="M2328" s="1">
        <f>IF(OR(Table1[[#This Row],[Std Nom]]="",Table1[[#This Row],[Std Read]]=""),0,Table1[[#This Row],[Std Nom]]-Table1[[#This Row],[Std Read]])</f>
        <v>0</v>
      </c>
      <c r="N2328" s="1">
        <f>IF(Calculations!$F$5="ACCREDITED 17025 WITH UNCERTAINTIES",$N$10,0)</f>
        <v>0</v>
      </c>
      <c r="O2328" s="1" t="str">
        <f>IFERROR(Table1[[#This Row],[Std Nom]]-(_xlfn.XLOOKUP(Table1[[#This Row],[Manufacturer]]&amp;" "&amp;Table1[[#This Row],[Model]],Table13[MFR &amp; MDL],Table13[Tolerance % CW ],"")/100*Table1[[#This Row],[Std Nom]]),"")</f>
        <v/>
      </c>
      <c r="P2328" s="1" t="str">
        <f>IFERROR(Table1[[#This Row],[Std Nom]]+(_xlfn.XLOOKUP(Table1[[#This Row],[Manufacturer]]&amp;" "&amp;Table1[[#This Row],[Model]],Table13[MFR &amp; MDL],Table13[Tolerance % CW ],"")/100*Table1[[#This Row],[Std Nom]]),"")</f>
        <v/>
      </c>
      <c r="Q2328" s="1" t="e">
        <f>Table1[[#This Row],[High Tol]]-Table1[[#This Row],[Low Tol]]</f>
        <v>#VALUE!</v>
      </c>
      <c r="R2328" s="1">
        <f>2*Table1[[#This Row],[Std Error]]</f>
        <v>0</v>
      </c>
      <c r="S2328" s="1" t="str">
        <f>IF(Table1[[#This Row],[High Tol]]="","N/A",IFERROR(ABS(Table1[[#This Row],[Tol Span]]/Table1[[#This Row],[Error Span]]),"N/A"))</f>
        <v>N/A</v>
      </c>
      <c r="T2328" s="1" t="str">
        <f>IF(OR(Table1[[#This Row],[Low Tol]]="",Table1[[#This Row],[High Tol]]=""),"Needs Analysis",IF(Table1[[#This Row],[Ratio]]&gt;=4,"Not Significant",IF(Table1[[#This Row],[Ratio]]&gt;=2,"Semi-Significant","Significant")))</f>
        <v>Needs Analysis</v>
      </c>
      <c r="W2328" s="1">
        <f>IF(Table1[[#This Row],[Cal Type]]&lt;&gt;"ACCREDITED 17025 WITH UNCERTAINTIES",0,"")</f>
        <v>0</v>
      </c>
      <c r="X2328" s="1" t="str">
        <f>IF(Table1[[#This Row],[DUT Read]]="","N/A",Table1[[#This Row],[Std Error]]+Table1[[#This Row],[DUT Read]]+Table1[[#This Row],[DUT Ucty]])</f>
        <v>N/A</v>
      </c>
      <c r="Y2328" s="1" t="str">
        <f>IF(Table1[[#This Row],[Std Read]]="","N/A",Table1[[#This Row],[Std Read]]+Table1[[#This Row],[Std Ucty]])</f>
        <v>N/A</v>
      </c>
      <c r="Z23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8" s="1" t="str">
        <f>IF(Table1[[#This Row],[Spec Type]]="","N/A",Table1[[#This Row],[Spec Type]])</f>
        <v>±</v>
      </c>
      <c r="AC2328" s="1" t="str">
        <f>IF(Table1[[#This Row],[Spec Type2]]="N/A","N/A",IF(AND(Table1[[#This Row],[DUT Adj Read]]&gt;=Table1[[#This Row],[Low Tol]],Table1[[#This Row],[DUT Adj Read]]&lt;=Table1[[#This Row],[High Tol]]),"Pass","Fail"))</f>
        <v>Fail</v>
      </c>
      <c r="AD2328" s="1" t="str">
        <f>IF(AND(Table1[[#This Row],[Spec Type2]]="N/A",Table1[[#This Row],[DUT Adj Read]]="N/A",Table1[[#This Row],[Std Adj Read]]="N/A"),"N/A",IF(Table1[[#This Row],[DUT Adj Read]]="N/A",IF(Table1[[#This Row],[Std Adj Read]]&gt;Table1[[#This Row],[Low Tol]],"Pass","Fail"),IF(Table1[[#This Row],[DUT Adj Read]]&gt;Table1[[#This Row],[Low Tol]],"Pass","Fail")))</f>
        <v>Pass</v>
      </c>
      <c r="AE2328" s="1" t="str">
        <f>IF(AND(Table1[[#This Row],[Spec Type2]]="N/A",Table1[[#This Row],[DUT Adj Read]]="N/A",Table1[[#This Row],[Std Adj Read]]="N/A"),"N/A",IF(Table1[[#This Row],[DUT Adj Read]]="N/A",IF(Table1[[#This Row],[Std Adj Read]]&lt;Table1[[#This Row],[High Tol]],"Pass","Fail"),IF(Table1[[#This Row],[DUT Adj Read]]&lt;Table1[[#This Row],[High Tol]],"Pass","Fail")))</f>
        <v>Fail</v>
      </c>
      <c r="AF2328" s="1" t="str">
        <f>IF(AND(Table1[[#This Row],[Spec Type2]]="N/A",Table1[[#This Row],[DUT Adj Read]]="N/A",Table1[[#This Row],[Std Adj Read]]="N/A"),"N/A",IF(Table1[[#This Row],[DUT Adj Read]]="N/A",IF(Table1[[#This Row],[Std Adj Read]]&gt;=Table1[[#This Row],[Low Tol]],"Pass","Fail"),IF(Table1[[#This Row],[DUT Adj Read]]&gt;=Table1[[#This Row],[Low Tol]],"Pass","Fail")))</f>
        <v>Pass</v>
      </c>
      <c r="AG2328" s="1" t="str">
        <f>IF(AND(Table1[[#This Row],[Spec Type2]]="N/A",Table1[[#This Row],[DUT Adj Read]]="N/A",Table1[[#This Row],[Std Adj Read]]="N/A"),"N/A",IF(Table1[[#This Row],[DUT Adj Read]]="N/A",IF(Table1[[#This Row],[Std Adj Read]]&lt;=Table1[[#This Row],[High Tol]],"Pass","Fail"),IF(Table1[[#This Row],[DUT Adj Read]]&lt;=Table1[[#This Row],[High Tol]],"Pass","Fail")))</f>
        <v>Fail</v>
      </c>
      <c r="AH23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8" s="1" t="b">
        <v>0</v>
      </c>
      <c r="AN2328" s="1" t="b">
        <v>0</v>
      </c>
      <c r="AO2328" s="1" t="b">
        <v>0</v>
      </c>
    </row>
    <row r="2329" spans="1:41" x14ac:dyDescent="0.25">
      <c r="A2329" s="10"/>
      <c r="B2329" s="10"/>
      <c r="C2329" s="10"/>
      <c r="D2329" s="10"/>
      <c r="E2329" s="10"/>
      <c r="F2329" s="10"/>
      <c r="G2329" s="10"/>
      <c r="H2329" s="10"/>
      <c r="I2329" s="1" t="str">
        <f t="shared" si="108"/>
        <v/>
      </c>
      <c r="J2329" s="1" t="s">
        <v>35</v>
      </c>
      <c r="K2329" s="1" t="str">
        <f t="shared" si="109"/>
        <v/>
      </c>
      <c r="L2329" s="1" t="str">
        <f t="shared" si="110"/>
        <v/>
      </c>
      <c r="M2329" s="1">
        <f>IF(OR(Table1[[#This Row],[Std Nom]]="",Table1[[#This Row],[Std Read]]=""),0,Table1[[#This Row],[Std Nom]]-Table1[[#This Row],[Std Read]])</f>
        <v>0</v>
      </c>
      <c r="N2329" s="1">
        <f>IF(Calculations!$F$5="ACCREDITED 17025 WITH UNCERTAINTIES",$N$10,0)</f>
        <v>0</v>
      </c>
      <c r="O2329" s="1" t="str">
        <f>IFERROR(Table1[[#This Row],[Std Nom]]-(_xlfn.XLOOKUP(Table1[[#This Row],[Manufacturer]]&amp;" "&amp;Table1[[#This Row],[Model]],Table13[MFR &amp; MDL],Table13[Tolerance % CW ],"")/100*Table1[[#This Row],[Std Nom]]),"")</f>
        <v/>
      </c>
      <c r="P2329" s="1" t="str">
        <f>IFERROR(Table1[[#This Row],[Std Nom]]+(_xlfn.XLOOKUP(Table1[[#This Row],[Manufacturer]]&amp;" "&amp;Table1[[#This Row],[Model]],Table13[MFR &amp; MDL],Table13[Tolerance % CW ],"")/100*Table1[[#This Row],[Std Nom]]),"")</f>
        <v/>
      </c>
      <c r="Q2329" s="1" t="e">
        <f>Table1[[#This Row],[High Tol]]-Table1[[#This Row],[Low Tol]]</f>
        <v>#VALUE!</v>
      </c>
      <c r="R2329" s="1">
        <f>2*Table1[[#This Row],[Std Error]]</f>
        <v>0</v>
      </c>
      <c r="S2329" s="1" t="str">
        <f>IF(Table1[[#This Row],[High Tol]]="","N/A",IFERROR(ABS(Table1[[#This Row],[Tol Span]]/Table1[[#This Row],[Error Span]]),"N/A"))</f>
        <v>N/A</v>
      </c>
      <c r="T2329" s="1" t="str">
        <f>IF(OR(Table1[[#This Row],[Low Tol]]="",Table1[[#This Row],[High Tol]]=""),"Needs Analysis",IF(Table1[[#This Row],[Ratio]]&gt;=4,"Not Significant",IF(Table1[[#This Row],[Ratio]]&gt;=2,"Semi-Significant","Significant")))</f>
        <v>Needs Analysis</v>
      </c>
      <c r="W2329" s="1">
        <f>IF(Table1[[#This Row],[Cal Type]]&lt;&gt;"ACCREDITED 17025 WITH UNCERTAINTIES",0,"")</f>
        <v>0</v>
      </c>
      <c r="X2329" s="1" t="str">
        <f>IF(Table1[[#This Row],[DUT Read]]="","N/A",Table1[[#This Row],[Std Error]]+Table1[[#This Row],[DUT Read]]+Table1[[#This Row],[DUT Ucty]])</f>
        <v>N/A</v>
      </c>
      <c r="Y2329" s="1" t="str">
        <f>IF(Table1[[#This Row],[Std Read]]="","N/A",Table1[[#This Row],[Std Read]]+Table1[[#This Row],[Std Ucty]])</f>
        <v>N/A</v>
      </c>
      <c r="Z23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9" s="1" t="str">
        <f>IF(Table1[[#This Row],[Spec Type]]="","N/A",Table1[[#This Row],[Spec Type]])</f>
        <v>±</v>
      </c>
      <c r="AC2329" s="1" t="str">
        <f>IF(Table1[[#This Row],[Spec Type2]]="N/A","N/A",IF(AND(Table1[[#This Row],[DUT Adj Read]]&gt;=Table1[[#This Row],[Low Tol]],Table1[[#This Row],[DUT Adj Read]]&lt;=Table1[[#This Row],[High Tol]]),"Pass","Fail"))</f>
        <v>Fail</v>
      </c>
      <c r="AD2329" s="1" t="str">
        <f>IF(AND(Table1[[#This Row],[Spec Type2]]="N/A",Table1[[#This Row],[DUT Adj Read]]="N/A",Table1[[#This Row],[Std Adj Read]]="N/A"),"N/A",IF(Table1[[#This Row],[DUT Adj Read]]="N/A",IF(Table1[[#This Row],[Std Adj Read]]&gt;Table1[[#This Row],[Low Tol]],"Pass","Fail"),IF(Table1[[#This Row],[DUT Adj Read]]&gt;Table1[[#This Row],[Low Tol]],"Pass","Fail")))</f>
        <v>Pass</v>
      </c>
      <c r="AE2329" s="1" t="str">
        <f>IF(AND(Table1[[#This Row],[Spec Type2]]="N/A",Table1[[#This Row],[DUT Adj Read]]="N/A",Table1[[#This Row],[Std Adj Read]]="N/A"),"N/A",IF(Table1[[#This Row],[DUT Adj Read]]="N/A",IF(Table1[[#This Row],[Std Adj Read]]&lt;Table1[[#This Row],[High Tol]],"Pass","Fail"),IF(Table1[[#This Row],[DUT Adj Read]]&lt;Table1[[#This Row],[High Tol]],"Pass","Fail")))</f>
        <v>Fail</v>
      </c>
      <c r="AF2329" s="1" t="str">
        <f>IF(AND(Table1[[#This Row],[Spec Type2]]="N/A",Table1[[#This Row],[DUT Adj Read]]="N/A",Table1[[#This Row],[Std Adj Read]]="N/A"),"N/A",IF(Table1[[#This Row],[DUT Adj Read]]="N/A",IF(Table1[[#This Row],[Std Adj Read]]&gt;=Table1[[#This Row],[Low Tol]],"Pass","Fail"),IF(Table1[[#This Row],[DUT Adj Read]]&gt;=Table1[[#This Row],[Low Tol]],"Pass","Fail")))</f>
        <v>Pass</v>
      </c>
      <c r="AG2329" s="1" t="str">
        <f>IF(AND(Table1[[#This Row],[Spec Type2]]="N/A",Table1[[#This Row],[DUT Adj Read]]="N/A",Table1[[#This Row],[Std Adj Read]]="N/A"),"N/A",IF(Table1[[#This Row],[DUT Adj Read]]="N/A",IF(Table1[[#This Row],[Std Adj Read]]&lt;=Table1[[#This Row],[High Tol]],"Pass","Fail"),IF(Table1[[#This Row],[DUT Adj Read]]&lt;=Table1[[#This Row],[High Tol]],"Pass","Fail")))</f>
        <v>Fail</v>
      </c>
      <c r="AH23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9" s="1" t="b">
        <v>0</v>
      </c>
      <c r="AN2329" s="1" t="b">
        <v>0</v>
      </c>
      <c r="AO2329" s="1" t="b">
        <v>0</v>
      </c>
    </row>
    <row r="2330" spans="1:41" x14ac:dyDescent="0.25">
      <c r="A2330" s="10"/>
      <c r="B2330" s="10"/>
      <c r="C2330" s="10"/>
      <c r="D2330" s="10"/>
      <c r="E2330" s="10"/>
      <c r="F2330" s="10"/>
      <c r="G2330" s="10"/>
      <c r="H2330" s="10"/>
      <c r="I2330" s="1" t="str">
        <f t="shared" si="108"/>
        <v/>
      </c>
      <c r="J2330" s="1" t="s">
        <v>35</v>
      </c>
      <c r="K2330" s="1" t="str">
        <f t="shared" si="109"/>
        <v/>
      </c>
      <c r="L2330" s="1" t="str">
        <f t="shared" si="110"/>
        <v/>
      </c>
      <c r="M2330" s="1">
        <f>IF(OR(Table1[[#This Row],[Std Nom]]="",Table1[[#This Row],[Std Read]]=""),0,Table1[[#This Row],[Std Nom]]-Table1[[#This Row],[Std Read]])</f>
        <v>0</v>
      </c>
      <c r="N2330" s="1">
        <f>IF(Calculations!$F$5="ACCREDITED 17025 WITH UNCERTAINTIES",$N$10,0)</f>
        <v>0</v>
      </c>
      <c r="O2330" s="1" t="str">
        <f>IFERROR(Table1[[#This Row],[Std Nom]]-(_xlfn.XLOOKUP(Table1[[#This Row],[Manufacturer]]&amp;" "&amp;Table1[[#This Row],[Model]],Table13[MFR &amp; MDL],Table13[Tolerance % CW ],"")/100*Table1[[#This Row],[Std Nom]]),"")</f>
        <v/>
      </c>
      <c r="P2330" s="1" t="str">
        <f>IFERROR(Table1[[#This Row],[Std Nom]]+(_xlfn.XLOOKUP(Table1[[#This Row],[Manufacturer]]&amp;" "&amp;Table1[[#This Row],[Model]],Table13[MFR &amp; MDL],Table13[Tolerance % CW ],"")/100*Table1[[#This Row],[Std Nom]]),"")</f>
        <v/>
      </c>
      <c r="Q2330" s="1" t="e">
        <f>Table1[[#This Row],[High Tol]]-Table1[[#This Row],[Low Tol]]</f>
        <v>#VALUE!</v>
      </c>
      <c r="R2330" s="1">
        <f>2*Table1[[#This Row],[Std Error]]</f>
        <v>0</v>
      </c>
      <c r="S2330" s="1" t="str">
        <f>IF(Table1[[#This Row],[High Tol]]="","N/A",IFERROR(ABS(Table1[[#This Row],[Tol Span]]/Table1[[#This Row],[Error Span]]),"N/A"))</f>
        <v>N/A</v>
      </c>
      <c r="T2330" s="1" t="str">
        <f>IF(OR(Table1[[#This Row],[Low Tol]]="",Table1[[#This Row],[High Tol]]=""),"Needs Analysis",IF(Table1[[#This Row],[Ratio]]&gt;=4,"Not Significant",IF(Table1[[#This Row],[Ratio]]&gt;=2,"Semi-Significant","Significant")))</f>
        <v>Needs Analysis</v>
      </c>
      <c r="W2330" s="1">
        <f>IF(Table1[[#This Row],[Cal Type]]&lt;&gt;"ACCREDITED 17025 WITH UNCERTAINTIES",0,"")</f>
        <v>0</v>
      </c>
      <c r="X2330" s="1" t="str">
        <f>IF(Table1[[#This Row],[DUT Read]]="","N/A",Table1[[#This Row],[Std Error]]+Table1[[#This Row],[DUT Read]]+Table1[[#This Row],[DUT Ucty]])</f>
        <v>N/A</v>
      </c>
      <c r="Y2330" s="1" t="str">
        <f>IF(Table1[[#This Row],[Std Read]]="","N/A",Table1[[#This Row],[Std Read]]+Table1[[#This Row],[Std Ucty]])</f>
        <v>N/A</v>
      </c>
      <c r="Z23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0" s="1" t="str">
        <f>IF(Table1[[#This Row],[Spec Type]]="","N/A",Table1[[#This Row],[Spec Type]])</f>
        <v>±</v>
      </c>
      <c r="AC2330" s="1" t="str">
        <f>IF(Table1[[#This Row],[Spec Type2]]="N/A","N/A",IF(AND(Table1[[#This Row],[DUT Adj Read]]&gt;=Table1[[#This Row],[Low Tol]],Table1[[#This Row],[DUT Adj Read]]&lt;=Table1[[#This Row],[High Tol]]),"Pass","Fail"))</f>
        <v>Fail</v>
      </c>
      <c r="AD2330" s="1" t="str">
        <f>IF(AND(Table1[[#This Row],[Spec Type2]]="N/A",Table1[[#This Row],[DUT Adj Read]]="N/A",Table1[[#This Row],[Std Adj Read]]="N/A"),"N/A",IF(Table1[[#This Row],[DUT Adj Read]]="N/A",IF(Table1[[#This Row],[Std Adj Read]]&gt;Table1[[#This Row],[Low Tol]],"Pass","Fail"),IF(Table1[[#This Row],[DUT Adj Read]]&gt;Table1[[#This Row],[Low Tol]],"Pass","Fail")))</f>
        <v>Pass</v>
      </c>
      <c r="AE2330" s="1" t="str">
        <f>IF(AND(Table1[[#This Row],[Spec Type2]]="N/A",Table1[[#This Row],[DUT Adj Read]]="N/A",Table1[[#This Row],[Std Adj Read]]="N/A"),"N/A",IF(Table1[[#This Row],[DUT Adj Read]]="N/A",IF(Table1[[#This Row],[Std Adj Read]]&lt;Table1[[#This Row],[High Tol]],"Pass","Fail"),IF(Table1[[#This Row],[DUT Adj Read]]&lt;Table1[[#This Row],[High Tol]],"Pass","Fail")))</f>
        <v>Fail</v>
      </c>
      <c r="AF2330" s="1" t="str">
        <f>IF(AND(Table1[[#This Row],[Spec Type2]]="N/A",Table1[[#This Row],[DUT Adj Read]]="N/A",Table1[[#This Row],[Std Adj Read]]="N/A"),"N/A",IF(Table1[[#This Row],[DUT Adj Read]]="N/A",IF(Table1[[#This Row],[Std Adj Read]]&gt;=Table1[[#This Row],[Low Tol]],"Pass","Fail"),IF(Table1[[#This Row],[DUT Adj Read]]&gt;=Table1[[#This Row],[Low Tol]],"Pass","Fail")))</f>
        <v>Pass</v>
      </c>
      <c r="AG2330" s="1" t="str">
        <f>IF(AND(Table1[[#This Row],[Spec Type2]]="N/A",Table1[[#This Row],[DUT Adj Read]]="N/A",Table1[[#This Row],[Std Adj Read]]="N/A"),"N/A",IF(Table1[[#This Row],[DUT Adj Read]]="N/A",IF(Table1[[#This Row],[Std Adj Read]]&lt;=Table1[[#This Row],[High Tol]],"Pass","Fail"),IF(Table1[[#This Row],[DUT Adj Read]]&lt;=Table1[[#This Row],[High Tol]],"Pass","Fail")))</f>
        <v>Fail</v>
      </c>
      <c r="AH23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0" s="1" t="b">
        <v>0</v>
      </c>
      <c r="AN2330" s="1" t="b">
        <v>0</v>
      </c>
      <c r="AO2330" s="1" t="b">
        <v>0</v>
      </c>
    </row>
    <row r="2331" spans="1:41" x14ac:dyDescent="0.25">
      <c r="A2331" s="10"/>
      <c r="B2331" s="10"/>
      <c r="C2331" s="10"/>
      <c r="D2331" s="10"/>
      <c r="E2331" s="10"/>
      <c r="F2331" s="10"/>
      <c r="G2331" s="10"/>
      <c r="H2331" s="10"/>
      <c r="I2331" s="1" t="str">
        <f t="shared" si="108"/>
        <v/>
      </c>
      <c r="J2331" s="1" t="s">
        <v>35</v>
      </c>
      <c r="K2331" s="1" t="str">
        <f t="shared" si="109"/>
        <v/>
      </c>
      <c r="L2331" s="1" t="str">
        <f t="shared" si="110"/>
        <v/>
      </c>
      <c r="M2331" s="1">
        <f>IF(OR(Table1[[#This Row],[Std Nom]]="",Table1[[#This Row],[Std Read]]=""),0,Table1[[#This Row],[Std Nom]]-Table1[[#This Row],[Std Read]])</f>
        <v>0</v>
      </c>
      <c r="N2331" s="1">
        <f>IF(Calculations!$F$5="ACCREDITED 17025 WITH UNCERTAINTIES",$N$10,0)</f>
        <v>0</v>
      </c>
      <c r="O2331" s="1" t="str">
        <f>IFERROR(Table1[[#This Row],[Std Nom]]-(_xlfn.XLOOKUP(Table1[[#This Row],[Manufacturer]]&amp;" "&amp;Table1[[#This Row],[Model]],Table13[MFR &amp; MDL],Table13[Tolerance % CW ],"")/100*Table1[[#This Row],[Std Nom]]),"")</f>
        <v/>
      </c>
      <c r="P2331" s="1" t="str">
        <f>IFERROR(Table1[[#This Row],[Std Nom]]+(_xlfn.XLOOKUP(Table1[[#This Row],[Manufacturer]]&amp;" "&amp;Table1[[#This Row],[Model]],Table13[MFR &amp; MDL],Table13[Tolerance % CW ],"")/100*Table1[[#This Row],[Std Nom]]),"")</f>
        <v/>
      </c>
      <c r="Q2331" s="1" t="e">
        <f>Table1[[#This Row],[High Tol]]-Table1[[#This Row],[Low Tol]]</f>
        <v>#VALUE!</v>
      </c>
      <c r="R2331" s="1">
        <f>2*Table1[[#This Row],[Std Error]]</f>
        <v>0</v>
      </c>
      <c r="S2331" s="1" t="str">
        <f>IF(Table1[[#This Row],[High Tol]]="","N/A",IFERROR(ABS(Table1[[#This Row],[Tol Span]]/Table1[[#This Row],[Error Span]]),"N/A"))</f>
        <v>N/A</v>
      </c>
      <c r="T2331" s="1" t="str">
        <f>IF(OR(Table1[[#This Row],[Low Tol]]="",Table1[[#This Row],[High Tol]]=""),"Needs Analysis",IF(Table1[[#This Row],[Ratio]]&gt;=4,"Not Significant",IF(Table1[[#This Row],[Ratio]]&gt;=2,"Semi-Significant","Significant")))</f>
        <v>Needs Analysis</v>
      </c>
      <c r="W2331" s="1">
        <f>IF(Table1[[#This Row],[Cal Type]]&lt;&gt;"ACCREDITED 17025 WITH UNCERTAINTIES",0,"")</f>
        <v>0</v>
      </c>
      <c r="X2331" s="1" t="str">
        <f>IF(Table1[[#This Row],[DUT Read]]="","N/A",Table1[[#This Row],[Std Error]]+Table1[[#This Row],[DUT Read]]+Table1[[#This Row],[DUT Ucty]])</f>
        <v>N/A</v>
      </c>
      <c r="Y2331" s="1" t="str">
        <f>IF(Table1[[#This Row],[Std Read]]="","N/A",Table1[[#This Row],[Std Read]]+Table1[[#This Row],[Std Ucty]])</f>
        <v>N/A</v>
      </c>
      <c r="Z23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1" s="1" t="str">
        <f>IF(Table1[[#This Row],[Spec Type]]="","N/A",Table1[[#This Row],[Spec Type]])</f>
        <v>±</v>
      </c>
      <c r="AC2331" s="1" t="str">
        <f>IF(Table1[[#This Row],[Spec Type2]]="N/A","N/A",IF(AND(Table1[[#This Row],[DUT Adj Read]]&gt;=Table1[[#This Row],[Low Tol]],Table1[[#This Row],[DUT Adj Read]]&lt;=Table1[[#This Row],[High Tol]]),"Pass","Fail"))</f>
        <v>Fail</v>
      </c>
      <c r="AD2331" s="1" t="str">
        <f>IF(AND(Table1[[#This Row],[Spec Type2]]="N/A",Table1[[#This Row],[DUT Adj Read]]="N/A",Table1[[#This Row],[Std Adj Read]]="N/A"),"N/A",IF(Table1[[#This Row],[DUT Adj Read]]="N/A",IF(Table1[[#This Row],[Std Adj Read]]&gt;Table1[[#This Row],[Low Tol]],"Pass","Fail"),IF(Table1[[#This Row],[DUT Adj Read]]&gt;Table1[[#This Row],[Low Tol]],"Pass","Fail")))</f>
        <v>Pass</v>
      </c>
      <c r="AE2331" s="1" t="str">
        <f>IF(AND(Table1[[#This Row],[Spec Type2]]="N/A",Table1[[#This Row],[DUT Adj Read]]="N/A",Table1[[#This Row],[Std Adj Read]]="N/A"),"N/A",IF(Table1[[#This Row],[DUT Adj Read]]="N/A",IF(Table1[[#This Row],[Std Adj Read]]&lt;Table1[[#This Row],[High Tol]],"Pass","Fail"),IF(Table1[[#This Row],[DUT Adj Read]]&lt;Table1[[#This Row],[High Tol]],"Pass","Fail")))</f>
        <v>Fail</v>
      </c>
      <c r="AF2331" s="1" t="str">
        <f>IF(AND(Table1[[#This Row],[Spec Type2]]="N/A",Table1[[#This Row],[DUT Adj Read]]="N/A",Table1[[#This Row],[Std Adj Read]]="N/A"),"N/A",IF(Table1[[#This Row],[DUT Adj Read]]="N/A",IF(Table1[[#This Row],[Std Adj Read]]&gt;=Table1[[#This Row],[Low Tol]],"Pass","Fail"),IF(Table1[[#This Row],[DUT Adj Read]]&gt;=Table1[[#This Row],[Low Tol]],"Pass","Fail")))</f>
        <v>Pass</v>
      </c>
      <c r="AG2331" s="1" t="str">
        <f>IF(AND(Table1[[#This Row],[Spec Type2]]="N/A",Table1[[#This Row],[DUT Adj Read]]="N/A",Table1[[#This Row],[Std Adj Read]]="N/A"),"N/A",IF(Table1[[#This Row],[DUT Adj Read]]="N/A",IF(Table1[[#This Row],[Std Adj Read]]&lt;=Table1[[#This Row],[High Tol]],"Pass","Fail"),IF(Table1[[#This Row],[DUT Adj Read]]&lt;=Table1[[#This Row],[High Tol]],"Pass","Fail")))</f>
        <v>Fail</v>
      </c>
      <c r="AH23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1" s="1" t="b">
        <v>0</v>
      </c>
      <c r="AN2331" s="1" t="b">
        <v>0</v>
      </c>
      <c r="AO2331" s="1" t="b">
        <v>0</v>
      </c>
    </row>
    <row r="2332" spans="1:41" x14ac:dyDescent="0.25">
      <c r="A2332" s="10"/>
      <c r="B2332" s="10"/>
      <c r="C2332" s="10"/>
      <c r="D2332" s="10"/>
      <c r="E2332" s="10"/>
      <c r="F2332" s="10"/>
      <c r="G2332" s="10"/>
      <c r="H2332" s="10"/>
      <c r="I2332" s="1" t="str">
        <f t="shared" si="108"/>
        <v/>
      </c>
      <c r="J2332" s="1" t="s">
        <v>35</v>
      </c>
      <c r="K2332" s="1" t="str">
        <f t="shared" si="109"/>
        <v/>
      </c>
      <c r="L2332" s="1" t="str">
        <f t="shared" si="110"/>
        <v/>
      </c>
      <c r="M2332" s="1">
        <f>IF(OR(Table1[[#This Row],[Std Nom]]="",Table1[[#This Row],[Std Read]]=""),0,Table1[[#This Row],[Std Nom]]-Table1[[#This Row],[Std Read]])</f>
        <v>0</v>
      </c>
      <c r="N2332" s="1">
        <f>IF(Calculations!$F$5="ACCREDITED 17025 WITH UNCERTAINTIES",$N$10,0)</f>
        <v>0</v>
      </c>
      <c r="O2332" s="1" t="str">
        <f>IFERROR(Table1[[#This Row],[Std Nom]]-(_xlfn.XLOOKUP(Table1[[#This Row],[Manufacturer]]&amp;" "&amp;Table1[[#This Row],[Model]],Table13[MFR &amp; MDL],Table13[Tolerance % CW ],"")/100*Table1[[#This Row],[Std Nom]]),"")</f>
        <v/>
      </c>
      <c r="P2332" s="1" t="str">
        <f>IFERROR(Table1[[#This Row],[Std Nom]]+(_xlfn.XLOOKUP(Table1[[#This Row],[Manufacturer]]&amp;" "&amp;Table1[[#This Row],[Model]],Table13[MFR &amp; MDL],Table13[Tolerance % CW ],"")/100*Table1[[#This Row],[Std Nom]]),"")</f>
        <v/>
      </c>
      <c r="Q2332" s="1" t="e">
        <f>Table1[[#This Row],[High Tol]]-Table1[[#This Row],[Low Tol]]</f>
        <v>#VALUE!</v>
      </c>
      <c r="R2332" s="1">
        <f>2*Table1[[#This Row],[Std Error]]</f>
        <v>0</v>
      </c>
      <c r="S2332" s="1" t="str">
        <f>IF(Table1[[#This Row],[High Tol]]="","N/A",IFERROR(ABS(Table1[[#This Row],[Tol Span]]/Table1[[#This Row],[Error Span]]),"N/A"))</f>
        <v>N/A</v>
      </c>
      <c r="T2332" s="1" t="str">
        <f>IF(OR(Table1[[#This Row],[Low Tol]]="",Table1[[#This Row],[High Tol]]=""),"Needs Analysis",IF(Table1[[#This Row],[Ratio]]&gt;=4,"Not Significant",IF(Table1[[#This Row],[Ratio]]&gt;=2,"Semi-Significant","Significant")))</f>
        <v>Needs Analysis</v>
      </c>
      <c r="W2332" s="1">
        <f>IF(Table1[[#This Row],[Cal Type]]&lt;&gt;"ACCREDITED 17025 WITH UNCERTAINTIES",0,"")</f>
        <v>0</v>
      </c>
      <c r="X2332" s="1" t="str">
        <f>IF(Table1[[#This Row],[DUT Read]]="","N/A",Table1[[#This Row],[Std Error]]+Table1[[#This Row],[DUT Read]]+Table1[[#This Row],[DUT Ucty]])</f>
        <v>N/A</v>
      </c>
      <c r="Y2332" s="1" t="str">
        <f>IF(Table1[[#This Row],[Std Read]]="","N/A",Table1[[#This Row],[Std Read]]+Table1[[#This Row],[Std Ucty]])</f>
        <v>N/A</v>
      </c>
      <c r="Z23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2" s="1" t="str">
        <f>IF(Table1[[#This Row],[Spec Type]]="","N/A",Table1[[#This Row],[Spec Type]])</f>
        <v>±</v>
      </c>
      <c r="AC2332" s="1" t="str">
        <f>IF(Table1[[#This Row],[Spec Type2]]="N/A","N/A",IF(AND(Table1[[#This Row],[DUT Adj Read]]&gt;=Table1[[#This Row],[Low Tol]],Table1[[#This Row],[DUT Adj Read]]&lt;=Table1[[#This Row],[High Tol]]),"Pass","Fail"))</f>
        <v>Fail</v>
      </c>
      <c r="AD2332" s="1" t="str">
        <f>IF(AND(Table1[[#This Row],[Spec Type2]]="N/A",Table1[[#This Row],[DUT Adj Read]]="N/A",Table1[[#This Row],[Std Adj Read]]="N/A"),"N/A",IF(Table1[[#This Row],[DUT Adj Read]]="N/A",IF(Table1[[#This Row],[Std Adj Read]]&gt;Table1[[#This Row],[Low Tol]],"Pass","Fail"),IF(Table1[[#This Row],[DUT Adj Read]]&gt;Table1[[#This Row],[Low Tol]],"Pass","Fail")))</f>
        <v>Pass</v>
      </c>
      <c r="AE2332" s="1" t="str">
        <f>IF(AND(Table1[[#This Row],[Spec Type2]]="N/A",Table1[[#This Row],[DUT Adj Read]]="N/A",Table1[[#This Row],[Std Adj Read]]="N/A"),"N/A",IF(Table1[[#This Row],[DUT Adj Read]]="N/A",IF(Table1[[#This Row],[Std Adj Read]]&lt;Table1[[#This Row],[High Tol]],"Pass","Fail"),IF(Table1[[#This Row],[DUT Adj Read]]&lt;Table1[[#This Row],[High Tol]],"Pass","Fail")))</f>
        <v>Fail</v>
      </c>
      <c r="AF2332" s="1" t="str">
        <f>IF(AND(Table1[[#This Row],[Spec Type2]]="N/A",Table1[[#This Row],[DUT Adj Read]]="N/A",Table1[[#This Row],[Std Adj Read]]="N/A"),"N/A",IF(Table1[[#This Row],[DUT Adj Read]]="N/A",IF(Table1[[#This Row],[Std Adj Read]]&gt;=Table1[[#This Row],[Low Tol]],"Pass","Fail"),IF(Table1[[#This Row],[DUT Adj Read]]&gt;=Table1[[#This Row],[Low Tol]],"Pass","Fail")))</f>
        <v>Pass</v>
      </c>
      <c r="AG2332" s="1" t="str">
        <f>IF(AND(Table1[[#This Row],[Spec Type2]]="N/A",Table1[[#This Row],[DUT Adj Read]]="N/A",Table1[[#This Row],[Std Adj Read]]="N/A"),"N/A",IF(Table1[[#This Row],[DUT Adj Read]]="N/A",IF(Table1[[#This Row],[Std Adj Read]]&lt;=Table1[[#This Row],[High Tol]],"Pass","Fail"),IF(Table1[[#This Row],[DUT Adj Read]]&lt;=Table1[[#This Row],[High Tol]],"Pass","Fail")))</f>
        <v>Fail</v>
      </c>
      <c r="AH23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2" s="1" t="b">
        <v>0</v>
      </c>
      <c r="AN2332" s="1" t="b">
        <v>0</v>
      </c>
      <c r="AO2332" s="1" t="b">
        <v>0</v>
      </c>
    </row>
    <row r="2333" spans="1:41" x14ac:dyDescent="0.25">
      <c r="A2333" s="10"/>
      <c r="B2333" s="10"/>
      <c r="C2333" s="10"/>
      <c r="D2333" s="10"/>
      <c r="E2333" s="10"/>
      <c r="F2333" s="10"/>
      <c r="G2333" s="10"/>
      <c r="H2333" s="10"/>
      <c r="I2333" s="1" t="str">
        <f t="shared" si="108"/>
        <v/>
      </c>
      <c r="J2333" s="1" t="s">
        <v>35</v>
      </c>
      <c r="K2333" s="1" t="str">
        <f t="shared" si="109"/>
        <v/>
      </c>
      <c r="L2333" s="1" t="str">
        <f t="shared" si="110"/>
        <v/>
      </c>
      <c r="M2333" s="1">
        <f>IF(OR(Table1[[#This Row],[Std Nom]]="",Table1[[#This Row],[Std Read]]=""),0,Table1[[#This Row],[Std Nom]]-Table1[[#This Row],[Std Read]])</f>
        <v>0</v>
      </c>
      <c r="N2333" s="1">
        <f>IF(Calculations!$F$5="ACCREDITED 17025 WITH UNCERTAINTIES",$N$10,0)</f>
        <v>0</v>
      </c>
      <c r="O2333" s="1" t="str">
        <f>IFERROR(Table1[[#This Row],[Std Nom]]-(_xlfn.XLOOKUP(Table1[[#This Row],[Manufacturer]]&amp;" "&amp;Table1[[#This Row],[Model]],Table13[MFR &amp; MDL],Table13[Tolerance % CW ],"")/100*Table1[[#This Row],[Std Nom]]),"")</f>
        <v/>
      </c>
      <c r="P2333" s="1" t="str">
        <f>IFERROR(Table1[[#This Row],[Std Nom]]+(_xlfn.XLOOKUP(Table1[[#This Row],[Manufacturer]]&amp;" "&amp;Table1[[#This Row],[Model]],Table13[MFR &amp; MDL],Table13[Tolerance % CW ],"")/100*Table1[[#This Row],[Std Nom]]),"")</f>
        <v/>
      </c>
      <c r="Q2333" s="1" t="e">
        <f>Table1[[#This Row],[High Tol]]-Table1[[#This Row],[Low Tol]]</f>
        <v>#VALUE!</v>
      </c>
      <c r="R2333" s="1">
        <f>2*Table1[[#This Row],[Std Error]]</f>
        <v>0</v>
      </c>
      <c r="S2333" s="1" t="str">
        <f>IF(Table1[[#This Row],[High Tol]]="","N/A",IFERROR(ABS(Table1[[#This Row],[Tol Span]]/Table1[[#This Row],[Error Span]]),"N/A"))</f>
        <v>N/A</v>
      </c>
      <c r="T2333" s="1" t="str">
        <f>IF(OR(Table1[[#This Row],[Low Tol]]="",Table1[[#This Row],[High Tol]]=""),"Needs Analysis",IF(Table1[[#This Row],[Ratio]]&gt;=4,"Not Significant",IF(Table1[[#This Row],[Ratio]]&gt;=2,"Semi-Significant","Significant")))</f>
        <v>Needs Analysis</v>
      </c>
      <c r="W2333" s="1">
        <f>IF(Table1[[#This Row],[Cal Type]]&lt;&gt;"ACCREDITED 17025 WITH UNCERTAINTIES",0,"")</f>
        <v>0</v>
      </c>
      <c r="X2333" s="1" t="str">
        <f>IF(Table1[[#This Row],[DUT Read]]="","N/A",Table1[[#This Row],[Std Error]]+Table1[[#This Row],[DUT Read]]+Table1[[#This Row],[DUT Ucty]])</f>
        <v>N/A</v>
      </c>
      <c r="Y2333" s="1" t="str">
        <f>IF(Table1[[#This Row],[Std Read]]="","N/A",Table1[[#This Row],[Std Read]]+Table1[[#This Row],[Std Ucty]])</f>
        <v>N/A</v>
      </c>
      <c r="Z23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3" s="1" t="str">
        <f>IF(Table1[[#This Row],[Spec Type]]="","N/A",Table1[[#This Row],[Spec Type]])</f>
        <v>±</v>
      </c>
      <c r="AC2333" s="1" t="str">
        <f>IF(Table1[[#This Row],[Spec Type2]]="N/A","N/A",IF(AND(Table1[[#This Row],[DUT Adj Read]]&gt;=Table1[[#This Row],[Low Tol]],Table1[[#This Row],[DUT Adj Read]]&lt;=Table1[[#This Row],[High Tol]]),"Pass","Fail"))</f>
        <v>Fail</v>
      </c>
      <c r="AD2333" s="1" t="str">
        <f>IF(AND(Table1[[#This Row],[Spec Type2]]="N/A",Table1[[#This Row],[DUT Adj Read]]="N/A",Table1[[#This Row],[Std Adj Read]]="N/A"),"N/A",IF(Table1[[#This Row],[DUT Adj Read]]="N/A",IF(Table1[[#This Row],[Std Adj Read]]&gt;Table1[[#This Row],[Low Tol]],"Pass","Fail"),IF(Table1[[#This Row],[DUT Adj Read]]&gt;Table1[[#This Row],[Low Tol]],"Pass","Fail")))</f>
        <v>Pass</v>
      </c>
      <c r="AE2333" s="1" t="str">
        <f>IF(AND(Table1[[#This Row],[Spec Type2]]="N/A",Table1[[#This Row],[DUT Adj Read]]="N/A",Table1[[#This Row],[Std Adj Read]]="N/A"),"N/A",IF(Table1[[#This Row],[DUT Adj Read]]="N/A",IF(Table1[[#This Row],[Std Adj Read]]&lt;Table1[[#This Row],[High Tol]],"Pass","Fail"),IF(Table1[[#This Row],[DUT Adj Read]]&lt;Table1[[#This Row],[High Tol]],"Pass","Fail")))</f>
        <v>Fail</v>
      </c>
      <c r="AF2333" s="1" t="str">
        <f>IF(AND(Table1[[#This Row],[Spec Type2]]="N/A",Table1[[#This Row],[DUT Adj Read]]="N/A",Table1[[#This Row],[Std Adj Read]]="N/A"),"N/A",IF(Table1[[#This Row],[DUT Adj Read]]="N/A",IF(Table1[[#This Row],[Std Adj Read]]&gt;=Table1[[#This Row],[Low Tol]],"Pass","Fail"),IF(Table1[[#This Row],[DUT Adj Read]]&gt;=Table1[[#This Row],[Low Tol]],"Pass","Fail")))</f>
        <v>Pass</v>
      </c>
      <c r="AG2333" s="1" t="str">
        <f>IF(AND(Table1[[#This Row],[Spec Type2]]="N/A",Table1[[#This Row],[DUT Adj Read]]="N/A",Table1[[#This Row],[Std Adj Read]]="N/A"),"N/A",IF(Table1[[#This Row],[DUT Adj Read]]="N/A",IF(Table1[[#This Row],[Std Adj Read]]&lt;=Table1[[#This Row],[High Tol]],"Pass","Fail"),IF(Table1[[#This Row],[DUT Adj Read]]&lt;=Table1[[#This Row],[High Tol]],"Pass","Fail")))</f>
        <v>Fail</v>
      </c>
      <c r="AH23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3" s="1" t="b">
        <v>0</v>
      </c>
      <c r="AN2333" s="1" t="b">
        <v>0</v>
      </c>
      <c r="AO2333" s="1" t="b">
        <v>0</v>
      </c>
    </row>
    <row r="2334" spans="1:41" x14ac:dyDescent="0.25">
      <c r="A2334" s="10"/>
      <c r="B2334" s="10"/>
      <c r="C2334" s="10"/>
      <c r="D2334" s="10"/>
      <c r="E2334" s="10"/>
      <c r="F2334" s="10"/>
      <c r="G2334" s="10"/>
      <c r="H2334" s="10"/>
      <c r="I2334" s="1" t="str">
        <f t="shared" si="108"/>
        <v/>
      </c>
      <c r="J2334" s="1" t="s">
        <v>35</v>
      </c>
      <c r="K2334" s="1" t="str">
        <f t="shared" si="109"/>
        <v/>
      </c>
      <c r="L2334" s="1" t="str">
        <f t="shared" si="110"/>
        <v/>
      </c>
      <c r="M2334" s="1">
        <f>IF(OR(Table1[[#This Row],[Std Nom]]="",Table1[[#This Row],[Std Read]]=""),0,Table1[[#This Row],[Std Nom]]-Table1[[#This Row],[Std Read]])</f>
        <v>0</v>
      </c>
      <c r="N2334" s="1">
        <f>IF(Calculations!$F$5="ACCREDITED 17025 WITH UNCERTAINTIES",$N$10,0)</f>
        <v>0</v>
      </c>
      <c r="O2334" s="1" t="str">
        <f>IFERROR(Table1[[#This Row],[Std Nom]]-(_xlfn.XLOOKUP(Table1[[#This Row],[Manufacturer]]&amp;" "&amp;Table1[[#This Row],[Model]],Table13[MFR &amp; MDL],Table13[Tolerance % CW ],"")/100*Table1[[#This Row],[Std Nom]]),"")</f>
        <v/>
      </c>
      <c r="P2334" s="1" t="str">
        <f>IFERROR(Table1[[#This Row],[Std Nom]]+(_xlfn.XLOOKUP(Table1[[#This Row],[Manufacturer]]&amp;" "&amp;Table1[[#This Row],[Model]],Table13[MFR &amp; MDL],Table13[Tolerance % CW ],"")/100*Table1[[#This Row],[Std Nom]]),"")</f>
        <v/>
      </c>
      <c r="Q2334" s="1" t="e">
        <f>Table1[[#This Row],[High Tol]]-Table1[[#This Row],[Low Tol]]</f>
        <v>#VALUE!</v>
      </c>
      <c r="R2334" s="1">
        <f>2*Table1[[#This Row],[Std Error]]</f>
        <v>0</v>
      </c>
      <c r="S2334" s="1" t="str">
        <f>IF(Table1[[#This Row],[High Tol]]="","N/A",IFERROR(ABS(Table1[[#This Row],[Tol Span]]/Table1[[#This Row],[Error Span]]),"N/A"))</f>
        <v>N/A</v>
      </c>
      <c r="T2334" s="1" t="str">
        <f>IF(OR(Table1[[#This Row],[Low Tol]]="",Table1[[#This Row],[High Tol]]=""),"Needs Analysis",IF(Table1[[#This Row],[Ratio]]&gt;=4,"Not Significant",IF(Table1[[#This Row],[Ratio]]&gt;=2,"Semi-Significant","Significant")))</f>
        <v>Needs Analysis</v>
      </c>
      <c r="W2334" s="1">
        <f>IF(Table1[[#This Row],[Cal Type]]&lt;&gt;"ACCREDITED 17025 WITH UNCERTAINTIES",0,"")</f>
        <v>0</v>
      </c>
      <c r="X2334" s="1" t="str">
        <f>IF(Table1[[#This Row],[DUT Read]]="","N/A",Table1[[#This Row],[Std Error]]+Table1[[#This Row],[DUT Read]]+Table1[[#This Row],[DUT Ucty]])</f>
        <v>N/A</v>
      </c>
      <c r="Y2334" s="1" t="str">
        <f>IF(Table1[[#This Row],[Std Read]]="","N/A",Table1[[#This Row],[Std Read]]+Table1[[#This Row],[Std Ucty]])</f>
        <v>N/A</v>
      </c>
      <c r="Z23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4" s="1" t="str">
        <f>IF(Table1[[#This Row],[Spec Type]]="","N/A",Table1[[#This Row],[Spec Type]])</f>
        <v>±</v>
      </c>
      <c r="AC2334" s="1" t="str">
        <f>IF(Table1[[#This Row],[Spec Type2]]="N/A","N/A",IF(AND(Table1[[#This Row],[DUT Adj Read]]&gt;=Table1[[#This Row],[Low Tol]],Table1[[#This Row],[DUT Adj Read]]&lt;=Table1[[#This Row],[High Tol]]),"Pass","Fail"))</f>
        <v>Fail</v>
      </c>
      <c r="AD2334" s="1" t="str">
        <f>IF(AND(Table1[[#This Row],[Spec Type2]]="N/A",Table1[[#This Row],[DUT Adj Read]]="N/A",Table1[[#This Row],[Std Adj Read]]="N/A"),"N/A",IF(Table1[[#This Row],[DUT Adj Read]]="N/A",IF(Table1[[#This Row],[Std Adj Read]]&gt;Table1[[#This Row],[Low Tol]],"Pass","Fail"),IF(Table1[[#This Row],[DUT Adj Read]]&gt;Table1[[#This Row],[Low Tol]],"Pass","Fail")))</f>
        <v>Pass</v>
      </c>
      <c r="AE2334" s="1" t="str">
        <f>IF(AND(Table1[[#This Row],[Spec Type2]]="N/A",Table1[[#This Row],[DUT Adj Read]]="N/A",Table1[[#This Row],[Std Adj Read]]="N/A"),"N/A",IF(Table1[[#This Row],[DUT Adj Read]]="N/A",IF(Table1[[#This Row],[Std Adj Read]]&lt;Table1[[#This Row],[High Tol]],"Pass","Fail"),IF(Table1[[#This Row],[DUT Adj Read]]&lt;Table1[[#This Row],[High Tol]],"Pass","Fail")))</f>
        <v>Fail</v>
      </c>
      <c r="AF2334" s="1" t="str">
        <f>IF(AND(Table1[[#This Row],[Spec Type2]]="N/A",Table1[[#This Row],[DUT Adj Read]]="N/A",Table1[[#This Row],[Std Adj Read]]="N/A"),"N/A",IF(Table1[[#This Row],[DUT Adj Read]]="N/A",IF(Table1[[#This Row],[Std Adj Read]]&gt;=Table1[[#This Row],[Low Tol]],"Pass","Fail"),IF(Table1[[#This Row],[DUT Adj Read]]&gt;=Table1[[#This Row],[Low Tol]],"Pass","Fail")))</f>
        <v>Pass</v>
      </c>
      <c r="AG2334" s="1" t="str">
        <f>IF(AND(Table1[[#This Row],[Spec Type2]]="N/A",Table1[[#This Row],[DUT Adj Read]]="N/A",Table1[[#This Row],[Std Adj Read]]="N/A"),"N/A",IF(Table1[[#This Row],[DUT Adj Read]]="N/A",IF(Table1[[#This Row],[Std Adj Read]]&lt;=Table1[[#This Row],[High Tol]],"Pass","Fail"),IF(Table1[[#This Row],[DUT Adj Read]]&lt;=Table1[[#This Row],[High Tol]],"Pass","Fail")))</f>
        <v>Fail</v>
      </c>
      <c r="AH23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4" s="1" t="b">
        <v>0</v>
      </c>
      <c r="AN2334" s="1" t="b">
        <v>0</v>
      </c>
      <c r="AO2334" s="1" t="b">
        <v>0</v>
      </c>
    </row>
    <row r="2335" spans="1:41" x14ac:dyDescent="0.25">
      <c r="A2335" s="10"/>
      <c r="B2335" s="10"/>
      <c r="C2335" s="10"/>
      <c r="D2335" s="10"/>
      <c r="E2335" s="10"/>
      <c r="F2335" s="10"/>
      <c r="G2335" s="10"/>
      <c r="H2335" s="10"/>
      <c r="I2335" s="1" t="str">
        <f t="shared" si="108"/>
        <v/>
      </c>
      <c r="J2335" s="1" t="s">
        <v>35</v>
      </c>
      <c r="K2335" s="1" t="str">
        <f t="shared" si="109"/>
        <v/>
      </c>
      <c r="L2335" s="1" t="str">
        <f t="shared" si="110"/>
        <v/>
      </c>
      <c r="M2335" s="1">
        <f>IF(OR(Table1[[#This Row],[Std Nom]]="",Table1[[#This Row],[Std Read]]=""),0,Table1[[#This Row],[Std Nom]]-Table1[[#This Row],[Std Read]])</f>
        <v>0</v>
      </c>
      <c r="N2335" s="1">
        <f>IF(Calculations!$F$5="ACCREDITED 17025 WITH UNCERTAINTIES",$N$10,0)</f>
        <v>0</v>
      </c>
      <c r="O2335" s="1" t="str">
        <f>IFERROR(Table1[[#This Row],[Std Nom]]-(_xlfn.XLOOKUP(Table1[[#This Row],[Manufacturer]]&amp;" "&amp;Table1[[#This Row],[Model]],Table13[MFR &amp; MDL],Table13[Tolerance % CW ],"")/100*Table1[[#This Row],[Std Nom]]),"")</f>
        <v/>
      </c>
      <c r="P2335" s="1" t="str">
        <f>IFERROR(Table1[[#This Row],[Std Nom]]+(_xlfn.XLOOKUP(Table1[[#This Row],[Manufacturer]]&amp;" "&amp;Table1[[#This Row],[Model]],Table13[MFR &amp; MDL],Table13[Tolerance % CW ],"")/100*Table1[[#This Row],[Std Nom]]),"")</f>
        <v/>
      </c>
      <c r="Q2335" s="1" t="e">
        <f>Table1[[#This Row],[High Tol]]-Table1[[#This Row],[Low Tol]]</f>
        <v>#VALUE!</v>
      </c>
      <c r="R2335" s="1">
        <f>2*Table1[[#This Row],[Std Error]]</f>
        <v>0</v>
      </c>
      <c r="S2335" s="1" t="str">
        <f>IF(Table1[[#This Row],[High Tol]]="","N/A",IFERROR(ABS(Table1[[#This Row],[Tol Span]]/Table1[[#This Row],[Error Span]]),"N/A"))</f>
        <v>N/A</v>
      </c>
      <c r="T2335" s="1" t="str">
        <f>IF(OR(Table1[[#This Row],[Low Tol]]="",Table1[[#This Row],[High Tol]]=""),"Needs Analysis",IF(Table1[[#This Row],[Ratio]]&gt;=4,"Not Significant",IF(Table1[[#This Row],[Ratio]]&gt;=2,"Semi-Significant","Significant")))</f>
        <v>Needs Analysis</v>
      </c>
      <c r="W2335" s="1">
        <f>IF(Table1[[#This Row],[Cal Type]]&lt;&gt;"ACCREDITED 17025 WITH UNCERTAINTIES",0,"")</f>
        <v>0</v>
      </c>
      <c r="X2335" s="1" t="str">
        <f>IF(Table1[[#This Row],[DUT Read]]="","N/A",Table1[[#This Row],[Std Error]]+Table1[[#This Row],[DUT Read]]+Table1[[#This Row],[DUT Ucty]])</f>
        <v>N/A</v>
      </c>
      <c r="Y2335" s="1" t="str">
        <f>IF(Table1[[#This Row],[Std Read]]="","N/A",Table1[[#This Row],[Std Read]]+Table1[[#This Row],[Std Ucty]])</f>
        <v>N/A</v>
      </c>
      <c r="Z23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5" s="1" t="str">
        <f>IF(Table1[[#This Row],[Spec Type]]="","N/A",Table1[[#This Row],[Spec Type]])</f>
        <v>±</v>
      </c>
      <c r="AC2335" s="1" t="str">
        <f>IF(Table1[[#This Row],[Spec Type2]]="N/A","N/A",IF(AND(Table1[[#This Row],[DUT Adj Read]]&gt;=Table1[[#This Row],[Low Tol]],Table1[[#This Row],[DUT Adj Read]]&lt;=Table1[[#This Row],[High Tol]]),"Pass","Fail"))</f>
        <v>Fail</v>
      </c>
      <c r="AD2335" s="1" t="str">
        <f>IF(AND(Table1[[#This Row],[Spec Type2]]="N/A",Table1[[#This Row],[DUT Adj Read]]="N/A",Table1[[#This Row],[Std Adj Read]]="N/A"),"N/A",IF(Table1[[#This Row],[DUT Adj Read]]="N/A",IF(Table1[[#This Row],[Std Adj Read]]&gt;Table1[[#This Row],[Low Tol]],"Pass","Fail"),IF(Table1[[#This Row],[DUT Adj Read]]&gt;Table1[[#This Row],[Low Tol]],"Pass","Fail")))</f>
        <v>Pass</v>
      </c>
      <c r="AE2335" s="1" t="str">
        <f>IF(AND(Table1[[#This Row],[Spec Type2]]="N/A",Table1[[#This Row],[DUT Adj Read]]="N/A",Table1[[#This Row],[Std Adj Read]]="N/A"),"N/A",IF(Table1[[#This Row],[DUT Adj Read]]="N/A",IF(Table1[[#This Row],[Std Adj Read]]&lt;Table1[[#This Row],[High Tol]],"Pass","Fail"),IF(Table1[[#This Row],[DUT Adj Read]]&lt;Table1[[#This Row],[High Tol]],"Pass","Fail")))</f>
        <v>Fail</v>
      </c>
      <c r="AF2335" s="1" t="str">
        <f>IF(AND(Table1[[#This Row],[Spec Type2]]="N/A",Table1[[#This Row],[DUT Adj Read]]="N/A",Table1[[#This Row],[Std Adj Read]]="N/A"),"N/A",IF(Table1[[#This Row],[DUT Adj Read]]="N/A",IF(Table1[[#This Row],[Std Adj Read]]&gt;=Table1[[#This Row],[Low Tol]],"Pass","Fail"),IF(Table1[[#This Row],[DUT Adj Read]]&gt;=Table1[[#This Row],[Low Tol]],"Pass","Fail")))</f>
        <v>Pass</v>
      </c>
      <c r="AG2335" s="1" t="str">
        <f>IF(AND(Table1[[#This Row],[Spec Type2]]="N/A",Table1[[#This Row],[DUT Adj Read]]="N/A",Table1[[#This Row],[Std Adj Read]]="N/A"),"N/A",IF(Table1[[#This Row],[DUT Adj Read]]="N/A",IF(Table1[[#This Row],[Std Adj Read]]&lt;=Table1[[#This Row],[High Tol]],"Pass","Fail"),IF(Table1[[#This Row],[DUT Adj Read]]&lt;=Table1[[#This Row],[High Tol]],"Pass","Fail")))</f>
        <v>Fail</v>
      </c>
      <c r="AH23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5" s="1" t="b">
        <v>0</v>
      </c>
      <c r="AN2335" s="1" t="b">
        <v>0</v>
      </c>
      <c r="AO2335" s="1" t="b">
        <v>0</v>
      </c>
    </row>
    <row r="2336" spans="1:41" x14ac:dyDescent="0.25">
      <c r="A2336" s="10"/>
      <c r="B2336" s="10"/>
      <c r="C2336" s="10"/>
      <c r="D2336" s="10"/>
      <c r="E2336" s="10"/>
      <c r="F2336" s="10"/>
      <c r="G2336" s="10"/>
      <c r="H2336" s="10"/>
      <c r="I2336" s="1" t="str">
        <f t="shared" si="108"/>
        <v/>
      </c>
      <c r="J2336" s="1" t="s">
        <v>35</v>
      </c>
      <c r="K2336" s="1" t="str">
        <f t="shared" si="109"/>
        <v/>
      </c>
      <c r="L2336" s="1" t="str">
        <f t="shared" si="110"/>
        <v/>
      </c>
      <c r="M2336" s="1">
        <f>IF(OR(Table1[[#This Row],[Std Nom]]="",Table1[[#This Row],[Std Read]]=""),0,Table1[[#This Row],[Std Nom]]-Table1[[#This Row],[Std Read]])</f>
        <v>0</v>
      </c>
      <c r="N2336" s="1">
        <f>IF(Calculations!$F$5="ACCREDITED 17025 WITH UNCERTAINTIES",$N$10,0)</f>
        <v>0</v>
      </c>
      <c r="O2336" s="1" t="str">
        <f>IFERROR(Table1[[#This Row],[Std Nom]]-(_xlfn.XLOOKUP(Table1[[#This Row],[Manufacturer]]&amp;" "&amp;Table1[[#This Row],[Model]],Table13[MFR &amp; MDL],Table13[Tolerance % CW ],"")/100*Table1[[#This Row],[Std Nom]]),"")</f>
        <v/>
      </c>
      <c r="P2336" s="1" t="str">
        <f>IFERROR(Table1[[#This Row],[Std Nom]]+(_xlfn.XLOOKUP(Table1[[#This Row],[Manufacturer]]&amp;" "&amp;Table1[[#This Row],[Model]],Table13[MFR &amp; MDL],Table13[Tolerance % CW ],"")/100*Table1[[#This Row],[Std Nom]]),"")</f>
        <v/>
      </c>
      <c r="Q2336" s="1" t="e">
        <f>Table1[[#This Row],[High Tol]]-Table1[[#This Row],[Low Tol]]</f>
        <v>#VALUE!</v>
      </c>
      <c r="R2336" s="1">
        <f>2*Table1[[#This Row],[Std Error]]</f>
        <v>0</v>
      </c>
      <c r="S2336" s="1" t="str">
        <f>IF(Table1[[#This Row],[High Tol]]="","N/A",IFERROR(ABS(Table1[[#This Row],[Tol Span]]/Table1[[#This Row],[Error Span]]),"N/A"))</f>
        <v>N/A</v>
      </c>
      <c r="T2336" s="1" t="str">
        <f>IF(OR(Table1[[#This Row],[Low Tol]]="",Table1[[#This Row],[High Tol]]=""),"Needs Analysis",IF(Table1[[#This Row],[Ratio]]&gt;=4,"Not Significant",IF(Table1[[#This Row],[Ratio]]&gt;=2,"Semi-Significant","Significant")))</f>
        <v>Needs Analysis</v>
      </c>
      <c r="W2336" s="1">
        <f>IF(Table1[[#This Row],[Cal Type]]&lt;&gt;"ACCREDITED 17025 WITH UNCERTAINTIES",0,"")</f>
        <v>0</v>
      </c>
      <c r="X2336" s="1" t="str">
        <f>IF(Table1[[#This Row],[DUT Read]]="","N/A",Table1[[#This Row],[Std Error]]+Table1[[#This Row],[DUT Read]]+Table1[[#This Row],[DUT Ucty]])</f>
        <v>N/A</v>
      </c>
      <c r="Y2336" s="1" t="str">
        <f>IF(Table1[[#This Row],[Std Read]]="","N/A",Table1[[#This Row],[Std Read]]+Table1[[#This Row],[Std Ucty]])</f>
        <v>N/A</v>
      </c>
      <c r="Z23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6" s="1" t="str">
        <f>IF(Table1[[#This Row],[Spec Type]]="","N/A",Table1[[#This Row],[Spec Type]])</f>
        <v>±</v>
      </c>
      <c r="AC2336" s="1" t="str">
        <f>IF(Table1[[#This Row],[Spec Type2]]="N/A","N/A",IF(AND(Table1[[#This Row],[DUT Adj Read]]&gt;=Table1[[#This Row],[Low Tol]],Table1[[#This Row],[DUT Adj Read]]&lt;=Table1[[#This Row],[High Tol]]),"Pass","Fail"))</f>
        <v>Fail</v>
      </c>
      <c r="AD2336" s="1" t="str">
        <f>IF(AND(Table1[[#This Row],[Spec Type2]]="N/A",Table1[[#This Row],[DUT Adj Read]]="N/A",Table1[[#This Row],[Std Adj Read]]="N/A"),"N/A",IF(Table1[[#This Row],[DUT Adj Read]]="N/A",IF(Table1[[#This Row],[Std Adj Read]]&gt;Table1[[#This Row],[Low Tol]],"Pass","Fail"),IF(Table1[[#This Row],[DUT Adj Read]]&gt;Table1[[#This Row],[Low Tol]],"Pass","Fail")))</f>
        <v>Pass</v>
      </c>
      <c r="AE2336" s="1" t="str">
        <f>IF(AND(Table1[[#This Row],[Spec Type2]]="N/A",Table1[[#This Row],[DUT Adj Read]]="N/A",Table1[[#This Row],[Std Adj Read]]="N/A"),"N/A",IF(Table1[[#This Row],[DUT Adj Read]]="N/A",IF(Table1[[#This Row],[Std Adj Read]]&lt;Table1[[#This Row],[High Tol]],"Pass","Fail"),IF(Table1[[#This Row],[DUT Adj Read]]&lt;Table1[[#This Row],[High Tol]],"Pass","Fail")))</f>
        <v>Fail</v>
      </c>
      <c r="AF2336" s="1" t="str">
        <f>IF(AND(Table1[[#This Row],[Spec Type2]]="N/A",Table1[[#This Row],[DUT Adj Read]]="N/A",Table1[[#This Row],[Std Adj Read]]="N/A"),"N/A",IF(Table1[[#This Row],[DUT Adj Read]]="N/A",IF(Table1[[#This Row],[Std Adj Read]]&gt;=Table1[[#This Row],[Low Tol]],"Pass","Fail"),IF(Table1[[#This Row],[DUT Adj Read]]&gt;=Table1[[#This Row],[Low Tol]],"Pass","Fail")))</f>
        <v>Pass</v>
      </c>
      <c r="AG2336" s="1" t="str">
        <f>IF(AND(Table1[[#This Row],[Spec Type2]]="N/A",Table1[[#This Row],[DUT Adj Read]]="N/A",Table1[[#This Row],[Std Adj Read]]="N/A"),"N/A",IF(Table1[[#This Row],[DUT Adj Read]]="N/A",IF(Table1[[#This Row],[Std Adj Read]]&lt;=Table1[[#This Row],[High Tol]],"Pass","Fail"),IF(Table1[[#This Row],[DUT Adj Read]]&lt;=Table1[[#This Row],[High Tol]],"Pass","Fail")))</f>
        <v>Fail</v>
      </c>
      <c r="AH23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6" s="1" t="b">
        <v>0</v>
      </c>
      <c r="AN2336" s="1" t="b">
        <v>0</v>
      </c>
      <c r="AO2336" s="1" t="b">
        <v>0</v>
      </c>
    </row>
    <row r="2337" spans="1:41" x14ac:dyDescent="0.25">
      <c r="A2337" s="10"/>
      <c r="B2337" s="10"/>
      <c r="C2337" s="10"/>
      <c r="D2337" s="10"/>
      <c r="E2337" s="10"/>
      <c r="F2337" s="10"/>
      <c r="G2337" s="10"/>
      <c r="H2337" s="10"/>
      <c r="I2337" s="1" t="str">
        <f t="shared" si="108"/>
        <v/>
      </c>
      <c r="J2337" s="1" t="s">
        <v>35</v>
      </c>
      <c r="K2337" s="1" t="str">
        <f t="shared" si="109"/>
        <v/>
      </c>
      <c r="L2337" s="1" t="str">
        <f t="shared" si="110"/>
        <v/>
      </c>
      <c r="M2337" s="1">
        <f>IF(OR(Table1[[#This Row],[Std Nom]]="",Table1[[#This Row],[Std Read]]=""),0,Table1[[#This Row],[Std Nom]]-Table1[[#This Row],[Std Read]])</f>
        <v>0</v>
      </c>
      <c r="N2337" s="1">
        <f>IF(Calculations!$F$5="ACCREDITED 17025 WITH UNCERTAINTIES",$N$10,0)</f>
        <v>0</v>
      </c>
      <c r="O2337" s="1" t="str">
        <f>IFERROR(Table1[[#This Row],[Std Nom]]-(_xlfn.XLOOKUP(Table1[[#This Row],[Manufacturer]]&amp;" "&amp;Table1[[#This Row],[Model]],Table13[MFR &amp; MDL],Table13[Tolerance % CW ],"")/100*Table1[[#This Row],[Std Nom]]),"")</f>
        <v/>
      </c>
      <c r="P2337" s="1" t="str">
        <f>IFERROR(Table1[[#This Row],[Std Nom]]+(_xlfn.XLOOKUP(Table1[[#This Row],[Manufacturer]]&amp;" "&amp;Table1[[#This Row],[Model]],Table13[MFR &amp; MDL],Table13[Tolerance % CW ],"")/100*Table1[[#This Row],[Std Nom]]),"")</f>
        <v/>
      </c>
      <c r="Q2337" s="1" t="e">
        <f>Table1[[#This Row],[High Tol]]-Table1[[#This Row],[Low Tol]]</f>
        <v>#VALUE!</v>
      </c>
      <c r="R2337" s="1">
        <f>2*Table1[[#This Row],[Std Error]]</f>
        <v>0</v>
      </c>
      <c r="S2337" s="1" t="str">
        <f>IF(Table1[[#This Row],[High Tol]]="","N/A",IFERROR(ABS(Table1[[#This Row],[Tol Span]]/Table1[[#This Row],[Error Span]]),"N/A"))</f>
        <v>N/A</v>
      </c>
      <c r="T2337" s="1" t="str">
        <f>IF(OR(Table1[[#This Row],[Low Tol]]="",Table1[[#This Row],[High Tol]]=""),"Needs Analysis",IF(Table1[[#This Row],[Ratio]]&gt;=4,"Not Significant",IF(Table1[[#This Row],[Ratio]]&gt;=2,"Semi-Significant","Significant")))</f>
        <v>Needs Analysis</v>
      </c>
      <c r="W2337" s="1">
        <f>IF(Table1[[#This Row],[Cal Type]]&lt;&gt;"ACCREDITED 17025 WITH UNCERTAINTIES",0,"")</f>
        <v>0</v>
      </c>
      <c r="X2337" s="1" t="str">
        <f>IF(Table1[[#This Row],[DUT Read]]="","N/A",Table1[[#This Row],[Std Error]]+Table1[[#This Row],[DUT Read]]+Table1[[#This Row],[DUT Ucty]])</f>
        <v>N/A</v>
      </c>
      <c r="Y2337" s="1" t="str">
        <f>IF(Table1[[#This Row],[Std Read]]="","N/A",Table1[[#This Row],[Std Read]]+Table1[[#This Row],[Std Ucty]])</f>
        <v>N/A</v>
      </c>
      <c r="Z23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7" s="1" t="str">
        <f>IF(Table1[[#This Row],[Spec Type]]="","N/A",Table1[[#This Row],[Spec Type]])</f>
        <v>±</v>
      </c>
      <c r="AC2337" s="1" t="str">
        <f>IF(Table1[[#This Row],[Spec Type2]]="N/A","N/A",IF(AND(Table1[[#This Row],[DUT Adj Read]]&gt;=Table1[[#This Row],[Low Tol]],Table1[[#This Row],[DUT Adj Read]]&lt;=Table1[[#This Row],[High Tol]]),"Pass","Fail"))</f>
        <v>Fail</v>
      </c>
      <c r="AD2337" s="1" t="str">
        <f>IF(AND(Table1[[#This Row],[Spec Type2]]="N/A",Table1[[#This Row],[DUT Adj Read]]="N/A",Table1[[#This Row],[Std Adj Read]]="N/A"),"N/A",IF(Table1[[#This Row],[DUT Adj Read]]="N/A",IF(Table1[[#This Row],[Std Adj Read]]&gt;Table1[[#This Row],[Low Tol]],"Pass","Fail"),IF(Table1[[#This Row],[DUT Adj Read]]&gt;Table1[[#This Row],[Low Tol]],"Pass","Fail")))</f>
        <v>Pass</v>
      </c>
      <c r="AE2337" s="1" t="str">
        <f>IF(AND(Table1[[#This Row],[Spec Type2]]="N/A",Table1[[#This Row],[DUT Adj Read]]="N/A",Table1[[#This Row],[Std Adj Read]]="N/A"),"N/A",IF(Table1[[#This Row],[DUT Adj Read]]="N/A",IF(Table1[[#This Row],[Std Adj Read]]&lt;Table1[[#This Row],[High Tol]],"Pass","Fail"),IF(Table1[[#This Row],[DUT Adj Read]]&lt;Table1[[#This Row],[High Tol]],"Pass","Fail")))</f>
        <v>Fail</v>
      </c>
      <c r="AF2337" s="1" t="str">
        <f>IF(AND(Table1[[#This Row],[Spec Type2]]="N/A",Table1[[#This Row],[DUT Adj Read]]="N/A",Table1[[#This Row],[Std Adj Read]]="N/A"),"N/A",IF(Table1[[#This Row],[DUT Adj Read]]="N/A",IF(Table1[[#This Row],[Std Adj Read]]&gt;=Table1[[#This Row],[Low Tol]],"Pass","Fail"),IF(Table1[[#This Row],[DUT Adj Read]]&gt;=Table1[[#This Row],[Low Tol]],"Pass","Fail")))</f>
        <v>Pass</v>
      </c>
      <c r="AG2337" s="1" t="str">
        <f>IF(AND(Table1[[#This Row],[Spec Type2]]="N/A",Table1[[#This Row],[DUT Adj Read]]="N/A",Table1[[#This Row],[Std Adj Read]]="N/A"),"N/A",IF(Table1[[#This Row],[DUT Adj Read]]="N/A",IF(Table1[[#This Row],[Std Adj Read]]&lt;=Table1[[#This Row],[High Tol]],"Pass","Fail"),IF(Table1[[#This Row],[DUT Adj Read]]&lt;=Table1[[#This Row],[High Tol]],"Pass","Fail")))</f>
        <v>Fail</v>
      </c>
      <c r="AH23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7" s="1" t="b">
        <v>0</v>
      </c>
      <c r="AN2337" s="1" t="b">
        <v>0</v>
      </c>
      <c r="AO2337" s="1" t="b">
        <v>0</v>
      </c>
    </row>
    <row r="2338" spans="1:41" x14ac:dyDescent="0.25">
      <c r="A2338" s="10"/>
      <c r="B2338" s="10"/>
      <c r="C2338" s="10"/>
      <c r="D2338" s="10"/>
      <c r="E2338" s="10"/>
      <c r="F2338" s="10"/>
      <c r="G2338" s="10"/>
      <c r="H2338" s="10"/>
      <c r="I2338" s="1" t="str">
        <f t="shared" si="108"/>
        <v/>
      </c>
      <c r="J2338" s="1" t="s">
        <v>35</v>
      </c>
      <c r="K2338" s="1" t="str">
        <f t="shared" si="109"/>
        <v/>
      </c>
      <c r="L2338" s="1" t="str">
        <f t="shared" si="110"/>
        <v/>
      </c>
      <c r="M2338" s="1">
        <f>IF(OR(Table1[[#This Row],[Std Nom]]="",Table1[[#This Row],[Std Read]]=""),0,Table1[[#This Row],[Std Nom]]-Table1[[#This Row],[Std Read]])</f>
        <v>0</v>
      </c>
      <c r="N2338" s="1">
        <f>IF(Calculations!$F$5="ACCREDITED 17025 WITH UNCERTAINTIES",$N$10,0)</f>
        <v>0</v>
      </c>
      <c r="O2338" s="1" t="str">
        <f>IFERROR(Table1[[#This Row],[Std Nom]]-(_xlfn.XLOOKUP(Table1[[#This Row],[Manufacturer]]&amp;" "&amp;Table1[[#This Row],[Model]],Table13[MFR &amp; MDL],Table13[Tolerance % CW ],"")/100*Table1[[#This Row],[Std Nom]]),"")</f>
        <v/>
      </c>
      <c r="P2338" s="1" t="str">
        <f>IFERROR(Table1[[#This Row],[Std Nom]]+(_xlfn.XLOOKUP(Table1[[#This Row],[Manufacturer]]&amp;" "&amp;Table1[[#This Row],[Model]],Table13[MFR &amp; MDL],Table13[Tolerance % CW ],"")/100*Table1[[#This Row],[Std Nom]]),"")</f>
        <v/>
      </c>
      <c r="Q2338" s="1" t="e">
        <f>Table1[[#This Row],[High Tol]]-Table1[[#This Row],[Low Tol]]</f>
        <v>#VALUE!</v>
      </c>
      <c r="R2338" s="1">
        <f>2*Table1[[#This Row],[Std Error]]</f>
        <v>0</v>
      </c>
      <c r="S2338" s="1" t="str">
        <f>IF(Table1[[#This Row],[High Tol]]="","N/A",IFERROR(ABS(Table1[[#This Row],[Tol Span]]/Table1[[#This Row],[Error Span]]),"N/A"))</f>
        <v>N/A</v>
      </c>
      <c r="T2338" s="1" t="str">
        <f>IF(OR(Table1[[#This Row],[Low Tol]]="",Table1[[#This Row],[High Tol]]=""),"Needs Analysis",IF(Table1[[#This Row],[Ratio]]&gt;=4,"Not Significant",IF(Table1[[#This Row],[Ratio]]&gt;=2,"Semi-Significant","Significant")))</f>
        <v>Needs Analysis</v>
      </c>
      <c r="W2338" s="1">
        <f>IF(Table1[[#This Row],[Cal Type]]&lt;&gt;"ACCREDITED 17025 WITH UNCERTAINTIES",0,"")</f>
        <v>0</v>
      </c>
      <c r="X2338" s="1" t="str">
        <f>IF(Table1[[#This Row],[DUT Read]]="","N/A",Table1[[#This Row],[Std Error]]+Table1[[#This Row],[DUT Read]]+Table1[[#This Row],[DUT Ucty]])</f>
        <v>N/A</v>
      </c>
      <c r="Y2338" s="1" t="str">
        <f>IF(Table1[[#This Row],[Std Read]]="","N/A",Table1[[#This Row],[Std Read]]+Table1[[#This Row],[Std Ucty]])</f>
        <v>N/A</v>
      </c>
      <c r="Z23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8" s="1" t="str">
        <f>IF(Table1[[#This Row],[Spec Type]]="","N/A",Table1[[#This Row],[Spec Type]])</f>
        <v>±</v>
      </c>
      <c r="AC2338" s="1" t="str">
        <f>IF(Table1[[#This Row],[Spec Type2]]="N/A","N/A",IF(AND(Table1[[#This Row],[DUT Adj Read]]&gt;=Table1[[#This Row],[Low Tol]],Table1[[#This Row],[DUT Adj Read]]&lt;=Table1[[#This Row],[High Tol]]),"Pass","Fail"))</f>
        <v>Fail</v>
      </c>
      <c r="AD2338" s="1" t="str">
        <f>IF(AND(Table1[[#This Row],[Spec Type2]]="N/A",Table1[[#This Row],[DUT Adj Read]]="N/A",Table1[[#This Row],[Std Adj Read]]="N/A"),"N/A",IF(Table1[[#This Row],[DUT Adj Read]]="N/A",IF(Table1[[#This Row],[Std Adj Read]]&gt;Table1[[#This Row],[Low Tol]],"Pass","Fail"),IF(Table1[[#This Row],[DUT Adj Read]]&gt;Table1[[#This Row],[Low Tol]],"Pass","Fail")))</f>
        <v>Pass</v>
      </c>
      <c r="AE2338" s="1" t="str">
        <f>IF(AND(Table1[[#This Row],[Spec Type2]]="N/A",Table1[[#This Row],[DUT Adj Read]]="N/A",Table1[[#This Row],[Std Adj Read]]="N/A"),"N/A",IF(Table1[[#This Row],[DUT Adj Read]]="N/A",IF(Table1[[#This Row],[Std Adj Read]]&lt;Table1[[#This Row],[High Tol]],"Pass","Fail"),IF(Table1[[#This Row],[DUT Adj Read]]&lt;Table1[[#This Row],[High Tol]],"Pass","Fail")))</f>
        <v>Fail</v>
      </c>
      <c r="AF2338" s="1" t="str">
        <f>IF(AND(Table1[[#This Row],[Spec Type2]]="N/A",Table1[[#This Row],[DUT Adj Read]]="N/A",Table1[[#This Row],[Std Adj Read]]="N/A"),"N/A",IF(Table1[[#This Row],[DUT Adj Read]]="N/A",IF(Table1[[#This Row],[Std Adj Read]]&gt;=Table1[[#This Row],[Low Tol]],"Pass","Fail"),IF(Table1[[#This Row],[DUT Adj Read]]&gt;=Table1[[#This Row],[Low Tol]],"Pass","Fail")))</f>
        <v>Pass</v>
      </c>
      <c r="AG2338" s="1" t="str">
        <f>IF(AND(Table1[[#This Row],[Spec Type2]]="N/A",Table1[[#This Row],[DUT Adj Read]]="N/A",Table1[[#This Row],[Std Adj Read]]="N/A"),"N/A",IF(Table1[[#This Row],[DUT Adj Read]]="N/A",IF(Table1[[#This Row],[Std Adj Read]]&lt;=Table1[[#This Row],[High Tol]],"Pass","Fail"),IF(Table1[[#This Row],[DUT Adj Read]]&lt;=Table1[[#This Row],[High Tol]],"Pass","Fail")))</f>
        <v>Fail</v>
      </c>
      <c r="AH23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8" s="1" t="b">
        <v>0</v>
      </c>
      <c r="AN2338" s="1" t="b">
        <v>0</v>
      </c>
      <c r="AO2338" s="1" t="b">
        <v>0</v>
      </c>
    </row>
    <row r="2339" spans="1:41" x14ac:dyDescent="0.25">
      <c r="A2339" s="10"/>
      <c r="B2339" s="10"/>
      <c r="C2339" s="10"/>
      <c r="D2339" s="10"/>
      <c r="E2339" s="10"/>
      <c r="F2339" s="10"/>
      <c r="G2339" s="10"/>
      <c r="H2339" s="10"/>
      <c r="I2339" s="1" t="str">
        <f t="shared" si="108"/>
        <v/>
      </c>
      <c r="J2339" s="1" t="s">
        <v>35</v>
      </c>
      <c r="K2339" s="1" t="str">
        <f t="shared" si="109"/>
        <v/>
      </c>
      <c r="L2339" s="1" t="str">
        <f t="shared" si="110"/>
        <v/>
      </c>
      <c r="M2339" s="1">
        <f>IF(OR(Table1[[#This Row],[Std Nom]]="",Table1[[#This Row],[Std Read]]=""),0,Table1[[#This Row],[Std Nom]]-Table1[[#This Row],[Std Read]])</f>
        <v>0</v>
      </c>
      <c r="N2339" s="1">
        <f>IF(Calculations!$F$5="ACCREDITED 17025 WITH UNCERTAINTIES",$N$10,0)</f>
        <v>0</v>
      </c>
      <c r="O2339" s="1" t="str">
        <f>IFERROR(Table1[[#This Row],[Std Nom]]-(_xlfn.XLOOKUP(Table1[[#This Row],[Manufacturer]]&amp;" "&amp;Table1[[#This Row],[Model]],Table13[MFR &amp; MDL],Table13[Tolerance % CW ],"")/100*Table1[[#This Row],[Std Nom]]),"")</f>
        <v/>
      </c>
      <c r="P2339" s="1" t="str">
        <f>IFERROR(Table1[[#This Row],[Std Nom]]+(_xlfn.XLOOKUP(Table1[[#This Row],[Manufacturer]]&amp;" "&amp;Table1[[#This Row],[Model]],Table13[MFR &amp; MDL],Table13[Tolerance % CW ],"")/100*Table1[[#This Row],[Std Nom]]),"")</f>
        <v/>
      </c>
      <c r="Q2339" s="1" t="e">
        <f>Table1[[#This Row],[High Tol]]-Table1[[#This Row],[Low Tol]]</f>
        <v>#VALUE!</v>
      </c>
      <c r="R2339" s="1">
        <f>2*Table1[[#This Row],[Std Error]]</f>
        <v>0</v>
      </c>
      <c r="S2339" s="1" t="str">
        <f>IF(Table1[[#This Row],[High Tol]]="","N/A",IFERROR(ABS(Table1[[#This Row],[Tol Span]]/Table1[[#This Row],[Error Span]]),"N/A"))</f>
        <v>N/A</v>
      </c>
      <c r="T2339" s="1" t="str">
        <f>IF(OR(Table1[[#This Row],[Low Tol]]="",Table1[[#This Row],[High Tol]]=""),"Needs Analysis",IF(Table1[[#This Row],[Ratio]]&gt;=4,"Not Significant",IF(Table1[[#This Row],[Ratio]]&gt;=2,"Semi-Significant","Significant")))</f>
        <v>Needs Analysis</v>
      </c>
      <c r="W2339" s="1">
        <f>IF(Table1[[#This Row],[Cal Type]]&lt;&gt;"ACCREDITED 17025 WITH UNCERTAINTIES",0,"")</f>
        <v>0</v>
      </c>
      <c r="X2339" s="1" t="str">
        <f>IF(Table1[[#This Row],[DUT Read]]="","N/A",Table1[[#This Row],[Std Error]]+Table1[[#This Row],[DUT Read]]+Table1[[#This Row],[DUT Ucty]])</f>
        <v>N/A</v>
      </c>
      <c r="Y2339" s="1" t="str">
        <f>IF(Table1[[#This Row],[Std Read]]="","N/A",Table1[[#This Row],[Std Read]]+Table1[[#This Row],[Std Ucty]])</f>
        <v>N/A</v>
      </c>
      <c r="Z23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9" s="1" t="str">
        <f>IF(Table1[[#This Row],[Spec Type]]="","N/A",Table1[[#This Row],[Spec Type]])</f>
        <v>±</v>
      </c>
      <c r="AC2339" s="1" t="str">
        <f>IF(Table1[[#This Row],[Spec Type2]]="N/A","N/A",IF(AND(Table1[[#This Row],[DUT Adj Read]]&gt;=Table1[[#This Row],[Low Tol]],Table1[[#This Row],[DUT Adj Read]]&lt;=Table1[[#This Row],[High Tol]]),"Pass","Fail"))</f>
        <v>Fail</v>
      </c>
      <c r="AD2339" s="1" t="str">
        <f>IF(AND(Table1[[#This Row],[Spec Type2]]="N/A",Table1[[#This Row],[DUT Adj Read]]="N/A",Table1[[#This Row],[Std Adj Read]]="N/A"),"N/A",IF(Table1[[#This Row],[DUT Adj Read]]="N/A",IF(Table1[[#This Row],[Std Adj Read]]&gt;Table1[[#This Row],[Low Tol]],"Pass","Fail"),IF(Table1[[#This Row],[DUT Adj Read]]&gt;Table1[[#This Row],[Low Tol]],"Pass","Fail")))</f>
        <v>Pass</v>
      </c>
      <c r="AE2339" s="1" t="str">
        <f>IF(AND(Table1[[#This Row],[Spec Type2]]="N/A",Table1[[#This Row],[DUT Adj Read]]="N/A",Table1[[#This Row],[Std Adj Read]]="N/A"),"N/A",IF(Table1[[#This Row],[DUT Adj Read]]="N/A",IF(Table1[[#This Row],[Std Adj Read]]&lt;Table1[[#This Row],[High Tol]],"Pass","Fail"),IF(Table1[[#This Row],[DUT Adj Read]]&lt;Table1[[#This Row],[High Tol]],"Pass","Fail")))</f>
        <v>Fail</v>
      </c>
      <c r="AF2339" s="1" t="str">
        <f>IF(AND(Table1[[#This Row],[Spec Type2]]="N/A",Table1[[#This Row],[DUT Adj Read]]="N/A",Table1[[#This Row],[Std Adj Read]]="N/A"),"N/A",IF(Table1[[#This Row],[DUT Adj Read]]="N/A",IF(Table1[[#This Row],[Std Adj Read]]&gt;=Table1[[#This Row],[Low Tol]],"Pass","Fail"),IF(Table1[[#This Row],[DUT Adj Read]]&gt;=Table1[[#This Row],[Low Tol]],"Pass","Fail")))</f>
        <v>Pass</v>
      </c>
      <c r="AG2339" s="1" t="str">
        <f>IF(AND(Table1[[#This Row],[Spec Type2]]="N/A",Table1[[#This Row],[DUT Adj Read]]="N/A",Table1[[#This Row],[Std Adj Read]]="N/A"),"N/A",IF(Table1[[#This Row],[DUT Adj Read]]="N/A",IF(Table1[[#This Row],[Std Adj Read]]&lt;=Table1[[#This Row],[High Tol]],"Pass","Fail"),IF(Table1[[#This Row],[DUT Adj Read]]&lt;=Table1[[#This Row],[High Tol]],"Pass","Fail")))</f>
        <v>Fail</v>
      </c>
      <c r="AH23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9" s="1" t="b">
        <v>0</v>
      </c>
      <c r="AN2339" s="1" t="b">
        <v>0</v>
      </c>
      <c r="AO2339" s="1" t="b">
        <v>0</v>
      </c>
    </row>
    <row r="2340" spans="1:41" x14ac:dyDescent="0.25">
      <c r="A2340" s="10"/>
      <c r="B2340" s="10"/>
      <c r="C2340" s="10"/>
      <c r="D2340" s="10"/>
      <c r="E2340" s="10"/>
      <c r="F2340" s="10"/>
      <c r="G2340" s="10"/>
      <c r="H2340" s="10"/>
      <c r="I2340" s="1" t="str">
        <f t="shared" si="108"/>
        <v/>
      </c>
      <c r="J2340" s="1" t="s">
        <v>35</v>
      </c>
      <c r="K2340" s="1" t="str">
        <f t="shared" si="109"/>
        <v/>
      </c>
      <c r="L2340" s="1" t="str">
        <f t="shared" si="110"/>
        <v/>
      </c>
      <c r="M2340" s="1">
        <f>IF(OR(Table1[[#This Row],[Std Nom]]="",Table1[[#This Row],[Std Read]]=""),0,Table1[[#This Row],[Std Nom]]-Table1[[#This Row],[Std Read]])</f>
        <v>0</v>
      </c>
      <c r="N2340" s="1">
        <f>IF(Calculations!$F$5="ACCREDITED 17025 WITH UNCERTAINTIES",$N$10,0)</f>
        <v>0</v>
      </c>
      <c r="O2340" s="1" t="str">
        <f>IFERROR(Table1[[#This Row],[Std Nom]]-(_xlfn.XLOOKUP(Table1[[#This Row],[Manufacturer]]&amp;" "&amp;Table1[[#This Row],[Model]],Table13[MFR &amp; MDL],Table13[Tolerance % CW ],"")/100*Table1[[#This Row],[Std Nom]]),"")</f>
        <v/>
      </c>
      <c r="P2340" s="1" t="str">
        <f>IFERROR(Table1[[#This Row],[Std Nom]]+(_xlfn.XLOOKUP(Table1[[#This Row],[Manufacturer]]&amp;" "&amp;Table1[[#This Row],[Model]],Table13[MFR &amp; MDL],Table13[Tolerance % CW ],"")/100*Table1[[#This Row],[Std Nom]]),"")</f>
        <v/>
      </c>
      <c r="Q2340" s="1" t="e">
        <f>Table1[[#This Row],[High Tol]]-Table1[[#This Row],[Low Tol]]</f>
        <v>#VALUE!</v>
      </c>
      <c r="R2340" s="1">
        <f>2*Table1[[#This Row],[Std Error]]</f>
        <v>0</v>
      </c>
      <c r="S2340" s="1" t="str">
        <f>IF(Table1[[#This Row],[High Tol]]="","N/A",IFERROR(ABS(Table1[[#This Row],[Tol Span]]/Table1[[#This Row],[Error Span]]),"N/A"))</f>
        <v>N/A</v>
      </c>
      <c r="T2340" s="1" t="str">
        <f>IF(OR(Table1[[#This Row],[Low Tol]]="",Table1[[#This Row],[High Tol]]=""),"Needs Analysis",IF(Table1[[#This Row],[Ratio]]&gt;=4,"Not Significant",IF(Table1[[#This Row],[Ratio]]&gt;=2,"Semi-Significant","Significant")))</f>
        <v>Needs Analysis</v>
      </c>
      <c r="W2340" s="1">
        <f>IF(Table1[[#This Row],[Cal Type]]&lt;&gt;"ACCREDITED 17025 WITH UNCERTAINTIES",0,"")</f>
        <v>0</v>
      </c>
      <c r="X2340" s="1" t="str">
        <f>IF(Table1[[#This Row],[DUT Read]]="","N/A",Table1[[#This Row],[Std Error]]+Table1[[#This Row],[DUT Read]]+Table1[[#This Row],[DUT Ucty]])</f>
        <v>N/A</v>
      </c>
      <c r="Y2340" s="1" t="str">
        <f>IF(Table1[[#This Row],[Std Read]]="","N/A",Table1[[#This Row],[Std Read]]+Table1[[#This Row],[Std Ucty]])</f>
        <v>N/A</v>
      </c>
      <c r="Z23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0" s="1" t="str">
        <f>IF(Table1[[#This Row],[Spec Type]]="","N/A",Table1[[#This Row],[Spec Type]])</f>
        <v>±</v>
      </c>
      <c r="AC2340" s="1" t="str">
        <f>IF(Table1[[#This Row],[Spec Type2]]="N/A","N/A",IF(AND(Table1[[#This Row],[DUT Adj Read]]&gt;=Table1[[#This Row],[Low Tol]],Table1[[#This Row],[DUT Adj Read]]&lt;=Table1[[#This Row],[High Tol]]),"Pass","Fail"))</f>
        <v>Fail</v>
      </c>
      <c r="AD2340" s="1" t="str">
        <f>IF(AND(Table1[[#This Row],[Spec Type2]]="N/A",Table1[[#This Row],[DUT Adj Read]]="N/A",Table1[[#This Row],[Std Adj Read]]="N/A"),"N/A",IF(Table1[[#This Row],[DUT Adj Read]]="N/A",IF(Table1[[#This Row],[Std Adj Read]]&gt;Table1[[#This Row],[Low Tol]],"Pass","Fail"),IF(Table1[[#This Row],[DUT Adj Read]]&gt;Table1[[#This Row],[Low Tol]],"Pass","Fail")))</f>
        <v>Pass</v>
      </c>
      <c r="AE2340" s="1" t="str">
        <f>IF(AND(Table1[[#This Row],[Spec Type2]]="N/A",Table1[[#This Row],[DUT Adj Read]]="N/A",Table1[[#This Row],[Std Adj Read]]="N/A"),"N/A",IF(Table1[[#This Row],[DUT Adj Read]]="N/A",IF(Table1[[#This Row],[Std Adj Read]]&lt;Table1[[#This Row],[High Tol]],"Pass","Fail"),IF(Table1[[#This Row],[DUT Adj Read]]&lt;Table1[[#This Row],[High Tol]],"Pass","Fail")))</f>
        <v>Fail</v>
      </c>
      <c r="AF2340" s="1" t="str">
        <f>IF(AND(Table1[[#This Row],[Spec Type2]]="N/A",Table1[[#This Row],[DUT Adj Read]]="N/A",Table1[[#This Row],[Std Adj Read]]="N/A"),"N/A",IF(Table1[[#This Row],[DUT Adj Read]]="N/A",IF(Table1[[#This Row],[Std Adj Read]]&gt;=Table1[[#This Row],[Low Tol]],"Pass","Fail"),IF(Table1[[#This Row],[DUT Adj Read]]&gt;=Table1[[#This Row],[Low Tol]],"Pass","Fail")))</f>
        <v>Pass</v>
      </c>
      <c r="AG2340" s="1" t="str">
        <f>IF(AND(Table1[[#This Row],[Spec Type2]]="N/A",Table1[[#This Row],[DUT Adj Read]]="N/A",Table1[[#This Row],[Std Adj Read]]="N/A"),"N/A",IF(Table1[[#This Row],[DUT Adj Read]]="N/A",IF(Table1[[#This Row],[Std Adj Read]]&lt;=Table1[[#This Row],[High Tol]],"Pass","Fail"),IF(Table1[[#This Row],[DUT Adj Read]]&lt;=Table1[[#This Row],[High Tol]],"Pass","Fail")))</f>
        <v>Fail</v>
      </c>
      <c r="AH23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0" s="1" t="b">
        <v>0</v>
      </c>
      <c r="AN2340" s="1" t="b">
        <v>0</v>
      </c>
      <c r="AO2340" s="1" t="b">
        <v>0</v>
      </c>
    </row>
    <row r="2341" spans="1:41" x14ac:dyDescent="0.25">
      <c r="A2341" s="10"/>
      <c r="B2341" s="10"/>
      <c r="C2341" s="10"/>
      <c r="D2341" s="10"/>
      <c r="E2341" s="10"/>
      <c r="F2341" s="10"/>
      <c r="G2341" s="10"/>
      <c r="H2341" s="10"/>
      <c r="I2341" s="1" t="str">
        <f t="shared" si="108"/>
        <v/>
      </c>
      <c r="J2341" s="1" t="s">
        <v>35</v>
      </c>
      <c r="K2341" s="1" t="str">
        <f t="shared" si="109"/>
        <v/>
      </c>
      <c r="L2341" s="1" t="str">
        <f t="shared" si="110"/>
        <v/>
      </c>
      <c r="M2341" s="1">
        <f>IF(OR(Table1[[#This Row],[Std Nom]]="",Table1[[#This Row],[Std Read]]=""),0,Table1[[#This Row],[Std Nom]]-Table1[[#This Row],[Std Read]])</f>
        <v>0</v>
      </c>
      <c r="N2341" s="1">
        <f>IF(Calculations!$F$5="ACCREDITED 17025 WITH UNCERTAINTIES",$N$10,0)</f>
        <v>0</v>
      </c>
      <c r="O2341" s="1" t="str">
        <f>IFERROR(Table1[[#This Row],[Std Nom]]-(_xlfn.XLOOKUP(Table1[[#This Row],[Manufacturer]]&amp;" "&amp;Table1[[#This Row],[Model]],Table13[MFR &amp; MDL],Table13[Tolerance % CW ],"")/100*Table1[[#This Row],[Std Nom]]),"")</f>
        <v/>
      </c>
      <c r="P2341" s="1" t="str">
        <f>IFERROR(Table1[[#This Row],[Std Nom]]+(_xlfn.XLOOKUP(Table1[[#This Row],[Manufacturer]]&amp;" "&amp;Table1[[#This Row],[Model]],Table13[MFR &amp; MDL],Table13[Tolerance % CW ],"")/100*Table1[[#This Row],[Std Nom]]),"")</f>
        <v/>
      </c>
      <c r="Q2341" s="1" t="e">
        <f>Table1[[#This Row],[High Tol]]-Table1[[#This Row],[Low Tol]]</f>
        <v>#VALUE!</v>
      </c>
      <c r="R2341" s="1">
        <f>2*Table1[[#This Row],[Std Error]]</f>
        <v>0</v>
      </c>
      <c r="S2341" s="1" t="str">
        <f>IF(Table1[[#This Row],[High Tol]]="","N/A",IFERROR(ABS(Table1[[#This Row],[Tol Span]]/Table1[[#This Row],[Error Span]]),"N/A"))</f>
        <v>N/A</v>
      </c>
      <c r="T2341" s="1" t="str">
        <f>IF(OR(Table1[[#This Row],[Low Tol]]="",Table1[[#This Row],[High Tol]]=""),"Needs Analysis",IF(Table1[[#This Row],[Ratio]]&gt;=4,"Not Significant",IF(Table1[[#This Row],[Ratio]]&gt;=2,"Semi-Significant","Significant")))</f>
        <v>Needs Analysis</v>
      </c>
      <c r="W2341" s="1">
        <f>IF(Table1[[#This Row],[Cal Type]]&lt;&gt;"ACCREDITED 17025 WITH UNCERTAINTIES",0,"")</f>
        <v>0</v>
      </c>
      <c r="X2341" s="1" t="str">
        <f>IF(Table1[[#This Row],[DUT Read]]="","N/A",Table1[[#This Row],[Std Error]]+Table1[[#This Row],[DUT Read]]+Table1[[#This Row],[DUT Ucty]])</f>
        <v>N/A</v>
      </c>
      <c r="Y2341" s="1" t="str">
        <f>IF(Table1[[#This Row],[Std Read]]="","N/A",Table1[[#This Row],[Std Read]]+Table1[[#This Row],[Std Ucty]])</f>
        <v>N/A</v>
      </c>
      <c r="Z23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1" s="1" t="str">
        <f>IF(Table1[[#This Row],[Spec Type]]="","N/A",Table1[[#This Row],[Spec Type]])</f>
        <v>±</v>
      </c>
      <c r="AC2341" s="1" t="str">
        <f>IF(Table1[[#This Row],[Spec Type2]]="N/A","N/A",IF(AND(Table1[[#This Row],[DUT Adj Read]]&gt;=Table1[[#This Row],[Low Tol]],Table1[[#This Row],[DUT Adj Read]]&lt;=Table1[[#This Row],[High Tol]]),"Pass","Fail"))</f>
        <v>Fail</v>
      </c>
      <c r="AD2341" s="1" t="str">
        <f>IF(AND(Table1[[#This Row],[Spec Type2]]="N/A",Table1[[#This Row],[DUT Adj Read]]="N/A",Table1[[#This Row],[Std Adj Read]]="N/A"),"N/A",IF(Table1[[#This Row],[DUT Adj Read]]="N/A",IF(Table1[[#This Row],[Std Adj Read]]&gt;Table1[[#This Row],[Low Tol]],"Pass","Fail"),IF(Table1[[#This Row],[DUT Adj Read]]&gt;Table1[[#This Row],[Low Tol]],"Pass","Fail")))</f>
        <v>Pass</v>
      </c>
      <c r="AE2341" s="1" t="str">
        <f>IF(AND(Table1[[#This Row],[Spec Type2]]="N/A",Table1[[#This Row],[DUT Adj Read]]="N/A",Table1[[#This Row],[Std Adj Read]]="N/A"),"N/A",IF(Table1[[#This Row],[DUT Adj Read]]="N/A",IF(Table1[[#This Row],[Std Adj Read]]&lt;Table1[[#This Row],[High Tol]],"Pass","Fail"),IF(Table1[[#This Row],[DUT Adj Read]]&lt;Table1[[#This Row],[High Tol]],"Pass","Fail")))</f>
        <v>Fail</v>
      </c>
      <c r="AF2341" s="1" t="str">
        <f>IF(AND(Table1[[#This Row],[Spec Type2]]="N/A",Table1[[#This Row],[DUT Adj Read]]="N/A",Table1[[#This Row],[Std Adj Read]]="N/A"),"N/A",IF(Table1[[#This Row],[DUT Adj Read]]="N/A",IF(Table1[[#This Row],[Std Adj Read]]&gt;=Table1[[#This Row],[Low Tol]],"Pass","Fail"),IF(Table1[[#This Row],[DUT Adj Read]]&gt;=Table1[[#This Row],[Low Tol]],"Pass","Fail")))</f>
        <v>Pass</v>
      </c>
      <c r="AG2341" s="1" t="str">
        <f>IF(AND(Table1[[#This Row],[Spec Type2]]="N/A",Table1[[#This Row],[DUT Adj Read]]="N/A",Table1[[#This Row],[Std Adj Read]]="N/A"),"N/A",IF(Table1[[#This Row],[DUT Adj Read]]="N/A",IF(Table1[[#This Row],[Std Adj Read]]&lt;=Table1[[#This Row],[High Tol]],"Pass","Fail"),IF(Table1[[#This Row],[DUT Adj Read]]&lt;=Table1[[#This Row],[High Tol]],"Pass","Fail")))</f>
        <v>Fail</v>
      </c>
      <c r="AH23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1" s="1" t="b">
        <v>0</v>
      </c>
      <c r="AN2341" s="1" t="b">
        <v>0</v>
      </c>
      <c r="AO2341" s="1" t="b">
        <v>0</v>
      </c>
    </row>
    <row r="2342" spans="1:41" x14ac:dyDescent="0.25">
      <c r="A2342" s="10"/>
      <c r="B2342" s="10"/>
      <c r="C2342" s="10"/>
      <c r="D2342" s="10"/>
      <c r="E2342" s="10"/>
      <c r="F2342" s="10"/>
      <c r="G2342" s="10"/>
      <c r="H2342" s="10"/>
      <c r="I2342" s="1" t="str">
        <f t="shared" si="108"/>
        <v/>
      </c>
      <c r="J2342" s="1" t="s">
        <v>35</v>
      </c>
      <c r="K2342" s="1" t="str">
        <f t="shared" si="109"/>
        <v/>
      </c>
      <c r="L2342" s="1" t="str">
        <f t="shared" si="110"/>
        <v/>
      </c>
      <c r="M2342" s="1">
        <f>IF(OR(Table1[[#This Row],[Std Nom]]="",Table1[[#This Row],[Std Read]]=""),0,Table1[[#This Row],[Std Nom]]-Table1[[#This Row],[Std Read]])</f>
        <v>0</v>
      </c>
      <c r="N2342" s="1">
        <f>IF(Calculations!$F$5="ACCREDITED 17025 WITH UNCERTAINTIES",$N$10,0)</f>
        <v>0</v>
      </c>
      <c r="O2342" s="1" t="str">
        <f>IFERROR(Table1[[#This Row],[Std Nom]]-(_xlfn.XLOOKUP(Table1[[#This Row],[Manufacturer]]&amp;" "&amp;Table1[[#This Row],[Model]],Table13[MFR &amp; MDL],Table13[Tolerance % CW ],"")/100*Table1[[#This Row],[Std Nom]]),"")</f>
        <v/>
      </c>
      <c r="P2342" s="1" t="str">
        <f>IFERROR(Table1[[#This Row],[Std Nom]]+(_xlfn.XLOOKUP(Table1[[#This Row],[Manufacturer]]&amp;" "&amp;Table1[[#This Row],[Model]],Table13[MFR &amp; MDL],Table13[Tolerance % CW ],"")/100*Table1[[#This Row],[Std Nom]]),"")</f>
        <v/>
      </c>
      <c r="Q2342" s="1" t="e">
        <f>Table1[[#This Row],[High Tol]]-Table1[[#This Row],[Low Tol]]</f>
        <v>#VALUE!</v>
      </c>
      <c r="R2342" s="1">
        <f>2*Table1[[#This Row],[Std Error]]</f>
        <v>0</v>
      </c>
      <c r="S2342" s="1" t="str">
        <f>IF(Table1[[#This Row],[High Tol]]="","N/A",IFERROR(ABS(Table1[[#This Row],[Tol Span]]/Table1[[#This Row],[Error Span]]),"N/A"))</f>
        <v>N/A</v>
      </c>
      <c r="T2342" s="1" t="str">
        <f>IF(OR(Table1[[#This Row],[Low Tol]]="",Table1[[#This Row],[High Tol]]=""),"Needs Analysis",IF(Table1[[#This Row],[Ratio]]&gt;=4,"Not Significant",IF(Table1[[#This Row],[Ratio]]&gt;=2,"Semi-Significant","Significant")))</f>
        <v>Needs Analysis</v>
      </c>
      <c r="W2342" s="1">
        <f>IF(Table1[[#This Row],[Cal Type]]&lt;&gt;"ACCREDITED 17025 WITH UNCERTAINTIES",0,"")</f>
        <v>0</v>
      </c>
      <c r="X2342" s="1" t="str">
        <f>IF(Table1[[#This Row],[DUT Read]]="","N/A",Table1[[#This Row],[Std Error]]+Table1[[#This Row],[DUT Read]]+Table1[[#This Row],[DUT Ucty]])</f>
        <v>N/A</v>
      </c>
      <c r="Y2342" s="1" t="str">
        <f>IF(Table1[[#This Row],[Std Read]]="","N/A",Table1[[#This Row],[Std Read]]+Table1[[#This Row],[Std Ucty]])</f>
        <v>N/A</v>
      </c>
      <c r="Z23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2" s="1" t="str">
        <f>IF(Table1[[#This Row],[Spec Type]]="","N/A",Table1[[#This Row],[Spec Type]])</f>
        <v>±</v>
      </c>
      <c r="AC2342" s="1" t="str">
        <f>IF(Table1[[#This Row],[Spec Type2]]="N/A","N/A",IF(AND(Table1[[#This Row],[DUT Adj Read]]&gt;=Table1[[#This Row],[Low Tol]],Table1[[#This Row],[DUT Adj Read]]&lt;=Table1[[#This Row],[High Tol]]),"Pass","Fail"))</f>
        <v>Fail</v>
      </c>
      <c r="AD2342" s="1" t="str">
        <f>IF(AND(Table1[[#This Row],[Spec Type2]]="N/A",Table1[[#This Row],[DUT Adj Read]]="N/A",Table1[[#This Row],[Std Adj Read]]="N/A"),"N/A",IF(Table1[[#This Row],[DUT Adj Read]]="N/A",IF(Table1[[#This Row],[Std Adj Read]]&gt;Table1[[#This Row],[Low Tol]],"Pass","Fail"),IF(Table1[[#This Row],[DUT Adj Read]]&gt;Table1[[#This Row],[Low Tol]],"Pass","Fail")))</f>
        <v>Pass</v>
      </c>
      <c r="AE2342" s="1" t="str">
        <f>IF(AND(Table1[[#This Row],[Spec Type2]]="N/A",Table1[[#This Row],[DUT Adj Read]]="N/A",Table1[[#This Row],[Std Adj Read]]="N/A"),"N/A",IF(Table1[[#This Row],[DUT Adj Read]]="N/A",IF(Table1[[#This Row],[Std Adj Read]]&lt;Table1[[#This Row],[High Tol]],"Pass","Fail"),IF(Table1[[#This Row],[DUT Adj Read]]&lt;Table1[[#This Row],[High Tol]],"Pass","Fail")))</f>
        <v>Fail</v>
      </c>
      <c r="AF2342" s="1" t="str">
        <f>IF(AND(Table1[[#This Row],[Spec Type2]]="N/A",Table1[[#This Row],[DUT Adj Read]]="N/A",Table1[[#This Row],[Std Adj Read]]="N/A"),"N/A",IF(Table1[[#This Row],[DUT Adj Read]]="N/A",IF(Table1[[#This Row],[Std Adj Read]]&gt;=Table1[[#This Row],[Low Tol]],"Pass","Fail"),IF(Table1[[#This Row],[DUT Adj Read]]&gt;=Table1[[#This Row],[Low Tol]],"Pass","Fail")))</f>
        <v>Pass</v>
      </c>
      <c r="AG2342" s="1" t="str">
        <f>IF(AND(Table1[[#This Row],[Spec Type2]]="N/A",Table1[[#This Row],[DUT Adj Read]]="N/A",Table1[[#This Row],[Std Adj Read]]="N/A"),"N/A",IF(Table1[[#This Row],[DUT Adj Read]]="N/A",IF(Table1[[#This Row],[Std Adj Read]]&lt;=Table1[[#This Row],[High Tol]],"Pass","Fail"),IF(Table1[[#This Row],[DUT Adj Read]]&lt;=Table1[[#This Row],[High Tol]],"Pass","Fail")))</f>
        <v>Fail</v>
      </c>
      <c r="AH23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2" s="1" t="b">
        <v>0</v>
      </c>
      <c r="AN2342" s="1" t="b">
        <v>0</v>
      </c>
      <c r="AO2342" s="1" t="b">
        <v>0</v>
      </c>
    </row>
    <row r="2343" spans="1:41" x14ac:dyDescent="0.25">
      <c r="A2343" s="10"/>
      <c r="B2343" s="10"/>
      <c r="C2343" s="10"/>
      <c r="D2343" s="10"/>
      <c r="E2343" s="10"/>
      <c r="F2343" s="10"/>
      <c r="G2343" s="10"/>
      <c r="H2343" s="10"/>
      <c r="I2343" s="1" t="str">
        <f t="shared" si="108"/>
        <v/>
      </c>
      <c r="J2343" s="1" t="s">
        <v>35</v>
      </c>
      <c r="K2343" s="1" t="str">
        <f t="shared" si="109"/>
        <v/>
      </c>
      <c r="L2343" s="1" t="str">
        <f t="shared" si="110"/>
        <v/>
      </c>
      <c r="M2343" s="1">
        <f>IF(OR(Table1[[#This Row],[Std Nom]]="",Table1[[#This Row],[Std Read]]=""),0,Table1[[#This Row],[Std Nom]]-Table1[[#This Row],[Std Read]])</f>
        <v>0</v>
      </c>
      <c r="N2343" s="1">
        <f>IF(Calculations!$F$5="ACCREDITED 17025 WITH UNCERTAINTIES",$N$10,0)</f>
        <v>0</v>
      </c>
      <c r="O2343" s="1" t="str">
        <f>IFERROR(Table1[[#This Row],[Std Nom]]-(_xlfn.XLOOKUP(Table1[[#This Row],[Manufacturer]]&amp;" "&amp;Table1[[#This Row],[Model]],Table13[MFR &amp; MDL],Table13[Tolerance % CW ],"")/100*Table1[[#This Row],[Std Nom]]),"")</f>
        <v/>
      </c>
      <c r="P2343" s="1" t="str">
        <f>IFERROR(Table1[[#This Row],[Std Nom]]+(_xlfn.XLOOKUP(Table1[[#This Row],[Manufacturer]]&amp;" "&amp;Table1[[#This Row],[Model]],Table13[MFR &amp; MDL],Table13[Tolerance % CW ],"")/100*Table1[[#This Row],[Std Nom]]),"")</f>
        <v/>
      </c>
      <c r="Q2343" s="1" t="e">
        <f>Table1[[#This Row],[High Tol]]-Table1[[#This Row],[Low Tol]]</f>
        <v>#VALUE!</v>
      </c>
      <c r="R2343" s="1">
        <f>2*Table1[[#This Row],[Std Error]]</f>
        <v>0</v>
      </c>
      <c r="S2343" s="1" t="str">
        <f>IF(Table1[[#This Row],[High Tol]]="","N/A",IFERROR(ABS(Table1[[#This Row],[Tol Span]]/Table1[[#This Row],[Error Span]]),"N/A"))</f>
        <v>N/A</v>
      </c>
      <c r="T2343" s="1" t="str">
        <f>IF(OR(Table1[[#This Row],[Low Tol]]="",Table1[[#This Row],[High Tol]]=""),"Needs Analysis",IF(Table1[[#This Row],[Ratio]]&gt;=4,"Not Significant",IF(Table1[[#This Row],[Ratio]]&gt;=2,"Semi-Significant","Significant")))</f>
        <v>Needs Analysis</v>
      </c>
      <c r="W2343" s="1">
        <f>IF(Table1[[#This Row],[Cal Type]]&lt;&gt;"ACCREDITED 17025 WITH UNCERTAINTIES",0,"")</f>
        <v>0</v>
      </c>
      <c r="X2343" s="1" t="str">
        <f>IF(Table1[[#This Row],[DUT Read]]="","N/A",Table1[[#This Row],[Std Error]]+Table1[[#This Row],[DUT Read]]+Table1[[#This Row],[DUT Ucty]])</f>
        <v>N/A</v>
      </c>
      <c r="Y2343" s="1" t="str">
        <f>IF(Table1[[#This Row],[Std Read]]="","N/A",Table1[[#This Row],[Std Read]]+Table1[[#This Row],[Std Ucty]])</f>
        <v>N/A</v>
      </c>
      <c r="Z23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3" s="1" t="str">
        <f>IF(Table1[[#This Row],[Spec Type]]="","N/A",Table1[[#This Row],[Spec Type]])</f>
        <v>±</v>
      </c>
      <c r="AC2343" s="1" t="str">
        <f>IF(Table1[[#This Row],[Spec Type2]]="N/A","N/A",IF(AND(Table1[[#This Row],[DUT Adj Read]]&gt;=Table1[[#This Row],[Low Tol]],Table1[[#This Row],[DUT Adj Read]]&lt;=Table1[[#This Row],[High Tol]]),"Pass","Fail"))</f>
        <v>Fail</v>
      </c>
      <c r="AD2343" s="1" t="str">
        <f>IF(AND(Table1[[#This Row],[Spec Type2]]="N/A",Table1[[#This Row],[DUT Adj Read]]="N/A",Table1[[#This Row],[Std Adj Read]]="N/A"),"N/A",IF(Table1[[#This Row],[DUT Adj Read]]="N/A",IF(Table1[[#This Row],[Std Adj Read]]&gt;Table1[[#This Row],[Low Tol]],"Pass","Fail"),IF(Table1[[#This Row],[DUT Adj Read]]&gt;Table1[[#This Row],[Low Tol]],"Pass","Fail")))</f>
        <v>Pass</v>
      </c>
      <c r="AE2343" s="1" t="str">
        <f>IF(AND(Table1[[#This Row],[Spec Type2]]="N/A",Table1[[#This Row],[DUT Adj Read]]="N/A",Table1[[#This Row],[Std Adj Read]]="N/A"),"N/A",IF(Table1[[#This Row],[DUT Adj Read]]="N/A",IF(Table1[[#This Row],[Std Adj Read]]&lt;Table1[[#This Row],[High Tol]],"Pass","Fail"),IF(Table1[[#This Row],[DUT Adj Read]]&lt;Table1[[#This Row],[High Tol]],"Pass","Fail")))</f>
        <v>Fail</v>
      </c>
      <c r="AF2343" s="1" t="str">
        <f>IF(AND(Table1[[#This Row],[Spec Type2]]="N/A",Table1[[#This Row],[DUT Adj Read]]="N/A",Table1[[#This Row],[Std Adj Read]]="N/A"),"N/A",IF(Table1[[#This Row],[DUT Adj Read]]="N/A",IF(Table1[[#This Row],[Std Adj Read]]&gt;=Table1[[#This Row],[Low Tol]],"Pass","Fail"),IF(Table1[[#This Row],[DUT Adj Read]]&gt;=Table1[[#This Row],[Low Tol]],"Pass","Fail")))</f>
        <v>Pass</v>
      </c>
      <c r="AG2343" s="1" t="str">
        <f>IF(AND(Table1[[#This Row],[Spec Type2]]="N/A",Table1[[#This Row],[DUT Adj Read]]="N/A",Table1[[#This Row],[Std Adj Read]]="N/A"),"N/A",IF(Table1[[#This Row],[DUT Adj Read]]="N/A",IF(Table1[[#This Row],[Std Adj Read]]&lt;=Table1[[#This Row],[High Tol]],"Pass","Fail"),IF(Table1[[#This Row],[DUT Adj Read]]&lt;=Table1[[#This Row],[High Tol]],"Pass","Fail")))</f>
        <v>Fail</v>
      </c>
      <c r="AH23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3" s="1" t="b">
        <v>0</v>
      </c>
      <c r="AN2343" s="1" t="b">
        <v>0</v>
      </c>
      <c r="AO2343" s="1" t="b">
        <v>0</v>
      </c>
    </row>
    <row r="2344" spans="1:41" x14ac:dyDescent="0.25">
      <c r="A2344" s="10"/>
      <c r="B2344" s="10"/>
      <c r="C2344" s="10"/>
      <c r="D2344" s="10"/>
      <c r="E2344" s="10"/>
      <c r="F2344" s="10"/>
      <c r="G2344" s="10"/>
      <c r="H2344" s="10"/>
      <c r="I2344" s="1" t="str">
        <f t="shared" si="108"/>
        <v/>
      </c>
      <c r="J2344" s="1" t="s">
        <v>35</v>
      </c>
      <c r="K2344" s="1" t="str">
        <f t="shared" si="109"/>
        <v/>
      </c>
      <c r="L2344" s="1" t="str">
        <f t="shared" si="110"/>
        <v/>
      </c>
      <c r="M2344" s="1">
        <f>IF(OR(Table1[[#This Row],[Std Nom]]="",Table1[[#This Row],[Std Read]]=""),0,Table1[[#This Row],[Std Nom]]-Table1[[#This Row],[Std Read]])</f>
        <v>0</v>
      </c>
      <c r="N2344" s="1">
        <f>IF(Calculations!$F$5="ACCREDITED 17025 WITH UNCERTAINTIES",$N$10,0)</f>
        <v>0</v>
      </c>
      <c r="O2344" s="1" t="str">
        <f>IFERROR(Table1[[#This Row],[Std Nom]]-(_xlfn.XLOOKUP(Table1[[#This Row],[Manufacturer]]&amp;" "&amp;Table1[[#This Row],[Model]],Table13[MFR &amp; MDL],Table13[Tolerance % CW ],"")/100*Table1[[#This Row],[Std Nom]]),"")</f>
        <v/>
      </c>
      <c r="P2344" s="1" t="str">
        <f>IFERROR(Table1[[#This Row],[Std Nom]]+(_xlfn.XLOOKUP(Table1[[#This Row],[Manufacturer]]&amp;" "&amp;Table1[[#This Row],[Model]],Table13[MFR &amp; MDL],Table13[Tolerance % CW ],"")/100*Table1[[#This Row],[Std Nom]]),"")</f>
        <v/>
      </c>
      <c r="Q2344" s="1" t="e">
        <f>Table1[[#This Row],[High Tol]]-Table1[[#This Row],[Low Tol]]</f>
        <v>#VALUE!</v>
      </c>
      <c r="R2344" s="1">
        <f>2*Table1[[#This Row],[Std Error]]</f>
        <v>0</v>
      </c>
      <c r="S2344" s="1" t="str">
        <f>IF(Table1[[#This Row],[High Tol]]="","N/A",IFERROR(ABS(Table1[[#This Row],[Tol Span]]/Table1[[#This Row],[Error Span]]),"N/A"))</f>
        <v>N/A</v>
      </c>
      <c r="T2344" s="1" t="str">
        <f>IF(OR(Table1[[#This Row],[Low Tol]]="",Table1[[#This Row],[High Tol]]=""),"Needs Analysis",IF(Table1[[#This Row],[Ratio]]&gt;=4,"Not Significant",IF(Table1[[#This Row],[Ratio]]&gt;=2,"Semi-Significant","Significant")))</f>
        <v>Needs Analysis</v>
      </c>
      <c r="W2344" s="1">
        <f>IF(Table1[[#This Row],[Cal Type]]&lt;&gt;"ACCREDITED 17025 WITH UNCERTAINTIES",0,"")</f>
        <v>0</v>
      </c>
      <c r="X2344" s="1" t="str">
        <f>IF(Table1[[#This Row],[DUT Read]]="","N/A",Table1[[#This Row],[Std Error]]+Table1[[#This Row],[DUT Read]]+Table1[[#This Row],[DUT Ucty]])</f>
        <v>N/A</v>
      </c>
      <c r="Y2344" s="1" t="str">
        <f>IF(Table1[[#This Row],[Std Read]]="","N/A",Table1[[#This Row],[Std Read]]+Table1[[#This Row],[Std Ucty]])</f>
        <v>N/A</v>
      </c>
      <c r="Z23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4" s="1" t="str">
        <f>IF(Table1[[#This Row],[Spec Type]]="","N/A",Table1[[#This Row],[Spec Type]])</f>
        <v>±</v>
      </c>
      <c r="AC2344" s="1" t="str">
        <f>IF(Table1[[#This Row],[Spec Type2]]="N/A","N/A",IF(AND(Table1[[#This Row],[DUT Adj Read]]&gt;=Table1[[#This Row],[Low Tol]],Table1[[#This Row],[DUT Adj Read]]&lt;=Table1[[#This Row],[High Tol]]),"Pass","Fail"))</f>
        <v>Fail</v>
      </c>
      <c r="AD2344" s="1" t="str">
        <f>IF(AND(Table1[[#This Row],[Spec Type2]]="N/A",Table1[[#This Row],[DUT Adj Read]]="N/A",Table1[[#This Row],[Std Adj Read]]="N/A"),"N/A",IF(Table1[[#This Row],[DUT Adj Read]]="N/A",IF(Table1[[#This Row],[Std Adj Read]]&gt;Table1[[#This Row],[Low Tol]],"Pass","Fail"),IF(Table1[[#This Row],[DUT Adj Read]]&gt;Table1[[#This Row],[Low Tol]],"Pass","Fail")))</f>
        <v>Pass</v>
      </c>
      <c r="AE2344" s="1" t="str">
        <f>IF(AND(Table1[[#This Row],[Spec Type2]]="N/A",Table1[[#This Row],[DUT Adj Read]]="N/A",Table1[[#This Row],[Std Adj Read]]="N/A"),"N/A",IF(Table1[[#This Row],[DUT Adj Read]]="N/A",IF(Table1[[#This Row],[Std Adj Read]]&lt;Table1[[#This Row],[High Tol]],"Pass","Fail"),IF(Table1[[#This Row],[DUT Adj Read]]&lt;Table1[[#This Row],[High Tol]],"Pass","Fail")))</f>
        <v>Fail</v>
      </c>
      <c r="AF2344" s="1" t="str">
        <f>IF(AND(Table1[[#This Row],[Spec Type2]]="N/A",Table1[[#This Row],[DUT Adj Read]]="N/A",Table1[[#This Row],[Std Adj Read]]="N/A"),"N/A",IF(Table1[[#This Row],[DUT Adj Read]]="N/A",IF(Table1[[#This Row],[Std Adj Read]]&gt;=Table1[[#This Row],[Low Tol]],"Pass","Fail"),IF(Table1[[#This Row],[DUT Adj Read]]&gt;=Table1[[#This Row],[Low Tol]],"Pass","Fail")))</f>
        <v>Pass</v>
      </c>
      <c r="AG2344" s="1" t="str">
        <f>IF(AND(Table1[[#This Row],[Spec Type2]]="N/A",Table1[[#This Row],[DUT Adj Read]]="N/A",Table1[[#This Row],[Std Adj Read]]="N/A"),"N/A",IF(Table1[[#This Row],[DUT Adj Read]]="N/A",IF(Table1[[#This Row],[Std Adj Read]]&lt;=Table1[[#This Row],[High Tol]],"Pass","Fail"),IF(Table1[[#This Row],[DUT Adj Read]]&lt;=Table1[[#This Row],[High Tol]],"Pass","Fail")))</f>
        <v>Fail</v>
      </c>
      <c r="AH23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4" s="1" t="b">
        <v>0</v>
      </c>
      <c r="AN2344" s="1" t="b">
        <v>0</v>
      </c>
      <c r="AO2344" s="1" t="b">
        <v>0</v>
      </c>
    </row>
    <row r="2345" spans="1:41" x14ac:dyDescent="0.25">
      <c r="A2345" s="10"/>
      <c r="B2345" s="10"/>
      <c r="C2345" s="10"/>
      <c r="D2345" s="10"/>
      <c r="E2345" s="10"/>
      <c r="F2345" s="10"/>
      <c r="G2345" s="10"/>
      <c r="H2345" s="10"/>
      <c r="I2345" s="1" t="str">
        <f t="shared" si="108"/>
        <v/>
      </c>
      <c r="J2345" s="1" t="s">
        <v>35</v>
      </c>
      <c r="K2345" s="1" t="str">
        <f t="shared" si="109"/>
        <v/>
      </c>
      <c r="L2345" s="1" t="str">
        <f t="shared" si="110"/>
        <v/>
      </c>
      <c r="M2345" s="1">
        <f>IF(OR(Table1[[#This Row],[Std Nom]]="",Table1[[#This Row],[Std Read]]=""),0,Table1[[#This Row],[Std Nom]]-Table1[[#This Row],[Std Read]])</f>
        <v>0</v>
      </c>
      <c r="N2345" s="1">
        <f>IF(Calculations!$F$5="ACCREDITED 17025 WITH UNCERTAINTIES",$N$10,0)</f>
        <v>0</v>
      </c>
      <c r="O2345" s="1" t="str">
        <f>IFERROR(Table1[[#This Row],[Std Nom]]-(_xlfn.XLOOKUP(Table1[[#This Row],[Manufacturer]]&amp;" "&amp;Table1[[#This Row],[Model]],Table13[MFR &amp; MDL],Table13[Tolerance % CW ],"")/100*Table1[[#This Row],[Std Nom]]),"")</f>
        <v/>
      </c>
      <c r="P2345" s="1" t="str">
        <f>IFERROR(Table1[[#This Row],[Std Nom]]+(_xlfn.XLOOKUP(Table1[[#This Row],[Manufacturer]]&amp;" "&amp;Table1[[#This Row],[Model]],Table13[MFR &amp; MDL],Table13[Tolerance % CW ],"")/100*Table1[[#This Row],[Std Nom]]),"")</f>
        <v/>
      </c>
      <c r="Q2345" s="1" t="e">
        <f>Table1[[#This Row],[High Tol]]-Table1[[#This Row],[Low Tol]]</f>
        <v>#VALUE!</v>
      </c>
      <c r="R2345" s="1">
        <f>2*Table1[[#This Row],[Std Error]]</f>
        <v>0</v>
      </c>
      <c r="S2345" s="1" t="str">
        <f>IF(Table1[[#This Row],[High Tol]]="","N/A",IFERROR(ABS(Table1[[#This Row],[Tol Span]]/Table1[[#This Row],[Error Span]]),"N/A"))</f>
        <v>N/A</v>
      </c>
      <c r="T2345" s="1" t="str">
        <f>IF(OR(Table1[[#This Row],[Low Tol]]="",Table1[[#This Row],[High Tol]]=""),"Needs Analysis",IF(Table1[[#This Row],[Ratio]]&gt;=4,"Not Significant",IF(Table1[[#This Row],[Ratio]]&gt;=2,"Semi-Significant","Significant")))</f>
        <v>Needs Analysis</v>
      </c>
      <c r="W2345" s="1">
        <f>IF(Table1[[#This Row],[Cal Type]]&lt;&gt;"ACCREDITED 17025 WITH UNCERTAINTIES",0,"")</f>
        <v>0</v>
      </c>
      <c r="X2345" s="1" t="str">
        <f>IF(Table1[[#This Row],[DUT Read]]="","N/A",Table1[[#This Row],[Std Error]]+Table1[[#This Row],[DUT Read]]+Table1[[#This Row],[DUT Ucty]])</f>
        <v>N/A</v>
      </c>
      <c r="Y2345" s="1" t="str">
        <f>IF(Table1[[#This Row],[Std Read]]="","N/A",Table1[[#This Row],[Std Read]]+Table1[[#This Row],[Std Ucty]])</f>
        <v>N/A</v>
      </c>
      <c r="Z23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5" s="1" t="str">
        <f>IF(Table1[[#This Row],[Spec Type]]="","N/A",Table1[[#This Row],[Spec Type]])</f>
        <v>±</v>
      </c>
      <c r="AC2345" s="1" t="str">
        <f>IF(Table1[[#This Row],[Spec Type2]]="N/A","N/A",IF(AND(Table1[[#This Row],[DUT Adj Read]]&gt;=Table1[[#This Row],[Low Tol]],Table1[[#This Row],[DUT Adj Read]]&lt;=Table1[[#This Row],[High Tol]]),"Pass","Fail"))</f>
        <v>Fail</v>
      </c>
      <c r="AD2345" s="1" t="str">
        <f>IF(AND(Table1[[#This Row],[Spec Type2]]="N/A",Table1[[#This Row],[DUT Adj Read]]="N/A",Table1[[#This Row],[Std Adj Read]]="N/A"),"N/A",IF(Table1[[#This Row],[DUT Adj Read]]="N/A",IF(Table1[[#This Row],[Std Adj Read]]&gt;Table1[[#This Row],[Low Tol]],"Pass","Fail"),IF(Table1[[#This Row],[DUT Adj Read]]&gt;Table1[[#This Row],[Low Tol]],"Pass","Fail")))</f>
        <v>Pass</v>
      </c>
      <c r="AE2345" s="1" t="str">
        <f>IF(AND(Table1[[#This Row],[Spec Type2]]="N/A",Table1[[#This Row],[DUT Adj Read]]="N/A",Table1[[#This Row],[Std Adj Read]]="N/A"),"N/A",IF(Table1[[#This Row],[DUT Adj Read]]="N/A",IF(Table1[[#This Row],[Std Adj Read]]&lt;Table1[[#This Row],[High Tol]],"Pass","Fail"),IF(Table1[[#This Row],[DUT Adj Read]]&lt;Table1[[#This Row],[High Tol]],"Pass","Fail")))</f>
        <v>Fail</v>
      </c>
      <c r="AF2345" s="1" t="str">
        <f>IF(AND(Table1[[#This Row],[Spec Type2]]="N/A",Table1[[#This Row],[DUT Adj Read]]="N/A",Table1[[#This Row],[Std Adj Read]]="N/A"),"N/A",IF(Table1[[#This Row],[DUT Adj Read]]="N/A",IF(Table1[[#This Row],[Std Adj Read]]&gt;=Table1[[#This Row],[Low Tol]],"Pass","Fail"),IF(Table1[[#This Row],[DUT Adj Read]]&gt;=Table1[[#This Row],[Low Tol]],"Pass","Fail")))</f>
        <v>Pass</v>
      </c>
      <c r="AG2345" s="1" t="str">
        <f>IF(AND(Table1[[#This Row],[Spec Type2]]="N/A",Table1[[#This Row],[DUT Adj Read]]="N/A",Table1[[#This Row],[Std Adj Read]]="N/A"),"N/A",IF(Table1[[#This Row],[DUT Adj Read]]="N/A",IF(Table1[[#This Row],[Std Adj Read]]&lt;=Table1[[#This Row],[High Tol]],"Pass","Fail"),IF(Table1[[#This Row],[DUT Adj Read]]&lt;=Table1[[#This Row],[High Tol]],"Pass","Fail")))</f>
        <v>Fail</v>
      </c>
      <c r="AH23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5" s="1" t="b">
        <v>0</v>
      </c>
      <c r="AN2345" s="1" t="b">
        <v>0</v>
      </c>
      <c r="AO2345" s="1" t="b">
        <v>0</v>
      </c>
    </row>
    <row r="2346" spans="1:41" x14ac:dyDescent="0.25">
      <c r="A2346" s="10"/>
      <c r="B2346" s="10"/>
      <c r="C2346" s="10"/>
      <c r="D2346" s="10"/>
      <c r="E2346" s="10"/>
      <c r="F2346" s="10"/>
      <c r="G2346" s="10"/>
      <c r="H2346" s="10"/>
      <c r="I2346" s="1" t="str">
        <f t="shared" si="108"/>
        <v/>
      </c>
      <c r="J2346" s="1" t="s">
        <v>35</v>
      </c>
      <c r="K2346" s="1" t="str">
        <f t="shared" si="109"/>
        <v/>
      </c>
      <c r="L2346" s="1" t="str">
        <f t="shared" si="110"/>
        <v/>
      </c>
      <c r="M2346" s="1">
        <f>IF(OR(Table1[[#This Row],[Std Nom]]="",Table1[[#This Row],[Std Read]]=""),0,Table1[[#This Row],[Std Nom]]-Table1[[#This Row],[Std Read]])</f>
        <v>0</v>
      </c>
      <c r="N2346" s="1">
        <f>IF(Calculations!$F$5="ACCREDITED 17025 WITH UNCERTAINTIES",$N$10,0)</f>
        <v>0</v>
      </c>
      <c r="O2346" s="1" t="str">
        <f>IFERROR(Table1[[#This Row],[Std Nom]]-(_xlfn.XLOOKUP(Table1[[#This Row],[Manufacturer]]&amp;" "&amp;Table1[[#This Row],[Model]],Table13[MFR &amp; MDL],Table13[Tolerance % CW ],"")/100*Table1[[#This Row],[Std Nom]]),"")</f>
        <v/>
      </c>
      <c r="P2346" s="1" t="str">
        <f>IFERROR(Table1[[#This Row],[Std Nom]]+(_xlfn.XLOOKUP(Table1[[#This Row],[Manufacturer]]&amp;" "&amp;Table1[[#This Row],[Model]],Table13[MFR &amp; MDL],Table13[Tolerance % CW ],"")/100*Table1[[#This Row],[Std Nom]]),"")</f>
        <v/>
      </c>
      <c r="Q2346" s="1" t="e">
        <f>Table1[[#This Row],[High Tol]]-Table1[[#This Row],[Low Tol]]</f>
        <v>#VALUE!</v>
      </c>
      <c r="R2346" s="1">
        <f>2*Table1[[#This Row],[Std Error]]</f>
        <v>0</v>
      </c>
      <c r="S2346" s="1" t="str">
        <f>IF(Table1[[#This Row],[High Tol]]="","N/A",IFERROR(ABS(Table1[[#This Row],[Tol Span]]/Table1[[#This Row],[Error Span]]),"N/A"))</f>
        <v>N/A</v>
      </c>
      <c r="T2346" s="1" t="str">
        <f>IF(OR(Table1[[#This Row],[Low Tol]]="",Table1[[#This Row],[High Tol]]=""),"Needs Analysis",IF(Table1[[#This Row],[Ratio]]&gt;=4,"Not Significant",IF(Table1[[#This Row],[Ratio]]&gt;=2,"Semi-Significant","Significant")))</f>
        <v>Needs Analysis</v>
      </c>
      <c r="W2346" s="1">
        <f>IF(Table1[[#This Row],[Cal Type]]&lt;&gt;"ACCREDITED 17025 WITH UNCERTAINTIES",0,"")</f>
        <v>0</v>
      </c>
      <c r="X2346" s="1" t="str">
        <f>IF(Table1[[#This Row],[DUT Read]]="","N/A",Table1[[#This Row],[Std Error]]+Table1[[#This Row],[DUT Read]]+Table1[[#This Row],[DUT Ucty]])</f>
        <v>N/A</v>
      </c>
      <c r="Y2346" s="1" t="str">
        <f>IF(Table1[[#This Row],[Std Read]]="","N/A",Table1[[#This Row],[Std Read]]+Table1[[#This Row],[Std Ucty]])</f>
        <v>N/A</v>
      </c>
      <c r="Z23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6" s="1" t="str">
        <f>IF(Table1[[#This Row],[Spec Type]]="","N/A",Table1[[#This Row],[Spec Type]])</f>
        <v>±</v>
      </c>
      <c r="AC2346" s="1" t="str">
        <f>IF(Table1[[#This Row],[Spec Type2]]="N/A","N/A",IF(AND(Table1[[#This Row],[DUT Adj Read]]&gt;=Table1[[#This Row],[Low Tol]],Table1[[#This Row],[DUT Adj Read]]&lt;=Table1[[#This Row],[High Tol]]),"Pass","Fail"))</f>
        <v>Fail</v>
      </c>
      <c r="AD2346" s="1" t="str">
        <f>IF(AND(Table1[[#This Row],[Spec Type2]]="N/A",Table1[[#This Row],[DUT Adj Read]]="N/A",Table1[[#This Row],[Std Adj Read]]="N/A"),"N/A",IF(Table1[[#This Row],[DUT Adj Read]]="N/A",IF(Table1[[#This Row],[Std Adj Read]]&gt;Table1[[#This Row],[Low Tol]],"Pass","Fail"),IF(Table1[[#This Row],[DUT Adj Read]]&gt;Table1[[#This Row],[Low Tol]],"Pass","Fail")))</f>
        <v>Pass</v>
      </c>
      <c r="AE2346" s="1" t="str">
        <f>IF(AND(Table1[[#This Row],[Spec Type2]]="N/A",Table1[[#This Row],[DUT Adj Read]]="N/A",Table1[[#This Row],[Std Adj Read]]="N/A"),"N/A",IF(Table1[[#This Row],[DUT Adj Read]]="N/A",IF(Table1[[#This Row],[Std Adj Read]]&lt;Table1[[#This Row],[High Tol]],"Pass","Fail"),IF(Table1[[#This Row],[DUT Adj Read]]&lt;Table1[[#This Row],[High Tol]],"Pass","Fail")))</f>
        <v>Fail</v>
      </c>
      <c r="AF2346" s="1" t="str">
        <f>IF(AND(Table1[[#This Row],[Spec Type2]]="N/A",Table1[[#This Row],[DUT Adj Read]]="N/A",Table1[[#This Row],[Std Adj Read]]="N/A"),"N/A",IF(Table1[[#This Row],[DUT Adj Read]]="N/A",IF(Table1[[#This Row],[Std Adj Read]]&gt;=Table1[[#This Row],[Low Tol]],"Pass","Fail"),IF(Table1[[#This Row],[DUT Adj Read]]&gt;=Table1[[#This Row],[Low Tol]],"Pass","Fail")))</f>
        <v>Pass</v>
      </c>
      <c r="AG2346" s="1" t="str">
        <f>IF(AND(Table1[[#This Row],[Spec Type2]]="N/A",Table1[[#This Row],[DUT Adj Read]]="N/A",Table1[[#This Row],[Std Adj Read]]="N/A"),"N/A",IF(Table1[[#This Row],[DUT Adj Read]]="N/A",IF(Table1[[#This Row],[Std Adj Read]]&lt;=Table1[[#This Row],[High Tol]],"Pass","Fail"),IF(Table1[[#This Row],[DUT Adj Read]]&lt;=Table1[[#This Row],[High Tol]],"Pass","Fail")))</f>
        <v>Fail</v>
      </c>
      <c r="AH23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6" s="1" t="b">
        <v>0</v>
      </c>
      <c r="AN2346" s="1" t="b">
        <v>0</v>
      </c>
      <c r="AO2346" s="1" t="b">
        <v>0</v>
      </c>
    </row>
    <row r="2347" spans="1:41" x14ac:dyDescent="0.25">
      <c r="A2347" s="10"/>
      <c r="B2347" s="10"/>
      <c r="C2347" s="10"/>
      <c r="D2347" s="10"/>
      <c r="E2347" s="10"/>
      <c r="F2347" s="10"/>
      <c r="G2347" s="10"/>
      <c r="H2347" s="10"/>
      <c r="I2347" s="1" t="str">
        <f t="shared" si="108"/>
        <v/>
      </c>
      <c r="J2347" s="1" t="s">
        <v>35</v>
      </c>
      <c r="K2347" s="1" t="str">
        <f t="shared" si="109"/>
        <v/>
      </c>
      <c r="L2347" s="1" t="str">
        <f t="shared" si="110"/>
        <v/>
      </c>
      <c r="M2347" s="1">
        <f>IF(OR(Table1[[#This Row],[Std Nom]]="",Table1[[#This Row],[Std Read]]=""),0,Table1[[#This Row],[Std Nom]]-Table1[[#This Row],[Std Read]])</f>
        <v>0</v>
      </c>
      <c r="N2347" s="1">
        <f>IF(Calculations!$F$5="ACCREDITED 17025 WITH UNCERTAINTIES",$N$10,0)</f>
        <v>0</v>
      </c>
      <c r="O2347" s="1" t="str">
        <f>IFERROR(Table1[[#This Row],[Std Nom]]-(_xlfn.XLOOKUP(Table1[[#This Row],[Manufacturer]]&amp;" "&amp;Table1[[#This Row],[Model]],Table13[MFR &amp; MDL],Table13[Tolerance % CW ],"")/100*Table1[[#This Row],[Std Nom]]),"")</f>
        <v/>
      </c>
      <c r="P2347" s="1" t="str">
        <f>IFERROR(Table1[[#This Row],[Std Nom]]+(_xlfn.XLOOKUP(Table1[[#This Row],[Manufacturer]]&amp;" "&amp;Table1[[#This Row],[Model]],Table13[MFR &amp; MDL],Table13[Tolerance % CW ],"")/100*Table1[[#This Row],[Std Nom]]),"")</f>
        <v/>
      </c>
      <c r="Q2347" s="1" t="e">
        <f>Table1[[#This Row],[High Tol]]-Table1[[#This Row],[Low Tol]]</f>
        <v>#VALUE!</v>
      </c>
      <c r="R2347" s="1">
        <f>2*Table1[[#This Row],[Std Error]]</f>
        <v>0</v>
      </c>
      <c r="S2347" s="1" t="str">
        <f>IF(Table1[[#This Row],[High Tol]]="","N/A",IFERROR(ABS(Table1[[#This Row],[Tol Span]]/Table1[[#This Row],[Error Span]]),"N/A"))</f>
        <v>N/A</v>
      </c>
      <c r="T2347" s="1" t="str">
        <f>IF(OR(Table1[[#This Row],[Low Tol]]="",Table1[[#This Row],[High Tol]]=""),"Needs Analysis",IF(Table1[[#This Row],[Ratio]]&gt;=4,"Not Significant",IF(Table1[[#This Row],[Ratio]]&gt;=2,"Semi-Significant","Significant")))</f>
        <v>Needs Analysis</v>
      </c>
      <c r="W2347" s="1">
        <f>IF(Table1[[#This Row],[Cal Type]]&lt;&gt;"ACCREDITED 17025 WITH UNCERTAINTIES",0,"")</f>
        <v>0</v>
      </c>
      <c r="X2347" s="1" t="str">
        <f>IF(Table1[[#This Row],[DUT Read]]="","N/A",Table1[[#This Row],[Std Error]]+Table1[[#This Row],[DUT Read]]+Table1[[#This Row],[DUT Ucty]])</f>
        <v>N/A</v>
      </c>
      <c r="Y2347" s="1" t="str">
        <f>IF(Table1[[#This Row],[Std Read]]="","N/A",Table1[[#This Row],[Std Read]]+Table1[[#This Row],[Std Ucty]])</f>
        <v>N/A</v>
      </c>
      <c r="Z23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7" s="1" t="str">
        <f>IF(Table1[[#This Row],[Spec Type]]="","N/A",Table1[[#This Row],[Spec Type]])</f>
        <v>±</v>
      </c>
      <c r="AC2347" s="1" t="str">
        <f>IF(Table1[[#This Row],[Spec Type2]]="N/A","N/A",IF(AND(Table1[[#This Row],[DUT Adj Read]]&gt;=Table1[[#This Row],[Low Tol]],Table1[[#This Row],[DUT Adj Read]]&lt;=Table1[[#This Row],[High Tol]]),"Pass","Fail"))</f>
        <v>Fail</v>
      </c>
      <c r="AD2347" s="1" t="str">
        <f>IF(AND(Table1[[#This Row],[Spec Type2]]="N/A",Table1[[#This Row],[DUT Adj Read]]="N/A",Table1[[#This Row],[Std Adj Read]]="N/A"),"N/A",IF(Table1[[#This Row],[DUT Adj Read]]="N/A",IF(Table1[[#This Row],[Std Adj Read]]&gt;Table1[[#This Row],[Low Tol]],"Pass","Fail"),IF(Table1[[#This Row],[DUT Adj Read]]&gt;Table1[[#This Row],[Low Tol]],"Pass","Fail")))</f>
        <v>Pass</v>
      </c>
      <c r="AE2347" s="1" t="str">
        <f>IF(AND(Table1[[#This Row],[Spec Type2]]="N/A",Table1[[#This Row],[DUT Adj Read]]="N/A",Table1[[#This Row],[Std Adj Read]]="N/A"),"N/A",IF(Table1[[#This Row],[DUT Adj Read]]="N/A",IF(Table1[[#This Row],[Std Adj Read]]&lt;Table1[[#This Row],[High Tol]],"Pass","Fail"),IF(Table1[[#This Row],[DUT Adj Read]]&lt;Table1[[#This Row],[High Tol]],"Pass","Fail")))</f>
        <v>Fail</v>
      </c>
      <c r="AF2347" s="1" t="str">
        <f>IF(AND(Table1[[#This Row],[Spec Type2]]="N/A",Table1[[#This Row],[DUT Adj Read]]="N/A",Table1[[#This Row],[Std Adj Read]]="N/A"),"N/A",IF(Table1[[#This Row],[DUT Adj Read]]="N/A",IF(Table1[[#This Row],[Std Adj Read]]&gt;=Table1[[#This Row],[Low Tol]],"Pass","Fail"),IF(Table1[[#This Row],[DUT Adj Read]]&gt;=Table1[[#This Row],[Low Tol]],"Pass","Fail")))</f>
        <v>Pass</v>
      </c>
      <c r="AG2347" s="1" t="str">
        <f>IF(AND(Table1[[#This Row],[Spec Type2]]="N/A",Table1[[#This Row],[DUT Adj Read]]="N/A",Table1[[#This Row],[Std Adj Read]]="N/A"),"N/A",IF(Table1[[#This Row],[DUT Adj Read]]="N/A",IF(Table1[[#This Row],[Std Adj Read]]&lt;=Table1[[#This Row],[High Tol]],"Pass","Fail"),IF(Table1[[#This Row],[DUT Adj Read]]&lt;=Table1[[#This Row],[High Tol]],"Pass","Fail")))</f>
        <v>Fail</v>
      </c>
      <c r="AH23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7" s="1" t="b">
        <v>0</v>
      </c>
      <c r="AN2347" s="1" t="b">
        <v>0</v>
      </c>
      <c r="AO2347" s="1" t="b">
        <v>0</v>
      </c>
    </row>
    <row r="2348" spans="1:41" x14ac:dyDescent="0.25">
      <c r="A2348" s="10"/>
      <c r="B2348" s="10"/>
      <c r="C2348" s="10"/>
      <c r="D2348" s="10"/>
      <c r="E2348" s="10"/>
      <c r="F2348" s="10"/>
      <c r="G2348" s="10"/>
      <c r="H2348" s="10"/>
      <c r="I2348" s="1" t="str">
        <f t="shared" si="108"/>
        <v/>
      </c>
      <c r="J2348" s="1" t="s">
        <v>35</v>
      </c>
      <c r="K2348" s="1" t="str">
        <f t="shared" si="109"/>
        <v/>
      </c>
      <c r="L2348" s="1" t="str">
        <f t="shared" si="110"/>
        <v/>
      </c>
      <c r="M2348" s="1">
        <f>IF(OR(Table1[[#This Row],[Std Nom]]="",Table1[[#This Row],[Std Read]]=""),0,Table1[[#This Row],[Std Nom]]-Table1[[#This Row],[Std Read]])</f>
        <v>0</v>
      </c>
      <c r="N2348" s="1">
        <f>IF(Calculations!$F$5="ACCREDITED 17025 WITH UNCERTAINTIES",$N$10,0)</f>
        <v>0</v>
      </c>
      <c r="O2348" s="1" t="str">
        <f>IFERROR(Table1[[#This Row],[Std Nom]]-(_xlfn.XLOOKUP(Table1[[#This Row],[Manufacturer]]&amp;" "&amp;Table1[[#This Row],[Model]],Table13[MFR &amp; MDL],Table13[Tolerance % CW ],"")/100*Table1[[#This Row],[Std Nom]]),"")</f>
        <v/>
      </c>
      <c r="P2348" s="1" t="str">
        <f>IFERROR(Table1[[#This Row],[Std Nom]]+(_xlfn.XLOOKUP(Table1[[#This Row],[Manufacturer]]&amp;" "&amp;Table1[[#This Row],[Model]],Table13[MFR &amp; MDL],Table13[Tolerance % CW ],"")/100*Table1[[#This Row],[Std Nom]]),"")</f>
        <v/>
      </c>
      <c r="Q2348" s="1" t="e">
        <f>Table1[[#This Row],[High Tol]]-Table1[[#This Row],[Low Tol]]</f>
        <v>#VALUE!</v>
      </c>
      <c r="R2348" s="1">
        <f>2*Table1[[#This Row],[Std Error]]</f>
        <v>0</v>
      </c>
      <c r="S2348" s="1" t="str">
        <f>IF(Table1[[#This Row],[High Tol]]="","N/A",IFERROR(ABS(Table1[[#This Row],[Tol Span]]/Table1[[#This Row],[Error Span]]),"N/A"))</f>
        <v>N/A</v>
      </c>
      <c r="T2348" s="1" t="str">
        <f>IF(OR(Table1[[#This Row],[Low Tol]]="",Table1[[#This Row],[High Tol]]=""),"Needs Analysis",IF(Table1[[#This Row],[Ratio]]&gt;=4,"Not Significant",IF(Table1[[#This Row],[Ratio]]&gt;=2,"Semi-Significant","Significant")))</f>
        <v>Needs Analysis</v>
      </c>
      <c r="W2348" s="1">
        <f>IF(Table1[[#This Row],[Cal Type]]&lt;&gt;"ACCREDITED 17025 WITH UNCERTAINTIES",0,"")</f>
        <v>0</v>
      </c>
      <c r="X2348" s="1" t="str">
        <f>IF(Table1[[#This Row],[DUT Read]]="","N/A",Table1[[#This Row],[Std Error]]+Table1[[#This Row],[DUT Read]]+Table1[[#This Row],[DUT Ucty]])</f>
        <v>N/A</v>
      </c>
      <c r="Y2348" s="1" t="str">
        <f>IF(Table1[[#This Row],[Std Read]]="","N/A",Table1[[#This Row],[Std Read]]+Table1[[#This Row],[Std Ucty]])</f>
        <v>N/A</v>
      </c>
      <c r="Z23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8" s="1" t="str">
        <f>IF(Table1[[#This Row],[Spec Type]]="","N/A",Table1[[#This Row],[Spec Type]])</f>
        <v>±</v>
      </c>
      <c r="AC2348" s="1" t="str">
        <f>IF(Table1[[#This Row],[Spec Type2]]="N/A","N/A",IF(AND(Table1[[#This Row],[DUT Adj Read]]&gt;=Table1[[#This Row],[Low Tol]],Table1[[#This Row],[DUT Adj Read]]&lt;=Table1[[#This Row],[High Tol]]),"Pass","Fail"))</f>
        <v>Fail</v>
      </c>
      <c r="AD2348" s="1" t="str">
        <f>IF(AND(Table1[[#This Row],[Spec Type2]]="N/A",Table1[[#This Row],[DUT Adj Read]]="N/A",Table1[[#This Row],[Std Adj Read]]="N/A"),"N/A",IF(Table1[[#This Row],[DUT Adj Read]]="N/A",IF(Table1[[#This Row],[Std Adj Read]]&gt;Table1[[#This Row],[Low Tol]],"Pass","Fail"),IF(Table1[[#This Row],[DUT Adj Read]]&gt;Table1[[#This Row],[Low Tol]],"Pass","Fail")))</f>
        <v>Pass</v>
      </c>
      <c r="AE2348" s="1" t="str">
        <f>IF(AND(Table1[[#This Row],[Spec Type2]]="N/A",Table1[[#This Row],[DUT Adj Read]]="N/A",Table1[[#This Row],[Std Adj Read]]="N/A"),"N/A",IF(Table1[[#This Row],[DUT Adj Read]]="N/A",IF(Table1[[#This Row],[Std Adj Read]]&lt;Table1[[#This Row],[High Tol]],"Pass","Fail"),IF(Table1[[#This Row],[DUT Adj Read]]&lt;Table1[[#This Row],[High Tol]],"Pass","Fail")))</f>
        <v>Fail</v>
      </c>
      <c r="AF2348" s="1" t="str">
        <f>IF(AND(Table1[[#This Row],[Spec Type2]]="N/A",Table1[[#This Row],[DUT Adj Read]]="N/A",Table1[[#This Row],[Std Adj Read]]="N/A"),"N/A",IF(Table1[[#This Row],[DUT Adj Read]]="N/A",IF(Table1[[#This Row],[Std Adj Read]]&gt;=Table1[[#This Row],[Low Tol]],"Pass","Fail"),IF(Table1[[#This Row],[DUT Adj Read]]&gt;=Table1[[#This Row],[Low Tol]],"Pass","Fail")))</f>
        <v>Pass</v>
      </c>
      <c r="AG2348" s="1" t="str">
        <f>IF(AND(Table1[[#This Row],[Spec Type2]]="N/A",Table1[[#This Row],[DUT Adj Read]]="N/A",Table1[[#This Row],[Std Adj Read]]="N/A"),"N/A",IF(Table1[[#This Row],[DUT Adj Read]]="N/A",IF(Table1[[#This Row],[Std Adj Read]]&lt;=Table1[[#This Row],[High Tol]],"Pass","Fail"),IF(Table1[[#This Row],[DUT Adj Read]]&lt;=Table1[[#This Row],[High Tol]],"Pass","Fail")))</f>
        <v>Fail</v>
      </c>
      <c r="AH23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8" s="1" t="b">
        <v>0</v>
      </c>
      <c r="AN2348" s="1" t="b">
        <v>0</v>
      </c>
      <c r="AO2348" s="1" t="b">
        <v>0</v>
      </c>
    </row>
    <row r="2349" spans="1:41" x14ac:dyDescent="0.25">
      <c r="A2349" s="10"/>
      <c r="B2349" s="10"/>
      <c r="C2349" s="10"/>
      <c r="D2349" s="10"/>
      <c r="E2349" s="10"/>
      <c r="F2349" s="10"/>
      <c r="G2349" s="10"/>
      <c r="H2349" s="10"/>
      <c r="I2349" s="1" t="str">
        <f t="shared" si="108"/>
        <v/>
      </c>
      <c r="J2349" s="1" t="s">
        <v>35</v>
      </c>
      <c r="K2349" s="1" t="str">
        <f t="shared" si="109"/>
        <v/>
      </c>
      <c r="L2349" s="1" t="str">
        <f t="shared" si="110"/>
        <v/>
      </c>
      <c r="M2349" s="1">
        <f>IF(OR(Table1[[#This Row],[Std Nom]]="",Table1[[#This Row],[Std Read]]=""),0,Table1[[#This Row],[Std Nom]]-Table1[[#This Row],[Std Read]])</f>
        <v>0</v>
      </c>
      <c r="N2349" s="1">
        <f>IF(Calculations!$F$5="ACCREDITED 17025 WITH UNCERTAINTIES",$N$10,0)</f>
        <v>0</v>
      </c>
      <c r="O2349" s="1" t="str">
        <f>IFERROR(Table1[[#This Row],[Std Nom]]-(_xlfn.XLOOKUP(Table1[[#This Row],[Manufacturer]]&amp;" "&amp;Table1[[#This Row],[Model]],Table13[MFR &amp; MDL],Table13[Tolerance % CW ],"")/100*Table1[[#This Row],[Std Nom]]),"")</f>
        <v/>
      </c>
      <c r="P2349" s="1" t="str">
        <f>IFERROR(Table1[[#This Row],[Std Nom]]+(_xlfn.XLOOKUP(Table1[[#This Row],[Manufacturer]]&amp;" "&amp;Table1[[#This Row],[Model]],Table13[MFR &amp; MDL],Table13[Tolerance % CW ],"")/100*Table1[[#This Row],[Std Nom]]),"")</f>
        <v/>
      </c>
      <c r="Q2349" s="1" t="e">
        <f>Table1[[#This Row],[High Tol]]-Table1[[#This Row],[Low Tol]]</f>
        <v>#VALUE!</v>
      </c>
      <c r="R2349" s="1">
        <f>2*Table1[[#This Row],[Std Error]]</f>
        <v>0</v>
      </c>
      <c r="S2349" s="1" t="str">
        <f>IF(Table1[[#This Row],[High Tol]]="","N/A",IFERROR(ABS(Table1[[#This Row],[Tol Span]]/Table1[[#This Row],[Error Span]]),"N/A"))</f>
        <v>N/A</v>
      </c>
      <c r="T2349" s="1" t="str">
        <f>IF(OR(Table1[[#This Row],[Low Tol]]="",Table1[[#This Row],[High Tol]]=""),"Needs Analysis",IF(Table1[[#This Row],[Ratio]]&gt;=4,"Not Significant",IF(Table1[[#This Row],[Ratio]]&gt;=2,"Semi-Significant","Significant")))</f>
        <v>Needs Analysis</v>
      </c>
      <c r="W2349" s="1">
        <f>IF(Table1[[#This Row],[Cal Type]]&lt;&gt;"ACCREDITED 17025 WITH UNCERTAINTIES",0,"")</f>
        <v>0</v>
      </c>
      <c r="X2349" s="1" t="str">
        <f>IF(Table1[[#This Row],[DUT Read]]="","N/A",Table1[[#This Row],[Std Error]]+Table1[[#This Row],[DUT Read]]+Table1[[#This Row],[DUT Ucty]])</f>
        <v>N/A</v>
      </c>
      <c r="Y2349" s="1" t="str">
        <f>IF(Table1[[#This Row],[Std Read]]="","N/A",Table1[[#This Row],[Std Read]]+Table1[[#This Row],[Std Ucty]])</f>
        <v>N/A</v>
      </c>
      <c r="Z23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9" s="1" t="str">
        <f>IF(Table1[[#This Row],[Spec Type]]="","N/A",Table1[[#This Row],[Spec Type]])</f>
        <v>±</v>
      </c>
      <c r="AC2349" s="1" t="str">
        <f>IF(Table1[[#This Row],[Spec Type2]]="N/A","N/A",IF(AND(Table1[[#This Row],[DUT Adj Read]]&gt;=Table1[[#This Row],[Low Tol]],Table1[[#This Row],[DUT Adj Read]]&lt;=Table1[[#This Row],[High Tol]]),"Pass","Fail"))</f>
        <v>Fail</v>
      </c>
      <c r="AD2349" s="1" t="str">
        <f>IF(AND(Table1[[#This Row],[Spec Type2]]="N/A",Table1[[#This Row],[DUT Adj Read]]="N/A",Table1[[#This Row],[Std Adj Read]]="N/A"),"N/A",IF(Table1[[#This Row],[DUT Adj Read]]="N/A",IF(Table1[[#This Row],[Std Adj Read]]&gt;Table1[[#This Row],[Low Tol]],"Pass","Fail"),IF(Table1[[#This Row],[DUT Adj Read]]&gt;Table1[[#This Row],[Low Tol]],"Pass","Fail")))</f>
        <v>Pass</v>
      </c>
      <c r="AE2349" s="1" t="str">
        <f>IF(AND(Table1[[#This Row],[Spec Type2]]="N/A",Table1[[#This Row],[DUT Adj Read]]="N/A",Table1[[#This Row],[Std Adj Read]]="N/A"),"N/A",IF(Table1[[#This Row],[DUT Adj Read]]="N/A",IF(Table1[[#This Row],[Std Adj Read]]&lt;Table1[[#This Row],[High Tol]],"Pass","Fail"),IF(Table1[[#This Row],[DUT Adj Read]]&lt;Table1[[#This Row],[High Tol]],"Pass","Fail")))</f>
        <v>Fail</v>
      </c>
      <c r="AF2349" s="1" t="str">
        <f>IF(AND(Table1[[#This Row],[Spec Type2]]="N/A",Table1[[#This Row],[DUT Adj Read]]="N/A",Table1[[#This Row],[Std Adj Read]]="N/A"),"N/A",IF(Table1[[#This Row],[DUT Adj Read]]="N/A",IF(Table1[[#This Row],[Std Adj Read]]&gt;=Table1[[#This Row],[Low Tol]],"Pass","Fail"),IF(Table1[[#This Row],[DUT Adj Read]]&gt;=Table1[[#This Row],[Low Tol]],"Pass","Fail")))</f>
        <v>Pass</v>
      </c>
      <c r="AG2349" s="1" t="str">
        <f>IF(AND(Table1[[#This Row],[Spec Type2]]="N/A",Table1[[#This Row],[DUT Adj Read]]="N/A",Table1[[#This Row],[Std Adj Read]]="N/A"),"N/A",IF(Table1[[#This Row],[DUT Adj Read]]="N/A",IF(Table1[[#This Row],[Std Adj Read]]&lt;=Table1[[#This Row],[High Tol]],"Pass","Fail"),IF(Table1[[#This Row],[DUT Adj Read]]&lt;=Table1[[#This Row],[High Tol]],"Pass","Fail")))</f>
        <v>Fail</v>
      </c>
      <c r="AH23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9" s="1" t="b">
        <v>0</v>
      </c>
      <c r="AN2349" s="1" t="b">
        <v>0</v>
      </c>
      <c r="AO2349" s="1" t="b">
        <v>0</v>
      </c>
    </row>
    <row r="2350" spans="1:41" x14ac:dyDescent="0.25">
      <c r="A2350" s="10"/>
      <c r="B2350" s="10"/>
      <c r="C2350" s="10"/>
      <c r="D2350" s="10"/>
      <c r="E2350" s="10"/>
      <c r="F2350" s="10"/>
      <c r="G2350" s="10"/>
      <c r="H2350" s="10"/>
      <c r="I2350" s="1" t="str">
        <f t="shared" si="108"/>
        <v/>
      </c>
      <c r="J2350" s="1" t="s">
        <v>35</v>
      </c>
      <c r="K2350" s="1" t="str">
        <f t="shared" si="109"/>
        <v/>
      </c>
      <c r="L2350" s="1" t="str">
        <f t="shared" si="110"/>
        <v/>
      </c>
      <c r="M2350" s="1">
        <f>IF(OR(Table1[[#This Row],[Std Nom]]="",Table1[[#This Row],[Std Read]]=""),0,Table1[[#This Row],[Std Nom]]-Table1[[#This Row],[Std Read]])</f>
        <v>0</v>
      </c>
      <c r="N2350" s="1">
        <f>IF(Calculations!$F$5="ACCREDITED 17025 WITH UNCERTAINTIES",$N$10,0)</f>
        <v>0</v>
      </c>
      <c r="O2350" s="1" t="str">
        <f>IFERROR(Table1[[#This Row],[Std Nom]]-(_xlfn.XLOOKUP(Table1[[#This Row],[Manufacturer]]&amp;" "&amp;Table1[[#This Row],[Model]],Table13[MFR &amp; MDL],Table13[Tolerance % CW ],"")/100*Table1[[#This Row],[Std Nom]]),"")</f>
        <v/>
      </c>
      <c r="P2350" s="1" t="str">
        <f>IFERROR(Table1[[#This Row],[Std Nom]]+(_xlfn.XLOOKUP(Table1[[#This Row],[Manufacturer]]&amp;" "&amp;Table1[[#This Row],[Model]],Table13[MFR &amp; MDL],Table13[Tolerance % CW ],"")/100*Table1[[#This Row],[Std Nom]]),"")</f>
        <v/>
      </c>
      <c r="Q2350" s="1" t="e">
        <f>Table1[[#This Row],[High Tol]]-Table1[[#This Row],[Low Tol]]</f>
        <v>#VALUE!</v>
      </c>
      <c r="R2350" s="1">
        <f>2*Table1[[#This Row],[Std Error]]</f>
        <v>0</v>
      </c>
      <c r="S2350" s="1" t="str">
        <f>IF(Table1[[#This Row],[High Tol]]="","N/A",IFERROR(ABS(Table1[[#This Row],[Tol Span]]/Table1[[#This Row],[Error Span]]),"N/A"))</f>
        <v>N/A</v>
      </c>
      <c r="T2350" s="1" t="str">
        <f>IF(OR(Table1[[#This Row],[Low Tol]]="",Table1[[#This Row],[High Tol]]=""),"Needs Analysis",IF(Table1[[#This Row],[Ratio]]&gt;=4,"Not Significant",IF(Table1[[#This Row],[Ratio]]&gt;=2,"Semi-Significant","Significant")))</f>
        <v>Needs Analysis</v>
      </c>
      <c r="W2350" s="1">
        <f>IF(Table1[[#This Row],[Cal Type]]&lt;&gt;"ACCREDITED 17025 WITH UNCERTAINTIES",0,"")</f>
        <v>0</v>
      </c>
      <c r="X2350" s="1" t="str">
        <f>IF(Table1[[#This Row],[DUT Read]]="","N/A",Table1[[#This Row],[Std Error]]+Table1[[#This Row],[DUT Read]]+Table1[[#This Row],[DUT Ucty]])</f>
        <v>N/A</v>
      </c>
      <c r="Y2350" s="1" t="str">
        <f>IF(Table1[[#This Row],[Std Read]]="","N/A",Table1[[#This Row],[Std Read]]+Table1[[#This Row],[Std Ucty]])</f>
        <v>N/A</v>
      </c>
      <c r="Z23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0" s="1" t="str">
        <f>IF(Table1[[#This Row],[Spec Type]]="","N/A",Table1[[#This Row],[Spec Type]])</f>
        <v>±</v>
      </c>
      <c r="AC2350" s="1" t="str">
        <f>IF(Table1[[#This Row],[Spec Type2]]="N/A","N/A",IF(AND(Table1[[#This Row],[DUT Adj Read]]&gt;=Table1[[#This Row],[Low Tol]],Table1[[#This Row],[DUT Adj Read]]&lt;=Table1[[#This Row],[High Tol]]),"Pass","Fail"))</f>
        <v>Fail</v>
      </c>
      <c r="AD2350" s="1" t="str">
        <f>IF(AND(Table1[[#This Row],[Spec Type2]]="N/A",Table1[[#This Row],[DUT Adj Read]]="N/A",Table1[[#This Row],[Std Adj Read]]="N/A"),"N/A",IF(Table1[[#This Row],[DUT Adj Read]]="N/A",IF(Table1[[#This Row],[Std Adj Read]]&gt;Table1[[#This Row],[Low Tol]],"Pass","Fail"),IF(Table1[[#This Row],[DUT Adj Read]]&gt;Table1[[#This Row],[Low Tol]],"Pass","Fail")))</f>
        <v>Pass</v>
      </c>
      <c r="AE2350" s="1" t="str">
        <f>IF(AND(Table1[[#This Row],[Spec Type2]]="N/A",Table1[[#This Row],[DUT Adj Read]]="N/A",Table1[[#This Row],[Std Adj Read]]="N/A"),"N/A",IF(Table1[[#This Row],[DUT Adj Read]]="N/A",IF(Table1[[#This Row],[Std Adj Read]]&lt;Table1[[#This Row],[High Tol]],"Pass","Fail"),IF(Table1[[#This Row],[DUT Adj Read]]&lt;Table1[[#This Row],[High Tol]],"Pass","Fail")))</f>
        <v>Fail</v>
      </c>
      <c r="AF2350" s="1" t="str">
        <f>IF(AND(Table1[[#This Row],[Spec Type2]]="N/A",Table1[[#This Row],[DUT Adj Read]]="N/A",Table1[[#This Row],[Std Adj Read]]="N/A"),"N/A",IF(Table1[[#This Row],[DUT Adj Read]]="N/A",IF(Table1[[#This Row],[Std Adj Read]]&gt;=Table1[[#This Row],[Low Tol]],"Pass","Fail"),IF(Table1[[#This Row],[DUT Adj Read]]&gt;=Table1[[#This Row],[Low Tol]],"Pass","Fail")))</f>
        <v>Pass</v>
      </c>
      <c r="AG2350" s="1" t="str">
        <f>IF(AND(Table1[[#This Row],[Spec Type2]]="N/A",Table1[[#This Row],[DUT Adj Read]]="N/A",Table1[[#This Row],[Std Adj Read]]="N/A"),"N/A",IF(Table1[[#This Row],[DUT Adj Read]]="N/A",IF(Table1[[#This Row],[Std Adj Read]]&lt;=Table1[[#This Row],[High Tol]],"Pass","Fail"),IF(Table1[[#This Row],[DUT Adj Read]]&lt;=Table1[[#This Row],[High Tol]],"Pass","Fail")))</f>
        <v>Fail</v>
      </c>
      <c r="AH23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0" s="1" t="b">
        <v>0</v>
      </c>
      <c r="AN2350" s="1" t="b">
        <v>0</v>
      </c>
      <c r="AO2350" s="1" t="b">
        <v>0</v>
      </c>
    </row>
    <row r="2351" spans="1:41" x14ac:dyDescent="0.25">
      <c r="A2351" s="10"/>
      <c r="B2351" s="10"/>
      <c r="C2351" s="10"/>
      <c r="D2351" s="10"/>
      <c r="E2351" s="10"/>
      <c r="F2351" s="10"/>
      <c r="G2351" s="10"/>
      <c r="H2351" s="10"/>
      <c r="I2351" s="1" t="str">
        <f t="shared" si="108"/>
        <v/>
      </c>
      <c r="J2351" s="1" t="s">
        <v>35</v>
      </c>
      <c r="K2351" s="1" t="str">
        <f t="shared" si="109"/>
        <v/>
      </c>
      <c r="L2351" s="1" t="str">
        <f t="shared" si="110"/>
        <v/>
      </c>
      <c r="M2351" s="1">
        <f>IF(OR(Table1[[#This Row],[Std Nom]]="",Table1[[#This Row],[Std Read]]=""),0,Table1[[#This Row],[Std Nom]]-Table1[[#This Row],[Std Read]])</f>
        <v>0</v>
      </c>
      <c r="N2351" s="1">
        <f>IF(Calculations!$F$5="ACCREDITED 17025 WITH UNCERTAINTIES",$N$10,0)</f>
        <v>0</v>
      </c>
      <c r="O2351" s="1" t="str">
        <f>IFERROR(Table1[[#This Row],[Std Nom]]-(_xlfn.XLOOKUP(Table1[[#This Row],[Manufacturer]]&amp;" "&amp;Table1[[#This Row],[Model]],Table13[MFR &amp; MDL],Table13[Tolerance % CW ],"")/100*Table1[[#This Row],[Std Nom]]),"")</f>
        <v/>
      </c>
      <c r="P2351" s="1" t="str">
        <f>IFERROR(Table1[[#This Row],[Std Nom]]+(_xlfn.XLOOKUP(Table1[[#This Row],[Manufacturer]]&amp;" "&amp;Table1[[#This Row],[Model]],Table13[MFR &amp; MDL],Table13[Tolerance % CW ],"")/100*Table1[[#This Row],[Std Nom]]),"")</f>
        <v/>
      </c>
      <c r="Q2351" s="1" t="e">
        <f>Table1[[#This Row],[High Tol]]-Table1[[#This Row],[Low Tol]]</f>
        <v>#VALUE!</v>
      </c>
      <c r="R2351" s="1">
        <f>2*Table1[[#This Row],[Std Error]]</f>
        <v>0</v>
      </c>
      <c r="S2351" s="1" t="str">
        <f>IF(Table1[[#This Row],[High Tol]]="","N/A",IFERROR(ABS(Table1[[#This Row],[Tol Span]]/Table1[[#This Row],[Error Span]]),"N/A"))</f>
        <v>N/A</v>
      </c>
      <c r="T2351" s="1" t="str">
        <f>IF(OR(Table1[[#This Row],[Low Tol]]="",Table1[[#This Row],[High Tol]]=""),"Needs Analysis",IF(Table1[[#This Row],[Ratio]]&gt;=4,"Not Significant",IF(Table1[[#This Row],[Ratio]]&gt;=2,"Semi-Significant","Significant")))</f>
        <v>Needs Analysis</v>
      </c>
      <c r="W2351" s="1">
        <f>IF(Table1[[#This Row],[Cal Type]]&lt;&gt;"ACCREDITED 17025 WITH UNCERTAINTIES",0,"")</f>
        <v>0</v>
      </c>
      <c r="X2351" s="1" t="str">
        <f>IF(Table1[[#This Row],[DUT Read]]="","N/A",Table1[[#This Row],[Std Error]]+Table1[[#This Row],[DUT Read]]+Table1[[#This Row],[DUT Ucty]])</f>
        <v>N/A</v>
      </c>
      <c r="Y2351" s="1" t="str">
        <f>IF(Table1[[#This Row],[Std Read]]="","N/A",Table1[[#This Row],[Std Read]]+Table1[[#This Row],[Std Ucty]])</f>
        <v>N/A</v>
      </c>
      <c r="Z23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1" s="1" t="str">
        <f>IF(Table1[[#This Row],[Spec Type]]="","N/A",Table1[[#This Row],[Spec Type]])</f>
        <v>±</v>
      </c>
      <c r="AC2351" s="1" t="str">
        <f>IF(Table1[[#This Row],[Spec Type2]]="N/A","N/A",IF(AND(Table1[[#This Row],[DUT Adj Read]]&gt;=Table1[[#This Row],[Low Tol]],Table1[[#This Row],[DUT Adj Read]]&lt;=Table1[[#This Row],[High Tol]]),"Pass","Fail"))</f>
        <v>Fail</v>
      </c>
      <c r="AD2351" s="1" t="str">
        <f>IF(AND(Table1[[#This Row],[Spec Type2]]="N/A",Table1[[#This Row],[DUT Adj Read]]="N/A",Table1[[#This Row],[Std Adj Read]]="N/A"),"N/A",IF(Table1[[#This Row],[DUT Adj Read]]="N/A",IF(Table1[[#This Row],[Std Adj Read]]&gt;Table1[[#This Row],[Low Tol]],"Pass","Fail"),IF(Table1[[#This Row],[DUT Adj Read]]&gt;Table1[[#This Row],[Low Tol]],"Pass","Fail")))</f>
        <v>Pass</v>
      </c>
      <c r="AE2351" s="1" t="str">
        <f>IF(AND(Table1[[#This Row],[Spec Type2]]="N/A",Table1[[#This Row],[DUT Adj Read]]="N/A",Table1[[#This Row],[Std Adj Read]]="N/A"),"N/A",IF(Table1[[#This Row],[DUT Adj Read]]="N/A",IF(Table1[[#This Row],[Std Adj Read]]&lt;Table1[[#This Row],[High Tol]],"Pass","Fail"),IF(Table1[[#This Row],[DUT Adj Read]]&lt;Table1[[#This Row],[High Tol]],"Pass","Fail")))</f>
        <v>Fail</v>
      </c>
      <c r="AF2351" s="1" t="str">
        <f>IF(AND(Table1[[#This Row],[Spec Type2]]="N/A",Table1[[#This Row],[DUT Adj Read]]="N/A",Table1[[#This Row],[Std Adj Read]]="N/A"),"N/A",IF(Table1[[#This Row],[DUT Adj Read]]="N/A",IF(Table1[[#This Row],[Std Adj Read]]&gt;=Table1[[#This Row],[Low Tol]],"Pass","Fail"),IF(Table1[[#This Row],[DUT Adj Read]]&gt;=Table1[[#This Row],[Low Tol]],"Pass","Fail")))</f>
        <v>Pass</v>
      </c>
      <c r="AG2351" s="1" t="str">
        <f>IF(AND(Table1[[#This Row],[Spec Type2]]="N/A",Table1[[#This Row],[DUT Adj Read]]="N/A",Table1[[#This Row],[Std Adj Read]]="N/A"),"N/A",IF(Table1[[#This Row],[DUT Adj Read]]="N/A",IF(Table1[[#This Row],[Std Adj Read]]&lt;=Table1[[#This Row],[High Tol]],"Pass","Fail"),IF(Table1[[#This Row],[DUT Adj Read]]&lt;=Table1[[#This Row],[High Tol]],"Pass","Fail")))</f>
        <v>Fail</v>
      </c>
      <c r="AH23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1" s="1" t="b">
        <v>0</v>
      </c>
      <c r="AN2351" s="1" t="b">
        <v>0</v>
      </c>
      <c r="AO2351" s="1" t="b">
        <v>0</v>
      </c>
    </row>
    <row r="2352" spans="1:41" x14ac:dyDescent="0.25">
      <c r="A2352" s="10"/>
      <c r="B2352" s="10"/>
      <c r="C2352" s="10"/>
      <c r="D2352" s="10"/>
      <c r="E2352" s="10"/>
      <c r="F2352" s="10"/>
      <c r="G2352" s="10"/>
      <c r="H2352" s="10"/>
      <c r="I2352" s="1" t="str">
        <f t="shared" si="108"/>
        <v/>
      </c>
      <c r="J2352" s="1" t="s">
        <v>35</v>
      </c>
      <c r="K2352" s="1" t="str">
        <f t="shared" si="109"/>
        <v/>
      </c>
      <c r="L2352" s="1" t="str">
        <f t="shared" si="110"/>
        <v/>
      </c>
      <c r="M2352" s="1">
        <f>IF(OR(Table1[[#This Row],[Std Nom]]="",Table1[[#This Row],[Std Read]]=""),0,Table1[[#This Row],[Std Nom]]-Table1[[#This Row],[Std Read]])</f>
        <v>0</v>
      </c>
      <c r="N2352" s="1">
        <f>IF(Calculations!$F$5="ACCREDITED 17025 WITH UNCERTAINTIES",$N$10,0)</f>
        <v>0</v>
      </c>
      <c r="O2352" s="1" t="str">
        <f>IFERROR(Table1[[#This Row],[Std Nom]]-(_xlfn.XLOOKUP(Table1[[#This Row],[Manufacturer]]&amp;" "&amp;Table1[[#This Row],[Model]],Table13[MFR &amp; MDL],Table13[Tolerance % CW ],"")/100*Table1[[#This Row],[Std Nom]]),"")</f>
        <v/>
      </c>
      <c r="P2352" s="1" t="str">
        <f>IFERROR(Table1[[#This Row],[Std Nom]]+(_xlfn.XLOOKUP(Table1[[#This Row],[Manufacturer]]&amp;" "&amp;Table1[[#This Row],[Model]],Table13[MFR &amp; MDL],Table13[Tolerance % CW ],"")/100*Table1[[#This Row],[Std Nom]]),"")</f>
        <v/>
      </c>
      <c r="Q2352" s="1" t="e">
        <f>Table1[[#This Row],[High Tol]]-Table1[[#This Row],[Low Tol]]</f>
        <v>#VALUE!</v>
      </c>
      <c r="R2352" s="1">
        <f>2*Table1[[#This Row],[Std Error]]</f>
        <v>0</v>
      </c>
      <c r="S2352" s="1" t="str">
        <f>IF(Table1[[#This Row],[High Tol]]="","N/A",IFERROR(ABS(Table1[[#This Row],[Tol Span]]/Table1[[#This Row],[Error Span]]),"N/A"))</f>
        <v>N/A</v>
      </c>
      <c r="T2352" s="1" t="str">
        <f>IF(OR(Table1[[#This Row],[Low Tol]]="",Table1[[#This Row],[High Tol]]=""),"Needs Analysis",IF(Table1[[#This Row],[Ratio]]&gt;=4,"Not Significant",IF(Table1[[#This Row],[Ratio]]&gt;=2,"Semi-Significant","Significant")))</f>
        <v>Needs Analysis</v>
      </c>
      <c r="W2352" s="1">
        <f>IF(Table1[[#This Row],[Cal Type]]&lt;&gt;"ACCREDITED 17025 WITH UNCERTAINTIES",0,"")</f>
        <v>0</v>
      </c>
      <c r="X2352" s="1" t="str">
        <f>IF(Table1[[#This Row],[DUT Read]]="","N/A",Table1[[#This Row],[Std Error]]+Table1[[#This Row],[DUT Read]]+Table1[[#This Row],[DUT Ucty]])</f>
        <v>N/A</v>
      </c>
      <c r="Y2352" s="1" t="str">
        <f>IF(Table1[[#This Row],[Std Read]]="","N/A",Table1[[#This Row],[Std Read]]+Table1[[#This Row],[Std Ucty]])</f>
        <v>N/A</v>
      </c>
      <c r="Z23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2" s="1" t="str">
        <f>IF(Table1[[#This Row],[Spec Type]]="","N/A",Table1[[#This Row],[Spec Type]])</f>
        <v>±</v>
      </c>
      <c r="AC2352" s="1" t="str">
        <f>IF(Table1[[#This Row],[Spec Type2]]="N/A","N/A",IF(AND(Table1[[#This Row],[DUT Adj Read]]&gt;=Table1[[#This Row],[Low Tol]],Table1[[#This Row],[DUT Adj Read]]&lt;=Table1[[#This Row],[High Tol]]),"Pass","Fail"))</f>
        <v>Fail</v>
      </c>
      <c r="AD2352" s="1" t="str">
        <f>IF(AND(Table1[[#This Row],[Spec Type2]]="N/A",Table1[[#This Row],[DUT Adj Read]]="N/A",Table1[[#This Row],[Std Adj Read]]="N/A"),"N/A",IF(Table1[[#This Row],[DUT Adj Read]]="N/A",IF(Table1[[#This Row],[Std Adj Read]]&gt;Table1[[#This Row],[Low Tol]],"Pass","Fail"),IF(Table1[[#This Row],[DUT Adj Read]]&gt;Table1[[#This Row],[Low Tol]],"Pass","Fail")))</f>
        <v>Pass</v>
      </c>
      <c r="AE2352" s="1" t="str">
        <f>IF(AND(Table1[[#This Row],[Spec Type2]]="N/A",Table1[[#This Row],[DUT Adj Read]]="N/A",Table1[[#This Row],[Std Adj Read]]="N/A"),"N/A",IF(Table1[[#This Row],[DUT Adj Read]]="N/A",IF(Table1[[#This Row],[Std Adj Read]]&lt;Table1[[#This Row],[High Tol]],"Pass","Fail"),IF(Table1[[#This Row],[DUT Adj Read]]&lt;Table1[[#This Row],[High Tol]],"Pass","Fail")))</f>
        <v>Fail</v>
      </c>
      <c r="AF2352" s="1" t="str">
        <f>IF(AND(Table1[[#This Row],[Spec Type2]]="N/A",Table1[[#This Row],[DUT Adj Read]]="N/A",Table1[[#This Row],[Std Adj Read]]="N/A"),"N/A",IF(Table1[[#This Row],[DUT Adj Read]]="N/A",IF(Table1[[#This Row],[Std Adj Read]]&gt;=Table1[[#This Row],[Low Tol]],"Pass","Fail"),IF(Table1[[#This Row],[DUT Adj Read]]&gt;=Table1[[#This Row],[Low Tol]],"Pass","Fail")))</f>
        <v>Pass</v>
      </c>
      <c r="AG2352" s="1" t="str">
        <f>IF(AND(Table1[[#This Row],[Spec Type2]]="N/A",Table1[[#This Row],[DUT Adj Read]]="N/A",Table1[[#This Row],[Std Adj Read]]="N/A"),"N/A",IF(Table1[[#This Row],[DUT Adj Read]]="N/A",IF(Table1[[#This Row],[Std Adj Read]]&lt;=Table1[[#This Row],[High Tol]],"Pass","Fail"),IF(Table1[[#This Row],[DUT Adj Read]]&lt;=Table1[[#This Row],[High Tol]],"Pass","Fail")))</f>
        <v>Fail</v>
      </c>
      <c r="AH23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2" s="1" t="b">
        <v>0</v>
      </c>
      <c r="AN2352" s="1" t="b">
        <v>0</v>
      </c>
      <c r="AO2352" s="1" t="b">
        <v>0</v>
      </c>
    </row>
    <row r="2353" spans="1:41" x14ac:dyDescent="0.25">
      <c r="A2353" s="10"/>
      <c r="B2353" s="10"/>
      <c r="C2353" s="10"/>
      <c r="D2353" s="10"/>
      <c r="E2353" s="10"/>
      <c r="F2353" s="10"/>
      <c r="G2353" s="10"/>
      <c r="H2353" s="10"/>
      <c r="I2353" s="1" t="str">
        <f t="shared" si="108"/>
        <v/>
      </c>
      <c r="J2353" s="1" t="s">
        <v>35</v>
      </c>
      <c r="K2353" s="1" t="str">
        <f t="shared" si="109"/>
        <v/>
      </c>
      <c r="L2353" s="1" t="str">
        <f t="shared" si="110"/>
        <v/>
      </c>
      <c r="M2353" s="1">
        <f>IF(OR(Table1[[#This Row],[Std Nom]]="",Table1[[#This Row],[Std Read]]=""),0,Table1[[#This Row],[Std Nom]]-Table1[[#This Row],[Std Read]])</f>
        <v>0</v>
      </c>
      <c r="N2353" s="1">
        <f>IF(Calculations!$F$5="ACCREDITED 17025 WITH UNCERTAINTIES",$N$10,0)</f>
        <v>0</v>
      </c>
      <c r="O2353" s="1" t="str">
        <f>IFERROR(Table1[[#This Row],[Std Nom]]-(_xlfn.XLOOKUP(Table1[[#This Row],[Manufacturer]]&amp;" "&amp;Table1[[#This Row],[Model]],Table13[MFR &amp; MDL],Table13[Tolerance % CW ],"")/100*Table1[[#This Row],[Std Nom]]),"")</f>
        <v/>
      </c>
      <c r="P2353" s="1" t="str">
        <f>IFERROR(Table1[[#This Row],[Std Nom]]+(_xlfn.XLOOKUP(Table1[[#This Row],[Manufacturer]]&amp;" "&amp;Table1[[#This Row],[Model]],Table13[MFR &amp; MDL],Table13[Tolerance % CW ],"")/100*Table1[[#This Row],[Std Nom]]),"")</f>
        <v/>
      </c>
      <c r="Q2353" s="1" t="e">
        <f>Table1[[#This Row],[High Tol]]-Table1[[#This Row],[Low Tol]]</f>
        <v>#VALUE!</v>
      </c>
      <c r="R2353" s="1">
        <f>2*Table1[[#This Row],[Std Error]]</f>
        <v>0</v>
      </c>
      <c r="S2353" s="1" t="str">
        <f>IF(Table1[[#This Row],[High Tol]]="","N/A",IFERROR(ABS(Table1[[#This Row],[Tol Span]]/Table1[[#This Row],[Error Span]]),"N/A"))</f>
        <v>N/A</v>
      </c>
      <c r="T2353" s="1" t="str">
        <f>IF(OR(Table1[[#This Row],[Low Tol]]="",Table1[[#This Row],[High Tol]]=""),"Needs Analysis",IF(Table1[[#This Row],[Ratio]]&gt;=4,"Not Significant",IF(Table1[[#This Row],[Ratio]]&gt;=2,"Semi-Significant","Significant")))</f>
        <v>Needs Analysis</v>
      </c>
      <c r="W2353" s="1">
        <f>IF(Table1[[#This Row],[Cal Type]]&lt;&gt;"ACCREDITED 17025 WITH UNCERTAINTIES",0,"")</f>
        <v>0</v>
      </c>
      <c r="X2353" s="1" t="str">
        <f>IF(Table1[[#This Row],[DUT Read]]="","N/A",Table1[[#This Row],[Std Error]]+Table1[[#This Row],[DUT Read]]+Table1[[#This Row],[DUT Ucty]])</f>
        <v>N/A</v>
      </c>
      <c r="Y2353" s="1" t="str">
        <f>IF(Table1[[#This Row],[Std Read]]="","N/A",Table1[[#This Row],[Std Read]]+Table1[[#This Row],[Std Ucty]])</f>
        <v>N/A</v>
      </c>
      <c r="Z23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3" s="1" t="str">
        <f>IF(Table1[[#This Row],[Spec Type]]="","N/A",Table1[[#This Row],[Spec Type]])</f>
        <v>±</v>
      </c>
      <c r="AC2353" s="1" t="str">
        <f>IF(Table1[[#This Row],[Spec Type2]]="N/A","N/A",IF(AND(Table1[[#This Row],[DUT Adj Read]]&gt;=Table1[[#This Row],[Low Tol]],Table1[[#This Row],[DUT Adj Read]]&lt;=Table1[[#This Row],[High Tol]]),"Pass","Fail"))</f>
        <v>Fail</v>
      </c>
      <c r="AD2353" s="1" t="str">
        <f>IF(AND(Table1[[#This Row],[Spec Type2]]="N/A",Table1[[#This Row],[DUT Adj Read]]="N/A",Table1[[#This Row],[Std Adj Read]]="N/A"),"N/A",IF(Table1[[#This Row],[DUT Adj Read]]="N/A",IF(Table1[[#This Row],[Std Adj Read]]&gt;Table1[[#This Row],[Low Tol]],"Pass","Fail"),IF(Table1[[#This Row],[DUT Adj Read]]&gt;Table1[[#This Row],[Low Tol]],"Pass","Fail")))</f>
        <v>Pass</v>
      </c>
      <c r="AE2353" s="1" t="str">
        <f>IF(AND(Table1[[#This Row],[Spec Type2]]="N/A",Table1[[#This Row],[DUT Adj Read]]="N/A",Table1[[#This Row],[Std Adj Read]]="N/A"),"N/A",IF(Table1[[#This Row],[DUT Adj Read]]="N/A",IF(Table1[[#This Row],[Std Adj Read]]&lt;Table1[[#This Row],[High Tol]],"Pass","Fail"),IF(Table1[[#This Row],[DUT Adj Read]]&lt;Table1[[#This Row],[High Tol]],"Pass","Fail")))</f>
        <v>Fail</v>
      </c>
      <c r="AF2353" s="1" t="str">
        <f>IF(AND(Table1[[#This Row],[Spec Type2]]="N/A",Table1[[#This Row],[DUT Adj Read]]="N/A",Table1[[#This Row],[Std Adj Read]]="N/A"),"N/A",IF(Table1[[#This Row],[DUT Adj Read]]="N/A",IF(Table1[[#This Row],[Std Adj Read]]&gt;=Table1[[#This Row],[Low Tol]],"Pass","Fail"),IF(Table1[[#This Row],[DUT Adj Read]]&gt;=Table1[[#This Row],[Low Tol]],"Pass","Fail")))</f>
        <v>Pass</v>
      </c>
      <c r="AG2353" s="1" t="str">
        <f>IF(AND(Table1[[#This Row],[Spec Type2]]="N/A",Table1[[#This Row],[DUT Adj Read]]="N/A",Table1[[#This Row],[Std Adj Read]]="N/A"),"N/A",IF(Table1[[#This Row],[DUT Adj Read]]="N/A",IF(Table1[[#This Row],[Std Adj Read]]&lt;=Table1[[#This Row],[High Tol]],"Pass","Fail"),IF(Table1[[#This Row],[DUT Adj Read]]&lt;=Table1[[#This Row],[High Tol]],"Pass","Fail")))</f>
        <v>Fail</v>
      </c>
      <c r="AH23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3" s="1" t="b">
        <v>0</v>
      </c>
      <c r="AN2353" s="1" t="b">
        <v>0</v>
      </c>
      <c r="AO2353" s="1" t="b">
        <v>0</v>
      </c>
    </row>
    <row r="2354" spans="1:41" x14ac:dyDescent="0.25">
      <c r="A2354" s="10"/>
      <c r="B2354" s="10"/>
      <c r="C2354" s="10"/>
      <c r="D2354" s="10"/>
      <c r="E2354" s="10"/>
      <c r="F2354" s="10"/>
      <c r="G2354" s="10"/>
      <c r="H2354" s="10"/>
      <c r="I2354" s="1" t="str">
        <f t="shared" si="108"/>
        <v/>
      </c>
      <c r="J2354" s="1" t="s">
        <v>35</v>
      </c>
      <c r="K2354" s="1" t="str">
        <f t="shared" si="109"/>
        <v/>
      </c>
      <c r="L2354" s="1" t="str">
        <f t="shared" si="110"/>
        <v/>
      </c>
      <c r="M2354" s="1">
        <f>IF(OR(Table1[[#This Row],[Std Nom]]="",Table1[[#This Row],[Std Read]]=""),0,Table1[[#This Row],[Std Nom]]-Table1[[#This Row],[Std Read]])</f>
        <v>0</v>
      </c>
      <c r="N2354" s="1">
        <f>IF(Calculations!$F$5="ACCREDITED 17025 WITH UNCERTAINTIES",$N$10,0)</f>
        <v>0</v>
      </c>
      <c r="O2354" s="1" t="str">
        <f>IFERROR(Table1[[#This Row],[Std Nom]]-(_xlfn.XLOOKUP(Table1[[#This Row],[Manufacturer]]&amp;" "&amp;Table1[[#This Row],[Model]],Table13[MFR &amp; MDL],Table13[Tolerance % CW ],"")/100*Table1[[#This Row],[Std Nom]]),"")</f>
        <v/>
      </c>
      <c r="P2354" s="1" t="str">
        <f>IFERROR(Table1[[#This Row],[Std Nom]]+(_xlfn.XLOOKUP(Table1[[#This Row],[Manufacturer]]&amp;" "&amp;Table1[[#This Row],[Model]],Table13[MFR &amp; MDL],Table13[Tolerance % CW ],"")/100*Table1[[#This Row],[Std Nom]]),"")</f>
        <v/>
      </c>
      <c r="Q2354" s="1" t="e">
        <f>Table1[[#This Row],[High Tol]]-Table1[[#This Row],[Low Tol]]</f>
        <v>#VALUE!</v>
      </c>
      <c r="R2354" s="1">
        <f>2*Table1[[#This Row],[Std Error]]</f>
        <v>0</v>
      </c>
      <c r="S2354" s="1" t="str">
        <f>IF(Table1[[#This Row],[High Tol]]="","N/A",IFERROR(ABS(Table1[[#This Row],[Tol Span]]/Table1[[#This Row],[Error Span]]),"N/A"))</f>
        <v>N/A</v>
      </c>
      <c r="T2354" s="1" t="str">
        <f>IF(OR(Table1[[#This Row],[Low Tol]]="",Table1[[#This Row],[High Tol]]=""),"Needs Analysis",IF(Table1[[#This Row],[Ratio]]&gt;=4,"Not Significant",IF(Table1[[#This Row],[Ratio]]&gt;=2,"Semi-Significant","Significant")))</f>
        <v>Needs Analysis</v>
      </c>
      <c r="W2354" s="1">
        <f>IF(Table1[[#This Row],[Cal Type]]&lt;&gt;"ACCREDITED 17025 WITH UNCERTAINTIES",0,"")</f>
        <v>0</v>
      </c>
      <c r="X2354" s="1" t="str">
        <f>IF(Table1[[#This Row],[DUT Read]]="","N/A",Table1[[#This Row],[Std Error]]+Table1[[#This Row],[DUT Read]]+Table1[[#This Row],[DUT Ucty]])</f>
        <v>N/A</v>
      </c>
      <c r="Y2354" s="1" t="str">
        <f>IF(Table1[[#This Row],[Std Read]]="","N/A",Table1[[#This Row],[Std Read]]+Table1[[#This Row],[Std Ucty]])</f>
        <v>N/A</v>
      </c>
      <c r="Z23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4" s="1" t="str">
        <f>IF(Table1[[#This Row],[Spec Type]]="","N/A",Table1[[#This Row],[Spec Type]])</f>
        <v>±</v>
      </c>
      <c r="AC2354" s="1" t="str">
        <f>IF(Table1[[#This Row],[Spec Type2]]="N/A","N/A",IF(AND(Table1[[#This Row],[DUT Adj Read]]&gt;=Table1[[#This Row],[Low Tol]],Table1[[#This Row],[DUT Adj Read]]&lt;=Table1[[#This Row],[High Tol]]),"Pass","Fail"))</f>
        <v>Fail</v>
      </c>
      <c r="AD2354" s="1" t="str">
        <f>IF(AND(Table1[[#This Row],[Spec Type2]]="N/A",Table1[[#This Row],[DUT Adj Read]]="N/A",Table1[[#This Row],[Std Adj Read]]="N/A"),"N/A",IF(Table1[[#This Row],[DUT Adj Read]]="N/A",IF(Table1[[#This Row],[Std Adj Read]]&gt;Table1[[#This Row],[Low Tol]],"Pass","Fail"),IF(Table1[[#This Row],[DUT Adj Read]]&gt;Table1[[#This Row],[Low Tol]],"Pass","Fail")))</f>
        <v>Pass</v>
      </c>
      <c r="AE2354" s="1" t="str">
        <f>IF(AND(Table1[[#This Row],[Spec Type2]]="N/A",Table1[[#This Row],[DUT Adj Read]]="N/A",Table1[[#This Row],[Std Adj Read]]="N/A"),"N/A",IF(Table1[[#This Row],[DUT Adj Read]]="N/A",IF(Table1[[#This Row],[Std Adj Read]]&lt;Table1[[#This Row],[High Tol]],"Pass","Fail"),IF(Table1[[#This Row],[DUT Adj Read]]&lt;Table1[[#This Row],[High Tol]],"Pass","Fail")))</f>
        <v>Fail</v>
      </c>
      <c r="AF2354" s="1" t="str">
        <f>IF(AND(Table1[[#This Row],[Spec Type2]]="N/A",Table1[[#This Row],[DUT Adj Read]]="N/A",Table1[[#This Row],[Std Adj Read]]="N/A"),"N/A",IF(Table1[[#This Row],[DUT Adj Read]]="N/A",IF(Table1[[#This Row],[Std Adj Read]]&gt;=Table1[[#This Row],[Low Tol]],"Pass","Fail"),IF(Table1[[#This Row],[DUT Adj Read]]&gt;=Table1[[#This Row],[Low Tol]],"Pass","Fail")))</f>
        <v>Pass</v>
      </c>
      <c r="AG2354" s="1" t="str">
        <f>IF(AND(Table1[[#This Row],[Spec Type2]]="N/A",Table1[[#This Row],[DUT Adj Read]]="N/A",Table1[[#This Row],[Std Adj Read]]="N/A"),"N/A",IF(Table1[[#This Row],[DUT Adj Read]]="N/A",IF(Table1[[#This Row],[Std Adj Read]]&lt;=Table1[[#This Row],[High Tol]],"Pass","Fail"),IF(Table1[[#This Row],[DUT Adj Read]]&lt;=Table1[[#This Row],[High Tol]],"Pass","Fail")))</f>
        <v>Fail</v>
      </c>
      <c r="AH23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4" s="1" t="b">
        <v>0</v>
      </c>
      <c r="AN2354" s="1" t="b">
        <v>0</v>
      </c>
      <c r="AO2354" s="1" t="b">
        <v>0</v>
      </c>
    </row>
    <row r="2355" spans="1:41" x14ac:dyDescent="0.25">
      <c r="A2355" s="10"/>
      <c r="B2355" s="10"/>
      <c r="C2355" s="10"/>
      <c r="D2355" s="10"/>
      <c r="E2355" s="10"/>
      <c r="F2355" s="10"/>
      <c r="G2355" s="10"/>
      <c r="H2355" s="10"/>
      <c r="I2355" s="1" t="str">
        <f t="shared" si="108"/>
        <v/>
      </c>
      <c r="J2355" s="1" t="s">
        <v>35</v>
      </c>
      <c r="K2355" s="1" t="str">
        <f t="shared" si="109"/>
        <v/>
      </c>
      <c r="L2355" s="1" t="str">
        <f t="shared" si="110"/>
        <v/>
      </c>
      <c r="M2355" s="1">
        <f>IF(OR(Table1[[#This Row],[Std Nom]]="",Table1[[#This Row],[Std Read]]=""),0,Table1[[#This Row],[Std Nom]]-Table1[[#This Row],[Std Read]])</f>
        <v>0</v>
      </c>
      <c r="N2355" s="1">
        <f>IF(Calculations!$F$5="ACCREDITED 17025 WITH UNCERTAINTIES",$N$10,0)</f>
        <v>0</v>
      </c>
      <c r="O2355" s="1" t="str">
        <f>IFERROR(Table1[[#This Row],[Std Nom]]-(_xlfn.XLOOKUP(Table1[[#This Row],[Manufacturer]]&amp;" "&amp;Table1[[#This Row],[Model]],Table13[MFR &amp; MDL],Table13[Tolerance % CW ],"")/100*Table1[[#This Row],[Std Nom]]),"")</f>
        <v/>
      </c>
      <c r="P2355" s="1" t="str">
        <f>IFERROR(Table1[[#This Row],[Std Nom]]+(_xlfn.XLOOKUP(Table1[[#This Row],[Manufacturer]]&amp;" "&amp;Table1[[#This Row],[Model]],Table13[MFR &amp; MDL],Table13[Tolerance % CW ],"")/100*Table1[[#This Row],[Std Nom]]),"")</f>
        <v/>
      </c>
      <c r="Q2355" s="1" t="e">
        <f>Table1[[#This Row],[High Tol]]-Table1[[#This Row],[Low Tol]]</f>
        <v>#VALUE!</v>
      </c>
      <c r="R2355" s="1">
        <f>2*Table1[[#This Row],[Std Error]]</f>
        <v>0</v>
      </c>
      <c r="S2355" s="1" t="str">
        <f>IF(Table1[[#This Row],[High Tol]]="","N/A",IFERROR(ABS(Table1[[#This Row],[Tol Span]]/Table1[[#This Row],[Error Span]]),"N/A"))</f>
        <v>N/A</v>
      </c>
      <c r="T2355" s="1" t="str">
        <f>IF(OR(Table1[[#This Row],[Low Tol]]="",Table1[[#This Row],[High Tol]]=""),"Needs Analysis",IF(Table1[[#This Row],[Ratio]]&gt;=4,"Not Significant",IF(Table1[[#This Row],[Ratio]]&gt;=2,"Semi-Significant","Significant")))</f>
        <v>Needs Analysis</v>
      </c>
      <c r="W2355" s="1">
        <f>IF(Table1[[#This Row],[Cal Type]]&lt;&gt;"ACCREDITED 17025 WITH UNCERTAINTIES",0,"")</f>
        <v>0</v>
      </c>
      <c r="X2355" s="1" t="str">
        <f>IF(Table1[[#This Row],[DUT Read]]="","N/A",Table1[[#This Row],[Std Error]]+Table1[[#This Row],[DUT Read]]+Table1[[#This Row],[DUT Ucty]])</f>
        <v>N/A</v>
      </c>
      <c r="Y2355" s="1" t="str">
        <f>IF(Table1[[#This Row],[Std Read]]="","N/A",Table1[[#This Row],[Std Read]]+Table1[[#This Row],[Std Ucty]])</f>
        <v>N/A</v>
      </c>
      <c r="Z23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5" s="1" t="str">
        <f>IF(Table1[[#This Row],[Spec Type]]="","N/A",Table1[[#This Row],[Spec Type]])</f>
        <v>±</v>
      </c>
      <c r="AC2355" s="1" t="str">
        <f>IF(Table1[[#This Row],[Spec Type2]]="N/A","N/A",IF(AND(Table1[[#This Row],[DUT Adj Read]]&gt;=Table1[[#This Row],[Low Tol]],Table1[[#This Row],[DUT Adj Read]]&lt;=Table1[[#This Row],[High Tol]]),"Pass","Fail"))</f>
        <v>Fail</v>
      </c>
      <c r="AD2355" s="1" t="str">
        <f>IF(AND(Table1[[#This Row],[Spec Type2]]="N/A",Table1[[#This Row],[DUT Adj Read]]="N/A",Table1[[#This Row],[Std Adj Read]]="N/A"),"N/A",IF(Table1[[#This Row],[DUT Adj Read]]="N/A",IF(Table1[[#This Row],[Std Adj Read]]&gt;Table1[[#This Row],[Low Tol]],"Pass","Fail"),IF(Table1[[#This Row],[DUT Adj Read]]&gt;Table1[[#This Row],[Low Tol]],"Pass","Fail")))</f>
        <v>Pass</v>
      </c>
      <c r="AE2355" s="1" t="str">
        <f>IF(AND(Table1[[#This Row],[Spec Type2]]="N/A",Table1[[#This Row],[DUT Adj Read]]="N/A",Table1[[#This Row],[Std Adj Read]]="N/A"),"N/A",IF(Table1[[#This Row],[DUT Adj Read]]="N/A",IF(Table1[[#This Row],[Std Adj Read]]&lt;Table1[[#This Row],[High Tol]],"Pass","Fail"),IF(Table1[[#This Row],[DUT Adj Read]]&lt;Table1[[#This Row],[High Tol]],"Pass","Fail")))</f>
        <v>Fail</v>
      </c>
      <c r="AF2355" s="1" t="str">
        <f>IF(AND(Table1[[#This Row],[Spec Type2]]="N/A",Table1[[#This Row],[DUT Adj Read]]="N/A",Table1[[#This Row],[Std Adj Read]]="N/A"),"N/A",IF(Table1[[#This Row],[DUT Adj Read]]="N/A",IF(Table1[[#This Row],[Std Adj Read]]&gt;=Table1[[#This Row],[Low Tol]],"Pass","Fail"),IF(Table1[[#This Row],[DUT Adj Read]]&gt;=Table1[[#This Row],[Low Tol]],"Pass","Fail")))</f>
        <v>Pass</v>
      </c>
      <c r="AG2355" s="1" t="str">
        <f>IF(AND(Table1[[#This Row],[Spec Type2]]="N/A",Table1[[#This Row],[DUT Adj Read]]="N/A",Table1[[#This Row],[Std Adj Read]]="N/A"),"N/A",IF(Table1[[#This Row],[DUT Adj Read]]="N/A",IF(Table1[[#This Row],[Std Adj Read]]&lt;=Table1[[#This Row],[High Tol]],"Pass","Fail"),IF(Table1[[#This Row],[DUT Adj Read]]&lt;=Table1[[#This Row],[High Tol]],"Pass","Fail")))</f>
        <v>Fail</v>
      </c>
      <c r="AH23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5" s="1" t="b">
        <v>0</v>
      </c>
      <c r="AN2355" s="1" t="b">
        <v>0</v>
      </c>
      <c r="AO2355" s="1" t="b">
        <v>0</v>
      </c>
    </row>
    <row r="2356" spans="1:41" x14ac:dyDescent="0.25">
      <c r="A2356" s="10"/>
      <c r="B2356" s="10"/>
      <c r="C2356" s="10"/>
      <c r="D2356" s="10"/>
      <c r="E2356" s="10"/>
      <c r="F2356" s="10"/>
      <c r="G2356" s="10"/>
      <c r="H2356" s="10"/>
      <c r="I2356" s="1" t="str">
        <f t="shared" si="108"/>
        <v/>
      </c>
      <c r="J2356" s="1" t="s">
        <v>35</v>
      </c>
      <c r="K2356" s="1" t="str">
        <f t="shared" si="109"/>
        <v/>
      </c>
      <c r="L2356" s="1" t="str">
        <f t="shared" si="110"/>
        <v/>
      </c>
      <c r="M2356" s="1">
        <f>IF(OR(Table1[[#This Row],[Std Nom]]="",Table1[[#This Row],[Std Read]]=""),0,Table1[[#This Row],[Std Nom]]-Table1[[#This Row],[Std Read]])</f>
        <v>0</v>
      </c>
      <c r="N2356" s="1">
        <f>IF(Calculations!$F$5="ACCREDITED 17025 WITH UNCERTAINTIES",$N$10,0)</f>
        <v>0</v>
      </c>
      <c r="O2356" s="1" t="str">
        <f>IFERROR(Table1[[#This Row],[Std Nom]]-(_xlfn.XLOOKUP(Table1[[#This Row],[Manufacturer]]&amp;" "&amp;Table1[[#This Row],[Model]],Table13[MFR &amp; MDL],Table13[Tolerance % CW ],"")/100*Table1[[#This Row],[Std Nom]]),"")</f>
        <v/>
      </c>
      <c r="P2356" s="1" t="str">
        <f>IFERROR(Table1[[#This Row],[Std Nom]]+(_xlfn.XLOOKUP(Table1[[#This Row],[Manufacturer]]&amp;" "&amp;Table1[[#This Row],[Model]],Table13[MFR &amp; MDL],Table13[Tolerance % CW ],"")/100*Table1[[#This Row],[Std Nom]]),"")</f>
        <v/>
      </c>
      <c r="Q2356" s="1" t="e">
        <f>Table1[[#This Row],[High Tol]]-Table1[[#This Row],[Low Tol]]</f>
        <v>#VALUE!</v>
      </c>
      <c r="R2356" s="1">
        <f>2*Table1[[#This Row],[Std Error]]</f>
        <v>0</v>
      </c>
      <c r="S2356" s="1" t="str">
        <f>IF(Table1[[#This Row],[High Tol]]="","N/A",IFERROR(ABS(Table1[[#This Row],[Tol Span]]/Table1[[#This Row],[Error Span]]),"N/A"))</f>
        <v>N/A</v>
      </c>
      <c r="T2356" s="1" t="str">
        <f>IF(OR(Table1[[#This Row],[Low Tol]]="",Table1[[#This Row],[High Tol]]=""),"Needs Analysis",IF(Table1[[#This Row],[Ratio]]&gt;=4,"Not Significant",IF(Table1[[#This Row],[Ratio]]&gt;=2,"Semi-Significant","Significant")))</f>
        <v>Needs Analysis</v>
      </c>
      <c r="W2356" s="1">
        <f>IF(Table1[[#This Row],[Cal Type]]&lt;&gt;"ACCREDITED 17025 WITH UNCERTAINTIES",0,"")</f>
        <v>0</v>
      </c>
      <c r="X2356" s="1" t="str">
        <f>IF(Table1[[#This Row],[DUT Read]]="","N/A",Table1[[#This Row],[Std Error]]+Table1[[#This Row],[DUT Read]]+Table1[[#This Row],[DUT Ucty]])</f>
        <v>N/A</v>
      </c>
      <c r="Y2356" s="1" t="str">
        <f>IF(Table1[[#This Row],[Std Read]]="","N/A",Table1[[#This Row],[Std Read]]+Table1[[#This Row],[Std Ucty]])</f>
        <v>N/A</v>
      </c>
      <c r="Z23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6" s="1" t="str">
        <f>IF(Table1[[#This Row],[Spec Type]]="","N/A",Table1[[#This Row],[Spec Type]])</f>
        <v>±</v>
      </c>
      <c r="AC2356" s="1" t="str">
        <f>IF(Table1[[#This Row],[Spec Type2]]="N/A","N/A",IF(AND(Table1[[#This Row],[DUT Adj Read]]&gt;=Table1[[#This Row],[Low Tol]],Table1[[#This Row],[DUT Adj Read]]&lt;=Table1[[#This Row],[High Tol]]),"Pass","Fail"))</f>
        <v>Fail</v>
      </c>
      <c r="AD2356" s="1" t="str">
        <f>IF(AND(Table1[[#This Row],[Spec Type2]]="N/A",Table1[[#This Row],[DUT Adj Read]]="N/A",Table1[[#This Row],[Std Adj Read]]="N/A"),"N/A",IF(Table1[[#This Row],[DUT Adj Read]]="N/A",IF(Table1[[#This Row],[Std Adj Read]]&gt;Table1[[#This Row],[Low Tol]],"Pass","Fail"),IF(Table1[[#This Row],[DUT Adj Read]]&gt;Table1[[#This Row],[Low Tol]],"Pass","Fail")))</f>
        <v>Pass</v>
      </c>
      <c r="AE2356" s="1" t="str">
        <f>IF(AND(Table1[[#This Row],[Spec Type2]]="N/A",Table1[[#This Row],[DUT Adj Read]]="N/A",Table1[[#This Row],[Std Adj Read]]="N/A"),"N/A",IF(Table1[[#This Row],[DUT Adj Read]]="N/A",IF(Table1[[#This Row],[Std Adj Read]]&lt;Table1[[#This Row],[High Tol]],"Pass","Fail"),IF(Table1[[#This Row],[DUT Adj Read]]&lt;Table1[[#This Row],[High Tol]],"Pass","Fail")))</f>
        <v>Fail</v>
      </c>
      <c r="AF2356" s="1" t="str">
        <f>IF(AND(Table1[[#This Row],[Spec Type2]]="N/A",Table1[[#This Row],[DUT Adj Read]]="N/A",Table1[[#This Row],[Std Adj Read]]="N/A"),"N/A",IF(Table1[[#This Row],[DUT Adj Read]]="N/A",IF(Table1[[#This Row],[Std Adj Read]]&gt;=Table1[[#This Row],[Low Tol]],"Pass","Fail"),IF(Table1[[#This Row],[DUT Adj Read]]&gt;=Table1[[#This Row],[Low Tol]],"Pass","Fail")))</f>
        <v>Pass</v>
      </c>
      <c r="AG2356" s="1" t="str">
        <f>IF(AND(Table1[[#This Row],[Spec Type2]]="N/A",Table1[[#This Row],[DUT Adj Read]]="N/A",Table1[[#This Row],[Std Adj Read]]="N/A"),"N/A",IF(Table1[[#This Row],[DUT Adj Read]]="N/A",IF(Table1[[#This Row],[Std Adj Read]]&lt;=Table1[[#This Row],[High Tol]],"Pass","Fail"),IF(Table1[[#This Row],[DUT Adj Read]]&lt;=Table1[[#This Row],[High Tol]],"Pass","Fail")))</f>
        <v>Fail</v>
      </c>
      <c r="AH23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6" s="1" t="b">
        <v>0</v>
      </c>
      <c r="AN2356" s="1" t="b">
        <v>0</v>
      </c>
      <c r="AO2356" s="1" t="b">
        <v>0</v>
      </c>
    </row>
    <row r="2357" spans="1:41" x14ac:dyDescent="0.25">
      <c r="A2357" s="10"/>
      <c r="B2357" s="10"/>
      <c r="C2357" s="10"/>
      <c r="D2357" s="10"/>
      <c r="E2357" s="10"/>
      <c r="F2357" s="10"/>
      <c r="G2357" s="10"/>
      <c r="H2357" s="10"/>
      <c r="I2357" s="1" t="str">
        <f t="shared" si="108"/>
        <v/>
      </c>
      <c r="J2357" s="1" t="s">
        <v>35</v>
      </c>
      <c r="K2357" s="1" t="str">
        <f t="shared" si="109"/>
        <v/>
      </c>
      <c r="L2357" s="1" t="str">
        <f t="shared" si="110"/>
        <v/>
      </c>
      <c r="M2357" s="1">
        <f>IF(OR(Table1[[#This Row],[Std Nom]]="",Table1[[#This Row],[Std Read]]=""),0,Table1[[#This Row],[Std Nom]]-Table1[[#This Row],[Std Read]])</f>
        <v>0</v>
      </c>
      <c r="N2357" s="1">
        <f>IF(Calculations!$F$5="ACCREDITED 17025 WITH UNCERTAINTIES",$N$10,0)</f>
        <v>0</v>
      </c>
      <c r="O2357" s="1" t="str">
        <f>IFERROR(Table1[[#This Row],[Std Nom]]-(_xlfn.XLOOKUP(Table1[[#This Row],[Manufacturer]]&amp;" "&amp;Table1[[#This Row],[Model]],Table13[MFR &amp; MDL],Table13[Tolerance % CW ],"")/100*Table1[[#This Row],[Std Nom]]),"")</f>
        <v/>
      </c>
      <c r="P2357" s="1" t="str">
        <f>IFERROR(Table1[[#This Row],[Std Nom]]+(_xlfn.XLOOKUP(Table1[[#This Row],[Manufacturer]]&amp;" "&amp;Table1[[#This Row],[Model]],Table13[MFR &amp; MDL],Table13[Tolerance % CW ],"")/100*Table1[[#This Row],[Std Nom]]),"")</f>
        <v/>
      </c>
      <c r="Q2357" s="1" t="e">
        <f>Table1[[#This Row],[High Tol]]-Table1[[#This Row],[Low Tol]]</f>
        <v>#VALUE!</v>
      </c>
      <c r="R2357" s="1">
        <f>2*Table1[[#This Row],[Std Error]]</f>
        <v>0</v>
      </c>
      <c r="S2357" s="1" t="str">
        <f>IF(Table1[[#This Row],[High Tol]]="","N/A",IFERROR(ABS(Table1[[#This Row],[Tol Span]]/Table1[[#This Row],[Error Span]]),"N/A"))</f>
        <v>N/A</v>
      </c>
      <c r="T2357" s="1" t="str">
        <f>IF(OR(Table1[[#This Row],[Low Tol]]="",Table1[[#This Row],[High Tol]]=""),"Needs Analysis",IF(Table1[[#This Row],[Ratio]]&gt;=4,"Not Significant",IF(Table1[[#This Row],[Ratio]]&gt;=2,"Semi-Significant","Significant")))</f>
        <v>Needs Analysis</v>
      </c>
      <c r="W2357" s="1">
        <f>IF(Table1[[#This Row],[Cal Type]]&lt;&gt;"ACCREDITED 17025 WITH UNCERTAINTIES",0,"")</f>
        <v>0</v>
      </c>
      <c r="X2357" s="1" t="str">
        <f>IF(Table1[[#This Row],[DUT Read]]="","N/A",Table1[[#This Row],[Std Error]]+Table1[[#This Row],[DUT Read]]+Table1[[#This Row],[DUT Ucty]])</f>
        <v>N/A</v>
      </c>
      <c r="Y2357" s="1" t="str">
        <f>IF(Table1[[#This Row],[Std Read]]="","N/A",Table1[[#This Row],[Std Read]]+Table1[[#This Row],[Std Ucty]])</f>
        <v>N/A</v>
      </c>
      <c r="Z23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7" s="1" t="str">
        <f>IF(Table1[[#This Row],[Spec Type]]="","N/A",Table1[[#This Row],[Spec Type]])</f>
        <v>±</v>
      </c>
      <c r="AC2357" s="1" t="str">
        <f>IF(Table1[[#This Row],[Spec Type2]]="N/A","N/A",IF(AND(Table1[[#This Row],[DUT Adj Read]]&gt;=Table1[[#This Row],[Low Tol]],Table1[[#This Row],[DUT Adj Read]]&lt;=Table1[[#This Row],[High Tol]]),"Pass","Fail"))</f>
        <v>Fail</v>
      </c>
      <c r="AD2357" s="1" t="str">
        <f>IF(AND(Table1[[#This Row],[Spec Type2]]="N/A",Table1[[#This Row],[DUT Adj Read]]="N/A",Table1[[#This Row],[Std Adj Read]]="N/A"),"N/A",IF(Table1[[#This Row],[DUT Adj Read]]="N/A",IF(Table1[[#This Row],[Std Adj Read]]&gt;Table1[[#This Row],[Low Tol]],"Pass","Fail"),IF(Table1[[#This Row],[DUT Adj Read]]&gt;Table1[[#This Row],[Low Tol]],"Pass","Fail")))</f>
        <v>Pass</v>
      </c>
      <c r="AE2357" s="1" t="str">
        <f>IF(AND(Table1[[#This Row],[Spec Type2]]="N/A",Table1[[#This Row],[DUT Adj Read]]="N/A",Table1[[#This Row],[Std Adj Read]]="N/A"),"N/A",IF(Table1[[#This Row],[DUT Adj Read]]="N/A",IF(Table1[[#This Row],[Std Adj Read]]&lt;Table1[[#This Row],[High Tol]],"Pass","Fail"),IF(Table1[[#This Row],[DUT Adj Read]]&lt;Table1[[#This Row],[High Tol]],"Pass","Fail")))</f>
        <v>Fail</v>
      </c>
      <c r="AF2357" s="1" t="str">
        <f>IF(AND(Table1[[#This Row],[Spec Type2]]="N/A",Table1[[#This Row],[DUT Adj Read]]="N/A",Table1[[#This Row],[Std Adj Read]]="N/A"),"N/A",IF(Table1[[#This Row],[DUT Adj Read]]="N/A",IF(Table1[[#This Row],[Std Adj Read]]&gt;=Table1[[#This Row],[Low Tol]],"Pass","Fail"),IF(Table1[[#This Row],[DUT Adj Read]]&gt;=Table1[[#This Row],[Low Tol]],"Pass","Fail")))</f>
        <v>Pass</v>
      </c>
      <c r="AG2357" s="1" t="str">
        <f>IF(AND(Table1[[#This Row],[Spec Type2]]="N/A",Table1[[#This Row],[DUT Adj Read]]="N/A",Table1[[#This Row],[Std Adj Read]]="N/A"),"N/A",IF(Table1[[#This Row],[DUT Adj Read]]="N/A",IF(Table1[[#This Row],[Std Adj Read]]&lt;=Table1[[#This Row],[High Tol]],"Pass","Fail"),IF(Table1[[#This Row],[DUT Adj Read]]&lt;=Table1[[#This Row],[High Tol]],"Pass","Fail")))</f>
        <v>Fail</v>
      </c>
      <c r="AH23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7" s="1" t="b">
        <v>0</v>
      </c>
      <c r="AN2357" s="1" t="b">
        <v>0</v>
      </c>
      <c r="AO2357" s="1" t="b">
        <v>0</v>
      </c>
    </row>
    <row r="2358" spans="1:41" x14ac:dyDescent="0.25">
      <c r="A2358" s="10"/>
      <c r="B2358" s="10"/>
      <c r="C2358" s="10"/>
      <c r="D2358" s="10"/>
      <c r="E2358" s="10"/>
      <c r="F2358" s="10"/>
      <c r="G2358" s="10"/>
      <c r="H2358" s="10"/>
      <c r="I2358" s="1" t="str">
        <f t="shared" si="108"/>
        <v/>
      </c>
      <c r="J2358" s="1" t="s">
        <v>35</v>
      </c>
      <c r="K2358" s="1" t="str">
        <f t="shared" si="109"/>
        <v/>
      </c>
      <c r="L2358" s="1" t="str">
        <f t="shared" si="110"/>
        <v/>
      </c>
      <c r="M2358" s="1">
        <f>IF(OR(Table1[[#This Row],[Std Nom]]="",Table1[[#This Row],[Std Read]]=""),0,Table1[[#This Row],[Std Nom]]-Table1[[#This Row],[Std Read]])</f>
        <v>0</v>
      </c>
      <c r="N2358" s="1">
        <f>IF(Calculations!$F$5="ACCREDITED 17025 WITH UNCERTAINTIES",$N$10,0)</f>
        <v>0</v>
      </c>
      <c r="O2358" s="1" t="str">
        <f>IFERROR(Table1[[#This Row],[Std Nom]]-(_xlfn.XLOOKUP(Table1[[#This Row],[Manufacturer]]&amp;" "&amp;Table1[[#This Row],[Model]],Table13[MFR &amp; MDL],Table13[Tolerance % CW ],"")/100*Table1[[#This Row],[Std Nom]]),"")</f>
        <v/>
      </c>
      <c r="P2358" s="1" t="str">
        <f>IFERROR(Table1[[#This Row],[Std Nom]]+(_xlfn.XLOOKUP(Table1[[#This Row],[Manufacturer]]&amp;" "&amp;Table1[[#This Row],[Model]],Table13[MFR &amp; MDL],Table13[Tolerance % CW ],"")/100*Table1[[#This Row],[Std Nom]]),"")</f>
        <v/>
      </c>
      <c r="Q2358" s="1" t="e">
        <f>Table1[[#This Row],[High Tol]]-Table1[[#This Row],[Low Tol]]</f>
        <v>#VALUE!</v>
      </c>
      <c r="R2358" s="1">
        <f>2*Table1[[#This Row],[Std Error]]</f>
        <v>0</v>
      </c>
      <c r="S2358" s="1" t="str">
        <f>IF(Table1[[#This Row],[High Tol]]="","N/A",IFERROR(ABS(Table1[[#This Row],[Tol Span]]/Table1[[#This Row],[Error Span]]),"N/A"))</f>
        <v>N/A</v>
      </c>
      <c r="T2358" s="1" t="str">
        <f>IF(OR(Table1[[#This Row],[Low Tol]]="",Table1[[#This Row],[High Tol]]=""),"Needs Analysis",IF(Table1[[#This Row],[Ratio]]&gt;=4,"Not Significant",IF(Table1[[#This Row],[Ratio]]&gt;=2,"Semi-Significant","Significant")))</f>
        <v>Needs Analysis</v>
      </c>
      <c r="W2358" s="1">
        <f>IF(Table1[[#This Row],[Cal Type]]&lt;&gt;"ACCREDITED 17025 WITH UNCERTAINTIES",0,"")</f>
        <v>0</v>
      </c>
      <c r="X2358" s="1" t="str">
        <f>IF(Table1[[#This Row],[DUT Read]]="","N/A",Table1[[#This Row],[Std Error]]+Table1[[#This Row],[DUT Read]]+Table1[[#This Row],[DUT Ucty]])</f>
        <v>N/A</v>
      </c>
      <c r="Y2358" s="1" t="str">
        <f>IF(Table1[[#This Row],[Std Read]]="","N/A",Table1[[#This Row],[Std Read]]+Table1[[#This Row],[Std Ucty]])</f>
        <v>N/A</v>
      </c>
      <c r="Z23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8" s="1" t="str">
        <f>IF(Table1[[#This Row],[Spec Type]]="","N/A",Table1[[#This Row],[Spec Type]])</f>
        <v>±</v>
      </c>
      <c r="AC2358" s="1" t="str">
        <f>IF(Table1[[#This Row],[Spec Type2]]="N/A","N/A",IF(AND(Table1[[#This Row],[DUT Adj Read]]&gt;=Table1[[#This Row],[Low Tol]],Table1[[#This Row],[DUT Adj Read]]&lt;=Table1[[#This Row],[High Tol]]),"Pass","Fail"))</f>
        <v>Fail</v>
      </c>
      <c r="AD2358" s="1" t="str">
        <f>IF(AND(Table1[[#This Row],[Spec Type2]]="N/A",Table1[[#This Row],[DUT Adj Read]]="N/A",Table1[[#This Row],[Std Adj Read]]="N/A"),"N/A",IF(Table1[[#This Row],[DUT Adj Read]]="N/A",IF(Table1[[#This Row],[Std Adj Read]]&gt;Table1[[#This Row],[Low Tol]],"Pass","Fail"),IF(Table1[[#This Row],[DUT Adj Read]]&gt;Table1[[#This Row],[Low Tol]],"Pass","Fail")))</f>
        <v>Pass</v>
      </c>
      <c r="AE2358" s="1" t="str">
        <f>IF(AND(Table1[[#This Row],[Spec Type2]]="N/A",Table1[[#This Row],[DUT Adj Read]]="N/A",Table1[[#This Row],[Std Adj Read]]="N/A"),"N/A",IF(Table1[[#This Row],[DUT Adj Read]]="N/A",IF(Table1[[#This Row],[Std Adj Read]]&lt;Table1[[#This Row],[High Tol]],"Pass","Fail"),IF(Table1[[#This Row],[DUT Adj Read]]&lt;Table1[[#This Row],[High Tol]],"Pass","Fail")))</f>
        <v>Fail</v>
      </c>
      <c r="AF2358" s="1" t="str">
        <f>IF(AND(Table1[[#This Row],[Spec Type2]]="N/A",Table1[[#This Row],[DUT Adj Read]]="N/A",Table1[[#This Row],[Std Adj Read]]="N/A"),"N/A",IF(Table1[[#This Row],[DUT Adj Read]]="N/A",IF(Table1[[#This Row],[Std Adj Read]]&gt;=Table1[[#This Row],[Low Tol]],"Pass","Fail"),IF(Table1[[#This Row],[DUT Adj Read]]&gt;=Table1[[#This Row],[Low Tol]],"Pass","Fail")))</f>
        <v>Pass</v>
      </c>
      <c r="AG2358" s="1" t="str">
        <f>IF(AND(Table1[[#This Row],[Spec Type2]]="N/A",Table1[[#This Row],[DUT Adj Read]]="N/A",Table1[[#This Row],[Std Adj Read]]="N/A"),"N/A",IF(Table1[[#This Row],[DUT Adj Read]]="N/A",IF(Table1[[#This Row],[Std Adj Read]]&lt;=Table1[[#This Row],[High Tol]],"Pass","Fail"),IF(Table1[[#This Row],[DUT Adj Read]]&lt;=Table1[[#This Row],[High Tol]],"Pass","Fail")))</f>
        <v>Fail</v>
      </c>
      <c r="AH23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8" s="1" t="b">
        <v>0</v>
      </c>
      <c r="AN2358" s="1" t="b">
        <v>0</v>
      </c>
      <c r="AO2358" s="1" t="b">
        <v>0</v>
      </c>
    </row>
    <row r="2359" spans="1:41" x14ac:dyDescent="0.25">
      <c r="A2359" s="10"/>
      <c r="B2359" s="10"/>
      <c r="C2359" s="10"/>
      <c r="D2359" s="10"/>
      <c r="E2359" s="10"/>
      <c r="F2359" s="10"/>
      <c r="G2359" s="10"/>
      <c r="H2359" s="10"/>
      <c r="I2359" s="1" t="str">
        <f t="shared" si="108"/>
        <v/>
      </c>
      <c r="J2359" s="1" t="s">
        <v>35</v>
      </c>
      <c r="K2359" s="1" t="str">
        <f t="shared" si="109"/>
        <v/>
      </c>
      <c r="L2359" s="1" t="str">
        <f t="shared" si="110"/>
        <v/>
      </c>
      <c r="M2359" s="1">
        <f>IF(OR(Table1[[#This Row],[Std Nom]]="",Table1[[#This Row],[Std Read]]=""),0,Table1[[#This Row],[Std Nom]]-Table1[[#This Row],[Std Read]])</f>
        <v>0</v>
      </c>
      <c r="N2359" s="1">
        <f>IF(Calculations!$F$5="ACCREDITED 17025 WITH UNCERTAINTIES",$N$10,0)</f>
        <v>0</v>
      </c>
      <c r="O2359" s="1" t="str">
        <f>IFERROR(Table1[[#This Row],[Std Nom]]-(_xlfn.XLOOKUP(Table1[[#This Row],[Manufacturer]]&amp;" "&amp;Table1[[#This Row],[Model]],Table13[MFR &amp; MDL],Table13[Tolerance % CW ],"")/100*Table1[[#This Row],[Std Nom]]),"")</f>
        <v/>
      </c>
      <c r="P2359" s="1" t="str">
        <f>IFERROR(Table1[[#This Row],[Std Nom]]+(_xlfn.XLOOKUP(Table1[[#This Row],[Manufacturer]]&amp;" "&amp;Table1[[#This Row],[Model]],Table13[MFR &amp; MDL],Table13[Tolerance % CW ],"")/100*Table1[[#This Row],[Std Nom]]),"")</f>
        <v/>
      </c>
      <c r="Q2359" s="1" t="e">
        <f>Table1[[#This Row],[High Tol]]-Table1[[#This Row],[Low Tol]]</f>
        <v>#VALUE!</v>
      </c>
      <c r="R2359" s="1">
        <f>2*Table1[[#This Row],[Std Error]]</f>
        <v>0</v>
      </c>
      <c r="S2359" s="1" t="str">
        <f>IF(Table1[[#This Row],[High Tol]]="","N/A",IFERROR(ABS(Table1[[#This Row],[Tol Span]]/Table1[[#This Row],[Error Span]]),"N/A"))</f>
        <v>N/A</v>
      </c>
      <c r="T2359" s="1" t="str">
        <f>IF(OR(Table1[[#This Row],[Low Tol]]="",Table1[[#This Row],[High Tol]]=""),"Needs Analysis",IF(Table1[[#This Row],[Ratio]]&gt;=4,"Not Significant",IF(Table1[[#This Row],[Ratio]]&gt;=2,"Semi-Significant","Significant")))</f>
        <v>Needs Analysis</v>
      </c>
      <c r="W2359" s="1">
        <f>IF(Table1[[#This Row],[Cal Type]]&lt;&gt;"ACCREDITED 17025 WITH UNCERTAINTIES",0,"")</f>
        <v>0</v>
      </c>
      <c r="X2359" s="1" t="str">
        <f>IF(Table1[[#This Row],[DUT Read]]="","N/A",Table1[[#This Row],[Std Error]]+Table1[[#This Row],[DUT Read]]+Table1[[#This Row],[DUT Ucty]])</f>
        <v>N/A</v>
      </c>
      <c r="Y2359" s="1" t="str">
        <f>IF(Table1[[#This Row],[Std Read]]="","N/A",Table1[[#This Row],[Std Read]]+Table1[[#This Row],[Std Ucty]])</f>
        <v>N/A</v>
      </c>
      <c r="Z23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9" s="1" t="str">
        <f>IF(Table1[[#This Row],[Spec Type]]="","N/A",Table1[[#This Row],[Spec Type]])</f>
        <v>±</v>
      </c>
      <c r="AC2359" s="1" t="str">
        <f>IF(Table1[[#This Row],[Spec Type2]]="N/A","N/A",IF(AND(Table1[[#This Row],[DUT Adj Read]]&gt;=Table1[[#This Row],[Low Tol]],Table1[[#This Row],[DUT Adj Read]]&lt;=Table1[[#This Row],[High Tol]]),"Pass","Fail"))</f>
        <v>Fail</v>
      </c>
      <c r="AD2359" s="1" t="str">
        <f>IF(AND(Table1[[#This Row],[Spec Type2]]="N/A",Table1[[#This Row],[DUT Adj Read]]="N/A",Table1[[#This Row],[Std Adj Read]]="N/A"),"N/A",IF(Table1[[#This Row],[DUT Adj Read]]="N/A",IF(Table1[[#This Row],[Std Adj Read]]&gt;Table1[[#This Row],[Low Tol]],"Pass","Fail"),IF(Table1[[#This Row],[DUT Adj Read]]&gt;Table1[[#This Row],[Low Tol]],"Pass","Fail")))</f>
        <v>Pass</v>
      </c>
      <c r="AE2359" s="1" t="str">
        <f>IF(AND(Table1[[#This Row],[Spec Type2]]="N/A",Table1[[#This Row],[DUT Adj Read]]="N/A",Table1[[#This Row],[Std Adj Read]]="N/A"),"N/A",IF(Table1[[#This Row],[DUT Adj Read]]="N/A",IF(Table1[[#This Row],[Std Adj Read]]&lt;Table1[[#This Row],[High Tol]],"Pass","Fail"),IF(Table1[[#This Row],[DUT Adj Read]]&lt;Table1[[#This Row],[High Tol]],"Pass","Fail")))</f>
        <v>Fail</v>
      </c>
      <c r="AF2359" s="1" t="str">
        <f>IF(AND(Table1[[#This Row],[Spec Type2]]="N/A",Table1[[#This Row],[DUT Adj Read]]="N/A",Table1[[#This Row],[Std Adj Read]]="N/A"),"N/A",IF(Table1[[#This Row],[DUT Adj Read]]="N/A",IF(Table1[[#This Row],[Std Adj Read]]&gt;=Table1[[#This Row],[Low Tol]],"Pass","Fail"),IF(Table1[[#This Row],[DUT Adj Read]]&gt;=Table1[[#This Row],[Low Tol]],"Pass","Fail")))</f>
        <v>Pass</v>
      </c>
      <c r="AG2359" s="1" t="str">
        <f>IF(AND(Table1[[#This Row],[Spec Type2]]="N/A",Table1[[#This Row],[DUT Adj Read]]="N/A",Table1[[#This Row],[Std Adj Read]]="N/A"),"N/A",IF(Table1[[#This Row],[DUT Adj Read]]="N/A",IF(Table1[[#This Row],[Std Adj Read]]&lt;=Table1[[#This Row],[High Tol]],"Pass","Fail"),IF(Table1[[#This Row],[DUT Adj Read]]&lt;=Table1[[#This Row],[High Tol]],"Pass","Fail")))</f>
        <v>Fail</v>
      </c>
      <c r="AH23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9" s="1" t="b">
        <v>0</v>
      </c>
      <c r="AN2359" s="1" t="b">
        <v>0</v>
      </c>
      <c r="AO2359" s="1" t="b">
        <v>0</v>
      </c>
    </row>
    <row r="2360" spans="1:41" x14ac:dyDescent="0.25">
      <c r="A2360" s="10"/>
      <c r="B2360" s="10"/>
      <c r="C2360" s="10"/>
      <c r="D2360" s="10"/>
      <c r="E2360" s="10"/>
      <c r="F2360" s="10"/>
      <c r="G2360" s="10"/>
      <c r="H2360" s="10"/>
      <c r="I2360" s="1" t="str">
        <f t="shared" si="108"/>
        <v/>
      </c>
      <c r="J2360" s="1" t="s">
        <v>35</v>
      </c>
      <c r="K2360" s="1" t="str">
        <f t="shared" si="109"/>
        <v/>
      </c>
      <c r="L2360" s="1" t="str">
        <f t="shared" si="110"/>
        <v/>
      </c>
      <c r="M2360" s="1">
        <f>IF(OR(Table1[[#This Row],[Std Nom]]="",Table1[[#This Row],[Std Read]]=""),0,Table1[[#This Row],[Std Nom]]-Table1[[#This Row],[Std Read]])</f>
        <v>0</v>
      </c>
      <c r="N2360" s="1">
        <f>IF(Calculations!$F$5="ACCREDITED 17025 WITH UNCERTAINTIES",$N$10,0)</f>
        <v>0</v>
      </c>
      <c r="O2360" s="1" t="str">
        <f>IFERROR(Table1[[#This Row],[Std Nom]]-(_xlfn.XLOOKUP(Table1[[#This Row],[Manufacturer]]&amp;" "&amp;Table1[[#This Row],[Model]],Table13[MFR &amp; MDL],Table13[Tolerance % CW ],"")/100*Table1[[#This Row],[Std Nom]]),"")</f>
        <v/>
      </c>
      <c r="P2360" s="1" t="str">
        <f>IFERROR(Table1[[#This Row],[Std Nom]]+(_xlfn.XLOOKUP(Table1[[#This Row],[Manufacturer]]&amp;" "&amp;Table1[[#This Row],[Model]],Table13[MFR &amp; MDL],Table13[Tolerance % CW ],"")/100*Table1[[#This Row],[Std Nom]]),"")</f>
        <v/>
      </c>
      <c r="Q2360" s="1" t="e">
        <f>Table1[[#This Row],[High Tol]]-Table1[[#This Row],[Low Tol]]</f>
        <v>#VALUE!</v>
      </c>
      <c r="R2360" s="1">
        <f>2*Table1[[#This Row],[Std Error]]</f>
        <v>0</v>
      </c>
      <c r="S2360" s="1" t="str">
        <f>IF(Table1[[#This Row],[High Tol]]="","N/A",IFERROR(ABS(Table1[[#This Row],[Tol Span]]/Table1[[#This Row],[Error Span]]),"N/A"))</f>
        <v>N/A</v>
      </c>
      <c r="T2360" s="1" t="str">
        <f>IF(OR(Table1[[#This Row],[Low Tol]]="",Table1[[#This Row],[High Tol]]=""),"Needs Analysis",IF(Table1[[#This Row],[Ratio]]&gt;=4,"Not Significant",IF(Table1[[#This Row],[Ratio]]&gt;=2,"Semi-Significant","Significant")))</f>
        <v>Needs Analysis</v>
      </c>
      <c r="W2360" s="1">
        <f>IF(Table1[[#This Row],[Cal Type]]&lt;&gt;"ACCREDITED 17025 WITH UNCERTAINTIES",0,"")</f>
        <v>0</v>
      </c>
      <c r="X2360" s="1" t="str">
        <f>IF(Table1[[#This Row],[DUT Read]]="","N/A",Table1[[#This Row],[Std Error]]+Table1[[#This Row],[DUT Read]]+Table1[[#This Row],[DUT Ucty]])</f>
        <v>N/A</v>
      </c>
      <c r="Y2360" s="1" t="str">
        <f>IF(Table1[[#This Row],[Std Read]]="","N/A",Table1[[#This Row],[Std Read]]+Table1[[#This Row],[Std Ucty]])</f>
        <v>N/A</v>
      </c>
      <c r="Z23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0" s="1" t="str">
        <f>IF(Table1[[#This Row],[Spec Type]]="","N/A",Table1[[#This Row],[Spec Type]])</f>
        <v>±</v>
      </c>
      <c r="AC2360" s="1" t="str">
        <f>IF(Table1[[#This Row],[Spec Type2]]="N/A","N/A",IF(AND(Table1[[#This Row],[DUT Adj Read]]&gt;=Table1[[#This Row],[Low Tol]],Table1[[#This Row],[DUT Adj Read]]&lt;=Table1[[#This Row],[High Tol]]),"Pass","Fail"))</f>
        <v>Fail</v>
      </c>
      <c r="AD2360" s="1" t="str">
        <f>IF(AND(Table1[[#This Row],[Spec Type2]]="N/A",Table1[[#This Row],[DUT Adj Read]]="N/A",Table1[[#This Row],[Std Adj Read]]="N/A"),"N/A",IF(Table1[[#This Row],[DUT Adj Read]]="N/A",IF(Table1[[#This Row],[Std Adj Read]]&gt;Table1[[#This Row],[Low Tol]],"Pass","Fail"),IF(Table1[[#This Row],[DUT Adj Read]]&gt;Table1[[#This Row],[Low Tol]],"Pass","Fail")))</f>
        <v>Pass</v>
      </c>
      <c r="AE2360" s="1" t="str">
        <f>IF(AND(Table1[[#This Row],[Spec Type2]]="N/A",Table1[[#This Row],[DUT Adj Read]]="N/A",Table1[[#This Row],[Std Adj Read]]="N/A"),"N/A",IF(Table1[[#This Row],[DUT Adj Read]]="N/A",IF(Table1[[#This Row],[Std Adj Read]]&lt;Table1[[#This Row],[High Tol]],"Pass","Fail"),IF(Table1[[#This Row],[DUT Adj Read]]&lt;Table1[[#This Row],[High Tol]],"Pass","Fail")))</f>
        <v>Fail</v>
      </c>
      <c r="AF2360" s="1" t="str">
        <f>IF(AND(Table1[[#This Row],[Spec Type2]]="N/A",Table1[[#This Row],[DUT Adj Read]]="N/A",Table1[[#This Row],[Std Adj Read]]="N/A"),"N/A",IF(Table1[[#This Row],[DUT Adj Read]]="N/A",IF(Table1[[#This Row],[Std Adj Read]]&gt;=Table1[[#This Row],[Low Tol]],"Pass","Fail"),IF(Table1[[#This Row],[DUT Adj Read]]&gt;=Table1[[#This Row],[Low Tol]],"Pass","Fail")))</f>
        <v>Pass</v>
      </c>
      <c r="AG2360" s="1" t="str">
        <f>IF(AND(Table1[[#This Row],[Spec Type2]]="N/A",Table1[[#This Row],[DUT Adj Read]]="N/A",Table1[[#This Row],[Std Adj Read]]="N/A"),"N/A",IF(Table1[[#This Row],[DUT Adj Read]]="N/A",IF(Table1[[#This Row],[Std Adj Read]]&lt;=Table1[[#This Row],[High Tol]],"Pass","Fail"),IF(Table1[[#This Row],[DUT Adj Read]]&lt;=Table1[[#This Row],[High Tol]],"Pass","Fail")))</f>
        <v>Fail</v>
      </c>
      <c r="AH23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0" s="1" t="b">
        <v>0</v>
      </c>
      <c r="AN2360" s="1" t="b">
        <v>0</v>
      </c>
      <c r="AO2360" s="1" t="b">
        <v>0</v>
      </c>
    </row>
    <row r="2361" spans="1:41" x14ac:dyDescent="0.25">
      <c r="A2361" s="10"/>
      <c r="B2361" s="10"/>
      <c r="C2361" s="10"/>
      <c r="D2361" s="10"/>
      <c r="E2361" s="10"/>
      <c r="F2361" s="10"/>
      <c r="G2361" s="10"/>
      <c r="H2361" s="10"/>
      <c r="I2361" s="1" t="str">
        <f t="shared" si="108"/>
        <v/>
      </c>
      <c r="J2361" s="1" t="s">
        <v>35</v>
      </c>
      <c r="K2361" s="1" t="str">
        <f t="shared" si="109"/>
        <v/>
      </c>
      <c r="L2361" s="1" t="str">
        <f t="shared" si="110"/>
        <v/>
      </c>
      <c r="M2361" s="1">
        <f>IF(OR(Table1[[#This Row],[Std Nom]]="",Table1[[#This Row],[Std Read]]=""),0,Table1[[#This Row],[Std Nom]]-Table1[[#This Row],[Std Read]])</f>
        <v>0</v>
      </c>
      <c r="N2361" s="1">
        <f>IF(Calculations!$F$5="ACCREDITED 17025 WITH UNCERTAINTIES",$N$10,0)</f>
        <v>0</v>
      </c>
      <c r="O2361" s="1" t="str">
        <f>IFERROR(Table1[[#This Row],[Std Nom]]-(_xlfn.XLOOKUP(Table1[[#This Row],[Manufacturer]]&amp;" "&amp;Table1[[#This Row],[Model]],Table13[MFR &amp; MDL],Table13[Tolerance % CW ],"")/100*Table1[[#This Row],[Std Nom]]),"")</f>
        <v/>
      </c>
      <c r="P2361" s="1" t="str">
        <f>IFERROR(Table1[[#This Row],[Std Nom]]+(_xlfn.XLOOKUP(Table1[[#This Row],[Manufacturer]]&amp;" "&amp;Table1[[#This Row],[Model]],Table13[MFR &amp; MDL],Table13[Tolerance % CW ],"")/100*Table1[[#This Row],[Std Nom]]),"")</f>
        <v/>
      </c>
      <c r="Q2361" s="1" t="e">
        <f>Table1[[#This Row],[High Tol]]-Table1[[#This Row],[Low Tol]]</f>
        <v>#VALUE!</v>
      </c>
      <c r="R2361" s="1">
        <f>2*Table1[[#This Row],[Std Error]]</f>
        <v>0</v>
      </c>
      <c r="S2361" s="1" t="str">
        <f>IF(Table1[[#This Row],[High Tol]]="","N/A",IFERROR(ABS(Table1[[#This Row],[Tol Span]]/Table1[[#This Row],[Error Span]]),"N/A"))</f>
        <v>N/A</v>
      </c>
      <c r="T2361" s="1" t="str">
        <f>IF(OR(Table1[[#This Row],[Low Tol]]="",Table1[[#This Row],[High Tol]]=""),"Needs Analysis",IF(Table1[[#This Row],[Ratio]]&gt;=4,"Not Significant",IF(Table1[[#This Row],[Ratio]]&gt;=2,"Semi-Significant","Significant")))</f>
        <v>Needs Analysis</v>
      </c>
      <c r="W2361" s="1">
        <f>IF(Table1[[#This Row],[Cal Type]]&lt;&gt;"ACCREDITED 17025 WITH UNCERTAINTIES",0,"")</f>
        <v>0</v>
      </c>
      <c r="X2361" s="1" t="str">
        <f>IF(Table1[[#This Row],[DUT Read]]="","N/A",Table1[[#This Row],[Std Error]]+Table1[[#This Row],[DUT Read]]+Table1[[#This Row],[DUT Ucty]])</f>
        <v>N/A</v>
      </c>
      <c r="Y2361" s="1" t="str">
        <f>IF(Table1[[#This Row],[Std Read]]="","N/A",Table1[[#This Row],[Std Read]]+Table1[[#This Row],[Std Ucty]])</f>
        <v>N/A</v>
      </c>
      <c r="Z23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1" s="1" t="str">
        <f>IF(Table1[[#This Row],[Spec Type]]="","N/A",Table1[[#This Row],[Spec Type]])</f>
        <v>±</v>
      </c>
      <c r="AC2361" s="1" t="str">
        <f>IF(Table1[[#This Row],[Spec Type2]]="N/A","N/A",IF(AND(Table1[[#This Row],[DUT Adj Read]]&gt;=Table1[[#This Row],[Low Tol]],Table1[[#This Row],[DUT Adj Read]]&lt;=Table1[[#This Row],[High Tol]]),"Pass","Fail"))</f>
        <v>Fail</v>
      </c>
      <c r="AD2361" s="1" t="str">
        <f>IF(AND(Table1[[#This Row],[Spec Type2]]="N/A",Table1[[#This Row],[DUT Adj Read]]="N/A",Table1[[#This Row],[Std Adj Read]]="N/A"),"N/A",IF(Table1[[#This Row],[DUT Adj Read]]="N/A",IF(Table1[[#This Row],[Std Adj Read]]&gt;Table1[[#This Row],[Low Tol]],"Pass","Fail"),IF(Table1[[#This Row],[DUT Adj Read]]&gt;Table1[[#This Row],[Low Tol]],"Pass","Fail")))</f>
        <v>Pass</v>
      </c>
      <c r="AE2361" s="1" t="str">
        <f>IF(AND(Table1[[#This Row],[Spec Type2]]="N/A",Table1[[#This Row],[DUT Adj Read]]="N/A",Table1[[#This Row],[Std Adj Read]]="N/A"),"N/A",IF(Table1[[#This Row],[DUT Adj Read]]="N/A",IF(Table1[[#This Row],[Std Adj Read]]&lt;Table1[[#This Row],[High Tol]],"Pass","Fail"),IF(Table1[[#This Row],[DUT Adj Read]]&lt;Table1[[#This Row],[High Tol]],"Pass","Fail")))</f>
        <v>Fail</v>
      </c>
      <c r="AF2361" s="1" t="str">
        <f>IF(AND(Table1[[#This Row],[Spec Type2]]="N/A",Table1[[#This Row],[DUT Adj Read]]="N/A",Table1[[#This Row],[Std Adj Read]]="N/A"),"N/A",IF(Table1[[#This Row],[DUT Adj Read]]="N/A",IF(Table1[[#This Row],[Std Adj Read]]&gt;=Table1[[#This Row],[Low Tol]],"Pass","Fail"),IF(Table1[[#This Row],[DUT Adj Read]]&gt;=Table1[[#This Row],[Low Tol]],"Pass","Fail")))</f>
        <v>Pass</v>
      </c>
      <c r="AG2361" s="1" t="str">
        <f>IF(AND(Table1[[#This Row],[Spec Type2]]="N/A",Table1[[#This Row],[DUT Adj Read]]="N/A",Table1[[#This Row],[Std Adj Read]]="N/A"),"N/A",IF(Table1[[#This Row],[DUT Adj Read]]="N/A",IF(Table1[[#This Row],[Std Adj Read]]&lt;=Table1[[#This Row],[High Tol]],"Pass","Fail"),IF(Table1[[#This Row],[DUT Adj Read]]&lt;=Table1[[#This Row],[High Tol]],"Pass","Fail")))</f>
        <v>Fail</v>
      </c>
      <c r="AH23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1" s="1" t="b">
        <v>0</v>
      </c>
      <c r="AN2361" s="1" t="b">
        <v>0</v>
      </c>
      <c r="AO2361" s="1" t="b">
        <v>0</v>
      </c>
    </row>
    <row r="2362" spans="1:41" x14ac:dyDescent="0.25">
      <c r="A2362" s="10"/>
      <c r="B2362" s="10"/>
      <c r="C2362" s="10"/>
      <c r="D2362" s="10"/>
      <c r="E2362" s="10"/>
      <c r="F2362" s="10"/>
      <c r="G2362" s="10"/>
      <c r="H2362" s="10"/>
      <c r="I2362" s="1" t="str">
        <f t="shared" si="108"/>
        <v/>
      </c>
      <c r="J2362" s="1" t="s">
        <v>35</v>
      </c>
      <c r="K2362" s="1" t="str">
        <f t="shared" si="109"/>
        <v/>
      </c>
      <c r="L2362" s="1" t="str">
        <f t="shared" si="110"/>
        <v/>
      </c>
      <c r="M2362" s="1">
        <f>IF(OR(Table1[[#This Row],[Std Nom]]="",Table1[[#This Row],[Std Read]]=""),0,Table1[[#This Row],[Std Nom]]-Table1[[#This Row],[Std Read]])</f>
        <v>0</v>
      </c>
      <c r="N2362" s="1">
        <f>IF(Calculations!$F$5="ACCREDITED 17025 WITH UNCERTAINTIES",$N$10,0)</f>
        <v>0</v>
      </c>
      <c r="O2362" s="1" t="str">
        <f>IFERROR(Table1[[#This Row],[Std Nom]]-(_xlfn.XLOOKUP(Table1[[#This Row],[Manufacturer]]&amp;" "&amp;Table1[[#This Row],[Model]],Table13[MFR &amp; MDL],Table13[Tolerance % CW ],"")/100*Table1[[#This Row],[Std Nom]]),"")</f>
        <v/>
      </c>
      <c r="P2362" s="1" t="str">
        <f>IFERROR(Table1[[#This Row],[Std Nom]]+(_xlfn.XLOOKUP(Table1[[#This Row],[Manufacturer]]&amp;" "&amp;Table1[[#This Row],[Model]],Table13[MFR &amp; MDL],Table13[Tolerance % CW ],"")/100*Table1[[#This Row],[Std Nom]]),"")</f>
        <v/>
      </c>
      <c r="Q2362" s="1" t="e">
        <f>Table1[[#This Row],[High Tol]]-Table1[[#This Row],[Low Tol]]</f>
        <v>#VALUE!</v>
      </c>
      <c r="R2362" s="1">
        <f>2*Table1[[#This Row],[Std Error]]</f>
        <v>0</v>
      </c>
      <c r="S2362" s="1" t="str">
        <f>IF(Table1[[#This Row],[High Tol]]="","N/A",IFERROR(ABS(Table1[[#This Row],[Tol Span]]/Table1[[#This Row],[Error Span]]),"N/A"))</f>
        <v>N/A</v>
      </c>
      <c r="T2362" s="1" t="str">
        <f>IF(OR(Table1[[#This Row],[Low Tol]]="",Table1[[#This Row],[High Tol]]=""),"Needs Analysis",IF(Table1[[#This Row],[Ratio]]&gt;=4,"Not Significant",IF(Table1[[#This Row],[Ratio]]&gt;=2,"Semi-Significant","Significant")))</f>
        <v>Needs Analysis</v>
      </c>
      <c r="W2362" s="1">
        <f>IF(Table1[[#This Row],[Cal Type]]&lt;&gt;"ACCREDITED 17025 WITH UNCERTAINTIES",0,"")</f>
        <v>0</v>
      </c>
      <c r="X2362" s="1" t="str">
        <f>IF(Table1[[#This Row],[DUT Read]]="","N/A",Table1[[#This Row],[Std Error]]+Table1[[#This Row],[DUT Read]]+Table1[[#This Row],[DUT Ucty]])</f>
        <v>N/A</v>
      </c>
      <c r="Y2362" s="1" t="str">
        <f>IF(Table1[[#This Row],[Std Read]]="","N/A",Table1[[#This Row],[Std Read]]+Table1[[#This Row],[Std Ucty]])</f>
        <v>N/A</v>
      </c>
      <c r="Z23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2" s="1" t="str">
        <f>IF(Table1[[#This Row],[Spec Type]]="","N/A",Table1[[#This Row],[Spec Type]])</f>
        <v>±</v>
      </c>
      <c r="AC2362" s="1" t="str">
        <f>IF(Table1[[#This Row],[Spec Type2]]="N/A","N/A",IF(AND(Table1[[#This Row],[DUT Adj Read]]&gt;=Table1[[#This Row],[Low Tol]],Table1[[#This Row],[DUT Adj Read]]&lt;=Table1[[#This Row],[High Tol]]),"Pass","Fail"))</f>
        <v>Fail</v>
      </c>
      <c r="AD2362" s="1" t="str">
        <f>IF(AND(Table1[[#This Row],[Spec Type2]]="N/A",Table1[[#This Row],[DUT Adj Read]]="N/A",Table1[[#This Row],[Std Adj Read]]="N/A"),"N/A",IF(Table1[[#This Row],[DUT Adj Read]]="N/A",IF(Table1[[#This Row],[Std Adj Read]]&gt;Table1[[#This Row],[Low Tol]],"Pass","Fail"),IF(Table1[[#This Row],[DUT Adj Read]]&gt;Table1[[#This Row],[Low Tol]],"Pass","Fail")))</f>
        <v>Pass</v>
      </c>
      <c r="AE2362" s="1" t="str">
        <f>IF(AND(Table1[[#This Row],[Spec Type2]]="N/A",Table1[[#This Row],[DUT Adj Read]]="N/A",Table1[[#This Row],[Std Adj Read]]="N/A"),"N/A",IF(Table1[[#This Row],[DUT Adj Read]]="N/A",IF(Table1[[#This Row],[Std Adj Read]]&lt;Table1[[#This Row],[High Tol]],"Pass","Fail"),IF(Table1[[#This Row],[DUT Adj Read]]&lt;Table1[[#This Row],[High Tol]],"Pass","Fail")))</f>
        <v>Fail</v>
      </c>
      <c r="AF2362" s="1" t="str">
        <f>IF(AND(Table1[[#This Row],[Spec Type2]]="N/A",Table1[[#This Row],[DUT Adj Read]]="N/A",Table1[[#This Row],[Std Adj Read]]="N/A"),"N/A",IF(Table1[[#This Row],[DUT Adj Read]]="N/A",IF(Table1[[#This Row],[Std Adj Read]]&gt;=Table1[[#This Row],[Low Tol]],"Pass","Fail"),IF(Table1[[#This Row],[DUT Adj Read]]&gt;=Table1[[#This Row],[Low Tol]],"Pass","Fail")))</f>
        <v>Pass</v>
      </c>
      <c r="AG2362" s="1" t="str">
        <f>IF(AND(Table1[[#This Row],[Spec Type2]]="N/A",Table1[[#This Row],[DUT Adj Read]]="N/A",Table1[[#This Row],[Std Adj Read]]="N/A"),"N/A",IF(Table1[[#This Row],[DUT Adj Read]]="N/A",IF(Table1[[#This Row],[Std Adj Read]]&lt;=Table1[[#This Row],[High Tol]],"Pass","Fail"),IF(Table1[[#This Row],[DUT Adj Read]]&lt;=Table1[[#This Row],[High Tol]],"Pass","Fail")))</f>
        <v>Fail</v>
      </c>
      <c r="AH23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2" s="1" t="b">
        <v>0</v>
      </c>
      <c r="AN2362" s="1" t="b">
        <v>0</v>
      </c>
      <c r="AO2362" s="1" t="b">
        <v>0</v>
      </c>
    </row>
    <row r="2363" spans="1:41" x14ac:dyDescent="0.25">
      <c r="A2363" s="10"/>
      <c r="B2363" s="10"/>
      <c r="C2363" s="10"/>
      <c r="D2363" s="10"/>
      <c r="E2363" s="10"/>
      <c r="F2363" s="10"/>
      <c r="G2363" s="10"/>
      <c r="H2363" s="10"/>
      <c r="I2363" s="1" t="str">
        <f t="shared" si="108"/>
        <v/>
      </c>
      <c r="J2363" s="1" t="s">
        <v>35</v>
      </c>
      <c r="K2363" s="1" t="str">
        <f t="shared" si="109"/>
        <v/>
      </c>
      <c r="L2363" s="1" t="str">
        <f t="shared" si="110"/>
        <v/>
      </c>
      <c r="M2363" s="1">
        <f>IF(OR(Table1[[#This Row],[Std Nom]]="",Table1[[#This Row],[Std Read]]=""),0,Table1[[#This Row],[Std Nom]]-Table1[[#This Row],[Std Read]])</f>
        <v>0</v>
      </c>
      <c r="N2363" s="1">
        <f>IF(Calculations!$F$5="ACCREDITED 17025 WITH UNCERTAINTIES",$N$10,0)</f>
        <v>0</v>
      </c>
      <c r="O2363" s="1" t="str">
        <f>IFERROR(Table1[[#This Row],[Std Nom]]-(_xlfn.XLOOKUP(Table1[[#This Row],[Manufacturer]]&amp;" "&amp;Table1[[#This Row],[Model]],Table13[MFR &amp; MDL],Table13[Tolerance % CW ],"")/100*Table1[[#This Row],[Std Nom]]),"")</f>
        <v/>
      </c>
      <c r="P2363" s="1" t="str">
        <f>IFERROR(Table1[[#This Row],[Std Nom]]+(_xlfn.XLOOKUP(Table1[[#This Row],[Manufacturer]]&amp;" "&amp;Table1[[#This Row],[Model]],Table13[MFR &amp; MDL],Table13[Tolerance % CW ],"")/100*Table1[[#This Row],[Std Nom]]),"")</f>
        <v/>
      </c>
      <c r="Q2363" s="1" t="e">
        <f>Table1[[#This Row],[High Tol]]-Table1[[#This Row],[Low Tol]]</f>
        <v>#VALUE!</v>
      </c>
      <c r="R2363" s="1">
        <f>2*Table1[[#This Row],[Std Error]]</f>
        <v>0</v>
      </c>
      <c r="S2363" s="1" t="str">
        <f>IF(Table1[[#This Row],[High Tol]]="","N/A",IFERROR(ABS(Table1[[#This Row],[Tol Span]]/Table1[[#This Row],[Error Span]]),"N/A"))</f>
        <v>N/A</v>
      </c>
      <c r="T2363" s="1" t="str">
        <f>IF(OR(Table1[[#This Row],[Low Tol]]="",Table1[[#This Row],[High Tol]]=""),"Needs Analysis",IF(Table1[[#This Row],[Ratio]]&gt;=4,"Not Significant",IF(Table1[[#This Row],[Ratio]]&gt;=2,"Semi-Significant","Significant")))</f>
        <v>Needs Analysis</v>
      </c>
      <c r="W2363" s="1">
        <f>IF(Table1[[#This Row],[Cal Type]]&lt;&gt;"ACCREDITED 17025 WITH UNCERTAINTIES",0,"")</f>
        <v>0</v>
      </c>
      <c r="X2363" s="1" t="str">
        <f>IF(Table1[[#This Row],[DUT Read]]="","N/A",Table1[[#This Row],[Std Error]]+Table1[[#This Row],[DUT Read]]+Table1[[#This Row],[DUT Ucty]])</f>
        <v>N/A</v>
      </c>
      <c r="Y2363" s="1" t="str">
        <f>IF(Table1[[#This Row],[Std Read]]="","N/A",Table1[[#This Row],[Std Read]]+Table1[[#This Row],[Std Ucty]])</f>
        <v>N/A</v>
      </c>
      <c r="Z23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3" s="1" t="str">
        <f>IF(Table1[[#This Row],[Spec Type]]="","N/A",Table1[[#This Row],[Spec Type]])</f>
        <v>±</v>
      </c>
      <c r="AC2363" s="1" t="str">
        <f>IF(Table1[[#This Row],[Spec Type2]]="N/A","N/A",IF(AND(Table1[[#This Row],[DUT Adj Read]]&gt;=Table1[[#This Row],[Low Tol]],Table1[[#This Row],[DUT Adj Read]]&lt;=Table1[[#This Row],[High Tol]]),"Pass","Fail"))</f>
        <v>Fail</v>
      </c>
      <c r="AD2363" s="1" t="str">
        <f>IF(AND(Table1[[#This Row],[Spec Type2]]="N/A",Table1[[#This Row],[DUT Adj Read]]="N/A",Table1[[#This Row],[Std Adj Read]]="N/A"),"N/A",IF(Table1[[#This Row],[DUT Adj Read]]="N/A",IF(Table1[[#This Row],[Std Adj Read]]&gt;Table1[[#This Row],[Low Tol]],"Pass","Fail"),IF(Table1[[#This Row],[DUT Adj Read]]&gt;Table1[[#This Row],[Low Tol]],"Pass","Fail")))</f>
        <v>Pass</v>
      </c>
      <c r="AE2363" s="1" t="str">
        <f>IF(AND(Table1[[#This Row],[Spec Type2]]="N/A",Table1[[#This Row],[DUT Adj Read]]="N/A",Table1[[#This Row],[Std Adj Read]]="N/A"),"N/A",IF(Table1[[#This Row],[DUT Adj Read]]="N/A",IF(Table1[[#This Row],[Std Adj Read]]&lt;Table1[[#This Row],[High Tol]],"Pass","Fail"),IF(Table1[[#This Row],[DUT Adj Read]]&lt;Table1[[#This Row],[High Tol]],"Pass","Fail")))</f>
        <v>Fail</v>
      </c>
      <c r="AF2363" s="1" t="str">
        <f>IF(AND(Table1[[#This Row],[Spec Type2]]="N/A",Table1[[#This Row],[DUT Adj Read]]="N/A",Table1[[#This Row],[Std Adj Read]]="N/A"),"N/A",IF(Table1[[#This Row],[DUT Adj Read]]="N/A",IF(Table1[[#This Row],[Std Adj Read]]&gt;=Table1[[#This Row],[Low Tol]],"Pass","Fail"),IF(Table1[[#This Row],[DUT Adj Read]]&gt;=Table1[[#This Row],[Low Tol]],"Pass","Fail")))</f>
        <v>Pass</v>
      </c>
      <c r="AG2363" s="1" t="str">
        <f>IF(AND(Table1[[#This Row],[Spec Type2]]="N/A",Table1[[#This Row],[DUT Adj Read]]="N/A",Table1[[#This Row],[Std Adj Read]]="N/A"),"N/A",IF(Table1[[#This Row],[DUT Adj Read]]="N/A",IF(Table1[[#This Row],[Std Adj Read]]&lt;=Table1[[#This Row],[High Tol]],"Pass","Fail"),IF(Table1[[#This Row],[DUT Adj Read]]&lt;=Table1[[#This Row],[High Tol]],"Pass","Fail")))</f>
        <v>Fail</v>
      </c>
      <c r="AH23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3" s="1" t="b">
        <v>0</v>
      </c>
      <c r="AN2363" s="1" t="b">
        <v>0</v>
      </c>
      <c r="AO2363" s="1" t="b">
        <v>0</v>
      </c>
    </row>
    <row r="2364" spans="1:41" x14ac:dyDescent="0.25">
      <c r="A2364" s="10"/>
      <c r="B2364" s="10"/>
      <c r="C2364" s="10"/>
      <c r="D2364" s="10"/>
      <c r="E2364" s="10"/>
      <c r="F2364" s="10"/>
      <c r="G2364" s="10"/>
      <c r="H2364" s="10"/>
      <c r="I2364" s="1" t="str">
        <f t="shared" si="108"/>
        <v/>
      </c>
      <c r="J2364" s="1" t="s">
        <v>35</v>
      </c>
      <c r="K2364" s="1" t="str">
        <f t="shared" si="109"/>
        <v/>
      </c>
      <c r="L2364" s="1" t="str">
        <f t="shared" si="110"/>
        <v/>
      </c>
      <c r="M2364" s="1">
        <f>IF(OR(Table1[[#This Row],[Std Nom]]="",Table1[[#This Row],[Std Read]]=""),0,Table1[[#This Row],[Std Nom]]-Table1[[#This Row],[Std Read]])</f>
        <v>0</v>
      </c>
      <c r="N2364" s="1">
        <f>IF(Calculations!$F$5="ACCREDITED 17025 WITH UNCERTAINTIES",$N$10,0)</f>
        <v>0</v>
      </c>
      <c r="O2364" s="1" t="str">
        <f>IFERROR(Table1[[#This Row],[Std Nom]]-(_xlfn.XLOOKUP(Table1[[#This Row],[Manufacturer]]&amp;" "&amp;Table1[[#This Row],[Model]],Table13[MFR &amp; MDL],Table13[Tolerance % CW ],"")/100*Table1[[#This Row],[Std Nom]]),"")</f>
        <v/>
      </c>
      <c r="P2364" s="1" t="str">
        <f>IFERROR(Table1[[#This Row],[Std Nom]]+(_xlfn.XLOOKUP(Table1[[#This Row],[Manufacturer]]&amp;" "&amp;Table1[[#This Row],[Model]],Table13[MFR &amp; MDL],Table13[Tolerance % CW ],"")/100*Table1[[#This Row],[Std Nom]]),"")</f>
        <v/>
      </c>
      <c r="Q2364" s="1" t="e">
        <f>Table1[[#This Row],[High Tol]]-Table1[[#This Row],[Low Tol]]</f>
        <v>#VALUE!</v>
      </c>
      <c r="R2364" s="1">
        <f>2*Table1[[#This Row],[Std Error]]</f>
        <v>0</v>
      </c>
      <c r="S2364" s="1" t="str">
        <f>IF(Table1[[#This Row],[High Tol]]="","N/A",IFERROR(ABS(Table1[[#This Row],[Tol Span]]/Table1[[#This Row],[Error Span]]),"N/A"))</f>
        <v>N/A</v>
      </c>
      <c r="T2364" s="1" t="str">
        <f>IF(OR(Table1[[#This Row],[Low Tol]]="",Table1[[#This Row],[High Tol]]=""),"Needs Analysis",IF(Table1[[#This Row],[Ratio]]&gt;=4,"Not Significant",IF(Table1[[#This Row],[Ratio]]&gt;=2,"Semi-Significant","Significant")))</f>
        <v>Needs Analysis</v>
      </c>
      <c r="W2364" s="1">
        <f>IF(Table1[[#This Row],[Cal Type]]&lt;&gt;"ACCREDITED 17025 WITH UNCERTAINTIES",0,"")</f>
        <v>0</v>
      </c>
      <c r="X2364" s="1" t="str">
        <f>IF(Table1[[#This Row],[DUT Read]]="","N/A",Table1[[#This Row],[Std Error]]+Table1[[#This Row],[DUT Read]]+Table1[[#This Row],[DUT Ucty]])</f>
        <v>N/A</v>
      </c>
      <c r="Y2364" s="1" t="str">
        <f>IF(Table1[[#This Row],[Std Read]]="","N/A",Table1[[#This Row],[Std Read]]+Table1[[#This Row],[Std Ucty]])</f>
        <v>N/A</v>
      </c>
      <c r="Z23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4" s="1" t="str">
        <f>IF(Table1[[#This Row],[Spec Type]]="","N/A",Table1[[#This Row],[Spec Type]])</f>
        <v>±</v>
      </c>
      <c r="AC2364" s="1" t="str">
        <f>IF(Table1[[#This Row],[Spec Type2]]="N/A","N/A",IF(AND(Table1[[#This Row],[DUT Adj Read]]&gt;=Table1[[#This Row],[Low Tol]],Table1[[#This Row],[DUT Adj Read]]&lt;=Table1[[#This Row],[High Tol]]),"Pass","Fail"))</f>
        <v>Fail</v>
      </c>
      <c r="AD2364" s="1" t="str">
        <f>IF(AND(Table1[[#This Row],[Spec Type2]]="N/A",Table1[[#This Row],[DUT Adj Read]]="N/A",Table1[[#This Row],[Std Adj Read]]="N/A"),"N/A",IF(Table1[[#This Row],[DUT Adj Read]]="N/A",IF(Table1[[#This Row],[Std Adj Read]]&gt;Table1[[#This Row],[Low Tol]],"Pass","Fail"),IF(Table1[[#This Row],[DUT Adj Read]]&gt;Table1[[#This Row],[Low Tol]],"Pass","Fail")))</f>
        <v>Pass</v>
      </c>
      <c r="AE2364" s="1" t="str">
        <f>IF(AND(Table1[[#This Row],[Spec Type2]]="N/A",Table1[[#This Row],[DUT Adj Read]]="N/A",Table1[[#This Row],[Std Adj Read]]="N/A"),"N/A",IF(Table1[[#This Row],[DUT Adj Read]]="N/A",IF(Table1[[#This Row],[Std Adj Read]]&lt;Table1[[#This Row],[High Tol]],"Pass","Fail"),IF(Table1[[#This Row],[DUT Adj Read]]&lt;Table1[[#This Row],[High Tol]],"Pass","Fail")))</f>
        <v>Fail</v>
      </c>
      <c r="AF2364" s="1" t="str">
        <f>IF(AND(Table1[[#This Row],[Spec Type2]]="N/A",Table1[[#This Row],[DUT Adj Read]]="N/A",Table1[[#This Row],[Std Adj Read]]="N/A"),"N/A",IF(Table1[[#This Row],[DUT Adj Read]]="N/A",IF(Table1[[#This Row],[Std Adj Read]]&gt;=Table1[[#This Row],[Low Tol]],"Pass","Fail"),IF(Table1[[#This Row],[DUT Adj Read]]&gt;=Table1[[#This Row],[Low Tol]],"Pass","Fail")))</f>
        <v>Pass</v>
      </c>
      <c r="AG2364" s="1" t="str">
        <f>IF(AND(Table1[[#This Row],[Spec Type2]]="N/A",Table1[[#This Row],[DUT Adj Read]]="N/A",Table1[[#This Row],[Std Adj Read]]="N/A"),"N/A",IF(Table1[[#This Row],[DUT Adj Read]]="N/A",IF(Table1[[#This Row],[Std Adj Read]]&lt;=Table1[[#This Row],[High Tol]],"Pass","Fail"),IF(Table1[[#This Row],[DUT Adj Read]]&lt;=Table1[[#This Row],[High Tol]],"Pass","Fail")))</f>
        <v>Fail</v>
      </c>
      <c r="AH23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4" s="1" t="b">
        <v>0</v>
      </c>
      <c r="AN2364" s="1" t="b">
        <v>0</v>
      </c>
      <c r="AO2364" s="1" t="b">
        <v>0</v>
      </c>
    </row>
    <row r="2365" spans="1:41" x14ac:dyDescent="0.25">
      <c r="A2365" s="10"/>
      <c r="B2365" s="10"/>
      <c r="C2365" s="10"/>
      <c r="D2365" s="10"/>
      <c r="E2365" s="10"/>
      <c r="F2365" s="10"/>
      <c r="G2365" s="10"/>
      <c r="H2365" s="10"/>
      <c r="I2365" s="1" t="str">
        <f t="shared" si="108"/>
        <v/>
      </c>
      <c r="J2365" s="1" t="s">
        <v>35</v>
      </c>
      <c r="K2365" s="1" t="str">
        <f t="shared" si="109"/>
        <v/>
      </c>
      <c r="L2365" s="1" t="str">
        <f t="shared" si="110"/>
        <v/>
      </c>
      <c r="M2365" s="1">
        <f>IF(OR(Table1[[#This Row],[Std Nom]]="",Table1[[#This Row],[Std Read]]=""),0,Table1[[#This Row],[Std Nom]]-Table1[[#This Row],[Std Read]])</f>
        <v>0</v>
      </c>
      <c r="N2365" s="1">
        <f>IF(Calculations!$F$5="ACCREDITED 17025 WITH UNCERTAINTIES",$N$10,0)</f>
        <v>0</v>
      </c>
      <c r="O2365" s="1" t="str">
        <f>IFERROR(Table1[[#This Row],[Std Nom]]-(_xlfn.XLOOKUP(Table1[[#This Row],[Manufacturer]]&amp;" "&amp;Table1[[#This Row],[Model]],Table13[MFR &amp; MDL],Table13[Tolerance % CW ],"")/100*Table1[[#This Row],[Std Nom]]),"")</f>
        <v/>
      </c>
      <c r="P2365" s="1" t="str">
        <f>IFERROR(Table1[[#This Row],[Std Nom]]+(_xlfn.XLOOKUP(Table1[[#This Row],[Manufacturer]]&amp;" "&amp;Table1[[#This Row],[Model]],Table13[MFR &amp; MDL],Table13[Tolerance % CW ],"")/100*Table1[[#This Row],[Std Nom]]),"")</f>
        <v/>
      </c>
      <c r="Q2365" s="1" t="e">
        <f>Table1[[#This Row],[High Tol]]-Table1[[#This Row],[Low Tol]]</f>
        <v>#VALUE!</v>
      </c>
      <c r="R2365" s="1">
        <f>2*Table1[[#This Row],[Std Error]]</f>
        <v>0</v>
      </c>
      <c r="S2365" s="1" t="str">
        <f>IF(Table1[[#This Row],[High Tol]]="","N/A",IFERROR(ABS(Table1[[#This Row],[Tol Span]]/Table1[[#This Row],[Error Span]]),"N/A"))</f>
        <v>N/A</v>
      </c>
      <c r="T2365" s="1" t="str">
        <f>IF(OR(Table1[[#This Row],[Low Tol]]="",Table1[[#This Row],[High Tol]]=""),"Needs Analysis",IF(Table1[[#This Row],[Ratio]]&gt;=4,"Not Significant",IF(Table1[[#This Row],[Ratio]]&gt;=2,"Semi-Significant","Significant")))</f>
        <v>Needs Analysis</v>
      </c>
      <c r="W2365" s="1">
        <f>IF(Table1[[#This Row],[Cal Type]]&lt;&gt;"ACCREDITED 17025 WITH UNCERTAINTIES",0,"")</f>
        <v>0</v>
      </c>
      <c r="X2365" s="1" t="str">
        <f>IF(Table1[[#This Row],[DUT Read]]="","N/A",Table1[[#This Row],[Std Error]]+Table1[[#This Row],[DUT Read]]+Table1[[#This Row],[DUT Ucty]])</f>
        <v>N/A</v>
      </c>
      <c r="Y2365" s="1" t="str">
        <f>IF(Table1[[#This Row],[Std Read]]="","N/A",Table1[[#This Row],[Std Read]]+Table1[[#This Row],[Std Ucty]])</f>
        <v>N/A</v>
      </c>
      <c r="Z23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5" s="1" t="str">
        <f>IF(Table1[[#This Row],[Spec Type]]="","N/A",Table1[[#This Row],[Spec Type]])</f>
        <v>±</v>
      </c>
      <c r="AC2365" s="1" t="str">
        <f>IF(Table1[[#This Row],[Spec Type2]]="N/A","N/A",IF(AND(Table1[[#This Row],[DUT Adj Read]]&gt;=Table1[[#This Row],[Low Tol]],Table1[[#This Row],[DUT Adj Read]]&lt;=Table1[[#This Row],[High Tol]]),"Pass","Fail"))</f>
        <v>Fail</v>
      </c>
      <c r="AD2365" s="1" t="str">
        <f>IF(AND(Table1[[#This Row],[Spec Type2]]="N/A",Table1[[#This Row],[DUT Adj Read]]="N/A",Table1[[#This Row],[Std Adj Read]]="N/A"),"N/A",IF(Table1[[#This Row],[DUT Adj Read]]="N/A",IF(Table1[[#This Row],[Std Adj Read]]&gt;Table1[[#This Row],[Low Tol]],"Pass","Fail"),IF(Table1[[#This Row],[DUT Adj Read]]&gt;Table1[[#This Row],[Low Tol]],"Pass","Fail")))</f>
        <v>Pass</v>
      </c>
      <c r="AE2365" s="1" t="str">
        <f>IF(AND(Table1[[#This Row],[Spec Type2]]="N/A",Table1[[#This Row],[DUT Adj Read]]="N/A",Table1[[#This Row],[Std Adj Read]]="N/A"),"N/A",IF(Table1[[#This Row],[DUT Adj Read]]="N/A",IF(Table1[[#This Row],[Std Adj Read]]&lt;Table1[[#This Row],[High Tol]],"Pass","Fail"),IF(Table1[[#This Row],[DUT Adj Read]]&lt;Table1[[#This Row],[High Tol]],"Pass","Fail")))</f>
        <v>Fail</v>
      </c>
      <c r="AF2365" s="1" t="str">
        <f>IF(AND(Table1[[#This Row],[Spec Type2]]="N/A",Table1[[#This Row],[DUT Adj Read]]="N/A",Table1[[#This Row],[Std Adj Read]]="N/A"),"N/A",IF(Table1[[#This Row],[DUT Adj Read]]="N/A",IF(Table1[[#This Row],[Std Adj Read]]&gt;=Table1[[#This Row],[Low Tol]],"Pass","Fail"),IF(Table1[[#This Row],[DUT Adj Read]]&gt;=Table1[[#This Row],[Low Tol]],"Pass","Fail")))</f>
        <v>Pass</v>
      </c>
      <c r="AG2365" s="1" t="str">
        <f>IF(AND(Table1[[#This Row],[Spec Type2]]="N/A",Table1[[#This Row],[DUT Adj Read]]="N/A",Table1[[#This Row],[Std Adj Read]]="N/A"),"N/A",IF(Table1[[#This Row],[DUT Adj Read]]="N/A",IF(Table1[[#This Row],[Std Adj Read]]&lt;=Table1[[#This Row],[High Tol]],"Pass","Fail"),IF(Table1[[#This Row],[DUT Adj Read]]&lt;=Table1[[#This Row],[High Tol]],"Pass","Fail")))</f>
        <v>Fail</v>
      </c>
      <c r="AH23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5" s="1" t="b">
        <v>0</v>
      </c>
      <c r="AN2365" s="1" t="b">
        <v>0</v>
      </c>
      <c r="AO2365" s="1" t="b">
        <v>0</v>
      </c>
    </row>
    <row r="2366" spans="1:41" x14ac:dyDescent="0.25">
      <c r="A2366" s="10"/>
      <c r="B2366" s="10"/>
      <c r="C2366" s="10"/>
      <c r="D2366" s="10"/>
      <c r="E2366" s="10"/>
      <c r="F2366" s="10"/>
      <c r="G2366" s="10"/>
      <c r="H2366" s="10"/>
      <c r="I2366" s="1" t="str">
        <f t="shared" si="108"/>
        <v/>
      </c>
      <c r="J2366" s="1" t="s">
        <v>35</v>
      </c>
      <c r="K2366" s="1" t="str">
        <f t="shared" si="109"/>
        <v/>
      </c>
      <c r="L2366" s="1" t="str">
        <f t="shared" si="110"/>
        <v/>
      </c>
      <c r="M2366" s="1">
        <f>IF(OR(Table1[[#This Row],[Std Nom]]="",Table1[[#This Row],[Std Read]]=""),0,Table1[[#This Row],[Std Nom]]-Table1[[#This Row],[Std Read]])</f>
        <v>0</v>
      </c>
      <c r="N2366" s="1">
        <f>IF(Calculations!$F$5="ACCREDITED 17025 WITH UNCERTAINTIES",$N$10,0)</f>
        <v>0</v>
      </c>
      <c r="O2366" s="1" t="str">
        <f>IFERROR(Table1[[#This Row],[Std Nom]]-(_xlfn.XLOOKUP(Table1[[#This Row],[Manufacturer]]&amp;" "&amp;Table1[[#This Row],[Model]],Table13[MFR &amp; MDL],Table13[Tolerance % CW ],"")/100*Table1[[#This Row],[Std Nom]]),"")</f>
        <v/>
      </c>
      <c r="P2366" s="1" t="str">
        <f>IFERROR(Table1[[#This Row],[Std Nom]]+(_xlfn.XLOOKUP(Table1[[#This Row],[Manufacturer]]&amp;" "&amp;Table1[[#This Row],[Model]],Table13[MFR &amp; MDL],Table13[Tolerance % CW ],"")/100*Table1[[#This Row],[Std Nom]]),"")</f>
        <v/>
      </c>
      <c r="Q2366" s="1" t="e">
        <f>Table1[[#This Row],[High Tol]]-Table1[[#This Row],[Low Tol]]</f>
        <v>#VALUE!</v>
      </c>
      <c r="R2366" s="1">
        <f>2*Table1[[#This Row],[Std Error]]</f>
        <v>0</v>
      </c>
      <c r="S2366" s="1" t="str">
        <f>IF(Table1[[#This Row],[High Tol]]="","N/A",IFERROR(ABS(Table1[[#This Row],[Tol Span]]/Table1[[#This Row],[Error Span]]),"N/A"))</f>
        <v>N/A</v>
      </c>
      <c r="T2366" s="1" t="str">
        <f>IF(OR(Table1[[#This Row],[Low Tol]]="",Table1[[#This Row],[High Tol]]=""),"Needs Analysis",IF(Table1[[#This Row],[Ratio]]&gt;=4,"Not Significant",IF(Table1[[#This Row],[Ratio]]&gt;=2,"Semi-Significant","Significant")))</f>
        <v>Needs Analysis</v>
      </c>
      <c r="W2366" s="1">
        <f>IF(Table1[[#This Row],[Cal Type]]&lt;&gt;"ACCREDITED 17025 WITH UNCERTAINTIES",0,"")</f>
        <v>0</v>
      </c>
      <c r="X2366" s="1" t="str">
        <f>IF(Table1[[#This Row],[DUT Read]]="","N/A",Table1[[#This Row],[Std Error]]+Table1[[#This Row],[DUT Read]]+Table1[[#This Row],[DUT Ucty]])</f>
        <v>N/A</v>
      </c>
      <c r="Y2366" s="1" t="str">
        <f>IF(Table1[[#This Row],[Std Read]]="","N/A",Table1[[#This Row],[Std Read]]+Table1[[#This Row],[Std Ucty]])</f>
        <v>N/A</v>
      </c>
      <c r="Z23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6" s="1" t="str">
        <f>IF(Table1[[#This Row],[Spec Type]]="","N/A",Table1[[#This Row],[Spec Type]])</f>
        <v>±</v>
      </c>
      <c r="AC2366" s="1" t="str">
        <f>IF(Table1[[#This Row],[Spec Type2]]="N/A","N/A",IF(AND(Table1[[#This Row],[DUT Adj Read]]&gt;=Table1[[#This Row],[Low Tol]],Table1[[#This Row],[DUT Adj Read]]&lt;=Table1[[#This Row],[High Tol]]),"Pass","Fail"))</f>
        <v>Fail</v>
      </c>
      <c r="AD2366" s="1" t="str">
        <f>IF(AND(Table1[[#This Row],[Spec Type2]]="N/A",Table1[[#This Row],[DUT Adj Read]]="N/A",Table1[[#This Row],[Std Adj Read]]="N/A"),"N/A",IF(Table1[[#This Row],[DUT Adj Read]]="N/A",IF(Table1[[#This Row],[Std Adj Read]]&gt;Table1[[#This Row],[Low Tol]],"Pass","Fail"),IF(Table1[[#This Row],[DUT Adj Read]]&gt;Table1[[#This Row],[Low Tol]],"Pass","Fail")))</f>
        <v>Pass</v>
      </c>
      <c r="AE2366" s="1" t="str">
        <f>IF(AND(Table1[[#This Row],[Spec Type2]]="N/A",Table1[[#This Row],[DUT Adj Read]]="N/A",Table1[[#This Row],[Std Adj Read]]="N/A"),"N/A",IF(Table1[[#This Row],[DUT Adj Read]]="N/A",IF(Table1[[#This Row],[Std Adj Read]]&lt;Table1[[#This Row],[High Tol]],"Pass","Fail"),IF(Table1[[#This Row],[DUT Adj Read]]&lt;Table1[[#This Row],[High Tol]],"Pass","Fail")))</f>
        <v>Fail</v>
      </c>
      <c r="AF2366" s="1" t="str">
        <f>IF(AND(Table1[[#This Row],[Spec Type2]]="N/A",Table1[[#This Row],[DUT Adj Read]]="N/A",Table1[[#This Row],[Std Adj Read]]="N/A"),"N/A",IF(Table1[[#This Row],[DUT Adj Read]]="N/A",IF(Table1[[#This Row],[Std Adj Read]]&gt;=Table1[[#This Row],[Low Tol]],"Pass","Fail"),IF(Table1[[#This Row],[DUT Adj Read]]&gt;=Table1[[#This Row],[Low Tol]],"Pass","Fail")))</f>
        <v>Pass</v>
      </c>
      <c r="AG2366" s="1" t="str">
        <f>IF(AND(Table1[[#This Row],[Spec Type2]]="N/A",Table1[[#This Row],[DUT Adj Read]]="N/A",Table1[[#This Row],[Std Adj Read]]="N/A"),"N/A",IF(Table1[[#This Row],[DUT Adj Read]]="N/A",IF(Table1[[#This Row],[Std Adj Read]]&lt;=Table1[[#This Row],[High Tol]],"Pass","Fail"),IF(Table1[[#This Row],[DUT Adj Read]]&lt;=Table1[[#This Row],[High Tol]],"Pass","Fail")))</f>
        <v>Fail</v>
      </c>
      <c r="AH23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6" s="1" t="b">
        <v>0</v>
      </c>
      <c r="AN2366" s="1" t="b">
        <v>0</v>
      </c>
      <c r="AO2366" s="1" t="b">
        <v>0</v>
      </c>
    </row>
    <row r="2367" spans="1:41" x14ac:dyDescent="0.25">
      <c r="A2367" s="10"/>
      <c r="B2367" s="10"/>
      <c r="C2367" s="10"/>
      <c r="D2367" s="10"/>
      <c r="E2367" s="10"/>
      <c r="F2367" s="10"/>
      <c r="G2367" s="10"/>
      <c r="H2367" s="10"/>
      <c r="I2367" s="1" t="str">
        <f t="shared" si="108"/>
        <v/>
      </c>
      <c r="J2367" s="1" t="s">
        <v>35</v>
      </c>
      <c r="K2367" s="1" t="str">
        <f t="shared" si="109"/>
        <v/>
      </c>
      <c r="L2367" s="1" t="str">
        <f t="shared" si="110"/>
        <v/>
      </c>
      <c r="M2367" s="1">
        <f>IF(OR(Table1[[#This Row],[Std Nom]]="",Table1[[#This Row],[Std Read]]=""),0,Table1[[#This Row],[Std Nom]]-Table1[[#This Row],[Std Read]])</f>
        <v>0</v>
      </c>
      <c r="N2367" s="1">
        <f>IF(Calculations!$F$5="ACCREDITED 17025 WITH UNCERTAINTIES",$N$10,0)</f>
        <v>0</v>
      </c>
      <c r="O2367" s="1" t="str">
        <f>IFERROR(Table1[[#This Row],[Std Nom]]-(_xlfn.XLOOKUP(Table1[[#This Row],[Manufacturer]]&amp;" "&amp;Table1[[#This Row],[Model]],Table13[MFR &amp; MDL],Table13[Tolerance % CW ],"")/100*Table1[[#This Row],[Std Nom]]),"")</f>
        <v/>
      </c>
      <c r="P2367" s="1" t="str">
        <f>IFERROR(Table1[[#This Row],[Std Nom]]+(_xlfn.XLOOKUP(Table1[[#This Row],[Manufacturer]]&amp;" "&amp;Table1[[#This Row],[Model]],Table13[MFR &amp; MDL],Table13[Tolerance % CW ],"")/100*Table1[[#This Row],[Std Nom]]),"")</f>
        <v/>
      </c>
      <c r="Q2367" s="1" t="e">
        <f>Table1[[#This Row],[High Tol]]-Table1[[#This Row],[Low Tol]]</f>
        <v>#VALUE!</v>
      </c>
      <c r="R2367" s="1">
        <f>2*Table1[[#This Row],[Std Error]]</f>
        <v>0</v>
      </c>
      <c r="S2367" s="1" t="str">
        <f>IF(Table1[[#This Row],[High Tol]]="","N/A",IFERROR(ABS(Table1[[#This Row],[Tol Span]]/Table1[[#This Row],[Error Span]]),"N/A"))</f>
        <v>N/A</v>
      </c>
      <c r="T2367" s="1" t="str">
        <f>IF(OR(Table1[[#This Row],[Low Tol]]="",Table1[[#This Row],[High Tol]]=""),"Needs Analysis",IF(Table1[[#This Row],[Ratio]]&gt;=4,"Not Significant",IF(Table1[[#This Row],[Ratio]]&gt;=2,"Semi-Significant","Significant")))</f>
        <v>Needs Analysis</v>
      </c>
      <c r="W2367" s="1">
        <f>IF(Table1[[#This Row],[Cal Type]]&lt;&gt;"ACCREDITED 17025 WITH UNCERTAINTIES",0,"")</f>
        <v>0</v>
      </c>
      <c r="X2367" s="1" t="str">
        <f>IF(Table1[[#This Row],[DUT Read]]="","N/A",Table1[[#This Row],[Std Error]]+Table1[[#This Row],[DUT Read]]+Table1[[#This Row],[DUT Ucty]])</f>
        <v>N/A</v>
      </c>
      <c r="Y2367" s="1" t="str">
        <f>IF(Table1[[#This Row],[Std Read]]="","N/A",Table1[[#This Row],[Std Read]]+Table1[[#This Row],[Std Ucty]])</f>
        <v>N/A</v>
      </c>
      <c r="Z23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7" s="1" t="str">
        <f>IF(Table1[[#This Row],[Spec Type]]="","N/A",Table1[[#This Row],[Spec Type]])</f>
        <v>±</v>
      </c>
      <c r="AC2367" s="1" t="str">
        <f>IF(Table1[[#This Row],[Spec Type2]]="N/A","N/A",IF(AND(Table1[[#This Row],[DUT Adj Read]]&gt;=Table1[[#This Row],[Low Tol]],Table1[[#This Row],[DUT Adj Read]]&lt;=Table1[[#This Row],[High Tol]]),"Pass","Fail"))</f>
        <v>Fail</v>
      </c>
      <c r="AD2367" s="1" t="str">
        <f>IF(AND(Table1[[#This Row],[Spec Type2]]="N/A",Table1[[#This Row],[DUT Adj Read]]="N/A",Table1[[#This Row],[Std Adj Read]]="N/A"),"N/A",IF(Table1[[#This Row],[DUT Adj Read]]="N/A",IF(Table1[[#This Row],[Std Adj Read]]&gt;Table1[[#This Row],[Low Tol]],"Pass","Fail"),IF(Table1[[#This Row],[DUT Adj Read]]&gt;Table1[[#This Row],[Low Tol]],"Pass","Fail")))</f>
        <v>Pass</v>
      </c>
      <c r="AE2367" s="1" t="str">
        <f>IF(AND(Table1[[#This Row],[Spec Type2]]="N/A",Table1[[#This Row],[DUT Adj Read]]="N/A",Table1[[#This Row],[Std Adj Read]]="N/A"),"N/A",IF(Table1[[#This Row],[DUT Adj Read]]="N/A",IF(Table1[[#This Row],[Std Adj Read]]&lt;Table1[[#This Row],[High Tol]],"Pass","Fail"),IF(Table1[[#This Row],[DUT Adj Read]]&lt;Table1[[#This Row],[High Tol]],"Pass","Fail")))</f>
        <v>Fail</v>
      </c>
      <c r="AF2367" s="1" t="str">
        <f>IF(AND(Table1[[#This Row],[Spec Type2]]="N/A",Table1[[#This Row],[DUT Adj Read]]="N/A",Table1[[#This Row],[Std Adj Read]]="N/A"),"N/A",IF(Table1[[#This Row],[DUT Adj Read]]="N/A",IF(Table1[[#This Row],[Std Adj Read]]&gt;=Table1[[#This Row],[Low Tol]],"Pass","Fail"),IF(Table1[[#This Row],[DUT Adj Read]]&gt;=Table1[[#This Row],[Low Tol]],"Pass","Fail")))</f>
        <v>Pass</v>
      </c>
      <c r="AG2367" s="1" t="str">
        <f>IF(AND(Table1[[#This Row],[Spec Type2]]="N/A",Table1[[#This Row],[DUT Adj Read]]="N/A",Table1[[#This Row],[Std Adj Read]]="N/A"),"N/A",IF(Table1[[#This Row],[DUT Adj Read]]="N/A",IF(Table1[[#This Row],[Std Adj Read]]&lt;=Table1[[#This Row],[High Tol]],"Pass","Fail"),IF(Table1[[#This Row],[DUT Adj Read]]&lt;=Table1[[#This Row],[High Tol]],"Pass","Fail")))</f>
        <v>Fail</v>
      </c>
      <c r="AH23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7" s="1" t="b">
        <v>0</v>
      </c>
      <c r="AN2367" s="1" t="b">
        <v>0</v>
      </c>
      <c r="AO2367" s="1" t="b">
        <v>0</v>
      </c>
    </row>
    <row r="2368" spans="1:41" x14ac:dyDescent="0.25">
      <c r="A2368" s="10"/>
      <c r="B2368" s="10"/>
      <c r="C2368" s="10"/>
      <c r="D2368" s="10"/>
      <c r="E2368" s="10"/>
      <c r="F2368" s="10"/>
      <c r="G2368" s="10"/>
      <c r="H2368" s="10"/>
      <c r="I2368" s="1" t="str">
        <f t="shared" si="108"/>
        <v/>
      </c>
      <c r="J2368" s="1" t="s">
        <v>35</v>
      </c>
      <c r="K2368" s="1" t="str">
        <f t="shared" si="109"/>
        <v/>
      </c>
      <c r="L2368" s="1" t="str">
        <f t="shared" si="110"/>
        <v/>
      </c>
      <c r="M2368" s="1">
        <f>IF(OR(Table1[[#This Row],[Std Nom]]="",Table1[[#This Row],[Std Read]]=""),0,Table1[[#This Row],[Std Nom]]-Table1[[#This Row],[Std Read]])</f>
        <v>0</v>
      </c>
      <c r="N2368" s="1">
        <f>IF(Calculations!$F$5="ACCREDITED 17025 WITH UNCERTAINTIES",$N$10,0)</f>
        <v>0</v>
      </c>
      <c r="O2368" s="1" t="str">
        <f>IFERROR(Table1[[#This Row],[Std Nom]]-(_xlfn.XLOOKUP(Table1[[#This Row],[Manufacturer]]&amp;" "&amp;Table1[[#This Row],[Model]],Table13[MFR &amp; MDL],Table13[Tolerance % CW ],"")/100*Table1[[#This Row],[Std Nom]]),"")</f>
        <v/>
      </c>
      <c r="P2368" s="1" t="str">
        <f>IFERROR(Table1[[#This Row],[Std Nom]]+(_xlfn.XLOOKUP(Table1[[#This Row],[Manufacturer]]&amp;" "&amp;Table1[[#This Row],[Model]],Table13[MFR &amp; MDL],Table13[Tolerance % CW ],"")/100*Table1[[#This Row],[Std Nom]]),"")</f>
        <v/>
      </c>
      <c r="Q2368" s="1" t="e">
        <f>Table1[[#This Row],[High Tol]]-Table1[[#This Row],[Low Tol]]</f>
        <v>#VALUE!</v>
      </c>
      <c r="R2368" s="1">
        <f>2*Table1[[#This Row],[Std Error]]</f>
        <v>0</v>
      </c>
      <c r="S2368" s="1" t="str">
        <f>IF(Table1[[#This Row],[High Tol]]="","N/A",IFERROR(ABS(Table1[[#This Row],[Tol Span]]/Table1[[#This Row],[Error Span]]),"N/A"))</f>
        <v>N/A</v>
      </c>
      <c r="T2368" s="1" t="str">
        <f>IF(OR(Table1[[#This Row],[Low Tol]]="",Table1[[#This Row],[High Tol]]=""),"Needs Analysis",IF(Table1[[#This Row],[Ratio]]&gt;=4,"Not Significant",IF(Table1[[#This Row],[Ratio]]&gt;=2,"Semi-Significant","Significant")))</f>
        <v>Needs Analysis</v>
      </c>
      <c r="W2368" s="1">
        <f>IF(Table1[[#This Row],[Cal Type]]&lt;&gt;"ACCREDITED 17025 WITH UNCERTAINTIES",0,"")</f>
        <v>0</v>
      </c>
      <c r="X2368" s="1" t="str">
        <f>IF(Table1[[#This Row],[DUT Read]]="","N/A",Table1[[#This Row],[Std Error]]+Table1[[#This Row],[DUT Read]]+Table1[[#This Row],[DUT Ucty]])</f>
        <v>N/A</v>
      </c>
      <c r="Y2368" s="1" t="str">
        <f>IF(Table1[[#This Row],[Std Read]]="","N/A",Table1[[#This Row],[Std Read]]+Table1[[#This Row],[Std Ucty]])</f>
        <v>N/A</v>
      </c>
      <c r="Z23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8" s="1" t="str">
        <f>IF(Table1[[#This Row],[Spec Type]]="","N/A",Table1[[#This Row],[Spec Type]])</f>
        <v>±</v>
      </c>
      <c r="AC2368" s="1" t="str">
        <f>IF(Table1[[#This Row],[Spec Type2]]="N/A","N/A",IF(AND(Table1[[#This Row],[DUT Adj Read]]&gt;=Table1[[#This Row],[Low Tol]],Table1[[#This Row],[DUT Adj Read]]&lt;=Table1[[#This Row],[High Tol]]),"Pass","Fail"))</f>
        <v>Fail</v>
      </c>
      <c r="AD2368" s="1" t="str">
        <f>IF(AND(Table1[[#This Row],[Spec Type2]]="N/A",Table1[[#This Row],[DUT Adj Read]]="N/A",Table1[[#This Row],[Std Adj Read]]="N/A"),"N/A",IF(Table1[[#This Row],[DUT Adj Read]]="N/A",IF(Table1[[#This Row],[Std Adj Read]]&gt;Table1[[#This Row],[Low Tol]],"Pass","Fail"),IF(Table1[[#This Row],[DUT Adj Read]]&gt;Table1[[#This Row],[Low Tol]],"Pass","Fail")))</f>
        <v>Pass</v>
      </c>
      <c r="AE2368" s="1" t="str">
        <f>IF(AND(Table1[[#This Row],[Spec Type2]]="N/A",Table1[[#This Row],[DUT Adj Read]]="N/A",Table1[[#This Row],[Std Adj Read]]="N/A"),"N/A",IF(Table1[[#This Row],[DUT Adj Read]]="N/A",IF(Table1[[#This Row],[Std Adj Read]]&lt;Table1[[#This Row],[High Tol]],"Pass","Fail"),IF(Table1[[#This Row],[DUT Adj Read]]&lt;Table1[[#This Row],[High Tol]],"Pass","Fail")))</f>
        <v>Fail</v>
      </c>
      <c r="AF2368" s="1" t="str">
        <f>IF(AND(Table1[[#This Row],[Spec Type2]]="N/A",Table1[[#This Row],[DUT Adj Read]]="N/A",Table1[[#This Row],[Std Adj Read]]="N/A"),"N/A",IF(Table1[[#This Row],[DUT Adj Read]]="N/A",IF(Table1[[#This Row],[Std Adj Read]]&gt;=Table1[[#This Row],[Low Tol]],"Pass","Fail"),IF(Table1[[#This Row],[DUT Adj Read]]&gt;=Table1[[#This Row],[Low Tol]],"Pass","Fail")))</f>
        <v>Pass</v>
      </c>
      <c r="AG2368" s="1" t="str">
        <f>IF(AND(Table1[[#This Row],[Spec Type2]]="N/A",Table1[[#This Row],[DUT Adj Read]]="N/A",Table1[[#This Row],[Std Adj Read]]="N/A"),"N/A",IF(Table1[[#This Row],[DUT Adj Read]]="N/A",IF(Table1[[#This Row],[Std Adj Read]]&lt;=Table1[[#This Row],[High Tol]],"Pass","Fail"),IF(Table1[[#This Row],[DUT Adj Read]]&lt;=Table1[[#This Row],[High Tol]],"Pass","Fail")))</f>
        <v>Fail</v>
      </c>
      <c r="AH23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8" s="1" t="b">
        <v>0</v>
      </c>
      <c r="AN2368" s="1" t="b">
        <v>0</v>
      </c>
      <c r="AO2368" s="1" t="b">
        <v>0</v>
      </c>
    </row>
    <row r="2369" spans="1:41" x14ac:dyDescent="0.25">
      <c r="A2369" s="10"/>
      <c r="B2369" s="10"/>
      <c r="C2369" s="10"/>
      <c r="D2369" s="10"/>
      <c r="E2369" s="10"/>
      <c r="F2369" s="10"/>
      <c r="G2369" s="10"/>
      <c r="H2369" s="10"/>
      <c r="I2369" s="1" t="str">
        <f t="shared" si="108"/>
        <v/>
      </c>
      <c r="J2369" s="1" t="s">
        <v>35</v>
      </c>
      <c r="K2369" s="1" t="str">
        <f t="shared" si="109"/>
        <v/>
      </c>
      <c r="L2369" s="1" t="str">
        <f t="shared" si="110"/>
        <v/>
      </c>
      <c r="M2369" s="1">
        <f>IF(OR(Table1[[#This Row],[Std Nom]]="",Table1[[#This Row],[Std Read]]=""),0,Table1[[#This Row],[Std Nom]]-Table1[[#This Row],[Std Read]])</f>
        <v>0</v>
      </c>
      <c r="N2369" s="1">
        <f>IF(Calculations!$F$5="ACCREDITED 17025 WITH UNCERTAINTIES",$N$10,0)</f>
        <v>0</v>
      </c>
      <c r="O2369" s="1" t="str">
        <f>IFERROR(Table1[[#This Row],[Std Nom]]-(_xlfn.XLOOKUP(Table1[[#This Row],[Manufacturer]]&amp;" "&amp;Table1[[#This Row],[Model]],Table13[MFR &amp; MDL],Table13[Tolerance % CW ],"")/100*Table1[[#This Row],[Std Nom]]),"")</f>
        <v/>
      </c>
      <c r="P2369" s="1" t="str">
        <f>IFERROR(Table1[[#This Row],[Std Nom]]+(_xlfn.XLOOKUP(Table1[[#This Row],[Manufacturer]]&amp;" "&amp;Table1[[#This Row],[Model]],Table13[MFR &amp; MDL],Table13[Tolerance % CW ],"")/100*Table1[[#This Row],[Std Nom]]),"")</f>
        <v/>
      </c>
      <c r="Q2369" s="1" t="e">
        <f>Table1[[#This Row],[High Tol]]-Table1[[#This Row],[Low Tol]]</f>
        <v>#VALUE!</v>
      </c>
      <c r="R2369" s="1">
        <f>2*Table1[[#This Row],[Std Error]]</f>
        <v>0</v>
      </c>
      <c r="S2369" s="1" t="str">
        <f>IF(Table1[[#This Row],[High Tol]]="","N/A",IFERROR(ABS(Table1[[#This Row],[Tol Span]]/Table1[[#This Row],[Error Span]]),"N/A"))</f>
        <v>N/A</v>
      </c>
      <c r="T2369" s="1" t="str">
        <f>IF(OR(Table1[[#This Row],[Low Tol]]="",Table1[[#This Row],[High Tol]]=""),"Needs Analysis",IF(Table1[[#This Row],[Ratio]]&gt;=4,"Not Significant",IF(Table1[[#This Row],[Ratio]]&gt;=2,"Semi-Significant","Significant")))</f>
        <v>Needs Analysis</v>
      </c>
      <c r="W2369" s="1">
        <f>IF(Table1[[#This Row],[Cal Type]]&lt;&gt;"ACCREDITED 17025 WITH UNCERTAINTIES",0,"")</f>
        <v>0</v>
      </c>
      <c r="X2369" s="1" t="str">
        <f>IF(Table1[[#This Row],[DUT Read]]="","N/A",Table1[[#This Row],[Std Error]]+Table1[[#This Row],[DUT Read]]+Table1[[#This Row],[DUT Ucty]])</f>
        <v>N/A</v>
      </c>
      <c r="Y2369" s="1" t="str">
        <f>IF(Table1[[#This Row],[Std Read]]="","N/A",Table1[[#This Row],[Std Read]]+Table1[[#This Row],[Std Ucty]])</f>
        <v>N/A</v>
      </c>
      <c r="Z23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9" s="1" t="str">
        <f>IF(Table1[[#This Row],[Spec Type]]="","N/A",Table1[[#This Row],[Spec Type]])</f>
        <v>±</v>
      </c>
      <c r="AC2369" s="1" t="str">
        <f>IF(Table1[[#This Row],[Spec Type2]]="N/A","N/A",IF(AND(Table1[[#This Row],[DUT Adj Read]]&gt;=Table1[[#This Row],[Low Tol]],Table1[[#This Row],[DUT Adj Read]]&lt;=Table1[[#This Row],[High Tol]]),"Pass","Fail"))</f>
        <v>Fail</v>
      </c>
      <c r="AD2369" s="1" t="str">
        <f>IF(AND(Table1[[#This Row],[Spec Type2]]="N/A",Table1[[#This Row],[DUT Adj Read]]="N/A",Table1[[#This Row],[Std Adj Read]]="N/A"),"N/A",IF(Table1[[#This Row],[DUT Adj Read]]="N/A",IF(Table1[[#This Row],[Std Adj Read]]&gt;Table1[[#This Row],[Low Tol]],"Pass","Fail"),IF(Table1[[#This Row],[DUT Adj Read]]&gt;Table1[[#This Row],[Low Tol]],"Pass","Fail")))</f>
        <v>Pass</v>
      </c>
      <c r="AE2369" s="1" t="str">
        <f>IF(AND(Table1[[#This Row],[Spec Type2]]="N/A",Table1[[#This Row],[DUT Adj Read]]="N/A",Table1[[#This Row],[Std Adj Read]]="N/A"),"N/A",IF(Table1[[#This Row],[DUT Adj Read]]="N/A",IF(Table1[[#This Row],[Std Adj Read]]&lt;Table1[[#This Row],[High Tol]],"Pass","Fail"),IF(Table1[[#This Row],[DUT Adj Read]]&lt;Table1[[#This Row],[High Tol]],"Pass","Fail")))</f>
        <v>Fail</v>
      </c>
      <c r="AF2369" s="1" t="str">
        <f>IF(AND(Table1[[#This Row],[Spec Type2]]="N/A",Table1[[#This Row],[DUT Adj Read]]="N/A",Table1[[#This Row],[Std Adj Read]]="N/A"),"N/A",IF(Table1[[#This Row],[DUT Adj Read]]="N/A",IF(Table1[[#This Row],[Std Adj Read]]&gt;=Table1[[#This Row],[Low Tol]],"Pass","Fail"),IF(Table1[[#This Row],[DUT Adj Read]]&gt;=Table1[[#This Row],[Low Tol]],"Pass","Fail")))</f>
        <v>Pass</v>
      </c>
      <c r="AG2369" s="1" t="str">
        <f>IF(AND(Table1[[#This Row],[Spec Type2]]="N/A",Table1[[#This Row],[DUT Adj Read]]="N/A",Table1[[#This Row],[Std Adj Read]]="N/A"),"N/A",IF(Table1[[#This Row],[DUT Adj Read]]="N/A",IF(Table1[[#This Row],[Std Adj Read]]&lt;=Table1[[#This Row],[High Tol]],"Pass","Fail"),IF(Table1[[#This Row],[DUT Adj Read]]&lt;=Table1[[#This Row],[High Tol]],"Pass","Fail")))</f>
        <v>Fail</v>
      </c>
      <c r="AH23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9" s="1" t="b">
        <v>0</v>
      </c>
      <c r="AN2369" s="1" t="b">
        <v>0</v>
      </c>
      <c r="AO2369" s="1" t="b">
        <v>0</v>
      </c>
    </row>
    <row r="2370" spans="1:41" x14ac:dyDescent="0.25">
      <c r="A2370" s="10"/>
      <c r="B2370" s="10"/>
      <c r="C2370" s="10"/>
      <c r="D2370" s="10"/>
      <c r="E2370" s="10"/>
      <c r="F2370" s="10"/>
      <c r="G2370" s="10"/>
      <c r="H2370" s="10"/>
      <c r="I2370" s="1" t="str">
        <f t="shared" si="108"/>
        <v/>
      </c>
      <c r="J2370" s="1" t="s">
        <v>35</v>
      </c>
      <c r="K2370" s="1" t="str">
        <f t="shared" si="109"/>
        <v/>
      </c>
      <c r="L2370" s="1" t="str">
        <f t="shared" si="110"/>
        <v/>
      </c>
      <c r="M2370" s="1">
        <f>IF(OR(Table1[[#This Row],[Std Nom]]="",Table1[[#This Row],[Std Read]]=""),0,Table1[[#This Row],[Std Nom]]-Table1[[#This Row],[Std Read]])</f>
        <v>0</v>
      </c>
      <c r="N2370" s="1">
        <f>IF(Calculations!$F$5="ACCREDITED 17025 WITH UNCERTAINTIES",$N$10,0)</f>
        <v>0</v>
      </c>
      <c r="O2370" s="1" t="str">
        <f>IFERROR(Table1[[#This Row],[Std Nom]]-(_xlfn.XLOOKUP(Table1[[#This Row],[Manufacturer]]&amp;" "&amp;Table1[[#This Row],[Model]],Table13[MFR &amp; MDL],Table13[Tolerance % CW ],"")/100*Table1[[#This Row],[Std Nom]]),"")</f>
        <v/>
      </c>
      <c r="P2370" s="1" t="str">
        <f>IFERROR(Table1[[#This Row],[Std Nom]]+(_xlfn.XLOOKUP(Table1[[#This Row],[Manufacturer]]&amp;" "&amp;Table1[[#This Row],[Model]],Table13[MFR &amp; MDL],Table13[Tolerance % CW ],"")/100*Table1[[#This Row],[Std Nom]]),"")</f>
        <v/>
      </c>
      <c r="Q2370" s="1" t="e">
        <f>Table1[[#This Row],[High Tol]]-Table1[[#This Row],[Low Tol]]</f>
        <v>#VALUE!</v>
      </c>
      <c r="R2370" s="1">
        <f>2*Table1[[#This Row],[Std Error]]</f>
        <v>0</v>
      </c>
      <c r="S2370" s="1" t="str">
        <f>IF(Table1[[#This Row],[High Tol]]="","N/A",IFERROR(ABS(Table1[[#This Row],[Tol Span]]/Table1[[#This Row],[Error Span]]),"N/A"))</f>
        <v>N/A</v>
      </c>
      <c r="T2370" s="1" t="str">
        <f>IF(OR(Table1[[#This Row],[Low Tol]]="",Table1[[#This Row],[High Tol]]=""),"Needs Analysis",IF(Table1[[#This Row],[Ratio]]&gt;=4,"Not Significant",IF(Table1[[#This Row],[Ratio]]&gt;=2,"Semi-Significant","Significant")))</f>
        <v>Needs Analysis</v>
      </c>
      <c r="W2370" s="1">
        <f>IF(Table1[[#This Row],[Cal Type]]&lt;&gt;"ACCREDITED 17025 WITH UNCERTAINTIES",0,"")</f>
        <v>0</v>
      </c>
      <c r="X2370" s="1" t="str">
        <f>IF(Table1[[#This Row],[DUT Read]]="","N/A",Table1[[#This Row],[Std Error]]+Table1[[#This Row],[DUT Read]]+Table1[[#This Row],[DUT Ucty]])</f>
        <v>N/A</v>
      </c>
      <c r="Y2370" s="1" t="str">
        <f>IF(Table1[[#This Row],[Std Read]]="","N/A",Table1[[#This Row],[Std Read]]+Table1[[#This Row],[Std Ucty]])</f>
        <v>N/A</v>
      </c>
      <c r="Z23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0" s="1" t="str">
        <f>IF(Table1[[#This Row],[Spec Type]]="","N/A",Table1[[#This Row],[Spec Type]])</f>
        <v>±</v>
      </c>
      <c r="AC2370" s="1" t="str">
        <f>IF(Table1[[#This Row],[Spec Type2]]="N/A","N/A",IF(AND(Table1[[#This Row],[DUT Adj Read]]&gt;=Table1[[#This Row],[Low Tol]],Table1[[#This Row],[DUT Adj Read]]&lt;=Table1[[#This Row],[High Tol]]),"Pass","Fail"))</f>
        <v>Fail</v>
      </c>
      <c r="AD2370" s="1" t="str">
        <f>IF(AND(Table1[[#This Row],[Spec Type2]]="N/A",Table1[[#This Row],[DUT Adj Read]]="N/A",Table1[[#This Row],[Std Adj Read]]="N/A"),"N/A",IF(Table1[[#This Row],[DUT Adj Read]]="N/A",IF(Table1[[#This Row],[Std Adj Read]]&gt;Table1[[#This Row],[Low Tol]],"Pass","Fail"),IF(Table1[[#This Row],[DUT Adj Read]]&gt;Table1[[#This Row],[Low Tol]],"Pass","Fail")))</f>
        <v>Pass</v>
      </c>
      <c r="AE2370" s="1" t="str">
        <f>IF(AND(Table1[[#This Row],[Spec Type2]]="N/A",Table1[[#This Row],[DUT Adj Read]]="N/A",Table1[[#This Row],[Std Adj Read]]="N/A"),"N/A",IF(Table1[[#This Row],[DUT Adj Read]]="N/A",IF(Table1[[#This Row],[Std Adj Read]]&lt;Table1[[#This Row],[High Tol]],"Pass","Fail"),IF(Table1[[#This Row],[DUT Adj Read]]&lt;Table1[[#This Row],[High Tol]],"Pass","Fail")))</f>
        <v>Fail</v>
      </c>
      <c r="AF2370" s="1" t="str">
        <f>IF(AND(Table1[[#This Row],[Spec Type2]]="N/A",Table1[[#This Row],[DUT Adj Read]]="N/A",Table1[[#This Row],[Std Adj Read]]="N/A"),"N/A",IF(Table1[[#This Row],[DUT Adj Read]]="N/A",IF(Table1[[#This Row],[Std Adj Read]]&gt;=Table1[[#This Row],[Low Tol]],"Pass","Fail"),IF(Table1[[#This Row],[DUT Adj Read]]&gt;=Table1[[#This Row],[Low Tol]],"Pass","Fail")))</f>
        <v>Pass</v>
      </c>
      <c r="AG2370" s="1" t="str">
        <f>IF(AND(Table1[[#This Row],[Spec Type2]]="N/A",Table1[[#This Row],[DUT Adj Read]]="N/A",Table1[[#This Row],[Std Adj Read]]="N/A"),"N/A",IF(Table1[[#This Row],[DUT Adj Read]]="N/A",IF(Table1[[#This Row],[Std Adj Read]]&lt;=Table1[[#This Row],[High Tol]],"Pass","Fail"),IF(Table1[[#This Row],[DUT Adj Read]]&lt;=Table1[[#This Row],[High Tol]],"Pass","Fail")))</f>
        <v>Fail</v>
      </c>
      <c r="AH23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0" s="1" t="b">
        <v>0</v>
      </c>
      <c r="AN2370" s="1" t="b">
        <v>0</v>
      </c>
      <c r="AO2370" s="1" t="b">
        <v>0</v>
      </c>
    </row>
    <row r="2371" spans="1:41" x14ac:dyDescent="0.25">
      <c r="A2371" s="10"/>
      <c r="B2371" s="10"/>
      <c r="C2371" s="10"/>
      <c r="D2371" s="10"/>
      <c r="E2371" s="10"/>
      <c r="F2371" s="10"/>
      <c r="G2371" s="10"/>
      <c r="H2371" s="10"/>
      <c r="I2371" s="1" t="str">
        <f t="shared" si="108"/>
        <v/>
      </c>
      <c r="J2371" s="1" t="s">
        <v>35</v>
      </c>
      <c r="K2371" s="1" t="str">
        <f t="shared" si="109"/>
        <v/>
      </c>
      <c r="L2371" s="1" t="str">
        <f t="shared" si="110"/>
        <v/>
      </c>
      <c r="M2371" s="1">
        <f>IF(OR(Table1[[#This Row],[Std Nom]]="",Table1[[#This Row],[Std Read]]=""),0,Table1[[#This Row],[Std Nom]]-Table1[[#This Row],[Std Read]])</f>
        <v>0</v>
      </c>
      <c r="N2371" s="1">
        <f>IF(Calculations!$F$5="ACCREDITED 17025 WITH UNCERTAINTIES",$N$10,0)</f>
        <v>0</v>
      </c>
      <c r="O2371" s="1" t="str">
        <f>IFERROR(Table1[[#This Row],[Std Nom]]-(_xlfn.XLOOKUP(Table1[[#This Row],[Manufacturer]]&amp;" "&amp;Table1[[#This Row],[Model]],Table13[MFR &amp; MDL],Table13[Tolerance % CW ],"")/100*Table1[[#This Row],[Std Nom]]),"")</f>
        <v/>
      </c>
      <c r="P2371" s="1" t="str">
        <f>IFERROR(Table1[[#This Row],[Std Nom]]+(_xlfn.XLOOKUP(Table1[[#This Row],[Manufacturer]]&amp;" "&amp;Table1[[#This Row],[Model]],Table13[MFR &amp; MDL],Table13[Tolerance % CW ],"")/100*Table1[[#This Row],[Std Nom]]),"")</f>
        <v/>
      </c>
      <c r="Q2371" s="1" t="e">
        <f>Table1[[#This Row],[High Tol]]-Table1[[#This Row],[Low Tol]]</f>
        <v>#VALUE!</v>
      </c>
      <c r="R2371" s="1">
        <f>2*Table1[[#This Row],[Std Error]]</f>
        <v>0</v>
      </c>
      <c r="S2371" s="1" t="str">
        <f>IF(Table1[[#This Row],[High Tol]]="","N/A",IFERROR(ABS(Table1[[#This Row],[Tol Span]]/Table1[[#This Row],[Error Span]]),"N/A"))</f>
        <v>N/A</v>
      </c>
      <c r="T2371" s="1" t="str">
        <f>IF(OR(Table1[[#This Row],[Low Tol]]="",Table1[[#This Row],[High Tol]]=""),"Needs Analysis",IF(Table1[[#This Row],[Ratio]]&gt;=4,"Not Significant",IF(Table1[[#This Row],[Ratio]]&gt;=2,"Semi-Significant","Significant")))</f>
        <v>Needs Analysis</v>
      </c>
      <c r="W2371" s="1">
        <f>IF(Table1[[#This Row],[Cal Type]]&lt;&gt;"ACCREDITED 17025 WITH UNCERTAINTIES",0,"")</f>
        <v>0</v>
      </c>
      <c r="X2371" s="1" t="str">
        <f>IF(Table1[[#This Row],[DUT Read]]="","N/A",Table1[[#This Row],[Std Error]]+Table1[[#This Row],[DUT Read]]+Table1[[#This Row],[DUT Ucty]])</f>
        <v>N/A</v>
      </c>
      <c r="Y2371" s="1" t="str">
        <f>IF(Table1[[#This Row],[Std Read]]="","N/A",Table1[[#This Row],[Std Read]]+Table1[[#This Row],[Std Ucty]])</f>
        <v>N/A</v>
      </c>
      <c r="Z23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1" s="1" t="str">
        <f>IF(Table1[[#This Row],[Spec Type]]="","N/A",Table1[[#This Row],[Spec Type]])</f>
        <v>±</v>
      </c>
      <c r="AC2371" s="1" t="str">
        <f>IF(Table1[[#This Row],[Spec Type2]]="N/A","N/A",IF(AND(Table1[[#This Row],[DUT Adj Read]]&gt;=Table1[[#This Row],[Low Tol]],Table1[[#This Row],[DUT Adj Read]]&lt;=Table1[[#This Row],[High Tol]]),"Pass","Fail"))</f>
        <v>Fail</v>
      </c>
      <c r="AD2371" s="1" t="str">
        <f>IF(AND(Table1[[#This Row],[Spec Type2]]="N/A",Table1[[#This Row],[DUT Adj Read]]="N/A",Table1[[#This Row],[Std Adj Read]]="N/A"),"N/A",IF(Table1[[#This Row],[DUT Adj Read]]="N/A",IF(Table1[[#This Row],[Std Adj Read]]&gt;Table1[[#This Row],[Low Tol]],"Pass","Fail"),IF(Table1[[#This Row],[DUT Adj Read]]&gt;Table1[[#This Row],[Low Tol]],"Pass","Fail")))</f>
        <v>Pass</v>
      </c>
      <c r="AE2371" s="1" t="str">
        <f>IF(AND(Table1[[#This Row],[Spec Type2]]="N/A",Table1[[#This Row],[DUT Adj Read]]="N/A",Table1[[#This Row],[Std Adj Read]]="N/A"),"N/A",IF(Table1[[#This Row],[DUT Adj Read]]="N/A",IF(Table1[[#This Row],[Std Adj Read]]&lt;Table1[[#This Row],[High Tol]],"Pass","Fail"),IF(Table1[[#This Row],[DUT Adj Read]]&lt;Table1[[#This Row],[High Tol]],"Pass","Fail")))</f>
        <v>Fail</v>
      </c>
      <c r="AF2371" s="1" t="str">
        <f>IF(AND(Table1[[#This Row],[Spec Type2]]="N/A",Table1[[#This Row],[DUT Adj Read]]="N/A",Table1[[#This Row],[Std Adj Read]]="N/A"),"N/A",IF(Table1[[#This Row],[DUT Adj Read]]="N/A",IF(Table1[[#This Row],[Std Adj Read]]&gt;=Table1[[#This Row],[Low Tol]],"Pass","Fail"),IF(Table1[[#This Row],[DUT Adj Read]]&gt;=Table1[[#This Row],[Low Tol]],"Pass","Fail")))</f>
        <v>Pass</v>
      </c>
      <c r="AG2371" s="1" t="str">
        <f>IF(AND(Table1[[#This Row],[Spec Type2]]="N/A",Table1[[#This Row],[DUT Adj Read]]="N/A",Table1[[#This Row],[Std Adj Read]]="N/A"),"N/A",IF(Table1[[#This Row],[DUT Adj Read]]="N/A",IF(Table1[[#This Row],[Std Adj Read]]&lt;=Table1[[#This Row],[High Tol]],"Pass","Fail"),IF(Table1[[#This Row],[DUT Adj Read]]&lt;=Table1[[#This Row],[High Tol]],"Pass","Fail")))</f>
        <v>Fail</v>
      </c>
      <c r="AH23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1" s="1" t="b">
        <v>0</v>
      </c>
      <c r="AN2371" s="1" t="b">
        <v>0</v>
      </c>
      <c r="AO2371" s="1" t="b">
        <v>0</v>
      </c>
    </row>
    <row r="2372" spans="1:41" x14ac:dyDescent="0.25">
      <c r="A2372" s="10"/>
      <c r="B2372" s="10"/>
      <c r="C2372" s="10"/>
      <c r="D2372" s="10"/>
      <c r="E2372" s="10"/>
      <c r="F2372" s="10"/>
      <c r="G2372" s="10"/>
      <c r="H2372" s="10"/>
      <c r="I2372" s="1" t="str">
        <f t="shared" si="108"/>
        <v/>
      </c>
      <c r="J2372" s="1" t="s">
        <v>35</v>
      </c>
      <c r="K2372" s="1" t="str">
        <f t="shared" si="109"/>
        <v/>
      </c>
      <c r="L2372" s="1" t="str">
        <f t="shared" si="110"/>
        <v/>
      </c>
      <c r="M2372" s="1">
        <f>IF(OR(Table1[[#This Row],[Std Nom]]="",Table1[[#This Row],[Std Read]]=""),0,Table1[[#This Row],[Std Nom]]-Table1[[#This Row],[Std Read]])</f>
        <v>0</v>
      </c>
      <c r="N2372" s="1">
        <f>IF(Calculations!$F$5="ACCREDITED 17025 WITH UNCERTAINTIES",$N$10,0)</f>
        <v>0</v>
      </c>
      <c r="O2372" s="1" t="str">
        <f>IFERROR(Table1[[#This Row],[Std Nom]]-(_xlfn.XLOOKUP(Table1[[#This Row],[Manufacturer]]&amp;" "&amp;Table1[[#This Row],[Model]],Table13[MFR &amp; MDL],Table13[Tolerance % CW ],"")/100*Table1[[#This Row],[Std Nom]]),"")</f>
        <v/>
      </c>
      <c r="P2372" s="1" t="str">
        <f>IFERROR(Table1[[#This Row],[Std Nom]]+(_xlfn.XLOOKUP(Table1[[#This Row],[Manufacturer]]&amp;" "&amp;Table1[[#This Row],[Model]],Table13[MFR &amp; MDL],Table13[Tolerance % CW ],"")/100*Table1[[#This Row],[Std Nom]]),"")</f>
        <v/>
      </c>
      <c r="Q2372" s="1" t="e">
        <f>Table1[[#This Row],[High Tol]]-Table1[[#This Row],[Low Tol]]</f>
        <v>#VALUE!</v>
      </c>
      <c r="R2372" s="1">
        <f>2*Table1[[#This Row],[Std Error]]</f>
        <v>0</v>
      </c>
      <c r="S2372" s="1" t="str">
        <f>IF(Table1[[#This Row],[High Tol]]="","N/A",IFERROR(ABS(Table1[[#This Row],[Tol Span]]/Table1[[#This Row],[Error Span]]),"N/A"))</f>
        <v>N/A</v>
      </c>
      <c r="T2372" s="1" t="str">
        <f>IF(OR(Table1[[#This Row],[Low Tol]]="",Table1[[#This Row],[High Tol]]=""),"Needs Analysis",IF(Table1[[#This Row],[Ratio]]&gt;=4,"Not Significant",IF(Table1[[#This Row],[Ratio]]&gt;=2,"Semi-Significant","Significant")))</f>
        <v>Needs Analysis</v>
      </c>
      <c r="W2372" s="1">
        <f>IF(Table1[[#This Row],[Cal Type]]&lt;&gt;"ACCREDITED 17025 WITH UNCERTAINTIES",0,"")</f>
        <v>0</v>
      </c>
      <c r="X2372" s="1" t="str">
        <f>IF(Table1[[#This Row],[DUT Read]]="","N/A",Table1[[#This Row],[Std Error]]+Table1[[#This Row],[DUT Read]]+Table1[[#This Row],[DUT Ucty]])</f>
        <v>N/A</v>
      </c>
      <c r="Y2372" s="1" t="str">
        <f>IF(Table1[[#This Row],[Std Read]]="","N/A",Table1[[#This Row],[Std Read]]+Table1[[#This Row],[Std Ucty]])</f>
        <v>N/A</v>
      </c>
      <c r="Z23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2" s="1" t="str">
        <f>IF(Table1[[#This Row],[Spec Type]]="","N/A",Table1[[#This Row],[Spec Type]])</f>
        <v>±</v>
      </c>
      <c r="AC2372" s="1" t="str">
        <f>IF(Table1[[#This Row],[Spec Type2]]="N/A","N/A",IF(AND(Table1[[#This Row],[DUT Adj Read]]&gt;=Table1[[#This Row],[Low Tol]],Table1[[#This Row],[DUT Adj Read]]&lt;=Table1[[#This Row],[High Tol]]),"Pass","Fail"))</f>
        <v>Fail</v>
      </c>
      <c r="AD2372" s="1" t="str">
        <f>IF(AND(Table1[[#This Row],[Spec Type2]]="N/A",Table1[[#This Row],[DUT Adj Read]]="N/A",Table1[[#This Row],[Std Adj Read]]="N/A"),"N/A",IF(Table1[[#This Row],[DUT Adj Read]]="N/A",IF(Table1[[#This Row],[Std Adj Read]]&gt;Table1[[#This Row],[Low Tol]],"Pass","Fail"),IF(Table1[[#This Row],[DUT Adj Read]]&gt;Table1[[#This Row],[Low Tol]],"Pass","Fail")))</f>
        <v>Pass</v>
      </c>
      <c r="AE2372" s="1" t="str">
        <f>IF(AND(Table1[[#This Row],[Spec Type2]]="N/A",Table1[[#This Row],[DUT Adj Read]]="N/A",Table1[[#This Row],[Std Adj Read]]="N/A"),"N/A",IF(Table1[[#This Row],[DUT Adj Read]]="N/A",IF(Table1[[#This Row],[Std Adj Read]]&lt;Table1[[#This Row],[High Tol]],"Pass","Fail"),IF(Table1[[#This Row],[DUT Adj Read]]&lt;Table1[[#This Row],[High Tol]],"Pass","Fail")))</f>
        <v>Fail</v>
      </c>
      <c r="AF2372" s="1" t="str">
        <f>IF(AND(Table1[[#This Row],[Spec Type2]]="N/A",Table1[[#This Row],[DUT Adj Read]]="N/A",Table1[[#This Row],[Std Adj Read]]="N/A"),"N/A",IF(Table1[[#This Row],[DUT Adj Read]]="N/A",IF(Table1[[#This Row],[Std Adj Read]]&gt;=Table1[[#This Row],[Low Tol]],"Pass","Fail"),IF(Table1[[#This Row],[DUT Adj Read]]&gt;=Table1[[#This Row],[Low Tol]],"Pass","Fail")))</f>
        <v>Pass</v>
      </c>
      <c r="AG2372" s="1" t="str">
        <f>IF(AND(Table1[[#This Row],[Spec Type2]]="N/A",Table1[[#This Row],[DUT Adj Read]]="N/A",Table1[[#This Row],[Std Adj Read]]="N/A"),"N/A",IF(Table1[[#This Row],[DUT Adj Read]]="N/A",IF(Table1[[#This Row],[Std Adj Read]]&lt;=Table1[[#This Row],[High Tol]],"Pass","Fail"),IF(Table1[[#This Row],[DUT Adj Read]]&lt;=Table1[[#This Row],[High Tol]],"Pass","Fail")))</f>
        <v>Fail</v>
      </c>
      <c r="AH23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2" s="1" t="b">
        <v>0</v>
      </c>
      <c r="AN2372" s="1" t="b">
        <v>0</v>
      </c>
      <c r="AO2372" s="1" t="b">
        <v>0</v>
      </c>
    </row>
    <row r="2373" spans="1:41" x14ac:dyDescent="0.25">
      <c r="A2373" s="10"/>
      <c r="B2373" s="10"/>
      <c r="C2373" s="10"/>
      <c r="D2373" s="10"/>
      <c r="E2373" s="10"/>
      <c r="F2373" s="10"/>
      <c r="G2373" s="10"/>
      <c r="H2373" s="10"/>
      <c r="I2373" s="1" t="str">
        <f t="shared" si="108"/>
        <v/>
      </c>
      <c r="J2373" s="1" t="s">
        <v>35</v>
      </c>
      <c r="K2373" s="1" t="str">
        <f t="shared" si="109"/>
        <v/>
      </c>
      <c r="L2373" s="1" t="str">
        <f t="shared" si="110"/>
        <v/>
      </c>
      <c r="M2373" s="1">
        <f>IF(OR(Table1[[#This Row],[Std Nom]]="",Table1[[#This Row],[Std Read]]=""),0,Table1[[#This Row],[Std Nom]]-Table1[[#This Row],[Std Read]])</f>
        <v>0</v>
      </c>
      <c r="N2373" s="1">
        <f>IF(Calculations!$F$5="ACCREDITED 17025 WITH UNCERTAINTIES",$N$10,0)</f>
        <v>0</v>
      </c>
      <c r="O2373" s="1" t="str">
        <f>IFERROR(Table1[[#This Row],[Std Nom]]-(_xlfn.XLOOKUP(Table1[[#This Row],[Manufacturer]]&amp;" "&amp;Table1[[#This Row],[Model]],Table13[MFR &amp; MDL],Table13[Tolerance % CW ],"")/100*Table1[[#This Row],[Std Nom]]),"")</f>
        <v/>
      </c>
      <c r="P2373" s="1" t="str">
        <f>IFERROR(Table1[[#This Row],[Std Nom]]+(_xlfn.XLOOKUP(Table1[[#This Row],[Manufacturer]]&amp;" "&amp;Table1[[#This Row],[Model]],Table13[MFR &amp; MDL],Table13[Tolerance % CW ],"")/100*Table1[[#This Row],[Std Nom]]),"")</f>
        <v/>
      </c>
      <c r="Q2373" s="1" t="e">
        <f>Table1[[#This Row],[High Tol]]-Table1[[#This Row],[Low Tol]]</f>
        <v>#VALUE!</v>
      </c>
      <c r="R2373" s="1">
        <f>2*Table1[[#This Row],[Std Error]]</f>
        <v>0</v>
      </c>
      <c r="S2373" s="1" t="str">
        <f>IF(Table1[[#This Row],[High Tol]]="","N/A",IFERROR(ABS(Table1[[#This Row],[Tol Span]]/Table1[[#This Row],[Error Span]]),"N/A"))</f>
        <v>N/A</v>
      </c>
      <c r="T2373" s="1" t="str">
        <f>IF(OR(Table1[[#This Row],[Low Tol]]="",Table1[[#This Row],[High Tol]]=""),"Needs Analysis",IF(Table1[[#This Row],[Ratio]]&gt;=4,"Not Significant",IF(Table1[[#This Row],[Ratio]]&gt;=2,"Semi-Significant","Significant")))</f>
        <v>Needs Analysis</v>
      </c>
      <c r="W2373" s="1">
        <f>IF(Table1[[#This Row],[Cal Type]]&lt;&gt;"ACCREDITED 17025 WITH UNCERTAINTIES",0,"")</f>
        <v>0</v>
      </c>
      <c r="X2373" s="1" t="str">
        <f>IF(Table1[[#This Row],[DUT Read]]="","N/A",Table1[[#This Row],[Std Error]]+Table1[[#This Row],[DUT Read]]+Table1[[#This Row],[DUT Ucty]])</f>
        <v>N/A</v>
      </c>
      <c r="Y2373" s="1" t="str">
        <f>IF(Table1[[#This Row],[Std Read]]="","N/A",Table1[[#This Row],[Std Read]]+Table1[[#This Row],[Std Ucty]])</f>
        <v>N/A</v>
      </c>
      <c r="Z23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3" s="1" t="str">
        <f>IF(Table1[[#This Row],[Spec Type]]="","N/A",Table1[[#This Row],[Spec Type]])</f>
        <v>±</v>
      </c>
      <c r="AC2373" s="1" t="str">
        <f>IF(Table1[[#This Row],[Spec Type2]]="N/A","N/A",IF(AND(Table1[[#This Row],[DUT Adj Read]]&gt;=Table1[[#This Row],[Low Tol]],Table1[[#This Row],[DUT Adj Read]]&lt;=Table1[[#This Row],[High Tol]]),"Pass","Fail"))</f>
        <v>Fail</v>
      </c>
      <c r="AD2373" s="1" t="str">
        <f>IF(AND(Table1[[#This Row],[Spec Type2]]="N/A",Table1[[#This Row],[DUT Adj Read]]="N/A",Table1[[#This Row],[Std Adj Read]]="N/A"),"N/A",IF(Table1[[#This Row],[DUT Adj Read]]="N/A",IF(Table1[[#This Row],[Std Adj Read]]&gt;Table1[[#This Row],[Low Tol]],"Pass","Fail"),IF(Table1[[#This Row],[DUT Adj Read]]&gt;Table1[[#This Row],[Low Tol]],"Pass","Fail")))</f>
        <v>Pass</v>
      </c>
      <c r="AE2373" s="1" t="str">
        <f>IF(AND(Table1[[#This Row],[Spec Type2]]="N/A",Table1[[#This Row],[DUT Adj Read]]="N/A",Table1[[#This Row],[Std Adj Read]]="N/A"),"N/A",IF(Table1[[#This Row],[DUT Adj Read]]="N/A",IF(Table1[[#This Row],[Std Adj Read]]&lt;Table1[[#This Row],[High Tol]],"Pass","Fail"),IF(Table1[[#This Row],[DUT Adj Read]]&lt;Table1[[#This Row],[High Tol]],"Pass","Fail")))</f>
        <v>Fail</v>
      </c>
      <c r="AF2373" s="1" t="str">
        <f>IF(AND(Table1[[#This Row],[Spec Type2]]="N/A",Table1[[#This Row],[DUT Adj Read]]="N/A",Table1[[#This Row],[Std Adj Read]]="N/A"),"N/A",IF(Table1[[#This Row],[DUT Adj Read]]="N/A",IF(Table1[[#This Row],[Std Adj Read]]&gt;=Table1[[#This Row],[Low Tol]],"Pass","Fail"),IF(Table1[[#This Row],[DUT Adj Read]]&gt;=Table1[[#This Row],[Low Tol]],"Pass","Fail")))</f>
        <v>Pass</v>
      </c>
      <c r="AG2373" s="1" t="str">
        <f>IF(AND(Table1[[#This Row],[Spec Type2]]="N/A",Table1[[#This Row],[DUT Adj Read]]="N/A",Table1[[#This Row],[Std Adj Read]]="N/A"),"N/A",IF(Table1[[#This Row],[DUT Adj Read]]="N/A",IF(Table1[[#This Row],[Std Adj Read]]&lt;=Table1[[#This Row],[High Tol]],"Pass","Fail"),IF(Table1[[#This Row],[DUT Adj Read]]&lt;=Table1[[#This Row],[High Tol]],"Pass","Fail")))</f>
        <v>Fail</v>
      </c>
      <c r="AH23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3" s="1" t="b">
        <v>0</v>
      </c>
      <c r="AN2373" s="1" t="b">
        <v>0</v>
      </c>
      <c r="AO2373" s="1" t="b">
        <v>0</v>
      </c>
    </row>
    <row r="2374" spans="1:41" x14ac:dyDescent="0.25">
      <c r="A2374" s="10"/>
      <c r="B2374" s="10"/>
      <c r="C2374" s="10"/>
      <c r="D2374" s="10"/>
      <c r="E2374" s="10"/>
      <c r="F2374" s="10"/>
      <c r="G2374" s="10"/>
      <c r="H2374" s="10"/>
      <c r="I2374" s="1" t="str">
        <f t="shared" si="108"/>
        <v/>
      </c>
      <c r="J2374" s="1" t="s">
        <v>35</v>
      </c>
      <c r="K2374" s="1" t="str">
        <f t="shared" si="109"/>
        <v/>
      </c>
      <c r="L2374" s="1" t="str">
        <f t="shared" si="110"/>
        <v/>
      </c>
      <c r="M2374" s="1">
        <f>IF(OR(Table1[[#This Row],[Std Nom]]="",Table1[[#This Row],[Std Read]]=""),0,Table1[[#This Row],[Std Nom]]-Table1[[#This Row],[Std Read]])</f>
        <v>0</v>
      </c>
      <c r="N2374" s="1">
        <f>IF(Calculations!$F$5="ACCREDITED 17025 WITH UNCERTAINTIES",$N$10,0)</f>
        <v>0</v>
      </c>
      <c r="O2374" s="1" t="str">
        <f>IFERROR(Table1[[#This Row],[Std Nom]]-(_xlfn.XLOOKUP(Table1[[#This Row],[Manufacturer]]&amp;" "&amp;Table1[[#This Row],[Model]],Table13[MFR &amp; MDL],Table13[Tolerance % CW ],"")/100*Table1[[#This Row],[Std Nom]]),"")</f>
        <v/>
      </c>
      <c r="P2374" s="1" t="str">
        <f>IFERROR(Table1[[#This Row],[Std Nom]]+(_xlfn.XLOOKUP(Table1[[#This Row],[Manufacturer]]&amp;" "&amp;Table1[[#This Row],[Model]],Table13[MFR &amp; MDL],Table13[Tolerance % CW ],"")/100*Table1[[#This Row],[Std Nom]]),"")</f>
        <v/>
      </c>
      <c r="Q2374" s="1" t="e">
        <f>Table1[[#This Row],[High Tol]]-Table1[[#This Row],[Low Tol]]</f>
        <v>#VALUE!</v>
      </c>
      <c r="R2374" s="1">
        <f>2*Table1[[#This Row],[Std Error]]</f>
        <v>0</v>
      </c>
      <c r="S2374" s="1" t="str">
        <f>IF(Table1[[#This Row],[High Tol]]="","N/A",IFERROR(ABS(Table1[[#This Row],[Tol Span]]/Table1[[#This Row],[Error Span]]),"N/A"))</f>
        <v>N/A</v>
      </c>
      <c r="T2374" s="1" t="str">
        <f>IF(OR(Table1[[#This Row],[Low Tol]]="",Table1[[#This Row],[High Tol]]=""),"Needs Analysis",IF(Table1[[#This Row],[Ratio]]&gt;=4,"Not Significant",IF(Table1[[#This Row],[Ratio]]&gt;=2,"Semi-Significant","Significant")))</f>
        <v>Needs Analysis</v>
      </c>
      <c r="W2374" s="1">
        <f>IF(Table1[[#This Row],[Cal Type]]&lt;&gt;"ACCREDITED 17025 WITH UNCERTAINTIES",0,"")</f>
        <v>0</v>
      </c>
      <c r="X2374" s="1" t="str">
        <f>IF(Table1[[#This Row],[DUT Read]]="","N/A",Table1[[#This Row],[Std Error]]+Table1[[#This Row],[DUT Read]]+Table1[[#This Row],[DUT Ucty]])</f>
        <v>N/A</v>
      </c>
      <c r="Y2374" s="1" t="str">
        <f>IF(Table1[[#This Row],[Std Read]]="","N/A",Table1[[#This Row],[Std Read]]+Table1[[#This Row],[Std Ucty]])</f>
        <v>N/A</v>
      </c>
      <c r="Z23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4" s="1" t="str">
        <f>IF(Table1[[#This Row],[Spec Type]]="","N/A",Table1[[#This Row],[Spec Type]])</f>
        <v>±</v>
      </c>
      <c r="AC2374" s="1" t="str">
        <f>IF(Table1[[#This Row],[Spec Type2]]="N/A","N/A",IF(AND(Table1[[#This Row],[DUT Adj Read]]&gt;=Table1[[#This Row],[Low Tol]],Table1[[#This Row],[DUT Adj Read]]&lt;=Table1[[#This Row],[High Tol]]),"Pass","Fail"))</f>
        <v>Fail</v>
      </c>
      <c r="AD2374" s="1" t="str">
        <f>IF(AND(Table1[[#This Row],[Spec Type2]]="N/A",Table1[[#This Row],[DUT Adj Read]]="N/A",Table1[[#This Row],[Std Adj Read]]="N/A"),"N/A",IF(Table1[[#This Row],[DUT Adj Read]]="N/A",IF(Table1[[#This Row],[Std Adj Read]]&gt;Table1[[#This Row],[Low Tol]],"Pass","Fail"),IF(Table1[[#This Row],[DUT Adj Read]]&gt;Table1[[#This Row],[Low Tol]],"Pass","Fail")))</f>
        <v>Pass</v>
      </c>
      <c r="AE2374" s="1" t="str">
        <f>IF(AND(Table1[[#This Row],[Spec Type2]]="N/A",Table1[[#This Row],[DUT Adj Read]]="N/A",Table1[[#This Row],[Std Adj Read]]="N/A"),"N/A",IF(Table1[[#This Row],[DUT Adj Read]]="N/A",IF(Table1[[#This Row],[Std Adj Read]]&lt;Table1[[#This Row],[High Tol]],"Pass","Fail"),IF(Table1[[#This Row],[DUT Adj Read]]&lt;Table1[[#This Row],[High Tol]],"Pass","Fail")))</f>
        <v>Fail</v>
      </c>
      <c r="AF2374" s="1" t="str">
        <f>IF(AND(Table1[[#This Row],[Spec Type2]]="N/A",Table1[[#This Row],[DUT Adj Read]]="N/A",Table1[[#This Row],[Std Adj Read]]="N/A"),"N/A",IF(Table1[[#This Row],[DUT Adj Read]]="N/A",IF(Table1[[#This Row],[Std Adj Read]]&gt;=Table1[[#This Row],[Low Tol]],"Pass","Fail"),IF(Table1[[#This Row],[DUT Adj Read]]&gt;=Table1[[#This Row],[Low Tol]],"Pass","Fail")))</f>
        <v>Pass</v>
      </c>
      <c r="AG2374" s="1" t="str">
        <f>IF(AND(Table1[[#This Row],[Spec Type2]]="N/A",Table1[[#This Row],[DUT Adj Read]]="N/A",Table1[[#This Row],[Std Adj Read]]="N/A"),"N/A",IF(Table1[[#This Row],[DUT Adj Read]]="N/A",IF(Table1[[#This Row],[Std Adj Read]]&lt;=Table1[[#This Row],[High Tol]],"Pass","Fail"),IF(Table1[[#This Row],[DUT Adj Read]]&lt;=Table1[[#This Row],[High Tol]],"Pass","Fail")))</f>
        <v>Fail</v>
      </c>
      <c r="AH23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4" s="1" t="b">
        <v>0</v>
      </c>
      <c r="AN2374" s="1" t="b">
        <v>0</v>
      </c>
      <c r="AO2374" s="1" t="b">
        <v>0</v>
      </c>
    </row>
    <row r="2375" spans="1:41" x14ac:dyDescent="0.25">
      <c r="A2375" s="10"/>
      <c r="B2375" s="10"/>
      <c r="C2375" s="10"/>
      <c r="D2375" s="10"/>
      <c r="E2375" s="10"/>
      <c r="F2375" s="10"/>
      <c r="G2375" s="10"/>
      <c r="H2375" s="10"/>
      <c r="I2375" s="1" t="str">
        <f t="shared" si="108"/>
        <v/>
      </c>
      <c r="J2375" s="1" t="s">
        <v>35</v>
      </c>
      <c r="K2375" s="1" t="str">
        <f t="shared" si="109"/>
        <v/>
      </c>
      <c r="L2375" s="1" t="str">
        <f t="shared" si="110"/>
        <v/>
      </c>
      <c r="M2375" s="1">
        <f>IF(OR(Table1[[#This Row],[Std Nom]]="",Table1[[#This Row],[Std Read]]=""),0,Table1[[#This Row],[Std Nom]]-Table1[[#This Row],[Std Read]])</f>
        <v>0</v>
      </c>
      <c r="N2375" s="1">
        <f>IF(Calculations!$F$5="ACCREDITED 17025 WITH UNCERTAINTIES",$N$10,0)</f>
        <v>0</v>
      </c>
      <c r="O2375" s="1" t="str">
        <f>IFERROR(Table1[[#This Row],[Std Nom]]-(_xlfn.XLOOKUP(Table1[[#This Row],[Manufacturer]]&amp;" "&amp;Table1[[#This Row],[Model]],Table13[MFR &amp; MDL],Table13[Tolerance % CW ],"")/100*Table1[[#This Row],[Std Nom]]),"")</f>
        <v/>
      </c>
      <c r="P2375" s="1" t="str">
        <f>IFERROR(Table1[[#This Row],[Std Nom]]+(_xlfn.XLOOKUP(Table1[[#This Row],[Manufacturer]]&amp;" "&amp;Table1[[#This Row],[Model]],Table13[MFR &amp; MDL],Table13[Tolerance % CW ],"")/100*Table1[[#This Row],[Std Nom]]),"")</f>
        <v/>
      </c>
      <c r="Q2375" s="1" t="e">
        <f>Table1[[#This Row],[High Tol]]-Table1[[#This Row],[Low Tol]]</f>
        <v>#VALUE!</v>
      </c>
      <c r="R2375" s="1">
        <f>2*Table1[[#This Row],[Std Error]]</f>
        <v>0</v>
      </c>
      <c r="S2375" s="1" t="str">
        <f>IF(Table1[[#This Row],[High Tol]]="","N/A",IFERROR(ABS(Table1[[#This Row],[Tol Span]]/Table1[[#This Row],[Error Span]]),"N/A"))</f>
        <v>N/A</v>
      </c>
      <c r="T2375" s="1" t="str">
        <f>IF(OR(Table1[[#This Row],[Low Tol]]="",Table1[[#This Row],[High Tol]]=""),"Needs Analysis",IF(Table1[[#This Row],[Ratio]]&gt;=4,"Not Significant",IF(Table1[[#This Row],[Ratio]]&gt;=2,"Semi-Significant","Significant")))</f>
        <v>Needs Analysis</v>
      </c>
      <c r="W2375" s="1">
        <f>IF(Table1[[#This Row],[Cal Type]]&lt;&gt;"ACCREDITED 17025 WITH UNCERTAINTIES",0,"")</f>
        <v>0</v>
      </c>
      <c r="X2375" s="1" t="str">
        <f>IF(Table1[[#This Row],[DUT Read]]="","N/A",Table1[[#This Row],[Std Error]]+Table1[[#This Row],[DUT Read]]+Table1[[#This Row],[DUT Ucty]])</f>
        <v>N/A</v>
      </c>
      <c r="Y2375" s="1" t="str">
        <f>IF(Table1[[#This Row],[Std Read]]="","N/A",Table1[[#This Row],[Std Read]]+Table1[[#This Row],[Std Ucty]])</f>
        <v>N/A</v>
      </c>
      <c r="Z23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5" s="1" t="str">
        <f>IF(Table1[[#This Row],[Spec Type]]="","N/A",Table1[[#This Row],[Spec Type]])</f>
        <v>±</v>
      </c>
      <c r="AC2375" s="1" t="str">
        <f>IF(Table1[[#This Row],[Spec Type2]]="N/A","N/A",IF(AND(Table1[[#This Row],[DUT Adj Read]]&gt;=Table1[[#This Row],[Low Tol]],Table1[[#This Row],[DUT Adj Read]]&lt;=Table1[[#This Row],[High Tol]]),"Pass","Fail"))</f>
        <v>Fail</v>
      </c>
      <c r="AD2375" s="1" t="str">
        <f>IF(AND(Table1[[#This Row],[Spec Type2]]="N/A",Table1[[#This Row],[DUT Adj Read]]="N/A",Table1[[#This Row],[Std Adj Read]]="N/A"),"N/A",IF(Table1[[#This Row],[DUT Adj Read]]="N/A",IF(Table1[[#This Row],[Std Adj Read]]&gt;Table1[[#This Row],[Low Tol]],"Pass","Fail"),IF(Table1[[#This Row],[DUT Adj Read]]&gt;Table1[[#This Row],[Low Tol]],"Pass","Fail")))</f>
        <v>Pass</v>
      </c>
      <c r="AE2375" s="1" t="str">
        <f>IF(AND(Table1[[#This Row],[Spec Type2]]="N/A",Table1[[#This Row],[DUT Adj Read]]="N/A",Table1[[#This Row],[Std Adj Read]]="N/A"),"N/A",IF(Table1[[#This Row],[DUT Adj Read]]="N/A",IF(Table1[[#This Row],[Std Adj Read]]&lt;Table1[[#This Row],[High Tol]],"Pass","Fail"),IF(Table1[[#This Row],[DUT Adj Read]]&lt;Table1[[#This Row],[High Tol]],"Pass","Fail")))</f>
        <v>Fail</v>
      </c>
      <c r="AF2375" s="1" t="str">
        <f>IF(AND(Table1[[#This Row],[Spec Type2]]="N/A",Table1[[#This Row],[DUT Adj Read]]="N/A",Table1[[#This Row],[Std Adj Read]]="N/A"),"N/A",IF(Table1[[#This Row],[DUT Adj Read]]="N/A",IF(Table1[[#This Row],[Std Adj Read]]&gt;=Table1[[#This Row],[Low Tol]],"Pass","Fail"),IF(Table1[[#This Row],[DUT Adj Read]]&gt;=Table1[[#This Row],[Low Tol]],"Pass","Fail")))</f>
        <v>Pass</v>
      </c>
      <c r="AG2375" s="1" t="str">
        <f>IF(AND(Table1[[#This Row],[Spec Type2]]="N/A",Table1[[#This Row],[DUT Adj Read]]="N/A",Table1[[#This Row],[Std Adj Read]]="N/A"),"N/A",IF(Table1[[#This Row],[DUT Adj Read]]="N/A",IF(Table1[[#This Row],[Std Adj Read]]&lt;=Table1[[#This Row],[High Tol]],"Pass","Fail"),IF(Table1[[#This Row],[DUT Adj Read]]&lt;=Table1[[#This Row],[High Tol]],"Pass","Fail")))</f>
        <v>Fail</v>
      </c>
      <c r="AH23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5" s="1" t="b">
        <v>0</v>
      </c>
      <c r="AN2375" s="1" t="b">
        <v>0</v>
      </c>
      <c r="AO2375" s="1" t="b">
        <v>0</v>
      </c>
    </row>
    <row r="2376" spans="1:41" x14ac:dyDescent="0.25">
      <c r="A2376" s="10"/>
      <c r="B2376" s="10"/>
      <c r="C2376" s="10"/>
      <c r="D2376" s="10"/>
      <c r="E2376" s="10"/>
      <c r="F2376" s="10"/>
      <c r="G2376" s="10"/>
      <c r="H2376" s="10"/>
      <c r="I2376" s="1" t="str">
        <f t="shared" si="108"/>
        <v/>
      </c>
      <c r="J2376" s="1" t="s">
        <v>35</v>
      </c>
      <c r="K2376" s="1" t="str">
        <f t="shared" si="109"/>
        <v/>
      </c>
      <c r="L2376" s="1" t="str">
        <f t="shared" si="110"/>
        <v/>
      </c>
      <c r="M2376" s="1">
        <f>IF(OR(Table1[[#This Row],[Std Nom]]="",Table1[[#This Row],[Std Read]]=""),0,Table1[[#This Row],[Std Nom]]-Table1[[#This Row],[Std Read]])</f>
        <v>0</v>
      </c>
      <c r="N2376" s="1">
        <f>IF(Calculations!$F$5="ACCREDITED 17025 WITH UNCERTAINTIES",$N$10,0)</f>
        <v>0</v>
      </c>
      <c r="O2376" s="1" t="str">
        <f>IFERROR(Table1[[#This Row],[Std Nom]]-(_xlfn.XLOOKUP(Table1[[#This Row],[Manufacturer]]&amp;" "&amp;Table1[[#This Row],[Model]],Table13[MFR &amp; MDL],Table13[Tolerance % CW ],"")/100*Table1[[#This Row],[Std Nom]]),"")</f>
        <v/>
      </c>
      <c r="P2376" s="1" t="str">
        <f>IFERROR(Table1[[#This Row],[Std Nom]]+(_xlfn.XLOOKUP(Table1[[#This Row],[Manufacturer]]&amp;" "&amp;Table1[[#This Row],[Model]],Table13[MFR &amp; MDL],Table13[Tolerance % CW ],"")/100*Table1[[#This Row],[Std Nom]]),"")</f>
        <v/>
      </c>
      <c r="Q2376" s="1" t="e">
        <f>Table1[[#This Row],[High Tol]]-Table1[[#This Row],[Low Tol]]</f>
        <v>#VALUE!</v>
      </c>
      <c r="R2376" s="1">
        <f>2*Table1[[#This Row],[Std Error]]</f>
        <v>0</v>
      </c>
      <c r="S2376" s="1" t="str">
        <f>IF(Table1[[#This Row],[High Tol]]="","N/A",IFERROR(ABS(Table1[[#This Row],[Tol Span]]/Table1[[#This Row],[Error Span]]),"N/A"))</f>
        <v>N/A</v>
      </c>
      <c r="T2376" s="1" t="str">
        <f>IF(OR(Table1[[#This Row],[Low Tol]]="",Table1[[#This Row],[High Tol]]=""),"Needs Analysis",IF(Table1[[#This Row],[Ratio]]&gt;=4,"Not Significant",IF(Table1[[#This Row],[Ratio]]&gt;=2,"Semi-Significant","Significant")))</f>
        <v>Needs Analysis</v>
      </c>
      <c r="W2376" s="1">
        <f>IF(Table1[[#This Row],[Cal Type]]&lt;&gt;"ACCREDITED 17025 WITH UNCERTAINTIES",0,"")</f>
        <v>0</v>
      </c>
      <c r="X2376" s="1" t="str">
        <f>IF(Table1[[#This Row],[DUT Read]]="","N/A",Table1[[#This Row],[Std Error]]+Table1[[#This Row],[DUT Read]]+Table1[[#This Row],[DUT Ucty]])</f>
        <v>N/A</v>
      </c>
      <c r="Y2376" s="1" t="str">
        <f>IF(Table1[[#This Row],[Std Read]]="","N/A",Table1[[#This Row],[Std Read]]+Table1[[#This Row],[Std Ucty]])</f>
        <v>N/A</v>
      </c>
      <c r="Z23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6" s="1" t="str">
        <f>IF(Table1[[#This Row],[Spec Type]]="","N/A",Table1[[#This Row],[Spec Type]])</f>
        <v>±</v>
      </c>
      <c r="AC2376" s="1" t="str">
        <f>IF(Table1[[#This Row],[Spec Type2]]="N/A","N/A",IF(AND(Table1[[#This Row],[DUT Adj Read]]&gt;=Table1[[#This Row],[Low Tol]],Table1[[#This Row],[DUT Adj Read]]&lt;=Table1[[#This Row],[High Tol]]),"Pass","Fail"))</f>
        <v>Fail</v>
      </c>
      <c r="AD2376" s="1" t="str">
        <f>IF(AND(Table1[[#This Row],[Spec Type2]]="N/A",Table1[[#This Row],[DUT Adj Read]]="N/A",Table1[[#This Row],[Std Adj Read]]="N/A"),"N/A",IF(Table1[[#This Row],[DUT Adj Read]]="N/A",IF(Table1[[#This Row],[Std Adj Read]]&gt;Table1[[#This Row],[Low Tol]],"Pass","Fail"),IF(Table1[[#This Row],[DUT Adj Read]]&gt;Table1[[#This Row],[Low Tol]],"Pass","Fail")))</f>
        <v>Pass</v>
      </c>
      <c r="AE2376" s="1" t="str">
        <f>IF(AND(Table1[[#This Row],[Spec Type2]]="N/A",Table1[[#This Row],[DUT Adj Read]]="N/A",Table1[[#This Row],[Std Adj Read]]="N/A"),"N/A",IF(Table1[[#This Row],[DUT Adj Read]]="N/A",IF(Table1[[#This Row],[Std Adj Read]]&lt;Table1[[#This Row],[High Tol]],"Pass","Fail"),IF(Table1[[#This Row],[DUT Adj Read]]&lt;Table1[[#This Row],[High Tol]],"Pass","Fail")))</f>
        <v>Fail</v>
      </c>
      <c r="AF2376" s="1" t="str">
        <f>IF(AND(Table1[[#This Row],[Spec Type2]]="N/A",Table1[[#This Row],[DUT Adj Read]]="N/A",Table1[[#This Row],[Std Adj Read]]="N/A"),"N/A",IF(Table1[[#This Row],[DUT Adj Read]]="N/A",IF(Table1[[#This Row],[Std Adj Read]]&gt;=Table1[[#This Row],[Low Tol]],"Pass","Fail"),IF(Table1[[#This Row],[DUT Adj Read]]&gt;=Table1[[#This Row],[Low Tol]],"Pass","Fail")))</f>
        <v>Pass</v>
      </c>
      <c r="AG2376" s="1" t="str">
        <f>IF(AND(Table1[[#This Row],[Spec Type2]]="N/A",Table1[[#This Row],[DUT Adj Read]]="N/A",Table1[[#This Row],[Std Adj Read]]="N/A"),"N/A",IF(Table1[[#This Row],[DUT Adj Read]]="N/A",IF(Table1[[#This Row],[Std Adj Read]]&lt;=Table1[[#This Row],[High Tol]],"Pass","Fail"),IF(Table1[[#This Row],[DUT Adj Read]]&lt;=Table1[[#This Row],[High Tol]],"Pass","Fail")))</f>
        <v>Fail</v>
      </c>
      <c r="AH23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6" s="1" t="b">
        <v>0</v>
      </c>
      <c r="AN2376" s="1" t="b">
        <v>0</v>
      </c>
      <c r="AO2376" s="1" t="b">
        <v>0</v>
      </c>
    </row>
    <row r="2377" spans="1:41" x14ac:dyDescent="0.25">
      <c r="A2377" s="10"/>
      <c r="B2377" s="10"/>
      <c r="C2377" s="10"/>
      <c r="D2377" s="10"/>
      <c r="E2377" s="10"/>
      <c r="F2377" s="10"/>
      <c r="G2377" s="10"/>
      <c r="H2377" s="10"/>
      <c r="I2377" s="1" t="str">
        <f t="shared" si="108"/>
        <v/>
      </c>
      <c r="J2377" s="1" t="s">
        <v>35</v>
      </c>
      <c r="K2377" s="1" t="str">
        <f t="shared" si="109"/>
        <v/>
      </c>
      <c r="L2377" s="1" t="str">
        <f t="shared" si="110"/>
        <v/>
      </c>
      <c r="M2377" s="1">
        <f>IF(OR(Table1[[#This Row],[Std Nom]]="",Table1[[#This Row],[Std Read]]=""),0,Table1[[#This Row],[Std Nom]]-Table1[[#This Row],[Std Read]])</f>
        <v>0</v>
      </c>
      <c r="N2377" s="1">
        <f>IF(Calculations!$F$5="ACCREDITED 17025 WITH UNCERTAINTIES",$N$10,0)</f>
        <v>0</v>
      </c>
      <c r="O2377" s="1" t="str">
        <f>IFERROR(Table1[[#This Row],[Std Nom]]-(_xlfn.XLOOKUP(Table1[[#This Row],[Manufacturer]]&amp;" "&amp;Table1[[#This Row],[Model]],Table13[MFR &amp; MDL],Table13[Tolerance % CW ],"")/100*Table1[[#This Row],[Std Nom]]),"")</f>
        <v/>
      </c>
      <c r="P2377" s="1" t="str">
        <f>IFERROR(Table1[[#This Row],[Std Nom]]+(_xlfn.XLOOKUP(Table1[[#This Row],[Manufacturer]]&amp;" "&amp;Table1[[#This Row],[Model]],Table13[MFR &amp; MDL],Table13[Tolerance % CW ],"")/100*Table1[[#This Row],[Std Nom]]),"")</f>
        <v/>
      </c>
      <c r="Q2377" s="1" t="e">
        <f>Table1[[#This Row],[High Tol]]-Table1[[#This Row],[Low Tol]]</f>
        <v>#VALUE!</v>
      </c>
      <c r="R2377" s="1">
        <f>2*Table1[[#This Row],[Std Error]]</f>
        <v>0</v>
      </c>
      <c r="S2377" s="1" t="str">
        <f>IF(Table1[[#This Row],[High Tol]]="","N/A",IFERROR(ABS(Table1[[#This Row],[Tol Span]]/Table1[[#This Row],[Error Span]]),"N/A"))</f>
        <v>N/A</v>
      </c>
      <c r="T2377" s="1" t="str">
        <f>IF(OR(Table1[[#This Row],[Low Tol]]="",Table1[[#This Row],[High Tol]]=""),"Needs Analysis",IF(Table1[[#This Row],[Ratio]]&gt;=4,"Not Significant",IF(Table1[[#This Row],[Ratio]]&gt;=2,"Semi-Significant","Significant")))</f>
        <v>Needs Analysis</v>
      </c>
      <c r="W2377" s="1">
        <f>IF(Table1[[#This Row],[Cal Type]]&lt;&gt;"ACCREDITED 17025 WITH UNCERTAINTIES",0,"")</f>
        <v>0</v>
      </c>
      <c r="X2377" s="1" t="str">
        <f>IF(Table1[[#This Row],[DUT Read]]="","N/A",Table1[[#This Row],[Std Error]]+Table1[[#This Row],[DUT Read]]+Table1[[#This Row],[DUT Ucty]])</f>
        <v>N/A</v>
      </c>
      <c r="Y2377" s="1" t="str">
        <f>IF(Table1[[#This Row],[Std Read]]="","N/A",Table1[[#This Row],[Std Read]]+Table1[[#This Row],[Std Ucty]])</f>
        <v>N/A</v>
      </c>
      <c r="Z23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7" s="1" t="str">
        <f>IF(Table1[[#This Row],[Spec Type]]="","N/A",Table1[[#This Row],[Spec Type]])</f>
        <v>±</v>
      </c>
      <c r="AC2377" s="1" t="str">
        <f>IF(Table1[[#This Row],[Spec Type2]]="N/A","N/A",IF(AND(Table1[[#This Row],[DUT Adj Read]]&gt;=Table1[[#This Row],[Low Tol]],Table1[[#This Row],[DUT Adj Read]]&lt;=Table1[[#This Row],[High Tol]]),"Pass","Fail"))</f>
        <v>Fail</v>
      </c>
      <c r="AD2377" s="1" t="str">
        <f>IF(AND(Table1[[#This Row],[Spec Type2]]="N/A",Table1[[#This Row],[DUT Adj Read]]="N/A",Table1[[#This Row],[Std Adj Read]]="N/A"),"N/A",IF(Table1[[#This Row],[DUT Adj Read]]="N/A",IF(Table1[[#This Row],[Std Adj Read]]&gt;Table1[[#This Row],[Low Tol]],"Pass","Fail"),IF(Table1[[#This Row],[DUT Adj Read]]&gt;Table1[[#This Row],[Low Tol]],"Pass","Fail")))</f>
        <v>Pass</v>
      </c>
      <c r="AE2377" s="1" t="str">
        <f>IF(AND(Table1[[#This Row],[Spec Type2]]="N/A",Table1[[#This Row],[DUT Adj Read]]="N/A",Table1[[#This Row],[Std Adj Read]]="N/A"),"N/A",IF(Table1[[#This Row],[DUT Adj Read]]="N/A",IF(Table1[[#This Row],[Std Adj Read]]&lt;Table1[[#This Row],[High Tol]],"Pass","Fail"),IF(Table1[[#This Row],[DUT Adj Read]]&lt;Table1[[#This Row],[High Tol]],"Pass","Fail")))</f>
        <v>Fail</v>
      </c>
      <c r="AF2377" s="1" t="str">
        <f>IF(AND(Table1[[#This Row],[Spec Type2]]="N/A",Table1[[#This Row],[DUT Adj Read]]="N/A",Table1[[#This Row],[Std Adj Read]]="N/A"),"N/A",IF(Table1[[#This Row],[DUT Adj Read]]="N/A",IF(Table1[[#This Row],[Std Adj Read]]&gt;=Table1[[#This Row],[Low Tol]],"Pass","Fail"),IF(Table1[[#This Row],[DUT Adj Read]]&gt;=Table1[[#This Row],[Low Tol]],"Pass","Fail")))</f>
        <v>Pass</v>
      </c>
      <c r="AG2377" s="1" t="str">
        <f>IF(AND(Table1[[#This Row],[Spec Type2]]="N/A",Table1[[#This Row],[DUT Adj Read]]="N/A",Table1[[#This Row],[Std Adj Read]]="N/A"),"N/A",IF(Table1[[#This Row],[DUT Adj Read]]="N/A",IF(Table1[[#This Row],[Std Adj Read]]&lt;=Table1[[#This Row],[High Tol]],"Pass","Fail"),IF(Table1[[#This Row],[DUT Adj Read]]&lt;=Table1[[#This Row],[High Tol]],"Pass","Fail")))</f>
        <v>Fail</v>
      </c>
      <c r="AH23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7" s="1" t="b">
        <v>0</v>
      </c>
      <c r="AN2377" s="1" t="b">
        <v>0</v>
      </c>
      <c r="AO2377" s="1" t="b">
        <v>0</v>
      </c>
    </row>
    <row r="2378" spans="1:41" x14ac:dyDescent="0.25">
      <c r="A2378" s="10"/>
      <c r="B2378" s="10"/>
      <c r="C2378" s="10"/>
      <c r="D2378" s="10"/>
      <c r="E2378" s="10"/>
      <c r="F2378" s="10"/>
      <c r="G2378" s="10"/>
      <c r="H2378" s="10"/>
      <c r="I2378" s="1" t="str">
        <f t="shared" si="108"/>
        <v/>
      </c>
      <c r="J2378" s="1" t="s">
        <v>35</v>
      </c>
      <c r="K2378" s="1" t="str">
        <f t="shared" si="109"/>
        <v/>
      </c>
      <c r="L2378" s="1" t="str">
        <f t="shared" si="110"/>
        <v/>
      </c>
      <c r="M2378" s="1">
        <f>IF(OR(Table1[[#This Row],[Std Nom]]="",Table1[[#This Row],[Std Read]]=""),0,Table1[[#This Row],[Std Nom]]-Table1[[#This Row],[Std Read]])</f>
        <v>0</v>
      </c>
      <c r="N2378" s="1">
        <f>IF(Calculations!$F$5="ACCREDITED 17025 WITH UNCERTAINTIES",$N$10,0)</f>
        <v>0</v>
      </c>
      <c r="O2378" s="1" t="str">
        <f>IFERROR(Table1[[#This Row],[Std Nom]]-(_xlfn.XLOOKUP(Table1[[#This Row],[Manufacturer]]&amp;" "&amp;Table1[[#This Row],[Model]],Table13[MFR &amp; MDL],Table13[Tolerance % CW ],"")/100*Table1[[#This Row],[Std Nom]]),"")</f>
        <v/>
      </c>
      <c r="P2378" s="1" t="str">
        <f>IFERROR(Table1[[#This Row],[Std Nom]]+(_xlfn.XLOOKUP(Table1[[#This Row],[Manufacturer]]&amp;" "&amp;Table1[[#This Row],[Model]],Table13[MFR &amp; MDL],Table13[Tolerance % CW ],"")/100*Table1[[#This Row],[Std Nom]]),"")</f>
        <v/>
      </c>
      <c r="Q2378" s="1" t="e">
        <f>Table1[[#This Row],[High Tol]]-Table1[[#This Row],[Low Tol]]</f>
        <v>#VALUE!</v>
      </c>
      <c r="R2378" s="1">
        <f>2*Table1[[#This Row],[Std Error]]</f>
        <v>0</v>
      </c>
      <c r="S2378" s="1" t="str">
        <f>IF(Table1[[#This Row],[High Tol]]="","N/A",IFERROR(ABS(Table1[[#This Row],[Tol Span]]/Table1[[#This Row],[Error Span]]),"N/A"))</f>
        <v>N/A</v>
      </c>
      <c r="T2378" s="1" t="str">
        <f>IF(OR(Table1[[#This Row],[Low Tol]]="",Table1[[#This Row],[High Tol]]=""),"Needs Analysis",IF(Table1[[#This Row],[Ratio]]&gt;=4,"Not Significant",IF(Table1[[#This Row],[Ratio]]&gt;=2,"Semi-Significant","Significant")))</f>
        <v>Needs Analysis</v>
      </c>
      <c r="W2378" s="1">
        <f>IF(Table1[[#This Row],[Cal Type]]&lt;&gt;"ACCREDITED 17025 WITH UNCERTAINTIES",0,"")</f>
        <v>0</v>
      </c>
      <c r="X2378" s="1" t="str">
        <f>IF(Table1[[#This Row],[DUT Read]]="","N/A",Table1[[#This Row],[Std Error]]+Table1[[#This Row],[DUT Read]]+Table1[[#This Row],[DUT Ucty]])</f>
        <v>N/A</v>
      </c>
      <c r="Y2378" s="1" t="str">
        <f>IF(Table1[[#This Row],[Std Read]]="","N/A",Table1[[#This Row],[Std Read]]+Table1[[#This Row],[Std Ucty]])</f>
        <v>N/A</v>
      </c>
      <c r="Z23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8" s="1" t="str">
        <f>IF(Table1[[#This Row],[Spec Type]]="","N/A",Table1[[#This Row],[Spec Type]])</f>
        <v>±</v>
      </c>
      <c r="AC2378" s="1" t="str">
        <f>IF(Table1[[#This Row],[Spec Type2]]="N/A","N/A",IF(AND(Table1[[#This Row],[DUT Adj Read]]&gt;=Table1[[#This Row],[Low Tol]],Table1[[#This Row],[DUT Adj Read]]&lt;=Table1[[#This Row],[High Tol]]),"Pass","Fail"))</f>
        <v>Fail</v>
      </c>
      <c r="AD2378" s="1" t="str">
        <f>IF(AND(Table1[[#This Row],[Spec Type2]]="N/A",Table1[[#This Row],[DUT Adj Read]]="N/A",Table1[[#This Row],[Std Adj Read]]="N/A"),"N/A",IF(Table1[[#This Row],[DUT Adj Read]]="N/A",IF(Table1[[#This Row],[Std Adj Read]]&gt;Table1[[#This Row],[Low Tol]],"Pass","Fail"),IF(Table1[[#This Row],[DUT Adj Read]]&gt;Table1[[#This Row],[Low Tol]],"Pass","Fail")))</f>
        <v>Pass</v>
      </c>
      <c r="AE2378" s="1" t="str">
        <f>IF(AND(Table1[[#This Row],[Spec Type2]]="N/A",Table1[[#This Row],[DUT Adj Read]]="N/A",Table1[[#This Row],[Std Adj Read]]="N/A"),"N/A",IF(Table1[[#This Row],[DUT Adj Read]]="N/A",IF(Table1[[#This Row],[Std Adj Read]]&lt;Table1[[#This Row],[High Tol]],"Pass","Fail"),IF(Table1[[#This Row],[DUT Adj Read]]&lt;Table1[[#This Row],[High Tol]],"Pass","Fail")))</f>
        <v>Fail</v>
      </c>
      <c r="AF2378" s="1" t="str">
        <f>IF(AND(Table1[[#This Row],[Spec Type2]]="N/A",Table1[[#This Row],[DUT Adj Read]]="N/A",Table1[[#This Row],[Std Adj Read]]="N/A"),"N/A",IF(Table1[[#This Row],[DUT Adj Read]]="N/A",IF(Table1[[#This Row],[Std Adj Read]]&gt;=Table1[[#This Row],[Low Tol]],"Pass","Fail"),IF(Table1[[#This Row],[DUT Adj Read]]&gt;=Table1[[#This Row],[Low Tol]],"Pass","Fail")))</f>
        <v>Pass</v>
      </c>
      <c r="AG2378" s="1" t="str">
        <f>IF(AND(Table1[[#This Row],[Spec Type2]]="N/A",Table1[[#This Row],[DUT Adj Read]]="N/A",Table1[[#This Row],[Std Adj Read]]="N/A"),"N/A",IF(Table1[[#This Row],[DUT Adj Read]]="N/A",IF(Table1[[#This Row],[Std Adj Read]]&lt;=Table1[[#This Row],[High Tol]],"Pass","Fail"),IF(Table1[[#This Row],[DUT Adj Read]]&lt;=Table1[[#This Row],[High Tol]],"Pass","Fail")))</f>
        <v>Fail</v>
      </c>
      <c r="AH23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8" s="1" t="b">
        <v>0</v>
      </c>
      <c r="AN2378" s="1" t="b">
        <v>0</v>
      </c>
      <c r="AO2378" s="1" t="b">
        <v>0</v>
      </c>
    </row>
    <row r="2379" spans="1:41" x14ac:dyDescent="0.25">
      <c r="A2379" s="10"/>
      <c r="B2379" s="10"/>
      <c r="C2379" s="10"/>
      <c r="D2379" s="10"/>
      <c r="E2379" s="10"/>
      <c r="F2379" s="10"/>
      <c r="G2379" s="10"/>
      <c r="H2379" s="10"/>
      <c r="I2379" s="1" t="str">
        <f t="shared" ref="I2379:I2442" si="111">IF($I$10="","",$I$10)</f>
        <v/>
      </c>
      <c r="J2379" s="1" t="s">
        <v>35</v>
      </c>
      <c r="K2379" s="1" t="str">
        <f t="shared" ref="K2379:K2442" si="112">IF($K$10="","",$K$10)</f>
        <v/>
      </c>
      <c r="L2379" s="1" t="str">
        <f t="shared" ref="L2379:L2442" si="113">IF($L$10="","",$L$10)</f>
        <v/>
      </c>
      <c r="M2379" s="1">
        <f>IF(OR(Table1[[#This Row],[Std Nom]]="",Table1[[#This Row],[Std Read]]=""),0,Table1[[#This Row],[Std Nom]]-Table1[[#This Row],[Std Read]])</f>
        <v>0</v>
      </c>
      <c r="N2379" s="1">
        <f>IF(Calculations!$F$5="ACCREDITED 17025 WITH UNCERTAINTIES",$N$10,0)</f>
        <v>0</v>
      </c>
      <c r="O2379" s="1" t="str">
        <f>IFERROR(Table1[[#This Row],[Std Nom]]-(_xlfn.XLOOKUP(Table1[[#This Row],[Manufacturer]]&amp;" "&amp;Table1[[#This Row],[Model]],Table13[MFR &amp; MDL],Table13[Tolerance % CW ],"")/100*Table1[[#This Row],[Std Nom]]),"")</f>
        <v/>
      </c>
      <c r="P2379" s="1" t="str">
        <f>IFERROR(Table1[[#This Row],[Std Nom]]+(_xlfn.XLOOKUP(Table1[[#This Row],[Manufacturer]]&amp;" "&amp;Table1[[#This Row],[Model]],Table13[MFR &amp; MDL],Table13[Tolerance % CW ],"")/100*Table1[[#This Row],[Std Nom]]),"")</f>
        <v/>
      </c>
      <c r="Q2379" s="1" t="e">
        <f>Table1[[#This Row],[High Tol]]-Table1[[#This Row],[Low Tol]]</f>
        <v>#VALUE!</v>
      </c>
      <c r="R2379" s="1">
        <f>2*Table1[[#This Row],[Std Error]]</f>
        <v>0</v>
      </c>
      <c r="S2379" s="1" t="str">
        <f>IF(Table1[[#This Row],[High Tol]]="","N/A",IFERROR(ABS(Table1[[#This Row],[Tol Span]]/Table1[[#This Row],[Error Span]]),"N/A"))</f>
        <v>N/A</v>
      </c>
      <c r="T2379" s="1" t="str">
        <f>IF(OR(Table1[[#This Row],[Low Tol]]="",Table1[[#This Row],[High Tol]]=""),"Needs Analysis",IF(Table1[[#This Row],[Ratio]]&gt;=4,"Not Significant",IF(Table1[[#This Row],[Ratio]]&gt;=2,"Semi-Significant","Significant")))</f>
        <v>Needs Analysis</v>
      </c>
      <c r="W2379" s="1">
        <f>IF(Table1[[#This Row],[Cal Type]]&lt;&gt;"ACCREDITED 17025 WITH UNCERTAINTIES",0,"")</f>
        <v>0</v>
      </c>
      <c r="X2379" s="1" t="str">
        <f>IF(Table1[[#This Row],[DUT Read]]="","N/A",Table1[[#This Row],[Std Error]]+Table1[[#This Row],[DUT Read]]+Table1[[#This Row],[DUT Ucty]])</f>
        <v>N/A</v>
      </c>
      <c r="Y2379" s="1" t="str">
        <f>IF(Table1[[#This Row],[Std Read]]="","N/A",Table1[[#This Row],[Std Read]]+Table1[[#This Row],[Std Ucty]])</f>
        <v>N/A</v>
      </c>
      <c r="Z23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9" s="1" t="str">
        <f>IF(Table1[[#This Row],[Spec Type]]="","N/A",Table1[[#This Row],[Spec Type]])</f>
        <v>±</v>
      </c>
      <c r="AC2379" s="1" t="str">
        <f>IF(Table1[[#This Row],[Spec Type2]]="N/A","N/A",IF(AND(Table1[[#This Row],[DUT Adj Read]]&gt;=Table1[[#This Row],[Low Tol]],Table1[[#This Row],[DUT Adj Read]]&lt;=Table1[[#This Row],[High Tol]]),"Pass","Fail"))</f>
        <v>Fail</v>
      </c>
      <c r="AD2379" s="1" t="str">
        <f>IF(AND(Table1[[#This Row],[Spec Type2]]="N/A",Table1[[#This Row],[DUT Adj Read]]="N/A",Table1[[#This Row],[Std Adj Read]]="N/A"),"N/A",IF(Table1[[#This Row],[DUT Adj Read]]="N/A",IF(Table1[[#This Row],[Std Adj Read]]&gt;Table1[[#This Row],[Low Tol]],"Pass","Fail"),IF(Table1[[#This Row],[DUT Adj Read]]&gt;Table1[[#This Row],[Low Tol]],"Pass","Fail")))</f>
        <v>Pass</v>
      </c>
      <c r="AE2379" s="1" t="str">
        <f>IF(AND(Table1[[#This Row],[Spec Type2]]="N/A",Table1[[#This Row],[DUT Adj Read]]="N/A",Table1[[#This Row],[Std Adj Read]]="N/A"),"N/A",IF(Table1[[#This Row],[DUT Adj Read]]="N/A",IF(Table1[[#This Row],[Std Adj Read]]&lt;Table1[[#This Row],[High Tol]],"Pass","Fail"),IF(Table1[[#This Row],[DUT Adj Read]]&lt;Table1[[#This Row],[High Tol]],"Pass","Fail")))</f>
        <v>Fail</v>
      </c>
      <c r="AF2379" s="1" t="str">
        <f>IF(AND(Table1[[#This Row],[Spec Type2]]="N/A",Table1[[#This Row],[DUT Adj Read]]="N/A",Table1[[#This Row],[Std Adj Read]]="N/A"),"N/A",IF(Table1[[#This Row],[DUT Adj Read]]="N/A",IF(Table1[[#This Row],[Std Adj Read]]&gt;=Table1[[#This Row],[Low Tol]],"Pass","Fail"),IF(Table1[[#This Row],[DUT Adj Read]]&gt;=Table1[[#This Row],[Low Tol]],"Pass","Fail")))</f>
        <v>Pass</v>
      </c>
      <c r="AG2379" s="1" t="str">
        <f>IF(AND(Table1[[#This Row],[Spec Type2]]="N/A",Table1[[#This Row],[DUT Adj Read]]="N/A",Table1[[#This Row],[Std Adj Read]]="N/A"),"N/A",IF(Table1[[#This Row],[DUT Adj Read]]="N/A",IF(Table1[[#This Row],[Std Adj Read]]&lt;=Table1[[#This Row],[High Tol]],"Pass","Fail"),IF(Table1[[#This Row],[DUT Adj Read]]&lt;=Table1[[#This Row],[High Tol]],"Pass","Fail")))</f>
        <v>Fail</v>
      </c>
      <c r="AH23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9" s="1" t="b">
        <v>0</v>
      </c>
      <c r="AN2379" s="1" t="b">
        <v>0</v>
      </c>
      <c r="AO2379" s="1" t="b">
        <v>0</v>
      </c>
    </row>
    <row r="2380" spans="1:41" x14ac:dyDescent="0.25">
      <c r="A2380" s="10"/>
      <c r="B2380" s="10"/>
      <c r="C2380" s="10"/>
      <c r="D2380" s="10"/>
      <c r="E2380" s="10"/>
      <c r="F2380" s="10"/>
      <c r="G2380" s="10"/>
      <c r="H2380" s="10"/>
      <c r="I2380" s="1" t="str">
        <f t="shared" si="111"/>
        <v/>
      </c>
      <c r="J2380" s="1" t="s">
        <v>35</v>
      </c>
      <c r="K2380" s="1" t="str">
        <f t="shared" si="112"/>
        <v/>
      </c>
      <c r="L2380" s="1" t="str">
        <f t="shared" si="113"/>
        <v/>
      </c>
      <c r="M2380" s="1">
        <f>IF(OR(Table1[[#This Row],[Std Nom]]="",Table1[[#This Row],[Std Read]]=""),0,Table1[[#This Row],[Std Nom]]-Table1[[#This Row],[Std Read]])</f>
        <v>0</v>
      </c>
      <c r="N2380" s="1">
        <f>IF(Calculations!$F$5="ACCREDITED 17025 WITH UNCERTAINTIES",$N$10,0)</f>
        <v>0</v>
      </c>
      <c r="O2380" s="1" t="str">
        <f>IFERROR(Table1[[#This Row],[Std Nom]]-(_xlfn.XLOOKUP(Table1[[#This Row],[Manufacturer]]&amp;" "&amp;Table1[[#This Row],[Model]],Table13[MFR &amp; MDL],Table13[Tolerance % CW ],"")/100*Table1[[#This Row],[Std Nom]]),"")</f>
        <v/>
      </c>
      <c r="P2380" s="1" t="str">
        <f>IFERROR(Table1[[#This Row],[Std Nom]]+(_xlfn.XLOOKUP(Table1[[#This Row],[Manufacturer]]&amp;" "&amp;Table1[[#This Row],[Model]],Table13[MFR &amp; MDL],Table13[Tolerance % CW ],"")/100*Table1[[#This Row],[Std Nom]]),"")</f>
        <v/>
      </c>
      <c r="Q2380" s="1" t="e">
        <f>Table1[[#This Row],[High Tol]]-Table1[[#This Row],[Low Tol]]</f>
        <v>#VALUE!</v>
      </c>
      <c r="R2380" s="1">
        <f>2*Table1[[#This Row],[Std Error]]</f>
        <v>0</v>
      </c>
      <c r="S2380" s="1" t="str">
        <f>IF(Table1[[#This Row],[High Tol]]="","N/A",IFERROR(ABS(Table1[[#This Row],[Tol Span]]/Table1[[#This Row],[Error Span]]),"N/A"))</f>
        <v>N/A</v>
      </c>
      <c r="T2380" s="1" t="str">
        <f>IF(OR(Table1[[#This Row],[Low Tol]]="",Table1[[#This Row],[High Tol]]=""),"Needs Analysis",IF(Table1[[#This Row],[Ratio]]&gt;=4,"Not Significant",IF(Table1[[#This Row],[Ratio]]&gt;=2,"Semi-Significant","Significant")))</f>
        <v>Needs Analysis</v>
      </c>
      <c r="W2380" s="1">
        <f>IF(Table1[[#This Row],[Cal Type]]&lt;&gt;"ACCREDITED 17025 WITH UNCERTAINTIES",0,"")</f>
        <v>0</v>
      </c>
      <c r="X2380" s="1" t="str">
        <f>IF(Table1[[#This Row],[DUT Read]]="","N/A",Table1[[#This Row],[Std Error]]+Table1[[#This Row],[DUT Read]]+Table1[[#This Row],[DUT Ucty]])</f>
        <v>N/A</v>
      </c>
      <c r="Y2380" s="1" t="str">
        <f>IF(Table1[[#This Row],[Std Read]]="","N/A",Table1[[#This Row],[Std Read]]+Table1[[#This Row],[Std Ucty]])</f>
        <v>N/A</v>
      </c>
      <c r="Z23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0" s="1" t="str">
        <f>IF(Table1[[#This Row],[Spec Type]]="","N/A",Table1[[#This Row],[Spec Type]])</f>
        <v>±</v>
      </c>
      <c r="AC2380" s="1" t="str">
        <f>IF(Table1[[#This Row],[Spec Type2]]="N/A","N/A",IF(AND(Table1[[#This Row],[DUT Adj Read]]&gt;=Table1[[#This Row],[Low Tol]],Table1[[#This Row],[DUT Adj Read]]&lt;=Table1[[#This Row],[High Tol]]),"Pass","Fail"))</f>
        <v>Fail</v>
      </c>
      <c r="AD2380" s="1" t="str">
        <f>IF(AND(Table1[[#This Row],[Spec Type2]]="N/A",Table1[[#This Row],[DUT Adj Read]]="N/A",Table1[[#This Row],[Std Adj Read]]="N/A"),"N/A",IF(Table1[[#This Row],[DUT Adj Read]]="N/A",IF(Table1[[#This Row],[Std Adj Read]]&gt;Table1[[#This Row],[Low Tol]],"Pass","Fail"),IF(Table1[[#This Row],[DUT Adj Read]]&gt;Table1[[#This Row],[Low Tol]],"Pass","Fail")))</f>
        <v>Pass</v>
      </c>
      <c r="AE2380" s="1" t="str">
        <f>IF(AND(Table1[[#This Row],[Spec Type2]]="N/A",Table1[[#This Row],[DUT Adj Read]]="N/A",Table1[[#This Row],[Std Adj Read]]="N/A"),"N/A",IF(Table1[[#This Row],[DUT Adj Read]]="N/A",IF(Table1[[#This Row],[Std Adj Read]]&lt;Table1[[#This Row],[High Tol]],"Pass","Fail"),IF(Table1[[#This Row],[DUT Adj Read]]&lt;Table1[[#This Row],[High Tol]],"Pass","Fail")))</f>
        <v>Fail</v>
      </c>
      <c r="AF2380" s="1" t="str">
        <f>IF(AND(Table1[[#This Row],[Spec Type2]]="N/A",Table1[[#This Row],[DUT Adj Read]]="N/A",Table1[[#This Row],[Std Adj Read]]="N/A"),"N/A",IF(Table1[[#This Row],[DUT Adj Read]]="N/A",IF(Table1[[#This Row],[Std Adj Read]]&gt;=Table1[[#This Row],[Low Tol]],"Pass","Fail"),IF(Table1[[#This Row],[DUT Adj Read]]&gt;=Table1[[#This Row],[Low Tol]],"Pass","Fail")))</f>
        <v>Pass</v>
      </c>
      <c r="AG2380" s="1" t="str">
        <f>IF(AND(Table1[[#This Row],[Spec Type2]]="N/A",Table1[[#This Row],[DUT Adj Read]]="N/A",Table1[[#This Row],[Std Adj Read]]="N/A"),"N/A",IF(Table1[[#This Row],[DUT Adj Read]]="N/A",IF(Table1[[#This Row],[Std Adj Read]]&lt;=Table1[[#This Row],[High Tol]],"Pass","Fail"),IF(Table1[[#This Row],[DUT Adj Read]]&lt;=Table1[[#This Row],[High Tol]],"Pass","Fail")))</f>
        <v>Fail</v>
      </c>
      <c r="AH23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0" s="1" t="b">
        <v>0</v>
      </c>
      <c r="AN2380" s="1" t="b">
        <v>0</v>
      </c>
      <c r="AO2380" s="1" t="b">
        <v>0</v>
      </c>
    </row>
    <row r="2381" spans="1:41" x14ac:dyDescent="0.25">
      <c r="A2381" s="10"/>
      <c r="B2381" s="10"/>
      <c r="C2381" s="10"/>
      <c r="D2381" s="10"/>
      <c r="E2381" s="10"/>
      <c r="F2381" s="10"/>
      <c r="G2381" s="10"/>
      <c r="H2381" s="10"/>
      <c r="I2381" s="1" t="str">
        <f t="shared" si="111"/>
        <v/>
      </c>
      <c r="J2381" s="1" t="s">
        <v>35</v>
      </c>
      <c r="K2381" s="1" t="str">
        <f t="shared" si="112"/>
        <v/>
      </c>
      <c r="L2381" s="1" t="str">
        <f t="shared" si="113"/>
        <v/>
      </c>
      <c r="M2381" s="1">
        <f>IF(OR(Table1[[#This Row],[Std Nom]]="",Table1[[#This Row],[Std Read]]=""),0,Table1[[#This Row],[Std Nom]]-Table1[[#This Row],[Std Read]])</f>
        <v>0</v>
      </c>
      <c r="N2381" s="1">
        <f>IF(Calculations!$F$5="ACCREDITED 17025 WITH UNCERTAINTIES",$N$10,0)</f>
        <v>0</v>
      </c>
      <c r="O2381" s="1" t="str">
        <f>IFERROR(Table1[[#This Row],[Std Nom]]-(_xlfn.XLOOKUP(Table1[[#This Row],[Manufacturer]]&amp;" "&amp;Table1[[#This Row],[Model]],Table13[MFR &amp; MDL],Table13[Tolerance % CW ],"")/100*Table1[[#This Row],[Std Nom]]),"")</f>
        <v/>
      </c>
      <c r="P2381" s="1" t="str">
        <f>IFERROR(Table1[[#This Row],[Std Nom]]+(_xlfn.XLOOKUP(Table1[[#This Row],[Manufacturer]]&amp;" "&amp;Table1[[#This Row],[Model]],Table13[MFR &amp; MDL],Table13[Tolerance % CW ],"")/100*Table1[[#This Row],[Std Nom]]),"")</f>
        <v/>
      </c>
      <c r="Q2381" s="1" t="e">
        <f>Table1[[#This Row],[High Tol]]-Table1[[#This Row],[Low Tol]]</f>
        <v>#VALUE!</v>
      </c>
      <c r="R2381" s="1">
        <f>2*Table1[[#This Row],[Std Error]]</f>
        <v>0</v>
      </c>
      <c r="S2381" s="1" t="str">
        <f>IF(Table1[[#This Row],[High Tol]]="","N/A",IFERROR(ABS(Table1[[#This Row],[Tol Span]]/Table1[[#This Row],[Error Span]]),"N/A"))</f>
        <v>N/A</v>
      </c>
      <c r="T2381" s="1" t="str">
        <f>IF(OR(Table1[[#This Row],[Low Tol]]="",Table1[[#This Row],[High Tol]]=""),"Needs Analysis",IF(Table1[[#This Row],[Ratio]]&gt;=4,"Not Significant",IF(Table1[[#This Row],[Ratio]]&gt;=2,"Semi-Significant","Significant")))</f>
        <v>Needs Analysis</v>
      </c>
      <c r="W2381" s="1">
        <f>IF(Table1[[#This Row],[Cal Type]]&lt;&gt;"ACCREDITED 17025 WITH UNCERTAINTIES",0,"")</f>
        <v>0</v>
      </c>
      <c r="X2381" s="1" t="str">
        <f>IF(Table1[[#This Row],[DUT Read]]="","N/A",Table1[[#This Row],[Std Error]]+Table1[[#This Row],[DUT Read]]+Table1[[#This Row],[DUT Ucty]])</f>
        <v>N/A</v>
      </c>
      <c r="Y2381" s="1" t="str">
        <f>IF(Table1[[#This Row],[Std Read]]="","N/A",Table1[[#This Row],[Std Read]]+Table1[[#This Row],[Std Ucty]])</f>
        <v>N/A</v>
      </c>
      <c r="Z23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1" s="1" t="str">
        <f>IF(Table1[[#This Row],[Spec Type]]="","N/A",Table1[[#This Row],[Spec Type]])</f>
        <v>±</v>
      </c>
      <c r="AC2381" s="1" t="str">
        <f>IF(Table1[[#This Row],[Spec Type2]]="N/A","N/A",IF(AND(Table1[[#This Row],[DUT Adj Read]]&gt;=Table1[[#This Row],[Low Tol]],Table1[[#This Row],[DUT Adj Read]]&lt;=Table1[[#This Row],[High Tol]]),"Pass","Fail"))</f>
        <v>Fail</v>
      </c>
      <c r="AD2381" s="1" t="str">
        <f>IF(AND(Table1[[#This Row],[Spec Type2]]="N/A",Table1[[#This Row],[DUT Adj Read]]="N/A",Table1[[#This Row],[Std Adj Read]]="N/A"),"N/A",IF(Table1[[#This Row],[DUT Adj Read]]="N/A",IF(Table1[[#This Row],[Std Adj Read]]&gt;Table1[[#This Row],[Low Tol]],"Pass","Fail"),IF(Table1[[#This Row],[DUT Adj Read]]&gt;Table1[[#This Row],[Low Tol]],"Pass","Fail")))</f>
        <v>Pass</v>
      </c>
      <c r="AE2381" s="1" t="str">
        <f>IF(AND(Table1[[#This Row],[Spec Type2]]="N/A",Table1[[#This Row],[DUT Adj Read]]="N/A",Table1[[#This Row],[Std Adj Read]]="N/A"),"N/A",IF(Table1[[#This Row],[DUT Adj Read]]="N/A",IF(Table1[[#This Row],[Std Adj Read]]&lt;Table1[[#This Row],[High Tol]],"Pass","Fail"),IF(Table1[[#This Row],[DUT Adj Read]]&lt;Table1[[#This Row],[High Tol]],"Pass","Fail")))</f>
        <v>Fail</v>
      </c>
      <c r="AF2381" s="1" t="str">
        <f>IF(AND(Table1[[#This Row],[Spec Type2]]="N/A",Table1[[#This Row],[DUT Adj Read]]="N/A",Table1[[#This Row],[Std Adj Read]]="N/A"),"N/A",IF(Table1[[#This Row],[DUT Adj Read]]="N/A",IF(Table1[[#This Row],[Std Adj Read]]&gt;=Table1[[#This Row],[Low Tol]],"Pass","Fail"),IF(Table1[[#This Row],[DUT Adj Read]]&gt;=Table1[[#This Row],[Low Tol]],"Pass","Fail")))</f>
        <v>Pass</v>
      </c>
      <c r="AG2381" s="1" t="str">
        <f>IF(AND(Table1[[#This Row],[Spec Type2]]="N/A",Table1[[#This Row],[DUT Adj Read]]="N/A",Table1[[#This Row],[Std Adj Read]]="N/A"),"N/A",IF(Table1[[#This Row],[DUT Adj Read]]="N/A",IF(Table1[[#This Row],[Std Adj Read]]&lt;=Table1[[#This Row],[High Tol]],"Pass","Fail"),IF(Table1[[#This Row],[DUT Adj Read]]&lt;=Table1[[#This Row],[High Tol]],"Pass","Fail")))</f>
        <v>Fail</v>
      </c>
      <c r="AH23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1" s="1" t="b">
        <v>0</v>
      </c>
      <c r="AN2381" s="1" t="b">
        <v>0</v>
      </c>
      <c r="AO2381" s="1" t="b">
        <v>0</v>
      </c>
    </row>
    <row r="2382" spans="1:41" x14ac:dyDescent="0.25">
      <c r="A2382" s="10"/>
      <c r="B2382" s="10"/>
      <c r="C2382" s="10"/>
      <c r="D2382" s="10"/>
      <c r="E2382" s="10"/>
      <c r="F2382" s="10"/>
      <c r="G2382" s="10"/>
      <c r="H2382" s="10"/>
      <c r="I2382" s="1" t="str">
        <f t="shared" si="111"/>
        <v/>
      </c>
      <c r="J2382" s="1" t="s">
        <v>35</v>
      </c>
      <c r="K2382" s="1" t="str">
        <f t="shared" si="112"/>
        <v/>
      </c>
      <c r="L2382" s="1" t="str">
        <f t="shared" si="113"/>
        <v/>
      </c>
      <c r="M2382" s="1">
        <f>IF(OR(Table1[[#This Row],[Std Nom]]="",Table1[[#This Row],[Std Read]]=""),0,Table1[[#This Row],[Std Nom]]-Table1[[#This Row],[Std Read]])</f>
        <v>0</v>
      </c>
      <c r="N2382" s="1">
        <f>IF(Calculations!$F$5="ACCREDITED 17025 WITH UNCERTAINTIES",$N$10,0)</f>
        <v>0</v>
      </c>
      <c r="O2382" s="1" t="str">
        <f>IFERROR(Table1[[#This Row],[Std Nom]]-(_xlfn.XLOOKUP(Table1[[#This Row],[Manufacturer]]&amp;" "&amp;Table1[[#This Row],[Model]],Table13[MFR &amp; MDL],Table13[Tolerance % CW ],"")/100*Table1[[#This Row],[Std Nom]]),"")</f>
        <v/>
      </c>
      <c r="P2382" s="1" t="str">
        <f>IFERROR(Table1[[#This Row],[Std Nom]]+(_xlfn.XLOOKUP(Table1[[#This Row],[Manufacturer]]&amp;" "&amp;Table1[[#This Row],[Model]],Table13[MFR &amp; MDL],Table13[Tolerance % CW ],"")/100*Table1[[#This Row],[Std Nom]]),"")</f>
        <v/>
      </c>
      <c r="Q2382" s="1" t="e">
        <f>Table1[[#This Row],[High Tol]]-Table1[[#This Row],[Low Tol]]</f>
        <v>#VALUE!</v>
      </c>
      <c r="R2382" s="1">
        <f>2*Table1[[#This Row],[Std Error]]</f>
        <v>0</v>
      </c>
      <c r="S2382" s="1" t="str">
        <f>IF(Table1[[#This Row],[High Tol]]="","N/A",IFERROR(ABS(Table1[[#This Row],[Tol Span]]/Table1[[#This Row],[Error Span]]),"N/A"))</f>
        <v>N/A</v>
      </c>
      <c r="T2382" s="1" t="str">
        <f>IF(OR(Table1[[#This Row],[Low Tol]]="",Table1[[#This Row],[High Tol]]=""),"Needs Analysis",IF(Table1[[#This Row],[Ratio]]&gt;=4,"Not Significant",IF(Table1[[#This Row],[Ratio]]&gt;=2,"Semi-Significant","Significant")))</f>
        <v>Needs Analysis</v>
      </c>
      <c r="W2382" s="1">
        <f>IF(Table1[[#This Row],[Cal Type]]&lt;&gt;"ACCREDITED 17025 WITH UNCERTAINTIES",0,"")</f>
        <v>0</v>
      </c>
      <c r="X2382" s="1" t="str">
        <f>IF(Table1[[#This Row],[DUT Read]]="","N/A",Table1[[#This Row],[Std Error]]+Table1[[#This Row],[DUT Read]]+Table1[[#This Row],[DUT Ucty]])</f>
        <v>N/A</v>
      </c>
      <c r="Y2382" s="1" t="str">
        <f>IF(Table1[[#This Row],[Std Read]]="","N/A",Table1[[#This Row],[Std Read]]+Table1[[#This Row],[Std Ucty]])</f>
        <v>N/A</v>
      </c>
      <c r="Z23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2" s="1" t="str">
        <f>IF(Table1[[#This Row],[Spec Type]]="","N/A",Table1[[#This Row],[Spec Type]])</f>
        <v>±</v>
      </c>
      <c r="AC2382" s="1" t="str">
        <f>IF(Table1[[#This Row],[Spec Type2]]="N/A","N/A",IF(AND(Table1[[#This Row],[DUT Adj Read]]&gt;=Table1[[#This Row],[Low Tol]],Table1[[#This Row],[DUT Adj Read]]&lt;=Table1[[#This Row],[High Tol]]),"Pass","Fail"))</f>
        <v>Fail</v>
      </c>
      <c r="AD2382" s="1" t="str">
        <f>IF(AND(Table1[[#This Row],[Spec Type2]]="N/A",Table1[[#This Row],[DUT Adj Read]]="N/A",Table1[[#This Row],[Std Adj Read]]="N/A"),"N/A",IF(Table1[[#This Row],[DUT Adj Read]]="N/A",IF(Table1[[#This Row],[Std Adj Read]]&gt;Table1[[#This Row],[Low Tol]],"Pass","Fail"),IF(Table1[[#This Row],[DUT Adj Read]]&gt;Table1[[#This Row],[Low Tol]],"Pass","Fail")))</f>
        <v>Pass</v>
      </c>
      <c r="AE2382" s="1" t="str">
        <f>IF(AND(Table1[[#This Row],[Spec Type2]]="N/A",Table1[[#This Row],[DUT Adj Read]]="N/A",Table1[[#This Row],[Std Adj Read]]="N/A"),"N/A",IF(Table1[[#This Row],[DUT Adj Read]]="N/A",IF(Table1[[#This Row],[Std Adj Read]]&lt;Table1[[#This Row],[High Tol]],"Pass","Fail"),IF(Table1[[#This Row],[DUT Adj Read]]&lt;Table1[[#This Row],[High Tol]],"Pass","Fail")))</f>
        <v>Fail</v>
      </c>
      <c r="AF2382" s="1" t="str">
        <f>IF(AND(Table1[[#This Row],[Spec Type2]]="N/A",Table1[[#This Row],[DUT Adj Read]]="N/A",Table1[[#This Row],[Std Adj Read]]="N/A"),"N/A",IF(Table1[[#This Row],[DUT Adj Read]]="N/A",IF(Table1[[#This Row],[Std Adj Read]]&gt;=Table1[[#This Row],[Low Tol]],"Pass","Fail"),IF(Table1[[#This Row],[DUT Adj Read]]&gt;=Table1[[#This Row],[Low Tol]],"Pass","Fail")))</f>
        <v>Pass</v>
      </c>
      <c r="AG2382" s="1" t="str">
        <f>IF(AND(Table1[[#This Row],[Spec Type2]]="N/A",Table1[[#This Row],[DUT Adj Read]]="N/A",Table1[[#This Row],[Std Adj Read]]="N/A"),"N/A",IF(Table1[[#This Row],[DUT Adj Read]]="N/A",IF(Table1[[#This Row],[Std Adj Read]]&lt;=Table1[[#This Row],[High Tol]],"Pass","Fail"),IF(Table1[[#This Row],[DUT Adj Read]]&lt;=Table1[[#This Row],[High Tol]],"Pass","Fail")))</f>
        <v>Fail</v>
      </c>
      <c r="AH23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2" s="1" t="b">
        <v>0</v>
      </c>
      <c r="AN2382" s="1" t="b">
        <v>0</v>
      </c>
      <c r="AO2382" s="1" t="b">
        <v>0</v>
      </c>
    </row>
    <row r="2383" spans="1:41" x14ac:dyDescent="0.25">
      <c r="A2383" s="10"/>
      <c r="B2383" s="10"/>
      <c r="C2383" s="10"/>
      <c r="D2383" s="10"/>
      <c r="E2383" s="10"/>
      <c r="F2383" s="10"/>
      <c r="G2383" s="10"/>
      <c r="H2383" s="10"/>
      <c r="I2383" s="1" t="str">
        <f t="shared" si="111"/>
        <v/>
      </c>
      <c r="J2383" s="1" t="s">
        <v>35</v>
      </c>
      <c r="K2383" s="1" t="str">
        <f t="shared" si="112"/>
        <v/>
      </c>
      <c r="L2383" s="1" t="str">
        <f t="shared" si="113"/>
        <v/>
      </c>
      <c r="M2383" s="1">
        <f>IF(OR(Table1[[#This Row],[Std Nom]]="",Table1[[#This Row],[Std Read]]=""),0,Table1[[#This Row],[Std Nom]]-Table1[[#This Row],[Std Read]])</f>
        <v>0</v>
      </c>
      <c r="N2383" s="1">
        <f>IF(Calculations!$F$5="ACCREDITED 17025 WITH UNCERTAINTIES",$N$10,0)</f>
        <v>0</v>
      </c>
      <c r="O2383" s="1" t="str">
        <f>IFERROR(Table1[[#This Row],[Std Nom]]-(_xlfn.XLOOKUP(Table1[[#This Row],[Manufacturer]]&amp;" "&amp;Table1[[#This Row],[Model]],Table13[MFR &amp; MDL],Table13[Tolerance % CW ],"")/100*Table1[[#This Row],[Std Nom]]),"")</f>
        <v/>
      </c>
      <c r="P2383" s="1" t="str">
        <f>IFERROR(Table1[[#This Row],[Std Nom]]+(_xlfn.XLOOKUP(Table1[[#This Row],[Manufacturer]]&amp;" "&amp;Table1[[#This Row],[Model]],Table13[MFR &amp; MDL],Table13[Tolerance % CW ],"")/100*Table1[[#This Row],[Std Nom]]),"")</f>
        <v/>
      </c>
      <c r="Q2383" s="1" t="e">
        <f>Table1[[#This Row],[High Tol]]-Table1[[#This Row],[Low Tol]]</f>
        <v>#VALUE!</v>
      </c>
      <c r="R2383" s="1">
        <f>2*Table1[[#This Row],[Std Error]]</f>
        <v>0</v>
      </c>
      <c r="S2383" s="1" t="str">
        <f>IF(Table1[[#This Row],[High Tol]]="","N/A",IFERROR(ABS(Table1[[#This Row],[Tol Span]]/Table1[[#This Row],[Error Span]]),"N/A"))</f>
        <v>N/A</v>
      </c>
      <c r="T2383" s="1" t="str">
        <f>IF(OR(Table1[[#This Row],[Low Tol]]="",Table1[[#This Row],[High Tol]]=""),"Needs Analysis",IF(Table1[[#This Row],[Ratio]]&gt;=4,"Not Significant",IF(Table1[[#This Row],[Ratio]]&gt;=2,"Semi-Significant","Significant")))</f>
        <v>Needs Analysis</v>
      </c>
      <c r="W2383" s="1">
        <f>IF(Table1[[#This Row],[Cal Type]]&lt;&gt;"ACCREDITED 17025 WITH UNCERTAINTIES",0,"")</f>
        <v>0</v>
      </c>
      <c r="X2383" s="1" t="str">
        <f>IF(Table1[[#This Row],[DUT Read]]="","N/A",Table1[[#This Row],[Std Error]]+Table1[[#This Row],[DUT Read]]+Table1[[#This Row],[DUT Ucty]])</f>
        <v>N/A</v>
      </c>
      <c r="Y2383" s="1" t="str">
        <f>IF(Table1[[#This Row],[Std Read]]="","N/A",Table1[[#This Row],[Std Read]]+Table1[[#This Row],[Std Ucty]])</f>
        <v>N/A</v>
      </c>
      <c r="Z23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3" s="1" t="str">
        <f>IF(Table1[[#This Row],[Spec Type]]="","N/A",Table1[[#This Row],[Spec Type]])</f>
        <v>±</v>
      </c>
      <c r="AC2383" s="1" t="str">
        <f>IF(Table1[[#This Row],[Spec Type2]]="N/A","N/A",IF(AND(Table1[[#This Row],[DUT Adj Read]]&gt;=Table1[[#This Row],[Low Tol]],Table1[[#This Row],[DUT Adj Read]]&lt;=Table1[[#This Row],[High Tol]]),"Pass","Fail"))</f>
        <v>Fail</v>
      </c>
      <c r="AD2383" s="1" t="str">
        <f>IF(AND(Table1[[#This Row],[Spec Type2]]="N/A",Table1[[#This Row],[DUT Adj Read]]="N/A",Table1[[#This Row],[Std Adj Read]]="N/A"),"N/A",IF(Table1[[#This Row],[DUT Adj Read]]="N/A",IF(Table1[[#This Row],[Std Adj Read]]&gt;Table1[[#This Row],[Low Tol]],"Pass","Fail"),IF(Table1[[#This Row],[DUT Adj Read]]&gt;Table1[[#This Row],[Low Tol]],"Pass","Fail")))</f>
        <v>Pass</v>
      </c>
      <c r="AE2383" s="1" t="str">
        <f>IF(AND(Table1[[#This Row],[Spec Type2]]="N/A",Table1[[#This Row],[DUT Adj Read]]="N/A",Table1[[#This Row],[Std Adj Read]]="N/A"),"N/A",IF(Table1[[#This Row],[DUT Adj Read]]="N/A",IF(Table1[[#This Row],[Std Adj Read]]&lt;Table1[[#This Row],[High Tol]],"Pass","Fail"),IF(Table1[[#This Row],[DUT Adj Read]]&lt;Table1[[#This Row],[High Tol]],"Pass","Fail")))</f>
        <v>Fail</v>
      </c>
      <c r="AF2383" s="1" t="str">
        <f>IF(AND(Table1[[#This Row],[Spec Type2]]="N/A",Table1[[#This Row],[DUT Adj Read]]="N/A",Table1[[#This Row],[Std Adj Read]]="N/A"),"N/A",IF(Table1[[#This Row],[DUT Adj Read]]="N/A",IF(Table1[[#This Row],[Std Adj Read]]&gt;=Table1[[#This Row],[Low Tol]],"Pass","Fail"),IF(Table1[[#This Row],[DUT Adj Read]]&gt;=Table1[[#This Row],[Low Tol]],"Pass","Fail")))</f>
        <v>Pass</v>
      </c>
      <c r="AG2383" s="1" t="str">
        <f>IF(AND(Table1[[#This Row],[Spec Type2]]="N/A",Table1[[#This Row],[DUT Adj Read]]="N/A",Table1[[#This Row],[Std Adj Read]]="N/A"),"N/A",IF(Table1[[#This Row],[DUT Adj Read]]="N/A",IF(Table1[[#This Row],[Std Adj Read]]&lt;=Table1[[#This Row],[High Tol]],"Pass","Fail"),IF(Table1[[#This Row],[DUT Adj Read]]&lt;=Table1[[#This Row],[High Tol]],"Pass","Fail")))</f>
        <v>Fail</v>
      </c>
      <c r="AH23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3" s="1" t="b">
        <v>0</v>
      </c>
      <c r="AN2383" s="1" t="b">
        <v>0</v>
      </c>
      <c r="AO2383" s="1" t="b">
        <v>0</v>
      </c>
    </row>
    <row r="2384" spans="1:41" x14ac:dyDescent="0.25">
      <c r="A2384" s="10"/>
      <c r="B2384" s="10"/>
      <c r="C2384" s="10"/>
      <c r="D2384" s="10"/>
      <c r="E2384" s="10"/>
      <c r="F2384" s="10"/>
      <c r="G2384" s="10"/>
      <c r="H2384" s="10"/>
      <c r="I2384" s="1" t="str">
        <f t="shared" si="111"/>
        <v/>
      </c>
      <c r="J2384" s="1" t="s">
        <v>35</v>
      </c>
      <c r="K2384" s="1" t="str">
        <f t="shared" si="112"/>
        <v/>
      </c>
      <c r="L2384" s="1" t="str">
        <f t="shared" si="113"/>
        <v/>
      </c>
      <c r="M2384" s="1">
        <f>IF(OR(Table1[[#This Row],[Std Nom]]="",Table1[[#This Row],[Std Read]]=""),0,Table1[[#This Row],[Std Nom]]-Table1[[#This Row],[Std Read]])</f>
        <v>0</v>
      </c>
      <c r="N2384" s="1">
        <f>IF(Calculations!$F$5="ACCREDITED 17025 WITH UNCERTAINTIES",$N$10,0)</f>
        <v>0</v>
      </c>
      <c r="O2384" s="1" t="str">
        <f>IFERROR(Table1[[#This Row],[Std Nom]]-(_xlfn.XLOOKUP(Table1[[#This Row],[Manufacturer]]&amp;" "&amp;Table1[[#This Row],[Model]],Table13[MFR &amp; MDL],Table13[Tolerance % CW ],"")/100*Table1[[#This Row],[Std Nom]]),"")</f>
        <v/>
      </c>
      <c r="P2384" s="1" t="str">
        <f>IFERROR(Table1[[#This Row],[Std Nom]]+(_xlfn.XLOOKUP(Table1[[#This Row],[Manufacturer]]&amp;" "&amp;Table1[[#This Row],[Model]],Table13[MFR &amp; MDL],Table13[Tolerance % CW ],"")/100*Table1[[#This Row],[Std Nom]]),"")</f>
        <v/>
      </c>
      <c r="Q2384" s="1" t="e">
        <f>Table1[[#This Row],[High Tol]]-Table1[[#This Row],[Low Tol]]</f>
        <v>#VALUE!</v>
      </c>
      <c r="R2384" s="1">
        <f>2*Table1[[#This Row],[Std Error]]</f>
        <v>0</v>
      </c>
      <c r="S2384" s="1" t="str">
        <f>IF(Table1[[#This Row],[High Tol]]="","N/A",IFERROR(ABS(Table1[[#This Row],[Tol Span]]/Table1[[#This Row],[Error Span]]),"N/A"))</f>
        <v>N/A</v>
      </c>
      <c r="T2384" s="1" t="str">
        <f>IF(OR(Table1[[#This Row],[Low Tol]]="",Table1[[#This Row],[High Tol]]=""),"Needs Analysis",IF(Table1[[#This Row],[Ratio]]&gt;=4,"Not Significant",IF(Table1[[#This Row],[Ratio]]&gt;=2,"Semi-Significant","Significant")))</f>
        <v>Needs Analysis</v>
      </c>
      <c r="W2384" s="1">
        <f>IF(Table1[[#This Row],[Cal Type]]&lt;&gt;"ACCREDITED 17025 WITH UNCERTAINTIES",0,"")</f>
        <v>0</v>
      </c>
      <c r="X2384" s="1" t="str">
        <f>IF(Table1[[#This Row],[DUT Read]]="","N/A",Table1[[#This Row],[Std Error]]+Table1[[#This Row],[DUT Read]]+Table1[[#This Row],[DUT Ucty]])</f>
        <v>N/A</v>
      </c>
      <c r="Y2384" s="1" t="str">
        <f>IF(Table1[[#This Row],[Std Read]]="","N/A",Table1[[#This Row],[Std Read]]+Table1[[#This Row],[Std Ucty]])</f>
        <v>N/A</v>
      </c>
      <c r="Z23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4" s="1" t="str">
        <f>IF(Table1[[#This Row],[Spec Type]]="","N/A",Table1[[#This Row],[Spec Type]])</f>
        <v>±</v>
      </c>
      <c r="AC2384" s="1" t="str">
        <f>IF(Table1[[#This Row],[Spec Type2]]="N/A","N/A",IF(AND(Table1[[#This Row],[DUT Adj Read]]&gt;=Table1[[#This Row],[Low Tol]],Table1[[#This Row],[DUT Adj Read]]&lt;=Table1[[#This Row],[High Tol]]),"Pass","Fail"))</f>
        <v>Fail</v>
      </c>
      <c r="AD2384" s="1" t="str">
        <f>IF(AND(Table1[[#This Row],[Spec Type2]]="N/A",Table1[[#This Row],[DUT Adj Read]]="N/A",Table1[[#This Row],[Std Adj Read]]="N/A"),"N/A",IF(Table1[[#This Row],[DUT Adj Read]]="N/A",IF(Table1[[#This Row],[Std Adj Read]]&gt;Table1[[#This Row],[Low Tol]],"Pass","Fail"),IF(Table1[[#This Row],[DUT Adj Read]]&gt;Table1[[#This Row],[Low Tol]],"Pass","Fail")))</f>
        <v>Pass</v>
      </c>
      <c r="AE2384" s="1" t="str">
        <f>IF(AND(Table1[[#This Row],[Spec Type2]]="N/A",Table1[[#This Row],[DUT Adj Read]]="N/A",Table1[[#This Row],[Std Adj Read]]="N/A"),"N/A",IF(Table1[[#This Row],[DUT Adj Read]]="N/A",IF(Table1[[#This Row],[Std Adj Read]]&lt;Table1[[#This Row],[High Tol]],"Pass","Fail"),IF(Table1[[#This Row],[DUT Adj Read]]&lt;Table1[[#This Row],[High Tol]],"Pass","Fail")))</f>
        <v>Fail</v>
      </c>
      <c r="AF2384" s="1" t="str">
        <f>IF(AND(Table1[[#This Row],[Spec Type2]]="N/A",Table1[[#This Row],[DUT Adj Read]]="N/A",Table1[[#This Row],[Std Adj Read]]="N/A"),"N/A",IF(Table1[[#This Row],[DUT Adj Read]]="N/A",IF(Table1[[#This Row],[Std Adj Read]]&gt;=Table1[[#This Row],[Low Tol]],"Pass","Fail"),IF(Table1[[#This Row],[DUT Adj Read]]&gt;=Table1[[#This Row],[Low Tol]],"Pass","Fail")))</f>
        <v>Pass</v>
      </c>
      <c r="AG2384" s="1" t="str">
        <f>IF(AND(Table1[[#This Row],[Spec Type2]]="N/A",Table1[[#This Row],[DUT Adj Read]]="N/A",Table1[[#This Row],[Std Adj Read]]="N/A"),"N/A",IF(Table1[[#This Row],[DUT Adj Read]]="N/A",IF(Table1[[#This Row],[Std Adj Read]]&lt;=Table1[[#This Row],[High Tol]],"Pass","Fail"),IF(Table1[[#This Row],[DUT Adj Read]]&lt;=Table1[[#This Row],[High Tol]],"Pass","Fail")))</f>
        <v>Fail</v>
      </c>
      <c r="AH23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4" s="1" t="b">
        <v>0</v>
      </c>
      <c r="AN2384" s="1" t="b">
        <v>0</v>
      </c>
      <c r="AO2384" s="1" t="b">
        <v>0</v>
      </c>
    </row>
    <row r="2385" spans="1:41" x14ac:dyDescent="0.25">
      <c r="A2385" s="10"/>
      <c r="B2385" s="10"/>
      <c r="C2385" s="10"/>
      <c r="D2385" s="10"/>
      <c r="E2385" s="10"/>
      <c r="F2385" s="10"/>
      <c r="G2385" s="10"/>
      <c r="H2385" s="10"/>
      <c r="I2385" s="1" t="str">
        <f t="shared" si="111"/>
        <v/>
      </c>
      <c r="J2385" s="1" t="s">
        <v>35</v>
      </c>
      <c r="K2385" s="1" t="str">
        <f t="shared" si="112"/>
        <v/>
      </c>
      <c r="L2385" s="1" t="str">
        <f t="shared" si="113"/>
        <v/>
      </c>
      <c r="M2385" s="1">
        <f>IF(OR(Table1[[#This Row],[Std Nom]]="",Table1[[#This Row],[Std Read]]=""),0,Table1[[#This Row],[Std Nom]]-Table1[[#This Row],[Std Read]])</f>
        <v>0</v>
      </c>
      <c r="N2385" s="1">
        <f>IF(Calculations!$F$5="ACCREDITED 17025 WITH UNCERTAINTIES",$N$10,0)</f>
        <v>0</v>
      </c>
      <c r="O2385" s="1" t="str">
        <f>IFERROR(Table1[[#This Row],[Std Nom]]-(_xlfn.XLOOKUP(Table1[[#This Row],[Manufacturer]]&amp;" "&amp;Table1[[#This Row],[Model]],Table13[MFR &amp; MDL],Table13[Tolerance % CW ],"")/100*Table1[[#This Row],[Std Nom]]),"")</f>
        <v/>
      </c>
      <c r="P2385" s="1" t="str">
        <f>IFERROR(Table1[[#This Row],[Std Nom]]+(_xlfn.XLOOKUP(Table1[[#This Row],[Manufacturer]]&amp;" "&amp;Table1[[#This Row],[Model]],Table13[MFR &amp; MDL],Table13[Tolerance % CW ],"")/100*Table1[[#This Row],[Std Nom]]),"")</f>
        <v/>
      </c>
      <c r="Q2385" s="1" t="e">
        <f>Table1[[#This Row],[High Tol]]-Table1[[#This Row],[Low Tol]]</f>
        <v>#VALUE!</v>
      </c>
      <c r="R2385" s="1">
        <f>2*Table1[[#This Row],[Std Error]]</f>
        <v>0</v>
      </c>
      <c r="S2385" s="1" t="str">
        <f>IF(Table1[[#This Row],[High Tol]]="","N/A",IFERROR(ABS(Table1[[#This Row],[Tol Span]]/Table1[[#This Row],[Error Span]]),"N/A"))</f>
        <v>N/A</v>
      </c>
      <c r="T2385" s="1" t="str">
        <f>IF(OR(Table1[[#This Row],[Low Tol]]="",Table1[[#This Row],[High Tol]]=""),"Needs Analysis",IF(Table1[[#This Row],[Ratio]]&gt;=4,"Not Significant",IF(Table1[[#This Row],[Ratio]]&gt;=2,"Semi-Significant","Significant")))</f>
        <v>Needs Analysis</v>
      </c>
      <c r="W2385" s="1">
        <f>IF(Table1[[#This Row],[Cal Type]]&lt;&gt;"ACCREDITED 17025 WITH UNCERTAINTIES",0,"")</f>
        <v>0</v>
      </c>
      <c r="X2385" s="1" t="str">
        <f>IF(Table1[[#This Row],[DUT Read]]="","N/A",Table1[[#This Row],[Std Error]]+Table1[[#This Row],[DUT Read]]+Table1[[#This Row],[DUT Ucty]])</f>
        <v>N/A</v>
      </c>
      <c r="Y2385" s="1" t="str">
        <f>IF(Table1[[#This Row],[Std Read]]="","N/A",Table1[[#This Row],[Std Read]]+Table1[[#This Row],[Std Ucty]])</f>
        <v>N/A</v>
      </c>
      <c r="Z23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5" s="1" t="str">
        <f>IF(Table1[[#This Row],[Spec Type]]="","N/A",Table1[[#This Row],[Spec Type]])</f>
        <v>±</v>
      </c>
      <c r="AC2385" s="1" t="str">
        <f>IF(Table1[[#This Row],[Spec Type2]]="N/A","N/A",IF(AND(Table1[[#This Row],[DUT Adj Read]]&gt;=Table1[[#This Row],[Low Tol]],Table1[[#This Row],[DUT Adj Read]]&lt;=Table1[[#This Row],[High Tol]]),"Pass","Fail"))</f>
        <v>Fail</v>
      </c>
      <c r="AD2385" s="1" t="str">
        <f>IF(AND(Table1[[#This Row],[Spec Type2]]="N/A",Table1[[#This Row],[DUT Adj Read]]="N/A",Table1[[#This Row],[Std Adj Read]]="N/A"),"N/A",IF(Table1[[#This Row],[DUT Adj Read]]="N/A",IF(Table1[[#This Row],[Std Adj Read]]&gt;Table1[[#This Row],[Low Tol]],"Pass","Fail"),IF(Table1[[#This Row],[DUT Adj Read]]&gt;Table1[[#This Row],[Low Tol]],"Pass","Fail")))</f>
        <v>Pass</v>
      </c>
      <c r="AE2385" s="1" t="str">
        <f>IF(AND(Table1[[#This Row],[Spec Type2]]="N/A",Table1[[#This Row],[DUT Adj Read]]="N/A",Table1[[#This Row],[Std Adj Read]]="N/A"),"N/A",IF(Table1[[#This Row],[DUT Adj Read]]="N/A",IF(Table1[[#This Row],[Std Adj Read]]&lt;Table1[[#This Row],[High Tol]],"Pass","Fail"),IF(Table1[[#This Row],[DUT Adj Read]]&lt;Table1[[#This Row],[High Tol]],"Pass","Fail")))</f>
        <v>Fail</v>
      </c>
      <c r="AF2385" s="1" t="str">
        <f>IF(AND(Table1[[#This Row],[Spec Type2]]="N/A",Table1[[#This Row],[DUT Adj Read]]="N/A",Table1[[#This Row],[Std Adj Read]]="N/A"),"N/A",IF(Table1[[#This Row],[DUT Adj Read]]="N/A",IF(Table1[[#This Row],[Std Adj Read]]&gt;=Table1[[#This Row],[Low Tol]],"Pass","Fail"),IF(Table1[[#This Row],[DUT Adj Read]]&gt;=Table1[[#This Row],[Low Tol]],"Pass","Fail")))</f>
        <v>Pass</v>
      </c>
      <c r="AG2385" s="1" t="str">
        <f>IF(AND(Table1[[#This Row],[Spec Type2]]="N/A",Table1[[#This Row],[DUT Adj Read]]="N/A",Table1[[#This Row],[Std Adj Read]]="N/A"),"N/A",IF(Table1[[#This Row],[DUT Adj Read]]="N/A",IF(Table1[[#This Row],[Std Adj Read]]&lt;=Table1[[#This Row],[High Tol]],"Pass","Fail"),IF(Table1[[#This Row],[DUT Adj Read]]&lt;=Table1[[#This Row],[High Tol]],"Pass","Fail")))</f>
        <v>Fail</v>
      </c>
      <c r="AH23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5" s="1" t="b">
        <v>0</v>
      </c>
      <c r="AN2385" s="1" t="b">
        <v>0</v>
      </c>
      <c r="AO2385" s="1" t="b">
        <v>0</v>
      </c>
    </row>
    <row r="2386" spans="1:41" x14ac:dyDescent="0.25">
      <c r="A2386" s="10"/>
      <c r="B2386" s="10"/>
      <c r="C2386" s="10"/>
      <c r="D2386" s="10"/>
      <c r="E2386" s="10"/>
      <c r="F2386" s="10"/>
      <c r="G2386" s="10"/>
      <c r="H2386" s="10"/>
      <c r="I2386" s="1" t="str">
        <f t="shared" si="111"/>
        <v/>
      </c>
      <c r="J2386" s="1" t="s">
        <v>35</v>
      </c>
      <c r="K2386" s="1" t="str">
        <f t="shared" si="112"/>
        <v/>
      </c>
      <c r="L2386" s="1" t="str">
        <f t="shared" si="113"/>
        <v/>
      </c>
      <c r="M2386" s="1">
        <f>IF(OR(Table1[[#This Row],[Std Nom]]="",Table1[[#This Row],[Std Read]]=""),0,Table1[[#This Row],[Std Nom]]-Table1[[#This Row],[Std Read]])</f>
        <v>0</v>
      </c>
      <c r="N2386" s="1">
        <f>IF(Calculations!$F$5="ACCREDITED 17025 WITH UNCERTAINTIES",$N$10,0)</f>
        <v>0</v>
      </c>
      <c r="O2386" s="1" t="str">
        <f>IFERROR(Table1[[#This Row],[Std Nom]]-(_xlfn.XLOOKUP(Table1[[#This Row],[Manufacturer]]&amp;" "&amp;Table1[[#This Row],[Model]],Table13[MFR &amp; MDL],Table13[Tolerance % CW ],"")/100*Table1[[#This Row],[Std Nom]]),"")</f>
        <v/>
      </c>
      <c r="P2386" s="1" t="str">
        <f>IFERROR(Table1[[#This Row],[Std Nom]]+(_xlfn.XLOOKUP(Table1[[#This Row],[Manufacturer]]&amp;" "&amp;Table1[[#This Row],[Model]],Table13[MFR &amp; MDL],Table13[Tolerance % CW ],"")/100*Table1[[#This Row],[Std Nom]]),"")</f>
        <v/>
      </c>
      <c r="Q2386" s="1" t="e">
        <f>Table1[[#This Row],[High Tol]]-Table1[[#This Row],[Low Tol]]</f>
        <v>#VALUE!</v>
      </c>
      <c r="R2386" s="1">
        <f>2*Table1[[#This Row],[Std Error]]</f>
        <v>0</v>
      </c>
      <c r="S2386" s="1" t="str">
        <f>IF(Table1[[#This Row],[High Tol]]="","N/A",IFERROR(ABS(Table1[[#This Row],[Tol Span]]/Table1[[#This Row],[Error Span]]),"N/A"))</f>
        <v>N/A</v>
      </c>
      <c r="T2386" s="1" t="str">
        <f>IF(OR(Table1[[#This Row],[Low Tol]]="",Table1[[#This Row],[High Tol]]=""),"Needs Analysis",IF(Table1[[#This Row],[Ratio]]&gt;=4,"Not Significant",IF(Table1[[#This Row],[Ratio]]&gt;=2,"Semi-Significant","Significant")))</f>
        <v>Needs Analysis</v>
      </c>
      <c r="W2386" s="1">
        <f>IF(Table1[[#This Row],[Cal Type]]&lt;&gt;"ACCREDITED 17025 WITH UNCERTAINTIES",0,"")</f>
        <v>0</v>
      </c>
      <c r="X2386" s="1" t="str">
        <f>IF(Table1[[#This Row],[DUT Read]]="","N/A",Table1[[#This Row],[Std Error]]+Table1[[#This Row],[DUT Read]]+Table1[[#This Row],[DUT Ucty]])</f>
        <v>N/A</v>
      </c>
      <c r="Y2386" s="1" t="str">
        <f>IF(Table1[[#This Row],[Std Read]]="","N/A",Table1[[#This Row],[Std Read]]+Table1[[#This Row],[Std Ucty]])</f>
        <v>N/A</v>
      </c>
      <c r="Z23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6" s="1" t="str">
        <f>IF(Table1[[#This Row],[Spec Type]]="","N/A",Table1[[#This Row],[Spec Type]])</f>
        <v>±</v>
      </c>
      <c r="AC2386" s="1" t="str">
        <f>IF(Table1[[#This Row],[Spec Type2]]="N/A","N/A",IF(AND(Table1[[#This Row],[DUT Adj Read]]&gt;=Table1[[#This Row],[Low Tol]],Table1[[#This Row],[DUT Adj Read]]&lt;=Table1[[#This Row],[High Tol]]),"Pass","Fail"))</f>
        <v>Fail</v>
      </c>
      <c r="AD2386" s="1" t="str">
        <f>IF(AND(Table1[[#This Row],[Spec Type2]]="N/A",Table1[[#This Row],[DUT Adj Read]]="N/A",Table1[[#This Row],[Std Adj Read]]="N/A"),"N/A",IF(Table1[[#This Row],[DUT Adj Read]]="N/A",IF(Table1[[#This Row],[Std Adj Read]]&gt;Table1[[#This Row],[Low Tol]],"Pass","Fail"),IF(Table1[[#This Row],[DUT Adj Read]]&gt;Table1[[#This Row],[Low Tol]],"Pass","Fail")))</f>
        <v>Pass</v>
      </c>
      <c r="AE2386" s="1" t="str">
        <f>IF(AND(Table1[[#This Row],[Spec Type2]]="N/A",Table1[[#This Row],[DUT Adj Read]]="N/A",Table1[[#This Row],[Std Adj Read]]="N/A"),"N/A",IF(Table1[[#This Row],[DUT Adj Read]]="N/A",IF(Table1[[#This Row],[Std Adj Read]]&lt;Table1[[#This Row],[High Tol]],"Pass","Fail"),IF(Table1[[#This Row],[DUT Adj Read]]&lt;Table1[[#This Row],[High Tol]],"Pass","Fail")))</f>
        <v>Fail</v>
      </c>
      <c r="AF2386" s="1" t="str">
        <f>IF(AND(Table1[[#This Row],[Spec Type2]]="N/A",Table1[[#This Row],[DUT Adj Read]]="N/A",Table1[[#This Row],[Std Adj Read]]="N/A"),"N/A",IF(Table1[[#This Row],[DUT Adj Read]]="N/A",IF(Table1[[#This Row],[Std Adj Read]]&gt;=Table1[[#This Row],[Low Tol]],"Pass","Fail"),IF(Table1[[#This Row],[DUT Adj Read]]&gt;=Table1[[#This Row],[Low Tol]],"Pass","Fail")))</f>
        <v>Pass</v>
      </c>
      <c r="AG2386" s="1" t="str">
        <f>IF(AND(Table1[[#This Row],[Spec Type2]]="N/A",Table1[[#This Row],[DUT Adj Read]]="N/A",Table1[[#This Row],[Std Adj Read]]="N/A"),"N/A",IF(Table1[[#This Row],[DUT Adj Read]]="N/A",IF(Table1[[#This Row],[Std Adj Read]]&lt;=Table1[[#This Row],[High Tol]],"Pass","Fail"),IF(Table1[[#This Row],[DUT Adj Read]]&lt;=Table1[[#This Row],[High Tol]],"Pass","Fail")))</f>
        <v>Fail</v>
      </c>
      <c r="AH23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6" s="1" t="b">
        <v>0</v>
      </c>
      <c r="AN2386" s="1" t="b">
        <v>0</v>
      </c>
      <c r="AO2386" s="1" t="b">
        <v>0</v>
      </c>
    </row>
    <row r="2387" spans="1:41" x14ac:dyDescent="0.25">
      <c r="A2387" s="10"/>
      <c r="B2387" s="10"/>
      <c r="C2387" s="10"/>
      <c r="D2387" s="10"/>
      <c r="E2387" s="10"/>
      <c r="F2387" s="10"/>
      <c r="G2387" s="10"/>
      <c r="H2387" s="10"/>
      <c r="I2387" s="1" t="str">
        <f t="shared" si="111"/>
        <v/>
      </c>
      <c r="J2387" s="1" t="s">
        <v>35</v>
      </c>
      <c r="K2387" s="1" t="str">
        <f t="shared" si="112"/>
        <v/>
      </c>
      <c r="L2387" s="1" t="str">
        <f t="shared" si="113"/>
        <v/>
      </c>
      <c r="M2387" s="1">
        <f>IF(OR(Table1[[#This Row],[Std Nom]]="",Table1[[#This Row],[Std Read]]=""),0,Table1[[#This Row],[Std Nom]]-Table1[[#This Row],[Std Read]])</f>
        <v>0</v>
      </c>
      <c r="N2387" s="1">
        <f>IF(Calculations!$F$5="ACCREDITED 17025 WITH UNCERTAINTIES",$N$10,0)</f>
        <v>0</v>
      </c>
      <c r="O2387" s="1" t="str">
        <f>IFERROR(Table1[[#This Row],[Std Nom]]-(_xlfn.XLOOKUP(Table1[[#This Row],[Manufacturer]]&amp;" "&amp;Table1[[#This Row],[Model]],Table13[MFR &amp; MDL],Table13[Tolerance % CW ],"")/100*Table1[[#This Row],[Std Nom]]),"")</f>
        <v/>
      </c>
      <c r="P2387" s="1" t="str">
        <f>IFERROR(Table1[[#This Row],[Std Nom]]+(_xlfn.XLOOKUP(Table1[[#This Row],[Manufacturer]]&amp;" "&amp;Table1[[#This Row],[Model]],Table13[MFR &amp; MDL],Table13[Tolerance % CW ],"")/100*Table1[[#This Row],[Std Nom]]),"")</f>
        <v/>
      </c>
      <c r="Q2387" s="1" t="e">
        <f>Table1[[#This Row],[High Tol]]-Table1[[#This Row],[Low Tol]]</f>
        <v>#VALUE!</v>
      </c>
      <c r="R2387" s="1">
        <f>2*Table1[[#This Row],[Std Error]]</f>
        <v>0</v>
      </c>
      <c r="S2387" s="1" t="str">
        <f>IF(Table1[[#This Row],[High Tol]]="","N/A",IFERROR(ABS(Table1[[#This Row],[Tol Span]]/Table1[[#This Row],[Error Span]]),"N/A"))</f>
        <v>N/A</v>
      </c>
      <c r="T2387" s="1" t="str">
        <f>IF(OR(Table1[[#This Row],[Low Tol]]="",Table1[[#This Row],[High Tol]]=""),"Needs Analysis",IF(Table1[[#This Row],[Ratio]]&gt;=4,"Not Significant",IF(Table1[[#This Row],[Ratio]]&gt;=2,"Semi-Significant","Significant")))</f>
        <v>Needs Analysis</v>
      </c>
      <c r="W2387" s="1">
        <f>IF(Table1[[#This Row],[Cal Type]]&lt;&gt;"ACCREDITED 17025 WITH UNCERTAINTIES",0,"")</f>
        <v>0</v>
      </c>
      <c r="X2387" s="1" t="str">
        <f>IF(Table1[[#This Row],[DUT Read]]="","N/A",Table1[[#This Row],[Std Error]]+Table1[[#This Row],[DUT Read]]+Table1[[#This Row],[DUT Ucty]])</f>
        <v>N/A</v>
      </c>
      <c r="Y2387" s="1" t="str">
        <f>IF(Table1[[#This Row],[Std Read]]="","N/A",Table1[[#This Row],[Std Read]]+Table1[[#This Row],[Std Ucty]])</f>
        <v>N/A</v>
      </c>
      <c r="Z23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7" s="1" t="str">
        <f>IF(Table1[[#This Row],[Spec Type]]="","N/A",Table1[[#This Row],[Spec Type]])</f>
        <v>±</v>
      </c>
      <c r="AC2387" s="1" t="str">
        <f>IF(Table1[[#This Row],[Spec Type2]]="N/A","N/A",IF(AND(Table1[[#This Row],[DUT Adj Read]]&gt;=Table1[[#This Row],[Low Tol]],Table1[[#This Row],[DUT Adj Read]]&lt;=Table1[[#This Row],[High Tol]]),"Pass","Fail"))</f>
        <v>Fail</v>
      </c>
      <c r="AD2387" s="1" t="str">
        <f>IF(AND(Table1[[#This Row],[Spec Type2]]="N/A",Table1[[#This Row],[DUT Adj Read]]="N/A",Table1[[#This Row],[Std Adj Read]]="N/A"),"N/A",IF(Table1[[#This Row],[DUT Adj Read]]="N/A",IF(Table1[[#This Row],[Std Adj Read]]&gt;Table1[[#This Row],[Low Tol]],"Pass","Fail"),IF(Table1[[#This Row],[DUT Adj Read]]&gt;Table1[[#This Row],[Low Tol]],"Pass","Fail")))</f>
        <v>Pass</v>
      </c>
      <c r="AE2387" s="1" t="str">
        <f>IF(AND(Table1[[#This Row],[Spec Type2]]="N/A",Table1[[#This Row],[DUT Adj Read]]="N/A",Table1[[#This Row],[Std Adj Read]]="N/A"),"N/A",IF(Table1[[#This Row],[DUT Adj Read]]="N/A",IF(Table1[[#This Row],[Std Adj Read]]&lt;Table1[[#This Row],[High Tol]],"Pass","Fail"),IF(Table1[[#This Row],[DUT Adj Read]]&lt;Table1[[#This Row],[High Tol]],"Pass","Fail")))</f>
        <v>Fail</v>
      </c>
      <c r="AF2387" s="1" t="str">
        <f>IF(AND(Table1[[#This Row],[Spec Type2]]="N/A",Table1[[#This Row],[DUT Adj Read]]="N/A",Table1[[#This Row],[Std Adj Read]]="N/A"),"N/A",IF(Table1[[#This Row],[DUT Adj Read]]="N/A",IF(Table1[[#This Row],[Std Adj Read]]&gt;=Table1[[#This Row],[Low Tol]],"Pass","Fail"),IF(Table1[[#This Row],[DUT Adj Read]]&gt;=Table1[[#This Row],[Low Tol]],"Pass","Fail")))</f>
        <v>Pass</v>
      </c>
      <c r="AG2387" s="1" t="str">
        <f>IF(AND(Table1[[#This Row],[Spec Type2]]="N/A",Table1[[#This Row],[DUT Adj Read]]="N/A",Table1[[#This Row],[Std Adj Read]]="N/A"),"N/A",IF(Table1[[#This Row],[DUT Adj Read]]="N/A",IF(Table1[[#This Row],[Std Adj Read]]&lt;=Table1[[#This Row],[High Tol]],"Pass","Fail"),IF(Table1[[#This Row],[DUT Adj Read]]&lt;=Table1[[#This Row],[High Tol]],"Pass","Fail")))</f>
        <v>Fail</v>
      </c>
      <c r="AH23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7" s="1" t="b">
        <v>0</v>
      </c>
      <c r="AN2387" s="1" t="b">
        <v>0</v>
      </c>
      <c r="AO2387" s="1" t="b">
        <v>0</v>
      </c>
    </row>
    <row r="2388" spans="1:41" x14ac:dyDescent="0.25">
      <c r="A2388" s="10"/>
      <c r="B2388" s="10"/>
      <c r="C2388" s="10"/>
      <c r="D2388" s="10"/>
      <c r="E2388" s="10"/>
      <c r="F2388" s="10"/>
      <c r="G2388" s="10"/>
      <c r="H2388" s="10"/>
      <c r="I2388" s="1" t="str">
        <f t="shared" si="111"/>
        <v/>
      </c>
      <c r="J2388" s="1" t="s">
        <v>35</v>
      </c>
      <c r="K2388" s="1" t="str">
        <f t="shared" si="112"/>
        <v/>
      </c>
      <c r="L2388" s="1" t="str">
        <f t="shared" si="113"/>
        <v/>
      </c>
      <c r="M2388" s="1">
        <f>IF(OR(Table1[[#This Row],[Std Nom]]="",Table1[[#This Row],[Std Read]]=""),0,Table1[[#This Row],[Std Nom]]-Table1[[#This Row],[Std Read]])</f>
        <v>0</v>
      </c>
      <c r="N2388" s="1">
        <f>IF(Calculations!$F$5="ACCREDITED 17025 WITH UNCERTAINTIES",$N$10,0)</f>
        <v>0</v>
      </c>
      <c r="O2388" s="1" t="str">
        <f>IFERROR(Table1[[#This Row],[Std Nom]]-(_xlfn.XLOOKUP(Table1[[#This Row],[Manufacturer]]&amp;" "&amp;Table1[[#This Row],[Model]],Table13[MFR &amp; MDL],Table13[Tolerance % CW ],"")/100*Table1[[#This Row],[Std Nom]]),"")</f>
        <v/>
      </c>
      <c r="P2388" s="1" t="str">
        <f>IFERROR(Table1[[#This Row],[Std Nom]]+(_xlfn.XLOOKUP(Table1[[#This Row],[Manufacturer]]&amp;" "&amp;Table1[[#This Row],[Model]],Table13[MFR &amp; MDL],Table13[Tolerance % CW ],"")/100*Table1[[#This Row],[Std Nom]]),"")</f>
        <v/>
      </c>
      <c r="Q2388" s="1" t="e">
        <f>Table1[[#This Row],[High Tol]]-Table1[[#This Row],[Low Tol]]</f>
        <v>#VALUE!</v>
      </c>
      <c r="R2388" s="1">
        <f>2*Table1[[#This Row],[Std Error]]</f>
        <v>0</v>
      </c>
      <c r="S2388" s="1" t="str">
        <f>IF(Table1[[#This Row],[High Tol]]="","N/A",IFERROR(ABS(Table1[[#This Row],[Tol Span]]/Table1[[#This Row],[Error Span]]),"N/A"))</f>
        <v>N/A</v>
      </c>
      <c r="T2388" s="1" t="str">
        <f>IF(OR(Table1[[#This Row],[Low Tol]]="",Table1[[#This Row],[High Tol]]=""),"Needs Analysis",IF(Table1[[#This Row],[Ratio]]&gt;=4,"Not Significant",IF(Table1[[#This Row],[Ratio]]&gt;=2,"Semi-Significant","Significant")))</f>
        <v>Needs Analysis</v>
      </c>
      <c r="W2388" s="1">
        <f>IF(Table1[[#This Row],[Cal Type]]&lt;&gt;"ACCREDITED 17025 WITH UNCERTAINTIES",0,"")</f>
        <v>0</v>
      </c>
      <c r="X2388" s="1" t="str">
        <f>IF(Table1[[#This Row],[DUT Read]]="","N/A",Table1[[#This Row],[Std Error]]+Table1[[#This Row],[DUT Read]]+Table1[[#This Row],[DUT Ucty]])</f>
        <v>N/A</v>
      </c>
      <c r="Y2388" s="1" t="str">
        <f>IF(Table1[[#This Row],[Std Read]]="","N/A",Table1[[#This Row],[Std Read]]+Table1[[#This Row],[Std Ucty]])</f>
        <v>N/A</v>
      </c>
      <c r="Z23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8" s="1" t="str">
        <f>IF(Table1[[#This Row],[Spec Type]]="","N/A",Table1[[#This Row],[Spec Type]])</f>
        <v>±</v>
      </c>
      <c r="AC2388" s="1" t="str">
        <f>IF(Table1[[#This Row],[Spec Type2]]="N/A","N/A",IF(AND(Table1[[#This Row],[DUT Adj Read]]&gt;=Table1[[#This Row],[Low Tol]],Table1[[#This Row],[DUT Adj Read]]&lt;=Table1[[#This Row],[High Tol]]),"Pass","Fail"))</f>
        <v>Fail</v>
      </c>
      <c r="AD2388" s="1" t="str">
        <f>IF(AND(Table1[[#This Row],[Spec Type2]]="N/A",Table1[[#This Row],[DUT Adj Read]]="N/A",Table1[[#This Row],[Std Adj Read]]="N/A"),"N/A",IF(Table1[[#This Row],[DUT Adj Read]]="N/A",IF(Table1[[#This Row],[Std Adj Read]]&gt;Table1[[#This Row],[Low Tol]],"Pass","Fail"),IF(Table1[[#This Row],[DUT Adj Read]]&gt;Table1[[#This Row],[Low Tol]],"Pass","Fail")))</f>
        <v>Pass</v>
      </c>
      <c r="AE2388" s="1" t="str">
        <f>IF(AND(Table1[[#This Row],[Spec Type2]]="N/A",Table1[[#This Row],[DUT Adj Read]]="N/A",Table1[[#This Row],[Std Adj Read]]="N/A"),"N/A",IF(Table1[[#This Row],[DUT Adj Read]]="N/A",IF(Table1[[#This Row],[Std Adj Read]]&lt;Table1[[#This Row],[High Tol]],"Pass","Fail"),IF(Table1[[#This Row],[DUT Adj Read]]&lt;Table1[[#This Row],[High Tol]],"Pass","Fail")))</f>
        <v>Fail</v>
      </c>
      <c r="AF2388" s="1" t="str">
        <f>IF(AND(Table1[[#This Row],[Spec Type2]]="N/A",Table1[[#This Row],[DUT Adj Read]]="N/A",Table1[[#This Row],[Std Adj Read]]="N/A"),"N/A",IF(Table1[[#This Row],[DUT Adj Read]]="N/A",IF(Table1[[#This Row],[Std Adj Read]]&gt;=Table1[[#This Row],[Low Tol]],"Pass","Fail"),IF(Table1[[#This Row],[DUT Adj Read]]&gt;=Table1[[#This Row],[Low Tol]],"Pass","Fail")))</f>
        <v>Pass</v>
      </c>
      <c r="AG2388" s="1" t="str">
        <f>IF(AND(Table1[[#This Row],[Spec Type2]]="N/A",Table1[[#This Row],[DUT Adj Read]]="N/A",Table1[[#This Row],[Std Adj Read]]="N/A"),"N/A",IF(Table1[[#This Row],[DUT Adj Read]]="N/A",IF(Table1[[#This Row],[Std Adj Read]]&lt;=Table1[[#This Row],[High Tol]],"Pass","Fail"),IF(Table1[[#This Row],[DUT Adj Read]]&lt;=Table1[[#This Row],[High Tol]],"Pass","Fail")))</f>
        <v>Fail</v>
      </c>
      <c r="AH23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8" s="1" t="b">
        <v>0</v>
      </c>
      <c r="AN2388" s="1" t="b">
        <v>0</v>
      </c>
      <c r="AO2388" s="1" t="b">
        <v>0</v>
      </c>
    </row>
    <row r="2389" spans="1:41" x14ac:dyDescent="0.25">
      <c r="A2389" s="10"/>
      <c r="B2389" s="10"/>
      <c r="C2389" s="10"/>
      <c r="D2389" s="10"/>
      <c r="E2389" s="10"/>
      <c r="F2389" s="10"/>
      <c r="G2389" s="10"/>
      <c r="H2389" s="10"/>
      <c r="I2389" s="1" t="str">
        <f t="shared" si="111"/>
        <v/>
      </c>
      <c r="J2389" s="1" t="s">
        <v>35</v>
      </c>
      <c r="K2389" s="1" t="str">
        <f t="shared" si="112"/>
        <v/>
      </c>
      <c r="L2389" s="1" t="str">
        <f t="shared" si="113"/>
        <v/>
      </c>
      <c r="M2389" s="1">
        <f>IF(OR(Table1[[#This Row],[Std Nom]]="",Table1[[#This Row],[Std Read]]=""),0,Table1[[#This Row],[Std Nom]]-Table1[[#This Row],[Std Read]])</f>
        <v>0</v>
      </c>
      <c r="N2389" s="1">
        <f>IF(Calculations!$F$5="ACCREDITED 17025 WITH UNCERTAINTIES",$N$10,0)</f>
        <v>0</v>
      </c>
      <c r="O2389" s="1" t="str">
        <f>IFERROR(Table1[[#This Row],[Std Nom]]-(_xlfn.XLOOKUP(Table1[[#This Row],[Manufacturer]]&amp;" "&amp;Table1[[#This Row],[Model]],Table13[MFR &amp; MDL],Table13[Tolerance % CW ],"")/100*Table1[[#This Row],[Std Nom]]),"")</f>
        <v/>
      </c>
      <c r="P2389" s="1" t="str">
        <f>IFERROR(Table1[[#This Row],[Std Nom]]+(_xlfn.XLOOKUP(Table1[[#This Row],[Manufacturer]]&amp;" "&amp;Table1[[#This Row],[Model]],Table13[MFR &amp; MDL],Table13[Tolerance % CW ],"")/100*Table1[[#This Row],[Std Nom]]),"")</f>
        <v/>
      </c>
      <c r="Q2389" s="1" t="e">
        <f>Table1[[#This Row],[High Tol]]-Table1[[#This Row],[Low Tol]]</f>
        <v>#VALUE!</v>
      </c>
      <c r="R2389" s="1">
        <f>2*Table1[[#This Row],[Std Error]]</f>
        <v>0</v>
      </c>
      <c r="S2389" s="1" t="str">
        <f>IF(Table1[[#This Row],[High Tol]]="","N/A",IFERROR(ABS(Table1[[#This Row],[Tol Span]]/Table1[[#This Row],[Error Span]]),"N/A"))</f>
        <v>N/A</v>
      </c>
      <c r="T2389" s="1" t="str">
        <f>IF(OR(Table1[[#This Row],[Low Tol]]="",Table1[[#This Row],[High Tol]]=""),"Needs Analysis",IF(Table1[[#This Row],[Ratio]]&gt;=4,"Not Significant",IF(Table1[[#This Row],[Ratio]]&gt;=2,"Semi-Significant","Significant")))</f>
        <v>Needs Analysis</v>
      </c>
      <c r="W2389" s="1">
        <f>IF(Table1[[#This Row],[Cal Type]]&lt;&gt;"ACCREDITED 17025 WITH UNCERTAINTIES",0,"")</f>
        <v>0</v>
      </c>
      <c r="X2389" s="1" t="str">
        <f>IF(Table1[[#This Row],[DUT Read]]="","N/A",Table1[[#This Row],[Std Error]]+Table1[[#This Row],[DUT Read]]+Table1[[#This Row],[DUT Ucty]])</f>
        <v>N/A</v>
      </c>
      <c r="Y2389" s="1" t="str">
        <f>IF(Table1[[#This Row],[Std Read]]="","N/A",Table1[[#This Row],[Std Read]]+Table1[[#This Row],[Std Ucty]])</f>
        <v>N/A</v>
      </c>
      <c r="Z23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9" s="1" t="str">
        <f>IF(Table1[[#This Row],[Spec Type]]="","N/A",Table1[[#This Row],[Spec Type]])</f>
        <v>±</v>
      </c>
      <c r="AC2389" s="1" t="str">
        <f>IF(Table1[[#This Row],[Spec Type2]]="N/A","N/A",IF(AND(Table1[[#This Row],[DUT Adj Read]]&gt;=Table1[[#This Row],[Low Tol]],Table1[[#This Row],[DUT Adj Read]]&lt;=Table1[[#This Row],[High Tol]]),"Pass","Fail"))</f>
        <v>Fail</v>
      </c>
      <c r="AD2389" s="1" t="str">
        <f>IF(AND(Table1[[#This Row],[Spec Type2]]="N/A",Table1[[#This Row],[DUT Adj Read]]="N/A",Table1[[#This Row],[Std Adj Read]]="N/A"),"N/A",IF(Table1[[#This Row],[DUT Adj Read]]="N/A",IF(Table1[[#This Row],[Std Adj Read]]&gt;Table1[[#This Row],[Low Tol]],"Pass","Fail"),IF(Table1[[#This Row],[DUT Adj Read]]&gt;Table1[[#This Row],[Low Tol]],"Pass","Fail")))</f>
        <v>Pass</v>
      </c>
      <c r="AE2389" s="1" t="str">
        <f>IF(AND(Table1[[#This Row],[Spec Type2]]="N/A",Table1[[#This Row],[DUT Adj Read]]="N/A",Table1[[#This Row],[Std Adj Read]]="N/A"),"N/A",IF(Table1[[#This Row],[DUT Adj Read]]="N/A",IF(Table1[[#This Row],[Std Adj Read]]&lt;Table1[[#This Row],[High Tol]],"Pass","Fail"),IF(Table1[[#This Row],[DUT Adj Read]]&lt;Table1[[#This Row],[High Tol]],"Pass","Fail")))</f>
        <v>Fail</v>
      </c>
      <c r="AF2389" s="1" t="str">
        <f>IF(AND(Table1[[#This Row],[Spec Type2]]="N/A",Table1[[#This Row],[DUT Adj Read]]="N/A",Table1[[#This Row],[Std Adj Read]]="N/A"),"N/A",IF(Table1[[#This Row],[DUT Adj Read]]="N/A",IF(Table1[[#This Row],[Std Adj Read]]&gt;=Table1[[#This Row],[Low Tol]],"Pass","Fail"),IF(Table1[[#This Row],[DUT Adj Read]]&gt;=Table1[[#This Row],[Low Tol]],"Pass","Fail")))</f>
        <v>Pass</v>
      </c>
      <c r="AG2389" s="1" t="str">
        <f>IF(AND(Table1[[#This Row],[Spec Type2]]="N/A",Table1[[#This Row],[DUT Adj Read]]="N/A",Table1[[#This Row],[Std Adj Read]]="N/A"),"N/A",IF(Table1[[#This Row],[DUT Adj Read]]="N/A",IF(Table1[[#This Row],[Std Adj Read]]&lt;=Table1[[#This Row],[High Tol]],"Pass","Fail"),IF(Table1[[#This Row],[DUT Adj Read]]&lt;=Table1[[#This Row],[High Tol]],"Pass","Fail")))</f>
        <v>Fail</v>
      </c>
      <c r="AH23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9" s="1" t="b">
        <v>0</v>
      </c>
      <c r="AN2389" s="1" t="b">
        <v>0</v>
      </c>
      <c r="AO2389" s="1" t="b">
        <v>0</v>
      </c>
    </row>
    <row r="2390" spans="1:41" x14ac:dyDescent="0.25">
      <c r="A2390" s="10"/>
      <c r="B2390" s="10"/>
      <c r="C2390" s="10"/>
      <c r="D2390" s="10"/>
      <c r="E2390" s="10"/>
      <c r="F2390" s="10"/>
      <c r="G2390" s="10"/>
      <c r="H2390" s="10"/>
      <c r="I2390" s="1" t="str">
        <f t="shared" si="111"/>
        <v/>
      </c>
      <c r="J2390" s="1" t="s">
        <v>35</v>
      </c>
      <c r="K2390" s="1" t="str">
        <f t="shared" si="112"/>
        <v/>
      </c>
      <c r="L2390" s="1" t="str">
        <f t="shared" si="113"/>
        <v/>
      </c>
      <c r="M2390" s="1">
        <f>IF(OR(Table1[[#This Row],[Std Nom]]="",Table1[[#This Row],[Std Read]]=""),0,Table1[[#This Row],[Std Nom]]-Table1[[#This Row],[Std Read]])</f>
        <v>0</v>
      </c>
      <c r="N2390" s="1">
        <f>IF(Calculations!$F$5="ACCREDITED 17025 WITH UNCERTAINTIES",$N$10,0)</f>
        <v>0</v>
      </c>
      <c r="O2390" s="1" t="str">
        <f>IFERROR(Table1[[#This Row],[Std Nom]]-(_xlfn.XLOOKUP(Table1[[#This Row],[Manufacturer]]&amp;" "&amp;Table1[[#This Row],[Model]],Table13[MFR &amp; MDL],Table13[Tolerance % CW ],"")/100*Table1[[#This Row],[Std Nom]]),"")</f>
        <v/>
      </c>
      <c r="P2390" s="1" t="str">
        <f>IFERROR(Table1[[#This Row],[Std Nom]]+(_xlfn.XLOOKUP(Table1[[#This Row],[Manufacturer]]&amp;" "&amp;Table1[[#This Row],[Model]],Table13[MFR &amp; MDL],Table13[Tolerance % CW ],"")/100*Table1[[#This Row],[Std Nom]]),"")</f>
        <v/>
      </c>
      <c r="Q2390" s="1" t="e">
        <f>Table1[[#This Row],[High Tol]]-Table1[[#This Row],[Low Tol]]</f>
        <v>#VALUE!</v>
      </c>
      <c r="R2390" s="1">
        <f>2*Table1[[#This Row],[Std Error]]</f>
        <v>0</v>
      </c>
      <c r="S2390" s="1" t="str">
        <f>IF(Table1[[#This Row],[High Tol]]="","N/A",IFERROR(ABS(Table1[[#This Row],[Tol Span]]/Table1[[#This Row],[Error Span]]),"N/A"))</f>
        <v>N/A</v>
      </c>
      <c r="T2390" s="1" t="str">
        <f>IF(OR(Table1[[#This Row],[Low Tol]]="",Table1[[#This Row],[High Tol]]=""),"Needs Analysis",IF(Table1[[#This Row],[Ratio]]&gt;=4,"Not Significant",IF(Table1[[#This Row],[Ratio]]&gt;=2,"Semi-Significant","Significant")))</f>
        <v>Needs Analysis</v>
      </c>
      <c r="W2390" s="1">
        <f>IF(Table1[[#This Row],[Cal Type]]&lt;&gt;"ACCREDITED 17025 WITH UNCERTAINTIES",0,"")</f>
        <v>0</v>
      </c>
      <c r="X2390" s="1" t="str">
        <f>IF(Table1[[#This Row],[DUT Read]]="","N/A",Table1[[#This Row],[Std Error]]+Table1[[#This Row],[DUT Read]]+Table1[[#This Row],[DUT Ucty]])</f>
        <v>N/A</v>
      </c>
      <c r="Y2390" s="1" t="str">
        <f>IF(Table1[[#This Row],[Std Read]]="","N/A",Table1[[#This Row],[Std Read]]+Table1[[#This Row],[Std Ucty]])</f>
        <v>N/A</v>
      </c>
      <c r="Z23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0" s="1" t="str">
        <f>IF(Table1[[#This Row],[Spec Type]]="","N/A",Table1[[#This Row],[Spec Type]])</f>
        <v>±</v>
      </c>
      <c r="AC2390" s="1" t="str">
        <f>IF(Table1[[#This Row],[Spec Type2]]="N/A","N/A",IF(AND(Table1[[#This Row],[DUT Adj Read]]&gt;=Table1[[#This Row],[Low Tol]],Table1[[#This Row],[DUT Adj Read]]&lt;=Table1[[#This Row],[High Tol]]),"Pass","Fail"))</f>
        <v>Fail</v>
      </c>
      <c r="AD2390" s="1" t="str">
        <f>IF(AND(Table1[[#This Row],[Spec Type2]]="N/A",Table1[[#This Row],[DUT Adj Read]]="N/A",Table1[[#This Row],[Std Adj Read]]="N/A"),"N/A",IF(Table1[[#This Row],[DUT Adj Read]]="N/A",IF(Table1[[#This Row],[Std Adj Read]]&gt;Table1[[#This Row],[Low Tol]],"Pass","Fail"),IF(Table1[[#This Row],[DUT Adj Read]]&gt;Table1[[#This Row],[Low Tol]],"Pass","Fail")))</f>
        <v>Pass</v>
      </c>
      <c r="AE2390" s="1" t="str">
        <f>IF(AND(Table1[[#This Row],[Spec Type2]]="N/A",Table1[[#This Row],[DUT Adj Read]]="N/A",Table1[[#This Row],[Std Adj Read]]="N/A"),"N/A",IF(Table1[[#This Row],[DUT Adj Read]]="N/A",IF(Table1[[#This Row],[Std Adj Read]]&lt;Table1[[#This Row],[High Tol]],"Pass","Fail"),IF(Table1[[#This Row],[DUT Adj Read]]&lt;Table1[[#This Row],[High Tol]],"Pass","Fail")))</f>
        <v>Fail</v>
      </c>
      <c r="AF2390" s="1" t="str">
        <f>IF(AND(Table1[[#This Row],[Spec Type2]]="N/A",Table1[[#This Row],[DUT Adj Read]]="N/A",Table1[[#This Row],[Std Adj Read]]="N/A"),"N/A",IF(Table1[[#This Row],[DUT Adj Read]]="N/A",IF(Table1[[#This Row],[Std Adj Read]]&gt;=Table1[[#This Row],[Low Tol]],"Pass","Fail"),IF(Table1[[#This Row],[DUT Adj Read]]&gt;=Table1[[#This Row],[Low Tol]],"Pass","Fail")))</f>
        <v>Pass</v>
      </c>
      <c r="AG2390" s="1" t="str">
        <f>IF(AND(Table1[[#This Row],[Spec Type2]]="N/A",Table1[[#This Row],[DUT Adj Read]]="N/A",Table1[[#This Row],[Std Adj Read]]="N/A"),"N/A",IF(Table1[[#This Row],[DUT Adj Read]]="N/A",IF(Table1[[#This Row],[Std Adj Read]]&lt;=Table1[[#This Row],[High Tol]],"Pass","Fail"),IF(Table1[[#This Row],[DUT Adj Read]]&lt;=Table1[[#This Row],[High Tol]],"Pass","Fail")))</f>
        <v>Fail</v>
      </c>
      <c r="AH23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0" s="1" t="b">
        <v>0</v>
      </c>
      <c r="AN2390" s="1" t="b">
        <v>0</v>
      </c>
      <c r="AO2390" s="1" t="b">
        <v>0</v>
      </c>
    </row>
    <row r="2391" spans="1:41" x14ac:dyDescent="0.25">
      <c r="A2391" s="10"/>
      <c r="B2391" s="10"/>
      <c r="C2391" s="10"/>
      <c r="D2391" s="10"/>
      <c r="E2391" s="10"/>
      <c r="F2391" s="10"/>
      <c r="G2391" s="10"/>
      <c r="H2391" s="10"/>
      <c r="I2391" s="1" t="str">
        <f t="shared" si="111"/>
        <v/>
      </c>
      <c r="J2391" s="1" t="s">
        <v>35</v>
      </c>
      <c r="K2391" s="1" t="str">
        <f t="shared" si="112"/>
        <v/>
      </c>
      <c r="L2391" s="1" t="str">
        <f t="shared" si="113"/>
        <v/>
      </c>
      <c r="M2391" s="1">
        <f>IF(OR(Table1[[#This Row],[Std Nom]]="",Table1[[#This Row],[Std Read]]=""),0,Table1[[#This Row],[Std Nom]]-Table1[[#This Row],[Std Read]])</f>
        <v>0</v>
      </c>
      <c r="N2391" s="1">
        <f>IF(Calculations!$F$5="ACCREDITED 17025 WITH UNCERTAINTIES",$N$10,0)</f>
        <v>0</v>
      </c>
      <c r="O2391" s="1" t="str">
        <f>IFERROR(Table1[[#This Row],[Std Nom]]-(_xlfn.XLOOKUP(Table1[[#This Row],[Manufacturer]]&amp;" "&amp;Table1[[#This Row],[Model]],Table13[MFR &amp; MDL],Table13[Tolerance % CW ],"")/100*Table1[[#This Row],[Std Nom]]),"")</f>
        <v/>
      </c>
      <c r="P2391" s="1" t="str">
        <f>IFERROR(Table1[[#This Row],[Std Nom]]+(_xlfn.XLOOKUP(Table1[[#This Row],[Manufacturer]]&amp;" "&amp;Table1[[#This Row],[Model]],Table13[MFR &amp; MDL],Table13[Tolerance % CW ],"")/100*Table1[[#This Row],[Std Nom]]),"")</f>
        <v/>
      </c>
      <c r="Q2391" s="1" t="e">
        <f>Table1[[#This Row],[High Tol]]-Table1[[#This Row],[Low Tol]]</f>
        <v>#VALUE!</v>
      </c>
      <c r="R2391" s="1">
        <f>2*Table1[[#This Row],[Std Error]]</f>
        <v>0</v>
      </c>
      <c r="S2391" s="1" t="str">
        <f>IF(Table1[[#This Row],[High Tol]]="","N/A",IFERROR(ABS(Table1[[#This Row],[Tol Span]]/Table1[[#This Row],[Error Span]]),"N/A"))</f>
        <v>N/A</v>
      </c>
      <c r="T2391" s="1" t="str">
        <f>IF(OR(Table1[[#This Row],[Low Tol]]="",Table1[[#This Row],[High Tol]]=""),"Needs Analysis",IF(Table1[[#This Row],[Ratio]]&gt;=4,"Not Significant",IF(Table1[[#This Row],[Ratio]]&gt;=2,"Semi-Significant","Significant")))</f>
        <v>Needs Analysis</v>
      </c>
      <c r="W2391" s="1">
        <f>IF(Table1[[#This Row],[Cal Type]]&lt;&gt;"ACCREDITED 17025 WITH UNCERTAINTIES",0,"")</f>
        <v>0</v>
      </c>
      <c r="X2391" s="1" t="str">
        <f>IF(Table1[[#This Row],[DUT Read]]="","N/A",Table1[[#This Row],[Std Error]]+Table1[[#This Row],[DUT Read]]+Table1[[#This Row],[DUT Ucty]])</f>
        <v>N/A</v>
      </c>
      <c r="Y2391" s="1" t="str">
        <f>IF(Table1[[#This Row],[Std Read]]="","N/A",Table1[[#This Row],[Std Read]]+Table1[[#This Row],[Std Ucty]])</f>
        <v>N/A</v>
      </c>
      <c r="Z23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1" s="1" t="str">
        <f>IF(Table1[[#This Row],[Spec Type]]="","N/A",Table1[[#This Row],[Spec Type]])</f>
        <v>±</v>
      </c>
      <c r="AC2391" s="1" t="str">
        <f>IF(Table1[[#This Row],[Spec Type2]]="N/A","N/A",IF(AND(Table1[[#This Row],[DUT Adj Read]]&gt;=Table1[[#This Row],[Low Tol]],Table1[[#This Row],[DUT Adj Read]]&lt;=Table1[[#This Row],[High Tol]]),"Pass","Fail"))</f>
        <v>Fail</v>
      </c>
      <c r="AD2391" s="1" t="str">
        <f>IF(AND(Table1[[#This Row],[Spec Type2]]="N/A",Table1[[#This Row],[DUT Adj Read]]="N/A",Table1[[#This Row],[Std Adj Read]]="N/A"),"N/A",IF(Table1[[#This Row],[DUT Adj Read]]="N/A",IF(Table1[[#This Row],[Std Adj Read]]&gt;Table1[[#This Row],[Low Tol]],"Pass","Fail"),IF(Table1[[#This Row],[DUT Adj Read]]&gt;Table1[[#This Row],[Low Tol]],"Pass","Fail")))</f>
        <v>Pass</v>
      </c>
      <c r="AE2391" s="1" t="str">
        <f>IF(AND(Table1[[#This Row],[Spec Type2]]="N/A",Table1[[#This Row],[DUT Adj Read]]="N/A",Table1[[#This Row],[Std Adj Read]]="N/A"),"N/A",IF(Table1[[#This Row],[DUT Adj Read]]="N/A",IF(Table1[[#This Row],[Std Adj Read]]&lt;Table1[[#This Row],[High Tol]],"Pass","Fail"),IF(Table1[[#This Row],[DUT Adj Read]]&lt;Table1[[#This Row],[High Tol]],"Pass","Fail")))</f>
        <v>Fail</v>
      </c>
      <c r="AF2391" s="1" t="str">
        <f>IF(AND(Table1[[#This Row],[Spec Type2]]="N/A",Table1[[#This Row],[DUT Adj Read]]="N/A",Table1[[#This Row],[Std Adj Read]]="N/A"),"N/A",IF(Table1[[#This Row],[DUT Adj Read]]="N/A",IF(Table1[[#This Row],[Std Adj Read]]&gt;=Table1[[#This Row],[Low Tol]],"Pass","Fail"),IF(Table1[[#This Row],[DUT Adj Read]]&gt;=Table1[[#This Row],[Low Tol]],"Pass","Fail")))</f>
        <v>Pass</v>
      </c>
      <c r="AG2391" s="1" t="str">
        <f>IF(AND(Table1[[#This Row],[Spec Type2]]="N/A",Table1[[#This Row],[DUT Adj Read]]="N/A",Table1[[#This Row],[Std Adj Read]]="N/A"),"N/A",IF(Table1[[#This Row],[DUT Adj Read]]="N/A",IF(Table1[[#This Row],[Std Adj Read]]&lt;=Table1[[#This Row],[High Tol]],"Pass","Fail"),IF(Table1[[#This Row],[DUT Adj Read]]&lt;=Table1[[#This Row],[High Tol]],"Pass","Fail")))</f>
        <v>Fail</v>
      </c>
      <c r="AH23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1" s="1" t="b">
        <v>0</v>
      </c>
      <c r="AN2391" s="1" t="b">
        <v>0</v>
      </c>
      <c r="AO2391" s="1" t="b">
        <v>0</v>
      </c>
    </row>
    <row r="2392" spans="1:41" x14ac:dyDescent="0.25">
      <c r="A2392" s="10"/>
      <c r="B2392" s="10"/>
      <c r="C2392" s="10"/>
      <c r="D2392" s="10"/>
      <c r="E2392" s="10"/>
      <c r="F2392" s="10"/>
      <c r="G2392" s="10"/>
      <c r="H2392" s="10"/>
      <c r="I2392" s="1" t="str">
        <f t="shared" si="111"/>
        <v/>
      </c>
      <c r="J2392" s="1" t="s">
        <v>35</v>
      </c>
      <c r="K2392" s="1" t="str">
        <f t="shared" si="112"/>
        <v/>
      </c>
      <c r="L2392" s="1" t="str">
        <f t="shared" si="113"/>
        <v/>
      </c>
      <c r="M2392" s="1">
        <f>IF(OR(Table1[[#This Row],[Std Nom]]="",Table1[[#This Row],[Std Read]]=""),0,Table1[[#This Row],[Std Nom]]-Table1[[#This Row],[Std Read]])</f>
        <v>0</v>
      </c>
      <c r="N2392" s="1">
        <f>IF(Calculations!$F$5="ACCREDITED 17025 WITH UNCERTAINTIES",$N$10,0)</f>
        <v>0</v>
      </c>
      <c r="O2392" s="1" t="str">
        <f>IFERROR(Table1[[#This Row],[Std Nom]]-(_xlfn.XLOOKUP(Table1[[#This Row],[Manufacturer]]&amp;" "&amp;Table1[[#This Row],[Model]],Table13[MFR &amp; MDL],Table13[Tolerance % CW ],"")/100*Table1[[#This Row],[Std Nom]]),"")</f>
        <v/>
      </c>
      <c r="P2392" s="1" t="str">
        <f>IFERROR(Table1[[#This Row],[Std Nom]]+(_xlfn.XLOOKUP(Table1[[#This Row],[Manufacturer]]&amp;" "&amp;Table1[[#This Row],[Model]],Table13[MFR &amp; MDL],Table13[Tolerance % CW ],"")/100*Table1[[#This Row],[Std Nom]]),"")</f>
        <v/>
      </c>
      <c r="Q2392" s="1" t="e">
        <f>Table1[[#This Row],[High Tol]]-Table1[[#This Row],[Low Tol]]</f>
        <v>#VALUE!</v>
      </c>
      <c r="R2392" s="1">
        <f>2*Table1[[#This Row],[Std Error]]</f>
        <v>0</v>
      </c>
      <c r="S2392" s="1" t="str">
        <f>IF(Table1[[#This Row],[High Tol]]="","N/A",IFERROR(ABS(Table1[[#This Row],[Tol Span]]/Table1[[#This Row],[Error Span]]),"N/A"))</f>
        <v>N/A</v>
      </c>
      <c r="T2392" s="1" t="str">
        <f>IF(OR(Table1[[#This Row],[Low Tol]]="",Table1[[#This Row],[High Tol]]=""),"Needs Analysis",IF(Table1[[#This Row],[Ratio]]&gt;=4,"Not Significant",IF(Table1[[#This Row],[Ratio]]&gt;=2,"Semi-Significant","Significant")))</f>
        <v>Needs Analysis</v>
      </c>
      <c r="W2392" s="1">
        <f>IF(Table1[[#This Row],[Cal Type]]&lt;&gt;"ACCREDITED 17025 WITH UNCERTAINTIES",0,"")</f>
        <v>0</v>
      </c>
      <c r="X2392" s="1" t="str">
        <f>IF(Table1[[#This Row],[DUT Read]]="","N/A",Table1[[#This Row],[Std Error]]+Table1[[#This Row],[DUT Read]]+Table1[[#This Row],[DUT Ucty]])</f>
        <v>N/A</v>
      </c>
      <c r="Y2392" s="1" t="str">
        <f>IF(Table1[[#This Row],[Std Read]]="","N/A",Table1[[#This Row],[Std Read]]+Table1[[#This Row],[Std Ucty]])</f>
        <v>N/A</v>
      </c>
      <c r="Z23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2" s="1" t="str">
        <f>IF(Table1[[#This Row],[Spec Type]]="","N/A",Table1[[#This Row],[Spec Type]])</f>
        <v>±</v>
      </c>
      <c r="AC2392" s="1" t="str">
        <f>IF(Table1[[#This Row],[Spec Type2]]="N/A","N/A",IF(AND(Table1[[#This Row],[DUT Adj Read]]&gt;=Table1[[#This Row],[Low Tol]],Table1[[#This Row],[DUT Adj Read]]&lt;=Table1[[#This Row],[High Tol]]),"Pass","Fail"))</f>
        <v>Fail</v>
      </c>
      <c r="AD2392" s="1" t="str">
        <f>IF(AND(Table1[[#This Row],[Spec Type2]]="N/A",Table1[[#This Row],[DUT Adj Read]]="N/A",Table1[[#This Row],[Std Adj Read]]="N/A"),"N/A",IF(Table1[[#This Row],[DUT Adj Read]]="N/A",IF(Table1[[#This Row],[Std Adj Read]]&gt;Table1[[#This Row],[Low Tol]],"Pass","Fail"),IF(Table1[[#This Row],[DUT Adj Read]]&gt;Table1[[#This Row],[Low Tol]],"Pass","Fail")))</f>
        <v>Pass</v>
      </c>
      <c r="AE2392" s="1" t="str">
        <f>IF(AND(Table1[[#This Row],[Spec Type2]]="N/A",Table1[[#This Row],[DUT Adj Read]]="N/A",Table1[[#This Row],[Std Adj Read]]="N/A"),"N/A",IF(Table1[[#This Row],[DUT Adj Read]]="N/A",IF(Table1[[#This Row],[Std Adj Read]]&lt;Table1[[#This Row],[High Tol]],"Pass","Fail"),IF(Table1[[#This Row],[DUT Adj Read]]&lt;Table1[[#This Row],[High Tol]],"Pass","Fail")))</f>
        <v>Fail</v>
      </c>
      <c r="AF2392" s="1" t="str">
        <f>IF(AND(Table1[[#This Row],[Spec Type2]]="N/A",Table1[[#This Row],[DUT Adj Read]]="N/A",Table1[[#This Row],[Std Adj Read]]="N/A"),"N/A",IF(Table1[[#This Row],[DUT Adj Read]]="N/A",IF(Table1[[#This Row],[Std Adj Read]]&gt;=Table1[[#This Row],[Low Tol]],"Pass","Fail"),IF(Table1[[#This Row],[DUT Adj Read]]&gt;=Table1[[#This Row],[Low Tol]],"Pass","Fail")))</f>
        <v>Pass</v>
      </c>
      <c r="AG2392" s="1" t="str">
        <f>IF(AND(Table1[[#This Row],[Spec Type2]]="N/A",Table1[[#This Row],[DUT Adj Read]]="N/A",Table1[[#This Row],[Std Adj Read]]="N/A"),"N/A",IF(Table1[[#This Row],[DUT Adj Read]]="N/A",IF(Table1[[#This Row],[Std Adj Read]]&lt;=Table1[[#This Row],[High Tol]],"Pass","Fail"),IF(Table1[[#This Row],[DUT Adj Read]]&lt;=Table1[[#This Row],[High Tol]],"Pass","Fail")))</f>
        <v>Fail</v>
      </c>
      <c r="AH23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2" s="1" t="b">
        <v>0</v>
      </c>
      <c r="AN2392" s="1" t="b">
        <v>0</v>
      </c>
      <c r="AO2392" s="1" t="b">
        <v>0</v>
      </c>
    </row>
    <row r="2393" spans="1:41" x14ac:dyDescent="0.25">
      <c r="A2393" s="10"/>
      <c r="B2393" s="10"/>
      <c r="C2393" s="10"/>
      <c r="D2393" s="10"/>
      <c r="E2393" s="10"/>
      <c r="F2393" s="10"/>
      <c r="G2393" s="10"/>
      <c r="H2393" s="10"/>
      <c r="I2393" s="1" t="str">
        <f t="shared" si="111"/>
        <v/>
      </c>
      <c r="J2393" s="1" t="s">
        <v>35</v>
      </c>
      <c r="K2393" s="1" t="str">
        <f t="shared" si="112"/>
        <v/>
      </c>
      <c r="L2393" s="1" t="str">
        <f t="shared" si="113"/>
        <v/>
      </c>
      <c r="M2393" s="1">
        <f>IF(OR(Table1[[#This Row],[Std Nom]]="",Table1[[#This Row],[Std Read]]=""),0,Table1[[#This Row],[Std Nom]]-Table1[[#This Row],[Std Read]])</f>
        <v>0</v>
      </c>
      <c r="N2393" s="1">
        <f>IF(Calculations!$F$5="ACCREDITED 17025 WITH UNCERTAINTIES",$N$10,0)</f>
        <v>0</v>
      </c>
      <c r="O2393" s="1" t="str">
        <f>IFERROR(Table1[[#This Row],[Std Nom]]-(_xlfn.XLOOKUP(Table1[[#This Row],[Manufacturer]]&amp;" "&amp;Table1[[#This Row],[Model]],Table13[MFR &amp; MDL],Table13[Tolerance % CW ],"")/100*Table1[[#This Row],[Std Nom]]),"")</f>
        <v/>
      </c>
      <c r="P2393" s="1" t="str">
        <f>IFERROR(Table1[[#This Row],[Std Nom]]+(_xlfn.XLOOKUP(Table1[[#This Row],[Manufacturer]]&amp;" "&amp;Table1[[#This Row],[Model]],Table13[MFR &amp; MDL],Table13[Tolerance % CW ],"")/100*Table1[[#This Row],[Std Nom]]),"")</f>
        <v/>
      </c>
      <c r="Q2393" s="1" t="e">
        <f>Table1[[#This Row],[High Tol]]-Table1[[#This Row],[Low Tol]]</f>
        <v>#VALUE!</v>
      </c>
      <c r="R2393" s="1">
        <f>2*Table1[[#This Row],[Std Error]]</f>
        <v>0</v>
      </c>
      <c r="S2393" s="1" t="str">
        <f>IF(Table1[[#This Row],[High Tol]]="","N/A",IFERROR(ABS(Table1[[#This Row],[Tol Span]]/Table1[[#This Row],[Error Span]]),"N/A"))</f>
        <v>N/A</v>
      </c>
      <c r="T2393" s="1" t="str">
        <f>IF(OR(Table1[[#This Row],[Low Tol]]="",Table1[[#This Row],[High Tol]]=""),"Needs Analysis",IF(Table1[[#This Row],[Ratio]]&gt;=4,"Not Significant",IF(Table1[[#This Row],[Ratio]]&gt;=2,"Semi-Significant","Significant")))</f>
        <v>Needs Analysis</v>
      </c>
      <c r="W2393" s="1">
        <f>IF(Table1[[#This Row],[Cal Type]]&lt;&gt;"ACCREDITED 17025 WITH UNCERTAINTIES",0,"")</f>
        <v>0</v>
      </c>
      <c r="X2393" s="1" t="str">
        <f>IF(Table1[[#This Row],[DUT Read]]="","N/A",Table1[[#This Row],[Std Error]]+Table1[[#This Row],[DUT Read]]+Table1[[#This Row],[DUT Ucty]])</f>
        <v>N/A</v>
      </c>
      <c r="Y2393" s="1" t="str">
        <f>IF(Table1[[#This Row],[Std Read]]="","N/A",Table1[[#This Row],[Std Read]]+Table1[[#This Row],[Std Ucty]])</f>
        <v>N/A</v>
      </c>
      <c r="Z23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3" s="1" t="str">
        <f>IF(Table1[[#This Row],[Spec Type]]="","N/A",Table1[[#This Row],[Spec Type]])</f>
        <v>±</v>
      </c>
      <c r="AC2393" s="1" t="str">
        <f>IF(Table1[[#This Row],[Spec Type2]]="N/A","N/A",IF(AND(Table1[[#This Row],[DUT Adj Read]]&gt;=Table1[[#This Row],[Low Tol]],Table1[[#This Row],[DUT Adj Read]]&lt;=Table1[[#This Row],[High Tol]]),"Pass","Fail"))</f>
        <v>Fail</v>
      </c>
      <c r="AD2393" s="1" t="str">
        <f>IF(AND(Table1[[#This Row],[Spec Type2]]="N/A",Table1[[#This Row],[DUT Adj Read]]="N/A",Table1[[#This Row],[Std Adj Read]]="N/A"),"N/A",IF(Table1[[#This Row],[DUT Adj Read]]="N/A",IF(Table1[[#This Row],[Std Adj Read]]&gt;Table1[[#This Row],[Low Tol]],"Pass","Fail"),IF(Table1[[#This Row],[DUT Adj Read]]&gt;Table1[[#This Row],[Low Tol]],"Pass","Fail")))</f>
        <v>Pass</v>
      </c>
      <c r="AE2393" s="1" t="str">
        <f>IF(AND(Table1[[#This Row],[Spec Type2]]="N/A",Table1[[#This Row],[DUT Adj Read]]="N/A",Table1[[#This Row],[Std Adj Read]]="N/A"),"N/A",IF(Table1[[#This Row],[DUT Adj Read]]="N/A",IF(Table1[[#This Row],[Std Adj Read]]&lt;Table1[[#This Row],[High Tol]],"Pass","Fail"),IF(Table1[[#This Row],[DUT Adj Read]]&lt;Table1[[#This Row],[High Tol]],"Pass","Fail")))</f>
        <v>Fail</v>
      </c>
      <c r="AF2393" s="1" t="str">
        <f>IF(AND(Table1[[#This Row],[Spec Type2]]="N/A",Table1[[#This Row],[DUT Adj Read]]="N/A",Table1[[#This Row],[Std Adj Read]]="N/A"),"N/A",IF(Table1[[#This Row],[DUT Adj Read]]="N/A",IF(Table1[[#This Row],[Std Adj Read]]&gt;=Table1[[#This Row],[Low Tol]],"Pass","Fail"),IF(Table1[[#This Row],[DUT Adj Read]]&gt;=Table1[[#This Row],[Low Tol]],"Pass","Fail")))</f>
        <v>Pass</v>
      </c>
      <c r="AG2393" s="1" t="str">
        <f>IF(AND(Table1[[#This Row],[Spec Type2]]="N/A",Table1[[#This Row],[DUT Adj Read]]="N/A",Table1[[#This Row],[Std Adj Read]]="N/A"),"N/A",IF(Table1[[#This Row],[DUT Adj Read]]="N/A",IF(Table1[[#This Row],[Std Adj Read]]&lt;=Table1[[#This Row],[High Tol]],"Pass","Fail"),IF(Table1[[#This Row],[DUT Adj Read]]&lt;=Table1[[#This Row],[High Tol]],"Pass","Fail")))</f>
        <v>Fail</v>
      </c>
      <c r="AH23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3" s="1" t="b">
        <v>0</v>
      </c>
      <c r="AN2393" s="1" t="b">
        <v>0</v>
      </c>
      <c r="AO2393" s="1" t="b">
        <v>0</v>
      </c>
    </row>
    <row r="2394" spans="1:41" x14ac:dyDescent="0.25">
      <c r="A2394" s="10"/>
      <c r="B2394" s="10"/>
      <c r="C2394" s="10"/>
      <c r="D2394" s="10"/>
      <c r="E2394" s="10"/>
      <c r="F2394" s="10"/>
      <c r="G2394" s="10"/>
      <c r="H2394" s="10"/>
      <c r="I2394" s="1" t="str">
        <f t="shared" si="111"/>
        <v/>
      </c>
      <c r="J2394" s="1" t="s">
        <v>35</v>
      </c>
      <c r="K2394" s="1" t="str">
        <f t="shared" si="112"/>
        <v/>
      </c>
      <c r="L2394" s="1" t="str">
        <f t="shared" si="113"/>
        <v/>
      </c>
      <c r="M2394" s="1">
        <f>IF(OR(Table1[[#This Row],[Std Nom]]="",Table1[[#This Row],[Std Read]]=""),0,Table1[[#This Row],[Std Nom]]-Table1[[#This Row],[Std Read]])</f>
        <v>0</v>
      </c>
      <c r="N2394" s="1">
        <f>IF(Calculations!$F$5="ACCREDITED 17025 WITH UNCERTAINTIES",$N$10,0)</f>
        <v>0</v>
      </c>
      <c r="O2394" s="1" t="str">
        <f>IFERROR(Table1[[#This Row],[Std Nom]]-(_xlfn.XLOOKUP(Table1[[#This Row],[Manufacturer]]&amp;" "&amp;Table1[[#This Row],[Model]],Table13[MFR &amp; MDL],Table13[Tolerance % CW ],"")/100*Table1[[#This Row],[Std Nom]]),"")</f>
        <v/>
      </c>
      <c r="P2394" s="1" t="str">
        <f>IFERROR(Table1[[#This Row],[Std Nom]]+(_xlfn.XLOOKUP(Table1[[#This Row],[Manufacturer]]&amp;" "&amp;Table1[[#This Row],[Model]],Table13[MFR &amp; MDL],Table13[Tolerance % CW ],"")/100*Table1[[#This Row],[Std Nom]]),"")</f>
        <v/>
      </c>
      <c r="Q2394" s="1" t="e">
        <f>Table1[[#This Row],[High Tol]]-Table1[[#This Row],[Low Tol]]</f>
        <v>#VALUE!</v>
      </c>
      <c r="R2394" s="1">
        <f>2*Table1[[#This Row],[Std Error]]</f>
        <v>0</v>
      </c>
      <c r="S2394" s="1" t="str">
        <f>IF(Table1[[#This Row],[High Tol]]="","N/A",IFERROR(ABS(Table1[[#This Row],[Tol Span]]/Table1[[#This Row],[Error Span]]),"N/A"))</f>
        <v>N/A</v>
      </c>
      <c r="T2394" s="1" t="str">
        <f>IF(OR(Table1[[#This Row],[Low Tol]]="",Table1[[#This Row],[High Tol]]=""),"Needs Analysis",IF(Table1[[#This Row],[Ratio]]&gt;=4,"Not Significant",IF(Table1[[#This Row],[Ratio]]&gt;=2,"Semi-Significant","Significant")))</f>
        <v>Needs Analysis</v>
      </c>
      <c r="W2394" s="1">
        <f>IF(Table1[[#This Row],[Cal Type]]&lt;&gt;"ACCREDITED 17025 WITH UNCERTAINTIES",0,"")</f>
        <v>0</v>
      </c>
      <c r="X2394" s="1" t="str">
        <f>IF(Table1[[#This Row],[DUT Read]]="","N/A",Table1[[#This Row],[Std Error]]+Table1[[#This Row],[DUT Read]]+Table1[[#This Row],[DUT Ucty]])</f>
        <v>N/A</v>
      </c>
      <c r="Y2394" s="1" t="str">
        <f>IF(Table1[[#This Row],[Std Read]]="","N/A",Table1[[#This Row],[Std Read]]+Table1[[#This Row],[Std Ucty]])</f>
        <v>N/A</v>
      </c>
      <c r="Z23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4" s="1" t="str">
        <f>IF(Table1[[#This Row],[Spec Type]]="","N/A",Table1[[#This Row],[Spec Type]])</f>
        <v>±</v>
      </c>
      <c r="AC2394" s="1" t="str">
        <f>IF(Table1[[#This Row],[Spec Type2]]="N/A","N/A",IF(AND(Table1[[#This Row],[DUT Adj Read]]&gt;=Table1[[#This Row],[Low Tol]],Table1[[#This Row],[DUT Adj Read]]&lt;=Table1[[#This Row],[High Tol]]),"Pass","Fail"))</f>
        <v>Fail</v>
      </c>
      <c r="AD2394" s="1" t="str">
        <f>IF(AND(Table1[[#This Row],[Spec Type2]]="N/A",Table1[[#This Row],[DUT Adj Read]]="N/A",Table1[[#This Row],[Std Adj Read]]="N/A"),"N/A",IF(Table1[[#This Row],[DUT Adj Read]]="N/A",IF(Table1[[#This Row],[Std Adj Read]]&gt;Table1[[#This Row],[Low Tol]],"Pass","Fail"),IF(Table1[[#This Row],[DUT Adj Read]]&gt;Table1[[#This Row],[Low Tol]],"Pass","Fail")))</f>
        <v>Pass</v>
      </c>
      <c r="AE2394" s="1" t="str">
        <f>IF(AND(Table1[[#This Row],[Spec Type2]]="N/A",Table1[[#This Row],[DUT Adj Read]]="N/A",Table1[[#This Row],[Std Adj Read]]="N/A"),"N/A",IF(Table1[[#This Row],[DUT Adj Read]]="N/A",IF(Table1[[#This Row],[Std Adj Read]]&lt;Table1[[#This Row],[High Tol]],"Pass","Fail"),IF(Table1[[#This Row],[DUT Adj Read]]&lt;Table1[[#This Row],[High Tol]],"Pass","Fail")))</f>
        <v>Fail</v>
      </c>
      <c r="AF2394" s="1" t="str">
        <f>IF(AND(Table1[[#This Row],[Spec Type2]]="N/A",Table1[[#This Row],[DUT Adj Read]]="N/A",Table1[[#This Row],[Std Adj Read]]="N/A"),"N/A",IF(Table1[[#This Row],[DUT Adj Read]]="N/A",IF(Table1[[#This Row],[Std Adj Read]]&gt;=Table1[[#This Row],[Low Tol]],"Pass","Fail"),IF(Table1[[#This Row],[DUT Adj Read]]&gt;=Table1[[#This Row],[Low Tol]],"Pass","Fail")))</f>
        <v>Pass</v>
      </c>
      <c r="AG2394" s="1" t="str">
        <f>IF(AND(Table1[[#This Row],[Spec Type2]]="N/A",Table1[[#This Row],[DUT Adj Read]]="N/A",Table1[[#This Row],[Std Adj Read]]="N/A"),"N/A",IF(Table1[[#This Row],[DUT Adj Read]]="N/A",IF(Table1[[#This Row],[Std Adj Read]]&lt;=Table1[[#This Row],[High Tol]],"Pass","Fail"),IF(Table1[[#This Row],[DUT Adj Read]]&lt;=Table1[[#This Row],[High Tol]],"Pass","Fail")))</f>
        <v>Fail</v>
      </c>
      <c r="AH23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4" s="1" t="b">
        <v>0</v>
      </c>
      <c r="AN2394" s="1" t="b">
        <v>0</v>
      </c>
      <c r="AO2394" s="1" t="b">
        <v>0</v>
      </c>
    </row>
    <row r="2395" spans="1:41" x14ac:dyDescent="0.25">
      <c r="A2395" s="10"/>
      <c r="B2395" s="10"/>
      <c r="C2395" s="10"/>
      <c r="D2395" s="10"/>
      <c r="E2395" s="10"/>
      <c r="F2395" s="10"/>
      <c r="G2395" s="10"/>
      <c r="H2395" s="10"/>
      <c r="I2395" s="1" t="str">
        <f t="shared" si="111"/>
        <v/>
      </c>
      <c r="J2395" s="1" t="s">
        <v>35</v>
      </c>
      <c r="K2395" s="1" t="str">
        <f t="shared" si="112"/>
        <v/>
      </c>
      <c r="L2395" s="1" t="str">
        <f t="shared" si="113"/>
        <v/>
      </c>
      <c r="M2395" s="1">
        <f>IF(OR(Table1[[#This Row],[Std Nom]]="",Table1[[#This Row],[Std Read]]=""),0,Table1[[#This Row],[Std Nom]]-Table1[[#This Row],[Std Read]])</f>
        <v>0</v>
      </c>
      <c r="N2395" s="1">
        <f>IF(Calculations!$F$5="ACCREDITED 17025 WITH UNCERTAINTIES",$N$10,0)</f>
        <v>0</v>
      </c>
      <c r="O2395" s="1" t="str">
        <f>IFERROR(Table1[[#This Row],[Std Nom]]-(_xlfn.XLOOKUP(Table1[[#This Row],[Manufacturer]]&amp;" "&amp;Table1[[#This Row],[Model]],Table13[MFR &amp; MDL],Table13[Tolerance % CW ],"")/100*Table1[[#This Row],[Std Nom]]),"")</f>
        <v/>
      </c>
      <c r="P2395" s="1" t="str">
        <f>IFERROR(Table1[[#This Row],[Std Nom]]+(_xlfn.XLOOKUP(Table1[[#This Row],[Manufacturer]]&amp;" "&amp;Table1[[#This Row],[Model]],Table13[MFR &amp; MDL],Table13[Tolerance % CW ],"")/100*Table1[[#This Row],[Std Nom]]),"")</f>
        <v/>
      </c>
      <c r="Q2395" s="1" t="e">
        <f>Table1[[#This Row],[High Tol]]-Table1[[#This Row],[Low Tol]]</f>
        <v>#VALUE!</v>
      </c>
      <c r="R2395" s="1">
        <f>2*Table1[[#This Row],[Std Error]]</f>
        <v>0</v>
      </c>
      <c r="S2395" s="1" t="str">
        <f>IF(Table1[[#This Row],[High Tol]]="","N/A",IFERROR(ABS(Table1[[#This Row],[Tol Span]]/Table1[[#This Row],[Error Span]]),"N/A"))</f>
        <v>N/A</v>
      </c>
      <c r="T2395" s="1" t="str">
        <f>IF(OR(Table1[[#This Row],[Low Tol]]="",Table1[[#This Row],[High Tol]]=""),"Needs Analysis",IF(Table1[[#This Row],[Ratio]]&gt;=4,"Not Significant",IF(Table1[[#This Row],[Ratio]]&gt;=2,"Semi-Significant","Significant")))</f>
        <v>Needs Analysis</v>
      </c>
      <c r="W2395" s="1">
        <f>IF(Table1[[#This Row],[Cal Type]]&lt;&gt;"ACCREDITED 17025 WITH UNCERTAINTIES",0,"")</f>
        <v>0</v>
      </c>
      <c r="X2395" s="1" t="str">
        <f>IF(Table1[[#This Row],[DUT Read]]="","N/A",Table1[[#This Row],[Std Error]]+Table1[[#This Row],[DUT Read]]+Table1[[#This Row],[DUT Ucty]])</f>
        <v>N/A</v>
      </c>
      <c r="Y2395" s="1" t="str">
        <f>IF(Table1[[#This Row],[Std Read]]="","N/A",Table1[[#This Row],[Std Read]]+Table1[[#This Row],[Std Ucty]])</f>
        <v>N/A</v>
      </c>
      <c r="Z23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5" s="1" t="str">
        <f>IF(Table1[[#This Row],[Spec Type]]="","N/A",Table1[[#This Row],[Spec Type]])</f>
        <v>±</v>
      </c>
      <c r="AC2395" s="1" t="str">
        <f>IF(Table1[[#This Row],[Spec Type2]]="N/A","N/A",IF(AND(Table1[[#This Row],[DUT Adj Read]]&gt;=Table1[[#This Row],[Low Tol]],Table1[[#This Row],[DUT Adj Read]]&lt;=Table1[[#This Row],[High Tol]]),"Pass","Fail"))</f>
        <v>Fail</v>
      </c>
      <c r="AD2395" s="1" t="str">
        <f>IF(AND(Table1[[#This Row],[Spec Type2]]="N/A",Table1[[#This Row],[DUT Adj Read]]="N/A",Table1[[#This Row],[Std Adj Read]]="N/A"),"N/A",IF(Table1[[#This Row],[DUT Adj Read]]="N/A",IF(Table1[[#This Row],[Std Adj Read]]&gt;Table1[[#This Row],[Low Tol]],"Pass","Fail"),IF(Table1[[#This Row],[DUT Adj Read]]&gt;Table1[[#This Row],[Low Tol]],"Pass","Fail")))</f>
        <v>Pass</v>
      </c>
      <c r="AE2395" s="1" t="str">
        <f>IF(AND(Table1[[#This Row],[Spec Type2]]="N/A",Table1[[#This Row],[DUT Adj Read]]="N/A",Table1[[#This Row],[Std Adj Read]]="N/A"),"N/A",IF(Table1[[#This Row],[DUT Adj Read]]="N/A",IF(Table1[[#This Row],[Std Adj Read]]&lt;Table1[[#This Row],[High Tol]],"Pass","Fail"),IF(Table1[[#This Row],[DUT Adj Read]]&lt;Table1[[#This Row],[High Tol]],"Pass","Fail")))</f>
        <v>Fail</v>
      </c>
      <c r="AF2395" s="1" t="str">
        <f>IF(AND(Table1[[#This Row],[Spec Type2]]="N/A",Table1[[#This Row],[DUT Adj Read]]="N/A",Table1[[#This Row],[Std Adj Read]]="N/A"),"N/A",IF(Table1[[#This Row],[DUT Adj Read]]="N/A",IF(Table1[[#This Row],[Std Adj Read]]&gt;=Table1[[#This Row],[Low Tol]],"Pass","Fail"),IF(Table1[[#This Row],[DUT Adj Read]]&gt;=Table1[[#This Row],[Low Tol]],"Pass","Fail")))</f>
        <v>Pass</v>
      </c>
      <c r="AG2395" s="1" t="str">
        <f>IF(AND(Table1[[#This Row],[Spec Type2]]="N/A",Table1[[#This Row],[DUT Adj Read]]="N/A",Table1[[#This Row],[Std Adj Read]]="N/A"),"N/A",IF(Table1[[#This Row],[DUT Adj Read]]="N/A",IF(Table1[[#This Row],[Std Adj Read]]&lt;=Table1[[#This Row],[High Tol]],"Pass","Fail"),IF(Table1[[#This Row],[DUT Adj Read]]&lt;=Table1[[#This Row],[High Tol]],"Pass","Fail")))</f>
        <v>Fail</v>
      </c>
      <c r="AH23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5" s="1" t="b">
        <v>0</v>
      </c>
      <c r="AN2395" s="1" t="b">
        <v>0</v>
      </c>
      <c r="AO2395" s="1" t="b">
        <v>0</v>
      </c>
    </row>
    <row r="2396" spans="1:41" x14ac:dyDescent="0.25">
      <c r="A2396" s="10"/>
      <c r="B2396" s="10"/>
      <c r="C2396" s="10"/>
      <c r="D2396" s="10"/>
      <c r="E2396" s="10"/>
      <c r="F2396" s="10"/>
      <c r="G2396" s="10"/>
      <c r="H2396" s="10"/>
      <c r="I2396" s="1" t="str">
        <f t="shared" si="111"/>
        <v/>
      </c>
      <c r="J2396" s="1" t="s">
        <v>35</v>
      </c>
      <c r="K2396" s="1" t="str">
        <f t="shared" si="112"/>
        <v/>
      </c>
      <c r="L2396" s="1" t="str">
        <f t="shared" si="113"/>
        <v/>
      </c>
      <c r="M2396" s="1">
        <f>IF(OR(Table1[[#This Row],[Std Nom]]="",Table1[[#This Row],[Std Read]]=""),0,Table1[[#This Row],[Std Nom]]-Table1[[#This Row],[Std Read]])</f>
        <v>0</v>
      </c>
      <c r="N2396" s="1">
        <f>IF(Calculations!$F$5="ACCREDITED 17025 WITH UNCERTAINTIES",$N$10,0)</f>
        <v>0</v>
      </c>
      <c r="O2396" s="1" t="str">
        <f>IFERROR(Table1[[#This Row],[Std Nom]]-(_xlfn.XLOOKUP(Table1[[#This Row],[Manufacturer]]&amp;" "&amp;Table1[[#This Row],[Model]],Table13[MFR &amp; MDL],Table13[Tolerance % CW ],"")/100*Table1[[#This Row],[Std Nom]]),"")</f>
        <v/>
      </c>
      <c r="P2396" s="1" t="str">
        <f>IFERROR(Table1[[#This Row],[Std Nom]]+(_xlfn.XLOOKUP(Table1[[#This Row],[Manufacturer]]&amp;" "&amp;Table1[[#This Row],[Model]],Table13[MFR &amp; MDL],Table13[Tolerance % CW ],"")/100*Table1[[#This Row],[Std Nom]]),"")</f>
        <v/>
      </c>
      <c r="Q2396" s="1" t="e">
        <f>Table1[[#This Row],[High Tol]]-Table1[[#This Row],[Low Tol]]</f>
        <v>#VALUE!</v>
      </c>
      <c r="R2396" s="1">
        <f>2*Table1[[#This Row],[Std Error]]</f>
        <v>0</v>
      </c>
      <c r="S2396" s="1" t="str">
        <f>IF(Table1[[#This Row],[High Tol]]="","N/A",IFERROR(ABS(Table1[[#This Row],[Tol Span]]/Table1[[#This Row],[Error Span]]),"N/A"))</f>
        <v>N/A</v>
      </c>
      <c r="T2396" s="1" t="str">
        <f>IF(OR(Table1[[#This Row],[Low Tol]]="",Table1[[#This Row],[High Tol]]=""),"Needs Analysis",IF(Table1[[#This Row],[Ratio]]&gt;=4,"Not Significant",IF(Table1[[#This Row],[Ratio]]&gt;=2,"Semi-Significant","Significant")))</f>
        <v>Needs Analysis</v>
      </c>
      <c r="W2396" s="1">
        <f>IF(Table1[[#This Row],[Cal Type]]&lt;&gt;"ACCREDITED 17025 WITH UNCERTAINTIES",0,"")</f>
        <v>0</v>
      </c>
      <c r="X2396" s="1" t="str">
        <f>IF(Table1[[#This Row],[DUT Read]]="","N/A",Table1[[#This Row],[Std Error]]+Table1[[#This Row],[DUT Read]]+Table1[[#This Row],[DUT Ucty]])</f>
        <v>N/A</v>
      </c>
      <c r="Y2396" s="1" t="str">
        <f>IF(Table1[[#This Row],[Std Read]]="","N/A",Table1[[#This Row],[Std Read]]+Table1[[#This Row],[Std Ucty]])</f>
        <v>N/A</v>
      </c>
      <c r="Z23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6" s="1" t="str">
        <f>IF(Table1[[#This Row],[Spec Type]]="","N/A",Table1[[#This Row],[Spec Type]])</f>
        <v>±</v>
      </c>
      <c r="AC2396" s="1" t="str">
        <f>IF(Table1[[#This Row],[Spec Type2]]="N/A","N/A",IF(AND(Table1[[#This Row],[DUT Adj Read]]&gt;=Table1[[#This Row],[Low Tol]],Table1[[#This Row],[DUT Adj Read]]&lt;=Table1[[#This Row],[High Tol]]),"Pass","Fail"))</f>
        <v>Fail</v>
      </c>
      <c r="AD2396" s="1" t="str">
        <f>IF(AND(Table1[[#This Row],[Spec Type2]]="N/A",Table1[[#This Row],[DUT Adj Read]]="N/A",Table1[[#This Row],[Std Adj Read]]="N/A"),"N/A",IF(Table1[[#This Row],[DUT Adj Read]]="N/A",IF(Table1[[#This Row],[Std Adj Read]]&gt;Table1[[#This Row],[Low Tol]],"Pass","Fail"),IF(Table1[[#This Row],[DUT Adj Read]]&gt;Table1[[#This Row],[Low Tol]],"Pass","Fail")))</f>
        <v>Pass</v>
      </c>
      <c r="AE2396" s="1" t="str">
        <f>IF(AND(Table1[[#This Row],[Spec Type2]]="N/A",Table1[[#This Row],[DUT Adj Read]]="N/A",Table1[[#This Row],[Std Adj Read]]="N/A"),"N/A",IF(Table1[[#This Row],[DUT Adj Read]]="N/A",IF(Table1[[#This Row],[Std Adj Read]]&lt;Table1[[#This Row],[High Tol]],"Pass","Fail"),IF(Table1[[#This Row],[DUT Adj Read]]&lt;Table1[[#This Row],[High Tol]],"Pass","Fail")))</f>
        <v>Fail</v>
      </c>
      <c r="AF2396" s="1" t="str">
        <f>IF(AND(Table1[[#This Row],[Spec Type2]]="N/A",Table1[[#This Row],[DUT Adj Read]]="N/A",Table1[[#This Row],[Std Adj Read]]="N/A"),"N/A",IF(Table1[[#This Row],[DUT Adj Read]]="N/A",IF(Table1[[#This Row],[Std Adj Read]]&gt;=Table1[[#This Row],[Low Tol]],"Pass","Fail"),IF(Table1[[#This Row],[DUT Adj Read]]&gt;=Table1[[#This Row],[Low Tol]],"Pass","Fail")))</f>
        <v>Pass</v>
      </c>
      <c r="AG2396" s="1" t="str">
        <f>IF(AND(Table1[[#This Row],[Spec Type2]]="N/A",Table1[[#This Row],[DUT Adj Read]]="N/A",Table1[[#This Row],[Std Adj Read]]="N/A"),"N/A",IF(Table1[[#This Row],[DUT Adj Read]]="N/A",IF(Table1[[#This Row],[Std Adj Read]]&lt;=Table1[[#This Row],[High Tol]],"Pass","Fail"),IF(Table1[[#This Row],[DUT Adj Read]]&lt;=Table1[[#This Row],[High Tol]],"Pass","Fail")))</f>
        <v>Fail</v>
      </c>
      <c r="AH23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6" s="1" t="b">
        <v>0</v>
      </c>
      <c r="AN2396" s="1" t="b">
        <v>0</v>
      </c>
      <c r="AO2396" s="1" t="b">
        <v>0</v>
      </c>
    </row>
    <row r="2397" spans="1:41" x14ac:dyDescent="0.25">
      <c r="A2397" s="10"/>
      <c r="B2397" s="10"/>
      <c r="C2397" s="10"/>
      <c r="D2397" s="10"/>
      <c r="E2397" s="10"/>
      <c r="F2397" s="10"/>
      <c r="G2397" s="10"/>
      <c r="H2397" s="10"/>
      <c r="I2397" s="1" t="str">
        <f t="shared" si="111"/>
        <v/>
      </c>
      <c r="J2397" s="1" t="s">
        <v>35</v>
      </c>
      <c r="K2397" s="1" t="str">
        <f t="shared" si="112"/>
        <v/>
      </c>
      <c r="L2397" s="1" t="str">
        <f t="shared" si="113"/>
        <v/>
      </c>
      <c r="M2397" s="1">
        <f>IF(OR(Table1[[#This Row],[Std Nom]]="",Table1[[#This Row],[Std Read]]=""),0,Table1[[#This Row],[Std Nom]]-Table1[[#This Row],[Std Read]])</f>
        <v>0</v>
      </c>
      <c r="N2397" s="1">
        <f>IF(Calculations!$F$5="ACCREDITED 17025 WITH UNCERTAINTIES",$N$10,0)</f>
        <v>0</v>
      </c>
      <c r="O2397" s="1" t="str">
        <f>IFERROR(Table1[[#This Row],[Std Nom]]-(_xlfn.XLOOKUP(Table1[[#This Row],[Manufacturer]]&amp;" "&amp;Table1[[#This Row],[Model]],Table13[MFR &amp; MDL],Table13[Tolerance % CW ],"")/100*Table1[[#This Row],[Std Nom]]),"")</f>
        <v/>
      </c>
      <c r="P2397" s="1" t="str">
        <f>IFERROR(Table1[[#This Row],[Std Nom]]+(_xlfn.XLOOKUP(Table1[[#This Row],[Manufacturer]]&amp;" "&amp;Table1[[#This Row],[Model]],Table13[MFR &amp; MDL],Table13[Tolerance % CW ],"")/100*Table1[[#This Row],[Std Nom]]),"")</f>
        <v/>
      </c>
      <c r="Q2397" s="1" t="e">
        <f>Table1[[#This Row],[High Tol]]-Table1[[#This Row],[Low Tol]]</f>
        <v>#VALUE!</v>
      </c>
      <c r="R2397" s="1">
        <f>2*Table1[[#This Row],[Std Error]]</f>
        <v>0</v>
      </c>
      <c r="S2397" s="1" t="str">
        <f>IF(Table1[[#This Row],[High Tol]]="","N/A",IFERROR(ABS(Table1[[#This Row],[Tol Span]]/Table1[[#This Row],[Error Span]]),"N/A"))</f>
        <v>N/A</v>
      </c>
      <c r="T2397" s="1" t="str">
        <f>IF(OR(Table1[[#This Row],[Low Tol]]="",Table1[[#This Row],[High Tol]]=""),"Needs Analysis",IF(Table1[[#This Row],[Ratio]]&gt;=4,"Not Significant",IF(Table1[[#This Row],[Ratio]]&gt;=2,"Semi-Significant","Significant")))</f>
        <v>Needs Analysis</v>
      </c>
      <c r="W2397" s="1">
        <f>IF(Table1[[#This Row],[Cal Type]]&lt;&gt;"ACCREDITED 17025 WITH UNCERTAINTIES",0,"")</f>
        <v>0</v>
      </c>
      <c r="X2397" s="1" t="str">
        <f>IF(Table1[[#This Row],[DUT Read]]="","N/A",Table1[[#This Row],[Std Error]]+Table1[[#This Row],[DUT Read]]+Table1[[#This Row],[DUT Ucty]])</f>
        <v>N/A</v>
      </c>
      <c r="Y2397" s="1" t="str">
        <f>IF(Table1[[#This Row],[Std Read]]="","N/A",Table1[[#This Row],[Std Read]]+Table1[[#This Row],[Std Ucty]])</f>
        <v>N/A</v>
      </c>
      <c r="Z23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7" s="1" t="str">
        <f>IF(Table1[[#This Row],[Spec Type]]="","N/A",Table1[[#This Row],[Spec Type]])</f>
        <v>±</v>
      </c>
      <c r="AC2397" s="1" t="str">
        <f>IF(Table1[[#This Row],[Spec Type2]]="N/A","N/A",IF(AND(Table1[[#This Row],[DUT Adj Read]]&gt;=Table1[[#This Row],[Low Tol]],Table1[[#This Row],[DUT Adj Read]]&lt;=Table1[[#This Row],[High Tol]]),"Pass","Fail"))</f>
        <v>Fail</v>
      </c>
      <c r="AD2397" s="1" t="str">
        <f>IF(AND(Table1[[#This Row],[Spec Type2]]="N/A",Table1[[#This Row],[DUT Adj Read]]="N/A",Table1[[#This Row],[Std Adj Read]]="N/A"),"N/A",IF(Table1[[#This Row],[DUT Adj Read]]="N/A",IF(Table1[[#This Row],[Std Adj Read]]&gt;Table1[[#This Row],[Low Tol]],"Pass","Fail"),IF(Table1[[#This Row],[DUT Adj Read]]&gt;Table1[[#This Row],[Low Tol]],"Pass","Fail")))</f>
        <v>Pass</v>
      </c>
      <c r="AE2397" s="1" t="str">
        <f>IF(AND(Table1[[#This Row],[Spec Type2]]="N/A",Table1[[#This Row],[DUT Adj Read]]="N/A",Table1[[#This Row],[Std Adj Read]]="N/A"),"N/A",IF(Table1[[#This Row],[DUT Adj Read]]="N/A",IF(Table1[[#This Row],[Std Adj Read]]&lt;Table1[[#This Row],[High Tol]],"Pass","Fail"),IF(Table1[[#This Row],[DUT Adj Read]]&lt;Table1[[#This Row],[High Tol]],"Pass","Fail")))</f>
        <v>Fail</v>
      </c>
      <c r="AF2397" s="1" t="str">
        <f>IF(AND(Table1[[#This Row],[Spec Type2]]="N/A",Table1[[#This Row],[DUT Adj Read]]="N/A",Table1[[#This Row],[Std Adj Read]]="N/A"),"N/A",IF(Table1[[#This Row],[DUT Adj Read]]="N/A",IF(Table1[[#This Row],[Std Adj Read]]&gt;=Table1[[#This Row],[Low Tol]],"Pass","Fail"),IF(Table1[[#This Row],[DUT Adj Read]]&gt;=Table1[[#This Row],[Low Tol]],"Pass","Fail")))</f>
        <v>Pass</v>
      </c>
      <c r="AG2397" s="1" t="str">
        <f>IF(AND(Table1[[#This Row],[Spec Type2]]="N/A",Table1[[#This Row],[DUT Adj Read]]="N/A",Table1[[#This Row],[Std Adj Read]]="N/A"),"N/A",IF(Table1[[#This Row],[DUT Adj Read]]="N/A",IF(Table1[[#This Row],[Std Adj Read]]&lt;=Table1[[#This Row],[High Tol]],"Pass","Fail"),IF(Table1[[#This Row],[DUT Adj Read]]&lt;=Table1[[#This Row],[High Tol]],"Pass","Fail")))</f>
        <v>Fail</v>
      </c>
      <c r="AH23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7" s="1" t="b">
        <v>0</v>
      </c>
      <c r="AN2397" s="1" t="b">
        <v>0</v>
      </c>
      <c r="AO2397" s="1" t="b">
        <v>0</v>
      </c>
    </row>
    <row r="2398" spans="1:41" x14ac:dyDescent="0.25">
      <c r="A2398" s="10"/>
      <c r="B2398" s="10"/>
      <c r="C2398" s="10"/>
      <c r="D2398" s="10"/>
      <c r="E2398" s="10"/>
      <c r="F2398" s="10"/>
      <c r="G2398" s="10"/>
      <c r="H2398" s="10"/>
      <c r="I2398" s="1" t="str">
        <f t="shared" si="111"/>
        <v/>
      </c>
      <c r="J2398" s="1" t="s">
        <v>35</v>
      </c>
      <c r="K2398" s="1" t="str">
        <f t="shared" si="112"/>
        <v/>
      </c>
      <c r="L2398" s="1" t="str">
        <f t="shared" si="113"/>
        <v/>
      </c>
      <c r="M2398" s="1">
        <f>IF(OR(Table1[[#This Row],[Std Nom]]="",Table1[[#This Row],[Std Read]]=""),0,Table1[[#This Row],[Std Nom]]-Table1[[#This Row],[Std Read]])</f>
        <v>0</v>
      </c>
      <c r="N2398" s="1">
        <f>IF(Calculations!$F$5="ACCREDITED 17025 WITH UNCERTAINTIES",$N$10,0)</f>
        <v>0</v>
      </c>
      <c r="O2398" s="1" t="str">
        <f>IFERROR(Table1[[#This Row],[Std Nom]]-(_xlfn.XLOOKUP(Table1[[#This Row],[Manufacturer]]&amp;" "&amp;Table1[[#This Row],[Model]],Table13[MFR &amp; MDL],Table13[Tolerance % CW ],"")/100*Table1[[#This Row],[Std Nom]]),"")</f>
        <v/>
      </c>
      <c r="P2398" s="1" t="str">
        <f>IFERROR(Table1[[#This Row],[Std Nom]]+(_xlfn.XLOOKUP(Table1[[#This Row],[Manufacturer]]&amp;" "&amp;Table1[[#This Row],[Model]],Table13[MFR &amp; MDL],Table13[Tolerance % CW ],"")/100*Table1[[#This Row],[Std Nom]]),"")</f>
        <v/>
      </c>
      <c r="Q2398" s="1" t="e">
        <f>Table1[[#This Row],[High Tol]]-Table1[[#This Row],[Low Tol]]</f>
        <v>#VALUE!</v>
      </c>
      <c r="R2398" s="1">
        <f>2*Table1[[#This Row],[Std Error]]</f>
        <v>0</v>
      </c>
      <c r="S2398" s="1" t="str">
        <f>IF(Table1[[#This Row],[High Tol]]="","N/A",IFERROR(ABS(Table1[[#This Row],[Tol Span]]/Table1[[#This Row],[Error Span]]),"N/A"))</f>
        <v>N/A</v>
      </c>
      <c r="T2398" s="1" t="str">
        <f>IF(OR(Table1[[#This Row],[Low Tol]]="",Table1[[#This Row],[High Tol]]=""),"Needs Analysis",IF(Table1[[#This Row],[Ratio]]&gt;=4,"Not Significant",IF(Table1[[#This Row],[Ratio]]&gt;=2,"Semi-Significant","Significant")))</f>
        <v>Needs Analysis</v>
      </c>
      <c r="W2398" s="1">
        <f>IF(Table1[[#This Row],[Cal Type]]&lt;&gt;"ACCREDITED 17025 WITH UNCERTAINTIES",0,"")</f>
        <v>0</v>
      </c>
      <c r="X2398" s="1" t="str">
        <f>IF(Table1[[#This Row],[DUT Read]]="","N/A",Table1[[#This Row],[Std Error]]+Table1[[#This Row],[DUT Read]]+Table1[[#This Row],[DUT Ucty]])</f>
        <v>N/A</v>
      </c>
      <c r="Y2398" s="1" t="str">
        <f>IF(Table1[[#This Row],[Std Read]]="","N/A",Table1[[#This Row],[Std Read]]+Table1[[#This Row],[Std Ucty]])</f>
        <v>N/A</v>
      </c>
      <c r="Z23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8" s="1" t="str">
        <f>IF(Table1[[#This Row],[Spec Type]]="","N/A",Table1[[#This Row],[Spec Type]])</f>
        <v>±</v>
      </c>
      <c r="AC2398" s="1" t="str">
        <f>IF(Table1[[#This Row],[Spec Type2]]="N/A","N/A",IF(AND(Table1[[#This Row],[DUT Adj Read]]&gt;=Table1[[#This Row],[Low Tol]],Table1[[#This Row],[DUT Adj Read]]&lt;=Table1[[#This Row],[High Tol]]),"Pass","Fail"))</f>
        <v>Fail</v>
      </c>
      <c r="AD2398" s="1" t="str">
        <f>IF(AND(Table1[[#This Row],[Spec Type2]]="N/A",Table1[[#This Row],[DUT Adj Read]]="N/A",Table1[[#This Row],[Std Adj Read]]="N/A"),"N/A",IF(Table1[[#This Row],[DUT Adj Read]]="N/A",IF(Table1[[#This Row],[Std Adj Read]]&gt;Table1[[#This Row],[Low Tol]],"Pass","Fail"),IF(Table1[[#This Row],[DUT Adj Read]]&gt;Table1[[#This Row],[Low Tol]],"Pass","Fail")))</f>
        <v>Pass</v>
      </c>
      <c r="AE2398" s="1" t="str">
        <f>IF(AND(Table1[[#This Row],[Spec Type2]]="N/A",Table1[[#This Row],[DUT Adj Read]]="N/A",Table1[[#This Row],[Std Adj Read]]="N/A"),"N/A",IF(Table1[[#This Row],[DUT Adj Read]]="N/A",IF(Table1[[#This Row],[Std Adj Read]]&lt;Table1[[#This Row],[High Tol]],"Pass","Fail"),IF(Table1[[#This Row],[DUT Adj Read]]&lt;Table1[[#This Row],[High Tol]],"Pass","Fail")))</f>
        <v>Fail</v>
      </c>
      <c r="AF2398" s="1" t="str">
        <f>IF(AND(Table1[[#This Row],[Spec Type2]]="N/A",Table1[[#This Row],[DUT Adj Read]]="N/A",Table1[[#This Row],[Std Adj Read]]="N/A"),"N/A",IF(Table1[[#This Row],[DUT Adj Read]]="N/A",IF(Table1[[#This Row],[Std Adj Read]]&gt;=Table1[[#This Row],[Low Tol]],"Pass","Fail"),IF(Table1[[#This Row],[DUT Adj Read]]&gt;=Table1[[#This Row],[Low Tol]],"Pass","Fail")))</f>
        <v>Pass</v>
      </c>
      <c r="AG2398" s="1" t="str">
        <f>IF(AND(Table1[[#This Row],[Spec Type2]]="N/A",Table1[[#This Row],[DUT Adj Read]]="N/A",Table1[[#This Row],[Std Adj Read]]="N/A"),"N/A",IF(Table1[[#This Row],[DUT Adj Read]]="N/A",IF(Table1[[#This Row],[Std Adj Read]]&lt;=Table1[[#This Row],[High Tol]],"Pass","Fail"),IF(Table1[[#This Row],[DUT Adj Read]]&lt;=Table1[[#This Row],[High Tol]],"Pass","Fail")))</f>
        <v>Fail</v>
      </c>
      <c r="AH23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8" s="1" t="b">
        <v>0</v>
      </c>
      <c r="AN2398" s="1" t="b">
        <v>0</v>
      </c>
      <c r="AO2398" s="1" t="b">
        <v>0</v>
      </c>
    </row>
    <row r="2399" spans="1:41" x14ac:dyDescent="0.25">
      <c r="A2399" s="10"/>
      <c r="B2399" s="10"/>
      <c r="C2399" s="10"/>
      <c r="D2399" s="10"/>
      <c r="E2399" s="10"/>
      <c r="F2399" s="10"/>
      <c r="G2399" s="10"/>
      <c r="H2399" s="10"/>
      <c r="I2399" s="1" t="str">
        <f t="shared" si="111"/>
        <v/>
      </c>
      <c r="J2399" s="1" t="s">
        <v>35</v>
      </c>
      <c r="K2399" s="1" t="str">
        <f t="shared" si="112"/>
        <v/>
      </c>
      <c r="L2399" s="1" t="str">
        <f t="shared" si="113"/>
        <v/>
      </c>
      <c r="M2399" s="1">
        <f>IF(OR(Table1[[#This Row],[Std Nom]]="",Table1[[#This Row],[Std Read]]=""),0,Table1[[#This Row],[Std Nom]]-Table1[[#This Row],[Std Read]])</f>
        <v>0</v>
      </c>
      <c r="N2399" s="1">
        <f>IF(Calculations!$F$5="ACCREDITED 17025 WITH UNCERTAINTIES",$N$10,0)</f>
        <v>0</v>
      </c>
      <c r="O2399" s="1" t="str">
        <f>IFERROR(Table1[[#This Row],[Std Nom]]-(_xlfn.XLOOKUP(Table1[[#This Row],[Manufacturer]]&amp;" "&amp;Table1[[#This Row],[Model]],Table13[MFR &amp; MDL],Table13[Tolerance % CW ],"")/100*Table1[[#This Row],[Std Nom]]),"")</f>
        <v/>
      </c>
      <c r="P2399" s="1" t="str">
        <f>IFERROR(Table1[[#This Row],[Std Nom]]+(_xlfn.XLOOKUP(Table1[[#This Row],[Manufacturer]]&amp;" "&amp;Table1[[#This Row],[Model]],Table13[MFR &amp; MDL],Table13[Tolerance % CW ],"")/100*Table1[[#This Row],[Std Nom]]),"")</f>
        <v/>
      </c>
      <c r="Q2399" s="1" t="e">
        <f>Table1[[#This Row],[High Tol]]-Table1[[#This Row],[Low Tol]]</f>
        <v>#VALUE!</v>
      </c>
      <c r="R2399" s="1">
        <f>2*Table1[[#This Row],[Std Error]]</f>
        <v>0</v>
      </c>
      <c r="S2399" s="1" t="str">
        <f>IF(Table1[[#This Row],[High Tol]]="","N/A",IFERROR(ABS(Table1[[#This Row],[Tol Span]]/Table1[[#This Row],[Error Span]]),"N/A"))</f>
        <v>N/A</v>
      </c>
      <c r="T2399" s="1" t="str">
        <f>IF(OR(Table1[[#This Row],[Low Tol]]="",Table1[[#This Row],[High Tol]]=""),"Needs Analysis",IF(Table1[[#This Row],[Ratio]]&gt;=4,"Not Significant",IF(Table1[[#This Row],[Ratio]]&gt;=2,"Semi-Significant","Significant")))</f>
        <v>Needs Analysis</v>
      </c>
      <c r="W2399" s="1">
        <f>IF(Table1[[#This Row],[Cal Type]]&lt;&gt;"ACCREDITED 17025 WITH UNCERTAINTIES",0,"")</f>
        <v>0</v>
      </c>
      <c r="X2399" s="1" t="str">
        <f>IF(Table1[[#This Row],[DUT Read]]="","N/A",Table1[[#This Row],[Std Error]]+Table1[[#This Row],[DUT Read]]+Table1[[#This Row],[DUT Ucty]])</f>
        <v>N/A</v>
      </c>
      <c r="Y2399" s="1" t="str">
        <f>IF(Table1[[#This Row],[Std Read]]="","N/A",Table1[[#This Row],[Std Read]]+Table1[[#This Row],[Std Ucty]])</f>
        <v>N/A</v>
      </c>
      <c r="Z23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9" s="1" t="str">
        <f>IF(Table1[[#This Row],[Spec Type]]="","N/A",Table1[[#This Row],[Spec Type]])</f>
        <v>±</v>
      </c>
      <c r="AC2399" s="1" t="str">
        <f>IF(Table1[[#This Row],[Spec Type2]]="N/A","N/A",IF(AND(Table1[[#This Row],[DUT Adj Read]]&gt;=Table1[[#This Row],[Low Tol]],Table1[[#This Row],[DUT Adj Read]]&lt;=Table1[[#This Row],[High Tol]]),"Pass","Fail"))</f>
        <v>Fail</v>
      </c>
      <c r="AD2399" s="1" t="str">
        <f>IF(AND(Table1[[#This Row],[Spec Type2]]="N/A",Table1[[#This Row],[DUT Adj Read]]="N/A",Table1[[#This Row],[Std Adj Read]]="N/A"),"N/A",IF(Table1[[#This Row],[DUT Adj Read]]="N/A",IF(Table1[[#This Row],[Std Adj Read]]&gt;Table1[[#This Row],[Low Tol]],"Pass","Fail"),IF(Table1[[#This Row],[DUT Adj Read]]&gt;Table1[[#This Row],[Low Tol]],"Pass","Fail")))</f>
        <v>Pass</v>
      </c>
      <c r="AE2399" s="1" t="str">
        <f>IF(AND(Table1[[#This Row],[Spec Type2]]="N/A",Table1[[#This Row],[DUT Adj Read]]="N/A",Table1[[#This Row],[Std Adj Read]]="N/A"),"N/A",IF(Table1[[#This Row],[DUT Adj Read]]="N/A",IF(Table1[[#This Row],[Std Adj Read]]&lt;Table1[[#This Row],[High Tol]],"Pass","Fail"),IF(Table1[[#This Row],[DUT Adj Read]]&lt;Table1[[#This Row],[High Tol]],"Pass","Fail")))</f>
        <v>Fail</v>
      </c>
      <c r="AF2399" s="1" t="str">
        <f>IF(AND(Table1[[#This Row],[Spec Type2]]="N/A",Table1[[#This Row],[DUT Adj Read]]="N/A",Table1[[#This Row],[Std Adj Read]]="N/A"),"N/A",IF(Table1[[#This Row],[DUT Adj Read]]="N/A",IF(Table1[[#This Row],[Std Adj Read]]&gt;=Table1[[#This Row],[Low Tol]],"Pass","Fail"),IF(Table1[[#This Row],[DUT Adj Read]]&gt;=Table1[[#This Row],[Low Tol]],"Pass","Fail")))</f>
        <v>Pass</v>
      </c>
      <c r="AG2399" s="1" t="str">
        <f>IF(AND(Table1[[#This Row],[Spec Type2]]="N/A",Table1[[#This Row],[DUT Adj Read]]="N/A",Table1[[#This Row],[Std Adj Read]]="N/A"),"N/A",IF(Table1[[#This Row],[DUT Adj Read]]="N/A",IF(Table1[[#This Row],[Std Adj Read]]&lt;=Table1[[#This Row],[High Tol]],"Pass","Fail"),IF(Table1[[#This Row],[DUT Adj Read]]&lt;=Table1[[#This Row],[High Tol]],"Pass","Fail")))</f>
        <v>Fail</v>
      </c>
      <c r="AH23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9" s="1" t="b">
        <v>0</v>
      </c>
      <c r="AN2399" s="1" t="b">
        <v>0</v>
      </c>
      <c r="AO2399" s="1" t="b">
        <v>0</v>
      </c>
    </row>
    <row r="2400" spans="1:41" x14ac:dyDescent="0.25">
      <c r="A2400" s="10"/>
      <c r="B2400" s="10"/>
      <c r="C2400" s="10"/>
      <c r="D2400" s="10"/>
      <c r="E2400" s="10"/>
      <c r="F2400" s="10"/>
      <c r="G2400" s="10"/>
      <c r="H2400" s="10"/>
      <c r="I2400" s="1" t="str">
        <f t="shared" si="111"/>
        <v/>
      </c>
      <c r="J2400" s="1" t="s">
        <v>35</v>
      </c>
      <c r="K2400" s="1" t="str">
        <f t="shared" si="112"/>
        <v/>
      </c>
      <c r="L2400" s="1" t="str">
        <f t="shared" si="113"/>
        <v/>
      </c>
      <c r="M2400" s="1">
        <f>IF(OR(Table1[[#This Row],[Std Nom]]="",Table1[[#This Row],[Std Read]]=""),0,Table1[[#This Row],[Std Nom]]-Table1[[#This Row],[Std Read]])</f>
        <v>0</v>
      </c>
      <c r="N2400" s="1">
        <f>IF(Calculations!$F$5="ACCREDITED 17025 WITH UNCERTAINTIES",$N$10,0)</f>
        <v>0</v>
      </c>
      <c r="O2400" s="1" t="str">
        <f>IFERROR(Table1[[#This Row],[Std Nom]]-(_xlfn.XLOOKUP(Table1[[#This Row],[Manufacturer]]&amp;" "&amp;Table1[[#This Row],[Model]],Table13[MFR &amp; MDL],Table13[Tolerance % CW ],"")/100*Table1[[#This Row],[Std Nom]]),"")</f>
        <v/>
      </c>
      <c r="P2400" s="1" t="str">
        <f>IFERROR(Table1[[#This Row],[Std Nom]]+(_xlfn.XLOOKUP(Table1[[#This Row],[Manufacturer]]&amp;" "&amp;Table1[[#This Row],[Model]],Table13[MFR &amp; MDL],Table13[Tolerance % CW ],"")/100*Table1[[#This Row],[Std Nom]]),"")</f>
        <v/>
      </c>
      <c r="Q2400" s="1" t="e">
        <f>Table1[[#This Row],[High Tol]]-Table1[[#This Row],[Low Tol]]</f>
        <v>#VALUE!</v>
      </c>
      <c r="R2400" s="1">
        <f>2*Table1[[#This Row],[Std Error]]</f>
        <v>0</v>
      </c>
      <c r="S2400" s="1" t="str">
        <f>IF(Table1[[#This Row],[High Tol]]="","N/A",IFERROR(ABS(Table1[[#This Row],[Tol Span]]/Table1[[#This Row],[Error Span]]),"N/A"))</f>
        <v>N/A</v>
      </c>
      <c r="T2400" s="1" t="str">
        <f>IF(OR(Table1[[#This Row],[Low Tol]]="",Table1[[#This Row],[High Tol]]=""),"Needs Analysis",IF(Table1[[#This Row],[Ratio]]&gt;=4,"Not Significant",IF(Table1[[#This Row],[Ratio]]&gt;=2,"Semi-Significant","Significant")))</f>
        <v>Needs Analysis</v>
      </c>
      <c r="W2400" s="1">
        <f>IF(Table1[[#This Row],[Cal Type]]&lt;&gt;"ACCREDITED 17025 WITH UNCERTAINTIES",0,"")</f>
        <v>0</v>
      </c>
      <c r="X2400" s="1" t="str">
        <f>IF(Table1[[#This Row],[DUT Read]]="","N/A",Table1[[#This Row],[Std Error]]+Table1[[#This Row],[DUT Read]]+Table1[[#This Row],[DUT Ucty]])</f>
        <v>N/A</v>
      </c>
      <c r="Y2400" s="1" t="str">
        <f>IF(Table1[[#This Row],[Std Read]]="","N/A",Table1[[#This Row],[Std Read]]+Table1[[#This Row],[Std Ucty]])</f>
        <v>N/A</v>
      </c>
      <c r="Z24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0" s="1" t="str">
        <f>IF(Table1[[#This Row],[Spec Type]]="","N/A",Table1[[#This Row],[Spec Type]])</f>
        <v>±</v>
      </c>
      <c r="AC2400" s="1" t="str">
        <f>IF(Table1[[#This Row],[Spec Type2]]="N/A","N/A",IF(AND(Table1[[#This Row],[DUT Adj Read]]&gt;=Table1[[#This Row],[Low Tol]],Table1[[#This Row],[DUT Adj Read]]&lt;=Table1[[#This Row],[High Tol]]),"Pass","Fail"))</f>
        <v>Fail</v>
      </c>
      <c r="AD2400" s="1" t="str">
        <f>IF(AND(Table1[[#This Row],[Spec Type2]]="N/A",Table1[[#This Row],[DUT Adj Read]]="N/A",Table1[[#This Row],[Std Adj Read]]="N/A"),"N/A",IF(Table1[[#This Row],[DUT Adj Read]]="N/A",IF(Table1[[#This Row],[Std Adj Read]]&gt;Table1[[#This Row],[Low Tol]],"Pass","Fail"),IF(Table1[[#This Row],[DUT Adj Read]]&gt;Table1[[#This Row],[Low Tol]],"Pass","Fail")))</f>
        <v>Pass</v>
      </c>
      <c r="AE2400" s="1" t="str">
        <f>IF(AND(Table1[[#This Row],[Spec Type2]]="N/A",Table1[[#This Row],[DUT Adj Read]]="N/A",Table1[[#This Row],[Std Adj Read]]="N/A"),"N/A",IF(Table1[[#This Row],[DUT Adj Read]]="N/A",IF(Table1[[#This Row],[Std Adj Read]]&lt;Table1[[#This Row],[High Tol]],"Pass","Fail"),IF(Table1[[#This Row],[DUT Adj Read]]&lt;Table1[[#This Row],[High Tol]],"Pass","Fail")))</f>
        <v>Fail</v>
      </c>
      <c r="AF2400" s="1" t="str">
        <f>IF(AND(Table1[[#This Row],[Spec Type2]]="N/A",Table1[[#This Row],[DUT Adj Read]]="N/A",Table1[[#This Row],[Std Adj Read]]="N/A"),"N/A",IF(Table1[[#This Row],[DUT Adj Read]]="N/A",IF(Table1[[#This Row],[Std Adj Read]]&gt;=Table1[[#This Row],[Low Tol]],"Pass","Fail"),IF(Table1[[#This Row],[DUT Adj Read]]&gt;=Table1[[#This Row],[Low Tol]],"Pass","Fail")))</f>
        <v>Pass</v>
      </c>
      <c r="AG2400" s="1" t="str">
        <f>IF(AND(Table1[[#This Row],[Spec Type2]]="N/A",Table1[[#This Row],[DUT Adj Read]]="N/A",Table1[[#This Row],[Std Adj Read]]="N/A"),"N/A",IF(Table1[[#This Row],[DUT Adj Read]]="N/A",IF(Table1[[#This Row],[Std Adj Read]]&lt;=Table1[[#This Row],[High Tol]],"Pass","Fail"),IF(Table1[[#This Row],[DUT Adj Read]]&lt;=Table1[[#This Row],[High Tol]],"Pass","Fail")))</f>
        <v>Fail</v>
      </c>
      <c r="AH24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0" s="1" t="b">
        <v>0</v>
      </c>
      <c r="AN2400" s="1" t="b">
        <v>0</v>
      </c>
      <c r="AO2400" s="1" t="b">
        <v>0</v>
      </c>
    </row>
    <row r="2401" spans="1:41" x14ac:dyDescent="0.25">
      <c r="A2401" s="10"/>
      <c r="B2401" s="10"/>
      <c r="C2401" s="10"/>
      <c r="D2401" s="10"/>
      <c r="E2401" s="10"/>
      <c r="F2401" s="10"/>
      <c r="G2401" s="10"/>
      <c r="H2401" s="10"/>
      <c r="I2401" s="1" t="str">
        <f t="shared" si="111"/>
        <v/>
      </c>
      <c r="J2401" s="1" t="s">
        <v>35</v>
      </c>
      <c r="K2401" s="1" t="str">
        <f t="shared" si="112"/>
        <v/>
      </c>
      <c r="L2401" s="1" t="str">
        <f t="shared" si="113"/>
        <v/>
      </c>
      <c r="M2401" s="1">
        <f>IF(OR(Table1[[#This Row],[Std Nom]]="",Table1[[#This Row],[Std Read]]=""),0,Table1[[#This Row],[Std Nom]]-Table1[[#This Row],[Std Read]])</f>
        <v>0</v>
      </c>
      <c r="N2401" s="1">
        <f>IF(Calculations!$F$5="ACCREDITED 17025 WITH UNCERTAINTIES",$N$10,0)</f>
        <v>0</v>
      </c>
      <c r="O2401" s="1" t="str">
        <f>IFERROR(Table1[[#This Row],[Std Nom]]-(_xlfn.XLOOKUP(Table1[[#This Row],[Manufacturer]]&amp;" "&amp;Table1[[#This Row],[Model]],Table13[MFR &amp; MDL],Table13[Tolerance % CW ],"")/100*Table1[[#This Row],[Std Nom]]),"")</f>
        <v/>
      </c>
      <c r="P2401" s="1" t="str">
        <f>IFERROR(Table1[[#This Row],[Std Nom]]+(_xlfn.XLOOKUP(Table1[[#This Row],[Manufacturer]]&amp;" "&amp;Table1[[#This Row],[Model]],Table13[MFR &amp; MDL],Table13[Tolerance % CW ],"")/100*Table1[[#This Row],[Std Nom]]),"")</f>
        <v/>
      </c>
      <c r="Q2401" s="1" t="e">
        <f>Table1[[#This Row],[High Tol]]-Table1[[#This Row],[Low Tol]]</f>
        <v>#VALUE!</v>
      </c>
      <c r="R2401" s="1">
        <f>2*Table1[[#This Row],[Std Error]]</f>
        <v>0</v>
      </c>
      <c r="S2401" s="1" t="str">
        <f>IF(Table1[[#This Row],[High Tol]]="","N/A",IFERROR(ABS(Table1[[#This Row],[Tol Span]]/Table1[[#This Row],[Error Span]]),"N/A"))</f>
        <v>N/A</v>
      </c>
      <c r="T2401" s="1" t="str">
        <f>IF(OR(Table1[[#This Row],[Low Tol]]="",Table1[[#This Row],[High Tol]]=""),"Needs Analysis",IF(Table1[[#This Row],[Ratio]]&gt;=4,"Not Significant",IF(Table1[[#This Row],[Ratio]]&gt;=2,"Semi-Significant","Significant")))</f>
        <v>Needs Analysis</v>
      </c>
      <c r="W2401" s="1">
        <f>IF(Table1[[#This Row],[Cal Type]]&lt;&gt;"ACCREDITED 17025 WITH UNCERTAINTIES",0,"")</f>
        <v>0</v>
      </c>
      <c r="X2401" s="1" t="str">
        <f>IF(Table1[[#This Row],[DUT Read]]="","N/A",Table1[[#This Row],[Std Error]]+Table1[[#This Row],[DUT Read]]+Table1[[#This Row],[DUT Ucty]])</f>
        <v>N/A</v>
      </c>
      <c r="Y2401" s="1" t="str">
        <f>IF(Table1[[#This Row],[Std Read]]="","N/A",Table1[[#This Row],[Std Read]]+Table1[[#This Row],[Std Ucty]])</f>
        <v>N/A</v>
      </c>
      <c r="Z24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1" s="1" t="str">
        <f>IF(Table1[[#This Row],[Spec Type]]="","N/A",Table1[[#This Row],[Spec Type]])</f>
        <v>±</v>
      </c>
      <c r="AC2401" s="1" t="str">
        <f>IF(Table1[[#This Row],[Spec Type2]]="N/A","N/A",IF(AND(Table1[[#This Row],[DUT Adj Read]]&gt;=Table1[[#This Row],[Low Tol]],Table1[[#This Row],[DUT Adj Read]]&lt;=Table1[[#This Row],[High Tol]]),"Pass","Fail"))</f>
        <v>Fail</v>
      </c>
      <c r="AD2401" s="1" t="str">
        <f>IF(AND(Table1[[#This Row],[Spec Type2]]="N/A",Table1[[#This Row],[DUT Adj Read]]="N/A",Table1[[#This Row],[Std Adj Read]]="N/A"),"N/A",IF(Table1[[#This Row],[DUT Adj Read]]="N/A",IF(Table1[[#This Row],[Std Adj Read]]&gt;Table1[[#This Row],[Low Tol]],"Pass","Fail"),IF(Table1[[#This Row],[DUT Adj Read]]&gt;Table1[[#This Row],[Low Tol]],"Pass","Fail")))</f>
        <v>Pass</v>
      </c>
      <c r="AE2401" s="1" t="str">
        <f>IF(AND(Table1[[#This Row],[Spec Type2]]="N/A",Table1[[#This Row],[DUT Adj Read]]="N/A",Table1[[#This Row],[Std Adj Read]]="N/A"),"N/A",IF(Table1[[#This Row],[DUT Adj Read]]="N/A",IF(Table1[[#This Row],[Std Adj Read]]&lt;Table1[[#This Row],[High Tol]],"Pass","Fail"),IF(Table1[[#This Row],[DUT Adj Read]]&lt;Table1[[#This Row],[High Tol]],"Pass","Fail")))</f>
        <v>Fail</v>
      </c>
      <c r="AF2401" s="1" t="str">
        <f>IF(AND(Table1[[#This Row],[Spec Type2]]="N/A",Table1[[#This Row],[DUT Adj Read]]="N/A",Table1[[#This Row],[Std Adj Read]]="N/A"),"N/A",IF(Table1[[#This Row],[DUT Adj Read]]="N/A",IF(Table1[[#This Row],[Std Adj Read]]&gt;=Table1[[#This Row],[Low Tol]],"Pass","Fail"),IF(Table1[[#This Row],[DUT Adj Read]]&gt;=Table1[[#This Row],[Low Tol]],"Pass","Fail")))</f>
        <v>Pass</v>
      </c>
      <c r="AG2401" s="1" t="str">
        <f>IF(AND(Table1[[#This Row],[Spec Type2]]="N/A",Table1[[#This Row],[DUT Adj Read]]="N/A",Table1[[#This Row],[Std Adj Read]]="N/A"),"N/A",IF(Table1[[#This Row],[DUT Adj Read]]="N/A",IF(Table1[[#This Row],[Std Adj Read]]&lt;=Table1[[#This Row],[High Tol]],"Pass","Fail"),IF(Table1[[#This Row],[DUT Adj Read]]&lt;=Table1[[#This Row],[High Tol]],"Pass","Fail")))</f>
        <v>Fail</v>
      </c>
      <c r="AH24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1" s="1" t="b">
        <v>0</v>
      </c>
      <c r="AN2401" s="1" t="b">
        <v>0</v>
      </c>
      <c r="AO2401" s="1" t="b">
        <v>0</v>
      </c>
    </row>
    <row r="2402" spans="1:41" x14ac:dyDescent="0.25">
      <c r="A2402" s="10"/>
      <c r="B2402" s="10"/>
      <c r="C2402" s="10"/>
      <c r="D2402" s="10"/>
      <c r="E2402" s="10"/>
      <c r="F2402" s="10"/>
      <c r="G2402" s="10"/>
      <c r="H2402" s="10"/>
      <c r="I2402" s="1" t="str">
        <f t="shared" si="111"/>
        <v/>
      </c>
      <c r="J2402" s="1" t="s">
        <v>35</v>
      </c>
      <c r="K2402" s="1" t="str">
        <f t="shared" si="112"/>
        <v/>
      </c>
      <c r="L2402" s="1" t="str">
        <f t="shared" si="113"/>
        <v/>
      </c>
      <c r="M2402" s="1">
        <f>IF(OR(Table1[[#This Row],[Std Nom]]="",Table1[[#This Row],[Std Read]]=""),0,Table1[[#This Row],[Std Nom]]-Table1[[#This Row],[Std Read]])</f>
        <v>0</v>
      </c>
      <c r="N2402" s="1">
        <f>IF(Calculations!$F$5="ACCREDITED 17025 WITH UNCERTAINTIES",$N$10,0)</f>
        <v>0</v>
      </c>
      <c r="O2402" s="1" t="str">
        <f>IFERROR(Table1[[#This Row],[Std Nom]]-(_xlfn.XLOOKUP(Table1[[#This Row],[Manufacturer]]&amp;" "&amp;Table1[[#This Row],[Model]],Table13[MFR &amp; MDL],Table13[Tolerance % CW ],"")/100*Table1[[#This Row],[Std Nom]]),"")</f>
        <v/>
      </c>
      <c r="P2402" s="1" t="str">
        <f>IFERROR(Table1[[#This Row],[Std Nom]]+(_xlfn.XLOOKUP(Table1[[#This Row],[Manufacturer]]&amp;" "&amp;Table1[[#This Row],[Model]],Table13[MFR &amp; MDL],Table13[Tolerance % CW ],"")/100*Table1[[#This Row],[Std Nom]]),"")</f>
        <v/>
      </c>
      <c r="Q2402" s="1" t="e">
        <f>Table1[[#This Row],[High Tol]]-Table1[[#This Row],[Low Tol]]</f>
        <v>#VALUE!</v>
      </c>
      <c r="R2402" s="1">
        <f>2*Table1[[#This Row],[Std Error]]</f>
        <v>0</v>
      </c>
      <c r="S2402" s="1" t="str">
        <f>IF(Table1[[#This Row],[High Tol]]="","N/A",IFERROR(ABS(Table1[[#This Row],[Tol Span]]/Table1[[#This Row],[Error Span]]),"N/A"))</f>
        <v>N/A</v>
      </c>
      <c r="T2402" s="1" t="str">
        <f>IF(OR(Table1[[#This Row],[Low Tol]]="",Table1[[#This Row],[High Tol]]=""),"Needs Analysis",IF(Table1[[#This Row],[Ratio]]&gt;=4,"Not Significant",IF(Table1[[#This Row],[Ratio]]&gt;=2,"Semi-Significant","Significant")))</f>
        <v>Needs Analysis</v>
      </c>
      <c r="W2402" s="1">
        <f>IF(Table1[[#This Row],[Cal Type]]&lt;&gt;"ACCREDITED 17025 WITH UNCERTAINTIES",0,"")</f>
        <v>0</v>
      </c>
      <c r="X2402" s="1" t="str">
        <f>IF(Table1[[#This Row],[DUT Read]]="","N/A",Table1[[#This Row],[Std Error]]+Table1[[#This Row],[DUT Read]]+Table1[[#This Row],[DUT Ucty]])</f>
        <v>N/A</v>
      </c>
      <c r="Y2402" s="1" t="str">
        <f>IF(Table1[[#This Row],[Std Read]]="","N/A",Table1[[#This Row],[Std Read]]+Table1[[#This Row],[Std Ucty]])</f>
        <v>N/A</v>
      </c>
      <c r="Z24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2" s="1" t="str">
        <f>IF(Table1[[#This Row],[Spec Type]]="","N/A",Table1[[#This Row],[Spec Type]])</f>
        <v>±</v>
      </c>
      <c r="AC2402" s="1" t="str">
        <f>IF(Table1[[#This Row],[Spec Type2]]="N/A","N/A",IF(AND(Table1[[#This Row],[DUT Adj Read]]&gt;=Table1[[#This Row],[Low Tol]],Table1[[#This Row],[DUT Adj Read]]&lt;=Table1[[#This Row],[High Tol]]),"Pass","Fail"))</f>
        <v>Fail</v>
      </c>
      <c r="AD2402" s="1" t="str">
        <f>IF(AND(Table1[[#This Row],[Spec Type2]]="N/A",Table1[[#This Row],[DUT Adj Read]]="N/A",Table1[[#This Row],[Std Adj Read]]="N/A"),"N/A",IF(Table1[[#This Row],[DUT Adj Read]]="N/A",IF(Table1[[#This Row],[Std Adj Read]]&gt;Table1[[#This Row],[Low Tol]],"Pass","Fail"),IF(Table1[[#This Row],[DUT Adj Read]]&gt;Table1[[#This Row],[Low Tol]],"Pass","Fail")))</f>
        <v>Pass</v>
      </c>
      <c r="AE2402" s="1" t="str">
        <f>IF(AND(Table1[[#This Row],[Spec Type2]]="N/A",Table1[[#This Row],[DUT Adj Read]]="N/A",Table1[[#This Row],[Std Adj Read]]="N/A"),"N/A",IF(Table1[[#This Row],[DUT Adj Read]]="N/A",IF(Table1[[#This Row],[Std Adj Read]]&lt;Table1[[#This Row],[High Tol]],"Pass","Fail"),IF(Table1[[#This Row],[DUT Adj Read]]&lt;Table1[[#This Row],[High Tol]],"Pass","Fail")))</f>
        <v>Fail</v>
      </c>
      <c r="AF2402" s="1" t="str">
        <f>IF(AND(Table1[[#This Row],[Spec Type2]]="N/A",Table1[[#This Row],[DUT Adj Read]]="N/A",Table1[[#This Row],[Std Adj Read]]="N/A"),"N/A",IF(Table1[[#This Row],[DUT Adj Read]]="N/A",IF(Table1[[#This Row],[Std Adj Read]]&gt;=Table1[[#This Row],[Low Tol]],"Pass","Fail"),IF(Table1[[#This Row],[DUT Adj Read]]&gt;=Table1[[#This Row],[Low Tol]],"Pass","Fail")))</f>
        <v>Pass</v>
      </c>
      <c r="AG2402" s="1" t="str">
        <f>IF(AND(Table1[[#This Row],[Spec Type2]]="N/A",Table1[[#This Row],[DUT Adj Read]]="N/A",Table1[[#This Row],[Std Adj Read]]="N/A"),"N/A",IF(Table1[[#This Row],[DUT Adj Read]]="N/A",IF(Table1[[#This Row],[Std Adj Read]]&lt;=Table1[[#This Row],[High Tol]],"Pass","Fail"),IF(Table1[[#This Row],[DUT Adj Read]]&lt;=Table1[[#This Row],[High Tol]],"Pass","Fail")))</f>
        <v>Fail</v>
      </c>
      <c r="AH24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2" s="1" t="b">
        <v>0</v>
      </c>
      <c r="AN2402" s="1" t="b">
        <v>0</v>
      </c>
      <c r="AO2402" s="1" t="b">
        <v>0</v>
      </c>
    </row>
    <row r="2403" spans="1:41" x14ac:dyDescent="0.25">
      <c r="A2403" s="10"/>
      <c r="B2403" s="10"/>
      <c r="C2403" s="10"/>
      <c r="D2403" s="10"/>
      <c r="E2403" s="10"/>
      <c r="F2403" s="10"/>
      <c r="G2403" s="10"/>
      <c r="H2403" s="10"/>
      <c r="I2403" s="1" t="str">
        <f t="shared" si="111"/>
        <v/>
      </c>
      <c r="J2403" s="1" t="s">
        <v>35</v>
      </c>
      <c r="K2403" s="1" t="str">
        <f t="shared" si="112"/>
        <v/>
      </c>
      <c r="L2403" s="1" t="str">
        <f t="shared" si="113"/>
        <v/>
      </c>
      <c r="M2403" s="1">
        <f>IF(OR(Table1[[#This Row],[Std Nom]]="",Table1[[#This Row],[Std Read]]=""),0,Table1[[#This Row],[Std Nom]]-Table1[[#This Row],[Std Read]])</f>
        <v>0</v>
      </c>
      <c r="N2403" s="1">
        <f>IF(Calculations!$F$5="ACCREDITED 17025 WITH UNCERTAINTIES",$N$10,0)</f>
        <v>0</v>
      </c>
      <c r="O2403" s="1" t="str">
        <f>IFERROR(Table1[[#This Row],[Std Nom]]-(_xlfn.XLOOKUP(Table1[[#This Row],[Manufacturer]]&amp;" "&amp;Table1[[#This Row],[Model]],Table13[MFR &amp; MDL],Table13[Tolerance % CW ],"")/100*Table1[[#This Row],[Std Nom]]),"")</f>
        <v/>
      </c>
      <c r="P2403" s="1" t="str">
        <f>IFERROR(Table1[[#This Row],[Std Nom]]+(_xlfn.XLOOKUP(Table1[[#This Row],[Manufacturer]]&amp;" "&amp;Table1[[#This Row],[Model]],Table13[MFR &amp; MDL],Table13[Tolerance % CW ],"")/100*Table1[[#This Row],[Std Nom]]),"")</f>
        <v/>
      </c>
      <c r="Q2403" s="1" t="e">
        <f>Table1[[#This Row],[High Tol]]-Table1[[#This Row],[Low Tol]]</f>
        <v>#VALUE!</v>
      </c>
      <c r="R2403" s="1">
        <f>2*Table1[[#This Row],[Std Error]]</f>
        <v>0</v>
      </c>
      <c r="S2403" s="1" t="str">
        <f>IF(Table1[[#This Row],[High Tol]]="","N/A",IFERROR(ABS(Table1[[#This Row],[Tol Span]]/Table1[[#This Row],[Error Span]]),"N/A"))</f>
        <v>N/A</v>
      </c>
      <c r="T2403" s="1" t="str">
        <f>IF(OR(Table1[[#This Row],[Low Tol]]="",Table1[[#This Row],[High Tol]]=""),"Needs Analysis",IF(Table1[[#This Row],[Ratio]]&gt;=4,"Not Significant",IF(Table1[[#This Row],[Ratio]]&gt;=2,"Semi-Significant","Significant")))</f>
        <v>Needs Analysis</v>
      </c>
      <c r="W2403" s="1">
        <f>IF(Table1[[#This Row],[Cal Type]]&lt;&gt;"ACCREDITED 17025 WITH UNCERTAINTIES",0,"")</f>
        <v>0</v>
      </c>
      <c r="X2403" s="1" t="str">
        <f>IF(Table1[[#This Row],[DUT Read]]="","N/A",Table1[[#This Row],[Std Error]]+Table1[[#This Row],[DUT Read]]+Table1[[#This Row],[DUT Ucty]])</f>
        <v>N/A</v>
      </c>
      <c r="Y2403" s="1" t="str">
        <f>IF(Table1[[#This Row],[Std Read]]="","N/A",Table1[[#This Row],[Std Read]]+Table1[[#This Row],[Std Ucty]])</f>
        <v>N/A</v>
      </c>
      <c r="Z24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3" s="1" t="str">
        <f>IF(Table1[[#This Row],[Spec Type]]="","N/A",Table1[[#This Row],[Spec Type]])</f>
        <v>±</v>
      </c>
      <c r="AC2403" s="1" t="str">
        <f>IF(Table1[[#This Row],[Spec Type2]]="N/A","N/A",IF(AND(Table1[[#This Row],[DUT Adj Read]]&gt;=Table1[[#This Row],[Low Tol]],Table1[[#This Row],[DUT Adj Read]]&lt;=Table1[[#This Row],[High Tol]]),"Pass","Fail"))</f>
        <v>Fail</v>
      </c>
      <c r="AD2403" s="1" t="str">
        <f>IF(AND(Table1[[#This Row],[Spec Type2]]="N/A",Table1[[#This Row],[DUT Adj Read]]="N/A",Table1[[#This Row],[Std Adj Read]]="N/A"),"N/A",IF(Table1[[#This Row],[DUT Adj Read]]="N/A",IF(Table1[[#This Row],[Std Adj Read]]&gt;Table1[[#This Row],[Low Tol]],"Pass","Fail"),IF(Table1[[#This Row],[DUT Adj Read]]&gt;Table1[[#This Row],[Low Tol]],"Pass","Fail")))</f>
        <v>Pass</v>
      </c>
      <c r="AE2403" s="1" t="str">
        <f>IF(AND(Table1[[#This Row],[Spec Type2]]="N/A",Table1[[#This Row],[DUT Adj Read]]="N/A",Table1[[#This Row],[Std Adj Read]]="N/A"),"N/A",IF(Table1[[#This Row],[DUT Adj Read]]="N/A",IF(Table1[[#This Row],[Std Adj Read]]&lt;Table1[[#This Row],[High Tol]],"Pass","Fail"),IF(Table1[[#This Row],[DUT Adj Read]]&lt;Table1[[#This Row],[High Tol]],"Pass","Fail")))</f>
        <v>Fail</v>
      </c>
      <c r="AF2403" s="1" t="str">
        <f>IF(AND(Table1[[#This Row],[Spec Type2]]="N/A",Table1[[#This Row],[DUT Adj Read]]="N/A",Table1[[#This Row],[Std Adj Read]]="N/A"),"N/A",IF(Table1[[#This Row],[DUT Adj Read]]="N/A",IF(Table1[[#This Row],[Std Adj Read]]&gt;=Table1[[#This Row],[Low Tol]],"Pass","Fail"),IF(Table1[[#This Row],[DUT Adj Read]]&gt;=Table1[[#This Row],[Low Tol]],"Pass","Fail")))</f>
        <v>Pass</v>
      </c>
      <c r="AG2403" s="1" t="str">
        <f>IF(AND(Table1[[#This Row],[Spec Type2]]="N/A",Table1[[#This Row],[DUT Adj Read]]="N/A",Table1[[#This Row],[Std Adj Read]]="N/A"),"N/A",IF(Table1[[#This Row],[DUT Adj Read]]="N/A",IF(Table1[[#This Row],[Std Adj Read]]&lt;=Table1[[#This Row],[High Tol]],"Pass","Fail"),IF(Table1[[#This Row],[DUT Adj Read]]&lt;=Table1[[#This Row],[High Tol]],"Pass","Fail")))</f>
        <v>Fail</v>
      </c>
      <c r="AH24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3" s="1" t="b">
        <v>0</v>
      </c>
      <c r="AN2403" s="1" t="b">
        <v>0</v>
      </c>
      <c r="AO2403" s="1" t="b">
        <v>0</v>
      </c>
    </row>
    <row r="2404" spans="1:41" x14ac:dyDescent="0.25">
      <c r="A2404" s="10"/>
      <c r="B2404" s="10"/>
      <c r="C2404" s="10"/>
      <c r="D2404" s="10"/>
      <c r="E2404" s="10"/>
      <c r="F2404" s="10"/>
      <c r="G2404" s="10"/>
      <c r="H2404" s="10"/>
      <c r="I2404" s="1" t="str">
        <f t="shared" si="111"/>
        <v/>
      </c>
      <c r="J2404" s="1" t="s">
        <v>35</v>
      </c>
      <c r="K2404" s="1" t="str">
        <f t="shared" si="112"/>
        <v/>
      </c>
      <c r="L2404" s="1" t="str">
        <f t="shared" si="113"/>
        <v/>
      </c>
      <c r="M2404" s="1">
        <f>IF(OR(Table1[[#This Row],[Std Nom]]="",Table1[[#This Row],[Std Read]]=""),0,Table1[[#This Row],[Std Nom]]-Table1[[#This Row],[Std Read]])</f>
        <v>0</v>
      </c>
      <c r="N2404" s="1">
        <f>IF(Calculations!$F$5="ACCREDITED 17025 WITH UNCERTAINTIES",$N$10,0)</f>
        <v>0</v>
      </c>
      <c r="O2404" s="1" t="str">
        <f>IFERROR(Table1[[#This Row],[Std Nom]]-(_xlfn.XLOOKUP(Table1[[#This Row],[Manufacturer]]&amp;" "&amp;Table1[[#This Row],[Model]],Table13[MFR &amp; MDL],Table13[Tolerance % CW ],"")/100*Table1[[#This Row],[Std Nom]]),"")</f>
        <v/>
      </c>
      <c r="P2404" s="1" t="str">
        <f>IFERROR(Table1[[#This Row],[Std Nom]]+(_xlfn.XLOOKUP(Table1[[#This Row],[Manufacturer]]&amp;" "&amp;Table1[[#This Row],[Model]],Table13[MFR &amp; MDL],Table13[Tolerance % CW ],"")/100*Table1[[#This Row],[Std Nom]]),"")</f>
        <v/>
      </c>
      <c r="Q2404" s="1" t="e">
        <f>Table1[[#This Row],[High Tol]]-Table1[[#This Row],[Low Tol]]</f>
        <v>#VALUE!</v>
      </c>
      <c r="R2404" s="1">
        <f>2*Table1[[#This Row],[Std Error]]</f>
        <v>0</v>
      </c>
      <c r="S2404" s="1" t="str">
        <f>IF(Table1[[#This Row],[High Tol]]="","N/A",IFERROR(ABS(Table1[[#This Row],[Tol Span]]/Table1[[#This Row],[Error Span]]),"N/A"))</f>
        <v>N/A</v>
      </c>
      <c r="T2404" s="1" t="str">
        <f>IF(OR(Table1[[#This Row],[Low Tol]]="",Table1[[#This Row],[High Tol]]=""),"Needs Analysis",IF(Table1[[#This Row],[Ratio]]&gt;=4,"Not Significant",IF(Table1[[#This Row],[Ratio]]&gt;=2,"Semi-Significant","Significant")))</f>
        <v>Needs Analysis</v>
      </c>
      <c r="W2404" s="1">
        <f>IF(Table1[[#This Row],[Cal Type]]&lt;&gt;"ACCREDITED 17025 WITH UNCERTAINTIES",0,"")</f>
        <v>0</v>
      </c>
      <c r="X2404" s="1" t="str">
        <f>IF(Table1[[#This Row],[DUT Read]]="","N/A",Table1[[#This Row],[Std Error]]+Table1[[#This Row],[DUT Read]]+Table1[[#This Row],[DUT Ucty]])</f>
        <v>N/A</v>
      </c>
      <c r="Y2404" s="1" t="str">
        <f>IF(Table1[[#This Row],[Std Read]]="","N/A",Table1[[#This Row],[Std Read]]+Table1[[#This Row],[Std Ucty]])</f>
        <v>N/A</v>
      </c>
      <c r="Z24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4" s="1" t="str">
        <f>IF(Table1[[#This Row],[Spec Type]]="","N/A",Table1[[#This Row],[Spec Type]])</f>
        <v>±</v>
      </c>
      <c r="AC2404" s="1" t="str">
        <f>IF(Table1[[#This Row],[Spec Type2]]="N/A","N/A",IF(AND(Table1[[#This Row],[DUT Adj Read]]&gt;=Table1[[#This Row],[Low Tol]],Table1[[#This Row],[DUT Adj Read]]&lt;=Table1[[#This Row],[High Tol]]),"Pass","Fail"))</f>
        <v>Fail</v>
      </c>
      <c r="AD2404" s="1" t="str">
        <f>IF(AND(Table1[[#This Row],[Spec Type2]]="N/A",Table1[[#This Row],[DUT Adj Read]]="N/A",Table1[[#This Row],[Std Adj Read]]="N/A"),"N/A",IF(Table1[[#This Row],[DUT Adj Read]]="N/A",IF(Table1[[#This Row],[Std Adj Read]]&gt;Table1[[#This Row],[Low Tol]],"Pass","Fail"),IF(Table1[[#This Row],[DUT Adj Read]]&gt;Table1[[#This Row],[Low Tol]],"Pass","Fail")))</f>
        <v>Pass</v>
      </c>
      <c r="AE2404" s="1" t="str">
        <f>IF(AND(Table1[[#This Row],[Spec Type2]]="N/A",Table1[[#This Row],[DUT Adj Read]]="N/A",Table1[[#This Row],[Std Adj Read]]="N/A"),"N/A",IF(Table1[[#This Row],[DUT Adj Read]]="N/A",IF(Table1[[#This Row],[Std Adj Read]]&lt;Table1[[#This Row],[High Tol]],"Pass","Fail"),IF(Table1[[#This Row],[DUT Adj Read]]&lt;Table1[[#This Row],[High Tol]],"Pass","Fail")))</f>
        <v>Fail</v>
      </c>
      <c r="AF2404" s="1" t="str">
        <f>IF(AND(Table1[[#This Row],[Spec Type2]]="N/A",Table1[[#This Row],[DUT Adj Read]]="N/A",Table1[[#This Row],[Std Adj Read]]="N/A"),"N/A",IF(Table1[[#This Row],[DUT Adj Read]]="N/A",IF(Table1[[#This Row],[Std Adj Read]]&gt;=Table1[[#This Row],[Low Tol]],"Pass","Fail"),IF(Table1[[#This Row],[DUT Adj Read]]&gt;=Table1[[#This Row],[Low Tol]],"Pass","Fail")))</f>
        <v>Pass</v>
      </c>
      <c r="AG2404" s="1" t="str">
        <f>IF(AND(Table1[[#This Row],[Spec Type2]]="N/A",Table1[[#This Row],[DUT Adj Read]]="N/A",Table1[[#This Row],[Std Adj Read]]="N/A"),"N/A",IF(Table1[[#This Row],[DUT Adj Read]]="N/A",IF(Table1[[#This Row],[Std Adj Read]]&lt;=Table1[[#This Row],[High Tol]],"Pass","Fail"),IF(Table1[[#This Row],[DUT Adj Read]]&lt;=Table1[[#This Row],[High Tol]],"Pass","Fail")))</f>
        <v>Fail</v>
      </c>
      <c r="AH24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4" s="1" t="b">
        <v>0</v>
      </c>
      <c r="AN2404" s="1" t="b">
        <v>0</v>
      </c>
      <c r="AO2404" s="1" t="b">
        <v>0</v>
      </c>
    </row>
    <row r="2405" spans="1:41" x14ac:dyDescent="0.25">
      <c r="A2405" s="10"/>
      <c r="B2405" s="10"/>
      <c r="C2405" s="10"/>
      <c r="D2405" s="10"/>
      <c r="E2405" s="10"/>
      <c r="F2405" s="10"/>
      <c r="G2405" s="10"/>
      <c r="H2405" s="10"/>
      <c r="I2405" s="1" t="str">
        <f t="shared" si="111"/>
        <v/>
      </c>
      <c r="J2405" s="1" t="s">
        <v>35</v>
      </c>
      <c r="K2405" s="1" t="str">
        <f t="shared" si="112"/>
        <v/>
      </c>
      <c r="L2405" s="1" t="str">
        <f t="shared" si="113"/>
        <v/>
      </c>
      <c r="M2405" s="1">
        <f>IF(OR(Table1[[#This Row],[Std Nom]]="",Table1[[#This Row],[Std Read]]=""),0,Table1[[#This Row],[Std Nom]]-Table1[[#This Row],[Std Read]])</f>
        <v>0</v>
      </c>
      <c r="N2405" s="1">
        <f>IF(Calculations!$F$5="ACCREDITED 17025 WITH UNCERTAINTIES",$N$10,0)</f>
        <v>0</v>
      </c>
      <c r="O2405" s="1" t="str">
        <f>IFERROR(Table1[[#This Row],[Std Nom]]-(_xlfn.XLOOKUP(Table1[[#This Row],[Manufacturer]]&amp;" "&amp;Table1[[#This Row],[Model]],Table13[MFR &amp; MDL],Table13[Tolerance % CW ],"")/100*Table1[[#This Row],[Std Nom]]),"")</f>
        <v/>
      </c>
      <c r="P2405" s="1" t="str">
        <f>IFERROR(Table1[[#This Row],[Std Nom]]+(_xlfn.XLOOKUP(Table1[[#This Row],[Manufacturer]]&amp;" "&amp;Table1[[#This Row],[Model]],Table13[MFR &amp; MDL],Table13[Tolerance % CW ],"")/100*Table1[[#This Row],[Std Nom]]),"")</f>
        <v/>
      </c>
      <c r="Q2405" s="1" t="e">
        <f>Table1[[#This Row],[High Tol]]-Table1[[#This Row],[Low Tol]]</f>
        <v>#VALUE!</v>
      </c>
      <c r="R2405" s="1">
        <f>2*Table1[[#This Row],[Std Error]]</f>
        <v>0</v>
      </c>
      <c r="S2405" s="1" t="str">
        <f>IF(Table1[[#This Row],[High Tol]]="","N/A",IFERROR(ABS(Table1[[#This Row],[Tol Span]]/Table1[[#This Row],[Error Span]]),"N/A"))</f>
        <v>N/A</v>
      </c>
      <c r="T2405" s="1" t="str">
        <f>IF(OR(Table1[[#This Row],[Low Tol]]="",Table1[[#This Row],[High Tol]]=""),"Needs Analysis",IF(Table1[[#This Row],[Ratio]]&gt;=4,"Not Significant",IF(Table1[[#This Row],[Ratio]]&gt;=2,"Semi-Significant","Significant")))</f>
        <v>Needs Analysis</v>
      </c>
      <c r="W2405" s="1">
        <f>IF(Table1[[#This Row],[Cal Type]]&lt;&gt;"ACCREDITED 17025 WITH UNCERTAINTIES",0,"")</f>
        <v>0</v>
      </c>
      <c r="X2405" s="1" t="str">
        <f>IF(Table1[[#This Row],[DUT Read]]="","N/A",Table1[[#This Row],[Std Error]]+Table1[[#This Row],[DUT Read]]+Table1[[#This Row],[DUT Ucty]])</f>
        <v>N/A</v>
      </c>
      <c r="Y2405" s="1" t="str">
        <f>IF(Table1[[#This Row],[Std Read]]="","N/A",Table1[[#This Row],[Std Read]]+Table1[[#This Row],[Std Ucty]])</f>
        <v>N/A</v>
      </c>
      <c r="Z24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5" s="1" t="str">
        <f>IF(Table1[[#This Row],[Spec Type]]="","N/A",Table1[[#This Row],[Spec Type]])</f>
        <v>±</v>
      </c>
      <c r="AC2405" s="1" t="str">
        <f>IF(Table1[[#This Row],[Spec Type2]]="N/A","N/A",IF(AND(Table1[[#This Row],[DUT Adj Read]]&gt;=Table1[[#This Row],[Low Tol]],Table1[[#This Row],[DUT Adj Read]]&lt;=Table1[[#This Row],[High Tol]]),"Pass","Fail"))</f>
        <v>Fail</v>
      </c>
      <c r="AD2405" s="1" t="str">
        <f>IF(AND(Table1[[#This Row],[Spec Type2]]="N/A",Table1[[#This Row],[DUT Adj Read]]="N/A",Table1[[#This Row],[Std Adj Read]]="N/A"),"N/A",IF(Table1[[#This Row],[DUT Adj Read]]="N/A",IF(Table1[[#This Row],[Std Adj Read]]&gt;Table1[[#This Row],[Low Tol]],"Pass","Fail"),IF(Table1[[#This Row],[DUT Adj Read]]&gt;Table1[[#This Row],[Low Tol]],"Pass","Fail")))</f>
        <v>Pass</v>
      </c>
      <c r="AE2405" s="1" t="str">
        <f>IF(AND(Table1[[#This Row],[Spec Type2]]="N/A",Table1[[#This Row],[DUT Adj Read]]="N/A",Table1[[#This Row],[Std Adj Read]]="N/A"),"N/A",IF(Table1[[#This Row],[DUT Adj Read]]="N/A",IF(Table1[[#This Row],[Std Adj Read]]&lt;Table1[[#This Row],[High Tol]],"Pass","Fail"),IF(Table1[[#This Row],[DUT Adj Read]]&lt;Table1[[#This Row],[High Tol]],"Pass","Fail")))</f>
        <v>Fail</v>
      </c>
      <c r="AF2405" s="1" t="str">
        <f>IF(AND(Table1[[#This Row],[Spec Type2]]="N/A",Table1[[#This Row],[DUT Adj Read]]="N/A",Table1[[#This Row],[Std Adj Read]]="N/A"),"N/A",IF(Table1[[#This Row],[DUT Adj Read]]="N/A",IF(Table1[[#This Row],[Std Adj Read]]&gt;=Table1[[#This Row],[Low Tol]],"Pass","Fail"),IF(Table1[[#This Row],[DUT Adj Read]]&gt;=Table1[[#This Row],[Low Tol]],"Pass","Fail")))</f>
        <v>Pass</v>
      </c>
      <c r="AG2405" s="1" t="str">
        <f>IF(AND(Table1[[#This Row],[Spec Type2]]="N/A",Table1[[#This Row],[DUT Adj Read]]="N/A",Table1[[#This Row],[Std Adj Read]]="N/A"),"N/A",IF(Table1[[#This Row],[DUT Adj Read]]="N/A",IF(Table1[[#This Row],[Std Adj Read]]&lt;=Table1[[#This Row],[High Tol]],"Pass","Fail"),IF(Table1[[#This Row],[DUT Adj Read]]&lt;=Table1[[#This Row],[High Tol]],"Pass","Fail")))</f>
        <v>Fail</v>
      </c>
      <c r="AH24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5" s="1" t="b">
        <v>0</v>
      </c>
      <c r="AN2405" s="1" t="b">
        <v>0</v>
      </c>
      <c r="AO2405" s="1" t="b">
        <v>0</v>
      </c>
    </row>
    <row r="2406" spans="1:41" x14ac:dyDescent="0.25">
      <c r="A2406" s="10"/>
      <c r="B2406" s="10"/>
      <c r="C2406" s="10"/>
      <c r="D2406" s="10"/>
      <c r="E2406" s="10"/>
      <c r="F2406" s="10"/>
      <c r="G2406" s="10"/>
      <c r="H2406" s="10"/>
      <c r="I2406" s="1" t="str">
        <f t="shared" si="111"/>
        <v/>
      </c>
      <c r="J2406" s="1" t="s">
        <v>35</v>
      </c>
      <c r="K2406" s="1" t="str">
        <f t="shared" si="112"/>
        <v/>
      </c>
      <c r="L2406" s="1" t="str">
        <f t="shared" si="113"/>
        <v/>
      </c>
      <c r="M2406" s="1">
        <f>IF(OR(Table1[[#This Row],[Std Nom]]="",Table1[[#This Row],[Std Read]]=""),0,Table1[[#This Row],[Std Nom]]-Table1[[#This Row],[Std Read]])</f>
        <v>0</v>
      </c>
      <c r="N2406" s="1">
        <f>IF(Calculations!$F$5="ACCREDITED 17025 WITH UNCERTAINTIES",$N$10,0)</f>
        <v>0</v>
      </c>
      <c r="O2406" s="1" t="str">
        <f>IFERROR(Table1[[#This Row],[Std Nom]]-(_xlfn.XLOOKUP(Table1[[#This Row],[Manufacturer]]&amp;" "&amp;Table1[[#This Row],[Model]],Table13[MFR &amp; MDL],Table13[Tolerance % CW ],"")/100*Table1[[#This Row],[Std Nom]]),"")</f>
        <v/>
      </c>
      <c r="P2406" s="1" t="str">
        <f>IFERROR(Table1[[#This Row],[Std Nom]]+(_xlfn.XLOOKUP(Table1[[#This Row],[Manufacturer]]&amp;" "&amp;Table1[[#This Row],[Model]],Table13[MFR &amp; MDL],Table13[Tolerance % CW ],"")/100*Table1[[#This Row],[Std Nom]]),"")</f>
        <v/>
      </c>
      <c r="Q2406" s="1" t="e">
        <f>Table1[[#This Row],[High Tol]]-Table1[[#This Row],[Low Tol]]</f>
        <v>#VALUE!</v>
      </c>
      <c r="R2406" s="1">
        <f>2*Table1[[#This Row],[Std Error]]</f>
        <v>0</v>
      </c>
      <c r="S2406" s="1" t="str">
        <f>IF(Table1[[#This Row],[High Tol]]="","N/A",IFERROR(ABS(Table1[[#This Row],[Tol Span]]/Table1[[#This Row],[Error Span]]),"N/A"))</f>
        <v>N/A</v>
      </c>
      <c r="T2406" s="1" t="str">
        <f>IF(OR(Table1[[#This Row],[Low Tol]]="",Table1[[#This Row],[High Tol]]=""),"Needs Analysis",IF(Table1[[#This Row],[Ratio]]&gt;=4,"Not Significant",IF(Table1[[#This Row],[Ratio]]&gt;=2,"Semi-Significant","Significant")))</f>
        <v>Needs Analysis</v>
      </c>
      <c r="W2406" s="1">
        <f>IF(Table1[[#This Row],[Cal Type]]&lt;&gt;"ACCREDITED 17025 WITH UNCERTAINTIES",0,"")</f>
        <v>0</v>
      </c>
      <c r="X2406" s="1" t="str">
        <f>IF(Table1[[#This Row],[DUT Read]]="","N/A",Table1[[#This Row],[Std Error]]+Table1[[#This Row],[DUT Read]]+Table1[[#This Row],[DUT Ucty]])</f>
        <v>N/A</v>
      </c>
      <c r="Y2406" s="1" t="str">
        <f>IF(Table1[[#This Row],[Std Read]]="","N/A",Table1[[#This Row],[Std Read]]+Table1[[#This Row],[Std Ucty]])</f>
        <v>N/A</v>
      </c>
      <c r="Z24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6" s="1" t="str">
        <f>IF(Table1[[#This Row],[Spec Type]]="","N/A",Table1[[#This Row],[Spec Type]])</f>
        <v>±</v>
      </c>
      <c r="AC2406" s="1" t="str">
        <f>IF(Table1[[#This Row],[Spec Type2]]="N/A","N/A",IF(AND(Table1[[#This Row],[DUT Adj Read]]&gt;=Table1[[#This Row],[Low Tol]],Table1[[#This Row],[DUT Adj Read]]&lt;=Table1[[#This Row],[High Tol]]),"Pass","Fail"))</f>
        <v>Fail</v>
      </c>
      <c r="AD2406" s="1" t="str">
        <f>IF(AND(Table1[[#This Row],[Spec Type2]]="N/A",Table1[[#This Row],[DUT Adj Read]]="N/A",Table1[[#This Row],[Std Adj Read]]="N/A"),"N/A",IF(Table1[[#This Row],[DUT Adj Read]]="N/A",IF(Table1[[#This Row],[Std Adj Read]]&gt;Table1[[#This Row],[Low Tol]],"Pass","Fail"),IF(Table1[[#This Row],[DUT Adj Read]]&gt;Table1[[#This Row],[Low Tol]],"Pass","Fail")))</f>
        <v>Pass</v>
      </c>
      <c r="AE2406" s="1" t="str">
        <f>IF(AND(Table1[[#This Row],[Spec Type2]]="N/A",Table1[[#This Row],[DUT Adj Read]]="N/A",Table1[[#This Row],[Std Adj Read]]="N/A"),"N/A",IF(Table1[[#This Row],[DUT Adj Read]]="N/A",IF(Table1[[#This Row],[Std Adj Read]]&lt;Table1[[#This Row],[High Tol]],"Pass","Fail"),IF(Table1[[#This Row],[DUT Adj Read]]&lt;Table1[[#This Row],[High Tol]],"Pass","Fail")))</f>
        <v>Fail</v>
      </c>
      <c r="AF2406" s="1" t="str">
        <f>IF(AND(Table1[[#This Row],[Spec Type2]]="N/A",Table1[[#This Row],[DUT Adj Read]]="N/A",Table1[[#This Row],[Std Adj Read]]="N/A"),"N/A",IF(Table1[[#This Row],[DUT Adj Read]]="N/A",IF(Table1[[#This Row],[Std Adj Read]]&gt;=Table1[[#This Row],[Low Tol]],"Pass","Fail"),IF(Table1[[#This Row],[DUT Adj Read]]&gt;=Table1[[#This Row],[Low Tol]],"Pass","Fail")))</f>
        <v>Pass</v>
      </c>
      <c r="AG2406" s="1" t="str">
        <f>IF(AND(Table1[[#This Row],[Spec Type2]]="N/A",Table1[[#This Row],[DUT Adj Read]]="N/A",Table1[[#This Row],[Std Adj Read]]="N/A"),"N/A",IF(Table1[[#This Row],[DUT Adj Read]]="N/A",IF(Table1[[#This Row],[Std Adj Read]]&lt;=Table1[[#This Row],[High Tol]],"Pass","Fail"),IF(Table1[[#This Row],[DUT Adj Read]]&lt;=Table1[[#This Row],[High Tol]],"Pass","Fail")))</f>
        <v>Fail</v>
      </c>
      <c r="AH24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6" s="1" t="b">
        <v>0</v>
      </c>
      <c r="AN2406" s="1" t="b">
        <v>0</v>
      </c>
      <c r="AO2406" s="1" t="b">
        <v>0</v>
      </c>
    </row>
    <row r="2407" spans="1:41" x14ac:dyDescent="0.25">
      <c r="A2407" s="10"/>
      <c r="B2407" s="10"/>
      <c r="C2407" s="10"/>
      <c r="D2407" s="10"/>
      <c r="E2407" s="10"/>
      <c r="F2407" s="10"/>
      <c r="G2407" s="10"/>
      <c r="H2407" s="10"/>
      <c r="I2407" s="1" t="str">
        <f t="shared" si="111"/>
        <v/>
      </c>
      <c r="J2407" s="1" t="s">
        <v>35</v>
      </c>
      <c r="K2407" s="1" t="str">
        <f t="shared" si="112"/>
        <v/>
      </c>
      <c r="L2407" s="1" t="str">
        <f t="shared" si="113"/>
        <v/>
      </c>
      <c r="M2407" s="1">
        <f>IF(OR(Table1[[#This Row],[Std Nom]]="",Table1[[#This Row],[Std Read]]=""),0,Table1[[#This Row],[Std Nom]]-Table1[[#This Row],[Std Read]])</f>
        <v>0</v>
      </c>
      <c r="N2407" s="1">
        <f>IF(Calculations!$F$5="ACCREDITED 17025 WITH UNCERTAINTIES",$N$10,0)</f>
        <v>0</v>
      </c>
      <c r="O2407" s="1" t="str">
        <f>IFERROR(Table1[[#This Row],[Std Nom]]-(_xlfn.XLOOKUP(Table1[[#This Row],[Manufacturer]]&amp;" "&amp;Table1[[#This Row],[Model]],Table13[MFR &amp; MDL],Table13[Tolerance % CW ],"")/100*Table1[[#This Row],[Std Nom]]),"")</f>
        <v/>
      </c>
      <c r="P2407" s="1" t="str">
        <f>IFERROR(Table1[[#This Row],[Std Nom]]+(_xlfn.XLOOKUP(Table1[[#This Row],[Manufacturer]]&amp;" "&amp;Table1[[#This Row],[Model]],Table13[MFR &amp; MDL],Table13[Tolerance % CW ],"")/100*Table1[[#This Row],[Std Nom]]),"")</f>
        <v/>
      </c>
      <c r="Q2407" s="1" t="e">
        <f>Table1[[#This Row],[High Tol]]-Table1[[#This Row],[Low Tol]]</f>
        <v>#VALUE!</v>
      </c>
      <c r="R2407" s="1">
        <f>2*Table1[[#This Row],[Std Error]]</f>
        <v>0</v>
      </c>
      <c r="S2407" s="1" t="str">
        <f>IF(Table1[[#This Row],[High Tol]]="","N/A",IFERROR(ABS(Table1[[#This Row],[Tol Span]]/Table1[[#This Row],[Error Span]]),"N/A"))</f>
        <v>N/A</v>
      </c>
      <c r="T2407" s="1" t="str">
        <f>IF(OR(Table1[[#This Row],[Low Tol]]="",Table1[[#This Row],[High Tol]]=""),"Needs Analysis",IF(Table1[[#This Row],[Ratio]]&gt;=4,"Not Significant",IF(Table1[[#This Row],[Ratio]]&gt;=2,"Semi-Significant","Significant")))</f>
        <v>Needs Analysis</v>
      </c>
      <c r="W2407" s="1">
        <f>IF(Table1[[#This Row],[Cal Type]]&lt;&gt;"ACCREDITED 17025 WITH UNCERTAINTIES",0,"")</f>
        <v>0</v>
      </c>
      <c r="X2407" s="1" t="str">
        <f>IF(Table1[[#This Row],[DUT Read]]="","N/A",Table1[[#This Row],[Std Error]]+Table1[[#This Row],[DUT Read]]+Table1[[#This Row],[DUT Ucty]])</f>
        <v>N/A</v>
      </c>
      <c r="Y2407" s="1" t="str">
        <f>IF(Table1[[#This Row],[Std Read]]="","N/A",Table1[[#This Row],[Std Read]]+Table1[[#This Row],[Std Ucty]])</f>
        <v>N/A</v>
      </c>
      <c r="Z24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7" s="1" t="str">
        <f>IF(Table1[[#This Row],[Spec Type]]="","N/A",Table1[[#This Row],[Spec Type]])</f>
        <v>±</v>
      </c>
      <c r="AC2407" s="1" t="str">
        <f>IF(Table1[[#This Row],[Spec Type2]]="N/A","N/A",IF(AND(Table1[[#This Row],[DUT Adj Read]]&gt;=Table1[[#This Row],[Low Tol]],Table1[[#This Row],[DUT Adj Read]]&lt;=Table1[[#This Row],[High Tol]]),"Pass","Fail"))</f>
        <v>Fail</v>
      </c>
      <c r="AD2407" s="1" t="str">
        <f>IF(AND(Table1[[#This Row],[Spec Type2]]="N/A",Table1[[#This Row],[DUT Adj Read]]="N/A",Table1[[#This Row],[Std Adj Read]]="N/A"),"N/A",IF(Table1[[#This Row],[DUT Adj Read]]="N/A",IF(Table1[[#This Row],[Std Adj Read]]&gt;Table1[[#This Row],[Low Tol]],"Pass","Fail"),IF(Table1[[#This Row],[DUT Adj Read]]&gt;Table1[[#This Row],[Low Tol]],"Pass","Fail")))</f>
        <v>Pass</v>
      </c>
      <c r="AE2407" s="1" t="str">
        <f>IF(AND(Table1[[#This Row],[Spec Type2]]="N/A",Table1[[#This Row],[DUT Adj Read]]="N/A",Table1[[#This Row],[Std Adj Read]]="N/A"),"N/A",IF(Table1[[#This Row],[DUT Adj Read]]="N/A",IF(Table1[[#This Row],[Std Adj Read]]&lt;Table1[[#This Row],[High Tol]],"Pass","Fail"),IF(Table1[[#This Row],[DUT Adj Read]]&lt;Table1[[#This Row],[High Tol]],"Pass","Fail")))</f>
        <v>Fail</v>
      </c>
      <c r="AF2407" s="1" t="str">
        <f>IF(AND(Table1[[#This Row],[Spec Type2]]="N/A",Table1[[#This Row],[DUT Adj Read]]="N/A",Table1[[#This Row],[Std Adj Read]]="N/A"),"N/A",IF(Table1[[#This Row],[DUT Adj Read]]="N/A",IF(Table1[[#This Row],[Std Adj Read]]&gt;=Table1[[#This Row],[Low Tol]],"Pass","Fail"),IF(Table1[[#This Row],[DUT Adj Read]]&gt;=Table1[[#This Row],[Low Tol]],"Pass","Fail")))</f>
        <v>Pass</v>
      </c>
      <c r="AG2407" s="1" t="str">
        <f>IF(AND(Table1[[#This Row],[Spec Type2]]="N/A",Table1[[#This Row],[DUT Adj Read]]="N/A",Table1[[#This Row],[Std Adj Read]]="N/A"),"N/A",IF(Table1[[#This Row],[DUT Adj Read]]="N/A",IF(Table1[[#This Row],[Std Adj Read]]&lt;=Table1[[#This Row],[High Tol]],"Pass","Fail"),IF(Table1[[#This Row],[DUT Adj Read]]&lt;=Table1[[#This Row],[High Tol]],"Pass","Fail")))</f>
        <v>Fail</v>
      </c>
      <c r="AH24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7" s="1" t="b">
        <v>0</v>
      </c>
      <c r="AN2407" s="1" t="b">
        <v>0</v>
      </c>
      <c r="AO2407" s="1" t="b">
        <v>0</v>
      </c>
    </row>
    <row r="2408" spans="1:41" x14ac:dyDescent="0.25">
      <c r="A2408" s="10"/>
      <c r="B2408" s="10"/>
      <c r="C2408" s="10"/>
      <c r="D2408" s="10"/>
      <c r="E2408" s="10"/>
      <c r="F2408" s="10"/>
      <c r="G2408" s="10"/>
      <c r="H2408" s="10"/>
      <c r="I2408" s="1" t="str">
        <f t="shared" si="111"/>
        <v/>
      </c>
      <c r="J2408" s="1" t="s">
        <v>35</v>
      </c>
      <c r="K2408" s="1" t="str">
        <f t="shared" si="112"/>
        <v/>
      </c>
      <c r="L2408" s="1" t="str">
        <f t="shared" si="113"/>
        <v/>
      </c>
      <c r="M2408" s="1">
        <f>IF(OR(Table1[[#This Row],[Std Nom]]="",Table1[[#This Row],[Std Read]]=""),0,Table1[[#This Row],[Std Nom]]-Table1[[#This Row],[Std Read]])</f>
        <v>0</v>
      </c>
      <c r="N2408" s="1">
        <f>IF(Calculations!$F$5="ACCREDITED 17025 WITH UNCERTAINTIES",$N$10,0)</f>
        <v>0</v>
      </c>
      <c r="O2408" s="1" t="str">
        <f>IFERROR(Table1[[#This Row],[Std Nom]]-(_xlfn.XLOOKUP(Table1[[#This Row],[Manufacturer]]&amp;" "&amp;Table1[[#This Row],[Model]],Table13[MFR &amp; MDL],Table13[Tolerance % CW ],"")/100*Table1[[#This Row],[Std Nom]]),"")</f>
        <v/>
      </c>
      <c r="P2408" s="1" t="str">
        <f>IFERROR(Table1[[#This Row],[Std Nom]]+(_xlfn.XLOOKUP(Table1[[#This Row],[Manufacturer]]&amp;" "&amp;Table1[[#This Row],[Model]],Table13[MFR &amp; MDL],Table13[Tolerance % CW ],"")/100*Table1[[#This Row],[Std Nom]]),"")</f>
        <v/>
      </c>
      <c r="Q2408" s="1" t="e">
        <f>Table1[[#This Row],[High Tol]]-Table1[[#This Row],[Low Tol]]</f>
        <v>#VALUE!</v>
      </c>
      <c r="R2408" s="1">
        <f>2*Table1[[#This Row],[Std Error]]</f>
        <v>0</v>
      </c>
      <c r="S2408" s="1" t="str">
        <f>IF(Table1[[#This Row],[High Tol]]="","N/A",IFERROR(ABS(Table1[[#This Row],[Tol Span]]/Table1[[#This Row],[Error Span]]),"N/A"))</f>
        <v>N/A</v>
      </c>
      <c r="T2408" s="1" t="str">
        <f>IF(OR(Table1[[#This Row],[Low Tol]]="",Table1[[#This Row],[High Tol]]=""),"Needs Analysis",IF(Table1[[#This Row],[Ratio]]&gt;=4,"Not Significant",IF(Table1[[#This Row],[Ratio]]&gt;=2,"Semi-Significant","Significant")))</f>
        <v>Needs Analysis</v>
      </c>
      <c r="W2408" s="1">
        <f>IF(Table1[[#This Row],[Cal Type]]&lt;&gt;"ACCREDITED 17025 WITH UNCERTAINTIES",0,"")</f>
        <v>0</v>
      </c>
      <c r="X2408" s="1" t="str">
        <f>IF(Table1[[#This Row],[DUT Read]]="","N/A",Table1[[#This Row],[Std Error]]+Table1[[#This Row],[DUT Read]]+Table1[[#This Row],[DUT Ucty]])</f>
        <v>N/A</v>
      </c>
      <c r="Y2408" s="1" t="str">
        <f>IF(Table1[[#This Row],[Std Read]]="","N/A",Table1[[#This Row],[Std Read]]+Table1[[#This Row],[Std Ucty]])</f>
        <v>N/A</v>
      </c>
      <c r="Z24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8" s="1" t="str">
        <f>IF(Table1[[#This Row],[Spec Type]]="","N/A",Table1[[#This Row],[Spec Type]])</f>
        <v>±</v>
      </c>
      <c r="AC2408" s="1" t="str">
        <f>IF(Table1[[#This Row],[Spec Type2]]="N/A","N/A",IF(AND(Table1[[#This Row],[DUT Adj Read]]&gt;=Table1[[#This Row],[Low Tol]],Table1[[#This Row],[DUT Adj Read]]&lt;=Table1[[#This Row],[High Tol]]),"Pass","Fail"))</f>
        <v>Fail</v>
      </c>
      <c r="AD2408" s="1" t="str">
        <f>IF(AND(Table1[[#This Row],[Spec Type2]]="N/A",Table1[[#This Row],[DUT Adj Read]]="N/A",Table1[[#This Row],[Std Adj Read]]="N/A"),"N/A",IF(Table1[[#This Row],[DUT Adj Read]]="N/A",IF(Table1[[#This Row],[Std Adj Read]]&gt;Table1[[#This Row],[Low Tol]],"Pass","Fail"),IF(Table1[[#This Row],[DUT Adj Read]]&gt;Table1[[#This Row],[Low Tol]],"Pass","Fail")))</f>
        <v>Pass</v>
      </c>
      <c r="AE2408" s="1" t="str">
        <f>IF(AND(Table1[[#This Row],[Spec Type2]]="N/A",Table1[[#This Row],[DUT Adj Read]]="N/A",Table1[[#This Row],[Std Adj Read]]="N/A"),"N/A",IF(Table1[[#This Row],[DUT Adj Read]]="N/A",IF(Table1[[#This Row],[Std Adj Read]]&lt;Table1[[#This Row],[High Tol]],"Pass","Fail"),IF(Table1[[#This Row],[DUT Adj Read]]&lt;Table1[[#This Row],[High Tol]],"Pass","Fail")))</f>
        <v>Fail</v>
      </c>
      <c r="AF2408" s="1" t="str">
        <f>IF(AND(Table1[[#This Row],[Spec Type2]]="N/A",Table1[[#This Row],[DUT Adj Read]]="N/A",Table1[[#This Row],[Std Adj Read]]="N/A"),"N/A",IF(Table1[[#This Row],[DUT Adj Read]]="N/A",IF(Table1[[#This Row],[Std Adj Read]]&gt;=Table1[[#This Row],[Low Tol]],"Pass","Fail"),IF(Table1[[#This Row],[DUT Adj Read]]&gt;=Table1[[#This Row],[Low Tol]],"Pass","Fail")))</f>
        <v>Pass</v>
      </c>
      <c r="AG2408" s="1" t="str">
        <f>IF(AND(Table1[[#This Row],[Spec Type2]]="N/A",Table1[[#This Row],[DUT Adj Read]]="N/A",Table1[[#This Row],[Std Adj Read]]="N/A"),"N/A",IF(Table1[[#This Row],[DUT Adj Read]]="N/A",IF(Table1[[#This Row],[Std Adj Read]]&lt;=Table1[[#This Row],[High Tol]],"Pass","Fail"),IF(Table1[[#This Row],[DUT Adj Read]]&lt;=Table1[[#This Row],[High Tol]],"Pass","Fail")))</f>
        <v>Fail</v>
      </c>
      <c r="AH24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8" s="1" t="b">
        <v>0</v>
      </c>
      <c r="AN2408" s="1" t="b">
        <v>0</v>
      </c>
      <c r="AO2408" s="1" t="b">
        <v>0</v>
      </c>
    </row>
    <row r="2409" spans="1:41" x14ac:dyDescent="0.25">
      <c r="A2409" s="10"/>
      <c r="B2409" s="10"/>
      <c r="C2409" s="10"/>
      <c r="D2409" s="10"/>
      <c r="E2409" s="10"/>
      <c r="F2409" s="10"/>
      <c r="G2409" s="10"/>
      <c r="H2409" s="10"/>
      <c r="I2409" s="1" t="str">
        <f t="shared" si="111"/>
        <v/>
      </c>
      <c r="J2409" s="1" t="s">
        <v>35</v>
      </c>
      <c r="K2409" s="1" t="str">
        <f t="shared" si="112"/>
        <v/>
      </c>
      <c r="L2409" s="1" t="str">
        <f t="shared" si="113"/>
        <v/>
      </c>
      <c r="M2409" s="1">
        <f>IF(OR(Table1[[#This Row],[Std Nom]]="",Table1[[#This Row],[Std Read]]=""),0,Table1[[#This Row],[Std Nom]]-Table1[[#This Row],[Std Read]])</f>
        <v>0</v>
      </c>
      <c r="N2409" s="1">
        <f>IF(Calculations!$F$5="ACCREDITED 17025 WITH UNCERTAINTIES",$N$10,0)</f>
        <v>0</v>
      </c>
      <c r="O2409" s="1" t="str">
        <f>IFERROR(Table1[[#This Row],[Std Nom]]-(_xlfn.XLOOKUP(Table1[[#This Row],[Manufacturer]]&amp;" "&amp;Table1[[#This Row],[Model]],Table13[MFR &amp; MDL],Table13[Tolerance % CW ],"")/100*Table1[[#This Row],[Std Nom]]),"")</f>
        <v/>
      </c>
      <c r="P2409" s="1" t="str">
        <f>IFERROR(Table1[[#This Row],[Std Nom]]+(_xlfn.XLOOKUP(Table1[[#This Row],[Manufacturer]]&amp;" "&amp;Table1[[#This Row],[Model]],Table13[MFR &amp; MDL],Table13[Tolerance % CW ],"")/100*Table1[[#This Row],[Std Nom]]),"")</f>
        <v/>
      </c>
      <c r="Q2409" s="1" t="e">
        <f>Table1[[#This Row],[High Tol]]-Table1[[#This Row],[Low Tol]]</f>
        <v>#VALUE!</v>
      </c>
      <c r="R2409" s="1">
        <f>2*Table1[[#This Row],[Std Error]]</f>
        <v>0</v>
      </c>
      <c r="S2409" s="1" t="str">
        <f>IF(Table1[[#This Row],[High Tol]]="","N/A",IFERROR(ABS(Table1[[#This Row],[Tol Span]]/Table1[[#This Row],[Error Span]]),"N/A"))</f>
        <v>N/A</v>
      </c>
      <c r="T2409" s="1" t="str">
        <f>IF(OR(Table1[[#This Row],[Low Tol]]="",Table1[[#This Row],[High Tol]]=""),"Needs Analysis",IF(Table1[[#This Row],[Ratio]]&gt;=4,"Not Significant",IF(Table1[[#This Row],[Ratio]]&gt;=2,"Semi-Significant","Significant")))</f>
        <v>Needs Analysis</v>
      </c>
      <c r="W2409" s="1">
        <f>IF(Table1[[#This Row],[Cal Type]]&lt;&gt;"ACCREDITED 17025 WITH UNCERTAINTIES",0,"")</f>
        <v>0</v>
      </c>
      <c r="X2409" s="1" t="str">
        <f>IF(Table1[[#This Row],[DUT Read]]="","N/A",Table1[[#This Row],[Std Error]]+Table1[[#This Row],[DUT Read]]+Table1[[#This Row],[DUT Ucty]])</f>
        <v>N/A</v>
      </c>
      <c r="Y2409" s="1" t="str">
        <f>IF(Table1[[#This Row],[Std Read]]="","N/A",Table1[[#This Row],[Std Read]]+Table1[[#This Row],[Std Ucty]])</f>
        <v>N/A</v>
      </c>
      <c r="Z24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9" s="1" t="str">
        <f>IF(Table1[[#This Row],[Spec Type]]="","N/A",Table1[[#This Row],[Spec Type]])</f>
        <v>±</v>
      </c>
      <c r="AC2409" s="1" t="str">
        <f>IF(Table1[[#This Row],[Spec Type2]]="N/A","N/A",IF(AND(Table1[[#This Row],[DUT Adj Read]]&gt;=Table1[[#This Row],[Low Tol]],Table1[[#This Row],[DUT Adj Read]]&lt;=Table1[[#This Row],[High Tol]]),"Pass","Fail"))</f>
        <v>Fail</v>
      </c>
      <c r="AD2409" s="1" t="str">
        <f>IF(AND(Table1[[#This Row],[Spec Type2]]="N/A",Table1[[#This Row],[DUT Adj Read]]="N/A",Table1[[#This Row],[Std Adj Read]]="N/A"),"N/A",IF(Table1[[#This Row],[DUT Adj Read]]="N/A",IF(Table1[[#This Row],[Std Adj Read]]&gt;Table1[[#This Row],[Low Tol]],"Pass","Fail"),IF(Table1[[#This Row],[DUT Adj Read]]&gt;Table1[[#This Row],[Low Tol]],"Pass","Fail")))</f>
        <v>Pass</v>
      </c>
      <c r="AE2409" s="1" t="str">
        <f>IF(AND(Table1[[#This Row],[Spec Type2]]="N/A",Table1[[#This Row],[DUT Adj Read]]="N/A",Table1[[#This Row],[Std Adj Read]]="N/A"),"N/A",IF(Table1[[#This Row],[DUT Adj Read]]="N/A",IF(Table1[[#This Row],[Std Adj Read]]&lt;Table1[[#This Row],[High Tol]],"Pass","Fail"),IF(Table1[[#This Row],[DUT Adj Read]]&lt;Table1[[#This Row],[High Tol]],"Pass","Fail")))</f>
        <v>Fail</v>
      </c>
      <c r="AF2409" s="1" t="str">
        <f>IF(AND(Table1[[#This Row],[Spec Type2]]="N/A",Table1[[#This Row],[DUT Adj Read]]="N/A",Table1[[#This Row],[Std Adj Read]]="N/A"),"N/A",IF(Table1[[#This Row],[DUT Adj Read]]="N/A",IF(Table1[[#This Row],[Std Adj Read]]&gt;=Table1[[#This Row],[Low Tol]],"Pass","Fail"),IF(Table1[[#This Row],[DUT Adj Read]]&gt;=Table1[[#This Row],[Low Tol]],"Pass","Fail")))</f>
        <v>Pass</v>
      </c>
      <c r="AG2409" s="1" t="str">
        <f>IF(AND(Table1[[#This Row],[Spec Type2]]="N/A",Table1[[#This Row],[DUT Adj Read]]="N/A",Table1[[#This Row],[Std Adj Read]]="N/A"),"N/A",IF(Table1[[#This Row],[DUT Adj Read]]="N/A",IF(Table1[[#This Row],[Std Adj Read]]&lt;=Table1[[#This Row],[High Tol]],"Pass","Fail"),IF(Table1[[#This Row],[DUT Adj Read]]&lt;=Table1[[#This Row],[High Tol]],"Pass","Fail")))</f>
        <v>Fail</v>
      </c>
      <c r="AH24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9" s="1" t="b">
        <v>0</v>
      </c>
      <c r="AN2409" s="1" t="b">
        <v>0</v>
      </c>
      <c r="AO2409" s="1" t="b">
        <v>0</v>
      </c>
    </row>
    <row r="2410" spans="1:41" x14ac:dyDescent="0.25">
      <c r="A2410" s="10"/>
      <c r="B2410" s="10"/>
      <c r="C2410" s="10"/>
      <c r="D2410" s="10"/>
      <c r="E2410" s="10"/>
      <c r="F2410" s="10"/>
      <c r="G2410" s="10"/>
      <c r="H2410" s="10"/>
      <c r="I2410" s="1" t="str">
        <f t="shared" si="111"/>
        <v/>
      </c>
      <c r="J2410" s="1" t="s">
        <v>35</v>
      </c>
      <c r="K2410" s="1" t="str">
        <f t="shared" si="112"/>
        <v/>
      </c>
      <c r="L2410" s="1" t="str">
        <f t="shared" si="113"/>
        <v/>
      </c>
      <c r="M2410" s="1">
        <f>IF(OR(Table1[[#This Row],[Std Nom]]="",Table1[[#This Row],[Std Read]]=""),0,Table1[[#This Row],[Std Nom]]-Table1[[#This Row],[Std Read]])</f>
        <v>0</v>
      </c>
      <c r="N2410" s="1">
        <f>IF(Calculations!$F$5="ACCREDITED 17025 WITH UNCERTAINTIES",$N$10,0)</f>
        <v>0</v>
      </c>
      <c r="O2410" s="1" t="str">
        <f>IFERROR(Table1[[#This Row],[Std Nom]]-(_xlfn.XLOOKUP(Table1[[#This Row],[Manufacturer]]&amp;" "&amp;Table1[[#This Row],[Model]],Table13[MFR &amp; MDL],Table13[Tolerance % CW ],"")/100*Table1[[#This Row],[Std Nom]]),"")</f>
        <v/>
      </c>
      <c r="P2410" s="1" t="str">
        <f>IFERROR(Table1[[#This Row],[Std Nom]]+(_xlfn.XLOOKUP(Table1[[#This Row],[Manufacturer]]&amp;" "&amp;Table1[[#This Row],[Model]],Table13[MFR &amp; MDL],Table13[Tolerance % CW ],"")/100*Table1[[#This Row],[Std Nom]]),"")</f>
        <v/>
      </c>
      <c r="Q2410" s="1" t="e">
        <f>Table1[[#This Row],[High Tol]]-Table1[[#This Row],[Low Tol]]</f>
        <v>#VALUE!</v>
      </c>
      <c r="R2410" s="1">
        <f>2*Table1[[#This Row],[Std Error]]</f>
        <v>0</v>
      </c>
      <c r="S2410" s="1" t="str">
        <f>IF(Table1[[#This Row],[High Tol]]="","N/A",IFERROR(ABS(Table1[[#This Row],[Tol Span]]/Table1[[#This Row],[Error Span]]),"N/A"))</f>
        <v>N/A</v>
      </c>
      <c r="T2410" s="1" t="str">
        <f>IF(OR(Table1[[#This Row],[Low Tol]]="",Table1[[#This Row],[High Tol]]=""),"Needs Analysis",IF(Table1[[#This Row],[Ratio]]&gt;=4,"Not Significant",IF(Table1[[#This Row],[Ratio]]&gt;=2,"Semi-Significant","Significant")))</f>
        <v>Needs Analysis</v>
      </c>
      <c r="W2410" s="1">
        <f>IF(Table1[[#This Row],[Cal Type]]&lt;&gt;"ACCREDITED 17025 WITH UNCERTAINTIES",0,"")</f>
        <v>0</v>
      </c>
      <c r="X2410" s="1" t="str">
        <f>IF(Table1[[#This Row],[DUT Read]]="","N/A",Table1[[#This Row],[Std Error]]+Table1[[#This Row],[DUT Read]]+Table1[[#This Row],[DUT Ucty]])</f>
        <v>N/A</v>
      </c>
      <c r="Y2410" s="1" t="str">
        <f>IF(Table1[[#This Row],[Std Read]]="","N/A",Table1[[#This Row],[Std Read]]+Table1[[#This Row],[Std Ucty]])</f>
        <v>N/A</v>
      </c>
      <c r="Z24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0" s="1" t="str">
        <f>IF(Table1[[#This Row],[Spec Type]]="","N/A",Table1[[#This Row],[Spec Type]])</f>
        <v>±</v>
      </c>
      <c r="AC2410" s="1" t="str">
        <f>IF(Table1[[#This Row],[Spec Type2]]="N/A","N/A",IF(AND(Table1[[#This Row],[DUT Adj Read]]&gt;=Table1[[#This Row],[Low Tol]],Table1[[#This Row],[DUT Adj Read]]&lt;=Table1[[#This Row],[High Tol]]),"Pass","Fail"))</f>
        <v>Fail</v>
      </c>
      <c r="AD2410" s="1" t="str">
        <f>IF(AND(Table1[[#This Row],[Spec Type2]]="N/A",Table1[[#This Row],[DUT Adj Read]]="N/A",Table1[[#This Row],[Std Adj Read]]="N/A"),"N/A",IF(Table1[[#This Row],[DUT Adj Read]]="N/A",IF(Table1[[#This Row],[Std Adj Read]]&gt;Table1[[#This Row],[Low Tol]],"Pass","Fail"),IF(Table1[[#This Row],[DUT Adj Read]]&gt;Table1[[#This Row],[Low Tol]],"Pass","Fail")))</f>
        <v>Pass</v>
      </c>
      <c r="AE2410" s="1" t="str">
        <f>IF(AND(Table1[[#This Row],[Spec Type2]]="N/A",Table1[[#This Row],[DUT Adj Read]]="N/A",Table1[[#This Row],[Std Adj Read]]="N/A"),"N/A",IF(Table1[[#This Row],[DUT Adj Read]]="N/A",IF(Table1[[#This Row],[Std Adj Read]]&lt;Table1[[#This Row],[High Tol]],"Pass","Fail"),IF(Table1[[#This Row],[DUT Adj Read]]&lt;Table1[[#This Row],[High Tol]],"Pass","Fail")))</f>
        <v>Fail</v>
      </c>
      <c r="AF2410" s="1" t="str">
        <f>IF(AND(Table1[[#This Row],[Spec Type2]]="N/A",Table1[[#This Row],[DUT Adj Read]]="N/A",Table1[[#This Row],[Std Adj Read]]="N/A"),"N/A",IF(Table1[[#This Row],[DUT Adj Read]]="N/A",IF(Table1[[#This Row],[Std Adj Read]]&gt;=Table1[[#This Row],[Low Tol]],"Pass","Fail"),IF(Table1[[#This Row],[DUT Adj Read]]&gt;=Table1[[#This Row],[Low Tol]],"Pass","Fail")))</f>
        <v>Pass</v>
      </c>
      <c r="AG2410" s="1" t="str">
        <f>IF(AND(Table1[[#This Row],[Spec Type2]]="N/A",Table1[[#This Row],[DUT Adj Read]]="N/A",Table1[[#This Row],[Std Adj Read]]="N/A"),"N/A",IF(Table1[[#This Row],[DUT Adj Read]]="N/A",IF(Table1[[#This Row],[Std Adj Read]]&lt;=Table1[[#This Row],[High Tol]],"Pass","Fail"),IF(Table1[[#This Row],[DUT Adj Read]]&lt;=Table1[[#This Row],[High Tol]],"Pass","Fail")))</f>
        <v>Fail</v>
      </c>
      <c r="AH24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0" s="1" t="b">
        <v>0</v>
      </c>
      <c r="AN2410" s="1" t="b">
        <v>0</v>
      </c>
      <c r="AO2410" s="1" t="b">
        <v>0</v>
      </c>
    </row>
    <row r="2411" spans="1:41" x14ac:dyDescent="0.25">
      <c r="A2411" s="10"/>
      <c r="B2411" s="10"/>
      <c r="C2411" s="10"/>
      <c r="D2411" s="10"/>
      <c r="E2411" s="10"/>
      <c r="F2411" s="10"/>
      <c r="G2411" s="10"/>
      <c r="H2411" s="10"/>
      <c r="I2411" s="1" t="str">
        <f t="shared" si="111"/>
        <v/>
      </c>
      <c r="J2411" s="1" t="s">
        <v>35</v>
      </c>
      <c r="K2411" s="1" t="str">
        <f t="shared" si="112"/>
        <v/>
      </c>
      <c r="L2411" s="1" t="str">
        <f t="shared" si="113"/>
        <v/>
      </c>
      <c r="M2411" s="1">
        <f>IF(OR(Table1[[#This Row],[Std Nom]]="",Table1[[#This Row],[Std Read]]=""),0,Table1[[#This Row],[Std Nom]]-Table1[[#This Row],[Std Read]])</f>
        <v>0</v>
      </c>
      <c r="N2411" s="1">
        <f>IF(Calculations!$F$5="ACCREDITED 17025 WITH UNCERTAINTIES",$N$10,0)</f>
        <v>0</v>
      </c>
      <c r="O2411" s="1" t="str">
        <f>IFERROR(Table1[[#This Row],[Std Nom]]-(_xlfn.XLOOKUP(Table1[[#This Row],[Manufacturer]]&amp;" "&amp;Table1[[#This Row],[Model]],Table13[MFR &amp; MDL],Table13[Tolerance % CW ],"")/100*Table1[[#This Row],[Std Nom]]),"")</f>
        <v/>
      </c>
      <c r="P2411" s="1" t="str">
        <f>IFERROR(Table1[[#This Row],[Std Nom]]+(_xlfn.XLOOKUP(Table1[[#This Row],[Manufacturer]]&amp;" "&amp;Table1[[#This Row],[Model]],Table13[MFR &amp; MDL],Table13[Tolerance % CW ],"")/100*Table1[[#This Row],[Std Nom]]),"")</f>
        <v/>
      </c>
      <c r="Q2411" s="1" t="e">
        <f>Table1[[#This Row],[High Tol]]-Table1[[#This Row],[Low Tol]]</f>
        <v>#VALUE!</v>
      </c>
      <c r="R2411" s="1">
        <f>2*Table1[[#This Row],[Std Error]]</f>
        <v>0</v>
      </c>
      <c r="S2411" s="1" t="str">
        <f>IF(Table1[[#This Row],[High Tol]]="","N/A",IFERROR(ABS(Table1[[#This Row],[Tol Span]]/Table1[[#This Row],[Error Span]]),"N/A"))</f>
        <v>N/A</v>
      </c>
      <c r="T2411" s="1" t="str">
        <f>IF(OR(Table1[[#This Row],[Low Tol]]="",Table1[[#This Row],[High Tol]]=""),"Needs Analysis",IF(Table1[[#This Row],[Ratio]]&gt;=4,"Not Significant",IF(Table1[[#This Row],[Ratio]]&gt;=2,"Semi-Significant","Significant")))</f>
        <v>Needs Analysis</v>
      </c>
      <c r="W2411" s="1">
        <f>IF(Table1[[#This Row],[Cal Type]]&lt;&gt;"ACCREDITED 17025 WITH UNCERTAINTIES",0,"")</f>
        <v>0</v>
      </c>
      <c r="X2411" s="1" t="str">
        <f>IF(Table1[[#This Row],[DUT Read]]="","N/A",Table1[[#This Row],[Std Error]]+Table1[[#This Row],[DUT Read]]+Table1[[#This Row],[DUT Ucty]])</f>
        <v>N/A</v>
      </c>
      <c r="Y2411" s="1" t="str">
        <f>IF(Table1[[#This Row],[Std Read]]="","N/A",Table1[[#This Row],[Std Read]]+Table1[[#This Row],[Std Ucty]])</f>
        <v>N/A</v>
      </c>
      <c r="Z24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1" s="1" t="str">
        <f>IF(Table1[[#This Row],[Spec Type]]="","N/A",Table1[[#This Row],[Spec Type]])</f>
        <v>±</v>
      </c>
      <c r="AC2411" s="1" t="str">
        <f>IF(Table1[[#This Row],[Spec Type2]]="N/A","N/A",IF(AND(Table1[[#This Row],[DUT Adj Read]]&gt;=Table1[[#This Row],[Low Tol]],Table1[[#This Row],[DUT Adj Read]]&lt;=Table1[[#This Row],[High Tol]]),"Pass","Fail"))</f>
        <v>Fail</v>
      </c>
      <c r="AD2411" s="1" t="str">
        <f>IF(AND(Table1[[#This Row],[Spec Type2]]="N/A",Table1[[#This Row],[DUT Adj Read]]="N/A",Table1[[#This Row],[Std Adj Read]]="N/A"),"N/A",IF(Table1[[#This Row],[DUT Adj Read]]="N/A",IF(Table1[[#This Row],[Std Adj Read]]&gt;Table1[[#This Row],[Low Tol]],"Pass","Fail"),IF(Table1[[#This Row],[DUT Adj Read]]&gt;Table1[[#This Row],[Low Tol]],"Pass","Fail")))</f>
        <v>Pass</v>
      </c>
      <c r="AE2411" s="1" t="str">
        <f>IF(AND(Table1[[#This Row],[Spec Type2]]="N/A",Table1[[#This Row],[DUT Adj Read]]="N/A",Table1[[#This Row],[Std Adj Read]]="N/A"),"N/A",IF(Table1[[#This Row],[DUT Adj Read]]="N/A",IF(Table1[[#This Row],[Std Adj Read]]&lt;Table1[[#This Row],[High Tol]],"Pass","Fail"),IF(Table1[[#This Row],[DUT Adj Read]]&lt;Table1[[#This Row],[High Tol]],"Pass","Fail")))</f>
        <v>Fail</v>
      </c>
      <c r="AF2411" s="1" t="str">
        <f>IF(AND(Table1[[#This Row],[Spec Type2]]="N/A",Table1[[#This Row],[DUT Adj Read]]="N/A",Table1[[#This Row],[Std Adj Read]]="N/A"),"N/A",IF(Table1[[#This Row],[DUT Adj Read]]="N/A",IF(Table1[[#This Row],[Std Adj Read]]&gt;=Table1[[#This Row],[Low Tol]],"Pass","Fail"),IF(Table1[[#This Row],[DUT Adj Read]]&gt;=Table1[[#This Row],[Low Tol]],"Pass","Fail")))</f>
        <v>Pass</v>
      </c>
      <c r="AG2411" s="1" t="str">
        <f>IF(AND(Table1[[#This Row],[Spec Type2]]="N/A",Table1[[#This Row],[DUT Adj Read]]="N/A",Table1[[#This Row],[Std Adj Read]]="N/A"),"N/A",IF(Table1[[#This Row],[DUT Adj Read]]="N/A",IF(Table1[[#This Row],[Std Adj Read]]&lt;=Table1[[#This Row],[High Tol]],"Pass","Fail"),IF(Table1[[#This Row],[DUT Adj Read]]&lt;=Table1[[#This Row],[High Tol]],"Pass","Fail")))</f>
        <v>Fail</v>
      </c>
      <c r="AH24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1" s="1" t="b">
        <v>0</v>
      </c>
      <c r="AN2411" s="1" t="b">
        <v>0</v>
      </c>
      <c r="AO2411" s="1" t="b">
        <v>0</v>
      </c>
    </row>
    <row r="2412" spans="1:41" x14ac:dyDescent="0.25">
      <c r="A2412" s="10"/>
      <c r="B2412" s="10"/>
      <c r="C2412" s="10"/>
      <c r="D2412" s="10"/>
      <c r="E2412" s="10"/>
      <c r="F2412" s="10"/>
      <c r="G2412" s="10"/>
      <c r="H2412" s="10"/>
      <c r="I2412" s="1" t="str">
        <f t="shared" si="111"/>
        <v/>
      </c>
      <c r="J2412" s="1" t="s">
        <v>35</v>
      </c>
      <c r="K2412" s="1" t="str">
        <f t="shared" si="112"/>
        <v/>
      </c>
      <c r="L2412" s="1" t="str">
        <f t="shared" si="113"/>
        <v/>
      </c>
      <c r="M2412" s="1">
        <f>IF(OR(Table1[[#This Row],[Std Nom]]="",Table1[[#This Row],[Std Read]]=""),0,Table1[[#This Row],[Std Nom]]-Table1[[#This Row],[Std Read]])</f>
        <v>0</v>
      </c>
      <c r="N2412" s="1">
        <f>IF(Calculations!$F$5="ACCREDITED 17025 WITH UNCERTAINTIES",$N$10,0)</f>
        <v>0</v>
      </c>
      <c r="O2412" s="1" t="str">
        <f>IFERROR(Table1[[#This Row],[Std Nom]]-(_xlfn.XLOOKUP(Table1[[#This Row],[Manufacturer]]&amp;" "&amp;Table1[[#This Row],[Model]],Table13[MFR &amp; MDL],Table13[Tolerance % CW ],"")/100*Table1[[#This Row],[Std Nom]]),"")</f>
        <v/>
      </c>
      <c r="P2412" s="1" t="str">
        <f>IFERROR(Table1[[#This Row],[Std Nom]]+(_xlfn.XLOOKUP(Table1[[#This Row],[Manufacturer]]&amp;" "&amp;Table1[[#This Row],[Model]],Table13[MFR &amp; MDL],Table13[Tolerance % CW ],"")/100*Table1[[#This Row],[Std Nom]]),"")</f>
        <v/>
      </c>
      <c r="Q2412" s="1" t="e">
        <f>Table1[[#This Row],[High Tol]]-Table1[[#This Row],[Low Tol]]</f>
        <v>#VALUE!</v>
      </c>
      <c r="R2412" s="1">
        <f>2*Table1[[#This Row],[Std Error]]</f>
        <v>0</v>
      </c>
      <c r="S2412" s="1" t="str">
        <f>IF(Table1[[#This Row],[High Tol]]="","N/A",IFERROR(ABS(Table1[[#This Row],[Tol Span]]/Table1[[#This Row],[Error Span]]),"N/A"))</f>
        <v>N/A</v>
      </c>
      <c r="T2412" s="1" t="str">
        <f>IF(OR(Table1[[#This Row],[Low Tol]]="",Table1[[#This Row],[High Tol]]=""),"Needs Analysis",IF(Table1[[#This Row],[Ratio]]&gt;=4,"Not Significant",IF(Table1[[#This Row],[Ratio]]&gt;=2,"Semi-Significant","Significant")))</f>
        <v>Needs Analysis</v>
      </c>
      <c r="W2412" s="1">
        <f>IF(Table1[[#This Row],[Cal Type]]&lt;&gt;"ACCREDITED 17025 WITH UNCERTAINTIES",0,"")</f>
        <v>0</v>
      </c>
      <c r="X2412" s="1" t="str">
        <f>IF(Table1[[#This Row],[DUT Read]]="","N/A",Table1[[#This Row],[Std Error]]+Table1[[#This Row],[DUT Read]]+Table1[[#This Row],[DUT Ucty]])</f>
        <v>N/A</v>
      </c>
      <c r="Y2412" s="1" t="str">
        <f>IF(Table1[[#This Row],[Std Read]]="","N/A",Table1[[#This Row],[Std Read]]+Table1[[#This Row],[Std Ucty]])</f>
        <v>N/A</v>
      </c>
      <c r="Z24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2" s="1" t="str">
        <f>IF(Table1[[#This Row],[Spec Type]]="","N/A",Table1[[#This Row],[Spec Type]])</f>
        <v>±</v>
      </c>
      <c r="AC2412" s="1" t="str">
        <f>IF(Table1[[#This Row],[Spec Type2]]="N/A","N/A",IF(AND(Table1[[#This Row],[DUT Adj Read]]&gt;=Table1[[#This Row],[Low Tol]],Table1[[#This Row],[DUT Adj Read]]&lt;=Table1[[#This Row],[High Tol]]),"Pass","Fail"))</f>
        <v>Fail</v>
      </c>
      <c r="AD2412" s="1" t="str">
        <f>IF(AND(Table1[[#This Row],[Spec Type2]]="N/A",Table1[[#This Row],[DUT Adj Read]]="N/A",Table1[[#This Row],[Std Adj Read]]="N/A"),"N/A",IF(Table1[[#This Row],[DUT Adj Read]]="N/A",IF(Table1[[#This Row],[Std Adj Read]]&gt;Table1[[#This Row],[Low Tol]],"Pass","Fail"),IF(Table1[[#This Row],[DUT Adj Read]]&gt;Table1[[#This Row],[Low Tol]],"Pass","Fail")))</f>
        <v>Pass</v>
      </c>
      <c r="AE2412" s="1" t="str">
        <f>IF(AND(Table1[[#This Row],[Spec Type2]]="N/A",Table1[[#This Row],[DUT Adj Read]]="N/A",Table1[[#This Row],[Std Adj Read]]="N/A"),"N/A",IF(Table1[[#This Row],[DUT Adj Read]]="N/A",IF(Table1[[#This Row],[Std Adj Read]]&lt;Table1[[#This Row],[High Tol]],"Pass","Fail"),IF(Table1[[#This Row],[DUT Adj Read]]&lt;Table1[[#This Row],[High Tol]],"Pass","Fail")))</f>
        <v>Fail</v>
      </c>
      <c r="AF2412" s="1" t="str">
        <f>IF(AND(Table1[[#This Row],[Spec Type2]]="N/A",Table1[[#This Row],[DUT Adj Read]]="N/A",Table1[[#This Row],[Std Adj Read]]="N/A"),"N/A",IF(Table1[[#This Row],[DUT Adj Read]]="N/A",IF(Table1[[#This Row],[Std Adj Read]]&gt;=Table1[[#This Row],[Low Tol]],"Pass","Fail"),IF(Table1[[#This Row],[DUT Adj Read]]&gt;=Table1[[#This Row],[Low Tol]],"Pass","Fail")))</f>
        <v>Pass</v>
      </c>
      <c r="AG2412" s="1" t="str">
        <f>IF(AND(Table1[[#This Row],[Spec Type2]]="N/A",Table1[[#This Row],[DUT Adj Read]]="N/A",Table1[[#This Row],[Std Adj Read]]="N/A"),"N/A",IF(Table1[[#This Row],[DUT Adj Read]]="N/A",IF(Table1[[#This Row],[Std Adj Read]]&lt;=Table1[[#This Row],[High Tol]],"Pass","Fail"),IF(Table1[[#This Row],[DUT Adj Read]]&lt;=Table1[[#This Row],[High Tol]],"Pass","Fail")))</f>
        <v>Fail</v>
      </c>
      <c r="AH24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2" s="1" t="b">
        <v>0</v>
      </c>
      <c r="AN2412" s="1" t="b">
        <v>0</v>
      </c>
      <c r="AO2412" s="1" t="b">
        <v>0</v>
      </c>
    </row>
    <row r="2413" spans="1:41" x14ac:dyDescent="0.25">
      <c r="A2413" s="10"/>
      <c r="B2413" s="10"/>
      <c r="C2413" s="10"/>
      <c r="D2413" s="10"/>
      <c r="E2413" s="10"/>
      <c r="F2413" s="10"/>
      <c r="G2413" s="10"/>
      <c r="H2413" s="10"/>
      <c r="I2413" s="1" t="str">
        <f t="shared" si="111"/>
        <v/>
      </c>
      <c r="J2413" s="1" t="s">
        <v>35</v>
      </c>
      <c r="K2413" s="1" t="str">
        <f t="shared" si="112"/>
        <v/>
      </c>
      <c r="L2413" s="1" t="str">
        <f t="shared" si="113"/>
        <v/>
      </c>
      <c r="M2413" s="1">
        <f>IF(OR(Table1[[#This Row],[Std Nom]]="",Table1[[#This Row],[Std Read]]=""),0,Table1[[#This Row],[Std Nom]]-Table1[[#This Row],[Std Read]])</f>
        <v>0</v>
      </c>
      <c r="N2413" s="1">
        <f>IF(Calculations!$F$5="ACCREDITED 17025 WITH UNCERTAINTIES",$N$10,0)</f>
        <v>0</v>
      </c>
      <c r="O2413" s="1" t="str">
        <f>IFERROR(Table1[[#This Row],[Std Nom]]-(_xlfn.XLOOKUP(Table1[[#This Row],[Manufacturer]]&amp;" "&amp;Table1[[#This Row],[Model]],Table13[MFR &amp; MDL],Table13[Tolerance % CW ],"")/100*Table1[[#This Row],[Std Nom]]),"")</f>
        <v/>
      </c>
      <c r="P2413" s="1" t="str">
        <f>IFERROR(Table1[[#This Row],[Std Nom]]+(_xlfn.XLOOKUP(Table1[[#This Row],[Manufacturer]]&amp;" "&amp;Table1[[#This Row],[Model]],Table13[MFR &amp; MDL],Table13[Tolerance % CW ],"")/100*Table1[[#This Row],[Std Nom]]),"")</f>
        <v/>
      </c>
      <c r="Q2413" s="1" t="e">
        <f>Table1[[#This Row],[High Tol]]-Table1[[#This Row],[Low Tol]]</f>
        <v>#VALUE!</v>
      </c>
      <c r="R2413" s="1">
        <f>2*Table1[[#This Row],[Std Error]]</f>
        <v>0</v>
      </c>
      <c r="S2413" s="1" t="str">
        <f>IF(Table1[[#This Row],[High Tol]]="","N/A",IFERROR(ABS(Table1[[#This Row],[Tol Span]]/Table1[[#This Row],[Error Span]]),"N/A"))</f>
        <v>N/A</v>
      </c>
      <c r="T2413" s="1" t="str">
        <f>IF(OR(Table1[[#This Row],[Low Tol]]="",Table1[[#This Row],[High Tol]]=""),"Needs Analysis",IF(Table1[[#This Row],[Ratio]]&gt;=4,"Not Significant",IF(Table1[[#This Row],[Ratio]]&gt;=2,"Semi-Significant","Significant")))</f>
        <v>Needs Analysis</v>
      </c>
      <c r="W2413" s="1">
        <f>IF(Table1[[#This Row],[Cal Type]]&lt;&gt;"ACCREDITED 17025 WITH UNCERTAINTIES",0,"")</f>
        <v>0</v>
      </c>
      <c r="X2413" s="1" t="str">
        <f>IF(Table1[[#This Row],[DUT Read]]="","N/A",Table1[[#This Row],[Std Error]]+Table1[[#This Row],[DUT Read]]+Table1[[#This Row],[DUT Ucty]])</f>
        <v>N/A</v>
      </c>
      <c r="Y2413" s="1" t="str">
        <f>IF(Table1[[#This Row],[Std Read]]="","N/A",Table1[[#This Row],[Std Read]]+Table1[[#This Row],[Std Ucty]])</f>
        <v>N/A</v>
      </c>
      <c r="Z24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3" s="1" t="str">
        <f>IF(Table1[[#This Row],[Spec Type]]="","N/A",Table1[[#This Row],[Spec Type]])</f>
        <v>±</v>
      </c>
      <c r="AC2413" s="1" t="str">
        <f>IF(Table1[[#This Row],[Spec Type2]]="N/A","N/A",IF(AND(Table1[[#This Row],[DUT Adj Read]]&gt;=Table1[[#This Row],[Low Tol]],Table1[[#This Row],[DUT Adj Read]]&lt;=Table1[[#This Row],[High Tol]]),"Pass","Fail"))</f>
        <v>Fail</v>
      </c>
      <c r="AD2413" s="1" t="str">
        <f>IF(AND(Table1[[#This Row],[Spec Type2]]="N/A",Table1[[#This Row],[DUT Adj Read]]="N/A",Table1[[#This Row],[Std Adj Read]]="N/A"),"N/A",IF(Table1[[#This Row],[DUT Adj Read]]="N/A",IF(Table1[[#This Row],[Std Adj Read]]&gt;Table1[[#This Row],[Low Tol]],"Pass","Fail"),IF(Table1[[#This Row],[DUT Adj Read]]&gt;Table1[[#This Row],[Low Tol]],"Pass","Fail")))</f>
        <v>Pass</v>
      </c>
      <c r="AE2413" s="1" t="str">
        <f>IF(AND(Table1[[#This Row],[Spec Type2]]="N/A",Table1[[#This Row],[DUT Adj Read]]="N/A",Table1[[#This Row],[Std Adj Read]]="N/A"),"N/A",IF(Table1[[#This Row],[DUT Adj Read]]="N/A",IF(Table1[[#This Row],[Std Adj Read]]&lt;Table1[[#This Row],[High Tol]],"Pass","Fail"),IF(Table1[[#This Row],[DUT Adj Read]]&lt;Table1[[#This Row],[High Tol]],"Pass","Fail")))</f>
        <v>Fail</v>
      </c>
      <c r="AF2413" s="1" t="str">
        <f>IF(AND(Table1[[#This Row],[Spec Type2]]="N/A",Table1[[#This Row],[DUT Adj Read]]="N/A",Table1[[#This Row],[Std Adj Read]]="N/A"),"N/A",IF(Table1[[#This Row],[DUT Adj Read]]="N/A",IF(Table1[[#This Row],[Std Adj Read]]&gt;=Table1[[#This Row],[Low Tol]],"Pass","Fail"),IF(Table1[[#This Row],[DUT Adj Read]]&gt;=Table1[[#This Row],[Low Tol]],"Pass","Fail")))</f>
        <v>Pass</v>
      </c>
      <c r="AG2413" s="1" t="str">
        <f>IF(AND(Table1[[#This Row],[Spec Type2]]="N/A",Table1[[#This Row],[DUT Adj Read]]="N/A",Table1[[#This Row],[Std Adj Read]]="N/A"),"N/A",IF(Table1[[#This Row],[DUT Adj Read]]="N/A",IF(Table1[[#This Row],[Std Adj Read]]&lt;=Table1[[#This Row],[High Tol]],"Pass","Fail"),IF(Table1[[#This Row],[DUT Adj Read]]&lt;=Table1[[#This Row],[High Tol]],"Pass","Fail")))</f>
        <v>Fail</v>
      </c>
      <c r="AH24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3" s="1" t="b">
        <v>0</v>
      </c>
      <c r="AN2413" s="1" t="b">
        <v>0</v>
      </c>
      <c r="AO2413" s="1" t="b">
        <v>0</v>
      </c>
    </row>
    <row r="2414" spans="1:41" x14ac:dyDescent="0.25">
      <c r="A2414" s="10"/>
      <c r="B2414" s="10"/>
      <c r="C2414" s="10"/>
      <c r="D2414" s="10"/>
      <c r="E2414" s="10"/>
      <c r="F2414" s="10"/>
      <c r="G2414" s="10"/>
      <c r="H2414" s="10"/>
      <c r="I2414" s="1" t="str">
        <f t="shared" si="111"/>
        <v/>
      </c>
      <c r="J2414" s="1" t="s">
        <v>35</v>
      </c>
      <c r="K2414" s="1" t="str">
        <f t="shared" si="112"/>
        <v/>
      </c>
      <c r="L2414" s="1" t="str">
        <f t="shared" si="113"/>
        <v/>
      </c>
      <c r="M2414" s="1">
        <f>IF(OR(Table1[[#This Row],[Std Nom]]="",Table1[[#This Row],[Std Read]]=""),0,Table1[[#This Row],[Std Nom]]-Table1[[#This Row],[Std Read]])</f>
        <v>0</v>
      </c>
      <c r="N2414" s="1">
        <f>IF(Calculations!$F$5="ACCREDITED 17025 WITH UNCERTAINTIES",$N$10,0)</f>
        <v>0</v>
      </c>
      <c r="O2414" s="1" t="str">
        <f>IFERROR(Table1[[#This Row],[Std Nom]]-(_xlfn.XLOOKUP(Table1[[#This Row],[Manufacturer]]&amp;" "&amp;Table1[[#This Row],[Model]],Table13[MFR &amp; MDL],Table13[Tolerance % CW ],"")/100*Table1[[#This Row],[Std Nom]]),"")</f>
        <v/>
      </c>
      <c r="P2414" s="1" t="str">
        <f>IFERROR(Table1[[#This Row],[Std Nom]]+(_xlfn.XLOOKUP(Table1[[#This Row],[Manufacturer]]&amp;" "&amp;Table1[[#This Row],[Model]],Table13[MFR &amp; MDL],Table13[Tolerance % CW ],"")/100*Table1[[#This Row],[Std Nom]]),"")</f>
        <v/>
      </c>
      <c r="Q2414" s="1" t="e">
        <f>Table1[[#This Row],[High Tol]]-Table1[[#This Row],[Low Tol]]</f>
        <v>#VALUE!</v>
      </c>
      <c r="R2414" s="1">
        <f>2*Table1[[#This Row],[Std Error]]</f>
        <v>0</v>
      </c>
      <c r="S2414" s="1" t="str">
        <f>IF(Table1[[#This Row],[High Tol]]="","N/A",IFERROR(ABS(Table1[[#This Row],[Tol Span]]/Table1[[#This Row],[Error Span]]),"N/A"))</f>
        <v>N/A</v>
      </c>
      <c r="T2414" s="1" t="str">
        <f>IF(OR(Table1[[#This Row],[Low Tol]]="",Table1[[#This Row],[High Tol]]=""),"Needs Analysis",IF(Table1[[#This Row],[Ratio]]&gt;=4,"Not Significant",IF(Table1[[#This Row],[Ratio]]&gt;=2,"Semi-Significant","Significant")))</f>
        <v>Needs Analysis</v>
      </c>
      <c r="W2414" s="1">
        <f>IF(Table1[[#This Row],[Cal Type]]&lt;&gt;"ACCREDITED 17025 WITH UNCERTAINTIES",0,"")</f>
        <v>0</v>
      </c>
      <c r="X2414" s="1" t="str">
        <f>IF(Table1[[#This Row],[DUT Read]]="","N/A",Table1[[#This Row],[Std Error]]+Table1[[#This Row],[DUT Read]]+Table1[[#This Row],[DUT Ucty]])</f>
        <v>N/A</v>
      </c>
      <c r="Y2414" s="1" t="str">
        <f>IF(Table1[[#This Row],[Std Read]]="","N/A",Table1[[#This Row],[Std Read]]+Table1[[#This Row],[Std Ucty]])</f>
        <v>N/A</v>
      </c>
      <c r="Z24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4" s="1" t="str">
        <f>IF(Table1[[#This Row],[Spec Type]]="","N/A",Table1[[#This Row],[Spec Type]])</f>
        <v>±</v>
      </c>
      <c r="AC2414" s="1" t="str">
        <f>IF(Table1[[#This Row],[Spec Type2]]="N/A","N/A",IF(AND(Table1[[#This Row],[DUT Adj Read]]&gt;=Table1[[#This Row],[Low Tol]],Table1[[#This Row],[DUT Adj Read]]&lt;=Table1[[#This Row],[High Tol]]),"Pass","Fail"))</f>
        <v>Fail</v>
      </c>
      <c r="AD2414" s="1" t="str">
        <f>IF(AND(Table1[[#This Row],[Spec Type2]]="N/A",Table1[[#This Row],[DUT Adj Read]]="N/A",Table1[[#This Row],[Std Adj Read]]="N/A"),"N/A",IF(Table1[[#This Row],[DUT Adj Read]]="N/A",IF(Table1[[#This Row],[Std Adj Read]]&gt;Table1[[#This Row],[Low Tol]],"Pass","Fail"),IF(Table1[[#This Row],[DUT Adj Read]]&gt;Table1[[#This Row],[Low Tol]],"Pass","Fail")))</f>
        <v>Pass</v>
      </c>
      <c r="AE2414" s="1" t="str">
        <f>IF(AND(Table1[[#This Row],[Spec Type2]]="N/A",Table1[[#This Row],[DUT Adj Read]]="N/A",Table1[[#This Row],[Std Adj Read]]="N/A"),"N/A",IF(Table1[[#This Row],[DUT Adj Read]]="N/A",IF(Table1[[#This Row],[Std Adj Read]]&lt;Table1[[#This Row],[High Tol]],"Pass","Fail"),IF(Table1[[#This Row],[DUT Adj Read]]&lt;Table1[[#This Row],[High Tol]],"Pass","Fail")))</f>
        <v>Fail</v>
      </c>
      <c r="AF2414" s="1" t="str">
        <f>IF(AND(Table1[[#This Row],[Spec Type2]]="N/A",Table1[[#This Row],[DUT Adj Read]]="N/A",Table1[[#This Row],[Std Adj Read]]="N/A"),"N/A",IF(Table1[[#This Row],[DUT Adj Read]]="N/A",IF(Table1[[#This Row],[Std Adj Read]]&gt;=Table1[[#This Row],[Low Tol]],"Pass","Fail"),IF(Table1[[#This Row],[DUT Adj Read]]&gt;=Table1[[#This Row],[Low Tol]],"Pass","Fail")))</f>
        <v>Pass</v>
      </c>
      <c r="AG2414" s="1" t="str">
        <f>IF(AND(Table1[[#This Row],[Spec Type2]]="N/A",Table1[[#This Row],[DUT Adj Read]]="N/A",Table1[[#This Row],[Std Adj Read]]="N/A"),"N/A",IF(Table1[[#This Row],[DUT Adj Read]]="N/A",IF(Table1[[#This Row],[Std Adj Read]]&lt;=Table1[[#This Row],[High Tol]],"Pass","Fail"),IF(Table1[[#This Row],[DUT Adj Read]]&lt;=Table1[[#This Row],[High Tol]],"Pass","Fail")))</f>
        <v>Fail</v>
      </c>
      <c r="AH24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4" s="1" t="b">
        <v>0</v>
      </c>
      <c r="AN2414" s="1" t="b">
        <v>0</v>
      </c>
      <c r="AO2414" s="1" t="b">
        <v>0</v>
      </c>
    </row>
    <row r="2415" spans="1:41" x14ac:dyDescent="0.25">
      <c r="A2415" s="10"/>
      <c r="B2415" s="10"/>
      <c r="C2415" s="10"/>
      <c r="D2415" s="10"/>
      <c r="E2415" s="10"/>
      <c r="F2415" s="10"/>
      <c r="G2415" s="10"/>
      <c r="H2415" s="10"/>
      <c r="I2415" s="1" t="str">
        <f t="shared" si="111"/>
        <v/>
      </c>
      <c r="J2415" s="1" t="s">
        <v>35</v>
      </c>
      <c r="K2415" s="1" t="str">
        <f t="shared" si="112"/>
        <v/>
      </c>
      <c r="L2415" s="1" t="str">
        <f t="shared" si="113"/>
        <v/>
      </c>
      <c r="M2415" s="1">
        <f>IF(OR(Table1[[#This Row],[Std Nom]]="",Table1[[#This Row],[Std Read]]=""),0,Table1[[#This Row],[Std Nom]]-Table1[[#This Row],[Std Read]])</f>
        <v>0</v>
      </c>
      <c r="N2415" s="1">
        <f>IF(Calculations!$F$5="ACCREDITED 17025 WITH UNCERTAINTIES",$N$10,0)</f>
        <v>0</v>
      </c>
      <c r="O2415" s="1" t="str">
        <f>IFERROR(Table1[[#This Row],[Std Nom]]-(_xlfn.XLOOKUP(Table1[[#This Row],[Manufacturer]]&amp;" "&amp;Table1[[#This Row],[Model]],Table13[MFR &amp; MDL],Table13[Tolerance % CW ],"")/100*Table1[[#This Row],[Std Nom]]),"")</f>
        <v/>
      </c>
      <c r="P2415" s="1" t="str">
        <f>IFERROR(Table1[[#This Row],[Std Nom]]+(_xlfn.XLOOKUP(Table1[[#This Row],[Manufacturer]]&amp;" "&amp;Table1[[#This Row],[Model]],Table13[MFR &amp; MDL],Table13[Tolerance % CW ],"")/100*Table1[[#This Row],[Std Nom]]),"")</f>
        <v/>
      </c>
      <c r="Q2415" s="1" t="e">
        <f>Table1[[#This Row],[High Tol]]-Table1[[#This Row],[Low Tol]]</f>
        <v>#VALUE!</v>
      </c>
      <c r="R2415" s="1">
        <f>2*Table1[[#This Row],[Std Error]]</f>
        <v>0</v>
      </c>
      <c r="S2415" s="1" t="str">
        <f>IF(Table1[[#This Row],[High Tol]]="","N/A",IFERROR(ABS(Table1[[#This Row],[Tol Span]]/Table1[[#This Row],[Error Span]]),"N/A"))</f>
        <v>N/A</v>
      </c>
      <c r="T2415" s="1" t="str">
        <f>IF(OR(Table1[[#This Row],[Low Tol]]="",Table1[[#This Row],[High Tol]]=""),"Needs Analysis",IF(Table1[[#This Row],[Ratio]]&gt;=4,"Not Significant",IF(Table1[[#This Row],[Ratio]]&gt;=2,"Semi-Significant","Significant")))</f>
        <v>Needs Analysis</v>
      </c>
      <c r="W2415" s="1">
        <f>IF(Table1[[#This Row],[Cal Type]]&lt;&gt;"ACCREDITED 17025 WITH UNCERTAINTIES",0,"")</f>
        <v>0</v>
      </c>
      <c r="X2415" s="1" t="str">
        <f>IF(Table1[[#This Row],[DUT Read]]="","N/A",Table1[[#This Row],[Std Error]]+Table1[[#This Row],[DUT Read]]+Table1[[#This Row],[DUT Ucty]])</f>
        <v>N/A</v>
      </c>
      <c r="Y2415" s="1" t="str">
        <f>IF(Table1[[#This Row],[Std Read]]="","N/A",Table1[[#This Row],[Std Read]]+Table1[[#This Row],[Std Ucty]])</f>
        <v>N/A</v>
      </c>
      <c r="Z24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5" s="1" t="str">
        <f>IF(Table1[[#This Row],[Spec Type]]="","N/A",Table1[[#This Row],[Spec Type]])</f>
        <v>±</v>
      </c>
      <c r="AC2415" s="1" t="str">
        <f>IF(Table1[[#This Row],[Spec Type2]]="N/A","N/A",IF(AND(Table1[[#This Row],[DUT Adj Read]]&gt;=Table1[[#This Row],[Low Tol]],Table1[[#This Row],[DUT Adj Read]]&lt;=Table1[[#This Row],[High Tol]]),"Pass","Fail"))</f>
        <v>Fail</v>
      </c>
      <c r="AD2415" s="1" t="str">
        <f>IF(AND(Table1[[#This Row],[Spec Type2]]="N/A",Table1[[#This Row],[DUT Adj Read]]="N/A",Table1[[#This Row],[Std Adj Read]]="N/A"),"N/A",IF(Table1[[#This Row],[DUT Adj Read]]="N/A",IF(Table1[[#This Row],[Std Adj Read]]&gt;Table1[[#This Row],[Low Tol]],"Pass","Fail"),IF(Table1[[#This Row],[DUT Adj Read]]&gt;Table1[[#This Row],[Low Tol]],"Pass","Fail")))</f>
        <v>Pass</v>
      </c>
      <c r="AE2415" s="1" t="str">
        <f>IF(AND(Table1[[#This Row],[Spec Type2]]="N/A",Table1[[#This Row],[DUT Adj Read]]="N/A",Table1[[#This Row],[Std Adj Read]]="N/A"),"N/A",IF(Table1[[#This Row],[DUT Adj Read]]="N/A",IF(Table1[[#This Row],[Std Adj Read]]&lt;Table1[[#This Row],[High Tol]],"Pass","Fail"),IF(Table1[[#This Row],[DUT Adj Read]]&lt;Table1[[#This Row],[High Tol]],"Pass","Fail")))</f>
        <v>Fail</v>
      </c>
      <c r="AF2415" s="1" t="str">
        <f>IF(AND(Table1[[#This Row],[Spec Type2]]="N/A",Table1[[#This Row],[DUT Adj Read]]="N/A",Table1[[#This Row],[Std Adj Read]]="N/A"),"N/A",IF(Table1[[#This Row],[DUT Adj Read]]="N/A",IF(Table1[[#This Row],[Std Adj Read]]&gt;=Table1[[#This Row],[Low Tol]],"Pass","Fail"),IF(Table1[[#This Row],[DUT Adj Read]]&gt;=Table1[[#This Row],[Low Tol]],"Pass","Fail")))</f>
        <v>Pass</v>
      </c>
      <c r="AG2415" s="1" t="str">
        <f>IF(AND(Table1[[#This Row],[Spec Type2]]="N/A",Table1[[#This Row],[DUT Adj Read]]="N/A",Table1[[#This Row],[Std Adj Read]]="N/A"),"N/A",IF(Table1[[#This Row],[DUT Adj Read]]="N/A",IF(Table1[[#This Row],[Std Adj Read]]&lt;=Table1[[#This Row],[High Tol]],"Pass","Fail"),IF(Table1[[#This Row],[DUT Adj Read]]&lt;=Table1[[#This Row],[High Tol]],"Pass","Fail")))</f>
        <v>Fail</v>
      </c>
      <c r="AH24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5" s="1" t="b">
        <v>0</v>
      </c>
      <c r="AN2415" s="1" t="b">
        <v>0</v>
      </c>
      <c r="AO2415" s="1" t="b">
        <v>0</v>
      </c>
    </row>
    <row r="2416" spans="1:41" x14ac:dyDescent="0.25">
      <c r="A2416" s="10"/>
      <c r="B2416" s="10"/>
      <c r="C2416" s="10"/>
      <c r="D2416" s="10"/>
      <c r="E2416" s="10"/>
      <c r="F2416" s="10"/>
      <c r="G2416" s="10"/>
      <c r="H2416" s="10"/>
      <c r="I2416" s="1" t="str">
        <f t="shared" si="111"/>
        <v/>
      </c>
      <c r="J2416" s="1" t="s">
        <v>35</v>
      </c>
      <c r="K2416" s="1" t="str">
        <f t="shared" si="112"/>
        <v/>
      </c>
      <c r="L2416" s="1" t="str">
        <f t="shared" si="113"/>
        <v/>
      </c>
      <c r="M2416" s="1">
        <f>IF(OR(Table1[[#This Row],[Std Nom]]="",Table1[[#This Row],[Std Read]]=""),0,Table1[[#This Row],[Std Nom]]-Table1[[#This Row],[Std Read]])</f>
        <v>0</v>
      </c>
      <c r="N2416" s="1">
        <f>IF(Calculations!$F$5="ACCREDITED 17025 WITH UNCERTAINTIES",$N$10,0)</f>
        <v>0</v>
      </c>
      <c r="O2416" s="1" t="str">
        <f>IFERROR(Table1[[#This Row],[Std Nom]]-(_xlfn.XLOOKUP(Table1[[#This Row],[Manufacturer]]&amp;" "&amp;Table1[[#This Row],[Model]],Table13[MFR &amp; MDL],Table13[Tolerance % CW ],"")/100*Table1[[#This Row],[Std Nom]]),"")</f>
        <v/>
      </c>
      <c r="P2416" s="1" t="str">
        <f>IFERROR(Table1[[#This Row],[Std Nom]]+(_xlfn.XLOOKUP(Table1[[#This Row],[Manufacturer]]&amp;" "&amp;Table1[[#This Row],[Model]],Table13[MFR &amp; MDL],Table13[Tolerance % CW ],"")/100*Table1[[#This Row],[Std Nom]]),"")</f>
        <v/>
      </c>
      <c r="Q2416" s="1" t="e">
        <f>Table1[[#This Row],[High Tol]]-Table1[[#This Row],[Low Tol]]</f>
        <v>#VALUE!</v>
      </c>
      <c r="R2416" s="1">
        <f>2*Table1[[#This Row],[Std Error]]</f>
        <v>0</v>
      </c>
      <c r="S2416" s="1" t="str">
        <f>IF(Table1[[#This Row],[High Tol]]="","N/A",IFERROR(ABS(Table1[[#This Row],[Tol Span]]/Table1[[#This Row],[Error Span]]),"N/A"))</f>
        <v>N/A</v>
      </c>
      <c r="T2416" s="1" t="str">
        <f>IF(OR(Table1[[#This Row],[Low Tol]]="",Table1[[#This Row],[High Tol]]=""),"Needs Analysis",IF(Table1[[#This Row],[Ratio]]&gt;=4,"Not Significant",IF(Table1[[#This Row],[Ratio]]&gt;=2,"Semi-Significant","Significant")))</f>
        <v>Needs Analysis</v>
      </c>
      <c r="W2416" s="1">
        <f>IF(Table1[[#This Row],[Cal Type]]&lt;&gt;"ACCREDITED 17025 WITH UNCERTAINTIES",0,"")</f>
        <v>0</v>
      </c>
      <c r="X2416" s="1" t="str">
        <f>IF(Table1[[#This Row],[DUT Read]]="","N/A",Table1[[#This Row],[Std Error]]+Table1[[#This Row],[DUT Read]]+Table1[[#This Row],[DUT Ucty]])</f>
        <v>N/A</v>
      </c>
      <c r="Y2416" s="1" t="str">
        <f>IF(Table1[[#This Row],[Std Read]]="","N/A",Table1[[#This Row],[Std Read]]+Table1[[#This Row],[Std Ucty]])</f>
        <v>N/A</v>
      </c>
      <c r="Z24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6" s="1" t="str">
        <f>IF(Table1[[#This Row],[Spec Type]]="","N/A",Table1[[#This Row],[Spec Type]])</f>
        <v>±</v>
      </c>
      <c r="AC2416" s="1" t="str">
        <f>IF(Table1[[#This Row],[Spec Type2]]="N/A","N/A",IF(AND(Table1[[#This Row],[DUT Adj Read]]&gt;=Table1[[#This Row],[Low Tol]],Table1[[#This Row],[DUT Adj Read]]&lt;=Table1[[#This Row],[High Tol]]),"Pass","Fail"))</f>
        <v>Fail</v>
      </c>
      <c r="AD2416" s="1" t="str">
        <f>IF(AND(Table1[[#This Row],[Spec Type2]]="N/A",Table1[[#This Row],[DUT Adj Read]]="N/A",Table1[[#This Row],[Std Adj Read]]="N/A"),"N/A",IF(Table1[[#This Row],[DUT Adj Read]]="N/A",IF(Table1[[#This Row],[Std Adj Read]]&gt;Table1[[#This Row],[Low Tol]],"Pass","Fail"),IF(Table1[[#This Row],[DUT Adj Read]]&gt;Table1[[#This Row],[Low Tol]],"Pass","Fail")))</f>
        <v>Pass</v>
      </c>
      <c r="AE2416" s="1" t="str">
        <f>IF(AND(Table1[[#This Row],[Spec Type2]]="N/A",Table1[[#This Row],[DUT Adj Read]]="N/A",Table1[[#This Row],[Std Adj Read]]="N/A"),"N/A",IF(Table1[[#This Row],[DUT Adj Read]]="N/A",IF(Table1[[#This Row],[Std Adj Read]]&lt;Table1[[#This Row],[High Tol]],"Pass","Fail"),IF(Table1[[#This Row],[DUT Adj Read]]&lt;Table1[[#This Row],[High Tol]],"Pass","Fail")))</f>
        <v>Fail</v>
      </c>
      <c r="AF2416" s="1" t="str">
        <f>IF(AND(Table1[[#This Row],[Spec Type2]]="N/A",Table1[[#This Row],[DUT Adj Read]]="N/A",Table1[[#This Row],[Std Adj Read]]="N/A"),"N/A",IF(Table1[[#This Row],[DUT Adj Read]]="N/A",IF(Table1[[#This Row],[Std Adj Read]]&gt;=Table1[[#This Row],[Low Tol]],"Pass","Fail"),IF(Table1[[#This Row],[DUT Adj Read]]&gt;=Table1[[#This Row],[Low Tol]],"Pass","Fail")))</f>
        <v>Pass</v>
      </c>
      <c r="AG2416" s="1" t="str">
        <f>IF(AND(Table1[[#This Row],[Spec Type2]]="N/A",Table1[[#This Row],[DUT Adj Read]]="N/A",Table1[[#This Row],[Std Adj Read]]="N/A"),"N/A",IF(Table1[[#This Row],[DUT Adj Read]]="N/A",IF(Table1[[#This Row],[Std Adj Read]]&lt;=Table1[[#This Row],[High Tol]],"Pass","Fail"),IF(Table1[[#This Row],[DUT Adj Read]]&lt;=Table1[[#This Row],[High Tol]],"Pass","Fail")))</f>
        <v>Fail</v>
      </c>
      <c r="AH24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6" s="1" t="b">
        <v>0</v>
      </c>
      <c r="AN2416" s="1" t="b">
        <v>0</v>
      </c>
      <c r="AO2416" s="1" t="b">
        <v>0</v>
      </c>
    </row>
    <row r="2417" spans="1:41" x14ac:dyDescent="0.25">
      <c r="A2417" s="10"/>
      <c r="B2417" s="10"/>
      <c r="C2417" s="10"/>
      <c r="D2417" s="10"/>
      <c r="E2417" s="10"/>
      <c r="F2417" s="10"/>
      <c r="G2417" s="10"/>
      <c r="H2417" s="10"/>
      <c r="I2417" s="1" t="str">
        <f t="shared" si="111"/>
        <v/>
      </c>
      <c r="J2417" s="1" t="s">
        <v>35</v>
      </c>
      <c r="K2417" s="1" t="str">
        <f t="shared" si="112"/>
        <v/>
      </c>
      <c r="L2417" s="1" t="str">
        <f t="shared" si="113"/>
        <v/>
      </c>
      <c r="M2417" s="1">
        <f>IF(OR(Table1[[#This Row],[Std Nom]]="",Table1[[#This Row],[Std Read]]=""),0,Table1[[#This Row],[Std Nom]]-Table1[[#This Row],[Std Read]])</f>
        <v>0</v>
      </c>
      <c r="N2417" s="1">
        <f>IF(Calculations!$F$5="ACCREDITED 17025 WITH UNCERTAINTIES",$N$10,0)</f>
        <v>0</v>
      </c>
      <c r="O2417" s="1" t="str">
        <f>IFERROR(Table1[[#This Row],[Std Nom]]-(_xlfn.XLOOKUP(Table1[[#This Row],[Manufacturer]]&amp;" "&amp;Table1[[#This Row],[Model]],Table13[MFR &amp; MDL],Table13[Tolerance % CW ],"")/100*Table1[[#This Row],[Std Nom]]),"")</f>
        <v/>
      </c>
      <c r="P2417" s="1" t="str">
        <f>IFERROR(Table1[[#This Row],[Std Nom]]+(_xlfn.XLOOKUP(Table1[[#This Row],[Manufacturer]]&amp;" "&amp;Table1[[#This Row],[Model]],Table13[MFR &amp; MDL],Table13[Tolerance % CW ],"")/100*Table1[[#This Row],[Std Nom]]),"")</f>
        <v/>
      </c>
      <c r="Q2417" s="1" t="e">
        <f>Table1[[#This Row],[High Tol]]-Table1[[#This Row],[Low Tol]]</f>
        <v>#VALUE!</v>
      </c>
      <c r="R2417" s="1">
        <f>2*Table1[[#This Row],[Std Error]]</f>
        <v>0</v>
      </c>
      <c r="S2417" s="1" t="str">
        <f>IF(Table1[[#This Row],[High Tol]]="","N/A",IFERROR(ABS(Table1[[#This Row],[Tol Span]]/Table1[[#This Row],[Error Span]]),"N/A"))</f>
        <v>N/A</v>
      </c>
      <c r="T2417" s="1" t="str">
        <f>IF(OR(Table1[[#This Row],[Low Tol]]="",Table1[[#This Row],[High Tol]]=""),"Needs Analysis",IF(Table1[[#This Row],[Ratio]]&gt;=4,"Not Significant",IF(Table1[[#This Row],[Ratio]]&gt;=2,"Semi-Significant","Significant")))</f>
        <v>Needs Analysis</v>
      </c>
      <c r="W2417" s="1">
        <f>IF(Table1[[#This Row],[Cal Type]]&lt;&gt;"ACCREDITED 17025 WITH UNCERTAINTIES",0,"")</f>
        <v>0</v>
      </c>
      <c r="X2417" s="1" t="str">
        <f>IF(Table1[[#This Row],[DUT Read]]="","N/A",Table1[[#This Row],[Std Error]]+Table1[[#This Row],[DUT Read]]+Table1[[#This Row],[DUT Ucty]])</f>
        <v>N/A</v>
      </c>
      <c r="Y2417" s="1" t="str">
        <f>IF(Table1[[#This Row],[Std Read]]="","N/A",Table1[[#This Row],[Std Read]]+Table1[[#This Row],[Std Ucty]])</f>
        <v>N/A</v>
      </c>
      <c r="Z24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7" s="1" t="str">
        <f>IF(Table1[[#This Row],[Spec Type]]="","N/A",Table1[[#This Row],[Spec Type]])</f>
        <v>±</v>
      </c>
      <c r="AC2417" s="1" t="str">
        <f>IF(Table1[[#This Row],[Spec Type2]]="N/A","N/A",IF(AND(Table1[[#This Row],[DUT Adj Read]]&gt;=Table1[[#This Row],[Low Tol]],Table1[[#This Row],[DUT Adj Read]]&lt;=Table1[[#This Row],[High Tol]]),"Pass","Fail"))</f>
        <v>Fail</v>
      </c>
      <c r="AD2417" s="1" t="str">
        <f>IF(AND(Table1[[#This Row],[Spec Type2]]="N/A",Table1[[#This Row],[DUT Adj Read]]="N/A",Table1[[#This Row],[Std Adj Read]]="N/A"),"N/A",IF(Table1[[#This Row],[DUT Adj Read]]="N/A",IF(Table1[[#This Row],[Std Adj Read]]&gt;Table1[[#This Row],[Low Tol]],"Pass","Fail"),IF(Table1[[#This Row],[DUT Adj Read]]&gt;Table1[[#This Row],[Low Tol]],"Pass","Fail")))</f>
        <v>Pass</v>
      </c>
      <c r="AE2417" s="1" t="str">
        <f>IF(AND(Table1[[#This Row],[Spec Type2]]="N/A",Table1[[#This Row],[DUT Adj Read]]="N/A",Table1[[#This Row],[Std Adj Read]]="N/A"),"N/A",IF(Table1[[#This Row],[DUT Adj Read]]="N/A",IF(Table1[[#This Row],[Std Adj Read]]&lt;Table1[[#This Row],[High Tol]],"Pass","Fail"),IF(Table1[[#This Row],[DUT Adj Read]]&lt;Table1[[#This Row],[High Tol]],"Pass","Fail")))</f>
        <v>Fail</v>
      </c>
      <c r="AF2417" s="1" t="str">
        <f>IF(AND(Table1[[#This Row],[Spec Type2]]="N/A",Table1[[#This Row],[DUT Adj Read]]="N/A",Table1[[#This Row],[Std Adj Read]]="N/A"),"N/A",IF(Table1[[#This Row],[DUT Adj Read]]="N/A",IF(Table1[[#This Row],[Std Adj Read]]&gt;=Table1[[#This Row],[Low Tol]],"Pass","Fail"),IF(Table1[[#This Row],[DUT Adj Read]]&gt;=Table1[[#This Row],[Low Tol]],"Pass","Fail")))</f>
        <v>Pass</v>
      </c>
      <c r="AG2417" s="1" t="str">
        <f>IF(AND(Table1[[#This Row],[Spec Type2]]="N/A",Table1[[#This Row],[DUT Adj Read]]="N/A",Table1[[#This Row],[Std Adj Read]]="N/A"),"N/A",IF(Table1[[#This Row],[DUT Adj Read]]="N/A",IF(Table1[[#This Row],[Std Adj Read]]&lt;=Table1[[#This Row],[High Tol]],"Pass","Fail"),IF(Table1[[#This Row],[DUT Adj Read]]&lt;=Table1[[#This Row],[High Tol]],"Pass","Fail")))</f>
        <v>Fail</v>
      </c>
      <c r="AH24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7" s="1" t="b">
        <v>0</v>
      </c>
      <c r="AN2417" s="1" t="b">
        <v>0</v>
      </c>
      <c r="AO2417" s="1" t="b">
        <v>0</v>
      </c>
    </row>
    <row r="2418" spans="1:41" x14ac:dyDescent="0.25">
      <c r="A2418" s="10"/>
      <c r="B2418" s="10"/>
      <c r="C2418" s="10"/>
      <c r="D2418" s="10"/>
      <c r="E2418" s="10"/>
      <c r="F2418" s="10"/>
      <c r="G2418" s="10"/>
      <c r="H2418" s="10"/>
      <c r="I2418" s="1" t="str">
        <f t="shared" si="111"/>
        <v/>
      </c>
      <c r="J2418" s="1" t="s">
        <v>35</v>
      </c>
      <c r="K2418" s="1" t="str">
        <f t="shared" si="112"/>
        <v/>
      </c>
      <c r="L2418" s="1" t="str">
        <f t="shared" si="113"/>
        <v/>
      </c>
      <c r="M2418" s="1">
        <f>IF(OR(Table1[[#This Row],[Std Nom]]="",Table1[[#This Row],[Std Read]]=""),0,Table1[[#This Row],[Std Nom]]-Table1[[#This Row],[Std Read]])</f>
        <v>0</v>
      </c>
      <c r="N2418" s="1">
        <f>IF(Calculations!$F$5="ACCREDITED 17025 WITH UNCERTAINTIES",$N$10,0)</f>
        <v>0</v>
      </c>
      <c r="O2418" s="1" t="str">
        <f>IFERROR(Table1[[#This Row],[Std Nom]]-(_xlfn.XLOOKUP(Table1[[#This Row],[Manufacturer]]&amp;" "&amp;Table1[[#This Row],[Model]],Table13[MFR &amp; MDL],Table13[Tolerance % CW ],"")/100*Table1[[#This Row],[Std Nom]]),"")</f>
        <v/>
      </c>
      <c r="P2418" s="1" t="str">
        <f>IFERROR(Table1[[#This Row],[Std Nom]]+(_xlfn.XLOOKUP(Table1[[#This Row],[Manufacturer]]&amp;" "&amp;Table1[[#This Row],[Model]],Table13[MFR &amp; MDL],Table13[Tolerance % CW ],"")/100*Table1[[#This Row],[Std Nom]]),"")</f>
        <v/>
      </c>
      <c r="Q2418" s="1" t="e">
        <f>Table1[[#This Row],[High Tol]]-Table1[[#This Row],[Low Tol]]</f>
        <v>#VALUE!</v>
      </c>
      <c r="R2418" s="1">
        <f>2*Table1[[#This Row],[Std Error]]</f>
        <v>0</v>
      </c>
      <c r="S2418" s="1" t="str">
        <f>IF(Table1[[#This Row],[High Tol]]="","N/A",IFERROR(ABS(Table1[[#This Row],[Tol Span]]/Table1[[#This Row],[Error Span]]),"N/A"))</f>
        <v>N/A</v>
      </c>
      <c r="T2418" s="1" t="str">
        <f>IF(OR(Table1[[#This Row],[Low Tol]]="",Table1[[#This Row],[High Tol]]=""),"Needs Analysis",IF(Table1[[#This Row],[Ratio]]&gt;=4,"Not Significant",IF(Table1[[#This Row],[Ratio]]&gt;=2,"Semi-Significant","Significant")))</f>
        <v>Needs Analysis</v>
      </c>
      <c r="W2418" s="1">
        <f>IF(Table1[[#This Row],[Cal Type]]&lt;&gt;"ACCREDITED 17025 WITH UNCERTAINTIES",0,"")</f>
        <v>0</v>
      </c>
      <c r="X2418" s="1" t="str">
        <f>IF(Table1[[#This Row],[DUT Read]]="","N/A",Table1[[#This Row],[Std Error]]+Table1[[#This Row],[DUT Read]]+Table1[[#This Row],[DUT Ucty]])</f>
        <v>N/A</v>
      </c>
      <c r="Y2418" s="1" t="str">
        <f>IF(Table1[[#This Row],[Std Read]]="","N/A",Table1[[#This Row],[Std Read]]+Table1[[#This Row],[Std Ucty]])</f>
        <v>N/A</v>
      </c>
      <c r="Z24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8" s="1" t="str">
        <f>IF(Table1[[#This Row],[Spec Type]]="","N/A",Table1[[#This Row],[Spec Type]])</f>
        <v>±</v>
      </c>
      <c r="AC2418" s="1" t="str">
        <f>IF(Table1[[#This Row],[Spec Type2]]="N/A","N/A",IF(AND(Table1[[#This Row],[DUT Adj Read]]&gt;=Table1[[#This Row],[Low Tol]],Table1[[#This Row],[DUT Adj Read]]&lt;=Table1[[#This Row],[High Tol]]),"Pass","Fail"))</f>
        <v>Fail</v>
      </c>
      <c r="AD2418" s="1" t="str">
        <f>IF(AND(Table1[[#This Row],[Spec Type2]]="N/A",Table1[[#This Row],[DUT Adj Read]]="N/A",Table1[[#This Row],[Std Adj Read]]="N/A"),"N/A",IF(Table1[[#This Row],[DUT Adj Read]]="N/A",IF(Table1[[#This Row],[Std Adj Read]]&gt;Table1[[#This Row],[Low Tol]],"Pass","Fail"),IF(Table1[[#This Row],[DUT Adj Read]]&gt;Table1[[#This Row],[Low Tol]],"Pass","Fail")))</f>
        <v>Pass</v>
      </c>
      <c r="AE2418" s="1" t="str">
        <f>IF(AND(Table1[[#This Row],[Spec Type2]]="N/A",Table1[[#This Row],[DUT Adj Read]]="N/A",Table1[[#This Row],[Std Adj Read]]="N/A"),"N/A",IF(Table1[[#This Row],[DUT Adj Read]]="N/A",IF(Table1[[#This Row],[Std Adj Read]]&lt;Table1[[#This Row],[High Tol]],"Pass","Fail"),IF(Table1[[#This Row],[DUT Adj Read]]&lt;Table1[[#This Row],[High Tol]],"Pass","Fail")))</f>
        <v>Fail</v>
      </c>
      <c r="AF2418" s="1" t="str">
        <f>IF(AND(Table1[[#This Row],[Spec Type2]]="N/A",Table1[[#This Row],[DUT Adj Read]]="N/A",Table1[[#This Row],[Std Adj Read]]="N/A"),"N/A",IF(Table1[[#This Row],[DUT Adj Read]]="N/A",IF(Table1[[#This Row],[Std Adj Read]]&gt;=Table1[[#This Row],[Low Tol]],"Pass","Fail"),IF(Table1[[#This Row],[DUT Adj Read]]&gt;=Table1[[#This Row],[Low Tol]],"Pass","Fail")))</f>
        <v>Pass</v>
      </c>
      <c r="AG2418" s="1" t="str">
        <f>IF(AND(Table1[[#This Row],[Spec Type2]]="N/A",Table1[[#This Row],[DUT Adj Read]]="N/A",Table1[[#This Row],[Std Adj Read]]="N/A"),"N/A",IF(Table1[[#This Row],[DUT Adj Read]]="N/A",IF(Table1[[#This Row],[Std Adj Read]]&lt;=Table1[[#This Row],[High Tol]],"Pass","Fail"),IF(Table1[[#This Row],[DUT Adj Read]]&lt;=Table1[[#This Row],[High Tol]],"Pass","Fail")))</f>
        <v>Fail</v>
      </c>
      <c r="AH24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8" s="1" t="b">
        <v>0</v>
      </c>
      <c r="AN2418" s="1" t="b">
        <v>0</v>
      </c>
      <c r="AO2418" s="1" t="b">
        <v>0</v>
      </c>
    </row>
    <row r="2419" spans="1:41" x14ac:dyDescent="0.25">
      <c r="A2419" s="10"/>
      <c r="B2419" s="10"/>
      <c r="C2419" s="10"/>
      <c r="D2419" s="10"/>
      <c r="E2419" s="10"/>
      <c r="F2419" s="10"/>
      <c r="G2419" s="10"/>
      <c r="H2419" s="10"/>
      <c r="I2419" s="1" t="str">
        <f t="shared" si="111"/>
        <v/>
      </c>
      <c r="J2419" s="1" t="s">
        <v>35</v>
      </c>
      <c r="K2419" s="1" t="str">
        <f t="shared" si="112"/>
        <v/>
      </c>
      <c r="L2419" s="1" t="str">
        <f t="shared" si="113"/>
        <v/>
      </c>
      <c r="M2419" s="1">
        <f>IF(OR(Table1[[#This Row],[Std Nom]]="",Table1[[#This Row],[Std Read]]=""),0,Table1[[#This Row],[Std Nom]]-Table1[[#This Row],[Std Read]])</f>
        <v>0</v>
      </c>
      <c r="N2419" s="1">
        <f>IF(Calculations!$F$5="ACCREDITED 17025 WITH UNCERTAINTIES",$N$10,0)</f>
        <v>0</v>
      </c>
      <c r="O2419" s="1" t="str">
        <f>IFERROR(Table1[[#This Row],[Std Nom]]-(_xlfn.XLOOKUP(Table1[[#This Row],[Manufacturer]]&amp;" "&amp;Table1[[#This Row],[Model]],Table13[MFR &amp; MDL],Table13[Tolerance % CW ],"")/100*Table1[[#This Row],[Std Nom]]),"")</f>
        <v/>
      </c>
      <c r="P2419" s="1" t="str">
        <f>IFERROR(Table1[[#This Row],[Std Nom]]+(_xlfn.XLOOKUP(Table1[[#This Row],[Manufacturer]]&amp;" "&amp;Table1[[#This Row],[Model]],Table13[MFR &amp; MDL],Table13[Tolerance % CW ],"")/100*Table1[[#This Row],[Std Nom]]),"")</f>
        <v/>
      </c>
      <c r="Q2419" s="1" t="e">
        <f>Table1[[#This Row],[High Tol]]-Table1[[#This Row],[Low Tol]]</f>
        <v>#VALUE!</v>
      </c>
      <c r="R2419" s="1">
        <f>2*Table1[[#This Row],[Std Error]]</f>
        <v>0</v>
      </c>
      <c r="S2419" s="1" t="str">
        <f>IF(Table1[[#This Row],[High Tol]]="","N/A",IFERROR(ABS(Table1[[#This Row],[Tol Span]]/Table1[[#This Row],[Error Span]]),"N/A"))</f>
        <v>N/A</v>
      </c>
      <c r="T2419" s="1" t="str">
        <f>IF(OR(Table1[[#This Row],[Low Tol]]="",Table1[[#This Row],[High Tol]]=""),"Needs Analysis",IF(Table1[[#This Row],[Ratio]]&gt;=4,"Not Significant",IF(Table1[[#This Row],[Ratio]]&gt;=2,"Semi-Significant","Significant")))</f>
        <v>Needs Analysis</v>
      </c>
      <c r="W2419" s="1">
        <f>IF(Table1[[#This Row],[Cal Type]]&lt;&gt;"ACCREDITED 17025 WITH UNCERTAINTIES",0,"")</f>
        <v>0</v>
      </c>
      <c r="X2419" s="1" t="str">
        <f>IF(Table1[[#This Row],[DUT Read]]="","N/A",Table1[[#This Row],[Std Error]]+Table1[[#This Row],[DUT Read]]+Table1[[#This Row],[DUT Ucty]])</f>
        <v>N/A</v>
      </c>
      <c r="Y2419" s="1" t="str">
        <f>IF(Table1[[#This Row],[Std Read]]="","N/A",Table1[[#This Row],[Std Read]]+Table1[[#This Row],[Std Ucty]])</f>
        <v>N/A</v>
      </c>
      <c r="Z24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9" s="1" t="str">
        <f>IF(Table1[[#This Row],[Spec Type]]="","N/A",Table1[[#This Row],[Spec Type]])</f>
        <v>±</v>
      </c>
      <c r="AC2419" s="1" t="str">
        <f>IF(Table1[[#This Row],[Spec Type2]]="N/A","N/A",IF(AND(Table1[[#This Row],[DUT Adj Read]]&gt;=Table1[[#This Row],[Low Tol]],Table1[[#This Row],[DUT Adj Read]]&lt;=Table1[[#This Row],[High Tol]]),"Pass","Fail"))</f>
        <v>Fail</v>
      </c>
      <c r="AD2419" s="1" t="str">
        <f>IF(AND(Table1[[#This Row],[Spec Type2]]="N/A",Table1[[#This Row],[DUT Adj Read]]="N/A",Table1[[#This Row],[Std Adj Read]]="N/A"),"N/A",IF(Table1[[#This Row],[DUT Adj Read]]="N/A",IF(Table1[[#This Row],[Std Adj Read]]&gt;Table1[[#This Row],[Low Tol]],"Pass","Fail"),IF(Table1[[#This Row],[DUT Adj Read]]&gt;Table1[[#This Row],[Low Tol]],"Pass","Fail")))</f>
        <v>Pass</v>
      </c>
      <c r="AE2419" s="1" t="str">
        <f>IF(AND(Table1[[#This Row],[Spec Type2]]="N/A",Table1[[#This Row],[DUT Adj Read]]="N/A",Table1[[#This Row],[Std Adj Read]]="N/A"),"N/A",IF(Table1[[#This Row],[DUT Adj Read]]="N/A",IF(Table1[[#This Row],[Std Adj Read]]&lt;Table1[[#This Row],[High Tol]],"Pass","Fail"),IF(Table1[[#This Row],[DUT Adj Read]]&lt;Table1[[#This Row],[High Tol]],"Pass","Fail")))</f>
        <v>Fail</v>
      </c>
      <c r="AF2419" s="1" t="str">
        <f>IF(AND(Table1[[#This Row],[Spec Type2]]="N/A",Table1[[#This Row],[DUT Adj Read]]="N/A",Table1[[#This Row],[Std Adj Read]]="N/A"),"N/A",IF(Table1[[#This Row],[DUT Adj Read]]="N/A",IF(Table1[[#This Row],[Std Adj Read]]&gt;=Table1[[#This Row],[Low Tol]],"Pass","Fail"),IF(Table1[[#This Row],[DUT Adj Read]]&gt;=Table1[[#This Row],[Low Tol]],"Pass","Fail")))</f>
        <v>Pass</v>
      </c>
      <c r="AG2419" s="1" t="str">
        <f>IF(AND(Table1[[#This Row],[Spec Type2]]="N/A",Table1[[#This Row],[DUT Adj Read]]="N/A",Table1[[#This Row],[Std Adj Read]]="N/A"),"N/A",IF(Table1[[#This Row],[DUT Adj Read]]="N/A",IF(Table1[[#This Row],[Std Adj Read]]&lt;=Table1[[#This Row],[High Tol]],"Pass","Fail"),IF(Table1[[#This Row],[DUT Adj Read]]&lt;=Table1[[#This Row],[High Tol]],"Pass","Fail")))</f>
        <v>Fail</v>
      </c>
      <c r="AH24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9" s="1" t="b">
        <v>0</v>
      </c>
      <c r="AN2419" s="1" t="b">
        <v>0</v>
      </c>
      <c r="AO2419" s="1" t="b">
        <v>0</v>
      </c>
    </row>
    <row r="2420" spans="1:41" x14ac:dyDescent="0.25">
      <c r="A2420" s="10"/>
      <c r="B2420" s="10"/>
      <c r="C2420" s="10"/>
      <c r="D2420" s="10"/>
      <c r="E2420" s="10"/>
      <c r="F2420" s="10"/>
      <c r="G2420" s="10"/>
      <c r="H2420" s="10"/>
      <c r="I2420" s="1" t="str">
        <f t="shared" si="111"/>
        <v/>
      </c>
      <c r="J2420" s="1" t="s">
        <v>35</v>
      </c>
      <c r="K2420" s="1" t="str">
        <f t="shared" si="112"/>
        <v/>
      </c>
      <c r="L2420" s="1" t="str">
        <f t="shared" si="113"/>
        <v/>
      </c>
      <c r="M2420" s="1">
        <f>IF(OR(Table1[[#This Row],[Std Nom]]="",Table1[[#This Row],[Std Read]]=""),0,Table1[[#This Row],[Std Nom]]-Table1[[#This Row],[Std Read]])</f>
        <v>0</v>
      </c>
      <c r="N2420" s="1">
        <f>IF(Calculations!$F$5="ACCREDITED 17025 WITH UNCERTAINTIES",$N$10,0)</f>
        <v>0</v>
      </c>
      <c r="O2420" s="1" t="str">
        <f>IFERROR(Table1[[#This Row],[Std Nom]]-(_xlfn.XLOOKUP(Table1[[#This Row],[Manufacturer]]&amp;" "&amp;Table1[[#This Row],[Model]],Table13[MFR &amp; MDL],Table13[Tolerance % CW ],"")/100*Table1[[#This Row],[Std Nom]]),"")</f>
        <v/>
      </c>
      <c r="P2420" s="1" t="str">
        <f>IFERROR(Table1[[#This Row],[Std Nom]]+(_xlfn.XLOOKUP(Table1[[#This Row],[Manufacturer]]&amp;" "&amp;Table1[[#This Row],[Model]],Table13[MFR &amp; MDL],Table13[Tolerance % CW ],"")/100*Table1[[#This Row],[Std Nom]]),"")</f>
        <v/>
      </c>
      <c r="Q2420" s="1" t="e">
        <f>Table1[[#This Row],[High Tol]]-Table1[[#This Row],[Low Tol]]</f>
        <v>#VALUE!</v>
      </c>
      <c r="R2420" s="1">
        <f>2*Table1[[#This Row],[Std Error]]</f>
        <v>0</v>
      </c>
      <c r="S2420" s="1" t="str">
        <f>IF(Table1[[#This Row],[High Tol]]="","N/A",IFERROR(ABS(Table1[[#This Row],[Tol Span]]/Table1[[#This Row],[Error Span]]),"N/A"))</f>
        <v>N/A</v>
      </c>
      <c r="T2420" s="1" t="str">
        <f>IF(OR(Table1[[#This Row],[Low Tol]]="",Table1[[#This Row],[High Tol]]=""),"Needs Analysis",IF(Table1[[#This Row],[Ratio]]&gt;=4,"Not Significant",IF(Table1[[#This Row],[Ratio]]&gt;=2,"Semi-Significant","Significant")))</f>
        <v>Needs Analysis</v>
      </c>
      <c r="W2420" s="1">
        <f>IF(Table1[[#This Row],[Cal Type]]&lt;&gt;"ACCREDITED 17025 WITH UNCERTAINTIES",0,"")</f>
        <v>0</v>
      </c>
      <c r="X2420" s="1" t="str">
        <f>IF(Table1[[#This Row],[DUT Read]]="","N/A",Table1[[#This Row],[Std Error]]+Table1[[#This Row],[DUT Read]]+Table1[[#This Row],[DUT Ucty]])</f>
        <v>N/A</v>
      </c>
      <c r="Y2420" s="1" t="str">
        <f>IF(Table1[[#This Row],[Std Read]]="","N/A",Table1[[#This Row],[Std Read]]+Table1[[#This Row],[Std Ucty]])</f>
        <v>N/A</v>
      </c>
      <c r="Z24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0" s="1" t="str">
        <f>IF(Table1[[#This Row],[Spec Type]]="","N/A",Table1[[#This Row],[Spec Type]])</f>
        <v>±</v>
      </c>
      <c r="AC2420" s="1" t="str">
        <f>IF(Table1[[#This Row],[Spec Type2]]="N/A","N/A",IF(AND(Table1[[#This Row],[DUT Adj Read]]&gt;=Table1[[#This Row],[Low Tol]],Table1[[#This Row],[DUT Adj Read]]&lt;=Table1[[#This Row],[High Tol]]),"Pass","Fail"))</f>
        <v>Fail</v>
      </c>
      <c r="AD2420" s="1" t="str">
        <f>IF(AND(Table1[[#This Row],[Spec Type2]]="N/A",Table1[[#This Row],[DUT Adj Read]]="N/A",Table1[[#This Row],[Std Adj Read]]="N/A"),"N/A",IF(Table1[[#This Row],[DUT Adj Read]]="N/A",IF(Table1[[#This Row],[Std Adj Read]]&gt;Table1[[#This Row],[Low Tol]],"Pass","Fail"),IF(Table1[[#This Row],[DUT Adj Read]]&gt;Table1[[#This Row],[Low Tol]],"Pass","Fail")))</f>
        <v>Pass</v>
      </c>
      <c r="AE2420" s="1" t="str">
        <f>IF(AND(Table1[[#This Row],[Spec Type2]]="N/A",Table1[[#This Row],[DUT Adj Read]]="N/A",Table1[[#This Row],[Std Adj Read]]="N/A"),"N/A",IF(Table1[[#This Row],[DUT Adj Read]]="N/A",IF(Table1[[#This Row],[Std Adj Read]]&lt;Table1[[#This Row],[High Tol]],"Pass","Fail"),IF(Table1[[#This Row],[DUT Adj Read]]&lt;Table1[[#This Row],[High Tol]],"Pass","Fail")))</f>
        <v>Fail</v>
      </c>
      <c r="AF2420" s="1" t="str">
        <f>IF(AND(Table1[[#This Row],[Spec Type2]]="N/A",Table1[[#This Row],[DUT Adj Read]]="N/A",Table1[[#This Row],[Std Adj Read]]="N/A"),"N/A",IF(Table1[[#This Row],[DUT Adj Read]]="N/A",IF(Table1[[#This Row],[Std Adj Read]]&gt;=Table1[[#This Row],[Low Tol]],"Pass","Fail"),IF(Table1[[#This Row],[DUT Adj Read]]&gt;=Table1[[#This Row],[Low Tol]],"Pass","Fail")))</f>
        <v>Pass</v>
      </c>
      <c r="AG2420" s="1" t="str">
        <f>IF(AND(Table1[[#This Row],[Spec Type2]]="N/A",Table1[[#This Row],[DUT Adj Read]]="N/A",Table1[[#This Row],[Std Adj Read]]="N/A"),"N/A",IF(Table1[[#This Row],[DUT Adj Read]]="N/A",IF(Table1[[#This Row],[Std Adj Read]]&lt;=Table1[[#This Row],[High Tol]],"Pass","Fail"),IF(Table1[[#This Row],[DUT Adj Read]]&lt;=Table1[[#This Row],[High Tol]],"Pass","Fail")))</f>
        <v>Fail</v>
      </c>
      <c r="AH24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0" s="1" t="b">
        <v>0</v>
      </c>
      <c r="AN2420" s="1" t="b">
        <v>0</v>
      </c>
      <c r="AO2420" s="1" t="b">
        <v>0</v>
      </c>
    </row>
    <row r="2421" spans="1:41" x14ac:dyDescent="0.25">
      <c r="A2421" s="10"/>
      <c r="B2421" s="10"/>
      <c r="C2421" s="10"/>
      <c r="D2421" s="10"/>
      <c r="E2421" s="10"/>
      <c r="F2421" s="10"/>
      <c r="G2421" s="10"/>
      <c r="H2421" s="10"/>
      <c r="I2421" s="1" t="str">
        <f t="shared" si="111"/>
        <v/>
      </c>
      <c r="J2421" s="1" t="s">
        <v>35</v>
      </c>
      <c r="K2421" s="1" t="str">
        <f t="shared" si="112"/>
        <v/>
      </c>
      <c r="L2421" s="1" t="str">
        <f t="shared" si="113"/>
        <v/>
      </c>
      <c r="M2421" s="1">
        <f>IF(OR(Table1[[#This Row],[Std Nom]]="",Table1[[#This Row],[Std Read]]=""),0,Table1[[#This Row],[Std Nom]]-Table1[[#This Row],[Std Read]])</f>
        <v>0</v>
      </c>
      <c r="N2421" s="1">
        <f>IF(Calculations!$F$5="ACCREDITED 17025 WITH UNCERTAINTIES",$N$10,0)</f>
        <v>0</v>
      </c>
      <c r="O2421" s="1" t="str">
        <f>IFERROR(Table1[[#This Row],[Std Nom]]-(_xlfn.XLOOKUP(Table1[[#This Row],[Manufacturer]]&amp;" "&amp;Table1[[#This Row],[Model]],Table13[MFR &amp; MDL],Table13[Tolerance % CW ],"")/100*Table1[[#This Row],[Std Nom]]),"")</f>
        <v/>
      </c>
      <c r="P2421" s="1" t="str">
        <f>IFERROR(Table1[[#This Row],[Std Nom]]+(_xlfn.XLOOKUP(Table1[[#This Row],[Manufacturer]]&amp;" "&amp;Table1[[#This Row],[Model]],Table13[MFR &amp; MDL],Table13[Tolerance % CW ],"")/100*Table1[[#This Row],[Std Nom]]),"")</f>
        <v/>
      </c>
      <c r="Q2421" s="1" t="e">
        <f>Table1[[#This Row],[High Tol]]-Table1[[#This Row],[Low Tol]]</f>
        <v>#VALUE!</v>
      </c>
      <c r="R2421" s="1">
        <f>2*Table1[[#This Row],[Std Error]]</f>
        <v>0</v>
      </c>
      <c r="S2421" s="1" t="str">
        <f>IF(Table1[[#This Row],[High Tol]]="","N/A",IFERROR(ABS(Table1[[#This Row],[Tol Span]]/Table1[[#This Row],[Error Span]]),"N/A"))</f>
        <v>N/A</v>
      </c>
      <c r="T2421" s="1" t="str">
        <f>IF(OR(Table1[[#This Row],[Low Tol]]="",Table1[[#This Row],[High Tol]]=""),"Needs Analysis",IF(Table1[[#This Row],[Ratio]]&gt;=4,"Not Significant",IF(Table1[[#This Row],[Ratio]]&gt;=2,"Semi-Significant","Significant")))</f>
        <v>Needs Analysis</v>
      </c>
      <c r="W2421" s="1">
        <f>IF(Table1[[#This Row],[Cal Type]]&lt;&gt;"ACCREDITED 17025 WITH UNCERTAINTIES",0,"")</f>
        <v>0</v>
      </c>
      <c r="X2421" s="1" t="str">
        <f>IF(Table1[[#This Row],[DUT Read]]="","N/A",Table1[[#This Row],[Std Error]]+Table1[[#This Row],[DUT Read]]+Table1[[#This Row],[DUT Ucty]])</f>
        <v>N/A</v>
      </c>
      <c r="Y2421" s="1" t="str">
        <f>IF(Table1[[#This Row],[Std Read]]="","N/A",Table1[[#This Row],[Std Read]]+Table1[[#This Row],[Std Ucty]])</f>
        <v>N/A</v>
      </c>
      <c r="Z24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1" s="1" t="str">
        <f>IF(Table1[[#This Row],[Spec Type]]="","N/A",Table1[[#This Row],[Spec Type]])</f>
        <v>±</v>
      </c>
      <c r="AC2421" s="1" t="str">
        <f>IF(Table1[[#This Row],[Spec Type2]]="N/A","N/A",IF(AND(Table1[[#This Row],[DUT Adj Read]]&gt;=Table1[[#This Row],[Low Tol]],Table1[[#This Row],[DUT Adj Read]]&lt;=Table1[[#This Row],[High Tol]]),"Pass","Fail"))</f>
        <v>Fail</v>
      </c>
      <c r="AD2421" s="1" t="str">
        <f>IF(AND(Table1[[#This Row],[Spec Type2]]="N/A",Table1[[#This Row],[DUT Adj Read]]="N/A",Table1[[#This Row],[Std Adj Read]]="N/A"),"N/A",IF(Table1[[#This Row],[DUT Adj Read]]="N/A",IF(Table1[[#This Row],[Std Adj Read]]&gt;Table1[[#This Row],[Low Tol]],"Pass","Fail"),IF(Table1[[#This Row],[DUT Adj Read]]&gt;Table1[[#This Row],[Low Tol]],"Pass","Fail")))</f>
        <v>Pass</v>
      </c>
      <c r="AE2421" s="1" t="str">
        <f>IF(AND(Table1[[#This Row],[Spec Type2]]="N/A",Table1[[#This Row],[DUT Adj Read]]="N/A",Table1[[#This Row],[Std Adj Read]]="N/A"),"N/A",IF(Table1[[#This Row],[DUT Adj Read]]="N/A",IF(Table1[[#This Row],[Std Adj Read]]&lt;Table1[[#This Row],[High Tol]],"Pass","Fail"),IF(Table1[[#This Row],[DUT Adj Read]]&lt;Table1[[#This Row],[High Tol]],"Pass","Fail")))</f>
        <v>Fail</v>
      </c>
      <c r="AF2421" s="1" t="str">
        <f>IF(AND(Table1[[#This Row],[Spec Type2]]="N/A",Table1[[#This Row],[DUT Adj Read]]="N/A",Table1[[#This Row],[Std Adj Read]]="N/A"),"N/A",IF(Table1[[#This Row],[DUT Adj Read]]="N/A",IF(Table1[[#This Row],[Std Adj Read]]&gt;=Table1[[#This Row],[Low Tol]],"Pass","Fail"),IF(Table1[[#This Row],[DUT Adj Read]]&gt;=Table1[[#This Row],[Low Tol]],"Pass","Fail")))</f>
        <v>Pass</v>
      </c>
      <c r="AG2421" s="1" t="str">
        <f>IF(AND(Table1[[#This Row],[Spec Type2]]="N/A",Table1[[#This Row],[DUT Adj Read]]="N/A",Table1[[#This Row],[Std Adj Read]]="N/A"),"N/A",IF(Table1[[#This Row],[DUT Adj Read]]="N/A",IF(Table1[[#This Row],[Std Adj Read]]&lt;=Table1[[#This Row],[High Tol]],"Pass","Fail"),IF(Table1[[#This Row],[DUT Adj Read]]&lt;=Table1[[#This Row],[High Tol]],"Pass","Fail")))</f>
        <v>Fail</v>
      </c>
      <c r="AH24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1" s="1" t="b">
        <v>0</v>
      </c>
      <c r="AN2421" s="1" t="b">
        <v>0</v>
      </c>
      <c r="AO2421" s="1" t="b">
        <v>0</v>
      </c>
    </row>
    <row r="2422" spans="1:41" x14ac:dyDescent="0.25">
      <c r="A2422" s="10"/>
      <c r="B2422" s="10"/>
      <c r="C2422" s="10"/>
      <c r="D2422" s="10"/>
      <c r="E2422" s="10"/>
      <c r="F2422" s="10"/>
      <c r="G2422" s="10"/>
      <c r="H2422" s="10"/>
      <c r="I2422" s="1" t="str">
        <f t="shared" si="111"/>
        <v/>
      </c>
      <c r="J2422" s="1" t="s">
        <v>35</v>
      </c>
      <c r="K2422" s="1" t="str">
        <f t="shared" si="112"/>
        <v/>
      </c>
      <c r="L2422" s="1" t="str">
        <f t="shared" si="113"/>
        <v/>
      </c>
      <c r="M2422" s="1">
        <f>IF(OR(Table1[[#This Row],[Std Nom]]="",Table1[[#This Row],[Std Read]]=""),0,Table1[[#This Row],[Std Nom]]-Table1[[#This Row],[Std Read]])</f>
        <v>0</v>
      </c>
      <c r="N2422" s="1">
        <f>IF(Calculations!$F$5="ACCREDITED 17025 WITH UNCERTAINTIES",$N$10,0)</f>
        <v>0</v>
      </c>
      <c r="O2422" s="1" t="str">
        <f>IFERROR(Table1[[#This Row],[Std Nom]]-(_xlfn.XLOOKUP(Table1[[#This Row],[Manufacturer]]&amp;" "&amp;Table1[[#This Row],[Model]],Table13[MFR &amp; MDL],Table13[Tolerance % CW ],"")/100*Table1[[#This Row],[Std Nom]]),"")</f>
        <v/>
      </c>
      <c r="P2422" s="1" t="str">
        <f>IFERROR(Table1[[#This Row],[Std Nom]]+(_xlfn.XLOOKUP(Table1[[#This Row],[Manufacturer]]&amp;" "&amp;Table1[[#This Row],[Model]],Table13[MFR &amp; MDL],Table13[Tolerance % CW ],"")/100*Table1[[#This Row],[Std Nom]]),"")</f>
        <v/>
      </c>
      <c r="Q2422" s="1" t="e">
        <f>Table1[[#This Row],[High Tol]]-Table1[[#This Row],[Low Tol]]</f>
        <v>#VALUE!</v>
      </c>
      <c r="R2422" s="1">
        <f>2*Table1[[#This Row],[Std Error]]</f>
        <v>0</v>
      </c>
      <c r="S2422" s="1" t="str">
        <f>IF(Table1[[#This Row],[High Tol]]="","N/A",IFERROR(ABS(Table1[[#This Row],[Tol Span]]/Table1[[#This Row],[Error Span]]),"N/A"))</f>
        <v>N/A</v>
      </c>
      <c r="T2422" s="1" t="str">
        <f>IF(OR(Table1[[#This Row],[Low Tol]]="",Table1[[#This Row],[High Tol]]=""),"Needs Analysis",IF(Table1[[#This Row],[Ratio]]&gt;=4,"Not Significant",IF(Table1[[#This Row],[Ratio]]&gt;=2,"Semi-Significant","Significant")))</f>
        <v>Needs Analysis</v>
      </c>
      <c r="W2422" s="1">
        <f>IF(Table1[[#This Row],[Cal Type]]&lt;&gt;"ACCREDITED 17025 WITH UNCERTAINTIES",0,"")</f>
        <v>0</v>
      </c>
      <c r="X2422" s="1" t="str">
        <f>IF(Table1[[#This Row],[DUT Read]]="","N/A",Table1[[#This Row],[Std Error]]+Table1[[#This Row],[DUT Read]]+Table1[[#This Row],[DUT Ucty]])</f>
        <v>N/A</v>
      </c>
      <c r="Y2422" s="1" t="str">
        <f>IF(Table1[[#This Row],[Std Read]]="","N/A",Table1[[#This Row],[Std Read]]+Table1[[#This Row],[Std Ucty]])</f>
        <v>N/A</v>
      </c>
      <c r="Z24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2" s="1" t="str">
        <f>IF(Table1[[#This Row],[Spec Type]]="","N/A",Table1[[#This Row],[Spec Type]])</f>
        <v>±</v>
      </c>
      <c r="AC2422" s="1" t="str">
        <f>IF(Table1[[#This Row],[Spec Type2]]="N/A","N/A",IF(AND(Table1[[#This Row],[DUT Adj Read]]&gt;=Table1[[#This Row],[Low Tol]],Table1[[#This Row],[DUT Adj Read]]&lt;=Table1[[#This Row],[High Tol]]),"Pass","Fail"))</f>
        <v>Fail</v>
      </c>
      <c r="AD2422" s="1" t="str">
        <f>IF(AND(Table1[[#This Row],[Spec Type2]]="N/A",Table1[[#This Row],[DUT Adj Read]]="N/A",Table1[[#This Row],[Std Adj Read]]="N/A"),"N/A",IF(Table1[[#This Row],[DUT Adj Read]]="N/A",IF(Table1[[#This Row],[Std Adj Read]]&gt;Table1[[#This Row],[Low Tol]],"Pass","Fail"),IF(Table1[[#This Row],[DUT Adj Read]]&gt;Table1[[#This Row],[Low Tol]],"Pass","Fail")))</f>
        <v>Pass</v>
      </c>
      <c r="AE2422" s="1" t="str">
        <f>IF(AND(Table1[[#This Row],[Spec Type2]]="N/A",Table1[[#This Row],[DUT Adj Read]]="N/A",Table1[[#This Row],[Std Adj Read]]="N/A"),"N/A",IF(Table1[[#This Row],[DUT Adj Read]]="N/A",IF(Table1[[#This Row],[Std Adj Read]]&lt;Table1[[#This Row],[High Tol]],"Pass","Fail"),IF(Table1[[#This Row],[DUT Adj Read]]&lt;Table1[[#This Row],[High Tol]],"Pass","Fail")))</f>
        <v>Fail</v>
      </c>
      <c r="AF2422" s="1" t="str">
        <f>IF(AND(Table1[[#This Row],[Spec Type2]]="N/A",Table1[[#This Row],[DUT Adj Read]]="N/A",Table1[[#This Row],[Std Adj Read]]="N/A"),"N/A",IF(Table1[[#This Row],[DUT Adj Read]]="N/A",IF(Table1[[#This Row],[Std Adj Read]]&gt;=Table1[[#This Row],[Low Tol]],"Pass","Fail"),IF(Table1[[#This Row],[DUT Adj Read]]&gt;=Table1[[#This Row],[Low Tol]],"Pass","Fail")))</f>
        <v>Pass</v>
      </c>
      <c r="AG2422" s="1" t="str">
        <f>IF(AND(Table1[[#This Row],[Spec Type2]]="N/A",Table1[[#This Row],[DUT Adj Read]]="N/A",Table1[[#This Row],[Std Adj Read]]="N/A"),"N/A",IF(Table1[[#This Row],[DUT Adj Read]]="N/A",IF(Table1[[#This Row],[Std Adj Read]]&lt;=Table1[[#This Row],[High Tol]],"Pass","Fail"),IF(Table1[[#This Row],[DUT Adj Read]]&lt;=Table1[[#This Row],[High Tol]],"Pass","Fail")))</f>
        <v>Fail</v>
      </c>
      <c r="AH24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2" s="1" t="b">
        <v>0</v>
      </c>
      <c r="AN2422" s="1" t="b">
        <v>0</v>
      </c>
      <c r="AO2422" s="1" t="b">
        <v>0</v>
      </c>
    </row>
    <row r="2423" spans="1:41" x14ac:dyDescent="0.25">
      <c r="A2423" s="10"/>
      <c r="B2423" s="10"/>
      <c r="C2423" s="10"/>
      <c r="D2423" s="10"/>
      <c r="E2423" s="10"/>
      <c r="F2423" s="10"/>
      <c r="G2423" s="10"/>
      <c r="H2423" s="10"/>
      <c r="I2423" s="1" t="str">
        <f t="shared" si="111"/>
        <v/>
      </c>
      <c r="J2423" s="1" t="s">
        <v>35</v>
      </c>
      <c r="K2423" s="1" t="str">
        <f t="shared" si="112"/>
        <v/>
      </c>
      <c r="L2423" s="1" t="str">
        <f t="shared" si="113"/>
        <v/>
      </c>
      <c r="M2423" s="1">
        <f>IF(OR(Table1[[#This Row],[Std Nom]]="",Table1[[#This Row],[Std Read]]=""),0,Table1[[#This Row],[Std Nom]]-Table1[[#This Row],[Std Read]])</f>
        <v>0</v>
      </c>
      <c r="N2423" s="1">
        <f>IF(Calculations!$F$5="ACCREDITED 17025 WITH UNCERTAINTIES",$N$10,0)</f>
        <v>0</v>
      </c>
      <c r="O2423" s="1" t="str">
        <f>IFERROR(Table1[[#This Row],[Std Nom]]-(_xlfn.XLOOKUP(Table1[[#This Row],[Manufacturer]]&amp;" "&amp;Table1[[#This Row],[Model]],Table13[MFR &amp; MDL],Table13[Tolerance % CW ],"")/100*Table1[[#This Row],[Std Nom]]),"")</f>
        <v/>
      </c>
      <c r="P2423" s="1" t="str">
        <f>IFERROR(Table1[[#This Row],[Std Nom]]+(_xlfn.XLOOKUP(Table1[[#This Row],[Manufacturer]]&amp;" "&amp;Table1[[#This Row],[Model]],Table13[MFR &amp; MDL],Table13[Tolerance % CW ],"")/100*Table1[[#This Row],[Std Nom]]),"")</f>
        <v/>
      </c>
      <c r="Q2423" s="1" t="e">
        <f>Table1[[#This Row],[High Tol]]-Table1[[#This Row],[Low Tol]]</f>
        <v>#VALUE!</v>
      </c>
      <c r="R2423" s="1">
        <f>2*Table1[[#This Row],[Std Error]]</f>
        <v>0</v>
      </c>
      <c r="S2423" s="1" t="str">
        <f>IF(Table1[[#This Row],[High Tol]]="","N/A",IFERROR(ABS(Table1[[#This Row],[Tol Span]]/Table1[[#This Row],[Error Span]]),"N/A"))</f>
        <v>N/A</v>
      </c>
      <c r="T2423" s="1" t="str">
        <f>IF(OR(Table1[[#This Row],[Low Tol]]="",Table1[[#This Row],[High Tol]]=""),"Needs Analysis",IF(Table1[[#This Row],[Ratio]]&gt;=4,"Not Significant",IF(Table1[[#This Row],[Ratio]]&gt;=2,"Semi-Significant","Significant")))</f>
        <v>Needs Analysis</v>
      </c>
      <c r="W2423" s="1">
        <f>IF(Table1[[#This Row],[Cal Type]]&lt;&gt;"ACCREDITED 17025 WITH UNCERTAINTIES",0,"")</f>
        <v>0</v>
      </c>
      <c r="X2423" s="1" t="str">
        <f>IF(Table1[[#This Row],[DUT Read]]="","N/A",Table1[[#This Row],[Std Error]]+Table1[[#This Row],[DUT Read]]+Table1[[#This Row],[DUT Ucty]])</f>
        <v>N/A</v>
      </c>
      <c r="Y2423" s="1" t="str">
        <f>IF(Table1[[#This Row],[Std Read]]="","N/A",Table1[[#This Row],[Std Read]]+Table1[[#This Row],[Std Ucty]])</f>
        <v>N/A</v>
      </c>
      <c r="Z24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3" s="1" t="str">
        <f>IF(Table1[[#This Row],[Spec Type]]="","N/A",Table1[[#This Row],[Spec Type]])</f>
        <v>±</v>
      </c>
      <c r="AC2423" s="1" t="str">
        <f>IF(Table1[[#This Row],[Spec Type2]]="N/A","N/A",IF(AND(Table1[[#This Row],[DUT Adj Read]]&gt;=Table1[[#This Row],[Low Tol]],Table1[[#This Row],[DUT Adj Read]]&lt;=Table1[[#This Row],[High Tol]]),"Pass","Fail"))</f>
        <v>Fail</v>
      </c>
      <c r="AD2423" s="1" t="str">
        <f>IF(AND(Table1[[#This Row],[Spec Type2]]="N/A",Table1[[#This Row],[DUT Adj Read]]="N/A",Table1[[#This Row],[Std Adj Read]]="N/A"),"N/A",IF(Table1[[#This Row],[DUT Adj Read]]="N/A",IF(Table1[[#This Row],[Std Adj Read]]&gt;Table1[[#This Row],[Low Tol]],"Pass","Fail"),IF(Table1[[#This Row],[DUT Adj Read]]&gt;Table1[[#This Row],[Low Tol]],"Pass","Fail")))</f>
        <v>Pass</v>
      </c>
      <c r="AE2423" s="1" t="str">
        <f>IF(AND(Table1[[#This Row],[Spec Type2]]="N/A",Table1[[#This Row],[DUT Adj Read]]="N/A",Table1[[#This Row],[Std Adj Read]]="N/A"),"N/A",IF(Table1[[#This Row],[DUT Adj Read]]="N/A",IF(Table1[[#This Row],[Std Adj Read]]&lt;Table1[[#This Row],[High Tol]],"Pass","Fail"),IF(Table1[[#This Row],[DUT Adj Read]]&lt;Table1[[#This Row],[High Tol]],"Pass","Fail")))</f>
        <v>Fail</v>
      </c>
      <c r="AF2423" s="1" t="str">
        <f>IF(AND(Table1[[#This Row],[Spec Type2]]="N/A",Table1[[#This Row],[DUT Adj Read]]="N/A",Table1[[#This Row],[Std Adj Read]]="N/A"),"N/A",IF(Table1[[#This Row],[DUT Adj Read]]="N/A",IF(Table1[[#This Row],[Std Adj Read]]&gt;=Table1[[#This Row],[Low Tol]],"Pass","Fail"),IF(Table1[[#This Row],[DUT Adj Read]]&gt;=Table1[[#This Row],[Low Tol]],"Pass","Fail")))</f>
        <v>Pass</v>
      </c>
      <c r="AG2423" s="1" t="str">
        <f>IF(AND(Table1[[#This Row],[Spec Type2]]="N/A",Table1[[#This Row],[DUT Adj Read]]="N/A",Table1[[#This Row],[Std Adj Read]]="N/A"),"N/A",IF(Table1[[#This Row],[DUT Adj Read]]="N/A",IF(Table1[[#This Row],[Std Adj Read]]&lt;=Table1[[#This Row],[High Tol]],"Pass","Fail"),IF(Table1[[#This Row],[DUT Adj Read]]&lt;=Table1[[#This Row],[High Tol]],"Pass","Fail")))</f>
        <v>Fail</v>
      </c>
      <c r="AH24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3" s="1" t="b">
        <v>0</v>
      </c>
      <c r="AN2423" s="1" t="b">
        <v>0</v>
      </c>
      <c r="AO2423" s="1" t="b">
        <v>0</v>
      </c>
    </row>
    <row r="2424" spans="1:41" x14ac:dyDescent="0.25">
      <c r="A2424" s="10"/>
      <c r="B2424" s="10"/>
      <c r="C2424" s="10"/>
      <c r="D2424" s="10"/>
      <c r="E2424" s="10"/>
      <c r="F2424" s="10"/>
      <c r="G2424" s="10"/>
      <c r="H2424" s="10"/>
      <c r="I2424" s="1" t="str">
        <f t="shared" si="111"/>
        <v/>
      </c>
      <c r="J2424" s="1" t="s">
        <v>35</v>
      </c>
      <c r="K2424" s="1" t="str">
        <f t="shared" si="112"/>
        <v/>
      </c>
      <c r="L2424" s="1" t="str">
        <f t="shared" si="113"/>
        <v/>
      </c>
      <c r="M2424" s="1">
        <f>IF(OR(Table1[[#This Row],[Std Nom]]="",Table1[[#This Row],[Std Read]]=""),0,Table1[[#This Row],[Std Nom]]-Table1[[#This Row],[Std Read]])</f>
        <v>0</v>
      </c>
      <c r="N2424" s="1">
        <f>IF(Calculations!$F$5="ACCREDITED 17025 WITH UNCERTAINTIES",$N$10,0)</f>
        <v>0</v>
      </c>
      <c r="O2424" s="1" t="str">
        <f>IFERROR(Table1[[#This Row],[Std Nom]]-(_xlfn.XLOOKUP(Table1[[#This Row],[Manufacturer]]&amp;" "&amp;Table1[[#This Row],[Model]],Table13[MFR &amp; MDL],Table13[Tolerance % CW ],"")/100*Table1[[#This Row],[Std Nom]]),"")</f>
        <v/>
      </c>
      <c r="P2424" s="1" t="str">
        <f>IFERROR(Table1[[#This Row],[Std Nom]]+(_xlfn.XLOOKUP(Table1[[#This Row],[Manufacturer]]&amp;" "&amp;Table1[[#This Row],[Model]],Table13[MFR &amp; MDL],Table13[Tolerance % CW ],"")/100*Table1[[#This Row],[Std Nom]]),"")</f>
        <v/>
      </c>
      <c r="Q2424" s="1" t="e">
        <f>Table1[[#This Row],[High Tol]]-Table1[[#This Row],[Low Tol]]</f>
        <v>#VALUE!</v>
      </c>
      <c r="R2424" s="1">
        <f>2*Table1[[#This Row],[Std Error]]</f>
        <v>0</v>
      </c>
      <c r="S2424" s="1" t="str">
        <f>IF(Table1[[#This Row],[High Tol]]="","N/A",IFERROR(ABS(Table1[[#This Row],[Tol Span]]/Table1[[#This Row],[Error Span]]),"N/A"))</f>
        <v>N/A</v>
      </c>
      <c r="T2424" s="1" t="str">
        <f>IF(OR(Table1[[#This Row],[Low Tol]]="",Table1[[#This Row],[High Tol]]=""),"Needs Analysis",IF(Table1[[#This Row],[Ratio]]&gt;=4,"Not Significant",IF(Table1[[#This Row],[Ratio]]&gt;=2,"Semi-Significant","Significant")))</f>
        <v>Needs Analysis</v>
      </c>
      <c r="W2424" s="1">
        <f>IF(Table1[[#This Row],[Cal Type]]&lt;&gt;"ACCREDITED 17025 WITH UNCERTAINTIES",0,"")</f>
        <v>0</v>
      </c>
      <c r="X2424" s="1" t="str">
        <f>IF(Table1[[#This Row],[DUT Read]]="","N/A",Table1[[#This Row],[Std Error]]+Table1[[#This Row],[DUT Read]]+Table1[[#This Row],[DUT Ucty]])</f>
        <v>N/A</v>
      </c>
      <c r="Y2424" s="1" t="str">
        <f>IF(Table1[[#This Row],[Std Read]]="","N/A",Table1[[#This Row],[Std Read]]+Table1[[#This Row],[Std Ucty]])</f>
        <v>N/A</v>
      </c>
      <c r="Z24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4" s="1" t="str">
        <f>IF(Table1[[#This Row],[Spec Type]]="","N/A",Table1[[#This Row],[Spec Type]])</f>
        <v>±</v>
      </c>
      <c r="AC2424" s="1" t="str">
        <f>IF(Table1[[#This Row],[Spec Type2]]="N/A","N/A",IF(AND(Table1[[#This Row],[DUT Adj Read]]&gt;=Table1[[#This Row],[Low Tol]],Table1[[#This Row],[DUT Adj Read]]&lt;=Table1[[#This Row],[High Tol]]),"Pass","Fail"))</f>
        <v>Fail</v>
      </c>
      <c r="AD2424" s="1" t="str">
        <f>IF(AND(Table1[[#This Row],[Spec Type2]]="N/A",Table1[[#This Row],[DUT Adj Read]]="N/A",Table1[[#This Row],[Std Adj Read]]="N/A"),"N/A",IF(Table1[[#This Row],[DUT Adj Read]]="N/A",IF(Table1[[#This Row],[Std Adj Read]]&gt;Table1[[#This Row],[Low Tol]],"Pass","Fail"),IF(Table1[[#This Row],[DUT Adj Read]]&gt;Table1[[#This Row],[Low Tol]],"Pass","Fail")))</f>
        <v>Pass</v>
      </c>
      <c r="AE2424" s="1" t="str">
        <f>IF(AND(Table1[[#This Row],[Spec Type2]]="N/A",Table1[[#This Row],[DUT Adj Read]]="N/A",Table1[[#This Row],[Std Adj Read]]="N/A"),"N/A",IF(Table1[[#This Row],[DUT Adj Read]]="N/A",IF(Table1[[#This Row],[Std Adj Read]]&lt;Table1[[#This Row],[High Tol]],"Pass","Fail"),IF(Table1[[#This Row],[DUT Adj Read]]&lt;Table1[[#This Row],[High Tol]],"Pass","Fail")))</f>
        <v>Fail</v>
      </c>
      <c r="AF2424" s="1" t="str">
        <f>IF(AND(Table1[[#This Row],[Spec Type2]]="N/A",Table1[[#This Row],[DUT Adj Read]]="N/A",Table1[[#This Row],[Std Adj Read]]="N/A"),"N/A",IF(Table1[[#This Row],[DUT Adj Read]]="N/A",IF(Table1[[#This Row],[Std Adj Read]]&gt;=Table1[[#This Row],[Low Tol]],"Pass","Fail"),IF(Table1[[#This Row],[DUT Adj Read]]&gt;=Table1[[#This Row],[Low Tol]],"Pass","Fail")))</f>
        <v>Pass</v>
      </c>
      <c r="AG2424" s="1" t="str">
        <f>IF(AND(Table1[[#This Row],[Spec Type2]]="N/A",Table1[[#This Row],[DUT Adj Read]]="N/A",Table1[[#This Row],[Std Adj Read]]="N/A"),"N/A",IF(Table1[[#This Row],[DUT Adj Read]]="N/A",IF(Table1[[#This Row],[Std Adj Read]]&lt;=Table1[[#This Row],[High Tol]],"Pass","Fail"),IF(Table1[[#This Row],[DUT Adj Read]]&lt;=Table1[[#This Row],[High Tol]],"Pass","Fail")))</f>
        <v>Fail</v>
      </c>
      <c r="AH24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4" s="1" t="b">
        <v>0</v>
      </c>
      <c r="AN2424" s="1" t="b">
        <v>0</v>
      </c>
      <c r="AO2424" s="1" t="b">
        <v>0</v>
      </c>
    </row>
    <row r="2425" spans="1:41" x14ac:dyDescent="0.25">
      <c r="A2425" s="10"/>
      <c r="B2425" s="10"/>
      <c r="C2425" s="10"/>
      <c r="D2425" s="10"/>
      <c r="E2425" s="10"/>
      <c r="F2425" s="10"/>
      <c r="G2425" s="10"/>
      <c r="H2425" s="10"/>
      <c r="I2425" s="1" t="str">
        <f t="shared" si="111"/>
        <v/>
      </c>
      <c r="J2425" s="1" t="s">
        <v>35</v>
      </c>
      <c r="K2425" s="1" t="str">
        <f t="shared" si="112"/>
        <v/>
      </c>
      <c r="L2425" s="1" t="str">
        <f t="shared" si="113"/>
        <v/>
      </c>
      <c r="M2425" s="1">
        <f>IF(OR(Table1[[#This Row],[Std Nom]]="",Table1[[#This Row],[Std Read]]=""),0,Table1[[#This Row],[Std Nom]]-Table1[[#This Row],[Std Read]])</f>
        <v>0</v>
      </c>
      <c r="N2425" s="1">
        <f>IF(Calculations!$F$5="ACCREDITED 17025 WITH UNCERTAINTIES",$N$10,0)</f>
        <v>0</v>
      </c>
      <c r="O2425" s="1" t="str">
        <f>IFERROR(Table1[[#This Row],[Std Nom]]-(_xlfn.XLOOKUP(Table1[[#This Row],[Manufacturer]]&amp;" "&amp;Table1[[#This Row],[Model]],Table13[MFR &amp; MDL],Table13[Tolerance % CW ],"")/100*Table1[[#This Row],[Std Nom]]),"")</f>
        <v/>
      </c>
      <c r="P2425" s="1" t="str">
        <f>IFERROR(Table1[[#This Row],[Std Nom]]+(_xlfn.XLOOKUP(Table1[[#This Row],[Manufacturer]]&amp;" "&amp;Table1[[#This Row],[Model]],Table13[MFR &amp; MDL],Table13[Tolerance % CW ],"")/100*Table1[[#This Row],[Std Nom]]),"")</f>
        <v/>
      </c>
      <c r="Q2425" s="1" t="e">
        <f>Table1[[#This Row],[High Tol]]-Table1[[#This Row],[Low Tol]]</f>
        <v>#VALUE!</v>
      </c>
      <c r="R2425" s="1">
        <f>2*Table1[[#This Row],[Std Error]]</f>
        <v>0</v>
      </c>
      <c r="S2425" s="1" t="str">
        <f>IF(Table1[[#This Row],[High Tol]]="","N/A",IFERROR(ABS(Table1[[#This Row],[Tol Span]]/Table1[[#This Row],[Error Span]]),"N/A"))</f>
        <v>N/A</v>
      </c>
      <c r="T2425" s="1" t="str">
        <f>IF(OR(Table1[[#This Row],[Low Tol]]="",Table1[[#This Row],[High Tol]]=""),"Needs Analysis",IF(Table1[[#This Row],[Ratio]]&gt;=4,"Not Significant",IF(Table1[[#This Row],[Ratio]]&gt;=2,"Semi-Significant","Significant")))</f>
        <v>Needs Analysis</v>
      </c>
      <c r="W2425" s="1">
        <f>IF(Table1[[#This Row],[Cal Type]]&lt;&gt;"ACCREDITED 17025 WITH UNCERTAINTIES",0,"")</f>
        <v>0</v>
      </c>
      <c r="X2425" s="1" t="str">
        <f>IF(Table1[[#This Row],[DUT Read]]="","N/A",Table1[[#This Row],[Std Error]]+Table1[[#This Row],[DUT Read]]+Table1[[#This Row],[DUT Ucty]])</f>
        <v>N/A</v>
      </c>
      <c r="Y2425" s="1" t="str">
        <f>IF(Table1[[#This Row],[Std Read]]="","N/A",Table1[[#This Row],[Std Read]]+Table1[[#This Row],[Std Ucty]])</f>
        <v>N/A</v>
      </c>
      <c r="Z24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5" s="1" t="str">
        <f>IF(Table1[[#This Row],[Spec Type]]="","N/A",Table1[[#This Row],[Spec Type]])</f>
        <v>±</v>
      </c>
      <c r="AC2425" s="1" t="str">
        <f>IF(Table1[[#This Row],[Spec Type2]]="N/A","N/A",IF(AND(Table1[[#This Row],[DUT Adj Read]]&gt;=Table1[[#This Row],[Low Tol]],Table1[[#This Row],[DUT Adj Read]]&lt;=Table1[[#This Row],[High Tol]]),"Pass","Fail"))</f>
        <v>Fail</v>
      </c>
      <c r="AD2425" s="1" t="str">
        <f>IF(AND(Table1[[#This Row],[Spec Type2]]="N/A",Table1[[#This Row],[DUT Adj Read]]="N/A",Table1[[#This Row],[Std Adj Read]]="N/A"),"N/A",IF(Table1[[#This Row],[DUT Adj Read]]="N/A",IF(Table1[[#This Row],[Std Adj Read]]&gt;Table1[[#This Row],[Low Tol]],"Pass","Fail"),IF(Table1[[#This Row],[DUT Adj Read]]&gt;Table1[[#This Row],[Low Tol]],"Pass","Fail")))</f>
        <v>Pass</v>
      </c>
      <c r="AE2425" s="1" t="str">
        <f>IF(AND(Table1[[#This Row],[Spec Type2]]="N/A",Table1[[#This Row],[DUT Adj Read]]="N/A",Table1[[#This Row],[Std Adj Read]]="N/A"),"N/A",IF(Table1[[#This Row],[DUT Adj Read]]="N/A",IF(Table1[[#This Row],[Std Adj Read]]&lt;Table1[[#This Row],[High Tol]],"Pass","Fail"),IF(Table1[[#This Row],[DUT Adj Read]]&lt;Table1[[#This Row],[High Tol]],"Pass","Fail")))</f>
        <v>Fail</v>
      </c>
      <c r="AF2425" s="1" t="str">
        <f>IF(AND(Table1[[#This Row],[Spec Type2]]="N/A",Table1[[#This Row],[DUT Adj Read]]="N/A",Table1[[#This Row],[Std Adj Read]]="N/A"),"N/A",IF(Table1[[#This Row],[DUT Adj Read]]="N/A",IF(Table1[[#This Row],[Std Adj Read]]&gt;=Table1[[#This Row],[Low Tol]],"Pass","Fail"),IF(Table1[[#This Row],[DUT Adj Read]]&gt;=Table1[[#This Row],[Low Tol]],"Pass","Fail")))</f>
        <v>Pass</v>
      </c>
      <c r="AG2425" s="1" t="str">
        <f>IF(AND(Table1[[#This Row],[Spec Type2]]="N/A",Table1[[#This Row],[DUT Adj Read]]="N/A",Table1[[#This Row],[Std Adj Read]]="N/A"),"N/A",IF(Table1[[#This Row],[DUT Adj Read]]="N/A",IF(Table1[[#This Row],[Std Adj Read]]&lt;=Table1[[#This Row],[High Tol]],"Pass","Fail"),IF(Table1[[#This Row],[DUT Adj Read]]&lt;=Table1[[#This Row],[High Tol]],"Pass","Fail")))</f>
        <v>Fail</v>
      </c>
      <c r="AH24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5" s="1" t="b">
        <v>0</v>
      </c>
      <c r="AN2425" s="1" t="b">
        <v>0</v>
      </c>
      <c r="AO2425" s="1" t="b">
        <v>0</v>
      </c>
    </row>
    <row r="2426" spans="1:41" x14ac:dyDescent="0.25">
      <c r="A2426" s="10"/>
      <c r="B2426" s="10"/>
      <c r="C2426" s="10"/>
      <c r="D2426" s="10"/>
      <c r="E2426" s="10"/>
      <c r="F2426" s="10"/>
      <c r="G2426" s="10"/>
      <c r="H2426" s="10"/>
      <c r="I2426" s="1" t="str">
        <f t="shared" si="111"/>
        <v/>
      </c>
      <c r="J2426" s="1" t="s">
        <v>35</v>
      </c>
      <c r="K2426" s="1" t="str">
        <f t="shared" si="112"/>
        <v/>
      </c>
      <c r="L2426" s="1" t="str">
        <f t="shared" si="113"/>
        <v/>
      </c>
      <c r="M2426" s="1">
        <f>IF(OR(Table1[[#This Row],[Std Nom]]="",Table1[[#This Row],[Std Read]]=""),0,Table1[[#This Row],[Std Nom]]-Table1[[#This Row],[Std Read]])</f>
        <v>0</v>
      </c>
      <c r="N2426" s="1">
        <f>IF(Calculations!$F$5="ACCREDITED 17025 WITH UNCERTAINTIES",$N$10,0)</f>
        <v>0</v>
      </c>
      <c r="O2426" s="1" t="str">
        <f>IFERROR(Table1[[#This Row],[Std Nom]]-(_xlfn.XLOOKUP(Table1[[#This Row],[Manufacturer]]&amp;" "&amp;Table1[[#This Row],[Model]],Table13[MFR &amp; MDL],Table13[Tolerance % CW ],"")/100*Table1[[#This Row],[Std Nom]]),"")</f>
        <v/>
      </c>
      <c r="P2426" s="1" t="str">
        <f>IFERROR(Table1[[#This Row],[Std Nom]]+(_xlfn.XLOOKUP(Table1[[#This Row],[Manufacturer]]&amp;" "&amp;Table1[[#This Row],[Model]],Table13[MFR &amp; MDL],Table13[Tolerance % CW ],"")/100*Table1[[#This Row],[Std Nom]]),"")</f>
        <v/>
      </c>
      <c r="Q2426" s="1" t="e">
        <f>Table1[[#This Row],[High Tol]]-Table1[[#This Row],[Low Tol]]</f>
        <v>#VALUE!</v>
      </c>
      <c r="R2426" s="1">
        <f>2*Table1[[#This Row],[Std Error]]</f>
        <v>0</v>
      </c>
      <c r="S2426" s="1" t="str">
        <f>IF(Table1[[#This Row],[High Tol]]="","N/A",IFERROR(ABS(Table1[[#This Row],[Tol Span]]/Table1[[#This Row],[Error Span]]),"N/A"))</f>
        <v>N/A</v>
      </c>
      <c r="T2426" s="1" t="str">
        <f>IF(OR(Table1[[#This Row],[Low Tol]]="",Table1[[#This Row],[High Tol]]=""),"Needs Analysis",IF(Table1[[#This Row],[Ratio]]&gt;=4,"Not Significant",IF(Table1[[#This Row],[Ratio]]&gt;=2,"Semi-Significant","Significant")))</f>
        <v>Needs Analysis</v>
      </c>
      <c r="W2426" s="1">
        <f>IF(Table1[[#This Row],[Cal Type]]&lt;&gt;"ACCREDITED 17025 WITH UNCERTAINTIES",0,"")</f>
        <v>0</v>
      </c>
      <c r="X2426" s="1" t="str">
        <f>IF(Table1[[#This Row],[DUT Read]]="","N/A",Table1[[#This Row],[Std Error]]+Table1[[#This Row],[DUT Read]]+Table1[[#This Row],[DUT Ucty]])</f>
        <v>N/A</v>
      </c>
      <c r="Y2426" s="1" t="str">
        <f>IF(Table1[[#This Row],[Std Read]]="","N/A",Table1[[#This Row],[Std Read]]+Table1[[#This Row],[Std Ucty]])</f>
        <v>N/A</v>
      </c>
      <c r="Z24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6" s="1" t="str">
        <f>IF(Table1[[#This Row],[Spec Type]]="","N/A",Table1[[#This Row],[Spec Type]])</f>
        <v>±</v>
      </c>
      <c r="AC2426" s="1" t="str">
        <f>IF(Table1[[#This Row],[Spec Type2]]="N/A","N/A",IF(AND(Table1[[#This Row],[DUT Adj Read]]&gt;=Table1[[#This Row],[Low Tol]],Table1[[#This Row],[DUT Adj Read]]&lt;=Table1[[#This Row],[High Tol]]),"Pass","Fail"))</f>
        <v>Fail</v>
      </c>
      <c r="AD2426" s="1" t="str">
        <f>IF(AND(Table1[[#This Row],[Spec Type2]]="N/A",Table1[[#This Row],[DUT Adj Read]]="N/A",Table1[[#This Row],[Std Adj Read]]="N/A"),"N/A",IF(Table1[[#This Row],[DUT Adj Read]]="N/A",IF(Table1[[#This Row],[Std Adj Read]]&gt;Table1[[#This Row],[Low Tol]],"Pass","Fail"),IF(Table1[[#This Row],[DUT Adj Read]]&gt;Table1[[#This Row],[Low Tol]],"Pass","Fail")))</f>
        <v>Pass</v>
      </c>
      <c r="AE2426" s="1" t="str">
        <f>IF(AND(Table1[[#This Row],[Spec Type2]]="N/A",Table1[[#This Row],[DUT Adj Read]]="N/A",Table1[[#This Row],[Std Adj Read]]="N/A"),"N/A",IF(Table1[[#This Row],[DUT Adj Read]]="N/A",IF(Table1[[#This Row],[Std Adj Read]]&lt;Table1[[#This Row],[High Tol]],"Pass","Fail"),IF(Table1[[#This Row],[DUT Adj Read]]&lt;Table1[[#This Row],[High Tol]],"Pass","Fail")))</f>
        <v>Fail</v>
      </c>
      <c r="AF2426" s="1" t="str">
        <f>IF(AND(Table1[[#This Row],[Spec Type2]]="N/A",Table1[[#This Row],[DUT Adj Read]]="N/A",Table1[[#This Row],[Std Adj Read]]="N/A"),"N/A",IF(Table1[[#This Row],[DUT Adj Read]]="N/A",IF(Table1[[#This Row],[Std Adj Read]]&gt;=Table1[[#This Row],[Low Tol]],"Pass","Fail"),IF(Table1[[#This Row],[DUT Adj Read]]&gt;=Table1[[#This Row],[Low Tol]],"Pass","Fail")))</f>
        <v>Pass</v>
      </c>
      <c r="AG2426" s="1" t="str">
        <f>IF(AND(Table1[[#This Row],[Spec Type2]]="N/A",Table1[[#This Row],[DUT Adj Read]]="N/A",Table1[[#This Row],[Std Adj Read]]="N/A"),"N/A",IF(Table1[[#This Row],[DUT Adj Read]]="N/A",IF(Table1[[#This Row],[Std Adj Read]]&lt;=Table1[[#This Row],[High Tol]],"Pass","Fail"),IF(Table1[[#This Row],[DUT Adj Read]]&lt;=Table1[[#This Row],[High Tol]],"Pass","Fail")))</f>
        <v>Fail</v>
      </c>
      <c r="AH24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6" s="1" t="b">
        <v>0</v>
      </c>
      <c r="AN2426" s="1" t="b">
        <v>0</v>
      </c>
      <c r="AO2426" s="1" t="b">
        <v>0</v>
      </c>
    </row>
    <row r="2427" spans="1:41" x14ac:dyDescent="0.25">
      <c r="A2427" s="10"/>
      <c r="B2427" s="10"/>
      <c r="C2427" s="10"/>
      <c r="D2427" s="10"/>
      <c r="E2427" s="10"/>
      <c r="F2427" s="10"/>
      <c r="G2427" s="10"/>
      <c r="H2427" s="10"/>
      <c r="I2427" s="1" t="str">
        <f t="shared" si="111"/>
        <v/>
      </c>
      <c r="J2427" s="1" t="s">
        <v>35</v>
      </c>
      <c r="K2427" s="1" t="str">
        <f t="shared" si="112"/>
        <v/>
      </c>
      <c r="L2427" s="1" t="str">
        <f t="shared" si="113"/>
        <v/>
      </c>
      <c r="M2427" s="1">
        <f>IF(OR(Table1[[#This Row],[Std Nom]]="",Table1[[#This Row],[Std Read]]=""),0,Table1[[#This Row],[Std Nom]]-Table1[[#This Row],[Std Read]])</f>
        <v>0</v>
      </c>
      <c r="N2427" s="1">
        <f>IF(Calculations!$F$5="ACCREDITED 17025 WITH UNCERTAINTIES",$N$10,0)</f>
        <v>0</v>
      </c>
      <c r="O2427" s="1" t="str">
        <f>IFERROR(Table1[[#This Row],[Std Nom]]-(_xlfn.XLOOKUP(Table1[[#This Row],[Manufacturer]]&amp;" "&amp;Table1[[#This Row],[Model]],Table13[MFR &amp; MDL],Table13[Tolerance % CW ],"")/100*Table1[[#This Row],[Std Nom]]),"")</f>
        <v/>
      </c>
      <c r="P2427" s="1" t="str">
        <f>IFERROR(Table1[[#This Row],[Std Nom]]+(_xlfn.XLOOKUP(Table1[[#This Row],[Manufacturer]]&amp;" "&amp;Table1[[#This Row],[Model]],Table13[MFR &amp; MDL],Table13[Tolerance % CW ],"")/100*Table1[[#This Row],[Std Nom]]),"")</f>
        <v/>
      </c>
      <c r="Q2427" s="1" t="e">
        <f>Table1[[#This Row],[High Tol]]-Table1[[#This Row],[Low Tol]]</f>
        <v>#VALUE!</v>
      </c>
      <c r="R2427" s="1">
        <f>2*Table1[[#This Row],[Std Error]]</f>
        <v>0</v>
      </c>
      <c r="S2427" s="1" t="str">
        <f>IF(Table1[[#This Row],[High Tol]]="","N/A",IFERROR(ABS(Table1[[#This Row],[Tol Span]]/Table1[[#This Row],[Error Span]]),"N/A"))</f>
        <v>N/A</v>
      </c>
      <c r="T2427" s="1" t="str">
        <f>IF(OR(Table1[[#This Row],[Low Tol]]="",Table1[[#This Row],[High Tol]]=""),"Needs Analysis",IF(Table1[[#This Row],[Ratio]]&gt;=4,"Not Significant",IF(Table1[[#This Row],[Ratio]]&gt;=2,"Semi-Significant","Significant")))</f>
        <v>Needs Analysis</v>
      </c>
      <c r="W2427" s="1">
        <f>IF(Table1[[#This Row],[Cal Type]]&lt;&gt;"ACCREDITED 17025 WITH UNCERTAINTIES",0,"")</f>
        <v>0</v>
      </c>
      <c r="X2427" s="1" t="str">
        <f>IF(Table1[[#This Row],[DUT Read]]="","N/A",Table1[[#This Row],[Std Error]]+Table1[[#This Row],[DUT Read]]+Table1[[#This Row],[DUT Ucty]])</f>
        <v>N/A</v>
      </c>
      <c r="Y2427" s="1" t="str">
        <f>IF(Table1[[#This Row],[Std Read]]="","N/A",Table1[[#This Row],[Std Read]]+Table1[[#This Row],[Std Ucty]])</f>
        <v>N/A</v>
      </c>
      <c r="Z24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7" s="1" t="str">
        <f>IF(Table1[[#This Row],[Spec Type]]="","N/A",Table1[[#This Row],[Spec Type]])</f>
        <v>±</v>
      </c>
      <c r="AC2427" s="1" t="str">
        <f>IF(Table1[[#This Row],[Spec Type2]]="N/A","N/A",IF(AND(Table1[[#This Row],[DUT Adj Read]]&gt;=Table1[[#This Row],[Low Tol]],Table1[[#This Row],[DUT Adj Read]]&lt;=Table1[[#This Row],[High Tol]]),"Pass","Fail"))</f>
        <v>Fail</v>
      </c>
      <c r="AD2427" s="1" t="str">
        <f>IF(AND(Table1[[#This Row],[Spec Type2]]="N/A",Table1[[#This Row],[DUT Adj Read]]="N/A",Table1[[#This Row],[Std Adj Read]]="N/A"),"N/A",IF(Table1[[#This Row],[DUT Adj Read]]="N/A",IF(Table1[[#This Row],[Std Adj Read]]&gt;Table1[[#This Row],[Low Tol]],"Pass","Fail"),IF(Table1[[#This Row],[DUT Adj Read]]&gt;Table1[[#This Row],[Low Tol]],"Pass","Fail")))</f>
        <v>Pass</v>
      </c>
      <c r="AE2427" s="1" t="str">
        <f>IF(AND(Table1[[#This Row],[Spec Type2]]="N/A",Table1[[#This Row],[DUT Adj Read]]="N/A",Table1[[#This Row],[Std Adj Read]]="N/A"),"N/A",IF(Table1[[#This Row],[DUT Adj Read]]="N/A",IF(Table1[[#This Row],[Std Adj Read]]&lt;Table1[[#This Row],[High Tol]],"Pass","Fail"),IF(Table1[[#This Row],[DUT Adj Read]]&lt;Table1[[#This Row],[High Tol]],"Pass","Fail")))</f>
        <v>Fail</v>
      </c>
      <c r="AF2427" s="1" t="str">
        <f>IF(AND(Table1[[#This Row],[Spec Type2]]="N/A",Table1[[#This Row],[DUT Adj Read]]="N/A",Table1[[#This Row],[Std Adj Read]]="N/A"),"N/A",IF(Table1[[#This Row],[DUT Adj Read]]="N/A",IF(Table1[[#This Row],[Std Adj Read]]&gt;=Table1[[#This Row],[Low Tol]],"Pass","Fail"),IF(Table1[[#This Row],[DUT Adj Read]]&gt;=Table1[[#This Row],[Low Tol]],"Pass","Fail")))</f>
        <v>Pass</v>
      </c>
      <c r="AG2427" s="1" t="str">
        <f>IF(AND(Table1[[#This Row],[Spec Type2]]="N/A",Table1[[#This Row],[DUT Adj Read]]="N/A",Table1[[#This Row],[Std Adj Read]]="N/A"),"N/A",IF(Table1[[#This Row],[DUT Adj Read]]="N/A",IF(Table1[[#This Row],[Std Adj Read]]&lt;=Table1[[#This Row],[High Tol]],"Pass","Fail"),IF(Table1[[#This Row],[DUT Adj Read]]&lt;=Table1[[#This Row],[High Tol]],"Pass","Fail")))</f>
        <v>Fail</v>
      </c>
      <c r="AH24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7" s="1" t="b">
        <v>0</v>
      </c>
      <c r="AN2427" s="1" t="b">
        <v>0</v>
      </c>
      <c r="AO2427" s="1" t="b">
        <v>0</v>
      </c>
    </row>
    <row r="2428" spans="1:41" x14ac:dyDescent="0.25">
      <c r="A2428" s="10"/>
      <c r="B2428" s="10"/>
      <c r="C2428" s="10"/>
      <c r="D2428" s="10"/>
      <c r="E2428" s="10"/>
      <c r="F2428" s="10"/>
      <c r="G2428" s="10"/>
      <c r="H2428" s="10"/>
      <c r="I2428" s="1" t="str">
        <f t="shared" si="111"/>
        <v/>
      </c>
      <c r="J2428" s="1" t="s">
        <v>35</v>
      </c>
      <c r="K2428" s="1" t="str">
        <f t="shared" si="112"/>
        <v/>
      </c>
      <c r="L2428" s="1" t="str">
        <f t="shared" si="113"/>
        <v/>
      </c>
      <c r="M2428" s="1">
        <f>IF(OR(Table1[[#This Row],[Std Nom]]="",Table1[[#This Row],[Std Read]]=""),0,Table1[[#This Row],[Std Nom]]-Table1[[#This Row],[Std Read]])</f>
        <v>0</v>
      </c>
      <c r="N2428" s="1">
        <f>IF(Calculations!$F$5="ACCREDITED 17025 WITH UNCERTAINTIES",$N$10,0)</f>
        <v>0</v>
      </c>
      <c r="O2428" s="1" t="str">
        <f>IFERROR(Table1[[#This Row],[Std Nom]]-(_xlfn.XLOOKUP(Table1[[#This Row],[Manufacturer]]&amp;" "&amp;Table1[[#This Row],[Model]],Table13[MFR &amp; MDL],Table13[Tolerance % CW ],"")/100*Table1[[#This Row],[Std Nom]]),"")</f>
        <v/>
      </c>
      <c r="P2428" s="1" t="str">
        <f>IFERROR(Table1[[#This Row],[Std Nom]]+(_xlfn.XLOOKUP(Table1[[#This Row],[Manufacturer]]&amp;" "&amp;Table1[[#This Row],[Model]],Table13[MFR &amp; MDL],Table13[Tolerance % CW ],"")/100*Table1[[#This Row],[Std Nom]]),"")</f>
        <v/>
      </c>
      <c r="Q2428" s="1" t="e">
        <f>Table1[[#This Row],[High Tol]]-Table1[[#This Row],[Low Tol]]</f>
        <v>#VALUE!</v>
      </c>
      <c r="R2428" s="1">
        <f>2*Table1[[#This Row],[Std Error]]</f>
        <v>0</v>
      </c>
      <c r="S2428" s="1" t="str">
        <f>IF(Table1[[#This Row],[High Tol]]="","N/A",IFERROR(ABS(Table1[[#This Row],[Tol Span]]/Table1[[#This Row],[Error Span]]),"N/A"))</f>
        <v>N/A</v>
      </c>
      <c r="T2428" s="1" t="str">
        <f>IF(OR(Table1[[#This Row],[Low Tol]]="",Table1[[#This Row],[High Tol]]=""),"Needs Analysis",IF(Table1[[#This Row],[Ratio]]&gt;=4,"Not Significant",IF(Table1[[#This Row],[Ratio]]&gt;=2,"Semi-Significant","Significant")))</f>
        <v>Needs Analysis</v>
      </c>
      <c r="W2428" s="1">
        <f>IF(Table1[[#This Row],[Cal Type]]&lt;&gt;"ACCREDITED 17025 WITH UNCERTAINTIES",0,"")</f>
        <v>0</v>
      </c>
      <c r="X2428" s="1" t="str">
        <f>IF(Table1[[#This Row],[DUT Read]]="","N/A",Table1[[#This Row],[Std Error]]+Table1[[#This Row],[DUT Read]]+Table1[[#This Row],[DUT Ucty]])</f>
        <v>N/A</v>
      </c>
      <c r="Y2428" s="1" t="str">
        <f>IF(Table1[[#This Row],[Std Read]]="","N/A",Table1[[#This Row],[Std Read]]+Table1[[#This Row],[Std Ucty]])</f>
        <v>N/A</v>
      </c>
      <c r="Z24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8" s="1" t="str">
        <f>IF(Table1[[#This Row],[Spec Type]]="","N/A",Table1[[#This Row],[Spec Type]])</f>
        <v>±</v>
      </c>
      <c r="AC2428" s="1" t="str">
        <f>IF(Table1[[#This Row],[Spec Type2]]="N/A","N/A",IF(AND(Table1[[#This Row],[DUT Adj Read]]&gt;=Table1[[#This Row],[Low Tol]],Table1[[#This Row],[DUT Adj Read]]&lt;=Table1[[#This Row],[High Tol]]),"Pass","Fail"))</f>
        <v>Fail</v>
      </c>
      <c r="AD2428" s="1" t="str">
        <f>IF(AND(Table1[[#This Row],[Spec Type2]]="N/A",Table1[[#This Row],[DUT Adj Read]]="N/A",Table1[[#This Row],[Std Adj Read]]="N/A"),"N/A",IF(Table1[[#This Row],[DUT Adj Read]]="N/A",IF(Table1[[#This Row],[Std Adj Read]]&gt;Table1[[#This Row],[Low Tol]],"Pass","Fail"),IF(Table1[[#This Row],[DUT Adj Read]]&gt;Table1[[#This Row],[Low Tol]],"Pass","Fail")))</f>
        <v>Pass</v>
      </c>
      <c r="AE2428" s="1" t="str">
        <f>IF(AND(Table1[[#This Row],[Spec Type2]]="N/A",Table1[[#This Row],[DUT Adj Read]]="N/A",Table1[[#This Row],[Std Adj Read]]="N/A"),"N/A",IF(Table1[[#This Row],[DUT Adj Read]]="N/A",IF(Table1[[#This Row],[Std Adj Read]]&lt;Table1[[#This Row],[High Tol]],"Pass","Fail"),IF(Table1[[#This Row],[DUT Adj Read]]&lt;Table1[[#This Row],[High Tol]],"Pass","Fail")))</f>
        <v>Fail</v>
      </c>
      <c r="AF2428" s="1" t="str">
        <f>IF(AND(Table1[[#This Row],[Spec Type2]]="N/A",Table1[[#This Row],[DUT Adj Read]]="N/A",Table1[[#This Row],[Std Adj Read]]="N/A"),"N/A",IF(Table1[[#This Row],[DUT Adj Read]]="N/A",IF(Table1[[#This Row],[Std Adj Read]]&gt;=Table1[[#This Row],[Low Tol]],"Pass","Fail"),IF(Table1[[#This Row],[DUT Adj Read]]&gt;=Table1[[#This Row],[Low Tol]],"Pass","Fail")))</f>
        <v>Pass</v>
      </c>
      <c r="AG2428" s="1" t="str">
        <f>IF(AND(Table1[[#This Row],[Spec Type2]]="N/A",Table1[[#This Row],[DUT Adj Read]]="N/A",Table1[[#This Row],[Std Adj Read]]="N/A"),"N/A",IF(Table1[[#This Row],[DUT Adj Read]]="N/A",IF(Table1[[#This Row],[Std Adj Read]]&lt;=Table1[[#This Row],[High Tol]],"Pass","Fail"),IF(Table1[[#This Row],[DUT Adj Read]]&lt;=Table1[[#This Row],[High Tol]],"Pass","Fail")))</f>
        <v>Fail</v>
      </c>
      <c r="AH24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8" s="1" t="b">
        <v>0</v>
      </c>
      <c r="AN2428" s="1" t="b">
        <v>0</v>
      </c>
      <c r="AO2428" s="1" t="b">
        <v>0</v>
      </c>
    </row>
    <row r="2429" spans="1:41" x14ac:dyDescent="0.25">
      <c r="A2429" s="10"/>
      <c r="B2429" s="10"/>
      <c r="C2429" s="10"/>
      <c r="D2429" s="10"/>
      <c r="E2429" s="10"/>
      <c r="F2429" s="10"/>
      <c r="G2429" s="10"/>
      <c r="H2429" s="10"/>
      <c r="I2429" s="1" t="str">
        <f t="shared" si="111"/>
        <v/>
      </c>
      <c r="J2429" s="1" t="s">
        <v>35</v>
      </c>
      <c r="K2429" s="1" t="str">
        <f t="shared" si="112"/>
        <v/>
      </c>
      <c r="L2429" s="1" t="str">
        <f t="shared" si="113"/>
        <v/>
      </c>
      <c r="M2429" s="1">
        <f>IF(OR(Table1[[#This Row],[Std Nom]]="",Table1[[#This Row],[Std Read]]=""),0,Table1[[#This Row],[Std Nom]]-Table1[[#This Row],[Std Read]])</f>
        <v>0</v>
      </c>
      <c r="N2429" s="1">
        <f>IF(Calculations!$F$5="ACCREDITED 17025 WITH UNCERTAINTIES",$N$10,0)</f>
        <v>0</v>
      </c>
      <c r="O2429" s="1" t="str">
        <f>IFERROR(Table1[[#This Row],[Std Nom]]-(_xlfn.XLOOKUP(Table1[[#This Row],[Manufacturer]]&amp;" "&amp;Table1[[#This Row],[Model]],Table13[MFR &amp; MDL],Table13[Tolerance % CW ],"")/100*Table1[[#This Row],[Std Nom]]),"")</f>
        <v/>
      </c>
      <c r="P2429" s="1" t="str">
        <f>IFERROR(Table1[[#This Row],[Std Nom]]+(_xlfn.XLOOKUP(Table1[[#This Row],[Manufacturer]]&amp;" "&amp;Table1[[#This Row],[Model]],Table13[MFR &amp; MDL],Table13[Tolerance % CW ],"")/100*Table1[[#This Row],[Std Nom]]),"")</f>
        <v/>
      </c>
      <c r="Q2429" s="1" t="e">
        <f>Table1[[#This Row],[High Tol]]-Table1[[#This Row],[Low Tol]]</f>
        <v>#VALUE!</v>
      </c>
      <c r="R2429" s="1">
        <f>2*Table1[[#This Row],[Std Error]]</f>
        <v>0</v>
      </c>
      <c r="S2429" s="1" t="str">
        <f>IF(Table1[[#This Row],[High Tol]]="","N/A",IFERROR(ABS(Table1[[#This Row],[Tol Span]]/Table1[[#This Row],[Error Span]]),"N/A"))</f>
        <v>N/A</v>
      </c>
      <c r="T2429" s="1" t="str">
        <f>IF(OR(Table1[[#This Row],[Low Tol]]="",Table1[[#This Row],[High Tol]]=""),"Needs Analysis",IF(Table1[[#This Row],[Ratio]]&gt;=4,"Not Significant",IF(Table1[[#This Row],[Ratio]]&gt;=2,"Semi-Significant","Significant")))</f>
        <v>Needs Analysis</v>
      </c>
      <c r="W2429" s="1">
        <f>IF(Table1[[#This Row],[Cal Type]]&lt;&gt;"ACCREDITED 17025 WITH UNCERTAINTIES",0,"")</f>
        <v>0</v>
      </c>
      <c r="X2429" s="1" t="str">
        <f>IF(Table1[[#This Row],[DUT Read]]="","N/A",Table1[[#This Row],[Std Error]]+Table1[[#This Row],[DUT Read]]+Table1[[#This Row],[DUT Ucty]])</f>
        <v>N/A</v>
      </c>
      <c r="Y2429" s="1" t="str">
        <f>IF(Table1[[#This Row],[Std Read]]="","N/A",Table1[[#This Row],[Std Read]]+Table1[[#This Row],[Std Ucty]])</f>
        <v>N/A</v>
      </c>
      <c r="Z24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9" s="1" t="str">
        <f>IF(Table1[[#This Row],[Spec Type]]="","N/A",Table1[[#This Row],[Spec Type]])</f>
        <v>±</v>
      </c>
      <c r="AC2429" s="1" t="str">
        <f>IF(Table1[[#This Row],[Spec Type2]]="N/A","N/A",IF(AND(Table1[[#This Row],[DUT Adj Read]]&gt;=Table1[[#This Row],[Low Tol]],Table1[[#This Row],[DUT Adj Read]]&lt;=Table1[[#This Row],[High Tol]]),"Pass","Fail"))</f>
        <v>Fail</v>
      </c>
      <c r="AD2429" s="1" t="str">
        <f>IF(AND(Table1[[#This Row],[Spec Type2]]="N/A",Table1[[#This Row],[DUT Adj Read]]="N/A",Table1[[#This Row],[Std Adj Read]]="N/A"),"N/A",IF(Table1[[#This Row],[DUT Adj Read]]="N/A",IF(Table1[[#This Row],[Std Adj Read]]&gt;Table1[[#This Row],[Low Tol]],"Pass","Fail"),IF(Table1[[#This Row],[DUT Adj Read]]&gt;Table1[[#This Row],[Low Tol]],"Pass","Fail")))</f>
        <v>Pass</v>
      </c>
      <c r="AE2429" s="1" t="str">
        <f>IF(AND(Table1[[#This Row],[Spec Type2]]="N/A",Table1[[#This Row],[DUT Adj Read]]="N/A",Table1[[#This Row],[Std Adj Read]]="N/A"),"N/A",IF(Table1[[#This Row],[DUT Adj Read]]="N/A",IF(Table1[[#This Row],[Std Adj Read]]&lt;Table1[[#This Row],[High Tol]],"Pass","Fail"),IF(Table1[[#This Row],[DUT Adj Read]]&lt;Table1[[#This Row],[High Tol]],"Pass","Fail")))</f>
        <v>Fail</v>
      </c>
      <c r="AF2429" s="1" t="str">
        <f>IF(AND(Table1[[#This Row],[Spec Type2]]="N/A",Table1[[#This Row],[DUT Adj Read]]="N/A",Table1[[#This Row],[Std Adj Read]]="N/A"),"N/A",IF(Table1[[#This Row],[DUT Adj Read]]="N/A",IF(Table1[[#This Row],[Std Adj Read]]&gt;=Table1[[#This Row],[Low Tol]],"Pass","Fail"),IF(Table1[[#This Row],[DUT Adj Read]]&gt;=Table1[[#This Row],[Low Tol]],"Pass","Fail")))</f>
        <v>Pass</v>
      </c>
      <c r="AG2429" s="1" t="str">
        <f>IF(AND(Table1[[#This Row],[Spec Type2]]="N/A",Table1[[#This Row],[DUT Adj Read]]="N/A",Table1[[#This Row],[Std Adj Read]]="N/A"),"N/A",IF(Table1[[#This Row],[DUT Adj Read]]="N/A",IF(Table1[[#This Row],[Std Adj Read]]&lt;=Table1[[#This Row],[High Tol]],"Pass","Fail"),IF(Table1[[#This Row],[DUT Adj Read]]&lt;=Table1[[#This Row],[High Tol]],"Pass","Fail")))</f>
        <v>Fail</v>
      </c>
      <c r="AH24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9" s="1" t="b">
        <v>0</v>
      </c>
      <c r="AN2429" s="1" t="b">
        <v>0</v>
      </c>
      <c r="AO2429" s="1" t="b">
        <v>0</v>
      </c>
    </row>
    <row r="2430" spans="1:41" x14ac:dyDescent="0.25">
      <c r="A2430" s="10"/>
      <c r="B2430" s="10"/>
      <c r="C2430" s="10"/>
      <c r="D2430" s="10"/>
      <c r="E2430" s="10"/>
      <c r="F2430" s="10"/>
      <c r="G2430" s="10"/>
      <c r="H2430" s="10"/>
      <c r="I2430" s="1" t="str">
        <f t="shared" si="111"/>
        <v/>
      </c>
      <c r="J2430" s="1" t="s">
        <v>35</v>
      </c>
      <c r="K2430" s="1" t="str">
        <f t="shared" si="112"/>
        <v/>
      </c>
      <c r="L2430" s="1" t="str">
        <f t="shared" si="113"/>
        <v/>
      </c>
      <c r="M2430" s="1">
        <f>IF(OR(Table1[[#This Row],[Std Nom]]="",Table1[[#This Row],[Std Read]]=""),0,Table1[[#This Row],[Std Nom]]-Table1[[#This Row],[Std Read]])</f>
        <v>0</v>
      </c>
      <c r="N2430" s="1">
        <f>IF(Calculations!$F$5="ACCREDITED 17025 WITH UNCERTAINTIES",$N$10,0)</f>
        <v>0</v>
      </c>
      <c r="O2430" s="1" t="str">
        <f>IFERROR(Table1[[#This Row],[Std Nom]]-(_xlfn.XLOOKUP(Table1[[#This Row],[Manufacturer]]&amp;" "&amp;Table1[[#This Row],[Model]],Table13[MFR &amp; MDL],Table13[Tolerance % CW ],"")/100*Table1[[#This Row],[Std Nom]]),"")</f>
        <v/>
      </c>
      <c r="P2430" s="1" t="str">
        <f>IFERROR(Table1[[#This Row],[Std Nom]]+(_xlfn.XLOOKUP(Table1[[#This Row],[Manufacturer]]&amp;" "&amp;Table1[[#This Row],[Model]],Table13[MFR &amp; MDL],Table13[Tolerance % CW ],"")/100*Table1[[#This Row],[Std Nom]]),"")</f>
        <v/>
      </c>
      <c r="Q2430" s="1" t="e">
        <f>Table1[[#This Row],[High Tol]]-Table1[[#This Row],[Low Tol]]</f>
        <v>#VALUE!</v>
      </c>
      <c r="R2430" s="1">
        <f>2*Table1[[#This Row],[Std Error]]</f>
        <v>0</v>
      </c>
      <c r="S2430" s="1" t="str">
        <f>IF(Table1[[#This Row],[High Tol]]="","N/A",IFERROR(ABS(Table1[[#This Row],[Tol Span]]/Table1[[#This Row],[Error Span]]),"N/A"))</f>
        <v>N/A</v>
      </c>
      <c r="T2430" s="1" t="str">
        <f>IF(OR(Table1[[#This Row],[Low Tol]]="",Table1[[#This Row],[High Tol]]=""),"Needs Analysis",IF(Table1[[#This Row],[Ratio]]&gt;=4,"Not Significant",IF(Table1[[#This Row],[Ratio]]&gt;=2,"Semi-Significant","Significant")))</f>
        <v>Needs Analysis</v>
      </c>
      <c r="W2430" s="1">
        <f>IF(Table1[[#This Row],[Cal Type]]&lt;&gt;"ACCREDITED 17025 WITH UNCERTAINTIES",0,"")</f>
        <v>0</v>
      </c>
      <c r="X2430" s="1" t="str">
        <f>IF(Table1[[#This Row],[DUT Read]]="","N/A",Table1[[#This Row],[Std Error]]+Table1[[#This Row],[DUT Read]]+Table1[[#This Row],[DUT Ucty]])</f>
        <v>N/A</v>
      </c>
      <c r="Y2430" s="1" t="str">
        <f>IF(Table1[[#This Row],[Std Read]]="","N/A",Table1[[#This Row],[Std Read]]+Table1[[#This Row],[Std Ucty]])</f>
        <v>N/A</v>
      </c>
      <c r="Z24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0" s="1" t="str">
        <f>IF(Table1[[#This Row],[Spec Type]]="","N/A",Table1[[#This Row],[Spec Type]])</f>
        <v>±</v>
      </c>
      <c r="AC2430" s="1" t="str">
        <f>IF(Table1[[#This Row],[Spec Type2]]="N/A","N/A",IF(AND(Table1[[#This Row],[DUT Adj Read]]&gt;=Table1[[#This Row],[Low Tol]],Table1[[#This Row],[DUT Adj Read]]&lt;=Table1[[#This Row],[High Tol]]),"Pass","Fail"))</f>
        <v>Fail</v>
      </c>
      <c r="AD2430" s="1" t="str">
        <f>IF(AND(Table1[[#This Row],[Spec Type2]]="N/A",Table1[[#This Row],[DUT Adj Read]]="N/A",Table1[[#This Row],[Std Adj Read]]="N/A"),"N/A",IF(Table1[[#This Row],[DUT Adj Read]]="N/A",IF(Table1[[#This Row],[Std Adj Read]]&gt;Table1[[#This Row],[Low Tol]],"Pass","Fail"),IF(Table1[[#This Row],[DUT Adj Read]]&gt;Table1[[#This Row],[Low Tol]],"Pass","Fail")))</f>
        <v>Pass</v>
      </c>
      <c r="AE2430" s="1" t="str">
        <f>IF(AND(Table1[[#This Row],[Spec Type2]]="N/A",Table1[[#This Row],[DUT Adj Read]]="N/A",Table1[[#This Row],[Std Adj Read]]="N/A"),"N/A",IF(Table1[[#This Row],[DUT Adj Read]]="N/A",IF(Table1[[#This Row],[Std Adj Read]]&lt;Table1[[#This Row],[High Tol]],"Pass","Fail"),IF(Table1[[#This Row],[DUT Adj Read]]&lt;Table1[[#This Row],[High Tol]],"Pass","Fail")))</f>
        <v>Fail</v>
      </c>
      <c r="AF2430" s="1" t="str">
        <f>IF(AND(Table1[[#This Row],[Spec Type2]]="N/A",Table1[[#This Row],[DUT Adj Read]]="N/A",Table1[[#This Row],[Std Adj Read]]="N/A"),"N/A",IF(Table1[[#This Row],[DUT Adj Read]]="N/A",IF(Table1[[#This Row],[Std Adj Read]]&gt;=Table1[[#This Row],[Low Tol]],"Pass","Fail"),IF(Table1[[#This Row],[DUT Adj Read]]&gt;=Table1[[#This Row],[Low Tol]],"Pass","Fail")))</f>
        <v>Pass</v>
      </c>
      <c r="AG2430" s="1" t="str">
        <f>IF(AND(Table1[[#This Row],[Spec Type2]]="N/A",Table1[[#This Row],[DUT Adj Read]]="N/A",Table1[[#This Row],[Std Adj Read]]="N/A"),"N/A",IF(Table1[[#This Row],[DUT Adj Read]]="N/A",IF(Table1[[#This Row],[Std Adj Read]]&lt;=Table1[[#This Row],[High Tol]],"Pass","Fail"),IF(Table1[[#This Row],[DUT Adj Read]]&lt;=Table1[[#This Row],[High Tol]],"Pass","Fail")))</f>
        <v>Fail</v>
      </c>
      <c r="AH24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0" s="1" t="b">
        <v>0</v>
      </c>
      <c r="AN2430" s="1" t="b">
        <v>0</v>
      </c>
      <c r="AO2430" s="1" t="b">
        <v>0</v>
      </c>
    </row>
    <row r="2431" spans="1:41" x14ac:dyDescent="0.25">
      <c r="A2431" s="10"/>
      <c r="B2431" s="10"/>
      <c r="C2431" s="10"/>
      <c r="D2431" s="10"/>
      <c r="E2431" s="10"/>
      <c r="F2431" s="10"/>
      <c r="G2431" s="10"/>
      <c r="H2431" s="10"/>
      <c r="I2431" s="1" t="str">
        <f t="shared" si="111"/>
        <v/>
      </c>
      <c r="J2431" s="1" t="s">
        <v>35</v>
      </c>
      <c r="K2431" s="1" t="str">
        <f t="shared" si="112"/>
        <v/>
      </c>
      <c r="L2431" s="1" t="str">
        <f t="shared" si="113"/>
        <v/>
      </c>
      <c r="M2431" s="1">
        <f>IF(OR(Table1[[#This Row],[Std Nom]]="",Table1[[#This Row],[Std Read]]=""),0,Table1[[#This Row],[Std Nom]]-Table1[[#This Row],[Std Read]])</f>
        <v>0</v>
      </c>
      <c r="N2431" s="1">
        <f>IF(Calculations!$F$5="ACCREDITED 17025 WITH UNCERTAINTIES",$N$10,0)</f>
        <v>0</v>
      </c>
      <c r="O2431" s="1" t="str">
        <f>IFERROR(Table1[[#This Row],[Std Nom]]-(_xlfn.XLOOKUP(Table1[[#This Row],[Manufacturer]]&amp;" "&amp;Table1[[#This Row],[Model]],Table13[MFR &amp; MDL],Table13[Tolerance % CW ],"")/100*Table1[[#This Row],[Std Nom]]),"")</f>
        <v/>
      </c>
      <c r="P2431" s="1" t="str">
        <f>IFERROR(Table1[[#This Row],[Std Nom]]+(_xlfn.XLOOKUP(Table1[[#This Row],[Manufacturer]]&amp;" "&amp;Table1[[#This Row],[Model]],Table13[MFR &amp; MDL],Table13[Tolerance % CW ],"")/100*Table1[[#This Row],[Std Nom]]),"")</f>
        <v/>
      </c>
      <c r="Q2431" s="1" t="e">
        <f>Table1[[#This Row],[High Tol]]-Table1[[#This Row],[Low Tol]]</f>
        <v>#VALUE!</v>
      </c>
      <c r="R2431" s="1">
        <f>2*Table1[[#This Row],[Std Error]]</f>
        <v>0</v>
      </c>
      <c r="S2431" s="1" t="str">
        <f>IF(Table1[[#This Row],[High Tol]]="","N/A",IFERROR(ABS(Table1[[#This Row],[Tol Span]]/Table1[[#This Row],[Error Span]]),"N/A"))</f>
        <v>N/A</v>
      </c>
      <c r="T2431" s="1" t="str">
        <f>IF(OR(Table1[[#This Row],[Low Tol]]="",Table1[[#This Row],[High Tol]]=""),"Needs Analysis",IF(Table1[[#This Row],[Ratio]]&gt;=4,"Not Significant",IF(Table1[[#This Row],[Ratio]]&gt;=2,"Semi-Significant","Significant")))</f>
        <v>Needs Analysis</v>
      </c>
      <c r="W2431" s="1">
        <f>IF(Table1[[#This Row],[Cal Type]]&lt;&gt;"ACCREDITED 17025 WITH UNCERTAINTIES",0,"")</f>
        <v>0</v>
      </c>
      <c r="X2431" s="1" t="str">
        <f>IF(Table1[[#This Row],[DUT Read]]="","N/A",Table1[[#This Row],[Std Error]]+Table1[[#This Row],[DUT Read]]+Table1[[#This Row],[DUT Ucty]])</f>
        <v>N/A</v>
      </c>
      <c r="Y2431" s="1" t="str">
        <f>IF(Table1[[#This Row],[Std Read]]="","N/A",Table1[[#This Row],[Std Read]]+Table1[[#This Row],[Std Ucty]])</f>
        <v>N/A</v>
      </c>
      <c r="Z24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1" s="1" t="str">
        <f>IF(Table1[[#This Row],[Spec Type]]="","N/A",Table1[[#This Row],[Spec Type]])</f>
        <v>±</v>
      </c>
      <c r="AC2431" s="1" t="str">
        <f>IF(Table1[[#This Row],[Spec Type2]]="N/A","N/A",IF(AND(Table1[[#This Row],[DUT Adj Read]]&gt;=Table1[[#This Row],[Low Tol]],Table1[[#This Row],[DUT Adj Read]]&lt;=Table1[[#This Row],[High Tol]]),"Pass","Fail"))</f>
        <v>Fail</v>
      </c>
      <c r="AD2431" s="1" t="str">
        <f>IF(AND(Table1[[#This Row],[Spec Type2]]="N/A",Table1[[#This Row],[DUT Adj Read]]="N/A",Table1[[#This Row],[Std Adj Read]]="N/A"),"N/A",IF(Table1[[#This Row],[DUT Adj Read]]="N/A",IF(Table1[[#This Row],[Std Adj Read]]&gt;Table1[[#This Row],[Low Tol]],"Pass","Fail"),IF(Table1[[#This Row],[DUT Adj Read]]&gt;Table1[[#This Row],[Low Tol]],"Pass","Fail")))</f>
        <v>Pass</v>
      </c>
      <c r="AE2431" s="1" t="str">
        <f>IF(AND(Table1[[#This Row],[Spec Type2]]="N/A",Table1[[#This Row],[DUT Adj Read]]="N/A",Table1[[#This Row],[Std Adj Read]]="N/A"),"N/A",IF(Table1[[#This Row],[DUT Adj Read]]="N/A",IF(Table1[[#This Row],[Std Adj Read]]&lt;Table1[[#This Row],[High Tol]],"Pass","Fail"),IF(Table1[[#This Row],[DUT Adj Read]]&lt;Table1[[#This Row],[High Tol]],"Pass","Fail")))</f>
        <v>Fail</v>
      </c>
      <c r="AF2431" s="1" t="str">
        <f>IF(AND(Table1[[#This Row],[Spec Type2]]="N/A",Table1[[#This Row],[DUT Adj Read]]="N/A",Table1[[#This Row],[Std Adj Read]]="N/A"),"N/A",IF(Table1[[#This Row],[DUT Adj Read]]="N/A",IF(Table1[[#This Row],[Std Adj Read]]&gt;=Table1[[#This Row],[Low Tol]],"Pass","Fail"),IF(Table1[[#This Row],[DUT Adj Read]]&gt;=Table1[[#This Row],[Low Tol]],"Pass","Fail")))</f>
        <v>Pass</v>
      </c>
      <c r="AG2431" s="1" t="str">
        <f>IF(AND(Table1[[#This Row],[Spec Type2]]="N/A",Table1[[#This Row],[DUT Adj Read]]="N/A",Table1[[#This Row],[Std Adj Read]]="N/A"),"N/A",IF(Table1[[#This Row],[DUT Adj Read]]="N/A",IF(Table1[[#This Row],[Std Adj Read]]&lt;=Table1[[#This Row],[High Tol]],"Pass","Fail"),IF(Table1[[#This Row],[DUT Adj Read]]&lt;=Table1[[#This Row],[High Tol]],"Pass","Fail")))</f>
        <v>Fail</v>
      </c>
      <c r="AH24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1" s="1" t="b">
        <v>0</v>
      </c>
      <c r="AN2431" s="1" t="b">
        <v>0</v>
      </c>
      <c r="AO2431" s="1" t="b">
        <v>0</v>
      </c>
    </row>
    <row r="2432" spans="1:41" x14ac:dyDescent="0.25">
      <c r="A2432" s="10"/>
      <c r="B2432" s="10"/>
      <c r="C2432" s="10"/>
      <c r="D2432" s="10"/>
      <c r="E2432" s="10"/>
      <c r="F2432" s="10"/>
      <c r="G2432" s="10"/>
      <c r="H2432" s="10"/>
      <c r="I2432" s="1" t="str">
        <f t="shared" si="111"/>
        <v/>
      </c>
      <c r="J2432" s="1" t="s">
        <v>35</v>
      </c>
      <c r="K2432" s="1" t="str">
        <f t="shared" si="112"/>
        <v/>
      </c>
      <c r="L2432" s="1" t="str">
        <f t="shared" si="113"/>
        <v/>
      </c>
      <c r="M2432" s="1">
        <f>IF(OR(Table1[[#This Row],[Std Nom]]="",Table1[[#This Row],[Std Read]]=""),0,Table1[[#This Row],[Std Nom]]-Table1[[#This Row],[Std Read]])</f>
        <v>0</v>
      </c>
      <c r="N2432" s="1">
        <f>IF(Calculations!$F$5="ACCREDITED 17025 WITH UNCERTAINTIES",$N$10,0)</f>
        <v>0</v>
      </c>
      <c r="O2432" s="1" t="str">
        <f>IFERROR(Table1[[#This Row],[Std Nom]]-(_xlfn.XLOOKUP(Table1[[#This Row],[Manufacturer]]&amp;" "&amp;Table1[[#This Row],[Model]],Table13[MFR &amp; MDL],Table13[Tolerance % CW ],"")/100*Table1[[#This Row],[Std Nom]]),"")</f>
        <v/>
      </c>
      <c r="P2432" s="1" t="str">
        <f>IFERROR(Table1[[#This Row],[Std Nom]]+(_xlfn.XLOOKUP(Table1[[#This Row],[Manufacturer]]&amp;" "&amp;Table1[[#This Row],[Model]],Table13[MFR &amp; MDL],Table13[Tolerance % CW ],"")/100*Table1[[#This Row],[Std Nom]]),"")</f>
        <v/>
      </c>
      <c r="Q2432" s="1" t="e">
        <f>Table1[[#This Row],[High Tol]]-Table1[[#This Row],[Low Tol]]</f>
        <v>#VALUE!</v>
      </c>
      <c r="R2432" s="1">
        <f>2*Table1[[#This Row],[Std Error]]</f>
        <v>0</v>
      </c>
      <c r="S2432" s="1" t="str">
        <f>IF(Table1[[#This Row],[High Tol]]="","N/A",IFERROR(ABS(Table1[[#This Row],[Tol Span]]/Table1[[#This Row],[Error Span]]),"N/A"))</f>
        <v>N/A</v>
      </c>
      <c r="T2432" s="1" t="str">
        <f>IF(OR(Table1[[#This Row],[Low Tol]]="",Table1[[#This Row],[High Tol]]=""),"Needs Analysis",IF(Table1[[#This Row],[Ratio]]&gt;=4,"Not Significant",IF(Table1[[#This Row],[Ratio]]&gt;=2,"Semi-Significant","Significant")))</f>
        <v>Needs Analysis</v>
      </c>
      <c r="W2432" s="1">
        <f>IF(Table1[[#This Row],[Cal Type]]&lt;&gt;"ACCREDITED 17025 WITH UNCERTAINTIES",0,"")</f>
        <v>0</v>
      </c>
      <c r="X2432" s="1" t="str">
        <f>IF(Table1[[#This Row],[DUT Read]]="","N/A",Table1[[#This Row],[Std Error]]+Table1[[#This Row],[DUT Read]]+Table1[[#This Row],[DUT Ucty]])</f>
        <v>N/A</v>
      </c>
      <c r="Y2432" s="1" t="str">
        <f>IF(Table1[[#This Row],[Std Read]]="","N/A",Table1[[#This Row],[Std Read]]+Table1[[#This Row],[Std Ucty]])</f>
        <v>N/A</v>
      </c>
      <c r="Z24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2" s="1" t="str">
        <f>IF(Table1[[#This Row],[Spec Type]]="","N/A",Table1[[#This Row],[Spec Type]])</f>
        <v>±</v>
      </c>
      <c r="AC2432" s="1" t="str">
        <f>IF(Table1[[#This Row],[Spec Type2]]="N/A","N/A",IF(AND(Table1[[#This Row],[DUT Adj Read]]&gt;=Table1[[#This Row],[Low Tol]],Table1[[#This Row],[DUT Adj Read]]&lt;=Table1[[#This Row],[High Tol]]),"Pass","Fail"))</f>
        <v>Fail</v>
      </c>
      <c r="AD2432" s="1" t="str">
        <f>IF(AND(Table1[[#This Row],[Spec Type2]]="N/A",Table1[[#This Row],[DUT Adj Read]]="N/A",Table1[[#This Row],[Std Adj Read]]="N/A"),"N/A",IF(Table1[[#This Row],[DUT Adj Read]]="N/A",IF(Table1[[#This Row],[Std Adj Read]]&gt;Table1[[#This Row],[Low Tol]],"Pass","Fail"),IF(Table1[[#This Row],[DUT Adj Read]]&gt;Table1[[#This Row],[Low Tol]],"Pass","Fail")))</f>
        <v>Pass</v>
      </c>
      <c r="AE2432" s="1" t="str">
        <f>IF(AND(Table1[[#This Row],[Spec Type2]]="N/A",Table1[[#This Row],[DUT Adj Read]]="N/A",Table1[[#This Row],[Std Adj Read]]="N/A"),"N/A",IF(Table1[[#This Row],[DUT Adj Read]]="N/A",IF(Table1[[#This Row],[Std Adj Read]]&lt;Table1[[#This Row],[High Tol]],"Pass","Fail"),IF(Table1[[#This Row],[DUT Adj Read]]&lt;Table1[[#This Row],[High Tol]],"Pass","Fail")))</f>
        <v>Fail</v>
      </c>
      <c r="AF2432" s="1" t="str">
        <f>IF(AND(Table1[[#This Row],[Spec Type2]]="N/A",Table1[[#This Row],[DUT Adj Read]]="N/A",Table1[[#This Row],[Std Adj Read]]="N/A"),"N/A",IF(Table1[[#This Row],[DUT Adj Read]]="N/A",IF(Table1[[#This Row],[Std Adj Read]]&gt;=Table1[[#This Row],[Low Tol]],"Pass","Fail"),IF(Table1[[#This Row],[DUT Adj Read]]&gt;=Table1[[#This Row],[Low Tol]],"Pass","Fail")))</f>
        <v>Pass</v>
      </c>
      <c r="AG2432" s="1" t="str">
        <f>IF(AND(Table1[[#This Row],[Spec Type2]]="N/A",Table1[[#This Row],[DUT Adj Read]]="N/A",Table1[[#This Row],[Std Adj Read]]="N/A"),"N/A",IF(Table1[[#This Row],[DUT Adj Read]]="N/A",IF(Table1[[#This Row],[Std Adj Read]]&lt;=Table1[[#This Row],[High Tol]],"Pass","Fail"),IF(Table1[[#This Row],[DUT Adj Read]]&lt;=Table1[[#This Row],[High Tol]],"Pass","Fail")))</f>
        <v>Fail</v>
      </c>
      <c r="AH24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2" s="1" t="b">
        <v>0</v>
      </c>
      <c r="AN2432" s="1" t="b">
        <v>0</v>
      </c>
      <c r="AO2432" s="1" t="b">
        <v>0</v>
      </c>
    </row>
    <row r="2433" spans="1:41" x14ac:dyDescent="0.25">
      <c r="A2433" s="10"/>
      <c r="B2433" s="10"/>
      <c r="C2433" s="10"/>
      <c r="D2433" s="10"/>
      <c r="E2433" s="10"/>
      <c r="F2433" s="10"/>
      <c r="G2433" s="10"/>
      <c r="H2433" s="10"/>
      <c r="I2433" s="1" t="str">
        <f t="shared" si="111"/>
        <v/>
      </c>
      <c r="J2433" s="1" t="s">
        <v>35</v>
      </c>
      <c r="K2433" s="1" t="str">
        <f t="shared" si="112"/>
        <v/>
      </c>
      <c r="L2433" s="1" t="str">
        <f t="shared" si="113"/>
        <v/>
      </c>
      <c r="M2433" s="1">
        <f>IF(OR(Table1[[#This Row],[Std Nom]]="",Table1[[#This Row],[Std Read]]=""),0,Table1[[#This Row],[Std Nom]]-Table1[[#This Row],[Std Read]])</f>
        <v>0</v>
      </c>
      <c r="N2433" s="1">
        <f>IF(Calculations!$F$5="ACCREDITED 17025 WITH UNCERTAINTIES",$N$10,0)</f>
        <v>0</v>
      </c>
      <c r="O2433" s="1" t="str">
        <f>IFERROR(Table1[[#This Row],[Std Nom]]-(_xlfn.XLOOKUP(Table1[[#This Row],[Manufacturer]]&amp;" "&amp;Table1[[#This Row],[Model]],Table13[MFR &amp; MDL],Table13[Tolerance % CW ],"")/100*Table1[[#This Row],[Std Nom]]),"")</f>
        <v/>
      </c>
      <c r="P2433" s="1" t="str">
        <f>IFERROR(Table1[[#This Row],[Std Nom]]+(_xlfn.XLOOKUP(Table1[[#This Row],[Manufacturer]]&amp;" "&amp;Table1[[#This Row],[Model]],Table13[MFR &amp; MDL],Table13[Tolerance % CW ],"")/100*Table1[[#This Row],[Std Nom]]),"")</f>
        <v/>
      </c>
      <c r="Q2433" s="1" t="e">
        <f>Table1[[#This Row],[High Tol]]-Table1[[#This Row],[Low Tol]]</f>
        <v>#VALUE!</v>
      </c>
      <c r="R2433" s="1">
        <f>2*Table1[[#This Row],[Std Error]]</f>
        <v>0</v>
      </c>
      <c r="S2433" s="1" t="str">
        <f>IF(Table1[[#This Row],[High Tol]]="","N/A",IFERROR(ABS(Table1[[#This Row],[Tol Span]]/Table1[[#This Row],[Error Span]]),"N/A"))</f>
        <v>N/A</v>
      </c>
      <c r="T2433" s="1" t="str">
        <f>IF(OR(Table1[[#This Row],[Low Tol]]="",Table1[[#This Row],[High Tol]]=""),"Needs Analysis",IF(Table1[[#This Row],[Ratio]]&gt;=4,"Not Significant",IF(Table1[[#This Row],[Ratio]]&gt;=2,"Semi-Significant","Significant")))</f>
        <v>Needs Analysis</v>
      </c>
      <c r="W2433" s="1">
        <f>IF(Table1[[#This Row],[Cal Type]]&lt;&gt;"ACCREDITED 17025 WITH UNCERTAINTIES",0,"")</f>
        <v>0</v>
      </c>
      <c r="X2433" s="1" t="str">
        <f>IF(Table1[[#This Row],[DUT Read]]="","N/A",Table1[[#This Row],[Std Error]]+Table1[[#This Row],[DUT Read]]+Table1[[#This Row],[DUT Ucty]])</f>
        <v>N/A</v>
      </c>
      <c r="Y2433" s="1" t="str">
        <f>IF(Table1[[#This Row],[Std Read]]="","N/A",Table1[[#This Row],[Std Read]]+Table1[[#This Row],[Std Ucty]])</f>
        <v>N/A</v>
      </c>
      <c r="Z24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3" s="1" t="str">
        <f>IF(Table1[[#This Row],[Spec Type]]="","N/A",Table1[[#This Row],[Spec Type]])</f>
        <v>±</v>
      </c>
      <c r="AC2433" s="1" t="str">
        <f>IF(Table1[[#This Row],[Spec Type2]]="N/A","N/A",IF(AND(Table1[[#This Row],[DUT Adj Read]]&gt;=Table1[[#This Row],[Low Tol]],Table1[[#This Row],[DUT Adj Read]]&lt;=Table1[[#This Row],[High Tol]]),"Pass","Fail"))</f>
        <v>Fail</v>
      </c>
      <c r="AD2433" s="1" t="str">
        <f>IF(AND(Table1[[#This Row],[Spec Type2]]="N/A",Table1[[#This Row],[DUT Adj Read]]="N/A",Table1[[#This Row],[Std Adj Read]]="N/A"),"N/A",IF(Table1[[#This Row],[DUT Adj Read]]="N/A",IF(Table1[[#This Row],[Std Adj Read]]&gt;Table1[[#This Row],[Low Tol]],"Pass","Fail"),IF(Table1[[#This Row],[DUT Adj Read]]&gt;Table1[[#This Row],[Low Tol]],"Pass","Fail")))</f>
        <v>Pass</v>
      </c>
      <c r="AE2433" s="1" t="str">
        <f>IF(AND(Table1[[#This Row],[Spec Type2]]="N/A",Table1[[#This Row],[DUT Adj Read]]="N/A",Table1[[#This Row],[Std Adj Read]]="N/A"),"N/A",IF(Table1[[#This Row],[DUT Adj Read]]="N/A",IF(Table1[[#This Row],[Std Adj Read]]&lt;Table1[[#This Row],[High Tol]],"Pass","Fail"),IF(Table1[[#This Row],[DUT Adj Read]]&lt;Table1[[#This Row],[High Tol]],"Pass","Fail")))</f>
        <v>Fail</v>
      </c>
      <c r="AF2433" s="1" t="str">
        <f>IF(AND(Table1[[#This Row],[Spec Type2]]="N/A",Table1[[#This Row],[DUT Adj Read]]="N/A",Table1[[#This Row],[Std Adj Read]]="N/A"),"N/A",IF(Table1[[#This Row],[DUT Adj Read]]="N/A",IF(Table1[[#This Row],[Std Adj Read]]&gt;=Table1[[#This Row],[Low Tol]],"Pass","Fail"),IF(Table1[[#This Row],[DUT Adj Read]]&gt;=Table1[[#This Row],[Low Tol]],"Pass","Fail")))</f>
        <v>Pass</v>
      </c>
      <c r="AG2433" s="1" t="str">
        <f>IF(AND(Table1[[#This Row],[Spec Type2]]="N/A",Table1[[#This Row],[DUT Adj Read]]="N/A",Table1[[#This Row],[Std Adj Read]]="N/A"),"N/A",IF(Table1[[#This Row],[DUT Adj Read]]="N/A",IF(Table1[[#This Row],[Std Adj Read]]&lt;=Table1[[#This Row],[High Tol]],"Pass","Fail"),IF(Table1[[#This Row],[DUT Adj Read]]&lt;=Table1[[#This Row],[High Tol]],"Pass","Fail")))</f>
        <v>Fail</v>
      </c>
      <c r="AH24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3" s="1" t="b">
        <v>0</v>
      </c>
      <c r="AN2433" s="1" t="b">
        <v>0</v>
      </c>
      <c r="AO2433" s="1" t="b">
        <v>0</v>
      </c>
    </row>
    <row r="2434" spans="1:41" x14ac:dyDescent="0.25">
      <c r="A2434" s="10"/>
      <c r="B2434" s="10"/>
      <c r="C2434" s="10"/>
      <c r="D2434" s="10"/>
      <c r="E2434" s="10"/>
      <c r="F2434" s="10"/>
      <c r="G2434" s="10"/>
      <c r="H2434" s="10"/>
      <c r="I2434" s="1" t="str">
        <f t="shared" si="111"/>
        <v/>
      </c>
      <c r="J2434" s="1" t="s">
        <v>35</v>
      </c>
      <c r="K2434" s="1" t="str">
        <f t="shared" si="112"/>
        <v/>
      </c>
      <c r="L2434" s="1" t="str">
        <f t="shared" si="113"/>
        <v/>
      </c>
      <c r="M2434" s="1">
        <f>IF(OR(Table1[[#This Row],[Std Nom]]="",Table1[[#This Row],[Std Read]]=""),0,Table1[[#This Row],[Std Nom]]-Table1[[#This Row],[Std Read]])</f>
        <v>0</v>
      </c>
      <c r="N2434" s="1">
        <f>IF(Calculations!$F$5="ACCREDITED 17025 WITH UNCERTAINTIES",$N$10,0)</f>
        <v>0</v>
      </c>
      <c r="O2434" s="1" t="str">
        <f>IFERROR(Table1[[#This Row],[Std Nom]]-(_xlfn.XLOOKUP(Table1[[#This Row],[Manufacturer]]&amp;" "&amp;Table1[[#This Row],[Model]],Table13[MFR &amp; MDL],Table13[Tolerance % CW ],"")/100*Table1[[#This Row],[Std Nom]]),"")</f>
        <v/>
      </c>
      <c r="P2434" s="1" t="str">
        <f>IFERROR(Table1[[#This Row],[Std Nom]]+(_xlfn.XLOOKUP(Table1[[#This Row],[Manufacturer]]&amp;" "&amp;Table1[[#This Row],[Model]],Table13[MFR &amp; MDL],Table13[Tolerance % CW ],"")/100*Table1[[#This Row],[Std Nom]]),"")</f>
        <v/>
      </c>
      <c r="Q2434" s="1" t="e">
        <f>Table1[[#This Row],[High Tol]]-Table1[[#This Row],[Low Tol]]</f>
        <v>#VALUE!</v>
      </c>
      <c r="R2434" s="1">
        <f>2*Table1[[#This Row],[Std Error]]</f>
        <v>0</v>
      </c>
      <c r="S2434" s="1" t="str">
        <f>IF(Table1[[#This Row],[High Tol]]="","N/A",IFERROR(ABS(Table1[[#This Row],[Tol Span]]/Table1[[#This Row],[Error Span]]),"N/A"))</f>
        <v>N/A</v>
      </c>
      <c r="T2434" s="1" t="str">
        <f>IF(OR(Table1[[#This Row],[Low Tol]]="",Table1[[#This Row],[High Tol]]=""),"Needs Analysis",IF(Table1[[#This Row],[Ratio]]&gt;=4,"Not Significant",IF(Table1[[#This Row],[Ratio]]&gt;=2,"Semi-Significant","Significant")))</f>
        <v>Needs Analysis</v>
      </c>
      <c r="W2434" s="1">
        <f>IF(Table1[[#This Row],[Cal Type]]&lt;&gt;"ACCREDITED 17025 WITH UNCERTAINTIES",0,"")</f>
        <v>0</v>
      </c>
      <c r="X2434" s="1" t="str">
        <f>IF(Table1[[#This Row],[DUT Read]]="","N/A",Table1[[#This Row],[Std Error]]+Table1[[#This Row],[DUT Read]]+Table1[[#This Row],[DUT Ucty]])</f>
        <v>N/A</v>
      </c>
      <c r="Y2434" s="1" t="str">
        <f>IF(Table1[[#This Row],[Std Read]]="","N/A",Table1[[#This Row],[Std Read]]+Table1[[#This Row],[Std Ucty]])</f>
        <v>N/A</v>
      </c>
      <c r="Z24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4" s="1" t="str">
        <f>IF(Table1[[#This Row],[Spec Type]]="","N/A",Table1[[#This Row],[Spec Type]])</f>
        <v>±</v>
      </c>
      <c r="AC2434" s="1" t="str">
        <f>IF(Table1[[#This Row],[Spec Type2]]="N/A","N/A",IF(AND(Table1[[#This Row],[DUT Adj Read]]&gt;=Table1[[#This Row],[Low Tol]],Table1[[#This Row],[DUT Adj Read]]&lt;=Table1[[#This Row],[High Tol]]),"Pass","Fail"))</f>
        <v>Fail</v>
      </c>
      <c r="AD2434" s="1" t="str">
        <f>IF(AND(Table1[[#This Row],[Spec Type2]]="N/A",Table1[[#This Row],[DUT Adj Read]]="N/A",Table1[[#This Row],[Std Adj Read]]="N/A"),"N/A",IF(Table1[[#This Row],[DUT Adj Read]]="N/A",IF(Table1[[#This Row],[Std Adj Read]]&gt;Table1[[#This Row],[Low Tol]],"Pass","Fail"),IF(Table1[[#This Row],[DUT Adj Read]]&gt;Table1[[#This Row],[Low Tol]],"Pass","Fail")))</f>
        <v>Pass</v>
      </c>
      <c r="AE2434" s="1" t="str">
        <f>IF(AND(Table1[[#This Row],[Spec Type2]]="N/A",Table1[[#This Row],[DUT Adj Read]]="N/A",Table1[[#This Row],[Std Adj Read]]="N/A"),"N/A",IF(Table1[[#This Row],[DUT Adj Read]]="N/A",IF(Table1[[#This Row],[Std Adj Read]]&lt;Table1[[#This Row],[High Tol]],"Pass","Fail"),IF(Table1[[#This Row],[DUT Adj Read]]&lt;Table1[[#This Row],[High Tol]],"Pass","Fail")))</f>
        <v>Fail</v>
      </c>
      <c r="AF2434" s="1" t="str">
        <f>IF(AND(Table1[[#This Row],[Spec Type2]]="N/A",Table1[[#This Row],[DUT Adj Read]]="N/A",Table1[[#This Row],[Std Adj Read]]="N/A"),"N/A",IF(Table1[[#This Row],[DUT Adj Read]]="N/A",IF(Table1[[#This Row],[Std Adj Read]]&gt;=Table1[[#This Row],[Low Tol]],"Pass","Fail"),IF(Table1[[#This Row],[DUT Adj Read]]&gt;=Table1[[#This Row],[Low Tol]],"Pass","Fail")))</f>
        <v>Pass</v>
      </c>
      <c r="AG2434" s="1" t="str">
        <f>IF(AND(Table1[[#This Row],[Spec Type2]]="N/A",Table1[[#This Row],[DUT Adj Read]]="N/A",Table1[[#This Row],[Std Adj Read]]="N/A"),"N/A",IF(Table1[[#This Row],[DUT Adj Read]]="N/A",IF(Table1[[#This Row],[Std Adj Read]]&lt;=Table1[[#This Row],[High Tol]],"Pass","Fail"),IF(Table1[[#This Row],[DUT Adj Read]]&lt;=Table1[[#This Row],[High Tol]],"Pass","Fail")))</f>
        <v>Fail</v>
      </c>
      <c r="AH24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4" s="1" t="b">
        <v>0</v>
      </c>
      <c r="AN2434" s="1" t="b">
        <v>0</v>
      </c>
      <c r="AO2434" s="1" t="b">
        <v>0</v>
      </c>
    </row>
    <row r="2435" spans="1:41" x14ac:dyDescent="0.25">
      <c r="A2435" s="10"/>
      <c r="B2435" s="10"/>
      <c r="C2435" s="10"/>
      <c r="D2435" s="10"/>
      <c r="E2435" s="10"/>
      <c r="F2435" s="10"/>
      <c r="G2435" s="10"/>
      <c r="H2435" s="10"/>
      <c r="I2435" s="1" t="str">
        <f t="shared" si="111"/>
        <v/>
      </c>
      <c r="J2435" s="1" t="s">
        <v>35</v>
      </c>
      <c r="K2435" s="1" t="str">
        <f t="shared" si="112"/>
        <v/>
      </c>
      <c r="L2435" s="1" t="str">
        <f t="shared" si="113"/>
        <v/>
      </c>
      <c r="M2435" s="1">
        <f>IF(OR(Table1[[#This Row],[Std Nom]]="",Table1[[#This Row],[Std Read]]=""),0,Table1[[#This Row],[Std Nom]]-Table1[[#This Row],[Std Read]])</f>
        <v>0</v>
      </c>
      <c r="N2435" s="1">
        <f>IF(Calculations!$F$5="ACCREDITED 17025 WITH UNCERTAINTIES",$N$10,0)</f>
        <v>0</v>
      </c>
      <c r="O2435" s="1" t="str">
        <f>IFERROR(Table1[[#This Row],[Std Nom]]-(_xlfn.XLOOKUP(Table1[[#This Row],[Manufacturer]]&amp;" "&amp;Table1[[#This Row],[Model]],Table13[MFR &amp; MDL],Table13[Tolerance % CW ],"")/100*Table1[[#This Row],[Std Nom]]),"")</f>
        <v/>
      </c>
      <c r="P2435" s="1" t="str">
        <f>IFERROR(Table1[[#This Row],[Std Nom]]+(_xlfn.XLOOKUP(Table1[[#This Row],[Manufacturer]]&amp;" "&amp;Table1[[#This Row],[Model]],Table13[MFR &amp; MDL],Table13[Tolerance % CW ],"")/100*Table1[[#This Row],[Std Nom]]),"")</f>
        <v/>
      </c>
      <c r="Q2435" s="1" t="e">
        <f>Table1[[#This Row],[High Tol]]-Table1[[#This Row],[Low Tol]]</f>
        <v>#VALUE!</v>
      </c>
      <c r="R2435" s="1">
        <f>2*Table1[[#This Row],[Std Error]]</f>
        <v>0</v>
      </c>
      <c r="S2435" s="1" t="str">
        <f>IF(Table1[[#This Row],[High Tol]]="","N/A",IFERROR(ABS(Table1[[#This Row],[Tol Span]]/Table1[[#This Row],[Error Span]]),"N/A"))</f>
        <v>N/A</v>
      </c>
      <c r="T2435" s="1" t="str">
        <f>IF(OR(Table1[[#This Row],[Low Tol]]="",Table1[[#This Row],[High Tol]]=""),"Needs Analysis",IF(Table1[[#This Row],[Ratio]]&gt;=4,"Not Significant",IF(Table1[[#This Row],[Ratio]]&gt;=2,"Semi-Significant","Significant")))</f>
        <v>Needs Analysis</v>
      </c>
      <c r="W2435" s="1">
        <f>IF(Table1[[#This Row],[Cal Type]]&lt;&gt;"ACCREDITED 17025 WITH UNCERTAINTIES",0,"")</f>
        <v>0</v>
      </c>
      <c r="X2435" s="1" t="str">
        <f>IF(Table1[[#This Row],[DUT Read]]="","N/A",Table1[[#This Row],[Std Error]]+Table1[[#This Row],[DUT Read]]+Table1[[#This Row],[DUT Ucty]])</f>
        <v>N/A</v>
      </c>
      <c r="Y2435" s="1" t="str">
        <f>IF(Table1[[#This Row],[Std Read]]="","N/A",Table1[[#This Row],[Std Read]]+Table1[[#This Row],[Std Ucty]])</f>
        <v>N/A</v>
      </c>
      <c r="Z24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5" s="1" t="str">
        <f>IF(Table1[[#This Row],[Spec Type]]="","N/A",Table1[[#This Row],[Spec Type]])</f>
        <v>±</v>
      </c>
      <c r="AC2435" s="1" t="str">
        <f>IF(Table1[[#This Row],[Spec Type2]]="N/A","N/A",IF(AND(Table1[[#This Row],[DUT Adj Read]]&gt;=Table1[[#This Row],[Low Tol]],Table1[[#This Row],[DUT Adj Read]]&lt;=Table1[[#This Row],[High Tol]]),"Pass","Fail"))</f>
        <v>Fail</v>
      </c>
      <c r="AD2435" s="1" t="str">
        <f>IF(AND(Table1[[#This Row],[Spec Type2]]="N/A",Table1[[#This Row],[DUT Adj Read]]="N/A",Table1[[#This Row],[Std Adj Read]]="N/A"),"N/A",IF(Table1[[#This Row],[DUT Adj Read]]="N/A",IF(Table1[[#This Row],[Std Adj Read]]&gt;Table1[[#This Row],[Low Tol]],"Pass","Fail"),IF(Table1[[#This Row],[DUT Adj Read]]&gt;Table1[[#This Row],[Low Tol]],"Pass","Fail")))</f>
        <v>Pass</v>
      </c>
      <c r="AE2435" s="1" t="str">
        <f>IF(AND(Table1[[#This Row],[Spec Type2]]="N/A",Table1[[#This Row],[DUT Adj Read]]="N/A",Table1[[#This Row],[Std Adj Read]]="N/A"),"N/A",IF(Table1[[#This Row],[DUT Adj Read]]="N/A",IF(Table1[[#This Row],[Std Adj Read]]&lt;Table1[[#This Row],[High Tol]],"Pass","Fail"),IF(Table1[[#This Row],[DUT Adj Read]]&lt;Table1[[#This Row],[High Tol]],"Pass","Fail")))</f>
        <v>Fail</v>
      </c>
      <c r="AF2435" s="1" t="str">
        <f>IF(AND(Table1[[#This Row],[Spec Type2]]="N/A",Table1[[#This Row],[DUT Adj Read]]="N/A",Table1[[#This Row],[Std Adj Read]]="N/A"),"N/A",IF(Table1[[#This Row],[DUT Adj Read]]="N/A",IF(Table1[[#This Row],[Std Adj Read]]&gt;=Table1[[#This Row],[Low Tol]],"Pass","Fail"),IF(Table1[[#This Row],[DUT Adj Read]]&gt;=Table1[[#This Row],[Low Tol]],"Pass","Fail")))</f>
        <v>Pass</v>
      </c>
      <c r="AG2435" s="1" t="str">
        <f>IF(AND(Table1[[#This Row],[Spec Type2]]="N/A",Table1[[#This Row],[DUT Adj Read]]="N/A",Table1[[#This Row],[Std Adj Read]]="N/A"),"N/A",IF(Table1[[#This Row],[DUT Adj Read]]="N/A",IF(Table1[[#This Row],[Std Adj Read]]&lt;=Table1[[#This Row],[High Tol]],"Pass","Fail"),IF(Table1[[#This Row],[DUT Adj Read]]&lt;=Table1[[#This Row],[High Tol]],"Pass","Fail")))</f>
        <v>Fail</v>
      </c>
      <c r="AH24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5" s="1" t="b">
        <v>0</v>
      </c>
      <c r="AN2435" s="1" t="b">
        <v>0</v>
      </c>
      <c r="AO2435" s="1" t="b">
        <v>0</v>
      </c>
    </row>
    <row r="2436" spans="1:41" x14ac:dyDescent="0.25">
      <c r="A2436" s="10"/>
      <c r="B2436" s="10"/>
      <c r="C2436" s="10"/>
      <c r="D2436" s="10"/>
      <c r="E2436" s="10"/>
      <c r="F2436" s="10"/>
      <c r="G2436" s="10"/>
      <c r="H2436" s="10"/>
      <c r="I2436" s="1" t="str">
        <f t="shared" si="111"/>
        <v/>
      </c>
      <c r="J2436" s="1" t="s">
        <v>35</v>
      </c>
      <c r="K2436" s="1" t="str">
        <f t="shared" si="112"/>
        <v/>
      </c>
      <c r="L2436" s="1" t="str">
        <f t="shared" si="113"/>
        <v/>
      </c>
      <c r="M2436" s="1">
        <f>IF(OR(Table1[[#This Row],[Std Nom]]="",Table1[[#This Row],[Std Read]]=""),0,Table1[[#This Row],[Std Nom]]-Table1[[#This Row],[Std Read]])</f>
        <v>0</v>
      </c>
      <c r="N2436" s="1">
        <f>IF(Calculations!$F$5="ACCREDITED 17025 WITH UNCERTAINTIES",$N$10,0)</f>
        <v>0</v>
      </c>
      <c r="O2436" s="1" t="str">
        <f>IFERROR(Table1[[#This Row],[Std Nom]]-(_xlfn.XLOOKUP(Table1[[#This Row],[Manufacturer]]&amp;" "&amp;Table1[[#This Row],[Model]],Table13[MFR &amp; MDL],Table13[Tolerance % CW ],"")/100*Table1[[#This Row],[Std Nom]]),"")</f>
        <v/>
      </c>
      <c r="P2436" s="1" t="str">
        <f>IFERROR(Table1[[#This Row],[Std Nom]]+(_xlfn.XLOOKUP(Table1[[#This Row],[Manufacturer]]&amp;" "&amp;Table1[[#This Row],[Model]],Table13[MFR &amp; MDL],Table13[Tolerance % CW ],"")/100*Table1[[#This Row],[Std Nom]]),"")</f>
        <v/>
      </c>
      <c r="Q2436" s="1" t="e">
        <f>Table1[[#This Row],[High Tol]]-Table1[[#This Row],[Low Tol]]</f>
        <v>#VALUE!</v>
      </c>
      <c r="R2436" s="1">
        <f>2*Table1[[#This Row],[Std Error]]</f>
        <v>0</v>
      </c>
      <c r="S2436" s="1" t="str">
        <f>IF(Table1[[#This Row],[High Tol]]="","N/A",IFERROR(ABS(Table1[[#This Row],[Tol Span]]/Table1[[#This Row],[Error Span]]),"N/A"))</f>
        <v>N/A</v>
      </c>
      <c r="T2436" s="1" t="str">
        <f>IF(OR(Table1[[#This Row],[Low Tol]]="",Table1[[#This Row],[High Tol]]=""),"Needs Analysis",IF(Table1[[#This Row],[Ratio]]&gt;=4,"Not Significant",IF(Table1[[#This Row],[Ratio]]&gt;=2,"Semi-Significant","Significant")))</f>
        <v>Needs Analysis</v>
      </c>
      <c r="W2436" s="1">
        <f>IF(Table1[[#This Row],[Cal Type]]&lt;&gt;"ACCREDITED 17025 WITH UNCERTAINTIES",0,"")</f>
        <v>0</v>
      </c>
      <c r="X2436" s="1" t="str">
        <f>IF(Table1[[#This Row],[DUT Read]]="","N/A",Table1[[#This Row],[Std Error]]+Table1[[#This Row],[DUT Read]]+Table1[[#This Row],[DUT Ucty]])</f>
        <v>N/A</v>
      </c>
      <c r="Y2436" s="1" t="str">
        <f>IF(Table1[[#This Row],[Std Read]]="","N/A",Table1[[#This Row],[Std Read]]+Table1[[#This Row],[Std Ucty]])</f>
        <v>N/A</v>
      </c>
      <c r="Z24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6" s="1" t="str">
        <f>IF(Table1[[#This Row],[Spec Type]]="","N/A",Table1[[#This Row],[Spec Type]])</f>
        <v>±</v>
      </c>
      <c r="AC2436" s="1" t="str">
        <f>IF(Table1[[#This Row],[Spec Type2]]="N/A","N/A",IF(AND(Table1[[#This Row],[DUT Adj Read]]&gt;=Table1[[#This Row],[Low Tol]],Table1[[#This Row],[DUT Adj Read]]&lt;=Table1[[#This Row],[High Tol]]),"Pass","Fail"))</f>
        <v>Fail</v>
      </c>
      <c r="AD2436" s="1" t="str">
        <f>IF(AND(Table1[[#This Row],[Spec Type2]]="N/A",Table1[[#This Row],[DUT Adj Read]]="N/A",Table1[[#This Row],[Std Adj Read]]="N/A"),"N/A",IF(Table1[[#This Row],[DUT Adj Read]]="N/A",IF(Table1[[#This Row],[Std Adj Read]]&gt;Table1[[#This Row],[Low Tol]],"Pass","Fail"),IF(Table1[[#This Row],[DUT Adj Read]]&gt;Table1[[#This Row],[Low Tol]],"Pass","Fail")))</f>
        <v>Pass</v>
      </c>
      <c r="AE2436" s="1" t="str">
        <f>IF(AND(Table1[[#This Row],[Spec Type2]]="N/A",Table1[[#This Row],[DUT Adj Read]]="N/A",Table1[[#This Row],[Std Adj Read]]="N/A"),"N/A",IF(Table1[[#This Row],[DUT Adj Read]]="N/A",IF(Table1[[#This Row],[Std Adj Read]]&lt;Table1[[#This Row],[High Tol]],"Pass","Fail"),IF(Table1[[#This Row],[DUT Adj Read]]&lt;Table1[[#This Row],[High Tol]],"Pass","Fail")))</f>
        <v>Fail</v>
      </c>
      <c r="AF2436" s="1" t="str">
        <f>IF(AND(Table1[[#This Row],[Spec Type2]]="N/A",Table1[[#This Row],[DUT Adj Read]]="N/A",Table1[[#This Row],[Std Adj Read]]="N/A"),"N/A",IF(Table1[[#This Row],[DUT Adj Read]]="N/A",IF(Table1[[#This Row],[Std Adj Read]]&gt;=Table1[[#This Row],[Low Tol]],"Pass","Fail"),IF(Table1[[#This Row],[DUT Adj Read]]&gt;=Table1[[#This Row],[Low Tol]],"Pass","Fail")))</f>
        <v>Pass</v>
      </c>
      <c r="AG2436" s="1" t="str">
        <f>IF(AND(Table1[[#This Row],[Spec Type2]]="N/A",Table1[[#This Row],[DUT Adj Read]]="N/A",Table1[[#This Row],[Std Adj Read]]="N/A"),"N/A",IF(Table1[[#This Row],[DUT Adj Read]]="N/A",IF(Table1[[#This Row],[Std Adj Read]]&lt;=Table1[[#This Row],[High Tol]],"Pass","Fail"),IF(Table1[[#This Row],[DUT Adj Read]]&lt;=Table1[[#This Row],[High Tol]],"Pass","Fail")))</f>
        <v>Fail</v>
      </c>
      <c r="AH24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6" s="1" t="b">
        <v>0</v>
      </c>
      <c r="AN2436" s="1" t="b">
        <v>0</v>
      </c>
      <c r="AO2436" s="1" t="b">
        <v>0</v>
      </c>
    </row>
    <row r="2437" spans="1:41" x14ac:dyDescent="0.25">
      <c r="A2437" s="10"/>
      <c r="B2437" s="10"/>
      <c r="C2437" s="10"/>
      <c r="D2437" s="10"/>
      <c r="E2437" s="10"/>
      <c r="F2437" s="10"/>
      <c r="G2437" s="10"/>
      <c r="H2437" s="10"/>
      <c r="I2437" s="1" t="str">
        <f t="shared" si="111"/>
        <v/>
      </c>
      <c r="J2437" s="1" t="s">
        <v>35</v>
      </c>
      <c r="K2437" s="1" t="str">
        <f t="shared" si="112"/>
        <v/>
      </c>
      <c r="L2437" s="1" t="str">
        <f t="shared" si="113"/>
        <v/>
      </c>
      <c r="M2437" s="1">
        <f>IF(OR(Table1[[#This Row],[Std Nom]]="",Table1[[#This Row],[Std Read]]=""),0,Table1[[#This Row],[Std Nom]]-Table1[[#This Row],[Std Read]])</f>
        <v>0</v>
      </c>
      <c r="N2437" s="1">
        <f>IF(Calculations!$F$5="ACCREDITED 17025 WITH UNCERTAINTIES",$N$10,0)</f>
        <v>0</v>
      </c>
      <c r="O2437" s="1" t="str">
        <f>IFERROR(Table1[[#This Row],[Std Nom]]-(_xlfn.XLOOKUP(Table1[[#This Row],[Manufacturer]]&amp;" "&amp;Table1[[#This Row],[Model]],Table13[MFR &amp; MDL],Table13[Tolerance % CW ],"")/100*Table1[[#This Row],[Std Nom]]),"")</f>
        <v/>
      </c>
      <c r="P2437" s="1" t="str">
        <f>IFERROR(Table1[[#This Row],[Std Nom]]+(_xlfn.XLOOKUP(Table1[[#This Row],[Manufacturer]]&amp;" "&amp;Table1[[#This Row],[Model]],Table13[MFR &amp; MDL],Table13[Tolerance % CW ],"")/100*Table1[[#This Row],[Std Nom]]),"")</f>
        <v/>
      </c>
      <c r="Q2437" s="1" t="e">
        <f>Table1[[#This Row],[High Tol]]-Table1[[#This Row],[Low Tol]]</f>
        <v>#VALUE!</v>
      </c>
      <c r="R2437" s="1">
        <f>2*Table1[[#This Row],[Std Error]]</f>
        <v>0</v>
      </c>
      <c r="S2437" s="1" t="str">
        <f>IF(Table1[[#This Row],[High Tol]]="","N/A",IFERROR(ABS(Table1[[#This Row],[Tol Span]]/Table1[[#This Row],[Error Span]]),"N/A"))</f>
        <v>N/A</v>
      </c>
      <c r="T2437" s="1" t="str">
        <f>IF(OR(Table1[[#This Row],[Low Tol]]="",Table1[[#This Row],[High Tol]]=""),"Needs Analysis",IF(Table1[[#This Row],[Ratio]]&gt;=4,"Not Significant",IF(Table1[[#This Row],[Ratio]]&gt;=2,"Semi-Significant","Significant")))</f>
        <v>Needs Analysis</v>
      </c>
      <c r="W2437" s="1">
        <f>IF(Table1[[#This Row],[Cal Type]]&lt;&gt;"ACCREDITED 17025 WITH UNCERTAINTIES",0,"")</f>
        <v>0</v>
      </c>
      <c r="X2437" s="1" t="str">
        <f>IF(Table1[[#This Row],[DUT Read]]="","N/A",Table1[[#This Row],[Std Error]]+Table1[[#This Row],[DUT Read]]+Table1[[#This Row],[DUT Ucty]])</f>
        <v>N/A</v>
      </c>
      <c r="Y2437" s="1" t="str">
        <f>IF(Table1[[#This Row],[Std Read]]="","N/A",Table1[[#This Row],[Std Read]]+Table1[[#This Row],[Std Ucty]])</f>
        <v>N/A</v>
      </c>
      <c r="Z24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7" s="1" t="str">
        <f>IF(Table1[[#This Row],[Spec Type]]="","N/A",Table1[[#This Row],[Spec Type]])</f>
        <v>±</v>
      </c>
      <c r="AC2437" s="1" t="str">
        <f>IF(Table1[[#This Row],[Spec Type2]]="N/A","N/A",IF(AND(Table1[[#This Row],[DUT Adj Read]]&gt;=Table1[[#This Row],[Low Tol]],Table1[[#This Row],[DUT Adj Read]]&lt;=Table1[[#This Row],[High Tol]]),"Pass","Fail"))</f>
        <v>Fail</v>
      </c>
      <c r="AD2437" s="1" t="str">
        <f>IF(AND(Table1[[#This Row],[Spec Type2]]="N/A",Table1[[#This Row],[DUT Adj Read]]="N/A",Table1[[#This Row],[Std Adj Read]]="N/A"),"N/A",IF(Table1[[#This Row],[DUT Adj Read]]="N/A",IF(Table1[[#This Row],[Std Adj Read]]&gt;Table1[[#This Row],[Low Tol]],"Pass","Fail"),IF(Table1[[#This Row],[DUT Adj Read]]&gt;Table1[[#This Row],[Low Tol]],"Pass","Fail")))</f>
        <v>Pass</v>
      </c>
      <c r="AE2437" s="1" t="str">
        <f>IF(AND(Table1[[#This Row],[Spec Type2]]="N/A",Table1[[#This Row],[DUT Adj Read]]="N/A",Table1[[#This Row],[Std Adj Read]]="N/A"),"N/A",IF(Table1[[#This Row],[DUT Adj Read]]="N/A",IF(Table1[[#This Row],[Std Adj Read]]&lt;Table1[[#This Row],[High Tol]],"Pass","Fail"),IF(Table1[[#This Row],[DUT Adj Read]]&lt;Table1[[#This Row],[High Tol]],"Pass","Fail")))</f>
        <v>Fail</v>
      </c>
      <c r="AF2437" s="1" t="str">
        <f>IF(AND(Table1[[#This Row],[Spec Type2]]="N/A",Table1[[#This Row],[DUT Adj Read]]="N/A",Table1[[#This Row],[Std Adj Read]]="N/A"),"N/A",IF(Table1[[#This Row],[DUT Adj Read]]="N/A",IF(Table1[[#This Row],[Std Adj Read]]&gt;=Table1[[#This Row],[Low Tol]],"Pass","Fail"),IF(Table1[[#This Row],[DUT Adj Read]]&gt;=Table1[[#This Row],[Low Tol]],"Pass","Fail")))</f>
        <v>Pass</v>
      </c>
      <c r="AG2437" s="1" t="str">
        <f>IF(AND(Table1[[#This Row],[Spec Type2]]="N/A",Table1[[#This Row],[DUT Adj Read]]="N/A",Table1[[#This Row],[Std Adj Read]]="N/A"),"N/A",IF(Table1[[#This Row],[DUT Adj Read]]="N/A",IF(Table1[[#This Row],[Std Adj Read]]&lt;=Table1[[#This Row],[High Tol]],"Pass","Fail"),IF(Table1[[#This Row],[DUT Adj Read]]&lt;=Table1[[#This Row],[High Tol]],"Pass","Fail")))</f>
        <v>Fail</v>
      </c>
      <c r="AH24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7" s="1" t="b">
        <v>0</v>
      </c>
      <c r="AN2437" s="1" t="b">
        <v>0</v>
      </c>
      <c r="AO2437" s="1" t="b">
        <v>0</v>
      </c>
    </row>
    <row r="2438" spans="1:41" x14ac:dyDescent="0.25">
      <c r="A2438" s="10"/>
      <c r="B2438" s="10"/>
      <c r="C2438" s="10"/>
      <c r="D2438" s="10"/>
      <c r="E2438" s="10"/>
      <c r="F2438" s="10"/>
      <c r="G2438" s="10"/>
      <c r="H2438" s="10"/>
      <c r="I2438" s="1" t="str">
        <f t="shared" si="111"/>
        <v/>
      </c>
      <c r="J2438" s="1" t="s">
        <v>35</v>
      </c>
      <c r="K2438" s="1" t="str">
        <f t="shared" si="112"/>
        <v/>
      </c>
      <c r="L2438" s="1" t="str">
        <f t="shared" si="113"/>
        <v/>
      </c>
      <c r="M2438" s="1">
        <f>IF(OR(Table1[[#This Row],[Std Nom]]="",Table1[[#This Row],[Std Read]]=""),0,Table1[[#This Row],[Std Nom]]-Table1[[#This Row],[Std Read]])</f>
        <v>0</v>
      </c>
      <c r="N2438" s="1">
        <f>IF(Calculations!$F$5="ACCREDITED 17025 WITH UNCERTAINTIES",$N$10,0)</f>
        <v>0</v>
      </c>
      <c r="O2438" s="1" t="str">
        <f>IFERROR(Table1[[#This Row],[Std Nom]]-(_xlfn.XLOOKUP(Table1[[#This Row],[Manufacturer]]&amp;" "&amp;Table1[[#This Row],[Model]],Table13[MFR &amp; MDL],Table13[Tolerance % CW ],"")/100*Table1[[#This Row],[Std Nom]]),"")</f>
        <v/>
      </c>
      <c r="P2438" s="1" t="str">
        <f>IFERROR(Table1[[#This Row],[Std Nom]]+(_xlfn.XLOOKUP(Table1[[#This Row],[Manufacturer]]&amp;" "&amp;Table1[[#This Row],[Model]],Table13[MFR &amp; MDL],Table13[Tolerance % CW ],"")/100*Table1[[#This Row],[Std Nom]]),"")</f>
        <v/>
      </c>
      <c r="Q2438" s="1" t="e">
        <f>Table1[[#This Row],[High Tol]]-Table1[[#This Row],[Low Tol]]</f>
        <v>#VALUE!</v>
      </c>
      <c r="R2438" s="1">
        <f>2*Table1[[#This Row],[Std Error]]</f>
        <v>0</v>
      </c>
      <c r="S2438" s="1" t="str">
        <f>IF(Table1[[#This Row],[High Tol]]="","N/A",IFERROR(ABS(Table1[[#This Row],[Tol Span]]/Table1[[#This Row],[Error Span]]),"N/A"))</f>
        <v>N/A</v>
      </c>
      <c r="T2438" s="1" t="str">
        <f>IF(OR(Table1[[#This Row],[Low Tol]]="",Table1[[#This Row],[High Tol]]=""),"Needs Analysis",IF(Table1[[#This Row],[Ratio]]&gt;=4,"Not Significant",IF(Table1[[#This Row],[Ratio]]&gt;=2,"Semi-Significant","Significant")))</f>
        <v>Needs Analysis</v>
      </c>
      <c r="W2438" s="1">
        <f>IF(Table1[[#This Row],[Cal Type]]&lt;&gt;"ACCREDITED 17025 WITH UNCERTAINTIES",0,"")</f>
        <v>0</v>
      </c>
      <c r="X2438" s="1" t="str">
        <f>IF(Table1[[#This Row],[DUT Read]]="","N/A",Table1[[#This Row],[Std Error]]+Table1[[#This Row],[DUT Read]]+Table1[[#This Row],[DUT Ucty]])</f>
        <v>N/A</v>
      </c>
      <c r="Y2438" s="1" t="str">
        <f>IF(Table1[[#This Row],[Std Read]]="","N/A",Table1[[#This Row],[Std Read]]+Table1[[#This Row],[Std Ucty]])</f>
        <v>N/A</v>
      </c>
      <c r="Z24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8" s="1" t="str">
        <f>IF(Table1[[#This Row],[Spec Type]]="","N/A",Table1[[#This Row],[Spec Type]])</f>
        <v>±</v>
      </c>
      <c r="AC2438" s="1" t="str">
        <f>IF(Table1[[#This Row],[Spec Type2]]="N/A","N/A",IF(AND(Table1[[#This Row],[DUT Adj Read]]&gt;=Table1[[#This Row],[Low Tol]],Table1[[#This Row],[DUT Adj Read]]&lt;=Table1[[#This Row],[High Tol]]),"Pass","Fail"))</f>
        <v>Fail</v>
      </c>
      <c r="AD2438" s="1" t="str">
        <f>IF(AND(Table1[[#This Row],[Spec Type2]]="N/A",Table1[[#This Row],[DUT Adj Read]]="N/A",Table1[[#This Row],[Std Adj Read]]="N/A"),"N/A",IF(Table1[[#This Row],[DUT Adj Read]]="N/A",IF(Table1[[#This Row],[Std Adj Read]]&gt;Table1[[#This Row],[Low Tol]],"Pass","Fail"),IF(Table1[[#This Row],[DUT Adj Read]]&gt;Table1[[#This Row],[Low Tol]],"Pass","Fail")))</f>
        <v>Pass</v>
      </c>
      <c r="AE2438" s="1" t="str">
        <f>IF(AND(Table1[[#This Row],[Spec Type2]]="N/A",Table1[[#This Row],[DUT Adj Read]]="N/A",Table1[[#This Row],[Std Adj Read]]="N/A"),"N/A",IF(Table1[[#This Row],[DUT Adj Read]]="N/A",IF(Table1[[#This Row],[Std Adj Read]]&lt;Table1[[#This Row],[High Tol]],"Pass","Fail"),IF(Table1[[#This Row],[DUT Adj Read]]&lt;Table1[[#This Row],[High Tol]],"Pass","Fail")))</f>
        <v>Fail</v>
      </c>
      <c r="AF2438" s="1" t="str">
        <f>IF(AND(Table1[[#This Row],[Spec Type2]]="N/A",Table1[[#This Row],[DUT Adj Read]]="N/A",Table1[[#This Row],[Std Adj Read]]="N/A"),"N/A",IF(Table1[[#This Row],[DUT Adj Read]]="N/A",IF(Table1[[#This Row],[Std Adj Read]]&gt;=Table1[[#This Row],[Low Tol]],"Pass","Fail"),IF(Table1[[#This Row],[DUT Adj Read]]&gt;=Table1[[#This Row],[Low Tol]],"Pass","Fail")))</f>
        <v>Pass</v>
      </c>
      <c r="AG2438" s="1" t="str">
        <f>IF(AND(Table1[[#This Row],[Spec Type2]]="N/A",Table1[[#This Row],[DUT Adj Read]]="N/A",Table1[[#This Row],[Std Adj Read]]="N/A"),"N/A",IF(Table1[[#This Row],[DUT Adj Read]]="N/A",IF(Table1[[#This Row],[Std Adj Read]]&lt;=Table1[[#This Row],[High Tol]],"Pass","Fail"),IF(Table1[[#This Row],[DUT Adj Read]]&lt;=Table1[[#This Row],[High Tol]],"Pass","Fail")))</f>
        <v>Fail</v>
      </c>
      <c r="AH24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8" s="1" t="b">
        <v>0</v>
      </c>
      <c r="AN2438" s="1" t="b">
        <v>0</v>
      </c>
      <c r="AO2438" s="1" t="b">
        <v>0</v>
      </c>
    </row>
    <row r="2439" spans="1:41" x14ac:dyDescent="0.25">
      <c r="A2439" s="10"/>
      <c r="B2439" s="10"/>
      <c r="C2439" s="10"/>
      <c r="D2439" s="10"/>
      <c r="E2439" s="10"/>
      <c r="F2439" s="10"/>
      <c r="G2439" s="10"/>
      <c r="H2439" s="10"/>
      <c r="I2439" s="1" t="str">
        <f t="shared" si="111"/>
        <v/>
      </c>
      <c r="J2439" s="1" t="s">
        <v>35</v>
      </c>
      <c r="K2439" s="1" t="str">
        <f t="shared" si="112"/>
        <v/>
      </c>
      <c r="L2439" s="1" t="str">
        <f t="shared" si="113"/>
        <v/>
      </c>
      <c r="M2439" s="1">
        <f>IF(OR(Table1[[#This Row],[Std Nom]]="",Table1[[#This Row],[Std Read]]=""),0,Table1[[#This Row],[Std Nom]]-Table1[[#This Row],[Std Read]])</f>
        <v>0</v>
      </c>
      <c r="N2439" s="1">
        <f>IF(Calculations!$F$5="ACCREDITED 17025 WITH UNCERTAINTIES",$N$10,0)</f>
        <v>0</v>
      </c>
      <c r="O2439" s="1" t="str">
        <f>IFERROR(Table1[[#This Row],[Std Nom]]-(_xlfn.XLOOKUP(Table1[[#This Row],[Manufacturer]]&amp;" "&amp;Table1[[#This Row],[Model]],Table13[MFR &amp; MDL],Table13[Tolerance % CW ],"")/100*Table1[[#This Row],[Std Nom]]),"")</f>
        <v/>
      </c>
      <c r="P2439" s="1" t="str">
        <f>IFERROR(Table1[[#This Row],[Std Nom]]+(_xlfn.XLOOKUP(Table1[[#This Row],[Manufacturer]]&amp;" "&amp;Table1[[#This Row],[Model]],Table13[MFR &amp; MDL],Table13[Tolerance % CW ],"")/100*Table1[[#This Row],[Std Nom]]),"")</f>
        <v/>
      </c>
      <c r="Q2439" s="1" t="e">
        <f>Table1[[#This Row],[High Tol]]-Table1[[#This Row],[Low Tol]]</f>
        <v>#VALUE!</v>
      </c>
      <c r="R2439" s="1">
        <f>2*Table1[[#This Row],[Std Error]]</f>
        <v>0</v>
      </c>
      <c r="S2439" s="1" t="str">
        <f>IF(Table1[[#This Row],[High Tol]]="","N/A",IFERROR(ABS(Table1[[#This Row],[Tol Span]]/Table1[[#This Row],[Error Span]]),"N/A"))</f>
        <v>N/A</v>
      </c>
      <c r="T2439" s="1" t="str">
        <f>IF(OR(Table1[[#This Row],[Low Tol]]="",Table1[[#This Row],[High Tol]]=""),"Needs Analysis",IF(Table1[[#This Row],[Ratio]]&gt;=4,"Not Significant",IF(Table1[[#This Row],[Ratio]]&gt;=2,"Semi-Significant","Significant")))</f>
        <v>Needs Analysis</v>
      </c>
      <c r="W2439" s="1">
        <f>IF(Table1[[#This Row],[Cal Type]]&lt;&gt;"ACCREDITED 17025 WITH UNCERTAINTIES",0,"")</f>
        <v>0</v>
      </c>
      <c r="X2439" s="1" t="str">
        <f>IF(Table1[[#This Row],[DUT Read]]="","N/A",Table1[[#This Row],[Std Error]]+Table1[[#This Row],[DUT Read]]+Table1[[#This Row],[DUT Ucty]])</f>
        <v>N/A</v>
      </c>
      <c r="Y2439" s="1" t="str">
        <f>IF(Table1[[#This Row],[Std Read]]="","N/A",Table1[[#This Row],[Std Read]]+Table1[[#This Row],[Std Ucty]])</f>
        <v>N/A</v>
      </c>
      <c r="Z24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9" s="1" t="str">
        <f>IF(Table1[[#This Row],[Spec Type]]="","N/A",Table1[[#This Row],[Spec Type]])</f>
        <v>±</v>
      </c>
      <c r="AC2439" s="1" t="str">
        <f>IF(Table1[[#This Row],[Spec Type2]]="N/A","N/A",IF(AND(Table1[[#This Row],[DUT Adj Read]]&gt;=Table1[[#This Row],[Low Tol]],Table1[[#This Row],[DUT Adj Read]]&lt;=Table1[[#This Row],[High Tol]]),"Pass","Fail"))</f>
        <v>Fail</v>
      </c>
      <c r="AD2439" s="1" t="str">
        <f>IF(AND(Table1[[#This Row],[Spec Type2]]="N/A",Table1[[#This Row],[DUT Adj Read]]="N/A",Table1[[#This Row],[Std Adj Read]]="N/A"),"N/A",IF(Table1[[#This Row],[DUT Adj Read]]="N/A",IF(Table1[[#This Row],[Std Adj Read]]&gt;Table1[[#This Row],[Low Tol]],"Pass","Fail"),IF(Table1[[#This Row],[DUT Adj Read]]&gt;Table1[[#This Row],[Low Tol]],"Pass","Fail")))</f>
        <v>Pass</v>
      </c>
      <c r="AE2439" s="1" t="str">
        <f>IF(AND(Table1[[#This Row],[Spec Type2]]="N/A",Table1[[#This Row],[DUT Adj Read]]="N/A",Table1[[#This Row],[Std Adj Read]]="N/A"),"N/A",IF(Table1[[#This Row],[DUT Adj Read]]="N/A",IF(Table1[[#This Row],[Std Adj Read]]&lt;Table1[[#This Row],[High Tol]],"Pass","Fail"),IF(Table1[[#This Row],[DUT Adj Read]]&lt;Table1[[#This Row],[High Tol]],"Pass","Fail")))</f>
        <v>Fail</v>
      </c>
      <c r="AF2439" s="1" t="str">
        <f>IF(AND(Table1[[#This Row],[Spec Type2]]="N/A",Table1[[#This Row],[DUT Adj Read]]="N/A",Table1[[#This Row],[Std Adj Read]]="N/A"),"N/A",IF(Table1[[#This Row],[DUT Adj Read]]="N/A",IF(Table1[[#This Row],[Std Adj Read]]&gt;=Table1[[#This Row],[Low Tol]],"Pass","Fail"),IF(Table1[[#This Row],[DUT Adj Read]]&gt;=Table1[[#This Row],[Low Tol]],"Pass","Fail")))</f>
        <v>Pass</v>
      </c>
      <c r="AG2439" s="1" t="str">
        <f>IF(AND(Table1[[#This Row],[Spec Type2]]="N/A",Table1[[#This Row],[DUT Adj Read]]="N/A",Table1[[#This Row],[Std Adj Read]]="N/A"),"N/A",IF(Table1[[#This Row],[DUT Adj Read]]="N/A",IF(Table1[[#This Row],[Std Adj Read]]&lt;=Table1[[#This Row],[High Tol]],"Pass","Fail"),IF(Table1[[#This Row],[DUT Adj Read]]&lt;=Table1[[#This Row],[High Tol]],"Pass","Fail")))</f>
        <v>Fail</v>
      </c>
      <c r="AH24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9" s="1" t="b">
        <v>0</v>
      </c>
      <c r="AN2439" s="1" t="b">
        <v>0</v>
      </c>
      <c r="AO2439" s="1" t="b">
        <v>0</v>
      </c>
    </row>
    <row r="2440" spans="1:41" x14ac:dyDescent="0.25">
      <c r="A2440" s="10"/>
      <c r="B2440" s="10"/>
      <c r="C2440" s="10"/>
      <c r="D2440" s="10"/>
      <c r="E2440" s="10"/>
      <c r="F2440" s="10"/>
      <c r="G2440" s="10"/>
      <c r="H2440" s="10"/>
      <c r="I2440" s="1" t="str">
        <f t="shared" si="111"/>
        <v/>
      </c>
      <c r="J2440" s="1" t="s">
        <v>35</v>
      </c>
      <c r="K2440" s="1" t="str">
        <f t="shared" si="112"/>
        <v/>
      </c>
      <c r="L2440" s="1" t="str">
        <f t="shared" si="113"/>
        <v/>
      </c>
      <c r="M2440" s="1">
        <f>IF(OR(Table1[[#This Row],[Std Nom]]="",Table1[[#This Row],[Std Read]]=""),0,Table1[[#This Row],[Std Nom]]-Table1[[#This Row],[Std Read]])</f>
        <v>0</v>
      </c>
      <c r="N2440" s="1">
        <f>IF(Calculations!$F$5="ACCREDITED 17025 WITH UNCERTAINTIES",$N$10,0)</f>
        <v>0</v>
      </c>
      <c r="O2440" s="1" t="str">
        <f>IFERROR(Table1[[#This Row],[Std Nom]]-(_xlfn.XLOOKUP(Table1[[#This Row],[Manufacturer]]&amp;" "&amp;Table1[[#This Row],[Model]],Table13[MFR &amp; MDL],Table13[Tolerance % CW ],"")/100*Table1[[#This Row],[Std Nom]]),"")</f>
        <v/>
      </c>
      <c r="P2440" s="1" t="str">
        <f>IFERROR(Table1[[#This Row],[Std Nom]]+(_xlfn.XLOOKUP(Table1[[#This Row],[Manufacturer]]&amp;" "&amp;Table1[[#This Row],[Model]],Table13[MFR &amp; MDL],Table13[Tolerance % CW ],"")/100*Table1[[#This Row],[Std Nom]]),"")</f>
        <v/>
      </c>
      <c r="Q2440" s="1" t="e">
        <f>Table1[[#This Row],[High Tol]]-Table1[[#This Row],[Low Tol]]</f>
        <v>#VALUE!</v>
      </c>
      <c r="R2440" s="1">
        <f>2*Table1[[#This Row],[Std Error]]</f>
        <v>0</v>
      </c>
      <c r="S2440" s="1" t="str">
        <f>IF(Table1[[#This Row],[High Tol]]="","N/A",IFERROR(ABS(Table1[[#This Row],[Tol Span]]/Table1[[#This Row],[Error Span]]),"N/A"))</f>
        <v>N/A</v>
      </c>
      <c r="T2440" s="1" t="str">
        <f>IF(OR(Table1[[#This Row],[Low Tol]]="",Table1[[#This Row],[High Tol]]=""),"Needs Analysis",IF(Table1[[#This Row],[Ratio]]&gt;=4,"Not Significant",IF(Table1[[#This Row],[Ratio]]&gt;=2,"Semi-Significant","Significant")))</f>
        <v>Needs Analysis</v>
      </c>
      <c r="W2440" s="1">
        <f>IF(Table1[[#This Row],[Cal Type]]&lt;&gt;"ACCREDITED 17025 WITH UNCERTAINTIES",0,"")</f>
        <v>0</v>
      </c>
      <c r="X2440" s="1" t="str">
        <f>IF(Table1[[#This Row],[DUT Read]]="","N/A",Table1[[#This Row],[Std Error]]+Table1[[#This Row],[DUT Read]]+Table1[[#This Row],[DUT Ucty]])</f>
        <v>N/A</v>
      </c>
      <c r="Y2440" s="1" t="str">
        <f>IF(Table1[[#This Row],[Std Read]]="","N/A",Table1[[#This Row],[Std Read]]+Table1[[#This Row],[Std Ucty]])</f>
        <v>N/A</v>
      </c>
      <c r="Z24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0" s="1" t="str">
        <f>IF(Table1[[#This Row],[Spec Type]]="","N/A",Table1[[#This Row],[Spec Type]])</f>
        <v>±</v>
      </c>
      <c r="AC2440" s="1" t="str">
        <f>IF(Table1[[#This Row],[Spec Type2]]="N/A","N/A",IF(AND(Table1[[#This Row],[DUT Adj Read]]&gt;=Table1[[#This Row],[Low Tol]],Table1[[#This Row],[DUT Adj Read]]&lt;=Table1[[#This Row],[High Tol]]),"Pass","Fail"))</f>
        <v>Fail</v>
      </c>
      <c r="AD2440" s="1" t="str">
        <f>IF(AND(Table1[[#This Row],[Spec Type2]]="N/A",Table1[[#This Row],[DUT Adj Read]]="N/A",Table1[[#This Row],[Std Adj Read]]="N/A"),"N/A",IF(Table1[[#This Row],[DUT Adj Read]]="N/A",IF(Table1[[#This Row],[Std Adj Read]]&gt;Table1[[#This Row],[Low Tol]],"Pass","Fail"),IF(Table1[[#This Row],[DUT Adj Read]]&gt;Table1[[#This Row],[Low Tol]],"Pass","Fail")))</f>
        <v>Pass</v>
      </c>
      <c r="AE2440" s="1" t="str">
        <f>IF(AND(Table1[[#This Row],[Spec Type2]]="N/A",Table1[[#This Row],[DUT Adj Read]]="N/A",Table1[[#This Row],[Std Adj Read]]="N/A"),"N/A",IF(Table1[[#This Row],[DUT Adj Read]]="N/A",IF(Table1[[#This Row],[Std Adj Read]]&lt;Table1[[#This Row],[High Tol]],"Pass","Fail"),IF(Table1[[#This Row],[DUT Adj Read]]&lt;Table1[[#This Row],[High Tol]],"Pass","Fail")))</f>
        <v>Fail</v>
      </c>
      <c r="AF2440" s="1" t="str">
        <f>IF(AND(Table1[[#This Row],[Spec Type2]]="N/A",Table1[[#This Row],[DUT Adj Read]]="N/A",Table1[[#This Row],[Std Adj Read]]="N/A"),"N/A",IF(Table1[[#This Row],[DUT Adj Read]]="N/A",IF(Table1[[#This Row],[Std Adj Read]]&gt;=Table1[[#This Row],[Low Tol]],"Pass","Fail"),IF(Table1[[#This Row],[DUT Adj Read]]&gt;=Table1[[#This Row],[Low Tol]],"Pass","Fail")))</f>
        <v>Pass</v>
      </c>
      <c r="AG2440" s="1" t="str">
        <f>IF(AND(Table1[[#This Row],[Spec Type2]]="N/A",Table1[[#This Row],[DUT Adj Read]]="N/A",Table1[[#This Row],[Std Adj Read]]="N/A"),"N/A",IF(Table1[[#This Row],[DUT Adj Read]]="N/A",IF(Table1[[#This Row],[Std Adj Read]]&lt;=Table1[[#This Row],[High Tol]],"Pass","Fail"),IF(Table1[[#This Row],[DUT Adj Read]]&lt;=Table1[[#This Row],[High Tol]],"Pass","Fail")))</f>
        <v>Fail</v>
      </c>
      <c r="AH24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0" s="1" t="b">
        <v>0</v>
      </c>
      <c r="AN2440" s="1" t="b">
        <v>0</v>
      </c>
      <c r="AO2440" s="1" t="b">
        <v>0</v>
      </c>
    </row>
    <row r="2441" spans="1:41" x14ac:dyDescent="0.25">
      <c r="A2441" s="10"/>
      <c r="B2441" s="10"/>
      <c r="C2441" s="10"/>
      <c r="D2441" s="10"/>
      <c r="E2441" s="10"/>
      <c r="F2441" s="10"/>
      <c r="G2441" s="10"/>
      <c r="H2441" s="10"/>
      <c r="I2441" s="1" t="str">
        <f t="shared" si="111"/>
        <v/>
      </c>
      <c r="J2441" s="1" t="s">
        <v>35</v>
      </c>
      <c r="K2441" s="1" t="str">
        <f t="shared" si="112"/>
        <v/>
      </c>
      <c r="L2441" s="1" t="str">
        <f t="shared" si="113"/>
        <v/>
      </c>
      <c r="M2441" s="1">
        <f>IF(OR(Table1[[#This Row],[Std Nom]]="",Table1[[#This Row],[Std Read]]=""),0,Table1[[#This Row],[Std Nom]]-Table1[[#This Row],[Std Read]])</f>
        <v>0</v>
      </c>
      <c r="N2441" s="1">
        <f>IF(Calculations!$F$5="ACCREDITED 17025 WITH UNCERTAINTIES",$N$10,0)</f>
        <v>0</v>
      </c>
      <c r="O2441" s="1" t="str">
        <f>IFERROR(Table1[[#This Row],[Std Nom]]-(_xlfn.XLOOKUP(Table1[[#This Row],[Manufacturer]]&amp;" "&amp;Table1[[#This Row],[Model]],Table13[MFR &amp; MDL],Table13[Tolerance % CW ],"")/100*Table1[[#This Row],[Std Nom]]),"")</f>
        <v/>
      </c>
      <c r="P2441" s="1" t="str">
        <f>IFERROR(Table1[[#This Row],[Std Nom]]+(_xlfn.XLOOKUP(Table1[[#This Row],[Manufacturer]]&amp;" "&amp;Table1[[#This Row],[Model]],Table13[MFR &amp; MDL],Table13[Tolerance % CW ],"")/100*Table1[[#This Row],[Std Nom]]),"")</f>
        <v/>
      </c>
      <c r="Q2441" s="1" t="e">
        <f>Table1[[#This Row],[High Tol]]-Table1[[#This Row],[Low Tol]]</f>
        <v>#VALUE!</v>
      </c>
      <c r="R2441" s="1">
        <f>2*Table1[[#This Row],[Std Error]]</f>
        <v>0</v>
      </c>
      <c r="S2441" s="1" t="str">
        <f>IF(Table1[[#This Row],[High Tol]]="","N/A",IFERROR(ABS(Table1[[#This Row],[Tol Span]]/Table1[[#This Row],[Error Span]]),"N/A"))</f>
        <v>N/A</v>
      </c>
      <c r="T2441" s="1" t="str">
        <f>IF(OR(Table1[[#This Row],[Low Tol]]="",Table1[[#This Row],[High Tol]]=""),"Needs Analysis",IF(Table1[[#This Row],[Ratio]]&gt;=4,"Not Significant",IF(Table1[[#This Row],[Ratio]]&gt;=2,"Semi-Significant","Significant")))</f>
        <v>Needs Analysis</v>
      </c>
      <c r="W2441" s="1">
        <f>IF(Table1[[#This Row],[Cal Type]]&lt;&gt;"ACCREDITED 17025 WITH UNCERTAINTIES",0,"")</f>
        <v>0</v>
      </c>
      <c r="X2441" s="1" t="str">
        <f>IF(Table1[[#This Row],[DUT Read]]="","N/A",Table1[[#This Row],[Std Error]]+Table1[[#This Row],[DUT Read]]+Table1[[#This Row],[DUT Ucty]])</f>
        <v>N/A</v>
      </c>
      <c r="Y2441" s="1" t="str">
        <f>IF(Table1[[#This Row],[Std Read]]="","N/A",Table1[[#This Row],[Std Read]]+Table1[[#This Row],[Std Ucty]])</f>
        <v>N/A</v>
      </c>
      <c r="Z24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1" s="1" t="str">
        <f>IF(Table1[[#This Row],[Spec Type]]="","N/A",Table1[[#This Row],[Spec Type]])</f>
        <v>±</v>
      </c>
      <c r="AC2441" s="1" t="str">
        <f>IF(Table1[[#This Row],[Spec Type2]]="N/A","N/A",IF(AND(Table1[[#This Row],[DUT Adj Read]]&gt;=Table1[[#This Row],[Low Tol]],Table1[[#This Row],[DUT Adj Read]]&lt;=Table1[[#This Row],[High Tol]]),"Pass","Fail"))</f>
        <v>Fail</v>
      </c>
      <c r="AD2441" s="1" t="str">
        <f>IF(AND(Table1[[#This Row],[Spec Type2]]="N/A",Table1[[#This Row],[DUT Adj Read]]="N/A",Table1[[#This Row],[Std Adj Read]]="N/A"),"N/A",IF(Table1[[#This Row],[DUT Adj Read]]="N/A",IF(Table1[[#This Row],[Std Adj Read]]&gt;Table1[[#This Row],[Low Tol]],"Pass","Fail"),IF(Table1[[#This Row],[DUT Adj Read]]&gt;Table1[[#This Row],[Low Tol]],"Pass","Fail")))</f>
        <v>Pass</v>
      </c>
      <c r="AE2441" s="1" t="str">
        <f>IF(AND(Table1[[#This Row],[Spec Type2]]="N/A",Table1[[#This Row],[DUT Adj Read]]="N/A",Table1[[#This Row],[Std Adj Read]]="N/A"),"N/A",IF(Table1[[#This Row],[DUT Adj Read]]="N/A",IF(Table1[[#This Row],[Std Adj Read]]&lt;Table1[[#This Row],[High Tol]],"Pass","Fail"),IF(Table1[[#This Row],[DUT Adj Read]]&lt;Table1[[#This Row],[High Tol]],"Pass","Fail")))</f>
        <v>Fail</v>
      </c>
      <c r="AF2441" s="1" t="str">
        <f>IF(AND(Table1[[#This Row],[Spec Type2]]="N/A",Table1[[#This Row],[DUT Adj Read]]="N/A",Table1[[#This Row],[Std Adj Read]]="N/A"),"N/A",IF(Table1[[#This Row],[DUT Adj Read]]="N/A",IF(Table1[[#This Row],[Std Adj Read]]&gt;=Table1[[#This Row],[Low Tol]],"Pass","Fail"),IF(Table1[[#This Row],[DUT Adj Read]]&gt;=Table1[[#This Row],[Low Tol]],"Pass","Fail")))</f>
        <v>Pass</v>
      </c>
      <c r="AG2441" s="1" t="str">
        <f>IF(AND(Table1[[#This Row],[Spec Type2]]="N/A",Table1[[#This Row],[DUT Adj Read]]="N/A",Table1[[#This Row],[Std Adj Read]]="N/A"),"N/A",IF(Table1[[#This Row],[DUT Adj Read]]="N/A",IF(Table1[[#This Row],[Std Adj Read]]&lt;=Table1[[#This Row],[High Tol]],"Pass","Fail"),IF(Table1[[#This Row],[DUT Adj Read]]&lt;=Table1[[#This Row],[High Tol]],"Pass","Fail")))</f>
        <v>Fail</v>
      </c>
      <c r="AH24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1" s="1" t="b">
        <v>0</v>
      </c>
      <c r="AN2441" s="1" t="b">
        <v>0</v>
      </c>
      <c r="AO2441" s="1" t="b">
        <v>0</v>
      </c>
    </row>
    <row r="2442" spans="1:41" x14ac:dyDescent="0.25">
      <c r="A2442" s="10"/>
      <c r="B2442" s="10"/>
      <c r="C2442" s="10"/>
      <c r="D2442" s="10"/>
      <c r="E2442" s="10"/>
      <c r="F2442" s="10"/>
      <c r="G2442" s="10"/>
      <c r="H2442" s="10"/>
      <c r="I2442" s="1" t="str">
        <f t="shared" si="111"/>
        <v/>
      </c>
      <c r="J2442" s="1" t="s">
        <v>35</v>
      </c>
      <c r="K2442" s="1" t="str">
        <f t="shared" si="112"/>
        <v/>
      </c>
      <c r="L2442" s="1" t="str">
        <f t="shared" si="113"/>
        <v/>
      </c>
      <c r="M2442" s="1">
        <f>IF(OR(Table1[[#This Row],[Std Nom]]="",Table1[[#This Row],[Std Read]]=""),0,Table1[[#This Row],[Std Nom]]-Table1[[#This Row],[Std Read]])</f>
        <v>0</v>
      </c>
      <c r="N2442" s="1">
        <f>IF(Calculations!$F$5="ACCREDITED 17025 WITH UNCERTAINTIES",$N$10,0)</f>
        <v>0</v>
      </c>
      <c r="O2442" s="1" t="str">
        <f>IFERROR(Table1[[#This Row],[Std Nom]]-(_xlfn.XLOOKUP(Table1[[#This Row],[Manufacturer]]&amp;" "&amp;Table1[[#This Row],[Model]],Table13[MFR &amp; MDL],Table13[Tolerance % CW ],"")/100*Table1[[#This Row],[Std Nom]]),"")</f>
        <v/>
      </c>
      <c r="P2442" s="1" t="str">
        <f>IFERROR(Table1[[#This Row],[Std Nom]]+(_xlfn.XLOOKUP(Table1[[#This Row],[Manufacturer]]&amp;" "&amp;Table1[[#This Row],[Model]],Table13[MFR &amp; MDL],Table13[Tolerance % CW ],"")/100*Table1[[#This Row],[Std Nom]]),"")</f>
        <v/>
      </c>
      <c r="Q2442" s="1" t="e">
        <f>Table1[[#This Row],[High Tol]]-Table1[[#This Row],[Low Tol]]</f>
        <v>#VALUE!</v>
      </c>
      <c r="R2442" s="1">
        <f>2*Table1[[#This Row],[Std Error]]</f>
        <v>0</v>
      </c>
      <c r="S2442" s="1" t="str">
        <f>IF(Table1[[#This Row],[High Tol]]="","N/A",IFERROR(ABS(Table1[[#This Row],[Tol Span]]/Table1[[#This Row],[Error Span]]),"N/A"))</f>
        <v>N/A</v>
      </c>
      <c r="T2442" s="1" t="str">
        <f>IF(OR(Table1[[#This Row],[Low Tol]]="",Table1[[#This Row],[High Tol]]=""),"Needs Analysis",IF(Table1[[#This Row],[Ratio]]&gt;=4,"Not Significant",IF(Table1[[#This Row],[Ratio]]&gt;=2,"Semi-Significant","Significant")))</f>
        <v>Needs Analysis</v>
      </c>
      <c r="W2442" s="1">
        <f>IF(Table1[[#This Row],[Cal Type]]&lt;&gt;"ACCREDITED 17025 WITH UNCERTAINTIES",0,"")</f>
        <v>0</v>
      </c>
      <c r="X2442" s="1" t="str">
        <f>IF(Table1[[#This Row],[DUT Read]]="","N/A",Table1[[#This Row],[Std Error]]+Table1[[#This Row],[DUT Read]]+Table1[[#This Row],[DUT Ucty]])</f>
        <v>N/A</v>
      </c>
      <c r="Y2442" s="1" t="str">
        <f>IF(Table1[[#This Row],[Std Read]]="","N/A",Table1[[#This Row],[Std Read]]+Table1[[#This Row],[Std Ucty]])</f>
        <v>N/A</v>
      </c>
      <c r="Z24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2" s="1" t="str">
        <f>IF(Table1[[#This Row],[Spec Type]]="","N/A",Table1[[#This Row],[Spec Type]])</f>
        <v>±</v>
      </c>
      <c r="AC2442" s="1" t="str">
        <f>IF(Table1[[#This Row],[Spec Type2]]="N/A","N/A",IF(AND(Table1[[#This Row],[DUT Adj Read]]&gt;=Table1[[#This Row],[Low Tol]],Table1[[#This Row],[DUT Adj Read]]&lt;=Table1[[#This Row],[High Tol]]),"Pass","Fail"))</f>
        <v>Fail</v>
      </c>
      <c r="AD2442" s="1" t="str">
        <f>IF(AND(Table1[[#This Row],[Spec Type2]]="N/A",Table1[[#This Row],[DUT Adj Read]]="N/A",Table1[[#This Row],[Std Adj Read]]="N/A"),"N/A",IF(Table1[[#This Row],[DUT Adj Read]]="N/A",IF(Table1[[#This Row],[Std Adj Read]]&gt;Table1[[#This Row],[Low Tol]],"Pass","Fail"),IF(Table1[[#This Row],[DUT Adj Read]]&gt;Table1[[#This Row],[Low Tol]],"Pass","Fail")))</f>
        <v>Pass</v>
      </c>
      <c r="AE2442" s="1" t="str">
        <f>IF(AND(Table1[[#This Row],[Spec Type2]]="N/A",Table1[[#This Row],[DUT Adj Read]]="N/A",Table1[[#This Row],[Std Adj Read]]="N/A"),"N/A",IF(Table1[[#This Row],[DUT Adj Read]]="N/A",IF(Table1[[#This Row],[Std Adj Read]]&lt;Table1[[#This Row],[High Tol]],"Pass","Fail"),IF(Table1[[#This Row],[DUT Adj Read]]&lt;Table1[[#This Row],[High Tol]],"Pass","Fail")))</f>
        <v>Fail</v>
      </c>
      <c r="AF2442" s="1" t="str">
        <f>IF(AND(Table1[[#This Row],[Spec Type2]]="N/A",Table1[[#This Row],[DUT Adj Read]]="N/A",Table1[[#This Row],[Std Adj Read]]="N/A"),"N/A",IF(Table1[[#This Row],[DUT Adj Read]]="N/A",IF(Table1[[#This Row],[Std Adj Read]]&gt;=Table1[[#This Row],[Low Tol]],"Pass","Fail"),IF(Table1[[#This Row],[DUT Adj Read]]&gt;=Table1[[#This Row],[Low Tol]],"Pass","Fail")))</f>
        <v>Pass</v>
      </c>
      <c r="AG2442" s="1" t="str">
        <f>IF(AND(Table1[[#This Row],[Spec Type2]]="N/A",Table1[[#This Row],[DUT Adj Read]]="N/A",Table1[[#This Row],[Std Adj Read]]="N/A"),"N/A",IF(Table1[[#This Row],[DUT Adj Read]]="N/A",IF(Table1[[#This Row],[Std Adj Read]]&lt;=Table1[[#This Row],[High Tol]],"Pass","Fail"),IF(Table1[[#This Row],[DUT Adj Read]]&lt;=Table1[[#This Row],[High Tol]],"Pass","Fail")))</f>
        <v>Fail</v>
      </c>
      <c r="AH24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2" s="1" t="b">
        <v>0</v>
      </c>
      <c r="AN2442" s="1" t="b">
        <v>0</v>
      </c>
      <c r="AO2442" s="1" t="b">
        <v>0</v>
      </c>
    </row>
    <row r="2443" spans="1:41" x14ac:dyDescent="0.25">
      <c r="A2443" s="10"/>
      <c r="B2443" s="10"/>
      <c r="C2443" s="10"/>
      <c r="D2443" s="10"/>
      <c r="E2443" s="10"/>
      <c r="F2443" s="10"/>
      <c r="G2443" s="10"/>
      <c r="H2443" s="10"/>
      <c r="I2443" s="1" t="str">
        <f t="shared" ref="I2443:I2506" si="114">IF($I$10="","",$I$10)</f>
        <v/>
      </c>
      <c r="J2443" s="1" t="s">
        <v>35</v>
      </c>
      <c r="K2443" s="1" t="str">
        <f t="shared" ref="K2443:K2506" si="115">IF($K$10="","",$K$10)</f>
        <v/>
      </c>
      <c r="L2443" s="1" t="str">
        <f t="shared" ref="L2443:L2506" si="116">IF($L$10="","",$L$10)</f>
        <v/>
      </c>
      <c r="M2443" s="1">
        <f>IF(OR(Table1[[#This Row],[Std Nom]]="",Table1[[#This Row],[Std Read]]=""),0,Table1[[#This Row],[Std Nom]]-Table1[[#This Row],[Std Read]])</f>
        <v>0</v>
      </c>
      <c r="N2443" s="1">
        <f>IF(Calculations!$F$5="ACCREDITED 17025 WITH UNCERTAINTIES",$N$10,0)</f>
        <v>0</v>
      </c>
      <c r="O2443" s="1" t="str">
        <f>IFERROR(Table1[[#This Row],[Std Nom]]-(_xlfn.XLOOKUP(Table1[[#This Row],[Manufacturer]]&amp;" "&amp;Table1[[#This Row],[Model]],Table13[MFR &amp; MDL],Table13[Tolerance % CW ],"")/100*Table1[[#This Row],[Std Nom]]),"")</f>
        <v/>
      </c>
      <c r="P2443" s="1" t="str">
        <f>IFERROR(Table1[[#This Row],[Std Nom]]+(_xlfn.XLOOKUP(Table1[[#This Row],[Manufacturer]]&amp;" "&amp;Table1[[#This Row],[Model]],Table13[MFR &amp; MDL],Table13[Tolerance % CW ],"")/100*Table1[[#This Row],[Std Nom]]),"")</f>
        <v/>
      </c>
      <c r="Q2443" s="1" t="e">
        <f>Table1[[#This Row],[High Tol]]-Table1[[#This Row],[Low Tol]]</f>
        <v>#VALUE!</v>
      </c>
      <c r="R2443" s="1">
        <f>2*Table1[[#This Row],[Std Error]]</f>
        <v>0</v>
      </c>
      <c r="S2443" s="1" t="str">
        <f>IF(Table1[[#This Row],[High Tol]]="","N/A",IFERROR(ABS(Table1[[#This Row],[Tol Span]]/Table1[[#This Row],[Error Span]]),"N/A"))</f>
        <v>N/A</v>
      </c>
      <c r="T2443" s="1" t="str">
        <f>IF(OR(Table1[[#This Row],[Low Tol]]="",Table1[[#This Row],[High Tol]]=""),"Needs Analysis",IF(Table1[[#This Row],[Ratio]]&gt;=4,"Not Significant",IF(Table1[[#This Row],[Ratio]]&gt;=2,"Semi-Significant","Significant")))</f>
        <v>Needs Analysis</v>
      </c>
      <c r="W2443" s="1">
        <f>IF(Table1[[#This Row],[Cal Type]]&lt;&gt;"ACCREDITED 17025 WITH UNCERTAINTIES",0,"")</f>
        <v>0</v>
      </c>
      <c r="X2443" s="1" t="str">
        <f>IF(Table1[[#This Row],[DUT Read]]="","N/A",Table1[[#This Row],[Std Error]]+Table1[[#This Row],[DUT Read]]+Table1[[#This Row],[DUT Ucty]])</f>
        <v>N/A</v>
      </c>
      <c r="Y2443" s="1" t="str">
        <f>IF(Table1[[#This Row],[Std Read]]="","N/A",Table1[[#This Row],[Std Read]]+Table1[[#This Row],[Std Ucty]])</f>
        <v>N/A</v>
      </c>
      <c r="Z24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3" s="1" t="str">
        <f>IF(Table1[[#This Row],[Spec Type]]="","N/A",Table1[[#This Row],[Spec Type]])</f>
        <v>±</v>
      </c>
      <c r="AC2443" s="1" t="str">
        <f>IF(Table1[[#This Row],[Spec Type2]]="N/A","N/A",IF(AND(Table1[[#This Row],[DUT Adj Read]]&gt;=Table1[[#This Row],[Low Tol]],Table1[[#This Row],[DUT Adj Read]]&lt;=Table1[[#This Row],[High Tol]]),"Pass","Fail"))</f>
        <v>Fail</v>
      </c>
      <c r="AD2443" s="1" t="str">
        <f>IF(AND(Table1[[#This Row],[Spec Type2]]="N/A",Table1[[#This Row],[DUT Adj Read]]="N/A",Table1[[#This Row],[Std Adj Read]]="N/A"),"N/A",IF(Table1[[#This Row],[DUT Adj Read]]="N/A",IF(Table1[[#This Row],[Std Adj Read]]&gt;Table1[[#This Row],[Low Tol]],"Pass","Fail"),IF(Table1[[#This Row],[DUT Adj Read]]&gt;Table1[[#This Row],[Low Tol]],"Pass","Fail")))</f>
        <v>Pass</v>
      </c>
      <c r="AE2443" s="1" t="str">
        <f>IF(AND(Table1[[#This Row],[Spec Type2]]="N/A",Table1[[#This Row],[DUT Adj Read]]="N/A",Table1[[#This Row],[Std Adj Read]]="N/A"),"N/A",IF(Table1[[#This Row],[DUT Adj Read]]="N/A",IF(Table1[[#This Row],[Std Adj Read]]&lt;Table1[[#This Row],[High Tol]],"Pass","Fail"),IF(Table1[[#This Row],[DUT Adj Read]]&lt;Table1[[#This Row],[High Tol]],"Pass","Fail")))</f>
        <v>Fail</v>
      </c>
      <c r="AF2443" s="1" t="str">
        <f>IF(AND(Table1[[#This Row],[Spec Type2]]="N/A",Table1[[#This Row],[DUT Adj Read]]="N/A",Table1[[#This Row],[Std Adj Read]]="N/A"),"N/A",IF(Table1[[#This Row],[DUT Adj Read]]="N/A",IF(Table1[[#This Row],[Std Adj Read]]&gt;=Table1[[#This Row],[Low Tol]],"Pass","Fail"),IF(Table1[[#This Row],[DUT Adj Read]]&gt;=Table1[[#This Row],[Low Tol]],"Pass","Fail")))</f>
        <v>Pass</v>
      </c>
      <c r="AG2443" s="1" t="str">
        <f>IF(AND(Table1[[#This Row],[Spec Type2]]="N/A",Table1[[#This Row],[DUT Adj Read]]="N/A",Table1[[#This Row],[Std Adj Read]]="N/A"),"N/A",IF(Table1[[#This Row],[DUT Adj Read]]="N/A",IF(Table1[[#This Row],[Std Adj Read]]&lt;=Table1[[#This Row],[High Tol]],"Pass","Fail"),IF(Table1[[#This Row],[DUT Adj Read]]&lt;=Table1[[#This Row],[High Tol]],"Pass","Fail")))</f>
        <v>Fail</v>
      </c>
      <c r="AH24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3" s="1" t="b">
        <v>0</v>
      </c>
      <c r="AN2443" s="1" t="b">
        <v>0</v>
      </c>
      <c r="AO2443" s="1" t="b">
        <v>0</v>
      </c>
    </row>
    <row r="2444" spans="1:41" x14ac:dyDescent="0.25">
      <c r="A2444" s="10"/>
      <c r="B2444" s="10"/>
      <c r="C2444" s="10"/>
      <c r="D2444" s="10"/>
      <c r="E2444" s="10"/>
      <c r="F2444" s="10"/>
      <c r="G2444" s="10"/>
      <c r="H2444" s="10"/>
      <c r="I2444" s="1" t="str">
        <f t="shared" si="114"/>
        <v/>
      </c>
      <c r="J2444" s="1" t="s">
        <v>35</v>
      </c>
      <c r="K2444" s="1" t="str">
        <f t="shared" si="115"/>
        <v/>
      </c>
      <c r="L2444" s="1" t="str">
        <f t="shared" si="116"/>
        <v/>
      </c>
      <c r="M2444" s="1">
        <f>IF(OR(Table1[[#This Row],[Std Nom]]="",Table1[[#This Row],[Std Read]]=""),0,Table1[[#This Row],[Std Nom]]-Table1[[#This Row],[Std Read]])</f>
        <v>0</v>
      </c>
      <c r="N2444" s="1">
        <f>IF(Calculations!$F$5="ACCREDITED 17025 WITH UNCERTAINTIES",$N$10,0)</f>
        <v>0</v>
      </c>
      <c r="O2444" s="1" t="str">
        <f>IFERROR(Table1[[#This Row],[Std Nom]]-(_xlfn.XLOOKUP(Table1[[#This Row],[Manufacturer]]&amp;" "&amp;Table1[[#This Row],[Model]],Table13[MFR &amp; MDL],Table13[Tolerance % CW ],"")/100*Table1[[#This Row],[Std Nom]]),"")</f>
        <v/>
      </c>
      <c r="P2444" s="1" t="str">
        <f>IFERROR(Table1[[#This Row],[Std Nom]]+(_xlfn.XLOOKUP(Table1[[#This Row],[Manufacturer]]&amp;" "&amp;Table1[[#This Row],[Model]],Table13[MFR &amp; MDL],Table13[Tolerance % CW ],"")/100*Table1[[#This Row],[Std Nom]]),"")</f>
        <v/>
      </c>
      <c r="Q2444" s="1" t="e">
        <f>Table1[[#This Row],[High Tol]]-Table1[[#This Row],[Low Tol]]</f>
        <v>#VALUE!</v>
      </c>
      <c r="R2444" s="1">
        <f>2*Table1[[#This Row],[Std Error]]</f>
        <v>0</v>
      </c>
      <c r="S2444" s="1" t="str">
        <f>IF(Table1[[#This Row],[High Tol]]="","N/A",IFERROR(ABS(Table1[[#This Row],[Tol Span]]/Table1[[#This Row],[Error Span]]),"N/A"))</f>
        <v>N/A</v>
      </c>
      <c r="T2444" s="1" t="str">
        <f>IF(OR(Table1[[#This Row],[Low Tol]]="",Table1[[#This Row],[High Tol]]=""),"Needs Analysis",IF(Table1[[#This Row],[Ratio]]&gt;=4,"Not Significant",IF(Table1[[#This Row],[Ratio]]&gt;=2,"Semi-Significant","Significant")))</f>
        <v>Needs Analysis</v>
      </c>
      <c r="W2444" s="1">
        <f>IF(Table1[[#This Row],[Cal Type]]&lt;&gt;"ACCREDITED 17025 WITH UNCERTAINTIES",0,"")</f>
        <v>0</v>
      </c>
      <c r="X2444" s="1" t="str">
        <f>IF(Table1[[#This Row],[DUT Read]]="","N/A",Table1[[#This Row],[Std Error]]+Table1[[#This Row],[DUT Read]]+Table1[[#This Row],[DUT Ucty]])</f>
        <v>N/A</v>
      </c>
      <c r="Y2444" s="1" t="str">
        <f>IF(Table1[[#This Row],[Std Read]]="","N/A",Table1[[#This Row],[Std Read]]+Table1[[#This Row],[Std Ucty]])</f>
        <v>N/A</v>
      </c>
      <c r="Z24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4" s="1" t="str">
        <f>IF(Table1[[#This Row],[Spec Type]]="","N/A",Table1[[#This Row],[Spec Type]])</f>
        <v>±</v>
      </c>
      <c r="AC2444" s="1" t="str">
        <f>IF(Table1[[#This Row],[Spec Type2]]="N/A","N/A",IF(AND(Table1[[#This Row],[DUT Adj Read]]&gt;=Table1[[#This Row],[Low Tol]],Table1[[#This Row],[DUT Adj Read]]&lt;=Table1[[#This Row],[High Tol]]),"Pass","Fail"))</f>
        <v>Fail</v>
      </c>
      <c r="AD2444" s="1" t="str">
        <f>IF(AND(Table1[[#This Row],[Spec Type2]]="N/A",Table1[[#This Row],[DUT Adj Read]]="N/A",Table1[[#This Row],[Std Adj Read]]="N/A"),"N/A",IF(Table1[[#This Row],[DUT Adj Read]]="N/A",IF(Table1[[#This Row],[Std Adj Read]]&gt;Table1[[#This Row],[Low Tol]],"Pass","Fail"),IF(Table1[[#This Row],[DUT Adj Read]]&gt;Table1[[#This Row],[Low Tol]],"Pass","Fail")))</f>
        <v>Pass</v>
      </c>
      <c r="AE2444" s="1" t="str">
        <f>IF(AND(Table1[[#This Row],[Spec Type2]]="N/A",Table1[[#This Row],[DUT Adj Read]]="N/A",Table1[[#This Row],[Std Adj Read]]="N/A"),"N/A",IF(Table1[[#This Row],[DUT Adj Read]]="N/A",IF(Table1[[#This Row],[Std Adj Read]]&lt;Table1[[#This Row],[High Tol]],"Pass","Fail"),IF(Table1[[#This Row],[DUT Adj Read]]&lt;Table1[[#This Row],[High Tol]],"Pass","Fail")))</f>
        <v>Fail</v>
      </c>
      <c r="AF2444" s="1" t="str">
        <f>IF(AND(Table1[[#This Row],[Spec Type2]]="N/A",Table1[[#This Row],[DUT Adj Read]]="N/A",Table1[[#This Row],[Std Adj Read]]="N/A"),"N/A",IF(Table1[[#This Row],[DUT Adj Read]]="N/A",IF(Table1[[#This Row],[Std Adj Read]]&gt;=Table1[[#This Row],[Low Tol]],"Pass","Fail"),IF(Table1[[#This Row],[DUT Adj Read]]&gt;=Table1[[#This Row],[Low Tol]],"Pass","Fail")))</f>
        <v>Pass</v>
      </c>
      <c r="AG2444" s="1" t="str">
        <f>IF(AND(Table1[[#This Row],[Spec Type2]]="N/A",Table1[[#This Row],[DUT Adj Read]]="N/A",Table1[[#This Row],[Std Adj Read]]="N/A"),"N/A",IF(Table1[[#This Row],[DUT Adj Read]]="N/A",IF(Table1[[#This Row],[Std Adj Read]]&lt;=Table1[[#This Row],[High Tol]],"Pass","Fail"),IF(Table1[[#This Row],[DUT Adj Read]]&lt;=Table1[[#This Row],[High Tol]],"Pass","Fail")))</f>
        <v>Fail</v>
      </c>
      <c r="AH24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4" s="1" t="b">
        <v>0</v>
      </c>
      <c r="AN2444" s="1" t="b">
        <v>0</v>
      </c>
      <c r="AO2444" s="1" t="b">
        <v>0</v>
      </c>
    </row>
    <row r="2445" spans="1:41" x14ac:dyDescent="0.25">
      <c r="A2445" s="10"/>
      <c r="B2445" s="10"/>
      <c r="C2445" s="10"/>
      <c r="D2445" s="10"/>
      <c r="E2445" s="10"/>
      <c r="F2445" s="10"/>
      <c r="G2445" s="10"/>
      <c r="H2445" s="10"/>
      <c r="I2445" s="1" t="str">
        <f t="shared" si="114"/>
        <v/>
      </c>
      <c r="J2445" s="1" t="s">
        <v>35</v>
      </c>
      <c r="K2445" s="1" t="str">
        <f t="shared" si="115"/>
        <v/>
      </c>
      <c r="L2445" s="1" t="str">
        <f t="shared" si="116"/>
        <v/>
      </c>
      <c r="M2445" s="1">
        <f>IF(OR(Table1[[#This Row],[Std Nom]]="",Table1[[#This Row],[Std Read]]=""),0,Table1[[#This Row],[Std Nom]]-Table1[[#This Row],[Std Read]])</f>
        <v>0</v>
      </c>
      <c r="N2445" s="1">
        <f>IF(Calculations!$F$5="ACCREDITED 17025 WITH UNCERTAINTIES",$N$10,0)</f>
        <v>0</v>
      </c>
      <c r="O2445" s="1" t="str">
        <f>IFERROR(Table1[[#This Row],[Std Nom]]-(_xlfn.XLOOKUP(Table1[[#This Row],[Manufacturer]]&amp;" "&amp;Table1[[#This Row],[Model]],Table13[MFR &amp; MDL],Table13[Tolerance % CW ],"")/100*Table1[[#This Row],[Std Nom]]),"")</f>
        <v/>
      </c>
      <c r="P2445" s="1" t="str">
        <f>IFERROR(Table1[[#This Row],[Std Nom]]+(_xlfn.XLOOKUP(Table1[[#This Row],[Manufacturer]]&amp;" "&amp;Table1[[#This Row],[Model]],Table13[MFR &amp; MDL],Table13[Tolerance % CW ],"")/100*Table1[[#This Row],[Std Nom]]),"")</f>
        <v/>
      </c>
      <c r="Q2445" s="1" t="e">
        <f>Table1[[#This Row],[High Tol]]-Table1[[#This Row],[Low Tol]]</f>
        <v>#VALUE!</v>
      </c>
      <c r="R2445" s="1">
        <f>2*Table1[[#This Row],[Std Error]]</f>
        <v>0</v>
      </c>
      <c r="S2445" s="1" t="str">
        <f>IF(Table1[[#This Row],[High Tol]]="","N/A",IFERROR(ABS(Table1[[#This Row],[Tol Span]]/Table1[[#This Row],[Error Span]]),"N/A"))</f>
        <v>N/A</v>
      </c>
      <c r="T2445" s="1" t="str">
        <f>IF(OR(Table1[[#This Row],[Low Tol]]="",Table1[[#This Row],[High Tol]]=""),"Needs Analysis",IF(Table1[[#This Row],[Ratio]]&gt;=4,"Not Significant",IF(Table1[[#This Row],[Ratio]]&gt;=2,"Semi-Significant","Significant")))</f>
        <v>Needs Analysis</v>
      </c>
      <c r="W2445" s="1">
        <f>IF(Table1[[#This Row],[Cal Type]]&lt;&gt;"ACCREDITED 17025 WITH UNCERTAINTIES",0,"")</f>
        <v>0</v>
      </c>
      <c r="X2445" s="1" t="str">
        <f>IF(Table1[[#This Row],[DUT Read]]="","N/A",Table1[[#This Row],[Std Error]]+Table1[[#This Row],[DUT Read]]+Table1[[#This Row],[DUT Ucty]])</f>
        <v>N/A</v>
      </c>
      <c r="Y2445" s="1" t="str">
        <f>IF(Table1[[#This Row],[Std Read]]="","N/A",Table1[[#This Row],[Std Read]]+Table1[[#This Row],[Std Ucty]])</f>
        <v>N/A</v>
      </c>
      <c r="Z24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5" s="1" t="str">
        <f>IF(Table1[[#This Row],[Spec Type]]="","N/A",Table1[[#This Row],[Spec Type]])</f>
        <v>±</v>
      </c>
      <c r="AC2445" s="1" t="str">
        <f>IF(Table1[[#This Row],[Spec Type2]]="N/A","N/A",IF(AND(Table1[[#This Row],[DUT Adj Read]]&gt;=Table1[[#This Row],[Low Tol]],Table1[[#This Row],[DUT Adj Read]]&lt;=Table1[[#This Row],[High Tol]]),"Pass","Fail"))</f>
        <v>Fail</v>
      </c>
      <c r="AD2445" s="1" t="str">
        <f>IF(AND(Table1[[#This Row],[Spec Type2]]="N/A",Table1[[#This Row],[DUT Adj Read]]="N/A",Table1[[#This Row],[Std Adj Read]]="N/A"),"N/A",IF(Table1[[#This Row],[DUT Adj Read]]="N/A",IF(Table1[[#This Row],[Std Adj Read]]&gt;Table1[[#This Row],[Low Tol]],"Pass","Fail"),IF(Table1[[#This Row],[DUT Adj Read]]&gt;Table1[[#This Row],[Low Tol]],"Pass","Fail")))</f>
        <v>Pass</v>
      </c>
      <c r="AE2445" s="1" t="str">
        <f>IF(AND(Table1[[#This Row],[Spec Type2]]="N/A",Table1[[#This Row],[DUT Adj Read]]="N/A",Table1[[#This Row],[Std Adj Read]]="N/A"),"N/A",IF(Table1[[#This Row],[DUT Adj Read]]="N/A",IF(Table1[[#This Row],[Std Adj Read]]&lt;Table1[[#This Row],[High Tol]],"Pass","Fail"),IF(Table1[[#This Row],[DUT Adj Read]]&lt;Table1[[#This Row],[High Tol]],"Pass","Fail")))</f>
        <v>Fail</v>
      </c>
      <c r="AF2445" s="1" t="str">
        <f>IF(AND(Table1[[#This Row],[Spec Type2]]="N/A",Table1[[#This Row],[DUT Adj Read]]="N/A",Table1[[#This Row],[Std Adj Read]]="N/A"),"N/A",IF(Table1[[#This Row],[DUT Adj Read]]="N/A",IF(Table1[[#This Row],[Std Adj Read]]&gt;=Table1[[#This Row],[Low Tol]],"Pass","Fail"),IF(Table1[[#This Row],[DUT Adj Read]]&gt;=Table1[[#This Row],[Low Tol]],"Pass","Fail")))</f>
        <v>Pass</v>
      </c>
      <c r="AG2445" s="1" t="str">
        <f>IF(AND(Table1[[#This Row],[Spec Type2]]="N/A",Table1[[#This Row],[DUT Adj Read]]="N/A",Table1[[#This Row],[Std Adj Read]]="N/A"),"N/A",IF(Table1[[#This Row],[DUT Adj Read]]="N/A",IF(Table1[[#This Row],[Std Adj Read]]&lt;=Table1[[#This Row],[High Tol]],"Pass","Fail"),IF(Table1[[#This Row],[DUT Adj Read]]&lt;=Table1[[#This Row],[High Tol]],"Pass","Fail")))</f>
        <v>Fail</v>
      </c>
      <c r="AH24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5" s="1" t="b">
        <v>0</v>
      </c>
      <c r="AN2445" s="1" t="b">
        <v>0</v>
      </c>
      <c r="AO2445" s="1" t="b">
        <v>0</v>
      </c>
    </row>
    <row r="2446" spans="1:41" x14ac:dyDescent="0.25">
      <c r="A2446" s="10"/>
      <c r="B2446" s="10"/>
      <c r="C2446" s="10"/>
      <c r="D2446" s="10"/>
      <c r="E2446" s="10"/>
      <c r="F2446" s="10"/>
      <c r="G2446" s="10"/>
      <c r="H2446" s="10"/>
      <c r="I2446" s="1" t="str">
        <f t="shared" si="114"/>
        <v/>
      </c>
      <c r="J2446" s="1" t="s">
        <v>35</v>
      </c>
      <c r="K2446" s="1" t="str">
        <f t="shared" si="115"/>
        <v/>
      </c>
      <c r="L2446" s="1" t="str">
        <f t="shared" si="116"/>
        <v/>
      </c>
      <c r="M2446" s="1">
        <f>IF(OR(Table1[[#This Row],[Std Nom]]="",Table1[[#This Row],[Std Read]]=""),0,Table1[[#This Row],[Std Nom]]-Table1[[#This Row],[Std Read]])</f>
        <v>0</v>
      </c>
      <c r="N2446" s="1">
        <f>IF(Calculations!$F$5="ACCREDITED 17025 WITH UNCERTAINTIES",$N$10,0)</f>
        <v>0</v>
      </c>
      <c r="O2446" s="1" t="str">
        <f>IFERROR(Table1[[#This Row],[Std Nom]]-(_xlfn.XLOOKUP(Table1[[#This Row],[Manufacturer]]&amp;" "&amp;Table1[[#This Row],[Model]],Table13[MFR &amp; MDL],Table13[Tolerance % CW ],"")/100*Table1[[#This Row],[Std Nom]]),"")</f>
        <v/>
      </c>
      <c r="P2446" s="1" t="str">
        <f>IFERROR(Table1[[#This Row],[Std Nom]]+(_xlfn.XLOOKUP(Table1[[#This Row],[Manufacturer]]&amp;" "&amp;Table1[[#This Row],[Model]],Table13[MFR &amp; MDL],Table13[Tolerance % CW ],"")/100*Table1[[#This Row],[Std Nom]]),"")</f>
        <v/>
      </c>
      <c r="Q2446" s="1" t="e">
        <f>Table1[[#This Row],[High Tol]]-Table1[[#This Row],[Low Tol]]</f>
        <v>#VALUE!</v>
      </c>
      <c r="R2446" s="1">
        <f>2*Table1[[#This Row],[Std Error]]</f>
        <v>0</v>
      </c>
      <c r="S2446" s="1" t="str">
        <f>IF(Table1[[#This Row],[High Tol]]="","N/A",IFERROR(ABS(Table1[[#This Row],[Tol Span]]/Table1[[#This Row],[Error Span]]),"N/A"))</f>
        <v>N/A</v>
      </c>
      <c r="T2446" s="1" t="str">
        <f>IF(OR(Table1[[#This Row],[Low Tol]]="",Table1[[#This Row],[High Tol]]=""),"Needs Analysis",IF(Table1[[#This Row],[Ratio]]&gt;=4,"Not Significant",IF(Table1[[#This Row],[Ratio]]&gt;=2,"Semi-Significant","Significant")))</f>
        <v>Needs Analysis</v>
      </c>
      <c r="W2446" s="1">
        <f>IF(Table1[[#This Row],[Cal Type]]&lt;&gt;"ACCREDITED 17025 WITH UNCERTAINTIES",0,"")</f>
        <v>0</v>
      </c>
      <c r="X2446" s="1" t="str">
        <f>IF(Table1[[#This Row],[DUT Read]]="","N/A",Table1[[#This Row],[Std Error]]+Table1[[#This Row],[DUT Read]]+Table1[[#This Row],[DUT Ucty]])</f>
        <v>N/A</v>
      </c>
      <c r="Y2446" s="1" t="str">
        <f>IF(Table1[[#This Row],[Std Read]]="","N/A",Table1[[#This Row],[Std Read]]+Table1[[#This Row],[Std Ucty]])</f>
        <v>N/A</v>
      </c>
      <c r="Z24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6" s="1" t="str">
        <f>IF(Table1[[#This Row],[Spec Type]]="","N/A",Table1[[#This Row],[Spec Type]])</f>
        <v>±</v>
      </c>
      <c r="AC2446" s="1" t="str">
        <f>IF(Table1[[#This Row],[Spec Type2]]="N/A","N/A",IF(AND(Table1[[#This Row],[DUT Adj Read]]&gt;=Table1[[#This Row],[Low Tol]],Table1[[#This Row],[DUT Adj Read]]&lt;=Table1[[#This Row],[High Tol]]),"Pass","Fail"))</f>
        <v>Fail</v>
      </c>
      <c r="AD2446" s="1" t="str">
        <f>IF(AND(Table1[[#This Row],[Spec Type2]]="N/A",Table1[[#This Row],[DUT Adj Read]]="N/A",Table1[[#This Row],[Std Adj Read]]="N/A"),"N/A",IF(Table1[[#This Row],[DUT Adj Read]]="N/A",IF(Table1[[#This Row],[Std Adj Read]]&gt;Table1[[#This Row],[Low Tol]],"Pass","Fail"),IF(Table1[[#This Row],[DUT Adj Read]]&gt;Table1[[#This Row],[Low Tol]],"Pass","Fail")))</f>
        <v>Pass</v>
      </c>
      <c r="AE2446" s="1" t="str">
        <f>IF(AND(Table1[[#This Row],[Spec Type2]]="N/A",Table1[[#This Row],[DUT Adj Read]]="N/A",Table1[[#This Row],[Std Adj Read]]="N/A"),"N/A",IF(Table1[[#This Row],[DUT Adj Read]]="N/A",IF(Table1[[#This Row],[Std Adj Read]]&lt;Table1[[#This Row],[High Tol]],"Pass","Fail"),IF(Table1[[#This Row],[DUT Adj Read]]&lt;Table1[[#This Row],[High Tol]],"Pass","Fail")))</f>
        <v>Fail</v>
      </c>
      <c r="AF2446" s="1" t="str">
        <f>IF(AND(Table1[[#This Row],[Spec Type2]]="N/A",Table1[[#This Row],[DUT Adj Read]]="N/A",Table1[[#This Row],[Std Adj Read]]="N/A"),"N/A",IF(Table1[[#This Row],[DUT Adj Read]]="N/A",IF(Table1[[#This Row],[Std Adj Read]]&gt;=Table1[[#This Row],[Low Tol]],"Pass","Fail"),IF(Table1[[#This Row],[DUT Adj Read]]&gt;=Table1[[#This Row],[Low Tol]],"Pass","Fail")))</f>
        <v>Pass</v>
      </c>
      <c r="AG2446" s="1" t="str">
        <f>IF(AND(Table1[[#This Row],[Spec Type2]]="N/A",Table1[[#This Row],[DUT Adj Read]]="N/A",Table1[[#This Row],[Std Adj Read]]="N/A"),"N/A",IF(Table1[[#This Row],[DUT Adj Read]]="N/A",IF(Table1[[#This Row],[Std Adj Read]]&lt;=Table1[[#This Row],[High Tol]],"Pass","Fail"),IF(Table1[[#This Row],[DUT Adj Read]]&lt;=Table1[[#This Row],[High Tol]],"Pass","Fail")))</f>
        <v>Fail</v>
      </c>
      <c r="AH24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6" s="1" t="b">
        <v>0</v>
      </c>
      <c r="AN2446" s="1" t="b">
        <v>0</v>
      </c>
      <c r="AO2446" s="1" t="b">
        <v>0</v>
      </c>
    </row>
    <row r="2447" spans="1:41" x14ac:dyDescent="0.25">
      <c r="A2447" s="10"/>
      <c r="B2447" s="10"/>
      <c r="C2447" s="10"/>
      <c r="D2447" s="10"/>
      <c r="E2447" s="10"/>
      <c r="F2447" s="10"/>
      <c r="G2447" s="10"/>
      <c r="H2447" s="10"/>
      <c r="I2447" s="1" t="str">
        <f t="shared" si="114"/>
        <v/>
      </c>
      <c r="J2447" s="1" t="s">
        <v>35</v>
      </c>
      <c r="K2447" s="1" t="str">
        <f t="shared" si="115"/>
        <v/>
      </c>
      <c r="L2447" s="1" t="str">
        <f t="shared" si="116"/>
        <v/>
      </c>
      <c r="M2447" s="1">
        <f>IF(OR(Table1[[#This Row],[Std Nom]]="",Table1[[#This Row],[Std Read]]=""),0,Table1[[#This Row],[Std Nom]]-Table1[[#This Row],[Std Read]])</f>
        <v>0</v>
      </c>
      <c r="N2447" s="1">
        <f>IF(Calculations!$F$5="ACCREDITED 17025 WITH UNCERTAINTIES",$N$10,0)</f>
        <v>0</v>
      </c>
      <c r="O2447" s="1" t="str">
        <f>IFERROR(Table1[[#This Row],[Std Nom]]-(_xlfn.XLOOKUP(Table1[[#This Row],[Manufacturer]]&amp;" "&amp;Table1[[#This Row],[Model]],Table13[MFR &amp; MDL],Table13[Tolerance % CW ],"")/100*Table1[[#This Row],[Std Nom]]),"")</f>
        <v/>
      </c>
      <c r="P2447" s="1" t="str">
        <f>IFERROR(Table1[[#This Row],[Std Nom]]+(_xlfn.XLOOKUP(Table1[[#This Row],[Manufacturer]]&amp;" "&amp;Table1[[#This Row],[Model]],Table13[MFR &amp; MDL],Table13[Tolerance % CW ],"")/100*Table1[[#This Row],[Std Nom]]),"")</f>
        <v/>
      </c>
      <c r="Q2447" s="1" t="e">
        <f>Table1[[#This Row],[High Tol]]-Table1[[#This Row],[Low Tol]]</f>
        <v>#VALUE!</v>
      </c>
      <c r="R2447" s="1">
        <f>2*Table1[[#This Row],[Std Error]]</f>
        <v>0</v>
      </c>
      <c r="S2447" s="1" t="str">
        <f>IF(Table1[[#This Row],[High Tol]]="","N/A",IFERROR(ABS(Table1[[#This Row],[Tol Span]]/Table1[[#This Row],[Error Span]]),"N/A"))</f>
        <v>N/A</v>
      </c>
      <c r="T2447" s="1" t="str">
        <f>IF(OR(Table1[[#This Row],[Low Tol]]="",Table1[[#This Row],[High Tol]]=""),"Needs Analysis",IF(Table1[[#This Row],[Ratio]]&gt;=4,"Not Significant",IF(Table1[[#This Row],[Ratio]]&gt;=2,"Semi-Significant","Significant")))</f>
        <v>Needs Analysis</v>
      </c>
      <c r="W2447" s="1">
        <f>IF(Table1[[#This Row],[Cal Type]]&lt;&gt;"ACCREDITED 17025 WITH UNCERTAINTIES",0,"")</f>
        <v>0</v>
      </c>
      <c r="X2447" s="1" t="str">
        <f>IF(Table1[[#This Row],[DUT Read]]="","N/A",Table1[[#This Row],[Std Error]]+Table1[[#This Row],[DUT Read]]+Table1[[#This Row],[DUT Ucty]])</f>
        <v>N/A</v>
      </c>
      <c r="Y2447" s="1" t="str">
        <f>IF(Table1[[#This Row],[Std Read]]="","N/A",Table1[[#This Row],[Std Read]]+Table1[[#This Row],[Std Ucty]])</f>
        <v>N/A</v>
      </c>
      <c r="Z24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7" s="1" t="str">
        <f>IF(Table1[[#This Row],[Spec Type]]="","N/A",Table1[[#This Row],[Spec Type]])</f>
        <v>±</v>
      </c>
      <c r="AC2447" s="1" t="str">
        <f>IF(Table1[[#This Row],[Spec Type2]]="N/A","N/A",IF(AND(Table1[[#This Row],[DUT Adj Read]]&gt;=Table1[[#This Row],[Low Tol]],Table1[[#This Row],[DUT Adj Read]]&lt;=Table1[[#This Row],[High Tol]]),"Pass","Fail"))</f>
        <v>Fail</v>
      </c>
      <c r="AD2447" s="1" t="str">
        <f>IF(AND(Table1[[#This Row],[Spec Type2]]="N/A",Table1[[#This Row],[DUT Adj Read]]="N/A",Table1[[#This Row],[Std Adj Read]]="N/A"),"N/A",IF(Table1[[#This Row],[DUT Adj Read]]="N/A",IF(Table1[[#This Row],[Std Adj Read]]&gt;Table1[[#This Row],[Low Tol]],"Pass","Fail"),IF(Table1[[#This Row],[DUT Adj Read]]&gt;Table1[[#This Row],[Low Tol]],"Pass","Fail")))</f>
        <v>Pass</v>
      </c>
      <c r="AE2447" s="1" t="str">
        <f>IF(AND(Table1[[#This Row],[Spec Type2]]="N/A",Table1[[#This Row],[DUT Adj Read]]="N/A",Table1[[#This Row],[Std Adj Read]]="N/A"),"N/A",IF(Table1[[#This Row],[DUT Adj Read]]="N/A",IF(Table1[[#This Row],[Std Adj Read]]&lt;Table1[[#This Row],[High Tol]],"Pass","Fail"),IF(Table1[[#This Row],[DUT Adj Read]]&lt;Table1[[#This Row],[High Tol]],"Pass","Fail")))</f>
        <v>Fail</v>
      </c>
      <c r="AF2447" s="1" t="str">
        <f>IF(AND(Table1[[#This Row],[Spec Type2]]="N/A",Table1[[#This Row],[DUT Adj Read]]="N/A",Table1[[#This Row],[Std Adj Read]]="N/A"),"N/A",IF(Table1[[#This Row],[DUT Adj Read]]="N/A",IF(Table1[[#This Row],[Std Adj Read]]&gt;=Table1[[#This Row],[Low Tol]],"Pass","Fail"),IF(Table1[[#This Row],[DUT Adj Read]]&gt;=Table1[[#This Row],[Low Tol]],"Pass","Fail")))</f>
        <v>Pass</v>
      </c>
      <c r="AG2447" s="1" t="str">
        <f>IF(AND(Table1[[#This Row],[Spec Type2]]="N/A",Table1[[#This Row],[DUT Adj Read]]="N/A",Table1[[#This Row],[Std Adj Read]]="N/A"),"N/A",IF(Table1[[#This Row],[DUT Adj Read]]="N/A",IF(Table1[[#This Row],[Std Adj Read]]&lt;=Table1[[#This Row],[High Tol]],"Pass","Fail"),IF(Table1[[#This Row],[DUT Adj Read]]&lt;=Table1[[#This Row],[High Tol]],"Pass","Fail")))</f>
        <v>Fail</v>
      </c>
      <c r="AH24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7" s="1" t="b">
        <v>0</v>
      </c>
      <c r="AN2447" s="1" t="b">
        <v>0</v>
      </c>
      <c r="AO2447" s="1" t="b">
        <v>0</v>
      </c>
    </row>
    <row r="2448" spans="1:41" x14ac:dyDescent="0.25">
      <c r="A2448" s="10"/>
      <c r="B2448" s="10"/>
      <c r="C2448" s="10"/>
      <c r="D2448" s="10"/>
      <c r="E2448" s="10"/>
      <c r="F2448" s="10"/>
      <c r="G2448" s="10"/>
      <c r="H2448" s="10"/>
      <c r="I2448" s="1" t="str">
        <f t="shared" si="114"/>
        <v/>
      </c>
      <c r="J2448" s="1" t="s">
        <v>35</v>
      </c>
      <c r="K2448" s="1" t="str">
        <f t="shared" si="115"/>
        <v/>
      </c>
      <c r="L2448" s="1" t="str">
        <f t="shared" si="116"/>
        <v/>
      </c>
      <c r="M2448" s="1">
        <f>IF(OR(Table1[[#This Row],[Std Nom]]="",Table1[[#This Row],[Std Read]]=""),0,Table1[[#This Row],[Std Nom]]-Table1[[#This Row],[Std Read]])</f>
        <v>0</v>
      </c>
      <c r="N2448" s="1">
        <f>IF(Calculations!$F$5="ACCREDITED 17025 WITH UNCERTAINTIES",$N$10,0)</f>
        <v>0</v>
      </c>
      <c r="O2448" s="1" t="str">
        <f>IFERROR(Table1[[#This Row],[Std Nom]]-(_xlfn.XLOOKUP(Table1[[#This Row],[Manufacturer]]&amp;" "&amp;Table1[[#This Row],[Model]],Table13[MFR &amp; MDL],Table13[Tolerance % CW ],"")/100*Table1[[#This Row],[Std Nom]]),"")</f>
        <v/>
      </c>
      <c r="P2448" s="1" t="str">
        <f>IFERROR(Table1[[#This Row],[Std Nom]]+(_xlfn.XLOOKUP(Table1[[#This Row],[Manufacturer]]&amp;" "&amp;Table1[[#This Row],[Model]],Table13[MFR &amp; MDL],Table13[Tolerance % CW ],"")/100*Table1[[#This Row],[Std Nom]]),"")</f>
        <v/>
      </c>
      <c r="Q2448" s="1" t="e">
        <f>Table1[[#This Row],[High Tol]]-Table1[[#This Row],[Low Tol]]</f>
        <v>#VALUE!</v>
      </c>
      <c r="R2448" s="1">
        <f>2*Table1[[#This Row],[Std Error]]</f>
        <v>0</v>
      </c>
      <c r="S2448" s="1" t="str">
        <f>IF(Table1[[#This Row],[High Tol]]="","N/A",IFERROR(ABS(Table1[[#This Row],[Tol Span]]/Table1[[#This Row],[Error Span]]),"N/A"))</f>
        <v>N/A</v>
      </c>
      <c r="T2448" s="1" t="str">
        <f>IF(OR(Table1[[#This Row],[Low Tol]]="",Table1[[#This Row],[High Tol]]=""),"Needs Analysis",IF(Table1[[#This Row],[Ratio]]&gt;=4,"Not Significant",IF(Table1[[#This Row],[Ratio]]&gt;=2,"Semi-Significant","Significant")))</f>
        <v>Needs Analysis</v>
      </c>
      <c r="W2448" s="1">
        <f>IF(Table1[[#This Row],[Cal Type]]&lt;&gt;"ACCREDITED 17025 WITH UNCERTAINTIES",0,"")</f>
        <v>0</v>
      </c>
      <c r="X2448" s="1" t="str">
        <f>IF(Table1[[#This Row],[DUT Read]]="","N/A",Table1[[#This Row],[Std Error]]+Table1[[#This Row],[DUT Read]]+Table1[[#This Row],[DUT Ucty]])</f>
        <v>N/A</v>
      </c>
      <c r="Y2448" s="1" t="str">
        <f>IF(Table1[[#This Row],[Std Read]]="","N/A",Table1[[#This Row],[Std Read]]+Table1[[#This Row],[Std Ucty]])</f>
        <v>N/A</v>
      </c>
      <c r="Z24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8" s="1" t="str">
        <f>IF(Table1[[#This Row],[Spec Type]]="","N/A",Table1[[#This Row],[Spec Type]])</f>
        <v>±</v>
      </c>
      <c r="AC2448" s="1" t="str">
        <f>IF(Table1[[#This Row],[Spec Type2]]="N/A","N/A",IF(AND(Table1[[#This Row],[DUT Adj Read]]&gt;=Table1[[#This Row],[Low Tol]],Table1[[#This Row],[DUT Adj Read]]&lt;=Table1[[#This Row],[High Tol]]),"Pass","Fail"))</f>
        <v>Fail</v>
      </c>
      <c r="AD2448" s="1" t="str">
        <f>IF(AND(Table1[[#This Row],[Spec Type2]]="N/A",Table1[[#This Row],[DUT Adj Read]]="N/A",Table1[[#This Row],[Std Adj Read]]="N/A"),"N/A",IF(Table1[[#This Row],[DUT Adj Read]]="N/A",IF(Table1[[#This Row],[Std Adj Read]]&gt;Table1[[#This Row],[Low Tol]],"Pass","Fail"),IF(Table1[[#This Row],[DUT Adj Read]]&gt;Table1[[#This Row],[Low Tol]],"Pass","Fail")))</f>
        <v>Pass</v>
      </c>
      <c r="AE2448" s="1" t="str">
        <f>IF(AND(Table1[[#This Row],[Spec Type2]]="N/A",Table1[[#This Row],[DUT Adj Read]]="N/A",Table1[[#This Row],[Std Adj Read]]="N/A"),"N/A",IF(Table1[[#This Row],[DUT Adj Read]]="N/A",IF(Table1[[#This Row],[Std Adj Read]]&lt;Table1[[#This Row],[High Tol]],"Pass","Fail"),IF(Table1[[#This Row],[DUT Adj Read]]&lt;Table1[[#This Row],[High Tol]],"Pass","Fail")))</f>
        <v>Fail</v>
      </c>
      <c r="AF2448" s="1" t="str">
        <f>IF(AND(Table1[[#This Row],[Spec Type2]]="N/A",Table1[[#This Row],[DUT Adj Read]]="N/A",Table1[[#This Row],[Std Adj Read]]="N/A"),"N/A",IF(Table1[[#This Row],[DUT Adj Read]]="N/A",IF(Table1[[#This Row],[Std Adj Read]]&gt;=Table1[[#This Row],[Low Tol]],"Pass","Fail"),IF(Table1[[#This Row],[DUT Adj Read]]&gt;=Table1[[#This Row],[Low Tol]],"Pass","Fail")))</f>
        <v>Pass</v>
      </c>
      <c r="AG2448" s="1" t="str">
        <f>IF(AND(Table1[[#This Row],[Spec Type2]]="N/A",Table1[[#This Row],[DUT Adj Read]]="N/A",Table1[[#This Row],[Std Adj Read]]="N/A"),"N/A",IF(Table1[[#This Row],[DUT Adj Read]]="N/A",IF(Table1[[#This Row],[Std Adj Read]]&lt;=Table1[[#This Row],[High Tol]],"Pass","Fail"),IF(Table1[[#This Row],[DUT Adj Read]]&lt;=Table1[[#This Row],[High Tol]],"Pass","Fail")))</f>
        <v>Fail</v>
      </c>
      <c r="AH24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8" s="1" t="b">
        <v>0</v>
      </c>
      <c r="AN2448" s="1" t="b">
        <v>0</v>
      </c>
      <c r="AO2448" s="1" t="b">
        <v>0</v>
      </c>
    </row>
    <row r="2449" spans="1:41" x14ac:dyDescent="0.25">
      <c r="A2449" s="10"/>
      <c r="B2449" s="10"/>
      <c r="C2449" s="10"/>
      <c r="D2449" s="10"/>
      <c r="E2449" s="10"/>
      <c r="F2449" s="10"/>
      <c r="G2449" s="10"/>
      <c r="H2449" s="10"/>
      <c r="I2449" s="1" t="str">
        <f t="shared" si="114"/>
        <v/>
      </c>
      <c r="J2449" s="1" t="s">
        <v>35</v>
      </c>
      <c r="K2449" s="1" t="str">
        <f t="shared" si="115"/>
        <v/>
      </c>
      <c r="L2449" s="1" t="str">
        <f t="shared" si="116"/>
        <v/>
      </c>
      <c r="M2449" s="1">
        <f>IF(OR(Table1[[#This Row],[Std Nom]]="",Table1[[#This Row],[Std Read]]=""),0,Table1[[#This Row],[Std Nom]]-Table1[[#This Row],[Std Read]])</f>
        <v>0</v>
      </c>
      <c r="N2449" s="1">
        <f>IF(Calculations!$F$5="ACCREDITED 17025 WITH UNCERTAINTIES",$N$10,0)</f>
        <v>0</v>
      </c>
      <c r="O2449" s="1" t="str">
        <f>IFERROR(Table1[[#This Row],[Std Nom]]-(_xlfn.XLOOKUP(Table1[[#This Row],[Manufacturer]]&amp;" "&amp;Table1[[#This Row],[Model]],Table13[MFR &amp; MDL],Table13[Tolerance % CW ],"")/100*Table1[[#This Row],[Std Nom]]),"")</f>
        <v/>
      </c>
      <c r="P2449" s="1" t="str">
        <f>IFERROR(Table1[[#This Row],[Std Nom]]+(_xlfn.XLOOKUP(Table1[[#This Row],[Manufacturer]]&amp;" "&amp;Table1[[#This Row],[Model]],Table13[MFR &amp; MDL],Table13[Tolerance % CW ],"")/100*Table1[[#This Row],[Std Nom]]),"")</f>
        <v/>
      </c>
      <c r="Q2449" s="1" t="e">
        <f>Table1[[#This Row],[High Tol]]-Table1[[#This Row],[Low Tol]]</f>
        <v>#VALUE!</v>
      </c>
      <c r="R2449" s="1">
        <f>2*Table1[[#This Row],[Std Error]]</f>
        <v>0</v>
      </c>
      <c r="S2449" s="1" t="str">
        <f>IF(Table1[[#This Row],[High Tol]]="","N/A",IFERROR(ABS(Table1[[#This Row],[Tol Span]]/Table1[[#This Row],[Error Span]]),"N/A"))</f>
        <v>N/A</v>
      </c>
      <c r="T2449" s="1" t="str">
        <f>IF(OR(Table1[[#This Row],[Low Tol]]="",Table1[[#This Row],[High Tol]]=""),"Needs Analysis",IF(Table1[[#This Row],[Ratio]]&gt;=4,"Not Significant",IF(Table1[[#This Row],[Ratio]]&gt;=2,"Semi-Significant","Significant")))</f>
        <v>Needs Analysis</v>
      </c>
      <c r="W2449" s="1">
        <f>IF(Table1[[#This Row],[Cal Type]]&lt;&gt;"ACCREDITED 17025 WITH UNCERTAINTIES",0,"")</f>
        <v>0</v>
      </c>
      <c r="X2449" s="1" t="str">
        <f>IF(Table1[[#This Row],[DUT Read]]="","N/A",Table1[[#This Row],[Std Error]]+Table1[[#This Row],[DUT Read]]+Table1[[#This Row],[DUT Ucty]])</f>
        <v>N/A</v>
      </c>
      <c r="Y2449" s="1" t="str">
        <f>IF(Table1[[#This Row],[Std Read]]="","N/A",Table1[[#This Row],[Std Read]]+Table1[[#This Row],[Std Ucty]])</f>
        <v>N/A</v>
      </c>
      <c r="Z24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9" s="1" t="str">
        <f>IF(Table1[[#This Row],[Spec Type]]="","N/A",Table1[[#This Row],[Spec Type]])</f>
        <v>±</v>
      </c>
      <c r="AC2449" s="1" t="str">
        <f>IF(Table1[[#This Row],[Spec Type2]]="N/A","N/A",IF(AND(Table1[[#This Row],[DUT Adj Read]]&gt;=Table1[[#This Row],[Low Tol]],Table1[[#This Row],[DUT Adj Read]]&lt;=Table1[[#This Row],[High Tol]]),"Pass","Fail"))</f>
        <v>Fail</v>
      </c>
      <c r="AD2449" s="1" t="str">
        <f>IF(AND(Table1[[#This Row],[Spec Type2]]="N/A",Table1[[#This Row],[DUT Adj Read]]="N/A",Table1[[#This Row],[Std Adj Read]]="N/A"),"N/A",IF(Table1[[#This Row],[DUT Adj Read]]="N/A",IF(Table1[[#This Row],[Std Adj Read]]&gt;Table1[[#This Row],[Low Tol]],"Pass","Fail"),IF(Table1[[#This Row],[DUT Adj Read]]&gt;Table1[[#This Row],[Low Tol]],"Pass","Fail")))</f>
        <v>Pass</v>
      </c>
      <c r="AE2449" s="1" t="str">
        <f>IF(AND(Table1[[#This Row],[Spec Type2]]="N/A",Table1[[#This Row],[DUT Adj Read]]="N/A",Table1[[#This Row],[Std Adj Read]]="N/A"),"N/A",IF(Table1[[#This Row],[DUT Adj Read]]="N/A",IF(Table1[[#This Row],[Std Adj Read]]&lt;Table1[[#This Row],[High Tol]],"Pass","Fail"),IF(Table1[[#This Row],[DUT Adj Read]]&lt;Table1[[#This Row],[High Tol]],"Pass","Fail")))</f>
        <v>Fail</v>
      </c>
      <c r="AF2449" s="1" t="str">
        <f>IF(AND(Table1[[#This Row],[Spec Type2]]="N/A",Table1[[#This Row],[DUT Adj Read]]="N/A",Table1[[#This Row],[Std Adj Read]]="N/A"),"N/A",IF(Table1[[#This Row],[DUT Adj Read]]="N/A",IF(Table1[[#This Row],[Std Adj Read]]&gt;=Table1[[#This Row],[Low Tol]],"Pass","Fail"),IF(Table1[[#This Row],[DUT Adj Read]]&gt;=Table1[[#This Row],[Low Tol]],"Pass","Fail")))</f>
        <v>Pass</v>
      </c>
      <c r="AG2449" s="1" t="str">
        <f>IF(AND(Table1[[#This Row],[Spec Type2]]="N/A",Table1[[#This Row],[DUT Adj Read]]="N/A",Table1[[#This Row],[Std Adj Read]]="N/A"),"N/A",IF(Table1[[#This Row],[DUT Adj Read]]="N/A",IF(Table1[[#This Row],[Std Adj Read]]&lt;=Table1[[#This Row],[High Tol]],"Pass","Fail"),IF(Table1[[#This Row],[DUT Adj Read]]&lt;=Table1[[#This Row],[High Tol]],"Pass","Fail")))</f>
        <v>Fail</v>
      </c>
      <c r="AH24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9" s="1" t="b">
        <v>0</v>
      </c>
      <c r="AN2449" s="1" t="b">
        <v>0</v>
      </c>
      <c r="AO2449" s="1" t="b">
        <v>0</v>
      </c>
    </row>
    <row r="2450" spans="1:41" x14ac:dyDescent="0.25">
      <c r="A2450" s="10"/>
      <c r="B2450" s="10"/>
      <c r="C2450" s="10"/>
      <c r="D2450" s="10"/>
      <c r="E2450" s="10"/>
      <c r="F2450" s="10"/>
      <c r="G2450" s="10"/>
      <c r="H2450" s="10"/>
      <c r="I2450" s="1" t="str">
        <f t="shared" si="114"/>
        <v/>
      </c>
      <c r="J2450" s="1" t="s">
        <v>35</v>
      </c>
      <c r="K2450" s="1" t="str">
        <f t="shared" si="115"/>
        <v/>
      </c>
      <c r="L2450" s="1" t="str">
        <f t="shared" si="116"/>
        <v/>
      </c>
      <c r="M2450" s="1">
        <f>IF(OR(Table1[[#This Row],[Std Nom]]="",Table1[[#This Row],[Std Read]]=""),0,Table1[[#This Row],[Std Nom]]-Table1[[#This Row],[Std Read]])</f>
        <v>0</v>
      </c>
      <c r="N2450" s="1">
        <f>IF(Calculations!$F$5="ACCREDITED 17025 WITH UNCERTAINTIES",$N$10,0)</f>
        <v>0</v>
      </c>
      <c r="O2450" s="1" t="str">
        <f>IFERROR(Table1[[#This Row],[Std Nom]]-(_xlfn.XLOOKUP(Table1[[#This Row],[Manufacturer]]&amp;" "&amp;Table1[[#This Row],[Model]],Table13[MFR &amp; MDL],Table13[Tolerance % CW ],"")/100*Table1[[#This Row],[Std Nom]]),"")</f>
        <v/>
      </c>
      <c r="P2450" s="1" t="str">
        <f>IFERROR(Table1[[#This Row],[Std Nom]]+(_xlfn.XLOOKUP(Table1[[#This Row],[Manufacturer]]&amp;" "&amp;Table1[[#This Row],[Model]],Table13[MFR &amp; MDL],Table13[Tolerance % CW ],"")/100*Table1[[#This Row],[Std Nom]]),"")</f>
        <v/>
      </c>
      <c r="Q2450" s="1" t="e">
        <f>Table1[[#This Row],[High Tol]]-Table1[[#This Row],[Low Tol]]</f>
        <v>#VALUE!</v>
      </c>
      <c r="R2450" s="1">
        <f>2*Table1[[#This Row],[Std Error]]</f>
        <v>0</v>
      </c>
      <c r="S2450" s="1" t="str">
        <f>IF(Table1[[#This Row],[High Tol]]="","N/A",IFERROR(ABS(Table1[[#This Row],[Tol Span]]/Table1[[#This Row],[Error Span]]),"N/A"))</f>
        <v>N/A</v>
      </c>
      <c r="T2450" s="1" t="str">
        <f>IF(OR(Table1[[#This Row],[Low Tol]]="",Table1[[#This Row],[High Tol]]=""),"Needs Analysis",IF(Table1[[#This Row],[Ratio]]&gt;=4,"Not Significant",IF(Table1[[#This Row],[Ratio]]&gt;=2,"Semi-Significant","Significant")))</f>
        <v>Needs Analysis</v>
      </c>
      <c r="W2450" s="1">
        <f>IF(Table1[[#This Row],[Cal Type]]&lt;&gt;"ACCREDITED 17025 WITH UNCERTAINTIES",0,"")</f>
        <v>0</v>
      </c>
      <c r="X2450" s="1" t="str">
        <f>IF(Table1[[#This Row],[DUT Read]]="","N/A",Table1[[#This Row],[Std Error]]+Table1[[#This Row],[DUT Read]]+Table1[[#This Row],[DUT Ucty]])</f>
        <v>N/A</v>
      </c>
      <c r="Y2450" s="1" t="str">
        <f>IF(Table1[[#This Row],[Std Read]]="","N/A",Table1[[#This Row],[Std Read]]+Table1[[#This Row],[Std Ucty]])</f>
        <v>N/A</v>
      </c>
      <c r="Z24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0" s="1" t="str">
        <f>IF(Table1[[#This Row],[Spec Type]]="","N/A",Table1[[#This Row],[Spec Type]])</f>
        <v>±</v>
      </c>
      <c r="AC2450" s="1" t="str">
        <f>IF(Table1[[#This Row],[Spec Type2]]="N/A","N/A",IF(AND(Table1[[#This Row],[DUT Adj Read]]&gt;=Table1[[#This Row],[Low Tol]],Table1[[#This Row],[DUT Adj Read]]&lt;=Table1[[#This Row],[High Tol]]),"Pass","Fail"))</f>
        <v>Fail</v>
      </c>
      <c r="AD2450" s="1" t="str">
        <f>IF(AND(Table1[[#This Row],[Spec Type2]]="N/A",Table1[[#This Row],[DUT Adj Read]]="N/A",Table1[[#This Row],[Std Adj Read]]="N/A"),"N/A",IF(Table1[[#This Row],[DUT Adj Read]]="N/A",IF(Table1[[#This Row],[Std Adj Read]]&gt;Table1[[#This Row],[Low Tol]],"Pass","Fail"),IF(Table1[[#This Row],[DUT Adj Read]]&gt;Table1[[#This Row],[Low Tol]],"Pass","Fail")))</f>
        <v>Pass</v>
      </c>
      <c r="AE2450" s="1" t="str">
        <f>IF(AND(Table1[[#This Row],[Spec Type2]]="N/A",Table1[[#This Row],[DUT Adj Read]]="N/A",Table1[[#This Row],[Std Adj Read]]="N/A"),"N/A",IF(Table1[[#This Row],[DUT Adj Read]]="N/A",IF(Table1[[#This Row],[Std Adj Read]]&lt;Table1[[#This Row],[High Tol]],"Pass","Fail"),IF(Table1[[#This Row],[DUT Adj Read]]&lt;Table1[[#This Row],[High Tol]],"Pass","Fail")))</f>
        <v>Fail</v>
      </c>
      <c r="AF2450" s="1" t="str">
        <f>IF(AND(Table1[[#This Row],[Spec Type2]]="N/A",Table1[[#This Row],[DUT Adj Read]]="N/A",Table1[[#This Row],[Std Adj Read]]="N/A"),"N/A",IF(Table1[[#This Row],[DUT Adj Read]]="N/A",IF(Table1[[#This Row],[Std Adj Read]]&gt;=Table1[[#This Row],[Low Tol]],"Pass","Fail"),IF(Table1[[#This Row],[DUT Adj Read]]&gt;=Table1[[#This Row],[Low Tol]],"Pass","Fail")))</f>
        <v>Pass</v>
      </c>
      <c r="AG2450" s="1" t="str">
        <f>IF(AND(Table1[[#This Row],[Spec Type2]]="N/A",Table1[[#This Row],[DUT Adj Read]]="N/A",Table1[[#This Row],[Std Adj Read]]="N/A"),"N/A",IF(Table1[[#This Row],[DUT Adj Read]]="N/A",IF(Table1[[#This Row],[Std Adj Read]]&lt;=Table1[[#This Row],[High Tol]],"Pass","Fail"),IF(Table1[[#This Row],[DUT Adj Read]]&lt;=Table1[[#This Row],[High Tol]],"Pass","Fail")))</f>
        <v>Fail</v>
      </c>
      <c r="AH24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0" s="1" t="b">
        <v>0</v>
      </c>
      <c r="AN2450" s="1" t="b">
        <v>0</v>
      </c>
      <c r="AO2450" s="1" t="b">
        <v>0</v>
      </c>
    </row>
    <row r="2451" spans="1:41" x14ac:dyDescent="0.25">
      <c r="A2451" s="10"/>
      <c r="B2451" s="10"/>
      <c r="C2451" s="10"/>
      <c r="D2451" s="10"/>
      <c r="E2451" s="10"/>
      <c r="F2451" s="10"/>
      <c r="G2451" s="10"/>
      <c r="H2451" s="10"/>
      <c r="I2451" s="1" t="str">
        <f t="shared" si="114"/>
        <v/>
      </c>
      <c r="J2451" s="1" t="s">
        <v>35</v>
      </c>
      <c r="K2451" s="1" t="str">
        <f t="shared" si="115"/>
        <v/>
      </c>
      <c r="L2451" s="1" t="str">
        <f t="shared" si="116"/>
        <v/>
      </c>
      <c r="M2451" s="1">
        <f>IF(OR(Table1[[#This Row],[Std Nom]]="",Table1[[#This Row],[Std Read]]=""),0,Table1[[#This Row],[Std Nom]]-Table1[[#This Row],[Std Read]])</f>
        <v>0</v>
      </c>
      <c r="N2451" s="1">
        <f>IF(Calculations!$F$5="ACCREDITED 17025 WITH UNCERTAINTIES",$N$10,0)</f>
        <v>0</v>
      </c>
      <c r="O2451" s="1" t="str">
        <f>IFERROR(Table1[[#This Row],[Std Nom]]-(_xlfn.XLOOKUP(Table1[[#This Row],[Manufacturer]]&amp;" "&amp;Table1[[#This Row],[Model]],Table13[MFR &amp; MDL],Table13[Tolerance % CW ],"")/100*Table1[[#This Row],[Std Nom]]),"")</f>
        <v/>
      </c>
      <c r="P2451" s="1" t="str">
        <f>IFERROR(Table1[[#This Row],[Std Nom]]+(_xlfn.XLOOKUP(Table1[[#This Row],[Manufacturer]]&amp;" "&amp;Table1[[#This Row],[Model]],Table13[MFR &amp; MDL],Table13[Tolerance % CW ],"")/100*Table1[[#This Row],[Std Nom]]),"")</f>
        <v/>
      </c>
      <c r="Q2451" s="1" t="e">
        <f>Table1[[#This Row],[High Tol]]-Table1[[#This Row],[Low Tol]]</f>
        <v>#VALUE!</v>
      </c>
      <c r="R2451" s="1">
        <f>2*Table1[[#This Row],[Std Error]]</f>
        <v>0</v>
      </c>
      <c r="S2451" s="1" t="str">
        <f>IF(Table1[[#This Row],[High Tol]]="","N/A",IFERROR(ABS(Table1[[#This Row],[Tol Span]]/Table1[[#This Row],[Error Span]]),"N/A"))</f>
        <v>N/A</v>
      </c>
      <c r="T2451" s="1" t="str">
        <f>IF(OR(Table1[[#This Row],[Low Tol]]="",Table1[[#This Row],[High Tol]]=""),"Needs Analysis",IF(Table1[[#This Row],[Ratio]]&gt;=4,"Not Significant",IF(Table1[[#This Row],[Ratio]]&gt;=2,"Semi-Significant","Significant")))</f>
        <v>Needs Analysis</v>
      </c>
      <c r="W2451" s="1">
        <f>IF(Table1[[#This Row],[Cal Type]]&lt;&gt;"ACCREDITED 17025 WITH UNCERTAINTIES",0,"")</f>
        <v>0</v>
      </c>
      <c r="X2451" s="1" t="str">
        <f>IF(Table1[[#This Row],[DUT Read]]="","N/A",Table1[[#This Row],[Std Error]]+Table1[[#This Row],[DUT Read]]+Table1[[#This Row],[DUT Ucty]])</f>
        <v>N/A</v>
      </c>
      <c r="Y2451" s="1" t="str">
        <f>IF(Table1[[#This Row],[Std Read]]="","N/A",Table1[[#This Row],[Std Read]]+Table1[[#This Row],[Std Ucty]])</f>
        <v>N/A</v>
      </c>
      <c r="Z24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1" s="1" t="str">
        <f>IF(Table1[[#This Row],[Spec Type]]="","N/A",Table1[[#This Row],[Spec Type]])</f>
        <v>±</v>
      </c>
      <c r="AC2451" s="1" t="str">
        <f>IF(Table1[[#This Row],[Spec Type2]]="N/A","N/A",IF(AND(Table1[[#This Row],[DUT Adj Read]]&gt;=Table1[[#This Row],[Low Tol]],Table1[[#This Row],[DUT Adj Read]]&lt;=Table1[[#This Row],[High Tol]]),"Pass","Fail"))</f>
        <v>Fail</v>
      </c>
      <c r="AD2451" s="1" t="str">
        <f>IF(AND(Table1[[#This Row],[Spec Type2]]="N/A",Table1[[#This Row],[DUT Adj Read]]="N/A",Table1[[#This Row],[Std Adj Read]]="N/A"),"N/A",IF(Table1[[#This Row],[DUT Adj Read]]="N/A",IF(Table1[[#This Row],[Std Adj Read]]&gt;Table1[[#This Row],[Low Tol]],"Pass","Fail"),IF(Table1[[#This Row],[DUT Adj Read]]&gt;Table1[[#This Row],[Low Tol]],"Pass","Fail")))</f>
        <v>Pass</v>
      </c>
      <c r="AE2451" s="1" t="str">
        <f>IF(AND(Table1[[#This Row],[Spec Type2]]="N/A",Table1[[#This Row],[DUT Adj Read]]="N/A",Table1[[#This Row],[Std Adj Read]]="N/A"),"N/A",IF(Table1[[#This Row],[DUT Adj Read]]="N/A",IF(Table1[[#This Row],[Std Adj Read]]&lt;Table1[[#This Row],[High Tol]],"Pass","Fail"),IF(Table1[[#This Row],[DUT Adj Read]]&lt;Table1[[#This Row],[High Tol]],"Pass","Fail")))</f>
        <v>Fail</v>
      </c>
      <c r="AF2451" s="1" t="str">
        <f>IF(AND(Table1[[#This Row],[Spec Type2]]="N/A",Table1[[#This Row],[DUT Adj Read]]="N/A",Table1[[#This Row],[Std Adj Read]]="N/A"),"N/A",IF(Table1[[#This Row],[DUT Adj Read]]="N/A",IF(Table1[[#This Row],[Std Adj Read]]&gt;=Table1[[#This Row],[Low Tol]],"Pass","Fail"),IF(Table1[[#This Row],[DUT Adj Read]]&gt;=Table1[[#This Row],[Low Tol]],"Pass","Fail")))</f>
        <v>Pass</v>
      </c>
      <c r="AG2451" s="1" t="str">
        <f>IF(AND(Table1[[#This Row],[Spec Type2]]="N/A",Table1[[#This Row],[DUT Adj Read]]="N/A",Table1[[#This Row],[Std Adj Read]]="N/A"),"N/A",IF(Table1[[#This Row],[DUT Adj Read]]="N/A",IF(Table1[[#This Row],[Std Adj Read]]&lt;=Table1[[#This Row],[High Tol]],"Pass","Fail"),IF(Table1[[#This Row],[DUT Adj Read]]&lt;=Table1[[#This Row],[High Tol]],"Pass","Fail")))</f>
        <v>Fail</v>
      </c>
      <c r="AH24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1" s="1" t="b">
        <v>0</v>
      </c>
      <c r="AN2451" s="1" t="b">
        <v>0</v>
      </c>
      <c r="AO2451" s="1" t="b">
        <v>0</v>
      </c>
    </row>
    <row r="2452" spans="1:41" x14ac:dyDescent="0.25">
      <c r="A2452" s="10"/>
      <c r="B2452" s="10"/>
      <c r="C2452" s="10"/>
      <c r="D2452" s="10"/>
      <c r="E2452" s="10"/>
      <c r="F2452" s="10"/>
      <c r="G2452" s="10"/>
      <c r="H2452" s="10"/>
      <c r="I2452" s="1" t="str">
        <f t="shared" si="114"/>
        <v/>
      </c>
      <c r="J2452" s="1" t="s">
        <v>35</v>
      </c>
      <c r="K2452" s="1" t="str">
        <f t="shared" si="115"/>
        <v/>
      </c>
      <c r="L2452" s="1" t="str">
        <f t="shared" si="116"/>
        <v/>
      </c>
      <c r="M2452" s="1">
        <f>IF(OR(Table1[[#This Row],[Std Nom]]="",Table1[[#This Row],[Std Read]]=""),0,Table1[[#This Row],[Std Nom]]-Table1[[#This Row],[Std Read]])</f>
        <v>0</v>
      </c>
      <c r="N2452" s="1">
        <f>IF(Calculations!$F$5="ACCREDITED 17025 WITH UNCERTAINTIES",$N$10,0)</f>
        <v>0</v>
      </c>
      <c r="O2452" s="1" t="str">
        <f>IFERROR(Table1[[#This Row],[Std Nom]]-(_xlfn.XLOOKUP(Table1[[#This Row],[Manufacturer]]&amp;" "&amp;Table1[[#This Row],[Model]],Table13[MFR &amp; MDL],Table13[Tolerance % CW ],"")/100*Table1[[#This Row],[Std Nom]]),"")</f>
        <v/>
      </c>
      <c r="P2452" s="1" t="str">
        <f>IFERROR(Table1[[#This Row],[Std Nom]]+(_xlfn.XLOOKUP(Table1[[#This Row],[Manufacturer]]&amp;" "&amp;Table1[[#This Row],[Model]],Table13[MFR &amp; MDL],Table13[Tolerance % CW ],"")/100*Table1[[#This Row],[Std Nom]]),"")</f>
        <v/>
      </c>
      <c r="Q2452" s="1" t="e">
        <f>Table1[[#This Row],[High Tol]]-Table1[[#This Row],[Low Tol]]</f>
        <v>#VALUE!</v>
      </c>
      <c r="R2452" s="1">
        <f>2*Table1[[#This Row],[Std Error]]</f>
        <v>0</v>
      </c>
      <c r="S2452" s="1" t="str">
        <f>IF(Table1[[#This Row],[High Tol]]="","N/A",IFERROR(ABS(Table1[[#This Row],[Tol Span]]/Table1[[#This Row],[Error Span]]),"N/A"))</f>
        <v>N/A</v>
      </c>
      <c r="T2452" s="1" t="str">
        <f>IF(OR(Table1[[#This Row],[Low Tol]]="",Table1[[#This Row],[High Tol]]=""),"Needs Analysis",IF(Table1[[#This Row],[Ratio]]&gt;=4,"Not Significant",IF(Table1[[#This Row],[Ratio]]&gt;=2,"Semi-Significant","Significant")))</f>
        <v>Needs Analysis</v>
      </c>
      <c r="W2452" s="1">
        <f>IF(Table1[[#This Row],[Cal Type]]&lt;&gt;"ACCREDITED 17025 WITH UNCERTAINTIES",0,"")</f>
        <v>0</v>
      </c>
      <c r="X2452" s="1" t="str">
        <f>IF(Table1[[#This Row],[DUT Read]]="","N/A",Table1[[#This Row],[Std Error]]+Table1[[#This Row],[DUT Read]]+Table1[[#This Row],[DUT Ucty]])</f>
        <v>N/A</v>
      </c>
      <c r="Y2452" s="1" t="str">
        <f>IF(Table1[[#This Row],[Std Read]]="","N/A",Table1[[#This Row],[Std Read]]+Table1[[#This Row],[Std Ucty]])</f>
        <v>N/A</v>
      </c>
      <c r="Z24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2" s="1" t="str">
        <f>IF(Table1[[#This Row],[Spec Type]]="","N/A",Table1[[#This Row],[Spec Type]])</f>
        <v>±</v>
      </c>
      <c r="AC2452" s="1" t="str">
        <f>IF(Table1[[#This Row],[Spec Type2]]="N/A","N/A",IF(AND(Table1[[#This Row],[DUT Adj Read]]&gt;=Table1[[#This Row],[Low Tol]],Table1[[#This Row],[DUT Adj Read]]&lt;=Table1[[#This Row],[High Tol]]),"Pass","Fail"))</f>
        <v>Fail</v>
      </c>
      <c r="AD2452" s="1" t="str">
        <f>IF(AND(Table1[[#This Row],[Spec Type2]]="N/A",Table1[[#This Row],[DUT Adj Read]]="N/A",Table1[[#This Row],[Std Adj Read]]="N/A"),"N/A",IF(Table1[[#This Row],[DUT Adj Read]]="N/A",IF(Table1[[#This Row],[Std Adj Read]]&gt;Table1[[#This Row],[Low Tol]],"Pass","Fail"),IF(Table1[[#This Row],[DUT Adj Read]]&gt;Table1[[#This Row],[Low Tol]],"Pass","Fail")))</f>
        <v>Pass</v>
      </c>
      <c r="AE2452" s="1" t="str">
        <f>IF(AND(Table1[[#This Row],[Spec Type2]]="N/A",Table1[[#This Row],[DUT Adj Read]]="N/A",Table1[[#This Row],[Std Adj Read]]="N/A"),"N/A",IF(Table1[[#This Row],[DUT Adj Read]]="N/A",IF(Table1[[#This Row],[Std Adj Read]]&lt;Table1[[#This Row],[High Tol]],"Pass","Fail"),IF(Table1[[#This Row],[DUT Adj Read]]&lt;Table1[[#This Row],[High Tol]],"Pass","Fail")))</f>
        <v>Fail</v>
      </c>
      <c r="AF2452" s="1" t="str">
        <f>IF(AND(Table1[[#This Row],[Spec Type2]]="N/A",Table1[[#This Row],[DUT Adj Read]]="N/A",Table1[[#This Row],[Std Adj Read]]="N/A"),"N/A",IF(Table1[[#This Row],[DUT Adj Read]]="N/A",IF(Table1[[#This Row],[Std Adj Read]]&gt;=Table1[[#This Row],[Low Tol]],"Pass","Fail"),IF(Table1[[#This Row],[DUT Adj Read]]&gt;=Table1[[#This Row],[Low Tol]],"Pass","Fail")))</f>
        <v>Pass</v>
      </c>
      <c r="AG2452" s="1" t="str">
        <f>IF(AND(Table1[[#This Row],[Spec Type2]]="N/A",Table1[[#This Row],[DUT Adj Read]]="N/A",Table1[[#This Row],[Std Adj Read]]="N/A"),"N/A",IF(Table1[[#This Row],[DUT Adj Read]]="N/A",IF(Table1[[#This Row],[Std Adj Read]]&lt;=Table1[[#This Row],[High Tol]],"Pass","Fail"),IF(Table1[[#This Row],[DUT Adj Read]]&lt;=Table1[[#This Row],[High Tol]],"Pass","Fail")))</f>
        <v>Fail</v>
      </c>
      <c r="AH24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2" s="1" t="b">
        <v>0</v>
      </c>
      <c r="AN2452" s="1" t="b">
        <v>0</v>
      </c>
      <c r="AO2452" s="1" t="b">
        <v>0</v>
      </c>
    </row>
    <row r="2453" spans="1:41" x14ac:dyDescent="0.25">
      <c r="A2453" s="10"/>
      <c r="B2453" s="10"/>
      <c r="C2453" s="10"/>
      <c r="D2453" s="10"/>
      <c r="E2453" s="10"/>
      <c r="F2453" s="10"/>
      <c r="G2453" s="10"/>
      <c r="H2453" s="10"/>
      <c r="I2453" s="1" t="str">
        <f t="shared" si="114"/>
        <v/>
      </c>
      <c r="J2453" s="1" t="s">
        <v>35</v>
      </c>
      <c r="K2453" s="1" t="str">
        <f t="shared" si="115"/>
        <v/>
      </c>
      <c r="L2453" s="1" t="str">
        <f t="shared" si="116"/>
        <v/>
      </c>
      <c r="M2453" s="1">
        <f>IF(OR(Table1[[#This Row],[Std Nom]]="",Table1[[#This Row],[Std Read]]=""),0,Table1[[#This Row],[Std Nom]]-Table1[[#This Row],[Std Read]])</f>
        <v>0</v>
      </c>
      <c r="N2453" s="1">
        <f>IF(Calculations!$F$5="ACCREDITED 17025 WITH UNCERTAINTIES",$N$10,0)</f>
        <v>0</v>
      </c>
      <c r="O2453" s="1" t="str">
        <f>IFERROR(Table1[[#This Row],[Std Nom]]-(_xlfn.XLOOKUP(Table1[[#This Row],[Manufacturer]]&amp;" "&amp;Table1[[#This Row],[Model]],Table13[MFR &amp; MDL],Table13[Tolerance % CW ],"")/100*Table1[[#This Row],[Std Nom]]),"")</f>
        <v/>
      </c>
      <c r="P2453" s="1" t="str">
        <f>IFERROR(Table1[[#This Row],[Std Nom]]+(_xlfn.XLOOKUP(Table1[[#This Row],[Manufacturer]]&amp;" "&amp;Table1[[#This Row],[Model]],Table13[MFR &amp; MDL],Table13[Tolerance % CW ],"")/100*Table1[[#This Row],[Std Nom]]),"")</f>
        <v/>
      </c>
      <c r="Q2453" s="1" t="e">
        <f>Table1[[#This Row],[High Tol]]-Table1[[#This Row],[Low Tol]]</f>
        <v>#VALUE!</v>
      </c>
      <c r="R2453" s="1">
        <f>2*Table1[[#This Row],[Std Error]]</f>
        <v>0</v>
      </c>
      <c r="S2453" s="1" t="str">
        <f>IF(Table1[[#This Row],[High Tol]]="","N/A",IFERROR(ABS(Table1[[#This Row],[Tol Span]]/Table1[[#This Row],[Error Span]]),"N/A"))</f>
        <v>N/A</v>
      </c>
      <c r="T2453" s="1" t="str">
        <f>IF(OR(Table1[[#This Row],[Low Tol]]="",Table1[[#This Row],[High Tol]]=""),"Needs Analysis",IF(Table1[[#This Row],[Ratio]]&gt;=4,"Not Significant",IF(Table1[[#This Row],[Ratio]]&gt;=2,"Semi-Significant","Significant")))</f>
        <v>Needs Analysis</v>
      </c>
      <c r="W2453" s="1">
        <f>IF(Table1[[#This Row],[Cal Type]]&lt;&gt;"ACCREDITED 17025 WITH UNCERTAINTIES",0,"")</f>
        <v>0</v>
      </c>
      <c r="X2453" s="1" t="str">
        <f>IF(Table1[[#This Row],[DUT Read]]="","N/A",Table1[[#This Row],[Std Error]]+Table1[[#This Row],[DUT Read]]+Table1[[#This Row],[DUT Ucty]])</f>
        <v>N/A</v>
      </c>
      <c r="Y2453" s="1" t="str">
        <f>IF(Table1[[#This Row],[Std Read]]="","N/A",Table1[[#This Row],[Std Read]]+Table1[[#This Row],[Std Ucty]])</f>
        <v>N/A</v>
      </c>
      <c r="Z24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3" s="1" t="str">
        <f>IF(Table1[[#This Row],[Spec Type]]="","N/A",Table1[[#This Row],[Spec Type]])</f>
        <v>±</v>
      </c>
      <c r="AC2453" s="1" t="str">
        <f>IF(Table1[[#This Row],[Spec Type2]]="N/A","N/A",IF(AND(Table1[[#This Row],[DUT Adj Read]]&gt;=Table1[[#This Row],[Low Tol]],Table1[[#This Row],[DUT Adj Read]]&lt;=Table1[[#This Row],[High Tol]]),"Pass","Fail"))</f>
        <v>Fail</v>
      </c>
      <c r="AD2453" s="1" t="str">
        <f>IF(AND(Table1[[#This Row],[Spec Type2]]="N/A",Table1[[#This Row],[DUT Adj Read]]="N/A",Table1[[#This Row],[Std Adj Read]]="N/A"),"N/A",IF(Table1[[#This Row],[DUT Adj Read]]="N/A",IF(Table1[[#This Row],[Std Adj Read]]&gt;Table1[[#This Row],[Low Tol]],"Pass","Fail"),IF(Table1[[#This Row],[DUT Adj Read]]&gt;Table1[[#This Row],[Low Tol]],"Pass","Fail")))</f>
        <v>Pass</v>
      </c>
      <c r="AE2453" s="1" t="str">
        <f>IF(AND(Table1[[#This Row],[Spec Type2]]="N/A",Table1[[#This Row],[DUT Adj Read]]="N/A",Table1[[#This Row],[Std Adj Read]]="N/A"),"N/A",IF(Table1[[#This Row],[DUT Adj Read]]="N/A",IF(Table1[[#This Row],[Std Adj Read]]&lt;Table1[[#This Row],[High Tol]],"Pass","Fail"),IF(Table1[[#This Row],[DUT Adj Read]]&lt;Table1[[#This Row],[High Tol]],"Pass","Fail")))</f>
        <v>Fail</v>
      </c>
      <c r="AF2453" s="1" t="str">
        <f>IF(AND(Table1[[#This Row],[Spec Type2]]="N/A",Table1[[#This Row],[DUT Adj Read]]="N/A",Table1[[#This Row],[Std Adj Read]]="N/A"),"N/A",IF(Table1[[#This Row],[DUT Adj Read]]="N/A",IF(Table1[[#This Row],[Std Adj Read]]&gt;=Table1[[#This Row],[Low Tol]],"Pass","Fail"),IF(Table1[[#This Row],[DUT Adj Read]]&gt;=Table1[[#This Row],[Low Tol]],"Pass","Fail")))</f>
        <v>Pass</v>
      </c>
      <c r="AG2453" s="1" t="str">
        <f>IF(AND(Table1[[#This Row],[Spec Type2]]="N/A",Table1[[#This Row],[DUT Adj Read]]="N/A",Table1[[#This Row],[Std Adj Read]]="N/A"),"N/A",IF(Table1[[#This Row],[DUT Adj Read]]="N/A",IF(Table1[[#This Row],[Std Adj Read]]&lt;=Table1[[#This Row],[High Tol]],"Pass","Fail"),IF(Table1[[#This Row],[DUT Adj Read]]&lt;=Table1[[#This Row],[High Tol]],"Pass","Fail")))</f>
        <v>Fail</v>
      </c>
      <c r="AH24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3" s="1" t="b">
        <v>0</v>
      </c>
      <c r="AN2453" s="1" t="b">
        <v>0</v>
      </c>
      <c r="AO2453" s="1" t="b">
        <v>0</v>
      </c>
    </row>
    <row r="2454" spans="1:41" x14ac:dyDescent="0.25">
      <c r="A2454" s="10"/>
      <c r="B2454" s="10"/>
      <c r="C2454" s="10"/>
      <c r="D2454" s="10"/>
      <c r="E2454" s="10"/>
      <c r="F2454" s="10"/>
      <c r="G2454" s="10"/>
      <c r="H2454" s="10"/>
      <c r="I2454" s="1" t="str">
        <f t="shared" si="114"/>
        <v/>
      </c>
      <c r="J2454" s="1" t="s">
        <v>35</v>
      </c>
      <c r="K2454" s="1" t="str">
        <f t="shared" si="115"/>
        <v/>
      </c>
      <c r="L2454" s="1" t="str">
        <f t="shared" si="116"/>
        <v/>
      </c>
      <c r="M2454" s="1">
        <f>IF(OR(Table1[[#This Row],[Std Nom]]="",Table1[[#This Row],[Std Read]]=""),0,Table1[[#This Row],[Std Nom]]-Table1[[#This Row],[Std Read]])</f>
        <v>0</v>
      </c>
      <c r="N2454" s="1">
        <f>IF(Calculations!$F$5="ACCREDITED 17025 WITH UNCERTAINTIES",$N$10,0)</f>
        <v>0</v>
      </c>
      <c r="O2454" s="1" t="str">
        <f>IFERROR(Table1[[#This Row],[Std Nom]]-(_xlfn.XLOOKUP(Table1[[#This Row],[Manufacturer]]&amp;" "&amp;Table1[[#This Row],[Model]],Table13[MFR &amp; MDL],Table13[Tolerance % CW ],"")/100*Table1[[#This Row],[Std Nom]]),"")</f>
        <v/>
      </c>
      <c r="P2454" s="1" t="str">
        <f>IFERROR(Table1[[#This Row],[Std Nom]]+(_xlfn.XLOOKUP(Table1[[#This Row],[Manufacturer]]&amp;" "&amp;Table1[[#This Row],[Model]],Table13[MFR &amp; MDL],Table13[Tolerance % CW ],"")/100*Table1[[#This Row],[Std Nom]]),"")</f>
        <v/>
      </c>
      <c r="Q2454" s="1" t="e">
        <f>Table1[[#This Row],[High Tol]]-Table1[[#This Row],[Low Tol]]</f>
        <v>#VALUE!</v>
      </c>
      <c r="R2454" s="1">
        <f>2*Table1[[#This Row],[Std Error]]</f>
        <v>0</v>
      </c>
      <c r="S2454" s="1" t="str">
        <f>IF(Table1[[#This Row],[High Tol]]="","N/A",IFERROR(ABS(Table1[[#This Row],[Tol Span]]/Table1[[#This Row],[Error Span]]),"N/A"))</f>
        <v>N/A</v>
      </c>
      <c r="T2454" s="1" t="str">
        <f>IF(OR(Table1[[#This Row],[Low Tol]]="",Table1[[#This Row],[High Tol]]=""),"Needs Analysis",IF(Table1[[#This Row],[Ratio]]&gt;=4,"Not Significant",IF(Table1[[#This Row],[Ratio]]&gt;=2,"Semi-Significant","Significant")))</f>
        <v>Needs Analysis</v>
      </c>
      <c r="W2454" s="1">
        <f>IF(Table1[[#This Row],[Cal Type]]&lt;&gt;"ACCREDITED 17025 WITH UNCERTAINTIES",0,"")</f>
        <v>0</v>
      </c>
      <c r="X2454" s="1" t="str">
        <f>IF(Table1[[#This Row],[DUT Read]]="","N/A",Table1[[#This Row],[Std Error]]+Table1[[#This Row],[DUT Read]]+Table1[[#This Row],[DUT Ucty]])</f>
        <v>N/A</v>
      </c>
      <c r="Y2454" s="1" t="str">
        <f>IF(Table1[[#This Row],[Std Read]]="","N/A",Table1[[#This Row],[Std Read]]+Table1[[#This Row],[Std Ucty]])</f>
        <v>N/A</v>
      </c>
      <c r="Z24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4" s="1" t="str">
        <f>IF(Table1[[#This Row],[Spec Type]]="","N/A",Table1[[#This Row],[Spec Type]])</f>
        <v>±</v>
      </c>
      <c r="AC2454" s="1" t="str">
        <f>IF(Table1[[#This Row],[Spec Type2]]="N/A","N/A",IF(AND(Table1[[#This Row],[DUT Adj Read]]&gt;=Table1[[#This Row],[Low Tol]],Table1[[#This Row],[DUT Adj Read]]&lt;=Table1[[#This Row],[High Tol]]),"Pass","Fail"))</f>
        <v>Fail</v>
      </c>
      <c r="AD2454" s="1" t="str">
        <f>IF(AND(Table1[[#This Row],[Spec Type2]]="N/A",Table1[[#This Row],[DUT Adj Read]]="N/A",Table1[[#This Row],[Std Adj Read]]="N/A"),"N/A",IF(Table1[[#This Row],[DUT Adj Read]]="N/A",IF(Table1[[#This Row],[Std Adj Read]]&gt;Table1[[#This Row],[Low Tol]],"Pass","Fail"),IF(Table1[[#This Row],[DUT Adj Read]]&gt;Table1[[#This Row],[Low Tol]],"Pass","Fail")))</f>
        <v>Pass</v>
      </c>
      <c r="AE2454" s="1" t="str">
        <f>IF(AND(Table1[[#This Row],[Spec Type2]]="N/A",Table1[[#This Row],[DUT Adj Read]]="N/A",Table1[[#This Row],[Std Adj Read]]="N/A"),"N/A",IF(Table1[[#This Row],[DUT Adj Read]]="N/A",IF(Table1[[#This Row],[Std Adj Read]]&lt;Table1[[#This Row],[High Tol]],"Pass","Fail"),IF(Table1[[#This Row],[DUT Adj Read]]&lt;Table1[[#This Row],[High Tol]],"Pass","Fail")))</f>
        <v>Fail</v>
      </c>
      <c r="AF2454" s="1" t="str">
        <f>IF(AND(Table1[[#This Row],[Spec Type2]]="N/A",Table1[[#This Row],[DUT Adj Read]]="N/A",Table1[[#This Row],[Std Adj Read]]="N/A"),"N/A",IF(Table1[[#This Row],[DUT Adj Read]]="N/A",IF(Table1[[#This Row],[Std Adj Read]]&gt;=Table1[[#This Row],[Low Tol]],"Pass","Fail"),IF(Table1[[#This Row],[DUT Adj Read]]&gt;=Table1[[#This Row],[Low Tol]],"Pass","Fail")))</f>
        <v>Pass</v>
      </c>
      <c r="AG2454" s="1" t="str">
        <f>IF(AND(Table1[[#This Row],[Spec Type2]]="N/A",Table1[[#This Row],[DUT Adj Read]]="N/A",Table1[[#This Row],[Std Adj Read]]="N/A"),"N/A",IF(Table1[[#This Row],[DUT Adj Read]]="N/A",IF(Table1[[#This Row],[Std Adj Read]]&lt;=Table1[[#This Row],[High Tol]],"Pass","Fail"),IF(Table1[[#This Row],[DUT Adj Read]]&lt;=Table1[[#This Row],[High Tol]],"Pass","Fail")))</f>
        <v>Fail</v>
      </c>
      <c r="AH24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4" s="1" t="b">
        <v>0</v>
      </c>
      <c r="AN2454" s="1" t="b">
        <v>0</v>
      </c>
      <c r="AO2454" s="1" t="b">
        <v>0</v>
      </c>
    </row>
    <row r="2455" spans="1:41" x14ac:dyDescent="0.25">
      <c r="A2455" s="10"/>
      <c r="B2455" s="10"/>
      <c r="C2455" s="10"/>
      <c r="D2455" s="10"/>
      <c r="E2455" s="10"/>
      <c r="F2455" s="10"/>
      <c r="G2455" s="10"/>
      <c r="H2455" s="10"/>
      <c r="I2455" s="1" t="str">
        <f t="shared" si="114"/>
        <v/>
      </c>
      <c r="J2455" s="1" t="s">
        <v>35</v>
      </c>
      <c r="K2455" s="1" t="str">
        <f t="shared" si="115"/>
        <v/>
      </c>
      <c r="L2455" s="1" t="str">
        <f t="shared" si="116"/>
        <v/>
      </c>
      <c r="M2455" s="1">
        <f>IF(OR(Table1[[#This Row],[Std Nom]]="",Table1[[#This Row],[Std Read]]=""),0,Table1[[#This Row],[Std Nom]]-Table1[[#This Row],[Std Read]])</f>
        <v>0</v>
      </c>
      <c r="N2455" s="1">
        <f>IF(Calculations!$F$5="ACCREDITED 17025 WITH UNCERTAINTIES",$N$10,0)</f>
        <v>0</v>
      </c>
      <c r="O2455" s="1" t="str">
        <f>IFERROR(Table1[[#This Row],[Std Nom]]-(_xlfn.XLOOKUP(Table1[[#This Row],[Manufacturer]]&amp;" "&amp;Table1[[#This Row],[Model]],Table13[MFR &amp; MDL],Table13[Tolerance % CW ],"")/100*Table1[[#This Row],[Std Nom]]),"")</f>
        <v/>
      </c>
      <c r="P2455" s="1" t="str">
        <f>IFERROR(Table1[[#This Row],[Std Nom]]+(_xlfn.XLOOKUP(Table1[[#This Row],[Manufacturer]]&amp;" "&amp;Table1[[#This Row],[Model]],Table13[MFR &amp; MDL],Table13[Tolerance % CW ],"")/100*Table1[[#This Row],[Std Nom]]),"")</f>
        <v/>
      </c>
      <c r="Q2455" s="1" t="e">
        <f>Table1[[#This Row],[High Tol]]-Table1[[#This Row],[Low Tol]]</f>
        <v>#VALUE!</v>
      </c>
      <c r="R2455" s="1">
        <f>2*Table1[[#This Row],[Std Error]]</f>
        <v>0</v>
      </c>
      <c r="S2455" s="1" t="str">
        <f>IF(Table1[[#This Row],[High Tol]]="","N/A",IFERROR(ABS(Table1[[#This Row],[Tol Span]]/Table1[[#This Row],[Error Span]]),"N/A"))</f>
        <v>N/A</v>
      </c>
      <c r="T2455" s="1" t="str">
        <f>IF(OR(Table1[[#This Row],[Low Tol]]="",Table1[[#This Row],[High Tol]]=""),"Needs Analysis",IF(Table1[[#This Row],[Ratio]]&gt;=4,"Not Significant",IF(Table1[[#This Row],[Ratio]]&gt;=2,"Semi-Significant","Significant")))</f>
        <v>Needs Analysis</v>
      </c>
      <c r="W2455" s="1">
        <f>IF(Table1[[#This Row],[Cal Type]]&lt;&gt;"ACCREDITED 17025 WITH UNCERTAINTIES",0,"")</f>
        <v>0</v>
      </c>
      <c r="X2455" s="1" t="str">
        <f>IF(Table1[[#This Row],[DUT Read]]="","N/A",Table1[[#This Row],[Std Error]]+Table1[[#This Row],[DUT Read]]+Table1[[#This Row],[DUT Ucty]])</f>
        <v>N/A</v>
      </c>
      <c r="Y2455" s="1" t="str">
        <f>IF(Table1[[#This Row],[Std Read]]="","N/A",Table1[[#This Row],[Std Read]]+Table1[[#This Row],[Std Ucty]])</f>
        <v>N/A</v>
      </c>
      <c r="Z24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5" s="1" t="str">
        <f>IF(Table1[[#This Row],[Spec Type]]="","N/A",Table1[[#This Row],[Spec Type]])</f>
        <v>±</v>
      </c>
      <c r="AC2455" s="1" t="str">
        <f>IF(Table1[[#This Row],[Spec Type2]]="N/A","N/A",IF(AND(Table1[[#This Row],[DUT Adj Read]]&gt;=Table1[[#This Row],[Low Tol]],Table1[[#This Row],[DUT Adj Read]]&lt;=Table1[[#This Row],[High Tol]]),"Pass","Fail"))</f>
        <v>Fail</v>
      </c>
      <c r="AD2455" s="1" t="str">
        <f>IF(AND(Table1[[#This Row],[Spec Type2]]="N/A",Table1[[#This Row],[DUT Adj Read]]="N/A",Table1[[#This Row],[Std Adj Read]]="N/A"),"N/A",IF(Table1[[#This Row],[DUT Adj Read]]="N/A",IF(Table1[[#This Row],[Std Adj Read]]&gt;Table1[[#This Row],[Low Tol]],"Pass","Fail"),IF(Table1[[#This Row],[DUT Adj Read]]&gt;Table1[[#This Row],[Low Tol]],"Pass","Fail")))</f>
        <v>Pass</v>
      </c>
      <c r="AE2455" s="1" t="str">
        <f>IF(AND(Table1[[#This Row],[Spec Type2]]="N/A",Table1[[#This Row],[DUT Adj Read]]="N/A",Table1[[#This Row],[Std Adj Read]]="N/A"),"N/A",IF(Table1[[#This Row],[DUT Adj Read]]="N/A",IF(Table1[[#This Row],[Std Adj Read]]&lt;Table1[[#This Row],[High Tol]],"Pass","Fail"),IF(Table1[[#This Row],[DUT Adj Read]]&lt;Table1[[#This Row],[High Tol]],"Pass","Fail")))</f>
        <v>Fail</v>
      </c>
      <c r="AF2455" s="1" t="str">
        <f>IF(AND(Table1[[#This Row],[Spec Type2]]="N/A",Table1[[#This Row],[DUT Adj Read]]="N/A",Table1[[#This Row],[Std Adj Read]]="N/A"),"N/A",IF(Table1[[#This Row],[DUT Adj Read]]="N/A",IF(Table1[[#This Row],[Std Adj Read]]&gt;=Table1[[#This Row],[Low Tol]],"Pass","Fail"),IF(Table1[[#This Row],[DUT Adj Read]]&gt;=Table1[[#This Row],[Low Tol]],"Pass","Fail")))</f>
        <v>Pass</v>
      </c>
      <c r="AG2455" s="1" t="str">
        <f>IF(AND(Table1[[#This Row],[Spec Type2]]="N/A",Table1[[#This Row],[DUT Adj Read]]="N/A",Table1[[#This Row],[Std Adj Read]]="N/A"),"N/A",IF(Table1[[#This Row],[DUT Adj Read]]="N/A",IF(Table1[[#This Row],[Std Adj Read]]&lt;=Table1[[#This Row],[High Tol]],"Pass","Fail"),IF(Table1[[#This Row],[DUT Adj Read]]&lt;=Table1[[#This Row],[High Tol]],"Pass","Fail")))</f>
        <v>Fail</v>
      </c>
      <c r="AH24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5" s="1" t="b">
        <v>0</v>
      </c>
      <c r="AN2455" s="1" t="b">
        <v>0</v>
      </c>
      <c r="AO2455" s="1" t="b">
        <v>0</v>
      </c>
    </row>
    <row r="2456" spans="1:41" x14ac:dyDescent="0.25">
      <c r="A2456" s="10"/>
      <c r="B2456" s="10"/>
      <c r="C2456" s="10"/>
      <c r="D2456" s="10"/>
      <c r="E2456" s="10"/>
      <c r="F2456" s="10"/>
      <c r="G2456" s="10"/>
      <c r="H2456" s="10"/>
      <c r="I2456" s="1" t="str">
        <f t="shared" si="114"/>
        <v/>
      </c>
      <c r="J2456" s="1" t="s">
        <v>35</v>
      </c>
      <c r="K2456" s="1" t="str">
        <f t="shared" si="115"/>
        <v/>
      </c>
      <c r="L2456" s="1" t="str">
        <f t="shared" si="116"/>
        <v/>
      </c>
      <c r="M2456" s="1">
        <f>IF(OR(Table1[[#This Row],[Std Nom]]="",Table1[[#This Row],[Std Read]]=""),0,Table1[[#This Row],[Std Nom]]-Table1[[#This Row],[Std Read]])</f>
        <v>0</v>
      </c>
      <c r="N2456" s="1">
        <f>IF(Calculations!$F$5="ACCREDITED 17025 WITH UNCERTAINTIES",$N$10,0)</f>
        <v>0</v>
      </c>
      <c r="O2456" s="1" t="str">
        <f>IFERROR(Table1[[#This Row],[Std Nom]]-(_xlfn.XLOOKUP(Table1[[#This Row],[Manufacturer]]&amp;" "&amp;Table1[[#This Row],[Model]],Table13[MFR &amp; MDL],Table13[Tolerance % CW ],"")/100*Table1[[#This Row],[Std Nom]]),"")</f>
        <v/>
      </c>
      <c r="P2456" s="1" t="str">
        <f>IFERROR(Table1[[#This Row],[Std Nom]]+(_xlfn.XLOOKUP(Table1[[#This Row],[Manufacturer]]&amp;" "&amp;Table1[[#This Row],[Model]],Table13[MFR &amp; MDL],Table13[Tolerance % CW ],"")/100*Table1[[#This Row],[Std Nom]]),"")</f>
        <v/>
      </c>
      <c r="Q2456" s="1" t="e">
        <f>Table1[[#This Row],[High Tol]]-Table1[[#This Row],[Low Tol]]</f>
        <v>#VALUE!</v>
      </c>
      <c r="R2456" s="1">
        <f>2*Table1[[#This Row],[Std Error]]</f>
        <v>0</v>
      </c>
      <c r="S2456" s="1" t="str">
        <f>IF(Table1[[#This Row],[High Tol]]="","N/A",IFERROR(ABS(Table1[[#This Row],[Tol Span]]/Table1[[#This Row],[Error Span]]),"N/A"))</f>
        <v>N/A</v>
      </c>
      <c r="T2456" s="1" t="str">
        <f>IF(OR(Table1[[#This Row],[Low Tol]]="",Table1[[#This Row],[High Tol]]=""),"Needs Analysis",IF(Table1[[#This Row],[Ratio]]&gt;=4,"Not Significant",IF(Table1[[#This Row],[Ratio]]&gt;=2,"Semi-Significant","Significant")))</f>
        <v>Needs Analysis</v>
      </c>
      <c r="W2456" s="1">
        <f>IF(Table1[[#This Row],[Cal Type]]&lt;&gt;"ACCREDITED 17025 WITH UNCERTAINTIES",0,"")</f>
        <v>0</v>
      </c>
      <c r="X2456" s="1" t="str">
        <f>IF(Table1[[#This Row],[DUT Read]]="","N/A",Table1[[#This Row],[Std Error]]+Table1[[#This Row],[DUT Read]]+Table1[[#This Row],[DUT Ucty]])</f>
        <v>N/A</v>
      </c>
      <c r="Y2456" s="1" t="str">
        <f>IF(Table1[[#This Row],[Std Read]]="","N/A",Table1[[#This Row],[Std Read]]+Table1[[#This Row],[Std Ucty]])</f>
        <v>N/A</v>
      </c>
      <c r="Z24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6" s="1" t="str">
        <f>IF(Table1[[#This Row],[Spec Type]]="","N/A",Table1[[#This Row],[Spec Type]])</f>
        <v>±</v>
      </c>
      <c r="AC2456" s="1" t="str">
        <f>IF(Table1[[#This Row],[Spec Type2]]="N/A","N/A",IF(AND(Table1[[#This Row],[DUT Adj Read]]&gt;=Table1[[#This Row],[Low Tol]],Table1[[#This Row],[DUT Adj Read]]&lt;=Table1[[#This Row],[High Tol]]),"Pass","Fail"))</f>
        <v>Fail</v>
      </c>
      <c r="AD2456" s="1" t="str">
        <f>IF(AND(Table1[[#This Row],[Spec Type2]]="N/A",Table1[[#This Row],[DUT Adj Read]]="N/A",Table1[[#This Row],[Std Adj Read]]="N/A"),"N/A",IF(Table1[[#This Row],[DUT Adj Read]]="N/A",IF(Table1[[#This Row],[Std Adj Read]]&gt;Table1[[#This Row],[Low Tol]],"Pass","Fail"),IF(Table1[[#This Row],[DUT Adj Read]]&gt;Table1[[#This Row],[Low Tol]],"Pass","Fail")))</f>
        <v>Pass</v>
      </c>
      <c r="AE2456" s="1" t="str">
        <f>IF(AND(Table1[[#This Row],[Spec Type2]]="N/A",Table1[[#This Row],[DUT Adj Read]]="N/A",Table1[[#This Row],[Std Adj Read]]="N/A"),"N/A",IF(Table1[[#This Row],[DUT Adj Read]]="N/A",IF(Table1[[#This Row],[Std Adj Read]]&lt;Table1[[#This Row],[High Tol]],"Pass","Fail"),IF(Table1[[#This Row],[DUT Adj Read]]&lt;Table1[[#This Row],[High Tol]],"Pass","Fail")))</f>
        <v>Fail</v>
      </c>
      <c r="AF2456" s="1" t="str">
        <f>IF(AND(Table1[[#This Row],[Spec Type2]]="N/A",Table1[[#This Row],[DUT Adj Read]]="N/A",Table1[[#This Row],[Std Adj Read]]="N/A"),"N/A",IF(Table1[[#This Row],[DUT Adj Read]]="N/A",IF(Table1[[#This Row],[Std Adj Read]]&gt;=Table1[[#This Row],[Low Tol]],"Pass","Fail"),IF(Table1[[#This Row],[DUT Adj Read]]&gt;=Table1[[#This Row],[Low Tol]],"Pass","Fail")))</f>
        <v>Pass</v>
      </c>
      <c r="AG2456" s="1" t="str">
        <f>IF(AND(Table1[[#This Row],[Spec Type2]]="N/A",Table1[[#This Row],[DUT Adj Read]]="N/A",Table1[[#This Row],[Std Adj Read]]="N/A"),"N/A",IF(Table1[[#This Row],[DUT Adj Read]]="N/A",IF(Table1[[#This Row],[Std Adj Read]]&lt;=Table1[[#This Row],[High Tol]],"Pass","Fail"),IF(Table1[[#This Row],[DUT Adj Read]]&lt;=Table1[[#This Row],[High Tol]],"Pass","Fail")))</f>
        <v>Fail</v>
      </c>
      <c r="AH24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6" s="1" t="b">
        <v>0</v>
      </c>
      <c r="AN2456" s="1" t="b">
        <v>0</v>
      </c>
      <c r="AO2456" s="1" t="b">
        <v>0</v>
      </c>
    </row>
    <row r="2457" spans="1:41" x14ac:dyDescent="0.25">
      <c r="A2457" s="10"/>
      <c r="B2457" s="10"/>
      <c r="C2457" s="10"/>
      <c r="D2457" s="10"/>
      <c r="E2457" s="10"/>
      <c r="F2457" s="10"/>
      <c r="G2457" s="10"/>
      <c r="H2457" s="10"/>
      <c r="I2457" s="1" t="str">
        <f t="shared" si="114"/>
        <v/>
      </c>
      <c r="J2457" s="1" t="s">
        <v>35</v>
      </c>
      <c r="K2457" s="1" t="str">
        <f t="shared" si="115"/>
        <v/>
      </c>
      <c r="L2457" s="1" t="str">
        <f t="shared" si="116"/>
        <v/>
      </c>
      <c r="M2457" s="1">
        <f>IF(OR(Table1[[#This Row],[Std Nom]]="",Table1[[#This Row],[Std Read]]=""),0,Table1[[#This Row],[Std Nom]]-Table1[[#This Row],[Std Read]])</f>
        <v>0</v>
      </c>
      <c r="N2457" s="1">
        <f>IF(Calculations!$F$5="ACCREDITED 17025 WITH UNCERTAINTIES",$N$10,0)</f>
        <v>0</v>
      </c>
      <c r="O2457" s="1" t="str">
        <f>IFERROR(Table1[[#This Row],[Std Nom]]-(_xlfn.XLOOKUP(Table1[[#This Row],[Manufacturer]]&amp;" "&amp;Table1[[#This Row],[Model]],Table13[MFR &amp; MDL],Table13[Tolerance % CW ],"")/100*Table1[[#This Row],[Std Nom]]),"")</f>
        <v/>
      </c>
      <c r="P2457" s="1" t="str">
        <f>IFERROR(Table1[[#This Row],[Std Nom]]+(_xlfn.XLOOKUP(Table1[[#This Row],[Manufacturer]]&amp;" "&amp;Table1[[#This Row],[Model]],Table13[MFR &amp; MDL],Table13[Tolerance % CW ],"")/100*Table1[[#This Row],[Std Nom]]),"")</f>
        <v/>
      </c>
      <c r="Q2457" s="1" t="e">
        <f>Table1[[#This Row],[High Tol]]-Table1[[#This Row],[Low Tol]]</f>
        <v>#VALUE!</v>
      </c>
      <c r="R2457" s="1">
        <f>2*Table1[[#This Row],[Std Error]]</f>
        <v>0</v>
      </c>
      <c r="S2457" s="1" t="str">
        <f>IF(Table1[[#This Row],[High Tol]]="","N/A",IFERROR(ABS(Table1[[#This Row],[Tol Span]]/Table1[[#This Row],[Error Span]]),"N/A"))</f>
        <v>N/A</v>
      </c>
      <c r="T2457" s="1" t="str">
        <f>IF(OR(Table1[[#This Row],[Low Tol]]="",Table1[[#This Row],[High Tol]]=""),"Needs Analysis",IF(Table1[[#This Row],[Ratio]]&gt;=4,"Not Significant",IF(Table1[[#This Row],[Ratio]]&gt;=2,"Semi-Significant","Significant")))</f>
        <v>Needs Analysis</v>
      </c>
      <c r="W2457" s="1">
        <f>IF(Table1[[#This Row],[Cal Type]]&lt;&gt;"ACCREDITED 17025 WITH UNCERTAINTIES",0,"")</f>
        <v>0</v>
      </c>
      <c r="X2457" s="1" t="str">
        <f>IF(Table1[[#This Row],[DUT Read]]="","N/A",Table1[[#This Row],[Std Error]]+Table1[[#This Row],[DUT Read]]+Table1[[#This Row],[DUT Ucty]])</f>
        <v>N/A</v>
      </c>
      <c r="Y2457" s="1" t="str">
        <f>IF(Table1[[#This Row],[Std Read]]="","N/A",Table1[[#This Row],[Std Read]]+Table1[[#This Row],[Std Ucty]])</f>
        <v>N/A</v>
      </c>
      <c r="Z24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7" s="1" t="str">
        <f>IF(Table1[[#This Row],[Spec Type]]="","N/A",Table1[[#This Row],[Spec Type]])</f>
        <v>±</v>
      </c>
      <c r="AC2457" s="1" t="str">
        <f>IF(Table1[[#This Row],[Spec Type2]]="N/A","N/A",IF(AND(Table1[[#This Row],[DUT Adj Read]]&gt;=Table1[[#This Row],[Low Tol]],Table1[[#This Row],[DUT Adj Read]]&lt;=Table1[[#This Row],[High Tol]]),"Pass","Fail"))</f>
        <v>Fail</v>
      </c>
      <c r="AD2457" s="1" t="str">
        <f>IF(AND(Table1[[#This Row],[Spec Type2]]="N/A",Table1[[#This Row],[DUT Adj Read]]="N/A",Table1[[#This Row],[Std Adj Read]]="N/A"),"N/A",IF(Table1[[#This Row],[DUT Adj Read]]="N/A",IF(Table1[[#This Row],[Std Adj Read]]&gt;Table1[[#This Row],[Low Tol]],"Pass","Fail"),IF(Table1[[#This Row],[DUT Adj Read]]&gt;Table1[[#This Row],[Low Tol]],"Pass","Fail")))</f>
        <v>Pass</v>
      </c>
      <c r="AE2457" s="1" t="str">
        <f>IF(AND(Table1[[#This Row],[Spec Type2]]="N/A",Table1[[#This Row],[DUT Adj Read]]="N/A",Table1[[#This Row],[Std Adj Read]]="N/A"),"N/A",IF(Table1[[#This Row],[DUT Adj Read]]="N/A",IF(Table1[[#This Row],[Std Adj Read]]&lt;Table1[[#This Row],[High Tol]],"Pass","Fail"),IF(Table1[[#This Row],[DUT Adj Read]]&lt;Table1[[#This Row],[High Tol]],"Pass","Fail")))</f>
        <v>Fail</v>
      </c>
      <c r="AF2457" s="1" t="str">
        <f>IF(AND(Table1[[#This Row],[Spec Type2]]="N/A",Table1[[#This Row],[DUT Adj Read]]="N/A",Table1[[#This Row],[Std Adj Read]]="N/A"),"N/A",IF(Table1[[#This Row],[DUT Adj Read]]="N/A",IF(Table1[[#This Row],[Std Adj Read]]&gt;=Table1[[#This Row],[Low Tol]],"Pass","Fail"),IF(Table1[[#This Row],[DUT Adj Read]]&gt;=Table1[[#This Row],[Low Tol]],"Pass","Fail")))</f>
        <v>Pass</v>
      </c>
      <c r="AG2457" s="1" t="str">
        <f>IF(AND(Table1[[#This Row],[Spec Type2]]="N/A",Table1[[#This Row],[DUT Adj Read]]="N/A",Table1[[#This Row],[Std Adj Read]]="N/A"),"N/A",IF(Table1[[#This Row],[DUT Adj Read]]="N/A",IF(Table1[[#This Row],[Std Adj Read]]&lt;=Table1[[#This Row],[High Tol]],"Pass","Fail"),IF(Table1[[#This Row],[DUT Adj Read]]&lt;=Table1[[#This Row],[High Tol]],"Pass","Fail")))</f>
        <v>Fail</v>
      </c>
      <c r="AH24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7" s="1" t="b">
        <v>0</v>
      </c>
      <c r="AN2457" s="1" t="b">
        <v>0</v>
      </c>
      <c r="AO2457" s="1" t="b">
        <v>0</v>
      </c>
    </row>
    <row r="2458" spans="1:41" x14ac:dyDescent="0.25">
      <c r="A2458" s="10"/>
      <c r="B2458" s="10"/>
      <c r="C2458" s="10"/>
      <c r="D2458" s="10"/>
      <c r="E2458" s="10"/>
      <c r="F2458" s="10"/>
      <c r="G2458" s="10"/>
      <c r="H2458" s="10"/>
      <c r="I2458" s="1" t="str">
        <f t="shared" si="114"/>
        <v/>
      </c>
      <c r="J2458" s="1" t="s">
        <v>35</v>
      </c>
      <c r="K2458" s="1" t="str">
        <f t="shared" si="115"/>
        <v/>
      </c>
      <c r="L2458" s="1" t="str">
        <f t="shared" si="116"/>
        <v/>
      </c>
      <c r="M2458" s="1">
        <f>IF(OR(Table1[[#This Row],[Std Nom]]="",Table1[[#This Row],[Std Read]]=""),0,Table1[[#This Row],[Std Nom]]-Table1[[#This Row],[Std Read]])</f>
        <v>0</v>
      </c>
      <c r="N2458" s="1">
        <f>IF(Calculations!$F$5="ACCREDITED 17025 WITH UNCERTAINTIES",$N$10,0)</f>
        <v>0</v>
      </c>
      <c r="O2458" s="1" t="str">
        <f>IFERROR(Table1[[#This Row],[Std Nom]]-(_xlfn.XLOOKUP(Table1[[#This Row],[Manufacturer]]&amp;" "&amp;Table1[[#This Row],[Model]],Table13[MFR &amp; MDL],Table13[Tolerance % CW ],"")/100*Table1[[#This Row],[Std Nom]]),"")</f>
        <v/>
      </c>
      <c r="P2458" s="1" t="str">
        <f>IFERROR(Table1[[#This Row],[Std Nom]]+(_xlfn.XLOOKUP(Table1[[#This Row],[Manufacturer]]&amp;" "&amp;Table1[[#This Row],[Model]],Table13[MFR &amp; MDL],Table13[Tolerance % CW ],"")/100*Table1[[#This Row],[Std Nom]]),"")</f>
        <v/>
      </c>
      <c r="Q2458" s="1" t="e">
        <f>Table1[[#This Row],[High Tol]]-Table1[[#This Row],[Low Tol]]</f>
        <v>#VALUE!</v>
      </c>
      <c r="R2458" s="1">
        <f>2*Table1[[#This Row],[Std Error]]</f>
        <v>0</v>
      </c>
      <c r="S2458" s="1" t="str">
        <f>IF(Table1[[#This Row],[High Tol]]="","N/A",IFERROR(ABS(Table1[[#This Row],[Tol Span]]/Table1[[#This Row],[Error Span]]),"N/A"))</f>
        <v>N/A</v>
      </c>
      <c r="T2458" s="1" t="str">
        <f>IF(OR(Table1[[#This Row],[Low Tol]]="",Table1[[#This Row],[High Tol]]=""),"Needs Analysis",IF(Table1[[#This Row],[Ratio]]&gt;=4,"Not Significant",IF(Table1[[#This Row],[Ratio]]&gt;=2,"Semi-Significant","Significant")))</f>
        <v>Needs Analysis</v>
      </c>
      <c r="W2458" s="1">
        <f>IF(Table1[[#This Row],[Cal Type]]&lt;&gt;"ACCREDITED 17025 WITH UNCERTAINTIES",0,"")</f>
        <v>0</v>
      </c>
      <c r="X2458" s="1" t="str">
        <f>IF(Table1[[#This Row],[DUT Read]]="","N/A",Table1[[#This Row],[Std Error]]+Table1[[#This Row],[DUT Read]]+Table1[[#This Row],[DUT Ucty]])</f>
        <v>N/A</v>
      </c>
      <c r="Y2458" s="1" t="str">
        <f>IF(Table1[[#This Row],[Std Read]]="","N/A",Table1[[#This Row],[Std Read]]+Table1[[#This Row],[Std Ucty]])</f>
        <v>N/A</v>
      </c>
      <c r="Z24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8" s="1" t="str">
        <f>IF(Table1[[#This Row],[Spec Type]]="","N/A",Table1[[#This Row],[Spec Type]])</f>
        <v>±</v>
      </c>
      <c r="AC2458" s="1" t="str">
        <f>IF(Table1[[#This Row],[Spec Type2]]="N/A","N/A",IF(AND(Table1[[#This Row],[DUT Adj Read]]&gt;=Table1[[#This Row],[Low Tol]],Table1[[#This Row],[DUT Adj Read]]&lt;=Table1[[#This Row],[High Tol]]),"Pass","Fail"))</f>
        <v>Fail</v>
      </c>
      <c r="AD2458" s="1" t="str">
        <f>IF(AND(Table1[[#This Row],[Spec Type2]]="N/A",Table1[[#This Row],[DUT Adj Read]]="N/A",Table1[[#This Row],[Std Adj Read]]="N/A"),"N/A",IF(Table1[[#This Row],[DUT Adj Read]]="N/A",IF(Table1[[#This Row],[Std Adj Read]]&gt;Table1[[#This Row],[Low Tol]],"Pass","Fail"),IF(Table1[[#This Row],[DUT Adj Read]]&gt;Table1[[#This Row],[Low Tol]],"Pass","Fail")))</f>
        <v>Pass</v>
      </c>
      <c r="AE2458" s="1" t="str">
        <f>IF(AND(Table1[[#This Row],[Spec Type2]]="N/A",Table1[[#This Row],[DUT Adj Read]]="N/A",Table1[[#This Row],[Std Adj Read]]="N/A"),"N/A",IF(Table1[[#This Row],[DUT Adj Read]]="N/A",IF(Table1[[#This Row],[Std Adj Read]]&lt;Table1[[#This Row],[High Tol]],"Pass","Fail"),IF(Table1[[#This Row],[DUT Adj Read]]&lt;Table1[[#This Row],[High Tol]],"Pass","Fail")))</f>
        <v>Fail</v>
      </c>
      <c r="AF2458" s="1" t="str">
        <f>IF(AND(Table1[[#This Row],[Spec Type2]]="N/A",Table1[[#This Row],[DUT Adj Read]]="N/A",Table1[[#This Row],[Std Adj Read]]="N/A"),"N/A",IF(Table1[[#This Row],[DUT Adj Read]]="N/A",IF(Table1[[#This Row],[Std Adj Read]]&gt;=Table1[[#This Row],[Low Tol]],"Pass","Fail"),IF(Table1[[#This Row],[DUT Adj Read]]&gt;=Table1[[#This Row],[Low Tol]],"Pass","Fail")))</f>
        <v>Pass</v>
      </c>
      <c r="AG2458" s="1" t="str">
        <f>IF(AND(Table1[[#This Row],[Spec Type2]]="N/A",Table1[[#This Row],[DUT Adj Read]]="N/A",Table1[[#This Row],[Std Adj Read]]="N/A"),"N/A",IF(Table1[[#This Row],[DUT Adj Read]]="N/A",IF(Table1[[#This Row],[Std Adj Read]]&lt;=Table1[[#This Row],[High Tol]],"Pass","Fail"),IF(Table1[[#This Row],[DUT Adj Read]]&lt;=Table1[[#This Row],[High Tol]],"Pass","Fail")))</f>
        <v>Fail</v>
      </c>
      <c r="AH24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8" s="1" t="b">
        <v>0</v>
      </c>
      <c r="AN2458" s="1" t="b">
        <v>0</v>
      </c>
      <c r="AO2458" s="1" t="b">
        <v>0</v>
      </c>
    </row>
    <row r="2459" spans="1:41" x14ac:dyDescent="0.25">
      <c r="A2459" s="10"/>
      <c r="B2459" s="10"/>
      <c r="C2459" s="10"/>
      <c r="D2459" s="10"/>
      <c r="E2459" s="10"/>
      <c r="F2459" s="10"/>
      <c r="G2459" s="10"/>
      <c r="H2459" s="10"/>
      <c r="I2459" s="1" t="str">
        <f t="shared" si="114"/>
        <v/>
      </c>
      <c r="J2459" s="1" t="s">
        <v>35</v>
      </c>
      <c r="K2459" s="1" t="str">
        <f t="shared" si="115"/>
        <v/>
      </c>
      <c r="L2459" s="1" t="str">
        <f t="shared" si="116"/>
        <v/>
      </c>
      <c r="M2459" s="1">
        <f>IF(OR(Table1[[#This Row],[Std Nom]]="",Table1[[#This Row],[Std Read]]=""),0,Table1[[#This Row],[Std Nom]]-Table1[[#This Row],[Std Read]])</f>
        <v>0</v>
      </c>
      <c r="N2459" s="1">
        <f>IF(Calculations!$F$5="ACCREDITED 17025 WITH UNCERTAINTIES",$N$10,0)</f>
        <v>0</v>
      </c>
      <c r="O2459" s="1" t="str">
        <f>IFERROR(Table1[[#This Row],[Std Nom]]-(_xlfn.XLOOKUP(Table1[[#This Row],[Manufacturer]]&amp;" "&amp;Table1[[#This Row],[Model]],Table13[MFR &amp; MDL],Table13[Tolerance % CW ],"")/100*Table1[[#This Row],[Std Nom]]),"")</f>
        <v/>
      </c>
      <c r="P2459" s="1" t="str">
        <f>IFERROR(Table1[[#This Row],[Std Nom]]+(_xlfn.XLOOKUP(Table1[[#This Row],[Manufacturer]]&amp;" "&amp;Table1[[#This Row],[Model]],Table13[MFR &amp; MDL],Table13[Tolerance % CW ],"")/100*Table1[[#This Row],[Std Nom]]),"")</f>
        <v/>
      </c>
      <c r="Q2459" s="1" t="e">
        <f>Table1[[#This Row],[High Tol]]-Table1[[#This Row],[Low Tol]]</f>
        <v>#VALUE!</v>
      </c>
      <c r="R2459" s="1">
        <f>2*Table1[[#This Row],[Std Error]]</f>
        <v>0</v>
      </c>
      <c r="S2459" s="1" t="str">
        <f>IF(Table1[[#This Row],[High Tol]]="","N/A",IFERROR(ABS(Table1[[#This Row],[Tol Span]]/Table1[[#This Row],[Error Span]]),"N/A"))</f>
        <v>N/A</v>
      </c>
      <c r="T2459" s="1" t="str">
        <f>IF(OR(Table1[[#This Row],[Low Tol]]="",Table1[[#This Row],[High Tol]]=""),"Needs Analysis",IF(Table1[[#This Row],[Ratio]]&gt;=4,"Not Significant",IF(Table1[[#This Row],[Ratio]]&gt;=2,"Semi-Significant","Significant")))</f>
        <v>Needs Analysis</v>
      </c>
      <c r="W2459" s="1">
        <f>IF(Table1[[#This Row],[Cal Type]]&lt;&gt;"ACCREDITED 17025 WITH UNCERTAINTIES",0,"")</f>
        <v>0</v>
      </c>
      <c r="X2459" s="1" t="str">
        <f>IF(Table1[[#This Row],[DUT Read]]="","N/A",Table1[[#This Row],[Std Error]]+Table1[[#This Row],[DUT Read]]+Table1[[#This Row],[DUT Ucty]])</f>
        <v>N/A</v>
      </c>
      <c r="Y2459" s="1" t="str">
        <f>IF(Table1[[#This Row],[Std Read]]="","N/A",Table1[[#This Row],[Std Read]]+Table1[[#This Row],[Std Ucty]])</f>
        <v>N/A</v>
      </c>
      <c r="Z24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9" s="1" t="str">
        <f>IF(Table1[[#This Row],[Spec Type]]="","N/A",Table1[[#This Row],[Spec Type]])</f>
        <v>±</v>
      </c>
      <c r="AC2459" s="1" t="str">
        <f>IF(Table1[[#This Row],[Spec Type2]]="N/A","N/A",IF(AND(Table1[[#This Row],[DUT Adj Read]]&gt;=Table1[[#This Row],[Low Tol]],Table1[[#This Row],[DUT Adj Read]]&lt;=Table1[[#This Row],[High Tol]]),"Pass","Fail"))</f>
        <v>Fail</v>
      </c>
      <c r="AD2459" s="1" t="str">
        <f>IF(AND(Table1[[#This Row],[Spec Type2]]="N/A",Table1[[#This Row],[DUT Adj Read]]="N/A",Table1[[#This Row],[Std Adj Read]]="N/A"),"N/A",IF(Table1[[#This Row],[DUT Adj Read]]="N/A",IF(Table1[[#This Row],[Std Adj Read]]&gt;Table1[[#This Row],[Low Tol]],"Pass","Fail"),IF(Table1[[#This Row],[DUT Adj Read]]&gt;Table1[[#This Row],[Low Tol]],"Pass","Fail")))</f>
        <v>Pass</v>
      </c>
      <c r="AE2459" s="1" t="str">
        <f>IF(AND(Table1[[#This Row],[Spec Type2]]="N/A",Table1[[#This Row],[DUT Adj Read]]="N/A",Table1[[#This Row],[Std Adj Read]]="N/A"),"N/A",IF(Table1[[#This Row],[DUT Adj Read]]="N/A",IF(Table1[[#This Row],[Std Adj Read]]&lt;Table1[[#This Row],[High Tol]],"Pass","Fail"),IF(Table1[[#This Row],[DUT Adj Read]]&lt;Table1[[#This Row],[High Tol]],"Pass","Fail")))</f>
        <v>Fail</v>
      </c>
      <c r="AF2459" s="1" t="str">
        <f>IF(AND(Table1[[#This Row],[Spec Type2]]="N/A",Table1[[#This Row],[DUT Adj Read]]="N/A",Table1[[#This Row],[Std Adj Read]]="N/A"),"N/A",IF(Table1[[#This Row],[DUT Adj Read]]="N/A",IF(Table1[[#This Row],[Std Adj Read]]&gt;=Table1[[#This Row],[Low Tol]],"Pass","Fail"),IF(Table1[[#This Row],[DUT Adj Read]]&gt;=Table1[[#This Row],[Low Tol]],"Pass","Fail")))</f>
        <v>Pass</v>
      </c>
      <c r="AG2459" s="1" t="str">
        <f>IF(AND(Table1[[#This Row],[Spec Type2]]="N/A",Table1[[#This Row],[DUT Adj Read]]="N/A",Table1[[#This Row],[Std Adj Read]]="N/A"),"N/A",IF(Table1[[#This Row],[DUT Adj Read]]="N/A",IF(Table1[[#This Row],[Std Adj Read]]&lt;=Table1[[#This Row],[High Tol]],"Pass","Fail"),IF(Table1[[#This Row],[DUT Adj Read]]&lt;=Table1[[#This Row],[High Tol]],"Pass","Fail")))</f>
        <v>Fail</v>
      </c>
      <c r="AH24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9" s="1" t="b">
        <v>0</v>
      </c>
      <c r="AN2459" s="1" t="b">
        <v>0</v>
      </c>
      <c r="AO2459" s="1" t="b">
        <v>0</v>
      </c>
    </row>
    <row r="2460" spans="1:41" x14ac:dyDescent="0.25">
      <c r="A2460" s="10"/>
      <c r="B2460" s="10"/>
      <c r="C2460" s="10"/>
      <c r="D2460" s="10"/>
      <c r="E2460" s="10"/>
      <c r="F2460" s="10"/>
      <c r="G2460" s="10"/>
      <c r="H2460" s="10"/>
      <c r="I2460" s="1" t="str">
        <f t="shared" si="114"/>
        <v/>
      </c>
      <c r="J2460" s="1" t="s">
        <v>35</v>
      </c>
      <c r="K2460" s="1" t="str">
        <f t="shared" si="115"/>
        <v/>
      </c>
      <c r="L2460" s="1" t="str">
        <f t="shared" si="116"/>
        <v/>
      </c>
      <c r="M2460" s="1">
        <f>IF(OR(Table1[[#This Row],[Std Nom]]="",Table1[[#This Row],[Std Read]]=""),0,Table1[[#This Row],[Std Nom]]-Table1[[#This Row],[Std Read]])</f>
        <v>0</v>
      </c>
      <c r="N2460" s="1">
        <f>IF(Calculations!$F$5="ACCREDITED 17025 WITH UNCERTAINTIES",$N$10,0)</f>
        <v>0</v>
      </c>
      <c r="O2460" s="1" t="str">
        <f>IFERROR(Table1[[#This Row],[Std Nom]]-(_xlfn.XLOOKUP(Table1[[#This Row],[Manufacturer]]&amp;" "&amp;Table1[[#This Row],[Model]],Table13[MFR &amp; MDL],Table13[Tolerance % CW ],"")/100*Table1[[#This Row],[Std Nom]]),"")</f>
        <v/>
      </c>
      <c r="P2460" s="1" t="str">
        <f>IFERROR(Table1[[#This Row],[Std Nom]]+(_xlfn.XLOOKUP(Table1[[#This Row],[Manufacturer]]&amp;" "&amp;Table1[[#This Row],[Model]],Table13[MFR &amp; MDL],Table13[Tolerance % CW ],"")/100*Table1[[#This Row],[Std Nom]]),"")</f>
        <v/>
      </c>
      <c r="Q2460" s="1" t="e">
        <f>Table1[[#This Row],[High Tol]]-Table1[[#This Row],[Low Tol]]</f>
        <v>#VALUE!</v>
      </c>
      <c r="R2460" s="1">
        <f>2*Table1[[#This Row],[Std Error]]</f>
        <v>0</v>
      </c>
      <c r="S2460" s="1" t="str">
        <f>IF(Table1[[#This Row],[High Tol]]="","N/A",IFERROR(ABS(Table1[[#This Row],[Tol Span]]/Table1[[#This Row],[Error Span]]),"N/A"))</f>
        <v>N/A</v>
      </c>
      <c r="T2460" s="1" t="str">
        <f>IF(OR(Table1[[#This Row],[Low Tol]]="",Table1[[#This Row],[High Tol]]=""),"Needs Analysis",IF(Table1[[#This Row],[Ratio]]&gt;=4,"Not Significant",IF(Table1[[#This Row],[Ratio]]&gt;=2,"Semi-Significant","Significant")))</f>
        <v>Needs Analysis</v>
      </c>
      <c r="W2460" s="1">
        <f>IF(Table1[[#This Row],[Cal Type]]&lt;&gt;"ACCREDITED 17025 WITH UNCERTAINTIES",0,"")</f>
        <v>0</v>
      </c>
      <c r="X2460" s="1" t="str">
        <f>IF(Table1[[#This Row],[DUT Read]]="","N/A",Table1[[#This Row],[Std Error]]+Table1[[#This Row],[DUT Read]]+Table1[[#This Row],[DUT Ucty]])</f>
        <v>N/A</v>
      </c>
      <c r="Y2460" s="1" t="str">
        <f>IF(Table1[[#This Row],[Std Read]]="","N/A",Table1[[#This Row],[Std Read]]+Table1[[#This Row],[Std Ucty]])</f>
        <v>N/A</v>
      </c>
      <c r="Z24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0" s="1" t="str">
        <f>IF(Table1[[#This Row],[Spec Type]]="","N/A",Table1[[#This Row],[Spec Type]])</f>
        <v>±</v>
      </c>
      <c r="AC2460" s="1" t="str">
        <f>IF(Table1[[#This Row],[Spec Type2]]="N/A","N/A",IF(AND(Table1[[#This Row],[DUT Adj Read]]&gt;=Table1[[#This Row],[Low Tol]],Table1[[#This Row],[DUT Adj Read]]&lt;=Table1[[#This Row],[High Tol]]),"Pass","Fail"))</f>
        <v>Fail</v>
      </c>
      <c r="AD2460" s="1" t="str">
        <f>IF(AND(Table1[[#This Row],[Spec Type2]]="N/A",Table1[[#This Row],[DUT Adj Read]]="N/A",Table1[[#This Row],[Std Adj Read]]="N/A"),"N/A",IF(Table1[[#This Row],[DUT Adj Read]]="N/A",IF(Table1[[#This Row],[Std Adj Read]]&gt;Table1[[#This Row],[Low Tol]],"Pass","Fail"),IF(Table1[[#This Row],[DUT Adj Read]]&gt;Table1[[#This Row],[Low Tol]],"Pass","Fail")))</f>
        <v>Pass</v>
      </c>
      <c r="AE2460" s="1" t="str">
        <f>IF(AND(Table1[[#This Row],[Spec Type2]]="N/A",Table1[[#This Row],[DUT Adj Read]]="N/A",Table1[[#This Row],[Std Adj Read]]="N/A"),"N/A",IF(Table1[[#This Row],[DUT Adj Read]]="N/A",IF(Table1[[#This Row],[Std Adj Read]]&lt;Table1[[#This Row],[High Tol]],"Pass","Fail"),IF(Table1[[#This Row],[DUT Adj Read]]&lt;Table1[[#This Row],[High Tol]],"Pass","Fail")))</f>
        <v>Fail</v>
      </c>
      <c r="AF2460" s="1" t="str">
        <f>IF(AND(Table1[[#This Row],[Spec Type2]]="N/A",Table1[[#This Row],[DUT Adj Read]]="N/A",Table1[[#This Row],[Std Adj Read]]="N/A"),"N/A",IF(Table1[[#This Row],[DUT Adj Read]]="N/A",IF(Table1[[#This Row],[Std Adj Read]]&gt;=Table1[[#This Row],[Low Tol]],"Pass","Fail"),IF(Table1[[#This Row],[DUT Adj Read]]&gt;=Table1[[#This Row],[Low Tol]],"Pass","Fail")))</f>
        <v>Pass</v>
      </c>
      <c r="AG2460" s="1" t="str">
        <f>IF(AND(Table1[[#This Row],[Spec Type2]]="N/A",Table1[[#This Row],[DUT Adj Read]]="N/A",Table1[[#This Row],[Std Adj Read]]="N/A"),"N/A",IF(Table1[[#This Row],[DUT Adj Read]]="N/A",IF(Table1[[#This Row],[Std Adj Read]]&lt;=Table1[[#This Row],[High Tol]],"Pass","Fail"),IF(Table1[[#This Row],[DUT Adj Read]]&lt;=Table1[[#This Row],[High Tol]],"Pass","Fail")))</f>
        <v>Fail</v>
      </c>
      <c r="AH24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0" s="1" t="b">
        <v>0</v>
      </c>
      <c r="AN2460" s="1" t="b">
        <v>0</v>
      </c>
      <c r="AO2460" s="1" t="b">
        <v>0</v>
      </c>
    </row>
    <row r="2461" spans="1:41" x14ac:dyDescent="0.25">
      <c r="A2461" s="10"/>
      <c r="B2461" s="10"/>
      <c r="C2461" s="10"/>
      <c r="D2461" s="10"/>
      <c r="E2461" s="10"/>
      <c r="F2461" s="10"/>
      <c r="G2461" s="10"/>
      <c r="H2461" s="10"/>
      <c r="I2461" s="1" t="str">
        <f t="shared" si="114"/>
        <v/>
      </c>
      <c r="J2461" s="1" t="s">
        <v>35</v>
      </c>
      <c r="K2461" s="1" t="str">
        <f t="shared" si="115"/>
        <v/>
      </c>
      <c r="L2461" s="1" t="str">
        <f t="shared" si="116"/>
        <v/>
      </c>
      <c r="M2461" s="1">
        <f>IF(OR(Table1[[#This Row],[Std Nom]]="",Table1[[#This Row],[Std Read]]=""),0,Table1[[#This Row],[Std Nom]]-Table1[[#This Row],[Std Read]])</f>
        <v>0</v>
      </c>
      <c r="N2461" s="1">
        <f>IF(Calculations!$F$5="ACCREDITED 17025 WITH UNCERTAINTIES",$N$10,0)</f>
        <v>0</v>
      </c>
      <c r="O2461" s="1" t="str">
        <f>IFERROR(Table1[[#This Row],[Std Nom]]-(_xlfn.XLOOKUP(Table1[[#This Row],[Manufacturer]]&amp;" "&amp;Table1[[#This Row],[Model]],Table13[MFR &amp; MDL],Table13[Tolerance % CW ],"")/100*Table1[[#This Row],[Std Nom]]),"")</f>
        <v/>
      </c>
      <c r="P2461" s="1" t="str">
        <f>IFERROR(Table1[[#This Row],[Std Nom]]+(_xlfn.XLOOKUP(Table1[[#This Row],[Manufacturer]]&amp;" "&amp;Table1[[#This Row],[Model]],Table13[MFR &amp; MDL],Table13[Tolerance % CW ],"")/100*Table1[[#This Row],[Std Nom]]),"")</f>
        <v/>
      </c>
      <c r="Q2461" s="1" t="e">
        <f>Table1[[#This Row],[High Tol]]-Table1[[#This Row],[Low Tol]]</f>
        <v>#VALUE!</v>
      </c>
      <c r="R2461" s="1">
        <f>2*Table1[[#This Row],[Std Error]]</f>
        <v>0</v>
      </c>
      <c r="S2461" s="1" t="str">
        <f>IF(Table1[[#This Row],[High Tol]]="","N/A",IFERROR(ABS(Table1[[#This Row],[Tol Span]]/Table1[[#This Row],[Error Span]]),"N/A"))</f>
        <v>N/A</v>
      </c>
      <c r="T2461" s="1" t="str">
        <f>IF(OR(Table1[[#This Row],[Low Tol]]="",Table1[[#This Row],[High Tol]]=""),"Needs Analysis",IF(Table1[[#This Row],[Ratio]]&gt;=4,"Not Significant",IF(Table1[[#This Row],[Ratio]]&gt;=2,"Semi-Significant","Significant")))</f>
        <v>Needs Analysis</v>
      </c>
      <c r="W2461" s="1">
        <f>IF(Table1[[#This Row],[Cal Type]]&lt;&gt;"ACCREDITED 17025 WITH UNCERTAINTIES",0,"")</f>
        <v>0</v>
      </c>
      <c r="X2461" s="1" t="str">
        <f>IF(Table1[[#This Row],[DUT Read]]="","N/A",Table1[[#This Row],[Std Error]]+Table1[[#This Row],[DUT Read]]+Table1[[#This Row],[DUT Ucty]])</f>
        <v>N/A</v>
      </c>
      <c r="Y2461" s="1" t="str">
        <f>IF(Table1[[#This Row],[Std Read]]="","N/A",Table1[[#This Row],[Std Read]]+Table1[[#This Row],[Std Ucty]])</f>
        <v>N/A</v>
      </c>
      <c r="Z24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1" s="1" t="str">
        <f>IF(Table1[[#This Row],[Spec Type]]="","N/A",Table1[[#This Row],[Spec Type]])</f>
        <v>±</v>
      </c>
      <c r="AC2461" s="1" t="str">
        <f>IF(Table1[[#This Row],[Spec Type2]]="N/A","N/A",IF(AND(Table1[[#This Row],[DUT Adj Read]]&gt;=Table1[[#This Row],[Low Tol]],Table1[[#This Row],[DUT Adj Read]]&lt;=Table1[[#This Row],[High Tol]]),"Pass","Fail"))</f>
        <v>Fail</v>
      </c>
      <c r="AD2461" s="1" t="str">
        <f>IF(AND(Table1[[#This Row],[Spec Type2]]="N/A",Table1[[#This Row],[DUT Adj Read]]="N/A",Table1[[#This Row],[Std Adj Read]]="N/A"),"N/A",IF(Table1[[#This Row],[DUT Adj Read]]="N/A",IF(Table1[[#This Row],[Std Adj Read]]&gt;Table1[[#This Row],[Low Tol]],"Pass","Fail"),IF(Table1[[#This Row],[DUT Adj Read]]&gt;Table1[[#This Row],[Low Tol]],"Pass","Fail")))</f>
        <v>Pass</v>
      </c>
      <c r="AE2461" s="1" t="str">
        <f>IF(AND(Table1[[#This Row],[Spec Type2]]="N/A",Table1[[#This Row],[DUT Adj Read]]="N/A",Table1[[#This Row],[Std Adj Read]]="N/A"),"N/A",IF(Table1[[#This Row],[DUT Adj Read]]="N/A",IF(Table1[[#This Row],[Std Adj Read]]&lt;Table1[[#This Row],[High Tol]],"Pass","Fail"),IF(Table1[[#This Row],[DUT Adj Read]]&lt;Table1[[#This Row],[High Tol]],"Pass","Fail")))</f>
        <v>Fail</v>
      </c>
      <c r="AF2461" s="1" t="str">
        <f>IF(AND(Table1[[#This Row],[Spec Type2]]="N/A",Table1[[#This Row],[DUT Adj Read]]="N/A",Table1[[#This Row],[Std Adj Read]]="N/A"),"N/A",IF(Table1[[#This Row],[DUT Adj Read]]="N/A",IF(Table1[[#This Row],[Std Adj Read]]&gt;=Table1[[#This Row],[Low Tol]],"Pass","Fail"),IF(Table1[[#This Row],[DUT Adj Read]]&gt;=Table1[[#This Row],[Low Tol]],"Pass","Fail")))</f>
        <v>Pass</v>
      </c>
      <c r="AG2461" s="1" t="str">
        <f>IF(AND(Table1[[#This Row],[Spec Type2]]="N/A",Table1[[#This Row],[DUT Adj Read]]="N/A",Table1[[#This Row],[Std Adj Read]]="N/A"),"N/A",IF(Table1[[#This Row],[DUT Adj Read]]="N/A",IF(Table1[[#This Row],[Std Adj Read]]&lt;=Table1[[#This Row],[High Tol]],"Pass","Fail"),IF(Table1[[#This Row],[DUT Adj Read]]&lt;=Table1[[#This Row],[High Tol]],"Pass","Fail")))</f>
        <v>Fail</v>
      </c>
      <c r="AH24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1" s="1" t="b">
        <v>0</v>
      </c>
      <c r="AN2461" s="1" t="b">
        <v>0</v>
      </c>
      <c r="AO2461" s="1" t="b">
        <v>0</v>
      </c>
    </row>
    <row r="2462" spans="1:41" x14ac:dyDescent="0.25">
      <c r="A2462" s="10"/>
      <c r="B2462" s="10"/>
      <c r="C2462" s="10"/>
      <c r="D2462" s="10"/>
      <c r="E2462" s="10"/>
      <c r="F2462" s="10"/>
      <c r="G2462" s="10"/>
      <c r="H2462" s="10"/>
      <c r="I2462" s="1" t="str">
        <f t="shared" si="114"/>
        <v/>
      </c>
      <c r="J2462" s="1" t="s">
        <v>35</v>
      </c>
      <c r="K2462" s="1" t="str">
        <f t="shared" si="115"/>
        <v/>
      </c>
      <c r="L2462" s="1" t="str">
        <f t="shared" si="116"/>
        <v/>
      </c>
      <c r="M2462" s="1">
        <f>IF(OR(Table1[[#This Row],[Std Nom]]="",Table1[[#This Row],[Std Read]]=""),0,Table1[[#This Row],[Std Nom]]-Table1[[#This Row],[Std Read]])</f>
        <v>0</v>
      </c>
      <c r="N2462" s="1">
        <f>IF(Calculations!$F$5="ACCREDITED 17025 WITH UNCERTAINTIES",$N$10,0)</f>
        <v>0</v>
      </c>
      <c r="O2462" s="1" t="str">
        <f>IFERROR(Table1[[#This Row],[Std Nom]]-(_xlfn.XLOOKUP(Table1[[#This Row],[Manufacturer]]&amp;" "&amp;Table1[[#This Row],[Model]],Table13[MFR &amp; MDL],Table13[Tolerance % CW ],"")/100*Table1[[#This Row],[Std Nom]]),"")</f>
        <v/>
      </c>
      <c r="P2462" s="1" t="str">
        <f>IFERROR(Table1[[#This Row],[Std Nom]]+(_xlfn.XLOOKUP(Table1[[#This Row],[Manufacturer]]&amp;" "&amp;Table1[[#This Row],[Model]],Table13[MFR &amp; MDL],Table13[Tolerance % CW ],"")/100*Table1[[#This Row],[Std Nom]]),"")</f>
        <v/>
      </c>
      <c r="Q2462" s="1" t="e">
        <f>Table1[[#This Row],[High Tol]]-Table1[[#This Row],[Low Tol]]</f>
        <v>#VALUE!</v>
      </c>
      <c r="R2462" s="1">
        <f>2*Table1[[#This Row],[Std Error]]</f>
        <v>0</v>
      </c>
      <c r="S2462" s="1" t="str">
        <f>IF(Table1[[#This Row],[High Tol]]="","N/A",IFERROR(ABS(Table1[[#This Row],[Tol Span]]/Table1[[#This Row],[Error Span]]),"N/A"))</f>
        <v>N/A</v>
      </c>
      <c r="T2462" s="1" t="str">
        <f>IF(OR(Table1[[#This Row],[Low Tol]]="",Table1[[#This Row],[High Tol]]=""),"Needs Analysis",IF(Table1[[#This Row],[Ratio]]&gt;=4,"Not Significant",IF(Table1[[#This Row],[Ratio]]&gt;=2,"Semi-Significant","Significant")))</f>
        <v>Needs Analysis</v>
      </c>
      <c r="W2462" s="1">
        <f>IF(Table1[[#This Row],[Cal Type]]&lt;&gt;"ACCREDITED 17025 WITH UNCERTAINTIES",0,"")</f>
        <v>0</v>
      </c>
      <c r="X2462" s="1" t="str">
        <f>IF(Table1[[#This Row],[DUT Read]]="","N/A",Table1[[#This Row],[Std Error]]+Table1[[#This Row],[DUT Read]]+Table1[[#This Row],[DUT Ucty]])</f>
        <v>N/A</v>
      </c>
      <c r="Y2462" s="1" t="str">
        <f>IF(Table1[[#This Row],[Std Read]]="","N/A",Table1[[#This Row],[Std Read]]+Table1[[#This Row],[Std Ucty]])</f>
        <v>N/A</v>
      </c>
      <c r="Z24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2" s="1" t="str">
        <f>IF(Table1[[#This Row],[Spec Type]]="","N/A",Table1[[#This Row],[Spec Type]])</f>
        <v>±</v>
      </c>
      <c r="AC2462" s="1" t="str">
        <f>IF(Table1[[#This Row],[Spec Type2]]="N/A","N/A",IF(AND(Table1[[#This Row],[DUT Adj Read]]&gt;=Table1[[#This Row],[Low Tol]],Table1[[#This Row],[DUT Adj Read]]&lt;=Table1[[#This Row],[High Tol]]),"Pass","Fail"))</f>
        <v>Fail</v>
      </c>
      <c r="AD2462" s="1" t="str">
        <f>IF(AND(Table1[[#This Row],[Spec Type2]]="N/A",Table1[[#This Row],[DUT Adj Read]]="N/A",Table1[[#This Row],[Std Adj Read]]="N/A"),"N/A",IF(Table1[[#This Row],[DUT Adj Read]]="N/A",IF(Table1[[#This Row],[Std Adj Read]]&gt;Table1[[#This Row],[Low Tol]],"Pass","Fail"),IF(Table1[[#This Row],[DUT Adj Read]]&gt;Table1[[#This Row],[Low Tol]],"Pass","Fail")))</f>
        <v>Pass</v>
      </c>
      <c r="AE2462" s="1" t="str">
        <f>IF(AND(Table1[[#This Row],[Spec Type2]]="N/A",Table1[[#This Row],[DUT Adj Read]]="N/A",Table1[[#This Row],[Std Adj Read]]="N/A"),"N/A",IF(Table1[[#This Row],[DUT Adj Read]]="N/A",IF(Table1[[#This Row],[Std Adj Read]]&lt;Table1[[#This Row],[High Tol]],"Pass","Fail"),IF(Table1[[#This Row],[DUT Adj Read]]&lt;Table1[[#This Row],[High Tol]],"Pass","Fail")))</f>
        <v>Fail</v>
      </c>
      <c r="AF2462" s="1" t="str">
        <f>IF(AND(Table1[[#This Row],[Spec Type2]]="N/A",Table1[[#This Row],[DUT Adj Read]]="N/A",Table1[[#This Row],[Std Adj Read]]="N/A"),"N/A",IF(Table1[[#This Row],[DUT Adj Read]]="N/A",IF(Table1[[#This Row],[Std Adj Read]]&gt;=Table1[[#This Row],[Low Tol]],"Pass","Fail"),IF(Table1[[#This Row],[DUT Adj Read]]&gt;=Table1[[#This Row],[Low Tol]],"Pass","Fail")))</f>
        <v>Pass</v>
      </c>
      <c r="AG2462" s="1" t="str">
        <f>IF(AND(Table1[[#This Row],[Spec Type2]]="N/A",Table1[[#This Row],[DUT Adj Read]]="N/A",Table1[[#This Row],[Std Adj Read]]="N/A"),"N/A",IF(Table1[[#This Row],[DUT Adj Read]]="N/A",IF(Table1[[#This Row],[Std Adj Read]]&lt;=Table1[[#This Row],[High Tol]],"Pass","Fail"),IF(Table1[[#This Row],[DUT Adj Read]]&lt;=Table1[[#This Row],[High Tol]],"Pass","Fail")))</f>
        <v>Fail</v>
      </c>
      <c r="AH24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2" s="1" t="b">
        <v>0</v>
      </c>
      <c r="AN2462" s="1" t="b">
        <v>0</v>
      </c>
      <c r="AO2462" s="1" t="b">
        <v>0</v>
      </c>
    </row>
    <row r="2463" spans="1:41" x14ac:dyDescent="0.25">
      <c r="A2463" s="10"/>
      <c r="B2463" s="10"/>
      <c r="C2463" s="10"/>
      <c r="D2463" s="10"/>
      <c r="E2463" s="10"/>
      <c r="F2463" s="10"/>
      <c r="G2463" s="10"/>
      <c r="H2463" s="10"/>
      <c r="I2463" s="1" t="str">
        <f t="shared" si="114"/>
        <v/>
      </c>
      <c r="J2463" s="1" t="s">
        <v>35</v>
      </c>
      <c r="K2463" s="1" t="str">
        <f t="shared" si="115"/>
        <v/>
      </c>
      <c r="L2463" s="1" t="str">
        <f t="shared" si="116"/>
        <v/>
      </c>
      <c r="M2463" s="1">
        <f>IF(OR(Table1[[#This Row],[Std Nom]]="",Table1[[#This Row],[Std Read]]=""),0,Table1[[#This Row],[Std Nom]]-Table1[[#This Row],[Std Read]])</f>
        <v>0</v>
      </c>
      <c r="N2463" s="1">
        <f>IF(Calculations!$F$5="ACCREDITED 17025 WITH UNCERTAINTIES",$N$10,0)</f>
        <v>0</v>
      </c>
      <c r="O2463" s="1" t="str">
        <f>IFERROR(Table1[[#This Row],[Std Nom]]-(_xlfn.XLOOKUP(Table1[[#This Row],[Manufacturer]]&amp;" "&amp;Table1[[#This Row],[Model]],Table13[MFR &amp; MDL],Table13[Tolerance % CW ],"")/100*Table1[[#This Row],[Std Nom]]),"")</f>
        <v/>
      </c>
      <c r="P2463" s="1" t="str">
        <f>IFERROR(Table1[[#This Row],[Std Nom]]+(_xlfn.XLOOKUP(Table1[[#This Row],[Manufacturer]]&amp;" "&amp;Table1[[#This Row],[Model]],Table13[MFR &amp; MDL],Table13[Tolerance % CW ],"")/100*Table1[[#This Row],[Std Nom]]),"")</f>
        <v/>
      </c>
      <c r="Q2463" s="1" t="e">
        <f>Table1[[#This Row],[High Tol]]-Table1[[#This Row],[Low Tol]]</f>
        <v>#VALUE!</v>
      </c>
      <c r="R2463" s="1">
        <f>2*Table1[[#This Row],[Std Error]]</f>
        <v>0</v>
      </c>
      <c r="S2463" s="1" t="str">
        <f>IF(Table1[[#This Row],[High Tol]]="","N/A",IFERROR(ABS(Table1[[#This Row],[Tol Span]]/Table1[[#This Row],[Error Span]]),"N/A"))</f>
        <v>N/A</v>
      </c>
      <c r="T2463" s="1" t="str">
        <f>IF(OR(Table1[[#This Row],[Low Tol]]="",Table1[[#This Row],[High Tol]]=""),"Needs Analysis",IF(Table1[[#This Row],[Ratio]]&gt;=4,"Not Significant",IF(Table1[[#This Row],[Ratio]]&gt;=2,"Semi-Significant","Significant")))</f>
        <v>Needs Analysis</v>
      </c>
      <c r="W2463" s="1">
        <f>IF(Table1[[#This Row],[Cal Type]]&lt;&gt;"ACCREDITED 17025 WITH UNCERTAINTIES",0,"")</f>
        <v>0</v>
      </c>
      <c r="X2463" s="1" t="str">
        <f>IF(Table1[[#This Row],[DUT Read]]="","N/A",Table1[[#This Row],[Std Error]]+Table1[[#This Row],[DUT Read]]+Table1[[#This Row],[DUT Ucty]])</f>
        <v>N/A</v>
      </c>
      <c r="Y2463" s="1" t="str">
        <f>IF(Table1[[#This Row],[Std Read]]="","N/A",Table1[[#This Row],[Std Read]]+Table1[[#This Row],[Std Ucty]])</f>
        <v>N/A</v>
      </c>
      <c r="Z24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3" s="1" t="str">
        <f>IF(Table1[[#This Row],[Spec Type]]="","N/A",Table1[[#This Row],[Spec Type]])</f>
        <v>±</v>
      </c>
      <c r="AC2463" s="1" t="str">
        <f>IF(Table1[[#This Row],[Spec Type2]]="N/A","N/A",IF(AND(Table1[[#This Row],[DUT Adj Read]]&gt;=Table1[[#This Row],[Low Tol]],Table1[[#This Row],[DUT Adj Read]]&lt;=Table1[[#This Row],[High Tol]]),"Pass","Fail"))</f>
        <v>Fail</v>
      </c>
      <c r="AD2463" s="1" t="str">
        <f>IF(AND(Table1[[#This Row],[Spec Type2]]="N/A",Table1[[#This Row],[DUT Adj Read]]="N/A",Table1[[#This Row],[Std Adj Read]]="N/A"),"N/A",IF(Table1[[#This Row],[DUT Adj Read]]="N/A",IF(Table1[[#This Row],[Std Adj Read]]&gt;Table1[[#This Row],[Low Tol]],"Pass","Fail"),IF(Table1[[#This Row],[DUT Adj Read]]&gt;Table1[[#This Row],[Low Tol]],"Pass","Fail")))</f>
        <v>Pass</v>
      </c>
      <c r="AE2463" s="1" t="str">
        <f>IF(AND(Table1[[#This Row],[Spec Type2]]="N/A",Table1[[#This Row],[DUT Adj Read]]="N/A",Table1[[#This Row],[Std Adj Read]]="N/A"),"N/A",IF(Table1[[#This Row],[DUT Adj Read]]="N/A",IF(Table1[[#This Row],[Std Adj Read]]&lt;Table1[[#This Row],[High Tol]],"Pass","Fail"),IF(Table1[[#This Row],[DUT Adj Read]]&lt;Table1[[#This Row],[High Tol]],"Pass","Fail")))</f>
        <v>Fail</v>
      </c>
      <c r="AF2463" s="1" t="str">
        <f>IF(AND(Table1[[#This Row],[Spec Type2]]="N/A",Table1[[#This Row],[DUT Adj Read]]="N/A",Table1[[#This Row],[Std Adj Read]]="N/A"),"N/A",IF(Table1[[#This Row],[DUT Adj Read]]="N/A",IF(Table1[[#This Row],[Std Adj Read]]&gt;=Table1[[#This Row],[Low Tol]],"Pass","Fail"),IF(Table1[[#This Row],[DUT Adj Read]]&gt;=Table1[[#This Row],[Low Tol]],"Pass","Fail")))</f>
        <v>Pass</v>
      </c>
      <c r="AG2463" s="1" t="str">
        <f>IF(AND(Table1[[#This Row],[Spec Type2]]="N/A",Table1[[#This Row],[DUT Adj Read]]="N/A",Table1[[#This Row],[Std Adj Read]]="N/A"),"N/A",IF(Table1[[#This Row],[DUT Adj Read]]="N/A",IF(Table1[[#This Row],[Std Adj Read]]&lt;=Table1[[#This Row],[High Tol]],"Pass","Fail"),IF(Table1[[#This Row],[DUT Adj Read]]&lt;=Table1[[#This Row],[High Tol]],"Pass","Fail")))</f>
        <v>Fail</v>
      </c>
      <c r="AH24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3" s="1" t="b">
        <v>0</v>
      </c>
      <c r="AN2463" s="1" t="b">
        <v>0</v>
      </c>
      <c r="AO2463" s="1" t="b">
        <v>0</v>
      </c>
    </row>
    <row r="2464" spans="1:41" x14ac:dyDescent="0.25">
      <c r="A2464" s="10"/>
      <c r="B2464" s="10"/>
      <c r="C2464" s="10"/>
      <c r="D2464" s="10"/>
      <c r="E2464" s="10"/>
      <c r="F2464" s="10"/>
      <c r="G2464" s="10"/>
      <c r="H2464" s="10"/>
      <c r="I2464" s="1" t="str">
        <f t="shared" si="114"/>
        <v/>
      </c>
      <c r="J2464" s="1" t="s">
        <v>35</v>
      </c>
      <c r="K2464" s="1" t="str">
        <f t="shared" si="115"/>
        <v/>
      </c>
      <c r="L2464" s="1" t="str">
        <f t="shared" si="116"/>
        <v/>
      </c>
      <c r="M2464" s="1">
        <f>IF(OR(Table1[[#This Row],[Std Nom]]="",Table1[[#This Row],[Std Read]]=""),0,Table1[[#This Row],[Std Nom]]-Table1[[#This Row],[Std Read]])</f>
        <v>0</v>
      </c>
      <c r="N2464" s="1">
        <f>IF(Calculations!$F$5="ACCREDITED 17025 WITH UNCERTAINTIES",$N$10,0)</f>
        <v>0</v>
      </c>
      <c r="O2464" s="1" t="str">
        <f>IFERROR(Table1[[#This Row],[Std Nom]]-(_xlfn.XLOOKUP(Table1[[#This Row],[Manufacturer]]&amp;" "&amp;Table1[[#This Row],[Model]],Table13[MFR &amp; MDL],Table13[Tolerance % CW ],"")/100*Table1[[#This Row],[Std Nom]]),"")</f>
        <v/>
      </c>
      <c r="P2464" s="1" t="str">
        <f>IFERROR(Table1[[#This Row],[Std Nom]]+(_xlfn.XLOOKUP(Table1[[#This Row],[Manufacturer]]&amp;" "&amp;Table1[[#This Row],[Model]],Table13[MFR &amp; MDL],Table13[Tolerance % CW ],"")/100*Table1[[#This Row],[Std Nom]]),"")</f>
        <v/>
      </c>
      <c r="Q2464" s="1" t="e">
        <f>Table1[[#This Row],[High Tol]]-Table1[[#This Row],[Low Tol]]</f>
        <v>#VALUE!</v>
      </c>
      <c r="R2464" s="1">
        <f>2*Table1[[#This Row],[Std Error]]</f>
        <v>0</v>
      </c>
      <c r="S2464" s="1" t="str">
        <f>IF(Table1[[#This Row],[High Tol]]="","N/A",IFERROR(ABS(Table1[[#This Row],[Tol Span]]/Table1[[#This Row],[Error Span]]),"N/A"))</f>
        <v>N/A</v>
      </c>
      <c r="T2464" s="1" t="str">
        <f>IF(OR(Table1[[#This Row],[Low Tol]]="",Table1[[#This Row],[High Tol]]=""),"Needs Analysis",IF(Table1[[#This Row],[Ratio]]&gt;=4,"Not Significant",IF(Table1[[#This Row],[Ratio]]&gt;=2,"Semi-Significant","Significant")))</f>
        <v>Needs Analysis</v>
      </c>
      <c r="W2464" s="1">
        <f>IF(Table1[[#This Row],[Cal Type]]&lt;&gt;"ACCREDITED 17025 WITH UNCERTAINTIES",0,"")</f>
        <v>0</v>
      </c>
      <c r="X2464" s="1" t="str">
        <f>IF(Table1[[#This Row],[DUT Read]]="","N/A",Table1[[#This Row],[Std Error]]+Table1[[#This Row],[DUT Read]]+Table1[[#This Row],[DUT Ucty]])</f>
        <v>N/A</v>
      </c>
      <c r="Y2464" s="1" t="str">
        <f>IF(Table1[[#This Row],[Std Read]]="","N/A",Table1[[#This Row],[Std Read]]+Table1[[#This Row],[Std Ucty]])</f>
        <v>N/A</v>
      </c>
      <c r="Z24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4" s="1" t="str">
        <f>IF(Table1[[#This Row],[Spec Type]]="","N/A",Table1[[#This Row],[Spec Type]])</f>
        <v>±</v>
      </c>
      <c r="AC2464" s="1" t="str">
        <f>IF(Table1[[#This Row],[Spec Type2]]="N/A","N/A",IF(AND(Table1[[#This Row],[DUT Adj Read]]&gt;=Table1[[#This Row],[Low Tol]],Table1[[#This Row],[DUT Adj Read]]&lt;=Table1[[#This Row],[High Tol]]),"Pass","Fail"))</f>
        <v>Fail</v>
      </c>
      <c r="AD2464" s="1" t="str">
        <f>IF(AND(Table1[[#This Row],[Spec Type2]]="N/A",Table1[[#This Row],[DUT Adj Read]]="N/A",Table1[[#This Row],[Std Adj Read]]="N/A"),"N/A",IF(Table1[[#This Row],[DUT Adj Read]]="N/A",IF(Table1[[#This Row],[Std Adj Read]]&gt;Table1[[#This Row],[Low Tol]],"Pass","Fail"),IF(Table1[[#This Row],[DUT Adj Read]]&gt;Table1[[#This Row],[Low Tol]],"Pass","Fail")))</f>
        <v>Pass</v>
      </c>
      <c r="AE2464" s="1" t="str">
        <f>IF(AND(Table1[[#This Row],[Spec Type2]]="N/A",Table1[[#This Row],[DUT Adj Read]]="N/A",Table1[[#This Row],[Std Adj Read]]="N/A"),"N/A",IF(Table1[[#This Row],[DUT Adj Read]]="N/A",IF(Table1[[#This Row],[Std Adj Read]]&lt;Table1[[#This Row],[High Tol]],"Pass","Fail"),IF(Table1[[#This Row],[DUT Adj Read]]&lt;Table1[[#This Row],[High Tol]],"Pass","Fail")))</f>
        <v>Fail</v>
      </c>
      <c r="AF2464" s="1" t="str">
        <f>IF(AND(Table1[[#This Row],[Spec Type2]]="N/A",Table1[[#This Row],[DUT Adj Read]]="N/A",Table1[[#This Row],[Std Adj Read]]="N/A"),"N/A",IF(Table1[[#This Row],[DUT Adj Read]]="N/A",IF(Table1[[#This Row],[Std Adj Read]]&gt;=Table1[[#This Row],[Low Tol]],"Pass","Fail"),IF(Table1[[#This Row],[DUT Adj Read]]&gt;=Table1[[#This Row],[Low Tol]],"Pass","Fail")))</f>
        <v>Pass</v>
      </c>
      <c r="AG2464" s="1" t="str">
        <f>IF(AND(Table1[[#This Row],[Spec Type2]]="N/A",Table1[[#This Row],[DUT Adj Read]]="N/A",Table1[[#This Row],[Std Adj Read]]="N/A"),"N/A",IF(Table1[[#This Row],[DUT Adj Read]]="N/A",IF(Table1[[#This Row],[Std Adj Read]]&lt;=Table1[[#This Row],[High Tol]],"Pass","Fail"),IF(Table1[[#This Row],[DUT Adj Read]]&lt;=Table1[[#This Row],[High Tol]],"Pass","Fail")))</f>
        <v>Fail</v>
      </c>
      <c r="AH24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4" s="1" t="b">
        <v>0</v>
      </c>
      <c r="AN2464" s="1" t="b">
        <v>0</v>
      </c>
      <c r="AO2464" s="1" t="b">
        <v>0</v>
      </c>
    </row>
    <row r="2465" spans="1:41" x14ac:dyDescent="0.25">
      <c r="A2465" s="10"/>
      <c r="B2465" s="10"/>
      <c r="C2465" s="10"/>
      <c r="D2465" s="10"/>
      <c r="E2465" s="10"/>
      <c r="F2465" s="10"/>
      <c r="G2465" s="10"/>
      <c r="H2465" s="10"/>
      <c r="I2465" s="1" t="str">
        <f t="shared" si="114"/>
        <v/>
      </c>
      <c r="J2465" s="1" t="s">
        <v>35</v>
      </c>
      <c r="K2465" s="1" t="str">
        <f t="shared" si="115"/>
        <v/>
      </c>
      <c r="L2465" s="1" t="str">
        <f t="shared" si="116"/>
        <v/>
      </c>
      <c r="M2465" s="1">
        <f>IF(OR(Table1[[#This Row],[Std Nom]]="",Table1[[#This Row],[Std Read]]=""),0,Table1[[#This Row],[Std Nom]]-Table1[[#This Row],[Std Read]])</f>
        <v>0</v>
      </c>
      <c r="N2465" s="1">
        <f>IF(Calculations!$F$5="ACCREDITED 17025 WITH UNCERTAINTIES",$N$10,0)</f>
        <v>0</v>
      </c>
      <c r="O2465" s="1" t="str">
        <f>IFERROR(Table1[[#This Row],[Std Nom]]-(_xlfn.XLOOKUP(Table1[[#This Row],[Manufacturer]]&amp;" "&amp;Table1[[#This Row],[Model]],Table13[MFR &amp; MDL],Table13[Tolerance % CW ],"")/100*Table1[[#This Row],[Std Nom]]),"")</f>
        <v/>
      </c>
      <c r="P2465" s="1" t="str">
        <f>IFERROR(Table1[[#This Row],[Std Nom]]+(_xlfn.XLOOKUP(Table1[[#This Row],[Manufacturer]]&amp;" "&amp;Table1[[#This Row],[Model]],Table13[MFR &amp; MDL],Table13[Tolerance % CW ],"")/100*Table1[[#This Row],[Std Nom]]),"")</f>
        <v/>
      </c>
      <c r="Q2465" s="1" t="e">
        <f>Table1[[#This Row],[High Tol]]-Table1[[#This Row],[Low Tol]]</f>
        <v>#VALUE!</v>
      </c>
      <c r="R2465" s="1">
        <f>2*Table1[[#This Row],[Std Error]]</f>
        <v>0</v>
      </c>
      <c r="S2465" s="1" t="str">
        <f>IF(Table1[[#This Row],[High Tol]]="","N/A",IFERROR(ABS(Table1[[#This Row],[Tol Span]]/Table1[[#This Row],[Error Span]]),"N/A"))</f>
        <v>N/A</v>
      </c>
      <c r="T2465" s="1" t="str">
        <f>IF(OR(Table1[[#This Row],[Low Tol]]="",Table1[[#This Row],[High Tol]]=""),"Needs Analysis",IF(Table1[[#This Row],[Ratio]]&gt;=4,"Not Significant",IF(Table1[[#This Row],[Ratio]]&gt;=2,"Semi-Significant","Significant")))</f>
        <v>Needs Analysis</v>
      </c>
      <c r="W2465" s="1">
        <f>IF(Table1[[#This Row],[Cal Type]]&lt;&gt;"ACCREDITED 17025 WITH UNCERTAINTIES",0,"")</f>
        <v>0</v>
      </c>
      <c r="X2465" s="1" t="str">
        <f>IF(Table1[[#This Row],[DUT Read]]="","N/A",Table1[[#This Row],[Std Error]]+Table1[[#This Row],[DUT Read]]+Table1[[#This Row],[DUT Ucty]])</f>
        <v>N/A</v>
      </c>
      <c r="Y2465" s="1" t="str">
        <f>IF(Table1[[#This Row],[Std Read]]="","N/A",Table1[[#This Row],[Std Read]]+Table1[[#This Row],[Std Ucty]])</f>
        <v>N/A</v>
      </c>
      <c r="Z24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5" s="1" t="str">
        <f>IF(Table1[[#This Row],[Spec Type]]="","N/A",Table1[[#This Row],[Spec Type]])</f>
        <v>±</v>
      </c>
      <c r="AC2465" s="1" t="str">
        <f>IF(Table1[[#This Row],[Spec Type2]]="N/A","N/A",IF(AND(Table1[[#This Row],[DUT Adj Read]]&gt;=Table1[[#This Row],[Low Tol]],Table1[[#This Row],[DUT Adj Read]]&lt;=Table1[[#This Row],[High Tol]]),"Pass","Fail"))</f>
        <v>Fail</v>
      </c>
      <c r="AD2465" s="1" t="str">
        <f>IF(AND(Table1[[#This Row],[Spec Type2]]="N/A",Table1[[#This Row],[DUT Adj Read]]="N/A",Table1[[#This Row],[Std Adj Read]]="N/A"),"N/A",IF(Table1[[#This Row],[DUT Adj Read]]="N/A",IF(Table1[[#This Row],[Std Adj Read]]&gt;Table1[[#This Row],[Low Tol]],"Pass","Fail"),IF(Table1[[#This Row],[DUT Adj Read]]&gt;Table1[[#This Row],[Low Tol]],"Pass","Fail")))</f>
        <v>Pass</v>
      </c>
      <c r="AE2465" s="1" t="str">
        <f>IF(AND(Table1[[#This Row],[Spec Type2]]="N/A",Table1[[#This Row],[DUT Adj Read]]="N/A",Table1[[#This Row],[Std Adj Read]]="N/A"),"N/A",IF(Table1[[#This Row],[DUT Adj Read]]="N/A",IF(Table1[[#This Row],[Std Adj Read]]&lt;Table1[[#This Row],[High Tol]],"Pass","Fail"),IF(Table1[[#This Row],[DUT Adj Read]]&lt;Table1[[#This Row],[High Tol]],"Pass","Fail")))</f>
        <v>Fail</v>
      </c>
      <c r="AF2465" s="1" t="str">
        <f>IF(AND(Table1[[#This Row],[Spec Type2]]="N/A",Table1[[#This Row],[DUT Adj Read]]="N/A",Table1[[#This Row],[Std Adj Read]]="N/A"),"N/A",IF(Table1[[#This Row],[DUT Adj Read]]="N/A",IF(Table1[[#This Row],[Std Adj Read]]&gt;=Table1[[#This Row],[Low Tol]],"Pass","Fail"),IF(Table1[[#This Row],[DUT Adj Read]]&gt;=Table1[[#This Row],[Low Tol]],"Pass","Fail")))</f>
        <v>Pass</v>
      </c>
      <c r="AG2465" s="1" t="str">
        <f>IF(AND(Table1[[#This Row],[Spec Type2]]="N/A",Table1[[#This Row],[DUT Adj Read]]="N/A",Table1[[#This Row],[Std Adj Read]]="N/A"),"N/A",IF(Table1[[#This Row],[DUT Adj Read]]="N/A",IF(Table1[[#This Row],[Std Adj Read]]&lt;=Table1[[#This Row],[High Tol]],"Pass","Fail"),IF(Table1[[#This Row],[DUT Adj Read]]&lt;=Table1[[#This Row],[High Tol]],"Pass","Fail")))</f>
        <v>Fail</v>
      </c>
      <c r="AH24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5" s="1" t="b">
        <v>0</v>
      </c>
      <c r="AN2465" s="1" t="b">
        <v>0</v>
      </c>
      <c r="AO2465" s="1" t="b">
        <v>0</v>
      </c>
    </row>
    <row r="2466" spans="1:41" x14ac:dyDescent="0.25">
      <c r="A2466" s="10"/>
      <c r="B2466" s="10"/>
      <c r="C2466" s="10"/>
      <c r="D2466" s="10"/>
      <c r="E2466" s="10"/>
      <c r="F2466" s="10"/>
      <c r="G2466" s="10"/>
      <c r="H2466" s="10"/>
      <c r="I2466" s="1" t="str">
        <f t="shared" si="114"/>
        <v/>
      </c>
      <c r="J2466" s="1" t="s">
        <v>35</v>
      </c>
      <c r="K2466" s="1" t="str">
        <f t="shared" si="115"/>
        <v/>
      </c>
      <c r="L2466" s="1" t="str">
        <f t="shared" si="116"/>
        <v/>
      </c>
      <c r="M2466" s="1">
        <f>IF(OR(Table1[[#This Row],[Std Nom]]="",Table1[[#This Row],[Std Read]]=""),0,Table1[[#This Row],[Std Nom]]-Table1[[#This Row],[Std Read]])</f>
        <v>0</v>
      </c>
      <c r="N2466" s="1">
        <f>IF(Calculations!$F$5="ACCREDITED 17025 WITH UNCERTAINTIES",$N$10,0)</f>
        <v>0</v>
      </c>
      <c r="O2466" s="1" t="str">
        <f>IFERROR(Table1[[#This Row],[Std Nom]]-(_xlfn.XLOOKUP(Table1[[#This Row],[Manufacturer]]&amp;" "&amp;Table1[[#This Row],[Model]],Table13[MFR &amp; MDL],Table13[Tolerance % CW ],"")/100*Table1[[#This Row],[Std Nom]]),"")</f>
        <v/>
      </c>
      <c r="P2466" s="1" t="str">
        <f>IFERROR(Table1[[#This Row],[Std Nom]]+(_xlfn.XLOOKUP(Table1[[#This Row],[Manufacturer]]&amp;" "&amp;Table1[[#This Row],[Model]],Table13[MFR &amp; MDL],Table13[Tolerance % CW ],"")/100*Table1[[#This Row],[Std Nom]]),"")</f>
        <v/>
      </c>
      <c r="Q2466" s="1" t="e">
        <f>Table1[[#This Row],[High Tol]]-Table1[[#This Row],[Low Tol]]</f>
        <v>#VALUE!</v>
      </c>
      <c r="R2466" s="1">
        <f>2*Table1[[#This Row],[Std Error]]</f>
        <v>0</v>
      </c>
      <c r="S2466" s="1" t="str">
        <f>IF(Table1[[#This Row],[High Tol]]="","N/A",IFERROR(ABS(Table1[[#This Row],[Tol Span]]/Table1[[#This Row],[Error Span]]),"N/A"))</f>
        <v>N/A</v>
      </c>
      <c r="T2466" s="1" t="str">
        <f>IF(OR(Table1[[#This Row],[Low Tol]]="",Table1[[#This Row],[High Tol]]=""),"Needs Analysis",IF(Table1[[#This Row],[Ratio]]&gt;=4,"Not Significant",IF(Table1[[#This Row],[Ratio]]&gt;=2,"Semi-Significant","Significant")))</f>
        <v>Needs Analysis</v>
      </c>
      <c r="W2466" s="1">
        <f>IF(Table1[[#This Row],[Cal Type]]&lt;&gt;"ACCREDITED 17025 WITH UNCERTAINTIES",0,"")</f>
        <v>0</v>
      </c>
      <c r="X2466" s="1" t="str">
        <f>IF(Table1[[#This Row],[DUT Read]]="","N/A",Table1[[#This Row],[Std Error]]+Table1[[#This Row],[DUT Read]]+Table1[[#This Row],[DUT Ucty]])</f>
        <v>N/A</v>
      </c>
      <c r="Y2466" s="1" t="str">
        <f>IF(Table1[[#This Row],[Std Read]]="","N/A",Table1[[#This Row],[Std Read]]+Table1[[#This Row],[Std Ucty]])</f>
        <v>N/A</v>
      </c>
      <c r="Z24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6" s="1" t="str">
        <f>IF(Table1[[#This Row],[Spec Type]]="","N/A",Table1[[#This Row],[Spec Type]])</f>
        <v>±</v>
      </c>
      <c r="AC2466" s="1" t="str">
        <f>IF(Table1[[#This Row],[Spec Type2]]="N/A","N/A",IF(AND(Table1[[#This Row],[DUT Adj Read]]&gt;=Table1[[#This Row],[Low Tol]],Table1[[#This Row],[DUT Adj Read]]&lt;=Table1[[#This Row],[High Tol]]),"Pass","Fail"))</f>
        <v>Fail</v>
      </c>
      <c r="AD2466" s="1" t="str">
        <f>IF(AND(Table1[[#This Row],[Spec Type2]]="N/A",Table1[[#This Row],[DUT Adj Read]]="N/A",Table1[[#This Row],[Std Adj Read]]="N/A"),"N/A",IF(Table1[[#This Row],[DUT Adj Read]]="N/A",IF(Table1[[#This Row],[Std Adj Read]]&gt;Table1[[#This Row],[Low Tol]],"Pass","Fail"),IF(Table1[[#This Row],[DUT Adj Read]]&gt;Table1[[#This Row],[Low Tol]],"Pass","Fail")))</f>
        <v>Pass</v>
      </c>
      <c r="AE2466" s="1" t="str">
        <f>IF(AND(Table1[[#This Row],[Spec Type2]]="N/A",Table1[[#This Row],[DUT Adj Read]]="N/A",Table1[[#This Row],[Std Adj Read]]="N/A"),"N/A",IF(Table1[[#This Row],[DUT Adj Read]]="N/A",IF(Table1[[#This Row],[Std Adj Read]]&lt;Table1[[#This Row],[High Tol]],"Pass","Fail"),IF(Table1[[#This Row],[DUT Adj Read]]&lt;Table1[[#This Row],[High Tol]],"Pass","Fail")))</f>
        <v>Fail</v>
      </c>
      <c r="AF2466" s="1" t="str">
        <f>IF(AND(Table1[[#This Row],[Spec Type2]]="N/A",Table1[[#This Row],[DUT Adj Read]]="N/A",Table1[[#This Row],[Std Adj Read]]="N/A"),"N/A",IF(Table1[[#This Row],[DUT Adj Read]]="N/A",IF(Table1[[#This Row],[Std Adj Read]]&gt;=Table1[[#This Row],[Low Tol]],"Pass","Fail"),IF(Table1[[#This Row],[DUT Adj Read]]&gt;=Table1[[#This Row],[Low Tol]],"Pass","Fail")))</f>
        <v>Pass</v>
      </c>
      <c r="AG2466" s="1" t="str">
        <f>IF(AND(Table1[[#This Row],[Spec Type2]]="N/A",Table1[[#This Row],[DUT Adj Read]]="N/A",Table1[[#This Row],[Std Adj Read]]="N/A"),"N/A",IF(Table1[[#This Row],[DUT Adj Read]]="N/A",IF(Table1[[#This Row],[Std Adj Read]]&lt;=Table1[[#This Row],[High Tol]],"Pass","Fail"),IF(Table1[[#This Row],[DUT Adj Read]]&lt;=Table1[[#This Row],[High Tol]],"Pass","Fail")))</f>
        <v>Fail</v>
      </c>
      <c r="AH24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6" s="1" t="b">
        <v>0</v>
      </c>
      <c r="AN2466" s="1" t="b">
        <v>0</v>
      </c>
      <c r="AO2466" s="1" t="b">
        <v>0</v>
      </c>
    </row>
    <row r="2467" spans="1:41" x14ac:dyDescent="0.25">
      <c r="A2467" s="10"/>
      <c r="B2467" s="10"/>
      <c r="C2467" s="10"/>
      <c r="D2467" s="10"/>
      <c r="E2467" s="10"/>
      <c r="F2467" s="10"/>
      <c r="G2467" s="10"/>
      <c r="H2467" s="10"/>
      <c r="I2467" s="1" t="str">
        <f t="shared" si="114"/>
        <v/>
      </c>
      <c r="J2467" s="1" t="s">
        <v>35</v>
      </c>
      <c r="K2467" s="1" t="str">
        <f t="shared" si="115"/>
        <v/>
      </c>
      <c r="L2467" s="1" t="str">
        <f t="shared" si="116"/>
        <v/>
      </c>
      <c r="M2467" s="1">
        <f>IF(OR(Table1[[#This Row],[Std Nom]]="",Table1[[#This Row],[Std Read]]=""),0,Table1[[#This Row],[Std Nom]]-Table1[[#This Row],[Std Read]])</f>
        <v>0</v>
      </c>
      <c r="N2467" s="1">
        <f>IF(Calculations!$F$5="ACCREDITED 17025 WITH UNCERTAINTIES",$N$10,0)</f>
        <v>0</v>
      </c>
      <c r="O2467" s="1" t="str">
        <f>IFERROR(Table1[[#This Row],[Std Nom]]-(_xlfn.XLOOKUP(Table1[[#This Row],[Manufacturer]]&amp;" "&amp;Table1[[#This Row],[Model]],Table13[MFR &amp; MDL],Table13[Tolerance % CW ],"")/100*Table1[[#This Row],[Std Nom]]),"")</f>
        <v/>
      </c>
      <c r="P2467" s="1" t="str">
        <f>IFERROR(Table1[[#This Row],[Std Nom]]+(_xlfn.XLOOKUP(Table1[[#This Row],[Manufacturer]]&amp;" "&amp;Table1[[#This Row],[Model]],Table13[MFR &amp; MDL],Table13[Tolerance % CW ],"")/100*Table1[[#This Row],[Std Nom]]),"")</f>
        <v/>
      </c>
      <c r="Q2467" s="1" t="e">
        <f>Table1[[#This Row],[High Tol]]-Table1[[#This Row],[Low Tol]]</f>
        <v>#VALUE!</v>
      </c>
      <c r="R2467" s="1">
        <f>2*Table1[[#This Row],[Std Error]]</f>
        <v>0</v>
      </c>
      <c r="S2467" s="1" t="str">
        <f>IF(Table1[[#This Row],[High Tol]]="","N/A",IFERROR(ABS(Table1[[#This Row],[Tol Span]]/Table1[[#This Row],[Error Span]]),"N/A"))</f>
        <v>N/A</v>
      </c>
      <c r="T2467" s="1" t="str">
        <f>IF(OR(Table1[[#This Row],[Low Tol]]="",Table1[[#This Row],[High Tol]]=""),"Needs Analysis",IF(Table1[[#This Row],[Ratio]]&gt;=4,"Not Significant",IF(Table1[[#This Row],[Ratio]]&gt;=2,"Semi-Significant","Significant")))</f>
        <v>Needs Analysis</v>
      </c>
      <c r="W2467" s="1">
        <f>IF(Table1[[#This Row],[Cal Type]]&lt;&gt;"ACCREDITED 17025 WITH UNCERTAINTIES",0,"")</f>
        <v>0</v>
      </c>
      <c r="X2467" s="1" t="str">
        <f>IF(Table1[[#This Row],[DUT Read]]="","N/A",Table1[[#This Row],[Std Error]]+Table1[[#This Row],[DUT Read]]+Table1[[#This Row],[DUT Ucty]])</f>
        <v>N/A</v>
      </c>
      <c r="Y2467" s="1" t="str">
        <f>IF(Table1[[#This Row],[Std Read]]="","N/A",Table1[[#This Row],[Std Read]]+Table1[[#This Row],[Std Ucty]])</f>
        <v>N/A</v>
      </c>
      <c r="Z24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7" s="1" t="str">
        <f>IF(Table1[[#This Row],[Spec Type]]="","N/A",Table1[[#This Row],[Spec Type]])</f>
        <v>±</v>
      </c>
      <c r="AC2467" s="1" t="str">
        <f>IF(Table1[[#This Row],[Spec Type2]]="N/A","N/A",IF(AND(Table1[[#This Row],[DUT Adj Read]]&gt;=Table1[[#This Row],[Low Tol]],Table1[[#This Row],[DUT Adj Read]]&lt;=Table1[[#This Row],[High Tol]]),"Pass","Fail"))</f>
        <v>Fail</v>
      </c>
      <c r="AD2467" s="1" t="str">
        <f>IF(AND(Table1[[#This Row],[Spec Type2]]="N/A",Table1[[#This Row],[DUT Adj Read]]="N/A",Table1[[#This Row],[Std Adj Read]]="N/A"),"N/A",IF(Table1[[#This Row],[DUT Adj Read]]="N/A",IF(Table1[[#This Row],[Std Adj Read]]&gt;Table1[[#This Row],[Low Tol]],"Pass","Fail"),IF(Table1[[#This Row],[DUT Adj Read]]&gt;Table1[[#This Row],[Low Tol]],"Pass","Fail")))</f>
        <v>Pass</v>
      </c>
      <c r="AE2467" s="1" t="str">
        <f>IF(AND(Table1[[#This Row],[Spec Type2]]="N/A",Table1[[#This Row],[DUT Adj Read]]="N/A",Table1[[#This Row],[Std Adj Read]]="N/A"),"N/A",IF(Table1[[#This Row],[DUT Adj Read]]="N/A",IF(Table1[[#This Row],[Std Adj Read]]&lt;Table1[[#This Row],[High Tol]],"Pass","Fail"),IF(Table1[[#This Row],[DUT Adj Read]]&lt;Table1[[#This Row],[High Tol]],"Pass","Fail")))</f>
        <v>Fail</v>
      </c>
      <c r="AF2467" s="1" t="str">
        <f>IF(AND(Table1[[#This Row],[Spec Type2]]="N/A",Table1[[#This Row],[DUT Adj Read]]="N/A",Table1[[#This Row],[Std Adj Read]]="N/A"),"N/A",IF(Table1[[#This Row],[DUT Adj Read]]="N/A",IF(Table1[[#This Row],[Std Adj Read]]&gt;=Table1[[#This Row],[Low Tol]],"Pass","Fail"),IF(Table1[[#This Row],[DUT Adj Read]]&gt;=Table1[[#This Row],[Low Tol]],"Pass","Fail")))</f>
        <v>Pass</v>
      </c>
      <c r="AG2467" s="1" t="str">
        <f>IF(AND(Table1[[#This Row],[Spec Type2]]="N/A",Table1[[#This Row],[DUT Adj Read]]="N/A",Table1[[#This Row],[Std Adj Read]]="N/A"),"N/A",IF(Table1[[#This Row],[DUT Adj Read]]="N/A",IF(Table1[[#This Row],[Std Adj Read]]&lt;=Table1[[#This Row],[High Tol]],"Pass","Fail"),IF(Table1[[#This Row],[DUT Adj Read]]&lt;=Table1[[#This Row],[High Tol]],"Pass","Fail")))</f>
        <v>Fail</v>
      </c>
      <c r="AH24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7" s="1" t="b">
        <v>0</v>
      </c>
      <c r="AN2467" s="1" t="b">
        <v>0</v>
      </c>
      <c r="AO2467" s="1" t="b">
        <v>0</v>
      </c>
    </row>
    <row r="2468" spans="1:41" x14ac:dyDescent="0.25">
      <c r="A2468" s="10"/>
      <c r="B2468" s="10"/>
      <c r="C2468" s="10"/>
      <c r="D2468" s="10"/>
      <c r="E2468" s="10"/>
      <c r="F2468" s="10"/>
      <c r="G2468" s="10"/>
      <c r="H2468" s="10"/>
      <c r="I2468" s="1" t="str">
        <f t="shared" si="114"/>
        <v/>
      </c>
      <c r="J2468" s="1" t="s">
        <v>35</v>
      </c>
      <c r="K2468" s="1" t="str">
        <f t="shared" si="115"/>
        <v/>
      </c>
      <c r="L2468" s="1" t="str">
        <f t="shared" si="116"/>
        <v/>
      </c>
      <c r="M2468" s="1">
        <f>IF(OR(Table1[[#This Row],[Std Nom]]="",Table1[[#This Row],[Std Read]]=""),0,Table1[[#This Row],[Std Nom]]-Table1[[#This Row],[Std Read]])</f>
        <v>0</v>
      </c>
      <c r="N2468" s="1">
        <f>IF(Calculations!$F$5="ACCREDITED 17025 WITH UNCERTAINTIES",$N$10,0)</f>
        <v>0</v>
      </c>
      <c r="O2468" s="1" t="str">
        <f>IFERROR(Table1[[#This Row],[Std Nom]]-(_xlfn.XLOOKUP(Table1[[#This Row],[Manufacturer]]&amp;" "&amp;Table1[[#This Row],[Model]],Table13[MFR &amp; MDL],Table13[Tolerance % CW ],"")/100*Table1[[#This Row],[Std Nom]]),"")</f>
        <v/>
      </c>
      <c r="P2468" s="1" t="str">
        <f>IFERROR(Table1[[#This Row],[Std Nom]]+(_xlfn.XLOOKUP(Table1[[#This Row],[Manufacturer]]&amp;" "&amp;Table1[[#This Row],[Model]],Table13[MFR &amp; MDL],Table13[Tolerance % CW ],"")/100*Table1[[#This Row],[Std Nom]]),"")</f>
        <v/>
      </c>
      <c r="Q2468" s="1" t="e">
        <f>Table1[[#This Row],[High Tol]]-Table1[[#This Row],[Low Tol]]</f>
        <v>#VALUE!</v>
      </c>
      <c r="R2468" s="1">
        <f>2*Table1[[#This Row],[Std Error]]</f>
        <v>0</v>
      </c>
      <c r="S2468" s="1" t="str">
        <f>IF(Table1[[#This Row],[High Tol]]="","N/A",IFERROR(ABS(Table1[[#This Row],[Tol Span]]/Table1[[#This Row],[Error Span]]),"N/A"))</f>
        <v>N/A</v>
      </c>
      <c r="T2468" s="1" t="str">
        <f>IF(OR(Table1[[#This Row],[Low Tol]]="",Table1[[#This Row],[High Tol]]=""),"Needs Analysis",IF(Table1[[#This Row],[Ratio]]&gt;=4,"Not Significant",IF(Table1[[#This Row],[Ratio]]&gt;=2,"Semi-Significant","Significant")))</f>
        <v>Needs Analysis</v>
      </c>
      <c r="W2468" s="1">
        <f>IF(Table1[[#This Row],[Cal Type]]&lt;&gt;"ACCREDITED 17025 WITH UNCERTAINTIES",0,"")</f>
        <v>0</v>
      </c>
      <c r="X2468" s="1" t="str">
        <f>IF(Table1[[#This Row],[DUT Read]]="","N/A",Table1[[#This Row],[Std Error]]+Table1[[#This Row],[DUT Read]]+Table1[[#This Row],[DUT Ucty]])</f>
        <v>N/A</v>
      </c>
      <c r="Y2468" s="1" t="str">
        <f>IF(Table1[[#This Row],[Std Read]]="","N/A",Table1[[#This Row],[Std Read]]+Table1[[#This Row],[Std Ucty]])</f>
        <v>N/A</v>
      </c>
      <c r="Z24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8" s="1" t="str">
        <f>IF(Table1[[#This Row],[Spec Type]]="","N/A",Table1[[#This Row],[Spec Type]])</f>
        <v>±</v>
      </c>
      <c r="AC2468" s="1" t="str">
        <f>IF(Table1[[#This Row],[Spec Type2]]="N/A","N/A",IF(AND(Table1[[#This Row],[DUT Adj Read]]&gt;=Table1[[#This Row],[Low Tol]],Table1[[#This Row],[DUT Adj Read]]&lt;=Table1[[#This Row],[High Tol]]),"Pass","Fail"))</f>
        <v>Fail</v>
      </c>
      <c r="AD2468" s="1" t="str">
        <f>IF(AND(Table1[[#This Row],[Spec Type2]]="N/A",Table1[[#This Row],[DUT Adj Read]]="N/A",Table1[[#This Row],[Std Adj Read]]="N/A"),"N/A",IF(Table1[[#This Row],[DUT Adj Read]]="N/A",IF(Table1[[#This Row],[Std Adj Read]]&gt;Table1[[#This Row],[Low Tol]],"Pass","Fail"),IF(Table1[[#This Row],[DUT Adj Read]]&gt;Table1[[#This Row],[Low Tol]],"Pass","Fail")))</f>
        <v>Pass</v>
      </c>
      <c r="AE2468" s="1" t="str">
        <f>IF(AND(Table1[[#This Row],[Spec Type2]]="N/A",Table1[[#This Row],[DUT Adj Read]]="N/A",Table1[[#This Row],[Std Adj Read]]="N/A"),"N/A",IF(Table1[[#This Row],[DUT Adj Read]]="N/A",IF(Table1[[#This Row],[Std Adj Read]]&lt;Table1[[#This Row],[High Tol]],"Pass","Fail"),IF(Table1[[#This Row],[DUT Adj Read]]&lt;Table1[[#This Row],[High Tol]],"Pass","Fail")))</f>
        <v>Fail</v>
      </c>
      <c r="AF2468" s="1" t="str">
        <f>IF(AND(Table1[[#This Row],[Spec Type2]]="N/A",Table1[[#This Row],[DUT Adj Read]]="N/A",Table1[[#This Row],[Std Adj Read]]="N/A"),"N/A",IF(Table1[[#This Row],[DUT Adj Read]]="N/A",IF(Table1[[#This Row],[Std Adj Read]]&gt;=Table1[[#This Row],[Low Tol]],"Pass","Fail"),IF(Table1[[#This Row],[DUT Adj Read]]&gt;=Table1[[#This Row],[Low Tol]],"Pass","Fail")))</f>
        <v>Pass</v>
      </c>
      <c r="AG2468" s="1" t="str">
        <f>IF(AND(Table1[[#This Row],[Spec Type2]]="N/A",Table1[[#This Row],[DUT Adj Read]]="N/A",Table1[[#This Row],[Std Adj Read]]="N/A"),"N/A",IF(Table1[[#This Row],[DUT Adj Read]]="N/A",IF(Table1[[#This Row],[Std Adj Read]]&lt;=Table1[[#This Row],[High Tol]],"Pass","Fail"),IF(Table1[[#This Row],[DUT Adj Read]]&lt;=Table1[[#This Row],[High Tol]],"Pass","Fail")))</f>
        <v>Fail</v>
      </c>
      <c r="AH24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8" s="1" t="b">
        <v>0</v>
      </c>
      <c r="AN2468" s="1" t="b">
        <v>0</v>
      </c>
      <c r="AO2468" s="1" t="b">
        <v>0</v>
      </c>
    </row>
    <row r="2469" spans="1:41" x14ac:dyDescent="0.25">
      <c r="A2469" s="10"/>
      <c r="B2469" s="10"/>
      <c r="C2469" s="10"/>
      <c r="D2469" s="10"/>
      <c r="E2469" s="10"/>
      <c r="F2469" s="10"/>
      <c r="G2469" s="10"/>
      <c r="H2469" s="10"/>
      <c r="I2469" s="1" t="str">
        <f t="shared" si="114"/>
        <v/>
      </c>
      <c r="J2469" s="1" t="s">
        <v>35</v>
      </c>
      <c r="K2469" s="1" t="str">
        <f t="shared" si="115"/>
        <v/>
      </c>
      <c r="L2469" s="1" t="str">
        <f t="shared" si="116"/>
        <v/>
      </c>
      <c r="M2469" s="1">
        <f>IF(OR(Table1[[#This Row],[Std Nom]]="",Table1[[#This Row],[Std Read]]=""),0,Table1[[#This Row],[Std Nom]]-Table1[[#This Row],[Std Read]])</f>
        <v>0</v>
      </c>
      <c r="N2469" s="1">
        <f>IF(Calculations!$F$5="ACCREDITED 17025 WITH UNCERTAINTIES",$N$10,0)</f>
        <v>0</v>
      </c>
      <c r="O2469" s="1" t="str">
        <f>IFERROR(Table1[[#This Row],[Std Nom]]-(_xlfn.XLOOKUP(Table1[[#This Row],[Manufacturer]]&amp;" "&amp;Table1[[#This Row],[Model]],Table13[MFR &amp; MDL],Table13[Tolerance % CW ],"")/100*Table1[[#This Row],[Std Nom]]),"")</f>
        <v/>
      </c>
      <c r="P2469" s="1" t="str">
        <f>IFERROR(Table1[[#This Row],[Std Nom]]+(_xlfn.XLOOKUP(Table1[[#This Row],[Manufacturer]]&amp;" "&amp;Table1[[#This Row],[Model]],Table13[MFR &amp; MDL],Table13[Tolerance % CW ],"")/100*Table1[[#This Row],[Std Nom]]),"")</f>
        <v/>
      </c>
      <c r="Q2469" s="1" t="e">
        <f>Table1[[#This Row],[High Tol]]-Table1[[#This Row],[Low Tol]]</f>
        <v>#VALUE!</v>
      </c>
      <c r="R2469" s="1">
        <f>2*Table1[[#This Row],[Std Error]]</f>
        <v>0</v>
      </c>
      <c r="S2469" s="1" t="str">
        <f>IF(Table1[[#This Row],[High Tol]]="","N/A",IFERROR(ABS(Table1[[#This Row],[Tol Span]]/Table1[[#This Row],[Error Span]]),"N/A"))</f>
        <v>N/A</v>
      </c>
      <c r="T2469" s="1" t="str">
        <f>IF(OR(Table1[[#This Row],[Low Tol]]="",Table1[[#This Row],[High Tol]]=""),"Needs Analysis",IF(Table1[[#This Row],[Ratio]]&gt;=4,"Not Significant",IF(Table1[[#This Row],[Ratio]]&gt;=2,"Semi-Significant","Significant")))</f>
        <v>Needs Analysis</v>
      </c>
      <c r="W2469" s="1">
        <f>IF(Table1[[#This Row],[Cal Type]]&lt;&gt;"ACCREDITED 17025 WITH UNCERTAINTIES",0,"")</f>
        <v>0</v>
      </c>
      <c r="X2469" s="1" t="str">
        <f>IF(Table1[[#This Row],[DUT Read]]="","N/A",Table1[[#This Row],[Std Error]]+Table1[[#This Row],[DUT Read]]+Table1[[#This Row],[DUT Ucty]])</f>
        <v>N/A</v>
      </c>
      <c r="Y2469" s="1" t="str">
        <f>IF(Table1[[#This Row],[Std Read]]="","N/A",Table1[[#This Row],[Std Read]]+Table1[[#This Row],[Std Ucty]])</f>
        <v>N/A</v>
      </c>
      <c r="Z24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9" s="1" t="str">
        <f>IF(Table1[[#This Row],[Spec Type]]="","N/A",Table1[[#This Row],[Spec Type]])</f>
        <v>±</v>
      </c>
      <c r="AC2469" s="1" t="str">
        <f>IF(Table1[[#This Row],[Spec Type2]]="N/A","N/A",IF(AND(Table1[[#This Row],[DUT Adj Read]]&gt;=Table1[[#This Row],[Low Tol]],Table1[[#This Row],[DUT Adj Read]]&lt;=Table1[[#This Row],[High Tol]]),"Pass","Fail"))</f>
        <v>Fail</v>
      </c>
      <c r="AD2469" s="1" t="str">
        <f>IF(AND(Table1[[#This Row],[Spec Type2]]="N/A",Table1[[#This Row],[DUT Adj Read]]="N/A",Table1[[#This Row],[Std Adj Read]]="N/A"),"N/A",IF(Table1[[#This Row],[DUT Adj Read]]="N/A",IF(Table1[[#This Row],[Std Adj Read]]&gt;Table1[[#This Row],[Low Tol]],"Pass","Fail"),IF(Table1[[#This Row],[DUT Adj Read]]&gt;Table1[[#This Row],[Low Tol]],"Pass","Fail")))</f>
        <v>Pass</v>
      </c>
      <c r="AE2469" s="1" t="str">
        <f>IF(AND(Table1[[#This Row],[Spec Type2]]="N/A",Table1[[#This Row],[DUT Adj Read]]="N/A",Table1[[#This Row],[Std Adj Read]]="N/A"),"N/A",IF(Table1[[#This Row],[DUT Adj Read]]="N/A",IF(Table1[[#This Row],[Std Adj Read]]&lt;Table1[[#This Row],[High Tol]],"Pass","Fail"),IF(Table1[[#This Row],[DUT Adj Read]]&lt;Table1[[#This Row],[High Tol]],"Pass","Fail")))</f>
        <v>Fail</v>
      </c>
      <c r="AF2469" s="1" t="str">
        <f>IF(AND(Table1[[#This Row],[Spec Type2]]="N/A",Table1[[#This Row],[DUT Adj Read]]="N/A",Table1[[#This Row],[Std Adj Read]]="N/A"),"N/A",IF(Table1[[#This Row],[DUT Adj Read]]="N/A",IF(Table1[[#This Row],[Std Adj Read]]&gt;=Table1[[#This Row],[Low Tol]],"Pass","Fail"),IF(Table1[[#This Row],[DUT Adj Read]]&gt;=Table1[[#This Row],[Low Tol]],"Pass","Fail")))</f>
        <v>Pass</v>
      </c>
      <c r="AG2469" s="1" t="str">
        <f>IF(AND(Table1[[#This Row],[Spec Type2]]="N/A",Table1[[#This Row],[DUT Adj Read]]="N/A",Table1[[#This Row],[Std Adj Read]]="N/A"),"N/A",IF(Table1[[#This Row],[DUT Adj Read]]="N/A",IF(Table1[[#This Row],[Std Adj Read]]&lt;=Table1[[#This Row],[High Tol]],"Pass","Fail"),IF(Table1[[#This Row],[DUT Adj Read]]&lt;=Table1[[#This Row],[High Tol]],"Pass","Fail")))</f>
        <v>Fail</v>
      </c>
      <c r="AH24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9" s="1" t="b">
        <v>0</v>
      </c>
      <c r="AN2469" s="1" t="b">
        <v>0</v>
      </c>
      <c r="AO2469" s="1" t="b">
        <v>0</v>
      </c>
    </row>
    <row r="2470" spans="1:41" x14ac:dyDescent="0.25">
      <c r="A2470" s="10"/>
      <c r="B2470" s="10"/>
      <c r="C2470" s="10"/>
      <c r="D2470" s="10"/>
      <c r="E2470" s="10"/>
      <c r="F2470" s="10"/>
      <c r="G2470" s="10"/>
      <c r="H2470" s="10"/>
      <c r="I2470" s="1" t="str">
        <f t="shared" si="114"/>
        <v/>
      </c>
      <c r="J2470" s="1" t="s">
        <v>35</v>
      </c>
      <c r="K2470" s="1" t="str">
        <f t="shared" si="115"/>
        <v/>
      </c>
      <c r="L2470" s="1" t="str">
        <f t="shared" si="116"/>
        <v/>
      </c>
      <c r="M2470" s="1">
        <f>IF(OR(Table1[[#This Row],[Std Nom]]="",Table1[[#This Row],[Std Read]]=""),0,Table1[[#This Row],[Std Nom]]-Table1[[#This Row],[Std Read]])</f>
        <v>0</v>
      </c>
      <c r="N2470" s="1">
        <f>IF(Calculations!$F$5="ACCREDITED 17025 WITH UNCERTAINTIES",$N$10,0)</f>
        <v>0</v>
      </c>
      <c r="O2470" s="1" t="str">
        <f>IFERROR(Table1[[#This Row],[Std Nom]]-(_xlfn.XLOOKUP(Table1[[#This Row],[Manufacturer]]&amp;" "&amp;Table1[[#This Row],[Model]],Table13[MFR &amp; MDL],Table13[Tolerance % CW ],"")/100*Table1[[#This Row],[Std Nom]]),"")</f>
        <v/>
      </c>
      <c r="P2470" s="1" t="str">
        <f>IFERROR(Table1[[#This Row],[Std Nom]]+(_xlfn.XLOOKUP(Table1[[#This Row],[Manufacturer]]&amp;" "&amp;Table1[[#This Row],[Model]],Table13[MFR &amp; MDL],Table13[Tolerance % CW ],"")/100*Table1[[#This Row],[Std Nom]]),"")</f>
        <v/>
      </c>
      <c r="Q2470" s="1" t="e">
        <f>Table1[[#This Row],[High Tol]]-Table1[[#This Row],[Low Tol]]</f>
        <v>#VALUE!</v>
      </c>
      <c r="R2470" s="1">
        <f>2*Table1[[#This Row],[Std Error]]</f>
        <v>0</v>
      </c>
      <c r="S2470" s="1" t="str">
        <f>IF(Table1[[#This Row],[High Tol]]="","N/A",IFERROR(ABS(Table1[[#This Row],[Tol Span]]/Table1[[#This Row],[Error Span]]),"N/A"))</f>
        <v>N/A</v>
      </c>
      <c r="T2470" s="1" t="str">
        <f>IF(OR(Table1[[#This Row],[Low Tol]]="",Table1[[#This Row],[High Tol]]=""),"Needs Analysis",IF(Table1[[#This Row],[Ratio]]&gt;=4,"Not Significant",IF(Table1[[#This Row],[Ratio]]&gt;=2,"Semi-Significant","Significant")))</f>
        <v>Needs Analysis</v>
      </c>
      <c r="W2470" s="1">
        <f>IF(Table1[[#This Row],[Cal Type]]&lt;&gt;"ACCREDITED 17025 WITH UNCERTAINTIES",0,"")</f>
        <v>0</v>
      </c>
      <c r="X2470" s="1" t="str">
        <f>IF(Table1[[#This Row],[DUT Read]]="","N/A",Table1[[#This Row],[Std Error]]+Table1[[#This Row],[DUT Read]]+Table1[[#This Row],[DUT Ucty]])</f>
        <v>N/A</v>
      </c>
      <c r="Y2470" s="1" t="str">
        <f>IF(Table1[[#This Row],[Std Read]]="","N/A",Table1[[#This Row],[Std Read]]+Table1[[#This Row],[Std Ucty]])</f>
        <v>N/A</v>
      </c>
      <c r="Z24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0" s="1" t="str">
        <f>IF(Table1[[#This Row],[Spec Type]]="","N/A",Table1[[#This Row],[Spec Type]])</f>
        <v>±</v>
      </c>
      <c r="AC2470" s="1" t="str">
        <f>IF(Table1[[#This Row],[Spec Type2]]="N/A","N/A",IF(AND(Table1[[#This Row],[DUT Adj Read]]&gt;=Table1[[#This Row],[Low Tol]],Table1[[#This Row],[DUT Adj Read]]&lt;=Table1[[#This Row],[High Tol]]),"Pass","Fail"))</f>
        <v>Fail</v>
      </c>
      <c r="AD2470" s="1" t="str">
        <f>IF(AND(Table1[[#This Row],[Spec Type2]]="N/A",Table1[[#This Row],[DUT Adj Read]]="N/A",Table1[[#This Row],[Std Adj Read]]="N/A"),"N/A",IF(Table1[[#This Row],[DUT Adj Read]]="N/A",IF(Table1[[#This Row],[Std Adj Read]]&gt;Table1[[#This Row],[Low Tol]],"Pass","Fail"),IF(Table1[[#This Row],[DUT Adj Read]]&gt;Table1[[#This Row],[Low Tol]],"Pass","Fail")))</f>
        <v>Pass</v>
      </c>
      <c r="AE2470" s="1" t="str">
        <f>IF(AND(Table1[[#This Row],[Spec Type2]]="N/A",Table1[[#This Row],[DUT Adj Read]]="N/A",Table1[[#This Row],[Std Adj Read]]="N/A"),"N/A",IF(Table1[[#This Row],[DUT Adj Read]]="N/A",IF(Table1[[#This Row],[Std Adj Read]]&lt;Table1[[#This Row],[High Tol]],"Pass","Fail"),IF(Table1[[#This Row],[DUT Adj Read]]&lt;Table1[[#This Row],[High Tol]],"Pass","Fail")))</f>
        <v>Fail</v>
      </c>
      <c r="AF2470" s="1" t="str">
        <f>IF(AND(Table1[[#This Row],[Spec Type2]]="N/A",Table1[[#This Row],[DUT Adj Read]]="N/A",Table1[[#This Row],[Std Adj Read]]="N/A"),"N/A",IF(Table1[[#This Row],[DUT Adj Read]]="N/A",IF(Table1[[#This Row],[Std Adj Read]]&gt;=Table1[[#This Row],[Low Tol]],"Pass","Fail"),IF(Table1[[#This Row],[DUT Adj Read]]&gt;=Table1[[#This Row],[Low Tol]],"Pass","Fail")))</f>
        <v>Pass</v>
      </c>
      <c r="AG2470" s="1" t="str">
        <f>IF(AND(Table1[[#This Row],[Spec Type2]]="N/A",Table1[[#This Row],[DUT Adj Read]]="N/A",Table1[[#This Row],[Std Adj Read]]="N/A"),"N/A",IF(Table1[[#This Row],[DUT Adj Read]]="N/A",IF(Table1[[#This Row],[Std Adj Read]]&lt;=Table1[[#This Row],[High Tol]],"Pass","Fail"),IF(Table1[[#This Row],[DUT Adj Read]]&lt;=Table1[[#This Row],[High Tol]],"Pass","Fail")))</f>
        <v>Fail</v>
      </c>
      <c r="AH24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0" s="1" t="b">
        <v>0</v>
      </c>
      <c r="AN2470" s="1" t="b">
        <v>0</v>
      </c>
      <c r="AO2470" s="1" t="b">
        <v>0</v>
      </c>
    </row>
    <row r="2471" spans="1:41" x14ac:dyDescent="0.25">
      <c r="A2471" s="10"/>
      <c r="B2471" s="10"/>
      <c r="C2471" s="10"/>
      <c r="D2471" s="10"/>
      <c r="E2471" s="10"/>
      <c r="F2471" s="10"/>
      <c r="G2471" s="10"/>
      <c r="H2471" s="10"/>
      <c r="I2471" s="1" t="str">
        <f t="shared" si="114"/>
        <v/>
      </c>
      <c r="J2471" s="1" t="s">
        <v>35</v>
      </c>
      <c r="K2471" s="1" t="str">
        <f t="shared" si="115"/>
        <v/>
      </c>
      <c r="L2471" s="1" t="str">
        <f t="shared" si="116"/>
        <v/>
      </c>
      <c r="M2471" s="1">
        <f>IF(OR(Table1[[#This Row],[Std Nom]]="",Table1[[#This Row],[Std Read]]=""),0,Table1[[#This Row],[Std Nom]]-Table1[[#This Row],[Std Read]])</f>
        <v>0</v>
      </c>
      <c r="N2471" s="1">
        <f>IF(Calculations!$F$5="ACCREDITED 17025 WITH UNCERTAINTIES",$N$10,0)</f>
        <v>0</v>
      </c>
      <c r="O2471" s="1" t="str">
        <f>IFERROR(Table1[[#This Row],[Std Nom]]-(_xlfn.XLOOKUP(Table1[[#This Row],[Manufacturer]]&amp;" "&amp;Table1[[#This Row],[Model]],Table13[MFR &amp; MDL],Table13[Tolerance % CW ],"")/100*Table1[[#This Row],[Std Nom]]),"")</f>
        <v/>
      </c>
      <c r="P2471" s="1" t="str">
        <f>IFERROR(Table1[[#This Row],[Std Nom]]+(_xlfn.XLOOKUP(Table1[[#This Row],[Manufacturer]]&amp;" "&amp;Table1[[#This Row],[Model]],Table13[MFR &amp; MDL],Table13[Tolerance % CW ],"")/100*Table1[[#This Row],[Std Nom]]),"")</f>
        <v/>
      </c>
      <c r="Q2471" s="1" t="e">
        <f>Table1[[#This Row],[High Tol]]-Table1[[#This Row],[Low Tol]]</f>
        <v>#VALUE!</v>
      </c>
      <c r="R2471" s="1">
        <f>2*Table1[[#This Row],[Std Error]]</f>
        <v>0</v>
      </c>
      <c r="S2471" s="1" t="str">
        <f>IF(Table1[[#This Row],[High Tol]]="","N/A",IFERROR(ABS(Table1[[#This Row],[Tol Span]]/Table1[[#This Row],[Error Span]]),"N/A"))</f>
        <v>N/A</v>
      </c>
      <c r="T2471" s="1" t="str">
        <f>IF(OR(Table1[[#This Row],[Low Tol]]="",Table1[[#This Row],[High Tol]]=""),"Needs Analysis",IF(Table1[[#This Row],[Ratio]]&gt;=4,"Not Significant",IF(Table1[[#This Row],[Ratio]]&gt;=2,"Semi-Significant","Significant")))</f>
        <v>Needs Analysis</v>
      </c>
      <c r="W2471" s="1">
        <f>IF(Table1[[#This Row],[Cal Type]]&lt;&gt;"ACCREDITED 17025 WITH UNCERTAINTIES",0,"")</f>
        <v>0</v>
      </c>
      <c r="X2471" s="1" t="str">
        <f>IF(Table1[[#This Row],[DUT Read]]="","N/A",Table1[[#This Row],[Std Error]]+Table1[[#This Row],[DUT Read]]+Table1[[#This Row],[DUT Ucty]])</f>
        <v>N/A</v>
      </c>
      <c r="Y2471" s="1" t="str">
        <f>IF(Table1[[#This Row],[Std Read]]="","N/A",Table1[[#This Row],[Std Read]]+Table1[[#This Row],[Std Ucty]])</f>
        <v>N/A</v>
      </c>
      <c r="Z24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1" s="1" t="str">
        <f>IF(Table1[[#This Row],[Spec Type]]="","N/A",Table1[[#This Row],[Spec Type]])</f>
        <v>±</v>
      </c>
      <c r="AC2471" s="1" t="str">
        <f>IF(Table1[[#This Row],[Spec Type2]]="N/A","N/A",IF(AND(Table1[[#This Row],[DUT Adj Read]]&gt;=Table1[[#This Row],[Low Tol]],Table1[[#This Row],[DUT Adj Read]]&lt;=Table1[[#This Row],[High Tol]]),"Pass","Fail"))</f>
        <v>Fail</v>
      </c>
      <c r="AD2471" s="1" t="str">
        <f>IF(AND(Table1[[#This Row],[Spec Type2]]="N/A",Table1[[#This Row],[DUT Adj Read]]="N/A",Table1[[#This Row],[Std Adj Read]]="N/A"),"N/A",IF(Table1[[#This Row],[DUT Adj Read]]="N/A",IF(Table1[[#This Row],[Std Adj Read]]&gt;Table1[[#This Row],[Low Tol]],"Pass","Fail"),IF(Table1[[#This Row],[DUT Adj Read]]&gt;Table1[[#This Row],[Low Tol]],"Pass","Fail")))</f>
        <v>Pass</v>
      </c>
      <c r="AE2471" s="1" t="str">
        <f>IF(AND(Table1[[#This Row],[Spec Type2]]="N/A",Table1[[#This Row],[DUT Adj Read]]="N/A",Table1[[#This Row],[Std Adj Read]]="N/A"),"N/A",IF(Table1[[#This Row],[DUT Adj Read]]="N/A",IF(Table1[[#This Row],[Std Adj Read]]&lt;Table1[[#This Row],[High Tol]],"Pass","Fail"),IF(Table1[[#This Row],[DUT Adj Read]]&lt;Table1[[#This Row],[High Tol]],"Pass","Fail")))</f>
        <v>Fail</v>
      </c>
      <c r="AF2471" s="1" t="str">
        <f>IF(AND(Table1[[#This Row],[Spec Type2]]="N/A",Table1[[#This Row],[DUT Adj Read]]="N/A",Table1[[#This Row],[Std Adj Read]]="N/A"),"N/A",IF(Table1[[#This Row],[DUT Adj Read]]="N/A",IF(Table1[[#This Row],[Std Adj Read]]&gt;=Table1[[#This Row],[Low Tol]],"Pass","Fail"),IF(Table1[[#This Row],[DUT Adj Read]]&gt;=Table1[[#This Row],[Low Tol]],"Pass","Fail")))</f>
        <v>Pass</v>
      </c>
      <c r="AG2471" s="1" t="str">
        <f>IF(AND(Table1[[#This Row],[Spec Type2]]="N/A",Table1[[#This Row],[DUT Adj Read]]="N/A",Table1[[#This Row],[Std Adj Read]]="N/A"),"N/A",IF(Table1[[#This Row],[DUT Adj Read]]="N/A",IF(Table1[[#This Row],[Std Adj Read]]&lt;=Table1[[#This Row],[High Tol]],"Pass","Fail"),IF(Table1[[#This Row],[DUT Adj Read]]&lt;=Table1[[#This Row],[High Tol]],"Pass","Fail")))</f>
        <v>Fail</v>
      </c>
      <c r="AH24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1" s="1" t="b">
        <v>0</v>
      </c>
      <c r="AN2471" s="1" t="b">
        <v>0</v>
      </c>
      <c r="AO2471" s="1" t="b">
        <v>0</v>
      </c>
    </row>
    <row r="2472" spans="1:41" x14ac:dyDescent="0.25">
      <c r="A2472" s="10"/>
      <c r="B2472" s="10"/>
      <c r="C2472" s="10"/>
      <c r="D2472" s="10"/>
      <c r="E2472" s="10"/>
      <c r="F2472" s="10"/>
      <c r="G2472" s="10"/>
      <c r="H2472" s="10"/>
      <c r="I2472" s="1" t="str">
        <f t="shared" si="114"/>
        <v/>
      </c>
      <c r="J2472" s="1" t="s">
        <v>35</v>
      </c>
      <c r="K2472" s="1" t="str">
        <f t="shared" si="115"/>
        <v/>
      </c>
      <c r="L2472" s="1" t="str">
        <f t="shared" si="116"/>
        <v/>
      </c>
      <c r="M2472" s="1">
        <f>IF(OR(Table1[[#This Row],[Std Nom]]="",Table1[[#This Row],[Std Read]]=""),0,Table1[[#This Row],[Std Nom]]-Table1[[#This Row],[Std Read]])</f>
        <v>0</v>
      </c>
      <c r="N2472" s="1">
        <f>IF(Calculations!$F$5="ACCREDITED 17025 WITH UNCERTAINTIES",$N$10,0)</f>
        <v>0</v>
      </c>
      <c r="O2472" s="1" t="str">
        <f>IFERROR(Table1[[#This Row],[Std Nom]]-(_xlfn.XLOOKUP(Table1[[#This Row],[Manufacturer]]&amp;" "&amp;Table1[[#This Row],[Model]],Table13[MFR &amp; MDL],Table13[Tolerance % CW ],"")/100*Table1[[#This Row],[Std Nom]]),"")</f>
        <v/>
      </c>
      <c r="P2472" s="1" t="str">
        <f>IFERROR(Table1[[#This Row],[Std Nom]]+(_xlfn.XLOOKUP(Table1[[#This Row],[Manufacturer]]&amp;" "&amp;Table1[[#This Row],[Model]],Table13[MFR &amp; MDL],Table13[Tolerance % CW ],"")/100*Table1[[#This Row],[Std Nom]]),"")</f>
        <v/>
      </c>
      <c r="Q2472" s="1" t="e">
        <f>Table1[[#This Row],[High Tol]]-Table1[[#This Row],[Low Tol]]</f>
        <v>#VALUE!</v>
      </c>
      <c r="R2472" s="1">
        <f>2*Table1[[#This Row],[Std Error]]</f>
        <v>0</v>
      </c>
      <c r="S2472" s="1" t="str">
        <f>IF(Table1[[#This Row],[High Tol]]="","N/A",IFERROR(ABS(Table1[[#This Row],[Tol Span]]/Table1[[#This Row],[Error Span]]),"N/A"))</f>
        <v>N/A</v>
      </c>
      <c r="T2472" s="1" t="str">
        <f>IF(OR(Table1[[#This Row],[Low Tol]]="",Table1[[#This Row],[High Tol]]=""),"Needs Analysis",IF(Table1[[#This Row],[Ratio]]&gt;=4,"Not Significant",IF(Table1[[#This Row],[Ratio]]&gt;=2,"Semi-Significant","Significant")))</f>
        <v>Needs Analysis</v>
      </c>
      <c r="W2472" s="1">
        <f>IF(Table1[[#This Row],[Cal Type]]&lt;&gt;"ACCREDITED 17025 WITH UNCERTAINTIES",0,"")</f>
        <v>0</v>
      </c>
      <c r="X2472" s="1" t="str">
        <f>IF(Table1[[#This Row],[DUT Read]]="","N/A",Table1[[#This Row],[Std Error]]+Table1[[#This Row],[DUT Read]]+Table1[[#This Row],[DUT Ucty]])</f>
        <v>N/A</v>
      </c>
      <c r="Y2472" s="1" t="str">
        <f>IF(Table1[[#This Row],[Std Read]]="","N/A",Table1[[#This Row],[Std Read]]+Table1[[#This Row],[Std Ucty]])</f>
        <v>N/A</v>
      </c>
      <c r="Z24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2" s="1" t="str">
        <f>IF(Table1[[#This Row],[Spec Type]]="","N/A",Table1[[#This Row],[Spec Type]])</f>
        <v>±</v>
      </c>
      <c r="AC2472" s="1" t="str">
        <f>IF(Table1[[#This Row],[Spec Type2]]="N/A","N/A",IF(AND(Table1[[#This Row],[DUT Adj Read]]&gt;=Table1[[#This Row],[Low Tol]],Table1[[#This Row],[DUT Adj Read]]&lt;=Table1[[#This Row],[High Tol]]),"Pass","Fail"))</f>
        <v>Fail</v>
      </c>
      <c r="AD2472" s="1" t="str">
        <f>IF(AND(Table1[[#This Row],[Spec Type2]]="N/A",Table1[[#This Row],[DUT Adj Read]]="N/A",Table1[[#This Row],[Std Adj Read]]="N/A"),"N/A",IF(Table1[[#This Row],[DUT Adj Read]]="N/A",IF(Table1[[#This Row],[Std Adj Read]]&gt;Table1[[#This Row],[Low Tol]],"Pass","Fail"),IF(Table1[[#This Row],[DUT Adj Read]]&gt;Table1[[#This Row],[Low Tol]],"Pass","Fail")))</f>
        <v>Pass</v>
      </c>
      <c r="AE2472" s="1" t="str">
        <f>IF(AND(Table1[[#This Row],[Spec Type2]]="N/A",Table1[[#This Row],[DUT Adj Read]]="N/A",Table1[[#This Row],[Std Adj Read]]="N/A"),"N/A",IF(Table1[[#This Row],[DUT Adj Read]]="N/A",IF(Table1[[#This Row],[Std Adj Read]]&lt;Table1[[#This Row],[High Tol]],"Pass","Fail"),IF(Table1[[#This Row],[DUT Adj Read]]&lt;Table1[[#This Row],[High Tol]],"Pass","Fail")))</f>
        <v>Fail</v>
      </c>
      <c r="AF2472" s="1" t="str">
        <f>IF(AND(Table1[[#This Row],[Spec Type2]]="N/A",Table1[[#This Row],[DUT Adj Read]]="N/A",Table1[[#This Row],[Std Adj Read]]="N/A"),"N/A",IF(Table1[[#This Row],[DUT Adj Read]]="N/A",IF(Table1[[#This Row],[Std Adj Read]]&gt;=Table1[[#This Row],[Low Tol]],"Pass","Fail"),IF(Table1[[#This Row],[DUT Adj Read]]&gt;=Table1[[#This Row],[Low Tol]],"Pass","Fail")))</f>
        <v>Pass</v>
      </c>
      <c r="AG2472" s="1" t="str">
        <f>IF(AND(Table1[[#This Row],[Spec Type2]]="N/A",Table1[[#This Row],[DUT Adj Read]]="N/A",Table1[[#This Row],[Std Adj Read]]="N/A"),"N/A",IF(Table1[[#This Row],[DUT Adj Read]]="N/A",IF(Table1[[#This Row],[Std Adj Read]]&lt;=Table1[[#This Row],[High Tol]],"Pass","Fail"),IF(Table1[[#This Row],[DUT Adj Read]]&lt;=Table1[[#This Row],[High Tol]],"Pass","Fail")))</f>
        <v>Fail</v>
      </c>
      <c r="AH24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2" s="1" t="b">
        <v>0</v>
      </c>
      <c r="AN2472" s="1" t="b">
        <v>0</v>
      </c>
      <c r="AO2472" s="1" t="b">
        <v>0</v>
      </c>
    </row>
    <row r="2473" spans="1:41" x14ac:dyDescent="0.25">
      <c r="A2473" s="10"/>
      <c r="B2473" s="10"/>
      <c r="C2473" s="10"/>
      <c r="D2473" s="10"/>
      <c r="E2473" s="10"/>
      <c r="F2473" s="10"/>
      <c r="G2473" s="10"/>
      <c r="H2473" s="10"/>
      <c r="I2473" s="1" t="str">
        <f t="shared" si="114"/>
        <v/>
      </c>
      <c r="J2473" s="1" t="s">
        <v>35</v>
      </c>
      <c r="K2473" s="1" t="str">
        <f t="shared" si="115"/>
        <v/>
      </c>
      <c r="L2473" s="1" t="str">
        <f t="shared" si="116"/>
        <v/>
      </c>
      <c r="M2473" s="1">
        <f>IF(OR(Table1[[#This Row],[Std Nom]]="",Table1[[#This Row],[Std Read]]=""),0,Table1[[#This Row],[Std Nom]]-Table1[[#This Row],[Std Read]])</f>
        <v>0</v>
      </c>
      <c r="N2473" s="1">
        <f>IF(Calculations!$F$5="ACCREDITED 17025 WITH UNCERTAINTIES",$N$10,0)</f>
        <v>0</v>
      </c>
      <c r="O2473" s="1" t="str">
        <f>IFERROR(Table1[[#This Row],[Std Nom]]-(_xlfn.XLOOKUP(Table1[[#This Row],[Manufacturer]]&amp;" "&amp;Table1[[#This Row],[Model]],Table13[MFR &amp; MDL],Table13[Tolerance % CW ],"")/100*Table1[[#This Row],[Std Nom]]),"")</f>
        <v/>
      </c>
      <c r="P2473" s="1" t="str">
        <f>IFERROR(Table1[[#This Row],[Std Nom]]+(_xlfn.XLOOKUP(Table1[[#This Row],[Manufacturer]]&amp;" "&amp;Table1[[#This Row],[Model]],Table13[MFR &amp; MDL],Table13[Tolerance % CW ],"")/100*Table1[[#This Row],[Std Nom]]),"")</f>
        <v/>
      </c>
      <c r="Q2473" s="1" t="e">
        <f>Table1[[#This Row],[High Tol]]-Table1[[#This Row],[Low Tol]]</f>
        <v>#VALUE!</v>
      </c>
      <c r="R2473" s="1">
        <f>2*Table1[[#This Row],[Std Error]]</f>
        <v>0</v>
      </c>
      <c r="S2473" s="1" t="str">
        <f>IF(Table1[[#This Row],[High Tol]]="","N/A",IFERROR(ABS(Table1[[#This Row],[Tol Span]]/Table1[[#This Row],[Error Span]]),"N/A"))</f>
        <v>N/A</v>
      </c>
      <c r="T2473" s="1" t="str">
        <f>IF(OR(Table1[[#This Row],[Low Tol]]="",Table1[[#This Row],[High Tol]]=""),"Needs Analysis",IF(Table1[[#This Row],[Ratio]]&gt;=4,"Not Significant",IF(Table1[[#This Row],[Ratio]]&gt;=2,"Semi-Significant","Significant")))</f>
        <v>Needs Analysis</v>
      </c>
      <c r="W2473" s="1">
        <f>IF(Table1[[#This Row],[Cal Type]]&lt;&gt;"ACCREDITED 17025 WITH UNCERTAINTIES",0,"")</f>
        <v>0</v>
      </c>
      <c r="X2473" s="1" t="str">
        <f>IF(Table1[[#This Row],[DUT Read]]="","N/A",Table1[[#This Row],[Std Error]]+Table1[[#This Row],[DUT Read]]+Table1[[#This Row],[DUT Ucty]])</f>
        <v>N/A</v>
      </c>
      <c r="Y2473" s="1" t="str">
        <f>IF(Table1[[#This Row],[Std Read]]="","N/A",Table1[[#This Row],[Std Read]]+Table1[[#This Row],[Std Ucty]])</f>
        <v>N/A</v>
      </c>
      <c r="Z24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3" s="1" t="str">
        <f>IF(Table1[[#This Row],[Spec Type]]="","N/A",Table1[[#This Row],[Spec Type]])</f>
        <v>±</v>
      </c>
      <c r="AC2473" s="1" t="str">
        <f>IF(Table1[[#This Row],[Spec Type2]]="N/A","N/A",IF(AND(Table1[[#This Row],[DUT Adj Read]]&gt;=Table1[[#This Row],[Low Tol]],Table1[[#This Row],[DUT Adj Read]]&lt;=Table1[[#This Row],[High Tol]]),"Pass","Fail"))</f>
        <v>Fail</v>
      </c>
      <c r="AD2473" s="1" t="str">
        <f>IF(AND(Table1[[#This Row],[Spec Type2]]="N/A",Table1[[#This Row],[DUT Adj Read]]="N/A",Table1[[#This Row],[Std Adj Read]]="N/A"),"N/A",IF(Table1[[#This Row],[DUT Adj Read]]="N/A",IF(Table1[[#This Row],[Std Adj Read]]&gt;Table1[[#This Row],[Low Tol]],"Pass","Fail"),IF(Table1[[#This Row],[DUT Adj Read]]&gt;Table1[[#This Row],[Low Tol]],"Pass","Fail")))</f>
        <v>Pass</v>
      </c>
      <c r="AE2473" s="1" t="str">
        <f>IF(AND(Table1[[#This Row],[Spec Type2]]="N/A",Table1[[#This Row],[DUT Adj Read]]="N/A",Table1[[#This Row],[Std Adj Read]]="N/A"),"N/A",IF(Table1[[#This Row],[DUT Adj Read]]="N/A",IF(Table1[[#This Row],[Std Adj Read]]&lt;Table1[[#This Row],[High Tol]],"Pass","Fail"),IF(Table1[[#This Row],[DUT Adj Read]]&lt;Table1[[#This Row],[High Tol]],"Pass","Fail")))</f>
        <v>Fail</v>
      </c>
      <c r="AF2473" s="1" t="str">
        <f>IF(AND(Table1[[#This Row],[Spec Type2]]="N/A",Table1[[#This Row],[DUT Adj Read]]="N/A",Table1[[#This Row],[Std Adj Read]]="N/A"),"N/A",IF(Table1[[#This Row],[DUT Adj Read]]="N/A",IF(Table1[[#This Row],[Std Adj Read]]&gt;=Table1[[#This Row],[Low Tol]],"Pass","Fail"),IF(Table1[[#This Row],[DUT Adj Read]]&gt;=Table1[[#This Row],[Low Tol]],"Pass","Fail")))</f>
        <v>Pass</v>
      </c>
      <c r="AG2473" s="1" t="str">
        <f>IF(AND(Table1[[#This Row],[Spec Type2]]="N/A",Table1[[#This Row],[DUT Adj Read]]="N/A",Table1[[#This Row],[Std Adj Read]]="N/A"),"N/A",IF(Table1[[#This Row],[DUT Adj Read]]="N/A",IF(Table1[[#This Row],[Std Adj Read]]&lt;=Table1[[#This Row],[High Tol]],"Pass","Fail"),IF(Table1[[#This Row],[DUT Adj Read]]&lt;=Table1[[#This Row],[High Tol]],"Pass","Fail")))</f>
        <v>Fail</v>
      </c>
      <c r="AH24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3" s="1" t="b">
        <v>0</v>
      </c>
      <c r="AN2473" s="1" t="b">
        <v>0</v>
      </c>
      <c r="AO2473" s="1" t="b">
        <v>0</v>
      </c>
    </row>
    <row r="2474" spans="1:41" x14ac:dyDescent="0.25">
      <c r="A2474" s="10"/>
      <c r="B2474" s="10"/>
      <c r="C2474" s="10"/>
      <c r="D2474" s="10"/>
      <c r="E2474" s="10"/>
      <c r="F2474" s="10"/>
      <c r="G2474" s="10"/>
      <c r="H2474" s="10"/>
      <c r="I2474" s="1" t="str">
        <f t="shared" si="114"/>
        <v/>
      </c>
      <c r="J2474" s="1" t="s">
        <v>35</v>
      </c>
      <c r="K2474" s="1" t="str">
        <f t="shared" si="115"/>
        <v/>
      </c>
      <c r="L2474" s="1" t="str">
        <f t="shared" si="116"/>
        <v/>
      </c>
      <c r="M2474" s="1">
        <f>IF(OR(Table1[[#This Row],[Std Nom]]="",Table1[[#This Row],[Std Read]]=""),0,Table1[[#This Row],[Std Nom]]-Table1[[#This Row],[Std Read]])</f>
        <v>0</v>
      </c>
      <c r="N2474" s="1">
        <f>IF(Calculations!$F$5="ACCREDITED 17025 WITH UNCERTAINTIES",$N$10,0)</f>
        <v>0</v>
      </c>
      <c r="O2474" s="1" t="str">
        <f>IFERROR(Table1[[#This Row],[Std Nom]]-(_xlfn.XLOOKUP(Table1[[#This Row],[Manufacturer]]&amp;" "&amp;Table1[[#This Row],[Model]],Table13[MFR &amp; MDL],Table13[Tolerance % CW ],"")/100*Table1[[#This Row],[Std Nom]]),"")</f>
        <v/>
      </c>
      <c r="P2474" s="1" t="str">
        <f>IFERROR(Table1[[#This Row],[Std Nom]]+(_xlfn.XLOOKUP(Table1[[#This Row],[Manufacturer]]&amp;" "&amp;Table1[[#This Row],[Model]],Table13[MFR &amp; MDL],Table13[Tolerance % CW ],"")/100*Table1[[#This Row],[Std Nom]]),"")</f>
        <v/>
      </c>
      <c r="Q2474" s="1" t="e">
        <f>Table1[[#This Row],[High Tol]]-Table1[[#This Row],[Low Tol]]</f>
        <v>#VALUE!</v>
      </c>
      <c r="R2474" s="1">
        <f>2*Table1[[#This Row],[Std Error]]</f>
        <v>0</v>
      </c>
      <c r="S2474" s="1" t="str">
        <f>IF(Table1[[#This Row],[High Tol]]="","N/A",IFERROR(ABS(Table1[[#This Row],[Tol Span]]/Table1[[#This Row],[Error Span]]),"N/A"))</f>
        <v>N/A</v>
      </c>
      <c r="T2474" s="1" t="str">
        <f>IF(OR(Table1[[#This Row],[Low Tol]]="",Table1[[#This Row],[High Tol]]=""),"Needs Analysis",IF(Table1[[#This Row],[Ratio]]&gt;=4,"Not Significant",IF(Table1[[#This Row],[Ratio]]&gt;=2,"Semi-Significant","Significant")))</f>
        <v>Needs Analysis</v>
      </c>
      <c r="W2474" s="1">
        <f>IF(Table1[[#This Row],[Cal Type]]&lt;&gt;"ACCREDITED 17025 WITH UNCERTAINTIES",0,"")</f>
        <v>0</v>
      </c>
      <c r="X2474" s="1" t="str">
        <f>IF(Table1[[#This Row],[DUT Read]]="","N/A",Table1[[#This Row],[Std Error]]+Table1[[#This Row],[DUT Read]]+Table1[[#This Row],[DUT Ucty]])</f>
        <v>N/A</v>
      </c>
      <c r="Y2474" s="1" t="str">
        <f>IF(Table1[[#This Row],[Std Read]]="","N/A",Table1[[#This Row],[Std Read]]+Table1[[#This Row],[Std Ucty]])</f>
        <v>N/A</v>
      </c>
      <c r="Z24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4" s="1" t="str">
        <f>IF(Table1[[#This Row],[Spec Type]]="","N/A",Table1[[#This Row],[Spec Type]])</f>
        <v>±</v>
      </c>
      <c r="AC2474" s="1" t="str">
        <f>IF(Table1[[#This Row],[Spec Type2]]="N/A","N/A",IF(AND(Table1[[#This Row],[DUT Adj Read]]&gt;=Table1[[#This Row],[Low Tol]],Table1[[#This Row],[DUT Adj Read]]&lt;=Table1[[#This Row],[High Tol]]),"Pass","Fail"))</f>
        <v>Fail</v>
      </c>
      <c r="AD2474" s="1" t="str">
        <f>IF(AND(Table1[[#This Row],[Spec Type2]]="N/A",Table1[[#This Row],[DUT Adj Read]]="N/A",Table1[[#This Row],[Std Adj Read]]="N/A"),"N/A",IF(Table1[[#This Row],[DUT Adj Read]]="N/A",IF(Table1[[#This Row],[Std Adj Read]]&gt;Table1[[#This Row],[Low Tol]],"Pass","Fail"),IF(Table1[[#This Row],[DUT Adj Read]]&gt;Table1[[#This Row],[Low Tol]],"Pass","Fail")))</f>
        <v>Pass</v>
      </c>
      <c r="AE2474" s="1" t="str">
        <f>IF(AND(Table1[[#This Row],[Spec Type2]]="N/A",Table1[[#This Row],[DUT Adj Read]]="N/A",Table1[[#This Row],[Std Adj Read]]="N/A"),"N/A",IF(Table1[[#This Row],[DUT Adj Read]]="N/A",IF(Table1[[#This Row],[Std Adj Read]]&lt;Table1[[#This Row],[High Tol]],"Pass","Fail"),IF(Table1[[#This Row],[DUT Adj Read]]&lt;Table1[[#This Row],[High Tol]],"Pass","Fail")))</f>
        <v>Fail</v>
      </c>
      <c r="AF2474" s="1" t="str">
        <f>IF(AND(Table1[[#This Row],[Spec Type2]]="N/A",Table1[[#This Row],[DUT Adj Read]]="N/A",Table1[[#This Row],[Std Adj Read]]="N/A"),"N/A",IF(Table1[[#This Row],[DUT Adj Read]]="N/A",IF(Table1[[#This Row],[Std Adj Read]]&gt;=Table1[[#This Row],[Low Tol]],"Pass","Fail"),IF(Table1[[#This Row],[DUT Adj Read]]&gt;=Table1[[#This Row],[Low Tol]],"Pass","Fail")))</f>
        <v>Pass</v>
      </c>
      <c r="AG2474" s="1" t="str">
        <f>IF(AND(Table1[[#This Row],[Spec Type2]]="N/A",Table1[[#This Row],[DUT Adj Read]]="N/A",Table1[[#This Row],[Std Adj Read]]="N/A"),"N/A",IF(Table1[[#This Row],[DUT Adj Read]]="N/A",IF(Table1[[#This Row],[Std Adj Read]]&lt;=Table1[[#This Row],[High Tol]],"Pass","Fail"),IF(Table1[[#This Row],[DUT Adj Read]]&lt;=Table1[[#This Row],[High Tol]],"Pass","Fail")))</f>
        <v>Fail</v>
      </c>
      <c r="AH24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4" s="1" t="b">
        <v>0</v>
      </c>
      <c r="AN2474" s="1" t="b">
        <v>0</v>
      </c>
      <c r="AO2474" s="1" t="b">
        <v>0</v>
      </c>
    </row>
    <row r="2475" spans="1:41" x14ac:dyDescent="0.25">
      <c r="A2475" s="10"/>
      <c r="B2475" s="10"/>
      <c r="C2475" s="10"/>
      <c r="D2475" s="10"/>
      <c r="E2475" s="10"/>
      <c r="F2475" s="10"/>
      <c r="G2475" s="10"/>
      <c r="H2475" s="10"/>
      <c r="I2475" s="1" t="str">
        <f t="shared" si="114"/>
        <v/>
      </c>
      <c r="J2475" s="1" t="s">
        <v>35</v>
      </c>
      <c r="K2475" s="1" t="str">
        <f t="shared" si="115"/>
        <v/>
      </c>
      <c r="L2475" s="1" t="str">
        <f t="shared" si="116"/>
        <v/>
      </c>
      <c r="M2475" s="1">
        <f>IF(OR(Table1[[#This Row],[Std Nom]]="",Table1[[#This Row],[Std Read]]=""),0,Table1[[#This Row],[Std Nom]]-Table1[[#This Row],[Std Read]])</f>
        <v>0</v>
      </c>
      <c r="N2475" s="1">
        <f>IF(Calculations!$F$5="ACCREDITED 17025 WITH UNCERTAINTIES",$N$10,0)</f>
        <v>0</v>
      </c>
      <c r="O2475" s="1" t="str">
        <f>IFERROR(Table1[[#This Row],[Std Nom]]-(_xlfn.XLOOKUP(Table1[[#This Row],[Manufacturer]]&amp;" "&amp;Table1[[#This Row],[Model]],Table13[MFR &amp; MDL],Table13[Tolerance % CW ],"")/100*Table1[[#This Row],[Std Nom]]),"")</f>
        <v/>
      </c>
      <c r="P2475" s="1" t="str">
        <f>IFERROR(Table1[[#This Row],[Std Nom]]+(_xlfn.XLOOKUP(Table1[[#This Row],[Manufacturer]]&amp;" "&amp;Table1[[#This Row],[Model]],Table13[MFR &amp; MDL],Table13[Tolerance % CW ],"")/100*Table1[[#This Row],[Std Nom]]),"")</f>
        <v/>
      </c>
      <c r="Q2475" s="1" t="e">
        <f>Table1[[#This Row],[High Tol]]-Table1[[#This Row],[Low Tol]]</f>
        <v>#VALUE!</v>
      </c>
      <c r="R2475" s="1">
        <f>2*Table1[[#This Row],[Std Error]]</f>
        <v>0</v>
      </c>
      <c r="S2475" s="1" t="str">
        <f>IF(Table1[[#This Row],[High Tol]]="","N/A",IFERROR(ABS(Table1[[#This Row],[Tol Span]]/Table1[[#This Row],[Error Span]]),"N/A"))</f>
        <v>N/A</v>
      </c>
      <c r="T2475" s="1" t="str">
        <f>IF(OR(Table1[[#This Row],[Low Tol]]="",Table1[[#This Row],[High Tol]]=""),"Needs Analysis",IF(Table1[[#This Row],[Ratio]]&gt;=4,"Not Significant",IF(Table1[[#This Row],[Ratio]]&gt;=2,"Semi-Significant","Significant")))</f>
        <v>Needs Analysis</v>
      </c>
      <c r="W2475" s="1">
        <f>IF(Table1[[#This Row],[Cal Type]]&lt;&gt;"ACCREDITED 17025 WITH UNCERTAINTIES",0,"")</f>
        <v>0</v>
      </c>
      <c r="X2475" s="1" t="str">
        <f>IF(Table1[[#This Row],[DUT Read]]="","N/A",Table1[[#This Row],[Std Error]]+Table1[[#This Row],[DUT Read]]+Table1[[#This Row],[DUT Ucty]])</f>
        <v>N/A</v>
      </c>
      <c r="Y2475" s="1" t="str">
        <f>IF(Table1[[#This Row],[Std Read]]="","N/A",Table1[[#This Row],[Std Read]]+Table1[[#This Row],[Std Ucty]])</f>
        <v>N/A</v>
      </c>
      <c r="Z24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5" s="1" t="str">
        <f>IF(Table1[[#This Row],[Spec Type]]="","N/A",Table1[[#This Row],[Spec Type]])</f>
        <v>±</v>
      </c>
      <c r="AC2475" s="1" t="str">
        <f>IF(Table1[[#This Row],[Spec Type2]]="N/A","N/A",IF(AND(Table1[[#This Row],[DUT Adj Read]]&gt;=Table1[[#This Row],[Low Tol]],Table1[[#This Row],[DUT Adj Read]]&lt;=Table1[[#This Row],[High Tol]]),"Pass","Fail"))</f>
        <v>Fail</v>
      </c>
      <c r="AD2475" s="1" t="str">
        <f>IF(AND(Table1[[#This Row],[Spec Type2]]="N/A",Table1[[#This Row],[DUT Adj Read]]="N/A",Table1[[#This Row],[Std Adj Read]]="N/A"),"N/A",IF(Table1[[#This Row],[DUT Adj Read]]="N/A",IF(Table1[[#This Row],[Std Adj Read]]&gt;Table1[[#This Row],[Low Tol]],"Pass","Fail"),IF(Table1[[#This Row],[DUT Adj Read]]&gt;Table1[[#This Row],[Low Tol]],"Pass","Fail")))</f>
        <v>Pass</v>
      </c>
      <c r="AE2475" s="1" t="str">
        <f>IF(AND(Table1[[#This Row],[Spec Type2]]="N/A",Table1[[#This Row],[DUT Adj Read]]="N/A",Table1[[#This Row],[Std Adj Read]]="N/A"),"N/A",IF(Table1[[#This Row],[DUT Adj Read]]="N/A",IF(Table1[[#This Row],[Std Adj Read]]&lt;Table1[[#This Row],[High Tol]],"Pass","Fail"),IF(Table1[[#This Row],[DUT Adj Read]]&lt;Table1[[#This Row],[High Tol]],"Pass","Fail")))</f>
        <v>Fail</v>
      </c>
      <c r="AF2475" s="1" t="str">
        <f>IF(AND(Table1[[#This Row],[Spec Type2]]="N/A",Table1[[#This Row],[DUT Adj Read]]="N/A",Table1[[#This Row],[Std Adj Read]]="N/A"),"N/A",IF(Table1[[#This Row],[DUT Adj Read]]="N/A",IF(Table1[[#This Row],[Std Adj Read]]&gt;=Table1[[#This Row],[Low Tol]],"Pass","Fail"),IF(Table1[[#This Row],[DUT Adj Read]]&gt;=Table1[[#This Row],[Low Tol]],"Pass","Fail")))</f>
        <v>Pass</v>
      </c>
      <c r="AG2475" s="1" t="str">
        <f>IF(AND(Table1[[#This Row],[Spec Type2]]="N/A",Table1[[#This Row],[DUT Adj Read]]="N/A",Table1[[#This Row],[Std Adj Read]]="N/A"),"N/A",IF(Table1[[#This Row],[DUT Adj Read]]="N/A",IF(Table1[[#This Row],[Std Adj Read]]&lt;=Table1[[#This Row],[High Tol]],"Pass","Fail"),IF(Table1[[#This Row],[DUT Adj Read]]&lt;=Table1[[#This Row],[High Tol]],"Pass","Fail")))</f>
        <v>Fail</v>
      </c>
      <c r="AH24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5" s="1" t="b">
        <v>0</v>
      </c>
      <c r="AN2475" s="1" t="b">
        <v>0</v>
      </c>
      <c r="AO2475" s="1" t="b">
        <v>0</v>
      </c>
    </row>
    <row r="2476" spans="1:41" x14ac:dyDescent="0.25">
      <c r="A2476" s="10"/>
      <c r="B2476" s="10"/>
      <c r="C2476" s="10"/>
      <c r="D2476" s="10"/>
      <c r="E2476" s="10"/>
      <c r="F2476" s="10"/>
      <c r="G2476" s="10"/>
      <c r="H2476" s="10"/>
      <c r="I2476" s="1" t="str">
        <f t="shared" si="114"/>
        <v/>
      </c>
      <c r="J2476" s="1" t="s">
        <v>35</v>
      </c>
      <c r="K2476" s="1" t="str">
        <f t="shared" si="115"/>
        <v/>
      </c>
      <c r="L2476" s="1" t="str">
        <f t="shared" si="116"/>
        <v/>
      </c>
      <c r="M2476" s="1">
        <f>IF(OR(Table1[[#This Row],[Std Nom]]="",Table1[[#This Row],[Std Read]]=""),0,Table1[[#This Row],[Std Nom]]-Table1[[#This Row],[Std Read]])</f>
        <v>0</v>
      </c>
      <c r="N2476" s="1">
        <f>IF(Calculations!$F$5="ACCREDITED 17025 WITH UNCERTAINTIES",$N$10,0)</f>
        <v>0</v>
      </c>
      <c r="O2476" s="1" t="str">
        <f>IFERROR(Table1[[#This Row],[Std Nom]]-(_xlfn.XLOOKUP(Table1[[#This Row],[Manufacturer]]&amp;" "&amp;Table1[[#This Row],[Model]],Table13[MFR &amp; MDL],Table13[Tolerance % CW ],"")/100*Table1[[#This Row],[Std Nom]]),"")</f>
        <v/>
      </c>
      <c r="P2476" s="1" t="str">
        <f>IFERROR(Table1[[#This Row],[Std Nom]]+(_xlfn.XLOOKUP(Table1[[#This Row],[Manufacturer]]&amp;" "&amp;Table1[[#This Row],[Model]],Table13[MFR &amp; MDL],Table13[Tolerance % CW ],"")/100*Table1[[#This Row],[Std Nom]]),"")</f>
        <v/>
      </c>
      <c r="Q2476" s="1" t="e">
        <f>Table1[[#This Row],[High Tol]]-Table1[[#This Row],[Low Tol]]</f>
        <v>#VALUE!</v>
      </c>
      <c r="R2476" s="1">
        <f>2*Table1[[#This Row],[Std Error]]</f>
        <v>0</v>
      </c>
      <c r="S2476" s="1" t="str">
        <f>IF(Table1[[#This Row],[High Tol]]="","N/A",IFERROR(ABS(Table1[[#This Row],[Tol Span]]/Table1[[#This Row],[Error Span]]),"N/A"))</f>
        <v>N/A</v>
      </c>
      <c r="T2476" s="1" t="str">
        <f>IF(OR(Table1[[#This Row],[Low Tol]]="",Table1[[#This Row],[High Tol]]=""),"Needs Analysis",IF(Table1[[#This Row],[Ratio]]&gt;=4,"Not Significant",IF(Table1[[#This Row],[Ratio]]&gt;=2,"Semi-Significant","Significant")))</f>
        <v>Needs Analysis</v>
      </c>
      <c r="W2476" s="1">
        <f>IF(Table1[[#This Row],[Cal Type]]&lt;&gt;"ACCREDITED 17025 WITH UNCERTAINTIES",0,"")</f>
        <v>0</v>
      </c>
      <c r="X2476" s="1" t="str">
        <f>IF(Table1[[#This Row],[DUT Read]]="","N/A",Table1[[#This Row],[Std Error]]+Table1[[#This Row],[DUT Read]]+Table1[[#This Row],[DUT Ucty]])</f>
        <v>N/A</v>
      </c>
      <c r="Y2476" s="1" t="str">
        <f>IF(Table1[[#This Row],[Std Read]]="","N/A",Table1[[#This Row],[Std Read]]+Table1[[#This Row],[Std Ucty]])</f>
        <v>N/A</v>
      </c>
      <c r="Z24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6" s="1" t="str">
        <f>IF(Table1[[#This Row],[Spec Type]]="","N/A",Table1[[#This Row],[Spec Type]])</f>
        <v>±</v>
      </c>
      <c r="AC2476" s="1" t="str">
        <f>IF(Table1[[#This Row],[Spec Type2]]="N/A","N/A",IF(AND(Table1[[#This Row],[DUT Adj Read]]&gt;=Table1[[#This Row],[Low Tol]],Table1[[#This Row],[DUT Adj Read]]&lt;=Table1[[#This Row],[High Tol]]),"Pass","Fail"))</f>
        <v>Fail</v>
      </c>
      <c r="AD2476" s="1" t="str">
        <f>IF(AND(Table1[[#This Row],[Spec Type2]]="N/A",Table1[[#This Row],[DUT Adj Read]]="N/A",Table1[[#This Row],[Std Adj Read]]="N/A"),"N/A",IF(Table1[[#This Row],[DUT Adj Read]]="N/A",IF(Table1[[#This Row],[Std Adj Read]]&gt;Table1[[#This Row],[Low Tol]],"Pass","Fail"),IF(Table1[[#This Row],[DUT Adj Read]]&gt;Table1[[#This Row],[Low Tol]],"Pass","Fail")))</f>
        <v>Pass</v>
      </c>
      <c r="AE2476" s="1" t="str">
        <f>IF(AND(Table1[[#This Row],[Spec Type2]]="N/A",Table1[[#This Row],[DUT Adj Read]]="N/A",Table1[[#This Row],[Std Adj Read]]="N/A"),"N/A",IF(Table1[[#This Row],[DUT Adj Read]]="N/A",IF(Table1[[#This Row],[Std Adj Read]]&lt;Table1[[#This Row],[High Tol]],"Pass","Fail"),IF(Table1[[#This Row],[DUT Adj Read]]&lt;Table1[[#This Row],[High Tol]],"Pass","Fail")))</f>
        <v>Fail</v>
      </c>
      <c r="AF2476" s="1" t="str">
        <f>IF(AND(Table1[[#This Row],[Spec Type2]]="N/A",Table1[[#This Row],[DUT Adj Read]]="N/A",Table1[[#This Row],[Std Adj Read]]="N/A"),"N/A",IF(Table1[[#This Row],[DUT Adj Read]]="N/A",IF(Table1[[#This Row],[Std Adj Read]]&gt;=Table1[[#This Row],[Low Tol]],"Pass","Fail"),IF(Table1[[#This Row],[DUT Adj Read]]&gt;=Table1[[#This Row],[Low Tol]],"Pass","Fail")))</f>
        <v>Pass</v>
      </c>
      <c r="AG2476" s="1" t="str">
        <f>IF(AND(Table1[[#This Row],[Spec Type2]]="N/A",Table1[[#This Row],[DUT Adj Read]]="N/A",Table1[[#This Row],[Std Adj Read]]="N/A"),"N/A",IF(Table1[[#This Row],[DUT Adj Read]]="N/A",IF(Table1[[#This Row],[Std Adj Read]]&lt;=Table1[[#This Row],[High Tol]],"Pass","Fail"),IF(Table1[[#This Row],[DUT Adj Read]]&lt;=Table1[[#This Row],[High Tol]],"Pass","Fail")))</f>
        <v>Fail</v>
      </c>
      <c r="AH24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6" s="1" t="b">
        <v>0</v>
      </c>
      <c r="AN2476" s="1" t="b">
        <v>0</v>
      </c>
      <c r="AO2476" s="1" t="b">
        <v>0</v>
      </c>
    </row>
    <row r="2477" spans="1:41" x14ac:dyDescent="0.25">
      <c r="A2477" s="10"/>
      <c r="B2477" s="10"/>
      <c r="C2477" s="10"/>
      <c r="D2477" s="10"/>
      <c r="E2477" s="10"/>
      <c r="F2477" s="10"/>
      <c r="G2477" s="10"/>
      <c r="H2477" s="10"/>
      <c r="I2477" s="1" t="str">
        <f t="shared" si="114"/>
        <v/>
      </c>
      <c r="J2477" s="1" t="s">
        <v>35</v>
      </c>
      <c r="K2477" s="1" t="str">
        <f t="shared" si="115"/>
        <v/>
      </c>
      <c r="L2477" s="1" t="str">
        <f t="shared" si="116"/>
        <v/>
      </c>
      <c r="M2477" s="1">
        <f>IF(OR(Table1[[#This Row],[Std Nom]]="",Table1[[#This Row],[Std Read]]=""),0,Table1[[#This Row],[Std Nom]]-Table1[[#This Row],[Std Read]])</f>
        <v>0</v>
      </c>
      <c r="N2477" s="1">
        <f>IF(Calculations!$F$5="ACCREDITED 17025 WITH UNCERTAINTIES",$N$10,0)</f>
        <v>0</v>
      </c>
      <c r="O2477" s="1" t="str">
        <f>IFERROR(Table1[[#This Row],[Std Nom]]-(_xlfn.XLOOKUP(Table1[[#This Row],[Manufacturer]]&amp;" "&amp;Table1[[#This Row],[Model]],Table13[MFR &amp; MDL],Table13[Tolerance % CW ],"")/100*Table1[[#This Row],[Std Nom]]),"")</f>
        <v/>
      </c>
      <c r="P2477" s="1" t="str">
        <f>IFERROR(Table1[[#This Row],[Std Nom]]+(_xlfn.XLOOKUP(Table1[[#This Row],[Manufacturer]]&amp;" "&amp;Table1[[#This Row],[Model]],Table13[MFR &amp; MDL],Table13[Tolerance % CW ],"")/100*Table1[[#This Row],[Std Nom]]),"")</f>
        <v/>
      </c>
      <c r="Q2477" s="1" t="e">
        <f>Table1[[#This Row],[High Tol]]-Table1[[#This Row],[Low Tol]]</f>
        <v>#VALUE!</v>
      </c>
      <c r="R2477" s="1">
        <f>2*Table1[[#This Row],[Std Error]]</f>
        <v>0</v>
      </c>
      <c r="S2477" s="1" t="str">
        <f>IF(Table1[[#This Row],[High Tol]]="","N/A",IFERROR(ABS(Table1[[#This Row],[Tol Span]]/Table1[[#This Row],[Error Span]]),"N/A"))</f>
        <v>N/A</v>
      </c>
      <c r="T2477" s="1" t="str">
        <f>IF(OR(Table1[[#This Row],[Low Tol]]="",Table1[[#This Row],[High Tol]]=""),"Needs Analysis",IF(Table1[[#This Row],[Ratio]]&gt;=4,"Not Significant",IF(Table1[[#This Row],[Ratio]]&gt;=2,"Semi-Significant","Significant")))</f>
        <v>Needs Analysis</v>
      </c>
      <c r="W2477" s="1">
        <f>IF(Table1[[#This Row],[Cal Type]]&lt;&gt;"ACCREDITED 17025 WITH UNCERTAINTIES",0,"")</f>
        <v>0</v>
      </c>
      <c r="X2477" s="1" t="str">
        <f>IF(Table1[[#This Row],[DUT Read]]="","N/A",Table1[[#This Row],[Std Error]]+Table1[[#This Row],[DUT Read]]+Table1[[#This Row],[DUT Ucty]])</f>
        <v>N/A</v>
      </c>
      <c r="Y2477" s="1" t="str">
        <f>IF(Table1[[#This Row],[Std Read]]="","N/A",Table1[[#This Row],[Std Read]]+Table1[[#This Row],[Std Ucty]])</f>
        <v>N/A</v>
      </c>
      <c r="Z24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7" s="1" t="str">
        <f>IF(Table1[[#This Row],[Spec Type]]="","N/A",Table1[[#This Row],[Spec Type]])</f>
        <v>±</v>
      </c>
      <c r="AC2477" s="1" t="str">
        <f>IF(Table1[[#This Row],[Spec Type2]]="N/A","N/A",IF(AND(Table1[[#This Row],[DUT Adj Read]]&gt;=Table1[[#This Row],[Low Tol]],Table1[[#This Row],[DUT Adj Read]]&lt;=Table1[[#This Row],[High Tol]]),"Pass","Fail"))</f>
        <v>Fail</v>
      </c>
      <c r="AD2477" s="1" t="str">
        <f>IF(AND(Table1[[#This Row],[Spec Type2]]="N/A",Table1[[#This Row],[DUT Adj Read]]="N/A",Table1[[#This Row],[Std Adj Read]]="N/A"),"N/A",IF(Table1[[#This Row],[DUT Adj Read]]="N/A",IF(Table1[[#This Row],[Std Adj Read]]&gt;Table1[[#This Row],[Low Tol]],"Pass","Fail"),IF(Table1[[#This Row],[DUT Adj Read]]&gt;Table1[[#This Row],[Low Tol]],"Pass","Fail")))</f>
        <v>Pass</v>
      </c>
      <c r="AE2477" s="1" t="str">
        <f>IF(AND(Table1[[#This Row],[Spec Type2]]="N/A",Table1[[#This Row],[DUT Adj Read]]="N/A",Table1[[#This Row],[Std Adj Read]]="N/A"),"N/A",IF(Table1[[#This Row],[DUT Adj Read]]="N/A",IF(Table1[[#This Row],[Std Adj Read]]&lt;Table1[[#This Row],[High Tol]],"Pass","Fail"),IF(Table1[[#This Row],[DUT Adj Read]]&lt;Table1[[#This Row],[High Tol]],"Pass","Fail")))</f>
        <v>Fail</v>
      </c>
      <c r="AF2477" s="1" t="str">
        <f>IF(AND(Table1[[#This Row],[Spec Type2]]="N/A",Table1[[#This Row],[DUT Adj Read]]="N/A",Table1[[#This Row],[Std Adj Read]]="N/A"),"N/A",IF(Table1[[#This Row],[DUT Adj Read]]="N/A",IF(Table1[[#This Row],[Std Adj Read]]&gt;=Table1[[#This Row],[Low Tol]],"Pass","Fail"),IF(Table1[[#This Row],[DUT Adj Read]]&gt;=Table1[[#This Row],[Low Tol]],"Pass","Fail")))</f>
        <v>Pass</v>
      </c>
      <c r="AG2477" s="1" t="str">
        <f>IF(AND(Table1[[#This Row],[Spec Type2]]="N/A",Table1[[#This Row],[DUT Adj Read]]="N/A",Table1[[#This Row],[Std Adj Read]]="N/A"),"N/A",IF(Table1[[#This Row],[DUT Adj Read]]="N/A",IF(Table1[[#This Row],[Std Adj Read]]&lt;=Table1[[#This Row],[High Tol]],"Pass","Fail"),IF(Table1[[#This Row],[DUT Adj Read]]&lt;=Table1[[#This Row],[High Tol]],"Pass","Fail")))</f>
        <v>Fail</v>
      </c>
      <c r="AH24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7" s="1" t="b">
        <v>0</v>
      </c>
      <c r="AN2477" s="1" t="b">
        <v>0</v>
      </c>
      <c r="AO2477" s="1" t="b">
        <v>0</v>
      </c>
    </row>
    <row r="2478" spans="1:41" x14ac:dyDescent="0.25">
      <c r="A2478" s="10"/>
      <c r="B2478" s="10"/>
      <c r="C2478" s="10"/>
      <c r="D2478" s="10"/>
      <c r="E2478" s="10"/>
      <c r="F2478" s="10"/>
      <c r="G2478" s="10"/>
      <c r="H2478" s="10"/>
      <c r="I2478" s="1" t="str">
        <f t="shared" si="114"/>
        <v/>
      </c>
      <c r="J2478" s="1" t="s">
        <v>35</v>
      </c>
      <c r="K2478" s="1" t="str">
        <f t="shared" si="115"/>
        <v/>
      </c>
      <c r="L2478" s="1" t="str">
        <f t="shared" si="116"/>
        <v/>
      </c>
      <c r="M2478" s="1">
        <f>IF(OR(Table1[[#This Row],[Std Nom]]="",Table1[[#This Row],[Std Read]]=""),0,Table1[[#This Row],[Std Nom]]-Table1[[#This Row],[Std Read]])</f>
        <v>0</v>
      </c>
      <c r="N2478" s="1">
        <f>IF(Calculations!$F$5="ACCREDITED 17025 WITH UNCERTAINTIES",$N$10,0)</f>
        <v>0</v>
      </c>
      <c r="O2478" s="1" t="str">
        <f>IFERROR(Table1[[#This Row],[Std Nom]]-(_xlfn.XLOOKUP(Table1[[#This Row],[Manufacturer]]&amp;" "&amp;Table1[[#This Row],[Model]],Table13[MFR &amp; MDL],Table13[Tolerance % CW ],"")/100*Table1[[#This Row],[Std Nom]]),"")</f>
        <v/>
      </c>
      <c r="P2478" s="1" t="str">
        <f>IFERROR(Table1[[#This Row],[Std Nom]]+(_xlfn.XLOOKUP(Table1[[#This Row],[Manufacturer]]&amp;" "&amp;Table1[[#This Row],[Model]],Table13[MFR &amp; MDL],Table13[Tolerance % CW ],"")/100*Table1[[#This Row],[Std Nom]]),"")</f>
        <v/>
      </c>
      <c r="Q2478" s="1" t="e">
        <f>Table1[[#This Row],[High Tol]]-Table1[[#This Row],[Low Tol]]</f>
        <v>#VALUE!</v>
      </c>
      <c r="R2478" s="1">
        <f>2*Table1[[#This Row],[Std Error]]</f>
        <v>0</v>
      </c>
      <c r="S2478" s="1" t="str">
        <f>IF(Table1[[#This Row],[High Tol]]="","N/A",IFERROR(ABS(Table1[[#This Row],[Tol Span]]/Table1[[#This Row],[Error Span]]),"N/A"))</f>
        <v>N/A</v>
      </c>
      <c r="T2478" s="1" t="str">
        <f>IF(OR(Table1[[#This Row],[Low Tol]]="",Table1[[#This Row],[High Tol]]=""),"Needs Analysis",IF(Table1[[#This Row],[Ratio]]&gt;=4,"Not Significant",IF(Table1[[#This Row],[Ratio]]&gt;=2,"Semi-Significant","Significant")))</f>
        <v>Needs Analysis</v>
      </c>
      <c r="W2478" s="1">
        <f>IF(Table1[[#This Row],[Cal Type]]&lt;&gt;"ACCREDITED 17025 WITH UNCERTAINTIES",0,"")</f>
        <v>0</v>
      </c>
      <c r="X2478" s="1" t="str">
        <f>IF(Table1[[#This Row],[DUT Read]]="","N/A",Table1[[#This Row],[Std Error]]+Table1[[#This Row],[DUT Read]]+Table1[[#This Row],[DUT Ucty]])</f>
        <v>N/A</v>
      </c>
      <c r="Y2478" s="1" t="str">
        <f>IF(Table1[[#This Row],[Std Read]]="","N/A",Table1[[#This Row],[Std Read]]+Table1[[#This Row],[Std Ucty]])</f>
        <v>N/A</v>
      </c>
      <c r="Z24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8" s="1" t="str">
        <f>IF(Table1[[#This Row],[Spec Type]]="","N/A",Table1[[#This Row],[Spec Type]])</f>
        <v>±</v>
      </c>
      <c r="AC2478" s="1" t="str">
        <f>IF(Table1[[#This Row],[Spec Type2]]="N/A","N/A",IF(AND(Table1[[#This Row],[DUT Adj Read]]&gt;=Table1[[#This Row],[Low Tol]],Table1[[#This Row],[DUT Adj Read]]&lt;=Table1[[#This Row],[High Tol]]),"Pass","Fail"))</f>
        <v>Fail</v>
      </c>
      <c r="AD2478" s="1" t="str">
        <f>IF(AND(Table1[[#This Row],[Spec Type2]]="N/A",Table1[[#This Row],[DUT Adj Read]]="N/A",Table1[[#This Row],[Std Adj Read]]="N/A"),"N/A",IF(Table1[[#This Row],[DUT Adj Read]]="N/A",IF(Table1[[#This Row],[Std Adj Read]]&gt;Table1[[#This Row],[Low Tol]],"Pass","Fail"),IF(Table1[[#This Row],[DUT Adj Read]]&gt;Table1[[#This Row],[Low Tol]],"Pass","Fail")))</f>
        <v>Pass</v>
      </c>
      <c r="AE2478" s="1" t="str">
        <f>IF(AND(Table1[[#This Row],[Spec Type2]]="N/A",Table1[[#This Row],[DUT Adj Read]]="N/A",Table1[[#This Row],[Std Adj Read]]="N/A"),"N/A",IF(Table1[[#This Row],[DUT Adj Read]]="N/A",IF(Table1[[#This Row],[Std Adj Read]]&lt;Table1[[#This Row],[High Tol]],"Pass","Fail"),IF(Table1[[#This Row],[DUT Adj Read]]&lt;Table1[[#This Row],[High Tol]],"Pass","Fail")))</f>
        <v>Fail</v>
      </c>
      <c r="AF2478" s="1" t="str">
        <f>IF(AND(Table1[[#This Row],[Spec Type2]]="N/A",Table1[[#This Row],[DUT Adj Read]]="N/A",Table1[[#This Row],[Std Adj Read]]="N/A"),"N/A",IF(Table1[[#This Row],[DUT Adj Read]]="N/A",IF(Table1[[#This Row],[Std Adj Read]]&gt;=Table1[[#This Row],[Low Tol]],"Pass","Fail"),IF(Table1[[#This Row],[DUT Adj Read]]&gt;=Table1[[#This Row],[Low Tol]],"Pass","Fail")))</f>
        <v>Pass</v>
      </c>
      <c r="AG2478" s="1" t="str">
        <f>IF(AND(Table1[[#This Row],[Spec Type2]]="N/A",Table1[[#This Row],[DUT Adj Read]]="N/A",Table1[[#This Row],[Std Adj Read]]="N/A"),"N/A",IF(Table1[[#This Row],[DUT Adj Read]]="N/A",IF(Table1[[#This Row],[Std Adj Read]]&lt;=Table1[[#This Row],[High Tol]],"Pass","Fail"),IF(Table1[[#This Row],[DUT Adj Read]]&lt;=Table1[[#This Row],[High Tol]],"Pass","Fail")))</f>
        <v>Fail</v>
      </c>
      <c r="AH24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8" s="1" t="b">
        <v>0</v>
      </c>
      <c r="AN2478" s="1" t="b">
        <v>0</v>
      </c>
      <c r="AO2478" s="1" t="b">
        <v>0</v>
      </c>
    </row>
    <row r="2479" spans="1:41" x14ac:dyDescent="0.25">
      <c r="A2479" s="10"/>
      <c r="B2479" s="10"/>
      <c r="C2479" s="10"/>
      <c r="D2479" s="10"/>
      <c r="E2479" s="10"/>
      <c r="F2479" s="10"/>
      <c r="G2479" s="10"/>
      <c r="H2479" s="10"/>
      <c r="I2479" s="1" t="str">
        <f t="shared" si="114"/>
        <v/>
      </c>
      <c r="J2479" s="1" t="s">
        <v>35</v>
      </c>
      <c r="K2479" s="1" t="str">
        <f t="shared" si="115"/>
        <v/>
      </c>
      <c r="L2479" s="1" t="str">
        <f t="shared" si="116"/>
        <v/>
      </c>
      <c r="M2479" s="1">
        <f>IF(OR(Table1[[#This Row],[Std Nom]]="",Table1[[#This Row],[Std Read]]=""),0,Table1[[#This Row],[Std Nom]]-Table1[[#This Row],[Std Read]])</f>
        <v>0</v>
      </c>
      <c r="N2479" s="1">
        <f>IF(Calculations!$F$5="ACCREDITED 17025 WITH UNCERTAINTIES",$N$10,0)</f>
        <v>0</v>
      </c>
      <c r="O2479" s="1" t="str">
        <f>IFERROR(Table1[[#This Row],[Std Nom]]-(_xlfn.XLOOKUP(Table1[[#This Row],[Manufacturer]]&amp;" "&amp;Table1[[#This Row],[Model]],Table13[MFR &amp; MDL],Table13[Tolerance % CW ],"")/100*Table1[[#This Row],[Std Nom]]),"")</f>
        <v/>
      </c>
      <c r="P2479" s="1" t="str">
        <f>IFERROR(Table1[[#This Row],[Std Nom]]+(_xlfn.XLOOKUP(Table1[[#This Row],[Manufacturer]]&amp;" "&amp;Table1[[#This Row],[Model]],Table13[MFR &amp; MDL],Table13[Tolerance % CW ],"")/100*Table1[[#This Row],[Std Nom]]),"")</f>
        <v/>
      </c>
      <c r="Q2479" s="1" t="e">
        <f>Table1[[#This Row],[High Tol]]-Table1[[#This Row],[Low Tol]]</f>
        <v>#VALUE!</v>
      </c>
      <c r="R2479" s="1">
        <f>2*Table1[[#This Row],[Std Error]]</f>
        <v>0</v>
      </c>
      <c r="S2479" s="1" t="str">
        <f>IF(Table1[[#This Row],[High Tol]]="","N/A",IFERROR(ABS(Table1[[#This Row],[Tol Span]]/Table1[[#This Row],[Error Span]]),"N/A"))</f>
        <v>N/A</v>
      </c>
      <c r="T2479" s="1" t="str">
        <f>IF(OR(Table1[[#This Row],[Low Tol]]="",Table1[[#This Row],[High Tol]]=""),"Needs Analysis",IF(Table1[[#This Row],[Ratio]]&gt;=4,"Not Significant",IF(Table1[[#This Row],[Ratio]]&gt;=2,"Semi-Significant","Significant")))</f>
        <v>Needs Analysis</v>
      </c>
      <c r="W2479" s="1">
        <f>IF(Table1[[#This Row],[Cal Type]]&lt;&gt;"ACCREDITED 17025 WITH UNCERTAINTIES",0,"")</f>
        <v>0</v>
      </c>
      <c r="X2479" s="1" t="str">
        <f>IF(Table1[[#This Row],[DUT Read]]="","N/A",Table1[[#This Row],[Std Error]]+Table1[[#This Row],[DUT Read]]+Table1[[#This Row],[DUT Ucty]])</f>
        <v>N/A</v>
      </c>
      <c r="Y2479" s="1" t="str">
        <f>IF(Table1[[#This Row],[Std Read]]="","N/A",Table1[[#This Row],[Std Read]]+Table1[[#This Row],[Std Ucty]])</f>
        <v>N/A</v>
      </c>
      <c r="Z24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9" s="1" t="str">
        <f>IF(Table1[[#This Row],[Spec Type]]="","N/A",Table1[[#This Row],[Spec Type]])</f>
        <v>±</v>
      </c>
      <c r="AC2479" s="1" t="str">
        <f>IF(Table1[[#This Row],[Spec Type2]]="N/A","N/A",IF(AND(Table1[[#This Row],[DUT Adj Read]]&gt;=Table1[[#This Row],[Low Tol]],Table1[[#This Row],[DUT Adj Read]]&lt;=Table1[[#This Row],[High Tol]]),"Pass","Fail"))</f>
        <v>Fail</v>
      </c>
      <c r="AD2479" s="1" t="str">
        <f>IF(AND(Table1[[#This Row],[Spec Type2]]="N/A",Table1[[#This Row],[DUT Adj Read]]="N/A",Table1[[#This Row],[Std Adj Read]]="N/A"),"N/A",IF(Table1[[#This Row],[DUT Adj Read]]="N/A",IF(Table1[[#This Row],[Std Adj Read]]&gt;Table1[[#This Row],[Low Tol]],"Pass","Fail"),IF(Table1[[#This Row],[DUT Adj Read]]&gt;Table1[[#This Row],[Low Tol]],"Pass","Fail")))</f>
        <v>Pass</v>
      </c>
      <c r="AE2479" s="1" t="str">
        <f>IF(AND(Table1[[#This Row],[Spec Type2]]="N/A",Table1[[#This Row],[DUT Adj Read]]="N/A",Table1[[#This Row],[Std Adj Read]]="N/A"),"N/A",IF(Table1[[#This Row],[DUT Adj Read]]="N/A",IF(Table1[[#This Row],[Std Adj Read]]&lt;Table1[[#This Row],[High Tol]],"Pass","Fail"),IF(Table1[[#This Row],[DUT Adj Read]]&lt;Table1[[#This Row],[High Tol]],"Pass","Fail")))</f>
        <v>Fail</v>
      </c>
      <c r="AF2479" s="1" t="str">
        <f>IF(AND(Table1[[#This Row],[Spec Type2]]="N/A",Table1[[#This Row],[DUT Adj Read]]="N/A",Table1[[#This Row],[Std Adj Read]]="N/A"),"N/A",IF(Table1[[#This Row],[DUT Adj Read]]="N/A",IF(Table1[[#This Row],[Std Adj Read]]&gt;=Table1[[#This Row],[Low Tol]],"Pass","Fail"),IF(Table1[[#This Row],[DUT Adj Read]]&gt;=Table1[[#This Row],[Low Tol]],"Pass","Fail")))</f>
        <v>Pass</v>
      </c>
      <c r="AG2479" s="1" t="str">
        <f>IF(AND(Table1[[#This Row],[Spec Type2]]="N/A",Table1[[#This Row],[DUT Adj Read]]="N/A",Table1[[#This Row],[Std Adj Read]]="N/A"),"N/A",IF(Table1[[#This Row],[DUT Adj Read]]="N/A",IF(Table1[[#This Row],[Std Adj Read]]&lt;=Table1[[#This Row],[High Tol]],"Pass","Fail"),IF(Table1[[#This Row],[DUT Adj Read]]&lt;=Table1[[#This Row],[High Tol]],"Pass","Fail")))</f>
        <v>Fail</v>
      </c>
      <c r="AH24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9" s="1" t="b">
        <v>0</v>
      </c>
      <c r="AN2479" s="1" t="b">
        <v>0</v>
      </c>
      <c r="AO2479" s="1" t="b">
        <v>0</v>
      </c>
    </row>
    <row r="2480" spans="1:41" x14ac:dyDescent="0.25">
      <c r="A2480" s="10"/>
      <c r="B2480" s="10"/>
      <c r="C2480" s="10"/>
      <c r="D2480" s="10"/>
      <c r="E2480" s="10"/>
      <c r="F2480" s="10"/>
      <c r="G2480" s="10"/>
      <c r="H2480" s="10"/>
      <c r="I2480" s="1" t="str">
        <f t="shared" si="114"/>
        <v/>
      </c>
      <c r="J2480" s="1" t="s">
        <v>35</v>
      </c>
      <c r="K2480" s="1" t="str">
        <f t="shared" si="115"/>
        <v/>
      </c>
      <c r="L2480" s="1" t="str">
        <f t="shared" si="116"/>
        <v/>
      </c>
      <c r="M2480" s="1">
        <f>IF(OR(Table1[[#This Row],[Std Nom]]="",Table1[[#This Row],[Std Read]]=""),0,Table1[[#This Row],[Std Nom]]-Table1[[#This Row],[Std Read]])</f>
        <v>0</v>
      </c>
      <c r="N2480" s="1">
        <f>IF(Calculations!$F$5="ACCREDITED 17025 WITH UNCERTAINTIES",$N$10,0)</f>
        <v>0</v>
      </c>
      <c r="O2480" s="1" t="str">
        <f>IFERROR(Table1[[#This Row],[Std Nom]]-(_xlfn.XLOOKUP(Table1[[#This Row],[Manufacturer]]&amp;" "&amp;Table1[[#This Row],[Model]],Table13[MFR &amp; MDL],Table13[Tolerance % CW ],"")/100*Table1[[#This Row],[Std Nom]]),"")</f>
        <v/>
      </c>
      <c r="P2480" s="1" t="str">
        <f>IFERROR(Table1[[#This Row],[Std Nom]]+(_xlfn.XLOOKUP(Table1[[#This Row],[Manufacturer]]&amp;" "&amp;Table1[[#This Row],[Model]],Table13[MFR &amp; MDL],Table13[Tolerance % CW ],"")/100*Table1[[#This Row],[Std Nom]]),"")</f>
        <v/>
      </c>
      <c r="Q2480" s="1" t="e">
        <f>Table1[[#This Row],[High Tol]]-Table1[[#This Row],[Low Tol]]</f>
        <v>#VALUE!</v>
      </c>
      <c r="R2480" s="1">
        <f>2*Table1[[#This Row],[Std Error]]</f>
        <v>0</v>
      </c>
      <c r="S2480" s="1" t="str">
        <f>IF(Table1[[#This Row],[High Tol]]="","N/A",IFERROR(ABS(Table1[[#This Row],[Tol Span]]/Table1[[#This Row],[Error Span]]),"N/A"))</f>
        <v>N/A</v>
      </c>
      <c r="T2480" s="1" t="str">
        <f>IF(OR(Table1[[#This Row],[Low Tol]]="",Table1[[#This Row],[High Tol]]=""),"Needs Analysis",IF(Table1[[#This Row],[Ratio]]&gt;=4,"Not Significant",IF(Table1[[#This Row],[Ratio]]&gt;=2,"Semi-Significant","Significant")))</f>
        <v>Needs Analysis</v>
      </c>
      <c r="W2480" s="1">
        <f>IF(Table1[[#This Row],[Cal Type]]&lt;&gt;"ACCREDITED 17025 WITH UNCERTAINTIES",0,"")</f>
        <v>0</v>
      </c>
      <c r="X2480" s="1" t="str">
        <f>IF(Table1[[#This Row],[DUT Read]]="","N/A",Table1[[#This Row],[Std Error]]+Table1[[#This Row],[DUT Read]]+Table1[[#This Row],[DUT Ucty]])</f>
        <v>N/A</v>
      </c>
      <c r="Y2480" s="1" t="str">
        <f>IF(Table1[[#This Row],[Std Read]]="","N/A",Table1[[#This Row],[Std Read]]+Table1[[#This Row],[Std Ucty]])</f>
        <v>N/A</v>
      </c>
      <c r="Z24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0" s="1" t="str">
        <f>IF(Table1[[#This Row],[Spec Type]]="","N/A",Table1[[#This Row],[Spec Type]])</f>
        <v>±</v>
      </c>
      <c r="AC2480" s="1" t="str">
        <f>IF(Table1[[#This Row],[Spec Type2]]="N/A","N/A",IF(AND(Table1[[#This Row],[DUT Adj Read]]&gt;=Table1[[#This Row],[Low Tol]],Table1[[#This Row],[DUT Adj Read]]&lt;=Table1[[#This Row],[High Tol]]),"Pass","Fail"))</f>
        <v>Fail</v>
      </c>
      <c r="AD2480" s="1" t="str">
        <f>IF(AND(Table1[[#This Row],[Spec Type2]]="N/A",Table1[[#This Row],[DUT Adj Read]]="N/A",Table1[[#This Row],[Std Adj Read]]="N/A"),"N/A",IF(Table1[[#This Row],[DUT Adj Read]]="N/A",IF(Table1[[#This Row],[Std Adj Read]]&gt;Table1[[#This Row],[Low Tol]],"Pass","Fail"),IF(Table1[[#This Row],[DUT Adj Read]]&gt;Table1[[#This Row],[Low Tol]],"Pass","Fail")))</f>
        <v>Pass</v>
      </c>
      <c r="AE2480" s="1" t="str">
        <f>IF(AND(Table1[[#This Row],[Spec Type2]]="N/A",Table1[[#This Row],[DUT Adj Read]]="N/A",Table1[[#This Row],[Std Adj Read]]="N/A"),"N/A",IF(Table1[[#This Row],[DUT Adj Read]]="N/A",IF(Table1[[#This Row],[Std Adj Read]]&lt;Table1[[#This Row],[High Tol]],"Pass","Fail"),IF(Table1[[#This Row],[DUT Adj Read]]&lt;Table1[[#This Row],[High Tol]],"Pass","Fail")))</f>
        <v>Fail</v>
      </c>
      <c r="AF2480" s="1" t="str">
        <f>IF(AND(Table1[[#This Row],[Spec Type2]]="N/A",Table1[[#This Row],[DUT Adj Read]]="N/A",Table1[[#This Row],[Std Adj Read]]="N/A"),"N/A",IF(Table1[[#This Row],[DUT Adj Read]]="N/A",IF(Table1[[#This Row],[Std Adj Read]]&gt;=Table1[[#This Row],[Low Tol]],"Pass","Fail"),IF(Table1[[#This Row],[DUT Adj Read]]&gt;=Table1[[#This Row],[Low Tol]],"Pass","Fail")))</f>
        <v>Pass</v>
      </c>
      <c r="AG2480" s="1" t="str">
        <f>IF(AND(Table1[[#This Row],[Spec Type2]]="N/A",Table1[[#This Row],[DUT Adj Read]]="N/A",Table1[[#This Row],[Std Adj Read]]="N/A"),"N/A",IF(Table1[[#This Row],[DUT Adj Read]]="N/A",IF(Table1[[#This Row],[Std Adj Read]]&lt;=Table1[[#This Row],[High Tol]],"Pass","Fail"),IF(Table1[[#This Row],[DUT Adj Read]]&lt;=Table1[[#This Row],[High Tol]],"Pass","Fail")))</f>
        <v>Fail</v>
      </c>
      <c r="AH24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0" s="1" t="b">
        <v>0</v>
      </c>
      <c r="AN2480" s="1" t="b">
        <v>0</v>
      </c>
      <c r="AO2480" s="1" t="b">
        <v>0</v>
      </c>
    </row>
    <row r="2481" spans="1:41" x14ac:dyDescent="0.25">
      <c r="A2481" s="10"/>
      <c r="B2481" s="10"/>
      <c r="C2481" s="10"/>
      <c r="D2481" s="10"/>
      <c r="E2481" s="10"/>
      <c r="F2481" s="10"/>
      <c r="G2481" s="10"/>
      <c r="H2481" s="10"/>
      <c r="I2481" s="1" t="str">
        <f t="shared" si="114"/>
        <v/>
      </c>
      <c r="J2481" s="1" t="s">
        <v>35</v>
      </c>
      <c r="K2481" s="1" t="str">
        <f t="shared" si="115"/>
        <v/>
      </c>
      <c r="L2481" s="1" t="str">
        <f t="shared" si="116"/>
        <v/>
      </c>
      <c r="M2481" s="1">
        <f>IF(OR(Table1[[#This Row],[Std Nom]]="",Table1[[#This Row],[Std Read]]=""),0,Table1[[#This Row],[Std Nom]]-Table1[[#This Row],[Std Read]])</f>
        <v>0</v>
      </c>
      <c r="N2481" s="1">
        <f>IF(Calculations!$F$5="ACCREDITED 17025 WITH UNCERTAINTIES",$N$10,0)</f>
        <v>0</v>
      </c>
      <c r="O2481" s="1" t="str">
        <f>IFERROR(Table1[[#This Row],[Std Nom]]-(_xlfn.XLOOKUP(Table1[[#This Row],[Manufacturer]]&amp;" "&amp;Table1[[#This Row],[Model]],Table13[MFR &amp; MDL],Table13[Tolerance % CW ],"")/100*Table1[[#This Row],[Std Nom]]),"")</f>
        <v/>
      </c>
      <c r="P2481" s="1" t="str">
        <f>IFERROR(Table1[[#This Row],[Std Nom]]+(_xlfn.XLOOKUP(Table1[[#This Row],[Manufacturer]]&amp;" "&amp;Table1[[#This Row],[Model]],Table13[MFR &amp; MDL],Table13[Tolerance % CW ],"")/100*Table1[[#This Row],[Std Nom]]),"")</f>
        <v/>
      </c>
      <c r="Q2481" s="1" t="e">
        <f>Table1[[#This Row],[High Tol]]-Table1[[#This Row],[Low Tol]]</f>
        <v>#VALUE!</v>
      </c>
      <c r="R2481" s="1">
        <f>2*Table1[[#This Row],[Std Error]]</f>
        <v>0</v>
      </c>
      <c r="S2481" s="1" t="str">
        <f>IF(Table1[[#This Row],[High Tol]]="","N/A",IFERROR(ABS(Table1[[#This Row],[Tol Span]]/Table1[[#This Row],[Error Span]]),"N/A"))</f>
        <v>N/A</v>
      </c>
      <c r="T2481" s="1" t="str">
        <f>IF(OR(Table1[[#This Row],[Low Tol]]="",Table1[[#This Row],[High Tol]]=""),"Needs Analysis",IF(Table1[[#This Row],[Ratio]]&gt;=4,"Not Significant",IF(Table1[[#This Row],[Ratio]]&gt;=2,"Semi-Significant","Significant")))</f>
        <v>Needs Analysis</v>
      </c>
      <c r="W2481" s="1">
        <f>IF(Table1[[#This Row],[Cal Type]]&lt;&gt;"ACCREDITED 17025 WITH UNCERTAINTIES",0,"")</f>
        <v>0</v>
      </c>
      <c r="X2481" s="1" t="str">
        <f>IF(Table1[[#This Row],[DUT Read]]="","N/A",Table1[[#This Row],[Std Error]]+Table1[[#This Row],[DUT Read]]+Table1[[#This Row],[DUT Ucty]])</f>
        <v>N/A</v>
      </c>
      <c r="Y2481" s="1" t="str">
        <f>IF(Table1[[#This Row],[Std Read]]="","N/A",Table1[[#This Row],[Std Read]]+Table1[[#This Row],[Std Ucty]])</f>
        <v>N/A</v>
      </c>
      <c r="Z24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1" s="1" t="str">
        <f>IF(Table1[[#This Row],[Spec Type]]="","N/A",Table1[[#This Row],[Spec Type]])</f>
        <v>±</v>
      </c>
      <c r="AC2481" s="1" t="str">
        <f>IF(Table1[[#This Row],[Spec Type2]]="N/A","N/A",IF(AND(Table1[[#This Row],[DUT Adj Read]]&gt;=Table1[[#This Row],[Low Tol]],Table1[[#This Row],[DUT Adj Read]]&lt;=Table1[[#This Row],[High Tol]]),"Pass","Fail"))</f>
        <v>Fail</v>
      </c>
      <c r="AD2481" s="1" t="str">
        <f>IF(AND(Table1[[#This Row],[Spec Type2]]="N/A",Table1[[#This Row],[DUT Adj Read]]="N/A",Table1[[#This Row],[Std Adj Read]]="N/A"),"N/A",IF(Table1[[#This Row],[DUT Adj Read]]="N/A",IF(Table1[[#This Row],[Std Adj Read]]&gt;Table1[[#This Row],[Low Tol]],"Pass","Fail"),IF(Table1[[#This Row],[DUT Adj Read]]&gt;Table1[[#This Row],[Low Tol]],"Pass","Fail")))</f>
        <v>Pass</v>
      </c>
      <c r="AE2481" s="1" t="str">
        <f>IF(AND(Table1[[#This Row],[Spec Type2]]="N/A",Table1[[#This Row],[DUT Adj Read]]="N/A",Table1[[#This Row],[Std Adj Read]]="N/A"),"N/A",IF(Table1[[#This Row],[DUT Adj Read]]="N/A",IF(Table1[[#This Row],[Std Adj Read]]&lt;Table1[[#This Row],[High Tol]],"Pass","Fail"),IF(Table1[[#This Row],[DUT Adj Read]]&lt;Table1[[#This Row],[High Tol]],"Pass","Fail")))</f>
        <v>Fail</v>
      </c>
      <c r="AF2481" s="1" t="str">
        <f>IF(AND(Table1[[#This Row],[Spec Type2]]="N/A",Table1[[#This Row],[DUT Adj Read]]="N/A",Table1[[#This Row],[Std Adj Read]]="N/A"),"N/A",IF(Table1[[#This Row],[DUT Adj Read]]="N/A",IF(Table1[[#This Row],[Std Adj Read]]&gt;=Table1[[#This Row],[Low Tol]],"Pass","Fail"),IF(Table1[[#This Row],[DUT Adj Read]]&gt;=Table1[[#This Row],[Low Tol]],"Pass","Fail")))</f>
        <v>Pass</v>
      </c>
      <c r="AG2481" s="1" t="str">
        <f>IF(AND(Table1[[#This Row],[Spec Type2]]="N/A",Table1[[#This Row],[DUT Adj Read]]="N/A",Table1[[#This Row],[Std Adj Read]]="N/A"),"N/A",IF(Table1[[#This Row],[DUT Adj Read]]="N/A",IF(Table1[[#This Row],[Std Adj Read]]&lt;=Table1[[#This Row],[High Tol]],"Pass","Fail"),IF(Table1[[#This Row],[DUT Adj Read]]&lt;=Table1[[#This Row],[High Tol]],"Pass","Fail")))</f>
        <v>Fail</v>
      </c>
      <c r="AH24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1" s="1" t="b">
        <v>0</v>
      </c>
      <c r="AN2481" s="1" t="b">
        <v>0</v>
      </c>
      <c r="AO2481" s="1" t="b">
        <v>0</v>
      </c>
    </row>
    <row r="2482" spans="1:41" x14ac:dyDescent="0.25">
      <c r="A2482" s="10"/>
      <c r="B2482" s="10"/>
      <c r="C2482" s="10"/>
      <c r="D2482" s="10"/>
      <c r="E2482" s="10"/>
      <c r="F2482" s="10"/>
      <c r="G2482" s="10"/>
      <c r="H2482" s="10"/>
      <c r="I2482" s="1" t="str">
        <f t="shared" si="114"/>
        <v/>
      </c>
      <c r="J2482" s="1" t="s">
        <v>35</v>
      </c>
      <c r="K2482" s="1" t="str">
        <f t="shared" si="115"/>
        <v/>
      </c>
      <c r="L2482" s="1" t="str">
        <f t="shared" si="116"/>
        <v/>
      </c>
      <c r="M2482" s="1">
        <f>IF(OR(Table1[[#This Row],[Std Nom]]="",Table1[[#This Row],[Std Read]]=""),0,Table1[[#This Row],[Std Nom]]-Table1[[#This Row],[Std Read]])</f>
        <v>0</v>
      </c>
      <c r="N2482" s="1">
        <f>IF(Calculations!$F$5="ACCREDITED 17025 WITH UNCERTAINTIES",$N$10,0)</f>
        <v>0</v>
      </c>
      <c r="O2482" s="1" t="str">
        <f>IFERROR(Table1[[#This Row],[Std Nom]]-(_xlfn.XLOOKUP(Table1[[#This Row],[Manufacturer]]&amp;" "&amp;Table1[[#This Row],[Model]],Table13[MFR &amp; MDL],Table13[Tolerance % CW ],"")/100*Table1[[#This Row],[Std Nom]]),"")</f>
        <v/>
      </c>
      <c r="P2482" s="1" t="str">
        <f>IFERROR(Table1[[#This Row],[Std Nom]]+(_xlfn.XLOOKUP(Table1[[#This Row],[Manufacturer]]&amp;" "&amp;Table1[[#This Row],[Model]],Table13[MFR &amp; MDL],Table13[Tolerance % CW ],"")/100*Table1[[#This Row],[Std Nom]]),"")</f>
        <v/>
      </c>
      <c r="Q2482" s="1" t="e">
        <f>Table1[[#This Row],[High Tol]]-Table1[[#This Row],[Low Tol]]</f>
        <v>#VALUE!</v>
      </c>
      <c r="R2482" s="1">
        <f>2*Table1[[#This Row],[Std Error]]</f>
        <v>0</v>
      </c>
      <c r="S2482" s="1" t="str">
        <f>IF(Table1[[#This Row],[High Tol]]="","N/A",IFERROR(ABS(Table1[[#This Row],[Tol Span]]/Table1[[#This Row],[Error Span]]),"N/A"))</f>
        <v>N/A</v>
      </c>
      <c r="T2482" s="1" t="str">
        <f>IF(OR(Table1[[#This Row],[Low Tol]]="",Table1[[#This Row],[High Tol]]=""),"Needs Analysis",IF(Table1[[#This Row],[Ratio]]&gt;=4,"Not Significant",IF(Table1[[#This Row],[Ratio]]&gt;=2,"Semi-Significant","Significant")))</f>
        <v>Needs Analysis</v>
      </c>
      <c r="W2482" s="1">
        <f>IF(Table1[[#This Row],[Cal Type]]&lt;&gt;"ACCREDITED 17025 WITH UNCERTAINTIES",0,"")</f>
        <v>0</v>
      </c>
      <c r="X2482" s="1" t="str">
        <f>IF(Table1[[#This Row],[DUT Read]]="","N/A",Table1[[#This Row],[Std Error]]+Table1[[#This Row],[DUT Read]]+Table1[[#This Row],[DUT Ucty]])</f>
        <v>N/A</v>
      </c>
      <c r="Y2482" s="1" t="str">
        <f>IF(Table1[[#This Row],[Std Read]]="","N/A",Table1[[#This Row],[Std Read]]+Table1[[#This Row],[Std Ucty]])</f>
        <v>N/A</v>
      </c>
      <c r="Z24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2" s="1" t="str">
        <f>IF(Table1[[#This Row],[Spec Type]]="","N/A",Table1[[#This Row],[Spec Type]])</f>
        <v>±</v>
      </c>
      <c r="AC2482" s="1" t="str">
        <f>IF(Table1[[#This Row],[Spec Type2]]="N/A","N/A",IF(AND(Table1[[#This Row],[DUT Adj Read]]&gt;=Table1[[#This Row],[Low Tol]],Table1[[#This Row],[DUT Adj Read]]&lt;=Table1[[#This Row],[High Tol]]),"Pass","Fail"))</f>
        <v>Fail</v>
      </c>
      <c r="AD2482" s="1" t="str">
        <f>IF(AND(Table1[[#This Row],[Spec Type2]]="N/A",Table1[[#This Row],[DUT Adj Read]]="N/A",Table1[[#This Row],[Std Adj Read]]="N/A"),"N/A",IF(Table1[[#This Row],[DUT Adj Read]]="N/A",IF(Table1[[#This Row],[Std Adj Read]]&gt;Table1[[#This Row],[Low Tol]],"Pass","Fail"),IF(Table1[[#This Row],[DUT Adj Read]]&gt;Table1[[#This Row],[Low Tol]],"Pass","Fail")))</f>
        <v>Pass</v>
      </c>
      <c r="AE2482" s="1" t="str">
        <f>IF(AND(Table1[[#This Row],[Spec Type2]]="N/A",Table1[[#This Row],[DUT Adj Read]]="N/A",Table1[[#This Row],[Std Adj Read]]="N/A"),"N/A",IF(Table1[[#This Row],[DUT Adj Read]]="N/A",IF(Table1[[#This Row],[Std Adj Read]]&lt;Table1[[#This Row],[High Tol]],"Pass","Fail"),IF(Table1[[#This Row],[DUT Adj Read]]&lt;Table1[[#This Row],[High Tol]],"Pass","Fail")))</f>
        <v>Fail</v>
      </c>
      <c r="AF2482" s="1" t="str">
        <f>IF(AND(Table1[[#This Row],[Spec Type2]]="N/A",Table1[[#This Row],[DUT Adj Read]]="N/A",Table1[[#This Row],[Std Adj Read]]="N/A"),"N/A",IF(Table1[[#This Row],[DUT Adj Read]]="N/A",IF(Table1[[#This Row],[Std Adj Read]]&gt;=Table1[[#This Row],[Low Tol]],"Pass","Fail"),IF(Table1[[#This Row],[DUT Adj Read]]&gt;=Table1[[#This Row],[Low Tol]],"Pass","Fail")))</f>
        <v>Pass</v>
      </c>
      <c r="AG2482" s="1" t="str">
        <f>IF(AND(Table1[[#This Row],[Spec Type2]]="N/A",Table1[[#This Row],[DUT Adj Read]]="N/A",Table1[[#This Row],[Std Adj Read]]="N/A"),"N/A",IF(Table1[[#This Row],[DUT Adj Read]]="N/A",IF(Table1[[#This Row],[Std Adj Read]]&lt;=Table1[[#This Row],[High Tol]],"Pass","Fail"),IF(Table1[[#This Row],[DUT Adj Read]]&lt;=Table1[[#This Row],[High Tol]],"Pass","Fail")))</f>
        <v>Fail</v>
      </c>
      <c r="AH24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2" s="1" t="b">
        <v>0</v>
      </c>
      <c r="AN2482" s="1" t="b">
        <v>0</v>
      </c>
      <c r="AO2482" s="1" t="b">
        <v>0</v>
      </c>
    </row>
    <row r="2483" spans="1:41" x14ac:dyDescent="0.25">
      <c r="A2483" s="10"/>
      <c r="B2483" s="10"/>
      <c r="C2483" s="10"/>
      <c r="D2483" s="10"/>
      <c r="E2483" s="10"/>
      <c r="F2483" s="10"/>
      <c r="G2483" s="10"/>
      <c r="H2483" s="10"/>
      <c r="I2483" s="1" t="str">
        <f t="shared" si="114"/>
        <v/>
      </c>
      <c r="J2483" s="1" t="s">
        <v>35</v>
      </c>
      <c r="K2483" s="1" t="str">
        <f t="shared" si="115"/>
        <v/>
      </c>
      <c r="L2483" s="1" t="str">
        <f t="shared" si="116"/>
        <v/>
      </c>
      <c r="M2483" s="1">
        <f>IF(OR(Table1[[#This Row],[Std Nom]]="",Table1[[#This Row],[Std Read]]=""),0,Table1[[#This Row],[Std Nom]]-Table1[[#This Row],[Std Read]])</f>
        <v>0</v>
      </c>
      <c r="N2483" s="1">
        <f>IF(Calculations!$F$5="ACCREDITED 17025 WITH UNCERTAINTIES",$N$10,0)</f>
        <v>0</v>
      </c>
      <c r="O2483" s="1" t="str">
        <f>IFERROR(Table1[[#This Row],[Std Nom]]-(_xlfn.XLOOKUP(Table1[[#This Row],[Manufacturer]]&amp;" "&amp;Table1[[#This Row],[Model]],Table13[MFR &amp; MDL],Table13[Tolerance % CW ],"")/100*Table1[[#This Row],[Std Nom]]),"")</f>
        <v/>
      </c>
      <c r="P2483" s="1" t="str">
        <f>IFERROR(Table1[[#This Row],[Std Nom]]+(_xlfn.XLOOKUP(Table1[[#This Row],[Manufacturer]]&amp;" "&amp;Table1[[#This Row],[Model]],Table13[MFR &amp; MDL],Table13[Tolerance % CW ],"")/100*Table1[[#This Row],[Std Nom]]),"")</f>
        <v/>
      </c>
      <c r="Q2483" s="1" t="e">
        <f>Table1[[#This Row],[High Tol]]-Table1[[#This Row],[Low Tol]]</f>
        <v>#VALUE!</v>
      </c>
      <c r="R2483" s="1">
        <f>2*Table1[[#This Row],[Std Error]]</f>
        <v>0</v>
      </c>
      <c r="S2483" s="1" t="str">
        <f>IF(Table1[[#This Row],[High Tol]]="","N/A",IFERROR(ABS(Table1[[#This Row],[Tol Span]]/Table1[[#This Row],[Error Span]]),"N/A"))</f>
        <v>N/A</v>
      </c>
      <c r="T2483" s="1" t="str">
        <f>IF(OR(Table1[[#This Row],[Low Tol]]="",Table1[[#This Row],[High Tol]]=""),"Needs Analysis",IF(Table1[[#This Row],[Ratio]]&gt;=4,"Not Significant",IF(Table1[[#This Row],[Ratio]]&gt;=2,"Semi-Significant","Significant")))</f>
        <v>Needs Analysis</v>
      </c>
      <c r="W2483" s="1">
        <f>IF(Table1[[#This Row],[Cal Type]]&lt;&gt;"ACCREDITED 17025 WITH UNCERTAINTIES",0,"")</f>
        <v>0</v>
      </c>
      <c r="X2483" s="1" t="str">
        <f>IF(Table1[[#This Row],[DUT Read]]="","N/A",Table1[[#This Row],[Std Error]]+Table1[[#This Row],[DUT Read]]+Table1[[#This Row],[DUT Ucty]])</f>
        <v>N/A</v>
      </c>
      <c r="Y2483" s="1" t="str">
        <f>IF(Table1[[#This Row],[Std Read]]="","N/A",Table1[[#This Row],[Std Read]]+Table1[[#This Row],[Std Ucty]])</f>
        <v>N/A</v>
      </c>
      <c r="Z24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3" s="1" t="str">
        <f>IF(Table1[[#This Row],[Spec Type]]="","N/A",Table1[[#This Row],[Spec Type]])</f>
        <v>±</v>
      </c>
      <c r="AC2483" s="1" t="str">
        <f>IF(Table1[[#This Row],[Spec Type2]]="N/A","N/A",IF(AND(Table1[[#This Row],[DUT Adj Read]]&gt;=Table1[[#This Row],[Low Tol]],Table1[[#This Row],[DUT Adj Read]]&lt;=Table1[[#This Row],[High Tol]]),"Pass","Fail"))</f>
        <v>Fail</v>
      </c>
      <c r="AD2483" s="1" t="str">
        <f>IF(AND(Table1[[#This Row],[Spec Type2]]="N/A",Table1[[#This Row],[DUT Adj Read]]="N/A",Table1[[#This Row],[Std Adj Read]]="N/A"),"N/A",IF(Table1[[#This Row],[DUT Adj Read]]="N/A",IF(Table1[[#This Row],[Std Adj Read]]&gt;Table1[[#This Row],[Low Tol]],"Pass","Fail"),IF(Table1[[#This Row],[DUT Adj Read]]&gt;Table1[[#This Row],[Low Tol]],"Pass","Fail")))</f>
        <v>Pass</v>
      </c>
      <c r="AE2483" s="1" t="str">
        <f>IF(AND(Table1[[#This Row],[Spec Type2]]="N/A",Table1[[#This Row],[DUT Adj Read]]="N/A",Table1[[#This Row],[Std Adj Read]]="N/A"),"N/A",IF(Table1[[#This Row],[DUT Adj Read]]="N/A",IF(Table1[[#This Row],[Std Adj Read]]&lt;Table1[[#This Row],[High Tol]],"Pass","Fail"),IF(Table1[[#This Row],[DUT Adj Read]]&lt;Table1[[#This Row],[High Tol]],"Pass","Fail")))</f>
        <v>Fail</v>
      </c>
      <c r="AF2483" s="1" t="str">
        <f>IF(AND(Table1[[#This Row],[Spec Type2]]="N/A",Table1[[#This Row],[DUT Adj Read]]="N/A",Table1[[#This Row],[Std Adj Read]]="N/A"),"N/A",IF(Table1[[#This Row],[DUT Adj Read]]="N/A",IF(Table1[[#This Row],[Std Adj Read]]&gt;=Table1[[#This Row],[Low Tol]],"Pass","Fail"),IF(Table1[[#This Row],[DUT Adj Read]]&gt;=Table1[[#This Row],[Low Tol]],"Pass","Fail")))</f>
        <v>Pass</v>
      </c>
      <c r="AG2483" s="1" t="str">
        <f>IF(AND(Table1[[#This Row],[Spec Type2]]="N/A",Table1[[#This Row],[DUT Adj Read]]="N/A",Table1[[#This Row],[Std Adj Read]]="N/A"),"N/A",IF(Table1[[#This Row],[DUT Adj Read]]="N/A",IF(Table1[[#This Row],[Std Adj Read]]&lt;=Table1[[#This Row],[High Tol]],"Pass","Fail"),IF(Table1[[#This Row],[DUT Adj Read]]&lt;=Table1[[#This Row],[High Tol]],"Pass","Fail")))</f>
        <v>Fail</v>
      </c>
      <c r="AH24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3" s="1" t="b">
        <v>0</v>
      </c>
      <c r="AN2483" s="1" t="b">
        <v>0</v>
      </c>
      <c r="AO2483" s="1" t="b">
        <v>0</v>
      </c>
    </row>
    <row r="2484" spans="1:41" x14ac:dyDescent="0.25">
      <c r="A2484" s="10"/>
      <c r="B2484" s="10"/>
      <c r="C2484" s="10"/>
      <c r="D2484" s="10"/>
      <c r="E2484" s="10"/>
      <c r="F2484" s="10"/>
      <c r="G2484" s="10"/>
      <c r="H2484" s="10"/>
      <c r="I2484" s="1" t="str">
        <f t="shared" si="114"/>
        <v/>
      </c>
      <c r="J2484" s="1" t="s">
        <v>35</v>
      </c>
      <c r="K2484" s="1" t="str">
        <f t="shared" si="115"/>
        <v/>
      </c>
      <c r="L2484" s="1" t="str">
        <f t="shared" si="116"/>
        <v/>
      </c>
      <c r="M2484" s="1">
        <f>IF(OR(Table1[[#This Row],[Std Nom]]="",Table1[[#This Row],[Std Read]]=""),0,Table1[[#This Row],[Std Nom]]-Table1[[#This Row],[Std Read]])</f>
        <v>0</v>
      </c>
      <c r="N2484" s="1">
        <f>IF(Calculations!$F$5="ACCREDITED 17025 WITH UNCERTAINTIES",$N$10,0)</f>
        <v>0</v>
      </c>
      <c r="O2484" s="1" t="str">
        <f>IFERROR(Table1[[#This Row],[Std Nom]]-(_xlfn.XLOOKUP(Table1[[#This Row],[Manufacturer]]&amp;" "&amp;Table1[[#This Row],[Model]],Table13[MFR &amp; MDL],Table13[Tolerance % CW ],"")/100*Table1[[#This Row],[Std Nom]]),"")</f>
        <v/>
      </c>
      <c r="P2484" s="1" t="str">
        <f>IFERROR(Table1[[#This Row],[Std Nom]]+(_xlfn.XLOOKUP(Table1[[#This Row],[Manufacturer]]&amp;" "&amp;Table1[[#This Row],[Model]],Table13[MFR &amp; MDL],Table13[Tolerance % CW ],"")/100*Table1[[#This Row],[Std Nom]]),"")</f>
        <v/>
      </c>
      <c r="Q2484" s="1" t="e">
        <f>Table1[[#This Row],[High Tol]]-Table1[[#This Row],[Low Tol]]</f>
        <v>#VALUE!</v>
      </c>
      <c r="R2484" s="1">
        <f>2*Table1[[#This Row],[Std Error]]</f>
        <v>0</v>
      </c>
      <c r="S2484" s="1" t="str">
        <f>IF(Table1[[#This Row],[High Tol]]="","N/A",IFERROR(ABS(Table1[[#This Row],[Tol Span]]/Table1[[#This Row],[Error Span]]),"N/A"))</f>
        <v>N/A</v>
      </c>
      <c r="T2484" s="1" t="str">
        <f>IF(OR(Table1[[#This Row],[Low Tol]]="",Table1[[#This Row],[High Tol]]=""),"Needs Analysis",IF(Table1[[#This Row],[Ratio]]&gt;=4,"Not Significant",IF(Table1[[#This Row],[Ratio]]&gt;=2,"Semi-Significant","Significant")))</f>
        <v>Needs Analysis</v>
      </c>
      <c r="W2484" s="1">
        <f>IF(Table1[[#This Row],[Cal Type]]&lt;&gt;"ACCREDITED 17025 WITH UNCERTAINTIES",0,"")</f>
        <v>0</v>
      </c>
      <c r="X2484" s="1" t="str">
        <f>IF(Table1[[#This Row],[DUT Read]]="","N/A",Table1[[#This Row],[Std Error]]+Table1[[#This Row],[DUT Read]]+Table1[[#This Row],[DUT Ucty]])</f>
        <v>N/A</v>
      </c>
      <c r="Y2484" s="1" t="str">
        <f>IF(Table1[[#This Row],[Std Read]]="","N/A",Table1[[#This Row],[Std Read]]+Table1[[#This Row],[Std Ucty]])</f>
        <v>N/A</v>
      </c>
      <c r="Z24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4" s="1" t="str">
        <f>IF(Table1[[#This Row],[Spec Type]]="","N/A",Table1[[#This Row],[Spec Type]])</f>
        <v>±</v>
      </c>
      <c r="AC2484" s="1" t="str">
        <f>IF(Table1[[#This Row],[Spec Type2]]="N/A","N/A",IF(AND(Table1[[#This Row],[DUT Adj Read]]&gt;=Table1[[#This Row],[Low Tol]],Table1[[#This Row],[DUT Adj Read]]&lt;=Table1[[#This Row],[High Tol]]),"Pass","Fail"))</f>
        <v>Fail</v>
      </c>
      <c r="AD2484" s="1" t="str">
        <f>IF(AND(Table1[[#This Row],[Spec Type2]]="N/A",Table1[[#This Row],[DUT Adj Read]]="N/A",Table1[[#This Row],[Std Adj Read]]="N/A"),"N/A",IF(Table1[[#This Row],[DUT Adj Read]]="N/A",IF(Table1[[#This Row],[Std Adj Read]]&gt;Table1[[#This Row],[Low Tol]],"Pass","Fail"),IF(Table1[[#This Row],[DUT Adj Read]]&gt;Table1[[#This Row],[Low Tol]],"Pass","Fail")))</f>
        <v>Pass</v>
      </c>
      <c r="AE2484" s="1" t="str">
        <f>IF(AND(Table1[[#This Row],[Spec Type2]]="N/A",Table1[[#This Row],[DUT Adj Read]]="N/A",Table1[[#This Row],[Std Adj Read]]="N/A"),"N/A",IF(Table1[[#This Row],[DUT Adj Read]]="N/A",IF(Table1[[#This Row],[Std Adj Read]]&lt;Table1[[#This Row],[High Tol]],"Pass","Fail"),IF(Table1[[#This Row],[DUT Adj Read]]&lt;Table1[[#This Row],[High Tol]],"Pass","Fail")))</f>
        <v>Fail</v>
      </c>
      <c r="AF2484" s="1" t="str">
        <f>IF(AND(Table1[[#This Row],[Spec Type2]]="N/A",Table1[[#This Row],[DUT Adj Read]]="N/A",Table1[[#This Row],[Std Adj Read]]="N/A"),"N/A",IF(Table1[[#This Row],[DUT Adj Read]]="N/A",IF(Table1[[#This Row],[Std Adj Read]]&gt;=Table1[[#This Row],[Low Tol]],"Pass","Fail"),IF(Table1[[#This Row],[DUT Adj Read]]&gt;=Table1[[#This Row],[Low Tol]],"Pass","Fail")))</f>
        <v>Pass</v>
      </c>
      <c r="AG2484" s="1" t="str">
        <f>IF(AND(Table1[[#This Row],[Spec Type2]]="N/A",Table1[[#This Row],[DUT Adj Read]]="N/A",Table1[[#This Row],[Std Adj Read]]="N/A"),"N/A",IF(Table1[[#This Row],[DUT Adj Read]]="N/A",IF(Table1[[#This Row],[Std Adj Read]]&lt;=Table1[[#This Row],[High Tol]],"Pass","Fail"),IF(Table1[[#This Row],[DUT Adj Read]]&lt;=Table1[[#This Row],[High Tol]],"Pass","Fail")))</f>
        <v>Fail</v>
      </c>
      <c r="AH24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4" s="1" t="b">
        <v>0</v>
      </c>
      <c r="AN2484" s="1" t="b">
        <v>0</v>
      </c>
      <c r="AO2484" s="1" t="b">
        <v>0</v>
      </c>
    </row>
    <row r="2485" spans="1:41" x14ac:dyDescent="0.25">
      <c r="A2485" s="10"/>
      <c r="B2485" s="10"/>
      <c r="C2485" s="10"/>
      <c r="D2485" s="10"/>
      <c r="E2485" s="10"/>
      <c r="F2485" s="10"/>
      <c r="G2485" s="10"/>
      <c r="H2485" s="10"/>
      <c r="I2485" s="1" t="str">
        <f t="shared" si="114"/>
        <v/>
      </c>
      <c r="J2485" s="1" t="s">
        <v>35</v>
      </c>
      <c r="K2485" s="1" t="str">
        <f t="shared" si="115"/>
        <v/>
      </c>
      <c r="L2485" s="1" t="str">
        <f t="shared" si="116"/>
        <v/>
      </c>
      <c r="M2485" s="1">
        <f>IF(OR(Table1[[#This Row],[Std Nom]]="",Table1[[#This Row],[Std Read]]=""),0,Table1[[#This Row],[Std Nom]]-Table1[[#This Row],[Std Read]])</f>
        <v>0</v>
      </c>
      <c r="N2485" s="1">
        <f>IF(Calculations!$F$5="ACCREDITED 17025 WITH UNCERTAINTIES",$N$10,0)</f>
        <v>0</v>
      </c>
      <c r="O2485" s="1" t="str">
        <f>IFERROR(Table1[[#This Row],[Std Nom]]-(_xlfn.XLOOKUP(Table1[[#This Row],[Manufacturer]]&amp;" "&amp;Table1[[#This Row],[Model]],Table13[MFR &amp; MDL],Table13[Tolerance % CW ],"")/100*Table1[[#This Row],[Std Nom]]),"")</f>
        <v/>
      </c>
      <c r="P2485" s="1" t="str">
        <f>IFERROR(Table1[[#This Row],[Std Nom]]+(_xlfn.XLOOKUP(Table1[[#This Row],[Manufacturer]]&amp;" "&amp;Table1[[#This Row],[Model]],Table13[MFR &amp; MDL],Table13[Tolerance % CW ],"")/100*Table1[[#This Row],[Std Nom]]),"")</f>
        <v/>
      </c>
      <c r="Q2485" s="1" t="e">
        <f>Table1[[#This Row],[High Tol]]-Table1[[#This Row],[Low Tol]]</f>
        <v>#VALUE!</v>
      </c>
      <c r="R2485" s="1">
        <f>2*Table1[[#This Row],[Std Error]]</f>
        <v>0</v>
      </c>
      <c r="S2485" s="1" t="str">
        <f>IF(Table1[[#This Row],[High Tol]]="","N/A",IFERROR(ABS(Table1[[#This Row],[Tol Span]]/Table1[[#This Row],[Error Span]]),"N/A"))</f>
        <v>N/A</v>
      </c>
      <c r="T2485" s="1" t="str">
        <f>IF(OR(Table1[[#This Row],[Low Tol]]="",Table1[[#This Row],[High Tol]]=""),"Needs Analysis",IF(Table1[[#This Row],[Ratio]]&gt;=4,"Not Significant",IF(Table1[[#This Row],[Ratio]]&gt;=2,"Semi-Significant","Significant")))</f>
        <v>Needs Analysis</v>
      </c>
      <c r="W2485" s="1">
        <f>IF(Table1[[#This Row],[Cal Type]]&lt;&gt;"ACCREDITED 17025 WITH UNCERTAINTIES",0,"")</f>
        <v>0</v>
      </c>
      <c r="X2485" s="1" t="str">
        <f>IF(Table1[[#This Row],[DUT Read]]="","N/A",Table1[[#This Row],[Std Error]]+Table1[[#This Row],[DUT Read]]+Table1[[#This Row],[DUT Ucty]])</f>
        <v>N/A</v>
      </c>
      <c r="Y2485" s="1" t="str">
        <f>IF(Table1[[#This Row],[Std Read]]="","N/A",Table1[[#This Row],[Std Read]]+Table1[[#This Row],[Std Ucty]])</f>
        <v>N/A</v>
      </c>
      <c r="Z24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5" s="1" t="str">
        <f>IF(Table1[[#This Row],[Spec Type]]="","N/A",Table1[[#This Row],[Spec Type]])</f>
        <v>±</v>
      </c>
      <c r="AC2485" s="1" t="str">
        <f>IF(Table1[[#This Row],[Spec Type2]]="N/A","N/A",IF(AND(Table1[[#This Row],[DUT Adj Read]]&gt;=Table1[[#This Row],[Low Tol]],Table1[[#This Row],[DUT Adj Read]]&lt;=Table1[[#This Row],[High Tol]]),"Pass","Fail"))</f>
        <v>Fail</v>
      </c>
      <c r="AD2485" s="1" t="str">
        <f>IF(AND(Table1[[#This Row],[Spec Type2]]="N/A",Table1[[#This Row],[DUT Adj Read]]="N/A",Table1[[#This Row],[Std Adj Read]]="N/A"),"N/A",IF(Table1[[#This Row],[DUT Adj Read]]="N/A",IF(Table1[[#This Row],[Std Adj Read]]&gt;Table1[[#This Row],[Low Tol]],"Pass","Fail"),IF(Table1[[#This Row],[DUT Adj Read]]&gt;Table1[[#This Row],[Low Tol]],"Pass","Fail")))</f>
        <v>Pass</v>
      </c>
      <c r="AE2485" s="1" t="str">
        <f>IF(AND(Table1[[#This Row],[Spec Type2]]="N/A",Table1[[#This Row],[DUT Adj Read]]="N/A",Table1[[#This Row],[Std Adj Read]]="N/A"),"N/A",IF(Table1[[#This Row],[DUT Adj Read]]="N/A",IF(Table1[[#This Row],[Std Adj Read]]&lt;Table1[[#This Row],[High Tol]],"Pass","Fail"),IF(Table1[[#This Row],[DUT Adj Read]]&lt;Table1[[#This Row],[High Tol]],"Pass","Fail")))</f>
        <v>Fail</v>
      </c>
      <c r="AF2485" s="1" t="str">
        <f>IF(AND(Table1[[#This Row],[Spec Type2]]="N/A",Table1[[#This Row],[DUT Adj Read]]="N/A",Table1[[#This Row],[Std Adj Read]]="N/A"),"N/A",IF(Table1[[#This Row],[DUT Adj Read]]="N/A",IF(Table1[[#This Row],[Std Adj Read]]&gt;=Table1[[#This Row],[Low Tol]],"Pass","Fail"),IF(Table1[[#This Row],[DUT Adj Read]]&gt;=Table1[[#This Row],[Low Tol]],"Pass","Fail")))</f>
        <v>Pass</v>
      </c>
      <c r="AG2485" s="1" t="str">
        <f>IF(AND(Table1[[#This Row],[Spec Type2]]="N/A",Table1[[#This Row],[DUT Adj Read]]="N/A",Table1[[#This Row],[Std Adj Read]]="N/A"),"N/A",IF(Table1[[#This Row],[DUT Adj Read]]="N/A",IF(Table1[[#This Row],[Std Adj Read]]&lt;=Table1[[#This Row],[High Tol]],"Pass","Fail"),IF(Table1[[#This Row],[DUT Adj Read]]&lt;=Table1[[#This Row],[High Tol]],"Pass","Fail")))</f>
        <v>Fail</v>
      </c>
      <c r="AH24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5" s="1" t="b">
        <v>0</v>
      </c>
      <c r="AN2485" s="1" t="b">
        <v>0</v>
      </c>
      <c r="AO2485" s="1" t="b">
        <v>0</v>
      </c>
    </row>
    <row r="2486" spans="1:41" x14ac:dyDescent="0.25">
      <c r="A2486" s="10"/>
      <c r="B2486" s="10"/>
      <c r="C2486" s="10"/>
      <c r="D2486" s="10"/>
      <c r="E2486" s="10"/>
      <c r="F2486" s="10"/>
      <c r="G2486" s="10"/>
      <c r="H2486" s="10"/>
      <c r="I2486" s="1" t="str">
        <f t="shared" si="114"/>
        <v/>
      </c>
      <c r="J2486" s="1" t="s">
        <v>35</v>
      </c>
      <c r="K2486" s="1" t="str">
        <f t="shared" si="115"/>
        <v/>
      </c>
      <c r="L2486" s="1" t="str">
        <f t="shared" si="116"/>
        <v/>
      </c>
      <c r="M2486" s="1">
        <f>IF(OR(Table1[[#This Row],[Std Nom]]="",Table1[[#This Row],[Std Read]]=""),0,Table1[[#This Row],[Std Nom]]-Table1[[#This Row],[Std Read]])</f>
        <v>0</v>
      </c>
      <c r="N2486" s="1">
        <f>IF(Calculations!$F$5="ACCREDITED 17025 WITH UNCERTAINTIES",$N$10,0)</f>
        <v>0</v>
      </c>
      <c r="O2486" s="1" t="str">
        <f>IFERROR(Table1[[#This Row],[Std Nom]]-(_xlfn.XLOOKUP(Table1[[#This Row],[Manufacturer]]&amp;" "&amp;Table1[[#This Row],[Model]],Table13[MFR &amp; MDL],Table13[Tolerance % CW ],"")/100*Table1[[#This Row],[Std Nom]]),"")</f>
        <v/>
      </c>
      <c r="P2486" s="1" t="str">
        <f>IFERROR(Table1[[#This Row],[Std Nom]]+(_xlfn.XLOOKUP(Table1[[#This Row],[Manufacturer]]&amp;" "&amp;Table1[[#This Row],[Model]],Table13[MFR &amp; MDL],Table13[Tolerance % CW ],"")/100*Table1[[#This Row],[Std Nom]]),"")</f>
        <v/>
      </c>
      <c r="Q2486" s="1" t="e">
        <f>Table1[[#This Row],[High Tol]]-Table1[[#This Row],[Low Tol]]</f>
        <v>#VALUE!</v>
      </c>
      <c r="R2486" s="1">
        <f>2*Table1[[#This Row],[Std Error]]</f>
        <v>0</v>
      </c>
      <c r="S2486" s="1" t="str">
        <f>IF(Table1[[#This Row],[High Tol]]="","N/A",IFERROR(ABS(Table1[[#This Row],[Tol Span]]/Table1[[#This Row],[Error Span]]),"N/A"))</f>
        <v>N/A</v>
      </c>
      <c r="T2486" s="1" t="str">
        <f>IF(OR(Table1[[#This Row],[Low Tol]]="",Table1[[#This Row],[High Tol]]=""),"Needs Analysis",IF(Table1[[#This Row],[Ratio]]&gt;=4,"Not Significant",IF(Table1[[#This Row],[Ratio]]&gt;=2,"Semi-Significant","Significant")))</f>
        <v>Needs Analysis</v>
      </c>
      <c r="W2486" s="1">
        <f>IF(Table1[[#This Row],[Cal Type]]&lt;&gt;"ACCREDITED 17025 WITH UNCERTAINTIES",0,"")</f>
        <v>0</v>
      </c>
      <c r="X2486" s="1" t="str">
        <f>IF(Table1[[#This Row],[DUT Read]]="","N/A",Table1[[#This Row],[Std Error]]+Table1[[#This Row],[DUT Read]]+Table1[[#This Row],[DUT Ucty]])</f>
        <v>N/A</v>
      </c>
      <c r="Y2486" s="1" t="str">
        <f>IF(Table1[[#This Row],[Std Read]]="","N/A",Table1[[#This Row],[Std Read]]+Table1[[#This Row],[Std Ucty]])</f>
        <v>N/A</v>
      </c>
      <c r="Z24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6" s="1" t="str">
        <f>IF(Table1[[#This Row],[Spec Type]]="","N/A",Table1[[#This Row],[Spec Type]])</f>
        <v>±</v>
      </c>
      <c r="AC2486" s="1" t="str">
        <f>IF(Table1[[#This Row],[Spec Type2]]="N/A","N/A",IF(AND(Table1[[#This Row],[DUT Adj Read]]&gt;=Table1[[#This Row],[Low Tol]],Table1[[#This Row],[DUT Adj Read]]&lt;=Table1[[#This Row],[High Tol]]),"Pass","Fail"))</f>
        <v>Fail</v>
      </c>
      <c r="AD2486" s="1" t="str">
        <f>IF(AND(Table1[[#This Row],[Spec Type2]]="N/A",Table1[[#This Row],[DUT Adj Read]]="N/A",Table1[[#This Row],[Std Adj Read]]="N/A"),"N/A",IF(Table1[[#This Row],[DUT Adj Read]]="N/A",IF(Table1[[#This Row],[Std Adj Read]]&gt;Table1[[#This Row],[Low Tol]],"Pass","Fail"),IF(Table1[[#This Row],[DUT Adj Read]]&gt;Table1[[#This Row],[Low Tol]],"Pass","Fail")))</f>
        <v>Pass</v>
      </c>
      <c r="AE2486" s="1" t="str">
        <f>IF(AND(Table1[[#This Row],[Spec Type2]]="N/A",Table1[[#This Row],[DUT Adj Read]]="N/A",Table1[[#This Row],[Std Adj Read]]="N/A"),"N/A",IF(Table1[[#This Row],[DUT Adj Read]]="N/A",IF(Table1[[#This Row],[Std Adj Read]]&lt;Table1[[#This Row],[High Tol]],"Pass","Fail"),IF(Table1[[#This Row],[DUT Adj Read]]&lt;Table1[[#This Row],[High Tol]],"Pass","Fail")))</f>
        <v>Fail</v>
      </c>
      <c r="AF2486" s="1" t="str">
        <f>IF(AND(Table1[[#This Row],[Spec Type2]]="N/A",Table1[[#This Row],[DUT Adj Read]]="N/A",Table1[[#This Row],[Std Adj Read]]="N/A"),"N/A",IF(Table1[[#This Row],[DUT Adj Read]]="N/A",IF(Table1[[#This Row],[Std Adj Read]]&gt;=Table1[[#This Row],[Low Tol]],"Pass","Fail"),IF(Table1[[#This Row],[DUT Adj Read]]&gt;=Table1[[#This Row],[Low Tol]],"Pass","Fail")))</f>
        <v>Pass</v>
      </c>
      <c r="AG2486" s="1" t="str">
        <f>IF(AND(Table1[[#This Row],[Spec Type2]]="N/A",Table1[[#This Row],[DUT Adj Read]]="N/A",Table1[[#This Row],[Std Adj Read]]="N/A"),"N/A",IF(Table1[[#This Row],[DUT Adj Read]]="N/A",IF(Table1[[#This Row],[Std Adj Read]]&lt;=Table1[[#This Row],[High Tol]],"Pass","Fail"),IF(Table1[[#This Row],[DUT Adj Read]]&lt;=Table1[[#This Row],[High Tol]],"Pass","Fail")))</f>
        <v>Fail</v>
      </c>
      <c r="AH24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6" s="1" t="b">
        <v>0</v>
      </c>
      <c r="AN2486" s="1" t="b">
        <v>0</v>
      </c>
      <c r="AO2486" s="1" t="b">
        <v>0</v>
      </c>
    </row>
    <row r="2487" spans="1:41" x14ac:dyDescent="0.25">
      <c r="A2487" s="10"/>
      <c r="B2487" s="10"/>
      <c r="C2487" s="10"/>
      <c r="D2487" s="10"/>
      <c r="E2487" s="10"/>
      <c r="F2487" s="10"/>
      <c r="G2487" s="10"/>
      <c r="H2487" s="10"/>
      <c r="I2487" s="1" t="str">
        <f t="shared" si="114"/>
        <v/>
      </c>
      <c r="J2487" s="1" t="s">
        <v>35</v>
      </c>
      <c r="K2487" s="1" t="str">
        <f t="shared" si="115"/>
        <v/>
      </c>
      <c r="L2487" s="1" t="str">
        <f t="shared" si="116"/>
        <v/>
      </c>
      <c r="M2487" s="1">
        <f>IF(OR(Table1[[#This Row],[Std Nom]]="",Table1[[#This Row],[Std Read]]=""),0,Table1[[#This Row],[Std Nom]]-Table1[[#This Row],[Std Read]])</f>
        <v>0</v>
      </c>
      <c r="N2487" s="1">
        <f>IF(Calculations!$F$5="ACCREDITED 17025 WITH UNCERTAINTIES",$N$10,0)</f>
        <v>0</v>
      </c>
      <c r="O2487" s="1" t="str">
        <f>IFERROR(Table1[[#This Row],[Std Nom]]-(_xlfn.XLOOKUP(Table1[[#This Row],[Manufacturer]]&amp;" "&amp;Table1[[#This Row],[Model]],Table13[MFR &amp; MDL],Table13[Tolerance % CW ],"")/100*Table1[[#This Row],[Std Nom]]),"")</f>
        <v/>
      </c>
      <c r="P2487" s="1" t="str">
        <f>IFERROR(Table1[[#This Row],[Std Nom]]+(_xlfn.XLOOKUP(Table1[[#This Row],[Manufacturer]]&amp;" "&amp;Table1[[#This Row],[Model]],Table13[MFR &amp; MDL],Table13[Tolerance % CW ],"")/100*Table1[[#This Row],[Std Nom]]),"")</f>
        <v/>
      </c>
      <c r="Q2487" s="1" t="e">
        <f>Table1[[#This Row],[High Tol]]-Table1[[#This Row],[Low Tol]]</f>
        <v>#VALUE!</v>
      </c>
      <c r="R2487" s="1">
        <f>2*Table1[[#This Row],[Std Error]]</f>
        <v>0</v>
      </c>
      <c r="S2487" s="1" t="str">
        <f>IF(Table1[[#This Row],[High Tol]]="","N/A",IFERROR(ABS(Table1[[#This Row],[Tol Span]]/Table1[[#This Row],[Error Span]]),"N/A"))</f>
        <v>N/A</v>
      </c>
      <c r="T2487" s="1" t="str">
        <f>IF(OR(Table1[[#This Row],[Low Tol]]="",Table1[[#This Row],[High Tol]]=""),"Needs Analysis",IF(Table1[[#This Row],[Ratio]]&gt;=4,"Not Significant",IF(Table1[[#This Row],[Ratio]]&gt;=2,"Semi-Significant","Significant")))</f>
        <v>Needs Analysis</v>
      </c>
      <c r="W2487" s="1">
        <f>IF(Table1[[#This Row],[Cal Type]]&lt;&gt;"ACCREDITED 17025 WITH UNCERTAINTIES",0,"")</f>
        <v>0</v>
      </c>
      <c r="X2487" s="1" t="str">
        <f>IF(Table1[[#This Row],[DUT Read]]="","N/A",Table1[[#This Row],[Std Error]]+Table1[[#This Row],[DUT Read]]+Table1[[#This Row],[DUT Ucty]])</f>
        <v>N/A</v>
      </c>
      <c r="Y2487" s="1" t="str">
        <f>IF(Table1[[#This Row],[Std Read]]="","N/A",Table1[[#This Row],[Std Read]]+Table1[[#This Row],[Std Ucty]])</f>
        <v>N/A</v>
      </c>
      <c r="Z24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7" s="1" t="str">
        <f>IF(Table1[[#This Row],[Spec Type]]="","N/A",Table1[[#This Row],[Spec Type]])</f>
        <v>±</v>
      </c>
      <c r="AC2487" s="1" t="str">
        <f>IF(Table1[[#This Row],[Spec Type2]]="N/A","N/A",IF(AND(Table1[[#This Row],[DUT Adj Read]]&gt;=Table1[[#This Row],[Low Tol]],Table1[[#This Row],[DUT Adj Read]]&lt;=Table1[[#This Row],[High Tol]]),"Pass","Fail"))</f>
        <v>Fail</v>
      </c>
      <c r="AD2487" s="1" t="str">
        <f>IF(AND(Table1[[#This Row],[Spec Type2]]="N/A",Table1[[#This Row],[DUT Adj Read]]="N/A",Table1[[#This Row],[Std Adj Read]]="N/A"),"N/A",IF(Table1[[#This Row],[DUT Adj Read]]="N/A",IF(Table1[[#This Row],[Std Adj Read]]&gt;Table1[[#This Row],[Low Tol]],"Pass","Fail"),IF(Table1[[#This Row],[DUT Adj Read]]&gt;Table1[[#This Row],[Low Tol]],"Pass","Fail")))</f>
        <v>Pass</v>
      </c>
      <c r="AE2487" s="1" t="str">
        <f>IF(AND(Table1[[#This Row],[Spec Type2]]="N/A",Table1[[#This Row],[DUT Adj Read]]="N/A",Table1[[#This Row],[Std Adj Read]]="N/A"),"N/A",IF(Table1[[#This Row],[DUT Adj Read]]="N/A",IF(Table1[[#This Row],[Std Adj Read]]&lt;Table1[[#This Row],[High Tol]],"Pass","Fail"),IF(Table1[[#This Row],[DUT Adj Read]]&lt;Table1[[#This Row],[High Tol]],"Pass","Fail")))</f>
        <v>Fail</v>
      </c>
      <c r="AF2487" s="1" t="str">
        <f>IF(AND(Table1[[#This Row],[Spec Type2]]="N/A",Table1[[#This Row],[DUT Adj Read]]="N/A",Table1[[#This Row],[Std Adj Read]]="N/A"),"N/A",IF(Table1[[#This Row],[DUT Adj Read]]="N/A",IF(Table1[[#This Row],[Std Adj Read]]&gt;=Table1[[#This Row],[Low Tol]],"Pass","Fail"),IF(Table1[[#This Row],[DUT Adj Read]]&gt;=Table1[[#This Row],[Low Tol]],"Pass","Fail")))</f>
        <v>Pass</v>
      </c>
      <c r="AG2487" s="1" t="str">
        <f>IF(AND(Table1[[#This Row],[Spec Type2]]="N/A",Table1[[#This Row],[DUT Adj Read]]="N/A",Table1[[#This Row],[Std Adj Read]]="N/A"),"N/A",IF(Table1[[#This Row],[DUT Adj Read]]="N/A",IF(Table1[[#This Row],[Std Adj Read]]&lt;=Table1[[#This Row],[High Tol]],"Pass","Fail"),IF(Table1[[#This Row],[DUT Adj Read]]&lt;=Table1[[#This Row],[High Tol]],"Pass","Fail")))</f>
        <v>Fail</v>
      </c>
      <c r="AH24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7" s="1" t="b">
        <v>0</v>
      </c>
      <c r="AN2487" s="1" t="b">
        <v>0</v>
      </c>
      <c r="AO2487" s="1" t="b">
        <v>0</v>
      </c>
    </row>
    <row r="2488" spans="1:41" x14ac:dyDescent="0.25">
      <c r="A2488" s="10"/>
      <c r="B2488" s="10"/>
      <c r="C2488" s="10"/>
      <c r="D2488" s="10"/>
      <c r="E2488" s="10"/>
      <c r="F2488" s="10"/>
      <c r="G2488" s="10"/>
      <c r="H2488" s="10"/>
      <c r="I2488" s="1" t="str">
        <f t="shared" si="114"/>
        <v/>
      </c>
      <c r="J2488" s="1" t="s">
        <v>35</v>
      </c>
      <c r="K2488" s="1" t="str">
        <f t="shared" si="115"/>
        <v/>
      </c>
      <c r="L2488" s="1" t="str">
        <f t="shared" si="116"/>
        <v/>
      </c>
      <c r="M2488" s="1">
        <f>IF(OR(Table1[[#This Row],[Std Nom]]="",Table1[[#This Row],[Std Read]]=""),0,Table1[[#This Row],[Std Nom]]-Table1[[#This Row],[Std Read]])</f>
        <v>0</v>
      </c>
      <c r="N2488" s="1">
        <f>IF(Calculations!$F$5="ACCREDITED 17025 WITH UNCERTAINTIES",$N$10,0)</f>
        <v>0</v>
      </c>
      <c r="O2488" s="1" t="str">
        <f>IFERROR(Table1[[#This Row],[Std Nom]]-(_xlfn.XLOOKUP(Table1[[#This Row],[Manufacturer]]&amp;" "&amp;Table1[[#This Row],[Model]],Table13[MFR &amp; MDL],Table13[Tolerance % CW ],"")/100*Table1[[#This Row],[Std Nom]]),"")</f>
        <v/>
      </c>
      <c r="P2488" s="1" t="str">
        <f>IFERROR(Table1[[#This Row],[Std Nom]]+(_xlfn.XLOOKUP(Table1[[#This Row],[Manufacturer]]&amp;" "&amp;Table1[[#This Row],[Model]],Table13[MFR &amp; MDL],Table13[Tolerance % CW ],"")/100*Table1[[#This Row],[Std Nom]]),"")</f>
        <v/>
      </c>
      <c r="Q2488" s="1" t="e">
        <f>Table1[[#This Row],[High Tol]]-Table1[[#This Row],[Low Tol]]</f>
        <v>#VALUE!</v>
      </c>
      <c r="R2488" s="1">
        <f>2*Table1[[#This Row],[Std Error]]</f>
        <v>0</v>
      </c>
      <c r="S2488" s="1" t="str">
        <f>IF(Table1[[#This Row],[High Tol]]="","N/A",IFERROR(ABS(Table1[[#This Row],[Tol Span]]/Table1[[#This Row],[Error Span]]),"N/A"))</f>
        <v>N/A</v>
      </c>
      <c r="T2488" s="1" t="str">
        <f>IF(OR(Table1[[#This Row],[Low Tol]]="",Table1[[#This Row],[High Tol]]=""),"Needs Analysis",IF(Table1[[#This Row],[Ratio]]&gt;=4,"Not Significant",IF(Table1[[#This Row],[Ratio]]&gt;=2,"Semi-Significant","Significant")))</f>
        <v>Needs Analysis</v>
      </c>
      <c r="W2488" s="1">
        <f>IF(Table1[[#This Row],[Cal Type]]&lt;&gt;"ACCREDITED 17025 WITH UNCERTAINTIES",0,"")</f>
        <v>0</v>
      </c>
      <c r="X2488" s="1" t="str">
        <f>IF(Table1[[#This Row],[DUT Read]]="","N/A",Table1[[#This Row],[Std Error]]+Table1[[#This Row],[DUT Read]]+Table1[[#This Row],[DUT Ucty]])</f>
        <v>N/A</v>
      </c>
      <c r="Y2488" s="1" t="str">
        <f>IF(Table1[[#This Row],[Std Read]]="","N/A",Table1[[#This Row],[Std Read]]+Table1[[#This Row],[Std Ucty]])</f>
        <v>N/A</v>
      </c>
      <c r="Z24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8" s="1" t="str">
        <f>IF(Table1[[#This Row],[Spec Type]]="","N/A",Table1[[#This Row],[Spec Type]])</f>
        <v>±</v>
      </c>
      <c r="AC2488" s="1" t="str">
        <f>IF(Table1[[#This Row],[Spec Type2]]="N/A","N/A",IF(AND(Table1[[#This Row],[DUT Adj Read]]&gt;=Table1[[#This Row],[Low Tol]],Table1[[#This Row],[DUT Adj Read]]&lt;=Table1[[#This Row],[High Tol]]),"Pass","Fail"))</f>
        <v>Fail</v>
      </c>
      <c r="AD2488" s="1" t="str">
        <f>IF(AND(Table1[[#This Row],[Spec Type2]]="N/A",Table1[[#This Row],[DUT Adj Read]]="N/A",Table1[[#This Row],[Std Adj Read]]="N/A"),"N/A",IF(Table1[[#This Row],[DUT Adj Read]]="N/A",IF(Table1[[#This Row],[Std Adj Read]]&gt;Table1[[#This Row],[Low Tol]],"Pass","Fail"),IF(Table1[[#This Row],[DUT Adj Read]]&gt;Table1[[#This Row],[Low Tol]],"Pass","Fail")))</f>
        <v>Pass</v>
      </c>
      <c r="AE2488" s="1" t="str">
        <f>IF(AND(Table1[[#This Row],[Spec Type2]]="N/A",Table1[[#This Row],[DUT Adj Read]]="N/A",Table1[[#This Row],[Std Adj Read]]="N/A"),"N/A",IF(Table1[[#This Row],[DUT Adj Read]]="N/A",IF(Table1[[#This Row],[Std Adj Read]]&lt;Table1[[#This Row],[High Tol]],"Pass","Fail"),IF(Table1[[#This Row],[DUT Adj Read]]&lt;Table1[[#This Row],[High Tol]],"Pass","Fail")))</f>
        <v>Fail</v>
      </c>
      <c r="AF2488" s="1" t="str">
        <f>IF(AND(Table1[[#This Row],[Spec Type2]]="N/A",Table1[[#This Row],[DUT Adj Read]]="N/A",Table1[[#This Row],[Std Adj Read]]="N/A"),"N/A",IF(Table1[[#This Row],[DUT Adj Read]]="N/A",IF(Table1[[#This Row],[Std Adj Read]]&gt;=Table1[[#This Row],[Low Tol]],"Pass","Fail"),IF(Table1[[#This Row],[DUT Adj Read]]&gt;=Table1[[#This Row],[Low Tol]],"Pass","Fail")))</f>
        <v>Pass</v>
      </c>
      <c r="AG2488" s="1" t="str">
        <f>IF(AND(Table1[[#This Row],[Spec Type2]]="N/A",Table1[[#This Row],[DUT Adj Read]]="N/A",Table1[[#This Row],[Std Adj Read]]="N/A"),"N/A",IF(Table1[[#This Row],[DUT Adj Read]]="N/A",IF(Table1[[#This Row],[Std Adj Read]]&lt;=Table1[[#This Row],[High Tol]],"Pass","Fail"),IF(Table1[[#This Row],[DUT Adj Read]]&lt;=Table1[[#This Row],[High Tol]],"Pass","Fail")))</f>
        <v>Fail</v>
      </c>
      <c r="AH24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8" s="1" t="b">
        <v>0</v>
      </c>
      <c r="AN2488" s="1" t="b">
        <v>0</v>
      </c>
      <c r="AO2488" s="1" t="b">
        <v>0</v>
      </c>
    </row>
    <row r="2489" spans="1:41" x14ac:dyDescent="0.25">
      <c r="A2489" s="10"/>
      <c r="B2489" s="10"/>
      <c r="C2489" s="10"/>
      <c r="D2489" s="10"/>
      <c r="E2489" s="10"/>
      <c r="F2489" s="10"/>
      <c r="G2489" s="10"/>
      <c r="H2489" s="10"/>
      <c r="I2489" s="1" t="str">
        <f t="shared" si="114"/>
        <v/>
      </c>
      <c r="J2489" s="1" t="s">
        <v>35</v>
      </c>
      <c r="K2489" s="1" t="str">
        <f t="shared" si="115"/>
        <v/>
      </c>
      <c r="L2489" s="1" t="str">
        <f t="shared" si="116"/>
        <v/>
      </c>
      <c r="M2489" s="1">
        <f>IF(OR(Table1[[#This Row],[Std Nom]]="",Table1[[#This Row],[Std Read]]=""),0,Table1[[#This Row],[Std Nom]]-Table1[[#This Row],[Std Read]])</f>
        <v>0</v>
      </c>
      <c r="N2489" s="1">
        <f>IF(Calculations!$F$5="ACCREDITED 17025 WITH UNCERTAINTIES",$N$10,0)</f>
        <v>0</v>
      </c>
      <c r="O2489" s="1" t="str">
        <f>IFERROR(Table1[[#This Row],[Std Nom]]-(_xlfn.XLOOKUP(Table1[[#This Row],[Manufacturer]]&amp;" "&amp;Table1[[#This Row],[Model]],Table13[MFR &amp; MDL],Table13[Tolerance % CW ],"")/100*Table1[[#This Row],[Std Nom]]),"")</f>
        <v/>
      </c>
      <c r="P2489" s="1" t="str">
        <f>IFERROR(Table1[[#This Row],[Std Nom]]+(_xlfn.XLOOKUP(Table1[[#This Row],[Manufacturer]]&amp;" "&amp;Table1[[#This Row],[Model]],Table13[MFR &amp; MDL],Table13[Tolerance % CW ],"")/100*Table1[[#This Row],[Std Nom]]),"")</f>
        <v/>
      </c>
      <c r="Q2489" s="1" t="e">
        <f>Table1[[#This Row],[High Tol]]-Table1[[#This Row],[Low Tol]]</f>
        <v>#VALUE!</v>
      </c>
      <c r="R2489" s="1">
        <f>2*Table1[[#This Row],[Std Error]]</f>
        <v>0</v>
      </c>
      <c r="S2489" s="1" t="str">
        <f>IF(Table1[[#This Row],[High Tol]]="","N/A",IFERROR(ABS(Table1[[#This Row],[Tol Span]]/Table1[[#This Row],[Error Span]]),"N/A"))</f>
        <v>N/A</v>
      </c>
      <c r="T2489" s="1" t="str">
        <f>IF(OR(Table1[[#This Row],[Low Tol]]="",Table1[[#This Row],[High Tol]]=""),"Needs Analysis",IF(Table1[[#This Row],[Ratio]]&gt;=4,"Not Significant",IF(Table1[[#This Row],[Ratio]]&gt;=2,"Semi-Significant","Significant")))</f>
        <v>Needs Analysis</v>
      </c>
      <c r="W2489" s="1">
        <f>IF(Table1[[#This Row],[Cal Type]]&lt;&gt;"ACCREDITED 17025 WITH UNCERTAINTIES",0,"")</f>
        <v>0</v>
      </c>
      <c r="X2489" s="1" t="str">
        <f>IF(Table1[[#This Row],[DUT Read]]="","N/A",Table1[[#This Row],[Std Error]]+Table1[[#This Row],[DUT Read]]+Table1[[#This Row],[DUT Ucty]])</f>
        <v>N/A</v>
      </c>
      <c r="Y2489" s="1" t="str">
        <f>IF(Table1[[#This Row],[Std Read]]="","N/A",Table1[[#This Row],[Std Read]]+Table1[[#This Row],[Std Ucty]])</f>
        <v>N/A</v>
      </c>
      <c r="Z24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9" s="1" t="str">
        <f>IF(Table1[[#This Row],[Spec Type]]="","N/A",Table1[[#This Row],[Spec Type]])</f>
        <v>±</v>
      </c>
      <c r="AC2489" s="1" t="str">
        <f>IF(Table1[[#This Row],[Spec Type2]]="N/A","N/A",IF(AND(Table1[[#This Row],[DUT Adj Read]]&gt;=Table1[[#This Row],[Low Tol]],Table1[[#This Row],[DUT Adj Read]]&lt;=Table1[[#This Row],[High Tol]]),"Pass","Fail"))</f>
        <v>Fail</v>
      </c>
      <c r="AD2489" s="1" t="str">
        <f>IF(AND(Table1[[#This Row],[Spec Type2]]="N/A",Table1[[#This Row],[DUT Adj Read]]="N/A",Table1[[#This Row],[Std Adj Read]]="N/A"),"N/A",IF(Table1[[#This Row],[DUT Adj Read]]="N/A",IF(Table1[[#This Row],[Std Adj Read]]&gt;Table1[[#This Row],[Low Tol]],"Pass","Fail"),IF(Table1[[#This Row],[DUT Adj Read]]&gt;Table1[[#This Row],[Low Tol]],"Pass","Fail")))</f>
        <v>Pass</v>
      </c>
      <c r="AE2489" s="1" t="str">
        <f>IF(AND(Table1[[#This Row],[Spec Type2]]="N/A",Table1[[#This Row],[DUT Adj Read]]="N/A",Table1[[#This Row],[Std Adj Read]]="N/A"),"N/A",IF(Table1[[#This Row],[DUT Adj Read]]="N/A",IF(Table1[[#This Row],[Std Adj Read]]&lt;Table1[[#This Row],[High Tol]],"Pass","Fail"),IF(Table1[[#This Row],[DUT Adj Read]]&lt;Table1[[#This Row],[High Tol]],"Pass","Fail")))</f>
        <v>Fail</v>
      </c>
      <c r="AF2489" s="1" t="str">
        <f>IF(AND(Table1[[#This Row],[Spec Type2]]="N/A",Table1[[#This Row],[DUT Adj Read]]="N/A",Table1[[#This Row],[Std Adj Read]]="N/A"),"N/A",IF(Table1[[#This Row],[DUT Adj Read]]="N/A",IF(Table1[[#This Row],[Std Adj Read]]&gt;=Table1[[#This Row],[Low Tol]],"Pass","Fail"),IF(Table1[[#This Row],[DUT Adj Read]]&gt;=Table1[[#This Row],[Low Tol]],"Pass","Fail")))</f>
        <v>Pass</v>
      </c>
      <c r="AG2489" s="1" t="str">
        <f>IF(AND(Table1[[#This Row],[Spec Type2]]="N/A",Table1[[#This Row],[DUT Adj Read]]="N/A",Table1[[#This Row],[Std Adj Read]]="N/A"),"N/A",IF(Table1[[#This Row],[DUT Adj Read]]="N/A",IF(Table1[[#This Row],[Std Adj Read]]&lt;=Table1[[#This Row],[High Tol]],"Pass","Fail"),IF(Table1[[#This Row],[DUT Adj Read]]&lt;=Table1[[#This Row],[High Tol]],"Pass","Fail")))</f>
        <v>Fail</v>
      </c>
      <c r="AH24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9" s="1" t="b">
        <v>0</v>
      </c>
      <c r="AN2489" s="1" t="b">
        <v>0</v>
      </c>
      <c r="AO2489" s="1" t="b">
        <v>0</v>
      </c>
    </row>
    <row r="2490" spans="1:41" x14ac:dyDescent="0.25">
      <c r="A2490" s="10"/>
      <c r="B2490" s="10"/>
      <c r="C2490" s="10"/>
      <c r="D2490" s="10"/>
      <c r="E2490" s="10"/>
      <c r="F2490" s="10"/>
      <c r="G2490" s="10"/>
      <c r="H2490" s="10"/>
      <c r="I2490" s="1" t="str">
        <f t="shared" si="114"/>
        <v/>
      </c>
      <c r="J2490" s="1" t="s">
        <v>35</v>
      </c>
      <c r="K2490" s="1" t="str">
        <f t="shared" si="115"/>
        <v/>
      </c>
      <c r="L2490" s="1" t="str">
        <f t="shared" si="116"/>
        <v/>
      </c>
      <c r="M2490" s="1">
        <f>IF(OR(Table1[[#This Row],[Std Nom]]="",Table1[[#This Row],[Std Read]]=""),0,Table1[[#This Row],[Std Nom]]-Table1[[#This Row],[Std Read]])</f>
        <v>0</v>
      </c>
      <c r="N2490" s="1">
        <f>IF(Calculations!$F$5="ACCREDITED 17025 WITH UNCERTAINTIES",$N$10,0)</f>
        <v>0</v>
      </c>
      <c r="O2490" s="1" t="str">
        <f>IFERROR(Table1[[#This Row],[Std Nom]]-(_xlfn.XLOOKUP(Table1[[#This Row],[Manufacturer]]&amp;" "&amp;Table1[[#This Row],[Model]],Table13[MFR &amp; MDL],Table13[Tolerance % CW ],"")/100*Table1[[#This Row],[Std Nom]]),"")</f>
        <v/>
      </c>
      <c r="P2490" s="1" t="str">
        <f>IFERROR(Table1[[#This Row],[Std Nom]]+(_xlfn.XLOOKUP(Table1[[#This Row],[Manufacturer]]&amp;" "&amp;Table1[[#This Row],[Model]],Table13[MFR &amp; MDL],Table13[Tolerance % CW ],"")/100*Table1[[#This Row],[Std Nom]]),"")</f>
        <v/>
      </c>
      <c r="Q2490" s="1" t="e">
        <f>Table1[[#This Row],[High Tol]]-Table1[[#This Row],[Low Tol]]</f>
        <v>#VALUE!</v>
      </c>
      <c r="R2490" s="1">
        <f>2*Table1[[#This Row],[Std Error]]</f>
        <v>0</v>
      </c>
      <c r="S2490" s="1" t="str">
        <f>IF(Table1[[#This Row],[High Tol]]="","N/A",IFERROR(ABS(Table1[[#This Row],[Tol Span]]/Table1[[#This Row],[Error Span]]),"N/A"))</f>
        <v>N/A</v>
      </c>
      <c r="T2490" s="1" t="str">
        <f>IF(OR(Table1[[#This Row],[Low Tol]]="",Table1[[#This Row],[High Tol]]=""),"Needs Analysis",IF(Table1[[#This Row],[Ratio]]&gt;=4,"Not Significant",IF(Table1[[#This Row],[Ratio]]&gt;=2,"Semi-Significant","Significant")))</f>
        <v>Needs Analysis</v>
      </c>
      <c r="W2490" s="1">
        <f>IF(Table1[[#This Row],[Cal Type]]&lt;&gt;"ACCREDITED 17025 WITH UNCERTAINTIES",0,"")</f>
        <v>0</v>
      </c>
      <c r="X2490" s="1" t="str">
        <f>IF(Table1[[#This Row],[DUT Read]]="","N/A",Table1[[#This Row],[Std Error]]+Table1[[#This Row],[DUT Read]]+Table1[[#This Row],[DUT Ucty]])</f>
        <v>N/A</v>
      </c>
      <c r="Y2490" s="1" t="str">
        <f>IF(Table1[[#This Row],[Std Read]]="","N/A",Table1[[#This Row],[Std Read]]+Table1[[#This Row],[Std Ucty]])</f>
        <v>N/A</v>
      </c>
      <c r="Z24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0" s="1" t="str">
        <f>IF(Table1[[#This Row],[Spec Type]]="","N/A",Table1[[#This Row],[Spec Type]])</f>
        <v>±</v>
      </c>
      <c r="AC2490" s="1" t="str">
        <f>IF(Table1[[#This Row],[Spec Type2]]="N/A","N/A",IF(AND(Table1[[#This Row],[DUT Adj Read]]&gt;=Table1[[#This Row],[Low Tol]],Table1[[#This Row],[DUT Adj Read]]&lt;=Table1[[#This Row],[High Tol]]),"Pass","Fail"))</f>
        <v>Fail</v>
      </c>
      <c r="AD2490" s="1" t="str">
        <f>IF(AND(Table1[[#This Row],[Spec Type2]]="N/A",Table1[[#This Row],[DUT Adj Read]]="N/A",Table1[[#This Row],[Std Adj Read]]="N/A"),"N/A",IF(Table1[[#This Row],[DUT Adj Read]]="N/A",IF(Table1[[#This Row],[Std Adj Read]]&gt;Table1[[#This Row],[Low Tol]],"Pass","Fail"),IF(Table1[[#This Row],[DUT Adj Read]]&gt;Table1[[#This Row],[Low Tol]],"Pass","Fail")))</f>
        <v>Pass</v>
      </c>
      <c r="AE2490" s="1" t="str">
        <f>IF(AND(Table1[[#This Row],[Spec Type2]]="N/A",Table1[[#This Row],[DUT Adj Read]]="N/A",Table1[[#This Row],[Std Adj Read]]="N/A"),"N/A",IF(Table1[[#This Row],[DUT Adj Read]]="N/A",IF(Table1[[#This Row],[Std Adj Read]]&lt;Table1[[#This Row],[High Tol]],"Pass","Fail"),IF(Table1[[#This Row],[DUT Adj Read]]&lt;Table1[[#This Row],[High Tol]],"Pass","Fail")))</f>
        <v>Fail</v>
      </c>
      <c r="AF2490" s="1" t="str">
        <f>IF(AND(Table1[[#This Row],[Spec Type2]]="N/A",Table1[[#This Row],[DUT Adj Read]]="N/A",Table1[[#This Row],[Std Adj Read]]="N/A"),"N/A",IF(Table1[[#This Row],[DUT Adj Read]]="N/A",IF(Table1[[#This Row],[Std Adj Read]]&gt;=Table1[[#This Row],[Low Tol]],"Pass","Fail"),IF(Table1[[#This Row],[DUT Adj Read]]&gt;=Table1[[#This Row],[Low Tol]],"Pass","Fail")))</f>
        <v>Pass</v>
      </c>
      <c r="AG2490" s="1" t="str">
        <f>IF(AND(Table1[[#This Row],[Spec Type2]]="N/A",Table1[[#This Row],[DUT Adj Read]]="N/A",Table1[[#This Row],[Std Adj Read]]="N/A"),"N/A",IF(Table1[[#This Row],[DUT Adj Read]]="N/A",IF(Table1[[#This Row],[Std Adj Read]]&lt;=Table1[[#This Row],[High Tol]],"Pass","Fail"),IF(Table1[[#This Row],[DUT Adj Read]]&lt;=Table1[[#This Row],[High Tol]],"Pass","Fail")))</f>
        <v>Fail</v>
      </c>
      <c r="AH24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0" s="1" t="b">
        <v>0</v>
      </c>
      <c r="AN2490" s="1" t="b">
        <v>0</v>
      </c>
      <c r="AO2490" s="1" t="b">
        <v>0</v>
      </c>
    </row>
    <row r="2491" spans="1:41" x14ac:dyDescent="0.25">
      <c r="A2491" s="10"/>
      <c r="B2491" s="10"/>
      <c r="C2491" s="10"/>
      <c r="D2491" s="10"/>
      <c r="E2491" s="10"/>
      <c r="F2491" s="10"/>
      <c r="G2491" s="10"/>
      <c r="H2491" s="10"/>
      <c r="I2491" s="1" t="str">
        <f t="shared" si="114"/>
        <v/>
      </c>
      <c r="J2491" s="1" t="s">
        <v>35</v>
      </c>
      <c r="K2491" s="1" t="str">
        <f t="shared" si="115"/>
        <v/>
      </c>
      <c r="L2491" s="1" t="str">
        <f t="shared" si="116"/>
        <v/>
      </c>
      <c r="M2491" s="1">
        <f>IF(OR(Table1[[#This Row],[Std Nom]]="",Table1[[#This Row],[Std Read]]=""),0,Table1[[#This Row],[Std Nom]]-Table1[[#This Row],[Std Read]])</f>
        <v>0</v>
      </c>
      <c r="N2491" s="1">
        <f>IF(Calculations!$F$5="ACCREDITED 17025 WITH UNCERTAINTIES",$N$10,0)</f>
        <v>0</v>
      </c>
      <c r="O2491" s="1" t="str">
        <f>IFERROR(Table1[[#This Row],[Std Nom]]-(_xlfn.XLOOKUP(Table1[[#This Row],[Manufacturer]]&amp;" "&amp;Table1[[#This Row],[Model]],Table13[MFR &amp; MDL],Table13[Tolerance % CW ],"")/100*Table1[[#This Row],[Std Nom]]),"")</f>
        <v/>
      </c>
      <c r="P2491" s="1" t="str">
        <f>IFERROR(Table1[[#This Row],[Std Nom]]+(_xlfn.XLOOKUP(Table1[[#This Row],[Manufacturer]]&amp;" "&amp;Table1[[#This Row],[Model]],Table13[MFR &amp; MDL],Table13[Tolerance % CW ],"")/100*Table1[[#This Row],[Std Nom]]),"")</f>
        <v/>
      </c>
      <c r="Q2491" s="1" t="e">
        <f>Table1[[#This Row],[High Tol]]-Table1[[#This Row],[Low Tol]]</f>
        <v>#VALUE!</v>
      </c>
      <c r="R2491" s="1">
        <f>2*Table1[[#This Row],[Std Error]]</f>
        <v>0</v>
      </c>
      <c r="S2491" s="1" t="str">
        <f>IF(Table1[[#This Row],[High Tol]]="","N/A",IFERROR(ABS(Table1[[#This Row],[Tol Span]]/Table1[[#This Row],[Error Span]]),"N/A"))</f>
        <v>N/A</v>
      </c>
      <c r="T2491" s="1" t="str">
        <f>IF(OR(Table1[[#This Row],[Low Tol]]="",Table1[[#This Row],[High Tol]]=""),"Needs Analysis",IF(Table1[[#This Row],[Ratio]]&gt;=4,"Not Significant",IF(Table1[[#This Row],[Ratio]]&gt;=2,"Semi-Significant","Significant")))</f>
        <v>Needs Analysis</v>
      </c>
      <c r="W2491" s="1">
        <f>IF(Table1[[#This Row],[Cal Type]]&lt;&gt;"ACCREDITED 17025 WITH UNCERTAINTIES",0,"")</f>
        <v>0</v>
      </c>
      <c r="X2491" s="1" t="str">
        <f>IF(Table1[[#This Row],[DUT Read]]="","N/A",Table1[[#This Row],[Std Error]]+Table1[[#This Row],[DUT Read]]+Table1[[#This Row],[DUT Ucty]])</f>
        <v>N/A</v>
      </c>
      <c r="Y2491" s="1" t="str">
        <f>IF(Table1[[#This Row],[Std Read]]="","N/A",Table1[[#This Row],[Std Read]]+Table1[[#This Row],[Std Ucty]])</f>
        <v>N/A</v>
      </c>
      <c r="Z24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1" s="1" t="str">
        <f>IF(Table1[[#This Row],[Spec Type]]="","N/A",Table1[[#This Row],[Spec Type]])</f>
        <v>±</v>
      </c>
      <c r="AC2491" s="1" t="str">
        <f>IF(Table1[[#This Row],[Spec Type2]]="N/A","N/A",IF(AND(Table1[[#This Row],[DUT Adj Read]]&gt;=Table1[[#This Row],[Low Tol]],Table1[[#This Row],[DUT Adj Read]]&lt;=Table1[[#This Row],[High Tol]]),"Pass","Fail"))</f>
        <v>Fail</v>
      </c>
      <c r="AD2491" s="1" t="str">
        <f>IF(AND(Table1[[#This Row],[Spec Type2]]="N/A",Table1[[#This Row],[DUT Adj Read]]="N/A",Table1[[#This Row],[Std Adj Read]]="N/A"),"N/A",IF(Table1[[#This Row],[DUT Adj Read]]="N/A",IF(Table1[[#This Row],[Std Adj Read]]&gt;Table1[[#This Row],[Low Tol]],"Pass","Fail"),IF(Table1[[#This Row],[DUT Adj Read]]&gt;Table1[[#This Row],[Low Tol]],"Pass","Fail")))</f>
        <v>Pass</v>
      </c>
      <c r="AE2491" s="1" t="str">
        <f>IF(AND(Table1[[#This Row],[Spec Type2]]="N/A",Table1[[#This Row],[DUT Adj Read]]="N/A",Table1[[#This Row],[Std Adj Read]]="N/A"),"N/A",IF(Table1[[#This Row],[DUT Adj Read]]="N/A",IF(Table1[[#This Row],[Std Adj Read]]&lt;Table1[[#This Row],[High Tol]],"Pass","Fail"),IF(Table1[[#This Row],[DUT Adj Read]]&lt;Table1[[#This Row],[High Tol]],"Pass","Fail")))</f>
        <v>Fail</v>
      </c>
      <c r="AF2491" s="1" t="str">
        <f>IF(AND(Table1[[#This Row],[Spec Type2]]="N/A",Table1[[#This Row],[DUT Adj Read]]="N/A",Table1[[#This Row],[Std Adj Read]]="N/A"),"N/A",IF(Table1[[#This Row],[DUT Adj Read]]="N/A",IF(Table1[[#This Row],[Std Adj Read]]&gt;=Table1[[#This Row],[Low Tol]],"Pass","Fail"),IF(Table1[[#This Row],[DUT Adj Read]]&gt;=Table1[[#This Row],[Low Tol]],"Pass","Fail")))</f>
        <v>Pass</v>
      </c>
      <c r="AG2491" s="1" t="str">
        <f>IF(AND(Table1[[#This Row],[Spec Type2]]="N/A",Table1[[#This Row],[DUT Adj Read]]="N/A",Table1[[#This Row],[Std Adj Read]]="N/A"),"N/A",IF(Table1[[#This Row],[DUT Adj Read]]="N/A",IF(Table1[[#This Row],[Std Adj Read]]&lt;=Table1[[#This Row],[High Tol]],"Pass","Fail"),IF(Table1[[#This Row],[DUT Adj Read]]&lt;=Table1[[#This Row],[High Tol]],"Pass","Fail")))</f>
        <v>Fail</v>
      </c>
      <c r="AH24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1" s="1" t="b">
        <v>0</v>
      </c>
      <c r="AN2491" s="1" t="b">
        <v>0</v>
      </c>
      <c r="AO2491" s="1" t="b">
        <v>0</v>
      </c>
    </row>
    <row r="2492" spans="1:41" x14ac:dyDescent="0.25">
      <c r="A2492" s="10"/>
      <c r="B2492" s="10"/>
      <c r="C2492" s="10"/>
      <c r="D2492" s="10"/>
      <c r="E2492" s="10"/>
      <c r="F2492" s="10"/>
      <c r="G2492" s="10"/>
      <c r="H2492" s="10"/>
      <c r="I2492" s="1" t="str">
        <f t="shared" si="114"/>
        <v/>
      </c>
      <c r="J2492" s="1" t="s">
        <v>35</v>
      </c>
      <c r="K2492" s="1" t="str">
        <f t="shared" si="115"/>
        <v/>
      </c>
      <c r="L2492" s="1" t="str">
        <f t="shared" si="116"/>
        <v/>
      </c>
      <c r="M2492" s="1">
        <f>IF(OR(Table1[[#This Row],[Std Nom]]="",Table1[[#This Row],[Std Read]]=""),0,Table1[[#This Row],[Std Nom]]-Table1[[#This Row],[Std Read]])</f>
        <v>0</v>
      </c>
      <c r="N2492" s="1">
        <f>IF(Calculations!$F$5="ACCREDITED 17025 WITH UNCERTAINTIES",$N$10,0)</f>
        <v>0</v>
      </c>
      <c r="O2492" s="1" t="str">
        <f>IFERROR(Table1[[#This Row],[Std Nom]]-(_xlfn.XLOOKUP(Table1[[#This Row],[Manufacturer]]&amp;" "&amp;Table1[[#This Row],[Model]],Table13[MFR &amp; MDL],Table13[Tolerance % CW ],"")/100*Table1[[#This Row],[Std Nom]]),"")</f>
        <v/>
      </c>
      <c r="P2492" s="1" t="str">
        <f>IFERROR(Table1[[#This Row],[Std Nom]]+(_xlfn.XLOOKUP(Table1[[#This Row],[Manufacturer]]&amp;" "&amp;Table1[[#This Row],[Model]],Table13[MFR &amp; MDL],Table13[Tolerance % CW ],"")/100*Table1[[#This Row],[Std Nom]]),"")</f>
        <v/>
      </c>
      <c r="Q2492" s="1" t="e">
        <f>Table1[[#This Row],[High Tol]]-Table1[[#This Row],[Low Tol]]</f>
        <v>#VALUE!</v>
      </c>
      <c r="R2492" s="1">
        <f>2*Table1[[#This Row],[Std Error]]</f>
        <v>0</v>
      </c>
      <c r="S2492" s="1" t="str">
        <f>IF(Table1[[#This Row],[High Tol]]="","N/A",IFERROR(ABS(Table1[[#This Row],[Tol Span]]/Table1[[#This Row],[Error Span]]),"N/A"))</f>
        <v>N/A</v>
      </c>
      <c r="T2492" s="1" t="str">
        <f>IF(OR(Table1[[#This Row],[Low Tol]]="",Table1[[#This Row],[High Tol]]=""),"Needs Analysis",IF(Table1[[#This Row],[Ratio]]&gt;=4,"Not Significant",IF(Table1[[#This Row],[Ratio]]&gt;=2,"Semi-Significant","Significant")))</f>
        <v>Needs Analysis</v>
      </c>
      <c r="W2492" s="1">
        <f>IF(Table1[[#This Row],[Cal Type]]&lt;&gt;"ACCREDITED 17025 WITH UNCERTAINTIES",0,"")</f>
        <v>0</v>
      </c>
      <c r="X2492" s="1" t="str">
        <f>IF(Table1[[#This Row],[DUT Read]]="","N/A",Table1[[#This Row],[Std Error]]+Table1[[#This Row],[DUT Read]]+Table1[[#This Row],[DUT Ucty]])</f>
        <v>N/A</v>
      </c>
      <c r="Y2492" s="1" t="str">
        <f>IF(Table1[[#This Row],[Std Read]]="","N/A",Table1[[#This Row],[Std Read]]+Table1[[#This Row],[Std Ucty]])</f>
        <v>N/A</v>
      </c>
      <c r="Z24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2" s="1" t="str">
        <f>IF(Table1[[#This Row],[Spec Type]]="","N/A",Table1[[#This Row],[Spec Type]])</f>
        <v>±</v>
      </c>
      <c r="AC2492" s="1" t="str">
        <f>IF(Table1[[#This Row],[Spec Type2]]="N/A","N/A",IF(AND(Table1[[#This Row],[DUT Adj Read]]&gt;=Table1[[#This Row],[Low Tol]],Table1[[#This Row],[DUT Adj Read]]&lt;=Table1[[#This Row],[High Tol]]),"Pass","Fail"))</f>
        <v>Fail</v>
      </c>
      <c r="AD2492" s="1" t="str">
        <f>IF(AND(Table1[[#This Row],[Spec Type2]]="N/A",Table1[[#This Row],[DUT Adj Read]]="N/A",Table1[[#This Row],[Std Adj Read]]="N/A"),"N/A",IF(Table1[[#This Row],[DUT Adj Read]]="N/A",IF(Table1[[#This Row],[Std Adj Read]]&gt;Table1[[#This Row],[Low Tol]],"Pass","Fail"),IF(Table1[[#This Row],[DUT Adj Read]]&gt;Table1[[#This Row],[Low Tol]],"Pass","Fail")))</f>
        <v>Pass</v>
      </c>
      <c r="AE2492" s="1" t="str">
        <f>IF(AND(Table1[[#This Row],[Spec Type2]]="N/A",Table1[[#This Row],[DUT Adj Read]]="N/A",Table1[[#This Row],[Std Adj Read]]="N/A"),"N/A",IF(Table1[[#This Row],[DUT Adj Read]]="N/A",IF(Table1[[#This Row],[Std Adj Read]]&lt;Table1[[#This Row],[High Tol]],"Pass","Fail"),IF(Table1[[#This Row],[DUT Adj Read]]&lt;Table1[[#This Row],[High Tol]],"Pass","Fail")))</f>
        <v>Fail</v>
      </c>
      <c r="AF2492" s="1" t="str">
        <f>IF(AND(Table1[[#This Row],[Spec Type2]]="N/A",Table1[[#This Row],[DUT Adj Read]]="N/A",Table1[[#This Row],[Std Adj Read]]="N/A"),"N/A",IF(Table1[[#This Row],[DUT Adj Read]]="N/A",IF(Table1[[#This Row],[Std Adj Read]]&gt;=Table1[[#This Row],[Low Tol]],"Pass","Fail"),IF(Table1[[#This Row],[DUT Adj Read]]&gt;=Table1[[#This Row],[Low Tol]],"Pass","Fail")))</f>
        <v>Pass</v>
      </c>
      <c r="AG2492" s="1" t="str">
        <f>IF(AND(Table1[[#This Row],[Spec Type2]]="N/A",Table1[[#This Row],[DUT Adj Read]]="N/A",Table1[[#This Row],[Std Adj Read]]="N/A"),"N/A",IF(Table1[[#This Row],[DUT Adj Read]]="N/A",IF(Table1[[#This Row],[Std Adj Read]]&lt;=Table1[[#This Row],[High Tol]],"Pass","Fail"),IF(Table1[[#This Row],[DUT Adj Read]]&lt;=Table1[[#This Row],[High Tol]],"Pass","Fail")))</f>
        <v>Fail</v>
      </c>
      <c r="AH24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2" s="1" t="b">
        <v>0</v>
      </c>
      <c r="AN2492" s="1" t="b">
        <v>0</v>
      </c>
      <c r="AO2492" s="1" t="b">
        <v>0</v>
      </c>
    </row>
    <row r="2493" spans="1:41" x14ac:dyDescent="0.25">
      <c r="A2493" s="10"/>
      <c r="B2493" s="10"/>
      <c r="C2493" s="10"/>
      <c r="D2493" s="10"/>
      <c r="E2493" s="10"/>
      <c r="F2493" s="10"/>
      <c r="G2493" s="10"/>
      <c r="H2493" s="10"/>
      <c r="I2493" s="1" t="str">
        <f t="shared" si="114"/>
        <v/>
      </c>
      <c r="J2493" s="1" t="s">
        <v>35</v>
      </c>
      <c r="K2493" s="1" t="str">
        <f t="shared" si="115"/>
        <v/>
      </c>
      <c r="L2493" s="1" t="str">
        <f t="shared" si="116"/>
        <v/>
      </c>
      <c r="M2493" s="1">
        <f>IF(OR(Table1[[#This Row],[Std Nom]]="",Table1[[#This Row],[Std Read]]=""),0,Table1[[#This Row],[Std Nom]]-Table1[[#This Row],[Std Read]])</f>
        <v>0</v>
      </c>
      <c r="N2493" s="1">
        <f>IF(Calculations!$F$5="ACCREDITED 17025 WITH UNCERTAINTIES",$N$10,0)</f>
        <v>0</v>
      </c>
      <c r="O2493" s="1" t="str">
        <f>IFERROR(Table1[[#This Row],[Std Nom]]-(_xlfn.XLOOKUP(Table1[[#This Row],[Manufacturer]]&amp;" "&amp;Table1[[#This Row],[Model]],Table13[MFR &amp; MDL],Table13[Tolerance % CW ],"")/100*Table1[[#This Row],[Std Nom]]),"")</f>
        <v/>
      </c>
      <c r="P2493" s="1" t="str">
        <f>IFERROR(Table1[[#This Row],[Std Nom]]+(_xlfn.XLOOKUP(Table1[[#This Row],[Manufacturer]]&amp;" "&amp;Table1[[#This Row],[Model]],Table13[MFR &amp; MDL],Table13[Tolerance % CW ],"")/100*Table1[[#This Row],[Std Nom]]),"")</f>
        <v/>
      </c>
      <c r="Q2493" s="1" t="e">
        <f>Table1[[#This Row],[High Tol]]-Table1[[#This Row],[Low Tol]]</f>
        <v>#VALUE!</v>
      </c>
      <c r="R2493" s="1">
        <f>2*Table1[[#This Row],[Std Error]]</f>
        <v>0</v>
      </c>
      <c r="S2493" s="1" t="str">
        <f>IF(Table1[[#This Row],[High Tol]]="","N/A",IFERROR(ABS(Table1[[#This Row],[Tol Span]]/Table1[[#This Row],[Error Span]]),"N/A"))</f>
        <v>N/A</v>
      </c>
      <c r="T2493" s="1" t="str">
        <f>IF(OR(Table1[[#This Row],[Low Tol]]="",Table1[[#This Row],[High Tol]]=""),"Needs Analysis",IF(Table1[[#This Row],[Ratio]]&gt;=4,"Not Significant",IF(Table1[[#This Row],[Ratio]]&gt;=2,"Semi-Significant","Significant")))</f>
        <v>Needs Analysis</v>
      </c>
      <c r="W2493" s="1">
        <f>IF(Table1[[#This Row],[Cal Type]]&lt;&gt;"ACCREDITED 17025 WITH UNCERTAINTIES",0,"")</f>
        <v>0</v>
      </c>
      <c r="X2493" s="1" t="str">
        <f>IF(Table1[[#This Row],[DUT Read]]="","N/A",Table1[[#This Row],[Std Error]]+Table1[[#This Row],[DUT Read]]+Table1[[#This Row],[DUT Ucty]])</f>
        <v>N/A</v>
      </c>
      <c r="Y2493" s="1" t="str">
        <f>IF(Table1[[#This Row],[Std Read]]="","N/A",Table1[[#This Row],[Std Read]]+Table1[[#This Row],[Std Ucty]])</f>
        <v>N/A</v>
      </c>
      <c r="Z24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3" s="1" t="str">
        <f>IF(Table1[[#This Row],[Spec Type]]="","N/A",Table1[[#This Row],[Spec Type]])</f>
        <v>±</v>
      </c>
      <c r="AC2493" s="1" t="str">
        <f>IF(Table1[[#This Row],[Spec Type2]]="N/A","N/A",IF(AND(Table1[[#This Row],[DUT Adj Read]]&gt;=Table1[[#This Row],[Low Tol]],Table1[[#This Row],[DUT Adj Read]]&lt;=Table1[[#This Row],[High Tol]]),"Pass","Fail"))</f>
        <v>Fail</v>
      </c>
      <c r="AD2493" s="1" t="str">
        <f>IF(AND(Table1[[#This Row],[Spec Type2]]="N/A",Table1[[#This Row],[DUT Adj Read]]="N/A",Table1[[#This Row],[Std Adj Read]]="N/A"),"N/A",IF(Table1[[#This Row],[DUT Adj Read]]="N/A",IF(Table1[[#This Row],[Std Adj Read]]&gt;Table1[[#This Row],[Low Tol]],"Pass","Fail"),IF(Table1[[#This Row],[DUT Adj Read]]&gt;Table1[[#This Row],[Low Tol]],"Pass","Fail")))</f>
        <v>Pass</v>
      </c>
      <c r="AE2493" s="1" t="str">
        <f>IF(AND(Table1[[#This Row],[Spec Type2]]="N/A",Table1[[#This Row],[DUT Adj Read]]="N/A",Table1[[#This Row],[Std Adj Read]]="N/A"),"N/A",IF(Table1[[#This Row],[DUT Adj Read]]="N/A",IF(Table1[[#This Row],[Std Adj Read]]&lt;Table1[[#This Row],[High Tol]],"Pass","Fail"),IF(Table1[[#This Row],[DUT Adj Read]]&lt;Table1[[#This Row],[High Tol]],"Pass","Fail")))</f>
        <v>Fail</v>
      </c>
      <c r="AF2493" s="1" t="str">
        <f>IF(AND(Table1[[#This Row],[Spec Type2]]="N/A",Table1[[#This Row],[DUT Adj Read]]="N/A",Table1[[#This Row],[Std Adj Read]]="N/A"),"N/A",IF(Table1[[#This Row],[DUT Adj Read]]="N/A",IF(Table1[[#This Row],[Std Adj Read]]&gt;=Table1[[#This Row],[Low Tol]],"Pass","Fail"),IF(Table1[[#This Row],[DUT Adj Read]]&gt;=Table1[[#This Row],[Low Tol]],"Pass","Fail")))</f>
        <v>Pass</v>
      </c>
      <c r="AG2493" s="1" t="str">
        <f>IF(AND(Table1[[#This Row],[Spec Type2]]="N/A",Table1[[#This Row],[DUT Adj Read]]="N/A",Table1[[#This Row],[Std Adj Read]]="N/A"),"N/A",IF(Table1[[#This Row],[DUT Adj Read]]="N/A",IF(Table1[[#This Row],[Std Adj Read]]&lt;=Table1[[#This Row],[High Tol]],"Pass","Fail"),IF(Table1[[#This Row],[DUT Adj Read]]&lt;=Table1[[#This Row],[High Tol]],"Pass","Fail")))</f>
        <v>Fail</v>
      </c>
      <c r="AH24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3" s="1" t="b">
        <v>0</v>
      </c>
      <c r="AN2493" s="1" t="b">
        <v>0</v>
      </c>
      <c r="AO2493" s="1" t="b">
        <v>0</v>
      </c>
    </row>
    <row r="2494" spans="1:41" x14ac:dyDescent="0.25">
      <c r="A2494" s="10"/>
      <c r="B2494" s="10"/>
      <c r="C2494" s="10"/>
      <c r="D2494" s="10"/>
      <c r="E2494" s="10"/>
      <c r="F2494" s="10"/>
      <c r="G2494" s="10"/>
      <c r="H2494" s="10"/>
      <c r="I2494" s="1" t="str">
        <f t="shared" si="114"/>
        <v/>
      </c>
      <c r="J2494" s="1" t="s">
        <v>35</v>
      </c>
      <c r="K2494" s="1" t="str">
        <f t="shared" si="115"/>
        <v/>
      </c>
      <c r="L2494" s="1" t="str">
        <f t="shared" si="116"/>
        <v/>
      </c>
      <c r="M2494" s="1">
        <f>IF(OR(Table1[[#This Row],[Std Nom]]="",Table1[[#This Row],[Std Read]]=""),0,Table1[[#This Row],[Std Nom]]-Table1[[#This Row],[Std Read]])</f>
        <v>0</v>
      </c>
      <c r="N2494" s="1">
        <f>IF(Calculations!$F$5="ACCREDITED 17025 WITH UNCERTAINTIES",$N$10,0)</f>
        <v>0</v>
      </c>
      <c r="O2494" s="1" t="str">
        <f>IFERROR(Table1[[#This Row],[Std Nom]]-(_xlfn.XLOOKUP(Table1[[#This Row],[Manufacturer]]&amp;" "&amp;Table1[[#This Row],[Model]],Table13[MFR &amp; MDL],Table13[Tolerance % CW ],"")/100*Table1[[#This Row],[Std Nom]]),"")</f>
        <v/>
      </c>
      <c r="P2494" s="1" t="str">
        <f>IFERROR(Table1[[#This Row],[Std Nom]]+(_xlfn.XLOOKUP(Table1[[#This Row],[Manufacturer]]&amp;" "&amp;Table1[[#This Row],[Model]],Table13[MFR &amp; MDL],Table13[Tolerance % CW ],"")/100*Table1[[#This Row],[Std Nom]]),"")</f>
        <v/>
      </c>
      <c r="Q2494" s="1" t="e">
        <f>Table1[[#This Row],[High Tol]]-Table1[[#This Row],[Low Tol]]</f>
        <v>#VALUE!</v>
      </c>
      <c r="R2494" s="1">
        <f>2*Table1[[#This Row],[Std Error]]</f>
        <v>0</v>
      </c>
      <c r="S2494" s="1" t="str">
        <f>IF(Table1[[#This Row],[High Tol]]="","N/A",IFERROR(ABS(Table1[[#This Row],[Tol Span]]/Table1[[#This Row],[Error Span]]),"N/A"))</f>
        <v>N/A</v>
      </c>
      <c r="T2494" s="1" t="str">
        <f>IF(OR(Table1[[#This Row],[Low Tol]]="",Table1[[#This Row],[High Tol]]=""),"Needs Analysis",IF(Table1[[#This Row],[Ratio]]&gt;=4,"Not Significant",IF(Table1[[#This Row],[Ratio]]&gt;=2,"Semi-Significant","Significant")))</f>
        <v>Needs Analysis</v>
      </c>
      <c r="W2494" s="1">
        <f>IF(Table1[[#This Row],[Cal Type]]&lt;&gt;"ACCREDITED 17025 WITH UNCERTAINTIES",0,"")</f>
        <v>0</v>
      </c>
      <c r="X2494" s="1" t="str">
        <f>IF(Table1[[#This Row],[DUT Read]]="","N/A",Table1[[#This Row],[Std Error]]+Table1[[#This Row],[DUT Read]]+Table1[[#This Row],[DUT Ucty]])</f>
        <v>N/A</v>
      </c>
      <c r="Y2494" s="1" t="str">
        <f>IF(Table1[[#This Row],[Std Read]]="","N/A",Table1[[#This Row],[Std Read]]+Table1[[#This Row],[Std Ucty]])</f>
        <v>N/A</v>
      </c>
      <c r="Z24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4" s="1" t="str">
        <f>IF(Table1[[#This Row],[Spec Type]]="","N/A",Table1[[#This Row],[Spec Type]])</f>
        <v>±</v>
      </c>
      <c r="AC2494" s="1" t="str">
        <f>IF(Table1[[#This Row],[Spec Type2]]="N/A","N/A",IF(AND(Table1[[#This Row],[DUT Adj Read]]&gt;=Table1[[#This Row],[Low Tol]],Table1[[#This Row],[DUT Adj Read]]&lt;=Table1[[#This Row],[High Tol]]),"Pass","Fail"))</f>
        <v>Fail</v>
      </c>
      <c r="AD2494" s="1" t="str">
        <f>IF(AND(Table1[[#This Row],[Spec Type2]]="N/A",Table1[[#This Row],[DUT Adj Read]]="N/A",Table1[[#This Row],[Std Adj Read]]="N/A"),"N/A",IF(Table1[[#This Row],[DUT Adj Read]]="N/A",IF(Table1[[#This Row],[Std Adj Read]]&gt;Table1[[#This Row],[Low Tol]],"Pass","Fail"),IF(Table1[[#This Row],[DUT Adj Read]]&gt;Table1[[#This Row],[Low Tol]],"Pass","Fail")))</f>
        <v>Pass</v>
      </c>
      <c r="AE2494" s="1" t="str">
        <f>IF(AND(Table1[[#This Row],[Spec Type2]]="N/A",Table1[[#This Row],[DUT Adj Read]]="N/A",Table1[[#This Row],[Std Adj Read]]="N/A"),"N/A",IF(Table1[[#This Row],[DUT Adj Read]]="N/A",IF(Table1[[#This Row],[Std Adj Read]]&lt;Table1[[#This Row],[High Tol]],"Pass","Fail"),IF(Table1[[#This Row],[DUT Adj Read]]&lt;Table1[[#This Row],[High Tol]],"Pass","Fail")))</f>
        <v>Fail</v>
      </c>
      <c r="AF2494" s="1" t="str">
        <f>IF(AND(Table1[[#This Row],[Spec Type2]]="N/A",Table1[[#This Row],[DUT Adj Read]]="N/A",Table1[[#This Row],[Std Adj Read]]="N/A"),"N/A",IF(Table1[[#This Row],[DUT Adj Read]]="N/A",IF(Table1[[#This Row],[Std Adj Read]]&gt;=Table1[[#This Row],[Low Tol]],"Pass","Fail"),IF(Table1[[#This Row],[DUT Adj Read]]&gt;=Table1[[#This Row],[Low Tol]],"Pass","Fail")))</f>
        <v>Pass</v>
      </c>
      <c r="AG2494" s="1" t="str">
        <f>IF(AND(Table1[[#This Row],[Spec Type2]]="N/A",Table1[[#This Row],[DUT Adj Read]]="N/A",Table1[[#This Row],[Std Adj Read]]="N/A"),"N/A",IF(Table1[[#This Row],[DUT Adj Read]]="N/A",IF(Table1[[#This Row],[Std Adj Read]]&lt;=Table1[[#This Row],[High Tol]],"Pass","Fail"),IF(Table1[[#This Row],[DUT Adj Read]]&lt;=Table1[[#This Row],[High Tol]],"Pass","Fail")))</f>
        <v>Fail</v>
      </c>
      <c r="AH24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4" s="1" t="b">
        <v>0</v>
      </c>
      <c r="AN2494" s="1" t="b">
        <v>0</v>
      </c>
      <c r="AO2494" s="1" t="b">
        <v>0</v>
      </c>
    </row>
    <row r="2495" spans="1:41" x14ac:dyDescent="0.25">
      <c r="A2495" s="10"/>
      <c r="B2495" s="10"/>
      <c r="C2495" s="10"/>
      <c r="D2495" s="10"/>
      <c r="E2495" s="10"/>
      <c r="F2495" s="10"/>
      <c r="G2495" s="10"/>
      <c r="H2495" s="10"/>
      <c r="I2495" s="1" t="str">
        <f t="shared" si="114"/>
        <v/>
      </c>
      <c r="J2495" s="1" t="s">
        <v>35</v>
      </c>
      <c r="K2495" s="1" t="str">
        <f t="shared" si="115"/>
        <v/>
      </c>
      <c r="L2495" s="1" t="str">
        <f t="shared" si="116"/>
        <v/>
      </c>
      <c r="M2495" s="1">
        <f>IF(OR(Table1[[#This Row],[Std Nom]]="",Table1[[#This Row],[Std Read]]=""),0,Table1[[#This Row],[Std Nom]]-Table1[[#This Row],[Std Read]])</f>
        <v>0</v>
      </c>
      <c r="N2495" s="1">
        <f>IF(Calculations!$F$5="ACCREDITED 17025 WITH UNCERTAINTIES",$N$10,0)</f>
        <v>0</v>
      </c>
      <c r="O2495" s="1" t="str">
        <f>IFERROR(Table1[[#This Row],[Std Nom]]-(_xlfn.XLOOKUP(Table1[[#This Row],[Manufacturer]]&amp;" "&amp;Table1[[#This Row],[Model]],Table13[MFR &amp; MDL],Table13[Tolerance % CW ],"")/100*Table1[[#This Row],[Std Nom]]),"")</f>
        <v/>
      </c>
      <c r="P2495" s="1" t="str">
        <f>IFERROR(Table1[[#This Row],[Std Nom]]+(_xlfn.XLOOKUP(Table1[[#This Row],[Manufacturer]]&amp;" "&amp;Table1[[#This Row],[Model]],Table13[MFR &amp; MDL],Table13[Tolerance % CW ],"")/100*Table1[[#This Row],[Std Nom]]),"")</f>
        <v/>
      </c>
      <c r="Q2495" s="1" t="e">
        <f>Table1[[#This Row],[High Tol]]-Table1[[#This Row],[Low Tol]]</f>
        <v>#VALUE!</v>
      </c>
      <c r="R2495" s="1">
        <f>2*Table1[[#This Row],[Std Error]]</f>
        <v>0</v>
      </c>
      <c r="S2495" s="1" t="str">
        <f>IF(Table1[[#This Row],[High Tol]]="","N/A",IFERROR(ABS(Table1[[#This Row],[Tol Span]]/Table1[[#This Row],[Error Span]]),"N/A"))</f>
        <v>N/A</v>
      </c>
      <c r="T2495" s="1" t="str">
        <f>IF(OR(Table1[[#This Row],[Low Tol]]="",Table1[[#This Row],[High Tol]]=""),"Needs Analysis",IF(Table1[[#This Row],[Ratio]]&gt;=4,"Not Significant",IF(Table1[[#This Row],[Ratio]]&gt;=2,"Semi-Significant","Significant")))</f>
        <v>Needs Analysis</v>
      </c>
      <c r="W2495" s="1">
        <f>IF(Table1[[#This Row],[Cal Type]]&lt;&gt;"ACCREDITED 17025 WITH UNCERTAINTIES",0,"")</f>
        <v>0</v>
      </c>
      <c r="X2495" s="1" t="str">
        <f>IF(Table1[[#This Row],[DUT Read]]="","N/A",Table1[[#This Row],[Std Error]]+Table1[[#This Row],[DUT Read]]+Table1[[#This Row],[DUT Ucty]])</f>
        <v>N/A</v>
      </c>
      <c r="Y2495" s="1" t="str">
        <f>IF(Table1[[#This Row],[Std Read]]="","N/A",Table1[[#This Row],[Std Read]]+Table1[[#This Row],[Std Ucty]])</f>
        <v>N/A</v>
      </c>
      <c r="Z24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5" s="1" t="str">
        <f>IF(Table1[[#This Row],[Spec Type]]="","N/A",Table1[[#This Row],[Spec Type]])</f>
        <v>±</v>
      </c>
      <c r="AC2495" s="1" t="str">
        <f>IF(Table1[[#This Row],[Spec Type2]]="N/A","N/A",IF(AND(Table1[[#This Row],[DUT Adj Read]]&gt;=Table1[[#This Row],[Low Tol]],Table1[[#This Row],[DUT Adj Read]]&lt;=Table1[[#This Row],[High Tol]]),"Pass","Fail"))</f>
        <v>Fail</v>
      </c>
      <c r="AD2495" s="1" t="str">
        <f>IF(AND(Table1[[#This Row],[Spec Type2]]="N/A",Table1[[#This Row],[DUT Adj Read]]="N/A",Table1[[#This Row],[Std Adj Read]]="N/A"),"N/A",IF(Table1[[#This Row],[DUT Adj Read]]="N/A",IF(Table1[[#This Row],[Std Adj Read]]&gt;Table1[[#This Row],[Low Tol]],"Pass","Fail"),IF(Table1[[#This Row],[DUT Adj Read]]&gt;Table1[[#This Row],[Low Tol]],"Pass","Fail")))</f>
        <v>Pass</v>
      </c>
      <c r="AE2495" s="1" t="str">
        <f>IF(AND(Table1[[#This Row],[Spec Type2]]="N/A",Table1[[#This Row],[DUT Adj Read]]="N/A",Table1[[#This Row],[Std Adj Read]]="N/A"),"N/A",IF(Table1[[#This Row],[DUT Adj Read]]="N/A",IF(Table1[[#This Row],[Std Adj Read]]&lt;Table1[[#This Row],[High Tol]],"Pass","Fail"),IF(Table1[[#This Row],[DUT Adj Read]]&lt;Table1[[#This Row],[High Tol]],"Pass","Fail")))</f>
        <v>Fail</v>
      </c>
      <c r="AF2495" s="1" t="str">
        <f>IF(AND(Table1[[#This Row],[Spec Type2]]="N/A",Table1[[#This Row],[DUT Adj Read]]="N/A",Table1[[#This Row],[Std Adj Read]]="N/A"),"N/A",IF(Table1[[#This Row],[DUT Adj Read]]="N/A",IF(Table1[[#This Row],[Std Adj Read]]&gt;=Table1[[#This Row],[Low Tol]],"Pass","Fail"),IF(Table1[[#This Row],[DUT Adj Read]]&gt;=Table1[[#This Row],[Low Tol]],"Pass","Fail")))</f>
        <v>Pass</v>
      </c>
      <c r="AG2495" s="1" t="str">
        <f>IF(AND(Table1[[#This Row],[Spec Type2]]="N/A",Table1[[#This Row],[DUT Adj Read]]="N/A",Table1[[#This Row],[Std Adj Read]]="N/A"),"N/A",IF(Table1[[#This Row],[DUT Adj Read]]="N/A",IF(Table1[[#This Row],[Std Adj Read]]&lt;=Table1[[#This Row],[High Tol]],"Pass","Fail"),IF(Table1[[#This Row],[DUT Adj Read]]&lt;=Table1[[#This Row],[High Tol]],"Pass","Fail")))</f>
        <v>Fail</v>
      </c>
      <c r="AH24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5" s="1" t="b">
        <v>0</v>
      </c>
      <c r="AN2495" s="1" t="b">
        <v>0</v>
      </c>
      <c r="AO2495" s="1" t="b">
        <v>0</v>
      </c>
    </row>
    <row r="2496" spans="1:41" x14ac:dyDescent="0.25">
      <c r="A2496" s="10"/>
      <c r="B2496" s="10"/>
      <c r="C2496" s="10"/>
      <c r="D2496" s="10"/>
      <c r="E2496" s="10"/>
      <c r="F2496" s="10"/>
      <c r="G2496" s="10"/>
      <c r="H2496" s="10"/>
      <c r="I2496" s="1" t="str">
        <f t="shared" si="114"/>
        <v/>
      </c>
      <c r="J2496" s="1" t="s">
        <v>35</v>
      </c>
      <c r="K2496" s="1" t="str">
        <f t="shared" si="115"/>
        <v/>
      </c>
      <c r="L2496" s="1" t="str">
        <f t="shared" si="116"/>
        <v/>
      </c>
      <c r="M2496" s="1">
        <f>IF(OR(Table1[[#This Row],[Std Nom]]="",Table1[[#This Row],[Std Read]]=""),0,Table1[[#This Row],[Std Nom]]-Table1[[#This Row],[Std Read]])</f>
        <v>0</v>
      </c>
      <c r="N2496" s="1">
        <f>IF(Calculations!$F$5="ACCREDITED 17025 WITH UNCERTAINTIES",$N$10,0)</f>
        <v>0</v>
      </c>
      <c r="O2496" s="1" t="str">
        <f>IFERROR(Table1[[#This Row],[Std Nom]]-(_xlfn.XLOOKUP(Table1[[#This Row],[Manufacturer]]&amp;" "&amp;Table1[[#This Row],[Model]],Table13[MFR &amp; MDL],Table13[Tolerance % CW ],"")/100*Table1[[#This Row],[Std Nom]]),"")</f>
        <v/>
      </c>
      <c r="P2496" s="1" t="str">
        <f>IFERROR(Table1[[#This Row],[Std Nom]]+(_xlfn.XLOOKUP(Table1[[#This Row],[Manufacturer]]&amp;" "&amp;Table1[[#This Row],[Model]],Table13[MFR &amp; MDL],Table13[Tolerance % CW ],"")/100*Table1[[#This Row],[Std Nom]]),"")</f>
        <v/>
      </c>
      <c r="Q2496" s="1" t="e">
        <f>Table1[[#This Row],[High Tol]]-Table1[[#This Row],[Low Tol]]</f>
        <v>#VALUE!</v>
      </c>
      <c r="R2496" s="1">
        <f>2*Table1[[#This Row],[Std Error]]</f>
        <v>0</v>
      </c>
      <c r="S2496" s="1" t="str">
        <f>IF(Table1[[#This Row],[High Tol]]="","N/A",IFERROR(ABS(Table1[[#This Row],[Tol Span]]/Table1[[#This Row],[Error Span]]),"N/A"))</f>
        <v>N/A</v>
      </c>
      <c r="T2496" s="1" t="str">
        <f>IF(OR(Table1[[#This Row],[Low Tol]]="",Table1[[#This Row],[High Tol]]=""),"Needs Analysis",IF(Table1[[#This Row],[Ratio]]&gt;=4,"Not Significant",IF(Table1[[#This Row],[Ratio]]&gt;=2,"Semi-Significant","Significant")))</f>
        <v>Needs Analysis</v>
      </c>
      <c r="W2496" s="1">
        <f>IF(Table1[[#This Row],[Cal Type]]&lt;&gt;"ACCREDITED 17025 WITH UNCERTAINTIES",0,"")</f>
        <v>0</v>
      </c>
      <c r="X2496" s="1" t="str">
        <f>IF(Table1[[#This Row],[DUT Read]]="","N/A",Table1[[#This Row],[Std Error]]+Table1[[#This Row],[DUT Read]]+Table1[[#This Row],[DUT Ucty]])</f>
        <v>N/A</v>
      </c>
      <c r="Y2496" s="1" t="str">
        <f>IF(Table1[[#This Row],[Std Read]]="","N/A",Table1[[#This Row],[Std Read]]+Table1[[#This Row],[Std Ucty]])</f>
        <v>N/A</v>
      </c>
      <c r="Z24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6" s="1" t="str">
        <f>IF(Table1[[#This Row],[Spec Type]]="","N/A",Table1[[#This Row],[Spec Type]])</f>
        <v>±</v>
      </c>
      <c r="AC2496" s="1" t="str">
        <f>IF(Table1[[#This Row],[Spec Type2]]="N/A","N/A",IF(AND(Table1[[#This Row],[DUT Adj Read]]&gt;=Table1[[#This Row],[Low Tol]],Table1[[#This Row],[DUT Adj Read]]&lt;=Table1[[#This Row],[High Tol]]),"Pass","Fail"))</f>
        <v>Fail</v>
      </c>
      <c r="AD2496" s="1" t="str">
        <f>IF(AND(Table1[[#This Row],[Spec Type2]]="N/A",Table1[[#This Row],[DUT Adj Read]]="N/A",Table1[[#This Row],[Std Adj Read]]="N/A"),"N/A",IF(Table1[[#This Row],[DUT Adj Read]]="N/A",IF(Table1[[#This Row],[Std Adj Read]]&gt;Table1[[#This Row],[Low Tol]],"Pass","Fail"),IF(Table1[[#This Row],[DUT Adj Read]]&gt;Table1[[#This Row],[Low Tol]],"Pass","Fail")))</f>
        <v>Pass</v>
      </c>
      <c r="AE2496" s="1" t="str">
        <f>IF(AND(Table1[[#This Row],[Spec Type2]]="N/A",Table1[[#This Row],[DUT Adj Read]]="N/A",Table1[[#This Row],[Std Adj Read]]="N/A"),"N/A",IF(Table1[[#This Row],[DUT Adj Read]]="N/A",IF(Table1[[#This Row],[Std Adj Read]]&lt;Table1[[#This Row],[High Tol]],"Pass","Fail"),IF(Table1[[#This Row],[DUT Adj Read]]&lt;Table1[[#This Row],[High Tol]],"Pass","Fail")))</f>
        <v>Fail</v>
      </c>
      <c r="AF2496" s="1" t="str">
        <f>IF(AND(Table1[[#This Row],[Spec Type2]]="N/A",Table1[[#This Row],[DUT Adj Read]]="N/A",Table1[[#This Row],[Std Adj Read]]="N/A"),"N/A",IF(Table1[[#This Row],[DUT Adj Read]]="N/A",IF(Table1[[#This Row],[Std Adj Read]]&gt;=Table1[[#This Row],[Low Tol]],"Pass","Fail"),IF(Table1[[#This Row],[DUT Adj Read]]&gt;=Table1[[#This Row],[Low Tol]],"Pass","Fail")))</f>
        <v>Pass</v>
      </c>
      <c r="AG2496" s="1" t="str">
        <f>IF(AND(Table1[[#This Row],[Spec Type2]]="N/A",Table1[[#This Row],[DUT Adj Read]]="N/A",Table1[[#This Row],[Std Adj Read]]="N/A"),"N/A",IF(Table1[[#This Row],[DUT Adj Read]]="N/A",IF(Table1[[#This Row],[Std Adj Read]]&lt;=Table1[[#This Row],[High Tol]],"Pass","Fail"),IF(Table1[[#This Row],[DUT Adj Read]]&lt;=Table1[[#This Row],[High Tol]],"Pass","Fail")))</f>
        <v>Fail</v>
      </c>
      <c r="AH24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6" s="1" t="b">
        <v>0</v>
      </c>
      <c r="AN2496" s="1" t="b">
        <v>0</v>
      </c>
      <c r="AO2496" s="1" t="b">
        <v>0</v>
      </c>
    </row>
    <row r="2497" spans="1:41" x14ac:dyDescent="0.25">
      <c r="A2497" s="10"/>
      <c r="B2497" s="10"/>
      <c r="C2497" s="10"/>
      <c r="D2497" s="10"/>
      <c r="E2497" s="10"/>
      <c r="F2497" s="10"/>
      <c r="G2497" s="10"/>
      <c r="H2497" s="10"/>
      <c r="I2497" s="1" t="str">
        <f t="shared" si="114"/>
        <v/>
      </c>
      <c r="J2497" s="1" t="s">
        <v>35</v>
      </c>
      <c r="K2497" s="1" t="str">
        <f t="shared" si="115"/>
        <v/>
      </c>
      <c r="L2497" s="1" t="str">
        <f t="shared" si="116"/>
        <v/>
      </c>
      <c r="M2497" s="1">
        <f>IF(OR(Table1[[#This Row],[Std Nom]]="",Table1[[#This Row],[Std Read]]=""),0,Table1[[#This Row],[Std Nom]]-Table1[[#This Row],[Std Read]])</f>
        <v>0</v>
      </c>
      <c r="N2497" s="1">
        <f>IF(Calculations!$F$5="ACCREDITED 17025 WITH UNCERTAINTIES",$N$10,0)</f>
        <v>0</v>
      </c>
      <c r="O2497" s="1" t="str">
        <f>IFERROR(Table1[[#This Row],[Std Nom]]-(_xlfn.XLOOKUP(Table1[[#This Row],[Manufacturer]]&amp;" "&amp;Table1[[#This Row],[Model]],Table13[MFR &amp; MDL],Table13[Tolerance % CW ],"")/100*Table1[[#This Row],[Std Nom]]),"")</f>
        <v/>
      </c>
      <c r="P2497" s="1" t="str">
        <f>IFERROR(Table1[[#This Row],[Std Nom]]+(_xlfn.XLOOKUP(Table1[[#This Row],[Manufacturer]]&amp;" "&amp;Table1[[#This Row],[Model]],Table13[MFR &amp; MDL],Table13[Tolerance % CW ],"")/100*Table1[[#This Row],[Std Nom]]),"")</f>
        <v/>
      </c>
      <c r="Q2497" s="1" t="e">
        <f>Table1[[#This Row],[High Tol]]-Table1[[#This Row],[Low Tol]]</f>
        <v>#VALUE!</v>
      </c>
      <c r="R2497" s="1">
        <f>2*Table1[[#This Row],[Std Error]]</f>
        <v>0</v>
      </c>
      <c r="S2497" s="1" t="str">
        <f>IF(Table1[[#This Row],[High Tol]]="","N/A",IFERROR(ABS(Table1[[#This Row],[Tol Span]]/Table1[[#This Row],[Error Span]]),"N/A"))</f>
        <v>N/A</v>
      </c>
      <c r="T2497" s="1" t="str">
        <f>IF(OR(Table1[[#This Row],[Low Tol]]="",Table1[[#This Row],[High Tol]]=""),"Needs Analysis",IF(Table1[[#This Row],[Ratio]]&gt;=4,"Not Significant",IF(Table1[[#This Row],[Ratio]]&gt;=2,"Semi-Significant","Significant")))</f>
        <v>Needs Analysis</v>
      </c>
      <c r="W2497" s="1">
        <f>IF(Table1[[#This Row],[Cal Type]]&lt;&gt;"ACCREDITED 17025 WITH UNCERTAINTIES",0,"")</f>
        <v>0</v>
      </c>
      <c r="X2497" s="1" t="str">
        <f>IF(Table1[[#This Row],[DUT Read]]="","N/A",Table1[[#This Row],[Std Error]]+Table1[[#This Row],[DUT Read]]+Table1[[#This Row],[DUT Ucty]])</f>
        <v>N/A</v>
      </c>
      <c r="Y2497" s="1" t="str">
        <f>IF(Table1[[#This Row],[Std Read]]="","N/A",Table1[[#This Row],[Std Read]]+Table1[[#This Row],[Std Ucty]])</f>
        <v>N/A</v>
      </c>
      <c r="Z24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7" s="1" t="str">
        <f>IF(Table1[[#This Row],[Spec Type]]="","N/A",Table1[[#This Row],[Spec Type]])</f>
        <v>±</v>
      </c>
      <c r="AC2497" s="1" t="str">
        <f>IF(Table1[[#This Row],[Spec Type2]]="N/A","N/A",IF(AND(Table1[[#This Row],[DUT Adj Read]]&gt;=Table1[[#This Row],[Low Tol]],Table1[[#This Row],[DUT Adj Read]]&lt;=Table1[[#This Row],[High Tol]]),"Pass","Fail"))</f>
        <v>Fail</v>
      </c>
      <c r="AD2497" s="1" t="str">
        <f>IF(AND(Table1[[#This Row],[Spec Type2]]="N/A",Table1[[#This Row],[DUT Adj Read]]="N/A",Table1[[#This Row],[Std Adj Read]]="N/A"),"N/A",IF(Table1[[#This Row],[DUT Adj Read]]="N/A",IF(Table1[[#This Row],[Std Adj Read]]&gt;Table1[[#This Row],[Low Tol]],"Pass","Fail"),IF(Table1[[#This Row],[DUT Adj Read]]&gt;Table1[[#This Row],[Low Tol]],"Pass","Fail")))</f>
        <v>Pass</v>
      </c>
      <c r="AE2497" s="1" t="str">
        <f>IF(AND(Table1[[#This Row],[Spec Type2]]="N/A",Table1[[#This Row],[DUT Adj Read]]="N/A",Table1[[#This Row],[Std Adj Read]]="N/A"),"N/A",IF(Table1[[#This Row],[DUT Adj Read]]="N/A",IF(Table1[[#This Row],[Std Adj Read]]&lt;Table1[[#This Row],[High Tol]],"Pass","Fail"),IF(Table1[[#This Row],[DUT Adj Read]]&lt;Table1[[#This Row],[High Tol]],"Pass","Fail")))</f>
        <v>Fail</v>
      </c>
      <c r="AF2497" s="1" t="str">
        <f>IF(AND(Table1[[#This Row],[Spec Type2]]="N/A",Table1[[#This Row],[DUT Adj Read]]="N/A",Table1[[#This Row],[Std Adj Read]]="N/A"),"N/A",IF(Table1[[#This Row],[DUT Adj Read]]="N/A",IF(Table1[[#This Row],[Std Adj Read]]&gt;=Table1[[#This Row],[Low Tol]],"Pass","Fail"),IF(Table1[[#This Row],[DUT Adj Read]]&gt;=Table1[[#This Row],[Low Tol]],"Pass","Fail")))</f>
        <v>Pass</v>
      </c>
      <c r="AG2497" s="1" t="str">
        <f>IF(AND(Table1[[#This Row],[Spec Type2]]="N/A",Table1[[#This Row],[DUT Adj Read]]="N/A",Table1[[#This Row],[Std Adj Read]]="N/A"),"N/A",IF(Table1[[#This Row],[DUT Adj Read]]="N/A",IF(Table1[[#This Row],[Std Adj Read]]&lt;=Table1[[#This Row],[High Tol]],"Pass","Fail"),IF(Table1[[#This Row],[DUT Adj Read]]&lt;=Table1[[#This Row],[High Tol]],"Pass","Fail")))</f>
        <v>Fail</v>
      </c>
      <c r="AH24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7" s="1" t="b">
        <v>0</v>
      </c>
      <c r="AN2497" s="1" t="b">
        <v>0</v>
      </c>
      <c r="AO2497" s="1" t="b">
        <v>0</v>
      </c>
    </row>
    <row r="2498" spans="1:41" x14ac:dyDescent="0.25">
      <c r="A2498" s="10"/>
      <c r="B2498" s="10"/>
      <c r="C2498" s="10"/>
      <c r="D2498" s="10"/>
      <c r="E2498" s="10"/>
      <c r="F2498" s="10"/>
      <c r="G2498" s="10"/>
      <c r="H2498" s="10"/>
      <c r="I2498" s="1" t="str">
        <f t="shared" si="114"/>
        <v/>
      </c>
      <c r="J2498" s="1" t="s">
        <v>35</v>
      </c>
      <c r="K2498" s="1" t="str">
        <f t="shared" si="115"/>
        <v/>
      </c>
      <c r="L2498" s="1" t="str">
        <f t="shared" si="116"/>
        <v/>
      </c>
      <c r="M2498" s="1">
        <f>IF(OR(Table1[[#This Row],[Std Nom]]="",Table1[[#This Row],[Std Read]]=""),0,Table1[[#This Row],[Std Nom]]-Table1[[#This Row],[Std Read]])</f>
        <v>0</v>
      </c>
      <c r="N2498" s="1">
        <f>IF(Calculations!$F$5="ACCREDITED 17025 WITH UNCERTAINTIES",$N$10,0)</f>
        <v>0</v>
      </c>
      <c r="O2498" s="1" t="str">
        <f>IFERROR(Table1[[#This Row],[Std Nom]]-(_xlfn.XLOOKUP(Table1[[#This Row],[Manufacturer]]&amp;" "&amp;Table1[[#This Row],[Model]],Table13[MFR &amp; MDL],Table13[Tolerance % CW ],"")/100*Table1[[#This Row],[Std Nom]]),"")</f>
        <v/>
      </c>
      <c r="P2498" s="1" t="str">
        <f>IFERROR(Table1[[#This Row],[Std Nom]]+(_xlfn.XLOOKUP(Table1[[#This Row],[Manufacturer]]&amp;" "&amp;Table1[[#This Row],[Model]],Table13[MFR &amp; MDL],Table13[Tolerance % CW ],"")/100*Table1[[#This Row],[Std Nom]]),"")</f>
        <v/>
      </c>
      <c r="Q2498" s="1" t="e">
        <f>Table1[[#This Row],[High Tol]]-Table1[[#This Row],[Low Tol]]</f>
        <v>#VALUE!</v>
      </c>
      <c r="R2498" s="1">
        <f>2*Table1[[#This Row],[Std Error]]</f>
        <v>0</v>
      </c>
      <c r="S2498" s="1" t="str">
        <f>IF(Table1[[#This Row],[High Tol]]="","N/A",IFERROR(ABS(Table1[[#This Row],[Tol Span]]/Table1[[#This Row],[Error Span]]),"N/A"))</f>
        <v>N/A</v>
      </c>
      <c r="T2498" s="1" t="str">
        <f>IF(OR(Table1[[#This Row],[Low Tol]]="",Table1[[#This Row],[High Tol]]=""),"Needs Analysis",IF(Table1[[#This Row],[Ratio]]&gt;=4,"Not Significant",IF(Table1[[#This Row],[Ratio]]&gt;=2,"Semi-Significant","Significant")))</f>
        <v>Needs Analysis</v>
      </c>
      <c r="W2498" s="1">
        <f>IF(Table1[[#This Row],[Cal Type]]&lt;&gt;"ACCREDITED 17025 WITH UNCERTAINTIES",0,"")</f>
        <v>0</v>
      </c>
      <c r="X2498" s="1" t="str">
        <f>IF(Table1[[#This Row],[DUT Read]]="","N/A",Table1[[#This Row],[Std Error]]+Table1[[#This Row],[DUT Read]]+Table1[[#This Row],[DUT Ucty]])</f>
        <v>N/A</v>
      </c>
      <c r="Y2498" s="1" t="str">
        <f>IF(Table1[[#This Row],[Std Read]]="","N/A",Table1[[#This Row],[Std Read]]+Table1[[#This Row],[Std Ucty]])</f>
        <v>N/A</v>
      </c>
      <c r="Z24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8" s="1" t="str">
        <f>IF(Table1[[#This Row],[Spec Type]]="","N/A",Table1[[#This Row],[Spec Type]])</f>
        <v>±</v>
      </c>
      <c r="AC2498" s="1" t="str">
        <f>IF(Table1[[#This Row],[Spec Type2]]="N/A","N/A",IF(AND(Table1[[#This Row],[DUT Adj Read]]&gt;=Table1[[#This Row],[Low Tol]],Table1[[#This Row],[DUT Adj Read]]&lt;=Table1[[#This Row],[High Tol]]),"Pass","Fail"))</f>
        <v>Fail</v>
      </c>
      <c r="AD2498" s="1" t="str">
        <f>IF(AND(Table1[[#This Row],[Spec Type2]]="N/A",Table1[[#This Row],[DUT Adj Read]]="N/A",Table1[[#This Row],[Std Adj Read]]="N/A"),"N/A",IF(Table1[[#This Row],[DUT Adj Read]]="N/A",IF(Table1[[#This Row],[Std Adj Read]]&gt;Table1[[#This Row],[Low Tol]],"Pass","Fail"),IF(Table1[[#This Row],[DUT Adj Read]]&gt;Table1[[#This Row],[Low Tol]],"Pass","Fail")))</f>
        <v>Pass</v>
      </c>
      <c r="AE2498" s="1" t="str">
        <f>IF(AND(Table1[[#This Row],[Spec Type2]]="N/A",Table1[[#This Row],[DUT Adj Read]]="N/A",Table1[[#This Row],[Std Adj Read]]="N/A"),"N/A",IF(Table1[[#This Row],[DUT Adj Read]]="N/A",IF(Table1[[#This Row],[Std Adj Read]]&lt;Table1[[#This Row],[High Tol]],"Pass","Fail"),IF(Table1[[#This Row],[DUT Adj Read]]&lt;Table1[[#This Row],[High Tol]],"Pass","Fail")))</f>
        <v>Fail</v>
      </c>
      <c r="AF2498" s="1" t="str">
        <f>IF(AND(Table1[[#This Row],[Spec Type2]]="N/A",Table1[[#This Row],[DUT Adj Read]]="N/A",Table1[[#This Row],[Std Adj Read]]="N/A"),"N/A",IF(Table1[[#This Row],[DUT Adj Read]]="N/A",IF(Table1[[#This Row],[Std Adj Read]]&gt;=Table1[[#This Row],[Low Tol]],"Pass","Fail"),IF(Table1[[#This Row],[DUT Adj Read]]&gt;=Table1[[#This Row],[Low Tol]],"Pass","Fail")))</f>
        <v>Pass</v>
      </c>
      <c r="AG2498" s="1" t="str">
        <f>IF(AND(Table1[[#This Row],[Spec Type2]]="N/A",Table1[[#This Row],[DUT Adj Read]]="N/A",Table1[[#This Row],[Std Adj Read]]="N/A"),"N/A",IF(Table1[[#This Row],[DUT Adj Read]]="N/A",IF(Table1[[#This Row],[Std Adj Read]]&lt;=Table1[[#This Row],[High Tol]],"Pass","Fail"),IF(Table1[[#This Row],[DUT Adj Read]]&lt;=Table1[[#This Row],[High Tol]],"Pass","Fail")))</f>
        <v>Fail</v>
      </c>
      <c r="AH24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8" s="1" t="b">
        <v>0</v>
      </c>
      <c r="AN2498" s="1" t="b">
        <v>0</v>
      </c>
      <c r="AO2498" s="1" t="b">
        <v>0</v>
      </c>
    </row>
    <row r="2499" spans="1:41" x14ac:dyDescent="0.25">
      <c r="A2499" s="10"/>
      <c r="B2499" s="10"/>
      <c r="C2499" s="10"/>
      <c r="D2499" s="10"/>
      <c r="E2499" s="10"/>
      <c r="F2499" s="10"/>
      <c r="G2499" s="10"/>
      <c r="H2499" s="10"/>
      <c r="I2499" s="1" t="str">
        <f t="shared" si="114"/>
        <v/>
      </c>
      <c r="J2499" s="1" t="s">
        <v>35</v>
      </c>
      <c r="K2499" s="1" t="str">
        <f t="shared" si="115"/>
        <v/>
      </c>
      <c r="L2499" s="1" t="str">
        <f t="shared" si="116"/>
        <v/>
      </c>
      <c r="M2499" s="1">
        <f>IF(OR(Table1[[#This Row],[Std Nom]]="",Table1[[#This Row],[Std Read]]=""),0,Table1[[#This Row],[Std Nom]]-Table1[[#This Row],[Std Read]])</f>
        <v>0</v>
      </c>
      <c r="N2499" s="1">
        <f>IF(Calculations!$F$5="ACCREDITED 17025 WITH UNCERTAINTIES",$N$10,0)</f>
        <v>0</v>
      </c>
      <c r="O2499" s="1" t="str">
        <f>IFERROR(Table1[[#This Row],[Std Nom]]-(_xlfn.XLOOKUP(Table1[[#This Row],[Manufacturer]]&amp;" "&amp;Table1[[#This Row],[Model]],Table13[MFR &amp; MDL],Table13[Tolerance % CW ],"")/100*Table1[[#This Row],[Std Nom]]),"")</f>
        <v/>
      </c>
      <c r="P2499" s="1" t="str">
        <f>IFERROR(Table1[[#This Row],[Std Nom]]+(_xlfn.XLOOKUP(Table1[[#This Row],[Manufacturer]]&amp;" "&amp;Table1[[#This Row],[Model]],Table13[MFR &amp; MDL],Table13[Tolerance % CW ],"")/100*Table1[[#This Row],[Std Nom]]),"")</f>
        <v/>
      </c>
      <c r="Q2499" s="1" t="e">
        <f>Table1[[#This Row],[High Tol]]-Table1[[#This Row],[Low Tol]]</f>
        <v>#VALUE!</v>
      </c>
      <c r="R2499" s="1">
        <f>2*Table1[[#This Row],[Std Error]]</f>
        <v>0</v>
      </c>
      <c r="S2499" s="1" t="str">
        <f>IF(Table1[[#This Row],[High Tol]]="","N/A",IFERROR(ABS(Table1[[#This Row],[Tol Span]]/Table1[[#This Row],[Error Span]]),"N/A"))</f>
        <v>N/A</v>
      </c>
      <c r="T2499" s="1" t="str">
        <f>IF(OR(Table1[[#This Row],[Low Tol]]="",Table1[[#This Row],[High Tol]]=""),"Needs Analysis",IF(Table1[[#This Row],[Ratio]]&gt;=4,"Not Significant",IF(Table1[[#This Row],[Ratio]]&gt;=2,"Semi-Significant","Significant")))</f>
        <v>Needs Analysis</v>
      </c>
      <c r="W2499" s="1">
        <f>IF(Table1[[#This Row],[Cal Type]]&lt;&gt;"ACCREDITED 17025 WITH UNCERTAINTIES",0,"")</f>
        <v>0</v>
      </c>
      <c r="X2499" s="1" t="str">
        <f>IF(Table1[[#This Row],[DUT Read]]="","N/A",Table1[[#This Row],[Std Error]]+Table1[[#This Row],[DUT Read]]+Table1[[#This Row],[DUT Ucty]])</f>
        <v>N/A</v>
      </c>
      <c r="Y2499" s="1" t="str">
        <f>IF(Table1[[#This Row],[Std Read]]="","N/A",Table1[[#This Row],[Std Read]]+Table1[[#This Row],[Std Ucty]])</f>
        <v>N/A</v>
      </c>
      <c r="Z24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9" s="1" t="str">
        <f>IF(Table1[[#This Row],[Spec Type]]="","N/A",Table1[[#This Row],[Spec Type]])</f>
        <v>±</v>
      </c>
      <c r="AC2499" s="1" t="str">
        <f>IF(Table1[[#This Row],[Spec Type2]]="N/A","N/A",IF(AND(Table1[[#This Row],[DUT Adj Read]]&gt;=Table1[[#This Row],[Low Tol]],Table1[[#This Row],[DUT Adj Read]]&lt;=Table1[[#This Row],[High Tol]]),"Pass","Fail"))</f>
        <v>Fail</v>
      </c>
      <c r="AD2499" s="1" t="str">
        <f>IF(AND(Table1[[#This Row],[Spec Type2]]="N/A",Table1[[#This Row],[DUT Adj Read]]="N/A",Table1[[#This Row],[Std Adj Read]]="N/A"),"N/A",IF(Table1[[#This Row],[DUT Adj Read]]="N/A",IF(Table1[[#This Row],[Std Adj Read]]&gt;Table1[[#This Row],[Low Tol]],"Pass","Fail"),IF(Table1[[#This Row],[DUT Adj Read]]&gt;Table1[[#This Row],[Low Tol]],"Pass","Fail")))</f>
        <v>Pass</v>
      </c>
      <c r="AE2499" s="1" t="str">
        <f>IF(AND(Table1[[#This Row],[Spec Type2]]="N/A",Table1[[#This Row],[DUT Adj Read]]="N/A",Table1[[#This Row],[Std Adj Read]]="N/A"),"N/A",IF(Table1[[#This Row],[DUT Adj Read]]="N/A",IF(Table1[[#This Row],[Std Adj Read]]&lt;Table1[[#This Row],[High Tol]],"Pass","Fail"),IF(Table1[[#This Row],[DUT Adj Read]]&lt;Table1[[#This Row],[High Tol]],"Pass","Fail")))</f>
        <v>Fail</v>
      </c>
      <c r="AF2499" s="1" t="str">
        <f>IF(AND(Table1[[#This Row],[Spec Type2]]="N/A",Table1[[#This Row],[DUT Adj Read]]="N/A",Table1[[#This Row],[Std Adj Read]]="N/A"),"N/A",IF(Table1[[#This Row],[DUT Adj Read]]="N/A",IF(Table1[[#This Row],[Std Adj Read]]&gt;=Table1[[#This Row],[Low Tol]],"Pass","Fail"),IF(Table1[[#This Row],[DUT Adj Read]]&gt;=Table1[[#This Row],[Low Tol]],"Pass","Fail")))</f>
        <v>Pass</v>
      </c>
      <c r="AG2499" s="1" t="str">
        <f>IF(AND(Table1[[#This Row],[Spec Type2]]="N/A",Table1[[#This Row],[DUT Adj Read]]="N/A",Table1[[#This Row],[Std Adj Read]]="N/A"),"N/A",IF(Table1[[#This Row],[DUT Adj Read]]="N/A",IF(Table1[[#This Row],[Std Adj Read]]&lt;=Table1[[#This Row],[High Tol]],"Pass","Fail"),IF(Table1[[#This Row],[DUT Adj Read]]&lt;=Table1[[#This Row],[High Tol]],"Pass","Fail")))</f>
        <v>Fail</v>
      </c>
      <c r="AH24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9" s="1" t="b">
        <v>0</v>
      </c>
      <c r="AN2499" s="1" t="b">
        <v>0</v>
      </c>
      <c r="AO2499" s="1" t="b">
        <v>0</v>
      </c>
    </row>
    <row r="2500" spans="1:41" x14ac:dyDescent="0.25">
      <c r="A2500" s="10"/>
      <c r="B2500" s="10"/>
      <c r="C2500" s="10"/>
      <c r="D2500" s="10"/>
      <c r="E2500" s="10"/>
      <c r="F2500" s="10"/>
      <c r="G2500" s="10"/>
      <c r="H2500" s="10"/>
      <c r="I2500" s="1" t="str">
        <f t="shared" si="114"/>
        <v/>
      </c>
      <c r="J2500" s="1" t="s">
        <v>35</v>
      </c>
      <c r="K2500" s="1" t="str">
        <f t="shared" si="115"/>
        <v/>
      </c>
      <c r="L2500" s="1" t="str">
        <f t="shared" si="116"/>
        <v/>
      </c>
      <c r="M2500" s="1">
        <f>IF(OR(Table1[[#This Row],[Std Nom]]="",Table1[[#This Row],[Std Read]]=""),0,Table1[[#This Row],[Std Nom]]-Table1[[#This Row],[Std Read]])</f>
        <v>0</v>
      </c>
      <c r="N2500" s="1">
        <f>IF(Calculations!$F$5="ACCREDITED 17025 WITH UNCERTAINTIES",$N$10,0)</f>
        <v>0</v>
      </c>
      <c r="O2500" s="1" t="str">
        <f>IFERROR(Table1[[#This Row],[Std Nom]]-(_xlfn.XLOOKUP(Table1[[#This Row],[Manufacturer]]&amp;" "&amp;Table1[[#This Row],[Model]],Table13[MFR &amp; MDL],Table13[Tolerance % CW ],"")/100*Table1[[#This Row],[Std Nom]]),"")</f>
        <v/>
      </c>
      <c r="P2500" s="1" t="str">
        <f>IFERROR(Table1[[#This Row],[Std Nom]]+(_xlfn.XLOOKUP(Table1[[#This Row],[Manufacturer]]&amp;" "&amp;Table1[[#This Row],[Model]],Table13[MFR &amp; MDL],Table13[Tolerance % CW ],"")/100*Table1[[#This Row],[Std Nom]]),"")</f>
        <v/>
      </c>
      <c r="Q2500" s="1" t="e">
        <f>Table1[[#This Row],[High Tol]]-Table1[[#This Row],[Low Tol]]</f>
        <v>#VALUE!</v>
      </c>
      <c r="R2500" s="1">
        <f>2*Table1[[#This Row],[Std Error]]</f>
        <v>0</v>
      </c>
      <c r="S2500" s="1" t="str">
        <f>IF(Table1[[#This Row],[High Tol]]="","N/A",IFERROR(ABS(Table1[[#This Row],[Tol Span]]/Table1[[#This Row],[Error Span]]),"N/A"))</f>
        <v>N/A</v>
      </c>
      <c r="T2500" s="1" t="str">
        <f>IF(OR(Table1[[#This Row],[Low Tol]]="",Table1[[#This Row],[High Tol]]=""),"Needs Analysis",IF(Table1[[#This Row],[Ratio]]&gt;=4,"Not Significant",IF(Table1[[#This Row],[Ratio]]&gt;=2,"Semi-Significant","Significant")))</f>
        <v>Needs Analysis</v>
      </c>
      <c r="W2500" s="1">
        <f>IF(Table1[[#This Row],[Cal Type]]&lt;&gt;"ACCREDITED 17025 WITH UNCERTAINTIES",0,"")</f>
        <v>0</v>
      </c>
      <c r="X2500" s="1" t="str">
        <f>IF(Table1[[#This Row],[DUT Read]]="","N/A",Table1[[#This Row],[Std Error]]+Table1[[#This Row],[DUT Read]]+Table1[[#This Row],[DUT Ucty]])</f>
        <v>N/A</v>
      </c>
      <c r="Y2500" s="1" t="str">
        <f>IF(Table1[[#This Row],[Std Read]]="","N/A",Table1[[#This Row],[Std Read]]+Table1[[#This Row],[Std Ucty]])</f>
        <v>N/A</v>
      </c>
      <c r="Z25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0" s="1" t="str">
        <f>IF(Table1[[#This Row],[Spec Type]]="","N/A",Table1[[#This Row],[Spec Type]])</f>
        <v>±</v>
      </c>
      <c r="AC2500" s="1" t="str">
        <f>IF(Table1[[#This Row],[Spec Type2]]="N/A","N/A",IF(AND(Table1[[#This Row],[DUT Adj Read]]&gt;=Table1[[#This Row],[Low Tol]],Table1[[#This Row],[DUT Adj Read]]&lt;=Table1[[#This Row],[High Tol]]),"Pass","Fail"))</f>
        <v>Fail</v>
      </c>
      <c r="AD2500" s="1" t="str">
        <f>IF(AND(Table1[[#This Row],[Spec Type2]]="N/A",Table1[[#This Row],[DUT Adj Read]]="N/A",Table1[[#This Row],[Std Adj Read]]="N/A"),"N/A",IF(Table1[[#This Row],[DUT Adj Read]]="N/A",IF(Table1[[#This Row],[Std Adj Read]]&gt;Table1[[#This Row],[Low Tol]],"Pass","Fail"),IF(Table1[[#This Row],[DUT Adj Read]]&gt;Table1[[#This Row],[Low Tol]],"Pass","Fail")))</f>
        <v>Pass</v>
      </c>
      <c r="AE2500" s="1" t="str">
        <f>IF(AND(Table1[[#This Row],[Spec Type2]]="N/A",Table1[[#This Row],[DUT Adj Read]]="N/A",Table1[[#This Row],[Std Adj Read]]="N/A"),"N/A",IF(Table1[[#This Row],[DUT Adj Read]]="N/A",IF(Table1[[#This Row],[Std Adj Read]]&lt;Table1[[#This Row],[High Tol]],"Pass","Fail"),IF(Table1[[#This Row],[DUT Adj Read]]&lt;Table1[[#This Row],[High Tol]],"Pass","Fail")))</f>
        <v>Fail</v>
      </c>
      <c r="AF2500" s="1" t="str">
        <f>IF(AND(Table1[[#This Row],[Spec Type2]]="N/A",Table1[[#This Row],[DUT Adj Read]]="N/A",Table1[[#This Row],[Std Adj Read]]="N/A"),"N/A",IF(Table1[[#This Row],[DUT Adj Read]]="N/A",IF(Table1[[#This Row],[Std Adj Read]]&gt;=Table1[[#This Row],[Low Tol]],"Pass","Fail"),IF(Table1[[#This Row],[DUT Adj Read]]&gt;=Table1[[#This Row],[Low Tol]],"Pass","Fail")))</f>
        <v>Pass</v>
      </c>
      <c r="AG2500" s="1" t="str">
        <f>IF(AND(Table1[[#This Row],[Spec Type2]]="N/A",Table1[[#This Row],[DUT Adj Read]]="N/A",Table1[[#This Row],[Std Adj Read]]="N/A"),"N/A",IF(Table1[[#This Row],[DUT Adj Read]]="N/A",IF(Table1[[#This Row],[Std Adj Read]]&lt;=Table1[[#This Row],[High Tol]],"Pass","Fail"),IF(Table1[[#This Row],[DUT Adj Read]]&lt;=Table1[[#This Row],[High Tol]],"Pass","Fail")))</f>
        <v>Fail</v>
      </c>
      <c r="AH25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0" s="1" t="b">
        <v>0</v>
      </c>
      <c r="AN2500" s="1" t="b">
        <v>0</v>
      </c>
      <c r="AO2500" s="1" t="b">
        <v>0</v>
      </c>
    </row>
    <row r="2501" spans="1:41" x14ac:dyDescent="0.25">
      <c r="A2501" s="10"/>
      <c r="B2501" s="10"/>
      <c r="C2501" s="10"/>
      <c r="D2501" s="10"/>
      <c r="E2501" s="10"/>
      <c r="F2501" s="10"/>
      <c r="G2501" s="10"/>
      <c r="H2501" s="10"/>
      <c r="I2501" s="1" t="str">
        <f t="shared" si="114"/>
        <v/>
      </c>
      <c r="J2501" s="1" t="s">
        <v>35</v>
      </c>
      <c r="K2501" s="1" t="str">
        <f t="shared" si="115"/>
        <v/>
      </c>
      <c r="L2501" s="1" t="str">
        <f t="shared" si="116"/>
        <v/>
      </c>
      <c r="M2501" s="1">
        <f>IF(OR(Table1[[#This Row],[Std Nom]]="",Table1[[#This Row],[Std Read]]=""),0,Table1[[#This Row],[Std Nom]]-Table1[[#This Row],[Std Read]])</f>
        <v>0</v>
      </c>
      <c r="N2501" s="1">
        <f>IF(Calculations!$F$5="ACCREDITED 17025 WITH UNCERTAINTIES",$N$10,0)</f>
        <v>0</v>
      </c>
      <c r="O2501" s="1" t="str">
        <f>IFERROR(Table1[[#This Row],[Std Nom]]-(_xlfn.XLOOKUP(Table1[[#This Row],[Manufacturer]]&amp;" "&amp;Table1[[#This Row],[Model]],Table13[MFR &amp; MDL],Table13[Tolerance % CW ],"")/100*Table1[[#This Row],[Std Nom]]),"")</f>
        <v/>
      </c>
      <c r="P2501" s="1" t="str">
        <f>IFERROR(Table1[[#This Row],[Std Nom]]+(_xlfn.XLOOKUP(Table1[[#This Row],[Manufacturer]]&amp;" "&amp;Table1[[#This Row],[Model]],Table13[MFR &amp; MDL],Table13[Tolerance % CW ],"")/100*Table1[[#This Row],[Std Nom]]),"")</f>
        <v/>
      </c>
      <c r="Q2501" s="1" t="e">
        <f>Table1[[#This Row],[High Tol]]-Table1[[#This Row],[Low Tol]]</f>
        <v>#VALUE!</v>
      </c>
      <c r="R2501" s="1">
        <f>2*Table1[[#This Row],[Std Error]]</f>
        <v>0</v>
      </c>
      <c r="S2501" s="1" t="str">
        <f>IF(Table1[[#This Row],[High Tol]]="","N/A",IFERROR(ABS(Table1[[#This Row],[Tol Span]]/Table1[[#This Row],[Error Span]]),"N/A"))</f>
        <v>N/A</v>
      </c>
      <c r="T2501" s="1" t="str">
        <f>IF(OR(Table1[[#This Row],[Low Tol]]="",Table1[[#This Row],[High Tol]]=""),"Needs Analysis",IF(Table1[[#This Row],[Ratio]]&gt;=4,"Not Significant",IF(Table1[[#This Row],[Ratio]]&gt;=2,"Semi-Significant","Significant")))</f>
        <v>Needs Analysis</v>
      </c>
      <c r="W2501" s="1">
        <f>IF(Table1[[#This Row],[Cal Type]]&lt;&gt;"ACCREDITED 17025 WITH UNCERTAINTIES",0,"")</f>
        <v>0</v>
      </c>
      <c r="X2501" s="1" t="str">
        <f>IF(Table1[[#This Row],[DUT Read]]="","N/A",Table1[[#This Row],[Std Error]]+Table1[[#This Row],[DUT Read]]+Table1[[#This Row],[DUT Ucty]])</f>
        <v>N/A</v>
      </c>
      <c r="Y2501" s="1" t="str">
        <f>IF(Table1[[#This Row],[Std Read]]="","N/A",Table1[[#This Row],[Std Read]]+Table1[[#This Row],[Std Ucty]])</f>
        <v>N/A</v>
      </c>
      <c r="Z25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1" s="1" t="str">
        <f>IF(Table1[[#This Row],[Spec Type]]="","N/A",Table1[[#This Row],[Spec Type]])</f>
        <v>±</v>
      </c>
      <c r="AC2501" s="1" t="str">
        <f>IF(Table1[[#This Row],[Spec Type2]]="N/A","N/A",IF(AND(Table1[[#This Row],[DUT Adj Read]]&gt;=Table1[[#This Row],[Low Tol]],Table1[[#This Row],[DUT Adj Read]]&lt;=Table1[[#This Row],[High Tol]]),"Pass","Fail"))</f>
        <v>Fail</v>
      </c>
      <c r="AD2501" s="1" t="str">
        <f>IF(AND(Table1[[#This Row],[Spec Type2]]="N/A",Table1[[#This Row],[DUT Adj Read]]="N/A",Table1[[#This Row],[Std Adj Read]]="N/A"),"N/A",IF(Table1[[#This Row],[DUT Adj Read]]="N/A",IF(Table1[[#This Row],[Std Adj Read]]&gt;Table1[[#This Row],[Low Tol]],"Pass","Fail"),IF(Table1[[#This Row],[DUT Adj Read]]&gt;Table1[[#This Row],[Low Tol]],"Pass","Fail")))</f>
        <v>Pass</v>
      </c>
      <c r="AE2501" s="1" t="str">
        <f>IF(AND(Table1[[#This Row],[Spec Type2]]="N/A",Table1[[#This Row],[DUT Adj Read]]="N/A",Table1[[#This Row],[Std Adj Read]]="N/A"),"N/A",IF(Table1[[#This Row],[DUT Adj Read]]="N/A",IF(Table1[[#This Row],[Std Adj Read]]&lt;Table1[[#This Row],[High Tol]],"Pass","Fail"),IF(Table1[[#This Row],[DUT Adj Read]]&lt;Table1[[#This Row],[High Tol]],"Pass","Fail")))</f>
        <v>Fail</v>
      </c>
      <c r="AF2501" s="1" t="str">
        <f>IF(AND(Table1[[#This Row],[Spec Type2]]="N/A",Table1[[#This Row],[DUT Adj Read]]="N/A",Table1[[#This Row],[Std Adj Read]]="N/A"),"N/A",IF(Table1[[#This Row],[DUT Adj Read]]="N/A",IF(Table1[[#This Row],[Std Adj Read]]&gt;=Table1[[#This Row],[Low Tol]],"Pass","Fail"),IF(Table1[[#This Row],[DUT Adj Read]]&gt;=Table1[[#This Row],[Low Tol]],"Pass","Fail")))</f>
        <v>Pass</v>
      </c>
      <c r="AG2501" s="1" t="str">
        <f>IF(AND(Table1[[#This Row],[Spec Type2]]="N/A",Table1[[#This Row],[DUT Adj Read]]="N/A",Table1[[#This Row],[Std Adj Read]]="N/A"),"N/A",IF(Table1[[#This Row],[DUT Adj Read]]="N/A",IF(Table1[[#This Row],[Std Adj Read]]&lt;=Table1[[#This Row],[High Tol]],"Pass","Fail"),IF(Table1[[#This Row],[DUT Adj Read]]&lt;=Table1[[#This Row],[High Tol]],"Pass","Fail")))</f>
        <v>Fail</v>
      </c>
      <c r="AH25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1" s="1" t="b">
        <v>0</v>
      </c>
      <c r="AN2501" s="1" t="b">
        <v>0</v>
      </c>
      <c r="AO2501" s="1" t="b">
        <v>0</v>
      </c>
    </row>
    <row r="2502" spans="1:41" x14ac:dyDescent="0.25">
      <c r="A2502" s="10"/>
      <c r="B2502" s="10"/>
      <c r="C2502" s="10"/>
      <c r="D2502" s="10"/>
      <c r="E2502" s="10"/>
      <c r="F2502" s="10"/>
      <c r="G2502" s="10"/>
      <c r="H2502" s="10"/>
      <c r="I2502" s="1" t="str">
        <f t="shared" si="114"/>
        <v/>
      </c>
      <c r="J2502" s="1" t="s">
        <v>35</v>
      </c>
      <c r="K2502" s="1" t="str">
        <f t="shared" si="115"/>
        <v/>
      </c>
      <c r="L2502" s="1" t="str">
        <f t="shared" si="116"/>
        <v/>
      </c>
      <c r="M2502" s="1">
        <f>IF(OR(Table1[[#This Row],[Std Nom]]="",Table1[[#This Row],[Std Read]]=""),0,Table1[[#This Row],[Std Nom]]-Table1[[#This Row],[Std Read]])</f>
        <v>0</v>
      </c>
      <c r="N2502" s="1">
        <f>IF(Calculations!$F$5="ACCREDITED 17025 WITH UNCERTAINTIES",$N$10,0)</f>
        <v>0</v>
      </c>
      <c r="O2502" s="1" t="str">
        <f>IFERROR(Table1[[#This Row],[Std Nom]]-(_xlfn.XLOOKUP(Table1[[#This Row],[Manufacturer]]&amp;" "&amp;Table1[[#This Row],[Model]],Table13[MFR &amp; MDL],Table13[Tolerance % CW ],"")/100*Table1[[#This Row],[Std Nom]]),"")</f>
        <v/>
      </c>
      <c r="P2502" s="1" t="str">
        <f>IFERROR(Table1[[#This Row],[Std Nom]]+(_xlfn.XLOOKUP(Table1[[#This Row],[Manufacturer]]&amp;" "&amp;Table1[[#This Row],[Model]],Table13[MFR &amp; MDL],Table13[Tolerance % CW ],"")/100*Table1[[#This Row],[Std Nom]]),"")</f>
        <v/>
      </c>
      <c r="Q2502" s="1" t="e">
        <f>Table1[[#This Row],[High Tol]]-Table1[[#This Row],[Low Tol]]</f>
        <v>#VALUE!</v>
      </c>
      <c r="R2502" s="1">
        <f>2*Table1[[#This Row],[Std Error]]</f>
        <v>0</v>
      </c>
      <c r="S2502" s="1" t="str">
        <f>IF(Table1[[#This Row],[High Tol]]="","N/A",IFERROR(ABS(Table1[[#This Row],[Tol Span]]/Table1[[#This Row],[Error Span]]),"N/A"))</f>
        <v>N/A</v>
      </c>
      <c r="T2502" s="1" t="str">
        <f>IF(OR(Table1[[#This Row],[Low Tol]]="",Table1[[#This Row],[High Tol]]=""),"Needs Analysis",IF(Table1[[#This Row],[Ratio]]&gt;=4,"Not Significant",IF(Table1[[#This Row],[Ratio]]&gt;=2,"Semi-Significant","Significant")))</f>
        <v>Needs Analysis</v>
      </c>
      <c r="W2502" s="1">
        <f>IF(Table1[[#This Row],[Cal Type]]&lt;&gt;"ACCREDITED 17025 WITH UNCERTAINTIES",0,"")</f>
        <v>0</v>
      </c>
      <c r="X2502" s="1" t="str">
        <f>IF(Table1[[#This Row],[DUT Read]]="","N/A",Table1[[#This Row],[Std Error]]+Table1[[#This Row],[DUT Read]]+Table1[[#This Row],[DUT Ucty]])</f>
        <v>N/A</v>
      </c>
      <c r="Y2502" s="1" t="str">
        <f>IF(Table1[[#This Row],[Std Read]]="","N/A",Table1[[#This Row],[Std Read]]+Table1[[#This Row],[Std Ucty]])</f>
        <v>N/A</v>
      </c>
      <c r="Z25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2" s="1" t="str">
        <f>IF(Table1[[#This Row],[Spec Type]]="","N/A",Table1[[#This Row],[Spec Type]])</f>
        <v>±</v>
      </c>
      <c r="AC2502" s="1" t="str">
        <f>IF(Table1[[#This Row],[Spec Type2]]="N/A","N/A",IF(AND(Table1[[#This Row],[DUT Adj Read]]&gt;=Table1[[#This Row],[Low Tol]],Table1[[#This Row],[DUT Adj Read]]&lt;=Table1[[#This Row],[High Tol]]),"Pass","Fail"))</f>
        <v>Fail</v>
      </c>
      <c r="AD2502" s="1" t="str">
        <f>IF(AND(Table1[[#This Row],[Spec Type2]]="N/A",Table1[[#This Row],[DUT Adj Read]]="N/A",Table1[[#This Row],[Std Adj Read]]="N/A"),"N/A",IF(Table1[[#This Row],[DUT Adj Read]]="N/A",IF(Table1[[#This Row],[Std Adj Read]]&gt;Table1[[#This Row],[Low Tol]],"Pass","Fail"),IF(Table1[[#This Row],[DUT Adj Read]]&gt;Table1[[#This Row],[Low Tol]],"Pass","Fail")))</f>
        <v>Pass</v>
      </c>
      <c r="AE2502" s="1" t="str">
        <f>IF(AND(Table1[[#This Row],[Spec Type2]]="N/A",Table1[[#This Row],[DUT Adj Read]]="N/A",Table1[[#This Row],[Std Adj Read]]="N/A"),"N/A",IF(Table1[[#This Row],[DUT Adj Read]]="N/A",IF(Table1[[#This Row],[Std Adj Read]]&lt;Table1[[#This Row],[High Tol]],"Pass","Fail"),IF(Table1[[#This Row],[DUT Adj Read]]&lt;Table1[[#This Row],[High Tol]],"Pass","Fail")))</f>
        <v>Fail</v>
      </c>
      <c r="AF2502" s="1" t="str">
        <f>IF(AND(Table1[[#This Row],[Spec Type2]]="N/A",Table1[[#This Row],[DUT Adj Read]]="N/A",Table1[[#This Row],[Std Adj Read]]="N/A"),"N/A",IF(Table1[[#This Row],[DUT Adj Read]]="N/A",IF(Table1[[#This Row],[Std Adj Read]]&gt;=Table1[[#This Row],[Low Tol]],"Pass","Fail"),IF(Table1[[#This Row],[DUT Adj Read]]&gt;=Table1[[#This Row],[Low Tol]],"Pass","Fail")))</f>
        <v>Pass</v>
      </c>
      <c r="AG2502" s="1" t="str">
        <f>IF(AND(Table1[[#This Row],[Spec Type2]]="N/A",Table1[[#This Row],[DUT Adj Read]]="N/A",Table1[[#This Row],[Std Adj Read]]="N/A"),"N/A",IF(Table1[[#This Row],[DUT Adj Read]]="N/A",IF(Table1[[#This Row],[Std Adj Read]]&lt;=Table1[[#This Row],[High Tol]],"Pass","Fail"),IF(Table1[[#This Row],[DUT Adj Read]]&lt;=Table1[[#This Row],[High Tol]],"Pass","Fail")))</f>
        <v>Fail</v>
      </c>
      <c r="AH25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2" s="1" t="b">
        <v>0</v>
      </c>
      <c r="AN2502" s="1" t="b">
        <v>0</v>
      </c>
      <c r="AO2502" s="1" t="b">
        <v>0</v>
      </c>
    </row>
    <row r="2503" spans="1:41" x14ac:dyDescent="0.25">
      <c r="A2503" s="10"/>
      <c r="B2503" s="10"/>
      <c r="C2503" s="10"/>
      <c r="D2503" s="10"/>
      <c r="E2503" s="10"/>
      <c r="F2503" s="10"/>
      <c r="G2503" s="10"/>
      <c r="H2503" s="10"/>
      <c r="I2503" s="1" t="str">
        <f t="shared" si="114"/>
        <v/>
      </c>
      <c r="J2503" s="1" t="s">
        <v>35</v>
      </c>
      <c r="K2503" s="1" t="str">
        <f t="shared" si="115"/>
        <v/>
      </c>
      <c r="L2503" s="1" t="str">
        <f t="shared" si="116"/>
        <v/>
      </c>
      <c r="M2503" s="1">
        <f>IF(OR(Table1[[#This Row],[Std Nom]]="",Table1[[#This Row],[Std Read]]=""),0,Table1[[#This Row],[Std Nom]]-Table1[[#This Row],[Std Read]])</f>
        <v>0</v>
      </c>
      <c r="N2503" s="1">
        <f>IF(Calculations!$F$5="ACCREDITED 17025 WITH UNCERTAINTIES",$N$10,0)</f>
        <v>0</v>
      </c>
      <c r="O2503" s="1" t="str">
        <f>IFERROR(Table1[[#This Row],[Std Nom]]-(_xlfn.XLOOKUP(Table1[[#This Row],[Manufacturer]]&amp;" "&amp;Table1[[#This Row],[Model]],Table13[MFR &amp; MDL],Table13[Tolerance % CW ],"")/100*Table1[[#This Row],[Std Nom]]),"")</f>
        <v/>
      </c>
      <c r="P2503" s="1" t="str">
        <f>IFERROR(Table1[[#This Row],[Std Nom]]+(_xlfn.XLOOKUP(Table1[[#This Row],[Manufacturer]]&amp;" "&amp;Table1[[#This Row],[Model]],Table13[MFR &amp; MDL],Table13[Tolerance % CW ],"")/100*Table1[[#This Row],[Std Nom]]),"")</f>
        <v/>
      </c>
      <c r="Q2503" s="1" t="e">
        <f>Table1[[#This Row],[High Tol]]-Table1[[#This Row],[Low Tol]]</f>
        <v>#VALUE!</v>
      </c>
      <c r="R2503" s="1">
        <f>2*Table1[[#This Row],[Std Error]]</f>
        <v>0</v>
      </c>
      <c r="S2503" s="1" t="str">
        <f>IF(Table1[[#This Row],[High Tol]]="","N/A",IFERROR(ABS(Table1[[#This Row],[Tol Span]]/Table1[[#This Row],[Error Span]]),"N/A"))</f>
        <v>N/A</v>
      </c>
      <c r="T2503" s="1" t="str">
        <f>IF(OR(Table1[[#This Row],[Low Tol]]="",Table1[[#This Row],[High Tol]]=""),"Needs Analysis",IF(Table1[[#This Row],[Ratio]]&gt;=4,"Not Significant",IF(Table1[[#This Row],[Ratio]]&gt;=2,"Semi-Significant","Significant")))</f>
        <v>Needs Analysis</v>
      </c>
      <c r="W2503" s="1">
        <f>IF(Table1[[#This Row],[Cal Type]]&lt;&gt;"ACCREDITED 17025 WITH UNCERTAINTIES",0,"")</f>
        <v>0</v>
      </c>
      <c r="X2503" s="1" t="str">
        <f>IF(Table1[[#This Row],[DUT Read]]="","N/A",Table1[[#This Row],[Std Error]]+Table1[[#This Row],[DUT Read]]+Table1[[#This Row],[DUT Ucty]])</f>
        <v>N/A</v>
      </c>
      <c r="Y2503" s="1" t="str">
        <f>IF(Table1[[#This Row],[Std Read]]="","N/A",Table1[[#This Row],[Std Read]]+Table1[[#This Row],[Std Ucty]])</f>
        <v>N/A</v>
      </c>
      <c r="Z25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3" s="1" t="str">
        <f>IF(Table1[[#This Row],[Spec Type]]="","N/A",Table1[[#This Row],[Spec Type]])</f>
        <v>±</v>
      </c>
      <c r="AC2503" s="1" t="str">
        <f>IF(Table1[[#This Row],[Spec Type2]]="N/A","N/A",IF(AND(Table1[[#This Row],[DUT Adj Read]]&gt;=Table1[[#This Row],[Low Tol]],Table1[[#This Row],[DUT Adj Read]]&lt;=Table1[[#This Row],[High Tol]]),"Pass","Fail"))</f>
        <v>Fail</v>
      </c>
      <c r="AD2503" s="1" t="str">
        <f>IF(AND(Table1[[#This Row],[Spec Type2]]="N/A",Table1[[#This Row],[DUT Adj Read]]="N/A",Table1[[#This Row],[Std Adj Read]]="N/A"),"N/A",IF(Table1[[#This Row],[DUT Adj Read]]="N/A",IF(Table1[[#This Row],[Std Adj Read]]&gt;Table1[[#This Row],[Low Tol]],"Pass","Fail"),IF(Table1[[#This Row],[DUT Adj Read]]&gt;Table1[[#This Row],[Low Tol]],"Pass","Fail")))</f>
        <v>Pass</v>
      </c>
      <c r="AE2503" s="1" t="str">
        <f>IF(AND(Table1[[#This Row],[Spec Type2]]="N/A",Table1[[#This Row],[DUT Adj Read]]="N/A",Table1[[#This Row],[Std Adj Read]]="N/A"),"N/A",IF(Table1[[#This Row],[DUT Adj Read]]="N/A",IF(Table1[[#This Row],[Std Adj Read]]&lt;Table1[[#This Row],[High Tol]],"Pass","Fail"),IF(Table1[[#This Row],[DUT Adj Read]]&lt;Table1[[#This Row],[High Tol]],"Pass","Fail")))</f>
        <v>Fail</v>
      </c>
      <c r="AF2503" s="1" t="str">
        <f>IF(AND(Table1[[#This Row],[Spec Type2]]="N/A",Table1[[#This Row],[DUT Adj Read]]="N/A",Table1[[#This Row],[Std Adj Read]]="N/A"),"N/A",IF(Table1[[#This Row],[DUT Adj Read]]="N/A",IF(Table1[[#This Row],[Std Adj Read]]&gt;=Table1[[#This Row],[Low Tol]],"Pass","Fail"),IF(Table1[[#This Row],[DUT Adj Read]]&gt;=Table1[[#This Row],[Low Tol]],"Pass","Fail")))</f>
        <v>Pass</v>
      </c>
      <c r="AG2503" s="1" t="str">
        <f>IF(AND(Table1[[#This Row],[Spec Type2]]="N/A",Table1[[#This Row],[DUT Adj Read]]="N/A",Table1[[#This Row],[Std Adj Read]]="N/A"),"N/A",IF(Table1[[#This Row],[DUT Adj Read]]="N/A",IF(Table1[[#This Row],[Std Adj Read]]&lt;=Table1[[#This Row],[High Tol]],"Pass","Fail"),IF(Table1[[#This Row],[DUT Adj Read]]&lt;=Table1[[#This Row],[High Tol]],"Pass","Fail")))</f>
        <v>Fail</v>
      </c>
      <c r="AH25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3" s="1" t="b">
        <v>0</v>
      </c>
      <c r="AN2503" s="1" t="b">
        <v>0</v>
      </c>
      <c r="AO2503" s="1" t="b">
        <v>0</v>
      </c>
    </row>
    <row r="2504" spans="1:41" x14ac:dyDescent="0.25">
      <c r="A2504" s="10"/>
      <c r="B2504" s="10"/>
      <c r="C2504" s="10"/>
      <c r="D2504" s="10"/>
      <c r="E2504" s="10"/>
      <c r="F2504" s="10"/>
      <c r="G2504" s="10"/>
      <c r="H2504" s="10"/>
      <c r="I2504" s="1" t="str">
        <f t="shared" si="114"/>
        <v/>
      </c>
      <c r="J2504" s="1" t="s">
        <v>35</v>
      </c>
      <c r="K2504" s="1" t="str">
        <f t="shared" si="115"/>
        <v/>
      </c>
      <c r="L2504" s="1" t="str">
        <f t="shared" si="116"/>
        <v/>
      </c>
      <c r="M2504" s="1">
        <f>IF(OR(Table1[[#This Row],[Std Nom]]="",Table1[[#This Row],[Std Read]]=""),0,Table1[[#This Row],[Std Nom]]-Table1[[#This Row],[Std Read]])</f>
        <v>0</v>
      </c>
      <c r="N2504" s="1">
        <f>IF(Calculations!$F$5="ACCREDITED 17025 WITH UNCERTAINTIES",$N$10,0)</f>
        <v>0</v>
      </c>
      <c r="O2504" s="1" t="str">
        <f>IFERROR(Table1[[#This Row],[Std Nom]]-(_xlfn.XLOOKUP(Table1[[#This Row],[Manufacturer]]&amp;" "&amp;Table1[[#This Row],[Model]],Table13[MFR &amp; MDL],Table13[Tolerance % CW ],"")/100*Table1[[#This Row],[Std Nom]]),"")</f>
        <v/>
      </c>
      <c r="P2504" s="1" t="str">
        <f>IFERROR(Table1[[#This Row],[Std Nom]]+(_xlfn.XLOOKUP(Table1[[#This Row],[Manufacturer]]&amp;" "&amp;Table1[[#This Row],[Model]],Table13[MFR &amp; MDL],Table13[Tolerance % CW ],"")/100*Table1[[#This Row],[Std Nom]]),"")</f>
        <v/>
      </c>
      <c r="Q2504" s="1" t="e">
        <f>Table1[[#This Row],[High Tol]]-Table1[[#This Row],[Low Tol]]</f>
        <v>#VALUE!</v>
      </c>
      <c r="R2504" s="1">
        <f>2*Table1[[#This Row],[Std Error]]</f>
        <v>0</v>
      </c>
      <c r="S2504" s="1" t="str">
        <f>IF(Table1[[#This Row],[High Tol]]="","N/A",IFERROR(ABS(Table1[[#This Row],[Tol Span]]/Table1[[#This Row],[Error Span]]),"N/A"))</f>
        <v>N/A</v>
      </c>
      <c r="T2504" s="1" t="str">
        <f>IF(OR(Table1[[#This Row],[Low Tol]]="",Table1[[#This Row],[High Tol]]=""),"Needs Analysis",IF(Table1[[#This Row],[Ratio]]&gt;=4,"Not Significant",IF(Table1[[#This Row],[Ratio]]&gt;=2,"Semi-Significant","Significant")))</f>
        <v>Needs Analysis</v>
      </c>
      <c r="W2504" s="1">
        <f>IF(Table1[[#This Row],[Cal Type]]&lt;&gt;"ACCREDITED 17025 WITH UNCERTAINTIES",0,"")</f>
        <v>0</v>
      </c>
      <c r="X2504" s="1" t="str">
        <f>IF(Table1[[#This Row],[DUT Read]]="","N/A",Table1[[#This Row],[Std Error]]+Table1[[#This Row],[DUT Read]]+Table1[[#This Row],[DUT Ucty]])</f>
        <v>N/A</v>
      </c>
      <c r="Y2504" s="1" t="str">
        <f>IF(Table1[[#This Row],[Std Read]]="","N/A",Table1[[#This Row],[Std Read]]+Table1[[#This Row],[Std Ucty]])</f>
        <v>N/A</v>
      </c>
      <c r="Z25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4" s="1" t="str">
        <f>IF(Table1[[#This Row],[Spec Type]]="","N/A",Table1[[#This Row],[Spec Type]])</f>
        <v>±</v>
      </c>
      <c r="AC2504" s="1" t="str">
        <f>IF(Table1[[#This Row],[Spec Type2]]="N/A","N/A",IF(AND(Table1[[#This Row],[DUT Adj Read]]&gt;=Table1[[#This Row],[Low Tol]],Table1[[#This Row],[DUT Adj Read]]&lt;=Table1[[#This Row],[High Tol]]),"Pass","Fail"))</f>
        <v>Fail</v>
      </c>
      <c r="AD2504" s="1" t="str">
        <f>IF(AND(Table1[[#This Row],[Spec Type2]]="N/A",Table1[[#This Row],[DUT Adj Read]]="N/A",Table1[[#This Row],[Std Adj Read]]="N/A"),"N/A",IF(Table1[[#This Row],[DUT Adj Read]]="N/A",IF(Table1[[#This Row],[Std Adj Read]]&gt;Table1[[#This Row],[Low Tol]],"Pass","Fail"),IF(Table1[[#This Row],[DUT Adj Read]]&gt;Table1[[#This Row],[Low Tol]],"Pass","Fail")))</f>
        <v>Pass</v>
      </c>
      <c r="AE2504" s="1" t="str">
        <f>IF(AND(Table1[[#This Row],[Spec Type2]]="N/A",Table1[[#This Row],[DUT Adj Read]]="N/A",Table1[[#This Row],[Std Adj Read]]="N/A"),"N/A",IF(Table1[[#This Row],[DUT Adj Read]]="N/A",IF(Table1[[#This Row],[Std Adj Read]]&lt;Table1[[#This Row],[High Tol]],"Pass","Fail"),IF(Table1[[#This Row],[DUT Adj Read]]&lt;Table1[[#This Row],[High Tol]],"Pass","Fail")))</f>
        <v>Fail</v>
      </c>
      <c r="AF2504" s="1" t="str">
        <f>IF(AND(Table1[[#This Row],[Spec Type2]]="N/A",Table1[[#This Row],[DUT Adj Read]]="N/A",Table1[[#This Row],[Std Adj Read]]="N/A"),"N/A",IF(Table1[[#This Row],[DUT Adj Read]]="N/A",IF(Table1[[#This Row],[Std Adj Read]]&gt;=Table1[[#This Row],[Low Tol]],"Pass","Fail"),IF(Table1[[#This Row],[DUT Adj Read]]&gt;=Table1[[#This Row],[Low Tol]],"Pass","Fail")))</f>
        <v>Pass</v>
      </c>
      <c r="AG2504" s="1" t="str">
        <f>IF(AND(Table1[[#This Row],[Spec Type2]]="N/A",Table1[[#This Row],[DUT Adj Read]]="N/A",Table1[[#This Row],[Std Adj Read]]="N/A"),"N/A",IF(Table1[[#This Row],[DUT Adj Read]]="N/A",IF(Table1[[#This Row],[Std Adj Read]]&lt;=Table1[[#This Row],[High Tol]],"Pass","Fail"),IF(Table1[[#This Row],[DUT Adj Read]]&lt;=Table1[[#This Row],[High Tol]],"Pass","Fail")))</f>
        <v>Fail</v>
      </c>
      <c r="AH25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4" s="1" t="b">
        <v>0</v>
      </c>
      <c r="AN2504" s="1" t="b">
        <v>0</v>
      </c>
      <c r="AO2504" s="1" t="b">
        <v>0</v>
      </c>
    </row>
    <row r="2505" spans="1:41" x14ac:dyDescent="0.25">
      <c r="A2505" s="10"/>
      <c r="B2505" s="10"/>
      <c r="C2505" s="10"/>
      <c r="D2505" s="10"/>
      <c r="E2505" s="10"/>
      <c r="F2505" s="10"/>
      <c r="G2505" s="10"/>
      <c r="H2505" s="10"/>
      <c r="I2505" s="1" t="str">
        <f t="shared" si="114"/>
        <v/>
      </c>
      <c r="J2505" s="1" t="s">
        <v>35</v>
      </c>
      <c r="K2505" s="1" t="str">
        <f t="shared" si="115"/>
        <v/>
      </c>
      <c r="L2505" s="1" t="str">
        <f t="shared" si="116"/>
        <v/>
      </c>
      <c r="M2505" s="1">
        <f>IF(OR(Table1[[#This Row],[Std Nom]]="",Table1[[#This Row],[Std Read]]=""),0,Table1[[#This Row],[Std Nom]]-Table1[[#This Row],[Std Read]])</f>
        <v>0</v>
      </c>
      <c r="N2505" s="1">
        <f>IF(Calculations!$F$5="ACCREDITED 17025 WITH UNCERTAINTIES",$N$10,0)</f>
        <v>0</v>
      </c>
      <c r="O2505" s="1" t="str">
        <f>IFERROR(Table1[[#This Row],[Std Nom]]-(_xlfn.XLOOKUP(Table1[[#This Row],[Manufacturer]]&amp;" "&amp;Table1[[#This Row],[Model]],Table13[MFR &amp; MDL],Table13[Tolerance % CW ],"")/100*Table1[[#This Row],[Std Nom]]),"")</f>
        <v/>
      </c>
      <c r="P2505" s="1" t="str">
        <f>IFERROR(Table1[[#This Row],[Std Nom]]+(_xlfn.XLOOKUP(Table1[[#This Row],[Manufacturer]]&amp;" "&amp;Table1[[#This Row],[Model]],Table13[MFR &amp; MDL],Table13[Tolerance % CW ],"")/100*Table1[[#This Row],[Std Nom]]),"")</f>
        <v/>
      </c>
      <c r="Q2505" s="1" t="e">
        <f>Table1[[#This Row],[High Tol]]-Table1[[#This Row],[Low Tol]]</f>
        <v>#VALUE!</v>
      </c>
      <c r="R2505" s="1">
        <f>2*Table1[[#This Row],[Std Error]]</f>
        <v>0</v>
      </c>
      <c r="S2505" s="1" t="str">
        <f>IF(Table1[[#This Row],[High Tol]]="","N/A",IFERROR(ABS(Table1[[#This Row],[Tol Span]]/Table1[[#This Row],[Error Span]]),"N/A"))</f>
        <v>N/A</v>
      </c>
      <c r="T2505" s="1" t="str">
        <f>IF(OR(Table1[[#This Row],[Low Tol]]="",Table1[[#This Row],[High Tol]]=""),"Needs Analysis",IF(Table1[[#This Row],[Ratio]]&gt;=4,"Not Significant",IF(Table1[[#This Row],[Ratio]]&gt;=2,"Semi-Significant","Significant")))</f>
        <v>Needs Analysis</v>
      </c>
      <c r="W2505" s="1">
        <f>IF(Table1[[#This Row],[Cal Type]]&lt;&gt;"ACCREDITED 17025 WITH UNCERTAINTIES",0,"")</f>
        <v>0</v>
      </c>
      <c r="X2505" s="1" t="str">
        <f>IF(Table1[[#This Row],[DUT Read]]="","N/A",Table1[[#This Row],[Std Error]]+Table1[[#This Row],[DUT Read]]+Table1[[#This Row],[DUT Ucty]])</f>
        <v>N/A</v>
      </c>
      <c r="Y2505" s="1" t="str">
        <f>IF(Table1[[#This Row],[Std Read]]="","N/A",Table1[[#This Row],[Std Read]]+Table1[[#This Row],[Std Ucty]])</f>
        <v>N/A</v>
      </c>
      <c r="Z25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5" s="1" t="str">
        <f>IF(Table1[[#This Row],[Spec Type]]="","N/A",Table1[[#This Row],[Spec Type]])</f>
        <v>±</v>
      </c>
      <c r="AC2505" s="1" t="str">
        <f>IF(Table1[[#This Row],[Spec Type2]]="N/A","N/A",IF(AND(Table1[[#This Row],[DUT Adj Read]]&gt;=Table1[[#This Row],[Low Tol]],Table1[[#This Row],[DUT Adj Read]]&lt;=Table1[[#This Row],[High Tol]]),"Pass","Fail"))</f>
        <v>Fail</v>
      </c>
      <c r="AD2505" s="1" t="str">
        <f>IF(AND(Table1[[#This Row],[Spec Type2]]="N/A",Table1[[#This Row],[DUT Adj Read]]="N/A",Table1[[#This Row],[Std Adj Read]]="N/A"),"N/A",IF(Table1[[#This Row],[DUT Adj Read]]="N/A",IF(Table1[[#This Row],[Std Adj Read]]&gt;Table1[[#This Row],[Low Tol]],"Pass","Fail"),IF(Table1[[#This Row],[DUT Adj Read]]&gt;Table1[[#This Row],[Low Tol]],"Pass","Fail")))</f>
        <v>Pass</v>
      </c>
      <c r="AE2505" s="1" t="str">
        <f>IF(AND(Table1[[#This Row],[Spec Type2]]="N/A",Table1[[#This Row],[DUT Adj Read]]="N/A",Table1[[#This Row],[Std Adj Read]]="N/A"),"N/A",IF(Table1[[#This Row],[DUT Adj Read]]="N/A",IF(Table1[[#This Row],[Std Adj Read]]&lt;Table1[[#This Row],[High Tol]],"Pass","Fail"),IF(Table1[[#This Row],[DUT Adj Read]]&lt;Table1[[#This Row],[High Tol]],"Pass","Fail")))</f>
        <v>Fail</v>
      </c>
      <c r="AF2505" s="1" t="str">
        <f>IF(AND(Table1[[#This Row],[Spec Type2]]="N/A",Table1[[#This Row],[DUT Adj Read]]="N/A",Table1[[#This Row],[Std Adj Read]]="N/A"),"N/A",IF(Table1[[#This Row],[DUT Adj Read]]="N/A",IF(Table1[[#This Row],[Std Adj Read]]&gt;=Table1[[#This Row],[Low Tol]],"Pass","Fail"),IF(Table1[[#This Row],[DUT Adj Read]]&gt;=Table1[[#This Row],[Low Tol]],"Pass","Fail")))</f>
        <v>Pass</v>
      </c>
      <c r="AG2505" s="1" t="str">
        <f>IF(AND(Table1[[#This Row],[Spec Type2]]="N/A",Table1[[#This Row],[DUT Adj Read]]="N/A",Table1[[#This Row],[Std Adj Read]]="N/A"),"N/A",IF(Table1[[#This Row],[DUT Adj Read]]="N/A",IF(Table1[[#This Row],[Std Adj Read]]&lt;=Table1[[#This Row],[High Tol]],"Pass","Fail"),IF(Table1[[#This Row],[DUT Adj Read]]&lt;=Table1[[#This Row],[High Tol]],"Pass","Fail")))</f>
        <v>Fail</v>
      </c>
      <c r="AH25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5" s="1" t="b">
        <v>0</v>
      </c>
      <c r="AN2505" s="1" t="b">
        <v>0</v>
      </c>
      <c r="AO2505" s="1" t="b">
        <v>0</v>
      </c>
    </row>
    <row r="2506" spans="1:41" x14ac:dyDescent="0.25">
      <c r="A2506" s="10"/>
      <c r="B2506" s="10"/>
      <c r="C2506" s="10"/>
      <c r="D2506" s="10"/>
      <c r="E2506" s="10"/>
      <c r="F2506" s="10"/>
      <c r="G2506" s="10"/>
      <c r="H2506" s="10"/>
      <c r="I2506" s="1" t="str">
        <f t="shared" si="114"/>
        <v/>
      </c>
      <c r="J2506" s="1" t="s">
        <v>35</v>
      </c>
      <c r="K2506" s="1" t="str">
        <f t="shared" si="115"/>
        <v/>
      </c>
      <c r="L2506" s="1" t="str">
        <f t="shared" si="116"/>
        <v/>
      </c>
      <c r="M2506" s="1">
        <f>IF(OR(Table1[[#This Row],[Std Nom]]="",Table1[[#This Row],[Std Read]]=""),0,Table1[[#This Row],[Std Nom]]-Table1[[#This Row],[Std Read]])</f>
        <v>0</v>
      </c>
      <c r="N2506" s="1">
        <f>IF(Calculations!$F$5="ACCREDITED 17025 WITH UNCERTAINTIES",$N$10,0)</f>
        <v>0</v>
      </c>
      <c r="O2506" s="1" t="str">
        <f>IFERROR(Table1[[#This Row],[Std Nom]]-(_xlfn.XLOOKUP(Table1[[#This Row],[Manufacturer]]&amp;" "&amp;Table1[[#This Row],[Model]],Table13[MFR &amp; MDL],Table13[Tolerance % CW ],"")/100*Table1[[#This Row],[Std Nom]]),"")</f>
        <v/>
      </c>
      <c r="P2506" s="1" t="str">
        <f>IFERROR(Table1[[#This Row],[Std Nom]]+(_xlfn.XLOOKUP(Table1[[#This Row],[Manufacturer]]&amp;" "&amp;Table1[[#This Row],[Model]],Table13[MFR &amp; MDL],Table13[Tolerance % CW ],"")/100*Table1[[#This Row],[Std Nom]]),"")</f>
        <v/>
      </c>
      <c r="Q2506" s="1" t="e">
        <f>Table1[[#This Row],[High Tol]]-Table1[[#This Row],[Low Tol]]</f>
        <v>#VALUE!</v>
      </c>
      <c r="R2506" s="1">
        <f>2*Table1[[#This Row],[Std Error]]</f>
        <v>0</v>
      </c>
      <c r="S2506" s="1" t="str">
        <f>IF(Table1[[#This Row],[High Tol]]="","N/A",IFERROR(ABS(Table1[[#This Row],[Tol Span]]/Table1[[#This Row],[Error Span]]),"N/A"))</f>
        <v>N/A</v>
      </c>
      <c r="T2506" s="1" t="str">
        <f>IF(OR(Table1[[#This Row],[Low Tol]]="",Table1[[#This Row],[High Tol]]=""),"Needs Analysis",IF(Table1[[#This Row],[Ratio]]&gt;=4,"Not Significant",IF(Table1[[#This Row],[Ratio]]&gt;=2,"Semi-Significant","Significant")))</f>
        <v>Needs Analysis</v>
      </c>
      <c r="W2506" s="1">
        <f>IF(Table1[[#This Row],[Cal Type]]&lt;&gt;"ACCREDITED 17025 WITH UNCERTAINTIES",0,"")</f>
        <v>0</v>
      </c>
      <c r="X2506" s="1" t="str">
        <f>IF(Table1[[#This Row],[DUT Read]]="","N/A",Table1[[#This Row],[Std Error]]+Table1[[#This Row],[DUT Read]]+Table1[[#This Row],[DUT Ucty]])</f>
        <v>N/A</v>
      </c>
      <c r="Y2506" s="1" t="str">
        <f>IF(Table1[[#This Row],[Std Read]]="","N/A",Table1[[#This Row],[Std Read]]+Table1[[#This Row],[Std Ucty]])</f>
        <v>N/A</v>
      </c>
      <c r="Z25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6" s="1" t="str">
        <f>IF(Table1[[#This Row],[Spec Type]]="","N/A",Table1[[#This Row],[Spec Type]])</f>
        <v>±</v>
      </c>
      <c r="AC2506" s="1" t="str">
        <f>IF(Table1[[#This Row],[Spec Type2]]="N/A","N/A",IF(AND(Table1[[#This Row],[DUT Adj Read]]&gt;=Table1[[#This Row],[Low Tol]],Table1[[#This Row],[DUT Adj Read]]&lt;=Table1[[#This Row],[High Tol]]),"Pass","Fail"))</f>
        <v>Fail</v>
      </c>
      <c r="AD2506" s="1" t="str">
        <f>IF(AND(Table1[[#This Row],[Spec Type2]]="N/A",Table1[[#This Row],[DUT Adj Read]]="N/A",Table1[[#This Row],[Std Adj Read]]="N/A"),"N/A",IF(Table1[[#This Row],[DUT Adj Read]]="N/A",IF(Table1[[#This Row],[Std Adj Read]]&gt;Table1[[#This Row],[Low Tol]],"Pass","Fail"),IF(Table1[[#This Row],[DUT Adj Read]]&gt;Table1[[#This Row],[Low Tol]],"Pass","Fail")))</f>
        <v>Pass</v>
      </c>
      <c r="AE2506" s="1" t="str">
        <f>IF(AND(Table1[[#This Row],[Spec Type2]]="N/A",Table1[[#This Row],[DUT Adj Read]]="N/A",Table1[[#This Row],[Std Adj Read]]="N/A"),"N/A",IF(Table1[[#This Row],[DUT Adj Read]]="N/A",IF(Table1[[#This Row],[Std Adj Read]]&lt;Table1[[#This Row],[High Tol]],"Pass","Fail"),IF(Table1[[#This Row],[DUT Adj Read]]&lt;Table1[[#This Row],[High Tol]],"Pass","Fail")))</f>
        <v>Fail</v>
      </c>
      <c r="AF2506" s="1" t="str">
        <f>IF(AND(Table1[[#This Row],[Spec Type2]]="N/A",Table1[[#This Row],[DUT Adj Read]]="N/A",Table1[[#This Row],[Std Adj Read]]="N/A"),"N/A",IF(Table1[[#This Row],[DUT Adj Read]]="N/A",IF(Table1[[#This Row],[Std Adj Read]]&gt;=Table1[[#This Row],[Low Tol]],"Pass","Fail"),IF(Table1[[#This Row],[DUT Adj Read]]&gt;=Table1[[#This Row],[Low Tol]],"Pass","Fail")))</f>
        <v>Pass</v>
      </c>
      <c r="AG2506" s="1" t="str">
        <f>IF(AND(Table1[[#This Row],[Spec Type2]]="N/A",Table1[[#This Row],[DUT Adj Read]]="N/A",Table1[[#This Row],[Std Adj Read]]="N/A"),"N/A",IF(Table1[[#This Row],[DUT Adj Read]]="N/A",IF(Table1[[#This Row],[Std Adj Read]]&lt;=Table1[[#This Row],[High Tol]],"Pass","Fail"),IF(Table1[[#This Row],[DUT Adj Read]]&lt;=Table1[[#This Row],[High Tol]],"Pass","Fail")))</f>
        <v>Fail</v>
      </c>
      <c r="AH25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6" s="1" t="b">
        <v>0</v>
      </c>
      <c r="AN2506" s="1" t="b">
        <v>0</v>
      </c>
      <c r="AO2506" s="1" t="b">
        <v>0</v>
      </c>
    </row>
    <row r="2507" spans="1:41" x14ac:dyDescent="0.25">
      <c r="A2507" s="10"/>
      <c r="B2507" s="10"/>
      <c r="C2507" s="10"/>
      <c r="D2507" s="10"/>
      <c r="E2507" s="10"/>
      <c r="F2507" s="10"/>
      <c r="G2507" s="10"/>
      <c r="H2507" s="10"/>
      <c r="I2507" s="1" t="str">
        <f t="shared" ref="I2507:I2570" si="117">IF($I$10="","",$I$10)</f>
        <v/>
      </c>
      <c r="J2507" s="1" t="s">
        <v>35</v>
      </c>
      <c r="K2507" s="1" t="str">
        <f t="shared" ref="K2507:K2570" si="118">IF($K$10="","",$K$10)</f>
        <v/>
      </c>
      <c r="L2507" s="1" t="str">
        <f t="shared" ref="L2507:L2570" si="119">IF($L$10="","",$L$10)</f>
        <v/>
      </c>
      <c r="M2507" s="1">
        <f>IF(OR(Table1[[#This Row],[Std Nom]]="",Table1[[#This Row],[Std Read]]=""),0,Table1[[#This Row],[Std Nom]]-Table1[[#This Row],[Std Read]])</f>
        <v>0</v>
      </c>
      <c r="N2507" s="1">
        <f>IF(Calculations!$F$5="ACCREDITED 17025 WITH UNCERTAINTIES",$N$10,0)</f>
        <v>0</v>
      </c>
      <c r="O2507" s="1" t="str">
        <f>IFERROR(Table1[[#This Row],[Std Nom]]-(_xlfn.XLOOKUP(Table1[[#This Row],[Manufacturer]]&amp;" "&amp;Table1[[#This Row],[Model]],Table13[MFR &amp; MDL],Table13[Tolerance % CW ],"")/100*Table1[[#This Row],[Std Nom]]),"")</f>
        <v/>
      </c>
      <c r="P2507" s="1" t="str">
        <f>IFERROR(Table1[[#This Row],[Std Nom]]+(_xlfn.XLOOKUP(Table1[[#This Row],[Manufacturer]]&amp;" "&amp;Table1[[#This Row],[Model]],Table13[MFR &amp; MDL],Table13[Tolerance % CW ],"")/100*Table1[[#This Row],[Std Nom]]),"")</f>
        <v/>
      </c>
      <c r="Q2507" s="1" t="e">
        <f>Table1[[#This Row],[High Tol]]-Table1[[#This Row],[Low Tol]]</f>
        <v>#VALUE!</v>
      </c>
      <c r="R2507" s="1">
        <f>2*Table1[[#This Row],[Std Error]]</f>
        <v>0</v>
      </c>
      <c r="S2507" s="1" t="str">
        <f>IF(Table1[[#This Row],[High Tol]]="","N/A",IFERROR(ABS(Table1[[#This Row],[Tol Span]]/Table1[[#This Row],[Error Span]]),"N/A"))</f>
        <v>N/A</v>
      </c>
      <c r="T2507" s="1" t="str">
        <f>IF(OR(Table1[[#This Row],[Low Tol]]="",Table1[[#This Row],[High Tol]]=""),"Needs Analysis",IF(Table1[[#This Row],[Ratio]]&gt;=4,"Not Significant",IF(Table1[[#This Row],[Ratio]]&gt;=2,"Semi-Significant","Significant")))</f>
        <v>Needs Analysis</v>
      </c>
      <c r="W2507" s="1">
        <f>IF(Table1[[#This Row],[Cal Type]]&lt;&gt;"ACCREDITED 17025 WITH UNCERTAINTIES",0,"")</f>
        <v>0</v>
      </c>
      <c r="X2507" s="1" t="str">
        <f>IF(Table1[[#This Row],[DUT Read]]="","N/A",Table1[[#This Row],[Std Error]]+Table1[[#This Row],[DUT Read]]+Table1[[#This Row],[DUT Ucty]])</f>
        <v>N/A</v>
      </c>
      <c r="Y2507" s="1" t="str">
        <f>IF(Table1[[#This Row],[Std Read]]="","N/A",Table1[[#This Row],[Std Read]]+Table1[[#This Row],[Std Ucty]])</f>
        <v>N/A</v>
      </c>
      <c r="Z25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7" s="1" t="str">
        <f>IF(Table1[[#This Row],[Spec Type]]="","N/A",Table1[[#This Row],[Spec Type]])</f>
        <v>±</v>
      </c>
      <c r="AC2507" s="1" t="str">
        <f>IF(Table1[[#This Row],[Spec Type2]]="N/A","N/A",IF(AND(Table1[[#This Row],[DUT Adj Read]]&gt;=Table1[[#This Row],[Low Tol]],Table1[[#This Row],[DUT Adj Read]]&lt;=Table1[[#This Row],[High Tol]]),"Pass","Fail"))</f>
        <v>Fail</v>
      </c>
      <c r="AD2507" s="1" t="str">
        <f>IF(AND(Table1[[#This Row],[Spec Type2]]="N/A",Table1[[#This Row],[DUT Adj Read]]="N/A",Table1[[#This Row],[Std Adj Read]]="N/A"),"N/A",IF(Table1[[#This Row],[DUT Adj Read]]="N/A",IF(Table1[[#This Row],[Std Adj Read]]&gt;Table1[[#This Row],[Low Tol]],"Pass","Fail"),IF(Table1[[#This Row],[DUT Adj Read]]&gt;Table1[[#This Row],[Low Tol]],"Pass","Fail")))</f>
        <v>Pass</v>
      </c>
      <c r="AE2507" s="1" t="str">
        <f>IF(AND(Table1[[#This Row],[Spec Type2]]="N/A",Table1[[#This Row],[DUT Adj Read]]="N/A",Table1[[#This Row],[Std Adj Read]]="N/A"),"N/A",IF(Table1[[#This Row],[DUT Adj Read]]="N/A",IF(Table1[[#This Row],[Std Adj Read]]&lt;Table1[[#This Row],[High Tol]],"Pass","Fail"),IF(Table1[[#This Row],[DUT Adj Read]]&lt;Table1[[#This Row],[High Tol]],"Pass","Fail")))</f>
        <v>Fail</v>
      </c>
      <c r="AF2507" s="1" t="str">
        <f>IF(AND(Table1[[#This Row],[Spec Type2]]="N/A",Table1[[#This Row],[DUT Adj Read]]="N/A",Table1[[#This Row],[Std Adj Read]]="N/A"),"N/A",IF(Table1[[#This Row],[DUT Adj Read]]="N/A",IF(Table1[[#This Row],[Std Adj Read]]&gt;=Table1[[#This Row],[Low Tol]],"Pass","Fail"),IF(Table1[[#This Row],[DUT Adj Read]]&gt;=Table1[[#This Row],[Low Tol]],"Pass","Fail")))</f>
        <v>Pass</v>
      </c>
      <c r="AG2507" s="1" t="str">
        <f>IF(AND(Table1[[#This Row],[Spec Type2]]="N/A",Table1[[#This Row],[DUT Adj Read]]="N/A",Table1[[#This Row],[Std Adj Read]]="N/A"),"N/A",IF(Table1[[#This Row],[DUT Adj Read]]="N/A",IF(Table1[[#This Row],[Std Adj Read]]&lt;=Table1[[#This Row],[High Tol]],"Pass","Fail"),IF(Table1[[#This Row],[DUT Adj Read]]&lt;=Table1[[#This Row],[High Tol]],"Pass","Fail")))</f>
        <v>Fail</v>
      </c>
      <c r="AH25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7" s="1" t="b">
        <v>0</v>
      </c>
      <c r="AN2507" s="1" t="b">
        <v>0</v>
      </c>
      <c r="AO2507" s="1" t="b">
        <v>0</v>
      </c>
    </row>
    <row r="2508" spans="1:41" x14ac:dyDescent="0.25">
      <c r="A2508" s="10"/>
      <c r="B2508" s="10"/>
      <c r="C2508" s="10"/>
      <c r="D2508" s="10"/>
      <c r="E2508" s="10"/>
      <c r="F2508" s="10"/>
      <c r="G2508" s="10"/>
      <c r="H2508" s="10"/>
      <c r="I2508" s="1" t="str">
        <f t="shared" si="117"/>
        <v/>
      </c>
      <c r="J2508" s="1" t="s">
        <v>35</v>
      </c>
      <c r="K2508" s="1" t="str">
        <f t="shared" si="118"/>
        <v/>
      </c>
      <c r="L2508" s="1" t="str">
        <f t="shared" si="119"/>
        <v/>
      </c>
      <c r="M2508" s="1">
        <f>IF(OR(Table1[[#This Row],[Std Nom]]="",Table1[[#This Row],[Std Read]]=""),0,Table1[[#This Row],[Std Nom]]-Table1[[#This Row],[Std Read]])</f>
        <v>0</v>
      </c>
      <c r="N2508" s="1">
        <f>IF(Calculations!$F$5="ACCREDITED 17025 WITH UNCERTAINTIES",$N$10,0)</f>
        <v>0</v>
      </c>
      <c r="O2508" s="1" t="str">
        <f>IFERROR(Table1[[#This Row],[Std Nom]]-(_xlfn.XLOOKUP(Table1[[#This Row],[Manufacturer]]&amp;" "&amp;Table1[[#This Row],[Model]],Table13[MFR &amp; MDL],Table13[Tolerance % CW ],"")/100*Table1[[#This Row],[Std Nom]]),"")</f>
        <v/>
      </c>
      <c r="P2508" s="1" t="str">
        <f>IFERROR(Table1[[#This Row],[Std Nom]]+(_xlfn.XLOOKUP(Table1[[#This Row],[Manufacturer]]&amp;" "&amp;Table1[[#This Row],[Model]],Table13[MFR &amp; MDL],Table13[Tolerance % CW ],"")/100*Table1[[#This Row],[Std Nom]]),"")</f>
        <v/>
      </c>
      <c r="Q2508" s="1" t="e">
        <f>Table1[[#This Row],[High Tol]]-Table1[[#This Row],[Low Tol]]</f>
        <v>#VALUE!</v>
      </c>
      <c r="R2508" s="1">
        <f>2*Table1[[#This Row],[Std Error]]</f>
        <v>0</v>
      </c>
      <c r="S2508" s="1" t="str">
        <f>IF(Table1[[#This Row],[High Tol]]="","N/A",IFERROR(ABS(Table1[[#This Row],[Tol Span]]/Table1[[#This Row],[Error Span]]),"N/A"))</f>
        <v>N/A</v>
      </c>
      <c r="T2508" s="1" t="str">
        <f>IF(OR(Table1[[#This Row],[Low Tol]]="",Table1[[#This Row],[High Tol]]=""),"Needs Analysis",IF(Table1[[#This Row],[Ratio]]&gt;=4,"Not Significant",IF(Table1[[#This Row],[Ratio]]&gt;=2,"Semi-Significant","Significant")))</f>
        <v>Needs Analysis</v>
      </c>
      <c r="W2508" s="1">
        <f>IF(Table1[[#This Row],[Cal Type]]&lt;&gt;"ACCREDITED 17025 WITH UNCERTAINTIES",0,"")</f>
        <v>0</v>
      </c>
      <c r="X2508" s="1" t="str">
        <f>IF(Table1[[#This Row],[DUT Read]]="","N/A",Table1[[#This Row],[Std Error]]+Table1[[#This Row],[DUT Read]]+Table1[[#This Row],[DUT Ucty]])</f>
        <v>N/A</v>
      </c>
      <c r="Y2508" s="1" t="str">
        <f>IF(Table1[[#This Row],[Std Read]]="","N/A",Table1[[#This Row],[Std Read]]+Table1[[#This Row],[Std Ucty]])</f>
        <v>N/A</v>
      </c>
      <c r="Z25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8" s="1" t="str">
        <f>IF(Table1[[#This Row],[Spec Type]]="","N/A",Table1[[#This Row],[Spec Type]])</f>
        <v>±</v>
      </c>
      <c r="AC2508" s="1" t="str">
        <f>IF(Table1[[#This Row],[Spec Type2]]="N/A","N/A",IF(AND(Table1[[#This Row],[DUT Adj Read]]&gt;=Table1[[#This Row],[Low Tol]],Table1[[#This Row],[DUT Adj Read]]&lt;=Table1[[#This Row],[High Tol]]),"Pass","Fail"))</f>
        <v>Fail</v>
      </c>
      <c r="AD2508" s="1" t="str">
        <f>IF(AND(Table1[[#This Row],[Spec Type2]]="N/A",Table1[[#This Row],[DUT Adj Read]]="N/A",Table1[[#This Row],[Std Adj Read]]="N/A"),"N/A",IF(Table1[[#This Row],[DUT Adj Read]]="N/A",IF(Table1[[#This Row],[Std Adj Read]]&gt;Table1[[#This Row],[Low Tol]],"Pass","Fail"),IF(Table1[[#This Row],[DUT Adj Read]]&gt;Table1[[#This Row],[Low Tol]],"Pass","Fail")))</f>
        <v>Pass</v>
      </c>
      <c r="AE2508" s="1" t="str">
        <f>IF(AND(Table1[[#This Row],[Spec Type2]]="N/A",Table1[[#This Row],[DUT Adj Read]]="N/A",Table1[[#This Row],[Std Adj Read]]="N/A"),"N/A",IF(Table1[[#This Row],[DUT Adj Read]]="N/A",IF(Table1[[#This Row],[Std Adj Read]]&lt;Table1[[#This Row],[High Tol]],"Pass","Fail"),IF(Table1[[#This Row],[DUT Adj Read]]&lt;Table1[[#This Row],[High Tol]],"Pass","Fail")))</f>
        <v>Fail</v>
      </c>
      <c r="AF2508" s="1" t="str">
        <f>IF(AND(Table1[[#This Row],[Spec Type2]]="N/A",Table1[[#This Row],[DUT Adj Read]]="N/A",Table1[[#This Row],[Std Adj Read]]="N/A"),"N/A",IF(Table1[[#This Row],[DUT Adj Read]]="N/A",IF(Table1[[#This Row],[Std Adj Read]]&gt;=Table1[[#This Row],[Low Tol]],"Pass","Fail"),IF(Table1[[#This Row],[DUT Adj Read]]&gt;=Table1[[#This Row],[Low Tol]],"Pass","Fail")))</f>
        <v>Pass</v>
      </c>
      <c r="AG2508" s="1" t="str">
        <f>IF(AND(Table1[[#This Row],[Spec Type2]]="N/A",Table1[[#This Row],[DUT Adj Read]]="N/A",Table1[[#This Row],[Std Adj Read]]="N/A"),"N/A",IF(Table1[[#This Row],[DUT Adj Read]]="N/A",IF(Table1[[#This Row],[Std Adj Read]]&lt;=Table1[[#This Row],[High Tol]],"Pass","Fail"),IF(Table1[[#This Row],[DUT Adj Read]]&lt;=Table1[[#This Row],[High Tol]],"Pass","Fail")))</f>
        <v>Fail</v>
      </c>
      <c r="AH25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8" s="1" t="b">
        <v>0</v>
      </c>
      <c r="AN2508" s="1" t="b">
        <v>0</v>
      </c>
      <c r="AO2508" s="1" t="b">
        <v>0</v>
      </c>
    </row>
    <row r="2509" spans="1:41" x14ac:dyDescent="0.25">
      <c r="A2509" s="10"/>
      <c r="B2509" s="10"/>
      <c r="C2509" s="10"/>
      <c r="D2509" s="10"/>
      <c r="E2509" s="10"/>
      <c r="F2509" s="10"/>
      <c r="G2509" s="10"/>
      <c r="H2509" s="10"/>
      <c r="I2509" s="1" t="str">
        <f t="shared" si="117"/>
        <v/>
      </c>
      <c r="J2509" s="1" t="s">
        <v>35</v>
      </c>
      <c r="K2509" s="1" t="str">
        <f t="shared" si="118"/>
        <v/>
      </c>
      <c r="L2509" s="1" t="str">
        <f t="shared" si="119"/>
        <v/>
      </c>
      <c r="M2509" s="1">
        <f>IF(OR(Table1[[#This Row],[Std Nom]]="",Table1[[#This Row],[Std Read]]=""),0,Table1[[#This Row],[Std Nom]]-Table1[[#This Row],[Std Read]])</f>
        <v>0</v>
      </c>
      <c r="N2509" s="1">
        <f>IF(Calculations!$F$5="ACCREDITED 17025 WITH UNCERTAINTIES",$N$10,0)</f>
        <v>0</v>
      </c>
      <c r="O2509" s="1" t="str">
        <f>IFERROR(Table1[[#This Row],[Std Nom]]-(_xlfn.XLOOKUP(Table1[[#This Row],[Manufacturer]]&amp;" "&amp;Table1[[#This Row],[Model]],Table13[MFR &amp; MDL],Table13[Tolerance % CW ],"")/100*Table1[[#This Row],[Std Nom]]),"")</f>
        <v/>
      </c>
      <c r="P2509" s="1" t="str">
        <f>IFERROR(Table1[[#This Row],[Std Nom]]+(_xlfn.XLOOKUP(Table1[[#This Row],[Manufacturer]]&amp;" "&amp;Table1[[#This Row],[Model]],Table13[MFR &amp; MDL],Table13[Tolerance % CW ],"")/100*Table1[[#This Row],[Std Nom]]),"")</f>
        <v/>
      </c>
      <c r="Q2509" s="1" t="e">
        <f>Table1[[#This Row],[High Tol]]-Table1[[#This Row],[Low Tol]]</f>
        <v>#VALUE!</v>
      </c>
      <c r="R2509" s="1">
        <f>2*Table1[[#This Row],[Std Error]]</f>
        <v>0</v>
      </c>
      <c r="S2509" s="1" t="str">
        <f>IF(Table1[[#This Row],[High Tol]]="","N/A",IFERROR(ABS(Table1[[#This Row],[Tol Span]]/Table1[[#This Row],[Error Span]]),"N/A"))</f>
        <v>N/A</v>
      </c>
      <c r="T2509" s="1" t="str">
        <f>IF(OR(Table1[[#This Row],[Low Tol]]="",Table1[[#This Row],[High Tol]]=""),"Needs Analysis",IF(Table1[[#This Row],[Ratio]]&gt;=4,"Not Significant",IF(Table1[[#This Row],[Ratio]]&gt;=2,"Semi-Significant","Significant")))</f>
        <v>Needs Analysis</v>
      </c>
      <c r="W2509" s="1">
        <f>IF(Table1[[#This Row],[Cal Type]]&lt;&gt;"ACCREDITED 17025 WITH UNCERTAINTIES",0,"")</f>
        <v>0</v>
      </c>
      <c r="X2509" s="1" t="str">
        <f>IF(Table1[[#This Row],[DUT Read]]="","N/A",Table1[[#This Row],[Std Error]]+Table1[[#This Row],[DUT Read]]+Table1[[#This Row],[DUT Ucty]])</f>
        <v>N/A</v>
      </c>
      <c r="Y2509" s="1" t="str">
        <f>IF(Table1[[#This Row],[Std Read]]="","N/A",Table1[[#This Row],[Std Read]]+Table1[[#This Row],[Std Ucty]])</f>
        <v>N/A</v>
      </c>
      <c r="Z25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9" s="1" t="str">
        <f>IF(Table1[[#This Row],[Spec Type]]="","N/A",Table1[[#This Row],[Spec Type]])</f>
        <v>±</v>
      </c>
      <c r="AC2509" s="1" t="str">
        <f>IF(Table1[[#This Row],[Spec Type2]]="N/A","N/A",IF(AND(Table1[[#This Row],[DUT Adj Read]]&gt;=Table1[[#This Row],[Low Tol]],Table1[[#This Row],[DUT Adj Read]]&lt;=Table1[[#This Row],[High Tol]]),"Pass","Fail"))</f>
        <v>Fail</v>
      </c>
      <c r="AD2509" s="1" t="str">
        <f>IF(AND(Table1[[#This Row],[Spec Type2]]="N/A",Table1[[#This Row],[DUT Adj Read]]="N/A",Table1[[#This Row],[Std Adj Read]]="N/A"),"N/A",IF(Table1[[#This Row],[DUT Adj Read]]="N/A",IF(Table1[[#This Row],[Std Adj Read]]&gt;Table1[[#This Row],[Low Tol]],"Pass","Fail"),IF(Table1[[#This Row],[DUT Adj Read]]&gt;Table1[[#This Row],[Low Tol]],"Pass","Fail")))</f>
        <v>Pass</v>
      </c>
      <c r="AE2509" s="1" t="str">
        <f>IF(AND(Table1[[#This Row],[Spec Type2]]="N/A",Table1[[#This Row],[DUT Adj Read]]="N/A",Table1[[#This Row],[Std Adj Read]]="N/A"),"N/A",IF(Table1[[#This Row],[DUT Adj Read]]="N/A",IF(Table1[[#This Row],[Std Adj Read]]&lt;Table1[[#This Row],[High Tol]],"Pass","Fail"),IF(Table1[[#This Row],[DUT Adj Read]]&lt;Table1[[#This Row],[High Tol]],"Pass","Fail")))</f>
        <v>Fail</v>
      </c>
      <c r="AF2509" s="1" t="str">
        <f>IF(AND(Table1[[#This Row],[Spec Type2]]="N/A",Table1[[#This Row],[DUT Adj Read]]="N/A",Table1[[#This Row],[Std Adj Read]]="N/A"),"N/A",IF(Table1[[#This Row],[DUT Adj Read]]="N/A",IF(Table1[[#This Row],[Std Adj Read]]&gt;=Table1[[#This Row],[Low Tol]],"Pass","Fail"),IF(Table1[[#This Row],[DUT Adj Read]]&gt;=Table1[[#This Row],[Low Tol]],"Pass","Fail")))</f>
        <v>Pass</v>
      </c>
      <c r="AG2509" s="1" t="str">
        <f>IF(AND(Table1[[#This Row],[Spec Type2]]="N/A",Table1[[#This Row],[DUT Adj Read]]="N/A",Table1[[#This Row],[Std Adj Read]]="N/A"),"N/A",IF(Table1[[#This Row],[DUT Adj Read]]="N/A",IF(Table1[[#This Row],[Std Adj Read]]&lt;=Table1[[#This Row],[High Tol]],"Pass","Fail"),IF(Table1[[#This Row],[DUT Adj Read]]&lt;=Table1[[#This Row],[High Tol]],"Pass","Fail")))</f>
        <v>Fail</v>
      </c>
      <c r="AH25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9" s="1" t="b">
        <v>0</v>
      </c>
      <c r="AN2509" s="1" t="b">
        <v>0</v>
      </c>
      <c r="AO2509" s="1" t="b">
        <v>0</v>
      </c>
    </row>
    <row r="2510" spans="1:41" x14ac:dyDescent="0.25">
      <c r="A2510" s="10"/>
      <c r="B2510" s="10"/>
      <c r="C2510" s="10"/>
      <c r="D2510" s="10"/>
      <c r="E2510" s="10"/>
      <c r="F2510" s="10"/>
      <c r="G2510" s="10"/>
      <c r="H2510" s="10"/>
      <c r="I2510" s="1" t="str">
        <f t="shared" si="117"/>
        <v/>
      </c>
      <c r="J2510" s="1" t="s">
        <v>35</v>
      </c>
      <c r="K2510" s="1" t="str">
        <f t="shared" si="118"/>
        <v/>
      </c>
      <c r="L2510" s="1" t="str">
        <f t="shared" si="119"/>
        <v/>
      </c>
      <c r="M2510" s="1">
        <f>IF(OR(Table1[[#This Row],[Std Nom]]="",Table1[[#This Row],[Std Read]]=""),0,Table1[[#This Row],[Std Nom]]-Table1[[#This Row],[Std Read]])</f>
        <v>0</v>
      </c>
      <c r="N2510" s="1">
        <f>IF(Calculations!$F$5="ACCREDITED 17025 WITH UNCERTAINTIES",$N$10,0)</f>
        <v>0</v>
      </c>
      <c r="O2510" s="1" t="str">
        <f>IFERROR(Table1[[#This Row],[Std Nom]]-(_xlfn.XLOOKUP(Table1[[#This Row],[Manufacturer]]&amp;" "&amp;Table1[[#This Row],[Model]],Table13[MFR &amp; MDL],Table13[Tolerance % CW ],"")/100*Table1[[#This Row],[Std Nom]]),"")</f>
        <v/>
      </c>
      <c r="P2510" s="1" t="str">
        <f>IFERROR(Table1[[#This Row],[Std Nom]]+(_xlfn.XLOOKUP(Table1[[#This Row],[Manufacturer]]&amp;" "&amp;Table1[[#This Row],[Model]],Table13[MFR &amp; MDL],Table13[Tolerance % CW ],"")/100*Table1[[#This Row],[Std Nom]]),"")</f>
        <v/>
      </c>
      <c r="Q2510" s="1" t="e">
        <f>Table1[[#This Row],[High Tol]]-Table1[[#This Row],[Low Tol]]</f>
        <v>#VALUE!</v>
      </c>
      <c r="R2510" s="1">
        <f>2*Table1[[#This Row],[Std Error]]</f>
        <v>0</v>
      </c>
      <c r="S2510" s="1" t="str">
        <f>IF(Table1[[#This Row],[High Tol]]="","N/A",IFERROR(ABS(Table1[[#This Row],[Tol Span]]/Table1[[#This Row],[Error Span]]),"N/A"))</f>
        <v>N/A</v>
      </c>
      <c r="T2510" s="1" t="str">
        <f>IF(OR(Table1[[#This Row],[Low Tol]]="",Table1[[#This Row],[High Tol]]=""),"Needs Analysis",IF(Table1[[#This Row],[Ratio]]&gt;=4,"Not Significant",IF(Table1[[#This Row],[Ratio]]&gt;=2,"Semi-Significant","Significant")))</f>
        <v>Needs Analysis</v>
      </c>
      <c r="W2510" s="1">
        <f>IF(Table1[[#This Row],[Cal Type]]&lt;&gt;"ACCREDITED 17025 WITH UNCERTAINTIES",0,"")</f>
        <v>0</v>
      </c>
      <c r="X2510" s="1" t="str">
        <f>IF(Table1[[#This Row],[DUT Read]]="","N/A",Table1[[#This Row],[Std Error]]+Table1[[#This Row],[DUT Read]]+Table1[[#This Row],[DUT Ucty]])</f>
        <v>N/A</v>
      </c>
      <c r="Y2510" s="1" t="str">
        <f>IF(Table1[[#This Row],[Std Read]]="","N/A",Table1[[#This Row],[Std Read]]+Table1[[#This Row],[Std Ucty]])</f>
        <v>N/A</v>
      </c>
      <c r="Z25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0" s="1" t="str">
        <f>IF(Table1[[#This Row],[Spec Type]]="","N/A",Table1[[#This Row],[Spec Type]])</f>
        <v>±</v>
      </c>
      <c r="AC2510" s="1" t="str">
        <f>IF(Table1[[#This Row],[Spec Type2]]="N/A","N/A",IF(AND(Table1[[#This Row],[DUT Adj Read]]&gt;=Table1[[#This Row],[Low Tol]],Table1[[#This Row],[DUT Adj Read]]&lt;=Table1[[#This Row],[High Tol]]),"Pass","Fail"))</f>
        <v>Fail</v>
      </c>
      <c r="AD2510" s="1" t="str">
        <f>IF(AND(Table1[[#This Row],[Spec Type2]]="N/A",Table1[[#This Row],[DUT Adj Read]]="N/A",Table1[[#This Row],[Std Adj Read]]="N/A"),"N/A",IF(Table1[[#This Row],[DUT Adj Read]]="N/A",IF(Table1[[#This Row],[Std Adj Read]]&gt;Table1[[#This Row],[Low Tol]],"Pass","Fail"),IF(Table1[[#This Row],[DUT Adj Read]]&gt;Table1[[#This Row],[Low Tol]],"Pass","Fail")))</f>
        <v>Pass</v>
      </c>
      <c r="AE2510" s="1" t="str">
        <f>IF(AND(Table1[[#This Row],[Spec Type2]]="N/A",Table1[[#This Row],[DUT Adj Read]]="N/A",Table1[[#This Row],[Std Adj Read]]="N/A"),"N/A",IF(Table1[[#This Row],[DUT Adj Read]]="N/A",IF(Table1[[#This Row],[Std Adj Read]]&lt;Table1[[#This Row],[High Tol]],"Pass","Fail"),IF(Table1[[#This Row],[DUT Adj Read]]&lt;Table1[[#This Row],[High Tol]],"Pass","Fail")))</f>
        <v>Fail</v>
      </c>
      <c r="AF2510" s="1" t="str">
        <f>IF(AND(Table1[[#This Row],[Spec Type2]]="N/A",Table1[[#This Row],[DUT Adj Read]]="N/A",Table1[[#This Row],[Std Adj Read]]="N/A"),"N/A",IF(Table1[[#This Row],[DUT Adj Read]]="N/A",IF(Table1[[#This Row],[Std Adj Read]]&gt;=Table1[[#This Row],[Low Tol]],"Pass","Fail"),IF(Table1[[#This Row],[DUT Adj Read]]&gt;=Table1[[#This Row],[Low Tol]],"Pass","Fail")))</f>
        <v>Pass</v>
      </c>
      <c r="AG2510" s="1" t="str">
        <f>IF(AND(Table1[[#This Row],[Spec Type2]]="N/A",Table1[[#This Row],[DUT Adj Read]]="N/A",Table1[[#This Row],[Std Adj Read]]="N/A"),"N/A",IF(Table1[[#This Row],[DUT Adj Read]]="N/A",IF(Table1[[#This Row],[Std Adj Read]]&lt;=Table1[[#This Row],[High Tol]],"Pass","Fail"),IF(Table1[[#This Row],[DUT Adj Read]]&lt;=Table1[[#This Row],[High Tol]],"Pass","Fail")))</f>
        <v>Fail</v>
      </c>
      <c r="AH25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0" s="1" t="b">
        <v>0</v>
      </c>
      <c r="AN2510" s="1" t="b">
        <v>0</v>
      </c>
      <c r="AO2510" s="1" t="b">
        <v>0</v>
      </c>
    </row>
    <row r="2511" spans="1:41" x14ac:dyDescent="0.25">
      <c r="A2511" s="10"/>
      <c r="B2511" s="10"/>
      <c r="C2511" s="10"/>
      <c r="D2511" s="10"/>
      <c r="E2511" s="10"/>
      <c r="F2511" s="10"/>
      <c r="G2511" s="10"/>
      <c r="H2511" s="10"/>
      <c r="I2511" s="1" t="str">
        <f t="shared" si="117"/>
        <v/>
      </c>
      <c r="J2511" s="1" t="s">
        <v>35</v>
      </c>
      <c r="K2511" s="1" t="str">
        <f t="shared" si="118"/>
        <v/>
      </c>
      <c r="L2511" s="1" t="str">
        <f t="shared" si="119"/>
        <v/>
      </c>
      <c r="M2511" s="1">
        <f>IF(OR(Table1[[#This Row],[Std Nom]]="",Table1[[#This Row],[Std Read]]=""),0,Table1[[#This Row],[Std Nom]]-Table1[[#This Row],[Std Read]])</f>
        <v>0</v>
      </c>
      <c r="N2511" s="1">
        <f>IF(Calculations!$F$5="ACCREDITED 17025 WITH UNCERTAINTIES",$N$10,0)</f>
        <v>0</v>
      </c>
      <c r="O2511" s="1" t="str">
        <f>IFERROR(Table1[[#This Row],[Std Nom]]-(_xlfn.XLOOKUP(Table1[[#This Row],[Manufacturer]]&amp;" "&amp;Table1[[#This Row],[Model]],Table13[MFR &amp; MDL],Table13[Tolerance % CW ],"")/100*Table1[[#This Row],[Std Nom]]),"")</f>
        <v/>
      </c>
      <c r="P2511" s="1" t="str">
        <f>IFERROR(Table1[[#This Row],[Std Nom]]+(_xlfn.XLOOKUP(Table1[[#This Row],[Manufacturer]]&amp;" "&amp;Table1[[#This Row],[Model]],Table13[MFR &amp; MDL],Table13[Tolerance % CW ],"")/100*Table1[[#This Row],[Std Nom]]),"")</f>
        <v/>
      </c>
      <c r="Q2511" s="1" t="e">
        <f>Table1[[#This Row],[High Tol]]-Table1[[#This Row],[Low Tol]]</f>
        <v>#VALUE!</v>
      </c>
      <c r="R2511" s="1">
        <f>2*Table1[[#This Row],[Std Error]]</f>
        <v>0</v>
      </c>
      <c r="S2511" s="1" t="str">
        <f>IF(Table1[[#This Row],[High Tol]]="","N/A",IFERROR(ABS(Table1[[#This Row],[Tol Span]]/Table1[[#This Row],[Error Span]]),"N/A"))</f>
        <v>N/A</v>
      </c>
      <c r="T2511" s="1" t="str">
        <f>IF(OR(Table1[[#This Row],[Low Tol]]="",Table1[[#This Row],[High Tol]]=""),"Needs Analysis",IF(Table1[[#This Row],[Ratio]]&gt;=4,"Not Significant",IF(Table1[[#This Row],[Ratio]]&gt;=2,"Semi-Significant","Significant")))</f>
        <v>Needs Analysis</v>
      </c>
      <c r="W2511" s="1">
        <f>IF(Table1[[#This Row],[Cal Type]]&lt;&gt;"ACCREDITED 17025 WITH UNCERTAINTIES",0,"")</f>
        <v>0</v>
      </c>
      <c r="X2511" s="1" t="str">
        <f>IF(Table1[[#This Row],[DUT Read]]="","N/A",Table1[[#This Row],[Std Error]]+Table1[[#This Row],[DUT Read]]+Table1[[#This Row],[DUT Ucty]])</f>
        <v>N/A</v>
      </c>
      <c r="Y2511" s="1" t="str">
        <f>IF(Table1[[#This Row],[Std Read]]="","N/A",Table1[[#This Row],[Std Read]]+Table1[[#This Row],[Std Ucty]])</f>
        <v>N/A</v>
      </c>
      <c r="Z25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1" s="1" t="str">
        <f>IF(Table1[[#This Row],[Spec Type]]="","N/A",Table1[[#This Row],[Spec Type]])</f>
        <v>±</v>
      </c>
      <c r="AC2511" s="1" t="str">
        <f>IF(Table1[[#This Row],[Spec Type2]]="N/A","N/A",IF(AND(Table1[[#This Row],[DUT Adj Read]]&gt;=Table1[[#This Row],[Low Tol]],Table1[[#This Row],[DUT Adj Read]]&lt;=Table1[[#This Row],[High Tol]]),"Pass","Fail"))</f>
        <v>Fail</v>
      </c>
      <c r="AD2511" s="1" t="str">
        <f>IF(AND(Table1[[#This Row],[Spec Type2]]="N/A",Table1[[#This Row],[DUT Adj Read]]="N/A",Table1[[#This Row],[Std Adj Read]]="N/A"),"N/A",IF(Table1[[#This Row],[DUT Adj Read]]="N/A",IF(Table1[[#This Row],[Std Adj Read]]&gt;Table1[[#This Row],[Low Tol]],"Pass","Fail"),IF(Table1[[#This Row],[DUT Adj Read]]&gt;Table1[[#This Row],[Low Tol]],"Pass","Fail")))</f>
        <v>Pass</v>
      </c>
      <c r="AE2511" s="1" t="str">
        <f>IF(AND(Table1[[#This Row],[Spec Type2]]="N/A",Table1[[#This Row],[DUT Adj Read]]="N/A",Table1[[#This Row],[Std Adj Read]]="N/A"),"N/A",IF(Table1[[#This Row],[DUT Adj Read]]="N/A",IF(Table1[[#This Row],[Std Adj Read]]&lt;Table1[[#This Row],[High Tol]],"Pass","Fail"),IF(Table1[[#This Row],[DUT Adj Read]]&lt;Table1[[#This Row],[High Tol]],"Pass","Fail")))</f>
        <v>Fail</v>
      </c>
      <c r="AF2511" s="1" t="str">
        <f>IF(AND(Table1[[#This Row],[Spec Type2]]="N/A",Table1[[#This Row],[DUT Adj Read]]="N/A",Table1[[#This Row],[Std Adj Read]]="N/A"),"N/A",IF(Table1[[#This Row],[DUT Adj Read]]="N/A",IF(Table1[[#This Row],[Std Adj Read]]&gt;=Table1[[#This Row],[Low Tol]],"Pass","Fail"),IF(Table1[[#This Row],[DUT Adj Read]]&gt;=Table1[[#This Row],[Low Tol]],"Pass","Fail")))</f>
        <v>Pass</v>
      </c>
      <c r="AG2511" s="1" t="str">
        <f>IF(AND(Table1[[#This Row],[Spec Type2]]="N/A",Table1[[#This Row],[DUT Adj Read]]="N/A",Table1[[#This Row],[Std Adj Read]]="N/A"),"N/A",IF(Table1[[#This Row],[DUT Adj Read]]="N/A",IF(Table1[[#This Row],[Std Adj Read]]&lt;=Table1[[#This Row],[High Tol]],"Pass","Fail"),IF(Table1[[#This Row],[DUT Adj Read]]&lt;=Table1[[#This Row],[High Tol]],"Pass","Fail")))</f>
        <v>Fail</v>
      </c>
      <c r="AH25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1" s="1" t="b">
        <v>0</v>
      </c>
      <c r="AN2511" s="1" t="b">
        <v>0</v>
      </c>
      <c r="AO2511" s="1" t="b">
        <v>0</v>
      </c>
    </row>
    <row r="2512" spans="1:41" x14ac:dyDescent="0.25">
      <c r="A2512" s="10"/>
      <c r="B2512" s="10"/>
      <c r="C2512" s="10"/>
      <c r="D2512" s="10"/>
      <c r="E2512" s="10"/>
      <c r="F2512" s="10"/>
      <c r="G2512" s="10"/>
      <c r="H2512" s="10"/>
      <c r="I2512" s="1" t="str">
        <f t="shared" si="117"/>
        <v/>
      </c>
      <c r="J2512" s="1" t="s">
        <v>35</v>
      </c>
      <c r="K2512" s="1" t="str">
        <f t="shared" si="118"/>
        <v/>
      </c>
      <c r="L2512" s="1" t="str">
        <f t="shared" si="119"/>
        <v/>
      </c>
      <c r="M2512" s="1">
        <f>IF(OR(Table1[[#This Row],[Std Nom]]="",Table1[[#This Row],[Std Read]]=""),0,Table1[[#This Row],[Std Nom]]-Table1[[#This Row],[Std Read]])</f>
        <v>0</v>
      </c>
      <c r="N2512" s="1">
        <f>IF(Calculations!$F$5="ACCREDITED 17025 WITH UNCERTAINTIES",$N$10,0)</f>
        <v>0</v>
      </c>
      <c r="O2512" s="1" t="str">
        <f>IFERROR(Table1[[#This Row],[Std Nom]]-(_xlfn.XLOOKUP(Table1[[#This Row],[Manufacturer]]&amp;" "&amp;Table1[[#This Row],[Model]],Table13[MFR &amp; MDL],Table13[Tolerance % CW ],"")/100*Table1[[#This Row],[Std Nom]]),"")</f>
        <v/>
      </c>
      <c r="P2512" s="1" t="str">
        <f>IFERROR(Table1[[#This Row],[Std Nom]]+(_xlfn.XLOOKUP(Table1[[#This Row],[Manufacturer]]&amp;" "&amp;Table1[[#This Row],[Model]],Table13[MFR &amp; MDL],Table13[Tolerance % CW ],"")/100*Table1[[#This Row],[Std Nom]]),"")</f>
        <v/>
      </c>
      <c r="Q2512" s="1" t="e">
        <f>Table1[[#This Row],[High Tol]]-Table1[[#This Row],[Low Tol]]</f>
        <v>#VALUE!</v>
      </c>
      <c r="R2512" s="1">
        <f>2*Table1[[#This Row],[Std Error]]</f>
        <v>0</v>
      </c>
      <c r="S2512" s="1" t="str">
        <f>IF(Table1[[#This Row],[High Tol]]="","N/A",IFERROR(ABS(Table1[[#This Row],[Tol Span]]/Table1[[#This Row],[Error Span]]),"N/A"))</f>
        <v>N/A</v>
      </c>
      <c r="T2512" s="1" t="str">
        <f>IF(OR(Table1[[#This Row],[Low Tol]]="",Table1[[#This Row],[High Tol]]=""),"Needs Analysis",IF(Table1[[#This Row],[Ratio]]&gt;=4,"Not Significant",IF(Table1[[#This Row],[Ratio]]&gt;=2,"Semi-Significant","Significant")))</f>
        <v>Needs Analysis</v>
      </c>
      <c r="W2512" s="1">
        <f>IF(Table1[[#This Row],[Cal Type]]&lt;&gt;"ACCREDITED 17025 WITH UNCERTAINTIES",0,"")</f>
        <v>0</v>
      </c>
      <c r="X2512" s="1" t="str">
        <f>IF(Table1[[#This Row],[DUT Read]]="","N/A",Table1[[#This Row],[Std Error]]+Table1[[#This Row],[DUT Read]]+Table1[[#This Row],[DUT Ucty]])</f>
        <v>N/A</v>
      </c>
      <c r="Y2512" s="1" t="str">
        <f>IF(Table1[[#This Row],[Std Read]]="","N/A",Table1[[#This Row],[Std Read]]+Table1[[#This Row],[Std Ucty]])</f>
        <v>N/A</v>
      </c>
      <c r="Z25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2" s="1" t="str">
        <f>IF(Table1[[#This Row],[Spec Type]]="","N/A",Table1[[#This Row],[Spec Type]])</f>
        <v>±</v>
      </c>
      <c r="AC2512" s="1" t="str">
        <f>IF(Table1[[#This Row],[Spec Type2]]="N/A","N/A",IF(AND(Table1[[#This Row],[DUT Adj Read]]&gt;=Table1[[#This Row],[Low Tol]],Table1[[#This Row],[DUT Adj Read]]&lt;=Table1[[#This Row],[High Tol]]),"Pass","Fail"))</f>
        <v>Fail</v>
      </c>
      <c r="AD2512" s="1" t="str">
        <f>IF(AND(Table1[[#This Row],[Spec Type2]]="N/A",Table1[[#This Row],[DUT Adj Read]]="N/A",Table1[[#This Row],[Std Adj Read]]="N/A"),"N/A",IF(Table1[[#This Row],[DUT Adj Read]]="N/A",IF(Table1[[#This Row],[Std Adj Read]]&gt;Table1[[#This Row],[Low Tol]],"Pass","Fail"),IF(Table1[[#This Row],[DUT Adj Read]]&gt;Table1[[#This Row],[Low Tol]],"Pass","Fail")))</f>
        <v>Pass</v>
      </c>
      <c r="AE2512" s="1" t="str">
        <f>IF(AND(Table1[[#This Row],[Spec Type2]]="N/A",Table1[[#This Row],[DUT Adj Read]]="N/A",Table1[[#This Row],[Std Adj Read]]="N/A"),"N/A",IF(Table1[[#This Row],[DUT Adj Read]]="N/A",IF(Table1[[#This Row],[Std Adj Read]]&lt;Table1[[#This Row],[High Tol]],"Pass","Fail"),IF(Table1[[#This Row],[DUT Adj Read]]&lt;Table1[[#This Row],[High Tol]],"Pass","Fail")))</f>
        <v>Fail</v>
      </c>
      <c r="AF2512" s="1" t="str">
        <f>IF(AND(Table1[[#This Row],[Spec Type2]]="N/A",Table1[[#This Row],[DUT Adj Read]]="N/A",Table1[[#This Row],[Std Adj Read]]="N/A"),"N/A",IF(Table1[[#This Row],[DUT Adj Read]]="N/A",IF(Table1[[#This Row],[Std Adj Read]]&gt;=Table1[[#This Row],[Low Tol]],"Pass","Fail"),IF(Table1[[#This Row],[DUT Adj Read]]&gt;=Table1[[#This Row],[Low Tol]],"Pass","Fail")))</f>
        <v>Pass</v>
      </c>
      <c r="AG2512" s="1" t="str">
        <f>IF(AND(Table1[[#This Row],[Spec Type2]]="N/A",Table1[[#This Row],[DUT Adj Read]]="N/A",Table1[[#This Row],[Std Adj Read]]="N/A"),"N/A",IF(Table1[[#This Row],[DUT Adj Read]]="N/A",IF(Table1[[#This Row],[Std Adj Read]]&lt;=Table1[[#This Row],[High Tol]],"Pass","Fail"),IF(Table1[[#This Row],[DUT Adj Read]]&lt;=Table1[[#This Row],[High Tol]],"Pass","Fail")))</f>
        <v>Fail</v>
      </c>
      <c r="AH25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2" s="1" t="b">
        <v>0</v>
      </c>
      <c r="AN2512" s="1" t="b">
        <v>0</v>
      </c>
      <c r="AO2512" s="1" t="b">
        <v>0</v>
      </c>
    </row>
    <row r="2513" spans="1:41" x14ac:dyDescent="0.25">
      <c r="A2513" s="10"/>
      <c r="B2513" s="10"/>
      <c r="C2513" s="10"/>
      <c r="D2513" s="10"/>
      <c r="E2513" s="10"/>
      <c r="F2513" s="10"/>
      <c r="G2513" s="10"/>
      <c r="H2513" s="10"/>
      <c r="I2513" s="1" t="str">
        <f t="shared" si="117"/>
        <v/>
      </c>
      <c r="J2513" s="1" t="s">
        <v>35</v>
      </c>
      <c r="K2513" s="1" t="str">
        <f t="shared" si="118"/>
        <v/>
      </c>
      <c r="L2513" s="1" t="str">
        <f t="shared" si="119"/>
        <v/>
      </c>
      <c r="M2513" s="1">
        <f>IF(OR(Table1[[#This Row],[Std Nom]]="",Table1[[#This Row],[Std Read]]=""),0,Table1[[#This Row],[Std Nom]]-Table1[[#This Row],[Std Read]])</f>
        <v>0</v>
      </c>
      <c r="N2513" s="1">
        <f>IF(Calculations!$F$5="ACCREDITED 17025 WITH UNCERTAINTIES",$N$10,0)</f>
        <v>0</v>
      </c>
      <c r="O2513" s="1" t="str">
        <f>IFERROR(Table1[[#This Row],[Std Nom]]-(_xlfn.XLOOKUP(Table1[[#This Row],[Manufacturer]]&amp;" "&amp;Table1[[#This Row],[Model]],Table13[MFR &amp; MDL],Table13[Tolerance % CW ],"")/100*Table1[[#This Row],[Std Nom]]),"")</f>
        <v/>
      </c>
      <c r="P2513" s="1" t="str">
        <f>IFERROR(Table1[[#This Row],[Std Nom]]+(_xlfn.XLOOKUP(Table1[[#This Row],[Manufacturer]]&amp;" "&amp;Table1[[#This Row],[Model]],Table13[MFR &amp; MDL],Table13[Tolerance % CW ],"")/100*Table1[[#This Row],[Std Nom]]),"")</f>
        <v/>
      </c>
      <c r="Q2513" s="1" t="e">
        <f>Table1[[#This Row],[High Tol]]-Table1[[#This Row],[Low Tol]]</f>
        <v>#VALUE!</v>
      </c>
      <c r="R2513" s="1">
        <f>2*Table1[[#This Row],[Std Error]]</f>
        <v>0</v>
      </c>
      <c r="S2513" s="1" t="str">
        <f>IF(Table1[[#This Row],[High Tol]]="","N/A",IFERROR(ABS(Table1[[#This Row],[Tol Span]]/Table1[[#This Row],[Error Span]]),"N/A"))</f>
        <v>N/A</v>
      </c>
      <c r="T2513" s="1" t="str">
        <f>IF(OR(Table1[[#This Row],[Low Tol]]="",Table1[[#This Row],[High Tol]]=""),"Needs Analysis",IF(Table1[[#This Row],[Ratio]]&gt;=4,"Not Significant",IF(Table1[[#This Row],[Ratio]]&gt;=2,"Semi-Significant","Significant")))</f>
        <v>Needs Analysis</v>
      </c>
      <c r="W2513" s="1">
        <f>IF(Table1[[#This Row],[Cal Type]]&lt;&gt;"ACCREDITED 17025 WITH UNCERTAINTIES",0,"")</f>
        <v>0</v>
      </c>
      <c r="X2513" s="1" t="str">
        <f>IF(Table1[[#This Row],[DUT Read]]="","N/A",Table1[[#This Row],[Std Error]]+Table1[[#This Row],[DUT Read]]+Table1[[#This Row],[DUT Ucty]])</f>
        <v>N/A</v>
      </c>
      <c r="Y2513" s="1" t="str">
        <f>IF(Table1[[#This Row],[Std Read]]="","N/A",Table1[[#This Row],[Std Read]]+Table1[[#This Row],[Std Ucty]])</f>
        <v>N/A</v>
      </c>
      <c r="Z25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3" s="1" t="str">
        <f>IF(Table1[[#This Row],[Spec Type]]="","N/A",Table1[[#This Row],[Spec Type]])</f>
        <v>±</v>
      </c>
      <c r="AC2513" s="1" t="str">
        <f>IF(Table1[[#This Row],[Spec Type2]]="N/A","N/A",IF(AND(Table1[[#This Row],[DUT Adj Read]]&gt;=Table1[[#This Row],[Low Tol]],Table1[[#This Row],[DUT Adj Read]]&lt;=Table1[[#This Row],[High Tol]]),"Pass","Fail"))</f>
        <v>Fail</v>
      </c>
      <c r="AD2513" s="1" t="str">
        <f>IF(AND(Table1[[#This Row],[Spec Type2]]="N/A",Table1[[#This Row],[DUT Adj Read]]="N/A",Table1[[#This Row],[Std Adj Read]]="N/A"),"N/A",IF(Table1[[#This Row],[DUT Adj Read]]="N/A",IF(Table1[[#This Row],[Std Adj Read]]&gt;Table1[[#This Row],[Low Tol]],"Pass","Fail"),IF(Table1[[#This Row],[DUT Adj Read]]&gt;Table1[[#This Row],[Low Tol]],"Pass","Fail")))</f>
        <v>Pass</v>
      </c>
      <c r="AE2513" s="1" t="str">
        <f>IF(AND(Table1[[#This Row],[Spec Type2]]="N/A",Table1[[#This Row],[DUT Adj Read]]="N/A",Table1[[#This Row],[Std Adj Read]]="N/A"),"N/A",IF(Table1[[#This Row],[DUT Adj Read]]="N/A",IF(Table1[[#This Row],[Std Adj Read]]&lt;Table1[[#This Row],[High Tol]],"Pass","Fail"),IF(Table1[[#This Row],[DUT Adj Read]]&lt;Table1[[#This Row],[High Tol]],"Pass","Fail")))</f>
        <v>Fail</v>
      </c>
      <c r="AF2513" s="1" t="str">
        <f>IF(AND(Table1[[#This Row],[Spec Type2]]="N/A",Table1[[#This Row],[DUT Adj Read]]="N/A",Table1[[#This Row],[Std Adj Read]]="N/A"),"N/A",IF(Table1[[#This Row],[DUT Adj Read]]="N/A",IF(Table1[[#This Row],[Std Adj Read]]&gt;=Table1[[#This Row],[Low Tol]],"Pass","Fail"),IF(Table1[[#This Row],[DUT Adj Read]]&gt;=Table1[[#This Row],[Low Tol]],"Pass","Fail")))</f>
        <v>Pass</v>
      </c>
      <c r="AG2513" s="1" t="str">
        <f>IF(AND(Table1[[#This Row],[Spec Type2]]="N/A",Table1[[#This Row],[DUT Adj Read]]="N/A",Table1[[#This Row],[Std Adj Read]]="N/A"),"N/A",IF(Table1[[#This Row],[DUT Adj Read]]="N/A",IF(Table1[[#This Row],[Std Adj Read]]&lt;=Table1[[#This Row],[High Tol]],"Pass","Fail"),IF(Table1[[#This Row],[DUT Adj Read]]&lt;=Table1[[#This Row],[High Tol]],"Pass","Fail")))</f>
        <v>Fail</v>
      </c>
      <c r="AH25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3" s="1" t="b">
        <v>0</v>
      </c>
      <c r="AN2513" s="1" t="b">
        <v>0</v>
      </c>
      <c r="AO2513" s="1" t="b">
        <v>0</v>
      </c>
    </row>
    <row r="2514" spans="1:41" x14ac:dyDescent="0.25">
      <c r="A2514" s="10"/>
      <c r="B2514" s="10"/>
      <c r="C2514" s="10"/>
      <c r="D2514" s="10"/>
      <c r="E2514" s="10"/>
      <c r="F2514" s="10"/>
      <c r="G2514" s="10"/>
      <c r="H2514" s="10"/>
      <c r="I2514" s="1" t="str">
        <f t="shared" si="117"/>
        <v/>
      </c>
      <c r="J2514" s="1" t="s">
        <v>35</v>
      </c>
      <c r="K2514" s="1" t="str">
        <f t="shared" si="118"/>
        <v/>
      </c>
      <c r="L2514" s="1" t="str">
        <f t="shared" si="119"/>
        <v/>
      </c>
      <c r="M2514" s="1">
        <f>IF(OR(Table1[[#This Row],[Std Nom]]="",Table1[[#This Row],[Std Read]]=""),0,Table1[[#This Row],[Std Nom]]-Table1[[#This Row],[Std Read]])</f>
        <v>0</v>
      </c>
      <c r="N2514" s="1">
        <f>IF(Calculations!$F$5="ACCREDITED 17025 WITH UNCERTAINTIES",$N$10,0)</f>
        <v>0</v>
      </c>
      <c r="O2514" s="1" t="str">
        <f>IFERROR(Table1[[#This Row],[Std Nom]]-(_xlfn.XLOOKUP(Table1[[#This Row],[Manufacturer]]&amp;" "&amp;Table1[[#This Row],[Model]],Table13[MFR &amp; MDL],Table13[Tolerance % CW ],"")/100*Table1[[#This Row],[Std Nom]]),"")</f>
        <v/>
      </c>
      <c r="P2514" s="1" t="str">
        <f>IFERROR(Table1[[#This Row],[Std Nom]]+(_xlfn.XLOOKUP(Table1[[#This Row],[Manufacturer]]&amp;" "&amp;Table1[[#This Row],[Model]],Table13[MFR &amp; MDL],Table13[Tolerance % CW ],"")/100*Table1[[#This Row],[Std Nom]]),"")</f>
        <v/>
      </c>
      <c r="Q2514" s="1" t="e">
        <f>Table1[[#This Row],[High Tol]]-Table1[[#This Row],[Low Tol]]</f>
        <v>#VALUE!</v>
      </c>
      <c r="R2514" s="1">
        <f>2*Table1[[#This Row],[Std Error]]</f>
        <v>0</v>
      </c>
      <c r="S2514" s="1" t="str">
        <f>IF(Table1[[#This Row],[High Tol]]="","N/A",IFERROR(ABS(Table1[[#This Row],[Tol Span]]/Table1[[#This Row],[Error Span]]),"N/A"))</f>
        <v>N/A</v>
      </c>
      <c r="T2514" s="1" t="str">
        <f>IF(OR(Table1[[#This Row],[Low Tol]]="",Table1[[#This Row],[High Tol]]=""),"Needs Analysis",IF(Table1[[#This Row],[Ratio]]&gt;=4,"Not Significant",IF(Table1[[#This Row],[Ratio]]&gt;=2,"Semi-Significant","Significant")))</f>
        <v>Needs Analysis</v>
      </c>
      <c r="W2514" s="1">
        <f>IF(Table1[[#This Row],[Cal Type]]&lt;&gt;"ACCREDITED 17025 WITH UNCERTAINTIES",0,"")</f>
        <v>0</v>
      </c>
      <c r="X2514" s="1" t="str">
        <f>IF(Table1[[#This Row],[DUT Read]]="","N/A",Table1[[#This Row],[Std Error]]+Table1[[#This Row],[DUT Read]]+Table1[[#This Row],[DUT Ucty]])</f>
        <v>N/A</v>
      </c>
      <c r="Y2514" s="1" t="str">
        <f>IF(Table1[[#This Row],[Std Read]]="","N/A",Table1[[#This Row],[Std Read]]+Table1[[#This Row],[Std Ucty]])</f>
        <v>N/A</v>
      </c>
      <c r="Z25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4" s="1" t="str">
        <f>IF(Table1[[#This Row],[Spec Type]]="","N/A",Table1[[#This Row],[Spec Type]])</f>
        <v>±</v>
      </c>
      <c r="AC2514" s="1" t="str">
        <f>IF(Table1[[#This Row],[Spec Type2]]="N/A","N/A",IF(AND(Table1[[#This Row],[DUT Adj Read]]&gt;=Table1[[#This Row],[Low Tol]],Table1[[#This Row],[DUT Adj Read]]&lt;=Table1[[#This Row],[High Tol]]),"Pass","Fail"))</f>
        <v>Fail</v>
      </c>
      <c r="AD2514" s="1" t="str">
        <f>IF(AND(Table1[[#This Row],[Spec Type2]]="N/A",Table1[[#This Row],[DUT Adj Read]]="N/A",Table1[[#This Row],[Std Adj Read]]="N/A"),"N/A",IF(Table1[[#This Row],[DUT Adj Read]]="N/A",IF(Table1[[#This Row],[Std Adj Read]]&gt;Table1[[#This Row],[Low Tol]],"Pass","Fail"),IF(Table1[[#This Row],[DUT Adj Read]]&gt;Table1[[#This Row],[Low Tol]],"Pass","Fail")))</f>
        <v>Pass</v>
      </c>
      <c r="AE2514" s="1" t="str">
        <f>IF(AND(Table1[[#This Row],[Spec Type2]]="N/A",Table1[[#This Row],[DUT Adj Read]]="N/A",Table1[[#This Row],[Std Adj Read]]="N/A"),"N/A",IF(Table1[[#This Row],[DUT Adj Read]]="N/A",IF(Table1[[#This Row],[Std Adj Read]]&lt;Table1[[#This Row],[High Tol]],"Pass","Fail"),IF(Table1[[#This Row],[DUT Adj Read]]&lt;Table1[[#This Row],[High Tol]],"Pass","Fail")))</f>
        <v>Fail</v>
      </c>
      <c r="AF2514" s="1" t="str">
        <f>IF(AND(Table1[[#This Row],[Spec Type2]]="N/A",Table1[[#This Row],[DUT Adj Read]]="N/A",Table1[[#This Row],[Std Adj Read]]="N/A"),"N/A",IF(Table1[[#This Row],[DUT Adj Read]]="N/A",IF(Table1[[#This Row],[Std Adj Read]]&gt;=Table1[[#This Row],[Low Tol]],"Pass","Fail"),IF(Table1[[#This Row],[DUT Adj Read]]&gt;=Table1[[#This Row],[Low Tol]],"Pass","Fail")))</f>
        <v>Pass</v>
      </c>
      <c r="AG2514" s="1" t="str">
        <f>IF(AND(Table1[[#This Row],[Spec Type2]]="N/A",Table1[[#This Row],[DUT Adj Read]]="N/A",Table1[[#This Row],[Std Adj Read]]="N/A"),"N/A",IF(Table1[[#This Row],[DUT Adj Read]]="N/A",IF(Table1[[#This Row],[Std Adj Read]]&lt;=Table1[[#This Row],[High Tol]],"Pass","Fail"),IF(Table1[[#This Row],[DUT Adj Read]]&lt;=Table1[[#This Row],[High Tol]],"Pass","Fail")))</f>
        <v>Fail</v>
      </c>
      <c r="AH25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4" s="1" t="b">
        <v>0</v>
      </c>
      <c r="AN2514" s="1" t="b">
        <v>0</v>
      </c>
      <c r="AO2514" s="1" t="b">
        <v>0</v>
      </c>
    </row>
    <row r="2515" spans="1:41" x14ac:dyDescent="0.25">
      <c r="A2515" s="10"/>
      <c r="B2515" s="10"/>
      <c r="C2515" s="10"/>
      <c r="D2515" s="10"/>
      <c r="E2515" s="10"/>
      <c r="F2515" s="10"/>
      <c r="G2515" s="10"/>
      <c r="H2515" s="10"/>
      <c r="I2515" s="1" t="str">
        <f t="shared" si="117"/>
        <v/>
      </c>
      <c r="J2515" s="1" t="s">
        <v>35</v>
      </c>
      <c r="K2515" s="1" t="str">
        <f t="shared" si="118"/>
        <v/>
      </c>
      <c r="L2515" s="1" t="str">
        <f t="shared" si="119"/>
        <v/>
      </c>
      <c r="M2515" s="1">
        <f>IF(OR(Table1[[#This Row],[Std Nom]]="",Table1[[#This Row],[Std Read]]=""),0,Table1[[#This Row],[Std Nom]]-Table1[[#This Row],[Std Read]])</f>
        <v>0</v>
      </c>
      <c r="N2515" s="1">
        <f>IF(Calculations!$F$5="ACCREDITED 17025 WITH UNCERTAINTIES",$N$10,0)</f>
        <v>0</v>
      </c>
      <c r="O2515" s="1" t="str">
        <f>IFERROR(Table1[[#This Row],[Std Nom]]-(_xlfn.XLOOKUP(Table1[[#This Row],[Manufacturer]]&amp;" "&amp;Table1[[#This Row],[Model]],Table13[MFR &amp; MDL],Table13[Tolerance % CW ],"")/100*Table1[[#This Row],[Std Nom]]),"")</f>
        <v/>
      </c>
      <c r="P2515" s="1" t="str">
        <f>IFERROR(Table1[[#This Row],[Std Nom]]+(_xlfn.XLOOKUP(Table1[[#This Row],[Manufacturer]]&amp;" "&amp;Table1[[#This Row],[Model]],Table13[MFR &amp; MDL],Table13[Tolerance % CW ],"")/100*Table1[[#This Row],[Std Nom]]),"")</f>
        <v/>
      </c>
      <c r="Q2515" s="1" t="e">
        <f>Table1[[#This Row],[High Tol]]-Table1[[#This Row],[Low Tol]]</f>
        <v>#VALUE!</v>
      </c>
      <c r="R2515" s="1">
        <f>2*Table1[[#This Row],[Std Error]]</f>
        <v>0</v>
      </c>
      <c r="S2515" s="1" t="str">
        <f>IF(Table1[[#This Row],[High Tol]]="","N/A",IFERROR(ABS(Table1[[#This Row],[Tol Span]]/Table1[[#This Row],[Error Span]]),"N/A"))</f>
        <v>N/A</v>
      </c>
      <c r="T2515" s="1" t="str">
        <f>IF(OR(Table1[[#This Row],[Low Tol]]="",Table1[[#This Row],[High Tol]]=""),"Needs Analysis",IF(Table1[[#This Row],[Ratio]]&gt;=4,"Not Significant",IF(Table1[[#This Row],[Ratio]]&gt;=2,"Semi-Significant","Significant")))</f>
        <v>Needs Analysis</v>
      </c>
      <c r="W2515" s="1">
        <f>IF(Table1[[#This Row],[Cal Type]]&lt;&gt;"ACCREDITED 17025 WITH UNCERTAINTIES",0,"")</f>
        <v>0</v>
      </c>
      <c r="X2515" s="1" t="str">
        <f>IF(Table1[[#This Row],[DUT Read]]="","N/A",Table1[[#This Row],[Std Error]]+Table1[[#This Row],[DUT Read]]+Table1[[#This Row],[DUT Ucty]])</f>
        <v>N/A</v>
      </c>
      <c r="Y2515" s="1" t="str">
        <f>IF(Table1[[#This Row],[Std Read]]="","N/A",Table1[[#This Row],[Std Read]]+Table1[[#This Row],[Std Ucty]])</f>
        <v>N/A</v>
      </c>
      <c r="Z25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5" s="1" t="str">
        <f>IF(Table1[[#This Row],[Spec Type]]="","N/A",Table1[[#This Row],[Spec Type]])</f>
        <v>±</v>
      </c>
      <c r="AC2515" s="1" t="str">
        <f>IF(Table1[[#This Row],[Spec Type2]]="N/A","N/A",IF(AND(Table1[[#This Row],[DUT Adj Read]]&gt;=Table1[[#This Row],[Low Tol]],Table1[[#This Row],[DUT Adj Read]]&lt;=Table1[[#This Row],[High Tol]]),"Pass","Fail"))</f>
        <v>Fail</v>
      </c>
      <c r="AD2515" s="1" t="str">
        <f>IF(AND(Table1[[#This Row],[Spec Type2]]="N/A",Table1[[#This Row],[DUT Adj Read]]="N/A",Table1[[#This Row],[Std Adj Read]]="N/A"),"N/A",IF(Table1[[#This Row],[DUT Adj Read]]="N/A",IF(Table1[[#This Row],[Std Adj Read]]&gt;Table1[[#This Row],[Low Tol]],"Pass","Fail"),IF(Table1[[#This Row],[DUT Adj Read]]&gt;Table1[[#This Row],[Low Tol]],"Pass","Fail")))</f>
        <v>Pass</v>
      </c>
      <c r="AE2515" s="1" t="str">
        <f>IF(AND(Table1[[#This Row],[Spec Type2]]="N/A",Table1[[#This Row],[DUT Adj Read]]="N/A",Table1[[#This Row],[Std Adj Read]]="N/A"),"N/A",IF(Table1[[#This Row],[DUT Adj Read]]="N/A",IF(Table1[[#This Row],[Std Adj Read]]&lt;Table1[[#This Row],[High Tol]],"Pass","Fail"),IF(Table1[[#This Row],[DUT Adj Read]]&lt;Table1[[#This Row],[High Tol]],"Pass","Fail")))</f>
        <v>Fail</v>
      </c>
      <c r="AF2515" s="1" t="str">
        <f>IF(AND(Table1[[#This Row],[Spec Type2]]="N/A",Table1[[#This Row],[DUT Adj Read]]="N/A",Table1[[#This Row],[Std Adj Read]]="N/A"),"N/A",IF(Table1[[#This Row],[DUT Adj Read]]="N/A",IF(Table1[[#This Row],[Std Adj Read]]&gt;=Table1[[#This Row],[Low Tol]],"Pass","Fail"),IF(Table1[[#This Row],[DUT Adj Read]]&gt;=Table1[[#This Row],[Low Tol]],"Pass","Fail")))</f>
        <v>Pass</v>
      </c>
      <c r="AG2515" s="1" t="str">
        <f>IF(AND(Table1[[#This Row],[Spec Type2]]="N/A",Table1[[#This Row],[DUT Adj Read]]="N/A",Table1[[#This Row],[Std Adj Read]]="N/A"),"N/A",IF(Table1[[#This Row],[DUT Adj Read]]="N/A",IF(Table1[[#This Row],[Std Adj Read]]&lt;=Table1[[#This Row],[High Tol]],"Pass","Fail"),IF(Table1[[#This Row],[DUT Adj Read]]&lt;=Table1[[#This Row],[High Tol]],"Pass","Fail")))</f>
        <v>Fail</v>
      </c>
      <c r="AH25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5" s="1" t="b">
        <v>0</v>
      </c>
      <c r="AN2515" s="1" t="b">
        <v>0</v>
      </c>
      <c r="AO2515" s="1" t="b">
        <v>0</v>
      </c>
    </row>
    <row r="2516" spans="1:41" x14ac:dyDescent="0.25">
      <c r="A2516" s="10"/>
      <c r="B2516" s="10"/>
      <c r="C2516" s="10"/>
      <c r="D2516" s="10"/>
      <c r="E2516" s="10"/>
      <c r="F2516" s="10"/>
      <c r="G2516" s="10"/>
      <c r="H2516" s="10"/>
      <c r="I2516" s="1" t="str">
        <f t="shared" si="117"/>
        <v/>
      </c>
      <c r="J2516" s="1" t="s">
        <v>35</v>
      </c>
      <c r="K2516" s="1" t="str">
        <f t="shared" si="118"/>
        <v/>
      </c>
      <c r="L2516" s="1" t="str">
        <f t="shared" si="119"/>
        <v/>
      </c>
      <c r="M2516" s="1">
        <f>IF(OR(Table1[[#This Row],[Std Nom]]="",Table1[[#This Row],[Std Read]]=""),0,Table1[[#This Row],[Std Nom]]-Table1[[#This Row],[Std Read]])</f>
        <v>0</v>
      </c>
      <c r="N2516" s="1">
        <f>IF(Calculations!$F$5="ACCREDITED 17025 WITH UNCERTAINTIES",$N$10,0)</f>
        <v>0</v>
      </c>
      <c r="O2516" s="1" t="str">
        <f>IFERROR(Table1[[#This Row],[Std Nom]]-(_xlfn.XLOOKUP(Table1[[#This Row],[Manufacturer]]&amp;" "&amp;Table1[[#This Row],[Model]],Table13[MFR &amp; MDL],Table13[Tolerance % CW ],"")/100*Table1[[#This Row],[Std Nom]]),"")</f>
        <v/>
      </c>
      <c r="P2516" s="1" t="str">
        <f>IFERROR(Table1[[#This Row],[Std Nom]]+(_xlfn.XLOOKUP(Table1[[#This Row],[Manufacturer]]&amp;" "&amp;Table1[[#This Row],[Model]],Table13[MFR &amp; MDL],Table13[Tolerance % CW ],"")/100*Table1[[#This Row],[Std Nom]]),"")</f>
        <v/>
      </c>
      <c r="Q2516" s="1" t="e">
        <f>Table1[[#This Row],[High Tol]]-Table1[[#This Row],[Low Tol]]</f>
        <v>#VALUE!</v>
      </c>
      <c r="R2516" s="1">
        <f>2*Table1[[#This Row],[Std Error]]</f>
        <v>0</v>
      </c>
      <c r="S2516" s="1" t="str">
        <f>IF(Table1[[#This Row],[High Tol]]="","N/A",IFERROR(ABS(Table1[[#This Row],[Tol Span]]/Table1[[#This Row],[Error Span]]),"N/A"))</f>
        <v>N/A</v>
      </c>
      <c r="T2516" s="1" t="str">
        <f>IF(OR(Table1[[#This Row],[Low Tol]]="",Table1[[#This Row],[High Tol]]=""),"Needs Analysis",IF(Table1[[#This Row],[Ratio]]&gt;=4,"Not Significant",IF(Table1[[#This Row],[Ratio]]&gt;=2,"Semi-Significant","Significant")))</f>
        <v>Needs Analysis</v>
      </c>
      <c r="W2516" s="1">
        <f>IF(Table1[[#This Row],[Cal Type]]&lt;&gt;"ACCREDITED 17025 WITH UNCERTAINTIES",0,"")</f>
        <v>0</v>
      </c>
      <c r="X2516" s="1" t="str">
        <f>IF(Table1[[#This Row],[DUT Read]]="","N/A",Table1[[#This Row],[Std Error]]+Table1[[#This Row],[DUT Read]]+Table1[[#This Row],[DUT Ucty]])</f>
        <v>N/A</v>
      </c>
      <c r="Y2516" s="1" t="str">
        <f>IF(Table1[[#This Row],[Std Read]]="","N/A",Table1[[#This Row],[Std Read]]+Table1[[#This Row],[Std Ucty]])</f>
        <v>N/A</v>
      </c>
      <c r="Z25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6" s="1" t="str">
        <f>IF(Table1[[#This Row],[Spec Type]]="","N/A",Table1[[#This Row],[Spec Type]])</f>
        <v>±</v>
      </c>
      <c r="AC2516" s="1" t="str">
        <f>IF(Table1[[#This Row],[Spec Type2]]="N/A","N/A",IF(AND(Table1[[#This Row],[DUT Adj Read]]&gt;=Table1[[#This Row],[Low Tol]],Table1[[#This Row],[DUT Adj Read]]&lt;=Table1[[#This Row],[High Tol]]),"Pass","Fail"))</f>
        <v>Fail</v>
      </c>
      <c r="AD2516" s="1" t="str">
        <f>IF(AND(Table1[[#This Row],[Spec Type2]]="N/A",Table1[[#This Row],[DUT Adj Read]]="N/A",Table1[[#This Row],[Std Adj Read]]="N/A"),"N/A",IF(Table1[[#This Row],[DUT Adj Read]]="N/A",IF(Table1[[#This Row],[Std Adj Read]]&gt;Table1[[#This Row],[Low Tol]],"Pass","Fail"),IF(Table1[[#This Row],[DUT Adj Read]]&gt;Table1[[#This Row],[Low Tol]],"Pass","Fail")))</f>
        <v>Pass</v>
      </c>
      <c r="AE2516" s="1" t="str">
        <f>IF(AND(Table1[[#This Row],[Spec Type2]]="N/A",Table1[[#This Row],[DUT Adj Read]]="N/A",Table1[[#This Row],[Std Adj Read]]="N/A"),"N/A",IF(Table1[[#This Row],[DUT Adj Read]]="N/A",IF(Table1[[#This Row],[Std Adj Read]]&lt;Table1[[#This Row],[High Tol]],"Pass","Fail"),IF(Table1[[#This Row],[DUT Adj Read]]&lt;Table1[[#This Row],[High Tol]],"Pass","Fail")))</f>
        <v>Fail</v>
      </c>
      <c r="AF2516" s="1" t="str">
        <f>IF(AND(Table1[[#This Row],[Spec Type2]]="N/A",Table1[[#This Row],[DUT Adj Read]]="N/A",Table1[[#This Row],[Std Adj Read]]="N/A"),"N/A",IF(Table1[[#This Row],[DUT Adj Read]]="N/A",IF(Table1[[#This Row],[Std Adj Read]]&gt;=Table1[[#This Row],[Low Tol]],"Pass","Fail"),IF(Table1[[#This Row],[DUT Adj Read]]&gt;=Table1[[#This Row],[Low Tol]],"Pass","Fail")))</f>
        <v>Pass</v>
      </c>
      <c r="AG2516" s="1" t="str">
        <f>IF(AND(Table1[[#This Row],[Spec Type2]]="N/A",Table1[[#This Row],[DUT Adj Read]]="N/A",Table1[[#This Row],[Std Adj Read]]="N/A"),"N/A",IF(Table1[[#This Row],[DUT Adj Read]]="N/A",IF(Table1[[#This Row],[Std Adj Read]]&lt;=Table1[[#This Row],[High Tol]],"Pass","Fail"),IF(Table1[[#This Row],[DUT Adj Read]]&lt;=Table1[[#This Row],[High Tol]],"Pass","Fail")))</f>
        <v>Fail</v>
      </c>
      <c r="AH25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6" s="1" t="b">
        <v>0</v>
      </c>
      <c r="AN2516" s="1" t="b">
        <v>0</v>
      </c>
      <c r="AO2516" s="1" t="b">
        <v>0</v>
      </c>
    </row>
    <row r="2517" spans="1:41" x14ac:dyDescent="0.25">
      <c r="A2517" s="10"/>
      <c r="B2517" s="10"/>
      <c r="C2517" s="10"/>
      <c r="D2517" s="10"/>
      <c r="E2517" s="10"/>
      <c r="F2517" s="10"/>
      <c r="G2517" s="10"/>
      <c r="H2517" s="10"/>
      <c r="I2517" s="1" t="str">
        <f t="shared" si="117"/>
        <v/>
      </c>
      <c r="J2517" s="1" t="s">
        <v>35</v>
      </c>
      <c r="K2517" s="1" t="str">
        <f t="shared" si="118"/>
        <v/>
      </c>
      <c r="L2517" s="1" t="str">
        <f t="shared" si="119"/>
        <v/>
      </c>
      <c r="M2517" s="1">
        <f>IF(OR(Table1[[#This Row],[Std Nom]]="",Table1[[#This Row],[Std Read]]=""),0,Table1[[#This Row],[Std Nom]]-Table1[[#This Row],[Std Read]])</f>
        <v>0</v>
      </c>
      <c r="N2517" s="1">
        <f>IF(Calculations!$F$5="ACCREDITED 17025 WITH UNCERTAINTIES",$N$10,0)</f>
        <v>0</v>
      </c>
      <c r="O2517" s="1" t="str">
        <f>IFERROR(Table1[[#This Row],[Std Nom]]-(_xlfn.XLOOKUP(Table1[[#This Row],[Manufacturer]]&amp;" "&amp;Table1[[#This Row],[Model]],Table13[MFR &amp; MDL],Table13[Tolerance % CW ],"")/100*Table1[[#This Row],[Std Nom]]),"")</f>
        <v/>
      </c>
      <c r="P2517" s="1" t="str">
        <f>IFERROR(Table1[[#This Row],[Std Nom]]+(_xlfn.XLOOKUP(Table1[[#This Row],[Manufacturer]]&amp;" "&amp;Table1[[#This Row],[Model]],Table13[MFR &amp; MDL],Table13[Tolerance % CW ],"")/100*Table1[[#This Row],[Std Nom]]),"")</f>
        <v/>
      </c>
      <c r="Q2517" s="1" t="e">
        <f>Table1[[#This Row],[High Tol]]-Table1[[#This Row],[Low Tol]]</f>
        <v>#VALUE!</v>
      </c>
      <c r="R2517" s="1">
        <f>2*Table1[[#This Row],[Std Error]]</f>
        <v>0</v>
      </c>
      <c r="S2517" s="1" t="str">
        <f>IF(Table1[[#This Row],[High Tol]]="","N/A",IFERROR(ABS(Table1[[#This Row],[Tol Span]]/Table1[[#This Row],[Error Span]]),"N/A"))</f>
        <v>N/A</v>
      </c>
      <c r="T2517" s="1" t="str">
        <f>IF(OR(Table1[[#This Row],[Low Tol]]="",Table1[[#This Row],[High Tol]]=""),"Needs Analysis",IF(Table1[[#This Row],[Ratio]]&gt;=4,"Not Significant",IF(Table1[[#This Row],[Ratio]]&gt;=2,"Semi-Significant","Significant")))</f>
        <v>Needs Analysis</v>
      </c>
      <c r="W2517" s="1">
        <f>IF(Table1[[#This Row],[Cal Type]]&lt;&gt;"ACCREDITED 17025 WITH UNCERTAINTIES",0,"")</f>
        <v>0</v>
      </c>
      <c r="X2517" s="1" t="str">
        <f>IF(Table1[[#This Row],[DUT Read]]="","N/A",Table1[[#This Row],[Std Error]]+Table1[[#This Row],[DUT Read]]+Table1[[#This Row],[DUT Ucty]])</f>
        <v>N/A</v>
      </c>
      <c r="Y2517" s="1" t="str">
        <f>IF(Table1[[#This Row],[Std Read]]="","N/A",Table1[[#This Row],[Std Read]]+Table1[[#This Row],[Std Ucty]])</f>
        <v>N/A</v>
      </c>
      <c r="Z25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7" s="1" t="str">
        <f>IF(Table1[[#This Row],[Spec Type]]="","N/A",Table1[[#This Row],[Spec Type]])</f>
        <v>±</v>
      </c>
      <c r="AC2517" s="1" t="str">
        <f>IF(Table1[[#This Row],[Spec Type2]]="N/A","N/A",IF(AND(Table1[[#This Row],[DUT Adj Read]]&gt;=Table1[[#This Row],[Low Tol]],Table1[[#This Row],[DUT Adj Read]]&lt;=Table1[[#This Row],[High Tol]]),"Pass","Fail"))</f>
        <v>Fail</v>
      </c>
      <c r="AD2517" s="1" t="str">
        <f>IF(AND(Table1[[#This Row],[Spec Type2]]="N/A",Table1[[#This Row],[DUT Adj Read]]="N/A",Table1[[#This Row],[Std Adj Read]]="N/A"),"N/A",IF(Table1[[#This Row],[DUT Adj Read]]="N/A",IF(Table1[[#This Row],[Std Adj Read]]&gt;Table1[[#This Row],[Low Tol]],"Pass","Fail"),IF(Table1[[#This Row],[DUT Adj Read]]&gt;Table1[[#This Row],[Low Tol]],"Pass","Fail")))</f>
        <v>Pass</v>
      </c>
      <c r="AE2517" s="1" t="str">
        <f>IF(AND(Table1[[#This Row],[Spec Type2]]="N/A",Table1[[#This Row],[DUT Adj Read]]="N/A",Table1[[#This Row],[Std Adj Read]]="N/A"),"N/A",IF(Table1[[#This Row],[DUT Adj Read]]="N/A",IF(Table1[[#This Row],[Std Adj Read]]&lt;Table1[[#This Row],[High Tol]],"Pass","Fail"),IF(Table1[[#This Row],[DUT Adj Read]]&lt;Table1[[#This Row],[High Tol]],"Pass","Fail")))</f>
        <v>Fail</v>
      </c>
      <c r="AF2517" s="1" t="str">
        <f>IF(AND(Table1[[#This Row],[Spec Type2]]="N/A",Table1[[#This Row],[DUT Adj Read]]="N/A",Table1[[#This Row],[Std Adj Read]]="N/A"),"N/A",IF(Table1[[#This Row],[DUT Adj Read]]="N/A",IF(Table1[[#This Row],[Std Adj Read]]&gt;=Table1[[#This Row],[Low Tol]],"Pass","Fail"),IF(Table1[[#This Row],[DUT Adj Read]]&gt;=Table1[[#This Row],[Low Tol]],"Pass","Fail")))</f>
        <v>Pass</v>
      </c>
      <c r="AG2517" s="1" t="str">
        <f>IF(AND(Table1[[#This Row],[Spec Type2]]="N/A",Table1[[#This Row],[DUT Adj Read]]="N/A",Table1[[#This Row],[Std Adj Read]]="N/A"),"N/A",IF(Table1[[#This Row],[DUT Adj Read]]="N/A",IF(Table1[[#This Row],[Std Adj Read]]&lt;=Table1[[#This Row],[High Tol]],"Pass","Fail"),IF(Table1[[#This Row],[DUT Adj Read]]&lt;=Table1[[#This Row],[High Tol]],"Pass","Fail")))</f>
        <v>Fail</v>
      </c>
      <c r="AH25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7" s="1" t="b">
        <v>0</v>
      </c>
      <c r="AN2517" s="1" t="b">
        <v>0</v>
      </c>
      <c r="AO2517" s="1" t="b">
        <v>0</v>
      </c>
    </row>
    <row r="2518" spans="1:41" x14ac:dyDescent="0.25">
      <c r="A2518" s="10"/>
      <c r="B2518" s="10"/>
      <c r="C2518" s="10"/>
      <c r="D2518" s="10"/>
      <c r="E2518" s="10"/>
      <c r="F2518" s="10"/>
      <c r="G2518" s="10"/>
      <c r="H2518" s="10"/>
      <c r="I2518" s="1" t="str">
        <f t="shared" si="117"/>
        <v/>
      </c>
      <c r="J2518" s="1" t="s">
        <v>35</v>
      </c>
      <c r="K2518" s="1" t="str">
        <f t="shared" si="118"/>
        <v/>
      </c>
      <c r="L2518" s="1" t="str">
        <f t="shared" si="119"/>
        <v/>
      </c>
      <c r="M2518" s="1">
        <f>IF(OR(Table1[[#This Row],[Std Nom]]="",Table1[[#This Row],[Std Read]]=""),0,Table1[[#This Row],[Std Nom]]-Table1[[#This Row],[Std Read]])</f>
        <v>0</v>
      </c>
      <c r="N2518" s="1">
        <f>IF(Calculations!$F$5="ACCREDITED 17025 WITH UNCERTAINTIES",$N$10,0)</f>
        <v>0</v>
      </c>
      <c r="O2518" s="1" t="str">
        <f>IFERROR(Table1[[#This Row],[Std Nom]]-(_xlfn.XLOOKUP(Table1[[#This Row],[Manufacturer]]&amp;" "&amp;Table1[[#This Row],[Model]],Table13[MFR &amp; MDL],Table13[Tolerance % CW ],"")/100*Table1[[#This Row],[Std Nom]]),"")</f>
        <v/>
      </c>
      <c r="P2518" s="1" t="str">
        <f>IFERROR(Table1[[#This Row],[Std Nom]]+(_xlfn.XLOOKUP(Table1[[#This Row],[Manufacturer]]&amp;" "&amp;Table1[[#This Row],[Model]],Table13[MFR &amp; MDL],Table13[Tolerance % CW ],"")/100*Table1[[#This Row],[Std Nom]]),"")</f>
        <v/>
      </c>
      <c r="Q2518" s="1" t="e">
        <f>Table1[[#This Row],[High Tol]]-Table1[[#This Row],[Low Tol]]</f>
        <v>#VALUE!</v>
      </c>
      <c r="R2518" s="1">
        <f>2*Table1[[#This Row],[Std Error]]</f>
        <v>0</v>
      </c>
      <c r="S2518" s="1" t="str">
        <f>IF(Table1[[#This Row],[High Tol]]="","N/A",IFERROR(ABS(Table1[[#This Row],[Tol Span]]/Table1[[#This Row],[Error Span]]),"N/A"))</f>
        <v>N/A</v>
      </c>
      <c r="T2518" s="1" t="str">
        <f>IF(OR(Table1[[#This Row],[Low Tol]]="",Table1[[#This Row],[High Tol]]=""),"Needs Analysis",IF(Table1[[#This Row],[Ratio]]&gt;=4,"Not Significant",IF(Table1[[#This Row],[Ratio]]&gt;=2,"Semi-Significant","Significant")))</f>
        <v>Needs Analysis</v>
      </c>
      <c r="W2518" s="1">
        <f>IF(Table1[[#This Row],[Cal Type]]&lt;&gt;"ACCREDITED 17025 WITH UNCERTAINTIES",0,"")</f>
        <v>0</v>
      </c>
      <c r="X2518" s="1" t="str">
        <f>IF(Table1[[#This Row],[DUT Read]]="","N/A",Table1[[#This Row],[Std Error]]+Table1[[#This Row],[DUT Read]]+Table1[[#This Row],[DUT Ucty]])</f>
        <v>N/A</v>
      </c>
      <c r="Y2518" s="1" t="str">
        <f>IF(Table1[[#This Row],[Std Read]]="","N/A",Table1[[#This Row],[Std Read]]+Table1[[#This Row],[Std Ucty]])</f>
        <v>N/A</v>
      </c>
      <c r="Z25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8" s="1" t="str">
        <f>IF(Table1[[#This Row],[Spec Type]]="","N/A",Table1[[#This Row],[Spec Type]])</f>
        <v>±</v>
      </c>
      <c r="AC2518" s="1" t="str">
        <f>IF(Table1[[#This Row],[Spec Type2]]="N/A","N/A",IF(AND(Table1[[#This Row],[DUT Adj Read]]&gt;=Table1[[#This Row],[Low Tol]],Table1[[#This Row],[DUT Adj Read]]&lt;=Table1[[#This Row],[High Tol]]),"Pass","Fail"))</f>
        <v>Fail</v>
      </c>
      <c r="AD2518" s="1" t="str">
        <f>IF(AND(Table1[[#This Row],[Spec Type2]]="N/A",Table1[[#This Row],[DUT Adj Read]]="N/A",Table1[[#This Row],[Std Adj Read]]="N/A"),"N/A",IF(Table1[[#This Row],[DUT Adj Read]]="N/A",IF(Table1[[#This Row],[Std Adj Read]]&gt;Table1[[#This Row],[Low Tol]],"Pass","Fail"),IF(Table1[[#This Row],[DUT Adj Read]]&gt;Table1[[#This Row],[Low Tol]],"Pass","Fail")))</f>
        <v>Pass</v>
      </c>
      <c r="AE2518" s="1" t="str">
        <f>IF(AND(Table1[[#This Row],[Spec Type2]]="N/A",Table1[[#This Row],[DUT Adj Read]]="N/A",Table1[[#This Row],[Std Adj Read]]="N/A"),"N/A",IF(Table1[[#This Row],[DUT Adj Read]]="N/A",IF(Table1[[#This Row],[Std Adj Read]]&lt;Table1[[#This Row],[High Tol]],"Pass","Fail"),IF(Table1[[#This Row],[DUT Adj Read]]&lt;Table1[[#This Row],[High Tol]],"Pass","Fail")))</f>
        <v>Fail</v>
      </c>
      <c r="AF2518" s="1" t="str">
        <f>IF(AND(Table1[[#This Row],[Spec Type2]]="N/A",Table1[[#This Row],[DUT Adj Read]]="N/A",Table1[[#This Row],[Std Adj Read]]="N/A"),"N/A",IF(Table1[[#This Row],[DUT Adj Read]]="N/A",IF(Table1[[#This Row],[Std Adj Read]]&gt;=Table1[[#This Row],[Low Tol]],"Pass","Fail"),IF(Table1[[#This Row],[DUT Adj Read]]&gt;=Table1[[#This Row],[Low Tol]],"Pass","Fail")))</f>
        <v>Pass</v>
      </c>
      <c r="AG2518" s="1" t="str">
        <f>IF(AND(Table1[[#This Row],[Spec Type2]]="N/A",Table1[[#This Row],[DUT Adj Read]]="N/A",Table1[[#This Row],[Std Adj Read]]="N/A"),"N/A",IF(Table1[[#This Row],[DUT Adj Read]]="N/A",IF(Table1[[#This Row],[Std Adj Read]]&lt;=Table1[[#This Row],[High Tol]],"Pass","Fail"),IF(Table1[[#This Row],[DUT Adj Read]]&lt;=Table1[[#This Row],[High Tol]],"Pass","Fail")))</f>
        <v>Fail</v>
      </c>
      <c r="AH25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8" s="1" t="b">
        <v>0</v>
      </c>
      <c r="AN2518" s="1" t="b">
        <v>0</v>
      </c>
      <c r="AO2518" s="1" t="b">
        <v>0</v>
      </c>
    </row>
    <row r="2519" spans="1:41" x14ac:dyDescent="0.25">
      <c r="A2519" s="10"/>
      <c r="B2519" s="10"/>
      <c r="C2519" s="10"/>
      <c r="D2519" s="10"/>
      <c r="E2519" s="10"/>
      <c r="F2519" s="10"/>
      <c r="G2519" s="10"/>
      <c r="H2519" s="10"/>
      <c r="I2519" s="1" t="str">
        <f t="shared" si="117"/>
        <v/>
      </c>
      <c r="J2519" s="1" t="s">
        <v>35</v>
      </c>
      <c r="K2519" s="1" t="str">
        <f t="shared" si="118"/>
        <v/>
      </c>
      <c r="L2519" s="1" t="str">
        <f t="shared" si="119"/>
        <v/>
      </c>
      <c r="M2519" s="1">
        <f>IF(OR(Table1[[#This Row],[Std Nom]]="",Table1[[#This Row],[Std Read]]=""),0,Table1[[#This Row],[Std Nom]]-Table1[[#This Row],[Std Read]])</f>
        <v>0</v>
      </c>
      <c r="N2519" s="1">
        <f>IF(Calculations!$F$5="ACCREDITED 17025 WITH UNCERTAINTIES",$N$10,0)</f>
        <v>0</v>
      </c>
      <c r="O2519" s="1" t="str">
        <f>IFERROR(Table1[[#This Row],[Std Nom]]-(_xlfn.XLOOKUP(Table1[[#This Row],[Manufacturer]]&amp;" "&amp;Table1[[#This Row],[Model]],Table13[MFR &amp; MDL],Table13[Tolerance % CW ],"")/100*Table1[[#This Row],[Std Nom]]),"")</f>
        <v/>
      </c>
      <c r="P2519" s="1" t="str">
        <f>IFERROR(Table1[[#This Row],[Std Nom]]+(_xlfn.XLOOKUP(Table1[[#This Row],[Manufacturer]]&amp;" "&amp;Table1[[#This Row],[Model]],Table13[MFR &amp; MDL],Table13[Tolerance % CW ],"")/100*Table1[[#This Row],[Std Nom]]),"")</f>
        <v/>
      </c>
      <c r="Q2519" s="1" t="e">
        <f>Table1[[#This Row],[High Tol]]-Table1[[#This Row],[Low Tol]]</f>
        <v>#VALUE!</v>
      </c>
      <c r="R2519" s="1">
        <f>2*Table1[[#This Row],[Std Error]]</f>
        <v>0</v>
      </c>
      <c r="S2519" s="1" t="str">
        <f>IF(Table1[[#This Row],[High Tol]]="","N/A",IFERROR(ABS(Table1[[#This Row],[Tol Span]]/Table1[[#This Row],[Error Span]]),"N/A"))</f>
        <v>N/A</v>
      </c>
      <c r="T2519" s="1" t="str">
        <f>IF(OR(Table1[[#This Row],[Low Tol]]="",Table1[[#This Row],[High Tol]]=""),"Needs Analysis",IF(Table1[[#This Row],[Ratio]]&gt;=4,"Not Significant",IF(Table1[[#This Row],[Ratio]]&gt;=2,"Semi-Significant","Significant")))</f>
        <v>Needs Analysis</v>
      </c>
      <c r="W2519" s="1">
        <f>IF(Table1[[#This Row],[Cal Type]]&lt;&gt;"ACCREDITED 17025 WITH UNCERTAINTIES",0,"")</f>
        <v>0</v>
      </c>
      <c r="X2519" s="1" t="str">
        <f>IF(Table1[[#This Row],[DUT Read]]="","N/A",Table1[[#This Row],[Std Error]]+Table1[[#This Row],[DUT Read]]+Table1[[#This Row],[DUT Ucty]])</f>
        <v>N/A</v>
      </c>
      <c r="Y2519" s="1" t="str">
        <f>IF(Table1[[#This Row],[Std Read]]="","N/A",Table1[[#This Row],[Std Read]]+Table1[[#This Row],[Std Ucty]])</f>
        <v>N/A</v>
      </c>
      <c r="Z25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9" s="1" t="str">
        <f>IF(Table1[[#This Row],[Spec Type]]="","N/A",Table1[[#This Row],[Spec Type]])</f>
        <v>±</v>
      </c>
      <c r="AC2519" s="1" t="str">
        <f>IF(Table1[[#This Row],[Spec Type2]]="N/A","N/A",IF(AND(Table1[[#This Row],[DUT Adj Read]]&gt;=Table1[[#This Row],[Low Tol]],Table1[[#This Row],[DUT Adj Read]]&lt;=Table1[[#This Row],[High Tol]]),"Pass","Fail"))</f>
        <v>Fail</v>
      </c>
      <c r="AD2519" s="1" t="str">
        <f>IF(AND(Table1[[#This Row],[Spec Type2]]="N/A",Table1[[#This Row],[DUT Adj Read]]="N/A",Table1[[#This Row],[Std Adj Read]]="N/A"),"N/A",IF(Table1[[#This Row],[DUT Adj Read]]="N/A",IF(Table1[[#This Row],[Std Adj Read]]&gt;Table1[[#This Row],[Low Tol]],"Pass","Fail"),IF(Table1[[#This Row],[DUT Adj Read]]&gt;Table1[[#This Row],[Low Tol]],"Pass","Fail")))</f>
        <v>Pass</v>
      </c>
      <c r="AE2519" s="1" t="str">
        <f>IF(AND(Table1[[#This Row],[Spec Type2]]="N/A",Table1[[#This Row],[DUT Adj Read]]="N/A",Table1[[#This Row],[Std Adj Read]]="N/A"),"N/A",IF(Table1[[#This Row],[DUT Adj Read]]="N/A",IF(Table1[[#This Row],[Std Adj Read]]&lt;Table1[[#This Row],[High Tol]],"Pass","Fail"),IF(Table1[[#This Row],[DUT Adj Read]]&lt;Table1[[#This Row],[High Tol]],"Pass","Fail")))</f>
        <v>Fail</v>
      </c>
      <c r="AF2519" s="1" t="str">
        <f>IF(AND(Table1[[#This Row],[Spec Type2]]="N/A",Table1[[#This Row],[DUT Adj Read]]="N/A",Table1[[#This Row],[Std Adj Read]]="N/A"),"N/A",IF(Table1[[#This Row],[DUT Adj Read]]="N/A",IF(Table1[[#This Row],[Std Adj Read]]&gt;=Table1[[#This Row],[Low Tol]],"Pass","Fail"),IF(Table1[[#This Row],[DUT Adj Read]]&gt;=Table1[[#This Row],[Low Tol]],"Pass","Fail")))</f>
        <v>Pass</v>
      </c>
      <c r="AG2519" s="1" t="str">
        <f>IF(AND(Table1[[#This Row],[Spec Type2]]="N/A",Table1[[#This Row],[DUT Adj Read]]="N/A",Table1[[#This Row],[Std Adj Read]]="N/A"),"N/A",IF(Table1[[#This Row],[DUT Adj Read]]="N/A",IF(Table1[[#This Row],[Std Adj Read]]&lt;=Table1[[#This Row],[High Tol]],"Pass","Fail"),IF(Table1[[#This Row],[DUT Adj Read]]&lt;=Table1[[#This Row],[High Tol]],"Pass","Fail")))</f>
        <v>Fail</v>
      </c>
      <c r="AH25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9" s="1" t="b">
        <v>0</v>
      </c>
      <c r="AN2519" s="1" t="b">
        <v>0</v>
      </c>
      <c r="AO2519" s="1" t="b">
        <v>0</v>
      </c>
    </row>
    <row r="2520" spans="1:41" x14ac:dyDescent="0.25">
      <c r="A2520" s="10"/>
      <c r="B2520" s="10"/>
      <c r="C2520" s="10"/>
      <c r="D2520" s="10"/>
      <c r="E2520" s="10"/>
      <c r="F2520" s="10"/>
      <c r="G2520" s="10"/>
      <c r="H2520" s="10"/>
      <c r="I2520" s="1" t="str">
        <f t="shared" si="117"/>
        <v/>
      </c>
      <c r="J2520" s="1" t="s">
        <v>35</v>
      </c>
      <c r="K2520" s="1" t="str">
        <f t="shared" si="118"/>
        <v/>
      </c>
      <c r="L2520" s="1" t="str">
        <f t="shared" si="119"/>
        <v/>
      </c>
      <c r="M2520" s="1">
        <f>IF(OR(Table1[[#This Row],[Std Nom]]="",Table1[[#This Row],[Std Read]]=""),0,Table1[[#This Row],[Std Nom]]-Table1[[#This Row],[Std Read]])</f>
        <v>0</v>
      </c>
      <c r="N2520" s="1">
        <f>IF(Calculations!$F$5="ACCREDITED 17025 WITH UNCERTAINTIES",$N$10,0)</f>
        <v>0</v>
      </c>
      <c r="O2520" s="1" t="str">
        <f>IFERROR(Table1[[#This Row],[Std Nom]]-(_xlfn.XLOOKUP(Table1[[#This Row],[Manufacturer]]&amp;" "&amp;Table1[[#This Row],[Model]],Table13[MFR &amp; MDL],Table13[Tolerance % CW ],"")/100*Table1[[#This Row],[Std Nom]]),"")</f>
        <v/>
      </c>
      <c r="P2520" s="1" t="str">
        <f>IFERROR(Table1[[#This Row],[Std Nom]]+(_xlfn.XLOOKUP(Table1[[#This Row],[Manufacturer]]&amp;" "&amp;Table1[[#This Row],[Model]],Table13[MFR &amp; MDL],Table13[Tolerance % CW ],"")/100*Table1[[#This Row],[Std Nom]]),"")</f>
        <v/>
      </c>
      <c r="Q2520" s="1" t="e">
        <f>Table1[[#This Row],[High Tol]]-Table1[[#This Row],[Low Tol]]</f>
        <v>#VALUE!</v>
      </c>
      <c r="R2520" s="1">
        <f>2*Table1[[#This Row],[Std Error]]</f>
        <v>0</v>
      </c>
      <c r="S2520" s="1" t="str">
        <f>IF(Table1[[#This Row],[High Tol]]="","N/A",IFERROR(ABS(Table1[[#This Row],[Tol Span]]/Table1[[#This Row],[Error Span]]),"N/A"))</f>
        <v>N/A</v>
      </c>
      <c r="T2520" s="1" t="str">
        <f>IF(OR(Table1[[#This Row],[Low Tol]]="",Table1[[#This Row],[High Tol]]=""),"Needs Analysis",IF(Table1[[#This Row],[Ratio]]&gt;=4,"Not Significant",IF(Table1[[#This Row],[Ratio]]&gt;=2,"Semi-Significant","Significant")))</f>
        <v>Needs Analysis</v>
      </c>
      <c r="W2520" s="1">
        <f>IF(Table1[[#This Row],[Cal Type]]&lt;&gt;"ACCREDITED 17025 WITH UNCERTAINTIES",0,"")</f>
        <v>0</v>
      </c>
      <c r="X2520" s="1" t="str">
        <f>IF(Table1[[#This Row],[DUT Read]]="","N/A",Table1[[#This Row],[Std Error]]+Table1[[#This Row],[DUT Read]]+Table1[[#This Row],[DUT Ucty]])</f>
        <v>N/A</v>
      </c>
      <c r="Y2520" s="1" t="str">
        <f>IF(Table1[[#This Row],[Std Read]]="","N/A",Table1[[#This Row],[Std Read]]+Table1[[#This Row],[Std Ucty]])</f>
        <v>N/A</v>
      </c>
      <c r="Z25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0" s="1" t="str">
        <f>IF(Table1[[#This Row],[Spec Type]]="","N/A",Table1[[#This Row],[Spec Type]])</f>
        <v>±</v>
      </c>
      <c r="AC2520" s="1" t="str">
        <f>IF(Table1[[#This Row],[Spec Type2]]="N/A","N/A",IF(AND(Table1[[#This Row],[DUT Adj Read]]&gt;=Table1[[#This Row],[Low Tol]],Table1[[#This Row],[DUT Adj Read]]&lt;=Table1[[#This Row],[High Tol]]),"Pass","Fail"))</f>
        <v>Fail</v>
      </c>
      <c r="AD2520" s="1" t="str">
        <f>IF(AND(Table1[[#This Row],[Spec Type2]]="N/A",Table1[[#This Row],[DUT Adj Read]]="N/A",Table1[[#This Row],[Std Adj Read]]="N/A"),"N/A",IF(Table1[[#This Row],[DUT Adj Read]]="N/A",IF(Table1[[#This Row],[Std Adj Read]]&gt;Table1[[#This Row],[Low Tol]],"Pass","Fail"),IF(Table1[[#This Row],[DUT Adj Read]]&gt;Table1[[#This Row],[Low Tol]],"Pass","Fail")))</f>
        <v>Pass</v>
      </c>
      <c r="AE2520" s="1" t="str">
        <f>IF(AND(Table1[[#This Row],[Spec Type2]]="N/A",Table1[[#This Row],[DUT Adj Read]]="N/A",Table1[[#This Row],[Std Adj Read]]="N/A"),"N/A",IF(Table1[[#This Row],[DUT Adj Read]]="N/A",IF(Table1[[#This Row],[Std Adj Read]]&lt;Table1[[#This Row],[High Tol]],"Pass","Fail"),IF(Table1[[#This Row],[DUT Adj Read]]&lt;Table1[[#This Row],[High Tol]],"Pass","Fail")))</f>
        <v>Fail</v>
      </c>
      <c r="AF2520" s="1" t="str">
        <f>IF(AND(Table1[[#This Row],[Spec Type2]]="N/A",Table1[[#This Row],[DUT Adj Read]]="N/A",Table1[[#This Row],[Std Adj Read]]="N/A"),"N/A",IF(Table1[[#This Row],[DUT Adj Read]]="N/A",IF(Table1[[#This Row],[Std Adj Read]]&gt;=Table1[[#This Row],[Low Tol]],"Pass","Fail"),IF(Table1[[#This Row],[DUT Adj Read]]&gt;=Table1[[#This Row],[Low Tol]],"Pass","Fail")))</f>
        <v>Pass</v>
      </c>
      <c r="AG2520" s="1" t="str">
        <f>IF(AND(Table1[[#This Row],[Spec Type2]]="N/A",Table1[[#This Row],[DUT Adj Read]]="N/A",Table1[[#This Row],[Std Adj Read]]="N/A"),"N/A",IF(Table1[[#This Row],[DUT Adj Read]]="N/A",IF(Table1[[#This Row],[Std Adj Read]]&lt;=Table1[[#This Row],[High Tol]],"Pass","Fail"),IF(Table1[[#This Row],[DUT Adj Read]]&lt;=Table1[[#This Row],[High Tol]],"Pass","Fail")))</f>
        <v>Fail</v>
      </c>
      <c r="AH25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0" s="1" t="b">
        <v>0</v>
      </c>
      <c r="AN2520" s="1" t="b">
        <v>0</v>
      </c>
      <c r="AO2520" s="1" t="b">
        <v>0</v>
      </c>
    </row>
    <row r="2521" spans="1:41" x14ac:dyDescent="0.25">
      <c r="A2521" s="10"/>
      <c r="B2521" s="10"/>
      <c r="C2521" s="10"/>
      <c r="D2521" s="10"/>
      <c r="E2521" s="10"/>
      <c r="F2521" s="10"/>
      <c r="G2521" s="10"/>
      <c r="H2521" s="10"/>
      <c r="I2521" s="1" t="str">
        <f t="shared" si="117"/>
        <v/>
      </c>
      <c r="J2521" s="1" t="s">
        <v>35</v>
      </c>
      <c r="K2521" s="1" t="str">
        <f t="shared" si="118"/>
        <v/>
      </c>
      <c r="L2521" s="1" t="str">
        <f t="shared" si="119"/>
        <v/>
      </c>
      <c r="M2521" s="1">
        <f>IF(OR(Table1[[#This Row],[Std Nom]]="",Table1[[#This Row],[Std Read]]=""),0,Table1[[#This Row],[Std Nom]]-Table1[[#This Row],[Std Read]])</f>
        <v>0</v>
      </c>
      <c r="N2521" s="1">
        <f>IF(Calculations!$F$5="ACCREDITED 17025 WITH UNCERTAINTIES",$N$10,0)</f>
        <v>0</v>
      </c>
      <c r="O2521" s="1" t="str">
        <f>IFERROR(Table1[[#This Row],[Std Nom]]-(_xlfn.XLOOKUP(Table1[[#This Row],[Manufacturer]]&amp;" "&amp;Table1[[#This Row],[Model]],Table13[MFR &amp; MDL],Table13[Tolerance % CW ],"")/100*Table1[[#This Row],[Std Nom]]),"")</f>
        <v/>
      </c>
      <c r="P2521" s="1" t="str">
        <f>IFERROR(Table1[[#This Row],[Std Nom]]+(_xlfn.XLOOKUP(Table1[[#This Row],[Manufacturer]]&amp;" "&amp;Table1[[#This Row],[Model]],Table13[MFR &amp; MDL],Table13[Tolerance % CW ],"")/100*Table1[[#This Row],[Std Nom]]),"")</f>
        <v/>
      </c>
      <c r="Q2521" s="1" t="e">
        <f>Table1[[#This Row],[High Tol]]-Table1[[#This Row],[Low Tol]]</f>
        <v>#VALUE!</v>
      </c>
      <c r="R2521" s="1">
        <f>2*Table1[[#This Row],[Std Error]]</f>
        <v>0</v>
      </c>
      <c r="S2521" s="1" t="str">
        <f>IF(Table1[[#This Row],[High Tol]]="","N/A",IFERROR(ABS(Table1[[#This Row],[Tol Span]]/Table1[[#This Row],[Error Span]]),"N/A"))</f>
        <v>N/A</v>
      </c>
      <c r="T2521" s="1" t="str">
        <f>IF(OR(Table1[[#This Row],[Low Tol]]="",Table1[[#This Row],[High Tol]]=""),"Needs Analysis",IF(Table1[[#This Row],[Ratio]]&gt;=4,"Not Significant",IF(Table1[[#This Row],[Ratio]]&gt;=2,"Semi-Significant","Significant")))</f>
        <v>Needs Analysis</v>
      </c>
      <c r="W2521" s="1">
        <f>IF(Table1[[#This Row],[Cal Type]]&lt;&gt;"ACCREDITED 17025 WITH UNCERTAINTIES",0,"")</f>
        <v>0</v>
      </c>
      <c r="X2521" s="1" t="str">
        <f>IF(Table1[[#This Row],[DUT Read]]="","N/A",Table1[[#This Row],[Std Error]]+Table1[[#This Row],[DUT Read]]+Table1[[#This Row],[DUT Ucty]])</f>
        <v>N/A</v>
      </c>
      <c r="Y2521" s="1" t="str">
        <f>IF(Table1[[#This Row],[Std Read]]="","N/A",Table1[[#This Row],[Std Read]]+Table1[[#This Row],[Std Ucty]])</f>
        <v>N/A</v>
      </c>
      <c r="Z25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1" s="1" t="str">
        <f>IF(Table1[[#This Row],[Spec Type]]="","N/A",Table1[[#This Row],[Spec Type]])</f>
        <v>±</v>
      </c>
      <c r="AC2521" s="1" t="str">
        <f>IF(Table1[[#This Row],[Spec Type2]]="N/A","N/A",IF(AND(Table1[[#This Row],[DUT Adj Read]]&gt;=Table1[[#This Row],[Low Tol]],Table1[[#This Row],[DUT Adj Read]]&lt;=Table1[[#This Row],[High Tol]]),"Pass","Fail"))</f>
        <v>Fail</v>
      </c>
      <c r="AD2521" s="1" t="str">
        <f>IF(AND(Table1[[#This Row],[Spec Type2]]="N/A",Table1[[#This Row],[DUT Adj Read]]="N/A",Table1[[#This Row],[Std Adj Read]]="N/A"),"N/A",IF(Table1[[#This Row],[DUT Adj Read]]="N/A",IF(Table1[[#This Row],[Std Adj Read]]&gt;Table1[[#This Row],[Low Tol]],"Pass","Fail"),IF(Table1[[#This Row],[DUT Adj Read]]&gt;Table1[[#This Row],[Low Tol]],"Pass","Fail")))</f>
        <v>Pass</v>
      </c>
      <c r="AE2521" s="1" t="str">
        <f>IF(AND(Table1[[#This Row],[Spec Type2]]="N/A",Table1[[#This Row],[DUT Adj Read]]="N/A",Table1[[#This Row],[Std Adj Read]]="N/A"),"N/A",IF(Table1[[#This Row],[DUT Adj Read]]="N/A",IF(Table1[[#This Row],[Std Adj Read]]&lt;Table1[[#This Row],[High Tol]],"Pass","Fail"),IF(Table1[[#This Row],[DUT Adj Read]]&lt;Table1[[#This Row],[High Tol]],"Pass","Fail")))</f>
        <v>Fail</v>
      </c>
      <c r="AF2521" s="1" t="str">
        <f>IF(AND(Table1[[#This Row],[Spec Type2]]="N/A",Table1[[#This Row],[DUT Adj Read]]="N/A",Table1[[#This Row],[Std Adj Read]]="N/A"),"N/A",IF(Table1[[#This Row],[DUT Adj Read]]="N/A",IF(Table1[[#This Row],[Std Adj Read]]&gt;=Table1[[#This Row],[Low Tol]],"Pass","Fail"),IF(Table1[[#This Row],[DUT Adj Read]]&gt;=Table1[[#This Row],[Low Tol]],"Pass","Fail")))</f>
        <v>Pass</v>
      </c>
      <c r="AG2521" s="1" t="str">
        <f>IF(AND(Table1[[#This Row],[Spec Type2]]="N/A",Table1[[#This Row],[DUT Adj Read]]="N/A",Table1[[#This Row],[Std Adj Read]]="N/A"),"N/A",IF(Table1[[#This Row],[DUT Adj Read]]="N/A",IF(Table1[[#This Row],[Std Adj Read]]&lt;=Table1[[#This Row],[High Tol]],"Pass","Fail"),IF(Table1[[#This Row],[DUT Adj Read]]&lt;=Table1[[#This Row],[High Tol]],"Pass","Fail")))</f>
        <v>Fail</v>
      </c>
      <c r="AH25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1" s="1" t="b">
        <v>0</v>
      </c>
      <c r="AN2521" s="1" t="b">
        <v>0</v>
      </c>
      <c r="AO2521" s="1" t="b">
        <v>0</v>
      </c>
    </row>
    <row r="2522" spans="1:41" x14ac:dyDescent="0.25">
      <c r="A2522" s="10"/>
      <c r="B2522" s="10"/>
      <c r="C2522" s="10"/>
      <c r="D2522" s="10"/>
      <c r="E2522" s="10"/>
      <c r="F2522" s="10"/>
      <c r="G2522" s="10"/>
      <c r="H2522" s="10"/>
      <c r="I2522" s="1" t="str">
        <f t="shared" si="117"/>
        <v/>
      </c>
      <c r="J2522" s="1" t="s">
        <v>35</v>
      </c>
      <c r="K2522" s="1" t="str">
        <f t="shared" si="118"/>
        <v/>
      </c>
      <c r="L2522" s="1" t="str">
        <f t="shared" si="119"/>
        <v/>
      </c>
      <c r="M2522" s="1">
        <f>IF(OR(Table1[[#This Row],[Std Nom]]="",Table1[[#This Row],[Std Read]]=""),0,Table1[[#This Row],[Std Nom]]-Table1[[#This Row],[Std Read]])</f>
        <v>0</v>
      </c>
      <c r="N2522" s="1">
        <f>IF(Calculations!$F$5="ACCREDITED 17025 WITH UNCERTAINTIES",$N$10,0)</f>
        <v>0</v>
      </c>
      <c r="O2522" s="1" t="str">
        <f>IFERROR(Table1[[#This Row],[Std Nom]]-(_xlfn.XLOOKUP(Table1[[#This Row],[Manufacturer]]&amp;" "&amp;Table1[[#This Row],[Model]],Table13[MFR &amp; MDL],Table13[Tolerance % CW ],"")/100*Table1[[#This Row],[Std Nom]]),"")</f>
        <v/>
      </c>
      <c r="P2522" s="1" t="str">
        <f>IFERROR(Table1[[#This Row],[Std Nom]]+(_xlfn.XLOOKUP(Table1[[#This Row],[Manufacturer]]&amp;" "&amp;Table1[[#This Row],[Model]],Table13[MFR &amp; MDL],Table13[Tolerance % CW ],"")/100*Table1[[#This Row],[Std Nom]]),"")</f>
        <v/>
      </c>
      <c r="Q2522" s="1" t="e">
        <f>Table1[[#This Row],[High Tol]]-Table1[[#This Row],[Low Tol]]</f>
        <v>#VALUE!</v>
      </c>
      <c r="R2522" s="1">
        <f>2*Table1[[#This Row],[Std Error]]</f>
        <v>0</v>
      </c>
      <c r="S2522" s="1" t="str">
        <f>IF(Table1[[#This Row],[High Tol]]="","N/A",IFERROR(ABS(Table1[[#This Row],[Tol Span]]/Table1[[#This Row],[Error Span]]),"N/A"))</f>
        <v>N/A</v>
      </c>
      <c r="T2522" s="1" t="str">
        <f>IF(OR(Table1[[#This Row],[Low Tol]]="",Table1[[#This Row],[High Tol]]=""),"Needs Analysis",IF(Table1[[#This Row],[Ratio]]&gt;=4,"Not Significant",IF(Table1[[#This Row],[Ratio]]&gt;=2,"Semi-Significant","Significant")))</f>
        <v>Needs Analysis</v>
      </c>
      <c r="W2522" s="1">
        <f>IF(Table1[[#This Row],[Cal Type]]&lt;&gt;"ACCREDITED 17025 WITH UNCERTAINTIES",0,"")</f>
        <v>0</v>
      </c>
      <c r="X2522" s="1" t="str">
        <f>IF(Table1[[#This Row],[DUT Read]]="","N/A",Table1[[#This Row],[Std Error]]+Table1[[#This Row],[DUT Read]]+Table1[[#This Row],[DUT Ucty]])</f>
        <v>N/A</v>
      </c>
      <c r="Y2522" s="1" t="str">
        <f>IF(Table1[[#This Row],[Std Read]]="","N/A",Table1[[#This Row],[Std Read]]+Table1[[#This Row],[Std Ucty]])</f>
        <v>N/A</v>
      </c>
      <c r="Z25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2" s="1" t="str">
        <f>IF(Table1[[#This Row],[Spec Type]]="","N/A",Table1[[#This Row],[Spec Type]])</f>
        <v>±</v>
      </c>
      <c r="AC2522" s="1" t="str">
        <f>IF(Table1[[#This Row],[Spec Type2]]="N/A","N/A",IF(AND(Table1[[#This Row],[DUT Adj Read]]&gt;=Table1[[#This Row],[Low Tol]],Table1[[#This Row],[DUT Adj Read]]&lt;=Table1[[#This Row],[High Tol]]),"Pass","Fail"))</f>
        <v>Fail</v>
      </c>
      <c r="AD2522" s="1" t="str">
        <f>IF(AND(Table1[[#This Row],[Spec Type2]]="N/A",Table1[[#This Row],[DUT Adj Read]]="N/A",Table1[[#This Row],[Std Adj Read]]="N/A"),"N/A",IF(Table1[[#This Row],[DUT Adj Read]]="N/A",IF(Table1[[#This Row],[Std Adj Read]]&gt;Table1[[#This Row],[Low Tol]],"Pass","Fail"),IF(Table1[[#This Row],[DUT Adj Read]]&gt;Table1[[#This Row],[Low Tol]],"Pass","Fail")))</f>
        <v>Pass</v>
      </c>
      <c r="AE2522" s="1" t="str">
        <f>IF(AND(Table1[[#This Row],[Spec Type2]]="N/A",Table1[[#This Row],[DUT Adj Read]]="N/A",Table1[[#This Row],[Std Adj Read]]="N/A"),"N/A",IF(Table1[[#This Row],[DUT Adj Read]]="N/A",IF(Table1[[#This Row],[Std Adj Read]]&lt;Table1[[#This Row],[High Tol]],"Pass","Fail"),IF(Table1[[#This Row],[DUT Adj Read]]&lt;Table1[[#This Row],[High Tol]],"Pass","Fail")))</f>
        <v>Fail</v>
      </c>
      <c r="AF2522" s="1" t="str">
        <f>IF(AND(Table1[[#This Row],[Spec Type2]]="N/A",Table1[[#This Row],[DUT Adj Read]]="N/A",Table1[[#This Row],[Std Adj Read]]="N/A"),"N/A",IF(Table1[[#This Row],[DUT Adj Read]]="N/A",IF(Table1[[#This Row],[Std Adj Read]]&gt;=Table1[[#This Row],[Low Tol]],"Pass","Fail"),IF(Table1[[#This Row],[DUT Adj Read]]&gt;=Table1[[#This Row],[Low Tol]],"Pass","Fail")))</f>
        <v>Pass</v>
      </c>
      <c r="AG2522" s="1" t="str">
        <f>IF(AND(Table1[[#This Row],[Spec Type2]]="N/A",Table1[[#This Row],[DUT Adj Read]]="N/A",Table1[[#This Row],[Std Adj Read]]="N/A"),"N/A",IF(Table1[[#This Row],[DUT Adj Read]]="N/A",IF(Table1[[#This Row],[Std Adj Read]]&lt;=Table1[[#This Row],[High Tol]],"Pass","Fail"),IF(Table1[[#This Row],[DUT Adj Read]]&lt;=Table1[[#This Row],[High Tol]],"Pass","Fail")))</f>
        <v>Fail</v>
      </c>
      <c r="AH25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2" s="1" t="b">
        <v>0</v>
      </c>
      <c r="AN2522" s="1" t="b">
        <v>0</v>
      </c>
      <c r="AO2522" s="1" t="b">
        <v>0</v>
      </c>
    </row>
    <row r="2523" spans="1:41" x14ac:dyDescent="0.25">
      <c r="A2523" s="10"/>
      <c r="B2523" s="10"/>
      <c r="C2523" s="10"/>
      <c r="D2523" s="10"/>
      <c r="E2523" s="10"/>
      <c r="F2523" s="10"/>
      <c r="G2523" s="10"/>
      <c r="H2523" s="10"/>
      <c r="I2523" s="1" t="str">
        <f t="shared" si="117"/>
        <v/>
      </c>
      <c r="J2523" s="1" t="s">
        <v>35</v>
      </c>
      <c r="K2523" s="1" t="str">
        <f t="shared" si="118"/>
        <v/>
      </c>
      <c r="L2523" s="1" t="str">
        <f t="shared" si="119"/>
        <v/>
      </c>
      <c r="M2523" s="1">
        <f>IF(OR(Table1[[#This Row],[Std Nom]]="",Table1[[#This Row],[Std Read]]=""),0,Table1[[#This Row],[Std Nom]]-Table1[[#This Row],[Std Read]])</f>
        <v>0</v>
      </c>
      <c r="N2523" s="1">
        <f>IF(Calculations!$F$5="ACCREDITED 17025 WITH UNCERTAINTIES",$N$10,0)</f>
        <v>0</v>
      </c>
      <c r="O2523" s="1" t="str">
        <f>IFERROR(Table1[[#This Row],[Std Nom]]-(_xlfn.XLOOKUP(Table1[[#This Row],[Manufacturer]]&amp;" "&amp;Table1[[#This Row],[Model]],Table13[MFR &amp; MDL],Table13[Tolerance % CW ],"")/100*Table1[[#This Row],[Std Nom]]),"")</f>
        <v/>
      </c>
      <c r="P2523" s="1" t="str">
        <f>IFERROR(Table1[[#This Row],[Std Nom]]+(_xlfn.XLOOKUP(Table1[[#This Row],[Manufacturer]]&amp;" "&amp;Table1[[#This Row],[Model]],Table13[MFR &amp; MDL],Table13[Tolerance % CW ],"")/100*Table1[[#This Row],[Std Nom]]),"")</f>
        <v/>
      </c>
      <c r="Q2523" s="1" t="e">
        <f>Table1[[#This Row],[High Tol]]-Table1[[#This Row],[Low Tol]]</f>
        <v>#VALUE!</v>
      </c>
      <c r="R2523" s="1">
        <f>2*Table1[[#This Row],[Std Error]]</f>
        <v>0</v>
      </c>
      <c r="S2523" s="1" t="str">
        <f>IF(Table1[[#This Row],[High Tol]]="","N/A",IFERROR(ABS(Table1[[#This Row],[Tol Span]]/Table1[[#This Row],[Error Span]]),"N/A"))</f>
        <v>N/A</v>
      </c>
      <c r="T2523" s="1" t="str">
        <f>IF(OR(Table1[[#This Row],[Low Tol]]="",Table1[[#This Row],[High Tol]]=""),"Needs Analysis",IF(Table1[[#This Row],[Ratio]]&gt;=4,"Not Significant",IF(Table1[[#This Row],[Ratio]]&gt;=2,"Semi-Significant","Significant")))</f>
        <v>Needs Analysis</v>
      </c>
      <c r="W2523" s="1">
        <f>IF(Table1[[#This Row],[Cal Type]]&lt;&gt;"ACCREDITED 17025 WITH UNCERTAINTIES",0,"")</f>
        <v>0</v>
      </c>
      <c r="X2523" s="1" t="str">
        <f>IF(Table1[[#This Row],[DUT Read]]="","N/A",Table1[[#This Row],[Std Error]]+Table1[[#This Row],[DUT Read]]+Table1[[#This Row],[DUT Ucty]])</f>
        <v>N/A</v>
      </c>
      <c r="Y2523" s="1" t="str">
        <f>IF(Table1[[#This Row],[Std Read]]="","N/A",Table1[[#This Row],[Std Read]]+Table1[[#This Row],[Std Ucty]])</f>
        <v>N/A</v>
      </c>
      <c r="Z25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3" s="1" t="str">
        <f>IF(Table1[[#This Row],[Spec Type]]="","N/A",Table1[[#This Row],[Spec Type]])</f>
        <v>±</v>
      </c>
      <c r="AC2523" s="1" t="str">
        <f>IF(Table1[[#This Row],[Spec Type2]]="N/A","N/A",IF(AND(Table1[[#This Row],[DUT Adj Read]]&gt;=Table1[[#This Row],[Low Tol]],Table1[[#This Row],[DUT Adj Read]]&lt;=Table1[[#This Row],[High Tol]]),"Pass","Fail"))</f>
        <v>Fail</v>
      </c>
      <c r="AD2523" s="1" t="str">
        <f>IF(AND(Table1[[#This Row],[Spec Type2]]="N/A",Table1[[#This Row],[DUT Adj Read]]="N/A",Table1[[#This Row],[Std Adj Read]]="N/A"),"N/A",IF(Table1[[#This Row],[DUT Adj Read]]="N/A",IF(Table1[[#This Row],[Std Adj Read]]&gt;Table1[[#This Row],[Low Tol]],"Pass","Fail"),IF(Table1[[#This Row],[DUT Adj Read]]&gt;Table1[[#This Row],[Low Tol]],"Pass","Fail")))</f>
        <v>Pass</v>
      </c>
      <c r="AE2523" s="1" t="str">
        <f>IF(AND(Table1[[#This Row],[Spec Type2]]="N/A",Table1[[#This Row],[DUT Adj Read]]="N/A",Table1[[#This Row],[Std Adj Read]]="N/A"),"N/A",IF(Table1[[#This Row],[DUT Adj Read]]="N/A",IF(Table1[[#This Row],[Std Adj Read]]&lt;Table1[[#This Row],[High Tol]],"Pass","Fail"),IF(Table1[[#This Row],[DUT Adj Read]]&lt;Table1[[#This Row],[High Tol]],"Pass","Fail")))</f>
        <v>Fail</v>
      </c>
      <c r="AF2523" s="1" t="str">
        <f>IF(AND(Table1[[#This Row],[Spec Type2]]="N/A",Table1[[#This Row],[DUT Adj Read]]="N/A",Table1[[#This Row],[Std Adj Read]]="N/A"),"N/A",IF(Table1[[#This Row],[DUT Adj Read]]="N/A",IF(Table1[[#This Row],[Std Adj Read]]&gt;=Table1[[#This Row],[Low Tol]],"Pass","Fail"),IF(Table1[[#This Row],[DUT Adj Read]]&gt;=Table1[[#This Row],[Low Tol]],"Pass","Fail")))</f>
        <v>Pass</v>
      </c>
      <c r="AG2523" s="1" t="str">
        <f>IF(AND(Table1[[#This Row],[Spec Type2]]="N/A",Table1[[#This Row],[DUT Adj Read]]="N/A",Table1[[#This Row],[Std Adj Read]]="N/A"),"N/A",IF(Table1[[#This Row],[DUT Adj Read]]="N/A",IF(Table1[[#This Row],[Std Adj Read]]&lt;=Table1[[#This Row],[High Tol]],"Pass","Fail"),IF(Table1[[#This Row],[DUT Adj Read]]&lt;=Table1[[#This Row],[High Tol]],"Pass","Fail")))</f>
        <v>Fail</v>
      </c>
      <c r="AH25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3" s="1" t="b">
        <v>0</v>
      </c>
      <c r="AN2523" s="1" t="b">
        <v>0</v>
      </c>
      <c r="AO2523" s="1" t="b">
        <v>0</v>
      </c>
    </row>
    <row r="2524" spans="1:41" x14ac:dyDescent="0.25">
      <c r="A2524" s="10"/>
      <c r="B2524" s="10"/>
      <c r="C2524" s="10"/>
      <c r="D2524" s="10"/>
      <c r="E2524" s="10"/>
      <c r="F2524" s="10"/>
      <c r="G2524" s="10"/>
      <c r="H2524" s="10"/>
      <c r="I2524" s="1" t="str">
        <f t="shared" si="117"/>
        <v/>
      </c>
      <c r="J2524" s="1" t="s">
        <v>35</v>
      </c>
      <c r="K2524" s="1" t="str">
        <f t="shared" si="118"/>
        <v/>
      </c>
      <c r="L2524" s="1" t="str">
        <f t="shared" si="119"/>
        <v/>
      </c>
      <c r="M2524" s="1">
        <f>IF(OR(Table1[[#This Row],[Std Nom]]="",Table1[[#This Row],[Std Read]]=""),0,Table1[[#This Row],[Std Nom]]-Table1[[#This Row],[Std Read]])</f>
        <v>0</v>
      </c>
      <c r="N2524" s="1">
        <f>IF(Calculations!$F$5="ACCREDITED 17025 WITH UNCERTAINTIES",$N$10,0)</f>
        <v>0</v>
      </c>
      <c r="O2524" s="1" t="str">
        <f>IFERROR(Table1[[#This Row],[Std Nom]]-(_xlfn.XLOOKUP(Table1[[#This Row],[Manufacturer]]&amp;" "&amp;Table1[[#This Row],[Model]],Table13[MFR &amp; MDL],Table13[Tolerance % CW ],"")/100*Table1[[#This Row],[Std Nom]]),"")</f>
        <v/>
      </c>
      <c r="P2524" s="1" t="str">
        <f>IFERROR(Table1[[#This Row],[Std Nom]]+(_xlfn.XLOOKUP(Table1[[#This Row],[Manufacturer]]&amp;" "&amp;Table1[[#This Row],[Model]],Table13[MFR &amp; MDL],Table13[Tolerance % CW ],"")/100*Table1[[#This Row],[Std Nom]]),"")</f>
        <v/>
      </c>
      <c r="Q2524" s="1" t="e">
        <f>Table1[[#This Row],[High Tol]]-Table1[[#This Row],[Low Tol]]</f>
        <v>#VALUE!</v>
      </c>
      <c r="R2524" s="1">
        <f>2*Table1[[#This Row],[Std Error]]</f>
        <v>0</v>
      </c>
      <c r="S2524" s="1" t="str">
        <f>IF(Table1[[#This Row],[High Tol]]="","N/A",IFERROR(ABS(Table1[[#This Row],[Tol Span]]/Table1[[#This Row],[Error Span]]),"N/A"))</f>
        <v>N/A</v>
      </c>
      <c r="T2524" s="1" t="str">
        <f>IF(OR(Table1[[#This Row],[Low Tol]]="",Table1[[#This Row],[High Tol]]=""),"Needs Analysis",IF(Table1[[#This Row],[Ratio]]&gt;=4,"Not Significant",IF(Table1[[#This Row],[Ratio]]&gt;=2,"Semi-Significant","Significant")))</f>
        <v>Needs Analysis</v>
      </c>
      <c r="W2524" s="1">
        <f>IF(Table1[[#This Row],[Cal Type]]&lt;&gt;"ACCREDITED 17025 WITH UNCERTAINTIES",0,"")</f>
        <v>0</v>
      </c>
      <c r="X2524" s="1" t="str">
        <f>IF(Table1[[#This Row],[DUT Read]]="","N/A",Table1[[#This Row],[Std Error]]+Table1[[#This Row],[DUT Read]]+Table1[[#This Row],[DUT Ucty]])</f>
        <v>N/A</v>
      </c>
      <c r="Y2524" s="1" t="str">
        <f>IF(Table1[[#This Row],[Std Read]]="","N/A",Table1[[#This Row],[Std Read]]+Table1[[#This Row],[Std Ucty]])</f>
        <v>N/A</v>
      </c>
      <c r="Z25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4" s="1" t="str">
        <f>IF(Table1[[#This Row],[Spec Type]]="","N/A",Table1[[#This Row],[Spec Type]])</f>
        <v>±</v>
      </c>
      <c r="AC2524" s="1" t="str">
        <f>IF(Table1[[#This Row],[Spec Type2]]="N/A","N/A",IF(AND(Table1[[#This Row],[DUT Adj Read]]&gt;=Table1[[#This Row],[Low Tol]],Table1[[#This Row],[DUT Adj Read]]&lt;=Table1[[#This Row],[High Tol]]),"Pass","Fail"))</f>
        <v>Fail</v>
      </c>
      <c r="AD2524" s="1" t="str">
        <f>IF(AND(Table1[[#This Row],[Spec Type2]]="N/A",Table1[[#This Row],[DUT Adj Read]]="N/A",Table1[[#This Row],[Std Adj Read]]="N/A"),"N/A",IF(Table1[[#This Row],[DUT Adj Read]]="N/A",IF(Table1[[#This Row],[Std Adj Read]]&gt;Table1[[#This Row],[Low Tol]],"Pass","Fail"),IF(Table1[[#This Row],[DUT Adj Read]]&gt;Table1[[#This Row],[Low Tol]],"Pass","Fail")))</f>
        <v>Pass</v>
      </c>
      <c r="AE2524" s="1" t="str">
        <f>IF(AND(Table1[[#This Row],[Spec Type2]]="N/A",Table1[[#This Row],[DUT Adj Read]]="N/A",Table1[[#This Row],[Std Adj Read]]="N/A"),"N/A",IF(Table1[[#This Row],[DUT Adj Read]]="N/A",IF(Table1[[#This Row],[Std Adj Read]]&lt;Table1[[#This Row],[High Tol]],"Pass","Fail"),IF(Table1[[#This Row],[DUT Adj Read]]&lt;Table1[[#This Row],[High Tol]],"Pass","Fail")))</f>
        <v>Fail</v>
      </c>
      <c r="AF2524" s="1" t="str">
        <f>IF(AND(Table1[[#This Row],[Spec Type2]]="N/A",Table1[[#This Row],[DUT Adj Read]]="N/A",Table1[[#This Row],[Std Adj Read]]="N/A"),"N/A",IF(Table1[[#This Row],[DUT Adj Read]]="N/A",IF(Table1[[#This Row],[Std Adj Read]]&gt;=Table1[[#This Row],[Low Tol]],"Pass","Fail"),IF(Table1[[#This Row],[DUT Adj Read]]&gt;=Table1[[#This Row],[Low Tol]],"Pass","Fail")))</f>
        <v>Pass</v>
      </c>
      <c r="AG2524" s="1" t="str">
        <f>IF(AND(Table1[[#This Row],[Spec Type2]]="N/A",Table1[[#This Row],[DUT Adj Read]]="N/A",Table1[[#This Row],[Std Adj Read]]="N/A"),"N/A",IF(Table1[[#This Row],[DUT Adj Read]]="N/A",IF(Table1[[#This Row],[Std Adj Read]]&lt;=Table1[[#This Row],[High Tol]],"Pass","Fail"),IF(Table1[[#This Row],[DUT Adj Read]]&lt;=Table1[[#This Row],[High Tol]],"Pass","Fail")))</f>
        <v>Fail</v>
      </c>
      <c r="AH25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4" s="1" t="b">
        <v>0</v>
      </c>
      <c r="AN2524" s="1" t="b">
        <v>0</v>
      </c>
      <c r="AO2524" s="1" t="b">
        <v>0</v>
      </c>
    </row>
    <row r="2525" spans="1:41" x14ac:dyDescent="0.25">
      <c r="A2525" s="10"/>
      <c r="B2525" s="10"/>
      <c r="C2525" s="10"/>
      <c r="D2525" s="10"/>
      <c r="E2525" s="10"/>
      <c r="F2525" s="10"/>
      <c r="G2525" s="10"/>
      <c r="H2525" s="10"/>
      <c r="I2525" s="1" t="str">
        <f t="shared" si="117"/>
        <v/>
      </c>
      <c r="J2525" s="1" t="s">
        <v>35</v>
      </c>
      <c r="K2525" s="1" t="str">
        <f t="shared" si="118"/>
        <v/>
      </c>
      <c r="L2525" s="1" t="str">
        <f t="shared" si="119"/>
        <v/>
      </c>
      <c r="M2525" s="1">
        <f>IF(OR(Table1[[#This Row],[Std Nom]]="",Table1[[#This Row],[Std Read]]=""),0,Table1[[#This Row],[Std Nom]]-Table1[[#This Row],[Std Read]])</f>
        <v>0</v>
      </c>
      <c r="N2525" s="1">
        <f>IF(Calculations!$F$5="ACCREDITED 17025 WITH UNCERTAINTIES",$N$10,0)</f>
        <v>0</v>
      </c>
      <c r="O2525" s="1" t="str">
        <f>IFERROR(Table1[[#This Row],[Std Nom]]-(_xlfn.XLOOKUP(Table1[[#This Row],[Manufacturer]]&amp;" "&amp;Table1[[#This Row],[Model]],Table13[MFR &amp; MDL],Table13[Tolerance % CW ],"")/100*Table1[[#This Row],[Std Nom]]),"")</f>
        <v/>
      </c>
      <c r="P2525" s="1" t="str">
        <f>IFERROR(Table1[[#This Row],[Std Nom]]+(_xlfn.XLOOKUP(Table1[[#This Row],[Manufacturer]]&amp;" "&amp;Table1[[#This Row],[Model]],Table13[MFR &amp; MDL],Table13[Tolerance % CW ],"")/100*Table1[[#This Row],[Std Nom]]),"")</f>
        <v/>
      </c>
      <c r="Q2525" s="1" t="e">
        <f>Table1[[#This Row],[High Tol]]-Table1[[#This Row],[Low Tol]]</f>
        <v>#VALUE!</v>
      </c>
      <c r="R2525" s="1">
        <f>2*Table1[[#This Row],[Std Error]]</f>
        <v>0</v>
      </c>
      <c r="S2525" s="1" t="str">
        <f>IF(Table1[[#This Row],[High Tol]]="","N/A",IFERROR(ABS(Table1[[#This Row],[Tol Span]]/Table1[[#This Row],[Error Span]]),"N/A"))</f>
        <v>N/A</v>
      </c>
      <c r="T2525" s="1" t="str">
        <f>IF(OR(Table1[[#This Row],[Low Tol]]="",Table1[[#This Row],[High Tol]]=""),"Needs Analysis",IF(Table1[[#This Row],[Ratio]]&gt;=4,"Not Significant",IF(Table1[[#This Row],[Ratio]]&gt;=2,"Semi-Significant","Significant")))</f>
        <v>Needs Analysis</v>
      </c>
      <c r="W2525" s="1">
        <f>IF(Table1[[#This Row],[Cal Type]]&lt;&gt;"ACCREDITED 17025 WITH UNCERTAINTIES",0,"")</f>
        <v>0</v>
      </c>
      <c r="X2525" s="1" t="str">
        <f>IF(Table1[[#This Row],[DUT Read]]="","N/A",Table1[[#This Row],[Std Error]]+Table1[[#This Row],[DUT Read]]+Table1[[#This Row],[DUT Ucty]])</f>
        <v>N/A</v>
      </c>
      <c r="Y2525" s="1" t="str">
        <f>IF(Table1[[#This Row],[Std Read]]="","N/A",Table1[[#This Row],[Std Read]]+Table1[[#This Row],[Std Ucty]])</f>
        <v>N/A</v>
      </c>
      <c r="Z25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5" s="1" t="str">
        <f>IF(Table1[[#This Row],[Spec Type]]="","N/A",Table1[[#This Row],[Spec Type]])</f>
        <v>±</v>
      </c>
      <c r="AC2525" s="1" t="str">
        <f>IF(Table1[[#This Row],[Spec Type2]]="N/A","N/A",IF(AND(Table1[[#This Row],[DUT Adj Read]]&gt;=Table1[[#This Row],[Low Tol]],Table1[[#This Row],[DUT Adj Read]]&lt;=Table1[[#This Row],[High Tol]]),"Pass","Fail"))</f>
        <v>Fail</v>
      </c>
      <c r="AD2525" s="1" t="str">
        <f>IF(AND(Table1[[#This Row],[Spec Type2]]="N/A",Table1[[#This Row],[DUT Adj Read]]="N/A",Table1[[#This Row],[Std Adj Read]]="N/A"),"N/A",IF(Table1[[#This Row],[DUT Adj Read]]="N/A",IF(Table1[[#This Row],[Std Adj Read]]&gt;Table1[[#This Row],[Low Tol]],"Pass","Fail"),IF(Table1[[#This Row],[DUT Adj Read]]&gt;Table1[[#This Row],[Low Tol]],"Pass","Fail")))</f>
        <v>Pass</v>
      </c>
      <c r="AE2525" s="1" t="str">
        <f>IF(AND(Table1[[#This Row],[Spec Type2]]="N/A",Table1[[#This Row],[DUT Adj Read]]="N/A",Table1[[#This Row],[Std Adj Read]]="N/A"),"N/A",IF(Table1[[#This Row],[DUT Adj Read]]="N/A",IF(Table1[[#This Row],[Std Adj Read]]&lt;Table1[[#This Row],[High Tol]],"Pass","Fail"),IF(Table1[[#This Row],[DUT Adj Read]]&lt;Table1[[#This Row],[High Tol]],"Pass","Fail")))</f>
        <v>Fail</v>
      </c>
      <c r="AF2525" s="1" t="str">
        <f>IF(AND(Table1[[#This Row],[Spec Type2]]="N/A",Table1[[#This Row],[DUT Adj Read]]="N/A",Table1[[#This Row],[Std Adj Read]]="N/A"),"N/A",IF(Table1[[#This Row],[DUT Adj Read]]="N/A",IF(Table1[[#This Row],[Std Adj Read]]&gt;=Table1[[#This Row],[Low Tol]],"Pass","Fail"),IF(Table1[[#This Row],[DUT Adj Read]]&gt;=Table1[[#This Row],[Low Tol]],"Pass","Fail")))</f>
        <v>Pass</v>
      </c>
      <c r="AG2525" s="1" t="str">
        <f>IF(AND(Table1[[#This Row],[Spec Type2]]="N/A",Table1[[#This Row],[DUT Adj Read]]="N/A",Table1[[#This Row],[Std Adj Read]]="N/A"),"N/A",IF(Table1[[#This Row],[DUT Adj Read]]="N/A",IF(Table1[[#This Row],[Std Adj Read]]&lt;=Table1[[#This Row],[High Tol]],"Pass","Fail"),IF(Table1[[#This Row],[DUT Adj Read]]&lt;=Table1[[#This Row],[High Tol]],"Pass","Fail")))</f>
        <v>Fail</v>
      </c>
      <c r="AH25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5" s="1" t="b">
        <v>0</v>
      </c>
      <c r="AN2525" s="1" t="b">
        <v>0</v>
      </c>
      <c r="AO2525" s="1" t="b">
        <v>0</v>
      </c>
    </row>
    <row r="2526" spans="1:41" x14ac:dyDescent="0.25">
      <c r="A2526" s="10"/>
      <c r="B2526" s="10"/>
      <c r="C2526" s="10"/>
      <c r="D2526" s="10"/>
      <c r="E2526" s="10"/>
      <c r="F2526" s="10"/>
      <c r="G2526" s="10"/>
      <c r="H2526" s="10"/>
      <c r="I2526" s="1" t="str">
        <f t="shared" si="117"/>
        <v/>
      </c>
      <c r="J2526" s="1" t="s">
        <v>35</v>
      </c>
      <c r="K2526" s="1" t="str">
        <f t="shared" si="118"/>
        <v/>
      </c>
      <c r="L2526" s="1" t="str">
        <f t="shared" si="119"/>
        <v/>
      </c>
      <c r="M2526" s="1">
        <f>IF(OR(Table1[[#This Row],[Std Nom]]="",Table1[[#This Row],[Std Read]]=""),0,Table1[[#This Row],[Std Nom]]-Table1[[#This Row],[Std Read]])</f>
        <v>0</v>
      </c>
      <c r="N2526" s="1">
        <f>IF(Calculations!$F$5="ACCREDITED 17025 WITH UNCERTAINTIES",$N$10,0)</f>
        <v>0</v>
      </c>
      <c r="O2526" s="1" t="str">
        <f>IFERROR(Table1[[#This Row],[Std Nom]]-(_xlfn.XLOOKUP(Table1[[#This Row],[Manufacturer]]&amp;" "&amp;Table1[[#This Row],[Model]],Table13[MFR &amp; MDL],Table13[Tolerance % CW ],"")/100*Table1[[#This Row],[Std Nom]]),"")</f>
        <v/>
      </c>
      <c r="P2526" s="1" t="str">
        <f>IFERROR(Table1[[#This Row],[Std Nom]]+(_xlfn.XLOOKUP(Table1[[#This Row],[Manufacturer]]&amp;" "&amp;Table1[[#This Row],[Model]],Table13[MFR &amp; MDL],Table13[Tolerance % CW ],"")/100*Table1[[#This Row],[Std Nom]]),"")</f>
        <v/>
      </c>
      <c r="Q2526" s="1" t="e">
        <f>Table1[[#This Row],[High Tol]]-Table1[[#This Row],[Low Tol]]</f>
        <v>#VALUE!</v>
      </c>
      <c r="R2526" s="1">
        <f>2*Table1[[#This Row],[Std Error]]</f>
        <v>0</v>
      </c>
      <c r="S2526" s="1" t="str">
        <f>IF(Table1[[#This Row],[High Tol]]="","N/A",IFERROR(ABS(Table1[[#This Row],[Tol Span]]/Table1[[#This Row],[Error Span]]),"N/A"))</f>
        <v>N/A</v>
      </c>
      <c r="T2526" s="1" t="str">
        <f>IF(OR(Table1[[#This Row],[Low Tol]]="",Table1[[#This Row],[High Tol]]=""),"Needs Analysis",IF(Table1[[#This Row],[Ratio]]&gt;=4,"Not Significant",IF(Table1[[#This Row],[Ratio]]&gt;=2,"Semi-Significant","Significant")))</f>
        <v>Needs Analysis</v>
      </c>
      <c r="W2526" s="1">
        <f>IF(Table1[[#This Row],[Cal Type]]&lt;&gt;"ACCREDITED 17025 WITH UNCERTAINTIES",0,"")</f>
        <v>0</v>
      </c>
      <c r="X2526" s="1" t="str">
        <f>IF(Table1[[#This Row],[DUT Read]]="","N/A",Table1[[#This Row],[Std Error]]+Table1[[#This Row],[DUT Read]]+Table1[[#This Row],[DUT Ucty]])</f>
        <v>N/A</v>
      </c>
      <c r="Y2526" s="1" t="str">
        <f>IF(Table1[[#This Row],[Std Read]]="","N/A",Table1[[#This Row],[Std Read]]+Table1[[#This Row],[Std Ucty]])</f>
        <v>N/A</v>
      </c>
      <c r="Z25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6" s="1" t="str">
        <f>IF(Table1[[#This Row],[Spec Type]]="","N/A",Table1[[#This Row],[Spec Type]])</f>
        <v>±</v>
      </c>
      <c r="AC2526" s="1" t="str">
        <f>IF(Table1[[#This Row],[Spec Type2]]="N/A","N/A",IF(AND(Table1[[#This Row],[DUT Adj Read]]&gt;=Table1[[#This Row],[Low Tol]],Table1[[#This Row],[DUT Adj Read]]&lt;=Table1[[#This Row],[High Tol]]),"Pass","Fail"))</f>
        <v>Fail</v>
      </c>
      <c r="AD2526" s="1" t="str">
        <f>IF(AND(Table1[[#This Row],[Spec Type2]]="N/A",Table1[[#This Row],[DUT Adj Read]]="N/A",Table1[[#This Row],[Std Adj Read]]="N/A"),"N/A",IF(Table1[[#This Row],[DUT Adj Read]]="N/A",IF(Table1[[#This Row],[Std Adj Read]]&gt;Table1[[#This Row],[Low Tol]],"Pass","Fail"),IF(Table1[[#This Row],[DUT Adj Read]]&gt;Table1[[#This Row],[Low Tol]],"Pass","Fail")))</f>
        <v>Pass</v>
      </c>
      <c r="AE2526" s="1" t="str">
        <f>IF(AND(Table1[[#This Row],[Spec Type2]]="N/A",Table1[[#This Row],[DUT Adj Read]]="N/A",Table1[[#This Row],[Std Adj Read]]="N/A"),"N/A",IF(Table1[[#This Row],[DUT Adj Read]]="N/A",IF(Table1[[#This Row],[Std Adj Read]]&lt;Table1[[#This Row],[High Tol]],"Pass","Fail"),IF(Table1[[#This Row],[DUT Adj Read]]&lt;Table1[[#This Row],[High Tol]],"Pass","Fail")))</f>
        <v>Fail</v>
      </c>
      <c r="AF2526" s="1" t="str">
        <f>IF(AND(Table1[[#This Row],[Spec Type2]]="N/A",Table1[[#This Row],[DUT Adj Read]]="N/A",Table1[[#This Row],[Std Adj Read]]="N/A"),"N/A",IF(Table1[[#This Row],[DUT Adj Read]]="N/A",IF(Table1[[#This Row],[Std Adj Read]]&gt;=Table1[[#This Row],[Low Tol]],"Pass","Fail"),IF(Table1[[#This Row],[DUT Adj Read]]&gt;=Table1[[#This Row],[Low Tol]],"Pass","Fail")))</f>
        <v>Pass</v>
      </c>
      <c r="AG2526" s="1" t="str">
        <f>IF(AND(Table1[[#This Row],[Spec Type2]]="N/A",Table1[[#This Row],[DUT Adj Read]]="N/A",Table1[[#This Row],[Std Adj Read]]="N/A"),"N/A",IF(Table1[[#This Row],[DUT Adj Read]]="N/A",IF(Table1[[#This Row],[Std Adj Read]]&lt;=Table1[[#This Row],[High Tol]],"Pass","Fail"),IF(Table1[[#This Row],[DUT Adj Read]]&lt;=Table1[[#This Row],[High Tol]],"Pass","Fail")))</f>
        <v>Fail</v>
      </c>
      <c r="AH25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6" s="1" t="b">
        <v>0</v>
      </c>
      <c r="AN2526" s="1" t="b">
        <v>0</v>
      </c>
      <c r="AO2526" s="1" t="b">
        <v>0</v>
      </c>
    </row>
    <row r="2527" spans="1:41" x14ac:dyDescent="0.25">
      <c r="A2527" s="10"/>
      <c r="B2527" s="10"/>
      <c r="C2527" s="10"/>
      <c r="D2527" s="10"/>
      <c r="E2527" s="10"/>
      <c r="F2527" s="10"/>
      <c r="G2527" s="10"/>
      <c r="H2527" s="10"/>
      <c r="I2527" s="1" t="str">
        <f t="shared" si="117"/>
        <v/>
      </c>
      <c r="J2527" s="1" t="s">
        <v>35</v>
      </c>
      <c r="K2527" s="1" t="str">
        <f t="shared" si="118"/>
        <v/>
      </c>
      <c r="L2527" s="1" t="str">
        <f t="shared" si="119"/>
        <v/>
      </c>
      <c r="M2527" s="1">
        <f>IF(OR(Table1[[#This Row],[Std Nom]]="",Table1[[#This Row],[Std Read]]=""),0,Table1[[#This Row],[Std Nom]]-Table1[[#This Row],[Std Read]])</f>
        <v>0</v>
      </c>
      <c r="N2527" s="1">
        <f>IF(Calculations!$F$5="ACCREDITED 17025 WITH UNCERTAINTIES",$N$10,0)</f>
        <v>0</v>
      </c>
      <c r="O2527" s="1" t="str">
        <f>IFERROR(Table1[[#This Row],[Std Nom]]-(_xlfn.XLOOKUP(Table1[[#This Row],[Manufacturer]]&amp;" "&amp;Table1[[#This Row],[Model]],Table13[MFR &amp; MDL],Table13[Tolerance % CW ],"")/100*Table1[[#This Row],[Std Nom]]),"")</f>
        <v/>
      </c>
      <c r="P2527" s="1" t="str">
        <f>IFERROR(Table1[[#This Row],[Std Nom]]+(_xlfn.XLOOKUP(Table1[[#This Row],[Manufacturer]]&amp;" "&amp;Table1[[#This Row],[Model]],Table13[MFR &amp; MDL],Table13[Tolerance % CW ],"")/100*Table1[[#This Row],[Std Nom]]),"")</f>
        <v/>
      </c>
      <c r="Q2527" s="1" t="e">
        <f>Table1[[#This Row],[High Tol]]-Table1[[#This Row],[Low Tol]]</f>
        <v>#VALUE!</v>
      </c>
      <c r="R2527" s="1">
        <f>2*Table1[[#This Row],[Std Error]]</f>
        <v>0</v>
      </c>
      <c r="S2527" s="1" t="str">
        <f>IF(Table1[[#This Row],[High Tol]]="","N/A",IFERROR(ABS(Table1[[#This Row],[Tol Span]]/Table1[[#This Row],[Error Span]]),"N/A"))</f>
        <v>N/A</v>
      </c>
      <c r="T2527" s="1" t="str">
        <f>IF(OR(Table1[[#This Row],[Low Tol]]="",Table1[[#This Row],[High Tol]]=""),"Needs Analysis",IF(Table1[[#This Row],[Ratio]]&gt;=4,"Not Significant",IF(Table1[[#This Row],[Ratio]]&gt;=2,"Semi-Significant","Significant")))</f>
        <v>Needs Analysis</v>
      </c>
      <c r="W2527" s="1">
        <f>IF(Table1[[#This Row],[Cal Type]]&lt;&gt;"ACCREDITED 17025 WITH UNCERTAINTIES",0,"")</f>
        <v>0</v>
      </c>
      <c r="X2527" s="1" t="str">
        <f>IF(Table1[[#This Row],[DUT Read]]="","N/A",Table1[[#This Row],[Std Error]]+Table1[[#This Row],[DUT Read]]+Table1[[#This Row],[DUT Ucty]])</f>
        <v>N/A</v>
      </c>
      <c r="Y2527" s="1" t="str">
        <f>IF(Table1[[#This Row],[Std Read]]="","N/A",Table1[[#This Row],[Std Read]]+Table1[[#This Row],[Std Ucty]])</f>
        <v>N/A</v>
      </c>
      <c r="Z25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7" s="1" t="str">
        <f>IF(Table1[[#This Row],[Spec Type]]="","N/A",Table1[[#This Row],[Spec Type]])</f>
        <v>±</v>
      </c>
      <c r="AC2527" s="1" t="str">
        <f>IF(Table1[[#This Row],[Spec Type2]]="N/A","N/A",IF(AND(Table1[[#This Row],[DUT Adj Read]]&gt;=Table1[[#This Row],[Low Tol]],Table1[[#This Row],[DUT Adj Read]]&lt;=Table1[[#This Row],[High Tol]]),"Pass","Fail"))</f>
        <v>Fail</v>
      </c>
      <c r="AD2527" s="1" t="str">
        <f>IF(AND(Table1[[#This Row],[Spec Type2]]="N/A",Table1[[#This Row],[DUT Adj Read]]="N/A",Table1[[#This Row],[Std Adj Read]]="N/A"),"N/A",IF(Table1[[#This Row],[DUT Adj Read]]="N/A",IF(Table1[[#This Row],[Std Adj Read]]&gt;Table1[[#This Row],[Low Tol]],"Pass","Fail"),IF(Table1[[#This Row],[DUT Adj Read]]&gt;Table1[[#This Row],[Low Tol]],"Pass","Fail")))</f>
        <v>Pass</v>
      </c>
      <c r="AE2527" s="1" t="str">
        <f>IF(AND(Table1[[#This Row],[Spec Type2]]="N/A",Table1[[#This Row],[DUT Adj Read]]="N/A",Table1[[#This Row],[Std Adj Read]]="N/A"),"N/A",IF(Table1[[#This Row],[DUT Adj Read]]="N/A",IF(Table1[[#This Row],[Std Adj Read]]&lt;Table1[[#This Row],[High Tol]],"Pass","Fail"),IF(Table1[[#This Row],[DUT Adj Read]]&lt;Table1[[#This Row],[High Tol]],"Pass","Fail")))</f>
        <v>Fail</v>
      </c>
      <c r="AF2527" s="1" t="str">
        <f>IF(AND(Table1[[#This Row],[Spec Type2]]="N/A",Table1[[#This Row],[DUT Adj Read]]="N/A",Table1[[#This Row],[Std Adj Read]]="N/A"),"N/A",IF(Table1[[#This Row],[DUT Adj Read]]="N/A",IF(Table1[[#This Row],[Std Adj Read]]&gt;=Table1[[#This Row],[Low Tol]],"Pass","Fail"),IF(Table1[[#This Row],[DUT Adj Read]]&gt;=Table1[[#This Row],[Low Tol]],"Pass","Fail")))</f>
        <v>Pass</v>
      </c>
      <c r="AG2527" s="1" t="str">
        <f>IF(AND(Table1[[#This Row],[Spec Type2]]="N/A",Table1[[#This Row],[DUT Adj Read]]="N/A",Table1[[#This Row],[Std Adj Read]]="N/A"),"N/A",IF(Table1[[#This Row],[DUT Adj Read]]="N/A",IF(Table1[[#This Row],[Std Adj Read]]&lt;=Table1[[#This Row],[High Tol]],"Pass","Fail"),IF(Table1[[#This Row],[DUT Adj Read]]&lt;=Table1[[#This Row],[High Tol]],"Pass","Fail")))</f>
        <v>Fail</v>
      </c>
      <c r="AH25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7" s="1" t="b">
        <v>0</v>
      </c>
      <c r="AN2527" s="1" t="b">
        <v>0</v>
      </c>
      <c r="AO2527" s="1" t="b">
        <v>0</v>
      </c>
    </row>
    <row r="2528" spans="1:41" x14ac:dyDescent="0.25">
      <c r="A2528" s="10"/>
      <c r="B2528" s="10"/>
      <c r="C2528" s="10"/>
      <c r="D2528" s="10"/>
      <c r="E2528" s="10"/>
      <c r="F2528" s="10"/>
      <c r="G2528" s="10"/>
      <c r="H2528" s="10"/>
      <c r="I2528" s="1" t="str">
        <f t="shared" si="117"/>
        <v/>
      </c>
      <c r="J2528" s="1" t="s">
        <v>35</v>
      </c>
      <c r="K2528" s="1" t="str">
        <f t="shared" si="118"/>
        <v/>
      </c>
      <c r="L2528" s="1" t="str">
        <f t="shared" si="119"/>
        <v/>
      </c>
      <c r="M2528" s="1">
        <f>IF(OR(Table1[[#This Row],[Std Nom]]="",Table1[[#This Row],[Std Read]]=""),0,Table1[[#This Row],[Std Nom]]-Table1[[#This Row],[Std Read]])</f>
        <v>0</v>
      </c>
      <c r="N2528" s="1">
        <f>IF(Calculations!$F$5="ACCREDITED 17025 WITH UNCERTAINTIES",$N$10,0)</f>
        <v>0</v>
      </c>
      <c r="O2528" s="1" t="str">
        <f>IFERROR(Table1[[#This Row],[Std Nom]]-(_xlfn.XLOOKUP(Table1[[#This Row],[Manufacturer]]&amp;" "&amp;Table1[[#This Row],[Model]],Table13[MFR &amp; MDL],Table13[Tolerance % CW ],"")/100*Table1[[#This Row],[Std Nom]]),"")</f>
        <v/>
      </c>
      <c r="P2528" s="1" t="str">
        <f>IFERROR(Table1[[#This Row],[Std Nom]]+(_xlfn.XLOOKUP(Table1[[#This Row],[Manufacturer]]&amp;" "&amp;Table1[[#This Row],[Model]],Table13[MFR &amp; MDL],Table13[Tolerance % CW ],"")/100*Table1[[#This Row],[Std Nom]]),"")</f>
        <v/>
      </c>
      <c r="Q2528" s="1" t="e">
        <f>Table1[[#This Row],[High Tol]]-Table1[[#This Row],[Low Tol]]</f>
        <v>#VALUE!</v>
      </c>
      <c r="R2528" s="1">
        <f>2*Table1[[#This Row],[Std Error]]</f>
        <v>0</v>
      </c>
      <c r="S2528" s="1" t="str">
        <f>IF(Table1[[#This Row],[High Tol]]="","N/A",IFERROR(ABS(Table1[[#This Row],[Tol Span]]/Table1[[#This Row],[Error Span]]),"N/A"))</f>
        <v>N/A</v>
      </c>
      <c r="T2528" s="1" t="str">
        <f>IF(OR(Table1[[#This Row],[Low Tol]]="",Table1[[#This Row],[High Tol]]=""),"Needs Analysis",IF(Table1[[#This Row],[Ratio]]&gt;=4,"Not Significant",IF(Table1[[#This Row],[Ratio]]&gt;=2,"Semi-Significant","Significant")))</f>
        <v>Needs Analysis</v>
      </c>
      <c r="W2528" s="1">
        <f>IF(Table1[[#This Row],[Cal Type]]&lt;&gt;"ACCREDITED 17025 WITH UNCERTAINTIES",0,"")</f>
        <v>0</v>
      </c>
      <c r="X2528" s="1" t="str">
        <f>IF(Table1[[#This Row],[DUT Read]]="","N/A",Table1[[#This Row],[Std Error]]+Table1[[#This Row],[DUT Read]]+Table1[[#This Row],[DUT Ucty]])</f>
        <v>N/A</v>
      </c>
      <c r="Y2528" s="1" t="str">
        <f>IF(Table1[[#This Row],[Std Read]]="","N/A",Table1[[#This Row],[Std Read]]+Table1[[#This Row],[Std Ucty]])</f>
        <v>N/A</v>
      </c>
      <c r="Z25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8" s="1" t="str">
        <f>IF(Table1[[#This Row],[Spec Type]]="","N/A",Table1[[#This Row],[Spec Type]])</f>
        <v>±</v>
      </c>
      <c r="AC2528" s="1" t="str">
        <f>IF(Table1[[#This Row],[Spec Type2]]="N/A","N/A",IF(AND(Table1[[#This Row],[DUT Adj Read]]&gt;=Table1[[#This Row],[Low Tol]],Table1[[#This Row],[DUT Adj Read]]&lt;=Table1[[#This Row],[High Tol]]),"Pass","Fail"))</f>
        <v>Fail</v>
      </c>
      <c r="AD2528" s="1" t="str">
        <f>IF(AND(Table1[[#This Row],[Spec Type2]]="N/A",Table1[[#This Row],[DUT Adj Read]]="N/A",Table1[[#This Row],[Std Adj Read]]="N/A"),"N/A",IF(Table1[[#This Row],[DUT Adj Read]]="N/A",IF(Table1[[#This Row],[Std Adj Read]]&gt;Table1[[#This Row],[Low Tol]],"Pass","Fail"),IF(Table1[[#This Row],[DUT Adj Read]]&gt;Table1[[#This Row],[Low Tol]],"Pass","Fail")))</f>
        <v>Pass</v>
      </c>
      <c r="AE2528" s="1" t="str">
        <f>IF(AND(Table1[[#This Row],[Spec Type2]]="N/A",Table1[[#This Row],[DUT Adj Read]]="N/A",Table1[[#This Row],[Std Adj Read]]="N/A"),"N/A",IF(Table1[[#This Row],[DUT Adj Read]]="N/A",IF(Table1[[#This Row],[Std Adj Read]]&lt;Table1[[#This Row],[High Tol]],"Pass","Fail"),IF(Table1[[#This Row],[DUT Adj Read]]&lt;Table1[[#This Row],[High Tol]],"Pass","Fail")))</f>
        <v>Fail</v>
      </c>
      <c r="AF2528" s="1" t="str">
        <f>IF(AND(Table1[[#This Row],[Spec Type2]]="N/A",Table1[[#This Row],[DUT Adj Read]]="N/A",Table1[[#This Row],[Std Adj Read]]="N/A"),"N/A",IF(Table1[[#This Row],[DUT Adj Read]]="N/A",IF(Table1[[#This Row],[Std Adj Read]]&gt;=Table1[[#This Row],[Low Tol]],"Pass","Fail"),IF(Table1[[#This Row],[DUT Adj Read]]&gt;=Table1[[#This Row],[Low Tol]],"Pass","Fail")))</f>
        <v>Pass</v>
      </c>
      <c r="AG2528" s="1" t="str">
        <f>IF(AND(Table1[[#This Row],[Spec Type2]]="N/A",Table1[[#This Row],[DUT Adj Read]]="N/A",Table1[[#This Row],[Std Adj Read]]="N/A"),"N/A",IF(Table1[[#This Row],[DUT Adj Read]]="N/A",IF(Table1[[#This Row],[Std Adj Read]]&lt;=Table1[[#This Row],[High Tol]],"Pass","Fail"),IF(Table1[[#This Row],[DUT Adj Read]]&lt;=Table1[[#This Row],[High Tol]],"Pass","Fail")))</f>
        <v>Fail</v>
      </c>
      <c r="AH25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8" s="1" t="b">
        <v>0</v>
      </c>
      <c r="AN2528" s="1" t="b">
        <v>0</v>
      </c>
      <c r="AO2528" s="1" t="b">
        <v>0</v>
      </c>
    </row>
    <row r="2529" spans="1:41" x14ac:dyDescent="0.25">
      <c r="A2529" s="10"/>
      <c r="B2529" s="10"/>
      <c r="C2529" s="10"/>
      <c r="D2529" s="10"/>
      <c r="E2529" s="10"/>
      <c r="F2529" s="10"/>
      <c r="G2529" s="10"/>
      <c r="H2529" s="10"/>
      <c r="I2529" s="1" t="str">
        <f t="shared" si="117"/>
        <v/>
      </c>
      <c r="J2529" s="1" t="s">
        <v>35</v>
      </c>
      <c r="K2529" s="1" t="str">
        <f t="shared" si="118"/>
        <v/>
      </c>
      <c r="L2529" s="1" t="str">
        <f t="shared" si="119"/>
        <v/>
      </c>
      <c r="M2529" s="1">
        <f>IF(OR(Table1[[#This Row],[Std Nom]]="",Table1[[#This Row],[Std Read]]=""),0,Table1[[#This Row],[Std Nom]]-Table1[[#This Row],[Std Read]])</f>
        <v>0</v>
      </c>
      <c r="N2529" s="1">
        <f>IF(Calculations!$F$5="ACCREDITED 17025 WITH UNCERTAINTIES",$N$10,0)</f>
        <v>0</v>
      </c>
      <c r="O2529" s="1" t="str">
        <f>IFERROR(Table1[[#This Row],[Std Nom]]-(_xlfn.XLOOKUP(Table1[[#This Row],[Manufacturer]]&amp;" "&amp;Table1[[#This Row],[Model]],Table13[MFR &amp; MDL],Table13[Tolerance % CW ],"")/100*Table1[[#This Row],[Std Nom]]),"")</f>
        <v/>
      </c>
      <c r="P2529" s="1" t="str">
        <f>IFERROR(Table1[[#This Row],[Std Nom]]+(_xlfn.XLOOKUP(Table1[[#This Row],[Manufacturer]]&amp;" "&amp;Table1[[#This Row],[Model]],Table13[MFR &amp; MDL],Table13[Tolerance % CW ],"")/100*Table1[[#This Row],[Std Nom]]),"")</f>
        <v/>
      </c>
      <c r="Q2529" s="1" t="e">
        <f>Table1[[#This Row],[High Tol]]-Table1[[#This Row],[Low Tol]]</f>
        <v>#VALUE!</v>
      </c>
      <c r="R2529" s="1">
        <f>2*Table1[[#This Row],[Std Error]]</f>
        <v>0</v>
      </c>
      <c r="S2529" s="1" t="str">
        <f>IF(Table1[[#This Row],[High Tol]]="","N/A",IFERROR(ABS(Table1[[#This Row],[Tol Span]]/Table1[[#This Row],[Error Span]]),"N/A"))</f>
        <v>N/A</v>
      </c>
      <c r="T2529" s="1" t="str">
        <f>IF(OR(Table1[[#This Row],[Low Tol]]="",Table1[[#This Row],[High Tol]]=""),"Needs Analysis",IF(Table1[[#This Row],[Ratio]]&gt;=4,"Not Significant",IF(Table1[[#This Row],[Ratio]]&gt;=2,"Semi-Significant","Significant")))</f>
        <v>Needs Analysis</v>
      </c>
      <c r="W2529" s="1">
        <f>IF(Table1[[#This Row],[Cal Type]]&lt;&gt;"ACCREDITED 17025 WITH UNCERTAINTIES",0,"")</f>
        <v>0</v>
      </c>
      <c r="X2529" s="1" t="str">
        <f>IF(Table1[[#This Row],[DUT Read]]="","N/A",Table1[[#This Row],[Std Error]]+Table1[[#This Row],[DUT Read]]+Table1[[#This Row],[DUT Ucty]])</f>
        <v>N/A</v>
      </c>
      <c r="Y2529" s="1" t="str">
        <f>IF(Table1[[#This Row],[Std Read]]="","N/A",Table1[[#This Row],[Std Read]]+Table1[[#This Row],[Std Ucty]])</f>
        <v>N/A</v>
      </c>
      <c r="Z25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9" s="1" t="str">
        <f>IF(Table1[[#This Row],[Spec Type]]="","N/A",Table1[[#This Row],[Spec Type]])</f>
        <v>±</v>
      </c>
      <c r="AC2529" s="1" t="str">
        <f>IF(Table1[[#This Row],[Spec Type2]]="N/A","N/A",IF(AND(Table1[[#This Row],[DUT Adj Read]]&gt;=Table1[[#This Row],[Low Tol]],Table1[[#This Row],[DUT Adj Read]]&lt;=Table1[[#This Row],[High Tol]]),"Pass","Fail"))</f>
        <v>Fail</v>
      </c>
      <c r="AD2529" s="1" t="str">
        <f>IF(AND(Table1[[#This Row],[Spec Type2]]="N/A",Table1[[#This Row],[DUT Adj Read]]="N/A",Table1[[#This Row],[Std Adj Read]]="N/A"),"N/A",IF(Table1[[#This Row],[DUT Adj Read]]="N/A",IF(Table1[[#This Row],[Std Adj Read]]&gt;Table1[[#This Row],[Low Tol]],"Pass","Fail"),IF(Table1[[#This Row],[DUT Adj Read]]&gt;Table1[[#This Row],[Low Tol]],"Pass","Fail")))</f>
        <v>Pass</v>
      </c>
      <c r="AE2529" s="1" t="str">
        <f>IF(AND(Table1[[#This Row],[Spec Type2]]="N/A",Table1[[#This Row],[DUT Adj Read]]="N/A",Table1[[#This Row],[Std Adj Read]]="N/A"),"N/A",IF(Table1[[#This Row],[DUT Adj Read]]="N/A",IF(Table1[[#This Row],[Std Adj Read]]&lt;Table1[[#This Row],[High Tol]],"Pass","Fail"),IF(Table1[[#This Row],[DUT Adj Read]]&lt;Table1[[#This Row],[High Tol]],"Pass","Fail")))</f>
        <v>Fail</v>
      </c>
      <c r="AF2529" s="1" t="str">
        <f>IF(AND(Table1[[#This Row],[Spec Type2]]="N/A",Table1[[#This Row],[DUT Adj Read]]="N/A",Table1[[#This Row],[Std Adj Read]]="N/A"),"N/A",IF(Table1[[#This Row],[DUT Adj Read]]="N/A",IF(Table1[[#This Row],[Std Adj Read]]&gt;=Table1[[#This Row],[Low Tol]],"Pass","Fail"),IF(Table1[[#This Row],[DUT Adj Read]]&gt;=Table1[[#This Row],[Low Tol]],"Pass","Fail")))</f>
        <v>Pass</v>
      </c>
      <c r="AG2529" s="1" t="str">
        <f>IF(AND(Table1[[#This Row],[Spec Type2]]="N/A",Table1[[#This Row],[DUT Adj Read]]="N/A",Table1[[#This Row],[Std Adj Read]]="N/A"),"N/A",IF(Table1[[#This Row],[DUT Adj Read]]="N/A",IF(Table1[[#This Row],[Std Adj Read]]&lt;=Table1[[#This Row],[High Tol]],"Pass","Fail"),IF(Table1[[#This Row],[DUT Adj Read]]&lt;=Table1[[#This Row],[High Tol]],"Pass","Fail")))</f>
        <v>Fail</v>
      </c>
      <c r="AH25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9" s="1" t="b">
        <v>0</v>
      </c>
      <c r="AN2529" s="1" t="b">
        <v>0</v>
      </c>
      <c r="AO2529" s="1" t="b">
        <v>0</v>
      </c>
    </row>
    <row r="2530" spans="1:41" x14ac:dyDescent="0.25">
      <c r="A2530" s="10"/>
      <c r="B2530" s="10"/>
      <c r="C2530" s="10"/>
      <c r="D2530" s="10"/>
      <c r="E2530" s="10"/>
      <c r="F2530" s="10"/>
      <c r="G2530" s="10"/>
      <c r="H2530" s="10"/>
      <c r="I2530" s="1" t="str">
        <f t="shared" si="117"/>
        <v/>
      </c>
      <c r="J2530" s="1" t="s">
        <v>35</v>
      </c>
      <c r="K2530" s="1" t="str">
        <f t="shared" si="118"/>
        <v/>
      </c>
      <c r="L2530" s="1" t="str">
        <f t="shared" si="119"/>
        <v/>
      </c>
      <c r="M2530" s="1">
        <f>IF(OR(Table1[[#This Row],[Std Nom]]="",Table1[[#This Row],[Std Read]]=""),0,Table1[[#This Row],[Std Nom]]-Table1[[#This Row],[Std Read]])</f>
        <v>0</v>
      </c>
      <c r="N2530" s="1">
        <f>IF(Calculations!$F$5="ACCREDITED 17025 WITH UNCERTAINTIES",$N$10,0)</f>
        <v>0</v>
      </c>
      <c r="O2530" s="1" t="str">
        <f>IFERROR(Table1[[#This Row],[Std Nom]]-(_xlfn.XLOOKUP(Table1[[#This Row],[Manufacturer]]&amp;" "&amp;Table1[[#This Row],[Model]],Table13[MFR &amp; MDL],Table13[Tolerance % CW ],"")/100*Table1[[#This Row],[Std Nom]]),"")</f>
        <v/>
      </c>
      <c r="P2530" s="1" t="str">
        <f>IFERROR(Table1[[#This Row],[Std Nom]]+(_xlfn.XLOOKUP(Table1[[#This Row],[Manufacturer]]&amp;" "&amp;Table1[[#This Row],[Model]],Table13[MFR &amp; MDL],Table13[Tolerance % CW ],"")/100*Table1[[#This Row],[Std Nom]]),"")</f>
        <v/>
      </c>
      <c r="Q2530" s="1" t="e">
        <f>Table1[[#This Row],[High Tol]]-Table1[[#This Row],[Low Tol]]</f>
        <v>#VALUE!</v>
      </c>
      <c r="R2530" s="1">
        <f>2*Table1[[#This Row],[Std Error]]</f>
        <v>0</v>
      </c>
      <c r="S2530" s="1" t="str">
        <f>IF(Table1[[#This Row],[High Tol]]="","N/A",IFERROR(ABS(Table1[[#This Row],[Tol Span]]/Table1[[#This Row],[Error Span]]),"N/A"))</f>
        <v>N/A</v>
      </c>
      <c r="T2530" s="1" t="str">
        <f>IF(OR(Table1[[#This Row],[Low Tol]]="",Table1[[#This Row],[High Tol]]=""),"Needs Analysis",IF(Table1[[#This Row],[Ratio]]&gt;=4,"Not Significant",IF(Table1[[#This Row],[Ratio]]&gt;=2,"Semi-Significant","Significant")))</f>
        <v>Needs Analysis</v>
      </c>
      <c r="W2530" s="1">
        <f>IF(Table1[[#This Row],[Cal Type]]&lt;&gt;"ACCREDITED 17025 WITH UNCERTAINTIES",0,"")</f>
        <v>0</v>
      </c>
      <c r="X2530" s="1" t="str">
        <f>IF(Table1[[#This Row],[DUT Read]]="","N/A",Table1[[#This Row],[Std Error]]+Table1[[#This Row],[DUT Read]]+Table1[[#This Row],[DUT Ucty]])</f>
        <v>N/A</v>
      </c>
      <c r="Y2530" s="1" t="str">
        <f>IF(Table1[[#This Row],[Std Read]]="","N/A",Table1[[#This Row],[Std Read]]+Table1[[#This Row],[Std Ucty]])</f>
        <v>N/A</v>
      </c>
      <c r="Z25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0" s="1" t="str">
        <f>IF(Table1[[#This Row],[Spec Type]]="","N/A",Table1[[#This Row],[Spec Type]])</f>
        <v>±</v>
      </c>
      <c r="AC2530" s="1" t="str">
        <f>IF(Table1[[#This Row],[Spec Type2]]="N/A","N/A",IF(AND(Table1[[#This Row],[DUT Adj Read]]&gt;=Table1[[#This Row],[Low Tol]],Table1[[#This Row],[DUT Adj Read]]&lt;=Table1[[#This Row],[High Tol]]),"Pass","Fail"))</f>
        <v>Fail</v>
      </c>
      <c r="AD2530" s="1" t="str">
        <f>IF(AND(Table1[[#This Row],[Spec Type2]]="N/A",Table1[[#This Row],[DUT Adj Read]]="N/A",Table1[[#This Row],[Std Adj Read]]="N/A"),"N/A",IF(Table1[[#This Row],[DUT Adj Read]]="N/A",IF(Table1[[#This Row],[Std Adj Read]]&gt;Table1[[#This Row],[Low Tol]],"Pass","Fail"),IF(Table1[[#This Row],[DUT Adj Read]]&gt;Table1[[#This Row],[Low Tol]],"Pass","Fail")))</f>
        <v>Pass</v>
      </c>
      <c r="AE2530" s="1" t="str">
        <f>IF(AND(Table1[[#This Row],[Spec Type2]]="N/A",Table1[[#This Row],[DUT Adj Read]]="N/A",Table1[[#This Row],[Std Adj Read]]="N/A"),"N/A",IF(Table1[[#This Row],[DUT Adj Read]]="N/A",IF(Table1[[#This Row],[Std Adj Read]]&lt;Table1[[#This Row],[High Tol]],"Pass","Fail"),IF(Table1[[#This Row],[DUT Adj Read]]&lt;Table1[[#This Row],[High Tol]],"Pass","Fail")))</f>
        <v>Fail</v>
      </c>
      <c r="AF2530" s="1" t="str">
        <f>IF(AND(Table1[[#This Row],[Spec Type2]]="N/A",Table1[[#This Row],[DUT Adj Read]]="N/A",Table1[[#This Row],[Std Adj Read]]="N/A"),"N/A",IF(Table1[[#This Row],[DUT Adj Read]]="N/A",IF(Table1[[#This Row],[Std Adj Read]]&gt;=Table1[[#This Row],[Low Tol]],"Pass","Fail"),IF(Table1[[#This Row],[DUT Adj Read]]&gt;=Table1[[#This Row],[Low Tol]],"Pass","Fail")))</f>
        <v>Pass</v>
      </c>
      <c r="AG2530" s="1" t="str">
        <f>IF(AND(Table1[[#This Row],[Spec Type2]]="N/A",Table1[[#This Row],[DUT Adj Read]]="N/A",Table1[[#This Row],[Std Adj Read]]="N/A"),"N/A",IF(Table1[[#This Row],[DUT Adj Read]]="N/A",IF(Table1[[#This Row],[Std Adj Read]]&lt;=Table1[[#This Row],[High Tol]],"Pass","Fail"),IF(Table1[[#This Row],[DUT Adj Read]]&lt;=Table1[[#This Row],[High Tol]],"Pass","Fail")))</f>
        <v>Fail</v>
      </c>
      <c r="AH25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0" s="1" t="b">
        <v>0</v>
      </c>
      <c r="AN2530" s="1" t="b">
        <v>0</v>
      </c>
      <c r="AO2530" s="1" t="b">
        <v>0</v>
      </c>
    </row>
    <row r="2531" spans="1:41" x14ac:dyDescent="0.25">
      <c r="A2531" s="10"/>
      <c r="B2531" s="10"/>
      <c r="C2531" s="10"/>
      <c r="D2531" s="10"/>
      <c r="E2531" s="10"/>
      <c r="F2531" s="10"/>
      <c r="G2531" s="10"/>
      <c r="H2531" s="10"/>
      <c r="I2531" s="1" t="str">
        <f t="shared" si="117"/>
        <v/>
      </c>
      <c r="J2531" s="1" t="s">
        <v>35</v>
      </c>
      <c r="K2531" s="1" t="str">
        <f t="shared" si="118"/>
        <v/>
      </c>
      <c r="L2531" s="1" t="str">
        <f t="shared" si="119"/>
        <v/>
      </c>
      <c r="M2531" s="1">
        <f>IF(OR(Table1[[#This Row],[Std Nom]]="",Table1[[#This Row],[Std Read]]=""),0,Table1[[#This Row],[Std Nom]]-Table1[[#This Row],[Std Read]])</f>
        <v>0</v>
      </c>
      <c r="N2531" s="1">
        <f>IF(Calculations!$F$5="ACCREDITED 17025 WITH UNCERTAINTIES",$N$10,0)</f>
        <v>0</v>
      </c>
      <c r="O2531" s="1" t="str">
        <f>IFERROR(Table1[[#This Row],[Std Nom]]-(_xlfn.XLOOKUP(Table1[[#This Row],[Manufacturer]]&amp;" "&amp;Table1[[#This Row],[Model]],Table13[MFR &amp; MDL],Table13[Tolerance % CW ],"")/100*Table1[[#This Row],[Std Nom]]),"")</f>
        <v/>
      </c>
      <c r="P2531" s="1" t="str">
        <f>IFERROR(Table1[[#This Row],[Std Nom]]+(_xlfn.XLOOKUP(Table1[[#This Row],[Manufacturer]]&amp;" "&amp;Table1[[#This Row],[Model]],Table13[MFR &amp; MDL],Table13[Tolerance % CW ],"")/100*Table1[[#This Row],[Std Nom]]),"")</f>
        <v/>
      </c>
      <c r="Q2531" s="1" t="e">
        <f>Table1[[#This Row],[High Tol]]-Table1[[#This Row],[Low Tol]]</f>
        <v>#VALUE!</v>
      </c>
      <c r="R2531" s="1">
        <f>2*Table1[[#This Row],[Std Error]]</f>
        <v>0</v>
      </c>
      <c r="S2531" s="1" t="str">
        <f>IF(Table1[[#This Row],[High Tol]]="","N/A",IFERROR(ABS(Table1[[#This Row],[Tol Span]]/Table1[[#This Row],[Error Span]]),"N/A"))</f>
        <v>N/A</v>
      </c>
      <c r="T2531" s="1" t="str">
        <f>IF(OR(Table1[[#This Row],[Low Tol]]="",Table1[[#This Row],[High Tol]]=""),"Needs Analysis",IF(Table1[[#This Row],[Ratio]]&gt;=4,"Not Significant",IF(Table1[[#This Row],[Ratio]]&gt;=2,"Semi-Significant","Significant")))</f>
        <v>Needs Analysis</v>
      </c>
      <c r="W2531" s="1">
        <f>IF(Table1[[#This Row],[Cal Type]]&lt;&gt;"ACCREDITED 17025 WITH UNCERTAINTIES",0,"")</f>
        <v>0</v>
      </c>
      <c r="X2531" s="1" t="str">
        <f>IF(Table1[[#This Row],[DUT Read]]="","N/A",Table1[[#This Row],[Std Error]]+Table1[[#This Row],[DUT Read]]+Table1[[#This Row],[DUT Ucty]])</f>
        <v>N/A</v>
      </c>
      <c r="Y2531" s="1" t="str">
        <f>IF(Table1[[#This Row],[Std Read]]="","N/A",Table1[[#This Row],[Std Read]]+Table1[[#This Row],[Std Ucty]])</f>
        <v>N/A</v>
      </c>
      <c r="Z25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1" s="1" t="str">
        <f>IF(Table1[[#This Row],[Spec Type]]="","N/A",Table1[[#This Row],[Spec Type]])</f>
        <v>±</v>
      </c>
      <c r="AC2531" s="1" t="str">
        <f>IF(Table1[[#This Row],[Spec Type2]]="N/A","N/A",IF(AND(Table1[[#This Row],[DUT Adj Read]]&gt;=Table1[[#This Row],[Low Tol]],Table1[[#This Row],[DUT Adj Read]]&lt;=Table1[[#This Row],[High Tol]]),"Pass","Fail"))</f>
        <v>Fail</v>
      </c>
      <c r="AD2531" s="1" t="str">
        <f>IF(AND(Table1[[#This Row],[Spec Type2]]="N/A",Table1[[#This Row],[DUT Adj Read]]="N/A",Table1[[#This Row],[Std Adj Read]]="N/A"),"N/A",IF(Table1[[#This Row],[DUT Adj Read]]="N/A",IF(Table1[[#This Row],[Std Adj Read]]&gt;Table1[[#This Row],[Low Tol]],"Pass","Fail"),IF(Table1[[#This Row],[DUT Adj Read]]&gt;Table1[[#This Row],[Low Tol]],"Pass","Fail")))</f>
        <v>Pass</v>
      </c>
      <c r="AE2531" s="1" t="str">
        <f>IF(AND(Table1[[#This Row],[Spec Type2]]="N/A",Table1[[#This Row],[DUT Adj Read]]="N/A",Table1[[#This Row],[Std Adj Read]]="N/A"),"N/A",IF(Table1[[#This Row],[DUT Adj Read]]="N/A",IF(Table1[[#This Row],[Std Adj Read]]&lt;Table1[[#This Row],[High Tol]],"Pass","Fail"),IF(Table1[[#This Row],[DUT Adj Read]]&lt;Table1[[#This Row],[High Tol]],"Pass","Fail")))</f>
        <v>Fail</v>
      </c>
      <c r="AF2531" s="1" t="str">
        <f>IF(AND(Table1[[#This Row],[Spec Type2]]="N/A",Table1[[#This Row],[DUT Adj Read]]="N/A",Table1[[#This Row],[Std Adj Read]]="N/A"),"N/A",IF(Table1[[#This Row],[DUT Adj Read]]="N/A",IF(Table1[[#This Row],[Std Adj Read]]&gt;=Table1[[#This Row],[Low Tol]],"Pass","Fail"),IF(Table1[[#This Row],[DUT Adj Read]]&gt;=Table1[[#This Row],[Low Tol]],"Pass","Fail")))</f>
        <v>Pass</v>
      </c>
      <c r="AG2531" s="1" t="str">
        <f>IF(AND(Table1[[#This Row],[Spec Type2]]="N/A",Table1[[#This Row],[DUT Adj Read]]="N/A",Table1[[#This Row],[Std Adj Read]]="N/A"),"N/A",IF(Table1[[#This Row],[DUT Adj Read]]="N/A",IF(Table1[[#This Row],[Std Adj Read]]&lt;=Table1[[#This Row],[High Tol]],"Pass","Fail"),IF(Table1[[#This Row],[DUT Adj Read]]&lt;=Table1[[#This Row],[High Tol]],"Pass","Fail")))</f>
        <v>Fail</v>
      </c>
      <c r="AH25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1" s="1" t="b">
        <v>0</v>
      </c>
      <c r="AN2531" s="1" t="b">
        <v>0</v>
      </c>
      <c r="AO2531" s="1" t="b">
        <v>0</v>
      </c>
    </row>
    <row r="2532" spans="1:41" x14ac:dyDescent="0.25">
      <c r="A2532" s="10"/>
      <c r="B2532" s="10"/>
      <c r="C2532" s="10"/>
      <c r="D2532" s="10"/>
      <c r="E2532" s="10"/>
      <c r="F2532" s="10"/>
      <c r="G2532" s="10"/>
      <c r="H2532" s="10"/>
      <c r="I2532" s="1" t="str">
        <f t="shared" si="117"/>
        <v/>
      </c>
      <c r="J2532" s="1" t="s">
        <v>35</v>
      </c>
      <c r="K2532" s="1" t="str">
        <f t="shared" si="118"/>
        <v/>
      </c>
      <c r="L2532" s="1" t="str">
        <f t="shared" si="119"/>
        <v/>
      </c>
      <c r="M2532" s="1">
        <f>IF(OR(Table1[[#This Row],[Std Nom]]="",Table1[[#This Row],[Std Read]]=""),0,Table1[[#This Row],[Std Nom]]-Table1[[#This Row],[Std Read]])</f>
        <v>0</v>
      </c>
      <c r="N2532" s="1">
        <f>IF(Calculations!$F$5="ACCREDITED 17025 WITH UNCERTAINTIES",$N$10,0)</f>
        <v>0</v>
      </c>
      <c r="O2532" s="1" t="str">
        <f>IFERROR(Table1[[#This Row],[Std Nom]]-(_xlfn.XLOOKUP(Table1[[#This Row],[Manufacturer]]&amp;" "&amp;Table1[[#This Row],[Model]],Table13[MFR &amp; MDL],Table13[Tolerance % CW ],"")/100*Table1[[#This Row],[Std Nom]]),"")</f>
        <v/>
      </c>
      <c r="P2532" s="1" t="str">
        <f>IFERROR(Table1[[#This Row],[Std Nom]]+(_xlfn.XLOOKUP(Table1[[#This Row],[Manufacturer]]&amp;" "&amp;Table1[[#This Row],[Model]],Table13[MFR &amp; MDL],Table13[Tolerance % CW ],"")/100*Table1[[#This Row],[Std Nom]]),"")</f>
        <v/>
      </c>
      <c r="Q2532" s="1" t="e">
        <f>Table1[[#This Row],[High Tol]]-Table1[[#This Row],[Low Tol]]</f>
        <v>#VALUE!</v>
      </c>
      <c r="R2532" s="1">
        <f>2*Table1[[#This Row],[Std Error]]</f>
        <v>0</v>
      </c>
      <c r="S2532" s="1" t="str">
        <f>IF(Table1[[#This Row],[High Tol]]="","N/A",IFERROR(ABS(Table1[[#This Row],[Tol Span]]/Table1[[#This Row],[Error Span]]),"N/A"))</f>
        <v>N/A</v>
      </c>
      <c r="T2532" s="1" t="str">
        <f>IF(OR(Table1[[#This Row],[Low Tol]]="",Table1[[#This Row],[High Tol]]=""),"Needs Analysis",IF(Table1[[#This Row],[Ratio]]&gt;=4,"Not Significant",IF(Table1[[#This Row],[Ratio]]&gt;=2,"Semi-Significant","Significant")))</f>
        <v>Needs Analysis</v>
      </c>
      <c r="W2532" s="1">
        <f>IF(Table1[[#This Row],[Cal Type]]&lt;&gt;"ACCREDITED 17025 WITH UNCERTAINTIES",0,"")</f>
        <v>0</v>
      </c>
      <c r="X2532" s="1" t="str">
        <f>IF(Table1[[#This Row],[DUT Read]]="","N/A",Table1[[#This Row],[Std Error]]+Table1[[#This Row],[DUT Read]]+Table1[[#This Row],[DUT Ucty]])</f>
        <v>N/A</v>
      </c>
      <c r="Y2532" s="1" t="str">
        <f>IF(Table1[[#This Row],[Std Read]]="","N/A",Table1[[#This Row],[Std Read]]+Table1[[#This Row],[Std Ucty]])</f>
        <v>N/A</v>
      </c>
      <c r="Z25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2" s="1" t="str">
        <f>IF(Table1[[#This Row],[Spec Type]]="","N/A",Table1[[#This Row],[Spec Type]])</f>
        <v>±</v>
      </c>
      <c r="AC2532" s="1" t="str">
        <f>IF(Table1[[#This Row],[Spec Type2]]="N/A","N/A",IF(AND(Table1[[#This Row],[DUT Adj Read]]&gt;=Table1[[#This Row],[Low Tol]],Table1[[#This Row],[DUT Adj Read]]&lt;=Table1[[#This Row],[High Tol]]),"Pass","Fail"))</f>
        <v>Fail</v>
      </c>
      <c r="AD2532" s="1" t="str">
        <f>IF(AND(Table1[[#This Row],[Spec Type2]]="N/A",Table1[[#This Row],[DUT Adj Read]]="N/A",Table1[[#This Row],[Std Adj Read]]="N/A"),"N/A",IF(Table1[[#This Row],[DUT Adj Read]]="N/A",IF(Table1[[#This Row],[Std Adj Read]]&gt;Table1[[#This Row],[Low Tol]],"Pass","Fail"),IF(Table1[[#This Row],[DUT Adj Read]]&gt;Table1[[#This Row],[Low Tol]],"Pass","Fail")))</f>
        <v>Pass</v>
      </c>
      <c r="AE2532" s="1" t="str">
        <f>IF(AND(Table1[[#This Row],[Spec Type2]]="N/A",Table1[[#This Row],[DUT Adj Read]]="N/A",Table1[[#This Row],[Std Adj Read]]="N/A"),"N/A",IF(Table1[[#This Row],[DUT Adj Read]]="N/A",IF(Table1[[#This Row],[Std Adj Read]]&lt;Table1[[#This Row],[High Tol]],"Pass","Fail"),IF(Table1[[#This Row],[DUT Adj Read]]&lt;Table1[[#This Row],[High Tol]],"Pass","Fail")))</f>
        <v>Fail</v>
      </c>
      <c r="AF2532" s="1" t="str">
        <f>IF(AND(Table1[[#This Row],[Spec Type2]]="N/A",Table1[[#This Row],[DUT Adj Read]]="N/A",Table1[[#This Row],[Std Adj Read]]="N/A"),"N/A",IF(Table1[[#This Row],[DUT Adj Read]]="N/A",IF(Table1[[#This Row],[Std Adj Read]]&gt;=Table1[[#This Row],[Low Tol]],"Pass","Fail"),IF(Table1[[#This Row],[DUT Adj Read]]&gt;=Table1[[#This Row],[Low Tol]],"Pass","Fail")))</f>
        <v>Pass</v>
      </c>
      <c r="AG2532" s="1" t="str">
        <f>IF(AND(Table1[[#This Row],[Spec Type2]]="N/A",Table1[[#This Row],[DUT Adj Read]]="N/A",Table1[[#This Row],[Std Adj Read]]="N/A"),"N/A",IF(Table1[[#This Row],[DUT Adj Read]]="N/A",IF(Table1[[#This Row],[Std Adj Read]]&lt;=Table1[[#This Row],[High Tol]],"Pass","Fail"),IF(Table1[[#This Row],[DUT Adj Read]]&lt;=Table1[[#This Row],[High Tol]],"Pass","Fail")))</f>
        <v>Fail</v>
      </c>
      <c r="AH25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2" s="1" t="b">
        <v>0</v>
      </c>
      <c r="AN2532" s="1" t="b">
        <v>0</v>
      </c>
      <c r="AO2532" s="1" t="b">
        <v>0</v>
      </c>
    </row>
    <row r="2533" spans="1:41" x14ac:dyDescent="0.25">
      <c r="A2533" s="10"/>
      <c r="B2533" s="10"/>
      <c r="C2533" s="10"/>
      <c r="D2533" s="10"/>
      <c r="E2533" s="10"/>
      <c r="F2533" s="10"/>
      <c r="G2533" s="10"/>
      <c r="H2533" s="10"/>
      <c r="I2533" s="1" t="str">
        <f t="shared" si="117"/>
        <v/>
      </c>
      <c r="J2533" s="1" t="s">
        <v>35</v>
      </c>
      <c r="K2533" s="1" t="str">
        <f t="shared" si="118"/>
        <v/>
      </c>
      <c r="L2533" s="1" t="str">
        <f t="shared" si="119"/>
        <v/>
      </c>
      <c r="M2533" s="1">
        <f>IF(OR(Table1[[#This Row],[Std Nom]]="",Table1[[#This Row],[Std Read]]=""),0,Table1[[#This Row],[Std Nom]]-Table1[[#This Row],[Std Read]])</f>
        <v>0</v>
      </c>
      <c r="N2533" s="1">
        <f>IF(Calculations!$F$5="ACCREDITED 17025 WITH UNCERTAINTIES",$N$10,0)</f>
        <v>0</v>
      </c>
      <c r="O2533" s="1" t="str">
        <f>IFERROR(Table1[[#This Row],[Std Nom]]-(_xlfn.XLOOKUP(Table1[[#This Row],[Manufacturer]]&amp;" "&amp;Table1[[#This Row],[Model]],Table13[MFR &amp; MDL],Table13[Tolerance % CW ],"")/100*Table1[[#This Row],[Std Nom]]),"")</f>
        <v/>
      </c>
      <c r="P2533" s="1" t="str">
        <f>IFERROR(Table1[[#This Row],[Std Nom]]+(_xlfn.XLOOKUP(Table1[[#This Row],[Manufacturer]]&amp;" "&amp;Table1[[#This Row],[Model]],Table13[MFR &amp; MDL],Table13[Tolerance % CW ],"")/100*Table1[[#This Row],[Std Nom]]),"")</f>
        <v/>
      </c>
      <c r="Q2533" s="1" t="e">
        <f>Table1[[#This Row],[High Tol]]-Table1[[#This Row],[Low Tol]]</f>
        <v>#VALUE!</v>
      </c>
      <c r="R2533" s="1">
        <f>2*Table1[[#This Row],[Std Error]]</f>
        <v>0</v>
      </c>
      <c r="S2533" s="1" t="str">
        <f>IF(Table1[[#This Row],[High Tol]]="","N/A",IFERROR(ABS(Table1[[#This Row],[Tol Span]]/Table1[[#This Row],[Error Span]]),"N/A"))</f>
        <v>N/A</v>
      </c>
      <c r="T2533" s="1" t="str">
        <f>IF(OR(Table1[[#This Row],[Low Tol]]="",Table1[[#This Row],[High Tol]]=""),"Needs Analysis",IF(Table1[[#This Row],[Ratio]]&gt;=4,"Not Significant",IF(Table1[[#This Row],[Ratio]]&gt;=2,"Semi-Significant","Significant")))</f>
        <v>Needs Analysis</v>
      </c>
      <c r="W2533" s="1">
        <f>IF(Table1[[#This Row],[Cal Type]]&lt;&gt;"ACCREDITED 17025 WITH UNCERTAINTIES",0,"")</f>
        <v>0</v>
      </c>
      <c r="X2533" s="1" t="str">
        <f>IF(Table1[[#This Row],[DUT Read]]="","N/A",Table1[[#This Row],[Std Error]]+Table1[[#This Row],[DUT Read]]+Table1[[#This Row],[DUT Ucty]])</f>
        <v>N/A</v>
      </c>
      <c r="Y2533" s="1" t="str">
        <f>IF(Table1[[#This Row],[Std Read]]="","N/A",Table1[[#This Row],[Std Read]]+Table1[[#This Row],[Std Ucty]])</f>
        <v>N/A</v>
      </c>
      <c r="Z25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3" s="1" t="str">
        <f>IF(Table1[[#This Row],[Spec Type]]="","N/A",Table1[[#This Row],[Spec Type]])</f>
        <v>±</v>
      </c>
      <c r="AC2533" s="1" t="str">
        <f>IF(Table1[[#This Row],[Spec Type2]]="N/A","N/A",IF(AND(Table1[[#This Row],[DUT Adj Read]]&gt;=Table1[[#This Row],[Low Tol]],Table1[[#This Row],[DUT Adj Read]]&lt;=Table1[[#This Row],[High Tol]]),"Pass","Fail"))</f>
        <v>Fail</v>
      </c>
      <c r="AD2533" s="1" t="str">
        <f>IF(AND(Table1[[#This Row],[Spec Type2]]="N/A",Table1[[#This Row],[DUT Adj Read]]="N/A",Table1[[#This Row],[Std Adj Read]]="N/A"),"N/A",IF(Table1[[#This Row],[DUT Adj Read]]="N/A",IF(Table1[[#This Row],[Std Adj Read]]&gt;Table1[[#This Row],[Low Tol]],"Pass","Fail"),IF(Table1[[#This Row],[DUT Adj Read]]&gt;Table1[[#This Row],[Low Tol]],"Pass","Fail")))</f>
        <v>Pass</v>
      </c>
      <c r="AE2533" s="1" t="str">
        <f>IF(AND(Table1[[#This Row],[Spec Type2]]="N/A",Table1[[#This Row],[DUT Adj Read]]="N/A",Table1[[#This Row],[Std Adj Read]]="N/A"),"N/A",IF(Table1[[#This Row],[DUT Adj Read]]="N/A",IF(Table1[[#This Row],[Std Adj Read]]&lt;Table1[[#This Row],[High Tol]],"Pass","Fail"),IF(Table1[[#This Row],[DUT Adj Read]]&lt;Table1[[#This Row],[High Tol]],"Pass","Fail")))</f>
        <v>Fail</v>
      </c>
      <c r="AF2533" s="1" t="str">
        <f>IF(AND(Table1[[#This Row],[Spec Type2]]="N/A",Table1[[#This Row],[DUT Adj Read]]="N/A",Table1[[#This Row],[Std Adj Read]]="N/A"),"N/A",IF(Table1[[#This Row],[DUT Adj Read]]="N/A",IF(Table1[[#This Row],[Std Adj Read]]&gt;=Table1[[#This Row],[Low Tol]],"Pass","Fail"),IF(Table1[[#This Row],[DUT Adj Read]]&gt;=Table1[[#This Row],[Low Tol]],"Pass","Fail")))</f>
        <v>Pass</v>
      </c>
      <c r="AG2533" s="1" t="str">
        <f>IF(AND(Table1[[#This Row],[Spec Type2]]="N/A",Table1[[#This Row],[DUT Adj Read]]="N/A",Table1[[#This Row],[Std Adj Read]]="N/A"),"N/A",IF(Table1[[#This Row],[DUT Adj Read]]="N/A",IF(Table1[[#This Row],[Std Adj Read]]&lt;=Table1[[#This Row],[High Tol]],"Pass","Fail"),IF(Table1[[#This Row],[DUT Adj Read]]&lt;=Table1[[#This Row],[High Tol]],"Pass","Fail")))</f>
        <v>Fail</v>
      </c>
      <c r="AH25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3" s="1" t="b">
        <v>0</v>
      </c>
      <c r="AN2533" s="1" t="b">
        <v>0</v>
      </c>
      <c r="AO2533" s="1" t="b">
        <v>0</v>
      </c>
    </row>
    <row r="2534" spans="1:41" x14ac:dyDescent="0.25">
      <c r="A2534" s="10"/>
      <c r="B2534" s="10"/>
      <c r="C2534" s="10"/>
      <c r="D2534" s="10"/>
      <c r="E2534" s="10"/>
      <c r="F2534" s="10"/>
      <c r="G2534" s="10"/>
      <c r="H2534" s="10"/>
      <c r="I2534" s="1" t="str">
        <f t="shared" si="117"/>
        <v/>
      </c>
      <c r="J2534" s="1" t="s">
        <v>35</v>
      </c>
      <c r="K2534" s="1" t="str">
        <f t="shared" si="118"/>
        <v/>
      </c>
      <c r="L2534" s="1" t="str">
        <f t="shared" si="119"/>
        <v/>
      </c>
      <c r="M2534" s="1">
        <f>IF(OR(Table1[[#This Row],[Std Nom]]="",Table1[[#This Row],[Std Read]]=""),0,Table1[[#This Row],[Std Nom]]-Table1[[#This Row],[Std Read]])</f>
        <v>0</v>
      </c>
      <c r="N2534" s="1">
        <f>IF(Calculations!$F$5="ACCREDITED 17025 WITH UNCERTAINTIES",$N$10,0)</f>
        <v>0</v>
      </c>
      <c r="O2534" s="1" t="str">
        <f>IFERROR(Table1[[#This Row],[Std Nom]]-(_xlfn.XLOOKUP(Table1[[#This Row],[Manufacturer]]&amp;" "&amp;Table1[[#This Row],[Model]],Table13[MFR &amp; MDL],Table13[Tolerance % CW ],"")/100*Table1[[#This Row],[Std Nom]]),"")</f>
        <v/>
      </c>
      <c r="P2534" s="1" t="str">
        <f>IFERROR(Table1[[#This Row],[Std Nom]]+(_xlfn.XLOOKUP(Table1[[#This Row],[Manufacturer]]&amp;" "&amp;Table1[[#This Row],[Model]],Table13[MFR &amp; MDL],Table13[Tolerance % CW ],"")/100*Table1[[#This Row],[Std Nom]]),"")</f>
        <v/>
      </c>
      <c r="Q2534" s="1" t="e">
        <f>Table1[[#This Row],[High Tol]]-Table1[[#This Row],[Low Tol]]</f>
        <v>#VALUE!</v>
      </c>
      <c r="R2534" s="1">
        <f>2*Table1[[#This Row],[Std Error]]</f>
        <v>0</v>
      </c>
      <c r="S2534" s="1" t="str">
        <f>IF(Table1[[#This Row],[High Tol]]="","N/A",IFERROR(ABS(Table1[[#This Row],[Tol Span]]/Table1[[#This Row],[Error Span]]),"N/A"))</f>
        <v>N/A</v>
      </c>
      <c r="T2534" s="1" t="str">
        <f>IF(OR(Table1[[#This Row],[Low Tol]]="",Table1[[#This Row],[High Tol]]=""),"Needs Analysis",IF(Table1[[#This Row],[Ratio]]&gt;=4,"Not Significant",IF(Table1[[#This Row],[Ratio]]&gt;=2,"Semi-Significant","Significant")))</f>
        <v>Needs Analysis</v>
      </c>
      <c r="W2534" s="1">
        <f>IF(Table1[[#This Row],[Cal Type]]&lt;&gt;"ACCREDITED 17025 WITH UNCERTAINTIES",0,"")</f>
        <v>0</v>
      </c>
      <c r="X2534" s="1" t="str">
        <f>IF(Table1[[#This Row],[DUT Read]]="","N/A",Table1[[#This Row],[Std Error]]+Table1[[#This Row],[DUT Read]]+Table1[[#This Row],[DUT Ucty]])</f>
        <v>N/A</v>
      </c>
      <c r="Y2534" s="1" t="str">
        <f>IF(Table1[[#This Row],[Std Read]]="","N/A",Table1[[#This Row],[Std Read]]+Table1[[#This Row],[Std Ucty]])</f>
        <v>N/A</v>
      </c>
      <c r="Z25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4" s="1" t="str">
        <f>IF(Table1[[#This Row],[Spec Type]]="","N/A",Table1[[#This Row],[Spec Type]])</f>
        <v>±</v>
      </c>
      <c r="AC2534" s="1" t="str">
        <f>IF(Table1[[#This Row],[Spec Type2]]="N/A","N/A",IF(AND(Table1[[#This Row],[DUT Adj Read]]&gt;=Table1[[#This Row],[Low Tol]],Table1[[#This Row],[DUT Adj Read]]&lt;=Table1[[#This Row],[High Tol]]),"Pass","Fail"))</f>
        <v>Fail</v>
      </c>
      <c r="AD2534" s="1" t="str">
        <f>IF(AND(Table1[[#This Row],[Spec Type2]]="N/A",Table1[[#This Row],[DUT Adj Read]]="N/A",Table1[[#This Row],[Std Adj Read]]="N/A"),"N/A",IF(Table1[[#This Row],[DUT Adj Read]]="N/A",IF(Table1[[#This Row],[Std Adj Read]]&gt;Table1[[#This Row],[Low Tol]],"Pass","Fail"),IF(Table1[[#This Row],[DUT Adj Read]]&gt;Table1[[#This Row],[Low Tol]],"Pass","Fail")))</f>
        <v>Pass</v>
      </c>
      <c r="AE2534" s="1" t="str">
        <f>IF(AND(Table1[[#This Row],[Spec Type2]]="N/A",Table1[[#This Row],[DUT Adj Read]]="N/A",Table1[[#This Row],[Std Adj Read]]="N/A"),"N/A",IF(Table1[[#This Row],[DUT Adj Read]]="N/A",IF(Table1[[#This Row],[Std Adj Read]]&lt;Table1[[#This Row],[High Tol]],"Pass","Fail"),IF(Table1[[#This Row],[DUT Adj Read]]&lt;Table1[[#This Row],[High Tol]],"Pass","Fail")))</f>
        <v>Fail</v>
      </c>
      <c r="AF2534" s="1" t="str">
        <f>IF(AND(Table1[[#This Row],[Spec Type2]]="N/A",Table1[[#This Row],[DUT Adj Read]]="N/A",Table1[[#This Row],[Std Adj Read]]="N/A"),"N/A",IF(Table1[[#This Row],[DUT Adj Read]]="N/A",IF(Table1[[#This Row],[Std Adj Read]]&gt;=Table1[[#This Row],[Low Tol]],"Pass","Fail"),IF(Table1[[#This Row],[DUT Adj Read]]&gt;=Table1[[#This Row],[Low Tol]],"Pass","Fail")))</f>
        <v>Pass</v>
      </c>
      <c r="AG2534" s="1" t="str">
        <f>IF(AND(Table1[[#This Row],[Spec Type2]]="N/A",Table1[[#This Row],[DUT Adj Read]]="N/A",Table1[[#This Row],[Std Adj Read]]="N/A"),"N/A",IF(Table1[[#This Row],[DUT Adj Read]]="N/A",IF(Table1[[#This Row],[Std Adj Read]]&lt;=Table1[[#This Row],[High Tol]],"Pass","Fail"),IF(Table1[[#This Row],[DUT Adj Read]]&lt;=Table1[[#This Row],[High Tol]],"Pass","Fail")))</f>
        <v>Fail</v>
      </c>
      <c r="AH25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4" s="1" t="b">
        <v>0</v>
      </c>
      <c r="AN2534" s="1" t="b">
        <v>0</v>
      </c>
      <c r="AO2534" s="1" t="b">
        <v>0</v>
      </c>
    </row>
    <row r="2535" spans="1:41" x14ac:dyDescent="0.25">
      <c r="A2535" s="10"/>
      <c r="B2535" s="10"/>
      <c r="C2535" s="10"/>
      <c r="D2535" s="10"/>
      <c r="E2535" s="10"/>
      <c r="F2535" s="10"/>
      <c r="G2535" s="10"/>
      <c r="H2535" s="10"/>
      <c r="I2535" s="1" t="str">
        <f t="shared" si="117"/>
        <v/>
      </c>
      <c r="J2535" s="1" t="s">
        <v>35</v>
      </c>
      <c r="K2535" s="1" t="str">
        <f t="shared" si="118"/>
        <v/>
      </c>
      <c r="L2535" s="1" t="str">
        <f t="shared" si="119"/>
        <v/>
      </c>
      <c r="M2535" s="1">
        <f>IF(OR(Table1[[#This Row],[Std Nom]]="",Table1[[#This Row],[Std Read]]=""),0,Table1[[#This Row],[Std Nom]]-Table1[[#This Row],[Std Read]])</f>
        <v>0</v>
      </c>
      <c r="N2535" s="1">
        <f>IF(Calculations!$F$5="ACCREDITED 17025 WITH UNCERTAINTIES",$N$10,0)</f>
        <v>0</v>
      </c>
      <c r="O2535" s="1" t="str">
        <f>IFERROR(Table1[[#This Row],[Std Nom]]-(_xlfn.XLOOKUP(Table1[[#This Row],[Manufacturer]]&amp;" "&amp;Table1[[#This Row],[Model]],Table13[MFR &amp; MDL],Table13[Tolerance % CW ],"")/100*Table1[[#This Row],[Std Nom]]),"")</f>
        <v/>
      </c>
      <c r="P2535" s="1" t="str">
        <f>IFERROR(Table1[[#This Row],[Std Nom]]+(_xlfn.XLOOKUP(Table1[[#This Row],[Manufacturer]]&amp;" "&amp;Table1[[#This Row],[Model]],Table13[MFR &amp; MDL],Table13[Tolerance % CW ],"")/100*Table1[[#This Row],[Std Nom]]),"")</f>
        <v/>
      </c>
      <c r="Q2535" s="1" t="e">
        <f>Table1[[#This Row],[High Tol]]-Table1[[#This Row],[Low Tol]]</f>
        <v>#VALUE!</v>
      </c>
      <c r="R2535" s="1">
        <f>2*Table1[[#This Row],[Std Error]]</f>
        <v>0</v>
      </c>
      <c r="S2535" s="1" t="str">
        <f>IF(Table1[[#This Row],[High Tol]]="","N/A",IFERROR(ABS(Table1[[#This Row],[Tol Span]]/Table1[[#This Row],[Error Span]]),"N/A"))</f>
        <v>N/A</v>
      </c>
      <c r="T2535" s="1" t="str">
        <f>IF(OR(Table1[[#This Row],[Low Tol]]="",Table1[[#This Row],[High Tol]]=""),"Needs Analysis",IF(Table1[[#This Row],[Ratio]]&gt;=4,"Not Significant",IF(Table1[[#This Row],[Ratio]]&gt;=2,"Semi-Significant","Significant")))</f>
        <v>Needs Analysis</v>
      </c>
      <c r="W2535" s="1">
        <f>IF(Table1[[#This Row],[Cal Type]]&lt;&gt;"ACCREDITED 17025 WITH UNCERTAINTIES",0,"")</f>
        <v>0</v>
      </c>
      <c r="X2535" s="1" t="str">
        <f>IF(Table1[[#This Row],[DUT Read]]="","N/A",Table1[[#This Row],[Std Error]]+Table1[[#This Row],[DUT Read]]+Table1[[#This Row],[DUT Ucty]])</f>
        <v>N/A</v>
      </c>
      <c r="Y2535" s="1" t="str">
        <f>IF(Table1[[#This Row],[Std Read]]="","N/A",Table1[[#This Row],[Std Read]]+Table1[[#This Row],[Std Ucty]])</f>
        <v>N/A</v>
      </c>
      <c r="Z25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5" s="1" t="str">
        <f>IF(Table1[[#This Row],[Spec Type]]="","N/A",Table1[[#This Row],[Spec Type]])</f>
        <v>±</v>
      </c>
      <c r="AC2535" s="1" t="str">
        <f>IF(Table1[[#This Row],[Spec Type2]]="N/A","N/A",IF(AND(Table1[[#This Row],[DUT Adj Read]]&gt;=Table1[[#This Row],[Low Tol]],Table1[[#This Row],[DUT Adj Read]]&lt;=Table1[[#This Row],[High Tol]]),"Pass","Fail"))</f>
        <v>Fail</v>
      </c>
      <c r="AD2535" s="1" t="str">
        <f>IF(AND(Table1[[#This Row],[Spec Type2]]="N/A",Table1[[#This Row],[DUT Adj Read]]="N/A",Table1[[#This Row],[Std Adj Read]]="N/A"),"N/A",IF(Table1[[#This Row],[DUT Adj Read]]="N/A",IF(Table1[[#This Row],[Std Adj Read]]&gt;Table1[[#This Row],[Low Tol]],"Pass","Fail"),IF(Table1[[#This Row],[DUT Adj Read]]&gt;Table1[[#This Row],[Low Tol]],"Pass","Fail")))</f>
        <v>Pass</v>
      </c>
      <c r="AE2535" s="1" t="str">
        <f>IF(AND(Table1[[#This Row],[Spec Type2]]="N/A",Table1[[#This Row],[DUT Adj Read]]="N/A",Table1[[#This Row],[Std Adj Read]]="N/A"),"N/A",IF(Table1[[#This Row],[DUT Adj Read]]="N/A",IF(Table1[[#This Row],[Std Adj Read]]&lt;Table1[[#This Row],[High Tol]],"Pass","Fail"),IF(Table1[[#This Row],[DUT Adj Read]]&lt;Table1[[#This Row],[High Tol]],"Pass","Fail")))</f>
        <v>Fail</v>
      </c>
      <c r="AF2535" s="1" t="str">
        <f>IF(AND(Table1[[#This Row],[Spec Type2]]="N/A",Table1[[#This Row],[DUT Adj Read]]="N/A",Table1[[#This Row],[Std Adj Read]]="N/A"),"N/A",IF(Table1[[#This Row],[DUT Adj Read]]="N/A",IF(Table1[[#This Row],[Std Adj Read]]&gt;=Table1[[#This Row],[Low Tol]],"Pass","Fail"),IF(Table1[[#This Row],[DUT Adj Read]]&gt;=Table1[[#This Row],[Low Tol]],"Pass","Fail")))</f>
        <v>Pass</v>
      </c>
      <c r="AG2535" s="1" t="str">
        <f>IF(AND(Table1[[#This Row],[Spec Type2]]="N/A",Table1[[#This Row],[DUT Adj Read]]="N/A",Table1[[#This Row],[Std Adj Read]]="N/A"),"N/A",IF(Table1[[#This Row],[DUT Adj Read]]="N/A",IF(Table1[[#This Row],[Std Adj Read]]&lt;=Table1[[#This Row],[High Tol]],"Pass","Fail"),IF(Table1[[#This Row],[DUT Adj Read]]&lt;=Table1[[#This Row],[High Tol]],"Pass","Fail")))</f>
        <v>Fail</v>
      </c>
      <c r="AH25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5" s="1" t="b">
        <v>0</v>
      </c>
      <c r="AN2535" s="1" t="b">
        <v>0</v>
      </c>
      <c r="AO2535" s="1" t="b">
        <v>0</v>
      </c>
    </row>
    <row r="2536" spans="1:41" x14ac:dyDescent="0.25">
      <c r="A2536" s="10"/>
      <c r="B2536" s="10"/>
      <c r="C2536" s="10"/>
      <c r="D2536" s="10"/>
      <c r="E2536" s="10"/>
      <c r="F2536" s="10"/>
      <c r="G2536" s="10"/>
      <c r="H2536" s="10"/>
      <c r="I2536" s="1" t="str">
        <f t="shared" si="117"/>
        <v/>
      </c>
      <c r="J2536" s="1" t="s">
        <v>35</v>
      </c>
      <c r="K2536" s="1" t="str">
        <f t="shared" si="118"/>
        <v/>
      </c>
      <c r="L2536" s="1" t="str">
        <f t="shared" si="119"/>
        <v/>
      </c>
      <c r="M2536" s="1">
        <f>IF(OR(Table1[[#This Row],[Std Nom]]="",Table1[[#This Row],[Std Read]]=""),0,Table1[[#This Row],[Std Nom]]-Table1[[#This Row],[Std Read]])</f>
        <v>0</v>
      </c>
      <c r="N2536" s="1">
        <f>IF(Calculations!$F$5="ACCREDITED 17025 WITH UNCERTAINTIES",$N$10,0)</f>
        <v>0</v>
      </c>
      <c r="O2536" s="1" t="str">
        <f>IFERROR(Table1[[#This Row],[Std Nom]]-(_xlfn.XLOOKUP(Table1[[#This Row],[Manufacturer]]&amp;" "&amp;Table1[[#This Row],[Model]],Table13[MFR &amp; MDL],Table13[Tolerance % CW ],"")/100*Table1[[#This Row],[Std Nom]]),"")</f>
        <v/>
      </c>
      <c r="P2536" s="1" t="str">
        <f>IFERROR(Table1[[#This Row],[Std Nom]]+(_xlfn.XLOOKUP(Table1[[#This Row],[Manufacturer]]&amp;" "&amp;Table1[[#This Row],[Model]],Table13[MFR &amp; MDL],Table13[Tolerance % CW ],"")/100*Table1[[#This Row],[Std Nom]]),"")</f>
        <v/>
      </c>
      <c r="Q2536" s="1" t="e">
        <f>Table1[[#This Row],[High Tol]]-Table1[[#This Row],[Low Tol]]</f>
        <v>#VALUE!</v>
      </c>
      <c r="R2536" s="1">
        <f>2*Table1[[#This Row],[Std Error]]</f>
        <v>0</v>
      </c>
      <c r="S2536" s="1" t="str">
        <f>IF(Table1[[#This Row],[High Tol]]="","N/A",IFERROR(ABS(Table1[[#This Row],[Tol Span]]/Table1[[#This Row],[Error Span]]),"N/A"))</f>
        <v>N/A</v>
      </c>
      <c r="T2536" s="1" t="str">
        <f>IF(OR(Table1[[#This Row],[Low Tol]]="",Table1[[#This Row],[High Tol]]=""),"Needs Analysis",IF(Table1[[#This Row],[Ratio]]&gt;=4,"Not Significant",IF(Table1[[#This Row],[Ratio]]&gt;=2,"Semi-Significant","Significant")))</f>
        <v>Needs Analysis</v>
      </c>
      <c r="W2536" s="1">
        <f>IF(Table1[[#This Row],[Cal Type]]&lt;&gt;"ACCREDITED 17025 WITH UNCERTAINTIES",0,"")</f>
        <v>0</v>
      </c>
      <c r="X2536" s="1" t="str">
        <f>IF(Table1[[#This Row],[DUT Read]]="","N/A",Table1[[#This Row],[Std Error]]+Table1[[#This Row],[DUT Read]]+Table1[[#This Row],[DUT Ucty]])</f>
        <v>N/A</v>
      </c>
      <c r="Y2536" s="1" t="str">
        <f>IF(Table1[[#This Row],[Std Read]]="","N/A",Table1[[#This Row],[Std Read]]+Table1[[#This Row],[Std Ucty]])</f>
        <v>N/A</v>
      </c>
      <c r="Z25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6" s="1" t="str">
        <f>IF(Table1[[#This Row],[Spec Type]]="","N/A",Table1[[#This Row],[Spec Type]])</f>
        <v>±</v>
      </c>
      <c r="AC2536" s="1" t="str">
        <f>IF(Table1[[#This Row],[Spec Type2]]="N/A","N/A",IF(AND(Table1[[#This Row],[DUT Adj Read]]&gt;=Table1[[#This Row],[Low Tol]],Table1[[#This Row],[DUT Adj Read]]&lt;=Table1[[#This Row],[High Tol]]),"Pass","Fail"))</f>
        <v>Fail</v>
      </c>
      <c r="AD2536" s="1" t="str">
        <f>IF(AND(Table1[[#This Row],[Spec Type2]]="N/A",Table1[[#This Row],[DUT Adj Read]]="N/A",Table1[[#This Row],[Std Adj Read]]="N/A"),"N/A",IF(Table1[[#This Row],[DUT Adj Read]]="N/A",IF(Table1[[#This Row],[Std Adj Read]]&gt;Table1[[#This Row],[Low Tol]],"Pass","Fail"),IF(Table1[[#This Row],[DUT Adj Read]]&gt;Table1[[#This Row],[Low Tol]],"Pass","Fail")))</f>
        <v>Pass</v>
      </c>
      <c r="AE2536" s="1" t="str">
        <f>IF(AND(Table1[[#This Row],[Spec Type2]]="N/A",Table1[[#This Row],[DUT Adj Read]]="N/A",Table1[[#This Row],[Std Adj Read]]="N/A"),"N/A",IF(Table1[[#This Row],[DUT Adj Read]]="N/A",IF(Table1[[#This Row],[Std Adj Read]]&lt;Table1[[#This Row],[High Tol]],"Pass","Fail"),IF(Table1[[#This Row],[DUT Adj Read]]&lt;Table1[[#This Row],[High Tol]],"Pass","Fail")))</f>
        <v>Fail</v>
      </c>
      <c r="AF2536" s="1" t="str">
        <f>IF(AND(Table1[[#This Row],[Spec Type2]]="N/A",Table1[[#This Row],[DUT Adj Read]]="N/A",Table1[[#This Row],[Std Adj Read]]="N/A"),"N/A",IF(Table1[[#This Row],[DUT Adj Read]]="N/A",IF(Table1[[#This Row],[Std Adj Read]]&gt;=Table1[[#This Row],[Low Tol]],"Pass","Fail"),IF(Table1[[#This Row],[DUT Adj Read]]&gt;=Table1[[#This Row],[Low Tol]],"Pass","Fail")))</f>
        <v>Pass</v>
      </c>
      <c r="AG2536" s="1" t="str">
        <f>IF(AND(Table1[[#This Row],[Spec Type2]]="N/A",Table1[[#This Row],[DUT Adj Read]]="N/A",Table1[[#This Row],[Std Adj Read]]="N/A"),"N/A",IF(Table1[[#This Row],[DUT Adj Read]]="N/A",IF(Table1[[#This Row],[Std Adj Read]]&lt;=Table1[[#This Row],[High Tol]],"Pass","Fail"),IF(Table1[[#This Row],[DUT Adj Read]]&lt;=Table1[[#This Row],[High Tol]],"Pass","Fail")))</f>
        <v>Fail</v>
      </c>
      <c r="AH25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6" s="1" t="b">
        <v>0</v>
      </c>
      <c r="AN2536" s="1" t="b">
        <v>0</v>
      </c>
      <c r="AO2536" s="1" t="b">
        <v>0</v>
      </c>
    </row>
    <row r="2537" spans="1:41" x14ac:dyDescent="0.25">
      <c r="A2537" s="10"/>
      <c r="B2537" s="10"/>
      <c r="C2537" s="10"/>
      <c r="D2537" s="10"/>
      <c r="E2537" s="10"/>
      <c r="F2537" s="10"/>
      <c r="G2537" s="10"/>
      <c r="H2537" s="10"/>
      <c r="I2537" s="1" t="str">
        <f t="shared" si="117"/>
        <v/>
      </c>
      <c r="J2537" s="1" t="s">
        <v>35</v>
      </c>
      <c r="K2537" s="1" t="str">
        <f t="shared" si="118"/>
        <v/>
      </c>
      <c r="L2537" s="1" t="str">
        <f t="shared" si="119"/>
        <v/>
      </c>
      <c r="M2537" s="1">
        <f>IF(OR(Table1[[#This Row],[Std Nom]]="",Table1[[#This Row],[Std Read]]=""),0,Table1[[#This Row],[Std Nom]]-Table1[[#This Row],[Std Read]])</f>
        <v>0</v>
      </c>
      <c r="N2537" s="1">
        <f>IF(Calculations!$F$5="ACCREDITED 17025 WITH UNCERTAINTIES",$N$10,0)</f>
        <v>0</v>
      </c>
      <c r="O2537" s="1" t="str">
        <f>IFERROR(Table1[[#This Row],[Std Nom]]-(_xlfn.XLOOKUP(Table1[[#This Row],[Manufacturer]]&amp;" "&amp;Table1[[#This Row],[Model]],Table13[MFR &amp; MDL],Table13[Tolerance % CW ],"")/100*Table1[[#This Row],[Std Nom]]),"")</f>
        <v/>
      </c>
      <c r="P2537" s="1" t="str">
        <f>IFERROR(Table1[[#This Row],[Std Nom]]+(_xlfn.XLOOKUP(Table1[[#This Row],[Manufacturer]]&amp;" "&amp;Table1[[#This Row],[Model]],Table13[MFR &amp; MDL],Table13[Tolerance % CW ],"")/100*Table1[[#This Row],[Std Nom]]),"")</f>
        <v/>
      </c>
      <c r="Q2537" s="1" t="e">
        <f>Table1[[#This Row],[High Tol]]-Table1[[#This Row],[Low Tol]]</f>
        <v>#VALUE!</v>
      </c>
      <c r="R2537" s="1">
        <f>2*Table1[[#This Row],[Std Error]]</f>
        <v>0</v>
      </c>
      <c r="S2537" s="1" t="str">
        <f>IF(Table1[[#This Row],[High Tol]]="","N/A",IFERROR(ABS(Table1[[#This Row],[Tol Span]]/Table1[[#This Row],[Error Span]]),"N/A"))</f>
        <v>N/A</v>
      </c>
      <c r="T2537" s="1" t="str">
        <f>IF(OR(Table1[[#This Row],[Low Tol]]="",Table1[[#This Row],[High Tol]]=""),"Needs Analysis",IF(Table1[[#This Row],[Ratio]]&gt;=4,"Not Significant",IF(Table1[[#This Row],[Ratio]]&gt;=2,"Semi-Significant","Significant")))</f>
        <v>Needs Analysis</v>
      </c>
      <c r="W2537" s="1">
        <f>IF(Table1[[#This Row],[Cal Type]]&lt;&gt;"ACCREDITED 17025 WITH UNCERTAINTIES",0,"")</f>
        <v>0</v>
      </c>
      <c r="X2537" s="1" t="str">
        <f>IF(Table1[[#This Row],[DUT Read]]="","N/A",Table1[[#This Row],[Std Error]]+Table1[[#This Row],[DUT Read]]+Table1[[#This Row],[DUT Ucty]])</f>
        <v>N/A</v>
      </c>
      <c r="Y2537" s="1" t="str">
        <f>IF(Table1[[#This Row],[Std Read]]="","N/A",Table1[[#This Row],[Std Read]]+Table1[[#This Row],[Std Ucty]])</f>
        <v>N/A</v>
      </c>
      <c r="Z25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7" s="1" t="str">
        <f>IF(Table1[[#This Row],[Spec Type]]="","N/A",Table1[[#This Row],[Spec Type]])</f>
        <v>±</v>
      </c>
      <c r="AC2537" s="1" t="str">
        <f>IF(Table1[[#This Row],[Spec Type2]]="N/A","N/A",IF(AND(Table1[[#This Row],[DUT Adj Read]]&gt;=Table1[[#This Row],[Low Tol]],Table1[[#This Row],[DUT Adj Read]]&lt;=Table1[[#This Row],[High Tol]]),"Pass","Fail"))</f>
        <v>Fail</v>
      </c>
      <c r="AD2537" s="1" t="str">
        <f>IF(AND(Table1[[#This Row],[Spec Type2]]="N/A",Table1[[#This Row],[DUT Adj Read]]="N/A",Table1[[#This Row],[Std Adj Read]]="N/A"),"N/A",IF(Table1[[#This Row],[DUT Adj Read]]="N/A",IF(Table1[[#This Row],[Std Adj Read]]&gt;Table1[[#This Row],[Low Tol]],"Pass","Fail"),IF(Table1[[#This Row],[DUT Adj Read]]&gt;Table1[[#This Row],[Low Tol]],"Pass","Fail")))</f>
        <v>Pass</v>
      </c>
      <c r="AE2537" s="1" t="str">
        <f>IF(AND(Table1[[#This Row],[Spec Type2]]="N/A",Table1[[#This Row],[DUT Adj Read]]="N/A",Table1[[#This Row],[Std Adj Read]]="N/A"),"N/A",IF(Table1[[#This Row],[DUT Adj Read]]="N/A",IF(Table1[[#This Row],[Std Adj Read]]&lt;Table1[[#This Row],[High Tol]],"Pass","Fail"),IF(Table1[[#This Row],[DUT Adj Read]]&lt;Table1[[#This Row],[High Tol]],"Pass","Fail")))</f>
        <v>Fail</v>
      </c>
      <c r="AF2537" s="1" t="str">
        <f>IF(AND(Table1[[#This Row],[Spec Type2]]="N/A",Table1[[#This Row],[DUT Adj Read]]="N/A",Table1[[#This Row],[Std Adj Read]]="N/A"),"N/A",IF(Table1[[#This Row],[DUT Adj Read]]="N/A",IF(Table1[[#This Row],[Std Adj Read]]&gt;=Table1[[#This Row],[Low Tol]],"Pass","Fail"),IF(Table1[[#This Row],[DUT Adj Read]]&gt;=Table1[[#This Row],[Low Tol]],"Pass","Fail")))</f>
        <v>Pass</v>
      </c>
      <c r="AG2537" s="1" t="str">
        <f>IF(AND(Table1[[#This Row],[Spec Type2]]="N/A",Table1[[#This Row],[DUT Adj Read]]="N/A",Table1[[#This Row],[Std Adj Read]]="N/A"),"N/A",IF(Table1[[#This Row],[DUT Adj Read]]="N/A",IF(Table1[[#This Row],[Std Adj Read]]&lt;=Table1[[#This Row],[High Tol]],"Pass","Fail"),IF(Table1[[#This Row],[DUT Adj Read]]&lt;=Table1[[#This Row],[High Tol]],"Pass","Fail")))</f>
        <v>Fail</v>
      </c>
      <c r="AH25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7" s="1" t="b">
        <v>0</v>
      </c>
      <c r="AN2537" s="1" t="b">
        <v>0</v>
      </c>
      <c r="AO2537" s="1" t="b">
        <v>0</v>
      </c>
    </row>
    <row r="2538" spans="1:41" x14ac:dyDescent="0.25">
      <c r="A2538" s="10"/>
      <c r="B2538" s="10"/>
      <c r="C2538" s="10"/>
      <c r="D2538" s="10"/>
      <c r="E2538" s="10"/>
      <c r="F2538" s="10"/>
      <c r="G2538" s="10"/>
      <c r="H2538" s="10"/>
      <c r="I2538" s="1" t="str">
        <f t="shared" si="117"/>
        <v/>
      </c>
      <c r="J2538" s="1" t="s">
        <v>35</v>
      </c>
      <c r="K2538" s="1" t="str">
        <f t="shared" si="118"/>
        <v/>
      </c>
      <c r="L2538" s="1" t="str">
        <f t="shared" si="119"/>
        <v/>
      </c>
      <c r="M2538" s="1">
        <f>IF(OR(Table1[[#This Row],[Std Nom]]="",Table1[[#This Row],[Std Read]]=""),0,Table1[[#This Row],[Std Nom]]-Table1[[#This Row],[Std Read]])</f>
        <v>0</v>
      </c>
      <c r="N2538" s="1">
        <f>IF(Calculations!$F$5="ACCREDITED 17025 WITH UNCERTAINTIES",$N$10,0)</f>
        <v>0</v>
      </c>
      <c r="O2538" s="1" t="str">
        <f>IFERROR(Table1[[#This Row],[Std Nom]]-(_xlfn.XLOOKUP(Table1[[#This Row],[Manufacturer]]&amp;" "&amp;Table1[[#This Row],[Model]],Table13[MFR &amp; MDL],Table13[Tolerance % CW ],"")/100*Table1[[#This Row],[Std Nom]]),"")</f>
        <v/>
      </c>
      <c r="P2538" s="1" t="str">
        <f>IFERROR(Table1[[#This Row],[Std Nom]]+(_xlfn.XLOOKUP(Table1[[#This Row],[Manufacturer]]&amp;" "&amp;Table1[[#This Row],[Model]],Table13[MFR &amp; MDL],Table13[Tolerance % CW ],"")/100*Table1[[#This Row],[Std Nom]]),"")</f>
        <v/>
      </c>
      <c r="Q2538" s="1" t="e">
        <f>Table1[[#This Row],[High Tol]]-Table1[[#This Row],[Low Tol]]</f>
        <v>#VALUE!</v>
      </c>
      <c r="R2538" s="1">
        <f>2*Table1[[#This Row],[Std Error]]</f>
        <v>0</v>
      </c>
      <c r="S2538" s="1" t="str">
        <f>IF(Table1[[#This Row],[High Tol]]="","N/A",IFERROR(ABS(Table1[[#This Row],[Tol Span]]/Table1[[#This Row],[Error Span]]),"N/A"))</f>
        <v>N/A</v>
      </c>
      <c r="T2538" s="1" t="str">
        <f>IF(OR(Table1[[#This Row],[Low Tol]]="",Table1[[#This Row],[High Tol]]=""),"Needs Analysis",IF(Table1[[#This Row],[Ratio]]&gt;=4,"Not Significant",IF(Table1[[#This Row],[Ratio]]&gt;=2,"Semi-Significant","Significant")))</f>
        <v>Needs Analysis</v>
      </c>
      <c r="W2538" s="1">
        <f>IF(Table1[[#This Row],[Cal Type]]&lt;&gt;"ACCREDITED 17025 WITH UNCERTAINTIES",0,"")</f>
        <v>0</v>
      </c>
      <c r="X2538" s="1" t="str">
        <f>IF(Table1[[#This Row],[DUT Read]]="","N/A",Table1[[#This Row],[Std Error]]+Table1[[#This Row],[DUT Read]]+Table1[[#This Row],[DUT Ucty]])</f>
        <v>N/A</v>
      </c>
      <c r="Y2538" s="1" t="str">
        <f>IF(Table1[[#This Row],[Std Read]]="","N/A",Table1[[#This Row],[Std Read]]+Table1[[#This Row],[Std Ucty]])</f>
        <v>N/A</v>
      </c>
      <c r="Z25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8" s="1" t="str">
        <f>IF(Table1[[#This Row],[Spec Type]]="","N/A",Table1[[#This Row],[Spec Type]])</f>
        <v>±</v>
      </c>
      <c r="AC2538" s="1" t="str">
        <f>IF(Table1[[#This Row],[Spec Type2]]="N/A","N/A",IF(AND(Table1[[#This Row],[DUT Adj Read]]&gt;=Table1[[#This Row],[Low Tol]],Table1[[#This Row],[DUT Adj Read]]&lt;=Table1[[#This Row],[High Tol]]),"Pass","Fail"))</f>
        <v>Fail</v>
      </c>
      <c r="AD2538" s="1" t="str">
        <f>IF(AND(Table1[[#This Row],[Spec Type2]]="N/A",Table1[[#This Row],[DUT Adj Read]]="N/A",Table1[[#This Row],[Std Adj Read]]="N/A"),"N/A",IF(Table1[[#This Row],[DUT Adj Read]]="N/A",IF(Table1[[#This Row],[Std Adj Read]]&gt;Table1[[#This Row],[Low Tol]],"Pass","Fail"),IF(Table1[[#This Row],[DUT Adj Read]]&gt;Table1[[#This Row],[Low Tol]],"Pass","Fail")))</f>
        <v>Pass</v>
      </c>
      <c r="AE2538" s="1" t="str">
        <f>IF(AND(Table1[[#This Row],[Spec Type2]]="N/A",Table1[[#This Row],[DUT Adj Read]]="N/A",Table1[[#This Row],[Std Adj Read]]="N/A"),"N/A",IF(Table1[[#This Row],[DUT Adj Read]]="N/A",IF(Table1[[#This Row],[Std Adj Read]]&lt;Table1[[#This Row],[High Tol]],"Pass","Fail"),IF(Table1[[#This Row],[DUT Adj Read]]&lt;Table1[[#This Row],[High Tol]],"Pass","Fail")))</f>
        <v>Fail</v>
      </c>
      <c r="AF2538" s="1" t="str">
        <f>IF(AND(Table1[[#This Row],[Spec Type2]]="N/A",Table1[[#This Row],[DUT Adj Read]]="N/A",Table1[[#This Row],[Std Adj Read]]="N/A"),"N/A",IF(Table1[[#This Row],[DUT Adj Read]]="N/A",IF(Table1[[#This Row],[Std Adj Read]]&gt;=Table1[[#This Row],[Low Tol]],"Pass","Fail"),IF(Table1[[#This Row],[DUT Adj Read]]&gt;=Table1[[#This Row],[Low Tol]],"Pass","Fail")))</f>
        <v>Pass</v>
      </c>
      <c r="AG2538" s="1" t="str">
        <f>IF(AND(Table1[[#This Row],[Spec Type2]]="N/A",Table1[[#This Row],[DUT Adj Read]]="N/A",Table1[[#This Row],[Std Adj Read]]="N/A"),"N/A",IF(Table1[[#This Row],[DUT Adj Read]]="N/A",IF(Table1[[#This Row],[Std Adj Read]]&lt;=Table1[[#This Row],[High Tol]],"Pass","Fail"),IF(Table1[[#This Row],[DUT Adj Read]]&lt;=Table1[[#This Row],[High Tol]],"Pass","Fail")))</f>
        <v>Fail</v>
      </c>
      <c r="AH25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8" s="1" t="b">
        <v>0</v>
      </c>
      <c r="AN2538" s="1" t="b">
        <v>0</v>
      </c>
      <c r="AO2538" s="1" t="b">
        <v>0</v>
      </c>
    </row>
    <row r="2539" spans="1:41" x14ac:dyDescent="0.25">
      <c r="A2539" s="10"/>
      <c r="B2539" s="10"/>
      <c r="C2539" s="10"/>
      <c r="D2539" s="10"/>
      <c r="E2539" s="10"/>
      <c r="F2539" s="10"/>
      <c r="G2539" s="10"/>
      <c r="H2539" s="10"/>
      <c r="I2539" s="1" t="str">
        <f t="shared" si="117"/>
        <v/>
      </c>
      <c r="J2539" s="1" t="s">
        <v>35</v>
      </c>
      <c r="K2539" s="1" t="str">
        <f t="shared" si="118"/>
        <v/>
      </c>
      <c r="L2539" s="1" t="str">
        <f t="shared" si="119"/>
        <v/>
      </c>
      <c r="M2539" s="1">
        <f>IF(OR(Table1[[#This Row],[Std Nom]]="",Table1[[#This Row],[Std Read]]=""),0,Table1[[#This Row],[Std Nom]]-Table1[[#This Row],[Std Read]])</f>
        <v>0</v>
      </c>
      <c r="N2539" s="1">
        <f>IF(Calculations!$F$5="ACCREDITED 17025 WITH UNCERTAINTIES",$N$10,0)</f>
        <v>0</v>
      </c>
      <c r="O2539" s="1" t="str">
        <f>IFERROR(Table1[[#This Row],[Std Nom]]-(_xlfn.XLOOKUP(Table1[[#This Row],[Manufacturer]]&amp;" "&amp;Table1[[#This Row],[Model]],Table13[MFR &amp; MDL],Table13[Tolerance % CW ],"")/100*Table1[[#This Row],[Std Nom]]),"")</f>
        <v/>
      </c>
      <c r="P2539" s="1" t="str">
        <f>IFERROR(Table1[[#This Row],[Std Nom]]+(_xlfn.XLOOKUP(Table1[[#This Row],[Manufacturer]]&amp;" "&amp;Table1[[#This Row],[Model]],Table13[MFR &amp; MDL],Table13[Tolerance % CW ],"")/100*Table1[[#This Row],[Std Nom]]),"")</f>
        <v/>
      </c>
      <c r="Q2539" s="1" t="e">
        <f>Table1[[#This Row],[High Tol]]-Table1[[#This Row],[Low Tol]]</f>
        <v>#VALUE!</v>
      </c>
      <c r="R2539" s="1">
        <f>2*Table1[[#This Row],[Std Error]]</f>
        <v>0</v>
      </c>
      <c r="S2539" s="1" t="str">
        <f>IF(Table1[[#This Row],[High Tol]]="","N/A",IFERROR(ABS(Table1[[#This Row],[Tol Span]]/Table1[[#This Row],[Error Span]]),"N/A"))</f>
        <v>N/A</v>
      </c>
      <c r="T2539" s="1" t="str">
        <f>IF(OR(Table1[[#This Row],[Low Tol]]="",Table1[[#This Row],[High Tol]]=""),"Needs Analysis",IF(Table1[[#This Row],[Ratio]]&gt;=4,"Not Significant",IF(Table1[[#This Row],[Ratio]]&gt;=2,"Semi-Significant","Significant")))</f>
        <v>Needs Analysis</v>
      </c>
      <c r="W2539" s="1">
        <f>IF(Table1[[#This Row],[Cal Type]]&lt;&gt;"ACCREDITED 17025 WITH UNCERTAINTIES",0,"")</f>
        <v>0</v>
      </c>
      <c r="X2539" s="1" t="str">
        <f>IF(Table1[[#This Row],[DUT Read]]="","N/A",Table1[[#This Row],[Std Error]]+Table1[[#This Row],[DUT Read]]+Table1[[#This Row],[DUT Ucty]])</f>
        <v>N/A</v>
      </c>
      <c r="Y2539" s="1" t="str">
        <f>IF(Table1[[#This Row],[Std Read]]="","N/A",Table1[[#This Row],[Std Read]]+Table1[[#This Row],[Std Ucty]])</f>
        <v>N/A</v>
      </c>
      <c r="Z25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9" s="1" t="str">
        <f>IF(Table1[[#This Row],[Spec Type]]="","N/A",Table1[[#This Row],[Spec Type]])</f>
        <v>±</v>
      </c>
      <c r="AC2539" s="1" t="str">
        <f>IF(Table1[[#This Row],[Spec Type2]]="N/A","N/A",IF(AND(Table1[[#This Row],[DUT Adj Read]]&gt;=Table1[[#This Row],[Low Tol]],Table1[[#This Row],[DUT Adj Read]]&lt;=Table1[[#This Row],[High Tol]]),"Pass","Fail"))</f>
        <v>Fail</v>
      </c>
      <c r="AD2539" s="1" t="str">
        <f>IF(AND(Table1[[#This Row],[Spec Type2]]="N/A",Table1[[#This Row],[DUT Adj Read]]="N/A",Table1[[#This Row],[Std Adj Read]]="N/A"),"N/A",IF(Table1[[#This Row],[DUT Adj Read]]="N/A",IF(Table1[[#This Row],[Std Adj Read]]&gt;Table1[[#This Row],[Low Tol]],"Pass","Fail"),IF(Table1[[#This Row],[DUT Adj Read]]&gt;Table1[[#This Row],[Low Tol]],"Pass","Fail")))</f>
        <v>Pass</v>
      </c>
      <c r="AE2539" s="1" t="str">
        <f>IF(AND(Table1[[#This Row],[Spec Type2]]="N/A",Table1[[#This Row],[DUT Adj Read]]="N/A",Table1[[#This Row],[Std Adj Read]]="N/A"),"N/A",IF(Table1[[#This Row],[DUT Adj Read]]="N/A",IF(Table1[[#This Row],[Std Adj Read]]&lt;Table1[[#This Row],[High Tol]],"Pass","Fail"),IF(Table1[[#This Row],[DUT Adj Read]]&lt;Table1[[#This Row],[High Tol]],"Pass","Fail")))</f>
        <v>Fail</v>
      </c>
      <c r="AF2539" s="1" t="str">
        <f>IF(AND(Table1[[#This Row],[Spec Type2]]="N/A",Table1[[#This Row],[DUT Adj Read]]="N/A",Table1[[#This Row],[Std Adj Read]]="N/A"),"N/A",IF(Table1[[#This Row],[DUT Adj Read]]="N/A",IF(Table1[[#This Row],[Std Adj Read]]&gt;=Table1[[#This Row],[Low Tol]],"Pass","Fail"),IF(Table1[[#This Row],[DUT Adj Read]]&gt;=Table1[[#This Row],[Low Tol]],"Pass","Fail")))</f>
        <v>Pass</v>
      </c>
      <c r="AG2539" s="1" t="str">
        <f>IF(AND(Table1[[#This Row],[Spec Type2]]="N/A",Table1[[#This Row],[DUT Adj Read]]="N/A",Table1[[#This Row],[Std Adj Read]]="N/A"),"N/A",IF(Table1[[#This Row],[DUT Adj Read]]="N/A",IF(Table1[[#This Row],[Std Adj Read]]&lt;=Table1[[#This Row],[High Tol]],"Pass","Fail"),IF(Table1[[#This Row],[DUT Adj Read]]&lt;=Table1[[#This Row],[High Tol]],"Pass","Fail")))</f>
        <v>Fail</v>
      </c>
      <c r="AH25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9" s="1" t="b">
        <v>0</v>
      </c>
      <c r="AN2539" s="1" t="b">
        <v>0</v>
      </c>
      <c r="AO2539" s="1" t="b">
        <v>0</v>
      </c>
    </row>
    <row r="2540" spans="1:41" x14ac:dyDescent="0.25">
      <c r="A2540" s="10"/>
      <c r="B2540" s="10"/>
      <c r="C2540" s="10"/>
      <c r="D2540" s="10"/>
      <c r="E2540" s="10"/>
      <c r="F2540" s="10"/>
      <c r="G2540" s="10"/>
      <c r="H2540" s="10"/>
      <c r="I2540" s="1" t="str">
        <f t="shared" si="117"/>
        <v/>
      </c>
      <c r="J2540" s="1" t="s">
        <v>35</v>
      </c>
      <c r="K2540" s="1" t="str">
        <f t="shared" si="118"/>
        <v/>
      </c>
      <c r="L2540" s="1" t="str">
        <f t="shared" si="119"/>
        <v/>
      </c>
      <c r="M2540" s="1">
        <f>IF(OR(Table1[[#This Row],[Std Nom]]="",Table1[[#This Row],[Std Read]]=""),0,Table1[[#This Row],[Std Nom]]-Table1[[#This Row],[Std Read]])</f>
        <v>0</v>
      </c>
      <c r="N2540" s="1">
        <f>IF(Calculations!$F$5="ACCREDITED 17025 WITH UNCERTAINTIES",$N$10,0)</f>
        <v>0</v>
      </c>
      <c r="O2540" s="1" t="str">
        <f>IFERROR(Table1[[#This Row],[Std Nom]]-(_xlfn.XLOOKUP(Table1[[#This Row],[Manufacturer]]&amp;" "&amp;Table1[[#This Row],[Model]],Table13[MFR &amp; MDL],Table13[Tolerance % CW ],"")/100*Table1[[#This Row],[Std Nom]]),"")</f>
        <v/>
      </c>
      <c r="P2540" s="1" t="str">
        <f>IFERROR(Table1[[#This Row],[Std Nom]]+(_xlfn.XLOOKUP(Table1[[#This Row],[Manufacturer]]&amp;" "&amp;Table1[[#This Row],[Model]],Table13[MFR &amp; MDL],Table13[Tolerance % CW ],"")/100*Table1[[#This Row],[Std Nom]]),"")</f>
        <v/>
      </c>
      <c r="Q2540" s="1" t="e">
        <f>Table1[[#This Row],[High Tol]]-Table1[[#This Row],[Low Tol]]</f>
        <v>#VALUE!</v>
      </c>
      <c r="R2540" s="1">
        <f>2*Table1[[#This Row],[Std Error]]</f>
        <v>0</v>
      </c>
      <c r="S2540" s="1" t="str">
        <f>IF(Table1[[#This Row],[High Tol]]="","N/A",IFERROR(ABS(Table1[[#This Row],[Tol Span]]/Table1[[#This Row],[Error Span]]),"N/A"))</f>
        <v>N/A</v>
      </c>
      <c r="T2540" s="1" t="str">
        <f>IF(OR(Table1[[#This Row],[Low Tol]]="",Table1[[#This Row],[High Tol]]=""),"Needs Analysis",IF(Table1[[#This Row],[Ratio]]&gt;=4,"Not Significant",IF(Table1[[#This Row],[Ratio]]&gt;=2,"Semi-Significant","Significant")))</f>
        <v>Needs Analysis</v>
      </c>
      <c r="W2540" s="1">
        <f>IF(Table1[[#This Row],[Cal Type]]&lt;&gt;"ACCREDITED 17025 WITH UNCERTAINTIES",0,"")</f>
        <v>0</v>
      </c>
      <c r="X2540" s="1" t="str">
        <f>IF(Table1[[#This Row],[DUT Read]]="","N/A",Table1[[#This Row],[Std Error]]+Table1[[#This Row],[DUT Read]]+Table1[[#This Row],[DUT Ucty]])</f>
        <v>N/A</v>
      </c>
      <c r="Y2540" s="1" t="str">
        <f>IF(Table1[[#This Row],[Std Read]]="","N/A",Table1[[#This Row],[Std Read]]+Table1[[#This Row],[Std Ucty]])</f>
        <v>N/A</v>
      </c>
      <c r="Z25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0" s="1" t="str">
        <f>IF(Table1[[#This Row],[Spec Type]]="","N/A",Table1[[#This Row],[Spec Type]])</f>
        <v>±</v>
      </c>
      <c r="AC2540" s="1" t="str">
        <f>IF(Table1[[#This Row],[Spec Type2]]="N/A","N/A",IF(AND(Table1[[#This Row],[DUT Adj Read]]&gt;=Table1[[#This Row],[Low Tol]],Table1[[#This Row],[DUT Adj Read]]&lt;=Table1[[#This Row],[High Tol]]),"Pass","Fail"))</f>
        <v>Fail</v>
      </c>
      <c r="AD2540" s="1" t="str">
        <f>IF(AND(Table1[[#This Row],[Spec Type2]]="N/A",Table1[[#This Row],[DUT Adj Read]]="N/A",Table1[[#This Row],[Std Adj Read]]="N/A"),"N/A",IF(Table1[[#This Row],[DUT Adj Read]]="N/A",IF(Table1[[#This Row],[Std Adj Read]]&gt;Table1[[#This Row],[Low Tol]],"Pass","Fail"),IF(Table1[[#This Row],[DUT Adj Read]]&gt;Table1[[#This Row],[Low Tol]],"Pass","Fail")))</f>
        <v>Pass</v>
      </c>
      <c r="AE2540" s="1" t="str">
        <f>IF(AND(Table1[[#This Row],[Spec Type2]]="N/A",Table1[[#This Row],[DUT Adj Read]]="N/A",Table1[[#This Row],[Std Adj Read]]="N/A"),"N/A",IF(Table1[[#This Row],[DUT Adj Read]]="N/A",IF(Table1[[#This Row],[Std Adj Read]]&lt;Table1[[#This Row],[High Tol]],"Pass","Fail"),IF(Table1[[#This Row],[DUT Adj Read]]&lt;Table1[[#This Row],[High Tol]],"Pass","Fail")))</f>
        <v>Fail</v>
      </c>
      <c r="AF2540" s="1" t="str">
        <f>IF(AND(Table1[[#This Row],[Spec Type2]]="N/A",Table1[[#This Row],[DUT Adj Read]]="N/A",Table1[[#This Row],[Std Adj Read]]="N/A"),"N/A",IF(Table1[[#This Row],[DUT Adj Read]]="N/A",IF(Table1[[#This Row],[Std Adj Read]]&gt;=Table1[[#This Row],[Low Tol]],"Pass","Fail"),IF(Table1[[#This Row],[DUT Adj Read]]&gt;=Table1[[#This Row],[Low Tol]],"Pass","Fail")))</f>
        <v>Pass</v>
      </c>
      <c r="AG2540" s="1" t="str">
        <f>IF(AND(Table1[[#This Row],[Spec Type2]]="N/A",Table1[[#This Row],[DUT Adj Read]]="N/A",Table1[[#This Row],[Std Adj Read]]="N/A"),"N/A",IF(Table1[[#This Row],[DUT Adj Read]]="N/A",IF(Table1[[#This Row],[Std Adj Read]]&lt;=Table1[[#This Row],[High Tol]],"Pass","Fail"),IF(Table1[[#This Row],[DUT Adj Read]]&lt;=Table1[[#This Row],[High Tol]],"Pass","Fail")))</f>
        <v>Fail</v>
      </c>
      <c r="AH25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0" s="1" t="b">
        <v>0</v>
      </c>
      <c r="AN2540" s="1" t="b">
        <v>0</v>
      </c>
      <c r="AO2540" s="1" t="b">
        <v>0</v>
      </c>
    </row>
    <row r="2541" spans="1:41" x14ac:dyDescent="0.25">
      <c r="A2541" s="10"/>
      <c r="B2541" s="10"/>
      <c r="C2541" s="10"/>
      <c r="D2541" s="10"/>
      <c r="E2541" s="10"/>
      <c r="F2541" s="10"/>
      <c r="G2541" s="10"/>
      <c r="H2541" s="10"/>
      <c r="I2541" s="1" t="str">
        <f t="shared" si="117"/>
        <v/>
      </c>
      <c r="J2541" s="1" t="s">
        <v>35</v>
      </c>
      <c r="K2541" s="1" t="str">
        <f t="shared" si="118"/>
        <v/>
      </c>
      <c r="L2541" s="1" t="str">
        <f t="shared" si="119"/>
        <v/>
      </c>
      <c r="M2541" s="1">
        <f>IF(OR(Table1[[#This Row],[Std Nom]]="",Table1[[#This Row],[Std Read]]=""),0,Table1[[#This Row],[Std Nom]]-Table1[[#This Row],[Std Read]])</f>
        <v>0</v>
      </c>
      <c r="N2541" s="1">
        <f>IF(Calculations!$F$5="ACCREDITED 17025 WITH UNCERTAINTIES",$N$10,0)</f>
        <v>0</v>
      </c>
      <c r="O2541" s="1" t="str">
        <f>IFERROR(Table1[[#This Row],[Std Nom]]-(_xlfn.XLOOKUP(Table1[[#This Row],[Manufacturer]]&amp;" "&amp;Table1[[#This Row],[Model]],Table13[MFR &amp; MDL],Table13[Tolerance % CW ],"")/100*Table1[[#This Row],[Std Nom]]),"")</f>
        <v/>
      </c>
      <c r="P2541" s="1" t="str">
        <f>IFERROR(Table1[[#This Row],[Std Nom]]+(_xlfn.XLOOKUP(Table1[[#This Row],[Manufacturer]]&amp;" "&amp;Table1[[#This Row],[Model]],Table13[MFR &amp; MDL],Table13[Tolerance % CW ],"")/100*Table1[[#This Row],[Std Nom]]),"")</f>
        <v/>
      </c>
      <c r="Q2541" s="1" t="e">
        <f>Table1[[#This Row],[High Tol]]-Table1[[#This Row],[Low Tol]]</f>
        <v>#VALUE!</v>
      </c>
      <c r="R2541" s="1">
        <f>2*Table1[[#This Row],[Std Error]]</f>
        <v>0</v>
      </c>
      <c r="S2541" s="1" t="str">
        <f>IF(Table1[[#This Row],[High Tol]]="","N/A",IFERROR(ABS(Table1[[#This Row],[Tol Span]]/Table1[[#This Row],[Error Span]]),"N/A"))</f>
        <v>N/A</v>
      </c>
      <c r="T2541" s="1" t="str">
        <f>IF(OR(Table1[[#This Row],[Low Tol]]="",Table1[[#This Row],[High Tol]]=""),"Needs Analysis",IF(Table1[[#This Row],[Ratio]]&gt;=4,"Not Significant",IF(Table1[[#This Row],[Ratio]]&gt;=2,"Semi-Significant","Significant")))</f>
        <v>Needs Analysis</v>
      </c>
      <c r="W2541" s="1">
        <f>IF(Table1[[#This Row],[Cal Type]]&lt;&gt;"ACCREDITED 17025 WITH UNCERTAINTIES",0,"")</f>
        <v>0</v>
      </c>
      <c r="X2541" s="1" t="str">
        <f>IF(Table1[[#This Row],[DUT Read]]="","N/A",Table1[[#This Row],[Std Error]]+Table1[[#This Row],[DUT Read]]+Table1[[#This Row],[DUT Ucty]])</f>
        <v>N/A</v>
      </c>
      <c r="Y2541" s="1" t="str">
        <f>IF(Table1[[#This Row],[Std Read]]="","N/A",Table1[[#This Row],[Std Read]]+Table1[[#This Row],[Std Ucty]])</f>
        <v>N/A</v>
      </c>
      <c r="Z25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1" s="1" t="str">
        <f>IF(Table1[[#This Row],[Spec Type]]="","N/A",Table1[[#This Row],[Spec Type]])</f>
        <v>±</v>
      </c>
      <c r="AC2541" s="1" t="str">
        <f>IF(Table1[[#This Row],[Spec Type2]]="N/A","N/A",IF(AND(Table1[[#This Row],[DUT Adj Read]]&gt;=Table1[[#This Row],[Low Tol]],Table1[[#This Row],[DUT Adj Read]]&lt;=Table1[[#This Row],[High Tol]]),"Pass","Fail"))</f>
        <v>Fail</v>
      </c>
      <c r="AD2541" s="1" t="str">
        <f>IF(AND(Table1[[#This Row],[Spec Type2]]="N/A",Table1[[#This Row],[DUT Adj Read]]="N/A",Table1[[#This Row],[Std Adj Read]]="N/A"),"N/A",IF(Table1[[#This Row],[DUT Adj Read]]="N/A",IF(Table1[[#This Row],[Std Adj Read]]&gt;Table1[[#This Row],[Low Tol]],"Pass","Fail"),IF(Table1[[#This Row],[DUT Adj Read]]&gt;Table1[[#This Row],[Low Tol]],"Pass","Fail")))</f>
        <v>Pass</v>
      </c>
      <c r="AE2541" s="1" t="str">
        <f>IF(AND(Table1[[#This Row],[Spec Type2]]="N/A",Table1[[#This Row],[DUT Adj Read]]="N/A",Table1[[#This Row],[Std Adj Read]]="N/A"),"N/A",IF(Table1[[#This Row],[DUT Adj Read]]="N/A",IF(Table1[[#This Row],[Std Adj Read]]&lt;Table1[[#This Row],[High Tol]],"Pass","Fail"),IF(Table1[[#This Row],[DUT Adj Read]]&lt;Table1[[#This Row],[High Tol]],"Pass","Fail")))</f>
        <v>Fail</v>
      </c>
      <c r="AF2541" s="1" t="str">
        <f>IF(AND(Table1[[#This Row],[Spec Type2]]="N/A",Table1[[#This Row],[DUT Adj Read]]="N/A",Table1[[#This Row],[Std Adj Read]]="N/A"),"N/A",IF(Table1[[#This Row],[DUT Adj Read]]="N/A",IF(Table1[[#This Row],[Std Adj Read]]&gt;=Table1[[#This Row],[Low Tol]],"Pass","Fail"),IF(Table1[[#This Row],[DUT Adj Read]]&gt;=Table1[[#This Row],[Low Tol]],"Pass","Fail")))</f>
        <v>Pass</v>
      </c>
      <c r="AG2541" s="1" t="str">
        <f>IF(AND(Table1[[#This Row],[Spec Type2]]="N/A",Table1[[#This Row],[DUT Adj Read]]="N/A",Table1[[#This Row],[Std Adj Read]]="N/A"),"N/A",IF(Table1[[#This Row],[DUT Adj Read]]="N/A",IF(Table1[[#This Row],[Std Adj Read]]&lt;=Table1[[#This Row],[High Tol]],"Pass","Fail"),IF(Table1[[#This Row],[DUT Adj Read]]&lt;=Table1[[#This Row],[High Tol]],"Pass","Fail")))</f>
        <v>Fail</v>
      </c>
      <c r="AH25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1" s="1" t="b">
        <v>0</v>
      </c>
      <c r="AN2541" s="1" t="b">
        <v>0</v>
      </c>
      <c r="AO2541" s="1" t="b">
        <v>0</v>
      </c>
    </row>
    <row r="2542" spans="1:41" x14ac:dyDescent="0.25">
      <c r="A2542" s="10"/>
      <c r="B2542" s="10"/>
      <c r="C2542" s="10"/>
      <c r="D2542" s="10"/>
      <c r="E2542" s="10"/>
      <c r="F2542" s="10"/>
      <c r="G2542" s="10"/>
      <c r="H2542" s="10"/>
      <c r="I2542" s="1" t="str">
        <f t="shared" si="117"/>
        <v/>
      </c>
      <c r="J2542" s="1" t="s">
        <v>35</v>
      </c>
      <c r="K2542" s="1" t="str">
        <f t="shared" si="118"/>
        <v/>
      </c>
      <c r="L2542" s="1" t="str">
        <f t="shared" si="119"/>
        <v/>
      </c>
      <c r="M2542" s="1">
        <f>IF(OR(Table1[[#This Row],[Std Nom]]="",Table1[[#This Row],[Std Read]]=""),0,Table1[[#This Row],[Std Nom]]-Table1[[#This Row],[Std Read]])</f>
        <v>0</v>
      </c>
      <c r="N2542" s="1">
        <f>IF(Calculations!$F$5="ACCREDITED 17025 WITH UNCERTAINTIES",$N$10,0)</f>
        <v>0</v>
      </c>
      <c r="O2542" s="1" t="str">
        <f>IFERROR(Table1[[#This Row],[Std Nom]]-(_xlfn.XLOOKUP(Table1[[#This Row],[Manufacturer]]&amp;" "&amp;Table1[[#This Row],[Model]],Table13[MFR &amp; MDL],Table13[Tolerance % CW ],"")/100*Table1[[#This Row],[Std Nom]]),"")</f>
        <v/>
      </c>
      <c r="P2542" s="1" t="str">
        <f>IFERROR(Table1[[#This Row],[Std Nom]]+(_xlfn.XLOOKUP(Table1[[#This Row],[Manufacturer]]&amp;" "&amp;Table1[[#This Row],[Model]],Table13[MFR &amp; MDL],Table13[Tolerance % CW ],"")/100*Table1[[#This Row],[Std Nom]]),"")</f>
        <v/>
      </c>
      <c r="Q2542" s="1" t="e">
        <f>Table1[[#This Row],[High Tol]]-Table1[[#This Row],[Low Tol]]</f>
        <v>#VALUE!</v>
      </c>
      <c r="R2542" s="1">
        <f>2*Table1[[#This Row],[Std Error]]</f>
        <v>0</v>
      </c>
      <c r="S2542" s="1" t="str">
        <f>IF(Table1[[#This Row],[High Tol]]="","N/A",IFERROR(ABS(Table1[[#This Row],[Tol Span]]/Table1[[#This Row],[Error Span]]),"N/A"))</f>
        <v>N/A</v>
      </c>
      <c r="T2542" s="1" t="str">
        <f>IF(OR(Table1[[#This Row],[Low Tol]]="",Table1[[#This Row],[High Tol]]=""),"Needs Analysis",IF(Table1[[#This Row],[Ratio]]&gt;=4,"Not Significant",IF(Table1[[#This Row],[Ratio]]&gt;=2,"Semi-Significant","Significant")))</f>
        <v>Needs Analysis</v>
      </c>
      <c r="W2542" s="1">
        <f>IF(Table1[[#This Row],[Cal Type]]&lt;&gt;"ACCREDITED 17025 WITH UNCERTAINTIES",0,"")</f>
        <v>0</v>
      </c>
      <c r="X2542" s="1" t="str">
        <f>IF(Table1[[#This Row],[DUT Read]]="","N/A",Table1[[#This Row],[Std Error]]+Table1[[#This Row],[DUT Read]]+Table1[[#This Row],[DUT Ucty]])</f>
        <v>N/A</v>
      </c>
      <c r="Y2542" s="1" t="str">
        <f>IF(Table1[[#This Row],[Std Read]]="","N/A",Table1[[#This Row],[Std Read]]+Table1[[#This Row],[Std Ucty]])</f>
        <v>N/A</v>
      </c>
      <c r="Z25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2" s="1" t="str">
        <f>IF(Table1[[#This Row],[Spec Type]]="","N/A",Table1[[#This Row],[Spec Type]])</f>
        <v>±</v>
      </c>
      <c r="AC2542" s="1" t="str">
        <f>IF(Table1[[#This Row],[Spec Type2]]="N/A","N/A",IF(AND(Table1[[#This Row],[DUT Adj Read]]&gt;=Table1[[#This Row],[Low Tol]],Table1[[#This Row],[DUT Adj Read]]&lt;=Table1[[#This Row],[High Tol]]),"Pass","Fail"))</f>
        <v>Fail</v>
      </c>
      <c r="AD2542" s="1" t="str">
        <f>IF(AND(Table1[[#This Row],[Spec Type2]]="N/A",Table1[[#This Row],[DUT Adj Read]]="N/A",Table1[[#This Row],[Std Adj Read]]="N/A"),"N/A",IF(Table1[[#This Row],[DUT Adj Read]]="N/A",IF(Table1[[#This Row],[Std Adj Read]]&gt;Table1[[#This Row],[Low Tol]],"Pass","Fail"),IF(Table1[[#This Row],[DUT Adj Read]]&gt;Table1[[#This Row],[Low Tol]],"Pass","Fail")))</f>
        <v>Pass</v>
      </c>
      <c r="AE2542" s="1" t="str">
        <f>IF(AND(Table1[[#This Row],[Spec Type2]]="N/A",Table1[[#This Row],[DUT Adj Read]]="N/A",Table1[[#This Row],[Std Adj Read]]="N/A"),"N/A",IF(Table1[[#This Row],[DUT Adj Read]]="N/A",IF(Table1[[#This Row],[Std Adj Read]]&lt;Table1[[#This Row],[High Tol]],"Pass","Fail"),IF(Table1[[#This Row],[DUT Adj Read]]&lt;Table1[[#This Row],[High Tol]],"Pass","Fail")))</f>
        <v>Fail</v>
      </c>
      <c r="AF2542" s="1" t="str">
        <f>IF(AND(Table1[[#This Row],[Spec Type2]]="N/A",Table1[[#This Row],[DUT Adj Read]]="N/A",Table1[[#This Row],[Std Adj Read]]="N/A"),"N/A",IF(Table1[[#This Row],[DUT Adj Read]]="N/A",IF(Table1[[#This Row],[Std Adj Read]]&gt;=Table1[[#This Row],[Low Tol]],"Pass","Fail"),IF(Table1[[#This Row],[DUT Adj Read]]&gt;=Table1[[#This Row],[Low Tol]],"Pass","Fail")))</f>
        <v>Pass</v>
      </c>
      <c r="AG2542" s="1" t="str">
        <f>IF(AND(Table1[[#This Row],[Spec Type2]]="N/A",Table1[[#This Row],[DUT Adj Read]]="N/A",Table1[[#This Row],[Std Adj Read]]="N/A"),"N/A",IF(Table1[[#This Row],[DUT Adj Read]]="N/A",IF(Table1[[#This Row],[Std Adj Read]]&lt;=Table1[[#This Row],[High Tol]],"Pass","Fail"),IF(Table1[[#This Row],[DUT Adj Read]]&lt;=Table1[[#This Row],[High Tol]],"Pass","Fail")))</f>
        <v>Fail</v>
      </c>
      <c r="AH25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2" s="1" t="b">
        <v>0</v>
      </c>
      <c r="AN2542" s="1" t="b">
        <v>0</v>
      </c>
      <c r="AO2542" s="1" t="b">
        <v>0</v>
      </c>
    </row>
    <row r="2543" spans="1:41" x14ac:dyDescent="0.25">
      <c r="A2543" s="10"/>
      <c r="B2543" s="10"/>
      <c r="C2543" s="10"/>
      <c r="D2543" s="10"/>
      <c r="E2543" s="10"/>
      <c r="F2543" s="10"/>
      <c r="G2543" s="10"/>
      <c r="H2543" s="10"/>
      <c r="I2543" s="1" t="str">
        <f t="shared" si="117"/>
        <v/>
      </c>
      <c r="J2543" s="1" t="s">
        <v>35</v>
      </c>
      <c r="K2543" s="1" t="str">
        <f t="shared" si="118"/>
        <v/>
      </c>
      <c r="L2543" s="1" t="str">
        <f t="shared" si="119"/>
        <v/>
      </c>
      <c r="M2543" s="1">
        <f>IF(OR(Table1[[#This Row],[Std Nom]]="",Table1[[#This Row],[Std Read]]=""),0,Table1[[#This Row],[Std Nom]]-Table1[[#This Row],[Std Read]])</f>
        <v>0</v>
      </c>
      <c r="N2543" s="1">
        <f>IF(Calculations!$F$5="ACCREDITED 17025 WITH UNCERTAINTIES",$N$10,0)</f>
        <v>0</v>
      </c>
      <c r="O2543" s="1" t="str">
        <f>IFERROR(Table1[[#This Row],[Std Nom]]-(_xlfn.XLOOKUP(Table1[[#This Row],[Manufacturer]]&amp;" "&amp;Table1[[#This Row],[Model]],Table13[MFR &amp; MDL],Table13[Tolerance % CW ],"")/100*Table1[[#This Row],[Std Nom]]),"")</f>
        <v/>
      </c>
      <c r="P2543" s="1" t="str">
        <f>IFERROR(Table1[[#This Row],[Std Nom]]+(_xlfn.XLOOKUP(Table1[[#This Row],[Manufacturer]]&amp;" "&amp;Table1[[#This Row],[Model]],Table13[MFR &amp; MDL],Table13[Tolerance % CW ],"")/100*Table1[[#This Row],[Std Nom]]),"")</f>
        <v/>
      </c>
      <c r="Q2543" s="1" t="e">
        <f>Table1[[#This Row],[High Tol]]-Table1[[#This Row],[Low Tol]]</f>
        <v>#VALUE!</v>
      </c>
      <c r="R2543" s="1">
        <f>2*Table1[[#This Row],[Std Error]]</f>
        <v>0</v>
      </c>
      <c r="S2543" s="1" t="str">
        <f>IF(Table1[[#This Row],[High Tol]]="","N/A",IFERROR(ABS(Table1[[#This Row],[Tol Span]]/Table1[[#This Row],[Error Span]]),"N/A"))</f>
        <v>N/A</v>
      </c>
      <c r="T2543" s="1" t="str">
        <f>IF(OR(Table1[[#This Row],[Low Tol]]="",Table1[[#This Row],[High Tol]]=""),"Needs Analysis",IF(Table1[[#This Row],[Ratio]]&gt;=4,"Not Significant",IF(Table1[[#This Row],[Ratio]]&gt;=2,"Semi-Significant","Significant")))</f>
        <v>Needs Analysis</v>
      </c>
      <c r="W2543" s="1">
        <f>IF(Table1[[#This Row],[Cal Type]]&lt;&gt;"ACCREDITED 17025 WITH UNCERTAINTIES",0,"")</f>
        <v>0</v>
      </c>
      <c r="X2543" s="1" t="str">
        <f>IF(Table1[[#This Row],[DUT Read]]="","N/A",Table1[[#This Row],[Std Error]]+Table1[[#This Row],[DUT Read]]+Table1[[#This Row],[DUT Ucty]])</f>
        <v>N/A</v>
      </c>
      <c r="Y2543" s="1" t="str">
        <f>IF(Table1[[#This Row],[Std Read]]="","N/A",Table1[[#This Row],[Std Read]]+Table1[[#This Row],[Std Ucty]])</f>
        <v>N/A</v>
      </c>
      <c r="Z25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3" s="1" t="str">
        <f>IF(Table1[[#This Row],[Spec Type]]="","N/A",Table1[[#This Row],[Spec Type]])</f>
        <v>±</v>
      </c>
      <c r="AC2543" s="1" t="str">
        <f>IF(Table1[[#This Row],[Spec Type2]]="N/A","N/A",IF(AND(Table1[[#This Row],[DUT Adj Read]]&gt;=Table1[[#This Row],[Low Tol]],Table1[[#This Row],[DUT Adj Read]]&lt;=Table1[[#This Row],[High Tol]]),"Pass","Fail"))</f>
        <v>Fail</v>
      </c>
      <c r="AD2543" s="1" t="str">
        <f>IF(AND(Table1[[#This Row],[Spec Type2]]="N/A",Table1[[#This Row],[DUT Adj Read]]="N/A",Table1[[#This Row],[Std Adj Read]]="N/A"),"N/A",IF(Table1[[#This Row],[DUT Adj Read]]="N/A",IF(Table1[[#This Row],[Std Adj Read]]&gt;Table1[[#This Row],[Low Tol]],"Pass","Fail"),IF(Table1[[#This Row],[DUT Adj Read]]&gt;Table1[[#This Row],[Low Tol]],"Pass","Fail")))</f>
        <v>Pass</v>
      </c>
      <c r="AE2543" s="1" t="str">
        <f>IF(AND(Table1[[#This Row],[Spec Type2]]="N/A",Table1[[#This Row],[DUT Adj Read]]="N/A",Table1[[#This Row],[Std Adj Read]]="N/A"),"N/A",IF(Table1[[#This Row],[DUT Adj Read]]="N/A",IF(Table1[[#This Row],[Std Adj Read]]&lt;Table1[[#This Row],[High Tol]],"Pass","Fail"),IF(Table1[[#This Row],[DUT Adj Read]]&lt;Table1[[#This Row],[High Tol]],"Pass","Fail")))</f>
        <v>Fail</v>
      </c>
      <c r="AF2543" s="1" t="str">
        <f>IF(AND(Table1[[#This Row],[Spec Type2]]="N/A",Table1[[#This Row],[DUT Adj Read]]="N/A",Table1[[#This Row],[Std Adj Read]]="N/A"),"N/A",IF(Table1[[#This Row],[DUT Adj Read]]="N/A",IF(Table1[[#This Row],[Std Adj Read]]&gt;=Table1[[#This Row],[Low Tol]],"Pass","Fail"),IF(Table1[[#This Row],[DUT Adj Read]]&gt;=Table1[[#This Row],[Low Tol]],"Pass","Fail")))</f>
        <v>Pass</v>
      </c>
      <c r="AG2543" s="1" t="str">
        <f>IF(AND(Table1[[#This Row],[Spec Type2]]="N/A",Table1[[#This Row],[DUT Adj Read]]="N/A",Table1[[#This Row],[Std Adj Read]]="N/A"),"N/A",IF(Table1[[#This Row],[DUT Adj Read]]="N/A",IF(Table1[[#This Row],[Std Adj Read]]&lt;=Table1[[#This Row],[High Tol]],"Pass","Fail"),IF(Table1[[#This Row],[DUT Adj Read]]&lt;=Table1[[#This Row],[High Tol]],"Pass","Fail")))</f>
        <v>Fail</v>
      </c>
      <c r="AH25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3" s="1" t="b">
        <v>0</v>
      </c>
      <c r="AN2543" s="1" t="b">
        <v>0</v>
      </c>
      <c r="AO2543" s="1" t="b">
        <v>0</v>
      </c>
    </row>
    <row r="2544" spans="1:41" x14ac:dyDescent="0.25">
      <c r="A2544" s="10"/>
      <c r="B2544" s="10"/>
      <c r="C2544" s="10"/>
      <c r="D2544" s="10"/>
      <c r="E2544" s="10"/>
      <c r="F2544" s="10"/>
      <c r="G2544" s="10"/>
      <c r="H2544" s="10"/>
      <c r="I2544" s="1" t="str">
        <f t="shared" si="117"/>
        <v/>
      </c>
      <c r="J2544" s="1" t="s">
        <v>35</v>
      </c>
      <c r="K2544" s="1" t="str">
        <f t="shared" si="118"/>
        <v/>
      </c>
      <c r="L2544" s="1" t="str">
        <f t="shared" si="119"/>
        <v/>
      </c>
      <c r="M2544" s="1">
        <f>IF(OR(Table1[[#This Row],[Std Nom]]="",Table1[[#This Row],[Std Read]]=""),0,Table1[[#This Row],[Std Nom]]-Table1[[#This Row],[Std Read]])</f>
        <v>0</v>
      </c>
      <c r="N2544" s="1">
        <f>IF(Calculations!$F$5="ACCREDITED 17025 WITH UNCERTAINTIES",$N$10,0)</f>
        <v>0</v>
      </c>
      <c r="O2544" s="1" t="str">
        <f>IFERROR(Table1[[#This Row],[Std Nom]]-(_xlfn.XLOOKUP(Table1[[#This Row],[Manufacturer]]&amp;" "&amp;Table1[[#This Row],[Model]],Table13[MFR &amp; MDL],Table13[Tolerance % CW ],"")/100*Table1[[#This Row],[Std Nom]]),"")</f>
        <v/>
      </c>
      <c r="P2544" s="1" t="str">
        <f>IFERROR(Table1[[#This Row],[Std Nom]]+(_xlfn.XLOOKUP(Table1[[#This Row],[Manufacturer]]&amp;" "&amp;Table1[[#This Row],[Model]],Table13[MFR &amp; MDL],Table13[Tolerance % CW ],"")/100*Table1[[#This Row],[Std Nom]]),"")</f>
        <v/>
      </c>
      <c r="Q2544" s="1" t="e">
        <f>Table1[[#This Row],[High Tol]]-Table1[[#This Row],[Low Tol]]</f>
        <v>#VALUE!</v>
      </c>
      <c r="R2544" s="1">
        <f>2*Table1[[#This Row],[Std Error]]</f>
        <v>0</v>
      </c>
      <c r="S2544" s="1" t="str">
        <f>IF(Table1[[#This Row],[High Tol]]="","N/A",IFERROR(ABS(Table1[[#This Row],[Tol Span]]/Table1[[#This Row],[Error Span]]),"N/A"))</f>
        <v>N/A</v>
      </c>
      <c r="T2544" s="1" t="str">
        <f>IF(OR(Table1[[#This Row],[Low Tol]]="",Table1[[#This Row],[High Tol]]=""),"Needs Analysis",IF(Table1[[#This Row],[Ratio]]&gt;=4,"Not Significant",IF(Table1[[#This Row],[Ratio]]&gt;=2,"Semi-Significant","Significant")))</f>
        <v>Needs Analysis</v>
      </c>
      <c r="W2544" s="1">
        <f>IF(Table1[[#This Row],[Cal Type]]&lt;&gt;"ACCREDITED 17025 WITH UNCERTAINTIES",0,"")</f>
        <v>0</v>
      </c>
      <c r="X2544" s="1" t="str">
        <f>IF(Table1[[#This Row],[DUT Read]]="","N/A",Table1[[#This Row],[Std Error]]+Table1[[#This Row],[DUT Read]]+Table1[[#This Row],[DUT Ucty]])</f>
        <v>N/A</v>
      </c>
      <c r="Y2544" s="1" t="str">
        <f>IF(Table1[[#This Row],[Std Read]]="","N/A",Table1[[#This Row],[Std Read]]+Table1[[#This Row],[Std Ucty]])</f>
        <v>N/A</v>
      </c>
      <c r="Z25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4" s="1" t="str">
        <f>IF(Table1[[#This Row],[Spec Type]]="","N/A",Table1[[#This Row],[Spec Type]])</f>
        <v>±</v>
      </c>
      <c r="AC2544" s="1" t="str">
        <f>IF(Table1[[#This Row],[Spec Type2]]="N/A","N/A",IF(AND(Table1[[#This Row],[DUT Adj Read]]&gt;=Table1[[#This Row],[Low Tol]],Table1[[#This Row],[DUT Adj Read]]&lt;=Table1[[#This Row],[High Tol]]),"Pass","Fail"))</f>
        <v>Fail</v>
      </c>
      <c r="AD2544" s="1" t="str">
        <f>IF(AND(Table1[[#This Row],[Spec Type2]]="N/A",Table1[[#This Row],[DUT Adj Read]]="N/A",Table1[[#This Row],[Std Adj Read]]="N/A"),"N/A",IF(Table1[[#This Row],[DUT Adj Read]]="N/A",IF(Table1[[#This Row],[Std Adj Read]]&gt;Table1[[#This Row],[Low Tol]],"Pass","Fail"),IF(Table1[[#This Row],[DUT Adj Read]]&gt;Table1[[#This Row],[Low Tol]],"Pass","Fail")))</f>
        <v>Pass</v>
      </c>
      <c r="AE2544" s="1" t="str">
        <f>IF(AND(Table1[[#This Row],[Spec Type2]]="N/A",Table1[[#This Row],[DUT Adj Read]]="N/A",Table1[[#This Row],[Std Adj Read]]="N/A"),"N/A",IF(Table1[[#This Row],[DUT Adj Read]]="N/A",IF(Table1[[#This Row],[Std Adj Read]]&lt;Table1[[#This Row],[High Tol]],"Pass","Fail"),IF(Table1[[#This Row],[DUT Adj Read]]&lt;Table1[[#This Row],[High Tol]],"Pass","Fail")))</f>
        <v>Fail</v>
      </c>
      <c r="AF2544" s="1" t="str">
        <f>IF(AND(Table1[[#This Row],[Spec Type2]]="N/A",Table1[[#This Row],[DUT Adj Read]]="N/A",Table1[[#This Row],[Std Adj Read]]="N/A"),"N/A",IF(Table1[[#This Row],[DUT Adj Read]]="N/A",IF(Table1[[#This Row],[Std Adj Read]]&gt;=Table1[[#This Row],[Low Tol]],"Pass","Fail"),IF(Table1[[#This Row],[DUT Adj Read]]&gt;=Table1[[#This Row],[Low Tol]],"Pass","Fail")))</f>
        <v>Pass</v>
      </c>
      <c r="AG2544" s="1" t="str">
        <f>IF(AND(Table1[[#This Row],[Spec Type2]]="N/A",Table1[[#This Row],[DUT Adj Read]]="N/A",Table1[[#This Row],[Std Adj Read]]="N/A"),"N/A",IF(Table1[[#This Row],[DUT Adj Read]]="N/A",IF(Table1[[#This Row],[Std Adj Read]]&lt;=Table1[[#This Row],[High Tol]],"Pass","Fail"),IF(Table1[[#This Row],[DUT Adj Read]]&lt;=Table1[[#This Row],[High Tol]],"Pass","Fail")))</f>
        <v>Fail</v>
      </c>
      <c r="AH25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4" s="1" t="b">
        <v>0</v>
      </c>
      <c r="AN2544" s="1" t="b">
        <v>0</v>
      </c>
      <c r="AO2544" s="1" t="b">
        <v>0</v>
      </c>
    </row>
    <row r="2545" spans="1:41" x14ac:dyDescent="0.25">
      <c r="A2545" s="10"/>
      <c r="B2545" s="10"/>
      <c r="C2545" s="10"/>
      <c r="D2545" s="10"/>
      <c r="E2545" s="10"/>
      <c r="F2545" s="10"/>
      <c r="G2545" s="10"/>
      <c r="H2545" s="10"/>
      <c r="I2545" s="1" t="str">
        <f t="shared" si="117"/>
        <v/>
      </c>
      <c r="J2545" s="1" t="s">
        <v>35</v>
      </c>
      <c r="K2545" s="1" t="str">
        <f t="shared" si="118"/>
        <v/>
      </c>
      <c r="L2545" s="1" t="str">
        <f t="shared" si="119"/>
        <v/>
      </c>
      <c r="M2545" s="1">
        <f>IF(OR(Table1[[#This Row],[Std Nom]]="",Table1[[#This Row],[Std Read]]=""),0,Table1[[#This Row],[Std Nom]]-Table1[[#This Row],[Std Read]])</f>
        <v>0</v>
      </c>
      <c r="N2545" s="1">
        <f>IF(Calculations!$F$5="ACCREDITED 17025 WITH UNCERTAINTIES",$N$10,0)</f>
        <v>0</v>
      </c>
      <c r="O2545" s="1" t="str">
        <f>IFERROR(Table1[[#This Row],[Std Nom]]-(_xlfn.XLOOKUP(Table1[[#This Row],[Manufacturer]]&amp;" "&amp;Table1[[#This Row],[Model]],Table13[MFR &amp; MDL],Table13[Tolerance % CW ],"")/100*Table1[[#This Row],[Std Nom]]),"")</f>
        <v/>
      </c>
      <c r="P2545" s="1" t="str">
        <f>IFERROR(Table1[[#This Row],[Std Nom]]+(_xlfn.XLOOKUP(Table1[[#This Row],[Manufacturer]]&amp;" "&amp;Table1[[#This Row],[Model]],Table13[MFR &amp; MDL],Table13[Tolerance % CW ],"")/100*Table1[[#This Row],[Std Nom]]),"")</f>
        <v/>
      </c>
      <c r="Q2545" s="1" t="e">
        <f>Table1[[#This Row],[High Tol]]-Table1[[#This Row],[Low Tol]]</f>
        <v>#VALUE!</v>
      </c>
      <c r="R2545" s="1">
        <f>2*Table1[[#This Row],[Std Error]]</f>
        <v>0</v>
      </c>
      <c r="S2545" s="1" t="str">
        <f>IF(Table1[[#This Row],[High Tol]]="","N/A",IFERROR(ABS(Table1[[#This Row],[Tol Span]]/Table1[[#This Row],[Error Span]]),"N/A"))</f>
        <v>N/A</v>
      </c>
      <c r="T2545" s="1" t="str">
        <f>IF(OR(Table1[[#This Row],[Low Tol]]="",Table1[[#This Row],[High Tol]]=""),"Needs Analysis",IF(Table1[[#This Row],[Ratio]]&gt;=4,"Not Significant",IF(Table1[[#This Row],[Ratio]]&gt;=2,"Semi-Significant","Significant")))</f>
        <v>Needs Analysis</v>
      </c>
      <c r="W2545" s="1">
        <f>IF(Table1[[#This Row],[Cal Type]]&lt;&gt;"ACCREDITED 17025 WITH UNCERTAINTIES",0,"")</f>
        <v>0</v>
      </c>
      <c r="X2545" s="1" t="str">
        <f>IF(Table1[[#This Row],[DUT Read]]="","N/A",Table1[[#This Row],[Std Error]]+Table1[[#This Row],[DUT Read]]+Table1[[#This Row],[DUT Ucty]])</f>
        <v>N/A</v>
      </c>
      <c r="Y2545" s="1" t="str">
        <f>IF(Table1[[#This Row],[Std Read]]="","N/A",Table1[[#This Row],[Std Read]]+Table1[[#This Row],[Std Ucty]])</f>
        <v>N/A</v>
      </c>
      <c r="Z25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5" s="1" t="str">
        <f>IF(Table1[[#This Row],[Spec Type]]="","N/A",Table1[[#This Row],[Spec Type]])</f>
        <v>±</v>
      </c>
      <c r="AC2545" s="1" t="str">
        <f>IF(Table1[[#This Row],[Spec Type2]]="N/A","N/A",IF(AND(Table1[[#This Row],[DUT Adj Read]]&gt;=Table1[[#This Row],[Low Tol]],Table1[[#This Row],[DUT Adj Read]]&lt;=Table1[[#This Row],[High Tol]]),"Pass","Fail"))</f>
        <v>Fail</v>
      </c>
      <c r="AD2545" s="1" t="str">
        <f>IF(AND(Table1[[#This Row],[Spec Type2]]="N/A",Table1[[#This Row],[DUT Adj Read]]="N/A",Table1[[#This Row],[Std Adj Read]]="N/A"),"N/A",IF(Table1[[#This Row],[DUT Adj Read]]="N/A",IF(Table1[[#This Row],[Std Adj Read]]&gt;Table1[[#This Row],[Low Tol]],"Pass","Fail"),IF(Table1[[#This Row],[DUT Adj Read]]&gt;Table1[[#This Row],[Low Tol]],"Pass","Fail")))</f>
        <v>Pass</v>
      </c>
      <c r="AE2545" s="1" t="str">
        <f>IF(AND(Table1[[#This Row],[Spec Type2]]="N/A",Table1[[#This Row],[DUT Adj Read]]="N/A",Table1[[#This Row],[Std Adj Read]]="N/A"),"N/A",IF(Table1[[#This Row],[DUT Adj Read]]="N/A",IF(Table1[[#This Row],[Std Adj Read]]&lt;Table1[[#This Row],[High Tol]],"Pass","Fail"),IF(Table1[[#This Row],[DUT Adj Read]]&lt;Table1[[#This Row],[High Tol]],"Pass","Fail")))</f>
        <v>Fail</v>
      </c>
      <c r="AF2545" s="1" t="str">
        <f>IF(AND(Table1[[#This Row],[Spec Type2]]="N/A",Table1[[#This Row],[DUT Adj Read]]="N/A",Table1[[#This Row],[Std Adj Read]]="N/A"),"N/A",IF(Table1[[#This Row],[DUT Adj Read]]="N/A",IF(Table1[[#This Row],[Std Adj Read]]&gt;=Table1[[#This Row],[Low Tol]],"Pass","Fail"),IF(Table1[[#This Row],[DUT Adj Read]]&gt;=Table1[[#This Row],[Low Tol]],"Pass","Fail")))</f>
        <v>Pass</v>
      </c>
      <c r="AG2545" s="1" t="str">
        <f>IF(AND(Table1[[#This Row],[Spec Type2]]="N/A",Table1[[#This Row],[DUT Adj Read]]="N/A",Table1[[#This Row],[Std Adj Read]]="N/A"),"N/A",IF(Table1[[#This Row],[DUT Adj Read]]="N/A",IF(Table1[[#This Row],[Std Adj Read]]&lt;=Table1[[#This Row],[High Tol]],"Pass","Fail"),IF(Table1[[#This Row],[DUT Adj Read]]&lt;=Table1[[#This Row],[High Tol]],"Pass","Fail")))</f>
        <v>Fail</v>
      </c>
      <c r="AH25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5" s="1" t="b">
        <v>0</v>
      </c>
      <c r="AN2545" s="1" t="b">
        <v>0</v>
      </c>
      <c r="AO2545" s="1" t="b">
        <v>0</v>
      </c>
    </row>
    <row r="2546" spans="1:41" x14ac:dyDescent="0.25">
      <c r="A2546" s="10"/>
      <c r="B2546" s="10"/>
      <c r="C2546" s="10"/>
      <c r="D2546" s="10"/>
      <c r="E2546" s="10"/>
      <c r="F2546" s="10"/>
      <c r="G2546" s="10"/>
      <c r="H2546" s="10"/>
      <c r="I2546" s="1" t="str">
        <f t="shared" si="117"/>
        <v/>
      </c>
      <c r="J2546" s="1" t="s">
        <v>35</v>
      </c>
      <c r="K2546" s="1" t="str">
        <f t="shared" si="118"/>
        <v/>
      </c>
      <c r="L2546" s="1" t="str">
        <f t="shared" si="119"/>
        <v/>
      </c>
      <c r="M2546" s="1">
        <f>IF(OR(Table1[[#This Row],[Std Nom]]="",Table1[[#This Row],[Std Read]]=""),0,Table1[[#This Row],[Std Nom]]-Table1[[#This Row],[Std Read]])</f>
        <v>0</v>
      </c>
      <c r="N2546" s="1">
        <f>IF(Calculations!$F$5="ACCREDITED 17025 WITH UNCERTAINTIES",$N$10,0)</f>
        <v>0</v>
      </c>
      <c r="O2546" s="1" t="str">
        <f>IFERROR(Table1[[#This Row],[Std Nom]]-(_xlfn.XLOOKUP(Table1[[#This Row],[Manufacturer]]&amp;" "&amp;Table1[[#This Row],[Model]],Table13[MFR &amp; MDL],Table13[Tolerance % CW ],"")/100*Table1[[#This Row],[Std Nom]]),"")</f>
        <v/>
      </c>
      <c r="P2546" s="1" t="str">
        <f>IFERROR(Table1[[#This Row],[Std Nom]]+(_xlfn.XLOOKUP(Table1[[#This Row],[Manufacturer]]&amp;" "&amp;Table1[[#This Row],[Model]],Table13[MFR &amp; MDL],Table13[Tolerance % CW ],"")/100*Table1[[#This Row],[Std Nom]]),"")</f>
        <v/>
      </c>
      <c r="Q2546" s="1" t="e">
        <f>Table1[[#This Row],[High Tol]]-Table1[[#This Row],[Low Tol]]</f>
        <v>#VALUE!</v>
      </c>
      <c r="R2546" s="1">
        <f>2*Table1[[#This Row],[Std Error]]</f>
        <v>0</v>
      </c>
      <c r="S2546" s="1" t="str">
        <f>IF(Table1[[#This Row],[High Tol]]="","N/A",IFERROR(ABS(Table1[[#This Row],[Tol Span]]/Table1[[#This Row],[Error Span]]),"N/A"))</f>
        <v>N/A</v>
      </c>
      <c r="T2546" s="1" t="str">
        <f>IF(OR(Table1[[#This Row],[Low Tol]]="",Table1[[#This Row],[High Tol]]=""),"Needs Analysis",IF(Table1[[#This Row],[Ratio]]&gt;=4,"Not Significant",IF(Table1[[#This Row],[Ratio]]&gt;=2,"Semi-Significant","Significant")))</f>
        <v>Needs Analysis</v>
      </c>
      <c r="W2546" s="1">
        <f>IF(Table1[[#This Row],[Cal Type]]&lt;&gt;"ACCREDITED 17025 WITH UNCERTAINTIES",0,"")</f>
        <v>0</v>
      </c>
      <c r="X2546" s="1" t="str">
        <f>IF(Table1[[#This Row],[DUT Read]]="","N/A",Table1[[#This Row],[Std Error]]+Table1[[#This Row],[DUT Read]]+Table1[[#This Row],[DUT Ucty]])</f>
        <v>N/A</v>
      </c>
      <c r="Y2546" s="1" t="str">
        <f>IF(Table1[[#This Row],[Std Read]]="","N/A",Table1[[#This Row],[Std Read]]+Table1[[#This Row],[Std Ucty]])</f>
        <v>N/A</v>
      </c>
      <c r="Z25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6" s="1" t="str">
        <f>IF(Table1[[#This Row],[Spec Type]]="","N/A",Table1[[#This Row],[Spec Type]])</f>
        <v>±</v>
      </c>
      <c r="AC2546" s="1" t="str">
        <f>IF(Table1[[#This Row],[Spec Type2]]="N/A","N/A",IF(AND(Table1[[#This Row],[DUT Adj Read]]&gt;=Table1[[#This Row],[Low Tol]],Table1[[#This Row],[DUT Adj Read]]&lt;=Table1[[#This Row],[High Tol]]),"Pass","Fail"))</f>
        <v>Fail</v>
      </c>
      <c r="AD2546" s="1" t="str">
        <f>IF(AND(Table1[[#This Row],[Spec Type2]]="N/A",Table1[[#This Row],[DUT Adj Read]]="N/A",Table1[[#This Row],[Std Adj Read]]="N/A"),"N/A",IF(Table1[[#This Row],[DUT Adj Read]]="N/A",IF(Table1[[#This Row],[Std Adj Read]]&gt;Table1[[#This Row],[Low Tol]],"Pass","Fail"),IF(Table1[[#This Row],[DUT Adj Read]]&gt;Table1[[#This Row],[Low Tol]],"Pass","Fail")))</f>
        <v>Pass</v>
      </c>
      <c r="AE2546" s="1" t="str">
        <f>IF(AND(Table1[[#This Row],[Spec Type2]]="N/A",Table1[[#This Row],[DUT Adj Read]]="N/A",Table1[[#This Row],[Std Adj Read]]="N/A"),"N/A",IF(Table1[[#This Row],[DUT Adj Read]]="N/A",IF(Table1[[#This Row],[Std Adj Read]]&lt;Table1[[#This Row],[High Tol]],"Pass","Fail"),IF(Table1[[#This Row],[DUT Adj Read]]&lt;Table1[[#This Row],[High Tol]],"Pass","Fail")))</f>
        <v>Fail</v>
      </c>
      <c r="AF2546" s="1" t="str">
        <f>IF(AND(Table1[[#This Row],[Spec Type2]]="N/A",Table1[[#This Row],[DUT Adj Read]]="N/A",Table1[[#This Row],[Std Adj Read]]="N/A"),"N/A",IF(Table1[[#This Row],[DUT Adj Read]]="N/A",IF(Table1[[#This Row],[Std Adj Read]]&gt;=Table1[[#This Row],[Low Tol]],"Pass","Fail"),IF(Table1[[#This Row],[DUT Adj Read]]&gt;=Table1[[#This Row],[Low Tol]],"Pass","Fail")))</f>
        <v>Pass</v>
      </c>
      <c r="AG2546" s="1" t="str">
        <f>IF(AND(Table1[[#This Row],[Spec Type2]]="N/A",Table1[[#This Row],[DUT Adj Read]]="N/A",Table1[[#This Row],[Std Adj Read]]="N/A"),"N/A",IF(Table1[[#This Row],[DUT Adj Read]]="N/A",IF(Table1[[#This Row],[Std Adj Read]]&lt;=Table1[[#This Row],[High Tol]],"Pass","Fail"),IF(Table1[[#This Row],[DUT Adj Read]]&lt;=Table1[[#This Row],[High Tol]],"Pass","Fail")))</f>
        <v>Fail</v>
      </c>
      <c r="AH25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6" s="1" t="b">
        <v>0</v>
      </c>
      <c r="AN2546" s="1" t="b">
        <v>0</v>
      </c>
      <c r="AO2546" s="1" t="b">
        <v>0</v>
      </c>
    </row>
    <row r="2547" spans="1:41" x14ac:dyDescent="0.25">
      <c r="A2547" s="10"/>
      <c r="B2547" s="10"/>
      <c r="C2547" s="10"/>
      <c r="D2547" s="10"/>
      <c r="E2547" s="10"/>
      <c r="F2547" s="10"/>
      <c r="G2547" s="10"/>
      <c r="H2547" s="10"/>
      <c r="I2547" s="1" t="str">
        <f t="shared" si="117"/>
        <v/>
      </c>
      <c r="J2547" s="1" t="s">
        <v>35</v>
      </c>
      <c r="K2547" s="1" t="str">
        <f t="shared" si="118"/>
        <v/>
      </c>
      <c r="L2547" s="1" t="str">
        <f t="shared" si="119"/>
        <v/>
      </c>
      <c r="M2547" s="1">
        <f>IF(OR(Table1[[#This Row],[Std Nom]]="",Table1[[#This Row],[Std Read]]=""),0,Table1[[#This Row],[Std Nom]]-Table1[[#This Row],[Std Read]])</f>
        <v>0</v>
      </c>
      <c r="N2547" s="1">
        <f>IF(Calculations!$F$5="ACCREDITED 17025 WITH UNCERTAINTIES",$N$10,0)</f>
        <v>0</v>
      </c>
      <c r="O2547" s="1" t="str">
        <f>IFERROR(Table1[[#This Row],[Std Nom]]-(_xlfn.XLOOKUP(Table1[[#This Row],[Manufacturer]]&amp;" "&amp;Table1[[#This Row],[Model]],Table13[MFR &amp; MDL],Table13[Tolerance % CW ],"")/100*Table1[[#This Row],[Std Nom]]),"")</f>
        <v/>
      </c>
      <c r="P2547" s="1" t="str">
        <f>IFERROR(Table1[[#This Row],[Std Nom]]+(_xlfn.XLOOKUP(Table1[[#This Row],[Manufacturer]]&amp;" "&amp;Table1[[#This Row],[Model]],Table13[MFR &amp; MDL],Table13[Tolerance % CW ],"")/100*Table1[[#This Row],[Std Nom]]),"")</f>
        <v/>
      </c>
      <c r="Q2547" s="1" t="e">
        <f>Table1[[#This Row],[High Tol]]-Table1[[#This Row],[Low Tol]]</f>
        <v>#VALUE!</v>
      </c>
      <c r="R2547" s="1">
        <f>2*Table1[[#This Row],[Std Error]]</f>
        <v>0</v>
      </c>
      <c r="S2547" s="1" t="str">
        <f>IF(Table1[[#This Row],[High Tol]]="","N/A",IFERROR(ABS(Table1[[#This Row],[Tol Span]]/Table1[[#This Row],[Error Span]]),"N/A"))</f>
        <v>N/A</v>
      </c>
      <c r="T2547" s="1" t="str">
        <f>IF(OR(Table1[[#This Row],[Low Tol]]="",Table1[[#This Row],[High Tol]]=""),"Needs Analysis",IF(Table1[[#This Row],[Ratio]]&gt;=4,"Not Significant",IF(Table1[[#This Row],[Ratio]]&gt;=2,"Semi-Significant","Significant")))</f>
        <v>Needs Analysis</v>
      </c>
      <c r="W2547" s="1">
        <f>IF(Table1[[#This Row],[Cal Type]]&lt;&gt;"ACCREDITED 17025 WITH UNCERTAINTIES",0,"")</f>
        <v>0</v>
      </c>
      <c r="X2547" s="1" t="str">
        <f>IF(Table1[[#This Row],[DUT Read]]="","N/A",Table1[[#This Row],[Std Error]]+Table1[[#This Row],[DUT Read]]+Table1[[#This Row],[DUT Ucty]])</f>
        <v>N/A</v>
      </c>
      <c r="Y2547" s="1" t="str">
        <f>IF(Table1[[#This Row],[Std Read]]="","N/A",Table1[[#This Row],[Std Read]]+Table1[[#This Row],[Std Ucty]])</f>
        <v>N/A</v>
      </c>
      <c r="Z25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7" s="1" t="str">
        <f>IF(Table1[[#This Row],[Spec Type]]="","N/A",Table1[[#This Row],[Spec Type]])</f>
        <v>±</v>
      </c>
      <c r="AC2547" s="1" t="str">
        <f>IF(Table1[[#This Row],[Spec Type2]]="N/A","N/A",IF(AND(Table1[[#This Row],[DUT Adj Read]]&gt;=Table1[[#This Row],[Low Tol]],Table1[[#This Row],[DUT Adj Read]]&lt;=Table1[[#This Row],[High Tol]]),"Pass","Fail"))</f>
        <v>Fail</v>
      </c>
      <c r="AD2547" s="1" t="str">
        <f>IF(AND(Table1[[#This Row],[Spec Type2]]="N/A",Table1[[#This Row],[DUT Adj Read]]="N/A",Table1[[#This Row],[Std Adj Read]]="N/A"),"N/A",IF(Table1[[#This Row],[DUT Adj Read]]="N/A",IF(Table1[[#This Row],[Std Adj Read]]&gt;Table1[[#This Row],[Low Tol]],"Pass","Fail"),IF(Table1[[#This Row],[DUT Adj Read]]&gt;Table1[[#This Row],[Low Tol]],"Pass","Fail")))</f>
        <v>Pass</v>
      </c>
      <c r="AE2547" s="1" t="str">
        <f>IF(AND(Table1[[#This Row],[Spec Type2]]="N/A",Table1[[#This Row],[DUT Adj Read]]="N/A",Table1[[#This Row],[Std Adj Read]]="N/A"),"N/A",IF(Table1[[#This Row],[DUT Adj Read]]="N/A",IF(Table1[[#This Row],[Std Adj Read]]&lt;Table1[[#This Row],[High Tol]],"Pass","Fail"),IF(Table1[[#This Row],[DUT Adj Read]]&lt;Table1[[#This Row],[High Tol]],"Pass","Fail")))</f>
        <v>Fail</v>
      </c>
      <c r="AF2547" s="1" t="str">
        <f>IF(AND(Table1[[#This Row],[Spec Type2]]="N/A",Table1[[#This Row],[DUT Adj Read]]="N/A",Table1[[#This Row],[Std Adj Read]]="N/A"),"N/A",IF(Table1[[#This Row],[DUT Adj Read]]="N/A",IF(Table1[[#This Row],[Std Adj Read]]&gt;=Table1[[#This Row],[Low Tol]],"Pass","Fail"),IF(Table1[[#This Row],[DUT Adj Read]]&gt;=Table1[[#This Row],[Low Tol]],"Pass","Fail")))</f>
        <v>Pass</v>
      </c>
      <c r="AG2547" s="1" t="str">
        <f>IF(AND(Table1[[#This Row],[Spec Type2]]="N/A",Table1[[#This Row],[DUT Adj Read]]="N/A",Table1[[#This Row],[Std Adj Read]]="N/A"),"N/A",IF(Table1[[#This Row],[DUT Adj Read]]="N/A",IF(Table1[[#This Row],[Std Adj Read]]&lt;=Table1[[#This Row],[High Tol]],"Pass","Fail"),IF(Table1[[#This Row],[DUT Adj Read]]&lt;=Table1[[#This Row],[High Tol]],"Pass","Fail")))</f>
        <v>Fail</v>
      </c>
      <c r="AH25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7" s="1" t="b">
        <v>0</v>
      </c>
      <c r="AN2547" s="1" t="b">
        <v>0</v>
      </c>
      <c r="AO2547" s="1" t="b">
        <v>0</v>
      </c>
    </row>
    <row r="2548" spans="1:41" x14ac:dyDescent="0.25">
      <c r="A2548" s="10"/>
      <c r="B2548" s="10"/>
      <c r="C2548" s="10"/>
      <c r="D2548" s="10"/>
      <c r="E2548" s="10"/>
      <c r="F2548" s="10"/>
      <c r="G2548" s="10"/>
      <c r="H2548" s="10"/>
      <c r="I2548" s="1" t="str">
        <f t="shared" si="117"/>
        <v/>
      </c>
      <c r="J2548" s="1" t="s">
        <v>35</v>
      </c>
      <c r="K2548" s="1" t="str">
        <f t="shared" si="118"/>
        <v/>
      </c>
      <c r="L2548" s="1" t="str">
        <f t="shared" si="119"/>
        <v/>
      </c>
      <c r="M2548" s="1">
        <f>IF(OR(Table1[[#This Row],[Std Nom]]="",Table1[[#This Row],[Std Read]]=""),0,Table1[[#This Row],[Std Nom]]-Table1[[#This Row],[Std Read]])</f>
        <v>0</v>
      </c>
      <c r="N2548" s="1">
        <f>IF(Calculations!$F$5="ACCREDITED 17025 WITH UNCERTAINTIES",$N$10,0)</f>
        <v>0</v>
      </c>
      <c r="O2548" s="1" t="str">
        <f>IFERROR(Table1[[#This Row],[Std Nom]]-(_xlfn.XLOOKUP(Table1[[#This Row],[Manufacturer]]&amp;" "&amp;Table1[[#This Row],[Model]],Table13[MFR &amp; MDL],Table13[Tolerance % CW ],"")/100*Table1[[#This Row],[Std Nom]]),"")</f>
        <v/>
      </c>
      <c r="P2548" s="1" t="str">
        <f>IFERROR(Table1[[#This Row],[Std Nom]]+(_xlfn.XLOOKUP(Table1[[#This Row],[Manufacturer]]&amp;" "&amp;Table1[[#This Row],[Model]],Table13[MFR &amp; MDL],Table13[Tolerance % CW ],"")/100*Table1[[#This Row],[Std Nom]]),"")</f>
        <v/>
      </c>
      <c r="Q2548" s="1" t="e">
        <f>Table1[[#This Row],[High Tol]]-Table1[[#This Row],[Low Tol]]</f>
        <v>#VALUE!</v>
      </c>
      <c r="R2548" s="1">
        <f>2*Table1[[#This Row],[Std Error]]</f>
        <v>0</v>
      </c>
      <c r="S2548" s="1" t="str">
        <f>IF(Table1[[#This Row],[High Tol]]="","N/A",IFERROR(ABS(Table1[[#This Row],[Tol Span]]/Table1[[#This Row],[Error Span]]),"N/A"))</f>
        <v>N/A</v>
      </c>
      <c r="T2548" s="1" t="str">
        <f>IF(OR(Table1[[#This Row],[Low Tol]]="",Table1[[#This Row],[High Tol]]=""),"Needs Analysis",IF(Table1[[#This Row],[Ratio]]&gt;=4,"Not Significant",IF(Table1[[#This Row],[Ratio]]&gt;=2,"Semi-Significant","Significant")))</f>
        <v>Needs Analysis</v>
      </c>
      <c r="W2548" s="1">
        <f>IF(Table1[[#This Row],[Cal Type]]&lt;&gt;"ACCREDITED 17025 WITH UNCERTAINTIES",0,"")</f>
        <v>0</v>
      </c>
      <c r="X2548" s="1" t="str">
        <f>IF(Table1[[#This Row],[DUT Read]]="","N/A",Table1[[#This Row],[Std Error]]+Table1[[#This Row],[DUT Read]]+Table1[[#This Row],[DUT Ucty]])</f>
        <v>N/A</v>
      </c>
      <c r="Y2548" s="1" t="str">
        <f>IF(Table1[[#This Row],[Std Read]]="","N/A",Table1[[#This Row],[Std Read]]+Table1[[#This Row],[Std Ucty]])</f>
        <v>N/A</v>
      </c>
      <c r="Z25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8" s="1" t="str">
        <f>IF(Table1[[#This Row],[Spec Type]]="","N/A",Table1[[#This Row],[Spec Type]])</f>
        <v>±</v>
      </c>
      <c r="AC2548" s="1" t="str">
        <f>IF(Table1[[#This Row],[Spec Type2]]="N/A","N/A",IF(AND(Table1[[#This Row],[DUT Adj Read]]&gt;=Table1[[#This Row],[Low Tol]],Table1[[#This Row],[DUT Adj Read]]&lt;=Table1[[#This Row],[High Tol]]),"Pass","Fail"))</f>
        <v>Fail</v>
      </c>
      <c r="AD2548" s="1" t="str">
        <f>IF(AND(Table1[[#This Row],[Spec Type2]]="N/A",Table1[[#This Row],[DUT Adj Read]]="N/A",Table1[[#This Row],[Std Adj Read]]="N/A"),"N/A",IF(Table1[[#This Row],[DUT Adj Read]]="N/A",IF(Table1[[#This Row],[Std Adj Read]]&gt;Table1[[#This Row],[Low Tol]],"Pass","Fail"),IF(Table1[[#This Row],[DUT Adj Read]]&gt;Table1[[#This Row],[Low Tol]],"Pass","Fail")))</f>
        <v>Pass</v>
      </c>
      <c r="AE2548" s="1" t="str">
        <f>IF(AND(Table1[[#This Row],[Spec Type2]]="N/A",Table1[[#This Row],[DUT Adj Read]]="N/A",Table1[[#This Row],[Std Adj Read]]="N/A"),"N/A",IF(Table1[[#This Row],[DUT Adj Read]]="N/A",IF(Table1[[#This Row],[Std Adj Read]]&lt;Table1[[#This Row],[High Tol]],"Pass","Fail"),IF(Table1[[#This Row],[DUT Adj Read]]&lt;Table1[[#This Row],[High Tol]],"Pass","Fail")))</f>
        <v>Fail</v>
      </c>
      <c r="AF2548" s="1" t="str">
        <f>IF(AND(Table1[[#This Row],[Spec Type2]]="N/A",Table1[[#This Row],[DUT Adj Read]]="N/A",Table1[[#This Row],[Std Adj Read]]="N/A"),"N/A",IF(Table1[[#This Row],[DUT Adj Read]]="N/A",IF(Table1[[#This Row],[Std Adj Read]]&gt;=Table1[[#This Row],[Low Tol]],"Pass","Fail"),IF(Table1[[#This Row],[DUT Adj Read]]&gt;=Table1[[#This Row],[Low Tol]],"Pass","Fail")))</f>
        <v>Pass</v>
      </c>
      <c r="AG2548" s="1" t="str">
        <f>IF(AND(Table1[[#This Row],[Spec Type2]]="N/A",Table1[[#This Row],[DUT Adj Read]]="N/A",Table1[[#This Row],[Std Adj Read]]="N/A"),"N/A",IF(Table1[[#This Row],[DUT Adj Read]]="N/A",IF(Table1[[#This Row],[Std Adj Read]]&lt;=Table1[[#This Row],[High Tol]],"Pass","Fail"),IF(Table1[[#This Row],[DUT Adj Read]]&lt;=Table1[[#This Row],[High Tol]],"Pass","Fail")))</f>
        <v>Fail</v>
      </c>
      <c r="AH25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8" s="1" t="b">
        <v>0</v>
      </c>
      <c r="AN2548" s="1" t="b">
        <v>0</v>
      </c>
      <c r="AO2548" s="1" t="b">
        <v>0</v>
      </c>
    </row>
    <row r="2549" spans="1:41" x14ac:dyDescent="0.25">
      <c r="A2549" s="10"/>
      <c r="B2549" s="10"/>
      <c r="C2549" s="10"/>
      <c r="D2549" s="10"/>
      <c r="E2549" s="10"/>
      <c r="F2549" s="10"/>
      <c r="G2549" s="10"/>
      <c r="H2549" s="10"/>
      <c r="I2549" s="1" t="str">
        <f t="shared" si="117"/>
        <v/>
      </c>
      <c r="J2549" s="1" t="s">
        <v>35</v>
      </c>
      <c r="K2549" s="1" t="str">
        <f t="shared" si="118"/>
        <v/>
      </c>
      <c r="L2549" s="1" t="str">
        <f t="shared" si="119"/>
        <v/>
      </c>
      <c r="M2549" s="1">
        <f>IF(OR(Table1[[#This Row],[Std Nom]]="",Table1[[#This Row],[Std Read]]=""),0,Table1[[#This Row],[Std Nom]]-Table1[[#This Row],[Std Read]])</f>
        <v>0</v>
      </c>
      <c r="N2549" s="1">
        <f>IF(Calculations!$F$5="ACCREDITED 17025 WITH UNCERTAINTIES",$N$10,0)</f>
        <v>0</v>
      </c>
      <c r="O2549" s="1" t="str">
        <f>IFERROR(Table1[[#This Row],[Std Nom]]-(_xlfn.XLOOKUP(Table1[[#This Row],[Manufacturer]]&amp;" "&amp;Table1[[#This Row],[Model]],Table13[MFR &amp; MDL],Table13[Tolerance % CW ],"")/100*Table1[[#This Row],[Std Nom]]),"")</f>
        <v/>
      </c>
      <c r="P2549" s="1" t="str">
        <f>IFERROR(Table1[[#This Row],[Std Nom]]+(_xlfn.XLOOKUP(Table1[[#This Row],[Manufacturer]]&amp;" "&amp;Table1[[#This Row],[Model]],Table13[MFR &amp; MDL],Table13[Tolerance % CW ],"")/100*Table1[[#This Row],[Std Nom]]),"")</f>
        <v/>
      </c>
      <c r="Q2549" s="1" t="e">
        <f>Table1[[#This Row],[High Tol]]-Table1[[#This Row],[Low Tol]]</f>
        <v>#VALUE!</v>
      </c>
      <c r="R2549" s="1">
        <f>2*Table1[[#This Row],[Std Error]]</f>
        <v>0</v>
      </c>
      <c r="S2549" s="1" t="str">
        <f>IF(Table1[[#This Row],[High Tol]]="","N/A",IFERROR(ABS(Table1[[#This Row],[Tol Span]]/Table1[[#This Row],[Error Span]]),"N/A"))</f>
        <v>N/A</v>
      </c>
      <c r="T2549" s="1" t="str">
        <f>IF(OR(Table1[[#This Row],[Low Tol]]="",Table1[[#This Row],[High Tol]]=""),"Needs Analysis",IF(Table1[[#This Row],[Ratio]]&gt;=4,"Not Significant",IF(Table1[[#This Row],[Ratio]]&gt;=2,"Semi-Significant","Significant")))</f>
        <v>Needs Analysis</v>
      </c>
      <c r="W2549" s="1">
        <f>IF(Table1[[#This Row],[Cal Type]]&lt;&gt;"ACCREDITED 17025 WITH UNCERTAINTIES",0,"")</f>
        <v>0</v>
      </c>
      <c r="X2549" s="1" t="str">
        <f>IF(Table1[[#This Row],[DUT Read]]="","N/A",Table1[[#This Row],[Std Error]]+Table1[[#This Row],[DUT Read]]+Table1[[#This Row],[DUT Ucty]])</f>
        <v>N/A</v>
      </c>
      <c r="Y2549" s="1" t="str">
        <f>IF(Table1[[#This Row],[Std Read]]="","N/A",Table1[[#This Row],[Std Read]]+Table1[[#This Row],[Std Ucty]])</f>
        <v>N/A</v>
      </c>
      <c r="Z25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9" s="1" t="str">
        <f>IF(Table1[[#This Row],[Spec Type]]="","N/A",Table1[[#This Row],[Spec Type]])</f>
        <v>±</v>
      </c>
      <c r="AC2549" s="1" t="str">
        <f>IF(Table1[[#This Row],[Spec Type2]]="N/A","N/A",IF(AND(Table1[[#This Row],[DUT Adj Read]]&gt;=Table1[[#This Row],[Low Tol]],Table1[[#This Row],[DUT Adj Read]]&lt;=Table1[[#This Row],[High Tol]]),"Pass","Fail"))</f>
        <v>Fail</v>
      </c>
      <c r="AD2549" s="1" t="str">
        <f>IF(AND(Table1[[#This Row],[Spec Type2]]="N/A",Table1[[#This Row],[DUT Adj Read]]="N/A",Table1[[#This Row],[Std Adj Read]]="N/A"),"N/A",IF(Table1[[#This Row],[DUT Adj Read]]="N/A",IF(Table1[[#This Row],[Std Adj Read]]&gt;Table1[[#This Row],[Low Tol]],"Pass","Fail"),IF(Table1[[#This Row],[DUT Adj Read]]&gt;Table1[[#This Row],[Low Tol]],"Pass","Fail")))</f>
        <v>Pass</v>
      </c>
      <c r="AE2549" s="1" t="str">
        <f>IF(AND(Table1[[#This Row],[Spec Type2]]="N/A",Table1[[#This Row],[DUT Adj Read]]="N/A",Table1[[#This Row],[Std Adj Read]]="N/A"),"N/A",IF(Table1[[#This Row],[DUT Adj Read]]="N/A",IF(Table1[[#This Row],[Std Adj Read]]&lt;Table1[[#This Row],[High Tol]],"Pass","Fail"),IF(Table1[[#This Row],[DUT Adj Read]]&lt;Table1[[#This Row],[High Tol]],"Pass","Fail")))</f>
        <v>Fail</v>
      </c>
      <c r="AF2549" s="1" t="str">
        <f>IF(AND(Table1[[#This Row],[Spec Type2]]="N/A",Table1[[#This Row],[DUT Adj Read]]="N/A",Table1[[#This Row],[Std Adj Read]]="N/A"),"N/A",IF(Table1[[#This Row],[DUT Adj Read]]="N/A",IF(Table1[[#This Row],[Std Adj Read]]&gt;=Table1[[#This Row],[Low Tol]],"Pass","Fail"),IF(Table1[[#This Row],[DUT Adj Read]]&gt;=Table1[[#This Row],[Low Tol]],"Pass","Fail")))</f>
        <v>Pass</v>
      </c>
      <c r="AG2549" s="1" t="str">
        <f>IF(AND(Table1[[#This Row],[Spec Type2]]="N/A",Table1[[#This Row],[DUT Adj Read]]="N/A",Table1[[#This Row],[Std Adj Read]]="N/A"),"N/A",IF(Table1[[#This Row],[DUT Adj Read]]="N/A",IF(Table1[[#This Row],[Std Adj Read]]&lt;=Table1[[#This Row],[High Tol]],"Pass","Fail"),IF(Table1[[#This Row],[DUT Adj Read]]&lt;=Table1[[#This Row],[High Tol]],"Pass","Fail")))</f>
        <v>Fail</v>
      </c>
      <c r="AH25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9" s="1" t="b">
        <v>0</v>
      </c>
      <c r="AN2549" s="1" t="b">
        <v>0</v>
      </c>
      <c r="AO2549" s="1" t="b">
        <v>0</v>
      </c>
    </row>
    <row r="2550" spans="1:41" x14ac:dyDescent="0.25">
      <c r="A2550" s="10"/>
      <c r="B2550" s="10"/>
      <c r="C2550" s="10"/>
      <c r="D2550" s="10"/>
      <c r="E2550" s="10"/>
      <c r="F2550" s="10"/>
      <c r="G2550" s="10"/>
      <c r="H2550" s="10"/>
      <c r="I2550" s="1" t="str">
        <f t="shared" si="117"/>
        <v/>
      </c>
      <c r="J2550" s="1" t="s">
        <v>35</v>
      </c>
      <c r="K2550" s="1" t="str">
        <f t="shared" si="118"/>
        <v/>
      </c>
      <c r="L2550" s="1" t="str">
        <f t="shared" si="119"/>
        <v/>
      </c>
      <c r="M2550" s="1">
        <f>IF(OR(Table1[[#This Row],[Std Nom]]="",Table1[[#This Row],[Std Read]]=""),0,Table1[[#This Row],[Std Nom]]-Table1[[#This Row],[Std Read]])</f>
        <v>0</v>
      </c>
      <c r="N2550" s="1">
        <f>IF(Calculations!$F$5="ACCREDITED 17025 WITH UNCERTAINTIES",$N$10,0)</f>
        <v>0</v>
      </c>
      <c r="O2550" s="1" t="str">
        <f>IFERROR(Table1[[#This Row],[Std Nom]]-(_xlfn.XLOOKUP(Table1[[#This Row],[Manufacturer]]&amp;" "&amp;Table1[[#This Row],[Model]],Table13[MFR &amp; MDL],Table13[Tolerance % CW ],"")/100*Table1[[#This Row],[Std Nom]]),"")</f>
        <v/>
      </c>
      <c r="P2550" s="1" t="str">
        <f>IFERROR(Table1[[#This Row],[Std Nom]]+(_xlfn.XLOOKUP(Table1[[#This Row],[Manufacturer]]&amp;" "&amp;Table1[[#This Row],[Model]],Table13[MFR &amp; MDL],Table13[Tolerance % CW ],"")/100*Table1[[#This Row],[Std Nom]]),"")</f>
        <v/>
      </c>
      <c r="Q2550" s="1" t="e">
        <f>Table1[[#This Row],[High Tol]]-Table1[[#This Row],[Low Tol]]</f>
        <v>#VALUE!</v>
      </c>
      <c r="R2550" s="1">
        <f>2*Table1[[#This Row],[Std Error]]</f>
        <v>0</v>
      </c>
      <c r="S2550" s="1" t="str">
        <f>IF(Table1[[#This Row],[High Tol]]="","N/A",IFERROR(ABS(Table1[[#This Row],[Tol Span]]/Table1[[#This Row],[Error Span]]),"N/A"))</f>
        <v>N/A</v>
      </c>
      <c r="T2550" s="1" t="str">
        <f>IF(OR(Table1[[#This Row],[Low Tol]]="",Table1[[#This Row],[High Tol]]=""),"Needs Analysis",IF(Table1[[#This Row],[Ratio]]&gt;=4,"Not Significant",IF(Table1[[#This Row],[Ratio]]&gt;=2,"Semi-Significant","Significant")))</f>
        <v>Needs Analysis</v>
      </c>
      <c r="W2550" s="1">
        <f>IF(Table1[[#This Row],[Cal Type]]&lt;&gt;"ACCREDITED 17025 WITH UNCERTAINTIES",0,"")</f>
        <v>0</v>
      </c>
      <c r="X2550" s="1" t="str">
        <f>IF(Table1[[#This Row],[DUT Read]]="","N/A",Table1[[#This Row],[Std Error]]+Table1[[#This Row],[DUT Read]]+Table1[[#This Row],[DUT Ucty]])</f>
        <v>N/A</v>
      </c>
      <c r="Y2550" s="1" t="str">
        <f>IF(Table1[[#This Row],[Std Read]]="","N/A",Table1[[#This Row],[Std Read]]+Table1[[#This Row],[Std Ucty]])</f>
        <v>N/A</v>
      </c>
      <c r="Z25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0" s="1" t="str">
        <f>IF(Table1[[#This Row],[Spec Type]]="","N/A",Table1[[#This Row],[Spec Type]])</f>
        <v>±</v>
      </c>
      <c r="AC2550" s="1" t="str">
        <f>IF(Table1[[#This Row],[Spec Type2]]="N/A","N/A",IF(AND(Table1[[#This Row],[DUT Adj Read]]&gt;=Table1[[#This Row],[Low Tol]],Table1[[#This Row],[DUT Adj Read]]&lt;=Table1[[#This Row],[High Tol]]),"Pass","Fail"))</f>
        <v>Fail</v>
      </c>
      <c r="AD2550" s="1" t="str">
        <f>IF(AND(Table1[[#This Row],[Spec Type2]]="N/A",Table1[[#This Row],[DUT Adj Read]]="N/A",Table1[[#This Row],[Std Adj Read]]="N/A"),"N/A",IF(Table1[[#This Row],[DUT Adj Read]]="N/A",IF(Table1[[#This Row],[Std Adj Read]]&gt;Table1[[#This Row],[Low Tol]],"Pass","Fail"),IF(Table1[[#This Row],[DUT Adj Read]]&gt;Table1[[#This Row],[Low Tol]],"Pass","Fail")))</f>
        <v>Pass</v>
      </c>
      <c r="AE2550" s="1" t="str">
        <f>IF(AND(Table1[[#This Row],[Spec Type2]]="N/A",Table1[[#This Row],[DUT Adj Read]]="N/A",Table1[[#This Row],[Std Adj Read]]="N/A"),"N/A",IF(Table1[[#This Row],[DUT Adj Read]]="N/A",IF(Table1[[#This Row],[Std Adj Read]]&lt;Table1[[#This Row],[High Tol]],"Pass","Fail"),IF(Table1[[#This Row],[DUT Adj Read]]&lt;Table1[[#This Row],[High Tol]],"Pass","Fail")))</f>
        <v>Fail</v>
      </c>
      <c r="AF2550" s="1" t="str">
        <f>IF(AND(Table1[[#This Row],[Spec Type2]]="N/A",Table1[[#This Row],[DUT Adj Read]]="N/A",Table1[[#This Row],[Std Adj Read]]="N/A"),"N/A",IF(Table1[[#This Row],[DUT Adj Read]]="N/A",IF(Table1[[#This Row],[Std Adj Read]]&gt;=Table1[[#This Row],[Low Tol]],"Pass","Fail"),IF(Table1[[#This Row],[DUT Adj Read]]&gt;=Table1[[#This Row],[Low Tol]],"Pass","Fail")))</f>
        <v>Pass</v>
      </c>
      <c r="AG2550" s="1" t="str">
        <f>IF(AND(Table1[[#This Row],[Spec Type2]]="N/A",Table1[[#This Row],[DUT Adj Read]]="N/A",Table1[[#This Row],[Std Adj Read]]="N/A"),"N/A",IF(Table1[[#This Row],[DUT Adj Read]]="N/A",IF(Table1[[#This Row],[Std Adj Read]]&lt;=Table1[[#This Row],[High Tol]],"Pass","Fail"),IF(Table1[[#This Row],[DUT Adj Read]]&lt;=Table1[[#This Row],[High Tol]],"Pass","Fail")))</f>
        <v>Fail</v>
      </c>
      <c r="AH25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0" s="1" t="b">
        <v>0</v>
      </c>
      <c r="AN2550" s="1" t="b">
        <v>0</v>
      </c>
      <c r="AO2550" s="1" t="b">
        <v>0</v>
      </c>
    </row>
    <row r="2551" spans="1:41" x14ac:dyDescent="0.25">
      <c r="A2551" s="10"/>
      <c r="B2551" s="10"/>
      <c r="C2551" s="10"/>
      <c r="D2551" s="10"/>
      <c r="E2551" s="10"/>
      <c r="F2551" s="10"/>
      <c r="G2551" s="10"/>
      <c r="H2551" s="10"/>
      <c r="I2551" s="1" t="str">
        <f t="shared" si="117"/>
        <v/>
      </c>
      <c r="J2551" s="1" t="s">
        <v>35</v>
      </c>
      <c r="K2551" s="1" t="str">
        <f t="shared" si="118"/>
        <v/>
      </c>
      <c r="L2551" s="1" t="str">
        <f t="shared" si="119"/>
        <v/>
      </c>
      <c r="M2551" s="1">
        <f>IF(OR(Table1[[#This Row],[Std Nom]]="",Table1[[#This Row],[Std Read]]=""),0,Table1[[#This Row],[Std Nom]]-Table1[[#This Row],[Std Read]])</f>
        <v>0</v>
      </c>
      <c r="N2551" s="1">
        <f>IF(Calculations!$F$5="ACCREDITED 17025 WITH UNCERTAINTIES",$N$10,0)</f>
        <v>0</v>
      </c>
      <c r="O2551" s="1" t="str">
        <f>IFERROR(Table1[[#This Row],[Std Nom]]-(_xlfn.XLOOKUP(Table1[[#This Row],[Manufacturer]]&amp;" "&amp;Table1[[#This Row],[Model]],Table13[MFR &amp; MDL],Table13[Tolerance % CW ],"")/100*Table1[[#This Row],[Std Nom]]),"")</f>
        <v/>
      </c>
      <c r="P2551" s="1" t="str">
        <f>IFERROR(Table1[[#This Row],[Std Nom]]+(_xlfn.XLOOKUP(Table1[[#This Row],[Manufacturer]]&amp;" "&amp;Table1[[#This Row],[Model]],Table13[MFR &amp; MDL],Table13[Tolerance % CW ],"")/100*Table1[[#This Row],[Std Nom]]),"")</f>
        <v/>
      </c>
      <c r="Q2551" s="1" t="e">
        <f>Table1[[#This Row],[High Tol]]-Table1[[#This Row],[Low Tol]]</f>
        <v>#VALUE!</v>
      </c>
      <c r="R2551" s="1">
        <f>2*Table1[[#This Row],[Std Error]]</f>
        <v>0</v>
      </c>
      <c r="S2551" s="1" t="str">
        <f>IF(Table1[[#This Row],[High Tol]]="","N/A",IFERROR(ABS(Table1[[#This Row],[Tol Span]]/Table1[[#This Row],[Error Span]]),"N/A"))</f>
        <v>N/A</v>
      </c>
      <c r="T2551" s="1" t="str">
        <f>IF(OR(Table1[[#This Row],[Low Tol]]="",Table1[[#This Row],[High Tol]]=""),"Needs Analysis",IF(Table1[[#This Row],[Ratio]]&gt;=4,"Not Significant",IF(Table1[[#This Row],[Ratio]]&gt;=2,"Semi-Significant","Significant")))</f>
        <v>Needs Analysis</v>
      </c>
      <c r="W2551" s="1">
        <f>IF(Table1[[#This Row],[Cal Type]]&lt;&gt;"ACCREDITED 17025 WITH UNCERTAINTIES",0,"")</f>
        <v>0</v>
      </c>
      <c r="X2551" s="1" t="str">
        <f>IF(Table1[[#This Row],[DUT Read]]="","N/A",Table1[[#This Row],[Std Error]]+Table1[[#This Row],[DUT Read]]+Table1[[#This Row],[DUT Ucty]])</f>
        <v>N/A</v>
      </c>
      <c r="Y2551" s="1" t="str">
        <f>IF(Table1[[#This Row],[Std Read]]="","N/A",Table1[[#This Row],[Std Read]]+Table1[[#This Row],[Std Ucty]])</f>
        <v>N/A</v>
      </c>
      <c r="Z25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1" s="1" t="str">
        <f>IF(Table1[[#This Row],[Spec Type]]="","N/A",Table1[[#This Row],[Spec Type]])</f>
        <v>±</v>
      </c>
      <c r="AC2551" s="1" t="str">
        <f>IF(Table1[[#This Row],[Spec Type2]]="N/A","N/A",IF(AND(Table1[[#This Row],[DUT Adj Read]]&gt;=Table1[[#This Row],[Low Tol]],Table1[[#This Row],[DUT Adj Read]]&lt;=Table1[[#This Row],[High Tol]]),"Pass","Fail"))</f>
        <v>Fail</v>
      </c>
      <c r="AD2551" s="1" t="str">
        <f>IF(AND(Table1[[#This Row],[Spec Type2]]="N/A",Table1[[#This Row],[DUT Adj Read]]="N/A",Table1[[#This Row],[Std Adj Read]]="N/A"),"N/A",IF(Table1[[#This Row],[DUT Adj Read]]="N/A",IF(Table1[[#This Row],[Std Adj Read]]&gt;Table1[[#This Row],[Low Tol]],"Pass","Fail"),IF(Table1[[#This Row],[DUT Adj Read]]&gt;Table1[[#This Row],[Low Tol]],"Pass","Fail")))</f>
        <v>Pass</v>
      </c>
      <c r="AE2551" s="1" t="str">
        <f>IF(AND(Table1[[#This Row],[Spec Type2]]="N/A",Table1[[#This Row],[DUT Adj Read]]="N/A",Table1[[#This Row],[Std Adj Read]]="N/A"),"N/A",IF(Table1[[#This Row],[DUT Adj Read]]="N/A",IF(Table1[[#This Row],[Std Adj Read]]&lt;Table1[[#This Row],[High Tol]],"Pass","Fail"),IF(Table1[[#This Row],[DUT Adj Read]]&lt;Table1[[#This Row],[High Tol]],"Pass","Fail")))</f>
        <v>Fail</v>
      </c>
      <c r="AF2551" s="1" t="str">
        <f>IF(AND(Table1[[#This Row],[Spec Type2]]="N/A",Table1[[#This Row],[DUT Adj Read]]="N/A",Table1[[#This Row],[Std Adj Read]]="N/A"),"N/A",IF(Table1[[#This Row],[DUT Adj Read]]="N/A",IF(Table1[[#This Row],[Std Adj Read]]&gt;=Table1[[#This Row],[Low Tol]],"Pass","Fail"),IF(Table1[[#This Row],[DUT Adj Read]]&gt;=Table1[[#This Row],[Low Tol]],"Pass","Fail")))</f>
        <v>Pass</v>
      </c>
      <c r="AG2551" s="1" t="str">
        <f>IF(AND(Table1[[#This Row],[Spec Type2]]="N/A",Table1[[#This Row],[DUT Adj Read]]="N/A",Table1[[#This Row],[Std Adj Read]]="N/A"),"N/A",IF(Table1[[#This Row],[DUT Adj Read]]="N/A",IF(Table1[[#This Row],[Std Adj Read]]&lt;=Table1[[#This Row],[High Tol]],"Pass","Fail"),IF(Table1[[#This Row],[DUT Adj Read]]&lt;=Table1[[#This Row],[High Tol]],"Pass","Fail")))</f>
        <v>Fail</v>
      </c>
      <c r="AH25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1" s="1" t="b">
        <v>0</v>
      </c>
      <c r="AN2551" s="1" t="b">
        <v>0</v>
      </c>
      <c r="AO2551" s="1" t="b">
        <v>0</v>
      </c>
    </row>
    <row r="2552" spans="1:41" x14ac:dyDescent="0.25">
      <c r="A2552" s="10"/>
      <c r="B2552" s="10"/>
      <c r="C2552" s="10"/>
      <c r="D2552" s="10"/>
      <c r="E2552" s="10"/>
      <c r="F2552" s="10"/>
      <c r="G2552" s="10"/>
      <c r="H2552" s="10"/>
      <c r="I2552" s="1" t="str">
        <f t="shared" si="117"/>
        <v/>
      </c>
      <c r="J2552" s="1" t="s">
        <v>35</v>
      </c>
      <c r="K2552" s="1" t="str">
        <f t="shared" si="118"/>
        <v/>
      </c>
      <c r="L2552" s="1" t="str">
        <f t="shared" si="119"/>
        <v/>
      </c>
      <c r="M2552" s="1">
        <f>IF(OR(Table1[[#This Row],[Std Nom]]="",Table1[[#This Row],[Std Read]]=""),0,Table1[[#This Row],[Std Nom]]-Table1[[#This Row],[Std Read]])</f>
        <v>0</v>
      </c>
      <c r="N2552" s="1">
        <f>IF(Calculations!$F$5="ACCREDITED 17025 WITH UNCERTAINTIES",$N$10,0)</f>
        <v>0</v>
      </c>
      <c r="O2552" s="1" t="str">
        <f>IFERROR(Table1[[#This Row],[Std Nom]]-(_xlfn.XLOOKUP(Table1[[#This Row],[Manufacturer]]&amp;" "&amp;Table1[[#This Row],[Model]],Table13[MFR &amp; MDL],Table13[Tolerance % CW ],"")/100*Table1[[#This Row],[Std Nom]]),"")</f>
        <v/>
      </c>
      <c r="P2552" s="1" t="str">
        <f>IFERROR(Table1[[#This Row],[Std Nom]]+(_xlfn.XLOOKUP(Table1[[#This Row],[Manufacturer]]&amp;" "&amp;Table1[[#This Row],[Model]],Table13[MFR &amp; MDL],Table13[Tolerance % CW ],"")/100*Table1[[#This Row],[Std Nom]]),"")</f>
        <v/>
      </c>
      <c r="Q2552" s="1" t="e">
        <f>Table1[[#This Row],[High Tol]]-Table1[[#This Row],[Low Tol]]</f>
        <v>#VALUE!</v>
      </c>
      <c r="R2552" s="1">
        <f>2*Table1[[#This Row],[Std Error]]</f>
        <v>0</v>
      </c>
      <c r="S2552" s="1" t="str">
        <f>IF(Table1[[#This Row],[High Tol]]="","N/A",IFERROR(ABS(Table1[[#This Row],[Tol Span]]/Table1[[#This Row],[Error Span]]),"N/A"))</f>
        <v>N/A</v>
      </c>
      <c r="T2552" s="1" t="str">
        <f>IF(OR(Table1[[#This Row],[Low Tol]]="",Table1[[#This Row],[High Tol]]=""),"Needs Analysis",IF(Table1[[#This Row],[Ratio]]&gt;=4,"Not Significant",IF(Table1[[#This Row],[Ratio]]&gt;=2,"Semi-Significant","Significant")))</f>
        <v>Needs Analysis</v>
      </c>
      <c r="W2552" s="1">
        <f>IF(Table1[[#This Row],[Cal Type]]&lt;&gt;"ACCREDITED 17025 WITH UNCERTAINTIES",0,"")</f>
        <v>0</v>
      </c>
      <c r="X2552" s="1" t="str">
        <f>IF(Table1[[#This Row],[DUT Read]]="","N/A",Table1[[#This Row],[Std Error]]+Table1[[#This Row],[DUT Read]]+Table1[[#This Row],[DUT Ucty]])</f>
        <v>N/A</v>
      </c>
      <c r="Y2552" s="1" t="str">
        <f>IF(Table1[[#This Row],[Std Read]]="","N/A",Table1[[#This Row],[Std Read]]+Table1[[#This Row],[Std Ucty]])</f>
        <v>N/A</v>
      </c>
      <c r="Z25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2" s="1" t="str">
        <f>IF(Table1[[#This Row],[Spec Type]]="","N/A",Table1[[#This Row],[Spec Type]])</f>
        <v>±</v>
      </c>
      <c r="AC2552" s="1" t="str">
        <f>IF(Table1[[#This Row],[Spec Type2]]="N/A","N/A",IF(AND(Table1[[#This Row],[DUT Adj Read]]&gt;=Table1[[#This Row],[Low Tol]],Table1[[#This Row],[DUT Adj Read]]&lt;=Table1[[#This Row],[High Tol]]),"Pass","Fail"))</f>
        <v>Fail</v>
      </c>
      <c r="AD2552" s="1" t="str">
        <f>IF(AND(Table1[[#This Row],[Spec Type2]]="N/A",Table1[[#This Row],[DUT Adj Read]]="N/A",Table1[[#This Row],[Std Adj Read]]="N/A"),"N/A",IF(Table1[[#This Row],[DUT Adj Read]]="N/A",IF(Table1[[#This Row],[Std Adj Read]]&gt;Table1[[#This Row],[Low Tol]],"Pass","Fail"),IF(Table1[[#This Row],[DUT Adj Read]]&gt;Table1[[#This Row],[Low Tol]],"Pass","Fail")))</f>
        <v>Pass</v>
      </c>
      <c r="AE2552" s="1" t="str">
        <f>IF(AND(Table1[[#This Row],[Spec Type2]]="N/A",Table1[[#This Row],[DUT Adj Read]]="N/A",Table1[[#This Row],[Std Adj Read]]="N/A"),"N/A",IF(Table1[[#This Row],[DUT Adj Read]]="N/A",IF(Table1[[#This Row],[Std Adj Read]]&lt;Table1[[#This Row],[High Tol]],"Pass","Fail"),IF(Table1[[#This Row],[DUT Adj Read]]&lt;Table1[[#This Row],[High Tol]],"Pass","Fail")))</f>
        <v>Fail</v>
      </c>
      <c r="AF2552" s="1" t="str">
        <f>IF(AND(Table1[[#This Row],[Spec Type2]]="N/A",Table1[[#This Row],[DUT Adj Read]]="N/A",Table1[[#This Row],[Std Adj Read]]="N/A"),"N/A",IF(Table1[[#This Row],[DUT Adj Read]]="N/A",IF(Table1[[#This Row],[Std Adj Read]]&gt;=Table1[[#This Row],[Low Tol]],"Pass","Fail"),IF(Table1[[#This Row],[DUT Adj Read]]&gt;=Table1[[#This Row],[Low Tol]],"Pass","Fail")))</f>
        <v>Pass</v>
      </c>
      <c r="AG2552" s="1" t="str">
        <f>IF(AND(Table1[[#This Row],[Spec Type2]]="N/A",Table1[[#This Row],[DUT Adj Read]]="N/A",Table1[[#This Row],[Std Adj Read]]="N/A"),"N/A",IF(Table1[[#This Row],[DUT Adj Read]]="N/A",IF(Table1[[#This Row],[Std Adj Read]]&lt;=Table1[[#This Row],[High Tol]],"Pass","Fail"),IF(Table1[[#This Row],[DUT Adj Read]]&lt;=Table1[[#This Row],[High Tol]],"Pass","Fail")))</f>
        <v>Fail</v>
      </c>
      <c r="AH25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2" s="1" t="b">
        <v>0</v>
      </c>
      <c r="AN2552" s="1" t="b">
        <v>0</v>
      </c>
      <c r="AO2552" s="1" t="b">
        <v>0</v>
      </c>
    </row>
    <row r="2553" spans="1:41" x14ac:dyDescent="0.25">
      <c r="A2553" s="10"/>
      <c r="B2553" s="10"/>
      <c r="C2553" s="10"/>
      <c r="D2553" s="10"/>
      <c r="E2553" s="10"/>
      <c r="F2553" s="10"/>
      <c r="G2553" s="10"/>
      <c r="H2553" s="10"/>
      <c r="I2553" s="1" t="str">
        <f t="shared" si="117"/>
        <v/>
      </c>
      <c r="J2553" s="1" t="s">
        <v>35</v>
      </c>
      <c r="K2553" s="1" t="str">
        <f t="shared" si="118"/>
        <v/>
      </c>
      <c r="L2553" s="1" t="str">
        <f t="shared" si="119"/>
        <v/>
      </c>
      <c r="M2553" s="1">
        <f>IF(OR(Table1[[#This Row],[Std Nom]]="",Table1[[#This Row],[Std Read]]=""),0,Table1[[#This Row],[Std Nom]]-Table1[[#This Row],[Std Read]])</f>
        <v>0</v>
      </c>
      <c r="N2553" s="1">
        <f>IF(Calculations!$F$5="ACCREDITED 17025 WITH UNCERTAINTIES",$N$10,0)</f>
        <v>0</v>
      </c>
      <c r="O2553" s="1" t="str">
        <f>IFERROR(Table1[[#This Row],[Std Nom]]-(_xlfn.XLOOKUP(Table1[[#This Row],[Manufacturer]]&amp;" "&amp;Table1[[#This Row],[Model]],Table13[MFR &amp; MDL],Table13[Tolerance % CW ],"")/100*Table1[[#This Row],[Std Nom]]),"")</f>
        <v/>
      </c>
      <c r="P2553" s="1" t="str">
        <f>IFERROR(Table1[[#This Row],[Std Nom]]+(_xlfn.XLOOKUP(Table1[[#This Row],[Manufacturer]]&amp;" "&amp;Table1[[#This Row],[Model]],Table13[MFR &amp; MDL],Table13[Tolerance % CW ],"")/100*Table1[[#This Row],[Std Nom]]),"")</f>
        <v/>
      </c>
      <c r="Q2553" s="1" t="e">
        <f>Table1[[#This Row],[High Tol]]-Table1[[#This Row],[Low Tol]]</f>
        <v>#VALUE!</v>
      </c>
      <c r="R2553" s="1">
        <f>2*Table1[[#This Row],[Std Error]]</f>
        <v>0</v>
      </c>
      <c r="S2553" s="1" t="str">
        <f>IF(Table1[[#This Row],[High Tol]]="","N/A",IFERROR(ABS(Table1[[#This Row],[Tol Span]]/Table1[[#This Row],[Error Span]]),"N/A"))</f>
        <v>N/A</v>
      </c>
      <c r="T2553" s="1" t="str">
        <f>IF(OR(Table1[[#This Row],[Low Tol]]="",Table1[[#This Row],[High Tol]]=""),"Needs Analysis",IF(Table1[[#This Row],[Ratio]]&gt;=4,"Not Significant",IF(Table1[[#This Row],[Ratio]]&gt;=2,"Semi-Significant","Significant")))</f>
        <v>Needs Analysis</v>
      </c>
      <c r="W2553" s="1">
        <f>IF(Table1[[#This Row],[Cal Type]]&lt;&gt;"ACCREDITED 17025 WITH UNCERTAINTIES",0,"")</f>
        <v>0</v>
      </c>
      <c r="X2553" s="1" t="str">
        <f>IF(Table1[[#This Row],[DUT Read]]="","N/A",Table1[[#This Row],[Std Error]]+Table1[[#This Row],[DUT Read]]+Table1[[#This Row],[DUT Ucty]])</f>
        <v>N/A</v>
      </c>
      <c r="Y2553" s="1" t="str">
        <f>IF(Table1[[#This Row],[Std Read]]="","N/A",Table1[[#This Row],[Std Read]]+Table1[[#This Row],[Std Ucty]])</f>
        <v>N/A</v>
      </c>
      <c r="Z25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3" s="1" t="str">
        <f>IF(Table1[[#This Row],[Spec Type]]="","N/A",Table1[[#This Row],[Spec Type]])</f>
        <v>±</v>
      </c>
      <c r="AC2553" s="1" t="str">
        <f>IF(Table1[[#This Row],[Spec Type2]]="N/A","N/A",IF(AND(Table1[[#This Row],[DUT Adj Read]]&gt;=Table1[[#This Row],[Low Tol]],Table1[[#This Row],[DUT Adj Read]]&lt;=Table1[[#This Row],[High Tol]]),"Pass","Fail"))</f>
        <v>Fail</v>
      </c>
      <c r="AD2553" s="1" t="str">
        <f>IF(AND(Table1[[#This Row],[Spec Type2]]="N/A",Table1[[#This Row],[DUT Adj Read]]="N/A",Table1[[#This Row],[Std Adj Read]]="N/A"),"N/A",IF(Table1[[#This Row],[DUT Adj Read]]="N/A",IF(Table1[[#This Row],[Std Adj Read]]&gt;Table1[[#This Row],[Low Tol]],"Pass","Fail"),IF(Table1[[#This Row],[DUT Adj Read]]&gt;Table1[[#This Row],[Low Tol]],"Pass","Fail")))</f>
        <v>Pass</v>
      </c>
      <c r="AE2553" s="1" t="str">
        <f>IF(AND(Table1[[#This Row],[Spec Type2]]="N/A",Table1[[#This Row],[DUT Adj Read]]="N/A",Table1[[#This Row],[Std Adj Read]]="N/A"),"N/A",IF(Table1[[#This Row],[DUT Adj Read]]="N/A",IF(Table1[[#This Row],[Std Adj Read]]&lt;Table1[[#This Row],[High Tol]],"Pass","Fail"),IF(Table1[[#This Row],[DUT Adj Read]]&lt;Table1[[#This Row],[High Tol]],"Pass","Fail")))</f>
        <v>Fail</v>
      </c>
      <c r="AF2553" s="1" t="str">
        <f>IF(AND(Table1[[#This Row],[Spec Type2]]="N/A",Table1[[#This Row],[DUT Adj Read]]="N/A",Table1[[#This Row],[Std Adj Read]]="N/A"),"N/A",IF(Table1[[#This Row],[DUT Adj Read]]="N/A",IF(Table1[[#This Row],[Std Adj Read]]&gt;=Table1[[#This Row],[Low Tol]],"Pass","Fail"),IF(Table1[[#This Row],[DUT Adj Read]]&gt;=Table1[[#This Row],[Low Tol]],"Pass","Fail")))</f>
        <v>Pass</v>
      </c>
      <c r="AG2553" s="1" t="str">
        <f>IF(AND(Table1[[#This Row],[Spec Type2]]="N/A",Table1[[#This Row],[DUT Adj Read]]="N/A",Table1[[#This Row],[Std Adj Read]]="N/A"),"N/A",IF(Table1[[#This Row],[DUT Adj Read]]="N/A",IF(Table1[[#This Row],[Std Adj Read]]&lt;=Table1[[#This Row],[High Tol]],"Pass","Fail"),IF(Table1[[#This Row],[DUT Adj Read]]&lt;=Table1[[#This Row],[High Tol]],"Pass","Fail")))</f>
        <v>Fail</v>
      </c>
      <c r="AH25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3" s="1" t="b">
        <v>0</v>
      </c>
      <c r="AN2553" s="1" t="b">
        <v>0</v>
      </c>
      <c r="AO2553" s="1" t="b">
        <v>0</v>
      </c>
    </row>
    <row r="2554" spans="1:41" x14ac:dyDescent="0.25">
      <c r="A2554" s="10"/>
      <c r="B2554" s="10"/>
      <c r="C2554" s="10"/>
      <c r="D2554" s="10"/>
      <c r="E2554" s="10"/>
      <c r="F2554" s="10"/>
      <c r="G2554" s="10"/>
      <c r="H2554" s="10"/>
      <c r="I2554" s="1" t="str">
        <f t="shared" si="117"/>
        <v/>
      </c>
      <c r="J2554" s="1" t="s">
        <v>35</v>
      </c>
      <c r="K2554" s="1" t="str">
        <f t="shared" si="118"/>
        <v/>
      </c>
      <c r="L2554" s="1" t="str">
        <f t="shared" si="119"/>
        <v/>
      </c>
      <c r="M2554" s="1">
        <f>IF(OR(Table1[[#This Row],[Std Nom]]="",Table1[[#This Row],[Std Read]]=""),0,Table1[[#This Row],[Std Nom]]-Table1[[#This Row],[Std Read]])</f>
        <v>0</v>
      </c>
      <c r="N2554" s="1">
        <f>IF(Calculations!$F$5="ACCREDITED 17025 WITH UNCERTAINTIES",$N$10,0)</f>
        <v>0</v>
      </c>
      <c r="O2554" s="1" t="str">
        <f>IFERROR(Table1[[#This Row],[Std Nom]]-(_xlfn.XLOOKUP(Table1[[#This Row],[Manufacturer]]&amp;" "&amp;Table1[[#This Row],[Model]],Table13[MFR &amp; MDL],Table13[Tolerance % CW ],"")/100*Table1[[#This Row],[Std Nom]]),"")</f>
        <v/>
      </c>
      <c r="P2554" s="1" t="str">
        <f>IFERROR(Table1[[#This Row],[Std Nom]]+(_xlfn.XLOOKUP(Table1[[#This Row],[Manufacturer]]&amp;" "&amp;Table1[[#This Row],[Model]],Table13[MFR &amp; MDL],Table13[Tolerance % CW ],"")/100*Table1[[#This Row],[Std Nom]]),"")</f>
        <v/>
      </c>
      <c r="Q2554" s="1" t="e">
        <f>Table1[[#This Row],[High Tol]]-Table1[[#This Row],[Low Tol]]</f>
        <v>#VALUE!</v>
      </c>
      <c r="R2554" s="1">
        <f>2*Table1[[#This Row],[Std Error]]</f>
        <v>0</v>
      </c>
      <c r="S2554" s="1" t="str">
        <f>IF(Table1[[#This Row],[High Tol]]="","N/A",IFERROR(ABS(Table1[[#This Row],[Tol Span]]/Table1[[#This Row],[Error Span]]),"N/A"))</f>
        <v>N/A</v>
      </c>
      <c r="T2554" s="1" t="str">
        <f>IF(OR(Table1[[#This Row],[Low Tol]]="",Table1[[#This Row],[High Tol]]=""),"Needs Analysis",IF(Table1[[#This Row],[Ratio]]&gt;=4,"Not Significant",IF(Table1[[#This Row],[Ratio]]&gt;=2,"Semi-Significant","Significant")))</f>
        <v>Needs Analysis</v>
      </c>
      <c r="W2554" s="1">
        <f>IF(Table1[[#This Row],[Cal Type]]&lt;&gt;"ACCREDITED 17025 WITH UNCERTAINTIES",0,"")</f>
        <v>0</v>
      </c>
      <c r="X2554" s="1" t="str">
        <f>IF(Table1[[#This Row],[DUT Read]]="","N/A",Table1[[#This Row],[Std Error]]+Table1[[#This Row],[DUT Read]]+Table1[[#This Row],[DUT Ucty]])</f>
        <v>N/A</v>
      </c>
      <c r="Y2554" s="1" t="str">
        <f>IF(Table1[[#This Row],[Std Read]]="","N/A",Table1[[#This Row],[Std Read]]+Table1[[#This Row],[Std Ucty]])</f>
        <v>N/A</v>
      </c>
      <c r="Z25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4" s="1" t="str">
        <f>IF(Table1[[#This Row],[Spec Type]]="","N/A",Table1[[#This Row],[Spec Type]])</f>
        <v>±</v>
      </c>
      <c r="AC2554" s="1" t="str">
        <f>IF(Table1[[#This Row],[Spec Type2]]="N/A","N/A",IF(AND(Table1[[#This Row],[DUT Adj Read]]&gt;=Table1[[#This Row],[Low Tol]],Table1[[#This Row],[DUT Adj Read]]&lt;=Table1[[#This Row],[High Tol]]),"Pass","Fail"))</f>
        <v>Fail</v>
      </c>
      <c r="AD2554" s="1" t="str">
        <f>IF(AND(Table1[[#This Row],[Spec Type2]]="N/A",Table1[[#This Row],[DUT Adj Read]]="N/A",Table1[[#This Row],[Std Adj Read]]="N/A"),"N/A",IF(Table1[[#This Row],[DUT Adj Read]]="N/A",IF(Table1[[#This Row],[Std Adj Read]]&gt;Table1[[#This Row],[Low Tol]],"Pass","Fail"),IF(Table1[[#This Row],[DUT Adj Read]]&gt;Table1[[#This Row],[Low Tol]],"Pass","Fail")))</f>
        <v>Pass</v>
      </c>
      <c r="AE2554" s="1" t="str">
        <f>IF(AND(Table1[[#This Row],[Spec Type2]]="N/A",Table1[[#This Row],[DUT Adj Read]]="N/A",Table1[[#This Row],[Std Adj Read]]="N/A"),"N/A",IF(Table1[[#This Row],[DUT Adj Read]]="N/A",IF(Table1[[#This Row],[Std Adj Read]]&lt;Table1[[#This Row],[High Tol]],"Pass","Fail"),IF(Table1[[#This Row],[DUT Adj Read]]&lt;Table1[[#This Row],[High Tol]],"Pass","Fail")))</f>
        <v>Fail</v>
      </c>
      <c r="AF2554" s="1" t="str">
        <f>IF(AND(Table1[[#This Row],[Spec Type2]]="N/A",Table1[[#This Row],[DUT Adj Read]]="N/A",Table1[[#This Row],[Std Adj Read]]="N/A"),"N/A",IF(Table1[[#This Row],[DUT Adj Read]]="N/A",IF(Table1[[#This Row],[Std Adj Read]]&gt;=Table1[[#This Row],[Low Tol]],"Pass","Fail"),IF(Table1[[#This Row],[DUT Adj Read]]&gt;=Table1[[#This Row],[Low Tol]],"Pass","Fail")))</f>
        <v>Pass</v>
      </c>
      <c r="AG2554" s="1" t="str">
        <f>IF(AND(Table1[[#This Row],[Spec Type2]]="N/A",Table1[[#This Row],[DUT Adj Read]]="N/A",Table1[[#This Row],[Std Adj Read]]="N/A"),"N/A",IF(Table1[[#This Row],[DUT Adj Read]]="N/A",IF(Table1[[#This Row],[Std Adj Read]]&lt;=Table1[[#This Row],[High Tol]],"Pass","Fail"),IF(Table1[[#This Row],[DUT Adj Read]]&lt;=Table1[[#This Row],[High Tol]],"Pass","Fail")))</f>
        <v>Fail</v>
      </c>
      <c r="AH25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4" s="1" t="b">
        <v>0</v>
      </c>
      <c r="AN2554" s="1" t="b">
        <v>0</v>
      </c>
      <c r="AO2554" s="1" t="b">
        <v>0</v>
      </c>
    </row>
    <row r="2555" spans="1:41" x14ac:dyDescent="0.25">
      <c r="A2555" s="10"/>
      <c r="B2555" s="10"/>
      <c r="C2555" s="10"/>
      <c r="D2555" s="10"/>
      <c r="E2555" s="10"/>
      <c r="F2555" s="10"/>
      <c r="G2555" s="10"/>
      <c r="H2555" s="10"/>
      <c r="I2555" s="1" t="str">
        <f t="shared" si="117"/>
        <v/>
      </c>
      <c r="J2555" s="1" t="s">
        <v>35</v>
      </c>
      <c r="K2555" s="1" t="str">
        <f t="shared" si="118"/>
        <v/>
      </c>
      <c r="L2555" s="1" t="str">
        <f t="shared" si="119"/>
        <v/>
      </c>
      <c r="M2555" s="1">
        <f>IF(OR(Table1[[#This Row],[Std Nom]]="",Table1[[#This Row],[Std Read]]=""),0,Table1[[#This Row],[Std Nom]]-Table1[[#This Row],[Std Read]])</f>
        <v>0</v>
      </c>
      <c r="N2555" s="1">
        <f>IF(Calculations!$F$5="ACCREDITED 17025 WITH UNCERTAINTIES",$N$10,0)</f>
        <v>0</v>
      </c>
      <c r="O2555" s="1" t="str">
        <f>IFERROR(Table1[[#This Row],[Std Nom]]-(_xlfn.XLOOKUP(Table1[[#This Row],[Manufacturer]]&amp;" "&amp;Table1[[#This Row],[Model]],Table13[MFR &amp; MDL],Table13[Tolerance % CW ],"")/100*Table1[[#This Row],[Std Nom]]),"")</f>
        <v/>
      </c>
      <c r="P2555" s="1" t="str">
        <f>IFERROR(Table1[[#This Row],[Std Nom]]+(_xlfn.XLOOKUP(Table1[[#This Row],[Manufacturer]]&amp;" "&amp;Table1[[#This Row],[Model]],Table13[MFR &amp; MDL],Table13[Tolerance % CW ],"")/100*Table1[[#This Row],[Std Nom]]),"")</f>
        <v/>
      </c>
      <c r="Q2555" s="1" t="e">
        <f>Table1[[#This Row],[High Tol]]-Table1[[#This Row],[Low Tol]]</f>
        <v>#VALUE!</v>
      </c>
      <c r="R2555" s="1">
        <f>2*Table1[[#This Row],[Std Error]]</f>
        <v>0</v>
      </c>
      <c r="S2555" s="1" t="str">
        <f>IF(Table1[[#This Row],[High Tol]]="","N/A",IFERROR(ABS(Table1[[#This Row],[Tol Span]]/Table1[[#This Row],[Error Span]]),"N/A"))</f>
        <v>N/A</v>
      </c>
      <c r="T2555" s="1" t="str">
        <f>IF(OR(Table1[[#This Row],[Low Tol]]="",Table1[[#This Row],[High Tol]]=""),"Needs Analysis",IF(Table1[[#This Row],[Ratio]]&gt;=4,"Not Significant",IF(Table1[[#This Row],[Ratio]]&gt;=2,"Semi-Significant","Significant")))</f>
        <v>Needs Analysis</v>
      </c>
      <c r="W2555" s="1">
        <f>IF(Table1[[#This Row],[Cal Type]]&lt;&gt;"ACCREDITED 17025 WITH UNCERTAINTIES",0,"")</f>
        <v>0</v>
      </c>
      <c r="X2555" s="1" t="str">
        <f>IF(Table1[[#This Row],[DUT Read]]="","N/A",Table1[[#This Row],[Std Error]]+Table1[[#This Row],[DUT Read]]+Table1[[#This Row],[DUT Ucty]])</f>
        <v>N/A</v>
      </c>
      <c r="Y2555" s="1" t="str">
        <f>IF(Table1[[#This Row],[Std Read]]="","N/A",Table1[[#This Row],[Std Read]]+Table1[[#This Row],[Std Ucty]])</f>
        <v>N/A</v>
      </c>
      <c r="Z25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5" s="1" t="str">
        <f>IF(Table1[[#This Row],[Spec Type]]="","N/A",Table1[[#This Row],[Spec Type]])</f>
        <v>±</v>
      </c>
      <c r="AC2555" s="1" t="str">
        <f>IF(Table1[[#This Row],[Spec Type2]]="N/A","N/A",IF(AND(Table1[[#This Row],[DUT Adj Read]]&gt;=Table1[[#This Row],[Low Tol]],Table1[[#This Row],[DUT Adj Read]]&lt;=Table1[[#This Row],[High Tol]]),"Pass","Fail"))</f>
        <v>Fail</v>
      </c>
      <c r="AD2555" s="1" t="str">
        <f>IF(AND(Table1[[#This Row],[Spec Type2]]="N/A",Table1[[#This Row],[DUT Adj Read]]="N/A",Table1[[#This Row],[Std Adj Read]]="N/A"),"N/A",IF(Table1[[#This Row],[DUT Adj Read]]="N/A",IF(Table1[[#This Row],[Std Adj Read]]&gt;Table1[[#This Row],[Low Tol]],"Pass","Fail"),IF(Table1[[#This Row],[DUT Adj Read]]&gt;Table1[[#This Row],[Low Tol]],"Pass","Fail")))</f>
        <v>Pass</v>
      </c>
      <c r="AE2555" s="1" t="str">
        <f>IF(AND(Table1[[#This Row],[Spec Type2]]="N/A",Table1[[#This Row],[DUT Adj Read]]="N/A",Table1[[#This Row],[Std Adj Read]]="N/A"),"N/A",IF(Table1[[#This Row],[DUT Adj Read]]="N/A",IF(Table1[[#This Row],[Std Adj Read]]&lt;Table1[[#This Row],[High Tol]],"Pass","Fail"),IF(Table1[[#This Row],[DUT Adj Read]]&lt;Table1[[#This Row],[High Tol]],"Pass","Fail")))</f>
        <v>Fail</v>
      </c>
      <c r="AF2555" s="1" t="str">
        <f>IF(AND(Table1[[#This Row],[Spec Type2]]="N/A",Table1[[#This Row],[DUT Adj Read]]="N/A",Table1[[#This Row],[Std Adj Read]]="N/A"),"N/A",IF(Table1[[#This Row],[DUT Adj Read]]="N/A",IF(Table1[[#This Row],[Std Adj Read]]&gt;=Table1[[#This Row],[Low Tol]],"Pass","Fail"),IF(Table1[[#This Row],[DUT Adj Read]]&gt;=Table1[[#This Row],[Low Tol]],"Pass","Fail")))</f>
        <v>Pass</v>
      </c>
      <c r="AG2555" s="1" t="str">
        <f>IF(AND(Table1[[#This Row],[Spec Type2]]="N/A",Table1[[#This Row],[DUT Adj Read]]="N/A",Table1[[#This Row],[Std Adj Read]]="N/A"),"N/A",IF(Table1[[#This Row],[DUT Adj Read]]="N/A",IF(Table1[[#This Row],[Std Adj Read]]&lt;=Table1[[#This Row],[High Tol]],"Pass","Fail"),IF(Table1[[#This Row],[DUT Adj Read]]&lt;=Table1[[#This Row],[High Tol]],"Pass","Fail")))</f>
        <v>Fail</v>
      </c>
      <c r="AH25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5" s="1" t="b">
        <v>0</v>
      </c>
      <c r="AN2555" s="1" t="b">
        <v>0</v>
      </c>
      <c r="AO2555" s="1" t="b">
        <v>0</v>
      </c>
    </row>
    <row r="2556" spans="1:41" x14ac:dyDescent="0.25">
      <c r="A2556" s="10"/>
      <c r="B2556" s="10"/>
      <c r="C2556" s="10"/>
      <c r="D2556" s="10"/>
      <c r="E2556" s="10"/>
      <c r="F2556" s="10"/>
      <c r="G2556" s="10"/>
      <c r="H2556" s="10"/>
      <c r="I2556" s="1" t="str">
        <f t="shared" si="117"/>
        <v/>
      </c>
      <c r="J2556" s="1" t="s">
        <v>35</v>
      </c>
      <c r="K2556" s="1" t="str">
        <f t="shared" si="118"/>
        <v/>
      </c>
      <c r="L2556" s="1" t="str">
        <f t="shared" si="119"/>
        <v/>
      </c>
      <c r="M2556" s="1">
        <f>IF(OR(Table1[[#This Row],[Std Nom]]="",Table1[[#This Row],[Std Read]]=""),0,Table1[[#This Row],[Std Nom]]-Table1[[#This Row],[Std Read]])</f>
        <v>0</v>
      </c>
      <c r="N2556" s="1">
        <f>IF(Calculations!$F$5="ACCREDITED 17025 WITH UNCERTAINTIES",$N$10,0)</f>
        <v>0</v>
      </c>
      <c r="O2556" s="1" t="str">
        <f>IFERROR(Table1[[#This Row],[Std Nom]]-(_xlfn.XLOOKUP(Table1[[#This Row],[Manufacturer]]&amp;" "&amp;Table1[[#This Row],[Model]],Table13[MFR &amp; MDL],Table13[Tolerance % CW ],"")/100*Table1[[#This Row],[Std Nom]]),"")</f>
        <v/>
      </c>
      <c r="P2556" s="1" t="str">
        <f>IFERROR(Table1[[#This Row],[Std Nom]]+(_xlfn.XLOOKUP(Table1[[#This Row],[Manufacturer]]&amp;" "&amp;Table1[[#This Row],[Model]],Table13[MFR &amp; MDL],Table13[Tolerance % CW ],"")/100*Table1[[#This Row],[Std Nom]]),"")</f>
        <v/>
      </c>
      <c r="Q2556" s="1" t="e">
        <f>Table1[[#This Row],[High Tol]]-Table1[[#This Row],[Low Tol]]</f>
        <v>#VALUE!</v>
      </c>
      <c r="R2556" s="1">
        <f>2*Table1[[#This Row],[Std Error]]</f>
        <v>0</v>
      </c>
      <c r="S2556" s="1" t="str">
        <f>IF(Table1[[#This Row],[High Tol]]="","N/A",IFERROR(ABS(Table1[[#This Row],[Tol Span]]/Table1[[#This Row],[Error Span]]),"N/A"))</f>
        <v>N/A</v>
      </c>
      <c r="T2556" s="1" t="str">
        <f>IF(OR(Table1[[#This Row],[Low Tol]]="",Table1[[#This Row],[High Tol]]=""),"Needs Analysis",IF(Table1[[#This Row],[Ratio]]&gt;=4,"Not Significant",IF(Table1[[#This Row],[Ratio]]&gt;=2,"Semi-Significant","Significant")))</f>
        <v>Needs Analysis</v>
      </c>
      <c r="W2556" s="1">
        <f>IF(Table1[[#This Row],[Cal Type]]&lt;&gt;"ACCREDITED 17025 WITH UNCERTAINTIES",0,"")</f>
        <v>0</v>
      </c>
      <c r="X2556" s="1" t="str">
        <f>IF(Table1[[#This Row],[DUT Read]]="","N/A",Table1[[#This Row],[Std Error]]+Table1[[#This Row],[DUT Read]]+Table1[[#This Row],[DUT Ucty]])</f>
        <v>N/A</v>
      </c>
      <c r="Y2556" s="1" t="str">
        <f>IF(Table1[[#This Row],[Std Read]]="","N/A",Table1[[#This Row],[Std Read]]+Table1[[#This Row],[Std Ucty]])</f>
        <v>N/A</v>
      </c>
      <c r="Z25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6" s="1" t="str">
        <f>IF(Table1[[#This Row],[Spec Type]]="","N/A",Table1[[#This Row],[Spec Type]])</f>
        <v>±</v>
      </c>
      <c r="AC2556" s="1" t="str">
        <f>IF(Table1[[#This Row],[Spec Type2]]="N/A","N/A",IF(AND(Table1[[#This Row],[DUT Adj Read]]&gt;=Table1[[#This Row],[Low Tol]],Table1[[#This Row],[DUT Adj Read]]&lt;=Table1[[#This Row],[High Tol]]),"Pass","Fail"))</f>
        <v>Fail</v>
      </c>
      <c r="AD2556" s="1" t="str">
        <f>IF(AND(Table1[[#This Row],[Spec Type2]]="N/A",Table1[[#This Row],[DUT Adj Read]]="N/A",Table1[[#This Row],[Std Adj Read]]="N/A"),"N/A",IF(Table1[[#This Row],[DUT Adj Read]]="N/A",IF(Table1[[#This Row],[Std Adj Read]]&gt;Table1[[#This Row],[Low Tol]],"Pass","Fail"),IF(Table1[[#This Row],[DUT Adj Read]]&gt;Table1[[#This Row],[Low Tol]],"Pass","Fail")))</f>
        <v>Pass</v>
      </c>
      <c r="AE2556" s="1" t="str">
        <f>IF(AND(Table1[[#This Row],[Spec Type2]]="N/A",Table1[[#This Row],[DUT Adj Read]]="N/A",Table1[[#This Row],[Std Adj Read]]="N/A"),"N/A",IF(Table1[[#This Row],[DUT Adj Read]]="N/A",IF(Table1[[#This Row],[Std Adj Read]]&lt;Table1[[#This Row],[High Tol]],"Pass","Fail"),IF(Table1[[#This Row],[DUT Adj Read]]&lt;Table1[[#This Row],[High Tol]],"Pass","Fail")))</f>
        <v>Fail</v>
      </c>
      <c r="AF2556" s="1" t="str">
        <f>IF(AND(Table1[[#This Row],[Spec Type2]]="N/A",Table1[[#This Row],[DUT Adj Read]]="N/A",Table1[[#This Row],[Std Adj Read]]="N/A"),"N/A",IF(Table1[[#This Row],[DUT Adj Read]]="N/A",IF(Table1[[#This Row],[Std Adj Read]]&gt;=Table1[[#This Row],[Low Tol]],"Pass","Fail"),IF(Table1[[#This Row],[DUT Adj Read]]&gt;=Table1[[#This Row],[Low Tol]],"Pass","Fail")))</f>
        <v>Pass</v>
      </c>
      <c r="AG2556" s="1" t="str">
        <f>IF(AND(Table1[[#This Row],[Spec Type2]]="N/A",Table1[[#This Row],[DUT Adj Read]]="N/A",Table1[[#This Row],[Std Adj Read]]="N/A"),"N/A",IF(Table1[[#This Row],[DUT Adj Read]]="N/A",IF(Table1[[#This Row],[Std Adj Read]]&lt;=Table1[[#This Row],[High Tol]],"Pass","Fail"),IF(Table1[[#This Row],[DUT Adj Read]]&lt;=Table1[[#This Row],[High Tol]],"Pass","Fail")))</f>
        <v>Fail</v>
      </c>
      <c r="AH25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6" s="1" t="b">
        <v>0</v>
      </c>
      <c r="AN2556" s="1" t="b">
        <v>0</v>
      </c>
      <c r="AO2556" s="1" t="b">
        <v>0</v>
      </c>
    </row>
    <row r="2557" spans="1:41" x14ac:dyDescent="0.25">
      <c r="A2557" s="10"/>
      <c r="B2557" s="10"/>
      <c r="C2557" s="10"/>
      <c r="D2557" s="10"/>
      <c r="E2557" s="10"/>
      <c r="F2557" s="10"/>
      <c r="G2557" s="10"/>
      <c r="H2557" s="10"/>
      <c r="I2557" s="1" t="str">
        <f t="shared" si="117"/>
        <v/>
      </c>
      <c r="J2557" s="1" t="s">
        <v>35</v>
      </c>
      <c r="K2557" s="1" t="str">
        <f t="shared" si="118"/>
        <v/>
      </c>
      <c r="L2557" s="1" t="str">
        <f t="shared" si="119"/>
        <v/>
      </c>
      <c r="M2557" s="1">
        <f>IF(OR(Table1[[#This Row],[Std Nom]]="",Table1[[#This Row],[Std Read]]=""),0,Table1[[#This Row],[Std Nom]]-Table1[[#This Row],[Std Read]])</f>
        <v>0</v>
      </c>
      <c r="N2557" s="1">
        <f>IF(Calculations!$F$5="ACCREDITED 17025 WITH UNCERTAINTIES",$N$10,0)</f>
        <v>0</v>
      </c>
      <c r="O2557" s="1" t="str">
        <f>IFERROR(Table1[[#This Row],[Std Nom]]-(_xlfn.XLOOKUP(Table1[[#This Row],[Manufacturer]]&amp;" "&amp;Table1[[#This Row],[Model]],Table13[MFR &amp; MDL],Table13[Tolerance % CW ],"")/100*Table1[[#This Row],[Std Nom]]),"")</f>
        <v/>
      </c>
      <c r="P2557" s="1" t="str">
        <f>IFERROR(Table1[[#This Row],[Std Nom]]+(_xlfn.XLOOKUP(Table1[[#This Row],[Manufacturer]]&amp;" "&amp;Table1[[#This Row],[Model]],Table13[MFR &amp; MDL],Table13[Tolerance % CW ],"")/100*Table1[[#This Row],[Std Nom]]),"")</f>
        <v/>
      </c>
      <c r="Q2557" s="1" t="e">
        <f>Table1[[#This Row],[High Tol]]-Table1[[#This Row],[Low Tol]]</f>
        <v>#VALUE!</v>
      </c>
      <c r="R2557" s="1">
        <f>2*Table1[[#This Row],[Std Error]]</f>
        <v>0</v>
      </c>
      <c r="S2557" s="1" t="str">
        <f>IF(Table1[[#This Row],[High Tol]]="","N/A",IFERROR(ABS(Table1[[#This Row],[Tol Span]]/Table1[[#This Row],[Error Span]]),"N/A"))</f>
        <v>N/A</v>
      </c>
      <c r="T2557" s="1" t="str">
        <f>IF(OR(Table1[[#This Row],[Low Tol]]="",Table1[[#This Row],[High Tol]]=""),"Needs Analysis",IF(Table1[[#This Row],[Ratio]]&gt;=4,"Not Significant",IF(Table1[[#This Row],[Ratio]]&gt;=2,"Semi-Significant","Significant")))</f>
        <v>Needs Analysis</v>
      </c>
      <c r="W2557" s="1">
        <f>IF(Table1[[#This Row],[Cal Type]]&lt;&gt;"ACCREDITED 17025 WITH UNCERTAINTIES",0,"")</f>
        <v>0</v>
      </c>
      <c r="X2557" s="1" t="str">
        <f>IF(Table1[[#This Row],[DUT Read]]="","N/A",Table1[[#This Row],[Std Error]]+Table1[[#This Row],[DUT Read]]+Table1[[#This Row],[DUT Ucty]])</f>
        <v>N/A</v>
      </c>
      <c r="Y2557" s="1" t="str">
        <f>IF(Table1[[#This Row],[Std Read]]="","N/A",Table1[[#This Row],[Std Read]]+Table1[[#This Row],[Std Ucty]])</f>
        <v>N/A</v>
      </c>
      <c r="Z25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7" s="1" t="str">
        <f>IF(Table1[[#This Row],[Spec Type]]="","N/A",Table1[[#This Row],[Spec Type]])</f>
        <v>±</v>
      </c>
      <c r="AC2557" s="1" t="str">
        <f>IF(Table1[[#This Row],[Spec Type2]]="N/A","N/A",IF(AND(Table1[[#This Row],[DUT Adj Read]]&gt;=Table1[[#This Row],[Low Tol]],Table1[[#This Row],[DUT Adj Read]]&lt;=Table1[[#This Row],[High Tol]]),"Pass","Fail"))</f>
        <v>Fail</v>
      </c>
      <c r="AD2557" s="1" t="str">
        <f>IF(AND(Table1[[#This Row],[Spec Type2]]="N/A",Table1[[#This Row],[DUT Adj Read]]="N/A",Table1[[#This Row],[Std Adj Read]]="N/A"),"N/A",IF(Table1[[#This Row],[DUT Adj Read]]="N/A",IF(Table1[[#This Row],[Std Adj Read]]&gt;Table1[[#This Row],[Low Tol]],"Pass","Fail"),IF(Table1[[#This Row],[DUT Adj Read]]&gt;Table1[[#This Row],[Low Tol]],"Pass","Fail")))</f>
        <v>Pass</v>
      </c>
      <c r="AE2557" s="1" t="str">
        <f>IF(AND(Table1[[#This Row],[Spec Type2]]="N/A",Table1[[#This Row],[DUT Adj Read]]="N/A",Table1[[#This Row],[Std Adj Read]]="N/A"),"N/A",IF(Table1[[#This Row],[DUT Adj Read]]="N/A",IF(Table1[[#This Row],[Std Adj Read]]&lt;Table1[[#This Row],[High Tol]],"Pass","Fail"),IF(Table1[[#This Row],[DUT Adj Read]]&lt;Table1[[#This Row],[High Tol]],"Pass","Fail")))</f>
        <v>Fail</v>
      </c>
      <c r="AF2557" s="1" t="str">
        <f>IF(AND(Table1[[#This Row],[Spec Type2]]="N/A",Table1[[#This Row],[DUT Adj Read]]="N/A",Table1[[#This Row],[Std Adj Read]]="N/A"),"N/A",IF(Table1[[#This Row],[DUT Adj Read]]="N/A",IF(Table1[[#This Row],[Std Adj Read]]&gt;=Table1[[#This Row],[Low Tol]],"Pass","Fail"),IF(Table1[[#This Row],[DUT Adj Read]]&gt;=Table1[[#This Row],[Low Tol]],"Pass","Fail")))</f>
        <v>Pass</v>
      </c>
      <c r="AG2557" s="1" t="str">
        <f>IF(AND(Table1[[#This Row],[Spec Type2]]="N/A",Table1[[#This Row],[DUT Adj Read]]="N/A",Table1[[#This Row],[Std Adj Read]]="N/A"),"N/A",IF(Table1[[#This Row],[DUT Adj Read]]="N/A",IF(Table1[[#This Row],[Std Adj Read]]&lt;=Table1[[#This Row],[High Tol]],"Pass","Fail"),IF(Table1[[#This Row],[DUT Adj Read]]&lt;=Table1[[#This Row],[High Tol]],"Pass","Fail")))</f>
        <v>Fail</v>
      </c>
      <c r="AH25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7" s="1" t="b">
        <v>0</v>
      </c>
      <c r="AN2557" s="1" t="b">
        <v>0</v>
      </c>
      <c r="AO2557" s="1" t="b">
        <v>0</v>
      </c>
    </row>
    <row r="2558" spans="1:41" x14ac:dyDescent="0.25">
      <c r="A2558" s="10"/>
      <c r="B2558" s="10"/>
      <c r="C2558" s="10"/>
      <c r="D2558" s="10"/>
      <c r="E2558" s="10"/>
      <c r="F2558" s="10"/>
      <c r="G2558" s="10"/>
      <c r="H2558" s="10"/>
      <c r="I2558" s="1" t="str">
        <f t="shared" si="117"/>
        <v/>
      </c>
      <c r="J2558" s="1" t="s">
        <v>35</v>
      </c>
      <c r="K2558" s="1" t="str">
        <f t="shared" si="118"/>
        <v/>
      </c>
      <c r="L2558" s="1" t="str">
        <f t="shared" si="119"/>
        <v/>
      </c>
      <c r="M2558" s="1">
        <f>IF(OR(Table1[[#This Row],[Std Nom]]="",Table1[[#This Row],[Std Read]]=""),0,Table1[[#This Row],[Std Nom]]-Table1[[#This Row],[Std Read]])</f>
        <v>0</v>
      </c>
      <c r="N2558" s="1">
        <f>IF(Calculations!$F$5="ACCREDITED 17025 WITH UNCERTAINTIES",$N$10,0)</f>
        <v>0</v>
      </c>
      <c r="O2558" s="1" t="str">
        <f>IFERROR(Table1[[#This Row],[Std Nom]]-(_xlfn.XLOOKUP(Table1[[#This Row],[Manufacturer]]&amp;" "&amp;Table1[[#This Row],[Model]],Table13[MFR &amp; MDL],Table13[Tolerance % CW ],"")/100*Table1[[#This Row],[Std Nom]]),"")</f>
        <v/>
      </c>
      <c r="P2558" s="1" t="str">
        <f>IFERROR(Table1[[#This Row],[Std Nom]]+(_xlfn.XLOOKUP(Table1[[#This Row],[Manufacturer]]&amp;" "&amp;Table1[[#This Row],[Model]],Table13[MFR &amp; MDL],Table13[Tolerance % CW ],"")/100*Table1[[#This Row],[Std Nom]]),"")</f>
        <v/>
      </c>
      <c r="Q2558" s="1" t="e">
        <f>Table1[[#This Row],[High Tol]]-Table1[[#This Row],[Low Tol]]</f>
        <v>#VALUE!</v>
      </c>
      <c r="R2558" s="1">
        <f>2*Table1[[#This Row],[Std Error]]</f>
        <v>0</v>
      </c>
      <c r="S2558" s="1" t="str">
        <f>IF(Table1[[#This Row],[High Tol]]="","N/A",IFERROR(ABS(Table1[[#This Row],[Tol Span]]/Table1[[#This Row],[Error Span]]),"N/A"))</f>
        <v>N/A</v>
      </c>
      <c r="T2558" s="1" t="str">
        <f>IF(OR(Table1[[#This Row],[Low Tol]]="",Table1[[#This Row],[High Tol]]=""),"Needs Analysis",IF(Table1[[#This Row],[Ratio]]&gt;=4,"Not Significant",IF(Table1[[#This Row],[Ratio]]&gt;=2,"Semi-Significant","Significant")))</f>
        <v>Needs Analysis</v>
      </c>
      <c r="W2558" s="1">
        <f>IF(Table1[[#This Row],[Cal Type]]&lt;&gt;"ACCREDITED 17025 WITH UNCERTAINTIES",0,"")</f>
        <v>0</v>
      </c>
      <c r="X2558" s="1" t="str">
        <f>IF(Table1[[#This Row],[DUT Read]]="","N/A",Table1[[#This Row],[Std Error]]+Table1[[#This Row],[DUT Read]]+Table1[[#This Row],[DUT Ucty]])</f>
        <v>N/A</v>
      </c>
      <c r="Y2558" s="1" t="str">
        <f>IF(Table1[[#This Row],[Std Read]]="","N/A",Table1[[#This Row],[Std Read]]+Table1[[#This Row],[Std Ucty]])</f>
        <v>N/A</v>
      </c>
      <c r="Z25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8" s="1" t="str">
        <f>IF(Table1[[#This Row],[Spec Type]]="","N/A",Table1[[#This Row],[Spec Type]])</f>
        <v>±</v>
      </c>
      <c r="AC2558" s="1" t="str">
        <f>IF(Table1[[#This Row],[Spec Type2]]="N/A","N/A",IF(AND(Table1[[#This Row],[DUT Adj Read]]&gt;=Table1[[#This Row],[Low Tol]],Table1[[#This Row],[DUT Adj Read]]&lt;=Table1[[#This Row],[High Tol]]),"Pass","Fail"))</f>
        <v>Fail</v>
      </c>
      <c r="AD2558" s="1" t="str">
        <f>IF(AND(Table1[[#This Row],[Spec Type2]]="N/A",Table1[[#This Row],[DUT Adj Read]]="N/A",Table1[[#This Row],[Std Adj Read]]="N/A"),"N/A",IF(Table1[[#This Row],[DUT Adj Read]]="N/A",IF(Table1[[#This Row],[Std Adj Read]]&gt;Table1[[#This Row],[Low Tol]],"Pass","Fail"),IF(Table1[[#This Row],[DUT Adj Read]]&gt;Table1[[#This Row],[Low Tol]],"Pass","Fail")))</f>
        <v>Pass</v>
      </c>
      <c r="AE2558" s="1" t="str">
        <f>IF(AND(Table1[[#This Row],[Spec Type2]]="N/A",Table1[[#This Row],[DUT Adj Read]]="N/A",Table1[[#This Row],[Std Adj Read]]="N/A"),"N/A",IF(Table1[[#This Row],[DUT Adj Read]]="N/A",IF(Table1[[#This Row],[Std Adj Read]]&lt;Table1[[#This Row],[High Tol]],"Pass","Fail"),IF(Table1[[#This Row],[DUT Adj Read]]&lt;Table1[[#This Row],[High Tol]],"Pass","Fail")))</f>
        <v>Fail</v>
      </c>
      <c r="AF2558" s="1" t="str">
        <f>IF(AND(Table1[[#This Row],[Spec Type2]]="N/A",Table1[[#This Row],[DUT Adj Read]]="N/A",Table1[[#This Row],[Std Adj Read]]="N/A"),"N/A",IF(Table1[[#This Row],[DUT Adj Read]]="N/A",IF(Table1[[#This Row],[Std Adj Read]]&gt;=Table1[[#This Row],[Low Tol]],"Pass","Fail"),IF(Table1[[#This Row],[DUT Adj Read]]&gt;=Table1[[#This Row],[Low Tol]],"Pass","Fail")))</f>
        <v>Pass</v>
      </c>
      <c r="AG2558" s="1" t="str">
        <f>IF(AND(Table1[[#This Row],[Spec Type2]]="N/A",Table1[[#This Row],[DUT Adj Read]]="N/A",Table1[[#This Row],[Std Adj Read]]="N/A"),"N/A",IF(Table1[[#This Row],[DUT Adj Read]]="N/A",IF(Table1[[#This Row],[Std Adj Read]]&lt;=Table1[[#This Row],[High Tol]],"Pass","Fail"),IF(Table1[[#This Row],[DUT Adj Read]]&lt;=Table1[[#This Row],[High Tol]],"Pass","Fail")))</f>
        <v>Fail</v>
      </c>
      <c r="AH25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8" s="1" t="b">
        <v>0</v>
      </c>
      <c r="AN2558" s="1" t="b">
        <v>0</v>
      </c>
      <c r="AO2558" s="1" t="b">
        <v>0</v>
      </c>
    </row>
    <row r="2559" spans="1:41" x14ac:dyDescent="0.25">
      <c r="A2559" s="10"/>
      <c r="B2559" s="10"/>
      <c r="C2559" s="10"/>
      <c r="D2559" s="10"/>
      <c r="E2559" s="10"/>
      <c r="F2559" s="10"/>
      <c r="G2559" s="10"/>
      <c r="H2559" s="10"/>
      <c r="I2559" s="1" t="str">
        <f t="shared" si="117"/>
        <v/>
      </c>
      <c r="J2559" s="1" t="s">
        <v>35</v>
      </c>
      <c r="K2559" s="1" t="str">
        <f t="shared" si="118"/>
        <v/>
      </c>
      <c r="L2559" s="1" t="str">
        <f t="shared" si="119"/>
        <v/>
      </c>
      <c r="M2559" s="1">
        <f>IF(OR(Table1[[#This Row],[Std Nom]]="",Table1[[#This Row],[Std Read]]=""),0,Table1[[#This Row],[Std Nom]]-Table1[[#This Row],[Std Read]])</f>
        <v>0</v>
      </c>
      <c r="N2559" s="1">
        <f>IF(Calculations!$F$5="ACCREDITED 17025 WITH UNCERTAINTIES",$N$10,0)</f>
        <v>0</v>
      </c>
      <c r="O2559" s="1" t="str">
        <f>IFERROR(Table1[[#This Row],[Std Nom]]-(_xlfn.XLOOKUP(Table1[[#This Row],[Manufacturer]]&amp;" "&amp;Table1[[#This Row],[Model]],Table13[MFR &amp; MDL],Table13[Tolerance % CW ],"")/100*Table1[[#This Row],[Std Nom]]),"")</f>
        <v/>
      </c>
      <c r="P2559" s="1" t="str">
        <f>IFERROR(Table1[[#This Row],[Std Nom]]+(_xlfn.XLOOKUP(Table1[[#This Row],[Manufacturer]]&amp;" "&amp;Table1[[#This Row],[Model]],Table13[MFR &amp; MDL],Table13[Tolerance % CW ],"")/100*Table1[[#This Row],[Std Nom]]),"")</f>
        <v/>
      </c>
      <c r="Q2559" s="1" t="e">
        <f>Table1[[#This Row],[High Tol]]-Table1[[#This Row],[Low Tol]]</f>
        <v>#VALUE!</v>
      </c>
      <c r="R2559" s="1">
        <f>2*Table1[[#This Row],[Std Error]]</f>
        <v>0</v>
      </c>
      <c r="S2559" s="1" t="str">
        <f>IF(Table1[[#This Row],[High Tol]]="","N/A",IFERROR(ABS(Table1[[#This Row],[Tol Span]]/Table1[[#This Row],[Error Span]]),"N/A"))</f>
        <v>N/A</v>
      </c>
      <c r="T2559" s="1" t="str">
        <f>IF(OR(Table1[[#This Row],[Low Tol]]="",Table1[[#This Row],[High Tol]]=""),"Needs Analysis",IF(Table1[[#This Row],[Ratio]]&gt;=4,"Not Significant",IF(Table1[[#This Row],[Ratio]]&gt;=2,"Semi-Significant","Significant")))</f>
        <v>Needs Analysis</v>
      </c>
      <c r="W2559" s="1">
        <f>IF(Table1[[#This Row],[Cal Type]]&lt;&gt;"ACCREDITED 17025 WITH UNCERTAINTIES",0,"")</f>
        <v>0</v>
      </c>
      <c r="X2559" s="1" t="str">
        <f>IF(Table1[[#This Row],[DUT Read]]="","N/A",Table1[[#This Row],[Std Error]]+Table1[[#This Row],[DUT Read]]+Table1[[#This Row],[DUT Ucty]])</f>
        <v>N/A</v>
      </c>
      <c r="Y2559" s="1" t="str">
        <f>IF(Table1[[#This Row],[Std Read]]="","N/A",Table1[[#This Row],[Std Read]]+Table1[[#This Row],[Std Ucty]])</f>
        <v>N/A</v>
      </c>
      <c r="Z25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9" s="1" t="str">
        <f>IF(Table1[[#This Row],[Spec Type]]="","N/A",Table1[[#This Row],[Spec Type]])</f>
        <v>±</v>
      </c>
      <c r="AC2559" s="1" t="str">
        <f>IF(Table1[[#This Row],[Spec Type2]]="N/A","N/A",IF(AND(Table1[[#This Row],[DUT Adj Read]]&gt;=Table1[[#This Row],[Low Tol]],Table1[[#This Row],[DUT Adj Read]]&lt;=Table1[[#This Row],[High Tol]]),"Pass","Fail"))</f>
        <v>Fail</v>
      </c>
      <c r="AD2559" s="1" t="str">
        <f>IF(AND(Table1[[#This Row],[Spec Type2]]="N/A",Table1[[#This Row],[DUT Adj Read]]="N/A",Table1[[#This Row],[Std Adj Read]]="N/A"),"N/A",IF(Table1[[#This Row],[DUT Adj Read]]="N/A",IF(Table1[[#This Row],[Std Adj Read]]&gt;Table1[[#This Row],[Low Tol]],"Pass","Fail"),IF(Table1[[#This Row],[DUT Adj Read]]&gt;Table1[[#This Row],[Low Tol]],"Pass","Fail")))</f>
        <v>Pass</v>
      </c>
      <c r="AE2559" s="1" t="str">
        <f>IF(AND(Table1[[#This Row],[Spec Type2]]="N/A",Table1[[#This Row],[DUT Adj Read]]="N/A",Table1[[#This Row],[Std Adj Read]]="N/A"),"N/A",IF(Table1[[#This Row],[DUT Adj Read]]="N/A",IF(Table1[[#This Row],[Std Adj Read]]&lt;Table1[[#This Row],[High Tol]],"Pass","Fail"),IF(Table1[[#This Row],[DUT Adj Read]]&lt;Table1[[#This Row],[High Tol]],"Pass","Fail")))</f>
        <v>Fail</v>
      </c>
      <c r="AF2559" s="1" t="str">
        <f>IF(AND(Table1[[#This Row],[Spec Type2]]="N/A",Table1[[#This Row],[DUT Adj Read]]="N/A",Table1[[#This Row],[Std Adj Read]]="N/A"),"N/A",IF(Table1[[#This Row],[DUT Adj Read]]="N/A",IF(Table1[[#This Row],[Std Adj Read]]&gt;=Table1[[#This Row],[Low Tol]],"Pass","Fail"),IF(Table1[[#This Row],[DUT Adj Read]]&gt;=Table1[[#This Row],[Low Tol]],"Pass","Fail")))</f>
        <v>Pass</v>
      </c>
      <c r="AG2559" s="1" t="str">
        <f>IF(AND(Table1[[#This Row],[Spec Type2]]="N/A",Table1[[#This Row],[DUT Adj Read]]="N/A",Table1[[#This Row],[Std Adj Read]]="N/A"),"N/A",IF(Table1[[#This Row],[DUT Adj Read]]="N/A",IF(Table1[[#This Row],[Std Adj Read]]&lt;=Table1[[#This Row],[High Tol]],"Pass","Fail"),IF(Table1[[#This Row],[DUT Adj Read]]&lt;=Table1[[#This Row],[High Tol]],"Pass","Fail")))</f>
        <v>Fail</v>
      </c>
      <c r="AH25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9" s="1" t="b">
        <v>0</v>
      </c>
      <c r="AN2559" s="1" t="b">
        <v>0</v>
      </c>
      <c r="AO2559" s="1" t="b">
        <v>0</v>
      </c>
    </row>
    <row r="2560" spans="1:41" x14ac:dyDescent="0.25">
      <c r="A2560" s="10"/>
      <c r="B2560" s="10"/>
      <c r="C2560" s="10"/>
      <c r="D2560" s="10"/>
      <c r="E2560" s="10"/>
      <c r="F2560" s="10"/>
      <c r="G2560" s="10"/>
      <c r="H2560" s="10"/>
      <c r="I2560" s="1" t="str">
        <f t="shared" si="117"/>
        <v/>
      </c>
      <c r="J2560" s="1" t="s">
        <v>35</v>
      </c>
      <c r="K2560" s="1" t="str">
        <f t="shared" si="118"/>
        <v/>
      </c>
      <c r="L2560" s="1" t="str">
        <f t="shared" si="119"/>
        <v/>
      </c>
      <c r="M2560" s="1">
        <f>IF(OR(Table1[[#This Row],[Std Nom]]="",Table1[[#This Row],[Std Read]]=""),0,Table1[[#This Row],[Std Nom]]-Table1[[#This Row],[Std Read]])</f>
        <v>0</v>
      </c>
      <c r="N2560" s="1">
        <f>IF(Calculations!$F$5="ACCREDITED 17025 WITH UNCERTAINTIES",$N$10,0)</f>
        <v>0</v>
      </c>
      <c r="O2560" s="1" t="str">
        <f>IFERROR(Table1[[#This Row],[Std Nom]]-(_xlfn.XLOOKUP(Table1[[#This Row],[Manufacturer]]&amp;" "&amp;Table1[[#This Row],[Model]],Table13[MFR &amp; MDL],Table13[Tolerance % CW ],"")/100*Table1[[#This Row],[Std Nom]]),"")</f>
        <v/>
      </c>
      <c r="P2560" s="1" t="str">
        <f>IFERROR(Table1[[#This Row],[Std Nom]]+(_xlfn.XLOOKUP(Table1[[#This Row],[Manufacturer]]&amp;" "&amp;Table1[[#This Row],[Model]],Table13[MFR &amp; MDL],Table13[Tolerance % CW ],"")/100*Table1[[#This Row],[Std Nom]]),"")</f>
        <v/>
      </c>
      <c r="Q2560" s="1" t="e">
        <f>Table1[[#This Row],[High Tol]]-Table1[[#This Row],[Low Tol]]</f>
        <v>#VALUE!</v>
      </c>
      <c r="R2560" s="1">
        <f>2*Table1[[#This Row],[Std Error]]</f>
        <v>0</v>
      </c>
      <c r="S2560" s="1" t="str">
        <f>IF(Table1[[#This Row],[High Tol]]="","N/A",IFERROR(ABS(Table1[[#This Row],[Tol Span]]/Table1[[#This Row],[Error Span]]),"N/A"))</f>
        <v>N/A</v>
      </c>
      <c r="T2560" s="1" t="str">
        <f>IF(OR(Table1[[#This Row],[Low Tol]]="",Table1[[#This Row],[High Tol]]=""),"Needs Analysis",IF(Table1[[#This Row],[Ratio]]&gt;=4,"Not Significant",IF(Table1[[#This Row],[Ratio]]&gt;=2,"Semi-Significant","Significant")))</f>
        <v>Needs Analysis</v>
      </c>
      <c r="W2560" s="1">
        <f>IF(Table1[[#This Row],[Cal Type]]&lt;&gt;"ACCREDITED 17025 WITH UNCERTAINTIES",0,"")</f>
        <v>0</v>
      </c>
      <c r="X2560" s="1" t="str">
        <f>IF(Table1[[#This Row],[DUT Read]]="","N/A",Table1[[#This Row],[Std Error]]+Table1[[#This Row],[DUT Read]]+Table1[[#This Row],[DUT Ucty]])</f>
        <v>N/A</v>
      </c>
      <c r="Y2560" s="1" t="str">
        <f>IF(Table1[[#This Row],[Std Read]]="","N/A",Table1[[#This Row],[Std Read]]+Table1[[#This Row],[Std Ucty]])</f>
        <v>N/A</v>
      </c>
      <c r="Z25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0" s="1" t="str">
        <f>IF(Table1[[#This Row],[Spec Type]]="","N/A",Table1[[#This Row],[Spec Type]])</f>
        <v>±</v>
      </c>
      <c r="AC2560" s="1" t="str">
        <f>IF(Table1[[#This Row],[Spec Type2]]="N/A","N/A",IF(AND(Table1[[#This Row],[DUT Adj Read]]&gt;=Table1[[#This Row],[Low Tol]],Table1[[#This Row],[DUT Adj Read]]&lt;=Table1[[#This Row],[High Tol]]),"Pass","Fail"))</f>
        <v>Fail</v>
      </c>
      <c r="AD2560" s="1" t="str">
        <f>IF(AND(Table1[[#This Row],[Spec Type2]]="N/A",Table1[[#This Row],[DUT Adj Read]]="N/A",Table1[[#This Row],[Std Adj Read]]="N/A"),"N/A",IF(Table1[[#This Row],[DUT Adj Read]]="N/A",IF(Table1[[#This Row],[Std Adj Read]]&gt;Table1[[#This Row],[Low Tol]],"Pass","Fail"),IF(Table1[[#This Row],[DUT Adj Read]]&gt;Table1[[#This Row],[Low Tol]],"Pass","Fail")))</f>
        <v>Pass</v>
      </c>
      <c r="AE2560" s="1" t="str">
        <f>IF(AND(Table1[[#This Row],[Spec Type2]]="N/A",Table1[[#This Row],[DUT Adj Read]]="N/A",Table1[[#This Row],[Std Adj Read]]="N/A"),"N/A",IF(Table1[[#This Row],[DUT Adj Read]]="N/A",IF(Table1[[#This Row],[Std Adj Read]]&lt;Table1[[#This Row],[High Tol]],"Pass","Fail"),IF(Table1[[#This Row],[DUT Adj Read]]&lt;Table1[[#This Row],[High Tol]],"Pass","Fail")))</f>
        <v>Fail</v>
      </c>
      <c r="AF2560" s="1" t="str">
        <f>IF(AND(Table1[[#This Row],[Spec Type2]]="N/A",Table1[[#This Row],[DUT Adj Read]]="N/A",Table1[[#This Row],[Std Adj Read]]="N/A"),"N/A",IF(Table1[[#This Row],[DUT Adj Read]]="N/A",IF(Table1[[#This Row],[Std Adj Read]]&gt;=Table1[[#This Row],[Low Tol]],"Pass","Fail"),IF(Table1[[#This Row],[DUT Adj Read]]&gt;=Table1[[#This Row],[Low Tol]],"Pass","Fail")))</f>
        <v>Pass</v>
      </c>
      <c r="AG2560" s="1" t="str">
        <f>IF(AND(Table1[[#This Row],[Spec Type2]]="N/A",Table1[[#This Row],[DUT Adj Read]]="N/A",Table1[[#This Row],[Std Adj Read]]="N/A"),"N/A",IF(Table1[[#This Row],[DUT Adj Read]]="N/A",IF(Table1[[#This Row],[Std Adj Read]]&lt;=Table1[[#This Row],[High Tol]],"Pass","Fail"),IF(Table1[[#This Row],[DUT Adj Read]]&lt;=Table1[[#This Row],[High Tol]],"Pass","Fail")))</f>
        <v>Fail</v>
      </c>
      <c r="AH25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0" s="1" t="b">
        <v>0</v>
      </c>
      <c r="AN2560" s="1" t="b">
        <v>0</v>
      </c>
      <c r="AO2560" s="1" t="b">
        <v>0</v>
      </c>
    </row>
    <row r="2561" spans="1:41" x14ac:dyDescent="0.25">
      <c r="A2561" s="10"/>
      <c r="B2561" s="10"/>
      <c r="C2561" s="10"/>
      <c r="D2561" s="10"/>
      <c r="E2561" s="10"/>
      <c r="F2561" s="10"/>
      <c r="G2561" s="10"/>
      <c r="H2561" s="10"/>
      <c r="I2561" s="1" t="str">
        <f t="shared" si="117"/>
        <v/>
      </c>
      <c r="J2561" s="1" t="s">
        <v>35</v>
      </c>
      <c r="K2561" s="1" t="str">
        <f t="shared" si="118"/>
        <v/>
      </c>
      <c r="L2561" s="1" t="str">
        <f t="shared" si="119"/>
        <v/>
      </c>
      <c r="M2561" s="1">
        <f>IF(OR(Table1[[#This Row],[Std Nom]]="",Table1[[#This Row],[Std Read]]=""),0,Table1[[#This Row],[Std Nom]]-Table1[[#This Row],[Std Read]])</f>
        <v>0</v>
      </c>
      <c r="N2561" s="1">
        <f>IF(Calculations!$F$5="ACCREDITED 17025 WITH UNCERTAINTIES",$N$10,0)</f>
        <v>0</v>
      </c>
      <c r="O2561" s="1" t="str">
        <f>IFERROR(Table1[[#This Row],[Std Nom]]-(_xlfn.XLOOKUP(Table1[[#This Row],[Manufacturer]]&amp;" "&amp;Table1[[#This Row],[Model]],Table13[MFR &amp; MDL],Table13[Tolerance % CW ],"")/100*Table1[[#This Row],[Std Nom]]),"")</f>
        <v/>
      </c>
      <c r="P2561" s="1" t="str">
        <f>IFERROR(Table1[[#This Row],[Std Nom]]+(_xlfn.XLOOKUP(Table1[[#This Row],[Manufacturer]]&amp;" "&amp;Table1[[#This Row],[Model]],Table13[MFR &amp; MDL],Table13[Tolerance % CW ],"")/100*Table1[[#This Row],[Std Nom]]),"")</f>
        <v/>
      </c>
      <c r="Q2561" s="1" t="e">
        <f>Table1[[#This Row],[High Tol]]-Table1[[#This Row],[Low Tol]]</f>
        <v>#VALUE!</v>
      </c>
      <c r="R2561" s="1">
        <f>2*Table1[[#This Row],[Std Error]]</f>
        <v>0</v>
      </c>
      <c r="S2561" s="1" t="str">
        <f>IF(Table1[[#This Row],[High Tol]]="","N/A",IFERROR(ABS(Table1[[#This Row],[Tol Span]]/Table1[[#This Row],[Error Span]]),"N/A"))</f>
        <v>N/A</v>
      </c>
      <c r="T2561" s="1" t="str">
        <f>IF(OR(Table1[[#This Row],[Low Tol]]="",Table1[[#This Row],[High Tol]]=""),"Needs Analysis",IF(Table1[[#This Row],[Ratio]]&gt;=4,"Not Significant",IF(Table1[[#This Row],[Ratio]]&gt;=2,"Semi-Significant","Significant")))</f>
        <v>Needs Analysis</v>
      </c>
      <c r="W2561" s="1">
        <f>IF(Table1[[#This Row],[Cal Type]]&lt;&gt;"ACCREDITED 17025 WITH UNCERTAINTIES",0,"")</f>
        <v>0</v>
      </c>
      <c r="X2561" s="1" t="str">
        <f>IF(Table1[[#This Row],[DUT Read]]="","N/A",Table1[[#This Row],[Std Error]]+Table1[[#This Row],[DUT Read]]+Table1[[#This Row],[DUT Ucty]])</f>
        <v>N/A</v>
      </c>
      <c r="Y2561" s="1" t="str">
        <f>IF(Table1[[#This Row],[Std Read]]="","N/A",Table1[[#This Row],[Std Read]]+Table1[[#This Row],[Std Ucty]])</f>
        <v>N/A</v>
      </c>
      <c r="Z25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1" s="1" t="str">
        <f>IF(Table1[[#This Row],[Spec Type]]="","N/A",Table1[[#This Row],[Spec Type]])</f>
        <v>±</v>
      </c>
      <c r="AC2561" s="1" t="str">
        <f>IF(Table1[[#This Row],[Spec Type2]]="N/A","N/A",IF(AND(Table1[[#This Row],[DUT Adj Read]]&gt;=Table1[[#This Row],[Low Tol]],Table1[[#This Row],[DUT Adj Read]]&lt;=Table1[[#This Row],[High Tol]]),"Pass","Fail"))</f>
        <v>Fail</v>
      </c>
      <c r="AD2561" s="1" t="str">
        <f>IF(AND(Table1[[#This Row],[Spec Type2]]="N/A",Table1[[#This Row],[DUT Adj Read]]="N/A",Table1[[#This Row],[Std Adj Read]]="N/A"),"N/A",IF(Table1[[#This Row],[DUT Adj Read]]="N/A",IF(Table1[[#This Row],[Std Adj Read]]&gt;Table1[[#This Row],[Low Tol]],"Pass","Fail"),IF(Table1[[#This Row],[DUT Adj Read]]&gt;Table1[[#This Row],[Low Tol]],"Pass","Fail")))</f>
        <v>Pass</v>
      </c>
      <c r="AE2561" s="1" t="str">
        <f>IF(AND(Table1[[#This Row],[Spec Type2]]="N/A",Table1[[#This Row],[DUT Adj Read]]="N/A",Table1[[#This Row],[Std Adj Read]]="N/A"),"N/A",IF(Table1[[#This Row],[DUT Adj Read]]="N/A",IF(Table1[[#This Row],[Std Adj Read]]&lt;Table1[[#This Row],[High Tol]],"Pass","Fail"),IF(Table1[[#This Row],[DUT Adj Read]]&lt;Table1[[#This Row],[High Tol]],"Pass","Fail")))</f>
        <v>Fail</v>
      </c>
      <c r="AF2561" s="1" t="str">
        <f>IF(AND(Table1[[#This Row],[Spec Type2]]="N/A",Table1[[#This Row],[DUT Adj Read]]="N/A",Table1[[#This Row],[Std Adj Read]]="N/A"),"N/A",IF(Table1[[#This Row],[DUT Adj Read]]="N/A",IF(Table1[[#This Row],[Std Adj Read]]&gt;=Table1[[#This Row],[Low Tol]],"Pass","Fail"),IF(Table1[[#This Row],[DUT Adj Read]]&gt;=Table1[[#This Row],[Low Tol]],"Pass","Fail")))</f>
        <v>Pass</v>
      </c>
      <c r="AG2561" s="1" t="str">
        <f>IF(AND(Table1[[#This Row],[Spec Type2]]="N/A",Table1[[#This Row],[DUT Adj Read]]="N/A",Table1[[#This Row],[Std Adj Read]]="N/A"),"N/A",IF(Table1[[#This Row],[DUT Adj Read]]="N/A",IF(Table1[[#This Row],[Std Adj Read]]&lt;=Table1[[#This Row],[High Tol]],"Pass","Fail"),IF(Table1[[#This Row],[DUT Adj Read]]&lt;=Table1[[#This Row],[High Tol]],"Pass","Fail")))</f>
        <v>Fail</v>
      </c>
      <c r="AH25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1" s="1" t="b">
        <v>0</v>
      </c>
      <c r="AN2561" s="1" t="b">
        <v>0</v>
      </c>
      <c r="AO2561" s="1" t="b">
        <v>0</v>
      </c>
    </row>
    <row r="2562" spans="1:41" x14ac:dyDescent="0.25">
      <c r="A2562" s="10"/>
      <c r="B2562" s="10"/>
      <c r="C2562" s="10"/>
      <c r="D2562" s="10"/>
      <c r="E2562" s="10"/>
      <c r="F2562" s="10"/>
      <c r="G2562" s="10"/>
      <c r="H2562" s="10"/>
      <c r="I2562" s="1" t="str">
        <f t="shared" si="117"/>
        <v/>
      </c>
      <c r="J2562" s="1" t="s">
        <v>35</v>
      </c>
      <c r="K2562" s="1" t="str">
        <f t="shared" si="118"/>
        <v/>
      </c>
      <c r="L2562" s="1" t="str">
        <f t="shared" si="119"/>
        <v/>
      </c>
      <c r="M2562" s="1">
        <f>IF(OR(Table1[[#This Row],[Std Nom]]="",Table1[[#This Row],[Std Read]]=""),0,Table1[[#This Row],[Std Nom]]-Table1[[#This Row],[Std Read]])</f>
        <v>0</v>
      </c>
      <c r="N2562" s="1">
        <f>IF(Calculations!$F$5="ACCREDITED 17025 WITH UNCERTAINTIES",$N$10,0)</f>
        <v>0</v>
      </c>
      <c r="O2562" s="1" t="str">
        <f>IFERROR(Table1[[#This Row],[Std Nom]]-(_xlfn.XLOOKUP(Table1[[#This Row],[Manufacturer]]&amp;" "&amp;Table1[[#This Row],[Model]],Table13[MFR &amp; MDL],Table13[Tolerance % CW ],"")/100*Table1[[#This Row],[Std Nom]]),"")</f>
        <v/>
      </c>
      <c r="P2562" s="1" t="str">
        <f>IFERROR(Table1[[#This Row],[Std Nom]]+(_xlfn.XLOOKUP(Table1[[#This Row],[Manufacturer]]&amp;" "&amp;Table1[[#This Row],[Model]],Table13[MFR &amp; MDL],Table13[Tolerance % CW ],"")/100*Table1[[#This Row],[Std Nom]]),"")</f>
        <v/>
      </c>
      <c r="Q2562" s="1" t="e">
        <f>Table1[[#This Row],[High Tol]]-Table1[[#This Row],[Low Tol]]</f>
        <v>#VALUE!</v>
      </c>
      <c r="R2562" s="1">
        <f>2*Table1[[#This Row],[Std Error]]</f>
        <v>0</v>
      </c>
      <c r="S2562" s="1" t="str">
        <f>IF(Table1[[#This Row],[High Tol]]="","N/A",IFERROR(ABS(Table1[[#This Row],[Tol Span]]/Table1[[#This Row],[Error Span]]),"N/A"))</f>
        <v>N/A</v>
      </c>
      <c r="T2562" s="1" t="str">
        <f>IF(OR(Table1[[#This Row],[Low Tol]]="",Table1[[#This Row],[High Tol]]=""),"Needs Analysis",IF(Table1[[#This Row],[Ratio]]&gt;=4,"Not Significant",IF(Table1[[#This Row],[Ratio]]&gt;=2,"Semi-Significant","Significant")))</f>
        <v>Needs Analysis</v>
      </c>
      <c r="W2562" s="1">
        <f>IF(Table1[[#This Row],[Cal Type]]&lt;&gt;"ACCREDITED 17025 WITH UNCERTAINTIES",0,"")</f>
        <v>0</v>
      </c>
      <c r="X2562" s="1" t="str">
        <f>IF(Table1[[#This Row],[DUT Read]]="","N/A",Table1[[#This Row],[Std Error]]+Table1[[#This Row],[DUT Read]]+Table1[[#This Row],[DUT Ucty]])</f>
        <v>N/A</v>
      </c>
      <c r="Y2562" s="1" t="str">
        <f>IF(Table1[[#This Row],[Std Read]]="","N/A",Table1[[#This Row],[Std Read]]+Table1[[#This Row],[Std Ucty]])</f>
        <v>N/A</v>
      </c>
      <c r="Z25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2" s="1" t="str">
        <f>IF(Table1[[#This Row],[Spec Type]]="","N/A",Table1[[#This Row],[Spec Type]])</f>
        <v>±</v>
      </c>
      <c r="AC2562" s="1" t="str">
        <f>IF(Table1[[#This Row],[Spec Type2]]="N/A","N/A",IF(AND(Table1[[#This Row],[DUT Adj Read]]&gt;=Table1[[#This Row],[Low Tol]],Table1[[#This Row],[DUT Adj Read]]&lt;=Table1[[#This Row],[High Tol]]),"Pass","Fail"))</f>
        <v>Fail</v>
      </c>
      <c r="AD2562" s="1" t="str">
        <f>IF(AND(Table1[[#This Row],[Spec Type2]]="N/A",Table1[[#This Row],[DUT Adj Read]]="N/A",Table1[[#This Row],[Std Adj Read]]="N/A"),"N/A",IF(Table1[[#This Row],[DUT Adj Read]]="N/A",IF(Table1[[#This Row],[Std Adj Read]]&gt;Table1[[#This Row],[Low Tol]],"Pass","Fail"),IF(Table1[[#This Row],[DUT Adj Read]]&gt;Table1[[#This Row],[Low Tol]],"Pass","Fail")))</f>
        <v>Pass</v>
      </c>
      <c r="AE2562" s="1" t="str">
        <f>IF(AND(Table1[[#This Row],[Spec Type2]]="N/A",Table1[[#This Row],[DUT Adj Read]]="N/A",Table1[[#This Row],[Std Adj Read]]="N/A"),"N/A",IF(Table1[[#This Row],[DUT Adj Read]]="N/A",IF(Table1[[#This Row],[Std Adj Read]]&lt;Table1[[#This Row],[High Tol]],"Pass","Fail"),IF(Table1[[#This Row],[DUT Adj Read]]&lt;Table1[[#This Row],[High Tol]],"Pass","Fail")))</f>
        <v>Fail</v>
      </c>
      <c r="AF2562" s="1" t="str">
        <f>IF(AND(Table1[[#This Row],[Spec Type2]]="N/A",Table1[[#This Row],[DUT Adj Read]]="N/A",Table1[[#This Row],[Std Adj Read]]="N/A"),"N/A",IF(Table1[[#This Row],[DUT Adj Read]]="N/A",IF(Table1[[#This Row],[Std Adj Read]]&gt;=Table1[[#This Row],[Low Tol]],"Pass","Fail"),IF(Table1[[#This Row],[DUT Adj Read]]&gt;=Table1[[#This Row],[Low Tol]],"Pass","Fail")))</f>
        <v>Pass</v>
      </c>
      <c r="AG2562" s="1" t="str">
        <f>IF(AND(Table1[[#This Row],[Spec Type2]]="N/A",Table1[[#This Row],[DUT Adj Read]]="N/A",Table1[[#This Row],[Std Adj Read]]="N/A"),"N/A",IF(Table1[[#This Row],[DUT Adj Read]]="N/A",IF(Table1[[#This Row],[Std Adj Read]]&lt;=Table1[[#This Row],[High Tol]],"Pass","Fail"),IF(Table1[[#This Row],[DUT Adj Read]]&lt;=Table1[[#This Row],[High Tol]],"Pass","Fail")))</f>
        <v>Fail</v>
      </c>
      <c r="AH25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2" s="1" t="b">
        <v>0</v>
      </c>
      <c r="AN2562" s="1" t="b">
        <v>0</v>
      </c>
      <c r="AO2562" s="1" t="b">
        <v>0</v>
      </c>
    </row>
    <row r="2563" spans="1:41" x14ac:dyDescent="0.25">
      <c r="A2563" s="10"/>
      <c r="B2563" s="10"/>
      <c r="C2563" s="10"/>
      <c r="D2563" s="10"/>
      <c r="E2563" s="10"/>
      <c r="F2563" s="10"/>
      <c r="G2563" s="10"/>
      <c r="H2563" s="10"/>
      <c r="I2563" s="1" t="str">
        <f t="shared" si="117"/>
        <v/>
      </c>
      <c r="J2563" s="1" t="s">
        <v>35</v>
      </c>
      <c r="K2563" s="1" t="str">
        <f t="shared" si="118"/>
        <v/>
      </c>
      <c r="L2563" s="1" t="str">
        <f t="shared" si="119"/>
        <v/>
      </c>
      <c r="M2563" s="1">
        <f>IF(OR(Table1[[#This Row],[Std Nom]]="",Table1[[#This Row],[Std Read]]=""),0,Table1[[#This Row],[Std Nom]]-Table1[[#This Row],[Std Read]])</f>
        <v>0</v>
      </c>
      <c r="N2563" s="1">
        <f>IF(Calculations!$F$5="ACCREDITED 17025 WITH UNCERTAINTIES",$N$10,0)</f>
        <v>0</v>
      </c>
      <c r="O2563" s="1" t="str">
        <f>IFERROR(Table1[[#This Row],[Std Nom]]-(_xlfn.XLOOKUP(Table1[[#This Row],[Manufacturer]]&amp;" "&amp;Table1[[#This Row],[Model]],Table13[MFR &amp; MDL],Table13[Tolerance % CW ],"")/100*Table1[[#This Row],[Std Nom]]),"")</f>
        <v/>
      </c>
      <c r="P2563" s="1" t="str">
        <f>IFERROR(Table1[[#This Row],[Std Nom]]+(_xlfn.XLOOKUP(Table1[[#This Row],[Manufacturer]]&amp;" "&amp;Table1[[#This Row],[Model]],Table13[MFR &amp; MDL],Table13[Tolerance % CW ],"")/100*Table1[[#This Row],[Std Nom]]),"")</f>
        <v/>
      </c>
      <c r="Q2563" s="1" t="e">
        <f>Table1[[#This Row],[High Tol]]-Table1[[#This Row],[Low Tol]]</f>
        <v>#VALUE!</v>
      </c>
      <c r="R2563" s="1">
        <f>2*Table1[[#This Row],[Std Error]]</f>
        <v>0</v>
      </c>
      <c r="S2563" s="1" t="str">
        <f>IF(Table1[[#This Row],[High Tol]]="","N/A",IFERROR(ABS(Table1[[#This Row],[Tol Span]]/Table1[[#This Row],[Error Span]]),"N/A"))</f>
        <v>N/A</v>
      </c>
      <c r="T2563" s="1" t="str">
        <f>IF(OR(Table1[[#This Row],[Low Tol]]="",Table1[[#This Row],[High Tol]]=""),"Needs Analysis",IF(Table1[[#This Row],[Ratio]]&gt;=4,"Not Significant",IF(Table1[[#This Row],[Ratio]]&gt;=2,"Semi-Significant","Significant")))</f>
        <v>Needs Analysis</v>
      </c>
      <c r="W2563" s="1">
        <f>IF(Table1[[#This Row],[Cal Type]]&lt;&gt;"ACCREDITED 17025 WITH UNCERTAINTIES",0,"")</f>
        <v>0</v>
      </c>
      <c r="X2563" s="1" t="str">
        <f>IF(Table1[[#This Row],[DUT Read]]="","N/A",Table1[[#This Row],[Std Error]]+Table1[[#This Row],[DUT Read]]+Table1[[#This Row],[DUT Ucty]])</f>
        <v>N/A</v>
      </c>
      <c r="Y2563" s="1" t="str">
        <f>IF(Table1[[#This Row],[Std Read]]="","N/A",Table1[[#This Row],[Std Read]]+Table1[[#This Row],[Std Ucty]])</f>
        <v>N/A</v>
      </c>
      <c r="Z25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3" s="1" t="str">
        <f>IF(Table1[[#This Row],[Spec Type]]="","N/A",Table1[[#This Row],[Spec Type]])</f>
        <v>±</v>
      </c>
      <c r="AC2563" s="1" t="str">
        <f>IF(Table1[[#This Row],[Spec Type2]]="N/A","N/A",IF(AND(Table1[[#This Row],[DUT Adj Read]]&gt;=Table1[[#This Row],[Low Tol]],Table1[[#This Row],[DUT Adj Read]]&lt;=Table1[[#This Row],[High Tol]]),"Pass","Fail"))</f>
        <v>Fail</v>
      </c>
      <c r="AD2563" s="1" t="str">
        <f>IF(AND(Table1[[#This Row],[Spec Type2]]="N/A",Table1[[#This Row],[DUT Adj Read]]="N/A",Table1[[#This Row],[Std Adj Read]]="N/A"),"N/A",IF(Table1[[#This Row],[DUT Adj Read]]="N/A",IF(Table1[[#This Row],[Std Adj Read]]&gt;Table1[[#This Row],[Low Tol]],"Pass","Fail"),IF(Table1[[#This Row],[DUT Adj Read]]&gt;Table1[[#This Row],[Low Tol]],"Pass","Fail")))</f>
        <v>Pass</v>
      </c>
      <c r="AE2563" s="1" t="str">
        <f>IF(AND(Table1[[#This Row],[Spec Type2]]="N/A",Table1[[#This Row],[DUT Adj Read]]="N/A",Table1[[#This Row],[Std Adj Read]]="N/A"),"N/A",IF(Table1[[#This Row],[DUT Adj Read]]="N/A",IF(Table1[[#This Row],[Std Adj Read]]&lt;Table1[[#This Row],[High Tol]],"Pass","Fail"),IF(Table1[[#This Row],[DUT Adj Read]]&lt;Table1[[#This Row],[High Tol]],"Pass","Fail")))</f>
        <v>Fail</v>
      </c>
      <c r="AF2563" s="1" t="str">
        <f>IF(AND(Table1[[#This Row],[Spec Type2]]="N/A",Table1[[#This Row],[DUT Adj Read]]="N/A",Table1[[#This Row],[Std Adj Read]]="N/A"),"N/A",IF(Table1[[#This Row],[DUT Adj Read]]="N/A",IF(Table1[[#This Row],[Std Adj Read]]&gt;=Table1[[#This Row],[Low Tol]],"Pass","Fail"),IF(Table1[[#This Row],[DUT Adj Read]]&gt;=Table1[[#This Row],[Low Tol]],"Pass","Fail")))</f>
        <v>Pass</v>
      </c>
      <c r="AG2563" s="1" t="str">
        <f>IF(AND(Table1[[#This Row],[Spec Type2]]="N/A",Table1[[#This Row],[DUT Adj Read]]="N/A",Table1[[#This Row],[Std Adj Read]]="N/A"),"N/A",IF(Table1[[#This Row],[DUT Adj Read]]="N/A",IF(Table1[[#This Row],[Std Adj Read]]&lt;=Table1[[#This Row],[High Tol]],"Pass","Fail"),IF(Table1[[#This Row],[DUT Adj Read]]&lt;=Table1[[#This Row],[High Tol]],"Pass","Fail")))</f>
        <v>Fail</v>
      </c>
      <c r="AH25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3" s="1" t="b">
        <v>0</v>
      </c>
      <c r="AN2563" s="1" t="b">
        <v>0</v>
      </c>
      <c r="AO2563" s="1" t="b">
        <v>0</v>
      </c>
    </row>
    <row r="2564" spans="1:41" x14ac:dyDescent="0.25">
      <c r="A2564" s="10"/>
      <c r="B2564" s="10"/>
      <c r="C2564" s="10"/>
      <c r="D2564" s="10"/>
      <c r="E2564" s="10"/>
      <c r="F2564" s="10"/>
      <c r="G2564" s="10"/>
      <c r="H2564" s="10"/>
      <c r="I2564" s="1" t="str">
        <f t="shared" si="117"/>
        <v/>
      </c>
      <c r="J2564" s="1" t="s">
        <v>35</v>
      </c>
      <c r="K2564" s="1" t="str">
        <f t="shared" si="118"/>
        <v/>
      </c>
      <c r="L2564" s="1" t="str">
        <f t="shared" si="119"/>
        <v/>
      </c>
      <c r="M2564" s="1">
        <f>IF(OR(Table1[[#This Row],[Std Nom]]="",Table1[[#This Row],[Std Read]]=""),0,Table1[[#This Row],[Std Nom]]-Table1[[#This Row],[Std Read]])</f>
        <v>0</v>
      </c>
      <c r="N2564" s="1">
        <f>IF(Calculations!$F$5="ACCREDITED 17025 WITH UNCERTAINTIES",$N$10,0)</f>
        <v>0</v>
      </c>
      <c r="O2564" s="1" t="str">
        <f>IFERROR(Table1[[#This Row],[Std Nom]]-(_xlfn.XLOOKUP(Table1[[#This Row],[Manufacturer]]&amp;" "&amp;Table1[[#This Row],[Model]],Table13[MFR &amp; MDL],Table13[Tolerance % CW ],"")/100*Table1[[#This Row],[Std Nom]]),"")</f>
        <v/>
      </c>
      <c r="P2564" s="1" t="str">
        <f>IFERROR(Table1[[#This Row],[Std Nom]]+(_xlfn.XLOOKUP(Table1[[#This Row],[Manufacturer]]&amp;" "&amp;Table1[[#This Row],[Model]],Table13[MFR &amp; MDL],Table13[Tolerance % CW ],"")/100*Table1[[#This Row],[Std Nom]]),"")</f>
        <v/>
      </c>
      <c r="Q2564" s="1" t="e">
        <f>Table1[[#This Row],[High Tol]]-Table1[[#This Row],[Low Tol]]</f>
        <v>#VALUE!</v>
      </c>
      <c r="R2564" s="1">
        <f>2*Table1[[#This Row],[Std Error]]</f>
        <v>0</v>
      </c>
      <c r="S2564" s="1" t="str">
        <f>IF(Table1[[#This Row],[High Tol]]="","N/A",IFERROR(ABS(Table1[[#This Row],[Tol Span]]/Table1[[#This Row],[Error Span]]),"N/A"))</f>
        <v>N/A</v>
      </c>
      <c r="T2564" s="1" t="str">
        <f>IF(OR(Table1[[#This Row],[Low Tol]]="",Table1[[#This Row],[High Tol]]=""),"Needs Analysis",IF(Table1[[#This Row],[Ratio]]&gt;=4,"Not Significant",IF(Table1[[#This Row],[Ratio]]&gt;=2,"Semi-Significant","Significant")))</f>
        <v>Needs Analysis</v>
      </c>
      <c r="W2564" s="1">
        <f>IF(Table1[[#This Row],[Cal Type]]&lt;&gt;"ACCREDITED 17025 WITH UNCERTAINTIES",0,"")</f>
        <v>0</v>
      </c>
      <c r="X2564" s="1" t="str">
        <f>IF(Table1[[#This Row],[DUT Read]]="","N/A",Table1[[#This Row],[Std Error]]+Table1[[#This Row],[DUT Read]]+Table1[[#This Row],[DUT Ucty]])</f>
        <v>N/A</v>
      </c>
      <c r="Y2564" s="1" t="str">
        <f>IF(Table1[[#This Row],[Std Read]]="","N/A",Table1[[#This Row],[Std Read]]+Table1[[#This Row],[Std Ucty]])</f>
        <v>N/A</v>
      </c>
      <c r="Z25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4" s="1" t="str">
        <f>IF(Table1[[#This Row],[Spec Type]]="","N/A",Table1[[#This Row],[Spec Type]])</f>
        <v>±</v>
      </c>
      <c r="AC2564" s="1" t="str">
        <f>IF(Table1[[#This Row],[Spec Type2]]="N/A","N/A",IF(AND(Table1[[#This Row],[DUT Adj Read]]&gt;=Table1[[#This Row],[Low Tol]],Table1[[#This Row],[DUT Adj Read]]&lt;=Table1[[#This Row],[High Tol]]),"Pass","Fail"))</f>
        <v>Fail</v>
      </c>
      <c r="AD2564" s="1" t="str">
        <f>IF(AND(Table1[[#This Row],[Spec Type2]]="N/A",Table1[[#This Row],[DUT Adj Read]]="N/A",Table1[[#This Row],[Std Adj Read]]="N/A"),"N/A",IF(Table1[[#This Row],[DUT Adj Read]]="N/A",IF(Table1[[#This Row],[Std Adj Read]]&gt;Table1[[#This Row],[Low Tol]],"Pass","Fail"),IF(Table1[[#This Row],[DUT Adj Read]]&gt;Table1[[#This Row],[Low Tol]],"Pass","Fail")))</f>
        <v>Pass</v>
      </c>
      <c r="AE2564" s="1" t="str">
        <f>IF(AND(Table1[[#This Row],[Spec Type2]]="N/A",Table1[[#This Row],[DUT Adj Read]]="N/A",Table1[[#This Row],[Std Adj Read]]="N/A"),"N/A",IF(Table1[[#This Row],[DUT Adj Read]]="N/A",IF(Table1[[#This Row],[Std Adj Read]]&lt;Table1[[#This Row],[High Tol]],"Pass","Fail"),IF(Table1[[#This Row],[DUT Adj Read]]&lt;Table1[[#This Row],[High Tol]],"Pass","Fail")))</f>
        <v>Fail</v>
      </c>
      <c r="AF2564" s="1" t="str">
        <f>IF(AND(Table1[[#This Row],[Spec Type2]]="N/A",Table1[[#This Row],[DUT Adj Read]]="N/A",Table1[[#This Row],[Std Adj Read]]="N/A"),"N/A",IF(Table1[[#This Row],[DUT Adj Read]]="N/A",IF(Table1[[#This Row],[Std Adj Read]]&gt;=Table1[[#This Row],[Low Tol]],"Pass","Fail"),IF(Table1[[#This Row],[DUT Adj Read]]&gt;=Table1[[#This Row],[Low Tol]],"Pass","Fail")))</f>
        <v>Pass</v>
      </c>
      <c r="AG2564" s="1" t="str">
        <f>IF(AND(Table1[[#This Row],[Spec Type2]]="N/A",Table1[[#This Row],[DUT Adj Read]]="N/A",Table1[[#This Row],[Std Adj Read]]="N/A"),"N/A",IF(Table1[[#This Row],[DUT Adj Read]]="N/A",IF(Table1[[#This Row],[Std Adj Read]]&lt;=Table1[[#This Row],[High Tol]],"Pass","Fail"),IF(Table1[[#This Row],[DUT Adj Read]]&lt;=Table1[[#This Row],[High Tol]],"Pass","Fail")))</f>
        <v>Fail</v>
      </c>
      <c r="AH25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4" s="1" t="b">
        <v>0</v>
      </c>
      <c r="AN2564" s="1" t="b">
        <v>0</v>
      </c>
      <c r="AO2564" s="1" t="b">
        <v>0</v>
      </c>
    </row>
    <row r="2565" spans="1:41" x14ac:dyDescent="0.25">
      <c r="A2565" s="10"/>
      <c r="B2565" s="10"/>
      <c r="C2565" s="10"/>
      <c r="D2565" s="10"/>
      <c r="E2565" s="10"/>
      <c r="F2565" s="10"/>
      <c r="G2565" s="10"/>
      <c r="H2565" s="10"/>
      <c r="I2565" s="1" t="str">
        <f t="shared" si="117"/>
        <v/>
      </c>
      <c r="J2565" s="1" t="s">
        <v>35</v>
      </c>
      <c r="K2565" s="1" t="str">
        <f t="shared" si="118"/>
        <v/>
      </c>
      <c r="L2565" s="1" t="str">
        <f t="shared" si="119"/>
        <v/>
      </c>
      <c r="M2565" s="1">
        <f>IF(OR(Table1[[#This Row],[Std Nom]]="",Table1[[#This Row],[Std Read]]=""),0,Table1[[#This Row],[Std Nom]]-Table1[[#This Row],[Std Read]])</f>
        <v>0</v>
      </c>
      <c r="N2565" s="1">
        <f>IF(Calculations!$F$5="ACCREDITED 17025 WITH UNCERTAINTIES",$N$10,0)</f>
        <v>0</v>
      </c>
      <c r="O2565" s="1" t="str">
        <f>IFERROR(Table1[[#This Row],[Std Nom]]-(_xlfn.XLOOKUP(Table1[[#This Row],[Manufacturer]]&amp;" "&amp;Table1[[#This Row],[Model]],Table13[MFR &amp; MDL],Table13[Tolerance % CW ],"")/100*Table1[[#This Row],[Std Nom]]),"")</f>
        <v/>
      </c>
      <c r="P2565" s="1" t="str">
        <f>IFERROR(Table1[[#This Row],[Std Nom]]+(_xlfn.XLOOKUP(Table1[[#This Row],[Manufacturer]]&amp;" "&amp;Table1[[#This Row],[Model]],Table13[MFR &amp; MDL],Table13[Tolerance % CW ],"")/100*Table1[[#This Row],[Std Nom]]),"")</f>
        <v/>
      </c>
      <c r="Q2565" s="1" t="e">
        <f>Table1[[#This Row],[High Tol]]-Table1[[#This Row],[Low Tol]]</f>
        <v>#VALUE!</v>
      </c>
      <c r="R2565" s="1">
        <f>2*Table1[[#This Row],[Std Error]]</f>
        <v>0</v>
      </c>
      <c r="S2565" s="1" t="str">
        <f>IF(Table1[[#This Row],[High Tol]]="","N/A",IFERROR(ABS(Table1[[#This Row],[Tol Span]]/Table1[[#This Row],[Error Span]]),"N/A"))</f>
        <v>N/A</v>
      </c>
      <c r="T2565" s="1" t="str">
        <f>IF(OR(Table1[[#This Row],[Low Tol]]="",Table1[[#This Row],[High Tol]]=""),"Needs Analysis",IF(Table1[[#This Row],[Ratio]]&gt;=4,"Not Significant",IF(Table1[[#This Row],[Ratio]]&gt;=2,"Semi-Significant","Significant")))</f>
        <v>Needs Analysis</v>
      </c>
      <c r="W2565" s="1">
        <f>IF(Table1[[#This Row],[Cal Type]]&lt;&gt;"ACCREDITED 17025 WITH UNCERTAINTIES",0,"")</f>
        <v>0</v>
      </c>
      <c r="X2565" s="1" t="str">
        <f>IF(Table1[[#This Row],[DUT Read]]="","N/A",Table1[[#This Row],[Std Error]]+Table1[[#This Row],[DUT Read]]+Table1[[#This Row],[DUT Ucty]])</f>
        <v>N/A</v>
      </c>
      <c r="Y2565" s="1" t="str">
        <f>IF(Table1[[#This Row],[Std Read]]="","N/A",Table1[[#This Row],[Std Read]]+Table1[[#This Row],[Std Ucty]])</f>
        <v>N/A</v>
      </c>
      <c r="Z25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5" s="1" t="str">
        <f>IF(Table1[[#This Row],[Spec Type]]="","N/A",Table1[[#This Row],[Spec Type]])</f>
        <v>±</v>
      </c>
      <c r="AC2565" s="1" t="str">
        <f>IF(Table1[[#This Row],[Spec Type2]]="N/A","N/A",IF(AND(Table1[[#This Row],[DUT Adj Read]]&gt;=Table1[[#This Row],[Low Tol]],Table1[[#This Row],[DUT Adj Read]]&lt;=Table1[[#This Row],[High Tol]]),"Pass","Fail"))</f>
        <v>Fail</v>
      </c>
      <c r="AD2565" s="1" t="str">
        <f>IF(AND(Table1[[#This Row],[Spec Type2]]="N/A",Table1[[#This Row],[DUT Adj Read]]="N/A",Table1[[#This Row],[Std Adj Read]]="N/A"),"N/A",IF(Table1[[#This Row],[DUT Adj Read]]="N/A",IF(Table1[[#This Row],[Std Adj Read]]&gt;Table1[[#This Row],[Low Tol]],"Pass","Fail"),IF(Table1[[#This Row],[DUT Adj Read]]&gt;Table1[[#This Row],[Low Tol]],"Pass","Fail")))</f>
        <v>Pass</v>
      </c>
      <c r="AE2565" s="1" t="str">
        <f>IF(AND(Table1[[#This Row],[Spec Type2]]="N/A",Table1[[#This Row],[DUT Adj Read]]="N/A",Table1[[#This Row],[Std Adj Read]]="N/A"),"N/A",IF(Table1[[#This Row],[DUT Adj Read]]="N/A",IF(Table1[[#This Row],[Std Adj Read]]&lt;Table1[[#This Row],[High Tol]],"Pass","Fail"),IF(Table1[[#This Row],[DUT Adj Read]]&lt;Table1[[#This Row],[High Tol]],"Pass","Fail")))</f>
        <v>Fail</v>
      </c>
      <c r="AF2565" s="1" t="str">
        <f>IF(AND(Table1[[#This Row],[Spec Type2]]="N/A",Table1[[#This Row],[DUT Adj Read]]="N/A",Table1[[#This Row],[Std Adj Read]]="N/A"),"N/A",IF(Table1[[#This Row],[DUT Adj Read]]="N/A",IF(Table1[[#This Row],[Std Adj Read]]&gt;=Table1[[#This Row],[Low Tol]],"Pass","Fail"),IF(Table1[[#This Row],[DUT Adj Read]]&gt;=Table1[[#This Row],[Low Tol]],"Pass","Fail")))</f>
        <v>Pass</v>
      </c>
      <c r="AG2565" s="1" t="str">
        <f>IF(AND(Table1[[#This Row],[Spec Type2]]="N/A",Table1[[#This Row],[DUT Adj Read]]="N/A",Table1[[#This Row],[Std Adj Read]]="N/A"),"N/A",IF(Table1[[#This Row],[DUT Adj Read]]="N/A",IF(Table1[[#This Row],[Std Adj Read]]&lt;=Table1[[#This Row],[High Tol]],"Pass","Fail"),IF(Table1[[#This Row],[DUT Adj Read]]&lt;=Table1[[#This Row],[High Tol]],"Pass","Fail")))</f>
        <v>Fail</v>
      </c>
      <c r="AH25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5" s="1" t="b">
        <v>0</v>
      </c>
      <c r="AN2565" s="1" t="b">
        <v>0</v>
      </c>
      <c r="AO2565" s="1" t="b">
        <v>0</v>
      </c>
    </row>
    <row r="2566" spans="1:41" x14ac:dyDescent="0.25">
      <c r="A2566" s="10"/>
      <c r="B2566" s="10"/>
      <c r="C2566" s="10"/>
      <c r="D2566" s="10"/>
      <c r="E2566" s="10"/>
      <c r="F2566" s="10"/>
      <c r="G2566" s="10"/>
      <c r="H2566" s="10"/>
      <c r="I2566" s="1" t="str">
        <f t="shared" si="117"/>
        <v/>
      </c>
      <c r="J2566" s="1" t="s">
        <v>35</v>
      </c>
      <c r="K2566" s="1" t="str">
        <f t="shared" si="118"/>
        <v/>
      </c>
      <c r="L2566" s="1" t="str">
        <f t="shared" si="119"/>
        <v/>
      </c>
      <c r="M2566" s="1">
        <f>IF(OR(Table1[[#This Row],[Std Nom]]="",Table1[[#This Row],[Std Read]]=""),0,Table1[[#This Row],[Std Nom]]-Table1[[#This Row],[Std Read]])</f>
        <v>0</v>
      </c>
      <c r="N2566" s="1">
        <f>IF(Calculations!$F$5="ACCREDITED 17025 WITH UNCERTAINTIES",$N$10,0)</f>
        <v>0</v>
      </c>
      <c r="O2566" s="1" t="str">
        <f>IFERROR(Table1[[#This Row],[Std Nom]]-(_xlfn.XLOOKUP(Table1[[#This Row],[Manufacturer]]&amp;" "&amp;Table1[[#This Row],[Model]],Table13[MFR &amp; MDL],Table13[Tolerance % CW ],"")/100*Table1[[#This Row],[Std Nom]]),"")</f>
        <v/>
      </c>
      <c r="P2566" s="1" t="str">
        <f>IFERROR(Table1[[#This Row],[Std Nom]]+(_xlfn.XLOOKUP(Table1[[#This Row],[Manufacturer]]&amp;" "&amp;Table1[[#This Row],[Model]],Table13[MFR &amp; MDL],Table13[Tolerance % CW ],"")/100*Table1[[#This Row],[Std Nom]]),"")</f>
        <v/>
      </c>
      <c r="Q2566" s="1" t="e">
        <f>Table1[[#This Row],[High Tol]]-Table1[[#This Row],[Low Tol]]</f>
        <v>#VALUE!</v>
      </c>
      <c r="R2566" s="1">
        <f>2*Table1[[#This Row],[Std Error]]</f>
        <v>0</v>
      </c>
      <c r="S2566" s="1" t="str">
        <f>IF(Table1[[#This Row],[High Tol]]="","N/A",IFERROR(ABS(Table1[[#This Row],[Tol Span]]/Table1[[#This Row],[Error Span]]),"N/A"))</f>
        <v>N/A</v>
      </c>
      <c r="T2566" s="1" t="str">
        <f>IF(OR(Table1[[#This Row],[Low Tol]]="",Table1[[#This Row],[High Tol]]=""),"Needs Analysis",IF(Table1[[#This Row],[Ratio]]&gt;=4,"Not Significant",IF(Table1[[#This Row],[Ratio]]&gt;=2,"Semi-Significant","Significant")))</f>
        <v>Needs Analysis</v>
      </c>
      <c r="W2566" s="1">
        <f>IF(Table1[[#This Row],[Cal Type]]&lt;&gt;"ACCREDITED 17025 WITH UNCERTAINTIES",0,"")</f>
        <v>0</v>
      </c>
      <c r="X2566" s="1" t="str">
        <f>IF(Table1[[#This Row],[DUT Read]]="","N/A",Table1[[#This Row],[Std Error]]+Table1[[#This Row],[DUT Read]]+Table1[[#This Row],[DUT Ucty]])</f>
        <v>N/A</v>
      </c>
      <c r="Y2566" s="1" t="str">
        <f>IF(Table1[[#This Row],[Std Read]]="","N/A",Table1[[#This Row],[Std Read]]+Table1[[#This Row],[Std Ucty]])</f>
        <v>N/A</v>
      </c>
      <c r="Z25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6" s="1" t="str">
        <f>IF(Table1[[#This Row],[Spec Type]]="","N/A",Table1[[#This Row],[Spec Type]])</f>
        <v>±</v>
      </c>
      <c r="AC2566" s="1" t="str">
        <f>IF(Table1[[#This Row],[Spec Type2]]="N/A","N/A",IF(AND(Table1[[#This Row],[DUT Adj Read]]&gt;=Table1[[#This Row],[Low Tol]],Table1[[#This Row],[DUT Adj Read]]&lt;=Table1[[#This Row],[High Tol]]),"Pass","Fail"))</f>
        <v>Fail</v>
      </c>
      <c r="AD2566" s="1" t="str">
        <f>IF(AND(Table1[[#This Row],[Spec Type2]]="N/A",Table1[[#This Row],[DUT Adj Read]]="N/A",Table1[[#This Row],[Std Adj Read]]="N/A"),"N/A",IF(Table1[[#This Row],[DUT Adj Read]]="N/A",IF(Table1[[#This Row],[Std Adj Read]]&gt;Table1[[#This Row],[Low Tol]],"Pass","Fail"),IF(Table1[[#This Row],[DUT Adj Read]]&gt;Table1[[#This Row],[Low Tol]],"Pass","Fail")))</f>
        <v>Pass</v>
      </c>
      <c r="AE2566" s="1" t="str">
        <f>IF(AND(Table1[[#This Row],[Spec Type2]]="N/A",Table1[[#This Row],[DUT Adj Read]]="N/A",Table1[[#This Row],[Std Adj Read]]="N/A"),"N/A",IF(Table1[[#This Row],[DUT Adj Read]]="N/A",IF(Table1[[#This Row],[Std Adj Read]]&lt;Table1[[#This Row],[High Tol]],"Pass","Fail"),IF(Table1[[#This Row],[DUT Adj Read]]&lt;Table1[[#This Row],[High Tol]],"Pass","Fail")))</f>
        <v>Fail</v>
      </c>
      <c r="AF2566" s="1" t="str">
        <f>IF(AND(Table1[[#This Row],[Spec Type2]]="N/A",Table1[[#This Row],[DUT Adj Read]]="N/A",Table1[[#This Row],[Std Adj Read]]="N/A"),"N/A",IF(Table1[[#This Row],[DUT Adj Read]]="N/A",IF(Table1[[#This Row],[Std Adj Read]]&gt;=Table1[[#This Row],[Low Tol]],"Pass","Fail"),IF(Table1[[#This Row],[DUT Adj Read]]&gt;=Table1[[#This Row],[Low Tol]],"Pass","Fail")))</f>
        <v>Pass</v>
      </c>
      <c r="AG2566" s="1" t="str">
        <f>IF(AND(Table1[[#This Row],[Spec Type2]]="N/A",Table1[[#This Row],[DUT Adj Read]]="N/A",Table1[[#This Row],[Std Adj Read]]="N/A"),"N/A",IF(Table1[[#This Row],[DUT Adj Read]]="N/A",IF(Table1[[#This Row],[Std Adj Read]]&lt;=Table1[[#This Row],[High Tol]],"Pass","Fail"),IF(Table1[[#This Row],[DUT Adj Read]]&lt;=Table1[[#This Row],[High Tol]],"Pass","Fail")))</f>
        <v>Fail</v>
      </c>
      <c r="AH25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6" s="1" t="b">
        <v>0</v>
      </c>
      <c r="AN2566" s="1" t="b">
        <v>0</v>
      </c>
      <c r="AO2566" s="1" t="b">
        <v>0</v>
      </c>
    </row>
    <row r="2567" spans="1:41" x14ac:dyDescent="0.25">
      <c r="A2567" s="10"/>
      <c r="B2567" s="10"/>
      <c r="C2567" s="10"/>
      <c r="D2567" s="10"/>
      <c r="E2567" s="10"/>
      <c r="F2567" s="10"/>
      <c r="G2567" s="10"/>
      <c r="H2567" s="10"/>
      <c r="I2567" s="1" t="str">
        <f t="shared" si="117"/>
        <v/>
      </c>
      <c r="J2567" s="1" t="s">
        <v>35</v>
      </c>
      <c r="K2567" s="1" t="str">
        <f t="shared" si="118"/>
        <v/>
      </c>
      <c r="L2567" s="1" t="str">
        <f t="shared" si="119"/>
        <v/>
      </c>
      <c r="M2567" s="1">
        <f>IF(OR(Table1[[#This Row],[Std Nom]]="",Table1[[#This Row],[Std Read]]=""),0,Table1[[#This Row],[Std Nom]]-Table1[[#This Row],[Std Read]])</f>
        <v>0</v>
      </c>
      <c r="N2567" s="1">
        <f>IF(Calculations!$F$5="ACCREDITED 17025 WITH UNCERTAINTIES",$N$10,0)</f>
        <v>0</v>
      </c>
      <c r="O2567" s="1" t="str">
        <f>IFERROR(Table1[[#This Row],[Std Nom]]-(_xlfn.XLOOKUP(Table1[[#This Row],[Manufacturer]]&amp;" "&amp;Table1[[#This Row],[Model]],Table13[MFR &amp; MDL],Table13[Tolerance % CW ],"")/100*Table1[[#This Row],[Std Nom]]),"")</f>
        <v/>
      </c>
      <c r="P2567" s="1" t="str">
        <f>IFERROR(Table1[[#This Row],[Std Nom]]+(_xlfn.XLOOKUP(Table1[[#This Row],[Manufacturer]]&amp;" "&amp;Table1[[#This Row],[Model]],Table13[MFR &amp; MDL],Table13[Tolerance % CW ],"")/100*Table1[[#This Row],[Std Nom]]),"")</f>
        <v/>
      </c>
      <c r="Q2567" s="1" t="e">
        <f>Table1[[#This Row],[High Tol]]-Table1[[#This Row],[Low Tol]]</f>
        <v>#VALUE!</v>
      </c>
      <c r="R2567" s="1">
        <f>2*Table1[[#This Row],[Std Error]]</f>
        <v>0</v>
      </c>
      <c r="S2567" s="1" t="str">
        <f>IF(Table1[[#This Row],[High Tol]]="","N/A",IFERROR(ABS(Table1[[#This Row],[Tol Span]]/Table1[[#This Row],[Error Span]]),"N/A"))</f>
        <v>N/A</v>
      </c>
      <c r="T2567" s="1" t="str">
        <f>IF(OR(Table1[[#This Row],[Low Tol]]="",Table1[[#This Row],[High Tol]]=""),"Needs Analysis",IF(Table1[[#This Row],[Ratio]]&gt;=4,"Not Significant",IF(Table1[[#This Row],[Ratio]]&gt;=2,"Semi-Significant","Significant")))</f>
        <v>Needs Analysis</v>
      </c>
      <c r="W2567" s="1">
        <f>IF(Table1[[#This Row],[Cal Type]]&lt;&gt;"ACCREDITED 17025 WITH UNCERTAINTIES",0,"")</f>
        <v>0</v>
      </c>
      <c r="X2567" s="1" t="str">
        <f>IF(Table1[[#This Row],[DUT Read]]="","N/A",Table1[[#This Row],[Std Error]]+Table1[[#This Row],[DUT Read]]+Table1[[#This Row],[DUT Ucty]])</f>
        <v>N/A</v>
      </c>
      <c r="Y2567" s="1" t="str">
        <f>IF(Table1[[#This Row],[Std Read]]="","N/A",Table1[[#This Row],[Std Read]]+Table1[[#This Row],[Std Ucty]])</f>
        <v>N/A</v>
      </c>
      <c r="Z25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7" s="1" t="str">
        <f>IF(Table1[[#This Row],[Spec Type]]="","N/A",Table1[[#This Row],[Spec Type]])</f>
        <v>±</v>
      </c>
      <c r="AC2567" s="1" t="str">
        <f>IF(Table1[[#This Row],[Spec Type2]]="N/A","N/A",IF(AND(Table1[[#This Row],[DUT Adj Read]]&gt;=Table1[[#This Row],[Low Tol]],Table1[[#This Row],[DUT Adj Read]]&lt;=Table1[[#This Row],[High Tol]]),"Pass","Fail"))</f>
        <v>Fail</v>
      </c>
      <c r="AD2567" s="1" t="str">
        <f>IF(AND(Table1[[#This Row],[Spec Type2]]="N/A",Table1[[#This Row],[DUT Adj Read]]="N/A",Table1[[#This Row],[Std Adj Read]]="N/A"),"N/A",IF(Table1[[#This Row],[DUT Adj Read]]="N/A",IF(Table1[[#This Row],[Std Adj Read]]&gt;Table1[[#This Row],[Low Tol]],"Pass","Fail"),IF(Table1[[#This Row],[DUT Adj Read]]&gt;Table1[[#This Row],[Low Tol]],"Pass","Fail")))</f>
        <v>Pass</v>
      </c>
      <c r="AE2567" s="1" t="str">
        <f>IF(AND(Table1[[#This Row],[Spec Type2]]="N/A",Table1[[#This Row],[DUT Adj Read]]="N/A",Table1[[#This Row],[Std Adj Read]]="N/A"),"N/A",IF(Table1[[#This Row],[DUT Adj Read]]="N/A",IF(Table1[[#This Row],[Std Adj Read]]&lt;Table1[[#This Row],[High Tol]],"Pass","Fail"),IF(Table1[[#This Row],[DUT Adj Read]]&lt;Table1[[#This Row],[High Tol]],"Pass","Fail")))</f>
        <v>Fail</v>
      </c>
      <c r="AF2567" s="1" t="str">
        <f>IF(AND(Table1[[#This Row],[Spec Type2]]="N/A",Table1[[#This Row],[DUT Adj Read]]="N/A",Table1[[#This Row],[Std Adj Read]]="N/A"),"N/A",IF(Table1[[#This Row],[DUT Adj Read]]="N/A",IF(Table1[[#This Row],[Std Adj Read]]&gt;=Table1[[#This Row],[Low Tol]],"Pass","Fail"),IF(Table1[[#This Row],[DUT Adj Read]]&gt;=Table1[[#This Row],[Low Tol]],"Pass","Fail")))</f>
        <v>Pass</v>
      </c>
      <c r="AG2567" s="1" t="str">
        <f>IF(AND(Table1[[#This Row],[Spec Type2]]="N/A",Table1[[#This Row],[DUT Adj Read]]="N/A",Table1[[#This Row],[Std Adj Read]]="N/A"),"N/A",IF(Table1[[#This Row],[DUT Adj Read]]="N/A",IF(Table1[[#This Row],[Std Adj Read]]&lt;=Table1[[#This Row],[High Tol]],"Pass","Fail"),IF(Table1[[#This Row],[DUT Adj Read]]&lt;=Table1[[#This Row],[High Tol]],"Pass","Fail")))</f>
        <v>Fail</v>
      </c>
      <c r="AH25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7" s="1" t="b">
        <v>0</v>
      </c>
      <c r="AN2567" s="1" t="b">
        <v>0</v>
      </c>
      <c r="AO2567" s="1" t="b">
        <v>0</v>
      </c>
    </row>
    <row r="2568" spans="1:41" x14ac:dyDescent="0.25">
      <c r="A2568" s="10"/>
      <c r="B2568" s="10"/>
      <c r="C2568" s="10"/>
      <c r="D2568" s="10"/>
      <c r="E2568" s="10"/>
      <c r="F2568" s="10"/>
      <c r="G2568" s="10"/>
      <c r="H2568" s="10"/>
      <c r="I2568" s="1" t="str">
        <f t="shared" si="117"/>
        <v/>
      </c>
      <c r="J2568" s="1" t="s">
        <v>35</v>
      </c>
      <c r="K2568" s="1" t="str">
        <f t="shared" si="118"/>
        <v/>
      </c>
      <c r="L2568" s="1" t="str">
        <f t="shared" si="119"/>
        <v/>
      </c>
      <c r="M2568" s="1">
        <f>IF(OR(Table1[[#This Row],[Std Nom]]="",Table1[[#This Row],[Std Read]]=""),0,Table1[[#This Row],[Std Nom]]-Table1[[#This Row],[Std Read]])</f>
        <v>0</v>
      </c>
      <c r="N2568" s="1">
        <f>IF(Calculations!$F$5="ACCREDITED 17025 WITH UNCERTAINTIES",$N$10,0)</f>
        <v>0</v>
      </c>
      <c r="O2568" s="1" t="str">
        <f>IFERROR(Table1[[#This Row],[Std Nom]]-(_xlfn.XLOOKUP(Table1[[#This Row],[Manufacturer]]&amp;" "&amp;Table1[[#This Row],[Model]],Table13[MFR &amp; MDL],Table13[Tolerance % CW ],"")/100*Table1[[#This Row],[Std Nom]]),"")</f>
        <v/>
      </c>
      <c r="P2568" s="1" t="str">
        <f>IFERROR(Table1[[#This Row],[Std Nom]]+(_xlfn.XLOOKUP(Table1[[#This Row],[Manufacturer]]&amp;" "&amp;Table1[[#This Row],[Model]],Table13[MFR &amp; MDL],Table13[Tolerance % CW ],"")/100*Table1[[#This Row],[Std Nom]]),"")</f>
        <v/>
      </c>
      <c r="Q2568" s="1" t="e">
        <f>Table1[[#This Row],[High Tol]]-Table1[[#This Row],[Low Tol]]</f>
        <v>#VALUE!</v>
      </c>
      <c r="R2568" s="1">
        <f>2*Table1[[#This Row],[Std Error]]</f>
        <v>0</v>
      </c>
      <c r="S2568" s="1" t="str">
        <f>IF(Table1[[#This Row],[High Tol]]="","N/A",IFERROR(ABS(Table1[[#This Row],[Tol Span]]/Table1[[#This Row],[Error Span]]),"N/A"))</f>
        <v>N/A</v>
      </c>
      <c r="T2568" s="1" t="str">
        <f>IF(OR(Table1[[#This Row],[Low Tol]]="",Table1[[#This Row],[High Tol]]=""),"Needs Analysis",IF(Table1[[#This Row],[Ratio]]&gt;=4,"Not Significant",IF(Table1[[#This Row],[Ratio]]&gt;=2,"Semi-Significant","Significant")))</f>
        <v>Needs Analysis</v>
      </c>
      <c r="W2568" s="1">
        <f>IF(Table1[[#This Row],[Cal Type]]&lt;&gt;"ACCREDITED 17025 WITH UNCERTAINTIES",0,"")</f>
        <v>0</v>
      </c>
      <c r="X2568" s="1" t="str">
        <f>IF(Table1[[#This Row],[DUT Read]]="","N/A",Table1[[#This Row],[Std Error]]+Table1[[#This Row],[DUT Read]]+Table1[[#This Row],[DUT Ucty]])</f>
        <v>N/A</v>
      </c>
      <c r="Y2568" s="1" t="str">
        <f>IF(Table1[[#This Row],[Std Read]]="","N/A",Table1[[#This Row],[Std Read]]+Table1[[#This Row],[Std Ucty]])</f>
        <v>N/A</v>
      </c>
      <c r="Z25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8" s="1" t="str">
        <f>IF(Table1[[#This Row],[Spec Type]]="","N/A",Table1[[#This Row],[Spec Type]])</f>
        <v>±</v>
      </c>
      <c r="AC2568" s="1" t="str">
        <f>IF(Table1[[#This Row],[Spec Type2]]="N/A","N/A",IF(AND(Table1[[#This Row],[DUT Adj Read]]&gt;=Table1[[#This Row],[Low Tol]],Table1[[#This Row],[DUT Adj Read]]&lt;=Table1[[#This Row],[High Tol]]),"Pass","Fail"))</f>
        <v>Fail</v>
      </c>
      <c r="AD2568" s="1" t="str">
        <f>IF(AND(Table1[[#This Row],[Spec Type2]]="N/A",Table1[[#This Row],[DUT Adj Read]]="N/A",Table1[[#This Row],[Std Adj Read]]="N/A"),"N/A",IF(Table1[[#This Row],[DUT Adj Read]]="N/A",IF(Table1[[#This Row],[Std Adj Read]]&gt;Table1[[#This Row],[Low Tol]],"Pass","Fail"),IF(Table1[[#This Row],[DUT Adj Read]]&gt;Table1[[#This Row],[Low Tol]],"Pass","Fail")))</f>
        <v>Pass</v>
      </c>
      <c r="AE2568" s="1" t="str">
        <f>IF(AND(Table1[[#This Row],[Spec Type2]]="N/A",Table1[[#This Row],[DUT Adj Read]]="N/A",Table1[[#This Row],[Std Adj Read]]="N/A"),"N/A",IF(Table1[[#This Row],[DUT Adj Read]]="N/A",IF(Table1[[#This Row],[Std Adj Read]]&lt;Table1[[#This Row],[High Tol]],"Pass","Fail"),IF(Table1[[#This Row],[DUT Adj Read]]&lt;Table1[[#This Row],[High Tol]],"Pass","Fail")))</f>
        <v>Fail</v>
      </c>
      <c r="AF2568" s="1" t="str">
        <f>IF(AND(Table1[[#This Row],[Spec Type2]]="N/A",Table1[[#This Row],[DUT Adj Read]]="N/A",Table1[[#This Row],[Std Adj Read]]="N/A"),"N/A",IF(Table1[[#This Row],[DUT Adj Read]]="N/A",IF(Table1[[#This Row],[Std Adj Read]]&gt;=Table1[[#This Row],[Low Tol]],"Pass","Fail"),IF(Table1[[#This Row],[DUT Adj Read]]&gt;=Table1[[#This Row],[Low Tol]],"Pass","Fail")))</f>
        <v>Pass</v>
      </c>
      <c r="AG2568" s="1" t="str">
        <f>IF(AND(Table1[[#This Row],[Spec Type2]]="N/A",Table1[[#This Row],[DUT Adj Read]]="N/A",Table1[[#This Row],[Std Adj Read]]="N/A"),"N/A",IF(Table1[[#This Row],[DUT Adj Read]]="N/A",IF(Table1[[#This Row],[Std Adj Read]]&lt;=Table1[[#This Row],[High Tol]],"Pass","Fail"),IF(Table1[[#This Row],[DUT Adj Read]]&lt;=Table1[[#This Row],[High Tol]],"Pass","Fail")))</f>
        <v>Fail</v>
      </c>
      <c r="AH25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8" s="1" t="b">
        <v>0</v>
      </c>
      <c r="AN2568" s="1" t="b">
        <v>0</v>
      </c>
      <c r="AO2568" s="1" t="b">
        <v>0</v>
      </c>
    </row>
    <row r="2569" spans="1:41" x14ac:dyDescent="0.25">
      <c r="A2569" s="10"/>
      <c r="B2569" s="10"/>
      <c r="C2569" s="10"/>
      <c r="D2569" s="10"/>
      <c r="E2569" s="10"/>
      <c r="F2569" s="10"/>
      <c r="G2569" s="10"/>
      <c r="H2569" s="10"/>
      <c r="I2569" s="1" t="str">
        <f t="shared" si="117"/>
        <v/>
      </c>
      <c r="J2569" s="1" t="s">
        <v>35</v>
      </c>
      <c r="K2569" s="1" t="str">
        <f t="shared" si="118"/>
        <v/>
      </c>
      <c r="L2569" s="1" t="str">
        <f t="shared" si="119"/>
        <v/>
      </c>
      <c r="M2569" s="1">
        <f>IF(OR(Table1[[#This Row],[Std Nom]]="",Table1[[#This Row],[Std Read]]=""),0,Table1[[#This Row],[Std Nom]]-Table1[[#This Row],[Std Read]])</f>
        <v>0</v>
      </c>
      <c r="N2569" s="1">
        <f>IF(Calculations!$F$5="ACCREDITED 17025 WITH UNCERTAINTIES",$N$10,0)</f>
        <v>0</v>
      </c>
      <c r="O2569" s="1" t="str">
        <f>IFERROR(Table1[[#This Row],[Std Nom]]-(_xlfn.XLOOKUP(Table1[[#This Row],[Manufacturer]]&amp;" "&amp;Table1[[#This Row],[Model]],Table13[MFR &amp; MDL],Table13[Tolerance % CW ],"")/100*Table1[[#This Row],[Std Nom]]),"")</f>
        <v/>
      </c>
      <c r="P2569" s="1" t="str">
        <f>IFERROR(Table1[[#This Row],[Std Nom]]+(_xlfn.XLOOKUP(Table1[[#This Row],[Manufacturer]]&amp;" "&amp;Table1[[#This Row],[Model]],Table13[MFR &amp; MDL],Table13[Tolerance % CW ],"")/100*Table1[[#This Row],[Std Nom]]),"")</f>
        <v/>
      </c>
      <c r="Q2569" s="1" t="e">
        <f>Table1[[#This Row],[High Tol]]-Table1[[#This Row],[Low Tol]]</f>
        <v>#VALUE!</v>
      </c>
      <c r="R2569" s="1">
        <f>2*Table1[[#This Row],[Std Error]]</f>
        <v>0</v>
      </c>
      <c r="S2569" s="1" t="str">
        <f>IF(Table1[[#This Row],[High Tol]]="","N/A",IFERROR(ABS(Table1[[#This Row],[Tol Span]]/Table1[[#This Row],[Error Span]]),"N/A"))</f>
        <v>N/A</v>
      </c>
      <c r="T2569" s="1" t="str">
        <f>IF(OR(Table1[[#This Row],[Low Tol]]="",Table1[[#This Row],[High Tol]]=""),"Needs Analysis",IF(Table1[[#This Row],[Ratio]]&gt;=4,"Not Significant",IF(Table1[[#This Row],[Ratio]]&gt;=2,"Semi-Significant","Significant")))</f>
        <v>Needs Analysis</v>
      </c>
      <c r="W2569" s="1">
        <f>IF(Table1[[#This Row],[Cal Type]]&lt;&gt;"ACCREDITED 17025 WITH UNCERTAINTIES",0,"")</f>
        <v>0</v>
      </c>
      <c r="X2569" s="1" t="str">
        <f>IF(Table1[[#This Row],[DUT Read]]="","N/A",Table1[[#This Row],[Std Error]]+Table1[[#This Row],[DUT Read]]+Table1[[#This Row],[DUT Ucty]])</f>
        <v>N/A</v>
      </c>
      <c r="Y2569" s="1" t="str">
        <f>IF(Table1[[#This Row],[Std Read]]="","N/A",Table1[[#This Row],[Std Read]]+Table1[[#This Row],[Std Ucty]])</f>
        <v>N/A</v>
      </c>
      <c r="Z25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9" s="1" t="str">
        <f>IF(Table1[[#This Row],[Spec Type]]="","N/A",Table1[[#This Row],[Spec Type]])</f>
        <v>±</v>
      </c>
      <c r="AC2569" s="1" t="str">
        <f>IF(Table1[[#This Row],[Spec Type2]]="N/A","N/A",IF(AND(Table1[[#This Row],[DUT Adj Read]]&gt;=Table1[[#This Row],[Low Tol]],Table1[[#This Row],[DUT Adj Read]]&lt;=Table1[[#This Row],[High Tol]]),"Pass","Fail"))</f>
        <v>Fail</v>
      </c>
      <c r="AD2569" s="1" t="str">
        <f>IF(AND(Table1[[#This Row],[Spec Type2]]="N/A",Table1[[#This Row],[DUT Adj Read]]="N/A",Table1[[#This Row],[Std Adj Read]]="N/A"),"N/A",IF(Table1[[#This Row],[DUT Adj Read]]="N/A",IF(Table1[[#This Row],[Std Adj Read]]&gt;Table1[[#This Row],[Low Tol]],"Pass","Fail"),IF(Table1[[#This Row],[DUT Adj Read]]&gt;Table1[[#This Row],[Low Tol]],"Pass","Fail")))</f>
        <v>Pass</v>
      </c>
      <c r="AE2569" s="1" t="str">
        <f>IF(AND(Table1[[#This Row],[Spec Type2]]="N/A",Table1[[#This Row],[DUT Adj Read]]="N/A",Table1[[#This Row],[Std Adj Read]]="N/A"),"N/A",IF(Table1[[#This Row],[DUT Adj Read]]="N/A",IF(Table1[[#This Row],[Std Adj Read]]&lt;Table1[[#This Row],[High Tol]],"Pass","Fail"),IF(Table1[[#This Row],[DUT Adj Read]]&lt;Table1[[#This Row],[High Tol]],"Pass","Fail")))</f>
        <v>Fail</v>
      </c>
      <c r="AF2569" s="1" t="str">
        <f>IF(AND(Table1[[#This Row],[Spec Type2]]="N/A",Table1[[#This Row],[DUT Adj Read]]="N/A",Table1[[#This Row],[Std Adj Read]]="N/A"),"N/A",IF(Table1[[#This Row],[DUT Adj Read]]="N/A",IF(Table1[[#This Row],[Std Adj Read]]&gt;=Table1[[#This Row],[Low Tol]],"Pass","Fail"),IF(Table1[[#This Row],[DUT Adj Read]]&gt;=Table1[[#This Row],[Low Tol]],"Pass","Fail")))</f>
        <v>Pass</v>
      </c>
      <c r="AG2569" s="1" t="str">
        <f>IF(AND(Table1[[#This Row],[Spec Type2]]="N/A",Table1[[#This Row],[DUT Adj Read]]="N/A",Table1[[#This Row],[Std Adj Read]]="N/A"),"N/A",IF(Table1[[#This Row],[DUT Adj Read]]="N/A",IF(Table1[[#This Row],[Std Adj Read]]&lt;=Table1[[#This Row],[High Tol]],"Pass","Fail"),IF(Table1[[#This Row],[DUT Adj Read]]&lt;=Table1[[#This Row],[High Tol]],"Pass","Fail")))</f>
        <v>Fail</v>
      </c>
      <c r="AH25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9" s="1" t="b">
        <v>0</v>
      </c>
      <c r="AN2569" s="1" t="b">
        <v>0</v>
      </c>
      <c r="AO2569" s="1" t="b">
        <v>0</v>
      </c>
    </row>
    <row r="2570" spans="1:41" x14ac:dyDescent="0.25">
      <c r="A2570" s="10"/>
      <c r="B2570" s="10"/>
      <c r="C2570" s="10"/>
      <c r="D2570" s="10"/>
      <c r="E2570" s="10"/>
      <c r="F2570" s="10"/>
      <c r="G2570" s="10"/>
      <c r="H2570" s="10"/>
      <c r="I2570" s="1" t="str">
        <f t="shared" si="117"/>
        <v/>
      </c>
      <c r="J2570" s="1" t="s">
        <v>35</v>
      </c>
      <c r="K2570" s="1" t="str">
        <f t="shared" si="118"/>
        <v/>
      </c>
      <c r="L2570" s="1" t="str">
        <f t="shared" si="119"/>
        <v/>
      </c>
      <c r="M2570" s="1">
        <f>IF(OR(Table1[[#This Row],[Std Nom]]="",Table1[[#This Row],[Std Read]]=""),0,Table1[[#This Row],[Std Nom]]-Table1[[#This Row],[Std Read]])</f>
        <v>0</v>
      </c>
      <c r="N2570" s="1">
        <f>IF(Calculations!$F$5="ACCREDITED 17025 WITH UNCERTAINTIES",$N$10,0)</f>
        <v>0</v>
      </c>
      <c r="O2570" s="1" t="str">
        <f>IFERROR(Table1[[#This Row],[Std Nom]]-(_xlfn.XLOOKUP(Table1[[#This Row],[Manufacturer]]&amp;" "&amp;Table1[[#This Row],[Model]],Table13[MFR &amp; MDL],Table13[Tolerance % CW ],"")/100*Table1[[#This Row],[Std Nom]]),"")</f>
        <v/>
      </c>
      <c r="P2570" s="1" t="str">
        <f>IFERROR(Table1[[#This Row],[Std Nom]]+(_xlfn.XLOOKUP(Table1[[#This Row],[Manufacturer]]&amp;" "&amp;Table1[[#This Row],[Model]],Table13[MFR &amp; MDL],Table13[Tolerance % CW ],"")/100*Table1[[#This Row],[Std Nom]]),"")</f>
        <v/>
      </c>
      <c r="Q2570" s="1" t="e">
        <f>Table1[[#This Row],[High Tol]]-Table1[[#This Row],[Low Tol]]</f>
        <v>#VALUE!</v>
      </c>
      <c r="R2570" s="1">
        <f>2*Table1[[#This Row],[Std Error]]</f>
        <v>0</v>
      </c>
      <c r="S2570" s="1" t="str">
        <f>IF(Table1[[#This Row],[High Tol]]="","N/A",IFERROR(ABS(Table1[[#This Row],[Tol Span]]/Table1[[#This Row],[Error Span]]),"N/A"))</f>
        <v>N/A</v>
      </c>
      <c r="T2570" s="1" t="str">
        <f>IF(OR(Table1[[#This Row],[Low Tol]]="",Table1[[#This Row],[High Tol]]=""),"Needs Analysis",IF(Table1[[#This Row],[Ratio]]&gt;=4,"Not Significant",IF(Table1[[#This Row],[Ratio]]&gt;=2,"Semi-Significant","Significant")))</f>
        <v>Needs Analysis</v>
      </c>
      <c r="W2570" s="1">
        <f>IF(Table1[[#This Row],[Cal Type]]&lt;&gt;"ACCREDITED 17025 WITH UNCERTAINTIES",0,"")</f>
        <v>0</v>
      </c>
      <c r="X2570" s="1" t="str">
        <f>IF(Table1[[#This Row],[DUT Read]]="","N/A",Table1[[#This Row],[Std Error]]+Table1[[#This Row],[DUT Read]]+Table1[[#This Row],[DUT Ucty]])</f>
        <v>N/A</v>
      </c>
      <c r="Y2570" s="1" t="str">
        <f>IF(Table1[[#This Row],[Std Read]]="","N/A",Table1[[#This Row],[Std Read]]+Table1[[#This Row],[Std Ucty]])</f>
        <v>N/A</v>
      </c>
      <c r="Z25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0" s="1" t="str">
        <f>IF(Table1[[#This Row],[Spec Type]]="","N/A",Table1[[#This Row],[Spec Type]])</f>
        <v>±</v>
      </c>
      <c r="AC2570" s="1" t="str">
        <f>IF(Table1[[#This Row],[Spec Type2]]="N/A","N/A",IF(AND(Table1[[#This Row],[DUT Adj Read]]&gt;=Table1[[#This Row],[Low Tol]],Table1[[#This Row],[DUT Adj Read]]&lt;=Table1[[#This Row],[High Tol]]),"Pass","Fail"))</f>
        <v>Fail</v>
      </c>
      <c r="AD2570" s="1" t="str">
        <f>IF(AND(Table1[[#This Row],[Spec Type2]]="N/A",Table1[[#This Row],[DUT Adj Read]]="N/A",Table1[[#This Row],[Std Adj Read]]="N/A"),"N/A",IF(Table1[[#This Row],[DUT Adj Read]]="N/A",IF(Table1[[#This Row],[Std Adj Read]]&gt;Table1[[#This Row],[Low Tol]],"Pass","Fail"),IF(Table1[[#This Row],[DUT Adj Read]]&gt;Table1[[#This Row],[Low Tol]],"Pass","Fail")))</f>
        <v>Pass</v>
      </c>
      <c r="AE2570" s="1" t="str">
        <f>IF(AND(Table1[[#This Row],[Spec Type2]]="N/A",Table1[[#This Row],[DUT Adj Read]]="N/A",Table1[[#This Row],[Std Adj Read]]="N/A"),"N/A",IF(Table1[[#This Row],[DUT Adj Read]]="N/A",IF(Table1[[#This Row],[Std Adj Read]]&lt;Table1[[#This Row],[High Tol]],"Pass","Fail"),IF(Table1[[#This Row],[DUT Adj Read]]&lt;Table1[[#This Row],[High Tol]],"Pass","Fail")))</f>
        <v>Fail</v>
      </c>
      <c r="AF2570" s="1" t="str">
        <f>IF(AND(Table1[[#This Row],[Spec Type2]]="N/A",Table1[[#This Row],[DUT Adj Read]]="N/A",Table1[[#This Row],[Std Adj Read]]="N/A"),"N/A",IF(Table1[[#This Row],[DUT Adj Read]]="N/A",IF(Table1[[#This Row],[Std Adj Read]]&gt;=Table1[[#This Row],[Low Tol]],"Pass","Fail"),IF(Table1[[#This Row],[DUT Adj Read]]&gt;=Table1[[#This Row],[Low Tol]],"Pass","Fail")))</f>
        <v>Pass</v>
      </c>
      <c r="AG2570" s="1" t="str">
        <f>IF(AND(Table1[[#This Row],[Spec Type2]]="N/A",Table1[[#This Row],[DUT Adj Read]]="N/A",Table1[[#This Row],[Std Adj Read]]="N/A"),"N/A",IF(Table1[[#This Row],[DUT Adj Read]]="N/A",IF(Table1[[#This Row],[Std Adj Read]]&lt;=Table1[[#This Row],[High Tol]],"Pass","Fail"),IF(Table1[[#This Row],[DUT Adj Read]]&lt;=Table1[[#This Row],[High Tol]],"Pass","Fail")))</f>
        <v>Fail</v>
      </c>
      <c r="AH25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0" s="1" t="b">
        <v>0</v>
      </c>
      <c r="AN2570" s="1" t="b">
        <v>0</v>
      </c>
      <c r="AO2570" s="1" t="b">
        <v>0</v>
      </c>
    </row>
    <row r="2571" spans="1:41" x14ac:dyDescent="0.25">
      <c r="A2571" s="10"/>
      <c r="B2571" s="10"/>
      <c r="C2571" s="10"/>
      <c r="D2571" s="10"/>
      <c r="E2571" s="10"/>
      <c r="F2571" s="10"/>
      <c r="G2571" s="10"/>
      <c r="H2571" s="10"/>
      <c r="I2571" s="1" t="str">
        <f t="shared" ref="I2571:I2634" si="120">IF($I$10="","",$I$10)</f>
        <v/>
      </c>
      <c r="J2571" s="1" t="s">
        <v>35</v>
      </c>
      <c r="K2571" s="1" t="str">
        <f t="shared" ref="K2571:K2634" si="121">IF($K$10="","",$K$10)</f>
        <v/>
      </c>
      <c r="L2571" s="1" t="str">
        <f t="shared" ref="L2571:L2634" si="122">IF($L$10="","",$L$10)</f>
        <v/>
      </c>
      <c r="M2571" s="1">
        <f>IF(OR(Table1[[#This Row],[Std Nom]]="",Table1[[#This Row],[Std Read]]=""),0,Table1[[#This Row],[Std Nom]]-Table1[[#This Row],[Std Read]])</f>
        <v>0</v>
      </c>
      <c r="N2571" s="1">
        <f>IF(Calculations!$F$5="ACCREDITED 17025 WITH UNCERTAINTIES",$N$10,0)</f>
        <v>0</v>
      </c>
      <c r="O2571" s="1" t="str">
        <f>IFERROR(Table1[[#This Row],[Std Nom]]-(_xlfn.XLOOKUP(Table1[[#This Row],[Manufacturer]]&amp;" "&amp;Table1[[#This Row],[Model]],Table13[MFR &amp; MDL],Table13[Tolerance % CW ],"")/100*Table1[[#This Row],[Std Nom]]),"")</f>
        <v/>
      </c>
      <c r="P2571" s="1" t="str">
        <f>IFERROR(Table1[[#This Row],[Std Nom]]+(_xlfn.XLOOKUP(Table1[[#This Row],[Manufacturer]]&amp;" "&amp;Table1[[#This Row],[Model]],Table13[MFR &amp; MDL],Table13[Tolerance % CW ],"")/100*Table1[[#This Row],[Std Nom]]),"")</f>
        <v/>
      </c>
      <c r="Q2571" s="1" t="e">
        <f>Table1[[#This Row],[High Tol]]-Table1[[#This Row],[Low Tol]]</f>
        <v>#VALUE!</v>
      </c>
      <c r="R2571" s="1">
        <f>2*Table1[[#This Row],[Std Error]]</f>
        <v>0</v>
      </c>
      <c r="S2571" s="1" t="str">
        <f>IF(Table1[[#This Row],[High Tol]]="","N/A",IFERROR(ABS(Table1[[#This Row],[Tol Span]]/Table1[[#This Row],[Error Span]]),"N/A"))</f>
        <v>N/A</v>
      </c>
      <c r="T2571" s="1" t="str">
        <f>IF(OR(Table1[[#This Row],[Low Tol]]="",Table1[[#This Row],[High Tol]]=""),"Needs Analysis",IF(Table1[[#This Row],[Ratio]]&gt;=4,"Not Significant",IF(Table1[[#This Row],[Ratio]]&gt;=2,"Semi-Significant","Significant")))</f>
        <v>Needs Analysis</v>
      </c>
      <c r="W2571" s="1">
        <f>IF(Table1[[#This Row],[Cal Type]]&lt;&gt;"ACCREDITED 17025 WITH UNCERTAINTIES",0,"")</f>
        <v>0</v>
      </c>
      <c r="X2571" s="1" t="str">
        <f>IF(Table1[[#This Row],[DUT Read]]="","N/A",Table1[[#This Row],[Std Error]]+Table1[[#This Row],[DUT Read]]+Table1[[#This Row],[DUT Ucty]])</f>
        <v>N/A</v>
      </c>
      <c r="Y2571" s="1" t="str">
        <f>IF(Table1[[#This Row],[Std Read]]="","N/A",Table1[[#This Row],[Std Read]]+Table1[[#This Row],[Std Ucty]])</f>
        <v>N/A</v>
      </c>
      <c r="Z25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1" s="1" t="str">
        <f>IF(Table1[[#This Row],[Spec Type]]="","N/A",Table1[[#This Row],[Spec Type]])</f>
        <v>±</v>
      </c>
      <c r="AC2571" s="1" t="str">
        <f>IF(Table1[[#This Row],[Spec Type2]]="N/A","N/A",IF(AND(Table1[[#This Row],[DUT Adj Read]]&gt;=Table1[[#This Row],[Low Tol]],Table1[[#This Row],[DUT Adj Read]]&lt;=Table1[[#This Row],[High Tol]]),"Pass","Fail"))</f>
        <v>Fail</v>
      </c>
      <c r="AD2571" s="1" t="str">
        <f>IF(AND(Table1[[#This Row],[Spec Type2]]="N/A",Table1[[#This Row],[DUT Adj Read]]="N/A",Table1[[#This Row],[Std Adj Read]]="N/A"),"N/A",IF(Table1[[#This Row],[DUT Adj Read]]="N/A",IF(Table1[[#This Row],[Std Adj Read]]&gt;Table1[[#This Row],[Low Tol]],"Pass","Fail"),IF(Table1[[#This Row],[DUT Adj Read]]&gt;Table1[[#This Row],[Low Tol]],"Pass","Fail")))</f>
        <v>Pass</v>
      </c>
      <c r="AE2571" s="1" t="str">
        <f>IF(AND(Table1[[#This Row],[Spec Type2]]="N/A",Table1[[#This Row],[DUT Adj Read]]="N/A",Table1[[#This Row],[Std Adj Read]]="N/A"),"N/A",IF(Table1[[#This Row],[DUT Adj Read]]="N/A",IF(Table1[[#This Row],[Std Adj Read]]&lt;Table1[[#This Row],[High Tol]],"Pass","Fail"),IF(Table1[[#This Row],[DUT Adj Read]]&lt;Table1[[#This Row],[High Tol]],"Pass","Fail")))</f>
        <v>Fail</v>
      </c>
      <c r="AF2571" s="1" t="str">
        <f>IF(AND(Table1[[#This Row],[Spec Type2]]="N/A",Table1[[#This Row],[DUT Adj Read]]="N/A",Table1[[#This Row],[Std Adj Read]]="N/A"),"N/A",IF(Table1[[#This Row],[DUT Adj Read]]="N/A",IF(Table1[[#This Row],[Std Adj Read]]&gt;=Table1[[#This Row],[Low Tol]],"Pass","Fail"),IF(Table1[[#This Row],[DUT Adj Read]]&gt;=Table1[[#This Row],[Low Tol]],"Pass","Fail")))</f>
        <v>Pass</v>
      </c>
      <c r="AG2571" s="1" t="str">
        <f>IF(AND(Table1[[#This Row],[Spec Type2]]="N/A",Table1[[#This Row],[DUT Adj Read]]="N/A",Table1[[#This Row],[Std Adj Read]]="N/A"),"N/A",IF(Table1[[#This Row],[DUT Adj Read]]="N/A",IF(Table1[[#This Row],[Std Adj Read]]&lt;=Table1[[#This Row],[High Tol]],"Pass","Fail"),IF(Table1[[#This Row],[DUT Adj Read]]&lt;=Table1[[#This Row],[High Tol]],"Pass","Fail")))</f>
        <v>Fail</v>
      </c>
      <c r="AH25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1" s="1" t="b">
        <v>0</v>
      </c>
      <c r="AN2571" s="1" t="b">
        <v>0</v>
      </c>
      <c r="AO2571" s="1" t="b">
        <v>0</v>
      </c>
    </row>
    <row r="2572" spans="1:41" x14ac:dyDescent="0.25">
      <c r="A2572" s="10"/>
      <c r="B2572" s="10"/>
      <c r="C2572" s="10"/>
      <c r="D2572" s="10"/>
      <c r="E2572" s="10"/>
      <c r="F2572" s="10"/>
      <c r="G2572" s="10"/>
      <c r="H2572" s="10"/>
      <c r="I2572" s="1" t="str">
        <f t="shared" si="120"/>
        <v/>
      </c>
      <c r="J2572" s="1" t="s">
        <v>35</v>
      </c>
      <c r="K2572" s="1" t="str">
        <f t="shared" si="121"/>
        <v/>
      </c>
      <c r="L2572" s="1" t="str">
        <f t="shared" si="122"/>
        <v/>
      </c>
      <c r="M2572" s="1">
        <f>IF(OR(Table1[[#This Row],[Std Nom]]="",Table1[[#This Row],[Std Read]]=""),0,Table1[[#This Row],[Std Nom]]-Table1[[#This Row],[Std Read]])</f>
        <v>0</v>
      </c>
      <c r="N2572" s="1">
        <f>IF(Calculations!$F$5="ACCREDITED 17025 WITH UNCERTAINTIES",$N$10,0)</f>
        <v>0</v>
      </c>
      <c r="O2572" s="1" t="str">
        <f>IFERROR(Table1[[#This Row],[Std Nom]]-(_xlfn.XLOOKUP(Table1[[#This Row],[Manufacturer]]&amp;" "&amp;Table1[[#This Row],[Model]],Table13[MFR &amp; MDL],Table13[Tolerance % CW ],"")/100*Table1[[#This Row],[Std Nom]]),"")</f>
        <v/>
      </c>
      <c r="P2572" s="1" t="str">
        <f>IFERROR(Table1[[#This Row],[Std Nom]]+(_xlfn.XLOOKUP(Table1[[#This Row],[Manufacturer]]&amp;" "&amp;Table1[[#This Row],[Model]],Table13[MFR &amp; MDL],Table13[Tolerance % CW ],"")/100*Table1[[#This Row],[Std Nom]]),"")</f>
        <v/>
      </c>
      <c r="Q2572" s="1" t="e">
        <f>Table1[[#This Row],[High Tol]]-Table1[[#This Row],[Low Tol]]</f>
        <v>#VALUE!</v>
      </c>
      <c r="R2572" s="1">
        <f>2*Table1[[#This Row],[Std Error]]</f>
        <v>0</v>
      </c>
      <c r="S2572" s="1" t="str">
        <f>IF(Table1[[#This Row],[High Tol]]="","N/A",IFERROR(ABS(Table1[[#This Row],[Tol Span]]/Table1[[#This Row],[Error Span]]),"N/A"))</f>
        <v>N/A</v>
      </c>
      <c r="T2572" s="1" t="str">
        <f>IF(OR(Table1[[#This Row],[Low Tol]]="",Table1[[#This Row],[High Tol]]=""),"Needs Analysis",IF(Table1[[#This Row],[Ratio]]&gt;=4,"Not Significant",IF(Table1[[#This Row],[Ratio]]&gt;=2,"Semi-Significant","Significant")))</f>
        <v>Needs Analysis</v>
      </c>
      <c r="W2572" s="1">
        <f>IF(Table1[[#This Row],[Cal Type]]&lt;&gt;"ACCREDITED 17025 WITH UNCERTAINTIES",0,"")</f>
        <v>0</v>
      </c>
      <c r="X2572" s="1" t="str">
        <f>IF(Table1[[#This Row],[DUT Read]]="","N/A",Table1[[#This Row],[Std Error]]+Table1[[#This Row],[DUT Read]]+Table1[[#This Row],[DUT Ucty]])</f>
        <v>N/A</v>
      </c>
      <c r="Y2572" s="1" t="str">
        <f>IF(Table1[[#This Row],[Std Read]]="","N/A",Table1[[#This Row],[Std Read]]+Table1[[#This Row],[Std Ucty]])</f>
        <v>N/A</v>
      </c>
      <c r="Z25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2" s="1" t="str">
        <f>IF(Table1[[#This Row],[Spec Type]]="","N/A",Table1[[#This Row],[Spec Type]])</f>
        <v>±</v>
      </c>
      <c r="AC2572" s="1" t="str">
        <f>IF(Table1[[#This Row],[Spec Type2]]="N/A","N/A",IF(AND(Table1[[#This Row],[DUT Adj Read]]&gt;=Table1[[#This Row],[Low Tol]],Table1[[#This Row],[DUT Adj Read]]&lt;=Table1[[#This Row],[High Tol]]),"Pass","Fail"))</f>
        <v>Fail</v>
      </c>
      <c r="AD2572" s="1" t="str">
        <f>IF(AND(Table1[[#This Row],[Spec Type2]]="N/A",Table1[[#This Row],[DUT Adj Read]]="N/A",Table1[[#This Row],[Std Adj Read]]="N/A"),"N/A",IF(Table1[[#This Row],[DUT Adj Read]]="N/A",IF(Table1[[#This Row],[Std Adj Read]]&gt;Table1[[#This Row],[Low Tol]],"Pass","Fail"),IF(Table1[[#This Row],[DUT Adj Read]]&gt;Table1[[#This Row],[Low Tol]],"Pass","Fail")))</f>
        <v>Pass</v>
      </c>
      <c r="AE2572" s="1" t="str">
        <f>IF(AND(Table1[[#This Row],[Spec Type2]]="N/A",Table1[[#This Row],[DUT Adj Read]]="N/A",Table1[[#This Row],[Std Adj Read]]="N/A"),"N/A",IF(Table1[[#This Row],[DUT Adj Read]]="N/A",IF(Table1[[#This Row],[Std Adj Read]]&lt;Table1[[#This Row],[High Tol]],"Pass","Fail"),IF(Table1[[#This Row],[DUT Adj Read]]&lt;Table1[[#This Row],[High Tol]],"Pass","Fail")))</f>
        <v>Fail</v>
      </c>
      <c r="AF2572" s="1" t="str">
        <f>IF(AND(Table1[[#This Row],[Spec Type2]]="N/A",Table1[[#This Row],[DUT Adj Read]]="N/A",Table1[[#This Row],[Std Adj Read]]="N/A"),"N/A",IF(Table1[[#This Row],[DUT Adj Read]]="N/A",IF(Table1[[#This Row],[Std Adj Read]]&gt;=Table1[[#This Row],[Low Tol]],"Pass","Fail"),IF(Table1[[#This Row],[DUT Adj Read]]&gt;=Table1[[#This Row],[Low Tol]],"Pass","Fail")))</f>
        <v>Pass</v>
      </c>
      <c r="AG2572" s="1" t="str">
        <f>IF(AND(Table1[[#This Row],[Spec Type2]]="N/A",Table1[[#This Row],[DUT Adj Read]]="N/A",Table1[[#This Row],[Std Adj Read]]="N/A"),"N/A",IF(Table1[[#This Row],[DUT Adj Read]]="N/A",IF(Table1[[#This Row],[Std Adj Read]]&lt;=Table1[[#This Row],[High Tol]],"Pass","Fail"),IF(Table1[[#This Row],[DUT Adj Read]]&lt;=Table1[[#This Row],[High Tol]],"Pass","Fail")))</f>
        <v>Fail</v>
      </c>
      <c r="AH25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2" s="1" t="b">
        <v>0</v>
      </c>
      <c r="AN2572" s="1" t="b">
        <v>0</v>
      </c>
      <c r="AO2572" s="1" t="b">
        <v>0</v>
      </c>
    </row>
    <row r="2573" spans="1:41" x14ac:dyDescent="0.25">
      <c r="A2573" s="10"/>
      <c r="B2573" s="10"/>
      <c r="C2573" s="10"/>
      <c r="D2573" s="10"/>
      <c r="E2573" s="10"/>
      <c r="F2573" s="10"/>
      <c r="G2573" s="10"/>
      <c r="H2573" s="10"/>
      <c r="I2573" s="1" t="str">
        <f t="shared" si="120"/>
        <v/>
      </c>
      <c r="J2573" s="1" t="s">
        <v>35</v>
      </c>
      <c r="K2573" s="1" t="str">
        <f t="shared" si="121"/>
        <v/>
      </c>
      <c r="L2573" s="1" t="str">
        <f t="shared" si="122"/>
        <v/>
      </c>
      <c r="M2573" s="1">
        <f>IF(OR(Table1[[#This Row],[Std Nom]]="",Table1[[#This Row],[Std Read]]=""),0,Table1[[#This Row],[Std Nom]]-Table1[[#This Row],[Std Read]])</f>
        <v>0</v>
      </c>
      <c r="N2573" s="1">
        <f>IF(Calculations!$F$5="ACCREDITED 17025 WITH UNCERTAINTIES",$N$10,0)</f>
        <v>0</v>
      </c>
      <c r="O2573" s="1" t="str">
        <f>IFERROR(Table1[[#This Row],[Std Nom]]-(_xlfn.XLOOKUP(Table1[[#This Row],[Manufacturer]]&amp;" "&amp;Table1[[#This Row],[Model]],Table13[MFR &amp; MDL],Table13[Tolerance % CW ],"")/100*Table1[[#This Row],[Std Nom]]),"")</f>
        <v/>
      </c>
      <c r="P2573" s="1" t="str">
        <f>IFERROR(Table1[[#This Row],[Std Nom]]+(_xlfn.XLOOKUP(Table1[[#This Row],[Manufacturer]]&amp;" "&amp;Table1[[#This Row],[Model]],Table13[MFR &amp; MDL],Table13[Tolerance % CW ],"")/100*Table1[[#This Row],[Std Nom]]),"")</f>
        <v/>
      </c>
      <c r="Q2573" s="1" t="e">
        <f>Table1[[#This Row],[High Tol]]-Table1[[#This Row],[Low Tol]]</f>
        <v>#VALUE!</v>
      </c>
      <c r="R2573" s="1">
        <f>2*Table1[[#This Row],[Std Error]]</f>
        <v>0</v>
      </c>
      <c r="S2573" s="1" t="str">
        <f>IF(Table1[[#This Row],[High Tol]]="","N/A",IFERROR(ABS(Table1[[#This Row],[Tol Span]]/Table1[[#This Row],[Error Span]]),"N/A"))</f>
        <v>N/A</v>
      </c>
      <c r="T2573" s="1" t="str">
        <f>IF(OR(Table1[[#This Row],[Low Tol]]="",Table1[[#This Row],[High Tol]]=""),"Needs Analysis",IF(Table1[[#This Row],[Ratio]]&gt;=4,"Not Significant",IF(Table1[[#This Row],[Ratio]]&gt;=2,"Semi-Significant","Significant")))</f>
        <v>Needs Analysis</v>
      </c>
      <c r="W2573" s="1">
        <f>IF(Table1[[#This Row],[Cal Type]]&lt;&gt;"ACCREDITED 17025 WITH UNCERTAINTIES",0,"")</f>
        <v>0</v>
      </c>
      <c r="X2573" s="1" t="str">
        <f>IF(Table1[[#This Row],[DUT Read]]="","N/A",Table1[[#This Row],[Std Error]]+Table1[[#This Row],[DUT Read]]+Table1[[#This Row],[DUT Ucty]])</f>
        <v>N/A</v>
      </c>
      <c r="Y2573" s="1" t="str">
        <f>IF(Table1[[#This Row],[Std Read]]="","N/A",Table1[[#This Row],[Std Read]]+Table1[[#This Row],[Std Ucty]])</f>
        <v>N/A</v>
      </c>
      <c r="Z25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3" s="1" t="str">
        <f>IF(Table1[[#This Row],[Spec Type]]="","N/A",Table1[[#This Row],[Spec Type]])</f>
        <v>±</v>
      </c>
      <c r="AC2573" s="1" t="str">
        <f>IF(Table1[[#This Row],[Spec Type2]]="N/A","N/A",IF(AND(Table1[[#This Row],[DUT Adj Read]]&gt;=Table1[[#This Row],[Low Tol]],Table1[[#This Row],[DUT Adj Read]]&lt;=Table1[[#This Row],[High Tol]]),"Pass","Fail"))</f>
        <v>Fail</v>
      </c>
      <c r="AD2573" s="1" t="str">
        <f>IF(AND(Table1[[#This Row],[Spec Type2]]="N/A",Table1[[#This Row],[DUT Adj Read]]="N/A",Table1[[#This Row],[Std Adj Read]]="N/A"),"N/A",IF(Table1[[#This Row],[DUT Adj Read]]="N/A",IF(Table1[[#This Row],[Std Adj Read]]&gt;Table1[[#This Row],[Low Tol]],"Pass","Fail"),IF(Table1[[#This Row],[DUT Adj Read]]&gt;Table1[[#This Row],[Low Tol]],"Pass","Fail")))</f>
        <v>Pass</v>
      </c>
      <c r="AE2573" s="1" t="str">
        <f>IF(AND(Table1[[#This Row],[Spec Type2]]="N/A",Table1[[#This Row],[DUT Adj Read]]="N/A",Table1[[#This Row],[Std Adj Read]]="N/A"),"N/A",IF(Table1[[#This Row],[DUT Adj Read]]="N/A",IF(Table1[[#This Row],[Std Adj Read]]&lt;Table1[[#This Row],[High Tol]],"Pass","Fail"),IF(Table1[[#This Row],[DUT Adj Read]]&lt;Table1[[#This Row],[High Tol]],"Pass","Fail")))</f>
        <v>Fail</v>
      </c>
      <c r="AF2573" s="1" t="str">
        <f>IF(AND(Table1[[#This Row],[Spec Type2]]="N/A",Table1[[#This Row],[DUT Adj Read]]="N/A",Table1[[#This Row],[Std Adj Read]]="N/A"),"N/A",IF(Table1[[#This Row],[DUT Adj Read]]="N/A",IF(Table1[[#This Row],[Std Adj Read]]&gt;=Table1[[#This Row],[Low Tol]],"Pass","Fail"),IF(Table1[[#This Row],[DUT Adj Read]]&gt;=Table1[[#This Row],[Low Tol]],"Pass","Fail")))</f>
        <v>Pass</v>
      </c>
      <c r="AG2573" s="1" t="str">
        <f>IF(AND(Table1[[#This Row],[Spec Type2]]="N/A",Table1[[#This Row],[DUT Adj Read]]="N/A",Table1[[#This Row],[Std Adj Read]]="N/A"),"N/A",IF(Table1[[#This Row],[DUT Adj Read]]="N/A",IF(Table1[[#This Row],[Std Adj Read]]&lt;=Table1[[#This Row],[High Tol]],"Pass","Fail"),IF(Table1[[#This Row],[DUT Adj Read]]&lt;=Table1[[#This Row],[High Tol]],"Pass","Fail")))</f>
        <v>Fail</v>
      </c>
      <c r="AH25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3" s="1" t="b">
        <v>0</v>
      </c>
      <c r="AN2573" s="1" t="b">
        <v>0</v>
      </c>
      <c r="AO2573" s="1" t="b">
        <v>0</v>
      </c>
    </row>
    <row r="2574" spans="1:41" x14ac:dyDescent="0.25">
      <c r="A2574" s="10"/>
      <c r="B2574" s="10"/>
      <c r="C2574" s="10"/>
      <c r="D2574" s="10"/>
      <c r="E2574" s="10"/>
      <c r="F2574" s="10"/>
      <c r="G2574" s="10"/>
      <c r="H2574" s="10"/>
      <c r="I2574" s="1" t="str">
        <f t="shared" si="120"/>
        <v/>
      </c>
      <c r="J2574" s="1" t="s">
        <v>35</v>
      </c>
      <c r="K2574" s="1" t="str">
        <f t="shared" si="121"/>
        <v/>
      </c>
      <c r="L2574" s="1" t="str">
        <f t="shared" si="122"/>
        <v/>
      </c>
      <c r="M2574" s="1">
        <f>IF(OR(Table1[[#This Row],[Std Nom]]="",Table1[[#This Row],[Std Read]]=""),0,Table1[[#This Row],[Std Nom]]-Table1[[#This Row],[Std Read]])</f>
        <v>0</v>
      </c>
      <c r="N2574" s="1">
        <f>IF(Calculations!$F$5="ACCREDITED 17025 WITH UNCERTAINTIES",$N$10,0)</f>
        <v>0</v>
      </c>
      <c r="O2574" s="1" t="str">
        <f>IFERROR(Table1[[#This Row],[Std Nom]]-(_xlfn.XLOOKUP(Table1[[#This Row],[Manufacturer]]&amp;" "&amp;Table1[[#This Row],[Model]],Table13[MFR &amp; MDL],Table13[Tolerance % CW ],"")/100*Table1[[#This Row],[Std Nom]]),"")</f>
        <v/>
      </c>
      <c r="P2574" s="1" t="str">
        <f>IFERROR(Table1[[#This Row],[Std Nom]]+(_xlfn.XLOOKUP(Table1[[#This Row],[Manufacturer]]&amp;" "&amp;Table1[[#This Row],[Model]],Table13[MFR &amp; MDL],Table13[Tolerance % CW ],"")/100*Table1[[#This Row],[Std Nom]]),"")</f>
        <v/>
      </c>
      <c r="Q2574" s="1" t="e">
        <f>Table1[[#This Row],[High Tol]]-Table1[[#This Row],[Low Tol]]</f>
        <v>#VALUE!</v>
      </c>
      <c r="R2574" s="1">
        <f>2*Table1[[#This Row],[Std Error]]</f>
        <v>0</v>
      </c>
      <c r="S2574" s="1" t="str">
        <f>IF(Table1[[#This Row],[High Tol]]="","N/A",IFERROR(ABS(Table1[[#This Row],[Tol Span]]/Table1[[#This Row],[Error Span]]),"N/A"))</f>
        <v>N/A</v>
      </c>
      <c r="T2574" s="1" t="str">
        <f>IF(OR(Table1[[#This Row],[Low Tol]]="",Table1[[#This Row],[High Tol]]=""),"Needs Analysis",IF(Table1[[#This Row],[Ratio]]&gt;=4,"Not Significant",IF(Table1[[#This Row],[Ratio]]&gt;=2,"Semi-Significant","Significant")))</f>
        <v>Needs Analysis</v>
      </c>
      <c r="W2574" s="1">
        <f>IF(Table1[[#This Row],[Cal Type]]&lt;&gt;"ACCREDITED 17025 WITH UNCERTAINTIES",0,"")</f>
        <v>0</v>
      </c>
      <c r="X2574" s="1" t="str">
        <f>IF(Table1[[#This Row],[DUT Read]]="","N/A",Table1[[#This Row],[Std Error]]+Table1[[#This Row],[DUT Read]]+Table1[[#This Row],[DUT Ucty]])</f>
        <v>N/A</v>
      </c>
      <c r="Y2574" s="1" t="str">
        <f>IF(Table1[[#This Row],[Std Read]]="","N/A",Table1[[#This Row],[Std Read]]+Table1[[#This Row],[Std Ucty]])</f>
        <v>N/A</v>
      </c>
      <c r="Z25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4" s="1" t="str">
        <f>IF(Table1[[#This Row],[Spec Type]]="","N/A",Table1[[#This Row],[Spec Type]])</f>
        <v>±</v>
      </c>
      <c r="AC2574" s="1" t="str">
        <f>IF(Table1[[#This Row],[Spec Type2]]="N/A","N/A",IF(AND(Table1[[#This Row],[DUT Adj Read]]&gt;=Table1[[#This Row],[Low Tol]],Table1[[#This Row],[DUT Adj Read]]&lt;=Table1[[#This Row],[High Tol]]),"Pass","Fail"))</f>
        <v>Fail</v>
      </c>
      <c r="AD2574" s="1" t="str">
        <f>IF(AND(Table1[[#This Row],[Spec Type2]]="N/A",Table1[[#This Row],[DUT Adj Read]]="N/A",Table1[[#This Row],[Std Adj Read]]="N/A"),"N/A",IF(Table1[[#This Row],[DUT Adj Read]]="N/A",IF(Table1[[#This Row],[Std Adj Read]]&gt;Table1[[#This Row],[Low Tol]],"Pass","Fail"),IF(Table1[[#This Row],[DUT Adj Read]]&gt;Table1[[#This Row],[Low Tol]],"Pass","Fail")))</f>
        <v>Pass</v>
      </c>
      <c r="AE2574" s="1" t="str">
        <f>IF(AND(Table1[[#This Row],[Spec Type2]]="N/A",Table1[[#This Row],[DUT Adj Read]]="N/A",Table1[[#This Row],[Std Adj Read]]="N/A"),"N/A",IF(Table1[[#This Row],[DUT Adj Read]]="N/A",IF(Table1[[#This Row],[Std Adj Read]]&lt;Table1[[#This Row],[High Tol]],"Pass","Fail"),IF(Table1[[#This Row],[DUT Adj Read]]&lt;Table1[[#This Row],[High Tol]],"Pass","Fail")))</f>
        <v>Fail</v>
      </c>
      <c r="AF2574" s="1" t="str">
        <f>IF(AND(Table1[[#This Row],[Spec Type2]]="N/A",Table1[[#This Row],[DUT Adj Read]]="N/A",Table1[[#This Row],[Std Adj Read]]="N/A"),"N/A",IF(Table1[[#This Row],[DUT Adj Read]]="N/A",IF(Table1[[#This Row],[Std Adj Read]]&gt;=Table1[[#This Row],[Low Tol]],"Pass","Fail"),IF(Table1[[#This Row],[DUT Adj Read]]&gt;=Table1[[#This Row],[Low Tol]],"Pass","Fail")))</f>
        <v>Pass</v>
      </c>
      <c r="AG2574" s="1" t="str">
        <f>IF(AND(Table1[[#This Row],[Spec Type2]]="N/A",Table1[[#This Row],[DUT Adj Read]]="N/A",Table1[[#This Row],[Std Adj Read]]="N/A"),"N/A",IF(Table1[[#This Row],[DUT Adj Read]]="N/A",IF(Table1[[#This Row],[Std Adj Read]]&lt;=Table1[[#This Row],[High Tol]],"Pass","Fail"),IF(Table1[[#This Row],[DUT Adj Read]]&lt;=Table1[[#This Row],[High Tol]],"Pass","Fail")))</f>
        <v>Fail</v>
      </c>
      <c r="AH25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4" s="1" t="b">
        <v>0</v>
      </c>
      <c r="AN2574" s="1" t="b">
        <v>0</v>
      </c>
      <c r="AO2574" s="1" t="b">
        <v>0</v>
      </c>
    </row>
    <row r="2575" spans="1:41" x14ac:dyDescent="0.25">
      <c r="A2575" s="10"/>
      <c r="B2575" s="10"/>
      <c r="C2575" s="10"/>
      <c r="D2575" s="10"/>
      <c r="E2575" s="10"/>
      <c r="F2575" s="10"/>
      <c r="G2575" s="10"/>
      <c r="H2575" s="10"/>
      <c r="I2575" s="1" t="str">
        <f t="shared" si="120"/>
        <v/>
      </c>
      <c r="J2575" s="1" t="s">
        <v>35</v>
      </c>
      <c r="K2575" s="1" t="str">
        <f t="shared" si="121"/>
        <v/>
      </c>
      <c r="L2575" s="1" t="str">
        <f t="shared" si="122"/>
        <v/>
      </c>
      <c r="M2575" s="1">
        <f>IF(OR(Table1[[#This Row],[Std Nom]]="",Table1[[#This Row],[Std Read]]=""),0,Table1[[#This Row],[Std Nom]]-Table1[[#This Row],[Std Read]])</f>
        <v>0</v>
      </c>
      <c r="N2575" s="1">
        <f>IF(Calculations!$F$5="ACCREDITED 17025 WITH UNCERTAINTIES",$N$10,0)</f>
        <v>0</v>
      </c>
      <c r="O2575" s="1" t="str">
        <f>IFERROR(Table1[[#This Row],[Std Nom]]-(_xlfn.XLOOKUP(Table1[[#This Row],[Manufacturer]]&amp;" "&amp;Table1[[#This Row],[Model]],Table13[MFR &amp; MDL],Table13[Tolerance % CW ],"")/100*Table1[[#This Row],[Std Nom]]),"")</f>
        <v/>
      </c>
      <c r="P2575" s="1" t="str">
        <f>IFERROR(Table1[[#This Row],[Std Nom]]+(_xlfn.XLOOKUP(Table1[[#This Row],[Manufacturer]]&amp;" "&amp;Table1[[#This Row],[Model]],Table13[MFR &amp; MDL],Table13[Tolerance % CW ],"")/100*Table1[[#This Row],[Std Nom]]),"")</f>
        <v/>
      </c>
      <c r="Q2575" s="1" t="e">
        <f>Table1[[#This Row],[High Tol]]-Table1[[#This Row],[Low Tol]]</f>
        <v>#VALUE!</v>
      </c>
      <c r="R2575" s="1">
        <f>2*Table1[[#This Row],[Std Error]]</f>
        <v>0</v>
      </c>
      <c r="S2575" s="1" t="str">
        <f>IF(Table1[[#This Row],[High Tol]]="","N/A",IFERROR(ABS(Table1[[#This Row],[Tol Span]]/Table1[[#This Row],[Error Span]]),"N/A"))</f>
        <v>N/A</v>
      </c>
      <c r="T2575" s="1" t="str">
        <f>IF(OR(Table1[[#This Row],[Low Tol]]="",Table1[[#This Row],[High Tol]]=""),"Needs Analysis",IF(Table1[[#This Row],[Ratio]]&gt;=4,"Not Significant",IF(Table1[[#This Row],[Ratio]]&gt;=2,"Semi-Significant","Significant")))</f>
        <v>Needs Analysis</v>
      </c>
      <c r="W2575" s="1">
        <f>IF(Table1[[#This Row],[Cal Type]]&lt;&gt;"ACCREDITED 17025 WITH UNCERTAINTIES",0,"")</f>
        <v>0</v>
      </c>
      <c r="X2575" s="1" t="str">
        <f>IF(Table1[[#This Row],[DUT Read]]="","N/A",Table1[[#This Row],[Std Error]]+Table1[[#This Row],[DUT Read]]+Table1[[#This Row],[DUT Ucty]])</f>
        <v>N/A</v>
      </c>
      <c r="Y2575" s="1" t="str">
        <f>IF(Table1[[#This Row],[Std Read]]="","N/A",Table1[[#This Row],[Std Read]]+Table1[[#This Row],[Std Ucty]])</f>
        <v>N/A</v>
      </c>
      <c r="Z25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5" s="1" t="str">
        <f>IF(Table1[[#This Row],[Spec Type]]="","N/A",Table1[[#This Row],[Spec Type]])</f>
        <v>±</v>
      </c>
      <c r="AC2575" s="1" t="str">
        <f>IF(Table1[[#This Row],[Spec Type2]]="N/A","N/A",IF(AND(Table1[[#This Row],[DUT Adj Read]]&gt;=Table1[[#This Row],[Low Tol]],Table1[[#This Row],[DUT Adj Read]]&lt;=Table1[[#This Row],[High Tol]]),"Pass","Fail"))</f>
        <v>Fail</v>
      </c>
      <c r="AD2575" s="1" t="str">
        <f>IF(AND(Table1[[#This Row],[Spec Type2]]="N/A",Table1[[#This Row],[DUT Adj Read]]="N/A",Table1[[#This Row],[Std Adj Read]]="N/A"),"N/A",IF(Table1[[#This Row],[DUT Adj Read]]="N/A",IF(Table1[[#This Row],[Std Adj Read]]&gt;Table1[[#This Row],[Low Tol]],"Pass","Fail"),IF(Table1[[#This Row],[DUT Adj Read]]&gt;Table1[[#This Row],[Low Tol]],"Pass","Fail")))</f>
        <v>Pass</v>
      </c>
      <c r="AE2575" s="1" t="str">
        <f>IF(AND(Table1[[#This Row],[Spec Type2]]="N/A",Table1[[#This Row],[DUT Adj Read]]="N/A",Table1[[#This Row],[Std Adj Read]]="N/A"),"N/A",IF(Table1[[#This Row],[DUT Adj Read]]="N/A",IF(Table1[[#This Row],[Std Adj Read]]&lt;Table1[[#This Row],[High Tol]],"Pass","Fail"),IF(Table1[[#This Row],[DUT Adj Read]]&lt;Table1[[#This Row],[High Tol]],"Pass","Fail")))</f>
        <v>Fail</v>
      </c>
      <c r="AF2575" s="1" t="str">
        <f>IF(AND(Table1[[#This Row],[Spec Type2]]="N/A",Table1[[#This Row],[DUT Adj Read]]="N/A",Table1[[#This Row],[Std Adj Read]]="N/A"),"N/A",IF(Table1[[#This Row],[DUT Adj Read]]="N/A",IF(Table1[[#This Row],[Std Adj Read]]&gt;=Table1[[#This Row],[Low Tol]],"Pass","Fail"),IF(Table1[[#This Row],[DUT Adj Read]]&gt;=Table1[[#This Row],[Low Tol]],"Pass","Fail")))</f>
        <v>Pass</v>
      </c>
      <c r="AG2575" s="1" t="str">
        <f>IF(AND(Table1[[#This Row],[Spec Type2]]="N/A",Table1[[#This Row],[DUT Adj Read]]="N/A",Table1[[#This Row],[Std Adj Read]]="N/A"),"N/A",IF(Table1[[#This Row],[DUT Adj Read]]="N/A",IF(Table1[[#This Row],[Std Adj Read]]&lt;=Table1[[#This Row],[High Tol]],"Pass","Fail"),IF(Table1[[#This Row],[DUT Adj Read]]&lt;=Table1[[#This Row],[High Tol]],"Pass","Fail")))</f>
        <v>Fail</v>
      </c>
      <c r="AH25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5" s="1" t="b">
        <v>0</v>
      </c>
      <c r="AN2575" s="1" t="b">
        <v>0</v>
      </c>
      <c r="AO2575" s="1" t="b">
        <v>0</v>
      </c>
    </row>
    <row r="2576" spans="1:41" x14ac:dyDescent="0.25">
      <c r="A2576" s="10"/>
      <c r="B2576" s="10"/>
      <c r="C2576" s="10"/>
      <c r="D2576" s="10"/>
      <c r="E2576" s="10"/>
      <c r="F2576" s="10"/>
      <c r="G2576" s="10"/>
      <c r="H2576" s="10"/>
      <c r="I2576" s="1" t="str">
        <f t="shared" si="120"/>
        <v/>
      </c>
      <c r="J2576" s="1" t="s">
        <v>35</v>
      </c>
      <c r="K2576" s="1" t="str">
        <f t="shared" si="121"/>
        <v/>
      </c>
      <c r="L2576" s="1" t="str">
        <f t="shared" si="122"/>
        <v/>
      </c>
      <c r="M2576" s="1">
        <f>IF(OR(Table1[[#This Row],[Std Nom]]="",Table1[[#This Row],[Std Read]]=""),0,Table1[[#This Row],[Std Nom]]-Table1[[#This Row],[Std Read]])</f>
        <v>0</v>
      </c>
      <c r="N2576" s="1">
        <f>IF(Calculations!$F$5="ACCREDITED 17025 WITH UNCERTAINTIES",$N$10,0)</f>
        <v>0</v>
      </c>
      <c r="O2576" s="1" t="str">
        <f>IFERROR(Table1[[#This Row],[Std Nom]]-(_xlfn.XLOOKUP(Table1[[#This Row],[Manufacturer]]&amp;" "&amp;Table1[[#This Row],[Model]],Table13[MFR &amp; MDL],Table13[Tolerance % CW ],"")/100*Table1[[#This Row],[Std Nom]]),"")</f>
        <v/>
      </c>
      <c r="P2576" s="1" t="str">
        <f>IFERROR(Table1[[#This Row],[Std Nom]]+(_xlfn.XLOOKUP(Table1[[#This Row],[Manufacturer]]&amp;" "&amp;Table1[[#This Row],[Model]],Table13[MFR &amp; MDL],Table13[Tolerance % CW ],"")/100*Table1[[#This Row],[Std Nom]]),"")</f>
        <v/>
      </c>
      <c r="Q2576" s="1" t="e">
        <f>Table1[[#This Row],[High Tol]]-Table1[[#This Row],[Low Tol]]</f>
        <v>#VALUE!</v>
      </c>
      <c r="R2576" s="1">
        <f>2*Table1[[#This Row],[Std Error]]</f>
        <v>0</v>
      </c>
      <c r="S2576" s="1" t="str">
        <f>IF(Table1[[#This Row],[High Tol]]="","N/A",IFERROR(ABS(Table1[[#This Row],[Tol Span]]/Table1[[#This Row],[Error Span]]),"N/A"))</f>
        <v>N/A</v>
      </c>
      <c r="T2576" s="1" t="str">
        <f>IF(OR(Table1[[#This Row],[Low Tol]]="",Table1[[#This Row],[High Tol]]=""),"Needs Analysis",IF(Table1[[#This Row],[Ratio]]&gt;=4,"Not Significant",IF(Table1[[#This Row],[Ratio]]&gt;=2,"Semi-Significant","Significant")))</f>
        <v>Needs Analysis</v>
      </c>
      <c r="W2576" s="1">
        <f>IF(Table1[[#This Row],[Cal Type]]&lt;&gt;"ACCREDITED 17025 WITH UNCERTAINTIES",0,"")</f>
        <v>0</v>
      </c>
      <c r="X2576" s="1" t="str">
        <f>IF(Table1[[#This Row],[DUT Read]]="","N/A",Table1[[#This Row],[Std Error]]+Table1[[#This Row],[DUT Read]]+Table1[[#This Row],[DUT Ucty]])</f>
        <v>N/A</v>
      </c>
      <c r="Y2576" s="1" t="str">
        <f>IF(Table1[[#This Row],[Std Read]]="","N/A",Table1[[#This Row],[Std Read]]+Table1[[#This Row],[Std Ucty]])</f>
        <v>N/A</v>
      </c>
      <c r="Z25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6" s="1" t="str">
        <f>IF(Table1[[#This Row],[Spec Type]]="","N/A",Table1[[#This Row],[Spec Type]])</f>
        <v>±</v>
      </c>
      <c r="AC2576" s="1" t="str">
        <f>IF(Table1[[#This Row],[Spec Type2]]="N/A","N/A",IF(AND(Table1[[#This Row],[DUT Adj Read]]&gt;=Table1[[#This Row],[Low Tol]],Table1[[#This Row],[DUT Adj Read]]&lt;=Table1[[#This Row],[High Tol]]),"Pass","Fail"))</f>
        <v>Fail</v>
      </c>
      <c r="AD2576" s="1" t="str">
        <f>IF(AND(Table1[[#This Row],[Spec Type2]]="N/A",Table1[[#This Row],[DUT Adj Read]]="N/A",Table1[[#This Row],[Std Adj Read]]="N/A"),"N/A",IF(Table1[[#This Row],[DUT Adj Read]]="N/A",IF(Table1[[#This Row],[Std Adj Read]]&gt;Table1[[#This Row],[Low Tol]],"Pass","Fail"),IF(Table1[[#This Row],[DUT Adj Read]]&gt;Table1[[#This Row],[Low Tol]],"Pass","Fail")))</f>
        <v>Pass</v>
      </c>
      <c r="AE2576" s="1" t="str">
        <f>IF(AND(Table1[[#This Row],[Spec Type2]]="N/A",Table1[[#This Row],[DUT Adj Read]]="N/A",Table1[[#This Row],[Std Adj Read]]="N/A"),"N/A",IF(Table1[[#This Row],[DUT Adj Read]]="N/A",IF(Table1[[#This Row],[Std Adj Read]]&lt;Table1[[#This Row],[High Tol]],"Pass","Fail"),IF(Table1[[#This Row],[DUT Adj Read]]&lt;Table1[[#This Row],[High Tol]],"Pass","Fail")))</f>
        <v>Fail</v>
      </c>
      <c r="AF2576" s="1" t="str">
        <f>IF(AND(Table1[[#This Row],[Spec Type2]]="N/A",Table1[[#This Row],[DUT Adj Read]]="N/A",Table1[[#This Row],[Std Adj Read]]="N/A"),"N/A",IF(Table1[[#This Row],[DUT Adj Read]]="N/A",IF(Table1[[#This Row],[Std Adj Read]]&gt;=Table1[[#This Row],[Low Tol]],"Pass","Fail"),IF(Table1[[#This Row],[DUT Adj Read]]&gt;=Table1[[#This Row],[Low Tol]],"Pass","Fail")))</f>
        <v>Pass</v>
      </c>
      <c r="AG2576" s="1" t="str">
        <f>IF(AND(Table1[[#This Row],[Spec Type2]]="N/A",Table1[[#This Row],[DUT Adj Read]]="N/A",Table1[[#This Row],[Std Adj Read]]="N/A"),"N/A",IF(Table1[[#This Row],[DUT Adj Read]]="N/A",IF(Table1[[#This Row],[Std Adj Read]]&lt;=Table1[[#This Row],[High Tol]],"Pass","Fail"),IF(Table1[[#This Row],[DUT Adj Read]]&lt;=Table1[[#This Row],[High Tol]],"Pass","Fail")))</f>
        <v>Fail</v>
      </c>
      <c r="AH25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6" s="1" t="b">
        <v>0</v>
      </c>
      <c r="AN2576" s="1" t="b">
        <v>0</v>
      </c>
      <c r="AO2576" s="1" t="b">
        <v>0</v>
      </c>
    </row>
    <row r="2577" spans="1:41" x14ac:dyDescent="0.25">
      <c r="A2577" s="10"/>
      <c r="B2577" s="10"/>
      <c r="C2577" s="10"/>
      <c r="D2577" s="10"/>
      <c r="E2577" s="10"/>
      <c r="F2577" s="10"/>
      <c r="G2577" s="10"/>
      <c r="H2577" s="10"/>
      <c r="I2577" s="1" t="str">
        <f t="shared" si="120"/>
        <v/>
      </c>
      <c r="J2577" s="1" t="s">
        <v>35</v>
      </c>
      <c r="K2577" s="1" t="str">
        <f t="shared" si="121"/>
        <v/>
      </c>
      <c r="L2577" s="1" t="str">
        <f t="shared" si="122"/>
        <v/>
      </c>
      <c r="M2577" s="1">
        <f>IF(OR(Table1[[#This Row],[Std Nom]]="",Table1[[#This Row],[Std Read]]=""),0,Table1[[#This Row],[Std Nom]]-Table1[[#This Row],[Std Read]])</f>
        <v>0</v>
      </c>
      <c r="N2577" s="1">
        <f>IF(Calculations!$F$5="ACCREDITED 17025 WITH UNCERTAINTIES",$N$10,0)</f>
        <v>0</v>
      </c>
      <c r="O2577" s="1" t="str">
        <f>IFERROR(Table1[[#This Row],[Std Nom]]-(_xlfn.XLOOKUP(Table1[[#This Row],[Manufacturer]]&amp;" "&amp;Table1[[#This Row],[Model]],Table13[MFR &amp; MDL],Table13[Tolerance % CW ],"")/100*Table1[[#This Row],[Std Nom]]),"")</f>
        <v/>
      </c>
      <c r="P2577" s="1" t="str">
        <f>IFERROR(Table1[[#This Row],[Std Nom]]+(_xlfn.XLOOKUP(Table1[[#This Row],[Manufacturer]]&amp;" "&amp;Table1[[#This Row],[Model]],Table13[MFR &amp; MDL],Table13[Tolerance % CW ],"")/100*Table1[[#This Row],[Std Nom]]),"")</f>
        <v/>
      </c>
      <c r="Q2577" s="1" t="e">
        <f>Table1[[#This Row],[High Tol]]-Table1[[#This Row],[Low Tol]]</f>
        <v>#VALUE!</v>
      </c>
      <c r="R2577" s="1">
        <f>2*Table1[[#This Row],[Std Error]]</f>
        <v>0</v>
      </c>
      <c r="S2577" s="1" t="str">
        <f>IF(Table1[[#This Row],[High Tol]]="","N/A",IFERROR(ABS(Table1[[#This Row],[Tol Span]]/Table1[[#This Row],[Error Span]]),"N/A"))</f>
        <v>N/A</v>
      </c>
      <c r="T2577" s="1" t="str">
        <f>IF(OR(Table1[[#This Row],[Low Tol]]="",Table1[[#This Row],[High Tol]]=""),"Needs Analysis",IF(Table1[[#This Row],[Ratio]]&gt;=4,"Not Significant",IF(Table1[[#This Row],[Ratio]]&gt;=2,"Semi-Significant","Significant")))</f>
        <v>Needs Analysis</v>
      </c>
      <c r="W2577" s="1">
        <f>IF(Table1[[#This Row],[Cal Type]]&lt;&gt;"ACCREDITED 17025 WITH UNCERTAINTIES",0,"")</f>
        <v>0</v>
      </c>
      <c r="X2577" s="1" t="str">
        <f>IF(Table1[[#This Row],[DUT Read]]="","N/A",Table1[[#This Row],[Std Error]]+Table1[[#This Row],[DUT Read]]+Table1[[#This Row],[DUT Ucty]])</f>
        <v>N/A</v>
      </c>
      <c r="Y2577" s="1" t="str">
        <f>IF(Table1[[#This Row],[Std Read]]="","N/A",Table1[[#This Row],[Std Read]]+Table1[[#This Row],[Std Ucty]])</f>
        <v>N/A</v>
      </c>
      <c r="Z25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7" s="1" t="str">
        <f>IF(Table1[[#This Row],[Spec Type]]="","N/A",Table1[[#This Row],[Spec Type]])</f>
        <v>±</v>
      </c>
      <c r="AC2577" s="1" t="str">
        <f>IF(Table1[[#This Row],[Spec Type2]]="N/A","N/A",IF(AND(Table1[[#This Row],[DUT Adj Read]]&gt;=Table1[[#This Row],[Low Tol]],Table1[[#This Row],[DUT Adj Read]]&lt;=Table1[[#This Row],[High Tol]]),"Pass","Fail"))</f>
        <v>Fail</v>
      </c>
      <c r="AD2577" s="1" t="str">
        <f>IF(AND(Table1[[#This Row],[Spec Type2]]="N/A",Table1[[#This Row],[DUT Adj Read]]="N/A",Table1[[#This Row],[Std Adj Read]]="N/A"),"N/A",IF(Table1[[#This Row],[DUT Adj Read]]="N/A",IF(Table1[[#This Row],[Std Adj Read]]&gt;Table1[[#This Row],[Low Tol]],"Pass","Fail"),IF(Table1[[#This Row],[DUT Adj Read]]&gt;Table1[[#This Row],[Low Tol]],"Pass","Fail")))</f>
        <v>Pass</v>
      </c>
      <c r="AE2577" s="1" t="str">
        <f>IF(AND(Table1[[#This Row],[Spec Type2]]="N/A",Table1[[#This Row],[DUT Adj Read]]="N/A",Table1[[#This Row],[Std Adj Read]]="N/A"),"N/A",IF(Table1[[#This Row],[DUT Adj Read]]="N/A",IF(Table1[[#This Row],[Std Adj Read]]&lt;Table1[[#This Row],[High Tol]],"Pass","Fail"),IF(Table1[[#This Row],[DUT Adj Read]]&lt;Table1[[#This Row],[High Tol]],"Pass","Fail")))</f>
        <v>Fail</v>
      </c>
      <c r="AF2577" s="1" t="str">
        <f>IF(AND(Table1[[#This Row],[Spec Type2]]="N/A",Table1[[#This Row],[DUT Adj Read]]="N/A",Table1[[#This Row],[Std Adj Read]]="N/A"),"N/A",IF(Table1[[#This Row],[DUT Adj Read]]="N/A",IF(Table1[[#This Row],[Std Adj Read]]&gt;=Table1[[#This Row],[Low Tol]],"Pass","Fail"),IF(Table1[[#This Row],[DUT Adj Read]]&gt;=Table1[[#This Row],[Low Tol]],"Pass","Fail")))</f>
        <v>Pass</v>
      </c>
      <c r="AG2577" s="1" t="str">
        <f>IF(AND(Table1[[#This Row],[Spec Type2]]="N/A",Table1[[#This Row],[DUT Adj Read]]="N/A",Table1[[#This Row],[Std Adj Read]]="N/A"),"N/A",IF(Table1[[#This Row],[DUT Adj Read]]="N/A",IF(Table1[[#This Row],[Std Adj Read]]&lt;=Table1[[#This Row],[High Tol]],"Pass","Fail"),IF(Table1[[#This Row],[DUT Adj Read]]&lt;=Table1[[#This Row],[High Tol]],"Pass","Fail")))</f>
        <v>Fail</v>
      </c>
      <c r="AH25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7" s="1" t="b">
        <v>0</v>
      </c>
      <c r="AN2577" s="1" t="b">
        <v>0</v>
      </c>
      <c r="AO2577" s="1" t="b">
        <v>0</v>
      </c>
    </row>
    <row r="2578" spans="1:41" x14ac:dyDescent="0.25">
      <c r="A2578" s="10"/>
      <c r="B2578" s="10"/>
      <c r="C2578" s="10"/>
      <c r="D2578" s="10"/>
      <c r="E2578" s="10"/>
      <c r="F2578" s="10"/>
      <c r="G2578" s="10"/>
      <c r="H2578" s="10"/>
      <c r="I2578" s="1" t="str">
        <f t="shared" si="120"/>
        <v/>
      </c>
      <c r="J2578" s="1" t="s">
        <v>35</v>
      </c>
      <c r="K2578" s="1" t="str">
        <f t="shared" si="121"/>
        <v/>
      </c>
      <c r="L2578" s="1" t="str">
        <f t="shared" si="122"/>
        <v/>
      </c>
      <c r="M2578" s="1">
        <f>IF(OR(Table1[[#This Row],[Std Nom]]="",Table1[[#This Row],[Std Read]]=""),0,Table1[[#This Row],[Std Nom]]-Table1[[#This Row],[Std Read]])</f>
        <v>0</v>
      </c>
      <c r="N2578" s="1">
        <f>IF(Calculations!$F$5="ACCREDITED 17025 WITH UNCERTAINTIES",$N$10,0)</f>
        <v>0</v>
      </c>
      <c r="O2578" s="1" t="str">
        <f>IFERROR(Table1[[#This Row],[Std Nom]]-(_xlfn.XLOOKUP(Table1[[#This Row],[Manufacturer]]&amp;" "&amp;Table1[[#This Row],[Model]],Table13[MFR &amp; MDL],Table13[Tolerance % CW ],"")/100*Table1[[#This Row],[Std Nom]]),"")</f>
        <v/>
      </c>
      <c r="P2578" s="1" t="str">
        <f>IFERROR(Table1[[#This Row],[Std Nom]]+(_xlfn.XLOOKUP(Table1[[#This Row],[Manufacturer]]&amp;" "&amp;Table1[[#This Row],[Model]],Table13[MFR &amp; MDL],Table13[Tolerance % CW ],"")/100*Table1[[#This Row],[Std Nom]]),"")</f>
        <v/>
      </c>
      <c r="Q2578" s="1" t="e">
        <f>Table1[[#This Row],[High Tol]]-Table1[[#This Row],[Low Tol]]</f>
        <v>#VALUE!</v>
      </c>
      <c r="R2578" s="1">
        <f>2*Table1[[#This Row],[Std Error]]</f>
        <v>0</v>
      </c>
      <c r="S2578" s="1" t="str">
        <f>IF(Table1[[#This Row],[High Tol]]="","N/A",IFERROR(ABS(Table1[[#This Row],[Tol Span]]/Table1[[#This Row],[Error Span]]),"N/A"))</f>
        <v>N/A</v>
      </c>
      <c r="T2578" s="1" t="str">
        <f>IF(OR(Table1[[#This Row],[Low Tol]]="",Table1[[#This Row],[High Tol]]=""),"Needs Analysis",IF(Table1[[#This Row],[Ratio]]&gt;=4,"Not Significant",IF(Table1[[#This Row],[Ratio]]&gt;=2,"Semi-Significant","Significant")))</f>
        <v>Needs Analysis</v>
      </c>
      <c r="W2578" s="1">
        <f>IF(Table1[[#This Row],[Cal Type]]&lt;&gt;"ACCREDITED 17025 WITH UNCERTAINTIES",0,"")</f>
        <v>0</v>
      </c>
      <c r="X2578" s="1" t="str">
        <f>IF(Table1[[#This Row],[DUT Read]]="","N/A",Table1[[#This Row],[Std Error]]+Table1[[#This Row],[DUT Read]]+Table1[[#This Row],[DUT Ucty]])</f>
        <v>N/A</v>
      </c>
      <c r="Y2578" s="1" t="str">
        <f>IF(Table1[[#This Row],[Std Read]]="","N/A",Table1[[#This Row],[Std Read]]+Table1[[#This Row],[Std Ucty]])</f>
        <v>N/A</v>
      </c>
      <c r="Z25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8" s="1" t="str">
        <f>IF(Table1[[#This Row],[Spec Type]]="","N/A",Table1[[#This Row],[Spec Type]])</f>
        <v>±</v>
      </c>
      <c r="AC2578" s="1" t="str">
        <f>IF(Table1[[#This Row],[Spec Type2]]="N/A","N/A",IF(AND(Table1[[#This Row],[DUT Adj Read]]&gt;=Table1[[#This Row],[Low Tol]],Table1[[#This Row],[DUT Adj Read]]&lt;=Table1[[#This Row],[High Tol]]),"Pass","Fail"))</f>
        <v>Fail</v>
      </c>
      <c r="AD2578" s="1" t="str">
        <f>IF(AND(Table1[[#This Row],[Spec Type2]]="N/A",Table1[[#This Row],[DUT Adj Read]]="N/A",Table1[[#This Row],[Std Adj Read]]="N/A"),"N/A",IF(Table1[[#This Row],[DUT Adj Read]]="N/A",IF(Table1[[#This Row],[Std Adj Read]]&gt;Table1[[#This Row],[Low Tol]],"Pass","Fail"),IF(Table1[[#This Row],[DUT Adj Read]]&gt;Table1[[#This Row],[Low Tol]],"Pass","Fail")))</f>
        <v>Pass</v>
      </c>
      <c r="AE2578" s="1" t="str">
        <f>IF(AND(Table1[[#This Row],[Spec Type2]]="N/A",Table1[[#This Row],[DUT Adj Read]]="N/A",Table1[[#This Row],[Std Adj Read]]="N/A"),"N/A",IF(Table1[[#This Row],[DUT Adj Read]]="N/A",IF(Table1[[#This Row],[Std Adj Read]]&lt;Table1[[#This Row],[High Tol]],"Pass","Fail"),IF(Table1[[#This Row],[DUT Adj Read]]&lt;Table1[[#This Row],[High Tol]],"Pass","Fail")))</f>
        <v>Fail</v>
      </c>
      <c r="AF2578" s="1" t="str">
        <f>IF(AND(Table1[[#This Row],[Spec Type2]]="N/A",Table1[[#This Row],[DUT Adj Read]]="N/A",Table1[[#This Row],[Std Adj Read]]="N/A"),"N/A",IF(Table1[[#This Row],[DUT Adj Read]]="N/A",IF(Table1[[#This Row],[Std Adj Read]]&gt;=Table1[[#This Row],[Low Tol]],"Pass","Fail"),IF(Table1[[#This Row],[DUT Adj Read]]&gt;=Table1[[#This Row],[Low Tol]],"Pass","Fail")))</f>
        <v>Pass</v>
      </c>
      <c r="AG2578" s="1" t="str">
        <f>IF(AND(Table1[[#This Row],[Spec Type2]]="N/A",Table1[[#This Row],[DUT Adj Read]]="N/A",Table1[[#This Row],[Std Adj Read]]="N/A"),"N/A",IF(Table1[[#This Row],[DUT Adj Read]]="N/A",IF(Table1[[#This Row],[Std Adj Read]]&lt;=Table1[[#This Row],[High Tol]],"Pass","Fail"),IF(Table1[[#This Row],[DUT Adj Read]]&lt;=Table1[[#This Row],[High Tol]],"Pass","Fail")))</f>
        <v>Fail</v>
      </c>
      <c r="AH25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8" s="1" t="b">
        <v>0</v>
      </c>
      <c r="AN2578" s="1" t="b">
        <v>0</v>
      </c>
      <c r="AO2578" s="1" t="b">
        <v>0</v>
      </c>
    </row>
    <row r="2579" spans="1:41" x14ac:dyDescent="0.25">
      <c r="A2579" s="10"/>
      <c r="B2579" s="10"/>
      <c r="C2579" s="10"/>
      <c r="D2579" s="10"/>
      <c r="E2579" s="10"/>
      <c r="F2579" s="10"/>
      <c r="G2579" s="10"/>
      <c r="H2579" s="10"/>
      <c r="I2579" s="1" t="str">
        <f t="shared" si="120"/>
        <v/>
      </c>
      <c r="J2579" s="1" t="s">
        <v>35</v>
      </c>
      <c r="K2579" s="1" t="str">
        <f t="shared" si="121"/>
        <v/>
      </c>
      <c r="L2579" s="1" t="str">
        <f t="shared" si="122"/>
        <v/>
      </c>
      <c r="M2579" s="1">
        <f>IF(OR(Table1[[#This Row],[Std Nom]]="",Table1[[#This Row],[Std Read]]=""),0,Table1[[#This Row],[Std Nom]]-Table1[[#This Row],[Std Read]])</f>
        <v>0</v>
      </c>
      <c r="N2579" s="1">
        <f>IF(Calculations!$F$5="ACCREDITED 17025 WITH UNCERTAINTIES",$N$10,0)</f>
        <v>0</v>
      </c>
      <c r="O2579" s="1" t="str">
        <f>IFERROR(Table1[[#This Row],[Std Nom]]-(_xlfn.XLOOKUP(Table1[[#This Row],[Manufacturer]]&amp;" "&amp;Table1[[#This Row],[Model]],Table13[MFR &amp; MDL],Table13[Tolerance % CW ],"")/100*Table1[[#This Row],[Std Nom]]),"")</f>
        <v/>
      </c>
      <c r="P2579" s="1" t="str">
        <f>IFERROR(Table1[[#This Row],[Std Nom]]+(_xlfn.XLOOKUP(Table1[[#This Row],[Manufacturer]]&amp;" "&amp;Table1[[#This Row],[Model]],Table13[MFR &amp; MDL],Table13[Tolerance % CW ],"")/100*Table1[[#This Row],[Std Nom]]),"")</f>
        <v/>
      </c>
      <c r="Q2579" s="1" t="e">
        <f>Table1[[#This Row],[High Tol]]-Table1[[#This Row],[Low Tol]]</f>
        <v>#VALUE!</v>
      </c>
      <c r="R2579" s="1">
        <f>2*Table1[[#This Row],[Std Error]]</f>
        <v>0</v>
      </c>
      <c r="S2579" s="1" t="str">
        <f>IF(Table1[[#This Row],[High Tol]]="","N/A",IFERROR(ABS(Table1[[#This Row],[Tol Span]]/Table1[[#This Row],[Error Span]]),"N/A"))</f>
        <v>N/A</v>
      </c>
      <c r="T2579" s="1" t="str">
        <f>IF(OR(Table1[[#This Row],[Low Tol]]="",Table1[[#This Row],[High Tol]]=""),"Needs Analysis",IF(Table1[[#This Row],[Ratio]]&gt;=4,"Not Significant",IF(Table1[[#This Row],[Ratio]]&gt;=2,"Semi-Significant","Significant")))</f>
        <v>Needs Analysis</v>
      </c>
      <c r="W2579" s="1">
        <f>IF(Table1[[#This Row],[Cal Type]]&lt;&gt;"ACCREDITED 17025 WITH UNCERTAINTIES",0,"")</f>
        <v>0</v>
      </c>
      <c r="X2579" s="1" t="str">
        <f>IF(Table1[[#This Row],[DUT Read]]="","N/A",Table1[[#This Row],[Std Error]]+Table1[[#This Row],[DUT Read]]+Table1[[#This Row],[DUT Ucty]])</f>
        <v>N/A</v>
      </c>
      <c r="Y2579" s="1" t="str">
        <f>IF(Table1[[#This Row],[Std Read]]="","N/A",Table1[[#This Row],[Std Read]]+Table1[[#This Row],[Std Ucty]])</f>
        <v>N/A</v>
      </c>
      <c r="Z25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9" s="1" t="str">
        <f>IF(Table1[[#This Row],[Spec Type]]="","N/A",Table1[[#This Row],[Spec Type]])</f>
        <v>±</v>
      </c>
      <c r="AC2579" s="1" t="str">
        <f>IF(Table1[[#This Row],[Spec Type2]]="N/A","N/A",IF(AND(Table1[[#This Row],[DUT Adj Read]]&gt;=Table1[[#This Row],[Low Tol]],Table1[[#This Row],[DUT Adj Read]]&lt;=Table1[[#This Row],[High Tol]]),"Pass","Fail"))</f>
        <v>Fail</v>
      </c>
      <c r="AD2579" s="1" t="str">
        <f>IF(AND(Table1[[#This Row],[Spec Type2]]="N/A",Table1[[#This Row],[DUT Adj Read]]="N/A",Table1[[#This Row],[Std Adj Read]]="N/A"),"N/A",IF(Table1[[#This Row],[DUT Adj Read]]="N/A",IF(Table1[[#This Row],[Std Adj Read]]&gt;Table1[[#This Row],[Low Tol]],"Pass","Fail"),IF(Table1[[#This Row],[DUT Adj Read]]&gt;Table1[[#This Row],[Low Tol]],"Pass","Fail")))</f>
        <v>Pass</v>
      </c>
      <c r="AE2579" s="1" t="str">
        <f>IF(AND(Table1[[#This Row],[Spec Type2]]="N/A",Table1[[#This Row],[DUT Adj Read]]="N/A",Table1[[#This Row],[Std Adj Read]]="N/A"),"N/A",IF(Table1[[#This Row],[DUT Adj Read]]="N/A",IF(Table1[[#This Row],[Std Adj Read]]&lt;Table1[[#This Row],[High Tol]],"Pass","Fail"),IF(Table1[[#This Row],[DUT Adj Read]]&lt;Table1[[#This Row],[High Tol]],"Pass","Fail")))</f>
        <v>Fail</v>
      </c>
      <c r="AF2579" s="1" t="str">
        <f>IF(AND(Table1[[#This Row],[Spec Type2]]="N/A",Table1[[#This Row],[DUT Adj Read]]="N/A",Table1[[#This Row],[Std Adj Read]]="N/A"),"N/A",IF(Table1[[#This Row],[DUT Adj Read]]="N/A",IF(Table1[[#This Row],[Std Adj Read]]&gt;=Table1[[#This Row],[Low Tol]],"Pass","Fail"),IF(Table1[[#This Row],[DUT Adj Read]]&gt;=Table1[[#This Row],[Low Tol]],"Pass","Fail")))</f>
        <v>Pass</v>
      </c>
      <c r="AG2579" s="1" t="str">
        <f>IF(AND(Table1[[#This Row],[Spec Type2]]="N/A",Table1[[#This Row],[DUT Adj Read]]="N/A",Table1[[#This Row],[Std Adj Read]]="N/A"),"N/A",IF(Table1[[#This Row],[DUT Adj Read]]="N/A",IF(Table1[[#This Row],[Std Adj Read]]&lt;=Table1[[#This Row],[High Tol]],"Pass","Fail"),IF(Table1[[#This Row],[DUT Adj Read]]&lt;=Table1[[#This Row],[High Tol]],"Pass","Fail")))</f>
        <v>Fail</v>
      </c>
      <c r="AH25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9" s="1" t="b">
        <v>0</v>
      </c>
      <c r="AN2579" s="1" t="b">
        <v>0</v>
      </c>
      <c r="AO2579" s="1" t="b">
        <v>0</v>
      </c>
    </row>
    <row r="2580" spans="1:41" x14ac:dyDescent="0.25">
      <c r="A2580" s="10"/>
      <c r="B2580" s="10"/>
      <c r="C2580" s="10"/>
      <c r="D2580" s="10"/>
      <c r="E2580" s="10"/>
      <c r="F2580" s="10"/>
      <c r="G2580" s="10"/>
      <c r="H2580" s="10"/>
      <c r="I2580" s="1" t="str">
        <f t="shared" si="120"/>
        <v/>
      </c>
      <c r="J2580" s="1" t="s">
        <v>35</v>
      </c>
      <c r="K2580" s="1" t="str">
        <f t="shared" si="121"/>
        <v/>
      </c>
      <c r="L2580" s="1" t="str">
        <f t="shared" si="122"/>
        <v/>
      </c>
      <c r="M2580" s="1">
        <f>IF(OR(Table1[[#This Row],[Std Nom]]="",Table1[[#This Row],[Std Read]]=""),0,Table1[[#This Row],[Std Nom]]-Table1[[#This Row],[Std Read]])</f>
        <v>0</v>
      </c>
      <c r="N2580" s="1">
        <f>IF(Calculations!$F$5="ACCREDITED 17025 WITH UNCERTAINTIES",$N$10,0)</f>
        <v>0</v>
      </c>
      <c r="O2580" s="1" t="str">
        <f>IFERROR(Table1[[#This Row],[Std Nom]]-(_xlfn.XLOOKUP(Table1[[#This Row],[Manufacturer]]&amp;" "&amp;Table1[[#This Row],[Model]],Table13[MFR &amp; MDL],Table13[Tolerance % CW ],"")/100*Table1[[#This Row],[Std Nom]]),"")</f>
        <v/>
      </c>
      <c r="P2580" s="1" t="str">
        <f>IFERROR(Table1[[#This Row],[Std Nom]]+(_xlfn.XLOOKUP(Table1[[#This Row],[Manufacturer]]&amp;" "&amp;Table1[[#This Row],[Model]],Table13[MFR &amp; MDL],Table13[Tolerance % CW ],"")/100*Table1[[#This Row],[Std Nom]]),"")</f>
        <v/>
      </c>
      <c r="Q2580" s="1" t="e">
        <f>Table1[[#This Row],[High Tol]]-Table1[[#This Row],[Low Tol]]</f>
        <v>#VALUE!</v>
      </c>
      <c r="R2580" s="1">
        <f>2*Table1[[#This Row],[Std Error]]</f>
        <v>0</v>
      </c>
      <c r="S2580" s="1" t="str">
        <f>IF(Table1[[#This Row],[High Tol]]="","N/A",IFERROR(ABS(Table1[[#This Row],[Tol Span]]/Table1[[#This Row],[Error Span]]),"N/A"))</f>
        <v>N/A</v>
      </c>
      <c r="T2580" s="1" t="str">
        <f>IF(OR(Table1[[#This Row],[Low Tol]]="",Table1[[#This Row],[High Tol]]=""),"Needs Analysis",IF(Table1[[#This Row],[Ratio]]&gt;=4,"Not Significant",IF(Table1[[#This Row],[Ratio]]&gt;=2,"Semi-Significant","Significant")))</f>
        <v>Needs Analysis</v>
      </c>
      <c r="W2580" s="1">
        <f>IF(Table1[[#This Row],[Cal Type]]&lt;&gt;"ACCREDITED 17025 WITH UNCERTAINTIES",0,"")</f>
        <v>0</v>
      </c>
      <c r="X2580" s="1" t="str">
        <f>IF(Table1[[#This Row],[DUT Read]]="","N/A",Table1[[#This Row],[Std Error]]+Table1[[#This Row],[DUT Read]]+Table1[[#This Row],[DUT Ucty]])</f>
        <v>N/A</v>
      </c>
      <c r="Y2580" s="1" t="str">
        <f>IF(Table1[[#This Row],[Std Read]]="","N/A",Table1[[#This Row],[Std Read]]+Table1[[#This Row],[Std Ucty]])</f>
        <v>N/A</v>
      </c>
      <c r="Z25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0" s="1" t="str">
        <f>IF(Table1[[#This Row],[Spec Type]]="","N/A",Table1[[#This Row],[Spec Type]])</f>
        <v>±</v>
      </c>
      <c r="AC2580" s="1" t="str">
        <f>IF(Table1[[#This Row],[Spec Type2]]="N/A","N/A",IF(AND(Table1[[#This Row],[DUT Adj Read]]&gt;=Table1[[#This Row],[Low Tol]],Table1[[#This Row],[DUT Adj Read]]&lt;=Table1[[#This Row],[High Tol]]),"Pass","Fail"))</f>
        <v>Fail</v>
      </c>
      <c r="AD2580" s="1" t="str">
        <f>IF(AND(Table1[[#This Row],[Spec Type2]]="N/A",Table1[[#This Row],[DUT Adj Read]]="N/A",Table1[[#This Row],[Std Adj Read]]="N/A"),"N/A",IF(Table1[[#This Row],[DUT Adj Read]]="N/A",IF(Table1[[#This Row],[Std Adj Read]]&gt;Table1[[#This Row],[Low Tol]],"Pass","Fail"),IF(Table1[[#This Row],[DUT Adj Read]]&gt;Table1[[#This Row],[Low Tol]],"Pass","Fail")))</f>
        <v>Pass</v>
      </c>
      <c r="AE2580" s="1" t="str">
        <f>IF(AND(Table1[[#This Row],[Spec Type2]]="N/A",Table1[[#This Row],[DUT Adj Read]]="N/A",Table1[[#This Row],[Std Adj Read]]="N/A"),"N/A",IF(Table1[[#This Row],[DUT Adj Read]]="N/A",IF(Table1[[#This Row],[Std Adj Read]]&lt;Table1[[#This Row],[High Tol]],"Pass","Fail"),IF(Table1[[#This Row],[DUT Adj Read]]&lt;Table1[[#This Row],[High Tol]],"Pass","Fail")))</f>
        <v>Fail</v>
      </c>
      <c r="AF2580" s="1" t="str">
        <f>IF(AND(Table1[[#This Row],[Spec Type2]]="N/A",Table1[[#This Row],[DUT Adj Read]]="N/A",Table1[[#This Row],[Std Adj Read]]="N/A"),"N/A",IF(Table1[[#This Row],[DUT Adj Read]]="N/A",IF(Table1[[#This Row],[Std Adj Read]]&gt;=Table1[[#This Row],[Low Tol]],"Pass","Fail"),IF(Table1[[#This Row],[DUT Adj Read]]&gt;=Table1[[#This Row],[Low Tol]],"Pass","Fail")))</f>
        <v>Pass</v>
      </c>
      <c r="AG2580" s="1" t="str">
        <f>IF(AND(Table1[[#This Row],[Spec Type2]]="N/A",Table1[[#This Row],[DUT Adj Read]]="N/A",Table1[[#This Row],[Std Adj Read]]="N/A"),"N/A",IF(Table1[[#This Row],[DUT Adj Read]]="N/A",IF(Table1[[#This Row],[Std Adj Read]]&lt;=Table1[[#This Row],[High Tol]],"Pass","Fail"),IF(Table1[[#This Row],[DUT Adj Read]]&lt;=Table1[[#This Row],[High Tol]],"Pass","Fail")))</f>
        <v>Fail</v>
      </c>
      <c r="AH25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0" s="1" t="b">
        <v>0</v>
      </c>
      <c r="AN2580" s="1" t="b">
        <v>0</v>
      </c>
      <c r="AO2580" s="1" t="b">
        <v>0</v>
      </c>
    </row>
    <row r="2581" spans="1:41" x14ac:dyDescent="0.25">
      <c r="A2581" s="10"/>
      <c r="B2581" s="10"/>
      <c r="C2581" s="10"/>
      <c r="D2581" s="10"/>
      <c r="E2581" s="10"/>
      <c r="F2581" s="10"/>
      <c r="G2581" s="10"/>
      <c r="H2581" s="10"/>
      <c r="I2581" s="1" t="str">
        <f t="shared" si="120"/>
        <v/>
      </c>
      <c r="J2581" s="1" t="s">
        <v>35</v>
      </c>
      <c r="K2581" s="1" t="str">
        <f t="shared" si="121"/>
        <v/>
      </c>
      <c r="L2581" s="1" t="str">
        <f t="shared" si="122"/>
        <v/>
      </c>
      <c r="M2581" s="1">
        <f>IF(OR(Table1[[#This Row],[Std Nom]]="",Table1[[#This Row],[Std Read]]=""),0,Table1[[#This Row],[Std Nom]]-Table1[[#This Row],[Std Read]])</f>
        <v>0</v>
      </c>
      <c r="N2581" s="1">
        <f>IF(Calculations!$F$5="ACCREDITED 17025 WITH UNCERTAINTIES",$N$10,0)</f>
        <v>0</v>
      </c>
      <c r="O2581" s="1" t="str">
        <f>IFERROR(Table1[[#This Row],[Std Nom]]-(_xlfn.XLOOKUP(Table1[[#This Row],[Manufacturer]]&amp;" "&amp;Table1[[#This Row],[Model]],Table13[MFR &amp; MDL],Table13[Tolerance % CW ],"")/100*Table1[[#This Row],[Std Nom]]),"")</f>
        <v/>
      </c>
      <c r="P2581" s="1" t="str">
        <f>IFERROR(Table1[[#This Row],[Std Nom]]+(_xlfn.XLOOKUP(Table1[[#This Row],[Manufacturer]]&amp;" "&amp;Table1[[#This Row],[Model]],Table13[MFR &amp; MDL],Table13[Tolerance % CW ],"")/100*Table1[[#This Row],[Std Nom]]),"")</f>
        <v/>
      </c>
      <c r="Q2581" s="1" t="e">
        <f>Table1[[#This Row],[High Tol]]-Table1[[#This Row],[Low Tol]]</f>
        <v>#VALUE!</v>
      </c>
      <c r="R2581" s="1">
        <f>2*Table1[[#This Row],[Std Error]]</f>
        <v>0</v>
      </c>
      <c r="S2581" s="1" t="str">
        <f>IF(Table1[[#This Row],[High Tol]]="","N/A",IFERROR(ABS(Table1[[#This Row],[Tol Span]]/Table1[[#This Row],[Error Span]]),"N/A"))</f>
        <v>N/A</v>
      </c>
      <c r="T2581" s="1" t="str">
        <f>IF(OR(Table1[[#This Row],[Low Tol]]="",Table1[[#This Row],[High Tol]]=""),"Needs Analysis",IF(Table1[[#This Row],[Ratio]]&gt;=4,"Not Significant",IF(Table1[[#This Row],[Ratio]]&gt;=2,"Semi-Significant","Significant")))</f>
        <v>Needs Analysis</v>
      </c>
      <c r="W2581" s="1">
        <f>IF(Table1[[#This Row],[Cal Type]]&lt;&gt;"ACCREDITED 17025 WITH UNCERTAINTIES",0,"")</f>
        <v>0</v>
      </c>
      <c r="X2581" s="1" t="str">
        <f>IF(Table1[[#This Row],[DUT Read]]="","N/A",Table1[[#This Row],[Std Error]]+Table1[[#This Row],[DUT Read]]+Table1[[#This Row],[DUT Ucty]])</f>
        <v>N/A</v>
      </c>
      <c r="Y2581" s="1" t="str">
        <f>IF(Table1[[#This Row],[Std Read]]="","N/A",Table1[[#This Row],[Std Read]]+Table1[[#This Row],[Std Ucty]])</f>
        <v>N/A</v>
      </c>
      <c r="Z25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1" s="1" t="str">
        <f>IF(Table1[[#This Row],[Spec Type]]="","N/A",Table1[[#This Row],[Spec Type]])</f>
        <v>±</v>
      </c>
      <c r="AC2581" s="1" t="str">
        <f>IF(Table1[[#This Row],[Spec Type2]]="N/A","N/A",IF(AND(Table1[[#This Row],[DUT Adj Read]]&gt;=Table1[[#This Row],[Low Tol]],Table1[[#This Row],[DUT Adj Read]]&lt;=Table1[[#This Row],[High Tol]]),"Pass","Fail"))</f>
        <v>Fail</v>
      </c>
      <c r="AD2581" s="1" t="str">
        <f>IF(AND(Table1[[#This Row],[Spec Type2]]="N/A",Table1[[#This Row],[DUT Adj Read]]="N/A",Table1[[#This Row],[Std Adj Read]]="N/A"),"N/A",IF(Table1[[#This Row],[DUT Adj Read]]="N/A",IF(Table1[[#This Row],[Std Adj Read]]&gt;Table1[[#This Row],[Low Tol]],"Pass","Fail"),IF(Table1[[#This Row],[DUT Adj Read]]&gt;Table1[[#This Row],[Low Tol]],"Pass","Fail")))</f>
        <v>Pass</v>
      </c>
      <c r="AE2581" s="1" t="str">
        <f>IF(AND(Table1[[#This Row],[Spec Type2]]="N/A",Table1[[#This Row],[DUT Adj Read]]="N/A",Table1[[#This Row],[Std Adj Read]]="N/A"),"N/A",IF(Table1[[#This Row],[DUT Adj Read]]="N/A",IF(Table1[[#This Row],[Std Adj Read]]&lt;Table1[[#This Row],[High Tol]],"Pass","Fail"),IF(Table1[[#This Row],[DUT Adj Read]]&lt;Table1[[#This Row],[High Tol]],"Pass","Fail")))</f>
        <v>Fail</v>
      </c>
      <c r="AF2581" s="1" t="str">
        <f>IF(AND(Table1[[#This Row],[Spec Type2]]="N/A",Table1[[#This Row],[DUT Adj Read]]="N/A",Table1[[#This Row],[Std Adj Read]]="N/A"),"N/A",IF(Table1[[#This Row],[DUT Adj Read]]="N/A",IF(Table1[[#This Row],[Std Adj Read]]&gt;=Table1[[#This Row],[Low Tol]],"Pass","Fail"),IF(Table1[[#This Row],[DUT Adj Read]]&gt;=Table1[[#This Row],[Low Tol]],"Pass","Fail")))</f>
        <v>Pass</v>
      </c>
      <c r="AG2581" s="1" t="str">
        <f>IF(AND(Table1[[#This Row],[Spec Type2]]="N/A",Table1[[#This Row],[DUT Adj Read]]="N/A",Table1[[#This Row],[Std Adj Read]]="N/A"),"N/A",IF(Table1[[#This Row],[DUT Adj Read]]="N/A",IF(Table1[[#This Row],[Std Adj Read]]&lt;=Table1[[#This Row],[High Tol]],"Pass","Fail"),IF(Table1[[#This Row],[DUT Adj Read]]&lt;=Table1[[#This Row],[High Tol]],"Pass","Fail")))</f>
        <v>Fail</v>
      </c>
      <c r="AH25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1" s="1" t="b">
        <v>0</v>
      </c>
      <c r="AN2581" s="1" t="b">
        <v>0</v>
      </c>
      <c r="AO2581" s="1" t="b">
        <v>0</v>
      </c>
    </row>
    <row r="2582" spans="1:41" x14ac:dyDescent="0.25">
      <c r="A2582" s="10"/>
      <c r="B2582" s="10"/>
      <c r="C2582" s="10"/>
      <c r="D2582" s="10"/>
      <c r="E2582" s="10"/>
      <c r="F2582" s="10"/>
      <c r="G2582" s="10"/>
      <c r="H2582" s="10"/>
      <c r="I2582" s="1" t="str">
        <f t="shared" si="120"/>
        <v/>
      </c>
      <c r="J2582" s="1" t="s">
        <v>35</v>
      </c>
      <c r="K2582" s="1" t="str">
        <f t="shared" si="121"/>
        <v/>
      </c>
      <c r="L2582" s="1" t="str">
        <f t="shared" si="122"/>
        <v/>
      </c>
      <c r="M2582" s="1">
        <f>IF(OR(Table1[[#This Row],[Std Nom]]="",Table1[[#This Row],[Std Read]]=""),0,Table1[[#This Row],[Std Nom]]-Table1[[#This Row],[Std Read]])</f>
        <v>0</v>
      </c>
      <c r="N2582" s="1">
        <f>IF(Calculations!$F$5="ACCREDITED 17025 WITH UNCERTAINTIES",$N$10,0)</f>
        <v>0</v>
      </c>
      <c r="O2582" s="1" t="str">
        <f>IFERROR(Table1[[#This Row],[Std Nom]]-(_xlfn.XLOOKUP(Table1[[#This Row],[Manufacturer]]&amp;" "&amp;Table1[[#This Row],[Model]],Table13[MFR &amp; MDL],Table13[Tolerance % CW ],"")/100*Table1[[#This Row],[Std Nom]]),"")</f>
        <v/>
      </c>
      <c r="P2582" s="1" t="str">
        <f>IFERROR(Table1[[#This Row],[Std Nom]]+(_xlfn.XLOOKUP(Table1[[#This Row],[Manufacturer]]&amp;" "&amp;Table1[[#This Row],[Model]],Table13[MFR &amp; MDL],Table13[Tolerance % CW ],"")/100*Table1[[#This Row],[Std Nom]]),"")</f>
        <v/>
      </c>
      <c r="Q2582" s="1" t="e">
        <f>Table1[[#This Row],[High Tol]]-Table1[[#This Row],[Low Tol]]</f>
        <v>#VALUE!</v>
      </c>
      <c r="R2582" s="1">
        <f>2*Table1[[#This Row],[Std Error]]</f>
        <v>0</v>
      </c>
      <c r="S2582" s="1" t="str">
        <f>IF(Table1[[#This Row],[High Tol]]="","N/A",IFERROR(ABS(Table1[[#This Row],[Tol Span]]/Table1[[#This Row],[Error Span]]),"N/A"))</f>
        <v>N/A</v>
      </c>
      <c r="T2582" s="1" t="str">
        <f>IF(OR(Table1[[#This Row],[Low Tol]]="",Table1[[#This Row],[High Tol]]=""),"Needs Analysis",IF(Table1[[#This Row],[Ratio]]&gt;=4,"Not Significant",IF(Table1[[#This Row],[Ratio]]&gt;=2,"Semi-Significant","Significant")))</f>
        <v>Needs Analysis</v>
      </c>
      <c r="W2582" s="1">
        <f>IF(Table1[[#This Row],[Cal Type]]&lt;&gt;"ACCREDITED 17025 WITH UNCERTAINTIES",0,"")</f>
        <v>0</v>
      </c>
      <c r="X2582" s="1" t="str">
        <f>IF(Table1[[#This Row],[DUT Read]]="","N/A",Table1[[#This Row],[Std Error]]+Table1[[#This Row],[DUT Read]]+Table1[[#This Row],[DUT Ucty]])</f>
        <v>N/A</v>
      </c>
      <c r="Y2582" s="1" t="str">
        <f>IF(Table1[[#This Row],[Std Read]]="","N/A",Table1[[#This Row],[Std Read]]+Table1[[#This Row],[Std Ucty]])</f>
        <v>N/A</v>
      </c>
      <c r="Z25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2" s="1" t="str">
        <f>IF(Table1[[#This Row],[Spec Type]]="","N/A",Table1[[#This Row],[Spec Type]])</f>
        <v>±</v>
      </c>
      <c r="AC2582" s="1" t="str">
        <f>IF(Table1[[#This Row],[Spec Type2]]="N/A","N/A",IF(AND(Table1[[#This Row],[DUT Adj Read]]&gt;=Table1[[#This Row],[Low Tol]],Table1[[#This Row],[DUT Adj Read]]&lt;=Table1[[#This Row],[High Tol]]),"Pass","Fail"))</f>
        <v>Fail</v>
      </c>
      <c r="AD2582" s="1" t="str">
        <f>IF(AND(Table1[[#This Row],[Spec Type2]]="N/A",Table1[[#This Row],[DUT Adj Read]]="N/A",Table1[[#This Row],[Std Adj Read]]="N/A"),"N/A",IF(Table1[[#This Row],[DUT Adj Read]]="N/A",IF(Table1[[#This Row],[Std Adj Read]]&gt;Table1[[#This Row],[Low Tol]],"Pass","Fail"),IF(Table1[[#This Row],[DUT Adj Read]]&gt;Table1[[#This Row],[Low Tol]],"Pass","Fail")))</f>
        <v>Pass</v>
      </c>
      <c r="AE2582" s="1" t="str">
        <f>IF(AND(Table1[[#This Row],[Spec Type2]]="N/A",Table1[[#This Row],[DUT Adj Read]]="N/A",Table1[[#This Row],[Std Adj Read]]="N/A"),"N/A",IF(Table1[[#This Row],[DUT Adj Read]]="N/A",IF(Table1[[#This Row],[Std Adj Read]]&lt;Table1[[#This Row],[High Tol]],"Pass","Fail"),IF(Table1[[#This Row],[DUT Adj Read]]&lt;Table1[[#This Row],[High Tol]],"Pass","Fail")))</f>
        <v>Fail</v>
      </c>
      <c r="AF2582" s="1" t="str">
        <f>IF(AND(Table1[[#This Row],[Spec Type2]]="N/A",Table1[[#This Row],[DUT Adj Read]]="N/A",Table1[[#This Row],[Std Adj Read]]="N/A"),"N/A",IF(Table1[[#This Row],[DUT Adj Read]]="N/A",IF(Table1[[#This Row],[Std Adj Read]]&gt;=Table1[[#This Row],[Low Tol]],"Pass","Fail"),IF(Table1[[#This Row],[DUT Adj Read]]&gt;=Table1[[#This Row],[Low Tol]],"Pass","Fail")))</f>
        <v>Pass</v>
      </c>
      <c r="AG2582" s="1" t="str">
        <f>IF(AND(Table1[[#This Row],[Spec Type2]]="N/A",Table1[[#This Row],[DUT Adj Read]]="N/A",Table1[[#This Row],[Std Adj Read]]="N/A"),"N/A",IF(Table1[[#This Row],[DUT Adj Read]]="N/A",IF(Table1[[#This Row],[Std Adj Read]]&lt;=Table1[[#This Row],[High Tol]],"Pass","Fail"),IF(Table1[[#This Row],[DUT Adj Read]]&lt;=Table1[[#This Row],[High Tol]],"Pass","Fail")))</f>
        <v>Fail</v>
      </c>
      <c r="AH25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2" s="1" t="b">
        <v>0</v>
      </c>
      <c r="AN2582" s="1" t="b">
        <v>0</v>
      </c>
      <c r="AO2582" s="1" t="b">
        <v>0</v>
      </c>
    </row>
    <row r="2583" spans="1:41" x14ac:dyDescent="0.25">
      <c r="A2583" s="10"/>
      <c r="B2583" s="10"/>
      <c r="C2583" s="10"/>
      <c r="D2583" s="10"/>
      <c r="E2583" s="10"/>
      <c r="F2583" s="10"/>
      <c r="G2583" s="10"/>
      <c r="H2583" s="10"/>
      <c r="I2583" s="1" t="str">
        <f t="shared" si="120"/>
        <v/>
      </c>
      <c r="J2583" s="1" t="s">
        <v>35</v>
      </c>
      <c r="K2583" s="1" t="str">
        <f t="shared" si="121"/>
        <v/>
      </c>
      <c r="L2583" s="1" t="str">
        <f t="shared" si="122"/>
        <v/>
      </c>
      <c r="M2583" s="1">
        <f>IF(OR(Table1[[#This Row],[Std Nom]]="",Table1[[#This Row],[Std Read]]=""),0,Table1[[#This Row],[Std Nom]]-Table1[[#This Row],[Std Read]])</f>
        <v>0</v>
      </c>
      <c r="N2583" s="1">
        <f>IF(Calculations!$F$5="ACCREDITED 17025 WITH UNCERTAINTIES",$N$10,0)</f>
        <v>0</v>
      </c>
      <c r="O2583" s="1" t="str">
        <f>IFERROR(Table1[[#This Row],[Std Nom]]-(_xlfn.XLOOKUP(Table1[[#This Row],[Manufacturer]]&amp;" "&amp;Table1[[#This Row],[Model]],Table13[MFR &amp; MDL],Table13[Tolerance % CW ],"")/100*Table1[[#This Row],[Std Nom]]),"")</f>
        <v/>
      </c>
      <c r="P2583" s="1" t="str">
        <f>IFERROR(Table1[[#This Row],[Std Nom]]+(_xlfn.XLOOKUP(Table1[[#This Row],[Manufacturer]]&amp;" "&amp;Table1[[#This Row],[Model]],Table13[MFR &amp; MDL],Table13[Tolerance % CW ],"")/100*Table1[[#This Row],[Std Nom]]),"")</f>
        <v/>
      </c>
      <c r="Q2583" s="1" t="e">
        <f>Table1[[#This Row],[High Tol]]-Table1[[#This Row],[Low Tol]]</f>
        <v>#VALUE!</v>
      </c>
      <c r="R2583" s="1">
        <f>2*Table1[[#This Row],[Std Error]]</f>
        <v>0</v>
      </c>
      <c r="S2583" s="1" t="str">
        <f>IF(Table1[[#This Row],[High Tol]]="","N/A",IFERROR(ABS(Table1[[#This Row],[Tol Span]]/Table1[[#This Row],[Error Span]]),"N/A"))</f>
        <v>N/A</v>
      </c>
      <c r="T2583" s="1" t="str">
        <f>IF(OR(Table1[[#This Row],[Low Tol]]="",Table1[[#This Row],[High Tol]]=""),"Needs Analysis",IF(Table1[[#This Row],[Ratio]]&gt;=4,"Not Significant",IF(Table1[[#This Row],[Ratio]]&gt;=2,"Semi-Significant","Significant")))</f>
        <v>Needs Analysis</v>
      </c>
      <c r="W2583" s="1">
        <f>IF(Table1[[#This Row],[Cal Type]]&lt;&gt;"ACCREDITED 17025 WITH UNCERTAINTIES",0,"")</f>
        <v>0</v>
      </c>
      <c r="X2583" s="1" t="str">
        <f>IF(Table1[[#This Row],[DUT Read]]="","N/A",Table1[[#This Row],[Std Error]]+Table1[[#This Row],[DUT Read]]+Table1[[#This Row],[DUT Ucty]])</f>
        <v>N/A</v>
      </c>
      <c r="Y2583" s="1" t="str">
        <f>IF(Table1[[#This Row],[Std Read]]="","N/A",Table1[[#This Row],[Std Read]]+Table1[[#This Row],[Std Ucty]])</f>
        <v>N/A</v>
      </c>
      <c r="Z25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3" s="1" t="str">
        <f>IF(Table1[[#This Row],[Spec Type]]="","N/A",Table1[[#This Row],[Spec Type]])</f>
        <v>±</v>
      </c>
      <c r="AC2583" s="1" t="str">
        <f>IF(Table1[[#This Row],[Spec Type2]]="N/A","N/A",IF(AND(Table1[[#This Row],[DUT Adj Read]]&gt;=Table1[[#This Row],[Low Tol]],Table1[[#This Row],[DUT Adj Read]]&lt;=Table1[[#This Row],[High Tol]]),"Pass","Fail"))</f>
        <v>Fail</v>
      </c>
      <c r="AD2583" s="1" t="str">
        <f>IF(AND(Table1[[#This Row],[Spec Type2]]="N/A",Table1[[#This Row],[DUT Adj Read]]="N/A",Table1[[#This Row],[Std Adj Read]]="N/A"),"N/A",IF(Table1[[#This Row],[DUT Adj Read]]="N/A",IF(Table1[[#This Row],[Std Adj Read]]&gt;Table1[[#This Row],[Low Tol]],"Pass","Fail"),IF(Table1[[#This Row],[DUT Adj Read]]&gt;Table1[[#This Row],[Low Tol]],"Pass","Fail")))</f>
        <v>Pass</v>
      </c>
      <c r="AE2583" s="1" t="str">
        <f>IF(AND(Table1[[#This Row],[Spec Type2]]="N/A",Table1[[#This Row],[DUT Adj Read]]="N/A",Table1[[#This Row],[Std Adj Read]]="N/A"),"N/A",IF(Table1[[#This Row],[DUT Adj Read]]="N/A",IF(Table1[[#This Row],[Std Adj Read]]&lt;Table1[[#This Row],[High Tol]],"Pass","Fail"),IF(Table1[[#This Row],[DUT Adj Read]]&lt;Table1[[#This Row],[High Tol]],"Pass","Fail")))</f>
        <v>Fail</v>
      </c>
      <c r="AF2583" s="1" t="str">
        <f>IF(AND(Table1[[#This Row],[Spec Type2]]="N/A",Table1[[#This Row],[DUT Adj Read]]="N/A",Table1[[#This Row],[Std Adj Read]]="N/A"),"N/A",IF(Table1[[#This Row],[DUT Adj Read]]="N/A",IF(Table1[[#This Row],[Std Adj Read]]&gt;=Table1[[#This Row],[Low Tol]],"Pass","Fail"),IF(Table1[[#This Row],[DUT Adj Read]]&gt;=Table1[[#This Row],[Low Tol]],"Pass","Fail")))</f>
        <v>Pass</v>
      </c>
      <c r="AG2583" s="1" t="str">
        <f>IF(AND(Table1[[#This Row],[Spec Type2]]="N/A",Table1[[#This Row],[DUT Adj Read]]="N/A",Table1[[#This Row],[Std Adj Read]]="N/A"),"N/A",IF(Table1[[#This Row],[DUT Adj Read]]="N/A",IF(Table1[[#This Row],[Std Adj Read]]&lt;=Table1[[#This Row],[High Tol]],"Pass","Fail"),IF(Table1[[#This Row],[DUT Adj Read]]&lt;=Table1[[#This Row],[High Tol]],"Pass","Fail")))</f>
        <v>Fail</v>
      </c>
      <c r="AH25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3" s="1" t="b">
        <v>0</v>
      </c>
      <c r="AN2583" s="1" t="b">
        <v>0</v>
      </c>
      <c r="AO2583" s="1" t="b">
        <v>0</v>
      </c>
    </row>
    <row r="2584" spans="1:41" x14ac:dyDescent="0.25">
      <c r="A2584" s="10"/>
      <c r="B2584" s="10"/>
      <c r="C2584" s="10"/>
      <c r="D2584" s="10"/>
      <c r="E2584" s="10"/>
      <c r="F2584" s="10"/>
      <c r="G2584" s="10"/>
      <c r="H2584" s="10"/>
      <c r="I2584" s="1" t="str">
        <f t="shared" si="120"/>
        <v/>
      </c>
      <c r="J2584" s="1" t="s">
        <v>35</v>
      </c>
      <c r="K2584" s="1" t="str">
        <f t="shared" si="121"/>
        <v/>
      </c>
      <c r="L2584" s="1" t="str">
        <f t="shared" si="122"/>
        <v/>
      </c>
      <c r="M2584" s="1">
        <f>IF(OR(Table1[[#This Row],[Std Nom]]="",Table1[[#This Row],[Std Read]]=""),0,Table1[[#This Row],[Std Nom]]-Table1[[#This Row],[Std Read]])</f>
        <v>0</v>
      </c>
      <c r="N2584" s="1">
        <f>IF(Calculations!$F$5="ACCREDITED 17025 WITH UNCERTAINTIES",$N$10,0)</f>
        <v>0</v>
      </c>
      <c r="O2584" s="1" t="str">
        <f>IFERROR(Table1[[#This Row],[Std Nom]]-(_xlfn.XLOOKUP(Table1[[#This Row],[Manufacturer]]&amp;" "&amp;Table1[[#This Row],[Model]],Table13[MFR &amp; MDL],Table13[Tolerance % CW ],"")/100*Table1[[#This Row],[Std Nom]]),"")</f>
        <v/>
      </c>
      <c r="P2584" s="1" t="str">
        <f>IFERROR(Table1[[#This Row],[Std Nom]]+(_xlfn.XLOOKUP(Table1[[#This Row],[Manufacturer]]&amp;" "&amp;Table1[[#This Row],[Model]],Table13[MFR &amp; MDL],Table13[Tolerance % CW ],"")/100*Table1[[#This Row],[Std Nom]]),"")</f>
        <v/>
      </c>
      <c r="Q2584" s="1" t="e">
        <f>Table1[[#This Row],[High Tol]]-Table1[[#This Row],[Low Tol]]</f>
        <v>#VALUE!</v>
      </c>
      <c r="R2584" s="1">
        <f>2*Table1[[#This Row],[Std Error]]</f>
        <v>0</v>
      </c>
      <c r="S2584" s="1" t="str">
        <f>IF(Table1[[#This Row],[High Tol]]="","N/A",IFERROR(ABS(Table1[[#This Row],[Tol Span]]/Table1[[#This Row],[Error Span]]),"N/A"))</f>
        <v>N/A</v>
      </c>
      <c r="T2584" s="1" t="str">
        <f>IF(OR(Table1[[#This Row],[Low Tol]]="",Table1[[#This Row],[High Tol]]=""),"Needs Analysis",IF(Table1[[#This Row],[Ratio]]&gt;=4,"Not Significant",IF(Table1[[#This Row],[Ratio]]&gt;=2,"Semi-Significant","Significant")))</f>
        <v>Needs Analysis</v>
      </c>
      <c r="W2584" s="1">
        <f>IF(Table1[[#This Row],[Cal Type]]&lt;&gt;"ACCREDITED 17025 WITH UNCERTAINTIES",0,"")</f>
        <v>0</v>
      </c>
      <c r="X2584" s="1" t="str">
        <f>IF(Table1[[#This Row],[DUT Read]]="","N/A",Table1[[#This Row],[Std Error]]+Table1[[#This Row],[DUT Read]]+Table1[[#This Row],[DUT Ucty]])</f>
        <v>N/A</v>
      </c>
      <c r="Y2584" s="1" t="str">
        <f>IF(Table1[[#This Row],[Std Read]]="","N/A",Table1[[#This Row],[Std Read]]+Table1[[#This Row],[Std Ucty]])</f>
        <v>N/A</v>
      </c>
      <c r="Z25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4" s="1" t="str">
        <f>IF(Table1[[#This Row],[Spec Type]]="","N/A",Table1[[#This Row],[Spec Type]])</f>
        <v>±</v>
      </c>
      <c r="AC2584" s="1" t="str">
        <f>IF(Table1[[#This Row],[Spec Type2]]="N/A","N/A",IF(AND(Table1[[#This Row],[DUT Adj Read]]&gt;=Table1[[#This Row],[Low Tol]],Table1[[#This Row],[DUT Adj Read]]&lt;=Table1[[#This Row],[High Tol]]),"Pass","Fail"))</f>
        <v>Fail</v>
      </c>
      <c r="AD2584" s="1" t="str">
        <f>IF(AND(Table1[[#This Row],[Spec Type2]]="N/A",Table1[[#This Row],[DUT Adj Read]]="N/A",Table1[[#This Row],[Std Adj Read]]="N/A"),"N/A",IF(Table1[[#This Row],[DUT Adj Read]]="N/A",IF(Table1[[#This Row],[Std Adj Read]]&gt;Table1[[#This Row],[Low Tol]],"Pass","Fail"),IF(Table1[[#This Row],[DUT Adj Read]]&gt;Table1[[#This Row],[Low Tol]],"Pass","Fail")))</f>
        <v>Pass</v>
      </c>
      <c r="AE2584" s="1" t="str">
        <f>IF(AND(Table1[[#This Row],[Spec Type2]]="N/A",Table1[[#This Row],[DUT Adj Read]]="N/A",Table1[[#This Row],[Std Adj Read]]="N/A"),"N/A",IF(Table1[[#This Row],[DUT Adj Read]]="N/A",IF(Table1[[#This Row],[Std Adj Read]]&lt;Table1[[#This Row],[High Tol]],"Pass","Fail"),IF(Table1[[#This Row],[DUT Adj Read]]&lt;Table1[[#This Row],[High Tol]],"Pass","Fail")))</f>
        <v>Fail</v>
      </c>
      <c r="AF2584" s="1" t="str">
        <f>IF(AND(Table1[[#This Row],[Spec Type2]]="N/A",Table1[[#This Row],[DUT Adj Read]]="N/A",Table1[[#This Row],[Std Adj Read]]="N/A"),"N/A",IF(Table1[[#This Row],[DUT Adj Read]]="N/A",IF(Table1[[#This Row],[Std Adj Read]]&gt;=Table1[[#This Row],[Low Tol]],"Pass","Fail"),IF(Table1[[#This Row],[DUT Adj Read]]&gt;=Table1[[#This Row],[Low Tol]],"Pass","Fail")))</f>
        <v>Pass</v>
      </c>
      <c r="AG2584" s="1" t="str">
        <f>IF(AND(Table1[[#This Row],[Spec Type2]]="N/A",Table1[[#This Row],[DUT Adj Read]]="N/A",Table1[[#This Row],[Std Adj Read]]="N/A"),"N/A",IF(Table1[[#This Row],[DUT Adj Read]]="N/A",IF(Table1[[#This Row],[Std Adj Read]]&lt;=Table1[[#This Row],[High Tol]],"Pass","Fail"),IF(Table1[[#This Row],[DUT Adj Read]]&lt;=Table1[[#This Row],[High Tol]],"Pass","Fail")))</f>
        <v>Fail</v>
      </c>
      <c r="AH25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4" s="1" t="b">
        <v>0</v>
      </c>
      <c r="AN2584" s="1" t="b">
        <v>0</v>
      </c>
      <c r="AO2584" s="1" t="b">
        <v>0</v>
      </c>
    </row>
    <row r="2585" spans="1:41" x14ac:dyDescent="0.25">
      <c r="A2585" s="10"/>
      <c r="B2585" s="10"/>
      <c r="C2585" s="10"/>
      <c r="D2585" s="10"/>
      <c r="E2585" s="10"/>
      <c r="F2585" s="10"/>
      <c r="G2585" s="10"/>
      <c r="H2585" s="10"/>
      <c r="I2585" s="1" t="str">
        <f t="shared" si="120"/>
        <v/>
      </c>
      <c r="J2585" s="1" t="s">
        <v>35</v>
      </c>
      <c r="K2585" s="1" t="str">
        <f t="shared" si="121"/>
        <v/>
      </c>
      <c r="L2585" s="1" t="str">
        <f t="shared" si="122"/>
        <v/>
      </c>
      <c r="M2585" s="1">
        <f>IF(OR(Table1[[#This Row],[Std Nom]]="",Table1[[#This Row],[Std Read]]=""),0,Table1[[#This Row],[Std Nom]]-Table1[[#This Row],[Std Read]])</f>
        <v>0</v>
      </c>
      <c r="N2585" s="1">
        <f>IF(Calculations!$F$5="ACCREDITED 17025 WITH UNCERTAINTIES",$N$10,0)</f>
        <v>0</v>
      </c>
      <c r="O2585" s="1" t="str">
        <f>IFERROR(Table1[[#This Row],[Std Nom]]-(_xlfn.XLOOKUP(Table1[[#This Row],[Manufacturer]]&amp;" "&amp;Table1[[#This Row],[Model]],Table13[MFR &amp; MDL],Table13[Tolerance % CW ],"")/100*Table1[[#This Row],[Std Nom]]),"")</f>
        <v/>
      </c>
      <c r="P2585" s="1" t="str">
        <f>IFERROR(Table1[[#This Row],[Std Nom]]+(_xlfn.XLOOKUP(Table1[[#This Row],[Manufacturer]]&amp;" "&amp;Table1[[#This Row],[Model]],Table13[MFR &amp; MDL],Table13[Tolerance % CW ],"")/100*Table1[[#This Row],[Std Nom]]),"")</f>
        <v/>
      </c>
      <c r="Q2585" s="1" t="e">
        <f>Table1[[#This Row],[High Tol]]-Table1[[#This Row],[Low Tol]]</f>
        <v>#VALUE!</v>
      </c>
      <c r="R2585" s="1">
        <f>2*Table1[[#This Row],[Std Error]]</f>
        <v>0</v>
      </c>
      <c r="S2585" s="1" t="str">
        <f>IF(Table1[[#This Row],[High Tol]]="","N/A",IFERROR(ABS(Table1[[#This Row],[Tol Span]]/Table1[[#This Row],[Error Span]]),"N/A"))</f>
        <v>N/A</v>
      </c>
      <c r="T2585" s="1" t="str">
        <f>IF(OR(Table1[[#This Row],[Low Tol]]="",Table1[[#This Row],[High Tol]]=""),"Needs Analysis",IF(Table1[[#This Row],[Ratio]]&gt;=4,"Not Significant",IF(Table1[[#This Row],[Ratio]]&gt;=2,"Semi-Significant","Significant")))</f>
        <v>Needs Analysis</v>
      </c>
      <c r="W2585" s="1">
        <f>IF(Table1[[#This Row],[Cal Type]]&lt;&gt;"ACCREDITED 17025 WITH UNCERTAINTIES",0,"")</f>
        <v>0</v>
      </c>
      <c r="X2585" s="1" t="str">
        <f>IF(Table1[[#This Row],[DUT Read]]="","N/A",Table1[[#This Row],[Std Error]]+Table1[[#This Row],[DUT Read]]+Table1[[#This Row],[DUT Ucty]])</f>
        <v>N/A</v>
      </c>
      <c r="Y2585" s="1" t="str">
        <f>IF(Table1[[#This Row],[Std Read]]="","N/A",Table1[[#This Row],[Std Read]]+Table1[[#This Row],[Std Ucty]])</f>
        <v>N/A</v>
      </c>
      <c r="Z25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5" s="1" t="str">
        <f>IF(Table1[[#This Row],[Spec Type]]="","N/A",Table1[[#This Row],[Spec Type]])</f>
        <v>±</v>
      </c>
      <c r="AC2585" s="1" t="str">
        <f>IF(Table1[[#This Row],[Spec Type2]]="N/A","N/A",IF(AND(Table1[[#This Row],[DUT Adj Read]]&gt;=Table1[[#This Row],[Low Tol]],Table1[[#This Row],[DUT Adj Read]]&lt;=Table1[[#This Row],[High Tol]]),"Pass","Fail"))</f>
        <v>Fail</v>
      </c>
      <c r="AD2585" s="1" t="str">
        <f>IF(AND(Table1[[#This Row],[Spec Type2]]="N/A",Table1[[#This Row],[DUT Adj Read]]="N/A",Table1[[#This Row],[Std Adj Read]]="N/A"),"N/A",IF(Table1[[#This Row],[DUT Adj Read]]="N/A",IF(Table1[[#This Row],[Std Adj Read]]&gt;Table1[[#This Row],[Low Tol]],"Pass","Fail"),IF(Table1[[#This Row],[DUT Adj Read]]&gt;Table1[[#This Row],[Low Tol]],"Pass","Fail")))</f>
        <v>Pass</v>
      </c>
      <c r="AE2585" s="1" t="str">
        <f>IF(AND(Table1[[#This Row],[Spec Type2]]="N/A",Table1[[#This Row],[DUT Adj Read]]="N/A",Table1[[#This Row],[Std Adj Read]]="N/A"),"N/A",IF(Table1[[#This Row],[DUT Adj Read]]="N/A",IF(Table1[[#This Row],[Std Adj Read]]&lt;Table1[[#This Row],[High Tol]],"Pass","Fail"),IF(Table1[[#This Row],[DUT Adj Read]]&lt;Table1[[#This Row],[High Tol]],"Pass","Fail")))</f>
        <v>Fail</v>
      </c>
      <c r="AF2585" s="1" t="str">
        <f>IF(AND(Table1[[#This Row],[Spec Type2]]="N/A",Table1[[#This Row],[DUT Adj Read]]="N/A",Table1[[#This Row],[Std Adj Read]]="N/A"),"N/A",IF(Table1[[#This Row],[DUT Adj Read]]="N/A",IF(Table1[[#This Row],[Std Adj Read]]&gt;=Table1[[#This Row],[Low Tol]],"Pass","Fail"),IF(Table1[[#This Row],[DUT Adj Read]]&gt;=Table1[[#This Row],[Low Tol]],"Pass","Fail")))</f>
        <v>Pass</v>
      </c>
      <c r="AG2585" s="1" t="str">
        <f>IF(AND(Table1[[#This Row],[Spec Type2]]="N/A",Table1[[#This Row],[DUT Adj Read]]="N/A",Table1[[#This Row],[Std Adj Read]]="N/A"),"N/A",IF(Table1[[#This Row],[DUT Adj Read]]="N/A",IF(Table1[[#This Row],[Std Adj Read]]&lt;=Table1[[#This Row],[High Tol]],"Pass","Fail"),IF(Table1[[#This Row],[DUT Adj Read]]&lt;=Table1[[#This Row],[High Tol]],"Pass","Fail")))</f>
        <v>Fail</v>
      </c>
      <c r="AH25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5" s="1" t="b">
        <v>0</v>
      </c>
      <c r="AN2585" s="1" t="b">
        <v>0</v>
      </c>
      <c r="AO2585" s="1" t="b">
        <v>0</v>
      </c>
    </row>
    <row r="2586" spans="1:41" x14ac:dyDescent="0.25">
      <c r="A2586" s="10"/>
      <c r="B2586" s="10"/>
      <c r="C2586" s="10"/>
      <c r="D2586" s="10"/>
      <c r="E2586" s="10"/>
      <c r="F2586" s="10"/>
      <c r="G2586" s="10"/>
      <c r="H2586" s="10"/>
      <c r="I2586" s="1" t="str">
        <f t="shared" si="120"/>
        <v/>
      </c>
      <c r="J2586" s="1" t="s">
        <v>35</v>
      </c>
      <c r="K2586" s="1" t="str">
        <f t="shared" si="121"/>
        <v/>
      </c>
      <c r="L2586" s="1" t="str">
        <f t="shared" si="122"/>
        <v/>
      </c>
      <c r="M2586" s="1">
        <f>IF(OR(Table1[[#This Row],[Std Nom]]="",Table1[[#This Row],[Std Read]]=""),0,Table1[[#This Row],[Std Nom]]-Table1[[#This Row],[Std Read]])</f>
        <v>0</v>
      </c>
      <c r="N2586" s="1">
        <f>IF(Calculations!$F$5="ACCREDITED 17025 WITH UNCERTAINTIES",$N$10,0)</f>
        <v>0</v>
      </c>
      <c r="O2586" s="1" t="str">
        <f>IFERROR(Table1[[#This Row],[Std Nom]]-(_xlfn.XLOOKUP(Table1[[#This Row],[Manufacturer]]&amp;" "&amp;Table1[[#This Row],[Model]],Table13[MFR &amp; MDL],Table13[Tolerance % CW ],"")/100*Table1[[#This Row],[Std Nom]]),"")</f>
        <v/>
      </c>
      <c r="P2586" s="1" t="str">
        <f>IFERROR(Table1[[#This Row],[Std Nom]]+(_xlfn.XLOOKUP(Table1[[#This Row],[Manufacturer]]&amp;" "&amp;Table1[[#This Row],[Model]],Table13[MFR &amp; MDL],Table13[Tolerance % CW ],"")/100*Table1[[#This Row],[Std Nom]]),"")</f>
        <v/>
      </c>
      <c r="Q2586" s="1" t="e">
        <f>Table1[[#This Row],[High Tol]]-Table1[[#This Row],[Low Tol]]</f>
        <v>#VALUE!</v>
      </c>
      <c r="R2586" s="1">
        <f>2*Table1[[#This Row],[Std Error]]</f>
        <v>0</v>
      </c>
      <c r="S2586" s="1" t="str">
        <f>IF(Table1[[#This Row],[High Tol]]="","N/A",IFERROR(ABS(Table1[[#This Row],[Tol Span]]/Table1[[#This Row],[Error Span]]),"N/A"))</f>
        <v>N/A</v>
      </c>
      <c r="T2586" s="1" t="str">
        <f>IF(OR(Table1[[#This Row],[Low Tol]]="",Table1[[#This Row],[High Tol]]=""),"Needs Analysis",IF(Table1[[#This Row],[Ratio]]&gt;=4,"Not Significant",IF(Table1[[#This Row],[Ratio]]&gt;=2,"Semi-Significant","Significant")))</f>
        <v>Needs Analysis</v>
      </c>
      <c r="W2586" s="1">
        <f>IF(Table1[[#This Row],[Cal Type]]&lt;&gt;"ACCREDITED 17025 WITH UNCERTAINTIES",0,"")</f>
        <v>0</v>
      </c>
      <c r="X2586" s="1" t="str">
        <f>IF(Table1[[#This Row],[DUT Read]]="","N/A",Table1[[#This Row],[Std Error]]+Table1[[#This Row],[DUT Read]]+Table1[[#This Row],[DUT Ucty]])</f>
        <v>N/A</v>
      </c>
      <c r="Y2586" s="1" t="str">
        <f>IF(Table1[[#This Row],[Std Read]]="","N/A",Table1[[#This Row],[Std Read]]+Table1[[#This Row],[Std Ucty]])</f>
        <v>N/A</v>
      </c>
      <c r="Z25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6" s="1" t="str">
        <f>IF(Table1[[#This Row],[Spec Type]]="","N/A",Table1[[#This Row],[Spec Type]])</f>
        <v>±</v>
      </c>
      <c r="AC2586" s="1" t="str">
        <f>IF(Table1[[#This Row],[Spec Type2]]="N/A","N/A",IF(AND(Table1[[#This Row],[DUT Adj Read]]&gt;=Table1[[#This Row],[Low Tol]],Table1[[#This Row],[DUT Adj Read]]&lt;=Table1[[#This Row],[High Tol]]),"Pass","Fail"))</f>
        <v>Fail</v>
      </c>
      <c r="AD2586" s="1" t="str">
        <f>IF(AND(Table1[[#This Row],[Spec Type2]]="N/A",Table1[[#This Row],[DUT Adj Read]]="N/A",Table1[[#This Row],[Std Adj Read]]="N/A"),"N/A",IF(Table1[[#This Row],[DUT Adj Read]]="N/A",IF(Table1[[#This Row],[Std Adj Read]]&gt;Table1[[#This Row],[Low Tol]],"Pass","Fail"),IF(Table1[[#This Row],[DUT Adj Read]]&gt;Table1[[#This Row],[Low Tol]],"Pass","Fail")))</f>
        <v>Pass</v>
      </c>
      <c r="AE2586" s="1" t="str">
        <f>IF(AND(Table1[[#This Row],[Spec Type2]]="N/A",Table1[[#This Row],[DUT Adj Read]]="N/A",Table1[[#This Row],[Std Adj Read]]="N/A"),"N/A",IF(Table1[[#This Row],[DUT Adj Read]]="N/A",IF(Table1[[#This Row],[Std Adj Read]]&lt;Table1[[#This Row],[High Tol]],"Pass","Fail"),IF(Table1[[#This Row],[DUT Adj Read]]&lt;Table1[[#This Row],[High Tol]],"Pass","Fail")))</f>
        <v>Fail</v>
      </c>
      <c r="AF2586" s="1" t="str">
        <f>IF(AND(Table1[[#This Row],[Spec Type2]]="N/A",Table1[[#This Row],[DUT Adj Read]]="N/A",Table1[[#This Row],[Std Adj Read]]="N/A"),"N/A",IF(Table1[[#This Row],[DUT Adj Read]]="N/A",IF(Table1[[#This Row],[Std Adj Read]]&gt;=Table1[[#This Row],[Low Tol]],"Pass","Fail"),IF(Table1[[#This Row],[DUT Adj Read]]&gt;=Table1[[#This Row],[Low Tol]],"Pass","Fail")))</f>
        <v>Pass</v>
      </c>
      <c r="AG2586" s="1" t="str">
        <f>IF(AND(Table1[[#This Row],[Spec Type2]]="N/A",Table1[[#This Row],[DUT Adj Read]]="N/A",Table1[[#This Row],[Std Adj Read]]="N/A"),"N/A",IF(Table1[[#This Row],[DUT Adj Read]]="N/A",IF(Table1[[#This Row],[Std Adj Read]]&lt;=Table1[[#This Row],[High Tol]],"Pass","Fail"),IF(Table1[[#This Row],[DUT Adj Read]]&lt;=Table1[[#This Row],[High Tol]],"Pass","Fail")))</f>
        <v>Fail</v>
      </c>
      <c r="AH25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6" s="1" t="b">
        <v>0</v>
      </c>
      <c r="AN2586" s="1" t="b">
        <v>0</v>
      </c>
      <c r="AO2586" s="1" t="b">
        <v>0</v>
      </c>
    </row>
    <row r="2587" spans="1:41" x14ac:dyDescent="0.25">
      <c r="A2587" s="10"/>
      <c r="B2587" s="10"/>
      <c r="C2587" s="10"/>
      <c r="D2587" s="10"/>
      <c r="E2587" s="10"/>
      <c r="F2587" s="10"/>
      <c r="G2587" s="10"/>
      <c r="H2587" s="10"/>
      <c r="I2587" s="1" t="str">
        <f t="shared" si="120"/>
        <v/>
      </c>
      <c r="J2587" s="1" t="s">
        <v>35</v>
      </c>
      <c r="K2587" s="1" t="str">
        <f t="shared" si="121"/>
        <v/>
      </c>
      <c r="L2587" s="1" t="str">
        <f t="shared" si="122"/>
        <v/>
      </c>
      <c r="M2587" s="1">
        <f>IF(OR(Table1[[#This Row],[Std Nom]]="",Table1[[#This Row],[Std Read]]=""),0,Table1[[#This Row],[Std Nom]]-Table1[[#This Row],[Std Read]])</f>
        <v>0</v>
      </c>
      <c r="N2587" s="1">
        <f>IF(Calculations!$F$5="ACCREDITED 17025 WITH UNCERTAINTIES",$N$10,0)</f>
        <v>0</v>
      </c>
      <c r="O2587" s="1" t="str">
        <f>IFERROR(Table1[[#This Row],[Std Nom]]-(_xlfn.XLOOKUP(Table1[[#This Row],[Manufacturer]]&amp;" "&amp;Table1[[#This Row],[Model]],Table13[MFR &amp; MDL],Table13[Tolerance % CW ],"")/100*Table1[[#This Row],[Std Nom]]),"")</f>
        <v/>
      </c>
      <c r="P2587" s="1" t="str">
        <f>IFERROR(Table1[[#This Row],[Std Nom]]+(_xlfn.XLOOKUP(Table1[[#This Row],[Manufacturer]]&amp;" "&amp;Table1[[#This Row],[Model]],Table13[MFR &amp; MDL],Table13[Tolerance % CW ],"")/100*Table1[[#This Row],[Std Nom]]),"")</f>
        <v/>
      </c>
      <c r="Q2587" s="1" t="e">
        <f>Table1[[#This Row],[High Tol]]-Table1[[#This Row],[Low Tol]]</f>
        <v>#VALUE!</v>
      </c>
      <c r="R2587" s="1">
        <f>2*Table1[[#This Row],[Std Error]]</f>
        <v>0</v>
      </c>
      <c r="S2587" s="1" t="str">
        <f>IF(Table1[[#This Row],[High Tol]]="","N/A",IFERROR(ABS(Table1[[#This Row],[Tol Span]]/Table1[[#This Row],[Error Span]]),"N/A"))</f>
        <v>N/A</v>
      </c>
      <c r="T2587" s="1" t="str">
        <f>IF(OR(Table1[[#This Row],[Low Tol]]="",Table1[[#This Row],[High Tol]]=""),"Needs Analysis",IF(Table1[[#This Row],[Ratio]]&gt;=4,"Not Significant",IF(Table1[[#This Row],[Ratio]]&gt;=2,"Semi-Significant","Significant")))</f>
        <v>Needs Analysis</v>
      </c>
      <c r="W2587" s="1">
        <f>IF(Table1[[#This Row],[Cal Type]]&lt;&gt;"ACCREDITED 17025 WITH UNCERTAINTIES",0,"")</f>
        <v>0</v>
      </c>
      <c r="X2587" s="1" t="str">
        <f>IF(Table1[[#This Row],[DUT Read]]="","N/A",Table1[[#This Row],[Std Error]]+Table1[[#This Row],[DUT Read]]+Table1[[#This Row],[DUT Ucty]])</f>
        <v>N/A</v>
      </c>
      <c r="Y2587" s="1" t="str">
        <f>IF(Table1[[#This Row],[Std Read]]="","N/A",Table1[[#This Row],[Std Read]]+Table1[[#This Row],[Std Ucty]])</f>
        <v>N/A</v>
      </c>
      <c r="Z25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7" s="1" t="str">
        <f>IF(Table1[[#This Row],[Spec Type]]="","N/A",Table1[[#This Row],[Spec Type]])</f>
        <v>±</v>
      </c>
      <c r="AC2587" s="1" t="str">
        <f>IF(Table1[[#This Row],[Spec Type2]]="N/A","N/A",IF(AND(Table1[[#This Row],[DUT Adj Read]]&gt;=Table1[[#This Row],[Low Tol]],Table1[[#This Row],[DUT Adj Read]]&lt;=Table1[[#This Row],[High Tol]]),"Pass","Fail"))</f>
        <v>Fail</v>
      </c>
      <c r="AD2587" s="1" t="str">
        <f>IF(AND(Table1[[#This Row],[Spec Type2]]="N/A",Table1[[#This Row],[DUT Adj Read]]="N/A",Table1[[#This Row],[Std Adj Read]]="N/A"),"N/A",IF(Table1[[#This Row],[DUT Adj Read]]="N/A",IF(Table1[[#This Row],[Std Adj Read]]&gt;Table1[[#This Row],[Low Tol]],"Pass","Fail"),IF(Table1[[#This Row],[DUT Adj Read]]&gt;Table1[[#This Row],[Low Tol]],"Pass","Fail")))</f>
        <v>Pass</v>
      </c>
      <c r="AE2587" s="1" t="str">
        <f>IF(AND(Table1[[#This Row],[Spec Type2]]="N/A",Table1[[#This Row],[DUT Adj Read]]="N/A",Table1[[#This Row],[Std Adj Read]]="N/A"),"N/A",IF(Table1[[#This Row],[DUT Adj Read]]="N/A",IF(Table1[[#This Row],[Std Adj Read]]&lt;Table1[[#This Row],[High Tol]],"Pass","Fail"),IF(Table1[[#This Row],[DUT Adj Read]]&lt;Table1[[#This Row],[High Tol]],"Pass","Fail")))</f>
        <v>Fail</v>
      </c>
      <c r="AF2587" s="1" t="str">
        <f>IF(AND(Table1[[#This Row],[Spec Type2]]="N/A",Table1[[#This Row],[DUT Adj Read]]="N/A",Table1[[#This Row],[Std Adj Read]]="N/A"),"N/A",IF(Table1[[#This Row],[DUT Adj Read]]="N/A",IF(Table1[[#This Row],[Std Adj Read]]&gt;=Table1[[#This Row],[Low Tol]],"Pass","Fail"),IF(Table1[[#This Row],[DUT Adj Read]]&gt;=Table1[[#This Row],[Low Tol]],"Pass","Fail")))</f>
        <v>Pass</v>
      </c>
      <c r="AG2587" s="1" t="str">
        <f>IF(AND(Table1[[#This Row],[Spec Type2]]="N/A",Table1[[#This Row],[DUT Adj Read]]="N/A",Table1[[#This Row],[Std Adj Read]]="N/A"),"N/A",IF(Table1[[#This Row],[DUT Adj Read]]="N/A",IF(Table1[[#This Row],[Std Adj Read]]&lt;=Table1[[#This Row],[High Tol]],"Pass","Fail"),IF(Table1[[#This Row],[DUT Adj Read]]&lt;=Table1[[#This Row],[High Tol]],"Pass","Fail")))</f>
        <v>Fail</v>
      </c>
      <c r="AH25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7" s="1" t="b">
        <v>0</v>
      </c>
      <c r="AN2587" s="1" t="b">
        <v>0</v>
      </c>
      <c r="AO2587" s="1" t="b">
        <v>0</v>
      </c>
    </row>
    <row r="2588" spans="1:41" x14ac:dyDescent="0.25">
      <c r="A2588" s="10"/>
      <c r="B2588" s="10"/>
      <c r="C2588" s="10"/>
      <c r="D2588" s="10"/>
      <c r="E2588" s="10"/>
      <c r="F2588" s="10"/>
      <c r="G2588" s="10"/>
      <c r="H2588" s="10"/>
      <c r="I2588" s="1" t="str">
        <f t="shared" si="120"/>
        <v/>
      </c>
      <c r="J2588" s="1" t="s">
        <v>35</v>
      </c>
      <c r="K2588" s="1" t="str">
        <f t="shared" si="121"/>
        <v/>
      </c>
      <c r="L2588" s="1" t="str">
        <f t="shared" si="122"/>
        <v/>
      </c>
      <c r="M2588" s="1">
        <f>IF(OR(Table1[[#This Row],[Std Nom]]="",Table1[[#This Row],[Std Read]]=""),0,Table1[[#This Row],[Std Nom]]-Table1[[#This Row],[Std Read]])</f>
        <v>0</v>
      </c>
      <c r="N2588" s="1">
        <f>IF(Calculations!$F$5="ACCREDITED 17025 WITH UNCERTAINTIES",$N$10,0)</f>
        <v>0</v>
      </c>
      <c r="O2588" s="1" t="str">
        <f>IFERROR(Table1[[#This Row],[Std Nom]]-(_xlfn.XLOOKUP(Table1[[#This Row],[Manufacturer]]&amp;" "&amp;Table1[[#This Row],[Model]],Table13[MFR &amp; MDL],Table13[Tolerance % CW ],"")/100*Table1[[#This Row],[Std Nom]]),"")</f>
        <v/>
      </c>
      <c r="P2588" s="1" t="str">
        <f>IFERROR(Table1[[#This Row],[Std Nom]]+(_xlfn.XLOOKUP(Table1[[#This Row],[Manufacturer]]&amp;" "&amp;Table1[[#This Row],[Model]],Table13[MFR &amp; MDL],Table13[Tolerance % CW ],"")/100*Table1[[#This Row],[Std Nom]]),"")</f>
        <v/>
      </c>
      <c r="Q2588" s="1" t="e">
        <f>Table1[[#This Row],[High Tol]]-Table1[[#This Row],[Low Tol]]</f>
        <v>#VALUE!</v>
      </c>
      <c r="R2588" s="1">
        <f>2*Table1[[#This Row],[Std Error]]</f>
        <v>0</v>
      </c>
      <c r="S2588" s="1" t="str">
        <f>IF(Table1[[#This Row],[High Tol]]="","N/A",IFERROR(ABS(Table1[[#This Row],[Tol Span]]/Table1[[#This Row],[Error Span]]),"N/A"))</f>
        <v>N/A</v>
      </c>
      <c r="T2588" s="1" t="str">
        <f>IF(OR(Table1[[#This Row],[Low Tol]]="",Table1[[#This Row],[High Tol]]=""),"Needs Analysis",IF(Table1[[#This Row],[Ratio]]&gt;=4,"Not Significant",IF(Table1[[#This Row],[Ratio]]&gt;=2,"Semi-Significant","Significant")))</f>
        <v>Needs Analysis</v>
      </c>
      <c r="W2588" s="1">
        <f>IF(Table1[[#This Row],[Cal Type]]&lt;&gt;"ACCREDITED 17025 WITH UNCERTAINTIES",0,"")</f>
        <v>0</v>
      </c>
      <c r="X2588" s="1" t="str">
        <f>IF(Table1[[#This Row],[DUT Read]]="","N/A",Table1[[#This Row],[Std Error]]+Table1[[#This Row],[DUT Read]]+Table1[[#This Row],[DUT Ucty]])</f>
        <v>N/A</v>
      </c>
      <c r="Y2588" s="1" t="str">
        <f>IF(Table1[[#This Row],[Std Read]]="","N/A",Table1[[#This Row],[Std Read]]+Table1[[#This Row],[Std Ucty]])</f>
        <v>N/A</v>
      </c>
      <c r="Z25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8" s="1" t="str">
        <f>IF(Table1[[#This Row],[Spec Type]]="","N/A",Table1[[#This Row],[Spec Type]])</f>
        <v>±</v>
      </c>
      <c r="AC2588" s="1" t="str">
        <f>IF(Table1[[#This Row],[Spec Type2]]="N/A","N/A",IF(AND(Table1[[#This Row],[DUT Adj Read]]&gt;=Table1[[#This Row],[Low Tol]],Table1[[#This Row],[DUT Adj Read]]&lt;=Table1[[#This Row],[High Tol]]),"Pass","Fail"))</f>
        <v>Fail</v>
      </c>
      <c r="AD2588" s="1" t="str">
        <f>IF(AND(Table1[[#This Row],[Spec Type2]]="N/A",Table1[[#This Row],[DUT Adj Read]]="N/A",Table1[[#This Row],[Std Adj Read]]="N/A"),"N/A",IF(Table1[[#This Row],[DUT Adj Read]]="N/A",IF(Table1[[#This Row],[Std Adj Read]]&gt;Table1[[#This Row],[Low Tol]],"Pass","Fail"),IF(Table1[[#This Row],[DUT Adj Read]]&gt;Table1[[#This Row],[Low Tol]],"Pass","Fail")))</f>
        <v>Pass</v>
      </c>
      <c r="AE2588" s="1" t="str">
        <f>IF(AND(Table1[[#This Row],[Spec Type2]]="N/A",Table1[[#This Row],[DUT Adj Read]]="N/A",Table1[[#This Row],[Std Adj Read]]="N/A"),"N/A",IF(Table1[[#This Row],[DUT Adj Read]]="N/A",IF(Table1[[#This Row],[Std Adj Read]]&lt;Table1[[#This Row],[High Tol]],"Pass","Fail"),IF(Table1[[#This Row],[DUT Adj Read]]&lt;Table1[[#This Row],[High Tol]],"Pass","Fail")))</f>
        <v>Fail</v>
      </c>
      <c r="AF2588" s="1" t="str">
        <f>IF(AND(Table1[[#This Row],[Spec Type2]]="N/A",Table1[[#This Row],[DUT Adj Read]]="N/A",Table1[[#This Row],[Std Adj Read]]="N/A"),"N/A",IF(Table1[[#This Row],[DUT Adj Read]]="N/A",IF(Table1[[#This Row],[Std Adj Read]]&gt;=Table1[[#This Row],[Low Tol]],"Pass","Fail"),IF(Table1[[#This Row],[DUT Adj Read]]&gt;=Table1[[#This Row],[Low Tol]],"Pass","Fail")))</f>
        <v>Pass</v>
      </c>
      <c r="AG2588" s="1" t="str">
        <f>IF(AND(Table1[[#This Row],[Spec Type2]]="N/A",Table1[[#This Row],[DUT Adj Read]]="N/A",Table1[[#This Row],[Std Adj Read]]="N/A"),"N/A",IF(Table1[[#This Row],[DUT Adj Read]]="N/A",IF(Table1[[#This Row],[Std Adj Read]]&lt;=Table1[[#This Row],[High Tol]],"Pass","Fail"),IF(Table1[[#This Row],[DUT Adj Read]]&lt;=Table1[[#This Row],[High Tol]],"Pass","Fail")))</f>
        <v>Fail</v>
      </c>
      <c r="AH25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8" s="1" t="b">
        <v>0</v>
      </c>
      <c r="AN2588" s="1" t="b">
        <v>0</v>
      </c>
      <c r="AO2588" s="1" t="b">
        <v>0</v>
      </c>
    </row>
    <row r="2589" spans="1:41" x14ac:dyDescent="0.25">
      <c r="A2589" s="10"/>
      <c r="B2589" s="10"/>
      <c r="C2589" s="10"/>
      <c r="D2589" s="10"/>
      <c r="E2589" s="10"/>
      <c r="F2589" s="10"/>
      <c r="G2589" s="10"/>
      <c r="H2589" s="10"/>
      <c r="I2589" s="1" t="str">
        <f t="shared" si="120"/>
        <v/>
      </c>
      <c r="J2589" s="1" t="s">
        <v>35</v>
      </c>
      <c r="K2589" s="1" t="str">
        <f t="shared" si="121"/>
        <v/>
      </c>
      <c r="L2589" s="1" t="str">
        <f t="shared" si="122"/>
        <v/>
      </c>
      <c r="M2589" s="1">
        <f>IF(OR(Table1[[#This Row],[Std Nom]]="",Table1[[#This Row],[Std Read]]=""),0,Table1[[#This Row],[Std Nom]]-Table1[[#This Row],[Std Read]])</f>
        <v>0</v>
      </c>
      <c r="N2589" s="1">
        <f>IF(Calculations!$F$5="ACCREDITED 17025 WITH UNCERTAINTIES",$N$10,0)</f>
        <v>0</v>
      </c>
      <c r="O2589" s="1" t="str">
        <f>IFERROR(Table1[[#This Row],[Std Nom]]-(_xlfn.XLOOKUP(Table1[[#This Row],[Manufacturer]]&amp;" "&amp;Table1[[#This Row],[Model]],Table13[MFR &amp; MDL],Table13[Tolerance % CW ],"")/100*Table1[[#This Row],[Std Nom]]),"")</f>
        <v/>
      </c>
      <c r="P2589" s="1" t="str">
        <f>IFERROR(Table1[[#This Row],[Std Nom]]+(_xlfn.XLOOKUP(Table1[[#This Row],[Manufacturer]]&amp;" "&amp;Table1[[#This Row],[Model]],Table13[MFR &amp; MDL],Table13[Tolerance % CW ],"")/100*Table1[[#This Row],[Std Nom]]),"")</f>
        <v/>
      </c>
      <c r="Q2589" s="1" t="e">
        <f>Table1[[#This Row],[High Tol]]-Table1[[#This Row],[Low Tol]]</f>
        <v>#VALUE!</v>
      </c>
      <c r="R2589" s="1">
        <f>2*Table1[[#This Row],[Std Error]]</f>
        <v>0</v>
      </c>
      <c r="S2589" s="1" t="str">
        <f>IF(Table1[[#This Row],[High Tol]]="","N/A",IFERROR(ABS(Table1[[#This Row],[Tol Span]]/Table1[[#This Row],[Error Span]]),"N/A"))</f>
        <v>N/A</v>
      </c>
      <c r="T2589" s="1" t="str">
        <f>IF(OR(Table1[[#This Row],[Low Tol]]="",Table1[[#This Row],[High Tol]]=""),"Needs Analysis",IF(Table1[[#This Row],[Ratio]]&gt;=4,"Not Significant",IF(Table1[[#This Row],[Ratio]]&gt;=2,"Semi-Significant","Significant")))</f>
        <v>Needs Analysis</v>
      </c>
      <c r="W2589" s="1">
        <f>IF(Table1[[#This Row],[Cal Type]]&lt;&gt;"ACCREDITED 17025 WITH UNCERTAINTIES",0,"")</f>
        <v>0</v>
      </c>
      <c r="X2589" s="1" t="str">
        <f>IF(Table1[[#This Row],[DUT Read]]="","N/A",Table1[[#This Row],[Std Error]]+Table1[[#This Row],[DUT Read]]+Table1[[#This Row],[DUT Ucty]])</f>
        <v>N/A</v>
      </c>
      <c r="Y2589" s="1" t="str">
        <f>IF(Table1[[#This Row],[Std Read]]="","N/A",Table1[[#This Row],[Std Read]]+Table1[[#This Row],[Std Ucty]])</f>
        <v>N/A</v>
      </c>
      <c r="Z25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9" s="1" t="str">
        <f>IF(Table1[[#This Row],[Spec Type]]="","N/A",Table1[[#This Row],[Spec Type]])</f>
        <v>±</v>
      </c>
      <c r="AC2589" s="1" t="str">
        <f>IF(Table1[[#This Row],[Spec Type2]]="N/A","N/A",IF(AND(Table1[[#This Row],[DUT Adj Read]]&gt;=Table1[[#This Row],[Low Tol]],Table1[[#This Row],[DUT Adj Read]]&lt;=Table1[[#This Row],[High Tol]]),"Pass","Fail"))</f>
        <v>Fail</v>
      </c>
      <c r="AD2589" s="1" t="str">
        <f>IF(AND(Table1[[#This Row],[Spec Type2]]="N/A",Table1[[#This Row],[DUT Adj Read]]="N/A",Table1[[#This Row],[Std Adj Read]]="N/A"),"N/A",IF(Table1[[#This Row],[DUT Adj Read]]="N/A",IF(Table1[[#This Row],[Std Adj Read]]&gt;Table1[[#This Row],[Low Tol]],"Pass","Fail"),IF(Table1[[#This Row],[DUT Adj Read]]&gt;Table1[[#This Row],[Low Tol]],"Pass","Fail")))</f>
        <v>Pass</v>
      </c>
      <c r="AE2589" s="1" t="str">
        <f>IF(AND(Table1[[#This Row],[Spec Type2]]="N/A",Table1[[#This Row],[DUT Adj Read]]="N/A",Table1[[#This Row],[Std Adj Read]]="N/A"),"N/A",IF(Table1[[#This Row],[DUT Adj Read]]="N/A",IF(Table1[[#This Row],[Std Adj Read]]&lt;Table1[[#This Row],[High Tol]],"Pass","Fail"),IF(Table1[[#This Row],[DUT Adj Read]]&lt;Table1[[#This Row],[High Tol]],"Pass","Fail")))</f>
        <v>Fail</v>
      </c>
      <c r="AF2589" s="1" t="str">
        <f>IF(AND(Table1[[#This Row],[Spec Type2]]="N/A",Table1[[#This Row],[DUT Adj Read]]="N/A",Table1[[#This Row],[Std Adj Read]]="N/A"),"N/A",IF(Table1[[#This Row],[DUT Adj Read]]="N/A",IF(Table1[[#This Row],[Std Adj Read]]&gt;=Table1[[#This Row],[Low Tol]],"Pass","Fail"),IF(Table1[[#This Row],[DUT Adj Read]]&gt;=Table1[[#This Row],[Low Tol]],"Pass","Fail")))</f>
        <v>Pass</v>
      </c>
      <c r="AG2589" s="1" t="str">
        <f>IF(AND(Table1[[#This Row],[Spec Type2]]="N/A",Table1[[#This Row],[DUT Adj Read]]="N/A",Table1[[#This Row],[Std Adj Read]]="N/A"),"N/A",IF(Table1[[#This Row],[DUT Adj Read]]="N/A",IF(Table1[[#This Row],[Std Adj Read]]&lt;=Table1[[#This Row],[High Tol]],"Pass","Fail"),IF(Table1[[#This Row],[DUT Adj Read]]&lt;=Table1[[#This Row],[High Tol]],"Pass","Fail")))</f>
        <v>Fail</v>
      </c>
      <c r="AH25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9" s="1" t="b">
        <v>0</v>
      </c>
      <c r="AN2589" s="1" t="b">
        <v>0</v>
      </c>
      <c r="AO2589" s="1" t="b">
        <v>0</v>
      </c>
    </row>
    <row r="2590" spans="1:41" x14ac:dyDescent="0.25">
      <c r="A2590" s="10"/>
      <c r="B2590" s="10"/>
      <c r="C2590" s="10"/>
      <c r="D2590" s="10"/>
      <c r="E2590" s="10"/>
      <c r="F2590" s="10"/>
      <c r="G2590" s="10"/>
      <c r="H2590" s="10"/>
      <c r="I2590" s="1" t="str">
        <f t="shared" si="120"/>
        <v/>
      </c>
      <c r="J2590" s="1" t="s">
        <v>35</v>
      </c>
      <c r="K2590" s="1" t="str">
        <f t="shared" si="121"/>
        <v/>
      </c>
      <c r="L2590" s="1" t="str">
        <f t="shared" si="122"/>
        <v/>
      </c>
      <c r="M2590" s="1">
        <f>IF(OR(Table1[[#This Row],[Std Nom]]="",Table1[[#This Row],[Std Read]]=""),0,Table1[[#This Row],[Std Nom]]-Table1[[#This Row],[Std Read]])</f>
        <v>0</v>
      </c>
      <c r="N2590" s="1">
        <f>IF(Calculations!$F$5="ACCREDITED 17025 WITH UNCERTAINTIES",$N$10,0)</f>
        <v>0</v>
      </c>
      <c r="O2590" s="1" t="str">
        <f>IFERROR(Table1[[#This Row],[Std Nom]]-(_xlfn.XLOOKUP(Table1[[#This Row],[Manufacturer]]&amp;" "&amp;Table1[[#This Row],[Model]],Table13[MFR &amp; MDL],Table13[Tolerance % CW ],"")/100*Table1[[#This Row],[Std Nom]]),"")</f>
        <v/>
      </c>
      <c r="P2590" s="1" t="str">
        <f>IFERROR(Table1[[#This Row],[Std Nom]]+(_xlfn.XLOOKUP(Table1[[#This Row],[Manufacturer]]&amp;" "&amp;Table1[[#This Row],[Model]],Table13[MFR &amp; MDL],Table13[Tolerance % CW ],"")/100*Table1[[#This Row],[Std Nom]]),"")</f>
        <v/>
      </c>
      <c r="Q2590" s="1" t="e">
        <f>Table1[[#This Row],[High Tol]]-Table1[[#This Row],[Low Tol]]</f>
        <v>#VALUE!</v>
      </c>
      <c r="R2590" s="1">
        <f>2*Table1[[#This Row],[Std Error]]</f>
        <v>0</v>
      </c>
      <c r="S2590" s="1" t="str">
        <f>IF(Table1[[#This Row],[High Tol]]="","N/A",IFERROR(ABS(Table1[[#This Row],[Tol Span]]/Table1[[#This Row],[Error Span]]),"N/A"))</f>
        <v>N/A</v>
      </c>
      <c r="T2590" s="1" t="str">
        <f>IF(OR(Table1[[#This Row],[Low Tol]]="",Table1[[#This Row],[High Tol]]=""),"Needs Analysis",IF(Table1[[#This Row],[Ratio]]&gt;=4,"Not Significant",IF(Table1[[#This Row],[Ratio]]&gt;=2,"Semi-Significant","Significant")))</f>
        <v>Needs Analysis</v>
      </c>
      <c r="W2590" s="1">
        <f>IF(Table1[[#This Row],[Cal Type]]&lt;&gt;"ACCREDITED 17025 WITH UNCERTAINTIES",0,"")</f>
        <v>0</v>
      </c>
      <c r="X2590" s="1" t="str">
        <f>IF(Table1[[#This Row],[DUT Read]]="","N/A",Table1[[#This Row],[Std Error]]+Table1[[#This Row],[DUT Read]]+Table1[[#This Row],[DUT Ucty]])</f>
        <v>N/A</v>
      </c>
      <c r="Y2590" s="1" t="str">
        <f>IF(Table1[[#This Row],[Std Read]]="","N/A",Table1[[#This Row],[Std Read]]+Table1[[#This Row],[Std Ucty]])</f>
        <v>N/A</v>
      </c>
      <c r="Z25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0" s="1" t="str">
        <f>IF(Table1[[#This Row],[Spec Type]]="","N/A",Table1[[#This Row],[Spec Type]])</f>
        <v>±</v>
      </c>
      <c r="AC2590" s="1" t="str">
        <f>IF(Table1[[#This Row],[Spec Type2]]="N/A","N/A",IF(AND(Table1[[#This Row],[DUT Adj Read]]&gt;=Table1[[#This Row],[Low Tol]],Table1[[#This Row],[DUT Adj Read]]&lt;=Table1[[#This Row],[High Tol]]),"Pass","Fail"))</f>
        <v>Fail</v>
      </c>
      <c r="AD2590" s="1" t="str">
        <f>IF(AND(Table1[[#This Row],[Spec Type2]]="N/A",Table1[[#This Row],[DUT Adj Read]]="N/A",Table1[[#This Row],[Std Adj Read]]="N/A"),"N/A",IF(Table1[[#This Row],[DUT Adj Read]]="N/A",IF(Table1[[#This Row],[Std Adj Read]]&gt;Table1[[#This Row],[Low Tol]],"Pass","Fail"),IF(Table1[[#This Row],[DUT Adj Read]]&gt;Table1[[#This Row],[Low Tol]],"Pass","Fail")))</f>
        <v>Pass</v>
      </c>
      <c r="AE2590" s="1" t="str">
        <f>IF(AND(Table1[[#This Row],[Spec Type2]]="N/A",Table1[[#This Row],[DUT Adj Read]]="N/A",Table1[[#This Row],[Std Adj Read]]="N/A"),"N/A",IF(Table1[[#This Row],[DUT Adj Read]]="N/A",IF(Table1[[#This Row],[Std Adj Read]]&lt;Table1[[#This Row],[High Tol]],"Pass","Fail"),IF(Table1[[#This Row],[DUT Adj Read]]&lt;Table1[[#This Row],[High Tol]],"Pass","Fail")))</f>
        <v>Fail</v>
      </c>
      <c r="AF2590" s="1" t="str">
        <f>IF(AND(Table1[[#This Row],[Spec Type2]]="N/A",Table1[[#This Row],[DUT Adj Read]]="N/A",Table1[[#This Row],[Std Adj Read]]="N/A"),"N/A",IF(Table1[[#This Row],[DUT Adj Read]]="N/A",IF(Table1[[#This Row],[Std Adj Read]]&gt;=Table1[[#This Row],[Low Tol]],"Pass","Fail"),IF(Table1[[#This Row],[DUT Adj Read]]&gt;=Table1[[#This Row],[Low Tol]],"Pass","Fail")))</f>
        <v>Pass</v>
      </c>
      <c r="AG2590" s="1" t="str">
        <f>IF(AND(Table1[[#This Row],[Spec Type2]]="N/A",Table1[[#This Row],[DUT Adj Read]]="N/A",Table1[[#This Row],[Std Adj Read]]="N/A"),"N/A",IF(Table1[[#This Row],[DUT Adj Read]]="N/A",IF(Table1[[#This Row],[Std Adj Read]]&lt;=Table1[[#This Row],[High Tol]],"Pass","Fail"),IF(Table1[[#This Row],[DUT Adj Read]]&lt;=Table1[[#This Row],[High Tol]],"Pass","Fail")))</f>
        <v>Fail</v>
      </c>
      <c r="AH25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0" s="1" t="b">
        <v>0</v>
      </c>
      <c r="AN2590" s="1" t="b">
        <v>0</v>
      </c>
      <c r="AO2590" s="1" t="b">
        <v>0</v>
      </c>
    </row>
    <row r="2591" spans="1:41" x14ac:dyDescent="0.25">
      <c r="A2591" s="10"/>
      <c r="B2591" s="10"/>
      <c r="C2591" s="10"/>
      <c r="D2591" s="10"/>
      <c r="E2591" s="10"/>
      <c r="F2591" s="10"/>
      <c r="G2591" s="10"/>
      <c r="H2591" s="10"/>
      <c r="I2591" s="1" t="str">
        <f t="shared" si="120"/>
        <v/>
      </c>
      <c r="J2591" s="1" t="s">
        <v>35</v>
      </c>
      <c r="K2591" s="1" t="str">
        <f t="shared" si="121"/>
        <v/>
      </c>
      <c r="L2591" s="1" t="str">
        <f t="shared" si="122"/>
        <v/>
      </c>
      <c r="M2591" s="1">
        <f>IF(OR(Table1[[#This Row],[Std Nom]]="",Table1[[#This Row],[Std Read]]=""),0,Table1[[#This Row],[Std Nom]]-Table1[[#This Row],[Std Read]])</f>
        <v>0</v>
      </c>
      <c r="N2591" s="1">
        <f>IF(Calculations!$F$5="ACCREDITED 17025 WITH UNCERTAINTIES",$N$10,0)</f>
        <v>0</v>
      </c>
      <c r="O2591" s="1" t="str">
        <f>IFERROR(Table1[[#This Row],[Std Nom]]-(_xlfn.XLOOKUP(Table1[[#This Row],[Manufacturer]]&amp;" "&amp;Table1[[#This Row],[Model]],Table13[MFR &amp; MDL],Table13[Tolerance % CW ],"")/100*Table1[[#This Row],[Std Nom]]),"")</f>
        <v/>
      </c>
      <c r="P2591" s="1" t="str">
        <f>IFERROR(Table1[[#This Row],[Std Nom]]+(_xlfn.XLOOKUP(Table1[[#This Row],[Manufacturer]]&amp;" "&amp;Table1[[#This Row],[Model]],Table13[MFR &amp; MDL],Table13[Tolerance % CW ],"")/100*Table1[[#This Row],[Std Nom]]),"")</f>
        <v/>
      </c>
      <c r="Q2591" s="1" t="e">
        <f>Table1[[#This Row],[High Tol]]-Table1[[#This Row],[Low Tol]]</f>
        <v>#VALUE!</v>
      </c>
      <c r="R2591" s="1">
        <f>2*Table1[[#This Row],[Std Error]]</f>
        <v>0</v>
      </c>
      <c r="S2591" s="1" t="str">
        <f>IF(Table1[[#This Row],[High Tol]]="","N/A",IFERROR(ABS(Table1[[#This Row],[Tol Span]]/Table1[[#This Row],[Error Span]]),"N/A"))</f>
        <v>N/A</v>
      </c>
      <c r="T2591" s="1" t="str">
        <f>IF(OR(Table1[[#This Row],[Low Tol]]="",Table1[[#This Row],[High Tol]]=""),"Needs Analysis",IF(Table1[[#This Row],[Ratio]]&gt;=4,"Not Significant",IF(Table1[[#This Row],[Ratio]]&gt;=2,"Semi-Significant","Significant")))</f>
        <v>Needs Analysis</v>
      </c>
      <c r="W2591" s="1">
        <f>IF(Table1[[#This Row],[Cal Type]]&lt;&gt;"ACCREDITED 17025 WITH UNCERTAINTIES",0,"")</f>
        <v>0</v>
      </c>
      <c r="X2591" s="1" t="str">
        <f>IF(Table1[[#This Row],[DUT Read]]="","N/A",Table1[[#This Row],[Std Error]]+Table1[[#This Row],[DUT Read]]+Table1[[#This Row],[DUT Ucty]])</f>
        <v>N/A</v>
      </c>
      <c r="Y2591" s="1" t="str">
        <f>IF(Table1[[#This Row],[Std Read]]="","N/A",Table1[[#This Row],[Std Read]]+Table1[[#This Row],[Std Ucty]])</f>
        <v>N/A</v>
      </c>
      <c r="Z25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1" s="1" t="str">
        <f>IF(Table1[[#This Row],[Spec Type]]="","N/A",Table1[[#This Row],[Spec Type]])</f>
        <v>±</v>
      </c>
      <c r="AC2591" s="1" t="str">
        <f>IF(Table1[[#This Row],[Spec Type2]]="N/A","N/A",IF(AND(Table1[[#This Row],[DUT Adj Read]]&gt;=Table1[[#This Row],[Low Tol]],Table1[[#This Row],[DUT Adj Read]]&lt;=Table1[[#This Row],[High Tol]]),"Pass","Fail"))</f>
        <v>Fail</v>
      </c>
      <c r="AD2591" s="1" t="str">
        <f>IF(AND(Table1[[#This Row],[Spec Type2]]="N/A",Table1[[#This Row],[DUT Adj Read]]="N/A",Table1[[#This Row],[Std Adj Read]]="N/A"),"N/A",IF(Table1[[#This Row],[DUT Adj Read]]="N/A",IF(Table1[[#This Row],[Std Adj Read]]&gt;Table1[[#This Row],[Low Tol]],"Pass","Fail"),IF(Table1[[#This Row],[DUT Adj Read]]&gt;Table1[[#This Row],[Low Tol]],"Pass","Fail")))</f>
        <v>Pass</v>
      </c>
      <c r="AE2591" s="1" t="str">
        <f>IF(AND(Table1[[#This Row],[Spec Type2]]="N/A",Table1[[#This Row],[DUT Adj Read]]="N/A",Table1[[#This Row],[Std Adj Read]]="N/A"),"N/A",IF(Table1[[#This Row],[DUT Adj Read]]="N/A",IF(Table1[[#This Row],[Std Adj Read]]&lt;Table1[[#This Row],[High Tol]],"Pass","Fail"),IF(Table1[[#This Row],[DUT Adj Read]]&lt;Table1[[#This Row],[High Tol]],"Pass","Fail")))</f>
        <v>Fail</v>
      </c>
      <c r="AF2591" s="1" t="str">
        <f>IF(AND(Table1[[#This Row],[Spec Type2]]="N/A",Table1[[#This Row],[DUT Adj Read]]="N/A",Table1[[#This Row],[Std Adj Read]]="N/A"),"N/A",IF(Table1[[#This Row],[DUT Adj Read]]="N/A",IF(Table1[[#This Row],[Std Adj Read]]&gt;=Table1[[#This Row],[Low Tol]],"Pass","Fail"),IF(Table1[[#This Row],[DUT Adj Read]]&gt;=Table1[[#This Row],[Low Tol]],"Pass","Fail")))</f>
        <v>Pass</v>
      </c>
      <c r="AG2591" s="1" t="str">
        <f>IF(AND(Table1[[#This Row],[Spec Type2]]="N/A",Table1[[#This Row],[DUT Adj Read]]="N/A",Table1[[#This Row],[Std Adj Read]]="N/A"),"N/A",IF(Table1[[#This Row],[DUT Adj Read]]="N/A",IF(Table1[[#This Row],[Std Adj Read]]&lt;=Table1[[#This Row],[High Tol]],"Pass","Fail"),IF(Table1[[#This Row],[DUT Adj Read]]&lt;=Table1[[#This Row],[High Tol]],"Pass","Fail")))</f>
        <v>Fail</v>
      </c>
      <c r="AH25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1" s="1" t="b">
        <v>0</v>
      </c>
      <c r="AN2591" s="1" t="b">
        <v>0</v>
      </c>
      <c r="AO2591" s="1" t="b">
        <v>0</v>
      </c>
    </row>
    <row r="2592" spans="1:41" x14ac:dyDescent="0.25">
      <c r="A2592" s="10"/>
      <c r="B2592" s="10"/>
      <c r="C2592" s="10"/>
      <c r="D2592" s="10"/>
      <c r="E2592" s="10"/>
      <c r="F2592" s="10"/>
      <c r="G2592" s="10"/>
      <c r="H2592" s="10"/>
      <c r="I2592" s="1" t="str">
        <f t="shared" si="120"/>
        <v/>
      </c>
      <c r="J2592" s="1" t="s">
        <v>35</v>
      </c>
      <c r="K2592" s="1" t="str">
        <f t="shared" si="121"/>
        <v/>
      </c>
      <c r="L2592" s="1" t="str">
        <f t="shared" si="122"/>
        <v/>
      </c>
      <c r="M2592" s="1">
        <f>IF(OR(Table1[[#This Row],[Std Nom]]="",Table1[[#This Row],[Std Read]]=""),0,Table1[[#This Row],[Std Nom]]-Table1[[#This Row],[Std Read]])</f>
        <v>0</v>
      </c>
      <c r="N2592" s="1">
        <f>IF(Calculations!$F$5="ACCREDITED 17025 WITH UNCERTAINTIES",$N$10,0)</f>
        <v>0</v>
      </c>
      <c r="O2592" s="1" t="str">
        <f>IFERROR(Table1[[#This Row],[Std Nom]]-(_xlfn.XLOOKUP(Table1[[#This Row],[Manufacturer]]&amp;" "&amp;Table1[[#This Row],[Model]],Table13[MFR &amp; MDL],Table13[Tolerance % CW ],"")/100*Table1[[#This Row],[Std Nom]]),"")</f>
        <v/>
      </c>
      <c r="P2592" s="1" t="str">
        <f>IFERROR(Table1[[#This Row],[Std Nom]]+(_xlfn.XLOOKUP(Table1[[#This Row],[Manufacturer]]&amp;" "&amp;Table1[[#This Row],[Model]],Table13[MFR &amp; MDL],Table13[Tolerance % CW ],"")/100*Table1[[#This Row],[Std Nom]]),"")</f>
        <v/>
      </c>
      <c r="Q2592" s="1" t="e">
        <f>Table1[[#This Row],[High Tol]]-Table1[[#This Row],[Low Tol]]</f>
        <v>#VALUE!</v>
      </c>
      <c r="R2592" s="1">
        <f>2*Table1[[#This Row],[Std Error]]</f>
        <v>0</v>
      </c>
      <c r="S2592" s="1" t="str">
        <f>IF(Table1[[#This Row],[High Tol]]="","N/A",IFERROR(ABS(Table1[[#This Row],[Tol Span]]/Table1[[#This Row],[Error Span]]),"N/A"))</f>
        <v>N/A</v>
      </c>
      <c r="T2592" s="1" t="str">
        <f>IF(OR(Table1[[#This Row],[Low Tol]]="",Table1[[#This Row],[High Tol]]=""),"Needs Analysis",IF(Table1[[#This Row],[Ratio]]&gt;=4,"Not Significant",IF(Table1[[#This Row],[Ratio]]&gt;=2,"Semi-Significant","Significant")))</f>
        <v>Needs Analysis</v>
      </c>
      <c r="W2592" s="1">
        <f>IF(Table1[[#This Row],[Cal Type]]&lt;&gt;"ACCREDITED 17025 WITH UNCERTAINTIES",0,"")</f>
        <v>0</v>
      </c>
      <c r="X2592" s="1" t="str">
        <f>IF(Table1[[#This Row],[DUT Read]]="","N/A",Table1[[#This Row],[Std Error]]+Table1[[#This Row],[DUT Read]]+Table1[[#This Row],[DUT Ucty]])</f>
        <v>N/A</v>
      </c>
      <c r="Y2592" s="1" t="str">
        <f>IF(Table1[[#This Row],[Std Read]]="","N/A",Table1[[#This Row],[Std Read]]+Table1[[#This Row],[Std Ucty]])</f>
        <v>N/A</v>
      </c>
      <c r="Z25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2" s="1" t="str">
        <f>IF(Table1[[#This Row],[Spec Type]]="","N/A",Table1[[#This Row],[Spec Type]])</f>
        <v>±</v>
      </c>
      <c r="AC2592" s="1" t="str">
        <f>IF(Table1[[#This Row],[Spec Type2]]="N/A","N/A",IF(AND(Table1[[#This Row],[DUT Adj Read]]&gt;=Table1[[#This Row],[Low Tol]],Table1[[#This Row],[DUT Adj Read]]&lt;=Table1[[#This Row],[High Tol]]),"Pass","Fail"))</f>
        <v>Fail</v>
      </c>
      <c r="AD2592" s="1" t="str">
        <f>IF(AND(Table1[[#This Row],[Spec Type2]]="N/A",Table1[[#This Row],[DUT Adj Read]]="N/A",Table1[[#This Row],[Std Adj Read]]="N/A"),"N/A",IF(Table1[[#This Row],[DUT Adj Read]]="N/A",IF(Table1[[#This Row],[Std Adj Read]]&gt;Table1[[#This Row],[Low Tol]],"Pass","Fail"),IF(Table1[[#This Row],[DUT Adj Read]]&gt;Table1[[#This Row],[Low Tol]],"Pass","Fail")))</f>
        <v>Pass</v>
      </c>
      <c r="AE2592" s="1" t="str">
        <f>IF(AND(Table1[[#This Row],[Spec Type2]]="N/A",Table1[[#This Row],[DUT Adj Read]]="N/A",Table1[[#This Row],[Std Adj Read]]="N/A"),"N/A",IF(Table1[[#This Row],[DUT Adj Read]]="N/A",IF(Table1[[#This Row],[Std Adj Read]]&lt;Table1[[#This Row],[High Tol]],"Pass","Fail"),IF(Table1[[#This Row],[DUT Adj Read]]&lt;Table1[[#This Row],[High Tol]],"Pass","Fail")))</f>
        <v>Fail</v>
      </c>
      <c r="AF2592" s="1" t="str">
        <f>IF(AND(Table1[[#This Row],[Spec Type2]]="N/A",Table1[[#This Row],[DUT Adj Read]]="N/A",Table1[[#This Row],[Std Adj Read]]="N/A"),"N/A",IF(Table1[[#This Row],[DUT Adj Read]]="N/A",IF(Table1[[#This Row],[Std Adj Read]]&gt;=Table1[[#This Row],[Low Tol]],"Pass","Fail"),IF(Table1[[#This Row],[DUT Adj Read]]&gt;=Table1[[#This Row],[Low Tol]],"Pass","Fail")))</f>
        <v>Pass</v>
      </c>
      <c r="AG2592" s="1" t="str">
        <f>IF(AND(Table1[[#This Row],[Spec Type2]]="N/A",Table1[[#This Row],[DUT Adj Read]]="N/A",Table1[[#This Row],[Std Adj Read]]="N/A"),"N/A",IF(Table1[[#This Row],[DUT Adj Read]]="N/A",IF(Table1[[#This Row],[Std Adj Read]]&lt;=Table1[[#This Row],[High Tol]],"Pass","Fail"),IF(Table1[[#This Row],[DUT Adj Read]]&lt;=Table1[[#This Row],[High Tol]],"Pass","Fail")))</f>
        <v>Fail</v>
      </c>
      <c r="AH25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2" s="1" t="b">
        <v>0</v>
      </c>
      <c r="AN2592" s="1" t="b">
        <v>0</v>
      </c>
      <c r="AO2592" s="1" t="b">
        <v>0</v>
      </c>
    </row>
    <row r="2593" spans="1:41" x14ac:dyDescent="0.25">
      <c r="A2593" s="10"/>
      <c r="B2593" s="10"/>
      <c r="C2593" s="10"/>
      <c r="D2593" s="10"/>
      <c r="E2593" s="10"/>
      <c r="F2593" s="10"/>
      <c r="G2593" s="10"/>
      <c r="H2593" s="10"/>
      <c r="I2593" s="1" t="str">
        <f t="shared" si="120"/>
        <v/>
      </c>
      <c r="J2593" s="1" t="s">
        <v>35</v>
      </c>
      <c r="K2593" s="1" t="str">
        <f t="shared" si="121"/>
        <v/>
      </c>
      <c r="L2593" s="1" t="str">
        <f t="shared" si="122"/>
        <v/>
      </c>
      <c r="M2593" s="1">
        <f>IF(OR(Table1[[#This Row],[Std Nom]]="",Table1[[#This Row],[Std Read]]=""),0,Table1[[#This Row],[Std Nom]]-Table1[[#This Row],[Std Read]])</f>
        <v>0</v>
      </c>
      <c r="N2593" s="1">
        <f>IF(Calculations!$F$5="ACCREDITED 17025 WITH UNCERTAINTIES",$N$10,0)</f>
        <v>0</v>
      </c>
      <c r="O2593" s="1" t="str">
        <f>IFERROR(Table1[[#This Row],[Std Nom]]-(_xlfn.XLOOKUP(Table1[[#This Row],[Manufacturer]]&amp;" "&amp;Table1[[#This Row],[Model]],Table13[MFR &amp; MDL],Table13[Tolerance % CW ],"")/100*Table1[[#This Row],[Std Nom]]),"")</f>
        <v/>
      </c>
      <c r="P2593" s="1" t="str">
        <f>IFERROR(Table1[[#This Row],[Std Nom]]+(_xlfn.XLOOKUP(Table1[[#This Row],[Manufacturer]]&amp;" "&amp;Table1[[#This Row],[Model]],Table13[MFR &amp; MDL],Table13[Tolerance % CW ],"")/100*Table1[[#This Row],[Std Nom]]),"")</f>
        <v/>
      </c>
      <c r="Q2593" s="1" t="e">
        <f>Table1[[#This Row],[High Tol]]-Table1[[#This Row],[Low Tol]]</f>
        <v>#VALUE!</v>
      </c>
      <c r="R2593" s="1">
        <f>2*Table1[[#This Row],[Std Error]]</f>
        <v>0</v>
      </c>
      <c r="S2593" s="1" t="str">
        <f>IF(Table1[[#This Row],[High Tol]]="","N/A",IFERROR(ABS(Table1[[#This Row],[Tol Span]]/Table1[[#This Row],[Error Span]]),"N/A"))</f>
        <v>N/A</v>
      </c>
      <c r="T2593" s="1" t="str">
        <f>IF(OR(Table1[[#This Row],[Low Tol]]="",Table1[[#This Row],[High Tol]]=""),"Needs Analysis",IF(Table1[[#This Row],[Ratio]]&gt;=4,"Not Significant",IF(Table1[[#This Row],[Ratio]]&gt;=2,"Semi-Significant","Significant")))</f>
        <v>Needs Analysis</v>
      </c>
      <c r="W2593" s="1">
        <f>IF(Table1[[#This Row],[Cal Type]]&lt;&gt;"ACCREDITED 17025 WITH UNCERTAINTIES",0,"")</f>
        <v>0</v>
      </c>
      <c r="X2593" s="1" t="str">
        <f>IF(Table1[[#This Row],[DUT Read]]="","N/A",Table1[[#This Row],[Std Error]]+Table1[[#This Row],[DUT Read]]+Table1[[#This Row],[DUT Ucty]])</f>
        <v>N/A</v>
      </c>
      <c r="Y2593" s="1" t="str">
        <f>IF(Table1[[#This Row],[Std Read]]="","N/A",Table1[[#This Row],[Std Read]]+Table1[[#This Row],[Std Ucty]])</f>
        <v>N/A</v>
      </c>
      <c r="Z25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3" s="1" t="str">
        <f>IF(Table1[[#This Row],[Spec Type]]="","N/A",Table1[[#This Row],[Spec Type]])</f>
        <v>±</v>
      </c>
      <c r="AC2593" s="1" t="str">
        <f>IF(Table1[[#This Row],[Spec Type2]]="N/A","N/A",IF(AND(Table1[[#This Row],[DUT Adj Read]]&gt;=Table1[[#This Row],[Low Tol]],Table1[[#This Row],[DUT Adj Read]]&lt;=Table1[[#This Row],[High Tol]]),"Pass","Fail"))</f>
        <v>Fail</v>
      </c>
      <c r="AD2593" s="1" t="str">
        <f>IF(AND(Table1[[#This Row],[Spec Type2]]="N/A",Table1[[#This Row],[DUT Adj Read]]="N/A",Table1[[#This Row],[Std Adj Read]]="N/A"),"N/A",IF(Table1[[#This Row],[DUT Adj Read]]="N/A",IF(Table1[[#This Row],[Std Adj Read]]&gt;Table1[[#This Row],[Low Tol]],"Pass","Fail"),IF(Table1[[#This Row],[DUT Adj Read]]&gt;Table1[[#This Row],[Low Tol]],"Pass","Fail")))</f>
        <v>Pass</v>
      </c>
      <c r="AE2593" s="1" t="str">
        <f>IF(AND(Table1[[#This Row],[Spec Type2]]="N/A",Table1[[#This Row],[DUT Adj Read]]="N/A",Table1[[#This Row],[Std Adj Read]]="N/A"),"N/A",IF(Table1[[#This Row],[DUT Adj Read]]="N/A",IF(Table1[[#This Row],[Std Adj Read]]&lt;Table1[[#This Row],[High Tol]],"Pass","Fail"),IF(Table1[[#This Row],[DUT Adj Read]]&lt;Table1[[#This Row],[High Tol]],"Pass","Fail")))</f>
        <v>Fail</v>
      </c>
      <c r="AF2593" s="1" t="str">
        <f>IF(AND(Table1[[#This Row],[Spec Type2]]="N/A",Table1[[#This Row],[DUT Adj Read]]="N/A",Table1[[#This Row],[Std Adj Read]]="N/A"),"N/A",IF(Table1[[#This Row],[DUT Adj Read]]="N/A",IF(Table1[[#This Row],[Std Adj Read]]&gt;=Table1[[#This Row],[Low Tol]],"Pass","Fail"),IF(Table1[[#This Row],[DUT Adj Read]]&gt;=Table1[[#This Row],[Low Tol]],"Pass","Fail")))</f>
        <v>Pass</v>
      </c>
      <c r="AG2593" s="1" t="str">
        <f>IF(AND(Table1[[#This Row],[Spec Type2]]="N/A",Table1[[#This Row],[DUT Adj Read]]="N/A",Table1[[#This Row],[Std Adj Read]]="N/A"),"N/A",IF(Table1[[#This Row],[DUT Adj Read]]="N/A",IF(Table1[[#This Row],[Std Adj Read]]&lt;=Table1[[#This Row],[High Tol]],"Pass","Fail"),IF(Table1[[#This Row],[DUT Adj Read]]&lt;=Table1[[#This Row],[High Tol]],"Pass","Fail")))</f>
        <v>Fail</v>
      </c>
      <c r="AH25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3" s="1" t="b">
        <v>0</v>
      </c>
      <c r="AN2593" s="1" t="b">
        <v>0</v>
      </c>
      <c r="AO2593" s="1" t="b">
        <v>0</v>
      </c>
    </row>
    <row r="2594" spans="1:41" x14ac:dyDescent="0.25">
      <c r="A2594" s="10"/>
      <c r="B2594" s="10"/>
      <c r="C2594" s="10"/>
      <c r="D2594" s="10"/>
      <c r="E2594" s="10"/>
      <c r="F2594" s="10"/>
      <c r="G2594" s="10"/>
      <c r="H2594" s="10"/>
      <c r="I2594" s="1" t="str">
        <f t="shared" si="120"/>
        <v/>
      </c>
      <c r="J2594" s="1" t="s">
        <v>35</v>
      </c>
      <c r="K2594" s="1" t="str">
        <f t="shared" si="121"/>
        <v/>
      </c>
      <c r="L2594" s="1" t="str">
        <f t="shared" si="122"/>
        <v/>
      </c>
      <c r="M2594" s="1">
        <f>IF(OR(Table1[[#This Row],[Std Nom]]="",Table1[[#This Row],[Std Read]]=""),0,Table1[[#This Row],[Std Nom]]-Table1[[#This Row],[Std Read]])</f>
        <v>0</v>
      </c>
      <c r="N2594" s="1">
        <f>IF(Calculations!$F$5="ACCREDITED 17025 WITH UNCERTAINTIES",$N$10,0)</f>
        <v>0</v>
      </c>
      <c r="O2594" s="1" t="str">
        <f>IFERROR(Table1[[#This Row],[Std Nom]]-(_xlfn.XLOOKUP(Table1[[#This Row],[Manufacturer]]&amp;" "&amp;Table1[[#This Row],[Model]],Table13[MFR &amp; MDL],Table13[Tolerance % CW ],"")/100*Table1[[#This Row],[Std Nom]]),"")</f>
        <v/>
      </c>
      <c r="P2594" s="1" t="str">
        <f>IFERROR(Table1[[#This Row],[Std Nom]]+(_xlfn.XLOOKUP(Table1[[#This Row],[Manufacturer]]&amp;" "&amp;Table1[[#This Row],[Model]],Table13[MFR &amp; MDL],Table13[Tolerance % CW ],"")/100*Table1[[#This Row],[Std Nom]]),"")</f>
        <v/>
      </c>
      <c r="Q2594" s="1" t="e">
        <f>Table1[[#This Row],[High Tol]]-Table1[[#This Row],[Low Tol]]</f>
        <v>#VALUE!</v>
      </c>
      <c r="R2594" s="1">
        <f>2*Table1[[#This Row],[Std Error]]</f>
        <v>0</v>
      </c>
      <c r="S2594" s="1" t="str">
        <f>IF(Table1[[#This Row],[High Tol]]="","N/A",IFERROR(ABS(Table1[[#This Row],[Tol Span]]/Table1[[#This Row],[Error Span]]),"N/A"))</f>
        <v>N/A</v>
      </c>
      <c r="T2594" s="1" t="str">
        <f>IF(OR(Table1[[#This Row],[Low Tol]]="",Table1[[#This Row],[High Tol]]=""),"Needs Analysis",IF(Table1[[#This Row],[Ratio]]&gt;=4,"Not Significant",IF(Table1[[#This Row],[Ratio]]&gt;=2,"Semi-Significant","Significant")))</f>
        <v>Needs Analysis</v>
      </c>
      <c r="W2594" s="1">
        <f>IF(Table1[[#This Row],[Cal Type]]&lt;&gt;"ACCREDITED 17025 WITH UNCERTAINTIES",0,"")</f>
        <v>0</v>
      </c>
      <c r="X2594" s="1" t="str">
        <f>IF(Table1[[#This Row],[DUT Read]]="","N/A",Table1[[#This Row],[Std Error]]+Table1[[#This Row],[DUT Read]]+Table1[[#This Row],[DUT Ucty]])</f>
        <v>N/A</v>
      </c>
      <c r="Y2594" s="1" t="str">
        <f>IF(Table1[[#This Row],[Std Read]]="","N/A",Table1[[#This Row],[Std Read]]+Table1[[#This Row],[Std Ucty]])</f>
        <v>N/A</v>
      </c>
      <c r="Z25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4" s="1" t="str">
        <f>IF(Table1[[#This Row],[Spec Type]]="","N/A",Table1[[#This Row],[Spec Type]])</f>
        <v>±</v>
      </c>
      <c r="AC2594" s="1" t="str">
        <f>IF(Table1[[#This Row],[Spec Type2]]="N/A","N/A",IF(AND(Table1[[#This Row],[DUT Adj Read]]&gt;=Table1[[#This Row],[Low Tol]],Table1[[#This Row],[DUT Adj Read]]&lt;=Table1[[#This Row],[High Tol]]),"Pass","Fail"))</f>
        <v>Fail</v>
      </c>
      <c r="AD2594" s="1" t="str">
        <f>IF(AND(Table1[[#This Row],[Spec Type2]]="N/A",Table1[[#This Row],[DUT Adj Read]]="N/A",Table1[[#This Row],[Std Adj Read]]="N/A"),"N/A",IF(Table1[[#This Row],[DUT Adj Read]]="N/A",IF(Table1[[#This Row],[Std Adj Read]]&gt;Table1[[#This Row],[Low Tol]],"Pass","Fail"),IF(Table1[[#This Row],[DUT Adj Read]]&gt;Table1[[#This Row],[Low Tol]],"Pass","Fail")))</f>
        <v>Pass</v>
      </c>
      <c r="AE2594" s="1" t="str">
        <f>IF(AND(Table1[[#This Row],[Spec Type2]]="N/A",Table1[[#This Row],[DUT Adj Read]]="N/A",Table1[[#This Row],[Std Adj Read]]="N/A"),"N/A",IF(Table1[[#This Row],[DUT Adj Read]]="N/A",IF(Table1[[#This Row],[Std Adj Read]]&lt;Table1[[#This Row],[High Tol]],"Pass","Fail"),IF(Table1[[#This Row],[DUT Adj Read]]&lt;Table1[[#This Row],[High Tol]],"Pass","Fail")))</f>
        <v>Fail</v>
      </c>
      <c r="AF2594" s="1" t="str">
        <f>IF(AND(Table1[[#This Row],[Spec Type2]]="N/A",Table1[[#This Row],[DUT Adj Read]]="N/A",Table1[[#This Row],[Std Adj Read]]="N/A"),"N/A",IF(Table1[[#This Row],[DUT Adj Read]]="N/A",IF(Table1[[#This Row],[Std Adj Read]]&gt;=Table1[[#This Row],[Low Tol]],"Pass","Fail"),IF(Table1[[#This Row],[DUT Adj Read]]&gt;=Table1[[#This Row],[Low Tol]],"Pass","Fail")))</f>
        <v>Pass</v>
      </c>
      <c r="AG2594" s="1" t="str">
        <f>IF(AND(Table1[[#This Row],[Spec Type2]]="N/A",Table1[[#This Row],[DUT Adj Read]]="N/A",Table1[[#This Row],[Std Adj Read]]="N/A"),"N/A",IF(Table1[[#This Row],[DUT Adj Read]]="N/A",IF(Table1[[#This Row],[Std Adj Read]]&lt;=Table1[[#This Row],[High Tol]],"Pass","Fail"),IF(Table1[[#This Row],[DUT Adj Read]]&lt;=Table1[[#This Row],[High Tol]],"Pass","Fail")))</f>
        <v>Fail</v>
      </c>
      <c r="AH25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4" s="1" t="b">
        <v>0</v>
      </c>
      <c r="AN2594" s="1" t="b">
        <v>0</v>
      </c>
      <c r="AO2594" s="1" t="b">
        <v>0</v>
      </c>
    </row>
    <row r="2595" spans="1:41" x14ac:dyDescent="0.25">
      <c r="A2595" s="10"/>
      <c r="B2595" s="10"/>
      <c r="C2595" s="10"/>
      <c r="D2595" s="10"/>
      <c r="E2595" s="10"/>
      <c r="F2595" s="10"/>
      <c r="G2595" s="10"/>
      <c r="H2595" s="10"/>
      <c r="I2595" s="1" t="str">
        <f t="shared" si="120"/>
        <v/>
      </c>
      <c r="J2595" s="1" t="s">
        <v>35</v>
      </c>
      <c r="K2595" s="1" t="str">
        <f t="shared" si="121"/>
        <v/>
      </c>
      <c r="L2595" s="1" t="str">
        <f t="shared" si="122"/>
        <v/>
      </c>
      <c r="M2595" s="1">
        <f>IF(OR(Table1[[#This Row],[Std Nom]]="",Table1[[#This Row],[Std Read]]=""),0,Table1[[#This Row],[Std Nom]]-Table1[[#This Row],[Std Read]])</f>
        <v>0</v>
      </c>
      <c r="N2595" s="1">
        <f>IF(Calculations!$F$5="ACCREDITED 17025 WITH UNCERTAINTIES",$N$10,0)</f>
        <v>0</v>
      </c>
      <c r="O2595" s="1" t="str">
        <f>IFERROR(Table1[[#This Row],[Std Nom]]-(_xlfn.XLOOKUP(Table1[[#This Row],[Manufacturer]]&amp;" "&amp;Table1[[#This Row],[Model]],Table13[MFR &amp; MDL],Table13[Tolerance % CW ],"")/100*Table1[[#This Row],[Std Nom]]),"")</f>
        <v/>
      </c>
      <c r="P2595" s="1" t="str">
        <f>IFERROR(Table1[[#This Row],[Std Nom]]+(_xlfn.XLOOKUP(Table1[[#This Row],[Manufacturer]]&amp;" "&amp;Table1[[#This Row],[Model]],Table13[MFR &amp; MDL],Table13[Tolerance % CW ],"")/100*Table1[[#This Row],[Std Nom]]),"")</f>
        <v/>
      </c>
      <c r="Q2595" s="1" t="e">
        <f>Table1[[#This Row],[High Tol]]-Table1[[#This Row],[Low Tol]]</f>
        <v>#VALUE!</v>
      </c>
      <c r="R2595" s="1">
        <f>2*Table1[[#This Row],[Std Error]]</f>
        <v>0</v>
      </c>
      <c r="S2595" s="1" t="str">
        <f>IF(Table1[[#This Row],[High Tol]]="","N/A",IFERROR(ABS(Table1[[#This Row],[Tol Span]]/Table1[[#This Row],[Error Span]]),"N/A"))</f>
        <v>N/A</v>
      </c>
      <c r="T2595" s="1" t="str">
        <f>IF(OR(Table1[[#This Row],[Low Tol]]="",Table1[[#This Row],[High Tol]]=""),"Needs Analysis",IF(Table1[[#This Row],[Ratio]]&gt;=4,"Not Significant",IF(Table1[[#This Row],[Ratio]]&gt;=2,"Semi-Significant","Significant")))</f>
        <v>Needs Analysis</v>
      </c>
      <c r="W2595" s="1">
        <f>IF(Table1[[#This Row],[Cal Type]]&lt;&gt;"ACCREDITED 17025 WITH UNCERTAINTIES",0,"")</f>
        <v>0</v>
      </c>
      <c r="X2595" s="1" t="str">
        <f>IF(Table1[[#This Row],[DUT Read]]="","N/A",Table1[[#This Row],[Std Error]]+Table1[[#This Row],[DUT Read]]+Table1[[#This Row],[DUT Ucty]])</f>
        <v>N/A</v>
      </c>
      <c r="Y2595" s="1" t="str">
        <f>IF(Table1[[#This Row],[Std Read]]="","N/A",Table1[[#This Row],[Std Read]]+Table1[[#This Row],[Std Ucty]])</f>
        <v>N/A</v>
      </c>
      <c r="Z25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5" s="1" t="str">
        <f>IF(Table1[[#This Row],[Spec Type]]="","N/A",Table1[[#This Row],[Spec Type]])</f>
        <v>±</v>
      </c>
      <c r="AC2595" s="1" t="str">
        <f>IF(Table1[[#This Row],[Spec Type2]]="N/A","N/A",IF(AND(Table1[[#This Row],[DUT Adj Read]]&gt;=Table1[[#This Row],[Low Tol]],Table1[[#This Row],[DUT Adj Read]]&lt;=Table1[[#This Row],[High Tol]]),"Pass","Fail"))</f>
        <v>Fail</v>
      </c>
      <c r="AD2595" s="1" t="str">
        <f>IF(AND(Table1[[#This Row],[Spec Type2]]="N/A",Table1[[#This Row],[DUT Adj Read]]="N/A",Table1[[#This Row],[Std Adj Read]]="N/A"),"N/A",IF(Table1[[#This Row],[DUT Adj Read]]="N/A",IF(Table1[[#This Row],[Std Adj Read]]&gt;Table1[[#This Row],[Low Tol]],"Pass","Fail"),IF(Table1[[#This Row],[DUT Adj Read]]&gt;Table1[[#This Row],[Low Tol]],"Pass","Fail")))</f>
        <v>Pass</v>
      </c>
      <c r="AE2595" s="1" t="str">
        <f>IF(AND(Table1[[#This Row],[Spec Type2]]="N/A",Table1[[#This Row],[DUT Adj Read]]="N/A",Table1[[#This Row],[Std Adj Read]]="N/A"),"N/A",IF(Table1[[#This Row],[DUT Adj Read]]="N/A",IF(Table1[[#This Row],[Std Adj Read]]&lt;Table1[[#This Row],[High Tol]],"Pass","Fail"),IF(Table1[[#This Row],[DUT Adj Read]]&lt;Table1[[#This Row],[High Tol]],"Pass","Fail")))</f>
        <v>Fail</v>
      </c>
      <c r="AF2595" s="1" t="str">
        <f>IF(AND(Table1[[#This Row],[Spec Type2]]="N/A",Table1[[#This Row],[DUT Adj Read]]="N/A",Table1[[#This Row],[Std Adj Read]]="N/A"),"N/A",IF(Table1[[#This Row],[DUT Adj Read]]="N/A",IF(Table1[[#This Row],[Std Adj Read]]&gt;=Table1[[#This Row],[Low Tol]],"Pass","Fail"),IF(Table1[[#This Row],[DUT Adj Read]]&gt;=Table1[[#This Row],[Low Tol]],"Pass","Fail")))</f>
        <v>Pass</v>
      </c>
      <c r="AG2595" s="1" t="str">
        <f>IF(AND(Table1[[#This Row],[Spec Type2]]="N/A",Table1[[#This Row],[DUT Adj Read]]="N/A",Table1[[#This Row],[Std Adj Read]]="N/A"),"N/A",IF(Table1[[#This Row],[DUT Adj Read]]="N/A",IF(Table1[[#This Row],[Std Adj Read]]&lt;=Table1[[#This Row],[High Tol]],"Pass","Fail"),IF(Table1[[#This Row],[DUT Adj Read]]&lt;=Table1[[#This Row],[High Tol]],"Pass","Fail")))</f>
        <v>Fail</v>
      </c>
      <c r="AH25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5" s="1" t="b">
        <v>0</v>
      </c>
      <c r="AN2595" s="1" t="b">
        <v>0</v>
      </c>
      <c r="AO2595" s="1" t="b">
        <v>0</v>
      </c>
    </row>
    <row r="2596" spans="1:41" x14ac:dyDescent="0.25">
      <c r="A2596" s="10"/>
      <c r="B2596" s="10"/>
      <c r="C2596" s="10"/>
      <c r="D2596" s="10"/>
      <c r="E2596" s="10"/>
      <c r="F2596" s="10"/>
      <c r="G2596" s="10"/>
      <c r="H2596" s="10"/>
      <c r="I2596" s="1" t="str">
        <f t="shared" si="120"/>
        <v/>
      </c>
      <c r="J2596" s="1" t="s">
        <v>35</v>
      </c>
      <c r="K2596" s="1" t="str">
        <f t="shared" si="121"/>
        <v/>
      </c>
      <c r="L2596" s="1" t="str">
        <f t="shared" si="122"/>
        <v/>
      </c>
      <c r="M2596" s="1">
        <f>IF(OR(Table1[[#This Row],[Std Nom]]="",Table1[[#This Row],[Std Read]]=""),0,Table1[[#This Row],[Std Nom]]-Table1[[#This Row],[Std Read]])</f>
        <v>0</v>
      </c>
      <c r="N2596" s="1">
        <f>IF(Calculations!$F$5="ACCREDITED 17025 WITH UNCERTAINTIES",$N$10,0)</f>
        <v>0</v>
      </c>
      <c r="O2596" s="1" t="str">
        <f>IFERROR(Table1[[#This Row],[Std Nom]]-(_xlfn.XLOOKUP(Table1[[#This Row],[Manufacturer]]&amp;" "&amp;Table1[[#This Row],[Model]],Table13[MFR &amp; MDL],Table13[Tolerance % CW ],"")/100*Table1[[#This Row],[Std Nom]]),"")</f>
        <v/>
      </c>
      <c r="P2596" s="1" t="str">
        <f>IFERROR(Table1[[#This Row],[Std Nom]]+(_xlfn.XLOOKUP(Table1[[#This Row],[Manufacturer]]&amp;" "&amp;Table1[[#This Row],[Model]],Table13[MFR &amp; MDL],Table13[Tolerance % CW ],"")/100*Table1[[#This Row],[Std Nom]]),"")</f>
        <v/>
      </c>
      <c r="Q2596" s="1" t="e">
        <f>Table1[[#This Row],[High Tol]]-Table1[[#This Row],[Low Tol]]</f>
        <v>#VALUE!</v>
      </c>
      <c r="R2596" s="1">
        <f>2*Table1[[#This Row],[Std Error]]</f>
        <v>0</v>
      </c>
      <c r="S2596" s="1" t="str">
        <f>IF(Table1[[#This Row],[High Tol]]="","N/A",IFERROR(ABS(Table1[[#This Row],[Tol Span]]/Table1[[#This Row],[Error Span]]),"N/A"))</f>
        <v>N/A</v>
      </c>
      <c r="T2596" s="1" t="str">
        <f>IF(OR(Table1[[#This Row],[Low Tol]]="",Table1[[#This Row],[High Tol]]=""),"Needs Analysis",IF(Table1[[#This Row],[Ratio]]&gt;=4,"Not Significant",IF(Table1[[#This Row],[Ratio]]&gt;=2,"Semi-Significant","Significant")))</f>
        <v>Needs Analysis</v>
      </c>
      <c r="W2596" s="1">
        <f>IF(Table1[[#This Row],[Cal Type]]&lt;&gt;"ACCREDITED 17025 WITH UNCERTAINTIES",0,"")</f>
        <v>0</v>
      </c>
      <c r="X2596" s="1" t="str">
        <f>IF(Table1[[#This Row],[DUT Read]]="","N/A",Table1[[#This Row],[Std Error]]+Table1[[#This Row],[DUT Read]]+Table1[[#This Row],[DUT Ucty]])</f>
        <v>N/A</v>
      </c>
      <c r="Y2596" s="1" t="str">
        <f>IF(Table1[[#This Row],[Std Read]]="","N/A",Table1[[#This Row],[Std Read]]+Table1[[#This Row],[Std Ucty]])</f>
        <v>N/A</v>
      </c>
      <c r="Z25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6" s="1" t="str">
        <f>IF(Table1[[#This Row],[Spec Type]]="","N/A",Table1[[#This Row],[Spec Type]])</f>
        <v>±</v>
      </c>
      <c r="AC2596" s="1" t="str">
        <f>IF(Table1[[#This Row],[Spec Type2]]="N/A","N/A",IF(AND(Table1[[#This Row],[DUT Adj Read]]&gt;=Table1[[#This Row],[Low Tol]],Table1[[#This Row],[DUT Adj Read]]&lt;=Table1[[#This Row],[High Tol]]),"Pass","Fail"))</f>
        <v>Fail</v>
      </c>
      <c r="AD2596" s="1" t="str">
        <f>IF(AND(Table1[[#This Row],[Spec Type2]]="N/A",Table1[[#This Row],[DUT Adj Read]]="N/A",Table1[[#This Row],[Std Adj Read]]="N/A"),"N/A",IF(Table1[[#This Row],[DUT Adj Read]]="N/A",IF(Table1[[#This Row],[Std Adj Read]]&gt;Table1[[#This Row],[Low Tol]],"Pass","Fail"),IF(Table1[[#This Row],[DUT Adj Read]]&gt;Table1[[#This Row],[Low Tol]],"Pass","Fail")))</f>
        <v>Pass</v>
      </c>
      <c r="AE2596" s="1" t="str">
        <f>IF(AND(Table1[[#This Row],[Spec Type2]]="N/A",Table1[[#This Row],[DUT Adj Read]]="N/A",Table1[[#This Row],[Std Adj Read]]="N/A"),"N/A",IF(Table1[[#This Row],[DUT Adj Read]]="N/A",IF(Table1[[#This Row],[Std Adj Read]]&lt;Table1[[#This Row],[High Tol]],"Pass","Fail"),IF(Table1[[#This Row],[DUT Adj Read]]&lt;Table1[[#This Row],[High Tol]],"Pass","Fail")))</f>
        <v>Fail</v>
      </c>
      <c r="AF2596" s="1" t="str">
        <f>IF(AND(Table1[[#This Row],[Spec Type2]]="N/A",Table1[[#This Row],[DUT Adj Read]]="N/A",Table1[[#This Row],[Std Adj Read]]="N/A"),"N/A",IF(Table1[[#This Row],[DUT Adj Read]]="N/A",IF(Table1[[#This Row],[Std Adj Read]]&gt;=Table1[[#This Row],[Low Tol]],"Pass","Fail"),IF(Table1[[#This Row],[DUT Adj Read]]&gt;=Table1[[#This Row],[Low Tol]],"Pass","Fail")))</f>
        <v>Pass</v>
      </c>
      <c r="AG2596" s="1" t="str">
        <f>IF(AND(Table1[[#This Row],[Spec Type2]]="N/A",Table1[[#This Row],[DUT Adj Read]]="N/A",Table1[[#This Row],[Std Adj Read]]="N/A"),"N/A",IF(Table1[[#This Row],[DUT Adj Read]]="N/A",IF(Table1[[#This Row],[Std Adj Read]]&lt;=Table1[[#This Row],[High Tol]],"Pass","Fail"),IF(Table1[[#This Row],[DUT Adj Read]]&lt;=Table1[[#This Row],[High Tol]],"Pass","Fail")))</f>
        <v>Fail</v>
      </c>
      <c r="AH25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6" s="1" t="b">
        <v>0</v>
      </c>
      <c r="AN2596" s="1" t="b">
        <v>0</v>
      </c>
      <c r="AO2596" s="1" t="b">
        <v>0</v>
      </c>
    </row>
    <row r="2597" spans="1:41" x14ac:dyDescent="0.25">
      <c r="A2597" s="10"/>
      <c r="B2597" s="10"/>
      <c r="C2597" s="10"/>
      <c r="D2597" s="10"/>
      <c r="E2597" s="10"/>
      <c r="F2597" s="10"/>
      <c r="G2597" s="10"/>
      <c r="H2597" s="10"/>
      <c r="I2597" s="1" t="str">
        <f t="shared" si="120"/>
        <v/>
      </c>
      <c r="J2597" s="1" t="s">
        <v>35</v>
      </c>
      <c r="K2597" s="1" t="str">
        <f t="shared" si="121"/>
        <v/>
      </c>
      <c r="L2597" s="1" t="str">
        <f t="shared" si="122"/>
        <v/>
      </c>
      <c r="M2597" s="1">
        <f>IF(OR(Table1[[#This Row],[Std Nom]]="",Table1[[#This Row],[Std Read]]=""),0,Table1[[#This Row],[Std Nom]]-Table1[[#This Row],[Std Read]])</f>
        <v>0</v>
      </c>
      <c r="N2597" s="1">
        <f>IF(Calculations!$F$5="ACCREDITED 17025 WITH UNCERTAINTIES",$N$10,0)</f>
        <v>0</v>
      </c>
      <c r="O2597" s="1" t="str">
        <f>IFERROR(Table1[[#This Row],[Std Nom]]-(_xlfn.XLOOKUP(Table1[[#This Row],[Manufacturer]]&amp;" "&amp;Table1[[#This Row],[Model]],Table13[MFR &amp; MDL],Table13[Tolerance % CW ],"")/100*Table1[[#This Row],[Std Nom]]),"")</f>
        <v/>
      </c>
      <c r="P2597" s="1" t="str">
        <f>IFERROR(Table1[[#This Row],[Std Nom]]+(_xlfn.XLOOKUP(Table1[[#This Row],[Manufacturer]]&amp;" "&amp;Table1[[#This Row],[Model]],Table13[MFR &amp; MDL],Table13[Tolerance % CW ],"")/100*Table1[[#This Row],[Std Nom]]),"")</f>
        <v/>
      </c>
      <c r="Q2597" s="1" t="e">
        <f>Table1[[#This Row],[High Tol]]-Table1[[#This Row],[Low Tol]]</f>
        <v>#VALUE!</v>
      </c>
      <c r="R2597" s="1">
        <f>2*Table1[[#This Row],[Std Error]]</f>
        <v>0</v>
      </c>
      <c r="S2597" s="1" t="str">
        <f>IF(Table1[[#This Row],[High Tol]]="","N/A",IFERROR(ABS(Table1[[#This Row],[Tol Span]]/Table1[[#This Row],[Error Span]]),"N/A"))</f>
        <v>N/A</v>
      </c>
      <c r="T2597" s="1" t="str">
        <f>IF(OR(Table1[[#This Row],[Low Tol]]="",Table1[[#This Row],[High Tol]]=""),"Needs Analysis",IF(Table1[[#This Row],[Ratio]]&gt;=4,"Not Significant",IF(Table1[[#This Row],[Ratio]]&gt;=2,"Semi-Significant","Significant")))</f>
        <v>Needs Analysis</v>
      </c>
      <c r="W2597" s="1">
        <f>IF(Table1[[#This Row],[Cal Type]]&lt;&gt;"ACCREDITED 17025 WITH UNCERTAINTIES",0,"")</f>
        <v>0</v>
      </c>
      <c r="X2597" s="1" t="str">
        <f>IF(Table1[[#This Row],[DUT Read]]="","N/A",Table1[[#This Row],[Std Error]]+Table1[[#This Row],[DUT Read]]+Table1[[#This Row],[DUT Ucty]])</f>
        <v>N/A</v>
      </c>
      <c r="Y2597" s="1" t="str">
        <f>IF(Table1[[#This Row],[Std Read]]="","N/A",Table1[[#This Row],[Std Read]]+Table1[[#This Row],[Std Ucty]])</f>
        <v>N/A</v>
      </c>
      <c r="Z25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7" s="1" t="str">
        <f>IF(Table1[[#This Row],[Spec Type]]="","N/A",Table1[[#This Row],[Spec Type]])</f>
        <v>±</v>
      </c>
      <c r="AC2597" s="1" t="str">
        <f>IF(Table1[[#This Row],[Spec Type2]]="N/A","N/A",IF(AND(Table1[[#This Row],[DUT Adj Read]]&gt;=Table1[[#This Row],[Low Tol]],Table1[[#This Row],[DUT Adj Read]]&lt;=Table1[[#This Row],[High Tol]]),"Pass","Fail"))</f>
        <v>Fail</v>
      </c>
      <c r="AD2597" s="1" t="str">
        <f>IF(AND(Table1[[#This Row],[Spec Type2]]="N/A",Table1[[#This Row],[DUT Adj Read]]="N/A",Table1[[#This Row],[Std Adj Read]]="N/A"),"N/A",IF(Table1[[#This Row],[DUT Adj Read]]="N/A",IF(Table1[[#This Row],[Std Adj Read]]&gt;Table1[[#This Row],[Low Tol]],"Pass","Fail"),IF(Table1[[#This Row],[DUT Adj Read]]&gt;Table1[[#This Row],[Low Tol]],"Pass","Fail")))</f>
        <v>Pass</v>
      </c>
      <c r="AE2597" s="1" t="str">
        <f>IF(AND(Table1[[#This Row],[Spec Type2]]="N/A",Table1[[#This Row],[DUT Adj Read]]="N/A",Table1[[#This Row],[Std Adj Read]]="N/A"),"N/A",IF(Table1[[#This Row],[DUT Adj Read]]="N/A",IF(Table1[[#This Row],[Std Adj Read]]&lt;Table1[[#This Row],[High Tol]],"Pass","Fail"),IF(Table1[[#This Row],[DUT Adj Read]]&lt;Table1[[#This Row],[High Tol]],"Pass","Fail")))</f>
        <v>Fail</v>
      </c>
      <c r="AF2597" s="1" t="str">
        <f>IF(AND(Table1[[#This Row],[Spec Type2]]="N/A",Table1[[#This Row],[DUT Adj Read]]="N/A",Table1[[#This Row],[Std Adj Read]]="N/A"),"N/A",IF(Table1[[#This Row],[DUT Adj Read]]="N/A",IF(Table1[[#This Row],[Std Adj Read]]&gt;=Table1[[#This Row],[Low Tol]],"Pass","Fail"),IF(Table1[[#This Row],[DUT Adj Read]]&gt;=Table1[[#This Row],[Low Tol]],"Pass","Fail")))</f>
        <v>Pass</v>
      </c>
      <c r="AG2597" s="1" t="str">
        <f>IF(AND(Table1[[#This Row],[Spec Type2]]="N/A",Table1[[#This Row],[DUT Adj Read]]="N/A",Table1[[#This Row],[Std Adj Read]]="N/A"),"N/A",IF(Table1[[#This Row],[DUT Adj Read]]="N/A",IF(Table1[[#This Row],[Std Adj Read]]&lt;=Table1[[#This Row],[High Tol]],"Pass","Fail"),IF(Table1[[#This Row],[DUT Adj Read]]&lt;=Table1[[#This Row],[High Tol]],"Pass","Fail")))</f>
        <v>Fail</v>
      </c>
      <c r="AH25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7" s="1" t="b">
        <v>0</v>
      </c>
      <c r="AN2597" s="1" t="b">
        <v>0</v>
      </c>
      <c r="AO2597" s="1" t="b">
        <v>0</v>
      </c>
    </row>
    <row r="2598" spans="1:41" x14ac:dyDescent="0.25">
      <c r="A2598" s="10"/>
      <c r="B2598" s="10"/>
      <c r="C2598" s="10"/>
      <c r="D2598" s="10"/>
      <c r="E2598" s="10"/>
      <c r="F2598" s="10"/>
      <c r="G2598" s="10"/>
      <c r="H2598" s="10"/>
      <c r="I2598" s="1" t="str">
        <f t="shared" si="120"/>
        <v/>
      </c>
      <c r="J2598" s="1" t="s">
        <v>35</v>
      </c>
      <c r="K2598" s="1" t="str">
        <f t="shared" si="121"/>
        <v/>
      </c>
      <c r="L2598" s="1" t="str">
        <f t="shared" si="122"/>
        <v/>
      </c>
      <c r="M2598" s="1">
        <f>IF(OR(Table1[[#This Row],[Std Nom]]="",Table1[[#This Row],[Std Read]]=""),0,Table1[[#This Row],[Std Nom]]-Table1[[#This Row],[Std Read]])</f>
        <v>0</v>
      </c>
      <c r="N2598" s="1">
        <f>IF(Calculations!$F$5="ACCREDITED 17025 WITH UNCERTAINTIES",$N$10,0)</f>
        <v>0</v>
      </c>
      <c r="O2598" s="1" t="str">
        <f>IFERROR(Table1[[#This Row],[Std Nom]]-(_xlfn.XLOOKUP(Table1[[#This Row],[Manufacturer]]&amp;" "&amp;Table1[[#This Row],[Model]],Table13[MFR &amp; MDL],Table13[Tolerance % CW ],"")/100*Table1[[#This Row],[Std Nom]]),"")</f>
        <v/>
      </c>
      <c r="P2598" s="1" t="str">
        <f>IFERROR(Table1[[#This Row],[Std Nom]]+(_xlfn.XLOOKUP(Table1[[#This Row],[Manufacturer]]&amp;" "&amp;Table1[[#This Row],[Model]],Table13[MFR &amp; MDL],Table13[Tolerance % CW ],"")/100*Table1[[#This Row],[Std Nom]]),"")</f>
        <v/>
      </c>
      <c r="Q2598" s="1" t="e">
        <f>Table1[[#This Row],[High Tol]]-Table1[[#This Row],[Low Tol]]</f>
        <v>#VALUE!</v>
      </c>
      <c r="R2598" s="1">
        <f>2*Table1[[#This Row],[Std Error]]</f>
        <v>0</v>
      </c>
      <c r="S2598" s="1" t="str">
        <f>IF(Table1[[#This Row],[High Tol]]="","N/A",IFERROR(ABS(Table1[[#This Row],[Tol Span]]/Table1[[#This Row],[Error Span]]),"N/A"))</f>
        <v>N/A</v>
      </c>
      <c r="T2598" s="1" t="str">
        <f>IF(OR(Table1[[#This Row],[Low Tol]]="",Table1[[#This Row],[High Tol]]=""),"Needs Analysis",IF(Table1[[#This Row],[Ratio]]&gt;=4,"Not Significant",IF(Table1[[#This Row],[Ratio]]&gt;=2,"Semi-Significant","Significant")))</f>
        <v>Needs Analysis</v>
      </c>
      <c r="W2598" s="1">
        <f>IF(Table1[[#This Row],[Cal Type]]&lt;&gt;"ACCREDITED 17025 WITH UNCERTAINTIES",0,"")</f>
        <v>0</v>
      </c>
      <c r="X2598" s="1" t="str">
        <f>IF(Table1[[#This Row],[DUT Read]]="","N/A",Table1[[#This Row],[Std Error]]+Table1[[#This Row],[DUT Read]]+Table1[[#This Row],[DUT Ucty]])</f>
        <v>N/A</v>
      </c>
      <c r="Y2598" s="1" t="str">
        <f>IF(Table1[[#This Row],[Std Read]]="","N/A",Table1[[#This Row],[Std Read]]+Table1[[#This Row],[Std Ucty]])</f>
        <v>N/A</v>
      </c>
      <c r="Z25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8" s="1" t="str">
        <f>IF(Table1[[#This Row],[Spec Type]]="","N/A",Table1[[#This Row],[Spec Type]])</f>
        <v>±</v>
      </c>
      <c r="AC2598" s="1" t="str">
        <f>IF(Table1[[#This Row],[Spec Type2]]="N/A","N/A",IF(AND(Table1[[#This Row],[DUT Adj Read]]&gt;=Table1[[#This Row],[Low Tol]],Table1[[#This Row],[DUT Adj Read]]&lt;=Table1[[#This Row],[High Tol]]),"Pass","Fail"))</f>
        <v>Fail</v>
      </c>
      <c r="AD2598" s="1" t="str">
        <f>IF(AND(Table1[[#This Row],[Spec Type2]]="N/A",Table1[[#This Row],[DUT Adj Read]]="N/A",Table1[[#This Row],[Std Adj Read]]="N/A"),"N/A",IF(Table1[[#This Row],[DUT Adj Read]]="N/A",IF(Table1[[#This Row],[Std Adj Read]]&gt;Table1[[#This Row],[Low Tol]],"Pass","Fail"),IF(Table1[[#This Row],[DUT Adj Read]]&gt;Table1[[#This Row],[Low Tol]],"Pass","Fail")))</f>
        <v>Pass</v>
      </c>
      <c r="AE2598" s="1" t="str">
        <f>IF(AND(Table1[[#This Row],[Spec Type2]]="N/A",Table1[[#This Row],[DUT Adj Read]]="N/A",Table1[[#This Row],[Std Adj Read]]="N/A"),"N/A",IF(Table1[[#This Row],[DUT Adj Read]]="N/A",IF(Table1[[#This Row],[Std Adj Read]]&lt;Table1[[#This Row],[High Tol]],"Pass","Fail"),IF(Table1[[#This Row],[DUT Adj Read]]&lt;Table1[[#This Row],[High Tol]],"Pass","Fail")))</f>
        <v>Fail</v>
      </c>
      <c r="AF2598" s="1" t="str">
        <f>IF(AND(Table1[[#This Row],[Spec Type2]]="N/A",Table1[[#This Row],[DUT Adj Read]]="N/A",Table1[[#This Row],[Std Adj Read]]="N/A"),"N/A",IF(Table1[[#This Row],[DUT Adj Read]]="N/A",IF(Table1[[#This Row],[Std Adj Read]]&gt;=Table1[[#This Row],[Low Tol]],"Pass","Fail"),IF(Table1[[#This Row],[DUT Adj Read]]&gt;=Table1[[#This Row],[Low Tol]],"Pass","Fail")))</f>
        <v>Pass</v>
      </c>
      <c r="AG2598" s="1" t="str">
        <f>IF(AND(Table1[[#This Row],[Spec Type2]]="N/A",Table1[[#This Row],[DUT Adj Read]]="N/A",Table1[[#This Row],[Std Adj Read]]="N/A"),"N/A",IF(Table1[[#This Row],[DUT Adj Read]]="N/A",IF(Table1[[#This Row],[Std Adj Read]]&lt;=Table1[[#This Row],[High Tol]],"Pass","Fail"),IF(Table1[[#This Row],[DUT Adj Read]]&lt;=Table1[[#This Row],[High Tol]],"Pass","Fail")))</f>
        <v>Fail</v>
      </c>
      <c r="AH25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8" s="1" t="b">
        <v>0</v>
      </c>
      <c r="AN2598" s="1" t="b">
        <v>0</v>
      </c>
      <c r="AO2598" s="1" t="b">
        <v>0</v>
      </c>
    </row>
    <row r="2599" spans="1:41" x14ac:dyDescent="0.25">
      <c r="A2599" s="10"/>
      <c r="B2599" s="10"/>
      <c r="C2599" s="10"/>
      <c r="D2599" s="10"/>
      <c r="E2599" s="10"/>
      <c r="F2599" s="10"/>
      <c r="G2599" s="10"/>
      <c r="H2599" s="10"/>
      <c r="I2599" s="1" t="str">
        <f t="shared" si="120"/>
        <v/>
      </c>
      <c r="J2599" s="1" t="s">
        <v>35</v>
      </c>
      <c r="K2599" s="1" t="str">
        <f t="shared" si="121"/>
        <v/>
      </c>
      <c r="L2599" s="1" t="str">
        <f t="shared" si="122"/>
        <v/>
      </c>
      <c r="M2599" s="1">
        <f>IF(OR(Table1[[#This Row],[Std Nom]]="",Table1[[#This Row],[Std Read]]=""),0,Table1[[#This Row],[Std Nom]]-Table1[[#This Row],[Std Read]])</f>
        <v>0</v>
      </c>
      <c r="N2599" s="1">
        <f>IF(Calculations!$F$5="ACCREDITED 17025 WITH UNCERTAINTIES",$N$10,0)</f>
        <v>0</v>
      </c>
      <c r="O2599" s="1" t="str">
        <f>IFERROR(Table1[[#This Row],[Std Nom]]-(_xlfn.XLOOKUP(Table1[[#This Row],[Manufacturer]]&amp;" "&amp;Table1[[#This Row],[Model]],Table13[MFR &amp; MDL],Table13[Tolerance % CW ],"")/100*Table1[[#This Row],[Std Nom]]),"")</f>
        <v/>
      </c>
      <c r="P2599" s="1" t="str">
        <f>IFERROR(Table1[[#This Row],[Std Nom]]+(_xlfn.XLOOKUP(Table1[[#This Row],[Manufacturer]]&amp;" "&amp;Table1[[#This Row],[Model]],Table13[MFR &amp; MDL],Table13[Tolerance % CW ],"")/100*Table1[[#This Row],[Std Nom]]),"")</f>
        <v/>
      </c>
      <c r="Q2599" s="1" t="e">
        <f>Table1[[#This Row],[High Tol]]-Table1[[#This Row],[Low Tol]]</f>
        <v>#VALUE!</v>
      </c>
      <c r="R2599" s="1">
        <f>2*Table1[[#This Row],[Std Error]]</f>
        <v>0</v>
      </c>
      <c r="S2599" s="1" t="str">
        <f>IF(Table1[[#This Row],[High Tol]]="","N/A",IFERROR(ABS(Table1[[#This Row],[Tol Span]]/Table1[[#This Row],[Error Span]]),"N/A"))</f>
        <v>N/A</v>
      </c>
      <c r="T2599" s="1" t="str">
        <f>IF(OR(Table1[[#This Row],[Low Tol]]="",Table1[[#This Row],[High Tol]]=""),"Needs Analysis",IF(Table1[[#This Row],[Ratio]]&gt;=4,"Not Significant",IF(Table1[[#This Row],[Ratio]]&gt;=2,"Semi-Significant","Significant")))</f>
        <v>Needs Analysis</v>
      </c>
      <c r="W2599" s="1">
        <f>IF(Table1[[#This Row],[Cal Type]]&lt;&gt;"ACCREDITED 17025 WITH UNCERTAINTIES",0,"")</f>
        <v>0</v>
      </c>
      <c r="X2599" s="1" t="str">
        <f>IF(Table1[[#This Row],[DUT Read]]="","N/A",Table1[[#This Row],[Std Error]]+Table1[[#This Row],[DUT Read]]+Table1[[#This Row],[DUT Ucty]])</f>
        <v>N/A</v>
      </c>
      <c r="Y2599" s="1" t="str">
        <f>IF(Table1[[#This Row],[Std Read]]="","N/A",Table1[[#This Row],[Std Read]]+Table1[[#This Row],[Std Ucty]])</f>
        <v>N/A</v>
      </c>
      <c r="Z25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9" s="1" t="str">
        <f>IF(Table1[[#This Row],[Spec Type]]="","N/A",Table1[[#This Row],[Spec Type]])</f>
        <v>±</v>
      </c>
      <c r="AC2599" s="1" t="str">
        <f>IF(Table1[[#This Row],[Spec Type2]]="N/A","N/A",IF(AND(Table1[[#This Row],[DUT Adj Read]]&gt;=Table1[[#This Row],[Low Tol]],Table1[[#This Row],[DUT Adj Read]]&lt;=Table1[[#This Row],[High Tol]]),"Pass","Fail"))</f>
        <v>Fail</v>
      </c>
      <c r="AD2599" s="1" t="str">
        <f>IF(AND(Table1[[#This Row],[Spec Type2]]="N/A",Table1[[#This Row],[DUT Adj Read]]="N/A",Table1[[#This Row],[Std Adj Read]]="N/A"),"N/A",IF(Table1[[#This Row],[DUT Adj Read]]="N/A",IF(Table1[[#This Row],[Std Adj Read]]&gt;Table1[[#This Row],[Low Tol]],"Pass","Fail"),IF(Table1[[#This Row],[DUT Adj Read]]&gt;Table1[[#This Row],[Low Tol]],"Pass","Fail")))</f>
        <v>Pass</v>
      </c>
      <c r="AE2599" s="1" t="str">
        <f>IF(AND(Table1[[#This Row],[Spec Type2]]="N/A",Table1[[#This Row],[DUT Adj Read]]="N/A",Table1[[#This Row],[Std Adj Read]]="N/A"),"N/A",IF(Table1[[#This Row],[DUT Adj Read]]="N/A",IF(Table1[[#This Row],[Std Adj Read]]&lt;Table1[[#This Row],[High Tol]],"Pass","Fail"),IF(Table1[[#This Row],[DUT Adj Read]]&lt;Table1[[#This Row],[High Tol]],"Pass","Fail")))</f>
        <v>Fail</v>
      </c>
      <c r="AF2599" s="1" t="str">
        <f>IF(AND(Table1[[#This Row],[Spec Type2]]="N/A",Table1[[#This Row],[DUT Adj Read]]="N/A",Table1[[#This Row],[Std Adj Read]]="N/A"),"N/A",IF(Table1[[#This Row],[DUT Adj Read]]="N/A",IF(Table1[[#This Row],[Std Adj Read]]&gt;=Table1[[#This Row],[Low Tol]],"Pass","Fail"),IF(Table1[[#This Row],[DUT Adj Read]]&gt;=Table1[[#This Row],[Low Tol]],"Pass","Fail")))</f>
        <v>Pass</v>
      </c>
      <c r="AG2599" s="1" t="str">
        <f>IF(AND(Table1[[#This Row],[Spec Type2]]="N/A",Table1[[#This Row],[DUT Adj Read]]="N/A",Table1[[#This Row],[Std Adj Read]]="N/A"),"N/A",IF(Table1[[#This Row],[DUT Adj Read]]="N/A",IF(Table1[[#This Row],[Std Adj Read]]&lt;=Table1[[#This Row],[High Tol]],"Pass","Fail"),IF(Table1[[#This Row],[DUT Adj Read]]&lt;=Table1[[#This Row],[High Tol]],"Pass","Fail")))</f>
        <v>Fail</v>
      </c>
      <c r="AH25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9" s="1" t="b">
        <v>0</v>
      </c>
      <c r="AN2599" s="1" t="b">
        <v>0</v>
      </c>
      <c r="AO2599" s="1" t="b">
        <v>0</v>
      </c>
    </row>
    <row r="2600" spans="1:41" x14ac:dyDescent="0.25">
      <c r="A2600" s="10"/>
      <c r="B2600" s="10"/>
      <c r="C2600" s="10"/>
      <c r="D2600" s="10"/>
      <c r="E2600" s="10"/>
      <c r="F2600" s="10"/>
      <c r="G2600" s="10"/>
      <c r="H2600" s="10"/>
      <c r="I2600" s="1" t="str">
        <f t="shared" si="120"/>
        <v/>
      </c>
      <c r="J2600" s="1" t="s">
        <v>35</v>
      </c>
      <c r="K2600" s="1" t="str">
        <f t="shared" si="121"/>
        <v/>
      </c>
      <c r="L2600" s="1" t="str">
        <f t="shared" si="122"/>
        <v/>
      </c>
      <c r="M2600" s="1">
        <f>IF(OR(Table1[[#This Row],[Std Nom]]="",Table1[[#This Row],[Std Read]]=""),0,Table1[[#This Row],[Std Nom]]-Table1[[#This Row],[Std Read]])</f>
        <v>0</v>
      </c>
      <c r="N2600" s="1">
        <f>IF(Calculations!$F$5="ACCREDITED 17025 WITH UNCERTAINTIES",$N$10,0)</f>
        <v>0</v>
      </c>
      <c r="O2600" s="1" t="str">
        <f>IFERROR(Table1[[#This Row],[Std Nom]]-(_xlfn.XLOOKUP(Table1[[#This Row],[Manufacturer]]&amp;" "&amp;Table1[[#This Row],[Model]],Table13[MFR &amp; MDL],Table13[Tolerance % CW ],"")/100*Table1[[#This Row],[Std Nom]]),"")</f>
        <v/>
      </c>
      <c r="P2600" s="1" t="str">
        <f>IFERROR(Table1[[#This Row],[Std Nom]]+(_xlfn.XLOOKUP(Table1[[#This Row],[Manufacturer]]&amp;" "&amp;Table1[[#This Row],[Model]],Table13[MFR &amp; MDL],Table13[Tolerance % CW ],"")/100*Table1[[#This Row],[Std Nom]]),"")</f>
        <v/>
      </c>
      <c r="Q2600" s="1" t="e">
        <f>Table1[[#This Row],[High Tol]]-Table1[[#This Row],[Low Tol]]</f>
        <v>#VALUE!</v>
      </c>
      <c r="R2600" s="1">
        <f>2*Table1[[#This Row],[Std Error]]</f>
        <v>0</v>
      </c>
      <c r="S2600" s="1" t="str">
        <f>IF(Table1[[#This Row],[High Tol]]="","N/A",IFERROR(ABS(Table1[[#This Row],[Tol Span]]/Table1[[#This Row],[Error Span]]),"N/A"))</f>
        <v>N/A</v>
      </c>
      <c r="T2600" s="1" t="str">
        <f>IF(OR(Table1[[#This Row],[Low Tol]]="",Table1[[#This Row],[High Tol]]=""),"Needs Analysis",IF(Table1[[#This Row],[Ratio]]&gt;=4,"Not Significant",IF(Table1[[#This Row],[Ratio]]&gt;=2,"Semi-Significant","Significant")))</f>
        <v>Needs Analysis</v>
      </c>
      <c r="W2600" s="1">
        <f>IF(Table1[[#This Row],[Cal Type]]&lt;&gt;"ACCREDITED 17025 WITH UNCERTAINTIES",0,"")</f>
        <v>0</v>
      </c>
      <c r="X2600" s="1" t="str">
        <f>IF(Table1[[#This Row],[DUT Read]]="","N/A",Table1[[#This Row],[Std Error]]+Table1[[#This Row],[DUT Read]]+Table1[[#This Row],[DUT Ucty]])</f>
        <v>N/A</v>
      </c>
      <c r="Y2600" s="1" t="str">
        <f>IF(Table1[[#This Row],[Std Read]]="","N/A",Table1[[#This Row],[Std Read]]+Table1[[#This Row],[Std Ucty]])</f>
        <v>N/A</v>
      </c>
      <c r="Z26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0" s="1" t="str">
        <f>IF(Table1[[#This Row],[Spec Type]]="","N/A",Table1[[#This Row],[Spec Type]])</f>
        <v>±</v>
      </c>
      <c r="AC2600" s="1" t="str">
        <f>IF(Table1[[#This Row],[Spec Type2]]="N/A","N/A",IF(AND(Table1[[#This Row],[DUT Adj Read]]&gt;=Table1[[#This Row],[Low Tol]],Table1[[#This Row],[DUT Adj Read]]&lt;=Table1[[#This Row],[High Tol]]),"Pass","Fail"))</f>
        <v>Fail</v>
      </c>
      <c r="AD2600" s="1" t="str">
        <f>IF(AND(Table1[[#This Row],[Spec Type2]]="N/A",Table1[[#This Row],[DUT Adj Read]]="N/A",Table1[[#This Row],[Std Adj Read]]="N/A"),"N/A",IF(Table1[[#This Row],[DUT Adj Read]]="N/A",IF(Table1[[#This Row],[Std Adj Read]]&gt;Table1[[#This Row],[Low Tol]],"Pass","Fail"),IF(Table1[[#This Row],[DUT Adj Read]]&gt;Table1[[#This Row],[Low Tol]],"Pass","Fail")))</f>
        <v>Pass</v>
      </c>
      <c r="AE2600" s="1" t="str">
        <f>IF(AND(Table1[[#This Row],[Spec Type2]]="N/A",Table1[[#This Row],[DUT Adj Read]]="N/A",Table1[[#This Row],[Std Adj Read]]="N/A"),"N/A",IF(Table1[[#This Row],[DUT Adj Read]]="N/A",IF(Table1[[#This Row],[Std Adj Read]]&lt;Table1[[#This Row],[High Tol]],"Pass","Fail"),IF(Table1[[#This Row],[DUT Adj Read]]&lt;Table1[[#This Row],[High Tol]],"Pass","Fail")))</f>
        <v>Fail</v>
      </c>
      <c r="AF2600" s="1" t="str">
        <f>IF(AND(Table1[[#This Row],[Spec Type2]]="N/A",Table1[[#This Row],[DUT Adj Read]]="N/A",Table1[[#This Row],[Std Adj Read]]="N/A"),"N/A",IF(Table1[[#This Row],[DUT Adj Read]]="N/A",IF(Table1[[#This Row],[Std Adj Read]]&gt;=Table1[[#This Row],[Low Tol]],"Pass","Fail"),IF(Table1[[#This Row],[DUT Adj Read]]&gt;=Table1[[#This Row],[Low Tol]],"Pass","Fail")))</f>
        <v>Pass</v>
      </c>
      <c r="AG2600" s="1" t="str">
        <f>IF(AND(Table1[[#This Row],[Spec Type2]]="N/A",Table1[[#This Row],[DUT Adj Read]]="N/A",Table1[[#This Row],[Std Adj Read]]="N/A"),"N/A",IF(Table1[[#This Row],[DUT Adj Read]]="N/A",IF(Table1[[#This Row],[Std Adj Read]]&lt;=Table1[[#This Row],[High Tol]],"Pass","Fail"),IF(Table1[[#This Row],[DUT Adj Read]]&lt;=Table1[[#This Row],[High Tol]],"Pass","Fail")))</f>
        <v>Fail</v>
      </c>
      <c r="AH26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0" s="1" t="b">
        <v>0</v>
      </c>
      <c r="AN2600" s="1" t="b">
        <v>0</v>
      </c>
      <c r="AO2600" s="1" t="b">
        <v>0</v>
      </c>
    </row>
    <row r="2601" spans="1:41" x14ac:dyDescent="0.25">
      <c r="A2601" s="10"/>
      <c r="B2601" s="10"/>
      <c r="C2601" s="10"/>
      <c r="D2601" s="10"/>
      <c r="E2601" s="10"/>
      <c r="F2601" s="10"/>
      <c r="G2601" s="10"/>
      <c r="H2601" s="10"/>
      <c r="I2601" s="1" t="str">
        <f t="shared" si="120"/>
        <v/>
      </c>
      <c r="J2601" s="1" t="s">
        <v>35</v>
      </c>
      <c r="K2601" s="1" t="str">
        <f t="shared" si="121"/>
        <v/>
      </c>
      <c r="L2601" s="1" t="str">
        <f t="shared" si="122"/>
        <v/>
      </c>
      <c r="M2601" s="1">
        <f>IF(OR(Table1[[#This Row],[Std Nom]]="",Table1[[#This Row],[Std Read]]=""),0,Table1[[#This Row],[Std Nom]]-Table1[[#This Row],[Std Read]])</f>
        <v>0</v>
      </c>
      <c r="N2601" s="1">
        <f>IF(Calculations!$F$5="ACCREDITED 17025 WITH UNCERTAINTIES",$N$10,0)</f>
        <v>0</v>
      </c>
      <c r="O2601" s="1" t="str">
        <f>IFERROR(Table1[[#This Row],[Std Nom]]-(_xlfn.XLOOKUP(Table1[[#This Row],[Manufacturer]]&amp;" "&amp;Table1[[#This Row],[Model]],Table13[MFR &amp; MDL],Table13[Tolerance % CW ],"")/100*Table1[[#This Row],[Std Nom]]),"")</f>
        <v/>
      </c>
      <c r="P2601" s="1" t="str">
        <f>IFERROR(Table1[[#This Row],[Std Nom]]+(_xlfn.XLOOKUP(Table1[[#This Row],[Manufacturer]]&amp;" "&amp;Table1[[#This Row],[Model]],Table13[MFR &amp; MDL],Table13[Tolerance % CW ],"")/100*Table1[[#This Row],[Std Nom]]),"")</f>
        <v/>
      </c>
      <c r="Q2601" s="1" t="e">
        <f>Table1[[#This Row],[High Tol]]-Table1[[#This Row],[Low Tol]]</f>
        <v>#VALUE!</v>
      </c>
      <c r="R2601" s="1">
        <f>2*Table1[[#This Row],[Std Error]]</f>
        <v>0</v>
      </c>
      <c r="S2601" s="1" t="str">
        <f>IF(Table1[[#This Row],[High Tol]]="","N/A",IFERROR(ABS(Table1[[#This Row],[Tol Span]]/Table1[[#This Row],[Error Span]]),"N/A"))</f>
        <v>N/A</v>
      </c>
      <c r="T2601" s="1" t="str">
        <f>IF(OR(Table1[[#This Row],[Low Tol]]="",Table1[[#This Row],[High Tol]]=""),"Needs Analysis",IF(Table1[[#This Row],[Ratio]]&gt;=4,"Not Significant",IF(Table1[[#This Row],[Ratio]]&gt;=2,"Semi-Significant","Significant")))</f>
        <v>Needs Analysis</v>
      </c>
      <c r="W2601" s="1">
        <f>IF(Table1[[#This Row],[Cal Type]]&lt;&gt;"ACCREDITED 17025 WITH UNCERTAINTIES",0,"")</f>
        <v>0</v>
      </c>
      <c r="X2601" s="1" t="str">
        <f>IF(Table1[[#This Row],[DUT Read]]="","N/A",Table1[[#This Row],[Std Error]]+Table1[[#This Row],[DUT Read]]+Table1[[#This Row],[DUT Ucty]])</f>
        <v>N/A</v>
      </c>
      <c r="Y2601" s="1" t="str">
        <f>IF(Table1[[#This Row],[Std Read]]="","N/A",Table1[[#This Row],[Std Read]]+Table1[[#This Row],[Std Ucty]])</f>
        <v>N/A</v>
      </c>
      <c r="Z26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1" s="1" t="str">
        <f>IF(Table1[[#This Row],[Spec Type]]="","N/A",Table1[[#This Row],[Spec Type]])</f>
        <v>±</v>
      </c>
      <c r="AC2601" s="1" t="str">
        <f>IF(Table1[[#This Row],[Spec Type2]]="N/A","N/A",IF(AND(Table1[[#This Row],[DUT Adj Read]]&gt;=Table1[[#This Row],[Low Tol]],Table1[[#This Row],[DUT Adj Read]]&lt;=Table1[[#This Row],[High Tol]]),"Pass","Fail"))</f>
        <v>Fail</v>
      </c>
      <c r="AD2601" s="1" t="str">
        <f>IF(AND(Table1[[#This Row],[Spec Type2]]="N/A",Table1[[#This Row],[DUT Adj Read]]="N/A",Table1[[#This Row],[Std Adj Read]]="N/A"),"N/A",IF(Table1[[#This Row],[DUT Adj Read]]="N/A",IF(Table1[[#This Row],[Std Adj Read]]&gt;Table1[[#This Row],[Low Tol]],"Pass","Fail"),IF(Table1[[#This Row],[DUT Adj Read]]&gt;Table1[[#This Row],[Low Tol]],"Pass","Fail")))</f>
        <v>Pass</v>
      </c>
      <c r="AE2601" s="1" t="str">
        <f>IF(AND(Table1[[#This Row],[Spec Type2]]="N/A",Table1[[#This Row],[DUT Adj Read]]="N/A",Table1[[#This Row],[Std Adj Read]]="N/A"),"N/A",IF(Table1[[#This Row],[DUT Adj Read]]="N/A",IF(Table1[[#This Row],[Std Adj Read]]&lt;Table1[[#This Row],[High Tol]],"Pass","Fail"),IF(Table1[[#This Row],[DUT Adj Read]]&lt;Table1[[#This Row],[High Tol]],"Pass","Fail")))</f>
        <v>Fail</v>
      </c>
      <c r="AF2601" s="1" t="str">
        <f>IF(AND(Table1[[#This Row],[Spec Type2]]="N/A",Table1[[#This Row],[DUT Adj Read]]="N/A",Table1[[#This Row],[Std Adj Read]]="N/A"),"N/A",IF(Table1[[#This Row],[DUT Adj Read]]="N/A",IF(Table1[[#This Row],[Std Adj Read]]&gt;=Table1[[#This Row],[Low Tol]],"Pass","Fail"),IF(Table1[[#This Row],[DUT Adj Read]]&gt;=Table1[[#This Row],[Low Tol]],"Pass","Fail")))</f>
        <v>Pass</v>
      </c>
      <c r="AG2601" s="1" t="str">
        <f>IF(AND(Table1[[#This Row],[Spec Type2]]="N/A",Table1[[#This Row],[DUT Adj Read]]="N/A",Table1[[#This Row],[Std Adj Read]]="N/A"),"N/A",IF(Table1[[#This Row],[DUT Adj Read]]="N/A",IF(Table1[[#This Row],[Std Adj Read]]&lt;=Table1[[#This Row],[High Tol]],"Pass","Fail"),IF(Table1[[#This Row],[DUT Adj Read]]&lt;=Table1[[#This Row],[High Tol]],"Pass","Fail")))</f>
        <v>Fail</v>
      </c>
      <c r="AH26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1" s="1" t="b">
        <v>0</v>
      </c>
      <c r="AN2601" s="1" t="b">
        <v>0</v>
      </c>
      <c r="AO2601" s="1" t="b">
        <v>0</v>
      </c>
    </row>
    <row r="2602" spans="1:41" x14ac:dyDescent="0.25">
      <c r="A2602" s="10"/>
      <c r="B2602" s="10"/>
      <c r="C2602" s="10"/>
      <c r="D2602" s="10"/>
      <c r="E2602" s="10"/>
      <c r="F2602" s="10"/>
      <c r="G2602" s="10"/>
      <c r="H2602" s="10"/>
      <c r="I2602" s="1" t="str">
        <f t="shared" si="120"/>
        <v/>
      </c>
      <c r="J2602" s="1" t="s">
        <v>35</v>
      </c>
      <c r="K2602" s="1" t="str">
        <f t="shared" si="121"/>
        <v/>
      </c>
      <c r="L2602" s="1" t="str">
        <f t="shared" si="122"/>
        <v/>
      </c>
      <c r="M2602" s="1">
        <f>IF(OR(Table1[[#This Row],[Std Nom]]="",Table1[[#This Row],[Std Read]]=""),0,Table1[[#This Row],[Std Nom]]-Table1[[#This Row],[Std Read]])</f>
        <v>0</v>
      </c>
      <c r="N2602" s="1">
        <f>IF(Calculations!$F$5="ACCREDITED 17025 WITH UNCERTAINTIES",$N$10,0)</f>
        <v>0</v>
      </c>
      <c r="O2602" s="1" t="str">
        <f>IFERROR(Table1[[#This Row],[Std Nom]]-(_xlfn.XLOOKUP(Table1[[#This Row],[Manufacturer]]&amp;" "&amp;Table1[[#This Row],[Model]],Table13[MFR &amp; MDL],Table13[Tolerance % CW ],"")/100*Table1[[#This Row],[Std Nom]]),"")</f>
        <v/>
      </c>
      <c r="P2602" s="1" t="str">
        <f>IFERROR(Table1[[#This Row],[Std Nom]]+(_xlfn.XLOOKUP(Table1[[#This Row],[Manufacturer]]&amp;" "&amp;Table1[[#This Row],[Model]],Table13[MFR &amp; MDL],Table13[Tolerance % CW ],"")/100*Table1[[#This Row],[Std Nom]]),"")</f>
        <v/>
      </c>
      <c r="Q2602" s="1" t="e">
        <f>Table1[[#This Row],[High Tol]]-Table1[[#This Row],[Low Tol]]</f>
        <v>#VALUE!</v>
      </c>
      <c r="R2602" s="1">
        <f>2*Table1[[#This Row],[Std Error]]</f>
        <v>0</v>
      </c>
      <c r="S2602" s="1" t="str">
        <f>IF(Table1[[#This Row],[High Tol]]="","N/A",IFERROR(ABS(Table1[[#This Row],[Tol Span]]/Table1[[#This Row],[Error Span]]),"N/A"))</f>
        <v>N/A</v>
      </c>
      <c r="T2602" s="1" t="str">
        <f>IF(OR(Table1[[#This Row],[Low Tol]]="",Table1[[#This Row],[High Tol]]=""),"Needs Analysis",IF(Table1[[#This Row],[Ratio]]&gt;=4,"Not Significant",IF(Table1[[#This Row],[Ratio]]&gt;=2,"Semi-Significant","Significant")))</f>
        <v>Needs Analysis</v>
      </c>
      <c r="W2602" s="1">
        <f>IF(Table1[[#This Row],[Cal Type]]&lt;&gt;"ACCREDITED 17025 WITH UNCERTAINTIES",0,"")</f>
        <v>0</v>
      </c>
      <c r="X2602" s="1" t="str">
        <f>IF(Table1[[#This Row],[DUT Read]]="","N/A",Table1[[#This Row],[Std Error]]+Table1[[#This Row],[DUT Read]]+Table1[[#This Row],[DUT Ucty]])</f>
        <v>N/A</v>
      </c>
      <c r="Y2602" s="1" t="str">
        <f>IF(Table1[[#This Row],[Std Read]]="","N/A",Table1[[#This Row],[Std Read]]+Table1[[#This Row],[Std Ucty]])</f>
        <v>N/A</v>
      </c>
      <c r="Z26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2" s="1" t="str">
        <f>IF(Table1[[#This Row],[Spec Type]]="","N/A",Table1[[#This Row],[Spec Type]])</f>
        <v>±</v>
      </c>
      <c r="AC2602" s="1" t="str">
        <f>IF(Table1[[#This Row],[Spec Type2]]="N/A","N/A",IF(AND(Table1[[#This Row],[DUT Adj Read]]&gt;=Table1[[#This Row],[Low Tol]],Table1[[#This Row],[DUT Adj Read]]&lt;=Table1[[#This Row],[High Tol]]),"Pass","Fail"))</f>
        <v>Fail</v>
      </c>
      <c r="AD2602" s="1" t="str">
        <f>IF(AND(Table1[[#This Row],[Spec Type2]]="N/A",Table1[[#This Row],[DUT Adj Read]]="N/A",Table1[[#This Row],[Std Adj Read]]="N/A"),"N/A",IF(Table1[[#This Row],[DUT Adj Read]]="N/A",IF(Table1[[#This Row],[Std Adj Read]]&gt;Table1[[#This Row],[Low Tol]],"Pass","Fail"),IF(Table1[[#This Row],[DUT Adj Read]]&gt;Table1[[#This Row],[Low Tol]],"Pass","Fail")))</f>
        <v>Pass</v>
      </c>
      <c r="AE2602" s="1" t="str">
        <f>IF(AND(Table1[[#This Row],[Spec Type2]]="N/A",Table1[[#This Row],[DUT Adj Read]]="N/A",Table1[[#This Row],[Std Adj Read]]="N/A"),"N/A",IF(Table1[[#This Row],[DUT Adj Read]]="N/A",IF(Table1[[#This Row],[Std Adj Read]]&lt;Table1[[#This Row],[High Tol]],"Pass","Fail"),IF(Table1[[#This Row],[DUT Adj Read]]&lt;Table1[[#This Row],[High Tol]],"Pass","Fail")))</f>
        <v>Fail</v>
      </c>
      <c r="AF2602" s="1" t="str">
        <f>IF(AND(Table1[[#This Row],[Spec Type2]]="N/A",Table1[[#This Row],[DUT Adj Read]]="N/A",Table1[[#This Row],[Std Adj Read]]="N/A"),"N/A",IF(Table1[[#This Row],[DUT Adj Read]]="N/A",IF(Table1[[#This Row],[Std Adj Read]]&gt;=Table1[[#This Row],[Low Tol]],"Pass","Fail"),IF(Table1[[#This Row],[DUT Adj Read]]&gt;=Table1[[#This Row],[Low Tol]],"Pass","Fail")))</f>
        <v>Pass</v>
      </c>
      <c r="AG2602" s="1" t="str">
        <f>IF(AND(Table1[[#This Row],[Spec Type2]]="N/A",Table1[[#This Row],[DUT Adj Read]]="N/A",Table1[[#This Row],[Std Adj Read]]="N/A"),"N/A",IF(Table1[[#This Row],[DUT Adj Read]]="N/A",IF(Table1[[#This Row],[Std Adj Read]]&lt;=Table1[[#This Row],[High Tol]],"Pass","Fail"),IF(Table1[[#This Row],[DUT Adj Read]]&lt;=Table1[[#This Row],[High Tol]],"Pass","Fail")))</f>
        <v>Fail</v>
      </c>
      <c r="AH26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2" s="1" t="b">
        <v>0</v>
      </c>
      <c r="AN2602" s="1" t="b">
        <v>0</v>
      </c>
      <c r="AO2602" s="1" t="b">
        <v>0</v>
      </c>
    </row>
    <row r="2603" spans="1:41" x14ac:dyDescent="0.25">
      <c r="A2603" s="10"/>
      <c r="B2603" s="10"/>
      <c r="C2603" s="10"/>
      <c r="D2603" s="10"/>
      <c r="E2603" s="10"/>
      <c r="F2603" s="10"/>
      <c r="G2603" s="10"/>
      <c r="H2603" s="10"/>
      <c r="I2603" s="1" t="str">
        <f t="shared" si="120"/>
        <v/>
      </c>
      <c r="J2603" s="1" t="s">
        <v>35</v>
      </c>
      <c r="K2603" s="1" t="str">
        <f t="shared" si="121"/>
        <v/>
      </c>
      <c r="L2603" s="1" t="str">
        <f t="shared" si="122"/>
        <v/>
      </c>
      <c r="M2603" s="1">
        <f>IF(OR(Table1[[#This Row],[Std Nom]]="",Table1[[#This Row],[Std Read]]=""),0,Table1[[#This Row],[Std Nom]]-Table1[[#This Row],[Std Read]])</f>
        <v>0</v>
      </c>
      <c r="N2603" s="1">
        <f>IF(Calculations!$F$5="ACCREDITED 17025 WITH UNCERTAINTIES",$N$10,0)</f>
        <v>0</v>
      </c>
      <c r="O2603" s="1" t="str">
        <f>IFERROR(Table1[[#This Row],[Std Nom]]-(_xlfn.XLOOKUP(Table1[[#This Row],[Manufacturer]]&amp;" "&amp;Table1[[#This Row],[Model]],Table13[MFR &amp; MDL],Table13[Tolerance % CW ],"")/100*Table1[[#This Row],[Std Nom]]),"")</f>
        <v/>
      </c>
      <c r="P2603" s="1" t="str">
        <f>IFERROR(Table1[[#This Row],[Std Nom]]+(_xlfn.XLOOKUP(Table1[[#This Row],[Manufacturer]]&amp;" "&amp;Table1[[#This Row],[Model]],Table13[MFR &amp; MDL],Table13[Tolerance % CW ],"")/100*Table1[[#This Row],[Std Nom]]),"")</f>
        <v/>
      </c>
      <c r="Q2603" s="1" t="e">
        <f>Table1[[#This Row],[High Tol]]-Table1[[#This Row],[Low Tol]]</f>
        <v>#VALUE!</v>
      </c>
      <c r="R2603" s="1">
        <f>2*Table1[[#This Row],[Std Error]]</f>
        <v>0</v>
      </c>
      <c r="S2603" s="1" t="str">
        <f>IF(Table1[[#This Row],[High Tol]]="","N/A",IFERROR(ABS(Table1[[#This Row],[Tol Span]]/Table1[[#This Row],[Error Span]]),"N/A"))</f>
        <v>N/A</v>
      </c>
      <c r="T2603" s="1" t="str">
        <f>IF(OR(Table1[[#This Row],[Low Tol]]="",Table1[[#This Row],[High Tol]]=""),"Needs Analysis",IF(Table1[[#This Row],[Ratio]]&gt;=4,"Not Significant",IF(Table1[[#This Row],[Ratio]]&gt;=2,"Semi-Significant","Significant")))</f>
        <v>Needs Analysis</v>
      </c>
      <c r="W2603" s="1">
        <f>IF(Table1[[#This Row],[Cal Type]]&lt;&gt;"ACCREDITED 17025 WITH UNCERTAINTIES",0,"")</f>
        <v>0</v>
      </c>
      <c r="X2603" s="1" t="str">
        <f>IF(Table1[[#This Row],[DUT Read]]="","N/A",Table1[[#This Row],[Std Error]]+Table1[[#This Row],[DUT Read]]+Table1[[#This Row],[DUT Ucty]])</f>
        <v>N/A</v>
      </c>
      <c r="Y2603" s="1" t="str">
        <f>IF(Table1[[#This Row],[Std Read]]="","N/A",Table1[[#This Row],[Std Read]]+Table1[[#This Row],[Std Ucty]])</f>
        <v>N/A</v>
      </c>
      <c r="Z26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3" s="1" t="str">
        <f>IF(Table1[[#This Row],[Spec Type]]="","N/A",Table1[[#This Row],[Spec Type]])</f>
        <v>±</v>
      </c>
      <c r="AC2603" s="1" t="str">
        <f>IF(Table1[[#This Row],[Spec Type2]]="N/A","N/A",IF(AND(Table1[[#This Row],[DUT Adj Read]]&gt;=Table1[[#This Row],[Low Tol]],Table1[[#This Row],[DUT Adj Read]]&lt;=Table1[[#This Row],[High Tol]]),"Pass","Fail"))</f>
        <v>Fail</v>
      </c>
      <c r="AD2603" s="1" t="str">
        <f>IF(AND(Table1[[#This Row],[Spec Type2]]="N/A",Table1[[#This Row],[DUT Adj Read]]="N/A",Table1[[#This Row],[Std Adj Read]]="N/A"),"N/A",IF(Table1[[#This Row],[DUT Adj Read]]="N/A",IF(Table1[[#This Row],[Std Adj Read]]&gt;Table1[[#This Row],[Low Tol]],"Pass","Fail"),IF(Table1[[#This Row],[DUT Adj Read]]&gt;Table1[[#This Row],[Low Tol]],"Pass","Fail")))</f>
        <v>Pass</v>
      </c>
      <c r="AE2603" s="1" t="str">
        <f>IF(AND(Table1[[#This Row],[Spec Type2]]="N/A",Table1[[#This Row],[DUT Adj Read]]="N/A",Table1[[#This Row],[Std Adj Read]]="N/A"),"N/A",IF(Table1[[#This Row],[DUT Adj Read]]="N/A",IF(Table1[[#This Row],[Std Adj Read]]&lt;Table1[[#This Row],[High Tol]],"Pass","Fail"),IF(Table1[[#This Row],[DUT Adj Read]]&lt;Table1[[#This Row],[High Tol]],"Pass","Fail")))</f>
        <v>Fail</v>
      </c>
      <c r="AF2603" s="1" t="str">
        <f>IF(AND(Table1[[#This Row],[Spec Type2]]="N/A",Table1[[#This Row],[DUT Adj Read]]="N/A",Table1[[#This Row],[Std Adj Read]]="N/A"),"N/A",IF(Table1[[#This Row],[DUT Adj Read]]="N/A",IF(Table1[[#This Row],[Std Adj Read]]&gt;=Table1[[#This Row],[Low Tol]],"Pass","Fail"),IF(Table1[[#This Row],[DUT Adj Read]]&gt;=Table1[[#This Row],[Low Tol]],"Pass","Fail")))</f>
        <v>Pass</v>
      </c>
      <c r="AG2603" s="1" t="str">
        <f>IF(AND(Table1[[#This Row],[Spec Type2]]="N/A",Table1[[#This Row],[DUT Adj Read]]="N/A",Table1[[#This Row],[Std Adj Read]]="N/A"),"N/A",IF(Table1[[#This Row],[DUT Adj Read]]="N/A",IF(Table1[[#This Row],[Std Adj Read]]&lt;=Table1[[#This Row],[High Tol]],"Pass","Fail"),IF(Table1[[#This Row],[DUT Adj Read]]&lt;=Table1[[#This Row],[High Tol]],"Pass","Fail")))</f>
        <v>Fail</v>
      </c>
      <c r="AH26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3" s="1" t="b">
        <v>0</v>
      </c>
      <c r="AN2603" s="1" t="b">
        <v>0</v>
      </c>
      <c r="AO2603" s="1" t="b">
        <v>0</v>
      </c>
    </row>
    <row r="2604" spans="1:41" x14ac:dyDescent="0.25">
      <c r="A2604" s="10"/>
      <c r="B2604" s="10"/>
      <c r="C2604" s="10"/>
      <c r="D2604" s="10"/>
      <c r="E2604" s="10"/>
      <c r="F2604" s="10"/>
      <c r="G2604" s="10"/>
      <c r="H2604" s="10"/>
      <c r="I2604" s="1" t="str">
        <f t="shared" si="120"/>
        <v/>
      </c>
      <c r="J2604" s="1" t="s">
        <v>35</v>
      </c>
      <c r="K2604" s="1" t="str">
        <f t="shared" si="121"/>
        <v/>
      </c>
      <c r="L2604" s="1" t="str">
        <f t="shared" si="122"/>
        <v/>
      </c>
      <c r="M2604" s="1">
        <f>IF(OR(Table1[[#This Row],[Std Nom]]="",Table1[[#This Row],[Std Read]]=""),0,Table1[[#This Row],[Std Nom]]-Table1[[#This Row],[Std Read]])</f>
        <v>0</v>
      </c>
      <c r="N2604" s="1">
        <f>IF(Calculations!$F$5="ACCREDITED 17025 WITH UNCERTAINTIES",$N$10,0)</f>
        <v>0</v>
      </c>
      <c r="O2604" s="1" t="str">
        <f>IFERROR(Table1[[#This Row],[Std Nom]]-(_xlfn.XLOOKUP(Table1[[#This Row],[Manufacturer]]&amp;" "&amp;Table1[[#This Row],[Model]],Table13[MFR &amp; MDL],Table13[Tolerance % CW ],"")/100*Table1[[#This Row],[Std Nom]]),"")</f>
        <v/>
      </c>
      <c r="P2604" s="1" t="str">
        <f>IFERROR(Table1[[#This Row],[Std Nom]]+(_xlfn.XLOOKUP(Table1[[#This Row],[Manufacturer]]&amp;" "&amp;Table1[[#This Row],[Model]],Table13[MFR &amp; MDL],Table13[Tolerance % CW ],"")/100*Table1[[#This Row],[Std Nom]]),"")</f>
        <v/>
      </c>
      <c r="Q2604" s="1" t="e">
        <f>Table1[[#This Row],[High Tol]]-Table1[[#This Row],[Low Tol]]</f>
        <v>#VALUE!</v>
      </c>
      <c r="R2604" s="1">
        <f>2*Table1[[#This Row],[Std Error]]</f>
        <v>0</v>
      </c>
      <c r="S2604" s="1" t="str">
        <f>IF(Table1[[#This Row],[High Tol]]="","N/A",IFERROR(ABS(Table1[[#This Row],[Tol Span]]/Table1[[#This Row],[Error Span]]),"N/A"))</f>
        <v>N/A</v>
      </c>
      <c r="T2604" s="1" t="str">
        <f>IF(OR(Table1[[#This Row],[Low Tol]]="",Table1[[#This Row],[High Tol]]=""),"Needs Analysis",IF(Table1[[#This Row],[Ratio]]&gt;=4,"Not Significant",IF(Table1[[#This Row],[Ratio]]&gt;=2,"Semi-Significant","Significant")))</f>
        <v>Needs Analysis</v>
      </c>
      <c r="W2604" s="1">
        <f>IF(Table1[[#This Row],[Cal Type]]&lt;&gt;"ACCREDITED 17025 WITH UNCERTAINTIES",0,"")</f>
        <v>0</v>
      </c>
      <c r="X2604" s="1" t="str">
        <f>IF(Table1[[#This Row],[DUT Read]]="","N/A",Table1[[#This Row],[Std Error]]+Table1[[#This Row],[DUT Read]]+Table1[[#This Row],[DUT Ucty]])</f>
        <v>N/A</v>
      </c>
      <c r="Y2604" s="1" t="str">
        <f>IF(Table1[[#This Row],[Std Read]]="","N/A",Table1[[#This Row],[Std Read]]+Table1[[#This Row],[Std Ucty]])</f>
        <v>N/A</v>
      </c>
      <c r="Z26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4" s="1" t="str">
        <f>IF(Table1[[#This Row],[Spec Type]]="","N/A",Table1[[#This Row],[Spec Type]])</f>
        <v>±</v>
      </c>
      <c r="AC2604" s="1" t="str">
        <f>IF(Table1[[#This Row],[Spec Type2]]="N/A","N/A",IF(AND(Table1[[#This Row],[DUT Adj Read]]&gt;=Table1[[#This Row],[Low Tol]],Table1[[#This Row],[DUT Adj Read]]&lt;=Table1[[#This Row],[High Tol]]),"Pass","Fail"))</f>
        <v>Fail</v>
      </c>
      <c r="AD2604" s="1" t="str">
        <f>IF(AND(Table1[[#This Row],[Spec Type2]]="N/A",Table1[[#This Row],[DUT Adj Read]]="N/A",Table1[[#This Row],[Std Adj Read]]="N/A"),"N/A",IF(Table1[[#This Row],[DUT Adj Read]]="N/A",IF(Table1[[#This Row],[Std Adj Read]]&gt;Table1[[#This Row],[Low Tol]],"Pass","Fail"),IF(Table1[[#This Row],[DUT Adj Read]]&gt;Table1[[#This Row],[Low Tol]],"Pass","Fail")))</f>
        <v>Pass</v>
      </c>
      <c r="AE2604" s="1" t="str">
        <f>IF(AND(Table1[[#This Row],[Spec Type2]]="N/A",Table1[[#This Row],[DUT Adj Read]]="N/A",Table1[[#This Row],[Std Adj Read]]="N/A"),"N/A",IF(Table1[[#This Row],[DUT Adj Read]]="N/A",IF(Table1[[#This Row],[Std Adj Read]]&lt;Table1[[#This Row],[High Tol]],"Pass","Fail"),IF(Table1[[#This Row],[DUT Adj Read]]&lt;Table1[[#This Row],[High Tol]],"Pass","Fail")))</f>
        <v>Fail</v>
      </c>
      <c r="AF2604" s="1" t="str">
        <f>IF(AND(Table1[[#This Row],[Spec Type2]]="N/A",Table1[[#This Row],[DUT Adj Read]]="N/A",Table1[[#This Row],[Std Adj Read]]="N/A"),"N/A",IF(Table1[[#This Row],[DUT Adj Read]]="N/A",IF(Table1[[#This Row],[Std Adj Read]]&gt;=Table1[[#This Row],[Low Tol]],"Pass","Fail"),IF(Table1[[#This Row],[DUT Adj Read]]&gt;=Table1[[#This Row],[Low Tol]],"Pass","Fail")))</f>
        <v>Pass</v>
      </c>
      <c r="AG2604" s="1" t="str">
        <f>IF(AND(Table1[[#This Row],[Spec Type2]]="N/A",Table1[[#This Row],[DUT Adj Read]]="N/A",Table1[[#This Row],[Std Adj Read]]="N/A"),"N/A",IF(Table1[[#This Row],[DUT Adj Read]]="N/A",IF(Table1[[#This Row],[Std Adj Read]]&lt;=Table1[[#This Row],[High Tol]],"Pass","Fail"),IF(Table1[[#This Row],[DUT Adj Read]]&lt;=Table1[[#This Row],[High Tol]],"Pass","Fail")))</f>
        <v>Fail</v>
      </c>
      <c r="AH26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4" s="1" t="b">
        <v>0</v>
      </c>
      <c r="AN2604" s="1" t="b">
        <v>0</v>
      </c>
      <c r="AO2604" s="1" t="b">
        <v>0</v>
      </c>
    </row>
    <row r="2605" spans="1:41" x14ac:dyDescent="0.25">
      <c r="A2605" s="10"/>
      <c r="B2605" s="10"/>
      <c r="C2605" s="10"/>
      <c r="D2605" s="10"/>
      <c r="E2605" s="10"/>
      <c r="F2605" s="10"/>
      <c r="G2605" s="10"/>
      <c r="H2605" s="10"/>
      <c r="I2605" s="1" t="str">
        <f t="shared" si="120"/>
        <v/>
      </c>
      <c r="J2605" s="1" t="s">
        <v>35</v>
      </c>
      <c r="K2605" s="1" t="str">
        <f t="shared" si="121"/>
        <v/>
      </c>
      <c r="L2605" s="1" t="str">
        <f t="shared" si="122"/>
        <v/>
      </c>
      <c r="M2605" s="1">
        <f>IF(OR(Table1[[#This Row],[Std Nom]]="",Table1[[#This Row],[Std Read]]=""),0,Table1[[#This Row],[Std Nom]]-Table1[[#This Row],[Std Read]])</f>
        <v>0</v>
      </c>
      <c r="N2605" s="1">
        <f>IF(Calculations!$F$5="ACCREDITED 17025 WITH UNCERTAINTIES",$N$10,0)</f>
        <v>0</v>
      </c>
      <c r="O2605" s="1" t="str">
        <f>IFERROR(Table1[[#This Row],[Std Nom]]-(_xlfn.XLOOKUP(Table1[[#This Row],[Manufacturer]]&amp;" "&amp;Table1[[#This Row],[Model]],Table13[MFR &amp; MDL],Table13[Tolerance % CW ],"")/100*Table1[[#This Row],[Std Nom]]),"")</f>
        <v/>
      </c>
      <c r="P2605" s="1" t="str">
        <f>IFERROR(Table1[[#This Row],[Std Nom]]+(_xlfn.XLOOKUP(Table1[[#This Row],[Manufacturer]]&amp;" "&amp;Table1[[#This Row],[Model]],Table13[MFR &amp; MDL],Table13[Tolerance % CW ],"")/100*Table1[[#This Row],[Std Nom]]),"")</f>
        <v/>
      </c>
      <c r="Q2605" s="1" t="e">
        <f>Table1[[#This Row],[High Tol]]-Table1[[#This Row],[Low Tol]]</f>
        <v>#VALUE!</v>
      </c>
      <c r="R2605" s="1">
        <f>2*Table1[[#This Row],[Std Error]]</f>
        <v>0</v>
      </c>
      <c r="S2605" s="1" t="str">
        <f>IF(Table1[[#This Row],[High Tol]]="","N/A",IFERROR(ABS(Table1[[#This Row],[Tol Span]]/Table1[[#This Row],[Error Span]]),"N/A"))</f>
        <v>N/A</v>
      </c>
      <c r="T2605" s="1" t="str">
        <f>IF(OR(Table1[[#This Row],[Low Tol]]="",Table1[[#This Row],[High Tol]]=""),"Needs Analysis",IF(Table1[[#This Row],[Ratio]]&gt;=4,"Not Significant",IF(Table1[[#This Row],[Ratio]]&gt;=2,"Semi-Significant","Significant")))</f>
        <v>Needs Analysis</v>
      </c>
      <c r="W2605" s="1">
        <f>IF(Table1[[#This Row],[Cal Type]]&lt;&gt;"ACCREDITED 17025 WITH UNCERTAINTIES",0,"")</f>
        <v>0</v>
      </c>
      <c r="X2605" s="1" t="str">
        <f>IF(Table1[[#This Row],[DUT Read]]="","N/A",Table1[[#This Row],[Std Error]]+Table1[[#This Row],[DUT Read]]+Table1[[#This Row],[DUT Ucty]])</f>
        <v>N/A</v>
      </c>
      <c r="Y2605" s="1" t="str">
        <f>IF(Table1[[#This Row],[Std Read]]="","N/A",Table1[[#This Row],[Std Read]]+Table1[[#This Row],[Std Ucty]])</f>
        <v>N/A</v>
      </c>
      <c r="Z26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5" s="1" t="str">
        <f>IF(Table1[[#This Row],[Spec Type]]="","N/A",Table1[[#This Row],[Spec Type]])</f>
        <v>±</v>
      </c>
      <c r="AC2605" s="1" t="str">
        <f>IF(Table1[[#This Row],[Spec Type2]]="N/A","N/A",IF(AND(Table1[[#This Row],[DUT Adj Read]]&gt;=Table1[[#This Row],[Low Tol]],Table1[[#This Row],[DUT Adj Read]]&lt;=Table1[[#This Row],[High Tol]]),"Pass","Fail"))</f>
        <v>Fail</v>
      </c>
      <c r="AD2605" s="1" t="str">
        <f>IF(AND(Table1[[#This Row],[Spec Type2]]="N/A",Table1[[#This Row],[DUT Adj Read]]="N/A",Table1[[#This Row],[Std Adj Read]]="N/A"),"N/A",IF(Table1[[#This Row],[DUT Adj Read]]="N/A",IF(Table1[[#This Row],[Std Adj Read]]&gt;Table1[[#This Row],[Low Tol]],"Pass","Fail"),IF(Table1[[#This Row],[DUT Adj Read]]&gt;Table1[[#This Row],[Low Tol]],"Pass","Fail")))</f>
        <v>Pass</v>
      </c>
      <c r="AE2605" s="1" t="str">
        <f>IF(AND(Table1[[#This Row],[Spec Type2]]="N/A",Table1[[#This Row],[DUT Adj Read]]="N/A",Table1[[#This Row],[Std Adj Read]]="N/A"),"N/A",IF(Table1[[#This Row],[DUT Adj Read]]="N/A",IF(Table1[[#This Row],[Std Adj Read]]&lt;Table1[[#This Row],[High Tol]],"Pass","Fail"),IF(Table1[[#This Row],[DUT Adj Read]]&lt;Table1[[#This Row],[High Tol]],"Pass","Fail")))</f>
        <v>Fail</v>
      </c>
      <c r="AF2605" s="1" t="str">
        <f>IF(AND(Table1[[#This Row],[Spec Type2]]="N/A",Table1[[#This Row],[DUT Adj Read]]="N/A",Table1[[#This Row],[Std Adj Read]]="N/A"),"N/A",IF(Table1[[#This Row],[DUT Adj Read]]="N/A",IF(Table1[[#This Row],[Std Adj Read]]&gt;=Table1[[#This Row],[Low Tol]],"Pass","Fail"),IF(Table1[[#This Row],[DUT Adj Read]]&gt;=Table1[[#This Row],[Low Tol]],"Pass","Fail")))</f>
        <v>Pass</v>
      </c>
      <c r="AG2605" s="1" t="str">
        <f>IF(AND(Table1[[#This Row],[Spec Type2]]="N/A",Table1[[#This Row],[DUT Adj Read]]="N/A",Table1[[#This Row],[Std Adj Read]]="N/A"),"N/A",IF(Table1[[#This Row],[DUT Adj Read]]="N/A",IF(Table1[[#This Row],[Std Adj Read]]&lt;=Table1[[#This Row],[High Tol]],"Pass","Fail"),IF(Table1[[#This Row],[DUT Adj Read]]&lt;=Table1[[#This Row],[High Tol]],"Pass","Fail")))</f>
        <v>Fail</v>
      </c>
      <c r="AH26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5" s="1" t="b">
        <v>0</v>
      </c>
      <c r="AN2605" s="1" t="b">
        <v>0</v>
      </c>
      <c r="AO2605" s="1" t="b">
        <v>0</v>
      </c>
    </row>
    <row r="2606" spans="1:41" x14ac:dyDescent="0.25">
      <c r="A2606" s="10"/>
      <c r="B2606" s="10"/>
      <c r="C2606" s="10"/>
      <c r="D2606" s="10"/>
      <c r="E2606" s="10"/>
      <c r="F2606" s="10"/>
      <c r="G2606" s="10"/>
      <c r="H2606" s="10"/>
      <c r="I2606" s="1" t="str">
        <f t="shared" si="120"/>
        <v/>
      </c>
      <c r="J2606" s="1" t="s">
        <v>35</v>
      </c>
      <c r="K2606" s="1" t="str">
        <f t="shared" si="121"/>
        <v/>
      </c>
      <c r="L2606" s="1" t="str">
        <f t="shared" si="122"/>
        <v/>
      </c>
      <c r="M2606" s="1">
        <f>IF(OR(Table1[[#This Row],[Std Nom]]="",Table1[[#This Row],[Std Read]]=""),0,Table1[[#This Row],[Std Nom]]-Table1[[#This Row],[Std Read]])</f>
        <v>0</v>
      </c>
      <c r="N2606" s="1">
        <f>IF(Calculations!$F$5="ACCREDITED 17025 WITH UNCERTAINTIES",$N$10,0)</f>
        <v>0</v>
      </c>
      <c r="O2606" s="1" t="str">
        <f>IFERROR(Table1[[#This Row],[Std Nom]]-(_xlfn.XLOOKUP(Table1[[#This Row],[Manufacturer]]&amp;" "&amp;Table1[[#This Row],[Model]],Table13[MFR &amp; MDL],Table13[Tolerance % CW ],"")/100*Table1[[#This Row],[Std Nom]]),"")</f>
        <v/>
      </c>
      <c r="P2606" s="1" t="str">
        <f>IFERROR(Table1[[#This Row],[Std Nom]]+(_xlfn.XLOOKUP(Table1[[#This Row],[Manufacturer]]&amp;" "&amp;Table1[[#This Row],[Model]],Table13[MFR &amp; MDL],Table13[Tolerance % CW ],"")/100*Table1[[#This Row],[Std Nom]]),"")</f>
        <v/>
      </c>
      <c r="Q2606" s="1" t="e">
        <f>Table1[[#This Row],[High Tol]]-Table1[[#This Row],[Low Tol]]</f>
        <v>#VALUE!</v>
      </c>
      <c r="R2606" s="1">
        <f>2*Table1[[#This Row],[Std Error]]</f>
        <v>0</v>
      </c>
      <c r="S2606" s="1" t="str">
        <f>IF(Table1[[#This Row],[High Tol]]="","N/A",IFERROR(ABS(Table1[[#This Row],[Tol Span]]/Table1[[#This Row],[Error Span]]),"N/A"))</f>
        <v>N/A</v>
      </c>
      <c r="T2606" s="1" t="str">
        <f>IF(OR(Table1[[#This Row],[Low Tol]]="",Table1[[#This Row],[High Tol]]=""),"Needs Analysis",IF(Table1[[#This Row],[Ratio]]&gt;=4,"Not Significant",IF(Table1[[#This Row],[Ratio]]&gt;=2,"Semi-Significant","Significant")))</f>
        <v>Needs Analysis</v>
      </c>
      <c r="W2606" s="1">
        <f>IF(Table1[[#This Row],[Cal Type]]&lt;&gt;"ACCREDITED 17025 WITH UNCERTAINTIES",0,"")</f>
        <v>0</v>
      </c>
      <c r="X2606" s="1" t="str">
        <f>IF(Table1[[#This Row],[DUT Read]]="","N/A",Table1[[#This Row],[Std Error]]+Table1[[#This Row],[DUT Read]]+Table1[[#This Row],[DUT Ucty]])</f>
        <v>N/A</v>
      </c>
      <c r="Y2606" s="1" t="str">
        <f>IF(Table1[[#This Row],[Std Read]]="","N/A",Table1[[#This Row],[Std Read]]+Table1[[#This Row],[Std Ucty]])</f>
        <v>N/A</v>
      </c>
      <c r="Z26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6" s="1" t="str">
        <f>IF(Table1[[#This Row],[Spec Type]]="","N/A",Table1[[#This Row],[Spec Type]])</f>
        <v>±</v>
      </c>
      <c r="AC2606" s="1" t="str">
        <f>IF(Table1[[#This Row],[Spec Type2]]="N/A","N/A",IF(AND(Table1[[#This Row],[DUT Adj Read]]&gt;=Table1[[#This Row],[Low Tol]],Table1[[#This Row],[DUT Adj Read]]&lt;=Table1[[#This Row],[High Tol]]),"Pass","Fail"))</f>
        <v>Fail</v>
      </c>
      <c r="AD2606" s="1" t="str">
        <f>IF(AND(Table1[[#This Row],[Spec Type2]]="N/A",Table1[[#This Row],[DUT Adj Read]]="N/A",Table1[[#This Row],[Std Adj Read]]="N/A"),"N/A",IF(Table1[[#This Row],[DUT Adj Read]]="N/A",IF(Table1[[#This Row],[Std Adj Read]]&gt;Table1[[#This Row],[Low Tol]],"Pass","Fail"),IF(Table1[[#This Row],[DUT Adj Read]]&gt;Table1[[#This Row],[Low Tol]],"Pass","Fail")))</f>
        <v>Pass</v>
      </c>
      <c r="AE2606" s="1" t="str">
        <f>IF(AND(Table1[[#This Row],[Spec Type2]]="N/A",Table1[[#This Row],[DUT Adj Read]]="N/A",Table1[[#This Row],[Std Adj Read]]="N/A"),"N/A",IF(Table1[[#This Row],[DUT Adj Read]]="N/A",IF(Table1[[#This Row],[Std Adj Read]]&lt;Table1[[#This Row],[High Tol]],"Pass","Fail"),IF(Table1[[#This Row],[DUT Adj Read]]&lt;Table1[[#This Row],[High Tol]],"Pass","Fail")))</f>
        <v>Fail</v>
      </c>
      <c r="AF2606" s="1" t="str">
        <f>IF(AND(Table1[[#This Row],[Spec Type2]]="N/A",Table1[[#This Row],[DUT Adj Read]]="N/A",Table1[[#This Row],[Std Adj Read]]="N/A"),"N/A",IF(Table1[[#This Row],[DUT Adj Read]]="N/A",IF(Table1[[#This Row],[Std Adj Read]]&gt;=Table1[[#This Row],[Low Tol]],"Pass","Fail"),IF(Table1[[#This Row],[DUT Adj Read]]&gt;=Table1[[#This Row],[Low Tol]],"Pass","Fail")))</f>
        <v>Pass</v>
      </c>
      <c r="AG2606" s="1" t="str">
        <f>IF(AND(Table1[[#This Row],[Spec Type2]]="N/A",Table1[[#This Row],[DUT Adj Read]]="N/A",Table1[[#This Row],[Std Adj Read]]="N/A"),"N/A",IF(Table1[[#This Row],[DUT Adj Read]]="N/A",IF(Table1[[#This Row],[Std Adj Read]]&lt;=Table1[[#This Row],[High Tol]],"Pass","Fail"),IF(Table1[[#This Row],[DUT Adj Read]]&lt;=Table1[[#This Row],[High Tol]],"Pass","Fail")))</f>
        <v>Fail</v>
      </c>
      <c r="AH26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6" s="1" t="b">
        <v>0</v>
      </c>
      <c r="AN2606" s="1" t="b">
        <v>0</v>
      </c>
      <c r="AO2606" s="1" t="b">
        <v>0</v>
      </c>
    </row>
    <row r="2607" spans="1:41" x14ac:dyDescent="0.25">
      <c r="A2607" s="10"/>
      <c r="B2607" s="10"/>
      <c r="C2607" s="10"/>
      <c r="D2607" s="10"/>
      <c r="E2607" s="10"/>
      <c r="F2607" s="10"/>
      <c r="G2607" s="10"/>
      <c r="H2607" s="10"/>
      <c r="I2607" s="1" t="str">
        <f t="shared" si="120"/>
        <v/>
      </c>
      <c r="J2607" s="1" t="s">
        <v>35</v>
      </c>
      <c r="K2607" s="1" t="str">
        <f t="shared" si="121"/>
        <v/>
      </c>
      <c r="L2607" s="1" t="str">
        <f t="shared" si="122"/>
        <v/>
      </c>
      <c r="M2607" s="1">
        <f>IF(OR(Table1[[#This Row],[Std Nom]]="",Table1[[#This Row],[Std Read]]=""),0,Table1[[#This Row],[Std Nom]]-Table1[[#This Row],[Std Read]])</f>
        <v>0</v>
      </c>
      <c r="N2607" s="1">
        <f>IF(Calculations!$F$5="ACCREDITED 17025 WITH UNCERTAINTIES",$N$10,0)</f>
        <v>0</v>
      </c>
      <c r="O2607" s="1" t="str">
        <f>IFERROR(Table1[[#This Row],[Std Nom]]-(_xlfn.XLOOKUP(Table1[[#This Row],[Manufacturer]]&amp;" "&amp;Table1[[#This Row],[Model]],Table13[MFR &amp; MDL],Table13[Tolerance % CW ],"")/100*Table1[[#This Row],[Std Nom]]),"")</f>
        <v/>
      </c>
      <c r="P2607" s="1" t="str">
        <f>IFERROR(Table1[[#This Row],[Std Nom]]+(_xlfn.XLOOKUP(Table1[[#This Row],[Manufacturer]]&amp;" "&amp;Table1[[#This Row],[Model]],Table13[MFR &amp; MDL],Table13[Tolerance % CW ],"")/100*Table1[[#This Row],[Std Nom]]),"")</f>
        <v/>
      </c>
      <c r="Q2607" s="1" t="e">
        <f>Table1[[#This Row],[High Tol]]-Table1[[#This Row],[Low Tol]]</f>
        <v>#VALUE!</v>
      </c>
      <c r="R2607" s="1">
        <f>2*Table1[[#This Row],[Std Error]]</f>
        <v>0</v>
      </c>
      <c r="S2607" s="1" t="str">
        <f>IF(Table1[[#This Row],[High Tol]]="","N/A",IFERROR(ABS(Table1[[#This Row],[Tol Span]]/Table1[[#This Row],[Error Span]]),"N/A"))</f>
        <v>N/A</v>
      </c>
      <c r="T2607" s="1" t="str">
        <f>IF(OR(Table1[[#This Row],[Low Tol]]="",Table1[[#This Row],[High Tol]]=""),"Needs Analysis",IF(Table1[[#This Row],[Ratio]]&gt;=4,"Not Significant",IF(Table1[[#This Row],[Ratio]]&gt;=2,"Semi-Significant","Significant")))</f>
        <v>Needs Analysis</v>
      </c>
      <c r="W2607" s="1">
        <f>IF(Table1[[#This Row],[Cal Type]]&lt;&gt;"ACCREDITED 17025 WITH UNCERTAINTIES",0,"")</f>
        <v>0</v>
      </c>
      <c r="X2607" s="1" t="str">
        <f>IF(Table1[[#This Row],[DUT Read]]="","N/A",Table1[[#This Row],[Std Error]]+Table1[[#This Row],[DUT Read]]+Table1[[#This Row],[DUT Ucty]])</f>
        <v>N/A</v>
      </c>
      <c r="Y2607" s="1" t="str">
        <f>IF(Table1[[#This Row],[Std Read]]="","N/A",Table1[[#This Row],[Std Read]]+Table1[[#This Row],[Std Ucty]])</f>
        <v>N/A</v>
      </c>
      <c r="Z26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7" s="1" t="str">
        <f>IF(Table1[[#This Row],[Spec Type]]="","N/A",Table1[[#This Row],[Spec Type]])</f>
        <v>±</v>
      </c>
      <c r="AC2607" s="1" t="str">
        <f>IF(Table1[[#This Row],[Spec Type2]]="N/A","N/A",IF(AND(Table1[[#This Row],[DUT Adj Read]]&gt;=Table1[[#This Row],[Low Tol]],Table1[[#This Row],[DUT Adj Read]]&lt;=Table1[[#This Row],[High Tol]]),"Pass","Fail"))</f>
        <v>Fail</v>
      </c>
      <c r="AD2607" s="1" t="str">
        <f>IF(AND(Table1[[#This Row],[Spec Type2]]="N/A",Table1[[#This Row],[DUT Adj Read]]="N/A",Table1[[#This Row],[Std Adj Read]]="N/A"),"N/A",IF(Table1[[#This Row],[DUT Adj Read]]="N/A",IF(Table1[[#This Row],[Std Adj Read]]&gt;Table1[[#This Row],[Low Tol]],"Pass","Fail"),IF(Table1[[#This Row],[DUT Adj Read]]&gt;Table1[[#This Row],[Low Tol]],"Pass","Fail")))</f>
        <v>Pass</v>
      </c>
      <c r="AE2607" s="1" t="str">
        <f>IF(AND(Table1[[#This Row],[Spec Type2]]="N/A",Table1[[#This Row],[DUT Adj Read]]="N/A",Table1[[#This Row],[Std Adj Read]]="N/A"),"N/A",IF(Table1[[#This Row],[DUT Adj Read]]="N/A",IF(Table1[[#This Row],[Std Adj Read]]&lt;Table1[[#This Row],[High Tol]],"Pass","Fail"),IF(Table1[[#This Row],[DUT Adj Read]]&lt;Table1[[#This Row],[High Tol]],"Pass","Fail")))</f>
        <v>Fail</v>
      </c>
      <c r="AF2607" s="1" t="str">
        <f>IF(AND(Table1[[#This Row],[Spec Type2]]="N/A",Table1[[#This Row],[DUT Adj Read]]="N/A",Table1[[#This Row],[Std Adj Read]]="N/A"),"N/A",IF(Table1[[#This Row],[DUT Adj Read]]="N/A",IF(Table1[[#This Row],[Std Adj Read]]&gt;=Table1[[#This Row],[Low Tol]],"Pass","Fail"),IF(Table1[[#This Row],[DUT Adj Read]]&gt;=Table1[[#This Row],[Low Tol]],"Pass","Fail")))</f>
        <v>Pass</v>
      </c>
      <c r="AG2607" s="1" t="str">
        <f>IF(AND(Table1[[#This Row],[Spec Type2]]="N/A",Table1[[#This Row],[DUT Adj Read]]="N/A",Table1[[#This Row],[Std Adj Read]]="N/A"),"N/A",IF(Table1[[#This Row],[DUT Adj Read]]="N/A",IF(Table1[[#This Row],[Std Adj Read]]&lt;=Table1[[#This Row],[High Tol]],"Pass","Fail"),IF(Table1[[#This Row],[DUT Adj Read]]&lt;=Table1[[#This Row],[High Tol]],"Pass","Fail")))</f>
        <v>Fail</v>
      </c>
      <c r="AH26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7" s="1" t="b">
        <v>0</v>
      </c>
      <c r="AN2607" s="1" t="b">
        <v>0</v>
      </c>
      <c r="AO2607" s="1" t="b">
        <v>0</v>
      </c>
    </row>
    <row r="2608" spans="1:41" x14ac:dyDescent="0.25">
      <c r="A2608" s="10"/>
      <c r="B2608" s="10"/>
      <c r="C2608" s="10"/>
      <c r="D2608" s="10"/>
      <c r="E2608" s="10"/>
      <c r="F2608" s="10"/>
      <c r="G2608" s="10"/>
      <c r="H2608" s="10"/>
      <c r="I2608" s="1" t="str">
        <f t="shared" si="120"/>
        <v/>
      </c>
      <c r="J2608" s="1" t="s">
        <v>35</v>
      </c>
      <c r="K2608" s="1" t="str">
        <f t="shared" si="121"/>
        <v/>
      </c>
      <c r="L2608" s="1" t="str">
        <f t="shared" si="122"/>
        <v/>
      </c>
      <c r="M2608" s="1">
        <f>IF(OR(Table1[[#This Row],[Std Nom]]="",Table1[[#This Row],[Std Read]]=""),0,Table1[[#This Row],[Std Nom]]-Table1[[#This Row],[Std Read]])</f>
        <v>0</v>
      </c>
      <c r="N2608" s="1">
        <f>IF(Calculations!$F$5="ACCREDITED 17025 WITH UNCERTAINTIES",$N$10,0)</f>
        <v>0</v>
      </c>
      <c r="O2608" s="1" t="str">
        <f>IFERROR(Table1[[#This Row],[Std Nom]]-(_xlfn.XLOOKUP(Table1[[#This Row],[Manufacturer]]&amp;" "&amp;Table1[[#This Row],[Model]],Table13[MFR &amp; MDL],Table13[Tolerance % CW ],"")/100*Table1[[#This Row],[Std Nom]]),"")</f>
        <v/>
      </c>
      <c r="P2608" s="1" t="str">
        <f>IFERROR(Table1[[#This Row],[Std Nom]]+(_xlfn.XLOOKUP(Table1[[#This Row],[Manufacturer]]&amp;" "&amp;Table1[[#This Row],[Model]],Table13[MFR &amp; MDL],Table13[Tolerance % CW ],"")/100*Table1[[#This Row],[Std Nom]]),"")</f>
        <v/>
      </c>
      <c r="Q2608" s="1" t="e">
        <f>Table1[[#This Row],[High Tol]]-Table1[[#This Row],[Low Tol]]</f>
        <v>#VALUE!</v>
      </c>
      <c r="R2608" s="1">
        <f>2*Table1[[#This Row],[Std Error]]</f>
        <v>0</v>
      </c>
      <c r="S2608" s="1" t="str">
        <f>IF(Table1[[#This Row],[High Tol]]="","N/A",IFERROR(ABS(Table1[[#This Row],[Tol Span]]/Table1[[#This Row],[Error Span]]),"N/A"))</f>
        <v>N/A</v>
      </c>
      <c r="T2608" s="1" t="str">
        <f>IF(OR(Table1[[#This Row],[Low Tol]]="",Table1[[#This Row],[High Tol]]=""),"Needs Analysis",IF(Table1[[#This Row],[Ratio]]&gt;=4,"Not Significant",IF(Table1[[#This Row],[Ratio]]&gt;=2,"Semi-Significant","Significant")))</f>
        <v>Needs Analysis</v>
      </c>
      <c r="W2608" s="1">
        <f>IF(Table1[[#This Row],[Cal Type]]&lt;&gt;"ACCREDITED 17025 WITH UNCERTAINTIES",0,"")</f>
        <v>0</v>
      </c>
      <c r="X2608" s="1" t="str">
        <f>IF(Table1[[#This Row],[DUT Read]]="","N/A",Table1[[#This Row],[Std Error]]+Table1[[#This Row],[DUT Read]]+Table1[[#This Row],[DUT Ucty]])</f>
        <v>N/A</v>
      </c>
      <c r="Y2608" s="1" t="str">
        <f>IF(Table1[[#This Row],[Std Read]]="","N/A",Table1[[#This Row],[Std Read]]+Table1[[#This Row],[Std Ucty]])</f>
        <v>N/A</v>
      </c>
      <c r="Z26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8" s="1" t="str">
        <f>IF(Table1[[#This Row],[Spec Type]]="","N/A",Table1[[#This Row],[Spec Type]])</f>
        <v>±</v>
      </c>
      <c r="AC2608" s="1" t="str">
        <f>IF(Table1[[#This Row],[Spec Type2]]="N/A","N/A",IF(AND(Table1[[#This Row],[DUT Adj Read]]&gt;=Table1[[#This Row],[Low Tol]],Table1[[#This Row],[DUT Adj Read]]&lt;=Table1[[#This Row],[High Tol]]),"Pass","Fail"))</f>
        <v>Fail</v>
      </c>
      <c r="AD2608" s="1" t="str">
        <f>IF(AND(Table1[[#This Row],[Spec Type2]]="N/A",Table1[[#This Row],[DUT Adj Read]]="N/A",Table1[[#This Row],[Std Adj Read]]="N/A"),"N/A",IF(Table1[[#This Row],[DUT Adj Read]]="N/A",IF(Table1[[#This Row],[Std Adj Read]]&gt;Table1[[#This Row],[Low Tol]],"Pass","Fail"),IF(Table1[[#This Row],[DUT Adj Read]]&gt;Table1[[#This Row],[Low Tol]],"Pass","Fail")))</f>
        <v>Pass</v>
      </c>
      <c r="AE2608" s="1" t="str">
        <f>IF(AND(Table1[[#This Row],[Spec Type2]]="N/A",Table1[[#This Row],[DUT Adj Read]]="N/A",Table1[[#This Row],[Std Adj Read]]="N/A"),"N/A",IF(Table1[[#This Row],[DUT Adj Read]]="N/A",IF(Table1[[#This Row],[Std Adj Read]]&lt;Table1[[#This Row],[High Tol]],"Pass","Fail"),IF(Table1[[#This Row],[DUT Adj Read]]&lt;Table1[[#This Row],[High Tol]],"Pass","Fail")))</f>
        <v>Fail</v>
      </c>
      <c r="AF2608" s="1" t="str">
        <f>IF(AND(Table1[[#This Row],[Spec Type2]]="N/A",Table1[[#This Row],[DUT Adj Read]]="N/A",Table1[[#This Row],[Std Adj Read]]="N/A"),"N/A",IF(Table1[[#This Row],[DUT Adj Read]]="N/A",IF(Table1[[#This Row],[Std Adj Read]]&gt;=Table1[[#This Row],[Low Tol]],"Pass","Fail"),IF(Table1[[#This Row],[DUT Adj Read]]&gt;=Table1[[#This Row],[Low Tol]],"Pass","Fail")))</f>
        <v>Pass</v>
      </c>
      <c r="AG2608" s="1" t="str">
        <f>IF(AND(Table1[[#This Row],[Spec Type2]]="N/A",Table1[[#This Row],[DUT Adj Read]]="N/A",Table1[[#This Row],[Std Adj Read]]="N/A"),"N/A",IF(Table1[[#This Row],[DUT Adj Read]]="N/A",IF(Table1[[#This Row],[Std Adj Read]]&lt;=Table1[[#This Row],[High Tol]],"Pass","Fail"),IF(Table1[[#This Row],[DUT Adj Read]]&lt;=Table1[[#This Row],[High Tol]],"Pass","Fail")))</f>
        <v>Fail</v>
      </c>
      <c r="AH26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8" s="1" t="b">
        <v>0</v>
      </c>
      <c r="AN2608" s="1" t="b">
        <v>0</v>
      </c>
      <c r="AO2608" s="1" t="b">
        <v>0</v>
      </c>
    </row>
    <row r="2609" spans="1:41" x14ac:dyDescent="0.25">
      <c r="A2609" s="10"/>
      <c r="B2609" s="10"/>
      <c r="C2609" s="10"/>
      <c r="D2609" s="10"/>
      <c r="E2609" s="10"/>
      <c r="F2609" s="10"/>
      <c r="G2609" s="10"/>
      <c r="H2609" s="10"/>
      <c r="I2609" s="1" t="str">
        <f t="shared" si="120"/>
        <v/>
      </c>
      <c r="J2609" s="1" t="s">
        <v>35</v>
      </c>
      <c r="K2609" s="1" t="str">
        <f t="shared" si="121"/>
        <v/>
      </c>
      <c r="L2609" s="1" t="str">
        <f t="shared" si="122"/>
        <v/>
      </c>
      <c r="M2609" s="1">
        <f>IF(OR(Table1[[#This Row],[Std Nom]]="",Table1[[#This Row],[Std Read]]=""),0,Table1[[#This Row],[Std Nom]]-Table1[[#This Row],[Std Read]])</f>
        <v>0</v>
      </c>
      <c r="N2609" s="1">
        <f>IF(Calculations!$F$5="ACCREDITED 17025 WITH UNCERTAINTIES",$N$10,0)</f>
        <v>0</v>
      </c>
      <c r="O2609" s="1" t="str">
        <f>IFERROR(Table1[[#This Row],[Std Nom]]-(_xlfn.XLOOKUP(Table1[[#This Row],[Manufacturer]]&amp;" "&amp;Table1[[#This Row],[Model]],Table13[MFR &amp; MDL],Table13[Tolerance % CW ],"")/100*Table1[[#This Row],[Std Nom]]),"")</f>
        <v/>
      </c>
      <c r="P2609" s="1" t="str">
        <f>IFERROR(Table1[[#This Row],[Std Nom]]+(_xlfn.XLOOKUP(Table1[[#This Row],[Manufacturer]]&amp;" "&amp;Table1[[#This Row],[Model]],Table13[MFR &amp; MDL],Table13[Tolerance % CW ],"")/100*Table1[[#This Row],[Std Nom]]),"")</f>
        <v/>
      </c>
      <c r="Q2609" s="1" t="e">
        <f>Table1[[#This Row],[High Tol]]-Table1[[#This Row],[Low Tol]]</f>
        <v>#VALUE!</v>
      </c>
      <c r="R2609" s="1">
        <f>2*Table1[[#This Row],[Std Error]]</f>
        <v>0</v>
      </c>
      <c r="S2609" s="1" t="str">
        <f>IF(Table1[[#This Row],[High Tol]]="","N/A",IFERROR(ABS(Table1[[#This Row],[Tol Span]]/Table1[[#This Row],[Error Span]]),"N/A"))</f>
        <v>N/A</v>
      </c>
      <c r="T2609" s="1" t="str">
        <f>IF(OR(Table1[[#This Row],[Low Tol]]="",Table1[[#This Row],[High Tol]]=""),"Needs Analysis",IF(Table1[[#This Row],[Ratio]]&gt;=4,"Not Significant",IF(Table1[[#This Row],[Ratio]]&gt;=2,"Semi-Significant","Significant")))</f>
        <v>Needs Analysis</v>
      </c>
      <c r="W2609" s="1">
        <f>IF(Table1[[#This Row],[Cal Type]]&lt;&gt;"ACCREDITED 17025 WITH UNCERTAINTIES",0,"")</f>
        <v>0</v>
      </c>
      <c r="X2609" s="1" t="str">
        <f>IF(Table1[[#This Row],[DUT Read]]="","N/A",Table1[[#This Row],[Std Error]]+Table1[[#This Row],[DUT Read]]+Table1[[#This Row],[DUT Ucty]])</f>
        <v>N/A</v>
      </c>
      <c r="Y2609" s="1" t="str">
        <f>IF(Table1[[#This Row],[Std Read]]="","N/A",Table1[[#This Row],[Std Read]]+Table1[[#This Row],[Std Ucty]])</f>
        <v>N/A</v>
      </c>
      <c r="Z26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9" s="1" t="str">
        <f>IF(Table1[[#This Row],[Spec Type]]="","N/A",Table1[[#This Row],[Spec Type]])</f>
        <v>±</v>
      </c>
      <c r="AC2609" s="1" t="str">
        <f>IF(Table1[[#This Row],[Spec Type2]]="N/A","N/A",IF(AND(Table1[[#This Row],[DUT Adj Read]]&gt;=Table1[[#This Row],[Low Tol]],Table1[[#This Row],[DUT Adj Read]]&lt;=Table1[[#This Row],[High Tol]]),"Pass","Fail"))</f>
        <v>Fail</v>
      </c>
      <c r="AD2609" s="1" t="str">
        <f>IF(AND(Table1[[#This Row],[Spec Type2]]="N/A",Table1[[#This Row],[DUT Adj Read]]="N/A",Table1[[#This Row],[Std Adj Read]]="N/A"),"N/A",IF(Table1[[#This Row],[DUT Adj Read]]="N/A",IF(Table1[[#This Row],[Std Adj Read]]&gt;Table1[[#This Row],[Low Tol]],"Pass","Fail"),IF(Table1[[#This Row],[DUT Adj Read]]&gt;Table1[[#This Row],[Low Tol]],"Pass","Fail")))</f>
        <v>Pass</v>
      </c>
      <c r="AE2609" s="1" t="str">
        <f>IF(AND(Table1[[#This Row],[Spec Type2]]="N/A",Table1[[#This Row],[DUT Adj Read]]="N/A",Table1[[#This Row],[Std Adj Read]]="N/A"),"N/A",IF(Table1[[#This Row],[DUT Adj Read]]="N/A",IF(Table1[[#This Row],[Std Adj Read]]&lt;Table1[[#This Row],[High Tol]],"Pass","Fail"),IF(Table1[[#This Row],[DUT Adj Read]]&lt;Table1[[#This Row],[High Tol]],"Pass","Fail")))</f>
        <v>Fail</v>
      </c>
      <c r="AF2609" s="1" t="str">
        <f>IF(AND(Table1[[#This Row],[Spec Type2]]="N/A",Table1[[#This Row],[DUT Adj Read]]="N/A",Table1[[#This Row],[Std Adj Read]]="N/A"),"N/A",IF(Table1[[#This Row],[DUT Adj Read]]="N/A",IF(Table1[[#This Row],[Std Adj Read]]&gt;=Table1[[#This Row],[Low Tol]],"Pass","Fail"),IF(Table1[[#This Row],[DUT Adj Read]]&gt;=Table1[[#This Row],[Low Tol]],"Pass","Fail")))</f>
        <v>Pass</v>
      </c>
      <c r="AG2609" s="1" t="str">
        <f>IF(AND(Table1[[#This Row],[Spec Type2]]="N/A",Table1[[#This Row],[DUT Adj Read]]="N/A",Table1[[#This Row],[Std Adj Read]]="N/A"),"N/A",IF(Table1[[#This Row],[DUT Adj Read]]="N/A",IF(Table1[[#This Row],[Std Adj Read]]&lt;=Table1[[#This Row],[High Tol]],"Pass","Fail"),IF(Table1[[#This Row],[DUT Adj Read]]&lt;=Table1[[#This Row],[High Tol]],"Pass","Fail")))</f>
        <v>Fail</v>
      </c>
      <c r="AH26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9" s="1" t="b">
        <v>0</v>
      </c>
      <c r="AN2609" s="1" t="b">
        <v>0</v>
      </c>
      <c r="AO2609" s="1" t="b">
        <v>0</v>
      </c>
    </row>
    <row r="2610" spans="1:41" x14ac:dyDescent="0.25">
      <c r="A2610" s="10"/>
      <c r="B2610" s="10"/>
      <c r="C2610" s="10"/>
      <c r="D2610" s="10"/>
      <c r="E2610" s="10"/>
      <c r="F2610" s="10"/>
      <c r="G2610" s="10"/>
      <c r="H2610" s="10"/>
      <c r="I2610" s="1" t="str">
        <f t="shared" si="120"/>
        <v/>
      </c>
      <c r="J2610" s="1" t="s">
        <v>35</v>
      </c>
      <c r="K2610" s="1" t="str">
        <f t="shared" si="121"/>
        <v/>
      </c>
      <c r="L2610" s="1" t="str">
        <f t="shared" si="122"/>
        <v/>
      </c>
      <c r="M2610" s="1">
        <f>IF(OR(Table1[[#This Row],[Std Nom]]="",Table1[[#This Row],[Std Read]]=""),0,Table1[[#This Row],[Std Nom]]-Table1[[#This Row],[Std Read]])</f>
        <v>0</v>
      </c>
      <c r="N2610" s="1">
        <f>IF(Calculations!$F$5="ACCREDITED 17025 WITH UNCERTAINTIES",$N$10,0)</f>
        <v>0</v>
      </c>
      <c r="O2610" s="1" t="str">
        <f>IFERROR(Table1[[#This Row],[Std Nom]]-(_xlfn.XLOOKUP(Table1[[#This Row],[Manufacturer]]&amp;" "&amp;Table1[[#This Row],[Model]],Table13[MFR &amp; MDL],Table13[Tolerance % CW ],"")/100*Table1[[#This Row],[Std Nom]]),"")</f>
        <v/>
      </c>
      <c r="P2610" s="1" t="str">
        <f>IFERROR(Table1[[#This Row],[Std Nom]]+(_xlfn.XLOOKUP(Table1[[#This Row],[Manufacturer]]&amp;" "&amp;Table1[[#This Row],[Model]],Table13[MFR &amp; MDL],Table13[Tolerance % CW ],"")/100*Table1[[#This Row],[Std Nom]]),"")</f>
        <v/>
      </c>
      <c r="Q2610" s="1" t="e">
        <f>Table1[[#This Row],[High Tol]]-Table1[[#This Row],[Low Tol]]</f>
        <v>#VALUE!</v>
      </c>
      <c r="R2610" s="1">
        <f>2*Table1[[#This Row],[Std Error]]</f>
        <v>0</v>
      </c>
      <c r="S2610" s="1" t="str">
        <f>IF(Table1[[#This Row],[High Tol]]="","N/A",IFERROR(ABS(Table1[[#This Row],[Tol Span]]/Table1[[#This Row],[Error Span]]),"N/A"))</f>
        <v>N/A</v>
      </c>
      <c r="T2610" s="1" t="str">
        <f>IF(OR(Table1[[#This Row],[Low Tol]]="",Table1[[#This Row],[High Tol]]=""),"Needs Analysis",IF(Table1[[#This Row],[Ratio]]&gt;=4,"Not Significant",IF(Table1[[#This Row],[Ratio]]&gt;=2,"Semi-Significant","Significant")))</f>
        <v>Needs Analysis</v>
      </c>
      <c r="W2610" s="1">
        <f>IF(Table1[[#This Row],[Cal Type]]&lt;&gt;"ACCREDITED 17025 WITH UNCERTAINTIES",0,"")</f>
        <v>0</v>
      </c>
      <c r="X2610" s="1" t="str">
        <f>IF(Table1[[#This Row],[DUT Read]]="","N/A",Table1[[#This Row],[Std Error]]+Table1[[#This Row],[DUT Read]]+Table1[[#This Row],[DUT Ucty]])</f>
        <v>N/A</v>
      </c>
      <c r="Y2610" s="1" t="str">
        <f>IF(Table1[[#This Row],[Std Read]]="","N/A",Table1[[#This Row],[Std Read]]+Table1[[#This Row],[Std Ucty]])</f>
        <v>N/A</v>
      </c>
      <c r="Z26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0" s="1" t="str">
        <f>IF(Table1[[#This Row],[Spec Type]]="","N/A",Table1[[#This Row],[Spec Type]])</f>
        <v>±</v>
      </c>
      <c r="AC2610" s="1" t="str">
        <f>IF(Table1[[#This Row],[Spec Type2]]="N/A","N/A",IF(AND(Table1[[#This Row],[DUT Adj Read]]&gt;=Table1[[#This Row],[Low Tol]],Table1[[#This Row],[DUT Adj Read]]&lt;=Table1[[#This Row],[High Tol]]),"Pass","Fail"))</f>
        <v>Fail</v>
      </c>
      <c r="AD2610" s="1" t="str">
        <f>IF(AND(Table1[[#This Row],[Spec Type2]]="N/A",Table1[[#This Row],[DUT Adj Read]]="N/A",Table1[[#This Row],[Std Adj Read]]="N/A"),"N/A",IF(Table1[[#This Row],[DUT Adj Read]]="N/A",IF(Table1[[#This Row],[Std Adj Read]]&gt;Table1[[#This Row],[Low Tol]],"Pass","Fail"),IF(Table1[[#This Row],[DUT Adj Read]]&gt;Table1[[#This Row],[Low Tol]],"Pass","Fail")))</f>
        <v>Pass</v>
      </c>
      <c r="AE2610" s="1" t="str">
        <f>IF(AND(Table1[[#This Row],[Spec Type2]]="N/A",Table1[[#This Row],[DUT Adj Read]]="N/A",Table1[[#This Row],[Std Adj Read]]="N/A"),"N/A",IF(Table1[[#This Row],[DUT Adj Read]]="N/A",IF(Table1[[#This Row],[Std Adj Read]]&lt;Table1[[#This Row],[High Tol]],"Pass","Fail"),IF(Table1[[#This Row],[DUT Adj Read]]&lt;Table1[[#This Row],[High Tol]],"Pass","Fail")))</f>
        <v>Fail</v>
      </c>
      <c r="AF2610" s="1" t="str">
        <f>IF(AND(Table1[[#This Row],[Spec Type2]]="N/A",Table1[[#This Row],[DUT Adj Read]]="N/A",Table1[[#This Row],[Std Adj Read]]="N/A"),"N/A",IF(Table1[[#This Row],[DUT Adj Read]]="N/A",IF(Table1[[#This Row],[Std Adj Read]]&gt;=Table1[[#This Row],[Low Tol]],"Pass","Fail"),IF(Table1[[#This Row],[DUT Adj Read]]&gt;=Table1[[#This Row],[Low Tol]],"Pass","Fail")))</f>
        <v>Pass</v>
      </c>
      <c r="AG2610" s="1" t="str">
        <f>IF(AND(Table1[[#This Row],[Spec Type2]]="N/A",Table1[[#This Row],[DUT Adj Read]]="N/A",Table1[[#This Row],[Std Adj Read]]="N/A"),"N/A",IF(Table1[[#This Row],[DUT Adj Read]]="N/A",IF(Table1[[#This Row],[Std Adj Read]]&lt;=Table1[[#This Row],[High Tol]],"Pass","Fail"),IF(Table1[[#This Row],[DUT Adj Read]]&lt;=Table1[[#This Row],[High Tol]],"Pass","Fail")))</f>
        <v>Fail</v>
      </c>
      <c r="AH26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0" s="1" t="b">
        <v>0</v>
      </c>
      <c r="AN2610" s="1" t="b">
        <v>0</v>
      </c>
      <c r="AO2610" s="1" t="b">
        <v>0</v>
      </c>
    </row>
    <row r="2611" spans="1:41" x14ac:dyDescent="0.25">
      <c r="A2611" s="10"/>
      <c r="B2611" s="10"/>
      <c r="C2611" s="10"/>
      <c r="D2611" s="10"/>
      <c r="E2611" s="10"/>
      <c r="F2611" s="10"/>
      <c r="G2611" s="10"/>
      <c r="H2611" s="10"/>
      <c r="I2611" s="1" t="str">
        <f t="shared" si="120"/>
        <v/>
      </c>
      <c r="J2611" s="1" t="s">
        <v>35</v>
      </c>
      <c r="K2611" s="1" t="str">
        <f t="shared" si="121"/>
        <v/>
      </c>
      <c r="L2611" s="1" t="str">
        <f t="shared" si="122"/>
        <v/>
      </c>
      <c r="M2611" s="1">
        <f>IF(OR(Table1[[#This Row],[Std Nom]]="",Table1[[#This Row],[Std Read]]=""),0,Table1[[#This Row],[Std Nom]]-Table1[[#This Row],[Std Read]])</f>
        <v>0</v>
      </c>
      <c r="N2611" s="1">
        <f>IF(Calculations!$F$5="ACCREDITED 17025 WITH UNCERTAINTIES",$N$10,0)</f>
        <v>0</v>
      </c>
      <c r="O2611" s="1" t="str">
        <f>IFERROR(Table1[[#This Row],[Std Nom]]-(_xlfn.XLOOKUP(Table1[[#This Row],[Manufacturer]]&amp;" "&amp;Table1[[#This Row],[Model]],Table13[MFR &amp; MDL],Table13[Tolerance % CW ],"")/100*Table1[[#This Row],[Std Nom]]),"")</f>
        <v/>
      </c>
      <c r="P2611" s="1" t="str">
        <f>IFERROR(Table1[[#This Row],[Std Nom]]+(_xlfn.XLOOKUP(Table1[[#This Row],[Manufacturer]]&amp;" "&amp;Table1[[#This Row],[Model]],Table13[MFR &amp; MDL],Table13[Tolerance % CW ],"")/100*Table1[[#This Row],[Std Nom]]),"")</f>
        <v/>
      </c>
      <c r="Q2611" s="1" t="e">
        <f>Table1[[#This Row],[High Tol]]-Table1[[#This Row],[Low Tol]]</f>
        <v>#VALUE!</v>
      </c>
      <c r="R2611" s="1">
        <f>2*Table1[[#This Row],[Std Error]]</f>
        <v>0</v>
      </c>
      <c r="S2611" s="1" t="str">
        <f>IF(Table1[[#This Row],[High Tol]]="","N/A",IFERROR(ABS(Table1[[#This Row],[Tol Span]]/Table1[[#This Row],[Error Span]]),"N/A"))</f>
        <v>N/A</v>
      </c>
      <c r="T2611" s="1" t="str">
        <f>IF(OR(Table1[[#This Row],[Low Tol]]="",Table1[[#This Row],[High Tol]]=""),"Needs Analysis",IF(Table1[[#This Row],[Ratio]]&gt;=4,"Not Significant",IF(Table1[[#This Row],[Ratio]]&gt;=2,"Semi-Significant","Significant")))</f>
        <v>Needs Analysis</v>
      </c>
      <c r="W2611" s="1">
        <f>IF(Table1[[#This Row],[Cal Type]]&lt;&gt;"ACCREDITED 17025 WITH UNCERTAINTIES",0,"")</f>
        <v>0</v>
      </c>
      <c r="X2611" s="1" t="str">
        <f>IF(Table1[[#This Row],[DUT Read]]="","N/A",Table1[[#This Row],[Std Error]]+Table1[[#This Row],[DUT Read]]+Table1[[#This Row],[DUT Ucty]])</f>
        <v>N/A</v>
      </c>
      <c r="Y2611" s="1" t="str">
        <f>IF(Table1[[#This Row],[Std Read]]="","N/A",Table1[[#This Row],[Std Read]]+Table1[[#This Row],[Std Ucty]])</f>
        <v>N/A</v>
      </c>
      <c r="Z26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1" s="1" t="str">
        <f>IF(Table1[[#This Row],[Spec Type]]="","N/A",Table1[[#This Row],[Spec Type]])</f>
        <v>±</v>
      </c>
      <c r="AC2611" s="1" t="str">
        <f>IF(Table1[[#This Row],[Spec Type2]]="N/A","N/A",IF(AND(Table1[[#This Row],[DUT Adj Read]]&gt;=Table1[[#This Row],[Low Tol]],Table1[[#This Row],[DUT Adj Read]]&lt;=Table1[[#This Row],[High Tol]]),"Pass","Fail"))</f>
        <v>Fail</v>
      </c>
      <c r="AD2611" s="1" t="str">
        <f>IF(AND(Table1[[#This Row],[Spec Type2]]="N/A",Table1[[#This Row],[DUT Adj Read]]="N/A",Table1[[#This Row],[Std Adj Read]]="N/A"),"N/A",IF(Table1[[#This Row],[DUT Adj Read]]="N/A",IF(Table1[[#This Row],[Std Adj Read]]&gt;Table1[[#This Row],[Low Tol]],"Pass","Fail"),IF(Table1[[#This Row],[DUT Adj Read]]&gt;Table1[[#This Row],[Low Tol]],"Pass","Fail")))</f>
        <v>Pass</v>
      </c>
      <c r="AE2611" s="1" t="str">
        <f>IF(AND(Table1[[#This Row],[Spec Type2]]="N/A",Table1[[#This Row],[DUT Adj Read]]="N/A",Table1[[#This Row],[Std Adj Read]]="N/A"),"N/A",IF(Table1[[#This Row],[DUT Adj Read]]="N/A",IF(Table1[[#This Row],[Std Adj Read]]&lt;Table1[[#This Row],[High Tol]],"Pass","Fail"),IF(Table1[[#This Row],[DUT Adj Read]]&lt;Table1[[#This Row],[High Tol]],"Pass","Fail")))</f>
        <v>Fail</v>
      </c>
      <c r="AF2611" s="1" t="str">
        <f>IF(AND(Table1[[#This Row],[Spec Type2]]="N/A",Table1[[#This Row],[DUT Adj Read]]="N/A",Table1[[#This Row],[Std Adj Read]]="N/A"),"N/A",IF(Table1[[#This Row],[DUT Adj Read]]="N/A",IF(Table1[[#This Row],[Std Adj Read]]&gt;=Table1[[#This Row],[Low Tol]],"Pass","Fail"),IF(Table1[[#This Row],[DUT Adj Read]]&gt;=Table1[[#This Row],[Low Tol]],"Pass","Fail")))</f>
        <v>Pass</v>
      </c>
      <c r="AG2611" s="1" t="str">
        <f>IF(AND(Table1[[#This Row],[Spec Type2]]="N/A",Table1[[#This Row],[DUT Adj Read]]="N/A",Table1[[#This Row],[Std Adj Read]]="N/A"),"N/A",IF(Table1[[#This Row],[DUT Adj Read]]="N/A",IF(Table1[[#This Row],[Std Adj Read]]&lt;=Table1[[#This Row],[High Tol]],"Pass","Fail"),IF(Table1[[#This Row],[DUT Adj Read]]&lt;=Table1[[#This Row],[High Tol]],"Pass","Fail")))</f>
        <v>Fail</v>
      </c>
      <c r="AH26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1" s="1" t="b">
        <v>0</v>
      </c>
      <c r="AN2611" s="1" t="b">
        <v>0</v>
      </c>
      <c r="AO2611" s="1" t="b">
        <v>0</v>
      </c>
    </row>
    <row r="2612" spans="1:41" x14ac:dyDescent="0.25">
      <c r="A2612" s="10"/>
      <c r="B2612" s="10"/>
      <c r="C2612" s="10"/>
      <c r="D2612" s="10"/>
      <c r="E2612" s="10"/>
      <c r="F2612" s="10"/>
      <c r="G2612" s="10"/>
      <c r="H2612" s="10"/>
      <c r="I2612" s="1" t="str">
        <f t="shared" si="120"/>
        <v/>
      </c>
      <c r="J2612" s="1" t="s">
        <v>35</v>
      </c>
      <c r="K2612" s="1" t="str">
        <f t="shared" si="121"/>
        <v/>
      </c>
      <c r="L2612" s="1" t="str">
        <f t="shared" si="122"/>
        <v/>
      </c>
      <c r="M2612" s="1">
        <f>IF(OR(Table1[[#This Row],[Std Nom]]="",Table1[[#This Row],[Std Read]]=""),0,Table1[[#This Row],[Std Nom]]-Table1[[#This Row],[Std Read]])</f>
        <v>0</v>
      </c>
      <c r="N2612" s="1">
        <f>IF(Calculations!$F$5="ACCREDITED 17025 WITH UNCERTAINTIES",$N$10,0)</f>
        <v>0</v>
      </c>
      <c r="O2612" s="1" t="str">
        <f>IFERROR(Table1[[#This Row],[Std Nom]]-(_xlfn.XLOOKUP(Table1[[#This Row],[Manufacturer]]&amp;" "&amp;Table1[[#This Row],[Model]],Table13[MFR &amp; MDL],Table13[Tolerance % CW ],"")/100*Table1[[#This Row],[Std Nom]]),"")</f>
        <v/>
      </c>
      <c r="P2612" s="1" t="str">
        <f>IFERROR(Table1[[#This Row],[Std Nom]]+(_xlfn.XLOOKUP(Table1[[#This Row],[Manufacturer]]&amp;" "&amp;Table1[[#This Row],[Model]],Table13[MFR &amp; MDL],Table13[Tolerance % CW ],"")/100*Table1[[#This Row],[Std Nom]]),"")</f>
        <v/>
      </c>
      <c r="Q2612" s="1" t="e">
        <f>Table1[[#This Row],[High Tol]]-Table1[[#This Row],[Low Tol]]</f>
        <v>#VALUE!</v>
      </c>
      <c r="R2612" s="1">
        <f>2*Table1[[#This Row],[Std Error]]</f>
        <v>0</v>
      </c>
      <c r="S2612" s="1" t="str">
        <f>IF(Table1[[#This Row],[High Tol]]="","N/A",IFERROR(ABS(Table1[[#This Row],[Tol Span]]/Table1[[#This Row],[Error Span]]),"N/A"))</f>
        <v>N/A</v>
      </c>
      <c r="T2612" s="1" t="str">
        <f>IF(OR(Table1[[#This Row],[Low Tol]]="",Table1[[#This Row],[High Tol]]=""),"Needs Analysis",IF(Table1[[#This Row],[Ratio]]&gt;=4,"Not Significant",IF(Table1[[#This Row],[Ratio]]&gt;=2,"Semi-Significant","Significant")))</f>
        <v>Needs Analysis</v>
      </c>
      <c r="W2612" s="1">
        <f>IF(Table1[[#This Row],[Cal Type]]&lt;&gt;"ACCREDITED 17025 WITH UNCERTAINTIES",0,"")</f>
        <v>0</v>
      </c>
      <c r="X2612" s="1" t="str">
        <f>IF(Table1[[#This Row],[DUT Read]]="","N/A",Table1[[#This Row],[Std Error]]+Table1[[#This Row],[DUT Read]]+Table1[[#This Row],[DUT Ucty]])</f>
        <v>N/A</v>
      </c>
      <c r="Y2612" s="1" t="str">
        <f>IF(Table1[[#This Row],[Std Read]]="","N/A",Table1[[#This Row],[Std Read]]+Table1[[#This Row],[Std Ucty]])</f>
        <v>N/A</v>
      </c>
      <c r="Z26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2" s="1" t="str">
        <f>IF(Table1[[#This Row],[Spec Type]]="","N/A",Table1[[#This Row],[Spec Type]])</f>
        <v>±</v>
      </c>
      <c r="AC2612" s="1" t="str">
        <f>IF(Table1[[#This Row],[Spec Type2]]="N/A","N/A",IF(AND(Table1[[#This Row],[DUT Adj Read]]&gt;=Table1[[#This Row],[Low Tol]],Table1[[#This Row],[DUT Adj Read]]&lt;=Table1[[#This Row],[High Tol]]),"Pass","Fail"))</f>
        <v>Fail</v>
      </c>
      <c r="AD2612" s="1" t="str">
        <f>IF(AND(Table1[[#This Row],[Spec Type2]]="N/A",Table1[[#This Row],[DUT Adj Read]]="N/A",Table1[[#This Row],[Std Adj Read]]="N/A"),"N/A",IF(Table1[[#This Row],[DUT Adj Read]]="N/A",IF(Table1[[#This Row],[Std Adj Read]]&gt;Table1[[#This Row],[Low Tol]],"Pass","Fail"),IF(Table1[[#This Row],[DUT Adj Read]]&gt;Table1[[#This Row],[Low Tol]],"Pass","Fail")))</f>
        <v>Pass</v>
      </c>
      <c r="AE2612" s="1" t="str">
        <f>IF(AND(Table1[[#This Row],[Spec Type2]]="N/A",Table1[[#This Row],[DUT Adj Read]]="N/A",Table1[[#This Row],[Std Adj Read]]="N/A"),"N/A",IF(Table1[[#This Row],[DUT Adj Read]]="N/A",IF(Table1[[#This Row],[Std Adj Read]]&lt;Table1[[#This Row],[High Tol]],"Pass","Fail"),IF(Table1[[#This Row],[DUT Adj Read]]&lt;Table1[[#This Row],[High Tol]],"Pass","Fail")))</f>
        <v>Fail</v>
      </c>
      <c r="AF2612" s="1" t="str">
        <f>IF(AND(Table1[[#This Row],[Spec Type2]]="N/A",Table1[[#This Row],[DUT Adj Read]]="N/A",Table1[[#This Row],[Std Adj Read]]="N/A"),"N/A",IF(Table1[[#This Row],[DUT Adj Read]]="N/A",IF(Table1[[#This Row],[Std Adj Read]]&gt;=Table1[[#This Row],[Low Tol]],"Pass","Fail"),IF(Table1[[#This Row],[DUT Adj Read]]&gt;=Table1[[#This Row],[Low Tol]],"Pass","Fail")))</f>
        <v>Pass</v>
      </c>
      <c r="AG2612" s="1" t="str">
        <f>IF(AND(Table1[[#This Row],[Spec Type2]]="N/A",Table1[[#This Row],[DUT Adj Read]]="N/A",Table1[[#This Row],[Std Adj Read]]="N/A"),"N/A",IF(Table1[[#This Row],[DUT Adj Read]]="N/A",IF(Table1[[#This Row],[Std Adj Read]]&lt;=Table1[[#This Row],[High Tol]],"Pass","Fail"),IF(Table1[[#This Row],[DUT Adj Read]]&lt;=Table1[[#This Row],[High Tol]],"Pass","Fail")))</f>
        <v>Fail</v>
      </c>
      <c r="AH26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2" s="1" t="b">
        <v>0</v>
      </c>
      <c r="AN2612" s="1" t="b">
        <v>0</v>
      </c>
      <c r="AO2612" s="1" t="b">
        <v>0</v>
      </c>
    </row>
    <row r="2613" spans="1:41" x14ac:dyDescent="0.25">
      <c r="A2613" s="10"/>
      <c r="B2613" s="10"/>
      <c r="C2613" s="10"/>
      <c r="D2613" s="10"/>
      <c r="E2613" s="10"/>
      <c r="F2613" s="10"/>
      <c r="G2613" s="10"/>
      <c r="H2613" s="10"/>
      <c r="I2613" s="1" t="str">
        <f t="shared" si="120"/>
        <v/>
      </c>
      <c r="J2613" s="1" t="s">
        <v>35</v>
      </c>
      <c r="K2613" s="1" t="str">
        <f t="shared" si="121"/>
        <v/>
      </c>
      <c r="L2613" s="1" t="str">
        <f t="shared" si="122"/>
        <v/>
      </c>
      <c r="M2613" s="1">
        <f>IF(OR(Table1[[#This Row],[Std Nom]]="",Table1[[#This Row],[Std Read]]=""),0,Table1[[#This Row],[Std Nom]]-Table1[[#This Row],[Std Read]])</f>
        <v>0</v>
      </c>
      <c r="N2613" s="1">
        <f>IF(Calculations!$F$5="ACCREDITED 17025 WITH UNCERTAINTIES",$N$10,0)</f>
        <v>0</v>
      </c>
      <c r="O2613" s="1" t="str">
        <f>IFERROR(Table1[[#This Row],[Std Nom]]-(_xlfn.XLOOKUP(Table1[[#This Row],[Manufacturer]]&amp;" "&amp;Table1[[#This Row],[Model]],Table13[MFR &amp; MDL],Table13[Tolerance % CW ],"")/100*Table1[[#This Row],[Std Nom]]),"")</f>
        <v/>
      </c>
      <c r="P2613" s="1" t="str">
        <f>IFERROR(Table1[[#This Row],[Std Nom]]+(_xlfn.XLOOKUP(Table1[[#This Row],[Manufacturer]]&amp;" "&amp;Table1[[#This Row],[Model]],Table13[MFR &amp; MDL],Table13[Tolerance % CW ],"")/100*Table1[[#This Row],[Std Nom]]),"")</f>
        <v/>
      </c>
      <c r="Q2613" s="1" t="e">
        <f>Table1[[#This Row],[High Tol]]-Table1[[#This Row],[Low Tol]]</f>
        <v>#VALUE!</v>
      </c>
      <c r="R2613" s="1">
        <f>2*Table1[[#This Row],[Std Error]]</f>
        <v>0</v>
      </c>
      <c r="S2613" s="1" t="str">
        <f>IF(Table1[[#This Row],[High Tol]]="","N/A",IFERROR(ABS(Table1[[#This Row],[Tol Span]]/Table1[[#This Row],[Error Span]]),"N/A"))</f>
        <v>N/A</v>
      </c>
      <c r="T2613" s="1" t="str">
        <f>IF(OR(Table1[[#This Row],[Low Tol]]="",Table1[[#This Row],[High Tol]]=""),"Needs Analysis",IF(Table1[[#This Row],[Ratio]]&gt;=4,"Not Significant",IF(Table1[[#This Row],[Ratio]]&gt;=2,"Semi-Significant","Significant")))</f>
        <v>Needs Analysis</v>
      </c>
      <c r="W2613" s="1">
        <f>IF(Table1[[#This Row],[Cal Type]]&lt;&gt;"ACCREDITED 17025 WITH UNCERTAINTIES",0,"")</f>
        <v>0</v>
      </c>
      <c r="X2613" s="1" t="str">
        <f>IF(Table1[[#This Row],[DUT Read]]="","N/A",Table1[[#This Row],[Std Error]]+Table1[[#This Row],[DUT Read]]+Table1[[#This Row],[DUT Ucty]])</f>
        <v>N/A</v>
      </c>
      <c r="Y2613" s="1" t="str">
        <f>IF(Table1[[#This Row],[Std Read]]="","N/A",Table1[[#This Row],[Std Read]]+Table1[[#This Row],[Std Ucty]])</f>
        <v>N/A</v>
      </c>
      <c r="Z26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3" s="1" t="str">
        <f>IF(Table1[[#This Row],[Spec Type]]="","N/A",Table1[[#This Row],[Spec Type]])</f>
        <v>±</v>
      </c>
      <c r="AC2613" s="1" t="str">
        <f>IF(Table1[[#This Row],[Spec Type2]]="N/A","N/A",IF(AND(Table1[[#This Row],[DUT Adj Read]]&gt;=Table1[[#This Row],[Low Tol]],Table1[[#This Row],[DUT Adj Read]]&lt;=Table1[[#This Row],[High Tol]]),"Pass","Fail"))</f>
        <v>Fail</v>
      </c>
      <c r="AD2613" s="1" t="str">
        <f>IF(AND(Table1[[#This Row],[Spec Type2]]="N/A",Table1[[#This Row],[DUT Adj Read]]="N/A",Table1[[#This Row],[Std Adj Read]]="N/A"),"N/A",IF(Table1[[#This Row],[DUT Adj Read]]="N/A",IF(Table1[[#This Row],[Std Adj Read]]&gt;Table1[[#This Row],[Low Tol]],"Pass","Fail"),IF(Table1[[#This Row],[DUT Adj Read]]&gt;Table1[[#This Row],[Low Tol]],"Pass","Fail")))</f>
        <v>Pass</v>
      </c>
      <c r="AE2613" s="1" t="str">
        <f>IF(AND(Table1[[#This Row],[Spec Type2]]="N/A",Table1[[#This Row],[DUT Adj Read]]="N/A",Table1[[#This Row],[Std Adj Read]]="N/A"),"N/A",IF(Table1[[#This Row],[DUT Adj Read]]="N/A",IF(Table1[[#This Row],[Std Adj Read]]&lt;Table1[[#This Row],[High Tol]],"Pass","Fail"),IF(Table1[[#This Row],[DUT Adj Read]]&lt;Table1[[#This Row],[High Tol]],"Pass","Fail")))</f>
        <v>Fail</v>
      </c>
      <c r="AF2613" s="1" t="str">
        <f>IF(AND(Table1[[#This Row],[Spec Type2]]="N/A",Table1[[#This Row],[DUT Adj Read]]="N/A",Table1[[#This Row],[Std Adj Read]]="N/A"),"N/A",IF(Table1[[#This Row],[DUT Adj Read]]="N/A",IF(Table1[[#This Row],[Std Adj Read]]&gt;=Table1[[#This Row],[Low Tol]],"Pass","Fail"),IF(Table1[[#This Row],[DUT Adj Read]]&gt;=Table1[[#This Row],[Low Tol]],"Pass","Fail")))</f>
        <v>Pass</v>
      </c>
      <c r="AG2613" s="1" t="str">
        <f>IF(AND(Table1[[#This Row],[Spec Type2]]="N/A",Table1[[#This Row],[DUT Adj Read]]="N/A",Table1[[#This Row],[Std Adj Read]]="N/A"),"N/A",IF(Table1[[#This Row],[DUT Adj Read]]="N/A",IF(Table1[[#This Row],[Std Adj Read]]&lt;=Table1[[#This Row],[High Tol]],"Pass","Fail"),IF(Table1[[#This Row],[DUT Adj Read]]&lt;=Table1[[#This Row],[High Tol]],"Pass","Fail")))</f>
        <v>Fail</v>
      </c>
      <c r="AH26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3" s="1" t="b">
        <v>0</v>
      </c>
      <c r="AN2613" s="1" t="b">
        <v>0</v>
      </c>
      <c r="AO2613" s="1" t="b">
        <v>0</v>
      </c>
    </row>
    <row r="2614" spans="1:41" x14ac:dyDescent="0.25">
      <c r="A2614" s="10"/>
      <c r="B2614" s="10"/>
      <c r="C2614" s="10"/>
      <c r="D2614" s="10"/>
      <c r="E2614" s="10"/>
      <c r="F2614" s="10"/>
      <c r="G2614" s="10"/>
      <c r="H2614" s="10"/>
      <c r="I2614" s="1" t="str">
        <f t="shared" si="120"/>
        <v/>
      </c>
      <c r="J2614" s="1" t="s">
        <v>35</v>
      </c>
      <c r="K2614" s="1" t="str">
        <f t="shared" si="121"/>
        <v/>
      </c>
      <c r="L2614" s="1" t="str">
        <f t="shared" si="122"/>
        <v/>
      </c>
      <c r="M2614" s="1">
        <f>IF(OR(Table1[[#This Row],[Std Nom]]="",Table1[[#This Row],[Std Read]]=""),0,Table1[[#This Row],[Std Nom]]-Table1[[#This Row],[Std Read]])</f>
        <v>0</v>
      </c>
      <c r="N2614" s="1">
        <f>IF(Calculations!$F$5="ACCREDITED 17025 WITH UNCERTAINTIES",$N$10,0)</f>
        <v>0</v>
      </c>
      <c r="O2614" s="1" t="str">
        <f>IFERROR(Table1[[#This Row],[Std Nom]]-(_xlfn.XLOOKUP(Table1[[#This Row],[Manufacturer]]&amp;" "&amp;Table1[[#This Row],[Model]],Table13[MFR &amp; MDL],Table13[Tolerance % CW ],"")/100*Table1[[#This Row],[Std Nom]]),"")</f>
        <v/>
      </c>
      <c r="P2614" s="1" t="str">
        <f>IFERROR(Table1[[#This Row],[Std Nom]]+(_xlfn.XLOOKUP(Table1[[#This Row],[Manufacturer]]&amp;" "&amp;Table1[[#This Row],[Model]],Table13[MFR &amp; MDL],Table13[Tolerance % CW ],"")/100*Table1[[#This Row],[Std Nom]]),"")</f>
        <v/>
      </c>
      <c r="Q2614" s="1" t="e">
        <f>Table1[[#This Row],[High Tol]]-Table1[[#This Row],[Low Tol]]</f>
        <v>#VALUE!</v>
      </c>
      <c r="R2614" s="1">
        <f>2*Table1[[#This Row],[Std Error]]</f>
        <v>0</v>
      </c>
      <c r="S2614" s="1" t="str">
        <f>IF(Table1[[#This Row],[High Tol]]="","N/A",IFERROR(ABS(Table1[[#This Row],[Tol Span]]/Table1[[#This Row],[Error Span]]),"N/A"))</f>
        <v>N/A</v>
      </c>
      <c r="T2614" s="1" t="str">
        <f>IF(OR(Table1[[#This Row],[Low Tol]]="",Table1[[#This Row],[High Tol]]=""),"Needs Analysis",IF(Table1[[#This Row],[Ratio]]&gt;=4,"Not Significant",IF(Table1[[#This Row],[Ratio]]&gt;=2,"Semi-Significant","Significant")))</f>
        <v>Needs Analysis</v>
      </c>
      <c r="W2614" s="1">
        <f>IF(Table1[[#This Row],[Cal Type]]&lt;&gt;"ACCREDITED 17025 WITH UNCERTAINTIES",0,"")</f>
        <v>0</v>
      </c>
      <c r="X2614" s="1" t="str">
        <f>IF(Table1[[#This Row],[DUT Read]]="","N/A",Table1[[#This Row],[Std Error]]+Table1[[#This Row],[DUT Read]]+Table1[[#This Row],[DUT Ucty]])</f>
        <v>N/A</v>
      </c>
      <c r="Y2614" s="1" t="str">
        <f>IF(Table1[[#This Row],[Std Read]]="","N/A",Table1[[#This Row],[Std Read]]+Table1[[#This Row],[Std Ucty]])</f>
        <v>N/A</v>
      </c>
      <c r="Z26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4" s="1" t="str">
        <f>IF(Table1[[#This Row],[Spec Type]]="","N/A",Table1[[#This Row],[Spec Type]])</f>
        <v>±</v>
      </c>
      <c r="AC2614" s="1" t="str">
        <f>IF(Table1[[#This Row],[Spec Type2]]="N/A","N/A",IF(AND(Table1[[#This Row],[DUT Adj Read]]&gt;=Table1[[#This Row],[Low Tol]],Table1[[#This Row],[DUT Adj Read]]&lt;=Table1[[#This Row],[High Tol]]),"Pass","Fail"))</f>
        <v>Fail</v>
      </c>
      <c r="AD2614" s="1" t="str">
        <f>IF(AND(Table1[[#This Row],[Spec Type2]]="N/A",Table1[[#This Row],[DUT Adj Read]]="N/A",Table1[[#This Row],[Std Adj Read]]="N/A"),"N/A",IF(Table1[[#This Row],[DUT Adj Read]]="N/A",IF(Table1[[#This Row],[Std Adj Read]]&gt;Table1[[#This Row],[Low Tol]],"Pass","Fail"),IF(Table1[[#This Row],[DUT Adj Read]]&gt;Table1[[#This Row],[Low Tol]],"Pass","Fail")))</f>
        <v>Pass</v>
      </c>
      <c r="AE2614" s="1" t="str">
        <f>IF(AND(Table1[[#This Row],[Spec Type2]]="N/A",Table1[[#This Row],[DUT Adj Read]]="N/A",Table1[[#This Row],[Std Adj Read]]="N/A"),"N/A",IF(Table1[[#This Row],[DUT Adj Read]]="N/A",IF(Table1[[#This Row],[Std Adj Read]]&lt;Table1[[#This Row],[High Tol]],"Pass","Fail"),IF(Table1[[#This Row],[DUT Adj Read]]&lt;Table1[[#This Row],[High Tol]],"Pass","Fail")))</f>
        <v>Fail</v>
      </c>
      <c r="AF2614" s="1" t="str">
        <f>IF(AND(Table1[[#This Row],[Spec Type2]]="N/A",Table1[[#This Row],[DUT Adj Read]]="N/A",Table1[[#This Row],[Std Adj Read]]="N/A"),"N/A",IF(Table1[[#This Row],[DUT Adj Read]]="N/A",IF(Table1[[#This Row],[Std Adj Read]]&gt;=Table1[[#This Row],[Low Tol]],"Pass","Fail"),IF(Table1[[#This Row],[DUT Adj Read]]&gt;=Table1[[#This Row],[Low Tol]],"Pass","Fail")))</f>
        <v>Pass</v>
      </c>
      <c r="AG2614" s="1" t="str">
        <f>IF(AND(Table1[[#This Row],[Spec Type2]]="N/A",Table1[[#This Row],[DUT Adj Read]]="N/A",Table1[[#This Row],[Std Adj Read]]="N/A"),"N/A",IF(Table1[[#This Row],[DUT Adj Read]]="N/A",IF(Table1[[#This Row],[Std Adj Read]]&lt;=Table1[[#This Row],[High Tol]],"Pass","Fail"),IF(Table1[[#This Row],[DUT Adj Read]]&lt;=Table1[[#This Row],[High Tol]],"Pass","Fail")))</f>
        <v>Fail</v>
      </c>
      <c r="AH26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4" s="1" t="b">
        <v>0</v>
      </c>
      <c r="AN2614" s="1" t="b">
        <v>0</v>
      </c>
      <c r="AO2614" s="1" t="b">
        <v>0</v>
      </c>
    </row>
    <row r="2615" spans="1:41" x14ac:dyDescent="0.25">
      <c r="A2615" s="10"/>
      <c r="B2615" s="10"/>
      <c r="C2615" s="10"/>
      <c r="D2615" s="10"/>
      <c r="E2615" s="10"/>
      <c r="F2615" s="10"/>
      <c r="G2615" s="10"/>
      <c r="H2615" s="10"/>
      <c r="I2615" s="1" t="str">
        <f t="shared" si="120"/>
        <v/>
      </c>
      <c r="J2615" s="1" t="s">
        <v>35</v>
      </c>
      <c r="K2615" s="1" t="str">
        <f t="shared" si="121"/>
        <v/>
      </c>
      <c r="L2615" s="1" t="str">
        <f t="shared" si="122"/>
        <v/>
      </c>
      <c r="M2615" s="1">
        <f>IF(OR(Table1[[#This Row],[Std Nom]]="",Table1[[#This Row],[Std Read]]=""),0,Table1[[#This Row],[Std Nom]]-Table1[[#This Row],[Std Read]])</f>
        <v>0</v>
      </c>
      <c r="N2615" s="1">
        <f>IF(Calculations!$F$5="ACCREDITED 17025 WITH UNCERTAINTIES",$N$10,0)</f>
        <v>0</v>
      </c>
      <c r="O2615" s="1" t="str">
        <f>IFERROR(Table1[[#This Row],[Std Nom]]-(_xlfn.XLOOKUP(Table1[[#This Row],[Manufacturer]]&amp;" "&amp;Table1[[#This Row],[Model]],Table13[MFR &amp; MDL],Table13[Tolerance % CW ],"")/100*Table1[[#This Row],[Std Nom]]),"")</f>
        <v/>
      </c>
      <c r="P2615" s="1" t="str">
        <f>IFERROR(Table1[[#This Row],[Std Nom]]+(_xlfn.XLOOKUP(Table1[[#This Row],[Manufacturer]]&amp;" "&amp;Table1[[#This Row],[Model]],Table13[MFR &amp; MDL],Table13[Tolerance % CW ],"")/100*Table1[[#This Row],[Std Nom]]),"")</f>
        <v/>
      </c>
      <c r="Q2615" s="1" t="e">
        <f>Table1[[#This Row],[High Tol]]-Table1[[#This Row],[Low Tol]]</f>
        <v>#VALUE!</v>
      </c>
      <c r="R2615" s="1">
        <f>2*Table1[[#This Row],[Std Error]]</f>
        <v>0</v>
      </c>
      <c r="S2615" s="1" t="str">
        <f>IF(Table1[[#This Row],[High Tol]]="","N/A",IFERROR(ABS(Table1[[#This Row],[Tol Span]]/Table1[[#This Row],[Error Span]]),"N/A"))</f>
        <v>N/A</v>
      </c>
      <c r="T2615" s="1" t="str">
        <f>IF(OR(Table1[[#This Row],[Low Tol]]="",Table1[[#This Row],[High Tol]]=""),"Needs Analysis",IF(Table1[[#This Row],[Ratio]]&gt;=4,"Not Significant",IF(Table1[[#This Row],[Ratio]]&gt;=2,"Semi-Significant","Significant")))</f>
        <v>Needs Analysis</v>
      </c>
      <c r="W2615" s="1">
        <f>IF(Table1[[#This Row],[Cal Type]]&lt;&gt;"ACCREDITED 17025 WITH UNCERTAINTIES",0,"")</f>
        <v>0</v>
      </c>
      <c r="X2615" s="1" t="str">
        <f>IF(Table1[[#This Row],[DUT Read]]="","N/A",Table1[[#This Row],[Std Error]]+Table1[[#This Row],[DUT Read]]+Table1[[#This Row],[DUT Ucty]])</f>
        <v>N/A</v>
      </c>
      <c r="Y2615" s="1" t="str">
        <f>IF(Table1[[#This Row],[Std Read]]="","N/A",Table1[[#This Row],[Std Read]]+Table1[[#This Row],[Std Ucty]])</f>
        <v>N/A</v>
      </c>
      <c r="Z26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5" s="1" t="str">
        <f>IF(Table1[[#This Row],[Spec Type]]="","N/A",Table1[[#This Row],[Spec Type]])</f>
        <v>±</v>
      </c>
      <c r="AC2615" s="1" t="str">
        <f>IF(Table1[[#This Row],[Spec Type2]]="N/A","N/A",IF(AND(Table1[[#This Row],[DUT Adj Read]]&gt;=Table1[[#This Row],[Low Tol]],Table1[[#This Row],[DUT Adj Read]]&lt;=Table1[[#This Row],[High Tol]]),"Pass","Fail"))</f>
        <v>Fail</v>
      </c>
      <c r="AD2615" s="1" t="str">
        <f>IF(AND(Table1[[#This Row],[Spec Type2]]="N/A",Table1[[#This Row],[DUT Adj Read]]="N/A",Table1[[#This Row],[Std Adj Read]]="N/A"),"N/A",IF(Table1[[#This Row],[DUT Adj Read]]="N/A",IF(Table1[[#This Row],[Std Adj Read]]&gt;Table1[[#This Row],[Low Tol]],"Pass","Fail"),IF(Table1[[#This Row],[DUT Adj Read]]&gt;Table1[[#This Row],[Low Tol]],"Pass","Fail")))</f>
        <v>Pass</v>
      </c>
      <c r="AE2615" s="1" t="str">
        <f>IF(AND(Table1[[#This Row],[Spec Type2]]="N/A",Table1[[#This Row],[DUT Adj Read]]="N/A",Table1[[#This Row],[Std Adj Read]]="N/A"),"N/A",IF(Table1[[#This Row],[DUT Adj Read]]="N/A",IF(Table1[[#This Row],[Std Adj Read]]&lt;Table1[[#This Row],[High Tol]],"Pass","Fail"),IF(Table1[[#This Row],[DUT Adj Read]]&lt;Table1[[#This Row],[High Tol]],"Pass","Fail")))</f>
        <v>Fail</v>
      </c>
      <c r="AF2615" s="1" t="str">
        <f>IF(AND(Table1[[#This Row],[Spec Type2]]="N/A",Table1[[#This Row],[DUT Adj Read]]="N/A",Table1[[#This Row],[Std Adj Read]]="N/A"),"N/A",IF(Table1[[#This Row],[DUT Adj Read]]="N/A",IF(Table1[[#This Row],[Std Adj Read]]&gt;=Table1[[#This Row],[Low Tol]],"Pass","Fail"),IF(Table1[[#This Row],[DUT Adj Read]]&gt;=Table1[[#This Row],[Low Tol]],"Pass","Fail")))</f>
        <v>Pass</v>
      </c>
      <c r="AG2615" s="1" t="str">
        <f>IF(AND(Table1[[#This Row],[Spec Type2]]="N/A",Table1[[#This Row],[DUT Adj Read]]="N/A",Table1[[#This Row],[Std Adj Read]]="N/A"),"N/A",IF(Table1[[#This Row],[DUT Adj Read]]="N/A",IF(Table1[[#This Row],[Std Adj Read]]&lt;=Table1[[#This Row],[High Tol]],"Pass","Fail"),IF(Table1[[#This Row],[DUT Adj Read]]&lt;=Table1[[#This Row],[High Tol]],"Pass","Fail")))</f>
        <v>Fail</v>
      </c>
      <c r="AH26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5" s="1" t="b">
        <v>0</v>
      </c>
      <c r="AN2615" s="1" t="b">
        <v>0</v>
      </c>
      <c r="AO2615" s="1" t="b">
        <v>0</v>
      </c>
    </row>
    <row r="2616" spans="1:41" x14ac:dyDescent="0.25">
      <c r="A2616" s="10"/>
      <c r="B2616" s="10"/>
      <c r="C2616" s="10"/>
      <c r="D2616" s="10"/>
      <c r="E2616" s="10"/>
      <c r="F2616" s="10"/>
      <c r="G2616" s="10"/>
      <c r="H2616" s="10"/>
      <c r="I2616" s="1" t="str">
        <f t="shared" si="120"/>
        <v/>
      </c>
      <c r="J2616" s="1" t="s">
        <v>35</v>
      </c>
      <c r="K2616" s="1" t="str">
        <f t="shared" si="121"/>
        <v/>
      </c>
      <c r="L2616" s="1" t="str">
        <f t="shared" si="122"/>
        <v/>
      </c>
      <c r="M2616" s="1">
        <f>IF(OR(Table1[[#This Row],[Std Nom]]="",Table1[[#This Row],[Std Read]]=""),0,Table1[[#This Row],[Std Nom]]-Table1[[#This Row],[Std Read]])</f>
        <v>0</v>
      </c>
      <c r="N2616" s="1">
        <f>IF(Calculations!$F$5="ACCREDITED 17025 WITH UNCERTAINTIES",$N$10,0)</f>
        <v>0</v>
      </c>
      <c r="O2616" s="1" t="str">
        <f>IFERROR(Table1[[#This Row],[Std Nom]]-(_xlfn.XLOOKUP(Table1[[#This Row],[Manufacturer]]&amp;" "&amp;Table1[[#This Row],[Model]],Table13[MFR &amp; MDL],Table13[Tolerance % CW ],"")/100*Table1[[#This Row],[Std Nom]]),"")</f>
        <v/>
      </c>
      <c r="P2616" s="1" t="str">
        <f>IFERROR(Table1[[#This Row],[Std Nom]]+(_xlfn.XLOOKUP(Table1[[#This Row],[Manufacturer]]&amp;" "&amp;Table1[[#This Row],[Model]],Table13[MFR &amp; MDL],Table13[Tolerance % CW ],"")/100*Table1[[#This Row],[Std Nom]]),"")</f>
        <v/>
      </c>
      <c r="Q2616" s="1" t="e">
        <f>Table1[[#This Row],[High Tol]]-Table1[[#This Row],[Low Tol]]</f>
        <v>#VALUE!</v>
      </c>
      <c r="R2616" s="1">
        <f>2*Table1[[#This Row],[Std Error]]</f>
        <v>0</v>
      </c>
      <c r="S2616" s="1" t="str">
        <f>IF(Table1[[#This Row],[High Tol]]="","N/A",IFERROR(ABS(Table1[[#This Row],[Tol Span]]/Table1[[#This Row],[Error Span]]),"N/A"))</f>
        <v>N/A</v>
      </c>
      <c r="T2616" s="1" t="str">
        <f>IF(OR(Table1[[#This Row],[Low Tol]]="",Table1[[#This Row],[High Tol]]=""),"Needs Analysis",IF(Table1[[#This Row],[Ratio]]&gt;=4,"Not Significant",IF(Table1[[#This Row],[Ratio]]&gt;=2,"Semi-Significant","Significant")))</f>
        <v>Needs Analysis</v>
      </c>
      <c r="W2616" s="1">
        <f>IF(Table1[[#This Row],[Cal Type]]&lt;&gt;"ACCREDITED 17025 WITH UNCERTAINTIES",0,"")</f>
        <v>0</v>
      </c>
      <c r="X2616" s="1" t="str">
        <f>IF(Table1[[#This Row],[DUT Read]]="","N/A",Table1[[#This Row],[Std Error]]+Table1[[#This Row],[DUT Read]]+Table1[[#This Row],[DUT Ucty]])</f>
        <v>N/A</v>
      </c>
      <c r="Y2616" s="1" t="str">
        <f>IF(Table1[[#This Row],[Std Read]]="","N/A",Table1[[#This Row],[Std Read]]+Table1[[#This Row],[Std Ucty]])</f>
        <v>N/A</v>
      </c>
      <c r="Z26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6" s="1" t="str">
        <f>IF(Table1[[#This Row],[Spec Type]]="","N/A",Table1[[#This Row],[Spec Type]])</f>
        <v>±</v>
      </c>
      <c r="AC2616" s="1" t="str">
        <f>IF(Table1[[#This Row],[Spec Type2]]="N/A","N/A",IF(AND(Table1[[#This Row],[DUT Adj Read]]&gt;=Table1[[#This Row],[Low Tol]],Table1[[#This Row],[DUT Adj Read]]&lt;=Table1[[#This Row],[High Tol]]),"Pass","Fail"))</f>
        <v>Fail</v>
      </c>
      <c r="AD2616" s="1" t="str">
        <f>IF(AND(Table1[[#This Row],[Spec Type2]]="N/A",Table1[[#This Row],[DUT Adj Read]]="N/A",Table1[[#This Row],[Std Adj Read]]="N/A"),"N/A",IF(Table1[[#This Row],[DUT Adj Read]]="N/A",IF(Table1[[#This Row],[Std Adj Read]]&gt;Table1[[#This Row],[Low Tol]],"Pass","Fail"),IF(Table1[[#This Row],[DUT Adj Read]]&gt;Table1[[#This Row],[Low Tol]],"Pass","Fail")))</f>
        <v>Pass</v>
      </c>
      <c r="AE2616" s="1" t="str">
        <f>IF(AND(Table1[[#This Row],[Spec Type2]]="N/A",Table1[[#This Row],[DUT Adj Read]]="N/A",Table1[[#This Row],[Std Adj Read]]="N/A"),"N/A",IF(Table1[[#This Row],[DUT Adj Read]]="N/A",IF(Table1[[#This Row],[Std Adj Read]]&lt;Table1[[#This Row],[High Tol]],"Pass","Fail"),IF(Table1[[#This Row],[DUT Adj Read]]&lt;Table1[[#This Row],[High Tol]],"Pass","Fail")))</f>
        <v>Fail</v>
      </c>
      <c r="AF2616" s="1" t="str">
        <f>IF(AND(Table1[[#This Row],[Spec Type2]]="N/A",Table1[[#This Row],[DUT Adj Read]]="N/A",Table1[[#This Row],[Std Adj Read]]="N/A"),"N/A",IF(Table1[[#This Row],[DUT Adj Read]]="N/A",IF(Table1[[#This Row],[Std Adj Read]]&gt;=Table1[[#This Row],[Low Tol]],"Pass","Fail"),IF(Table1[[#This Row],[DUT Adj Read]]&gt;=Table1[[#This Row],[Low Tol]],"Pass","Fail")))</f>
        <v>Pass</v>
      </c>
      <c r="AG2616" s="1" t="str">
        <f>IF(AND(Table1[[#This Row],[Spec Type2]]="N/A",Table1[[#This Row],[DUT Adj Read]]="N/A",Table1[[#This Row],[Std Adj Read]]="N/A"),"N/A",IF(Table1[[#This Row],[DUT Adj Read]]="N/A",IF(Table1[[#This Row],[Std Adj Read]]&lt;=Table1[[#This Row],[High Tol]],"Pass","Fail"),IF(Table1[[#This Row],[DUT Adj Read]]&lt;=Table1[[#This Row],[High Tol]],"Pass","Fail")))</f>
        <v>Fail</v>
      </c>
      <c r="AH26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6" s="1" t="b">
        <v>0</v>
      </c>
      <c r="AN2616" s="1" t="b">
        <v>0</v>
      </c>
      <c r="AO2616" s="1" t="b">
        <v>0</v>
      </c>
    </row>
    <row r="2617" spans="1:41" x14ac:dyDescent="0.25">
      <c r="A2617" s="10"/>
      <c r="B2617" s="10"/>
      <c r="C2617" s="10"/>
      <c r="D2617" s="10"/>
      <c r="E2617" s="10"/>
      <c r="F2617" s="10"/>
      <c r="G2617" s="10"/>
      <c r="H2617" s="10"/>
      <c r="I2617" s="1" t="str">
        <f t="shared" si="120"/>
        <v/>
      </c>
      <c r="J2617" s="1" t="s">
        <v>35</v>
      </c>
      <c r="K2617" s="1" t="str">
        <f t="shared" si="121"/>
        <v/>
      </c>
      <c r="L2617" s="1" t="str">
        <f t="shared" si="122"/>
        <v/>
      </c>
      <c r="M2617" s="1">
        <f>IF(OR(Table1[[#This Row],[Std Nom]]="",Table1[[#This Row],[Std Read]]=""),0,Table1[[#This Row],[Std Nom]]-Table1[[#This Row],[Std Read]])</f>
        <v>0</v>
      </c>
      <c r="N2617" s="1">
        <f>IF(Calculations!$F$5="ACCREDITED 17025 WITH UNCERTAINTIES",$N$10,0)</f>
        <v>0</v>
      </c>
      <c r="O2617" s="1" t="str">
        <f>IFERROR(Table1[[#This Row],[Std Nom]]-(_xlfn.XLOOKUP(Table1[[#This Row],[Manufacturer]]&amp;" "&amp;Table1[[#This Row],[Model]],Table13[MFR &amp; MDL],Table13[Tolerance % CW ],"")/100*Table1[[#This Row],[Std Nom]]),"")</f>
        <v/>
      </c>
      <c r="P2617" s="1" t="str">
        <f>IFERROR(Table1[[#This Row],[Std Nom]]+(_xlfn.XLOOKUP(Table1[[#This Row],[Manufacturer]]&amp;" "&amp;Table1[[#This Row],[Model]],Table13[MFR &amp; MDL],Table13[Tolerance % CW ],"")/100*Table1[[#This Row],[Std Nom]]),"")</f>
        <v/>
      </c>
      <c r="Q2617" s="1" t="e">
        <f>Table1[[#This Row],[High Tol]]-Table1[[#This Row],[Low Tol]]</f>
        <v>#VALUE!</v>
      </c>
      <c r="R2617" s="1">
        <f>2*Table1[[#This Row],[Std Error]]</f>
        <v>0</v>
      </c>
      <c r="S2617" s="1" t="str">
        <f>IF(Table1[[#This Row],[High Tol]]="","N/A",IFERROR(ABS(Table1[[#This Row],[Tol Span]]/Table1[[#This Row],[Error Span]]),"N/A"))</f>
        <v>N/A</v>
      </c>
      <c r="T2617" s="1" t="str">
        <f>IF(OR(Table1[[#This Row],[Low Tol]]="",Table1[[#This Row],[High Tol]]=""),"Needs Analysis",IF(Table1[[#This Row],[Ratio]]&gt;=4,"Not Significant",IF(Table1[[#This Row],[Ratio]]&gt;=2,"Semi-Significant","Significant")))</f>
        <v>Needs Analysis</v>
      </c>
      <c r="W2617" s="1">
        <f>IF(Table1[[#This Row],[Cal Type]]&lt;&gt;"ACCREDITED 17025 WITH UNCERTAINTIES",0,"")</f>
        <v>0</v>
      </c>
      <c r="X2617" s="1" t="str">
        <f>IF(Table1[[#This Row],[DUT Read]]="","N/A",Table1[[#This Row],[Std Error]]+Table1[[#This Row],[DUT Read]]+Table1[[#This Row],[DUT Ucty]])</f>
        <v>N/A</v>
      </c>
      <c r="Y2617" s="1" t="str">
        <f>IF(Table1[[#This Row],[Std Read]]="","N/A",Table1[[#This Row],[Std Read]]+Table1[[#This Row],[Std Ucty]])</f>
        <v>N/A</v>
      </c>
      <c r="Z26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7" s="1" t="str">
        <f>IF(Table1[[#This Row],[Spec Type]]="","N/A",Table1[[#This Row],[Spec Type]])</f>
        <v>±</v>
      </c>
      <c r="AC2617" s="1" t="str">
        <f>IF(Table1[[#This Row],[Spec Type2]]="N/A","N/A",IF(AND(Table1[[#This Row],[DUT Adj Read]]&gt;=Table1[[#This Row],[Low Tol]],Table1[[#This Row],[DUT Adj Read]]&lt;=Table1[[#This Row],[High Tol]]),"Pass","Fail"))</f>
        <v>Fail</v>
      </c>
      <c r="AD2617" s="1" t="str">
        <f>IF(AND(Table1[[#This Row],[Spec Type2]]="N/A",Table1[[#This Row],[DUT Adj Read]]="N/A",Table1[[#This Row],[Std Adj Read]]="N/A"),"N/A",IF(Table1[[#This Row],[DUT Adj Read]]="N/A",IF(Table1[[#This Row],[Std Adj Read]]&gt;Table1[[#This Row],[Low Tol]],"Pass","Fail"),IF(Table1[[#This Row],[DUT Adj Read]]&gt;Table1[[#This Row],[Low Tol]],"Pass","Fail")))</f>
        <v>Pass</v>
      </c>
      <c r="AE2617" s="1" t="str">
        <f>IF(AND(Table1[[#This Row],[Spec Type2]]="N/A",Table1[[#This Row],[DUT Adj Read]]="N/A",Table1[[#This Row],[Std Adj Read]]="N/A"),"N/A",IF(Table1[[#This Row],[DUT Adj Read]]="N/A",IF(Table1[[#This Row],[Std Adj Read]]&lt;Table1[[#This Row],[High Tol]],"Pass","Fail"),IF(Table1[[#This Row],[DUT Adj Read]]&lt;Table1[[#This Row],[High Tol]],"Pass","Fail")))</f>
        <v>Fail</v>
      </c>
      <c r="AF2617" s="1" t="str">
        <f>IF(AND(Table1[[#This Row],[Spec Type2]]="N/A",Table1[[#This Row],[DUT Adj Read]]="N/A",Table1[[#This Row],[Std Adj Read]]="N/A"),"N/A",IF(Table1[[#This Row],[DUT Adj Read]]="N/A",IF(Table1[[#This Row],[Std Adj Read]]&gt;=Table1[[#This Row],[Low Tol]],"Pass","Fail"),IF(Table1[[#This Row],[DUT Adj Read]]&gt;=Table1[[#This Row],[Low Tol]],"Pass","Fail")))</f>
        <v>Pass</v>
      </c>
      <c r="AG2617" s="1" t="str">
        <f>IF(AND(Table1[[#This Row],[Spec Type2]]="N/A",Table1[[#This Row],[DUT Adj Read]]="N/A",Table1[[#This Row],[Std Adj Read]]="N/A"),"N/A",IF(Table1[[#This Row],[DUT Adj Read]]="N/A",IF(Table1[[#This Row],[Std Adj Read]]&lt;=Table1[[#This Row],[High Tol]],"Pass","Fail"),IF(Table1[[#This Row],[DUT Adj Read]]&lt;=Table1[[#This Row],[High Tol]],"Pass","Fail")))</f>
        <v>Fail</v>
      </c>
      <c r="AH26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7" s="1" t="b">
        <v>0</v>
      </c>
      <c r="AN2617" s="1" t="b">
        <v>0</v>
      </c>
      <c r="AO2617" s="1" t="b">
        <v>0</v>
      </c>
    </row>
    <row r="2618" spans="1:41" x14ac:dyDescent="0.25">
      <c r="A2618" s="10"/>
      <c r="B2618" s="10"/>
      <c r="C2618" s="10"/>
      <c r="D2618" s="10"/>
      <c r="E2618" s="10"/>
      <c r="F2618" s="10"/>
      <c r="G2618" s="10"/>
      <c r="H2618" s="10"/>
      <c r="I2618" s="1" t="str">
        <f t="shared" si="120"/>
        <v/>
      </c>
      <c r="J2618" s="1" t="s">
        <v>35</v>
      </c>
      <c r="K2618" s="1" t="str">
        <f t="shared" si="121"/>
        <v/>
      </c>
      <c r="L2618" s="1" t="str">
        <f t="shared" si="122"/>
        <v/>
      </c>
      <c r="M2618" s="1">
        <f>IF(OR(Table1[[#This Row],[Std Nom]]="",Table1[[#This Row],[Std Read]]=""),0,Table1[[#This Row],[Std Nom]]-Table1[[#This Row],[Std Read]])</f>
        <v>0</v>
      </c>
      <c r="N2618" s="1">
        <f>IF(Calculations!$F$5="ACCREDITED 17025 WITH UNCERTAINTIES",$N$10,0)</f>
        <v>0</v>
      </c>
      <c r="O2618" s="1" t="str">
        <f>IFERROR(Table1[[#This Row],[Std Nom]]-(_xlfn.XLOOKUP(Table1[[#This Row],[Manufacturer]]&amp;" "&amp;Table1[[#This Row],[Model]],Table13[MFR &amp; MDL],Table13[Tolerance % CW ],"")/100*Table1[[#This Row],[Std Nom]]),"")</f>
        <v/>
      </c>
      <c r="P2618" s="1" t="str">
        <f>IFERROR(Table1[[#This Row],[Std Nom]]+(_xlfn.XLOOKUP(Table1[[#This Row],[Manufacturer]]&amp;" "&amp;Table1[[#This Row],[Model]],Table13[MFR &amp; MDL],Table13[Tolerance % CW ],"")/100*Table1[[#This Row],[Std Nom]]),"")</f>
        <v/>
      </c>
      <c r="Q2618" s="1" t="e">
        <f>Table1[[#This Row],[High Tol]]-Table1[[#This Row],[Low Tol]]</f>
        <v>#VALUE!</v>
      </c>
      <c r="R2618" s="1">
        <f>2*Table1[[#This Row],[Std Error]]</f>
        <v>0</v>
      </c>
      <c r="S2618" s="1" t="str">
        <f>IF(Table1[[#This Row],[High Tol]]="","N/A",IFERROR(ABS(Table1[[#This Row],[Tol Span]]/Table1[[#This Row],[Error Span]]),"N/A"))</f>
        <v>N/A</v>
      </c>
      <c r="T2618" s="1" t="str">
        <f>IF(OR(Table1[[#This Row],[Low Tol]]="",Table1[[#This Row],[High Tol]]=""),"Needs Analysis",IF(Table1[[#This Row],[Ratio]]&gt;=4,"Not Significant",IF(Table1[[#This Row],[Ratio]]&gt;=2,"Semi-Significant","Significant")))</f>
        <v>Needs Analysis</v>
      </c>
      <c r="W2618" s="1">
        <f>IF(Table1[[#This Row],[Cal Type]]&lt;&gt;"ACCREDITED 17025 WITH UNCERTAINTIES",0,"")</f>
        <v>0</v>
      </c>
      <c r="X2618" s="1" t="str">
        <f>IF(Table1[[#This Row],[DUT Read]]="","N/A",Table1[[#This Row],[Std Error]]+Table1[[#This Row],[DUT Read]]+Table1[[#This Row],[DUT Ucty]])</f>
        <v>N/A</v>
      </c>
      <c r="Y2618" s="1" t="str">
        <f>IF(Table1[[#This Row],[Std Read]]="","N/A",Table1[[#This Row],[Std Read]]+Table1[[#This Row],[Std Ucty]])</f>
        <v>N/A</v>
      </c>
      <c r="Z26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8" s="1" t="str">
        <f>IF(Table1[[#This Row],[Spec Type]]="","N/A",Table1[[#This Row],[Spec Type]])</f>
        <v>±</v>
      </c>
      <c r="AC2618" s="1" t="str">
        <f>IF(Table1[[#This Row],[Spec Type2]]="N/A","N/A",IF(AND(Table1[[#This Row],[DUT Adj Read]]&gt;=Table1[[#This Row],[Low Tol]],Table1[[#This Row],[DUT Adj Read]]&lt;=Table1[[#This Row],[High Tol]]),"Pass","Fail"))</f>
        <v>Fail</v>
      </c>
      <c r="AD2618" s="1" t="str">
        <f>IF(AND(Table1[[#This Row],[Spec Type2]]="N/A",Table1[[#This Row],[DUT Adj Read]]="N/A",Table1[[#This Row],[Std Adj Read]]="N/A"),"N/A",IF(Table1[[#This Row],[DUT Adj Read]]="N/A",IF(Table1[[#This Row],[Std Adj Read]]&gt;Table1[[#This Row],[Low Tol]],"Pass","Fail"),IF(Table1[[#This Row],[DUT Adj Read]]&gt;Table1[[#This Row],[Low Tol]],"Pass","Fail")))</f>
        <v>Pass</v>
      </c>
      <c r="AE2618" s="1" t="str">
        <f>IF(AND(Table1[[#This Row],[Spec Type2]]="N/A",Table1[[#This Row],[DUT Adj Read]]="N/A",Table1[[#This Row],[Std Adj Read]]="N/A"),"N/A",IF(Table1[[#This Row],[DUT Adj Read]]="N/A",IF(Table1[[#This Row],[Std Adj Read]]&lt;Table1[[#This Row],[High Tol]],"Pass","Fail"),IF(Table1[[#This Row],[DUT Adj Read]]&lt;Table1[[#This Row],[High Tol]],"Pass","Fail")))</f>
        <v>Fail</v>
      </c>
      <c r="AF2618" s="1" t="str">
        <f>IF(AND(Table1[[#This Row],[Spec Type2]]="N/A",Table1[[#This Row],[DUT Adj Read]]="N/A",Table1[[#This Row],[Std Adj Read]]="N/A"),"N/A",IF(Table1[[#This Row],[DUT Adj Read]]="N/A",IF(Table1[[#This Row],[Std Adj Read]]&gt;=Table1[[#This Row],[Low Tol]],"Pass","Fail"),IF(Table1[[#This Row],[DUT Adj Read]]&gt;=Table1[[#This Row],[Low Tol]],"Pass","Fail")))</f>
        <v>Pass</v>
      </c>
      <c r="AG2618" s="1" t="str">
        <f>IF(AND(Table1[[#This Row],[Spec Type2]]="N/A",Table1[[#This Row],[DUT Adj Read]]="N/A",Table1[[#This Row],[Std Adj Read]]="N/A"),"N/A",IF(Table1[[#This Row],[DUT Adj Read]]="N/A",IF(Table1[[#This Row],[Std Adj Read]]&lt;=Table1[[#This Row],[High Tol]],"Pass","Fail"),IF(Table1[[#This Row],[DUT Adj Read]]&lt;=Table1[[#This Row],[High Tol]],"Pass","Fail")))</f>
        <v>Fail</v>
      </c>
      <c r="AH26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8" s="1" t="b">
        <v>0</v>
      </c>
      <c r="AN2618" s="1" t="b">
        <v>0</v>
      </c>
      <c r="AO2618" s="1" t="b">
        <v>0</v>
      </c>
    </row>
    <row r="2619" spans="1:41" x14ac:dyDescent="0.25">
      <c r="A2619" s="10"/>
      <c r="B2619" s="10"/>
      <c r="C2619" s="10"/>
      <c r="D2619" s="10"/>
      <c r="E2619" s="10"/>
      <c r="F2619" s="10"/>
      <c r="G2619" s="10"/>
      <c r="H2619" s="10"/>
      <c r="I2619" s="1" t="str">
        <f t="shared" si="120"/>
        <v/>
      </c>
      <c r="J2619" s="1" t="s">
        <v>35</v>
      </c>
      <c r="K2619" s="1" t="str">
        <f t="shared" si="121"/>
        <v/>
      </c>
      <c r="L2619" s="1" t="str">
        <f t="shared" si="122"/>
        <v/>
      </c>
      <c r="M2619" s="1">
        <f>IF(OR(Table1[[#This Row],[Std Nom]]="",Table1[[#This Row],[Std Read]]=""),0,Table1[[#This Row],[Std Nom]]-Table1[[#This Row],[Std Read]])</f>
        <v>0</v>
      </c>
      <c r="N2619" s="1">
        <f>IF(Calculations!$F$5="ACCREDITED 17025 WITH UNCERTAINTIES",$N$10,0)</f>
        <v>0</v>
      </c>
      <c r="O2619" s="1" t="str">
        <f>IFERROR(Table1[[#This Row],[Std Nom]]-(_xlfn.XLOOKUP(Table1[[#This Row],[Manufacturer]]&amp;" "&amp;Table1[[#This Row],[Model]],Table13[MFR &amp; MDL],Table13[Tolerance % CW ],"")/100*Table1[[#This Row],[Std Nom]]),"")</f>
        <v/>
      </c>
      <c r="P2619" s="1" t="str">
        <f>IFERROR(Table1[[#This Row],[Std Nom]]+(_xlfn.XLOOKUP(Table1[[#This Row],[Manufacturer]]&amp;" "&amp;Table1[[#This Row],[Model]],Table13[MFR &amp; MDL],Table13[Tolerance % CW ],"")/100*Table1[[#This Row],[Std Nom]]),"")</f>
        <v/>
      </c>
      <c r="Q2619" s="1" t="e">
        <f>Table1[[#This Row],[High Tol]]-Table1[[#This Row],[Low Tol]]</f>
        <v>#VALUE!</v>
      </c>
      <c r="R2619" s="1">
        <f>2*Table1[[#This Row],[Std Error]]</f>
        <v>0</v>
      </c>
      <c r="S2619" s="1" t="str">
        <f>IF(Table1[[#This Row],[High Tol]]="","N/A",IFERROR(ABS(Table1[[#This Row],[Tol Span]]/Table1[[#This Row],[Error Span]]),"N/A"))</f>
        <v>N/A</v>
      </c>
      <c r="T2619" s="1" t="str">
        <f>IF(OR(Table1[[#This Row],[Low Tol]]="",Table1[[#This Row],[High Tol]]=""),"Needs Analysis",IF(Table1[[#This Row],[Ratio]]&gt;=4,"Not Significant",IF(Table1[[#This Row],[Ratio]]&gt;=2,"Semi-Significant","Significant")))</f>
        <v>Needs Analysis</v>
      </c>
      <c r="W2619" s="1">
        <f>IF(Table1[[#This Row],[Cal Type]]&lt;&gt;"ACCREDITED 17025 WITH UNCERTAINTIES",0,"")</f>
        <v>0</v>
      </c>
      <c r="X2619" s="1" t="str">
        <f>IF(Table1[[#This Row],[DUT Read]]="","N/A",Table1[[#This Row],[Std Error]]+Table1[[#This Row],[DUT Read]]+Table1[[#This Row],[DUT Ucty]])</f>
        <v>N/A</v>
      </c>
      <c r="Y2619" s="1" t="str">
        <f>IF(Table1[[#This Row],[Std Read]]="","N/A",Table1[[#This Row],[Std Read]]+Table1[[#This Row],[Std Ucty]])</f>
        <v>N/A</v>
      </c>
      <c r="Z26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9" s="1" t="str">
        <f>IF(Table1[[#This Row],[Spec Type]]="","N/A",Table1[[#This Row],[Spec Type]])</f>
        <v>±</v>
      </c>
      <c r="AC2619" s="1" t="str">
        <f>IF(Table1[[#This Row],[Spec Type2]]="N/A","N/A",IF(AND(Table1[[#This Row],[DUT Adj Read]]&gt;=Table1[[#This Row],[Low Tol]],Table1[[#This Row],[DUT Adj Read]]&lt;=Table1[[#This Row],[High Tol]]),"Pass","Fail"))</f>
        <v>Fail</v>
      </c>
      <c r="AD2619" s="1" t="str">
        <f>IF(AND(Table1[[#This Row],[Spec Type2]]="N/A",Table1[[#This Row],[DUT Adj Read]]="N/A",Table1[[#This Row],[Std Adj Read]]="N/A"),"N/A",IF(Table1[[#This Row],[DUT Adj Read]]="N/A",IF(Table1[[#This Row],[Std Adj Read]]&gt;Table1[[#This Row],[Low Tol]],"Pass","Fail"),IF(Table1[[#This Row],[DUT Adj Read]]&gt;Table1[[#This Row],[Low Tol]],"Pass","Fail")))</f>
        <v>Pass</v>
      </c>
      <c r="AE2619" s="1" t="str">
        <f>IF(AND(Table1[[#This Row],[Spec Type2]]="N/A",Table1[[#This Row],[DUT Adj Read]]="N/A",Table1[[#This Row],[Std Adj Read]]="N/A"),"N/A",IF(Table1[[#This Row],[DUT Adj Read]]="N/A",IF(Table1[[#This Row],[Std Adj Read]]&lt;Table1[[#This Row],[High Tol]],"Pass","Fail"),IF(Table1[[#This Row],[DUT Adj Read]]&lt;Table1[[#This Row],[High Tol]],"Pass","Fail")))</f>
        <v>Fail</v>
      </c>
      <c r="AF2619" s="1" t="str">
        <f>IF(AND(Table1[[#This Row],[Spec Type2]]="N/A",Table1[[#This Row],[DUT Adj Read]]="N/A",Table1[[#This Row],[Std Adj Read]]="N/A"),"N/A",IF(Table1[[#This Row],[DUT Adj Read]]="N/A",IF(Table1[[#This Row],[Std Adj Read]]&gt;=Table1[[#This Row],[Low Tol]],"Pass","Fail"),IF(Table1[[#This Row],[DUT Adj Read]]&gt;=Table1[[#This Row],[Low Tol]],"Pass","Fail")))</f>
        <v>Pass</v>
      </c>
      <c r="AG2619" s="1" t="str">
        <f>IF(AND(Table1[[#This Row],[Spec Type2]]="N/A",Table1[[#This Row],[DUT Adj Read]]="N/A",Table1[[#This Row],[Std Adj Read]]="N/A"),"N/A",IF(Table1[[#This Row],[DUT Adj Read]]="N/A",IF(Table1[[#This Row],[Std Adj Read]]&lt;=Table1[[#This Row],[High Tol]],"Pass","Fail"),IF(Table1[[#This Row],[DUT Adj Read]]&lt;=Table1[[#This Row],[High Tol]],"Pass","Fail")))</f>
        <v>Fail</v>
      </c>
      <c r="AH26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9" s="1" t="b">
        <v>0</v>
      </c>
      <c r="AN2619" s="1" t="b">
        <v>0</v>
      </c>
      <c r="AO2619" s="1" t="b">
        <v>0</v>
      </c>
    </row>
    <row r="2620" spans="1:41" x14ac:dyDescent="0.25">
      <c r="A2620" s="10"/>
      <c r="B2620" s="10"/>
      <c r="C2620" s="10"/>
      <c r="D2620" s="10"/>
      <c r="E2620" s="10"/>
      <c r="F2620" s="10"/>
      <c r="G2620" s="10"/>
      <c r="H2620" s="10"/>
      <c r="I2620" s="1" t="str">
        <f t="shared" si="120"/>
        <v/>
      </c>
      <c r="J2620" s="1" t="s">
        <v>35</v>
      </c>
      <c r="K2620" s="1" t="str">
        <f t="shared" si="121"/>
        <v/>
      </c>
      <c r="L2620" s="1" t="str">
        <f t="shared" si="122"/>
        <v/>
      </c>
      <c r="M2620" s="1">
        <f>IF(OR(Table1[[#This Row],[Std Nom]]="",Table1[[#This Row],[Std Read]]=""),0,Table1[[#This Row],[Std Nom]]-Table1[[#This Row],[Std Read]])</f>
        <v>0</v>
      </c>
      <c r="N2620" s="1">
        <f>IF(Calculations!$F$5="ACCREDITED 17025 WITH UNCERTAINTIES",$N$10,0)</f>
        <v>0</v>
      </c>
      <c r="O2620" s="1" t="str">
        <f>IFERROR(Table1[[#This Row],[Std Nom]]-(_xlfn.XLOOKUP(Table1[[#This Row],[Manufacturer]]&amp;" "&amp;Table1[[#This Row],[Model]],Table13[MFR &amp; MDL],Table13[Tolerance % CW ],"")/100*Table1[[#This Row],[Std Nom]]),"")</f>
        <v/>
      </c>
      <c r="P2620" s="1" t="str">
        <f>IFERROR(Table1[[#This Row],[Std Nom]]+(_xlfn.XLOOKUP(Table1[[#This Row],[Manufacturer]]&amp;" "&amp;Table1[[#This Row],[Model]],Table13[MFR &amp; MDL],Table13[Tolerance % CW ],"")/100*Table1[[#This Row],[Std Nom]]),"")</f>
        <v/>
      </c>
      <c r="Q2620" s="1" t="e">
        <f>Table1[[#This Row],[High Tol]]-Table1[[#This Row],[Low Tol]]</f>
        <v>#VALUE!</v>
      </c>
      <c r="R2620" s="1">
        <f>2*Table1[[#This Row],[Std Error]]</f>
        <v>0</v>
      </c>
      <c r="S2620" s="1" t="str">
        <f>IF(Table1[[#This Row],[High Tol]]="","N/A",IFERROR(ABS(Table1[[#This Row],[Tol Span]]/Table1[[#This Row],[Error Span]]),"N/A"))</f>
        <v>N/A</v>
      </c>
      <c r="T2620" s="1" t="str">
        <f>IF(OR(Table1[[#This Row],[Low Tol]]="",Table1[[#This Row],[High Tol]]=""),"Needs Analysis",IF(Table1[[#This Row],[Ratio]]&gt;=4,"Not Significant",IF(Table1[[#This Row],[Ratio]]&gt;=2,"Semi-Significant","Significant")))</f>
        <v>Needs Analysis</v>
      </c>
      <c r="W2620" s="1">
        <f>IF(Table1[[#This Row],[Cal Type]]&lt;&gt;"ACCREDITED 17025 WITH UNCERTAINTIES",0,"")</f>
        <v>0</v>
      </c>
      <c r="X2620" s="1" t="str">
        <f>IF(Table1[[#This Row],[DUT Read]]="","N/A",Table1[[#This Row],[Std Error]]+Table1[[#This Row],[DUT Read]]+Table1[[#This Row],[DUT Ucty]])</f>
        <v>N/A</v>
      </c>
      <c r="Y2620" s="1" t="str">
        <f>IF(Table1[[#This Row],[Std Read]]="","N/A",Table1[[#This Row],[Std Read]]+Table1[[#This Row],[Std Ucty]])</f>
        <v>N/A</v>
      </c>
      <c r="Z26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0" s="1" t="str">
        <f>IF(Table1[[#This Row],[Spec Type]]="","N/A",Table1[[#This Row],[Spec Type]])</f>
        <v>±</v>
      </c>
      <c r="AC2620" s="1" t="str">
        <f>IF(Table1[[#This Row],[Spec Type2]]="N/A","N/A",IF(AND(Table1[[#This Row],[DUT Adj Read]]&gt;=Table1[[#This Row],[Low Tol]],Table1[[#This Row],[DUT Adj Read]]&lt;=Table1[[#This Row],[High Tol]]),"Pass","Fail"))</f>
        <v>Fail</v>
      </c>
      <c r="AD2620" s="1" t="str">
        <f>IF(AND(Table1[[#This Row],[Spec Type2]]="N/A",Table1[[#This Row],[DUT Adj Read]]="N/A",Table1[[#This Row],[Std Adj Read]]="N/A"),"N/A",IF(Table1[[#This Row],[DUT Adj Read]]="N/A",IF(Table1[[#This Row],[Std Adj Read]]&gt;Table1[[#This Row],[Low Tol]],"Pass","Fail"),IF(Table1[[#This Row],[DUT Adj Read]]&gt;Table1[[#This Row],[Low Tol]],"Pass","Fail")))</f>
        <v>Pass</v>
      </c>
      <c r="AE2620" s="1" t="str">
        <f>IF(AND(Table1[[#This Row],[Spec Type2]]="N/A",Table1[[#This Row],[DUT Adj Read]]="N/A",Table1[[#This Row],[Std Adj Read]]="N/A"),"N/A",IF(Table1[[#This Row],[DUT Adj Read]]="N/A",IF(Table1[[#This Row],[Std Adj Read]]&lt;Table1[[#This Row],[High Tol]],"Pass","Fail"),IF(Table1[[#This Row],[DUT Adj Read]]&lt;Table1[[#This Row],[High Tol]],"Pass","Fail")))</f>
        <v>Fail</v>
      </c>
      <c r="AF2620" s="1" t="str">
        <f>IF(AND(Table1[[#This Row],[Spec Type2]]="N/A",Table1[[#This Row],[DUT Adj Read]]="N/A",Table1[[#This Row],[Std Adj Read]]="N/A"),"N/A",IF(Table1[[#This Row],[DUT Adj Read]]="N/A",IF(Table1[[#This Row],[Std Adj Read]]&gt;=Table1[[#This Row],[Low Tol]],"Pass","Fail"),IF(Table1[[#This Row],[DUT Adj Read]]&gt;=Table1[[#This Row],[Low Tol]],"Pass","Fail")))</f>
        <v>Pass</v>
      </c>
      <c r="AG2620" s="1" t="str">
        <f>IF(AND(Table1[[#This Row],[Spec Type2]]="N/A",Table1[[#This Row],[DUT Adj Read]]="N/A",Table1[[#This Row],[Std Adj Read]]="N/A"),"N/A",IF(Table1[[#This Row],[DUT Adj Read]]="N/A",IF(Table1[[#This Row],[Std Adj Read]]&lt;=Table1[[#This Row],[High Tol]],"Pass","Fail"),IF(Table1[[#This Row],[DUT Adj Read]]&lt;=Table1[[#This Row],[High Tol]],"Pass","Fail")))</f>
        <v>Fail</v>
      </c>
      <c r="AH26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0" s="1" t="b">
        <v>0</v>
      </c>
      <c r="AN2620" s="1" t="b">
        <v>0</v>
      </c>
      <c r="AO2620" s="1" t="b">
        <v>0</v>
      </c>
    </row>
    <row r="2621" spans="1:41" x14ac:dyDescent="0.25">
      <c r="A2621" s="10"/>
      <c r="B2621" s="10"/>
      <c r="C2621" s="10"/>
      <c r="D2621" s="10"/>
      <c r="E2621" s="10"/>
      <c r="F2621" s="10"/>
      <c r="G2621" s="10"/>
      <c r="H2621" s="10"/>
      <c r="I2621" s="1" t="str">
        <f t="shared" si="120"/>
        <v/>
      </c>
      <c r="J2621" s="1" t="s">
        <v>35</v>
      </c>
      <c r="K2621" s="1" t="str">
        <f t="shared" si="121"/>
        <v/>
      </c>
      <c r="L2621" s="1" t="str">
        <f t="shared" si="122"/>
        <v/>
      </c>
      <c r="M2621" s="1">
        <f>IF(OR(Table1[[#This Row],[Std Nom]]="",Table1[[#This Row],[Std Read]]=""),0,Table1[[#This Row],[Std Nom]]-Table1[[#This Row],[Std Read]])</f>
        <v>0</v>
      </c>
      <c r="N2621" s="1">
        <f>IF(Calculations!$F$5="ACCREDITED 17025 WITH UNCERTAINTIES",$N$10,0)</f>
        <v>0</v>
      </c>
      <c r="O2621" s="1" t="str">
        <f>IFERROR(Table1[[#This Row],[Std Nom]]-(_xlfn.XLOOKUP(Table1[[#This Row],[Manufacturer]]&amp;" "&amp;Table1[[#This Row],[Model]],Table13[MFR &amp; MDL],Table13[Tolerance % CW ],"")/100*Table1[[#This Row],[Std Nom]]),"")</f>
        <v/>
      </c>
      <c r="P2621" s="1" t="str">
        <f>IFERROR(Table1[[#This Row],[Std Nom]]+(_xlfn.XLOOKUP(Table1[[#This Row],[Manufacturer]]&amp;" "&amp;Table1[[#This Row],[Model]],Table13[MFR &amp; MDL],Table13[Tolerance % CW ],"")/100*Table1[[#This Row],[Std Nom]]),"")</f>
        <v/>
      </c>
      <c r="Q2621" s="1" t="e">
        <f>Table1[[#This Row],[High Tol]]-Table1[[#This Row],[Low Tol]]</f>
        <v>#VALUE!</v>
      </c>
      <c r="R2621" s="1">
        <f>2*Table1[[#This Row],[Std Error]]</f>
        <v>0</v>
      </c>
      <c r="S2621" s="1" t="str">
        <f>IF(Table1[[#This Row],[High Tol]]="","N/A",IFERROR(ABS(Table1[[#This Row],[Tol Span]]/Table1[[#This Row],[Error Span]]),"N/A"))</f>
        <v>N/A</v>
      </c>
      <c r="T2621" s="1" t="str">
        <f>IF(OR(Table1[[#This Row],[Low Tol]]="",Table1[[#This Row],[High Tol]]=""),"Needs Analysis",IF(Table1[[#This Row],[Ratio]]&gt;=4,"Not Significant",IF(Table1[[#This Row],[Ratio]]&gt;=2,"Semi-Significant","Significant")))</f>
        <v>Needs Analysis</v>
      </c>
      <c r="W2621" s="1">
        <f>IF(Table1[[#This Row],[Cal Type]]&lt;&gt;"ACCREDITED 17025 WITH UNCERTAINTIES",0,"")</f>
        <v>0</v>
      </c>
      <c r="X2621" s="1" t="str">
        <f>IF(Table1[[#This Row],[DUT Read]]="","N/A",Table1[[#This Row],[Std Error]]+Table1[[#This Row],[DUT Read]]+Table1[[#This Row],[DUT Ucty]])</f>
        <v>N/A</v>
      </c>
      <c r="Y2621" s="1" t="str">
        <f>IF(Table1[[#This Row],[Std Read]]="","N/A",Table1[[#This Row],[Std Read]]+Table1[[#This Row],[Std Ucty]])</f>
        <v>N/A</v>
      </c>
      <c r="Z26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1" s="1" t="str">
        <f>IF(Table1[[#This Row],[Spec Type]]="","N/A",Table1[[#This Row],[Spec Type]])</f>
        <v>±</v>
      </c>
      <c r="AC2621" s="1" t="str">
        <f>IF(Table1[[#This Row],[Spec Type2]]="N/A","N/A",IF(AND(Table1[[#This Row],[DUT Adj Read]]&gt;=Table1[[#This Row],[Low Tol]],Table1[[#This Row],[DUT Adj Read]]&lt;=Table1[[#This Row],[High Tol]]),"Pass","Fail"))</f>
        <v>Fail</v>
      </c>
      <c r="AD2621" s="1" t="str">
        <f>IF(AND(Table1[[#This Row],[Spec Type2]]="N/A",Table1[[#This Row],[DUT Adj Read]]="N/A",Table1[[#This Row],[Std Adj Read]]="N/A"),"N/A",IF(Table1[[#This Row],[DUT Adj Read]]="N/A",IF(Table1[[#This Row],[Std Adj Read]]&gt;Table1[[#This Row],[Low Tol]],"Pass","Fail"),IF(Table1[[#This Row],[DUT Adj Read]]&gt;Table1[[#This Row],[Low Tol]],"Pass","Fail")))</f>
        <v>Pass</v>
      </c>
      <c r="AE2621" s="1" t="str">
        <f>IF(AND(Table1[[#This Row],[Spec Type2]]="N/A",Table1[[#This Row],[DUT Adj Read]]="N/A",Table1[[#This Row],[Std Adj Read]]="N/A"),"N/A",IF(Table1[[#This Row],[DUT Adj Read]]="N/A",IF(Table1[[#This Row],[Std Adj Read]]&lt;Table1[[#This Row],[High Tol]],"Pass","Fail"),IF(Table1[[#This Row],[DUT Adj Read]]&lt;Table1[[#This Row],[High Tol]],"Pass","Fail")))</f>
        <v>Fail</v>
      </c>
      <c r="AF2621" s="1" t="str">
        <f>IF(AND(Table1[[#This Row],[Spec Type2]]="N/A",Table1[[#This Row],[DUT Adj Read]]="N/A",Table1[[#This Row],[Std Adj Read]]="N/A"),"N/A",IF(Table1[[#This Row],[DUT Adj Read]]="N/A",IF(Table1[[#This Row],[Std Adj Read]]&gt;=Table1[[#This Row],[Low Tol]],"Pass","Fail"),IF(Table1[[#This Row],[DUT Adj Read]]&gt;=Table1[[#This Row],[Low Tol]],"Pass","Fail")))</f>
        <v>Pass</v>
      </c>
      <c r="AG2621" s="1" t="str">
        <f>IF(AND(Table1[[#This Row],[Spec Type2]]="N/A",Table1[[#This Row],[DUT Adj Read]]="N/A",Table1[[#This Row],[Std Adj Read]]="N/A"),"N/A",IF(Table1[[#This Row],[DUT Adj Read]]="N/A",IF(Table1[[#This Row],[Std Adj Read]]&lt;=Table1[[#This Row],[High Tol]],"Pass","Fail"),IF(Table1[[#This Row],[DUT Adj Read]]&lt;=Table1[[#This Row],[High Tol]],"Pass","Fail")))</f>
        <v>Fail</v>
      </c>
      <c r="AH26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1" s="1" t="b">
        <v>0</v>
      </c>
      <c r="AN2621" s="1" t="b">
        <v>0</v>
      </c>
      <c r="AO2621" s="1" t="b">
        <v>0</v>
      </c>
    </row>
    <row r="2622" spans="1:41" x14ac:dyDescent="0.25">
      <c r="A2622" s="10"/>
      <c r="B2622" s="10"/>
      <c r="C2622" s="10"/>
      <c r="D2622" s="10"/>
      <c r="E2622" s="10"/>
      <c r="F2622" s="10"/>
      <c r="G2622" s="10"/>
      <c r="H2622" s="10"/>
      <c r="I2622" s="1" t="str">
        <f t="shared" si="120"/>
        <v/>
      </c>
      <c r="J2622" s="1" t="s">
        <v>35</v>
      </c>
      <c r="K2622" s="1" t="str">
        <f t="shared" si="121"/>
        <v/>
      </c>
      <c r="L2622" s="1" t="str">
        <f t="shared" si="122"/>
        <v/>
      </c>
      <c r="M2622" s="1">
        <f>IF(OR(Table1[[#This Row],[Std Nom]]="",Table1[[#This Row],[Std Read]]=""),0,Table1[[#This Row],[Std Nom]]-Table1[[#This Row],[Std Read]])</f>
        <v>0</v>
      </c>
      <c r="N2622" s="1">
        <f>IF(Calculations!$F$5="ACCREDITED 17025 WITH UNCERTAINTIES",$N$10,0)</f>
        <v>0</v>
      </c>
      <c r="O2622" s="1" t="str">
        <f>IFERROR(Table1[[#This Row],[Std Nom]]-(_xlfn.XLOOKUP(Table1[[#This Row],[Manufacturer]]&amp;" "&amp;Table1[[#This Row],[Model]],Table13[MFR &amp; MDL],Table13[Tolerance % CW ],"")/100*Table1[[#This Row],[Std Nom]]),"")</f>
        <v/>
      </c>
      <c r="P2622" s="1" t="str">
        <f>IFERROR(Table1[[#This Row],[Std Nom]]+(_xlfn.XLOOKUP(Table1[[#This Row],[Manufacturer]]&amp;" "&amp;Table1[[#This Row],[Model]],Table13[MFR &amp; MDL],Table13[Tolerance % CW ],"")/100*Table1[[#This Row],[Std Nom]]),"")</f>
        <v/>
      </c>
      <c r="Q2622" s="1" t="e">
        <f>Table1[[#This Row],[High Tol]]-Table1[[#This Row],[Low Tol]]</f>
        <v>#VALUE!</v>
      </c>
      <c r="R2622" s="1">
        <f>2*Table1[[#This Row],[Std Error]]</f>
        <v>0</v>
      </c>
      <c r="S2622" s="1" t="str">
        <f>IF(Table1[[#This Row],[High Tol]]="","N/A",IFERROR(ABS(Table1[[#This Row],[Tol Span]]/Table1[[#This Row],[Error Span]]),"N/A"))</f>
        <v>N/A</v>
      </c>
      <c r="T2622" s="1" t="str">
        <f>IF(OR(Table1[[#This Row],[Low Tol]]="",Table1[[#This Row],[High Tol]]=""),"Needs Analysis",IF(Table1[[#This Row],[Ratio]]&gt;=4,"Not Significant",IF(Table1[[#This Row],[Ratio]]&gt;=2,"Semi-Significant","Significant")))</f>
        <v>Needs Analysis</v>
      </c>
      <c r="W2622" s="1">
        <f>IF(Table1[[#This Row],[Cal Type]]&lt;&gt;"ACCREDITED 17025 WITH UNCERTAINTIES",0,"")</f>
        <v>0</v>
      </c>
      <c r="X2622" s="1" t="str">
        <f>IF(Table1[[#This Row],[DUT Read]]="","N/A",Table1[[#This Row],[Std Error]]+Table1[[#This Row],[DUT Read]]+Table1[[#This Row],[DUT Ucty]])</f>
        <v>N/A</v>
      </c>
      <c r="Y2622" s="1" t="str">
        <f>IF(Table1[[#This Row],[Std Read]]="","N/A",Table1[[#This Row],[Std Read]]+Table1[[#This Row],[Std Ucty]])</f>
        <v>N/A</v>
      </c>
      <c r="Z26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2" s="1" t="str">
        <f>IF(Table1[[#This Row],[Spec Type]]="","N/A",Table1[[#This Row],[Spec Type]])</f>
        <v>±</v>
      </c>
      <c r="AC2622" s="1" t="str">
        <f>IF(Table1[[#This Row],[Spec Type2]]="N/A","N/A",IF(AND(Table1[[#This Row],[DUT Adj Read]]&gt;=Table1[[#This Row],[Low Tol]],Table1[[#This Row],[DUT Adj Read]]&lt;=Table1[[#This Row],[High Tol]]),"Pass","Fail"))</f>
        <v>Fail</v>
      </c>
      <c r="AD2622" s="1" t="str">
        <f>IF(AND(Table1[[#This Row],[Spec Type2]]="N/A",Table1[[#This Row],[DUT Adj Read]]="N/A",Table1[[#This Row],[Std Adj Read]]="N/A"),"N/A",IF(Table1[[#This Row],[DUT Adj Read]]="N/A",IF(Table1[[#This Row],[Std Adj Read]]&gt;Table1[[#This Row],[Low Tol]],"Pass","Fail"),IF(Table1[[#This Row],[DUT Adj Read]]&gt;Table1[[#This Row],[Low Tol]],"Pass","Fail")))</f>
        <v>Pass</v>
      </c>
      <c r="AE2622" s="1" t="str">
        <f>IF(AND(Table1[[#This Row],[Spec Type2]]="N/A",Table1[[#This Row],[DUT Adj Read]]="N/A",Table1[[#This Row],[Std Adj Read]]="N/A"),"N/A",IF(Table1[[#This Row],[DUT Adj Read]]="N/A",IF(Table1[[#This Row],[Std Adj Read]]&lt;Table1[[#This Row],[High Tol]],"Pass","Fail"),IF(Table1[[#This Row],[DUT Adj Read]]&lt;Table1[[#This Row],[High Tol]],"Pass","Fail")))</f>
        <v>Fail</v>
      </c>
      <c r="AF2622" s="1" t="str">
        <f>IF(AND(Table1[[#This Row],[Spec Type2]]="N/A",Table1[[#This Row],[DUT Adj Read]]="N/A",Table1[[#This Row],[Std Adj Read]]="N/A"),"N/A",IF(Table1[[#This Row],[DUT Adj Read]]="N/A",IF(Table1[[#This Row],[Std Adj Read]]&gt;=Table1[[#This Row],[Low Tol]],"Pass","Fail"),IF(Table1[[#This Row],[DUT Adj Read]]&gt;=Table1[[#This Row],[Low Tol]],"Pass","Fail")))</f>
        <v>Pass</v>
      </c>
      <c r="AG2622" s="1" t="str">
        <f>IF(AND(Table1[[#This Row],[Spec Type2]]="N/A",Table1[[#This Row],[DUT Adj Read]]="N/A",Table1[[#This Row],[Std Adj Read]]="N/A"),"N/A",IF(Table1[[#This Row],[DUT Adj Read]]="N/A",IF(Table1[[#This Row],[Std Adj Read]]&lt;=Table1[[#This Row],[High Tol]],"Pass","Fail"),IF(Table1[[#This Row],[DUT Adj Read]]&lt;=Table1[[#This Row],[High Tol]],"Pass","Fail")))</f>
        <v>Fail</v>
      </c>
      <c r="AH26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2" s="1" t="b">
        <v>0</v>
      </c>
      <c r="AN2622" s="1" t="b">
        <v>0</v>
      </c>
      <c r="AO2622" s="1" t="b">
        <v>0</v>
      </c>
    </row>
    <row r="2623" spans="1:41" x14ac:dyDescent="0.25">
      <c r="A2623" s="10"/>
      <c r="B2623" s="10"/>
      <c r="C2623" s="10"/>
      <c r="D2623" s="10"/>
      <c r="E2623" s="10"/>
      <c r="F2623" s="10"/>
      <c r="G2623" s="10"/>
      <c r="H2623" s="10"/>
      <c r="I2623" s="1" t="str">
        <f t="shared" si="120"/>
        <v/>
      </c>
      <c r="J2623" s="1" t="s">
        <v>35</v>
      </c>
      <c r="K2623" s="1" t="str">
        <f t="shared" si="121"/>
        <v/>
      </c>
      <c r="L2623" s="1" t="str">
        <f t="shared" si="122"/>
        <v/>
      </c>
      <c r="M2623" s="1">
        <f>IF(OR(Table1[[#This Row],[Std Nom]]="",Table1[[#This Row],[Std Read]]=""),0,Table1[[#This Row],[Std Nom]]-Table1[[#This Row],[Std Read]])</f>
        <v>0</v>
      </c>
      <c r="N2623" s="1">
        <f>IF(Calculations!$F$5="ACCREDITED 17025 WITH UNCERTAINTIES",$N$10,0)</f>
        <v>0</v>
      </c>
      <c r="O2623" s="1" t="str">
        <f>IFERROR(Table1[[#This Row],[Std Nom]]-(_xlfn.XLOOKUP(Table1[[#This Row],[Manufacturer]]&amp;" "&amp;Table1[[#This Row],[Model]],Table13[MFR &amp; MDL],Table13[Tolerance % CW ],"")/100*Table1[[#This Row],[Std Nom]]),"")</f>
        <v/>
      </c>
      <c r="P2623" s="1" t="str">
        <f>IFERROR(Table1[[#This Row],[Std Nom]]+(_xlfn.XLOOKUP(Table1[[#This Row],[Manufacturer]]&amp;" "&amp;Table1[[#This Row],[Model]],Table13[MFR &amp; MDL],Table13[Tolerance % CW ],"")/100*Table1[[#This Row],[Std Nom]]),"")</f>
        <v/>
      </c>
      <c r="Q2623" s="1" t="e">
        <f>Table1[[#This Row],[High Tol]]-Table1[[#This Row],[Low Tol]]</f>
        <v>#VALUE!</v>
      </c>
      <c r="R2623" s="1">
        <f>2*Table1[[#This Row],[Std Error]]</f>
        <v>0</v>
      </c>
      <c r="S2623" s="1" t="str">
        <f>IF(Table1[[#This Row],[High Tol]]="","N/A",IFERROR(ABS(Table1[[#This Row],[Tol Span]]/Table1[[#This Row],[Error Span]]),"N/A"))</f>
        <v>N/A</v>
      </c>
      <c r="T2623" s="1" t="str">
        <f>IF(OR(Table1[[#This Row],[Low Tol]]="",Table1[[#This Row],[High Tol]]=""),"Needs Analysis",IF(Table1[[#This Row],[Ratio]]&gt;=4,"Not Significant",IF(Table1[[#This Row],[Ratio]]&gt;=2,"Semi-Significant","Significant")))</f>
        <v>Needs Analysis</v>
      </c>
      <c r="W2623" s="1">
        <f>IF(Table1[[#This Row],[Cal Type]]&lt;&gt;"ACCREDITED 17025 WITH UNCERTAINTIES",0,"")</f>
        <v>0</v>
      </c>
      <c r="X2623" s="1" t="str">
        <f>IF(Table1[[#This Row],[DUT Read]]="","N/A",Table1[[#This Row],[Std Error]]+Table1[[#This Row],[DUT Read]]+Table1[[#This Row],[DUT Ucty]])</f>
        <v>N/A</v>
      </c>
      <c r="Y2623" s="1" t="str">
        <f>IF(Table1[[#This Row],[Std Read]]="","N/A",Table1[[#This Row],[Std Read]]+Table1[[#This Row],[Std Ucty]])</f>
        <v>N/A</v>
      </c>
      <c r="Z26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3" s="1" t="str">
        <f>IF(Table1[[#This Row],[Spec Type]]="","N/A",Table1[[#This Row],[Spec Type]])</f>
        <v>±</v>
      </c>
      <c r="AC2623" s="1" t="str">
        <f>IF(Table1[[#This Row],[Spec Type2]]="N/A","N/A",IF(AND(Table1[[#This Row],[DUT Adj Read]]&gt;=Table1[[#This Row],[Low Tol]],Table1[[#This Row],[DUT Adj Read]]&lt;=Table1[[#This Row],[High Tol]]),"Pass","Fail"))</f>
        <v>Fail</v>
      </c>
      <c r="AD2623" s="1" t="str">
        <f>IF(AND(Table1[[#This Row],[Spec Type2]]="N/A",Table1[[#This Row],[DUT Adj Read]]="N/A",Table1[[#This Row],[Std Adj Read]]="N/A"),"N/A",IF(Table1[[#This Row],[DUT Adj Read]]="N/A",IF(Table1[[#This Row],[Std Adj Read]]&gt;Table1[[#This Row],[Low Tol]],"Pass","Fail"),IF(Table1[[#This Row],[DUT Adj Read]]&gt;Table1[[#This Row],[Low Tol]],"Pass","Fail")))</f>
        <v>Pass</v>
      </c>
      <c r="AE2623" s="1" t="str">
        <f>IF(AND(Table1[[#This Row],[Spec Type2]]="N/A",Table1[[#This Row],[DUT Adj Read]]="N/A",Table1[[#This Row],[Std Adj Read]]="N/A"),"N/A",IF(Table1[[#This Row],[DUT Adj Read]]="N/A",IF(Table1[[#This Row],[Std Adj Read]]&lt;Table1[[#This Row],[High Tol]],"Pass","Fail"),IF(Table1[[#This Row],[DUT Adj Read]]&lt;Table1[[#This Row],[High Tol]],"Pass","Fail")))</f>
        <v>Fail</v>
      </c>
      <c r="AF2623" s="1" t="str">
        <f>IF(AND(Table1[[#This Row],[Spec Type2]]="N/A",Table1[[#This Row],[DUT Adj Read]]="N/A",Table1[[#This Row],[Std Adj Read]]="N/A"),"N/A",IF(Table1[[#This Row],[DUT Adj Read]]="N/A",IF(Table1[[#This Row],[Std Adj Read]]&gt;=Table1[[#This Row],[Low Tol]],"Pass","Fail"),IF(Table1[[#This Row],[DUT Adj Read]]&gt;=Table1[[#This Row],[Low Tol]],"Pass","Fail")))</f>
        <v>Pass</v>
      </c>
      <c r="AG2623" s="1" t="str">
        <f>IF(AND(Table1[[#This Row],[Spec Type2]]="N/A",Table1[[#This Row],[DUT Adj Read]]="N/A",Table1[[#This Row],[Std Adj Read]]="N/A"),"N/A",IF(Table1[[#This Row],[DUT Adj Read]]="N/A",IF(Table1[[#This Row],[Std Adj Read]]&lt;=Table1[[#This Row],[High Tol]],"Pass","Fail"),IF(Table1[[#This Row],[DUT Adj Read]]&lt;=Table1[[#This Row],[High Tol]],"Pass","Fail")))</f>
        <v>Fail</v>
      </c>
      <c r="AH26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3" s="1" t="b">
        <v>0</v>
      </c>
      <c r="AN2623" s="1" t="b">
        <v>0</v>
      </c>
      <c r="AO2623" s="1" t="b">
        <v>0</v>
      </c>
    </row>
    <row r="2624" spans="1:41" x14ac:dyDescent="0.25">
      <c r="A2624" s="10"/>
      <c r="B2624" s="10"/>
      <c r="C2624" s="10"/>
      <c r="D2624" s="10"/>
      <c r="E2624" s="10"/>
      <c r="F2624" s="10"/>
      <c r="G2624" s="10"/>
      <c r="H2624" s="10"/>
      <c r="I2624" s="1" t="str">
        <f t="shared" si="120"/>
        <v/>
      </c>
      <c r="J2624" s="1" t="s">
        <v>35</v>
      </c>
      <c r="K2624" s="1" t="str">
        <f t="shared" si="121"/>
        <v/>
      </c>
      <c r="L2624" s="1" t="str">
        <f t="shared" si="122"/>
        <v/>
      </c>
      <c r="M2624" s="1">
        <f>IF(OR(Table1[[#This Row],[Std Nom]]="",Table1[[#This Row],[Std Read]]=""),0,Table1[[#This Row],[Std Nom]]-Table1[[#This Row],[Std Read]])</f>
        <v>0</v>
      </c>
      <c r="N2624" s="1">
        <f>IF(Calculations!$F$5="ACCREDITED 17025 WITH UNCERTAINTIES",$N$10,0)</f>
        <v>0</v>
      </c>
      <c r="O2624" s="1" t="str">
        <f>IFERROR(Table1[[#This Row],[Std Nom]]-(_xlfn.XLOOKUP(Table1[[#This Row],[Manufacturer]]&amp;" "&amp;Table1[[#This Row],[Model]],Table13[MFR &amp; MDL],Table13[Tolerance % CW ],"")/100*Table1[[#This Row],[Std Nom]]),"")</f>
        <v/>
      </c>
      <c r="P2624" s="1" t="str">
        <f>IFERROR(Table1[[#This Row],[Std Nom]]+(_xlfn.XLOOKUP(Table1[[#This Row],[Manufacturer]]&amp;" "&amp;Table1[[#This Row],[Model]],Table13[MFR &amp; MDL],Table13[Tolerance % CW ],"")/100*Table1[[#This Row],[Std Nom]]),"")</f>
        <v/>
      </c>
      <c r="Q2624" s="1" t="e">
        <f>Table1[[#This Row],[High Tol]]-Table1[[#This Row],[Low Tol]]</f>
        <v>#VALUE!</v>
      </c>
      <c r="R2624" s="1">
        <f>2*Table1[[#This Row],[Std Error]]</f>
        <v>0</v>
      </c>
      <c r="S2624" s="1" t="str">
        <f>IF(Table1[[#This Row],[High Tol]]="","N/A",IFERROR(ABS(Table1[[#This Row],[Tol Span]]/Table1[[#This Row],[Error Span]]),"N/A"))</f>
        <v>N/A</v>
      </c>
      <c r="T2624" s="1" t="str">
        <f>IF(OR(Table1[[#This Row],[Low Tol]]="",Table1[[#This Row],[High Tol]]=""),"Needs Analysis",IF(Table1[[#This Row],[Ratio]]&gt;=4,"Not Significant",IF(Table1[[#This Row],[Ratio]]&gt;=2,"Semi-Significant","Significant")))</f>
        <v>Needs Analysis</v>
      </c>
      <c r="W2624" s="1">
        <f>IF(Table1[[#This Row],[Cal Type]]&lt;&gt;"ACCREDITED 17025 WITH UNCERTAINTIES",0,"")</f>
        <v>0</v>
      </c>
      <c r="X2624" s="1" t="str">
        <f>IF(Table1[[#This Row],[DUT Read]]="","N/A",Table1[[#This Row],[Std Error]]+Table1[[#This Row],[DUT Read]]+Table1[[#This Row],[DUT Ucty]])</f>
        <v>N/A</v>
      </c>
      <c r="Y2624" s="1" t="str">
        <f>IF(Table1[[#This Row],[Std Read]]="","N/A",Table1[[#This Row],[Std Read]]+Table1[[#This Row],[Std Ucty]])</f>
        <v>N/A</v>
      </c>
      <c r="Z26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4" s="1" t="str">
        <f>IF(Table1[[#This Row],[Spec Type]]="","N/A",Table1[[#This Row],[Spec Type]])</f>
        <v>±</v>
      </c>
      <c r="AC2624" s="1" t="str">
        <f>IF(Table1[[#This Row],[Spec Type2]]="N/A","N/A",IF(AND(Table1[[#This Row],[DUT Adj Read]]&gt;=Table1[[#This Row],[Low Tol]],Table1[[#This Row],[DUT Adj Read]]&lt;=Table1[[#This Row],[High Tol]]),"Pass","Fail"))</f>
        <v>Fail</v>
      </c>
      <c r="AD2624" s="1" t="str">
        <f>IF(AND(Table1[[#This Row],[Spec Type2]]="N/A",Table1[[#This Row],[DUT Adj Read]]="N/A",Table1[[#This Row],[Std Adj Read]]="N/A"),"N/A",IF(Table1[[#This Row],[DUT Adj Read]]="N/A",IF(Table1[[#This Row],[Std Adj Read]]&gt;Table1[[#This Row],[Low Tol]],"Pass","Fail"),IF(Table1[[#This Row],[DUT Adj Read]]&gt;Table1[[#This Row],[Low Tol]],"Pass","Fail")))</f>
        <v>Pass</v>
      </c>
      <c r="AE2624" s="1" t="str">
        <f>IF(AND(Table1[[#This Row],[Spec Type2]]="N/A",Table1[[#This Row],[DUT Adj Read]]="N/A",Table1[[#This Row],[Std Adj Read]]="N/A"),"N/A",IF(Table1[[#This Row],[DUT Adj Read]]="N/A",IF(Table1[[#This Row],[Std Adj Read]]&lt;Table1[[#This Row],[High Tol]],"Pass","Fail"),IF(Table1[[#This Row],[DUT Adj Read]]&lt;Table1[[#This Row],[High Tol]],"Pass","Fail")))</f>
        <v>Fail</v>
      </c>
      <c r="AF2624" s="1" t="str">
        <f>IF(AND(Table1[[#This Row],[Spec Type2]]="N/A",Table1[[#This Row],[DUT Adj Read]]="N/A",Table1[[#This Row],[Std Adj Read]]="N/A"),"N/A",IF(Table1[[#This Row],[DUT Adj Read]]="N/A",IF(Table1[[#This Row],[Std Adj Read]]&gt;=Table1[[#This Row],[Low Tol]],"Pass","Fail"),IF(Table1[[#This Row],[DUT Adj Read]]&gt;=Table1[[#This Row],[Low Tol]],"Pass","Fail")))</f>
        <v>Pass</v>
      </c>
      <c r="AG2624" s="1" t="str">
        <f>IF(AND(Table1[[#This Row],[Spec Type2]]="N/A",Table1[[#This Row],[DUT Adj Read]]="N/A",Table1[[#This Row],[Std Adj Read]]="N/A"),"N/A",IF(Table1[[#This Row],[DUT Adj Read]]="N/A",IF(Table1[[#This Row],[Std Adj Read]]&lt;=Table1[[#This Row],[High Tol]],"Pass","Fail"),IF(Table1[[#This Row],[DUT Adj Read]]&lt;=Table1[[#This Row],[High Tol]],"Pass","Fail")))</f>
        <v>Fail</v>
      </c>
      <c r="AH26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4" s="1" t="b">
        <v>0</v>
      </c>
      <c r="AN2624" s="1" t="b">
        <v>0</v>
      </c>
      <c r="AO2624" s="1" t="b">
        <v>0</v>
      </c>
    </row>
    <row r="2625" spans="1:41" x14ac:dyDescent="0.25">
      <c r="A2625" s="10"/>
      <c r="B2625" s="10"/>
      <c r="C2625" s="10"/>
      <c r="D2625" s="10"/>
      <c r="E2625" s="10"/>
      <c r="F2625" s="10"/>
      <c r="G2625" s="10"/>
      <c r="H2625" s="10"/>
      <c r="I2625" s="1" t="str">
        <f t="shared" si="120"/>
        <v/>
      </c>
      <c r="J2625" s="1" t="s">
        <v>35</v>
      </c>
      <c r="K2625" s="1" t="str">
        <f t="shared" si="121"/>
        <v/>
      </c>
      <c r="L2625" s="1" t="str">
        <f t="shared" si="122"/>
        <v/>
      </c>
      <c r="M2625" s="1">
        <f>IF(OR(Table1[[#This Row],[Std Nom]]="",Table1[[#This Row],[Std Read]]=""),0,Table1[[#This Row],[Std Nom]]-Table1[[#This Row],[Std Read]])</f>
        <v>0</v>
      </c>
      <c r="N2625" s="1">
        <f>IF(Calculations!$F$5="ACCREDITED 17025 WITH UNCERTAINTIES",$N$10,0)</f>
        <v>0</v>
      </c>
      <c r="O2625" s="1" t="str">
        <f>IFERROR(Table1[[#This Row],[Std Nom]]-(_xlfn.XLOOKUP(Table1[[#This Row],[Manufacturer]]&amp;" "&amp;Table1[[#This Row],[Model]],Table13[MFR &amp; MDL],Table13[Tolerance % CW ],"")/100*Table1[[#This Row],[Std Nom]]),"")</f>
        <v/>
      </c>
      <c r="P2625" s="1" t="str">
        <f>IFERROR(Table1[[#This Row],[Std Nom]]+(_xlfn.XLOOKUP(Table1[[#This Row],[Manufacturer]]&amp;" "&amp;Table1[[#This Row],[Model]],Table13[MFR &amp; MDL],Table13[Tolerance % CW ],"")/100*Table1[[#This Row],[Std Nom]]),"")</f>
        <v/>
      </c>
      <c r="Q2625" s="1" t="e">
        <f>Table1[[#This Row],[High Tol]]-Table1[[#This Row],[Low Tol]]</f>
        <v>#VALUE!</v>
      </c>
      <c r="R2625" s="1">
        <f>2*Table1[[#This Row],[Std Error]]</f>
        <v>0</v>
      </c>
      <c r="S2625" s="1" t="str">
        <f>IF(Table1[[#This Row],[High Tol]]="","N/A",IFERROR(ABS(Table1[[#This Row],[Tol Span]]/Table1[[#This Row],[Error Span]]),"N/A"))</f>
        <v>N/A</v>
      </c>
      <c r="T2625" s="1" t="str">
        <f>IF(OR(Table1[[#This Row],[Low Tol]]="",Table1[[#This Row],[High Tol]]=""),"Needs Analysis",IF(Table1[[#This Row],[Ratio]]&gt;=4,"Not Significant",IF(Table1[[#This Row],[Ratio]]&gt;=2,"Semi-Significant","Significant")))</f>
        <v>Needs Analysis</v>
      </c>
      <c r="W2625" s="1">
        <f>IF(Table1[[#This Row],[Cal Type]]&lt;&gt;"ACCREDITED 17025 WITH UNCERTAINTIES",0,"")</f>
        <v>0</v>
      </c>
      <c r="X2625" s="1" t="str">
        <f>IF(Table1[[#This Row],[DUT Read]]="","N/A",Table1[[#This Row],[Std Error]]+Table1[[#This Row],[DUT Read]]+Table1[[#This Row],[DUT Ucty]])</f>
        <v>N/A</v>
      </c>
      <c r="Y2625" s="1" t="str">
        <f>IF(Table1[[#This Row],[Std Read]]="","N/A",Table1[[#This Row],[Std Read]]+Table1[[#This Row],[Std Ucty]])</f>
        <v>N/A</v>
      </c>
      <c r="Z26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5" s="1" t="str">
        <f>IF(Table1[[#This Row],[Spec Type]]="","N/A",Table1[[#This Row],[Spec Type]])</f>
        <v>±</v>
      </c>
      <c r="AC2625" s="1" t="str">
        <f>IF(Table1[[#This Row],[Spec Type2]]="N/A","N/A",IF(AND(Table1[[#This Row],[DUT Adj Read]]&gt;=Table1[[#This Row],[Low Tol]],Table1[[#This Row],[DUT Adj Read]]&lt;=Table1[[#This Row],[High Tol]]),"Pass","Fail"))</f>
        <v>Fail</v>
      </c>
      <c r="AD2625" s="1" t="str">
        <f>IF(AND(Table1[[#This Row],[Spec Type2]]="N/A",Table1[[#This Row],[DUT Adj Read]]="N/A",Table1[[#This Row],[Std Adj Read]]="N/A"),"N/A",IF(Table1[[#This Row],[DUT Adj Read]]="N/A",IF(Table1[[#This Row],[Std Adj Read]]&gt;Table1[[#This Row],[Low Tol]],"Pass","Fail"),IF(Table1[[#This Row],[DUT Adj Read]]&gt;Table1[[#This Row],[Low Tol]],"Pass","Fail")))</f>
        <v>Pass</v>
      </c>
      <c r="AE2625" s="1" t="str">
        <f>IF(AND(Table1[[#This Row],[Spec Type2]]="N/A",Table1[[#This Row],[DUT Adj Read]]="N/A",Table1[[#This Row],[Std Adj Read]]="N/A"),"N/A",IF(Table1[[#This Row],[DUT Adj Read]]="N/A",IF(Table1[[#This Row],[Std Adj Read]]&lt;Table1[[#This Row],[High Tol]],"Pass","Fail"),IF(Table1[[#This Row],[DUT Adj Read]]&lt;Table1[[#This Row],[High Tol]],"Pass","Fail")))</f>
        <v>Fail</v>
      </c>
      <c r="AF2625" s="1" t="str">
        <f>IF(AND(Table1[[#This Row],[Spec Type2]]="N/A",Table1[[#This Row],[DUT Adj Read]]="N/A",Table1[[#This Row],[Std Adj Read]]="N/A"),"N/A",IF(Table1[[#This Row],[DUT Adj Read]]="N/A",IF(Table1[[#This Row],[Std Adj Read]]&gt;=Table1[[#This Row],[Low Tol]],"Pass","Fail"),IF(Table1[[#This Row],[DUT Adj Read]]&gt;=Table1[[#This Row],[Low Tol]],"Pass","Fail")))</f>
        <v>Pass</v>
      </c>
      <c r="AG2625" s="1" t="str">
        <f>IF(AND(Table1[[#This Row],[Spec Type2]]="N/A",Table1[[#This Row],[DUT Adj Read]]="N/A",Table1[[#This Row],[Std Adj Read]]="N/A"),"N/A",IF(Table1[[#This Row],[DUT Adj Read]]="N/A",IF(Table1[[#This Row],[Std Adj Read]]&lt;=Table1[[#This Row],[High Tol]],"Pass","Fail"),IF(Table1[[#This Row],[DUT Adj Read]]&lt;=Table1[[#This Row],[High Tol]],"Pass","Fail")))</f>
        <v>Fail</v>
      </c>
      <c r="AH26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5" s="1" t="b">
        <v>0</v>
      </c>
      <c r="AN2625" s="1" t="b">
        <v>0</v>
      </c>
      <c r="AO2625" s="1" t="b">
        <v>0</v>
      </c>
    </row>
    <row r="2626" spans="1:41" x14ac:dyDescent="0.25">
      <c r="A2626" s="10"/>
      <c r="B2626" s="10"/>
      <c r="C2626" s="10"/>
      <c r="D2626" s="10"/>
      <c r="E2626" s="10"/>
      <c r="F2626" s="10"/>
      <c r="G2626" s="10"/>
      <c r="H2626" s="10"/>
      <c r="I2626" s="1" t="str">
        <f t="shared" si="120"/>
        <v/>
      </c>
      <c r="J2626" s="1" t="s">
        <v>35</v>
      </c>
      <c r="K2626" s="1" t="str">
        <f t="shared" si="121"/>
        <v/>
      </c>
      <c r="L2626" s="1" t="str">
        <f t="shared" si="122"/>
        <v/>
      </c>
      <c r="M2626" s="1">
        <f>IF(OR(Table1[[#This Row],[Std Nom]]="",Table1[[#This Row],[Std Read]]=""),0,Table1[[#This Row],[Std Nom]]-Table1[[#This Row],[Std Read]])</f>
        <v>0</v>
      </c>
      <c r="N2626" s="1">
        <f>IF(Calculations!$F$5="ACCREDITED 17025 WITH UNCERTAINTIES",$N$10,0)</f>
        <v>0</v>
      </c>
      <c r="O2626" s="1" t="str">
        <f>IFERROR(Table1[[#This Row],[Std Nom]]-(_xlfn.XLOOKUP(Table1[[#This Row],[Manufacturer]]&amp;" "&amp;Table1[[#This Row],[Model]],Table13[MFR &amp; MDL],Table13[Tolerance % CW ],"")/100*Table1[[#This Row],[Std Nom]]),"")</f>
        <v/>
      </c>
      <c r="P2626" s="1" t="str">
        <f>IFERROR(Table1[[#This Row],[Std Nom]]+(_xlfn.XLOOKUP(Table1[[#This Row],[Manufacturer]]&amp;" "&amp;Table1[[#This Row],[Model]],Table13[MFR &amp; MDL],Table13[Tolerance % CW ],"")/100*Table1[[#This Row],[Std Nom]]),"")</f>
        <v/>
      </c>
      <c r="Q2626" s="1" t="e">
        <f>Table1[[#This Row],[High Tol]]-Table1[[#This Row],[Low Tol]]</f>
        <v>#VALUE!</v>
      </c>
      <c r="R2626" s="1">
        <f>2*Table1[[#This Row],[Std Error]]</f>
        <v>0</v>
      </c>
      <c r="S2626" s="1" t="str">
        <f>IF(Table1[[#This Row],[High Tol]]="","N/A",IFERROR(ABS(Table1[[#This Row],[Tol Span]]/Table1[[#This Row],[Error Span]]),"N/A"))</f>
        <v>N/A</v>
      </c>
      <c r="T2626" s="1" t="str">
        <f>IF(OR(Table1[[#This Row],[Low Tol]]="",Table1[[#This Row],[High Tol]]=""),"Needs Analysis",IF(Table1[[#This Row],[Ratio]]&gt;=4,"Not Significant",IF(Table1[[#This Row],[Ratio]]&gt;=2,"Semi-Significant","Significant")))</f>
        <v>Needs Analysis</v>
      </c>
      <c r="W2626" s="1">
        <f>IF(Table1[[#This Row],[Cal Type]]&lt;&gt;"ACCREDITED 17025 WITH UNCERTAINTIES",0,"")</f>
        <v>0</v>
      </c>
      <c r="X2626" s="1" t="str">
        <f>IF(Table1[[#This Row],[DUT Read]]="","N/A",Table1[[#This Row],[Std Error]]+Table1[[#This Row],[DUT Read]]+Table1[[#This Row],[DUT Ucty]])</f>
        <v>N/A</v>
      </c>
      <c r="Y2626" s="1" t="str">
        <f>IF(Table1[[#This Row],[Std Read]]="","N/A",Table1[[#This Row],[Std Read]]+Table1[[#This Row],[Std Ucty]])</f>
        <v>N/A</v>
      </c>
      <c r="Z26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6" s="1" t="str">
        <f>IF(Table1[[#This Row],[Spec Type]]="","N/A",Table1[[#This Row],[Spec Type]])</f>
        <v>±</v>
      </c>
      <c r="AC2626" s="1" t="str">
        <f>IF(Table1[[#This Row],[Spec Type2]]="N/A","N/A",IF(AND(Table1[[#This Row],[DUT Adj Read]]&gt;=Table1[[#This Row],[Low Tol]],Table1[[#This Row],[DUT Adj Read]]&lt;=Table1[[#This Row],[High Tol]]),"Pass","Fail"))</f>
        <v>Fail</v>
      </c>
      <c r="AD2626" s="1" t="str">
        <f>IF(AND(Table1[[#This Row],[Spec Type2]]="N/A",Table1[[#This Row],[DUT Adj Read]]="N/A",Table1[[#This Row],[Std Adj Read]]="N/A"),"N/A",IF(Table1[[#This Row],[DUT Adj Read]]="N/A",IF(Table1[[#This Row],[Std Adj Read]]&gt;Table1[[#This Row],[Low Tol]],"Pass","Fail"),IF(Table1[[#This Row],[DUT Adj Read]]&gt;Table1[[#This Row],[Low Tol]],"Pass","Fail")))</f>
        <v>Pass</v>
      </c>
      <c r="AE2626" s="1" t="str">
        <f>IF(AND(Table1[[#This Row],[Spec Type2]]="N/A",Table1[[#This Row],[DUT Adj Read]]="N/A",Table1[[#This Row],[Std Adj Read]]="N/A"),"N/A",IF(Table1[[#This Row],[DUT Adj Read]]="N/A",IF(Table1[[#This Row],[Std Adj Read]]&lt;Table1[[#This Row],[High Tol]],"Pass","Fail"),IF(Table1[[#This Row],[DUT Adj Read]]&lt;Table1[[#This Row],[High Tol]],"Pass","Fail")))</f>
        <v>Fail</v>
      </c>
      <c r="AF2626" s="1" t="str">
        <f>IF(AND(Table1[[#This Row],[Spec Type2]]="N/A",Table1[[#This Row],[DUT Adj Read]]="N/A",Table1[[#This Row],[Std Adj Read]]="N/A"),"N/A",IF(Table1[[#This Row],[DUT Adj Read]]="N/A",IF(Table1[[#This Row],[Std Adj Read]]&gt;=Table1[[#This Row],[Low Tol]],"Pass","Fail"),IF(Table1[[#This Row],[DUT Adj Read]]&gt;=Table1[[#This Row],[Low Tol]],"Pass","Fail")))</f>
        <v>Pass</v>
      </c>
      <c r="AG2626" s="1" t="str">
        <f>IF(AND(Table1[[#This Row],[Spec Type2]]="N/A",Table1[[#This Row],[DUT Adj Read]]="N/A",Table1[[#This Row],[Std Adj Read]]="N/A"),"N/A",IF(Table1[[#This Row],[DUT Adj Read]]="N/A",IF(Table1[[#This Row],[Std Adj Read]]&lt;=Table1[[#This Row],[High Tol]],"Pass","Fail"),IF(Table1[[#This Row],[DUT Adj Read]]&lt;=Table1[[#This Row],[High Tol]],"Pass","Fail")))</f>
        <v>Fail</v>
      </c>
      <c r="AH26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6" s="1" t="b">
        <v>0</v>
      </c>
      <c r="AN2626" s="1" t="b">
        <v>0</v>
      </c>
      <c r="AO2626" s="1" t="b">
        <v>0</v>
      </c>
    </row>
    <row r="2627" spans="1:41" x14ac:dyDescent="0.25">
      <c r="A2627" s="10"/>
      <c r="B2627" s="10"/>
      <c r="C2627" s="10"/>
      <c r="D2627" s="10"/>
      <c r="E2627" s="10"/>
      <c r="F2627" s="10"/>
      <c r="G2627" s="10"/>
      <c r="H2627" s="10"/>
      <c r="I2627" s="1" t="str">
        <f t="shared" si="120"/>
        <v/>
      </c>
      <c r="J2627" s="1" t="s">
        <v>35</v>
      </c>
      <c r="K2627" s="1" t="str">
        <f t="shared" si="121"/>
        <v/>
      </c>
      <c r="L2627" s="1" t="str">
        <f t="shared" si="122"/>
        <v/>
      </c>
      <c r="M2627" s="1">
        <f>IF(OR(Table1[[#This Row],[Std Nom]]="",Table1[[#This Row],[Std Read]]=""),0,Table1[[#This Row],[Std Nom]]-Table1[[#This Row],[Std Read]])</f>
        <v>0</v>
      </c>
      <c r="N2627" s="1">
        <f>IF(Calculations!$F$5="ACCREDITED 17025 WITH UNCERTAINTIES",$N$10,0)</f>
        <v>0</v>
      </c>
      <c r="O2627" s="1" t="str">
        <f>IFERROR(Table1[[#This Row],[Std Nom]]-(_xlfn.XLOOKUP(Table1[[#This Row],[Manufacturer]]&amp;" "&amp;Table1[[#This Row],[Model]],Table13[MFR &amp; MDL],Table13[Tolerance % CW ],"")/100*Table1[[#This Row],[Std Nom]]),"")</f>
        <v/>
      </c>
      <c r="P2627" s="1" t="str">
        <f>IFERROR(Table1[[#This Row],[Std Nom]]+(_xlfn.XLOOKUP(Table1[[#This Row],[Manufacturer]]&amp;" "&amp;Table1[[#This Row],[Model]],Table13[MFR &amp; MDL],Table13[Tolerance % CW ],"")/100*Table1[[#This Row],[Std Nom]]),"")</f>
        <v/>
      </c>
      <c r="Q2627" s="1" t="e">
        <f>Table1[[#This Row],[High Tol]]-Table1[[#This Row],[Low Tol]]</f>
        <v>#VALUE!</v>
      </c>
      <c r="R2627" s="1">
        <f>2*Table1[[#This Row],[Std Error]]</f>
        <v>0</v>
      </c>
      <c r="S2627" s="1" t="str">
        <f>IF(Table1[[#This Row],[High Tol]]="","N/A",IFERROR(ABS(Table1[[#This Row],[Tol Span]]/Table1[[#This Row],[Error Span]]),"N/A"))</f>
        <v>N/A</v>
      </c>
      <c r="T2627" s="1" t="str">
        <f>IF(OR(Table1[[#This Row],[Low Tol]]="",Table1[[#This Row],[High Tol]]=""),"Needs Analysis",IF(Table1[[#This Row],[Ratio]]&gt;=4,"Not Significant",IF(Table1[[#This Row],[Ratio]]&gt;=2,"Semi-Significant","Significant")))</f>
        <v>Needs Analysis</v>
      </c>
      <c r="W2627" s="1">
        <f>IF(Table1[[#This Row],[Cal Type]]&lt;&gt;"ACCREDITED 17025 WITH UNCERTAINTIES",0,"")</f>
        <v>0</v>
      </c>
      <c r="X2627" s="1" t="str">
        <f>IF(Table1[[#This Row],[DUT Read]]="","N/A",Table1[[#This Row],[Std Error]]+Table1[[#This Row],[DUT Read]]+Table1[[#This Row],[DUT Ucty]])</f>
        <v>N/A</v>
      </c>
      <c r="Y2627" s="1" t="str">
        <f>IF(Table1[[#This Row],[Std Read]]="","N/A",Table1[[#This Row],[Std Read]]+Table1[[#This Row],[Std Ucty]])</f>
        <v>N/A</v>
      </c>
      <c r="Z26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7" s="1" t="str">
        <f>IF(Table1[[#This Row],[Spec Type]]="","N/A",Table1[[#This Row],[Spec Type]])</f>
        <v>±</v>
      </c>
      <c r="AC2627" s="1" t="str">
        <f>IF(Table1[[#This Row],[Spec Type2]]="N/A","N/A",IF(AND(Table1[[#This Row],[DUT Adj Read]]&gt;=Table1[[#This Row],[Low Tol]],Table1[[#This Row],[DUT Adj Read]]&lt;=Table1[[#This Row],[High Tol]]),"Pass","Fail"))</f>
        <v>Fail</v>
      </c>
      <c r="AD2627" s="1" t="str">
        <f>IF(AND(Table1[[#This Row],[Spec Type2]]="N/A",Table1[[#This Row],[DUT Adj Read]]="N/A",Table1[[#This Row],[Std Adj Read]]="N/A"),"N/A",IF(Table1[[#This Row],[DUT Adj Read]]="N/A",IF(Table1[[#This Row],[Std Adj Read]]&gt;Table1[[#This Row],[Low Tol]],"Pass","Fail"),IF(Table1[[#This Row],[DUT Adj Read]]&gt;Table1[[#This Row],[Low Tol]],"Pass","Fail")))</f>
        <v>Pass</v>
      </c>
      <c r="AE2627" s="1" t="str">
        <f>IF(AND(Table1[[#This Row],[Spec Type2]]="N/A",Table1[[#This Row],[DUT Adj Read]]="N/A",Table1[[#This Row],[Std Adj Read]]="N/A"),"N/A",IF(Table1[[#This Row],[DUT Adj Read]]="N/A",IF(Table1[[#This Row],[Std Adj Read]]&lt;Table1[[#This Row],[High Tol]],"Pass","Fail"),IF(Table1[[#This Row],[DUT Adj Read]]&lt;Table1[[#This Row],[High Tol]],"Pass","Fail")))</f>
        <v>Fail</v>
      </c>
      <c r="AF2627" s="1" t="str">
        <f>IF(AND(Table1[[#This Row],[Spec Type2]]="N/A",Table1[[#This Row],[DUT Adj Read]]="N/A",Table1[[#This Row],[Std Adj Read]]="N/A"),"N/A",IF(Table1[[#This Row],[DUT Adj Read]]="N/A",IF(Table1[[#This Row],[Std Adj Read]]&gt;=Table1[[#This Row],[Low Tol]],"Pass","Fail"),IF(Table1[[#This Row],[DUT Adj Read]]&gt;=Table1[[#This Row],[Low Tol]],"Pass","Fail")))</f>
        <v>Pass</v>
      </c>
      <c r="AG2627" s="1" t="str">
        <f>IF(AND(Table1[[#This Row],[Spec Type2]]="N/A",Table1[[#This Row],[DUT Adj Read]]="N/A",Table1[[#This Row],[Std Adj Read]]="N/A"),"N/A",IF(Table1[[#This Row],[DUT Adj Read]]="N/A",IF(Table1[[#This Row],[Std Adj Read]]&lt;=Table1[[#This Row],[High Tol]],"Pass","Fail"),IF(Table1[[#This Row],[DUT Adj Read]]&lt;=Table1[[#This Row],[High Tol]],"Pass","Fail")))</f>
        <v>Fail</v>
      </c>
      <c r="AH26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7" s="1" t="b">
        <v>0</v>
      </c>
      <c r="AN2627" s="1" t="b">
        <v>0</v>
      </c>
      <c r="AO2627" s="1" t="b">
        <v>0</v>
      </c>
    </row>
    <row r="2628" spans="1:41" x14ac:dyDescent="0.25">
      <c r="A2628" s="10"/>
      <c r="B2628" s="10"/>
      <c r="C2628" s="10"/>
      <c r="D2628" s="10"/>
      <c r="E2628" s="10"/>
      <c r="F2628" s="10"/>
      <c r="G2628" s="10"/>
      <c r="H2628" s="10"/>
      <c r="I2628" s="1" t="str">
        <f t="shared" si="120"/>
        <v/>
      </c>
      <c r="J2628" s="1" t="s">
        <v>35</v>
      </c>
      <c r="K2628" s="1" t="str">
        <f t="shared" si="121"/>
        <v/>
      </c>
      <c r="L2628" s="1" t="str">
        <f t="shared" si="122"/>
        <v/>
      </c>
      <c r="M2628" s="1">
        <f>IF(OR(Table1[[#This Row],[Std Nom]]="",Table1[[#This Row],[Std Read]]=""),0,Table1[[#This Row],[Std Nom]]-Table1[[#This Row],[Std Read]])</f>
        <v>0</v>
      </c>
      <c r="N2628" s="1">
        <f>IF(Calculations!$F$5="ACCREDITED 17025 WITH UNCERTAINTIES",$N$10,0)</f>
        <v>0</v>
      </c>
      <c r="O2628" s="1" t="str">
        <f>IFERROR(Table1[[#This Row],[Std Nom]]-(_xlfn.XLOOKUP(Table1[[#This Row],[Manufacturer]]&amp;" "&amp;Table1[[#This Row],[Model]],Table13[MFR &amp; MDL],Table13[Tolerance % CW ],"")/100*Table1[[#This Row],[Std Nom]]),"")</f>
        <v/>
      </c>
      <c r="P2628" s="1" t="str">
        <f>IFERROR(Table1[[#This Row],[Std Nom]]+(_xlfn.XLOOKUP(Table1[[#This Row],[Manufacturer]]&amp;" "&amp;Table1[[#This Row],[Model]],Table13[MFR &amp; MDL],Table13[Tolerance % CW ],"")/100*Table1[[#This Row],[Std Nom]]),"")</f>
        <v/>
      </c>
      <c r="Q2628" s="1" t="e">
        <f>Table1[[#This Row],[High Tol]]-Table1[[#This Row],[Low Tol]]</f>
        <v>#VALUE!</v>
      </c>
      <c r="R2628" s="1">
        <f>2*Table1[[#This Row],[Std Error]]</f>
        <v>0</v>
      </c>
      <c r="S2628" s="1" t="str">
        <f>IF(Table1[[#This Row],[High Tol]]="","N/A",IFERROR(ABS(Table1[[#This Row],[Tol Span]]/Table1[[#This Row],[Error Span]]),"N/A"))</f>
        <v>N/A</v>
      </c>
      <c r="T2628" s="1" t="str">
        <f>IF(OR(Table1[[#This Row],[Low Tol]]="",Table1[[#This Row],[High Tol]]=""),"Needs Analysis",IF(Table1[[#This Row],[Ratio]]&gt;=4,"Not Significant",IF(Table1[[#This Row],[Ratio]]&gt;=2,"Semi-Significant","Significant")))</f>
        <v>Needs Analysis</v>
      </c>
      <c r="W2628" s="1">
        <f>IF(Table1[[#This Row],[Cal Type]]&lt;&gt;"ACCREDITED 17025 WITH UNCERTAINTIES",0,"")</f>
        <v>0</v>
      </c>
      <c r="X2628" s="1" t="str">
        <f>IF(Table1[[#This Row],[DUT Read]]="","N/A",Table1[[#This Row],[Std Error]]+Table1[[#This Row],[DUT Read]]+Table1[[#This Row],[DUT Ucty]])</f>
        <v>N/A</v>
      </c>
      <c r="Y2628" s="1" t="str">
        <f>IF(Table1[[#This Row],[Std Read]]="","N/A",Table1[[#This Row],[Std Read]]+Table1[[#This Row],[Std Ucty]])</f>
        <v>N/A</v>
      </c>
      <c r="Z26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8" s="1" t="str">
        <f>IF(Table1[[#This Row],[Spec Type]]="","N/A",Table1[[#This Row],[Spec Type]])</f>
        <v>±</v>
      </c>
      <c r="AC2628" s="1" t="str">
        <f>IF(Table1[[#This Row],[Spec Type2]]="N/A","N/A",IF(AND(Table1[[#This Row],[DUT Adj Read]]&gt;=Table1[[#This Row],[Low Tol]],Table1[[#This Row],[DUT Adj Read]]&lt;=Table1[[#This Row],[High Tol]]),"Pass","Fail"))</f>
        <v>Fail</v>
      </c>
      <c r="AD2628" s="1" t="str">
        <f>IF(AND(Table1[[#This Row],[Spec Type2]]="N/A",Table1[[#This Row],[DUT Adj Read]]="N/A",Table1[[#This Row],[Std Adj Read]]="N/A"),"N/A",IF(Table1[[#This Row],[DUT Adj Read]]="N/A",IF(Table1[[#This Row],[Std Adj Read]]&gt;Table1[[#This Row],[Low Tol]],"Pass","Fail"),IF(Table1[[#This Row],[DUT Adj Read]]&gt;Table1[[#This Row],[Low Tol]],"Pass","Fail")))</f>
        <v>Pass</v>
      </c>
      <c r="AE2628" s="1" t="str">
        <f>IF(AND(Table1[[#This Row],[Spec Type2]]="N/A",Table1[[#This Row],[DUT Adj Read]]="N/A",Table1[[#This Row],[Std Adj Read]]="N/A"),"N/A",IF(Table1[[#This Row],[DUT Adj Read]]="N/A",IF(Table1[[#This Row],[Std Adj Read]]&lt;Table1[[#This Row],[High Tol]],"Pass","Fail"),IF(Table1[[#This Row],[DUT Adj Read]]&lt;Table1[[#This Row],[High Tol]],"Pass","Fail")))</f>
        <v>Fail</v>
      </c>
      <c r="AF2628" s="1" t="str">
        <f>IF(AND(Table1[[#This Row],[Spec Type2]]="N/A",Table1[[#This Row],[DUT Adj Read]]="N/A",Table1[[#This Row],[Std Adj Read]]="N/A"),"N/A",IF(Table1[[#This Row],[DUT Adj Read]]="N/A",IF(Table1[[#This Row],[Std Adj Read]]&gt;=Table1[[#This Row],[Low Tol]],"Pass","Fail"),IF(Table1[[#This Row],[DUT Adj Read]]&gt;=Table1[[#This Row],[Low Tol]],"Pass","Fail")))</f>
        <v>Pass</v>
      </c>
      <c r="AG2628" s="1" t="str">
        <f>IF(AND(Table1[[#This Row],[Spec Type2]]="N/A",Table1[[#This Row],[DUT Adj Read]]="N/A",Table1[[#This Row],[Std Adj Read]]="N/A"),"N/A",IF(Table1[[#This Row],[DUT Adj Read]]="N/A",IF(Table1[[#This Row],[Std Adj Read]]&lt;=Table1[[#This Row],[High Tol]],"Pass","Fail"),IF(Table1[[#This Row],[DUT Adj Read]]&lt;=Table1[[#This Row],[High Tol]],"Pass","Fail")))</f>
        <v>Fail</v>
      </c>
      <c r="AH26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8" s="1" t="b">
        <v>0</v>
      </c>
      <c r="AN2628" s="1" t="b">
        <v>0</v>
      </c>
      <c r="AO2628" s="1" t="b">
        <v>0</v>
      </c>
    </row>
    <row r="2629" spans="1:41" x14ac:dyDescent="0.25">
      <c r="A2629" s="10"/>
      <c r="B2629" s="10"/>
      <c r="C2629" s="10"/>
      <c r="D2629" s="10"/>
      <c r="E2629" s="10"/>
      <c r="F2629" s="10"/>
      <c r="G2629" s="10"/>
      <c r="H2629" s="10"/>
      <c r="I2629" s="1" t="str">
        <f t="shared" si="120"/>
        <v/>
      </c>
      <c r="J2629" s="1" t="s">
        <v>35</v>
      </c>
      <c r="K2629" s="1" t="str">
        <f t="shared" si="121"/>
        <v/>
      </c>
      <c r="L2629" s="1" t="str">
        <f t="shared" si="122"/>
        <v/>
      </c>
      <c r="M2629" s="1">
        <f>IF(OR(Table1[[#This Row],[Std Nom]]="",Table1[[#This Row],[Std Read]]=""),0,Table1[[#This Row],[Std Nom]]-Table1[[#This Row],[Std Read]])</f>
        <v>0</v>
      </c>
      <c r="N2629" s="1">
        <f>IF(Calculations!$F$5="ACCREDITED 17025 WITH UNCERTAINTIES",$N$10,0)</f>
        <v>0</v>
      </c>
      <c r="O2629" s="1" t="str">
        <f>IFERROR(Table1[[#This Row],[Std Nom]]-(_xlfn.XLOOKUP(Table1[[#This Row],[Manufacturer]]&amp;" "&amp;Table1[[#This Row],[Model]],Table13[MFR &amp; MDL],Table13[Tolerance % CW ],"")/100*Table1[[#This Row],[Std Nom]]),"")</f>
        <v/>
      </c>
      <c r="P2629" s="1" t="str">
        <f>IFERROR(Table1[[#This Row],[Std Nom]]+(_xlfn.XLOOKUP(Table1[[#This Row],[Manufacturer]]&amp;" "&amp;Table1[[#This Row],[Model]],Table13[MFR &amp; MDL],Table13[Tolerance % CW ],"")/100*Table1[[#This Row],[Std Nom]]),"")</f>
        <v/>
      </c>
      <c r="Q2629" s="1" t="e">
        <f>Table1[[#This Row],[High Tol]]-Table1[[#This Row],[Low Tol]]</f>
        <v>#VALUE!</v>
      </c>
      <c r="R2629" s="1">
        <f>2*Table1[[#This Row],[Std Error]]</f>
        <v>0</v>
      </c>
      <c r="S2629" s="1" t="str">
        <f>IF(Table1[[#This Row],[High Tol]]="","N/A",IFERROR(ABS(Table1[[#This Row],[Tol Span]]/Table1[[#This Row],[Error Span]]),"N/A"))</f>
        <v>N/A</v>
      </c>
      <c r="T2629" s="1" t="str">
        <f>IF(OR(Table1[[#This Row],[Low Tol]]="",Table1[[#This Row],[High Tol]]=""),"Needs Analysis",IF(Table1[[#This Row],[Ratio]]&gt;=4,"Not Significant",IF(Table1[[#This Row],[Ratio]]&gt;=2,"Semi-Significant","Significant")))</f>
        <v>Needs Analysis</v>
      </c>
      <c r="W2629" s="1">
        <f>IF(Table1[[#This Row],[Cal Type]]&lt;&gt;"ACCREDITED 17025 WITH UNCERTAINTIES",0,"")</f>
        <v>0</v>
      </c>
      <c r="X2629" s="1" t="str">
        <f>IF(Table1[[#This Row],[DUT Read]]="","N/A",Table1[[#This Row],[Std Error]]+Table1[[#This Row],[DUT Read]]+Table1[[#This Row],[DUT Ucty]])</f>
        <v>N/A</v>
      </c>
      <c r="Y2629" s="1" t="str">
        <f>IF(Table1[[#This Row],[Std Read]]="","N/A",Table1[[#This Row],[Std Read]]+Table1[[#This Row],[Std Ucty]])</f>
        <v>N/A</v>
      </c>
      <c r="Z26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9" s="1" t="str">
        <f>IF(Table1[[#This Row],[Spec Type]]="","N/A",Table1[[#This Row],[Spec Type]])</f>
        <v>±</v>
      </c>
      <c r="AC2629" s="1" t="str">
        <f>IF(Table1[[#This Row],[Spec Type2]]="N/A","N/A",IF(AND(Table1[[#This Row],[DUT Adj Read]]&gt;=Table1[[#This Row],[Low Tol]],Table1[[#This Row],[DUT Adj Read]]&lt;=Table1[[#This Row],[High Tol]]),"Pass","Fail"))</f>
        <v>Fail</v>
      </c>
      <c r="AD2629" s="1" t="str">
        <f>IF(AND(Table1[[#This Row],[Spec Type2]]="N/A",Table1[[#This Row],[DUT Adj Read]]="N/A",Table1[[#This Row],[Std Adj Read]]="N/A"),"N/A",IF(Table1[[#This Row],[DUT Adj Read]]="N/A",IF(Table1[[#This Row],[Std Adj Read]]&gt;Table1[[#This Row],[Low Tol]],"Pass","Fail"),IF(Table1[[#This Row],[DUT Adj Read]]&gt;Table1[[#This Row],[Low Tol]],"Pass","Fail")))</f>
        <v>Pass</v>
      </c>
      <c r="AE2629" s="1" t="str">
        <f>IF(AND(Table1[[#This Row],[Spec Type2]]="N/A",Table1[[#This Row],[DUT Adj Read]]="N/A",Table1[[#This Row],[Std Adj Read]]="N/A"),"N/A",IF(Table1[[#This Row],[DUT Adj Read]]="N/A",IF(Table1[[#This Row],[Std Adj Read]]&lt;Table1[[#This Row],[High Tol]],"Pass","Fail"),IF(Table1[[#This Row],[DUT Adj Read]]&lt;Table1[[#This Row],[High Tol]],"Pass","Fail")))</f>
        <v>Fail</v>
      </c>
      <c r="AF2629" s="1" t="str">
        <f>IF(AND(Table1[[#This Row],[Spec Type2]]="N/A",Table1[[#This Row],[DUT Adj Read]]="N/A",Table1[[#This Row],[Std Adj Read]]="N/A"),"N/A",IF(Table1[[#This Row],[DUT Adj Read]]="N/A",IF(Table1[[#This Row],[Std Adj Read]]&gt;=Table1[[#This Row],[Low Tol]],"Pass","Fail"),IF(Table1[[#This Row],[DUT Adj Read]]&gt;=Table1[[#This Row],[Low Tol]],"Pass","Fail")))</f>
        <v>Pass</v>
      </c>
      <c r="AG2629" s="1" t="str">
        <f>IF(AND(Table1[[#This Row],[Spec Type2]]="N/A",Table1[[#This Row],[DUT Adj Read]]="N/A",Table1[[#This Row],[Std Adj Read]]="N/A"),"N/A",IF(Table1[[#This Row],[DUT Adj Read]]="N/A",IF(Table1[[#This Row],[Std Adj Read]]&lt;=Table1[[#This Row],[High Tol]],"Pass","Fail"),IF(Table1[[#This Row],[DUT Adj Read]]&lt;=Table1[[#This Row],[High Tol]],"Pass","Fail")))</f>
        <v>Fail</v>
      </c>
      <c r="AH26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9" s="1" t="b">
        <v>0</v>
      </c>
      <c r="AN2629" s="1" t="b">
        <v>0</v>
      </c>
      <c r="AO2629" s="1" t="b">
        <v>0</v>
      </c>
    </row>
    <row r="2630" spans="1:41" x14ac:dyDescent="0.25">
      <c r="A2630" s="10"/>
      <c r="B2630" s="10"/>
      <c r="C2630" s="10"/>
      <c r="D2630" s="10"/>
      <c r="E2630" s="10"/>
      <c r="F2630" s="10"/>
      <c r="G2630" s="10"/>
      <c r="H2630" s="10"/>
      <c r="I2630" s="1" t="str">
        <f t="shared" si="120"/>
        <v/>
      </c>
      <c r="J2630" s="1" t="s">
        <v>35</v>
      </c>
      <c r="K2630" s="1" t="str">
        <f t="shared" si="121"/>
        <v/>
      </c>
      <c r="L2630" s="1" t="str">
        <f t="shared" si="122"/>
        <v/>
      </c>
      <c r="M2630" s="1">
        <f>IF(OR(Table1[[#This Row],[Std Nom]]="",Table1[[#This Row],[Std Read]]=""),0,Table1[[#This Row],[Std Nom]]-Table1[[#This Row],[Std Read]])</f>
        <v>0</v>
      </c>
      <c r="N2630" s="1">
        <f>IF(Calculations!$F$5="ACCREDITED 17025 WITH UNCERTAINTIES",$N$10,0)</f>
        <v>0</v>
      </c>
      <c r="O2630" s="1" t="str">
        <f>IFERROR(Table1[[#This Row],[Std Nom]]-(_xlfn.XLOOKUP(Table1[[#This Row],[Manufacturer]]&amp;" "&amp;Table1[[#This Row],[Model]],Table13[MFR &amp; MDL],Table13[Tolerance % CW ],"")/100*Table1[[#This Row],[Std Nom]]),"")</f>
        <v/>
      </c>
      <c r="P2630" s="1" t="str">
        <f>IFERROR(Table1[[#This Row],[Std Nom]]+(_xlfn.XLOOKUP(Table1[[#This Row],[Manufacturer]]&amp;" "&amp;Table1[[#This Row],[Model]],Table13[MFR &amp; MDL],Table13[Tolerance % CW ],"")/100*Table1[[#This Row],[Std Nom]]),"")</f>
        <v/>
      </c>
      <c r="Q2630" s="1" t="e">
        <f>Table1[[#This Row],[High Tol]]-Table1[[#This Row],[Low Tol]]</f>
        <v>#VALUE!</v>
      </c>
      <c r="R2630" s="1">
        <f>2*Table1[[#This Row],[Std Error]]</f>
        <v>0</v>
      </c>
      <c r="S2630" s="1" t="str">
        <f>IF(Table1[[#This Row],[High Tol]]="","N/A",IFERROR(ABS(Table1[[#This Row],[Tol Span]]/Table1[[#This Row],[Error Span]]),"N/A"))</f>
        <v>N/A</v>
      </c>
      <c r="T2630" s="1" t="str">
        <f>IF(OR(Table1[[#This Row],[Low Tol]]="",Table1[[#This Row],[High Tol]]=""),"Needs Analysis",IF(Table1[[#This Row],[Ratio]]&gt;=4,"Not Significant",IF(Table1[[#This Row],[Ratio]]&gt;=2,"Semi-Significant","Significant")))</f>
        <v>Needs Analysis</v>
      </c>
      <c r="W2630" s="1">
        <f>IF(Table1[[#This Row],[Cal Type]]&lt;&gt;"ACCREDITED 17025 WITH UNCERTAINTIES",0,"")</f>
        <v>0</v>
      </c>
      <c r="X2630" s="1" t="str">
        <f>IF(Table1[[#This Row],[DUT Read]]="","N/A",Table1[[#This Row],[Std Error]]+Table1[[#This Row],[DUT Read]]+Table1[[#This Row],[DUT Ucty]])</f>
        <v>N/A</v>
      </c>
      <c r="Y2630" s="1" t="str">
        <f>IF(Table1[[#This Row],[Std Read]]="","N/A",Table1[[#This Row],[Std Read]]+Table1[[#This Row],[Std Ucty]])</f>
        <v>N/A</v>
      </c>
      <c r="Z26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0" s="1" t="str">
        <f>IF(Table1[[#This Row],[Spec Type]]="","N/A",Table1[[#This Row],[Spec Type]])</f>
        <v>±</v>
      </c>
      <c r="AC2630" s="1" t="str">
        <f>IF(Table1[[#This Row],[Spec Type2]]="N/A","N/A",IF(AND(Table1[[#This Row],[DUT Adj Read]]&gt;=Table1[[#This Row],[Low Tol]],Table1[[#This Row],[DUT Adj Read]]&lt;=Table1[[#This Row],[High Tol]]),"Pass","Fail"))</f>
        <v>Fail</v>
      </c>
      <c r="AD2630" s="1" t="str">
        <f>IF(AND(Table1[[#This Row],[Spec Type2]]="N/A",Table1[[#This Row],[DUT Adj Read]]="N/A",Table1[[#This Row],[Std Adj Read]]="N/A"),"N/A",IF(Table1[[#This Row],[DUT Adj Read]]="N/A",IF(Table1[[#This Row],[Std Adj Read]]&gt;Table1[[#This Row],[Low Tol]],"Pass","Fail"),IF(Table1[[#This Row],[DUT Adj Read]]&gt;Table1[[#This Row],[Low Tol]],"Pass","Fail")))</f>
        <v>Pass</v>
      </c>
      <c r="AE2630" s="1" t="str">
        <f>IF(AND(Table1[[#This Row],[Spec Type2]]="N/A",Table1[[#This Row],[DUT Adj Read]]="N/A",Table1[[#This Row],[Std Adj Read]]="N/A"),"N/A",IF(Table1[[#This Row],[DUT Adj Read]]="N/A",IF(Table1[[#This Row],[Std Adj Read]]&lt;Table1[[#This Row],[High Tol]],"Pass","Fail"),IF(Table1[[#This Row],[DUT Adj Read]]&lt;Table1[[#This Row],[High Tol]],"Pass","Fail")))</f>
        <v>Fail</v>
      </c>
      <c r="AF2630" s="1" t="str">
        <f>IF(AND(Table1[[#This Row],[Spec Type2]]="N/A",Table1[[#This Row],[DUT Adj Read]]="N/A",Table1[[#This Row],[Std Adj Read]]="N/A"),"N/A",IF(Table1[[#This Row],[DUT Adj Read]]="N/A",IF(Table1[[#This Row],[Std Adj Read]]&gt;=Table1[[#This Row],[Low Tol]],"Pass","Fail"),IF(Table1[[#This Row],[DUT Adj Read]]&gt;=Table1[[#This Row],[Low Tol]],"Pass","Fail")))</f>
        <v>Pass</v>
      </c>
      <c r="AG2630" s="1" t="str">
        <f>IF(AND(Table1[[#This Row],[Spec Type2]]="N/A",Table1[[#This Row],[DUT Adj Read]]="N/A",Table1[[#This Row],[Std Adj Read]]="N/A"),"N/A",IF(Table1[[#This Row],[DUT Adj Read]]="N/A",IF(Table1[[#This Row],[Std Adj Read]]&lt;=Table1[[#This Row],[High Tol]],"Pass","Fail"),IF(Table1[[#This Row],[DUT Adj Read]]&lt;=Table1[[#This Row],[High Tol]],"Pass","Fail")))</f>
        <v>Fail</v>
      </c>
      <c r="AH26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0" s="1" t="b">
        <v>0</v>
      </c>
      <c r="AN2630" s="1" t="b">
        <v>0</v>
      </c>
      <c r="AO2630" s="1" t="b">
        <v>0</v>
      </c>
    </row>
    <row r="2631" spans="1:41" x14ac:dyDescent="0.25">
      <c r="A2631" s="10"/>
      <c r="B2631" s="10"/>
      <c r="C2631" s="10"/>
      <c r="D2631" s="10"/>
      <c r="E2631" s="10"/>
      <c r="F2631" s="10"/>
      <c r="G2631" s="10"/>
      <c r="H2631" s="10"/>
      <c r="I2631" s="1" t="str">
        <f t="shared" si="120"/>
        <v/>
      </c>
      <c r="J2631" s="1" t="s">
        <v>35</v>
      </c>
      <c r="K2631" s="1" t="str">
        <f t="shared" si="121"/>
        <v/>
      </c>
      <c r="L2631" s="1" t="str">
        <f t="shared" si="122"/>
        <v/>
      </c>
      <c r="M2631" s="1">
        <f>IF(OR(Table1[[#This Row],[Std Nom]]="",Table1[[#This Row],[Std Read]]=""),0,Table1[[#This Row],[Std Nom]]-Table1[[#This Row],[Std Read]])</f>
        <v>0</v>
      </c>
      <c r="N2631" s="1">
        <f>IF(Calculations!$F$5="ACCREDITED 17025 WITH UNCERTAINTIES",$N$10,0)</f>
        <v>0</v>
      </c>
      <c r="O2631" s="1" t="str">
        <f>IFERROR(Table1[[#This Row],[Std Nom]]-(_xlfn.XLOOKUP(Table1[[#This Row],[Manufacturer]]&amp;" "&amp;Table1[[#This Row],[Model]],Table13[MFR &amp; MDL],Table13[Tolerance % CW ],"")/100*Table1[[#This Row],[Std Nom]]),"")</f>
        <v/>
      </c>
      <c r="P2631" s="1" t="str">
        <f>IFERROR(Table1[[#This Row],[Std Nom]]+(_xlfn.XLOOKUP(Table1[[#This Row],[Manufacturer]]&amp;" "&amp;Table1[[#This Row],[Model]],Table13[MFR &amp; MDL],Table13[Tolerance % CW ],"")/100*Table1[[#This Row],[Std Nom]]),"")</f>
        <v/>
      </c>
      <c r="Q2631" s="1" t="e">
        <f>Table1[[#This Row],[High Tol]]-Table1[[#This Row],[Low Tol]]</f>
        <v>#VALUE!</v>
      </c>
      <c r="R2631" s="1">
        <f>2*Table1[[#This Row],[Std Error]]</f>
        <v>0</v>
      </c>
      <c r="S2631" s="1" t="str">
        <f>IF(Table1[[#This Row],[High Tol]]="","N/A",IFERROR(ABS(Table1[[#This Row],[Tol Span]]/Table1[[#This Row],[Error Span]]),"N/A"))</f>
        <v>N/A</v>
      </c>
      <c r="T2631" s="1" t="str">
        <f>IF(OR(Table1[[#This Row],[Low Tol]]="",Table1[[#This Row],[High Tol]]=""),"Needs Analysis",IF(Table1[[#This Row],[Ratio]]&gt;=4,"Not Significant",IF(Table1[[#This Row],[Ratio]]&gt;=2,"Semi-Significant","Significant")))</f>
        <v>Needs Analysis</v>
      </c>
      <c r="W2631" s="1">
        <f>IF(Table1[[#This Row],[Cal Type]]&lt;&gt;"ACCREDITED 17025 WITH UNCERTAINTIES",0,"")</f>
        <v>0</v>
      </c>
      <c r="X2631" s="1" t="str">
        <f>IF(Table1[[#This Row],[DUT Read]]="","N/A",Table1[[#This Row],[Std Error]]+Table1[[#This Row],[DUT Read]]+Table1[[#This Row],[DUT Ucty]])</f>
        <v>N/A</v>
      </c>
      <c r="Y2631" s="1" t="str">
        <f>IF(Table1[[#This Row],[Std Read]]="","N/A",Table1[[#This Row],[Std Read]]+Table1[[#This Row],[Std Ucty]])</f>
        <v>N/A</v>
      </c>
      <c r="Z26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1" s="1" t="str">
        <f>IF(Table1[[#This Row],[Spec Type]]="","N/A",Table1[[#This Row],[Spec Type]])</f>
        <v>±</v>
      </c>
      <c r="AC2631" s="1" t="str">
        <f>IF(Table1[[#This Row],[Spec Type2]]="N/A","N/A",IF(AND(Table1[[#This Row],[DUT Adj Read]]&gt;=Table1[[#This Row],[Low Tol]],Table1[[#This Row],[DUT Adj Read]]&lt;=Table1[[#This Row],[High Tol]]),"Pass","Fail"))</f>
        <v>Fail</v>
      </c>
      <c r="AD2631" s="1" t="str">
        <f>IF(AND(Table1[[#This Row],[Spec Type2]]="N/A",Table1[[#This Row],[DUT Adj Read]]="N/A",Table1[[#This Row],[Std Adj Read]]="N/A"),"N/A",IF(Table1[[#This Row],[DUT Adj Read]]="N/A",IF(Table1[[#This Row],[Std Adj Read]]&gt;Table1[[#This Row],[Low Tol]],"Pass","Fail"),IF(Table1[[#This Row],[DUT Adj Read]]&gt;Table1[[#This Row],[Low Tol]],"Pass","Fail")))</f>
        <v>Pass</v>
      </c>
      <c r="AE2631" s="1" t="str">
        <f>IF(AND(Table1[[#This Row],[Spec Type2]]="N/A",Table1[[#This Row],[DUT Adj Read]]="N/A",Table1[[#This Row],[Std Adj Read]]="N/A"),"N/A",IF(Table1[[#This Row],[DUT Adj Read]]="N/A",IF(Table1[[#This Row],[Std Adj Read]]&lt;Table1[[#This Row],[High Tol]],"Pass","Fail"),IF(Table1[[#This Row],[DUT Adj Read]]&lt;Table1[[#This Row],[High Tol]],"Pass","Fail")))</f>
        <v>Fail</v>
      </c>
      <c r="AF2631" s="1" t="str">
        <f>IF(AND(Table1[[#This Row],[Spec Type2]]="N/A",Table1[[#This Row],[DUT Adj Read]]="N/A",Table1[[#This Row],[Std Adj Read]]="N/A"),"N/A",IF(Table1[[#This Row],[DUT Adj Read]]="N/A",IF(Table1[[#This Row],[Std Adj Read]]&gt;=Table1[[#This Row],[Low Tol]],"Pass","Fail"),IF(Table1[[#This Row],[DUT Adj Read]]&gt;=Table1[[#This Row],[Low Tol]],"Pass","Fail")))</f>
        <v>Pass</v>
      </c>
      <c r="AG2631" s="1" t="str">
        <f>IF(AND(Table1[[#This Row],[Spec Type2]]="N/A",Table1[[#This Row],[DUT Adj Read]]="N/A",Table1[[#This Row],[Std Adj Read]]="N/A"),"N/A",IF(Table1[[#This Row],[DUT Adj Read]]="N/A",IF(Table1[[#This Row],[Std Adj Read]]&lt;=Table1[[#This Row],[High Tol]],"Pass","Fail"),IF(Table1[[#This Row],[DUT Adj Read]]&lt;=Table1[[#This Row],[High Tol]],"Pass","Fail")))</f>
        <v>Fail</v>
      </c>
      <c r="AH26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1" s="1" t="b">
        <v>0</v>
      </c>
      <c r="AN2631" s="1" t="b">
        <v>0</v>
      </c>
      <c r="AO2631" s="1" t="b">
        <v>0</v>
      </c>
    </row>
    <row r="2632" spans="1:41" x14ac:dyDescent="0.25">
      <c r="A2632" s="10"/>
      <c r="B2632" s="10"/>
      <c r="C2632" s="10"/>
      <c r="D2632" s="10"/>
      <c r="E2632" s="10"/>
      <c r="F2632" s="10"/>
      <c r="G2632" s="10"/>
      <c r="H2632" s="10"/>
      <c r="I2632" s="1" t="str">
        <f t="shared" si="120"/>
        <v/>
      </c>
      <c r="J2632" s="1" t="s">
        <v>35</v>
      </c>
      <c r="K2632" s="1" t="str">
        <f t="shared" si="121"/>
        <v/>
      </c>
      <c r="L2632" s="1" t="str">
        <f t="shared" si="122"/>
        <v/>
      </c>
      <c r="M2632" s="1">
        <f>IF(OR(Table1[[#This Row],[Std Nom]]="",Table1[[#This Row],[Std Read]]=""),0,Table1[[#This Row],[Std Nom]]-Table1[[#This Row],[Std Read]])</f>
        <v>0</v>
      </c>
      <c r="N2632" s="1">
        <f>IF(Calculations!$F$5="ACCREDITED 17025 WITH UNCERTAINTIES",$N$10,0)</f>
        <v>0</v>
      </c>
      <c r="O2632" s="1" t="str">
        <f>IFERROR(Table1[[#This Row],[Std Nom]]-(_xlfn.XLOOKUP(Table1[[#This Row],[Manufacturer]]&amp;" "&amp;Table1[[#This Row],[Model]],Table13[MFR &amp; MDL],Table13[Tolerance % CW ],"")/100*Table1[[#This Row],[Std Nom]]),"")</f>
        <v/>
      </c>
      <c r="P2632" s="1" t="str">
        <f>IFERROR(Table1[[#This Row],[Std Nom]]+(_xlfn.XLOOKUP(Table1[[#This Row],[Manufacturer]]&amp;" "&amp;Table1[[#This Row],[Model]],Table13[MFR &amp; MDL],Table13[Tolerance % CW ],"")/100*Table1[[#This Row],[Std Nom]]),"")</f>
        <v/>
      </c>
      <c r="Q2632" s="1" t="e">
        <f>Table1[[#This Row],[High Tol]]-Table1[[#This Row],[Low Tol]]</f>
        <v>#VALUE!</v>
      </c>
      <c r="R2632" s="1">
        <f>2*Table1[[#This Row],[Std Error]]</f>
        <v>0</v>
      </c>
      <c r="S2632" s="1" t="str">
        <f>IF(Table1[[#This Row],[High Tol]]="","N/A",IFERROR(ABS(Table1[[#This Row],[Tol Span]]/Table1[[#This Row],[Error Span]]),"N/A"))</f>
        <v>N/A</v>
      </c>
      <c r="T2632" s="1" t="str">
        <f>IF(OR(Table1[[#This Row],[Low Tol]]="",Table1[[#This Row],[High Tol]]=""),"Needs Analysis",IF(Table1[[#This Row],[Ratio]]&gt;=4,"Not Significant",IF(Table1[[#This Row],[Ratio]]&gt;=2,"Semi-Significant","Significant")))</f>
        <v>Needs Analysis</v>
      </c>
      <c r="W2632" s="1">
        <f>IF(Table1[[#This Row],[Cal Type]]&lt;&gt;"ACCREDITED 17025 WITH UNCERTAINTIES",0,"")</f>
        <v>0</v>
      </c>
      <c r="X2632" s="1" t="str">
        <f>IF(Table1[[#This Row],[DUT Read]]="","N/A",Table1[[#This Row],[Std Error]]+Table1[[#This Row],[DUT Read]]+Table1[[#This Row],[DUT Ucty]])</f>
        <v>N/A</v>
      </c>
      <c r="Y2632" s="1" t="str">
        <f>IF(Table1[[#This Row],[Std Read]]="","N/A",Table1[[#This Row],[Std Read]]+Table1[[#This Row],[Std Ucty]])</f>
        <v>N/A</v>
      </c>
      <c r="Z26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2" s="1" t="str">
        <f>IF(Table1[[#This Row],[Spec Type]]="","N/A",Table1[[#This Row],[Spec Type]])</f>
        <v>±</v>
      </c>
      <c r="AC2632" s="1" t="str">
        <f>IF(Table1[[#This Row],[Spec Type2]]="N/A","N/A",IF(AND(Table1[[#This Row],[DUT Adj Read]]&gt;=Table1[[#This Row],[Low Tol]],Table1[[#This Row],[DUT Adj Read]]&lt;=Table1[[#This Row],[High Tol]]),"Pass","Fail"))</f>
        <v>Fail</v>
      </c>
      <c r="AD2632" s="1" t="str">
        <f>IF(AND(Table1[[#This Row],[Spec Type2]]="N/A",Table1[[#This Row],[DUT Adj Read]]="N/A",Table1[[#This Row],[Std Adj Read]]="N/A"),"N/A",IF(Table1[[#This Row],[DUT Adj Read]]="N/A",IF(Table1[[#This Row],[Std Adj Read]]&gt;Table1[[#This Row],[Low Tol]],"Pass","Fail"),IF(Table1[[#This Row],[DUT Adj Read]]&gt;Table1[[#This Row],[Low Tol]],"Pass","Fail")))</f>
        <v>Pass</v>
      </c>
      <c r="AE2632" s="1" t="str">
        <f>IF(AND(Table1[[#This Row],[Spec Type2]]="N/A",Table1[[#This Row],[DUT Adj Read]]="N/A",Table1[[#This Row],[Std Adj Read]]="N/A"),"N/A",IF(Table1[[#This Row],[DUT Adj Read]]="N/A",IF(Table1[[#This Row],[Std Adj Read]]&lt;Table1[[#This Row],[High Tol]],"Pass","Fail"),IF(Table1[[#This Row],[DUT Adj Read]]&lt;Table1[[#This Row],[High Tol]],"Pass","Fail")))</f>
        <v>Fail</v>
      </c>
      <c r="AF2632" s="1" t="str">
        <f>IF(AND(Table1[[#This Row],[Spec Type2]]="N/A",Table1[[#This Row],[DUT Adj Read]]="N/A",Table1[[#This Row],[Std Adj Read]]="N/A"),"N/A",IF(Table1[[#This Row],[DUT Adj Read]]="N/A",IF(Table1[[#This Row],[Std Adj Read]]&gt;=Table1[[#This Row],[Low Tol]],"Pass","Fail"),IF(Table1[[#This Row],[DUT Adj Read]]&gt;=Table1[[#This Row],[Low Tol]],"Pass","Fail")))</f>
        <v>Pass</v>
      </c>
      <c r="AG2632" s="1" t="str">
        <f>IF(AND(Table1[[#This Row],[Spec Type2]]="N/A",Table1[[#This Row],[DUT Adj Read]]="N/A",Table1[[#This Row],[Std Adj Read]]="N/A"),"N/A",IF(Table1[[#This Row],[DUT Adj Read]]="N/A",IF(Table1[[#This Row],[Std Adj Read]]&lt;=Table1[[#This Row],[High Tol]],"Pass","Fail"),IF(Table1[[#This Row],[DUT Adj Read]]&lt;=Table1[[#This Row],[High Tol]],"Pass","Fail")))</f>
        <v>Fail</v>
      </c>
      <c r="AH26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2" s="1" t="b">
        <v>0</v>
      </c>
      <c r="AN2632" s="1" t="b">
        <v>0</v>
      </c>
      <c r="AO2632" s="1" t="b">
        <v>0</v>
      </c>
    </row>
    <row r="2633" spans="1:41" x14ac:dyDescent="0.25">
      <c r="A2633" s="10"/>
      <c r="B2633" s="10"/>
      <c r="C2633" s="10"/>
      <c r="D2633" s="10"/>
      <c r="E2633" s="10"/>
      <c r="F2633" s="10"/>
      <c r="G2633" s="10"/>
      <c r="H2633" s="10"/>
      <c r="I2633" s="1" t="str">
        <f t="shared" si="120"/>
        <v/>
      </c>
      <c r="J2633" s="1" t="s">
        <v>35</v>
      </c>
      <c r="K2633" s="1" t="str">
        <f t="shared" si="121"/>
        <v/>
      </c>
      <c r="L2633" s="1" t="str">
        <f t="shared" si="122"/>
        <v/>
      </c>
      <c r="M2633" s="1">
        <f>IF(OR(Table1[[#This Row],[Std Nom]]="",Table1[[#This Row],[Std Read]]=""),0,Table1[[#This Row],[Std Nom]]-Table1[[#This Row],[Std Read]])</f>
        <v>0</v>
      </c>
      <c r="N2633" s="1">
        <f>IF(Calculations!$F$5="ACCREDITED 17025 WITH UNCERTAINTIES",$N$10,0)</f>
        <v>0</v>
      </c>
      <c r="O2633" s="1" t="str">
        <f>IFERROR(Table1[[#This Row],[Std Nom]]-(_xlfn.XLOOKUP(Table1[[#This Row],[Manufacturer]]&amp;" "&amp;Table1[[#This Row],[Model]],Table13[MFR &amp; MDL],Table13[Tolerance % CW ],"")/100*Table1[[#This Row],[Std Nom]]),"")</f>
        <v/>
      </c>
      <c r="P2633" s="1" t="str">
        <f>IFERROR(Table1[[#This Row],[Std Nom]]+(_xlfn.XLOOKUP(Table1[[#This Row],[Manufacturer]]&amp;" "&amp;Table1[[#This Row],[Model]],Table13[MFR &amp; MDL],Table13[Tolerance % CW ],"")/100*Table1[[#This Row],[Std Nom]]),"")</f>
        <v/>
      </c>
      <c r="Q2633" s="1" t="e">
        <f>Table1[[#This Row],[High Tol]]-Table1[[#This Row],[Low Tol]]</f>
        <v>#VALUE!</v>
      </c>
      <c r="R2633" s="1">
        <f>2*Table1[[#This Row],[Std Error]]</f>
        <v>0</v>
      </c>
      <c r="S2633" s="1" t="str">
        <f>IF(Table1[[#This Row],[High Tol]]="","N/A",IFERROR(ABS(Table1[[#This Row],[Tol Span]]/Table1[[#This Row],[Error Span]]),"N/A"))</f>
        <v>N/A</v>
      </c>
      <c r="T2633" s="1" t="str">
        <f>IF(OR(Table1[[#This Row],[Low Tol]]="",Table1[[#This Row],[High Tol]]=""),"Needs Analysis",IF(Table1[[#This Row],[Ratio]]&gt;=4,"Not Significant",IF(Table1[[#This Row],[Ratio]]&gt;=2,"Semi-Significant","Significant")))</f>
        <v>Needs Analysis</v>
      </c>
      <c r="W2633" s="1">
        <f>IF(Table1[[#This Row],[Cal Type]]&lt;&gt;"ACCREDITED 17025 WITH UNCERTAINTIES",0,"")</f>
        <v>0</v>
      </c>
      <c r="X2633" s="1" t="str">
        <f>IF(Table1[[#This Row],[DUT Read]]="","N/A",Table1[[#This Row],[Std Error]]+Table1[[#This Row],[DUT Read]]+Table1[[#This Row],[DUT Ucty]])</f>
        <v>N/A</v>
      </c>
      <c r="Y2633" s="1" t="str">
        <f>IF(Table1[[#This Row],[Std Read]]="","N/A",Table1[[#This Row],[Std Read]]+Table1[[#This Row],[Std Ucty]])</f>
        <v>N/A</v>
      </c>
      <c r="Z26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3" s="1" t="str">
        <f>IF(Table1[[#This Row],[Spec Type]]="","N/A",Table1[[#This Row],[Spec Type]])</f>
        <v>±</v>
      </c>
      <c r="AC2633" s="1" t="str">
        <f>IF(Table1[[#This Row],[Spec Type2]]="N/A","N/A",IF(AND(Table1[[#This Row],[DUT Adj Read]]&gt;=Table1[[#This Row],[Low Tol]],Table1[[#This Row],[DUT Adj Read]]&lt;=Table1[[#This Row],[High Tol]]),"Pass","Fail"))</f>
        <v>Fail</v>
      </c>
      <c r="AD2633" s="1" t="str">
        <f>IF(AND(Table1[[#This Row],[Spec Type2]]="N/A",Table1[[#This Row],[DUT Adj Read]]="N/A",Table1[[#This Row],[Std Adj Read]]="N/A"),"N/A",IF(Table1[[#This Row],[DUT Adj Read]]="N/A",IF(Table1[[#This Row],[Std Adj Read]]&gt;Table1[[#This Row],[Low Tol]],"Pass","Fail"),IF(Table1[[#This Row],[DUT Adj Read]]&gt;Table1[[#This Row],[Low Tol]],"Pass","Fail")))</f>
        <v>Pass</v>
      </c>
      <c r="AE2633" s="1" t="str">
        <f>IF(AND(Table1[[#This Row],[Spec Type2]]="N/A",Table1[[#This Row],[DUT Adj Read]]="N/A",Table1[[#This Row],[Std Adj Read]]="N/A"),"N/A",IF(Table1[[#This Row],[DUT Adj Read]]="N/A",IF(Table1[[#This Row],[Std Adj Read]]&lt;Table1[[#This Row],[High Tol]],"Pass","Fail"),IF(Table1[[#This Row],[DUT Adj Read]]&lt;Table1[[#This Row],[High Tol]],"Pass","Fail")))</f>
        <v>Fail</v>
      </c>
      <c r="AF2633" s="1" t="str">
        <f>IF(AND(Table1[[#This Row],[Spec Type2]]="N/A",Table1[[#This Row],[DUT Adj Read]]="N/A",Table1[[#This Row],[Std Adj Read]]="N/A"),"N/A",IF(Table1[[#This Row],[DUT Adj Read]]="N/A",IF(Table1[[#This Row],[Std Adj Read]]&gt;=Table1[[#This Row],[Low Tol]],"Pass","Fail"),IF(Table1[[#This Row],[DUT Adj Read]]&gt;=Table1[[#This Row],[Low Tol]],"Pass","Fail")))</f>
        <v>Pass</v>
      </c>
      <c r="AG2633" s="1" t="str">
        <f>IF(AND(Table1[[#This Row],[Spec Type2]]="N/A",Table1[[#This Row],[DUT Adj Read]]="N/A",Table1[[#This Row],[Std Adj Read]]="N/A"),"N/A",IF(Table1[[#This Row],[DUT Adj Read]]="N/A",IF(Table1[[#This Row],[Std Adj Read]]&lt;=Table1[[#This Row],[High Tol]],"Pass","Fail"),IF(Table1[[#This Row],[DUT Adj Read]]&lt;=Table1[[#This Row],[High Tol]],"Pass","Fail")))</f>
        <v>Fail</v>
      </c>
      <c r="AH26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3" s="1" t="b">
        <v>0</v>
      </c>
      <c r="AN2633" s="1" t="b">
        <v>0</v>
      </c>
      <c r="AO2633" s="1" t="b">
        <v>0</v>
      </c>
    </row>
    <row r="2634" spans="1:41" x14ac:dyDescent="0.25">
      <c r="A2634" s="10"/>
      <c r="B2634" s="10"/>
      <c r="C2634" s="10"/>
      <c r="D2634" s="10"/>
      <c r="E2634" s="10"/>
      <c r="F2634" s="10"/>
      <c r="G2634" s="10"/>
      <c r="H2634" s="10"/>
      <c r="I2634" s="1" t="str">
        <f t="shared" si="120"/>
        <v/>
      </c>
      <c r="J2634" s="1" t="s">
        <v>35</v>
      </c>
      <c r="K2634" s="1" t="str">
        <f t="shared" si="121"/>
        <v/>
      </c>
      <c r="L2634" s="1" t="str">
        <f t="shared" si="122"/>
        <v/>
      </c>
      <c r="M2634" s="1">
        <f>IF(OR(Table1[[#This Row],[Std Nom]]="",Table1[[#This Row],[Std Read]]=""),0,Table1[[#This Row],[Std Nom]]-Table1[[#This Row],[Std Read]])</f>
        <v>0</v>
      </c>
      <c r="N2634" s="1">
        <f>IF(Calculations!$F$5="ACCREDITED 17025 WITH UNCERTAINTIES",$N$10,0)</f>
        <v>0</v>
      </c>
      <c r="O2634" s="1" t="str">
        <f>IFERROR(Table1[[#This Row],[Std Nom]]-(_xlfn.XLOOKUP(Table1[[#This Row],[Manufacturer]]&amp;" "&amp;Table1[[#This Row],[Model]],Table13[MFR &amp; MDL],Table13[Tolerance % CW ],"")/100*Table1[[#This Row],[Std Nom]]),"")</f>
        <v/>
      </c>
      <c r="P2634" s="1" t="str">
        <f>IFERROR(Table1[[#This Row],[Std Nom]]+(_xlfn.XLOOKUP(Table1[[#This Row],[Manufacturer]]&amp;" "&amp;Table1[[#This Row],[Model]],Table13[MFR &amp; MDL],Table13[Tolerance % CW ],"")/100*Table1[[#This Row],[Std Nom]]),"")</f>
        <v/>
      </c>
      <c r="Q2634" s="1" t="e">
        <f>Table1[[#This Row],[High Tol]]-Table1[[#This Row],[Low Tol]]</f>
        <v>#VALUE!</v>
      </c>
      <c r="R2634" s="1">
        <f>2*Table1[[#This Row],[Std Error]]</f>
        <v>0</v>
      </c>
      <c r="S2634" s="1" t="str">
        <f>IF(Table1[[#This Row],[High Tol]]="","N/A",IFERROR(ABS(Table1[[#This Row],[Tol Span]]/Table1[[#This Row],[Error Span]]),"N/A"))</f>
        <v>N/A</v>
      </c>
      <c r="T2634" s="1" t="str">
        <f>IF(OR(Table1[[#This Row],[Low Tol]]="",Table1[[#This Row],[High Tol]]=""),"Needs Analysis",IF(Table1[[#This Row],[Ratio]]&gt;=4,"Not Significant",IF(Table1[[#This Row],[Ratio]]&gt;=2,"Semi-Significant","Significant")))</f>
        <v>Needs Analysis</v>
      </c>
      <c r="W2634" s="1">
        <f>IF(Table1[[#This Row],[Cal Type]]&lt;&gt;"ACCREDITED 17025 WITH UNCERTAINTIES",0,"")</f>
        <v>0</v>
      </c>
      <c r="X2634" s="1" t="str">
        <f>IF(Table1[[#This Row],[DUT Read]]="","N/A",Table1[[#This Row],[Std Error]]+Table1[[#This Row],[DUT Read]]+Table1[[#This Row],[DUT Ucty]])</f>
        <v>N/A</v>
      </c>
      <c r="Y2634" s="1" t="str">
        <f>IF(Table1[[#This Row],[Std Read]]="","N/A",Table1[[#This Row],[Std Read]]+Table1[[#This Row],[Std Ucty]])</f>
        <v>N/A</v>
      </c>
      <c r="Z26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4" s="1" t="str">
        <f>IF(Table1[[#This Row],[Spec Type]]="","N/A",Table1[[#This Row],[Spec Type]])</f>
        <v>±</v>
      </c>
      <c r="AC2634" s="1" t="str">
        <f>IF(Table1[[#This Row],[Spec Type2]]="N/A","N/A",IF(AND(Table1[[#This Row],[DUT Adj Read]]&gt;=Table1[[#This Row],[Low Tol]],Table1[[#This Row],[DUT Adj Read]]&lt;=Table1[[#This Row],[High Tol]]),"Pass","Fail"))</f>
        <v>Fail</v>
      </c>
      <c r="AD2634" s="1" t="str">
        <f>IF(AND(Table1[[#This Row],[Spec Type2]]="N/A",Table1[[#This Row],[DUT Adj Read]]="N/A",Table1[[#This Row],[Std Adj Read]]="N/A"),"N/A",IF(Table1[[#This Row],[DUT Adj Read]]="N/A",IF(Table1[[#This Row],[Std Adj Read]]&gt;Table1[[#This Row],[Low Tol]],"Pass","Fail"),IF(Table1[[#This Row],[DUT Adj Read]]&gt;Table1[[#This Row],[Low Tol]],"Pass","Fail")))</f>
        <v>Pass</v>
      </c>
      <c r="AE2634" s="1" t="str">
        <f>IF(AND(Table1[[#This Row],[Spec Type2]]="N/A",Table1[[#This Row],[DUT Adj Read]]="N/A",Table1[[#This Row],[Std Adj Read]]="N/A"),"N/A",IF(Table1[[#This Row],[DUT Adj Read]]="N/A",IF(Table1[[#This Row],[Std Adj Read]]&lt;Table1[[#This Row],[High Tol]],"Pass","Fail"),IF(Table1[[#This Row],[DUT Adj Read]]&lt;Table1[[#This Row],[High Tol]],"Pass","Fail")))</f>
        <v>Fail</v>
      </c>
      <c r="AF2634" s="1" t="str">
        <f>IF(AND(Table1[[#This Row],[Spec Type2]]="N/A",Table1[[#This Row],[DUT Adj Read]]="N/A",Table1[[#This Row],[Std Adj Read]]="N/A"),"N/A",IF(Table1[[#This Row],[DUT Adj Read]]="N/A",IF(Table1[[#This Row],[Std Adj Read]]&gt;=Table1[[#This Row],[Low Tol]],"Pass","Fail"),IF(Table1[[#This Row],[DUT Adj Read]]&gt;=Table1[[#This Row],[Low Tol]],"Pass","Fail")))</f>
        <v>Pass</v>
      </c>
      <c r="AG2634" s="1" t="str">
        <f>IF(AND(Table1[[#This Row],[Spec Type2]]="N/A",Table1[[#This Row],[DUT Adj Read]]="N/A",Table1[[#This Row],[Std Adj Read]]="N/A"),"N/A",IF(Table1[[#This Row],[DUT Adj Read]]="N/A",IF(Table1[[#This Row],[Std Adj Read]]&lt;=Table1[[#This Row],[High Tol]],"Pass","Fail"),IF(Table1[[#This Row],[DUT Adj Read]]&lt;=Table1[[#This Row],[High Tol]],"Pass","Fail")))</f>
        <v>Fail</v>
      </c>
      <c r="AH26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4" s="1" t="b">
        <v>0</v>
      </c>
      <c r="AN2634" s="1" t="b">
        <v>0</v>
      </c>
      <c r="AO2634" s="1" t="b">
        <v>0</v>
      </c>
    </row>
    <row r="2635" spans="1:41" x14ac:dyDescent="0.25">
      <c r="A2635" s="10"/>
      <c r="B2635" s="10"/>
      <c r="C2635" s="10"/>
      <c r="D2635" s="10"/>
      <c r="E2635" s="10"/>
      <c r="F2635" s="10"/>
      <c r="G2635" s="10"/>
      <c r="H2635" s="10"/>
      <c r="I2635" s="1" t="str">
        <f t="shared" ref="I2635:I2698" si="123">IF($I$10="","",$I$10)</f>
        <v/>
      </c>
      <c r="J2635" s="1" t="s">
        <v>35</v>
      </c>
      <c r="K2635" s="1" t="str">
        <f t="shared" ref="K2635:K2698" si="124">IF($K$10="","",$K$10)</f>
        <v/>
      </c>
      <c r="L2635" s="1" t="str">
        <f t="shared" ref="L2635:L2698" si="125">IF($L$10="","",$L$10)</f>
        <v/>
      </c>
      <c r="M2635" s="1">
        <f>IF(OR(Table1[[#This Row],[Std Nom]]="",Table1[[#This Row],[Std Read]]=""),0,Table1[[#This Row],[Std Nom]]-Table1[[#This Row],[Std Read]])</f>
        <v>0</v>
      </c>
      <c r="N2635" s="1">
        <f>IF(Calculations!$F$5="ACCREDITED 17025 WITH UNCERTAINTIES",$N$10,0)</f>
        <v>0</v>
      </c>
      <c r="O2635" s="1" t="str">
        <f>IFERROR(Table1[[#This Row],[Std Nom]]-(_xlfn.XLOOKUP(Table1[[#This Row],[Manufacturer]]&amp;" "&amp;Table1[[#This Row],[Model]],Table13[MFR &amp; MDL],Table13[Tolerance % CW ],"")/100*Table1[[#This Row],[Std Nom]]),"")</f>
        <v/>
      </c>
      <c r="P2635" s="1" t="str">
        <f>IFERROR(Table1[[#This Row],[Std Nom]]+(_xlfn.XLOOKUP(Table1[[#This Row],[Manufacturer]]&amp;" "&amp;Table1[[#This Row],[Model]],Table13[MFR &amp; MDL],Table13[Tolerance % CW ],"")/100*Table1[[#This Row],[Std Nom]]),"")</f>
        <v/>
      </c>
      <c r="Q2635" s="1" t="e">
        <f>Table1[[#This Row],[High Tol]]-Table1[[#This Row],[Low Tol]]</f>
        <v>#VALUE!</v>
      </c>
      <c r="R2635" s="1">
        <f>2*Table1[[#This Row],[Std Error]]</f>
        <v>0</v>
      </c>
      <c r="S2635" s="1" t="str">
        <f>IF(Table1[[#This Row],[High Tol]]="","N/A",IFERROR(ABS(Table1[[#This Row],[Tol Span]]/Table1[[#This Row],[Error Span]]),"N/A"))</f>
        <v>N/A</v>
      </c>
      <c r="T2635" s="1" t="str">
        <f>IF(OR(Table1[[#This Row],[Low Tol]]="",Table1[[#This Row],[High Tol]]=""),"Needs Analysis",IF(Table1[[#This Row],[Ratio]]&gt;=4,"Not Significant",IF(Table1[[#This Row],[Ratio]]&gt;=2,"Semi-Significant","Significant")))</f>
        <v>Needs Analysis</v>
      </c>
      <c r="W2635" s="1">
        <f>IF(Table1[[#This Row],[Cal Type]]&lt;&gt;"ACCREDITED 17025 WITH UNCERTAINTIES",0,"")</f>
        <v>0</v>
      </c>
      <c r="X2635" s="1" t="str">
        <f>IF(Table1[[#This Row],[DUT Read]]="","N/A",Table1[[#This Row],[Std Error]]+Table1[[#This Row],[DUT Read]]+Table1[[#This Row],[DUT Ucty]])</f>
        <v>N/A</v>
      </c>
      <c r="Y2635" s="1" t="str">
        <f>IF(Table1[[#This Row],[Std Read]]="","N/A",Table1[[#This Row],[Std Read]]+Table1[[#This Row],[Std Ucty]])</f>
        <v>N/A</v>
      </c>
      <c r="Z26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5" s="1" t="str">
        <f>IF(Table1[[#This Row],[Spec Type]]="","N/A",Table1[[#This Row],[Spec Type]])</f>
        <v>±</v>
      </c>
      <c r="AC2635" s="1" t="str">
        <f>IF(Table1[[#This Row],[Spec Type2]]="N/A","N/A",IF(AND(Table1[[#This Row],[DUT Adj Read]]&gt;=Table1[[#This Row],[Low Tol]],Table1[[#This Row],[DUT Adj Read]]&lt;=Table1[[#This Row],[High Tol]]),"Pass","Fail"))</f>
        <v>Fail</v>
      </c>
      <c r="AD2635" s="1" t="str">
        <f>IF(AND(Table1[[#This Row],[Spec Type2]]="N/A",Table1[[#This Row],[DUT Adj Read]]="N/A",Table1[[#This Row],[Std Adj Read]]="N/A"),"N/A",IF(Table1[[#This Row],[DUT Adj Read]]="N/A",IF(Table1[[#This Row],[Std Adj Read]]&gt;Table1[[#This Row],[Low Tol]],"Pass","Fail"),IF(Table1[[#This Row],[DUT Adj Read]]&gt;Table1[[#This Row],[Low Tol]],"Pass","Fail")))</f>
        <v>Pass</v>
      </c>
      <c r="AE2635" s="1" t="str">
        <f>IF(AND(Table1[[#This Row],[Spec Type2]]="N/A",Table1[[#This Row],[DUT Adj Read]]="N/A",Table1[[#This Row],[Std Adj Read]]="N/A"),"N/A",IF(Table1[[#This Row],[DUT Adj Read]]="N/A",IF(Table1[[#This Row],[Std Adj Read]]&lt;Table1[[#This Row],[High Tol]],"Pass","Fail"),IF(Table1[[#This Row],[DUT Adj Read]]&lt;Table1[[#This Row],[High Tol]],"Pass","Fail")))</f>
        <v>Fail</v>
      </c>
      <c r="AF2635" s="1" t="str">
        <f>IF(AND(Table1[[#This Row],[Spec Type2]]="N/A",Table1[[#This Row],[DUT Adj Read]]="N/A",Table1[[#This Row],[Std Adj Read]]="N/A"),"N/A",IF(Table1[[#This Row],[DUT Adj Read]]="N/A",IF(Table1[[#This Row],[Std Adj Read]]&gt;=Table1[[#This Row],[Low Tol]],"Pass","Fail"),IF(Table1[[#This Row],[DUT Adj Read]]&gt;=Table1[[#This Row],[Low Tol]],"Pass","Fail")))</f>
        <v>Pass</v>
      </c>
      <c r="AG2635" s="1" t="str">
        <f>IF(AND(Table1[[#This Row],[Spec Type2]]="N/A",Table1[[#This Row],[DUT Adj Read]]="N/A",Table1[[#This Row],[Std Adj Read]]="N/A"),"N/A",IF(Table1[[#This Row],[DUT Adj Read]]="N/A",IF(Table1[[#This Row],[Std Adj Read]]&lt;=Table1[[#This Row],[High Tol]],"Pass","Fail"),IF(Table1[[#This Row],[DUT Adj Read]]&lt;=Table1[[#This Row],[High Tol]],"Pass","Fail")))</f>
        <v>Fail</v>
      </c>
      <c r="AH26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5" s="1" t="b">
        <v>0</v>
      </c>
      <c r="AN2635" s="1" t="b">
        <v>0</v>
      </c>
      <c r="AO2635" s="1" t="b">
        <v>0</v>
      </c>
    </row>
    <row r="2636" spans="1:41" x14ac:dyDescent="0.25">
      <c r="A2636" s="10"/>
      <c r="B2636" s="10"/>
      <c r="C2636" s="10"/>
      <c r="D2636" s="10"/>
      <c r="E2636" s="10"/>
      <c r="F2636" s="10"/>
      <c r="G2636" s="10"/>
      <c r="H2636" s="10"/>
      <c r="I2636" s="1" t="str">
        <f t="shared" si="123"/>
        <v/>
      </c>
      <c r="J2636" s="1" t="s">
        <v>35</v>
      </c>
      <c r="K2636" s="1" t="str">
        <f t="shared" si="124"/>
        <v/>
      </c>
      <c r="L2636" s="1" t="str">
        <f t="shared" si="125"/>
        <v/>
      </c>
      <c r="M2636" s="1">
        <f>IF(OR(Table1[[#This Row],[Std Nom]]="",Table1[[#This Row],[Std Read]]=""),0,Table1[[#This Row],[Std Nom]]-Table1[[#This Row],[Std Read]])</f>
        <v>0</v>
      </c>
      <c r="N2636" s="1">
        <f>IF(Calculations!$F$5="ACCREDITED 17025 WITH UNCERTAINTIES",$N$10,0)</f>
        <v>0</v>
      </c>
      <c r="O2636" s="1" t="str">
        <f>IFERROR(Table1[[#This Row],[Std Nom]]-(_xlfn.XLOOKUP(Table1[[#This Row],[Manufacturer]]&amp;" "&amp;Table1[[#This Row],[Model]],Table13[MFR &amp; MDL],Table13[Tolerance % CW ],"")/100*Table1[[#This Row],[Std Nom]]),"")</f>
        <v/>
      </c>
      <c r="P2636" s="1" t="str">
        <f>IFERROR(Table1[[#This Row],[Std Nom]]+(_xlfn.XLOOKUP(Table1[[#This Row],[Manufacturer]]&amp;" "&amp;Table1[[#This Row],[Model]],Table13[MFR &amp; MDL],Table13[Tolerance % CW ],"")/100*Table1[[#This Row],[Std Nom]]),"")</f>
        <v/>
      </c>
      <c r="Q2636" s="1" t="e">
        <f>Table1[[#This Row],[High Tol]]-Table1[[#This Row],[Low Tol]]</f>
        <v>#VALUE!</v>
      </c>
      <c r="R2636" s="1">
        <f>2*Table1[[#This Row],[Std Error]]</f>
        <v>0</v>
      </c>
      <c r="S2636" s="1" t="str">
        <f>IF(Table1[[#This Row],[High Tol]]="","N/A",IFERROR(ABS(Table1[[#This Row],[Tol Span]]/Table1[[#This Row],[Error Span]]),"N/A"))</f>
        <v>N/A</v>
      </c>
      <c r="T2636" s="1" t="str">
        <f>IF(OR(Table1[[#This Row],[Low Tol]]="",Table1[[#This Row],[High Tol]]=""),"Needs Analysis",IF(Table1[[#This Row],[Ratio]]&gt;=4,"Not Significant",IF(Table1[[#This Row],[Ratio]]&gt;=2,"Semi-Significant","Significant")))</f>
        <v>Needs Analysis</v>
      </c>
      <c r="W2636" s="1">
        <f>IF(Table1[[#This Row],[Cal Type]]&lt;&gt;"ACCREDITED 17025 WITH UNCERTAINTIES",0,"")</f>
        <v>0</v>
      </c>
      <c r="X2636" s="1" t="str">
        <f>IF(Table1[[#This Row],[DUT Read]]="","N/A",Table1[[#This Row],[Std Error]]+Table1[[#This Row],[DUT Read]]+Table1[[#This Row],[DUT Ucty]])</f>
        <v>N/A</v>
      </c>
      <c r="Y2636" s="1" t="str">
        <f>IF(Table1[[#This Row],[Std Read]]="","N/A",Table1[[#This Row],[Std Read]]+Table1[[#This Row],[Std Ucty]])</f>
        <v>N/A</v>
      </c>
      <c r="Z26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6" s="1" t="str">
        <f>IF(Table1[[#This Row],[Spec Type]]="","N/A",Table1[[#This Row],[Spec Type]])</f>
        <v>±</v>
      </c>
      <c r="AC2636" s="1" t="str">
        <f>IF(Table1[[#This Row],[Spec Type2]]="N/A","N/A",IF(AND(Table1[[#This Row],[DUT Adj Read]]&gt;=Table1[[#This Row],[Low Tol]],Table1[[#This Row],[DUT Adj Read]]&lt;=Table1[[#This Row],[High Tol]]),"Pass","Fail"))</f>
        <v>Fail</v>
      </c>
      <c r="AD2636" s="1" t="str">
        <f>IF(AND(Table1[[#This Row],[Spec Type2]]="N/A",Table1[[#This Row],[DUT Adj Read]]="N/A",Table1[[#This Row],[Std Adj Read]]="N/A"),"N/A",IF(Table1[[#This Row],[DUT Adj Read]]="N/A",IF(Table1[[#This Row],[Std Adj Read]]&gt;Table1[[#This Row],[Low Tol]],"Pass","Fail"),IF(Table1[[#This Row],[DUT Adj Read]]&gt;Table1[[#This Row],[Low Tol]],"Pass","Fail")))</f>
        <v>Pass</v>
      </c>
      <c r="AE2636" s="1" t="str">
        <f>IF(AND(Table1[[#This Row],[Spec Type2]]="N/A",Table1[[#This Row],[DUT Adj Read]]="N/A",Table1[[#This Row],[Std Adj Read]]="N/A"),"N/A",IF(Table1[[#This Row],[DUT Adj Read]]="N/A",IF(Table1[[#This Row],[Std Adj Read]]&lt;Table1[[#This Row],[High Tol]],"Pass","Fail"),IF(Table1[[#This Row],[DUT Adj Read]]&lt;Table1[[#This Row],[High Tol]],"Pass","Fail")))</f>
        <v>Fail</v>
      </c>
      <c r="AF2636" s="1" t="str">
        <f>IF(AND(Table1[[#This Row],[Spec Type2]]="N/A",Table1[[#This Row],[DUT Adj Read]]="N/A",Table1[[#This Row],[Std Adj Read]]="N/A"),"N/A",IF(Table1[[#This Row],[DUT Adj Read]]="N/A",IF(Table1[[#This Row],[Std Adj Read]]&gt;=Table1[[#This Row],[Low Tol]],"Pass","Fail"),IF(Table1[[#This Row],[DUT Adj Read]]&gt;=Table1[[#This Row],[Low Tol]],"Pass","Fail")))</f>
        <v>Pass</v>
      </c>
      <c r="AG2636" s="1" t="str">
        <f>IF(AND(Table1[[#This Row],[Spec Type2]]="N/A",Table1[[#This Row],[DUT Adj Read]]="N/A",Table1[[#This Row],[Std Adj Read]]="N/A"),"N/A",IF(Table1[[#This Row],[DUT Adj Read]]="N/A",IF(Table1[[#This Row],[Std Adj Read]]&lt;=Table1[[#This Row],[High Tol]],"Pass","Fail"),IF(Table1[[#This Row],[DUT Adj Read]]&lt;=Table1[[#This Row],[High Tol]],"Pass","Fail")))</f>
        <v>Fail</v>
      </c>
      <c r="AH26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6" s="1" t="b">
        <v>0</v>
      </c>
      <c r="AN2636" s="1" t="b">
        <v>0</v>
      </c>
      <c r="AO2636" s="1" t="b">
        <v>0</v>
      </c>
    </row>
    <row r="2637" spans="1:41" x14ac:dyDescent="0.25">
      <c r="A2637" s="10"/>
      <c r="B2637" s="10"/>
      <c r="C2637" s="10"/>
      <c r="D2637" s="10"/>
      <c r="E2637" s="10"/>
      <c r="F2637" s="10"/>
      <c r="G2637" s="10"/>
      <c r="H2637" s="10"/>
      <c r="I2637" s="1" t="str">
        <f t="shared" si="123"/>
        <v/>
      </c>
      <c r="J2637" s="1" t="s">
        <v>35</v>
      </c>
      <c r="K2637" s="1" t="str">
        <f t="shared" si="124"/>
        <v/>
      </c>
      <c r="L2637" s="1" t="str">
        <f t="shared" si="125"/>
        <v/>
      </c>
      <c r="M2637" s="1">
        <f>IF(OR(Table1[[#This Row],[Std Nom]]="",Table1[[#This Row],[Std Read]]=""),0,Table1[[#This Row],[Std Nom]]-Table1[[#This Row],[Std Read]])</f>
        <v>0</v>
      </c>
      <c r="N2637" s="1">
        <f>IF(Calculations!$F$5="ACCREDITED 17025 WITH UNCERTAINTIES",$N$10,0)</f>
        <v>0</v>
      </c>
      <c r="O2637" s="1" t="str">
        <f>IFERROR(Table1[[#This Row],[Std Nom]]-(_xlfn.XLOOKUP(Table1[[#This Row],[Manufacturer]]&amp;" "&amp;Table1[[#This Row],[Model]],Table13[MFR &amp; MDL],Table13[Tolerance % CW ],"")/100*Table1[[#This Row],[Std Nom]]),"")</f>
        <v/>
      </c>
      <c r="P2637" s="1" t="str">
        <f>IFERROR(Table1[[#This Row],[Std Nom]]+(_xlfn.XLOOKUP(Table1[[#This Row],[Manufacturer]]&amp;" "&amp;Table1[[#This Row],[Model]],Table13[MFR &amp; MDL],Table13[Tolerance % CW ],"")/100*Table1[[#This Row],[Std Nom]]),"")</f>
        <v/>
      </c>
      <c r="Q2637" s="1" t="e">
        <f>Table1[[#This Row],[High Tol]]-Table1[[#This Row],[Low Tol]]</f>
        <v>#VALUE!</v>
      </c>
      <c r="R2637" s="1">
        <f>2*Table1[[#This Row],[Std Error]]</f>
        <v>0</v>
      </c>
      <c r="S2637" s="1" t="str">
        <f>IF(Table1[[#This Row],[High Tol]]="","N/A",IFERROR(ABS(Table1[[#This Row],[Tol Span]]/Table1[[#This Row],[Error Span]]),"N/A"))</f>
        <v>N/A</v>
      </c>
      <c r="T2637" s="1" t="str">
        <f>IF(OR(Table1[[#This Row],[Low Tol]]="",Table1[[#This Row],[High Tol]]=""),"Needs Analysis",IF(Table1[[#This Row],[Ratio]]&gt;=4,"Not Significant",IF(Table1[[#This Row],[Ratio]]&gt;=2,"Semi-Significant","Significant")))</f>
        <v>Needs Analysis</v>
      </c>
      <c r="W2637" s="1">
        <f>IF(Table1[[#This Row],[Cal Type]]&lt;&gt;"ACCREDITED 17025 WITH UNCERTAINTIES",0,"")</f>
        <v>0</v>
      </c>
      <c r="X2637" s="1" t="str">
        <f>IF(Table1[[#This Row],[DUT Read]]="","N/A",Table1[[#This Row],[Std Error]]+Table1[[#This Row],[DUT Read]]+Table1[[#This Row],[DUT Ucty]])</f>
        <v>N/A</v>
      </c>
      <c r="Y2637" s="1" t="str">
        <f>IF(Table1[[#This Row],[Std Read]]="","N/A",Table1[[#This Row],[Std Read]]+Table1[[#This Row],[Std Ucty]])</f>
        <v>N/A</v>
      </c>
      <c r="Z26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7" s="1" t="str">
        <f>IF(Table1[[#This Row],[Spec Type]]="","N/A",Table1[[#This Row],[Spec Type]])</f>
        <v>±</v>
      </c>
      <c r="AC2637" s="1" t="str">
        <f>IF(Table1[[#This Row],[Spec Type2]]="N/A","N/A",IF(AND(Table1[[#This Row],[DUT Adj Read]]&gt;=Table1[[#This Row],[Low Tol]],Table1[[#This Row],[DUT Adj Read]]&lt;=Table1[[#This Row],[High Tol]]),"Pass","Fail"))</f>
        <v>Fail</v>
      </c>
      <c r="AD2637" s="1" t="str">
        <f>IF(AND(Table1[[#This Row],[Spec Type2]]="N/A",Table1[[#This Row],[DUT Adj Read]]="N/A",Table1[[#This Row],[Std Adj Read]]="N/A"),"N/A",IF(Table1[[#This Row],[DUT Adj Read]]="N/A",IF(Table1[[#This Row],[Std Adj Read]]&gt;Table1[[#This Row],[Low Tol]],"Pass","Fail"),IF(Table1[[#This Row],[DUT Adj Read]]&gt;Table1[[#This Row],[Low Tol]],"Pass","Fail")))</f>
        <v>Pass</v>
      </c>
      <c r="AE2637" s="1" t="str">
        <f>IF(AND(Table1[[#This Row],[Spec Type2]]="N/A",Table1[[#This Row],[DUT Adj Read]]="N/A",Table1[[#This Row],[Std Adj Read]]="N/A"),"N/A",IF(Table1[[#This Row],[DUT Adj Read]]="N/A",IF(Table1[[#This Row],[Std Adj Read]]&lt;Table1[[#This Row],[High Tol]],"Pass","Fail"),IF(Table1[[#This Row],[DUT Adj Read]]&lt;Table1[[#This Row],[High Tol]],"Pass","Fail")))</f>
        <v>Fail</v>
      </c>
      <c r="AF2637" s="1" t="str">
        <f>IF(AND(Table1[[#This Row],[Spec Type2]]="N/A",Table1[[#This Row],[DUT Adj Read]]="N/A",Table1[[#This Row],[Std Adj Read]]="N/A"),"N/A",IF(Table1[[#This Row],[DUT Adj Read]]="N/A",IF(Table1[[#This Row],[Std Adj Read]]&gt;=Table1[[#This Row],[Low Tol]],"Pass","Fail"),IF(Table1[[#This Row],[DUT Adj Read]]&gt;=Table1[[#This Row],[Low Tol]],"Pass","Fail")))</f>
        <v>Pass</v>
      </c>
      <c r="AG2637" s="1" t="str">
        <f>IF(AND(Table1[[#This Row],[Spec Type2]]="N/A",Table1[[#This Row],[DUT Adj Read]]="N/A",Table1[[#This Row],[Std Adj Read]]="N/A"),"N/A",IF(Table1[[#This Row],[DUT Adj Read]]="N/A",IF(Table1[[#This Row],[Std Adj Read]]&lt;=Table1[[#This Row],[High Tol]],"Pass","Fail"),IF(Table1[[#This Row],[DUT Adj Read]]&lt;=Table1[[#This Row],[High Tol]],"Pass","Fail")))</f>
        <v>Fail</v>
      </c>
      <c r="AH26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7" s="1" t="b">
        <v>0</v>
      </c>
      <c r="AN2637" s="1" t="b">
        <v>0</v>
      </c>
      <c r="AO2637" s="1" t="b">
        <v>0</v>
      </c>
    </row>
    <row r="2638" spans="1:41" x14ac:dyDescent="0.25">
      <c r="A2638" s="10"/>
      <c r="B2638" s="10"/>
      <c r="C2638" s="10"/>
      <c r="D2638" s="10"/>
      <c r="E2638" s="10"/>
      <c r="F2638" s="10"/>
      <c r="G2638" s="10"/>
      <c r="H2638" s="10"/>
      <c r="I2638" s="1" t="str">
        <f t="shared" si="123"/>
        <v/>
      </c>
      <c r="J2638" s="1" t="s">
        <v>35</v>
      </c>
      <c r="K2638" s="1" t="str">
        <f t="shared" si="124"/>
        <v/>
      </c>
      <c r="L2638" s="1" t="str">
        <f t="shared" si="125"/>
        <v/>
      </c>
      <c r="M2638" s="1">
        <f>IF(OR(Table1[[#This Row],[Std Nom]]="",Table1[[#This Row],[Std Read]]=""),0,Table1[[#This Row],[Std Nom]]-Table1[[#This Row],[Std Read]])</f>
        <v>0</v>
      </c>
      <c r="N2638" s="1">
        <f>IF(Calculations!$F$5="ACCREDITED 17025 WITH UNCERTAINTIES",$N$10,0)</f>
        <v>0</v>
      </c>
      <c r="O2638" s="1" t="str">
        <f>IFERROR(Table1[[#This Row],[Std Nom]]-(_xlfn.XLOOKUP(Table1[[#This Row],[Manufacturer]]&amp;" "&amp;Table1[[#This Row],[Model]],Table13[MFR &amp; MDL],Table13[Tolerance % CW ],"")/100*Table1[[#This Row],[Std Nom]]),"")</f>
        <v/>
      </c>
      <c r="P2638" s="1" t="str">
        <f>IFERROR(Table1[[#This Row],[Std Nom]]+(_xlfn.XLOOKUP(Table1[[#This Row],[Manufacturer]]&amp;" "&amp;Table1[[#This Row],[Model]],Table13[MFR &amp; MDL],Table13[Tolerance % CW ],"")/100*Table1[[#This Row],[Std Nom]]),"")</f>
        <v/>
      </c>
      <c r="Q2638" s="1" t="e">
        <f>Table1[[#This Row],[High Tol]]-Table1[[#This Row],[Low Tol]]</f>
        <v>#VALUE!</v>
      </c>
      <c r="R2638" s="1">
        <f>2*Table1[[#This Row],[Std Error]]</f>
        <v>0</v>
      </c>
      <c r="S2638" s="1" t="str">
        <f>IF(Table1[[#This Row],[High Tol]]="","N/A",IFERROR(ABS(Table1[[#This Row],[Tol Span]]/Table1[[#This Row],[Error Span]]),"N/A"))</f>
        <v>N/A</v>
      </c>
      <c r="T2638" s="1" t="str">
        <f>IF(OR(Table1[[#This Row],[Low Tol]]="",Table1[[#This Row],[High Tol]]=""),"Needs Analysis",IF(Table1[[#This Row],[Ratio]]&gt;=4,"Not Significant",IF(Table1[[#This Row],[Ratio]]&gt;=2,"Semi-Significant","Significant")))</f>
        <v>Needs Analysis</v>
      </c>
      <c r="W2638" s="1">
        <f>IF(Table1[[#This Row],[Cal Type]]&lt;&gt;"ACCREDITED 17025 WITH UNCERTAINTIES",0,"")</f>
        <v>0</v>
      </c>
      <c r="X2638" s="1" t="str">
        <f>IF(Table1[[#This Row],[DUT Read]]="","N/A",Table1[[#This Row],[Std Error]]+Table1[[#This Row],[DUT Read]]+Table1[[#This Row],[DUT Ucty]])</f>
        <v>N/A</v>
      </c>
      <c r="Y2638" s="1" t="str">
        <f>IF(Table1[[#This Row],[Std Read]]="","N/A",Table1[[#This Row],[Std Read]]+Table1[[#This Row],[Std Ucty]])</f>
        <v>N/A</v>
      </c>
      <c r="Z26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8" s="1" t="str">
        <f>IF(Table1[[#This Row],[Spec Type]]="","N/A",Table1[[#This Row],[Spec Type]])</f>
        <v>±</v>
      </c>
      <c r="AC2638" s="1" t="str">
        <f>IF(Table1[[#This Row],[Spec Type2]]="N/A","N/A",IF(AND(Table1[[#This Row],[DUT Adj Read]]&gt;=Table1[[#This Row],[Low Tol]],Table1[[#This Row],[DUT Adj Read]]&lt;=Table1[[#This Row],[High Tol]]),"Pass","Fail"))</f>
        <v>Fail</v>
      </c>
      <c r="AD2638" s="1" t="str">
        <f>IF(AND(Table1[[#This Row],[Spec Type2]]="N/A",Table1[[#This Row],[DUT Adj Read]]="N/A",Table1[[#This Row],[Std Adj Read]]="N/A"),"N/A",IF(Table1[[#This Row],[DUT Adj Read]]="N/A",IF(Table1[[#This Row],[Std Adj Read]]&gt;Table1[[#This Row],[Low Tol]],"Pass","Fail"),IF(Table1[[#This Row],[DUT Adj Read]]&gt;Table1[[#This Row],[Low Tol]],"Pass","Fail")))</f>
        <v>Pass</v>
      </c>
      <c r="AE2638" s="1" t="str">
        <f>IF(AND(Table1[[#This Row],[Spec Type2]]="N/A",Table1[[#This Row],[DUT Adj Read]]="N/A",Table1[[#This Row],[Std Adj Read]]="N/A"),"N/A",IF(Table1[[#This Row],[DUT Adj Read]]="N/A",IF(Table1[[#This Row],[Std Adj Read]]&lt;Table1[[#This Row],[High Tol]],"Pass","Fail"),IF(Table1[[#This Row],[DUT Adj Read]]&lt;Table1[[#This Row],[High Tol]],"Pass","Fail")))</f>
        <v>Fail</v>
      </c>
      <c r="AF2638" s="1" t="str">
        <f>IF(AND(Table1[[#This Row],[Spec Type2]]="N/A",Table1[[#This Row],[DUT Adj Read]]="N/A",Table1[[#This Row],[Std Adj Read]]="N/A"),"N/A",IF(Table1[[#This Row],[DUT Adj Read]]="N/A",IF(Table1[[#This Row],[Std Adj Read]]&gt;=Table1[[#This Row],[Low Tol]],"Pass","Fail"),IF(Table1[[#This Row],[DUT Adj Read]]&gt;=Table1[[#This Row],[Low Tol]],"Pass","Fail")))</f>
        <v>Pass</v>
      </c>
      <c r="AG2638" s="1" t="str">
        <f>IF(AND(Table1[[#This Row],[Spec Type2]]="N/A",Table1[[#This Row],[DUT Adj Read]]="N/A",Table1[[#This Row],[Std Adj Read]]="N/A"),"N/A",IF(Table1[[#This Row],[DUT Adj Read]]="N/A",IF(Table1[[#This Row],[Std Adj Read]]&lt;=Table1[[#This Row],[High Tol]],"Pass","Fail"),IF(Table1[[#This Row],[DUT Adj Read]]&lt;=Table1[[#This Row],[High Tol]],"Pass","Fail")))</f>
        <v>Fail</v>
      </c>
      <c r="AH26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8" s="1" t="b">
        <v>0</v>
      </c>
      <c r="AN2638" s="1" t="b">
        <v>0</v>
      </c>
      <c r="AO2638" s="1" t="b">
        <v>0</v>
      </c>
    </row>
    <row r="2639" spans="1:41" x14ac:dyDescent="0.25">
      <c r="A2639" s="10"/>
      <c r="B2639" s="10"/>
      <c r="C2639" s="10"/>
      <c r="D2639" s="10"/>
      <c r="E2639" s="10"/>
      <c r="F2639" s="10"/>
      <c r="G2639" s="10"/>
      <c r="H2639" s="10"/>
      <c r="I2639" s="1" t="str">
        <f t="shared" si="123"/>
        <v/>
      </c>
      <c r="J2639" s="1" t="s">
        <v>35</v>
      </c>
      <c r="K2639" s="1" t="str">
        <f t="shared" si="124"/>
        <v/>
      </c>
      <c r="L2639" s="1" t="str">
        <f t="shared" si="125"/>
        <v/>
      </c>
      <c r="M2639" s="1">
        <f>IF(OR(Table1[[#This Row],[Std Nom]]="",Table1[[#This Row],[Std Read]]=""),0,Table1[[#This Row],[Std Nom]]-Table1[[#This Row],[Std Read]])</f>
        <v>0</v>
      </c>
      <c r="N2639" s="1">
        <f>IF(Calculations!$F$5="ACCREDITED 17025 WITH UNCERTAINTIES",$N$10,0)</f>
        <v>0</v>
      </c>
      <c r="O2639" s="1" t="str">
        <f>IFERROR(Table1[[#This Row],[Std Nom]]-(_xlfn.XLOOKUP(Table1[[#This Row],[Manufacturer]]&amp;" "&amp;Table1[[#This Row],[Model]],Table13[MFR &amp; MDL],Table13[Tolerance % CW ],"")/100*Table1[[#This Row],[Std Nom]]),"")</f>
        <v/>
      </c>
      <c r="P2639" s="1" t="str">
        <f>IFERROR(Table1[[#This Row],[Std Nom]]+(_xlfn.XLOOKUP(Table1[[#This Row],[Manufacturer]]&amp;" "&amp;Table1[[#This Row],[Model]],Table13[MFR &amp; MDL],Table13[Tolerance % CW ],"")/100*Table1[[#This Row],[Std Nom]]),"")</f>
        <v/>
      </c>
      <c r="Q2639" s="1" t="e">
        <f>Table1[[#This Row],[High Tol]]-Table1[[#This Row],[Low Tol]]</f>
        <v>#VALUE!</v>
      </c>
      <c r="R2639" s="1">
        <f>2*Table1[[#This Row],[Std Error]]</f>
        <v>0</v>
      </c>
      <c r="S2639" s="1" t="str">
        <f>IF(Table1[[#This Row],[High Tol]]="","N/A",IFERROR(ABS(Table1[[#This Row],[Tol Span]]/Table1[[#This Row],[Error Span]]),"N/A"))</f>
        <v>N/A</v>
      </c>
      <c r="T2639" s="1" t="str">
        <f>IF(OR(Table1[[#This Row],[Low Tol]]="",Table1[[#This Row],[High Tol]]=""),"Needs Analysis",IF(Table1[[#This Row],[Ratio]]&gt;=4,"Not Significant",IF(Table1[[#This Row],[Ratio]]&gt;=2,"Semi-Significant","Significant")))</f>
        <v>Needs Analysis</v>
      </c>
      <c r="W2639" s="1">
        <f>IF(Table1[[#This Row],[Cal Type]]&lt;&gt;"ACCREDITED 17025 WITH UNCERTAINTIES",0,"")</f>
        <v>0</v>
      </c>
      <c r="X2639" s="1" t="str">
        <f>IF(Table1[[#This Row],[DUT Read]]="","N/A",Table1[[#This Row],[Std Error]]+Table1[[#This Row],[DUT Read]]+Table1[[#This Row],[DUT Ucty]])</f>
        <v>N/A</v>
      </c>
      <c r="Y2639" s="1" t="str">
        <f>IF(Table1[[#This Row],[Std Read]]="","N/A",Table1[[#This Row],[Std Read]]+Table1[[#This Row],[Std Ucty]])</f>
        <v>N/A</v>
      </c>
      <c r="Z26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9" s="1" t="str">
        <f>IF(Table1[[#This Row],[Spec Type]]="","N/A",Table1[[#This Row],[Spec Type]])</f>
        <v>±</v>
      </c>
      <c r="AC2639" s="1" t="str">
        <f>IF(Table1[[#This Row],[Spec Type2]]="N/A","N/A",IF(AND(Table1[[#This Row],[DUT Adj Read]]&gt;=Table1[[#This Row],[Low Tol]],Table1[[#This Row],[DUT Adj Read]]&lt;=Table1[[#This Row],[High Tol]]),"Pass","Fail"))</f>
        <v>Fail</v>
      </c>
      <c r="AD2639" s="1" t="str">
        <f>IF(AND(Table1[[#This Row],[Spec Type2]]="N/A",Table1[[#This Row],[DUT Adj Read]]="N/A",Table1[[#This Row],[Std Adj Read]]="N/A"),"N/A",IF(Table1[[#This Row],[DUT Adj Read]]="N/A",IF(Table1[[#This Row],[Std Adj Read]]&gt;Table1[[#This Row],[Low Tol]],"Pass","Fail"),IF(Table1[[#This Row],[DUT Adj Read]]&gt;Table1[[#This Row],[Low Tol]],"Pass","Fail")))</f>
        <v>Pass</v>
      </c>
      <c r="AE2639" s="1" t="str">
        <f>IF(AND(Table1[[#This Row],[Spec Type2]]="N/A",Table1[[#This Row],[DUT Adj Read]]="N/A",Table1[[#This Row],[Std Adj Read]]="N/A"),"N/A",IF(Table1[[#This Row],[DUT Adj Read]]="N/A",IF(Table1[[#This Row],[Std Adj Read]]&lt;Table1[[#This Row],[High Tol]],"Pass","Fail"),IF(Table1[[#This Row],[DUT Adj Read]]&lt;Table1[[#This Row],[High Tol]],"Pass","Fail")))</f>
        <v>Fail</v>
      </c>
      <c r="AF2639" s="1" t="str">
        <f>IF(AND(Table1[[#This Row],[Spec Type2]]="N/A",Table1[[#This Row],[DUT Adj Read]]="N/A",Table1[[#This Row],[Std Adj Read]]="N/A"),"N/A",IF(Table1[[#This Row],[DUT Adj Read]]="N/A",IF(Table1[[#This Row],[Std Adj Read]]&gt;=Table1[[#This Row],[Low Tol]],"Pass","Fail"),IF(Table1[[#This Row],[DUT Adj Read]]&gt;=Table1[[#This Row],[Low Tol]],"Pass","Fail")))</f>
        <v>Pass</v>
      </c>
      <c r="AG2639" s="1" t="str">
        <f>IF(AND(Table1[[#This Row],[Spec Type2]]="N/A",Table1[[#This Row],[DUT Adj Read]]="N/A",Table1[[#This Row],[Std Adj Read]]="N/A"),"N/A",IF(Table1[[#This Row],[DUT Adj Read]]="N/A",IF(Table1[[#This Row],[Std Adj Read]]&lt;=Table1[[#This Row],[High Tol]],"Pass","Fail"),IF(Table1[[#This Row],[DUT Adj Read]]&lt;=Table1[[#This Row],[High Tol]],"Pass","Fail")))</f>
        <v>Fail</v>
      </c>
      <c r="AH26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9" s="1" t="b">
        <v>0</v>
      </c>
      <c r="AN2639" s="1" t="b">
        <v>0</v>
      </c>
      <c r="AO2639" s="1" t="b">
        <v>0</v>
      </c>
    </row>
    <row r="2640" spans="1:41" x14ac:dyDescent="0.25">
      <c r="A2640" s="10"/>
      <c r="B2640" s="10"/>
      <c r="C2640" s="10"/>
      <c r="D2640" s="10"/>
      <c r="E2640" s="10"/>
      <c r="F2640" s="10"/>
      <c r="G2640" s="10"/>
      <c r="H2640" s="10"/>
      <c r="I2640" s="1" t="str">
        <f t="shared" si="123"/>
        <v/>
      </c>
      <c r="J2640" s="1" t="s">
        <v>35</v>
      </c>
      <c r="K2640" s="1" t="str">
        <f t="shared" si="124"/>
        <v/>
      </c>
      <c r="L2640" s="1" t="str">
        <f t="shared" si="125"/>
        <v/>
      </c>
      <c r="M2640" s="1">
        <f>IF(OR(Table1[[#This Row],[Std Nom]]="",Table1[[#This Row],[Std Read]]=""),0,Table1[[#This Row],[Std Nom]]-Table1[[#This Row],[Std Read]])</f>
        <v>0</v>
      </c>
      <c r="N2640" s="1">
        <f>IF(Calculations!$F$5="ACCREDITED 17025 WITH UNCERTAINTIES",$N$10,0)</f>
        <v>0</v>
      </c>
      <c r="O2640" s="1" t="str">
        <f>IFERROR(Table1[[#This Row],[Std Nom]]-(_xlfn.XLOOKUP(Table1[[#This Row],[Manufacturer]]&amp;" "&amp;Table1[[#This Row],[Model]],Table13[MFR &amp; MDL],Table13[Tolerance % CW ],"")/100*Table1[[#This Row],[Std Nom]]),"")</f>
        <v/>
      </c>
      <c r="P2640" s="1" t="str">
        <f>IFERROR(Table1[[#This Row],[Std Nom]]+(_xlfn.XLOOKUP(Table1[[#This Row],[Manufacturer]]&amp;" "&amp;Table1[[#This Row],[Model]],Table13[MFR &amp; MDL],Table13[Tolerance % CW ],"")/100*Table1[[#This Row],[Std Nom]]),"")</f>
        <v/>
      </c>
      <c r="Q2640" s="1" t="e">
        <f>Table1[[#This Row],[High Tol]]-Table1[[#This Row],[Low Tol]]</f>
        <v>#VALUE!</v>
      </c>
      <c r="R2640" s="1">
        <f>2*Table1[[#This Row],[Std Error]]</f>
        <v>0</v>
      </c>
      <c r="S2640" s="1" t="str">
        <f>IF(Table1[[#This Row],[High Tol]]="","N/A",IFERROR(ABS(Table1[[#This Row],[Tol Span]]/Table1[[#This Row],[Error Span]]),"N/A"))</f>
        <v>N/A</v>
      </c>
      <c r="T2640" s="1" t="str">
        <f>IF(OR(Table1[[#This Row],[Low Tol]]="",Table1[[#This Row],[High Tol]]=""),"Needs Analysis",IF(Table1[[#This Row],[Ratio]]&gt;=4,"Not Significant",IF(Table1[[#This Row],[Ratio]]&gt;=2,"Semi-Significant","Significant")))</f>
        <v>Needs Analysis</v>
      </c>
      <c r="W2640" s="1">
        <f>IF(Table1[[#This Row],[Cal Type]]&lt;&gt;"ACCREDITED 17025 WITH UNCERTAINTIES",0,"")</f>
        <v>0</v>
      </c>
      <c r="X2640" s="1" t="str">
        <f>IF(Table1[[#This Row],[DUT Read]]="","N/A",Table1[[#This Row],[Std Error]]+Table1[[#This Row],[DUT Read]]+Table1[[#This Row],[DUT Ucty]])</f>
        <v>N/A</v>
      </c>
      <c r="Y2640" s="1" t="str">
        <f>IF(Table1[[#This Row],[Std Read]]="","N/A",Table1[[#This Row],[Std Read]]+Table1[[#This Row],[Std Ucty]])</f>
        <v>N/A</v>
      </c>
      <c r="Z26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0" s="1" t="str">
        <f>IF(Table1[[#This Row],[Spec Type]]="","N/A",Table1[[#This Row],[Spec Type]])</f>
        <v>±</v>
      </c>
      <c r="AC2640" s="1" t="str">
        <f>IF(Table1[[#This Row],[Spec Type2]]="N/A","N/A",IF(AND(Table1[[#This Row],[DUT Adj Read]]&gt;=Table1[[#This Row],[Low Tol]],Table1[[#This Row],[DUT Adj Read]]&lt;=Table1[[#This Row],[High Tol]]),"Pass","Fail"))</f>
        <v>Fail</v>
      </c>
      <c r="AD2640" s="1" t="str">
        <f>IF(AND(Table1[[#This Row],[Spec Type2]]="N/A",Table1[[#This Row],[DUT Adj Read]]="N/A",Table1[[#This Row],[Std Adj Read]]="N/A"),"N/A",IF(Table1[[#This Row],[DUT Adj Read]]="N/A",IF(Table1[[#This Row],[Std Adj Read]]&gt;Table1[[#This Row],[Low Tol]],"Pass","Fail"),IF(Table1[[#This Row],[DUT Adj Read]]&gt;Table1[[#This Row],[Low Tol]],"Pass","Fail")))</f>
        <v>Pass</v>
      </c>
      <c r="AE2640" s="1" t="str">
        <f>IF(AND(Table1[[#This Row],[Spec Type2]]="N/A",Table1[[#This Row],[DUT Adj Read]]="N/A",Table1[[#This Row],[Std Adj Read]]="N/A"),"N/A",IF(Table1[[#This Row],[DUT Adj Read]]="N/A",IF(Table1[[#This Row],[Std Adj Read]]&lt;Table1[[#This Row],[High Tol]],"Pass","Fail"),IF(Table1[[#This Row],[DUT Adj Read]]&lt;Table1[[#This Row],[High Tol]],"Pass","Fail")))</f>
        <v>Fail</v>
      </c>
      <c r="AF2640" s="1" t="str">
        <f>IF(AND(Table1[[#This Row],[Spec Type2]]="N/A",Table1[[#This Row],[DUT Adj Read]]="N/A",Table1[[#This Row],[Std Adj Read]]="N/A"),"N/A",IF(Table1[[#This Row],[DUT Adj Read]]="N/A",IF(Table1[[#This Row],[Std Adj Read]]&gt;=Table1[[#This Row],[Low Tol]],"Pass","Fail"),IF(Table1[[#This Row],[DUT Adj Read]]&gt;=Table1[[#This Row],[Low Tol]],"Pass","Fail")))</f>
        <v>Pass</v>
      </c>
      <c r="AG2640" s="1" t="str">
        <f>IF(AND(Table1[[#This Row],[Spec Type2]]="N/A",Table1[[#This Row],[DUT Adj Read]]="N/A",Table1[[#This Row],[Std Adj Read]]="N/A"),"N/A",IF(Table1[[#This Row],[DUT Adj Read]]="N/A",IF(Table1[[#This Row],[Std Adj Read]]&lt;=Table1[[#This Row],[High Tol]],"Pass","Fail"),IF(Table1[[#This Row],[DUT Adj Read]]&lt;=Table1[[#This Row],[High Tol]],"Pass","Fail")))</f>
        <v>Fail</v>
      </c>
      <c r="AH26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0" s="1" t="b">
        <v>0</v>
      </c>
      <c r="AN2640" s="1" t="b">
        <v>0</v>
      </c>
      <c r="AO2640" s="1" t="b">
        <v>0</v>
      </c>
    </row>
    <row r="2641" spans="1:41" x14ac:dyDescent="0.25">
      <c r="A2641" s="10"/>
      <c r="B2641" s="10"/>
      <c r="C2641" s="10"/>
      <c r="D2641" s="10"/>
      <c r="E2641" s="10"/>
      <c r="F2641" s="10"/>
      <c r="G2641" s="10"/>
      <c r="H2641" s="10"/>
      <c r="I2641" s="1" t="str">
        <f t="shared" si="123"/>
        <v/>
      </c>
      <c r="J2641" s="1" t="s">
        <v>35</v>
      </c>
      <c r="K2641" s="1" t="str">
        <f t="shared" si="124"/>
        <v/>
      </c>
      <c r="L2641" s="1" t="str">
        <f t="shared" si="125"/>
        <v/>
      </c>
      <c r="M2641" s="1">
        <f>IF(OR(Table1[[#This Row],[Std Nom]]="",Table1[[#This Row],[Std Read]]=""),0,Table1[[#This Row],[Std Nom]]-Table1[[#This Row],[Std Read]])</f>
        <v>0</v>
      </c>
      <c r="N2641" s="1">
        <f>IF(Calculations!$F$5="ACCREDITED 17025 WITH UNCERTAINTIES",$N$10,0)</f>
        <v>0</v>
      </c>
      <c r="O2641" s="1" t="str">
        <f>IFERROR(Table1[[#This Row],[Std Nom]]-(_xlfn.XLOOKUP(Table1[[#This Row],[Manufacturer]]&amp;" "&amp;Table1[[#This Row],[Model]],Table13[MFR &amp; MDL],Table13[Tolerance % CW ],"")/100*Table1[[#This Row],[Std Nom]]),"")</f>
        <v/>
      </c>
      <c r="P2641" s="1" t="str">
        <f>IFERROR(Table1[[#This Row],[Std Nom]]+(_xlfn.XLOOKUP(Table1[[#This Row],[Manufacturer]]&amp;" "&amp;Table1[[#This Row],[Model]],Table13[MFR &amp; MDL],Table13[Tolerance % CW ],"")/100*Table1[[#This Row],[Std Nom]]),"")</f>
        <v/>
      </c>
      <c r="Q2641" s="1" t="e">
        <f>Table1[[#This Row],[High Tol]]-Table1[[#This Row],[Low Tol]]</f>
        <v>#VALUE!</v>
      </c>
      <c r="R2641" s="1">
        <f>2*Table1[[#This Row],[Std Error]]</f>
        <v>0</v>
      </c>
      <c r="S2641" s="1" t="str">
        <f>IF(Table1[[#This Row],[High Tol]]="","N/A",IFERROR(ABS(Table1[[#This Row],[Tol Span]]/Table1[[#This Row],[Error Span]]),"N/A"))</f>
        <v>N/A</v>
      </c>
      <c r="T2641" s="1" t="str">
        <f>IF(OR(Table1[[#This Row],[Low Tol]]="",Table1[[#This Row],[High Tol]]=""),"Needs Analysis",IF(Table1[[#This Row],[Ratio]]&gt;=4,"Not Significant",IF(Table1[[#This Row],[Ratio]]&gt;=2,"Semi-Significant","Significant")))</f>
        <v>Needs Analysis</v>
      </c>
      <c r="W2641" s="1">
        <f>IF(Table1[[#This Row],[Cal Type]]&lt;&gt;"ACCREDITED 17025 WITH UNCERTAINTIES",0,"")</f>
        <v>0</v>
      </c>
      <c r="X2641" s="1" t="str">
        <f>IF(Table1[[#This Row],[DUT Read]]="","N/A",Table1[[#This Row],[Std Error]]+Table1[[#This Row],[DUT Read]]+Table1[[#This Row],[DUT Ucty]])</f>
        <v>N/A</v>
      </c>
      <c r="Y2641" s="1" t="str">
        <f>IF(Table1[[#This Row],[Std Read]]="","N/A",Table1[[#This Row],[Std Read]]+Table1[[#This Row],[Std Ucty]])</f>
        <v>N/A</v>
      </c>
      <c r="Z26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1" s="1" t="str">
        <f>IF(Table1[[#This Row],[Spec Type]]="","N/A",Table1[[#This Row],[Spec Type]])</f>
        <v>±</v>
      </c>
      <c r="AC2641" s="1" t="str">
        <f>IF(Table1[[#This Row],[Spec Type2]]="N/A","N/A",IF(AND(Table1[[#This Row],[DUT Adj Read]]&gt;=Table1[[#This Row],[Low Tol]],Table1[[#This Row],[DUT Adj Read]]&lt;=Table1[[#This Row],[High Tol]]),"Pass","Fail"))</f>
        <v>Fail</v>
      </c>
      <c r="AD2641" s="1" t="str">
        <f>IF(AND(Table1[[#This Row],[Spec Type2]]="N/A",Table1[[#This Row],[DUT Adj Read]]="N/A",Table1[[#This Row],[Std Adj Read]]="N/A"),"N/A",IF(Table1[[#This Row],[DUT Adj Read]]="N/A",IF(Table1[[#This Row],[Std Adj Read]]&gt;Table1[[#This Row],[Low Tol]],"Pass","Fail"),IF(Table1[[#This Row],[DUT Adj Read]]&gt;Table1[[#This Row],[Low Tol]],"Pass","Fail")))</f>
        <v>Pass</v>
      </c>
      <c r="AE2641" s="1" t="str">
        <f>IF(AND(Table1[[#This Row],[Spec Type2]]="N/A",Table1[[#This Row],[DUT Adj Read]]="N/A",Table1[[#This Row],[Std Adj Read]]="N/A"),"N/A",IF(Table1[[#This Row],[DUT Adj Read]]="N/A",IF(Table1[[#This Row],[Std Adj Read]]&lt;Table1[[#This Row],[High Tol]],"Pass","Fail"),IF(Table1[[#This Row],[DUT Adj Read]]&lt;Table1[[#This Row],[High Tol]],"Pass","Fail")))</f>
        <v>Fail</v>
      </c>
      <c r="AF2641" s="1" t="str">
        <f>IF(AND(Table1[[#This Row],[Spec Type2]]="N/A",Table1[[#This Row],[DUT Adj Read]]="N/A",Table1[[#This Row],[Std Adj Read]]="N/A"),"N/A",IF(Table1[[#This Row],[DUT Adj Read]]="N/A",IF(Table1[[#This Row],[Std Adj Read]]&gt;=Table1[[#This Row],[Low Tol]],"Pass","Fail"),IF(Table1[[#This Row],[DUT Adj Read]]&gt;=Table1[[#This Row],[Low Tol]],"Pass","Fail")))</f>
        <v>Pass</v>
      </c>
      <c r="AG2641" s="1" t="str">
        <f>IF(AND(Table1[[#This Row],[Spec Type2]]="N/A",Table1[[#This Row],[DUT Adj Read]]="N/A",Table1[[#This Row],[Std Adj Read]]="N/A"),"N/A",IF(Table1[[#This Row],[DUT Adj Read]]="N/A",IF(Table1[[#This Row],[Std Adj Read]]&lt;=Table1[[#This Row],[High Tol]],"Pass","Fail"),IF(Table1[[#This Row],[DUT Adj Read]]&lt;=Table1[[#This Row],[High Tol]],"Pass","Fail")))</f>
        <v>Fail</v>
      </c>
      <c r="AH26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1" s="1" t="b">
        <v>0</v>
      </c>
      <c r="AN2641" s="1" t="b">
        <v>0</v>
      </c>
      <c r="AO2641" s="1" t="b">
        <v>0</v>
      </c>
    </row>
    <row r="2642" spans="1:41" x14ac:dyDescent="0.25">
      <c r="A2642" s="10"/>
      <c r="B2642" s="10"/>
      <c r="C2642" s="10"/>
      <c r="D2642" s="10"/>
      <c r="E2642" s="10"/>
      <c r="F2642" s="10"/>
      <c r="G2642" s="10"/>
      <c r="H2642" s="10"/>
      <c r="I2642" s="1" t="str">
        <f t="shared" si="123"/>
        <v/>
      </c>
      <c r="J2642" s="1" t="s">
        <v>35</v>
      </c>
      <c r="K2642" s="1" t="str">
        <f t="shared" si="124"/>
        <v/>
      </c>
      <c r="L2642" s="1" t="str">
        <f t="shared" si="125"/>
        <v/>
      </c>
      <c r="M2642" s="1">
        <f>IF(OR(Table1[[#This Row],[Std Nom]]="",Table1[[#This Row],[Std Read]]=""),0,Table1[[#This Row],[Std Nom]]-Table1[[#This Row],[Std Read]])</f>
        <v>0</v>
      </c>
      <c r="N2642" s="1">
        <f>IF(Calculations!$F$5="ACCREDITED 17025 WITH UNCERTAINTIES",$N$10,0)</f>
        <v>0</v>
      </c>
      <c r="O2642" s="1" t="str">
        <f>IFERROR(Table1[[#This Row],[Std Nom]]-(_xlfn.XLOOKUP(Table1[[#This Row],[Manufacturer]]&amp;" "&amp;Table1[[#This Row],[Model]],Table13[MFR &amp; MDL],Table13[Tolerance % CW ],"")/100*Table1[[#This Row],[Std Nom]]),"")</f>
        <v/>
      </c>
      <c r="P2642" s="1" t="str">
        <f>IFERROR(Table1[[#This Row],[Std Nom]]+(_xlfn.XLOOKUP(Table1[[#This Row],[Manufacturer]]&amp;" "&amp;Table1[[#This Row],[Model]],Table13[MFR &amp; MDL],Table13[Tolerance % CW ],"")/100*Table1[[#This Row],[Std Nom]]),"")</f>
        <v/>
      </c>
      <c r="Q2642" s="1" t="e">
        <f>Table1[[#This Row],[High Tol]]-Table1[[#This Row],[Low Tol]]</f>
        <v>#VALUE!</v>
      </c>
      <c r="R2642" s="1">
        <f>2*Table1[[#This Row],[Std Error]]</f>
        <v>0</v>
      </c>
      <c r="S2642" s="1" t="str">
        <f>IF(Table1[[#This Row],[High Tol]]="","N/A",IFERROR(ABS(Table1[[#This Row],[Tol Span]]/Table1[[#This Row],[Error Span]]),"N/A"))</f>
        <v>N/A</v>
      </c>
      <c r="T2642" s="1" t="str">
        <f>IF(OR(Table1[[#This Row],[Low Tol]]="",Table1[[#This Row],[High Tol]]=""),"Needs Analysis",IF(Table1[[#This Row],[Ratio]]&gt;=4,"Not Significant",IF(Table1[[#This Row],[Ratio]]&gt;=2,"Semi-Significant","Significant")))</f>
        <v>Needs Analysis</v>
      </c>
      <c r="W2642" s="1">
        <f>IF(Table1[[#This Row],[Cal Type]]&lt;&gt;"ACCREDITED 17025 WITH UNCERTAINTIES",0,"")</f>
        <v>0</v>
      </c>
      <c r="X2642" s="1" t="str">
        <f>IF(Table1[[#This Row],[DUT Read]]="","N/A",Table1[[#This Row],[Std Error]]+Table1[[#This Row],[DUT Read]]+Table1[[#This Row],[DUT Ucty]])</f>
        <v>N/A</v>
      </c>
      <c r="Y2642" s="1" t="str">
        <f>IF(Table1[[#This Row],[Std Read]]="","N/A",Table1[[#This Row],[Std Read]]+Table1[[#This Row],[Std Ucty]])</f>
        <v>N/A</v>
      </c>
      <c r="Z26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2" s="1" t="str">
        <f>IF(Table1[[#This Row],[Spec Type]]="","N/A",Table1[[#This Row],[Spec Type]])</f>
        <v>±</v>
      </c>
      <c r="AC2642" s="1" t="str">
        <f>IF(Table1[[#This Row],[Spec Type2]]="N/A","N/A",IF(AND(Table1[[#This Row],[DUT Adj Read]]&gt;=Table1[[#This Row],[Low Tol]],Table1[[#This Row],[DUT Adj Read]]&lt;=Table1[[#This Row],[High Tol]]),"Pass","Fail"))</f>
        <v>Fail</v>
      </c>
      <c r="AD2642" s="1" t="str">
        <f>IF(AND(Table1[[#This Row],[Spec Type2]]="N/A",Table1[[#This Row],[DUT Adj Read]]="N/A",Table1[[#This Row],[Std Adj Read]]="N/A"),"N/A",IF(Table1[[#This Row],[DUT Adj Read]]="N/A",IF(Table1[[#This Row],[Std Adj Read]]&gt;Table1[[#This Row],[Low Tol]],"Pass","Fail"),IF(Table1[[#This Row],[DUT Adj Read]]&gt;Table1[[#This Row],[Low Tol]],"Pass","Fail")))</f>
        <v>Pass</v>
      </c>
      <c r="AE2642" s="1" t="str">
        <f>IF(AND(Table1[[#This Row],[Spec Type2]]="N/A",Table1[[#This Row],[DUT Adj Read]]="N/A",Table1[[#This Row],[Std Adj Read]]="N/A"),"N/A",IF(Table1[[#This Row],[DUT Adj Read]]="N/A",IF(Table1[[#This Row],[Std Adj Read]]&lt;Table1[[#This Row],[High Tol]],"Pass","Fail"),IF(Table1[[#This Row],[DUT Adj Read]]&lt;Table1[[#This Row],[High Tol]],"Pass","Fail")))</f>
        <v>Fail</v>
      </c>
      <c r="AF2642" s="1" t="str">
        <f>IF(AND(Table1[[#This Row],[Spec Type2]]="N/A",Table1[[#This Row],[DUT Adj Read]]="N/A",Table1[[#This Row],[Std Adj Read]]="N/A"),"N/A",IF(Table1[[#This Row],[DUT Adj Read]]="N/A",IF(Table1[[#This Row],[Std Adj Read]]&gt;=Table1[[#This Row],[Low Tol]],"Pass","Fail"),IF(Table1[[#This Row],[DUT Adj Read]]&gt;=Table1[[#This Row],[Low Tol]],"Pass","Fail")))</f>
        <v>Pass</v>
      </c>
      <c r="AG2642" s="1" t="str">
        <f>IF(AND(Table1[[#This Row],[Spec Type2]]="N/A",Table1[[#This Row],[DUT Adj Read]]="N/A",Table1[[#This Row],[Std Adj Read]]="N/A"),"N/A",IF(Table1[[#This Row],[DUT Adj Read]]="N/A",IF(Table1[[#This Row],[Std Adj Read]]&lt;=Table1[[#This Row],[High Tol]],"Pass","Fail"),IF(Table1[[#This Row],[DUT Adj Read]]&lt;=Table1[[#This Row],[High Tol]],"Pass","Fail")))</f>
        <v>Fail</v>
      </c>
      <c r="AH26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2" s="1" t="b">
        <v>0</v>
      </c>
      <c r="AN2642" s="1" t="b">
        <v>0</v>
      </c>
      <c r="AO2642" s="1" t="b">
        <v>0</v>
      </c>
    </row>
    <row r="2643" spans="1:41" x14ac:dyDescent="0.25">
      <c r="A2643" s="10"/>
      <c r="B2643" s="10"/>
      <c r="C2643" s="10"/>
      <c r="D2643" s="10"/>
      <c r="E2643" s="10"/>
      <c r="F2643" s="10"/>
      <c r="G2643" s="10"/>
      <c r="H2643" s="10"/>
      <c r="I2643" s="1" t="str">
        <f t="shared" si="123"/>
        <v/>
      </c>
      <c r="J2643" s="1" t="s">
        <v>35</v>
      </c>
      <c r="K2643" s="1" t="str">
        <f t="shared" si="124"/>
        <v/>
      </c>
      <c r="L2643" s="1" t="str">
        <f t="shared" si="125"/>
        <v/>
      </c>
      <c r="M2643" s="1">
        <f>IF(OR(Table1[[#This Row],[Std Nom]]="",Table1[[#This Row],[Std Read]]=""),0,Table1[[#This Row],[Std Nom]]-Table1[[#This Row],[Std Read]])</f>
        <v>0</v>
      </c>
      <c r="N2643" s="1">
        <f>IF(Calculations!$F$5="ACCREDITED 17025 WITH UNCERTAINTIES",$N$10,0)</f>
        <v>0</v>
      </c>
      <c r="O2643" s="1" t="str">
        <f>IFERROR(Table1[[#This Row],[Std Nom]]-(_xlfn.XLOOKUP(Table1[[#This Row],[Manufacturer]]&amp;" "&amp;Table1[[#This Row],[Model]],Table13[MFR &amp; MDL],Table13[Tolerance % CW ],"")/100*Table1[[#This Row],[Std Nom]]),"")</f>
        <v/>
      </c>
      <c r="P2643" s="1" t="str">
        <f>IFERROR(Table1[[#This Row],[Std Nom]]+(_xlfn.XLOOKUP(Table1[[#This Row],[Manufacturer]]&amp;" "&amp;Table1[[#This Row],[Model]],Table13[MFR &amp; MDL],Table13[Tolerance % CW ],"")/100*Table1[[#This Row],[Std Nom]]),"")</f>
        <v/>
      </c>
      <c r="Q2643" s="1" t="e">
        <f>Table1[[#This Row],[High Tol]]-Table1[[#This Row],[Low Tol]]</f>
        <v>#VALUE!</v>
      </c>
      <c r="R2643" s="1">
        <f>2*Table1[[#This Row],[Std Error]]</f>
        <v>0</v>
      </c>
      <c r="S2643" s="1" t="str">
        <f>IF(Table1[[#This Row],[High Tol]]="","N/A",IFERROR(ABS(Table1[[#This Row],[Tol Span]]/Table1[[#This Row],[Error Span]]),"N/A"))</f>
        <v>N/A</v>
      </c>
      <c r="T2643" s="1" t="str">
        <f>IF(OR(Table1[[#This Row],[Low Tol]]="",Table1[[#This Row],[High Tol]]=""),"Needs Analysis",IF(Table1[[#This Row],[Ratio]]&gt;=4,"Not Significant",IF(Table1[[#This Row],[Ratio]]&gt;=2,"Semi-Significant","Significant")))</f>
        <v>Needs Analysis</v>
      </c>
      <c r="W2643" s="1">
        <f>IF(Table1[[#This Row],[Cal Type]]&lt;&gt;"ACCREDITED 17025 WITH UNCERTAINTIES",0,"")</f>
        <v>0</v>
      </c>
      <c r="X2643" s="1" t="str">
        <f>IF(Table1[[#This Row],[DUT Read]]="","N/A",Table1[[#This Row],[Std Error]]+Table1[[#This Row],[DUT Read]]+Table1[[#This Row],[DUT Ucty]])</f>
        <v>N/A</v>
      </c>
      <c r="Y2643" s="1" t="str">
        <f>IF(Table1[[#This Row],[Std Read]]="","N/A",Table1[[#This Row],[Std Read]]+Table1[[#This Row],[Std Ucty]])</f>
        <v>N/A</v>
      </c>
      <c r="Z26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3" s="1" t="str">
        <f>IF(Table1[[#This Row],[Spec Type]]="","N/A",Table1[[#This Row],[Spec Type]])</f>
        <v>±</v>
      </c>
      <c r="AC2643" s="1" t="str">
        <f>IF(Table1[[#This Row],[Spec Type2]]="N/A","N/A",IF(AND(Table1[[#This Row],[DUT Adj Read]]&gt;=Table1[[#This Row],[Low Tol]],Table1[[#This Row],[DUT Adj Read]]&lt;=Table1[[#This Row],[High Tol]]),"Pass","Fail"))</f>
        <v>Fail</v>
      </c>
      <c r="AD2643" s="1" t="str">
        <f>IF(AND(Table1[[#This Row],[Spec Type2]]="N/A",Table1[[#This Row],[DUT Adj Read]]="N/A",Table1[[#This Row],[Std Adj Read]]="N/A"),"N/A",IF(Table1[[#This Row],[DUT Adj Read]]="N/A",IF(Table1[[#This Row],[Std Adj Read]]&gt;Table1[[#This Row],[Low Tol]],"Pass","Fail"),IF(Table1[[#This Row],[DUT Adj Read]]&gt;Table1[[#This Row],[Low Tol]],"Pass","Fail")))</f>
        <v>Pass</v>
      </c>
      <c r="AE2643" s="1" t="str">
        <f>IF(AND(Table1[[#This Row],[Spec Type2]]="N/A",Table1[[#This Row],[DUT Adj Read]]="N/A",Table1[[#This Row],[Std Adj Read]]="N/A"),"N/A",IF(Table1[[#This Row],[DUT Adj Read]]="N/A",IF(Table1[[#This Row],[Std Adj Read]]&lt;Table1[[#This Row],[High Tol]],"Pass","Fail"),IF(Table1[[#This Row],[DUT Adj Read]]&lt;Table1[[#This Row],[High Tol]],"Pass","Fail")))</f>
        <v>Fail</v>
      </c>
      <c r="AF2643" s="1" t="str">
        <f>IF(AND(Table1[[#This Row],[Spec Type2]]="N/A",Table1[[#This Row],[DUT Adj Read]]="N/A",Table1[[#This Row],[Std Adj Read]]="N/A"),"N/A",IF(Table1[[#This Row],[DUT Adj Read]]="N/A",IF(Table1[[#This Row],[Std Adj Read]]&gt;=Table1[[#This Row],[Low Tol]],"Pass","Fail"),IF(Table1[[#This Row],[DUT Adj Read]]&gt;=Table1[[#This Row],[Low Tol]],"Pass","Fail")))</f>
        <v>Pass</v>
      </c>
      <c r="AG2643" s="1" t="str">
        <f>IF(AND(Table1[[#This Row],[Spec Type2]]="N/A",Table1[[#This Row],[DUT Adj Read]]="N/A",Table1[[#This Row],[Std Adj Read]]="N/A"),"N/A",IF(Table1[[#This Row],[DUT Adj Read]]="N/A",IF(Table1[[#This Row],[Std Adj Read]]&lt;=Table1[[#This Row],[High Tol]],"Pass","Fail"),IF(Table1[[#This Row],[DUT Adj Read]]&lt;=Table1[[#This Row],[High Tol]],"Pass","Fail")))</f>
        <v>Fail</v>
      </c>
      <c r="AH26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3" s="1" t="b">
        <v>0</v>
      </c>
      <c r="AN2643" s="1" t="b">
        <v>0</v>
      </c>
      <c r="AO2643" s="1" t="b">
        <v>0</v>
      </c>
    </row>
    <row r="2644" spans="1:41" x14ac:dyDescent="0.25">
      <c r="A2644" s="10"/>
      <c r="B2644" s="10"/>
      <c r="C2644" s="10"/>
      <c r="D2644" s="10"/>
      <c r="E2644" s="10"/>
      <c r="F2644" s="10"/>
      <c r="G2644" s="10"/>
      <c r="H2644" s="10"/>
      <c r="I2644" s="1" t="str">
        <f t="shared" si="123"/>
        <v/>
      </c>
      <c r="J2644" s="1" t="s">
        <v>35</v>
      </c>
      <c r="K2644" s="1" t="str">
        <f t="shared" si="124"/>
        <v/>
      </c>
      <c r="L2644" s="1" t="str">
        <f t="shared" si="125"/>
        <v/>
      </c>
      <c r="M2644" s="1">
        <f>IF(OR(Table1[[#This Row],[Std Nom]]="",Table1[[#This Row],[Std Read]]=""),0,Table1[[#This Row],[Std Nom]]-Table1[[#This Row],[Std Read]])</f>
        <v>0</v>
      </c>
      <c r="N2644" s="1">
        <f>IF(Calculations!$F$5="ACCREDITED 17025 WITH UNCERTAINTIES",$N$10,0)</f>
        <v>0</v>
      </c>
      <c r="O2644" s="1" t="str">
        <f>IFERROR(Table1[[#This Row],[Std Nom]]-(_xlfn.XLOOKUP(Table1[[#This Row],[Manufacturer]]&amp;" "&amp;Table1[[#This Row],[Model]],Table13[MFR &amp; MDL],Table13[Tolerance % CW ],"")/100*Table1[[#This Row],[Std Nom]]),"")</f>
        <v/>
      </c>
      <c r="P2644" s="1" t="str">
        <f>IFERROR(Table1[[#This Row],[Std Nom]]+(_xlfn.XLOOKUP(Table1[[#This Row],[Manufacturer]]&amp;" "&amp;Table1[[#This Row],[Model]],Table13[MFR &amp; MDL],Table13[Tolerance % CW ],"")/100*Table1[[#This Row],[Std Nom]]),"")</f>
        <v/>
      </c>
      <c r="Q2644" s="1" t="e">
        <f>Table1[[#This Row],[High Tol]]-Table1[[#This Row],[Low Tol]]</f>
        <v>#VALUE!</v>
      </c>
      <c r="R2644" s="1">
        <f>2*Table1[[#This Row],[Std Error]]</f>
        <v>0</v>
      </c>
      <c r="S2644" s="1" t="str">
        <f>IF(Table1[[#This Row],[High Tol]]="","N/A",IFERROR(ABS(Table1[[#This Row],[Tol Span]]/Table1[[#This Row],[Error Span]]),"N/A"))</f>
        <v>N/A</v>
      </c>
      <c r="T2644" s="1" t="str">
        <f>IF(OR(Table1[[#This Row],[Low Tol]]="",Table1[[#This Row],[High Tol]]=""),"Needs Analysis",IF(Table1[[#This Row],[Ratio]]&gt;=4,"Not Significant",IF(Table1[[#This Row],[Ratio]]&gt;=2,"Semi-Significant","Significant")))</f>
        <v>Needs Analysis</v>
      </c>
      <c r="W2644" s="1">
        <f>IF(Table1[[#This Row],[Cal Type]]&lt;&gt;"ACCREDITED 17025 WITH UNCERTAINTIES",0,"")</f>
        <v>0</v>
      </c>
      <c r="X2644" s="1" t="str">
        <f>IF(Table1[[#This Row],[DUT Read]]="","N/A",Table1[[#This Row],[Std Error]]+Table1[[#This Row],[DUT Read]]+Table1[[#This Row],[DUT Ucty]])</f>
        <v>N/A</v>
      </c>
      <c r="Y2644" s="1" t="str">
        <f>IF(Table1[[#This Row],[Std Read]]="","N/A",Table1[[#This Row],[Std Read]]+Table1[[#This Row],[Std Ucty]])</f>
        <v>N/A</v>
      </c>
      <c r="Z26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4" s="1" t="str">
        <f>IF(Table1[[#This Row],[Spec Type]]="","N/A",Table1[[#This Row],[Spec Type]])</f>
        <v>±</v>
      </c>
      <c r="AC2644" s="1" t="str">
        <f>IF(Table1[[#This Row],[Spec Type2]]="N/A","N/A",IF(AND(Table1[[#This Row],[DUT Adj Read]]&gt;=Table1[[#This Row],[Low Tol]],Table1[[#This Row],[DUT Adj Read]]&lt;=Table1[[#This Row],[High Tol]]),"Pass","Fail"))</f>
        <v>Fail</v>
      </c>
      <c r="AD2644" s="1" t="str">
        <f>IF(AND(Table1[[#This Row],[Spec Type2]]="N/A",Table1[[#This Row],[DUT Adj Read]]="N/A",Table1[[#This Row],[Std Adj Read]]="N/A"),"N/A",IF(Table1[[#This Row],[DUT Adj Read]]="N/A",IF(Table1[[#This Row],[Std Adj Read]]&gt;Table1[[#This Row],[Low Tol]],"Pass","Fail"),IF(Table1[[#This Row],[DUT Adj Read]]&gt;Table1[[#This Row],[Low Tol]],"Pass","Fail")))</f>
        <v>Pass</v>
      </c>
      <c r="AE2644" s="1" t="str">
        <f>IF(AND(Table1[[#This Row],[Spec Type2]]="N/A",Table1[[#This Row],[DUT Adj Read]]="N/A",Table1[[#This Row],[Std Adj Read]]="N/A"),"N/A",IF(Table1[[#This Row],[DUT Adj Read]]="N/A",IF(Table1[[#This Row],[Std Adj Read]]&lt;Table1[[#This Row],[High Tol]],"Pass","Fail"),IF(Table1[[#This Row],[DUT Adj Read]]&lt;Table1[[#This Row],[High Tol]],"Pass","Fail")))</f>
        <v>Fail</v>
      </c>
      <c r="AF2644" s="1" t="str">
        <f>IF(AND(Table1[[#This Row],[Spec Type2]]="N/A",Table1[[#This Row],[DUT Adj Read]]="N/A",Table1[[#This Row],[Std Adj Read]]="N/A"),"N/A",IF(Table1[[#This Row],[DUT Adj Read]]="N/A",IF(Table1[[#This Row],[Std Adj Read]]&gt;=Table1[[#This Row],[Low Tol]],"Pass","Fail"),IF(Table1[[#This Row],[DUT Adj Read]]&gt;=Table1[[#This Row],[Low Tol]],"Pass","Fail")))</f>
        <v>Pass</v>
      </c>
      <c r="AG2644" s="1" t="str">
        <f>IF(AND(Table1[[#This Row],[Spec Type2]]="N/A",Table1[[#This Row],[DUT Adj Read]]="N/A",Table1[[#This Row],[Std Adj Read]]="N/A"),"N/A",IF(Table1[[#This Row],[DUT Adj Read]]="N/A",IF(Table1[[#This Row],[Std Adj Read]]&lt;=Table1[[#This Row],[High Tol]],"Pass","Fail"),IF(Table1[[#This Row],[DUT Adj Read]]&lt;=Table1[[#This Row],[High Tol]],"Pass","Fail")))</f>
        <v>Fail</v>
      </c>
      <c r="AH26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4" s="1" t="b">
        <v>0</v>
      </c>
      <c r="AN2644" s="1" t="b">
        <v>0</v>
      </c>
      <c r="AO2644" s="1" t="b">
        <v>0</v>
      </c>
    </row>
    <row r="2645" spans="1:41" x14ac:dyDescent="0.25">
      <c r="A2645" s="10"/>
      <c r="B2645" s="10"/>
      <c r="C2645" s="10"/>
      <c r="D2645" s="10"/>
      <c r="E2645" s="10"/>
      <c r="F2645" s="10"/>
      <c r="G2645" s="10"/>
      <c r="H2645" s="10"/>
      <c r="I2645" s="1" t="str">
        <f t="shared" si="123"/>
        <v/>
      </c>
      <c r="J2645" s="1" t="s">
        <v>35</v>
      </c>
      <c r="K2645" s="1" t="str">
        <f t="shared" si="124"/>
        <v/>
      </c>
      <c r="L2645" s="1" t="str">
        <f t="shared" si="125"/>
        <v/>
      </c>
      <c r="M2645" s="1">
        <f>IF(OR(Table1[[#This Row],[Std Nom]]="",Table1[[#This Row],[Std Read]]=""),0,Table1[[#This Row],[Std Nom]]-Table1[[#This Row],[Std Read]])</f>
        <v>0</v>
      </c>
      <c r="N2645" s="1">
        <f>IF(Calculations!$F$5="ACCREDITED 17025 WITH UNCERTAINTIES",$N$10,0)</f>
        <v>0</v>
      </c>
      <c r="O2645" s="1" t="str">
        <f>IFERROR(Table1[[#This Row],[Std Nom]]-(_xlfn.XLOOKUP(Table1[[#This Row],[Manufacturer]]&amp;" "&amp;Table1[[#This Row],[Model]],Table13[MFR &amp; MDL],Table13[Tolerance % CW ],"")/100*Table1[[#This Row],[Std Nom]]),"")</f>
        <v/>
      </c>
      <c r="P2645" s="1" t="str">
        <f>IFERROR(Table1[[#This Row],[Std Nom]]+(_xlfn.XLOOKUP(Table1[[#This Row],[Manufacturer]]&amp;" "&amp;Table1[[#This Row],[Model]],Table13[MFR &amp; MDL],Table13[Tolerance % CW ],"")/100*Table1[[#This Row],[Std Nom]]),"")</f>
        <v/>
      </c>
      <c r="Q2645" s="1" t="e">
        <f>Table1[[#This Row],[High Tol]]-Table1[[#This Row],[Low Tol]]</f>
        <v>#VALUE!</v>
      </c>
      <c r="R2645" s="1">
        <f>2*Table1[[#This Row],[Std Error]]</f>
        <v>0</v>
      </c>
      <c r="S2645" s="1" t="str">
        <f>IF(Table1[[#This Row],[High Tol]]="","N/A",IFERROR(ABS(Table1[[#This Row],[Tol Span]]/Table1[[#This Row],[Error Span]]),"N/A"))</f>
        <v>N/A</v>
      </c>
      <c r="T2645" s="1" t="str">
        <f>IF(OR(Table1[[#This Row],[Low Tol]]="",Table1[[#This Row],[High Tol]]=""),"Needs Analysis",IF(Table1[[#This Row],[Ratio]]&gt;=4,"Not Significant",IF(Table1[[#This Row],[Ratio]]&gt;=2,"Semi-Significant","Significant")))</f>
        <v>Needs Analysis</v>
      </c>
      <c r="W2645" s="1">
        <f>IF(Table1[[#This Row],[Cal Type]]&lt;&gt;"ACCREDITED 17025 WITH UNCERTAINTIES",0,"")</f>
        <v>0</v>
      </c>
      <c r="X2645" s="1" t="str">
        <f>IF(Table1[[#This Row],[DUT Read]]="","N/A",Table1[[#This Row],[Std Error]]+Table1[[#This Row],[DUT Read]]+Table1[[#This Row],[DUT Ucty]])</f>
        <v>N/A</v>
      </c>
      <c r="Y2645" s="1" t="str">
        <f>IF(Table1[[#This Row],[Std Read]]="","N/A",Table1[[#This Row],[Std Read]]+Table1[[#This Row],[Std Ucty]])</f>
        <v>N/A</v>
      </c>
      <c r="Z26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5" s="1" t="str">
        <f>IF(Table1[[#This Row],[Spec Type]]="","N/A",Table1[[#This Row],[Spec Type]])</f>
        <v>±</v>
      </c>
      <c r="AC2645" s="1" t="str">
        <f>IF(Table1[[#This Row],[Spec Type2]]="N/A","N/A",IF(AND(Table1[[#This Row],[DUT Adj Read]]&gt;=Table1[[#This Row],[Low Tol]],Table1[[#This Row],[DUT Adj Read]]&lt;=Table1[[#This Row],[High Tol]]),"Pass","Fail"))</f>
        <v>Fail</v>
      </c>
      <c r="AD2645" s="1" t="str">
        <f>IF(AND(Table1[[#This Row],[Spec Type2]]="N/A",Table1[[#This Row],[DUT Adj Read]]="N/A",Table1[[#This Row],[Std Adj Read]]="N/A"),"N/A",IF(Table1[[#This Row],[DUT Adj Read]]="N/A",IF(Table1[[#This Row],[Std Adj Read]]&gt;Table1[[#This Row],[Low Tol]],"Pass","Fail"),IF(Table1[[#This Row],[DUT Adj Read]]&gt;Table1[[#This Row],[Low Tol]],"Pass","Fail")))</f>
        <v>Pass</v>
      </c>
      <c r="AE2645" s="1" t="str">
        <f>IF(AND(Table1[[#This Row],[Spec Type2]]="N/A",Table1[[#This Row],[DUT Adj Read]]="N/A",Table1[[#This Row],[Std Adj Read]]="N/A"),"N/A",IF(Table1[[#This Row],[DUT Adj Read]]="N/A",IF(Table1[[#This Row],[Std Adj Read]]&lt;Table1[[#This Row],[High Tol]],"Pass","Fail"),IF(Table1[[#This Row],[DUT Adj Read]]&lt;Table1[[#This Row],[High Tol]],"Pass","Fail")))</f>
        <v>Fail</v>
      </c>
      <c r="AF2645" s="1" t="str">
        <f>IF(AND(Table1[[#This Row],[Spec Type2]]="N/A",Table1[[#This Row],[DUT Adj Read]]="N/A",Table1[[#This Row],[Std Adj Read]]="N/A"),"N/A",IF(Table1[[#This Row],[DUT Adj Read]]="N/A",IF(Table1[[#This Row],[Std Adj Read]]&gt;=Table1[[#This Row],[Low Tol]],"Pass","Fail"),IF(Table1[[#This Row],[DUT Adj Read]]&gt;=Table1[[#This Row],[Low Tol]],"Pass","Fail")))</f>
        <v>Pass</v>
      </c>
      <c r="AG2645" s="1" t="str">
        <f>IF(AND(Table1[[#This Row],[Spec Type2]]="N/A",Table1[[#This Row],[DUT Adj Read]]="N/A",Table1[[#This Row],[Std Adj Read]]="N/A"),"N/A",IF(Table1[[#This Row],[DUT Adj Read]]="N/A",IF(Table1[[#This Row],[Std Adj Read]]&lt;=Table1[[#This Row],[High Tol]],"Pass","Fail"),IF(Table1[[#This Row],[DUT Adj Read]]&lt;=Table1[[#This Row],[High Tol]],"Pass","Fail")))</f>
        <v>Fail</v>
      </c>
      <c r="AH26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5" s="1" t="b">
        <v>0</v>
      </c>
      <c r="AN2645" s="1" t="b">
        <v>0</v>
      </c>
      <c r="AO2645" s="1" t="b">
        <v>0</v>
      </c>
    </row>
    <row r="2646" spans="1:41" x14ac:dyDescent="0.25">
      <c r="A2646" s="10"/>
      <c r="B2646" s="10"/>
      <c r="C2646" s="10"/>
      <c r="D2646" s="10"/>
      <c r="E2646" s="10"/>
      <c r="F2646" s="10"/>
      <c r="G2646" s="10"/>
      <c r="H2646" s="10"/>
      <c r="I2646" s="1" t="str">
        <f t="shared" si="123"/>
        <v/>
      </c>
      <c r="J2646" s="1" t="s">
        <v>35</v>
      </c>
      <c r="K2646" s="1" t="str">
        <f t="shared" si="124"/>
        <v/>
      </c>
      <c r="L2646" s="1" t="str">
        <f t="shared" si="125"/>
        <v/>
      </c>
      <c r="M2646" s="1">
        <f>IF(OR(Table1[[#This Row],[Std Nom]]="",Table1[[#This Row],[Std Read]]=""),0,Table1[[#This Row],[Std Nom]]-Table1[[#This Row],[Std Read]])</f>
        <v>0</v>
      </c>
      <c r="N2646" s="1">
        <f>IF(Calculations!$F$5="ACCREDITED 17025 WITH UNCERTAINTIES",$N$10,0)</f>
        <v>0</v>
      </c>
      <c r="O2646" s="1" t="str">
        <f>IFERROR(Table1[[#This Row],[Std Nom]]-(_xlfn.XLOOKUP(Table1[[#This Row],[Manufacturer]]&amp;" "&amp;Table1[[#This Row],[Model]],Table13[MFR &amp; MDL],Table13[Tolerance % CW ],"")/100*Table1[[#This Row],[Std Nom]]),"")</f>
        <v/>
      </c>
      <c r="P2646" s="1" t="str">
        <f>IFERROR(Table1[[#This Row],[Std Nom]]+(_xlfn.XLOOKUP(Table1[[#This Row],[Manufacturer]]&amp;" "&amp;Table1[[#This Row],[Model]],Table13[MFR &amp; MDL],Table13[Tolerance % CW ],"")/100*Table1[[#This Row],[Std Nom]]),"")</f>
        <v/>
      </c>
      <c r="Q2646" s="1" t="e">
        <f>Table1[[#This Row],[High Tol]]-Table1[[#This Row],[Low Tol]]</f>
        <v>#VALUE!</v>
      </c>
      <c r="R2646" s="1">
        <f>2*Table1[[#This Row],[Std Error]]</f>
        <v>0</v>
      </c>
      <c r="S2646" s="1" t="str">
        <f>IF(Table1[[#This Row],[High Tol]]="","N/A",IFERROR(ABS(Table1[[#This Row],[Tol Span]]/Table1[[#This Row],[Error Span]]),"N/A"))</f>
        <v>N/A</v>
      </c>
      <c r="T2646" s="1" t="str">
        <f>IF(OR(Table1[[#This Row],[Low Tol]]="",Table1[[#This Row],[High Tol]]=""),"Needs Analysis",IF(Table1[[#This Row],[Ratio]]&gt;=4,"Not Significant",IF(Table1[[#This Row],[Ratio]]&gt;=2,"Semi-Significant","Significant")))</f>
        <v>Needs Analysis</v>
      </c>
      <c r="W2646" s="1">
        <f>IF(Table1[[#This Row],[Cal Type]]&lt;&gt;"ACCREDITED 17025 WITH UNCERTAINTIES",0,"")</f>
        <v>0</v>
      </c>
      <c r="X2646" s="1" t="str">
        <f>IF(Table1[[#This Row],[DUT Read]]="","N/A",Table1[[#This Row],[Std Error]]+Table1[[#This Row],[DUT Read]]+Table1[[#This Row],[DUT Ucty]])</f>
        <v>N/A</v>
      </c>
      <c r="Y2646" s="1" t="str">
        <f>IF(Table1[[#This Row],[Std Read]]="","N/A",Table1[[#This Row],[Std Read]]+Table1[[#This Row],[Std Ucty]])</f>
        <v>N/A</v>
      </c>
      <c r="Z26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6" s="1" t="str">
        <f>IF(Table1[[#This Row],[Spec Type]]="","N/A",Table1[[#This Row],[Spec Type]])</f>
        <v>±</v>
      </c>
      <c r="AC2646" s="1" t="str">
        <f>IF(Table1[[#This Row],[Spec Type2]]="N/A","N/A",IF(AND(Table1[[#This Row],[DUT Adj Read]]&gt;=Table1[[#This Row],[Low Tol]],Table1[[#This Row],[DUT Adj Read]]&lt;=Table1[[#This Row],[High Tol]]),"Pass","Fail"))</f>
        <v>Fail</v>
      </c>
      <c r="AD2646" s="1" t="str">
        <f>IF(AND(Table1[[#This Row],[Spec Type2]]="N/A",Table1[[#This Row],[DUT Adj Read]]="N/A",Table1[[#This Row],[Std Adj Read]]="N/A"),"N/A",IF(Table1[[#This Row],[DUT Adj Read]]="N/A",IF(Table1[[#This Row],[Std Adj Read]]&gt;Table1[[#This Row],[Low Tol]],"Pass","Fail"),IF(Table1[[#This Row],[DUT Adj Read]]&gt;Table1[[#This Row],[Low Tol]],"Pass","Fail")))</f>
        <v>Pass</v>
      </c>
      <c r="AE2646" s="1" t="str">
        <f>IF(AND(Table1[[#This Row],[Spec Type2]]="N/A",Table1[[#This Row],[DUT Adj Read]]="N/A",Table1[[#This Row],[Std Adj Read]]="N/A"),"N/A",IF(Table1[[#This Row],[DUT Adj Read]]="N/A",IF(Table1[[#This Row],[Std Adj Read]]&lt;Table1[[#This Row],[High Tol]],"Pass","Fail"),IF(Table1[[#This Row],[DUT Adj Read]]&lt;Table1[[#This Row],[High Tol]],"Pass","Fail")))</f>
        <v>Fail</v>
      </c>
      <c r="AF2646" s="1" t="str">
        <f>IF(AND(Table1[[#This Row],[Spec Type2]]="N/A",Table1[[#This Row],[DUT Adj Read]]="N/A",Table1[[#This Row],[Std Adj Read]]="N/A"),"N/A",IF(Table1[[#This Row],[DUT Adj Read]]="N/A",IF(Table1[[#This Row],[Std Adj Read]]&gt;=Table1[[#This Row],[Low Tol]],"Pass","Fail"),IF(Table1[[#This Row],[DUT Adj Read]]&gt;=Table1[[#This Row],[Low Tol]],"Pass","Fail")))</f>
        <v>Pass</v>
      </c>
      <c r="AG2646" s="1" t="str">
        <f>IF(AND(Table1[[#This Row],[Spec Type2]]="N/A",Table1[[#This Row],[DUT Adj Read]]="N/A",Table1[[#This Row],[Std Adj Read]]="N/A"),"N/A",IF(Table1[[#This Row],[DUT Adj Read]]="N/A",IF(Table1[[#This Row],[Std Adj Read]]&lt;=Table1[[#This Row],[High Tol]],"Pass","Fail"),IF(Table1[[#This Row],[DUT Adj Read]]&lt;=Table1[[#This Row],[High Tol]],"Pass","Fail")))</f>
        <v>Fail</v>
      </c>
      <c r="AH26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6" s="1" t="b">
        <v>0</v>
      </c>
      <c r="AN2646" s="1" t="b">
        <v>0</v>
      </c>
      <c r="AO2646" s="1" t="b">
        <v>0</v>
      </c>
    </row>
    <row r="2647" spans="1:41" x14ac:dyDescent="0.25">
      <c r="A2647" s="10"/>
      <c r="B2647" s="10"/>
      <c r="C2647" s="10"/>
      <c r="D2647" s="10"/>
      <c r="E2647" s="10"/>
      <c r="F2647" s="10"/>
      <c r="G2647" s="10"/>
      <c r="H2647" s="10"/>
      <c r="I2647" s="1" t="str">
        <f t="shared" si="123"/>
        <v/>
      </c>
      <c r="J2647" s="1" t="s">
        <v>35</v>
      </c>
      <c r="K2647" s="1" t="str">
        <f t="shared" si="124"/>
        <v/>
      </c>
      <c r="L2647" s="1" t="str">
        <f t="shared" si="125"/>
        <v/>
      </c>
      <c r="M2647" s="1">
        <f>IF(OR(Table1[[#This Row],[Std Nom]]="",Table1[[#This Row],[Std Read]]=""),0,Table1[[#This Row],[Std Nom]]-Table1[[#This Row],[Std Read]])</f>
        <v>0</v>
      </c>
      <c r="N2647" s="1">
        <f>IF(Calculations!$F$5="ACCREDITED 17025 WITH UNCERTAINTIES",$N$10,0)</f>
        <v>0</v>
      </c>
      <c r="O2647" s="1" t="str">
        <f>IFERROR(Table1[[#This Row],[Std Nom]]-(_xlfn.XLOOKUP(Table1[[#This Row],[Manufacturer]]&amp;" "&amp;Table1[[#This Row],[Model]],Table13[MFR &amp; MDL],Table13[Tolerance % CW ],"")/100*Table1[[#This Row],[Std Nom]]),"")</f>
        <v/>
      </c>
      <c r="P2647" s="1" t="str">
        <f>IFERROR(Table1[[#This Row],[Std Nom]]+(_xlfn.XLOOKUP(Table1[[#This Row],[Manufacturer]]&amp;" "&amp;Table1[[#This Row],[Model]],Table13[MFR &amp; MDL],Table13[Tolerance % CW ],"")/100*Table1[[#This Row],[Std Nom]]),"")</f>
        <v/>
      </c>
      <c r="Q2647" s="1" t="e">
        <f>Table1[[#This Row],[High Tol]]-Table1[[#This Row],[Low Tol]]</f>
        <v>#VALUE!</v>
      </c>
      <c r="R2647" s="1">
        <f>2*Table1[[#This Row],[Std Error]]</f>
        <v>0</v>
      </c>
      <c r="S2647" s="1" t="str">
        <f>IF(Table1[[#This Row],[High Tol]]="","N/A",IFERROR(ABS(Table1[[#This Row],[Tol Span]]/Table1[[#This Row],[Error Span]]),"N/A"))</f>
        <v>N/A</v>
      </c>
      <c r="T2647" s="1" t="str">
        <f>IF(OR(Table1[[#This Row],[Low Tol]]="",Table1[[#This Row],[High Tol]]=""),"Needs Analysis",IF(Table1[[#This Row],[Ratio]]&gt;=4,"Not Significant",IF(Table1[[#This Row],[Ratio]]&gt;=2,"Semi-Significant","Significant")))</f>
        <v>Needs Analysis</v>
      </c>
      <c r="W2647" s="1">
        <f>IF(Table1[[#This Row],[Cal Type]]&lt;&gt;"ACCREDITED 17025 WITH UNCERTAINTIES",0,"")</f>
        <v>0</v>
      </c>
      <c r="X2647" s="1" t="str">
        <f>IF(Table1[[#This Row],[DUT Read]]="","N/A",Table1[[#This Row],[Std Error]]+Table1[[#This Row],[DUT Read]]+Table1[[#This Row],[DUT Ucty]])</f>
        <v>N/A</v>
      </c>
      <c r="Y2647" s="1" t="str">
        <f>IF(Table1[[#This Row],[Std Read]]="","N/A",Table1[[#This Row],[Std Read]]+Table1[[#This Row],[Std Ucty]])</f>
        <v>N/A</v>
      </c>
      <c r="Z26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7" s="1" t="str">
        <f>IF(Table1[[#This Row],[Spec Type]]="","N/A",Table1[[#This Row],[Spec Type]])</f>
        <v>±</v>
      </c>
      <c r="AC2647" s="1" t="str">
        <f>IF(Table1[[#This Row],[Spec Type2]]="N/A","N/A",IF(AND(Table1[[#This Row],[DUT Adj Read]]&gt;=Table1[[#This Row],[Low Tol]],Table1[[#This Row],[DUT Adj Read]]&lt;=Table1[[#This Row],[High Tol]]),"Pass","Fail"))</f>
        <v>Fail</v>
      </c>
      <c r="AD2647" s="1" t="str">
        <f>IF(AND(Table1[[#This Row],[Spec Type2]]="N/A",Table1[[#This Row],[DUT Adj Read]]="N/A",Table1[[#This Row],[Std Adj Read]]="N/A"),"N/A",IF(Table1[[#This Row],[DUT Adj Read]]="N/A",IF(Table1[[#This Row],[Std Adj Read]]&gt;Table1[[#This Row],[Low Tol]],"Pass","Fail"),IF(Table1[[#This Row],[DUT Adj Read]]&gt;Table1[[#This Row],[Low Tol]],"Pass","Fail")))</f>
        <v>Pass</v>
      </c>
      <c r="AE2647" s="1" t="str">
        <f>IF(AND(Table1[[#This Row],[Spec Type2]]="N/A",Table1[[#This Row],[DUT Adj Read]]="N/A",Table1[[#This Row],[Std Adj Read]]="N/A"),"N/A",IF(Table1[[#This Row],[DUT Adj Read]]="N/A",IF(Table1[[#This Row],[Std Adj Read]]&lt;Table1[[#This Row],[High Tol]],"Pass","Fail"),IF(Table1[[#This Row],[DUT Adj Read]]&lt;Table1[[#This Row],[High Tol]],"Pass","Fail")))</f>
        <v>Fail</v>
      </c>
      <c r="AF2647" s="1" t="str">
        <f>IF(AND(Table1[[#This Row],[Spec Type2]]="N/A",Table1[[#This Row],[DUT Adj Read]]="N/A",Table1[[#This Row],[Std Adj Read]]="N/A"),"N/A",IF(Table1[[#This Row],[DUT Adj Read]]="N/A",IF(Table1[[#This Row],[Std Adj Read]]&gt;=Table1[[#This Row],[Low Tol]],"Pass","Fail"),IF(Table1[[#This Row],[DUT Adj Read]]&gt;=Table1[[#This Row],[Low Tol]],"Pass","Fail")))</f>
        <v>Pass</v>
      </c>
      <c r="AG2647" s="1" t="str">
        <f>IF(AND(Table1[[#This Row],[Spec Type2]]="N/A",Table1[[#This Row],[DUT Adj Read]]="N/A",Table1[[#This Row],[Std Adj Read]]="N/A"),"N/A",IF(Table1[[#This Row],[DUT Adj Read]]="N/A",IF(Table1[[#This Row],[Std Adj Read]]&lt;=Table1[[#This Row],[High Tol]],"Pass","Fail"),IF(Table1[[#This Row],[DUT Adj Read]]&lt;=Table1[[#This Row],[High Tol]],"Pass","Fail")))</f>
        <v>Fail</v>
      </c>
      <c r="AH26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7" s="1" t="b">
        <v>0</v>
      </c>
      <c r="AN2647" s="1" t="b">
        <v>0</v>
      </c>
      <c r="AO2647" s="1" t="b">
        <v>0</v>
      </c>
    </row>
    <row r="2648" spans="1:41" x14ac:dyDescent="0.25">
      <c r="A2648" s="10"/>
      <c r="B2648" s="10"/>
      <c r="C2648" s="10"/>
      <c r="D2648" s="10"/>
      <c r="E2648" s="10"/>
      <c r="F2648" s="10"/>
      <c r="G2648" s="10"/>
      <c r="H2648" s="10"/>
      <c r="I2648" s="1" t="str">
        <f t="shared" si="123"/>
        <v/>
      </c>
      <c r="J2648" s="1" t="s">
        <v>35</v>
      </c>
      <c r="K2648" s="1" t="str">
        <f t="shared" si="124"/>
        <v/>
      </c>
      <c r="L2648" s="1" t="str">
        <f t="shared" si="125"/>
        <v/>
      </c>
      <c r="M2648" s="1">
        <f>IF(OR(Table1[[#This Row],[Std Nom]]="",Table1[[#This Row],[Std Read]]=""),0,Table1[[#This Row],[Std Nom]]-Table1[[#This Row],[Std Read]])</f>
        <v>0</v>
      </c>
      <c r="N2648" s="1">
        <f>IF(Calculations!$F$5="ACCREDITED 17025 WITH UNCERTAINTIES",$N$10,0)</f>
        <v>0</v>
      </c>
      <c r="O2648" s="1" t="str">
        <f>IFERROR(Table1[[#This Row],[Std Nom]]-(_xlfn.XLOOKUP(Table1[[#This Row],[Manufacturer]]&amp;" "&amp;Table1[[#This Row],[Model]],Table13[MFR &amp; MDL],Table13[Tolerance % CW ],"")/100*Table1[[#This Row],[Std Nom]]),"")</f>
        <v/>
      </c>
      <c r="P2648" s="1" t="str">
        <f>IFERROR(Table1[[#This Row],[Std Nom]]+(_xlfn.XLOOKUP(Table1[[#This Row],[Manufacturer]]&amp;" "&amp;Table1[[#This Row],[Model]],Table13[MFR &amp; MDL],Table13[Tolerance % CW ],"")/100*Table1[[#This Row],[Std Nom]]),"")</f>
        <v/>
      </c>
      <c r="Q2648" s="1" t="e">
        <f>Table1[[#This Row],[High Tol]]-Table1[[#This Row],[Low Tol]]</f>
        <v>#VALUE!</v>
      </c>
      <c r="R2648" s="1">
        <f>2*Table1[[#This Row],[Std Error]]</f>
        <v>0</v>
      </c>
      <c r="S2648" s="1" t="str">
        <f>IF(Table1[[#This Row],[High Tol]]="","N/A",IFERROR(ABS(Table1[[#This Row],[Tol Span]]/Table1[[#This Row],[Error Span]]),"N/A"))</f>
        <v>N/A</v>
      </c>
      <c r="T2648" s="1" t="str">
        <f>IF(OR(Table1[[#This Row],[Low Tol]]="",Table1[[#This Row],[High Tol]]=""),"Needs Analysis",IF(Table1[[#This Row],[Ratio]]&gt;=4,"Not Significant",IF(Table1[[#This Row],[Ratio]]&gt;=2,"Semi-Significant","Significant")))</f>
        <v>Needs Analysis</v>
      </c>
      <c r="W2648" s="1">
        <f>IF(Table1[[#This Row],[Cal Type]]&lt;&gt;"ACCREDITED 17025 WITH UNCERTAINTIES",0,"")</f>
        <v>0</v>
      </c>
      <c r="X2648" s="1" t="str">
        <f>IF(Table1[[#This Row],[DUT Read]]="","N/A",Table1[[#This Row],[Std Error]]+Table1[[#This Row],[DUT Read]]+Table1[[#This Row],[DUT Ucty]])</f>
        <v>N/A</v>
      </c>
      <c r="Y2648" s="1" t="str">
        <f>IF(Table1[[#This Row],[Std Read]]="","N/A",Table1[[#This Row],[Std Read]]+Table1[[#This Row],[Std Ucty]])</f>
        <v>N/A</v>
      </c>
      <c r="Z26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8" s="1" t="str">
        <f>IF(Table1[[#This Row],[Spec Type]]="","N/A",Table1[[#This Row],[Spec Type]])</f>
        <v>±</v>
      </c>
      <c r="AC2648" s="1" t="str">
        <f>IF(Table1[[#This Row],[Spec Type2]]="N/A","N/A",IF(AND(Table1[[#This Row],[DUT Adj Read]]&gt;=Table1[[#This Row],[Low Tol]],Table1[[#This Row],[DUT Adj Read]]&lt;=Table1[[#This Row],[High Tol]]),"Pass","Fail"))</f>
        <v>Fail</v>
      </c>
      <c r="AD2648" s="1" t="str">
        <f>IF(AND(Table1[[#This Row],[Spec Type2]]="N/A",Table1[[#This Row],[DUT Adj Read]]="N/A",Table1[[#This Row],[Std Adj Read]]="N/A"),"N/A",IF(Table1[[#This Row],[DUT Adj Read]]="N/A",IF(Table1[[#This Row],[Std Adj Read]]&gt;Table1[[#This Row],[Low Tol]],"Pass","Fail"),IF(Table1[[#This Row],[DUT Adj Read]]&gt;Table1[[#This Row],[Low Tol]],"Pass","Fail")))</f>
        <v>Pass</v>
      </c>
      <c r="AE2648" s="1" t="str">
        <f>IF(AND(Table1[[#This Row],[Spec Type2]]="N/A",Table1[[#This Row],[DUT Adj Read]]="N/A",Table1[[#This Row],[Std Adj Read]]="N/A"),"N/A",IF(Table1[[#This Row],[DUT Adj Read]]="N/A",IF(Table1[[#This Row],[Std Adj Read]]&lt;Table1[[#This Row],[High Tol]],"Pass","Fail"),IF(Table1[[#This Row],[DUT Adj Read]]&lt;Table1[[#This Row],[High Tol]],"Pass","Fail")))</f>
        <v>Fail</v>
      </c>
      <c r="AF2648" s="1" t="str">
        <f>IF(AND(Table1[[#This Row],[Spec Type2]]="N/A",Table1[[#This Row],[DUT Adj Read]]="N/A",Table1[[#This Row],[Std Adj Read]]="N/A"),"N/A",IF(Table1[[#This Row],[DUT Adj Read]]="N/A",IF(Table1[[#This Row],[Std Adj Read]]&gt;=Table1[[#This Row],[Low Tol]],"Pass","Fail"),IF(Table1[[#This Row],[DUT Adj Read]]&gt;=Table1[[#This Row],[Low Tol]],"Pass","Fail")))</f>
        <v>Pass</v>
      </c>
      <c r="AG2648" s="1" t="str">
        <f>IF(AND(Table1[[#This Row],[Spec Type2]]="N/A",Table1[[#This Row],[DUT Adj Read]]="N/A",Table1[[#This Row],[Std Adj Read]]="N/A"),"N/A",IF(Table1[[#This Row],[DUT Adj Read]]="N/A",IF(Table1[[#This Row],[Std Adj Read]]&lt;=Table1[[#This Row],[High Tol]],"Pass","Fail"),IF(Table1[[#This Row],[DUT Adj Read]]&lt;=Table1[[#This Row],[High Tol]],"Pass","Fail")))</f>
        <v>Fail</v>
      </c>
      <c r="AH26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8" s="1" t="b">
        <v>0</v>
      </c>
      <c r="AN2648" s="1" t="b">
        <v>0</v>
      </c>
      <c r="AO2648" s="1" t="b">
        <v>0</v>
      </c>
    </row>
    <row r="2649" spans="1:41" x14ac:dyDescent="0.25">
      <c r="A2649" s="10"/>
      <c r="B2649" s="10"/>
      <c r="C2649" s="10"/>
      <c r="D2649" s="10"/>
      <c r="E2649" s="10"/>
      <c r="F2649" s="10"/>
      <c r="G2649" s="10"/>
      <c r="H2649" s="10"/>
      <c r="I2649" s="1" t="str">
        <f t="shared" si="123"/>
        <v/>
      </c>
      <c r="J2649" s="1" t="s">
        <v>35</v>
      </c>
      <c r="K2649" s="1" t="str">
        <f t="shared" si="124"/>
        <v/>
      </c>
      <c r="L2649" s="1" t="str">
        <f t="shared" si="125"/>
        <v/>
      </c>
      <c r="M2649" s="1">
        <f>IF(OR(Table1[[#This Row],[Std Nom]]="",Table1[[#This Row],[Std Read]]=""),0,Table1[[#This Row],[Std Nom]]-Table1[[#This Row],[Std Read]])</f>
        <v>0</v>
      </c>
      <c r="N2649" s="1">
        <f>IF(Calculations!$F$5="ACCREDITED 17025 WITH UNCERTAINTIES",$N$10,0)</f>
        <v>0</v>
      </c>
      <c r="O2649" s="1" t="str">
        <f>IFERROR(Table1[[#This Row],[Std Nom]]-(_xlfn.XLOOKUP(Table1[[#This Row],[Manufacturer]]&amp;" "&amp;Table1[[#This Row],[Model]],Table13[MFR &amp; MDL],Table13[Tolerance % CW ],"")/100*Table1[[#This Row],[Std Nom]]),"")</f>
        <v/>
      </c>
      <c r="P2649" s="1" t="str">
        <f>IFERROR(Table1[[#This Row],[Std Nom]]+(_xlfn.XLOOKUP(Table1[[#This Row],[Manufacturer]]&amp;" "&amp;Table1[[#This Row],[Model]],Table13[MFR &amp; MDL],Table13[Tolerance % CW ],"")/100*Table1[[#This Row],[Std Nom]]),"")</f>
        <v/>
      </c>
      <c r="Q2649" s="1" t="e">
        <f>Table1[[#This Row],[High Tol]]-Table1[[#This Row],[Low Tol]]</f>
        <v>#VALUE!</v>
      </c>
      <c r="R2649" s="1">
        <f>2*Table1[[#This Row],[Std Error]]</f>
        <v>0</v>
      </c>
      <c r="S2649" s="1" t="str">
        <f>IF(Table1[[#This Row],[High Tol]]="","N/A",IFERROR(ABS(Table1[[#This Row],[Tol Span]]/Table1[[#This Row],[Error Span]]),"N/A"))</f>
        <v>N/A</v>
      </c>
      <c r="T2649" s="1" t="str">
        <f>IF(OR(Table1[[#This Row],[Low Tol]]="",Table1[[#This Row],[High Tol]]=""),"Needs Analysis",IF(Table1[[#This Row],[Ratio]]&gt;=4,"Not Significant",IF(Table1[[#This Row],[Ratio]]&gt;=2,"Semi-Significant","Significant")))</f>
        <v>Needs Analysis</v>
      </c>
      <c r="W2649" s="1">
        <f>IF(Table1[[#This Row],[Cal Type]]&lt;&gt;"ACCREDITED 17025 WITH UNCERTAINTIES",0,"")</f>
        <v>0</v>
      </c>
      <c r="X2649" s="1" t="str">
        <f>IF(Table1[[#This Row],[DUT Read]]="","N/A",Table1[[#This Row],[Std Error]]+Table1[[#This Row],[DUT Read]]+Table1[[#This Row],[DUT Ucty]])</f>
        <v>N/A</v>
      </c>
      <c r="Y2649" s="1" t="str">
        <f>IF(Table1[[#This Row],[Std Read]]="","N/A",Table1[[#This Row],[Std Read]]+Table1[[#This Row],[Std Ucty]])</f>
        <v>N/A</v>
      </c>
      <c r="Z26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9" s="1" t="str">
        <f>IF(Table1[[#This Row],[Spec Type]]="","N/A",Table1[[#This Row],[Spec Type]])</f>
        <v>±</v>
      </c>
      <c r="AC2649" s="1" t="str">
        <f>IF(Table1[[#This Row],[Spec Type2]]="N/A","N/A",IF(AND(Table1[[#This Row],[DUT Adj Read]]&gt;=Table1[[#This Row],[Low Tol]],Table1[[#This Row],[DUT Adj Read]]&lt;=Table1[[#This Row],[High Tol]]),"Pass","Fail"))</f>
        <v>Fail</v>
      </c>
      <c r="AD2649" s="1" t="str">
        <f>IF(AND(Table1[[#This Row],[Spec Type2]]="N/A",Table1[[#This Row],[DUT Adj Read]]="N/A",Table1[[#This Row],[Std Adj Read]]="N/A"),"N/A",IF(Table1[[#This Row],[DUT Adj Read]]="N/A",IF(Table1[[#This Row],[Std Adj Read]]&gt;Table1[[#This Row],[Low Tol]],"Pass","Fail"),IF(Table1[[#This Row],[DUT Adj Read]]&gt;Table1[[#This Row],[Low Tol]],"Pass","Fail")))</f>
        <v>Pass</v>
      </c>
      <c r="AE2649" s="1" t="str">
        <f>IF(AND(Table1[[#This Row],[Spec Type2]]="N/A",Table1[[#This Row],[DUT Adj Read]]="N/A",Table1[[#This Row],[Std Adj Read]]="N/A"),"N/A",IF(Table1[[#This Row],[DUT Adj Read]]="N/A",IF(Table1[[#This Row],[Std Adj Read]]&lt;Table1[[#This Row],[High Tol]],"Pass","Fail"),IF(Table1[[#This Row],[DUT Adj Read]]&lt;Table1[[#This Row],[High Tol]],"Pass","Fail")))</f>
        <v>Fail</v>
      </c>
      <c r="AF2649" s="1" t="str">
        <f>IF(AND(Table1[[#This Row],[Spec Type2]]="N/A",Table1[[#This Row],[DUT Adj Read]]="N/A",Table1[[#This Row],[Std Adj Read]]="N/A"),"N/A",IF(Table1[[#This Row],[DUT Adj Read]]="N/A",IF(Table1[[#This Row],[Std Adj Read]]&gt;=Table1[[#This Row],[Low Tol]],"Pass","Fail"),IF(Table1[[#This Row],[DUT Adj Read]]&gt;=Table1[[#This Row],[Low Tol]],"Pass","Fail")))</f>
        <v>Pass</v>
      </c>
      <c r="AG2649" s="1" t="str">
        <f>IF(AND(Table1[[#This Row],[Spec Type2]]="N/A",Table1[[#This Row],[DUT Adj Read]]="N/A",Table1[[#This Row],[Std Adj Read]]="N/A"),"N/A",IF(Table1[[#This Row],[DUT Adj Read]]="N/A",IF(Table1[[#This Row],[Std Adj Read]]&lt;=Table1[[#This Row],[High Tol]],"Pass","Fail"),IF(Table1[[#This Row],[DUT Adj Read]]&lt;=Table1[[#This Row],[High Tol]],"Pass","Fail")))</f>
        <v>Fail</v>
      </c>
      <c r="AH26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9" s="1" t="b">
        <v>0</v>
      </c>
      <c r="AN2649" s="1" t="b">
        <v>0</v>
      </c>
      <c r="AO2649" s="1" t="b">
        <v>0</v>
      </c>
    </row>
    <row r="2650" spans="1:41" x14ac:dyDescent="0.25">
      <c r="A2650" s="10"/>
      <c r="B2650" s="10"/>
      <c r="C2650" s="10"/>
      <c r="D2650" s="10"/>
      <c r="E2650" s="10"/>
      <c r="F2650" s="10"/>
      <c r="G2650" s="10"/>
      <c r="H2650" s="10"/>
      <c r="I2650" s="1" t="str">
        <f t="shared" si="123"/>
        <v/>
      </c>
      <c r="J2650" s="1" t="s">
        <v>35</v>
      </c>
      <c r="K2650" s="1" t="str">
        <f t="shared" si="124"/>
        <v/>
      </c>
      <c r="L2650" s="1" t="str">
        <f t="shared" si="125"/>
        <v/>
      </c>
      <c r="M2650" s="1">
        <f>IF(OR(Table1[[#This Row],[Std Nom]]="",Table1[[#This Row],[Std Read]]=""),0,Table1[[#This Row],[Std Nom]]-Table1[[#This Row],[Std Read]])</f>
        <v>0</v>
      </c>
      <c r="N2650" s="1">
        <f>IF(Calculations!$F$5="ACCREDITED 17025 WITH UNCERTAINTIES",$N$10,0)</f>
        <v>0</v>
      </c>
      <c r="O2650" s="1" t="str">
        <f>IFERROR(Table1[[#This Row],[Std Nom]]-(_xlfn.XLOOKUP(Table1[[#This Row],[Manufacturer]]&amp;" "&amp;Table1[[#This Row],[Model]],Table13[MFR &amp; MDL],Table13[Tolerance % CW ],"")/100*Table1[[#This Row],[Std Nom]]),"")</f>
        <v/>
      </c>
      <c r="P2650" s="1" t="str">
        <f>IFERROR(Table1[[#This Row],[Std Nom]]+(_xlfn.XLOOKUP(Table1[[#This Row],[Manufacturer]]&amp;" "&amp;Table1[[#This Row],[Model]],Table13[MFR &amp; MDL],Table13[Tolerance % CW ],"")/100*Table1[[#This Row],[Std Nom]]),"")</f>
        <v/>
      </c>
      <c r="Q2650" s="1" t="e">
        <f>Table1[[#This Row],[High Tol]]-Table1[[#This Row],[Low Tol]]</f>
        <v>#VALUE!</v>
      </c>
      <c r="R2650" s="1">
        <f>2*Table1[[#This Row],[Std Error]]</f>
        <v>0</v>
      </c>
      <c r="S2650" s="1" t="str">
        <f>IF(Table1[[#This Row],[High Tol]]="","N/A",IFERROR(ABS(Table1[[#This Row],[Tol Span]]/Table1[[#This Row],[Error Span]]),"N/A"))</f>
        <v>N/A</v>
      </c>
      <c r="T2650" s="1" t="str">
        <f>IF(OR(Table1[[#This Row],[Low Tol]]="",Table1[[#This Row],[High Tol]]=""),"Needs Analysis",IF(Table1[[#This Row],[Ratio]]&gt;=4,"Not Significant",IF(Table1[[#This Row],[Ratio]]&gt;=2,"Semi-Significant","Significant")))</f>
        <v>Needs Analysis</v>
      </c>
      <c r="W2650" s="1">
        <f>IF(Table1[[#This Row],[Cal Type]]&lt;&gt;"ACCREDITED 17025 WITH UNCERTAINTIES",0,"")</f>
        <v>0</v>
      </c>
      <c r="X2650" s="1" t="str">
        <f>IF(Table1[[#This Row],[DUT Read]]="","N/A",Table1[[#This Row],[Std Error]]+Table1[[#This Row],[DUT Read]]+Table1[[#This Row],[DUT Ucty]])</f>
        <v>N/A</v>
      </c>
      <c r="Y2650" s="1" t="str">
        <f>IF(Table1[[#This Row],[Std Read]]="","N/A",Table1[[#This Row],[Std Read]]+Table1[[#This Row],[Std Ucty]])</f>
        <v>N/A</v>
      </c>
      <c r="Z26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0" s="1" t="str">
        <f>IF(Table1[[#This Row],[Spec Type]]="","N/A",Table1[[#This Row],[Spec Type]])</f>
        <v>±</v>
      </c>
      <c r="AC2650" s="1" t="str">
        <f>IF(Table1[[#This Row],[Spec Type2]]="N/A","N/A",IF(AND(Table1[[#This Row],[DUT Adj Read]]&gt;=Table1[[#This Row],[Low Tol]],Table1[[#This Row],[DUT Adj Read]]&lt;=Table1[[#This Row],[High Tol]]),"Pass","Fail"))</f>
        <v>Fail</v>
      </c>
      <c r="AD2650" s="1" t="str">
        <f>IF(AND(Table1[[#This Row],[Spec Type2]]="N/A",Table1[[#This Row],[DUT Adj Read]]="N/A",Table1[[#This Row],[Std Adj Read]]="N/A"),"N/A",IF(Table1[[#This Row],[DUT Adj Read]]="N/A",IF(Table1[[#This Row],[Std Adj Read]]&gt;Table1[[#This Row],[Low Tol]],"Pass","Fail"),IF(Table1[[#This Row],[DUT Adj Read]]&gt;Table1[[#This Row],[Low Tol]],"Pass","Fail")))</f>
        <v>Pass</v>
      </c>
      <c r="AE2650" s="1" t="str">
        <f>IF(AND(Table1[[#This Row],[Spec Type2]]="N/A",Table1[[#This Row],[DUT Adj Read]]="N/A",Table1[[#This Row],[Std Adj Read]]="N/A"),"N/A",IF(Table1[[#This Row],[DUT Adj Read]]="N/A",IF(Table1[[#This Row],[Std Adj Read]]&lt;Table1[[#This Row],[High Tol]],"Pass","Fail"),IF(Table1[[#This Row],[DUT Adj Read]]&lt;Table1[[#This Row],[High Tol]],"Pass","Fail")))</f>
        <v>Fail</v>
      </c>
      <c r="AF2650" s="1" t="str">
        <f>IF(AND(Table1[[#This Row],[Spec Type2]]="N/A",Table1[[#This Row],[DUT Adj Read]]="N/A",Table1[[#This Row],[Std Adj Read]]="N/A"),"N/A",IF(Table1[[#This Row],[DUT Adj Read]]="N/A",IF(Table1[[#This Row],[Std Adj Read]]&gt;=Table1[[#This Row],[Low Tol]],"Pass","Fail"),IF(Table1[[#This Row],[DUT Adj Read]]&gt;=Table1[[#This Row],[Low Tol]],"Pass","Fail")))</f>
        <v>Pass</v>
      </c>
      <c r="AG2650" s="1" t="str">
        <f>IF(AND(Table1[[#This Row],[Spec Type2]]="N/A",Table1[[#This Row],[DUT Adj Read]]="N/A",Table1[[#This Row],[Std Adj Read]]="N/A"),"N/A",IF(Table1[[#This Row],[DUT Adj Read]]="N/A",IF(Table1[[#This Row],[Std Adj Read]]&lt;=Table1[[#This Row],[High Tol]],"Pass","Fail"),IF(Table1[[#This Row],[DUT Adj Read]]&lt;=Table1[[#This Row],[High Tol]],"Pass","Fail")))</f>
        <v>Fail</v>
      </c>
      <c r="AH26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0" s="1" t="b">
        <v>0</v>
      </c>
      <c r="AN2650" s="1" t="b">
        <v>0</v>
      </c>
      <c r="AO2650" s="1" t="b">
        <v>0</v>
      </c>
    </row>
    <row r="2651" spans="1:41" x14ac:dyDescent="0.25">
      <c r="A2651" s="10"/>
      <c r="B2651" s="10"/>
      <c r="C2651" s="10"/>
      <c r="D2651" s="10"/>
      <c r="E2651" s="10"/>
      <c r="F2651" s="10"/>
      <c r="G2651" s="10"/>
      <c r="H2651" s="10"/>
      <c r="I2651" s="1" t="str">
        <f t="shared" si="123"/>
        <v/>
      </c>
      <c r="J2651" s="1" t="s">
        <v>35</v>
      </c>
      <c r="K2651" s="1" t="str">
        <f t="shared" si="124"/>
        <v/>
      </c>
      <c r="L2651" s="1" t="str">
        <f t="shared" si="125"/>
        <v/>
      </c>
      <c r="M2651" s="1">
        <f>IF(OR(Table1[[#This Row],[Std Nom]]="",Table1[[#This Row],[Std Read]]=""),0,Table1[[#This Row],[Std Nom]]-Table1[[#This Row],[Std Read]])</f>
        <v>0</v>
      </c>
      <c r="N2651" s="1">
        <f>IF(Calculations!$F$5="ACCREDITED 17025 WITH UNCERTAINTIES",$N$10,0)</f>
        <v>0</v>
      </c>
      <c r="O2651" s="1" t="str">
        <f>IFERROR(Table1[[#This Row],[Std Nom]]-(_xlfn.XLOOKUP(Table1[[#This Row],[Manufacturer]]&amp;" "&amp;Table1[[#This Row],[Model]],Table13[MFR &amp; MDL],Table13[Tolerance % CW ],"")/100*Table1[[#This Row],[Std Nom]]),"")</f>
        <v/>
      </c>
      <c r="P2651" s="1" t="str">
        <f>IFERROR(Table1[[#This Row],[Std Nom]]+(_xlfn.XLOOKUP(Table1[[#This Row],[Manufacturer]]&amp;" "&amp;Table1[[#This Row],[Model]],Table13[MFR &amp; MDL],Table13[Tolerance % CW ],"")/100*Table1[[#This Row],[Std Nom]]),"")</f>
        <v/>
      </c>
      <c r="Q2651" s="1" t="e">
        <f>Table1[[#This Row],[High Tol]]-Table1[[#This Row],[Low Tol]]</f>
        <v>#VALUE!</v>
      </c>
      <c r="R2651" s="1">
        <f>2*Table1[[#This Row],[Std Error]]</f>
        <v>0</v>
      </c>
      <c r="S2651" s="1" t="str">
        <f>IF(Table1[[#This Row],[High Tol]]="","N/A",IFERROR(ABS(Table1[[#This Row],[Tol Span]]/Table1[[#This Row],[Error Span]]),"N/A"))</f>
        <v>N/A</v>
      </c>
      <c r="T2651" s="1" t="str">
        <f>IF(OR(Table1[[#This Row],[Low Tol]]="",Table1[[#This Row],[High Tol]]=""),"Needs Analysis",IF(Table1[[#This Row],[Ratio]]&gt;=4,"Not Significant",IF(Table1[[#This Row],[Ratio]]&gt;=2,"Semi-Significant","Significant")))</f>
        <v>Needs Analysis</v>
      </c>
      <c r="W2651" s="1">
        <f>IF(Table1[[#This Row],[Cal Type]]&lt;&gt;"ACCREDITED 17025 WITH UNCERTAINTIES",0,"")</f>
        <v>0</v>
      </c>
      <c r="X2651" s="1" t="str">
        <f>IF(Table1[[#This Row],[DUT Read]]="","N/A",Table1[[#This Row],[Std Error]]+Table1[[#This Row],[DUT Read]]+Table1[[#This Row],[DUT Ucty]])</f>
        <v>N/A</v>
      </c>
      <c r="Y2651" s="1" t="str">
        <f>IF(Table1[[#This Row],[Std Read]]="","N/A",Table1[[#This Row],[Std Read]]+Table1[[#This Row],[Std Ucty]])</f>
        <v>N/A</v>
      </c>
      <c r="Z26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1" s="1" t="str">
        <f>IF(Table1[[#This Row],[Spec Type]]="","N/A",Table1[[#This Row],[Spec Type]])</f>
        <v>±</v>
      </c>
      <c r="AC2651" s="1" t="str">
        <f>IF(Table1[[#This Row],[Spec Type2]]="N/A","N/A",IF(AND(Table1[[#This Row],[DUT Adj Read]]&gt;=Table1[[#This Row],[Low Tol]],Table1[[#This Row],[DUT Adj Read]]&lt;=Table1[[#This Row],[High Tol]]),"Pass","Fail"))</f>
        <v>Fail</v>
      </c>
      <c r="AD2651" s="1" t="str">
        <f>IF(AND(Table1[[#This Row],[Spec Type2]]="N/A",Table1[[#This Row],[DUT Adj Read]]="N/A",Table1[[#This Row],[Std Adj Read]]="N/A"),"N/A",IF(Table1[[#This Row],[DUT Adj Read]]="N/A",IF(Table1[[#This Row],[Std Adj Read]]&gt;Table1[[#This Row],[Low Tol]],"Pass","Fail"),IF(Table1[[#This Row],[DUT Adj Read]]&gt;Table1[[#This Row],[Low Tol]],"Pass","Fail")))</f>
        <v>Pass</v>
      </c>
      <c r="AE2651" s="1" t="str">
        <f>IF(AND(Table1[[#This Row],[Spec Type2]]="N/A",Table1[[#This Row],[DUT Adj Read]]="N/A",Table1[[#This Row],[Std Adj Read]]="N/A"),"N/A",IF(Table1[[#This Row],[DUT Adj Read]]="N/A",IF(Table1[[#This Row],[Std Adj Read]]&lt;Table1[[#This Row],[High Tol]],"Pass","Fail"),IF(Table1[[#This Row],[DUT Adj Read]]&lt;Table1[[#This Row],[High Tol]],"Pass","Fail")))</f>
        <v>Fail</v>
      </c>
      <c r="AF2651" s="1" t="str">
        <f>IF(AND(Table1[[#This Row],[Spec Type2]]="N/A",Table1[[#This Row],[DUT Adj Read]]="N/A",Table1[[#This Row],[Std Adj Read]]="N/A"),"N/A",IF(Table1[[#This Row],[DUT Adj Read]]="N/A",IF(Table1[[#This Row],[Std Adj Read]]&gt;=Table1[[#This Row],[Low Tol]],"Pass","Fail"),IF(Table1[[#This Row],[DUT Adj Read]]&gt;=Table1[[#This Row],[Low Tol]],"Pass","Fail")))</f>
        <v>Pass</v>
      </c>
      <c r="AG2651" s="1" t="str">
        <f>IF(AND(Table1[[#This Row],[Spec Type2]]="N/A",Table1[[#This Row],[DUT Adj Read]]="N/A",Table1[[#This Row],[Std Adj Read]]="N/A"),"N/A",IF(Table1[[#This Row],[DUT Adj Read]]="N/A",IF(Table1[[#This Row],[Std Adj Read]]&lt;=Table1[[#This Row],[High Tol]],"Pass","Fail"),IF(Table1[[#This Row],[DUT Adj Read]]&lt;=Table1[[#This Row],[High Tol]],"Pass","Fail")))</f>
        <v>Fail</v>
      </c>
      <c r="AH26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1" s="1" t="b">
        <v>0</v>
      </c>
      <c r="AN2651" s="1" t="b">
        <v>0</v>
      </c>
      <c r="AO2651" s="1" t="b">
        <v>0</v>
      </c>
    </row>
    <row r="2652" spans="1:41" x14ac:dyDescent="0.25">
      <c r="A2652" s="10"/>
      <c r="B2652" s="10"/>
      <c r="C2652" s="10"/>
      <c r="D2652" s="10"/>
      <c r="E2652" s="10"/>
      <c r="F2652" s="10"/>
      <c r="G2652" s="10"/>
      <c r="H2652" s="10"/>
      <c r="I2652" s="1" t="str">
        <f t="shared" si="123"/>
        <v/>
      </c>
      <c r="J2652" s="1" t="s">
        <v>35</v>
      </c>
      <c r="K2652" s="1" t="str">
        <f t="shared" si="124"/>
        <v/>
      </c>
      <c r="L2652" s="1" t="str">
        <f t="shared" si="125"/>
        <v/>
      </c>
      <c r="M2652" s="1">
        <f>IF(OR(Table1[[#This Row],[Std Nom]]="",Table1[[#This Row],[Std Read]]=""),0,Table1[[#This Row],[Std Nom]]-Table1[[#This Row],[Std Read]])</f>
        <v>0</v>
      </c>
      <c r="N2652" s="1">
        <f>IF(Calculations!$F$5="ACCREDITED 17025 WITH UNCERTAINTIES",$N$10,0)</f>
        <v>0</v>
      </c>
      <c r="O2652" s="1" t="str">
        <f>IFERROR(Table1[[#This Row],[Std Nom]]-(_xlfn.XLOOKUP(Table1[[#This Row],[Manufacturer]]&amp;" "&amp;Table1[[#This Row],[Model]],Table13[MFR &amp; MDL],Table13[Tolerance % CW ],"")/100*Table1[[#This Row],[Std Nom]]),"")</f>
        <v/>
      </c>
      <c r="P2652" s="1" t="str">
        <f>IFERROR(Table1[[#This Row],[Std Nom]]+(_xlfn.XLOOKUP(Table1[[#This Row],[Manufacturer]]&amp;" "&amp;Table1[[#This Row],[Model]],Table13[MFR &amp; MDL],Table13[Tolerance % CW ],"")/100*Table1[[#This Row],[Std Nom]]),"")</f>
        <v/>
      </c>
      <c r="Q2652" s="1" t="e">
        <f>Table1[[#This Row],[High Tol]]-Table1[[#This Row],[Low Tol]]</f>
        <v>#VALUE!</v>
      </c>
      <c r="R2652" s="1">
        <f>2*Table1[[#This Row],[Std Error]]</f>
        <v>0</v>
      </c>
      <c r="S2652" s="1" t="str">
        <f>IF(Table1[[#This Row],[High Tol]]="","N/A",IFERROR(ABS(Table1[[#This Row],[Tol Span]]/Table1[[#This Row],[Error Span]]),"N/A"))</f>
        <v>N/A</v>
      </c>
      <c r="T2652" s="1" t="str">
        <f>IF(OR(Table1[[#This Row],[Low Tol]]="",Table1[[#This Row],[High Tol]]=""),"Needs Analysis",IF(Table1[[#This Row],[Ratio]]&gt;=4,"Not Significant",IF(Table1[[#This Row],[Ratio]]&gt;=2,"Semi-Significant","Significant")))</f>
        <v>Needs Analysis</v>
      </c>
      <c r="W2652" s="1">
        <f>IF(Table1[[#This Row],[Cal Type]]&lt;&gt;"ACCREDITED 17025 WITH UNCERTAINTIES",0,"")</f>
        <v>0</v>
      </c>
      <c r="X2652" s="1" t="str">
        <f>IF(Table1[[#This Row],[DUT Read]]="","N/A",Table1[[#This Row],[Std Error]]+Table1[[#This Row],[DUT Read]]+Table1[[#This Row],[DUT Ucty]])</f>
        <v>N/A</v>
      </c>
      <c r="Y2652" s="1" t="str">
        <f>IF(Table1[[#This Row],[Std Read]]="","N/A",Table1[[#This Row],[Std Read]]+Table1[[#This Row],[Std Ucty]])</f>
        <v>N/A</v>
      </c>
      <c r="Z26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2" s="1" t="str">
        <f>IF(Table1[[#This Row],[Spec Type]]="","N/A",Table1[[#This Row],[Spec Type]])</f>
        <v>±</v>
      </c>
      <c r="AC2652" s="1" t="str">
        <f>IF(Table1[[#This Row],[Spec Type2]]="N/A","N/A",IF(AND(Table1[[#This Row],[DUT Adj Read]]&gt;=Table1[[#This Row],[Low Tol]],Table1[[#This Row],[DUT Adj Read]]&lt;=Table1[[#This Row],[High Tol]]),"Pass","Fail"))</f>
        <v>Fail</v>
      </c>
      <c r="AD2652" s="1" t="str">
        <f>IF(AND(Table1[[#This Row],[Spec Type2]]="N/A",Table1[[#This Row],[DUT Adj Read]]="N/A",Table1[[#This Row],[Std Adj Read]]="N/A"),"N/A",IF(Table1[[#This Row],[DUT Adj Read]]="N/A",IF(Table1[[#This Row],[Std Adj Read]]&gt;Table1[[#This Row],[Low Tol]],"Pass","Fail"),IF(Table1[[#This Row],[DUT Adj Read]]&gt;Table1[[#This Row],[Low Tol]],"Pass","Fail")))</f>
        <v>Pass</v>
      </c>
      <c r="AE2652" s="1" t="str">
        <f>IF(AND(Table1[[#This Row],[Spec Type2]]="N/A",Table1[[#This Row],[DUT Adj Read]]="N/A",Table1[[#This Row],[Std Adj Read]]="N/A"),"N/A",IF(Table1[[#This Row],[DUT Adj Read]]="N/A",IF(Table1[[#This Row],[Std Adj Read]]&lt;Table1[[#This Row],[High Tol]],"Pass","Fail"),IF(Table1[[#This Row],[DUT Adj Read]]&lt;Table1[[#This Row],[High Tol]],"Pass","Fail")))</f>
        <v>Fail</v>
      </c>
      <c r="AF2652" s="1" t="str">
        <f>IF(AND(Table1[[#This Row],[Spec Type2]]="N/A",Table1[[#This Row],[DUT Adj Read]]="N/A",Table1[[#This Row],[Std Adj Read]]="N/A"),"N/A",IF(Table1[[#This Row],[DUT Adj Read]]="N/A",IF(Table1[[#This Row],[Std Adj Read]]&gt;=Table1[[#This Row],[Low Tol]],"Pass","Fail"),IF(Table1[[#This Row],[DUT Adj Read]]&gt;=Table1[[#This Row],[Low Tol]],"Pass","Fail")))</f>
        <v>Pass</v>
      </c>
      <c r="AG2652" s="1" t="str">
        <f>IF(AND(Table1[[#This Row],[Spec Type2]]="N/A",Table1[[#This Row],[DUT Adj Read]]="N/A",Table1[[#This Row],[Std Adj Read]]="N/A"),"N/A",IF(Table1[[#This Row],[DUT Adj Read]]="N/A",IF(Table1[[#This Row],[Std Adj Read]]&lt;=Table1[[#This Row],[High Tol]],"Pass","Fail"),IF(Table1[[#This Row],[DUT Adj Read]]&lt;=Table1[[#This Row],[High Tol]],"Pass","Fail")))</f>
        <v>Fail</v>
      </c>
      <c r="AH26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2" s="1" t="b">
        <v>0</v>
      </c>
      <c r="AN2652" s="1" t="b">
        <v>0</v>
      </c>
      <c r="AO2652" s="1" t="b">
        <v>0</v>
      </c>
    </row>
    <row r="2653" spans="1:41" x14ac:dyDescent="0.25">
      <c r="A2653" s="10"/>
      <c r="B2653" s="10"/>
      <c r="C2653" s="10"/>
      <c r="D2653" s="10"/>
      <c r="E2653" s="10"/>
      <c r="F2653" s="10"/>
      <c r="G2653" s="10"/>
      <c r="H2653" s="10"/>
      <c r="I2653" s="1" t="str">
        <f t="shared" si="123"/>
        <v/>
      </c>
      <c r="J2653" s="1" t="s">
        <v>35</v>
      </c>
      <c r="K2653" s="1" t="str">
        <f t="shared" si="124"/>
        <v/>
      </c>
      <c r="L2653" s="1" t="str">
        <f t="shared" si="125"/>
        <v/>
      </c>
      <c r="M2653" s="1">
        <f>IF(OR(Table1[[#This Row],[Std Nom]]="",Table1[[#This Row],[Std Read]]=""),0,Table1[[#This Row],[Std Nom]]-Table1[[#This Row],[Std Read]])</f>
        <v>0</v>
      </c>
      <c r="N2653" s="1">
        <f>IF(Calculations!$F$5="ACCREDITED 17025 WITH UNCERTAINTIES",$N$10,0)</f>
        <v>0</v>
      </c>
      <c r="O2653" s="1" t="str">
        <f>IFERROR(Table1[[#This Row],[Std Nom]]-(_xlfn.XLOOKUP(Table1[[#This Row],[Manufacturer]]&amp;" "&amp;Table1[[#This Row],[Model]],Table13[MFR &amp; MDL],Table13[Tolerance % CW ],"")/100*Table1[[#This Row],[Std Nom]]),"")</f>
        <v/>
      </c>
      <c r="P2653" s="1" t="str">
        <f>IFERROR(Table1[[#This Row],[Std Nom]]+(_xlfn.XLOOKUP(Table1[[#This Row],[Manufacturer]]&amp;" "&amp;Table1[[#This Row],[Model]],Table13[MFR &amp; MDL],Table13[Tolerance % CW ],"")/100*Table1[[#This Row],[Std Nom]]),"")</f>
        <v/>
      </c>
      <c r="Q2653" s="1" t="e">
        <f>Table1[[#This Row],[High Tol]]-Table1[[#This Row],[Low Tol]]</f>
        <v>#VALUE!</v>
      </c>
      <c r="R2653" s="1">
        <f>2*Table1[[#This Row],[Std Error]]</f>
        <v>0</v>
      </c>
      <c r="S2653" s="1" t="str">
        <f>IF(Table1[[#This Row],[High Tol]]="","N/A",IFERROR(ABS(Table1[[#This Row],[Tol Span]]/Table1[[#This Row],[Error Span]]),"N/A"))</f>
        <v>N/A</v>
      </c>
      <c r="T2653" s="1" t="str">
        <f>IF(OR(Table1[[#This Row],[Low Tol]]="",Table1[[#This Row],[High Tol]]=""),"Needs Analysis",IF(Table1[[#This Row],[Ratio]]&gt;=4,"Not Significant",IF(Table1[[#This Row],[Ratio]]&gt;=2,"Semi-Significant","Significant")))</f>
        <v>Needs Analysis</v>
      </c>
      <c r="W2653" s="1">
        <f>IF(Table1[[#This Row],[Cal Type]]&lt;&gt;"ACCREDITED 17025 WITH UNCERTAINTIES",0,"")</f>
        <v>0</v>
      </c>
      <c r="X2653" s="1" t="str">
        <f>IF(Table1[[#This Row],[DUT Read]]="","N/A",Table1[[#This Row],[Std Error]]+Table1[[#This Row],[DUT Read]]+Table1[[#This Row],[DUT Ucty]])</f>
        <v>N/A</v>
      </c>
      <c r="Y2653" s="1" t="str">
        <f>IF(Table1[[#This Row],[Std Read]]="","N/A",Table1[[#This Row],[Std Read]]+Table1[[#This Row],[Std Ucty]])</f>
        <v>N/A</v>
      </c>
      <c r="Z26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3" s="1" t="str">
        <f>IF(Table1[[#This Row],[Spec Type]]="","N/A",Table1[[#This Row],[Spec Type]])</f>
        <v>±</v>
      </c>
      <c r="AC2653" s="1" t="str">
        <f>IF(Table1[[#This Row],[Spec Type2]]="N/A","N/A",IF(AND(Table1[[#This Row],[DUT Adj Read]]&gt;=Table1[[#This Row],[Low Tol]],Table1[[#This Row],[DUT Adj Read]]&lt;=Table1[[#This Row],[High Tol]]),"Pass","Fail"))</f>
        <v>Fail</v>
      </c>
      <c r="AD2653" s="1" t="str">
        <f>IF(AND(Table1[[#This Row],[Spec Type2]]="N/A",Table1[[#This Row],[DUT Adj Read]]="N/A",Table1[[#This Row],[Std Adj Read]]="N/A"),"N/A",IF(Table1[[#This Row],[DUT Adj Read]]="N/A",IF(Table1[[#This Row],[Std Adj Read]]&gt;Table1[[#This Row],[Low Tol]],"Pass","Fail"),IF(Table1[[#This Row],[DUT Adj Read]]&gt;Table1[[#This Row],[Low Tol]],"Pass","Fail")))</f>
        <v>Pass</v>
      </c>
      <c r="AE2653" s="1" t="str">
        <f>IF(AND(Table1[[#This Row],[Spec Type2]]="N/A",Table1[[#This Row],[DUT Adj Read]]="N/A",Table1[[#This Row],[Std Adj Read]]="N/A"),"N/A",IF(Table1[[#This Row],[DUT Adj Read]]="N/A",IF(Table1[[#This Row],[Std Adj Read]]&lt;Table1[[#This Row],[High Tol]],"Pass","Fail"),IF(Table1[[#This Row],[DUT Adj Read]]&lt;Table1[[#This Row],[High Tol]],"Pass","Fail")))</f>
        <v>Fail</v>
      </c>
      <c r="AF2653" s="1" t="str">
        <f>IF(AND(Table1[[#This Row],[Spec Type2]]="N/A",Table1[[#This Row],[DUT Adj Read]]="N/A",Table1[[#This Row],[Std Adj Read]]="N/A"),"N/A",IF(Table1[[#This Row],[DUT Adj Read]]="N/A",IF(Table1[[#This Row],[Std Adj Read]]&gt;=Table1[[#This Row],[Low Tol]],"Pass","Fail"),IF(Table1[[#This Row],[DUT Adj Read]]&gt;=Table1[[#This Row],[Low Tol]],"Pass","Fail")))</f>
        <v>Pass</v>
      </c>
      <c r="AG2653" s="1" t="str">
        <f>IF(AND(Table1[[#This Row],[Spec Type2]]="N/A",Table1[[#This Row],[DUT Adj Read]]="N/A",Table1[[#This Row],[Std Adj Read]]="N/A"),"N/A",IF(Table1[[#This Row],[DUT Adj Read]]="N/A",IF(Table1[[#This Row],[Std Adj Read]]&lt;=Table1[[#This Row],[High Tol]],"Pass","Fail"),IF(Table1[[#This Row],[DUT Adj Read]]&lt;=Table1[[#This Row],[High Tol]],"Pass","Fail")))</f>
        <v>Fail</v>
      </c>
      <c r="AH26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3" s="1" t="b">
        <v>0</v>
      </c>
      <c r="AN2653" s="1" t="b">
        <v>0</v>
      </c>
      <c r="AO2653" s="1" t="b">
        <v>0</v>
      </c>
    </row>
    <row r="2654" spans="1:41" x14ac:dyDescent="0.25">
      <c r="A2654" s="10"/>
      <c r="B2654" s="10"/>
      <c r="C2654" s="10"/>
      <c r="D2654" s="10"/>
      <c r="E2654" s="10"/>
      <c r="F2654" s="10"/>
      <c r="G2654" s="10"/>
      <c r="H2654" s="10"/>
      <c r="I2654" s="1" t="str">
        <f t="shared" si="123"/>
        <v/>
      </c>
      <c r="J2654" s="1" t="s">
        <v>35</v>
      </c>
      <c r="K2654" s="1" t="str">
        <f t="shared" si="124"/>
        <v/>
      </c>
      <c r="L2654" s="1" t="str">
        <f t="shared" si="125"/>
        <v/>
      </c>
      <c r="M2654" s="1">
        <f>IF(OR(Table1[[#This Row],[Std Nom]]="",Table1[[#This Row],[Std Read]]=""),0,Table1[[#This Row],[Std Nom]]-Table1[[#This Row],[Std Read]])</f>
        <v>0</v>
      </c>
      <c r="N2654" s="1">
        <f>IF(Calculations!$F$5="ACCREDITED 17025 WITH UNCERTAINTIES",$N$10,0)</f>
        <v>0</v>
      </c>
      <c r="O2654" s="1" t="str">
        <f>IFERROR(Table1[[#This Row],[Std Nom]]-(_xlfn.XLOOKUP(Table1[[#This Row],[Manufacturer]]&amp;" "&amp;Table1[[#This Row],[Model]],Table13[MFR &amp; MDL],Table13[Tolerance % CW ],"")/100*Table1[[#This Row],[Std Nom]]),"")</f>
        <v/>
      </c>
      <c r="P2654" s="1" t="str">
        <f>IFERROR(Table1[[#This Row],[Std Nom]]+(_xlfn.XLOOKUP(Table1[[#This Row],[Manufacturer]]&amp;" "&amp;Table1[[#This Row],[Model]],Table13[MFR &amp; MDL],Table13[Tolerance % CW ],"")/100*Table1[[#This Row],[Std Nom]]),"")</f>
        <v/>
      </c>
      <c r="Q2654" s="1" t="e">
        <f>Table1[[#This Row],[High Tol]]-Table1[[#This Row],[Low Tol]]</f>
        <v>#VALUE!</v>
      </c>
      <c r="R2654" s="1">
        <f>2*Table1[[#This Row],[Std Error]]</f>
        <v>0</v>
      </c>
      <c r="S2654" s="1" t="str">
        <f>IF(Table1[[#This Row],[High Tol]]="","N/A",IFERROR(ABS(Table1[[#This Row],[Tol Span]]/Table1[[#This Row],[Error Span]]),"N/A"))</f>
        <v>N/A</v>
      </c>
      <c r="T2654" s="1" t="str">
        <f>IF(OR(Table1[[#This Row],[Low Tol]]="",Table1[[#This Row],[High Tol]]=""),"Needs Analysis",IF(Table1[[#This Row],[Ratio]]&gt;=4,"Not Significant",IF(Table1[[#This Row],[Ratio]]&gt;=2,"Semi-Significant","Significant")))</f>
        <v>Needs Analysis</v>
      </c>
      <c r="W2654" s="1">
        <f>IF(Table1[[#This Row],[Cal Type]]&lt;&gt;"ACCREDITED 17025 WITH UNCERTAINTIES",0,"")</f>
        <v>0</v>
      </c>
      <c r="X2654" s="1" t="str">
        <f>IF(Table1[[#This Row],[DUT Read]]="","N/A",Table1[[#This Row],[Std Error]]+Table1[[#This Row],[DUT Read]]+Table1[[#This Row],[DUT Ucty]])</f>
        <v>N/A</v>
      </c>
      <c r="Y2654" s="1" t="str">
        <f>IF(Table1[[#This Row],[Std Read]]="","N/A",Table1[[#This Row],[Std Read]]+Table1[[#This Row],[Std Ucty]])</f>
        <v>N/A</v>
      </c>
      <c r="Z26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4" s="1" t="str">
        <f>IF(Table1[[#This Row],[Spec Type]]="","N/A",Table1[[#This Row],[Spec Type]])</f>
        <v>±</v>
      </c>
      <c r="AC2654" s="1" t="str">
        <f>IF(Table1[[#This Row],[Spec Type2]]="N/A","N/A",IF(AND(Table1[[#This Row],[DUT Adj Read]]&gt;=Table1[[#This Row],[Low Tol]],Table1[[#This Row],[DUT Adj Read]]&lt;=Table1[[#This Row],[High Tol]]),"Pass","Fail"))</f>
        <v>Fail</v>
      </c>
      <c r="AD2654" s="1" t="str">
        <f>IF(AND(Table1[[#This Row],[Spec Type2]]="N/A",Table1[[#This Row],[DUT Adj Read]]="N/A",Table1[[#This Row],[Std Adj Read]]="N/A"),"N/A",IF(Table1[[#This Row],[DUT Adj Read]]="N/A",IF(Table1[[#This Row],[Std Adj Read]]&gt;Table1[[#This Row],[Low Tol]],"Pass","Fail"),IF(Table1[[#This Row],[DUT Adj Read]]&gt;Table1[[#This Row],[Low Tol]],"Pass","Fail")))</f>
        <v>Pass</v>
      </c>
      <c r="AE2654" s="1" t="str">
        <f>IF(AND(Table1[[#This Row],[Spec Type2]]="N/A",Table1[[#This Row],[DUT Adj Read]]="N/A",Table1[[#This Row],[Std Adj Read]]="N/A"),"N/A",IF(Table1[[#This Row],[DUT Adj Read]]="N/A",IF(Table1[[#This Row],[Std Adj Read]]&lt;Table1[[#This Row],[High Tol]],"Pass","Fail"),IF(Table1[[#This Row],[DUT Adj Read]]&lt;Table1[[#This Row],[High Tol]],"Pass","Fail")))</f>
        <v>Fail</v>
      </c>
      <c r="AF2654" s="1" t="str">
        <f>IF(AND(Table1[[#This Row],[Spec Type2]]="N/A",Table1[[#This Row],[DUT Adj Read]]="N/A",Table1[[#This Row],[Std Adj Read]]="N/A"),"N/A",IF(Table1[[#This Row],[DUT Adj Read]]="N/A",IF(Table1[[#This Row],[Std Adj Read]]&gt;=Table1[[#This Row],[Low Tol]],"Pass","Fail"),IF(Table1[[#This Row],[DUT Adj Read]]&gt;=Table1[[#This Row],[Low Tol]],"Pass","Fail")))</f>
        <v>Pass</v>
      </c>
      <c r="AG2654" s="1" t="str">
        <f>IF(AND(Table1[[#This Row],[Spec Type2]]="N/A",Table1[[#This Row],[DUT Adj Read]]="N/A",Table1[[#This Row],[Std Adj Read]]="N/A"),"N/A",IF(Table1[[#This Row],[DUT Adj Read]]="N/A",IF(Table1[[#This Row],[Std Adj Read]]&lt;=Table1[[#This Row],[High Tol]],"Pass","Fail"),IF(Table1[[#This Row],[DUT Adj Read]]&lt;=Table1[[#This Row],[High Tol]],"Pass","Fail")))</f>
        <v>Fail</v>
      </c>
      <c r="AH26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4" s="1" t="b">
        <v>0</v>
      </c>
      <c r="AN2654" s="1" t="b">
        <v>0</v>
      </c>
      <c r="AO2654" s="1" t="b">
        <v>0</v>
      </c>
    </row>
    <row r="2655" spans="1:41" x14ac:dyDescent="0.25">
      <c r="A2655" s="10"/>
      <c r="B2655" s="10"/>
      <c r="C2655" s="10"/>
      <c r="D2655" s="10"/>
      <c r="E2655" s="10"/>
      <c r="F2655" s="10"/>
      <c r="G2655" s="10"/>
      <c r="H2655" s="10"/>
      <c r="I2655" s="1" t="str">
        <f t="shared" si="123"/>
        <v/>
      </c>
      <c r="J2655" s="1" t="s">
        <v>35</v>
      </c>
      <c r="K2655" s="1" t="str">
        <f t="shared" si="124"/>
        <v/>
      </c>
      <c r="L2655" s="1" t="str">
        <f t="shared" si="125"/>
        <v/>
      </c>
      <c r="M2655" s="1">
        <f>IF(OR(Table1[[#This Row],[Std Nom]]="",Table1[[#This Row],[Std Read]]=""),0,Table1[[#This Row],[Std Nom]]-Table1[[#This Row],[Std Read]])</f>
        <v>0</v>
      </c>
      <c r="N2655" s="1">
        <f>IF(Calculations!$F$5="ACCREDITED 17025 WITH UNCERTAINTIES",$N$10,0)</f>
        <v>0</v>
      </c>
      <c r="O2655" s="1" t="str">
        <f>IFERROR(Table1[[#This Row],[Std Nom]]-(_xlfn.XLOOKUP(Table1[[#This Row],[Manufacturer]]&amp;" "&amp;Table1[[#This Row],[Model]],Table13[MFR &amp; MDL],Table13[Tolerance % CW ],"")/100*Table1[[#This Row],[Std Nom]]),"")</f>
        <v/>
      </c>
      <c r="P2655" s="1" t="str">
        <f>IFERROR(Table1[[#This Row],[Std Nom]]+(_xlfn.XLOOKUP(Table1[[#This Row],[Manufacturer]]&amp;" "&amp;Table1[[#This Row],[Model]],Table13[MFR &amp; MDL],Table13[Tolerance % CW ],"")/100*Table1[[#This Row],[Std Nom]]),"")</f>
        <v/>
      </c>
      <c r="Q2655" s="1" t="e">
        <f>Table1[[#This Row],[High Tol]]-Table1[[#This Row],[Low Tol]]</f>
        <v>#VALUE!</v>
      </c>
      <c r="R2655" s="1">
        <f>2*Table1[[#This Row],[Std Error]]</f>
        <v>0</v>
      </c>
      <c r="S2655" s="1" t="str">
        <f>IF(Table1[[#This Row],[High Tol]]="","N/A",IFERROR(ABS(Table1[[#This Row],[Tol Span]]/Table1[[#This Row],[Error Span]]),"N/A"))</f>
        <v>N/A</v>
      </c>
      <c r="T2655" s="1" t="str">
        <f>IF(OR(Table1[[#This Row],[Low Tol]]="",Table1[[#This Row],[High Tol]]=""),"Needs Analysis",IF(Table1[[#This Row],[Ratio]]&gt;=4,"Not Significant",IF(Table1[[#This Row],[Ratio]]&gt;=2,"Semi-Significant","Significant")))</f>
        <v>Needs Analysis</v>
      </c>
      <c r="W2655" s="1">
        <f>IF(Table1[[#This Row],[Cal Type]]&lt;&gt;"ACCREDITED 17025 WITH UNCERTAINTIES",0,"")</f>
        <v>0</v>
      </c>
      <c r="X2655" s="1" t="str">
        <f>IF(Table1[[#This Row],[DUT Read]]="","N/A",Table1[[#This Row],[Std Error]]+Table1[[#This Row],[DUT Read]]+Table1[[#This Row],[DUT Ucty]])</f>
        <v>N/A</v>
      </c>
      <c r="Y2655" s="1" t="str">
        <f>IF(Table1[[#This Row],[Std Read]]="","N/A",Table1[[#This Row],[Std Read]]+Table1[[#This Row],[Std Ucty]])</f>
        <v>N/A</v>
      </c>
      <c r="Z26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5" s="1" t="str">
        <f>IF(Table1[[#This Row],[Spec Type]]="","N/A",Table1[[#This Row],[Spec Type]])</f>
        <v>±</v>
      </c>
      <c r="AC2655" s="1" t="str">
        <f>IF(Table1[[#This Row],[Spec Type2]]="N/A","N/A",IF(AND(Table1[[#This Row],[DUT Adj Read]]&gt;=Table1[[#This Row],[Low Tol]],Table1[[#This Row],[DUT Adj Read]]&lt;=Table1[[#This Row],[High Tol]]),"Pass","Fail"))</f>
        <v>Fail</v>
      </c>
      <c r="AD2655" s="1" t="str">
        <f>IF(AND(Table1[[#This Row],[Spec Type2]]="N/A",Table1[[#This Row],[DUT Adj Read]]="N/A",Table1[[#This Row],[Std Adj Read]]="N/A"),"N/A",IF(Table1[[#This Row],[DUT Adj Read]]="N/A",IF(Table1[[#This Row],[Std Adj Read]]&gt;Table1[[#This Row],[Low Tol]],"Pass","Fail"),IF(Table1[[#This Row],[DUT Adj Read]]&gt;Table1[[#This Row],[Low Tol]],"Pass","Fail")))</f>
        <v>Pass</v>
      </c>
      <c r="AE2655" s="1" t="str">
        <f>IF(AND(Table1[[#This Row],[Spec Type2]]="N/A",Table1[[#This Row],[DUT Adj Read]]="N/A",Table1[[#This Row],[Std Adj Read]]="N/A"),"N/A",IF(Table1[[#This Row],[DUT Adj Read]]="N/A",IF(Table1[[#This Row],[Std Adj Read]]&lt;Table1[[#This Row],[High Tol]],"Pass","Fail"),IF(Table1[[#This Row],[DUT Adj Read]]&lt;Table1[[#This Row],[High Tol]],"Pass","Fail")))</f>
        <v>Fail</v>
      </c>
      <c r="AF2655" s="1" t="str">
        <f>IF(AND(Table1[[#This Row],[Spec Type2]]="N/A",Table1[[#This Row],[DUT Adj Read]]="N/A",Table1[[#This Row],[Std Adj Read]]="N/A"),"N/A",IF(Table1[[#This Row],[DUT Adj Read]]="N/A",IF(Table1[[#This Row],[Std Adj Read]]&gt;=Table1[[#This Row],[Low Tol]],"Pass","Fail"),IF(Table1[[#This Row],[DUT Adj Read]]&gt;=Table1[[#This Row],[Low Tol]],"Pass","Fail")))</f>
        <v>Pass</v>
      </c>
      <c r="AG2655" s="1" t="str">
        <f>IF(AND(Table1[[#This Row],[Spec Type2]]="N/A",Table1[[#This Row],[DUT Adj Read]]="N/A",Table1[[#This Row],[Std Adj Read]]="N/A"),"N/A",IF(Table1[[#This Row],[DUT Adj Read]]="N/A",IF(Table1[[#This Row],[Std Adj Read]]&lt;=Table1[[#This Row],[High Tol]],"Pass","Fail"),IF(Table1[[#This Row],[DUT Adj Read]]&lt;=Table1[[#This Row],[High Tol]],"Pass","Fail")))</f>
        <v>Fail</v>
      </c>
      <c r="AH26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5" s="1" t="b">
        <v>0</v>
      </c>
      <c r="AN2655" s="1" t="b">
        <v>0</v>
      </c>
      <c r="AO2655" s="1" t="b">
        <v>0</v>
      </c>
    </row>
    <row r="2656" spans="1:41" x14ac:dyDescent="0.25">
      <c r="A2656" s="10"/>
      <c r="B2656" s="10"/>
      <c r="C2656" s="10"/>
      <c r="D2656" s="10"/>
      <c r="E2656" s="10"/>
      <c r="F2656" s="10"/>
      <c r="G2656" s="10"/>
      <c r="H2656" s="10"/>
      <c r="I2656" s="1" t="str">
        <f t="shared" si="123"/>
        <v/>
      </c>
      <c r="J2656" s="1" t="s">
        <v>35</v>
      </c>
      <c r="K2656" s="1" t="str">
        <f t="shared" si="124"/>
        <v/>
      </c>
      <c r="L2656" s="1" t="str">
        <f t="shared" si="125"/>
        <v/>
      </c>
      <c r="M2656" s="1">
        <f>IF(OR(Table1[[#This Row],[Std Nom]]="",Table1[[#This Row],[Std Read]]=""),0,Table1[[#This Row],[Std Nom]]-Table1[[#This Row],[Std Read]])</f>
        <v>0</v>
      </c>
      <c r="N2656" s="1">
        <f>IF(Calculations!$F$5="ACCREDITED 17025 WITH UNCERTAINTIES",$N$10,0)</f>
        <v>0</v>
      </c>
      <c r="O2656" s="1" t="str">
        <f>IFERROR(Table1[[#This Row],[Std Nom]]-(_xlfn.XLOOKUP(Table1[[#This Row],[Manufacturer]]&amp;" "&amp;Table1[[#This Row],[Model]],Table13[MFR &amp; MDL],Table13[Tolerance % CW ],"")/100*Table1[[#This Row],[Std Nom]]),"")</f>
        <v/>
      </c>
      <c r="P2656" s="1" t="str">
        <f>IFERROR(Table1[[#This Row],[Std Nom]]+(_xlfn.XLOOKUP(Table1[[#This Row],[Manufacturer]]&amp;" "&amp;Table1[[#This Row],[Model]],Table13[MFR &amp; MDL],Table13[Tolerance % CW ],"")/100*Table1[[#This Row],[Std Nom]]),"")</f>
        <v/>
      </c>
      <c r="Q2656" s="1" t="e">
        <f>Table1[[#This Row],[High Tol]]-Table1[[#This Row],[Low Tol]]</f>
        <v>#VALUE!</v>
      </c>
      <c r="R2656" s="1">
        <f>2*Table1[[#This Row],[Std Error]]</f>
        <v>0</v>
      </c>
      <c r="S2656" s="1" t="str">
        <f>IF(Table1[[#This Row],[High Tol]]="","N/A",IFERROR(ABS(Table1[[#This Row],[Tol Span]]/Table1[[#This Row],[Error Span]]),"N/A"))</f>
        <v>N/A</v>
      </c>
      <c r="T2656" s="1" t="str">
        <f>IF(OR(Table1[[#This Row],[Low Tol]]="",Table1[[#This Row],[High Tol]]=""),"Needs Analysis",IF(Table1[[#This Row],[Ratio]]&gt;=4,"Not Significant",IF(Table1[[#This Row],[Ratio]]&gt;=2,"Semi-Significant","Significant")))</f>
        <v>Needs Analysis</v>
      </c>
      <c r="W2656" s="1">
        <f>IF(Table1[[#This Row],[Cal Type]]&lt;&gt;"ACCREDITED 17025 WITH UNCERTAINTIES",0,"")</f>
        <v>0</v>
      </c>
      <c r="X2656" s="1" t="str">
        <f>IF(Table1[[#This Row],[DUT Read]]="","N/A",Table1[[#This Row],[Std Error]]+Table1[[#This Row],[DUT Read]]+Table1[[#This Row],[DUT Ucty]])</f>
        <v>N/A</v>
      </c>
      <c r="Y2656" s="1" t="str">
        <f>IF(Table1[[#This Row],[Std Read]]="","N/A",Table1[[#This Row],[Std Read]]+Table1[[#This Row],[Std Ucty]])</f>
        <v>N/A</v>
      </c>
      <c r="Z26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6" s="1" t="str">
        <f>IF(Table1[[#This Row],[Spec Type]]="","N/A",Table1[[#This Row],[Spec Type]])</f>
        <v>±</v>
      </c>
      <c r="AC2656" s="1" t="str">
        <f>IF(Table1[[#This Row],[Spec Type2]]="N/A","N/A",IF(AND(Table1[[#This Row],[DUT Adj Read]]&gt;=Table1[[#This Row],[Low Tol]],Table1[[#This Row],[DUT Adj Read]]&lt;=Table1[[#This Row],[High Tol]]),"Pass","Fail"))</f>
        <v>Fail</v>
      </c>
      <c r="AD2656" s="1" t="str">
        <f>IF(AND(Table1[[#This Row],[Spec Type2]]="N/A",Table1[[#This Row],[DUT Adj Read]]="N/A",Table1[[#This Row],[Std Adj Read]]="N/A"),"N/A",IF(Table1[[#This Row],[DUT Adj Read]]="N/A",IF(Table1[[#This Row],[Std Adj Read]]&gt;Table1[[#This Row],[Low Tol]],"Pass","Fail"),IF(Table1[[#This Row],[DUT Adj Read]]&gt;Table1[[#This Row],[Low Tol]],"Pass","Fail")))</f>
        <v>Pass</v>
      </c>
      <c r="AE2656" s="1" t="str">
        <f>IF(AND(Table1[[#This Row],[Spec Type2]]="N/A",Table1[[#This Row],[DUT Adj Read]]="N/A",Table1[[#This Row],[Std Adj Read]]="N/A"),"N/A",IF(Table1[[#This Row],[DUT Adj Read]]="N/A",IF(Table1[[#This Row],[Std Adj Read]]&lt;Table1[[#This Row],[High Tol]],"Pass","Fail"),IF(Table1[[#This Row],[DUT Adj Read]]&lt;Table1[[#This Row],[High Tol]],"Pass","Fail")))</f>
        <v>Fail</v>
      </c>
      <c r="AF2656" s="1" t="str">
        <f>IF(AND(Table1[[#This Row],[Spec Type2]]="N/A",Table1[[#This Row],[DUT Adj Read]]="N/A",Table1[[#This Row],[Std Adj Read]]="N/A"),"N/A",IF(Table1[[#This Row],[DUT Adj Read]]="N/A",IF(Table1[[#This Row],[Std Adj Read]]&gt;=Table1[[#This Row],[Low Tol]],"Pass","Fail"),IF(Table1[[#This Row],[DUT Adj Read]]&gt;=Table1[[#This Row],[Low Tol]],"Pass","Fail")))</f>
        <v>Pass</v>
      </c>
      <c r="AG2656" s="1" t="str">
        <f>IF(AND(Table1[[#This Row],[Spec Type2]]="N/A",Table1[[#This Row],[DUT Adj Read]]="N/A",Table1[[#This Row],[Std Adj Read]]="N/A"),"N/A",IF(Table1[[#This Row],[DUT Adj Read]]="N/A",IF(Table1[[#This Row],[Std Adj Read]]&lt;=Table1[[#This Row],[High Tol]],"Pass","Fail"),IF(Table1[[#This Row],[DUT Adj Read]]&lt;=Table1[[#This Row],[High Tol]],"Pass","Fail")))</f>
        <v>Fail</v>
      </c>
      <c r="AH26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6" s="1" t="b">
        <v>0</v>
      </c>
      <c r="AN2656" s="1" t="b">
        <v>0</v>
      </c>
      <c r="AO2656" s="1" t="b">
        <v>0</v>
      </c>
    </row>
    <row r="2657" spans="1:41" x14ac:dyDescent="0.25">
      <c r="A2657" s="10"/>
      <c r="B2657" s="10"/>
      <c r="C2657" s="10"/>
      <c r="D2657" s="10"/>
      <c r="E2657" s="10"/>
      <c r="F2657" s="10"/>
      <c r="G2657" s="10"/>
      <c r="H2657" s="10"/>
      <c r="I2657" s="1" t="str">
        <f t="shared" si="123"/>
        <v/>
      </c>
      <c r="J2657" s="1" t="s">
        <v>35</v>
      </c>
      <c r="K2657" s="1" t="str">
        <f t="shared" si="124"/>
        <v/>
      </c>
      <c r="L2657" s="1" t="str">
        <f t="shared" si="125"/>
        <v/>
      </c>
      <c r="M2657" s="1">
        <f>IF(OR(Table1[[#This Row],[Std Nom]]="",Table1[[#This Row],[Std Read]]=""),0,Table1[[#This Row],[Std Nom]]-Table1[[#This Row],[Std Read]])</f>
        <v>0</v>
      </c>
      <c r="N2657" s="1">
        <f>IF(Calculations!$F$5="ACCREDITED 17025 WITH UNCERTAINTIES",$N$10,0)</f>
        <v>0</v>
      </c>
      <c r="O2657" s="1" t="str">
        <f>IFERROR(Table1[[#This Row],[Std Nom]]-(_xlfn.XLOOKUP(Table1[[#This Row],[Manufacturer]]&amp;" "&amp;Table1[[#This Row],[Model]],Table13[MFR &amp; MDL],Table13[Tolerance % CW ],"")/100*Table1[[#This Row],[Std Nom]]),"")</f>
        <v/>
      </c>
      <c r="P2657" s="1" t="str">
        <f>IFERROR(Table1[[#This Row],[Std Nom]]+(_xlfn.XLOOKUP(Table1[[#This Row],[Manufacturer]]&amp;" "&amp;Table1[[#This Row],[Model]],Table13[MFR &amp; MDL],Table13[Tolerance % CW ],"")/100*Table1[[#This Row],[Std Nom]]),"")</f>
        <v/>
      </c>
      <c r="Q2657" s="1" t="e">
        <f>Table1[[#This Row],[High Tol]]-Table1[[#This Row],[Low Tol]]</f>
        <v>#VALUE!</v>
      </c>
      <c r="R2657" s="1">
        <f>2*Table1[[#This Row],[Std Error]]</f>
        <v>0</v>
      </c>
      <c r="S2657" s="1" t="str">
        <f>IF(Table1[[#This Row],[High Tol]]="","N/A",IFERROR(ABS(Table1[[#This Row],[Tol Span]]/Table1[[#This Row],[Error Span]]),"N/A"))</f>
        <v>N/A</v>
      </c>
      <c r="T2657" s="1" t="str">
        <f>IF(OR(Table1[[#This Row],[Low Tol]]="",Table1[[#This Row],[High Tol]]=""),"Needs Analysis",IF(Table1[[#This Row],[Ratio]]&gt;=4,"Not Significant",IF(Table1[[#This Row],[Ratio]]&gt;=2,"Semi-Significant","Significant")))</f>
        <v>Needs Analysis</v>
      </c>
      <c r="W2657" s="1">
        <f>IF(Table1[[#This Row],[Cal Type]]&lt;&gt;"ACCREDITED 17025 WITH UNCERTAINTIES",0,"")</f>
        <v>0</v>
      </c>
      <c r="X2657" s="1" t="str">
        <f>IF(Table1[[#This Row],[DUT Read]]="","N/A",Table1[[#This Row],[Std Error]]+Table1[[#This Row],[DUT Read]]+Table1[[#This Row],[DUT Ucty]])</f>
        <v>N/A</v>
      </c>
      <c r="Y2657" s="1" t="str">
        <f>IF(Table1[[#This Row],[Std Read]]="","N/A",Table1[[#This Row],[Std Read]]+Table1[[#This Row],[Std Ucty]])</f>
        <v>N/A</v>
      </c>
      <c r="Z26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7" s="1" t="str">
        <f>IF(Table1[[#This Row],[Spec Type]]="","N/A",Table1[[#This Row],[Spec Type]])</f>
        <v>±</v>
      </c>
      <c r="AC2657" s="1" t="str">
        <f>IF(Table1[[#This Row],[Spec Type2]]="N/A","N/A",IF(AND(Table1[[#This Row],[DUT Adj Read]]&gt;=Table1[[#This Row],[Low Tol]],Table1[[#This Row],[DUT Adj Read]]&lt;=Table1[[#This Row],[High Tol]]),"Pass","Fail"))</f>
        <v>Fail</v>
      </c>
      <c r="AD2657" s="1" t="str">
        <f>IF(AND(Table1[[#This Row],[Spec Type2]]="N/A",Table1[[#This Row],[DUT Adj Read]]="N/A",Table1[[#This Row],[Std Adj Read]]="N/A"),"N/A",IF(Table1[[#This Row],[DUT Adj Read]]="N/A",IF(Table1[[#This Row],[Std Adj Read]]&gt;Table1[[#This Row],[Low Tol]],"Pass","Fail"),IF(Table1[[#This Row],[DUT Adj Read]]&gt;Table1[[#This Row],[Low Tol]],"Pass","Fail")))</f>
        <v>Pass</v>
      </c>
      <c r="AE2657" s="1" t="str">
        <f>IF(AND(Table1[[#This Row],[Spec Type2]]="N/A",Table1[[#This Row],[DUT Adj Read]]="N/A",Table1[[#This Row],[Std Adj Read]]="N/A"),"N/A",IF(Table1[[#This Row],[DUT Adj Read]]="N/A",IF(Table1[[#This Row],[Std Adj Read]]&lt;Table1[[#This Row],[High Tol]],"Pass","Fail"),IF(Table1[[#This Row],[DUT Adj Read]]&lt;Table1[[#This Row],[High Tol]],"Pass","Fail")))</f>
        <v>Fail</v>
      </c>
      <c r="AF2657" s="1" t="str">
        <f>IF(AND(Table1[[#This Row],[Spec Type2]]="N/A",Table1[[#This Row],[DUT Adj Read]]="N/A",Table1[[#This Row],[Std Adj Read]]="N/A"),"N/A",IF(Table1[[#This Row],[DUT Adj Read]]="N/A",IF(Table1[[#This Row],[Std Adj Read]]&gt;=Table1[[#This Row],[Low Tol]],"Pass","Fail"),IF(Table1[[#This Row],[DUT Adj Read]]&gt;=Table1[[#This Row],[Low Tol]],"Pass","Fail")))</f>
        <v>Pass</v>
      </c>
      <c r="AG2657" s="1" t="str">
        <f>IF(AND(Table1[[#This Row],[Spec Type2]]="N/A",Table1[[#This Row],[DUT Adj Read]]="N/A",Table1[[#This Row],[Std Adj Read]]="N/A"),"N/A",IF(Table1[[#This Row],[DUT Adj Read]]="N/A",IF(Table1[[#This Row],[Std Adj Read]]&lt;=Table1[[#This Row],[High Tol]],"Pass","Fail"),IF(Table1[[#This Row],[DUT Adj Read]]&lt;=Table1[[#This Row],[High Tol]],"Pass","Fail")))</f>
        <v>Fail</v>
      </c>
      <c r="AH26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7" s="1" t="b">
        <v>0</v>
      </c>
      <c r="AN2657" s="1" t="b">
        <v>0</v>
      </c>
      <c r="AO2657" s="1" t="b">
        <v>0</v>
      </c>
    </row>
    <row r="2658" spans="1:41" x14ac:dyDescent="0.25">
      <c r="A2658" s="10"/>
      <c r="B2658" s="10"/>
      <c r="C2658" s="10"/>
      <c r="D2658" s="10"/>
      <c r="E2658" s="10"/>
      <c r="F2658" s="10"/>
      <c r="G2658" s="10"/>
      <c r="H2658" s="10"/>
      <c r="I2658" s="1" t="str">
        <f t="shared" si="123"/>
        <v/>
      </c>
      <c r="J2658" s="1" t="s">
        <v>35</v>
      </c>
      <c r="K2658" s="1" t="str">
        <f t="shared" si="124"/>
        <v/>
      </c>
      <c r="L2658" s="1" t="str">
        <f t="shared" si="125"/>
        <v/>
      </c>
      <c r="M2658" s="1">
        <f>IF(OR(Table1[[#This Row],[Std Nom]]="",Table1[[#This Row],[Std Read]]=""),0,Table1[[#This Row],[Std Nom]]-Table1[[#This Row],[Std Read]])</f>
        <v>0</v>
      </c>
      <c r="N2658" s="1">
        <f>IF(Calculations!$F$5="ACCREDITED 17025 WITH UNCERTAINTIES",$N$10,0)</f>
        <v>0</v>
      </c>
      <c r="O2658" s="1" t="str">
        <f>IFERROR(Table1[[#This Row],[Std Nom]]-(_xlfn.XLOOKUP(Table1[[#This Row],[Manufacturer]]&amp;" "&amp;Table1[[#This Row],[Model]],Table13[MFR &amp; MDL],Table13[Tolerance % CW ],"")/100*Table1[[#This Row],[Std Nom]]),"")</f>
        <v/>
      </c>
      <c r="P2658" s="1" t="str">
        <f>IFERROR(Table1[[#This Row],[Std Nom]]+(_xlfn.XLOOKUP(Table1[[#This Row],[Manufacturer]]&amp;" "&amp;Table1[[#This Row],[Model]],Table13[MFR &amp; MDL],Table13[Tolerance % CW ],"")/100*Table1[[#This Row],[Std Nom]]),"")</f>
        <v/>
      </c>
      <c r="Q2658" s="1" t="e">
        <f>Table1[[#This Row],[High Tol]]-Table1[[#This Row],[Low Tol]]</f>
        <v>#VALUE!</v>
      </c>
      <c r="R2658" s="1">
        <f>2*Table1[[#This Row],[Std Error]]</f>
        <v>0</v>
      </c>
      <c r="S2658" s="1" t="str">
        <f>IF(Table1[[#This Row],[High Tol]]="","N/A",IFERROR(ABS(Table1[[#This Row],[Tol Span]]/Table1[[#This Row],[Error Span]]),"N/A"))</f>
        <v>N/A</v>
      </c>
      <c r="T2658" s="1" t="str">
        <f>IF(OR(Table1[[#This Row],[Low Tol]]="",Table1[[#This Row],[High Tol]]=""),"Needs Analysis",IF(Table1[[#This Row],[Ratio]]&gt;=4,"Not Significant",IF(Table1[[#This Row],[Ratio]]&gt;=2,"Semi-Significant","Significant")))</f>
        <v>Needs Analysis</v>
      </c>
      <c r="W2658" s="1">
        <f>IF(Table1[[#This Row],[Cal Type]]&lt;&gt;"ACCREDITED 17025 WITH UNCERTAINTIES",0,"")</f>
        <v>0</v>
      </c>
      <c r="X2658" s="1" t="str">
        <f>IF(Table1[[#This Row],[DUT Read]]="","N/A",Table1[[#This Row],[Std Error]]+Table1[[#This Row],[DUT Read]]+Table1[[#This Row],[DUT Ucty]])</f>
        <v>N/A</v>
      </c>
      <c r="Y2658" s="1" t="str">
        <f>IF(Table1[[#This Row],[Std Read]]="","N/A",Table1[[#This Row],[Std Read]]+Table1[[#This Row],[Std Ucty]])</f>
        <v>N/A</v>
      </c>
      <c r="Z26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8" s="1" t="str">
        <f>IF(Table1[[#This Row],[Spec Type]]="","N/A",Table1[[#This Row],[Spec Type]])</f>
        <v>±</v>
      </c>
      <c r="AC2658" s="1" t="str">
        <f>IF(Table1[[#This Row],[Spec Type2]]="N/A","N/A",IF(AND(Table1[[#This Row],[DUT Adj Read]]&gt;=Table1[[#This Row],[Low Tol]],Table1[[#This Row],[DUT Adj Read]]&lt;=Table1[[#This Row],[High Tol]]),"Pass","Fail"))</f>
        <v>Fail</v>
      </c>
      <c r="AD2658" s="1" t="str">
        <f>IF(AND(Table1[[#This Row],[Spec Type2]]="N/A",Table1[[#This Row],[DUT Adj Read]]="N/A",Table1[[#This Row],[Std Adj Read]]="N/A"),"N/A",IF(Table1[[#This Row],[DUT Adj Read]]="N/A",IF(Table1[[#This Row],[Std Adj Read]]&gt;Table1[[#This Row],[Low Tol]],"Pass","Fail"),IF(Table1[[#This Row],[DUT Adj Read]]&gt;Table1[[#This Row],[Low Tol]],"Pass","Fail")))</f>
        <v>Pass</v>
      </c>
      <c r="AE2658" s="1" t="str">
        <f>IF(AND(Table1[[#This Row],[Spec Type2]]="N/A",Table1[[#This Row],[DUT Adj Read]]="N/A",Table1[[#This Row],[Std Adj Read]]="N/A"),"N/A",IF(Table1[[#This Row],[DUT Adj Read]]="N/A",IF(Table1[[#This Row],[Std Adj Read]]&lt;Table1[[#This Row],[High Tol]],"Pass","Fail"),IF(Table1[[#This Row],[DUT Adj Read]]&lt;Table1[[#This Row],[High Tol]],"Pass","Fail")))</f>
        <v>Fail</v>
      </c>
      <c r="AF2658" s="1" t="str">
        <f>IF(AND(Table1[[#This Row],[Spec Type2]]="N/A",Table1[[#This Row],[DUT Adj Read]]="N/A",Table1[[#This Row],[Std Adj Read]]="N/A"),"N/A",IF(Table1[[#This Row],[DUT Adj Read]]="N/A",IF(Table1[[#This Row],[Std Adj Read]]&gt;=Table1[[#This Row],[Low Tol]],"Pass","Fail"),IF(Table1[[#This Row],[DUT Adj Read]]&gt;=Table1[[#This Row],[Low Tol]],"Pass","Fail")))</f>
        <v>Pass</v>
      </c>
      <c r="AG2658" s="1" t="str">
        <f>IF(AND(Table1[[#This Row],[Spec Type2]]="N/A",Table1[[#This Row],[DUT Adj Read]]="N/A",Table1[[#This Row],[Std Adj Read]]="N/A"),"N/A",IF(Table1[[#This Row],[DUT Adj Read]]="N/A",IF(Table1[[#This Row],[Std Adj Read]]&lt;=Table1[[#This Row],[High Tol]],"Pass","Fail"),IF(Table1[[#This Row],[DUT Adj Read]]&lt;=Table1[[#This Row],[High Tol]],"Pass","Fail")))</f>
        <v>Fail</v>
      </c>
      <c r="AH26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8" s="1" t="b">
        <v>0</v>
      </c>
      <c r="AN2658" s="1" t="b">
        <v>0</v>
      </c>
      <c r="AO2658" s="1" t="b">
        <v>0</v>
      </c>
    </row>
    <row r="2659" spans="1:41" x14ac:dyDescent="0.25">
      <c r="A2659" s="10"/>
      <c r="B2659" s="10"/>
      <c r="C2659" s="10"/>
      <c r="D2659" s="10"/>
      <c r="E2659" s="10"/>
      <c r="F2659" s="10"/>
      <c r="G2659" s="10"/>
      <c r="H2659" s="10"/>
      <c r="I2659" s="1" t="str">
        <f t="shared" si="123"/>
        <v/>
      </c>
      <c r="J2659" s="1" t="s">
        <v>35</v>
      </c>
      <c r="K2659" s="1" t="str">
        <f t="shared" si="124"/>
        <v/>
      </c>
      <c r="L2659" s="1" t="str">
        <f t="shared" si="125"/>
        <v/>
      </c>
      <c r="M2659" s="1">
        <f>IF(OR(Table1[[#This Row],[Std Nom]]="",Table1[[#This Row],[Std Read]]=""),0,Table1[[#This Row],[Std Nom]]-Table1[[#This Row],[Std Read]])</f>
        <v>0</v>
      </c>
      <c r="N2659" s="1">
        <f>IF(Calculations!$F$5="ACCREDITED 17025 WITH UNCERTAINTIES",$N$10,0)</f>
        <v>0</v>
      </c>
      <c r="O2659" s="1" t="str">
        <f>IFERROR(Table1[[#This Row],[Std Nom]]-(_xlfn.XLOOKUP(Table1[[#This Row],[Manufacturer]]&amp;" "&amp;Table1[[#This Row],[Model]],Table13[MFR &amp; MDL],Table13[Tolerance % CW ],"")/100*Table1[[#This Row],[Std Nom]]),"")</f>
        <v/>
      </c>
      <c r="P2659" s="1" t="str">
        <f>IFERROR(Table1[[#This Row],[Std Nom]]+(_xlfn.XLOOKUP(Table1[[#This Row],[Manufacturer]]&amp;" "&amp;Table1[[#This Row],[Model]],Table13[MFR &amp; MDL],Table13[Tolerance % CW ],"")/100*Table1[[#This Row],[Std Nom]]),"")</f>
        <v/>
      </c>
      <c r="Q2659" s="1" t="e">
        <f>Table1[[#This Row],[High Tol]]-Table1[[#This Row],[Low Tol]]</f>
        <v>#VALUE!</v>
      </c>
      <c r="R2659" s="1">
        <f>2*Table1[[#This Row],[Std Error]]</f>
        <v>0</v>
      </c>
      <c r="S2659" s="1" t="str">
        <f>IF(Table1[[#This Row],[High Tol]]="","N/A",IFERROR(ABS(Table1[[#This Row],[Tol Span]]/Table1[[#This Row],[Error Span]]),"N/A"))</f>
        <v>N/A</v>
      </c>
      <c r="T2659" s="1" t="str">
        <f>IF(OR(Table1[[#This Row],[Low Tol]]="",Table1[[#This Row],[High Tol]]=""),"Needs Analysis",IF(Table1[[#This Row],[Ratio]]&gt;=4,"Not Significant",IF(Table1[[#This Row],[Ratio]]&gt;=2,"Semi-Significant","Significant")))</f>
        <v>Needs Analysis</v>
      </c>
      <c r="W2659" s="1">
        <f>IF(Table1[[#This Row],[Cal Type]]&lt;&gt;"ACCREDITED 17025 WITH UNCERTAINTIES",0,"")</f>
        <v>0</v>
      </c>
      <c r="X2659" s="1" t="str">
        <f>IF(Table1[[#This Row],[DUT Read]]="","N/A",Table1[[#This Row],[Std Error]]+Table1[[#This Row],[DUT Read]]+Table1[[#This Row],[DUT Ucty]])</f>
        <v>N/A</v>
      </c>
      <c r="Y2659" s="1" t="str">
        <f>IF(Table1[[#This Row],[Std Read]]="","N/A",Table1[[#This Row],[Std Read]]+Table1[[#This Row],[Std Ucty]])</f>
        <v>N/A</v>
      </c>
      <c r="Z26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9" s="1" t="str">
        <f>IF(Table1[[#This Row],[Spec Type]]="","N/A",Table1[[#This Row],[Spec Type]])</f>
        <v>±</v>
      </c>
      <c r="AC2659" s="1" t="str">
        <f>IF(Table1[[#This Row],[Spec Type2]]="N/A","N/A",IF(AND(Table1[[#This Row],[DUT Adj Read]]&gt;=Table1[[#This Row],[Low Tol]],Table1[[#This Row],[DUT Adj Read]]&lt;=Table1[[#This Row],[High Tol]]),"Pass","Fail"))</f>
        <v>Fail</v>
      </c>
      <c r="AD2659" s="1" t="str">
        <f>IF(AND(Table1[[#This Row],[Spec Type2]]="N/A",Table1[[#This Row],[DUT Adj Read]]="N/A",Table1[[#This Row],[Std Adj Read]]="N/A"),"N/A",IF(Table1[[#This Row],[DUT Adj Read]]="N/A",IF(Table1[[#This Row],[Std Adj Read]]&gt;Table1[[#This Row],[Low Tol]],"Pass","Fail"),IF(Table1[[#This Row],[DUT Adj Read]]&gt;Table1[[#This Row],[Low Tol]],"Pass","Fail")))</f>
        <v>Pass</v>
      </c>
      <c r="AE2659" s="1" t="str">
        <f>IF(AND(Table1[[#This Row],[Spec Type2]]="N/A",Table1[[#This Row],[DUT Adj Read]]="N/A",Table1[[#This Row],[Std Adj Read]]="N/A"),"N/A",IF(Table1[[#This Row],[DUT Adj Read]]="N/A",IF(Table1[[#This Row],[Std Adj Read]]&lt;Table1[[#This Row],[High Tol]],"Pass","Fail"),IF(Table1[[#This Row],[DUT Adj Read]]&lt;Table1[[#This Row],[High Tol]],"Pass","Fail")))</f>
        <v>Fail</v>
      </c>
      <c r="AF2659" s="1" t="str">
        <f>IF(AND(Table1[[#This Row],[Spec Type2]]="N/A",Table1[[#This Row],[DUT Adj Read]]="N/A",Table1[[#This Row],[Std Adj Read]]="N/A"),"N/A",IF(Table1[[#This Row],[DUT Adj Read]]="N/A",IF(Table1[[#This Row],[Std Adj Read]]&gt;=Table1[[#This Row],[Low Tol]],"Pass","Fail"),IF(Table1[[#This Row],[DUT Adj Read]]&gt;=Table1[[#This Row],[Low Tol]],"Pass","Fail")))</f>
        <v>Pass</v>
      </c>
      <c r="AG2659" s="1" t="str">
        <f>IF(AND(Table1[[#This Row],[Spec Type2]]="N/A",Table1[[#This Row],[DUT Adj Read]]="N/A",Table1[[#This Row],[Std Adj Read]]="N/A"),"N/A",IF(Table1[[#This Row],[DUT Adj Read]]="N/A",IF(Table1[[#This Row],[Std Adj Read]]&lt;=Table1[[#This Row],[High Tol]],"Pass","Fail"),IF(Table1[[#This Row],[DUT Adj Read]]&lt;=Table1[[#This Row],[High Tol]],"Pass","Fail")))</f>
        <v>Fail</v>
      </c>
      <c r="AH26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9" s="1" t="b">
        <v>0</v>
      </c>
      <c r="AN2659" s="1" t="b">
        <v>0</v>
      </c>
      <c r="AO2659" s="1" t="b">
        <v>0</v>
      </c>
    </row>
    <row r="2660" spans="1:41" x14ac:dyDescent="0.25">
      <c r="A2660" s="10"/>
      <c r="B2660" s="10"/>
      <c r="C2660" s="10"/>
      <c r="D2660" s="10"/>
      <c r="E2660" s="10"/>
      <c r="F2660" s="10"/>
      <c r="G2660" s="10"/>
      <c r="H2660" s="10"/>
      <c r="I2660" s="1" t="str">
        <f t="shared" si="123"/>
        <v/>
      </c>
      <c r="J2660" s="1" t="s">
        <v>35</v>
      </c>
      <c r="K2660" s="1" t="str">
        <f t="shared" si="124"/>
        <v/>
      </c>
      <c r="L2660" s="1" t="str">
        <f t="shared" si="125"/>
        <v/>
      </c>
      <c r="M2660" s="1">
        <f>IF(OR(Table1[[#This Row],[Std Nom]]="",Table1[[#This Row],[Std Read]]=""),0,Table1[[#This Row],[Std Nom]]-Table1[[#This Row],[Std Read]])</f>
        <v>0</v>
      </c>
      <c r="N2660" s="1">
        <f>IF(Calculations!$F$5="ACCREDITED 17025 WITH UNCERTAINTIES",$N$10,0)</f>
        <v>0</v>
      </c>
      <c r="O2660" s="1" t="str">
        <f>IFERROR(Table1[[#This Row],[Std Nom]]-(_xlfn.XLOOKUP(Table1[[#This Row],[Manufacturer]]&amp;" "&amp;Table1[[#This Row],[Model]],Table13[MFR &amp; MDL],Table13[Tolerance % CW ],"")/100*Table1[[#This Row],[Std Nom]]),"")</f>
        <v/>
      </c>
      <c r="P2660" s="1" t="str">
        <f>IFERROR(Table1[[#This Row],[Std Nom]]+(_xlfn.XLOOKUP(Table1[[#This Row],[Manufacturer]]&amp;" "&amp;Table1[[#This Row],[Model]],Table13[MFR &amp; MDL],Table13[Tolerance % CW ],"")/100*Table1[[#This Row],[Std Nom]]),"")</f>
        <v/>
      </c>
      <c r="Q2660" s="1" t="e">
        <f>Table1[[#This Row],[High Tol]]-Table1[[#This Row],[Low Tol]]</f>
        <v>#VALUE!</v>
      </c>
      <c r="R2660" s="1">
        <f>2*Table1[[#This Row],[Std Error]]</f>
        <v>0</v>
      </c>
      <c r="S2660" s="1" t="str">
        <f>IF(Table1[[#This Row],[High Tol]]="","N/A",IFERROR(ABS(Table1[[#This Row],[Tol Span]]/Table1[[#This Row],[Error Span]]),"N/A"))</f>
        <v>N/A</v>
      </c>
      <c r="T2660" s="1" t="str">
        <f>IF(OR(Table1[[#This Row],[Low Tol]]="",Table1[[#This Row],[High Tol]]=""),"Needs Analysis",IF(Table1[[#This Row],[Ratio]]&gt;=4,"Not Significant",IF(Table1[[#This Row],[Ratio]]&gt;=2,"Semi-Significant","Significant")))</f>
        <v>Needs Analysis</v>
      </c>
      <c r="W2660" s="1">
        <f>IF(Table1[[#This Row],[Cal Type]]&lt;&gt;"ACCREDITED 17025 WITH UNCERTAINTIES",0,"")</f>
        <v>0</v>
      </c>
      <c r="X2660" s="1" t="str">
        <f>IF(Table1[[#This Row],[DUT Read]]="","N/A",Table1[[#This Row],[Std Error]]+Table1[[#This Row],[DUT Read]]+Table1[[#This Row],[DUT Ucty]])</f>
        <v>N/A</v>
      </c>
      <c r="Y2660" s="1" t="str">
        <f>IF(Table1[[#This Row],[Std Read]]="","N/A",Table1[[#This Row],[Std Read]]+Table1[[#This Row],[Std Ucty]])</f>
        <v>N/A</v>
      </c>
      <c r="Z26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0" s="1" t="str">
        <f>IF(Table1[[#This Row],[Spec Type]]="","N/A",Table1[[#This Row],[Spec Type]])</f>
        <v>±</v>
      </c>
      <c r="AC2660" s="1" t="str">
        <f>IF(Table1[[#This Row],[Spec Type2]]="N/A","N/A",IF(AND(Table1[[#This Row],[DUT Adj Read]]&gt;=Table1[[#This Row],[Low Tol]],Table1[[#This Row],[DUT Adj Read]]&lt;=Table1[[#This Row],[High Tol]]),"Pass","Fail"))</f>
        <v>Fail</v>
      </c>
      <c r="AD2660" s="1" t="str">
        <f>IF(AND(Table1[[#This Row],[Spec Type2]]="N/A",Table1[[#This Row],[DUT Adj Read]]="N/A",Table1[[#This Row],[Std Adj Read]]="N/A"),"N/A",IF(Table1[[#This Row],[DUT Adj Read]]="N/A",IF(Table1[[#This Row],[Std Adj Read]]&gt;Table1[[#This Row],[Low Tol]],"Pass","Fail"),IF(Table1[[#This Row],[DUT Adj Read]]&gt;Table1[[#This Row],[Low Tol]],"Pass","Fail")))</f>
        <v>Pass</v>
      </c>
      <c r="AE2660" s="1" t="str">
        <f>IF(AND(Table1[[#This Row],[Spec Type2]]="N/A",Table1[[#This Row],[DUT Adj Read]]="N/A",Table1[[#This Row],[Std Adj Read]]="N/A"),"N/A",IF(Table1[[#This Row],[DUT Adj Read]]="N/A",IF(Table1[[#This Row],[Std Adj Read]]&lt;Table1[[#This Row],[High Tol]],"Pass","Fail"),IF(Table1[[#This Row],[DUT Adj Read]]&lt;Table1[[#This Row],[High Tol]],"Pass","Fail")))</f>
        <v>Fail</v>
      </c>
      <c r="AF2660" s="1" t="str">
        <f>IF(AND(Table1[[#This Row],[Spec Type2]]="N/A",Table1[[#This Row],[DUT Adj Read]]="N/A",Table1[[#This Row],[Std Adj Read]]="N/A"),"N/A",IF(Table1[[#This Row],[DUT Adj Read]]="N/A",IF(Table1[[#This Row],[Std Adj Read]]&gt;=Table1[[#This Row],[Low Tol]],"Pass","Fail"),IF(Table1[[#This Row],[DUT Adj Read]]&gt;=Table1[[#This Row],[Low Tol]],"Pass","Fail")))</f>
        <v>Pass</v>
      </c>
      <c r="AG2660" s="1" t="str">
        <f>IF(AND(Table1[[#This Row],[Spec Type2]]="N/A",Table1[[#This Row],[DUT Adj Read]]="N/A",Table1[[#This Row],[Std Adj Read]]="N/A"),"N/A",IF(Table1[[#This Row],[DUT Adj Read]]="N/A",IF(Table1[[#This Row],[Std Adj Read]]&lt;=Table1[[#This Row],[High Tol]],"Pass","Fail"),IF(Table1[[#This Row],[DUT Adj Read]]&lt;=Table1[[#This Row],[High Tol]],"Pass","Fail")))</f>
        <v>Fail</v>
      </c>
      <c r="AH26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0" s="1" t="b">
        <v>0</v>
      </c>
      <c r="AN2660" s="1" t="b">
        <v>0</v>
      </c>
      <c r="AO2660" s="1" t="b">
        <v>0</v>
      </c>
    </row>
    <row r="2661" spans="1:41" x14ac:dyDescent="0.25">
      <c r="A2661" s="10"/>
      <c r="B2661" s="10"/>
      <c r="C2661" s="10"/>
      <c r="D2661" s="10"/>
      <c r="E2661" s="10"/>
      <c r="F2661" s="10"/>
      <c r="G2661" s="10"/>
      <c r="H2661" s="10"/>
      <c r="I2661" s="1" t="str">
        <f t="shared" si="123"/>
        <v/>
      </c>
      <c r="J2661" s="1" t="s">
        <v>35</v>
      </c>
      <c r="K2661" s="1" t="str">
        <f t="shared" si="124"/>
        <v/>
      </c>
      <c r="L2661" s="1" t="str">
        <f t="shared" si="125"/>
        <v/>
      </c>
      <c r="M2661" s="1">
        <f>IF(OR(Table1[[#This Row],[Std Nom]]="",Table1[[#This Row],[Std Read]]=""),0,Table1[[#This Row],[Std Nom]]-Table1[[#This Row],[Std Read]])</f>
        <v>0</v>
      </c>
      <c r="N2661" s="1">
        <f>IF(Calculations!$F$5="ACCREDITED 17025 WITH UNCERTAINTIES",$N$10,0)</f>
        <v>0</v>
      </c>
      <c r="O2661" s="1" t="str">
        <f>IFERROR(Table1[[#This Row],[Std Nom]]-(_xlfn.XLOOKUP(Table1[[#This Row],[Manufacturer]]&amp;" "&amp;Table1[[#This Row],[Model]],Table13[MFR &amp; MDL],Table13[Tolerance % CW ],"")/100*Table1[[#This Row],[Std Nom]]),"")</f>
        <v/>
      </c>
      <c r="P2661" s="1" t="str">
        <f>IFERROR(Table1[[#This Row],[Std Nom]]+(_xlfn.XLOOKUP(Table1[[#This Row],[Manufacturer]]&amp;" "&amp;Table1[[#This Row],[Model]],Table13[MFR &amp; MDL],Table13[Tolerance % CW ],"")/100*Table1[[#This Row],[Std Nom]]),"")</f>
        <v/>
      </c>
      <c r="Q2661" s="1" t="e">
        <f>Table1[[#This Row],[High Tol]]-Table1[[#This Row],[Low Tol]]</f>
        <v>#VALUE!</v>
      </c>
      <c r="R2661" s="1">
        <f>2*Table1[[#This Row],[Std Error]]</f>
        <v>0</v>
      </c>
      <c r="S2661" s="1" t="str">
        <f>IF(Table1[[#This Row],[High Tol]]="","N/A",IFERROR(ABS(Table1[[#This Row],[Tol Span]]/Table1[[#This Row],[Error Span]]),"N/A"))</f>
        <v>N/A</v>
      </c>
      <c r="T2661" s="1" t="str">
        <f>IF(OR(Table1[[#This Row],[Low Tol]]="",Table1[[#This Row],[High Tol]]=""),"Needs Analysis",IF(Table1[[#This Row],[Ratio]]&gt;=4,"Not Significant",IF(Table1[[#This Row],[Ratio]]&gt;=2,"Semi-Significant","Significant")))</f>
        <v>Needs Analysis</v>
      </c>
      <c r="W2661" s="1">
        <f>IF(Table1[[#This Row],[Cal Type]]&lt;&gt;"ACCREDITED 17025 WITH UNCERTAINTIES",0,"")</f>
        <v>0</v>
      </c>
      <c r="X2661" s="1" t="str">
        <f>IF(Table1[[#This Row],[DUT Read]]="","N/A",Table1[[#This Row],[Std Error]]+Table1[[#This Row],[DUT Read]]+Table1[[#This Row],[DUT Ucty]])</f>
        <v>N/A</v>
      </c>
      <c r="Y2661" s="1" t="str">
        <f>IF(Table1[[#This Row],[Std Read]]="","N/A",Table1[[#This Row],[Std Read]]+Table1[[#This Row],[Std Ucty]])</f>
        <v>N/A</v>
      </c>
      <c r="Z26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1" s="1" t="str">
        <f>IF(Table1[[#This Row],[Spec Type]]="","N/A",Table1[[#This Row],[Spec Type]])</f>
        <v>±</v>
      </c>
      <c r="AC2661" s="1" t="str">
        <f>IF(Table1[[#This Row],[Spec Type2]]="N/A","N/A",IF(AND(Table1[[#This Row],[DUT Adj Read]]&gt;=Table1[[#This Row],[Low Tol]],Table1[[#This Row],[DUT Adj Read]]&lt;=Table1[[#This Row],[High Tol]]),"Pass","Fail"))</f>
        <v>Fail</v>
      </c>
      <c r="AD2661" s="1" t="str">
        <f>IF(AND(Table1[[#This Row],[Spec Type2]]="N/A",Table1[[#This Row],[DUT Adj Read]]="N/A",Table1[[#This Row],[Std Adj Read]]="N/A"),"N/A",IF(Table1[[#This Row],[DUT Adj Read]]="N/A",IF(Table1[[#This Row],[Std Adj Read]]&gt;Table1[[#This Row],[Low Tol]],"Pass","Fail"),IF(Table1[[#This Row],[DUT Adj Read]]&gt;Table1[[#This Row],[Low Tol]],"Pass","Fail")))</f>
        <v>Pass</v>
      </c>
      <c r="AE2661" s="1" t="str">
        <f>IF(AND(Table1[[#This Row],[Spec Type2]]="N/A",Table1[[#This Row],[DUT Adj Read]]="N/A",Table1[[#This Row],[Std Adj Read]]="N/A"),"N/A",IF(Table1[[#This Row],[DUT Adj Read]]="N/A",IF(Table1[[#This Row],[Std Adj Read]]&lt;Table1[[#This Row],[High Tol]],"Pass","Fail"),IF(Table1[[#This Row],[DUT Adj Read]]&lt;Table1[[#This Row],[High Tol]],"Pass","Fail")))</f>
        <v>Fail</v>
      </c>
      <c r="AF2661" s="1" t="str">
        <f>IF(AND(Table1[[#This Row],[Spec Type2]]="N/A",Table1[[#This Row],[DUT Adj Read]]="N/A",Table1[[#This Row],[Std Adj Read]]="N/A"),"N/A",IF(Table1[[#This Row],[DUT Adj Read]]="N/A",IF(Table1[[#This Row],[Std Adj Read]]&gt;=Table1[[#This Row],[Low Tol]],"Pass","Fail"),IF(Table1[[#This Row],[DUT Adj Read]]&gt;=Table1[[#This Row],[Low Tol]],"Pass","Fail")))</f>
        <v>Pass</v>
      </c>
      <c r="AG2661" s="1" t="str">
        <f>IF(AND(Table1[[#This Row],[Spec Type2]]="N/A",Table1[[#This Row],[DUT Adj Read]]="N/A",Table1[[#This Row],[Std Adj Read]]="N/A"),"N/A",IF(Table1[[#This Row],[DUT Adj Read]]="N/A",IF(Table1[[#This Row],[Std Adj Read]]&lt;=Table1[[#This Row],[High Tol]],"Pass","Fail"),IF(Table1[[#This Row],[DUT Adj Read]]&lt;=Table1[[#This Row],[High Tol]],"Pass","Fail")))</f>
        <v>Fail</v>
      </c>
      <c r="AH26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1" s="1" t="b">
        <v>0</v>
      </c>
      <c r="AN2661" s="1" t="b">
        <v>0</v>
      </c>
      <c r="AO2661" s="1" t="b">
        <v>0</v>
      </c>
    </row>
    <row r="2662" spans="1:41" x14ac:dyDescent="0.25">
      <c r="A2662" s="10"/>
      <c r="B2662" s="10"/>
      <c r="C2662" s="10"/>
      <c r="D2662" s="10"/>
      <c r="E2662" s="10"/>
      <c r="F2662" s="10"/>
      <c r="G2662" s="10"/>
      <c r="H2662" s="10"/>
      <c r="I2662" s="1" t="str">
        <f t="shared" si="123"/>
        <v/>
      </c>
      <c r="J2662" s="1" t="s">
        <v>35</v>
      </c>
      <c r="K2662" s="1" t="str">
        <f t="shared" si="124"/>
        <v/>
      </c>
      <c r="L2662" s="1" t="str">
        <f t="shared" si="125"/>
        <v/>
      </c>
      <c r="M2662" s="1">
        <f>IF(OR(Table1[[#This Row],[Std Nom]]="",Table1[[#This Row],[Std Read]]=""),0,Table1[[#This Row],[Std Nom]]-Table1[[#This Row],[Std Read]])</f>
        <v>0</v>
      </c>
      <c r="N2662" s="1">
        <f>IF(Calculations!$F$5="ACCREDITED 17025 WITH UNCERTAINTIES",$N$10,0)</f>
        <v>0</v>
      </c>
      <c r="O2662" s="1" t="str">
        <f>IFERROR(Table1[[#This Row],[Std Nom]]-(_xlfn.XLOOKUP(Table1[[#This Row],[Manufacturer]]&amp;" "&amp;Table1[[#This Row],[Model]],Table13[MFR &amp; MDL],Table13[Tolerance % CW ],"")/100*Table1[[#This Row],[Std Nom]]),"")</f>
        <v/>
      </c>
      <c r="P2662" s="1" t="str">
        <f>IFERROR(Table1[[#This Row],[Std Nom]]+(_xlfn.XLOOKUP(Table1[[#This Row],[Manufacturer]]&amp;" "&amp;Table1[[#This Row],[Model]],Table13[MFR &amp; MDL],Table13[Tolerance % CW ],"")/100*Table1[[#This Row],[Std Nom]]),"")</f>
        <v/>
      </c>
      <c r="Q2662" s="1" t="e">
        <f>Table1[[#This Row],[High Tol]]-Table1[[#This Row],[Low Tol]]</f>
        <v>#VALUE!</v>
      </c>
      <c r="R2662" s="1">
        <f>2*Table1[[#This Row],[Std Error]]</f>
        <v>0</v>
      </c>
      <c r="S2662" s="1" t="str">
        <f>IF(Table1[[#This Row],[High Tol]]="","N/A",IFERROR(ABS(Table1[[#This Row],[Tol Span]]/Table1[[#This Row],[Error Span]]),"N/A"))</f>
        <v>N/A</v>
      </c>
      <c r="T2662" s="1" t="str">
        <f>IF(OR(Table1[[#This Row],[Low Tol]]="",Table1[[#This Row],[High Tol]]=""),"Needs Analysis",IF(Table1[[#This Row],[Ratio]]&gt;=4,"Not Significant",IF(Table1[[#This Row],[Ratio]]&gt;=2,"Semi-Significant","Significant")))</f>
        <v>Needs Analysis</v>
      </c>
      <c r="W2662" s="1">
        <f>IF(Table1[[#This Row],[Cal Type]]&lt;&gt;"ACCREDITED 17025 WITH UNCERTAINTIES",0,"")</f>
        <v>0</v>
      </c>
      <c r="X2662" s="1" t="str">
        <f>IF(Table1[[#This Row],[DUT Read]]="","N/A",Table1[[#This Row],[Std Error]]+Table1[[#This Row],[DUT Read]]+Table1[[#This Row],[DUT Ucty]])</f>
        <v>N/A</v>
      </c>
      <c r="Y2662" s="1" t="str">
        <f>IF(Table1[[#This Row],[Std Read]]="","N/A",Table1[[#This Row],[Std Read]]+Table1[[#This Row],[Std Ucty]])</f>
        <v>N/A</v>
      </c>
      <c r="Z26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2" s="1" t="str">
        <f>IF(Table1[[#This Row],[Spec Type]]="","N/A",Table1[[#This Row],[Spec Type]])</f>
        <v>±</v>
      </c>
      <c r="AC2662" s="1" t="str">
        <f>IF(Table1[[#This Row],[Spec Type2]]="N/A","N/A",IF(AND(Table1[[#This Row],[DUT Adj Read]]&gt;=Table1[[#This Row],[Low Tol]],Table1[[#This Row],[DUT Adj Read]]&lt;=Table1[[#This Row],[High Tol]]),"Pass","Fail"))</f>
        <v>Fail</v>
      </c>
      <c r="AD2662" s="1" t="str">
        <f>IF(AND(Table1[[#This Row],[Spec Type2]]="N/A",Table1[[#This Row],[DUT Adj Read]]="N/A",Table1[[#This Row],[Std Adj Read]]="N/A"),"N/A",IF(Table1[[#This Row],[DUT Adj Read]]="N/A",IF(Table1[[#This Row],[Std Adj Read]]&gt;Table1[[#This Row],[Low Tol]],"Pass","Fail"),IF(Table1[[#This Row],[DUT Adj Read]]&gt;Table1[[#This Row],[Low Tol]],"Pass","Fail")))</f>
        <v>Pass</v>
      </c>
      <c r="AE2662" s="1" t="str">
        <f>IF(AND(Table1[[#This Row],[Spec Type2]]="N/A",Table1[[#This Row],[DUT Adj Read]]="N/A",Table1[[#This Row],[Std Adj Read]]="N/A"),"N/A",IF(Table1[[#This Row],[DUT Adj Read]]="N/A",IF(Table1[[#This Row],[Std Adj Read]]&lt;Table1[[#This Row],[High Tol]],"Pass","Fail"),IF(Table1[[#This Row],[DUT Adj Read]]&lt;Table1[[#This Row],[High Tol]],"Pass","Fail")))</f>
        <v>Fail</v>
      </c>
      <c r="AF2662" s="1" t="str">
        <f>IF(AND(Table1[[#This Row],[Spec Type2]]="N/A",Table1[[#This Row],[DUT Adj Read]]="N/A",Table1[[#This Row],[Std Adj Read]]="N/A"),"N/A",IF(Table1[[#This Row],[DUT Adj Read]]="N/A",IF(Table1[[#This Row],[Std Adj Read]]&gt;=Table1[[#This Row],[Low Tol]],"Pass","Fail"),IF(Table1[[#This Row],[DUT Adj Read]]&gt;=Table1[[#This Row],[Low Tol]],"Pass","Fail")))</f>
        <v>Pass</v>
      </c>
      <c r="AG2662" s="1" t="str">
        <f>IF(AND(Table1[[#This Row],[Spec Type2]]="N/A",Table1[[#This Row],[DUT Adj Read]]="N/A",Table1[[#This Row],[Std Adj Read]]="N/A"),"N/A",IF(Table1[[#This Row],[DUT Adj Read]]="N/A",IF(Table1[[#This Row],[Std Adj Read]]&lt;=Table1[[#This Row],[High Tol]],"Pass","Fail"),IF(Table1[[#This Row],[DUT Adj Read]]&lt;=Table1[[#This Row],[High Tol]],"Pass","Fail")))</f>
        <v>Fail</v>
      </c>
      <c r="AH26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2" s="1" t="b">
        <v>0</v>
      </c>
      <c r="AN2662" s="1" t="b">
        <v>0</v>
      </c>
      <c r="AO2662" s="1" t="b">
        <v>0</v>
      </c>
    </row>
    <row r="2663" spans="1:41" x14ac:dyDescent="0.25">
      <c r="A2663" s="10"/>
      <c r="B2663" s="10"/>
      <c r="C2663" s="10"/>
      <c r="D2663" s="10"/>
      <c r="E2663" s="10"/>
      <c r="F2663" s="10"/>
      <c r="G2663" s="10"/>
      <c r="H2663" s="10"/>
      <c r="I2663" s="1" t="str">
        <f t="shared" si="123"/>
        <v/>
      </c>
      <c r="J2663" s="1" t="s">
        <v>35</v>
      </c>
      <c r="K2663" s="1" t="str">
        <f t="shared" si="124"/>
        <v/>
      </c>
      <c r="L2663" s="1" t="str">
        <f t="shared" si="125"/>
        <v/>
      </c>
      <c r="M2663" s="1">
        <f>IF(OR(Table1[[#This Row],[Std Nom]]="",Table1[[#This Row],[Std Read]]=""),0,Table1[[#This Row],[Std Nom]]-Table1[[#This Row],[Std Read]])</f>
        <v>0</v>
      </c>
      <c r="N2663" s="1">
        <f>IF(Calculations!$F$5="ACCREDITED 17025 WITH UNCERTAINTIES",$N$10,0)</f>
        <v>0</v>
      </c>
      <c r="O2663" s="1" t="str">
        <f>IFERROR(Table1[[#This Row],[Std Nom]]-(_xlfn.XLOOKUP(Table1[[#This Row],[Manufacturer]]&amp;" "&amp;Table1[[#This Row],[Model]],Table13[MFR &amp; MDL],Table13[Tolerance % CW ],"")/100*Table1[[#This Row],[Std Nom]]),"")</f>
        <v/>
      </c>
      <c r="P2663" s="1" t="str">
        <f>IFERROR(Table1[[#This Row],[Std Nom]]+(_xlfn.XLOOKUP(Table1[[#This Row],[Manufacturer]]&amp;" "&amp;Table1[[#This Row],[Model]],Table13[MFR &amp; MDL],Table13[Tolerance % CW ],"")/100*Table1[[#This Row],[Std Nom]]),"")</f>
        <v/>
      </c>
      <c r="Q2663" s="1" t="e">
        <f>Table1[[#This Row],[High Tol]]-Table1[[#This Row],[Low Tol]]</f>
        <v>#VALUE!</v>
      </c>
      <c r="R2663" s="1">
        <f>2*Table1[[#This Row],[Std Error]]</f>
        <v>0</v>
      </c>
      <c r="S2663" s="1" t="str">
        <f>IF(Table1[[#This Row],[High Tol]]="","N/A",IFERROR(ABS(Table1[[#This Row],[Tol Span]]/Table1[[#This Row],[Error Span]]),"N/A"))</f>
        <v>N/A</v>
      </c>
      <c r="T2663" s="1" t="str">
        <f>IF(OR(Table1[[#This Row],[Low Tol]]="",Table1[[#This Row],[High Tol]]=""),"Needs Analysis",IF(Table1[[#This Row],[Ratio]]&gt;=4,"Not Significant",IF(Table1[[#This Row],[Ratio]]&gt;=2,"Semi-Significant","Significant")))</f>
        <v>Needs Analysis</v>
      </c>
      <c r="W2663" s="1">
        <f>IF(Table1[[#This Row],[Cal Type]]&lt;&gt;"ACCREDITED 17025 WITH UNCERTAINTIES",0,"")</f>
        <v>0</v>
      </c>
      <c r="X2663" s="1" t="str">
        <f>IF(Table1[[#This Row],[DUT Read]]="","N/A",Table1[[#This Row],[Std Error]]+Table1[[#This Row],[DUT Read]]+Table1[[#This Row],[DUT Ucty]])</f>
        <v>N/A</v>
      </c>
      <c r="Y2663" s="1" t="str">
        <f>IF(Table1[[#This Row],[Std Read]]="","N/A",Table1[[#This Row],[Std Read]]+Table1[[#This Row],[Std Ucty]])</f>
        <v>N/A</v>
      </c>
      <c r="Z26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3" s="1" t="str">
        <f>IF(Table1[[#This Row],[Spec Type]]="","N/A",Table1[[#This Row],[Spec Type]])</f>
        <v>±</v>
      </c>
      <c r="AC2663" s="1" t="str">
        <f>IF(Table1[[#This Row],[Spec Type2]]="N/A","N/A",IF(AND(Table1[[#This Row],[DUT Adj Read]]&gt;=Table1[[#This Row],[Low Tol]],Table1[[#This Row],[DUT Adj Read]]&lt;=Table1[[#This Row],[High Tol]]),"Pass","Fail"))</f>
        <v>Fail</v>
      </c>
      <c r="AD2663" s="1" t="str">
        <f>IF(AND(Table1[[#This Row],[Spec Type2]]="N/A",Table1[[#This Row],[DUT Adj Read]]="N/A",Table1[[#This Row],[Std Adj Read]]="N/A"),"N/A",IF(Table1[[#This Row],[DUT Adj Read]]="N/A",IF(Table1[[#This Row],[Std Adj Read]]&gt;Table1[[#This Row],[Low Tol]],"Pass","Fail"),IF(Table1[[#This Row],[DUT Adj Read]]&gt;Table1[[#This Row],[Low Tol]],"Pass","Fail")))</f>
        <v>Pass</v>
      </c>
      <c r="AE2663" s="1" t="str">
        <f>IF(AND(Table1[[#This Row],[Spec Type2]]="N/A",Table1[[#This Row],[DUT Adj Read]]="N/A",Table1[[#This Row],[Std Adj Read]]="N/A"),"N/A",IF(Table1[[#This Row],[DUT Adj Read]]="N/A",IF(Table1[[#This Row],[Std Adj Read]]&lt;Table1[[#This Row],[High Tol]],"Pass","Fail"),IF(Table1[[#This Row],[DUT Adj Read]]&lt;Table1[[#This Row],[High Tol]],"Pass","Fail")))</f>
        <v>Fail</v>
      </c>
      <c r="AF2663" s="1" t="str">
        <f>IF(AND(Table1[[#This Row],[Spec Type2]]="N/A",Table1[[#This Row],[DUT Adj Read]]="N/A",Table1[[#This Row],[Std Adj Read]]="N/A"),"N/A",IF(Table1[[#This Row],[DUT Adj Read]]="N/A",IF(Table1[[#This Row],[Std Adj Read]]&gt;=Table1[[#This Row],[Low Tol]],"Pass","Fail"),IF(Table1[[#This Row],[DUT Adj Read]]&gt;=Table1[[#This Row],[Low Tol]],"Pass","Fail")))</f>
        <v>Pass</v>
      </c>
      <c r="AG2663" s="1" t="str">
        <f>IF(AND(Table1[[#This Row],[Spec Type2]]="N/A",Table1[[#This Row],[DUT Adj Read]]="N/A",Table1[[#This Row],[Std Adj Read]]="N/A"),"N/A",IF(Table1[[#This Row],[DUT Adj Read]]="N/A",IF(Table1[[#This Row],[Std Adj Read]]&lt;=Table1[[#This Row],[High Tol]],"Pass","Fail"),IF(Table1[[#This Row],[DUT Adj Read]]&lt;=Table1[[#This Row],[High Tol]],"Pass","Fail")))</f>
        <v>Fail</v>
      </c>
      <c r="AH26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3" s="1" t="b">
        <v>0</v>
      </c>
      <c r="AN2663" s="1" t="b">
        <v>0</v>
      </c>
      <c r="AO2663" s="1" t="b">
        <v>0</v>
      </c>
    </row>
    <row r="2664" spans="1:41" x14ac:dyDescent="0.25">
      <c r="A2664" s="10"/>
      <c r="B2664" s="10"/>
      <c r="C2664" s="10"/>
      <c r="D2664" s="10"/>
      <c r="E2664" s="10"/>
      <c r="F2664" s="10"/>
      <c r="G2664" s="10"/>
      <c r="H2664" s="10"/>
      <c r="I2664" s="1" t="str">
        <f t="shared" si="123"/>
        <v/>
      </c>
      <c r="J2664" s="1" t="s">
        <v>35</v>
      </c>
      <c r="K2664" s="1" t="str">
        <f t="shared" si="124"/>
        <v/>
      </c>
      <c r="L2664" s="1" t="str">
        <f t="shared" si="125"/>
        <v/>
      </c>
      <c r="M2664" s="1">
        <f>IF(OR(Table1[[#This Row],[Std Nom]]="",Table1[[#This Row],[Std Read]]=""),0,Table1[[#This Row],[Std Nom]]-Table1[[#This Row],[Std Read]])</f>
        <v>0</v>
      </c>
      <c r="N2664" s="1">
        <f>IF(Calculations!$F$5="ACCREDITED 17025 WITH UNCERTAINTIES",$N$10,0)</f>
        <v>0</v>
      </c>
      <c r="O2664" s="1" t="str">
        <f>IFERROR(Table1[[#This Row],[Std Nom]]-(_xlfn.XLOOKUP(Table1[[#This Row],[Manufacturer]]&amp;" "&amp;Table1[[#This Row],[Model]],Table13[MFR &amp; MDL],Table13[Tolerance % CW ],"")/100*Table1[[#This Row],[Std Nom]]),"")</f>
        <v/>
      </c>
      <c r="P2664" s="1" t="str">
        <f>IFERROR(Table1[[#This Row],[Std Nom]]+(_xlfn.XLOOKUP(Table1[[#This Row],[Manufacturer]]&amp;" "&amp;Table1[[#This Row],[Model]],Table13[MFR &amp; MDL],Table13[Tolerance % CW ],"")/100*Table1[[#This Row],[Std Nom]]),"")</f>
        <v/>
      </c>
      <c r="Q2664" s="1" t="e">
        <f>Table1[[#This Row],[High Tol]]-Table1[[#This Row],[Low Tol]]</f>
        <v>#VALUE!</v>
      </c>
      <c r="R2664" s="1">
        <f>2*Table1[[#This Row],[Std Error]]</f>
        <v>0</v>
      </c>
      <c r="S2664" s="1" t="str">
        <f>IF(Table1[[#This Row],[High Tol]]="","N/A",IFERROR(ABS(Table1[[#This Row],[Tol Span]]/Table1[[#This Row],[Error Span]]),"N/A"))</f>
        <v>N/A</v>
      </c>
      <c r="T2664" s="1" t="str">
        <f>IF(OR(Table1[[#This Row],[Low Tol]]="",Table1[[#This Row],[High Tol]]=""),"Needs Analysis",IF(Table1[[#This Row],[Ratio]]&gt;=4,"Not Significant",IF(Table1[[#This Row],[Ratio]]&gt;=2,"Semi-Significant","Significant")))</f>
        <v>Needs Analysis</v>
      </c>
      <c r="W2664" s="1">
        <f>IF(Table1[[#This Row],[Cal Type]]&lt;&gt;"ACCREDITED 17025 WITH UNCERTAINTIES",0,"")</f>
        <v>0</v>
      </c>
      <c r="X2664" s="1" t="str">
        <f>IF(Table1[[#This Row],[DUT Read]]="","N/A",Table1[[#This Row],[Std Error]]+Table1[[#This Row],[DUT Read]]+Table1[[#This Row],[DUT Ucty]])</f>
        <v>N/A</v>
      </c>
      <c r="Y2664" s="1" t="str">
        <f>IF(Table1[[#This Row],[Std Read]]="","N/A",Table1[[#This Row],[Std Read]]+Table1[[#This Row],[Std Ucty]])</f>
        <v>N/A</v>
      </c>
      <c r="Z26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4" s="1" t="str">
        <f>IF(Table1[[#This Row],[Spec Type]]="","N/A",Table1[[#This Row],[Spec Type]])</f>
        <v>±</v>
      </c>
      <c r="AC2664" s="1" t="str">
        <f>IF(Table1[[#This Row],[Spec Type2]]="N/A","N/A",IF(AND(Table1[[#This Row],[DUT Adj Read]]&gt;=Table1[[#This Row],[Low Tol]],Table1[[#This Row],[DUT Adj Read]]&lt;=Table1[[#This Row],[High Tol]]),"Pass","Fail"))</f>
        <v>Fail</v>
      </c>
      <c r="AD2664" s="1" t="str">
        <f>IF(AND(Table1[[#This Row],[Spec Type2]]="N/A",Table1[[#This Row],[DUT Adj Read]]="N/A",Table1[[#This Row],[Std Adj Read]]="N/A"),"N/A",IF(Table1[[#This Row],[DUT Adj Read]]="N/A",IF(Table1[[#This Row],[Std Adj Read]]&gt;Table1[[#This Row],[Low Tol]],"Pass","Fail"),IF(Table1[[#This Row],[DUT Adj Read]]&gt;Table1[[#This Row],[Low Tol]],"Pass","Fail")))</f>
        <v>Pass</v>
      </c>
      <c r="AE2664" s="1" t="str">
        <f>IF(AND(Table1[[#This Row],[Spec Type2]]="N/A",Table1[[#This Row],[DUT Adj Read]]="N/A",Table1[[#This Row],[Std Adj Read]]="N/A"),"N/A",IF(Table1[[#This Row],[DUT Adj Read]]="N/A",IF(Table1[[#This Row],[Std Adj Read]]&lt;Table1[[#This Row],[High Tol]],"Pass","Fail"),IF(Table1[[#This Row],[DUT Adj Read]]&lt;Table1[[#This Row],[High Tol]],"Pass","Fail")))</f>
        <v>Fail</v>
      </c>
      <c r="AF2664" s="1" t="str">
        <f>IF(AND(Table1[[#This Row],[Spec Type2]]="N/A",Table1[[#This Row],[DUT Adj Read]]="N/A",Table1[[#This Row],[Std Adj Read]]="N/A"),"N/A",IF(Table1[[#This Row],[DUT Adj Read]]="N/A",IF(Table1[[#This Row],[Std Adj Read]]&gt;=Table1[[#This Row],[Low Tol]],"Pass","Fail"),IF(Table1[[#This Row],[DUT Adj Read]]&gt;=Table1[[#This Row],[Low Tol]],"Pass","Fail")))</f>
        <v>Pass</v>
      </c>
      <c r="AG2664" s="1" t="str">
        <f>IF(AND(Table1[[#This Row],[Spec Type2]]="N/A",Table1[[#This Row],[DUT Adj Read]]="N/A",Table1[[#This Row],[Std Adj Read]]="N/A"),"N/A",IF(Table1[[#This Row],[DUT Adj Read]]="N/A",IF(Table1[[#This Row],[Std Adj Read]]&lt;=Table1[[#This Row],[High Tol]],"Pass","Fail"),IF(Table1[[#This Row],[DUT Adj Read]]&lt;=Table1[[#This Row],[High Tol]],"Pass","Fail")))</f>
        <v>Fail</v>
      </c>
      <c r="AH26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4" s="1" t="b">
        <v>0</v>
      </c>
      <c r="AN2664" s="1" t="b">
        <v>0</v>
      </c>
      <c r="AO2664" s="1" t="b">
        <v>0</v>
      </c>
    </row>
    <row r="2665" spans="1:41" x14ac:dyDescent="0.25">
      <c r="A2665" s="10"/>
      <c r="B2665" s="10"/>
      <c r="C2665" s="10"/>
      <c r="D2665" s="10"/>
      <c r="E2665" s="10"/>
      <c r="F2665" s="10"/>
      <c r="G2665" s="10"/>
      <c r="H2665" s="10"/>
      <c r="I2665" s="1" t="str">
        <f t="shared" si="123"/>
        <v/>
      </c>
      <c r="J2665" s="1" t="s">
        <v>35</v>
      </c>
      <c r="K2665" s="1" t="str">
        <f t="shared" si="124"/>
        <v/>
      </c>
      <c r="L2665" s="1" t="str">
        <f t="shared" si="125"/>
        <v/>
      </c>
      <c r="M2665" s="1">
        <f>IF(OR(Table1[[#This Row],[Std Nom]]="",Table1[[#This Row],[Std Read]]=""),0,Table1[[#This Row],[Std Nom]]-Table1[[#This Row],[Std Read]])</f>
        <v>0</v>
      </c>
      <c r="N2665" s="1">
        <f>IF(Calculations!$F$5="ACCREDITED 17025 WITH UNCERTAINTIES",$N$10,0)</f>
        <v>0</v>
      </c>
      <c r="O2665" s="1" t="str">
        <f>IFERROR(Table1[[#This Row],[Std Nom]]-(_xlfn.XLOOKUP(Table1[[#This Row],[Manufacturer]]&amp;" "&amp;Table1[[#This Row],[Model]],Table13[MFR &amp; MDL],Table13[Tolerance % CW ],"")/100*Table1[[#This Row],[Std Nom]]),"")</f>
        <v/>
      </c>
      <c r="P2665" s="1" t="str">
        <f>IFERROR(Table1[[#This Row],[Std Nom]]+(_xlfn.XLOOKUP(Table1[[#This Row],[Manufacturer]]&amp;" "&amp;Table1[[#This Row],[Model]],Table13[MFR &amp; MDL],Table13[Tolerance % CW ],"")/100*Table1[[#This Row],[Std Nom]]),"")</f>
        <v/>
      </c>
      <c r="Q2665" s="1" t="e">
        <f>Table1[[#This Row],[High Tol]]-Table1[[#This Row],[Low Tol]]</f>
        <v>#VALUE!</v>
      </c>
      <c r="R2665" s="1">
        <f>2*Table1[[#This Row],[Std Error]]</f>
        <v>0</v>
      </c>
      <c r="S2665" s="1" t="str">
        <f>IF(Table1[[#This Row],[High Tol]]="","N/A",IFERROR(ABS(Table1[[#This Row],[Tol Span]]/Table1[[#This Row],[Error Span]]),"N/A"))</f>
        <v>N/A</v>
      </c>
      <c r="T2665" s="1" t="str">
        <f>IF(OR(Table1[[#This Row],[Low Tol]]="",Table1[[#This Row],[High Tol]]=""),"Needs Analysis",IF(Table1[[#This Row],[Ratio]]&gt;=4,"Not Significant",IF(Table1[[#This Row],[Ratio]]&gt;=2,"Semi-Significant","Significant")))</f>
        <v>Needs Analysis</v>
      </c>
      <c r="W2665" s="1">
        <f>IF(Table1[[#This Row],[Cal Type]]&lt;&gt;"ACCREDITED 17025 WITH UNCERTAINTIES",0,"")</f>
        <v>0</v>
      </c>
      <c r="X2665" s="1" t="str">
        <f>IF(Table1[[#This Row],[DUT Read]]="","N/A",Table1[[#This Row],[Std Error]]+Table1[[#This Row],[DUT Read]]+Table1[[#This Row],[DUT Ucty]])</f>
        <v>N/A</v>
      </c>
      <c r="Y2665" s="1" t="str">
        <f>IF(Table1[[#This Row],[Std Read]]="","N/A",Table1[[#This Row],[Std Read]]+Table1[[#This Row],[Std Ucty]])</f>
        <v>N/A</v>
      </c>
      <c r="Z26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5" s="1" t="str">
        <f>IF(Table1[[#This Row],[Spec Type]]="","N/A",Table1[[#This Row],[Spec Type]])</f>
        <v>±</v>
      </c>
      <c r="AC2665" s="1" t="str">
        <f>IF(Table1[[#This Row],[Spec Type2]]="N/A","N/A",IF(AND(Table1[[#This Row],[DUT Adj Read]]&gt;=Table1[[#This Row],[Low Tol]],Table1[[#This Row],[DUT Adj Read]]&lt;=Table1[[#This Row],[High Tol]]),"Pass","Fail"))</f>
        <v>Fail</v>
      </c>
      <c r="AD2665" s="1" t="str">
        <f>IF(AND(Table1[[#This Row],[Spec Type2]]="N/A",Table1[[#This Row],[DUT Adj Read]]="N/A",Table1[[#This Row],[Std Adj Read]]="N/A"),"N/A",IF(Table1[[#This Row],[DUT Adj Read]]="N/A",IF(Table1[[#This Row],[Std Adj Read]]&gt;Table1[[#This Row],[Low Tol]],"Pass","Fail"),IF(Table1[[#This Row],[DUT Adj Read]]&gt;Table1[[#This Row],[Low Tol]],"Pass","Fail")))</f>
        <v>Pass</v>
      </c>
      <c r="AE2665" s="1" t="str">
        <f>IF(AND(Table1[[#This Row],[Spec Type2]]="N/A",Table1[[#This Row],[DUT Adj Read]]="N/A",Table1[[#This Row],[Std Adj Read]]="N/A"),"N/A",IF(Table1[[#This Row],[DUT Adj Read]]="N/A",IF(Table1[[#This Row],[Std Adj Read]]&lt;Table1[[#This Row],[High Tol]],"Pass","Fail"),IF(Table1[[#This Row],[DUT Adj Read]]&lt;Table1[[#This Row],[High Tol]],"Pass","Fail")))</f>
        <v>Fail</v>
      </c>
      <c r="AF2665" s="1" t="str">
        <f>IF(AND(Table1[[#This Row],[Spec Type2]]="N/A",Table1[[#This Row],[DUT Adj Read]]="N/A",Table1[[#This Row],[Std Adj Read]]="N/A"),"N/A",IF(Table1[[#This Row],[DUT Adj Read]]="N/A",IF(Table1[[#This Row],[Std Adj Read]]&gt;=Table1[[#This Row],[Low Tol]],"Pass","Fail"),IF(Table1[[#This Row],[DUT Adj Read]]&gt;=Table1[[#This Row],[Low Tol]],"Pass","Fail")))</f>
        <v>Pass</v>
      </c>
      <c r="AG2665" s="1" t="str">
        <f>IF(AND(Table1[[#This Row],[Spec Type2]]="N/A",Table1[[#This Row],[DUT Adj Read]]="N/A",Table1[[#This Row],[Std Adj Read]]="N/A"),"N/A",IF(Table1[[#This Row],[DUT Adj Read]]="N/A",IF(Table1[[#This Row],[Std Adj Read]]&lt;=Table1[[#This Row],[High Tol]],"Pass","Fail"),IF(Table1[[#This Row],[DUT Adj Read]]&lt;=Table1[[#This Row],[High Tol]],"Pass","Fail")))</f>
        <v>Fail</v>
      </c>
      <c r="AH26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5" s="1" t="b">
        <v>0</v>
      </c>
      <c r="AN2665" s="1" t="b">
        <v>0</v>
      </c>
      <c r="AO2665" s="1" t="b">
        <v>0</v>
      </c>
    </row>
    <row r="2666" spans="1:41" x14ac:dyDescent="0.25">
      <c r="A2666" s="10"/>
      <c r="B2666" s="10"/>
      <c r="C2666" s="10"/>
      <c r="D2666" s="10"/>
      <c r="E2666" s="10"/>
      <c r="F2666" s="10"/>
      <c r="G2666" s="10"/>
      <c r="H2666" s="10"/>
      <c r="I2666" s="1" t="str">
        <f t="shared" si="123"/>
        <v/>
      </c>
      <c r="J2666" s="1" t="s">
        <v>35</v>
      </c>
      <c r="K2666" s="1" t="str">
        <f t="shared" si="124"/>
        <v/>
      </c>
      <c r="L2666" s="1" t="str">
        <f t="shared" si="125"/>
        <v/>
      </c>
      <c r="M2666" s="1">
        <f>IF(OR(Table1[[#This Row],[Std Nom]]="",Table1[[#This Row],[Std Read]]=""),0,Table1[[#This Row],[Std Nom]]-Table1[[#This Row],[Std Read]])</f>
        <v>0</v>
      </c>
      <c r="N2666" s="1">
        <f>IF(Calculations!$F$5="ACCREDITED 17025 WITH UNCERTAINTIES",$N$10,0)</f>
        <v>0</v>
      </c>
      <c r="O2666" s="1" t="str">
        <f>IFERROR(Table1[[#This Row],[Std Nom]]-(_xlfn.XLOOKUP(Table1[[#This Row],[Manufacturer]]&amp;" "&amp;Table1[[#This Row],[Model]],Table13[MFR &amp; MDL],Table13[Tolerance % CW ],"")/100*Table1[[#This Row],[Std Nom]]),"")</f>
        <v/>
      </c>
      <c r="P2666" s="1" t="str">
        <f>IFERROR(Table1[[#This Row],[Std Nom]]+(_xlfn.XLOOKUP(Table1[[#This Row],[Manufacturer]]&amp;" "&amp;Table1[[#This Row],[Model]],Table13[MFR &amp; MDL],Table13[Tolerance % CW ],"")/100*Table1[[#This Row],[Std Nom]]),"")</f>
        <v/>
      </c>
      <c r="Q2666" s="1" t="e">
        <f>Table1[[#This Row],[High Tol]]-Table1[[#This Row],[Low Tol]]</f>
        <v>#VALUE!</v>
      </c>
      <c r="R2666" s="1">
        <f>2*Table1[[#This Row],[Std Error]]</f>
        <v>0</v>
      </c>
      <c r="S2666" s="1" t="str">
        <f>IF(Table1[[#This Row],[High Tol]]="","N/A",IFERROR(ABS(Table1[[#This Row],[Tol Span]]/Table1[[#This Row],[Error Span]]),"N/A"))</f>
        <v>N/A</v>
      </c>
      <c r="T2666" s="1" t="str">
        <f>IF(OR(Table1[[#This Row],[Low Tol]]="",Table1[[#This Row],[High Tol]]=""),"Needs Analysis",IF(Table1[[#This Row],[Ratio]]&gt;=4,"Not Significant",IF(Table1[[#This Row],[Ratio]]&gt;=2,"Semi-Significant","Significant")))</f>
        <v>Needs Analysis</v>
      </c>
      <c r="W2666" s="1">
        <f>IF(Table1[[#This Row],[Cal Type]]&lt;&gt;"ACCREDITED 17025 WITH UNCERTAINTIES",0,"")</f>
        <v>0</v>
      </c>
      <c r="X2666" s="1" t="str">
        <f>IF(Table1[[#This Row],[DUT Read]]="","N/A",Table1[[#This Row],[Std Error]]+Table1[[#This Row],[DUT Read]]+Table1[[#This Row],[DUT Ucty]])</f>
        <v>N/A</v>
      </c>
      <c r="Y2666" s="1" t="str">
        <f>IF(Table1[[#This Row],[Std Read]]="","N/A",Table1[[#This Row],[Std Read]]+Table1[[#This Row],[Std Ucty]])</f>
        <v>N/A</v>
      </c>
      <c r="Z26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6" s="1" t="str">
        <f>IF(Table1[[#This Row],[Spec Type]]="","N/A",Table1[[#This Row],[Spec Type]])</f>
        <v>±</v>
      </c>
      <c r="AC2666" s="1" t="str">
        <f>IF(Table1[[#This Row],[Spec Type2]]="N/A","N/A",IF(AND(Table1[[#This Row],[DUT Adj Read]]&gt;=Table1[[#This Row],[Low Tol]],Table1[[#This Row],[DUT Adj Read]]&lt;=Table1[[#This Row],[High Tol]]),"Pass","Fail"))</f>
        <v>Fail</v>
      </c>
      <c r="AD2666" s="1" t="str">
        <f>IF(AND(Table1[[#This Row],[Spec Type2]]="N/A",Table1[[#This Row],[DUT Adj Read]]="N/A",Table1[[#This Row],[Std Adj Read]]="N/A"),"N/A",IF(Table1[[#This Row],[DUT Adj Read]]="N/A",IF(Table1[[#This Row],[Std Adj Read]]&gt;Table1[[#This Row],[Low Tol]],"Pass","Fail"),IF(Table1[[#This Row],[DUT Adj Read]]&gt;Table1[[#This Row],[Low Tol]],"Pass","Fail")))</f>
        <v>Pass</v>
      </c>
      <c r="AE2666" s="1" t="str">
        <f>IF(AND(Table1[[#This Row],[Spec Type2]]="N/A",Table1[[#This Row],[DUT Adj Read]]="N/A",Table1[[#This Row],[Std Adj Read]]="N/A"),"N/A",IF(Table1[[#This Row],[DUT Adj Read]]="N/A",IF(Table1[[#This Row],[Std Adj Read]]&lt;Table1[[#This Row],[High Tol]],"Pass","Fail"),IF(Table1[[#This Row],[DUT Adj Read]]&lt;Table1[[#This Row],[High Tol]],"Pass","Fail")))</f>
        <v>Fail</v>
      </c>
      <c r="AF2666" s="1" t="str">
        <f>IF(AND(Table1[[#This Row],[Spec Type2]]="N/A",Table1[[#This Row],[DUT Adj Read]]="N/A",Table1[[#This Row],[Std Adj Read]]="N/A"),"N/A",IF(Table1[[#This Row],[DUT Adj Read]]="N/A",IF(Table1[[#This Row],[Std Adj Read]]&gt;=Table1[[#This Row],[Low Tol]],"Pass","Fail"),IF(Table1[[#This Row],[DUT Adj Read]]&gt;=Table1[[#This Row],[Low Tol]],"Pass","Fail")))</f>
        <v>Pass</v>
      </c>
      <c r="AG2666" s="1" t="str">
        <f>IF(AND(Table1[[#This Row],[Spec Type2]]="N/A",Table1[[#This Row],[DUT Adj Read]]="N/A",Table1[[#This Row],[Std Adj Read]]="N/A"),"N/A",IF(Table1[[#This Row],[DUT Adj Read]]="N/A",IF(Table1[[#This Row],[Std Adj Read]]&lt;=Table1[[#This Row],[High Tol]],"Pass","Fail"),IF(Table1[[#This Row],[DUT Adj Read]]&lt;=Table1[[#This Row],[High Tol]],"Pass","Fail")))</f>
        <v>Fail</v>
      </c>
      <c r="AH26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6" s="1" t="b">
        <v>0</v>
      </c>
      <c r="AN2666" s="1" t="b">
        <v>0</v>
      </c>
      <c r="AO2666" s="1" t="b">
        <v>0</v>
      </c>
    </row>
    <row r="2667" spans="1:41" x14ac:dyDescent="0.25">
      <c r="A2667" s="10"/>
      <c r="B2667" s="10"/>
      <c r="C2667" s="10"/>
      <c r="D2667" s="10"/>
      <c r="E2667" s="10"/>
      <c r="F2667" s="10"/>
      <c r="G2667" s="10"/>
      <c r="H2667" s="10"/>
      <c r="I2667" s="1" t="str">
        <f t="shared" si="123"/>
        <v/>
      </c>
      <c r="J2667" s="1" t="s">
        <v>35</v>
      </c>
      <c r="K2667" s="1" t="str">
        <f t="shared" si="124"/>
        <v/>
      </c>
      <c r="L2667" s="1" t="str">
        <f t="shared" si="125"/>
        <v/>
      </c>
      <c r="M2667" s="1">
        <f>IF(OR(Table1[[#This Row],[Std Nom]]="",Table1[[#This Row],[Std Read]]=""),0,Table1[[#This Row],[Std Nom]]-Table1[[#This Row],[Std Read]])</f>
        <v>0</v>
      </c>
      <c r="N2667" s="1">
        <f>IF(Calculations!$F$5="ACCREDITED 17025 WITH UNCERTAINTIES",$N$10,0)</f>
        <v>0</v>
      </c>
      <c r="O2667" s="1" t="str">
        <f>IFERROR(Table1[[#This Row],[Std Nom]]-(_xlfn.XLOOKUP(Table1[[#This Row],[Manufacturer]]&amp;" "&amp;Table1[[#This Row],[Model]],Table13[MFR &amp; MDL],Table13[Tolerance % CW ],"")/100*Table1[[#This Row],[Std Nom]]),"")</f>
        <v/>
      </c>
      <c r="P2667" s="1" t="str">
        <f>IFERROR(Table1[[#This Row],[Std Nom]]+(_xlfn.XLOOKUP(Table1[[#This Row],[Manufacturer]]&amp;" "&amp;Table1[[#This Row],[Model]],Table13[MFR &amp; MDL],Table13[Tolerance % CW ],"")/100*Table1[[#This Row],[Std Nom]]),"")</f>
        <v/>
      </c>
      <c r="Q2667" s="1" t="e">
        <f>Table1[[#This Row],[High Tol]]-Table1[[#This Row],[Low Tol]]</f>
        <v>#VALUE!</v>
      </c>
      <c r="R2667" s="1">
        <f>2*Table1[[#This Row],[Std Error]]</f>
        <v>0</v>
      </c>
      <c r="S2667" s="1" t="str">
        <f>IF(Table1[[#This Row],[High Tol]]="","N/A",IFERROR(ABS(Table1[[#This Row],[Tol Span]]/Table1[[#This Row],[Error Span]]),"N/A"))</f>
        <v>N/A</v>
      </c>
      <c r="T2667" s="1" t="str">
        <f>IF(OR(Table1[[#This Row],[Low Tol]]="",Table1[[#This Row],[High Tol]]=""),"Needs Analysis",IF(Table1[[#This Row],[Ratio]]&gt;=4,"Not Significant",IF(Table1[[#This Row],[Ratio]]&gt;=2,"Semi-Significant","Significant")))</f>
        <v>Needs Analysis</v>
      </c>
      <c r="W2667" s="1">
        <f>IF(Table1[[#This Row],[Cal Type]]&lt;&gt;"ACCREDITED 17025 WITH UNCERTAINTIES",0,"")</f>
        <v>0</v>
      </c>
      <c r="X2667" s="1" t="str">
        <f>IF(Table1[[#This Row],[DUT Read]]="","N/A",Table1[[#This Row],[Std Error]]+Table1[[#This Row],[DUT Read]]+Table1[[#This Row],[DUT Ucty]])</f>
        <v>N/A</v>
      </c>
      <c r="Y2667" s="1" t="str">
        <f>IF(Table1[[#This Row],[Std Read]]="","N/A",Table1[[#This Row],[Std Read]]+Table1[[#This Row],[Std Ucty]])</f>
        <v>N/A</v>
      </c>
      <c r="Z26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7" s="1" t="str">
        <f>IF(Table1[[#This Row],[Spec Type]]="","N/A",Table1[[#This Row],[Spec Type]])</f>
        <v>±</v>
      </c>
      <c r="AC2667" s="1" t="str">
        <f>IF(Table1[[#This Row],[Spec Type2]]="N/A","N/A",IF(AND(Table1[[#This Row],[DUT Adj Read]]&gt;=Table1[[#This Row],[Low Tol]],Table1[[#This Row],[DUT Adj Read]]&lt;=Table1[[#This Row],[High Tol]]),"Pass","Fail"))</f>
        <v>Fail</v>
      </c>
      <c r="AD2667" s="1" t="str">
        <f>IF(AND(Table1[[#This Row],[Spec Type2]]="N/A",Table1[[#This Row],[DUT Adj Read]]="N/A",Table1[[#This Row],[Std Adj Read]]="N/A"),"N/A",IF(Table1[[#This Row],[DUT Adj Read]]="N/A",IF(Table1[[#This Row],[Std Adj Read]]&gt;Table1[[#This Row],[Low Tol]],"Pass","Fail"),IF(Table1[[#This Row],[DUT Adj Read]]&gt;Table1[[#This Row],[Low Tol]],"Pass","Fail")))</f>
        <v>Pass</v>
      </c>
      <c r="AE2667" s="1" t="str">
        <f>IF(AND(Table1[[#This Row],[Spec Type2]]="N/A",Table1[[#This Row],[DUT Adj Read]]="N/A",Table1[[#This Row],[Std Adj Read]]="N/A"),"N/A",IF(Table1[[#This Row],[DUT Adj Read]]="N/A",IF(Table1[[#This Row],[Std Adj Read]]&lt;Table1[[#This Row],[High Tol]],"Pass","Fail"),IF(Table1[[#This Row],[DUT Adj Read]]&lt;Table1[[#This Row],[High Tol]],"Pass","Fail")))</f>
        <v>Fail</v>
      </c>
      <c r="AF2667" s="1" t="str">
        <f>IF(AND(Table1[[#This Row],[Spec Type2]]="N/A",Table1[[#This Row],[DUT Adj Read]]="N/A",Table1[[#This Row],[Std Adj Read]]="N/A"),"N/A",IF(Table1[[#This Row],[DUT Adj Read]]="N/A",IF(Table1[[#This Row],[Std Adj Read]]&gt;=Table1[[#This Row],[Low Tol]],"Pass","Fail"),IF(Table1[[#This Row],[DUT Adj Read]]&gt;=Table1[[#This Row],[Low Tol]],"Pass","Fail")))</f>
        <v>Pass</v>
      </c>
      <c r="AG2667" s="1" t="str">
        <f>IF(AND(Table1[[#This Row],[Spec Type2]]="N/A",Table1[[#This Row],[DUT Adj Read]]="N/A",Table1[[#This Row],[Std Adj Read]]="N/A"),"N/A",IF(Table1[[#This Row],[DUT Adj Read]]="N/A",IF(Table1[[#This Row],[Std Adj Read]]&lt;=Table1[[#This Row],[High Tol]],"Pass","Fail"),IF(Table1[[#This Row],[DUT Adj Read]]&lt;=Table1[[#This Row],[High Tol]],"Pass","Fail")))</f>
        <v>Fail</v>
      </c>
      <c r="AH26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7" s="1" t="b">
        <v>0</v>
      </c>
      <c r="AN2667" s="1" t="b">
        <v>0</v>
      </c>
      <c r="AO2667" s="1" t="b">
        <v>0</v>
      </c>
    </row>
    <row r="2668" spans="1:41" x14ac:dyDescent="0.25">
      <c r="A2668" s="10"/>
      <c r="B2668" s="10"/>
      <c r="C2668" s="10"/>
      <c r="D2668" s="10"/>
      <c r="E2668" s="10"/>
      <c r="F2668" s="10"/>
      <c r="G2668" s="10"/>
      <c r="H2668" s="10"/>
      <c r="I2668" s="1" t="str">
        <f t="shared" si="123"/>
        <v/>
      </c>
      <c r="J2668" s="1" t="s">
        <v>35</v>
      </c>
      <c r="K2668" s="1" t="str">
        <f t="shared" si="124"/>
        <v/>
      </c>
      <c r="L2668" s="1" t="str">
        <f t="shared" si="125"/>
        <v/>
      </c>
      <c r="M2668" s="1">
        <f>IF(OR(Table1[[#This Row],[Std Nom]]="",Table1[[#This Row],[Std Read]]=""),0,Table1[[#This Row],[Std Nom]]-Table1[[#This Row],[Std Read]])</f>
        <v>0</v>
      </c>
      <c r="N2668" s="1">
        <f>IF(Calculations!$F$5="ACCREDITED 17025 WITH UNCERTAINTIES",$N$10,0)</f>
        <v>0</v>
      </c>
      <c r="O2668" s="1" t="str">
        <f>IFERROR(Table1[[#This Row],[Std Nom]]-(_xlfn.XLOOKUP(Table1[[#This Row],[Manufacturer]]&amp;" "&amp;Table1[[#This Row],[Model]],Table13[MFR &amp; MDL],Table13[Tolerance % CW ],"")/100*Table1[[#This Row],[Std Nom]]),"")</f>
        <v/>
      </c>
      <c r="P2668" s="1" t="str">
        <f>IFERROR(Table1[[#This Row],[Std Nom]]+(_xlfn.XLOOKUP(Table1[[#This Row],[Manufacturer]]&amp;" "&amp;Table1[[#This Row],[Model]],Table13[MFR &amp; MDL],Table13[Tolerance % CW ],"")/100*Table1[[#This Row],[Std Nom]]),"")</f>
        <v/>
      </c>
      <c r="Q2668" s="1" t="e">
        <f>Table1[[#This Row],[High Tol]]-Table1[[#This Row],[Low Tol]]</f>
        <v>#VALUE!</v>
      </c>
      <c r="R2668" s="1">
        <f>2*Table1[[#This Row],[Std Error]]</f>
        <v>0</v>
      </c>
      <c r="S2668" s="1" t="str">
        <f>IF(Table1[[#This Row],[High Tol]]="","N/A",IFERROR(ABS(Table1[[#This Row],[Tol Span]]/Table1[[#This Row],[Error Span]]),"N/A"))</f>
        <v>N/A</v>
      </c>
      <c r="T2668" s="1" t="str">
        <f>IF(OR(Table1[[#This Row],[Low Tol]]="",Table1[[#This Row],[High Tol]]=""),"Needs Analysis",IF(Table1[[#This Row],[Ratio]]&gt;=4,"Not Significant",IF(Table1[[#This Row],[Ratio]]&gt;=2,"Semi-Significant","Significant")))</f>
        <v>Needs Analysis</v>
      </c>
      <c r="W2668" s="1">
        <f>IF(Table1[[#This Row],[Cal Type]]&lt;&gt;"ACCREDITED 17025 WITH UNCERTAINTIES",0,"")</f>
        <v>0</v>
      </c>
      <c r="X2668" s="1" t="str">
        <f>IF(Table1[[#This Row],[DUT Read]]="","N/A",Table1[[#This Row],[Std Error]]+Table1[[#This Row],[DUT Read]]+Table1[[#This Row],[DUT Ucty]])</f>
        <v>N/A</v>
      </c>
      <c r="Y2668" s="1" t="str">
        <f>IF(Table1[[#This Row],[Std Read]]="","N/A",Table1[[#This Row],[Std Read]]+Table1[[#This Row],[Std Ucty]])</f>
        <v>N/A</v>
      </c>
      <c r="Z26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8" s="1" t="str">
        <f>IF(Table1[[#This Row],[Spec Type]]="","N/A",Table1[[#This Row],[Spec Type]])</f>
        <v>±</v>
      </c>
      <c r="AC2668" s="1" t="str">
        <f>IF(Table1[[#This Row],[Spec Type2]]="N/A","N/A",IF(AND(Table1[[#This Row],[DUT Adj Read]]&gt;=Table1[[#This Row],[Low Tol]],Table1[[#This Row],[DUT Adj Read]]&lt;=Table1[[#This Row],[High Tol]]),"Pass","Fail"))</f>
        <v>Fail</v>
      </c>
      <c r="AD2668" s="1" t="str">
        <f>IF(AND(Table1[[#This Row],[Spec Type2]]="N/A",Table1[[#This Row],[DUT Adj Read]]="N/A",Table1[[#This Row],[Std Adj Read]]="N/A"),"N/A",IF(Table1[[#This Row],[DUT Adj Read]]="N/A",IF(Table1[[#This Row],[Std Adj Read]]&gt;Table1[[#This Row],[Low Tol]],"Pass","Fail"),IF(Table1[[#This Row],[DUT Adj Read]]&gt;Table1[[#This Row],[Low Tol]],"Pass","Fail")))</f>
        <v>Pass</v>
      </c>
      <c r="AE2668" s="1" t="str">
        <f>IF(AND(Table1[[#This Row],[Spec Type2]]="N/A",Table1[[#This Row],[DUT Adj Read]]="N/A",Table1[[#This Row],[Std Adj Read]]="N/A"),"N/A",IF(Table1[[#This Row],[DUT Adj Read]]="N/A",IF(Table1[[#This Row],[Std Adj Read]]&lt;Table1[[#This Row],[High Tol]],"Pass","Fail"),IF(Table1[[#This Row],[DUT Adj Read]]&lt;Table1[[#This Row],[High Tol]],"Pass","Fail")))</f>
        <v>Fail</v>
      </c>
      <c r="AF2668" s="1" t="str">
        <f>IF(AND(Table1[[#This Row],[Spec Type2]]="N/A",Table1[[#This Row],[DUT Adj Read]]="N/A",Table1[[#This Row],[Std Adj Read]]="N/A"),"N/A",IF(Table1[[#This Row],[DUT Adj Read]]="N/A",IF(Table1[[#This Row],[Std Adj Read]]&gt;=Table1[[#This Row],[Low Tol]],"Pass","Fail"),IF(Table1[[#This Row],[DUT Adj Read]]&gt;=Table1[[#This Row],[Low Tol]],"Pass","Fail")))</f>
        <v>Pass</v>
      </c>
      <c r="AG2668" s="1" t="str">
        <f>IF(AND(Table1[[#This Row],[Spec Type2]]="N/A",Table1[[#This Row],[DUT Adj Read]]="N/A",Table1[[#This Row],[Std Adj Read]]="N/A"),"N/A",IF(Table1[[#This Row],[DUT Adj Read]]="N/A",IF(Table1[[#This Row],[Std Adj Read]]&lt;=Table1[[#This Row],[High Tol]],"Pass","Fail"),IF(Table1[[#This Row],[DUT Adj Read]]&lt;=Table1[[#This Row],[High Tol]],"Pass","Fail")))</f>
        <v>Fail</v>
      </c>
      <c r="AH26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8" s="1" t="b">
        <v>0</v>
      </c>
      <c r="AN2668" s="1" t="b">
        <v>0</v>
      </c>
      <c r="AO2668" s="1" t="b">
        <v>0</v>
      </c>
    </row>
    <row r="2669" spans="1:41" x14ac:dyDescent="0.25">
      <c r="A2669" s="10"/>
      <c r="B2669" s="10"/>
      <c r="C2669" s="10"/>
      <c r="D2669" s="10"/>
      <c r="E2669" s="10"/>
      <c r="F2669" s="10"/>
      <c r="G2669" s="10"/>
      <c r="H2669" s="10"/>
      <c r="I2669" s="1" t="str">
        <f t="shared" si="123"/>
        <v/>
      </c>
      <c r="J2669" s="1" t="s">
        <v>35</v>
      </c>
      <c r="K2669" s="1" t="str">
        <f t="shared" si="124"/>
        <v/>
      </c>
      <c r="L2669" s="1" t="str">
        <f t="shared" si="125"/>
        <v/>
      </c>
      <c r="M2669" s="1">
        <f>IF(OR(Table1[[#This Row],[Std Nom]]="",Table1[[#This Row],[Std Read]]=""),0,Table1[[#This Row],[Std Nom]]-Table1[[#This Row],[Std Read]])</f>
        <v>0</v>
      </c>
      <c r="N2669" s="1">
        <f>IF(Calculations!$F$5="ACCREDITED 17025 WITH UNCERTAINTIES",$N$10,0)</f>
        <v>0</v>
      </c>
      <c r="O2669" s="1" t="str">
        <f>IFERROR(Table1[[#This Row],[Std Nom]]-(_xlfn.XLOOKUP(Table1[[#This Row],[Manufacturer]]&amp;" "&amp;Table1[[#This Row],[Model]],Table13[MFR &amp; MDL],Table13[Tolerance % CW ],"")/100*Table1[[#This Row],[Std Nom]]),"")</f>
        <v/>
      </c>
      <c r="P2669" s="1" t="str">
        <f>IFERROR(Table1[[#This Row],[Std Nom]]+(_xlfn.XLOOKUP(Table1[[#This Row],[Manufacturer]]&amp;" "&amp;Table1[[#This Row],[Model]],Table13[MFR &amp; MDL],Table13[Tolerance % CW ],"")/100*Table1[[#This Row],[Std Nom]]),"")</f>
        <v/>
      </c>
      <c r="Q2669" s="1" t="e">
        <f>Table1[[#This Row],[High Tol]]-Table1[[#This Row],[Low Tol]]</f>
        <v>#VALUE!</v>
      </c>
      <c r="R2669" s="1">
        <f>2*Table1[[#This Row],[Std Error]]</f>
        <v>0</v>
      </c>
      <c r="S2669" s="1" t="str">
        <f>IF(Table1[[#This Row],[High Tol]]="","N/A",IFERROR(ABS(Table1[[#This Row],[Tol Span]]/Table1[[#This Row],[Error Span]]),"N/A"))</f>
        <v>N/A</v>
      </c>
      <c r="T2669" s="1" t="str">
        <f>IF(OR(Table1[[#This Row],[Low Tol]]="",Table1[[#This Row],[High Tol]]=""),"Needs Analysis",IF(Table1[[#This Row],[Ratio]]&gt;=4,"Not Significant",IF(Table1[[#This Row],[Ratio]]&gt;=2,"Semi-Significant","Significant")))</f>
        <v>Needs Analysis</v>
      </c>
      <c r="W2669" s="1">
        <f>IF(Table1[[#This Row],[Cal Type]]&lt;&gt;"ACCREDITED 17025 WITH UNCERTAINTIES",0,"")</f>
        <v>0</v>
      </c>
      <c r="X2669" s="1" t="str">
        <f>IF(Table1[[#This Row],[DUT Read]]="","N/A",Table1[[#This Row],[Std Error]]+Table1[[#This Row],[DUT Read]]+Table1[[#This Row],[DUT Ucty]])</f>
        <v>N/A</v>
      </c>
      <c r="Y2669" s="1" t="str">
        <f>IF(Table1[[#This Row],[Std Read]]="","N/A",Table1[[#This Row],[Std Read]]+Table1[[#This Row],[Std Ucty]])</f>
        <v>N/A</v>
      </c>
      <c r="Z26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9" s="1" t="str">
        <f>IF(Table1[[#This Row],[Spec Type]]="","N/A",Table1[[#This Row],[Spec Type]])</f>
        <v>±</v>
      </c>
      <c r="AC2669" s="1" t="str">
        <f>IF(Table1[[#This Row],[Spec Type2]]="N/A","N/A",IF(AND(Table1[[#This Row],[DUT Adj Read]]&gt;=Table1[[#This Row],[Low Tol]],Table1[[#This Row],[DUT Adj Read]]&lt;=Table1[[#This Row],[High Tol]]),"Pass","Fail"))</f>
        <v>Fail</v>
      </c>
      <c r="AD2669" s="1" t="str">
        <f>IF(AND(Table1[[#This Row],[Spec Type2]]="N/A",Table1[[#This Row],[DUT Adj Read]]="N/A",Table1[[#This Row],[Std Adj Read]]="N/A"),"N/A",IF(Table1[[#This Row],[DUT Adj Read]]="N/A",IF(Table1[[#This Row],[Std Adj Read]]&gt;Table1[[#This Row],[Low Tol]],"Pass","Fail"),IF(Table1[[#This Row],[DUT Adj Read]]&gt;Table1[[#This Row],[Low Tol]],"Pass","Fail")))</f>
        <v>Pass</v>
      </c>
      <c r="AE2669" s="1" t="str">
        <f>IF(AND(Table1[[#This Row],[Spec Type2]]="N/A",Table1[[#This Row],[DUT Adj Read]]="N/A",Table1[[#This Row],[Std Adj Read]]="N/A"),"N/A",IF(Table1[[#This Row],[DUT Adj Read]]="N/A",IF(Table1[[#This Row],[Std Adj Read]]&lt;Table1[[#This Row],[High Tol]],"Pass","Fail"),IF(Table1[[#This Row],[DUT Adj Read]]&lt;Table1[[#This Row],[High Tol]],"Pass","Fail")))</f>
        <v>Fail</v>
      </c>
      <c r="AF2669" s="1" t="str">
        <f>IF(AND(Table1[[#This Row],[Spec Type2]]="N/A",Table1[[#This Row],[DUT Adj Read]]="N/A",Table1[[#This Row],[Std Adj Read]]="N/A"),"N/A",IF(Table1[[#This Row],[DUT Adj Read]]="N/A",IF(Table1[[#This Row],[Std Adj Read]]&gt;=Table1[[#This Row],[Low Tol]],"Pass","Fail"),IF(Table1[[#This Row],[DUT Adj Read]]&gt;=Table1[[#This Row],[Low Tol]],"Pass","Fail")))</f>
        <v>Pass</v>
      </c>
      <c r="AG2669" s="1" t="str">
        <f>IF(AND(Table1[[#This Row],[Spec Type2]]="N/A",Table1[[#This Row],[DUT Adj Read]]="N/A",Table1[[#This Row],[Std Adj Read]]="N/A"),"N/A",IF(Table1[[#This Row],[DUT Adj Read]]="N/A",IF(Table1[[#This Row],[Std Adj Read]]&lt;=Table1[[#This Row],[High Tol]],"Pass","Fail"),IF(Table1[[#This Row],[DUT Adj Read]]&lt;=Table1[[#This Row],[High Tol]],"Pass","Fail")))</f>
        <v>Fail</v>
      </c>
      <c r="AH26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9" s="1" t="b">
        <v>0</v>
      </c>
      <c r="AN2669" s="1" t="b">
        <v>0</v>
      </c>
      <c r="AO2669" s="1" t="b">
        <v>0</v>
      </c>
    </row>
    <row r="2670" spans="1:41" x14ac:dyDescent="0.25">
      <c r="A2670" s="10"/>
      <c r="B2670" s="10"/>
      <c r="C2670" s="10"/>
      <c r="D2670" s="10"/>
      <c r="E2670" s="10"/>
      <c r="F2670" s="10"/>
      <c r="G2670" s="10"/>
      <c r="H2670" s="10"/>
      <c r="I2670" s="1" t="str">
        <f t="shared" si="123"/>
        <v/>
      </c>
      <c r="J2670" s="1" t="s">
        <v>35</v>
      </c>
      <c r="K2670" s="1" t="str">
        <f t="shared" si="124"/>
        <v/>
      </c>
      <c r="L2670" s="1" t="str">
        <f t="shared" si="125"/>
        <v/>
      </c>
      <c r="M2670" s="1">
        <f>IF(OR(Table1[[#This Row],[Std Nom]]="",Table1[[#This Row],[Std Read]]=""),0,Table1[[#This Row],[Std Nom]]-Table1[[#This Row],[Std Read]])</f>
        <v>0</v>
      </c>
      <c r="N2670" s="1">
        <f>IF(Calculations!$F$5="ACCREDITED 17025 WITH UNCERTAINTIES",$N$10,0)</f>
        <v>0</v>
      </c>
      <c r="O2670" s="1" t="str">
        <f>IFERROR(Table1[[#This Row],[Std Nom]]-(_xlfn.XLOOKUP(Table1[[#This Row],[Manufacturer]]&amp;" "&amp;Table1[[#This Row],[Model]],Table13[MFR &amp; MDL],Table13[Tolerance % CW ],"")/100*Table1[[#This Row],[Std Nom]]),"")</f>
        <v/>
      </c>
      <c r="P2670" s="1" t="str">
        <f>IFERROR(Table1[[#This Row],[Std Nom]]+(_xlfn.XLOOKUP(Table1[[#This Row],[Manufacturer]]&amp;" "&amp;Table1[[#This Row],[Model]],Table13[MFR &amp; MDL],Table13[Tolerance % CW ],"")/100*Table1[[#This Row],[Std Nom]]),"")</f>
        <v/>
      </c>
      <c r="Q2670" s="1" t="e">
        <f>Table1[[#This Row],[High Tol]]-Table1[[#This Row],[Low Tol]]</f>
        <v>#VALUE!</v>
      </c>
      <c r="R2670" s="1">
        <f>2*Table1[[#This Row],[Std Error]]</f>
        <v>0</v>
      </c>
      <c r="S2670" s="1" t="str">
        <f>IF(Table1[[#This Row],[High Tol]]="","N/A",IFERROR(ABS(Table1[[#This Row],[Tol Span]]/Table1[[#This Row],[Error Span]]),"N/A"))</f>
        <v>N/A</v>
      </c>
      <c r="T2670" s="1" t="str">
        <f>IF(OR(Table1[[#This Row],[Low Tol]]="",Table1[[#This Row],[High Tol]]=""),"Needs Analysis",IF(Table1[[#This Row],[Ratio]]&gt;=4,"Not Significant",IF(Table1[[#This Row],[Ratio]]&gt;=2,"Semi-Significant","Significant")))</f>
        <v>Needs Analysis</v>
      </c>
      <c r="W2670" s="1">
        <f>IF(Table1[[#This Row],[Cal Type]]&lt;&gt;"ACCREDITED 17025 WITH UNCERTAINTIES",0,"")</f>
        <v>0</v>
      </c>
      <c r="X2670" s="1" t="str">
        <f>IF(Table1[[#This Row],[DUT Read]]="","N/A",Table1[[#This Row],[Std Error]]+Table1[[#This Row],[DUT Read]]+Table1[[#This Row],[DUT Ucty]])</f>
        <v>N/A</v>
      </c>
      <c r="Y2670" s="1" t="str">
        <f>IF(Table1[[#This Row],[Std Read]]="","N/A",Table1[[#This Row],[Std Read]]+Table1[[#This Row],[Std Ucty]])</f>
        <v>N/A</v>
      </c>
      <c r="Z26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0" s="1" t="str">
        <f>IF(Table1[[#This Row],[Spec Type]]="","N/A",Table1[[#This Row],[Spec Type]])</f>
        <v>±</v>
      </c>
      <c r="AC2670" s="1" t="str">
        <f>IF(Table1[[#This Row],[Spec Type2]]="N/A","N/A",IF(AND(Table1[[#This Row],[DUT Adj Read]]&gt;=Table1[[#This Row],[Low Tol]],Table1[[#This Row],[DUT Adj Read]]&lt;=Table1[[#This Row],[High Tol]]),"Pass","Fail"))</f>
        <v>Fail</v>
      </c>
      <c r="AD2670" s="1" t="str">
        <f>IF(AND(Table1[[#This Row],[Spec Type2]]="N/A",Table1[[#This Row],[DUT Adj Read]]="N/A",Table1[[#This Row],[Std Adj Read]]="N/A"),"N/A",IF(Table1[[#This Row],[DUT Adj Read]]="N/A",IF(Table1[[#This Row],[Std Adj Read]]&gt;Table1[[#This Row],[Low Tol]],"Pass","Fail"),IF(Table1[[#This Row],[DUT Adj Read]]&gt;Table1[[#This Row],[Low Tol]],"Pass","Fail")))</f>
        <v>Pass</v>
      </c>
      <c r="AE2670" s="1" t="str">
        <f>IF(AND(Table1[[#This Row],[Spec Type2]]="N/A",Table1[[#This Row],[DUT Adj Read]]="N/A",Table1[[#This Row],[Std Adj Read]]="N/A"),"N/A",IF(Table1[[#This Row],[DUT Adj Read]]="N/A",IF(Table1[[#This Row],[Std Adj Read]]&lt;Table1[[#This Row],[High Tol]],"Pass","Fail"),IF(Table1[[#This Row],[DUT Adj Read]]&lt;Table1[[#This Row],[High Tol]],"Pass","Fail")))</f>
        <v>Fail</v>
      </c>
      <c r="AF2670" s="1" t="str">
        <f>IF(AND(Table1[[#This Row],[Spec Type2]]="N/A",Table1[[#This Row],[DUT Adj Read]]="N/A",Table1[[#This Row],[Std Adj Read]]="N/A"),"N/A",IF(Table1[[#This Row],[DUT Adj Read]]="N/A",IF(Table1[[#This Row],[Std Adj Read]]&gt;=Table1[[#This Row],[Low Tol]],"Pass","Fail"),IF(Table1[[#This Row],[DUT Adj Read]]&gt;=Table1[[#This Row],[Low Tol]],"Pass","Fail")))</f>
        <v>Pass</v>
      </c>
      <c r="AG2670" s="1" t="str">
        <f>IF(AND(Table1[[#This Row],[Spec Type2]]="N/A",Table1[[#This Row],[DUT Adj Read]]="N/A",Table1[[#This Row],[Std Adj Read]]="N/A"),"N/A",IF(Table1[[#This Row],[DUT Adj Read]]="N/A",IF(Table1[[#This Row],[Std Adj Read]]&lt;=Table1[[#This Row],[High Tol]],"Pass","Fail"),IF(Table1[[#This Row],[DUT Adj Read]]&lt;=Table1[[#This Row],[High Tol]],"Pass","Fail")))</f>
        <v>Fail</v>
      </c>
      <c r="AH26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0" s="1" t="b">
        <v>0</v>
      </c>
      <c r="AN2670" s="1" t="b">
        <v>0</v>
      </c>
      <c r="AO2670" s="1" t="b">
        <v>0</v>
      </c>
    </row>
    <row r="2671" spans="1:41" x14ac:dyDescent="0.25">
      <c r="A2671" s="10"/>
      <c r="B2671" s="10"/>
      <c r="C2671" s="10"/>
      <c r="D2671" s="10"/>
      <c r="E2671" s="10"/>
      <c r="F2671" s="10"/>
      <c r="G2671" s="10"/>
      <c r="H2671" s="10"/>
      <c r="I2671" s="1" t="str">
        <f t="shared" si="123"/>
        <v/>
      </c>
      <c r="J2671" s="1" t="s">
        <v>35</v>
      </c>
      <c r="K2671" s="1" t="str">
        <f t="shared" si="124"/>
        <v/>
      </c>
      <c r="L2671" s="1" t="str">
        <f t="shared" si="125"/>
        <v/>
      </c>
      <c r="M2671" s="1">
        <f>IF(OR(Table1[[#This Row],[Std Nom]]="",Table1[[#This Row],[Std Read]]=""),0,Table1[[#This Row],[Std Nom]]-Table1[[#This Row],[Std Read]])</f>
        <v>0</v>
      </c>
      <c r="N2671" s="1">
        <f>IF(Calculations!$F$5="ACCREDITED 17025 WITH UNCERTAINTIES",$N$10,0)</f>
        <v>0</v>
      </c>
      <c r="O2671" s="1" t="str">
        <f>IFERROR(Table1[[#This Row],[Std Nom]]-(_xlfn.XLOOKUP(Table1[[#This Row],[Manufacturer]]&amp;" "&amp;Table1[[#This Row],[Model]],Table13[MFR &amp; MDL],Table13[Tolerance % CW ],"")/100*Table1[[#This Row],[Std Nom]]),"")</f>
        <v/>
      </c>
      <c r="P2671" s="1" t="str">
        <f>IFERROR(Table1[[#This Row],[Std Nom]]+(_xlfn.XLOOKUP(Table1[[#This Row],[Manufacturer]]&amp;" "&amp;Table1[[#This Row],[Model]],Table13[MFR &amp; MDL],Table13[Tolerance % CW ],"")/100*Table1[[#This Row],[Std Nom]]),"")</f>
        <v/>
      </c>
      <c r="Q2671" s="1" t="e">
        <f>Table1[[#This Row],[High Tol]]-Table1[[#This Row],[Low Tol]]</f>
        <v>#VALUE!</v>
      </c>
      <c r="R2671" s="1">
        <f>2*Table1[[#This Row],[Std Error]]</f>
        <v>0</v>
      </c>
      <c r="S2671" s="1" t="str">
        <f>IF(Table1[[#This Row],[High Tol]]="","N/A",IFERROR(ABS(Table1[[#This Row],[Tol Span]]/Table1[[#This Row],[Error Span]]),"N/A"))</f>
        <v>N/A</v>
      </c>
      <c r="T2671" s="1" t="str">
        <f>IF(OR(Table1[[#This Row],[Low Tol]]="",Table1[[#This Row],[High Tol]]=""),"Needs Analysis",IF(Table1[[#This Row],[Ratio]]&gt;=4,"Not Significant",IF(Table1[[#This Row],[Ratio]]&gt;=2,"Semi-Significant","Significant")))</f>
        <v>Needs Analysis</v>
      </c>
      <c r="W2671" s="1">
        <f>IF(Table1[[#This Row],[Cal Type]]&lt;&gt;"ACCREDITED 17025 WITH UNCERTAINTIES",0,"")</f>
        <v>0</v>
      </c>
      <c r="X2671" s="1" t="str">
        <f>IF(Table1[[#This Row],[DUT Read]]="","N/A",Table1[[#This Row],[Std Error]]+Table1[[#This Row],[DUT Read]]+Table1[[#This Row],[DUT Ucty]])</f>
        <v>N/A</v>
      </c>
      <c r="Y2671" s="1" t="str">
        <f>IF(Table1[[#This Row],[Std Read]]="","N/A",Table1[[#This Row],[Std Read]]+Table1[[#This Row],[Std Ucty]])</f>
        <v>N/A</v>
      </c>
      <c r="Z26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1" s="1" t="str">
        <f>IF(Table1[[#This Row],[Spec Type]]="","N/A",Table1[[#This Row],[Spec Type]])</f>
        <v>±</v>
      </c>
      <c r="AC2671" s="1" t="str">
        <f>IF(Table1[[#This Row],[Spec Type2]]="N/A","N/A",IF(AND(Table1[[#This Row],[DUT Adj Read]]&gt;=Table1[[#This Row],[Low Tol]],Table1[[#This Row],[DUT Adj Read]]&lt;=Table1[[#This Row],[High Tol]]),"Pass","Fail"))</f>
        <v>Fail</v>
      </c>
      <c r="AD2671" s="1" t="str">
        <f>IF(AND(Table1[[#This Row],[Spec Type2]]="N/A",Table1[[#This Row],[DUT Adj Read]]="N/A",Table1[[#This Row],[Std Adj Read]]="N/A"),"N/A",IF(Table1[[#This Row],[DUT Adj Read]]="N/A",IF(Table1[[#This Row],[Std Adj Read]]&gt;Table1[[#This Row],[Low Tol]],"Pass","Fail"),IF(Table1[[#This Row],[DUT Adj Read]]&gt;Table1[[#This Row],[Low Tol]],"Pass","Fail")))</f>
        <v>Pass</v>
      </c>
      <c r="AE2671" s="1" t="str">
        <f>IF(AND(Table1[[#This Row],[Spec Type2]]="N/A",Table1[[#This Row],[DUT Adj Read]]="N/A",Table1[[#This Row],[Std Adj Read]]="N/A"),"N/A",IF(Table1[[#This Row],[DUT Adj Read]]="N/A",IF(Table1[[#This Row],[Std Adj Read]]&lt;Table1[[#This Row],[High Tol]],"Pass","Fail"),IF(Table1[[#This Row],[DUT Adj Read]]&lt;Table1[[#This Row],[High Tol]],"Pass","Fail")))</f>
        <v>Fail</v>
      </c>
      <c r="AF2671" s="1" t="str">
        <f>IF(AND(Table1[[#This Row],[Spec Type2]]="N/A",Table1[[#This Row],[DUT Adj Read]]="N/A",Table1[[#This Row],[Std Adj Read]]="N/A"),"N/A",IF(Table1[[#This Row],[DUT Adj Read]]="N/A",IF(Table1[[#This Row],[Std Adj Read]]&gt;=Table1[[#This Row],[Low Tol]],"Pass","Fail"),IF(Table1[[#This Row],[DUT Adj Read]]&gt;=Table1[[#This Row],[Low Tol]],"Pass","Fail")))</f>
        <v>Pass</v>
      </c>
      <c r="AG2671" s="1" t="str">
        <f>IF(AND(Table1[[#This Row],[Spec Type2]]="N/A",Table1[[#This Row],[DUT Adj Read]]="N/A",Table1[[#This Row],[Std Adj Read]]="N/A"),"N/A",IF(Table1[[#This Row],[DUT Adj Read]]="N/A",IF(Table1[[#This Row],[Std Adj Read]]&lt;=Table1[[#This Row],[High Tol]],"Pass","Fail"),IF(Table1[[#This Row],[DUT Adj Read]]&lt;=Table1[[#This Row],[High Tol]],"Pass","Fail")))</f>
        <v>Fail</v>
      </c>
      <c r="AH26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1" s="1" t="b">
        <v>0</v>
      </c>
      <c r="AN2671" s="1" t="b">
        <v>0</v>
      </c>
      <c r="AO2671" s="1" t="b">
        <v>0</v>
      </c>
    </row>
    <row r="2672" spans="1:41" x14ac:dyDescent="0.25">
      <c r="A2672" s="10"/>
      <c r="B2672" s="10"/>
      <c r="C2672" s="10"/>
      <c r="D2672" s="10"/>
      <c r="E2672" s="10"/>
      <c r="F2672" s="10"/>
      <c r="G2672" s="10"/>
      <c r="H2672" s="10"/>
      <c r="I2672" s="1" t="str">
        <f t="shared" si="123"/>
        <v/>
      </c>
      <c r="J2672" s="1" t="s">
        <v>35</v>
      </c>
      <c r="K2672" s="1" t="str">
        <f t="shared" si="124"/>
        <v/>
      </c>
      <c r="L2672" s="1" t="str">
        <f t="shared" si="125"/>
        <v/>
      </c>
      <c r="M2672" s="1">
        <f>IF(OR(Table1[[#This Row],[Std Nom]]="",Table1[[#This Row],[Std Read]]=""),0,Table1[[#This Row],[Std Nom]]-Table1[[#This Row],[Std Read]])</f>
        <v>0</v>
      </c>
      <c r="N2672" s="1">
        <f>IF(Calculations!$F$5="ACCREDITED 17025 WITH UNCERTAINTIES",$N$10,0)</f>
        <v>0</v>
      </c>
      <c r="O2672" s="1" t="str">
        <f>IFERROR(Table1[[#This Row],[Std Nom]]-(_xlfn.XLOOKUP(Table1[[#This Row],[Manufacturer]]&amp;" "&amp;Table1[[#This Row],[Model]],Table13[MFR &amp; MDL],Table13[Tolerance % CW ],"")/100*Table1[[#This Row],[Std Nom]]),"")</f>
        <v/>
      </c>
      <c r="P2672" s="1" t="str">
        <f>IFERROR(Table1[[#This Row],[Std Nom]]+(_xlfn.XLOOKUP(Table1[[#This Row],[Manufacturer]]&amp;" "&amp;Table1[[#This Row],[Model]],Table13[MFR &amp; MDL],Table13[Tolerance % CW ],"")/100*Table1[[#This Row],[Std Nom]]),"")</f>
        <v/>
      </c>
      <c r="Q2672" s="1" t="e">
        <f>Table1[[#This Row],[High Tol]]-Table1[[#This Row],[Low Tol]]</f>
        <v>#VALUE!</v>
      </c>
      <c r="R2672" s="1">
        <f>2*Table1[[#This Row],[Std Error]]</f>
        <v>0</v>
      </c>
      <c r="S2672" s="1" t="str">
        <f>IF(Table1[[#This Row],[High Tol]]="","N/A",IFERROR(ABS(Table1[[#This Row],[Tol Span]]/Table1[[#This Row],[Error Span]]),"N/A"))</f>
        <v>N/A</v>
      </c>
      <c r="T2672" s="1" t="str">
        <f>IF(OR(Table1[[#This Row],[Low Tol]]="",Table1[[#This Row],[High Tol]]=""),"Needs Analysis",IF(Table1[[#This Row],[Ratio]]&gt;=4,"Not Significant",IF(Table1[[#This Row],[Ratio]]&gt;=2,"Semi-Significant","Significant")))</f>
        <v>Needs Analysis</v>
      </c>
      <c r="W2672" s="1">
        <f>IF(Table1[[#This Row],[Cal Type]]&lt;&gt;"ACCREDITED 17025 WITH UNCERTAINTIES",0,"")</f>
        <v>0</v>
      </c>
      <c r="X2672" s="1" t="str">
        <f>IF(Table1[[#This Row],[DUT Read]]="","N/A",Table1[[#This Row],[Std Error]]+Table1[[#This Row],[DUT Read]]+Table1[[#This Row],[DUT Ucty]])</f>
        <v>N/A</v>
      </c>
      <c r="Y2672" s="1" t="str">
        <f>IF(Table1[[#This Row],[Std Read]]="","N/A",Table1[[#This Row],[Std Read]]+Table1[[#This Row],[Std Ucty]])</f>
        <v>N/A</v>
      </c>
      <c r="Z26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2" s="1" t="str">
        <f>IF(Table1[[#This Row],[Spec Type]]="","N/A",Table1[[#This Row],[Spec Type]])</f>
        <v>±</v>
      </c>
      <c r="AC2672" s="1" t="str">
        <f>IF(Table1[[#This Row],[Spec Type2]]="N/A","N/A",IF(AND(Table1[[#This Row],[DUT Adj Read]]&gt;=Table1[[#This Row],[Low Tol]],Table1[[#This Row],[DUT Adj Read]]&lt;=Table1[[#This Row],[High Tol]]),"Pass","Fail"))</f>
        <v>Fail</v>
      </c>
      <c r="AD2672" s="1" t="str">
        <f>IF(AND(Table1[[#This Row],[Spec Type2]]="N/A",Table1[[#This Row],[DUT Adj Read]]="N/A",Table1[[#This Row],[Std Adj Read]]="N/A"),"N/A",IF(Table1[[#This Row],[DUT Adj Read]]="N/A",IF(Table1[[#This Row],[Std Adj Read]]&gt;Table1[[#This Row],[Low Tol]],"Pass","Fail"),IF(Table1[[#This Row],[DUT Adj Read]]&gt;Table1[[#This Row],[Low Tol]],"Pass","Fail")))</f>
        <v>Pass</v>
      </c>
      <c r="AE2672" s="1" t="str">
        <f>IF(AND(Table1[[#This Row],[Spec Type2]]="N/A",Table1[[#This Row],[DUT Adj Read]]="N/A",Table1[[#This Row],[Std Adj Read]]="N/A"),"N/A",IF(Table1[[#This Row],[DUT Adj Read]]="N/A",IF(Table1[[#This Row],[Std Adj Read]]&lt;Table1[[#This Row],[High Tol]],"Pass","Fail"),IF(Table1[[#This Row],[DUT Adj Read]]&lt;Table1[[#This Row],[High Tol]],"Pass","Fail")))</f>
        <v>Fail</v>
      </c>
      <c r="AF2672" s="1" t="str">
        <f>IF(AND(Table1[[#This Row],[Spec Type2]]="N/A",Table1[[#This Row],[DUT Adj Read]]="N/A",Table1[[#This Row],[Std Adj Read]]="N/A"),"N/A",IF(Table1[[#This Row],[DUT Adj Read]]="N/A",IF(Table1[[#This Row],[Std Adj Read]]&gt;=Table1[[#This Row],[Low Tol]],"Pass","Fail"),IF(Table1[[#This Row],[DUT Adj Read]]&gt;=Table1[[#This Row],[Low Tol]],"Pass","Fail")))</f>
        <v>Pass</v>
      </c>
      <c r="AG2672" s="1" t="str">
        <f>IF(AND(Table1[[#This Row],[Spec Type2]]="N/A",Table1[[#This Row],[DUT Adj Read]]="N/A",Table1[[#This Row],[Std Adj Read]]="N/A"),"N/A",IF(Table1[[#This Row],[DUT Adj Read]]="N/A",IF(Table1[[#This Row],[Std Adj Read]]&lt;=Table1[[#This Row],[High Tol]],"Pass","Fail"),IF(Table1[[#This Row],[DUT Adj Read]]&lt;=Table1[[#This Row],[High Tol]],"Pass","Fail")))</f>
        <v>Fail</v>
      </c>
      <c r="AH26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2" s="1" t="b">
        <v>0</v>
      </c>
      <c r="AN2672" s="1" t="b">
        <v>0</v>
      </c>
      <c r="AO2672" s="1" t="b">
        <v>0</v>
      </c>
    </row>
    <row r="2673" spans="1:41" x14ac:dyDescent="0.25">
      <c r="A2673" s="10"/>
      <c r="B2673" s="10"/>
      <c r="C2673" s="10"/>
      <c r="D2673" s="10"/>
      <c r="E2673" s="10"/>
      <c r="F2673" s="10"/>
      <c r="G2673" s="10"/>
      <c r="H2673" s="10"/>
      <c r="I2673" s="1" t="str">
        <f t="shared" si="123"/>
        <v/>
      </c>
      <c r="J2673" s="1" t="s">
        <v>35</v>
      </c>
      <c r="K2673" s="1" t="str">
        <f t="shared" si="124"/>
        <v/>
      </c>
      <c r="L2673" s="1" t="str">
        <f t="shared" si="125"/>
        <v/>
      </c>
      <c r="M2673" s="1">
        <f>IF(OR(Table1[[#This Row],[Std Nom]]="",Table1[[#This Row],[Std Read]]=""),0,Table1[[#This Row],[Std Nom]]-Table1[[#This Row],[Std Read]])</f>
        <v>0</v>
      </c>
      <c r="N2673" s="1">
        <f>IF(Calculations!$F$5="ACCREDITED 17025 WITH UNCERTAINTIES",$N$10,0)</f>
        <v>0</v>
      </c>
      <c r="O2673" s="1" t="str">
        <f>IFERROR(Table1[[#This Row],[Std Nom]]-(_xlfn.XLOOKUP(Table1[[#This Row],[Manufacturer]]&amp;" "&amp;Table1[[#This Row],[Model]],Table13[MFR &amp; MDL],Table13[Tolerance % CW ],"")/100*Table1[[#This Row],[Std Nom]]),"")</f>
        <v/>
      </c>
      <c r="P2673" s="1" t="str">
        <f>IFERROR(Table1[[#This Row],[Std Nom]]+(_xlfn.XLOOKUP(Table1[[#This Row],[Manufacturer]]&amp;" "&amp;Table1[[#This Row],[Model]],Table13[MFR &amp; MDL],Table13[Tolerance % CW ],"")/100*Table1[[#This Row],[Std Nom]]),"")</f>
        <v/>
      </c>
      <c r="Q2673" s="1" t="e">
        <f>Table1[[#This Row],[High Tol]]-Table1[[#This Row],[Low Tol]]</f>
        <v>#VALUE!</v>
      </c>
      <c r="R2673" s="1">
        <f>2*Table1[[#This Row],[Std Error]]</f>
        <v>0</v>
      </c>
      <c r="S2673" s="1" t="str">
        <f>IF(Table1[[#This Row],[High Tol]]="","N/A",IFERROR(ABS(Table1[[#This Row],[Tol Span]]/Table1[[#This Row],[Error Span]]),"N/A"))</f>
        <v>N/A</v>
      </c>
      <c r="T2673" s="1" t="str">
        <f>IF(OR(Table1[[#This Row],[Low Tol]]="",Table1[[#This Row],[High Tol]]=""),"Needs Analysis",IF(Table1[[#This Row],[Ratio]]&gt;=4,"Not Significant",IF(Table1[[#This Row],[Ratio]]&gt;=2,"Semi-Significant","Significant")))</f>
        <v>Needs Analysis</v>
      </c>
      <c r="W2673" s="1">
        <f>IF(Table1[[#This Row],[Cal Type]]&lt;&gt;"ACCREDITED 17025 WITH UNCERTAINTIES",0,"")</f>
        <v>0</v>
      </c>
      <c r="X2673" s="1" t="str">
        <f>IF(Table1[[#This Row],[DUT Read]]="","N/A",Table1[[#This Row],[Std Error]]+Table1[[#This Row],[DUT Read]]+Table1[[#This Row],[DUT Ucty]])</f>
        <v>N/A</v>
      </c>
      <c r="Y2673" s="1" t="str">
        <f>IF(Table1[[#This Row],[Std Read]]="","N/A",Table1[[#This Row],[Std Read]]+Table1[[#This Row],[Std Ucty]])</f>
        <v>N/A</v>
      </c>
      <c r="Z26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3" s="1" t="str">
        <f>IF(Table1[[#This Row],[Spec Type]]="","N/A",Table1[[#This Row],[Spec Type]])</f>
        <v>±</v>
      </c>
      <c r="AC2673" s="1" t="str">
        <f>IF(Table1[[#This Row],[Spec Type2]]="N/A","N/A",IF(AND(Table1[[#This Row],[DUT Adj Read]]&gt;=Table1[[#This Row],[Low Tol]],Table1[[#This Row],[DUT Adj Read]]&lt;=Table1[[#This Row],[High Tol]]),"Pass","Fail"))</f>
        <v>Fail</v>
      </c>
      <c r="AD2673" s="1" t="str">
        <f>IF(AND(Table1[[#This Row],[Spec Type2]]="N/A",Table1[[#This Row],[DUT Adj Read]]="N/A",Table1[[#This Row],[Std Adj Read]]="N/A"),"N/A",IF(Table1[[#This Row],[DUT Adj Read]]="N/A",IF(Table1[[#This Row],[Std Adj Read]]&gt;Table1[[#This Row],[Low Tol]],"Pass","Fail"),IF(Table1[[#This Row],[DUT Adj Read]]&gt;Table1[[#This Row],[Low Tol]],"Pass","Fail")))</f>
        <v>Pass</v>
      </c>
      <c r="AE2673" s="1" t="str">
        <f>IF(AND(Table1[[#This Row],[Spec Type2]]="N/A",Table1[[#This Row],[DUT Adj Read]]="N/A",Table1[[#This Row],[Std Adj Read]]="N/A"),"N/A",IF(Table1[[#This Row],[DUT Adj Read]]="N/A",IF(Table1[[#This Row],[Std Adj Read]]&lt;Table1[[#This Row],[High Tol]],"Pass","Fail"),IF(Table1[[#This Row],[DUT Adj Read]]&lt;Table1[[#This Row],[High Tol]],"Pass","Fail")))</f>
        <v>Fail</v>
      </c>
      <c r="AF2673" s="1" t="str">
        <f>IF(AND(Table1[[#This Row],[Spec Type2]]="N/A",Table1[[#This Row],[DUT Adj Read]]="N/A",Table1[[#This Row],[Std Adj Read]]="N/A"),"N/A",IF(Table1[[#This Row],[DUT Adj Read]]="N/A",IF(Table1[[#This Row],[Std Adj Read]]&gt;=Table1[[#This Row],[Low Tol]],"Pass","Fail"),IF(Table1[[#This Row],[DUT Adj Read]]&gt;=Table1[[#This Row],[Low Tol]],"Pass","Fail")))</f>
        <v>Pass</v>
      </c>
      <c r="AG2673" s="1" t="str">
        <f>IF(AND(Table1[[#This Row],[Spec Type2]]="N/A",Table1[[#This Row],[DUT Adj Read]]="N/A",Table1[[#This Row],[Std Adj Read]]="N/A"),"N/A",IF(Table1[[#This Row],[DUT Adj Read]]="N/A",IF(Table1[[#This Row],[Std Adj Read]]&lt;=Table1[[#This Row],[High Tol]],"Pass","Fail"),IF(Table1[[#This Row],[DUT Adj Read]]&lt;=Table1[[#This Row],[High Tol]],"Pass","Fail")))</f>
        <v>Fail</v>
      </c>
      <c r="AH26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3" s="1" t="b">
        <v>0</v>
      </c>
      <c r="AN2673" s="1" t="b">
        <v>0</v>
      </c>
      <c r="AO2673" s="1" t="b">
        <v>0</v>
      </c>
    </row>
    <row r="2674" spans="1:41" x14ac:dyDescent="0.25">
      <c r="A2674" s="10"/>
      <c r="B2674" s="10"/>
      <c r="C2674" s="10"/>
      <c r="D2674" s="10"/>
      <c r="E2674" s="10"/>
      <c r="F2674" s="10"/>
      <c r="G2674" s="10"/>
      <c r="H2674" s="10"/>
      <c r="I2674" s="1" t="str">
        <f t="shared" si="123"/>
        <v/>
      </c>
      <c r="J2674" s="1" t="s">
        <v>35</v>
      </c>
      <c r="K2674" s="1" t="str">
        <f t="shared" si="124"/>
        <v/>
      </c>
      <c r="L2674" s="1" t="str">
        <f t="shared" si="125"/>
        <v/>
      </c>
      <c r="M2674" s="1">
        <f>IF(OR(Table1[[#This Row],[Std Nom]]="",Table1[[#This Row],[Std Read]]=""),0,Table1[[#This Row],[Std Nom]]-Table1[[#This Row],[Std Read]])</f>
        <v>0</v>
      </c>
      <c r="N2674" s="1">
        <f>IF(Calculations!$F$5="ACCREDITED 17025 WITH UNCERTAINTIES",$N$10,0)</f>
        <v>0</v>
      </c>
      <c r="O2674" s="1" t="str">
        <f>IFERROR(Table1[[#This Row],[Std Nom]]-(_xlfn.XLOOKUP(Table1[[#This Row],[Manufacturer]]&amp;" "&amp;Table1[[#This Row],[Model]],Table13[MFR &amp; MDL],Table13[Tolerance % CW ],"")/100*Table1[[#This Row],[Std Nom]]),"")</f>
        <v/>
      </c>
      <c r="P2674" s="1" t="str">
        <f>IFERROR(Table1[[#This Row],[Std Nom]]+(_xlfn.XLOOKUP(Table1[[#This Row],[Manufacturer]]&amp;" "&amp;Table1[[#This Row],[Model]],Table13[MFR &amp; MDL],Table13[Tolerance % CW ],"")/100*Table1[[#This Row],[Std Nom]]),"")</f>
        <v/>
      </c>
      <c r="Q2674" s="1" t="e">
        <f>Table1[[#This Row],[High Tol]]-Table1[[#This Row],[Low Tol]]</f>
        <v>#VALUE!</v>
      </c>
      <c r="R2674" s="1">
        <f>2*Table1[[#This Row],[Std Error]]</f>
        <v>0</v>
      </c>
      <c r="S2674" s="1" t="str">
        <f>IF(Table1[[#This Row],[High Tol]]="","N/A",IFERROR(ABS(Table1[[#This Row],[Tol Span]]/Table1[[#This Row],[Error Span]]),"N/A"))</f>
        <v>N/A</v>
      </c>
      <c r="T2674" s="1" t="str">
        <f>IF(OR(Table1[[#This Row],[Low Tol]]="",Table1[[#This Row],[High Tol]]=""),"Needs Analysis",IF(Table1[[#This Row],[Ratio]]&gt;=4,"Not Significant",IF(Table1[[#This Row],[Ratio]]&gt;=2,"Semi-Significant","Significant")))</f>
        <v>Needs Analysis</v>
      </c>
      <c r="W2674" s="1">
        <f>IF(Table1[[#This Row],[Cal Type]]&lt;&gt;"ACCREDITED 17025 WITH UNCERTAINTIES",0,"")</f>
        <v>0</v>
      </c>
      <c r="X2674" s="1" t="str">
        <f>IF(Table1[[#This Row],[DUT Read]]="","N/A",Table1[[#This Row],[Std Error]]+Table1[[#This Row],[DUT Read]]+Table1[[#This Row],[DUT Ucty]])</f>
        <v>N/A</v>
      </c>
      <c r="Y2674" s="1" t="str">
        <f>IF(Table1[[#This Row],[Std Read]]="","N/A",Table1[[#This Row],[Std Read]]+Table1[[#This Row],[Std Ucty]])</f>
        <v>N/A</v>
      </c>
      <c r="Z26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4" s="1" t="str">
        <f>IF(Table1[[#This Row],[Spec Type]]="","N/A",Table1[[#This Row],[Spec Type]])</f>
        <v>±</v>
      </c>
      <c r="AC2674" s="1" t="str">
        <f>IF(Table1[[#This Row],[Spec Type2]]="N/A","N/A",IF(AND(Table1[[#This Row],[DUT Adj Read]]&gt;=Table1[[#This Row],[Low Tol]],Table1[[#This Row],[DUT Adj Read]]&lt;=Table1[[#This Row],[High Tol]]),"Pass","Fail"))</f>
        <v>Fail</v>
      </c>
      <c r="AD2674" s="1" t="str">
        <f>IF(AND(Table1[[#This Row],[Spec Type2]]="N/A",Table1[[#This Row],[DUT Adj Read]]="N/A",Table1[[#This Row],[Std Adj Read]]="N/A"),"N/A",IF(Table1[[#This Row],[DUT Adj Read]]="N/A",IF(Table1[[#This Row],[Std Adj Read]]&gt;Table1[[#This Row],[Low Tol]],"Pass","Fail"),IF(Table1[[#This Row],[DUT Adj Read]]&gt;Table1[[#This Row],[Low Tol]],"Pass","Fail")))</f>
        <v>Pass</v>
      </c>
      <c r="AE2674" s="1" t="str">
        <f>IF(AND(Table1[[#This Row],[Spec Type2]]="N/A",Table1[[#This Row],[DUT Adj Read]]="N/A",Table1[[#This Row],[Std Adj Read]]="N/A"),"N/A",IF(Table1[[#This Row],[DUT Adj Read]]="N/A",IF(Table1[[#This Row],[Std Adj Read]]&lt;Table1[[#This Row],[High Tol]],"Pass","Fail"),IF(Table1[[#This Row],[DUT Adj Read]]&lt;Table1[[#This Row],[High Tol]],"Pass","Fail")))</f>
        <v>Fail</v>
      </c>
      <c r="AF2674" s="1" t="str">
        <f>IF(AND(Table1[[#This Row],[Spec Type2]]="N/A",Table1[[#This Row],[DUT Adj Read]]="N/A",Table1[[#This Row],[Std Adj Read]]="N/A"),"N/A",IF(Table1[[#This Row],[DUT Adj Read]]="N/A",IF(Table1[[#This Row],[Std Adj Read]]&gt;=Table1[[#This Row],[Low Tol]],"Pass","Fail"),IF(Table1[[#This Row],[DUT Adj Read]]&gt;=Table1[[#This Row],[Low Tol]],"Pass","Fail")))</f>
        <v>Pass</v>
      </c>
      <c r="AG2674" s="1" t="str">
        <f>IF(AND(Table1[[#This Row],[Spec Type2]]="N/A",Table1[[#This Row],[DUT Adj Read]]="N/A",Table1[[#This Row],[Std Adj Read]]="N/A"),"N/A",IF(Table1[[#This Row],[DUT Adj Read]]="N/A",IF(Table1[[#This Row],[Std Adj Read]]&lt;=Table1[[#This Row],[High Tol]],"Pass","Fail"),IF(Table1[[#This Row],[DUT Adj Read]]&lt;=Table1[[#This Row],[High Tol]],"Pass","Fail")))</f>
        <v>Fail</v>
      </c>
      <c r="AH26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4" s="1" t="b">
        <v>0</v>
      </c>
      <c r="AN2674" s="1" t="b">
        <v>0</v>
      </c>
      <c r="AO2674" s="1" t="b">
        <v>0</v>
      </c>
    </row>
    <row r="2675" spans="1:41" x14ac:dyDescent="0.25">
      <c r="A2675" s="10"/>
      <c r="B2675" s="10"/>
      <c r="C2675" s="10"/>
      <c r="D2675" s="10"/>
      <c r="E2675" s="10"/>
      <c r="F2675" s="10"/>
      <c r="G2675" s="10"/>
      <c r="H2675" s="10"/>
      <c r="I2675" s="1" t="str">
        <f t="shared" si="123"/>
        <v/>
      </c>
      <c r="J2675" s="1" t="s">
        <v>35</v>
      </c>
      <c r="K2675" s="1" t="str">
        <f t="shared" si="124"/>
        <v/>
      </c>
      <c r="L2675" s="1" t="str">
        <f t="shared" si="125"/>
        <v/>
      </c>
      <c r="M2675" s="1">
        <f>IF(OR(Table1[[#This Row],[Std Nom]]="",Table1[[#This Row],[Std Read]]=""),0,Table1[[#This Row],[Std Nom]]-Table1[[#This Row],[Std Read]])</f>
        <v>0</v>
      </c>
      <c r="N2675" s="1">
        <f>IF(Calculations!$F$5="ACCREDITED 17025 WITH UNCERTAINTIES",$N$10,0)</f>
        <v>0</v>
      </c>
      <c r="O2675" s="1" t="str">
        <f>IFERROR(Table1[[#This Row],[Std Nom]]-(_xlfn.XLOOKUP(Table1[[#This Row],[Manufacturer]]&amp;" "&amp;Table1[[#This Row],[Model]],Table13[MFR &amp; MDL],Table13[Tolerance % CW ],"")/100*Table1[[#This Row],[Std Nom]]),"")</f>
        <v/>
      </c>
      <c r="P2675" s="1" t="str">
        <f>IFERROR(Table1[[#This Row],[Std Nom]]+(_xlfn.XLOOKUP(Table1[[#This Row],[Manufacturer]]&amp;" "&amp;Table1[[#This Row],[Model]],Table13[MFR &amp; MDL],Table13[Tolerance % CW ],"")/100*Table1[[#This Row],[Std Nom]]),"")</f>
        <v/>
      </c>
      <c r="Q2675" s="1" t="e">
        <f>Table1[[#This Row],[High Tol]]-Table1[[#This Row],[Low Tol]]</f>
        <v>#VALUE!</v>
      </c>
      <c r="R2675" s="1">
        <f>2*Table1[[#This Row],[Std Error]]</f>
        <v>0</v>
      </c>
      <c r="S2675" s="1" t="str">
        <f>IF(Table1[[#This Row],[High Tol]]="","N/A",IFERROR(ABS(Table1[[#This Row],[Tol Span]]/Table1[[#This Row],[Error Span]]),"N/A"))</f>
        <v>N/A</v>
      </c>
      <c r="T2675" s="1" t="str">
        <f>IF(OR(Table1[[#This Row],[Low Tol]]="",Table1[[#This Row],[High Tol]]=""),"Needs Analysis",IF(Table1[[#This Row],[Ratio]]&gt;=4,"Not Significant",IF(Table1[[#This Row],[Ratio]]&gt;=2,"Semi-Significant","Significant")))</f>
        <v>Needs Analysis</v>
      </c>
      <c r="W2675" s="1">
        <f>IF(Table1[[#This Row],[Cal Type]]&lt;&gt;"ACCREDITED 17025 WITH UNCERTAINTIES",0,"")</f>
        <v>0</v>
      </c>
      <c r="X2675" s="1" t="str">
        <f>IF(Table1[[#This Row],[DUT Read]]="","N/A",Table1[[#This Row],[Std Error]]+Table1[[#This Row],[DUT Read]]+Table1[[#This Row],[DUT Ucty]])</f>
        <v>N/A</v>
      </c>
      <c r="Y2675" s="1" t="str">
        <f>IF(Table1[[#This Row],[Std Read]]="","N/A",Table1[[#This Row],[Std Read]]+Table1[[#This Row],[Std Ucty]])</f>
        <v>N/A</v>
      </c>
      <c r="Z26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5" s="1" t="str">
        <f>IF(Table1[[#This Row],[Spec Type]]="","N/A",Table1[[#This Row],[Spec Type]])</f>
        <v>±</v>
      </c>
      <c r="AC2675" s="1" t="str">
        <f>IF(Table1[[#This Row],[Spec Type2]]="N/A","N/A",IF(AND(Table1[[#This Row],[DUT Adj Read]]&gt;=Table1[[#This Row],[Low Tol]],Table1[[#This Row],[DUT Adj Read]]&lt;=Table1[[#This Row],[High Tol]]),"Pass","Fail"))</f>
        <v>Fail</v>
      </c>
      <c r="AD2675" s="1" t="str">
        <f>IF(AND(Table1[[#This Row],[Spec Type2]]="N/A",Table1[[#This Row],[DUT Adj Read]]="N/A",Table1[[#This Row],[Std Adj Read]]="N/A"),"N/A",IF(Table1[[#This Row],[DUT Adj Read]]="N/A",IF(Table1[[#This Row],[Std Adj Read]]&gt;Table1[[#This Row],[Low Tol]],"Pass","Fail"),IF(Table1[[#This Row],[DUT Adj Read]]&gt;Table1[[#This Row],[Low Tol]],"Pass","Fail")))</f>
        <v>Pass</v>
      </c>
      <c r="AE2675" s="1" t="str">
        <f>IF(AND(Table1[[#This Row],[Spec Type2]]="N/A",Table1[[#This Row],[DUT Adj Read]]="N/A",Table1[[#This Row],[Std Adj Read]]="N/A"),"N/A",IF(Table1[[#This Row],[DUT Adj Read]]="N/A",IF(Table1[[#This Row],[Std Adj Read]]&lt;Table1[[#This Row],[High Tol]],"Pass","Fail"),IF(Table1[[#This Row],[DUT Adj Read]]&lt;Table1[[#This Row],[High Tol]],"Pass","Fail")))</f>
        <v>Fail</v>
      </c>
      <c r="AF2675" s="1" t="str">
        <f>IF(AND(Table1[[#This Row],[Spec Type2]]="N/A",Table1[[#This Row],[DUT Adj Read]]="N/A",Table1[[#This Row],[Std Adj Read]]="N/A"),"N/A",IF(Table1[[#This Row],[DUT Adj Read]]="N/A",IF(Table1[[#This Row],[Std Adj Read]]&gt;=Table1[[#This Row],[Low Tol]],"Pass","Fail"),IF(Table1[[#This Row],[DUT Adj Read]]&gt;=Table1[[#This Row],[Low Tol]],"Pass","Fail")))</f>
        <v>Pass</v>
      </c>
      <c r="AG2675" s="1" t="str">
        <f>IF(AND(Table1[[#This Row],[Spec Type2]]="N/A",Table1[[#This Row],[DUT Adj Read]]="N/A",Table1[[#This Row],[Std Adj Read]]="N/A"),"N/A",IF(Table1[[#This Row],[DUT Adj Read]]="N/A",IF(Table1[[#This Row],[Std Adj Read]]&lt;=Table1[[#This Row],[High Tol]],"Pass","Fail"),IF(Table1[[#This Row],[DUT Adj Read]]&lt;=Table1[[#This Row],[High Tol]],"Pass","Fail")))</f>
        <v>Fail</v>
      </c>
      <c r="AH26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5" s="1" t="b">
        <v>0</v>
      </c>
      <c r="AN2675" s="1" t="b">
        <v>0</v>
      </c>
      <c r="AO2675" s="1" t="b">
        <v>0</v>
      </c>
    </row>
    <row r="2676" spans="1:41" x14ac:dyDescent="0.25">
      <c r="A2676" s="10"/>
      <c r="B2676" s="10"/>
      <c r="C2676" s="10"/>
      <c r="D2676" s="10"/>
      <c r="E2676" s="10"/>
      <c r="F2676" s="10"/>
      <c r="G2676" s="10"/>
      <c r="H2676" s="10"/>
      <c r="I2676" s="1" t="str">
        <f t="shared" si="123"/>
        <v/>
      </c>
      <c r="J2676" s="1" t="s">
        <v>35</v>
      </c>
      <c r="K2676" s="1" t="str">
        <f t="shared" si="124"/>
        <v/>
      </c>
      <c r="L2676" s="1" t="str">
        <f t="shared" si="125"/>
        <v/>
      </c>
      <c r="M2676" s="1">
        <f>IF(OR(Table1[[#This Row],[Std Nom]]="",Table1[[#This Row],[Std Read]]=""),0,Table1[[#This Row],[Std Nom]]-Table1[[#This Row],[Std Read]])</f>
        <v>0</v>
      </c>
      <c r="N2676" s="1">
        <f>IF(Calculations!$F$5="ACCREDITED 17025 WITH UNCERTAINTIES",$N$10,0)</f>
        <v>0</v>
      </c>
      <c r="O2676" s="1" t="str">
        <f>IFERROR(Table1[[#This Row],[Std Nom]]-(_xlfn.XLOOKUP(Table1[[#This Row],[Manufacturer]]&amp;" "&amp;Table1[[#This Row],[Model]],Table13[MFR &amp; MDL],Table13[Tolerance % CW ],"")/100*Table1[[#This Row],[Std Nom]]),"")</f>
        <v/>
      </c>
      <c r="P2676" s="1" t="str">
        <f>IFERROR(Table1[[#This Row],[Std Nom]]+(_xlfn.XLOOKUP(Table1[[#This Row],[Manufacturer]]&amp;" "&amp;Table1[[#This Row],[Model]],Table13[MFR &amp; MDL],Table13[Tolerance % CW ],"")/100*Table1[[#This Row],[Std Nom]]),"")</f>
        <v/>
      </c>
      <c r="Q2676" s="1" t="e">
        <f>Table1[[#This Row],[High Tol]]-Table1[[#This Row],[Low Tol]]</f>
        <v>#VALUE!</v>
      </c>
      <c r="R2676" s="1">
        <f>2*Table1[[#This Row],[Std Error]]</f>
        <v>0</v>
      </c>
      <c r="S2676" s="1" t="str">
        <f>IF(Table1[[#This Row],[High Tol]]="","N/A",IFERROR(ABS(Table1[[#This Row],[Tol Span]]/Table1[[#This Row],[Error Span]]),"N/A"))</f>
        <v>N/A</v>
      </c>
      <c r="T2676" s="1" t="str">
        <f>IF(OR(Table1[[#This Row],[Low Tol]]="",Table1[[#This Row],[High Tol]]=""),"Needs Analysis",IF(Table1[[#This Row],[Ratio]]&gt;=4,"Not Significant",IF(Table1[[#This Row],[Ratio]]&gt;=2,"Semi-Significant","Significant")))</f>
        <v>Needs Analysis</v>
      </c>
      <c r="W2676" s="1">
        <f>IF(Table1[[#This Row],[Cal Type]]&lt;&gt;"ACCREDITED 17025 WITH UNCERTAINTIES",0,"")</f>
        <v>0</v>
      </c>
      <c r="X2676" s="1" t="str">
        <f>IF(Table1[[#This Row],[DUT Read]]="","N/A",Table1[[#This Row],[Std Error]]+Table1[[#This Row],[DUT Read]]+Table1[[#This Row],[DUT Ucty]])</f>
        <v>N/A</v>
      </c>
      <c r="Y2676" s="1" t="str">
        <f>IF(Table1[[#This Row],[Std Read]]="","N/A",Table1[[#This Row],[Std Read]]+Table1[[#This Row],[Std Ucty]])</f>
        <v>N/A</v>
      </c>
      <c r="Z26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6" s="1" t="str">
        <f>IF(Table1[[#This Row],[Spec Type]]="","N/A",Table1[[#This Row],[Spec Type]])</f>
        <v>±</v>
      </c>
      <c r="AC2676" s="1" t="str">
        <f>IF(Table1[[#This Row],[Spec Type2]]="N/A","N/A",IF(AND(Table1[[#This Row],[DUT Adj Read]]&gt;=Table1[[#This Row],[Low Tol]],Table1[[#This Row],[DUT Adj Read]]&lt;=Table1[[#This Row],[High Tol]]),"Pass","Fail"))</f>
        <v>Fail</v>
      </c>
      <c r="AD2676" s="1" t="str">
        <f>IF(AND(Table1[[#This Row],[Spec Type2]]="N/A",Table1[[#This Row],[DUT Adj Read]]="N/A",Table1[[#This Row],[Std Adj Read]]="N/A"),"N/A",IF(Table1[[#This Row],[DUT Adj Read]]="N/A",IF(Table1[[#This Row],[Std Adj Read]]&gt;Table1[[#This Row],[Low Tol]],"Pass","Fail"),IF(Table1[[#This Row],[DUT Adj Read]]&gt;Table1[[#This Row],[Low Tol]],"Pass","Fail")))</f>
        <v>Pass</v>
      </c>
      <c r="AE2676" s="1" t="str">
        <f>IF(AND(Table1[[#This Row],[Spec Type2]]="N/A",Table1[[#This Row],[DUT Adj Read]]="N/A",Table1[[#This Row],[Std Adj Read]]="N/A"),"N/A",IF(Table1[[#This Row],[DUT Adj Read]]="N/A",IF(Table1[[#This Row],[Std Adj Read]]&lt;Table1[[#This Row],[High Tol]],"Pass","Fail"),IF(Table1[[#This Row],[DUT Adj Read]]&lt;Table1[[#This Row],[High Tol]],"Pass","Fail")))</f>
        <v>Fail</v>
      </c>
      <c r="AF2676" s="1" t="str">
        <f>IF(AND(Table1[[#This Row],[Spec Type2]]="N/A",Table1[[#This Row],[DUT Adj Read]]="N/A",Table1[[#This Row],[Std Adj Read]]="N/A"),"N/A",IF(Table1[[#This Row],[DUT Adj Read]]="N/A",IF(Table1[[#This Row],[Std Adj Read]]&gt;=Table1[[#This Row],[Low Tol]],"Pass","Fail"),IF(Table1[[#This Row],[DUT Adj Read]]&gt;=Table1[[#This Row],[Low Tol]],"Pass","Fail")))</f>
        <v>Pass</v>
      </c>
      <c r="AG2676" s="1" t="str">
        <f>IF(AND(Table1[[#This Row],[Spec Type2]]="N/A",Table1[[#This Row],[DUT Adj Read]]="N/A",Table1[[#This Row],[Std Adj Read]]="N/A"),"N/A",IF(Table1[[#This Row],[DUT Adj Read]]="N/A",IF(Table1[[#This Row],[Std Adj Read]]&lt;=Table1[[#This Row],[High Tol]],"Pass","Fail"),IF(Table1[[#This Row],[DUT Adj Read]]&lt;=Table1[[#This Row],[High Tol]],"Pass","Fail")))</f>
        <v>Fail</v>
      </c>
      <c r="AH26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6" s="1" t="b">
        <v>0</v>
      </c>
      <c r="AN2676" s="1" t="b">
        <v>0</v>
      </c>
      <c r="AO2676" s="1" t="b">
        <v>0</v>
      </c>
    </row>
    <row r="2677" spans="1:41" x14ac:dyDescent="0.25">
      <c r="A2677" s="10"/>
      <c r="B2677" s="10"/>
      <c r="C2677" s="10"/>
      <c r="D2677" s="10"/>
      <c r="E2677" s="10"/>
      <c r="F2677" s="10"/>
      <c r="G2677" s="10"/>
      <c r="H2677" s="10"/>
      <c r="I2677" s="1" t="str">
        <f t="shared" si="123"/>
        <v/>
      </c>
      <c r="J2677" s="1" t="s">
        <v>35</v>
      </c>
      <c r="K2677" s="1" t="str">
        <f t="shared" si="124"/>
        <v/>
      </c>
      <c r="L2677" s="1" t="str">
        <f t="shared" si="125"/>
        <v/>
      </c>
      <c r="M2677" s="1">
        <f>IF(OR(Table1[[#This Row],[Std Nom]]="",Table1[[#This Row],[Std Read]]=""),0,Table1[[#This Row],[Std Nom]]-Table1[[#This Row],[Std Read]])</f>
        <v>0</v>
      </c>
      <c r="N2677" s="1">
        <f>IF(Calculations!$F$5="ACCREDITED 17025 WITH UNCERTAINTIES",$N$10,0)</f>
        <v>0</v>
      </c>
      <c r="O2677" s="1" t="str">
        <f>IFERROR(Table1[[#This Row],[Std Nom]]-(_xlfn.XLOOKUP(Table1[[#This Row],[Manufacturer]]&amp;" "&amp;Table1[[#This Row],[Model]],Table13[MFR &amp; MDL],Table13[Tolerance % CW ],"")/100*Table1[[#This Row],[Std Nom]]),"")</f>
        <v/>
      </c>
      <c r="P2677" s="1" t="str">
        <f>IFERROR(Table1[[#This Row],[Std Nom]]+(_xlfn.XLOOKUP(Table1[[#This Row],[Manufacturer]]&amp;" "&amp;Table1[[#This Row],[Model]],Table13[MFR &amp; MDL],Table13[Tolerance % CW ],"")/100*Table1[[#This Row],[Std Nom]]),"")</f>
        <v/>
      </c>
      <c r="Q2677" s="1" t="e">
        <f>Table1[[#This Row],[High Tol]]-Table1[[#This Row],[Low Tol]]</f>
        <v>#VALUE!</v>
      </c>
      <c r="R2677" s="1">
        <f>2*Table1[[#This Row],[Std Error]]</f>
        <v>0</v>
      </c>
      <c r="S2677" s="1" t="str">
        <f>IF(Table1[[#This Row],[High Tol]]="","N/A",IFERROR(ABS(Table1[[#This Row],[Tol Span]]/Table1[[#This Row],[Error Span]]),"N/A"))</f>
        <v>N/A</v>
      </c>
      <c r="T2677" s="1" t="str">
        <f>IF(OR(Table1[[#This Row],[Low Tol]]="",Table1[[#This Row],[High Tol]]=""),"Needs Analysis",IF(Table1[[#This Row],[Ratio]]&gt;=4,"Not Significant",IF(Table1[[#This Row],[Ratio]]&gt;=2,"Semi-Significant","Significant")))</f>
        <v>Needs Analysis</v>
      </c>
      <c r="W2677" s="1">
        <f>IF(Table1[[#This Row],[Cal Type]]&lt;&gt;"ACCREDITED 17025 WITH UNCERTAINTIES",0,"")</f>
        <v>0</v>
      </c>
      <c r="X2677" s="1" t="str">
        <f>IF(Table1[[#This Row],[DUT Read]]="","N/A",Table1[[#This Row],[Std Error]]+Table1[[#This Row],[DUT Read]]+Table1[[#This Row],[DUT Ucty]])</f>
        <v>N/A</v>
      </c>
      <c r="Y2677" s="1" t="str">
        <f>IF(Table1[[#This Row],[Std Read]]="","N/A",Table1[[#This Row],[Std Read]]+Table1[[#This Row],[Std Ucty]])</f>
        <v>N/A</v>
      </c>
      <c r="Z26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7" s="1" t="str">
        <f>IF(Table1[[#This Row],[Spec Type]]="","N/A",Table1[[#This Row],[Spec Type]])</f>
        <v>±</v>
      </c>
      <c r="AC2677" s="1" t="str">
        <f>IF(Table1[[#This Row],[Spec Type2]]="N/A","N/A",IF(AND(Table1[[#This Row],[DUT Adj Read]]&gt;=Table1[[#This Row],[Low Tol]],Table1[[#This Row],[DUT Adj Read]]&lt;=Table1[[#This Row],[High Tol]]),"Pass","Fail"))</f>
        <v>Fail</v>
      </c>
      <c r="AD2677" s="1" t="str">
        <f>IF(AND(Table1[[#This Row],[Spec Type2]]="N/A",Table1[[#This Row],[DUT Adj Read]]="N/A",Table1[[#This Row],[Std Adj Read]]="N/A"),"N/A",IF(Table1[[#This Row],[DUT Adj Read]]="N/A",IF(Table1[[#This Row],[Std Adj Read]]&gt;Table1[[#This Row],[Low Tol]],"Pass","Fail"),IF(Table1[[#This Row],[DUT Adj Read]]&gt;Table1[[#This Row],[Low Tol]],"Pass","Fail")))</f>
        <v>Pass</v>
      </c>
      <c r="AE2677" s="1" t="str">
        <f>IF(AND(Table1[[#This Row],[Spec Type2]]="N/A",Table1[[#This Row],[DUT Adj Read]]="N/A",Table1[[#This Row],[Std Adj Read]]="N/A"),"N/A",IF(Table1[[#This Row],[DUT Adj Read]]="N/A",IF(Table1[[#This Row],[Std Adj Read]]&lt;Table1[[#This Row],[High Tol]],"Pass","Fail"),IF(Table1[[#This Row],[DUT Adj Read]]&lt;Table1[[#This Row],[High Tol]],"Pass","Fail")))</f>
        <v>Fail</v>
      </c>
      <c r="AF2677" s="1" t="str">
        <f>IF(AND(Table1[[#This Row],[Spec Type2]]="N/A",Table1[[#This Row],[DUT Adj Read]]="N/A",Table1[[#This Row],[Std Adj Read]]="N/A"),"N/A",IF(Table1[[#This Row],[DUT Adj Read]]="N/A",IF(Table1[[#This Row],[Std Adj Read]]&gt;=Table1[[#This Row],[Low Tol]],"Pass","Fail"),IF(Table1[[#This Row],[DUT Adj Read]]&gt;=Table1[[#This Row],[Low Tol]],"Pass","Fail")))</f>
        <v>Pass</v>
      </c>
      <c r="AG2677" s="1" t="str">
        <f>IF(AND(Table1[[#This Row],[Spec Type2]]="N/A",Table1[[#This Row],[DUT Adj Read]]="N/A",Table1[[#This Row],[Std Adj Read]]="N/A"),"N/A",IF(Table1[[#This Row],[DUT Adj Read]]="N/A",IF(Table1[[#This Row],[Std Adj Read]]&lt;=Table1[[#This Row],[High Tol]],"Pass","Fail"),IF(Table1[[#This Row],[DUT Adj Read]]&lt;=Table1[[#This Row],[High Tol]],"Pass","Fail")))</f>
        <v>Fail</v>
      </c>
      <c r="AH26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7" s="1" t="b">
        <v>0</v>
      </c>
      <c r="AN2677" s="1" t="b">
        <v>0</v>
      </c>
      <c r="AO2677" s="1" t="b">
        <v>0</v>
      </c>
    </row>
    <row r="2678" spans="1:41" x14ac:dyDescent="0.25">
      <c r="A2678" s="10"/>
      <c r="B2678" s="10"/>
      <c r="C2678" s="10"/>
      <c r="D2678" s="10"/>
      <c r="E2678" s="10"/>
      <c r="F2678" s="10"/>
      <c r="G2678" s="10"/>
      <c r="H2678" s="10"/>
      <c r="I2678" s="1" t="str">
        <f t="shared" si="123"/>
        <v/>
      </c>
      <c r="J2678" s="1" t="s">
        <v>35</v>
      </c>
      <c r="K2678" s="1" t="str">
        <f t="shared" si="124"/>
        <v/>
      </c>
      <c r="L2678" s="1" t="str">
        <f t="shared" si="125"/>
        <v/>
      </c>
      <c r="M2678" s="1">
        <f>IF(OR(Table1[[#This Row],[Std Nom]]="",Table1[[#This Row],[Std Read]]=""),0,Table1[[#This Row],[Std Nom]]-Table1[[#This Row],[Std Read]])</f>
        <v>0</v>
      </c>
      <c r="N2678" s="1">
        <f>IF(Calculations!$F$5="ACCREDITED 17025 WITH UNCERTAINTIES",$N$10,0)</f>
        <v>0</v>
      </c>
      <c r="O2678" s="1" t="str">
        <f>IFERROR(Table1[[#This Row],[Std Nom]]-(_xlfn.XLOOKUP(Table1[[#This Row],[Manufacturer]]&amp;" "&amp;Table1[[#This Row],[Model]],Table13[MFR &amp; MDL],Table13[Tolerance % CW ],"")/100*Table1[[#This Row],[Std Nom]]),"")</f>
        <v/>
      </c>
      <c r="P2678" s="1" t="str">
        <f>IFERROR(Table1[[#This Row],[Std Nom]]+(_xlfn.XLOOKUP(Table1[[#This Row],[Manufacturer]]&amp;" "&amp;Table1[[#This Row],[Model]],Table13[MFR &amp; MDL],Table13[Tolerance % CW ],"")/100*Table1[[#This Row],[Std Nom]]),"")</f>
        <v/>
      </c>
      <c r="Q2678" s="1" t="e">
        <f>Table1[[#This Row],[High Tol]]-Table1[[#This Row],[Low Tol]]</f>
        <v>#VALUE!</v>
      </c>
      <c r="R2678" s="1">
        <f>2*Table1[[#This Row],[Std Error]]</f>
        <v>0</v>
      </c>
      <c r="S2678" s="1" t="str">
        <f>IF(Table1[[#This Row],[High Tol]]="","N/A",IFERROR(ABS(Table1[[#This Row],[Tol Span]]/Table1[[#This Row],[Error Span]]),"N/A"))</f>
        <v>N/A</v>
      </c>
      <c r="T2678" s="1" t="str">
        <f>IF(OR(Table1[[#This Row],[Low Tol]]="",Table1[[#This Row],[High Tol]]=""),"Needs Analysis",IF(Table1[[#This Row],[Ratio]]&gt;=4,"Not Significant",IF(Table1[[#This Row],[Ratio]]&gt;=2,"Semi-Significant","Significant")))</f>
        <v>Needs Analysis</v>
      </c>
      <c r="W2678" s="1">
        <f>IF(Table1[[#This Row],[Cal Type]]&lt;&gt;"ACCREDITED 17025 WITH UNCERTAINTIES",0,"")</f>
        <v>0</v>
      </c>
      <c r="X2678" s="1" t="str">
        <f>IF(Table1[[#This Row],[DUT Read]]="","N/A",Table1[[#This Row],[Std Error]]+Table1[[#This Row],[DUT Read]]+Table1[[#This Row],[DUT Ucty]])</f>
        <v>N/A</v>
      </c>
      <c r="Y2678" s="1" t="str">
        <f>IF(Table1[[#This Row],[Std Read]]="","N/A",Table1[[#This Row],[Std Read]]+Table1[[#This Row],[Std Ucty]])</f>
        <v>N/A</v>
      </c>
      <c r="Z26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8" s="1" t="str">
        <f>IF(Table1[[#This Row],[Spec Type]]="","N/A",Table1[[#This Row],[Spec Type]])</f>
        <v>±</v>
      </c>
      <c r="AC2678" s="1" t="str">
        <f>IF(Table1[[#This Row],[Spec Type2]]="N/A","N/A",IF(AND(Table1[[#This Row],[DUT Adj Read]]&gt;=Table1[[#This Row],[Low Tol]],Table1[[#This Row],[DUT Adj Read]]&lt;=Table1[[#This Row],[High Tol]]),"Pass","Fail"))</f>
        <v>Fail</v>
      </c>
      <c r="AD2678" s="1" t="str">
        <f>IF(AND(Table1[[#This Row],[Spec Type2]]="N/A",Table1[[#This Row],[DUT Adj Read]]="N/A",Table1[[#This Row],[Std Adj Read]]="N/A"),"N/A",IF(Table1[[#This Row],[DUT Adj Read]]="N/A",IF(Table1[[#This Row],[Std Adj Read]]&gt;Table1[[#This Row],[Low Tol]],"Pass","Fail"),IF(Table1[[#This Row],[DUT Adj Read]]&gt;Table1[[#This Row],[Low Tol]],"Pass","Fail")))</f>
        <v>Pass</v>
      </c>
      <c r="AE2678" s="1" t="str">
        <f>IF(AND(Table1[[#This Row],[Spec Type2]]="N/A",Table1[[#This Row],[DUT Adj Read]]="N/A",Table1[[#This Row],[Std Adj Read]]="N/A"),"N/A",IF(Table1[[#This Row],[DUT Adj Read]]="N/A",IF(Table1[[#This Row],[Std Adj Read]]&lt;Table1[[#This Row],[High Tol]],"Pass","Fail"),IF(Table1[[#This Row],[DUT Adj Read]]&lt;Table1[[#This Row],[High Tol]],"Pass","Fail")))</f>
        <v>Fail</v>
      </c>
      <c r="AF2678" s="1" t="str">
        <f>IF(AND(Table1[[#This Row],[Spec Type2]]="N/A",Table1[[#This Row],[DUT Adj Read]]="N/A",Table1[[#This Row],[Std Adj Read]]="N/A"),"N/A",IF(Table1[[#This Row],[DUT Adj Read]]="N/A",IF(Table1[[#This Row],[Std Adj Read]]&gt;=Table1[[#This Row],[Low Tol]],"Pass","Fail"),IF(Table1[[#This Row],[DUT Adj Read]]&gt;=Table1[[#This Row],[Low Tol]],"Pass","Fail")))</f>
        <v>Pass</v>
      </c>
      <c r="AG2678" s="1" t="str">
        <f>IF(AND(Table1[[#This Row],[Spec Type2]]="N/A",Table1[[#This Row],[DUT Adj Read]]="N/A",Table1[[#This Row],[Std Adj Read]]="N/A"),"N/A",IF(Table1[[#This Row],[DUT Adj Read]]="N/A",IF(Table1[[#This Row],[Std Adj Read]]&lt;=Table1[[#This Row],[High Tol]],"Pass","Fail"),IF(Table1[[#This Row],[DUT Adj Read]]&lt;=Table1[[#This Row],[High Tol]],"Pass","Fail")))</f>
        <v>Fail</v>
      </c>
      <c r="AH26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8" s="1" t="b">
        <v>0</v>
      </c>
      <c r="AN2678" s="1" t="b">
        <v>0</v>
      </c>
      <c r="AO2678" s="1" t="b">
        <v>0</v>
      </c>
    </row>
    <row r="2679" spans="1:41" x14ac:dyDescent="0.25">
      <c r="A2679" s="10"/>
      <c r="B2679" s="10"/>
      <c r="C2679" s="10"/>
      <c r="D2679" s="10"/>
      <c r="E2679" s="10"/>
      <c r="F2679" s="10"/>
      <c r="G2679" s="10"/>
      <c r="H2679" s="10"/>
      <c r="I2679" s="1" t="str">
        <f t="shared" si="123"/>
        <v/>
      </c>
      <c r="J2679" s="1" t="s">
        <v>35</v>
      </c>
      <c r="K2679" s="1" t="str">
        <f t="shared" si="124"/>
        <v/>
      </c>
      <c r="L2679" s="1" t="str">
        <f t="shared" si="125"/>
        <v/>
      </c>
      <c r="M2679" s="1">
        <f>IF(OR(Table1[[#This Row],[Std Nom]]="",Table1[[#This Row],[Std Read]]=""),0,Table1[[#This Row],[Std Nom]]-Table1[[#This Row],[Std Read]])</f>
        <v>0</v>
      </c>
      <c r="N2679" s="1">
        <f>IF(Calculations!$F$5="ACCREDITED 17025 WITH UNCERTAINTIES",$N$10,0)</f>
        <v>0</v>
      </c>
      <c r="O2679" s="1" t="str">
        <f>IFERROR(Table1[[#This Row],[Std Nom]]-(_xlfn.XLOOKUP(Table1[[#This Row],[Manufacturer]]&amp;" "&amp;Table1[[#This Row],[Model]],Table13[MFR &amp; MDL],Table13[Tolerance % CW ],"")/100*Table1[[#This Row],[Std Nom]]),"")</f>
        <v/>
      </c>
      <c r="P2679" s="1" t="str">
        <f>IFERROR(Table1[[#This Row],[Std Nom]]+(_xlfn.XLOOKUP(Table1[[#This Row],[Manufacturer]]&amp;" "&amp;Table1[[#This Row],[Model]],Table13[MFR &amp; MDL],Table13[Tolerance % CW ],"")/100*Table1[[#This Row],[Std Nom]]),"")</f>
        <v/>
      </c>
      <c r="Q2679" s="1" t="e">
        <f>Table1[[#This Row],[High Tol]]-Table1[[#This Row],[Low Tol]]</f>
        <v>#VALUE!</v>
      </c>
      <c r="R2679" s="1">
        <f>2*Table1[[#This Row],[Std Error]]</f>
        <v>0</v>
      </c>
      <c r="S2679" s="1" t="str">
        <f>IF(Table1[[#This Row],[High Tol]]="","N/A",IFERROR(ABS(Table1[[#This Row],[Tol Span]]/Table1[[#This Row],[Error Span]]),"N/A"))</f>
        <v>N/A</v>
      </c>
      <c r="T2679" s="1" t="str">
        <f>IF(OR(Table1[[#This Row],[Low Tol]]="",Table1[[#This Row],[High Tol]]=""),"Needs Analysis",IF(Table1[[#This Row],[Ratio]]&gt;=4,"Not Significant",IF(Table1[[#This Row],[Ratio]]&gt;=2,"Semi-Significant","Significant")))</f>
        <v>Needs Analysis</v>
      </c>
      <c r="W2679" s="1">
        <f>IF(Table1[[#This Row],[Cal Type]]&lt;&gt;"ACCREDITED 17025 WITH UNCERTAINTIES",0,"")</f>
        <v>0</v>
      </c>
      <c r="X2679" s="1" t="str">
        <f>IF(Table1[[#This Row],[DUT Read]]="","N/A",Table1[[#This Row],[Std Error]]+Table1[[#This Row],[DUT Read]]+Table1[[#This Row],[DUT Ucty]])</f>
        <v>N/A</v>
      </c>
      <c r="Y2679" s="1" t="str">
        <f>IF(Table1[[#This Row],[Std Read]]="","N/A",Table1[[#This Row],[Std Read]]+Table1[[#This Row],[Std Ucty]])</f>
        <v>N/A</v>
      </c>
      <c r="Z26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9" s="1" t="str">
        <f>IF(Table1[[#This Row],[Spec Type]]="","N/A",Table1[[#This Row],[Spec Type]])</f>
        <v>±</v>
      </c>
      <c r="AC2679" s="1" t="str">
        <f>IF(Table1[[#This Row],[Spec Type2]]="N/A","N/A",IF(AND(Table1[[#This Row],[DUT Adj Read]]&gt;=Table1[[#This Row],[Low Tol]],Table1[[#This Row],[DUT Adj Read]]&lt;=Table1[[#This Row],[High Tol]]),"Pass","Fail"))</f>
        <v>Fail</v>
      </c>
      <c r="AD2679" s="1" t="str">
        <f>IF(AND(Table1[[#This Row],[Spec Type2]]="N/A",Table1[[#This Row],[DUT Adj Read]]="N/A",Table1[[#This Row],[Std Adj Read]]="N/A"),"N/A",IF(Table1[[#This Row],[DUT Adj Read]]="N/A",IF(Table1[[#This Row],[Std Adj Read]]&gt;Table1[[#This Row],[Low Tol]],"Pass","Fail"),IF(Table1[[#This Row],[DUT Adj Read]]&gt;Table1[[#This Row],[Low Tol]],"Pass","Fail")))</f>
        <v>Pass</v>
      </c>
      <c r="AE2679" s="1" t="str">
        <f>IF(AND(Table1[[#This Row],[Spec Type2]]="N/A",Table1[[#This Row],[DUT Adj Read]]="N/A",Table1[[#This Row],[Std Adj Read]]="N/A"),"N/A",IF(Table1[[#This Row],[DUT Adj Read]]="N/A",IF(Table1[[#This Row],[Std Adj Read]]&lt;Table1[[#This Row],[High Tol]],"Pass","Fail"),IF(Table1[[#This Row],[DUT Adj Read]]&lt;Table1[[#This Row],[High Tol]],"Pass","Fail")))</f>
        <v>Fail</v>
      </c>
      <c r="AF2679" s="1" t="str">
        <f>IF(AND(Table1[[#This Row],[Spec Type2]]="N/A",Table1[[#This Row],[DUT Adj Read]]="N/A",Table1[[#This Row],[Std Adj Read]]="N/A"),"N/A",IF(Table1[[#This Row],[DUT Adj Read]]="N/A",IF(Table1[[#This Row],[Std Adj Read]]&gt;=Table1[[#This Row],[Low Tol]],"Pass","Fail"),IF(Table1[[#This Row],[DUT Adj Read]]&gt;=Table1[[#This Row],[Low Tol]],"Pass","Fail")))</f>
        <v>Pass</v>
      </c>
      <c r="AG2679" s="1" t="str">
        <f>IF(AND(Table1[[#This Row],[Spec Type2]]="N/A",Table1[[#This Row],[DUT Adj Read]]="N/A",Table1[[#This Row],[Std Adj Read]]="N/A"),"N/A",IF(Table1[[#This Row],[DUT Adj Read]]="N/A",IF(Table1[[#This Row],[Std Adj Read]]&lt;=Table1[[#This Row],[High Tol]],"Pass","Fail"),IF(Table1[[#This Row],[DUT Adj Read]]&lt;=Table1[[#This Row],[High Tol]],"Pass","Fail")))</f>
        <v>Fail</v>
      </c>
      <c r="AH26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9" s="1" t="b">
        <v>0</v>
      </c>
      <c r="AN2679" s="1" t="b">
        <v>0</v>
      </c>
      <c r="AO2679" s="1" t="b">
        <v>0</v>
      </c>
    </row>
    <row r="2680" spans="1:41" x14ac:dyDescent="0.25">
      <c r="A2680" s="10"/>
      <c r="B2680" s="10"/>
      <c r="C2680" s="10"/>
      <c r="D2680" s="10"/>
      <c r="E2680" s="10"/>
      <c r="F2680" s="10"/>
      <c r="G2680" s="10"/>
      <c r="H2680" s="10"/>
      <c r="I2680" s="1" t="str">
        <f t="shared" si="123"/>
        <v/>
      </c>
      <c r="J2680" s="1" t="s">
        <v>35</v>
      </c>
      <c r="K2680" s="1" t="str">
        <f t="shared" si="124"/>
        <v/>
      </c>
      <c r="L2680" s="1" t="str">
        <f t="shared" si="125"/>
        <v/>
      </c>
      <c r="M2680" s="1">
        <f>IF(OR(Table1[[#This Row],[Std Nom]]="",Table1[[#This Row],[Std Read]]=""),0,Table1[[#This Row],[Std Nom]]-Table1[[#This Row],[Std Read]])</f>
        <v>0</v>
      </c>
      <c r="N2680" s="1">
        <f>IF(Calculations!$F$5="ACCREDITED 17025 WITH UNCERTAINTIES",$N$10,0)</f>
        <v>0</v>
      </c>
      <c r="O2680" s="1" t="str">
        <f>IFERROR(Table1[[#This Row],[Std Nom]]-(_xlfn.XLOOKUP(Table1[[#This Row],[Manufacturer]]&amp;" "&amp;Table1[[#This Row],[Model]],Table13[MFR &amp; MDL],Table13[Tolerance % CW ],"")/100*Table1[[#This Row],[Std Nom]]),"")</f>
        <v/>
      </c>
      <c r="P2680" s="1" t="str">
        <f>IFERROR(Table1[[#This Row],[Std Nom]]+(_xlfn.XLOOKUP(Table1[[#This Row],[Manufacturer]]&amp;" "&amp;Table1[[#This Row],[Model]],Table13[MFR &amp; MDL],Table13[Tolerance % CW ],"")/100*Table1[[#This Row],[Std Nom]]),"")</f>
        <v/>
      </c>
      <c r="Q2680" s="1" t="e">
        <f>Table1[[#This Row],[High Tol]]-Table1[[#This Row],[Low Tol]]</f>
        <v>#VALUE!</v>
      </c>
      <c r="R2680" s="1">
        <f>2*Table1[[#This Row],[Std Error]]</f>
        <v>0</v>
      </c>
      <c r="S2680" s="1" t="str">
        <f>IF(Table1[[#This Row],[High Tol]]="","N/A",IFERROR(ABS(Table1[[#This Row],[Tol Span]]/Table1[[#This Row],[Error Span]]),"N/A"))</f>
        <v>N/A</v>
      </c>
      <c r="T2680" s="1" t="str">
        <f>IF(OR(Table1[[#This Row],[Low Tol]]="",Table1[[#This Row],[High Tol]]=""),"Needs Analysis",IF(Table1[[#This Row],[Ratio]]&gt;=4,"Not Significant",IF(Table1[[#This Row],[Ratio]]&gt;=2,"Semi-Significant","Significant")))</f>
        <v>Needs Analysis</v>
      </c>
      <c r="W2680" s="1">
        <f>IF(Table1[[#This Row],[Cal Type]]&lt;&gt;"ACCREDITED 17025 WITH UNCERTAINTIES",0,"")</f>
        <v>0</v>
      </c>
      <c r="X2680" s="1" t="str">
        <f>IF(Table1[[#This Row],[DUT Read]]="","N/A",Table1[[#This Row],[Std Error]]+Table1[[#This Row],[DUT Read]]+Table1[[#This Row],[DUT Ucty]])</f>
        <v>N/A</v>
      </c>
      <c r="Y2680" s="1" t="str">
        <f>IF(Table1[[#This Row],[Std Read]]="","N/A",Table1[[#This Row],[Std Read]]+Table1[[#This Row],[Std Ucty]])</f>
        <v>N/A</v>
      </c>
      <c r="Z26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0" s="1" t="str">
        <f>IF(Table1[[#This Row],[Spec Type]]="","N/A",Table1[[#This Row],[Spec Type]])</f>
        <v>±</v>
      </c>
      <c r="AC2680" s="1" t="str">
        <f>IF(Table1[[#This Row],[Spec Type2]]="N/A","N/A",IF(AND(Table1[[#This Row],[DUT Adj Read]]&gt;=Table1[[#This Row],[Low Tol]],Table1[[#This Row],[DUT Adj Read]]&lt;=Table1[[#This Row],[High Tol]]),"Pass","Fail"))</f>
        <v>Fail</v>
      </c>
      <c r="AD2680" s="1" t="str">
        <f>IF(AND(Table1[[#This Row],[Spec Type2]]="N/A",Table1[[#This Row],[DUT Adj Read]]="N/A",Table1[[#This Row],[Std Adj Read]]="N/A"),"N/A",IF(Table1[[#This Row],[DUT Adj Read]]="N/A",IF(Table1[[#This Row],[Std Adj Read]]&gt;Table1[[#This Row],[Low Tol]],"Pass","Fail"),IF(Table1[[#This Row],[DUT Adj Read]]&gt;Table1[[#This Row],[Low Tol]],"Pass","Fail")))</f>
        <v>Pass</v>
      </c>
      <c r="AE2680" s="1" t="str">
        <f>IF(AND(Table1[[#This Row],[Spec Type2]]="N/A",Table1[[#This Row],[DUT Adj Read]]="N/A",Table1[[#This Row],[Std Adj Read]]="N/A"),"N/A",IF(Table1[[#This Row],[DUT Adj Read]]="N/A",IF(Table1[[#This Row],[Std Adj Read]]&lt;Table1[[#This Row],[High Tol]],"Pass","Fail"),IF(Table1[[#This Row],[DUT Adj Read]]&lt;Table1[[#This Row],[High Tol]],"Pass","Fail")))</f>
        <v>Fail</v>
      </c>
      <c r="AF2680" s="1" t="str">
        <f>IF(AND(Table1[[#This Row],[Spec Type2]]="N/A",Table1[[#This Row],[DUT Adj Read]]="N/A",Table1[[#This Row],[Std Adj Read]]="N/A"),"N/A",IF(Table1[[#This Row],[DUT Adj Read]]="N/A",IF(Table1[[#This Row],[Std Adj Read]]&gt;=Table1[[#This Row],[Low Tol]],"Pass","Fail"),IF(Table1[[#This Row],[DUT Adj Read]]&gt;=Table1[[#This Row],[Low Tol]],"Pass","Fail")))</f>
        <v>Pass</v>
      </c>
      <c r="AG2680" s="1" t="str">
        <f>IF(AND(Table1[[#This Row],[Spec Type2]]="N/A",Table1[[#This Row],[DUT Adj Read]]="N/A",Table1[[#This Row],[Std Adj Read]]="N/A"),"N/A",IF(Table1[[#This Row],[DUT Adj Read]]="N/A",IF(Table1[[#This Row],[Std Adj Read]]&lt;=Table1[[#This Row],[High Tol]],"Pass","Fail"),IF(Table1[[#This Row],[DUT Adj Read]]&lt;=Table1[[#This Row],[High Tol]],"Pass","Fail")))</f>
        <v>Fail</v>
      </c>
      <c r="AH26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0" s="1" t="b">
        <v>0</v>
      </c>
      <c r="AN2680" s="1" t="b">
        <v>0</v>
      </c>
      <c r="AO2680" s="1" t="b">
        <v>0</v>
      </c>
    </row>
    <row r="2681" spans="1:41" x14ac:dyDescent="0.25">
      <c r="A2681" s="10"/>
      <c r="B2681" s="10"/>
      <c r="C2681" s="10"/>
      <c r="D2681" s="10"/>
      <c r="E2681" s="10"/>
      <c r="F2681" s="10"/>
      <c r="G2681" s="10"/>
      <c r="H2681" s="10"/>
      <c r="I2681" s="1" t="str">
        <f t="shared" si="123"/>
        <v/>
      </c>
      <c r="J2681" s="1" t="s">
        <v>35</v>
      </c>
      <c r="K2681" s="1" t="str">
        <f t="shared" si="124"/>
        <v/>
      </c>
      <c r="L2681" s="1" t="str">
        <f t="shared" si="125"/>
        <v/>
      </c>
      <c r="M2681" s="1">
        <f>IF(OR(Table1[[#This Row],[Std Nom]]="",Table1[[#This Row],[Std Read]]=""),0,Table1[[#This Row],[Std Nom]]-Table1[[#This Row],[Std Read]])</f>
        <v>0</v>
      </c>
      <c r="N2681" s="1">
        <f>IF(Calculations!$F$5="ACCREDITED 17025 WITH UNCERTAINTIES",$N$10,0)</f>
        <v>0</v>
      </c>
      <c r="O2681" s="1" t="str">
        <f>IFERROR(Table1[[#This Row],[Std Nom]]-(_xlfn.XLOOKUP(Table1[[#This Row],[Manufacturer]]&amp;" "&amp;Table1[[#This Row],[Model]],Table13[MFR &amp; MDL],Table13[Tolerance % CW ],"")/100*Table1[[#This Row],[Std Nom]]),"")</f>
        <v/>
      </c>
      <c r="P2681" s="1" t="str">
        <f>IFERROR(Table1[[#This Row],[Std Nom]]+(_xlfn.XLOOKUP(Table1[[#This Row],[Manufacturer]]&amp;" "&amp;Table1[[#This Row],[Model]],Table13[MFR &amp; MDL],Table13[Tolerance % CW ],"")/100*Table1[[#This Row],[Std Nom]]),"")</f>
        <v/>
      </c>
      <c r="Q2681" s="1" t="e">
        <f>Table1[[#This Row],[High Tol]]-Table1[[#This Row],[Low Tol]]</f>
        <v>#VALUE!</v>
      </c>
      <c r="R2681" s="1">
        <f>2*Table1[[#This Row],[Std Error]]</f>
        <v>0</v>
      </c>
      <c r="S2681" s="1" t="str">
        <f>IF(Table1[[#This Row],[High Tol]]="","N/A",IFERROR(ABS(Table1[[#This Row],[Tol Span]]/Table1[[#This Row],[Error Span]]),"N/A"))</f>
        <v>N/A</v>
      </c>
      <c r="T2681" s="1" t="str">
        <f>IF(OR(Table1[[#This Row],[Low Tol]]="",Table1[[#This Row],[High Tol]]=""),"Needs Analysis",IF(Table1[[#This Row],[Ratio]]&gt;=4,"Not Significant",IF(Table1[[#This Row],[Ratio]]&gt;=2,"Semi-Significant","Significant")))</f>
        <v>Needs Analysis</v>
      </c>
      <c r="W2681" s="1">
        <f>IF(Table1[[#This Row],[Cal Type]]&lt;&gt;"ACCREDITED 17025 WITH UNCERTAINTIES",0,"")</f>
        <v>0</v>
      </c>
      <c r="X2681" s="1" t="str">
        <f>IF(Table1[[#This Row],[DUT Read]]="","N/A",Table1[[#This Row],[Std Error]]+Table1[[#This Row],[DUT Read]]+Table1[[#This Row],[DUT Ucty]])</f>
        <v>N/A</v>
      </c>
      <c r="Y2681" s="1" t="str">
        <f>IF(Table1[[#This Row],[Std Read]]="","N/A",Table1[[#This Row],[Std Read]]+Table1[[#This Row],[Std Ucty]])</f>
        <v>N/A</v>
      </c>
      <c r="Z26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1" s="1" t="str">
        <f>IF(Table1[[#This Row],[Spec Type]]="","N/A",Table1[[#This Row],[Spec Type]])</f>
        <v>±</v>
      </c>
      <c r="AC2681" s="1" t="str">
        <f>IF(Table1[[#This Row],[Spec Type2]]="N/A","N/A",IF(AND(Table1[[#This Row],[DUT Adj Read]]&gt;=Table1[[#This Row],[Low Tol]],Table1[[#This Row],[DUT Adj Read]]&lt;=Table1[[#This Row],[High Tol]]),"Pass","Fail"))</f>
        <v>Fail</v>
      </c>
      <c r="AD2681" s="1" t="str">
        <f>IF(AND(Table1[[#This Row],[Spec Type2]]="N/A",Table1[[#This Row],[DUT Adj Read]]="N/A",Table1[[#This Row],[Std Adj Read]]="N/A"),"N/A",IF(Table1[[#This Row],[DUT Adj Read]]="N/A",IF(Table1[[#This Row],[Std Adj Read]]&gt;Table1[[#This Row],[Low Tol]],"Pass","Fail"),IF(Table1[[#This Row],[DUT Adj Read]]&gt;Table1[[#This Row],[Low Tol]],"Pass","Fail")))</f>
        <v>Pass</v>
      </c>
      <c r="AE2681" s="1" t="str">
        <f>IF(AND(Table1[[#This Row],[Spec Type2]]="N/A",Table1[[#This Row],[DUT Adj Read]]="N/A",Table1[[#This Row],[Std Adj Read]]="N/A"),"N/A",IF(Table1[[#This Row],[DUT Adj Read]]="N/A",IF(Table1[[#This Row],[Std Adj Read]]&lt;Table1[[#This Row],[High Tol]],"Pass","Fail"),IF(Table1[[#This Row],[DUT Adj Read]]&lt;Table1[[#This Row],[High Tol]],"Pass","Fail")))</f>
        <v>Fail</v>
      </c>
      <c r="AF2681" s="1" t="str">
        <f>IF(AND(Table1[[#This Row],[Spec Type2]]="N/A",Table1[[#This Row],[DUT Adj Read]]="N/A",Table1[[#This Row],[Std Adj Read]]="N/A"),"N/A",IF(Table1[[#This Row],[DUT Adj Read]]="N/A",IF(Table1[[#This Row],[Std Adj Read]]&gt;=Table1[[#This Row],[Low Tol]],"Pass","Fail"),IF(Table1[[#This Row],[DUT Adj Read]]&gt;=Table1[[#This Row],[Low Tol]],"Pass","Fail")))</f>
        <v>Pass</v>
      </c>
      <c r="AG2681" s="1" t="str">
        <f>IF(AND(Table1[[#This Row],[Spec Type2]]="N/A",Table1[[#This Row],[DUT Adj Read]]="N/A",Table1[[#This Row],[Std Adj Read]]="N/A"),"N/A",IF(Table1[[#This Row],[DUT Adj Read]]="N/A",IF(Table1[[#This Row],[Std Adj Read]]&lt;=Table1[[#This Row],[High Tol]],"Pass","Fail"),IF(Table1[[#This Row],[DUT Adj Read]]&lt;=Table1[[#This Row],[High Tol]],"Pass","Fail")))</f>
        <v>Fail</v>
      </c>
      <c r="AH26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1" s="1" t="b">
        <v>0</v>
      </c>
      <c r="AN2681" s="1" t="b">
        <v>0</v>
      </c>
      <c r="AO2681" s="1" t="b">
        <v>0</v>
      </c>
    </row>
    <row r="2682" spans="1:41" x14ac:dyDescent="0.25">
      <c r="A2682" s="10"/>
      <c r="B2682" s="10"/>
      <c r="C2682" s="10"/>
      <c r="D2682" s="10"/>
      <c r="E2682" s="10"/>
      <c r="F2682" s="10"/>
      <c r="G2682" s="10"/>
      <c r="H2682" s="10"/>
      <c r="I2682" s="1" t="str">
        <f t="shared" si="123"/>
        <v/>
      </c>
      <c r="J2682" s="1" t="s">
        <v>35</v>
      </c>
      <c r="K2682" s="1" t="str">
        <f t="shared" si="124"/>
        <v/>
      </c>
      <c r="L2682" s="1" t="str">
        <f t="shared" si="125"/>
        <v/>
      </c>
      <c r="M2682" s="1">
        <f>IF(OR(Table1[[#This Row],[Std Nom]]="",Table1[[#This Row],[Std Read]]=""),0,Table1[[#This Row],[Std Nom]]-Table1[[#This Row],[Std Read]])</f>
        <v>0</v>
      </c>
      <c r="N2682" s="1">
        <f>IF(Calculations!$F$5="ACCREDITED 17025 WITH UNCERTAINTIES",$N$10,0)</f>
        <v>0</v>
      </c>
      <c r="O2682" s="1" t="str">
        <f>IFERROR(Table1[[#This Row],[Std Nom]]-(_xlfn.XLOOKUP(Table1[[#This Row],[Manufacturer]]&amp;" "&amp;Table1[[#This Row],[Model]],Table13[MFR &amp; MDL],Table13[Tolerance % CW ],"")/100*Table1[[#This Row],[Std Nom]]),"")</f>
        <v/>
      </c>
      <c r="P2682" s="1" t="str">
        <f>IFERROR(Table1[[#This Row],[Std Nom]]+(_xlfn.XLOOKUP(Table1[[#This Row],[Manufacturer]]&amp;" "&amp;Table1[[#This Row],[Model]],Table13[MFR &amp; MDL],Table13[Tolerance % CW ],"")/100*Table1[[#This Row],[Std Nom]]),"")</f>
        <v/>
      </c>
      <c r="Q2682" s="1" t="e">
        <f>Table1[[#This Row],[High Tol]]-Table1[[#This Row],[Low Tol]]</f>
        <v>#VALUE!</v>
      </c>
      <c r="R2682" s="1">
        <f>2*Table1[[#This Row],[Std Error]]</f>
        <v>0</v>
      </c>
      <c r="S2682" s="1" t="str">
        <f>IF(Table1[[#This Row],[High Tol]]="","N/A",IFERROR(ABS(Table1[[#This Row],[Tol Span]]/Table1[[#This Row],[Error Span]]),"N/A"))</f>
        <v>N/A</v>
      </c>
      <c r="T2682" s="1" t="str">
        <f>IF(OR(Table1[[#This Row],[Low Tol]]="",Table1[[#This Row],[High Tol]]=""),"Needs Analysis",IF(Table1[[#This Row],[Ratio]]&gt;=4,"Not Significant",IF(Table1[[#This Row],[Ratio]]&gt;=2,"Semi-Significant","Significant")))</f>
        <v>Needs Analysis</v>
      </c>
      <c r="W2682" s="1">
        <f>IF(Table1[[#This Row],[Cal Type]]&lt;&gt;"ACCREDITED 17025 WITH UNCERTAINTIES",0,"")</f>
        <v>0</v>
      </c>
      <c r="X2682" s="1" t="str">
        <f>IF(Table1[[#This Row],[DUT Read]]="","N/A",Table1[[#This Row],[Std Error]]+Table1[[#This Row],[DUT Read]]+Table1[[#This Row],[DUT Ucty]])</f>
        <v>N/A</v>
      </c>
      <c r="Y2682" s="1" t="str">
        <f>IF(Table1[[#This Row],[Std Read]]="","N/A",Table1[[#This Row],[Std Read]]+Table1[[#This Row],[Std Ucty]])</f>
        <v>N/A</v>
      </c>
      <c r="Z26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2" s="1" t="str">
        <f>IF(Table1[[#This Row],[Spec Type]]="","N/A",Table1[[#This Row],[Spec Type]])</f>
        <v>±</v>
      </c>
      <c r="AC2682" s="1" t="str">
        <f>IF(Table1[[#This Row],[Spec Type2]]="N/A","N/A",IF(AND(Table1[[#This Row],[DUT Adj Read]]&gt;=Table1[[#This Row],[Low Tol]],Table1[[#This Row],[DUT Adj Read]]&lt;=Table1[[#This Row],[High Tol]]),"Pass","Fail"))</f>
        <v>Fail</v>
      </c>
      <c r="AD2682" s="1" t="str">
        <f>IF(AND(Table1[[#This Row],[Spec Type2]]="N/A",Table1[[#This Row],[DUT Adj Read]]="N/A",Table1[[#This Row],[Std Adj Read]]="N/A"),"N/A",IF(Table1[[#This Row],[DUT Adj Read]]="N/A",IF(Table1[[#This Row],[Std Adj Read]]&gt;Table1[[#This Row],[Low Tol]],"Pass","Fail"),IF(Table1[[#This Row],[DUT Adj Read]]&gt;Table1[[#This Row],[Low Tol]],"Pass","Fail")))</f>
        <v>Pass</v>
      </c>
      <c r="AE2682" s="1" t="str">
        <f>IF(AND(Table1[[#This Row],[Spec Type2]]="N/A",Table1[[#This Row],[DUT Adj Read]]="N/A",Table1[[#This Row],[Std Adj Read]]="N/A"),"N/A",IF(Table1[[#This Row],[DUT Adj Read]]="N/A",IF(Table1[[#This Row],[Std Adj Read]]&lt;Table1[[#This Row],[High Tol]],"Pass","Fail"),IF(Table1[[#This Row],[DUT Adj Read]]&lt;Table1[[#This Row],[High Tol]],"Pass","Fail")))</f>
        <v>Fail</v>
      </c>
      <c r="AF2682" s="1" t="str">
        <f>IF(AND(Table1[[#This Row],[Spec Type2]]="N/A",Table1[[#This Row],[DUT Adj Read]]="N/A",Table1[[#This Row],[Std Adj Read]]="N/A"),"N/A",IF(Table1[[#This Row],[DUT Adj Read]]="N/A",IF(Table1[[#This Row],[Std Adj Read]]&gt;=Table1[[#This Row],[Low Tol]],"Pass","Fail"),IF(Table1[[#This Row],[DUT Adj Read]]&gt;=Table1[[#This Row],[Low Tol]],"Pass","Fail")))</f>
        <v>Pass</v>
      </c>
      <c r="AG2682" s="1" t="str">
        <f>IF(AND(Table1[[#This Row],[Spec Type2]]="N/A",Table1[[#This Row],[DUT Adj Read]]="N/A",Table1[[#This Row],[Std Adj Read]]="N/A"),"N/A",IF(Table1[[#This Row],[DUT Adj Read]]="N/A",IF(Table1[[#This Row],[Std Adj Read]]&lt;=Table1[[#This Row],[High Tol]],"Pass","Fail"),IF(Table1[[#This Row],[DUT Adj Read]]&lt;=Table1[[#This Row],[High Tol]],"Pass","Fail")))</f>
        <v>Fail</v>
      </c>
      <c r="AH26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2" s="1" t="b">
        <v>0</v>
      </c>
      <c r="AN2682" s="1" t="b">
        <v>0</v>
      </c>
      <c r="AO2682" s="1" t="b">
        <v>0</v>
      </c>
    </row>
    <row r="2683" spans="1:41" x14ac:dyDescent="0.25">
      <c r="A2683" s="10"/>
      <c r="B2683" s="10"/>
      <c r="C2683" s="10"/>
      <c r="D2683" s="10"/>
      <c r="E2683" s="10"/>
      <c r="F2683" s="10"/>
      <c r="G2683" s="10"/>
      <c r="H2683" s="10"/>
      <c r="I2683" s="1" t="str">
        <f t="shared" si="123"/>
        <v/>
      </c>
      <c r="J2683" s="1" t="s">
        <v>35</v>
      </c>
      <c r="K2683" s="1" t="str">
        <f t="shared" si="124"/>
        <v/>
      </c>
      <c r="L2683" s="1" t="str">
        <f t="shared" si="125"/>
        <v/>
      </c>
      <c r="M2683" s="1">
        <f>IF(OR(Table1[[#This Row],[Std Nom]]="",Table1[[#This Row],[Std Read]]=""),0,Table1[[#This Row],[Std Nom]]-Table1[[#This Row],[Std Read]])</f>
        <v>0</v>
      </c>
      <c r="N2683" s="1">
        <f>IF(Calculations!$F$5="ACCREDITED 17025 WITH UNCERTAINTIES",$N$10,0)</f>
        <v>0</v>
      </c>
      <c r="O2683" s="1" t="str">
        <f>IFERROR(Table1[[#This Row],[Std Nom]]-(_xlfn.XLOOKUP(Table1[[#This Row],[Manufacturer]]&amp;" "&amp;Table1[[#This Row],[Model]],Table13[MFR &amp; MDL],Table13[Tolerance % CW ],"")/100*Table1[[#This Row],[Std Nom]]),"")</f>
        <v/>
      </c>
      <c r="P2683" s="1" t="str">
        <f>IFERROR(Table1[[#This Row],[Std Nom]]+(_xlfn.XLOOKUP(Table1[[#This Row],[Manufacturer]]&amp;" "&amp;Table1[[#This Row],[Model]],Table13[MFR &amp; MDL],Table13[Tolerance % CW ],"")/100*Table1[[#This Row],[Std Nom]]),"")</f>
        <v/>
      </c>
      <c r="Q2683" s="1" t="e">
        <f>Table1[[#This Row],[High Tol]]-Table1[[#This Row],[Low Tol]]</f>
        <v>#VALUE!</v>
      </c>
      <c r="R2683" s="1">
        <f>2*Table1[[#This Row],[Std Error]]</f>
        <v>0</v>
      </c>
      <c r="S2683" s="1" t="str">
        <f>IF(Table1[[#This Row],[High Tol]]="","N/A",IFERROR(ABS(Table1[[#This Row],[Tol Span]]/Table1[[#This Row],[Error Span]]),"N/A"))</f>
        <v>N/A</v>
      </c>
      <c r="T2683" s="1" t="str">
        <f>IF(OR(Table1[[#This Row],[Low Tol]]="",Table1[[#This Row],[High Tol]]=""),"Needs Analysis",IF(Table1[[#This Row],[Ratio]]&gt;=4,"Not Significant",IF(Table1[[#This Row],[Ratio]]&gt;=2,"Semi-Significant","Significant")))</f>
        <v>Needs Analysis</v>
      </c>
      <c r="W2683" s="1">
        <f>IF(Table1[[#This Row],[Cal Type]]&lt;&gt;"ACCREDITED 17025 WITH UNCERTAINTIES",0,"")</f>
        <v>0</v>
      </c>
      <c r="X2683" s="1" t="str">
        <f>IF(Table1[[#This Row],[DUT Read]]="","N/A",Table1[[#This Row],[Std Error]]+Table1[[#This Row],[DUT Read]]+Table1[[#This Row],[DUT Ucty]])</f>
        <v>N/A</v>
      </c>
      <c r="Y2683" s="1" t="str">
        <f>IF(Table1[[#This Row],[Std Read]]="","N/A",Table1[[#This Row],[Std Read]]+Table1[[#This Row],[Std Ucty]])</f>
        <v>N/A</v>
      </c>
      <c r="Z26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3" s="1" t="str">
        <f>IF(Table1[[#This Row],[Spec Type]]="","N/A",Table1[[#This Row],[Spec Type]])</f>
        <v>±</v>
      </c>
      <c r="AC2683" s="1" t="str">
        <f>IF(Table1[[#This Row],[Spec Type2]]="N/A","N/A",IF(AND(Table1[[#This Row],[DUT Adj Read]]&gt;=Table1[[#This Row],[Low Tol]],Table1[[#This Row],[DUT Adj Read]]&lt;=Table1[[#This Row],[High Tol]]),"Pass","Fail"))</f>
        <v>Fail</v>
      </c>
      <c r="AD2683" s="1" t="str">
        <f>IF(AND(Table1[[#This Row],[Spec Type2]]="N/A",Table1[[#This Row],[DUT Adj Read]]="N/A",Table1[[#This Row],[Std Adj Read]]="N/A"),"N/A",IF(Table1[[#This Row],[DUT Adj Read]]="N/A",IF(Table1[[#This Row],[Std Adj Read]]&gt;Table1[[#This Row],[Low Tol]],"Pass","Fail"),IF(Table1[[#This Row],[DUT Adj Read]]&gt;Table1[[#This Row],[Low Tol]],"Pass","Fail")))</f>
        <v>Pass</v>
      </c>
      <c r="AE2683" s="1" t="str">
        <f>IF(AND(Table1[[#This Row],[Spec Type2]]="N/A",Table1[[#This Row],[DUT Adj Read]]="N/A",Table1[[#This Row],[Std Adj Read]]="N/A"),"N/A",IF(Table1[[#This Row],[DUT Adj Read]]="N/A",IF(Table1[[#This Row],[Std Adj Read]]&lt;Table1[[#This Row],[High Tol]],"Pass","Fail"),IF(Table1[[#This Row],[DUT Adj Read]]&lt;Table1[[#This Row],[High Tol]],"Pass","Fail")))</f>
        <v>Fail</v>
      </c>
      <c r="AF2683" s="1" t="str">
        <f>IF(AND(Table1[[#This Row],[Spec Type2]]="N/A",Table1[[#This Row],[DUT Adj Read]]="N/A",Table1[[#This Row],[Std Adj Read]]="N/A"),"N/A",IF(Table1[[#This Row],[DUT Adj Read]]="N/A",IF(Table1[[#This Row],[Std Adj Read]]&gt;=Table1[[#This Row],[Low Tol]],"Pass","Fail"),IF(Table1[[#This Row],[DUT Adj Read]]&gt;=Table1[[#This Row],[Low Tol]],"Pass","Fail")))</f>
        <v>Pass</v>
      </c>
      <c r="AG2683" s="1" t="str">
        <f>IF(AND(Table1[[#This Row],[Spec Type2]]="N/A",Table1[[#This Row],[DUT Adj Read]]="N/A",Table1[[#This Row],[Std Adj Read]]="N/A"),"N/A",IF(Table1[[#This Row],[DUT Adj Read]]="N/A",IF(Table1[[#This Row],[Std Adj Read]]&lt;=Table1[[#This Row],[High Tol]],"Pass","Fail"),IF(Table1[[#This Row],[DUT Adj Read]]&lt;=Table1[[#This Row],[High Tol]],"Pass","Fail")))</f>
        <v>Fail</v>
      </c>
      <c r="AH26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3" s="1" t="b">
        <v>0</v>
      </c>
      <c r="AN2683" s="1" t="b">
        <v>0</v>
      </c>
      <c r="AO2683" s="1" t="b">
        <v>0</v>
      </c>
    </row>
    <row r="2684" spans="1:41" x14ac:dyDescent="0.25">
      <c r="A2684" s="10"/>
      <c r="B2684" s="10"/>
      <c r="C2684" s="10"/>
      <c r="D2684" s="10"/>
      <c r="E2684" s="10"/>
      <c r="F2684" s="10"/>
      <c r="G2684" s="10"/>
      <c r="H2684" s="10"/>
      <c r="I2684" s="1" t="str">
        <f t="shared" si="123"/>
        <v/>
      </c>
      <c r="J2684" s="1" t="s">
        <v>35</v>
      </c>
      <c r="K2684" s="1" t="str">
        <f t="shared" si="124"/>
        <v/>
      </c>
      <c r="L2684" s="1" t="str">
        <f t="shared" si="125"/>
        <v/>
      </c>
      <c r="M2684" s="1">
        <f>IF(OR(Table1[[#This Row],[Std Nom]]="",Table1[[#This Row],[Std Read]]=""),0,Table1[[#This Row],[Std Nom]]-Table1[[#This Row],[Std Read]])</f>
        <v>0</v>
      </c>
      <c r="N2684" s="1">
        <f>IF(Calculations!$F$5="ACCREDITED 17025 WITH UNCERTAINTIES",$N$10,0)</f>
        <v>0</v>
      </c>
      <c r="O2684" s="1" t="str">
        <f>IFERROR(Table1[[#This Row],[Std Nom]]-(_xlfn.XLOOKUP(Table1[[#This Row],[Manufacturer]]&amp;" "&amp;Table1[[#This Row],[Model]],Table13[MFR &amp; MDL],Table13[Tolerance % CW ],"")/100*Table1[[#This Row],[Std Nom]]),"")</f>
        <v/>
      </c>
      <c r="P2684" s="1" t="str">
        <f>IFERROR(Table1[[#This Row],[Std Nom]]+(_xlfn.XLOOKUP(Table1[[#This Row],[Manufacturer]]&amp;" "&amp;Table1[[#This Row],[Model]],Table13[MFR &amp; MDL],Table13[Tolerance % CW ],"")/100*Table1[[#This Row],[Std Nom]]),"")</f>
        <v/>
      </c>
      <c r="Q2684" s="1" t="e">
        <f>Table1[[#This Row],[High Tol]]-Table1[[#This Row],[Low Tol]]</f>
        <v>#VALUE!</v>
      </c>
      <c r="R2684" s="1">
        <f>2*Table1[[#This Row],[Std Error]]</f>
        <v>0</v>
      </c>
      <c r="S2684" s="1" t="str">
        <f>IF(Table1[[#This Row],[High Tol]]="","N/A",IFERROR(ABS(Table1[[#This Row],[Tol Span]]/Table1[[#This Row],[Error Span]]),"N/A"))</f>
        <v>N/A</v>
      </c>
      <c r="T2684" s="1" t="str">
        <f>IF(OR(Table1[[#This Row],[Low Tol]]="",Table1[[#This Row],[High Tol]]=""),"Needs Analysis",IF(Table1[[#This Row],[Ratio]]&gt;=4,"Not Significant",IF(Table1[[#This Row],[Ratio]]&gt;=2,"Semi-Significant","Significant")))</f>
        <v>Needs Analysis</v>
      </c>
      <c r="W2684" s="1">
        <f>IF(Table1[[#This Row],[Cal Type]]&lt;&gt;"ACCREDITED 17025 WITH UNCERTAINTIES",0,"")</f>
        <v>0</v>
      </c>
      <c r="X2684" s="1" t="str">
        <f>IF(Table1[[#This Row],[DUT Read]]="","N/A",Table1[[#This Row],[Std Error]]+Table1[[#This Row],[DUT Read]]+Table1[[#This Row],[DUT Ucty]])</f>
        <v>N/A</v>
      </c>
      <c r="Y2684" s="1" t="str">
        <f>IF(Table1[[#This Row],[Std Read]]="","N/A",Table1[[#This Row],[Std Read]]+Table1[[#This Row],[Std Ucty]])</f>
        <v>N/A</v>
      </c>
      <c r="Z26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4" s="1" t="str">
        <f>IF(Table1[[#This Row],[Spec Type]]="","N/A",Table1[[#This Row],[Spec Type]])</f>
        <v>±</v>
      </c>
      <c r="AC2684" s="1" t="str">
        <f>IF(Table1[[#This Row],[Spec Type2]]="N/A","N/A",IF(AND(Table1[[#This Row],[DUT Adj Read]]&gt;=Table1[[#This Row],[Low Tol]],Table1[[#This Row],[DUT Adj Read]]&lt;=Table1[[#This Row],[High Tol]]),"Pass","Fail"))</f>
        <v>Fail</v>
      </c>
      <c r="AD2684" s="1" t="str">
        <f>IF(AND(Table1[[#This Row],[Spec Type2]]="N/A",Table1[[#This Row],[DUT Adj Read]]="N/A",Table1[[#This Row],[Std Adj Read]]="N/A"),"N/A",IF(Table1[[#This Row],[DUT Adj Read]]="N/A",IF(Table1[[#This Row],[Std Adj Read]]&gt;Table1[[#This Row],[Low Tol]],"Pass","Fail"),IF(Table1[[#This Row],[DUT Adj Read]]&gt;Table1[[#This Row],[Low Tol]],"Pass","Fail")))</f>
        <v>Pass</v>
      </c>
      <c r="AE2684" s="1" t="str">
        <f>IF(AND(Table1[[#This Row],[Spec Type2]]="N/A",Table1[[#This Row],[DUT Adj Read]]="N/A",Table1[[#This Row],[Std Adj Read]]="N/A"),"N/A",IF(Table1[[#This Row],[DUT Adj Read]]="N/A",IF(Table1[[#This Row],[Std Adj Read]]&lt;Table1[[#This Row],[High Tol]],"Pass","Fail"),IF(Table1[[#This Row],[DUT Adj Read]]&lt;Table1[[#This Row],[High Tol]],"Pass","Fail")))</f>
        <v>Fail</v>
      </c>
      <c r="AF2684" s="1" t="str">
        <f>IF(AND(Table1[[#This Row],[Spec Type2]]="N/A",Table1[[#This Row],[DUT Adj Read]]="N/A",Table1[[#This Row],[Std Adj Read]]="N/A"),"N/A",IF(Table1[[#This Row],[DUT Adj Read]]="N/A",IF(Table1[[#This Row],[Std Adj Read]]&gt;=Table1[[#This Row],[Low Tol]],"Pass","Fail"),IF(Table1[[#This Row],[DUT Adj Read]]&gt;=Table1[[#This Row],[Low Tol]],"Pass","Fail")))</f>
        <v>Pass</v>
      </c>
      <c r="AG2684" s="1" t="str">
        <f>IF(AND(Table1[[#This Row],[Spec Type2]]="N/A",Table1[[#This Row],[DUT Adj Read]]="N/A",Table1[[#This Row],[Std Adj Read]]="N/A"),"N/A",IF(Table1[[#This Row],[DUT Adj Read]]="N/A",IF(Table1[[#This Row],[Std Adj Read]]&lt;=Table1[[#This Row],[High Tol]],"Pass","Fail"),IF(Table1[[#This Row],[DUT Adj Read]]&lt;=Table1[[#This Row],[High Tol]],"Pass","Fail")))</f>
        <v>Fail</v>
      </c>
      <c r="AH26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4" s="1" t="b">
        <v>0</v>
      </c>
      <c r="AN2684" s="1" t="b">
        <v>0</v>
      </c>
      <c r="AO2684" s="1" t="b">
        <v>0</v>
      </c>
    </row>
    <row r="2685" spans="1:41" x14ac:dyDescent="0.25">
      <c r="A2685" s="10"/>
      <c r="B2685" s="10"/>
      <c r="C2685" s="10"/>
      <c r="D2685" s="10"/>
      <c r="E2685" s="10"/>
      <c r="F2685" s="10"/>
      <c r="G2685" s="10"/>
      <c r="H2685" s="10"/>
      <c r="I2685" s="1" t="str">
        <f t="shared" si="123"/>
        <v/>
      </c>
      <c r="J2685" s="1" t="s">
        <v>35</v>
      </c>
      <c r="K2685" s="1" t="str">
        <f t="shared" si="124"/>
        <v/>
      </c>
      <c r="L2685" s="1" t="str">
        <f t="shared" si="125"/>
        <v/>
      </c>
      <c r="M2685" s="1">
        <f>IF(OR(Table1[[#This Row],[Std Nom]]="",Table1[[#This Row],[Std Read]]=""),0,Table1[[#This Row],[Std Nom]]-Table1[[#This Row],[Std Read]])</f>
        <v>0</v>
      </c>
      <c r="N2685" s="1">
        <f>IF(Calculations!$F$5="ACCREDITED 17025 WITH UNCERTAINTIES",$N$10,0)</f>
        <v>0</v>
      </c>
      <c r="O2685" s="1" t="str">
        <f>IFERROR(Table1[[#This Row],[Std Nom]]-(_xlfn.XLOOKUP(Table1[[#This Row],[Manufacturer]]&amp;" "&amp;Table1[[#This Row],[Model]],Table13[MFR &amp; MDL],Table13[Tolerance % CW ],"")/100*Table1[[#This Row],[Std Nom]]),"")</f>
        <v/>
      </c>
      <c r="P2685" s="1" t="str">
        <f>IFERROR(Table1[[#This Row],[Std Nom]]+(_xlfn.XLOOKUP(Table1[[#This Row],[Manufacturer]]&amp;" "&amp;Table1[[#This Row],[Model]],Table13[MFR &amp; MDL],Table13[Tolerance % CW ],"")/100*Table1[[#This Row],[Std Nom]]),"")</f>
        <v/>
      </c>
      <c r="Q2685" s="1" t="e">
        <f>Table1[[#This Row],[High Tol]]-Table1[[#This Row],[Low Tol]]</f>
        <v>#VALUE!</v>
      </c>
      <c r="R2685" s="1">
        <f>2*Table1[[#This Row],[Std Error]]</f>
        <v>0</v>
      </c>
      <c r="S2685" s="1" t="str">
        <f>IF(Table1[[#This Row],[High Tol]]="","N/A",IFERROR(ABS(Table1[[#This Row],[Tol Span]]/Table1[[#This Row],[Error Span]]),"N/A"))</f>
        <v>N/A</v>
      </c>
      <c r="T2685" s="1" t="str">
        <f>IF(OR(Table1[[#This Row],[Low Tol]]="",Table1[[#This Row],[High Tol]]=""),"Needs Analysis",IF(Table1[[#This Row],[Ratio]]&gt;=4,"Not Significant",IF(Table1[[#This Row],[Ratio]]&gt;=2,"Semi-Significant","Significant")))</f>
        <v>Needs Analysis</v>
      </c>
      <c r="W2685" s="1">
        <f>IF(Table1[[#This Row],[Cal Type]]&lt;&gt;"ACCREDITED 17025 WITH UNCERTAINTIES",0,"")</f>
        <v>0</v>
      </c>
      <c r="X2685" s="1" t="str">
        <f>IF(Table1[[#This Row],[DUT Read]]="","N/A",Table1[[#This Row],[Std Error]]+Table1[[#This Row],[DUT Read]]+Table1[[#This Row],[DUT Ucty]])</f>
        <v>N/A</v>
      </c>
      <c r="Y2685" s="1" t="str">
        <f>IF(Table1[[#This Row],[Std Read]]="","N/A",Table1[[#This Row],[Std Read]]+Table1[[#This Row],[Std Ucty]])</f>
        <v>N/A</v>
      </c>
      <c r="Z26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5" s="1" t="str">
        <f>IF(Table1[[#This Row],[Spec Type]]="","N/A",Table1[[#This Row],[Spec Type]])</f>
        <v>±</v>
      </c>
      <c r="AC2685" s="1" t="str">
        <f>IF(Table1[[#This Row],[Spec Type2]]="N/A","N/A",IF(AND(Table1[[#This Row],[DUT Adj Read]]&gt;=Table1[[#This Row],[Low Tol]],Table1[[#This Row],[DUT Adj Read]]&lt;=Table1[[#This Row],[High Tol]]),"Pass","Fail"))</f>
        <v>Fail</v>
      </c>
      <c r="AD2685" s="1" t="str">
        <f>IF(AND(Table1[[#This Row],[Spec Type2]]="N/A",Table1[[#This Row],[DUT Adj Read]]="N/A",Table1[[#This Row],[Std Adj Read]]="N/A"),"N/A",IF(Table1[[#This Row],[DUT Adj Read]]="N/A",IF(Table1[[#This Row],[Std Adj Read]]&gt;Table1[[#This Row],[Low Tol]],"Pass","Fail"),IF(Table1[[#This Row],[DUT Adj Read]]&gt;Table1[[#This Row],[Low Tol]],"Pass","Fail")))</f>
        <v>Pass</v>
      </c>
      <c r="AE2685" s="1" t="str">
        <f>IF(AND(Table1[[#This Row],[Spec Type2]]="N/A",Table1[[#This Row],[DUT Adj Read]]="N/A",Table1[[#This Row],[Std Adj Read]]="N/A"),"N/A",IF(Table1[[#This Row],[DUT Adj Read]]="N/A",IF(Table1[[#This Row],[Std Adj Read]]&lt;Table1[[#This Row],[High Tol]],"Pass","Fail"),IF(Table1[[#This Row],[DUT Adj Read]]&lt;Table1[[#This Row],[High Tol]],"Pass","Fail")))</f>
        <v>Fail</v>
      </c>
      <c r="AF2685" s="1" t="str">
        <f>IF(AND(Table1[[#This Row],[Spec Type2]]="N/A",Table1[[#This Row],[DUT Adj Read]]="N/A",Table1[[#This Row],[Std Adj Read]]="N/A"),"N/A",IF(Table1[[#This Row],[DUT Adj Read]]="N/A",IF(Table1[[#This Row],[Std Adj Read]]&gt;=Table1[[#This Row],[Low Tol]],"Pass","Fail"),IF(Table1[[#This Row],[DUT Adj Read]]&gt;=Table1[[#This Row],[Low Tol]],"Pass","Fail")))</f>
        <v>Pass</v>
      </c>
      <c r="AG2685" s="1" t="str">
        <f>IF(AND(Table1[[#This Row],[Spec Type2]]="N/A",Table1[[#This Row],[DUT Adj Read]]="N/A",Table1[[#This Row],[Std Adj Read]]="N/A"),"N/A",IF(Table1[[#This Row],[DUT Adj Read]]="N/A",IF(Table1[[#This Row],[Std Adj Read]]&lt;=Table1[[#This Row],[High Tol]],"Pass","Fail"),IF(Table1[[#This Row],[DUT Adj Read]]&lt;=Table1[[#This Row],[High Tol]],"Pass","Fail")))</f>
        <v>Fail</v>
      </c>
      <c r="AH26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5" s="1" t="b">
        <v>0</v>
      </c>
      <c r="AN2685" s="1" t="b">
        <v>0</v>
      </c>
      <c r="AO2685" s="1" t="b">
        <v>0</v>
      </c>
    </row>
    <row r="2686" spans="1:41" x14ac:dyDescent="0.25">
      <c r="A2686" s="10"/>
      <c r="B2686" s="10"/>
      <c r="C2686" s="10"/>
      <c r="D2686" s="10"/>
      <c r="E2686" s="10"/>
      <c r="F2686" s="10"/>
      <c r="G2686" s="10"/>
      <c r="H2686" s="10"/>
      <c r="I2686" s="1" t="str">
        <f t="shared" si="123"/>
        <v/>
      </c>
      <c r="J2686" s="1" t="s">
        <v>35</v>
      </c>
      <c r="K2686" s="1" t="str">
        <f t="shared" si="124"/>
        <v/>
      </c>
      <c r="L2686" s="1" t="str">
        <f t="shared" si="125"/>
        <v/>
      </c>
      <c r="M2686" s="1">
        <f>IF(OR(Table1[[#This Row],[Std Nom]]="",Table1[[#This Row],[Std Read]]=""),0,Table1[[#This Row],[Std Nom]]-Table1[[#This Row],[Std Read]])</f>
        <v>0</v>
      </c>
      <c r="N2686" s="1">
        <f>IF(Calculations!$F$5="ACCREDITED 17025 WITH UNCERTAINTIES",$N$10,0)</f>
        <v>0</v>
      </c>
      <c r="O2686" s="1" t="str">
        <f>IFERROR(Table1[[#This Row],[Std Nom]]-(_xlfn.XLOOKUP(Table1[[#This Row],[Manufacturer]]&amp;" "&amp;Table1[[#This Row],[Model]],Table13[MFR &amp; MDL],Table13[Tolerance % CW ],"")/100*Table1[[#This Row],[Std Nom]]),"")</f>
        <v/>
      </c>
      <c r="P2686" s="1" t="str">
        <f>IFERROR(Table1[[#This Row],[Std Nom]]+(_xlfn.XLOOKUP(Table1[[#This Row],[Manufacturer]]&amp;" "&amp;Table1[[#This Row],[Model]],Table13[MFR &amp; MDL],Table13[Tolerance % CW ],"")/100*Table1[[#This Row],[Std Nom]]),"")</f>
        <v/>
      </c>
      <c r="Q2686" s="1" t="e">
        <f>Table1[[#This Row],[High Tol]]-Table1[[#This Row],[Low Tol]]</f>
        <v>#VALUE!</v>
      </c>
      <c r="R2686" s="1">
        <f>2*Table1[[#This Row],[Std Error]]</f>
        <v>0</v>
      </c>
      <c r="S2686" s="1" t="str">
        <f>IF(Table1[[#This Row],[High Tol]]="","N/A",IFERROR(ABS(Table1[[#This Row],[Tol Span]]/Table1[[#This Row],[Error Span]]),"N/A"))</f>
        <v>N/A</v>
      </c>
      <c r="T2686" s="1" t="str">
        <f>IF(OR(Table1[[#This Row],[Low Tol]]="",Table1[[#This Row],[High Tol]]=""),"Needs Analysis",IF(Table1[[#This Row],[Ratio]]&gt;=4,"Not Significant",IF(Table1[[#This Row],[Ratio]]&gt;=2,"Semi-Significant","Significant")))</f>
        <v>Needs Analysis</v>
      </c>
      <c r="W2686" s="1">
        <f>IF(Table1[[#This Row],[Cal Type]]&lt;&gt;"ACCREDITED 17025 WITH UNCERTAINTIES",0,"")</f>
        <v>0</v>
      </c>
      <c r="X2686" s="1" t="str">
        <f>IF(Table1[[#This Row],[DUT Read]]="","N/A",Table1[[#This Row],[Std Error]]+Table1[[#This Row],[DUT Read]]+Table1[[#This Row],[DUT Ucty]])</f>
        <v>N/A</v>
      </c>
      <c r="Y2686" s="1" t="str">
        <f>IF(Table1[[#This Row],[Std Read]]="","N/A",Table1[[#This Row],[Std Read]]+Table1[[#This Row],[Std Ucty]])</f>
        <v>N/A</v>
      </c>
      <c r="Z26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6" s="1" t="str">
        <f>IF(Table1[[#This Row],[Spec Type]]="","N/A",Table1[[#This Row],[Spec Type]])</f>
        <v>±</v>
      </c>
      <c r="AC2686" s="1" t="str">
        <f>IF(Table1[[#This Row],[Spec Type2]]="N/A","N/A",IF(AND(Table1[[#This Row],[DUT Adj Read]]&gt;=Table1[[#This Row],[Low Tol]],Table1[[#This Row],[DUT Adj Read]]&lt;=Table1[[#This Row],[High Tol]]),"Pass","Fail"))</f>
        <v>Fail</v>
      </c>
      <c r="AD2686" s="1" t="str">
        <f>IF(AND(Table1[[#This Row],[Spec Type2]]="N/A",Table1[[#This Row],[DUT Adj Read]]="N/A",Table1[[#This Row],[Std Adj Read]]="N/A"),"N/A",IF(Table1[[#This Row],[DUT Adj Read]]="N/A",IF(Table1[[#This Row],[Std Adj Read]]&gt;Table1[[#This Row],[Low Tol]],"Pass","Fail"),IF(Table1[[#This Row],[DUT Adj Read]]&gt;Table1[[#This Row],[Low Tol]],"Pass","Fail")))</f>
        <v>Pass</v>
      </c>
      <c r="AE2686" s="1" t="str">
        <f>IF(AND(Table1[[#This Row],[Spec Type2]]="N/A",Table1[[#This Row],[DUT Adj Read]]="N/A",Table1[[#This Row],[Std Adj Read]]="N/A"),"N/A",IF(Table1[[#This Row],[DUT Adj Read]]="N/A",IF(Table1[[#This Row],[Std Adj Read]]&lt;Table1[[#This Row],[High Tol]],"Pass","Fail"),IF(Table1[[#This Row],[DUT Adj Read]]&lt;Table1[[#This Row],[High Tol]],"Pass","Fail")))</f>
        <v>Fail</v>
      </c>
      <c r="AF2686" s="1" t="str">
        <f>IF(AND(Table1[[#This Row],[Spec Type2]]="N/A",Table1[[#This Row],[DUT Adj Read]]="N/A",Table1[[#This Row],[Std Adj Read]]="N/A"),"N/A",IF(Table1[[#This Row],[DUT Adj Read]]="N/A",IF(Table1[[#This Row],[Std Adj Read]]&gt;=Table1[[#This Row],[Low Tol]],"Pass","Fail"),IF(Table1[[#This Row],[DUT Adj Read]]&gt;=Table1[[#This Row],[Low Tol]],"Pass","Fail")))</f>
        <v>Pass</v>
      </c>
      <c r="AG2686" s="1" t="str">
        <f>IF(AND(Table1[[#This Row],[Spec Type2]]="N/A",Table1[[#This Row],[DUT Adj Read]]="N/A",Table1[[#This Row],[Std Adj Read]]="N/A"),"N/A",IF(Table1[[#This Row],[DUT Adj Read]]="N/A",IF(Table1[[#This Row],[Std Adj Read]]&lt;=Table1[[#This Row],[High Tol]],"Pass","Fail"),IF(Table1[[#This Row],[DUT Adj Read]]&lt;=Table1[[#This Row],[High Tol]],"Pass","Fail")))</f>
        <v>Fail</v>
      </c>
      <c r="AH26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6" s="1" t="b">
        <v>0</v>
      </c>
      <c r="AN2686" s="1" t="b">
        <v>0</v>
      </c>
      <c r="AO2686" s="1" t="b">
        <v>0</v>
      </c>
    </row>
    <row r="2687" spans="1:41" x14ac:dyDescent="0.25">
      <c r="A2687" s="10"/>
      <c r="B2687" s="10"/>
      <c r="C2687" s="10"/>
      <c r="D2687" s="10"/>
      <c r="E2687" s="10"/>
      <c r="F2687" s="10"/>
      <c r="G2687" s="10"/>
      <c r="H2687" s="10"/>
      <c r="I2687" s="1" t="str">
        <f t="shared" si="123"/>
        <v/>
      </c>
      <c r="J2687" s="1" t="s">
        <v>35</v>
      </c>
      <c r="K2687" s="1" t="str">
        <f t="shared" si="124"/>
        <v/>
      </c>
      <c r="L2687" s="1" t="str">
        <f t="shared" si="125"/>
        <v/>
      </c>
      <c r="M2687" s="1">
        <f>IF(OR(Table1[[#This Row],[Std Nom]]="",Table1[[#This Row],[Std Read]]=""),0,Table1[[#This Row],[Std Nom]]-Table1[[#This Row],[Std Read]])</f>
        <v>0</v>
      </c>
      <c r="N2687" s="1">
        <f>IF(Calculations!$F$5="ACCREDITED 17025 WITH UNCERTAINTIES",$N$10,0)</f>
        <v>0</v>
      </c>
      <c r="O2687" s="1" t="str">
        <f>IFERROR(Table1[[#This Row],[Std Nom]]-(_xlfn.XLOOKUP(Table1[[#This Row],[Manufacturer]]&amp;" "&amp;Table1[[#This Row],[Model]],Table13[MFR &amp; MDL],Table13[Tolerance % CW ],"")/100*Table1[[#This Row],[Std Nom]]),"")</f>
        <v/>
      </c>
      <c r="P2687" s="1" t="str">
        <f>IFERROR(Table1[[#This Row],[Std Nom]]+(_xlfn.XLOOKUP(Table1[[#This Row],[Manufacturer]]&amp;" "&amp;Table1[[#This Row],[Model]],Table13[MFR &amp; MDL],Table13[Tolerance % CW ],"")/100*Table1[[#This Row],[Std Nom]]),"")</f>
        <v/>
      </c>
      <c r="Q2687" s="1" t="e">
        <f>Table1[[#This Row],[High Tol]]-Table1[[#This Row],[Low Tol]]</f>
        <v>#VALUE!</v>
      </c>
      <c r="R2687" s="1">
        <f>2*Table1[[#This Row],[Std Error]]</f>
        <v>0</v>
      </c>
      <c r="S2687" s="1" t="str">
        <f>IF(Table1[[#This Row],[High Tol]]="","N/A",IFERROR(ABS(Table1[[#This Row],[Tol Span]]/Table1[[#This Row],[Error Span]]),"N/A"))</f>
        <v>N/A</v>
      </c>
      <c r="T2687" s="1" t="str">
        <f>IF(OR(Table1[[#This Row],[Low Tol]]="",Table1[[#This Row],[High Tol]]=""),"Needs Analysis",IF(Table1[[#This Row],[Ratio]]&gt;=4,"Not Significant",IF(Table1[[#This Row],[Ratio]]&gt;=2,"Semi-Significant","Significant")))</f>
        <v>Needs Analysis</v>
      </c>
      <c r="W2687" s="1">
        <f>IF(Table1[[#This Row],[Cal Type]]&lt;&gt;"ACCREDITED 17025 WITH UNCERTAINTIES",0,"")</f>
        <v>0</v>
      </c>
      <c r="X2687" s="1" t="str">
        <f>IF(Table1[[#This Row],[DUT Read]]="","N/A",Table1[[#This Row],[Std Error]]+Table1[[#This Row],[DUT Read]]+Table1[[#This Row],[DUT Ucty]])</f>
        <v>N/A</v>
      </c>
      <c r="Y2687" s="1" t="str">
        <f>IF(Table1[[#This Row],[Std Read]]="","N/A",Table1[[#This Row],[Std Read]]+Table1[[#This Row],[Std Ucty]])</f>
        <v>N/A</v>
      </c>
      <c r="Z26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7" s="1" t="str">
        <f>IF(Table1[[#This Row],[Spec Type]]="","N/A",Table1[[#This Row],[Spec Type]])</f>
        <v>±</v>
      </c>
      <c r="AC2687" s="1" t="str">
        <f>IF(Table1[[#This Row],[Spec Type2]]="N/A","N/A",IF(AND(Table1[[#This Row],[DUT Adj Read]]&gt;=Table1[[#This Row],[Low Tol]],Table1[[#This Row],[DUT Adj Read]]&lt;=Table1[[#This Row],[High Tol]]),"Pass","Fail"))</f>
        <v>Fail</v>
      </c>
      <c r="AD2687" s="1" t="str">
        <f>IF(AND(Table1[[#This Row],[Spec Type2]]="N/A",Table1[[#This Row],[DUT Adj Read]]="N/A",Table1[[#This Row],[Std Adj Read]]="N/A"),"N/A",IF(Table1[[#This Row],[DUT Adj Read]]="N/A",IF(Table1[[#This Row],[Std Adj Read]]&gt;Table1[[#This Row],[Low Tol]],"Pass","Fail"),IF(Table1[[#This Row],[DUT Adj Read]]&gt;Table1[[#This Row],[Low Tol]],"Pass","Fail")))</f>
        <v>Pass</v>
      </c>
      <c r="AE2687" s="1" t="str">
        <f>IF(AND(Table1[[#This Row],[Spec Type2]]="N/A",Table1[[#This Row],[DUT Adj Read]]="N/A",Table1[[#This Row],[Std Adj Read]]="N/A"),"N/A",IF(Table1[[#This Row],[DUT Adj Read]]="N/A",IF(Table1[[#This Row],[Std Adj Read]]&lt;Table1[[#This Row],[High Tol]],"Pass","Fail"),IF(Table1[[#This Row],[DUT Adj Read]]&lt;Table1[[#This Row],[High Tol]],"Pass","Fail")))</f>
        <v>Fail</v>
      </c>
      <c r="AF2687" s="1" t="str">
        <f>IF(AND(Table1[[#This Row],[Spec Type2]]="N/A",Table1[[#This Row],[DUT Adj Read]]="N/A",Table1[[#This Row],[Std Adj Read]]="N/A"),"N/A",IF(Table1[[#This Row],[DUT Adj Read]]="N/A",IF(Table1[[#This Row],[Std Adj Read]]&gt;=Table1[[#This Row],[Low Tol]],"Pass","Fail"),IF(Table1[[#This Row],[DUT Adj Read]]&gt;=Table1[[#This Row],[Low Tol]],"Pass","Fail")))</f>
        <v>Pass</v>
      </c>
      <c r="AG2687" s="1" t="str">
        <f>IF(AND(Table1[[#This Row],[Spec Type2]]="N/A",Table1[[#This Row],[DUT Adj Read]]="N/A",Table1[[#This Row],[Std Adj Read]]="N/A"),"N/A",IF(Table1[[#This Row],[DUT Adj Read]]="N/A",IF(Table1[[#This Row],[Std Adj Read]]&lt;=Table1[[#This Row],[High Tol]],"Pass","Fail"),IF(Table1[[#This Row],[DUT Adj Read]]&lt;=Table1[[#This Row],[High Tol]],"Pass","Fail")))</f>
        <v>Fail</v>
      </c>
      <c r="AH26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7" s="1" t="b">
        <v>0</v>
      </c>
      <c r="AN2687" s="1" t="b">
        <v>0</v>
      </c>
      <c r="AO2687" s="1" t="b">
        <v>0</v>
      </c>
    </row>
    <row r="2688" spans="1:41" x14ac:dyDescent="0.25">
      <c r="A2688" s="10"/>
      <c r="B2688" s="10"/>
      <c r="C2688" s="10"/>
      <c r="D2688" s="10"/>
      <c r="E2688" s="10"/>
      <c r="F2688" s="10"/>
      <c r="G2688" s="10"/>
      <c r="H2688" s="10"/>
      <c r="I2688" s="1" t="str">
        <f t="shared" si="123"/>
        <v/>
      </c>
      <c r="J2688" s="1" t="s">
        <v>35</v>
      </c>
      <c r="K2688" s="1" t="str">
        <f t="shared" si="124"/>
        <v/>
      </c>
      <c r="L2688" s="1" t="str">
        <f t="shared" si="125"/>
        <v/>
      </c>
      <c r="M2688" s="1">
        <f>IF(OR(Table1[[#This Row],[Std Nom]]="",Table1[[#This Row],[Std Read]]=""),0,Table1[[#This Row],[Std Nom]]-Table1[[#This Row],[Std Read]])</f>
        <v>0</v>
      </c>
      <c r="N2688" s="1">
        <f>IF(Calculations!$F$5="ACCREDITED 17025 WITH UNCERTAINTIES",$N$10,0)</f>
        <v>0</v>
      </c>
      <c r="O2688" s="1" t="str">
        <f>IFERROR(Table1[[#This Row],[Std Nom]]-(_xlfn.XLOOKUP(Table1[[#This Row],[Manufacturer]]&amp;" "&amp;Table1[[#This Row],[Model]],Table13[MFR &amp; MDL],Table13[Tolerance % CW ],"")/100*Table1[[#This Row],[Std Nom]]),"")</f>
        <v/>
      </c>
      <c r="P2688" s="1" t="str">
        <f>IFERROR(Table1[[#This Row],[Std Nom]]+(_xlfn.XLOOKUP(Table1[[#This Row],[Manufacturer]]&amp;" "&amp;Table1[[#This Row],[Model]],Table13[MFR &amp; MDL],Table13[Tolerance % CW ],"")/100*Table1[[#This Row],[Std Nom]]),"")</f>
        <v/>
      </c>
      <c r="Q2688" s="1" t="e">
        <f>Table1[[#This Row],[High Tol]]-Table1[[#This Row],[Low Tol]]</f>
        <v>#VALUE!</v>
      </c>
      <c r="R2688" s="1">
        <f>2*Table1[[#This Row],[Std Error]]</f>
        <v>0</v>
      </c>
      <c r="S2688" s="1" t="str">
        <f>IF(Table1[[#This Row],[High Tol]]="","N/A",IFERROR(ABS(Table1[[#This Row],[Tol Span]]/Table1[[#This Row],[Error Span]]),"N/A"))</f>
        <v>N/A</v>
      </c>
      <c r="T2688" s="1" t="str">
        <f>IF(OR(Table1[[#This Row],[Low Tol]]="",Table1[[#This Row],[High Tol]]=""),"Needs Analysis",IF(Table1[[#This Row],[Ratio]]&gt;=4,"Not Significant",IF(Table1[[#This Row],[Ratio]]&gt;=2,"Semi-Significant","Significant")))</f>
        <v>Needs Analysis</v>
      </c>
      <c r="W2688" s="1">
        <f>IF(Table1[[#This Row],[Cal Type]]&lt;&gt;"ACCREDITED 17025 WITH UNCERTAINTIES",0,"")</f>
        <v>0</v>
      </c>
      <c r="X2688" s="1" t="str">
        <f>IF(Table1[[#This Row],[DUT Read]]="","N/A",Table1[[#This Row],[Std Error]]+Table1[[#This Row],[DUT Read]]+Table1[[#This Row],[DUT Ucty]])</f>
        <v>N/A</v>
      </c>
      <c r="Y2688" s="1" t="str">
        <f>IF(Table1[[#This Row],[Std Read]]="","N/A",Table1[[#This Row],[Std Read]]+Table1[[#This Row],[Std Ucty]])</f>
        <v>N/A</v>
      </c>
      <c r="Z26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8" s="1" t="str">
        <f>IF(Table1[[#This Row],[Spec Type]]="","N/A",Table1[[#This Row],[Spec Type]])</f>
        <v>±</v>
      </c>
      <c r="AC2688" s="1" t="str">
        <f>IF(Table1[[#This Row],[Spec Type2]]="N/A","N/A",IF(AND(Table1[[#This Row],[DUT Adj Read]]&gt;=Table1[[#This Row],[Low Tol]],Table1[[#This Row],[DUT Adj Read]]&lt;=Table1[[#This Row],[High Tol]]),"Pass","Fail"))</f>
        <v>Fail</v>
      </c>
      <c r="AD2688" s="1" t="str">
        <f>IF(AND(Table1[[#This Row],[Spec Type2]]="N/A",Table1[[#This Row],[DUT Adj Read]]="N/A",Table1[[#This Row],[Std Adj Read]]="N/A"),"N/A",IF(Table1[[#This Row],[DUT Adj Read]]="N/A",IF(Table1[[#This Row],[Std Adj Read]]&gt;Table1[[#This Row],[Low Tol]],"Pass","Fail"),IF(Table1[[#This Row],[DUT Adj Read]]&gt;Table1[[#This Row],[Low Tol]],"Pass","Fail")))</f>
        <v>Pass</v>
      </c>
      <c r="AE2688" s="1" t="str">
        <f>IF(AND(Table1[[#This Row],[Spec Type2]]="N/A",Table1[[#This Row],[DUT Adj Read]]="N/A",Table1[[#This Row],[Std Adj Read]]="N/A"),"N/A",IF(Table1[[#This Row],[DUT Adj Read]]="N/A",IF(Table1[[#This Row],[Std Adj Read]]&lt;Table1[[#This Row],[High Tol]],"Pass","Fail"),IF(Table1[[#This Row],[DUT Adj Read]]&lt;Table1[[#This Row],[High Tol]],"Pass","Fail")))</f>
        <v>Fail</v>
      </c>
      <c r="AF2688" s="1" t="str">
        <f>IF(AND(Table1[[#This Row],[Spec Type2]]="N/A",Table1[[#This Row],[DUT Adj Read]]="N/A",Table1[[#This Row],[Std Adj Read]]="N/A"),"N/A",IF(Table1[[#This Row],[DUT Adj Read]]="N/A",IF(Table1[[#This Row],[Std Adj Read]]&gt;=Table1[[#This Row],[Low Tol]],"Pass","Fail"),IF(Table1[[#This Row],[DUT Adj Read]]&gt;=Table1[[#This Row],[Low Tol]],"Pass","Fail")))</f>
        <v>Pass</v>
      </c>
      <c r="AG2688" s="1" t="str">
        <f>IF(AND(Table1[[#This Row],[Spec Type2]]="N/A",Table1[[#This Row],[DUT Adj Read]]="N/A",Table1[[#This Row],[Std Adj Read]]="N/A"),"N/A",IF(Table1[[#This Row],[DUT Adj Read]]="N/A",IF(Table1[[#This Row],[Std Adj Read]]&lt;=Table1[[#This Row],[High Tol]],"Pass","Fail"),IF(Table1[[#This Row],[DUT Adj Read]]&lt;=Table1[[#This Row],[High Tol]],"Pass","Fail")))</f>
        <v>Fail</v>
      </c>
      <c r="AH26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8" s="1" t="b">
        <v>0</v>
      </c>
      <c r="AN2688" s="1" t="b">
        <v>0</v>
      </c>
      <c r="AO2688" s="1" t="b">
        <v>0</v>
      </c>
    </row>
    <row r="2689" spans="1:41" x14ac:dyDescent="0.25">
      <c r="A2689" s="10"/>
      <c r="B2689" s="10"/>
      <c r="C2689" s="10"/>
      <c r="D2689" s="10"/>
      <c r="E2689" s="10"/>
      <c r="F2689" s="10"/>
      <c r="G2689" s="10"/>
      <c r="H2689" s="10"/>
      <c r="I2689" s="1" t="str">
        <f t="shared" si="123"/>
        <v/>
      </c>
      <c r="J2689" s="1" t="s">
        <v>35</v>
      </c>
      <c r="K2689" s="1" t="str">
        <f t="shared" si="124"/>
        <v/>
      </c>
      <c r="L2689" s="1" t="str">
        <f t="shared" si="125"/>
        <v/>
      </c>
      <c r="M2689" s="1">
        <f>IF(OR(Table1[[#This Row],[Std Nom]]="",Table1[[#This Row],[Std Read]]=""),0,Table1[[#This Row],[Std Nom]]-Table1[[#This Row],[Std Read]])</f>
        <v>0</v>
      </c>
      <c r="N2689" s="1">
        <f>IF(Calculations!$F$5="ACCREDITED 17025 WITH UNCERTAINTIES",$N$10,0)</f>
        <v>0</v>
      </c>
      <c r="O2689" s="1" t="str">
        <f>IFERROR(Table1[[#This Row],[Std Nom]]-(_xlfn.XLOOKUP(Table1[[#This Row],[Manufacturer]]&amp;" "&amp;Table1[[#This Row],[Model]],Table13[MFR &amp; MDL],Table13[Tolerance % CW ],"")/100*Table1[[#This Row],[Std Nom]]),"")</f>
        <v/>
      </c>
      <c r="P2689" s="1" t="str">
        <f>IFERROR(Table1[[#This Row],[Std Nom]]+(_xlfn.XLOOKUP(Table1[[#This Row],[Manufacturer]]&amp;" "&amp;Table1[[#This Row],[Model]],Table13[MFR &amp; MDL],Table13[Tolerance % CW ],"")/100*Table1[[#This Row],[Std Nom]]),"")</f>
        <v/>
      </c>
      <c r="Q2689" s="1" t="e">
        <f>Table1[[#This Row],[High Tol]]-Table1[[#This Row],[Low Tol]]</f>
        <v>#VALUE!</v>
      </c>
      <c r="R2689" s="1">
        <f>2*Table1[[#This Row],[Std Error]]</f>
        <v>0</v>
      </c>
      <c r="S2689" s="1" t="str">
        <f>IF(Table1[[#This Row],[High Tol]]="","N/A",IFERROR(ABS(Table1[[#This Row],[Tol Span]]/Table1[[#This Row],[Error Span]]),"N/A"))</f>
        <v>N/A</v>
      </c>
      <c r="T2689" s="1" t="str">
        <f>IF(OR(Table1[[#This Row],[Low Tol]]="",Table1[[#This Row],[High Tol]]=""),"Needs Analysis",IF(Table1[[#This Row],[Ratio]]&gt;=4,"Not Significant",IF(Table1[[#This Row],[Ratio]]&gt;=2,"Semi-Significant","Significant")))</f>
        <v>Needs Analysis</v>
      </c>
      <c r="W2689" s="1">
        <f>IF(Table1[[#This Row],[Cal Type]]&lt;&gt;"ACCREDITED 17025 WITH UNCERTAINTIES",0,"")</f>
        <v>0</v>
      </c>
      <c r="X2689" s="1" t="str">
        <f>IF(Table1[[#This Row],[DUT Read]]="","N/A",Table1[[#This Row],[Std Error]]+Table1[[#This Row],[DUT Read]]+Table1[[#This Row],[DUT Ucty]])</f>
        <v>N/A</v>
      </c>
      <c r="Y2689" s="1" t="str">
        <f>IF(Table1[[#This Row],[Std Read]]="","N/A",Table1[[#This Row],[Std Read]]+Table1[[#This Row],[Std Ucty]])</f>
        <v>N/A</v>
      </c>
      <c r="Z26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9" s="1" t="str">
        <f>IF(Table1[[#This Row],[Spec Type]]="","N/A",Table1[[#This Row],[Spec Type]])</f>
        <v>±</v>
      </c>
      <c r="AC2689" s="1" t="str">
        <f>IF(Table1[[#This Row],[Spec Type2]]="N/A","N/A",IF(AND(Table1[[#This Row],[DUT Adj Read]]&gt;=Table1[[#This Row],[Low Tol]],Table1[[#This Row],[DUT Adj Read]]&lt;=Table1[[#This Row],[High Tol]]),"Pass","Fail"))</f>
        <v>Fail</v>
      </c>
      <c r="AD2689" s="1" t="str">
        <f>IF(AND(Table1[[#This Row],[Spec Type2]]="N/A",Table1[[#This Row],[DUT Adj Read]]="N/A",Table1[[#This Row],[Std Adj Read]]="N/A"),"N/A",IF(Table1[[#This Row],[DUT Adj Read]]="N/A",IF(Table1[[#This Row],[Std Adj Read]]&gt;Table1[[#This Row],[Low Tol]],"Pass","Fail"),IF(Table1[[#This Row],[DUT Adj Read]]&gt;Table1[[#This Row],[Low Tol]],"Pass","Fail")))</f>
        <v>Pass</v>
      </c>
      <c r="AE2689" s="1" t="str">
        <f>IF(AND(Table1[[#This Row],[Spec Type2]]="N/A",Table1[[#This Row],[DUT Adj Read]]="N/A",Table1[[#This Row],[Std Adj Read]]="N/A"),"N/A",IF(Table1[[#This Row],[DUT Adj Read]]="N/A",IF(Table1[[#This Row],[Std Adj Read]]&lt;Table1[[#This Row],[High Tol]],"Pass","Fail"),IF(Table1[[#This Row],[DUT Adj Read]]&lt;Table1[[#This Row],[High Tol]],"Pass","Fail")))</f>
        <v>Fail</v>
      </c>
      <c r="AF2689" s="1" t="str">
        <f>IF(AND(Table1[[#This Row],[Spec Type2]]="N/A",Table1[[#This Row],[DUT Adj Read]]="N/A",Table1[[#This Row],[Std Adj Read]]="N/A"),"N/A",IF(Table1[[#This Row],[DUT Adj Read]]="N/A",IF(Table1[[#This Row],[Std Adj Read]]&gt;=Table1[[#This Row],[Low Tol]],"Pass","Fail"),IF(Table1[[#This Row],[DUT Adj Read]]&gt;=Table1[[#This Row],[Low Tol]],"Pass","Fail")))</f>
        <v>Pass</v>
      </c>
      <c r="AG2689" s="1" t="str">
        <f>IF(AND(Table1[[#This Row],[Spec Type2]]="N/A",Table1[[#This Row],[DUT Adj Read]]="N/A",Table1[[#This Row],[Std Adj Read]]="N/A"),"N/A",IF(Table1[[#This Row],[DUT Adj Read]]="N/A",IF(Table1[[#This Row],[Std Adj Read]]&lt;=Table1[[#This Row],[High Tol]],"Pass","Fail"),IF(Table1[[#This Row],[DUT Adj Read]]&lt;=Table1[[#This Row],[High Tol]],"Pass","Fail")))</f>
        <v>Fail</v>
      </c>
      <c r="AH26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9" s="1" t="b">
        <v>0</v>
      </c>
      <c r="AN2689" s="1" t="b">
        <v>0</v>
      </c>
      <c r="AO2689" s="1" t="b">
        <v>0</v>
      </c>
    </row>
    <row r="2690" spans="1:41" x14ac:dyDescent="0.25">
      <c r="A2690" s="10"/>
      <c r="B2690" s="10"/>
      <c r="C2690" s="10"/>
      <c r="D2690" s="10"/>
      <c r="E2690" s="10"/>
      <c r="F2690" s="10"/>
      <c r="G2690" s="10"/>
      <c r="H2690" s="10"/>
      <c r="I2690" s="1" t="str">
        <f t="shared" si="123"/>
        <v/>
      </c>
      <c r="J2690" s="1" t="s">
        <v>35</v>
      </c>
      <c r="K2690" s="1" t="str">
        <f t="shared" si="124"/>
        <v/>
      </c>
      <c r="L2690" s="1" t="str">
        <f t="shared" si="125"/>
        <v/>
      </c>
      <c r="M2690" s="1">
        <f>IF(OR(Table1[[#This Row],[Std Nom]]="",Table1[[#This Row],[Std Read]]=""),0,Table1[[#This Row],[Std Nom]]-Table1[[#This Row],[Std Read]])</f>
        <v>0</v>
      </c>
      <c r="N2690" s="1">
        <f>IF(Calculations!$F$5="ACCREDITED 17025 WITH UNCERTAINTIES",$N$10,0)</f>
        <v>0</v>
      </c>
      <c r="O2690" s="1" t="str">
        <f>IFERROR(Table1[[#This Row],[Std Nom]]-(_xlfn.XLOOKUP(Table1[[#This Row],[Manufacturer]]&amp;" "&amp;Table1[[#This Row],[Model]],Table13[MFR &amp; MDL],Table13[Tolerance % CW ],"")/100*Table1[[#This Row],[Std Nom]]),"")</f>
        <v/>
      </c>
      <c r="P2690" s="1" t="str">
        <f>IFERROR(Table1[[#This Row],[Std Nom]]+(_xlfn.XLOOKUP(Table1[[#This Row],[Manufacturer]]&amp;" "&amp;Table1[[#This Row],[Model]],Table13[MFR &amp; MDL],Table13[Tolerance % CW ],"")/100*Table1[[#This Row],[Std Nom]]),"")</f>
        <v/>
      </c>
      <c r="Q2690" s="1" t="e">
        <f>Table1[[#This Row],[High Tol]]-Table1[[#This Row],[Low Tol]]</f>
        <v>#VALUE!</v>
      </c>
      <c r="R2690" s="1">
        <f>2*Table1[[#This Row],[Std Error]]</f>
        <v>0</v>
      </c>
      <c r="S2690" s="1" t="str">
        <f>IF(Table1[[#This Row],[High Tol]]="","N/A",IFERROR(ABS(Table1[[#This Row],[Tol Span]]/Table1[[#This Row],[Error Span]]),"N/A"))</f>
        <v>N/A</v>
      </c>
      <c r="T2690" s="1" t="str">
        <f>IF(OR(Table1[[#This Row],[Low Tol]]="",Table1[[#This Row],[High Tol]]=""),"Needs Analysis",IF(Table1[[#This Row],[Ratio]]&gt;=4,"Not Significant",IF(Table1[[#This Row],[Ratio]]&gt;=2,"Semi-Significant","Significant")))</f>
        <v>Needs Analysis</v>
      </c>
      <c r="W2690" s="1">
        <f>IF(Table1[[#This Row],[Cal Type]]&lt;&gt;"ACCREDITED 17025 WITH UNCERTAINTIES",0,"")</f>
        <v>0</v>
      </c>
      <c r="X2690" s="1" t="str">
        <f>IF(Table1[[#This Row],[DUT Read]]="","N/A",Table1[[#This Row],[Std Error]]+Table1[[#This Row],[DUT Read]]+Table1[[#This Row],[DUT Ucty]])</f>
        <v>N/A</v>
      </c>
      <c r="Y2690" s="1" t="str">
        <f>IF(Table1[[#This Row],[Std Read]]="","N/A",Table1[[#This Row],[Std Read]]+Table1[[#This Row],[Std Ucty]])</f>
        <v>N/A</v>
      </c>
      <c r="Z26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0" s="1" t="str">
        <f>IF(Table1[[#This Row],[Spec Type]]="","N/A",Table1[[#This Row],[Spec Type]])</f>
        <v>±</v>
      </c>
      <c r="AC2690" s="1" t="str">
        <f>IF(Table1[[#This Row],[Spec Type2]]="N/A","N/A",IF(AND(Table1[[#This Row],[DUT Adj Read]]&gt;=Table1[[#This Row],[Low Tol]],Table1[[#This Row],[DUT Adj Read]]&lt;=Table1[[#This Row],[High Tol]]),"Pass","Fail"))</f>
        <v>Fail</v>
      </c>
      <c r="AD2690" s="1" t="str">
        <f>IF(AND(Table1[[#This Row],[Spec Type2]]="N/A",Table1[[#This Row],[DUT Adj Read]]="N/A",Table1[[#This Row],[Std Adj Read]]="N/A"),"N/A",IF(Table1[[#This Row],[DUT Adj Read]]="N/A",IF(Table1[[#This Row],[Std Adj Read]]&gt;Table1[[#This Row],[Low Tol]],"Pass","Fail"),IF(Table1[[#This Row],[DUT Adj Read]]&gt;Table1[[#This Row],[Low Tol]],"Pass","Fail")))</f>
        <v>Pass</v>
      </c>
      <c r="AE2690" s="1" t="str">
        <f>IF(AND(Table1[[#This Row],[Spec Type2]]="N/A",Table1[[#This Row],[DUT Adj Read]]="N/A",Table1[[#This Row],[Std Adj Read]]="N/A"),"N/A",IF(Table1[[#This Row],[DUT Adj Read]]="N/A",IF(Table1[[#This Row],[Std Adj Read]]&lt;Table1[[#This Row],[High Tol]],"Pass","Fail"),IF(Table1[[#This Row],[DUT Adj Read]]&lt;Table1[[#This Row],[High Tol]],"Pass","Fail")))</f>
        <v>Fail</v>
      </c>
      <c r="AF2690" s="1" t="str">
        <f>IF(AND(Table1[[#This Row],[Spec Type2]]="N/A",Table1[[#This Row],[DUT Adj Read]]="N/A",Table1[[#This Row],[Std Adj Read]]="N/A"),"N/A",IF(Table1[[#This Row],[DUT Adj Read]]="N/A",IF(Table1[[#This Row],[Std Adj Read]]&gt;=Table1[[#This Row],[Low Tol]],"Pass","Fail"),IF(Table1[[#This Row],[DUT Adj Read]]&gt;=Table1[[#This Row],[Low Tol]],"Pass","Fail")))</f>
        <v>Pass</v>
      </c>
      <c r="AG2690" s="1" t="str">
        <f>IF(AND(Table1[[#This Row],[Spec Type2]]="N/A",Table1[[#This Row],[DUT Adj Read]]="N/A",Table1[[#This Row],[Std Adj Read]]="N/A"),"N/A",IF(Table1[[#This Row],[DUT Adj Read]]="N/A",IF(Table1[[#This Row],[Std Adj Read]]&lt;=Table1[[#This Row],[High Tol]],"Pass","Fail"),IF(Table1[[#This Row],[DUT Adj Read]]&lt;=Table1[[#This Row],[High Tol]],"Pass","Fail")))</f>
        <v>Fail</v>
      </c>
      <c r="AH26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0" s="1" t="b">
        <v>0</v>
      </c>
      <c r="AN2690" s="1" t="b">
        <v>0</v>
      </c>
      <c r="AO2690" s="1" t="b">
        <v>0</v>
      </c>
    </row>
    <row r="2691" spans="1:41" x14ac:dyDescent="0.25">
      <c r="A2691" s="10"/>
      <c r="B2691" s="10"/>
      <c r="C2691" s="10"/>
      <c r="D2691" s="10"/>
      <c r="E2691" s="10"/>
      <c r="F2691" s="10"/>
      <c r="G2691" s="10"/>
      <c r="H2691" s="10"/>
      <c r="I2691" s="1" t="str">
        <f t="shared" si="123"/>
        <v/>
      </c>
      <c r="J2691" s="1" t="s">
        <v>35</v>
      </c>
      <c r="K2691" s="1" t="str">
        <f t="shared" si="124"/>
        <v/>
      </c>
      <c r="L2691" s="1" t="str">
        <f t="shared" si="125"/>
        <v/>
      </c>
      <c r="M2691" s="1">
        <f>IF(OR(Table1[[#This Row],[Std Nom]]="",Table1[[#This Row],[Std Read]]=""),0,Table1[[#This Row],[Std Nom]]-Table1[[#This Row],[Std Read]])</f>
        <v>0</v>
      </c>
      <c r="N2691" s="1">
        <f>IF(Calculations!$F$5="ACCREDITED 17025 WITH UNCERTAINTIES",$N$10,0)</f>
        <v>0</v>
      </c>
      <c r="O2691" s="1" t="str">
        <f>IFERROR(Table1[[#This Row],[Std Nom]]-(_xlfn.XLOOKUP(Table1[[#This Row],[Manufacturer]]&amp;" "&amp;Table1[[#This Row],[Model]],Table13[MFR &amp; MDL],Table13[Tolerance % CW ],"")/100*Table1[[#This Row],[Std Nom]]),"")</f>
        <v/>
      </c>
      <c r="P2691" s="1" t="str">
        <f>IFERROR(Table1[[#This Row],[Std Nom]]+(_xlfn.XLOOKUP(Table1[[#This Row],[Manufacturer]]&amp;" "&amp;Table1[[#This Row],[Model]],Table13[MFR &amp; MDL],Table13[Tolerance % CW ],"")/100*Table1[[#This Row],[Std Nom]]),"")</f>
        <v/>
      </c>
      <c r="Q2691" s="1" t="e">
        <f>Table1[[#This Row],[High Tol]]-Table1[[#This Row],[Low Tol]]</f>
        <v>#VALUE!</v>
      </c>
      <c r="R2691" s="1">
        <f>2*Table1[[#This Row],[Std Error]]</f>
        <v>0</v>
      </c>
      <c r="S2691" s="1" t="str">
        <f>IF(Table1[[#This Row],[High Tol]]="","N/A",IFERROR(ABS(Table1[[#This Row],[Tol Span]]/Table1[[#This Row],[Error Span]]),"N/A"))</f>
        <v>N/A</v>
      </c>
      <c r="T2691" s="1" t="str">
        <f>IF(OR(Table1[[#This Row],[Low Tol]]="",Table1[[#This Row],[High Tol]]=""),"Needs Analysis",IF(Table1[[#This Row],[Ratio]]&gt;=4,"Not Significant",IF(Table1[[#This Row],[Ratio]]&gt;=2,"Semi-Significant","Significant")))</f>
        <v>Needs Analysis</v>
      </c>
      <c r="W2691" s="1">
        <f>IF(Table1[[#This Row],[Cal Type]]&lt;&gt;"ACCREDITED 17025 WITH UNCERTAINTIES",0,"")</f>
        <v>0</v>
      </c>
      <c r="X2691" s="1" t="str">
        <f>IF(Table1[[#This Row],[DUT Read]]="","N/A",Table1[[#This Row],[Std Error]]+Table1[[#This Row],[DUT Read]]+Table1[[#This Row],[DUT Ucty]])</f>
        <v>N/A</v>
      </c>
      <c r="Y2691" s="1" t="str">
        <f>IF(Table1[[#This Row],[Std Read]]="","N/A",Table1[[#This Row],[Std Read]]+Table1[[#This Row],[Std Ucty]])</f>
        <v>N/A</v>
      </c>
      <c r="Z26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1" s="1" t="str">
        <f>IF(Table1[[#This Row],[Spec Type]]="","N/A",Table1[[#This Row],[Spec Type]])</f>
        <v>±</v>
      </c>
      <c r="AC2691" s="1" t="str">
        <f>IF(Table1[[#This Row],[Spec Type2]]="N/A","N/A",IF(AND(Table1[[#This Row],[DUT Adj Read]]&gt;=Table1[[#This Row],[Low Tol]],Table1[[#This Row],[DUT Adj Read]]&lt;=Table1[[#This Row],[High Tol]]),"Pass","Fail"))</f>
        <v>Fail</v>
      </c>
      <c r="AD2691" s="1" t="str">
        <f>IF(AND(Table1[[#This Row],[Spec Type2]]="N/A",Table1[[#This Row],[DUT Adj Read]]="N/A",Table1[[#This Row],[Std Adj Read]]="N/A"),"N/A",IF(Table1[[#This Row],[DUT Adj Read]]="N/A",IF(Table1[[#This Row],[Std Adj Read]]&gt;Table1[[#This Row],[Low Tol]],"Pass","Fail"),IF(Table1[[#This Row],[DUT Adj Read]]&gt;Table1[[#This Row],[Low Tol]],"Pass","Fail")))</f>
        <v>Pass</v>
      </c>
      <c r="AE2691" s="1" t="str">
        <f>IF(AND(Table1[[#This Row],[Spec Type2]]="N/A",Table1[[#This Row],[DUT Adj Read]]="N/A",Table1[[#This Row],[Std Adj Read]]="N/A"),"N/A",IF(Table1[[#This Row],[DUT Adj Read]]="N/A",IF(Table1[[#This Row],[Std Adj Read]]&lt;Table1[[#This Row],[High Tol]],"Pass","Fail"),IF(Table1[[#This Row],[DUT Adj Read]]&lt;Table1[[#This Row],[High Tol]],"Pass","Fail")))</f>
        <v>Fail</v>
      </c>
      <c r="AF2691" s="1" t="str">
        <f>IF(AND(Table1[[#This Row],[Spec Type2]]="N/A",Table1[[#This Row],[DUT Adj Read]]="N/A",Table1[[#This Row],[Std Adj Read]]="N/A"),"N/A",IF(Table1[[#This Row],[DUT Adj Read]]="N/A",IF(Table1[[#This Row],[Std Adj Read]]&gt;=Table1[[#This Row],[Low Tol]],"Pass","Fail"),IF(Table1[[#This Row],[DUT Adj Read]]&gt;=Table1[[#This Row],[Low Tol]],"Pass","Fail")))</f>
        <v>Pass</v>
      </c>
      <c r="AG2691" s="1" t="str">
        <f>IF(AND(Table1[[#This Row],[Spec Type2]]="N/A",Table1[[#This Row],[DUT Adj Read]]="N/A",Table1[[#This Row],[Std Adj Read]]="N/A"),"N/A",IF(Table1[[#This Row],[DUT Adj Read]]="N/A",IF(Table1[[#This Row],[Std Adj Read]]&lt;=Table1[[#This Row],[High Tol]],"Pass","Fail"),IF(Table1[[#This Row],[DUT Adj Read]]&lt;=Table1[[#This Row],[High Tol]],"Pass","Fail")))</f>
        <v>Fail</v>
      </c>
      <c r="AH26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1" s="1" t="b">
        <v>0</v>
      </c>
      <c r="AN2691" s="1" t="b">
        <v>0</v>
      </c>
      <c r="AO2691" s="1" t="b">
        <v>0</v>
      </c>
    </row>
    <row r="2692" spans="1:41" x14ac:dyDescent="0.25">
      <c r="A2692" s="10"/>
      <c r="B2692" s="10"/>
      <c r="C2692" s="10"/>
      <c r="D2692" s="10"/>
      <c r="E2692" s="10"/>
      <c r="F2692" s="10"/>
      <c r="G2692" s="10"/>
      <c r="H2692" s="10"/>
      <c r="I2692" s="1" t="str">
        <f t="shared" si="123"/>
        <v/>
      </c>
      <c r="J2692" s="1" t="s">
        <v>35</v>
      </c>
      <c r="K2692" s="1" t="str">
        <f t="shared" si="124"/>
        <v/>
      </c>
      <c r="L2692" s="1" t="str">
        <f t="shared" si="125"/>
        <v/>
      </c>
      <c r="M2692" s="1">
        <f>IF(OR(Table1[[#This Row],[Std Nom]]="",Table1[[#This Row],[Std Read]]=""),0,Table1[[#This Row],[Std Nom]]-Table1[[#This Row],[Std Read]])</f>
        <v>0</v>
      </c>
      <c r="N2692" s="1">
        <f>IF(Calculations!$F$5="ACCREDITED 17025 WITH UNCERTAINTIES",$N$10,0)</f>
        <v>0</v>
      </c>
      <c r="O2692" s="1" t="str">
        <f>IFERROR(Table1[[#This Row],[Std Nom]]-(_xlfn.XLOOKUP(Table1[[#This Row],[Manufacturer]]&amp;" "&amp;Table1[[#This Row],[Model]],Table13[MFR &amp; MDL],Table13[Tolerance % CW ],"")/100*Table1[[#This Row],[Std Nom]]),"")</f>
        <v/>
      </c>
      <c r="P2692" s="1" t="str">
        <f>IFERROR(Table1[[#This Row],[Std Nom]]+(_xlfn.XLOOKUP(Table1[[#This Row],[Manufacturer]]&amp;" "&amp;Table1[[#This Row],[Model]],Table13[MFR &amp; MDL],Table13[Tolerance % CW ],"")/100*Table1[[#This Row],[Std Nom]]),"")</f>
        <v/>
      </c>
      <c r="Q2692" s="1" t="e">
        <f>Table1[[#This Row],[High Tol]]-Table1[[#This Row],[Low Tol]]</f>
        <v>#VALUE!</v>
      </c>
      <c r="R2692" s="1">
        <f>2*Table1[[#This Row],[Std Error]]</f>
        <v>0</v>
      </c>
      <c r="S2692" s="1" t="str">
        <f>IF(Table1[[#This Row],[High Tol]]="","N/A",IFERROR(ABS(Table1[[#This Row],[Tol Span]]/Table1[[#This Row],[Error Span]]),"N/A"))</f>
        <v>N/A</v>
      </c>
      <c r="T2692" s="1" t="str">
        <f>IF(OR(Table1[[#This Row],[Low Tol]]="",Table1[[#This Row],[High Tol]]=""),"Needs Analysis",IF(Table1[[#This Row],[Ratio]]&gt;=4,"Not Significant",IF(Table1[[#This Row],[Ratio]]&gt;=2,"Semi-Significant","Significant")))</f>
        <v>Needs Analysis</v>
      </c>
      <c r="W2692" s="1">
        <f>IF(Table1[[#This Row],[Cal Type]]&lt;&gt;"ACCREDITED 17025 WITH UNCERTAINTIES",0,"")</f>
        <v>0</v>
      </c>
      <c r="X2692" s="1" t="str">
        <f>IF(Table1[[#This Row],[DUT Read]]="","N/A",Table1[[#This Row],[Std Error]]+Table1[[#This Row],[DUT Read]]+Table1[[#This Row],[DUT Ucty]])</f>
        <v>N/A</v>
      </c>
      <c r="Y2692" s="1" t="str">
        <f>IF(Table1[[#This Row],[Std Read]]="","N/A",Table1[[#This Row],[Std Read]]+Table1[[#This Row],[Std Ucty]])</f>
        <v>N/A</v>
      </c>
      <c r="Z26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2" s="1" t="str">
        <f>IF(Table1[[#This Row],[Spec Type]]="","N/A",Table1[[#This Row],[Spec Type]])</f>
        <v>±</v>
      </c>
      <c r="AC2692" s="1" t="str">
        <f>IF(Table1[[#This Row],[Spec Type2]]="N/A","N/A",IF(AND(Table1[[#This Row],[DUT Adj Read]]&gt;=Table1[[#This Row],[Low Tol]],Table1[[#This Row],[DUT Adj Read]]&lt;=Table1[[#This Row],[High Tol]]),"Pass","Fail"))</f>
        <v>Fail</v>
      </c>
      <c r="AD2692" s="1" t="str">
        <f>IF(AND(Table1[[#This Row],[Spec Type2]]="N/A",Table1[[#This Row],[DUT Adj Read]]="N/A",Table1[[#This Row],[Std Adj Read]]="N/A"),"N/A",IF(Table1[[#This Row],[DUT Adj Read]]="N/A",IF(Table1[[#This Row],[Std Adj Read]]&gt;Table1[[#This Row],[Low Tol]],"Pass","Fail"),IF(Table1[[#This Row],[DUT Adj Read]]&gt;Table1[[#This Row],[Low Tol]],"Pass","Fail")))</f>
        <v>Pass</v>
      </c>
      <c r="AE2692" s="1" t="str">
        <f>IF(AND(Table1[[#This Row],[Spec Type2]]="N/A",Table1[[#This Row],[DUT Adj Read]]="N/A",Table1[[#This Row],[Std Adj Read]]="N/A"),"N/A",IF(Table1[[#This Row],[DUT Adj Read]]="N/A",IF(Table1[[#This Row],[Std Adj Read]]&lt;Table1[[#This Row],[High Tol]],"Pass","Fail"),IF(Table1[[#This Row],[DUT Adj Read]]&lt;Table1[[#This Row],[High Tol]],"Pass","Fail")))</f>
        <v>Fail</v>
      </c>
      <c r="AF2692" s="1" t="str">
        <f>IF(AND(Table1[[#This Row],[Spec Type2]]="N/A",Table1[[#This Row],[DUT Adj Read]]="N/A",Table1[[#This Row],[Std Adj Read]]="N/A"),"N/A",IF(Table1[[#This Row],[DUT Adj Read]]="N/A",IF(Table1[[#This Row],[Std Adj Read]]&gt;=Table1[[#This Row],[Low Tol]],"Pass","Fail"),IF(Table1[[#This Row],[DUT Adj Read]]&gt;=Table1[[#This Row],[Low Tol]],"Pass","Fail")))</f>
        <v>Pass</v>
      </c>
      <c r="AG2692" s="1" t="str">
        <f>IF(AND(Table1[[#This Row],[Spec Type2]]="N/A",Table1[[#This Row],[DUT Adj Read]]="N/A",Table1[[#This Row],[Std Adj Read]]="N/A"),"N/A",IF(Table1[[#This Row],[DUT Adj Read]]="N/A",IF(Table1[[#This Row],[Std Adj Read]]&lt;=Table1[[#This Row],[High Tol]],"Pass","Fail"),IF(Table1[[#This Row],[DUT Adj Read]]&lt;=Table1[[#This Row],[High Tol]],"Pass","Fail")))</f>
        <v>Fail</v>
      </c>
      <c r="AH26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2" s="1" t="b">
        <v>0</v>
      </c>
      <c r="AN2692" s="1" t="b">
        <v>0</v>
      </c>
      <c r="AO2692" s="1" t="b">
        <v>0</v>
      </c>
    </row>
    <row r="2693" spans="1:41" x14ac:dyDescent="0.25">
      <c r="A2693" s="10"/>
      <c r="B2693" s="10"/>
      <c r="C2693" s="10"/>
      <c r="D2693" s="10"/>
      <c r="E2693" s="10"/>
      <c r="F2693" s="10"/>
      <c r="G2693" s="10"/>
      <c r="H2693" s="10"/>
      <c r="I2693" s="1" t="str">
        <f t="shared" si="123"/>
        <v/>
      </c>
      <c r="J2693" s="1" t="s">
        <v>35</v>
      </c>
      <c r="K2693" s="1" t="str">
        <f t="shared" si="124"/>
        <v/>
      </c>
      <c r="L2693" s="1" t="str">
        <f t="shared" si="125"/>
        <v/>
      </c>
      <c r="M2693" s="1">
        <f>IF(OR(Table1[[#This Row],[Std Nom]]="",Table1[[#This Row],[Std Read]]=""),0,Table1[[#This Row],[Std Nom]]-Table1[[#This Row],[Std Read]])</f>
        <v>0</v>
      </c>
      <c r="N2693" s="1">
        <f>IF(Calculations!$F$5="ACCREDITED 17025 WITH UNCERTAINTIES",$N$10,0)</f>
        <v>0</v>
      </c>
      <c r="O2693" s="1" t="str">
        <f>IFERROR(Table1[[#This Row],[Std Nom]]-(_xlfn.XLOOKUP(Table1[[#This Row],[Manufacturer]]&amp;" "&amp;Table1[[#This Row],[Model]],Table13[MFR &amp; MDL],Table13[Tolerance % CW ],"")/100*Table1[[#This Row],[Std Nom]]),"")</f>
        <v/>
      </c>
      <c r="P2693" s="1" t="str">
        <f>IFERROR(Table1[[#This Row],[Std Nom]]+(_xlfn.XLOOKUP(Table1[[#This Row],[Manufacturer]]&amp;" "&amp;Table1[[#This Row],[Model]],Table13[MFR &amp; MDL],Table13[Tolerance % CW ],"")/100*Table1[[#This Row],[Std Nom]]),"")</f>
        <v/>
      </c>
      <c r="Q2693" s="1" t="e">
        <f>Table1[[#This Row],[High Tol]]-Table1[[#This Row],[Low Tol]]</f>
        <v>#VALUE!</v>
      </c>
      <c r="R2693" s="1">
        <f>2*Table1[[#This Row],[Std Error]]</f>
        <v>0</v>
      </c>
      <c r="S2693" s="1" t="str">
        <f>IF(Table1[[#This Row],[High Tol]]="","N/A",IFERROR(ABS(Table1[[#This Row],[Tol Span]]/Table1[[#This Row],[Error Span]]),"N/A"))</f>
        <v>N/A</v>
      </c>
      <c r="T2693" s="1" t="str">
        <f>IF(OR(Table1[[#This Row],[Low Tol]]="",Table1[[#This Row],[High Tol]]=""),"Needs Analysis",IF(Table1[[#This Row],[Ratio]]&gt;=4,"Not Significant",IF(Table1[[#This Row],[Ratio]]&gt;=2,"Semi-Significant","Significant")))</f>
        <v>Needs Analysis</v>
      </c>
      <c r="W2693" s="1">
        <f>IF(Table1[[#This Row],[Cal Type]]&lt;&gt;"ACCREDITED 17025 WITH UNCERTAINTIES",0,"")</f>
        <v>0</v>
      </c>
      <c r="X2693" s="1" t="str">
        <f>IF(Table1[[#This Row],[DUT Read]]="","N/A",Table1[[#This Row],[Std Error]]+Table1[[#This Row],[DUT Read]]+Table1[[#This Row],[DUT Ucty]])</f>
        <v>N/A</v>
      </c>
      <c r="Y2693" s="1" t="str">
        <f>IF(Table1[[#This Row],[Std Read]]="","N/A",Table1[[#This Row],[Std Read]]+Table1[[#This Row],[Std Ucty]])</f>
        <v>N/A</v>
      </c>
      <c r="Z26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3" s="1" t="str">
        <f>IF(Table1[[#This Row],[Spec Type]]="","N/A",Table1[[#This Row],[Spec Type]])</f>
        <v>±</v>
      </c>
      <c r="AC2693" s="1" t="str">
        <f>IF(Table1[[#This Row],[Spec Type2]]="N/A","N/A",IF(AND(Table1[[#This Row],[DUT Adj Read]]&gt;=Table1[[#This Row],[Low Tol]],Table1[[#This Row],[DUT Adj Read]]&lt;=Table1[[#This Row],[High Tol]]),"Pass","Fail"))</f>
        <v>Fail</v>
      </c>
      <c r="AD2693" s="1" t="str">
        <f>IF(AND(Table1[[#This Row],[Spec Type2]]="N/A",Table1[[#This Row],[DUT Adj Read]]="N/A",Table1[[#This Row],[Std Adj Read]]="N/A"),"N/A",IF(Table1[[#This Row],[DUT Adj Read]]="N/A",IF(Table1[[#This Row],[Std Adj Read]]&gt;Table1[[#This Row],[Low Tol]],"Pass","Fail"),IF(Table1[[#This Row],[DUT Adj Read]]&gt;Table1[[#This Row],[Low Tol]],"Pass","Fail")))</f>
        <v>Pass</v>
      </c>
      <c r="AE2693" s="1" t="str">
        <f>IF(AND(Table1[[#This Row],[Spec Type2]]="N/A",Table1[[#This Row],[DUT Adj Read]]="N/A",Table1[[#This Row],[Std Adj Read]]="N/A"),"N/A",IF(Table1[[#This Row],[DUT Adj Read]]="N/A",IF(Table1[[#This Row],[Std Adj Read]]&lt;Table1[[#This Row],[High Tol]],"Pass","Fail"),IF(Table1[[#This Row],[DUT Adj Read]]&lt;Table1[[#This Row],[High Tol]],"Pass","Fail")))</f>
        <v>Fail</v>
      </c>
      <c r="AF2693" s="1" t="str">
        <f>IF(AND(Table1[[#This Row],[Spec Type2]]="N/A",Table1[[#This Row],[DUT Adj Read]]="N/A",Table1[[#This Row],[Std Adj Read]]="N/A"),"N/A",IF(Table1[[#This Row],[DUT Adj Read]]="N/A",IF(Table1[[#This Row],[Std Adj Read]]&gt;=Table1[[#This Row],[Low Tol]],"Pass","Fail"),IF(Table1[[#This Row],[DUT Adj Read]]&gt;=Table1[[#This Row],[Low Tol]],"Pass","Fail")))</f>
        <v>Pass</v>
      </c>
      <c r="AG2693" s="1" t="str">
        <f>IF(AND(Table1[[#This Row],[Spec Type2]]="N/A",Table1[[#This Row],[DUT Adj Read]]="N/A",Table1[[#This Row],[Std Adj Read]]="N/A"),"N/A",IF(Table1[[#This Row],[DUT Adj Read]]="N/A",IF(Table1[[#This Row],[Std Adj Read]]&lt;=Table1[[#This Row],[High Tol]],"Pass","Fail"),IF(Table1[[#This Row],[DUT Adj Read]]&lt;=Table1[[#This Row],[High Tol]],"Pass","Fail")))</f>
        <v>Fail</v>
      </c>
      <c r="AH26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3" s="1" t="b">
        <v>0</v>
      </c>
      <c r="AN2693" s="1" t="b">
        <v>0</v>
      </c>
      <c r="AO2693" s="1" t="b">
        <v>0</v>
      </c>
    </row>
    <row r="2694" spans="1:41" x14ac:dyDescent="0.25">
      <c r="A2694" s="10"/>
      <c r="B2694" s="10"/>
      <c r="C2694" s="10"/>
      <c r="D2694" s="10"/>
      <c r="E2694" s="10"/>
      <c r="F2694" s="10"/>
      <c r="G2694" s="10"/>
      <c r="H2694" s="10"/>
      <c r="I2694" s="1" t="str">
        <f t="shared" si="123"/>
        <v/>
      </c>
      <c r="J2694" s="1" t="s">
        <v>35</v>
      </c>
      <c r="K2694" s="1" t="str">
        <f t="shared" si="124"/>
        <v/>
      </c>
      <c r="L2694" s="1" t="str">
        <f t="shared" si="125"/>
        <v/>
      </c>
      <c r="M2694" s="1">
        <f>IF(OR(Table1[[#This Row],[Std Nom]]="",Table1[[#This Row],[Std Read]]=""),0,Table1[[#This Row],[Std Nom]]-Table1[[#This Row],[Std Read]])</f>
        <v>0</v>
      </c>
      <c r="N2694" s="1">
        <f>IF(Calculations!$F$5="ACCREDITED 17025 WITH UNCERTAINTIES",$N$10,0)</f>
        <v>0</v>
      </c>
      <c r="O2694" s="1" t="str">
        <f>IFERROR(Table1[[#This Row],[Std Nom]]-(_xlfn.XLOOKUP(Table1[[#This Row],[Manufacturer]]&amp;" "&amp;Table1[[#This Row],[Model]],Table13[MFR &amp; MDL],Table13[Tolerance % CW ],"")/100*Table1[[#This Row],[Std Nom]]),"")</f>
        <v/>
      </c>
      <c r="P2694" s="1" t="str">
        <f>IFERROR(Table1[[#This Row],[Std Nom]]+(_xlfn.XLOOKUP(Table1[[#This Row],[Manufacturer]]&amp;" "&amp;Table1[[#This Row],[Model]],Table13[MFR &amp; MDL],Table13[Tolerance % CW ],"")/100*Table1[[#This Row],[Std Nom]]),"")</f>
        <v/>
      </c>
      <c r="Q2694" s="1" t="e">
        <f>Table1[[#This Row],[High Tol]]-Table1[[#This Row],[Low Tol]]</f>
        <v>#VALUE!</v>
      </c>
      <c r="R2694" s="1">
        <f>2*Table1[[#This Row],[Std Error]]</f>
        <v>0</v>
      </c>
      <c r="S2694" s="1" t="str">
        <f>IF(Table1[[#This Row],[High Tol]]="","N/A",IFERROR(ABS(Table1[[#This Row],[Tol Span]]/Table1[[#This Row],[Error Span]]),"N/A"))</f>
        <v>N/A</v>
      </c>
      <c r="T2694" s="1" t="str">
        <f>IF(OR(Table1[[#This Row],[Low Tol]]="",Table1[[#This Row],[High Tol]]=""),"Needs Analysis",IF(Table1[[#This Row],[Ratio]]&gt;=4,"Not Significant",IF(Table1[[#This Row],[Ratio]]&gt;=2,"Semi-Significant","Significant")))</f>
        <v>Needs Analysis</v>
      </c>
      <c r="W2694" s="1">
        <f>IF(Table1[[#This Row],[Cal Type]]&lt;&gt;"ACCREDITED 17025 WITH UNCERTAINTIES",0,"")</f>
        <v>0</v>
      </c>
      <c r="X2694" s="1" t="str">
        <f>IF(Table1[[#This Row],[DUT Read]]="","N/A",Table1[[#This Row],[Std Error]]+Table1[[#This Row],[DUT Read]]+Table1[[#This Row],[DUT Ucty]])</f>
        <v>N/A</v>
      </c>
      <c r="Y2694" s="1" t="str">
        <f>IF(Table1[[#This Row],[Std Read]]="","N/A",Table1[[#This Row],[Std Read]]+Table1[[#This Row],[Std Ucty]])</f>
        <v>N/A</v>
      </c>
      <c r="Z26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4" s="1" t="str">
        <f>IF(Table1[[#This Row],[Spec Type]]="","N/A",Table1[[#This Row],[Spec Type]])</f>
        <v>±</v>
      </c>
      <c r="AC2694" s="1" t="str">
        <f>IF(Table1[[#This Row],[Spec Type2]]="N/A","N/A",IF(AND(Table1[[#This Row],[DUT Adj Read]]&gt;=Table1[[#This Row],[Low Tol]],Table1[[#This Row],[DUT Adj Read]]&lt;=Table1[[#This Row],[High Tol]]),"Pass","Fail"))</f>
        <v>Fail</v>
      </c>
      <c r="AD2694" s="1" t="str">
        <f>IF(AND(Table1[[#This Row],[Spec Type2]]="N/A",Table1[[#This Row],[DUT Adj Read]]="N/A",Table1[[#This Row],[Std Adj Read]]="N/A"),"N/A",IF(Table1[[#This Row],[DUT Adj Read]]="N/A",IF(Table1[[#This Row],[Std Adj Read]]&gt;Table1[[#This Row],[Low Tol]],"Pass","Fail"),IF(Table1[[#This Row],[DUT Adj Read]]&gt;Table1[[#This Row],[Low Tol]],"Pass","Fail")))</f>
        <v>Pass</v>
      </c>
      <c r="AE2694" s="1" t="str">
        <f>IF(AND(Table1[[#This Row],[Spec Type2]]="N/A",Table1[[#This Row],[DUT Adj Read]]="N/A",Table1[[#This Row],[Std Adj Read]]="N/A"),"N/A",IF(Table1[[#This Row],[DUT Adj Read]]="N/A",IF(Table1[[#This Row],[Std Adj Read]]&lt;Table1[[#This Row],[High Tol]],"Pass","Fail"),IF(Table1[[#This Row],[DUT Adj Read]]&lt;Table1[[#This Row],[High Tol]],"Pass","Fail")))</f>
        <v>Fail</v>
      </c>
      <c r="AF2694" s="1" t="str">
        <f>IF(AND(Table1[[#This Row],[Spec Type2]]="N/A",Table1[[#This Row],[DUT Adj Read]]="N/A",Table1[[#This Row],[Std Adj Read]]="N/A"),"N/A",IF(Table1[[#This Row],[DUT Adj Read]]="N/A",IF(Table1[[#This Row],[Std Adj Read]]&gt;=Table1[[#This Row],[Low Tol]],"Pass","Fail"),IF(Table1[[#This Row],[DUT Adj Read]]&gt;=Table1[[#This Row],[Low Tol]],"Pass","Fail")))</f>
        <v>Pass</v>
      </c>
      <c r="AG2694" s="1" t="str">
        <f>IF(AND(Table1[[#This Row],[Spec Type2]]="N/A",Table1[[#This Row],[DUT Adj Read]]="N/A",Table1[[#This Row],[Std Adj Read]]="N/A"),"N/A",IF(Table1[[#This Row],[DUT Adj Read]]="N/A",IF(Table1[[#This Row],[Std Adj Read]]&lt;=Table1[[#This Row],[High Tol]],"Pass","Fail"),IF(Table1[[#This Row],[DUT Adj Read]]&lt;=Table1[[#This Row],[High Tol]],"Pass","Fail")))</f>
        <v>Fail</v>
      </c>
      <c r="AH26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4" s="1" t="b">
        <v>0</v>
      </c>
      <c r="AN2694" s="1" t="b">
        <v>0</v>
      </c>
      <c r="AO2694" s="1" t="b">
        <v>0</v>
      </c>
    </row>
    <row r="2695" spans="1:41" x14ac:dyDescent="0.25">
      <c r="A2695" s="10"/>
      <c r="B2695" s="10"/>
      <c r="C2695" s="10"/>
      <c r="D2695" s="10"/>
      <c r="E2695" s="10"/>
      <c r="F2695" s="10"/>
      <c r="G2695" s="10"/>
      <c r="H2695" s="10"/>
      <c r="I2695" s="1" t="str">
        <f t="shared" si="123"/>
        <v/>
      </c>
      <c r="J2695" s="1" t="s">
        <v>35</v>
      </c>
      <c r="K2695" s="1" t="str">
        <f t="shared" si="124"/>
        <v/>
      </c>
      <c r="L2695" s="1" t="str">
        <f t="shared" si="125"/>
        <v/>
      </c>
      <c r="M2695" s="1">
        <f>IF(OR(Table1[[#This Row],[Std Nom]]="",Table1[[#This Row],[Std Read]]=""),0,Table1[[#This Row],[Std Nom]]-Table1[[#This Row],[Std Read]])</f>
        <v>0</v>
      </c>
      <c r="N2695" s="1">
        <f>IF(Calculations!$F$5="ACCREDITED 17025 WITH UNCERTAINTIES",$N$10,0)</f>
        <v>0</v>
      </c>
      <c r="O2695" s="1" t="str">
        <f>IFERROR(Table1[[#This Row],[Std Nom]]-(_xlfn.XLOOKUP(Table1[[#This Row],[Manufacturer]]&amp;" "&amp;Table1[[#This Row],[Model]],Table13[MFR &amp; MDL],Table13[Tolerance % CW ],"")/100*Table1[[#This Row],[Std Nom]]),"")</f>
        <v/>
      </c>
      <c r="P2695" s="1" t="str">
        <f>IFERROR(Table1[[#This Row],[Std Nom]]+(_xlfn.XLOOKUP(Table1[[#This Row],[Manufacturer]]&amp;" "&amp;Table1[[#This Row],[Model]],Table13[MFR &amp; MDL],Table13[Tolerance % CW ],"")/100*Table1[[#This Row],[Std Nom]]),"")</f>
        <v/>
      </c>
      <c r="Q2695" s="1" t="e">
        <f>Table1[[#This Row],[High Tol]]-Table1[[#This Row],[Low Tol]]</f>
        <v>#VALUE!</v>
      </c>
      <c r="R2695" s="1">
        <f>2*Table1[[#This Row],[Std Error]]</f>
        <v>0</v>
      </c>
      <c r="S2695" s="1" t="str">
        <f>IF(Table1[[#This Row],[High Tol]]="","N/A",IFERROR(ABS(Table1[[#This Row],[Tol Span]]/Table1[[#This Row],[Error Span]]),"N/A"))</f>
        <v>N/A</v>
      </c>
      <c r="T2695" s="1" t="str">
        <f>IF(OR(Table1[[#This Row],[Low Tol]]="",Table1[[#This Row],[High Tol]]=""),"Needs Analysis",IF(Table1[[#This Row],[Ratio]]&gt;=4,"Not Significant",IF(Table1[[#This Row],[Ratio]]&gt;=2,"Semi-Significant","Significant")))</f>
        <v>Needs Analysis</v>
      </c>
      <c r="W2695" s="1">
        <f>IF(Table1[[#This Row],[Cal Type]]&lt;&gt;"ACCREDITED 17025 WITH UNCERTAINTIES",0,"")</f>
        <v>0</v>
      </c>
      <c r="X2695" s="1" t="str">
        <f>IF(Table1[[#This Row],[DUT Read]]="","N/A",Table1[[#This Row],[Std Error]]+Table1[[#This Row],[DUT Read]]+Table1[[#This Row],[DUT Ucty]])</f>
        <v>N/A</v>
      </c>
      <c r="Y2695" s="1" t="str">
        <f>IF(Table1[[#This Row],[Std Read]]="","N/A",Table1[[#This Row],[Std Read]]+Table1[[#This Row],[Std Ucty]])</f>
        <v>N/A</v>
      </c>
      <c r="Z26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5" s="1" t="str">
        <f>IF(Table1[[#This Row],[Spec Type]]="","N/A",Table1[[#This Row],[Spec Type]])</f>
        <v>±</v>
      </c>
      <c r="AC2695" s="1" t="str">
        <f>IF(Table1[[#This Row],[Spec Type2]]="N/A","N/A",IF(AND(Table1[[#This Row],[DUT Adj Read]]&gt;=Table1[[#This Row],[Low Tol]],Table1[[#This Row],[DUT Adj Read]]&lt;=Table1[[#This Row],[High Tol]]),"Pass","Fail"))</f>
        <v>Fail</v>
      </c>
      <c r="AD2695" s="1" t="str">
        <f>IF(AND(Table1[[#This Row],[Spec Type2]]="N/A",Table1[[#This Row],[DUT Adj Read]]="N/A",Table1[[#This Row],[Std Adj Read]]="N/A"),"N/A",IF(Table1[[#This Row],[DUT Adj Read]]="N/A",IF(Table1[[#This Row],[Std Adj Read]]&gt;Table1[[#This Row],[Low Tol]],"Pass","Fail"),IF(Table1[[#This Row],[DUT Adj Read]]&gt;Table1[[#This Row],[Low Tol]],"Pass","Fail")))</f>
        <v>Pass</v>
      </c>
      <c r="AE2695" s="1" t="str">
        <f>IF(AND(Table1[[#This Row],[Spec Type2]]="N/A",Table1[[#This Row],[DUT Adj Read]]="N/A",Table1[[#This Row],[Std Adj Read]]="N/A"),"N/A",IF(Table1[[#This Row],[DUT Adj Read]]="N/A",IF(Table1[[#This Row],[Std Adj Read]]&lt;Table1[[#This Row],[High Tol]],"Pass","Fail"),IF(Table1[[#This Row],[DUT Adj Read]]&lt;Table1[[#This Row],[High Tol]],"Pass","Fail")))</f>
        <v>Fail</v>
      </c>
      <c r="AF2695" s="1" t="str">
        <f>IF(AND(Table1[[#This Row],[Spec Type2]]="N/A",Table1[[#This Row],[DUT Adj Read]]="N/A",Table1[[#This Row],[Std Adj Read]]="N/A"),"N/A",IF(Table1[[#This Row],[DUT Adj Read]]="N/A",IF(Table1[[#This Row],[Std Adj Read]]&gt;=Table1[[#This Row],[Low Tol]],"Pass","Fail"),IF(Table1[[#This Row],[DUT Adj Read]]&gt;=Table1[[#This Row],[Low Tol]],"Pass","Fail")))</f>
        <v>Pass</v>
      </c>
      <c r="AG2695" s="1" t="str">
        <f>IF(AND(Table1[[#This Row],[Spec Type2]]="N/A",Table1[[#This Row],[DUT Adj Read]]="N/A",Table1[[#This Row],[Std Adj Read]]="N/A"),"N/A",IF(Table1[[#This Row],[DUT Adj Read]]="N/A",IF(Table1[[#This Row],[Std Adj Read]]&lt;=Table1[[#This Row],[High Tol]],"Pass","Fail"),IF(Table1[[#This Row],[DUT Adj Read]]&lt;=Table1[[#This Row],[High Tol]],"Pass","Fail")))</f>
        <v>Fail</v>
      </c>
      <c r="AH26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5" s="1" t="b">
        <v>0</v>
      </c>
      <c r="AN2695" s="1" t="b">
        <v>0</v>
      </c>
      <c r="AO2695" s="1" t="b">
        <v>0</v>
      </c>
    </row>
    <row r="2696" spans="1:41" x14ac:dyDescent="0.25">
      <c r="A2696" s="10"/>
      <c r="B2696" s="10"/>
      <c r="C2696" s="10"/>
      <c r="D2696" s="10"/>
      <c r="E2696" s="10"/>
      <c r="F2696" s="10"/>
      <c r="G2696" s="10"/>
      <c r="H2696" s="10"/>
      <c r="I2696" s="1" t="str">
        <f t="shared" si="123"/>
        <v/>
      </c>
      <c r="J2696" s="1" t="s">
        <v>35</v>
      </c>
      <c r="K2696" s="1" t="str">
        <f t="shared" si="124"/>
        <v/>
      </c>
      <c r="L2696" s="1" t="str">
        <f t="shared" si="125"/>
        <v/>
      </c>
      <c r="M2696" s="1">
        <f>IF(OR(Table1[[#This Row],[Std Nom]]="",Table1[[#This Row],[Std Read]]=""),0,Table1[[#This Row],[Std Nom]]-Table1[[#This Row],[Std Read]])</f>
        <v>0</v>
      </c>
      <c r="N2696" s="1">
        <f>IF(Calculations!$F$5="ACCREDITED 17025 WITH UNCERTAINTIES",$N$10,0)</f>
        <v>0</v>
      </c>
      <c r="O2696" s="1" t="str">
        <f>IFERROR(Table1[[#This Row],[Std Nom]]-(_xlfn.XLOOKUP(Table1[[#This Row],[Manufacturer]]&amp;" "&amp;Table1[[#This Row],[Model]],Table13[MFR &amp; MDL],Table13[Tolerance % CW ],"")/100*Table1[[#This Row],[Std Nom]]),"")</f>
        <v/>
      </c>
      <c r="P2696" s="1" t="str">
        <f>IFERROR(Table1[[#This Row],[Std Nom]]+(_xlfn.XLOOKUP(Table1[[#This Row],[Manufacturer]]&amp;" "&amp;Table1[[#This Row],[Model]],Table13[MFR &amp; MDL],Table13[Tolerance % CW ],"")/100*Table1[[#This Row],[Std Nom]]),"")</f>
        <v/>
      </c>
      <c r="Q2696" s="1" t="e">
        <f>Table1[[#This Row],[High Tol]]-Table1[[#This Row],[Low Tol]]</f>
        <v>#VALUE!</v>
      </c>
      <c r="R2696" s="1">
        <f>2*Table1[[#This Row],[Std Error]]</f>
        <v>0</v>
      </c>
      <c r="S2696" s="1" t="str">
        <f>IF(Table1[[#This Row],[High Tol]]="","N/A",IFERROR(ABS(Table1[[#This Row],[Tol Span]]/Table1[[#This Row],[Error Span]]),"N/A"))</f>
        <v>N/A</v>
      </c>
      <c r="T2696" s="1" t="str">
        <f>IF(OR(Table1[[#This Row],[Low Tol]]="",Table1[[#This Row],[High Tol]]=""),"Needs Analysis",IF(Table1[[#This Row],[Ratio]]&gt;=4,"Not Significant",IF(Table1[[#This Row],[Ratio]]&gt;=2,"Semi-Significant","Significant")))</f>
        <v>Needs Analysis</v>
      </c>
      <c r="W2696" s="1">
        <f>IF(Table1[[#This Row],[Cal Type]]&lt;&gt;"ACCREDITED 17025 WITH UNCERTAINTIES",0,"")</f>
        <v>0</v>
      </c>
      <c r="X2696" s="1" t="str">
        <f>IF(Table1[[#This Row],[DUT Read]]="","N/A",Table1[[#This Row],[Std Error]]+Table1[[#This Row],[DUT Read]]+Table1[[#This Row],[DUT Ucty]])</f>
        <v>N/A</v>
      </c>
      <c r="Y2696" s="1" t="str">
        <f>IF(Table1[[#This Row],[Std Read]]="","N/A",Table1[[#This Row],[Std Read]]+Table1[[#This Row],[Std Ucty]])</f>
        <v>N/A</v>
      </c>
      <c r="Z26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6" s="1" t="str">
        <f>IF(Table1[[#This Row],[Spec Type]]="","N/A",Table1[[#This Row],[Spec Type]])</f>
        <v>±</v>
      </c>
      <c r="AC2696" s="1" t="str">
        <f>IF(Table1[[#This Row],[Spec Type2]]="N/A","N/A",IF(AND(Table1[[#This Row],[DUT Adj Read]]&gt;=Table1[[#This Row],[Low Tol]],Table1[[#This Row],[DUT Adj Read]]&lt;=Table1[[#This Row],[High Tol]]),"Pass","Fail"))</f>
        <v>Fail</v>
      </c>
      <c r="AD2696" s="1" t="str">
        <f>IF(AND(Table1[[#This Row],[Spec Type2]]="N/A",Table1[[#This Row],[DUT Adj Read]]="N/A",Table1[[#This Row],[Std Adj Read]]="N/A"),"N/A",IF(Table1[[#This Row],[DUT Adj Read]]="N/A",IF(Table1[[#This Row],[Std Adj Read]]&gt;Table1[[#This Row],[Low Tol]],"Pass","Fail"),IF(Table1[[#This Row],[DUT Adj Read]]&gt;Table1[[#This Row],[Low Tol]],"Pass","Fail")))</f>
        <v>Pass</v>
      </c>
      <c r="AE2696" s="1" t="str">
        <f>IF(AND(Table1[[#This Row],[Spec Type2]]="N/A",Table1[[#This Row],[DUT Adj Read]]="N/A",Table1[[#This Row],[Std Adj Read]]="N/A"),"N/A",IF(Table1[[#This Row],[DUT Adj Read]]="N/A",IF(Table1[[#This Row],[Std Adj Read]]&lt;Table1[[#This Row],[High Tol]],"Pass","Fail"),IF(Table1[[#This Row],[DUT Adj Read]]&lt;Table1[[#This Row],[High Tol]],"Pass","Fail")))</f>
        <v>Fail</v>
      </c>
      <c r="AF2696" s="1" t="str">
        <f>IF(AND(Table1[[#This Row],[Spec Type2]]="N/A",Table1[[#This Row],[DUT Adj Read]]="N/A",Table1[[#This Row],[Std Adj Read]]="N/A"),"N/A",IF(Table1[[#This Row],[DUT Adj Read]]="N/A",IF(Table1[[#This Row],[Std Adj Read]]&gt;=Table1[[#This Row],[Low Tol]],"Pass","Fail"),IF(Table1[[#This Row],[DUT Adj Read]]&gt;=Table1[[#This Row],[Low Tol]],"Pass","Fail")))</f>
        <v>Pass</v>
      </c>
      <c r="AG2696" s="1" t="str">
        <f>IF(AND(Table1[[#This Row],[Spec Type2]]="N/A",Table1[[#This Row],[DUT Adj Read]]="N/A",Table1[[#This Row],[Std Adj Read]]="N/A"),"N/A",IF(Table1[[#This Row],[DUT Adj Read]]="N/A",IF(Table1[[#This Row],[Std Adj Read]]&lt;=Table1[[#This Row],[High Tol]],"Pass","Fail"),IF(Table1[[#This Row],[DUT Adj Read]]&lt;=Table1[[#This Row],[High Tol]],"Pass","Fail")))</f>
        <v>Fail</v>
      </c>
      <c r="AH26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6" s="1" t="b">
        <v>0</v>
      </c>
      <c r="AN2696" s="1" t="b">
        <v>0</v>
      </c>
      <c r="AO2696" s="1" t="b">
        <v>0</v>
      </c>
    </row>
    <row r="2697" spans="1:41" x14ac:dyDescent="0.25">
      <c r="A2697" s="10"/>
      <c r="B2697" s="10"/>
      <c r="C2697" s="10"/>
      <c r="D2697" s="10"/>
      <c r="E2697" s="10"/>
      <c r="F2697" s="10"/>
      <c r="G2697" s="10"/>
      <c r="H2697" s="10"/>
      <c r="I2697" s="1" t="str">
        <f t="shared" si="123"/>
        <v/>
      </c>
      <c r="J2697" s="1" t="s">
        <v>35</v>
      </c>
      <c r="K2697" s="1" t="str">
        <f t="shared" si="124"/>
        <v/>
      </c>
      <c r="L2697" s="1" t="str">
        <f t="shared" si="125"/>
        <v/>
      </c>
      <c r="M2697" s="1">
        <f>IF(OR(Table1[[#This Row],[Std Nom]]="",Table1[[#This Row],[Std Read]]=""),0,Table1[[#This Row],[Std Nom]]-Table1[[#This Row],[Std Read]])</f>
        <v>0</v>
      </c>
      <c r="N2697" s="1">
        <f>IF(Calculations!$F$5="ACCREDITED 17025 WITH UNCERTAINTIES",$N$10,0)</f>
        <v>0</v>
      </c>
      <c r="O2697" s="1" t="str">
        <f>IFERROR(Table1[[#This Row],[Std Nom]]-(_xlfn.XLOOKUP(Table1[[#This Row],[Manufacturer]]&amp;" "&amp;Table1[[#This Row],[Model]],Table13[MFR &amp; MDL],Table13[Tolerance % CW ],"")/100*Table1[[#This Row],[Std Nom]]),"")</f>
        <v/>
      </c>
      <c r="P2697" s="1" t="str">
        <f>IFERROR(Table1[[#This Row],[Std Nom]]+(_xlfn.XLOOKUP(Table1[[#This Row],[Manufacturer]]&amp;" "&amp;Table1[[#This Row],[Model]],Table13[MFR &amp; MDL],Table13[Tolerance % CW ],"")/100*Table1[[#This Row],[Std Nom]]),"")</f>
        <v/>
      </c>
      <c r="Q2697" s="1" t="e">
        <f>Table1[[#This Row],[High Tol]]-Table1[[#This Row],[Low Tol]]</f>
        <v>#VALUE!</v>
      </c>
      <c r="R2697" s="1">
        <f>2*Table1[[#This Row],[Std Error]]</f>
        <v>0</v>
      </c>
      <c r="S2697" s="1" t="str">
        <f>IF(Table1[[#This Row],[High Tol]]="","N/A",IFERROR(ABS(Table1[[#This Row],[Tol Span]]/Table1[[#This Row],[Error Span]]),"N/A"))</f>
        <v>N/A</v>
      </c>
      <c r="T2697" s="1" t="str">
        <f>IF(OR(Table1[[#This Row],[Low Tol]]="",Table1[[#This Row],[High Tol]]=""),"Needs Analysis",IF(Table1[[#This Row],[Ratio]]&gt;=4,"Not Significant",IF(Table1[[#This Row],[Ratio]]&gt;=2,"Semi-Significant","Significant")))</f>
        <v>Needs Analysis</v>
      </c>
      <c r="W2697" s="1">
        <f>IF(Table1[[#This Row],[Cal Type]]&lt;&gt;"ACCREDITED 17025 WITH UNCERTAINTIES",0,"")</f>
        <v>0</v>
      </c>
      <c r="X2697" s="1" t="str">
        <f>IF(Table1[[#This Row],[DUT Read]]="","N/A",Table1[[#This Row],[Std Error]]+Table1[[#This Row],[DUT Read]]+Table1[[#This Row],[DUT Ucty]])</f>
        <v>N/A</v>
      </c>
      <c r="Y2697" s="1" t="str">
        <f>IF(Table1[[#This Row],[Std Read]]="","N/A",Table1[[#This Row],[Std Read]]+Table1[[#This Row],[Std Ucty]])</f>
        <v>N/A</v>
      </c>
      <c r="Z26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7" s="1" t="str">
        <f>IF(Table1[[#This Row],[Spec Type]]="","N/A",Table1[[#This Row],[Spec Type]])</f>
        <v>±</v>
      </c>
      <c r="AC2697" s="1" t="str">
        <f>IF(Table1[[#This Row],[Spec Type2]]="N/A","N/A",IF(AND(Table1[[#This Row],[DUT Adj Read]]&gt;=Table1[[#This Row],[Low Tol]],Table1[[#This Row],[DUT Adj Read]]&lt;=Table1[[#This Row],[High Tol]]),"Pass","Fail"))</f>
        <v>Fail</v>
      </c>
      <c r="AD2697" s="1" t="str">
        <f>IF(AND(Table1[[#This Row],[Spec Type2]]="N/A",Table1[[#This Row],[DUT Adj Read]]="N/A",Table1[[#This Row],[Std Adj Read]]="N/A"),"N/A",IF(Table1[[#This Row],[DUT Adj Read]]="N/A",IF(Table1[[#This Row],[Std Adj Read]]&gt;Table1[[#This Row],[Low Tol]],"Pass","Fail"),IF(Table1[[#This Row],[DUT Adj Read]]&gt;Table1[[#This Row],[Low Tol]],"Pass","Fail")))</f>
        <v>Pass</v>
      </c>
      <c r="AE2697" s="1" t="str">
        <f>IF(AND(Table1[[#This Row],[Spec Type2]]="N/A",Table1[[#This Row],[DUT Adj Read]]="N/A",Table1[[#This Row],[Std Adj Read]]="N/A"),"N/A",IF(Table1[[#This Row],[DUT Adj Read]]="N/A",IF(Table1[[#This Row],[Std Adj Read]]&lt;Table1[[#This Row],[High Tol]],"Pass","Fail"),IF(Table1[[#This Row],[DUT Adj Read]]&lt;Table1[[#This Row],[High Tol]],"Pass","Fail")))</f>
        <v>Fail</v>
      </c>
      <c r="AF2697" s="1" t="str">
        <f>IF(AND(Table1[[#This Row],[Spec Type2]]="N/A",Table1[[#This Row],[DUT Adj Read]]="N/A",Table1[[#This Row],[Std Adj Read]]="N/A"),"N/A",IF(Table1[[#This Row],[DUT Adj Read]]="N/A",IF(Table1[[#This Row],[Std Adj Read]]&gt;=Table1[[#This Row],[Low Tol]],"Pass","Fail"),IF(Table1[[#This Row],[DUT Adj Read]]&gt;=Table1[[#This Row],[Low Tol]],"Pass","Fail")))</f>
        <v>Pass</v>
      </c>
      <c r="AG2697" s="1" t="str">
        <f>IF(AND(Table1[[#This Row],[Spec Type2]]="N/A",Table1[[#This Row],[DUT Adj Read]]="N/A",Table1[[#This Row],[Std Adj Read]]="N/A"),"N/A",IF(Table1[[#This Row],[DUT Adj Read]]="N/A",IF(Table1[[#This Row],[Std Adj Read]]&lt;=Table1[[#This Row],[High Tol]],"Pass","Fail"),IF(Table1[[#This Row],[DUT Adj Read]]&lt;=Table1[[#This Row],[High Tol]],"Pass","Fail")))</f>
        <v>Fail</v>
      </c>
      <c r="AH26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7" s="1" t="b">
        <v>0</v>
      </c>
      <c r="AN2697" s="1" t="b">
        <v>0</v>
      </c>
      <c r="AO2697" s="1" t="b">
        <v>0</v>
      </c>
    </row>
    <row r="2698" spans="1:41" x14ac:dyDescent="0.25">
      <c r="A2698" s="10"/>
      <c r="B2698" s="10"/>
      <c r="C2698" s="10"/>
      <c r="D2698" s="10"/>
      <c r="E2698" s="10"/>
      <c r="F2698" s="10"/>
      <c r="G2698" s="10"/>
      <c r="H2698" s="10"/>
      <c r="I2698" s="1" t="str">
        <f t="shared" si="123"/>
        <v/>
      </c>
      <c r="J2698" s="1" t="s">
        <v>35</v>
      </c>
      <c r="K2698" s="1" t="str">
        <f t="shared" si="124"/>
        <v/>
      </c>
      <c r="L2698" s="1" t="str">
        <f t="shared" si="125"/>
        <v/>
      </c>
      <c r="M2698" s="1">
        <f>IF(OR(Table1[[#This Row],[Std Nom]]="",Table1[[#This Row],[Std Read]]=""),0,Table1[[#This Row],[Std Nom]]-Table1[[#This Row],[Std Read]])</f>
        <v>0</v>
      </c>
      <c r="N2698" s="1">
        <f>IF(Calculations!$F$5="ACCREDITED 17025 WITH UNCERTAINTIES",$N$10,0)</f>
        <v>0</v>
      </c>
      <c r="O2698" s="1" t="str">
        <f>IFERROR(Table1[[#This Row],[Std Nom]]-(_xlfn.XLOOKUP(Table1[[#This Row],[Manufacturer]]&amp;" "&amp;Table1[[#This Row],[Model]],Table13[MFR &amp; MDL],Table13[Tolerance % CW ],"")/100*Table1[[#This Row],[Std Nom]]),"")</f>
        <v/>
      </c>
      <c r="P2698" s="1" t="str">
        <f>IFERROR(Table1[[#This Row],[Std Nom]]+(_xlfn.XLOOKUP(Table1[[#This Row],[Manufacturer]]&amp;" "&amp;Table1[[#This Row],[Model]],Table13[MFR &amp; MDL],Table13[Tolerance % CW ],"")/100*Table1[[#This Row],[Std Nom]]),"")</f>
        <v/>
      </c>
      <c r="Q2698" s="1" t="e">
        <f>Table1[[#This Row],[High Tol]]-Table1[[#This Row],[Low Tol]]</f>
        <v>#VALUE!</v>
      </c>
      <c r="R2698" s="1">
        <f>2*Table1[[#This Row],[Std Error]]</f>
        <v>0</v>
      </c>
      <c r="S2698" s="1" t="str">
        <f>IF(Table1[[#This Row],[High Tol]]="","N/A",IFERROR(ABS(Table1[[#This Row],[Tol Span]]/Table1[[#This Row],[Error Span]]),"N/A"))</f>
        <v>N/A</v>
      </c>
      <c r="T2698" s="1" t="str">
        <f>IF(OR(Table1[[#This Row],[Low Tol]]="",Table1[[#This Row],[High Tol]]=""),"Needs Analysis",IF(Table1[[#This Row],[Ratio]]&gt;=4,"Not Significant",IF(Table1[[#This Row],[Ratio]]&gt;=2,"Semi-Significant","Significant")))</f>
        <v>Needs Analysis</v>
      </c>
      <c r="W2698" s="1">
        <f>IF(Table1[[#This Row],[Cal Type]]&lt;&gt;"ACCREDITED 17025 WITH UNCERTAINTIES",0,"")</f>
        <v>0</v>
      </c>
      <c r="X2698" s="1" t="str">
        <f>IF(Table1[[#This Row],[DUT Read]]="","N/A",Table1[[#This Row],[Std Error]]+Table1[[#This Row],[DUT Read]]+Table1[[#This Row],[DUT Ucty]])</f>
        <v>N/A</v>
      </c>
      <c r="Y2698" s="1" t="str">
        <f>IF(Table1[[#This Row],[Std Read]]="","N/A",Table1[[#This Row],[Std Read]]+Table1[[#This Row],[Std Ucty]])</f>
        <v>N/A</v>
      </c>
      <c r="Z26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8" s="1" t="str">
        <f>IF(Table1[[#This Row],[Spec Type]]="","N/A",Table1[[#This Row],[Spec Type]])</f>
        <v>±</v>
      </c>
      <c r="AC2698" s="1" t="str">
        <f>IF(Table1[[#This Row],[Spec Type2]]="N/A","N/A",IF(AND(Table1[[#This Row],[DUT Adj Read]]&gt;=Table1[[#This Row],[Low Tol]],Table1[[#This Row],[DUT Adj Read]]&lt;=Table1[[#This Row],[High Tol]]),"Pass","Fail"))</f>
        <v>Fail</v>
      </c>
      <c r="AD2698" s="1" t="str">
        <f>IF(AND(Table1[[#This Row],[Spec Type2]]="N/A",Table1[[#This Row],[DUT Adj Read]]="N/A",Table1[[#This Row],[Std Adj Read]]="N/A"),"N/A",IF(Table1[[#This Row],[DUT Adj Read]]="N/A",IF(Table1[[#This Row],[Std Adj Read]]&gt;Table1[[#This Row],[Low Tol]],"Pass","Fail"),IF(Table1[[#This Row],[DUT Adj Read]]&gt;Table1[[#This Row],[Low Tol]],"Pass","Fail")))</f>
        <v>Pass</v>
      </c>
      <c r="AE2698" s="1" t="str">
        <f>IF(AND(Table1[[#This Row],[Spec Type2]]="N/A",Table1[[#This Row],[DUT Adj Read]]="N/A",Table1[[#This Row],[Std Adj Read]]="N/A"),"N/A",IF(Table1[[#This Row],[DUT Adj Read]]="N/A",IF(Table1[[#This Row],[Std Adj Read]]&lt;Table1[[#This Row],[High Tol]],"Pass","Fail"),IF(Table1[[#This Row],[DUT Adj Read]]&lt;Table1[[#This Row],[High Tol]],"Pass","Fail")))</f>
        <v>Fail</v>
      </c>
      <c r="AF2698" s="1" t="str">
        <f>IF(AND(Table1[[#This Row],[Spec Type2]]="N/A",Table1[[#This Row],[DUT Adj Read]]="N/A",Table1[[#This Row],[Std Adj Read]]="N/A"),"N/A",IF(Table1[[#This Row],[DUT Adj Read]]="N/A",IF(Table1[[#This Row],[Std Adj Read]]&gt;=Table1[[#This Row],[Low Tol]],"Pass","Fail"),IF(Table1[[#This Row],[DUT Adj Read]]&gt;=Table1[[#This Row],[Low Tol]],"Pass","Fail")))</f>
        <v>Pass</v>
      </c>
      <c r="AG2698" s="1" t="str">
        <f>IF(AND(Table1[[#This Row],[Spec Type2]]="N/A",Table1[[#This Row],[DUT Adj Read]]="N/A",Table1[[#This Row],[Std Adj Read]]="N/A"),"N/A",IF(Table1[[#This Row],[DUT Adj Read]]="N/A",IF(Table1[[#This Row],[Std Adj Read]]&lt;=Table1[[#This Row],[High Tol]],"Pass","Fail"),IF(Table1[[#This Row],[DUT Adj Read]]&lt;=Table1[[#This Row],[High Tol]],"Pass","Fail")))</f>
        <v>Fail</v>
      </c>
      <c r="AH26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8" s="1" t="b">
        <v>0</v>
      </c>
      <c r="AN2698" s="1" t="b">
        <v>0</v>
      </c>
      <c r="AO2698" s="1" t="b">
        <v>0</v>
      </c>
    </row>
    <row r="2699" spans="1:41" x14ac:dyDescent="0.25">
      <c r="A2699" s="10"/>
      <c r="B2699" s="10"/>
      <c r="C2699" s="10"/>
      <c r="D2699" s="10"/>
      <c r="E2699" s="10"/>
      <c r="F2699" s="10"/>
      <c r="G2699" s="10"/>
      <c r="H2699" s="10"/>
      <c r="I2699" s="1" t="str">
        <f t="shared" ref="I2699:I2762" si="126">IF($I$10="","",$I$10)</f>
        <v/>
      </c>
      <c r="J2699" s="1" t="s">
        <v>35</v>
      </c>
      <c r="K2699" s="1" t="str">
        <f t="shared" ref="K2699:K2762" si="127">IF($K$10="","",$K$10)</f>
        <v/>
      </c>
      <c r="L2699" s="1" t="str">
        <f t="shared" ref="L2699:L2762" si="128">IF($L$10="","",$L$10)</f>
        <v/>
      </c>
      <c r="M2699" s="1">
        <f>IF(OR(Table1[[#This Row],[Std Nom]]="",Table1[[#This Row],[Std Read]]=""),0,Table1[[#This Row],[Std Nom]]-Table1[[#This Row],[Std Read]])</f>
        <v>0</v>
      </c>
      <c r="N2699" s="1">
        <f>IF(Calculations!$F$5="ACCREDITED 17025 WITH UNCERTAINTIES",$N$10,0)</f>
        <v>0</v>
      </c>
      <c r="O2699" s="1" t="str">
        <f>IFERROR(Table1[[#This Row],[Std Nom]]-(_xlfn.XLOOKUP(Table1[[#This Row],[Manufacturer]]&amp;" "&amp;Table1[[#This Row],[Model]],Table13[MFR &amp; MDL],Table13[Tolerance % CW ],"")/100*Table1[[#This Row],[Std Nom]]),"")</f>
        <v/>
      </c>
      <c r="P2699" s="1" t="str">
        <f>IFERROR(Table1[[#This Row],[Std Nom]]+(_xlfn.XLOOKUP(Table1[[#This Row],[Manufacturer]]&amp;" "&amp;Table1[[#This Row],[Model]],Table13[MFR &amp; MDL],Table13[Tolerance % CW ],"")/100*Table1[[#This Row],[Std Nom]]),"")</f>
        <v/>
      </c>
      <c r="Q2699" s="1" t="e">
        <f>Table1[[#This Row],[High Tol]]-Table1[[#This Row],[Low Tol]]</f>
        <v>#VALUE!</v>
      </c>
      <c r="R2699" s="1">
        <f>2*Table1[[#This Row],[Std Error]]</f>
        <v>0</v>
      </c>
      <c r="S2699" s="1" t="str">
        <f>IF(Table1[[#This Row],[High Tol]]="","N/A",IFERROR(ABS(Table1[[#This Row],[Tol Span]]/Table1[[#This Row],[Error Span]]),"N/A"))</f>
        <v>N/A</v>
      </c>
      <c r="T2699" s="1" t="str">
        <f>IF(OR(Table1[[#This Row],[Low Tol]]="",Table1[[#This Row],[High Tol]]=""),"Needs Analysis",IF(Table1[[#This Row],[Ratio]]&gt;=4,"Not Significant",IF(Table1[[#This Row],[Ratio]]&gt;=2,"Semi-Significant","Significant")))</f>
        <v>Needs Analysis</v>
      </c>
      <c r="W2699" s="1">
        <f>IF(Table1[[#This Row],[Cal Type]]&lt;&gt;"ACCREDITED 17025 WITH UNCERTAINTIES",0,"")</f>
        <v>0</v>
      </c>
      <c r="X2699" s="1" t="str">
        <f>IF(Table1[[#This Row],[DUT Read]]="","N/A",Table1[[#This Row],[Std Error]]+Table1[[#This Row],[DUT Read]]+Table1[[#This Row],[DUT Ucty]])</f>
        <v>N/A</v>
      </c>
      <c r="Y2699" s="1" t="str">
        <f>IF(Table1[[#This Row],[Std Read]]="","N/A",Table1[[#This Row],[Std Read]]+Table1[[#This Row],[Std Ucty]])</f>
        <v>N/A</v>
      </c>
      <c r="Z26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9" s="1" t="str">
        <f>IF(Table1[[#This Row],[Spec Type]]="","N/A",Table1[[#This Row],[Spec Type]])</f>
        <v>±</v>
      </c>
      <c r="AC2699" s="1" t="str">
        <f>IF(Table1[[#This Row],[Spec Type2]]="N/A","N/A",IF(AND(Table1[[#This Row],[DUT Adj Read]]&gt;=Table1[[#This Row],[Low Tol]],Table1[[#This Row],[DUT Adj Read]]&lt;=Table1[[#This Row],[High Tol]]),"Pass","Fail"))</f>
        <v>Fail</v>
      </c>
      <c r="AD2699" s="1" t="str">
        <f>IF(AND(Table1[[#This Row],[Spec Type2]]="N/A",Table1[[#This Row],[DUT Adj Read]]="N/A",Table1[[#This Row],[Std Adj Read]]="N/A"),"N/A",IF(Table1[[#This Row],[DUT Adj Read]]="N/A",IF(Table1[[#This Row],[Std Adj Read]]&gt;Table1[[#This Row],[Low Tol]],"Pass","Fail"),IF(Table1[[#This Row],[DUT Adj Read]]&gt;Table1[[#This Row],[Low Tol]],"Pass","Fail")))</f>
        <v>Pass</v>
      </c>
      <c r="AE2699" s="1" t="str">
        <f>IF(AND(Table1[[#This Row],[Spec Type2]]="N/A",Table1[[#This Row],[DUT Adj Read]]="N/A",Table1[[#This Row],[Std Adj Read]]="N/A"),"N/A",IF(Table1[[#This Row],[DUT Adj Read]]="N/A",IF(Table1[[#This Row],[Std Adj Read]]&lt;Table1[[#This Row],[High Tol]],"Pass","Fail"),IF(Table1[[#This Row],[DUT Adj Read]]&lt;Table1[[#This Row],[High Tol]],"Pass","Fail")))</f>
        <v>Fail</v>
      </c>
      <c r="AF2699" s="1" t="str">
        <f>IF(AND(Table1[[#This Row],[Spec Type2]]="N/A",Table1[[#This Row],[DUT Adj Read]]="N/A",Table1[[#This Row],[Std Adj Read]]="N/A"),"N/A",IF(Table1[[#This Row],[DUT Adj Read]]="N/A",IF(Table1[[#This Row],[Std Adj Read]]&gt;=Table1[[#This Row],[Low Tol]],"Pass","Fail"),IF(Table1[[#This Row],[DUT Adj Read]]&gt;=Table1[[#This Row],[Low Tol]],"Pass","Fail")))</f>
        <v>Pass</v>
      </c>
      <c r="AG2699" s="1" t="str">
        <f>IF(AND(Table1[[#This Row],[Spec Type2]]="N/A",Table1[[#This Row],[DUT Adj Read]]="N/A",Table1[[#This Row],[Std Adj Read]]="N/A"),"N/A",IF(Table1[[#This Row],[DUT Adj Read]]="N/A",IF(Table1[[#This Row],[Std Adj Read]]&lt;=Table1[[#This Row],[High Tol]],"Pass","Fail"),IF(Table1[[#This Row],[DUT Adj Read]]&lt;=Table1[[#This Row],[High Tol]],"Pass","Fail")))</f>
        <v>Fail</v>
      </c>
      <c r="AH26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9" s="1" t="b">
        <v>0</v>
      </c>
      <c r="AN2699" s="1" t="b">
        <v>0</v>
      </c>
      <c r="AO2699" s="1" t="b">
        <v>0</v>
      </c>
    </row>
    <row r="2700" spans="1:41" x14ac:dyDescent="0.25">
      <c r="A2700" s="10"/>
      <c r="B2700" s="10"/>
      <c r="C2700" s="10"/>
      <c r="D2700" s="10"/>
      <c r="E2700" s="10"/>
      <c r="F2700" s="10"/>
      <c r="G2700" s="10"/>
      <c r="H2700" s="10"/>
      <c r="I2700" s="1" t="str">
        <f t="shared" si="126"/>
        <v/>
      </c>
      <c r="J2700" s="1" t="s">
        <v>35</v>
      </c>
      <c r="K2700" s="1" t="str">
        <f t="shared" si="127"/>
        <v/>
      </c>
      <c r="L2700" s="1" t="str">
        <f t="shared" si="128"/>
        <v/>
      </c>
      <c r="M2700" s="1">
        <f>IF(OR(Table1[[#This Row],[Std Nom]]="",Table1[[#This Row],[Std Read]]=""),0,Table1[[#This Row],[Std Nom]]-Table1[[#This Row],[Std Read]])</f>
        <v>0</v>
      </c>
      <c r="N2700" s="1">
        <f>IF(Calculations!$F$5="ACCREDITED 17025 WITH UNCERTAINTIES",$N$10,0)</f>
        <v>0</v>
      </c>
      <c r="O2700" s="1" t="str">
        <f>IFERROR(Table1[[#This Row],[Std Nom]]-(_xlfn.XLOOKUP(Table1[[#This Row],[Manufacturer]]&amp;" "&amp;Table1[[#This Row],[Model]],Table13[MFR &amp; MDL],Table13[Tolerance % CW ],"")/100*Table1[[#This Row],[Std Nom]]),"")</f>
        <v/>
      </c>
      <c r="P2700" s="1" t="str">
        <f>IFERROR(Table1[[#This Row],[Std Nom]]+(_xlfn.XLOOKUP(Table1[[#This Row],[Manufacturer]]&amp;" "&amp;Table1[[#This Row],[Model]],Table13[MFR &amp; MDL],Table13[Tolerance % CW ],"")/100*Table1[[#This Row],[Std Nom]]),"")</f>
        <v/>
      </c>
      <c r="Q2700" s="1" t="e">
        <f>Table1[[#This Row],[High Tol]]-Table1[[#This Row],[Low Tol]]</f>
        <v>#VALUE!</v>
      </c>
      <c r="R2700" s="1">
        <f>2*Table1[[#This Row],[Std Error]]</f>
        <v>0</v>
      </c>
      <c r="S2700" s="1" t="str">
        <f>IF(Table1[[#This Row],[High Tol]]="","N/A",IFERROR(ABS(Table1[[#This Row],[Tol Span]]/Table1[[#This Row],[Error Span]]),"N/A"))</f>
        <v>N/A</v>
      </c>
      <c r="T2700" s="1" t="str">
        <f>IF(OR(Table1[[#This Row],[Low Tol]]="",Table1[[#This Row],[High Tol]]=""),"Needs Analysis",IF(Table1[[#This Row],[Ratio]]&gt;=4,"Not Significant",IF(Table1[[#This Row],[Ratio]]&gt;=2,"Semi-Significant","Significant")))</f>
        <v>Needs Analysis</v>
      </c>
      <c r="W2700" s="1">
        <f>IF(Table1[[#This Row],[Cal Type]]&lt;&gt;"ACCREDITED 17025 WITH UNCERTAINTIES",0,"")</f>
        <v>0</v>
      </c>
      <c r="X2700" s="1" t="str">
        <f>IF(Table1[[#This Row],[DUT Read]]="","N/A",Table1[[#This Row],[Std Error]]+Table1[[#This Row],[DUT Read]]+Table1[[#This Row],[DUT Ucty]])</f>
        <v>N/A</v>
      </c>
      <c r="Y2700" s="1" t="str">
        <f>IF(Table1[[#This Row],[Std Read]]="","N/A",Table1[[#This Row],[Std Read]]+Table1[[#This Row],[Std Ucty]])</f>
        <v>N/A</v>
      </c>
      <c r="Z27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0" s="1" t="str">
        <f>IF(Table1[[#This Row],[Spec Type]]="","N/A",Table1[[#This Row],[Spec Type]])</f>
        <v>±</v>
      </c>
      <c r="AC2700" s="1" t="str">
        <f>IF(Table1[[#This Row],[Spec Type2]]="N/A","N/A",IF(AND(Table1[[#This Row],[DUT Adj Read]]&gt;=Table1[[#This Row],[Low Tol]],Table1[[#This Row],[DUT Adj Read]]&lt;=Table1[[#This Row],[High Tol]]),"Pass","Fail"))</f>
        <v>Fail</v>
      </c>
      <c r="AD2700" s="1" t="str">
        <f>IF(AND(Table1[[#This Row],[Spec Type2]]="N/A",Table1[[#This Row],[DUT Adj Read]]="N/A",Table1[[#This Row],[Std Adj Read]]="N/A"),"N/A",IF(Table1[[#This Row],[DUT Adj Read]]="N/A",IF(Table1[[#This Row],[Std Adj Read]]&gt;Table1[[#This Row],[Low Tol]],"Pass","Fail"),IF(Table1[[#This Row],[DUT Adj Read]]&gt;Table1[[#This Row],[Low Tol]],"Pass","Fail")))</f>
        <v>Pass</v>
      </c>
      <c r="AE2700" s="1" t="str">
        <f>IF(AND(Table1[[#This Row],[Spec Type2]]="N/A",Table1[[#This Row],[DUT Adj Read]]="N/A",Table1[[#This Row],[Std Adj Read]]="N/A"),"N/A",IF(Table1[[#This Row],[DUT Adj Read]]="N/A",IF(Table1[[#This Row],[Std Adj Read]]&lt;Table1[[#This Row],[High Tol]],"Pass","Fail"),IF(Table1[[#This Row],[DUT Adj Read]]&lt;Table1[[#This Row],[High Tol]],"Pass","Fail")))</f>
        <v>Fail</v>
      </c>
      <c r="AF2700" s="1" t="str">
        <f>IF(AND(Table1[[#This Row],[Spec Type2]]="N/A",Table1[[#This Row],[DUT Adj Read]]="N/A",Table1[[#This Row],[Std Adj Read]]="N/A"),"N/A",IF(Table1[[#This Row],[DUT Adj Read]]="N/A",IF(Table1[[#This Row],[Std Adj Read]]&gt;=Table1[[#This Row],[Low Tol]],"Pass","Fail"),IF(Table1[[#This Row],[DUT Adj Read]]&gt;=Table1[[#This Row],[Low Tol]],"Pass","Fail")))</f>
        <v>Pass</v>
      </c>
      <c r="AG2700" s="1" t="str">
        <f>IF(AND(Table1[[#This Row],[Spec Type2]]="N/A",Table1[[#This Row],[DUT Adj Read]]="N/A",Table1[[#This Row],[Std Adj Read]]="N/A"),"N/A",IF(Table1[[#This Row],[DUT Adj Read]]="N/A",IF(Table1[[#This Row],[Std Adj Read]]&lt;=Table1[[#This Row],[High Tol]],"Pass","Fail"),IF(Table1[[#This Row],[DUT Adj Read]]&lt;=Table1[[#This Row],[High Tol]],"Pass","Fail")))</f>
        <v>Fail</v>
      </c>
      <c r="AH27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0" s="1" t="b">
        <v>0</v>
      </c>
      <c r="AN2700" s="1" t="b">
        <v>0</v>
      </c>
      <c r="AO2700" s="1" t="b">
        <v>0</v>
      </c>
    </row>
    <row r="2701" spans="1:41" x14ac:dyDescent="0.25">
      <c r="A2701" s="10"/>
      <c r="B2701" s="10"/>
      <c r="C2701" s="10"/>
      <c r="D2701" s="10"/>
      <c r="E2701" s="10"/>
      <c r="F2701" s="10"/>
      <c r="G2701" s="10"/>
      <c r="H2701" s="10"/>
      <c r="I2701" s="1" t="str">
        <f t="shared" si="126"/>
        <v/>
      </c>
      <c r="J2701" s="1" t="s">
        <v>35</v>
      </c>
      <c r="K2701" s="1" t="str">
        <f t="shared" si="127"/>
        <v/>
      </c>
      <c r="L2701" s="1" t="str">
        <f t="shared" si="128"/>
        <v/>
      </c>
      <c r="M2701" s="1">
        <f>IF(OR(Table1[[#This Row],[Std Nom]]="",Table1[[#This Row],[Std Read]]=""),0,Table1[[#This Row],[Std Nom]]-Table1[[#This Row],[Std Read]])</f>
        <v>0</v>
      </c>
      <c r="N2701" s="1">
        <f>IF(Calculations!$F$5="ACCREDITED 17025 WITH UNCERTAINTIES",$N$10,0)</f>
        <v>0</v>
      </c>
      <c r="O2701" s="1" t="str">
        <f>IFERROR(Table1[[#This Row],[Std Nom]]-(_xlfn.XLOOKUP(Table1[[#This Row],[Manufacturer]]&amp;" "&amp;Table1[[#This Row],[Model]],Table13[MFR &amp; MDL],Table13[Tolerance % CW ],"")/100*Table1[[#This Row],[Std Nom]]),"")</f>
        <v/>
      </c>
      <c r="P2701" s="1" t="str">
        <f>IFERROR(Table1[[#This Row],[Std Nom]]+(_xlfn.XLOOKUP(Table1[[#This Row],[Manufacturer]]&amp;" "&amp;Table1[[#This Row],[Model]],Table13[MFR &amp; MDL],Table13[Tolerance % CW ],"")/100*Table1[[#This Row],[Std Nom]]),"")</f>
        <v/>
      </c>
      <c r="Q2701" s="1" t="e">
        <f>Table1[[#This Row],[High Tol]]-Table1[[#This Row],[Low Tol]]</f>
        <v>#VALUE!</v>
      </c>
      <c r="R2701" s="1">
        <f>2*Table1[[#This Row],[Std Error]]</f>
        <v>0</v>
      </c>
      <c r="S2701" s="1" t="str">
        <f>IF(Table1[[#This Row],[High Tol]]="","N/A",IFERROR(ABS(Table1[[#This Row],[Tol Span]]/Table1[[#This Row],[Error Span]]),"N/A"))</f>
        <v>N/A</v>
      </c>
      <c r="T2701" s="1" t="str">
        <f>IF(OR(Table1[[#This Row],[Low Tol]]="",Table1[[#This Row],[High Tol]]=""),"Needs Analysis",IF(Table1[[#This Row],[Ratio]]&gt;=4,"Not Significant",IF(Table1[[#This Row],[Ratio]]&gt;=2,"Semi-Significant","Significant")))</f>
        <v>Needs Analysis</v>
      </c>
      <c r="W2701" s="1">
        <f>IF(Table1[[#This Row],[Cal Type]]&lt;&gt;"ACCREDITED 17025 WITH UNCERTAINTIES",0,"")</f>
        <v>0</v>
      </c>
      <c r="X2701" s="1" t="str">
        <f>IF(Table1[[#This Row],[DUT Read]]="","N/A",Table1[[#This Row],[Std Error]]+Table1[[#This Row],[DUT Read]]+Table1[[#This Row],[DUT Ucty]])</f>
        <v>N/A</v>
      </c>
      <c r="Y2701" s="1" t="str">
        <f>IF(Table1[[#This Row],[Std Read]]="","N/A",Table1[[#This Row],[Std Read]]+Table1[[#This Row],[Std Ucty]])</f>
        <v>N/A</v>
      </c>
      <c r="Z27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1" s="1" t="str">
        <f>IF(Table1[[#This Row],[Spec Type]]="","N/A",Table1[[#This Row],[Spec Type]])</f>
        <v>±</v>
      </c>
      <c r="AC2701" s="1" t="str">
        <f>IF(Table1[[#This Row],[Spec Type2]]="N/A","N/A",IF(AND(Table1[[#This Row],[DUT Adj Read]]&gt;=Table1[[#This Row],[Low Tol]],Table1[[#This Row],[DUT Adj Read]]&lt;=Table1[[#This Row],[High Tol]]),"Pass","Fail"))</f>
        <v>Fail</v>
      </c>
      <c r="AD2701" s="1" t="str">
        <f>IF(AND(Table1[[#This Row],[Spec Type2]]="N/A",Table1[[#This Row],[DUT Adj Read]]="N/A",Table1[[#This Row],[Std Adj Read]]="N/A"),"N/A",IF(Table1[[#This Row],[DUT Adj Read]]="N/A",IF(Table1[[#This Row],[Std Adj Read]]&gt;Table1[[#This Row],[Low Tol]],"Pass","Fail"),IF(Table1[[#This Row],[DUT Adj Read]]&gt;Table1[[#This Row],[Low Tol]],"Pass","Fail")))</f>
        <v>Pass</v>
      </c>
      <c r="AE2701" s="1" t="str">
        <f>IF(AND(Table1[[#This Row],[Spec Type2]]="N/A",Table1[[#This Row],[DUT Adj Read]]="N/A",Table1[[#This Row],[Std Adj Read]]="N/A"),"N/A",IF(Table1[[#This Row],[DUT Adj Read]]="N/A",IF(Table1[[#This Row],[Std Adj Read]]&lt;Table1[[#This Row],[High Tol]],"Pass","Fail"),IF(Table1[[#This Row],[DUT Adj Read]]&lt;Table1[[#This Row],[High Tol]],"Pass","Fail")))</f>
        <v>Fail</v>
      </c>
      <c r="AF2701" s="1" t="str">
        <f>IF(AND(Table1[[#This Row],[Spec Type2]]="N/A",Table1[[#This Row],[DUT Adj Read]]="N/A",Table1[[#This Row],[Std Adj Read]]="N/A"),"N/A",IF(Table1[[#This Row],[DUT Adj Read]]="N/A",IF(Table1[[#This Row],[Std Adj Read]]&gt;=Table1[[#This Row],[Low Tol]],"Pass","Fail"),IF(Table1[[#This Row],[DUT Adj Read]]&gt;=Table1[[#This Row],[Low Tol]],"Pass","Fail")))</f>
        <v>Pass</v>
      </c>
      <c r="AG2701" s="1" t="str">
        <f>IF(AND(Table1[[#This Row],[Spec Type2]]="N/A",Table1[[#This Row],[DUT Adj Read]]="N/A",Table1[[#This Row],[Std Adj Read]]="N/A"),"N/A",IF(Table1[[#This Row],[DUT Adj Read]]="N/A",IF(Table1[[#This Row],[Std Adj Read]]&lt;=Table1[[#This Row],[High Tol]],"Pass","Fail"),IF(Table1[[#This Row],[DUT Adj Read]]&lt;=Table1[[#This Row],[High Tol]],"Pass","Fail")))</f>
        <v>Fail</v>
      </c>
      <c r="AH27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1" s="1" t="b">
        <v>0</v>
      </c>
      <c r="AN2701" s="1" t="b">
        <v>0</v>
      </c>
      <c r="AO2701" s="1" t="b">
        <v>0</v>
      </c>
    </row>
    <row r="2702" spans="1:41" x14ac:dyDescent="0.25">
      <c r="A2702" s="10"/>
      <c r="B2702" s="10"/>
      <c r="C2702" s="10"/>
      <c r="D2702" s="10"/>
      <c r="E2702" s="10"/>
      <c r="F2702" s="10"/>
      <c r="G2702" s="10"/>
      <c r="H2702" s="10"/>
      <c r="I2702" s="1" t="str">
        <f t="shared" si="126"/>
        <v/>
      </c>
      <c r="J2702" s="1" t="s">
        <v>35</v>
      </c>
      <c r="K2702" s="1" t="str">
        <f t="shared" si="127"/>
        <v/>
      </c>
      <c r="L2702" s="1" t="str">
        <f t="shared" si="128"/>
        <v/>
      </c>
      <c r="M2702" s="1">
        <f>IF(OR(Table1[[#This Row],[Std Nom]]="",Table1[[#This Row],[Std Read]]=""),0,Table1[[#This Row],[Std Nom]]-Table1[[#This Row],[Std Read]])</f>
        <v>0</v>
      </c>
      <c r="N2702" s="1">
        <f>IF(Calculations!$F$5="ACCREDITED 17025 WITH UNCERTAINTIES",$N$10,0)</f>
        <v>0</v>
      </c>
      <c r="O2702" s="1" t="str">
        <f>IFERROR(Table1[[#This Row],[Std Nom]]-(_xlfn.XLOOKUP(Table1[[#This Row],[Manufacturer]]&amp;" "&amp;Table1[[#This Row],[Model]],Table13[MFR &amp; MDL],Table13[Tolerance % CW ],"")/100*Table1[[#This Row],[Std Nom]]),"")</f>
        <v/>
      </c>
      <c r="P2702" s="1" t="str">
        <f>IFERROR(Table1[[#This Row],[Std Nom]]+(_xlfn.XLOOKUP(Table1[[#This Row],[Manufacturer]]&amp;" "&amp;Table1[[#This Row],[Model]],Table13[MFR &amp; MDL],Table13[Tolerance % CW ],"")/100*Table1[[#This Row],[Std Nom]]),"")</f>
        <v/>
      </c>
      <c r="Q2702" s="1" t="e">
        <f>Table1[[#This Row],[High Tol]]-Table1[[#This Row],[Low Tol]]</f>
        <v>#VALUE!</v>
      </c>
      <c r="R2702" s="1">
        <f>2*Table1[[#This Row],[Std Error]]</f>
        <v>0</v>
      </c>
      <c r="S2702" s="1" t="str">
        <f>IF(Table1[[#This Row],[High Tol]]="","N/A",IFERROR(ABS(Table1[[#This Row],[Tol Span]]/Table1[[#This Row],[Error Span]]),"N/A"))</f>
        <v>N/A</v>
      </c>
      <c r="T2702" s="1" t="str">
        <f>IF(OR(Table1[[#This Row],[Low Tol]]="",Table1[[#This Row],[High Tol]]=""),"Needs Analysis",IF(Table1[[#This Row],[Ratio]]&gt;=4,"Not Significant",IF(Table1[[#This Row],[Ratio]]&gt;=2,"Semi-Significant","Significant")))</f>
        <v>Needs Analysis</v>
      </c>
      <c r="W2702" s="1">
        <f>IF(Table1[[#This Row],[Cal Type]]&lt;&gt;"ACCREDITED 17025 WITH UNCERTAINTIES",0,"")</f>
        <v>0</v>
      </c>
      <c r="X2702" s="1" t="str">
        <f>IF(Table1[[#This Row],[DUT Read]]="","N/A",Table1[[#This Row],[Std Error]]+Table1[[#This Row],[DUT Read]]+Table1[[#This Row],[DUT Ucty]])</f>
        <v>N/A</v>
      </c>
      <c r="Y2702" s="1" t="str">
        <f>IF(Table1[[#This Row],[Std Read]]="","N/A",Table1[[#This Row],[Std Read]]+Table1[[#This Row],[Std Ucty]])</f>
        <v>N/A</v>
      </c>
      <c r="Z27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2" s="1" t="str">
        <f>IF(Table1[[#This Row],[Spec Type]]="","N/A",Table1[[#This Row],[Spec Type]])</f>
        <v>±</v>
      </c>
      <c r="AC2702" s="1" t="str">
        <f>IF(Table1[[#This Row],[Spec Type2]]="N/A","N/A",IF(AND(Table1[[#This Row],[DUT Adj Read]]&gt;=Table1[[#This Row],[Low Tol]],Table1[[#This Row],[DUT Adj Read]]&lt;=Table1[[#This Row],[High Tol]]),"Pass","Fail"))</f>
        <v>Fail</v>
      </c>
      <c r="AD2702" s="1" t="str">
        <f>IF(AND(Table1[[#This Row],[Spec Type2]]="N/A",Table1[[#This Row],[DUT Adj Read]]="N/A",Table1[[#This Row],[Std Adj Read]]="N/A"),"N/A",IF(Table1[[#This Row],[DUT Adj Read]]="N/A",IF(Table1[[#This Row],[Std Adj Read]]&gt;Table1[[#This Row],[Low Tol]],"Pass","Fail"),IF(Table1[[#This Row],[DUT Adj Read]]&gt;Table1[[#This Row],[Low Tol]],"Pass","Fail")))</f>
        <v>Pass</v>
      </c>
      <c r="AE2702" s="1" t="str">
        <f>IF(AND(Table1[[#This Row],[Spec Type2]]="N/A",Table1[[#This Row],[DUT Adj Read]]="N/A",Table1[[#This Row],[Std Adj Read]]="N/A"),"N/A",IF(Table1[[#This Row],[DUT Adj Read]]="N/A",IF(Table1[[#This Row],[Std Adj Read]]&lt;Table1[[#This Row],[High Tol]],"Pass","Fail"),IF(Table1[[#This Row],[DUT Adj Read]]&lt;Table1[[#This Row],[High Tol]],"Pass","Fail")))</f>
        <v>Fail</v>
      </c>
      <c r="AF2702" s="1" t="str">
        <f>IF(AND(Table1[[#This Row],[Spec Type2]]="N/A",Table1[[#This Row],[DUT Adj Read]]="N/A",Table1[[#This Row],[Std Adj Read]]="N/A"),"N/A",IF(Table1[[#This Row],[DUT Adj Read]]="N/A",IF(Table1[[#This Row],[Std Adj Read]]&gt;=Table1[[#This Row],[Low Tol]],"Pass","Fail"),IF(Table1[[#This Row],[DUT Adj Read]]&gt;=Table1[[#This Row],[Low Tol]],"Pass","Fail")))</f>
        <v>Pass</v>
      </c>
      <c r="AG2702" s="1" t="str">
        <f>IF(AND(Table1[[#This Row],[Spec Type2]]="N/A",Table1[[#This Row],[DUT Adj Read]]="N/A",Table1[[#This Row],[Std Adj Read]]="N/A"),"N/A",IF(Table1[[#This Row],[DUT Adj Read]]="N/A",IF(Table1[[#This Row],[Std Adj Read]]&lt;=Table1[[#This Row],[High Tol]],"Pass","Fail"),IF(Table1[[#This Row],[DUT Adj Read]]&lt;=Table1[[#This Row],[High Tol]],"Pass","Fail")))</f>
        <v>Fail</v>
      </c>
      <c r="AH27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2" s="1" t="b">
        <v>0</v>
      </c>
      <c r="AN2702" s="1" t="b">
        <v>0</v>
      </c>
      <c r="AO2702" s="1" t="b">
        <v>0</v>
      </c>
    </row>
    <row r="2703" spans="1:41" x14ac:dyDescent="0.25">
      <c r="A2703" s="10"/>
      <c r="B2703" s="10"/>
      <c r="C2703" s="10"/>
      <c r="D2703" s="10"/>
      <c r="E2703" s="10"/>
      <c r="F2703" s="10"/>
      <c r="G2703" s="10"/>
      <c r="H2703" s="10"/>
      <c r="I2703" s="1" t="str">
        <f t="shared" si="126"/>
        <v/>
      </c>
      <c r="J2703" s="1" t="s">
        <v>35</v>
      </c>
      <c r="K2703" s="1" t="str">
        <f t="shared" si="127"/>
        <v/>
      </c>
      <c r="L2703" s="1" t="str">
        <f t="shared" si="128"/>
        <v/>
      </c>
      <c r="M2703" s="1">
        <f>IF(OR(Table1[[#This Row],[Std Nom]]="",Table1[[#This Row],[Std Read]]=""),0,Table1[[#This Row],[Std Nom]]-Table1[[#This Row],[Std Read]])</f>
        <v>0</v>
      </c>
      <c r="N2703" s="1">
        <f>IF(Calculations!$F$5="ACCREDITED 17025 WITH UNCERTAINTIES",$N$10,0)</f>
        <v>0</v>
      </c>
      <c r="O2703" s="1" t="str">
        <f>IFERROR(Table1[[#This Row],[Std Nom]]-(_xlfn.XLOOKUP(Table1[[#This Row],[Manufacturer]]&amp;" "&amp;Table1[[#This Row],[Model]],Table13[MFR &amp; MDL],Table13[Tolerance % CW ],"")/100*Table1[[#This Row],[Std Nom]]),"")</f>
        <v/>
      </c>
      <c r="P2703" s="1" t="str">
        <f>IFERROR(Table1[[#This Row],[Std Nom]]+(_xlfn.XLOOKUP(Table1[[#This Row],[Manufacturer]]&amp;" "&amp;Table1[[#This Row],[Model]],Table13[MFR &amp; MDL],Table13[Tolerance % CW ],"")/100*Table1[[#This Row],[Std Nom]]),"")</f>
        <v/>
      </c>
      <c r="Q2703" s="1" t="e">
        <f>Table1[[#This Row],[High Tol]]-Table1[[#This Row],[Low Tol]]</f>
        <v>#VALUE!</v>
      </c>
      <c r="R2703" s="1">
        <f>2*Table1[[#This Row],[Std Error]]</f>
        <v>0</v>
      </c>
      <c r="S2703" s="1" t="str">
        <f>IF(Table1[[#This Row],[High Tol]]="","N/A",IFERROR(ABS(Table1[[#This Row],[Tol Span]]/Table1[[#This Row],[Error Span]]),"N/A"))</f>
        <v>N/A</v>
      </c>
      <c r="T2703" s="1" t="str">
        <f>IF(OR(Table1[[#This Row],[Low Tol]]="",Table1[[#This Row],[High Tol]]=""),"Needs Analysis",IF(Table1[[#This Row],[Ratio]]&gt;=4,"Not Significant",IF(Table1[[#This Row],[Ratio]]&gt;=2,"Semi-Significant","Significant")))</f>
        <v>Needs Analysis</v>
      </c>
      <c r="W2703" s="1">
        <f>IF(Table1[[#This Row],[Cal Type]]&lt;&gt;"ACCREDITED 17025 WITH UNCERTAINTIES",0,"")</f>
        <v>0</v>
      </c>
      <c r="X2703" s="1" t="str">
        <f>IF(Table1[[#This Row],[DUT Read]]="","N/A",Table1[[#This Row],[Std Error]]+Table1[[#This Row],[DUT Read]]+Table1[[#This Row],[DUT Ucty]])</f>
        <v>N/A</v>
      </c>
      <c r="Y2703" s="1" t="str">
        <f>IF(Table1[[#This Row],[Std Read]]="","N/A",Table1[[#This Row],[Std Read]]+Table1[[#This Row],[Std Ucty]])</f>
        <v>N/A</v>
      </c>
      <c r="Z27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3" s="1" t="str">
        <f>IF(Table1[[#This Row],[Spec Type]]="","N/A",Table1[[#This Row],[Spec Type]])</f>
        <v>±</v>
      </c>
      <c r="AC2703" s="1" t="str">
        <f>IF(Table1[[#This Row],[Spec Type2]]="N/A","N/A",IF(AND(Table1[[#This Row],[DUT Adj Read]]&gt;=Table1[[#This Row],[Low Tol]],Table1[[#This Row],[DUT Adj Read]]&lt;=Table1[[#This Row],[High Tol]]),"Pass","Fail"))</f>
        <v>Fail</v>
      </c>
      <c r="AD2703" s="1" t="str">
        <f>IF(AND(Table1[[#This Row],[Spec Type2]]="N/A",Table1[[#This Row],[DUT Adj Read]]="N/A",Table1[[#This Row],[Std Adj Read]]="N/A"),"N/A",IF(Table1[[#This Row],[DUT Adj Read]]="N/A",IF(Table1[[#This Row],[Std Adj Read]]&gt;Table1[[#This Row],[Low Tol]],"Pass","Fail"),IF(Table1[[#This Row],[DUT Adj Read]]&gt;Table1[[#This Row],[Low Tol]],"Pass","Fail")))</f>
        <v>Pass</v>
      </c>
      <c r="AE2703" s="1" t="str">
        <f>IF(AND(Table1[[#This Row],[Spec Type2]]="N/A",Table1[[#This Row],[DUT Adj Read]]="N/A",Table1[[#This Row],[Std Adj Read]]="N/A"),"N/A",IF(Table1[[#This Row],[DUT Adj Read]]="N/A",IF(Table1[[#This Row],[Std Adj Read]]&lt;Table1[[#This Row],[High Tol]],"Pass","Fail"),IF(Table1[[#This Row],[DUT Adj Read]]&lt;Table1[[#This Row],[High Tol]],"Pass","Fail")))</f>
        <v>Fail</v>
      </c>
      <c r="AF2703" s="1" t="str">
        <f>IF(AND(Table1[[#This Row],[Spec Type2]]="N/A",Table1[[#This Row],[DUT Adj Read]]="N/A",Table1[[#This Row],[Std Adj Read]]="N/A"),"N/A",IF(Table1[[#This Row],[DUT Adj Read]]="N/A",IF(Table1[[#This Row],[Std Adj Read]]&gt;=Table1[[#This Row],[Low Tol]],"Pass","Fail"),IF(Table1[[#This Row],[DUT Adj Read]]&gt;=Table1[[#This Row],[Low Tol]],"Pass","Fail")))</f>
        <v>Pass</v>
      </c>
      <c r="AG2703" s="1" t="str">
        <f>IF(AND(Table1[[#This Row],[Spec Type2]]="N/A",Table1[[#This Row],[DUT Adj Read]]="N/A",Table1[[#This Row],[Std Adj Read]]="N/A"),"N/A",IF(Table1[[#This Row],[DUT Adj Read]]="N/A",IF(Table1[[#This Row],[Std Adj Read]]&lt;=Table1[[#This Row],[High Tol]],"Pass","Fail"),IF(Table1[[#This Row],[DUT Adj Read]]&lt;=Table1[[#This Row],[High Tol]],"Pass","Fail")))</f>
        <v>Fail</v>
      </c>
      <c r="AH27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3" s="1" t="b">
        <v>0</v>
      </c>
      <c r="AN2703" s="1" t="b">
        <v>0</v>
      </c>
      <c r="AO2703" s="1" t="b">
        <v>0</v>
      </c>
    </row>
    <row r="2704" spans="1:41" x14ac:dyDescent="0.25">
      <c r="A2704" s="10"/>
      <c r="B2704" s="10"/>
      <c r="C2704" s="10"/>
      <c r="D2704" s="10"/>
      <c r="E2704" s="10"/>
      <c r="F2704" s="10"/>
      <c r="G2704" s="10"/>
      <c r="H2704" s="10"/>
      <c r="I2704" s="1" t="str">
        <f t="shared" si="126"/>
        <v/>
      </c>
      <c r="J2704" s="1" t="s">
        <v>35</v>
      </c>
      <c r="K2704" s="1" t="str">
        <f t="shared" si="127"/>
        <v/>
      </c>
      <c r="L2704" s="1" t="str">
        <f t="shared" si="128"/>
        <v/>
      </c>
      <c r="M2704" s="1">
        <f>IF(OR(Table1[[#This Row],[Std Nom]]="",Table1[[#This Row],[Std Read]]=""),0,Table1[[#This Row],[Std Nom]]-Table1[[#This Row],[Std Read]])</f>
        <v>0</v>
      </c>
      <c r="N2704" s="1">
        <f>IF(Calculations!$F$5="ACCREDITED 17025 WITH UNCERTAINTIES",$N$10,0)</f>
        <v>0</v>
      </c>
      <c r="O2704" s="1" t="str">
        <f>IFERROR(Table1[[#This Row],[Std Nom]]-(_xlfn.XLOOKUP(Table1[[#This Row],[Manufacturer]]&amp;" "&amp;Table1[[#This Row],[Model]],Table13[MFR &amp; MDL],Table13[Tolerance % CW ],"")/100*Table1[[#This Row],[Std Nom]]),"")</f>
        <v/>
      </c>
      <c r="P2704" s="1" t="str">
        <f>IFERROR(Table1[[#This Row],[Std Nom]]+(_xlfn.XLOOKUP(Table1[[#This Row],[Manufacturer]]&amp;" "&amp;Table1[[#This Row],[Model]],Table13[MFR &amp; MDL],Table13[Tolerance % CW ],"")/100*Table1[[#This Row],[Std Nom]]),"")</f>
        <v/>
      </c>
      <c r="Q2704" s="1" t="e">
        <f>Table1[[#This Row],[High Tol]]-Table1[[#This Row],[Low Tol]]</f>
        <v>#VALUE!</v>
      </c>
      <c r="R2704" s="1">
        <f>2*Table1[[#This Row],[Std Error]]</f>
        <v>0</v>
      </c>
      <c r="S2704" s="1" t="str">
        <f>IF(Table1[[#This Row],[High Tol]]="","N/A",IFERROR(ABS(Table1[[#This Row],[Tol Span]]/Table1[[#This Row],[Error Span]]),"N/A"))</f>
        <v>N/A</v>
      </c>
      <c r="T2704" s="1" t="str">
        <f>IF(OR(Table1[[#This Row],[Low Tol]]="",Table1[[#This Row],[High Tol]]=""),"Needs Analysis",IF(Table1[[#This Row],[Ratio]]&gt;=4,"Not Significant",IF(Table1[[#This Row],[Ratio]]&gt;=2,"Semi-Significant","Significant")))</f>
        <v>Needs Analysis</v>
      </c>
      <c r="W2704" s="1">
        <f>IF(Table1[[#This Row],[Cal Type]]&lt;&gt;"ACCREDITED 17025 WITH UNCERTAINTIES",0,"")</f>
        <v>0</v>
      </c>
      <c r="X2704" s="1" t="str">
        <f>IF(Table1[[#This Row],[DUT Read]]="","N/A",Table1[[#This Row],[Std Error]]+Table1[[#This Row],[DUT Read]]+Table1[[#This Row],[DUT Ucty]])</f>
        <v>N/A</v>
      </c>
      <c r="Y2704" s="1" t="str">
        <f>IF(Table1[[#This Row],[Std Read]]="","N/A",Table1[[#This Row],[Std Read]]+Table1[[#This Row],[Std Ucty]])</f>
        <v>N/A</v>
      </c>
      <c r="Z27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4" s="1" t="str">
        <f>IF(Table1[[#This Row],[Spec Type]]="","N/A",Table1[[#This Row],[Spec Type]])</f>
        <v>±</v>
      </c>
      <c r="AC2704" s="1" t="str">
        <f>IF(Table1[[#This Row],[Spec Type2]]="N/A","N/A",IF(AND(Table1[[#This Row],[DUT Adj Read]]&gt;=Table1[[#This Row],[Low Tol]],Table1[[#This Row],[DUT Adj Read]]&lt;=Table1[[#This Row],[High Tol]]),"Pass","Fail"))</f>
        <v>Fail</v>
      </c>
      <c r="AD2704" s="1" t="str">
        <f>IF(AND(Table1[[#This Row],[Spec Type2]]="N/A",Table1[[#This Row],[DUT Adj Read]]="N/A",Table1[[#This Row],[Std Adj Read]]="N/A"),"N/A",IF(Table1[[#This Row],[DUT Adj Read]]="N/A",IF(Table1[[#This Row],[Std Adj Read]]&gt;Table1[[#This Row],[Low Tol]],"Pass","Fail"),IF(Table1[[#This Row],[DUT Adj Read]]&gt;Table1[[#This Row],[Low Tol]],"Pass","Fail")))</f>
        <v>Pass</v>
      </c>
      <c r="AE2704" s="1" t="str">
        <f>IF(AND(Table1[[#This Row],[Spec Type2]]="N/A",Table1[[#This Row],[DUT Adj Read]]="N/A",Table1[[#This Row],[Std Adj Read]]="N/A"),"N/A",IF(Table1[[#This Row],[DUT Adj Read]]="N/A",IF(Table1[[#This Row],[Std Adj Read]]&lt;Table1[[#This Row],[High Tol]],"Pass","Fail"),IF(Table1[[#This Row],[DUT Adj Read]]&lt;Table1[[#This Row],[High Tol]],"Pass","Fail")))</f>
        <v>Fail</v>
      </c>
      <c r="AF2704" s="1" t="str">
        <f>IF(AND(Table1[[#This Row],[Spec Type2]]="N/A",Table1[[#This Row],[DUT Adj Read]]="N/A",Table1[[#This Row],[Std Adj Read]]="N/A"),"N/A",IF(Table1[[#This Row],[DUT Adj Read]]="N/A",IF(Table1[[#This Row],[Std Adj Read]]&gt;=Table1[[#This Row],[Low Tol]],"Pass","Fail"),IF(Table1[[#This Row],[DUT Adj Read]]&gt;=Table1[[#This Row],[Low Tol]],"Pass","Fail")))</f>
        <v>Pass</v>
      </c>
      <c r="AG2704" s="1" t="str">
        <f>IF(AND(Table1[[#This Row],[Spec Type2]]="N/A",Table1[[#This Row],[DUT Adj Read]]="N/A",Table1[[#This Row],[Std Adj Read]]="N/A"),"N/A",IF(Table1[[#This Row],[DUT Adj Read]]="N/A",IF(Table1[[#This Row],[Std Adj Read]]&lt;=Table1[[#This Row],[High Tol]],"Pass","Fail"),IF(Table1[[#This Row],[DUT Adj Read]]&lt;=Table1[[#This Row],[High Tol]],"Pass","Fail")))</f>
        <v>Fail</v>
      </c>
      <c r="AH27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4" s="1" t="b">
        <v>0</v>
      </c>
      <c r="AN2704" s="1" t="b">
        <v>0</v>
      </c>
      <c r="AO2704" s="1" t="b">
        <v>0</v>
      </c>
    </row>
    <row r="2705" spans="1:41" x14ac:dyDescent="0.25">
      <c r="A2705" s="10"/>
      <c r="B2705" s="10"/>
      <c r="C2705" s="10"/>
      <c r="D2705" s="10"/>
      <c r="E2705" s="10"/>
      <c r="F2705" s="10"/>
      <c r="G2705" s="10"/>
      <c r="H2705" s="10"/>
      <c r="I2705" s="1" t="str">
        <f t="shared" si="126"/>
        <v/>
      </c>
      <c r="J2705" s="1" t="s">
        <v>35</v>
      </c>
      <c r="K2705" s="1" t="str">
        <f t="shared" si="127"/>
        <v/>
      </c>
      <c r="L2705" s="1" t="str">
        <f t="shared" si="128"/>
        <v/>
      </c>
      <c r="M2705" s="1">
        <f>IF(OR(Table1[[#This Row],[Std Nom]]="",Table1[[#This Row],[Std Read]]=""),0,Table1[[#This Row],[Std Nom]]-Table1[[#This Row],[Std Read]])</f>
        <v>0</v>
      </c>
      <c r="N2705" s="1">
        <f>IF(Calculations!$F$5="ACCREDITED 17025 WITH UNCERTAINTIES",$N$10,0)</f>
        <v>0</v>
      </c>
      <c r="O2705" s="1" t="str">
        <f>IFERROR(Table1[[#This Row],[Std Nom]]-(_xlfn.XLOOKUP(Table1[[#This Row],[Manufacturer]]&amp;" "&amp;Table1[[#This Row],[Model]],Table13[MFR &amp; MDL],Table13[Tolerance % CW ],"")/100*Table1[[#This Row],[Std Nom]]),"")</f>
        <v/>
      </c>
      <c r="P2705" s="1" t="str">
        <f>IFERROR(Table1[[#This Row],[Std Nom]]+(_xlfn.XLOOKUP(Table1[[#This Row],[Manufacturer]]&amp;" "&amp;Table1[[#This Row],[Model]],Table13[MFR &amp; MDL],Table13[Tolerance % CW ],"")/100*Table1[[#This Row],[Std Nom]]),"")</f>
        <v/>
      </c>
      <c r="Q2705" s="1" t="e">
        <f>Table1[[#This Row],[High Tol]]-Table1[[#This Row],[Low Tol]]</f>
        <v>#VALUE!</v>
      </c>
      <c r="R2705" s="1">
        <f>2*Table1[[#This Row],[Std Error]]</f>
        <v>0</v>
      </c>
      <c r="S2705" s="1" t="str">
        <f>IF(Table1[[#This Row],[High Tol]]="","N/A",IFERROR(ABS(Table1[[#This Row],[Tol Span]]/Table1[[#This Row],[Error Span]]),"N/A"))</f>
        <v>N/A</v>
      </c>
      <c r="T2705" s="1" t="str">
        <f>IF(OR(Table1[[#This Row],[Low Tol]]="",Table1[[#This Row],[High Tol]]=""),"Needs Analysis",IF(Table1[[#This Row],[Ratio]]&gt;=4,"Not Significant",IF(Table1[[#This Row],[Ratio]]&gt;=2,"Semi-Significant","Significant")))</f>
        <v>Needs Analysis</v>
      </c>
      <c r="W2705" s="1">
        <f>IF(Table1[[#This Row],[Cal Type]]&lt;&gt;"ACCREDITED 17025 WITH UNCERTAINTIES",0,"")</f>
        <v>0</v>
      </c>
      <c r="X2705" s="1" t="str">
        <f>IF(Table1[[#This Row],[DUT Read]]="","N/A",Table1[[#This Row],[Std Error]]+Table1[[#This Row],[DUT Read]]+Table1[[#This Row],[DUT Ucty]])</f>
        <v>N/A</v>
      </c>
      <c r="Y2705" s="1" t="str">
        <f>IF(Table1[[#This Row],[Std Read]]="","N/A",Table1[[#This Row],[Std Read]]+Table1[[#This Row],[Std Ucty]])</f>
        <v>N/A</v>
      </c>
      <c r="Z27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5" s="1" t="str">
        <f>IF(Table1[[#This Row],[Spec Type]]="","N/A",Table1[[#This Row],[Spec Type]])</f>
        <v>±</v>
      </c>
      <c r="AC2705" s="1" t="str">
        <f>IF(Table1[[#This Row],[Spec Type2]]="N/A","N/A",IF(AND(Table1[[#This Row],[DUT Adj Read]]&gt;=Table1[[#This Row],[Low Tol]],Table1[[#This Row],[DUT Adj Read]]&lt;=Table1[[#This Row],[High Tol]]),"Pass","Fail"))</f>
        <v>Fail</v>
      </c>
      <c r="AD2705" s="1" t="str">
        <f>IF(AND(Table1[[#This Row],[Spec Type2]]="N/A",Table1[[#This Row],[DUT Adj Read]]="N/A",Table1[[#This Row],[Std Adj Read]]="N/A"),"N/A",IF(Table1[[#This Row],[DUT Adj Read]]="N/A",IF(Table1[[#This Row],[Std Adj Read]]&gt;Table1[[#This Row],[Low Tol]],"Pass","Fail"),IF(Table1[[#This Row],[DUT Adj Read]]&gt;Table1[[#This Row],[Low Tol]],"Pass","Fail")))</f>
        <v>Pass</v>
      </c>
      <c r="AE2705" s="1" t="str">
        <f>IF(AND(Table1[[#This Row],[Spec Type2]]="N/A",Table1[[#This Row],[DUT Adj Read]]="N/A",Table1[[#This Row],[Std Adj Read]]="N/A"),"N/A",IF(Table1[[#This Row],[DUT Adj Read]]="N/A",IF(Table1[[#This Row],[Std Adj Read]]&lt;Table1[[#This Row],[High Tol]],"Pass","Fail"),IF(Table1[[#This Row],[DUT Adj Read]]&lt;Table1[[#This Row],[High Tol]],"Pass","Fail")))</f>
        <v>Fail</v>
      </c>
      <c r="AF2705" s="1" t="str">
        <f>IF(AND(Table1[[#This Row],[Spec Type2]]="N/A",Table1[[#This Row],[DUT Adj Read]]="N/A",Table1[[#This Row],[Std Adj Read]]="N/A"),"N/A",IF(Table1[[#This Row],[DUT Adj Read]]="N/A",IF(Table1[[#This Row],[Std Adj Read]]&gt;=Table1[[#This Row],[Low Tol]],"Pass","Fail"),IF(Table1[[#This Row],[DUT Adj Read]]&gt;=Table1[[#This Row],[Low Tol]],"Pass","Fail")))</f>
        <v>Pass</v>
      </c>
      <c r="AG2705" s="1" t="str">
        <f>IF(AND(Table1[[#This Row],[Spec Type2]]="N/A",Table1[[#This Row],[DUT Adj Read]]="N/A",Table1[[#This Row],[Std Adj Read]]="N/A"),"N/A",IF(Table1[[#This Row],[DUT Adj Read]]="N/A",IF(Table1[[#This Row],[Std Adj Read]]&lt;=Table1[[#This Row],[High Tol]],"Pass","Fail"),IF(Table1[[#This Row],[DUT Adj Read]]&lt;=Table1[[#This Row],[High Tol]],"Pass","Fail")))</f>
        <v>Fail</v>
      </c>
      <c r="AH27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5" s="1" t="b">
        <v>0</v>
      </c>
      <c r="AN2705" s="1" t="b">
        <v>0</v>
      </c>
      <c r="AO2705" s="1" t="b">
        <v>0</v>
      </c>
    </row>
    <row r="2706" spans="1:41" x14ac:dyDescent="0.25">
      <c r="A2706" s="10"/>
      <c r="B2706" s="10"/>
      <c r="C2706" s="10"/>
      <c r="D2706" s="10"/>
      <c r="E2706" s="10"/>
      <c r="F2706" s="10"/>
      <c r="G2706" s="10"/>
      <c r="H2706" s="10"/>
      <c r="I2706" s="1" t="str">
        <f t="shared" si="126"/>
        <v/>
      </c>
      <c r="J2706" s="1" t="s">
        <v>35</v>
      </c>
      <c r="K2706" s="1" t="str">
        <f t="shared" si="127"/>
        <v/>
      </c>
      <c r="L2706" s="1" t="str">
        <f t="shared" si="128"/>
        <v/>
      </c>
      <c r="M2706" s="1">
        <f>IF(OR(Table1[[#This Row],[Std Nom]]="",Table1[[#This Row],[Std Read]]=""),0,Table1[[#This Row],[Std Nom]]-Table1[[#This Row],[Std Read]])</f>
        <v>0</v>
      </c>
      <c r="N2706" s="1">
        <f>IF(Calculations!$F$5="ACCREDITED 17025 WITH UNCERTAINTIES",$N$10,0)</f>
        <v>0</v>
      </c>
      <c r="O2706" s="1" t="str">
        <f>IFERROR(Table1[[#This Row],[Std Nom]]-(_xlfn.XLOOKUP(Table1[[#This Row],[Manufacturer]]&amp;" "&amp;Table1[[#This Row],[Model]],Table13[MFR &amp; MDL],Table13[Tolerance % CW ],"")/100*Table1[[#This Row],[Std Nom]]),"")</f>
        <v/>
      </c>
      <c r="P2706" s="1" t="str">
        <f>IFERROR(Table1[[#This Row],[Std Nom]]+(_xlfn.XLOOKUP(Table1[[#This Row],[Manufacturer]]&amp;" "&amp;Table1[[#This Row],[Model]],Table13[MFR &amp; MDL],Table13[Tolerance % CW ],"")/100*Table1[[#This Row],[Std Nom]]),"")</f>
        <v/>
      </c>
      <c r="Q2706" s="1" t="e">
        <f>Table1[[#This Row],[High Tol]]-Table1[[#This Row],[Low Tol]]</f>
        <v>#VALUE!</v>
      </c>
      <c r="R2706" s="1">
        <f>2*Table1[[#This Row],[Std Error]]</f>
        <v>0</v>
      </c>
      <c r="S2706" s="1" t="str">
        <f>IF(Table1[[#This Row],[High Tol]]="","N/A",IFERROR(ABS(Table1[[#This Row],[Tol Span]]/Table1[[#This Row],[Error Span]]),"N/A"))</f>
        <v>N/A</v>
      </c>
      <c r="T2706" s="1" t="str">
        <f>IF(OR(Table1[[#This Row],[Low Tol]]="",Table1[[#This Row],[High Tol]]=""),"Needs Analysis",IF(Table1[[#This Row],[Ratio]]&gt;=4,"Not Significant",IF(Table1[[#This Row],[Ratio]]&gt;=2,"Semi-Significant","Significant")))</f>
        <v>Needs Analysis</v>
      </c>
      <c r="W2706" s="1">
        <f>IF(Table1[[#This Row],[Cal Type]]&lt;&gt;"ACCREDITED 17025 WITH UNCERTAINTIES",0,"")</f>
        <v>0</v>
      </c>
      <c r="X2706" s="1" t="str">
        <f>IF(Table1[[#This Row],[DUT Read]]="","N/A",Table1[[#This Row],[Std Error]]+Table1[[#This Row],[DUT Read]]+Table1[[#This Row],[DUT Ucty]])</f>
        <v>N/A</v>
      </c>
      <c r="Y2706" s="1" t="str">
        <f>IF(Table1[[#This Row],[Std Read]]="","N/A",Table1[[#This Row],[Std Read]]+Table1[[#This Row],[Std Ucty]])</f>
        <v>N/A</v>
      </c>
      <c r="Z27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6" s="1" t="str">
        <f>IF(Table1[[#This Row],[Spec Type]]="","N/A",Table1[[#This Row],[Spec Type]])</f>
        <v>±</v>
      </c>
      <c r="AC2706" s="1" t="str">
        <f>IF(Table1[[#This Row],[Spec Type2]]="N/A","N/A",IF(AND(Table1[[#This Row],[DUT Adj Read]]&gt;=Table1[[#This Row],[Low Tol]],Table1[[#This Row],[DUT Adj Read]]&lt;=Table1[[#This Row],[High Tol]]),"Pass","Fail"))</f>
        <v>Fail</v>
      </c>
      <c r="AD2706" s="1" t="str">
        <f>IF(AND(Table1[[#This Row],[Spec Type2]]="N/A",Table1[[#This Row],[DUT Adj Read]]="N/A",Table1[[#This Row],[Std Adj Read]]="N/A"),"N/A",IF(Table1[[#This Row],[DUT Adj Read]]="N/A",IF(Table1[[#This Row],[Std Adj Read]]&gt;Table1[[#This Row],[Low Tol]],"Pass","Fail"),IF(Table1[[#This Row],[DUT Adj Read]]&gt;Table1[[#This Row],[Low Tol]],"Pass","Fail")))</f>
        <v>Pass</v>
      </c>
      <c r="AE2706" s="1" t="str">
        <f>IF(AND(Table1[[#This Row],[Spec Type2]]="N/A",Table1[[#This Row],[DUT Adj Read]]="N/A",Table1[[#This Row],[Std Adj Read]]="N/A"),"N/A",IF(Table1[[#This Row],[DUT Adj Read]]="N/A",IF(Table1[[#This Row],[Std Adj Read]]&lt;Table1[[#This Row],[High Tol]],"Pass","Fail"),IF(Table1[[#This Row],[DUT Adj Read]]&lt;Table1[[#This Row],[High Tol]],"Pass","Fail")))</f>
        <v>Fail</v>
      </c>
      <c r="AF2706" s="1" t="str">
        <f>IF(AND(Table1[[#This Row],[Spec Type2]]="N/A",Table1[[#This Row],[DUT Adj Read]]="N/A",Table1[[#This Row],[Std Adj Read]]="N/A"),"N/A",IF(Table1[[#This Row],[DUT Adj Read]]="N/A",IF(Table1[[#This Row],[Std Adj Read]]&gt;=Table1[[#This Row],[Low Tol]],"Pass","Fail"),IF(Table1[[#This Row],[DUT Adj Read]]&gt;=Table1[[#This Row],[Low Tol]],"Pass","Fail")))</f>
        <v>Pass</v>
      </c>
      <c r="AG2706" s="1" t="str">
        <f>IF(AND(Table1[[#This Row],[Spec Type2]]="N/A",Table1[[#This Row],[DUT Adj Read]]="N/A",Table1[[#This Row],[Std Adj Read]]="N/A"),"N/A",IF(Table1[[#This Row],[DUT Adj Read]]="N/A",IF(Table1[[#This Row],[Std Adj Read]]&lt;=Table1[[#This Row],[High Tol]],"Pass","Fail"),IF(Table1[[#This Row],[DUT Adj Read]]&lt;=Table1[[#This Row],[High Tol]],"Pass","Fail")))</f>
        <v>Fail</v>
      </c>
      <c r="AH27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6" s="1" t="b">
        <v>0</v>
      </c>
      <c r="AN2706" s="1" t="b">
        <v>0</v>
      </c>
      <c r="AO2706" s="1" t="b">
        <v>0</v>
      </c>
    </row>
    <row r="2707" spans="1:41" x14ac:dyDescent="0.25">
      <c r="A2707" s="10"/>
      <c r="B2707" s="10"/>
      <c r="C2707" s="10"/>
      <c r="D2707" s="10"/>
      <c r="E2707" s="10"/>
      <c r="F2707" s="10"/>
      <c r="G2707" s="10"/>
      <c r="H2707" s="10"/>
      <c r="I2707" s="1" t="str">
        <f t="shared" si="126"/>
        <v/>
      </c>
      <c r="J2707" s="1" t="s">
        <v>35</v>
      </c>
      <c r="K2707" s="1" t="str">
        <f t="shared" si="127"/>
        <v/>
      </c>
      <c r="L2707" s="1" t="str">
        <f t="shared" si="128"/>
        <v/>
      </c>
      <c r="M2707" s="1">
        <f>IF(OR(Table1[[#This Row],[Std Nom]]="",Table1[[#This Row],[Std Read]]=""),0,Table1[[#This Row],[Std Nom]]-Table1[[#This Row],[Std Read]])</f>
        <v>0</v>
      </c>
      <c r="N2707" s="1">
        <f>IF(Calculations!$F$5="ACCREDITED 17025 WITH UNCERTAINTIES",$N$10,0)</f>
        <v>0</v>
      </c>
      <c r="O2707" s="1" t="str">
        <f>IFERROR(Table1[[#This Row],[Std Nom]]-(_xlfn.XLOOKUP(Table1[[#This Row],[Manufacturer]]&amp;" "&amp;Table1[[#This Row],[Model]],Table13[MFR &amp; MDL],Table13[Tolerance % CW ],"")/100*Table1[[#This Row],[Std Nom]]),"")</f>
        <v/>
      </c>
      <c r="P2707" s="1" t="str">
        <f>IFERROR(Table1[[#This Row],[Std Nom]]+(_xlfn.XLOOKUP(Table1[[#This Row],[Manufacturer]]&amp;" "&amp;Table1[[#This Row],[Model]],Table13[MFR &amp; MDL],Table13[Tolerance % CW ],"")/100*Table1[[#This Row],[Std Nom]]),"")</f>
        <v/>
      </c>
      <c r="Q2707" s="1" t="e">
        <f>Table1[[#This Row],[High Tol]]-Table1[[#This Row],[Low Tol]]</f>
        <v>#VALUE!</v>
      </c>
      <c r="R2707" s="1">
        <f>2*Table1[[#This Row],[Std Error]]</f>
        <v>0</v>
      </c>
      <c r="S2707" s="1" t="str">
        <f>IF(Table1[[#This Row],[High Tol]]="","N/A",IFERROR(ABS(Table1[[#This Row],[Tol Span]]/Table1[[#This Row],[Error Span]]),"N/A"))</f>
        <v>N/A</v>
      </c>
      <c r="T2707" s="1" t="str">
        <f>IF(OR(Table1[[#This Row],[Low Tol]]="",Table1[[#This Row],[High Tol]]=""),"Needs Analysis",IF(Table1[[#This Row],[Ratio]]&gt;=4,"Not Significant",IF(Table1[[#This Row],[Ratio]]&gt;=2,"Semi-Significant","Significant")))</f>
        <v>Needs Analysis</v>
      </c>
      <c r="W2707" s="1">
        <f>IF(Table1[[#This Row],[Cal Type]]&lt;&gt;"ACCREDITED 17025 WITH UNCERTAINTIES",0,"")</f>
        <v>0</v>
      </c>
      <c r="X2707" s="1" t="str">
        <f>IF(Table1[[#This Row],[DUT Read]]="","N/A",Table1[[#This Row],[Std Error]]+Table1[[#This Row],[DUT Read]]+Table1[[#This Row],[DUT Ucty]])</f>
        <v>N/A</v>
      </c>
      <c r="Y2707" s="1" t="str">
        <f>IF(Table1[[#This Row],[Std Read]]="","N/A",Table1[[#This Row],[Std Read]]+Table1[[#This Row],[Std Ucty]])</f>
        <v>N/A</v>
      </c>
      <c r="Z27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7" s="1" t="str">
        <f>IF(Table1[[#This Row],[Spec Type]]="","N/A",Table1[[#This Row],[Spec Type]])</f>
        <v>±</v>
      </c>
      <c r="AC2707" s="1" t="str">
        <f>IF(Table1[[#This Row],[Spec Type2]]="N/A","N/A",IF(AND(Table1[[#This Row],[DUT Adj Read]]&gt;=Table1[[#This Row],[Low Tol]],Table1[[#This Row],[DUT Adj Read]]&lt;=Table1[[#This Row],[High Tol]]),"Pass","Fail"))</f>
        <v>Fail</v>
      </c>
      <c r="AD2707" s="1" t="str">
        <f>IF(AND(Table1[[#This Row],[Spec Type2]]="N/A",Table1[[#This Row],[DUT Adj Read]]="N/A",Table1[[#This Row],[Std Adj Read]]="N/A"),"N/A",IF(Table1[[#This Row],[DUT Adj Read]]="N/A",IF(Table1[[#This Row],[Std Adj Read]]&gt;Table1[[#This Row],[Low Tol]],"Pass","Fail"),IF(Table1[[#This Row],[DUT Adj Read]]&gt;Table1[[#This Row],[Low Tol]],"Pass","Fail")))</f>
        <v>Pass</v>
      </c>
      <c r="AE2707" s="1" t="str">
        <f>IF(AND(Table1[[#This Row],[Spec Type2]]="N/A",Table1[[#This Row],[DUT Adj Read]]="N/A",Table1[[#This Row],[Std Adj Read]]="N/A"),"N/A",IF(Table1[[#This Row],[DUT Adj Read]]="N/A",IF(Table1[[#This Row],[Std Adj Read]]&lt;Table1[[#This Row],[High Tol]],"Pass","Fail"),IF(Table1[[#This Row],[DUT Adj Read]]&lt;Table1[[#This Row],[High Tol]],"Pass","Fail")))</f>
        <v>Fail</v>
      </c>
      <c r="AF2707" s="1" t="str">
        <f>IF(AND(Table1[[#This Row],[Spec Type2]]="N/A",Table1[[#This Row],[DUT Adj Read]]="N/A",Table1[[#This Row],[Std Adj Read]]="N/A"),"N/A",IF(Table1[[#This Row],[DUT Adj Read]]="N/A",IF(Table1[[#This Row],[Std Adj Read]]&gt;=Table1[[#This Row],[Low Tol]],"Pass","Fail"),IF(Table1[[#This Row],[DUT Adj Read]]&gt;=Table1[[#This Row],[Low Tol]],"Pass","Fail")))</f>
        <v>Pass</v>
      </c>
      <c r="AG2707" s="1" t="str">
        <f>IF(AND(Table1[[#This Row],[Spec Type2]]="N/A",Table1[[#This Row],[DUT Adj Read]]="N/A",Table1[[#This Row],[Std Adj Read]]="N/A"),"N/A",IF(Table1[[#This Row],[DUT Adj Read]]="N/A",IF(Table1[[#This Row],[Std Adj Read]]&lt;=Table1[[#This Row],[High Tol]],"Pass","Fail"),IF(Table1[[#This Row],[DUT Adj Read]]&lt;=Table1[[#This Row],[High Tol]],"Pass","Fail")))</f>
        <v>Fail</v>
      </c>
      <c r="AH27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7" s="1" t="b">
        <v>0</v>
      </c>
      <c r="AN2707" s="1" t="b">
        <v>0</v>
      </c>
      <c r="AO2707" s="1" t="b">
        <v>0</v>
      </c>
    </row>
    <row r="2708" spans="1:41" x14ac:dyDescent="0.25">
      <c r="A2708" s="10"/>
      <c r="B2708" s="10"/>
      <c r="C2708" s="10"/>
      <c r="D2708" s="10"/>
      <c r="E2708" s="10"/>
      <c r="F2708" s="10"/>
      <c r="G2708" s="10"/>
      <c r="H2708" s="10"/>
      <c r="I2708" s="1" t="str">
        <f t="shared" si="126"/>
        <v/>
      </c>
      <c r="J2708" s="1" t="s">
        <v>35</v>
      </c>
      <c r="K2708" s="1" t="str">
        <f t="shared" si="127"/>
        <v/>
      </c>
      <c r="L2708" s="1" t="str">
        <f t="shared" si="128"/>
        <v/>
      </c>
      <c r="M2708" s="1">
        <f>IF(OR(Table1[[#This Row],[Std Nom]]="",Table1[[#This Row],[Std Read]]=""),0,Table1[[#This Row],[Std Nom]]-Table1[[#This Row],[Std Read]])</f>
        <v>0</v>
      </c>
      <c r="N2708" s="1">
        <f>IF(Calculations!$F$5="ACCREDITED 17025 WITH UNCERTAINTIES",$N$10,0)</f>
        <v>0</v>
      </c>
      <c r="O2708" s="1" t="str">
        <f>IFERROR(Table1[[#This Row],[Std Nom]]-(_xlfn.XLOOKUP(Table1[[#This Row],[Manufacturer]]&amp;" "&amp;Table1[[#This Row],[Model]],Table13[MFR &amp; MDL],Table13[Tolerance % CW ],"")/100*Table1[[#This Row],[Std Nom]]),"")</f>
        <v/>
      </c>
      <c r="P2708" s="1" t="str">
        <f>IFERROR(Table1[[#This Row],[Std Nom]]+(_xlfn.XLOOKUP(Table1[[#This Row],[Manufacturer]]&amp;" "&amp;Table1[[#This Row],[Model]],Table13[MFR &amp; MDL],Table13[Tolerance % CW ],"")/100*Table1[[#This Row],[Std Nom]]),"")</f>
        <v/>
      </c>
      <c r="Q2708" s="1" t="e">
        <f>Table1[[#This Row],[High Tol]]-Table1[[#This Row],[Low Tol]]</f>
        <v>#VALUE!</v>
      </c>
      <c r="R2708" s="1">
        <f>2*Table1[[#This Row],[Std Error]]</f>
        <v>0</v>
      </c>
      <c r="S2708" s="1" t="str">
        <f>IF(Table1[[#This Row],[High Tol]]="","N/A",IFERROR(ABS(Table1[[#This Row],[Tol Span]]/Table1[[#This Row],[Error Span]]),"N/A"))</f>
        <v>N/A</v>
      </c>
      <c r="T2708" s="1" t="str">
        <f>IF(OR(Table1[[#This Row],[Low Tol]]="",Table1[[#This Row],[High Tol]]=""),"Needs Analysis",IF(Table1[[#This Row],[Ratio]]&gt;=4,"Not Significant",IF(Table1[[#This Row],[Ratio]]&gt;=2,"Semi-Significant","Significant")))</f>
        <v>Needs Analysis</v>
      </c>
      <c r="W2708" s="1">
        <f>IF(Table1[[#This Row],[Cal Type]]&lt;&gt;"ACCREDITED 17025 WITH UNCERTAINTIES",0,"")</f>
        <v>0</v>
      </c>
      <c r="X2708" s="1" t="str">
        <f>IF(Table1[[#This Row],[DUT Read]]="","N/A",Table1[[#This Row],[Std Error]]+Table1[[#This Row],[DUT Read]]+Table1[[#This Row],[DUT Ucty]])</f>
        <v>N/A</v>
      </c>
      <c r="Y2708" s="1" t="str">
        <f>IF(Table1[[#This Row],[Std Read]]="","N/A",Table1[[#This Row],[Std Read]]+Table1[[#This Row],[Std Ucty]])</f>
        <v>N/A</v>
      </c>
      <c r="Z27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8" s="1" t="str">
        <f>IF(Table1[[#This Row],[Spec Type]]="","N/A",Table1[[#This Row],[Spec Type]])</f>
        <v>±</v>
      </c>
      <c r="AC2708" s="1" t="str">
        <f>IF(Table1[[#This Row],[Spec Type2]]="N/A","N/A",IF(AND(Table1[[#This Row],[DUT Adj Read]]&gt;=Table1[[#This Row],[Low Tol]],Table1[[#This Row],[DUT Adj Read]]&lt;=Table1[[#This Row],[High Tol]]),"Pass","Fail"))</f>
        <v>Fail</v>
      </c>
      <c r="AD2708" s="1" t="str">
        <f>IF(AND(Table1[[#This Row],[Spec Type2]]="N/A",Table1[[#This Row],[DUT Adj Read]]="N/A",Table1[[#This Row],[Std Adj Read]]="N/A"),"N/A",IF(Table1[[#This Row],[DUT Adj Read]]="N/A",IF(Table1[[#This Row],[Std Adj Read]]&gt;Table1[[#This Row],[Low Tol]],"Pass","Fail"),IF(Table1[[#This Row],[DUT Adj Read]]&gt;Table1[[#This Row],[Low Tol]],"Pass","Fail")))</f>
        <v>Pass</v>
      </c>
      <c r="AE2708" s="1" t="str">
        <f>IF(AND(Table1[[#This Row],[Spec Type2]]="N/A",Table1[[#This Row],[DUT Adj Read]]="N/A",Table1[[#This Row],[Std Adj Read]]="N/A"),"N/A",IF(Table1[[#This Row],[DUT Adj Read]]="N/A",IF(Table1[[#This Row],[Std Adj Read]]&lt;Table1[[#This Row],[High Tol]],"Pass","Fail"),IF(Table1[[#This Row],[DUT Adj Read]]&lt;Table1[[#This Row],[High Tol]],"Pass","Fail")))</f>
        <v>Fail</v>
      </c>
      <c r="AF2708" s="1" t="str">
        <f>IF(AND(Table1[[#This Row],[Spec Type2]]="N/A",Table1[[#This Row],[DUT Adj Read]]="N/A",Table1[[#This Row],[Std Adj Read]]="N/A"),"N/A",IF(Table1[[#This Row],[DUT Adj Read]]="N/A",IF(Table1[[#This Row],[Std Adj Read]]&gt;=Table1[[#This Row],[Low Tol]],"Pass","Fail"),IF(Table1[[#This Row],[DUT Adj Read]]&gt;=Table1[[#This Row],[Low Tol]],"Pass","Fail")))</f>
        <v>Pass</v>
      </c>
      <c r="AG2708" s="1" t="str">
        <f>IF(AND(Table1[[#This Row],[Spec Type2]]="N/A",Table1[[#This Row],[DUT Adj Read]]="N/A",Table1[[#This Row],[Std Adj Read]]="N/A"),"N/A",IF(Table1[[#This Row],[DUT Adj Read]]="N/A",IF(Table1[[#This Row],[Std Adj Read]]&lt;=Table1[[#This Row],[High Tol]],"Pass","Fail"),IF(Table1[[#This Row],[DUT Adj Read]]&lt;=Table1[[#This Row],[High Tol]],"Pass","Fail")))</f>
        <v>Fail</v>
      </c>
      <c r="AH27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8" s="1" t="b">
        <v>0</v>
      </c>
      <c r="AN2708" s="1" t="b">
        <v>0</v>
      </c>
      <c r="AO2708" s="1" t="b">
        <v>0</v>
      </c>
    </row>
    <row r="2709" spans="1:41" x14ac:dyDescent="0.25">
      <c r="A2709" s="10"/>
      <c r="B2709" s="10"/>
      <c r="C2709" s="10"/>
      <c r="D2709" s="10"/>
      <c r="E2709" s="10"/>
      <c r="F2709" s="10"/>
      <c r="G2709" s="10"/>
      <c r="H2709" s="10"/>
      <c r="I2709" s="1" t="str">
        <f t="shared" si="126"/>
        <v/>
      </c>
      <c r="J2709" s="1" t="s">
        <v>35</v>
      </c>
      <c r="K2709" s="1" t="str">
        <f t="shared" si="127"/>
        <v/>
      </c>
      <c r="L2709" s="1" t="str">
        <f t="shared" si="128"/>
        <v/>
      </c>
      <c r="M2709" s="1">
        <f>IF(OR(Table1[[#This Row],[Std Nom]]="",Table1[[#This Row],[Std Read]]=""),0,Table1[[#This Row],[Std Nom]]-Table1[[#This Row],[Std Read]])</f>
        <v>0</v>
      </c>
      <c r="N2709" s="1">
        <f>IF(Calculations!$F$5="ACCREDITED 17025 WITH UNCERTAINTIES",$N$10,0)</f>
        <v>0</v>
      </c>
      <c r="O2709" s="1" t="str">
        <f>IFERROR(Table1[[#This Row],[Std Nom]]-(_xlfn.XLOOKUP(Table1[[#This Row],[Manufacturer]]&amp;" "&amp;Table1[[#This Row],[Model]],Table13[MFR &amp; MDL],Table13[Tolerance % CW ],"")/100*Table1[[#This Row],[Std Nom]]),"")</f>
        <v/>
      </c>
      <c r="P2709" s="1" t="str">
        <f>IFERROR(Table1[[#This Row],[Std Nom]]+(_xlfn.XLOOKUP(Table1[[#This Row],[Manufacturer]]&amp;" "&amp;Table1[[#This Row],[Model]],Table13[MFR &amp; MDL],Table13[Tolerance % CW ],"")/100*Table1[[#This Row],[Std Nom]]),"")</f>
        <v/>
      </c>
      <c r="Q2709" s="1" t="e">
        <f>Table1[[#This Row],[High Tol]]-Table1[[#This Row],[Low Tol]]</f>
        <v>#VALUE!</v>
      </c>
      <c r="R2709" s="1">
        <f>2*Table1[[#This Row],[Std Error]]</f>
        <v>0</v>
      </c>
      <c r="S2709" s="1" t="str">
        <f>IF(Table1[[#This Row],[High Tol]]="","N/A",IFERROR(ABS(Table1[[#This Row],[Tol Span]]/Table1[[#This Row],[Error Span]]),"N/A"))</f>
        <v>N/A</v>
      </c>
      <c r="T2709" s="1" t="str">
        <f>IF(OR(Table1[[#This Row],[Low Tol]]="",Table1[[#This Row],[High Tol]]=""),"Needs Analysis",IF(Table1[[#This Row],[Ratio]]&gt;=4,"Not Significant",IF(Table1[[#This Row],[Ratio]]&gt;=2,"Semi-Significant","Significant")))</f>
        <v>Needs Analysis</v>
      </c>
      <c r="W2709" s="1">
        <f>IF(Table1[[#This Row],[Cal Type]]&lt;&gt;"ACCREDITED 17025 WITH UNCERTAINTIES",0,"")</f>
        <v>0</v>
      </c>
      <c r="X2709" s="1" t="str">
        <f>IF(Table1[[#This Row],[DUT Read]]="","N/A",Table1[[#This Row],[Std Error]]+Table1[[#This Row],[DUT Read]]+Table1[[#This Row],[DUT Ucty]])</f>
        <v>N/A</v>
      </c>
      <c r="Y2709" s="1" t="str">
        <f>IF(Table1[[#This Row],[Std Read]]="","N/A",Table1[[#This Row],[Std Read]]+Table1[[#This Row],[Std Ucty]])</f>
        <v>N/A</v>
      </c>
      <c r="Z27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9" s="1" t="str">
        <f>IF(Table1[[#This Row],[Spec Type]]="","N/A",Table1[[#This Row],[Spec Type]])</f>
        <v>±</v>
      </c>
      <c r="AC2709" s="1" t="str">
        <f>IF(Table1[[#This Row],[Spec Type2]]="N/A","N/A",IF(AND(Table1[[#This Row],[DUT Adj Read]]&gt;=Table1[[#This Row],[Low Tol]],Table1[[#This Row],[DUT Adj Read]]&lt;=Table1[[#This Row],[High Tol]]),"Pass","Fail"))</f>
        <v>Fail</v>
      </c>
      <c r="AD2709" s="1" t="str">
        <f>IF(AND(Table1[[#This Row],[Spec Type2]]="N/A",Table1[[#This Row],[DUT Adj Read]]="N/A",Table1[[#This Row],[Std Adj Read]]="N/A"),"N/A",IF(Table1[[#This Row],[DUT Adj Read]]="N/A",IF(Table1[[#This Row],[Std Adj Read]]&gt;Table1[[#This Row],[Low Tol]],"Pass","Fail"),IF(Table1[[#This Row],[DUT Adj Read]]&gt;Table1[[#This Row],[Low Tol]],"Pass","Fail")))</f>
        <v>Pass</v>
      </c>
      <c r="AE2709" s="1" t="str">
        <f>IF(AND(Table1[[#This Row],[Spec Type2]]="N/A",Table1[[#This Row],[DUT Adj Read]]="N/A",Table1[[#This Row],[Std Adj Read]]="N/A"),"N/A",IF(Table1[[#This Row],[DUT Adj Read]]="N/A",IF(Table1[[#This Row],[Std Adj Read]]&lt;Table1[[#This Row],[High Tol]],"Pass","Fail"),IF(Table1[[#This Row],[DUT Adj Read]]&lt;Table1[[#This Row],[High Tol]],"Pass","Fail")))</f>
        <v>Fail</v>
      </c>
      <c r="AF2709" s="1" t="str">
        <f>IF(AND(Table1[[#This Row],[Spec Type2]]="N/A",Table1[[#This Row],[DUT Adj Read]]="N/A",Table1[[#This Row],[Std Adj Read]]="N/A"),"N/A",IF(Table1[[#This Row],[DUT Adj Read]]="N/A",IF(Table1[[#This Row],[Std Adj Read]]&gt;=Table1[[#This Row],[Low Tol]],"Pass","Fail"),IF(Table1[[#This Row],[DUT Adj Read]]&gt;=Table1[[#This Row],[Low Tol]],"Pass","Fail")))</f>
        <v>Pass</v>
      </c>
      <c r="AG2709" s="1" t="str">
        <f>IF(AND(Table1[[#This Row],[Spec Type2]]="N/A",Table1[[#This Row],[DUT Adj Read]]="N/A",Table1[[#This Row],[Std Adj Read]]="N/A"),"N/A",IF(Table1[[#This Row],[DUT Adj Read]]="N/A",IF(Table1[[#This Row],[Std Adj Read]]&lt;=Table1[[#This Row],[High Tol]],"Pass","Fail"),IF(Table1[[#This Row],[DUT Adj Read]]&lt;=Table1[[#This Row],[High Tol]],"Pass","Fail")))</f>
        <v>Fail</v>
      </c>
      <c r="AH27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9" s="1" t="b">
        <v>0</v>
      </c>
      <c r="AN2709" s="1" t="b">
        <v>0</v>
      </c>
      <c r="AO2709" s="1" t="b">
        <v>0</v>
      </c>
    </row>
    <row r="2710" spans="1:41" x14ac:dyDescent="0.25">
      <c r="A2710" s="10"/>
      <c r="B2710" s="10"/>
      <c r="C2710" s="10"/>
      <c r="D2710" s="10"/>
      <c r="E2710" s="10"/>
      <c r="F2710" s="10"/>
      <c r="G2710" s="10"/>
      <c r="H2710" s="10"/>
      <c r="I2710" s="1" t="str">
        <f t="shared" si="126"/>
        <v/>
      </c>
      <c r="J2710" s="1" t="s">
        <v>35</v>
      </c>
      <c r="K2710" s="1" t="str">
        <f t="shared" si="127"/>
        <v/>
      </c>
      <c r="L2710" s="1" t="str">
        <f t="shared" si="128"/>
        <v/>
      </c>
      <c r="M2710" s="1">
        <f>IF(OR(Table1[[#This Row],[Std Nom]]="",Table1[[#This Row],[Std Read]]=""),0,Table1[[#This Row],[Std Nom]]-Table1[[#This Row],[Std Read]])</f>
        <v>0</v>
      </c>
      <c r="N2710" s="1">
        <f>IF(Calculations!$F$5="ACCREDITED 17025 WITH UNCERTAINTIES",$N$10,0)</f>
        <v>0</v>
      </c>
      <c r="O2710" s="1" t="str">
        <f>IFERROR(Table1[[#This Row],[Std Nom]]-(_xlfn.XLOOKUP(Table1[[#This Row],[Manufacturer]]&amp;" "&amp;Table1[[#This Row],[Model]],Table13[MFR &amp; MDL],Table13[Tolerance % CW ],"")/100*Table1[[#This Row],[Std Nom]]),"")</f>
        <v/>
      </c>
      <c r="P2710" s="1" t="str">
        <f>IFERROR(Table1[[#This Row],[Std Nom]]+(_xlfn.XLOOKUP(Table1[[#This Row],[Manufacturer]]&amp;" "&amp;Table1[[#This Row],[Model]],Table13[MFR &amp; MDL],Table13[Tolerance % CW ],"")/100*Table1[[#This Row],[Std Nom]]),"")</f>
        <v/>
      </c>
      <c r="Q2710" s="1" t="e">
        <f>Table1[[#This Row],[High Tol]]-Table1[[#This Row],[Low Tol]]</f>
        <v>#VALUE!</v>
      </c>
      <c r="R2710" s="1">
        <f>2*Table1[[#This Row],[Std Error]]</f>
        <v>0</v>
      </c>
      <c r="S2710" s="1" t="str">
        <f>IF(Table1[[#This Row],[High Tol]]="","N/A",IFERROR(ABS(Table1[[#This Row],[Tol Span]]/Table1[[#This Row],[Error Span]]),"N/A"))</f>
        <v>N/A</v>
      </c>
      <c r="T2710" s="1" t="str">
        <f>IF(OR(Table1[[#This Row],[Low Tol]]="",Table1[[#This Row],[High Tol]]=""),"Needs Analysis",IF(Table1[[#This Row],[Ratio]]&gt;=4,"Not Significant",IF(Table1[[#This Row],[Ratio]]&gt;=2,"Semi-Significant","Significant")))</f>
        <v>Needs Analysis</v>
      </c>
      <c r="W2710" s="1">
        <f>IF(Table1[[#This Row],[Cal Type]]&lt;&gt;"ACCREDITED 17025 WITH UNCERTAINTIES",0,"")</f>
        <v>0</v>
      </c>
      <c r="X2710" s="1" t="str">
        <f>IF(Table1[[#This Row],[DUT Read]]="","N/A",Table1[[#This Row],[Std Error]]+Table1[[#This Row],[DUT Read]]+Table1[[#This Row],[DUT Ucty]])</f>
        <v>N/A</v>
      </c>
      <c r="Y2710" s="1" t="str">
        <f>IF(Table1[[#This Row],[Std Read]]="","N/A",Table1[[#This Row],[Std Read]]+Table1[[#This Row],[Std Ucty]])</f>
        <v>N/A</v>
      </c>
      <c r="Z27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0" s="1" t="str">
        <f>IF(Table1[[#This Row],[Spec Type]]="","N/A",Table1[[#This Row],[Spec Type]])</f>
        <v>±</v>
      </c>
      <c r="AC2710" s="1" t="str">
        <f>IF(Table1[[#This Row],[Spec Type2]]="N/A","N/A",IF(AND(Table1[[#This Row],[DUT Adj Read]]&gt;=Table1[[#This Row],[Low Tol]],Table1[[#This Row],[DUT Adj Read]]&lt;=Table1[[#This Row],[High Tol]]),"Pass","Fail"))</f>
        <v>Fail</v>
      </c>
      <c r="AD2710" s="1" t="str">
        <f>IF(AND(Table1[[#This Row],[Spec Type2]]="N/A",Table1[[#This Row],[DUT Adj Read]]="N/A",Table1[[#This Row],[Std Adj Read]]="N/A"),"N/A",IF(Table1[[#This Row],[DUT Adj Read]]="N/A",IF(Table1[[#This Row],[Std Adj Read]]&gt;Table1[[#This Row],[Low Tol]],"Pass","Fail"),IF(Table1[[#This Row],[DUT Adj Read]]&gt;Table1[[#This Row],[Low Tol]],"Pass","Fail")))</f>
        <v>Pass</v>
      </c>
      <c r="AE2710" s="1" t="str">
        <f>IF(AND(Table1[[#This Row],[Spec Type2]]="N/A",Table1[[#This Row],[DUT Adj Read]]="N/A",Table1[[#This Row],[Std Adj Read]]="N/A"),"N/A",IF(Table1[[#This Row],[DUT Adj Read]]="N/A",IF(Table1[[#This Row],[Std Adj Read]]&lt;Table1[[#This Row],[High Tol]],"Pass","Fail"),IF(Table1[[#This Row],[DUT Adj Read]]&lt;Table1[[#This Row],[High Tol]],"Pass","Fail")))</f>
        <v>Fail</v>
      </c>
      <c r="AF2710" s="1" t="str">
        <f>IF(AND(Table1[[#This Row],[Spec Type2]]="N/A",Table1[[#This Row],[DUT Adj Read]]="N/A",Table1[[#This Row],[Std Adj Read]]="N/A"),"N/A",IF(Table1[[#This Row],[DUT Adj Read]]="N/A",IF(Table1[[#This Row],[Std Adj Read]]&gt;=Table1[[#This Row],[Low Tol]],"Pass","Fail"),IF(Table1[[#This Row],[DUT Adj Read]]&gt;=Table1[[#This Row],[Low Tol]],"Pass","Fail")))</f>
        <v>Pass</v>
      </c>
      <c r="AG2710" s="1" t="str">
        <f>IF(AND(Table1[[#This Row],[Spec Type2]]="N/A",Table1[[#This Row],[DUT Adj Read]]="N/A",Table1[[#This Row],[Std Adj Read]]="N/A"),"N/A",IF(Table1[[#This Row],[DUT Adj Read]]="N/A",IF(Table1[[#This Row],[Std Adj Read]]&lt;=Table1[[#This Row],[High Tol]],"Pass","Fail"),IF(Table1[[#This Row],[DUT Adj Read]]&lt;=Table1[[#This Row],[High Tol]],"Pass","Fail")))</f>
        <v>Fail</v>
      </c>
      <c r="AH27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0" s="1" t="b">
        <v>0</v>
      </c>
      <c r="AN2710" s="1" t="b">
        <v>0</v>
      </c>
      <c r="AO2710" s="1" t="b">
        <v>0</v>
      </c>
    </row>
    <row r="2711" spans="1:41" x14ac:dyDescent="0.25">
      <c r="A2711" s="10"/>
      <c r="B2711" s="10"/>
      <c r="C2711" s="10"/>
      <c r="D2711" s="10"/>
      <c r="E2711" s="10"/>
      <c r="F2711" s="10"/>
      <c r="G2711" s="10"/>
      <c r="H2711" s="10"/>
      <c r="I2711" s="1" t="str">
        <f t="shared" si="126"/>
        <v/>
      </c>
      <c r="J2711" s="1" t="s">
        <v>35</v>
      </c>
      <c r="K2711" s="1" t="str">
        <f t="shared" si="127"/>
        <v/>
      </c>
      <c r="L2711" s="1" t="str">
        <f t="shared" si="128"/>
        <v/>
      </c>
      <c r="M2711" s="1">
        <f>IF(OR(Table1[[#This Row],[Std Nom]]="",Table1[[#This Row],[Std Read]]=""),0,Table1[[#This Row],[Std Nom]]-Table1[[#This Row],[Std Read]])</f>
        <v>0</v>
      </c>
      <c r="N2711" s="1">
        <f>IF(Calculations!$F$5="ACCREDITED 17025 WITH UNCERTAINTIES",$N$10,0)</f>
        <v>0</v>
      </c>
      <c r="O2711" s="1" t="str">
        <f>IFERROR(Table1[[#This Row],[Std Nom]]-(_xlfn.XLOOKUP(Table1[[#This Row],[Manufacturer]]&amp;" "&amp;Table1[[#This Row],[Model]],Table13[MFR &amp; MDL],Table13[Tolerance % CW ],"")/100*Table1[[#This Row],[Std Nom]]),"")</f>
        <v/>
      </c>
      <c r="P2711" s="1" t="str">
        <f>IFERROR(Table1[[#This Row],[Std Nom]]+(_xlfn.XLOOKUP(Table1[[#This Row],[Manufacturer]]&amp;" "&amp;Table1[[#This Row],[Model]],Table13[MFR &amp; MDL],Table13[Tolerance % CW ],"")/100*Table1[[#This Row],[Std Nom]]),"")</f>
        <v/>
      </c>
      <c r="Q2711" s="1" t="e">
        <f>Table1[[#This Row],[High Tol]]-Table1[[#This Row],[Low Tol]]</f>
        <v>#VALUE!</v>
      </c>
      <c r="R2711" s="1">
        <f>2*Table1[[#This Row],[Std Error]]</f>
        <v>0</v>
      </c>
      <c r="S2711" s="1" t="str">
        <f>IF(Table1[[#This Row],[High Tol]]="","N/A",IFERROR(ABS(Table1[[#This Row],[Tol Span]]/Table1[[#This Row],[Error Span]]),"N/A"))</f>
        <v>N/A</v>
      </c>
      <c r="T2711" s="1" t="str">
        <f>IF(OR(Table1[[#This Row],[Low Tol]]="",Table1[[#This Row],[High Tol]]=""),"Needs Analysis",IF(Table1[[#This Row],[Ratio]]&gt;=4,"Not Significant",IF(Table1[[#This Row],[Ratio]]&gt;=2,"Semi-Significant","Significant")))</f>
        <v>Needs Analysis</v>
      </c>
      <c r="W2711" s="1">
        <f>IF(Table1[[#This Row],[Cal Type]]&lt;&gt;"ACCREDITED 17025 WITH UNCERTAINTIES",0,"")</f>
        <v>0</v>
      </c>
      <c r="X2711" s="1" t="str">
        <f>IF(Table1[[#This Row],[DUT Read]]="","N/A",Table1[[#This Row],[Std Error]]+Table1[[#This Row],[DUT Read]]+Table1[[#This Row],[DUT Ucty]])</f>
        <v>N/A</v>
      </c>
      <c r="Y2711" s="1" t="str">
        <f>IF(Table1[[#This Row],[Std Read]]="","N/A",Table1[[#This Row],[Std Read]]+Table1[[#This Row],[Std Ucty]])</f>
        <v>N/A</v>
      </c>
      <c r="Z27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1" s="1" t="str">
        <f>IF(Table1[[#This Row],[Spec Type]]="","N/A",Table1[[#This Row],[Spec Type]])</f>
        <v>±</v>
      </c>
      <c r="AC2711" s="1" t="str">
        <f>IF(Table1[[#This Row],[Spec Type2]]="N/A","N/A",IF(AND(Table1[[#This Row],[DUT Adj Read]]&gt;=Table1[[#This Row],[Low Tol]],Table1[[#This Row],[DUT Adj Read]]&lt;=Table1[[#This Row],[High Tol]]),"Pass","Fail"))</f>
        <v>Fail</v>
      </c>
      <c r="AD2711" s="1" t="str">
        <f>IF(AND(Table1[[#This Row],[Spec Type2]]="N/A",Table1[[#This Row],[DUT Adj Read]]="N/A",Table1[[#This Row],[Std Adj Read]]="N/A"),"N/A",IF(Table1[[#This Row],[DUT Adj Read]]="N/A",IF(Table1[[#This Row],[Std Adj Read]]&gt;Table1[[#This Row],[Low Tol]],"Pass","Fail"),IF(Table1[[#This Row],[DUT Adj Read]]&gt;Table1[[#This Row],[Low Tol]],"Pass","Fail")))</f>
        <v>Pass</v>
      </c>
      <c r="AE2711" s="1" t="str">
        <f>IF(AND(Table1[[#This Row],[Spec Type2]]="N/A",Table1[[#This Row],[DUT Adj Read]]="N/A",Table1[[#This Row],[Std Adj Read]]="N/A"),"N/A",IF(Table1[[#This Row],[DUT Adj Read]]="N/A",IF(Table1[[#This Row],[Std Adj Read]]&lt;Table1[[#This Row],[High Tol]],"Pass","Fail"),IF(Table1[[#This Row],[DUT Adj Read]]&lt;Table1[[#This Row],[High Tol]],"Pass","Fail")))</f>
        <v>Fail</v>
      </c>
      <c r="AF2711" s="1" t="str">
        <f>IF(AND(Table1[[#This Row],[Spec Type2]]="N/A",Table1[[#This Row],[DUT Adj Read]]="N/A",Table1[[#This Row],[Std Adj Read]]="N/A"),"N/A",IF(Table1[[#This Row],[DUT Adj Read]]="N/A",IF(Table1[[#This Row],[Std Adj Read]]&gt;=Table1[[#This Row],[Low Tol]],"Pass","Fail"),IF(Table1[[#This Row],[DUT Adj Read]]&gt;=Table1[[#This Row],[Low Tol]],"Pass","Fail")))</f>
        <v>Pass</v>
      </c>
      <c r="AG2711" s="1" t="str">
        <f>IF(AND(Table1[[#This Row],[Spec Type2]]="N/A",Table1[[#This Row],[DUT Adj Read]]="N/A",Table1[[#This Row],[Std Adj Read]]="N/A"),"N/A",IF(Table1[[#This Row],[DUT Adj Read]]="N/A",IF(Table1[[#This Row],[Std Adj Read]]&lt;=Table1[[#This Row],[High Tol]],"Pass","Fail"),IF(Table1[[#This Row],[DUT Adj Read]]&lt;=Table1[[#This Row],[High Tol]],"Pass","Fail")))</f>
        <v>Fail</v>
      </c>
      <c r="AH27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1" s="1" t="b">
        <v>0</v>
      </c>
      <c r="AN2711" s="1" t="b">
        <v>0</v>
      </c>
      <c r="AO2711" s="1" t="b">
        <v>0</v>
      </c>
    </row>
    <row r="2712" spans="1:41" x14ac:dyDescent="0.25">
      <c r="A2712" s="10"/>
      <c r="B2712" s="10"/>
      <c r="C2712" s="10"/>
      <c r="D2712" s="10"/>
      <c r="E2712" s="10"/>
      <c r="F2712" s="10"/>
      <c r="G2712" s="10"/>
      <c r="H2712" s="10"/>
      <c r="I2712" s="1" t="str">
        <f t="shared" si="126"/>
        <v/>
      </c>
      <c r="J2712" s="1" t="s">
        <v>35</v>
      </c>
      <c r="K2712" s="1" t="str">
        <f t="shared" si="127"/>
        <v/>
      </c>
      <c r="L2712" s="1" t="str">
        <f t="shared" si="128"/>
        <v/>
      </c>
      <c r="M2712" s="1">
        <f>IF(OR(Table1[[#This Row],[Std Nom]]="",Table1[[#This Row],[Std Read]]=""),0,Table1[[#This Row],[Std Nom]]-Table1[[#This Row],[Std Read]])</f>
        <v>0</v>
      </c>
      <c r="N2712" s="1">
        <f>IF(Calculations!$F$5="ACCREDITED 17025 WITH UNCERTAINTIES",$N$10,0)</f>
        <v>0</v>
      </c>
      <c r="O2712" s="1" t="str">
        <f>IFERROR(Table1[[#This Row],[Std Nom]]-(_xlfn.XLOOKUP(Table1[[#This Row],[Manufacturer]]&amp;" "&amp;Table1[[#This Row],[Model]],Table13[MFR &amp; MDL],Table13[Tolerance % CW ],"")/100*Table1[[#This Row],[Std Nom]]),"")</f>
        <v/>
      </c>
      <c r="P2712" s="1" t="str">
        <f>IFERROR(Table1[[#This Row],[Std Nom]]+(_xlfn.XLOOKUP(Table1[[#This Row],[Manufacturer]]&amp;" "&amp;Table1[[#This Row],[Model]],Table13[MFR &amp; MDL],Table13[Tolerance % CW ],"")/100*Table1[[#This Row],[Std Nom]]),"")</f>
        <v/>
      </c>
      <c r="Q2712" s="1" t="e">
        <f>Table1[[#This Row],[High Tol]]-Table1[[#This Row],[Low Tol]]</f>
        <v>#VALUE!</v>
      </c>
      <c r="R2712" s="1">
        <f>2*Table1[[#This Row],[Std Error]]</f>
        <v>0</v>
      </c>
      <c r="S2712" s="1" t="str">
        <f>IF(Table1[[#This Row],[High Tol]]="","N/A",IFERROR(ABS(Table1[[#This Row],[Tol Span]]/Table1[[#This Row],[Error Span]]),"N/A"))</f>
        <v>N/A</v>
      </c>
      <c r="T2712" s="1" t="str">
        <f>IF(OR(Table1[[#This Row],[Low Tol]]="",Table1[[#This Row],[High Tol]]=""),"Needs Analysis",IF(Table1[[#This Row],[Ratio]]&gt;=4,"Not Significant",IF(Table1[[#This Row],[Ratio]]&gt;=2,"Semi-Significant","Significant")))</f>
        <v>Needs Analysis</v>
      </c>
      <c r="W2712" s="1">
        <f>IF(Table1[[#This Row],[Cal Type]]&lt;&gt;"ACCREDITED 17025 WITH UNCERTAINTIES",0,"")</f>
        <v>0</v>
      </c>
      <c r="X2712" s="1" t="str">
        <f>IF(Table1[[#This Row],[DUT Read]]="","N/A",Table1[[#This Row],[Std Error]]+Table1[[#This Row],[DUT Read]]+Table1[[#This Row],[DUT Ucty]])</f>
        <v>N/A</v>
      </c>
      <c r="Y2712" s="1" t="str">
        <f>IF(Table1[[#This Row],[Std Read]]="","N/A",Table1[[#This Row],[Std Read]]+Table1[[#This Row],[Std Ucty]])</f>
        <v>N/A</v>
      </c>
      <c r="Z27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2" s="1" t="str">
        <f>IF(Table1[[#This Row],[Spec Type]]="","N/A",Table1[[#This Row],[Spec Type]])</f>
        <v>±</v>
      </c>
      <c r="AC2712" s="1" t="str">
        <f>IF(Table1[[#This Row],[Spec Type2]]="N/A","N/A",IF(AND(Table1[[#This Row],[DUT Adj Read]]&gt;=Table1[[#This Row],[Low Tol]],Table1[[#This Row],[DUT Adj Read]]&lt;=Table1[[#This Row],[High Tol]]),"Pass","Fail"))</f>
        <v>Fail</v>
      </c>
      <c r="AD2712" s="1" t="str">
        <f>IF(AND(Table1[[#This Row],[Spec Type2]]="N/A",Table1[[#This Row],[DUT Adj Read]]="N/A",Table1[[#This Row],[Std Adj Read]]="N/A"),"N/A",IF(Table1[[#This Row],[DUT Adj Read]]="N/A",IF(Table1[[#This Row],[Std Adj Read]]&gt;Table1[[#This Row],[Low Tol]],"Pass","Fail"),IF(Table1[[#This Row],[DUT Adj Read]]&gt;Table1[[#This Row],[Low Tol]],"Pass","Fail")))</f>
        <v>Pass</v>
      </c>
      <c r="AE2712" s="1" t="str">
        <f>IF(AND(Table1[[#This Row],[Spec Type2]]="N/A",Table1[[#This Row],[DUT Adj Read]]="N/A",Table1[[#This Row],[Std Adj Read]]="N/A"),"N/A",IF(Table1[[#This Row],[DUT Adj Read]]="N/A",IF(Table1[[#This Row],[Std Adj Read]]&lt;Table1[[#This Row],[High Tol]],"Pass","Fail"),IF(Table1[[#This Row],[DUT Adj Read]]&lt;Table1[[#This Row],[High Tol]],"Pass","Fail")))</f>
        <v>Fail</v>
      </c>
      <c r="AF2712" s="1" t="str">
        <f>IF(AND(Table1[[#This Row],[Spec Type2]]="N/A",Table1[[#This Row],[DUT Adj Read]]="N/A",Table1[[#This Row],[Std Adj Read]]="N/A"),"N/A",IF(Table1[[#This Row],[DUT Adj Read]]="N/A",IF(Table1[[#This Row],[Std Adj Read]]&gt;=Table1[[#This Row],[Low Tol]],"Pass","Fail"),IF(Table1[[#This Row],[DUT Adj Read]]&gt;=Table1[[#This Row],[Low Tol]],"Pass","Fail")))</f>
        <v>Pass</v>
      </c>
      <c r="AG2712" s="1" t="str">
        <f>IF(AND(Table1[[#This Row],[Spec Type2]]="N/A",Table1[[#This Row],[DUT Adj Read]]="N/A",Table1[[#This Row],[Std Adj Read]]="N/A"),"N/A",IF(Table1[[#This Row],[DUT Adj Read]]="N/A",IF(Table1[[#This Row],[Std Adj Read]]&lt;=Table1[[#This Row],[High Tol]],"Pass","Fail"),IF(Table1[[#This Row],[DUT Adj Read]]&lt;=Table1[[#This Row],[High Tol]],"Pass","Fail")))</f>
        <v>Fail</v>
      </c>
      <c r="AH27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2" s="1" t="b">
        <v>0</v>
      </c>
      <c r="AN2712" s="1" t="b">
        <v>0</v>
      </c>
      <c r="AO2712" s="1" t="b">
        <v>0</v>
      </c>
    </row>
    <row r="2713" spans="1:41" x14ac:dyDescent="0.25">
      <c r="A2713" s="10"/>
      <c r="B2713" s="10"/>
      <c r="C2713" s="10"/>
      <c r="D2713" s="10"/>
      <c r="E2713" s="10"/>
      <c r="F2713" s="10"/>
      <c r="G2713" s="10"/>
      <c r="H2713" s="10"/>
      <c r="I2713" s="1" t="str">
        <f t="shared" si="126"/>
        <v/>
      </c>
      <c r="J2713" s="1" t="s">
        <v>35</v>
      </c>
      <c r="K2713" s="1" t="str">
        <f t="shared" si="127"/>
        <v/>
      </c>
      <c r="L2713" s="1" t="str">
        <f t="shared" si="128"/>
        <v/>
      </c>
      <c r="M2713" s="1">
        <f>IF(OR(Table1[[#This Row],[Std Nom]]="",Table1[[#This Row],[Std Read]]=""),0,Table1[[#This Row],[Std Nom]]-Table1[[#This Row],[Std Read]])</f>
        <v>0</v>
      </c>
      <c r="N2713" s="1">
        <f>IF(Calculations!$F$5="ACCREDITED 17025 WITH UNCERTAINTIES",$N$10,0)</f>
        <v>0</v>
      </c>
      <c r="O2713" s="1" t="str">
        <f>IFERROR(Table1[[#This Row],[Std Nom]]-(_xlfn.XLOOKUP(Table1[[#This Row],[Manufacturer]]&amp;" "&amp;Table1[[#This Row],[Model]],Table13[MFR &amp; MDL],Table13[Tolerance % CW ],"")/100*Table1[[#This Row],[Std Nom]]),"")</f>
        <v/>
      </c>
      <c r="P2713" s="1" t="str">
        <f>IFERROR(Table1[[#This Row],[Std Nom]]+(_xlfn.XLOOKUP(Table1[[#This Row],[Manufacturer]]&amp;" "&amp;Table1[[#This Row],[Model]],Table13[MFR &amp; MDL],Table13[Tolerance % CW ],"")/100*Table1[[#This Row],[Std Nom]]),"")</f>
        <v/>
      </c>
      <c r="Q2713" s="1" t="e">
        <f>Table1[[#This Row],[High Tol]]-Table1[[#This Row],[Low Tol]]</f>
        <v>#VALUE!</v>
      </c>
      <c r="R2713" s="1">
        <f>2*Table1[[#This Row],[Std Error]]</f>
        <v>0</v>
      </c>
      <c r="S2713" s="1" t="str">
        <f>IF(Table1[[#This Row],[High Tol]]="","N/A",IFERROR(ABS(Table1[[#This Row],[Tol Span]]/Table1[[#This Row],[Error Span]]),"N/A"))</f>
        <v>N/A</v>
      </c>
      <c r="T2713" s="1" t="str">
        <f>IF(OR(Table1[[#This Row],[Low Tol]]="",Table1[[#This Row],[High Tol]]=""),"Needs Analysis",IF(Table1[[#This Row],[Ratio]]&gt;=4,"Not Significant",IF(Table1[[#This Row],[Ratio]]&gt;=2,"Semi-Significant","Significant")))</f>
        <v>Needs Analysis</v>
      </c>
      <c r="W2713" s="1">
        <f>IF(Table1[[#This Row],[Cal Type]]&lt;&gt;"ACCREDITED 17025 WITH UNCERTAINTIES",0,"")</f>
        <v>0</v>
      </c>
      <c r="X2713" s="1" t="str">
        <f>IF(Table1[[#This Row],[DUT Read]]="","N/A",Table1[[#This Row],[Std Error]]+Table1[[#This Row],[DUT Read]]+Table1[[#This Row],[DUT Ucty]])</f>
        <v>N/A</v>
      </c>
      <c r="Y2713" s="1" t="str">
        <f>IF(Table1[[#This Row],[Std Read]]="","N/A",Table1[[#This Row],[Std Read]]+Table1[[#This Row],[Std Ucty]])</f>
        <v>N/A</v>
      </c>
      <c r="Z27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3" s="1" t="str">
        <f>IF(Table1[[#This Row],[Spec Type]]="","N/A",Table1[[#This Row],[Spec Type]])</f>
        <v>±</v>
      </c>
      <c r="AC2713" s="1" t="str">
        <f>IF(Table1[[#This Row],[Spec Type2]]="N/A","N/A",IF(AND(Table1[[#This Row],[DUT Adj Read]]&gt;=Table1[[#This Row],[Low Tol]],Table1[[#This Row],[DUT Adj Read]]&lt;=Table1[[#This Row],[High Tol]]),"Pass","Fail"))</f>
        <v>Fail</v>
      </c>
      <c r="AD2713" s="1" t="str">
        <f>IF(AND(Table1[[#This Row],[Spec Type2]]="N/A",Table1[[#This Row],[DUT Adj Read]]="N/A",Table1[[#This Row],[Std Adj Read]]="N/A"),"N/A",IF(Table1[[#This Row],[DUT Adj Read]]="N/A",IF(Table1[[#This Row],[Std Adj Read]]&gt;Table1[[#This Row],[Low Tol]],"Pass","Fail"),IF(Table1[[#This Row],[DUT Adj Read]]&gt;Table1[[#This Row],[Low Tol]],"Pass","Fail")))</f>
        <v>Pass</v>
      </c>
      <c r="AE2713" s="1" t="str">
        <f>IF(AND(Table1[[#This Row],[Spec Type2]]="N/A",Table1[[#This Row],[DUT Adj Read]]="N/A",Table1[[#This Row],[Std Adj Read]]="N/A"),"N/A",IF(Table1[[#This Row],[DUT Adj Read]]="N/A",IF(Table1[[#This Row],[Std Adj Read]]&lt;Table1[[#This Row],[High Tol]],"Pass","Fail"),IF(Table1[[#This Row],[DUT Adj Read]]&lt;Table1[[#This Row],[High Tol]],"Pass","Fail")))</f>
        <v>Fail</v>
      </c>
      <c r="AF2713" s="1" t="str">
        <f>IF(AND(Table1[[#This Row],[Spec Type2]]="N/A",Table1[[#This Row],[DUT Adj Read]]="N/A",Table1[[#This Row],[Std Adj Read]]="N/A"),"N/A",IF(Table1[[#This Row],[DUT Adj Read]]="N/A",IF(Table1[[#This Row],[Std Adj Read]]&gt;=Table1[[#This Row],[Low Tol]],"Pass","Fail"),IF(Table1[[#This Row],[DUT Adj Read]]&gt;=Table1[[#This Row],[Low Tol]],"Pass","Fail")))</f>
        <v>Pass</v>
      </c>
      <c r="AG2713" s="1" t="str">
        <f>IF(AND(Table1[[#This Row],[Spec Type2]]="N/A",Table1[[#This Row],[DUT Adj Read]]="N/A",Table1[[#This Row],[Std Adj Read]]="N/A"),"N/A",IF(Table1[[#This Row],[DUT Adj Read]]="N/A",IF(Table1[[#This Row],[Std Adj Read]]&lt;=Table1[[#This Row],[High Tol]],"Pass","Fail"),IF(Table1[[#This Row],[DUT Adj Read]]&lt;=Table1[[#This Row],[High Tol]],"Pass","Fail")))</f>
        <v>Fail</v>
      </c>
      <c r="AH27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3" s="1" t="b">
        <v>0</v>
      </c>
      <c r="AN2713" s="1" t="b">
        <v>0</v>
      </c>
      <c r="AO2713" s="1" t="b">
        <v>0</v>
      </c>
    </row>
    <row r="2714" spans="1:41" x14ac:dyDescent="0.25">
      <c r="A2714" s="10"/>
      <c r="B2714" s="10"/>
      <c r="C2714" s="10"/>
      <c r="D2714" s="10"/>
      <c r="E2714" s="10"/>
      <c r="F2714" s="10"/>
      <c r="G2714" s="10"/>
      <c r="H2714" s="10"/>
      <c r="I2714" s="1" t="str">
        <f t="shared" si="126"/>
        <v/>
      </c>
      <c r="J2714" s="1" t="s">
        <v>35</v>
      </c>
      <c r="K2714" s="1" t="str">
        <f t="shared" si="127"/>
        <v/>
      </c>
      <c r="L2714" s="1" t="str">
        <f t="shared" si="128"/>
        <v/>
      </c>
      <c r="M2714" s="1">
        <f>IF(OR(Table1[[#This Row],[Std Nom]]="",Table1[[#This Row],[Std Read]]=""),0,Table1[[#This Row],[Std Nom]]-Table1[[#This Row],[Std Read]])</f>
        <v>0</v>
      </c>
      <c r="N2714" s="1">
        <f>IF(Calculations!$F$5="ACCREDITED 17025 WITH UNCERTAINTIES",$N$10,0)</f>
        <v>0</v>
      </c>
      <c r="O2714" s="1" t="str">
        <f>IFERROR(Table1[[#This Row],[Std Nom]]-(_xlfn.XLOOKUP(Table1[[#This Row],[Manufacturer]]&amp;" "&amp;Table1[[#This Row],[Model]],Table13[MFR &amp; MDL],Table13[Tolerance % CW ],"")/100*Table1[[#This Row],[Std Nom]]),"")</f>
        <v/>
      </c>
      <c r="P2714" s="1" t="str">
        <f>IFERROR(Table1[[#This Row],[Std Nom]]+(_xlfn.XLOOKUP(Table1[[#This Row],[Manufacturer]]&amp;" "&amp;Table1[[#This Row],[Model]],Table13[MFR &amp; MDL],Table13[Tolerance % CW ],"")/100*Table1[[#This Row],[Std Nom]]),"")</f>
        <v/>
      </c>
      <c r="Q2714" s="1" t="e">
        <f>Table1[[#This Row],[High Tol]]-Table1[[#This Row],[Low Tol]]</f>
        <v>#VALUE!</v>
      </c>
      <c r="R2714" s="1">
        <f>2*Table1[[#This Row],[Std Error]]</f>
        <v>0</v>
      </c>
      <c r="S2714" s="1" t="str">
        <f>IF(Table1[[#This Row],[High Tol]]="","N/A",IFERROR(ABS(Table1[[#This Row],[Tol Span]]/Table1[[#This Row],[Error Span]]),"N/A"))</f>
        <v>N/A</v>
      </c>
      <c r="T2714" s="1" t="str">
        <f>IF(OR(Table1[[#This Row],[Low Tol]]="",Table1[[#This Row],[High Tol]]=""),"Needs Analysis",IF(Table1[[#This Row],[Ratio]]&gt;=4,"Not Significant",IF(Table1[[#This Row],[Ratio]]&gt;=2,"Semi-Significant","Significant")))</f>
        <v>Needs Analysis</v>
      </c>
      <c r="W2714" s="1">
        <f>IF(Table1[[#This Row],[Cal Type]]&lt;&gt;"ACCREDITED 17025 WITH UNCERTAINTIES",0,"")</f>
        <v>0</v>
      </c>
      <c r="X2714" s="1" t="str">
        <f>IF(Table1[[#This Row],[DUT Read]]="","N/A",Table1[[#This Row],[Std Error]]+Table1[[#This Row],[DUT Read]]+Table1[[#This Row],[DUT Ucty]])</f>
        <v>N/A</v>
      </c>
      <c r="Y2714" s="1" t="str">
        <f>IF(Table1[[#This Row],[Std Read]]="","N/A",Table1[[#This Row],[Std Read]]+Table1[[#This Row],[Std Ucty]])</f>
        <v>N/A</v>
      </c>
      <c r="Z27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4" s="1" t="str">
        <f>IF(Table1[[#This Row],[Spec Type]]="","N/A",Table1[[#This Row],[Spec Type]])</f>
        <v>±</v>
      </c>
      <c r="AC2714" s="1" t="str">
        <f>IF(Table1[[#This Row],[Spec Type2]]="N/A","N/A",IF(AND(Table1[[#This Row],[DUT Adj Read]]&gt;=Table1[[#This Row],[Low Tol]],Table1[[#This Row],[DUT Adj Read]]&lt;=Table1[[#This Row],[High Tol]]),"Pass","Fail"))</f>
        <v>Fail</v>
      </c>
      <c r="AD2714" s="1" t="str">
        <f>IF(AND(Table1[[#This Row],[Spec Type2]]="N/A",Table1[[#This Row],[DUT Adj Read]]="N/A",Table1[[#This Row],[Std Adj Read]]="N/A"),"N/A",IF(Table1[[#This Row],[DUT Adj Read]]="N/A",IF(Table1[[#This Row],[Std Adj Read]]&gt;Table1[[#This Row],[Low Tol]],"Pass","Fail"),IF(Table1[[#This Row],[DUT Adj Read]]&gt;Table1[[#This Row],[Low Tol]],"Pass","Fail")))</f>
        <v>Pass</v>
      </c>
      <c r="AE2714" s="1" t="str">
        <f>IF(AND(Table1[[#This Row],[Spec Type2]]="N/A",Table1[[#This Row],[DUT Adj Read]]="N/A",Table1[[#This Row],[Std Adj Read]]="N/A"),"N/A",IF(Table1[[#This Row],[DUT Adj Read]]="N/A",IF(Table1[[#This Row],[Std Adj Read]]&lt;Table1[[#This Row],[High Tol]],"Pass","Fail"),IF(Table1[[#This Row],[DUT Adj Read]]&lt;Table1[[#This Row],[High Tol]],"Pass","Fail")))</f>
        <v>Fail</v>
      </c>
      <c r="AF2714" s="1" t="str">
        <f>IF(AND(Table1[[#This Row],[Spec Type2]]="N/A",Table1[[#This Row],[DUT Adj Read]]="N/A",Table1[[#This Row],[Std Adj Read]]="N/A"),"N/A",IF(Table1[[#This Row],[DUT Adj Read]]="N/A",IF(Table1[[#This Row],[Std Adj Read]]&gt;=Table1[[#This Row],[Low Tol]],"Pass","Fail"),IF(Table1[[#This Row],[DUT Adj Read]]&gt;=Table1[[#This Row],[Low Tol]],"Pass","Fail")))</f>
        <v>Pass</v>
      </c>
      <c r="AG2714" s="1" t="str">
        <f>IF(AND(Table1[[#This Row],[Spec Type2]]="N/A",Table1[[#This Row],[DUT Adj Read]]="N/A",Table1[[#This Row],[Std Adj Read]]="N/A"),"N/A",IF(Table1[[#This Row],[DUT Adj Read]]="N/A",IF(Table1[[#This Row],[Std Adj Read]]&lt;=Table1[[#This Row],[High Tol]],"Pass","Fail"),IF(Table1[[#This Row],[DUT Adj Read]]&lt;=Table1[[#This Row],[High Tol]],"Pass","Fail")))</f>
        <v>Fail</v>
      </c>
      <c r="AH27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4" s="1" t="b">
        <v>0</v>
      </c>
      <c r="AN2714" s="1" t="b">
        <v>0</v>
      </c>
      <c r="AO2714" s="1" t="b">
        <v>0</v>
      </c>
    </row>
    <row r="2715" spans="1:41" x14ac:dyDescent="0.25">
      <c r="A2715" s="10"/>
      <c r="B2715" s="10"/>
      <c r="C2715" s="10"/>
      <c r="D2715" s="10"/>
      <c r="E2715" s="10"/>
      <c r="F2715" s="10"/>
      <c r="G2715" s="10"/>
      <c r="H2715" s="10"/>
      <c r="I2715" s="1" t="str">
        <f t="shared" si="126"/>
        <v/>
      </c>
      <c r="J2715" s="1" t="s">
        <v>35</v>
      </c>
      <c r="K2715" s="1" t="str">
        <f t="shared" si="127"/>
        <v/>
      </c>
      <c r="L2715" s="1" t="str">
        <f t="shared" si="128"/>
        <v/>
      </c>
      <c r="M2715" s="1">
        <f>IF(OR(Table1[[#This Row],[Std Nom]]="",Table1[[#This Row],[Std Read]]=""),0,Table1[[#This Row],[Std Nom]]-Table1[[#This Row],[Std Read]])</f>
        <v>0</v>
      </c>
      <c r="N2715" s="1">
        <f>IF(Calculations!$F$5="ACCREDITED 17025 WITH UNCERTAINTIES",$N$10,0)</f>
        <v>0</v>
      </c>
      <c r="O2715" s="1" t="str">
        <f>IFERROR(Table1[[#This Row],[Std Nom]]-(_xlfn.XLOOKUP(Table1[[#This Row],[Manufacturer]]&amp;" "&amp;Table1[[#This Row],[Model]],Table13[MFR &amp; MDL],Table13[Tolerance % CW ],"")/100*Table1[[#This Row],[Std Nom]]),"")</f>
        <v/>
      </c>
      <c r="P2715" s="1" t="str">
        <f>IFERROR(Table1[[#This Row],[Std Nom]]+(_xlfn.XLOOKUP(Table1[[#This Row],[Manufacturer]]&amp;" "&amp;Table1[[#This Row],[Model]],Table13[MFR &amp; MDL],Table13[Tolerance % CW ],"")/100*Table1[[#This Row],[Std Nom]]),"")</f>
        <v/>
      </c>
      <c r="Q2715" s="1" t="e">
        <f>Table1[[#This Row],[High Tol]]-Table1[[#This Row],[Low Tol]]</f>
        <v>#VALUE!</v>
      </c>
      <c r="R2715" s="1">
        <f>2*Table1[[#This Row],[Std Error]]</f>
        <v>0</v>
      </c>
      <c r="S2715" s="1" t="str">
        <f>IF(Table1[[#This Row],[High Tol]]="","N/A",IFERROR(ABS(Table1[[#This Row],[Tol Span]]/Table1[[#This Row],[Error Span]]),"N/A"))</f>
        <v>N/A</v>
      </c>
      <c r="T2715" s="1" t="str">
        <f>IF(OR(Table1[[#This Row],[Low Tol]]="",Table1[[#This Row],[High Tol]]=""),"Needs Analysis",IF(Table1[[#This Row],[Ratio]]&gt;=4,"Not Significant",IF(Table1[[#This Row],[Ratio]]&gt;=2,"Semi-Significant","Significant")))</f>
        <v>Needs Analysis</v>
      </c>
      <c r="W2715" s="1">
        <f>IF(Table1[[#This Row],[Cal Type]]&lt;&gt;"ACCREDITED 17025 WITH UNCERTAINTIES",0,"")</f>
        <v>0</v>
      </c>
      <c r="X2715" s="1" t="str">
        <f>IF(Table1[[#This Row],[DUT Read]]="","N/A",Table1[[#This Row],[Std Error]]+Table1[[#This Row],[DUT Read]]+Table1[[#This Row],[DUT Ucty]])</f>
        <v>N/A</v>
      </c>
      <c r="Y2715" s="1" t="str">
        <f>IF(Table1[[#This Row],[Std Read]]="","N/A",Table1[[#This Row],[Std Read]]+Table1[[#This Row],[Std Ucty]])</f>
        <v>N/A</v>
      </c>
      <c r="Z27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5" s="1" t="str">
        <f>IF(Table1[[#This Row],[Spec Type]]="","N/A",Table1[[#This Row],[Spec Type]])</f>
        <v>±</v>
      </c>
      <c r="AC2715" s="1" t="str">
        <f>IF(Table1[[#This Row],[Spec Type2]]="N/A","N/A",IF(AND(Table1[[#This Row],[DUT Adj Read]]&gt;=Table1[[#This Row],[Low Tol]],Table1[[#This Row],[DUT Adj Read]]&lt;=Table1[[#This Row],[High Tol]]),"Pass","Fail"))</f>
        <v>Fail</v>
      </c>
      <c r="AD2715" s="1" t="str">
        <f>IF(AND(Table1[[#This Row],[Spec Type2]]="N/A",Table1[[#This Row],[DUT Adj Read]]="N/A",Table1[[#This Row],[Std Adj Read]]="N/A"),"N/A",IF(Table1[[#This Row],[DUT Adj Read]]="N/A",IF(Table1[[#This Row],[Std Adj Read]]&gt;Table1[[#This Row],[Low Tol]],"Pass","Fail"),IF(Table1[[#This Row],[DUT Adj Read]]&gt;Table1[[#This Row],[Low Tol]],"Pass","Fail")))</f>
        <v>Pass</v>
      </c>
      <c r="AE2715" s="1" t="str">
        <f>IF(AND(Table1[[#This Row],[Spec Type2]]="N/A",Table1[[#This Row],[DUT Adj Read]]="N/A",Table1[[#This Row],[Std Adj Read]]="N/A"),"N/A",IF(Table1[[#This Row],[DUT Adj Read]]="N/A",IF(Table1[[#This Row],[Std Adj Read]]&lt;Table1[[#This Row],[High Tol]],"Pass","Fail"),IF(Table1[[#This Row],[DUT Adj Read]]&lt;Table1[[#This Row],[High Tol]],"Pass","Fail")))</f>
        <v>Fail</v>
      </c>
      <c r="AF2715" s="1" t="str">
        <f>IF(AND(Table1[[#This Row],[Spec Type2]]="N/A",Table1[[#This Row],[DUT Adj Read]]="N/A",Table1[[#This Row],[Std Adj Read]]="N/A"),"N/A",IF(Table1[[#This Row],[DUT Adj Read]]="N/A",IF(Table1[[#This Row],[Std Adj Read]]&gt;=Table1[[#This Row],[Low Tol]],"Pass","Fail"),IF(Table1[[#This Row],[DUT Adj Read]]&gt;=Table1[[#This Row],[Low Tol]],"Pass","Fail")))</f>
        <v>Pass</v>
      </c>
      <c r="AG2715" s="1" t="str">
        <f>IF(AND(Table1[[#This Row],[Spec Type2]]="N/A",Table1[[#This Row],[DUT Adj Read]]="N/A",Table1[[#This Row],[Std Adj Read]]="N/A"),"N/A",IF(Table1[[#This Row],[DUT Adj Read]]="N/A",IF(Table1[[#This Row],[Std Adj Read]]&lt;=Table1[[#This Row],[High Tol]],"Pass","Fail"),IF(Table1[[#This Row],[DUT Adj Read]]&lt;=Table1[[#This Row],[High Tol]],"Pass","Fail")))</f>
        <v>Fail</v>
      </c>
      <c r="AH27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5" s="1" t="b">
        <v>0</v>
      </c>
      <c r="AN2715" s="1" t="b">
        <v>0</v>
      </c>
      <c r="AO2715" s="1" t="b">
        <v>0</v>
      </c>
    </row>
    <row r="2716" spans="1:41" x14ac:dyDescent="0.25">
      <c r="A2716" s="10"/>
      <c r="B2716" s="10"/>
      <c r="C2716" s="10"/>
      <c r="D2716" s="10"/>
      <c r="E2716" s="10"/>
      <c r="F2716" s="10"/>
      <c r="G2716" s="10"/>
      <c r="H2716" s="10"/>
      <c r="I2716" s="1" t="str">
        <f t="shared" si="126"/>
        <v/>
      </c>
      <c r="J2716" s="1" t="s">
        <v>35</v>
      </c>
      <c r="K2716" s="1" t="str">
        <f t="shared" si="127"/>
        <v/>
      </c>
      <c r="L2716" s="1" t="str">
        <f t="shared" si="128"/>
        <v/>
      </c>
      <c r="M2716" s="1">
        <f>IF(OR(Table1[[#This Row],[Std Nom]]="",Table1[[#This Row],[Std Read]]=""),0,Table1[[#This Row],[Std Nom]]-Table1[[#This Row],[Std Read]])</f>
        <v>0</v>
      </c>
      <c r="N2716" s="1">
        <f>IF(Calculations!$F$5="ACCREDITED 17025 WITH UNCERTAINTIES",$N$10,0)</f>
        <v>0</v>
      </c>
      <c r="O2716" s="1" t="str">
        <f>IFERROR(Table1[[#This Row],[Std Nom]]-(_xlfn.XLOOKUP(Table1[[#This Row],[Manufacturer]]&amp;" "&amp;Table1[[#This Row],[Model]],Table13[MFR &amp; MDL],Table13[Tolerance % CW ],"")/100*Table1[[#This Row],[Std Nom]]),"")</f>
        <v/>
      </c>
      <c r="P2716" s="1" t="str">
        <f>IFERROR(Table1[[#This Row],[Std Nom]]+(_xlfn.XLOOKUP(Table1[[#This Row],[Manufacturer]]&amp;" "&amp;Table1[[#This Row],[Model]],Table13[MFR &amp; MDL],Table13[Tolerance % CW ],"")/100*Table1[[#This Row],[Std Nom]]),"")</f>
        <v/>
      </c>
      <c r="Q2716" s="1" t="e">
        <f>Table1[[#This Row],[High Tol]]-Table1[[#This Row],[Low Tol]]</f>
        <v>#VALUE!</v>
      </c>
      <c r="R2716" s="1">
        <f>2*Table1[[#This Row],[Std Error]]</f>
        <v>0</v>
      </c>
      <c r="S2716" s="1" t="str">
        <f>IF(Table1[[#This Row],[High Tol]]="","N/A",IFERROR(ABS(Table1[[#This Row],[Tol Span]]/Table1[[#This Row],[Error Span]]),"N/A"))</f>
        <v>N/A</v>
      </c>
      <c r="T2716" s="1" t="str">
        <f>IF(OR(Table1[[#This Row],[Low Tol]]="",Table1[[#This Row],[High Tol]]=""),"Needs Analysis",IF(Table1[[#This Row],[Ratio]]&gt;=4,"Not Significant",IF(Table1[[#This Row],[Ratio]]&gt;=2,"Semi-Significant","Significant")))</f>
        <v>Needs Analysis</v>
      </c>
      <c r="W2716" s="1">
        <f>IF(Table1[[#This Row],[Cal Type]]&lt;&gt;"ACCREDITED 17025 WITH UNCERTAINTIES",0,"")</f>
        <v>0</v>
      </c>
      <c r="X2716" s="1" t="str">
        <f>IF(Table1[[#This Row],[DUT Read]]="","N/A",Table1[[#This Row],[Std Error]]+Table1[[#This Row],[DUT Read]]+Table1[[#This Row],[DUT Ucty]])</f>
        <v>N/A</v>
      </c>
      <c r="Y2716" s="1" t="str">
        <f>IF(Table1[[#This Row],[Std Read]]="","N/A",Table1[[#This Row],[Std Read]]+Table1[[#This Row],[Std Ucty]])</f>
        <v>N/A</v>
      </c>
      <c r="Z27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6" s="1" t="str">
        <f>IF(Table1[[#This Row],[Spec Type]]="","N/A",Table1[[#This Row],[Spec Type]])</f>
        <v>±</v>
      </c>
      <c r="AC2716" s="1" t="str">
        <f>IF(Table1[[#This Row],[Spec Type2]]="N/A","N/A",IF(AND(Table1[[#This Row],[DUT Adj Read]]&gt;=Table1[[#This Row],[Low Tol]],Table1[[#This Row],[DUT Adj Read]]&lt;=Table1[[#This Row],[High Tol]]),"Pass","Fail"))</f>
        <v>Fail</v>
      </c>
      <c r="AD2716" s="1" t="str">
        <f>IF(AND(Table1[[#This Row],[Spec Type2]]="N/A",Table1[[#This Row],[DUT Adj Read]]="N/A",Table1[[#This Row],[Std Adj Read]]="N/A"),"N/A",IF(Table1[[#This Row],[DUT Adj Read]]="N/A",IF(Table1[[#This Row],[Std Adj Read]]&gt;Table1[[#This Row],[Low Tol]],"Pass","Fail"),IF(Table1[[#This Row],[DUT Adj Read]]&gt;Table1[[#This Row],[Low Tol]],"Pass","Fail")))</f>
        <v>Pass</v>
      </c>
      <c r="AE2716" s="1" t="str">
        <f>IF(AND(Table1[[#This Row],[Spec Type2]]="N/A",Table1[[#This Row],[DUT Adj Read]]="N/A",Table1[[#This Row],[Std Adj Read]]="N/A"),"N/A",IF(Table1[[#This Row],[DUT Adj Read]]="N/A",IF(Table1[[#This Row],[Std Adj Read]]&lt;Table1[[#This Row],[High Tol]],"Pass","Fail"),IF(Table1[[#This Row],[DUT Adj Read]]&lt;Table1[[#This Row],[High Tol]],"Pass","Fail")))</f>
        <v>Fail</v>
      </c>
      <c r="AF2716" s="1" t="str">
        <f>IF(AND(Table1[[#This Row],[Spec Type2]]="N/A",Table1[[#This Row],[DUT Adj Read]]="N/A",Table1[[#This Row],[Std Adj Read]]="N/A"),"N/A",IF(Table1[[#This Row],[DUT Adj Read]]="N/A",IF(Table1[[#This Row],[Std Adj Read]]&gt;=Table1[[#This Row],[Low Tol]],"Pass","Fail"),IF(Table1[[#This Row],[DUT Adj Read]]&gt;=Table1[[#This Row],[Low Tol]],"Pass","Fail")))</f>
        <v>Pass</v>
      </c>
      <c r="AG2716" s="1" t="str">
        <f>IF(AND(Table1[[#This Row],[Spec Type2]]="N/A",Table1[[#This Row],[DUT Adj Read]]="N/A",Table1[[#This Row],[Std Adj Read]]="N/A"),"N/A",IF(Table1[[#This Row],[DUT Adj Read]]="N/A",IF(Table1[[#This Row],[Std Adj Read]]&lt;=Table1[[#This Row],[High Tol]],"Pass","Fail"),IF(Table1[[#This Row],[DUT Adj Read]]&lt;=Table1[[#This Row],[High Tol]],"Pass","Fail")))</f>
        <v>Fail</v>
      </c>
      <c r="AH27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6" s="1" t="b">
        <v>0</v>
      </c>
      <c r="AN2716" s="1" t="b">
        <v>0</v>
      </c>
      <c r="AO2716" s="1" t="b">
        <v>0</v>
      </c>
    </row>
    <row r="2717" spans="1:41" x14ac:dyDescent="0.25">
      <c r="A2717" s="10"/>
      <c r="B2717" s="10"/>
      <c r="C2717" s="10"/>
      <c r="D2717" s="10"/>
      <c r="E2717" s="10"/>
      <c r="F2717" s="10"/>
      <c r="G2717" s="10"/>
      <c r="H2717" s="10"/>
      <c r="I2717" s="1" t="str">
        <f t="shared" si="126"/>
        <v/>
      </c>
      <c r="J2717" s="1" t="s">
        <v>35</v>
      </c>
      <c r="K2717" s="1" t="str">
        <f t="shared" si="127"/>
        <v/>
      </c>
      <c r="L2717" s="1" t="str">
        <f t="shared" si="128"/>
        <v/>
      </c>
      <c r="M2717" s="1">
        <f>IF(OR(Table1[[#This Row],[Std Nom]]="",Table1[[#This Row],[Std Read]]=""),0,Table1[[#This Row],[Std Nom]]-Table1[[#This Row],[Std Read]])</f>
        <v>0</v>
      </c>
      <c r="N2717" s="1">
        <f>IF(Calculations!$F$5="ACCREDITED 17025 WITH UNCERTAINTIES",$N$10,0)</f>
        <v>0</v>
      </c>
      <c r="O2717" s="1" t="str">
        <f>IFERROR(Table1[[#This Row],[Std Nom]]-(_xlfn.XLOOKUP(Table1[[#This Row],[Manufacturer]]&amp;" "&amp;Table1[[#This Row],[Model]],Table13[MFR &amp; MDL],Table13[Tolerance % CW ],"")/100*Table1[[#This Row],[Std Nom]]),"")</f>
        <v/>
      </c>
      <c r="P2717" s="1" t="str">
        <f>IFERROR(Table1[[#This Row],[Std Nom]]+(_xlfn.XLOOKUP(Table1[[#This Row],[Manufacturer]]&amp;" "&amp;Table1[[#This Row],[Model]],Table13[MFR &amp; MDL],Table13[Tolerance % CW ],"")/100*Table1[[#This Row],[Std Nom]]),"")</f>
        <v/>
      </c>
      <c r="Q2717" s="1" t="e">
        <f>Table1[[#This Row],[High Tol]]-Table1[[#This Row],[Low Tol]]</f>
        <v>#VALUE!</v>
      </c>
      <c r="R2717" s="1">
        <f>2*Table1[[#This Row],[Std Error]]</f>
        <v>0</v>
      </c>
      <c r="S2717" s="1" t="str">
        <f>IF(Table1[[#This Row],[High Tol]]="","N/A",IFERROR(ABS(Table1[[#This Row],[Tol Span]]/Table1[[#This Row],[Error Span]]),"N/A"))</f>
        <v>N/A</v>
      </c>
      <c r="T2717" s="1" t="str">
        <f>IF(OR(Table1[[#This Row],[Low Tol]]="",Table1[[#This Row],[High Tol]]=""),"Needs Analysis",IF(Table1[[#This Row],[Ratio]]&gt;=4,"Not Significant",IF(Table1[[#This Row],[Ratio]]&gt;=2,"Semi-Significant","Significant")))</f>
        <v>Needs Analysis</v>
      </c>
      <c r="W2717" s="1">
        <f>IF(Table1[[#This Row],[Cal Type]]&lt;&gt;"ACCREDITED 17025 WITH UNCERTAINTIES",0,"")</f>
        <v>0</v>
      </c>
      <c r="X2717" s="1" t="str">
        <f>IF(Table1[[#This Row],[DUT Read]]="","N/A",Table1[[#This Row],[Std Error]]+Table1[[#This Row],[DUT Read]]+Table1[[#This Row],[DUT Ucty]])</f>
        <v>N/A</v>
      </c>
      <c r="Y2717" s="1" t="str">
        <f>IF(Table1[[#This Row],[Std Read]]="","N/A",Table1[[#This Row],[Std Read]]+Table1[[#This Row],[Std Ucty]])</f>
        <v>N/A</v>
      </c>
      <c r="Z27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7" s="1" t="str">
        <f>IF(Table1[[#This Row],[Spec Type]]="","N/A",Table1[[#This Row],[Spec Type]])</f>
        <v>±</v>
      </c>
      <c r="AC2717" s="1" t="str">
        <f>IF(Table1[[#This Row],[Spec Type2]]="N/A","N/A",IF(AND(Table1[[#This Row],[DUT Adj Read]]&gt;=Table1[[#This Row],[Low Tol]],Table1[[#This Row],[DUT Adj Read]]&lt;=Table1[[#This Row],[High Tol]]),"Pass","Fail"))</f>
        <v>Fail</v>
      </c>
      <c r="AD2717" s="1" t="str">
        <f>IF(AND(Table1[[#This Row],[Spec Type2]]="N/A",Table1[[#This Row],[DUT Adj Read]]="N/A",Table1[[#This Row],[Std Adj Read]]="N/A"),"N/A",IF(Table1[[#This Row],[DUT Adj Read]]="N/A",IF(Table1[[#This Row],[Std Adj Read]]&gt;Table1[[#This Row],[Low Tol]],"Pass","Fail"),IF(Table1[[#This Row],[DUT Adj Read]]&gt;Table1[[#This Row],[Low Tol]],"Pass","Fail")))</f>
        <v>Pass</v>
      </c>
      <c r="AE2717" s="1" t="str">
        <f>IF(AND(Table1[[#This Row],[Spec Type2]]="N/A",Table1[[#This Row],[DUT Adj Read]]="N/A",Table1[[#This Row],[Std Adj Read]]="N/A"),"N/A",IF(Table1[[#This Row],[DUT Adj Read]]="N/A",IF(Table1[[#This Row],[Std Adj Read]]&lt;Table1[[#This Row],[High Tol]],"Pass","Fail"),IF(Table1[[#This Row],[DUT Adj Read]]&lt;Table1[[#This Row],[High Tol]],"Pass","Fail")))</f>
        <v>Fail</v>
      </c>
      <c r="AF2717" s="1" t="str">
        <f>IF(AND(Table1[[#This Row],[Spec Type2]]="N/A",Table1[[#This Row],[DUT Adj Read]]="N/A",Table1[[#This Row],[Std Adj Read]]="N/A"),"N/A",IF(Table1[[#This Row],[DUT Adj Read]]="N/A",IF(Table1[[#This Row],[Std Adj Read]]&gt;=Table1[[#This Row],[Low Tol]],"Pass","Fail"),IF(Table1[[#This Row],[DUT Adj Read]]&gt;=Table1[[#This Row],[Low Tol]],"Pass","Fail")))</f>
        <v>Pass</v>
      </c>
      <c r="AG2717" s="1" t="str">
        <f>IF(AND(Table1[[#This Row],[Spec Type2]]="N/A",Table1[[#This Row],[DUT Adj Read]]="N/A",Table1[[#This Row],[Std Adj Read]]="N/A"),"N/A",IF(Table1[[#This Row],[DUT Adj Read]]="N/A",IF(Table1[[#This Row],[Std Adj Read]]&lt;=Table1[[#This Row],[High Tol]],"Pass","Fail"),IF(Table1[[#This Row],[DUT Adj Read]]&lt;=Table1[[#This Row],[High Tol]],"Pass","Fail")))</f>
        <v>Fail</v>
      </c>
      <c r="AH27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7" s="1" t="b">
        <v>0</v>
      </c>
      <c r="AN2717" s="1" t="b">
        <v>0</v>
      </c>
      <c r="AO2717" s="1" t="b">
        <v>0</v>
      </c>
    </row>
    <row r="2718" spans="1:41" x14ac:dyDescent="0.25">
      <c r="A2718" s="10"/>
      <c r="B2718" s="10"/>
      <c r="C2718" s="10"/>
      <c r="D2718" s="10"/>
      <c r="E2718" s="10"/>
      <c r="F2718" s="10"/>
      <c r="G2718" s="10"/>
      <c r="H2718" s="10"/>
      <c r="I2718" s="1" t="str">
        <f t="shared" si="126"/>
        <v/>
      </c>
      <c r="J2718" s="1" t="s">
        <v>35</v>
      </c>
      <c r="K2718" s="1" t="str">
        <f t="shared" si="127"/>
        <v/>
      </c>
      <c r="L2718" s="1" t="str">
        <f t="shared" si="128"/>
        <v/>
      </c>
      <c r="M2718" s="1">
        <f>IF(OR(Table1[[#This Row],[Std Nom]]="",Table1[[#This Row],[Std Read]]=""),0,Table1[[#This Row],[Std Nom]]-Table1[[#This Row],[Std Read]])</f>
        <v>0</v>
      </c>
      <c r="N2718" s="1">
        <f>IF(Calculations!$F$5="ACCREDITED 17025 WITH UNCERTAINTIES",$N$10,0)</f>
        <v>0</v>
      </c>
      <c r="O2718" s="1" t="str">
        <f>IFERROR(Table1[[#This Row],[Std Nom]]-(_xlfn.XLOOKUP(Table1[[#This Row],[Manufacturer]]&amp;" "&amp;Table1[[#This Row],[Model]],Table13[MFR &amp; MDL],Table13[Tolerance % CW ],"")/100*Table1[[#This Row],[Std Nom]]),"")</f>
        <v/>
      </c>
      <c r="P2718" s="1" t="str">
        <f>IFERROR(Table1[[#This Row],[Std Nom]]+(_xlfn.XLOOKUP(Table1[[#This Row],[Manufacturer]]&amp;" "&amp;Table1[[#This Row],[Model]],Table13[MFR &amp; MDL],Table13[Tolerance % CW ],"")/100*Table1[[#This Row],[Std Nom]]),"")</f>
        <v/>
      </c>
      <c r="Q2718" s="1" t="e">
        <f>Table1[[#This Row],[High Tol]]-Table1[[#This Row],[Low Tol]]</f>
        <v>#VALUE!</v>
      </c>
      <c r="R2718" s="1">
        <f>2*Table1[[#This Row],[Std Error]]</f>
        <v>0</v>
      </c>
      <c r="S2718" s="1" t="str">
        <f>IF(Table1[[#This Row],[High Tol]]="","N/A",IFERROR(ABS(Table1[[#This Row],[Tol Span]]/Table1[[#This Row],[Error Span]]),"N/A"))</f>
        <v>N/A</v>
      </c>
      <c r="T2718" s="1" t="str">
        <f>IF(OR(Table1[[#This Row],[Low Tol]]="",Table1[[#This Row],[High Tol]]=""),"Needs Analysis",IF(Table1[[#This Row],[Ratio]]&gt;=4,"Not Significant",IF(Table1[[#This Row],[Ratio]]&gt;=2,"Semi-Significant","Significant")))</f>
        <v>Needs Analysis</v>
      </c>
      <c r="W2718" s="1">
        <f>IF(Table1[[#This Row],[Cal Type]]&lt;&gt;"ACCREDITED 17025 WITH UNCERTAINTIES",0,"")</f>
        <v>0</v>
      </c>
      <c r="X2718" s="1" t="str">
        <f>IF(Table1[[#This Row],[DUT Read]]="","N/A",Table1[[#This Row],[Std Error]]+Table1[[#This Row],[DUT Read]]+Table1[[#This Row],[DUT Ucty]])</f>
        <v>N/A</v>
      </c>
      <c r="Y2718" s="1" t="str">
        <f>IF(Table1[[#This Row],[Std Read]]="","N/A",Table1[[#This Row],[Std Read]]+Table1[[#This Row],[Std Ucty]])</f>
        <v>N/A</v>
      </c>
      <c r="Z27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8" s="1" t="str">
        <f>IF(Table1[[#This Row],[Spec Type]]="","N/A",Table1[[#This Row],[Spec Type]])</f>
        <v>±</v>
      </c>
      <c r="AC2718" s="1" t="str">
        <f>IF(Table1[[#This Row],[Spec Type2]]="N/A","N/A",IF(AND(Table1[[#This Row],[DUT Adj Read]]&gt;=Table1[[#This Row],[Low Tol]],Table1[[#This Row],[DUT Adj Read]]&lt;=Table1[[#This Row],[High Tol]]),"Pass","Fail"))</f>
        <v>Fail</v>
      </c>
      <c r="AD2718" s="1" t="str">
        <f>IF(AND(Table1[[#This Row],[Spec Type2]]="N/A",Table1[[#This Row],[DUT Adj Read]]="N/A",Table1[[#This Row],[Std Adj Read]]="N/A"),"N/A",IF(Table1[[#This Row],[DUT Adj Read]]="N/A",IF(Table1[[#This Row],[Std Adj Read]]&gt;Table1[[#This Row],[Low Tol]],"Pass","Fail"),IF(Table1[[#This Row],[DUT Adj Read]]&gt;Table1[[#This Row],[Low Tol]],"Pass","Fail")))</f>
        <v>Pass</v>
      </c>
      <c r="AE2718" s="1" t="str">
        <f>IF(AND(Table1[[#This Row],[Spec Type2]]="N/A",Table1[[#This Row],[DUT Adj Read]]="N/A",Table1[[#This Row],[Std Adj Read]]="N/A"),"N/A",IF(Table1[[#This Row],[DUT Adj Read]]="N/A",IF(Table1[[#This Row],[Std Adj Read]]&lt;Table1[[#This Row],[High Tol]],"Pass","Fail"),IF(Table1[[#This Row],[DUT Adj Read]]&lt;Table1[[#This Row],[High Tol]],"Pass","Fail")))</f>
        <v>Fail</v>
      </c>
      <c r="AF2718" s="1" t="str">
        <f>IF(AND(Table1[[#This Row],[Spec Type2]]="N/A",Table1[[#This Row],[DUT Adj Read]]="N/A",Table1[[#This Row],[Std Adj Read]]="N/A"),"N/A",IF(Table1[[#This Row],[DUT Adj Read]]="N/A",IF(Table1[[#This Row],[Std Adj Read]]&gt;=Table1[[#This Row],[Low Tol]],"Pass","Fail"),IF(Table1[[#This Row],[DUT Adj Read]]&gt;=Table1[[#This Row],[Low Tol]],"Pass","Fail")))</f>
        <v>Pass</v>
      </c>
      <c r="AG2718" s="1" t="str">
        <f>IF(AND(Table1[[#This Row],[Spec Type2]]="N/A",Table1[[#This Row],[DUT Adj Read]]="N/A",Table1[[#This Row],[Std Adj Read]]="N/A"),"N/A",IF(Table1[[#This Row],[DUT Adj Read]]="N/A",IF(Table1[[#This Row],[Std Adj Read]]&lt;=Table1[[#This Row],[High Tol]],"Pass","Fail"),IF(Table1[[#This Row],[DUT Adj Read]]&lt;=Table1[[#This Row],[High Tol]],"Pass","Fail")))</f>
        <v>Fail</v>
      </c>
      <c r="AH27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8" s="1" t="b">
        <v>0</v>
      </c>
      <c r="AN2718" s="1" t="b">
        <v>0</v>
      </c>
      <c r="AO2718" s="1" t="b">
        <v>0</v>
      </c>
    </row>
    <row r="2719" spans="1:41" x14ac:dyDescent="0.25">
      <c r="A2719" s="10"/>
      <c r="B2719" s="10"/>
      <c r="C2719" s="10"/>
      <c r="D2719" s="10"/>
      <c r="E2719" s="10"/>
      <c r="F2719" s="10"/>
      <c r="G2719" s="10"/>
      <c r="H2719" s="10"/>
      <c r="I2719" s="1" t="str">
        <f t="shared" si="126"/>
        <v/>
      </c>
      <c r="J2719" s="1" t="s">
        <v>35</v>
      </c>
      <c r="K2719" s="1" t="str">
        <f t="shared" si="127"/>
        <v/>
      </c>
      <c r="L2719" s="1" t="str">
        <f t="shared" si="128"/>
        <v/>
      </c>
      <c r="M2719" s="1">
        <f>IF(OR(Table1[[#This Row],[Std Nom]]="",Table1[[#This Row],[Std Read]]=""),0,Table1[[#This Row],[Std Nom]]-Table1[[#This Row],[Std Read]])</f>
        <v>0</v>
      </c>
      <c r="N2719" s="1">
        <f>IF(Calculations!$F$5="ACCREDITED 17025 WITH UNCERTAINTIES",$N$10,0)</f>
        <v>0</v>
      </c>
      <c r="O2719" s="1" t="str">
        <f>IFERROR(Table1[[#This Row],[Std Nom]]-(_xlfn.XLOOKUP(Table1[[#This Row],[Manufacturer]]&amp;" "&amp;Table1[[#This Row],[Model]],Table13[MFR &amp; MDL],Table13[Tolerance % CW ],"")/100*Table1[[#This Row],[Std Nom]]),"")</f>
        <v/>
      </c>
      <c r="P2719" s="1" t="str">
        <f>IFERROR(Table1[[#This Row],[Std Nom]]+(_xlfn.XLOOKUP(Table1[[#This Row],[Manufacturer]]&amp;" "&amp;Table1[[#This Row],[Model]],Table13[MFR &amp; MDL],Table13[Tolerance % CW ],"")/100*Table1[[#This Row],[Std Nom]]),"")</f>
        <v/>
      </c>
      <c r="Q2719" s="1" t="e">
        <f>Table1[[#This Row],[High Tol]]-Table1[[#This Row],[Low Tol]]</f>
        <v>#VALUE!</v>
      </c>
      <c r="R2719" s="1">
        <f>2*Table1[[#This Row],[Std Error]]</f>
        <v>0</v>
      </c>
      <c r="S2719" s="1" t="str">
        <f>IF(Table1[[#This Row],[High Tol]]="","N/A",IFERROR(ABS(Table1[[#This Row],[Tol Span]]/Table1[[#This Row],[Error Span]]),"N/A"))</f>
        <v>N/A</v>
      </c>
      <c r="T2719" s="1" t="str">
        <f>IF(OR(Table1[[#This Row],[Low Tol]]="",Table1[[#This Row],[High Tol]]=""),"Needs Analysis",IF(Table1[[#This Row],[Ratio]]&gt;=4,"Not Significant",IF(Table1[[#This Row],[Ratio]]&gt;=2,"Semi-Significant","Significant")))</f>
        <v>Needs Analysis</v>
      </c>
      <c r="W2719" s="1">
        <f>IF(Table1[[#This Row],[Cal Type]]&lt;&gt;"ACCREDITED 17025 WITH UNCERTAINTIES",0,"")</f>
        <v>0</v>
      </c>
      <c r="X2719" s="1" t="str">
        <f>IF(Table1[[#This Row],[DUT Read]]="","N/A",Table1[[#This Row],[Std Error]]+Table1[[#This Row],[DUT Read]]+Table1[[#This Row],[DUT Ucty]])</f>
        <v>N/A</v>
      </c>
      <c r="Y2719" s="1" t="str">
        <f>IF(Table1[[#This Row],[Std Read]]="","N/A",Table1[[#This Row],[Std Read]]+Table1[[#This Row],[Std Ucty]])</f>
        <v>N/A</v>
      </c>
      <c r="Z27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9" s="1" t="str">
        <f>IF(Table1[[#This Row],[Spec Type]]="","N/A",Table1[[#This Row],[Spec Type]])</f>
        <v>±</v>
      </c>
      <c r="AC2719" s="1" t="str">
        <f>IF(Table1[[#This Row],[Spec Type2]]="N/A","N/A",IF(AND(Table1[[#This Row],[DUT Adj Read]]&gt;=Table1[[#This Row],[Low Tol]],Table1[[#This Row],[DUT Adj Read]]&lt;=Table1[[#This Row],[High Tol]]),"Pass","Fail"))</f>
        <v>Fail</v>
      </c>
      <c r="AD2719" s="1" t="str">
        <f>IF(AND(Table1[[#This Row],[Spec Type2]]="N/A",Table1[[#This Row],[DUT Adj Read]]="N/A",Table1[[#This Row],[Std Adj Read]]="N/A"),"N/A",IF(Table1[[#This Row],[DUT Adj Read]]="N/A",IF(Table1[[#This Row],[Std Adj Read]]&gt;Table1[[#This Row],[Low Tol]],"Pass","Fail"),IF(Table1[[#This Row],[DUT Adj Read]]&gt;Table1[[#This Row],[Low Tol]],"Pass","Fail")))</f>
        <v>Pass</v>
      </c>
      <c r="AE2719" s="1" t="str">
        <f>IF(AND(Table1[[#This Row],[Spec Type2]]="N/A",Table1[[#This Row],[DUT Adj Read]]="N/A",Table1[[#This Row],[Std Adj Read]]="N/A"),"N/A",IF(Table1[[#This Row],[DUT Adj Read]]="N/A",IF(Table1[[#This Row],[Std Adj Read]]&lt;Table1[[#This Row],[High Tol]],"Pass","Fail"),IF(Table1[[#This Row],[DUT Adj Read]]&lt;Table1[[#This Row],[High Tol]],"Pass","Fail")))</f>
        <v>Fail</v>
      </c>
      <c r="AF2719" s="1" t="str">
        <f>IF(AND(Table1[[#This Row],[Spec Type2]]="N/A",Table1[[#This Row],[DUT Adj Read]]="N/A",Table1[[#This Row],[Std Adj Read]]="N/A"),"N/A",IF(Table1[[#This Row],[DUT Adj Read]]="N/A",IF(Table1[[#This Row],[Std Adj Read]]&gt;=Table1[[#This Row],[Low Tol]],"Pass","Fail"),IF(Table1[[#This Row],[DUT Adj Read]]&gt;=Table1[[#This Row],[Low Tol]],"Pass","Fail")))</f>
        <v>Pass</v>
      </c>
      <c r="AG2719" s="1" t="str">
        <f>IF(AND(Table1[[#This Row],[Spec Type2]]="N/A",Table1[[#This Row],[DUT Adj Read]]="N/A",Table1[[#This Row],[Std Adj Read]]="N/A"),"N/A",IF(Table1[[#This Row],[DUT Adj Read]]="N/A",IF(Table1[[#This Row],[Std Adj Read]]&lt;=Table1[[#This Row],[High Tol]],"Pass","Fail"),IF(Table1[[#This Row],[DUT Adj Read]]&lt;=Table1[[#This Row],[High Tol]],"Pass","Fail")))</f>
        <v>Fail</v>
      </c>
      <c r="AH27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9" s="1" t="b">
        <v>0</v>
      </c>
      <c r="AN2719" s="1" t="b">
        <v>0</v>
      </c>
      <c r="AO2719" s="1" t="b">
        <v>0</v>
      </c>
    </row>
    <row r="2720" spans="1:41" x14ac:dyDescent="0.25">
      <c r="A2720" s="10"/>
      <c r="B2720" s="10"/>
      <c r="C2720" s="10"/>
      <c r="D2720" s="10"/>
      <c r="E2720" s="10"/>
      <c r="F2720" s="10"/>
      <c r="G2720" s="10"/>
      <c r="H2720" s="10"/>
      <c r="I2720" s="1" t="str">
        <f t="shared" si="126"/>
        <v/>
      </c>
      <c r="J2720" s="1" t="s">
        <v>35</v>
      </c>
      <c r="K2720" s="1" t="str">
        <f t="shared" si="127"/>
        <v/>
      </c>
      <c r="L2720" s="1" t="str">
        <f t="shared" si="128"/>
        <v/>
      </c>
      <c r="M2720" s="1">
        <f>IF(OR(Table1[[#This Row],[Std Nom]]="",Table1[[#This Row],[Std Read]]=""),0,Table1[[#This Row],[Std Nom]]-Table1[[#This Row],[Std Read]])</f>
        <v>0</v>
      </c>
      <c r="N2720" s="1">
        <f>IF(Calculations!$F$5="ACCREDITED 17025 WITH UNCERTAINTIES",$N$10,0)</f>
        <v>0</v>
      </c>
      <c r="O2720" s="1" t="str">
        <f>IFERROR(Table1[[#This Row],[Std Nom]]-(_xlfn.XLOOKUP(Table1[[#This Row],[Manufacturer]]&amp;" "&amp;Table1[[#This Row],[Model]],Table13[MFR &amp; MDL],Table13[Tolerance % CW ],"")/100*Table1[[#This Row],[Std Nom]]),"")</f>
        <v/>
      </c>
      <c r="P2720" s="1" t="str">
        <f>IFERROR(Table1[[#This Row],[Std Nom]]+(_xlfn.XLOOKUP(Table1[[#This Row],[Manufacturer]]&amp;" "&amp;Table1[[#This Row],[Model]],Table13[MFR &amp; MDL],Table13[Tolerance % CW ],"")/100*Table1[[#This Row],[Std Nom]]),"")</f>
        <v/>
      </c>
      <c r="Q2720" s="1" t="e">
        <f>Table1[[#This Row],[High Tol]]-Table1[[#This Row],[Low Tol]]</f>
        <v>#VALUE!</v>
      </c>
      <c r="R2720" s="1">
        <f>2*Table1[[#This Row],[Std Error]]</f>
        <v>0</v>
      </c>
      <c r="S2720" s="1" t="str">
        <f>IF(Table1[[#This Row],[High Tol]]="","N/A",IFERROR(ABS(Table1[[#This Row],[Tol Span]]/Table1[[#This Row],[Error Span]]),"N/A"))</f>
        <v>N/A</v>
      </c>
      <c r="T2720" s="1" t="str">
        <f>IF(OR(Table1[[#This Row],[Low Tol]]="",Table1[[#This Row],[High Tol]]=""),"Needs Analysis",IF(Table1[[#This Row],[Ratio]]&gt;=4,"Not Significant",IF(Table1[[#This Row],[Ratio]]&gt;=2,"Semi-Significant","Significant")))</f>
        <v>Needs Analysis</v>
      </c>
      <c r="W2720" s="1">
        <f>IF(Table1[[#This Row],[Cal Type]]&lt;&gt;"ACCREDITED 17025 WITH UNCERTAINTIES",0,"")</f>
        <v>0</v>
      </c>
      <c r="X2720" s="1" t="str">
        <f>IF(Table1[[#This Row],[DUT Read]]="","N/A",Table1[[#This Row],[Std Error]]+Table1[[#This Row],[DUT Read]]+Table1[[#This Row],[DUT Ucty]])</f>
        <v>N/A</v>
      </c>
      <c r="Y2720" s="1" t="str">
        <f>IF(Table1[[#This Row],[Std Read]]="","N/A",Table1[[#This Row],[Std Read]]+Table1[[#This Row],[Std Ucty]])</f>
        <v>N/A</v>
      </c>
      <c r="Z27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0" s="1" t="str">
        <f>IF(Table1[[#This Row],[Spec Type]]="","N/A",Table1[[#This Row],[Spec Type]])</f>
        <v>±</v>
      </c>
      <c r="AC2720" s="1" t="str">
        <f>IF(Table1[[#This Row],[Spec Type2]]="N/A","N/A",IF(AND(Table1[[#This Row],[DUT Adj Read]]&gt;=Table1[[#This Row],[Low Tol]],Table1[[#This Row],[DUT Adj Read]]&lt;=Table1[[#This Row],[High Tol]]),"Pass","Fail"))</f>
        <v>Fail</v>
      </c>
      <c r="AD2720" s="1" t="str">
        <f>IF(AND(Table1[[#This Row],[Spec Type2]]="N/A",Table1[[#This Row],[DUT Adj Read]]="N/A",Table1[[#This Row],[Std Adj Read]]="N/A"),"N/A",IF(Table1[[#This Row],[DUT Adj Read]]="N/A",IF(Table1[[#This Row],[Std Adj Read]]&gt;Table1[[#This Row],[Low Tol]],"Pass","Fail"),IF(Table1[[#This Row],[DUT Adj Read]]&gt;Table1[[#This Row],[Low Tol]],"Pass","Fail")))</f>
        <v>Pass</v>
      </c>
      <c r="AE2720" s="1" t="str">
        <f>IF(AND(Table1[[#This Row],[Spec Type2]]="N/A",Table1[[#This Row],[DUT Adj Read]]="N/A",Table1[[#This Row],[Std Adj Read]]="N/A"),"N/A",IF(Table1[[#This Row],[DUT Adj Read]]="N/A",IF(Table1[[#This Row],[Std Adj Read]]&lt;Table1[[#This Row],[High Tol]],"Pass","Fail"),IF(Table1[[#This Row],[DUT Adj Read]]&lt;Table1[[#This Row],[High Tol]],"Pass","Fail")))</f>
        <v>Fail</v>
      </c>
      <c r="AF2720" s="1" t="str">
        <f>IF(AND(Table1[[#This Row],[Spec Type2]]="N/A",Table1[[#This Row],[DUT Adj Read]]="N/A",Table1[[#This Row],[Std Adj Read]]="N/A"),"N/A",IF(Table1[[#This Row],[DUT Adj Read]]="N/A",IF(Table1[[#This Row],[Std Adj Read]]&gt;=Table1[[#This Row],[Low Tol]],"Pass","Fail"),IF(Table1[[#This Row],[DUT Adj Read]]&gt;=Table1[[#This Row],[Low Tol]],"Pass","Fail")))</f>
        <v>Pass</v>
      </c>
      <c r="AG2720" s="1" t="str">
        <f>IF(AND(Table1[[#This Row],[Spec Type2]]="N/A",Table1[[#This Row],[DUT Adj Read]]="N/A",Table1[[#This Row],[Std Adj Read]]="N/A"),"N/A",IF(Table1[[#This Row],[DUT Adj Read]]="N/A",IF(Table1[[#This Row],[Std Adj Read]]&lt;=Table1[[#This Row],[High Tol]],"Pass","Fail"),IF(Table1[[#This Row],[DUT Adj Read]]&lt;=Table1[[#This Row],[High Tol]],"Pass","Fail")))</f>
        <v>Fail</v>
      </c>
      <c r="AH27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0" s="1" t="b">
        <v>0</v>
      </c>
      <c r="AN2720" s="1" t="b">
        <v>0</v>
      </c>
      <c r="AO2720" s="1" t="b">
        <v>0</v>
      </c>
    </row>
    <row r="2721" spans="1:41" x14ac:dyDescent="0.25">
      <c r="A2721" s="10"/>
      <c r="B2721" s="10"/>
      <c r="C2721" s="10"/>
      <c r="D2721" s="10"/>
      <c r="E2721" s="10"/>
      <c r="F2721" s="10"/>
      <c r="G2721" s="10"/>
      <c r="H2721" s="10"/>
      <c r="I2721" s="1" t="str">
        <f t="shared" si="126"/>
        <v/>
      </c>
      <c r="J2721" s="1" t="s">
        <v>35</v>
      </c>
      <c r="K2721" s="1" t="str">
        <f t="shared" si="127"/>
        <v/>
      </c>
      <c r="L2721" s="1" t="str">
        <f t="shared" si="128"/>
        <v/>
      </c>
      <c r="M2721" s="1">
        <f>IF(OR(Table1[[#This Row],[Std Nom]]="",Table1[[#This Row],[Std Read]]=""),0,Table1[[#This Row],[Std Nom]]-Table1[[#This Row],[Std Read]])</f>
        <v>0</v>
      </c>
      <c r="N2721" s="1">
        <f>IF(Calculations!$F$5="ACCREDITED 17025 WITH UNCERTAINTIES",$N$10,0)</f>
        <v>0</v>
      </c>
      <c r="O2721" s="1" t="str">
        <f>IFERROR(Table1[[#This Row],[Std Nom]]-(_xlfn.XLOOKUP(Table1[[#This Row],[Manufacturer]]&amp;" "&amp;Table1[[#This Row],[Model]],Table13[MFR &amp; MDL],Table13[Tolerance % CW ],"")/100*Table1[[#This Row],[Std Nom]]),"")</f>
        <v/>
      </c>
      <c r="P2721" s="1" t="str">
        <f>IFERROR(Table1[[#This Row],[Std Nom]]+(_xlfn.XLOOKUP(Table1[[#This Row],[Manufacturer]]&amp;" "&amp;Table1[[#This Row],[Model]],Table13[MFR &amp; MDL],Table13[Tolerance % CW ],"")/100*Table1[[#This Row],[Std Nom]]),"")</f>
        <v/>
      </c>
      <c r="Q2721" s="1" t="e">
        <f>Table1[[#This Row],[High Tol]]-Table1[[#This Row],[Low Tol]]</f>
        <v>#VALUE!</v>
      </c>
      <c r="R2721" s="1">
        <f>2*Table1[[#This Row],[Std Error]]</f>
        <v>0</v>
      </c>
      <c r="S2721" s="1" t="str">
        <f>IF(Table1[[#This Row],[High Tol]]="","N/A",IFERROR(ABS(Table1[[#This Row],[Tol Span]]/Table1[[#This Row],[Error Span]]),"N/A"))</f>
        <v>N/A</v>
      </c>
      <c r="T2721" s="1" t="str">
        <f>IF(OR(Table1[[#This Row],[Low Tol]]="",Table1[[#This Row],[High Tol]]=""),"Needs Analysis",IF(Table1[[#This Row],[Ratio]]&gt;=4,"Not Significant",IF(Table1[[#This Row],[Ratio]]&gt;=2,"Semi-Significant","Significant")))</f>
        <v>Needs Analysis</v>
      </c>
      <c r="W2721" s="1">
        <f>IF(Table1[[#This Row],[Cal Type]]&lt;&gt;"ACCREDITED 17025 WITH UNCERTAINTIES",0,"")</f>
        <v>0</v>
      </c>
      <c r="X2721" s="1" t="str">
        <f>IF(Table1[[#This Row],[DUT Read]]="","N/A",Table1[[#This Row],[Std Error]]+Table1[[#This Row],[DUT Read]]+Table1[[#This Row],[DUT Ucty]])</f>
        <v>N/A</v>
      </c>
      <c r="Y2721" s="1" t="str">
        <f>IF(Table1[[#This Row],[Std Read]]="","N/A",Table1[[#This Row],[Std Read]]+Table1[[#This Row],[Std Ucty]])</f>
        <v>N/A</v>
      </c>
      <c r="Z27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1" s="1" t="str">
        <f>IF(Table1[[#This Row],[Spec Type]]="","N/A",Table1[[#This Row],[Spec Type]])</f>
        <v>±</v>
      </c>
      <c r="AC2721" s="1" t="str">
        <f>IF(Table1[[#This Row],[Spec Type2]]="N/A","N/A",IF(AND(Table1[[#This Row],[DUT Adj Read]]&gt;=Table1[[#This Row],[Low Tol]],Table1[[#This Row],[DUT Adj Read]]&lt;=Table1[[#This Row],[High Tol]]),"Pass","Fail"))</f>
        <v>Fail</v>
      </c>
      <c r="AD2721" s="1" t="str">
        <f>IF(AND(Table1[[#This Row],[Spec Type2]]="N/A",Table1[[#This Row],[DUT Adj Read]]="N/A",Table1[[#This Row],[Std Adj Read]]="N/A"),"N/A",IF(Table1[[#This Row],[DUT Adj Read]]="N/A",IF(Table1[[#This Row],[Std Adj Read]]&gt;Table1[[#This Row],[Low Tol]],"Pass","Fail"),IF(Table1[[#This Row],[DUT Adj Read]]&gt;Table1[[#This Row],[Low Tol]],"Pass","Fail")))</f>
        <v>Pass</v>
      </c>
      <c r="AE2721" s="1" t="str">
        <f>IF(AND(Table1[[#This Row],[Spec Type2]]="N/A",Table1[[#This Row],[DUT Adj Read]]="N/A",Table1[[#This Row],[Std Adj Read]]="N/A"),"N/A",IF(Table1[[#This Row],[DUT Adj Read]]="N/A",IF(Table1[[#This Row],[Std Adj Read]]&lt;Table1[[#This Row],[High Tol]],"Pass","Fail"),IF(Table1[[#This Row],[DUT Adj Read]]&lt;Table1[[#This Row],[High Tol]],"Pass","Fail")))</f>
        <v>Fail</v>
      </c>
      <c r="AF2721" s="1" t="str">
        <f>IF(AND(Table1[[#This Row],[Spec Type2]]="N/A",Table1[[#This Row],[DUT Adj Read]]="N/A",Table1[[#This Row],[Std Adj Read]]="N/A"),"N/A",IF(Table1[[#This Row],[DUT Adj Read]]="N/A",IF(Table1[[#This Row],[Std Adj Read]]&gt;=Table1[[#This Row],[Low Tol]],"Pass","Fail"),IF(Table1[[#This Row],[DUT Adj Read]]&gt;=Table1[[#This Row],[Low Tol]],"Pass","Fail")))</f>
        <v>Pass</v>
      </c>
      <c r="AG2721" s="1" t="str">
        <f>IF(AND(Table1[[#This Row],[Spec Type2]]="N/A",Table1[[#This Row],[DUT Adj Read]]="N/A",Table1[[#This Row],[Std Adj Read]]="N/A"),"N/A",IF(Table1[[#This Row],[DUT Adj Read]]="N/A",IF(Table1[[#This Row],[Std Adj Read]]&lt;=Table1[[#This Row],[High Tol]],"Pass","Fail"),IF(Table1[[#This Row],[DUT Adj Read]]&lt;=Table1[[#This Row],[High Tol]],"Pass","Fail")))</f>
        <v>Fail</v>
      </c>
      <c r="AH27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1" s="1" t="b">
        <v>0</v>
      </c>
      <c r="AN2721" s="1" t="b">
        <v>0</v>
      </c>
      <c r="AO2721" s="1" t="b">
        <v>0</v>
      </c>
    </row>
    <row r="2722" spans="1:41" x14ac:dyDescent="0.25">
      <c r="A2722" s="10"/>
      <c r="B2722" s="10"/>
      <c r="C2722" s="10"/>
      <c r="D2722" s="10"/>
      <c r="E2722" s="10"/>
      <c r="F2722" s="10"/>
      <c r="G2722" s="10"/>
      <c r="H2722" s="10"/>
      <c r="I2722" s="1" t="str">
        <f t="shared" si="126"/>
        <v/>
      </c>
      <c r="J2722" s="1" t="s">
        <v>35</v>
      </c>
      <c r="K2722" s="1" t="str">
        <f t="shared" si="127"/>
        <v/>
      </c>
      <c r="L2722" s="1" t="str">
        <f t="shared" si="128"/>
        <v/>
      </c>
      <c r="M2722" s="1">
        <f>IF(OR(Table1[[#This Row],[Std Nom]]="",Table1[[#This Row],[Std Read]]=""),0,Table1[[#This Row],[Std Nom]]-Table1[[#This Row],[Std Read]])</f>
        <v>0</v>
      </c>
      <c r="N2722" s="1">
        <f>IF(Calculations!$F$5="ACCREDITED 17025 WITH UNCERTAINTIES",$N$10,0)</f>
        <v>0</v>
      </c>
      <c r="O2722" s="1" t="str">
        <f>IFERROR(Table1[[#This Row],[Std Nom]]-(_xlfn.XLOOKUP(Table1[[#This Row],[Manufacturer]]&amp;" "&amp;Table1[[#This Row],[Model]],Table13[MFR &amp; MDL],Table13[Tolerance % CW ],"")/100*Table1[[#This Row],[Std Nom]]),"")</f>
        <v/>
      </c>
      <c r="P2722" s="1" t="str">
        <f>IFERROR(Table1[[#This Row],[Std Nom]]+(_xlfn.XLOOKUP(Table1[[#This Row],[Manufacturer]]&amp;" "&amp;Table1[[#This Row],[Model]],Table13[MFR &amp; MDL],Table13[Tolerance % CW ],"")/100*Table1[[#This Row],[Std Nom]]),"")</f>
        <v/>
      </c>
      <c r="Q2722" s="1" t="e">
        <f>Table1[[#This Row],[High Tol]]-Table1[[#This Row],[Low Tol]]</f>
        <v>#VALUE!</v>
      </c>
      <c r="R2722" s="1">
        <f>2*Table1[[#This Row],[Std Error]]</f>
        <v>0</v>
      </c>
      <c r="S2722" s="1" t="str">
        <f>IF(Table1[[#This Row],[High Tol]]="","N/A",IFERROR(ABS(Table1[[#This Row],[Tol Span]]/Table1[[#This Row],[Error Span]]),"N/A"))</f>
        <v>N/A</v>
      </c>
      <c r="T2722" s="1" t="str">
        <f>IF(OR(Table1[[#This Row],[Low Tol]]="",Table1[[#This Row],[High Tol]]=""),"Needs Analysis",IF(Table1[[#This Row],[Ratio]]&gt;=4,"Not Significant",IF(Table1[[#This Row],[Ratio]]&gt;=2,"Semi-Significant","Significant")))</f>
        <v>Needs Analysis</v>
      </c>
      <c r="W2722" s="1">
        <f>IF(Table1[[#This Row],[Cal Type]]&lt;&gt;"ACCREDITED 17025 WITH UNCERTAINTIES",0,"")</f>
        <v>0</v>
      </c>
      <c r="X2722" s="1" t="str">
        <f>IF(Table1[[#This Row],[DUT Read]]="","N/A",Table1[[#This Row],[Std Error]]+Table1[[#This Row],[DUT Read]]+Table1[[#This Row],[DUT Ucty]])</f>
        <v>N/A</v>
      </c>
      <c r="Y2722" s="1" t="str">
        <f>IF(Table1[[#This Row],[Std Read]]="","N/A",Table1[[#This Row],[Std Read]]+Table1[[#This Row],[Std Ucty]])</f>
        <v>N/A</v>
      </c>
      <c r="Z27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2" s="1" t="str">
        <f>IF(Table1[[#This Row],[Spec Type]]="","N/A",Table1[[#This Row],[Spec Type]])</f>
        <v>±</v>
      </c>
      <c r="AC2722" s="1" t="str">
        <f>IF(Table1[[#This Row],[Spec Type2]]="N/A","N/A",IF(AND(Table1[[#This Row],[DUT Adj Read]]&gt;=Table1[[#This Row],[Low Tol]],Table1[[#This Row],[DUT Adj Read]]&lt;=Table1[[#This Row],[High Tol]]),"Pass","Fail"))</f>
        <v>Fail</v>
      </c>
      <c r="AD2722" s="1" t="str">
        <f>IF(AND(Table1[[#This Row],[Spec Type2]]="N/A",Table1[[#This Row],[DUT Adj Read]]="N/A",Table1[[#This Row],[Std Adj Read]]="N/A"),"N/A",IF(Table1[[#This Row],[DUT Adj Read]]="N/A",IF(Table1[[#This Row],[Std Adj Read]]&gt;Table1[[#This Row],[Low Tol]],"Pass","Fail"),IF(Table1[[#This Row],[DUT Adj Read]]&gt;Table1[[#This Row],[Low Tol]],"Pass","Fail")))</f>
        <v>Pass</v>
      </c>
      <c r="AE2722" s="1" t="str">
        <f>IF(AND(Table1[[#This Row],[Spec Type2]]="N/A",Table1[[#This Row],[DUT Adj Read]]="N/A",Table1[[#This Row],[Std Adj Read]]="N/A"),"N/A",IF(Table1[[#This Row],[DUT Adj Read]]="N/A",IF(Table1[[#This Row],[Std Adj Read]]&lt;Table1[[#This Row],[High Tol]],"Pass","Fail"),IF(Table1[[#This Row],[DUT Adj Read]]&lt;Table1[[#This Row],[High Tol]],"Pass","Fail")))</f>
        <v>Fail</v>
      </c>
      <c r="AF2722" s="1" t="str">
        <f>IF(AND(Table1[[#This Row],[Spec Type2]]="N/A",Table1[[#This Row],[DUT Adj Read]]="N/A",Table1[[#This Row],[Std Adj Read]]="N/A"),"N/A",IF(Table1[[#This Row],[DUT Adj Read]]="N/A",IF(Table1[[#This Row],[Std Adj Read]]&gt;=Table1[[#This Row],[Low Tol]],"Pass","Fail"),IF(Table1[[#This Row],[DUT Adj Read]]&gt;=Table1[[#This Row],[Low Tol]],"Pass","Fail")))</f>
        <v>Pass</v>
      </c>
      <c r="AG2722" s="1" t="str">
        <f>IF(AND(Table1[[#This Row],[Spec Type2]]="N/A",Table1[[#This Row],[DUT Adj Read]]="N/A",Table1[[#This Row],[Std Adj Read]]="N/A"),"N/A",IF(Table1[[#This Row],[DUT Adj Read]]="N/A",IF(Table1[[#This Row],[Std Adj Read]]&lt;=Table1[[#This Row],[High Tol]],"Pass","Fail"),IF(Table1[[#This Row],[DUT Adj Read]]&lt;=Table1[[#This Row],[High Tol]],"Pass","Fail")))</f>
        <v>Fail</v>
      </c>
      <c r="AH27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2" s="1" t="b">
        <v>0</v>
      </c>
      <c r="AN2722" s="1" t="b">
        <v>0</v>
      </c>
      <c r="AO2722" s="1" t="b">
        <v>0</v>
      </c>
    </row>
    <row r="2723" spans="1:41" x14ac:dyDescent="0.25">
      <c r="A2723" s="10"/>
      <c r="B2723" s="10"/>
      <c r="C2723" s="10"/>
      <c r="D2723" s="10"/>
      <c r="E2723" s="10"/>
      <c r="F2723" s="10"/>
      <c r="G2723" s="10"/>
      <c r="H2723" s="10"/>
      <c r="I2723" s="1" t="str">
        <f t="shared" si="126"/>
        <v/>
      </c>
      <c r="J2723" s="1" t="s">
        <v>35</v>
      </c>
      <c r="K2723" s="1" t="str">
        <f t="shared" si="127"/>
        <v/>
      </c>
      <c r="L2723" s="1" t="str">
        <f t="shared" si="128"/>
        <v/>
      </c>
      <c r="M2723" s="1">
        <f>IF(OR(Table1[[#This Row],[Std Nom]]="",Table1[[#This Row],[Std Read]]=""),0,Table1[[#This Row],[Std Nom]]-Table1[[#This Row],[Std Read]])</f>
        <v>0</v>
      </c>
      <c r="N2723" s="1">
        <f>IF(Calculations!$F$5="ACCREDITED 17025 WITH UNCERTAINTIES",$N$10,0)</f>
        <v>0</v>
      </c>
      <c r="O2723" s="1" t="str">
        <f>IFERROR(Table1[[#This Row],[Std Nom]]-(_xlfn.XLOOKUP(Table1[[#This Row],[Manufacturer]]&amp;" "&amp;Table1[[#This Row],[Model]],Table13[MFR &amp; MDL],Table13[Tolerance % CW ],"")/100*Table1[[#This Row],[Std Nom]]),"")</f>
        <v/>
      </c>
      <c r="P2723" s="1" t="str">
        <f>IFERROR(Table1[[#This Row],[Std Nom]]+(_xlfn.XLOOKUP(Table1[[#This Row],[Manufacturer]]&amp;" "&amp;Table1[[#This Row],[Model]],Table13[MFR &amp; MDL],Table13[Tolerance % CW ],"")/100*Table1[[#This Row],[Std Nom]]),"")</f>
        <v/>
      </c>
      <c r="Q2723" s="1" t="e">
        <f>Table1[[#This Row],[High Tol]]-Table1[[#This Row],[Low Tol]]</f>
        <v>#VALUE!</v>
      </c>
      <c r="R2723" s="1">
        <f>2*Table1[[#This Row],[Std Error]]</f>
        <v>0</v>
      </c>
      <c r="S2723" s="1" t="str">
        <f>IF(Table1[[#This Row],[High Tol]]="","N/A",IFERROR(ABS(Table1[[#This Row],[Tol Span]]/Table1[[#This Row],[Error Span]]),"N/A"))</f>
        <v>N/A</v>
      </c>
      <c r="T2723" s="1" t="str">
        <f>IF(OR(Table1[[#This Row],[Low Tol]]="",Table1[[#This Row],[High Tol]]=""),"Needs Analysis",IF(Table1[[#This Row],[Ratio]]&gt;=4,"Not Significant",IF(Table1[[#This Row],[Ratio]]&gt;=2,"Semi-Significant","Significant")))</f>
        <v>Needs Analysis</v>
      </c>
      <c r="W2723" s="1">
        <f>IF(Table1[[#This Row],[Cal Type]]&lt;&gt;"ACCREDITED 17025 WITH UNCERTAINTIES",0,"")</f>
        <v>0</v>
      </c>
      <c r="X2723" s="1" t="str">
        <f>IF(Table1[[#This Row],[DUT Read]]="","N/A",Table1[[#This Row],[Std Error]]+Table1[[#This Row],[DUT Read]]+Table1[[#This Row],[DUT Ucty]])</f>
        <v>N/A</v>
      </c>
      <c r="Y2723" s="1" t="str">
        <f>IF(Table1[[#This Row],[Std Read]]="","N/A",Table1[[#This Row],[Std Read]]+Table1[[#This Row],[Std Ucty]])</f>
        <v>N/A</v>
      </c>
      <c r="Z27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3" s="1" t="str">
        <f>IF(Table1[[#This Row],[Spec Type]]="","N/A",Table1[[#This Row],[Spec Type]])</f>
        <v>±</v>
      </c>
      <c r="AC2723" s="1" t="str">
        <f>IF(Table1[[#This Row],[Spec Type2]]="N/A","N/A",IF(AND(Table1[[#This Row],[DUT Adj Read]]&gt;=Table1[[#This Row],[Low Tol]],Table1[[#This Row],[DUT Adj Read]]&lt;=Table1[[#This Row],[High Tol]]),"Pass","Fail"))</f>
        <v>Fail</v>
      </c>
      <c r="AD2723" s="1" t="str">
        <f>IF(AND(Table1[[#This Row],[Spec Type2]]="N/A",Table1[[#This Row],[DUT Adj Read]]="N/A",Table1[[#This Row],[Std Adj Read]]="N/A"),"N/A",IF(Table1[[#This Row],[DUT Adj Read]]="N/A",IF(Table1[[#This Row],[Std Adj Read]]&gt;Table1[[#This Row],[Low Tol]],"Pass","Fail"),IF(Table1[[#This Row],[DUT Adj Read]]&gt;Table1[[#This Row],[Low Tol]],"Pass","Fail")))</f>
        <v>Pass</v>
      </c>
      <c r="AE2723" s="1" t="str">
        <f>IF(AND(Table1[[#This Row],[Spec Type2]]="N/A",Table1[[#This Row],[DUT Adj Read]]="N/A",Table1[[#This Row],[Std Adj Read]]="N/A"),"N/A",IF(Table1[[#This Row],[DUT Adj Read]]="N/A",IF(Table1[[#This Row],[Std Adj Read]]&lt;Table1[[#This Row],[High Tol]],"Pass","Fail"),IF(Table1[[#This Row],[DUT Adj Read]]&lt;Table1[[#This Row],[High Tol]],"Pass","Fail")))</f>
        <v>Fail</v>
      </c>
      <c r="AF2723" s="1" t="str">
        <f>IF(AND(Table1[[#This Row],[Spec Type2]]="N/A",Table1[[#This Row],[DUT Adj Read]]="N/A",Table1[[#This Row],[Std Adj Read]]="N/A"),"N/A",IF(Table1[[#This Row],[DUT Adj Read]]="N/A",IF(Table1[[#This Row],[Std Adj Read]]&gt;=Table1[[#This Row],[Low Tol]],"Pass","Fail"),IF(Table1[[#This Row],[DUT Adj Read]]&gt;=Table1[[#This Row],[Low Tol]],"Pass","Fail")))</f>
        <v>Pass</v>
      </c>
      <c r="AG2723" s="1" t="str">
        <f>IF(AND(Table1[[#This Row],[Spec Type2]]="N/A",Table1[[#This Row],[DUT Adj Read]]="N/A",Table1[[#This Row],[Std Adj Read]]="N/A"),"N/A",IF(Table1[[#This Row],[DUT Adj Read]]="N/A",IF(Table1[[#This Row],[Std Adj Read]]&lt;=Table1[[#This Row],[High Tol]],"Pass","Fail"),IF(Table1[[#This Row],[DUT Adj Read]]&lt;=Table1[[#This Row],[High Tol]],"Pass","Fail")))</f>
        <v>Fail</v>
      </c>
      <c r="AH27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3" s="1" t="b">
        <v>0</v>
      </c>
      <c r="AN2723" s="1" t="b">
        <v>0</v>
      </c>
      <c r="AO2723" s="1" t="b">
        <v>0</v>
      </c>
    </row>
    <row r="2724" spans="1:41" x14ac:dyDescent="0.25">
      <c r="A2724" s="10"/>
      <c r="B2724" s="10"/>
      <c r="C2724" s="10"/>
      <c r="D2724" s="10"/>
      <c r="E2724" s="10"/>
      <c r="F2724" s="10"/>
      <c r="G2724" s="10"/>
      <c r="H2724" s="10"/>
      <c r="I2724" s="1" t="str">
        <f t="shared" si="126"/>
        <v/>
      </c>
      <c r="J2724" s="1" t="s">
        <v>35</v>
      </c>
      <c r="K2724" s="1" t="str">
        <f t="shared" si="127"/>
        <v/>
      </c>
      <c r="L2724" s="1" t="str">
        <f t="shared" si="128"/>
        <v/>
      </c>
      <c r="M2724" s="1">
        <f>IF(OR(Table1[[#This Row],[Std Nom]]="",Table1[[#This Row],[Std Read]]=""),0,Table1[[#This Row],[Std Nom]]-Table1[[#This Row],[Std Read]])</f>
        <v>0</v>
      </c>
      <c r="N2724" s="1">
        <f>IF(Calculations!$F$5="ACCREDITED 17025 WITH UNCERTAINTIES",$N$10,0)</f>
        <v>0</v>
      </c>
      <c r="O2724" s="1" t="str">
        <f>IFERROR(Table1[[#This Row],[Std Nom]]-(_xlfn.XLOOKUP(Table1[[#This Row],[Manufacturer]]&amp;" "&amp;Table1[[#This Row],[Model]],Table13[MFR &amp; MDL],Table13[Tolerance % CW ],"")/100*Table1[[#This Row],[Std Nom]]),"")</f>
        <v/>
      </c>
      <c r="P2724" s="1" t="str">
        <f>IFERROR(Table1[[#This Row],[Std Nom]]+(_xlfn.XLOOKUP(Table1[[#This Row],[Manufacturer]]&amp;" "&amp;Table1[[#This Row],[Model]],Table13[MFR &amp; MDL],Table13[Tolerance % CW ],"")/100*Table1[[#This Row],[Std Nom]]),"")</f>
        <v/>
      </c>
      <c r="Q2724" s="1" t="e">
        <f>Table1[[#This Row],[High Tol]]-Table1[[#This Row],[Low Tol]]</f>
        <v>#VALUE!</v>
      </c>
      <c r="R2724" s="1">
        <f>2*Table1[[#This Row],[Std Error]]</f>
        <v>0</v>
      </c>
      <c r="S2724" s="1" t="str">
        <f>IF(Table1[[#This Row],[High Tol]]="","N/A",IFERROR(ABS(Table1[[#This Row],[Tol Span]]/Table1[[#This Row],[Error Span]]),"N/A"))</f>
        <v>N/A</v>
      </c>
      <c r="T2724" s="1" t="str">
        <f>IF(OR(Table1[[#This Row],[Low Tol]]="",Table1[[#This Row],[High Tol]]=""),"Needs Analysis",IF(Table1[[#This Row],[Ratio]]&gt;=4,"Not Significant",IF(Table1[[#This Row],[Ratio]]&gt;=2,"Semi-Significant","Significant")))</f>
        <v>Needs Analysis</v>
      </c>
      <c r="W2724" s="1">
        <f>IF(Table1[[#This Row],[Cal Type]]&lt;&gt;"ACCREDITED 17025 WITH UNCERTAINTIES",0,"")</f>
        <v>0</v>
      </c>
      <c r="X2724" s="1" t="str">
        <f>IF(Table1[[#This Row],[DUT Read]]="","N/A",Table1[[#This Row],[Std Error]]+Table1[[#This Row],[DUT Read]]+Table1[[#This Row],[DUT Ucty]])</f>
        <v>N/A</v>
      </c>
      <c r="Y2724" s="1" t="str">
        <f>IF(Table1[[#This Row],[Std Read]]="","N/A",Table1[[#This Row],[Std Read]]+Table1[[#This Row],[Std Ucty]])</f>
        <v>N/A</v>
      </c>
      <c r="Z27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4" s="1" t="str">
        <f>IF(Table1[[#This Row],[Spec Type]]="","N/A",Table1[[#This Row],[Spec Type]])</f>
        <v>±</v>
      </c>
      <c r="AC2724" s="1" t="str">
        <f>IF(Table1[[#This Row],[Spec Type2]]="N/A","N/A",IF(AND(Table1[[#This Row],[DUT Adj Read]]&gt;=Table1[[#This Row],[Low Tol]],Table1[[#This Row],[DUT Adj Read]]&lt;=Table1[[#This Row],[High Tol]]),"Pass","Fail"))</f>
        <v>Fail</v>
      </c>
      <c r="AD2724" s="1" t="str">
        <f>IF(AND(Table1[[#This Row],[Spec Type2]]="N/A",Table1[[#This Row],[DUT Adj Read]]="N/A",Table1[[#This Row],[Std Adj Read]]="N/A"),"N/A",IF(Table1[[#This Row],[DUT Adj Read]]="N/A",IF(Table1[[#This Row],[Std Adj Read]]&gt;Table1[[#This Row],[Low Tol]],"Pass","Fail"),IF(Table1[[#This Row],[DUT Adj Read]]&gt;Table1[[#This Row],[Low Tol]],"Pass","Fail")))</f>
        <v>Pass</v>
      </c>
      <c r="AE2724" s="1" t="str">
        <f>IF(AND(Table1[[#This Row],[Spec Type2]]="N/A",Table1[[#This Row],[DUT Adj Read]]="N/A",Table1[[#This Row],[Std Adj Read]]="N/A"),"N/A",IF(Table1[[#This Row],[DUT Adj Read]]="N/A",IF(Table1[[#This Row],[Std Adj Read]]&lt;Table1[[#This Row],[High Tol]],"Pass","Fail"),IF(Table1[[#This Row],[DUT Adj Read]]&lt;Table1[[#This Row],[High Tol]],"Pass","Fail")))</f>
        <v>Fail</v>
      </c>
      <c r="AF2724" s="1" t="str">
        <f>IF(AND(Table1[[#This Row],[Spec Type2]]="N/A",Table1[[#This Row],[DUT Adj Read]]="N/A",Table1[[#This Row],[Std Adj Read]]="N/A"),"N/A",IF(Table1[[#This Row],[DUT Adj Read]]="N/A",IF(Table1[[#This Row],[Std Adj Read]]&gt;=Table1[[#This Row],[Low Tol]],"Pass","Fail"),IF(Table1[[#This Row],[DUT Adj Read]]&gt;=Table1[[#This Row],[Low Tol]],"Pass","Fail")))</f>
        <v>Pass</v>
      </c>
      <c r="AG2724" s="1" t="str">
        <f>IF(AND(Table1[[#This Row],[Spec Type2]]="N/A",Table1[[#This Row],[DUT Adj Read]]="N/A",Table1[[#This Row],[Std Adj Read]]="N/A"),"N/A",IF(Table1[[#This Row],[DUT Adj Read]]="N/A",IF(Table1[[#This Row],[Std Adj Read]]&lt;=Table1[[#This Row],[High Tol]],"Pass","Fail"),IF(Table1[[#This Row],[DUT Adj Read]]&lt;=Table1[[#This Row],[High Tol]],"Pass","Fail")))</f>
        <v>Fail</v>
      </c>
      <c r="AH27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4" s="1" t="b">
        <v>0</v>
      </c>
      <c r="AN2724" s="1" t="b">
        <v>0</v>
      </c>
      <c r="AO2724" s="1" t="b">
        <v>0</v>
      </c>
    </row>
    <row r="2725" spans="1:41" x14ac:dyDescent="0.25">
      <c r="A2725" s="10"/>
      <c r="B2725" s="10"/>
      <c r="C2725" s="10"/>
      <c r="D2725" s="10"/>
      <c r="E2725" s="10"/>
      <c r="F2725" s="10"/>
      <c r="G2725" s="10"/>
      <c r="H2725" s="10"/>
      <c r="I2725" s="1" t="str">
        <f t="shared" si="126"/>
        <v/>
      </c>
      <c r="J2725" s="1" t="s">
        <v>35</v>
      </c>
      <c r="K2725" s="1" t="str">
        <f t="shared" si="127"/>
        <v/>
      </c>
      <c r="L2725" s="1" t="str">
        <f t="shared" si="128"/>
        <v/>
      </c>
      <c r="M2725" s="1">
        <f>IF(OR(Table1[[#This Row],[Std Nom]]="",Table1[[#This Row],[Std Read]]=""),0,Table1[[#This Row],[Std Nom]]-Table1[[#This Row],[Std Read]])</f>
        <v>0</v>
      </c>
      <c r="N2725" s="1">
        <f>IF(Calculations!$F$5="ACCREDITED 17025 WITH UNCERTAINTIES",$N$10,0)</f>
        <v>0</v>
      </c>
      <c r="O2725" s="1" t="str">
        <f>IFERROR(Table1[[#This Row],[Std Nom]]-(_xlfn.XLOOKUP(Table1[[#This Row],[Manufacturer]]&amp;" "&amp;Table1[[#This Row],[Model]],Table13[MFR &amp; MDL],Table13[Tolerance % CW ],"")/100*Table1[[#This Row],[Std Nom]]),"")</f>
        <v/>
      </c>
      <c r="P2725" s="1" t="str">
        <f>IFERROR(Table1[[#This Row],[Std Nom]]+(_xlfn.XLOOKUP(Table1[[#This Row],[Manufacturer]]&amp;" "&amp;Table1[[#This Row],[Model]],Table13[MFR &amp; MDL],Table13[Tolerance % CW ],"")/100*Table1[[#This Row],[Std Nom]]),"")</f>
        <v/>
      </c>
      <c r="Q2725" s="1" t="e">
        <f>Table1[[#This Row],[High Tol]]-Table1[[#This Row],[Low Tol]]</f>
        <v>#VALUE!</v>
      </c>
      <c r="R2725" s="1">
        <f>2*Table1[[#This Row],[Std Error]]</f>
        <v>0</v>
      </c>
      <c r="S2725" s="1" t="str">
        <f>IF(Table1[[#This Row],[High Tol]]="","N/A",IFERROR(ABS(Table1[[#This Row],[Tol Span]]/Table1[[#This Row],[Error Span]]),"N/A"))</f>
        <v>N/A</v>
      </c>
      <c r="T2725" s="1" t="str">
        <f>IF(OR(Table1[[#This Row],[Low Tol]]="",Table1[[#This Row],[High Tol]]=""),"Needs Analysis",IF(Table1[[#This Row],[Ratio]]&gt;=4,"Not Significant",IF(Table1[[#This Row],[Ratio]]&gt;=2,"Semi-Significant","Significant")))</f>
        <v>Needs Analysis</v>
      </c>
      <c r="W2725" s="1">
        <f>IF(Table1[[#This Row],[Cal Type]]&lt;&gt;"ACCREDITED 17025 WITH UNCERTAINTIES",0,"")</f>
        <v>0</v>
      </c>
      <c r="X2725" s="1" t="str">
        <f>IF(Table1[[#This Row],[DUT Read]]="","N/A",Table1[[#This Row],[Std Error]]+Table1[[#This Row],[DUT Read]]+Table1[[#This Row],[DUT Ucty]])</f>
        <v>N/A</v>
      </c>
      <c r="Y2725" s="1" t="str">
        <f>IF(Table1[[#This Row],[Std Read]]="","N/A",Table1[[#This Row],[Std Read]]+Table1[[#This Row],[Std Ucty]])</f>
        <v>N/A</v>
      </c>
      <c r="Z27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5" s="1" t="str">
        <f>IF(Table1[[#This Row],[Spec Type]]="","N/A",Table1[[#This Row],[Spec Type]])</f>
        <v>±</v>
      </c>
      <c r="AC2725" s="1" t="str">
        <f>IF(Table1[[#This Row],[Spec Type2]]="N/A","N/A",IF(AND(Table1[[#This Row],[DUT Adj Read]]&gt;=Table1[[#This Row],[Low Tol]],Table1[[#This Row],[DUT Adj Read]]&lt;=Table1[[#This Row],[High Tol]]),"Pass","Fail"))</f>
        <v>Fail</v>
      </c>
      <c r="AD2725" s="1" t="str">
        <f>IF(AND(Table1[[#This Row],[Spec Type2]]="N/A",Table1[[#This Row],[DUT Adj Read]]="N/A",Table1[[#This Row],[Std Adj Read]]="N/A"),"N/A",IF(Table1[[#This Row],[DUT Adj Read]]="N/A",IF(Table1[[#This Row],[Std Adj Read]]&gt;Table1[[#This Row],[Low Tol]],"Pass","Fail"),IF(Table1[[#This Row],[DUT Adj Read]]&gt;Table1[[#This Row],[Low Tol]],"Pass","Fail")))</f>
        <v>Pass</v>
      </c>
      <c r="AE2725" s="1" t="str">
        <f>IF(AND(Table1[[#This Row],[Spec Type2]]="N/A",Table1[[#This Row],[DUT Adj Read]]="N/A",Table1[[#This Row],[Std Adj Read]]="N/A"),"N/A",IF(Table1[[#This Row],[DUT Adj Read]]="N/A",IF(Table1[[#This Row],[Std Adj Read]]&lt;Table1[[#This Row],[High Tol]],"Pass","Fail"),IF(Table1[[#This Row],[DUT Adj Read]]&lt;Table1[[#This Row],[High Tol]],"Pass","Fail")))</f>
        <v>Fail</v>
      </c>
      <c r="AF2725" s="1" t="str">
        <f>IF(AND(Table1[[#This Row],[Spec Type2]]="N/A",Table1[[#This Row],[DUT Adj Read]]="N/A",Table1[[#This Row],[Std Adj Read]]="N/A"),"N/A",IF(Table1[[#This Row],[DUT Adj Read]]="N/A",IF(Table1[[#This Row],[Std Adj Read]]&gt;=Table1[[#This Row],[Low Tol]],"Pass","Fail"),IF(Table1[[#This Row],[DUT Adj Read]]&gt;=Table1[[#This Row],[Low Tol]],"Pass","Fail")))</f>
        <v>Pass</v>
      </c>
      <c r="AG2725" s="1" t="str">
        <f>IF(AND(Table1[[#This Row],[Spec Type2]]="N/A",Table1[[#This Row],[DUT Adj Read]]="N/A",Table1[[#This Row],[Std Adj Read]]="N/A"),"N/A",IF(Table1[[#This Row],[DUT Adj Read]]="N/A",IF(Table1[[#This Row],[Std Adj Read]]&lt;=Table1[[#This Row],[High Tol]],"Pass","Fail"),IF(Table1[[#This Row],[DUT Adj Read]]&lt;=Table1[[#This Row],[High Tol]],"Pass","Fail")))</f>
        <v>Fail</v>
      </c>
      <c r="AH27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5" s="1" t="b">
        <v>0</v>
      </c>
      <c r="AN2725" s="1" t="b">
        <v>0</v>
      </c>
      <c r="AO2725" s="1" t="b">
        <v>0</v>
      </c>
    </row>
    <row r="2726" spans="1:41" x14ac:dyDescent="0.25">
      <c r="A2726" s="10"/>
      <c r="B2726" s="10"/>
      <c r="C2726" s="10"/>
      <c r="D2726" s="10"/>
      <c r="E2726" s="10"/>
      <c r="F2726" s="10"/>
      <c r="G2726" s="10"/>
      <c r="H2726" s="10"/>
      <c r="I2726" s="1" t="str">
        <f t="shared" si="126"/>
        <v/>
      </c>
      <c r="J2726" s="1" t="s">
        <v>35</v>
      </c>
      <c r="K2726" s="1" t="str">
        <f t="shared" si="127"/>
        <v/>
      </c>
      <c r="L2726" s="1" t="str">
        <f t="shared" si="128"/>
        <v/>
      </c>
      <c r="M2726" s="1">
        <f>IF(OR(Table1[[#This Row],[Std Nom]]="",Table1[[#This Row],[Std Read]]=""),0,Table1[[#This Row],[Std Nom]]-Table1[[#This Row],[Std Read]])</f>
        <v>0</v>
      </c>
      <c r="N2726" s="1">
        <f>IF(Calculations!$F$5="ACCREDITED 17025 WITH UNCERTAINTIES",$N$10,0)</f>
        <v>0</v>
      </c>
      <c r="O2726" s="1" t="str">
        <f>IFERROR(Table1[[#This Row],[Std Nom]]-(_xlfn.XLOOKUP(Table1[[#This Row],[Manufacturer]]&amp;" "&amp;Table1[[#This Row],[Model]],Table13[MFR &amp; MDL],Table13[Tolerance % CW ],"")/100*Table1[[#This Row],[Std Nom]]),"")</f>
        <v/>
      </c>
      <c r="P2726" s="1" t="str">
        <f>IFERROR(Table1[[#This Row],[Std Nom]]+(_xlfn.XLOOKUP(Table1[[#This Row],[Manufacturer]]&amp;" "&amp;Table1[[#This Row],[Model]],Table13[MFR &amp; MDL],Table13[Tolerance % CW ],"")/100*Table1[[#This Row],[Std Nom]]),"")</f>
        <v/>
      </c>
      <c r="Q2726" s="1" t="e">
        <f>Table1[[#This Row],[High Tol]]-Table1[[#This Row],[Low Tol]]</f>
        <v>#VALUE!</v>
      </c>
      <c r="R2726" s="1">
        <f>2*Table1[[#This Row],[Std Error]]</f>
        <v>0</v>
      </c>
      <c r="S2726" s="1" t="str">
        <f>IF(Table1[[#This Row],[High Tol]]="","N/A",IFERROR(ABS(Table1[[#This Row],[Tol Span]]/Table1[[#This Row],[Error Span]]),"N/A"))</f>
        <v>N/A</v>
      </c>
      <c r="T2726" s="1" t="str">
        <f>IF(OR(Table1[[#This Row],[Low Tol]]="",Table1[[#This Row],[High Tol]]=""),"Needs Analysis",IF(Table1[[#This Row],[Ratio]]&gt;=4,"Not Significant",IF(Table1[[#This Row],[Ratio]]&gt;=2,"Semi-Significant","Significant")))</f>
        <v>Needs Analysis</v>
      </c>
      <c r="W2726" s="1">
        <f>IF(Table1[[#This Row],[Cal Type]]&lt;&gt;"ACCREDITED 17025 WITH UNCERTAINTIES",0,"")</f>
        <v>0</v>
      </c>
      <c r="X2726" s="1" t="str">
        <f>IF(Table1[[#This Row],[DUT Read]]="","N/A",Table1[[#This Row],[Std Error]]+Table1[[#This Row],[DUT Read]]+Table1[[#This Row],[DUT Ucty]])</f>
        <v>N/A</v>
      </c>
      <c r="Y2726" s="1" t="str">
        <f>IF(Table1[[#This Row],[Std Read]]="","N/A",Table1[[#This Row],[Std Read]]+Table1[[#This Row],[Std Ucty]])</f>
        <v>N/A</v>
      </c>
      <c r="Z27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6" s="1" t="str">
        <f>IF(Table1[[#This Row],[Spec Type]]="","N/A",Table1[[#This Row],[Spec Type]])</f>
        <v>±</v>
      </c>
      <c r="AC2726" s="1" t="str">
        <f>IF(Table1[[#This Row],[Spec Type2]]="N/A","N/A",IF(AND(Table1[[#This Row],[DUT Adj Read]]&gt;=Table1[[#This Row],[Low Tol]],Table1[[#This Row],[DUT Adj Read]]&lt;=Table1[[#This Row],[High Tol]]),"Pass","Fail"))</f>
        <v>Fail</v>
      </c>
      <c r="AD2726" s="1" t="str">
        <f>IF(AND(Table1[[#This Row],[Spec Type2]]="N/A",Table1[[#This Row],[DUT Adj Read]]="N/A",Table1[[#This Row],[Std Adj Read]]="N/A"),"N/A",IF(Table1[[#This Row],[DUT Adj Read]]="N/A",IF(Table1[[#This Row],[Std Adj Read]]&gt;Table1[[#This Row],[Low Tol]],"Pass","Fail"),IF(Table1[[#This Row],[DUT Adj Read]]&gt;Table1[[#This Row],[Low Tol]],"Pass","Fail")))</f>
        <v>Pass</v>
      </c>
      <c r="AE2726" s="1" t="str">
        <f>IF(AND(Table1[[#This Row],[Spec Type2]]="N/A",Table1[[#This Row],[DUT Adj Read]]="N/A",Table1[[#This Row],[Std Adj Read]]="N/A"),"N/A",IF(Table1[[#This Row],[DUT Adj Read]]="N/A",IF(Table1[[#This Row],[Std Adj Read]]&lt;Table1[[#This Row],[High Tol]],"Pass","Fail"),IF(Table1[[#This Row],[DUT Adj Read]]&lt;Table1[[#This Row],[High Tol]],"Pass","Fail")))</f>
        <v>Fail</v>
      </c>
      <c r="AF2726" s="1" t="str">
        <f>IF(AND(Table1[[#This Row],[Spec Type2]]="N/A",Table1[[#This Row],[DUT Adj Read]]="N/A",Table1[[#This Row],[Std Adj Read]]="N/A"),"N/A",IF(Table1[[#This Row],[DUT Adj Read]]="N/A",IF(Table1[[#This Row],[Std Adj Read]]&gt;=Table1[[#This Row],[Low Tol]],"Pass","Fail"),IF(Table1[[#This Row],[DUT Adj Read]]&gt;=Table1[[#This Row],[Low Tol]],"Pass","Fail")))</f>
        <v>Pass</v>
      </c>
      <c r="AG2726" s="1" t="str">
        <f>IF(AND(Table1[[#This Row],[Spec Type2]]="N/A",Table1[[#This Row],[DUT Adj Read]]="N/A",Table1[[#This Row],[Std Adj Read]]="N/A"),"N/A",IF(Table1[[#This Row],[DUT Adj Read]]="N/A",IF(Table1[[#This Row],[Std Adj Read]]&lt;=Table1[[#This Row],[High Tol]],"Pass","Fail"),IF(Table1[[#This Row],[DUT Adj Read]]&lt;=Table1[[#This Row],[High Tol]],"Pass","Fail")))</f>
        <v>Fail</v>
      </c>
      <c r="AH27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6" s="1" t="b">
        <v>0</v>
      </c>
      <c r="AN2726" s="1" t="b">
        <v>0</v>
      </c>
      <c r="AO2726" s="1" t="b">
        <v>0</v>
      </c>
    </row>
    <row r="2727" spans="1:41" x14ac:dyDescent="0.25">
      <c r="A2727" s="10"/>
      <c r="B2727" s="10"/>
      <c r="C2727" s="10"/>
      <c r="D2727" s="10"/>
      <c r="E2727" s="10"/>
      <c r="F2727" s="10"/>
      <c r="G2727" s="10"/>
      <c r="H2727" s="10"/>
      <c r="I2727" s="1" t="str">
        <f t="shared" si="126"/>
        <v/>
      </c>
      <c r="J2727" s="1" t="s">
        <v>35</v>
      </c>
      <c r="K2727" s="1" t="str">
        <f t="shared" si="127"/>
        <v/>
      </c>
      <c r="L2727" s="1" t="str">
        <f t="shared" si="128"/>
        <v/>
      </c>
      <c r="M2727" s="1">
        <f>IF(OR(Table1[[#This Row],[Std Nom]]="",Table1[[#This Row],[Std Read]]=""),0,Table1[[#This Row],[Std Nom]]-Table1[[#This Row],[Std Read]])</f>
        <v>0</v>
      </c>
      <c r="N2727" s="1">
        <f>IF(Calculations!$F$5="ACCREDITED 17025 WITH UNCERTAINTIES",$N$10,0)</f>
        <v>0</v>
      </c>
      <c r="O2727" s="1" t="str">
        <f>IFERROR(Table1[[#This Row],[Std Nom]]-(_xlfn.XLOOKUP(Table1[[#This Row],[Manufacturer]]&amp;" "&amp;Table1[[#This Row],[Model]],Table13[MFR &amp; MDL],Table13[Tolerance % CW ],"")/100*Table1[[#This Row],[Std Nom]]),"")</f>
        <v/>
      </c>
      <c r="P2727" s="1" t="str">
        <f>IFERROR(Table1[[#This Row],[Std Nom]]+(_xlfn.XLOOKUP(Table1[[#This Row],[Manufacturer]]&amp;" "&amp;Table1[[#This Row],[Model]],Table13[MFR &amp; MDL],Table13[Tolerance % CW ],"")/100*Table1[[#This Row],[Std Nom]]),"")</f>
        <v/>
      </c>
      <c r="Q2727" s="1" t="e">
        <f>Table1[[#This Row],[High Tol]]-Table1[[#This Row],[Low Tol]]</f>
        <v>#VALUE!</v>
      </c>
      <c r="R2727" s="1">
        <f>2*Table1[[#This Row],[Std Error]]</f>
        <v>0</v>
      </c>
      <c r="S2727" s="1" t="str">
        <f>IF(Table1[[#This Row],[High Tol]]="","N/A",IFERROR(ABS(Table1[[#This Row],[Tol Span]]/Table1[[#This Row],[Error Span]]),"N/A"))</f>
        <v>N/A</v>
      </c>
      <c r="T2727" s="1" t="str">
        <f>IF(OR(Table1[[#This Row],[Low Tol]]="",Table1[[#This Row],[High Tol]]=""),"Needs Analysis",IF(Table1[[#This Row],[Ratio]]&gt;=4,"Not Significant",IF(Table1[[#This Row],[Ratio]]&gt;=2,"Semi-Significant","Significant")))</f>
        <v>Needs Analysis</v>
      </c>
      <c r="W2727" s="1">
        <f>IF(Table1[[#This Row],[Cal Type]]&lt;&gt;"ACCREDITED 17025 WITH UNCERTAINTIES",0,"")</f>
        <v>0</v>
      </c>
      <c r="X2727" s="1" t="str">
        <f>IF(Table1[[#This Row],[DUT Read]]="","N/A",Table1[[#This Row],[Std Error]]+Table1[[#This Row],[DUT Read]]+Table1[[#This Row],[DUT Ucty]])</f>
        <v>N/A</v>
      </c>
      <c r="Y2727" s="1" t="str">
        <f>IF(Table1[[#This Row],[Std Read]]="","N/A",Table1[[#This Row],[Std Read]]+Table1[[#This Row],[Std Ucty]])</f>
        <v>N/A</v>
      </c>
      <c r="Z27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7" s="1" t="str">
        <f>IF(Table1[[#This Row],[Spec Type]]="","N/A",Table1[[#This Row],[Spec Type]])</f>
        <v>±</v>
      </c>
      <c r="AC2727" s="1" t="str">
        <f>IF(Table1[[#This Row],[Spec Type2]]="N/A","N/A",IF(AND(Table1[[#This Row],[DUT Adj Read]]&gt;=Table1[[#This Row],[Low Tol]],Table1[[#This Row],[DUT Adj Read]]&lt;=Table1[[#This Row],[High Tol]]),"Pass","Fail"))</f>
        <v>Fail</v>
      </c>
      <c r="AD2727" s="1" t="str">
        <f>IF(AND(Table1[[#This Row],[Spec Type2]]="N/A",Table1[[#This Row],[DUT Adj Read]]="N/A",Table1[[#This Row],[Std Adj Read]]="N/A"),"N/A",IF(Table1[[#This Row],[DUT Adj Read]]="N/A",IF(Table1[[#This Row],[Std Adj Read]]&gt;Table1[[#This Row],[Low Tol]],"Pass","Fail"),IF(Table1[[#This Row],[DUT Adj Read]]&gt;Table1[[#This Row],[Low Tol]],"Pass","Fail")))</f>
        <v>Pass</v>
      </c>
      <c r="AE2727" s="1" t="str">
        <f>IF(AND(Table1[[#This Row],[Spec Type2]]="N/A",Table1[[#This Row],[DUT Adj Read]]="N/A",Table1[[#This Row],[Std Adj Read]]="N/A"),"N/A",IF(Table1[[#This Row],[DUT Adj Read]]="N/A",IF(Table1[[#This Row],[Std Adj Read]]&lt;Table1[[#This Row],[High Tol]],"Pass","Fail"),IF(Table1[[#This Row],[DUT Adj Read]]&lt;Table1[[#This Row],[High Tol]],"Pass","Fail")))</f>
        <v>Fail</v>
      </c>
      <c r="AF2727" s="1" t="str">
        <f>IF(AND(Table1[[#This Row],[Spec Type2]]="N/A",Table1[[#This Row],[DUT Adj Read]]="N/A",Table1[[#This Row],[Std Adj Read]]="N/A"),"N/A",IF(Table1[[#This Row],[DUT Adj Read]]="N/A",IF(Table1[[#This Row],[Std Adj Read]]&gt;=Table1[[#This Row],[Low Tol]],"Pass","Fail"),IF(Table1[[#This Row],[DUT Adj Read]]&gt;=Table1[[#This Row],[Low Tol]],"Pass","Fail")))</f>
        <v>Pass</v>
      </c>
      <c r="AG2727" s="1" t="str">
        <f>IF(AND(Table1[[#This Row],[Spec Type2]]="N/A",Table1[[#This Row],[DUT Adj Read]]="N/A",Table1[[#This Row],[Std Adj Read]]="N/A"),"N/A",IF(Table1[[#This Row],[DUT Adj Read]]="N/A",IF(Table1[[#This Row],[Std Adj Read]]&lt;=Table1[[#This Row],[High Tol]],"Pass","Fail"),IF(Table1[[#This Row],[DUT Adj Read]]&lt;=Table1[[#This Row],[High Tol]],"Pass","Fail")))</f>
        <v>Fail</v>
      </c>
      <c r="AH27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7" s="1" t="b">
        <v>0</v>
      </c>
      <c r="AN2727" s="1" t="b">
        <v>0</v>
      </c>
      <c r="AO2727" s="1" t="b">
        <v>0</v>
      </c>
    </row>
    <row r="2728" spans="1:41" x14ac:dyDescent="0.25">
      <c r="A2728" s="10"/>
      <c r="B2728" s="10"/>
      <c r="C2728" s="10"/>
      <c r="D2728" s="10"/>
      <c r="E2728" s="10"/>
      <c r="F2728" s="10"/>
      <c r="G2728" s="10"/>
      <c r="H2728" s="10"/>
      <c r="I2728" s="1" t="str">
        <f t="shared" si="126"/>
        <v/>
      </c>
      <c r="J2728" s="1" t="s">
        <v>35</v>
      </c>
      <c r="K2728" s="1" t="str">
        <f t="shared" si="127"/>
        <v/>
      </c>
      <c r="L2728" s="1" t="str">
        <f t="shared" si="128"/>
        <v/>
      </c>
      <c r="M2728" s="1">
        <f>IF(OR(Table1[[#This Row],[Std Nom]]="",Table1[[#This Row],[Std Read]]=""),0,Table1[[#This Row],[Std Nom]]-Table1[[#This Row],[Std Read]])</f>
        <v>0</v>
      </c>
      <c r="N2728" s="1">
        <f>IF(Calculations!$F$5="ACCREDITED 17025 WITH UNCERTAINTIES",$N$10,0)</f>
        <v>0</v>
      </c>
      <c r="O2728" s="1" t="str">
        <f>IFERROR(Table1[[#This Row],[Std Nom]]-(_xlfn.XLOOKUP(Table1[[#This Row],[Manufacturer]]&amp;" "&amp;Table1[[#This Row],[Model]],Table13[MFR &amp; MDL],Table13[Tolerance % CW ],"")/100*Table1[[#This Row],[Std Nom]]),"")</f>
        <v/>
      </c>
      <c r="P2728" s="1" t="str">
        <f>IFERROR(Table1[[#This Row],[Std Nom]]+(_xlfn.XLOOKUP(Table1[[#This Row],[Manufacturer]]&amp;" "&amp;Table1[[#This Row],[Model]],Table13[MFR &amp; MDL],Table13[Tolerance % CW ],"")/100*Table1[[#This Row],[Std Nom]]),"")</f>
        <v/>
      </c>
      <c r="Q2728" s="1" t="e">
        <f>Table1[[#This Row],[High Tol]]-Table1[[#This Row],[Low Tol]]</f>
        <v>#VALUE!</v>
      </c>
      <c r="R2728" s="1">
        <f>2*Table1[[#This Row],[Std Error]]</f>
        <v>0</v>
      </c>
      <c r="S2728" s="1" t="str">
        <f>IF(Table1[[#This Row],[High Tol]]="","N/A",IFERROR(ABS(Table1[[#This Row],[Tol Span]]/Table1[[#This Row],[Error Span]]),"N/A"))</f>
        <v>N/A</v>
      </c>
      <c r="T2728" s="1" t="str">
        <f>IF(OR(Table1[[#This Row],[Low Tol]]="",Table1[[#This Row],[High Tol]]=""),"Needs Analysis",IF(Table1[[#This Row],[Ratio]]&gt;=4,"Not Significant",IF(Table1[[#This Row],[Ratio]]&gt;=2,"Semi-Significant","Significant")))</f>
        <v>Needs Analysis</v>
      </c>
      <c r="W2728" s="1">
        <f>IF(Table1[[#This Row],[Cal Type]]&lt;&gt;"ACCREDITED 17025 WITH UNCERTAINTIES",0,"")</f>
        <v>0</v>
      </c>
      <c r="X2728" s="1" t="str">
        <f>IF(Table1[[#This Row],[DUT Read]]="","N/A",Table1[[#This Row],[Std Error]]+Table1[[#This Row],[DUT Read]]+Table1[[#This Row],[DUT Ucty]])</f>
        <v>N/A</v>
      </c>
      <c r="Y2728" s="1" t="str">
        <f>IF(Table1[[#This Row],[Std Read]]="","N/A",Table1[[#This Row],[Std Read]]+Table1[[#This Row],[Std Ucty]])</f>
        <v>N/A</v>
      </c>
      <c r="Z27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8" s="1" t="str">
        <f>IF(Table1[[#This Row],[Spec Type]]="","N/A",Table1[[#This Row],[Spec Type]])</f>
        <v>±</v>
      </c>
      <c r="AC2728" s="1" t="str">
        <f>IF(Table1[[#This Row],[Spec Type2]]="N/A","N/A",IF(AND(Table1[[#This Row],[DUT Adj Read]]&gt;=Table1[[#This Row],[Low Tol]],Table1[[#This Row],[DUT Adj Read]]&lt;=Table1[[#This Row],[High Tol]]),"Pass","Fail"))</f>
        <v>Fail</v>
      </c>
      <c r="AD2728" s="1" t="str">
        <f>IF(AND(Table1[[#This Row],[Spec Type2]]="N/A",Table1[[#This Row],[DUT Adj Read]]="N/A",Table1[[#This Row],[Std Adj Read]]="N/A"),"N/A",IF(Table1[[#This Row],[DUT Adj Read]]="N/A",IF(Table1[[#This Row],[Std Adj Read]]&gt;Table1[[#This Row],[Low Tol]],"Pass","Fail"),IF(Table1[[#This Row],[DUT Adj Read]]&gt;Table1[[#This Row],[Low Tol]],"Pass","Fail")))</f>
        <v>Pass</v>
      </c>
      <c r="AE2728" s="1" t="str">
        <f>IF(AND(Table1[[#This Row],[Spec Type2]]="N/A",Table1[[#This Row],[DUT Adj Read]]="N/A",Table1[[#This Row],[Std Adj Read]]="N/A"),"N/A",IF(Table1[[#This Row],[DUT Adj Read]]="N/A",IF(Table1[[#This Row],[Std Adj Read]]&lt;Table1[[#This Row],[High Tol]],"Pass","Fail"),IF(Table1[[#This Row],[DUT Adj Read]]&lt;Table1[[#This Row],[High Tol]],"Pass","Fail")))</f>
        <v>Fail</v>
      </c>
      <c r="AF2728" s="1" t="str">
        <f>IF(AND(Table1[[#This Row],[Spec Type2]]="N/A",Table1[[#This Row],[DUT Adj Read]]="N/A",Table1[[#This Row],[Std Adj Read]]="N/A"),"N/A",IF(Table1[[#This Row],[DUT Adj Read]]="N/A",IF(Table1[[#This Row],[Std Adj Read]]&gt;=Table1[[#This Row],[Low Tol]],"Pass","Fail"),IF(Table1[[#This Row],[DUT Adj Read]]&gt;=Table1[[#This Row],[Low Tol]],"Pass","Fail")))</f>
        <v>Pass</v>
      </c>
      <c r="AG2728" s="1" t="str">
        <f>IF(AND(Table1[[#This Row],[Spec Type2]]="N/A",Table1[[#This Row],[DUT Adj Read]]="N/A",Table1[[#This Row],[Std Adj Read]]="N/A"),"N/A",IF(Table1[[#This Row],[DUT Adj Read]]="N/A",IF(Table1[[#This Row],[Std Adj Read]]&lt;=Table1[[#This Row],[High Tol]],"Pass","Fail"),IF(Table1[[#This Row],[DUT Adj Read]]&lt;=Table1[[#This Row],[High Tol]],"Pass","Fail")))</f>
        <v>Fail</v>
      </c>
      <c r="AH27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8" s="1" t="b">
        <v>0</v>
      </c>
      <c r="AN2728" s="1" t="b">
        <v>0</v>
      </c>
      <c r="AO2728" s="1" t="b">
        <v>0</v>
      </c>
    </row>
    <row r="2729" spans="1:41" x14ac:dyDescent="0.25">
      <c r="A2729" s="10"/>
      <c r="B2729" s="10"/>
      <c r="C2729" s="10"/>
      <c r="D2729" s="10"/>
      <c r="E2729" s="10"/>
      <c r="F2729" s="10"/>
      <c r="G2729" s="10"/>
      <c r="H2729" s="10"/>
      <c r="I2729" s="1" t="str">
        <f t="shared" si="126"/>
        <v/>
      </c>
      <c r="J2729" s="1" t="s">
        <v>35</v>
      </c>
      <c r="K2729" s="1" t="str">
        <f t="shared" si="127"/>
        <v/>
      </c>
      <c r="L2729" s="1" t="str">
        <f t="shared" si="128"/>
        <v/>
      </c>
      <c r="M2729" s="1">
        <f>IF(OR(Table1[[#This Row],[Std Nom]]="",Table1[[#This Row],[Std Read]]=""),0,Table1[[#This Row],[Std Nom]]-Table1[[#This Row],[Std Read]])</f>
        <v>0</v>
      </c>
      <c r="N2729" s="1">
        <f>IF(Calculations!$F$5="ACCREDITED 17025 WITH UNCERTAINTIES",$N$10,0)</f>
        <v>0</v>
      </c>
      <c r="O2729" s="1" t="str">
        <f>IFERROR(Table1[[#This Row],[Std Nom]]-(_xlfn.XLOOKUP(Table1[[#This Row],[Manufacturer]]&amp;" "&amp;Table1[[#This Row],[Model]],Table13[MFR &amp; MDL],Table13[Tolerance % CW ],"")/100*Table1[[#This Row],[Std Nom]]),"")</f>
        <v/>
      </c>
      <c r="P2729" s="1" t="str">
        <f>IFERROR(Table1[[#This Row],[Std Nom]]+(_xlfn.XLOOKUP(Table1[[#This Row],[Manufacturer]]&amp;" "&amp;Table1[[#This Row],[Model]],Table13[MFR &amp; MDL],Table13[Tolerance % CW ],"")/100*Table1[[#This Row],[Std Nom]]),"")</f>
        <v/>
      </c>
      <c r="Q2729" s="1" t="e">
        <f>Table1[[#This Row],[High Tol]]-Table1[[#This Row],[Low Tol]]</f>
        <v>#VALUE!</v>
      </c>
      <c r="R2729" s="1">
        <f>2*Table1[[#This Row],[Std Error]]</f>
        <v>0</v>
      </c>
      <c r="S2729" s="1" t="str">
        <f>IF(Table1[[#This Row],[High Tol]]="","N/A",IFERROR(ABS(Table1[[#This Row],[Tol Span]]/Table1[[#This Row],[Error Span]]),"N/A"))</f>
        <v>N/A</v>
      </c>
      <c r="T2729" s="1" t="str">
        <f>IF(OR(Table1[[#This Row],[Low Tol]]="",Table1[[#This Row],[High Tol]]=""),"Needs Analysis",IF(Table1[[#This Row],[Ratio]]&gt;=4,"Not Significant",IF(Table1[[#This Row],[Ratio]]&gt;=2,"Semi-Significant","Significant")))</f>
        <v>Needs Analysis</v>
      </c>
      <c r="W2729" s="1">
        <f>IF(Table1[[#This Row],[Cal Type]]&lt;&gt;"ACCREDITED 17025 WITH UNCERTAINTIES",0,"")</f>
        <v>0</v>
      </c>
      <c r="X2729" s="1" t="str">
        <f>IF(Table1[[#This Row],[DUT Read]]="","N/A",Table1[[#This Row],[Std Error]]+Table1[[#This Row],[DUT Read]]+Table1[[#This Row],[DUT Ucty]])</f>
        <v>N/A</v>
      </c>
      <c r="Y2729" s="1" t="str">
        <f>IF(Table1[[#This Row],[Std Read]]="","N/A",Table1[[#This Row],[Std Read]]+Table1[[#This Row],[Std Ucty]])</f>
        <v>N/A</v>
      </c>
      <c r="Z27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9" s="1" t="str">
        <f>IF(Table1[[#This Row],[Spec Type]]="","N/A",Table1[[#This Row],[Spec Type]])</f>
        <v>±</v>
      </c>
      <c r="AC2729" s="1" t="str">
        <f>IF(Table1[[#This Row],[Spec Type2]]="N/A","N/A",IF(AND(Table1[[#This Row],[DUT Adj Read]]&gt;=Table1[[#This Row],[Low Tol]],Table1[[#This Row],[DUT Adj Read]]&lt;=Table1[[#This Row],[High Tol]]),"Pass","Fail"))</f>
        <v>Fail</v>
      </c>
      <c r="AD2729" s="1" t="str">
        <f>IF(AND(Table1[[#This Row],[Spec Type2]]="N/A",Table1[[#This Row],[DUT Adj Read]]="N/A",Table1[[#This Row],[Std Adj Read]]="N/A"),"N/A",IF(Table1[[#This Row],[DUT Adj Read]]="N/A",IF(Table1[[#This Row],[Std Adj Read]]&gt;Table1[[#This Row],[Low Tol]],"Pass","Fail"),IF(Table1[[#This Row],[DUT Adj Read]]&gt;Table1[[#This Row],[Low Tol]],"Pass","Fail")))</f>
        <v>Pass</v>
      </c>
      <c r="AE2729" s="1" t="str">
        <f>IF(AND(Table1[[#This Row],[Spec Type2]]="N/A",Table1[[#This Row],[DUT Adj Read]]="N/A",Table1[[#This Row],[Std Adj Read]]="N/A"),"N/A",IF(Table1[[#This Row],[DUT Adj Read]]="N/A",IF(Table1[[#This Row],[Std Adj Read]]&lt;Table1[[#This Row],[High Tol]],"Pass","Fail"),IF(Table1[[#This Row],[DUT Adj Read]]&lt;Table1[[#This Row],[High Tol]],"Pass","Fail")))</f>
        <v>Fail</v>
      </c>
      <c r="AF2729" s="1" t="str">
        <f>IF(AND(Table1[[#This Row],[Spec Type2]]="N/A",Table1[[#This Row],[DUT Adj Read]]="N/A",Table1[[#This Row],[Std Adj Read]]="N/A"),"N/A",IF(Table1[[#This Row],[DUT Adj Read]]="N/A",IF(Table1[[#This Row],[Std Adj Read]]&gt;=Table1[[#This Row],[Low Tol]],"Pass","Fail"),IF(Table1[[#This Row],[DUT Adj Read]]&gt;=Table1[[#This Row],[Low Tol]],"Pass","Fail")))</f>
        <v>Pass</v>
      </c>
      <c r="AG2729" s="1" t="str">
        <f>IF(AND(Table1[[#This Row],[Spec Type2]]="N/A",Table1[[#This Row],[DUT Adj Read]]="N/A",Table1[[#This Row],[Std Adj Read]]="N/A"),"N/A",IF(Table1[[#This Row],[DUT Adj Read]]="N/A",IF(Table1[[#This Row],[Std Adj Read]]&lt;=Table1[[#This Row],[High Tol]],"Pass","Fail"),IF(Table1[[#This Row],[DUT Adj Read]]&lt;=Table1[[#This Row],[High Tol]],"Pass","Fail")))</f>
        <v>Fail</v>
      </c>
      <c r="AH27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9" s="1" t="b">
        <v>0</v>
      </c>
      <c r="AN2729" s="1" t="b">
        <v>0</v>
      </c>
      <c r="AO2729" s="1" t="b">
        <v>0</v>
      </c>
    </row>
    <row r="2730" spans="1:41" x14ac:dyDescent="0.25">
      <c r="A2730" s="10"/>
      <c r="B2730" s="10"/>
      <c r="C2730" s="10"/>
      <c r="D2730" s="10"/>
      <c r="E2730" s="10"/>
      <c r="F2730" s="10"/>
      <c r="G2730" s="10"/>
      <c r="H2730" s="10"/>
      <c r="I2730" s="1" t="str">
        <f t="shared" si="126"/>
        <v/>
      </c>
      <c r="J2730" s="1" t="s">
        <v>35</v>
      </c>
      <c r="K2730" s="1" t="str">
        <f t="shared" si="127"/>
        <v/>
      </c>
      <c r="L2730" s="1" t="str">
        <f t="shared" si="128"/>
        <v/>
      </c>
      <c r="M2730" s="1">
        <f>IF(OR(Table1[[#This Row],[Std Nom]]="",Table1[[#This Row],[Std Read]]=""),0,Table1[[#This Row],[Std Nom]]-Table1[[#This Row],[Std Read]])</f>
        <v>0</v>
      </c>
      <c r="N2730" s="1">
        <f>IF(Calculations!$F$5="ACCREDITED 17025 WITH UNCERTAINTIES",$N$10,0)</f>
        <v>0</v>
      </c>
      <c r="O2730" s="1" t="str">
        <f>IFERROR(Table1[[#This Row],[Std Nom]]-(_xlfn.XLOOKUP(Table1[[#This Row],[Manufacturer]]&amp;" "&amp;Table1[[#This Row],[Model]],Table13[MFR &amp; MDL],Table13[Tolerance % CW ],"")/100*Table1[[#This Row],[Std Nom]]),"")</f>
        <v/>
      </c>
      <c r="P2730" s="1" t="str">
        <f>IFERROR(Table1[[#This Row],[Std Nom]]+(_xlfn.XLOOKUP(Table1[[#This Row],[Manufacturer]]&amp;" "&amp;Table1[[#This Row],[Model]],Table13[MFR &amp; MDL],Table13[Tolerance % CW ],"")/100*Table1[[#This Row],[Std Nom]]),"")</f>
        <v/>
      </c>
      <c r="Q2730" s="1" t="e">
        <f>Table1[[#This Row],[High Tol]]-Table1[[#This Row],[Low Tol]]</f>
        <v>#VALUE!</v>
      </c>
      <c r="R2730" s="1">
        <f>2*Table1[[#This Row],[Std Error]]</f>
        <v>0</v>
      </c>
      <c r="S2730" s="1" t="str">
        <f>IF(Table1[[#This Row],[High Tol]]="","N/A",IFERROR(ABS(Table1[[#This Row],[Tol Span]]/Table1[[#This Row],[Error Span]]),"N/A"))</f>
        <v>N/A</v>
      </c>
      <c r="T2730" s="1" t="str">
        <f>IF(OR(Table1[[#This Row],[Low Tol]]="",Table1[[#This Row],[High Tol]]=""),"Needs Analysis",IF(Table1[[#This Row],[Ratio]]&gt;=4,"Not Significant",IF(Table1[[#This Row],[Ratio]]&gt;=2,"Semi-Significant","Significant")))</f>
        <v>Needs Analysis</v>
      </c>
      <c r="W2730" s="1">
        <f>IF(Table1[[#This Row],[Cal Type]]&lt;&gt;"ACCREDITED 17025 WITH UNCERTAINTIES",0,"")</f>
        <v>0</v>
      </c>
      <c r="X2730" s="1" t="str">
        <f>IF(Table1[[#This Row],[DUT Read]]="","N/A",Table1[[#This Row],[Std Error]]+Table1[[#This Row],[DUT Read]]+Table1[[#This Row],[DUT Ucty]])</f>
        <v>N/A</v>
      </c>
      <c r="Y2730" s="1" t="str">
        <f>IF(Table1[[#This Row],[Std Read]]="","N/A",Table1[[#This Row],[Std Read]]+Table1[[#This Row],[Std Ucty]])</f>
        <v>N/A</v>
      </c>
      <c r="Z27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0" s="1" t="str">
        <f>IF(Table1[[#This Row],[Spec Type]]="","N/A",Table1[[#This Row],[Spec Type]])</f>
        <v>±</v>
      </c>
      <c r="AC2730" s="1" t="str">
        <f>IF(Table1[[#This Row],[Spec Type2]]="N/A","N/A",IF(AND(Table1[[#This Row],[DUT Adj Read]]&gt;=Table1[[#This Row],[Low Tol]],Table1[[#This Row],[DUT Adj Read]]&lt;=Table1[[#This Row],[High Tol]]),"Pass","Fail"))</f>
        <v>Fail</v>
      </c>
      <c r="AD2730" s="1" t="str">
        <f>IF(AND(Table1[[#This Row],[Spec Type2]]="N/A",Table1[[#This Row],[DUT Adj Read]]="N/A",Table1[[#This Row],[Std Adj Read]]="N/A"),"N/A",IF(Table1[[#This Row],[DUT Adj Read]]="N/A",IF(Table1[[#This Row],[Std Adj Read]]&gt;Table1[[#This Row],[Low Tol]],"Pass","Fail"),IF(Table1[[#This Row],[DUT Adj Read]]&gt;Table1[[#This Row],[Low Tol]],"Pass","Fail")))</f>
        <v>Pass</v>
      </c>
      <c r="AE2730" s="1" t="str">
        <f>IF(AND(Table1[[#This Row],[Spec Type2]]="N/A",Table1[[#This Row],[DUT Adj Read]]="N/A",Table1[[#This Row],[Std Adj Read]]="N/A"),"N/A",IF(Table1[[#This Row],[DUT Adj Read]]="N/A",IF(Table1[[#This Row],[Std Adj Read]]&lt;Table1[[#This Row],[High Tol]],"Pass","Fail"),IF(Table1[[#This Row],[DUT Adj Read]]&lt;Table1[[#This Row],[High Tol]],"Pass","Fail")))</f>
        <v>Fail</v>
      </c>
      <c r="AF2730" s="1" t="str">
        <f>IF(AND(Table1[[#This Row],[Spec Type2]]="N/A",Table1[[#This Row],[DUT Adj Read]]="N/A",Table1[[#This Row],[Std Adj Read]]="N/A"),"N/A",IF(Table1[[#This Row],[DUT Adj Read]]="N/A",IF(Table1[[#This Row],[Std Adj Read]]&gt;=Table1[[#This Row],[Low Tol]],"Pass","Fail"),IF(Table1[[#This Row],[DUT Adj Read]]&gt;=Table1[[#This Row],[Low Tol]],"Pass","Fail")))</f>
        <v>Pass</v>
      </c>
      <c r="AG2730" s="1" t="str">
        <f>IF(AND(Table1[[#This Row],[Spec Type2]]="N/A",Table1[[#This Row],[DUT Adj Read]]="N/A",Table1[[#This Row],[Std Adj Read]]="N/A"),"N/A",IF(Table1[[#This Row],[DUT Adj Read]]="N/A",IF(Table1[[#This Row],[Std Adj Read]]&lt;=Table1[[#This Row],[High Tol]],"Pass","Fail"),IF(Table1[[#This Row],[DUT Adj Read]]&lt;=Table1[[#This Row],[High Tol]],"Pass","Fail")))</f>
        <v>Fail</v>
      </c>
      <c r="AH27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0" s="1" t="b">
        <v>0</v>
      </c>
      <c r="AN2730" s="1" t="b">
        <v>0</v>
      </c>
      <c r="AO2730" s="1" t="b">
        <v>0</v>
      </c>
    </row>
    <row r="2731" spans="1:41" x14ac:dyDescent="0.25">
      <c r="A2731" s="10"/>
      <c r="B2731" s="10"/>
      <c r="C2731" s="10"/>
      <c r="D2731" s="10"/>
      <c r="E2731" s="10"/>
      <c r="F2731" s="10"/>
      <c r="G2731" s="10"/>
      <c r="H2731" s="10"/>
      <c r="I2731" s="1" t="str">
        <f t="shared" si="126"/>
        <v/>
      </c>
      <c r="J2731" s="1" t="s">
        <v>35</v>
      </c>
      <c r="K2731" s="1" t="str">
        <f t="shared" si="127"/>
        <v/>
      </c>
      <c r="L2731" s="1" t="str">
        <f t="shared" si="128"/>
        <v/>
      </c>
      <c r="M2731" s="1">
        <f>IF(OR(Table1[[#This Row],[Std Nom]]="",Table1[[#This Row],[Std Read]]=""),0,Table1[[#This Row],[Std Nom]]-Table1[[#This Row],[Std Read]])</f>
        <v>0</v>
      </c>
      <c r="N2731" s="1">
        <f>IF(Calculations!$F$5="ACCREDITED 17025 WITH UNCERTAINTIES",$N$10,0)</f>
        <v>0</v>
      </c>
      <c r="O2731" s="1" t="str">
        <f>IFERROR(Table1[[#This Row],[Std Nom]]-(_xlfn.XLOOKUP(Table1[[#This Row],[Manufacturer]]&amp;" "&amp;Table1[[#This Row],[Model]],Table13[MFR &amp; MDL],Table13[Tolerance % CW ],"")/100*Table1[[#This Row],[Std Nom]]),"")</f>
        <v/>
      </c>
      <c r="P2731" s="1" t="str">
        <f>IFERROR(Table1[[#This Row],[Std Nom]]+(_xlfn.XLOOKUP(Table1[[#This Row],[Manufacturer]]&amp;" "&amp;Table1[[#This Row],[Model]],Table13[MFR &amp; MDL],Table13[Tolerance % CW ],"")/100*Table1[[#This Row],[Std Nom]]),"")</f>
        <v/>
      </c>
      <c r="Q2731" s="1" t="e">
        <f>Table1[[#This Row],[High Tol]]-Table1[[#This Row],[Low Tol]]</f>
        <v>#VALUE!</v>
      </c>
      <c r="R2731" s="1">
        <f>2*Table1[[#This Row],[Std Error]]</f>
        <v>0</v>
      </c>
      <c r="S2731" s="1" t="str">
        <f>IF(Table1[[#This Row],[High Tol]]="","N/A",IFERROR(ABS(Table1[[#This Row],[Tol Span]]/Table1[[#This Row],[Error Span]]),"N/A"))</f>
        <v>N/A</v>
      </c>
      <c r="T2731" s="1" t="str">
        <f>IF(OR(Table1[[#This Row],[Low Tol]]="",Table1[[#This Row],[High Tol]]=""),"Needs Analysis",IF(Table1[[#This Row],[Ratio]]&gt;=4,"Not Significant",IF(Table1[[#This Row],[Ratio]]&gt;=2,"Semi-Significant","Significant")))</f>
        <v>Needs Analysis</v>
      </c>
      <c r="W2731" s="1">
        <f>IF(Table1[[#This Row],[Cal Type]]&lt;&gt;"ACCREDITED 17025 WITH UNCERTAINTIES",0,"")</f>
        <v>0</v>
      </c>
      <c r="X2731" s="1" t="str">
        <f>IF(Table1[[#This Row],[DUT Read]]="","N/A",Table1[[#This Row],[Std Error]]+Table1[[#This Row],[DUT Read]]+Table1[[#This Row],[DUT Ucty]])</f>
        <v>N/A</v>
      </c>
      <c r="Y2731" s="1" t="str">
        <f>IF(Table1[[#This Row],[Std Read]]="","N/A",Table1[[#This Row],[Std Read]]+Table1[[#This Row],[Std Ucty]])</f>
        <v>N/A</v>
      </c>
      <c r="Z27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1" s="1" t="str">
        <f>IF(Table1[[#This Row],[Spec Type]]="","N/A",Table1[[#This Row],[Spec Type]])</f>
        <v>±</v>
      </c>
      <c r="AC2731" s="1" t="str">
        <f>IF(Table1[[#This Row],[Spec Type2]]="N/A","N/A",IF(AND(Table1[[#This Row],[DUT Adj Read]]&gt;=Table1[[#This Row],[Low Tol]],Table1[[#This Row],[DUT Adj Read]]&lt;=Table1[[#This Row],[High Tol]]),"Pass","Fail"))</f>
        <v>Fail</v>
      </c>
      <c r="AD2731" s="1" t="str">
        <f>IF(AND(Table1[[#This Row],[Spec Type2]]="N/A",Table1[[#This Row],[DUT Adj Read]]="N/A",Table1[[#This Row],[Std Adj Read]]="N/A"),"N/A",IF(Table1[[#This Row],[DUT Adj Read]]="N/A",IF(Table1[[#This Row],[Std Adj Read]]&gt;Table1[[#This Row],[Low Tol]],"Pass","Fail"),IF(Table1[[#This Row],[DUT Adj Read]]&gt;Table1[[#This Row],[Low Tol]],"Pass","Fail")))</f>
        <v>Pass</v>
      </c>
      <c r="AE2731" s="1" t="str">
        <f>IF(AND(Table1[[#This Row],[Spec Type2]]="N/A",Table1[[#This Row],[DUT Adj Read]]="N/A",Table1[[#This Row],[Std Adj Read]]="N/A"),"N/A",IF(Table1[[#This Row],[DUT Adj Read]]="N/A",IF(Table1[[#This Row],[Std Adj Read]]&lt;Table1[[#This Row],[High Tol]],"Pass","Fail"),IF(Table1[[#This Row],[DUT Adj Read]]&lt;Table1[[#This Row],[High Tol]],"Pass","Fail")))</f>
        <v>Fail</v>
      </c>
      <c r="AF2731" s="1" t="str">
        <f>IF(AND(Table1[[#This Row],[Spec Type2]]="N/A",Table1[[#This Row],[DUT Adj Read]]="N/A",Table1[[#This Row],[Std Adj Read]]="N/A"),"N/A",IF(Table1[[#This Row],[DUT Adj Read]]="N/A",IF(Table1[[#This Row],[Std Adj Read]]&gt;=Table1[[#This Row],[Low Tol]],"Pass","Fail"),IF(Table1[[#This Row],[DUT Adj Read]]&gt;=Table1[[#This Row],[Low Tol]],"Pass","Fail")))</f>
        <v>Pass</v>
      </c>
      <c r="AG2731" s="1" t="str">
        <f>IF(AND(Table1[[#This Row],[Spec Type2]]="N/A",Table1[[#This Row],[DUT Adj Read]]="N/A",Table1[[#This Row],[Std Adj Read]]="N/A"),"N/A",IF(Table1[[#This Row],[DUT Adj Read]]="N/A",IF(Table1[[#This Row],[Std Adj Read]]&lt;=Table1[[#This Row],[High Tol]],"Pass","Fail"),IF(Table1[[#This Row],[DUT Adj Read]]&lt;=Table1[[#This Row],[High Tol]],"Pass","Fail")))</f>
        <v>Fail</v>
      </c>
      <c r="AH27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1" s="1" t="b">
        <v>0</v>
      </c>
      <c r="AN2731" s="1" t="b">
        <v>0</v>
      </c>
      <c r="AO2731" s="1" t="b">
        <v>0</v>
      </c>
    </row>
    <row r="2732" spans="1:41" x14ac:dyDescent="0.25">
      <c r="A2732" s="10"/>
      <c r="B2732" s="10"/>
      <c r="C2732" s="10"/>
      <c r="D2732" s="10"/>
      <c r="E2732" s="10"/>
      <c r="F2732" s="10"/>
      <c r="G2732" s="10"/>
      <c r="H2732" s="10"/>
      <c r="I2732" s="1" t="str">
        <f t="shared" si="126"/>
        <v/>
      </c>
      <c r="J2732" s="1" t="s">
        <v>35</v>
      </c>
      <c r="K2732" s="1" t="str">
        <f t="shared" si="127"/>
        <v/>
      </c>
      <c r="L2732" s="1" t="str">
        <f t="shared" si="128"/>
        <v/>
      </c>
      <c r="M2732" s="1">
        <f>IF(OR(Table1[[#This Row],[Std Nom]]="",Table1[[#This Row],[Std Read]]=""),0,Table1[[#This Row],[Std Nom]]-Table1[[#This Row],[Std Read]])</f>
        <v>0</v>
      </c>
      <c r="N2732" s="1">
        <f>IF(Calculations!$F$5="ACCREDITED 17025 WITH UNCERTAINTIES",$N$10,0)</f>
        <v>0</v>
      </c>
      <c r="O2732" s="1" t="str">
        <f>IFERROR(Table1[[#This Row],[Std Nom]]-(_xlfn.XLOOKUP(Table1[[#This Row],[Manufacturer]]&amp;" "&amp;Table1[[#This Row],[Model]],Table13[MFR &amp; MDL],Table13[Tolerance % CW ],"")/100*Table1[[#This Row],[Std Nom]]),"")</f>
        <v/>
      </c>
      <c r="P2732" s="1" t="str">
        <f>IFERROR(Table1[[#This Row],[Std Nom]]+(_xlfn.XLOOKUP(Table1[[#This Row],[Manufacturer]]&amp;" "&amp;Table1[[#This Row],[Model]],Table13[MFR &amp; MDL],Table13[Tolerance % CW ],"")/100*Table1[[#This Row],[Std Nom]]),"")</f>
        <v/>
      </c>
      <c r="Q2732" s="1" t="e">
        <f>Table1[[#This Row],[High Tol]]-Table1[[#This Row],[Low Tol]]</f>
        <v>#VALUE!</v>
      </c>
      <c r="R2732" s="1">
        <f>2*Table1[[#This Row],[Std Error]]</f>
        <v>0</v>
      </c>
      <c r="S2732" s="1" t="str">
        <f>IF(Table1[[#This Row],[High Tol]]="","N/A",IFERROR(ABS(Table1[[#This Row],[Tol Span]]/Table1[[#This Row],[Error Span]]),"N/A"))</f>
        <v>N/A</v>
      </c>
      <c r="T2732" s="1" t="str">
        <f>IF(OR(Table1[[#This Row],[Low Tol]]="",Table1[[#This Row],[High Tol]]=""),"Needs Analysis",IF(Table1[[#This Row],[Ratio]]&gt;=4,"Not Significant",IF(Table1[[#This Row],[Ratio]]&gt;=2,"Semi-Significant","Significant")))</f>
        <v>Needs Analysis</v>
      </c>
      <c r="W2732" s="1">
        <f>IF(Table1[[#This Row],[Cal Type]]&lt;&gt;"ACCREDITED 17025 WITH UNCERTAINTIES",0,"")</f>
        <v>0</v>
      </c>
      <c r="X2732" s="1" t="str">
        <f>IF(Table1[[#This Row],[DUT Read]]="","N/A",Table1[[#This Row],[Std Error]]+Table1[[#This Row],[DUT Read]]+Table1[[#This Row],[DUT Ucty]])</f>
        <v>N/A</v>
      </c>
      <c r="Y2732" s="1" t="str">
        <f>IF(Table1[[#This Row],[Std Read]]="","N/A",Table1[[#This Row],[Std Read]]+Table1[[#This Row],[Std Ucty]])</f>
        <v>N/A</v>
      </c>
      <c r="Z27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2" s="1" t="str">
        <f>IF(Table1[[#This Row],[Spec Type]]="","N/A",Table1[[#This Row],[Spec Type]])</f>
        <v>±</v>
      </c>
      <c r="AC2732" s="1" t="str">
        <f>IF(Table1[[#This Row],[Spec Type2]]="N/A","N/A",IF(AND(Table1[[#This Row],[DUT Adj Read]]&gt;=Table1[[#This Row],[Low Tol]],Table1[[#This Row],[DUT Adj Read]]&lt;=Table1[[#This Row],[High Tol]]),"Pass","Fail"))</f>
        <v>Fail</v>
      </c>
      <c r="AD2732" s="1" t="str">
        <f>IF(AND(Table1[[#This Row],[Spec Type2]]="N/A",Table1[[#This Row],[DUT Adj Read]]="N/A",Table1[[#This Row],[Std Adj Read]]="N/A"),"N/A",IF(Table1[[#This Row],[DUT Adj Read]]="N/A",IF(Table1[[#This Row],[Std Adj Read]]&gt;Table1[[#This Row],[Low Tol]],"Pass","Fail"),IF(Table1[[#This Row],[DUT Adj Read]]&gt;Table1[[#This Row],[Low Tol]],"Pass","Fail")))</f>
        <v>Pass</v>
      </c>
      <c r="AE2732" s="1" t="str">
        <f>IF(AND(Table1[[#This Row],[Spec Type2]]="N/A",Table1[[#This Row],[DUT Adj Read]]="N/A",Table1[[#This Row],[Std Adj Read]]="N/A"),"N/A",IF(Table1[[#This Row],[DUT Adj Read]]="N/A",IF(Table1[[#This Row],[Std Adj Read]]&lt;Table1[[#This Row],[High Tol]],"Pass","Fail"),IF(Table1[[#This Row],[DUT Adj Read]]&lt;Table1[[#This Row],[High Tol]],"Pass","Fail")))</f>
        <v>Fail</v>
      </c>
      <c r="AF2732" s="1" t="str">
        <f>IF(AND(Table1[[#This Row],[Spec Type2]]="N/A",Table1[[#This Row],[DUT Adj Read]]="N/A",Table1[[#This Row],[Std Adj Read]]="N/A"),"N/A",IF(Table1[[#This Row],[DUT Adj Read]]="N/A",IF(Table1[[#This Row],[Std Adj Read]]&gt;=Table1[[#This Row],[Low Tol]],"Pass","Fail"),IF(Table1[[#This Row],[DUT Adj Read]]&gt;=Table1[[#This Row],[Low Tol]],"Pass","Fail")))</f>
        <v>Pass</v>
      </c>
      <c r="AG2732" s="1" t="str">
        <f>IF(AND(Table1[[#This Row],[Spec Type2]]="N/A",Table1[[#This Row],[DUT Adj Read]]="N/A",Table1[[#This Row],[Std Adj Read]]="N/A"),"N/A",IF(Table1[[#This Row],[DUT Adj Read]]="N/A",IF(Table1[[#This Row],[Std Adj Read]]&lt;=Table1[[#This Row],[High Tol]],"Pass","Fail"),IF(Table1[[#This Row],[DUT Adj Read]]&lt;=Table1[[#This Row],[High Tol]],"Pass","Fail")))</f>
        <v>Fail</v>
      </c>
      <c r="AH27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2" s="1" t="b">
        <v>0</v>
      </c>
      <c r="AN2732" s="1" t="b">
        <v>0</v>
      </c>
      <c r="AO2732" s="1" t="b">
        <v>0</v>
      </c>
    </row>
    <row r="2733" spans="1:41" x14ac:dyDescent="0.25">
      <c r="A2733" s="10"/>
      <c r="B2733" s="10"/>
      <c r="C2733" s="10"/>
      <c r="D2733" s="10"/>
      <c r="E2733" s="10"/>
      <c r="F2733" s="10"/>
      <c r="G2733" s="10"/>
      <c r="H2733" s="10"/>
      <c r="I2733" s="1" t="str">
        <f t="shared" si="126"/>
        <v/>
      </c>
      <c r="J2733" s="1" t="s">
        <v>35</v>
      </c>
      <c r="K2733" s="1" t="str">
        <f t="shared" si="127"/>
        <v/>
      </c>
      <c r="L2733" s="1" t="str">
        <f t="shared" si="128"/>
        <v/>
      </c>
      <c r="M2733" s="1">
        <f>IF(OR(Table1[[#This Row],[Std Nom]]="",Table1[[#This Row],[Std Read]]=""),0,Table1[[#This Row],[Std Nom]]-Table1[[#This Row],[Std Read]])</f>
        <v>0</v>
      </c>
      <c r="N2733" s="1">
        <f>IF(Calculations!$F$5="ACCREDITED 17025 WITH UNCERTAINTIES",$N$10,0)</f>
        <v>0</v>
      </c>
      <c r="O2733" s="1" t="str">
        <f>IFERROR(Table1[[#This Row],[Std Nom]]-(_xlfn.XLOOKUP(Table1[[#This Row],[Manufacturer]]&amp;" "&amp;Table1[[#This Row],[Model]],Table13[MFR &amp; MDL],Table13[Tolerance % CW ],"")/100*Table1[[#This Row],[Std Nom]]),"")</f>
        <v/>
      </c>
      <c r="P2733" s="1" t="str">
        <f>IFERROR(Table1[[#This Row],[Std Nom]]+(_xlfn.XLOOKUP(Table1[[#This Row],[Manufacturer]]&amp;" "&amp;Table1[[#This Row],[Model]],Table13[MFR &amp; MDL],Table13[Tolerance % CW ],"")/100*Table1[[#This Row],[Std Nom]]),"")</f>
        <v/>
      </c>
      <c r="Q2733" s="1" t="e">
        <f>Table1[[#This Row],[High Tol]]-Table1[[#This Row],[Low Tol]]</f>
        <v>#VALUE!</v>
      </c>
      <c r="R2733" s="1">
        <f>2*Table1[[#This Row],[Std Error]]</f>
        <v>0</v>
      </c>
      <c r="S2733" s="1" t="str">
        <f>IF(Table1[[#This Row],[High Tol]]="","N/A",IFERROR(ABS(Table1[[#This Row],[Tol Span]]/Table1[[#This Row],[Error Span]]),"N/A"))</f>
        <v>N/A</v>
      </c>
      <c r="T2733" s="1" t="str">
        <f>IF(OR(Table1[[#This Row],[Low Tol]]="",Table1[[#This Row],[High Tol]]=""),"Needs Analysis",IF(Table1[[#This Row],[Ratio]]&gt;=4,"Not Significant",IF(Table1[[#This Row],[Ratio]]&gt;=2,"Semi-Significant","Significant")))</f>
        <v>Needs Analysis</v>
      </c>
      <c r="W2733" s="1">
        <f>IF(Table1[[#This Row],[Cal Type]]&lt;&gt;"ACCREDITED 17025 WITH UNCERTAINTIES",0,"")</f>
        <v>0</v>
      </c>
      <c r="X2733" s="1" t="str">
        <f>IF(Table1[[#This Row],[DUT Read]]="","N/A",Table1[[#This Row],[Std Error]]+Table1[[#This Row],[DUT Read]]+Table1[[#This Row],[DUT Ucty]])</f>
        <v>N/A</v>
      </c>
      <c r="Y2733" s="1" t="str">
        <f>IF(Table1[[#This Row],[Std Read]]="","N/A",Table1[[#This Row],[Std Read]]+Table1[[#This Row],[Std Ucty]])</f>
        <v>N/A</v>
      </c>
      <c r="Z27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3" s="1" t="str">
        <f>IF(Table1[[#This Row],[Spec Type]]="","N/A",Table1[[#This Row],[Spec Type]])</f>
        <v>±</v>
      </c>
      <c r="AC2733" s="1" t="str">
        <f>IF(Table1[[#This Row],[Spec Type2]]="N/A","N/A",IF(AND(Table1[[#This Row],[DUT Adj Read]]&gt;=Table1[[#This Row],[Low Tol]],Table1[[#This Row],[DUT Adj Read]]&lt;=Table1[[#This Row],[High Tol]]),"Pass","Fail"))</f>
        <v>Fail</v>
      </c>
      <c r="AD2733" s="1" t="str">
        <f>IF(AND(Table1[[#This Row],[Spec Type2]]="N/A",Table1[[#This Row],[DUT Adj Read]]="N/A",Table1[[#This Row],[Std Adj Read]]="N/A"),"N/A",IF(Table1[[#This Row],[DUT Adj Read]]="N/A",IF(Table1[[#This Row],[Std Adj Read]]&gt;Table1[[#This Row],[Low Tol]],"Pass","Fail"),IF(Table1[[#This Row],[DUT Adj Read]]&gt;Table1[[#This Row],[Low Tol]],"Pass","Fail")))</f>
        <v>Pass</v>
      </c>
      <c r="AE2733" s="1" t="str">
        <f>IF(AND(Table1[[#This Row],[Spec Type2]]="N/A",Table1[[#This Row],[DUT Adj Read]]="N/A",Table1[[#This Row],[Std Adj Read]]="N/A"),"N/A",IF(Table1[[#This Row],[DUT Adj Read]]="N/A",IF(Table1[[#This Row],[Std Adj Read]]&lt;Table1[[#This Row],[High Tol]],"Pass","Fail"),IF(Table1[[#This Row],[DUT Adj Read]]&lt;Table1[[#This Row],[High Tol]],"Pass","Fail")))</f>
        <v>Fail</v>
      </c>
      <c r="AF2733" s="1" t="str">
        <f>IF(AND(Table1[[#This Row],[Spec Type2]]="N/A",Table1[[#This Row],[DUT Adj Read]]="N/A",Table1[[#This Row],[Std Adj Read]]="N/A"),"N/A",IF(Table1[[#This Row],[DUT Adj Read]]="N/A",IF(Table1[[#This Row],[Std Adj Read]]&gt;=Table1[[#This Row],[Low Tol]],"Pass","Fail"),IF(Table1[[#This Row],[DUT Adj Read]]&gt;=Table1[[#This Row],[Low Tol]],"Pass","Fail")))</f>
        <v>Pass</v>
      </c>
      <c r="AG2733" s="1" t="str">
        <f>IF(AND(Table1[[#This Row],[Spec Type2]]="N/A",Table1[[#This Row],[DUT Adj Read]]="N/A",Table1[[#This Row],[Std Adj Read]]="N/A"),"N/A",IF(Table1[[#This Row],[DUT Adj Read]]="N/A",IF(Table1[[#This Row],[Std Adj Read]]&lt;=Table1[[#This Row],[High Tol]],"Pass","Fail"),IF(Table1[[#This Row],[DUT Adj Read]]&lt;=Table1[[#This Row],[High Tol]],"Pass","Fail")))</f>
        <v>Fail</v>
      </c>
      <c r="AH27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3" s="1" t="b">
        <v>0</v>
      </c>
      <c r="AN2733" s="1" t="b">
        <v>0</v>
      </c>
      <c r="AO2733" s="1" t="b">
        <v>0</v>
      </c>
    </row>
    <row r="2734" spans="1:41" x14ac:dyDescent="0.25">
      <c r="A2734" s="10"/>
      <c r="B2734" s="10"/>
      <c r="C2734" s="10"/>
      <c r="D2734" s="10"/>
      <c r="E2734" s="10"/>
      <c r="F2734" s="10"/>
      <c r="G2734" s="10"/>
      <c r="H2734" s="10"/>
      <c r="I2734" s="1" t="str">
        <f t="shared" si="126"/>
        <v/>
      </c>
      <c r="J2734" s="1" t="s">
        <v>35</v>
      </c>
      <c r="K2734" s="1" t="str">
        <f t="shared" si="127"/>
        <v/>
      </c>
      <c r="L2734" s="1" t="str">
        <f t="shared" si="128"/>
        <v/>
      </c>
      <c r="M2734" s="1">
        <f>IF(OR(Table1[[#This Row],[Std Nom]]="",Table1[[#This Row],[Std Read]]=""),0,Table1[[#This Row],[Std Nom]]-Table1[[#This Row],[Std Read]])</f>
        <v>0</v>
      </c>
      <c r="N2734" s="1">
        <f>IF(Calculations!$F$5="ACCREDITED 17025 WITH UNCERTAINTIES",$N$10,0)</f>
        <v>0</v>
      </c>
      <c r="O2734" s="1" t="str">
        <f>IFERROR(Table1[[#This Row],[Std Nom]]-(_xlfn.XLOOKUP(Table1[[#This Row],[Manufacturer]]&amp;" "&amp;Table1[[#This Row],[Model]],Table13[MFR &amp; MDL],Table13[Tolerance % CW ],"")/100*Table1[[#This Row],[Std Nom]]),"")</f>
        <v/>
      </c>
      <c r="P2734" s="1" t="str">
        <f>IFERROR(Table1[[#This Row],[Std Nom]]+(_xlfn.XLOOKUP(Table1[[#This Row],[Manufacturer]]&amp;" "&amp;Table1[[#This Row],[Model]],Table13[MFR &amp; MDL],Table13[Tolerance % CW ],"")/100*Table1[[#This Row],[Std Nom]]),"")</f>
        <v/>
      </c>
      <c r="Q2734" s="1" t="e">
        <f>Table1[[#This Row],[High Tol]]-Table1[[#This Row],[Low Tol]]</f>
        <v>#VALUE!</v>
      </c>
      <c r="R2734" s="1">
        <f>2*Table1[[#This Row],[Std Error]]</f>
        <v>0</v>
      </c>
      <c r="S2734" s="1" t="str">
        <f>IF(Table1[[#This Row],[High Tol]]="","N/A",IFERROR(ABS(Table1[[#This Row],[Tol Span]]/Table1[[#This Row],[Error Span]]),"N/A"))</f>
        <v>N/A</v>
      </c>
      <c r="T2734" s="1" t="str">
        <f>IF(OR(Table1[[#This Row],[Low Tol]]="",Table1[[#This Row],[High Tol]]=""),"Needs Analysis",IF(Table1[[#This Row],[Ratio]]&gt;=4,"Not Significant",IF(Table1[[#This Row],[Ratio]]&gt;=2,"Semi-Significant","Significant")))</f>
        <v>Needs Analysis</v>
      </c>
      <c r="W2734" s="1">
        <f>IF(Table1[[#This Row],[Cal Type]]&lt;&gt;"ACCREDITED 17025 WITH UNCERTAINTIES",0,"")</f>
        <v>0</v>
      </c>
      <c r="X2734" s="1" t="str">
        <f>IF(Table1[[#This Row],[DUT Read]]="","N/A",Table1[[#This Row],[Std Error]]+Table1[[#This Row],[DUT Read]]+Table1[[#This Row],[DUT Ucty]])</f>
        <v>N/A</v>
      </c>
      <c r="Y2734" s="1" t="str">
        <f>IF(Table1[[#This Row],[Std Read]]="","N/A",Table1[[#This Row],[Std Read]]+Table1[[#This Row],[Std Ucty]])</f>
        <v>N/A</v>
      </c>
      <c r="Z27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4" s="1" t="str">
        <f>IF(Table1[[#This Row],[Spec Type]]="","N/A",Table1[[#This Row],[Spec Type]])</f>
        <v>±</v>
      </c>
      <c r="AC2734" s="1" t="str">
        <f>IF(Table1[[#This Row],[Spec Type2]]="N/A","N/A",IF(AND(Table1[[#This Row],[DUT Adj Read]]&gt;=Table1[[#This Row],[Low Tol]],Table1[[#This Row],[DUT Adj Read]]&lt;=Table1[[#This Row],[High Tol]]),"Pass","Fail"))</f>
        <v>Fail</v>
      </c>
      <c r="AD2734" s="1" t="str">
        <f>IF(AND(Table1[[#This Row],[Spec Type2]]="N/A",Table1[[#This Row],[DUT Adj Read]]="N/A",Table1[[#This Row],[Std Adj Read]]="N/A"),"N/A",IF(Table1[[#This Row],[DUT Adj Read]]="N/A",IF(Table1[[#This Row],[Std Adj Read]]&gt;Table1[[#This Row],[Low Tol]],"Pass","Fail"),IF(Table1[[#This Row],[DUT Adj Read]]&gt;Table1[[#This Row],[Low Tol]],"Pass","Fail")))</f>
        <v>Pass</v>
      </c>
      <c r="AE2734" s="1" t="str">
        <f>IF(AND(Table1[[#This Row],[Spec Type2]]="N/A",Table1[[#This Row],[DUT Adj Read]]="N/A",Table1[[#This Row],[Std Adj Read]]="N/A"),"N/A",IF(Table1[[#This Row],[DUT Adj Read]]="N/A",IF(Table1[[#This Row],[Std Adj Read]]&lt;Table1[[#This Row],[High Tol]],"Pass","Fail"),IF(Table1[[#This Row],[DUT Adj Read]]&lt;Table1[[#This Row],[High Tol]],"Pass","Fail")))</f>
        <v>Fail</v>
      </c>
      <c r="AF2734" s="1" t="str">
        <f>IF(AND(Table1[[#This Row],[Spec Type2]]="N/A",Table1[[#This Row],[DUT Adj Read]]="N/A",Table1[[#This Row],[Std Adj Read]]="N/A"),"N/A",IF(Table1[[#This Row],[DUT Adj Read]]="N/A",IF(Table1[[#This Row],[Std Adj Read]]&gt;=Table1[[#This Row],[Low Tol]],"Pass","Fail"),IF(Table1[[#This Row],[DUT Adj Read]]&gt;=Table1[[#This Row],[Low Tol]],"Pass","Fail")))</f>
        <v>Pass</v>
      </c>
      <c r="AG2734" s="1" t="str">
        <f>IF(AND(Table1[[#This Row],[Spec Type2]]="N/A",Table1[[#This Row],[DUT Adj Read]]="N/A",Table1[[#This Row],[Std Adj Read]]="N/A"),"N/A",IF(Table1[[#This Row],[DUT Adj Read]]="N/A",IF(Table1[[#This Row],[Std Adj Read]]&lt;=Table1[[#This Row],[High Tol]],"Pass","Fail"),IF(Table1[[#This Row],[DUT Adj Read]]&lt;=Table1[[#This Row],[High Tol]],"Pass","Fail")))</f>
        <v>Fail</v>
      </c>
      <c r="AH27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4" s="1" t="b">
        <v>0</v>
      </c>
      <c r="AN2734" s="1" t="b">
        <v>0</v>
      </c>
      <c r="AO2734" s="1" t="b">
        <v>0</v>
      </c>
    </row>
    <row r="2735" spans="1:41" x14ac:dyDescent="0.25">
      <c r="A2735" s="10"/>
      <c r="B2735" s="10"/>
      <c r="C2735" s="10"/>
      <c r="D2735" s="10"/>
      <c r="E2735" s="10"/>
      <c r="F2735" s="10"/>
      <c r="G2735" s="10"/>
      <c r="H2735" s="10"/>
      <c r="I2735" s="1" t="str">
        <f t="shared" si="126"/>
        <v/>
      </c>
      <c r="J2735" s="1" t="s">
        <v>35</v>
      </c>
      <c r="K2735" s="1" t="str">
        <f t="shared" si="127"/>
        <v/>
      </c>
      <c r="L2735" s="1" t="str">
        <f t="shared" si="128"/>
        <v/>
      </c>
      <c r="M2735" s="1">
        <f>IF(OR(Table1[[#This Row],[Std Nom]]="",Table1[[#This Row],[Std Read]]=""),0,Table1[[#This Row],[Std Nom]]-Table1[[#This Row],[Std Read]])</f>
        <v>0</v>
      </c>
      <c r="N2735" s="1">
        <f>IF(Calculations!$F$5="ACCREDITED 17025 WITH UNCERTAINTIES",$N$10,0)</f>
        <v>0</v>
      </c>
      <c r="O2735" s="1" t="str">
        <f>IFERROR(Table1[[#This Row],[Std Nom]]-(_xlfn.XLOOKUP(Table1[[#This Row],[Manufacturer]]&amp;" "&amp;Table1[[#This Row],[Model]],Table13[MFR &amp; MDL],Table13[Tolerance % CW ],"")/100*Table1[[#This Row],[Std Nom]]),"")</f>
        <v/>
      </c>
      <c r="P2735" s="1" t="str">
        <f>IFERROR(Table1[[#This Row],[Std Nom]]+(_xlfn.XLOOKUP(Table1[[#This Row],[Manufacturer]]&amp;" "&amp;Table1[[#This Row],[Model]],Table13[MFR &amp; MDL],Table13[Tolerance % CW ],"")/100*Table1[[#This Row],[Std Nom]]),"")</f>
        <v/>
      </c>
      <c r="Q2735" s="1" t="e">
        <f>Table1[[#This Row],[High Tol]]-Table1[[#This Row],[Low Tol]]</f>
        <v>#VALUE!</v>
      </c>
      <c r="R2735" s="1">
        <f>2*Table1[[#This Row],[Std Error]]</f>
        <v>0</v>
      </c>
      <c r="S2735" s="1" t="str">
        <f>IF(Table1[[#This Row],[High Tol]]="","N/A",IFERROR(ABS(Table1[[#This Row],[Tol Span]]/Table1[[#This Row],[Error Span]]),"N/A"))</f>
        <v>N/A</v>
      </c>
      <c r="T2735" s="1" t="str">
        <f>IF(OR(Table1[[#This Row],[Low Tol]]="",Table1[[#This Row],[High Tol]]=""),"Needs Analysis",IF(Table1[[#This Row],[Ratio]]&gt;=4,"Not Significant",IF(Table1[[#This Row],[Ratio]]&gt;=2,"Semi-Significant","Significant")))</f>
        <v>Needs Analysis</v>
      </c>
      <c r="W2735" s="1">
        <f>IF(Table1[[#This Row],[Cal Type]]&lt;&gt;"ACCREDITED 17025 WITH UNCERTAINTIES",0,"")</f>
        <v>0</v>
      </c>
      <c r="X2735" s="1" t="str">
        <f>IF(Table1[[#This Row],[DUT Read]]="","N/A",Table1[[#This Row],[Std Error]]+Table1[[#This Row],[DUT Read]]+Table1[[#This Row],[DUT Ucty]])</f>
        <v>N/A</v>
      </c>
      <c r="Y2735" s="1" t="str">
        <f>IF(Table1[[#This Row],[Std Read]]="","N/A",Table1[[#This Row],[Std Read]]+Table1[[#This Row],[Std Ucty]])</f>
        <v>N/A</v>
      </c>
      <c r="Z27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5" s="1" t="str">
        <f>IF(Table1[[#This Row],[Spec Type]]="","N/A",Table1[[#This Row],[Spec Type]])</f>
        <v>±</v>
      </c>
      <c r="AC2735" s="1" t="str">
        <f>IF(Table1[[#This Row],[Spec Type2]]="N/A","N/A",IF(AND(Table1[[#This Row],[DUT Adj Read]]&gt;=Table1[[#This Row],[Low Tol]],Table1[[#This Row],[DUT Adj Read]]&lt;=Table1[[#This Row],[High Tol]]),"Pass","Fail"))</f>
        <v>Fail</v>
      </c>
      <c r="AD2735" s="1" t="str">
        <f>IF(AND(Table1[[#This Row],[Spec Type2]]="N/A",Table1[[#This Row],[DUT Adj Read]]="N/A",Table1[[#This Row],[Std Adj Read]]="N/A"),"N/A",IF(Table1[[#This Row],[DUT Adj Read]]="N/A",IF(Table1[[#This Row],[Std Adj Read]]&gt;Table1[[#This Row],[Low Tol]],"Pass","Fail"),IF(Table1[[#This Row],[DUT Adj Read]]&gt;Table1[[#This Row],[Low Tol]],"Pass","Fail")))</f>
        <v>Pass</v>
      </c>
      <c r="AE2735" s="1" t="str">
        <f>IF(AND(Table1[[#This Row],[Spec Type2]]="N/A",Table1[[#This Row],[DUT Adj Read]]="N/A",Table1[[#This Row],[Std Adj Read]]="N/A"),"N/A",IF(Table1[[#This Row],[DUT Adj Read]]="N/A",IF(Table1[[#This Row],[Std Adj Read]]&lt;Table1[[#This Row],[High Tol]],"Pass","Fail"),IF(Table1[[#This Row],[DUT Adj Read]]&lt;Table1[[#This Row],[High Tol]],"Pass","Fail")))</f>
        <v>Fail</v>
      </c>
      <c r="AF2735" s="1" t="str">
        <f>IF(AND(Table1[[#This Row],[Spec Type2]]="N/A",Table1[[#This Row],[DUT Adj Read]]="N/A",Table1[[#This Row],[Std Adj Read]]="N/A"),"N/A",IF(Table1[[#This Row],[DUT Adj Read]]="N/A",IF(Table1[[#This Row],[Std Adj Read]]&gt;=Table1[[#This Row],[Low Tol]],"Pass","Fail"),IF(Table1[[#This Row],[DUT Adj Read]]&gt;=Table1[[#This Row],[Low Tol]],"Pass","Fail")))</f>
        <v>Pass</v>
      </c>
      <c r="AG2735" s="1" t="str">
        <f>IF(AND(Table1[[#This Row],[Spec Type2]]="N/A",Table1[[#This Row],[DUT Adj Read]]="N/A",Table1[[#This Row],[Std Adj Read]]="N/A"),"N/A",IF(Table1[[#This Row],[DUT Adj Read]]="N/A",IF(Table1[[#This Row],[Std Adj Read]]&lt;=Table1[[#This Row],[High Tol]],"Pass","Fail"),IF(Table1[[#This Row],[DUT Adj Read]]&lt;=Table1[[#This Row],[High Tol]],"Pass","Fail")))</f>
        <v>Fail</v>
      </c>
      <c r="AH27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5" s="1" t="b">
        <v>0</v>
      </c>
      <c r="AN2735" s="1" t="b">
        <v>0</v>
      </c>
      <c r="AO2735" s="1" t="b">
        <v>0</v>
      </c>
    </row>
    <row r="2736" spans="1:41" x14ac:dyDescent="0.25">
      <c r="A2736" s="10"/>
      <c r="B2736" s="10"/>
      <c r="C2736" s="10"/>
      <c r="D2736" s="10"/>
      <c r="E2736" s="10"/>
      <c r="F2736" s="10"/>
      <c r="G2736" s="10"/>
      <c r="H2736" s="10"/>
      <c r="I2736" s="1" t="str">
        <f t="shared" si="126"/>
        <v/>
      </c>
      <c r="J2736" s="1" t="s">
        <v>35</v>
      </c>
      <c r="K2736" s="1" t="str">
        <f t="shared" si="127"/>
        <v/>
      </c>
      <c r="L2736" s="1" t="str">
        <f t="shared" si="128"/>
        <v/>
      </c>
      <c r="M2736" s="1">
        <f>IF(OR(Table1[[#This Row],[Std Nom]]="",Table1[[#This Row],[Std Read]]=""),0,Table1[[#This Row],[Std Nom]]-Table1[[#This Row],[Std Read]])</f>
        <v>0</v>
      </c>
      <c r="N2736" s="1">
        <f>IF(Calculations!$F$5="ACCREDITED 17025 WITH UNCERTAINTIES",$N$10,0)</f>
        <v>0</v>
      </c>
      <c r="O2736" s="1" t="str">
        <f>IFERROR(Table1[[#This Row],[Std Nom]]-(_xlfn.XLOOKUP(Table1[[#This Row],[Manufacturer]]&amp;" "&amp;Table1[[#This Row],[Model]],Table13[MFR &amp; MDL],Table13[Tolerance % CW ],"")/100*Table1[[#This Row],[Std Nom]]),"")</f>
        <v/>
      </c>
      <c r="P2736" s="1" t="str">
        <f>IFERROR(Table1[[#This Row],[Std Nom]]+(_xlfn.XLOOKUP(Table1[[#This Row],[Manufacturer]]&amp;" "&amp;Table1[[#This Row],[Model]],Table13[MFR &amp; MDL],Table13[Tolerance % CW ],"")/100*Table1[[#This Row],[Std Nom]]),"")</f>
        <v/>
      </c>
      <c r="Q2736" s="1" t="e">
        <f>Table1[[#This Row],[High Tol]]-Table1[[#This Row],[Low Tol]]</f>
        <v>#VALUE!</v>
      </c>
      <c r="R2736" s="1">
        <f>2*Table1[[#This Row],[Std Error]]</f>
        <v>0</v>
      </c>
      <c r="S2736" s="1" t="str">
        <f>IF(Table1[[#This Row],[High Tol]]="","N/A",IFERROR(ABS(Table1[[#This Row],[Tol Span]]/Table1[[#This Row],[Error Span]]),"N/A"))</f>
        <v>N/A</v>
      </c>
      <c r="T2736" s="1" t="str">
        <f>IF(OR(Table1[[#This Row],[Low Tol]]="",Table1[[#This Row],[High Tol]]=""),"Needs Analysis",IF(Table1[[#This Row],[Ratio]]&gt;=4,"Not Significant",IF(Table1[[#This Row],[Ratio]]&gt;=2,"Semi-Significant","Significant")))</f>
        <v>Needs Analysis</v>
      </c>
      <c r="W2736" s="1">
        <f>IF(Table1[[#This Row],[Cal Type]]&lt;&gt;"ACCREDITED 17025 WITH UNCERTAINTIES",0,"")</f>
        <v>0</v>
      </c>
      <c r="X2736" s="1" t="str">
        <f>IF(Table1[[#This Row],[DUT Read]]="","N/A",Table1[[#This Row],[Std Error]]+Table1[[#This Row],[DUT Read]]+Table1[[#This Row],[DUT Ucty]])</f>
        <v>N/A</v>
      </c>
      <c r="Y2736" s="1" t="str">
        <f>IF(Table1[[#This Row],[Std Read]]="","N/A",Table1[[#This Row],[Std Read]]+Table1[[#This Row],[Std Ucty]])</f>
        <v>N/A</v>
      </c>
      <c r="Z27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6" s="1" t="str">
        <f>IF(Table1[[#This Row],[Spec Type]]="","N/A",Table1[[#This Row],[Spec Type]])</f>
        <v>±</v>
      </c>
      <c r="AC2736" s="1" t="str">
        <f>IF(Table1[[#This Row],[Spec Type2]]="N/A","N/A",IF(AND(Table1[[#This Row],[DUT Adj Read]]&gt;=Table1[[#This Row],[Low Tol]],Table1[[#This Row],[DUT Adj Read]]&lt;=Table1[[#This Row],[High Tol]]),"Pass","Fail"))</f>
        <v>Fail</v>
      </c>
      <c r="AD2736" s="1" t="str">
        <f>IF(AND(Table1[[#This Row],[Spec Type2]]="N/A",Table1[[#This Row],[DUT Adj Read]]="N/A",Table1[[#This Row],[Std Adj Read]]="N/A"),"N/A",IF(Table1[[#This Row],[DUT Adj Read]]="N/A",IF(Table1[[#This Row],[Std Adj Read]]&gt;Table1[[#This Row],[Low Tol]],"Pass","Fail"),IF(Table1[[#This Row],[DUT Adj Read]]&gt;Table1[[#This Row],[Low Tol]],"Pass","Fail")))</f>
        <v>Pass</v>
      </c>
      <c r="AE2736" s="1" t="str">
        <f>IF(AND(Table1[[#This Row],[Spec Type2]]="N/A",Table1[[#This Row],[DUT Adj Read]]="N/A",Table1[[#This Row],[Std Adj Read]]="N/A"),"N/A",IF(Table1[[#This Row],[DUT Adj Read]]="N/A",IF(Table1[[#This Row],[Std Adj Read]]&lt;Table1[[#This Row],[High Tol]],"Pass","Fail"),IF(Table1[[#This Row],[DUT Adj Read]]&lt;Table1[[#This Row],[High Tol]],"Pass","Fail")))</f>
        <v>Fail</v>
      </c>
      <c r="AF2736" s="1" t="str">
        <f>IF(AND(Table1[[#This Row],[Spec Type2]]="N/A",Table1[[#This Row],[DUT Adj Read]]="N/A",Table1[[#This Row],[Std Adj Read]]="N/A"),"N/A",IF(Table1[[#This Row],[DUT Adj Read]]="N/A",IF(Table1[[#This Row],[Std Adj Read]]&gt;=Table1[[#This Row],[Low Tol]],"Pass","Fail"),IF(Table1[[#This Row],[DUT Adj Read]]&gt;=Table1[[#This Row],[Low Tol]],"Pass","Fail")))</f>
        <v>Pass</v>
      </c>
      <c r="AG2736" s="1" t="str">
        <f>IF(AND(Table1[[#This Row],[Spec Type2]]="N/A",Table1[[#This Row],[DUT Adj Read]]="N/A",Table1[[#This Row],[Std Adj Read]]="N/A"),"N/A",IF(Table1[[#This Row],[DUT Adj Read]]="N/A",IF(Table1[[#This Row],[Std Adj Read]]&lt;=Table1[[#This Row],[High Tol]],"Pass","Fail"),IF(Table1[[#This Row],[DUT Adj Read]]&lt;=Table1[[#This Row],[High Tol]],"Pass","Fail")))</f>
        <v>Fail</v>
      </c>
      <c r="AH27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6" s="1" t="b">
        <v>0</v>
      </c>
      <c r="AN2736" s="1" t="b">
        <v>0</v>
      </c>
      <c r="AO2736" s="1" t="b">
        <v>0</v>
      </c>
    </row>
    <row r="2737" spans="1:41" x14ac:dyDescent="0.25">
      <c r="A2737" s="10"/>
      <c r="B2737" s="10"/>
      <c r="C2737" s="10"/>
      <c r="D2737" s="10"/>
      <c r="E2737" s="10"/>
      <c r="F2737" s="10"/>
      <c r="G2737" s="10"/>
      <c r="H2737" s="10"/>
      <c r="I2737" s="1" t="str">
        <f t="shared" si="126"/>
        <v/>
      </c>
      <c r="J2737" s="1" t="s">
        <v>35</v>
      </c>
      <c r="K2737" s="1" t="str">
        <f t="shared" si="127"/>
        <v/>
      </c>
      <c r="L2737" s="1" t="str">
        <f t="shared" si="128"/>
        <v/>
      </c>
      <c r="M2737" s="1">
        <f>IF(OR(Table1[[#This Row],[Std Nom]]="",Table1[[#This Row],[Std Read]]=""),0,Table1[[#This Row],[Std Nom]]-Table1[[#This Row],[Std Read]])</f>
        <v>0</v>
      </c>
      <c r="N2737" s="1">
        <f>IF(Calculations!$F$5="ACCREDITED 17025 WITH UNCERTAINTIES",$N$10,0)</f>
        <v>0</v>
      </c>
      <c r="O2737" s="1" t="str">
        <f>IFERROR(Table1[[#This Row],[Std Nom]]-(_xlfn.XLOOKUP(Table1[[#This Row],[Manufacturer]]&amp;" "&amp;Table1[[#This Row],[Model]],Table13[MFR &amp; MDL],Table13[Tolerance % CW ],"")/100*Table1[[#This Row],[Std Nom]]),"")</f>
        <v/>
      </c>
      <c r="P2737" s="1" t="str">
        <f>IFERROR(Table1[[#This Row],[Std Nom]]+(_xlfn.XLOOKUP(Table1[[#This Row],[Manufacturer]]&amp;" "&amp;Table1[[#This Row],[Model]],Table13[MFR &amp; MDL],Table13[Tolerance % CW ],"")/100*Table1[[#This Row],[Std Nom]]),"")</f>
        <v/>
      </c>
      <c r="Q2737" s="1" t="e">
        <f>Table1[[#This Row],[High Tol]]-Table1[[#This Row],[Low Tol]]</f>
        <v>#VALUE!</v>
      </c>
      <c r="R2737" s="1">
        <f>2*Table1[[#This Row],[Std Error]]</f>
        <v>0</v>
      </c>
      <c r="S2737" s="1" t="str">
        <f>IF(Table1[[#This Row],[High Tol]]="","N/A",IFERROR(ABS(Table1[[#This Row],[Tol Span]]/Table1[[#This Row],[Error Span]]),"N/A"))</f>
        <v>N/A</v>
      </c>
      <c r="T2737" s="1" t="str">
        <f>IF(OR(Table1[[#This Row],[Low Tol]]="",Table1[[#This Row],[High Tol]]=""),"Needs Analysis",IF(Table1[[#This Row],[Ratio]]&gt;=4,"Not Significant",IF(Table1[[#This Row],[Ratio]]&gt;=2,"Semi-Significant","Significant")))</f>
        <v>Needs Analysis</v>
      </c>
      <c r="W2737" s="1">
        <f>IF(Table1[[#This Row],[Cal Type]]&lt;&gt;"ACCREDITED 17025 WITH UNCERTAINTIES",0,"")</f>
        <v>0</v>
      </c>
      <c r="X2737" s="1" t="str">
        <f>IF(Table1[[#This Row],[DUT Read]]="","N/A",Table1[[#This Row],[Std Error]]+Table1[[#This Row],[DUT Read]]+Table1[[#This Row],[DUT Ucty]])</f>
        <v>N/A</v>
      </c>
      <c r="Y2737" s="1" t="str">
        <f>IF(Table1[[#This Row],[Std Read]]="","N/A",Table1[[#This Row],[Std Read]]+Table1[[#This Row],[Std Ucty]])</f>
        <v>N/A</v>
      </c>
      <c r="Z27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7" s="1" t="str">
        <f>IF(Table1[[#This Row],[Spec Type]]="","N/A",Table1[[#This Row],[Spec Type]])</f>
        <v>±</v>
      </c>
      <c r="AC2737" s="1" t="str">
        <f>IF(Table1[[#This Row],[Spec Type2]]="N/A","N/A",IF(AND(Table1[[#This Row],[DUT Adj Read]]&gt;=Table1[[#This Row],[Low Tol]],Table1[[#This Row],[DUT Adj Read]]&lt;=Table1[[#This Row],[High Tol]]),"Pass","Fail"))</f>
        <v>Fail</v>
      </c>
      <c r="AD2737" s="1" t="str">
        <f>IF(AND(Table1[[#This Row],[Spec Type2]]="N/A",Table1[[#This Row],[DUT Adj Read]]="N/A",Table1[[#This Row],[Std Adj Read]]="N/A"),"N/A",IF(Table1[[#This Row],[DUT Adj Read]]="N/A",IF(Table1[[#This Row],[Std Adj Read]]&gt;Table1[[#This Row],[Low Tol]],"Pass","Fail"),IF(Table1[[#This Row],[DUT Adj Read]]&gt;Table1[[#This Row],[Low Tol]],"Pass","Fail")))</f>
        <v>Pass</v>
      </c>
      <c r="AE2737" s="1" t="str">
        <f>IF(AND(Table1[[#This Row],[Spec Type2]]="N/A",Table1[[#This Row],[DUT Adj Read]]="N/A",Table1[[#This Row],[Std Adj Read]]="N/A"),"N/A",IF(Table1[[#This Row],[DUT Adj Read]]="N/A",IF(Table1[[#This Row],[Std Adj Read]]&lt;Table1[[#This Row],[High Tol]],"Pass","Fail"),IF(Table1[[#This Row],[DUT Adj Read]]&lt;Table1[[#This Row],[High Tol]],"Pass","Fail")))</f>
        <v>Fail</v>
      </c>
      <c r="AF2737" s="1" t="str">
        <f>IF(AND(Table1[[#This Row],[Spec Type2]]="N/A",Table1[[#This Row],[DUT Adj Read]]="N/A",Table1[[#This Row],[Std Adj Read]]="N/A"),"N/A",IF(Table1[[#This Row],[DUT Adj Read]]="N/A",IF(Table1[[#This Row],[Std Adj Read]]&gt;=Table1[[#This Row],[Low Tol]],"Pass","Fail"),IF(Table1[[#This Row],[DUT Adj Read]]&gt;=Table1[[#This Row],[Low Tol]],"Pass","Fail")))</f>
        <v>Pass</v>
      </c>
      <c r="AG2737" s="1" t="str">
        <f>IF(AND(Table1[[#This Row],[Spec Type2]]="N/A",Table1[[#This Row],[DUT Adj Read]]="N/A",Table1[[#This Row],[Std Adj Read]]="N/A"),"N/A",IF(Table1[[#This Row],[DUT Adj Read]]="N/A",IF(Table1[[#This Row],[Std Adj Read]]&lt;=Table1[[#This Row],[High Tol]],"Pass","Fail"),IF(Table1[[#This Row],[DUT Adj Read]]&lt;=Table1[[#This Row],[High Tol]],"Pass","Fail")))</f>
        <v>Fail</v>
      </c>
      <c r="AH27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7" s="1" t="b">
        <v>0</v>
      </c>
      <c r="AN2737" s="1" t="b">
        <v>0</v>
      </c>
      <c r="AO2737" s="1" t="b">
        <v>0</v>
      </c>
    </row>
    <row r="2738" spans="1:41" x14ac:dyDescent="0.25">
      <c r="A2738" s="10"/>
      <c r="B2738" s="10"/>
      <c r="C2738" s="10"/>
      <c r="D2738" s="10"/>
      <c r="E2738" s="10"/>
      <c r="F2738" s="10"/>
      <c r="G2738" s="10"/>
      <c r="H2738" s="10"/>
      <c r="I2738" s="1" t="str">
        <f t="shared" si="126"/>
        <v/>
      </c>
      <c r="J2738" s="1" t="s">
        <v>35</v>
      </c>
      <c r="K2738" s="1" t="str">
        <f t="shared" si="127"/>
        <v/>
      </c>
      <c r="L2738" s="1" t="str">
        <f t="shared" si="128"/>
        <v/>
      </c>
      <c r="M2738" s="1">
        <f>IF(OR(Table1[[#This Row],[Std Nom]]="",Table1[[#This Row],[Std Read]]=""),0,Table1[[#This Row],[Std Nom]]-Table1[[#This Row],[Std Read]])</f>
        <v>0</v>
      </c>
      <c r="N2738" s="1">
        <f>IF(Calculations!$F$5="ACCREDITED 17025 WITH UNCERTAINTIES",$N$10,0)</f>
        <v>0</v>
      </c>
      <c r="O2738" s="1" t="str">
        <f>IFERROR(Table1[[#This Row],[Std Nom]]-(_xlfn.XLOOKUP(Table1[[#This Row],[Manufacturer]]&amp;" "&amp;Table1[[#This Row],[Model]],Table13[MFR &amp; MDL],Table13[Tolerance % CW ],"")/100*Table1[[#This Row],[Std Nom]]),"")</f>
        <v/>
      </c>
      <c r="P2738" s="1" t="str">
        <f>IFERROR(Table1[[#This Row],[Std Nom]]+(_xlfn.XLOOKUP(Table1[[#This Row],[Manufacturer]]&amp;" "&amp;Table1[[#This Row],[Model]],Table13[MFR &amp; MDL],Table13[Tolerance % CW ],"")/100*Table1[[#This Row],[Std Nom]]),"")</f>
        <v/>
      </c>
      <c r="Q2738" s="1" t="e">
        <f>Table1[[#This Row],[High Tol]]-Table1[[#This Row],[Low Tol]]</f>
        <v>#VALUE!</v>
      </c>
      <c r="R2738" s="1">
        <f>2*Table1[[#This Row],[Std Error]]</f>
        <v>0</v>
      </c>
      <c r="S2738" s="1" t="str">
        <f>IF(Table1[[#This Row],[High Tol]]="","N/A",IFERROR(ABS(Table1[[#This Row],[Tol Span]]/Table1[[#This Row],[Error Span]]),"N/A"))</f>
        <v>N/A</v>
      </c>
      <c r="T2738" s="1" t="str">
        <f>IF(OR(Table1[[#This Row],[Low Tol]]="",Table1[[#This Row],[High Tol]]=""),"Needs Analysis",IF(Table1[[#This Row],[Ratio]]&gt;=4,"Not Significant",IF(Table1[[#This Row],[Ratio]]&gt;=2,"Semi-Significant","Significant")))</f>
        <v>Needs Analysis</v>
      </c>
      <c r="W2738" s="1">
        <f>IF(Table1[[#This Row],[Cal Type]]&lt;&gt;"ACCREDITED 17025 WITH UNCERTAINTIES",0,"")</f>
        <v>0</v>
      </c>
      <c r="X2738" s="1" t="str">
        <f>IF(Table1[[#This Row],[DUT Read]]="","N/A",Table1[[#This Row],[Std Error]]+Table1[[#This Row],[DUT Read]]+Table1[[#This Row],[DUT Ucty]])</f>
        <v>N/A</v>
      </c>
      <c r="Y2738" s="1" t="str">
        <f>IF(Table1[[#This Row],[Std Read]]="","N/A",Table1[[#This Row],[Std Read]]+Table1[[#This Row],[Std Ucty]])</f>
        <v>N/A</v>
      </c>
      <c r="Z27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8" s="1" t="str">
        <f>IF(Table1[[#This Row],[Spec Type]]="","N/A",Table1[[#This Row],[Spec Type]])</f>
        <v>±</v>
      </c>
      <c r="AC2738" s="1" t="str">
        <f>IF(Table1[[#This Row],[Spec Type2]]="N/A","N/A",IF(AND(Table1[[#This Row],[DUT Adj Read]]&gt;=Table1[[#This Row],[Low Tol]],Table1[[#This Row],[DUT Adj Read]]&lt;=Table1[[#This Row],[High Tol]]),"Pass","Fail"))</f>
        <v>Fail</v>
      </c>
      <c r="AD2738" s="1" t="str">
        <f>IF(AND(Table1[[#This Row],[Spec Type2]]="N/A",Table1[[#This Row],[DUT Adj Read]]="N/A",Table1[[#This Row],[Std Adj Read]]="N/A"),"N/A",IF(Table1[[#This Row],[DUT Adj Read]]="N/A",IF(Table1[[#This Row],[Std Adj Read]]&gt;Table1[[#This Row],[Low Tol]],"Pass","Fail"),IF(Table1[[#This Row],[DUT Adj Read]]&gt;Table1[[#This Row],[Low Tol]],"Pass","Fail")))</f>
        <v>Pass</v>
      </c>
      <c r="AE2738" s="1" t="str">
        <f>IF(AND(Table1[[#This Row],[Spec Type2]]="N/A",Table1[[#This Row],[DUT Adj Read]]="N/A",Table1[[#This Row],[Std Adj Read]]="N/A"),"N/A",IF(Table1[[#This Row],[DUT Adj Read]]="N/A",IF(Table1[[#This Row],[Std Adj Read]]&lt;Table1[[#This Row],[High Tol]],"Pass","Fail"),IF(Table1[[#This Row],[DUT Adj Read]]&lt;Table1[[#This Row],[High Tol]],"Pass","Fail")))</f>
        <v>Fail</v>
      </c>
      <c r="AF2738" s="1" t="str">
        <f>IF(AND(Table1[[#This Row],[Spec Type2]]="N/A",Table1[[#This Row],[DUT Adj Read]]="N/A",Table1[[#This Row],[Std Adj Read]]="N/A"),"N/A",IF(Table1[[#This Row],[DUT Adj Read]]="N/A",IF(Table1[[#This Row],[Std Adj Read]]&gt;=Table1[[#This Row],[Low Tol]],"Pass","Fail"),IF(Table1[[#This Row],[DUT Adj Read]]&gt;=Table1[[#This Row],[Low Tol]],"Pass","Fail")))</f>
        <v>Pass</v>
      </c>
      <c r="AG2738" s="1" t="str">
        <f>IF(AND(Table1[[#This Row],[Spec Type2]]="N/A",Table1[[#This Row],[DUT Adj Read]]="N/A",Table1[[#This Row],[Std Adj Read]]="N/A"),"N/A",IF(Table1[[#This Row],[DUT Adj Read]]="N/A",IF(Table1[[#This Row],[Std Adj Read]]&lt;=Table1[[#This Row],[High Tol]],"Pass","Fail"),IF(Table1[[#This Row],[DUT Adj Read]]&lt;=Table1[[#This Row],[High Tol]],"Pass","Fail")))</f>
        <v>Fail</v>
      </c>
      <c r="AH27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8" s="1" t="b">
        <v>0</v>
      </c>
      <c r="AN2738" s="1" t="b">
        <v>0</v>
      </c>
      <c r="AO2738" s="1" t="b">
        <v>0</v>
      </c>
    </row>
    <row r="2739" spans="1:41" x14ac:dyDescent="0.25">
      <c r="A2739" s="10"/>
      <c r="B2739" s="10"/>
      <c r="C2739" s="10"/>
      <c r="D2739" s="10"/>
      <c r="E2739" s="10"/>
      <c r="F2739" s="10"/>
      <c r="G2739" s="10"/>
      <c r="H2739" s="10"/>
      <c r="I2739" s="1" t="str">
        <f t="shared" si="126"/>
        <v/>
      </c>
      <c r="J2739" s="1" t="s">
        <v>35</v>
      </c>
      <c r="K2739" s="1" t="str">
        <f t="shared" si="127"/>
        <v/>
      </c>
      <c r="L2739" s="1" t="str">
        <f t="shared" si="128"/>
        <v/>
      </c>
      <c r="M2739" s="1">
        <f>IF(OR(Table1[[#This Row],[Std Nom]]="",Table1[[#This Row],[Std Read]]=""),0,Table1[[#This Row],[Std Nom]]-Table1[[#This Row],[Std Read]])</f>
        <v>0</v>
      </c>
      <c r="N2739" s="1">
        <f>IF(Calculations!$F$5="ACCREDITED 17025 WITH UNCERTAINTIES",$N$10,0)</f>
        <v>0</v>
      </c>
      <c r="O2739" s="1" t="str">
        <f>IFERROR(Table1[[#This Row],[Std Nom]]-(_xlfn.XLOOKUP(Table1[[#This Row],[Manufacturer]]&amp;" "&amp;Table1[[#This Row],[Model]],Table13[MFR &amp; MDL],Table13[Tolerance % CW ],"")/100*Table1[[#This Row],[Std Nom]]),"")</f>
        <v/>
      </c>
      <c r="P2739" s="1" t="str">
        <f>IFERROR(Table1[[#This Row],[Std Nom]]+(_xlfn.XLOOKUP(Table1[[#This Row],[Manufacturer]]&amp;" "&amp;Table1[[#This Row],[Model]],Table13[MFR &amp; MDL],Table13[Tolerance % CW ],"")/100*Table1[[#This Row],[Std Nom]]),"")</f>
        <v/>
      </c>
      <c r="Q2739" s="1" t="e">
        <f>Table1[[#This Row],[High Tol]]-Table1[[#This Row],[Low Tol]]</f>
        <v>#VALUE!</v>
      </c>
      <c r="R2739" s="1">
        <f>2*Table1[[#This Row],[Std Error]]</f>
        <v>0</v>
      </c>
      <c r="S2739" s="1" t="str">
        <f>IF(Table1[[#This Row],[High Tol]]="","N/A",IFERROR(ABS(Table1[[#This Row],[Tol Span]]/Table1[[#This Row],[Error Span]]),"N/A"))</f>
        <v>N/A</v>
      </c>
      <c r="T2739" s="1" t="str">
        <f>IF(OR(Table1[[#This Row],[Low Tol]]="",Table1[[#This Row],[High Tol]]=""),"Needs Analysis",IF(Table1[[#This Row],[Ratio]]&gt;=4,"Not Significant",IF(Table1[[#This Row],[Ratio]]&gt;=2,"Semi-Significant","Significant")))</f>
        <v>Needs Analysis</v>
      </c>
      <c r="W2739" s="1">
        <f>IF(Table1[[#This Row],[Cal Type]]&lt;&gt;"ACCREDITED 17025 WITH UNCERTAINTIES",0,"")</f>
        <v>0</v>
      </c>
      <c r="X2739" s="1" t="str">
        <f>IF(Table1[[#This Row],[DUT Read]]="","N/A",Table1[[#This Row],[Std Error]]+Table1[[#This Row],[DUT Read]]+Table1[[#This Row],[DUT Ucty]])</f>
        <v>N/A</v>
      </c>
      <c r="Y2739" s="1" t="str">
        <f>IF(Table1[[#This Row],[Std Read]]="","N/A",Table1[[#This Row],[Std Read]]+Table1[[#This Row],[Std Ucty]])</f>
        <v>N/A</v>
      </c>
      <c r="Z27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9" s="1" t="str">
        <f>IF(Table1[[#This Row],[Spec Type]]="","N/A",Table1[[#This Row],[Spec Type]])</f>
        <v>±</v>
      </c>
      <c r="AC2739" s="1" t="str">
        <f>IF(Table1[[#This Row],[Spec Type2]]="N/A","N/A",IF(AND(Table1[[#This Row],[DUT Adj Read]]&gt;=Table1[[#This Row],[Low Tol]],Table1[[#This Row],[DUT Adj Read]]&lt;=Table1[[#This Row],[High Tol]]),"Pass","Fail"))</f>
        <v>Fail</v>
      </c>
      <c r="AD2739" s="1" t="str">
        <f>IF(AND(Table1[[#This Row],[Spec Type2]]="N/A",Table1[[#This Row],[DUT Adj Read]]="N/A",Table1[[#This Row],[Std Adj Read]]="N/A"),"N/A",IF(Table1[[#This Row],[DUT Adj Read]]="N/A",IF(Table1[[#This Row],[Std Adj Read]]&gt;Table1[[#This Row],[Low Tol]],"Pass","Fail"),IF(Table1[[#This Row],[DUT Adj Read]]&gt;Table1[[#This Row],[Low Tol]],"Pass","Fail")))</f>
        <v>Pass</v>
      </c>
      <c r="AE2739" s="1" t="str">
        <f>IF(AND(Table1[[#This Row],[Spec Type2]]="N/A",Table1[[#This Row],[DUT Adj Read]]="N/A",Table1[[#This Row],[Std Adj Read]]="N/A"),"N/A",IF(Table1[[#This Row],[DUT Adj Read]]="N/A",IF(Table1[[#This Row],[Std Adj Read]]&lt;Table1[[#This Row],[High Tol]],"Pass","Fail"),IF(Table1[[#This Row],[DUT Adj Read]]&lt;Table1[[#This Row],[High Tol]],"Pass","Fail")))</f>
        <v>Fail</v>
      </c>
      <c r="AF2739" s="1" t="str">
        <f>IF(AND(Table1[[#This Row],[Spec Type2]]="N/A",Table1[[#This Row],[DUT Adj Read]]="N/A",Table1[[#This Row],[Std Adj Read]]="N/A"),"N/A",IF(Table1[[#This Row],[DUT Adj Read]]="N/A",IF(Table1[[#This Row],[Std Adj Read]]&gt;=Table1[[#This Row],[Low Tol]],"Pass","Fail"),IF(Table1[[#This Row],[DUT Adj Read]]&gt;=Table1[[#This Row],[Low Tol]],"Pass","Fail")))</f>
        <v>Pass</v>
      </c>
      <c r="AG2739" s="1" t="str">
        <f>IF(AND(Table1[[#This Row],[Spec Type2]]="N/A",Table1[[#This Row],[DUT Adj Read]]="N/A",Table1[[#This Row],[Std Adj Read]]="N/A"),"N/A",IF(Table1[[#This Row],[DUT Adj Read]]="N/A",IF(Table1[[#This Row],[Std Adj Read]]&lt;=Table1[[#This Row],[High Tol]],"Pass","Fail"),IF(Table1[[#This Row],[DUT Adj Read]]&lt;=Table1[[#This Row],[High Tol]],"Pass","Fail")))</f>
        <v>Fail</v>
      </c>
      <c r="AH27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9" s="1" t="b">
        <v>0</v>
      </c>
      <c r="AN2739" s="1" t="b">
        <v>0</v>
      </c>
      <c r="AO2739" s="1" t="b">
        <v>0</v>
      </c>
    </row>
    <row r="2740" spans="1:41" x14ac:dyDescent="0.25">
      <c r="A2740" s="10"/>
      <c r="B2740" s="10"/>
      <c r="C2740" s="10"/>
      <c r="D2740" s="10"/>
      <c r="E2740" s="10"/>
      <c r="F2740" s="10"/>
      <c r="G2740" s="10"/>
      <c r="H2740" s="10"/>
      <c r="I2740" s="1" t="str">
        <f t="shared" si="126"/>
        <v/>
      </c>
      <c r="J2740" s="1" t="s">
        <v>35</v>
      </c>
      <c r="K2740" s="1" t="str">
        <f t="shared" si="127"/>
        <v/>
      </c>
      <c r="L2740" s="1" t="str">
        <f t="shared" si="128"/>
        <v/>
      </c>
      <c r="M2740" s="1">
        <f>IF(OR(Table1[[#This Row],[Std Nom]]="",Table1[[#This Row],[Std Read]]=""),0,Table1[[#This Row],[Std Nom]]-Table1[[#This Row],[Std Read]])</f>
        <v>0</v>
      </c>
      <c r="N2740" s="1">
        <f>IF(Calculations!$F$5="ACCREDITED 17025 WITH UNCERTAINTIES",$N$10,0)</f>
        <v>0</v>
      </c>
      <c r="O2740" s="1" t="str">
        <f>IFERROR(Table1[[#This Row],[Std Nom]]-(_xlfn.XLOOKUP(Table1[[#This Row],[Manufacturer]]&amp;" "&amp;Table1[[#This Row],[Model]],Table13[MFR &amp; MDL],Table13[Tolerance % CW ],"")/100*Table1[[#This Row],[Std Nom]]),"")</f>
        <v/>
      </c>
      <c r="P2740" s="1" t="str">
        <f>IFERROR(Table1[[#This Row],[Std Nom]]+(_xlfn.XLOOKUP(Table1[[#This Row],[Manufacturer]]&amp;" "&amp;Table1[[#This Row],[Model]],Table13[MFR &amp; MDL],Table13[Tolerance % CW ],"")/100*Table1[[#This Row],[Std Nom]]),"")</f>
        <v/>
      </c>
      <c r="Q2740" s="1" t="e">
        <f>Table1[[#This Row],[High Tol]]-Table1[[#This Row],[Low Tol]]</f>
        <v>#VALUE!</v>
      </c>
      <c r="R2740" s="1">
        <f>2*Table1[[#This Row],[Std Error]]</f>
        <v>0</v>
      </c>
      <c r="S2740" s="1" t="str">
        <f>IF(Table1[[#This Row],[High Tol]]="","N/A",IFERROR(ABS(Table1[[#This Row],[Tol Span]]/Table1[[#This Row],[Error Span]]),"N/A"))</f>
        <v>N/A</v>
      </c>
      <c r="T2740" s="1" t="str">
        <f>IF(OR(Table1[[#This Row],[Low Tol]]="",Table1[[#This Row],[High Tol]]=""),"Needs Analysis",IF(Table1[[#This Row],[Ratio]]&gt;=4,"Not Significant",IF(Table1[[#This Row],[Ratio]]&gt;=2,"Semi-Significant","Significant")))</f>
        <v>Needs Analysis</v>
      </c>
      <c r="W2740" s="1">
        <f>IF(Table1[[#This Row],[Cal Type]]&lt;&gt;"ACCREDITED 17025 WITH UNCERTAINTIES",0,"")</f>
        <v>0</v>
      </c>
      <c r="X2740" s="1" t="str">
        <f>IF(Table1[[#This Row],[DUT Read]]="","N/A",Table1[[#This Row],[Std Error]]+Table1[[#This Row],[DUT Read]]+Table1[[#This Row],[DUT Ucty]])</f>
        <v>N/A</v>
      </c>
      <c r="Y2740" s="1" t="str">
        <f>IF(Table1[[#This Row],[Std Read]]="","N/A",Table1[[#This Row],[Std Read]]+Table1[[#This Row],[Std Ucty]])</f>
        <v>N/A</v>
      </c>
      <c r="Z27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0" s="1" t="str">
        <f>IF(Table1[[#This Row],[Spec Type]]="","N/A",Table1[[#This Row],[Spec Type]])</f>
        <v>±</v>
      </c>
      <c r="AC2740" s="1" t="str">
        <f>IF(Table1[[#This Row],[Spec Type2]]="N/A","N/A",IF(AND(Table1[[#This Row],[DUT Adj Read]]&gt;=Table1[[#This Row],[Low Tol]],Table1[[#This Row],[DUT Adj Read]]&lt;=Table1[[#This Row],[High Tol]]),"Pass","Fail"))</f>
        <v>Fail</v>
      </c>
      <c r="AD2740" s="1" t="str">
        <f>IF(AND(Table1[[#This Row],[Spec Type2]]="N/A",Table1[[#This Row],[DUT Adj Read]]="N/A",Table1[[#This Row],[Std Adj Read]]="N/A"),"N/A",IF(Table1[[#This Row],[DUT Adj Read]]="N/A",IF(Table1[[#This Row],[Std Adj Read]]&gt;Table1[[#This Row],[Low Tol]],"Pass","Fail"),IF(Table1[[#This Row],[DUT Adj Read]]&gt;Table1[[#This Row],[Low Tol]],"Pass","Fail")))</f>
        <v>Pass</v>
      </c>
      <c r="AE2740" s="1" t="str">
        <f>IF(AND(Table1[[#This Row],[Spec Type2]]="N/A",Table1[[#This Row],[DUT Adj Read]]="N/A",Table1[[#This Row],[Std Adj Read]]="N/A"),"N/A",IF(Table1[[#This Row],[DUT Adj Read]]="N/A",IF(Table1[[#This Row],[Std Adj Read]]&lt;Table1[[#This Row],[High Tol]],"Pass","Fail"),IF(Table1[[#This Row],[DUT Adj Read]]&lt;Table1[[#This Row],[High Tol]],"Pass","Fail")))</f>
        <v>Fail</v>
      </c>
      <c r="AF2740" s="1" t="str">
        <f>IF(AND(Table1[[#This Row],[Spec Type2]]="N/A",Table1[[#This Row],[DUT Adj Read]]="N/A",Table1[[#This Row],[Std Adj Read]]="N/A"),"N/A",IF(Table1[[#This Row],[DUT Adj Read]]="N/A",IF(Table1[[#This Row],[Std Adj Read]]&gt;=Table1[[#This Row],[Low Tol]],"Pass","Fail"),IF(Table1[[#This Row],[DUT Adj Read]]&gt;=Table1[[#This Row],[Low Tol]],"Pass","Fail")))</f>
        <v>Pass</v>
      </c>
      <c r="AG2740" s="1" t="str">
        <f>IF(AND(Table1[[#This Row],[Spec Type2]]="N/A",Table1[[#This Row],[DUT Adj Read]]="N/A",Table1[[#This Row],[Std Adj Read]]="N/A"),"N/A",IF(Table1[[#This Row],[DUT Adj Read]]="N/A",IF(Table1[[#This Row],[Std Adj Read]]&lt;=Table1[[#This Row],[High Tol]],"Pass","Fail"),IF(Table1[[#This Row],[DUT Adj Read]]&lt;=Table1[[#This Row],[High Tol]],"Pass","Fail")))</f>
        <v>Fail</v>
      </c>
      <c r="AH27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0" s="1" t="b">
        <v>0</v>
      </c>
      <c r="AN2740" s="1" t="b">
        <v>0</v>
      </c>
      <c r="AO2740" s="1" t="b">
        <v>0</v>
      </c>
    </row>
    <row r="2741" spans="1:41" x14ac:dyDescent="0.25">
      <c r="A2741" s="10"/>
      <c r="B2741" s="10"/>
      <c r="C2741" s="10"/>
      <c r="D2741" s="10"/>
      <c r="E2741" s="10"/>
      <c r="F2741" s="10"/>
      <c r="G2741" s="10"/>
      <c r="H2741" s="10"/>
      <c r="I2741" s="1" t="str">
        <f t="shared" si="126"/>
        <v/>
      </c>
      <c r="J2741" s="1" t="s">
        <v>35</v>
      </c>
      <c r="K2741" s="1" t="str">
        <f t="shared" si="127"/>
        <v/>
      </c>
      <c r="L2741" s="1" t="str">
        <f t="shared" si="128"/>
        <v/>
      </c>
      <c r="M2741" s="1">
        <f>IF(OR(Table1[[#This Row],[Std Nom]]="",Table1[[#This Row],[Std Read]]=""),0,Table1[[#This Row],[Std Nom]]-Table1[[#This Row],[Std Read]])</f>
        <v>0</v>
      </c>
      <c r="N2741" s="1">
        <f>IF(Calculations!$F$5="ACCREDITED 17025 WITH UNCERTAINTIES",$N$10,0)</f>
        <v>0</v>
      </c>
      <c r="O2741" s="1" t="str">
        <f>IFERROR(Table1[[#This Row],[Std Nom]]-(_xlfn.XLOOKUP(Table1[[#This Row],[Manufacturer]]&amp;" "&amp;Table1[[#This Row],[Model]],Table13[MFR &amp; MDL],Table13[Tolerance % CW ],"")/100*Table1[[#This Row],[Std Nom]]),"")</f>
        <v/>
      </c>
      <c r="P2741" s="1" t="str">
        <f>IFERROR(Table1[[#This Row],[Std Nom]]+(_xlfn.XLOOKUP(Table1[[#This Row],[Manufacturer]]&amp;" "&amp;Table1[[#This Row],[Model]],Table13[MFR &amp; MDL],Table13[Tolerance % CW ],"")/100*Table1[[#This Row],[Std Nom]]),"")</f>
        <v/>
      </c>
      <c r="Q2741" s="1" t="e">
        <f>Table1[[#This Row],[High Tol]]-Table1[[#This Row],[Low Tol]]</f>
        <v>#VALUE!</v>
      </c>
      <c r="R2741" s="1">
        <f>2*Table1[[#This Row],[Std Error]]</f>
        <v>0</v>
      </c>
      <c r="S2741" s="1" t="str">
        <f>IF(Table1[[#This Row],[High Tol]]="","N/A",IFERROR(ABS(Table1[[#This Row],[Tol Span]]/Table1[[#This Row],[Error Span]]),"N/A"))</f>
        <v>N/A</v>
      </c>
      <c r="T2741" s="1" t="str">
        <f>IF(OR(Table1[[#This Row],[Low Tol]]="",Table1[[#This Row],[High Tol]]=""),"Needs Analysis",IF(Table1[[#This Row],[Ratio]]&gt;=4,"Not Significant",IF(Table1[[#This Row],[Ratio]]&gt;=2,"Semi-Significant","Significant")))</f>
        <v>Needs Analysis</v>
      </c>
      <c r="W2741" s="1">
        <f>IF(Table1[[#This Row],[Cal Type]]&lt;&gt;"ACCREDITED 17025 WITH UNCERTAINTIES",0,"")</f>
        <v>0</v>
      </c>
      <c r="X2741" s="1" t="str">
        <f>IF(Table1[[#This Row],[DUT Read]]="","N/A",Table1[[#This Row],[Std Error]]+Table1[[#This Row],[DUT Read]]+Table1[[#This Row],[DUT Ucty]])</f>
        <v>N/A</v>
      </c>
      <c r="Y2741" s="1" t="str">
        <f>IF(Table1[[#This Row],[Std Read]]="","N/A",Table1[[#This Row],[Std Read]]+Table1[[#This Row],[Std Ucty]])</f>
        <v>N/A</v>
      </c>
      <c r="Z27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1" s="1" t="str">
        <f>IF(Table1[[#This Row],[Spec Type]]="","N/A",Table1[[#This Row],[Spec Type]])</f>
        <v>±</v>
      </c>
      <c r="AC2741" s="1" t="str">
        <f>IF(Table1[[#This Row],[Spec Type2]]="N/A","N/A",IF(AND(Table1[[#This Row],[DUT Adj Read]]&gt;=Table1[[#This Row],[Low Tol]],Table1[[#This Row],[DUT Adj Read]]&lt;=Table1[[#This Row],[High Tol]]),"Pass","Fail"))</f>
        <v>Fail</v>
      </c>
      <c r="AD2741" s="1" t="str">
        <f>IF(AND(Table1[[#This Row],[Spec Type2]]="N/A",Table1[[#This Row],[DUT Adj Read]]="N/A",Table1[[#This Row],[Std Adj Read]]="N/A"),"N/A",IF(Table1[[#This Row],[DUT Adj Read]]="N/A",IF(Table1[[#This Row],[Std Adj Read]]&gt;Table1[[#This Row],[Low Tol]],"Pass","Fail"),IF(Table1[[#This Row],[DUT Adj Read]]&gt;Table1[[#This Row],[Low Tol]],"Pass","Fail")))</f>
        <v>Pass</v>
      </c>
      <c r="AE2741" s="1" t="str">
        <f>IF(AND(Table1[[#This Row],[Spec Type2]]="N/A",Table1[[#This Row],[DUT Adj Read]]="N/A",Table1[[#This Row],[Std Adj Read]]="N/A"),"N/A",IF(Table1[[#This Row],[DUT Adj Read]]="N/A",IF(Table1[[#This Row],[Std Adj Read]]&lt;Table1[[#This Row],[High Tol]],"Pass","Fail"),IF(Table1[[#This Row],[DUT Adj Read]]&lt;Table1[[#This Row],[High Tol]],"Pass","Fail")))</f>
        <v>Fail</v>
      </c>
      <c r="AF2741" s="1" t="str">
        <f>IF(AND(Table1[[#This Row],[Spec Type2]]="N/A",Table1[[#This Row],[DUT Adj Read]]="N/A",Table1[[#This Row],[Std Adj Read]]="N/A"),"N/A",IF(Table1[[#This Row],[DUT Adj Read]]="N/A",IF(Table1[[#This Row],[Std Adj Read]]&gt;=Table1[[#This Row],[Low Tol]],"Pass","Fail"),IF(Table1[[#This Row],[DUT Adj Read]]&gt;=Table1[[#This Row],[Low Tol]],"Pass","Fail")))</f>
        <v>Pass</v>
      </c>
      <c r="AG2741" s="1" t="str">
        <f>IF(AND(Table1[[#This Row],[Spec Type2]]="N/A",Table1[[#This Row],[DUT Adj Read]]="N/A",Table1[[#This Row],[Std Adj Read]]="N/A"),"N/A",IF(Table1[[#This Row],[DUT Adj Read]]="N/A",IF(Table1[[#This Row],[Std Adj Read]]&lt;=Table1[[#This Row],[High Tol]],"Pass","Fail"),IF(Table1[[#This Row],[DUT Adj Read]]&lt;=Table1[[#This Row],[High Tol]],"Pass","Fail")))</f>
        <v>Fail</v>
      </c>
      <c r="AH27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1" s="1" t="b">
        <v>0</v>
      </c>
      <c r="AN2741" s="1" t="b">
        <v>0</v>
      </c>
      <c r="AO2741" s="1" t="b">
        <v>0</v>
      </c>
    </row>
    <row r="2742" spans="1:41" x14ac:dyDescent="0.25">
      <c r="A2742" s="10"/>
      <c r="B2742" s="10"/>
      <c r="C2742" s="10"/>
      <c r="D2742" s="10"/>
      <c r="E2742" s="10"/>
      <c r="F2742" s="10"/>
      <c r="G2742" s="10"/>
      <c r="H2742" s="10"/>
      <c r="I2742" s="1" t="str">
        <f t="shared" si="126"/>
        <v/>
      </c>
      <c r="J2742" s="1" t="s">
        <v>35</v>
      </c>
      <c r="K2742" s="1" t="str">
        <f t="shared" si="127"/>
        <v/>
      </c>
      <c r="L2742" s="1" t="str">
        <f t="shared" si="128"/>
        <v/>
      </c>
      <c r="M2742" s="1">
        <f>IF(OR(Table1[[#This Row],[Std Nom]]="",Table1[[#This Row],[Std Read]]=""),0,Table1[[#This Row],[Std Nom]]-Table1[[#This Row],[Std Read]])</f>
        <v>0</v>
      </c>
      <c r="N2742" s="1">
        <f>IF(Calculations!$F$5="ACCREDITED 17025 WITH UNCERTAINTIES",$N$10,0)</f>
        <v>0</v>
      </c>
      <c r="O2742" s="1" t="str">
        <f>IFERROR(Table1[[#This Row],[Std Nom]]-(_xlfn.XLOOKUP(Table1[[#This Row],[Manufacturer]]&amp;" "&amp;Table1[[#This Row],[Model]],Table13[MFR &amp; MDL],Table13[Tolerance % CW ],"")/100*Table1[[#This Row],[Std Nom]]),"")</f>
        <v/>
      </c>
      <c r="P2742" s="1" t="str">
        <f>IFERROR(Table1[[#This Row],[Std Nom]]+(_xlfn.XLOOKUP(Table1[[#This Row],[Manufacturer]]&amp;" "&amp;Table1[[#This Row],[Model]],Table13[MFR &amp; MDL],Table13[Tolerance % CW ],"")/100*Table1[[#This Row],[Std Nom]]),"")</f>
        <v/>
      </c>
      <c r="Q2742" s="1" t="e">
        <f>Table1[[#This Row],[High Tol]]-Table1[[#This Row],[Low Tol]]</f>
        <v>#VALUE!</v>
      </c>
      <c r="R2742" s="1">
        <f>2*Table1[[#This Row],[Std Error]]</f>
        <v>0</v>
      </c>
      <c r="S2742" s="1" t="str">
        <f>IF(Table1[[#This Row],[High Tol]]="","N/A",IFERROR(ABS(Table1[[#This Row],[Tol Span]]/Table1[[#This Row],[Error Span]]),"N/A"))</f>
        <v>N/A</v>
      </c>
      <c r="T2742" s="1" t="str">
        <f>IF(OR(Table1[[#This Row],[Low Tol]]="",Table1[[#This Row],[High Tol]]=""),"Needs Analysis",IF(Table1[[#This Row],[Ratio]]&gt;=4,"Not Significant",IF(Table1[[#This Row],[Ratio]]&gt;=2,"Semi-Significant","Significant")))</f>
        <v>Needs Analysis</v>
      </c>
      <c r="W2742" s="1">
        <f>IF(Table1[[#This Row],[Cal Type]]&lt;&gt;"ACCREDITED 17025 WITH UNCERTAINTIES",0,"")</f>
        <v>0</v>
      </c>
      <c r="X2742" s="1" t="str">
        <f>IF(Table1[[#This Row],[DUT Read]]="","N/A",Table1[[#This Row],[Std Error]]+Table1[[#This Row],[DUT Read]]+Table1[[#This Row],[DUT Ucty]])</f>
        <v>N/A</v>
      </c>
      <c r="Y2742" s="1" t="str">
        <f>IF(Table1[[#This Row],[Std Read]]="","N/A",Table1[[#This Row],[Std Read]]+Table1[[#This Row],[Std Ucty]])</f>
        <v>N/A</v>
      </c>
      <c r="Z27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2" s="1" t="str">
        <f>IF(Table1[[#This Row],[Spec Type]]="","N/A",Table1[[#This Row],[Spec Type]])</f>
        <v>±</v>
      </c>
      <c r="AC2742" s="1" t="str">
        <f>IF(Table1[[#This Row],[Spec Type2]]="N/A","N/A",IF(AND(Table1[[#This Row],[DUT Adj Read]]&gt;=Table1[[#This Row],[Low Tol]],Table1[[#This Row],[DUT Adj Read]]&lt;=Table1[[#This Row],[High Tol]]),"Pass","Fail"))</f>
        <v>Fail</v>
      </c>
      <c r="AD2742" s="1" t="str">
        <f>IF(AND(Table1[[#This Row],[Spec Type2]]="N/A",Table1[[#This Row],[DUT Adj Read]]="N/A",Table1[[#This Row],[Std Adj Read]]="N/A"),"N/A",IF(Table1[[#This Row],[DUT Adj Read]]="N/A",IF(Table1[[#This Row],[Std Adj Read]]&gt;Table1[[#This Row],[Low Tol]],"Pass","Fail"),IF(Table1[[#This Row],[DUT Adj Read]]&gt;Table1[[#This Row],[Low Tol]],"Pass","Fail")))</f>
        <v>Pass</v>
      </c>
      <c r="AE2742" s="1" t="str">
        <f>IF(AND(Table1[[#This Row],[Spec Type2]]="N/A",Table1[[#This Row],[DUT Adj Read]]="N/A",Table1[[#This Row],[Std Adj Read]]="N/A"),"N/A",IF(Table1[[#This Row],[DUT Adj Read]]="N/A",IF(Table1[[#This Row],[Std Adj Read]]&lt;Table1[[#This Row],[High Tol]],"Pass","Fail"),IF(Table1[[#This Row],[DUT Adj Read]]&lt;Table1[[#This Row],[High Tol]],"Pass","Fail")))</f>
        <v>Fail</v>
      </c>
      <c r="AF2742" s="1" t="str">
        <f>IF(AND(Table1[[#This Row],[Spec Type2]]="N/A",Table1[[#This Row],[DUT Adj Read]]="N/A",Table1[[#This Row],[Std Adj Read]]="N/A"),"N/A",IF(Table1[[#This Row],[DUT Adj Read]]="N/A",IF(Table1[[#This Row],[Std Adj Read]]&gt;=Table1[[#This Row],[Low Tol]],"Pass","Fail"),IF(Table1[[#This Row],[DUT Adj Read]]&gt;=Table1[[#This Row],[Low Tol]],"Pass","Fail")))</f>
        <v>Pass</v>
      </c>
      <c r="AG2742" s="1" t="str">
        <f>IF(AND(Table1[[#This Row],[Spec Type2]]="N/A",Table1[[#This Row],[DUT Adj Read]]="N/A",Table1[[#This Row],[Std Adj Read]]="N/A"),"N/A",IF(Table1[[#This Row],[DUT Adj Read]]="N/A",IF(Table1[[#This Row],[Std Adj Read]]&lt;=Table1[[#This Row],[High Tol]],"Pass","Fail"),IF(Table1[[#This Row],[DUT Adj Read]]&lt;=Table1[[#This Row],[High Tol]],"Pass","Fail")))</f>
        <v>Fail</v>
      </c>
      <c r="AH27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2" s="1" t="b">
        <v>0</v>
      </c>
      <c r="AN2742" s="1" t="b">
        <v>0</v>
      </c>
      <c r="AO2742" s="1" t="b">
        <v>0</v>
      </c>
    </row>
    <row r="2743" spans="1:41" x14ac:dyDescent="0.25">
      <c r="A2743" s="10"/>
      <c r="B2743" s="10"/>
      <c r="C2743" s="10"/>
      <c r="D2743" s="10"/>
      <c r="E2743" s="10"/>
      <c r="F2743" s="10"/>
      <c r="G2743" s="10"/>
      <c r="H2743" s="10"/>
      <c r="I2743" s="1" t="str">
        <f t="shared" si="126"/>
        <v/>
      </c>
      <c r="J2743" s="1" t="s">
        <v>35</v>
      </c>
      <c r="K2743" s="1" t="str">
        <f t="shared" si="127"/>
        <v/>
      </c>
      <c r="L2743" s="1" t="str">
        <f t="shared" si="128"/>
        <v/>
      </c>
      <c r="M2743" s="1">
        <f>IF(OR(Table1[[#This Row],[Std Nom]]="",Table1[[#This Row],[Std Read]]=""),0,Table1[[#This Row],[Std Nom]]-Table1[[#This Row],[Std Read]])</f>
        <v>0</v>
      </c>
      <c r="N2743" s="1">
        <f>IF(Calculations!$F$5="ACCREDITED 17025 WITH UNCERTAINTIES",$N$10,0)</f>
        <v>0</v>
      </c>
      <c r="O2743" s="1" t="str">
        <f>IFERROR(Table1[[#This Row],[Std Nom]]-(_xlfn.XLOOKUP(Table1[[#This Row],[Manufacturer]]&amp;" "&amp;Table1[[#This Row],[Model]],Table13[MFR &amp; MDL],Table13[Tolerance % CW ],"")/100*Table1[[#This Row],[Std Nom]]),"")</f>
        <v/>
      </c>
      <c r="P2743" s="1" t="str">
        <f>IFERROR(Table1[[#This Row],[Std Nom]]+(_xlfn.XLOOKUP(Table1[[#This Row],[Manufacturer]]&amp;" "&amp;Table1[[#This Row],[Model]],Table13[MFR &amp; MDL],Table13[Tolerance % CW ],"")/100*Table1[[#This Row],[Std Nom]]),"")</f>
        <v/>
      </c>
      <c r="Q2743" s="1" t="e">
        <f>Table1[[#This Row],[High Tol]]-Table1[[#This Row],[Low Tol]]</f>
        <v>#VALUE!</v>
      </c>
      <c r="R2743" s="1">
        <f>2*Table1[[#This Row],[Std Error]]</f>
        <v>0</v>
      </c>
      <c r="S2743" s="1" t="str">
        <f>IF(Table1[[#This Row],[High Tol]]="","N/A",IFERROR(ABS(Table1[[#This Row],[Tol Span]]/Table1[[#This Row],[Error Span]]),"N/A"))</f>
        <v>N/A</v>
      </c>
      <c r="T2743" s="1" t="str">
        <f>IF(OR(Table1[[#This Row],[Low Tol]]="",Table1[[#This Row],[High Tol]]=""),"Needs Analysis",IF(Table1[[#This Row],[Ratio]]&gt;=4,"Not Significant",IF(Table1[[#This Row],[Ratio]]&gt;=2,"Semi-Significant","Significant")))</f>
        <v>Needs Analysis</v>
      </c>
      <c r="W2743" s="1">
        <f>IF(Table1[[#This Row],[Cal Type]]&lt;&gt;"ACCREDITED 17025 WITH UNCERTAINTIES",0,"")</f>
        <v>0</v>
      </c>
      <c r="X2743" s="1" t="str">
        <f>IF(Table1[[#This Row],[DUT Read]]="","N/A",Table1[[#This Row],[Std Error]]+Table1[[#This Row],[DUT Read]]+Table1[[#This Row],[DUT Ucty]])</f>
        <v>N/A</v>
      </c>
      <c r="Y2743" s="1" t="str">
        <f>IF(Table1[[#This Row],[Std Read]]="","N/A",Table1[[#This Row],[Std Read]]+Table1[[#This Row],[Std Ucty]])</f>
        <v>N/A</v>
      </c>
      <c r="Z27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3" s="1" t="str">
        <f>IF(Table1[[#This Row],[Spec Type]]="","N/A",Table1[[#This Row],[Spec Type]])</f>
        <v>±</v>
      </c>
      <c r="AC2743" s="1" t="str">
        <f>IF(Table1[[#This Row],[Spec Type2]]="N/A","N/A",IF(AND(Table1[[#This Row],[DUT Adj Read]]&gt;=Table1[[#This Row],[Low Tol]],Table1[[#This Row],[DUT Adj Read]]&lt;=Table1[[#This Row],[High Tol]]),"Pass","Fail"))</f>
        <v>Fail</v>
      </c>
      <c r="AD2743" s="1" t="str">
        <f>IF(AND(Table1[[#This Row],[Spec Type2]]="N/A",Table1[[#This Row],[DUT Adj Read]]="N/A",Table1[[#This Row],[Std Adj Read]]="N/A"),"N/A",IF(Table1[[#This Row],[DUT Adj Read]]="N/A",IF(Table1[[#This Row],[Std Adj Read]]&gt;Table1[[#This Row],[Low Tol]],"Pass","Fail"),IF(Table1[[#This Row],[DUT Adj Read]]&gt;Table1[[#This Row],[Low Tol]],"Pass","Fail")))</f>
        <v>Pass</v>
      </c>
      <c r="AE2743" s="1" t="str">
        <f>IF(AND(Table1[[#This Row],[Spec Type2]]="N/A",Table1[[#This Row],[DUT Adj Read]]="N/A",Table1[[#This Row],[Std Adj Read]]="N/A"),"N/A",IF(Table1[[#This Row],[DUT Adj Read]]="N/A",IF(Table1[[#This Row],[Std Adj Read]]&lt;Table1[[#This Row],[High Tol]],"Pass","Fail"),IF(Table1[[#This Row],[DUT Adj Read]]&lt;Table1[[#This Row],[High Tol]],"Pass","Fail")))</f>
        <v>Fail</v>
      </c>
      <c r="AF2743" s="1" t="str">
        <f>IF(AND(Table1[[#This Row],[Spec Type2]]="N/A",Table1[[#This Row],[DUT Adj Read]]="N/A",Table1[[#This Row],[Std Adj Read]]="N/A"),"N/A",IF(Table1[[#This Row],[DUT Adj Read]]="N/A",IF(Table1[[#This Row],[Std Adj Read]]&gt;=Table1[[#This Row],[Low Tol]],"Pass","Fail"),IF(Table1[[#This Row],[DUT Adj Read]]&gt;=Table1[[#This Row],[Low Tol]],"Pass","Fail")))</f>
        <v>Pass</v>
      </c>
      <c r="AG2743" s="1" t="str">
        <f>IF(AND(Table1[[#This Row],[Spec Type2]]="N/A",Table1[[#This Row],[DUT Adj Read]]="N/A",Table1[[#This Row],[Std Adj Read]]="N/A"),"N/A",IF(Table1[[#This Row],[DUT Adj Read]]="N/A",IF(Table1[[#This Row],[Std Adj Read]]&lt;=Table1[[#This Row],[High Tol]],"Pass","Fail"),IF(Table1[[#This Row],[DUT Adj Read]]&lt;=Table1[[#This Row],[High Tol]],"Pass","Fail")))</f>
        <v>Fail</v>
      </c>
      <c r="AH27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3" s="1" t="b">
        <v>0</v>
      </c>
      <c r="AN2743" s="1" t="b">
        <v>0</v>
      </c>
      <c r="AO2743" s="1" t="b">
        <v>0</v>
      </c>
    </row>
    <row r="2744" spans="1:41" x14ac:dyDescent="0.25">
      <c r="A2744" s="10"/>
      <c r="B2744" s="10"/>
      <c r="C2744" s="10"/>
      <c r="D2744" s="10"/>
      <c r="E2744" s="10"/>
      <c r="F2744" s="10"/>
      <c r="G2744" s="10"/>
      <c r="H2744" s="10"/>
      <c r="I2744" s="1" t="str">
        <f t="shared" si="126"/>
        <v/>
      </c>
      <c r="J2744" s="1" t="s">
        <v>35</v>
      </c>
      <c r="K2744" s="1" t="str">
        <f t="shared" si="127"/>
        <v/>
      </c>
      <c r="L2744" s="1" t="str">
        <f t="shared" si="128"/>
        <v/>
      </c>
      <c r="M2744" s="1">
        <f>IF(OR(Table1[[#This Row],[Std Nom]]="",Table1[[#This Row],[Std Read]]=""),0,Table1[[#This Row],[Std Nom]]-Table1[[#This Row],[Std Read]])</f>
        <v>0</v>
      </c>
      <c r="N2744" s="1">
        <f>IF(Calculations!$F$5="ACCREDITED 17025 WITH UNCERTAINTIES",$N$10,0)</f>
        <v>0</v>
      </c>
      <c r="O2744" s="1" t="str">
        <f>IFERROR(Table1[[#This Row],[Std Nom]]-(_xlfn.XLOOKUP(Table1[[#This Row],[Manufacturer]]&amp;" "&amp;Table1[[#This Row],[Model]],Table13[MFR &amp; MDL],Table13[Tolerance % CW ],"")/100*Table1[[#This Row],[Std Nom]]),"")</f>
        <v/>
      </c>
      <c r="P2744" s="1" t="str">
        <f>IFERROR(Table1[[#This Row],[Std Nom]]+(_xlfn.XLOOKUP(Table1[[#This Row],[Manufacturer]]&amp;" "&amp;Table1[[#This Row],[Model]],Table13[MFR &amp; MDL],Table13[Tolerance % CW ],"")/100*Table1[[#This Row],[Std Nom]]),"")</f>
        <v/>
      </c>
      <c r="Q2744" s="1" t="e">
        <f>Table1[[#This Row],[High Tol]]-Table1[[#This Row],[Low Tol]]</f>
        <v>#VALUE!</v>
      </c>
      <c r="R2744" s="1">
        <f>2*Table1[[#This Row],[Std Error]]</f>
        <v>0</v>
      </c>
      <c r="S2744" s="1" t="str">
        <f>IF(Table1[[#This Row],[High Tol]]="","N/A",IFERROR(ABS(Table1[[#This Row],[Tol Span]]/Table1[[#This Row],[Error Span]]),"N/A"))</f>
        <v>N/A</v>
      </c>
      <c r="T2744" s="1" t="str">
        <f>IF(OR(Table1[[#This Row],[Low Tol]]="",Table1[[#This Row],[High Tol]]=""),"Needs Analysis",IF(Table1[[#This Row],[Ratio]]&gt;=4,"Not Significant",IF(Table1[[#This Row],[Ratio]]&gt;=2,"Semi-Significant","Significant")))</f>
        <v>Needs Analysis</v>
      </c>
      <c r="W2744" s="1">
        <f>IF(Table1[[#This Row],[Cal Type]]&lt;&gt;"ACCREDITED 17025 WITH UNCERTAINTIES",0,"")</f>
        <v>0</v>
      </c>
      <c r="X2744" s="1" t="str">
        <f>IF(Table1[[#This Row],[DUT Read]]="","N/A",Table1[[#This Row],[Std Error]]+Table1[[#This Row],[DUT Read]]+Table1[[#This Row],[DUT Ucty]])</f>
        <v>N/A</v>
      </c>
      <c r="Y2744" s="1" t="str">
        <f>IF(Table1[[#This Row],[Std Read]]="","N/A",Table1[[#This Row],[Std Read]]+Table1[[#This Row],[Std Ucty]])</f>
        <v>N/A</v>
      </c>
      <c r="Z27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4" s="1" t="str">
        <f>IF(Table1[[#This Row],[Spec Type]]="","N/A",Table1[[#This Row],[Spec Type]])</f>
        <v>±</v>
      </c>
      <c r="AC2744" s="1" t="str">
        <f>IF(Table1[[#This Row],[Spec Type2]]="N/A","N/A",IF(AND(Table1[[#This Row],[DUT Adj Read]]&gt;=Table1[[#This Row],[Low Tol]],Table1[[#This Row],[DUT Adj Read]]&lt;=Table1[[#This Row],[High Tol]]),"Pass","Fail"))</f>
        <v>Fail</v>
      </c>
      <c r="AD2744" s="1" t="str">
        <f>IF(AND(Table1[[#This Row],[Spec Type2]]="N/A",Table1[[#This Row],[DUT Adj Read]]="N/A",Table1[[#This Row],[Std Adj Read]]="N/A"),"N/A",IF(Table1[[#This Row],[DUT Adj Read]]="N/A",IF(Table1[[#This Row],[Std Adj Read]]&gt;Table1[[#This Row],[Low Tol]],"Pass","Fail"),IF(Table1[[#This Row],[DUT Adj Read]]&gt;Table1[[#This Row],[Low Tol]],"Pass","Fail")))</f>
        <v>Pass</v>
      </c>
      <c r="AE2744" s="1" t="str">
        <f>IF(AND(Table1[[#This Row],[Spec Type2]]="N/A",Table1[[#This Row],[DUT Adj Read]]="N/A",Table1[[#This Row],[Std Adj Read]]="N/A"),"N/A",IF(Table1[[#This Row],[DUT Adj Read]]="N/A",IF(Table1[[#This Row],[Std Adj Read]]&lt;Table1[[#This Row],[High Tol]],"Pass","Fail"),IF(Table1[[#This Row],[DUT Adj Read]]&lt;Table1[[#This Row],[High Tol]],"Pass","Fail")))</f>
        <v>Fail</v>
      </c>
      <c r="AF2744" s="1" t="str">
        <f>IF(AND(Table1[[#This Row],[Spec Type2]]="N/A",Table1[[#This Row],[DUT Adj Read]]="N/A",Table1[[#This Row],[Std Adj Read]]="N/A"),"N/A",IF(Table1[[#This Row],[DUT Adj Read]]="N/A",IF(Table1[[#This Row],[Std Adj Read]]&gt;=Table1[[#This Row],[Low Tol]],"Pass","Fail"),IF(Table1[[#This Row],[DUT Adj Read]]&gt;=Table1[[#This Row],[Low Tol]],"Pass","Fail")))</f>
        <v>Pass</v>
      </c>
      <c r="AG2744" s="1" t="str">
        <f>IF(AND(Table1[[#This Row],[Spec Type2]]="N/A",Table1[[#This Row],[DUT Adj Read]]="N/A",Table1[[#This Row],[Std Adj Read]]="N/A"),"N/A",IF(Table1[[#This Row],[DUT Adj Read]]="N/A",IF(Table1[[#This Row],[Std Adj Read]]&lt;=Table1[[#This Row],[High Tol]],"Pass","Fail"),IF(Table1[[#This Row],[DUT Adj Read]]&lt;=Table1[[#This Row],[High Tol]],"Pass","Fail")))</f>
        <v>Fail</v>
      </c>
      <c r="AH27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4" s="1" t="b">
        <v>0</v>
      </c>
      <c r="AN2744" s="1" t="b">
        <v>0</v>
      </c>
      <c r="AO2744" s="1" t="b">
        <v>0</v>
      </c>
    </row>
    <row r="2745" spans="1:41" x14ac:dyDescent="0.25">
      <c r="A2745" s="10"/>
      <c r="B2745" s="10"/>
      <c r="C2745" s="10"/>
      <c r="D2745" s="10"/>
      <c r="E2745" s="10"/>
      <c r="F2745" s="10"/>
      <c r="G2745" s="10"/>
      <c r="H2745" s="10"/>
      <c r="I2745" s="1" t="str">
        <f t="shared" si="126"/>
        <v/>
      </c>
      <c r="J2745" s="1" t="s">
        <v>35</v>
      </c>
      <c r="K2745" s="1" t="str">
        <f t="shared" si="127"/>
        <v/>
      </c>
      <c r="L2745" s="1" t="str">
        <f t="shared" si="128"/>
        <v/>
      </c>
      <c r="M2745" s="1">
        <f>IF(OR(Table1[[#This Row],[Std Nom]]="",Table1[[#This Row],[Std Read]]=""),0,Table1[[#This Row],[Std Nom]]-Table1[[#This Row],[Std Read]])</f>
        <v>0</v>
      </c>
      <c r="N2745" s="1">
        <f>IF(Calculations!$F$5="ACCREDITED 17025 WITH UNCERTAINTIES",$N$10,0)</f>
        <v>0</v>
      </c>
      <c r="O2745" s="1" t="str">
        <f>IFERROR(Table1[[#This Row],[Std Nom]]-(_xlfn.XLOOKUP(Table1[[#This Row],[Manufacturer]]&amp;" "&amp;Table1[[#This Row],[Model]],Table13[MFR &amp; MDL],Table13[Tolerance % CW ],"")/100*Table1[[#This Row],[Std Nom]]),"")</f>
        <v/>
      </c>
      <c r="P2745" s="1" t="str">
        <f>IFERROR(Table1[[#This Row],[Std Nom]]+(_xlfn.XLOOKUP(Table1[[#This Row],[Manufacturer]]&amp;" "&amp;Table1[[#This Row],[Model]],Table13[MFR &amp; MDL],Table13[Tolerance % CW ],"")/100*Table1[[#This Row],[Std Nom]]),"")</f>
        <v/>
      </c>
      <c r="Q2745" s="1" t="e">
        <f>Table1[[#This Row],[High Tol]]-Table1[[#This Row],[Low Tol]]</f>
        <v>#VALUE!</v>
      </c>
      <c r="R2745" s="1">
        <f>2*Table1[[#This Row],[Std Error]]</f>
        <v>0</v>
      </c>
      <c r="S2745" s="1" t="str">
        <f>IF(Table1[[#This Row],[High Tol]]="","N/A",IFERROR(ABS(Table1[[#This Row],[Tol Span]]/Table1[[#This Row],[Error Span]]),"N/A"))</f>
        <v>N/A</v>
      </c>
      <c r="T2745" s="1" t="str">
        <f>IF(OR(Table1[[#This Row],[Low Tol]]="",Table1[[#This Row],[High Tol]]=""),"Needs Analysis",IF(Table1[[#This Row],[Ratio]]&gt;=4,"Not Significant",IF(Table1[[#This Row],[Ratio]]&gt;=2,"Semi-Significant","Significant")))</f>
        <v>Needs Analysis</v>
      </c>
      <c r="W2745" s="1">
        <f>IF(Table1[[#This Row],[Cal Type]]&lt;&gt;"ACCREDITED 17025 WITH UNCERTAINTIES",0,"")</f>
        <v>0</v>
      </c>
      <c r="X2745" s="1" t="str">
        <f>IF(Table1[[#This Row],[DUT Read]]="","N/A",Table1[[#This Row],[Std Error]]+Table1[[#This Row],[DUT Read]]+Table1[[#This Row],[DUT Ucty]])</f>
        <v>N/A</v>
      </c>
      <c r="Y2745" s="1" t="str">
        <f>IF(Table1[[#This Row],[Std Read]]="","N/A",Table1[[#This Row],[Std Read]]+Table1[[#This Row],[Std Ucty]])</f>
        <v>N/A</v>
      </c>
      <c r="Z27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5" s="1" t="str">
        <f>IF(Table1[[#This Row],[Spec Type]]="","N/A",Table1[[#This Row],[Spec Type]])</f>
        <v>±</v>
      </c>
      <c r="AC2745" s="1" t="str">
        <f>IF(Table1[[#This Row],[Spec Type2]]="N/A","N/A",IF(AND(Table1[[#This Row],[DUT Adj Read]]&gt;=Table1[[#This Row],[Low Tol]],Table1[[#This Row],[DUT Adj Read]]&lt;=Table1[[#This Row],[High Tol]]),"Pass","Fail"))</f>
        <v>Fail</v>
      </c>
      <c r="AD2745" s="1" t="str">
        <f>IF(AND(Table1[[#This Row],[Spec Type2]]="N/A",Table1[[#This Row],[DUT Adj Read]]="N/A",Table1[[#This Row],[Std Adj Read]]="N/A"),"N/A",IF(Table1[[#This Row],[DUT Adj Read]]="N/A",IF(Table1[[#This Row],[Std Adj Read]]&gt;Table1[[#This Row],[Low Tol]],"Pass","Fail"),IF(Table1[[#This Row],[DUT Adj Read]]&gt;Table1[[#This Row],[Low Tol]],"Pass","Fail")))</f>
        <v>Pass</v>
      </c>
      <c r="AE2745" s="1" t="str">
        <f>IF(AND(Table1[[#This Row],[Spec Type2]]="N/A",Table1[[#This Row],[DUT Adj Read]]="N/A",Table1[[#This Row],[Std Adj Read]]="N/A"),"N/A",IF(Table1[[#This Row],[DUT Adj Read]]="N/A",IF(Table1[[#This Row],[Std Adj Read]]&lt;Table1[[#This Row],[High Tol]],"Pass","Fail"),IF(Table1[[#This Row],[DUT Adj Read]]&lt;Table1[[#This Row],[High Tol]],"Pass","Fail")))</f>
        <v>Fail</v>
      </c>
      <c r="AF2745" s="1" t="str">
        <f>IF(AND(Table1[[#This Row],[Spec Type2]]="N/A",Table1[[#This Row],[DUT Adj Read]]="N/A",Table1[[#This Row],[Std Adj Read]]="N/A"),"N/A",IF(Table1[[#This Row],[DUT Adj Read]]="N/A",IF(Table1[[#This Row],[Std Adj Read]]&gt;=Table1[[#This Row],[Low Tol]],"Pass","Fail"),IF(Table1[[#This Row],[DUT Adj Read]]&gt;=Table1[[#This Row],[Low Tol]],"Pass","Fail")))</f>
        <v>Pass</v>
      </c>
      <c r="AG2745" s="1" t="str">
        <f>IF(AND(Table1[[#This Row],[Spec Type2]]="N/A",Table1[[#This Row],[DUT Adj Read]]="N/A",Table1[[#This Row],[Std Adj Read]]="N/A"),"N/A",IF(Table1[[#This Row],[DUT Adj Read]]="N/A",IF(Table1[[#This Row],[Std Adj Read]]&lt;=Table1[[#This Row],[High Tol]],"Pass","Fail"),IF(Table1[[#This Row],[DUT Adj Read]]&lt;=Table1[[#This Row],[High Tol]],"Pass","Fail")))</f>
        <v>Fail</v>
      </c>
      <c r="AH27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5" s="1" t="b">
        <v>0</v>
      </c>
      <c r="AN2745" s="1" t="b">
        <v>0</v>
      </c>
      <c r="AO2745" s="1" t="b">
        <v>0</v>
      </c>
    </row>
    <row r="2746" spans="1:41" x14ac:dyDescent="0.25">
      <c r="A2746" s="10"/>
      <c r="B2746" s="10"/>
      <c r="C2746" s="10"/>
      <c r="D2746" s="10"/>
      <c r="E2746" s="10"/>
      <c r="F2746" s="10"/>
      <c r="G2746" s="10"/>
      <c r="H2746" s="10"/>
      <c r="I2746" s="1" t="str">
        <f t="shared" si="126"/>
        <v/>
      </c>
      <c r="J2746" s="1" t="s">
        <v>35</v>
      </c>
      <c r="K2746" s="1" t="str">
        <f t="shared" si="127"/>
        <v/>
      </c>
      <c r="L2746" s="1" t="str">
        <f t="shared" si="128"/>
        <v/>
      </c>
      <c r="M2746" s="1">
        <f>IF(OR(Table1[[#This Row],[Std Nom]]="",Table1[[#This Row],[Std Read]]=""),0,Table1[[#This Row],[Std Nom]]-Table1[[#This Row],[Std Read]])</f>
        <v>0</v>
      </c>
      <c r="N2746" s="1">
        <f>IF(Calculations!$F$5="ACCREDITED 17025 WITH UNCERTAINTIES",$N$10,0)</f>
        <v>0</v>
      </c>
      <c r="O2746" s="1" t="str">
        <f>IFERROR(Table1[[#This Row],[Std Nom]]-(_xlfn.XLOOKUP(Table1[[#This Row],[Manufacturer]]&amp;" "&amp;Table1[[#This Row],[Model]],Table13[MFR &amp; MDL],Table13[Tolerance % CW ],"")/100*Table1[[#This Row],[Std Nom]]),"")</f>
        <v/>
      </c>
      <c r="P2746" s="1" t="str">
        <f>IFERROR(Table1[[#This Row],[Std Nom]]+(_xlfn.XLOOKUP(Table1[[#This Row],[Manufacturer]]&amp;" "&amp;Table1[[#This Row],[Model]],Table13[MFR &amp; MDL],Table13[Tolerance % CW ],"")/100*Table1[[#This Row],[Std Nom]]),"")</f>
        <v/>
      </c>
      <c r="Q2746" s="1" t="e">
        <f>Table1[[#This Row],[High Tol]]-Table1[[#This Row],[Low Tol]]</f>
        <v>#VALUE!</v>
      </c>
      <c r="R2746" s="1">
        <f>2*Table1[[#This Row],[Std Error]]</f>
        <v>0</v>
      </c>
      <c r="S2746" s="1" t="str">
        <f>IF(Table1[[#This Row],[High Tol]]="","N/A",IFERROR(ABS(Table1[[#This Row],[Tol Span]]/Table1[[#This Row],[Error Span]]),"N/A"))</f>
        <v>N/A</v>
      </c>
      <c r="T2746" s="1" t="str">
        <f>IF(OR(Table1[[#This Row],[Low Tol]]="",Table1[[#This Row],[High Tol]]=""),"Needs Analysis",IF(Table1[[#This Row],[Ratio]]&gt;=4,"Not Significant",IF(Table1[[#This Row],[Ratio]]&gt;=2,"Semi-Significant","Significant")))</f>
        <v>Needs Analysis</v>
      </c>
      <c r="W2746" s="1">
        <f>IF(Table1[[#This Row],[Cal Type]]&lt;&gt;"ACCREDITED 17025 WITH UNCERTAINTIES",0,"")</f>
        <v>0</v>
      </c>
      <c r="X2746" s="1" t="str">
        <f>IF(Table1[[#This Row],[DUT Read]]="","N/A",Table1[[#This Row],[Std Error]]+Table1[[#This Row],[DUT Read]]+Table1[[#This Row],[DUT Ucty]])</f>
        <v>N/A</v>
      </c>
      <c r="Y2746" s="1" t="str">
        <f>IF(Table1[[#This Row],[Std Read]]="","N/A",Table1[[#This Row],[Std Read]]+Table1[[#This Row],[Std Ucty]])</f>
        <v>N/A</v>
      </c>
      <c r="Z27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6" s="1" t="str">
        <f>IF(Table1[[#This Row],[Spec Type]]="","N/A",Table1[[#This Row],[Spec Type]])</f>
        <v>±</v>
      </c>
      <c r="AC2746" s="1" t="str">
        <f>IF(Table1[[#This Row],[Spec Type2]]="N/A","N/A",IF(AND(Table1[[#This Row],[DUT Adj Read]]&gt;=Table1[[#This Row],[Low Tol]],Table1[[#This Row],[DUT Adj Read]]&lt;=Table1[[#This Row],[High Tol]]),"Pass","Fail"))</f>
        <v>Fail</v>
      </c>
      <c r="AD2746" s="1" t="str">
        <f>IF(AND(Table1[[#This Row],[Spec Type2]]="N/A",Table1[[#This Row],[DUT Adj Read]]="N/A",Table1[[#This Row],[Std Adj Read]]="N/A"),"N/A",IF(Table1[[#This Row],[DUT Adj Read]]="N/A",IF(Table1[[#This Row],[Std Adj Read]]&gt;Table1[[#This Row],[Low Tol]],"Pass","Fail"),IF(Table1[[#This Row],[DUT Adj Read]]&gt;Table1[[#This Row],[Low Tol]],"Pass","Fail")))</f>
        <v>Pass</v>
      </c>
      <c r="AE2746" s="1" t="str">
        <f>IF(AND(Table1[[#This Row],[Spec Type2]]="N/A",Table1[[#This Row],[DUT Adj Read]]="N/A",Table1[[#This Row],[Std Adj Read]]="N/A"),"N/A",IF(Table1[[#This Row],[DUT Adj Read]]="N/A",IF(Table1[[#This Row],[Std Adj Read]]&lt;Table1[[#This Row],[High Tol]],"Pass","Fail"),IF(Table1[[#This Row],[DUT Adj Read]]&lt;Table1[[#This Row],[High Tol]],"Pass","Fail")))</f>
        <v>Fail</v>
      </c>
      <c r="AF2746" s="1" t="str">
        <f>IF(AND(Table1[[#This Row],[Spec Type2]]="N/A",Table1[[#This Row],[DUT Adj Read]]="N/A",Table1[[#This Row],[Std Adj Read]]="N/A"),"N/A",IF(Table1[[#This Row],[DUT Adj Read]]="N/A",IF(Table1[[#This Row],[Std Adj Read]]&gt;=Table1[[#This Row],[Low Tol]],"Pass","Fail"),IF(Table1[[#This Row],[DUT Adj Read]]&gt;=Table1[[#This Row],[Low Tol]],"Pass","Fail")))</f>
        <v>Pass</v>
      </c>
      <c r="AG2746" s="1" t="str">
        <f>IF(AND(Table1[[#This Row],[Spec Type2]]="N/A",Table1[[#This Row],[DUT Adj Read]]="N/A",Table1[[#This Row],[Std Adj Read]]="N/A"),"N/A",IF(Table1[[#This Row],[DUT Adj Read]]="N/A",IF(Table1[[#This Row],[Std Adj Read]]&lt;=Table1[[#This Row],[High Tol]],"Pass","Fail"),IF(Table1[[#This Row],[DUT Adj Read]]&lt;=Table1[[#This Row],[High Tol]],"Pass","Fail")))</f>
        <v>Fail</v>
      </c>
      <c r="AH27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6" s="1" t="b">
        <v>0</v>
      </c>
      <c r="AN2746" s="1" t="b">
        <v>0</v>
      </c>
      <c r="AO2746" s="1" t="b">
        <v>0</v>
      </c>
    </row>
    <row r="2747" spans="1:41" x14ac:dyDescent="0.25">
      <c r="A2747" s="10"/>
      <c r="B2747" s="10"/>
      <c r="C2747" s="10"/>
      <c r="D2747" s="10"/>
      <c r="E2747" s="10"/>
      <c r="F2747" s="10"/>
      <c r="G2747" s="10"/>
      <c r="H2747" s="10"/>
      <c r="I2747" s="1" t="str">
        <f t="shared" si="126"/>
        <v/>
      </c>
      <c r="J2747" s="1" t="s">
        <v>35</v>
      </c>
      <c r="K2747" s="1" t="str">
        <f t="shared" si="127"/>
        <v/>
      </c>
      <c r="L2747" s="1" t="str">
        <f t="shared" si="128"/>
        <v/>
      </c>
      <c r="M2747" s="1">
        <f>IF(OR(Table1[[#This Row],[Std Nom]]="",Table1[[#This Row],[Std Read]]=""),0,Table1[[#This Row],[Std Nom]]-Table1[[#This Row],[Std Read]])</f>
        <v>0</v>
      </c>
      <c r="N2747" s="1">
        <f>IF(Calculations!$F$5="ACCREDITED 17025 WITH UNCERTAINTIES",$N$10,0)</f>
        <v>0</v>
      </c>
      <c r="O2747" s="1" t="str">
        <f>IFERROR(Table1[[#This Row],[Std Nom]]-(_xlfn.XLOOKUP(Table1[[#This Row],[Manufacturer]]&amp;" "&amp;Table1[[#This Row],[Model]],Table13[MFR &amp; MDL],Table13[Tolerance % CW ],"")/100*Table1[[#This Row],[Std Nom]]),"")</f>
        <v/>
      </c>
      <c r="P2747" s="1" t="str">
        <f>IFERROR(Table1[[#This Row],[Std Nom]]+(_xlfn.XLOOKUP(Table1[[#This Row],[Manufacturer]]&amp;" "&amp;Table1[[#This Row],[Model]],Table13[MFR &amp; MDL],Table13[Tolerance % CW ],"")/100*Table1[[#This Row],[Std Nom]]),"")</f>
        <v/>
      </c>
      <c r="Q2747" s="1" t="e">
        <f>Table1[[#This Row],[High Tol]]-Table1[[#This Row],[Low Tol]]</f>
        <v>#VALUE!</v>
      </c>
      <c r="R2747" s="1">
        <f>2*Table1[[#This Row],[Std Error]]</f>
        <v>0</v>
      </c>
      <c r="S2747" s="1" t="str">
        <f>IF(Table1[[#This Row],[High Tol]]="","N/A",IFERROR(ABS(Table1[[#This Row],[Tol Span]]/Table1[[#This Row],[Error Span]]),"N/A"))</f>
        <v>N/A</v>
      </c>
      <c r="T2747" s="1" t="str">
        <f>IF(OR(Table1[[#This Row],[Low Tol]]="",Table1[[#This Row],[High Tol]]=""),"Needs Analysis",IF(Table1[[#This Row],[Ratio]]&gt;=4,"Not Significant",IF(Table1[[#This Row],[Ratio]]&gt;=2,"Semi-Significant","Significant")))</f>
        <v>Needs Analysis</v>
      </c>
      <c r="W2747" s="1">
        <f>IF(Table1[[#This Row],[Cal Type]]&lt;&gt;"ACCREDITED 17025 WITH UNCERTAINTIES",0,"")</f>
        <v>0</v>
      </c>
      <c r="X2747" s="1" t="str">
        <f>IF(Table1[[#This Row],[DUT Read]]="","N/A",Table1[[#This Row],[Std Error]]+Table1[[#This Row],[DUT Read]]+Table1[[#This Row],[DUT Ucty]])</f>
        <v>N/A</v>
      </c>
      <c r="Y2747" s="1" t="str">
        <f>IF(Table1[[#This Row],[Std Read]]="","N/A",Table1[[#This Row],[Std Read]]+Table1[[#This Row],[Std Ucty]])</f>
        <v>N/A</v>
      </c>
      <c r="Z27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7" s="1" t="str">
        <f>IF(Table1[[#This Row],[Spec Type]]="","N/A",Table1[[#This Row],[Spec Type]])</f>
        <v>±</v>
      </c>
      <c r="AC2747" s="1" t="str">
        <f>IF(Table1[[#This Row],[Spec Type2]]="N/A","N/A",IF(AND(Table1[[#This Row],[DUT Adj Read]]&gt;=Table1[[#This Row],[Low Tol]],Table1[[#This Row],[DUT Adj Read]]&lt;=Table1[[#This Row],[High Tol]]),"Pass","Fail"))</f>
        <v>Fail</v>
      </c>
      <c r="AD2747" s="1" t="str">
        <f>IF(AND(Table1[[#This Row],[Spec Type2]]="N/A",Table1[[#This Row],[DUT Adj Read]]="N/A",Table1[[#This Row],[Std Adj Read]]="N/A"),"N/A",IF(Table1[[#This Row],[DUT Adj Read]]="N/A",IF(Table1[[#This Row],[Std Adj Read]]&gt;Table1[[#This Row],[Low Tol]],"Pass","Fail"),IF(Table1[[#This Row],[DUT Adj Read]]&gt;Table1[[#This Row],[Low Tol]],"Pass","Fail")))</f>
        <v>Pass</v>
      </c>
      <c r="AE2747" s="1" t="str">
        <f>IF(AND(Table1[[#This Row],[Spec Type2]]="N/A",Table1[[#This Row],[DUT Adj Read]]="N/A",Table1[[#This Row],[Std Adj Read]]="N/A"),"N/A",IF(Table1[[#This Row],[DUT Adj Read]]="N/A",IF(Table1[[#This Row],[Std Adj Read]]&lt;Table1[[#This Row],[High Tol]],"Pass","Fail"),IF(Table1[[#This Row],[DUT Adj Read]]&lt;Table1[[#This Row],[High Tol]],"Pass","Fail")))</f>
        <v>Fail</v>
      </c>
      <c r="AF2747" s="1" t="str">
        <f>IF(AND(Table1[[#This Row],[Spec Type2]]="N/A",Table1[[#This Row],[DUT Adj Read]]="N/A",Table1[[#This Row],[Std Adj Read]]="N/A"),"N/A",IF(Table1[[#This Row],[DUT Adj Read]]="N/A",IF(Table1[[#This Row],[Std Adj Read]]&gt;=Table1[[#This Row],[Low Tol]],"Pass","Fail"),IF(Table1[[#This Row],[DUT Adj Read]]&gt;=Table1[[#This Row],[Low Tol]],"Pass","Fail")))</f>
        <v>Pass</v>
      </c>
      <c r="AG2747" s="1" t="str">
        <f>IF(AND(Table1[[#This Row],[Spec Type2]]="N/A",Table1[[#This Row],[DUT Adj Read]]="N/A",Table1[[#This Row],[Std Adj Read]]="N/A"),"N/A",IF(Table1[[#This Row],[DUT Adj Read]]="N/A",IF(Table1[[#This Row],[Std Adj Read]]&lt;=Table1[[#This Row],[High Tol]],"Pass","Fail"),IF(Table1[[#This Row],[DUT Adj Read]]&lt;=Table1[[#This Row],[High Tol]],"Pass","Fail")))</f>
        <v>Fail</v>
      </c>
      <c r="AH27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7" s="1" t="b">
        <v>0</v>
      </c>
      <c r="AN2747" s="1" t="b">
        <v>0</v>
      </c>
      <c r="AO2747" s="1" t="b">
        <v>0</v>
      </c>
    </row>
    <row r="2748" spans="1:41" x14ac:dyDescent="0.25">
      <c r="A2748" s="10"/>
      <c r="B2748" s="10"/>
      <c r="C2748" s="10"/>
      <c r="D2748" s="10"/>
      <c r="E2748" s="10"/>
      <c r="F2748" s="10"/>
      <c r="G2748" s="10"/>
      <c r="H2748" s="10"/>
      <c r="I2748" s="1" t="str">
        <f t="shared" si="126"/>
        <v/>
      </c>
      <c r="J2748" s="1" t="s">
        <v>35</v>
      </c>
      <c r="K2748" s="1" t="str">
        <f t="shared" si="127"/>
        <v/>
      </c>
      <c r="L2748" s="1" t="str">
        <f t="shared" si="128"/>
        <v/>
      </c>
      <c r="M2748" s="1">
        <f>IF(OR(Table1[[#This Row],[Std Nom]]="",Table1[[#This Row],[Std Read]]=""),0,Table1[[#This Row],[Std Nom]]-Table1[[#This Row],[Std Read]])</f>
        <v>0</v>
      </c>
      <c r="N2748" s="1">
        <f>IF(Calculations!$F$5="ACCREDITED 17025 WITH UNCERTAINTIES",$N$10,0)</f>
        <v>0</v>
      </c>
      <c r="O2748" s="1" t="str">
        <f>IFERROR(Table1[[#This Row],[Std Nom]]-(_xlfn.XLOOKUP(Table1[[#This Row],[Manufacturer]]&amp;" "&amp;Table1[[#This Row],[Model]],Table13[MFR &amp; MDL],Table13[Tolerance % CW ],"")/100*Table1[[#This Row],[Std Nom]]),"")</f>
        <v/>
      </c>
      <c r="P2748" s="1" t="str">
        <f>IFERROR(Table1[[#This Row],[Std Nom]]+(_xlfn.XLOOKUP(Table1[[#This Row],[Manufacturer]]&amp;" "&amp;Table1[[#This Row],[Model]],Table13[MFR &amp; MDL],Table13[Tolerance % CW ],"")/100*Table1[[#This Row],[Std Nom]]),"")</f>
        <v/>
      </c>
      <c r="Q2748" s="1" t="e">
        <f>Table1[[#This Row],[High Tol]]-Table1[[#This Row],[Low Tol]]</f>
        <v>#VALUE!</v>
      </c>
      <c r="R2748" s="1">
        <f>2*Table1[[#This Row],[Std Error]]</f>
        <v>0</v>
      </c>
      <c r="S2748" s="1" t="str">
        <f>IF(Table1[[#This Row],[High Tol]]="","N/A",IFERROR(ABS(Table1[[#This Row],[Tol Span]]/Table1[[#This Row],[Error Span]]),"N/A"))</f>
        <v>N/A</v>
      </c>
      <c r="T2748" s="1" t="str">
        <f>IF(OR(Table1[[#This Row],[Low Tol]]="",Table1[[#This Row],[High Tol]]=""),"Needs Analysis",IF(Table1[[#This Row],[Ratio]]&gt;=4,"Not Significant",IF(Table1[[#This Row],[Ratio]]&gt;=2,"Semi-Significant","Significant")))</f>
        <v>Needs Analysis</v>
      </c>
      <c r="W2748" s="1">
        <f>IF(Table1[[#This Row],[Cal Type]]&lt;&gt;"ACCREDITED 17025 WITH UNCERTAINTIES",0,"")</f>
        <v>0</v>
      </c>
      <c r="X2748" s="1" t="str">
        <f>IF(Table1[[#This Row],[DUT Read]]="","N/A",Table1[[#This Row],[Std Error]]+Table1[[#This Row],[DUT Read]]+Table1[[#This Row],[DUT Ucty]])</f>
        <v>N/A</v>
      </c>
      <c r="Y2748" s="1" t="str">
        <f>IF(Table1[[#This Row],[Std Read]]="","N/A",Table1[[#This Row],[Std Read]]+Table1[[#This Row],[Std Ucty]])</f>
        <v>N/A</v>
      </c>
      <c r="Z27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8" s="1" t="str">
        <f>IF(Table1[[#This Row],[Spec Type]]="","N/A",Table1[[#This Row],[Spec Type]])</f>
        <v>±</v>
      </c>
      <c r="AC2748" s="1" t="str">
        <f>IF(Table1[[#This Row],[Spec Type2]]="N/A","N/A",IF(AND(Table1[[#This Row],[DUT Adj Read]]&gt;=Table1[[#This Row],[Low Tol]],Table1[[#This Row],[DUT Adj Read]]&lt;=Table1[[#This Row],[High Tol]]),"Pass","Fail"))</f>
        <v>Fail</v>
      </c>
      <c r="AD2748" s="1" t="str">
        <f>IF(AND(Table1[[#This Row],[Spec Type2]]="N/A",Table1[[#This Row],[DUT Adj Read]]="N/A",Table1[[#This Row],[Std Adj Read]]="N/A"),"N/A",IF(Table1[[#This Row],[DUT Adj Read]]="N/A",IF(Table1[[#This Row],[Std Adj Read]]&gt;Table1[[#This Row],[Low Tol]],"Pass","Fail"),IF(Table1[[#This Row],[DUT Adj Read]]&gt;Table1[[#This Row],[Low Tol]],"Pass","Fail")))</f>
        <v>Pass</v>
      </c>
      <c r="AE2748" s="1" t="str">
        <f>IF(AND(Table1[[#This Row],[Spec Type2]]="N/A",Table1[[#This Row],[DUT Adj Read]]="N/A",Table1[[#This Row],[Std Adj Read]]="N/A"),"N/A",IF(Table1[[#This Row],[DUT Adj Read]]="N/A",IF(Table1[[#This Row],[Std Adj Read]]&lt;Table1[[#This Row],[High Tol]],"Pass","Fail"),IF(Table1[[#This Row],[DUT Adj Read]]&lt;Table1[[#This Row],[High Tol]],"Pass","Fail")))</f>
        <v>Fail</v>
      </c>
      <c r="AF2748" s="1" t="str">
        <f>IF(AND(Table1[[#This Row],[Spec Type2]]="N/A",Table1[[#This Row],[DUT Adj Read]]="N/A",Table1[[#This Row],[Std Adj Read]]="N/A"),"N/A",IF(Table1[[#This Row],[DUT Adj Read]]="N/A",IF(Table1[[#This Row],[Std Adj Read]]&gt;=Table1[[#This Row],[Low Tol]],"Pass","Fail"),IF(Table1[[#This Row],[DUT Adj Read]]&gt;=Table1[[#This Row],[Low Tol]],"Pass","Fail")))</f>
        <v>Pass</v>
      </c>
      <c r="AG2748" s="1" t="str">
        <f>IF(AND(Table1[[#This Row],[Spec Type2]]="N/A",Table1[[#This Row],[DUT Adj Read]]="N/A",Table1[[#This Row],[Std Adj Read]]="N/A"),"N/A",IF(Table1[[#This Row],[DUT Adj Read]]="N/A",IF(Table1[[#This Row],[Std Adj Read]]&lt;=Table1[[#This Row],[High Tol]],"Pass","Fail"),IF(Table1[[#This Row],[DUT Adj Read]]&lt;=Table1[[#This Row],[High Tol]],"Pass","Fail")))</f>
        <v>Fail</v>
      </c>
      <c r="AH27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8" s="1" t="b">
        <v>0</v>
      </c>
      <c r="AN2748" s="1" t="b">
        <v>0</v>
      </c>
      <c r="AO2748" s="1" t="b">
        <v>0</v>
      </c>
    </row>
    <row r="2749" spans="1:41" x14ac:dyDescent="0.25">
      <c r="A2749" s="10"/>
      <c r="B2749" s="10"/>
      <c r="C2749" s="10"/>
      <c r="D2749" s="10"/>
      <c r="E2749" s="10"/>
      <c r="F2749" s="10"/>
      <c r="G2749" s="10"/>
      <c r="H2749" s="10"/>
      <c r="I2749" s="1" t="str">
        <f t="shared" si="126"/>
        <v/>
      </c>
      <c r="J2749" s="1" t="s">
        <v>35</v>
      </c>
      <c r="K2749" s="1" t="str">
        <f t="shared" si="127"/>
        <v/>
      </c>
      <c r="L2749" s="1" t="str">
        <f t="shared" si="128"/>
        <v/>
      </c>
      <c r="M2749" s="1">
        <f>IF(OR(Table1[[#This Row],[Std Nom]]="",Table1[[#This Row],[Std Read]]=""),0,Table1[[#This Row],[Std Nom]]-Table1[[#This Row],[Std Read]])</f>
        <v>0</v>
      </c>
      <c r="N2749" s="1">
        <f>IF(Calculations!$F$5="ACCREDITED 17025 WITH UNCERTAINTIES",$N$10,0)</f>
        <v>0</v>
      </c>
      <c r="O2749" s="1" t="str">
        <f>IFERROR(Table1[[#This Row],[Std Nom]]-(_xlfn.XLOOKUP(Table1[[#This Row],[Manufacturer]]&amp;" "&amp;Table1[[#This Row],[Model]],Table13[MFR &amp; MDL],Table13[Tolerance % CW ],"")/100*Table1[[#This Row],[Std Nom]]),"")</f>
        <v/>
      </c>
      <c r="P2749" s="1" t="str">
        <f>IFERROR(Table1[[#This Row],[Std Nom]]+(_xlfn.XLOOKUP(Table1[[#This Row],[Manufacturer]]&amp;" "&amp;Table1[[#This Row],[Model]],Table13[MFR &amp; MDL],Table13[Tolerance % CW ],"")/100*Table1[[#This Row],[Std Nom]]),"")</f>
        <v/>
      </c>
      <c r="Q2749" s="1" t="e">
        <f>Table1[[#This Row],[High Tol]]-Table1[[#This Row],[Low Tol]]</f>
        <v>#VALUE!</v>
      </c>
      <c r="R2749" s="1">
        <f>2*Table1[[#This Row],[Std Error]]</f>
        <v>0</v>
      </c>
      <c r="S2749" s="1" t="str">
        <f>IF(Table1[[#This Row],[High Tol]]="","N/A",IFERROR(ABS(Table1[[#This Row],[Tol Span]]/Table1[[#This Row],[Error Span]]),"N/A"))</f>
        <v>N/A</v>
      </c>
      <c r="T2749" s="1" t="str">
        <f>IF(OR(Table1[[#This Row],[Low Tol]]="",Table1[[#This Row],[High Tol]]=""),"Needs Analysis",IF(Table1[[#This Row],[Ratio]]&gt;=4,"Not Significant",IF(Table1[[#This Row],[Ratio]]&gt;=2,"Semi-Significant","Significant")))</f>
        <v>Needs Analysis</v>
      </c>
      <c r="W2749" s="1">
        <f>IF(Table1[[#This Row],[Cal Type]]&lt;&gt;"ACCREDITED 17025 WITH UNCERTAINTIES",0,"")</f>
        <v>0</v>
      </c>
      <c r="X2749" s="1" t="str">
        <f>IF(Table1[[#This Row],[DUT Read]]="","N/A",Table1[[#This Row],[Std Error]]+Table1[[#This Row],[DUT Read]]+Table1[[#This Row],[DUT Ucty]])</f>
        <v>N/A</v>
      </c>
      <c r="Y2749" s="1" t="str">
        <f>IF(Table1[[#This Row],[Std Read]]="","N/A",Table1[[#This Row],[Std Read]]+Table1[[#This Row],[Std Ucty]])</f>
        <v>N/A</v>
      </c>
      <c r="Z27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9" s="1" t="str">
        <f>IF(Table1[[#This Row],[Spec Type]]="","N/A",Table1[[#This Row],[Spec Type]])</f>
        <v>±</v>
      </c>
      <c r="AC2749" s="1" t="str">
        <f>IF(Table1[[#This Row],[Spec Type2]]="N/A","N/A",IF(AND(Table1[[#This Row],[DUT Adj Read]]&gt;=Table1[[#This Row],[Low Tol]],Table1[[#This Row],[DUT Adj Read]]&lt;=Table1[[#This Row],[High Tol]]),"Pass","Fail"))</f>
        <v>Fail</v>
      </c>
      <c r="AD2749" s="1" t="str">
        <f>IF(AND(Table1[[#This Row],[Spec Type2]]="N/A",Table1[[#This Row],[DUT Adj Read]]="N/A",Table1[[#This Row],[Std Adj Read]]="N/A"),"N/A",IF(Table1[[#This Row],[DUT Adj Read]]="N/A",IF(Table1[[#This Row],[Std Adj Read]]&gt;Table1[[#This Row],[Low Tol]],"Pass","Fail"),IF(Table1[[#This Row],[DUT Adj Read]]&gt;Table1[[#This Row],[Low Tol]],"Pass","Fail")))</f>
        <v>Pass</v>
      </c>
      <c r="AE2749" s="1" t="str">
        <f>IF(AND(Table1[[#This Row],[Spec Type2]]="N/A",Table1[[#This Row],[DUT Adj Read]]="N/A",Table1[[#This Row],[Std Adj Read]]="N/A"),"N/A",IF(Table1[[#This Row],[DUT Adj Read]]="N/A",IF(Table1[[#This Row],[Std Adj Read]]&lt;Table1[[#This Row],[High Tol]],"Pass","Fail"),IF(Table1[[#This Row],[DUT Adj Read]]&lt;Table1[[#This Row],[High Tol]],"Pass","Fail")))</f>
        <v>Fail</v>
      </c>
      <c r="AF2749" s="1" t="str">
        <f>IF(AND(Table1[[#This Row],[Spec Type2]]="N/A",Table1[[#This Row],[DUT Adj Read]]="N/A",Table1[[#This Row],[Std Adj Read]]="N/A"),"N/A",IF(Table1[[#This Row],[DUT Adj Read]]="N/A",IF(Table1[[#This Row],[Std Adj Read]]&gt;=Table1[[#This Row],[Low Tol]],"Pass","Fail"),IF(Table1[[#This Row],[DUT Adj Read]]&gt;=Table1[[#This Row],[Low Tol]],"Pass","Fail")))</f>
        <v>Pass</v>
      </c>
      <c r="AG2749" s="1" t="str">
        <f>IF(AND(Table1[[#This Row],[Spec Type2]]="N/A",Table1[[#This Row],[DUT Adj Read]]="N/A",Table1[[#This Row],[Std Adj Read]]="N/A"),"N/A",IF(Table1[[#This Row],[DUT Adj Read]]="N/A",IF(Table1[[#This Row],[Std Adj Read]]&lt;=Table1[[#This Row],[High Tol]],"Pass","Fail"),IF(Table1[[#This Row],[DUT Adj Read]]&lt;=Table1[[#This Row],[High Tol]],"Pass","Fail")))</f>
        <v>Fail</v>
      </c>
      <c r="AH27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9" s="1" t="b">
        <v>0</v>
      </c>
      <c r="AN2749" s="1" t="b">
        <v>0</v>
      </c>
      <c r="AO2749" s="1" t="b">
        <v>0</v>
      </c>
    </row>
    <row r="2750" spans="1:41" x14ac:dyDescent="0.25">
      <c r="A2750" s="10"/>
      <c r="B2750" s="10"/>
      <c r="C2750" s="10"/>
      <c r="D2750" s="10"/>
      <c r="E2750" s="10"/>
      <c r="F2750" s="10"/>
      <c r="G2750" s="10"/>
      <c r="H2750" s="10"/>
      <c r="I2750" s="1" t="str">
        <f t="shared" si="126"/>
        <v/>
      </c>
      <c r="J2750" s="1" t="s">
        <v>35</v>
      </c>
      <c r="K2750" s="1" t="str">
        <f t="shared" si="127"/>
        <v/>
      </c>
      <c r="L2750" s="1" t="str">
        <f t="shared" si="128"/>
        <v/>
      </c>
      <c r="M2750" s="1">
        <f>IF(OR(Table1[[#This Row],[Std Nom]]="",Table1[[#This Row],[Std Read]]=""),0,Table1[[#This Row],[Std Nom]]-Table1[[#This Row],[Std Read]])</f>
        <v>0</v>
      </c>
      <c r="N2750" s="1">
        <f>IF(Calculations!$F$5="ACCREDITED 17025 WITH UNCERTAINTIES",$N$10,0)</f>
        <v>0</v>
      </c>
      <c r="O2750" s="1" t="str">
        <f>IFERROR(Table1[[#This Row],[Std Nom]]-(_xlfn.XLOOKUP(Table1[[#This Row],[Manufacturer]]&amp;" "&amp;Table1[[#This Row],[Model]],Table13[MFR &amp; MDL],Table13[Tolerance % CW ],"")/100*Table1[[#This Row],[Std Nom]]),"")</f>
        <v/>
      </c>
      <c r="P2750" s="1" t="str">
        <f>IFERROR(Table1[[#This Row],[Std Nom]]+(_xlfn.XLOOKUP(Table1[[#This Row],[Manufacturer]]&amp;" "&amp;Table1[[#This Row],[Model]],Table13[MFR &amp; MDL],Table13[Tolerance % CW ],"")/100*Table1[[#This Row],[Std Nom]]),"")</f>
        <v/>
      </c>
      <c r="Q2750" s="1" t="e">
        <f>Table1[[#This Row],[High Tol]]-Table1[[#This Row],[Low Tol]]</f>
        <v>#VALUE!</v>
      </c>
      <c r="R2750" s="1">
        <f>2*Table1[[#This Row],[Std Error]]</f>
        <v>0</v>
      </c>
      <c r="S2750" s="1" t="str">
        <f>IF(Table1[[#This Row],[High Tol]]="","N/A",IFERROR(ABS(Table1[[#This Row],[Tol Span]]/Table1[[#This Row],[Error Span]]),"N/A"))</f>
        <v>N/A</v>
      </c>
      <c r="T2750" s="1" t="str">
        <f>IF(OR(Table1[[#This Row],[Low Tol]]="",Table1[[#This Row],[High Tol]]=""),"Needs Analysis",IF(Table1[[#This Row],[Ratio]]&gt;=4,"Not Significant",IF(Table1[[#This Row],[Ratio]]&gt;=2,"Semi-Significant","Significant")))</f>
        <v>Needs Analysis</v>
      </c>
      <c r="W2750" s="1">
        <f>IF(Table1[[#This Row],[Cal Type]]&lt;&gt;"ACCREDITED 17025 WITH UNCERTAINTIES",0,"")</f>
        <v>0</v>
      </c>
      <c r="X2750" s="1" t="str">
        <f>IF(Table1[[#This Row],[DUT Read]]="","N/A",Table1[[#This Row],[Std Error]]+Table1[[#This Row],[DUT Read]]+Table1[[#This Row],[DUT Ucty]])</f>
        <v>N/A</v>
      </c>
      <c r="Y2750" s="1" t="str">
        <f>IF(Table1[[#This Row],[Std Read]]="","N/A",Table1[[#This Row],[Std Read]]+Table1[[#This Row],[Std Ucty]])</f>
        <v>N/A</v>
      </c>
      <c r="Z27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0" s="1" t="str">
        <f>IF(Table1[[#This Row],[Spec Type]]="","N/A",Table1[[#This Row],[Spec Type]])</f>
        <v>±</v>
      </c>
      <c r="AC2750" s="1" t="str">
        <f>IF(Table1[[#This Row],[Spec Type2]]="N/A","N/A",IF(AND(Table1[[#This Row],[DUT Adj Read]]&gt;=Table1[[#This Row],[Low Tol]],Table1[[#This Row],[DUT Adj Read]]&lt;=Table1[[#This Row],[High Tol]]),"Pass","Fail"))</f>
        <v>Fail</v>
      </c>
      <c r="AD2750" s="1" t="str">
        <f>IF(AND(Table1[[#This Row],[Spec Type2]]="N/A",Table1[[#This Row],[DUT Adj Read]]="N/A",Table1[[#This Row],[Std Adj Read]]="N/A"),"N/A",IF(Table1[[#This Row],[DUT Adj Read]]="N/A",IF(Table1[[#This Row],[Std Adj Read]]&gt;Table1[[#This Row],[Low Tol]],"Pass","Fail"),IF(Table1[[#This Row],[DUT Adj Read]]&gt;Table1[[#This Row],[Low Tol]],"Pass","Fail")))</f>
        <v>Pass</v>
      </c>
      <c r="AE2750" s="1" t="str">
        <f>IF(AND(Table1[[#This Row],[Spec Type2]]="N/A",Table1[[#This Row],[DUT Adj Read]]="N/A",Table1[[#This Row],[Std Adj Read]]="N/A"),"N/A",IF(Table1[[#This Row],[DUT Adj Read]]="N/A",IF(Table1[[#This Row],[Std Adj Read]]&lt;Table1[[#This Row],[High Tol]],"Pass","Fail"),IF(Table1[[#This Row],[DUT Adj Read]]&lt;Table1[[#This Row],[High Tol]],"Pass","Fail")))</f>
        <v>Fail</v>
      </c>
      <c r="AF2750" s="1" t="str">
        <f>IF(AND(Table1[[#This Row],[Spec Type2]]="N/A",Table1[[#This Row],[DUT Adj Read]]="N/A",Table1[[#This Row],[Std Adj Read]]="N/A"),"N/A",IF(Table1[[#This Row],[DUT Adj Read]]="N/A",IF(Table1[[#This Row],[Std Adj Read]]&gt;=Table1[[#This Row],[Low Tol]],"Pass","Fail"),IF(Table1[[#This Row],[DUT Adj Read]]&gt;=Table1[[#This Row],[Low Tol]],"Pass","Fail")))</f>
        <v>Pass</v>
      </c>
      <c r="AG2750" s="1" t="str">
        <f>IF(AND(Table1[[#This Row],[Spec Type2]]="N/A",Table1[[#This Row],[DUT Adj Read]]="N/A",Table1[[#This Row],[Std Adj Read]]="N/A"),"N/A",IF(Table1[[#This Row],[DUT Adj Read]]="N/A",IF(Table1[[#This Row],[Std Adj Read]]&lt;=Table1[[#This Row],[High Tol]],"Pass","Fail"),IF(Table1[[#This Row],[DUT Adj Read]]&lt;=Table1[[#This Row],[High Tol]],"Pass","Fail")))</f>
        <v>Fail</v>
      </c>
      <c r="AH27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0" s="1" t="b">
        <v>0</v>
      </c>
      <c r="AN2750" s="1" t="b">
        <v>0</v>
      </c>
      <c r="AO2750" s="1" t="b">
        <v>0</v>
      </c>
    </row>
    <row r="2751" spans="1:41" x14ac:dyDescent="0.25">
      <c r="A2751" s="10"/>
      <c r="B2751" s="10"/>
      <c r="C2751" s="10"/>
      <c r="D2751" s="10"/>
      <c r="E2751" s="10"/>
      <c r="F2751" s="10"/>
      <c r="G2751" s="10"/>
      <c r="H2751" s="10"/>
      <c r="I2751" s="1" t="str">
        <f t="shared" si="126"/>
        <v/>
      </c>
      <c r="J2751" s="1" t="s">
        <v>35</v>
      </c>
      <c r="K2751" s="1" t="str">
        <f t="shared" si="127"/>
        <v/>
      </c>
      <c r="L2751" s="1" t="str">
        <f t="shared" si="128"/>
        <v/>
      </c>
      <c r="M2751" s="1">
        <f>IF(OR(Table1[[#This Row],[Std Nom]]="",Table1[[#This Row],[Std Read]]=""),0,Table1[[#This Row],[Std Nom]]-Table1[[#This Row],[Std Read]])</f>
        <v>0</v>
      </c>
      <c r="N2751" s="1">
        <f>IF(Calculations!$F$5="ACCREDITED 17025 WITH UNCERTAINTIES",$N$10,0)</f>
        <v>0</v>
      </c>
      <c r="O2751" s="1" t="str">
        <f>IFERROR(Table1[[#This Row],[Std Nom]]-(_xlfn.XLOOKUP(Table1[[#This Row],[Manufacturer]]&amp;" "&amp;Table1[[#This Row],[Model]],Table13[MFR &amp; MDL],Table13[Tolerance % CW ],"")/100*Table1[[#This Row],[Std Nom]]),"")</f>
        <v/>
      </c>
      <c r="P2751" s="1" t="str">
        <f>IFERROR(Table1[[#This Row],[Std Nom]]+(_xlfn.XLOOKUP(Table1[[#This Row],[Manufacturer]]&amp;" "&amp;Table1[[#This Row],[Model]],Table13[MFR &amp; MDL],Table13[Tolerance % CW ],"")/100*Table1[[#This Row],[Std Nom]]),"")</f>
        <v/>
      </c>
      <c r="Q2751" s="1" t="e">
        <f>Table1[[#This Row],[High Tol]]-Table1[[#This Row],[Low Tol]]</f>
        <v>#VALUE!</v>
      </c>
      <c r="R2751" s="1">
        <f>2*Table1[[#This Row],[Std Error]]</f>
        <v>0</v>
      </c>
      <c r="S2751" s="1" t="str">
        <f>IF(Table1[[#This Row],[High Tol]]="","N/A",IFERROR(ABS(Table1[[#This Row],[Tol Span]]/Table1[[#This Row],[Error Span]]),"N/A"))</f>
        <v>N/A</v>
      </c>
      <c r="T2751" s="1" t="str">
        <f>IF(OR(Table1[[#This Row],[Low Tol]]="",Table1[[#This Row],[High Tol]]=""),"Needs Analysis",IF(Table1[[#This Row],[Ratio]]&gt;=4,"Not Significant",IF(Table1[[#This Row],[Ratio]]&gt;=2,"Semi-Significant","Significant")))</f>
        <v>Needs Analysis</v>
      </c>
      <c r="W2751" s="1">
        <f>IF(Table1[[#This Row],[Cal Type]]&lt;&gt;"ACCREDITED 17025 WITH UNCERTAINTIES",0,"")</f>
        <v>0</v>
      </c>
      <c r="X2751" s="1" t="str">
        <f>IF(Table1[[#This Row],[DUT Read]]="","N/A",Table1[[#This Row],[Std Error]]+Table1[[#This Row],[DUT Read]]+Table1[[#This Row],[DUT Ucty]])</f>
        <v>N/A</v>
      </c>
      <c r="Y2751" s="1" t="str">
        <f>IF(Table1[[#This Row],[Std Read]]="","N/A",Table1[[#This Row],[Std Read]]+Table1[[#This Row],[Std Ucty]])</f>
        <v>N/A</v>
      </c>
      <c r="Z27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1" s="1" t="str">
        <f>IF(Table1[[#This Row],[Spec Type]]="","N/A",Table1[[#This Row],[Spec Type]])</f>
        <v>±</v>
      </c>
      <c r="AC2751" s="1" t="str">
        <f>IF(Table1[[#This Row],[Spec Type2]]="N/A","N/A",IF(AND(Table1[[#This Row],[DUT Adj Read]]&gt;=Table1[[#This Row],[Low Tol]],Table1[[#This Row],[DUT Adj Read]]&lt;=Table1[[#This Row],[High Tol]]),"Pass","Fail"))</f>
        <v>Fail</v>
      </c>
      <c r="AD2751" s="1" t="str">
        <f>IF(AND(Table1[[#This Row],[Spec Type2]]="N/A",Table1[[#This Row],[DUT Adj Read]]="N/A",Table1[[#This Row],[Std Adj Read]]="N/A"),"N/A",IF(Table1[[#This Row],[DUT Adj Read]]="N/A",IF(Table1[[#This Row],[Std Adj Read]]&gt;Table1[[#This Row],[Low Tol]],"Pass","Fail"),IF(Table1[[#This Row],[DUT Adj Read]]&gt;Table1[[#This Row],[Low Tol]],"Pass","Fail")))</f>
        <v>Pass</v>
      </c>
      <c r="AE2751" s="1" t="str">
        <f>IF(AND(Table1[[#This Row],[Spec Type2]]="N/A",Table1[[#This Row],[DUT Adj Read]]="N/A",Table1[[#This Row],[Std Adj Read]]="N/A"),"N/A",IF(Table1[[#This Row],[DUT Adj Read]]="N/A",IF(Table1[[#This Row],[Std Adj Read]]&lt;Table1[[#This Row],[High Tol]],"Pass","Fail"),IF(Table1[[#This Row],[DUT Adj Read]]&lt;Table1[[#This Row],[High Tol]],"Pass","Fail")))</f>
        <v>Fail</v>
      </c>
      <c r="AF2751" s="1" t="str">
        <f>IF(AND(Table1[[#This Row],[Spec Type2]]="N/A",Table1[[#This Row],[DUT Adj Read]]="N/A",Table1[[#This Row],[Std Adj Read]]="N/A"),"N/A",IF(Table1[[#This Row],[DUT Adj Read]]="N/A",IF(Table1[[#This Row],[Std Adj Read]]&gt;=Table1[[#This Row],[Low Tol]],"Pass","Fail"),IF(Table1[[#This Row],[DUT Adj Read]]&gt;=Table1[[#This Row],[Low Tol]],"Pass","Fail")))</f>
        <v>Pass</v>
      </c>
      <c r="AG2751" s="1" t="str">
        <f>IF(AND(Table1[[#This Row],[Spec Type2]]="N/A",Table1[[#This Row],[DUT Adj Read]]="N/A",Table1[[#This Row],[Std Adj Read]]="N/A"),"N/A",IF(Table1[[#This Row],[DUT Adj Read]]="N/A",IF(Table1[[#This Row],[Std Adj Read]]&lt;=Table1[[#This Row],[High Tol]],"Pass","Fail"),IF(Table1[[#This Row],[DUT Adj Read]]&lt;=Table1[[#This Row],[High Tol]],"Pass","Fail")))</f>
        <v>Fail</v>
      </c>
      <c r="AH27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1" s="1" t="b">
        <v>0</v>
      </c>
      <c r="AN2751" s="1" t="b">
        <v>0</v>
      </c>
      <c r="AO2751" s="1" t="b">
        <v>0</v>
      </c>
    </row>
    <row r="2752" spans="1:41" x14ac:dyDescent="0.25">
      <c r="A2752" s="10"/>
      <c r="B2752" s="10"/>
      <c r="C2752" s="10"/>
      <c r="D2752" s="10"/>
      <c r="E2752" s="10"/>
      <c r="F2752" s="10"/>
      <c r="G2752" s="10"/>
      <c r="H2752" s="10"/>
      <c r="I2752" s="1" t="str">
        <f t="shared" si="126"/>
        <v/>
      </c>
      <c r="J2752" s="1" t="s">
        <v>35</v>
      </c>
      <c r="K2752" s="1" t="str">
        <f t="shared" si="127"/>
        <v/>
      </c>
      <c r="L2752" s="1" t="str">
        <f t="shared" si="128"/>
        <v/>
      </c>
      <c r="M2752" s="1">
        <f>IF(OR(Table1[[#This Row],[Std Nom]]="",Table1[[#This Row],[Std Read]]=""),0,Table1[[#This Row],[Std Nom]]-Table1[[#This Row],[Std Read]])</f>
        <v>0</v>
      </c>
      <c r="N2752" s="1">
        <f>IF(Calculations!$F$5="ACCREDITED 17025 WITH UNCERTAINTIES",$N$10,0)</f>
        <v>0</v>
      </c>
      <c r="O2752" s="1" t="str">
        <f>IFERROR(Table1[[#This Row],[Std Nom]]-(_xlfn.XLOOKUP(Table1[[#This Row],[Manufacturer]]&amp;" "&amp;Table1[[#This Row],[Model]],Table13[MFR &amp; MDL],Table13[Tolerance % CW ],"")/100*Table1[[#This Row],[Std Nom]]),"")</f>
        <v/>
      </c>
      <c r="P2752" s="1" t="str">
        <f>IFERROR(Table1[[#This Row],[Std Nom]]+(_xlfn.XLOOKUP(Table1[[#This Row],[Manufacturer]]&amp;" "&amp;Table1[[#This Row],[Model]],Table13[MFR &amp; MDL],Table13[Tolerance % CW ],"")/100*Table1[[#This Row],[Std Nom]]),"")</f>
        <v/>
      </c>
      <c r="Q2752" s="1" t="e">
        <f>Table1[[#This Row],[High Tol]]-Table1[[#This Row],[Low Tol]]</f>
        <v>#VALUE!</v>
      </c>
      <c r="R2752" s="1">
        <f>2*Table1[[#This Row],[Std Error]]</f>
        <v>0</v>
      </c>
      <c r="S2752" s="1" t="str">
        <f>IF(Table1[[#This Row],[High Tol]]="","N/A",IFERROR(ABS(Table1[[#This Row],[Tol Span]]/Table1[[#This Row],[Error Span]]),"N/A"))</f>
        <v>N/A</v>
      </c>
      <c r="T2752" s="1" t="str">
        <f>IF(OR(Table1[[#This Row],[Low Tol]]="",Table1[[#This Row],[High Tol]]=""),"Needs Analysis",IF(Table1[[#This Row],[Ratio]]&gt;=4,"Not Significant",IF(Table1[[#This Row],[Ratio]]&gt;=2,"Semi-Significant","Significant")))</f>
        <v>Needs Analysis</v>
      </c>
      <c r="W2752" s="1">
        <f>IF(Table1[[#This Row],[Cal Type]]&lt;&gt;"ACCREDITED 17025 WITH UNCERTAINTIES",0,"")</f>
        <v>0</v>
      </c>
      <c r="X2752" s="1" t="str">
        <f>IF(Table1[[#This Row],[DUT Read]]="","N/A",Table1[[#This Row],[Std Error]]+Table1[[#This Row],[DUT Read]]+Table1[[#This Row],[DUT Ucty]])</f>
        <v>N/A</v>
      </c>
      <c r="Y2752" s="1" t="str">
        <f>IF(Table1[[#This Row],[Std Read]]="","N/A",Table1[[#This Row],[Std Read]]+Table1[[#This Row],[Std Ucty]])</f>
        <v>N/A</v>
      </c>
      <c r="Z27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2" s="1" t="str">
        <f>IF(Table1[[#This Row],[Spec Type]]="","N/A",Table1[[#This Row],[Spec Type]])</f>
        <v>±</v>
      </c>
      <c r="AC2752" s="1" t="str">
        <f>IF(Table1[[#This Row],[Spec Type2]]="N/A","N/A",IF(AND(Table1[[#This Row],[DUT Adj Read]]&gt;=Table1[[#This Row],[Low Tol]],Table1[[#This Row],[DUT Adj Read]]&lt;=Table1[[#This Row],[High Tol]]),"Pass","Fail"))</f>
        <v>Fail</v>
      </c>
      <c r="AD2752" s="1" t="str">
        <f>IF(AND(Table1[[#This Row],[Spec Type2]]="N/A",Table1[[#This Row],[DUT Adj Read]]="N/A",Table1[[#This Row],[Std Adj Read]]="N/A"),"N/A",IF(Table1[[#This Row],[DUT Adj Read]]="N/A",IF(Table1[[#This Row],[Std Adj Read]]&gt;Table1[[#This Row],[Low Tol]],"Pass","Fail"),IF(Table1[[#This Row],[DUT Adj Read]]&gt;Table1[[#This Row],[Low Tol]],"Pass","Fail")))</f>
        <v>Pass</v>
      </c>
      <c r="AE2752" s="1" t="str">
        <f>IF(AND(Table1[[#This Row],[Spec Type2]]="N/A",Table1[[#This Row],[DUT Adj Read]]="N/A",Table1[[#This Row],[Std Adj Read]]="N/A"),"N/A",IF(Table1[[#This Row],[DUT Adj Read]]="N/A",IF(Table1[[#This Row],[Std Adj Read]]&lt;Table1[[#This Row],[High Tol]],"Pass","Fail"),IF(Table1[[#This Row],[DUT Adj Read]]&lt;Table1[[#This Row],[High Tol]],"Pass","Fail")))</f>
        <v>Fail</v>
      </c>
      <c r="AF2752" s="1" t="str">
        <f>IF(AND(Table1[[#This Row],[Spec Type2]]="N/A",Table1[[#This Row],[DUT Adj Read]]="N/A",Table1[[#This Row],[Std Adj Read]]="N/A"),"N/A",IF(Table1[[#This Row],[DUT Adj Read]]="N/A",IF(Table1[[#This Row],[Std Adj Read]]&gt;=Table1[[#This Row],[Low Tol]],"Pass","Fail"),IF(Table1[[#This Row],[DUT Adj Read]]&gt;=Table1[[#This Row],[Low Tol]],"Pass","Fail")))</f>
        <v>Pass</v>
      </c>
      <c r="AG2752" s="1" t="str">
        <f>IF(AND(Table1[[#This Row],[Spec Type2]]="N/A",Table1[[#This Row],[DUT Adj Read]]="N/A",Table1[[#This Row],[Std Adj Read]]="N/A"),"N/A",IF(Table1[[#This Row],[DUT Adj Read]]="N/A",IF(Table1[[#This Row],[Std Adj Read]]&lt;=Table1[[#This Row],[High Tol]],"Pass","Fail"),IF(Table1[[#This Row],[DUT Adj Read]]&lt;=Table1[[#This Row],[High Tol]],"Pass","Fail")))</f>
        <v>Fail</v>
      </c>
      <c r="AH27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2" s="1" t="b">
        <v>0</v>
      </c>
      <c r="AN2752" s="1" t="b">
        <v>0</v>
      </c>
      <c r="AO2752" s="1" t="b">
        <v>0</v>
      </c>
    </row>
    <row r="2753" spans="1:41" x14ac:dyDescent="0.25">
      <c r="A2753" s="10"/>
      <c r="B2753" s="10"/>
      <c r="C2753" s="10"/>
      <c r="D2753" s="10"/>
      <c r="E2753" s="10"/>
      <c r="F2753" s="10"/>
      <c r="G2753" s="10"/>
      <c r="H2753" s="10"/>
      <c r="I2753" s="1" t="str">
        <f t="shared" si="126"/>
        <v/>
      </c>
      <c r="J2753" s="1" t="s">
        <v>35</v>
      </c>
      <c r="K2753" s="1" t="str">
        <f t="shared" si="127"/>
        <v/>
      </c>
      <c r="L2753" s="1" t="str">
        <f t="shared" si="128"/>
        <v/>
      </c>
      <c r="M2753" s="1">
        <f>IF(OR(Table1[[#This Row],[Std Nom]]="",Table1[[#This Row],[Std Read]]=""),0,Table1[[#This Row],[Std Nom]]-Table1[[#This Row],[Std Read]])</f>
        <v>0</v>
      </c>
      <c r="N2753" s="1">
        <f>IF(Calculations!$F$5="ACCREDITED 17025 WITH UNCERTAINTIES",$N$10,0)</f>
        <v>0</v>
      </c>
      <c r="O2753" s="1" t="str">
        <f>IFERROR(Table1[[#This Row],[Std Nom]]-(_xlfn.XLOOKUP(Table1[[#This Row],[Manufacturer]]&amp;" "&amp;Table1[[#This Row],[Model]],Table13[MFR &amp; MDL],Table13[Tolerance % CW ],"")/100*Table1[[#This Row],[Std Nom]]),"")</f>
        <v/>
      </c>
      <c r="P2753" s="1" t="str">
        <f>IFERROR(Table1[[#This Row],[Std Nom]]+(_xlfn.XLOOKUP(Table1[[#This Row],[Manufacturer]]&amp;" "&amp;Table1[[#This Row],[Model]],Table13[MFR &amp; MDL],Table13[Tolerance % CW ],"")/100*Table1[[#This Row],[Std Nom]]),"")</f>
        <v/>
      </c>
      <c r="Q2753" s="1" t="e">
        <f>Table1[[#This Row],[High Tol]]-Table1[[#This Row],[Low Tol]]</f>
        <v>#VALUE!</v>
      </c>
      <c r="R2753" s="1">
        <f>2*Table1[[#This Row],[Std Error]]</f>
        <v>0</v>
      </c>
      <c r="S2753" s="1" t="str">
        <f>IF(Table1[[#This Row],[High Tol]]="","N/A",IFERROR(ABS(Table1[[#This Row],[Tol Span]]/Table1[[#This Row],[Error Span]]),"N/A"))</f>
        <v>N/A</v>
      </c>
      <c r="T2753" s="1" t="str">
        <f>IF(OR(Table1[[#This Row],[Low Tol]]="",Table1[[#This Row],[High Tol]]=""),"Needs Analysis",IF(Table1[[#This Row],[Ratio]]&gt;=4,"Not Significant",IF(Table1[[#This Row],[Ratio]]&gt;=2,"Semi-Significant","Significant")))</f>
        <v>Needs Analysis</v>
      </c>
      <c r="W2753" s="1">
        <f>IF(Table1[[#This Row],[Cal Type]]&lt;&gt;"ACCREDITED 17025 WITH UNCERTAINTIES",0,"")</f>
        <v>0</v>
      </c>
      <c r="X2753" s="1" t="str">
        <f>IF(Table1[[#This Row],[DUT Read]]="","N/A",Table1[[#This Row],[Std Error]]+Table1[[#This Row],[DUT Read]]+Table1[[#This Row],[DUT Ucty]])</f>
        <v>N/A</v>
      </c>
      <c r="Y2753" s="1" t="str">
        <f>IF(Table1[[#This Row],[Std Read]]="","N/A",Table1[[#This Row],[Std Read]]+Table1[[#This Row],[Std Ucty]])</f>
        <v>N/A</v>
      </c>
      <c r="Z27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3" s="1" t="str">
        <f>IF(Table1[[#This Row],[Spec Type]]="","N/A",Table1[[#This Row],[Spec Type]])</f>
        <v>±</v>
      </c>
      <c r="AC2753" s="1" t="str">
        <f>IF(Table1[[#This Row],[Spec Type2]]="N/A","N/A",IF(AND(Table1[[#This Row],[DUT Adj Read]]&gt;=Table1[[#This Row],[Low Tol]],Table1[[#This Row],[DUT Adj Read]]&lt;=Table1[[#This Row],[High Tol]]),"Pass","Fail"))</f>
        <v>Fail</v>
      </c>
      <c r="AD2753" s="1" t="str">
        <f>IF(AND(Table1[[#This Row],[Spec Type2]]="N/A",Table1[[#This Row],[DUT Adj Read]]="N/A",Table1[[#This Row],[Std Adj Read]]="N/A"),"N/A",IF(Table1[[#This Row],[DUT Adj Read]]="N/A",IF(Table1[[#This Row],[Std Adj Read]]&gt;Table1[[#This Row],[Low Tol]],"Pass","Fail"),IF(Table1[[#This Row],[DUT Adj Read]]&gt;Table1[[#This Row],[Low Tol]],"Pass","Fail")))</f>
        <v>Pass</v>
      </c>
      <c r="AE2753" s="1" t="str">
        <f>IF(AND(Table1[[#This Row],[Spec Type2]]="N/A",Table1[[#This Row],[DUT Adj Read]]="N/A",Table1[[#This Row],[Std Adj Read]]="N/A"),"N/A",IF(Table1[[#This Row],[DUT Adj Read]]="N/A",IF(Table1[[#This Row],[Std Adj Read]]&lt;Table1[[#This Row],[High Tol]],"Pass","Fail"),IF(Table1[[#This Row],[DUT Adj Read]]&lt;Table1[[#This Row],[High Tol]],"Pass","Fail")))</f>
        <v>Fail</v>
      </c>
      <c r="AF2753" s="1" t="str">
        <f>IF(AND(Table1[[#This Row],[Spec Type2]]="N/A",Table1[[#This Row],[DUT Adj Read]]="N/A",Table1[[#This Row],[Std Adj Read]]="N/A"),"N/A",IF(Table1[[#This Row],[DUT Adj Read]]="N/A",IF(Table1[[#This Row],[Std Adj Read]]&gt;=Table1[[#This Row],[Low Tol]],"Pass","Fail"),IF(Table1[[#This Row],[DUT Adj Read]]&gt;=Table1[[#This Row],[Low Tol]],"Pass","Fail")))</f>
        <v>Pass</v>
      </c>
      <c r="AG2753" s="1" t="str">
        <f>IF(AND(Table1[[#This Row],[Spec Type2]]="N/A",Table1[[#This Row],[DUT Adj Read]]="N/A",Table1[[#This Row],[Std Adj Read]]="N/A"),"N/A",IF(Table1[[#This Row],[DUT Adj Read]]="N/A",IF(Table1[[#This Row],[Std Adj Read]]&lt;=Table1[[#This Row],[High Tol]],"Pass","Fail"),IF(Table1[[#This Row],[DUT Adj Read]]&lt;=Table1[[#This Row],[High Tol]],"Pass","Fail")))</f>
        <v>Fail</v>
      </c>
      <c r="AH27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3" s="1" t="b">
        <v>0</v>
      </c>
      <c r="AN2753" s="1" t="b">
        <v>0</v>
      </c>
      <c r="AO2753" s="1" t="b">
        <v>0</v>
      </c>
    </row>
    <row r="2754" spans="1:41" x14ac:dyDescent="0.25">
      <c r="A2754" s="10"/>
      <c r="B2754" s="10"/>
      <c r="C2754" s="10"/>
      <c r="D2754" s="10"/>
      <c r="E2754" s="10"/>
      <c r="F2754" s="10"/>
      <c r="G2754" s="10"/>
      <c r="H2754" s="10"/>
      <c r="I2754" s="1" t="str">
        <f t="shared" si="126"/>
        <v/>
      </c>
      <c r="J2754" s="1" t="s">
        <v>35</v>
      </c>
      <c r="K2754" s="1" t="str">
        <f t="shared" si="127"/>
        <v/>
      </c>
      <c r="L2754" s="1" t="str">
        <f t="shared" si="128"/>
        <v/>
      </c>
      <c r="M2754" s="1">
        <f>IF(OR(Table1[[#This Row],[Std Nom]]="",Table1[[#This Row],[Std Read]]=""),0,Table1[[#This Row],[Std Nom]]-Table1[[#This Row],[Std Read]])</f>
        <v>0</v>
      </c>
      <c r="N2754" s="1">
        <f>IF(Calculations!$F$5="ACCREDITED 17025 WITH UNCERTAINTIES",$N$10,0)</f>
        <v>0</v>
      </c>
      <c r="O2754" s="1" t="str">
        <f>IFERROR(Table1[[#This Row],[Std Nom]]-(_xlfn.XLOOKUP(Table1[[#This Row],[Manufacturer]]&amp;" "&amp;Table1[[#This Row],[Model]],Table13[MFR &amp; MDL],Table13[Tolerance % CW ],"")/100*Table1[[#This Row],[Std Nom]]),"")</f>
        <v/>
      </c>
      <c r="P2754" s="1" t="str">
        <f>IFERROR(Table1[[#This Row],[Std Nom]]+(_xlfn.XLOOKUP(Table1[[#This Row],[Manufacturer]]&amp;" "&amp;Table1[[#This Row],[Model]],Table13[MFR &amp; MDL],Table13[Tolerance % CW ],"")/100*Table1[[#This Row],[Std Nom]]),"")</f>
        <v/>
      </c>
      <c r="Q2754" s="1" t="e">
        <f>Table1[[#This Row],[High Tol]]-Table1[[#This Row],[Low Tol]]</f>
        <v>#VALUE!</v>
      </c>
      <c r="R2754" s="1">
        <f>2*Table1[[#This Row],[Std Error]]</f>
        <v>0</v>
      </c>
      <c r="S2754" s="1" t="str">
        <f>IF(Table1[[#This Row],[High Tol]]="","N/A",IFERROR(ABS(Table1[[#This Row],[Tol Span]]/Table1[[#This Row],[Error Span]]),"N/A"))</f>
        <v>N/A</v>
      </c>
      <c r="T2754" s="1" t="str">
        <f>IF(OR(Table1[[#This Row],[Low Tol]]="",Table1[[#This Row],[High Tol]]=""),"Needs Analysis",IF(Table1[[#This Row],[Ratio]]&gt;=4,"Not Significant",IF(Table1[[#This Row],[Ratio]]&gt;=2,"Semi-Significant","Significant")))</f>
        <v>Needs Analysis</v>
      </c>
      <c r="W2754" s="1">
        <f>IF(Table1[[#This Row],[Cal Type]]&lt;&gt;"ACCREDITED 17025 WITH UNCERTAINTIES",0,"")</f>
        <v>0</v>
      </c>
      <c r="X2754" s="1" t="str">
        <f>IF(Table1[[#This Row],[DUT Read]]="","N/A",Table1[[#This Row],[Std Error]]+Table1[[#This Row],[DUT Read]]+Table1[[#This Row],[DUT Ucty]])</f>
        <v>N/A</v>
      </c>
      <c r="Y2754" s="1" t="str">
        <f>IF(Table1[[#This Row],[Std Read]]="","N/A",Table1[[#This Row],[Std Read]]+Table1[[#This Row],[Std Ucty]])</f>
        <v>N/A</v>
      </c>
      <c r="Z27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4" s="1" t="str">
        <f>IF(Table1[[#This Row],[Spec Type]]="","N/A",Table1[[#This Row],[Spec Type]])</f>
        <v>±</v>
      </c>
      <c r="AC2754" s="1" t="str">
        <f>IF(Table1[[#This Row],[Spec Type2]]="N/A","N/A",IF(AND(Table1[[#This Row],[DUT Adj Read]]&gt;=Table1[[#This Row],[Low Tol]],Table1[[#This Row],[DUT Adj Read]]&lt;=Table1[[#This Row],[High Tol]]),"Pass","Fail"))</f>
        <v>Fail</v>
      </c>
      <c r="AD2754" s="1" t="str">
        <f>IF(AND(Table1[[#This Row],[Spec Type2]]="N/A",Table1[[#This Row],[DUT Adj Read]]="N/A",Table1[[#This Row],[Std Adj Read]]="N/A"),"N/A",IF(Table1[[#This Row],[DUT Adj Read]]="N/A",IF(Table1[[#This Row],[Std Adj Read]]&gt;Table1[[#This Row],[Low Tol]],"Pass","Fail"),IF(Table1[[#This Row],[DUT Adj Read]]&gt;Table1[[#This Row],[Low Tol]],"Pass","Fail")))</f>
        <v>Pass</v>
      </c>
      <c r="AE2754" s="1" t="str">
        <f>IF(AND(Table1[[#This Row],[Spec Type2]]="N/A",Table1[[#This Row],[DUT Adj Read]]="N/A",Table1[[#This Row],[Std Adj Read]]="N/A"),"N/A",IF(Table1[[#This Row],[DUT Adj Read]]="N/A",IF(Table1[[#This Row],[Std Adj Read]]&lt;Table1[[#This Row],[High Tol]],"Pass","Fail"),IF(Table1[[#This Row],[DUT Adj Read]]&lt;Table1[[#This Row],[High Tol]],"Pass","Fail")))</f>
        <v>Fail</v>
      </c>
      <c r="AF2754" s="1" t="str">
        <f>IF(AND(Table1[[#This Row],[Spec Type2]]="N/A",Table1[[#This Row],[DUT Adj Read]]="N/A",Table1[[#This Row],[Std Adj Read]]="N/A"),"N/A",IF(Table1[[#This Row],[DUT Adj Read]]="N/A",IF(Table1[[#This Row],[Std Adj Read]]&gt;=Table1[[#This Row],[Low Tol]],"Pass","Fail"),IF(Table1[[#This Row],[DUT Adj Read]]&gt;=Table1[[#This Row],[Low Tol]],"Pass","Fail")))</f>
        <v>Pass</v>
      </c>
      <c r="AG2754" s="1" t="str">
        <f>IF(AND(Table1[[#This Row],[Spec Type2]]="N/A",Table1[[#This Row],[DUT Adj Read]]="N/A",Table1[[#This Row],[Std Adj Read]]="N/A"),"N/A",IF(Table1[[#This Row],[DUT Adj Read]]="N/A",IF(Table1[[#This Row],[Std Adj Read]]&lt;=Table1[[#This Row],[High Tol]],"Pass","Fail"),IF(Table1[[#This Row],[DUT Adj Read]]&lt;=Table1[[#This Row],[High Tol]],"Pass","Fail")))</f>
        <v>Fail</v>
      </c>
      <c r="AH27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4" s="1" t="b">
        <v>0</v>
      </c>
      <c r="AN2754" s="1" t="b">
        <v>0</v>
      </c>
      <c r="AO2754" s="1" t="b">
        <v>0</v>
      </c>
    </row>
    <row r="2755" spans="1:41" x14ac:dyDescent="0.25">
      <c r="A2755" s="10"/>
      <c r="B2755" s="10"/>
      <c r="C2755" s="10"/>
      <c r="D2755" s="10"/>
      <c r="E2755" s="10"/>
      <c r="F2755" s="10"/>
      <c r="G2755" s="10"/>
      <c r="H2755" s="10"/>
      <c r="I2755" s="1" t="str">
        <f t="shared" si="126"/>
        <v/>
      </c>
      <c r="J2755" s="1" t="s">
        <v>35</v>
      </c>
      <c r="K2755" s="1" t="str">
        <f t="shared" si="127"/>
        <v/>
      </c>
      <c r="L2755" s="1" t="str">
        <f t="shared" si="128"/>
        <v/>
      </c>
      <c r="M2755" s="1">
        <f>IF(OR(Table1[[#This Row],[Std Nom]]="",Table1[[#This Row],[Std Read]]=""),0,Table1[[#This Row],[Std Nom]]-Table1[[#This Row],[Std Read]])</f>
        <v>0</v>
      </c>
      <c r="N2755" s="1">
        <f>IF(Calculations!$F$5="ACCREDITED 17025 WITH UNCERTAINTIES",$N$10,0)</f>
        <v>0</v>
      </c>
      <c r="O2755" s="1" t="str">
        <f>IFERROR(Table1[[#This Row],[Std Nom]]-(_xlfn.XLOOKUP(Table1[[#This Row],[Manufacturer]]&amp;" "&amp;Table1[[#This Row],[Model]],Table13[MFR &amp; MDL],Table13[Tolerance % CW ],"")/100*Table1[[#This Row],[Std Nom]]),"")</f>
        <v/>
      </c>
      <c r="P2755" s="1" t="str">
        <f>IFERROR(Table1[[#This Row],[Std Nom]]+(_xlfn.XLOOKUP(Table1[[#This Row],[Manufacturer]]&amp;" "&amp;Table1[[#This Row],[Model]],Table13[MFR &amp; MDL],Table13[Tolerance % CW ],"")/100*Table1[[#This Row],[Std Nom]]),"")</f>
        <v/>
      </c>
      <c r="Q2755" s="1" t="e">
        <f>Table1[[#This Row],[High Tol]]-Table1[[#This Row],[Low Tol]]</f>
        <v>#VALUE!</v>
      </c>
      <c r="R2755" s="1">
        <f>2*Table1[[#This Row],[Std Error]]</f>
        <v>0</v>
      </c>
      <c r="S2755" s="1" t="str">
        <f>IF(Table1[[#This Row],[High Tol]]="","N/A",IFERROR(ABS(Table1[[#This Row],[Tol Span]]/Table1[[#This Row],[Error Span]]),"N/A"))</f>
        <v>N/A</v>
      </c>
      <c r="T2755" s="1" t="str">
        <f>IF(OR(Table1[[#This Row],[Low Tol]]="",Table1[[#This Row],[High Tol]]=""),"Needs Analysis",IF(Table1[[#This Row],[Ratio]]&gt;=4,"Not Significant",IF(Table1[[#This Row],[Ratio]]&gt;=2,"Semi-Significant","Significant")))</f>
        <v>Needs Analysis</v>
      </c>
      <c r="W2755" s="1">
        <f>IF(Table1[[#This Row],[Cal Type]]&lt;&gt;"ACCREDITED 17025 WITH UNCERTAINTIES",0,"")</f>
        <v>0</v>
      </c>
      <c r="X2755" s="1" t="str">
        <f>IF(Table1[[#This Row],[DUT Read]]="","N/A",Table1[[#This Row],[Std Error]]+Table1[[#This Row],[DUT Read]]+Table1[[#This Row],[DUT Ucty]])</f>
        <v>N/A</v>
      </c>
      <c r="Y2755" s="1" t="str">
        <f>IF(Table1[[#This Row],[Std Read]]="","N/A",Table1[[#This Row],[Std Read]]+Table1[[#This Row],[Std Ucty]])</f>
        <v>N/A</v>
      </c>
      <c r="Z27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5" s="1" t="str">
        <f>IF(Table1[[#This Row],[Spec Type]]="","N/A",Table1[[#This Row],[Spec Type]])</f>
        <v>±</v>
      </c>
      <c r="AC2755" s="1" t="str">
        <f>IF(Table1[[#This Row],[Spec Type2]]="N/A","N/A",IF(AND(Table1[[#This Row],[DUT Adj Read]]&gt;=Table1[[#This Row],[Low Tol]],Table1[[#This Row],[DUT Adj Read]]&lt;=Table1[[#This Row],[High Tol]]),"Pass","Fail"))</f>
        <v>Fail</v>
      </c>
      <c r="AD2755" s="1" t="str">
        <f>IF(AND(Table1[[#This Row],[Spec Type2]]="N/A",Table1[[#This Row],[DUT Adj Read]]="N/A",Table1[[#This Row],[Std Adj Read]]="N/A"),"N/A",IF(Table1[[#This Row],[DUT Adj Read]]="N/A",IF(Table1[[#This Row],[Std Adj Read]]&gt;Table1[[#This Row],[Low Tol]],"Pass","Fail"),IF(Table1[[#This Row],[DUT Adj Read]]&gt;Table1[[#This Row],[Low Tol]],"Pass","Fail")))</f>
        <v>Pass</v>
      </c>
      <c r="AE2755" s="1" t="str">
        <f>IF(AND(Table1[[#This Row],[Spec Type2]]="N/A",Table1[[#This Row],[DUT Adj Read]]="N/A",Table1[[#This Row],[Std Adj Read]]="N/A"),"N/A",IF(Table1[[#This Row],[DUT Adj Read]]="N/A",IF(Table1[[#This Row],[Std Adj Read]]&lt;Table1[[#This Row],[High Tol]],"Pass","Fail"),IF(Table1[[#This Row],[DUT Adj Read]]&lt;Table1[[#This Row],[High Tol]],"Pass","Fail")))</f>
        <v>Fail</v>
      </c>
      <c r="AF2755" s="1" t="str">
        <f>IF(AND(Table1[[#This Row],[Spec Type2]]="N/A",Table1[[#This Row],[DUT Adj Read]]="N/A",Table1[[#This Row],[Std Adj Read]]="N/A"),"N/A",IF(Table1[[#This Row],[DUT Adj Read]]="N/A",IF(Table1[[#This Row],[Std Adj Read]]&gt;=Table1[[#This Row],[Low Tol]],"Pass","Fail"),IF(Table1[[#This Row],[DUT Adj Read]]&gt;=Table1[[#This Row],[Low Tol]],"Pass","Fail")))</f>
        <v>Pass</v>
      </c>
      <c r="AG2755" s="1" t="str">
        <f>IF(AND(Table1[[#This Row],[Spec Type2]]="N/A",Table1[[#This Row],[DUT Adj Read]]="N/A",Table1[[#This Row],[Std Adj Read]]="N/A"),"N/A",IF(Table1[[#This Row],[DUT Adj Read]]="N/A",IF(Table1[[#This Row],[Std Adj Read]]&lt;=Table1[[#This Row],[High Tol]],"Pass","Fail"),IF(Table1[[#This Row],[DUT Adj Read]]&lt;=Table1[[#This Row],[High Tol]],"Pass","Fail")))</f>
        <v>Fail</v>
      </c>
      <c r="AH27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5" s="1" t="b">
        <v>0</v>
      </c>
      <c r="AN2755" s="1" t="b">
        <v>0</v>
      </c>
      <c r="AO2755" s="1" t="b">
        <v>0</v>
      </c>
    </row>
    <row r="2756" spans="1:41" x14ac:dyDescent="0.25">
      <c r="A2756" s="10"/>
      <c r="B2756" s="10"/>
      <c r="C2756" s="10"/>
      <c r="D2756" s="10"/>
      <c r="E2756" s="10"/>
      <c r="F2756" s="10"/>
      <c r="G2756" s="10"/>
      <c r="H2756" s="10"/>
      <c r="I2756" s="1" t="str">
        <f t="shared" si="126"/>
        <v/>
      </c>
      <c r="J2756" s="1" t="s">
        <v>35</v>
      </c>
      <c r="K2756" s="1" t="str">
        <f t="shared" si="127"/>
        <v/>
      </c>
      <c r="L2756" s="1" t="str">
        <f t="shared" si="128"/>
        <v/>
      </c>
      <c r="M2756" s="1">
        <f>IF(OR(Table1[[#This Row],[Std Nom]]="",Table1[[#This Row],[Std Read]]=""),0,Table1[[#This Row],[Std Nom]]-Table1[[#This Row],[Std Read]])</f>
        <v>0</v>
      </c>
      <c r="N2756" s="1">
        <f>IF(Calculations!$F$5="ACCREDITED 17025 WITH UNCERTAINTIES",$N$10,0)</f>
        <v>0</v>
      </c>
      <c r="O2756" s="1" t="str">
        <f>IFERROR(Table1[[#This Row],[Std Nom]]-(_xlfn.XLOOKUP(Table1[[#This Row],[Manufacturer]]&amp;" "&amp;Table1[[#This Row],[Model]],Table13[MFR &amp; MDL],Table13[Tolerance % CW ],"")/100*Table1[[#This Row],[Std Nom]]),"")</f>
        <v/>
      </c>
      <c r="P2756" s="1" t="str">
        <f>IFERROR(Table1[[#This Row],[Std Nom]]+(_xlfn.XLOOKUP(Table1[[#This Row],[Manufacturer]]&amp;" "&amp;Table1[[#This Row],[Model]],Table13[MFR &amp; MDL],Table13[Tolerance % CW ],"")/100*Table1[[#This Row],[Std Nom]]),"")</f>
        <v/>
      </c>
      <c r="Q2756" s="1" t="e">
        <f>Table1[[#This Row],[High Tol]]-Table1[[#This Row],[Low Tol]]</f>
        <v>#VALUE!</v>
      </c>
      <c r="R2756" s="1">
        <f>2*Table1[[#This Row],[Std Error]]</f>
        <v>0</v>
      </c>
      <c r="S2756" s="1" t="str">
        <f>IF(Table1[[#This Row],[High Tol]]="","N/A",IFERROR(ABS(Table1[[#This Row],[Tol Span]]/Table1[[#This Row],[Error Span]]),"N/A"))</f>
        <v>N/A</v>
      </c>
      <c r="T2756" s="1" t="str">
        <f>IF(OR(Table1[[#This Row],[Low Tol]]="",Table1[[#This Row],[High Tol]]=""),"Needs Analysis",IF(Table1[[#This Row],[Ratio]]&gt;=4,"Not Significant",IF(Table1[[#This Row],[Ratio]]&gt;=2,"Semi-Significant","Significant")))</f>
        <v>Needs Analysis</v>
      </c>
      <c r="W2756" s="1">
        <f>IF(Table1[[#This Row],[Cal Type]]&lt;&gt;"ACCREDITED 17025 WITH UNCERTAINTIES",0,"")</f>
        <v>0</v>
      </c>
      <c r="X2756" s="1" t="str">
        <f>IF(Table1[[#This Row],[DUT Read]]="","N/A",Table1[[#This Row],[Std Error]]+Table1[[#This Row],[DUT Read]]+Table1[[#This Row],[DUT Ucty]])</f>
        <v>N/A</v>
      </c>
      <c r="Y2756" s="1" t="str">
        <f>IF(Table1[[#This Row],[Std Read]]="","N/A",Table1[[#This Row],[Std Read]]+Table1[[#This Row],[Std Ucty]])</f>
        <v>N/A</v>
      </c>
      <c r="Z27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6" s="1" t="str">
        <f>IF(Table1[[#This Row],[Spec Type]]="","N/A",Table1[[#This Row],[Spec Type]])</f>
        <v>±</v>
      </c>
      <c r="AC2756" s="1" t="str">
        <f>IF(Table1[[#This Row],[Spec Type2]]="N/A","N/A",IF(AND(Table1[[#This Row],[DUT Adj Read]]&gt;=Table1[[#This Row],[Low Tol]],Table1[[#This Row],[DUT Adj Read]]&lt;=Table1[[#This Row],[High Tol]]),"Pass","Fail"))</f>
        <v>Fail</v>
      </c>
      <c r="AD2756" s="1" t="str">
        <f>IF(AND(Table1[[#This Row],[Spec Type2]]="N/A",Table1[[#This Row],[DUT Adj Read]]="N/A",Table1[[#This Row],[Std Adj Read]]="N/A"),"N/A",IF(Table1[[#This Row],[DUT Adj Read]]="N/A",IF(Table1[[#This Row],[Std Adj Read]]&gt;Table1[[#This Row],[Low Tol]],"Pass","Fail"),IF(Table1[[#This Row],[DUT Adj Read]]&gt;Table1[[#This Row],[Low Tol]],"Pass","Fail")))</f>
        <v>Pass</v>
      </c>
      <c r="AE2756" s="1" t="str">
        <f>IF(AND(Table1[[#This Row],[Spec Type2]]="N/A",Table1[[#This Row],[DUT Adj Read]]="N/A",Table1[[#This Row],[Std Adj Read]]="N/A"),"N/A",IF(Table1[[#This Row],[DUT Adj Read]]="N/A",IF(Table1[[#This Row],[Std Adj Read]]&lt;Table1[[#This Row],[High Tol]],"Pass","Fail"),IF(Table1[[#This Row],[DUT Adj Read]]&lt;Table1[[#This Row],[High Tol]],"Pass","Fail")))</f>
        <v>Fail</v>
      </c>
      <c r="AF2756" s="1" t="str">
        <f>IF(AND(Table1[[#This Row],[Spec Type2]]="N/A",Table1[[#This Row],[DUT Adj Read]]="N/A",Table1[[#This Row],[Std Adj Read]]="N/A"),"N/A",IF(Table1[[#This Row],[DUT Adj Read]]="N/A",IF(Table1[[#This Row],[Std Adj Read]]&gt;=Table1[[#This Row],[Low Tol]],"Pass","Fail"),IF(Table1[[#This Row],[DUT Adj Read]]&gt;=Table1[[#This Row],[Low Tol]],"Pass","Fail")))</f>
        <v>Pass</v>
      </c>
      <c r="AG2756" s="1" t="str">
        <f>IF(AND(Table1[[#This Row],[Spec Type2]]="N/A",Table1[[#This Row],[DUT Adj Read]]="N/A",Table1[[#This Row],[Std Adj Read]]="N/A"),"N/A",IF(Table1[[#This Row],[DUT Adj Read]]="N/A",IF(Table1[[#This Row],[Std Adj Read]]&lt;=Table1[[#This Row],[High Tol]],"Pass","Fail"),IF(Table1[[#This Row],[DUT Adj Read]]&lt;=Table1[[#This Row],[High Tol]],"Pass","Fail")))</f>
        <v>Fail</v>
      </c>
      <c r="AH27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6" s="1" t="b">
        <v>0</v>
      </c>
      <c r="AN2756" s="1" t="b">
        <v>0</v>
      </c>
      <c r="AO2756" s="1" t="b">
        <v>0</v>
      </c>
    </row>
    <row r="2757" spans="1:41" x14ac:dyDescent="0.25">
      <c r="A2757" s="10"/>
      <c r="B2757" s="10"/>
      <c r="C2757" s="10"/>
      <c r="D2757" s="10"/>
      <c r="E2757" s="10"/>
      <c r="F2757" s="10"/>
      <c r="G2757" s="10"/>
      <c r="H2757" s="10"/>
      <c r="I2757" s="1" t="str">
        <f t="shared" si="126"/>
        <v/>
      </c>
      <c r="J2757" s="1" t="s">
        <v>35</v>
      </c>
      <c r="K2757" s="1" t="str">
        <f t="shared" si="127"/>
        <v/>
      </c>
      <c r="L2757" s="1" t="str">
        <f t="shared" si="128"/>
        <v/>
      </c>
      <c r="M2757" s="1">
        <f>IF(OR(Table1[[#This Row],[Std Nom]]="",Table1[[#This Row],[Std Read]]=""),0,Table1[[#This Row],[Std Nom]]-Table1[[#This Row],[Std Read]])</f>
        <v>0</v>
      </c>
      <c r="N2757" s="1">
        <f>IF(Calculations!$F$5="ACCREDITED 17025 WITH UNCERTAINTIES",$N$10,0)</f>
        <v>0</v>
      </c>
      <c r="O2757" s="1" t="str">
        <f>IFERROR(Table1[[#This Row],[Std Nom]]-(_xlfn.XLOOKUP(Table1[[#This Row],[Manufacturer]]&amp;" "&amp;Table1[[#This Row],[Model]],Table13[MFR &amp; MDL],Table13[Tolerance % CW ],"")/100*Table1[[#This Row],[Std Nom]]),"")</f>
        <v/>
      </c>
      <c r="P2757" s="1" t="str">
        <f>IFERROR(Table1[[#This Row],[Std Nom]]+(_xlfn.XLOOKUP(Table1[[#This Row],[Manufacturer]]&amp;" "&amp;Table1[[#This Row],[Model]],Table13[MFR &amp; MDL],Table13[Tolerance % CW ],"")/100*Table1[[#This Row],[Std Nom]]),"")</f>
        <v/>
      </c>
      <c r="Q2757" s="1" t="e">
        <f>Table1[[#This Row],[High Tol]]-Table1[[#This Row],[Low Tol]]</f>
        <v>#VALUE!</v>
      </c>
      <c r="R2757" s="1">
        <f>2*Table1[[#This Row],[Std Error]]</f>
        <v>0</v>
      </c>
      <c r="S2757" s="1" t="str">
        <f>IF(Table1[[#This Row],[High Tol]]="","N/A",IFERROR(ABS(Table1[[#This Row],[Tol Span]]/Table1[[#This Row],[Error Span]]),"N/A"))</f>
        <v>N/A</v>
      </c>
      <c r="T2757" s="1" t="str">
        <f>IF(OR(Table1[[#This Row],[Low Tol]]="",Table1[[#This Row],[High Tol]]=""),"Needs Analysis",IF(Table1[[#This Row],[Ratio]]&gt;=4,"Not Significant",IF(Table1[[#This Row],[Ratio]]&gt;=2,"Semi-Significant","Significant")))</f>
        <v>Needs Analysis</v>
      </c>
      <c r="W2757" s="1">
        <f>IF(Table1[[#This Row],[Cal Type]]&lt;&gt;"ACCREDITED 17025 WITH UNCERTAINTIES",0,"")</f>
        <v>0</v>
      </c>
      <c r="X2757" s="1" t="str">
        <f>IF(Table1[[#This Row],[DUT Read]]="","N/A",Table1[[#This Row],[Std Error]]+Table1[[#This Row],[DUT Read]]+Table1[[#This Row],[DUT Ucty]])</f>
        <v>N/A</v>
      </c>
      <c r="Y2757" s="1" t="str">
        <f>IF(Table1[[#This Row],[Std Read]]="","N/A",Table1[[#This Row],[Std Read]]+Table1[[#This Row],[Std Ucty]])</f>
        <v>N/A</v>
      </c>
      <c r="Z27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7" s="1" t="str">
        <f>IF(Table1[[#This Row],[Spec Type]]="","N/A",Table1[[#This Row],[Spec Type]])</f>
        <v>±</v>
      </c>
      <c r="AC2757" s="1" t="str">
        <f>IF(Table1[[#This Row],[Spec Type2]]="N/A","N/A",IF(AND(Table1[[#This Row],[DUT Adj Read]]&gt;=Table1[[#This Row],[Low Tol]],Table1[[#This Row],[DUT Adj Read]]&lt;=Table1[[#This Row],[High Tol]]),"Pass","Fail"))</f>
        <v>Fail</v>
      </c>
      <c r="AD2757" s="1" t="str">
        <f>IF(AND(Table1[[#This Row],[Spec Type2]]="N/A",Table1[[#This Row],[DUT Adj Read]]="N/A",Table1[[#This Row],[Std Adj Read]]="N/A"),"N/A",IF(Table1[[#This Row],[DUT Adj Read]]="N/A",IF(Table1[[#This Row],[Std Adj Read]]&gt;Table1[[#This Row],[Low Tol]],"Pass","Fail"),IF(Table1[[#This Row],[DUT Adj Read]]&gt;Table1[[#This Row],[Low Tol]],"Pass","Fail")))</f>
        <v>Pass</v>
      </c>
      <c r="AE2757" s="1" t="str">
        <f>IF(AND(Table1[[#This Row],[Spec Type2]]="N/A",Table1[[#This Row],[DUT Adj Read]]="N/A",Table1[[#This Row],[Std Adj Read]]="N/A"),"N/A",IF(Table1[[#This Row],[DUT Adj Read]]="N/A",IF(Table1[[#This Row],[Std Adj Read]]&lt;Table1[[#This Row],[High Tol]],"Pass","Fail"),IF(Table1[[#This Row],[DUT Adj Read]]&lt;Table1[[#This Row],[High Tol]],"Pass","Fail")))</f>
        <v>Fail</v>
      </c>
      <c r="AF2757" s="1" t="str">
        <f>IF(AND(Table1[[#This Row],[Spec Type2]]="N/A",Table1[[#This Row],[DUT Adj Read]]="N/A",Table1[[#This Row],[Std Adj Read]]="N/A"),"N/A",IF(Table1[[#This Row],[DUT Adj Read]]="N/A",IF(Table1[[#This Row],[Std Adj Read]]&gt;=Table1[[#This Row],[Low Tol]],"Pass","Fail"),IF(Table1[[#This Row],[DUT Adj Read]]&gt;=Table1[[#This Row],[Low Tol]],"Pass","Fail")))</f>
        <v>Pass</v>
      </c>
      <c r="AG2757" s="1" t="str">
        <f>IF(AND(Table1[[#This Row],[Spec Type2]]="N/A",Table1[[#This Row],[DUT Adj Read]]="N/A",Table1[[#This Row],[Std Adj Read]]="N/A"),"N/A",IF(Table1[[#This Row],[DUT Adj Read]]="N/A",IF(Table1[[#This Row],[Std Adj Read]]&lt;=Table1[[#This Row],[High Tol]],"Pass","Fail"),IF(Table1[[#This Row],[DUT Adj Read]]&lt;=Table1[[#This Row],[High Tol]],"Pass","Fail")))</f>
        <v>Fail</v>
      </c>
      <c r="AH27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7" s="1" t="b">
        <v>0</v>
      </c>
      <c r="AN2757" s="1" t="b">
        <v>0</v>
      </c>
      <c r="AO2757" s="1" t="b">
        <v>0</v>
      </c>
    </row>
    <row r="2758" spans="1:41" x14ac:dyDescent="0.25">
      <c r="A2758" s="10"/>
      <c r="B2758" s="10"/>
      <c r="C2758" s="10"/>
      <c r="D2758" s="10"/>
      <c r="E2758" s="10"/>
      <c r="F2758" s="10"/>
      <c r="G2758" s="10"/>
      <c r="H2758" s="10"/>
      <c r="I2758" s="1" t="str">
        <f t="shared" si="126"/>
        <v/>
      </c>
      <c r="J2758" s="1" t="s">
        <v>35</v>
      </c>
      <c r="K2758" s="1" t="str">
        <f t="shared" si="127"/>
        <v/>
      </c>
      <c r="L2758" s="1" t="str">
        <f t="shared" si="128"/>
        <v/>
      </c>
      <c r="M2758" s="1">
        <f>IF(OR(Table1[[#This Row],[Std Nom]]="",Table1[[#This Row],[Std Read]]=""),0,Table1[[#This Row],[Std Nom]]-Table1[[#This Row],[Std Read]])</f>
        <v>0</v>
      </c>
      <c r="N2758" s="1">
        <f>IF(Calculations!$F$5="ACCREDITED 17025 WITH UNCERTAINTIES",$N$10,0)</f>
        <v>0</v>
      </c>
      <c r="O2758" s="1" t="str">
        <f>IFERROR(Table1[[#This Row],[Std Nom]]-(_xlfn.XLOOKUP(Table1[[#This Row],[Manufacturer]]&amp;" "&amp;Table1[[#This Row],[Model]],Table13[MFR &amp; MDL],Table13[Tolerance % CW ],"")/100*Table1[[#This Row],[Std Nom]]),"")</f>
        <v/>
      </c>
      <c r="P2758" s="1" t="str">
        <f>IFERROR(Table1[[#This Row],[Std Nom]]+(_xlfn.XLOOKUP(Table1[[#This Row],[Manufacturer]]&amp;" "&amp;Table1[[#This Row],[Model]],Table13[MFR &amp; MDL],Table13[Tolerance % CW ],"")/100*Table1[[#This Row],[Std Nom]]),"")</f>
        <v/>
      </c>
      <c r="Q2758" s="1" t="e">
        <f>Table1[[#This Row],[High Tol]]-Table1[[#This Row],[Low Tol]]</f>
        <v>#VALUE!</v>
      </c>
      <c r="R2758" s="1">
        <f>2*Table1[[#This Row],[Std Error]]</f>
        <v>0</v>
      </c>
      <c r="S2758" s="1" t="str">
        <f>IF(Table1[[#This Row],[High Tol]]="","N/A",IFERROR(ABS(Table1[[#This Row],[Tol Span]]/Table1[[#This Row],[Error Span]]),"N/A"))</f>
        <v>N/A</v>
      </c>
      <c r="T2758" s="1" t="str">
        <f>IF(OR(Table1[[#This Row],[Low Tol]]="",Table1[[#This Row],[High Tol]]=""),"Needs Analysis",IF(Table1[[#This Row],[Ratio]]&gt;=4,"Not Significant",IF(Table1[[#This Row],[Ratio]]&gt;=2,"Semi-Significant","Significant")))</f>
        <v>Needs Analysis</v>
      </c>
      <c r="W2758" s="1">
        <f>IF(Table1[[#This Row],[Cal Type]]&lt;&gt;"ACCREDITED 17025 WITH UNCERTAINTIES",0,"")</f>
        <v>0</v>
      </c>
      <c r="X2758" s="1" t="str">
        <f>IF(Table1[[#This Row],[DUT Read]]="","N/A",Table1[[#This Row],[Std Error]]+Table1[[#This Row],[DUT Read]]+Table1[[#This Row],[DUT Ucty]])</f>
        <v>N/A</v>
      </c>
      <c r="Y2758" s="1" t="str">
        <f>IF(Table1[[#This Row],[Std Read]]="","N/A",Table1[[#This Row],[Std Read]]+Table1[[#This Row],[Std Ucty]])</f>
        <v>N/A</v>
      </c>
      <c r="Z27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8" s="1" t="str">
        <f>IF(Table1[[#This Row],[Spec Type]]="","N/A",Table1[[#This Row],[Spec Type]])</f>
        <v>±</v>
      </c>
      <c r="AC2758" s="1" t="str">
        <f>IF(Table1[[#This Row],[Spec Type2]]="N/A","N/A",IF(AND(Table1[[#This Row],[DUT Adj Read]]&gt;=Table1[[#This Row],[Low Tol]],Table1[[#This Row],[DUT Adj Read]]&lt;=Table1[[#This Row],[High Tol]]),"Pass","Fail"))</f>
        <v>Fail</v>
      </c>
      <c r="AD2758" s="1" t="str">
        <f>IF(AND(Table1[[#This Row],[Spec Type2]]="N/A",Table1[[#This Row],[DUT Adj Read]]="N/A",Table1[[#This Row],[Std Adj Read]]="N/A"),"N/A",IF(Table1[[#This Row],[DUT Adj Read]]="N/A",IF(Table1[[#This Row],[Std Adj Read]]&gt;Table1[[#This Row],[Low Tol]],"Pass","Fail"),IF(Table1[[#This Row],[DUT Adj Read]]&gt;Table1[[#This Row],[Low Tol]],"Pass","Fail")))</f>
        <v>Pass</v>
      </c>
      <c r="AE2758" s="1" t="str">
        <f>IF(AND(Table1[[#This Row],[Spec Type2]]="N/A",Table1[[#This Row],[DUT Adj Read]]="N/A",Table1[[#This Row],[Std Adj Read]]="N/A"),"N/A",IF(Table1[[#This Row],[DUT Adj Read]]="N/A",IF(Table1[[#This Row],[Std Adj Read]]&lt;Table1[[#This Row],[High Tol]],"Pass","Fail"),IF(Table1[[#This Row],[DUT Adj Read]]&lt;Table1[[#This Row],[High Tol]],"Pass","Fail")))</f>
        <v>Fail</v>
      </c>
      <c r="AF2758" s="1" t="str">
        <f>IF(AND(Table1[[#This Row],[Spec Type2]]="N/A",Table1[[#This Row],[DUT Adj Read]]="N/A",Table1[[#This Row],[Std Adj Read]]="N/A"),"N/A",IF(Table1[[#This Row],[DUT Adj Read]]="N/A",IF(Table1[[#This Row],[Std Adj Read]]&gt;=Table1[[#This Row],[Low Tol]],"Pass","Fail"),IF(Table1[[#This Row],[DUT Adj Read]]&gt;=Table1[[#This Row],[Low Tol]],"Pass","Fail")))</f>
        <v>Pass</v>
      </c>
      <c r="AG2758" s="1" t="str">
        <f>IF(AND(Table1[[#This Row],[Spec Type2]]="N/A",Table1[[#This Row],[DUT Adj Read]]="N/A",Table1[[#This Row],[Std Adj Read]]="N/A"),"N/A",IF(Table1[[#This Row],[DUT Adj Read]]="N/A",IF(Table1[[#This Row],[Std Adj Read]]&lt;=Table1[[#This Row],[High Tol]],"Pass","Fail"),IF(Table1[[#This Row],[DUT Adj Read]]&lt;=Table1[[#This Row],[High Tol]],"Pass","Fail")))</f>
        <v>Fail</v>
      </c>
      <c r="AH27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8" s="1" t="b">
        <v>0</v>
      </c>
      <c r="AN2758" s="1" t="b">
        <v>0</v>
      </c>
      <c r="AO2758" s="1" t="b">
        <v>0</v>
      </c>
    </row>
    <row r="2759" spans="1:41" x14ac:dyDescent="0.25">
      <c r="A2759" s="10"/>
      <c r="B2759" s="10"/>
      <c r="C2759" s="10"/>
      <c r="D2759" s="10"/>
      <c r="E2759" s="10"/>
      <c r="F2759" s="10"/>
      <c r="G2759" s="10"/>
      <c r="H2759" s="10"/>
      <c r="I2759" s="1" t="str">
        <f t="shared" si="126"/>
        <v/>
      </c>
      <c r="J2759" s="1" t="s">
        <v>35</v>
      </c>
      <c r="K2759" s="1" t="str">
        <f t="shared" si="127"/>
        <v/>
      </c>
      <c r="L2759" s="1" t="str">
        <f t="shared" si="128"/>
        <v/>
      </c>
      <c r="M2759" s="1">
        <f>IF(OR(Table1[[#This Row],[Std Nom]]="",Table1[[#This Row],[Std Read]]=""),0,Table1[[#This Row],[Std Nom]]-Table1[[#This Row],[Std Read]])</f>
        <v>0</v>
      </c>
      <c r="N2759" s="1">
        <f>IF(Calculations!$F$5="ACCREDITED 17025 WITH UNCERTAINTIES",$N$10,0)</f>
        <v>0</v>
      </c>
      <c r="O2759" s="1" t="str">
        <f>IFERROR(Table1[[#This Row],[Std Nom]]-(_xlfn.XLOOKUP(Table1[[#This Row],[Manufacturer]]&amp;" "&amp;Table1[[#This Row],[Model]],Table13[MFR &amp; MDL],Table13[Tolerance % CW ],"")/100*Table1[[#This Row],[Std Nom]]),"")</f>
        <v/>
      </c>
      <c r="P2759" s="1" t="str">
        <f>IFERROR(Table1[[#This Row],[Std Nom]]+(_xlfn.XLOOKUP(Table1[[#This Row],[Manufacturer]]&amp;" "&amp;Table1[[#This Row],[Model]],Table13[MFR &amp; MDL],Table13[Tolerance % CW ],"")/100*Table1[[#This Row],[Std Nom]]),"")</f>
        <v/>
      </c>
      <c r="Q2759" s="1" t="e">
        <f>Table1[[#This Row],[High Tol]]-Table1[[#This Row],[Low Tol]]</f>
        <v>#VALUE!</v>
      </c>
      <c r="R2759" s="1">
        <f>2*Table1[[#This Row],[Std Error]]</f>
        <v>0</v>
      </c>
      <c r="S2759" s="1" t="str">
        <f>IF(Table1[[#This Row],[High Tol]]="","N/A",IFERROR(ABS(Table1[[#This Row],[Tol Span]]/Table1[[#This Row],[Error Span]]),"N/A"))</f>
        <v>N/A</v>
      </c>
      <c r="T2759" s="1" t="str">
        <f>IF(OR(Table1[[#This Row],[Low Tol]]="",Table1[[#This Row],[High Tol]]=""),"Needs Analysis",IF(Table1[[#This Row],[Ratio]]&gt;=4,"Not Significant",IF(Table1[[#This Row],[Ratio]]&gt;=2,"Semi-Significant","Significant")))</f>
        <v>Needs Analysis</v>
      </c>
      <c r="W2759" s="1">
        <f>IF(Table1[[#This Row],[Cal Type]]&lt;&gt;"ACCREDITED 17025 WITH UNCERTAINTIES",0,"")</f>
        <v>0</v>
      </c>
      <c r="X2759" s="1" t="str">
        <f>IF(Table1[[#This Row],[DUT Read]]="","N/A",Table1[[#This Row],[Std Error]]+Table1[[#This Row],[DUT Read]]+Table1[[#This Row],[DUT Ucty]])</f>
        <v>N/A</v>
      </c>
      <c r="Y2759" s="1" t="str">
        <f>IF(Table1[[#This Row],[Std Read]]="","N/A",Table1[[#This Row],[Std Read]]+Table1[[#This Row],[Std Ucty]])</f>
        <v>N/A</v>
      </c>
      <c r="Z27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9" s="1" t="str">
        <f>IF(Table1[[#This Row],[Spec Type]]="","N/A",Table1[[#This Row],[Spec Type]])</f>
        <v>±</v>
      </c>
      <c r="AC2759" s="1" t="str">
        <f>IF(Table1[[#This Row],[Spec Type2]]="N/A","N/A",IF(AND(Table1[[#This Row],[DUT Adj Read]]&gt;=Table1[[#This Row],[Low Tol]],Table1[[#This Row],[DUT Adj Read]]&lt;=Table1[[#This Row],[High Tol]]),"Pass","Fail"))</f>
        <v>Fail</v>
      </c>
      <c r="AD2759" s="1" t="str">
        <f>IF(AND(Table1[[#This Row],[Spec Type2]]="N/A",Table1[[#This Row],[DUT Adj Read]]="N/A",Table1[[#This Row],[Std Adj Read]]="N/A"),"N/A",IF(Table1[[#This Row],[DUT Adj Read]]="N/A",IF(Table1[[#This Row],[Std Adj Read]]&gt;Table1[[#This Row],[Low Tol]],"Pass","Fail"),IF(Table1[[#This Row],[DUT Adj Read]]&gt;Table1[[#This Row],[Low Tol]],"Pass","Fail")))</f>
        <v>Pass</v>
      </c>
      <c r="AE2759" s="1" t="str">
        <f>IF(AND(Table1[[#This Row],[Spec Type2]]="N/A",Table1[[#This Row],[DUT Adj Read]]="N/A",Table1[[#This Row],[Std Adj Read]]="N/A"),"N/A",IF(Table1[[#This Row],[DUT Adj Read]]="N/A",IF(Table1[[#This Row],[Std Adj Read]]&lt;Table1[[#This Row],[High Tol]],"Pass","Fail"),IF(Table1[[#This Row],[DUT Adj Read]]&lt;Table1[[#This Row],[High Tol]],"Pass","Fail")))</f>
        <v>Fail</v>
      </c>
      <c r="AF2759" s="1" t="str">
        <f>IF(AND(Table1[[#This Row],[Spec Type2]]="N/A",Table1[[#This Row],[DUT Adj Read]]="N/A",Table1[[#This Row],[Std Adj Read]]="N/A"),"N/A",IF(Table1[[#This Row],[DUT Adj Read]]="N/A",IF(Table1[[#This Row],[Std Adj Read]]&gt;=Table1[[#This Row],[Low Tol]],"Pass","Fail"),IF(Table1[[#This Row],[DUT Adj Read]]&gt;=Table1[[#This Row],[Low Tol]],"Pass","Fail")))</f>
        <v>Pass</v>
      </c>
      <c r="AG2759" s="1" t="str">
        <f>IF(AND(Table1[[#This Row],[Spec Type2]]="N/A",Table1[[#This Row],[DUT Adj Read]]="N/A",Table1[[#This Row],[Std Adj Read]]="N/A"),"N/A",IF(Table1[[#This Row],[DUT Adj Read]]="N/A",IF(Table1[[#This Row],[Std Adj Read]]&lt;=Table1[[#This Row],[High Tol]],"Pass","Fail"),IF(Table1[[#This Row],[DUT Adj Read]]&lt;=Table1[[#This Row],[High Tol]],"Pass","Fail")))</f>
        <v>Fail</v>
      </c>
      <c r="AH27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9" s="1" t="b">
        <v>0</v>
      </c>
      <c r="AN2759" s="1" t="b">
        <v>0</v>
      </c>
      <c r="AO2759" s="1" t="b">
        <v>0</v>
      </c>
    </row>
    <row r="2760" spans="1:41" x14ac:dyDescent="0.25">
      <c r="A2760" s="10"/>
      <c r="B2760" s="10"/>
      <c r="C2760" s="10"/>
      <c r="D2760" s="10"/>
      <c r="E2760" s="10"/>
      <c r="F2760" s="10"/>
      <c r="G2760" s="10"/>
      <c r="H2760" s="10"/>
      <c r="I2760" s="1" t="str">
        <f t="shared" si="126"/>
        <v/>
      </c>
      <c r="J2760" s="1" t="s">
        <v>35</v>
      </c>
      <c r="K2760" s="1" t="str">
        <f t="shared" si="127"/>
        <v/>
      </c>
      <c r="L2760" s="1" t="str">
        <f t="shared" si="128"/>
        <v/>
      </c>
      <c r="M2760" s="1">
        <f>IF(OR(Table1[[#This Row],[Std Nom]]="",Table1[[#This Row],[Std Read]]=""),0,Table1[[#This Row],[Std Nom]]-Table1[[#This Row],[Std Read]])</f>
        <v>0</v>
      </c>
      <c r="N2760" s="1">
        <f>IF(Calculations!$F$5="ACCREDITED 17025 WITH UNCERTAINTIES",$N$10,0)</f>
        <v>0</v>
      </c>
      <c r="O2760" s="1" t="str">
        <f>IFERROR(Table1[[#This Row],[Std Nom]]-(_xlfn.XLOOKUP(Table1[[#This Row],[Manufacturer]]&amp;" "&amp;Table1[[#This Row],[Model]],Table13[MFR &amp; MDL],Table13[Tolerance % CW ],"")/100*Table1[[#This Row],[Std Nom]]),"")</f>
        <v/>
      </c>
      <c r="P2760" s="1" t="str">
        <f>IFERROR(Table1[[#This Row],[Std Nom]]+(_xlfn.XLOOKUP(Table1[[#This Row],[Manufacturer]]&amp;" "&amp;Table1[[#This Row],[Model]],Table13[MFR &amp; MDL],Table13[Tolerance % CW ],"")/100*Table1[[#This Row],[Std Nom]]),"")</f>
        <v/>
      </c>
      <c r="Q2760" s="1" t="e">
        <f>Table1[[#This Row],[High Tol]]-Table1[[#This Row],[Low Tol]]</f>
        <v>#VALUE!</v>
      </c>
      <c r="R2760" s="1">
        <f>2*Table1[[#This Row],[Std Error]]</f>
        <v>0</v>
      </c>
      <c r="S2760" s="1" t="str">
        <f>IF(Table1[[#This Row],[High Tol]]="","N/A",IFERROR(ABS(Table1[[#This Row],[Tol Span]]/Table1[[#This Row],[Error Span]]),"N/A"))</f>
        <v>N/A</v>
      </c>
      <c r="T2760" s="1" t="str">
        <f>IF(OR(Table1[[#This Row],[Low Tol]]="",Table1[[#This Row],[High Tol]]=""),"Needs Analysis",IF(Table1[[#This Row],[Ratio]]&gt;=4,"Not Significant",IF(Table1[[#This Row],[Ratio]]&gt;=2,"Semi-Significant","Significant")))</f>
        <v>Needs Analysis</v>
      </c>
      <c r="W2760" s="1">
        <f>IF(Table1[[#This Row],[Cal Type]]&lt;&gt;"ACCREDITED 17025 WITH UNCERTAINTIES",0,"")</f>
        <v>0</v>
      </c>
      <c r="X2760" s="1" t="str">
        <f>IF(Table1[[#This Row],[DUT Read]]="","N/A",Table1[[#This Row],[Std Error]]+Table1[[#This Row],[DUT Read]]+Table1[[#This Row],[DUT Ucty]])</f>
        <v>N/A</v>
      </c>
      <c r="Y2760" s="1" t="str">
        <f>IF(Table1[[#This Row],[Std Read]]="","N/A",Table1[[#This Row],[Std Read]]+Table1[[#This Row],[Std Ucty]])</f>
        <v>N/A</v>
      </c>
      <c r="Z27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0" s="1" t="str">
        <f>IF(Table1[[#This Row],[Spec Type]]="","N/A",Table1[[#This Row],[Spec Type]])</f>
        <v>±</v>
      </c>
      <c r="AC2760" s="1" t="str">
        <f>IF(Table1[[#This Row],[Spec Type2]]="N/A","N/A",IF(AND(Table1[[#This Row],[DUT Adj Read]]&gt;=Table1[[#This Row],[Low Tol]],Table1[[#This Row],[DUT Adj Read]]&lt;=Table1[[#This Row],[High Tol]]),"Pass","Fail"))</f>
        <v>Fail</v>
      </c>
      <c r="AD2760" s="1" t="str">
        <f>IF(AND(Table1[[#This Row],[Spec Type2]]="N/A",Table1[[#This Row],[DUT Adj Read]]="N/A",Table1[[#This Row],[Std Adj Read]]="N/A"),"N/A",IF(Table1[[#This Row],[DUT Adj Read]]="N/A",IF(Table1[[#This Row],[Std Adj Read]]&gt;Table1[[#This Row],[Low Tol]],"Pass","Fail"),IF(Table1[[#This Row],[DUT Adj Read]]&gt;Table1[[#This Row],[Low Tol]],"Pass","Fail")))</f>
        <v>Pass</v>
      </c>
      <c r="AE2760" s="1" t="str">
        <f>IF(AND(Table1[[#This Row],[Spec Type2]]="N/A",Table1[[#This Row],[DUT Adj Read]]="N/A",Table1[[#This Row],[Std Adj Read]]="N/A"),"N/A",IF(Table1[[#This Row],[DUT Adj Read]]="N/A",IF(Table1[[#This Row],[Std Adj Read]]&lt;Table1[[#This Row],[High Tol]],"Pass","Fail"),IF(Table1[[#This Row],[DUT Adj Read]]&lt;Table1[[#This Row],[High Tol]],"Pass","Fail")))</f>
        <v>Fail</v>
      </c>
      <c r="AF2760" s="1" t="str">
        <f>IF(AND(Table1[[#This Row],[Spec Type2]]="N/A",Table1[[#This Row],[DUT Adj Read]]="N/A",Table1[[#This Row],[Std Adj Read]]="N/A"),"N/A",IF(Table1[[#This Row],[DUT Adj Read]]="N/A",IF(Table1[[#This Row],[Std Adj Read]]&gt;=Table1[[#This Row],[Low Tol]],"Pass","Fail"),IF(Table1[[#This Row],[DUT Adj Read]]&gt;=Table1[[#This Row],[Low Tol]],"Pass","Fail")))</f>
        <v>Pass</v>
      </c>
      <c r="AG2760" s="1" t="str">
        <f>IF(AND(Table1[[#This Row],[Spec Type2]]="N/A",Table1[[#This Row],[DUT Adj Read]]="N/A",Table1[[#This Row],[Std Adj Read]]="N/A"),"N/A",IF(Table1[[#This Row],[DUT Adj Read]]="N/A",IF(Table1[[#This Row],[Std Adj Read]]&lt;=Table1[[#This Row],[High Tol]],"Pass","Fail"),IF(Table1[[#This Row],[DUT Adj Read]]&lt;=Table1[[#This Row],[High Tol]],"Pass","Fail")))</f>
        <v>Fail</v>
      </c>
      <c r="AH27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0" s="1" t="b">
        <v>0</v>
      </c>
      <c r="AN2760" s="1" t="b">
        <v>0</v>
      </c>
      <c r="AO2760" s="1" t="b">
        <v>0</v>
      </c>
    </row>
    <row r="2761" spans="1:41" x14ac:dyDescent="0.25">
      <c r="A2761" s="10"/>
      <c r="B2761" s="10"/>
      <c r="C2761" s="10"/>
      <c r="D2761" s="10"/>
      <c r="E2761" s="10"/>
      <c r="F2761" s="10"/>
      <c r="G2761" s="10"/>
      <c r="H2761" s="10"/>
      <c r="I2761" s="1" t="str">
        <f t="shared" si="126"/>
        <v/>
      </c>
      <c r="J2761" s="1" t="s">
        <v>35</v>
      </c>
      <c r="K2761" s="1" t="str">
        <f t="shared" si="127"/>
        <v/>
      </c>
      <c r="L2761" s="1" t="str">
        <f t="shared" si="128"/>
        <v/>
      </c>
      <c r="M2761" s="1">
        <f>IF(OR(Table1[[#This Row],[Std Nom]]="",Table1[[#This Row],[Std Read]]=""),0,Table1[[#This Row],[Std Nom]]-Table1[[#This Row],[Std Read]])</f>
        <v>0</v>
      </c>
      <c r="N2761" s="1">
        <f>IF(Calculations!$F$5="ACCREDITED 17025 WITH UNCERTAINTIES",$N$10,0)</f>
        <v>0</v>
      </c>
      <c r="O2761" s="1" t="str">
        <f>IFERROR(Table1[[#This Row],[Std Nom]]-(_xlfn.XLOOKUP(Table1[[#This Row],[Manufacturer]]&amp;" "&amp;Table1[[#This Row],[Model]],Table13[MFR &amp; MDL],Table13[Tolerance % CW ],"")/100*Table1[[#This Row],[Std Nom]]),"")</f>
        <v/>
      </c>
      <c r="P2761" s="1" t="str">
        <f>IFERROR(Table1[[#This Row],[Std Nom]]+(_xlfn.XLOOKUP(Table1[[#This Row],[Manufacturer]]&amp;" "&amp;Table1[[#This Row],[Model]],Table13[MFR &amp; MDL],Table13[Tolerance % CW ],"")/100*Table1[[#This Row],[Std Nom]]),"")</f>
        <v/>
      </c>
      <c r="Q2761" s="1" t="e">
        <f>Table1[[#This Row],[High Tol]]-Table1[[#This Row],[Low Tol]]</f>
        <v>#VALUE!</v>
      </c>
      <c r="R2761" s="1">
        <f>2*Table1[[#This Row],[Std Error]]</f>
        <v>0</v>
      </c>
      <c r="S2761" s="1" t="str">
        <f>IF(Table1[[#This Row],[High Tol]]="","N/A",IFERROR(ABS(Table1[[#This Row],[Tol Span]]/Table1[[#This Row],[Error Span]]),"N/A"))</f>
        <v>N/A</v>
      </c>
      <c r="T2761" s="1" t="str">
        <f>IF(OR(Table1[[#This Row],[Low Tol]]="",Table1[[#This Row],[High Tol]]=""),"Needs Analysis",IF(Table1[[#This Row],[Ratio]]&gt;=4,"Not Significant",IF(Table1[[#This Row],[Ratio]]&gt;=2,"Semi-Significant","Significant")))</f>
        <v>Needs Analysis</v>
      </c>
      <c r="W2761" s="1">
        <f>IF(Table1[[#This Row],[Cal Type]]&lt;&gt;"ACCREDITED 17025 WITH UNCERTAINTIES",0,"")</f>
        <v>0</v>
      </c>
      <c r="X2761" s="1" t="str">
        <f>IF(Table1[[#This Row],[DUT Read]]="","N/A",Table1[[#This Row],[Std Error]]+Table1[[#This Row],[DUT Read]]+Table1[[#This Row],[DUT Ucty]])</f>
        <v>N/A</v>
      </c>
      <c r="Y2761" s="1" t="str">
        <f>IF(Table1[[#This Row],[Std Read]]="","N/A",Table1[[#This Row],[Std Read]]+Table1[[#This Row],[Std Ucty]])</f>
        <v>N/A</v>
      </c>
      <c r="Z27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1" s="1" t="str">
        <f>IF(Table1[[#This Row],[Spec Type]]="","N/A",Table1[[#This Row],[Spec Type]])</f>
        <v>±</v>
      </c>
      <c r="AC2761" s="1" t="str">
        <f>IF(Table1[[#This Row],[Spec Type2]]="N/A","N/A",IF(AND(Table1[[#This Row],[DUT Adj Read]]&gt;=Table1[[#This Row],[Low Tol]],Table1[[#This Row],[DUT Adj Read]]&lt;=Table1[[#This Row],[High Tol]]),"Pass","Fail"))</f>
        <v>Fail</v>
      </c>
      <c r="AD2761" s="1" t="str">
        <f>IF(AND(Table1[[#This Row],[Spec Type2]]="N/A",Table1[[#This Row],[DUT Adj Read]]="N/A",Table1[[#This Row],[Std Adj Read]]="N/A"),"N/A",IF(Table1[[#This Row],[DUT Adj Read]]="N/A",IF(Table1[[#This Row],[Std Adj Read]]&gt;Table1[[#This Row],[Low Tol]],"Pass","Fail"),IF(Table1[[#This Row],[DUT Adj Read]]&gt;Table1[[#This Row],[Low Tol]],"Pass","Fail")))</f>
        <v>Pass</v>
      </c>
      <c r="AE2761" s="1" t="str">
        <f>IF(AND(Table1[[#This Row],[Spec Type2]]="N/A",Table1[[#This Row],[DUT Adj Read]]="N/A",Table1[[#This Row],[Std Adj Read]]="N/A"),"N/A",IF(Table1[[#This Row],[DUT Adj Read]]="N/A",IF(Table1[[#This Row],[Std Adj Read]]&lt;Table1[[#This Row],[High Tol]],"Pass","Fail"),IF(Table1[[#This Row],[DUT Adj Read]]&lt;Table1[[#This Row],[High Tol]],"Pass","Fail")))</f>
        <v>Fail</v>
      </c>
      <c r="AF2761" s="1" t="str">
        <f>IF(AND(Table1[[#This Row],[Spec Type2]]="N/A",Table1[[#This Row],[DUT Adj Read]]="N/A",Table1[[#This Row],[Std Adj Read]]="N/A"),"N/A",IF(Table1[[#This Row],[DUT Adj Read]]="N/A",IF(Table1[[#This Row],[Std Adj Read]]&gt;=Table1[[#This Row],[Low Tol]],"Pass","Fail"),IF(Table1[[#This Row],[DUT Adj Read]]&gt;=Table1[[#This Row],[Low Tol]],"Pass","Fail")))</f>
        <v>Pass</v>
      </c>
      <c r="AG2761" s="1" t="str">
        <f>IF(AND(Table1[[#This Row],[Spec Type2]]="N/A",Table1[[#This Row],[DUT Adj Read]]="N/A",Table1[[#This Row],[Std Adj Read]]="N/A"),"N/A",IF(Table1[[#This Row],[DUT Adj Read]]="N/A",IF(Table1[[#This Row],[Std Adj Read]]&lt;=Table1[[#This Row],[High Tol]],"Pass","Fail"),IF(Table1[[#This Row],[DUT Adj Read]]&lt;=Table1[[#This Row],[High Tol]],"Pass","Fail")))</f>
        <v>Fail</v>
      </c>
      <c r="AH27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1" s="1" t="b">
        <v>0</v>
      </c>
      <c r="AN2761" s="1" t="b">
        <v>0</v>
      </c>
      <c r="AO2761" s="1" t="b">
        <v>0</v>
      </c>
    </row>
    <row r="2762" spans="1:41" x14ac:dyDescent="0.25">
      <c r="A2762" s="10"/>
      <c r="B2762" s="10"/>
      <c r="C2762" s="10"/>
      <c r="D2762" s="10"/>
      <c r="E2762" s="10"/>
      <c r="F2762" s="10"/>
      <c r="G2762" s="10"/>
      <c r="H2762" s="10"/>
      <c r="I2762" s="1" t="str">
        <f t="shared" si="126"/>
        <v/>
      </c>
      <c r="J2762" s="1" t="s">
        <v>35</v>
      </c>
      <c r="K2762" s="1" t="str">
        <f t="shared" si="127"/>
        <v/>
      </c>
      <c r="L2762" s="1" t="str">
        <f t="shared" si="128"/>
        <v/>
      </c>
      <c r="M2762" s="1">
        <f>IF(OR(Table1[[#This Row],[Std Nom]]="",Table1[[#This Row],[Std Read]]=""),0,Table1[[#This Row],[Std Nom]]-Table1[[#This Row],[Std Read]])</f>
        <v>0</v>
      </c>
      <c r="N2762" s="1">
        <f>IF(Calculations!$F$5="ACCREDITED 17025 WITH UNCERTAINTIES",$N$10,0)</f>
        <v>0</v>
      </c>
      <c r="O2762" s="1" t="str">
        <f>IFERROR(Table1[[#This Row],[Std Nom]]-(_xlfn.XLOOKUP(Table1[[#This Row],[Manufacturer]]&amp;" "&amp;Table1[[#This Row],[Model]],Table13[MFR &amp; MDL],Table13[Tolerance % CW ],"")/100*Table1[[#This Row],[Std Nom]]),"")</f>
        <v/>
      </c>
      <c r="P2762" s="1" t="str">
        <f>IFERROR(Table1[[#This Row],[Std Nom]]+(_xlfn.XLOOKUP(Table1[[#This Row],[Manufacturer]]&amp;" "&amp;Table1[[#This Row],[Model]],Table13[MFR &amp; MDL],Table13[Tolerance % CW ],"")/100*Table1[[#This Row],[Std Nom]]),"")</f>
        <v/>
      </c>
      <c r="Q2762" s="1" t="e">
        <f>Table1[[#This Row],[High Tol]]-Table1[[#This Row],[Low Tol]]</f>
        <v>#VALUE!</v>
      </c>
      <c r="R2762" s="1">
        <f>2*Table1[[#This Row],[Std Error]]</f>
        <v>0</v>
      </c>
      <c r="S2762" s="1" t="str">
        <f>IF(Table1[[#This Row],[High Tol]]="","N/A",IFERROR(ABS(Table1[[#This Row],[Tol Span]]/Table1[[#This Row],[Error Span]]),"N/A"))</f>
        <v>N/A</v>
      </c>
      <c r="T2762" s="1" t="str">
        <f>IF(OR(Table1[[#This Row],[Low Tol]]="",Table1[[#This Row],[High Tol]]=""),"Needs Analysis",IF(Table1[[#This Row],[Ratio]]&gt;=4,"Not Significant",IF(Table1[[#This Row],[Ratio]]&gt;=2,"Semi-Significant","Significant")))</f>
        <v>Needs Analysis</v>
      </c>
      <c r="W2762" s="1">
        <f>IF(Table1[[#This Row],[Cal Type]]&lt;&gt;"ACCREDITED 17025 WITH UNCERTAINTIES",0,"")</f>
        <v>0</v>
      </c>
      <c r="X2762" s="1" t="str">
        <f>IF(Table1[[#This Row],[DUT Read]]="","N/A",Table1[[#This Row],[Std Error]]+Table1[[#This Row],[DUT Read]]+Table1[[#This Row],[DUT Ucty]])</f>
        <v>N/A</v>
      </c>
      <c r="Y2762" s="1" t="str">
        <f>IF(Table1[[#This Row],[Std Read]]="","N/A",Table1[[#This Row],[Std Read]]+Table1[[#This Row],[Std Ucty]])</f>
        <v>N/A</v>
      </c>
      <c r="Z27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2" s="1" t="str">
        <f>IF(Table1[[#This Row],[Spec Type]]="","N/A",Table1[[#This Row],[Spec Type]])</f>
        <v>±</v>
      </c>
      <c r="AC2762" s="1" t="str">
        <f>IF(Table1[[#This Row],[Spec Type2]]="N/A","N/A",IF(AND(Table1[[#This Row],[DUT Adj Read]]&gt;=Table1[[#This Row],[Low Tol]],Table1[[#This Row],[DUT Adj Read]]&lt;=Table1[[#This Row],[High Tol]]),"Pass","Fail"))</f>
        <v>Fail</v>
      </c>
      <c r="AD2762" s="1" t="str">
        <f>IF(AND(Table1[[#This Row],[Spec Type2]]="N/A",Table1[[#This Row],[DUT Adj Read]]="N/A",Table1[[#This Row],[Std Adj Read]]="N/A"),"N/A",IF(Table1[[#This Row],[DUT Adj Read]]="N/A",IF(Table1[[#This Row],[Std Adj Read]]&gt;Table1[[#This Row],[Low Tol]],"Pass","Fail"),IF(Table1[[#This Row],[DUT Adj Read]]&gt;Table1[[#This Row],[Low Tol]],"Pass","Fail")))</f>
        <v>Pass</v>
      </c>
      <c r="AE2762" s="1" t="str">
        <f>IF(AND(Table1[[#This Row],[Spec Type2]]="N/A",Table1[[#This Row],[DUT Adj Read]]="N/A",Table1[[#This Row],[Std Adj Read]]="N/A"),"N/A",IF(Table1[[#This Row],[DUT Adj Read]]="N/A",IF(Table1[[#This Row],[Std Adj Read]]&lt;Table1[[#This Row],[High Tol]],"Pass","Fail"),IF(Table1[[#This Row],[DUT Adj Read]]&lt;Table1[[#This Row],[High Tol]],"Pass","Fail")))</f>
        <v>Fail</v>
      </c>
      <c r="AF2762" s="1" t="str">
        <f>IF(AND(Table1[[#This Row],[Spec Type2]]="N/A",Table1[[#This Row],[DUT Adj Read]]="N/A",Table1[[#This Row],[Std Adj Read]]="N/A"),"N/A",IF(Table1[[#This Row],[DUT Adj Read]]="N/A",IF(Table1[[#This Row],[Std Adj Read]]&gt;=Table1[[#This Row],[Low Tol]],"Pass","Fail"),IF(Table1[[#This Row],[DUT Adj Read]]&gt;=Table1[[#This Row],[Low Tol]],"Pass","Fail")))</f>
        <v>Pass</v>
      </c>
      <c r="AG2762" s="1" t="str">
        <f>IF(AND(Table1[[#This Row],[Spec Type2]]="N/A",Table1[[#This Row],[DUT Adj Read]]="N/A",Table1[[#This Row],[Std Adj Read]]="N/A"),"N/A",IF(Table1[[#This Row],[DUT Adj Read]]="N/A",IF(Table1[[#This Row],[Std Adj Read]]&lt;=Table1[[#This Row],[High Tol]],"Pass","Fail"),IF(Table1[[#This Row],[DUT Adj Read]]&lt;=Table1[[#This Row],[High Tol]],"Pass","Fail")))</f>
        <v>Fail</v>
      </c>
      <c r="AH27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2" s="1" t="b">
        <v>0</v>
      </c>
      <c r="AN2762" s="1" t="b">
        <v>0</v>
      </c>
      <c r="AO2762" s="1" t="b">
        <v>0</v>
      </c>
    </row>
    <row r="2763" spans="1:41" x14ac:dyDescent="0.25">
      <c r="A2763" s="10"/>
      <c r="B2763" s="10"/>
      <c r="C2763" s="10"/>
      <c r="D2763" s="10"/>
      <c r="E2763" s="10"/>
      <c r="F2763" s="10"/>
      <c r="G2763" s="10"/>
      <c r="H2763" s="10"/>
      <c r="I2763" s="1" t="str">
        <f t="shared" ref="I2763:I2826" si="129">IF($I$10="","",$I$10)</f>
        <v/>
      </c>
      <c r="J2763" s="1" t="s">
        <v>35</v>
      </c>
      <c r="K2763" s="1" t="str">
        <f t="shared" ref="K2763:K2826" si="130">IF($K$10="","",$K$10)</f>
        <v/>
      </c>
      <c r="L2763" s="1" t="str">
        <f t="shared" ref="L2763:L2826" si="131">IF($L$10="","",$L$10)</f>
        <v/>
      </c>
      <c r="M2763" s="1">
        <f>IF(OR(Table1[[#This Row],[Std Nom]]="",Table1[[#This Row],[Std Read]]=""),0,Table1[[#This Row],[Std Nom]]-Table1[[#This Row],[Std Read]])</f>
        <v>0</v>
      </c>
      <c r="N2763" s="1">
        <f>IF(Calculations!$F$5="ACCREDITED 17025 WITH UNCERTAINTIES",$N$10,0)</f>
        <v>0</v>
      </c>
      <c r="O2763" s="1" t="str">
        <f>IFERROR(Table1[[#This Row],[Std Nom]]-(_xlfn.XLOOKUP(Table1[[#This Row],[Manufacturer]]&amp;" "&amp;Table1[[#This Row],[Model]],Table13[MFR &amp; MDL],Table13[Tolerance % CW ],"")/100*Table1[[#This Row],[Std Nom]]),"")</f>
        <v/>
      </c>
      <c r="P2763" s="1" t="str">
        <f>IFERROR(Table1[[#This Row],[Std Nom]]+(_xlfn.XLOOKUP(Table1[[#This Row],[Manufacturer]]&amp;" "&amp;Table1[[#This Row],[Model]],Table13[MFR &amp; MDL],Table13[Tolerance % CW ],"")/100*Table1[[#This Row],[Std Nom]]),"")</f>
        <v/>
      </c>
      <c r="Q2763" s="1" t="e">
        <f>Table1[[#This Row],[High Tol]]-Table1[[#This Row],[Low Tol]]</f>
        <v>#VALUE!</v>
      </c>
      <c r="R2763" s="1">
        <f>2*Table1[[#This Row],[Std Error]]</f>
        <v>0</v>
      </c>
      <c r="S2763" s="1" t="str">
        <f>IF(Table1[[#This Row],[High Tol]]="","N/A",IFERROR(ABS(Table1[[#This Row],[Tol Span]]/Table1[[#This Row],[Error Span]]),"N/A"))</f>
        <v>N/A</v>
      </c>
      <c r="T2763" s="1" t="str">
        <f>IF(OR(Table1[[#This Row],[Low Tol]]="",Table1[[#This Row],[High Tol]]=""),"Needs Analysis",IF(Table1[[#This Row],[Ratio]]&gt;=4,"Not Significant",IF(Table1[[#This Row],[Ratio]]&gt;=2,"Semi-Significant","Significant")))</f>
        <v>Needs Analysis</v>
      </c>
      <c r="W2763" s="1">
        <f>IF(Table1[[#This Row],[Cal Type]]&lt;&gt;"ACCREDITED 17025 WITH UNCERTAINTIES",0,"")</f>
        <v>0</v>
      </c>
      <c r="X2763" s="1" t="str">
        <f>IF(Table1[[#This Row],[DUT Read]]="","N/A",Table1[[#This Row],[Std Error]]+Table1[[#This Row],[DUT Read]]+Table1[[#This Row],[DUT Ucty]])</f>
        <v>N/A</v>
      </c>
      <c r="Y2763" s="1" t="str">
        <f>IF(Table1[[#This Row],[Std Read]]="","N/A",Table1[[#This Row],[Std Read]]+Table1[[#This Row],[Std Ucty]])</f>
        <v>N/A</v>
      </c>
      <c r="Z27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3" s="1" t="str">
        <f>IF(Table1[[#This Row],[Spec Type]]="","N/A",Table1[[#This Row],[Spec Type]])</f>
        <v>±</v>
      </c>
      <c r="AC2763" s="1" t="str">
        <f>IF(Table1[[#This Row],[Spec Type2]]="N/A","N/A",IF(AND(Table1[[#This Row],[DUT Adj Read]]&gt;=Table1[[#This Row],[Low Tol]],Table1[[#This Row],[DUT Adj Read]]&lt;=Table1[[#This Row],[High Tol]]),"Pass","Fail"))</f>
        <v>Fail</v>
      </c>
      <c r="AD2763" s="1" t="str">
        <f>IF(AND(Table1[[#This Row],[Spec Type2]]="N/A",Table1[[#This Row],[DUT Adj Read]]="N/A",Table1[[#This Row],[Std Adj Read]]="N/A"),"N/A",IF(Table1[[#This Row],[DUT Adj Read]]="N/A",IF(Table1[[#This Row],[Std Adj Read]]&gt;Table1[[#This Row],[Low Tol]],"Pass","Fail"),IF(Table1[[#This Row],[DUT Adj Read]]&gt;Table1[[#This Row],[Low Tol]],"Pass","Fail")))</f>
        <v>Pass</v>
      </c>
      <c r="AE2763" s="1" t="str">
        <f>IF(AND(Table1[[#This Row],[Spec Type2]]="N/A",Table1[[#This Row],[DUT Adj Read]]="N/A",Table1[[#This Row],[Std Adj Read]]="N/A"),"N/A",IF(Table1[[#This Row],[DUT Adj Read]]="N/A",IF(Table1[[#This Row],[Std Adj Read]]&lt;Table1[[#This Row],[High Tol]],"Pass","Fail"),IF(Table1[[#This Row],[DUT Adj Read]]&lt;Table1[[#This Row],[High Tol]],"Pass","Fail")))</f>
        <v>Fail</v>
      </c>
      <c r="AF2763" s="1" t="str">
        <f>IF(AND(Table1[[#This Row],[Spec Type2]]="N/A",Table1[[#This Row],[DUT Adj Read]]="N/A",Table1[[#This Row],[Std Adj Read]]="N/A"),"N/A",IF(Table1[[#This Row],[DUT Adj Read]]="N/A",IF(Table1[[#This Row],[Std Adj Read]]&gt;=Table1[[#This Row],[Low Tol]],"Pass","Fail"),IF(Table1[[#This Row],[DUT Adj Read]]&gt;=Table1[[#This Row],[Low Tol]],"Pass","Fail")))</f>
        <v>Pass</v>
      </c>
      <c r="AG2763" s="1" t="str">
        <f>IF(AND(Table1[[#This Row],[Spec Type2]]="N/A",Table1[[#This Row],[DUT Adj Read]]="N/A",Table1[[#This Row],[Std Adj Read]]="N/A"),"N/A",IF(Table1[[#This Row],[DUT Adj Read]]="N/A",IF(Table1[[#This Row],[Std Adj Read]]&lt;=Table1[[#This Row],[High Tol]],"Pass","Fail"),IF(Table1[[#This Row],[DUT Adj Read]]&lt;=Table1[[#This Row],[High Tol]],"Pass","Fail")))</f>
        <v>Fail</v>
      </c>
      <c r="AH27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3" s="1" t="b">
        <v>0</v>
      </c>
      <c r="AN2763" s="1" t="b">
        <v>0</v>
      </c>
      <c r="AO2763" s="1" t="b">
        <v>0</v>
      </c>
    </row>
    <row r="2764" spans="1:41" x14ac:dyDescent="0.25">
      <c r="A2764" s="10"/>
      <c r="B2764" s="10"/>
      <c r="C2764" s="10"/>
      <c r="D2764" s="10"/>
      <c r="E2764" s="10"/>
      <c r="F2764" s="10"/>
      <c r="G2764" s="10"/>
      <c r="H2764" s="10"/>
      <c r="I2764" s="1" t="str">
        <f t="shared" si="129"/>
        <v/>
      </c>
      <c r="J2764" s="1" t="s">
        <v>35</v>
      </c>
      <c r="K2764" s="1" t="str">
        <f t="shared" si="130"/>
        <v/>
      </c>
      <c r="L2764" s="1" t="str">
        <f t="shared" si="131"/>
        <v/>
      </c>
      <c r="M2764" s="1">
        <f>IF(OR(Table1[[#This Row],[Std Nom]]="",Table1[[#This Row],[Std Read]]=""),0,Table1[[#This Row],[Std Nom]]-Table1[[#This Row],[Std Read]])</f>
        <v>0</v>
      </c>
      <c r="N2764" s="1">
        <f>IF(Calculations!$F$5="ACCREDITED 17025 WITH UNCERTAINTIES",$N$10,0)</f>
        <v>0</v>
      </c>
      <c r="O2764" s="1" t="str">
        <f>IFERROR(Table1[[#This Row],[Std Nom]]-(_xlfn.XLOOKUP(Table1[[#This Row],[Manufacturer]]&amp;" "&amp;Table1[[#This Row],[Model]],Table13[MFR &amp; MDL],Table13[Tolerance % CW ],"")/100*Table1[[#This Row],[Std Nom]]),"")</f>
        <v/>
      </c>
      <c r="P2764" s="1" t="str">
        <f>IFERROR(Table1[[#This Row],[Std Nom]]+(_xlfn.XLOOKUP(Table1[[#This Row],[Manufacturer]]&amp;" "&amp;Table1[[#This Row],[Model]],Table13[MFR &amp; MDL],Table13[Tolerance % CW ],"")/100*Table1[[#This Row],[Std Nom]]),"")</f>
        <v/>
      </c>
      <c r="Q2764" s="1" t="e">
        <f>Table1[[#This Row],[High Tol]]-Table1[[#This Row],[Low Tol]]</f>
        <v>#VALUE!</v>
      </c>
      <c r="R2764" s="1">
        <f>2*Table1[[#This Row],[Std Error]]</f>
        <v>0</v>
      </c>
      <c r="S2764" s="1" t="str">
        <f>IF(Table1[[#This Row],[High Tol]]="","N/A",IFERROR(ABS(Table1[[#This Row],[Tol Span]]/Table1[[#This Row],[Error Span]]),"N/A"))</f>
        <v>N/A</v>
      </c>
      <c r="T2764" s="1" t="str">
        <f>IF(OR(Table1[[#This Row],[Low Tol]]="",Table1[[#This Row],[High Tol]]=""),"Needs Analysis",IF(Table1[[#This Row],[Ratio]]&gt;=4,"Not Significant",IF(Table1[[#This Row],[Ratio]]&gt;=2,"Semi-Significant","Significant")))</f>
        <v>Needs Analysis</v>
      </c>
      <c r="W2764" s="1">
        <f>IF(Table1[[#This Row],[Cal Type]]&lt;&gt;"ACCREDITED 17025 WITH UNCERTAINTIES",0,"")</f>
        <v>0</v>
      </c>
      <c r="X2764" s="1" t="str">
        <f>IF(Table1[[#This Row],[DUT Read]]="","N/A",Table1[[#This Row],[Std Error]]+Table1[[#This Row],[DUT Read]]+Table1[[#This Row],[DUT Ucty]])</f>
        <v>N/A</v>
      </c>
      <c r="Y2764" s="1" t="str">
        <f>IF(Table1[[#This Row],[Std Read]]="","N/A",Table1[[#This Row],[Std Read]]+Table1[[#This Row],[Std Ucty]])</f>
        <v>N/A</v>
      </c>
      <c r="Z27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4" s="1" t="str">
        <f>IF(Table1[[#This Row],[Spec Type]]="","N/A",Table1[[#This Row],[Spec Type]])</f>
        <v>±</v>
      </c>
      <c r="AC2764" s="1" t="str">
        <f>IF(Table1[[#This Row],[Spec Type2]]="N/A","N/A",IF(AND(Table1[[#This Row],[DUT Adj Read]]&gt;=Table1[[#This Row],[Low Tol]],Table1[[#This Row],[DUT Adj Read]]&lt;=Table1[[#This Row],[High Tol]]),"Pass","Fail"))</f>
        <v>Fail</v>
      </c>
      <c r="AD2764" s="1" t="str">
        <f>IF(AND(Table1[[#This Row],[Spec Type2]]="N/A",Table1[[#This Row],[DUT Adj Read]]="N/A",Table1[[#This Row],[Std Adj Read]]="N/A"),"N/A",IF(Table1[[#This Row],[DUT Adj Read]]="N/A",IF(Table1[[#This Row],[Std Adj Read]]&gt;Table1[[#This Row],[Low Tol]],"Pass","Fail"),IF(Table1[[#This Row],[DUT Adj Read]]&gt;Table1[[#This Row],[Low Tol]],"Pass","Fail")))</f>
        <v>Pass</v>
      </c>
      <c r="AE2764" s="1" t="str">
        <f>IF(AND(Table1[[#This Row],[Spec Type2]]="N/A",Table1[[#This Row],[DUT Adj Read]]="N/A",Table1[[#This Row],[Std Adj Read]]="N/A"),"N/A",IF(Table1[[#This Row],[DUT Adj Read]]="N/A",IF(Table1[[#This Row],[Std Adj Read]]&lt;Table1[[#This Row],[High Tol]],"Pass","Fail"),IF(Table1[[#This Row],[DUT Adj Read]]&lt;Table1[[#This Row],[High Tol]],"Pass","Fail")))</f>
        <v>Fail</v>
      </c>
      <c r="AF2764" s="1" t="str">
        <f>IF(AND(Table1[[#This Row],[Spec Type2]]="N/A",Table1[[#This Row],[DUT Adj Read]]="N/A",Table1[[#This Row],[Std Adj Read]]="N/A"),"N/A",IF(Table1[[#This Row],[DUT Adj Read]]="N/A",IF(Table1[[#This Row],[Std Adj Read]]&gt;=Table1[[#This Row],[Low Tol]],"Pass","Fail"),IF(Table1[[#This Row],[DUT Adj Read]]&gt;=Table1[[#This Row],[Low Tol]],"Pass","Fail")))</f>
        <v>Pass</v>
      </c>
      <c r="AG2764" s="1" t="str">
        <f>IF(AND(Table1[[#This Row],[Spec Type2]]="N/A",Table1[[#This Row],[DUT Adj Read]]="N/A",Table1[[#This Row],[Std Adj Read]]="N/A"),"N/A",IF(Table1[[#This Row],[DUT Adj Read]]="N/A",IF(Table1[[#This Row],[Std Adj Read]]&lt;=Table1[[#This Row],[High Tol]],"Pass","Fail"),IF(Table1[[#This Row],[DUT Adj Read]]&lt;=Table1[[#This Row],[High Tol]],"Pass","Fail")))</f>
        <v>Fail</v>
      </c>
      <c r="AH27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4" s="1" t="b">
        <v>0</v>
      </c>
      <c r="AN2764" s="1" t="b">
        <v>0</v>
      </c>
      <c r="AO2764" s="1" t="b">
        <v>0</v>
      </c>
    </row>
    <row r="2765" spans="1:41" x14ac:dyDescent="0.25">
      <c r="A2765" s="10"/>
      <c r="B2765" s="10"/>
      <c r="C2765" s="10"/>
      <c r="D2765" s="10"/>
      <c r="E2765" s="10"/>
      <c r="F2765" s="10"/>
      <c r="G2765" s="10"/>
      <c r="H2765" s="10"/>
      <c r="I2765" s="1" t="str">
        <f t="shared" si="129"/>
        <v/>
      </c>
      <c r="J2765" s="1" t="s">
        <v>35</v>
      </c>
      <c r="K2765" s="1" t="str">
        <f t="shared" si="130"/>
        <v/>
      </c>
      <c r="L2765" s="1" t="str">
        <f t="shared" si="131"/>
        <v/>
      </c>
      <c r="M2765" s="1">
        <f>IF(OR(Table1[[#This Row],[Std Nom]]="",Table1[[#This Row],[Std Read]]=""),0,Table1[[#This Row],[Std Nom]]-Table1[[#This Row],[Std Read]])</f>
        <v>0</v>
      </c>
      <c r="N2765" s="1">
        <f>IF(Calculations!$F$5="ACCREDITED 17025 WITH UNCERTAINTIES",$N$10,0)</f>
        <v>0</v>
      </c>
      <c r="O2765" s="1" t="str">
        <f>IFERROR(Table1[[#This Row],[Std Nom]]-(_xlfn.XLOOKUP(Table1[[#This Row],[Manufacturer]]&amp;" "&amp;Table1[[#This Row],[Model]],Table13[MFR &amp; MDL],Table13[Tolerance % CW ],"")/100*Table1[[#This Row],[Std Nom]]),"")</f>
        <v/>
      </c>
      <c r="P2765" s="1" t="str">
        <f>IFERROR(Table1[[#This Row],[Std Nom]]+(_xlfn.XLOOKUP(Table1[[#This Row],[Manufacturer]]&amp;" "&amp;Table1[[#This Row],[Model]],Table13[MFR &amp; MDL],Table13[Tolerance % CW ],"")/100*Table1[[#This Row],[Std Nom]]),"")</f>
        <v/>
      </c>
      <c r="Q2765" s="1" t="e">
        <f>Table1[[#This Row],[High Tol]]-Table1[[#This Row],[Low Tol]]</f>
        <v>#VALUE!</v>
      </c>
      <c r="R2765" s="1">
        <f>2*Table1[[#This Row],[Std Error]]</f>
        <v>0</v>
      </c>
      <c r="S2765" s="1" t="str">
        <f>IF(Table1[[#This Row],[High Tol]]="","N/A",IFERROR(ABS(Table1[[#This Row],[Tol Span]]/Table1[[#This Row],[Error Span]]),"N/A"))</f>
        <v>N/A</v>
      </c>
      <c r="T2765" s="1" t="str">
        <f>IF(OR(Table1[[#This Row],[Low Tol]]="",Table1[[#This Row],[High Tol]]=""),"Needs Analysis",IF(Table1[[#This Row],[Ratio]]&gt;=4,"Not Significant",IF(Table1[[#This Row],[Ratio]]&gt;=2,"Semi-Significant","Significant")))</f>
        <v>Needs Analysis</v>
      </c>
      <c r="W2765" s="1">
        <f>IF(Table1[[#This Row],[Cal Type]]&lt;&gt;"ACCREDITED 17025 WITH UNCERTAINTIES",0,"")</f>
        <v>0</v>
      </c>
      <c r="X2765" s="1" t="str">
        <f>IF(Table1[[#This Row],[DUT Read]]="","N/A",Table1[[#This Row],[Std Error]]+Table1[[#This Row],[DUT Read]]+Table1[[#This Row],[DUT Ucty]])</f>
        <v>N/A</v>
      </c>
      <c r="Y2765" s="1" t="str">
        <f>IF(Table1[[#This Row],[Std Read]]="","N/A",Table1[[#This Row],[Std Read]]+Table1[[#This Row],[Std Ucty]])</f>
        <v>N/A</v>
      </c>
      <c r="Z27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5" s="1" t="str">
        <f>IF(Table1[[#This Row],[Spec Type]]="","N/A",Table1[[#This Row],[Spec Type]])</f>
        <v>±</v>
      </c>
      <c r="AC2765" s="1" t="str">
        <f>IF(Table1[[#This Row],[Spec Type2]]="N/A","N/A",IF(AND(Table1[[#This Row],[DUT Adj Read]]&gt;=Table1[[#This Row],[Low Tol]],Table1[[#This Row],[DUT Adj Read]]&lt;=Table1[[#This Row],[High Tol]]),"Pass","Fail"))</f>
        <v>Fail</v>
      </c>
      <c r="AD2765" s="1" t="str">
        <f>IF(AND(Table1[[#This Row],[Spec Type2]]="N/A",Table1[[#This Row],[DUT Adj Read]]="N/A",Table1[[#This Row],[Std Adj Read]]="N/A"),"N/A",IF(Table1[[#This Row],[DUT Adj Read]]="N/A",IF(Table1[[#This Row],[Std Adj Read]]&gt;Table1[[#This Row],[Low Tol]],"Pass","Fail"),IF(Table1[[#This Row],[DUT Adj Read]]&gt;Table1[[#This Row],[Low Tol]],"Pass","Fail")))</f>
        <v>Pass</v>
      </c>
      <c r="AE2765" s="1" t="str">
        <f>IF(AND(Table1[[#This Row],[Spec Type2]]="N/A",Table1[[#This Row],[DUT Adj Read]]="N/A",Table1[[#This Row],[Std Adj Read]]="N/A"),"N/A",IF(Table1[[#This Row],[DUT Adj Read]]="N/A",IF(Table1[[#This Row],[Std Adj Read]]&lt;Table1[[#This Row],[High Tol]],"Pass","Fail"),IF(Table1[[#This Row],[DUT Adj Read]]&lt;Table1[[#This Row],[High Tol]],"Pass","Fail")))</f>
        <v>Fail</v>
      </c>
      <c r="AF2765" s="1" t="str">
        <f>IF(AND(Table1[[#This Row],[Spec Type2]]="N/A",Table1[[#This Row],[DUT Adj Read]]="N/A",Table1[[#This Row],[Std Adj Read]]="N/A"),"N/A",IF(Table1[[#This Row],[DUT Adj Read]]="N/A",IF(Table1[[#This Row],[Std Adj Read]]&gt;=Table1[[#This Row],[Low Tol]],"Pass","Fail"),IF(Table1[[#This Row],[DUT Adj Read]]&gt;=Table1[[#This Row],[Low Tol]],"Pass","Fail")))</f>
        <v>Pass</v>
      </c>
      <c r="AG2765" s="1" t="str">
        <f>IF(AND(Table1[[#This Row],[Spec Type2]]="N/A",Table1[[#This Row],[DUT Adj Read]]="N/A",Table1[[#This Row],[Std Adj Read]]="N/A"),"N/A",IF(Table1[[#This Row],[DUT Adj Read]]="N/A",IF(Table1[[#This Row],[Std Adj Read]]&lt;=Table1[[#This Row],[High Tol]],"Pass","Fail"),IF(Table1[[#This Row],[DUT Adj Read]]&lt;=Table1[[#This Row],[High Tol]],"Pass","Fail")))</f>
        <v>Fail</v>
      </c>
      <c r="AH27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5" s="1" t="b">
        <v>0</v>
      </c>
      <c r="AN2765" s="1" t="b">
        <v>0</v>
      </c>
      <c r="AO2765" s="1" t="b">
        <v>0</v>
      </c>
    </row>
    <row r="2766" spans="1:41" x14ac:dyDescent="0.25">
      <c r="A2766" s="10"/>
      <c r="B2766" s="10"/>
      <c r="C2766" s="10"/>
      <c r="D2766" s="10"/>
      <c r="E2766" s="10"/>
      <c r="F2766" s="10"/>
      <c r="G2766" s="10"/>
      <c r="H2766" s="10"/>
      <c r="I2766" s="1" t="str">
        <f t="shared" si="129"/>
        <v/>
      </c>
      <c r="J2766" s="1" t="s">
        <v>35</v>
      </c>
      <c r="K2766" s="1" t="str">
        <f t="shared" si="130"/>
        <v/>
      </c>
      <c r="L2766" s="1" t="str">
        <f t="shared" si="131"/>
        <v/>
      </c>
      <c r="M2766" s="1">
        <f>IF(OR(Table1[[#This Row],[Std Nom]]="",Table1[[#This Row],[Std Read]]=""),0,Table1[[#This Row],[Std Nom]]-Table1[[#This Row],[Std Read]])</f>
        <v>0</v>
      </c>
      <c r="N2766" s="1">
        <f>IF(Calculations!$F$5="ACCREDITED 17025 WITH UNCERTAINTIES",$N$10,0)</f>
        <v>0</v>
      </c>
      <c r="O2766" s="1" t="str">
        <f>IFERROR(Table1[[#This Row],[Std Nom]]-(_xlfn.XLOOKUP(Table1[[#This Row],[Manufacturer]]&amp;" "&amp;Table1[[#This Row],[Model]],Table13[MFR &amp; MDL],Table13[Tolerance % CW ],"")/100*Table1[[#This Row],[Std Nom]]),"")</f>
        <v/>
      </c>
      <c r="P2766" s="1" t="str">
        <f>IFERROR(Table1[[#This Row],[Std Nom]]+(_xlfn.XLOOKUP(Table1[[#This Row],[Manufacturer]]&amp;" "&amp;Table1[[#This Row],[Model]],Table13[MFR &amp; MDL],Table13[Tolerance % CW ],"")/100*Table1[[#This Row],[Std Nom]]),"")</f>
        <v/>
      </c>
      <c r="Q2766" s="1" t="e">
        <f>Table1[[#This Row],[High Tol]]-Table1[[#This Row],[Low Tol]]</f>
        <v>#VALUE!</v>
      </c>
      <c r="R2766" s="1">
        <f>2*Table1[[#This Row],[Std Error]]</f>
        <v>0</v>
      </c>
      <c r="S2766" s="1" t="str">
        <f>IF(Table1[[#This Row],[High Tol]]="","N/A",IFERROR(ABS(Table1[[#This Row],[Tol Span]]/Table1[[#This Row],[Error Span]]),"N/A"))</f>
        <v>N/A</v>
      </c>
      <c r="T2766" s="1" t="str">
        <f>IF(OR(Table1[[#This Row],[Low Tol]]="",Table1[[#This Row],[High Tol]]=""),"Needs Analysis",IF(Table1[[#This Row],[Ratio]]&gt;=4,"Not Significant",IF(Table1[[#This Row],[Ratio]]&gt;=2,"Semi-Significant","Significant")))</f>
        <v>Needs Analysis</v>
      </c>
      <c r="W2766" s="1">
        <f>IF(Table1[[#This Row],[Cal Type]]&lt;&gt;"ACCREDITED 17025 WITH UNCERTAINTIES",0,"")</f>
        <v>0</v>
      </c>
      <c r="X2766" s="1" t="str">
        <f>IF(Table1[[#This Row],[DUT Read]]="","N/A",Table1[[#This Row],[Std Error]]+Table1[[#This Row],[DUT Read]]+Table1[[#This Row],[DUT Ucty]])</f>
        <v>N/A</v>
      </c>
      <c r="Y2766" s="1" t="str">
        <f>IF(Table1[[#This Row],[Std Read]]="","N/A",Table1[[#This Row],[Std Read]]+Table1[[#This Row],[Std Ucty]])</f>
        <v>N/A</v>
      </c>
      <c r="Z27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6" s="1" t="str">
        <f>IF(Table1[[#This Row],[Spec Type]]="","N/A",Table1[[#This Row],[Spec Type]])</f>
        <v>±</v>
      </c>
      <c r="AC2766" s="1" t="str">
        <f>IF(Table1[[#This Row],[Spec Type2]]="N/A","N/A",IF(AND(Table1[[#This Row],[DUT Adj Read]]&gt;=Table1[[#This Row],[Low Tol]],Table1[[#This Row],[DUT Adj Read]]&lt;=Table1[[#This Row],[High Tol]]),"Pass","Fail"))</f>
        <v>Fail</v>
      </c>
      <c r="AD2766" s="1" t="str">
        <f>IF(AND(Table1[[#This Row],[Spec Type2]]="N/A",Table1[[#This Row],[DUT Adj Read]]="N/A",Table1[[#This Row],[Std Adj Read]]="N/A"),"N/A",IF(Table1[[#This Row],[DUT Adj Read]]="N/A",IF(Table1[[#This Row],[Std Adj Read]]&gt;Table1[[#This Row],[Low Tol]],"Pass","Fail"),IF(Table1[[#This Row],[DUT Adj Read]]&gt;Table1[[#This Row],[Low Tol]],"Pass","Fail")))</f>
        <v>Pass</v>
      </c>
      <c r="AE2766" s="1" t="str">
        <f>IF(AND(Table1[[#This Row],[Spec Type2]]="N/A",Table1[[#This Row],[DUT Adj Read]]="N/A",Table1[[#This Row],[Std Adj Read]]="N/A"),"N/A",IF(Table1[[#This Row],[DUT Adj Read]]="N/A",IF(Table1[[#This Row],[Std Adj Read]]&lt;Table1[[#This Row],[High Tol]],"Pass","Fail"),IF(Table1[[#This Row],[DUT Adj Read]]&lt;Table1[[#This Row],[High Tol]],"Pass","Fail")))</f>
        <v>Fail</v>
      </c>
      <c r="AF2766" s="1" t="str">
        <f>IF(AND(Table1[[#This Row],[Spec Type2]]="N/A",Table1[[#This Row],[DUT Adj Read]]="N/A",Table1[[#This Row],[Std Adj Read]]="N/A"),"N/A",IF(Table1[[#This Row],[DUT Adj Read]]="N/A",IF(Table1[[#This Row],[Std Adj Read]]&gt;=Table1[[#This Row],[Low Tol]],"Pass","Fail"),IF(Table1[[#This Row],[DUT Adj Read]]&gt;=Table1[[#This Row],[Low Tol]],"Pass","Fail")))</f>
        <v>Pass</v>
      </c>
      <c r="AG2766" s="1" t="str">
        <f>IF(AND(Table1[[#This Row],[Spec Type2]]="N/A",Table1[[#This Row],[DUT Adj Read]]="N/A",Table1[[#This Row],[Std Adj Read]]="N/A"),"N/A",IF(Table1[[#This Row],[DUT Adj Read]]="N/A",IF(Table1[[#This Row],[Std Adj Read]]&lt;=Table1[[#This Row],[High Tol]],"Pass","Fail"),IF(Table1[[#This Row],[DUT Adj Read]]&lt;=Table1[[#This Row],[High Tol]],"Pass","Fail")))</f>
        <v>Fail</v>
      </c>
      <c r="AH27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6" s="1" t="b">
        <v>0</v>
      </c>
      <c r="AN2766" s="1" t="b">
        <v>0</v>
      </c>
      <c r="AO2766" s="1" t="b">
        <v>0</v>
      </c>
    </row>
    <row r="2767" spans="1:41" x14ac:dyDescent="0.25">
      <c r="A2767" s="10"/>
      <c r="B2767" s="10"/>
      <c r="C2767" s="10"/>
      <c r="D2767" s="10"/>
      <c r="E2767" s="10"/>
      <c r="F2767" s="10"/>
      <c r="G2767" s="10"/>
      <c r="H2767" s="10"/>
      <c r="I2767" s="1" t="str">
        <f t="shared" si="129"/>
        <v/>
      </c>
      <c r="J2767" s="1" t="s">
        <v>35</v>
      </c>
      <c r="K2767" s="1" t="str">
        <f t="shared" si="130"/>
        <v/>
      </c>
      <c r="L2767" s="1" t="str">
        <f t="shared" si="131"/>
        <v/>
      </c>
      <c r="M2767" s="1">
        <f>IF(OR(Table1[[#This Row],[Std Nom]]="",Table1[[#This Row],[Std Read]]=""),0,Table1[[#This Row],[Std Nom]]-Table1[[#This Row],[Std Read]])</f>
        <v>0</v>
      </c>
      <c r="N2767" s="1">
        <f>IF(Calculations!$F$5="ACCREDITED 17025 WITH UNCERTAINTIES",$N$10,0)</f>
        <v>0</v>
      </c>
      <c r="O2767" s="1" t="str">
        <f>IFERROR(Table1[[#This Row],[Std Nom]]-(_xlfn.XLOOKUP(Table1[[#This Row],[Manufacturer]]&amp;" "&amp;Table1[[#This Row],[Model]],Table13[MFR &amp; MDL],Table13[Tolerance % CW ],"")/100*Table1[[#This Row],[Std Nom]]),"")</f>
        <v/>
      </c>
      <c r="P2767" s="1" t="str">
        <f>IFERROR(Table1[[#This Row],[Std Nom]]+(_xlfn.XLOOKUP(Table1[[#This Row],[Manufacturer]]&amp;" "&amp;Table1[[#This Row],[Model]],Table13[MFR &amp; MDL],Table13[Tolerance % CW ],"")/100*Table1[[#This Row],[Std Nom]]),"")</f>
        <v/>
      </c>
      <c r="Q2767" s="1" t="e">
        <f>Table1[[#This Row],[High Tol]]-Table1[[#This Row],[Low Tol]]</f>
        <v>#VALUE!</v>
      </c>
      <c r="R2767" s="1">
        <f>2*Table1[[#This Row],[Std Error]]</f>
        <v>0</v>
      </c>
      <c r="S2767" s="1" t="str">
        <f>IF(Table1[[#This Row],[High Tol]]="","N/A",IFERROR(ABS(Table1[[#This Row],[Tol Span]]/Table1[[#This Row],[Error Span]]),"N/A"))</f>
        <v>N/A</v>
      </c>
      <c r="T2767" s="1" t="str">
        <f>IF(OR(Table1[[#This Row],[Low Tol]]="",Table1[[#This Row],[High Tol]]=""),"Needs Analysis",IF(Table1[[#This Row],[Ratio]]&gt;=4,"Not Significant",IF(Table1[[#This Row],[Ratio]]&gt;=2,"Semi-Significant","Significant")))</f>
        <v>Needs Analysis</v>
      </c>
      <c r="W2767" s="1">
        <f>IF(Table1[[#This Row],[Cal Type]]&lt;&gt;"ACCREDITED 17025 WITH UNCERTAINTIES",0,"")</f>
        <v>0</v>
      </c>
      <c r="X2767" s="1" t="str">
        <f>IF(Table1[[#This Row],[DUT Read]]="","N/A",Table1[[#This Row],[Std Error]]+Table1[[#This Row],[DUT Read]]+Table1[[#This Row],[DUT Ucty]])</f>
        <v>N/A</v>
      </c>
      <c r="Y2767" s="1" t="str">
        <f>IF(Table1[[#This Row],[Std Read]]="","N/A",Table1[[#This Row],[Std Read]]+Table1[[#This Row],[Std Ucty]])</f>
        <v>N/A</v>
      </c>
      <c r="Z27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7" s="1" t="str">
        <f>IF(Table1[[#This Row],[Spec Type]]="","N/A",Table1[[#This Row],[Spec Type]])</f>
        <v>±</v>
      </c>
      <c r="AC2767" s="1" t="str">
        <f>IF(Table1[[#This Row],[Spec Type2]]="N/A","N/A",IF(AND(Table1[[#This Row],[DUT Adj Read]]&gt;=Table1[[#This Row],[Low Tol]],Table1[[#This Row],[DUT Adj Read]]&lt;=Table1[[#This Row],[High Tol]]),"Pass","Fail"))</f>
        <v>Fail</v>
      </c>
      <c r="AD2767" s="1" t="str">
        <f>IF(AND(Table1[[#This Row],[Spec Type2]]="N/A",Table1[[#This Row],[DUT Adj Read]]="N/A",Table1[[#This Row],[Std Adj Read]]="N/A"),"N/A",IF(Table1[[#This Row],[DUT Adj Read]]="N/A",IF(Table1[[#This Row],[Std Adj Read]]&gt;Table1[[#This Row],[Low Tol]],"Pass","Fail"),IF(Table1[[#This Row],[DUT Adj Read]]&gt;Table1[[#This Row],[Low Tol]],"Pass","Fail")))</f>
        <v>Pass</v>
      </c>
      <c r="AE2767" s="1" t="str">
        <f>IF(AND(Table1[[#This Row],[Spec Type2]]="N/A",Table1[[#This Row],[DUT Adj Read]]="N/A",Table1[[#This Row],[Std Adj Read]]="N/A"),"N/A",IF(Table1[[#This Row],[DUT Adj Read]]="N/A",IF(Table1[[#This Row],[Std Adj Read]]&lt;Table1[[#This Row],[High Tol]],"Pass","Fail"),IF(Table1[[#This Row],[DUT Adj Read]]&lt;Table1[[#This Row],[High Tol]],"Pass","Fail")))</f>
        <v>Fail</v>
      </c>
      <c r="AF2767" s="1" t="str">
        <f>IF(AND(Table1[[#This Row],[Spec Type2]]="N/A",Table1[[#This Row],[DUT Adj Read]]="N/A",Table1[[#This Row],[Std Adj Read]]="N/A"),"N/A",IF(Table1[[#This Row],[DUT Adj Read]]="N/A",IF(Table1[[#This Row],[Std Adj Read]]&gt;=Table1[[#This Row],[Low Tol]],"Pass","Fail"),IF(Table1[[#This Row],[DUT Adj Read]]&gt;=Table1[[#This Row],[Low Tol]],"Pass","Fail")))</f>
        <v>Pass</v>
      </c>
      <c r="AG2767" s="1" t="str">
        <f>IF(AND(Table1[[#This Row],[Spec Type2]]="N/A",Table1[[#This Row],[DUT Adj Read]]="N/A",Table1[[#This Row],[Std Adj Read]]="N/A"),"N/A",IF(Table1[[#This Row],[DUT Adj Read]]="N/A",IF(Table1[[#This Row],[Std Adj Read]]&lt;=Table1[[#This Row],[High Tol]],"Pass","Fail"),IF(Table1[[#This Row],[DUT Adj Read]]&lt;=Table1[[#This Row],[High Tol]],"Pass","Fail")))</f>
        <v>Fail</v>
      </c>
      <c r="AH27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7" s="1" t="b">
        <v>0</v>
      </c>
      <c r="AN2767" s="1" t="b">
        <v>0</v>
      </c>
      <c r="AO2767" s="1" t="b">
        <v>0</v>
      </c>
    </row>
    <row r="2768" spans="1:41" x14ac:dyDescent="0.25">
      <c r="A2768" s="10"/>
      <c r="B2768" s="10"/>
      <c r="C2768" s="10"/>
      <c r="D2768" s="10"/>
      <c r="E2768" s="10"/>
      <c r="F2768" s="10"/>
      <c r="G2768" s="10"/>
      <c r="H2768" s="10"/>
      <c r="I2768" s="1" t="str">
        <f t="shared" si="129"/>
        <v/>
      </c>
      <c r="J2768" s="1" t="s">
        <v>35</v>
      </c>
      <c r="K2768" s="1" t="str">
        <f t="shared" si="130"/>
        <v/>
      </c>
      <c r="L2768" s="1" t="str">
        <f t="shared" si="131"/>
        <v/>
      </c>
      <c r="M2768" s="1">
        <f>IF(OR(Table1[[#This Row],[Std Nom]]="",Table1[[#This Row],[Std Read]]=""),0,Table1[[#This Row],[Std Nom]]-Table1[[#This Row],[Std Read]])</f>
        <v>0</v>
      </c>
      <c r="N2768" s="1">
        <f>IF(Calculations!$F$5="ACCREDITED 17025 WITH UNCERTAINTIES",$N$10,0)</f>
        <v>0</v>
      </c>
      <c r="O2768" s="1" t="str">
        <f>IFERROR(Table1[[#This Row],[Std Nom]]-(_xlfn.XLOOKUP(Table1[[#This Row],[Manufacturer]]&amp;" "&amp;Table1[[#This Row],[Model]],Table13[MFR &amp; MDL],Table13[Tolerance % CW ],"")/100*Table1[[#This Row],[Std Nom]]),"")</f>
        <v/>
      </c>
      <c r="P2768" s="1" t="str">
        <f>IFERROR(Table1[[#This Row],[Std Nom]]+(_xlfn.XLOOKUP(Table1[[#This Row],[Manufacturer]]&amp;" "&amp;Table1[[#This Row],[Model]],Table13[MFR &amp; MDL],Table13[Tolerance % CW ],"")/100*Table1[[#This Row],[Std Nom]]),"")</f>
        <v/>
      </c>
      <c r="Q2768" s="1" t="e">
        <f>Table1[[#This Row],[High Tol]]-Table1[[#This Row],[Low Tol]]</f>
        <v>#VALUE!</v>
      </c>
      <c r="R2768" s="1">
        <f>2*Table1[[#This Row],[Std Error]]</f>
        <v>0</v>
      </c>
      <c r="S2768" s="1" t="str">
        <f>IF(Table1[[#This Row],[High Tol]]="","N/A",IFERROR(ABS(Table1[[#This Row],[Tol Span]]/Table1[[#This Row],[Error Span]]),"N/A"))</f>
        <v>N/A</v>
      </c>
      <c r="T2768" s="1" t="str">
        <f>IF(OR(Table1[[#This Row],[Low Tol]]="",Table1[[#This Row],[High Tol]]=""),"Needs Analysis",IF(Table1[[#This Row],[Ratio]]&gt;=4,"Not Significant",IF(Table1[[#This Row],[Ratio]]&gt;=2,"Semi-Significant","Significant")))</f>
        <v>Needs Analysis</v>
      </c>
      <c r="W2768" s="1">
        <f>IF(Table1[[#This Row],[Cal Type]]&lt;&gt;"ACCREDITED 17025 WITH UNCERTAINTIES",0,"")</f>
        <v>0</v>
      </c>
      <c r="X2768" s="1" t="str">
        <f>IF(Table1[[#This Row],[DUT Read]]="","N/A",Table1[[#This Row],[Std Error]]+Table1[[#This Row],[DUT Read]]+Table1[[#This Row],[DUT Ucty]])</f>
        <v>N/A</v>
      </c>
      <c r="Y2768" s="1" t="str">
        <f>IF(Table1[[#This Row],[Std Read]]="","N/A",Table1[[#This Row],[Std Read]]+Table1[[#This Row],[Std Ucty]])</f>
        <v>N/A</v>
      </c>
      <c r="Z27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8" s="1" t="str">
        <f>IF(Table1[[#This Row],[Spec Type]]="","N/A",Table1[[#This Row],[Spec Type]])</f>
        <v>±</v>
      </c>
      <c r="AC2768" s="1" t="str">
        <f>IF(Table1[[#This Row],[Spec Type2]]="N/A","N/A",IF(AND(Table1[[#This Row],[DUT Adj Read]]&gt;=Table1[[#This Row],[Low Tol]],Table1[[#This Row],[DUT Adj Read]]&lt;=Table1[[#This Row],[High Tol]]),"Pass","Fail"))</f>
        <v>Fail</v>
      </c>
      <c r="AD2768" s="1" t="str">
        <f>IF(AND(Table1[[#This Row],[Spec Type2]]="N/A",Table1[[#This Row],[DUT Adj Read]]="N/A",Table1[[#This Row],[Std Adj Read]]="N/A"),"N/A",IF(Table1[[#This Row],[DUT Adj Read]]="N/A",IF(Table1[[#This Row],[Std Adj Read]]&gt;Table1[[#This Row],[Low Tol]],"Pass","Fail"),IF(Table1[[#This Row],[DUT Adj Read]]&gt;Table1[[#This Row],[Low Tol]],"Pass","Fail")))</f>
        <v>Pass</v>
      </c>
      <c r="AE2768" s="1" t="str">
        <f>IF(AND(Table1[[#This Row],[Spec Type2]]="N/A",Table1[[#This Row],[DUT Adj Read]]="N/A",Table1[[#This Row],[Std Adj Read]]="N/A"),"N/A",IF(Table1[[#This Row],[DUT Adj Read]]="N/A",IF(Table1[[#This Row],[Std Adj Read]]&lt;Table1[[#This Row],[High Tol]],"Pass","Fail"),IF(Table1[[#This Row],[DUT Adj Read]]&lt;Table1[[#This Row],[High Tol]],"Pass","Fail")))</f>
        <v>Fail</v>
      </c>
      <c r="AF2768" s="1" t="str">
        <f>IF(AND(Table1[[#This Row],[Spec Type2]]="N/A",Table1[[#This Row],[DUT Adj Read]]="N/A",Table1[[#This Row],[Std Adj Read]]="N/A"),"N/A",IF(Table1[[#This Row],[DUT Adj Read]]="N/A",IF(Table1[[#This Row],[Std Adj Read]]&gt;=Table1[[#This Row],[Low Tol]],"Pass","Fail"),IF(Table1[[#This Row],[DUT Adj Read]]&gt;=Table1[[#This Row],[Low Tol]],"Pass","Fail")))</f>
        <v>Pass</v>
      </c>
      <c r="AG2768" s="1" t="str">
        <f>IF(AND(Table1[[#This Row],[Spec Type2]]="N/A",Table1[[#This Row],[DUT Adj Read]]="N/A",Table1[[#This Row],[Std Adj Read]]="N/A"),"N/A",IF(Table1[[#This Row],[DUT Adj Read]]="N/A",IF(Table1[[#This Row],[Std Adj Read]]&lt;=Table1[[#This Row],[High Tol]],"Pass","Fail"),IF(Table1[[#This Row],[DUT Adj Read]]&lt;=Table1[[#This Row],[High Tol]],"Pass","Fail")))</f>
        <v>Fail</v>
      </c>
      <c r="AH27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8" s="1" t="b">
        <v>0</v>
      </c>
      <c r="AN2768" s="1" t="b">
        <v>0</v>
      </c>
      <c r="AO2768" s="1" t="b">
        <v>0</v>
      </c>
    </row>
    <row r="2769" spans="1:41" x14ac:dyDescent="0.25">
      <c r="A2769" s="10"/>
      <c r="B2769" s="10"/>
      <c r="C2769" s="10"/>
      <c r="D2769" s="10"/>
      <c r="E2769" s="10"/>
      <c r="F2769" s="10"/>
      <c r="G2769" s="10"/>
      <c r="H2769" s="10"/>
      <c r="I2769" s="1" t="str">
        <f t="shared" si="129"/>
        <v/>
      </c>
      <c r="J2769" s="1" t="s">
        <v>35</v>
      </c>
      <c r="K2769" s="1" t="str">
        <f t="shared" si="130"/>
        <v/>
      </c>
      <c r="L2769" s="1" t="str">
        <f t="shared" si="131"/>
        <v/>
      </c>
      <c r="M2769" s="1">
        <f>IF(OR(Table1[[#This Row],[Std Nom]]="",Table1[[#This Row],[Std Read]]=""),0,Table1[[#This Row],[Std Nom]]-Table1[[#This Row],[Std Read]])</f>
        <v>0</v>
      </c>
      <c r="N2769" s="1">
        <f>IF(Calculations!$F$5="ACCREDITED 17025 WITH UNCERTAINTIES",$N$10,0)</f>
        <v>0</v>
      </c>
      <c r="O2769" s="1" t="str">
        <f>IFERROR(Table1[[#This Row],[Std Nom]]-(_xlfn.XLOOKUP(Table1[[#This Row],[Manufacturer]]&amp;" "&amp;Table1[[#This Row],[Model]],Table13[MFR &amp; MDL],Table13[Tolerance % CW ],"")/100*Table1[[#This Row],[Std Nom]]),"")</f>
        <v/>
      </c>
      <c r="P2769" s="1" t="str">
        <f>IFERROR(Table1[[#This Row],[Std Nom]]+(_xlfn.XLOOKUP(Table1[[#This Row],[Manufacturer]]&amp;" "&amp;Table1[[#This Row],[Model]],Table13[MFR &amp; MDL],Table13[Tolerance % CW ],"")/100*Table1[[#This Row],[Std Nom]]),"")</f>
        <v/>
      </c>
      <c r="Q2769" s="1" t="e">
        <f>Table1[[#This Row],[High Tol]]-Table1[[#This Row],[Low Tol]]</f>
        <v>#VALUE!</v>
      </c>
      <c r="R2769" s="1">
        <f>2*Table1[[#This Row],[Std Error]]</f>
        <v>0</v>
      </c>
      <c r="S2769" s="1" t="str">
        <f>IF(Table1[[#This Row],[High Tol]]="","N/A",IFERROR(ABS(Table1[[#This Row],[Tol Span]]/Table1[[#This Row],[Error Span]]),"N/A"))</f>
        <v>N/A</v>
      </c>
      <c r="T2769" s="1" t="str">
        <f>IF(OR(Table1[[#This Row],[Low Tol]]="",Table1[[#This Row],[High Tol]]=""),"Needs Analysis",IF(Table1[[#This Row],[Ratio]]&gt;=4,"Not Significant",IF(Table1[[#This Row],[Ratio]]&gt;=2,"Semi-Significant","Significant")))</f>
        <v>Needs Analysis</v>
      </c>
      <c r="W2769" s="1">
        <f>IF(Table1[[#This Row],[Cal Type]]&lt;&gt;"ACCREDITED 17025 WITH UNCERTAINTIES",0,"")</f>
        <v>0</v>
      </c>
      <c r="X2769" s="1" t="str">
        <f>IF(Table1[[#This Row],[DUT Read]]="","N/A",Table1[[#This Row],[Std Error]]+Table1[[#This Row],[DUT Read]]+Table1[[#This Row],[DUT Ucty]])</f>
        <v>N/A</v>
      </c>
      <c r="Y2769" s="1" t="str">
        <f>IF(Table1[[#This Row],[Std Read]]="","N/A",Table1[[#This Row],[Std Read]]+Table1[[#This Row],[Std Ucty]])</f>
        <v>N/A</v>
      </c>
      <c r="Z27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9" s="1" t="str">
        <f>IF(Table1[[#This Row],[Spec Type]]="","N/A",Table1[[#This Row],[Spec Type]])</f>
        <v>±</v>
      </c>
      <c r="AC2769" s="1" t="str">
        <f>IF(Table1[[#This Row],[Spec Type2]]="N/A","N/A",IF(AND(Table1[[#This Row],[DUT Adj Read]]&gt;=Table1[[#This Row],[Low Tol]],Table1[[#This Row],[DUT Adj Read]]&lt;=Table1[[#This Row],[High Tol]]),"Pass","Fail"))</f>
        <v>Fail</v>
      </c>
      <c r="AD2769" s="1" t="str">
        <f>IF(AND(Table1[[#This Row],[Spec Type2]]="N/A",Table1[[#This Row],[DUT Adj Read]]="N/A",Table1[[#This Row],[Std Adj Read]]="N/A"),"N/A",IF(Table1[[#This Row],[DUT Adj Read]]="N/A",IF(Table1[[#This Row],[Std Adj Read]]&gt;Table1[[#This Row],[Low Tol]],"Pass","Fail"),IF(Table1[[#This Row],[DUT Adj Read]]&gt;Table1[[#This Row],[Low Tol]],"Pass","Fail")))</f>
        <v>Pass</v>
      </c>
      <c r="AE2769" s="1" t="str">
        <f>IF(AND(Table1[[#This Row],[Spec Type2]]="N/A",Table1[[#This Row],[DUT Adj Read]]="N/A",Table1[[#This Row],[Std Adj Read]]="N/A"),"N/A",IF(Table1[[#This Row],[DUT Adj Read]]="N/A",IF(Table1[[#This Row],[Std Adj Read]]&lt;Table1[[#This Row],[High Tol]],"Pass","Fail"),IF(Table1[[#This Row],[DUT Adj Read]]&lt;Table1[[#This Row],[High Tol]],"Pass","Fail")))</f>
        <v>Fail</v>
      </c>
      <c r="AF2769" s="1" t="str">
        <f>IF(AND(Table1[[#This Row],[Spec Type2]]="N/A",Table1[[#This Row],[DUT Adj Read]]="N/A",Table1[[#This Row],[Std Adj Read]]="N/A"),"N/A",IF(Table1[[#This Row],[DUT Adj Read]]="N/A",IF(Table1[[#This Row],[Std Adj Read]]&gt;=Table1[[#This Row],[Low Tol]],"Pass","Fail"),IF(Table1[[#This Row],[DUT Adj Read]]&gt;=Table1[[#This Row],[Low Tol]],"Pass","Fail")))</f>
        <v>Pass</v>
      </c>
      <c r="AG2769" s="1" t="str">
        <f>IF(AND(Table1[[#This Row],[Spec Type2]]="N/A",Table1[[#This Row],[DUT Adj Read]]="N/A",Table1[[#This Row],[Std Adj Read]]="N/A"),"N/A",IF(Table1[[#This Row],[DUT Adj Read]]="N/A",IF(Table1[[#This Row],[Std Adj Read]]&lt;=Table1[[#This Row],[High Tol]],"Pass","Fail"),IF(Table1[[#This Row],[DUT Adj Read]]&lt;=Table1[[#This Row],[High Tol]],"Pass","Fail")))</f>
        <v>Fail</v>
      </c>
      <c r="AH27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9" s="1" t="b">
        <v>0</v>
      </c>
      <c r="AN2769" s="1" t="b">
        <v>0</v>
      </c>
      <c r="AO2769" s="1" t="b">
        <v>0</v>
      </c>
    </row>
    <row r="2770" spans="1:41" x14ac:dyDescent="0.25">
      <c r="A2770" s="10"/>
      <c r="B2770" s="10"/>
      <c r="C2770" s="10"/>
      <c r="D2770" s="10"/>
      <c r="E2770" s="10"/>
      <c r="F2770" s="10"/>
      <c r="G2770" s="10"/>
      <c r="H2770" s="10"/>
      <c r="I2770" s="1" t="str">
        <f t="shared" si="129"/>
        <v/>
      </c>
      <c r="J2770" s="1" t="s">
        <v>35</v>
      </c>
      <c r="K2770" s="1" t="str">
        <f t="shared" si="130"/>
        <v/>
      </c>
      <c r="L2770" s="1" t="str">
        <f t="shared" si="131"/>
        <v/>
      </c>
      <c r="M2770" s="1">
        <f>IF(OR(Table1[[#This Row],[Std Nom]]="",Table1[[#This Row],[Std Read]]=""),0,Table1[[#This Row],[Std Nom]]-Table1[[#This Row],[Std Read]])</f>
        <v>0</v>
      </c>
      <c r="N2770" s="1">
        <f>IF(Calculations!$F$5="ACCREDITED 17025 WITH UNCERTAINTIES",$N$10,0)</f>
        <v>0</v>
      </c>
      <c r="O2770" s="1" t="str">
        <f>IFERROR(Table1[[#This Row],[Std Nom]]-(_xlfn.XLOOKUP(Table1[[#This Row],[Manufacturer]]&amp;" "&amp;Table1[[#This Row],[Model]],Table13[MFR &amp; MDL],Table13[Tolerance % CW ],"")/100*Table1[[#This Row],[Std Nom]]),"")</f>
        <v/>
      </c>
      <c r="P2770" s="1" t="str">
        <f>IFERROR(Table1[[#This Row],[Std Nom]]+(_xlfn.XLOOKUP(Table1[[#This Row],[Manufacturer]]&amp;" "&amp;Table1[[#This Row],[Model]],Table13[MFR &amp; MDL],Table13[Tolerance % CW ],"")/100*Table1[[#This Row],[Std Nom]]),"")</f>
        <v/>
      </c>
      <c r="Q2770" s="1" t="e">
        <f>Table1[[#This Row],[High Tol]]-Table1[[#This Row],[Low Tol]]</f>
        <v>#VALUE!</v>
      </c>
      <c r="R2770" s="1">
        <f>2*Table1[[#This Row],[Std Error]]</f>
        <v>0</v>
      </c>
      <c r="S2770" s="1" t="str">
        <f>IF(Table1[[#This Row],[High Tol]]="","N/A",IFERROR(ABS(Table1[[#This Row],[Tol Span]]/Table1[[#This Row],[Error Span]]),"N/A"))</f>
        <v>N/A</v>
      </c>
      <c r="T2770" s="1" t="str">
        <f>IF(OR(Table1[[#This Row],[Low Tol]]="",Table1[[#This Row],[High Tol]]=""),"Needs Analysis",IF(Table1[[#This Row],[Ratio]]&gt;=4,"Not Significant",IF(Table1[[#This Row],[Ratio]]&gt;=2,"Semi-Significant","Significant")))</f>
        <v>Needs Analysis</v>
      </c>
      <c r="W2770" s="1">
        <f>IF(Table1[[#This Row],[Cal Type]]&lt;&gt;"ACCREDITED 17025 WITH UNCERTAINTIES",0,"")</f>
        <v>0</v>
      </c>
      <c r="X2770" s="1" t="str">
        <f>IF(Table1[[#This Row],[DUT Read]]="","N/A",Table1[[#This Row],[Std Error]]+Table1[[#This Row],[DUT Read]]+Table1[[#This Row],[DUT Ucty]])</f>
        <v>N/A</v>
      </c>
      <c r="Y2770" s="1" t="str">
        <f>IF(Table1[[#This Row],[Std Read]]="","N/A",Table1[[#This Row],[Std Read]]+Table1[[#This Row],[Std Ucty]])</f>
        <v>N/A</v>
      </c>
      <c r="Z27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0" s="1" t="str">
        <f>IF(Table1[[#This Row],[Spec Type]]="","N/A",Table1[[#This Row],[Spec Type]])</f>
        <v>±</v>
      </c>
      <c r="AC2770" s="1" t="str">
        <f>IF(Table1[[#This Row],[Spec Type2]]="N/A","N/A",IF(AND(Table1[[#This Row],[DUT Adj Read]]&gt;=Table1[[#This Row],[Low Tol]],Table1[[#This Row],[DUT Adj Read]]&lt;=Table1[[#This Row],[High Tol]]),"Pass","Fail"))</f>
        <v>Fail</v>
      </c>
      <c r="AD2770" s="1" t="str">
        <f>IF(AND(Table1[[#This Row],[Spec Type2]]="N/A",Table1[[#This Row],[DUT Adj Read]]="N/A",Table1[[#This Row],[Std Adj Read]]="N/A"),"N/A",IF(Table1[[#This Row],[DUT Adj Read]]="N/A",IF(Table1[[#This Row],[Std Adj Read]]&gt;Table1[[#This Row],[Low Tol]],"Pass","Fail"),IF(Table1[[#This Row],[DUT Adj Read]]&gt;Table1[[#This Row],[Low Tol]],"Pass","Fail")))</f>
        <v>Pass</v>
      </c>
      <c r="AE2770" s="1" t="str">
        <f>IF(AND(Table1[[#This Row],[Spec Type2]]="N/A",Table1[[#This Row],[DUT Adj Read]]="N/A",Table1[[#This Row],[Std Adj Read]]="N/A"),"N/A",IF(Table1[[#This Row],[DUT Adj Read]]="N/A",IF(Table1[[#This Row],[Std Adj Read]]&lt;Table1[[#This Row],[High Tol]],"Pass","Fail"),IF(Table1[[#This Row],[DUT Adj Read]]&lt;Table1[[#This Row],[High Tol]],"Pass","Fail")))</f>
        <v>Fail</v>
      </c>
      <c r="AF2770" s="1" t="str">
        <f>IF(AND(Table1[[#This Row],[Spec Type2]]="N/A",Table1[[#This Row],[DUT Adj Read]]="N/A",Table1[[#This Row],[Std Adj Read]]="N/A"),"N/A",IF(Table1[[#This Row],[DUT Adj Read]]="N/A",IF(Table1[[#This Row],[Std Adj Read]]&gt;=Table1[[#This Row],[Low Tol]],"Pass","Fail"),IF(Table1[[#This Row],[DUT Adj Read]]&gt;=Table1[[#This Row],[Low Tol]],"Pass","Fail")))</f>
        <v>Pass</v>
      </c>
      <c r="AG2770" s="1" t="str">
        <f>IF(AND(Table1[[#This Row],[Spec Type2]]="N/A",Table1[[#This Row],[DUT Adj Read]]="N/A",Table1[[#This Row],[Std Adj Read]]="N/A"),"N/A",IF(Table1[[#This Row],[DUT Adj Read]]="N/A",IF(Table1[[#This Row],[Std Adj Read]]&lt;=Table1[[#This Row],[High Tol]],"Pass","Fail"),IF(Table1[[#This Row],[DUT Adj Read]]&lt;=Table1[[#This Row],[High Tol]],"Pass","Fail")))</f>
        <v>Fail</v>
      </c>
      <c r="AH27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0" s="1" t="b">
        <v>0</v>
      </c>
      <c r="AN2770" s="1" t="b">
        <v>0</v>
      </c>
      <c r="AO2770" s="1" t="b">
        <v>0</v>
      </c>
    </row>
    <row r="2771" spans="1:41" x14ac:dyDescent="0.25">
      <c r="A2771" s="10"/>
      <c r="B2771" s="10"/>
      <c r="C2771" s="10"/>
      <c r="D2771" s="10"/>
      <c r="E2771" s="10"/>
      <c r="F2771" s="10"/>
      <c r="G2771" s="10"/>
      <c r="H2771" s="10"/>
      <c r="I2771" s="1" t="str">
        <f t="shared" si="129"/>
        <v/>
      </c>
      <c r="J2771" s="1" t="s">
        <v>35</v>
      </c>
      <c r="K2771" s="1" t="str">
        <f t="shared" si="130"/>
        <v/>
      </c>
      <c r="L2771" s="1" t="str">
        <f t="shared" si="131"/>
        <v/>
      </c>
      <c r="M2771" s="1">
        <f>IF(OR(Table1[[#This Row],[Std Nom]]="",Table1[[#This Row],[Std Read]]=""),0,Table1[[#This Row],[Std Nom]]-Table1[[#This Row],[Std Read]])</f>
        <v>0</v>
      </c>
      <c r="N2771" s="1">
        <f>IF(Calculations!$F$5="ACCREDITED 17025 WITH UNCERTAINTIES",$N$10,0)</f>
        <v>0</v>
      </c>
      <c r="O2771" s="1" t="str">
        <f>IFERROR(Table1[[#This Row],[Std Nom]]-(_xlfn.XLOOKUP(Table1[[#This Row],[Manufacturer]]&amp;" "&amp;Table1[[#This Row],[Model]],Table13[MFR &amp; MDL],Table13[Tolerance % CW ],"")/100*Table1[[#This Row],[Std Nom]]),"")</f>
        <v/>
      </c>
      <c r="P2771" s="1" t="str">
        <f>IFERROR(Table1[[#This Row],[Std Nom]]+(_xlfn.XLOOKUP(Table1[[#This Row],[Manufacturer]]&amp;" "&amp;Table1[[#This Row],[Model]],Table13[MFR &amp; MDL],Table13[Tolerance % CW ],"")/100*Table1[[#This Row],[Std Nom]]),"")</f>
        <v/>
      </c>
      <c r="Q2771" s="1" t="e">
        <f>Table1[[#This Row],[High Tol]]-Table1[[#This Row],[Low Tol]]</f>
        <v>#VALUE!</v>
      </c>
      <c r="R2771" s="1">
        <f>2*Table1[[#This Row],[Std Error]]</f>
        <v>0</v>
      </c>
      <c r="S2771" s="1" t="str">
        <f>IF(Table1[[#This Row],[High Tol]]="","N/A",IFERROR(ABS(Table1[[#This Row],[Tol Span]]/Table1[[#This Row],[Error Span]]),"N/A"))</f>
        <v>N/A</v>
      </c>
      <c r="T2771" s="1" t="str">
        <f>IF(OR(Table1[[#This Row],[Low Tol]]="",Table1[[#This Row],[High Tol]]=""),"Needs Analysis",IF(Table1[[#This Row],[Ratio]]&gt;=4,"Not Significant",IF(Table1[[#This Row],[Ratio]]&gt;=2,"Semi-Significant","Significant")))</f>
        <v>Needs Analysis</v>
      </c>
      <c r="W2771" s="1">
        <f>IF(Table1[[#This Row],[Cal Type]]&lt;&gt;"ACCREDITED 17025 WITH UNCERTAINTIES",0,"")</f>
        <v>0</v>
      </c>
      <c r="X2771" s="1" t="str">
        <f>IF(Table1[[#This Row],[DUT Read]]="","N/A",Table1[[#This Row],[Std Error]]+Table1[[#This Row],[DUT Read]]+Table1[[#This Row],[DUT Ucty]])</f>
        <v>N/A</v>
      </c>
      <c r="Y2771" s="1" t="str">
        <f>IF(Table1[[#This Row],[Std Read]]="","N/A",Table1[[#This Row],[Std Read]]+Table1[[#This Row],[Std Ucty]])</f>
        <v>N/A</v>
      </c>
      <c r="Z27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1" s="1" t="str">
        <f>IF(Table1[[#This Row],[Spec Type]]="","N/A",Table1[[#This Row],[Spec Type]])</f>
        <v>±</v>
      </c>
      <c r="AC2771" s="1" t="str">
        <f>IF(Table1[[#This Row],[Spec Type2]]="N/A","N/A",IF(AND(Table1[[#This Row],[DUT Adj Read]]&gt;=Table1[[#This Row],[Low Tol]],Table1[[#This Row],[DUT Adj Read]]&lt;=Table1[[#This Row],[High Tol]]),"Pass","Fail"))</f>
        <v>Fail</v>
      </c>
      <c r="AD2771" s="1" t="str">
        <f>IF(AND(Table1[[#This Row],[Spec Type2]]="N/A",Table1[[#This Row],[DUT Adj Read]]="N/A",Table1[[#This Row],[Std Adj Read]]="N/A"),"N/A",IF(Table1[[#This Row],[DUT Adj Read]]="N/A",IF(Table1[[#This Row],[Std Adj Read]]&gt;Table1[[#This Row],[Low Tol]],"Pass","Fail"),IF(Table1[[#This Row],[DUT Adj Read]]&gt;Table1[[#This Row],[Low Tol]],"Pass","Fail")))</f>
        <v>Pass</v>
      </c>
      <c r="AE2771" s="1" t="str">
        <f>IF(AND(Table1[[#This Row],[Spec Type2]]="N/A",Table1[[#This Row],[DUT Adj Read]]="N/A",Table1[[#This Row],[Std Adj Read]]="N/A"),"N/A",IF(Table1[[#This Row],[DUT Adj Read]]="N/A",IF(Table1[[#This Row],[Std Adj Read]]&lt;Table1[[#This Row],[High Tol]],"Pass","Fail"),IF(Table1[[#This Row],[DUT Adj Read]]&lt;Table1[[#This Row],[High Tol]],"Pass","Fail")))</f>
        <v>Fail</v>
      </c>
      <c r="AF2771" s="1" t="str">
        <f>IF(AND(Table1[[#This Row],[Spec Type2]]="N/A",Table1[[#This Row],[DUT Adj Read]]="N/A",Table1[[#This Row],[Std Adj Read]]="N/A"),"N/A",IF(Table1[[#This Row],[DUT Adj Read]]="N/A",IF(Table1[[#This Row],[Std Adj Read]]&gt;=Table1[[#This Row],[Low Tol]],"Pass","Fail"),IF(Table1[[#This Row],[DUT Adj Read]]&gt;=Table1[[#This Row],[Low Tol]],"Pass","Fail")))</f>
        <v>Pass</v>
      </c>
      <c r="AG2771" s="1" t="str">
        <f>IF(AND(Table1[[#This Row],[Spec Type2]]="N/A",Table1[[#This Row],[DUT Adj Read]]="N/A",Table1[[#This Row],[Std Adj Read]]="N/A"),"N/A",IF(Table1[[#This Row],[DUT Adj Read]]="N/A",IF(Table1[[#This Row],[Std Adj Read]]&lt;=Table1[[#This Row],[High Tol]],"Pass","Fail"),IF(Table1[[#This Row],[DUT Adj Read]]&lt;=Table1[[#This Row],[High Tol]],"Pass","Fail")))</f>
        <v>Fail</v>
      </c>
      <c r="AH27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1" s="1" t="b">
        <v>0</v>
      </c>
      <c r="AN2771" s="1" t="b">
        <v>0</v>
      </c>
      <c r="AO2771" s="1" t="b">
        <v>0</v>
      </c>
    </row>
    <row r="2772" spans="1:41" x14ac:dyDescent="0.25">
      <c r="A2772" s="10"/>
      <c r="B2772" s="10"/>
      <c r="C2772" s="10"/>
      <c r="D2772" s="10"/>
      <c r="E2772" s="10"/>
      <c r="F2772" s="10"/>
      <c r="G2772" s="10"/>
      <c r="H2772" s="10"/>
      <c r="I2772" s="1" t="str">
        <f t="shared" si="129"/>
        <v/>
      </c>
      <c r="J2772" s="1" t="s">
        <v>35</v>
      </c>
      <c r="K2772" s="1" t="str">
        <f t="shared" si="130"/>
        <v/>
      </c>
      <c r="L2772" s="1" t="str">
        <f t="shared" si="131"/>
        <v/>
      </c>
      <c r="M2772" s="1">
        <f>IF(OR(Table1[[#This Row],[Std Nom]]="",Table1[[#This Row],[Std Read]]=""),0,Table1[[#This Row],[Std Nom]]-Table1[[#This Row],[Std Read]])</f>
        <v>0</v>
      </c>
      <c r="N2772" s="1">
        <f>IF(Calculations!$F$5="ACCREDITED 17025 WITH UNCERTAINTIES",$N$10,0)</f>
        <v>0</v>
      </c>
      <c r="O2772" s="1" t="str">
        <f>IFERROR(Table1[[#This Row],[Std Nom]]-(_xlfn.XLOOKUP(Table1[[#This Row],[Manufacturer]]&amp;" "&amp;Table1[[#This Row],[Model]],Table13[MFR &amp; MDL],Table13[Tolerance % CW ],"")/100*Table1[[#This Row],[Std Nom]]),"")</f>
        <v/>
      </c>
      <c r="P2772" s="1" t="str">
        <f>IFERROR(Table1[[#This Row],[Std Nom]]+(_xlfn.XLOOKUP(Table1[[#This Row],[Manufacturer]]&amp;" "&amp;Table1[[#This Row],[Model]],Table13[MFR &amp; MDL],Table13[Tolerance % CW ],"")/100*Table1[[#This Row],[Std Nom]]),"")</f>
        <v/>
      </c>
      <c r="Q2772" s="1" t="e">
        <f>Table1[[#This Row],[High Tol]]-Table1[[#This Row],[Low Tol]]</f>
        <v>#VALUE!</v>
      </c>
      <c r="R2772" s="1">
        <f>2*Table1[[#This Row],[Std Error]]</f>
        <v>0</v>
      </c>
      <c r="S2772" s="1" t="str">
        <f>IF(Table1[[#This Row],[High Tol]]="","N/A",IFERROR(ABS(Table1[[#This Row],[Tol Span]]/Table1[[#This Row],[Error Span]]),"N/A"))</f>
        <v>N/A</v>
      </c>
      <c r="T2772" s="1" t="str">
        <f>IF(OR(Table1[[#This Row],[Low Tol]]="",Table1[[#This Row],[High Tol]]=""),"Needs Analysis",IF(Table1[[#This Row],[Ratio]]&gt;=4,"Not Significant",IF(Table1[[#This Row],[Ratio]]&gt;=2,"Semi-Significant","Significant")))</f>
        <v>Needs Analysis</v>
      </c>
      <c r="W2772" s="1">
        <f>IF(Table1[[#This Row],[Cal Type]]&lt;&gt;"ACCREDITED 17025 WITH UNCERTAINTIES",0,"")</f>
        <v>0</v>
      </c>
      <c r="X2772" s="1" t="str">
        <f>IF(Table1[[#This Row],[DUT Read]]="","N/A",Table1[[#This Row],[Std Error]]+Table1[[#This Row],[DUT Read]]+Table1[[#This Row],[DUT Ucty]])</f>
        <v>N/A</v>
      </c>
      <c r="Y2772" s="1" t="str">
        <f>IF(Table1[[#This Row],[Std Read]]="","N/A",Table1[[#This Row],[Std Read]]+Table1[[#This Row],[Std Ucty]])</f>
        <v>N/A</v>
      </c>
      <c r="Z27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2" s="1" t="str">
        <f>IF(Table1[[#This Row],[Spec Type]]="","N/A",Table1[[#This Row],[Spec Type]])</f>
        <v>±</v>
      </c>
      <c r="AC2772" s="1" t="str">
        <f>IF(Table1[[#This Row],[Spec Type2]]="N/A","N/A",IF(AND(Table1[[#This Row],[DUT Adj Read]]&gt;=Table1[[#This Row],[Low Tol]],Table1[[#This Row],[DUT Adj Read]]&lt;=Table1[[#This Row],[High Tol]]),"Pass","Fail"))</f>
        <v>Fail</v>
      </c>
      <c r="AD2772" s="1" t="str">
        <f>IF(AND(Table1[[#This Row],[Spec Type2]]="N/A",Table1[[#This Row],[DUT Adj Read]]="N/A",Table1[[#This Row],[Std Adj Read]]="N/A"),"N/A",IF(Table1[[#This Row],[DUT Adj Read]]="N/A",IF(Table1[[#This Row],[Std Adj Read]]&gt;Table1[[#This Row],[Low Tol]],"Pass","Fail"),IF(Table1[[#This Row],[DUT Adj Read]]&gt;Table1[[#This Row],[Low Tol]],"Pass","Fail")))</f>
        <v>Pass</v>
      </c>
      <c r="AE2772" s="1" t="str">
        <f>IF(AND(Table1[[#This Row],[Spec Type2]]="N/A",Table1[[#This Row],[DUT Adj Read]]="N/A",Table1[[#This Row],[Std Adj Read]]="N/A"),"N/A",IF(Table1[[#This Row],[DUT Adj Read]]="N/A",IF(Table1[[#This Row],[Std Adj Read]]&lt;Table1[[#This Row],[High Tol]],"Pass","Fail"),IF(Table1[[#This Row],[DUT Adj Read]]&lt;Table1[[#This Row],[High Tol]],"Pass","Fail")))</f>
        <v>Fail</v>
      </c>
      <c r="AF2772" s="1" t="str">
        <f>IF(AND(Table1[[#This Row],[Spec Type2]]="N/A",Table1[[#This Row],[DUT Adj Read]]="N/A",Table1[[#This Row],[Std Adj Read]]="N/A"),"N/A",IF(Table1[[#This Row],[DUT Adj Read]]="N/A",IF(Table1[[#This Row],[Std Adj Read]]&gt;=Table1[[#This Row],[Low Tol]],"Pass","Fail"),IF(Table1[[#This Row],[DUT Adj Read]]&gt;=Table1[[#This Row],[Low Tol]],"Pass","Fail")))</f>
        <v>Pass</v>
      </c>
      <c r="AG2772" s="1" t="str">
        <f>IF(AND(Table1[[#This Row],[Spec Type2]]="N/A",Table1[[#This Row],[DUT Adj Read]]="N/A",Table1[[#This Row],[Std Adj Read]]="N/A"),"N/A",IF(Table1[[#This Row],[DUT Adj Read]]="N/A",IF(Table1[[#This Row],[Std Adj Read]]&lt;=Table1[[#This Row],[High Tol]],"Pass","Fail"),IF(Table1[[#This Row],[DUT Adj Read]]&lt;=Table1[[#This Row],[High Tol]],"Pass","Fail")))</f>
        <v>Fail</v>
      </c>
      <c r="AH27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2" s="1" t="b">
        <v>0</v>
      </c>
      <c r="AN2772" s="1" t="b">
        <v>0</v>
      </c>
      <c r="AO2772" s="1" t="b">
        <v>0</v>
      </c>
    </row>
    <row r="2773" spans="1:41" x14ac:dyDescent="0.25">
      <c r="A2773" s="10"/>
      <c r="B2773" s="10"/>
      <c r="C2773" s="10"/>
      <c r="D2773" s="10"/>
      <c r="E2773" s="10"/>
      <c r="F2773" s="10"/>
      <c r="G2773" s="10"/>
      <c r="H2773" s="10"/>
      <c r="I2773" s="1" t="str">
        <f t="shared" si="129"/>
        <v/>
      </c>
      <c r="J2773" s="1" t="s">
        <v>35</v>
      </c>
      <c r="K2773" s="1" t="str">
        <f t="shared" si="130"/>
        <v/>
      </c>
      <c r="L2773" s="1" t="str">
        <f t="shared" si="131"/>
        <v/>
      </c>
      <c r="M2773" s="1">
        <f>IF(OR(Table1[[#This Row],[Std Nom]]="",Table1[[#This Row],[Std Read]]=""),0,Table1[[#This Row],[Std Nom]]-Table1[[#This Row],[Std Read]])</f>
        <v>0</v>
      </c>
      <c r="N2773" s="1">
        <f>IF(Calculations!$F$5="ACCREDITED 17025 WITH UNCERTAINTIES",$N$10,0)</f>
        <v>0</v>
      </c>
      <c r="O2773" s="1" t="str">
        <f>IFERROR(Table1[[#This Row],[Std Nom]]-(_xlfn.XLOOKUP(Table1[[#This Row],[Manufacturer]]&amp;" "&amp;Table1[[#This Row],[Model]],Table13[MFR &amp; MDL],Table13[Tolerance % CW ],"")/100*Table1[[#This Row],[Std Nom]]),"")</f>
        <v/>
      </c>
      <c r="P2773" s="1" t="str">
        <f>IFERROR(Table1[[#This Row],[Std Nom]]+(_xlfn.XLOOKUP(Table1[[#This Row],[Manufacturer]]&amp;" "&amp;Table1[[#This Row],[Model]],Table13[MFR &amp; MDL],Table13[Tolerance % CW ],"")/100*Table1[[#This Row],[Std Nom]]),"")</f>
        <v/>
      </c>
      <c r="Q2773" s="1" t="e">
        <f>Table1[[#This Row],[High Tol]]-Table1[[#This Row],[Low Tol]]</f>
        <v>#VALUE!</v>
      </c>
      <c r="R2773" s="1">
        <f>2*Table1[[#This Row],[Std Error]]</f>
        <v>0</v>
      </c>
      <c r="S2773" s="1" t="str">
        <f>IF(Table1[[#This Row],[High Tol]]="","N/A",IFERROR(ABS(Table1[[#This Row],[Tol Span]]/Table1[[#This Row],[Error Span]]),"N/A"))</f>
        <v>N/A</v>
      </c>
      <c r="T2773" s="1" t="str">
        <f>IF(OR(Table1[[#This Row],[Low Tol]]="",Table1[[#This Row],[High Tol]]=""),"Needs Analysis",IF(Table1[[#This Row],[Ratio]]&gt;=4,"Not Significant",IF(Table1[[#This Row],[Ratio]]&gt;=2,"Semi-Significant","Significant")))</f>
        <v>Needs Analysis</v>
      </c>
      <c r="W2773" s="1">
        <f>IF(Table1[[#This Row],[Cal Type]]&lt;&gt;"ACCREDITED 17025 WITH UNCERTAINTIES",0,"")</f>
        <v>0</v>
      </c>
      <c r="X2773" s="1" t="str">
        <f>IF(Table1[[#This Row],[DUT Read]]="","N/A",Table1[[#This Row],[Std Error]]+Table1[[#This Row],[DUT Read]]+Table1[[#This Row],[DUT Ucty]])</f>
        <v>N/A</v>
      </c>
      <c r="Y2773" s="1" t="str">
        <f>IF(Table1[[#This Row],[Std Read]]="","N/A",Table1[[#This Row],[Std Read]]+Table1[[#This Row],[Std Ucty]])</f>
        <v>N/A</v>
      </c>
      <c r="Z27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3" s="1" t="str">
        <f>IF(Table1[[#This Row],[Spec Type]]="","N/A",Table1[[#This Row],[Spec Type]])</f>
        <v>±</v>
      </c>
      <c r="AC2773" s="1" t="str">
        <f>IF(Table1[[#This Row],[Spec Type2]]="N/A","N/A",IF(AND(Table1[[#This Row],[DUT Adj Read]]&gt;=Table1[[#This Row],[Low Tol]],Table1[[#This Row],[DUT Adj Read]]&lt;=Table1[[#This Row],[High Tol]]),"Pass","Fail"))</f>
        <v>Fail</v>
      </c>
      <c r="AD2773" s="1" t="str">
        <f>IF(AND(Table1[[#This Row],[Spec Type2]]="N/A",Table1[[#This Row],[DUT Adj Read]]="N/A",Table1[[#This Row],[Std Adj Read]]="N/A"),"N/A",IF(Table1[[#This Row],[DUT Adj Read]]="N/A",IF(Table1[[#This Row],[Std Adj Read]]&gt;Table1[[#This Row],[Low Tol]],"Pass","Fail"),IF(Table1[[#This Row],[DUT Adj Read]]&gt;Table1[[#This Row],[Low Tol]],"Pass","Fail")))</f>
        <v>Pass</v>
      </c>
      <c r="AE2773" s="1" t="str">
        <f>IF(AND(Table1[[#This Row],[Spec Type2]]="N/A",Table1[[#This Row],[DUT Adj Read]]="N/A",Table1[[#This Row],[Std Adj Read]]="N/A"),"N/A",IF(Table1[[#This Row],[DUT Adj Read]]="N/A",IF(Table1[[#This Row],[Std Adj Read]]&lt;Table1[[#This Row],[High Tol]],"Pass","Fail"),IF(Table1[[#This Row],[DUT Adj Read]]&lt;Table1[[#This Row],[High Tol]],"Pass","Fail")))</f>
        <v>Fail</v>
      </c>
      <c r="AF2773" s="1" t="str">
        <f>IF(AND(Table1[[#This Row],[Spec Type2]]="N/A",Table1[[#This Row],[DUT Adj Read]]="N/A",Table1[[#This Row],[Std Adj Read]]="N/A"),"N/A",IF(Table1[[#This Row],[DUT Adj Read]]="N/A",IF(Table1[[#This Row],[Std Adj Read]]&gt;=Table1[[#This Row],[Low Tol]],"Pass","Fail"),IF(Table1[[#This Row],[DUT Adj Read]]&gt;=Table1[[#This Row],[Low Tol]],"Pass","Fail")))</f>
        <v>Pass</v>
      </c>
      <c r="AG2773" s="1" t="str">
        <f>IF(AND(Table1[[#This Row],[Spec Type2]]="N/A",Table1[[#This Row],[DUT Adj Read]]="N/A",Table1[[#This Row],[Std Adj Read]]="N/A"),"N/A",IF(Table1[[#This Row],[DUT Adj Read]]="N/A",IF(Table1[[#This Row],[Std Adj Read]]&lt;=Table1[[#This Row],[High Tol]],"Pass","Fail"),IF(Table1[[#This Row],[DUT Adj Read]]&lt;=Table1[[#This Row],[High Tol]],"Pass","Fail")))</f>
        <v>Fail</v>
      </c>
      <c r="AH27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3" s="1" t="b">
        <v>0</v>
      </c>
      <c r="AN2773" s="1" t="b">
        <v>0</v>
      </c>
      <c r="AO2773" s="1" t="b">
        <v>0</v>
      </c>
    </row>
    <row r="2774" spans="1:41" x14ac:dyDescent="0.25">
      <c r="A2774" s="10"/>
      <c r="B2774" s="10"/>
      <c r="C2774" s="10"/>
      <c r="D2774" s="10"/>
      <c r="E2774" s="10"/>
      <c r="F2774" s="10"/>
      <c r="G2774" s="10"/>
      <c r="H2774" s="10"/>
      <c r="I2774" s="1" t="str">
        <f t="shared" si="129"/>
        <v/>
      </c>
      <c r="J2774" s="1" t="s">
        <v>35</v>
      </c>
      <c r="K2774" s="1" t="str">
        <f t="shared" si="130"/>
        <v/>
      </c>
      <c r="L2774" s="1" t="str">
        <f t="shared" si="131"/>
        <v/>
      </c>
      <c r="M2774" s="1">
        <f>IF(OR(Table1[[#This Row],[Std Nom]]="",Table1[[#This Row],[Std Read]]=""),0,Table1[[#This Row],[Std Nom]]-Table1[[#This Row],[Std Read]])</f>
        <v>0</v>
      </c>
      <c r="N2774" s="1">
        <f>IF(Calculations!$F$5="ACCREDITED 17025 WITH UNCERTAINTIES",$N$10,0)</f>
        <v>0</v>
      </c>
      <c r="O2774" s="1" t="str">
        <f>IFERROR(Table1[[#This Row],[Std Nom]]-(_xlfn.XLOOKUP(Table1[[#This Row],[Manufacturer]]&amp;" "&amp;Table1[[#This Row],[Model]],Table13[MFR &amp; MDL],Table13[Tolerance % CW ],"")/100*Table1[[#This Row],[Std Nom]]),"")</f>
        <v/>
      </c>
      <c r="P2774" s="1" t="str">
        <f>IFERROR(Table1[[#This Row],[Std Nom]]+(_xlfn.XLOOKUP(Table1[[#This Row],[Manufacturer]]&amp;" "&amp;Table1[[#This Row],[Model]],Table13[MFR &amp; MDL],Table13[Tolerance % CW ],"")/100*Table1[[#This Row],[Std Nom]]),"")</f>
        <v/>
      </c>
      <c r="Q2774" s="1" t="e">
        <f>Table1[[#This Row],[High Tol]]-Table1[[#This Row],[Low Tol]]</f>
        <v>#VALUE!</v>
      </c>
      <c r="R2774" s="1">
        <f>2*Table1[[#This Row],[Std Error]]</f>
        <v>0</v>
      </c>
      <c r="S2774" s="1" t="str">
        <f>IF(Table1[[#This Row],[High Tol]]="","N/A",IFERROR(ABS(Table1[[#This Row],[Tol Span]]/Table1[[#This Row],[Error Span]]),"N/A"))</f>
        <v>N/A</v>
      </c>
      <c r="T2774" s="1" t="str">
        <f>IF(OR(Table1[[#This Row],[Low Tol]]="",Table1[[#This Row],[High Tol]]=""),"Needs Analysis",IF(Table1[[#This Row],[Ratio]]&gt;=4,"Not Significant",IF(Table1[[#This Row],[Ratio]]&gt;=2,"Semi-Significant","Significant")))</f>
        <v>Needs Analysis</v>
      </c>
      <c r="W2774" s="1">
        <f>IF(Table1[[#This Row],[Cal Type]]&lt;&gt;"ACCREDITED 17025 WITH UNCERTAINTIES",0,"")</f>
        <v>0</v>
      </c>
      <c r="X2774" s="1" t="str">
        <f>IF(Table1[[#This Row],[DUT Read]]="","N/A",Table1[[#This Row],[Std Error]]+Table1[[#This Row],[DUT Read]]+Table1[[#This Row],[DUT Ucty]])</f>
        <v>N/A</v>
      </c>
      <c r="Y2774" s="1" t="str">
        <f>IF(Table1[[#This Row],[Std Read]]="","N/A",Table1[[#This Row],[Std Read]]+Table1[[#This Row],[Std Ucty]])</f>
        <v>N/A</v>
      </c>
      <c r="Z27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4" s="1" t="str">
        <f>IF(Table1[[#This Row],[Spec Type]]="","N/A",Table1[[#This Row],[Spec Type]])</f>
        <v>±</v>
      </c>
      <c r="AC2774" s="1" t="str">
        <f>IF(Table1[[#This Row],[Spec Type2]]="N/A","N/A",IF(AND(Table1[[#This Row],[DUT Adj Read]]&gt;=Table1[[#This Row],[Low Tol]],Table1[[#This Row],[DUT Adj Read]]&lt;=Table1[[#This Row],[High Tol]]),"Pass","Fail"))</f>
        <v>Fail</v>
      </c>
      <c r="AD2774" s="1" t="str">
        <f>IF(AND(Table1[[#This Row],[Spec Type2]]="N/A",Table1[[#This Row],[DUT Adj Read]]="N/A",Table1[[#This Row],[Std Adj Read]]="N/A"),"N/A",IF(Table1[[#This Row],[DUT Adj Read]]="N/A",IF(Table1[[#This Row],[Std Adj Read]]&gt;Table1[[#This Row],[Low Tol]],"Pass","Fail"),IF(Table1[[#This Row],[DUT Adj Read]]&gt;Table1[[#This Row],[Low Tol]],"Pass","Fail")))</f>
        <v>Pass</v>
      </c>
      <c r="AE2774" s="1" t="str">
        <f>IF(AND(Table1[[#This Row],[Spec Type2]]="N/A",Table1[[#This Row],[DUT Adj Read]]="N/A",Table1[[#This Row],[Std Adj Read]]="N/A"),"N/A",IF(Table1[[#This Row],[DUT Adj Read]]="N/A",IF(Table1[[#This Row],[Std Adj Read]]&lt;Table1[[#This Row],[High Tol]],"Pass","Fail"),IF(Table1[[#This Row],[DUT Adj Read]]&lt;Table1[[#This Row],[High Tol]],"Pass","Fail")))</f>
        <v>Fail</v>
      </c>
      <c r="AF2774" s="1" t="str">
        <f>IF(AND(Table1[[#This Row],[Spec Type2]]="N/A",Table1[[#This Row],[DUT Adj Read]]="N/A",Table1[[#This Row],[Std Adj Read]]="N/A"),"N/A",IF(Table1[[#This Row],[DUT Adj Read]]="N/A",IF(Table1[[#This Row],[Std Adj Read]]&gt;=Table1[[#This Row],[Low Tol]],"Pass","Fail"),IF(Table1[[#This Row],[DUT Adj Read]]&gt;=Table1[[#This Row],[Low Tol]],"Pass","Fail")))</f>
        <v>Pass</v>
      </c>
      <c r="AG2774" s="1" t="str">
        <f>IF(AND(Table1[[#This Row],[Spec Type2]]="N/A",Table1[[#This Row],[DUT Adj Read]]="N/A",Table1[[#This Row],[Std Adj Read]]="N/A"),"N/A",IF(Table1[[#This Row],[DUT Adj Read]]="N/A",IF(Table1[[#This Row],[Std Adj Read]]&lt;=Table1[[#This Row],[High Tol]],"Pass","Fail"),IF(Table1[[#This Row],[DUT Adj Read]]&lt;=Table1[[#This Row],[High Tol]],"Pass","Fail")))</f>
        <v>Fail</v>
      </c>
      <c r="AH27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4" s="1" t="b">
        <v>0</v>
      </c>
      <c r="AN2774" s="1" t="b">
        <v>0</v>
      </c>
      <c r="AO2774" s="1" t="b">
        <v>0</v>
      </c>
    </row>
    <row r="2775" spans="1:41" x14ac:dyDescent="0.25">
      <c r="A2775" s="10"/>
      <c r="B2775" s="10"/>
      <c r="C2775" s="10"/>
      <c r="D2775" s="10"/>
      <c r="E2775" s="10"/>
      <c r="F2775" s="10"/>
      <c r="G2775" s="10"/>
      <c r="H2775" s="10"/>
      <c r="I2775" s="1" t="str">
        <f t="shared" si="129"/>
        <v/>
      </c>
      <c r="J2775" s="1" t="s">
        <v>35</v>
      </c>
      <c r="K2775" s="1" t="str">
        <f t="shared" si="130"/>
        <v/>
      </c>
      <c r="L2775" s="1" t="str">
        <f t="shared" si="131"/>
        <v/>
      </c>
      <c r="M2775" s="1">
        <f>IF(OR(Table1[[#This Row],[Std Nom]]="",Table1[[#This Row],[Std Read]]=""),0,Table1[[#This Row],[Std Nom]]-Table1[[#This Row],[Std Read]])</f>
        <v>0</v>
      </c>
      <c r="N2775" s="1">
        <f>IF(Calculations!$F$5="ACCREDITED 17025 WITH UNCERTAINTIES",$N$10,0)</f>
        <v>0</v>
      </c>
      <c r="O2775" s="1" t="str">
        <f>IFERROR(Table1[[#This Row],[Std Nom]]-(_xlfn.XLOOKUP(Table1[[#This Row],[Manufacturer]]&amp;" "&amp;Table1[[#This Row],[Model]],Table13[MFR &amp; MDL],Table13[Tolerance % CW ],"")/100*Table1[[#This Row],[Std Nom]]),"")</f>
        <v/>
      </c>
      <c r="P2775" s="1" t="str">
        <f>IFERROR(Table1[[#This Row],[Std Nom]]+(_xlfn.XLOOKUP(Table1[[#This Row],[Manufacturer]]&amp;" "&amp;Table1[[#This Row],[Model]],Table13[MFR &amp; MDL],Table13[Tolerance % CW ],"")/100*Table1[[#This Row],[Std Nom]]),"")</f>
        <v/>
      </c>
      <c r="Q2775" s="1" t="e">
        <f>Table1[[#This Row],[High Tol]]-Table1[[#This Row],[Low Tol]]</f>
        <v>#VALUE!</v>
      </c>
      <c r="R2775" s="1">
        <f>2*Table1[[#This Row],[Std Error]]</f>
        <v>0</v>
      </c>
      <c r="S2775" s="1" t="str">
        <f>IF(Table1[[#This Row],[High Tol]]="","N/A",IFERROR(ABS(Table1[[#This Row],[Tol Span]]/Table1[[#This Row],[Error Span]]),"N/A"))</f>
        <v>N/A</v>
      </c>
      <c r="T2775" s="1" t="str">
        <f>IF(OR(Table1[[#This Row],[Low Tol]]="",Table1[[#This Row],[High Tol]]=""),"Needs Analysis",IF(Table1[[#This Row],[Ratio]]&gt;=4,"Not Significant",IF(Table1[[#This Row],[Ratio]]&gt;=2,"Semi-Significant","Significant")))</f>
        <v>Needs Analysis</v>
      </c>
      <c r="W2775" s="1">
        <f>IF(Table1[[#This Row],[Cal Type]]&lt;&gt;"ACCREDITED 17025 WITH UNCERTAINTIES",0,"")</f>
        <v>0</v>
      </c>
      <c r="X2775" s="1" t="str">
        <f>IF(Table1[[#This Row],[DUT Read]]="","N/A",Table1[[#This Row],[Std Error]]+Table1[[#This Row],[DUT Read]]+Table1[[#This Row],[DUT Ucty]])</f>
        <v>N/A</v>
      </c>
      <c r="Y2775" s="1" t="str">
        <f>IF(Table1[[#This Row],[Std Read]]="","N/A",Table1[[#This Row],[Std Read]]+Table1[[#This Row],[Std Ucty]])</f>
        <v>N/A</v>
      </c>
      <c r="Z27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5" s="1" t="str">
        <f>IF(Table1[[#This Row],[Spec Type]]="","N/A",Table1[[#This Row],[Spec Type]])</f>
        <v>±</v>
      </c>
      <c r="AC2775" s="1" t="str">
        <f>IF(Table1[[#This Row],[Spec Type2]]="N/A","N/A",IF(AND(Table1[[#This Row],[DUT Adj Read]]&gt;=Table1[[#This Row],[Low Tol]],Table1[[#This Row],[DUT Adj Read]]&lt;=Table1[[#This Row],[High Tol]]),"Pass","Fail"))</f>
        <v>Fail</v>
      </c>
      <c r="AD2775" s="1" t="str">
        <f>IF(AND(Table1[[#This Row],[Spec Type2]]="N/A",Table1[[#This Row],[DUT Adj Read]]="N/A",Table1[[#This Row],[Std Adj Read]]="N/A"),"N/A",IF(Table1[[#This Row],[DUT Adj Read]]="N/A",IF(Table1[[#This Row],[Std Adj Read]]&gt;Table1[[#This Row],[Low Tol]],"Pass","Fail"),IF(Table1[[#This Row],[DUT Adj Read]]&gt;Table1[[#This Row],[Low Tol]],"Pass","Fail")))</f>
        <v>Pass</v>
      </c>
      <c r="AE2775" s="1" t="str">
        <f>IF(AND(Table1[[#This Row],[Spec Type2]]="N/A",Table1[[#This Row],[DUT Adj Read]]="N/A",Table1[[#This Row],[Std Adj Read]]="N/A"),"N/A",IF(Table1[[#This Row],[DUT Adj Read]]="N/A",IF(Table1[[#This Row],[Std Adj Read]]&lt;Table1[[#This Row],[High Tol]],"Pass","Fail"),IF(Table1[[#This Row],[DUT Adj Read]]&lt;Table1[[#This Row],[High Tol]],"Pass","Fail")))</f>
        <v>Fail</v>
      </c>
      <c r="AF2775" s="1" t="str">
        <f>IF(AND(Table1[[#This Row],[Spec Type2]]="N/A",Table1[[#This Row],[DUT Adj Read]]="N/A",Table1[[#This Row],[Std Adj Read]]="N/A"),"N/A",IF(Table1[[#This Row],[DUT Adj Read]]="N/A",IF(Table1[[#This Row],[Std Adj Read]]&gt;=Table1[[#This Row],[Low Tol]],"Pass","Fail"),IF(Table1[[#This Row],[DUT Adj Read]]&gt;=Table1[[#This Row],[Low Tol]],"Pass","Fail")))</f>
        <v>Pass</v>
      </c>
      <c r="AG2775" s="1" t="str">
        <f>IF(AND(Table1[[#This Row],[Spec Type2]]="N/A",Table1[[#This Row],[DUT Adj Read]]="N/A",Table1[[#This Row],[Std Adj Read]]="N/A"),"N/A",IF(Table1[[#This Row],[DUT Adj Read]]="N/A",IF(Table1[[#This Row],[Std Adj Read]]&lt;=Table1[[#This Row],[High Tol]],"Pass","Fail"),IF(Table1[[#This Row],[DUT Adj Read]]&lt;=Table1[[#This Row],[High Tol]],"Pass","Fail")))</f>
        <v>Fail</v>
      </c>
      <c r="AH27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5" s="1" t="b">
        <v>0</v>
      </c>
      <c r="AN2775" s="1" t="b">
        <v>0</v>
      </c>
      <c r="AO2775" s="1" t="b">
        <v>0</v>
      </c>
    </row>
    <row r="2776" spans="1:41" x14ac:dyDescent="0.25">
      <c r="A2776" s="10"/>
      <c r="B2776" s="10"/>
      <c r="C2776" s="10"/>
      <c r="D2776" s="10"/>
      <c r="E2776" s="10"/>
      <c r="F2776" s="10"/>
      <c r="G2776" s="10"/>
      <c r="H2776" s="10"/>
      <c r="I2776" s="1" t="str">
        <f t="shared" si="129"/>
        <v/>
      </c>
      <c r="J2776" s="1" t="s">
        <v>35</v>
      </c>
      <c r="K2776" s="1" t="str">
        <f t="shared" si="130"/>
        <v/>
      </c>
      <c r="L2776" s="1" t="str">
        <f t="shared" si="131"/>
        <v/>
      </c>
      <c r="M2776" s="1">
        <f>IF(OR(Table1[[#This Row],[Std Nom]]="",Table1[[#This Row],[Std Read]]=""),0,Table1[[#This Row],[Std Nom]]-Table1[[#This Row],[Std Read]])</f>
        <v>0</v>
      </c>
      <c r="N2776" s="1">
        <f>IF(Calculations!$F$5="ACCREDITED 17025 WITH UNCERTAINTIES",$N$10,0)</f>
        <v>0</v>
      </c>
      <c r="O2776" s="1" t="str">
        <f>IFERROR(Table1[[#This Row],[Std Nom]]-(_xlfn.XLOOKUP(Table1[[#This Row],[Manufacturer]]&amp;" "&amp;Table1[[#This Row],[Model]],Table13[MFR &amp; MDL],Table13[Tolerance % CW ],"")/100*Table1[[#This Row],[Std Nom]]),"")</f>
        <v/>
      </c>
      <c r="P2776" s="1" t="str">
        <f>IFERROR(Table1[[#This Row],[Std Nom]]+(_xlfn.XLOOKUP(Table1[[#This Row],[Manufacturer]]&amp;" "&amp;Table1[[#This Row],[Model]],Table13[MFR &amp; MDL],Table13[Tolerance % CW ],"")/100*Table1[[#This Row],[Std Nom]]),"")</f>
        <v/>
      </c>
      <c r="Q2776" s="1" t="e">
        <f>Table1[[#This Row],[High Tol]]-Table1[[#This Row],[Low Tol]]</f>
        <v>#VALUE!</v>
      </c>
      <c r="R2776" s="1">
        <f>2*Table1[[#This Row],[Std Error]]</f>
        <v>0</v>
      </c>
      <c r="S2776" s="1" t="str">
        <f>IF(Table1[[#This Row],[High Tol]]="","N/A",IFERROR(ABS(Table1[[#This Row],[Tol Span]]/Table1[[#This Row],[Error Span]]),"N/A"))</f>
        <v>N/A</v>
      </c>
      <c r="T2776" s="1" t="str">
        <f>IF(OR(Table1[[#This Row],[Low Tol]]="",Table1[[#This Row],[High Tol]]=""),"Needs Analysis",IF(Table1[[#This Row],[Ratio]]&gt;=4,"Not Significant",IF(Table1[[#This Row],[Ratio]]&gt;=2,"Semi-Significant","Significant")))</f>
        <v>Needs Analysis</v>
      </c>
      <c r="W2776" s="1">
        <f>IF(Table1[[#This Row],[Cal Type]]&lt;&gt;"ACCREDITED 17025 WITH UNCERTAINTIES",0,"")</f>
        <v>0</v>
      </c>
      <c r="X2776" s="1" t="str">
        <f>IF(Table1[[#This Row],[DUT Read]]="","N/A",Table1[[#This Row],[Std Error]]+Table1[[#This Row],[DUT Read]]+Table1[[#This Row],[DUT Ucty]])</f>
        <v>N/A</v>
      </c>
      <c r="Y2776" s="1" t="str">
        <f>IF(Table1[[#This Row],[Std Read]]="","N/A",Table1[[#This Row],[Std Read]]+Table1[[#This Row],[Std Ucty]])</f>
        <v>N/A</v>
      </c>
      <c r="Z27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6" s="1" t="str">
        <f>IF(Table1[[#This Row],[Spec Type]]="","N/A",Table1[[#This Row],[Spec Type]])</f>
        <v>±</v>
      </c>
      <c r="AC2776" s="1" t="str">
        <f>IF(Table1[[#This Row],[Spec Type2]]="N/A","N/A",IF(AND(Table1[[#This Row],[DUT Adj Read]]&gt;=Table1[[#This Row],[Low Tol]],Table1[[#This Row],[DUT Adj Read]]&lt;=Table1[[#This Row],[High Tol]]),"Pass","Fail"))</f>
        <v>Fail</v>
      </c>
      <c r="AD2776" s="1" t="str">
        <f>IF(AND(Table1[[#This Row],[Spec Type2]]="N/A",Table1[[#This Row],[DUT Adj Read]]="N/A",Table1[[#This Row],[Std Adj Read]]="N/A"),"N/A",IF(Table1[[#This Row],[DUT Adj Read]]="N/A",IF(Table1[[#This Row],[Std Adj Read]]&gt;Table1[[#This Row],[Low Tol]],"Pass","Fail"),IF(Table1[[#This Row],[DUT Adj Read]]&gt;Table1[[#This Row],[Low Tol]],"Pass","Fail")))</f>
        <v>Pass</v>
      </c>
      <c r="AE2776" s="1" t="str">
        <f>IF(AND(Table1[[#This Row],[Spec Type2]]="N/A",Table1[[#This Row],[DUT Adj Read]]="N/A",Table1[[#This Row],[Std Adj Read]]="N/A"),"N/A",IF(Table1[[#This Row],[DUT Adj Read]]="N/A",IF(Table1[[#This Row],[Std Adj Read]]&lt;Table1[[#This Row],[High Tol]],"Pass","Fail"),IF(Table1[[#This Row],[DUT Adj Read]]&lt;Table1[[#This Row],[High Tol]],"Pass","Fail")))</f>
        <v>Fail</v>
      </c>
      <c r="AF2776" s="1" t="str">
        <f>IF(AND(Table1[[#This Row],[Spec Type2]]="N/A",Table1[[#This Row],[DUT Adj Read]]="N/A",Table1[[#This Row],[Std Adj Read]]="N/A"),"N/A",IF(Table1[[#This Row],[DUT Adj Read]]="N/A",IF(Table1[[#This Row],[Std Adj Read]]&gt;=Table1[[#This Row],[Low Tol]],"Pass","Fail"),IF(Table1[[#This Row],[DUT Adj Read]]&gt;=Table1[[#This Row],[Low Tol]],"Pass","Fail")))</f>
        <v>Pass</v>
      </c>
      <c r="AG2776" s="1" t="str">
        <f>IF(AND(Table1[[#This Row],[Spec Type2]]="N/A",Table1[[#This Row],[DUT Adj Read]]="N/A",Table1[[#This Row],[Std Adj Read]]="N/A"),"N/A",IF(Table1[[#This Row],[DUT Adj Read]]="N/A",IF(Table1[[#This Row],[Std Adj Read]]&lt;=Table1[[#This Row],[High Tol]],"Pass","Fail"),IF(Table1[[#This Row],[DUT Adj Read]]&lt;=Table1[[#This Row],[High Tol]],"Pass","Fail")))</f>
        <v>Fail</v>
      </c>
      <c r="AH27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6" s="1" t="b">
        <v>0</v>
      </c>
      <c r="AN2776" s="1" t="b">
        <v>0</v>
      </c>
      <c r="AO2776" s="1" t="b">
        <v>0</v>
      </c>
    </row>
    <row r="2777" spans="1:41" x14ac:dyDescent="0.25">
      <c r="A2777" s="10"/>
      <c r="B2777" s="10"/>
      <c r="C2777" s="10"/>
      <c r="D2777" s="10"/>
      <c r="E2777" s="10"/>
      <c r="F2777" s="10"/>
      <c r="G2777" s="10"/>
      <c r="H2777" s="10"/>
      <c r="I2777" s="1" t="str">
        <f t="shared" si="129"/>
        <v/>
      </c>
      <c r="J2777" s="1" t="s">
        <v>35</v>
      </c>
      <c r="K2777" s="1" t="str">
        <f t="shared" si="130"/>
        <v/>
      </c>
      <c r="L2777" s="1" t="str">
        <f t="shared" si="131"/>
        <v/>
      </c>
      <c r="M2777" s="1">
        <f>IF(OR(Table1[[#This Row],[Std Nom]]="",Table1[[#This Row],[Std Read]]=""),0,Table1[[#This Row],[Std Nom]]-Table1[[#This Row],[Std Read]])</f>
        <v>0</v>
      </c>
      <c r="N2777" s="1">
        <f>IF(Calculations!$F$5="ACCREDITED 17025 WITH UNCERTAINTIES",$N$10,0)</f>
        <v>0</v>
      </c>
      <c r="O2777" s="1" t="str">
        <f>IFERROR(Table1[[#This Row],[Std Nom]]-(_xlfn.XLOOKUP(Table1[[#This Row],[Manufacturer]]&amp;" "&amp;Table1[[#This Row],[Model]],Table13[MFR &amp; MDL],Table13[Tolerance % CW ],"")/100*Table1[[#This Row],[Std Nom]]),"")</f>
        <v/>
      </c>
      <c r="P2777" s="1" t="str">
        <f>IFERROR(Table1[[#This Row],[Std Nom]]+(_xlfn.XLOOKUP(Table1[[#This Row],[Manufacturer]]&amp;" "&amp;Table1[[#This Row],[Model]],Table13[MFR &amp; MDL],Table13[Tolerance % CW ],"")/100*Table1[[#This Row],[Std Nom]]),"")</f>
        <v/>
      </c>
      <c r="Q2777" s="1" t="e">
        <f>Table1[[#This Row],[High Tol]]-Table1[[#This Row],[Low Tol]]</f>
        <v>#VALUE!</v>
      </c>
      <c r="R2777" s="1">
        <f>2*Table1[[#This Row],[Std Error]]</f>
        <v>0</v>
      </c>
      <c r="S2777" s="1" t="str">
        <f>IF(Table1[[#This Row],[High Tol]]="","N/A",IFERROR(ABS(Table1[[#This Row],[Tol Span]]/Table1[[#This Row],[Error Span]]),"N/A"))</f>
        <v>N/A</v>
      </c>
      <c r="T2777" s="1" t="str">
        <f>IF(OR(Table1[[#This Row],[Low Tol]]="",Table1[[#This Row],[High Tol]]=""),"Needs Analysis",IF(Table1[[#This Row],[Ratio]]&gt;=4,"Not Significant",IF(Table1[[#This Row],[Ratio]]&gt;=2,"Semi-Significant","Significant")))</f>
        <v>Needs Analysis</v>
      </c>
      <c r="W2777" s="1">
        <f>IF(Table1[[#This Row],[Cal Type]]&lt;&gt;"ACCREDITED 17025 WITH UNCERTAINTIES",0,"")</f>
        <v>0</v>
      </c>
      <c r="X2777" s="1" t="str">
        <f>IF(Table1[[#This Row],[DUT Read]]="","N/A",Table1[[#This Row],[Std Error]]+Table1[[#This Row],[DUT Read]]+Table1[[#This Row],[DUT Ucty]])</f>
        <v>N/A</v>
      </c>
      <c r="Y2777" s="1" t="str">
        <f>IF(Table1[[#This Row],[Std Read]]="","N/A",Table1[[#This Row],[Std Read]]+Table1[[#This Row],[Std Ucty]])</f>
        <v>N/A</v>
      </c>
      <c r="Z27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7" s="1" t="str">
        <f>IF(Table1[[#This Row],[Spec Type]]="","N/A",Table1[[#This Row],[Spec Type]])</f>
        <v>±</v>
      </c>
      <c r="AC2777" s="1" t="str">
        <f>IF(Table1[[#This Row],[Spec Type2]]="N/A","N/A",IF(AND(Table1[[#This Row],[DUT Adj Read]]&gt;=Table1[[#This Row],[Low Tol]],Table1[[#This Row],[DUT Adj Read]]&lt;=Table1[[#This Row],[High Tol]]),"Pass","Fail"))</f>
        <v>Fail</v>
      </c>
      <c r="AD2777" s="1" t="str">
        <f>IF(AND(Table1[[#This Row],[Spec Type2]]="N/A",Table1[[#This Row],[DUT Adj Read]]="N/A",Table1[[#This Row],[Std Adj Read]]="N/A"),"N/A",IF(Table1[[#This Row],[DUT Adj Read]]="N/A",IF(Table1[[#This Row],[Std Adj Read]]&gt;Table1[[#This Row],[Low Tol]],"Pass","Fail"),IF(Table1[[#This Row],[DUT Adj Read]]&gt;Table1[[#This Row],[Low Tol]],"Pass","Fail")))</f>
        <v>Pass</v>
      </c>
      <c r="AE2777" s="1" t="str">
        <f>IF(AND(Table1[[#This Row],[Spec Type2]]="N/A",Table1[[#This Row],[DUT Adj Read]]="N/A",Table1[[#This Row],[Std Adj Read]]="N/A"),"N/A",IF(Table1[[#This Row],[DUT Adj Read]]="N/A",IF(Table1[[#This Row],[Std Adj Read]]&lt;Table1[[#This Row],[High Tol]],"Pass","Fail"),IF(Table1[[#This Row],[DUT Adj Read]]&lt;Table1[[#This Row],[High Tol]],"Pass","Fail")))</f>
        <v>Fail</v>
      </c>
      <c r="AF2777" s="1" t="str">
        <f>IF(AND(Table1[[#This Row],[Spec Type2]]="N/A",Table1[[#This Row],[DUT Adj Read]]="N/A",Table1[[#This Row],[Std Adj Read]]="N/A"),"N/A",IF(Table1[[#This Row],[DUT Adj Read]]="N/A",IF(Table1[[#This Row],[Std Adj Read]]&gt;=Table1[[#This Row],[Low Tol]],"Pass","Fail"),IF(Table1[[#This Row],[DUT Adj Read]]&gt;=Table1[[#This Row],[Low Tol]],"Pass","Fail")))</f>
        <v>Pass</v>
      </c>
      <c r="AG2777" s="1" t="str">
        <f>IF(AND(Table1[[#This Row],[Spec Type2]]="N/A",Table1[[#This Row],[DUT Adj Read]]="N/A",Table1[[#This Row],[Std Adj Read]]="N/A"),"N/A",IF(Table1[[#This Row],[DUT Adj Read]]="N/A",IF(Table1[[#This Row],[Std Adj Read]]&lt;=Table1[[#This Row],[High Tol]],"Pass","Fail"),IF(Table1[[#This Row],[DUT Adj Read]]&lt;=Table1[[#This Row],[High Tol]],"Pass","Fail")))</f>
        <v>Fail</v>
      </c>
      <c r="AH27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7" s="1" t="b">
        <v>0</v>
      </c>
      <c r="AN2777" s="1" t="b">
        <v>0</v>
      </c>
      <c r="AO2777" s="1" t="b">
        <v>0</v>
      </c>
    </row>
    <row r="2778" spans="1:41" x14ac:dyDescent="0.25">
      <c r="A2778" s="10"/>
      <c r="B2778" s="10"/>
      <c r="C2778" s="10"/>
      <c r="D2778" s="10"/>
      <c r="E2778" s="10"/>
      <c r="F2778" s="10"/>
      <c r="G2778" s="10"/>
      <c r="H2778" s="10"/>
      <c r="I2778" s="1" t="str">
        <f t="shared" si="129"/>
        <v/>
      </c>
      <c r="J2778" s="1" t="s">
        <v>35</v>
      </c>
      <c r="K2778" s="1" t="str">
        <f t="shared" si="130"/>
        <v/>
      </c>
      <c r="L2778" s="1" t="str">
        <f t="shared" si="131"/>
        <v/>
      </c>
      <c r="M2778" s="1">
        <f>IF(OR(Table1[[#This Row],[Std Nom]]="",Table1[[#This Row],[Std Read]]=""),0,Table1[[#This Row],[Std Nom]]-Table1[[#This Row],[Std Read]])</f>
        <v>0</v>
      </c>
      <c r="N2778" s="1">
        <f>IF(Calculations!$F$5="ACCREDITED 17025 WITH UNCERTAINTIES",$N$10,0)</f>
        <v>0</v>
      </c>
      <c r="O2778" s="1" t="str">
        <f>IFERROR(Table1[[#This Row],[Std Nom]]-(_xlfn.XLOOKUP(Table1[[#This Row],[Manufacturer]]&amp;" "&amp;Table1[[#This Row],[Model]],Table13[MFR &amp; MDL],Table13[Tolerance % CW ],"")/100*Table1[[#This Row],[Std Nom]]),"")</f>
        <v/>
      </c>
      <c r="P2778" s="1" t="str">
        <f>IFERROR(Table1[[#This Row],[Std Nom]]+(_xlfn.XLOOKUP(Table1[[#This Row],[Manufacturer]]&amp;" "&amp;Table1[[#This Row],[Model]],Table13[MFR &amp; MDL],Table13[Tolerance % CW ],"")/100*Table1[[#This Row],[Std Nom]]),"")</f>
        <v/>
      </c>
      <c r="Q2778" s="1" t="e">
        <f>Table1[[#This Row],[High Tol]]-Table1[[#This Row],[Low Tol]]</f>
        <v>#VALUE!</v>
      </c>
      <c r="R2778" s="1">
        <f>2*Table1[[#This Row],[Std Error]]</f>
        <v>0</v>
      </c>
      <c r="S2778" s="1" t="str">
        <f>IF(Table1[[#This Row],[High Tol]]="","N/A",IFERROR(ABS(Table1[[#This Row],[Tol Span]]/Table1[[#This Row],[Error Span]]),"N/A"))</f>
        <v>N/A</v>
      </c>
      <c r="T2778" s="1" t="str">
        <f>IF(OR(Table1[[#This Row],[Low Tol]]="",Table1[[#This Row],[High Tol]]=""),"Needs Analysis",IF(Table1[[#This Row],[Ratio]]&gt;=4,"Not Significant",IF(Table1[[#This Row],[Ratio]]&gt;=2,"Semi-Significant","Significant")))</f>
        <v>Needs Analysis</v>
      </c>
      <c r="W2778" s="1">
        <f>IF(Table1[[#This Row],[Cal Type]]&lt;&gt;"ACCREDITED 17025 WITH UNCERTAINTIES",0,"")</f>
        <v>0</v>
      </c>
      <c r="X2778" s="1" t="str">
        <f>IF(Table1[[#This Row],[DUT Read]]="","N/A",Table1[[#This Row],[Std Error]]+Table1[[#This Row],[DUT Read]]+Table1[[#This Row],[DUT Ucty]])</f>
        <v>N/A</v>
      </c>
      <c r="Y2778" s="1" t="str">
        <f>IF(Table1[[#This Row],[Std Read]]="","N/A",Table1[[#This Row],[Std Read]]+Table1[[#This Row],[Std Ucty]])</f>
        <v>N/A</v>
      </c>
      <c r="Z27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8" s="1" t="str">
        <f>IF(Table1[[#This Row],[Spec Type]]="","N/A",Table1[[#This Row],[Spec Type]])</f>
        <v>±</v>
      </c>
      <c r="AC2778" s="1" t="str">
        <f>IF(Table1[[#This Row],[Spec Type2]]="N/A","N/A",IF(AND(Table1[[#This Row],[DUT Adj Read]]&gt;=Table1[[#This Row],[Low Tol]],Table1[[#This Row],[DUT Adj Read]]&lt;=Table1[[#This Row],[High Tol]]),"Pass","Fail"))</f>
        <v>Fail</v>
      </c>
      <c r="AD2778" s="1" t="str">
        <f>IF(AND(Table1[[#This Row],[Spec Type2]]="N/A",Table1[[#This Row],[DUT Adj Read]]="N/A",Table1[[#This Row],[Std Adj Read]]="N/A"),"N/A",IF(Table1[[#This Row],[DUT Adj Read]]="N/A",IF(Table1[[#This Row],[Std Adj Read]]&gt;Table1[[#This Row],[Low Tol]],"Pass","Fail"),IF(Table1[[#This Row],[DUT Adj Read]]&gt;Table1[[#This Row],[Low Tol]],"Pass","Fail")))</f>
        <v>Pass</v>
      </c>
      <c r="AE2778" s="1" t="str">
        <f>IF(AND(Table1[[#This Row],[Spec Type2]]="N/A",Table1[[#This Row],[DUT Adj Read]]="N/A",Table1[[#This Row],[Std Adj Read]]="N/A"),"N/A",IF(Table1[[#This Row],[DUT Adj Read]]="N/A",IF(Table1[[#This Row],[Std Adj Read]]&lt;Table1[[#This Row],[High Tol]],"Pass","Fail"),IF(Table1[[#This Row],[DUT Adj Read]]&lt;Table1[[#This Row],[High Tol]],"Pass","Fail")))</f>
        <v>Fail</v>
      </c>
      <c r="AF2778" s="1" t="str">
        <f>IF(AND(Table1[[#This Row],[Spec Type2]]="N/A",Table1[[#This Row],[DUT Adj Read]]="N/A",Table1[[#This Row],[Std Adj Read]]="N/A"),"N/A",IF(Table1[[#This Row],[DUT Adj Read]]="N/A",IF(Table1[[#This Row],[Std Adj Read]]&gt;=Table1[[#This Row],[Low Tol]],"Pass","Fail"),IF(Table1[[#This Row],[DUT Adj Read]]&gt;=Table1[[#This Row],[Low Tol]],"Pass","Fail")))</f>
        <v>Pass</v>
      </c>
      <c r="AG2778" s="1" t="str">
        <f>IF(AND(Table1[[#This Row],[Spec Type2]]="N/A",Table1[[#This Row],[DUT Adj Read]]="N/A",Table1[[#This Row],[Std Adj Read]]="N/A"),"N/A",IF(Table1[[#This Row],[DUT Adj Read]]="N/A",IF(Table1[[#This Row],[Std Adj Read]]&lt;=Table1[[#This Row],[High Tol]],"Pass","Fail"),IF(Table1[[#This Row],[DUT Adj Read]]&lt;=Table1[[#This Row],[High Tol]],"Pass","Fail")))</f>
        <v>Fail</v>
      </c>
      <c r="AH27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8" s="1" t="b">
        <v>0</v>
      </c>
      <c r="AN2778" s="1" t="b">
        <v>0</v>
      </c>
      <c r="AO2778" s="1" t="b">
        <v>0</v>
      </c>
    </row>
    <row r="2779" spans="1:41" x14ac:dyDescent="0.25">
      <c r="A2779" s="10"/>
      <c r="B2779" s="10"/>
      <c r="C2779" s="10"/>
      <c r="D2779" s="10"/>
      <c r="E2779" s="10"/>
      <c r="F2779" s="10"/>
      <c r="G2779" s="10"/>
      <c r="H2779" s="10"/>
      <c r="I2779" s="1" t="str">
        <f t="shared" si="129"/>
        <v/>
      </c>
      <c r="J2779" s="1" t="s">
        <v>35</v>
      </c>
      <c r="K2779" s="1" t="str">
        <f t="shared" si="130"/>
        <v/>
      </c>
      <c r="L2779" s="1" t="str">
        <f t="shared" si="131"/>
        <v/>
      </c>
      <c r="M2779" s="1">
        <f>IF(OR(Table1[[#This Row],[Std Nom]]="",Table1[[#This Row],[Std Read]]=""),0,Table1[[#This Row],[Std Nom]]-Table1[[#This Row],[Std Read]])</f>
        <v>0</v>
      </c>
      <c r="N2779" s="1">
        <f>IF(Calculations!$F$5="ACCREDITED 17025 WITH UNCERTAINTIES",$N$10,0)</f>
        <v>0</v>
      </c>
      <c r="O2779" s="1" t="str">
        <f>IFERROR(Table1[[#This Row],[Std Nom]]-(_xlfn.XLOOKUP(Table1[[#This Row],[Manufacturer]]&amp;" "&amp;Table1[[#This Row],[Model]],Table13[MFR &amp; MDL],Table13[Tolerance % CW ],"")/100*Table1[[#This Row],[Std Nom]]),"")</f>
        <v/>
      </c>
      <c r="P2779" s="1" t="str">
        <f>IFERROR(Table1[[#This Row],[Std Nom]]+(_xlfn.XLOOKUP(Table1[[#This Row],[Manufacturer]]&amp;" "&amp;Table1[[#This Row],[Model]],Table13[MFR &amp; MDL],Table13[Tolerance % CW ],"")/100*Table1[[#This Row],[Std Nom]]),"")</f>
        <v/>
      </c>
      <c r="Q2779" s="1" t="e">
        <f>Table1[[#This Row],[High Tol]]-Table1[[#This Row],[Low Tol]]</f>
        <v>#VALUE!</v>
      </c>
      <c r="R2779" s="1">
        <f>2*Table1[[#This Row],[Std Error]]</f>
        <v>0</v>
      </c>
      <c r="S2779" s="1" t="str">
        <f>IF(Table1[[#This Row],[High Tol]]="","N/A",IFERROR(ABS(Table1[[#This Row],[Tol Span]]/Table1[[#This Row],[Error Span]]),"N/A"))</f>
        <v>N/A</v>
      </c>
      <c r="T2779" s="1" t="str">
        <f>IF(OR(Table1[[#This Row],[Low Tol]]="",Table1[[#This Row],[High Tol]]=""),"Needs Analysis",IF(Table1[[#This Row],[Ratio]]&gt;=4,"Not Significant",IF(Table1[[#This Row],[Ratio]]&gt;=2,"Semi-Significant","Significant")))</f>
        <v>Needs Analysis</v>
      </c>
      <c r="W2779" s="1">
        <f>IF(Table1[[#This Row],[Cal Type]]&lt;&gt;"ACCREDITED 17025 WITH UNCERTAINTIES",0,"")</f>
        <v>0</v>
      </c>
      <c r="X2779" s="1" t="str">
        <f>IF(Table1[[#This Row],[DUT Read]]="","N/A",Table1[[#This Row],[Std Error]]+Table1[[#This Row],[DUT Read]]+Table1[[#This Row],[DUT Ucty]])</f>
        <v>N/A</v>
      </c>
      <c r="Y2779" s="1" t="str">
        <f>IF(Table1[[#This Row],[Std Read]]="","N/A",Table1[[#This Row],[Std Read]]+Table1[[#This Row],[Std Ucty]])</f>
        <v>N/A</v>
      </c>
      <c r="Z27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9" s="1" t="str">
        <f>IF(Table1[[#This Row],[Spec Type]]="","N/A",Table1[[#This Row],[Spec Type]])</f>
        <v>±</v>
      </c>
      <c r="AC2779" s="1" t="str">
        <f>IF(Table1[[#This Row],[Spec Type2]]="N/A","N/A",IF(AND(Table1[[#This Row],[DUT Adj Read]]&gt;=Table1[[#This Row],[Low Tol]],Table1[[#This Row],[DUT Adj Read]]&lt;=Table1[[#This Row],[High Tol]]),"Pass","Fail"))</f>
        <v>Fail</v>
      </c>
      <c r="AD2779" s="1" t="str">
        <f>IF(AND(Table1[[#This Row],[Spec Type2]]="N/A",Table1[[#This Row],[DUT Adj Read]]="N/A",Table1[[#This Row],[Std Adj Read]]="N/A"),"N/A",IF(Table1[[#This Row],[DUT Adj Read]]="N/A",IF(Table1[[#This Row],[Std Adj Read]]&gt;Table1[[#This Row],[Low Tol]],"Pass","Fail"),IF(Table1[[#This Row],[DUT Adj Read]]&gt;Table1[[#This Row],[Low Tol]],"Pass","Fail")))</f>
        <v>Pass</v>
      </c>
      <c r="AE2779" s="1" t="str">
        <f>IF(AND(Table1[[#This Row],[Spec Type2]]="N/A",Table1[[#This Row],[DUT Adj Read]]="N/A",Table1[[#This Row],[Std Adj Read]]="N/A"),"N/A",IF(Table1[[#This Row],[DUT Adj Read]]="N/A",IF(Table1[[#This Row],[Std Adj Read]]&lt;Table1[[#This Row],[High Tol]],"Pass","Fail"),IF(Table1[[#This Row],[DUT Adj Read]]&lt;Table1[[#This Row],[High Tol]],"Pass","Fail")))</f>
        <v>Fail</v>
      </c>
      <c r="AF2779" s="1" t="str">
        <f>IF(AND(Table1[[#This Row],[Spec Type2]]="N/A",Table1[[#This Row],[DUT Adj Read]]="N/A",Table1[[#This Row],[Std Adj Read]]="N/A"),"N/A",IF(Table1[[#This Row],[DUT Adj Read]]="N/A",IF(Table1[[#This Row],[Std Adj Read]]&gt;=Table1[[#This Row],[Low Tol]],"Pass","Fail"),IF(Table1[[#This Row],[DUT Adj Read]]&gt;=Table1[[#This Row],[Low Tol]],"Pass","Fail")))</f>
        <v>Pass</v>
      </c>
      <c r="AG2779" s="1" t="str">
        <f>IF(AND(Table1[[#This Row],[Spec Type2]]="N/A",Table1[[#This Row],[DUT Adj Read]]="N/A",Table1[[#This Row],[Std Adj Read]]="N/A"),"N/A",IF(Table1[[#This Row],[DUT Adj Read]]="N/A",IF(Table1[[#This Row],[Std Adj Read]]&lt;=Table1[[#This Row],[High Tol]],"Pass","Fail"),IF(Table1[[#This Row],[DUT Adj Read]]&lt;=Table1[[#This Row],[High Tol]],"Pass","Fail")))</f>
        <v>Fail</v>
      </c>
      <c r="AH27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9" s="1" t="b">
        <v>0</v>
      </c>
      <c r="AN2779" s="1" t="b">
        <v>0</v>
      </c>
      <c r="AO2779" s="1" t="b">
        <v>0</v>
      </c>
    </row>
    <row r="2780" spans="1:41" x14ac:dyDescent="0.25">
      <c r="A2780" s="10"/>
      <c r="B2780" s="10"/>
      <c r="C2780" s="10"/>
      <c r="D2780" s="10"/>
      <c r="E2780" s="10"/>
      <c r="F2780" s="10"/>
      <c r="G2780" s="10"/>
      <c r="H2780" s="10"/>
      <c r="I2780" s="1" t="str">
        <f t="shared" si="129"/>
        <v/>
      </c>
      <c r="J2780" s="1" t="s">
        <v>35</v>
      </c>
      <c r="K2780" s="1" t="str">
        <f t="shared" si="130"/>
        <v/>
      </c>
      <c r="L2780" s="1" t="str">
        <f t="shared" si="131"/>
        <v/>
      </c>
      <c r="M2780" s="1">
        <f>IF(OR(Table1[[#This Row],[Std Nom]]="",Table1[[#This Row],[Std Read]]=""),0,Table1[[#This Row],[Std Nom]]-Table1[[#This Row],[Std Read]])</f>
        <v>0</v>
      </c>
      <c r="N2780" s="1">
        <f>IF(Calculations!$F$5="ACCREDITED 17025 WITH UNCERTAINTIES",$N$10,0)</f>
        <v>0</v>
      </c>
      <c r="O2780" s="1" t="str">
        <f>IFERROR(Table1[[#This Row],[Std Nom]]-(_xlfn.XLOOKUP(Table1[[#This Row],[Manufacturer]]&amp;" "&amp;Table1[[#This Row],[Model]],Table13[MFR &amp; MDL],Table13[Tolerance % CW ],"")/100*Table1[[#This Row],[Std Nom]]),"")</f>
        <v/>
      </c>
      <c r="P2780" s="1" t="str">
        <f>IFERROR(Table1[[#This Row],[Std Nom]]+(_xlfn.XLOOKUP(Table1[[#This Row],[Manufacturer]]&amp;" "&amp;Table1[[#This Row],[Model]],Table13[MFR &amp; MDL],Table13[Tolerance % CW ],"")/100*Table1[[#This Row],[Std Nom]]),"")</f>
        <v/>
      </c>
      <c r="Q2780" s="1" t="e">
        <f>Table1[[#This Row],[High Tol]]-Table1[[#This Row],[Low Tol]]</f>
        <v>#VALUE!</v>
      </c>
      <c r="R2780" s="1">
        <f>2*Table1[[#This Row],[Std Error]]</f>
        <v>0</v>
      </c>
      <c r="S2780" s="1" t="str">
        <f>IF(Table1[[#This Row],[High Tol]]="","N/A",IFERROR(ABS(Table1[[#This Row],[Tol Span]]/Table1[[#This Row],[Error Span]]),"N/A"))</f>
        <v>N/A</v>
      </c>
      <c r="T2780" s="1" t="str">
        <f>IF(OR(Table1[[#This Row],[Low Tol]]="",Table1[[#This Row],[High Tol]]=""),"Needs Analysis",IF(Table1[[#This Row],[Ratio]]&gt;=4,"Not Significant",IF(Table1[[#This Row],[Ratio]]&gt;=2,"Semi-Significant","Significant")))</f>
        <v>Needs Analysis</v>
      </c>
      <c r="W2780" s="1">
        <f>IF(Table1[[#This Row],[Cal Type]]&lt;&gt;"ACCREDITED 17025 WITH UNCERTAINTIES",0,"")</f>
        <v>0</v>
      </c>
      <c r="X2780" s="1" t="str">
        <f>IF(Table1[[#This Row],[DUT Read]]="","N/A",Table1[[#This Row],[Std Error]]+Table1[[#This Row],[DUT Read]]+Table1[[#This Row],[DUT Ucty]])</f>
        <v>N/A</v>
      </c>
      <c r="Y2780" s="1" t="str">
        <f>IF(Table1[[#This Row],[Std Read]]="","N/A",Table1[[#This Row],[Std Read]]+Table1[[#This Row],[Std Ucty]])</f>
        <v>N/A</v>
      </c>
      <c r="Z27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0" s="1" t="str">
        <f>IF(Table1[[#This Row],[Spec Type]]="","N/A",Table1[[#This Row],[Spec Type]])</f>
        <v>±</v>
      </c>
      <c r="AC2780" s="1" t="str">
        <f>IF(Table1[[#This Row],[Spec Type2]]="N/A","N/A",IF(AND(Table1[[#This Row],[DUT Adj Read]]&gt;=Table1[[#This Row],[Low Tol]],Table1[[#This Row],[DUT Adj Read]]&lt;=Table1[[#This Row],[High Tol]]),"Pass","Fail"))</f>
        <v>Fail</v>
      </c>
      <c r="AD2780" s="1" t="str">
        <f>IF(AND(Table1[[#This Row],[Spec Type2]]="N/A",Table1[[#This Row],[DUT Adj Read]]="N/A",Table1[[#This Row],[Std Adj Read]]="N/A"),"N/A",IF(Table1[[#This Row],[DUT Adj Read]]="N/A",IF(Table1[[#This Row],[Std Adj Read]]&gt;Table1[[#This Row],[Low Tol]],"Pass","Fail"),IF(Table1[[#This Row],[DUT Adj Read]]&gt;Table1[[#This Row],[Low Tol]],"Pass","Fail")))</f>
        <v>Pass</v>
      </c>
      <c r="AE2780" s="1" t="str">
        <f>IF(AND(Table1[[#This Row],[Spec Type2]]="N/A",Table1[[#This Row],[DUT Adj Read]]="N/A",Table1[[#This Row],[Std Adj Read]]="N/A"),"N/A",IF(Table1[[#This Row],[DUT Adj Read]]="N/A",IF(Table1[[#This Row],[Std Adj Read]]&lt;Table1[[#This Row],[High Tol]],"Pass","Fail"),IF(Table1[[#This Row],[DUT Adj Read]]&lt;Table1[[#This Row],[High Tol]],"Pass","Fail")))</f>
        <v>Fail</v>
      </c>
      <c r="AF2780" s="1" t="str">
        <f>IF(AND(Table1[[#This Row],[Spec Type2]]="N/A",Table1[[#This Row],[DUT Adj Read]]="N/A",Table1[[#This Row],[Std Adj Read]]="N/A"),"N/A",IF(Table1[[#This Row],[DUT Adj Read]]="N/A",IF(Table1[[#This Row],[Std Adj Read]]&gt;=Table1[[#This Row],[Low Tol]],"Pass","Fail"),IF(Table1[[#This Row],[DUT Adj Read]]&gt;=Table1[[#This Row],[Low Tol]],"Pass","Fail")))</f>
        <v>Pass</v>
      </c>
      <c r="AG2780" s="1" t="str">
        <f>IF(AND(Table1[[#This Row],[Spec Type2]]="N/A",Table1[[#This Row],[DUT Adj Read]]="N/A",Table1[[#This Row],[Std Adj Read]]="N/A"),"N/A",IF(Table1[[#This Row],[DUT Adj Read]]="N/A",IF(Table1[[#This Row],[Std Adj Read]]&lt;=Table1[[#This Row],[High Tol]],"Pass","Fail"),IF(Table1[[#This Row],[DUT Adj Read]]&lt;=Table1[[#This Row],[High Tol]],"Pass","Fail")))</f>
        <v>Fail</v>
      </c>
      <c r="AH27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0" s="1" t="b">
        <v>0</v>
      </c>
      <c r="AN2780" s="1" t="b">
        <v>0</v>
      </c>
      <c r="AO2780" s="1" t="b">
        <v>0</v>
      </c>
    </row>
    <row r="2781" spans="1:41" x14ac:dyDescent="0.25">
      <c r="A2781" s="10"/>
      <c r="B2781" s="10"/>
      <c r="C2781" s="10"/>
      <c r="D2781" s="10"/>
      <c r="E2781" s="10"/>
      <c r="F2781" s="10"/>
      <c r="G2781" s="10"/>
      <c r="H2781" s="10"/>
      <c r="I2781" s="1" t="str">
        <f t="shared" si="129"/>
        <v/>
      </c>
      <c r="J2781" s="1" t="s">
        <v>35</v>
      </c>
      <c r="K2781" s="1" t="str">
        <f t="shared" si="130"/>
        <v/>
      </c>
      <c r="L2781" s="1" t="str">
        <f t="shared" si="131"/>
        <v/>
      </c>
      <c r="M2781" s="1">
        <f>IF(OR(Table1[[#This Row],[Std Nom]]="",Table1[[#This Row],[Std Read]]=""),0,Table1[[#This Row],[Std Nom]]-Table1[[#This Row],[Std Read]])</f>
        <v>0</v>
      </c>
      <c r="N2781" s="1">
        <f>IF(Calculations!$F$5="ACCREDITED 17025 WITH UNCERTAINTIES",$N$10,0)</f>
        <v>0</v>
      </c>
      <c r="O2781" s="1" t="str">
        <f>IFERROR(Table1[[#This Row],[Std Nom]]-(_xlfn.XLOOKUP(Table1[[#This Row],[Manufacturer]]&amp;" "&amp;Table1[[#This Row],[Model]],Table13[MFR &amp; MDL],Table13[Tolerance % CW ],"")/100*Table1[[#This Row],[Std Nom]]),"")</f>
        <v/>
      </c>
      <c r="P2781" s="1" t="str">
        <f>IFERROR(Table1[[#This Row],[Std Nom]]+(_xlfn.XLOOKUP(Table1[[#This Row],[Manufacturer]]&amp;" "&amp;Table1[[#This Row],[Model]],Table13[MFR &amp; MDL],Table13[Tolerance % CW ],"")/100*Table1[[#This Row],[Std Nom]]),"")</f>
        <v/>
      </c>
      <c r="Q2781" s="1" t="e">
        <f>Table1[[#This Row],[High Tol]]-Table1[[#This Row],[Low Tol]]</f>
        <v>#VALUE!</v>
      </c>
      <c r="R2781" s="1">
        <f>2*Table1[[#This Row],[Std Error]]</f>
        <v>0</v>
      </c>
      <c r="S2781" s="1" t="str">
        <f>IF(Table1[[#This Row],[High Tol]]="","N/A",IFERROR(ABS(Table1[[#This Row],[Tol Span]]/Table1[[#This Row],[Error Span]]),"N/A"))</f>
        <v>N/A</v>
      </c>
      <c r="T2781" s="1" t="str">
        <f>IF(OR(Table1[[#This Row],[Low Tol]]="",Table1[[#This Row],[High Tol]]=""),"Needs Analysis",IF(Table1[[#This Row],[Ratio]]&gt;=4,"Not Significant",IF(Table1[[#This Row],[Ratio]]&gt;=2,"Semi-Significant","Significant")))</f>
        <v>Needs Analysis</v>
      </c>
      <c r="W2781" s="1">
        <f>IF(Table1[[#This Row],[Cal Type]]&lt;&gt;"ACCREDITED 17025 WITH UNCERTAINTIES",0,"")</f>
        <v>0</v>
      </c>
      <c r="X2781" s="1" t="str">
        <f>IF(Table1[[#This Row],[DUT Read]]="","N/A",Table1[[#This Row],[Std Error]]+Table1[[#This Row],[DUT Read]]+Table1[[#This Row],[DUT Ucty]])</f>
        <v>N/A</v>
      </c>
      <c r="Y2781" s="1" t="str">
        <f>IF(Table1[[#This Row],[Std Read]]="","N/A",Table1[[#This Row],[Std Read]]+Table1[[#This Row],[Std Ucty]])</f>
        <v>N/A</v>
      </c>
      <c r="Z27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1" s="1" t="str">
        <f>IF(Table1[[#This Row],[Spec Type]]="","N/A",Table1[[#This Row],[Spec Type]])</f>
        <v>±</v>
      </c>
      <c r="AC2781" s="1" t="str">
        <f>IF(Table1[[#This Row],[Spec Type2]]="N/A","N/A",IF(AND(Table1[[#This Row],[DUT Adj Read]]&gt;=Table1[[#This Row],[Low Tol]],Table1[[#This Row],[DUT Adj Read]]&lt;=Table1[[#This Row],[High Tol]]),"Pass","Fail"))</f>
        <v>Fail</v>
      </c>
      <c r="AD2781" s="1" t="str">
        <f>IF(AND(Table1[[#This Row],[Spec Type2]]="N/A",Table1[[#This Row],[DUT Adj Read]]="N/A",Table1[[#This Row],[Std Adj Read]]="N/A"),"N/A",IF(Table1[[#This Row],[DUT Adj Read]]="N/A",IF(Table1[[#This Row],[Std Adj Read]]&gt;Table1[[#This Row],[Low Tol]],"Pass","Fail"),IF(Table1[[#This Row],[DUT Adj Read]]&gt;Table1[[#This Row],[Low Tol]],"Pass","Fail")))</f>
        <v>Pass</v>
      </c>
      <c r="AE2781" s="1" t="str">
        <f>IF(AND(Table1[[#This Row],[Spec Type2]]="N/A",Table1[[#This Row],[DUT Adj Read]]="N/A",Table1[[#This Row],[Std Adj Read]]="N/A"),"N/A",IF(Table1[[#This Row],[DUT Adj Read]]="N/A",IF(Table1[[#This Row],[Std Adj Read]]&lt;Table1[[#This Row],[High Tol]],"Pass","Fail"),IF(Table1[[#This Row],[DUT Adj Read]]&lt;Table1[[#This Row],[High Tol]],"Pass","Fail")))</f>
        <v>Fail</v>
      </c>
      <c r="AF2781" s="1" t="str">
        <f>IF(AND(Table1[[#This Row],[Spec Type2]]="N/A",Table1[[#This Row],[DUT Adj Read]]="N/A",Table1[[#This Row],[Std Adj Read]]="N/A"),"N/A",IF(Table1[[#This Row],[DUT Adj Read]]="N/A",IF(Table1[[#This Row],[Std Adj Read]]&gt;=Table1[[#This Row],[Low Tol]],"Pass","Fail"),IF(Table1[[#This Row],[DUT Adj Read]]&gt;=Table1[[#This Row],[Low Tol]],"Pass","Fail")))</f>
        <v>Pass</v>
      </c>
      <c r="AG2781" s="1" t="str">
        <f>IF(AND(Table1[[#This Row],[Spec Type2]]="N/A",Table1[[#This Row],[DUT Adj Read]]="N/A",Table1[[#This Row],[Std Adj Read]]="N/A"),"N/A",IF(Table1[[#This Row],[DUT Adj Read]]="N/A",IF(Table1[[#This Row],[Std Adj Read]]&lt;=Table1[[#This Row],[High Tol]],"Pass","Fail"),IF(Table1[[#This Row],[DUT Adj Read]]&lt;=Table1[[#This Row],[High Tol]],"Pass","Fail")))</f>
        <v>Fail</v>
      </c>
      <c r="AH27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1" s="1" t="b">
        <v>0</v>
      </c>
      <c r="AN2781" s="1" t="b">
        <v>0</v>
      </c>
      <c r="AO2781" s="1" t="b">
        <v>0</v>
      </c>
    </row>
    <row r="2782" spans="1:41" x14ac:dyDescent="0.25">
      <c r="A2782" s="10"/>
      <c r="B2782" s="10"/>
      <c r="C2782" s="10"/>
      <c r="D2782" s="10"/>
      <c r="E2782" s="10"/>
      <c r="F2782" s="10"/>
      <c r="G2782" s="10"/>
      <c r="H2782" s="10"/>
      <c r="I2782" s="1" t="str">
        <f t="shared" si="129"/>
        <v/>
      </c>
      <c r="J2782" s="1" t="s">
        <v>35</v>
      </c>
      <c r="K2782" s="1" t="str">
        <f t="shared" si="130"/>
        <v/>
      </c>
      <c r="L2782" s="1" t="str">
        <f t="shared" si="131"/>
        <v/>
      </c>
      <c r="M2782" s="1">
        <f>IF(OR(Table1[[#This Row],[Std Nom]]="",Table1[[#This Row],[Std Read]]=""),0,Table1[[#This Row],[Std Nom]]-Table1[[#This Row],[Std Read]])</f>
        <v>0</v>
      </c>
      <c r="N2782" s="1">
        <f>IF(Calculations!$F$5="ACCREDITED 17025 WITH UNCERTAINTIES",$N$10,0)</f>
        <v>0</v>
      </c>
      <c r="O2782" s="1" t="str">
        <f>IFERROR(Table1[[#This Row],[Std Nom]]-(_xlfn.XLOOKUP(Table1[[#This Row],[Manufacturer]]&amp;" "&amp;Table1[[#This Row],[Model]],Table13[MFR &amp; MDL],Table13[Tolerance % CW ],"")/100*Table1[[#This Row],[Std Nom]]),"")</f>
        <v/>
      </c>
      <c r="P2782" s="1" t="str">
        <f>IFERROR(Table1[[#This Row],[Std Nom]]+(_xlfn.XLOOKUP(Table1[[#This Row],[Manufacturer]]&amp;" "&amp;Table1[[#This Row],[Model]],Table13[MFR &amp; MDL],Table13[Tolerance % CW ],"")/100*Table1[[#This Row],[Std Nom]]),"")</f>
        <v/>
      </c>
      <c r="Q2782" s="1" t="e">
        <f>Table1[[#This Row],[High Tol]]-Table1[[#This Row],[Low Tol]]</f>
        <v>#VALUE!</v>
      </c>
      <c r="R2782" s="1">
        <f>2*Table1[[#This Row],[Std Error]]</f>
        <v>0</v>
      </c>
      <c r="S2782" s="1" t="str">
        <f>IF(Table1[[#This Row],[High Tol]]="","N/A",IFERROR(ABS(Table1[[#This Row],[Tol Span]]/Table1[[#This Row],[Error Span]]),"N/A"))</f>
        <v>N/A</v>
      </c>
      <c r="T2782" s="1" t="str">
        <f>IF(OR(Table1[[#This Row],[Low Tol]]="",Table1[[#This Row],[High Tol]]=""),"Needs Analysis",IF(Table1[[#This Row],[Ratio]]&gt;=4,"Not Significant",IF(Table1[[#This Row],[Ratio]]&gt;=2,"Semi-Significant","Significant")))</f>
        <v>Needs Analysis</v>
      </c>
      <c r="W2782" s="1">
        <f>IF(Table1[[#This Row],[Cal Type]]&lt;&gt;"ACCREDITED 17025 WITH UNCERTAINTIES",0,"")</f>
        <v>0</v>
      </c>
      <c r="X2782" s="1" t="str">
        <f>IF(Table1[[#This Row],[DUT Read]]="","N/A",Table1[[#This Row],[Std Error]]+Table1[[#This Row],[DUT Read]]+Table1[[#This Row],[DUT Ucty]])</f>
        <v>N/A</v>
      </c>
      <c r="Y2782" s="1" t="str">
        <f>IF(Table1[[#This Row],[Std Read]]="","N/A",Table1[[#This Row],[Std Read]]+Table1[[#This Row],[Std Ucty]])</f>
        <v>N/A</v>
      </c>
      <c r="Z27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2" s="1" t="str">
        <f>IF(Table1[[#This Row],[Spec Type]]="","N/A",Table1[[#This Row],[Spec Type]])</f>
        <v>±</v>
      </c>
      <c r="AC2782" s="1" t="str">
        <f>IF(Table1[[#This Row],[Spec Type2]]="N/A","N/A",IF(AND(Table1[[#This Row],[DUT Adj Read]]&gt;=Table1[[#This Row],[Low Tol]],Table1[[#This Row],[DUT Adj Read]]&lt;=Table1[[#This Row],[High Tol]]),"Pass","Fail"))</f>
        <v>Fail</v>
      </c>
      <c r="AD2782" s="1" t="str">
        <f>IF(AND(Table1[[#This Row],[Spec Type2]]="N/A",Table1[[#This Row],[DUT Adj Read]]="N/A",Table1[[#This Row],[Std Adj Read]]="N/A"),"N/A",IF(Table1[[#This Row],[DUT Adj Read]]="N/A",IF(Table1[[#This Row],[Std Adj Read]]&gt;Table1[[#This Row],[Low Tol]],"Pass","Fail"),IF(Table1[[#This Row],[DUT Adj Read]]&gt;Table1[[#This Row],[Low Tol]],"Pass","Fail")))</f>
        <v>Pass</v>
      </c>
      <c r="AE2782" s="1" t="str">
        <f>IF(AND(Table1[[#This Row],[Spec Type2]]="N/A",Table1[[#This Row],[DUT Adj Read]]="N/A",Table1[[#This Row],[Std Adj Read]]="N/A"),"N/A",IF(Table1[[#This Row],[DUT Adj Read]]="N/A",IF(Table1[[#This Row],[Std Adj Read]]&lt;Table1[[#This Row],[High Tol]],"Pass","Fail"),IF(Table1[[#This Row],[DUT Adj Read]]&lt;Table1[[#This Row],[High Tol]],"Pass","Fail")))</f>
        <v>Fail</v>
      </c>
      <c r="AF2782" s="1" t="str">
        <f>IF(AND(Table1[[#This Row],[Spec Type2]]="N/A",Table1[[#This Row],[DUT Adj Read]]="N/A",Table1[[#This Row],[Std Adj Read]]="N/A"),"N/A",IF(Table1[[#This Row],[DUT Adj Read]]="N/A",IF(Table1[[#This Row],[Std Adj Read]]&gt;=Table1[[#This Row],[Low Tol]],"Pass","Fail"),IF(Table1[[#This Row],[DUT Adj Read]]&gt;=Table1[[#This Row],[Low Tol]],"Pass","Fail")))</f>
        <v>Pass</v>
      </c>
      <c r="AG2782" s="1" t="str">
        <f>IF(AND(Table1[[#This Row],[Spec Type2]]="N/A",Table1[[#This Row],[DUT Adj Read]]="N/A",Table1[[#This Row],[Std Adj Read]]="N/A"),"N/A",IF(Table1[[#This Row],[DUT Adj Read]]="N/A",IF(Table1[[#This Row],[Std Adj Read]]&lt;=Table1[[#This Row],[High Tol]],"Pass","Fail"),IF(Table1[[#This Row],[DUT Adj Read]]&lt;=Table1[[#This Row],[High Tol]],"Pass","Fail")))</f>
        <v>Fail</v>
      </c>
      <c r="AH27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2" s="1" t="b">
        <v>0</v>
      </c>
      <c r="AN2782" s="1" t="b">
        <v>0</v>
      </c>
      <c r="AO2782" s="1" t="b">
        <v>0</v>
      </c>
    </row>
    <row r="2783" spans="1:41" x14ac:dyDescent="0.25">
      <c r="A2783" s="10"/>
      <c r="B2783" s="10"/>
      <c r="C2783" s="10"/>
      <c r="D2783" s="10"/>
      <c r="E2783" s="10"/>
      <c r="F2783" s="10"/>
      <c r="G2783" s="10"/>
      <c r="H2783" s="10"/>
      <c r="I2783" s="1" t="str">
        <f t="shared" si="129"/>
        <v/>
      </c>
      <c r="J2783" s="1" t="s">
        <v>35</v>
      </c>
      <c r="K2783" s="1" t="str">
        <f t="shared" si="130"/>
        <v/>
      </c>
      <c r="L2783" s="1" t="str">
        <f t="shared" si="131"/>
        <v/>
      </c>
      <c r="M2783" s="1">
        <f>IF(OR(Table1[[#This Row],[Std Nom]]="",Table1[[#This Row],[Std Read]]=""),0,Table1[[#This Row],[Std Nom]]-Table1[[#This Row],[Std Read]])</f>
        <v>0</v>
      </c>
      <c r="N2783" s="1">
        <f>IF(Calculations!$F$5="ACCREDITED 17025 WITH UNCERTAINTIES",$N$10,0)</f>
        <v>0</v>
      </c>
      <c r="O2783" s="1" t="str">
        <f>IFERROR(Table1[[#This Row],[Std Nom]]-(_xlfn.XLOOKUP(Table1[[#This Row],[Manufacturer]]&amp;" "&amp;Table1[[#This Row],[Model]],Table13[MFR &amp; MDL],Table13[Tolerance % CW ],"")/100*Table1[[#This Row],[Std Nom]]),"")</f>
        <v/>
      </c>
      <c r="P2783" s="1" t="str">
        <f>IFERROR(Table1[[#This Row],[Std Nom]]+(_xlfn.XLOOKUP(Table1[[#This Row],[Manufacturer]]&amp;" "&amp;Table1[[#This Row],[Model]],Table13[MFR &amp; MDL],Table13[Tolerance % CW ],"")/100*Table1[[#This Row],[Std Nom]]),"")</f>
        <v/>
      </c>
      <c r="Q2783" s="1" t="e">
        <f>Table1[[#This Row],[High Tol]]-Table1[[#This Row],[Low Tol]]</f>
        <v>#VALUE!</v>
      </c>
      <c r="R2783" s="1">
        <f>2*Table1[[#This Row],[Std Error]]</f>
        <v>0</v>
      </c>
      <c r="S2783" s="1" t="str">
        <f>IF(Table1[[#This Row],[High Tol]]="","N/A",IFERROR(ABS(Table1[[#This Row],[Tol Span]]/Table1[[#This Row],[Error Span]]),"N/A"))</f>
        <v>N/A</v>
      </c>
      <c r="T2783" s="1" t="str">
        <f>IF(OR(Table1[[#This Row],[Low Tol]]="",Table1[[#This Row],[High Tol]]=""),"Needs Analysis",IF(Table1[[#This Row],[Ratio]]&gt;=4,"Not Significant",IF(Table1[[#This Row],[Ratio]]&gt;=2,"Semi-Significant","Significant")))</f>
        <v>Needs Analysis</v>
      </c>
      <c r="W2783" s="1">
        <f>IF(Table1[[#This Row],[Cal Type]]&lt;&gt;"ACCREDITED 17025 WITH UNCERTAINTIES",0,"")</f>
        <v>0</v>
      </c>
      <c r="X2783" s="1" t="str">
        <f>IF(Table1[[#This Row],[DUT Read]]="","N/A",Table1[[#This Row],[Std Error]]+Table1[[#This Row],[DUT Read]]+Table1[[#This Row],[DUT Ucty]])</f>
        <v>N/A</v>
      </c>
      <c r="Y2783" s="1" t="str">
        <f>IF(Table1[[#This Row],[Std Read]]="","N/A",Table1[[#This Row],[Std Read]]+Table1[[#This Row],[Std Ucty]])</f>
        <v>N/A</v>
      </c>
      <c r="Z27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3" s="1" t="str">
        <f>IF(Table1[[#This Row],[Spec Type]]="","N/A",Table1[[#This Row],[Spec Type]])</f>
        <v>±</v>
      </c>
      <c r="AC2783" s="1" t="str">
        <f>IF(Table1[[#This Row],[Spec Type2]]="N/A","N/A",IF(AND(Table1[[#This Row],[DUT Adj Read]]&gt;=Table1[[#This Row],[Low Tol]],Table1[[#This Row],[DUT Adj Read]]&lt;=Table1[[#This Row],[High Tol]]),"Pass","Fail"))</f>
        <v>Fail</v>
      </c>
      <c r="AD2783" s="1" t="str">
        <f>IF(AND(Table1[[#This Row],[Spec Type2]]="N/A",Table1[[#This Row],[DUT Adj Read]]="N/A",Table1[[#This Row],[Std Adj Read]]="N/A"),"N/A",IF(Table1[[#This Row],[DUT Adj Read]]="N/A",IF(Table1[[#This Row],[Std Adj Read]]&gt;Table1[[#This Row],[Low Tol]],"Pass","Fail"),IF(Table1[[#This Row],[DUT Adj Read]]&gt;Table1[[#This Row],[Low Tol]],"Pass","Fail")))</f>
        <v>Pass</v>
      </c>
      <c r="AE2783" s="1" t="str">
        <f>IF(AND(Table1[[#This Row],[Spec Type2]]="N/A",Table1[[#This Row],[DUT Adj Read]]="N/A",Table1[[#This Row],[Std Adj Read]]="N/A"),"N/A",IF(Table1[[#This Row],[DUT Adj Read]]="N/A",IF(Table1[[#This Row],[Std Adj Read]]&lt;Table1[[#This Row],[High Tol]],"Pass","Fail"),IF(Table1[[#This Row],[DUT Adj Read]]&lt;Table1[[#This Row],[High Tol]],"Pass","Fail")))</f>
        <v>Fail</v>
      </c>
      <c r="AF2783" s="1" t="str">
        <f>IF(AND(Table1[[#This Row],[Spec Type2]]="N/A",Table1[[#This Row],[DUT Adj Read]]="N/A",Table1[[#This Row],[Std Adj Read]]="N/A"),"N/A",IF(Table1[[#This Row],[DUT Adj Read]]="N/A",IF(Table1[[#This Row],[Std Adj Read]]&gt;=Table1[[#This Row],[Low Tol]],"Pass","Fail"),IF(Table1[[#This Row],[DUT Adj Read]]&gt;=Table1[[#This Row],[Low Tol]],"Pass","Fail")))</f>
        <v>Pass</v>
      </c>
      <c r="AG2783" s="1" t="str">
        <f>IF(AND(Table1[[#This Row],[Spec Type2]]="N/A",Table1[[#This Row],[DUT Adj Read]]="N/A",Table1[[#This Row],[Std Adj Read]]="N/A"),"N/A",IF(Table1[[#This Row],[DUT Adj Read]]="N/A",IF(Table1[[#This Row],[Std Adj Read]]&lt;=Table1[[#This Row],[High Tol]],"Pass","Fail"),IF(Table1[[#This Row],[DUT Adj Read]]&lt;=Table1[[#This Row],[High Tol]],"Pass","Fail")))</f>
        <v>Fail</v>
      </c>
      <c r="AH27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3" s="1" t="b">
        <v>0</v>
      </c>
      <c r="AN2783" s="1" t="b">
        <v>0</v>
      </c>
      <c r="AO2783" s="1" t="b">
        <v>0</v>
      </c>
    </row>
    <row r="2784" spans="1:41" x14ac:dyDescent="0.25">
      <c r="A2784" s="10"/>
      <c r="B2784" s="10"/>
      <c r="C2784" s="10"/>
      <c r="D2784" s="10"/>
      <c r="E2784" s="10"/>
      <c r="F2784" s="10"/>
      <c r="G2784" s="10"/>
      <c r="H2784" s="10"/>
      <c r="I2784" s="1" t="str">
        <f t="shared" si="129"/>
        <v/>
      </c>
      <c r="J2784" s="1" t="s">
        <v>35</v>
      </c>
      <c r="K2784" s="1" t="str">
        <f t="shared" si="130"/>
        <v/>
      </c>
      <c r="L2784" s="1" t="str">
        <f t="shared" si="131"/>
        <v/>
      </c>
      <c r="M2784" s="1">
        <f>IF(OR(Table1[[#This Row],[Std Nom]]="",Table1[[#This Row],[Std Read]]=""),0,Table1[[#This Row],[Std Nom]]-Table1[[#This Row],[Std Read]])</f>
        <v>0</v>
      </c>
      <c r="N2784" s="1">
        <f>IF(Calculations!$F$5="ACCREDITED 17025 WITH UNCERTAINTIES",$N$10,0)</f>
        <v>0</v>
      </c>
      <c r="O2784" s="1" t="str">
        <f>IFERROR(Table1[[#This Row],[Std Nom]]-(_xlfn.XLOOKUP(Table1[[#This Row],[Manufacturer]]&amp;" "&amp;Table1[[#This Row],[Model]],Table13[MFR &amp; MDL],Table13[Tolerance % CW ],"")/100*Table1[[#This Row],[Std Nom]]),"")</f>
        <v/>
      </c>
      <c r="P2784" s="1" t="str">
        <f>IFERROR(Table1[[#This Row],[Std Nom]]+(_xlfn.XLOOKUP(Table1[[#This Row],[Manufacturer]]&amp;" "&amp;Table1[[#This Row],[Model]],Table13[MFR &amp; MDL],Table13[Tolerance % CW ],"")/100*Table1[[#This Row],[Std Nom]]),"")</f>
        <v/>
      </c>
      <c r="Q2784" s="1" t="e">
        <f>Table1[[#This Row],[High Tol]]-Table1[[#This Row],[Low Tol]]</f>
        <v>#VALUE!</v>
      </c>
      <c r="R2784" s="1">
        <f>2*Table1[[#This Row],[Std Error]]</f>
        <v>0</v>
      </c>
      <c r="S2784" s="1" t="str">
        <f>IF(Table1[[#This Row],[High Tol]]="","N/A",IFERROR(ABS(Table1[[#This Row],[Tol Span]]/Table1[[#This Row],[Error Span]]),"N/A"))</f>
        <v>N/A</v>
      </c>
      <c r="T2784" s="1" t="str">
        <f>IF(OR(Table1[[#This Row],[Low Tol]]="",Table1[[#This Row],[High Tol]]=""),"Needs Analysis",IF(Table1[[#This Row],[Ratio]]&gt;=4,"Not Significant",IF(Table1[[#This Row],[Ratio]]&gt;=2,"Semi-Significant","Significant")))</f>
        <v>Needs Analysis</v>
      </c>
      <c r="W2784" s="1">
        <f>IF(Table1[[#This Row],[Cal Type]]&lt;&gt;"ACCREDITED 17025 WITH UNCERTAINTIES",0,"")</f>
        <v>0</v>
      </c>
      <c r="X2784" s="1" t="str">
        <f>IF(Table1[[#This Row],[DUT Read]]="","N/A",Table1[[#This Row],[Std Error]]+Table1[[#This Row],[DUT Read]]+Table1[[#This Row],[DUT Ucty]])</f>
        <v>N/A</v>
      </c>
      <c r="Y2784" s="1" t="str">
        <f>IF(Table1[[#This Row],[Std Read]]="","N/A",Table1[[#This Row],[Std Read]]+Table1[[#This Row],[Std Ucty]])</f>
        <v>N/A</v>
      </c>
      <c r="Z27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4" s="1" t="str">
        <f>IF(Table1[[#This Row],[Spec Type]]="","N/A",Table1[[#This Row],[Spec Type]])</f>
        <v>±</v>
      </c>
      <c r="AC2784" s="1" t="str">
        <f>IF(Table1[[#This Row],[Spec Type2]]="N/A","N/A",IF(AND(Table1[[#This Row],[DUT Adj Read]]&gt;=Table1[[#This Row],[Low Tol]],Table1[[#This Row],[DUT Adj Read]]&lt;=Table1[[#This Row],[High Tol]]),"Pass","Fail"))</f>
        <v>Fail</v>
      </c>
      <c r="AD2784" s="1" t="str">
        <f>IF(AND(Table1[[#This Row],[Spec Type2]]="N/A",Table1[[#This Row],[DUT Adj Read]]="N/A",Table1[[#This Row],[Std Adj Read]]="N/A"),"N/A",IF(Table1[[#This Row],[DUT Adj Read]]="N/A",IF(Table1[[#This Row],[Std Adj Read]]&gt;Table1[[#This Row],[Low Tol]],"Pass","Fail"),IF(Table1[[#This Row],[DUT Adj Read]]&gt;Table1[[#This Row],[Low Tol]],"Pass","Fail")))</f>
        <v>Pass</v>
      </c>
      <c r="AE2784" s="1" t="str">
        <f>IF(AND(Table1[[#This Row],[Spec Type2]]="N/A",Table1[[#This Row],[DUT Adj Read]]="N/A",Table1[[#This Row],[Std Adj Read]]="N/A"),"N/A",IF(Table1[[#This Row],[DUT Adj Read]]="N/A",IF(Table1[[#This Row],[Std Adj Read]]&lt;Table1[[#This Row],[High Tol]],"Pass","Fail"),IF(Table1[[#This Row],[DUT Adj Read]]&lt;Table1[[#This Row],[High Tol]],"Pass","Fail")))</f>
        <v>Fail</v>
      </c>
      <c r="AF2784" s="1" t="str">
        <f>IF(AND(Table1[[#This Row],[Spec Type2]]="N/A",Table1[[#This Row],[DUT Adj Read]]="N/A",Table1[[#This Row],[Std Adj Read]]="N/A"),"N/A",IF(Table1[[#This Row],[DUT Adj Read]]="N/A",IF(Table1[[#This Row],[Std Adj Read]]&gt;=Table1[[#This Row],[Low Tol]],"Pass","Fail"),IF(Table1[[#This Row],[DUT Adj Read]]&gt;=Table1[[#This Row],[Low Tol]],"Pass","Fail")))</f>
        <v>Pass</v>
      </c>
      <c r="AG2784" s="1" t="str">
        <f>IF(AND(Table1[[#This Row],[Spec Type2]]="N/A",Table1[[#This Row],[DUT Adj Read]]="N/A",Table1[[#This Row],[Std Adj Read]]="N/A"),"N/A",IF(Table1[[#This Row],[DUT Adj Read]]="N/A",IF(Table1[[#This Row],[Std Adj Read]]&lt;=Table1[[#This Row],[High Tol]],"Pass","Fail"),IF(Table1[[#This Row],[DUT Adj Read]]&lt;=Table1[[#This Row],[High Tol]],"Pass","Fail")))</f>
        <v>Fail</v>
      </c>
      <c r="AH27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4" s="1" t="b">
        <v>0</v>
      </c>
      <c r="AN2784" s="1" t="b">
        <v>0</v>
      </c>
      <c r="AO2784" s="1" t="b">
        <v>0</v>
      </c>
    </row>
    <row r="2785" spans="1:41" x14ac:dyDescent="0.25">
      <c r="A2785" s="10"/>
      <c r="B2785" s="10"/>
      <c r="C2785" s="10"/>
      <c r="D2785" s="10"/>
      <c r="E2785" s="10"/>
      <c r="F2785" s="10"/>
      <c r="G2785" s="10"/>
      <c r="H2785" s="10"/>
      <c r="I2785" s="1" t="str">
        <f t="shared" si="129"/>
        <v/>
      </c>
      <c r="J2785" s="1" t="s">
        <v>35</v>
      </c>
      <c r="K2785" s="1" t="str">
        <f t="shared" si="130"/>
        <v/>
      </c>
      <c r="L2785" s="1" t="str">
        <f t="shared" si="131"/>
        <v/>
      </c>
      <c r="M2785" s="1">
        <f>IF(OR(Table1[[#This Row],[Std Nom]]="",Table1[[#This Row],[Std Read]]=""),0,Table1[[#This Row],[Std Nom]]-Table1[[#This Row],[Std Read]])</f>
        <v>0</v>
      </c>
      <c r="N2785" s="1">
        <f>IF(Calculations!$F$5="ACCREDITED 17025 WITH UNCERTAINTIES",$N$10,0)</f>
        <v>0</v>
      </c>
      <c r="O2785" s="1" t="str">
        <f>IFERROR(Table1[[#This Row],[Std Nom]]-(_xlfn.XLOOKUP(Table1[[#This Row],[Manufacturer]]&amp;" "&amp;Table1[[#This Row],[Model]],Table13[MFR &amp; MDL],Table13[Tolerance % CW ],"")/100*Table1[[#This Row],[Std Nom]]),"")</f>
        <v/>
      </c>
      <c r="P2785" s="1" t="str">
        <f>IFERROR(Table1[[#This Row],[Std Nom]]+(_xlfn.XLOOKUP(Table1[[#This Row],[Manufacturer]]&amp;" "&amp;Table1[[#This Row],[Model]],Table13[MFR &amp; MDL],Table13[Tolerance % CW ],"")/100*Table1[[#This Row],[Std Nom]]),"")</f>
        <v/>
      </c>
      <c r="Q2785" s="1" t="e">
        <f>Table1[[#This Row],[High Tol]]-Table1[[#This Row],[Low Tol]]</f>
        <v>#VALUE!</v>
      </c>
      <c r="R2785" s="1">
        <f>2*Table1[[#This Row],[Std Error]]</f>
        <v>0</v>
      </c>
      <c r="S2785" s="1" t="str">
        <f>IF(Table1[[#This Row],[High Tol]]="","N/A",IFERROR(ABS(Table1[[#This Row],[Tol Span]]/Table1[[#This Row],[Error Span]]),"N/A"))</f>
        <v>N/A</v>
      </c>
      <c r="T2785" s="1" t="str">
        <f>IF(OR(Table1[[#This Row],[Low Tol]]="",Table1[[#This Row],[High Tol]]=""),"Needs Analysis",IF(Table1[[#This Row],[Ratio]]&gt;=4,"Not Significant",IF(Table1[[#This Row],[Ratio]]&gt;=2,"Semi-Significant","Significant")))</f>
        <v>Needs Analysis</v>
      </c>
      <c r="W2785" s="1">
        <f>IF(Table1[[#This Row],[Cal Type]]&lt;&gt;"ACCREDITED 17025 WITH UNCERTAINTIES",0,"")</f>
        <v>0</v>
      </c>
      <c r="X2785" s="1" t="str">
        <f>IF(Table1[[#This Row],[DUT Read]]="","N/A",Table1[[#This Row],[Std Error]]+Table1[[#This Row],[DUT Read]]+Table1[[#This Row],[DUT Ucty]])</f>
        <v>N/A</v>
      </c>
      <c r="Y2785" s="1" t="str">
        <f>IF(Table1[[#This Row],[Std Read]]="","N/A",Table1[[#This Row],[Std Read]]+Table1[[#This Row],[Std Ucty]])</f>
        <v>N/A</v>
      </c>
      <c r="Z27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5" s="1" t="str">
        <f>IF(Table1[[#This Row],[Spec Type]]="","N/A",Table1[[#This Row],[Spec Type]])</f>
        <v>±</v>
      </c>
      <c r="AC2785" s="1" t="str">
        <f>IF(Table1[[#This Row],[Spec Type2]]="N/A","N/A",IF(AND(Table1[[#This Row],[DUT Adj Read]]&gt;=Table1[[#This Row],[Low Tol]],Table1[[#This Row],[DUT Adj Read]]&lt;=Table1[[#This Row],[High Tol]]),"Pass","Fail"))</f>
        <v>Fail</v>
      </c>
      <c r="AD2785" s="1" t="str">
        <f>IF(AND(Table1[[#This Row],[Spec Type2]]="N/A",Table1[[#This Row],[DUT Adj Read]]="N/A",Table1[[#This Row],[Std Adj Read]]="N/A"),"N/A",IF(Table1[[#This Row],[DUT Adj Read]]="N/A",IF(Table1[[#This Row],[Std Adj Read]]&gt;Table1[[#This Row],[Low Tol]],"Pass","Fail"),IF(Table1[[#This Row],[DUT Adj Read]]&gt;Table1[[#This Row],[Low Tol]],"Pass","Fail")))</f>
        <v>Pass</v>
      </c>
      <c r="AE2785" s="1" t="str">
        <f>IF(AND(Table1[[#This Row],[Spec Type2]]="N/A",Table1[[#This Row],[DUT Adj Read]]="N/A",Table1[[#This Row],[Std Adj Read]]="N/A"),"N/A",IF(Table1[[#This Row],[DUT Adj Read]]="N/A",IF(Table1[[#This Row],[Std Adj Read]]&lt;Table1[[#This Row],[High Tol]],"Pass","Fail"),IF(Table1[[#This Row],[DUT Adj Read]]&lt;Table1[[#This Row],[High Tol]],"Pass","Fail")))</f>
        <v>Fail</v>
      </c>
      <c r="AF2785" s="1" t="str">
        <f>IF(AND(Table1[[#This Row],[Spec Type2]]="N/A",Table1[[#This Row],[DUT Adj Read]]="N/A",Table1[[#This Row],[Std Adj Read]]="N/A"),"N/A",IF(Table1[[#This Row],[DUT Adj Read]]="N/A",IF(Table1[[#This Row],[Std Adj Read]]&gt;=Table1[[#This Row],[Low Tol]],"Pass","Fail"),IF(Table1[[#This Row],[DUT Adj Read]]&gt;=Table1[[#This Row],[Low Tol]],"Pass","Fail")))</f>
        <v>Pass</v>
      </c>
      <c r="AG2785" s="1" t="str">
        <f>IF(AND(Table1[[#This Row],[Spec Type2]]="N/A",Table1[[#This Row],[DUT Adj Read]]="N/A",Table1[[#This Row],[Std Adj Read]]="N/A"),"N/A",IF(Table1[[#This Row],[DUT Adj Read]]="N/A",IF(Table1[[#This Row],[Std Adj Read]]&lt;=Table1[[#This Row],[High Tol]],"Pass","Fail"),IF(Table1[[#This Row],[DUT Adj Read]]&lt;=Table1[[#This Row],[High Tol]],"Pass","Fail")))</f>
        <v>Fail</v>
      </c>
      <c r="AH27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5" s="1" t="b">
        <v>0</v>
      </c>
      <c r="AN2785" s="1" t="b">
        <v>0</v>
      </c>
      <c r="AO2785" s="1" t="b">
        <v>0</v>
      </c>
    </row>
    <row r="2786" spans="1:41" x14ac:dyDescent="0.25">
      <c r="A2786" s="10"/>
      <c r="B2786" s="10"/>
      <c r="C2786" s="10"/>
      <c r="D2786" s="10"/>
      <c r="E2786" s="10"/>
      <c r="F2786" s="10"/>
      <c r="G2786" s="10"/>
      <c r="H2786" s="10"/>
      <c r="I2786" s="1" t="str">
        <f t="shared" si="129"/>
        <v/>
      </c>
      <c r="J2786" s="1" t="s">
        <v>35</v>
      </c>
      <c r="K2786" s="1" t="str">
        <f t="shared" si="130"/>
        <v/>
      </c>
      <c r="L2786" s="1" t="str">
        <f t="shared" si="131"/>
        <v/>
      </c>
      <c r="M2786" s="1">
        <f>IF(OR(Table1[[#This Row],[Std Nom]]="",Table1[[#This Row],[Std Read]]=""),0,Table1[[#This Row],[Std Nom]]-Table1[[#This Row],[Std Read]])</f>
        <v>0</v>
      </c>
      <c r="N2786" s="1">
        <f>IF(Calculations!$F$5="ACCREDITED 17025 WITH UNCERTAINTIES",$N$10,0)</f>
        <v>0</v>
      </c>
      <c r="O2786" s="1" t="str">
        <f>IFERROR(Table1[[#This Row],[Std Nom]]-(_xlfn.XLOOKUP(Table1[[#This Row],[Manufacturer]]&amp;" "&amp;Table1[[#This Row],[Model]],Table13[MFR &amp; MDL],Table13[Tolerance % CW ],"")/100*Table1[[#This Row],[Std Nom]]),"")</f>
        <v/>
      </c>
      <c r="P2786" s="1" t="str">
        <f>IFERROR(Table1[[#This Row],[Std Nom]]+(_xlfn.XLOOKUP(Table1[[#This Row],[Manufacturer]]&amp;" "&amp;Table1[[#This Row],[Model]],Table13[MFR &amp; MDL],Table13[Tolerance % CW ],"")/100*Table1[[#This Row],[Std Nom]]),"")</f>
        <v/>
      </c>
      <c r="Q2786" s="1" t="e">
        <f>Table1[[#This Row],[High Tol]]-Table1[[#This Row],[Low Tol]]</f>
        <v>#VALUE!</v>
      </c>
      <c r="R2786" s="1">
        <f>2*Table1[[#This Row],[Std Error]]</f>
        <v>0</v>
      </c>
      <c r="S2786" s="1" t="str">
        <f>IF(Table1[[#This Row],[High Tol]]="","N/A",IFERROR(ABS(Table1[[#This Row],[Tol Span]]/Table1[[#This Row],[Error Span]]),"N/A"))</f>
        <v>N/A</v>
      </c>
      <c r="T2786" s="1" t="str">
        <f>IF(OR(Table1[[#This Row],[Low Tol]]="",Table1[[#This Row],[High Tol]]=""),"Needs Analysis",IF(Table1[[#This Row],[Ratio]]&gt;=4,"Not Significant",IF(Table1[[#This Row],[Ratio]]&gt;=2,"Semi-Significant","Significant")))</f>
        <v>Needs Analysis</v>
      </c>
      <c r="W2786" s="1">
        <f>IF(Table1[[#This Row],[Cal Type]]&lt;&gt;"ACCREDITED 17025 WITH UNCERTAINTIES",0,"")</f>
        <v>0</v>
      </c>
      <c r="X2786" s="1" t="str">
        <f>IF(Table1[[#This Row],[DUT Read]]="","N/A",Table1[[#This Row],[Std Error]]+Table1[[#This Row],[DUT Read]]+Table1[[#This Row],[DUT Ucty]])</f>
        <v>N/A</v>
      </c>
      <c r="Y2786" s="1" t="str">
        <f>IF(Table1[[#This Row],[Std Read]]="","N/A",Table1[[#This Row],[Std Read]]+Table1[[#This Row],[Std Ucty]])</f>
        <v>N/A</v>
      </c>
      <c r="Z27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6" s="1" t="str">
        <f>IF(Table1[[#This Row],[Spec Type]]="","N/A",Table1[[#This Row],[Spec Type]])</f>
        <v>±</v>
      </c>
      <c r="AC2786" s="1" t="str">
        <f>IF(Table1[[#This Row],[Spec Type2]]="N/A","N/A",IF(AND(Table1[[#This Row],[DUT Adj Read]]&gt;=Table1[[#This Row],[Low Tol]],Table1[[#This Row],[DUT Adj Read]]&lt;=Table1[[#This Row],[High Tol]]),"Pass","Fail"))</f>
        <v>Fail</v>
      </c>
      <c r="AD2786" s="1" t="str">
        <f>IF(AND(Table1[[#This Row],[Spec Type2]]="N/A",Table1[[#This Row],[DUT Adj Read]]="N/A",Table1[[#This Row],[Std Adj Read]]="N/A"),"N/A",IF(Table1[[#This Row],[DUT Adj Read]]="N/A",IF(Table1[[#This Row],[Std Adj Read]]&gt;Table1[[#This Row],[Low Tol]],"Pass","Fail"),IF(Table1[[#This Row],[DUT Adj Read]]&gt;Table1[[#This Row],[Low Tol]],"Pass","Fail")))</f>
        <v>Pass</v>
      </c>
      <c r="AE2786" s="1" t="str">
        <f>IF(AND(Table1[[#This Row],[Spec Type2]]="N/A",Table1[[#This Row],[DUT Adj Read]]="N/A",Table1[[#This Row],[Std Adj Read]]="N/A"),"N/A",IF(Table1[[#This Row],[DUT Adj Read]]="N/A",IF(Table1[[#This Row],[Std Adj Read]]&lt;Table1[[#This Row],[High Tol]],"Pass","Fail"),IF(Table1[[#This Row],[DUT Adj Read]]&lt;Table1[[#This Row],[High Tol]],"Pass","Fail")))</f>
        <v>Fail</v>
      </c>
      <c r="AF2786" s="1" t="str">
        <f>IF(AND(Table1[[#This Row],[Spec Type2]]="N/A",Table1[[#This Row],[DUT Adj Read]]="N/A",Table1[[#This Row],[Std Adj Read]]="N/A"),"N/A",IF(Table1[[#This Row],[DUT Adj Read]]="N/A",IF(Table1[[#This Row],[Std Adj Read]]&gt;=Table1[[#This Row],[Low Tol]],"Pass","Fail"),IF(Table1[[#This Row],[DUT Adj Read]]&gt;=Table1[[#This Row],[Low Tol]],"Pass","Fail")))</f>
        <v>Pass</v>
      </c>
      <c r="AG2786" s="1" t="str">
        <f>IF(AND(Table1[[#This Row],[Spec Type2]]="N/A",Table1[[#This Row],[DUT Adj Read]]="N/A",Table1[[#This Row],[Std Adj Read]]="N/A"),"N/A",IF(Table1[[#This Row],[DUT Adj Read]]="N/A",IF(Table1[[#This Row],[Std Adj Read]]&lt;=Table1[[#This Row],[High Tol]],"Pass","Fail"),IF(Table1[[#This Row],[DUT Adj Read]]&lt;=Table1[[#This Row],[High Tol]],"Pass","Fail")))</f>
        <v>Fail</v>
      </c>
      <c r="AH27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6" s="1" t="b">
        <v>0</v>
      </c>
      <c r="AN2786" s="1" t="b">
        <v>0</v>
      </c>
      <c r="AO2786" s="1" t="b">
        <v>0</v>
      </c>
    </row>
    <row r="2787" spans="1:41" x14ac:dyDescent="0.25">
      <c r="A2787" s="10"/>
      <c r="B2787" s="10"/>
      <c r="C2787" s="10"/>
      <c r="D2787" s="10"/>
      <c r="E2787" s="10"/>
      <c r="F2787" s="10"/>
      <c r="G2787" s="10"/>
      <c r="H2787" s="10"/>
      <c r="I2787" s="1" t="str">
        <f t="shared" si="129"/>
        <v/>
      </c>
      <c r="J2787" s="1" t="s">
        <v>35</v>
      </c>
      <c r="K2787" s="1" t="str">
        <f t="shared" si="130"/>
        <v/>
      </c>
      <c r="L2787" s="1" t="str">
        <f t="shared" si="131"/>
        <v/>
      </c>
      <c r="M2787" s="1">
        <f>IF(OR(Table1[[#This Row],[Std Nom]]="",Table1[[#This Row],[Std Read]]=""),0,Table1[[#This Row],[Std Nom]]-Table1[[#This Row],[Std Read]])</f>
        <v>0</v>
      </c>
      <c r="N2787" s="1">
        <f>IF(Calculations!$F$5="ACCREDITED 17025 WITH UNCERTAINTIES",$N$10,0)</f>
        <v>0</v>
      </c>
      <c r="O2787" s="1" t="str">
        <f>IFERROR(Table1[[#This Row],[Std Nom]]-(_xlfn.XLOOKUP(Table1[[#This Row],[Manufacturer]]&amp;" "&amp;Table1[[#This Row],[Model]],Table13[MFR &amp; MDL],Table13[Tolerance % CW ],"")/100*Table1[[#This Row],[Std Nom]]),"")</f>
        <v/>
      </c>
      <c r="P2787" s="1" t="str">
        <f>IFERROR(Table1[[#This Row],[Std Nom]]+(_xlfn.XLOOKUP(Table1[[#This Row],[Manufacturer]]&amp;" "&amp;Table1[[#This Row],[Model]],Table13[MFR &amp; MDL],Table13[Tolerance % CW ],"")/100*Table1[[#This Row],[Std Nom]]),"")</f>
        <v/>
      </c>
      <c r="Q2787" s="1" t="e">
        <f>Table1[[#This Row],[High Tol]]-Table1[[#This Row],[Low Tol]]</f>
        <v>#VALUE!</v>
      </c>
      <c r="R2787" s="1">
        <f>2*Table1[[#This Row],[Std Error]]</f>
        <v>0</v>
      </c>
      <c r="S2787" s="1" t="str">
        <f>IF(Table1[[#This Row],[High Tol]]="","N/A",IFERROR(ABS(Table1[[#This Row],[Tol Span]]/Table1[[#This Row],[Error Span]]),"N/A"))</f>
        <v>N/A</v>
      </c>
      <c r="T2787" s="1" t="str">
        <f>IF(OR(Table1[[#This Row],[Low Tol]]="",Table1[[#This Row],[High Tol]]=""),"Needs Analysis",IF(Table1[[#This Row],[Ratio]]&gt;=4,"Not Significant",IF(Table1[[#This Row],[Ratio]]&gt;=2,"Semi-Significant","Significant")))</f>
        <v>Needs Analysis</v>
      </c>
      <c r="W2787" s="1">
        <f>IF(Table1[[#This Row],[Cal Type]]&lt;&gt;"ACCREDITED 17025 WITH UNCERTAINTIES",0,"")</f>
        <v>0</v>
      </c>
      <c r="X2787" s="1" t="str">
        <f>IF(Table1[[#This Row],[DUT Read]]="","N/A",Table1[[#This Row],[Std Error]]+Table1[[#This Row],[DUT Read]]+Table1[[#This Row],[DUT Ucty]])</f>
        <v>N/A</v>
      </c>
      <c r="Y2787" s="1" t="str">
        <f>IF(Table1[[#This Row],[Std Read]]="","N/A",Table1[[#This Row],[Std Read]]+Table1[[#This Row],[Std Ucty]])</f>
        <v>N/A</v>
      </c>
      <c r="Z27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7" s="1" t="str">
        <f>IF(Table1[[#This Row],[Spec Type]]="","N/A",Table1[[#This Row],[Spec Type]])</f>
        <v>±</v>
      </c>
      <c r="AC2787" s="1" t="str">
        <f>IF(Table1[[#This Row],[Spec Type2]]="N/A","N/A",IF(AND(Table1[[#This Row],[DUT Adj Read]]&gt;=Table1[[#This Row],[Low Tol]],Table1[[#This Row],[DUT Adj Read]]&lt;=Table1[[#This Row],[High Tol]]),"Pass","Fail"))</f>
        <v>Fail</v>
      </c>
      <c r="AD2787" s="1" t="str">
        <f>IF(AND(Table1[[#This Row],[Spec Type2]]="N/A",Table1[[#This Row],[DUT Adj Read]]="N/A",Table1[[#This Row],[Std Adj Read]]="N/A"),"N/A",IF(Table1[[#This Row],[DUT Adj Read]]="N/A",IF(Table1[[#This Row],[Std Adj Read]]&gt;Table1[[#This Row],[Low Tol]],"Pass","Fail"),IF(Table1[[#This Row],[DUT Adj Read]]&gt;Table1[[#This Row],[Low Tol]],"Pass","Fail")))</f>
        <v>Pass</v>
      </c>
      <c r="AE2787" s="1" t="str">
        <f>IF(AND(Table1[[#This Row],[Spec Type2]]="N/A",Table1[[#This Row],[DUT Adj Read]]="N/A",Table1[[#This Row],[Std Adj Read]]="N/A"),"N/A",IF(Table1[[#This Row],[DUT Adj Read]]="N/A",IF(Table1[[#This Row],[Std Adj Read]]&lt;Table1[[#This Row],[High Tol]],"Pass","Fail"),IF(Table1[[#This Row],[DUT Adj Read]]&lt;Table1[[#This Row],[High Tol]],"Pass","Fail")))</f>
        <v>Fail</v>
      </c>
      <c r="AF2787" s="1" t="str">
        <f>IF(AND(Table1[[#This Row],[Spec Type2]]="N/A",Table1[[#This Row],[DUT Adj Read]]="N/A",Table1[[#This Row],[Std Adj Read]]="N/A"),"N/A",IF(Table1[[#This Row],[DUT Adj Read]]="N/A",IF(Table1[[#This Row],[Std Adj Read]]&gt;=Table1[[#This Row],[Low Tol]],"Pass","Fail"),IF(Table1[[#This Row],[DUT Adj Read]]&gt;=Table1[[#This Row],[Low Tol]],"Pass","Fail")))</f>
        <v>Pass</v>
      </c>
      <c r="AG2787" s="1" t="str">
        <f>IF(AND(Table1[[#This Row],[Spec Type2]]="N/A",Table1[[#This Row],[DUT Adj Read]]="N/A",Table1[[#This Row],[Std Adj Read]]="N/A"),"N/A",IF(Table1[[#This Row],[DUT Adj Read]]="N/A",IF(Table1[[#This Row],[Std Adj Read]]&lt;=Table1[[#This Row],[High Tol]],"Pass","Fail"),IF(Table1[[#This Row],[DUT Adj Read]]&lt;=Table1[[#This Row],[High Tol]],"Pass","Fail")))</f>
        <v>Fail</v>
      </c>
      <c r="AH27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7" s="1" t="b">
        <v>0</v>
      </c>
      <c r="AN2787" s="1" t="b">
        <v>0</v>
      </c>
      <c r="AO2787" s="1" t="b">
        <v>0</v>
      </c>
    </row>
    <row r="2788" spans="1:41" x14ac:dyDescent="0.25">
      <c r="A2788" s="10"/>
      <c r="B2788" s="10"/>
      <c r="C2788" s="10"/>
      <c r="D2788" s="10"/>
      <c r="E2788" s="10"/>
      <c r="F2788" s="10"/>
      <c r="G2788" s="10"/>
      <c r="H2788" s="10"/>
      <c r="I2788" s="1" t="str">
        <f t="shared" si="129"/>
        <v/>
      </c>
      <c r="J2788" s="1" t="s">
        <v>35</v>
      </c>
      <c r="K2788" s="1" t="str">
        <f t="shared" si="130"/>
        <v/>
      </c>
      <c r="L2788" s="1" t="str">
        <f t="shared" si="131"/>
        <v/>
      </c>
      <c r="M2788" s="1">
        <f>IF(OR(Table1[[#This Row],[Std Nom]]="",Table1[[#This Row],[Std Read]]=""),0,Table1[[#This Row],[Std Nom]]-Table1[[#This Row],[Std Read]])</f>
        <v>0</v>
      </c>
      <c r="N2788" s="1">
        <f>IF(Calculations!$F$5="ACCREDITED 17025 WITH UNCERTAINTIES",$N$10,0)</f>
        <v>0</v>
      </c>
      <c r="O2788" s="1" t="str">
        <f>IFERROR(Table1[[#This Row],[Std Nom]]-(_xlfn.XLOOKUP(Table1[[#This Row],[Manufacturer]]&amp;" "&amp;Table1[[#This Row],[Model]],Table13[MFR &amp; MDL],Table13[Tolerance % CW ],"")/100*Table1[[#This Row],[Std Nom]]),"")</f>
        <v/>
      </c>
      <c r="P2788" s="1" t="str">
        <f>IFERROR(Table1[[#This Row],[Std Nom]]+(_xlfn.XLOOKUP(Table1[[#This Row],[Manufacturer]]&amp;" "&amp;Table1[[#This Row],[Model]],Table13[MFR &amp; MDL],Table13[Tolerance % CW ],"")/100*Table1[[#This Row],[Std Nom]]),"")</f>
        <v/>
      </c>
      <c r="Q2788" s="1" t="e">
        <f>Table1[[#This Row],[High Tol]]-Table1[[#This Row],[Low Tol]]</f>
        <v>#VALUE!</v>
      </c>
      <c r="R2788" s="1">
        <f>2*Table1[[#This Row],[Std Error]]</f>
        <v>0</v>
      </c>
      <c r="S2788" s="1" t="str">
        <f>IF(Table1[[#This Row],[High Tol]]="","N/A",IFERROR(ABS(Table1[[#This Row],[Tol Span]]/Table1[[#This Row],[Error Span]]),"N/A"))</f>
        <v>N/A</v>
      </c>
      <c r="T2788" s="1" t="str">
        <f>IF(OR(Table1[[#This Row],[Low Tol]]="",Table1[[#This Row],[High Tol]]=""),"Needs Analysis",IF(Table1[[#This Row],[Ratio]]&gt;=4,"Not Significant",IF(Table1[[#This Row],[Ratio]]&gt;=2,"Semi-Significant","Significant")))</f>
        <v>Needs Analysis</v>
      </c>
      <c r="W2788" s="1">
        <f>IF(Table1[[#This Row],[Cal Type]]&lt;&gt;"ACCREDITED 17025 WITH UNCERTAINTIES",0,"")</f>
        <v>0</v>
      </c>
      <c r="X2788" s="1" t="str">
        <f>IF(Table1[[#This Row],[DUT Read]]="","N/A",Table1[[#This Row],[Std Error]]+Table1[[#This Row],[DUT Read]]+Table1[[#This Row],[DUT Ucty]])</f>
        <v>N/A</v>
      </c>
      <c r="Y2788" s="1" t="str">
        <f>IF(Table1[[#This Row],[Std Read]]="","N/A",Table1[[#This Row],[Std Read]]+Table1[[#This Row],[Std Ucty]])</f>
        <v>N/A</v>
      </c>
      <c r="Z27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8" s="1" t="str">
        <f>IF(Table1[[#This Row],[Spec Type]]="","N/A",Table1[[#This Row],[Spec Type]])</f>
        <v>±</v>
      </c>
      <c r="AC2788" s="1" t="str">
        <f>IF(Table1[[#This Row],[Spec Type2]]="N/A","N/A",IF(AND(Table1[[#This Row],[DUT Adj Read]]&gt;=Table1[[#This Row],[Low Tol]],Table1[[#This Row],[DUT Adj Read]]&lt;=Table1[[#This Row],[High Tol]]),"Pass","Fail"))</f>
        <v>Fail</v>
      </c>
      <c r="AD2788" s="1" t="str">
        <f>IF(AND(Table1[[#This Row],[Spec Type2]]="N/A",Table1[[#This Row],[DUT Adj Read]]="N/A",Table1[[#This Row],[Std Adj Read]]="N/A"),"N/A",IF(Table1[[#This Row],[DUT Adj Read]]="N/A",IF(Table1[[#This Row],[Std Adj Read]]&gt;Table1[[#This Row],[Low Tol]],"Pass","Fail"),IF(Table1[[#This Row],[DUT Adj Read]]&gt;Table1[[#This Row],[Low Tol]],"Pass","Fail")))</f>
        <v>Pass</v>
      </c>
      <c r="AE2788" s="1" t="str">
        <f>IF(AND(Table1[[#This Row],[Spec Type2]]="N/A",Table1[[#This Row],[DUT Adj Read]]="N/A",Table1[[#This Row],[Std Adj Read]]="N/A"),"N/A",IF(Table1[[#This Row],[DUT Adj Read]]="N/A",IF(Table1[[#This Row],[Std Adj Read]]&lt;Table1[[#This Row],[High Tol]],"Pass","Fail"),IF(Table1[[#This Row],[DUT Adj Read]]&lt;Table1[[#This Row],[High Tol]],"Pass","Fail")))</f>
        <v>Fail</v>
      </c>
      <c r="AF2788" s="1" t="str">
        <f>IF(AND(Table1[[#This Row],[Spec Type2]]="N/A",Table1[[#This Row],[DUT Adj Read]]="N/A",Table1[[#This Row],[Std Adj Read]]="N/A"),"N/A",IF(Table1[[#This Row],[DUT Adj Read]]="N/A",IF(Table1[[#This Row],[Std Adj Read]]&gt;=Table1[[#This Row],[Low Tol]],"Pass","Fail"),IF(Table1[[#This Row],[DUT Adj Read]]&gt;=Table1[[#This Row],[Low Tol]],"Pass","Fail")))</f>
        <v>Pass</v>
      </c>
      <c r="AG2788" s="1" t="str">
        <f>IF(AND(Table1[[#This Row],[Spec Type2]]="N/A",Table1[[#This Row],[DUT Adj Read]]="N/A",Table1[[#This Row],[Std Adj Read]]="N/A"),"N/A",IF(Table1[[#This Row],[DUT Adj Read]]="N/A",IF(Table1[[#This Row],[Std Adj Read]]&lt;=Table1[[#This Row],[High Tol]],"Pass","Fail"),IF(Table1[[#This Row],[DUT Adj Read]]&lt;=Table1[[#This Row],[High Tol]],"Pass","Fail")))</f>
        <v>Fail</v>
      </c>
      <c r="AH27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8" s="1" t="b">
        <v>0</v>
      </c>
      <c r="AN2788" s="1" t="b">
        <v>0</v>
      </c>
      <c r="AO2788" s="1" t="b">
        <v>0</v>
      </c>
    </row>
    <row r="2789" spans="1:41" x14ac:dyDescent="0.25">
      <c r="A2789" s="10"/>
      <c r="B2789" s="10"/>
      <c r="C2789" s="10"/>
      <c r="D2789" s="10"/>
      <c r="E2789" s="10"/>
      <c r="F2789" s="10"/>
      <c r="G2789" s="10"/>
      <c r="H2789" s="10"/>
      <c r="I2789" s="1" t="str">
        <f t="shared" si="129"/>
        <v/>
      </c>
      <c r="J2789" s="1" t="s">
        <v>35</v>
      </c>
      <c r="K2789" s="1" t="str">
        <f t="shared" si="130"/>
        <v/>
      </c>
      <c r="L2789" s="1" t="str">
        <f t="shared" si="131"/>
        <v/>
      </c>
      <c r="M2789" s="1">
        <f>IF(OR(Table1[[#This Row],[Std Nom]]="",Table1[[#This Row],[Std Read]]=""),0,Table1[[#This Row],[Std Nom]]-Table1[[#This Row],[Std Read]])</f>
        <v>0</v>
      </c>
      <c r="N2789" s="1">
        <f>IF(Calculations!$F$5="ACCREDITED 17025 WITH UNCERTAINTIES",$N$10,0)</f>
        <v>0</v>
      </c>
      <c r="O2789" s="1" t="str">
        <f>IFERROR(Table1[[#This Row],[Std Nom]]-(_xlfn.XLOOKUP(Table1[[#This Row],[Manufacturer]]&amp;" "&amp;Table1[[#This Row],[Model]],Table13[MFR &amp; MDL],Table13[Tolerance % CW ],"")/100*Table1[[#This Row],[Std Nom]]),"")</f>
        <v/>
      </c>
      <c r="P2789" s="1" t="str">
        <f>IFERROR(Table1[[#This Row],[Std Nom]]+(_xlfn.XLOOKUP(Table1[[#This Row],[Manufacturer]]&amp;" "&amp;Table1[[#This Row],[Model]],Table13[MFR &amp; MDL],Table13[Tolerance % CW ],"")/100*Table1[[#This Row],[Std Nom]]),"")</f>
        <v/>
      </c>
      <c r="Q2789" s="1" t="e">
        <f>Table1[[#This Row],[High Tol]]-Table1[[#This Row],[Low Tol]]</f>
        <v>#VALUE!</v>
      </c>
      <c r="R2789" s="1">
        <f>2*Table1[[#This Row],[Std Error]]</f>
        <v>0</v>
      </c>
      <c r="S2789" s="1" t="str">
        <f>IF(Table1[[#This Row],[High Tol]]="","N/A",IFERROR(ABS(Table1[[#This Row],[Tol Span]]/Table1[[#This Row],[Error Span]]),"N/A"))</f>
        <v>N/A</v>
      </c>
      <c r="T2789" s="1" t="str">
        <f>IF(OR(Table1[[#This Row],[Low Tol]]="",Table1[[#This Row],[High Tol]]=""),"Needs Analysis",IF(Table1[[#This Row],[Ratio]]&gt;=4,"Not Significant",IF(Table1[[#This Row],[Ratio]]&gt;=2,"Semi-Significant","Significant")))</f>
        <v>Needs Analysis</v>
      </c>
      <c r="W2789" s="1">
        <f>IF(Table1[[#This Row],[Cal Type]]&lt;&gt;"ACCREDITED 17025 WITH UNCERTAINTIES",0,"")</f>
        <v>0</v>
      </c>
      <c r="X2789" s="1" t="str">
        <f>IF(Table1[[#This Row],[DUT Read]]="","N/A",Table1[[#This Row],[Std Error]]+Table1[[#This Row],[DUT Read]]+Table1[[#This Row],[DUT Ucty]])</f>
        <v>N/A</v>
      </c>
      <c r="Y2789" s="1" t="str">
        <f>IF(Table1[[#This Row],[Std Read]]="","N/A",Table1[[#This Row],[Std Read]]+Table1[[#This Row],[Std Ucty]])</f>
        <v>N/A</v>
      </c>
      <c r="Z27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9" s="1" t="str">
        <f>IF(Table1[[#This Row],[Spec Type]]="","N/A",Table1[[#This Row],[Spec Type]])</f>
        <v>±</v>
      </c>
      <c r="AC2789" s="1" t="str">
        <f>IF(Table1[[#This Row],[Spec Type2]]="N/A","N/A",IF(AND(Table1[[#This Row],[DUT Adj Read]]&gt;=Table1[[#This Row],[Low Tol]],Table1[[#This Row],[DUT Adj Read]]&lt;=Table1[[#This Row],[High Tol]]),"Pass","Fail"))</f>
        <v>Fail</v>
      </c>
      <c r="AD2789" s="1" t="str">
        <f>IF(AND(Table1[[#This Row],[Spec Type2]]="N/A",Table1[[#This Row],[DUT Adj Read]]="N/A",Table1[[#This Row],[Std Adj Read]]="N/A"),"N/A",IF(Table1[[#This Row],[DUT Adj Read]]="N/A",IF(Table1[[#This Row],[Std Adj Read]]&gt;Table1[[#This Row],[Low Tol]],"Pass","Fail"),IF(Table1[[#This Row],[DUT Adj Read]]&gt;Table1[[#This Row],[Low Tol]],"Pass","Fail")))</f>
        <v>Pass</v>
      </c>
      <c r="AE2789" s="1" t="str">
        <f>IF(AND(Table1[[#This Row],[Spec Type2]]="N/A",Table1[[#This Row],[DUT Adj Read]]="N/A",Table1[[#This Row],[Std Adj Read]]="N/A"),"N/A",IF(Table1[[#This Row],[DUT Adj Read]]="N/A",IF(Table1[[#This Row],[Std Adj Read]]&lt;Table1[[#This Row],[High Tol]],"Pass","Fail"),IF(Table1[[#This Row],[DUT Adj Read]]&lt;Table1[[#This Row],[High Tol]],"Pass","Fail")))</f>
        <v>Fail</v>
      </c>
      <c r="AF2789" s="1" t="str">
        <f>IF(AND(Table1[[#This Row],[Spec Type2]]="N/A",Table1[[#This Row],[DUT Adj Read]]="N/A",Table1[[#This Row],[Std Adj Read]]="N/A"),"N/A",IF(Table1[[#This Row],[DUT Adj Read]]="N/A",IF(Table1[[#This Row],[Std Adj Read]]&gt;=Table1[[#This Row],[Low Tol]],"Pass","Fail"),IF(Table1[[#This Row],[DUT Adj Read]]&gt;=Table1[[#This Row],[Low Tol]],"Pass","Fail")))</f>
        <v>Pass</v>
      </c>
      <c r="AG2789" s="1" t="str">
        <f>IF(AND(Table1[[#This Row],[Spec Type2]]="N/A",Table1[[#This Row],[DUT Adj Read]]="N/A",Table1[[#This Row],[Std Adj Read]]="N/A"),"N/A",IF(Table1[[#This Row],[DUT Adj Read]]="N/A",IF(Table1[[#This Row],[Std Adj Read]]&lt;=Table1[[#This Row],[High Tol]],"Pass","Fail"),IF(Table1[[#This Row],[DUT Adj Read]]&lt;=Table1[[#This Row],[High Tol]],"Pass","Fail")))</f>
        <v>Fail</v>
      </c>
      <c r="AH27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9" s="1" t="b">
        <v>0</v>
      </c>
      <c r="AN2789" s="1" t="b">
        <v>0</v>
      </c>
      <c r="AO2789" s="1" t="b">
        <v>0</v>
      </c>
    </row>
    <row r="2790" spans="1:41" x14ac:dyDescent="0.25">
      <c r="A2790" s="10"/>
      <c r="B2790" s="10"/>
      <c r="C2790" s="10"/>
      <c r="D2790" s="10"/>
      <c r="E2790" s="10"/>
      <c r="F2790" s="10"/>
      <c r="G2790" s="10"/>
      <c r="H2790" s="10"/>
      <c r="I2790" s="1" t="str">
        <f t="shared" si="129"/>
        <v/>
      </c>
      <c r="J2790" s="1" t="s">
        <v>35</v>
      </c>
      <c r="K2790" s="1" t="str">
        <f t="shared" si="130"/>
        <v/>
      </c>
      <c r="L2790" s="1" t="str">
        <f t="shared" si="131"/>
        <v/>
      </c>
      <c r="M2790" s="1">
        <f>IF(OR(Table1[[#This Row],[Std Nom]]="",Table1[[#This Row],[Std Read]]=""),0,Table1[[#This Row],[Std Nom]]-Table1[[#This Row],[Std Read]])</f>
        <v>0</v>
      </c>
      <c r="N2790" s="1">
        <f>IF(Calculations!$F$5="ACCREDITED 17025 WITH UNCERTAINTIES",$N$10,0)</f>
        <v>0</v>
      </c>
      <c r="O2790" s="1" t="str">
        <f>IFERROR(Table1[[#This Row],[Std Nom]]-(_xlfn.XLOOKUP(Table1[[#This Row],[Manufacturer]]&amp;" "&amp;Table1[[#This Row],[Model]],Table13[MFR &amp; MDL],Table13[Tolerance % CW ],"")/100*Table1[[#This Row],[Std Nom]]),"")</f>
        <v/>
      </c>
      <c r="P2790" s="1" t="str">
        <f>IFERROR(Table1[[#This Row],[Std Nom]]+(_xlfn.XLOOKUP(Table1[[#This Row],[Manufacturer]]&amp;" "&amp;Table1[[#This Row],[Model]],Table13[MFR &amp; MDL],Table13[Tolerance % CW ],"")/100*Table1[[#This Row],[Std Nom]]),"")</f>
        <v/>
      </c>
      <c r="Q2790" s="1" t="e">
        <f>Table1[[#This Row],[High Tol]]-Table1[[#This Row],[Low Tol]]</f>
        <v>#VALUE!</v>
      </c>
      <c r="R2790" s="1">
        <f>2*Table1[[#This Row],[Std Error]]</f>
        <v>0</v>
      </c>
      <c r="S2790" s="1" t="str">
        <f>IF(Table1[[#This Row],[High Tol]]="","N/A",IFERROR(ABS(Table1[[#This Row],[Tol Span]]/Table1[[#This Row],[Error Span]]),"N/A"))</f>
        <v>N/A</v>
      </c>
      <c r="T2790" s="1" t="str">
        <f>IF(OR(Table1[[#This Row],[Low Tol]]="",Table1[[#This Row],[High Tol]]=""),"Needs Analysis",IF(Table1[[#This Row],[Ratio]]&gt;=4,"Not Significant",IF(Table1[[#This Row],[Ratio]]&gt;=2,"Semi-Significant","Significant")))</f>
        <v>Needs Analysis</v>
      </c>
      <c r="W2790" s="1">
        <f>IF(Table1[[#This Row],[Cal Type]]&lt;&gt;"ACCREDITED 17025 WITH UNCERTAINTIES",0,"")</f>
        <v>0</v>
      </c>
      <c r="X2790" s="1" t="str">
        <f>IF(Table1[[#This Row],[DUT Read]]="","N/A",Table1[[#This Row],[Std Error]]+Table1[[#This Row],[DUT Read]]+Table1[[#This Row],[DUT Ucty]])</f>
        <v>N/A</v>
      </c>
      <c r="Y2790" s="1" t="str">
        <f>IF(Table1[[#This Row],[Std Read]]="","N/A",Table1[[#This Row],[Std Read]]+Table1[[#This Row],[Std Ucty]])</f>
        <v>N/A</v>
      </c>
      <c r="Z27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0" s="1" t="str">
        <f>IF(Table1[[#This Row],[Spec Type]]="","N/A",Table1[[#This Row],[Spec Type]])</f>
        <v>±</v>
      </c>
      <c r="AC2790" s="1" t="str">
        <f>IF(Table1[[#This Row],[Spec Type2]]="N/A","N/A",IF(AND(Table1[[#This Row],[DUT Adj Read]]&gt;=Table1[[#This Row],[Low Tol]],Table1[[#This Row],[DUT Adj Read]]&lt;=Table1[[#This Row],[High Tol]]),"Pass","Fail"))</f>
        <v>Fail</v>
      </c>
      <c r="AD2790" s="1" t="str">
        <f>IF(AND(Table1[[#This Row],[Spec Type2]]="N/A",Table1[[#This Row],[DUT Adj Read]]="N/A",Table1[[#This Row],[Std Adj Read]]="N/A"),"N/A",IF(Table1[[#This Row],[DUT Adj Read]]="N/A",IF(Table1[[#This Row],[Std Adj Read]]&gt;Table1[[#This Row],[Low Tol]],"Pass","Fail"),IF(Table1[[#This Row],[DUT Adj Read]]&gt;Table1[[#This Row],[Low Tol]],"Pass","Fail")))</f>
        <v>Pass</v>
      </c>
      <c r="AE2790" s="1" t="str">
        <f>IF(AND(Table1[[#This Row],[Spec Type2]]="N/A",Table1[[#This Row],[DUT Adj Read]]="N/A",Table1[[#This Row],[Std Adj Read]]="N/A"),"N/A",IF(Table1[[#This Row],[DUT Adj Read]]="N/A",IF(Table1[[#This Row],[Std Adj Read]]&lt;Table1[[#This Row],[High Tol]],"Pass","Fail"),IF(Table1[[#This Row],[DUT Adj Read]]&lt;Table1[[#This Row],[High Tol]],"Pass","Fail")))</f>
        <v>Fail</v>
      </c>
      <c r="AF2790" s="1" t="str">
        <f>IF(AND(Table1[[#This Row],[Spec Type2]]="N/A",Table1[[#This Row],[DUT Adj Read]]="N/A",Table1[[#This Row],[Std Adj Read]]="N/A"),"N/A",IF(Table1[[#This Row],[DUT Adj Read]]="N/A",IF(Table1[[#This Row],[Std Adj Read]]&gt;=Table1[[#This Row],[Low Tol]],"Pass","Fail"),IF(Table1[[#This Row],[DUT Adj Read]]&gt;=Table1[[#This Row],[Low Tol]],"Pass","Fail")))</f>
        <v>Pass</v>
      </c>
      <c r="AG2790" s="1" t="str">
        <f>IF(AND(Table1[[#This Row],[Spec Type2]]="N/A",Table1[[#This Row],[DUT Adj Read]]="N/A",Table1[[#This Row],[Std Adj Read]]="N/A"),"N/A",IF(Table1[[#This Row],[DUT Adj Read]]="N/A",IF(Table1[[#This Row],[Std Adj Read]]&lt;=Table1[[#This Row],[High Tol]],"Pass","Fail"),IF(Table1[[#This Row],[DUT Adj Read]]&lt;=Table1[[#This Row],[High Tol]],"Pass","Fail")))</f>
        <v>Fail</v>
      </c>
      <c r="AH27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0" s="1" t="b">
        <v>0</v>
      </c>
      <c r="AN2790" s="1" t="b">
        <v>0</v>
      </c>
      <c r="AO2790" s="1" t="b">
        <v>0</v>
      </c>
    </row>
    <row r="2791" spans="1:41" x14ac:dyDescent="0.25">
      <c r="A2791" s="10"/>
      <c r="B2791" s="10"/>
      <c r="C2791" s="10"/>
      <c r="D2791" s="10"/>
      <c r="E2791" s="10"/>
      <c r="F2791" s="10"/>
      <c r="G2791" s="10"/>
      <c r="H2791" s="10"/>
      <c r="I2791" s="1" t="str">
        <f t="shared" si="129"/>
        <v/>
      </c>
      <c r="J2791" s="1" t="s">
        <v>35</v>
      </c>
      <c r="K2791" s="1" t="str">
        <f t="shared" si="130"/>
        <v/>
      </c>
      <c r="L2791" s="1" t="str">
        <f t="shared" si="131"/>
        <v/>
      </c>
      <c r="M2791" s="1">
        <f>IF(OR(Table1[[#This Row],[Std Nom]]="",Table1[[#This Row],[Std Read]]=""),0,Table1[[#This Row],[Std Nom]]-Table1[[#This Row],[Std Read]])</f>
        <v>0</v>
      </c>
      <c r="N2791" s="1">
        <f>IF(Calculations!$F$5="ACCREDITED 17025 WITH UNCERTAINTIES",$N$10,0)</f>
        <v>0</v>
      </c>
      <c r="O2791" s="1" t="str">
        <f>IFERROR(Table1[[#This Row],[Std Nom]]-(_xlfn.XLOOKUP(Table1[[#This Row],[Manufacturer]]&amp;" "&amp;Table1[[#This Row],[Model]],Table13[MFR &amp; MDL],Table13[Tolerance % CW ],"")/100*Table1[[#This Row],[Std Nom]]),"")</f>
        <v/>
      </c>
      <c r="P2791" s="1" t="str">
        <f>IFERROR(Table1[[#This Row],[Std Nom]]+(_xlfn.XLOOKUP(Table1[[#This Row],[Manufacturer]]&amp;" "&amp;Table1[[#This Row],[Model]],Table13[MFR &amp; MDL],Table13[Tolerance % CW ],"")/100*Table1[[#This Row],[Std Nom]]),"")</f>
        <v/>
      </c>
      <c r="Q2791" s="1" t="e">
        <f>Table1[[#This Row],[High Tol]]-Table1[[#This Row],[Low Tol]]</f>
        <v>#VALUE!</v>
      </c>
      <c r="R2791" s="1">
        <f>2*Table1[[#This Row],[Std Error]]</f>
        <v>0</v>
      </c>
      <c r="S2791" s="1" t="str">
        <f>IF(Table1[[#This Row],[High Tol]]="","N/A",IFERROR(ABS(Table1[[#This Row],[Tol Span]]/Table1[[#This Row],[Error Span]]),"N/A"))</f>
        <v>N/A</v>
      </c>
      <c r="T2791" s="1" t="str">
        <f>IF(OR(Table1[[#This Row],[Low Tol]]="",Table1[[#This Row],[High Tol]]=""),"Needs Analysis",IF(Table1[[#This Row],[Ratio]]&gt;=4,"Not Significant",IF(Table1[[#This Row],[Ratio]]&gt;=2,"Semi-Significant","Significant")))</f>
        <v>Needs Analysis</v>
      </c>
      <c r="W2791" s="1">
        <f>IF(Table1[[#This Row],[Cal Type]]&lt;&gt;"ACCREDITED 17025 WITH UNCERTAINTIES",0,"")</f>
        <v>0</v>
      </c>
      <c r="X2791" s="1" t="str">
        <f>IF(Table1[[#This Row],[DUT Read]]="","N/A",Table1[[#This Row],[Std Error]]+Table1[[#This Row],[DUT Read]]+Table1[[#This Row],[DUT Ucty]])</f>
        <v>N/A</v>
      </c>
      <c r="Y2791" s="1" t="str">
        <f>IF(Table1[[#This Row],[Std Read]]="","N/A",Table1[[#This Row],[Std Read]]+Table1[[#This Row],[Std Ucty]])</f>
        <v>N/A</v>
      </c>
      <c r="Z27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1" s="1" t="str">
        <f>IF(Table1[[#This Row],[Spec Type]]="","N/A",Table1[[#This Row],[Spec Type]])</f>
        <v>±</v>
      </c>
      <c r="AC2791" s="1" t="str">
        <f>IF(Table1[[#This Row],[Spec Type2]]="N/A","N/A",IF(AND(Table1[[#This Row],[DUT Adj Read]]&gt;=Table1[[#This Row],[Low Tol]],Table1[[#This Row],[DUT Adj Read]]&lt;=Table1[[#This Row],[High Tol]]),"Pass","Fail"))</f>
        <v>Fail</v>
      </c>
      <c r="AD2791" s="1" t="str">
        <f>IF(AND(Table1[[#This Row],[Spec Type2]]="N/A",Table1[[#This Row],[DUT Adj Read]]="N/A",Table1[[#This Row],[Std Adj Read]]="N/A"),"N/A",IF(Table1[[#This Row],[DUT Adj Read]]="N/A",IF(Table1[[#This Row],[Std Adj Read]]&gt;Table1[[#This Row],[Low Tol]],"Pass","Fail"),IF(Table1[[#This Row],[DUT Adj Read]]&gt;Table1[[#This Row],[Low Tol]],"Pass","Fail")))</f>
        <v>Pass</v>
      </c>
      <c r="AE2791" s="1" t="str">
        <f>IF(AND(Table1[[#This Row],[Spec Type2]]="N/A",Table1[[#This Row],[DUT Adj Read]]="N/A",Table1[[#This Row],[Std Adj Read]]="N/A"),"N/A",IF(Table1[[#This Row],[DUT Adj Read]]="N/A",IF(Table1[[#This Row],[Std Adj Read]]&lt;Table1[[#This Row],[High Tol]],"Pass","Fail"),IF(Table1[[#This Row],[DUT Adj Read]]&lt;Table1[[#This Row],[High Tol]],"Pass","Fail")))</f>
        <v>Fail</v>
      </c>
      <c r="AF2791" s="1" t="str">
        <f>IF(AND(Table1[[#This Row],[Spec Type2]]="N/A",Table1[[#This Row],[DUT Adj Read]]="N/A",Table1[[#This Row],[Std Adj Read]]="N/A"),"N/A",IF(Table1[[#This Row],[DUT Adj Read]]="N/A",IF(Table1[[#This Row],[Std Adj Read]]&gt;=Table1[[#This Row],[Low Tol]],"Pass","Fail"),IF(Table1[[#This Row],[DUT Adj Read]]&gt;=Table1[[#This Row],[Low Tol]],"Pass","Fail")))</f>
        <v>Pass</v>
      </c>
      <c r="AG2791" s="1" t="str">
        <f>IF(AND(Table1[[#This Row],[Spec Type2]]="N/A",Table1[[#This Row],[DUT Adj Read]]="N/A",Table1[[#This Row],[Std Adj Read]]="N/A"),"N/A",IF(Table1[[#This Row],[DUT Adj Read]]="N/A",IF(Table1[[#This Row],[Std Adj Read]]&lt;=Table1[[#This Row],[High Tol]],"Pass","Fail"),IF(Table1[[#This Row],[DUT Adj Read]]&lt;=Table1[[#This Row],[High Tol]],"Pass","Fail")))</f>
        <v>Fail</v>
      </c>
      <c r="AH27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1" s="1" t="b">
        <v>0</v>
      </c>
      <c r="AN2791" s="1" t="b">
        <v>0</v>
      </c>
      <c r="AO2791" s="1" t="b">
        <v>0</v>
      </c>
    </row>
    <row r="2792" spans="1:41" x14ac:dyDescent="0.25">
      <c r="A2792" s="10"/>
      <c r="B2792" s="10"/>
      <c r="C2792" s="10"/>
      <c r="D2792" s="10"/>
      <c r="E2792" s="10"/>
      <c r="F2792" s="10"/>
      <c r="G2792" s="10"/>
      <c r="H2792" s="10"/>
      <c r="I2792" s="1" t="str">
        <f t="shared" si="129"/>
        <v/>
      </c>
      <c r="J2792" s="1" t="s">
        <v>35</v>
      </c>
      <c r="K2792" s="1" t="str">
        <f t="shared" si="130"/>
        <v/>
      </c>
      <c r="L2792" s="1" t="str">
        <f t="shared" si="131"/>
        <v/>
      </c>
      <c r="M2792" s="1">
        <f>IF(OR(Table1[[#This Row],[Std Nom]]="",Table1[[#This Row],[Std Read]]=""),0,Table1[[#This Row],[Std Nom]]-Table1[[#This Row],[Std Read]])</f>
        <v>0</v>
      </c>
      <c r="N2792" s="1">
        <f>IF(Calculations!$F$5="ACCREDITED 17025 WITH UNCERTAINTIES",$N$10,0)</f>
        <v>0</v>
      </c>
      <c r="O2792" s="1" t="str">
        <f>IFERROR(Table1[[#This Row],[Std Nom]]-(_xlfn.XLOOKUP(Table1[[#This Row],[Manufacturer]]&amp;" "&amp;Table1[[#This Row],[Model]],Table13[MFR &amp; MDL],Table13[Tolerance % CW ],"")/100*Table1[[#This Row],[Std Nom]]),"")</f>
        <v/>
      </c>
      <c r="P2792" s="1" t="str">
        <f>IFERROR(Table1[[#This Row],[Std Nom]]+(_xlfn.XLOOKUP(Table1[[#This Row],[Manufacturer]]&amp;" "&amp;Table1[[#This Row],[Model]],Table13[MFR &amp; MDL],Table13[Tolerance % CW ],"")/100*Table1[[#This Row],[Std Nom]]),"")</f>
        <v/>
      </c>
      <c r="Q2792" s="1" t="e">
        <f>Table1[[#This Row],[High Tol]]-Table1[[#This Row],[Low Tol]]</f>
        <v>#VALUE!</v>
      </c>
      <c r="R2792" s="1">
        <f>2*Table1[[#This Row],[Std Error]]</f>
        <v>0</v>
      </c>
      <c r="S2792" s="1" t="str">
        <f>IF(Table1[[#This Row],[High Tol]]="","N/A",IFERROR(ABS(Table1[[#This Row],[Tol Span]]/Table1[[#This Row],[Error Span]]),"N/A"))</f>
        <v>N/A</v>
      </c>
      <c r="T2792" s="1" t="str">
        <f>IF(OR(Table1[[#This Row],[Low Tol]]="",Table1[[#This Row],[High Tol]]=""),"Needs Analysis",IF(Table1[[#This Row],[Ratio]]&gt;=4,"Not Significant",IF(Table1[[#This Row],[Ratio]]&gt;=2,"Semi-Significant","Significant")))</f>
        <v>Needs Analysis</v>
      </c>
      <c r="W2792" s="1">
        <f>IF(Table1[[#This Row],[Cal Type]]&lt;&gt;"ACCREDITED 17025 WITH UNCERTAINTIES",0,"")</f>
        <v>0</v>
      </c>
      <c r="X2792" s="1" t="str">
        <f>IF(Table1[[#This Row],[DUT Read]]="","N/A",Table1[[#This Row],[Std Error]]+Table1[[#This Row],[DUT Read]]+Table1[[#This Row],[DUT Ucty]])</f>
        <v>N/A</v>
      </c>
      <c r="Y2792" s="1" t="str">
        <f>IF(Table1[[#This Row],[Std Read]]="","N/A",Table1[[#This Row],[Std Read]]+Table1[[#This Row],[Std Ucty]])</f>
        <v>N/A</v>
      </c>
      <c r="Z27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2" s="1" t="str">
        <f>IF(Table1[[#This Row],[Spec Type]]="","N/A",Table1[[#This Row],[Spec Type]])</f>
        <v>±</v>
      </c>
      <c r="AC2792" s="1" t="str">
        <f>IF(Table1[[#This Row],[Spec Type2]]="N/A","N/A",IF(AND(Table1[[#This Row],[DUT Adj Read]]&gt;=Table1[[#This Row],[Low Tol]],Table1[[#This Row],[DUT Adj Read]]&lt;=Table1[[#This Row],[High Tol]]),"Pass","Fail"))</f>
        <v>Fail</v>
      </c>
      <c r="AD2792" s="1" t="str">
        <f>IF(AND(Table1[[#This Row],[Spec Type2]]="N/A",Table1[[#This Row],[DUT Adj Read]]="N/A",Table1[[#This Row],[Std Adj Read]]="N/A"),"N/A",IF(Table1[[#This Row],[DUT Adj Read]]="N/A",IF(Table1[[#This Row],[Std Adj Read]]&gt;Table1[[#This Row],[Low Tol]],"Pass","Fail"),IF(Table1[[#This Row],[DUT Adj Read]]&gt;Table1[[#This Row],[Low Tol]],"Pass","Fail")))</f>
        <v>Pass</v>
      </c>
      <c r="AE2792" s="1" t="str">
        <f>IF(AND(Table1[[#This Row],[Spec Type2]]="N/A",Table1[[#This Row],[DUT Adj Read]]="N/A",Table1[[#This Row],[Std Adj Read]]="N/A"),"N/A",IF(Table1[[#This Row],[DUT Adj Read]]="N/A",IF(Table1[[#This Row],[Std Adj Read]]&lt;Table1[[#This Row],[High Tol]],"Pass","Fail"),IF(Table1[[#This Row],[DUT Adj Read]]&lt;Table1[[#This Row],[High Tol]],"Pass","Fail")))</f>
        <v>Fail</v>
      </c>
      <c r="AF2792" s="1" t="str">
        <f>IF(AND(Table1[[#This Row],[Spec Type2]]="N/A",Table1[[#This Row],[DUT Adj Read]]="N/A",Table1[[#This Row],[Std Adj Read]]="N/A"),"N/A",IF(Table1[[#This Row],[DUT Adj Read]]="N/A",IF(Table1[[#This Row],[Std Adj Read]]&gt;=Table1[[#This Row],[Low Tol]],"Pass","Fail"),IF(Table1[[#This Row],[DUT Adj Read]]&gt;=Table1[[#This Row],[Low Tol]],"Pass","Fail")))</f>
        <v>Pass</v>
      </c>
      <c r="AG2792" s="1" t="str">
        <f>IF(AND(Table1[[#This Row],[Spec Type2]]="N/A",Table1[[#This Row],[DUT Adj Read]]="N/A",Table1[[#This Row],[Std Adj Read]]="N/A"),"N/A",IF(Table1[[#This Row],[DUT Adj Read]]="N/A",IF(Table1[[#This Row],[Std Adj Read]]&lt;=Table1[[#This Row],[High Tol]],"Pass","Fail"),IF(Table1[[#This Row],[DUT Adj Read]]&lt;=Table1[[#This Row],[High Tol]],"Pass","Fail")))</f>
        <v>Fail</v>
      </c>
      <c r="AH27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2" s="1" t="b">
        <v>0</v>
      </c>
      <c r="AN2792" s="1" t="b">
        <v>0</v>
      </c>
      <c r="AO2792" s="1" t="b">
        <v>0</v>
      </c>
    </row>
    <row r="2793" spans="1:41" x14ac:dyDescent="0.25">
      <c r="A2793" s="10"/>
      <c r="B2793" s="10"/>
      <c r="C2793" s="10"/>
      <c r="D2793" s="10"/>
      <c r="E2793" s="10"/>
      <c r="F2793" s="10"/>
      <c r="G2793" s="10"/>
      <c r="H2793" s="10"/>
      <c r="I2793" s="1" t="str">
        <f t="shared" si="129"/>
        <v/>
      </c>
      <c r="J2793" s="1" t="s">
        <v>35</v>
      </c>
      <c r="K2793" s="1" t="str">
        <f t="shared" si="130"/>
        <v/>
      </c>
      <c r="L2793" s="1" t="str">
        <f t="shared" si="131"/>
        <v/>
      </c>
      <c r="M2793" s="1">
        <f>IF(OR(Table1[[#This Row],[Std Nom]]="",Table1[[#This Row],[Std Read]]=""),0,Table1[[#This Row],[Std Nom]]-Table1[[#This Row],[Std Read]])</f>
        <v>0</v>
      </c>
      <c r="N2793" s="1">
        <f>IF(Calculations!$F$5="ACCREDITED 17025 WITH UNCERTAINTIES",$N$10,0)</f>
        <v>0</v>
      </c>
      <c r="O2793" s="1" t="str">
        <f>IFERROR(Table1[[#This Row],[Std Nom]]-(_xlfn.XLOOKUP(Table1[[#This Row],[Manufacturer]]&amp;" "&amp;Table1[[#This Row],[Model]],Table13[MFR &amp; MDL],Table13[Tolerance % CW ],"")/100*Table1[[#This Row],[Std Nom]]),"")</f>
        <v/>
      </c>
      <c r="P2793" s="1" t="str">
        <f>IFERROR(Table1[[#This Row],[Std Nom]]+(_xlfn.XLOOKUP(Table1[[#This Row],[Manufacturer]]&amp;" "&amp;Table1[[#This Row],[Model]],Table13[MFR &amp; MDL],Table13[Tolerance % CW ],"")/100*Table1[[#This Row],[Std Nom]]),"")</f>
        <v/>
      </c>
      <c r="Q2793" s="1" t="e">
        <f>Table1[[#This Row],[High Tol]]-Table1[[#This Row],[Low Tol]]</f>
        <v>#VALUE!</v>
      </c>
      <c r="R2793" s="1">
        <f>2*Table1[[#This Row],[Std Error]]</f>
        <v>0</v>
      </c>
      <c r="S2793" s="1" t="str">
        <f>IF(Table1[[#This Row],[High Tol]]="","N/A",IFERROR(ABS(Table1[[#This Row],[Tol Span]]/Table1[[#This Row],[Error Span]]),"N/A"))</f>
        <v>N/A</v>
      </c>
      <c r="T2793" s="1" t="str">
        <f>IF(OR(Table1[[#This Row],[Low Tol]]="",Table1[[#This Row],[High Tol]]=""),"Needs Analysis",IF(Table1[[#This Row],[Ratio]]&gt;=4,"Not Significant",IF(Table1[[#This Row],[Ratio]]&gt;=2,"Semi-Significant","Significant")))</f>
        <v>Needs Analysis</v>
      </c>
      <c r="W2793" s="1">
        <f>IF(Table1[[#This Row],[Cal Type]]&lt;&gt;"ACCREDITED 17025 WITH UNCERTAINTIES",0,"")</f>
        <v>0</v>
      </c>
      <c r="X2793" s="1" t="str">
        <f>IF(Table1[[#This Row],[DUT Read]]="","N/A",Table1[[#This Row],[Std Error]]+Table1[[#This Row],[DUT Read]]+Table1[[#This Row],[DUT Ucty]])</f>
        <v>N/A</v>
      </c>
      <c r="Y2793" s="1" t="str">
        <f>IF(Table1[[#This Row],[Std Read]]="","N/A",Table1[[#This Row],[Std Read]]+Table1[[#This Row],[Std Ucty]])</f>
        <v>N/A</v>
      </c>
      <c r="Z27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3" s="1" t="str">
        <f>IF(Table1[[#This Row],[Spec Type]]="","N/A",Table1[[#This Row],[Spec Type]])</f>
        <v>±</v>
      </c>
      <c r="AC2793" s="1" t="str">
        <f>IF(Table1[[#This Row],[Spec Type2]]="N/A","N/A",IF(AND(Table1[[#This Row],[DUT Adj Read]]&gt;=Table1[[#This Row],[Low Tol]],Table1[[#This Row],[DUT Adj Read]]&lt;=Table1[[#This Row],[High Tol]]),"Pass","Fail"))</f>
        <v>Fail</v>
      </c>
      <c r="AD2793" s="1" t="str">
        <f>IF(AND(Table1[[#This Row],[Spec Type2]]="N/A",Table1[[#This Row],[DUT Adj Read]]="N/A",Table1[[#This Row],[Std Adj Read]]="N/A"),"N/A",IF(Table1[[#This Row],[DUT Adj Read]]="N/A",IF(Table1[[#This Row],[Std Adj Read]]&gt;Table1[[#This Row],[Low Tol]],"Pass","Fail"),IF(Table1[[#This Row],[DUT Adj Read]]&gt;Table1[[#This Row],[Low Tol]],"Pass","Fail")))</f>
        <v>Pass</v>
      </c>
      <c r="AE2793" s="1" t="str">
        <f>IF(AND(Table1[[#This Row],[Spec Type2]]="N/A",Table1[[#This Row],[DUT Adj Read]]="N/A",Table1[[#This Row],[Std Adj Read]]="N/A"),"N/A",IF(Table1[[#This Row],[DUT Adj Read]]="N/A",IF(Table1[[#This Row],[Std Adj Read]]&lt;Table1[[#This Row],[High Tol]],"Pass","Fail"),IF(Table1[[#This Row],[DUT Adj Read]]&lt;Table1[[#This Row],[High Tol]],"Pass","Fail")))</f>
        <v>Fail</v>
      </c>
      <c r="AF2793" s="1" t="str">
        <f>IF(AND(Table1[[#This Row],[Spec Type2]]="N/A",Table1[[#This Row],[DUT Adj Read]]="N/A",Table1[[#This Row],[Std Adj Read]]="N/A"),"N/A",IF(Table1[[#This Row],[DUT Adj Read]]="N/A",IF(Table1[[#This Row],[Std Adj Read]]&gt;=Table1[[#This Row],[Low Tol]],"Pass","Fail"),IF(Table1[[#This Row],[DUT Adj Read]]&gt;=Table1[[#This Row],[Low Tol]],"Pass","Fail")))</f>
        <v>Pass</v>
      </c>
      <c r="AG2793" s="1" t="str">
        <f>IF(AND(Table1[[#This Row],[Spec Type2]]="N/A",Table1[[#This Row],[DUT Adj Read]]="N/A",Table1[[#This Row],[Std Adj Read]]="N/A"),"N/A",IF(Table1[[#This Row],[DUT Adj Read]]="N/A",IF(Table1[[#This Row],[Std Adj Read]]&lt;=Table1[[#This Row],[High Tol]],"Pass","Fail"),IF(Table1[[#This Row],[DUT Adj Read]]&lt;=Table1[[#This Row],[High Tol]],"Pass","Fail")))</f>
        <v>Fail</v>
      </c>
      <c r="AH27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3" s="1" t="b">
        <v>0</v>
      </c>
      <c r="AN2793" s="1" t="b">
        <v>0</v>
      </c>
      <c r="AO2793" s="1" t="b">
        <v>0</v>
      </c>
    </row>
    <row r="2794" spans="1:41" x14ac:dyDescent="0.25">
      <c r="A2794" s="10"/>
      <c r="B2794" s="10"/>
      <c r="C2794" s="10"/>
      <c r="D2794" s="10"/>
      <c r="E2794" s="10"/>
      <c r="F2794" s="10"/>
      <c r="G2794" s="10"/>
      <c r="H2794" s="10"/>
      <c r="I2794" s="1" t="str">
        <f t="shared" si="129"/>
        <v/>
      </c>
      <c r="J2794" s="1" t="s">
        <v>35</v>
      </c>
      <c r="K2794" s="1" t="str">
        <f t="shared" si="130"/>
        <v/>
      </c>
      <c r="L2794" s="1" t="str">
        <f t="shared" si="131"/>
        <v/>
      </c>
      <c r="M2794" s="1">
        <f>IF(OR(Table1[[#This Row],[Std Nom]]="",Table1[[#This Row],[Std Read]]=""),0,Table1[[#This Row],[Std Nom]]-Table1[[#This Row],[Std Read]])</f>
        <v>0</v>
      </c>
      <c r="N2794" s="1">
        <f>IF(Calculations!$F$5="ACCREDITED 17025 WITH UNCERTAINTIES",$N$10,0)</f>
        <v>0</v>
      </c>
      <c r="O2794" s="1" t="str">
        <f>IFERROR(Table1[[#This Row],[Std Nom]]-(_xlfn.XLOOKUP(Table1[[#This Row],[Manufacturer]]&amp;" "&amp;Table1[[#This Row],[Model]],Table13[MFR &amp; MDL],Table13[Tolerance % CW ],"")/100*Table1[[#This Row],[Std Nom]]),"")</f>
        <v/>
      </c>
      <c r="P2794" s="1" t="str">
        <f>IFERROR(Table1[[#This Row],[Std Nom]]+(_xlfn.XLOOKUP(Table1[[#This Row],[Manufacturer]]&amp;" "&amp;Table1[[#This Row],[Model]],Table13[MFR &amp; MDL],Table13[Tolerance % CW ],"")/100*Table1[[#This Row],[Std Nom]]),"")</f>
        <v/>
      </c>
      <c r="Q2794" s="1" t="e">
        <f>Table1[[#This Row],[High Tol]]-Table1[[#This Row],[Low Tol]]</f>
        <v>#VALUE!</v>
      </c>
      <c r="R2794" s="1">
        <f>2*Table1[[#This Row],[Std Error]]</f>
        <v>0</v>
      </c>
      <c r="S2794" s="1" t="str">
        <f>IF(Table1[[#This Row],[High Tol]]="","N/A",IFERROR(ABS(Table1[[#This Row],[Tol Span]]/Table1[[#This Row],[Error Span]]),"N/A"))</f>
        <v>N/A</v>
      </c>
      <c r="T2794" s="1" t="str">
        <f>IF(OR(Table1[[#This Row],[Low Tol]]="",Table1[[#This Row],[High Tol]]=""),"Needs Analysis",IF(Table1[[#This Row],[Ratio]]&gt;=4,"Not Significant",IF(Table1[[#This Row],[Ratio]]&gt;=2,"Semi-Significant","Significant")))</f>
        <v>Needs Analysis</v>
      </c>
      <c r="W2794" s="1">
        <f>IF(Table1[[#This Row],[Cal Type]]&lt;&gt;"ACCREDITED 17025 WITH UNCERTAINTIES",0,"")</f>
        <v>0</v>
      </c>
      <c r="X2794" s="1" t="str">
        <f>IF(Table1[[#This Row],[DUT Read]]="","N/A",Table1[[#This Row],[Std Error]]+Table1[[#This Row],[DUT Read]]+Table1[[#This Row],[DUT Ucty]])</f>
        <v>N/A</v>
      </c>
      <c r="Y2794" s="1" t="str">
        <f>IF(Table1[[#This Row],[Std Read]]="","N/A",Table1[[#This Row],[Std Read]]+Table1[[#This Row],[Std Ucty]])</f>
        <v>N/A</v>
      </c>
      <c r="Z27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4" s="1" t="str">
        <f>IF(Table1[[#This Row],[Spec Type]]="","N/A",Table1[[#This Row],[Spec Type]])</f>
        <v>±</v>
      </c>
      <c r="AC2794" s="1" t="str">
        <f>IF(Table1[[#This Row],[Spec Type2]]="N/A","N/A",IF(AND(Table1[[#This Row],[DUT Adj Read]]&gt;=Table1[[#This Row],[Low Tol]],Table1[[#This Row],[DUT Adj Read]]&lt;=Table1[[#This Row],[High Tol]]),"Pass","Fail"))</f>
        <v>Fail</v>
      </c>
      <c r="AD2794" s="1" t="str">
        <f>IF(AND(Table1[[#This Row],[Spec Type2]]="N/A",Table1[[#This Row],[DUT Adj Read]]="N/A",Table1[[#This Row],[Std Adj Read]]="N/A"),"N/A",IF(Table1[[#This Row],[DUT Adj Read]]="N/A",IF(Table1[[#This Row],[Std Adj Read]]&gt;Table1[[#This Row],[Low Tol]],"Pass","Fail"),IF(Table1[[#This Row],[DUT Adj Read]]&gt;Table1[[#This Row],[Low Tol]],"Pass","Fail")))</f>
        <v>Pass</v>
      </c>
      <c r="AE2794" s="1" t="str">
        <f>IF(AND(Table1[[#This Row],[Spec Type2]]="N/A",Table1[[#This Row],[DUT Adj Read]]="N/A",Table1[[#This Row],[Std Adj Read]]="N/A"),"N/A",IF(Table1[[#This Row],[DUT Adj Read]]="N/A",IF(Table1[[#This Row],[Std Adj Read]]&lt;Table1[[#This Row],[High Tol]],"Pass","Fail"),IF(Table1[[#This Row],[DUT Adj Read]]&lt;Table1[[#This Row],[High Tol]],"Pass","Fail")))</f>
        <v>Fail</v>
      </c>
      <c r="AF2794" s="1" t="str">
        <f>IF(AND(Table1[[#This Row],[Spec Type2]]="N/A",Table1[[#This Row],[DUT Adj Read]]="N/A",Table1[[#This Row],[Std Adj Read]]="N/A"),"N/A",IF(Table1[[#This Row],[DUT Adj Read]]="N/A",IF(Table1[[#This Row],[Std Adj Read]]&gt;=Table1[[#This Row],[Low Tol]],"Pass","Fail"),IF(Table1[[#This Row],[DUT Adj Read]]&gt;=Table1[[#This Row],[Low Tol]],"Pass","Fail")))</f>
        <v>Pass</v>
      </c>
      <c r="AG2794" s="1" t="str">
        <f>IF(AND(Table1[[#This Row],[Spec Type2]]="N/A",Table1[[#This Row],[DUT Adj Read]]="N/A",Table1[[#This Row],[Std Adj Read]]="N/A"),"N/A",IF(Table1[[#This Row],[DUT Adj Read]]="N/A",IF(Table1[[#This Row],[Std Adj Read]]&lt;=Table1[[#This Row],[High Tol]],"Pass","Fail"),IF(Table1[[#This Row],[DUT Adj Read]]&lt;=Table1[[#This Row],[High Tol]],"Pass","Fail")))</f>
        <v>Fail</v>
      </c>
      <c r="AH27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4" s="1" t="b">
        <v>0</v>
      </c>
      <c r="AN2794" s="1" t="b">
        <v>0</v>
      </c>
      <c r="AO2794" s="1" t="b">
        <v>0</v>
      </c>
    </row>
    <row r="2795" spans="1:41" x14ac:dyDescent="0.25">
      <c r="A2795" s="10"/>
      <c r="B2795" s="10"/>
      <c r="C2795" s="10"/>
      <c r="D2795" s="10"/>
      <c r="E2795" s="10"/>
      <c r="F2795" s="10"/>
      <c r="G2795" s="10"/>
      <c r="H2795" s="10"/>
      <c r="I2795" s="1" t="str">
        <f t="shared" si="129"/>
        <v/>
      </c>
      <c r="J2795" s="1" t="s">
        <v>35</v>
      </c>
      <c r="K2795" s="1" t="str">
        <f t="shared" si="130"/>
        <v/>
      </c>
      <c r="L2795" s="1" t="str">
        <f t="shared" si="131"/>
        <v/>
      </c>
      <c r="M2795" s="1">
        <f>IF(OR(Table1[[#This Row],[Std Nom]]="",Table1[[#This Row],[Std Read]]=""),0,Table1[[#This Row],[Std Nom]]-Table1[[#This Row],[Std Read]])</f>
        <v>0</v>
      </c>
      <c r="N2795" s="1">
        <f>IF(Calculations!$F$5="ACCREDITED 17025 WITH UNCERTAINTIES",$N$10,0)</f>
        <v>0</v>
      </c>
      <c r="O2795" s="1" t="str">
        <f>IFERROR(Table1[[#This Row],[Std Nom]]-(_xlfn.XLOOKUP(Table1[[#This Row],[Manufacturer]]&amp;" "&amp;Table1[[#This Row],[Model]],Table13[MFR &amp; MDL],Table13[Tolerance % CW ],"")/100*Table1[[#This Row],[Std Nom]]),"")</f>
        <v/>
      </c>
      <c r="P2795" s="1" t="str">
        <f>IFERROR(Table1[[#This Row],[Std Nom]]+(_xlfn.XLOOKUP(Table1[[#This Row],[Manufacturer]]&amp;" "&amp;Table1[[#This Row],[Model]],Table13[MFR &amp; MDL],Table13[Tolerance % CW ],"")/100*Table1[[#This Row],[Std Nom]]),"")</f>
        <v/>
      </c>
      <c r="Q2795" s="1" t="e">
        <f>Table1[[#This Row],[High Tol]]-Table1[[#This Row],[Low Tol]]</f>
        <v>#VALUE!</v>
      </c>
      <c r="R2795" s="1">
        <f>2*Table1[[#This Row],[Std Error]]</f>
        <v>0</v>
      </c>
      <c r="S2795" s="1" t="str">
        <f>IF(Table1[[#This Row],[High Tol]]="","N/A",IFERROR(ABS(Table1[[#This Row],[Tol Span]]/Table1[[#This Row],[Error Span]]),"N/A"))</f>
        <v>N/A</v>
      </c>
      <c r="T2795" s="1" t="str">
        <f>IF(OR(Table1[[#This Row],[Low Tol]]="",Table1[[#This Row],[High Tol]]=""),"Needs Analysis",IF(Table1[[#This Row],[Ratio]]&gt;=4,"Not Significant",IF(Table1[[#This Row],[Ratio]]&gt;=2,"Semi-Significant","Significant")))</f>
        <v>Needs Analysis</v>
      </c>
      <c r="W2795" s="1">
        <f>IF(Table1[[#This Row],[Cal Type]]&lt;&gt;"ACCREDITED 17025 WITH UNCERTAINTIES",0,"")</f>
        <v>0</v>
      </c>
      <c r="X2795" s="1" t="str">
        <f>IF(Table1[[#This Row],[DUT Read]]="","N/A",Table1[[#This Row],[Std Error]]+Table1[[#This Row],[DUT Read]]+Table1[[#This Row],[DUT Ucty]])</f>
        <v>N/A</v>
      </c>
      <c r="Y2795" s="1" t="str">
        <f>IF(Table1[[#This Row],[Std Read]]="","N/A",Table1[[#This Row],[Std Read]]+Table1[[#This Row],[Std Ucty]])</f>
        <v>N/A</v>
      </c>
      <c r="Z27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5" s="1" t="str">
        <f>IF(Table1[[#This Row],[Spec Type]]="","N/A",Table1[[#This Row],[Spec Type]])</f>
        <v>±</v>
      </c>
      <c r="AC2795" s="1" t="str">
        <f>IF(Table1[[#This Row],[Spec Type2]]="N/A","N/A",IF(AND(Table1[[#This Row],[DUT Adj Read]]&gt;=Table1[[#This Row],[Low Tol]],Table1[[#This Row],[DUT Adj Read]]&lt;=Table1[[#This Row],[High Tol]]),"Pass","Fail"))</f>
        <v>Fail</v>
      </c>
      <c r="AD2795" s="1" t="str">
        <f>IF(AND(Table1[[#This Row],[Spec Type2]]="N/A",Table1[[#This Row],[DUT Adj Read]]="N/A",Table1[[#This Row],[Std Adj Read]]="N/A"),"N/A",IF(Table1[[#This Row],[DUT Adj Read]]="N/A",IF(Table1[[#This Row],[Std Adj Read]]&gt;Table1[[#This Row],[Low Tol]],"Pass","Fail"),IF(Table1[[#This Row],[DUT Adj Read]]&gt;Table1[[#This Row],[Low Tol]],"Pass","Fail")))</f>
        <v>Pass</v>
      </c>
      <c r="AE2795" s="1" t="str">
        <f>IF(AND(Table1[[#This Row],[Spec Type2]]="N/A",Table1[[#This Row],[DUT Adj Read]]="N/A",Table1[[#This Row],[Std Adj Read]]="N/A"),"N/A",IF(Table1[[#This Row],[DUT Adj Read]]="N/A",IF(Table1[[#This Row],[Std Adj Read]]&lt;Table1[[#This Row],[High Tol]],"Pass","Fail"),IF(Table1[[#This Row],[DUT Adj Read]]&lt;Table1[[#This Row],[High Tol]],"Pass","Fail")))</f>
        <v>Fail</v>
      </c>
      <c r="AF2795" s="1" t="str">
        <f>IF(AND(Table1[[#This Row],[Spec Type2]]="N/A",Table1[[#This Row],[DUT Adj Read]]="N/A",Table1[[#This Row],[Std Adj Read]]="N/A"),"N/A",IF(Table1[[#This Row],[DUT Adj Read]]="N/A",IF(Table1[[#This Row],[Std Adj Read]]&gt;=Table1[[#This Row],[Low Tol]],"Pass","Fail"),IF(Table1[[#This Row],[DUT Adj Read]]&gt;=Table1[[#This Row],[Low Tol]],"Pass","Fail")))</f>
        <v>Pass</v>
      </c>
      <c r="AG2795" s="1" t="str">
        <f>IF(AND(Table1[[#This Row],[Spec Type2]]="N/A",Table1[[#This Row],[DUT Adj Read]]="N/A",Table1[[#This Row],[Std Adj Read]]="N/A"),"N/A",IF(Table1[[#This Row],[DUT Adj Read]]="N/A",IF(Table1[[#This Row],[Std Adj Read]]&lt;=Table1[[#This Row],[High Tol]],"Pass","Fail"),IF(Table1[[#This Row],[DUT Adj Read]]&lt;=Table1[[#This Row],[High Tol]],"Pass","Fail")))</f>
        <v>Fail</v>
      </c>
      <c r="AH27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5" s="1" t="b">
        <v>0</v>
      </c>
      <c r="AN2795" s="1" t="b">
        <v>0</v>
      </c>
      <c r="AO2795" s="1" t="b">
        <v>0</v>
      </c>
    </row>
    <row r="2796" spans="1:41" x14ac:dyDescent="0.25">
      <c r="A2796" s="10"/>
      <c r="B2796" s="10"/>
      <c r="C2796" s="10"/>
      <c r="D2796" s="10"/>
      <c r="E2796" s="10"/>
      <c r="F2796" s="10"/>
      <c r="G2796" s="10"/>
      <c r="H2796" s="10"/>
      <c r="I2796" s="1" t="str">
        <f t="shared" si="129"/>
        <v/>
      </c>
      <c r="J2796" s="1" t="s">
        <v>35</v>
      </c>
      <c r="K2796" s="1" t="str">
        <f t="shared" si="130"/>
        <v/>
      </c>
      <c r="L2796" s="1" t="str">
        <f t="shared" si="131"/>
        <v/>
      </c>
      <c r="M2796" s="1">
        <f>IF(OR(Table1[[#This Row],[Std Nom]]="",Table1[[#This Row],[Std Read]]=""),0,Table1[[#This Row],[Std Nom]]-Table1[[#This Row],[Std Read]])</f>
        <v>0</v>
      </c>
      <c r="N2796" s="1">
        <f>IF(Calculations!$F$5="ACCREDITED 17025 WITH UNCERTAINTIES",$N$10,0)</f>
        <v>0</v>
      </c>
      <c r="O2796" s="1" t="str">
        <f>IFERROR(Table1[[#This Row],[Std Nom]]-(_xlfn.XLOOKUP(Table1[[#This Row],[Manufacturer]]&amp;" "&amp;Table1[[#This Row],[Model]],Table13[MFR &amp; MDL],Table13[Tolerance % CW ],"")/100*Table1[[#This Row],[Std Nom]]),"")</f>
        <v/>
      </c>
      <c r="P2796" s="1" t="str">
        <f>IFERROR(Table1[[#This Row],[Std Nom]]+(_xlfn.XLOOKUP(Table1[[#This Row],[Manufacturer]]&amp;" "&amp;Table1[[#This Row],[Model]],Table13[MFR &amp; MDL],Table13[Tolerance % CW ],"")/100*Table1[[#This Row],[Std Nom]]),"")</f>
        <v/>
      </c>
      <c r="Q2796" s="1" t="e">
        <f>Table1[[#This Row],[High Tol]]-Table1[[#This Row],[Low Tol]]</f>
        <v>#VALUE!</v>
      </c>
      <c r="R2796" s="1">
        <f>2*Table1[[#This Row],[Std Error]]</f>
        <v>0</v>
      </c>
      <c r="S2796" s="1" t="str">
        <f>IF(Table1[[#This Row],[High Tol]]="","N/A",IFERROR(ABS(Table1[[#This Row],[Tol Span]]/Table1[[#This Row],[Error Span]]),"N/A"))</f>
        <v>N/A</v>
      </c>
      <c r="T2796" s="1" t="str">
        <f>IF(OR(Table1[[#This Row],[Low Tol]]="",Table1[[#This Row],[High Tol]]=""),"Needs Analysis",IF(Table1[[#This Row],[Ratio]]&gt;=4,"Not Significant",IF(Table1[[#This Row],[Ratio]]&gt;=2,"Semi-Significant","Significant")))</f>
        <v>Needs Analysis</v>
      </c>
      <c r="W2796" s="1">
        <f>IF(Table1[[#This Row],[Cal Type]]&lt;&gt;"ACCREDITED 17025 WITH UNCERTAINTIES",0,"")</f>
        <v>0</v>
      </c>
      <c r="X2796" s="1" t="str">
        <f>IF(Table1[[#This Row],[DUT Read]]="","N/A",Table1[[#This Row],[Std Error]]+Table1[[#This Row],[DUT Read]]+Table1[[#This Row],[DUT Ucty]])</f>
        <v>N/A</v>
      </c>
      <c r="Y2796" s="1" t="str">
        <f>IF(Table1[[#This Row],[Std Read]]="","N/A",Table1[[#This Row],[Std Read]]+Table1[[#This Row],[Std Ucty]])</f>
        <v>N/A</v>
      </c>
      <c r="Z27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6" s="1" t="str">
        <f>IF(Table1[[#This Row],[Spec Type]]="","N/A",Table1[[#This Row],[Spec Type]])</f>
        <v>±</v>
      </c>
      <c r="AC2796" s="1" t="str">
        <f>IF(Table1[[#This Row],[Spec Type2]]="N/A","N/A",IF(AND(Table1[[#This Row],[DUT Adj Read]]&gt;=Table1[[#This Row],[Low Tol]],Table1[[#This Row],[DUT Adj Read]]&lt;=Table1[[#This Row],[High Tol]]),"Pass","Fail"))</f>
        <v>Fail</v>
      </c>
      <c r="AD2796" s="1" t="str">
        <f>IF(AND(Table1[[#This Row],[Spec Type2]]="N/A",Table1[[#This Row],[DUT Adj Read]]="N/A",Table1[[#This Row],[Std Adj Read]]="N/A"),"N/A",IF(Table1[[#This Row],[DUT Adj Read]]="N/A",IF(Table1[[#This Row],[Std Adj Read]]&gt;Table1[[#This Row],[Low Tol]],"Pass","Fail"),IF(Table1[[#This Row],[DUT Adj Read]]&gt;Table1[[#This Row],[Low Tol]],"Pass","Fail")))</f>
        <v>Pass</v>
      </c>
      <c r="AE2796" s="1" t="str">
        <f>IF(AND(Table1[[#This Row],[Spec Type2]]="N/A",Table1[[#This Row],[DUT Adj Read]]="N/A",Table1[[#This Row],[Std Adj Read]]="N/A"),"N/A",IF(Table1[[#This Row],[DUT Adj Read]]="N/A",IF(Table1[[#This Row],[Std Adj Read]]&lt;Table1[[#This Row],[High Tol]],"Pass","Fail"),IF(Table1[[#This Row],[DUT Adj Read]]&lt;Table1[[#This Row],[High Tol]],"Pass","Fail")))</f>
        <v>Fail</v>
      </c>
      <c r="AF2796" s="1" t="str">
        <f>IF(AND(Table1[[#This Row],[Spec Type2]]="N/A",Table1[[#This Row],[DUT Adj Read]]="N/A",Table1[[#This Row],[Std Adj Read]]="N/A"),"N/A",IF(Table1[[#This Row],[DUT Adj Read]]="N/A",IF(Table1[[#This Row],[Std Adj Read]]&gt;=Table1[[#This Row],[Low Tol]],"Pass","Fail"),IF(Table1[[#This Row],[DUT Adj Read]]&gt;=Table1[[#This Row],[Low Tol]],"Pass","Fail")))</f>
        <v>Pass</v>
      </c>
      <c r="AG2796" s="1" t="str">
        <f>IF(AND(Table1[[#This Row],[Spec Type2]]="N/A",Table1[[#This Row],[DUT Adj Read]]="N/A",Table1[[#This Row],[Std Adj Read]]="N/A"),"N/A",IF(Table1[[#This Row],[DUT Adj Read]]="N/A",IF(Table1[[#This Row],[Std Adj Read]]&lt;=Table1[[#This Row],[High Tol]],"Pass","Fail"),IF(Table1[[#This Row],[DUT Adj Read]]&lt;=Table1[[#This Row],[High Tol]],"Pass","Fail")))</f>
        <v>Fail</v>
      </c>
      <c r="AH27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6" s="1" t="b">
        <v>0</v>
      </c>
      <c r="AN2796" s="1" t="b">
        <v>0</v>
      </c>
      <c r="AO2796" s="1" t="b">
        <v>0</v>
      </c>
    </row>
    <row r="2797" spans="1:41" x14ac:dyDescent="0.25">
      <c r="A2797" s="10"/>
      <c r="B2797" s="10"/>
      <c r="C2797" s="10"/>
      <c r="D2797" s="10"/>
      <c r="E2797" s="10"/>
      <c r="F2797" s="10"/>
      <c r="G2797" s="10"/>
      <c r="H2797" s="10"/>
      <c r="I2797" s="1" t="str">
        <f t="shared" si="129"/>
        <v/>
      </c>
      <c r="J2797" s="1" t="s">
        <v>35</v>
      </c>
      <c r="K2797" s="1" t="str">
        <f t="shared" si="130"/>
        <v/>
      </c>
      <c r="L2797" s="1" t="str">
        <f t="shared" si="131"/>
        <v/>
      </c>
      <c r="M2797" s="1">
        <f>IF(OR(Table1[[#This Row],[Std Nom]]="",Table1[[#This Row],[Std Read]]=""),0,Table1[[#This Row],[Std Nom]]-Table1[[#This Row],[Std Read]])</f>
        <v>0</v>
      </c>
      <c r="N2797" s="1">
        <f>IF(Calculations!$F$5="ACCREDITED 17025 WITH UNCERTAINTIES",$N$10,0)</f>
        <v>0</v>
      </c>
      <c r="O2797" s="1" t="str">
        <f>IFERROR(Table1[[#This Row],[Std Nom]]-(_xlfn.XLOOKUP(Table1[[#This Row],[Manufacturer]]&amp;" "&amp;Table1[[#This Row],[Model]],Table13[MFR &amp; MDL],Table13[Tolerance % CW ],"")/100*Table1[[#This Row],[Std Nom]]),"")</f>
        <v/>
      </c>
      <c r="P2797" s="1" t="str">
        <f>IFERROR(Table1[[#This Row],[Std Nom]]+(_xlfn.XLOOKUP(Table1[[#This Row],[Manufacturer]]&amp;" "&amp;Table1[[#This Row],[Model]],Table13[MFR &amp; MDL],Table13[Tolerance % CW ],"")/100*Table1[[#This Row],[Std Nom]]),"")</f>
        <v/>
      </c>
      <c r="Q2797" s="1" t="e">
        <f>Table1[[#This Row],[High Tol]]-Table1[[#This Row],[Low Tol]]</f>
        <v>#VALUE!</v>
      </c>
      <c r="R2797" s="1">
        <f>2*Table1[[#This Row],[Std Error]]</f>
        <v>0</v>
      </c>
      <c r="S2797" s="1" t="str">
        <f>IF(Table1[[#This Row],[High Tol]]="","N/A",IFERROR(ABS(Table1[[#This Row],[Tol Span]]/Table1[[#This Row],[Error Span]]),"N/A"))</f>
        <v>N/A</v>
      </c>
      <c r="T2797" s="1" t="str">
        <f>IF(OR(Table1[[#This Row],[Low Tol]]="",Table1[[#This Row],[High Tol]]=""),"Needs Analysis",IF(Table1[[#This Row],[Ratio]]&gt;=4,"Not Significant",IF(Table1[[#This Row],[Ratio]]&gt;=2,"Semi-Significant","Significant")))</f>
        <v>Needs Analysis</v>
      </c>
      <c r="W2797" s="1">
        <f>IF(Table1[[#This Row],[Cal Type]]&lt;&gt;"ACCREDITED 17025 WITH UNCERTAINTIES",0,"")</f>
        <v>0</v>
      </c>
      <c r="X2797" s="1" t="str">
        <f>IF(Table1[[#This Row],[DUT Read]]="","N/A",Table1[[#This Row],[Std Error]]+Table1[[#This Row],[DUT Read]]+Table1[[#This Row],[DUT Ucty]])</f>
        <v>N/A</v>
      </c>
      <c r="Y2797" s="1" t="str">
        <f>IF(Table1[[#This Row],[Std Read]]="","N/A",Table1[[#This Row],[Std Read]]+Table1[[#This Row],[Std Ucty]])</f>
        <v>N/A</v>
      </c>
      <c r="Z27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7" s="1" t="str">
        <f>IF(Table1[[#This Row],[Spec Type]]="","N/A",Table1[[#This Row],[Spec Type]])</f>
        <v>±</v>
      </c>
      <c r="AC2797" s="1" t="str">
        <f>IF(Table1[[#This Row],[Spec Type2]]="N/A","N/A",IF(AND(Table1[[#This Row],[DUT Adj Read]]&gt;=Table1[[#This Row],[Low Tol]],Table1[[#This Row],[DUT Adj Read]]&lt;=Table1[[#This Row],[High Tol]]),"Pass","Fail"))</f>
        <v>Fail</v>
      </c>
      <c r="AD2797" s="1" t="str">
        <f>IF(AND(Table1[[#This Row],[Spec Type2]]="N/A",Table1[[#This Row],[DUT Adj Read]]="N/A",Table1[[#This Row],[Std Adj Read]]="N/A"),"N/A",IF(Table1[[#This Row],[DUT Adj Read]]="N/A",IF(Table1[[#This Row],[Std Adj Read]]&gt;Table1[[#This Row],[Low Tol]],"Pass","Fail"),IF(Table1[[#This Row],[DUT Adj Read]]&gt;Table1[[#This Row],[Low Tol]],"Pass","Fail")))</f>
        <v>Pass</v>
      </c>
      <c r="AE2797" s="1" t="str">
        <f>IF(AND(Table1[[#This Row],[Spec Type2]]="N/A",Table1[[#This Row],[DUT Adj Read]]="N/A",Table1[[#This Row],[Std Adj Read]]="N/A"),"N/A",IF(Table1[[#This Row],[DUT Adj Read]]="N/A",IF(Table1[[#This Row],[Std Adj Read]]&lt;Table1[[#This Row],[High Tol]],"Pass","Fail"),IF(Table1[[#This Row],[DUT Adj Read]]&lt;Table1[[#This Row],[High Tol]],"Pass","Fail")))</f>
        <v>Fail</v>
      </c>
      <c r="AF2797" s="1" t="str">
        <f>IF(AND(Table1[[#This Row],[Spec Type2]]="N/A",Table1[[#This Row],[DUT Adj Read]]="N/A",Table1[[#This Row],[Std Adj Read]]="N/A"),"N/A",IF(Table1[[#This Row],[DUT Adj Read]]="N/A",IF(Table1[[#This Row],[Std Adj Read]]&gt;=Table1[[#This Row],[Low Tol]],"Pass","Fail"),IF(Table1[[#This Row],[DUT Adj Read]]&gt;=Table1[[#This Row],[Low Tol]],"Pass","Fail")))</f>
        <v>Pass</v>
      </c>
      <c r="AG2797" s="1" t="str">
        <f>IF(AND(Table1[[#This Row],[Spec Type2]]="N/A",Table1[[#This Row],[DUT Adj Read]]="N/A",Table1[[#This Row],[Std Adj Read]]="N/A"),"N/A",IF(Table1[[#This Row],[DUT Adj Read]]="N/A",IF(Table1[[#This Row],[Std Adj Read]]&lt;=Table1[[#This Row],[High Tol]],"Pass","Fail"),IF(Table1[[#This Row],[DUT Adj Read]]&lt;=Table1[[#This Row],[High Tol]],"Pass","Fail")))</f>
        <v>Fail</v>
      </c>
      <c r="AH27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7" s="1" t="b">
        <v>0</v>
      </c>
      <c r="AN2797" s="1" t="b">
        <v>0</v>
      </c>
      <c r="AO2797" s="1" t="b">
        <v>0</v>
      </c>
    </row>
    <row r="2798" spans="1:41" x14ac:dyDescent="0.25">
      <c r="A2798" s="10"/>
      <c r="B2798" s="10"/>
      <c r="C2798" s="10"/>
      <c r="D2798" s="10"/>
      <c r="E2798" s="10"/>
      <c r="F2798" s="10"/>
      <c r="G2798" s="10"/>
      <c r="H2798" s="10"/>
      <c r="I2798" s="1" t="str">
        <f t="shared" si="129"/>
        <v/>
      </c>
      <c r="J2798" s="1" t="s">
        <v>35</v>
      </c>
      <c r="K2798" s="1" t="str">
        <f t="shared" si="130"/>
        <v/>
      </c>
      <c r="L2798" s="1" t="str">
        <f t="shared" si="131"/>
        <v/>
      </c>
      <c r="M2798" s="1">
        <f>IF(OR(Table1[[#This Row],[Std Nom]]="",Table1[[#This Row],[Std Read]]=""),0,Table1[[#This Row],[Std Nom]]-Table1[[#This Row],[Std Read]])</f>
        <v>0</v>
      </c>
      <c r="N2798" s="1">
        <f>IF(Calculations!$F$5="ACCREDITED 17025 WITH UNCERTAINTIES",$N$10,0)</f>
        <v>0</v>
      </c>
      <c r="O2798" s="1" t="str">
        <f>IFERROR(Table1[[#This Row],[Std Nom]]-(_xlfn.XLOOKUP(Table1[[#This Row],[Manufacturer]]&amp;" "&amp;Table1[[#This Row],[Model]],Table13[MFR &amp; MDL],Table13[Tolerance % CW ],"")/100*Table1[[#This Row],[Std Nom]]),"")</f>
        <v/>
      </c>
      <c r="P2798" s="1" t="str">
        <f>IFERROR(Table1[[#This Row],[Std Nom]]+(_xlfn.XLOOKUP(Table1[[#This Row],[Manufacturer]]&amp;" "&amp;Table1[[#This Row],[Model]],Table13[MFR &amp; MDL],Table13[Tolerance % CW ],"")/100*Table1[[#This Row],[Std Nom]]),"")</f>
        <v/>
      </c>
      <c r="Q2798" s="1" t="e">
        <f>Table1[[#This Row],[High Tol]]-Table1[[#This Row],[Low Tol]]</f>
        <v>#VALUE!</v>
      </c>
      <c r="R2798" s="1">
        <f>2*Table1[[#This Row],[Std Error]]</f>
        <v>0</v>
      </c>
      <c r="S2798" s="1" t="str">
        <f>IF(Table1[[#This Row],[High Tol]]="","N/A",IFERROR(ABS(Table1[[#This Row],[Tol Span]]/Table1[[#This Row],[Error Span]]),"N/A"))</f>
        <v>N/A</v>
      </c>
      <c r="T2798" s="1" t="str">
        <f>IF(OR(Table1[[#This Row],[Low Tol]]="",Table1[[#This Row],[High Tol]]=""),"Needs Analysis",IF(Table1[[#This Row],[Ratio]]&gt;=4,"Not Significant",IF(Table1[[#This Row],[Ratio]]&gt;=2,"Semi-Significant","Significant")))</f>
        <v>Needs Analysis</v>
      </c>
      <c r="W2798" s="1">
        <f>IF(Table1[[#This Row],[Cal Type]]&lt;&gt;"ACCREDITED 17025 WITH UNCERTAINTIES",0,"")</f>
        <v>0</v>
      </c>
      <c r="X2798" s="1" t="str">
        <f>IF(Table1[[#This Row],[DUT Read]]="","N/A",Table1[[#This Row],[Std Error]]+Table1[[#This Row],[DUT Read]]+Table1[[#This Row],[DUT Ucty]])</f>
        <v>N/A</v>
      </c>
      <c r="Y2798" s="1" t="str">
        <f>IF(Table1[[#This Row],[Std Read]]="","N/A",Table1[[#This Row],[Std Read]]+Table1[[#This Row],[Std Ucty]])</f>
        <v>N/A</v>
      </c>
      <c r="Z27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8" s="1" t="str">
        <f>IF(Table1[[#This Row],[Spec Type]]="","N/A",Table1[[#This Row],[Spec Type]])</f>
        <v>±</v>
      </c>
      <c r="AC2798" s="1" t="str">
        <f>IF(Table1[[#This Row],[Spec Type2]]="N/A","N/A",IF(AND(Table1[[#This Row],[DUT Adj Read]]&gt;=Table1[[#This Row],[Low Tol]],Table1[[#This Row],[DUT Adj Read]]&lt;=Table1[[#This Row],[High Tol]]),"Pass","Fail"))</f>
        <v>Fail</v>
      </c>
      <c r="AD2798" s="1" t="str">
        <f>IF(AND(Table1[[#This Row],[Spec Type2]]="N/A",Table1[[#This Row],[DUT Adj Read]]="N/A",Table1[[#This Row],[Std Adj Read]]="N/A"),"N/A",IF(Table1[[#This Row],[DUT Adj Read]]="N/A",IF(Table1[[#This Row],[Std Adj Read]]&gt;Table1[[#This Row],[Low Tol]],"Pass","Fail"),IF(Table1[[#This Row],[DUT Adj Read]]&gt;Table1[[#This Row],[Low Tol]],"Pass","Fail")))</f>
        <v>Pass</v>
      </c>
      <c r="AE2798" s="1" t="str">
        <f>IF(AND(Table1[[#This Row],[Spec Type2]]="N/A",Table1[[#This Row],[DUT Adj Read]]="N/A",Table1[[#This Row],[Std Adj Read]]="N/A"),"N/A",IF(Table1[[#This Row],[DUT Adj Read]]="N/A",IF(Table1[[#This Row],[Std Adj Read]]&lt;Table1[[#This Row],[High Tol]],"Pass","Fail"),IF(Table1[[#This Row],[DUT Adj Read]]&lt;Table1[[#This Row],[High Tol]],"Pass","Fail")))</f>
        <v>Fail</v>
      </c>
      <c r="AF2798" s="1" t="str">
        <f>IF(AND(Table1[[#This Row],[Spec Type2]]="N/A",Table1[[#This Row],[DUT Adj Read]]="N/A",Table1[[#This Row],[Std Adj Read]]="N/A"),"N/A",IF(Table1[[#This Row],[DUT Adj Read]]="N/A",IF(Table1[[#This Row],[Std Adj Read]]&gt;=Table1[[#This Row],[Low Tol]],"Pass","Fail"),IF(Table1[[#This Row],[DUT Adj Read]]&gt;=Table1[[#This Row],[Low Tol]],"Pass","Fail")))</f>
        <v>Pass</v>
      </c>
      <c r="AG2798" s="1" t="str">
        <f>IF(AND(Table1[[#This Row],[Spec Type2]]="N/A",Table1[[#This Row],[DUT Adj Read]]="N/A",Table1[[#This Row],[Std Adj Read]]="N/A"),"N/A",IF(Table1[[#This Row],[DUT Adj Read]]="N/A",IF(Table1[[#This Row],[Std Adj Read]]&lt;=Table1[[#This Row],[High Tol]],"Pass","Fail"),IF(Table1[[#This Row],[DUT Adj Read]]&lt;=Table1[[#This Row],[High Tol]],"Pass","Fail")))</f>
        <v>Fail</v>
      </c>
      <c r="AH27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8" s="1" t="b">
        <v>0</v>
      </c>
      <c r="AN2798" s="1" t="b">
        <v>0</v>
      </c>
      <c r="AO2798" s="1" t="b">
        <v>0</v>
      </c>
    </row>
    <row r="2799" spans="1:41" x14ac:dyDescent="0.25">
      <c r="A2799" s="10"/>
      <c r="B2799" s="10"/>
      <c r="C2799" s="10"/>
      <c r="D2799" s="10"/>
      <c r="E2799" s="10"/>
      <c r="F2799" s="10"/>
      <c r="G2799" s="10"/>
      <c r="H2799" s="10"/>
      <c r="I2799" s="1" t="str">
        <f t="shared" si="129"/>
        <v/>
      </c>
      <c r="J2799" s="1" t="s">
        <v>35</v>
      </c>
      <c r="K2799" s="1" t="str">
        <f t="shared" si="130"/>
        <v/>
      </c>
      <c r="L2799" s="1" t="str">
        <f t="shared" si="131"/>
        <v/>
      </c>
      <c r="M2799" s="1">
        <f>IF(OR(Table1[[#This Row],[Std Nom]]="",Table1[[#This Row],[Std Read]]=""),0,Table1[[#This Row],[Std Nom]]-Table1[[#This Row],[Std Read]])</f>
        <v>0</v>
      </c>
      <c r="N2799" s="1">
        <f>IF(Calculations!$F$5="ACCREDITED 17025 WITH UNCERTAINTIES",$N$10,0)</f>
        <v>0</v>
      </c>
      <c r="O2799" s="1" t="str">
        <f>IFERROR(Table1[[#This Row],[Std Nom]]-(_xlfn.XLOOKUP(Table1[[#This Row],[Manufacturer]]&amp;" "&amp;Table1[[#This Row],[Model]],Table13[MFR &amp; MDL],Table13[Tolerance % CW ],"")/100*Table1[[#This Row],[Std Nom]]),"")</f>
        <v/>
      </c>
      <c r="P2799" s="1" t="str">
        <f>IFERROR(Table1[[#This Row],[Std Nom]]+(_xlfn.XLOOKUP(Table1[[#This Row],[Manufacturer]]&amp;" "&amp;Table1[[#This Row],[Model]],Table13[MFR &amp; MDL],Table13[Tolerance % CW ],"")/100*Table1[[#This Row],[Std Nom]]),"")</f>
        <v/>
      </c>
      <c r="Q2799" s="1" t="e">
        <f>Table1[[#This Row],[High Tol]]-Table1[[#This Row],[Low Tol]]</f>
        <v>#VALUE!</v>
      </c>
      <c r="R2799" s="1">
        <f>2*Table1[[#This Row],[Std Error]]</f>
        <v>0</v>
      </c>
      <c r="S2799" s="1" t="str">
        <f>IF(Table1[[#This Row],[High Tol]]="","N/A",IFERROR(ABS(Table1[[#This Row],[Tol Span]]/Table1[[#This Row],[Error Span]]),"N/A"))</f>
        <v>N/A</v>
      </c>
      <c r="T2799" s="1" t="str">
        <f>IF(OR(Table1[[#This Row],[Low Tol]]="",Table1[[#This Row],[High Tol]]=""),"Needs Analysis",IF(Table1[[#This Row],[Ratio]]&gt;=4,"Not Significant",IF(Table1[[#This Row],[Ratio]]&gt;=2,"Semi-Significant","Significant")))</f>
        <v>Needs Analysis</v>
      </c>
      <c r="W2799" s="1">
        <f>IF(Table1[[#This Row],[Cal Type]]&lt;&gt;"ACCREDITED 17025 WITH UNCERTAINTIES",0,"")</f>
        <v>0</v>
      </c>
      <c r="X2799" s="1" t="str">
        <f>IF(Table1[[#This Row],[DUT Read]]="","N/A",Table1[[#This Row],[Std Error]]+Table1[[#This Row],[DUT Read]]+Table1[[#This Row],[DUT Ucty]])</f>
        <v>N/A</v>
      </c>
      <c r="Y2799" s="1" t="str">
        <f>IF(Table1[[#This Row],[Std Read]]="","N/A",Table1[[#This Row],[Std Read]]+Table1[[#This Row],[Std Ucty]])</f>
        <v>N/A</v>
      </c>
      <c r="Z27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9" s="1" t="str">
        <f>IF(Table1[[#This Row],[Spec Type]]="","N/A",Table1[[#This Row],[Spec Type]])</f>
        <v>±</v>
      </c>
      <c r="AC2799" s="1" t="str">
        <f>IF(Table1[[#This Row],[Spec Type2]]="N/A","N/A",IF(AND(Table1[[#This Row],[DUT Adj Read]]&gt;=Table1[[#This Row],[Low Tol]],Table1[[#This Row],[DUT Adj Read]]&lt;=Table1[[#This Row],[High Tol]]),"Pass","Fail"))</f>
        <v>Fail</v>
      </c>
      <c r="AD2799" s="1" t="str">
        <f>IF(AND(Table1[[#This Row],[Spec Type2]]="N/A",Table1[[#This Row],[DUT Adj Read]]="N/A",Table1[[#This Row],[Std Adj Read]]="N/A"),"N/A",IF(Table1[[#This Row],[DUT Adj Read]]="N/A",IF(Table1[[#This Row],[Std Adj Read]]&gt;Table1[[#This Row],[Low Tol]],"Pass","Fail"),IF(Table1[[#This Row],[DUT Adj Read]]&gt;Table1[[#This Row],[Low Tol]],"Pass","Fail")))</f>
        <v>Pass</v>
      </c>
      <c r="AE2799" s="1" t="str">
        <f>IF(AND(Table1[[#This Row],[Spec Type2]]="N/A",Table1[[#This Row],[DUT Adj Read]]="N/A",Table1[[#This Row],[Std Adj Read]]="N/A"),"N/A",IF(Table1[[#This Row],[DUT Adj Read]]="N/A",IF(Table1[[#This Row],[Std Adj Read]]&lt;Table1[[#This Row],[High Tol]],"Pass","Fail"),IF(Table1[[#This Row],[DUT Adj Read]]&lt;Table1[[#This Row],[High Tol]],"Pass","Fail")))</f>
        <v>Fail</v>
      </c>
      <c r="AF2799" s="1" t="str">
        <f>IF(AND(Table1[[#This Row],[Spec Type2]]="N/A",Table1[[#This Row],[DUT Adj Read]]="N/A",Table1[[#This Row],[Std Adj Read]]="N/A"),"N/A",IF(Table1[[#This Row],[DUT Adj Read]]="N/A",IF(Table1[[#This Row],[Std Adj Read]]&gt;=Table1[[#This Row],[Low Tol]],"Pass","Fail"),IF(Table1[[#This Row],[DUT Adj Read]]&gt;=Table1[[#This Row],[Low Tol]],"Pass","Fail")))</f>
        <v>Pass</v>
      </c>
      <c r="AG2799" s="1" t="str">
        <f>IF(AND(Table1[[#This Row],[Spec Type2]]="N/A",Table1[[#This Row],[DUT Adj Read]]="N/A",Table1[[#This Row],[Std Adj Read]]="N/A"),"N/A",IF(Table1[[#This Row],[DUT Adj Read]]="N/A",IF(Table1[[#This Row],[Std Adj Read]]&lt;=Table1[[#This Row],[High Tol]],"Pass","Fail"),IF(Table1[[#This Row],[DUT Adj Read]]&lt;=Table1[[#This Row],[High Tol]],"Pass","Fail")))</f>
        <v>Fail</v>
      </c>
      <c r="AH27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9" s="1" t="b">
        <v>0</v>
      </c>
      <c r="AN2799" s="1" t="b">
        <v>0</v>
      </c>
      <c r="AO2799" s="1" t="b">
        <v>0</v>
      </c>
    </row>
    <row r="2800" spans="1:41" x14ac:dyDescent="0.25">
      <c r="A2800" s="10"/>
      <c r="B2800" s="10"/>
      <c r="C2800" s="10"/>
      <c r="D2800" s="10"/>
      <c r="E2800" s="10"/>
      <c r="F2800" s="10"/>
      <c r="G2800" s="10"/>
      <c r="H2800" s="10"/>
      <c r="I2800" s="1" t="str">
        <f t="shared" si="129"/>
        <v/>
      </c>
      <c r="J2800" s="1" t="s">
        <v>35</v>
      </c>
      <c r="K2800" s="1" t="str">
        <f t="shared" si="130"/>
        <v/>
      </c>
      <c r="L2800" s="1" t="str">
        <f t="shared" si="131"/>
        <v/>
      </c>
      <c r="M2800" s="1">
        <f>IF(OR(Table1[[#This Row],[Std Nom]]="",Table1[[#This Row],[Std Read]]=""),0,Table1[[#This Row],[Std Nom]]-Table1[[#This Row],[Std Read]])</f>
        <v>0</v>
      </c>
      <c r="N2800" s="1">
        <f>IF(Calculations!$F$5="ACCREDITED 17025 WITH UNCERTAINTIES",$N$10,0)</f>
        <v>0</v>
      </c>
      <c r="O2800" s="1" t="str">
        <f>IFERROR(Table1[[#This Row],[Std Nom]]-(_xlfn.XLOOKUP(Table1[[#This Row],[Manufacturer]]&amp;" "&amp;Table1[[#This Row],[Model]],Table13[MFR &amp; MDL],Table13[Tolerance % CW ],"")/100*Table1[[#This Row],[Std Nom]]),"")</f>
        <v/>
      </c>
      <c r="P2800" s="1" t="str">
        <f>IFERROR(Table1[[#This Row],[Std Nom]]+(_xlfn.XLOOKUP(Table1[[#This Row],[Manufacturer]]&amp;" "&amp;Table1[[#This Row],[Model]],Table13[MFR &amp; MDL],Table13[Tolerance % CW ],"")/100*Table1[[#This Row],[Std Nom]]),"")</f>
        <v/>
      </c>
      <c r="Q2800" s="1" t="e">
        <f>Table1[[#This Row],[High Tol]]-Table1[[#This Row],[Low Tol]]</f>
        <v>#VALUE!</v>
      </c>
      <c r="R2800" s="1">
        <f>2*Table1[[#This Row],[Std Error]]</f>
        <v>0</v>
      </c>
      <c r="S2800" s="1" t="str">
        <f>IF(Table1[[#This Row],[High Tol]]="","N/A",IFERROR(ABS(Table1[[#This Row],[Tol Span]]/Table1[[#This Row],[Error Span]]),"N/A"))</f>
        <v>N/A</v>
      </c>
      <c r="T2800" s="1" t="str">
        <f>IF(OR(Table1[[#This Row],[Low Tol]]="",Table1[[#This Row],[High Tol]]=""),"Needs Analysis",IF(Table1[[#This Row],[Ratio]]&gt;=4,"Not Significant",IF(Table1[[#This Row],[Ratio]]&gt;=2,"Semi-Significant","Significant")))</f>
        <v>Needs Analysis</v>
      </c>
      <c r="W2800" s="1">
        <f>IF(Table1[[#This Row],[Cal Type]]&lt;&gt;"ACCREDITED 17025 WITH UNCERTAINTIES",0,"")</f>
        <v>0</v>
      </c>
      <c r="X2800" s="1" t="str">
        <f>IF(Table1[[#This Row],[DUT Read]]="","N/A",Table1[[#This Row],[Std Error]]+Table1[[#This Row],[DUT Read]]+Table1[[#This Row],[DUT Ucty]])</f>
        <v>N/A</v>
      </c>
      <c r="Y2800" s="1" t="str">
        <f>IF(Table1[[#This Row],[Std Read]]="","N/A",Table1[[#This Row],[Std Read]]+Table1[[#This Row],[Std Ucty]])</f>
        <v>N/A</v>
      </c>
      <c r="Z28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0" s="1" t="str">
        <f>IF(Table1[[#This Row],[Spec Type]]="","N/A",Table1[[#This Row],[Spec Type]])</f>
        <v>±</v>
      </c>
      <c r="AC2800" s="1" t="str">
        <f>IF(Table1[[#This Row],[Spec Type2]]="N/A","N/A",IF(AND(Table1[[#This Row],[DUT Adj Read]]&gt;=Table1[[#This Row],[Low Tol]],Table1[[#This Row],[DUT Adj Read]]&lt;=Table1[[#This Row],[High Tol]]),"Pass","Fail"))</f>
        <v>Fail</v>
      </c>
      <c r="AD2800" s="1" t="str">
        <f>IF(AND(Table1[[#This Row],[Spec Type2]]="N/A",Table1[[#This Row],[DUT Adj Read]]="N/A",Table1[[#This Row],[Std Adj Read]]="N/A"),"N/A",IF(Table1[[#This Row],[DUT Adj Read]]="N/A",IF(Table1[[#This Row],[Std Adj Read]]&gt;Table1[[#This Row],[Low Tol]],"Pass","Fail"),IF(Table1[[#This Row],[DUT Adj Read]]&gt;Table1[[#This Row],[Low Tol]],"Pass","Fail")))</f>
        <v>Pass</v>
      </c>
      <c r="AE2800" s="1" t="str">
        <f>IF(AND(Table1[[#This Row],[Spec Type2]]="N/A",Table1[[#This Row],[DUT Adj Read]]="N/A",Table1[[#This Row],[Std Adj Read]]="N/A"),"N/A",IF(Table1[[#This Row],[DUT Adj Read]]="N/A",IF(Table1[[#This Row],[Std Adj Read]]&lt;Table1[[#This Row],[High Tol]],"Pass","Fail"),IF(Table1[[#This Row],[DUT Adj Read]]&lt;Table1[[#This Row],[High Tol]],"Pass","Fail")))</f>
        <v>Fail</v>
      </c>
      <c r="AF2800" s="1" t="str">
        <f>IF(AND(Table1[[#This Row],[Spec Type2]]="N/A",Table1[[#This Row],[DUT Adj Read]]="N/A",Table1[[#This Row],[Std Adj Read]]="N/A"),"N/A",IF(Table1[[#This Row],[DUT Adj Read]]="N/A",IF(Table1[[#This Row],[Std Adj Read]]&gt;=Table1[[#This Row],[Low Tol]],"Pass","Fail"),IF(Table1[[#This Row],[DUT Adj Read]]&gt;=Table1[[#This Row],[Low Tol]],"Pass","Fail")))</f>
        <v>Pass</v>
      </c>
      <c r="AG2800" s="1" t="str">
        <f>IF(AND(Table1[[#This Row],[Spec Type2]]="N/A",Table1[[#This Row],[DUT Adj Read]]="N/A",Table1[[#This Row],[Std Adj Read]]="N/A"),"N/A",IF(Table1[[#This Row],[DUT Adj Read]]="N/A",IF(Table1[[#This Row],[Std Adj Read]]&lt;=Table1[[#This Row],[High Tol]],"Pass","Fail"),IF(Table1[[#This Row],[DUT Adj Read]]&lt;=Table1[[#This Row],[High Tol]],"Pass","Fail")))</f>
        <v>Fail</v>
      </c>
      <c r="AH28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0" s="1" t="b">
        <v>0</v>
      </c>
      <c r="AN2800" s="1" t="b">
        <v>0</v>
      </c>
      <c r="AO2800" s="1" t="b">
        <v>0</v>
      </c>
    </row>
    <row r="2801" spans="1:41" x14ac:dyDescent="0.25">
      <c r="A2801" s="10"/>
      <c r="B2801" s="10"/>
      <c r="C2801" s="10"/>
      <c r="D2801" s="10"/>
      <c r="E2801" s="10"/>
      <c r="F2801" s="10"/>
      <c r="G2801" s="10"/>
      <c r="H2801" s="10"/>
      <c r="I2801" s="1" t="str">
        <f t="shared" si="129"/>
        <v/>
      </c>
      <c r="J2801" s="1" t="s">
        <v>35</v>
      </c>
      <c r="K2801" s="1" t="str">
        <f t="shared" si="130"/>
        <v/>
      </c>
      <c r="L2801" s="1" t="str">
        <f t="shared" si="131"/>
        <v/>
      </c>
      <c r="M2801" s="1">
        <f>IF(OR(Table1[[#This Row],[Std Nom]]="",Table1[[#This Row],[Std Read]]=""),0,Table1[[#This Row],[Std Nom]]-Table1[[#This Row],[Std Read]])</f>
        <v>0</v>
      </c>
      <c r="N2801" s="1">
        <f>IF(Calculations!$F$5="ACCREDITED 17025 WITH UNCERTAINTIES",$N$10,0)</f>
        <v>0</v>
      </c>
      <c r="O2801" s="1" t="str">
        <f>IFERROR(Table1[[#This Row],[Std Nom]]-(_xlfn.XLOOKUP(Table1[[#This Row],[Manufacturer]]&amp;" "&amp;Table1[[#This Row],[Model]],Table13[MFR &amp; MDL],Table13[Tolerance % CW ],"")/100*Table1[[#This Row],[Std Nom]]),"")</f>
        <v/>
      </c>
      <c r="P2801" s="1" t="str">
        <f>IFERROR(Table1[[#This Row],[Std Nom]]+(_xlfn.XLOOKUP(Table1[[#This Row],[Manufacturer]]&amp;" "&amp;Table1[[#This Row],[Model]],Table13[MFR &amp; MDL],Table13[Tolerance % CW ],"")/100*Table1[[#This Row],[Std Nom]]),"")</f>
        <v/>
      </c>
      <c r="Q2801" s="1" t="e">
        <f>Table1[[#This Row],[High Tol]]-Table1[[#This Row],[Low Tol]]</f>
        <v>#VALUE!</v>
      </c>
      <c r="R2801" s="1">
        <f>2*Table1[[#This Row],[Std Error]]</f>
        <v>0</v>
      </c>
      <c r="S2801" s="1" t="str">
        <f>IF(Table1[[#This Row],[High Tol]]="","N/A",IFERROR(ABS(Table1[[#This Row],[Tol Span]]/Table1[[#This Row],[Error Span]]),"N/A"))</f>
        <v>N/A</v>
      </c>
      <c r="T2801" s="1" t="str">
        <f>IF(OR(Table1[[#This Row],[Low Tol]]="",Table1[[#This Row],[High Tol]]=""),"Needs Analysis",IF(Table1[[#This Row],[Ratio]]&gt;=4,"Not Significant",IF(Table1[[#This Row],[Ratio]]&gt;=2,"Semi-Significant","Significant")))</f>
        <v>Needs Analysis</v>
      </c>
      <c r="W2801" s="1">
        <f>IF(Table1[[#This Row],[Cal Type]]&lt;&gt;"ACCREDITED 17025 WITH UNCERTAINTIES",0,"")</f>
        <v>0</v>
      </c>
      <c r="X2801" s="1" t="str">
        <f>IF(Table1[[#This Row],[DUT Read]]="","N/A",Table1[[#This Row],[Std Error]]+Table1[[#This Row],[DUT Read]]+Table1[[#This Row],[DUT Ucty]])</f>
        <v>N/A</v>
      </c>
      <c r="Y2801" s="1" t="str">
        <f>IF(Table1[[#This Row],[Std Read]]="","N/A",Table1[[#This Row],[Std Read]]+Table1[[#This Row],[Std Ucty]])</f>
        <v>N/A</v>
      </c>
      <c r="Z28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1" s="1" t="str">
        <f>IF(Table1[[#This Row],[Spec Type]]="","N/A",Table1[[#This Row],[Spec Type]])</f>
        <v>±</v>
      </c>
      <c r="AC2801" s="1" t="str">
        <f>IF(Table1[[#This Row],[Spec Type2]]="N/A","N/A",IF(AND(Table1[[#This Row],[DUT Adj Read]]&gt;=Table1[[#This Row],[Low Tol]],Table1[[#This Row],[DUT Adj Read]]&lt;=Table1[[#This Row],[High Tol]]),"Pass","Fail"))</f>
        <v>Fail</v>
      </c>
      <c r="AD2801" s="1" t="str">
        <f>IF(AND(Table1[[#This Row],[Spec Type2]]="N/A",Table1[[#This Row],[DUT Adj Read]]="N/A",Table1[[#This Row],[Std Adj Read]]="N/A"),"N/A",IF(Table1[[#This Row],[DUT Adj Read]]="N/A",IF(Table1[[#This Row],[Std Adj Read]]&gt;Table1[[#This Row],[Low Tol]],"Pass","Fail"),IF(Table1[[#This Row],[DUT Adj Read]]&gt;Table1[[#This Row],[Low Tol]],"Pass","Fail")))</f>
        <v>Pass</v>
      </c>
      <c r="AE2801" s="1" t="str">
        <f>IF(AND(Table1[[#This Row],[Spec Type2]]="N/A",Table1[[#This Row],[DUT Adj Read]]="N/A",Table1[[#This Row],[Std Adj Read]]="N/A"),"N/A",IF(Table1[[#This Row],[DUT Adj Read]]="N/A",IF(Table1[[#This Row],[Std Adj Read]]&lt;Table1[[#This Row],[High Tol]],"Pass","Fail"),IF(Table1[[#This Row],[DUT Adj Read]]&lt;Table1[[#This Row],[High Tol]],"Pass","Fail")))</f>
        <v>Fail</v>
      </c>
      <c r="AF2801" s="1" t="str">
        <f>IF(AND(Table1[[#This Row],[Spec Type2]]="N/A",Table1[[#This Row],[DUT Adj Read]]="N/A",Table1[[#This Row],[Std Adj Read]]="N/A"),"N/A",IF(Table1[[#This Row],[DUT Adj Read]]="N/A",IF(Table1[[#This Row],[Std Adj Read]]&gt;=Table1[[#This Row],[Low Tol]],"Pass","Fail"),IF(Table1[[#This Row],[DUT Adj Read]]&gt;=Table1[[#This Row],[Low Tol]],"Pass","Fail")))</f>
        <v>Pass</v>
      </c>
      <c r="AG2801" s="1" t="str">
        <f>IF(AND(Table1[[#This Row],[Spec Type2]]="N/A",Table1[[#This Row],[DUT Adj Read]]="N/A",Table1[[#This Row],[Std Adj Read]]="N/A"),"N/A",IF(Table1[[#This Row],[DUT Adj Read]]="N/A",IF(Table1[[#This Row],[Std Adj Read]]&lt;=Table1[[#This Row],[High Tol]],"Pass","Fail"),IF(Table1[[#This Row],[DUT Adj Read]]&lt;=Table1[[#This Row],[High Tol]],"Pass","Fail")))</f>
        <v>Fail</v>
      </c>
      <c r="AH28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1" s="1" t="b">
        <v>0</v>
      </c>
      <c r="AN2801" s="1" t="b">
        <v>0</v>
      </c>
      <c r="AO2801" s="1" t="b">
        <v>0</v>
      </c>
    </row>
    <row r="2802" spans="1:41" x14ac:dyDescent="0.25">
      <c r="A2802" s="10"/>
      <c r="B2802" s="10"/>
      <c r="C2802" s="10"/>
      <c r="D2802" s="10"/>
      <c r="E2802" s="10"/>
      <c r="F2802" s="10"/>
      <c r="G2802" s="10"/>
      <c r="H2802" s="10"/>
      <c r="I2802" s="1" t="str">
        <f t="shared" si="129"/>
        <v/>
      </c>
      <c r="J2802" s="1" t="s">
        <v>35</v>
      </c>
      <c r="K2802" s="1" t="str">
        <f t="shared" si="130"/>
        <v/>
      </c>
      <c r="L2802" s="1" t="str">
        <f t="shared" si="131"/>
        <v/>
      </c>
      <c r="M2802" s="1">
        <f>IF(OR(Table1[[#This Row],[Std Nom]]="",Table1[[#This Row],[Std Read]]=""),0,Table1[[#This Row],[Std Nom]]-Table1[[#This Row],[Std Read]])</f>
        <v>0</v>
      </c>
      <c r="N2802" s="1">
        <f>IF(Calculations!$F$5="ACCREDITED 17025 WITH UNCERTAINTIES",$N$10,0)</f>
        <v>0</v>
      </c>
      <c r="O2802" s="1" t="str">
        <f>IFERROR(Table1[[#This Row],[Std Nom]]-(_xlfn.XLOOKUP(Table1[[#This Row],[Manufacturer]]&amp;" "&amp;Table1[[#This Row],[Model]],Table13[MFR &amp; MDL],Table13[Tolerance % CW ],"")/100*Table1[[#This Row],[Std Nom]]),"")</f>
        <v/>
      </c>
      <c r="P2802" s="1" t="str">
        <f>IFERROR(Table1[[#This Row],[Std Nom]]+(_xlfn.XLOOKUP(Table1[[#This Row],[Manufacturer]]&amp;" "&amp;Table1[[#This Row],[Model]],Table13[MFR &amp; MDL],Table13[Tolerance % CW ],"")/100*Table1[[#This Row],[Std Nom]]),"")</f>
        <v/>
      </c>
      <c r="Q2802" s="1" t="e">
        <f>Table1[[#This Row],[High Tol]]-Table1[[#This Row],[Low Tol]]</f>
        <v>#VALUE!</v>
      </c>
      <c r="R2802" s="1">
        <f>2*Table1[[#This Row],[Std Error]]</f>
        <v>0</v>
      </c>
      <c r="S2802" s="1" t="str">
        <f>IF(Table1[[#This Row],[High Tol]]="","N/A",IFERROR(ABS(Table1[[#This Row],[Tol Span]]/Table1[[#This Row],[Error Span]]),"N/A"))</f>
        <v>N/A</v>
      </c>
      <c r="T2802" s="1" t="str">
        <f>IF(OR(Table1[[#This Row],[Low Tol]]="",Table1[[#This Row],[High Tol]]=""),"Needs Analysis",IF(Table1[[#This Row],[Ratio]]&gt;=4,"Not Significant",IF(Table1[[#This Row],[Ratio]]&gt;=2,"Semi-Significant","Significant")))</f>
        <v>Needs Analysis</v>
      </c>
      <c r="W2802" s="1">
        <f>IF(Table1[[#This Row],[Cal Type]]&lt;&gt;"ACCREDITED 17025 WITH UNCERTAINTIES",0,"")</f>
        <v>0</v>
      </c>
      <c r="X2802" s="1" t="str">
        <f>IF(Table1[[#This Row],[DUT Read]]="","N/A",Table1[[#This Row],[Std Error]]+Table1[[#This Row],[DUT Read]]+Table1[[#This Row],[DUT Ucty]])</f>
        <v>N/A</v>
      </c>
      <c r="Y2802" s="1" t="str">
        <f>IF(Table1[[#This Row],[Std Read]]="","N/A",Table1[[#This Row],[Std Read]]+Table1[[#This Row],[Std Ucty]])</f>
        <v>N/A</v>
      </c>
      <c r="Z28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2" s="1" t="str">
        <f>IF(Table1[[#This Row],[Spec Type]]="","N/A",Table1[[#This Row],[Spec Type]])</f>
        <v>±</v>
      </c>
      <c r="AC2802" s="1" t="str">
        <f>IF(Table1[[#This Row],[Spec Type2]]="N/A","N/A",IF(AND(Table1[[#This Row],[DUT Adj Read]]&gt;=Table1[[#This Row],[Low Tol]],Table1[[#This Row],[DUT Adj Read]]&lt;=Table1[[#This Row],[High Tol]]),"Pass","Fail"))</f>
        <v>Fail</v>
      </c>
      <c r="AD2802" s="1" t="str">
        <f>IF(AND(Table1[[#This Row],[Spec Type2]]="N/A",Table1[[#This Row],[DUT Adj Read]]="N/A",Table1[[#This Row],[Std Adj Read]]="N/A"),"N/A",IF(Table1[[#This Row],[DUT Adj Read]]="N/A",IF(Table1[[#This Row],[Std Adj Read]]&gt;Table1[[#This Row],[Low Tol]],"Pass","Fail"),IF(Table1[[#This Row],[DUT Adj Read]]&gt;Table1[[#This Row],[Low Tol]],"Pass","Fail")))</f>
        <v>Pass</v>
      </c>
      <c r="AE2802" s="1" t="str">
        <f>IF(AND(Table1[[#This Row],[Spec Type2]]="N/A",Table1[[#This Row],[DUT Adj Read]]="N/A",Table1[[#This Row],[Std Adj Read]]="N/A"),"N/A",IF(Table1[[#This Row],[DUT Adj Read]]="N/A",IF(Table1[[#This Row],[Std Adj Read]]&lt;Table1[[#This Row],[High Tol]],"Pass","Fail"),IF(Table1[[#This Row],[DUT Adj Read]]&lt;Table1[[#This Row],[High Tol]],"Pass","Fail")))</f>
        <v>Fail</v>
      </c>
      <c r="AF2802" s="1" t="str">
        <f>IF(AND(Table1[[#This Row],[Spec Type2]]="N/A",Table1[[#This Row],[DUT Adj Read]]="N/A",Table1[[#This Row],[Std Adj Read]]="N/A"),"N/A",IF(Table1[[#This Row],[DUT Adj Read]]="N/A",IF(Table1[[#This Row],[Std Adj Read]]&gt;=Table1[[#This Row],[Low Tol]],"Pass","Fail"),IF(Table1[[#This Row],[DUT Adj Read]]&gt;=Table1[[#This Row],[Low Tol]],"Pass","Fail")))</f>
        <v>Pass</v>
      </c>
      <c r="AG2802" s="1" t="str">
        <f>IF(AND(Table1[[#This Row],[Spec Type2]]="N/A",Table1[[#This Row],[DUT Adj Read]]="N/A",Table1[[#This Row],[Std Adj Read]]="N/A"),"N/A",IF(Table1[[#This Row],[DUT Adj Read]]="N/A",IF(Table1[[#This Row],[Std Adj Read]]&lt;=Table1[[#This Row],[High Tol]],"Pass","Fail"),IF(Table1[[#This Row],[DUT Adj Read]]&lt;=Table1[[#This Row],[High Tol]],"Pass","Fail")))</f>
        <v>Fail</v>
      </c>
      <c r="AH28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2" s="1" t="b">
        <v>0</v>
      </c>
      <c r="AN2802" s="1" t="b">
        <v>0</v>
      </c>
      <c r="AO2802" s="1" t="b">
        <v>0</v>
      </c>
    </row>
    <row r="2803" spans="1:41" x14ac:dyDescent="0.25">
      <c r="A2803" s="10"/>
      <c r="B2803" s="10"/>
      <c r="C2803" s="10"/>
      <c r="D2803" s="10"/>
      <c r="E2803" s="10"/>
      <c r="F2803" s="10"/>
      <c r="G2803" s="10"/>
      <c r="H2803" s="10"/>
      <c r="I2803" s="1" t="str">
        <f t="shared" si="129"/>
        <v/>
      </c>
      <c r="J2803" s="1" t="s">
        <v>35</v>
      </c>
      <c r="K2803" s="1" t="str">
        <f t="shared" si="130"/>
        <v/>
      </c>
      <c r="L2803" s="1" t="str">
        <f t="shared" si="131"/>
        <v/>
      </c>
      <c r="M2803" s="1">
        <f>IF(OR(Table1[[#This Row],[Std Nom]]="",Table1[[#This Row],[Std Read]]=""),0,Table1[[#This Row],[Std Nom]]-Table1[[#This Row],[Std Read]])</f>
        <v>0</v>
      </c>
      <c r="N2803" s="1">
        <f>IF(Calculations!$F$5="ACCREDITED 17025 WITH UNCERTAINTIES",$N$10,0)</f>
        <v>0</v>
      </c>
      <c r="O2803" s="1" t="str">
        <f>IFERROR(Table1[[#This Row],[Std Nom]]-(_xlfn.XLOOKUP(Table1[[#This Row],[Manufacturer]]&amp;" "&amp;Table1[[#This Row],[Model]],Table13[MFR &amp; MDL],Table13[Tolerance % CW ],"")/100*Table1[[#This Row],[Std Nom]]),"")</f>
        <v/>
      </c>
      <c r="P2803" s="1" t="str">
        <f>IFERROR(Table1[[#This Row],[Std Nom]]+(_xlfn.XLOOKUP(Table1[[#This Row],[Manufacturer]]&amp;" "&amp;Table1[[#This Row],[Model]],Table13[MFR &amp; MDL],Table13[Tolerance % CW ],"")/100*Table1[[#This Row],[Std Nom]]),"")</f>
        <v/>
      </c>
      <c r="Q2803" s="1" t="e">
        <f>Table1[[#This Row],[High Tol]]-Table1[[#This Row],[Low Tol]]</f>
        <v>#VALUE!</v>
      </c>
      <c r="R2803" s="1">
        <f>2*Table1[[#This Row],[Std Error]]</f>
        <v>0</v>
      </c>
      <c r="S2803" s="1" t="str">
        <f>IF(Table1[[#This Row],[High Tol]]="","N/A",IFERROR(ABS(Table1[[#This Row],[Tol Span]]/Table1[[#This Row],[Error Span]]),"N/A"))</f>
        <v>N/A</v>
      </c>
      <c r="T2803" s="1" t="str">
        <f>IF(OR(Table1[[#This Row],[Low Tol]]="",Table1[[#This Row],[High Tol]]=""),"Needs Analysis",IF(Table1[[#This Row],[Ratio]]&gt;=4,"Not Significant",IF(Table1[[#This Row],[Ratio]]&gt;=2,"Semi-Significant","Significant")))</f>
        <v>Needs Analysis</v>
      </c>
      <c r="W2803" s="1">
        <f>IF(Table1[[#This Row],[Cal Type]]&lt;&gt;"ACCREDITED 17025 WITH UNCERTAINTIES",0,"")</f>
        <v>0</v>
      </c>
      <c r="X2803" s="1" t="str">
        <f>IF(Table1[[#This Row],[DUT Read]]="","N/A",Table1[[#This Row],[Std Error]]+Table1[[#This Row],[DUT Read]]+Table1[[#This Row],[DUT Ucty]])</f>
        <v>N/A</v>
      </c>
      <c r="Y2803" s="1" t="str">
        <f>IF(Table1[[#This Row],[Std Read]]="","N/A",Table1[[#This Row],[Std Read]]+Table1[[#This Row],[Std Ucty]])</f>
        <v>N/A</v>
      </c>
      <c r="Z28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3" s="1" t="str">
        <f>IF(Table1[[#This Row],[Spec Type]]="","N/A",Table1[[#This Row],[Spec Type]])</f>
        <v>±</v>
      </c>
      <c r="AC2803" s="1" t="str">
        <f>IF(Table1[[#This Row],[Spec Type2]]="N/A","N/A",IF(AND(Table1[[#This Row],[DUT Adj Read]]&gt;=Table1[[#This Row],[Low Tol]],Table1[[#This Row],[DUT Adj Read]]&lt;=Table1[[#This Row],[High Tol]]),"Pass","Fail"))</f>
        <v>Fail</v>
      </c>
      <c r="AD2803" s="1" t="str">
        <f>IF(AND(Table1[[#This Row],[Spec Type2]]="N/A",Table1[[#This Row],[DUT Adj Read]]="N/A",Table1[[#This Row],[Std Adj Read]]="N/A"),"N/A",IF(Table1[[#This Row],[DUT Adj Read]]="N/A",IF(Table1[[#This Row],[Std Adj Read]]&gt;Table1[[#This Row],[Low Tol]],"Pass","Fail"),IF(Table1[[#This Row],[DUT Adj Read]]&gt;Table1[[#This Row],[Low Tol]],"Pass","Fail")))</f>
        <v>Pass</v>
      </c>
      <c r="AE2803" s="1" t="str">
        <f>IF(AND(Table1[[#This Row],[Spec Type2]]="N/A",Table1[[#This Row],[DUT Adj Read]]="N/A",Table1[[#This Row],[Std Adj Read]]="N/A"),"N/A",IF(Table1[[#This Row],[DUT Adj Read]]="N/A",IF(Table1[[#This Row],[Std Adj Read]]&lt;Table1[[#This Row],[High Tol]],"Pass","Fail"),IF(Table1[[#This Row],[DUT Adj Read]]&lt;Table1[[#This Row],[High Tol]],"Pass","Fail")))</f>
        <v>Fail</v>
      </c>
      <c r="AF2803" s="1" t="str">
        <f>IF(AND(Table1[[#This Row],[Spec Type2]]="N/A",Table1[[#This Row],[DUT Adj Read]]="N/A",Table1[[#This Row],[Std Adj Read]]="N/A"),"N/A",IF(Table1[[#This Row],[DUT Adj Read]]="N/A",IF(Table1[[#This Row],[Std Adj Read]]&gt;=Table1[[#This Row],[Low Tol]],"Pass","Fail"),IF(Table1[[#This Row],[DUT Adj Read]]&gt;=Table1[[#This Row],[Low Tol]],"Pass","Fail")))</f>
        <v>Pass</v>
      </c>
      <c r="AG2803" s="1" t="str">
        <f>IF(AND(Table1[[#This Row],[Spec Type2]]="N/A",Table1[[#This Row],[DUT Adj Read]]="N/A",Table1[[#This Row],[Std Adj Read]]="N/A"),"N/A",IF(Table1[[#This Row],[DUT Adj Read]]="N/A",IF(Table1[[#This Row],[Std Adj Read]]&lt;=Table1[[#This Row],[High Tol]],"Pass","Fail"),IF(Table1[[#This Row],[DUT Adj Read]]&lt;=Table1[[#This Row],[High Tol]],"Pass","Fail")))</f>
        <v>Fail</v>
      </c>
      <c r="AH28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3" s="1" t="b">
        <v>0</v>
      </c>
      <c r="AN2803" s="1" t="b">
        <v>0</v>
      </c>
      <c r="AO2803" s="1" t="b">
        <v>0</v>
      </c>
    </row>
    <row r="2804" spans="1:41" x14ac:dyDescent="0.25">
      <c r="A2804" s="10"/>
      <c r="B2804" s="10"/>
      <c r="C2804" s="10"/>
      <c r="D2804" s="10"/>
      <c r="E2804" s="10"/>
      <c r="F2804" s="10"/>
      <c r="G2804" s="10"/>
      <c r="H2804" s="10"/>
      <c r="I2804" s="1" t="str">
        <f t="shared" si="129"/>
        <v/>
      </c>
      <c r="J2804" s="1" t="s">
        <v>35</v>
      </c>
      <c r="K2804" s="1" t="str">
        <f t="shared" si="130"/>
        <v/>
      </c>
      <c r="L2804" s="1" t="str">
        <f t="shared" si="131"/>
        <v/>
      </c>
      <c r="M2804" s="1">
        <f>IF(OR(Table1[[#This Row],[Std Nom]]="",Table1[[#This Row],[Std Read]]=""),0,Table1[[#This Row],[Std Nom]]-Table1[[#This Row],[Std Read]])</f>
        <v>0</v>
      </c>
      <c r="N2804" s="1">
        <f>IF(Calculations!$F$5="ACCREDITED 17025 WITH UNCERTAINTIES",$N$10,0)</f>
        <v>0</v>
      </c>
      <c r="O2804" s="1" t="str">
        <f>IFERROR(Table1[[#This Row],[Std Nom]]-(_xlfn.XLOOKUP(Table1[[#This Row],[Manufacturer]]&amp;" "&amp;Table1[[#This Row],[Model]],Table13[MFR &amp; MDL],Table13[Tolerance % CW ],"")/100*Table1[[#This Row],[Std Nom]]),"")</f>
        <v/>
      </c>
      <c r="P2804" s="1" t="str">
        <f>IFERROR(Table1[[#This Row],[Std Nom]]+(_xlfn.XLOOKUP(Table1[[#This Row],[Manufacturer]]&amp;" "&amp;Table1[[#This Row],[Model]],Table13[MFR &amp; MDL],Table13[Tolerance % CW ],"")/100*Table1[[#This Row],[Std Nom]]),"")</f>
        <v/>
      </c>
      <c r="Q2804" s="1" t="e">
        <f>Table1[[#This Row],[High Tol]]-Table1[[#This Row],[Low Tol]]</f>
        <v>#VALUE!</v>
      </c>
      <c r="R2804" s="1">
        <f>2*Table1[[#This Row],[Std Error]]</f>
        <v>0</v>
      </c>
      <c r="S2804" s="1" t="str">
        <f>IF(Table1[[#This Row],[High Tol]]="","N/A",IFERROR(ABS(Table1[[#This Row],[Tol Span]]/Table1[[#This Row],[Error Span]]),"N/A"))</f>
        <v>N/A</v>
      </c>
      <c r="T2804" s="1" t="str">
        <f>IF(OR(Table1[[#This Row],[Low Tol]]="",Table1[[#This Row],[High Tol]]=""),"Needs Analysis",IF(Table1[[#This Row],[Ratio]]&gt;=4,"Not Significant",IF(Table1[[#This Row],[Ratio]]&gt;=2,"Semi-Significant","Significant")))</f>
        <v>Needs Analysis</v>
      </c>
      <c r="W2804" s="1">
        <f>IF(Table1[[#This Row],[Cal Type]]&lt;&gt;"ACCREDITED 17025 WITH UNCERTAINTIES",0,"")</f>
        <v>0</v>
      </c>
      <c r="X2804" s="1" t="str">
        <f>IF(Table1[[#This Row],[DUT Read]]="","N/A",Table1[[#This Row],[Std Error]]+Table1[[#This Row],[DUT Read]]+Table1[[#This Row],[DUT Ucty]])</f>
        <v>N/A</v>
      </c>
      <c r="Y2804" s="1" t="str">
        <f>IF(Table1[[#This Row],[Std Read]]="","N/A",Table1[[#This Row],[Std Read]]+Table1[[#This Row],[Std Ucty]])</f>
        <v>N/A</v>
      </c>
      <c r="Z28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4" s="1" t="str">
        <f>IF(Table1[[#This Row],[Spec Type]]="","N/A",Table1[[#This Row],[Spec Type]])</f>
        <v>±</v>
      </c>
      <c r="AC2804" s="1" t="str">
        <f>IF(Table1[[#This Row],[Spec Type2]]="N/A","N/A",IF(AND(Table1[[#This Row],[DUT Adj Read]]&gt;=Table1[[#This Row],[Low Tol]],Table1[[#This Row],[DUT Adj Read]]&lt;=Table1[[#This Row],[High Tol]]),"Pass","Fail"))</f>
        <v>Fail</v>
      </c>
      <c r="AD2804" s="1" t="str">
        <f>IF(AND(Table1[[#This Row],[Spec Type2]]="N/A",Table1[[#This Row],[DUT Adj Read]]="N/A",Table1[[#This Row],[Std Adj Read]]="N/A"),"N/A",IF(Table1[[#This Row],[DUT Adj Read]]="N/A",IF(Table1[[#This Row],[Std Adj Read]]&gt;Table1[[#This Row],[Low Tol]],"Pass","Fail"),IF(Table1[[#This Row],[DUT Adj Read]]&gt;Table1[[#This Row],[Low Tol]],"Pass","Fail")))</f>
        <v>Pass</v>
      </c>
      <c r="AE2804" s="1" t="str">
        <f>IF(AND(Table1[[#This Row],[Spec Type2]]="N/A",Table1[[#This Row],[DUT Adj Read]]="N/A",Table1[[#This Row],[Std Adj Read]]="N/A"),"N/A",IF(Table1[[#This Row],[DUT Adj Read]]="N/A",IF(Table1[[#This Row],[Std Adj Read]]&lt;Table1[[#This Row],[High Tol]],"Pass","Fail"),IF(Table1[[#This Row],[DUT Adj Read]]&lt;Table1[[#This Row],[High Tol]],"Pass","Fail")))</f>
        <v>Fail</v>
      </c>
      <c r="AF2804" s="1" t="str">
        <f>IF(AND(Table1[[#This Row],[Spec Type2]]="N/A",Table1[[#This Row],[DUT Adj Read]]="N/A",Table1[[#This Row],[Std Adj Read]]="N/A"),"N/A",IF(Table1[[#This Row],[DUT Adj Read]]="N/A",IF(Table1[[#This Row],[Std Adj Read]]&gt;=Table1[[#This Row],[Low Tol]],"Pass","Fail"),IF(Table1[[#This Row],[DUT Adj Read]]&gt;=Table1[[#This Row],[Low Tol]],"Pass","Fail")))</f>
        <v>Pass</v>
      </c>
      <c r="AG2804" s="1" t="str">
        <f>IF(AND(Table1[[#This Row],[Spec Type2]]="N/A",Table1[[#This Row],[DUT Adj Read]]="N/A",Table1[[#This Row],[Std Adj Read]]="N/A"),"N/A",IF(Table1[[#This Row],[DUT Adj Read]]="N/A",IF(Table1[[#This Row],[Std Adj Read]]&lt;=Table1[[#This Row],[High Tol]],"Pass","Fail"),IF(Table1[[#This Row],[DUT Adj Read]]&lt;=Table1[[#This Row],[High Tol]],"Pass","Fail")))</f>
        <v>Fail</v>
      </c>
      <c r="AH28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4" s="1" t="b">
        <v>0</v>
      </c>
      <c r="AN2804" s="1" t="b">
        <v>0</v>
      </c>
      <c r="AO2804" s="1" t="b">
        <v>0</v>
      </c>
    </row>
    <row r="2805" spans="1:41" x14ac:dyDescent="0.25">
      <c r="A2805" s="10"/>
      <c r="B2805" s="10"/>
      <c r="C2805" s="10"/>
      <c r="D2805" s="10"/>
      <c r="E2805" s="10"/>
      <c r="F2805" s="10"/>
      <c r="G2805" s="10"/>
      <c r="H2805" s="10"/>
      <c r="I2805" s="1" t="str">
        <f t="shared" si="129"/>
        <v/>
      </c>
      <c r="J2805" s="1" t="s">
        <v>35</v>
      </c>
      <c r="K2805" s="1" t="str">
        <f t="shared" si="130"/>
        <v/>
      </c>
      <c r="L2805" s="1" t="str">
        <f t="shared" si="131"/>
        <v/>
      </c>
      <c r="M2805" s="1">
        <f>IF(OR(Table1[[#This Row],[Std Nom]]="",Table1[[#This Row],[Std Read]]=""),0,Table1[[#This Row],[Std Nom]]-Table1[[#This Row],[Std Read]])</f>
        <v>0</v>
      </c>
      <c r="N2805" s="1">
        <f>IF(Calculations!$F$5="ACCREDITED 17025 WITH UNCERTAINTIES",$N$10,0)</f>
        <v>0</v>
      </c>
      <c r="O2805" s="1" t="str">
        <f>IFERROR(Table1[[#This Row],[Std Nom]]-(_xlfn.XLOOKUP(Table1[[#This Row],[Manufacturer]]&amp;" "&amp;Table1[[#This Row],[Model]],Table13[MFR &amp; MDL],Table13[Tolerance % CW ],"")/100*Table1[[#This Row],[Std Nom]]),"")</f>
        <v/>
      </c>
      <c r="P2805" s="1" t="str">
        <f>IFERROR(Table1[[#This Row],[Std Nom]]+(_xlfn.XLOOKUP(Table1[[#This Row],[Manufacturer]]&amp;" "&amp;Table1[[#This Row],[Model]],Table13[MFR &amp; MDL],Table13[Tolerance % CW ],"")/100*Table1[[#This Row],[Std Nom]]),"")</f>
        <v/>
      </c>
      <c r="Q2805" s="1" t="e">
        <f>Table1[[#This Row],[High Tol]]-Table1[[#This Row],[Low Tol]]</f>
        <v>#VALUE!</v>
      </c>
      <c r="R2805" s="1">
        <f>2*Table1[[#This Row],[Std Error]]</f>
        <v>0</v>
      </c>
      <c r="S2805" s="1" t="str">
        <f>IF(Table1[[#This Row],[High Tol]]="","N/A",IFERROR(ABS(Table1[[#This Row],[Tol Span]]/Table1[[#This Row],[Error Span]]),"N/A"))</f>
        <v>N/A</v>
      </c>
      <c r="T2805" s="1" t="str">
        <f>IF(OR(Table1[[#This Row],[Low Tol]]="",Table1[[#This Row],[High Tol]]=""),"Needs Analysis",IF(Table1[[#This Row],[Ratio]]&gt;=4,"Not Significant",IF(Table1[[#This Row],[Ratio]]&gt;=2,"Semi-Significant","Significant")))</f>
        <v>Needs Analysis</v>
      </c>
      <c r="W2805" s="1">
        <f>IF(Table1[[#This Row],[Cal Type]]&lt;&gt;"ACCREDITED 17025 WITH UNCERTAINTIES",0,"")</f>
        <v>0</v>
      </c>
      <c r="X2805" s="1" t="str">
        <f>IF(Table1[[#This Row],[DUT Read]]="","N/A",Table1[[#This Row],[Std Error]]+Table1[[#This Row],[DUT Read]]+Table1[[#This Row],[DUT Ucty]])</f>
        <v>N/A</v>
      </c>
      <c r="Y2805" s="1" t="str">
        <f>IF(Table1[[#This Row],[Std Read]]="","N/A",Table1[[#This Row],[Std Read]]+Table1[[#This Row],[Std Ucty]])</f>
        <v>N/A</v>
      </c>
      <c r="Z28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5" s="1" t="str">
        <f>IF(Table1[[#This Row],[Spec Type]]="","N/A",Table1[[#This Row],[Spec Type]])</f>
        <v>±</v>
      </c>
      <c r="AC2805" s="1" t="str">
        <f>IF(Table1[[#This Row],[Spec Type2]]="N/A","N/A",IF(AND(Table1[[#This Row],[DUT Adj Read]]&gt;=Table1[[#This Row],[Low Tol]],Table1[[#This Row],[DUT Adj Read]]&lt;=Table1[[#This Row],[High Tol]]),"Pass","Fail"))</f>
        <v>Fail</v>
      </c>
      <c r="AD2805" s="1" t="str">
        <f>IF(AND(Table1[[#This Row],[Spec Type2]]="N/A",Table1[[#This Row],[DUT Adj Read]]="N/A",Table1[[#This Row],[Std Adj Read]]="N/A"),"N/A",IF(Table1[[#This Row],[DUT Adj Read]]="N/A",IF(Table1[[#This Row],[Std Adj Read]]&gt;Table1[[#This Row],[Low Tol]],"Pass","Fail"),IF(Table1[[#This Row],[DUT Adj Read]]&gt;Table1[[#This Row],[Low Tol]],"Pass","Fail")))</f>
        <v>Pass</v>
      </c>
      <c r="AE2805" s="1" t="str">
        <f>IF(AND(Table1[[#This Row],[Spec Type2]]="N/A",Table1[[#This Row],[DUT Adj Read]]="N/A",Table1[[#This Row],[Std Adj Read]]="N/A"),"N/A",IF(Table1[[#This Row],[DUT Adj Read]]="N/A",IF(Table1[[#This Row],[Std Adj Read]]&lt;Table1[[#This Row],[High Tol]],"Pass","Fail"),IF(Table1[[#This Row],[DUT Adj Read]]&lt;Table1[[#This Row],[High Tol]],"Pass","Fail")))</f>
        <v>Fail</v>
      </c>
      <c r="AF2805" s="1" t="str">
        <f>IF(AND(Table1[[#This Row],[Spec Type2]]="N/A",Table1[[#This Row],[DUT Adj Read]]="N/A",Table1[[#This Row],[Std Adj Read]]="N/A"),"N/A",IF(Table1[[#This Row],[DUT Adj Read]]="N/A",IF(Table1[[#This Row],[Std Adj Read]]&gt;=Table1[[#This Row],[Low Tol]],"Pass","Fail"),IF(Table1[[#This Row],[DUT Adj Read]]&gt;=Table1[[#This Row],[Low Tol]],"Pass","Fail")))</f>
        <v>Pass</v>
      </c>
      <c r="AG2805" s="1" t="str">
        <f>IF(AND(Table1[[#This Row],[Spec Type2]]="N/A",Table1[[#This Row],[DUT Adj Read]]="N/A",Table1[[#This Row],[Std Adj Read]]="N/A"),"N/A",IF(Table1[[#This Row],[DUT Adj Read]]="N/A",IF(Table1[[#This Row],[Std Adj Read]]&lt;=Table1[[#This Row],[High Tol]],"Pass","Fail"),IF(Table1[[#This Row],[DUT Adj Read]]&lt;=Table1[[#This Row],[High Tol]],"Pass","Fail")))</f>
        <v>Fail</v>
      </c>
      <c r="AH28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5" s="1" t="b">
        <v>0</v>
      </c>
      <c r="AN2805" s="1" t="b">
        <v>0</v>
      </c>
      <c r="AO2805" s="1" t="b">
        <v>0</v>
      </c>
    </row>
    <row r="2806" spans="1:41" x14ac:dyDescent="0.25">
      <c r="A2806" s="10"/>
      <c r="B2806" s="10"/>
      <c r="C2806" s="10"/>
      <c r="D2806" s="10"/>
      <c r="E2806" s="10"/>
      <c r="F2806" s="10"/>
      <c r="G2806" s="10"/>
      <c r="H2806" s="10"/>
      <c r="I2806" s="1" t="str">
        <f t="shared" si="129"/>
        <v/>
      </c>
      <c r="J2806" s="1" t="s">
        <v>35</v>
      </c>
      <c r="K2806" s="1" t="str">
        <f t="shared" si="130"/>
        <v/>
      </c>
      <c r="L2806" s="1" t="str">
        <f t="shared" si="131"/>
        <v/>
      </c>
      <c r="M2806" s="1">
        <f>IF(OR(Table1[[#This Row],[Std Nom]]="",Table1[[#This Row],[Std Read]]=""),0,Table1[[#This Row],[Std Nom]]-Table1[[#This Row],[Std Read]])</f>
        <v>0</v>
      </c>
      <c r="N2806" s="1">
        <f>IF(Calculations!$F$5="ACCREDITED 17025 WITH UNCERTAINTIES",$N$10,0)</f>
        <v>0</v>
      </c>
      <c r="O2806" s="1" t="str">
        <f>IFERROR(Table1[[#This Row],[Std Nom]]-(_xlfn.XLOOKUP(Table1[[#This Row],[Manufacturer]]&amp;" "&amp;Table1[[#This Row],[Model]],Table13[MFR &amp; MDL],Table13[Tolerance % CW ],"")/100*Table1[[#This Row],[Std Nom]]),"")</f>
        <v/>
      </c>
      <c r="P2806" s="1" t="str">
        <f>IFERROR(Table1[[#This Row],[Std Nom]]+(_xlfn.XLOOKUP(Table1[[#This Row],[Manufacturer]]&amp;" "&amp;Table1[[#This Row],[Model]],Table13[MFR &amp; MDL],Table13[Tolerance % CW ],"")/100*Table1[[#This Row],[Std Nom]]),"")</f>
        <v/>
      </c>
      <c r="Q2806" s="1" t="e">
        <f>Table1[[#This Row],[High Tol]]-Table1[[#This Row],[Low Tol]]</f>
        <v>#VALUE!</v>
      </c>
      <c r="R2806" s="1">
        <f>2*Table1[[#This Row],[Std Error]]</f>
        <v>0</v>
      </c>
      <c r="S2806" s="1" t="str">
        <f>IF(Table1[[#This Row],[High Tol]]="","N/A",IFERROR(ABS(Table1[[#This Row],[Tol Span]]/Table1[[#This Row],[Error Span]]),"N/A"))</f>
        <v>N/A</v>
      </c>
      <c r="T2806" s="1" t="str">
        <f>IF(OR(Table1[[#This Row],[Low Tol]]="",Table1[[#This Row],[High Tol]]=""),"Needs Analysis",IF(Table1[[#This Row],[Ratio]]&gt;=4,"Not Significant",IF(Table1[[#This Row],[Ratio]]&gt;=2,"Semi-Significant","Significant")))</f>
        <v>Needs Analysis</v>
      </c>
      <c r="W2806" s="1">
        <f>IF(Table1[[#This Row],[Cal Type]]&lt;&gt;"ACCREDITED 17025 WITH UNCERTAINTIES",0,"")</f>
        <v>0</v>
      </c>
      <c r="X2806" s="1" t="str">
        <f>IF(Table1[[#This Row],[DUT Read]]="","N/A",Table1[[#This Row],[Std Error]]+Table1[[#This Row],[DUT Read]]+Table1[[#This Row],[DUT Ucty]])</f>
        <v>N/A</v>
      </c>
      <c r="Y2806" s="1" t="str">
        <f>IF(Table1[[#This Row],[Std Read]]="","N/A",Table1[[#This Row],[Std Read]]+Table1[[#This Row],[Std Ucty]])</f>
        <v>N/A</v>
      </c>
      <c r="Z28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6" s="1" t="str">
        <f>IF(Table1[[#This Row],[Spec Type]]="","N/A",Table1[[#This Row],[Spec Type]])</f>
        <v>±</v>
      </c>
      <c r="AC2806" s="1" t="str">
        <f>IF(Table1[[#This Row],[Spec Type2]]="N/A","N/A",IF(AND(Table1[[#This Row],[DUT Adj Read]]&gt;=Table1[[#This Row],[Low Tol]],Table1[[#This Row],[DUT Adj Read]]&lt;=Table1[[#This Row],[High Tol]]),"Pass","Fail"))</f>
        <v>Fail</v>
      </c>
      <c r="AD2806" s="1" t="str">
        <f>IF(AND(Table1[[#This Row],[Spec Type2]]="N/A",Table1[[#This Row],[DUT Adj Read]]="N/A",Table1[[#This Row],[Std Adj Read]]="N/A"),"N/A",IF(Table1[[#This Row],[DUT Adj Read]]="N/A",IF(Table1[[#This Row],[Std Adj Read]]&gt;Table1[[#This Row],[Low Tol]],"Pass","Fail"),IF(Table1[[#This Row],[DUT Adj Read]]&gt;Table1[[#This Row],[Low Tol]],"Pass","Fail")))</f>
        <v>Pass</v>
      </c>
      <c r="AE2806" s="1" t="str">
        <f>IF(AND(Table1[[#This Row],[Spec Type2]]="N/A",Table1[[#This Row],[DUT Adj Read]]="N/A",Table1[[#This Row],[Std Adj Read]]="N/A"),"N/A",IF(Table1[[#This Row],[DUT Adj Read]]="N/A",IF(Table1[[#This Row],[Std Adj Read]]&lt;Table1[[#This Row],[High Tol]],"Pass","Fail"),IF(Table1[[#This Row],[DUT Adj Read]]&lt;Table1[[#This Row],[High Tol]],"Pass","Fail")))</f>
        <v>Fail</v>
      </c>
      <c r="AF2806" s="1" t="str">
        <f>IF(AND(Table1[[#This Row],[Spec Type2]]="N/A",Table1[[#This Row],[DUT Adj Read]]="N/A",Table1[[#This Row],[Std Adj Read]]="N/A"),"N/A",IF(Table1[[#This Row],[DUT Adj Read]]="N/A",IF(Table1[[#This Row],[Std Adj Read]]&gt;=Table1[[#This Row],[Low Tol]],"Pass","Fail"),IF(Table1[[#This Row],[DUT Adj Read]]&gt;=Table1[[#This Row],[Low Tol]],"Pass","Fail")))</f>
        <v>Pass</v>
      </c>
      <c r="AG2806" s="1" t="str">
        <f>IF(AND(Table1[[#This Row],[Spec Type2]]="N/A",Table1[[#This Row],[DUT Adj Read]]="N/A",Table1[[#This Row],[Std Adj Read]]="N/A"),"N/A",IF(Table1[[#This Row],[DUT Adj Read]]="N/A",IF(Table1[[#This Row],[Std Adj Read]]&lt;=Table1[[#This Row],[High Tol]],"Pass","Fail"),IF(Table1[[#This Row],[DUT Adj Read]]&lt;=Table1[[#This Row],[High Tol]],"Pass","Fail")))</f>
        <v>Fail</v>
      </c>
      <c r="AH28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6" s="1" t="b">
        <v>0</v>
      </c>
      <c r="AN2806" s="1" t="b">
        <v>0</v>
      </c>
      <c r="AO2806" s="1" t="b">
        <v>0</v>
      </c>
    </row>
    <row r="2807" spans="1:41" x14ac:dyDescent="0.25">
      <c r="A2807" s="10"/>
      <c r="B2807" s="10"/>
      <c r="C2807" s="10"/>
      <c r="D2807" s="10"/>
      <c r="E2807" s="10"/>
      <c r="F2807" s="10"/>
      <c r="G2807" s="10"/>
      <c r="H2807" s="10"/>
      <c r="I2807" s="1" t="str">
        <f t="shared" si="129"/>
        <v/>
      </c>
      <c r="J2807" s="1" t="s">
        <v>35</v>
      </c>
      <c r="K2807" s="1" t="str">
        <f t="shared" si="130"/>
        <v/>
      </c>
      <c r="L2807" s="1" t="str">
        <f t="shared" si="131"/>
        <v/>
      </c>
      <c r="M2807" s="1">
        <f>IF(OR(Table1[[#This Row],[Std Nom]]="",Table1[[#This Row],[Std Read]]=""),0,Table1[[#This Row],[Std Nom]]-Table1[[#This Row],[Std Read]])</f>
        <v>0</v>
      </c>
      <c r="N2807" s="1">
        <f>IF(Calculations!$F$5="ACCREDITED 17025 WITH UNCERTAINTIES",$N$10,0)</f>
        <v>0</v>
      </c>
      <c r="O2807" s="1" t="str">
        <f>IFERROR(Table1[[#This Row],[Std Nom]]-(_xlfn.XLOOKUP(Table1[[#This Row],[Manufacturer]]&amp;" "&amp;Table1[[#This Row],[Model]],Table13[MFR &amp; MDL],Table13[Tolerance % CW ],"")/100*Table1[[#This Row],[Std Nom]]),"")</f>
        <v/>
      </c>
      <c r="P2807" s="1" t="str">
        <f>IFERROR(Table1[[#This Row],[Std Nom]]+(_xlfn.XLOOKUP(Table1[[#This Row],[Manufacturer]]&amp;" "&amp;Table1[[#This Row],[Model]],Table13[MFR &amp; MDL],Table13[Tolerance % CW ],"")/100*Table1[[#This Row],[Std Nom]]),"")</f>
        <v/>
      </c>
      <c r="Q2807" s="1" t="e">
        <f>Table1[[#This Row],[High Tol]]-Table1[[#This Row],[Low Tol]]</f>
        <v>#VALUE!</v>
      </c>
      <c r="R2807" s="1">
        <f>2*Table1[[#This Row],[Std Error]]</f>
        <v>0</v>
      </c>
      <c r="S2807" s="1" t="str">
        <f>IF(Table1[[#This Row],[High Tol]]="","N/A",IFERROR(ABS(Table1[[#This Row],[Tol Span]]/Table1[[#This Row],[Error Span]]),"N/A"))</f>
        <v>N/A</v>
      </c>
      <c r="T2807" s="1" t="str">
        <f>IF(OR(Table1[[#This Row],[Low Tol]]="",Table1[[#This Row],[High Tol]]=""),"Needs Analysis",IF(Table1[[#This Row],[Ratio]]&gt;=4,"Not Significant",IF(Table1[[#This Row],[Ratio]]&gt;=2,"Semi-Significant","Significant")))</f>
        <v>Needs Analysis</v>
      </c>
      <c r="W2807" s="1">
        <f>IF(Table1[[#This Row],[Cal Type]]&lt;&gt;"ACCREDITED 17025 WITH UNCERTAINTIES",0,"")</f>
        <v>0</v>
      </c>
      <c r="X2807" s="1" t="str">
        <f>IF(Table1[[#This Row],[DUT Read]]="","N/A",Table1[[#This Row],[Std Error]]+Table1[[#This Row],[DUT Read]]+Table1[[#This Row],[DUT Ucty]])</f>
        <v>N/A</v>
      </c>
      <c r="Y2807" s="1" t="str">
        <f>IF(Table1[[#This Row],[Std Read]]="","N/A",Table1[[#This Row],[Std Read]]+Table1[[#This Row],[Std Ucty]])</f>
        <v>N/A</v>
      </c>
      <c r="Z28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7" s="1" t="str">
        <f>IF(Table1[[#This Row],[Spec Type]]="","N/A",Table1[[#This Row],[Spec Type]])</f>
        <v>±</v>
      </c>
      <c r="AC2807" s="1" t="str">
        <f>IF(Table1[[#This Row],[Spec Type2]]="N/A","N/A",IF(AND(Table1[[#This Row],[DUT Adj Read]]&gt;=Table1[[#This Row],[Low Tol]],Table1[[#This Row],[DUT Adj Read]]&lt;=Table1[[#This Row],[High Tol]]),"Pass","Fail"))</f>
        <v>Fail</v>
      </c>
      <c r="AD2807" s="1" t="str">
        <f>IF(AND(Table1[[#This Row],[Spec Type2]]="N/A",Table1[[#This Row],[DUT Adj Read]]="N/A",Table1[[#This Row],[Std Adj Read]]="N/A"),"N/A",IF(Table1[[#This Row],[DUT Adj Read]]="N/A",IF(Table1[[#This Row],[Std Adj Read]]&gt;Table1[[#This Row],[Low Tol]],"Pass","Fail"),IF(Table1[[#This Row],[DUT Adj Read]]&gt;Table1[[#This Row],[Low Tol]],"Pass","Fail")))</f>
        <v>Pass</v>
      </c>
      <c r="AE2807" s="1" t="str">
        <f>IF(AND(Table1[[#This Row],[Spec Type2]]="N/A",Table1[[#This Row],[DUT Adj Read]]="N/A",Table1[[#This Row],[Std Adj Read]]="N/A"),"N/A",IF(Table1[[#This Row],[DUT Adj Read]]="N/A",IF(Table1[[#This Row],[Std Adj Read]]&lt;Table1[[#This Row],[High Tol]],"Pass","Fail"),IF(Table1[[#This Row],[DUT Adj Read]]&lt;Table1[[#This Row],[High Tol]],"Pass","Fail")))</f>
        <v>Fail</v>
      </c>
      <c r="AF2807" s="1" t="str">
        <f>IF(AND(Table1[[#This Row],[Spec Type2]]="N/A",Table1[[#This Row],[DUT Adj Read]]="N/A",Table1[[#This Row],[Std Adj Read]]="N/A"),"N/A",IF(Table1[[#This Row],[DUT Adj Read]]="N/A",IF(Table1[[#This Row],[Std Adj Read]]&gt;=Table1[[#This Row],[Low Tol]],"Pass","Fail"),IF(Table1[[#This Row],[DUT Adj Read]]&gt;=Table1[[#This Row],[Low Tol]],"Pass","Fail")))</f>
        <v>Pass</v>
      </c>
      <c r="AG2807" s="1" t="str">
        <f>IF(AND(Table1[[#This Row],[Spec Type2]]="N/A",Table1[[#This Row],[DUT Adj Read]]="N/A",Table1[[#This Row],[Std Adj Read]]="N/A"),"N/A",IF(Table1[[#This Row],[DUT Adj Read]]="N/A",IF(Table1[[#This Row],[Std Adj Read]]&lt;=Table1[[#This Row],[High Tol]],"Pass","Fail"),IF(Table1[[#This Row],[DUT Adj Read]]&lt;=Table1[[#This Row],[High Tol]],"Pass","Fail")))</f>
        <v>Fail</v>
      </c>
      <c r="AH28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7" s="1" t="b">
        <v>0</v>
      </c>
      <c r="AN2807" s="1" t="b">
        <v>0</v>
      </c>
      <c r="AO2807" s="1" t="b">
        <v>0</v>
      </c>
    </row>
    <row r="2808" spans="1:41" x14ac:dyDescent="0.25">
      <c r="A2808" s="10"/>
      <c r="B2808" s="10"/>
      <c r="C2808" s="10"/>
      <c r="D2808" s="10"/>
      <c r="E2808" s="10"/>
      <c r="F2808" s="10"/>
      <c r="G2808" s="10"/>
      <c r="H2808" s="10"/>
      <c r="I2808" s="1" t="str">
        <f t="shared" si="129"/>
        <v/>
      </c>
      <c r="J2808" s="1" t="s">
        <v>35</v>
      </c>
      <c r="K2808" s="1" t="str">
        <f t="shared" si="130"/>
        <v/>
      </c>
      <c r="L2808" s="1" t="str">
        <f t="shared" si="131"/>
        <v/>
      </c>
      <c r="M2808" s="1">
        <f>IF(OR(Table1[[#This Row],[Std Nom]]="",Table1[[#This Row],[Std Read]]=""),0,Table1[[#This Row],[Std Nom]]-Table1[[#This Row],[Std Read]])</f>
        <v>0</v>
      </c>
      <c r="N2808" s="1">
        <f>IF(Calculations!$F$5="ACCREDITED 17025 WITH UNCERTAINTIES",$N$10,0)</f>
        <v>0</v>
      </c>
      <c r="O2808" s="1" t="str">
        <f>IFERROR(Table1[[#This Row],[Std Nom]]-(_xlfn.XLOOKUP(Table1[[#This Row],[Manufacturer]]&amp;" "&amp;Table1[[#This Row],[Model]],Table13[MFR &amp; MDL],Table13[Tolerance % CW ],"")/100*Table1[[#This Row],[Std Nom]]),"")</f>
        <v/>
      </c>
      <c r="P2808" s="1" t="str">
        <f>IFERROR(Table1[[#This Row],[Std Nom]]+(_xlfn.XLOOKUP(Table1[[#This Row],[Manufacturer]]&amp;" "&amp;Table1[[#This Row],[Model]],Table13[MFR &amp; MDL],Table13[Tolerance % CW ],"")/100*Table1[[#This Row],[Std Nom]]),"")</f>
        <v/>
      </c>
      <c r="Q2808" s="1" t="e">
        <f>Table1[[#This Row],[High Tol]]-Table1[[#This Row],[Low Tol]]</f>
        <v>#VALUE!</v>
      </c>
      <c r="R2808" s="1">
        <f>2*Table1[[#This Row],[Std Error]]</f>
        <v>0</v>
      </c>
      <c r="S2808" s="1" t="str">
        <f>IF(Table1[[#This Row],[High Tol]]="","N/A",IFERROR(ABS(Table1[[#This Row],[Tol Span]]/Table1[[#This Row],[Error Span]]),"N/A"))</f>
        <v>N/A</v>
      </c>
      <c r="T2808" s="1" t="str">
        <f>IF(OR(Table1[[#This Row],[Low Tol]]="",Table1[[#This Row],[High Tol]]=""),"Needs Analysis",IF(Table1[[#This Row],[Ratio]]&gt;=4,"Not Significant",IF(Table1[[#This Row],[Ratio]]&gt;=2,"Semi-Significant","Significant")))</f>
        <v>Needs Analysis</v>
      </c>
      <c r="W2808" s="1">
        <f>IF(Table1[[#This Row],[Cal Type]]&lt;&gt;"ACCREDITED 17025 WITH UNCERTAINTIES",0,"")</f>
        <v>0</v>
      </c>
      <c r="X2808" s="1" t="str">
        <f>IF(Table1[[#This Row],[DUT Read]]="","N/A",Table1[[#This Row],[Std Error]]+Table1[[#This Row],[DUT Read]]+Table1[[#This Row],[DUT Ucty]])</f>
        <v>N/A</v>
      </c>
      <c r="Y2808" s="1" t="str">
        <f>IF(Table1[[#This Row],[Std Read]]="","N/A",Table1[[#This Row],[Std Read]]+Table1[[#This Row],[Std Ucty]])</f>
        <v>N/A</v>
      </c>
      <c r="Z28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8" s="1" t="str">
        <f>IF(Table1[[#This Row],[Spec Type]]="","N/A",Table1[[#This Row],[Spec Type]])</f>
        <v>±</v>
      </c>
      <c r="AC2808" s="1" t="str">
        <f>IF(Table1[[#This Row],[Spec Type2]]="N/A","N/A",IF(AND(Table1[[#This Row],[DUT Adj Read]]&gt;=Table1[[#This Row],[Low Tol]],Table1[[#This Row],[DUT Adj Read]]&lt;=Table1[[#This Row],[High Tol]]),"Pass","Fail"))</f>
        <v>Fail</v>
      </c>
      <c r="AD2808" s="1" t="str">
        <f>IF(AND(Table1[[#This Row],[Spec Type2]]="N/A",Table1[[#This Row],[DUT Adj Read]]="N/A",Table1[[#This Row],[Std Adj Read]]="N/A"),"N/A",IF(Table1[[#This Row],[DUT Adj Read]]="N/A",IF(Table1[[#This Row],[Std Adj Read]]&gt;Table1[[#This Row],[Low Tol]],"Pass","Fail"),IF(Table1[[#This Row],[DUT Adj Read]]&gt;Table1[[#This Row],[Low Tol]],"Pass","Fail")))</f>
        <v>Pass</v>
      </c>
      <c r="AE2808" s="1" t="str">
        <f>IF(AND(Table1[[#This Row],[Spec Type2]]="N/A",Table1[[#This Row],[DUT Adj Read]]="N/A",Table1[[#This Row],[Std Adj Read]]="N/A"),"N/A",IF(Table1[[#This Row],[DUT Adj Read]]="N/A",IF(Table1[[#This Row],[Std Adj Read]]&lt;Table1[[#This Row],[High Tol]],"Pass","Fail"),IF(Table1[[#This Row],[DUT Adj Read]]&lt;Table1[[#This Row],[High Tol]],"Pass","Fail")))</f>
        <v>Fail</v>
      </c>
      <c r="AF2808" s="1" t="str">
        <f>IF(AND(Table1[[#This Row],[Spec Type2]]="N/A",Table1[[#This Row],[DUT Adj Read]]="N/A",Table1[[#This Row],[Std Adj Read]]="N/A"),"N/A",IF(Table1[[#This Row],[DUT Adj Read]]="N/A",IF(Table1[[#This Row],[Std Adj Read]]&gt;=Table1[[#This Row],[Low Tol]],"Pass","Fail"),IF(Table1[[#This Row],[DUT Adj Read]]&gt;=Table1[[#This Row],[Low Tol]],"Pass","Fail")))</f>
        <v>Pass</v>
      </c>
      <c r="AG2808" s="1" t="str">
        <f>IF(AND(Table1[[#This Row],[Spec Type2]]="N/A",Table1[[#This Row],[DUT Adj Read]]="N/A",Table1[[#This Row],[Std Adj Read]]="N/A"),"N/A",IF(Table1[[#This Row],[DUT Adj Read]]="N/A",IF(Table1[[#This Row],[Std Adj Read]]&lt;=Table1[[#This Row],[High Tol]],"Pass","Fail"),IF(Table1[[#This Row],[DUT Adj Read]]&lt;=Table1[[#This Row],[High Tol]],"Pass","Fail")))</f>
        <v>Fail</v>
      </c>
      <c r="AH28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8" s="1" t="b">
        <v>0</v>
      </c>
      <c r="AN2808" s="1" t="b">
        <v>0</v>
      </c>
      <c r="AO2808" s="1" t="b">
        <v>0</v>
      </c>
    </row>
    <row r="2809" spans="1:41" x14ac:dyDescent="0.25">
      <c r="A2809" s="10"/>
      <c r="B2809" s="10"/>
      <c r="C2809" s="10"/>
      <c r="D2809" s="10"/>
      <c r="E2809" s="10"/>
      <c r="F2809" s="10"/>
      <c r="G2809" s="10"/>
      <c r="H2809" s="10"/>
      <c r="I2809" s="1" t="str">
        <f t="shared" si="129"/>
        <v/>
      </c>
      <c r="J2809" s="1" t="s">
        <v>35</v>
      </c>
      <c r="K2809" s="1" t="str">
        <f t="shared" si="130"/>
        <v/>
      </c>
      <c r="L2809" s="1" t="str">
        <f t="shared" si="131"/>
        <v/>
      </c>
      <c r="M2809" s="1">
        <f>IF(OR(Table1[[#This Row],[Std Nom]]="",Table1[[#This Row],[Std Read]]=""),0,Table1[[#This Row],[Std Nom]]-Table1[[#This Row],[Std Read]])</f>
        <v>0</v>
      </c>
      <c r="N2809" s="1">
        <f>IF(Calculations!$F$5="ACCREDITED 17025 WITH UNCERTAINTIES",$N$10,0)</f>
        <v>0</v>
      </c>
      <c r="O2809" s="1" t="str">
        <f>IFERROR(Table1[[#This Row],[Std Nom]]-(_xlfn.XLOOKUP(Table1[[#This Row],[Manufacturer]]&amp;" "&amp;Table1[[#This Row],[Model]],Table13[MFR &amp; MDL],Table13[Tolerance % CW ],"")/100*Table1[[#This Row],[Std Nom]]),"")</f>
        <v/>
      </c>
      <c r="P2809" s="1" t="str">
        <f>IFERROR(Table1[[#This Row],[Std Nom]]+(_xlfn.XLOOKUP(Table1[[#This Row],[Manufacturer]]&amp;" "&amp;Table1[[#This Row],[Model]],Table13[MFR &amp; MDL],Table13[Tolerance % CW ],"")/100*Table1[[#This Row],[Std Nom]]),"")</f>
        <v/>
      </c>
      <c r="Q2809" s="1" t="e">
        <f>Table1[[#This Row],[High Tol]]-Table1[[#This Row],[Low Tol]]</f>
        <v>#VALUE!</v>
      </c>
      <c r="R2809" s="1">
        <f>2*Table1[[#This Row],[Std Error]]</f>
        <v>0</v>
      </c>
      <c r="S2809" s="1" t="str">
        <f>IF(Table1[[#This Row],[High Tol]]="","N/A",IFERROR(ABS(Table1[[#This Row],[Tol Span]]/Table1[[#This Row],[Error Span]]),"N/A"))</f>
        <v>N/A</v>
      </c>
      <c r="T2809" s="1" t="str">
        <f>IF(OR(Table1[[#This Row],[Low Tol]]="",Table1[[#This Row],[High Tol]]=""),"Needs Analysis",IF(Table1[[#This Row],[Ratio]]&gt;=4,"Not Significant",IF(Table1[[#This Row],[Ratio]]&gt;=2,"Semi-Significant","Significant")))</f>
        <v>Needs Analysis</v>
      </c>
      <c r="W2809" s="1">
        <f>IF(Table1[[#This Row],[Cal Type]]&lt;&gt;"ACCREDITED 17025 WITH UNCERTAINTIES",0,"")</f>
        <v>0</v>
      </c>
      <c r="X2809" s="1" t="str">
        <f>IF(Table1[[#This Row],[DUT Read]]="","N/A",Table1[[#This Row],[Std Error]]+Table1[[#This Row],[DUT Read]]+Table1[[#This Row],[DUT Ucty]])</f>
        <v>N/A</v>
      </c>
      <c r="Y2809" s="1" t="str">
        <f>IF(Table1[[#This Row],[Std Read]]="","N/A",Table1[[#This Row],[Std Read]]+Table1[[#This Row],[Std Ucty]])</f>
        <v>N/A</v>
      </c>
      <c r="Z28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9" s="1" t="str">
        <f>IF(Table1[[#This Row],[Spec Type]]="","N/A",Table1[[#This Row],[Spec Type]])</f>
        <v>±</v>
      </c>
      <c r="AC2809" s="1" t="str">
        <f>IF(Table1[[#This Row],[Spec Type2]]="N/A","N/A",IF(AND(Table1[[#This Row],[DUT Adj Read]]&gt;=Table1[[#This Row],[Low Tol]],Table1[[#This Row],[DUT Adj Read]]&lt;=Table1[[#This Row],[High Tol]]),"Pass","Fail"))</f>
        <v>Fail</v>
      </c>
      <c r="AD2809" s="1" t="str">
        <f>IF(AND(Table1[[#This Row],[Spec Type2]]="N/A",Table1[[#This Row],[DUT Adj Read]]="N/A",Table1[[#This Row],[Std Adj Read]]="N/A"),"N/A",IF(Table1[[#This Row],[DUT Adj Read]]="N/A",IF(Table1[[#This Row],[Std Adj Read]]&gt;Table1[[#This Row],[Low Tol]],"Pass","Fail"),IF(Table1[[#This Row],[DUT Adj Read]]&gt;Table1[[#This Row],[Low Tol]],"Pass","Fail")))</f>
        <v>Pass</v>
      </c>
      <c r="AE2809" s="1" t="str">
        <f>IF(AND(Table1[[#This Row],[Spec Type2]]="N/A",Table1[[#This Row],[DUT Adj Read]]="N/A",Table1[[#This Row],[Std Adj Read]]="N/A"),"N/A",IF(Table1[[#This Row],[DUT Adj Read]]="N/A",IF(Table1[[#This Row],[Std Adj Read]]&lt;Table1[[#This Row],[High Tol]],"Pass","Fail"),IF(Table1[[#This Row],[DUT Adj Read]]&lt;Table1[[#This Row],[High Tol]],"Pass","Fail")))</f>
        <v>Fail</v>
      </c>
      <c r="AF2809" s="1" t="str">
        <f>IF(AND(Table1[[#This Row],[Spec Type2]]="N/A",Table1[[#This Row],[DUT Adj Read]]="N/A",Table1[[#This Row],[Std Adj Read]]="N/A"),"N/A",IF(Table1[[#This Row],[DUT Adj Read]]="N/A",IF(Table1[[#This Row],[Std Adj Read]]&gt;=Table1[[#This Row],[Low Tol]],"Pass","Fail"),IF(Table1[[#This Row],[DUT Adj Read]]&gt;=Table1[[#This Row],[Low Tol]],"Pass","Fail")))</f>
        <v>Pass</v>
      </c>
      <c r="AG2809" s="1" t="str">
        <f>IF(AND(Table1[[#This Row],[Spec Type2]]="N/A",Table1[[#This Row],[DUT Adj Read]]="N/A",Table1[[#This Row],[Std Adj Read]]="N/A"),"N/A",IF(Table1[[#This Row],[DUT Adj Read]]="N/A",IF(Table1[[#This Row],[Std Adj Read]]&lt;=Table1[[#This Row],[High Tol]],"Pass","Fail"),IF(Table1[[#This Row],[DUT Adj Read]]&lt;=Table1[[#This Row],[High Tol]],"Pass","Fail")))</f>
        <v>Fail</v>
      </c>
      <c r="AH28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9" s="1" t="b">
        <v>0</v>
      </c>
      <c r="AN2809" s="1" t="b">
        <v>0</v>
      </c>
      <c r="AO2809" s="1" t="b">
        <v>0</v>
      </c>
    </row>
    <row r="2810" spans="1:41" x14ac:dyDescent="0.25">
      <c r="A2810" s="10"/>
      <c r="B2810" s="10"/>
      <c r="C2810" s="10"/>
      <c r="D2810" s="10"/>
      <c r="E2810" s="10"/>
      <c r="F2810" s="10"/>
      <c r="G2810" s="10"/>
      <c r="H2810" s="10"/>
      <c r="I2810" s="1" t="str">
        <f t="shared" si="129"/>
        <v/>
      </c>
      <c r="J2810" s="1" t="s">
        <v>35</v>
      </c>
      <c r="K2810" s="1" t="str">
        <f t="shared" si="130"/>
        <v/>
      </c>
      <c r="L2810" s="1" t="str">
        <f t="shared" si="131"/>
        <v/>
      </c>
      <c r="M2810" s="1">
        <f>IF(OR(Table1[[#This Row],[Std Nom]]="",Table1[[#This Row],[Std Read]]=""),0,Table1[[#This Row],[Std Nom]]-Table1[[#This Row],[Std Read]])</f>
        <v>0</v>
      </c>
      <c r="N2810" s="1">
        <f>IF(Calculations!$F$5="ACCREDITED 17025 WITH UNCERTAINTIES",$N$10,0)</f>
        <v>0</v>
      </c>
      <c r="O2810" s="1" t="str">
        <f>IFERROR(Table1[[#This Row],[Std Nom]]-(_xlfn.XLOOKUP(Table1[[#This Row],[Manufacturer]]&amp;" "&amp;Table1[[#This Row],[Model]],Table13[MFR &amp; MDL],Table13[Tolerance % CW ],"")/100*Table1[[#This Row],[Std Nom]]),"")</f>
        <v/>
      </c>
      <c r="P2810" s="1" t="str">
        <f>IFERROR(Table1[[#This Row],[Std Nom]]+(_xlfn.XLOOKUP(Table1[[#This Row],[Manufacturer]]&amp;" "&amp;Table1[[#This Row],[Model]],Table13[MFR &amp; MDL],Table13[Tolerance % CW ],"")/100*Table1[[#This Row],[Std Nom]]),"")</f>
        <v/>
      </c>
      <c r="Q2810" s="1" t="e">
        <f>Table1[[#This Row],[High Tol]]-Table1[[#This Row],[Low Tol]]</f>
        <v>#VALUE!</v>
      </c>
      <c r="R2810" s="1">
        <f>2*Table1[[#This Row],[Std Error]]</f>
        <v>0</v>
      </c>
      <c r="S2810" s="1" t="str">
        <f>IF(Table1[[#This Row],[High Tol]]="","N/A",IFERROR(ABS(Table1[[#This Row],[Tol Span]]/Table1[[#This Row],[Error Span]]),"N/A"))</f>
        <v>N/A</v>
      </c>
      <c r="T2810" s="1" t="str">
        <f>IF(OR(Table1[[#This Row],[Low Tol]]="",Table1[[#This Row],[High Tol]]=""),"Needs Analysis",IF(Table1[[#This Row],[Ratio]]&gt;=4,"Not Significant",IF(Table1[[#This Row],[Ratio]]&gt;=2,"Semi-Significant","Significant")))</f>
        <v>Needs Analysis</v>
      </c>
      <c r="W2810" s="1">
        <f>IF(Table1[[#This Row],[Cal Type]]&lt;&gt;"ACCREDITED 17025 WITH UNCERTAINTIES",0,"")</f>
        <v>0</v>
      </c>
      <c r="X2810" s="1" t="str">
        <f>IF(Table1[[#This Row],[DUT Read]]="","N/A",Table1[[#This Row],[Std Error]]+Table1[[#This Row],[DUT Read]]+Table1[[#This Row],[DUT Ucty]])</f>
        <v>N/A</v>
      </c>
      <c r="Y2810" s="1" t="str">
        <f>IF(Table1[[#This Row],[Std Read]]="","N/A",Table1[[#This Row],[Std Read]]+Table1[[#This Row],[Std Ucty]])</f>
        <v>N/A</v>
      </c>
      <c r="Z28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0" s="1" t="str">
        <f>IF(Table1[[#This Row],[Spec Type]]="","N/A",Table1[[#This Row],[Spec Type]])</f>
        <v>±</v>
      </c>
      <c r="AC2810" s="1" t="str">
        <f>IF(Table1[[#This Row],[Spec Type2]]="N/A","N/A",IF(AND(Table1[[#This Row],[DUT Adj Read]]&gt;=Table1[[#This Row],[Low Tol]],Table1[[#This Row],[DUT Adj Read]]&lt;=Table1[[#This Row],[High Tol]]),"Pass","Fail"))</f>
        <v>Fail</v>
      </c>
      <c r="AD2810" s="1" t="str">
        <f>IF(AND(Table1[[#This Row],[Spec Type2]]="N/A",Table1[[#This Row],[DUT Adj Read]]="N/A",Table1[[#This Row],[Std Adj Read]]="N/A"),"N/A",IF(Table1[[#This Row],[DUT Adj Read]]="N/A",IF(Table1[[#This Row],[Std Adj Read]]&gt;Table1[[#This Row],[Low Tol]],"Pass","Fail"),IF(Table1[[#This Row],[DUT Adj Read]]&gt;Table1[[#This Row],[Low Tol]],"Pass","Fail")))</f>
        <v>Pass</v>
      </c>
      <c r="AE2810" s="1" t="str">
        <f>IF(AND(Table1[[#This Row],[Spec Type2]]="N/A",Table1[[#This Row],[DUT Adj Read]]="N/A",Table1[[#This Row],[Std Adj Read]]="N/A"),"N/A",IF(Table1[[#This Row],[DUT Adj Read]]="N/A",IF(Table1[[#This Row],[Std Adj Read]]&lt;Table1[[#This Row],[High Tol]],"Pass","Fail"),IF(Table1[[#This Row],[DUT Adj Read]]&lt;Table1[[#This Row],[High Tol]],"Pass","Fail")))</f>
        <v>Fail</v>
      </c>
      <c r="AF2810" s="1" t="str">
        <f>IF(AND(Table1[[#This Row],[Spec Type2]]="N/A",Table1[[#This Row],[DUT Adj Read]]="N/A",Table1[[#This Row],[Std Adj Read]]="N/A"),"N/A",IF(Table1[[#This Row],[DUT Adj Read]]="N/A",IF(Table1[[#This Row],[Std Adj Read]]&gt;=Table1[[#This Row],[Low Tol]],"Pass","Fail"),IF(Table1[[#This Row],[DUT Adj Read]]&gt;=Table1[[#This Row],[Low Tol]],"Pass","Fail")))</f>
        <v>Pass</v>
      </c>
      <c r="AG2810" s="1" t="str">
        <f>IF(AND(Table1[[#This Row],[Spec Type2]]="N/A",Table1[[#This Row],[DUT Adj Read]]="N/A",Table1[[#This Row],[Std Adj Read]]="N/A"),"N/A",IF(Table1[[#This Row],[DUT Adj Read]]="N/A",IF(Table1[[#This Row],[Std Adj Read]]&lt;=Table1[[#This Row],[High Tol]],"Pass","Fail"),IF(Table1[[#This Row],[DUT Adj Read]]&lt;=Table1[[#This Row],[High Tol]],"Pass","Fail")))</f>
        <v>Fail</v>
      </c>
      <c r="AH28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0" s="1" t="b">
        <v>0</v>
      </c>
      <c r="AN2810" s="1" t="b">
        <v>0</v>
      </c>
      <c r="AO2810" s="1" t="b">
        <v>0</v>
      </c>
    </row>
    <row r="2811" spans="1:41" x14ac:dyDescent="0.25">
      <c r="A2811" s="10"/>
      <c r="B2811" s="10"/>
      <c r="C2811" s="10"/>
      <c r="D2811" s="10"/>
      <c r="E2811" s="10"/>
      <c r="F2811" s="10"/>
      <c r="G2811" s="10"/>
      <c r="H2811" s="10"/>
      <c r="I2811" s="1" t="str">
        <f t="shared" si="129"/>
        <v/>
      </c>
      <c r="J2811" s="1" t="s">
        <v>35</v>
      </c>
      <c r="K2811" s="1" t="str">
        <f t="shared" si="130"/>
        <v/>
      </c>
      <c r="L2811" s="1" t="str">
        <f t="shared" si="131"/>
        <v/>
      </c>
      <c r="M2811" s="1">
        <f>IF(OR(Table1[[#This Row],[Std Nom]]="",Table1[[#This Row],[Std Read]]=""),0,Table1[[#This Row],[Std Nom]]-Table1[[#This Row],[Std Read]])</f>
        <v>0</v>
      </c>
      <c r="N2811" s="1">
        <f>IF(Calculations!$F$5="ACCREDITED 17025 WITH UNCERTAINTIES",$N$10,0)</f>
        <v>0</v>
      </c>
      <c r="O2811" s="1" t="str">
        <f>IFERROR(Table1[[#This Row],[Std Nom]]-(_xlfn.XLOOKUP(Table1[[#This Row],[Manufacturer]]&amp;" "&amp;Table1[[#This Row],[Model]],Table13[MFR &amp; MDL],Table13[Tolerance % CW ],"")/100*Table1[[#This Row],[Std Nom]]),"")</f>
        <v/>
      </c>
      <c r="P2811" s="1" t="str">
        <f>IFERROR(Table1[[#This Row],[Std Nom]]+(_xlfn.XLOOKUP(Table1[[#This Row],[Manufacturer]]&amp;" "&amp;Table1[[#This Row],[Model]],Table13[MFR &amp; MDL],Table13[Tolerance % CW ],"")/100*Table1[[#This Row],[Std Nom]]),"")</f>
        <v/>
      </c>
      <c r="Q2811" s="1" t="e">
        <f>Table1[[#This Row],[High Tol]]-Table1[[#This Row],[Low Tol]]</f>
        <v>#VALUE!</v>
      </c>
      <c r="R2811" s="1">
        <f>2*Table1[[#This Row],[Std Error]]</f>
        <v>0</v>
      </c>
      <c r="S2811" s="1" t="str">
        <f>IF(Table1[[#This Row],[High Tol]]="","N/A",IFERROR(ABS(Table1[[#This Row],[Tol Span]]/Table1[[#This Row],[Error Span]]),"N/A"))</f>
        <v>N/A</v>
      </c>
      <c r="T2811" s="1" t="str">
        <f>IF(OR(Table1[[#This Row],[Low Tol]]="",Table1[[#This Row],[High Tol]]=""),"Needs Analysis",IF(Table1[[#This Row],[Ratio]]&gt;=4,"Not Significant",IF(Table1[[#This Row],[Ratio]]&gt;=2,"Semi-Significant","Significant")))</f>
        <v>Needs Analysis</v>
      </c>
      <c r="W2811" s="1">
        <f>IF(Table1[[#This Row],[Cal Type]]&lt;&gt;"ACCREDITED 17025 WITH UNCERTAINTIES",0,"")</f>
        <v>0</v>
      </c>
      <c r="X2811" s="1" t="str">
        <f>IF(Table1[[#This Row],[DUT Read]]="","N/A",Table1[[#This Row],[Std Error]]+Table1[[#This Row],[DUT Read]]+Table1[[#This Row],[DUT Ucty]])</f>
        <v>N/A</v>
      </c>
      <c r="Y2811" s="1" t="str">
        <f>IF(Table1[[#This Row],[Std Read]]="","N/A",Table1[[#This Row],[Std Read]]+Table1[[#This Row],[Std Ucty]])</f>
        <v>N/A</v>
      </c>
      <c r="Z28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1" s="1" t="str">
        <f>IF(Table1[[#This Row],[Spec Type]]="","N/A",Table1[[#This Row],[Spec Type]])</f>
        <v>±</v>
      </c>
      <c r="AC2811" s="1" t="str">
        <f>IF(Table1[[#This Row],[Spec Type2]]="N/A","N/A",IF(AND(Table1[[#This Row],[DUT Adj Read]]&gt;=Table1[[#This Row],[Low Tol]],Table1[[#This Row],[DUT Adj Read]]&lt;=Table1[[#This Row],[High Tol]]),"Pass","Fail"))</f>
        <v>Fail</v>
      </c>
      <c r="AD2811" s="1" t="str">
        <f>IF(AND(Table1[[#This Row],[Spec Type2]]="N/A",Table1[[#This Row],[DUT Adj Read]]="N/A",Table1[[#This Row],[Std Adj Read]]="N/A"),"N/A",IF(Table1[[#This Row],[DUT Adj Read]]="N/A",IF(Table1[[#This Row],[Std Adj Read]]&gt;Table1[[#This Row],[Low Tol]],"Pass","Fail"),IF(Table1[[#This Row],[DUT Adj Read]]&gt;Table1[[#This Row],[Low Tol]],"Pass","Fail")))</f>
        <v>Pass</v>
      </c>
      <c r="AE2811" s="1" t="str">
        <f>IF(AND(Table1[[#This Row],[Spec Type2]]="N/A",Table1[[#This Row],[DUT Adj Read]]="N/A",Table1[[#This Row],[Std Adj Read]]="N/A"),"N/A",IF(Table1[[#This Row],[DUT Adj Read]]="N/A",IF(Table1[[#This Row],[Std Adj Read]]&lt;Table1[[#This Row],[High Tol]],"Pass","Fail"),IF(Table1[[#This Row],[DUT Adj Read]]&lt;Table1[[#This Row],[High Tol]],"Pass","Fail")))</f>
        <v>Fail</v>
      </c>
      <c r="AF2811" s="1" t="str">
        <f>IF(AND(Table1[[#This Row],[Spec Type2]]="N/A",Table1[[#This Row],[DUT Adj Read]]="N/A",Table1[[#This Row],[Std Adj Read]]="N/A"),"N/A",IF(Table1[[#This Row],[DUT Adj Read]]="N/A",IF(Table1[[#This Row],[Std Adj Read]]&gt;=Table1[[#This Row],[Low Tol]],"Pass","Fail"),IF(Table1[[#This Row],[DUT Adj Read]]&gt;=Table1[[#This Row],[Low Tol]],"Pass","Fail")))</f>
        <v>Pass</v>
      </c>
      <c r="AG2811" s="1" t="str">
        <f>IF(AND(Table1[[#This Row],[Spec Type2]]="N/A",Table1[[#This Row],[DUT Adj Read]]="N/A",Table1[[#This Row],[Std Adj Read]]="N/A"),"N/A",IF(Table1[[#This Row],[DUT Adj Read]]="N/A",IF(Table1[[#This Row],[Std Adj Read]]&lt;=Table1[[#This Row],[High Tol]],"Pass","Fail"),IF(Table1[[#This Row],[DUT Adj Read]]&lt;=Table1[[#This Row],[High Tol]],"Pass","Fail")))</f>
        <v>Fail</v>
      </c>
      <c r="AH28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1" s="1" t="b">
        <v>0</v>
      </c>
      <c r="AN2811" s="1" t="b">
        <v>0</v>
      </c>
      <c r="AO2811" s="1" t="b">
        <v>0</v>
      </c>
    </row>
    <row r="2812" spans="1:41" x14ac:dyDescent="0.25">
      <c r="A2812" s="10"/>
      <c r="B2812" s="10"/>
      <c r="C2812" s="10"/>
      <c r="D2812" s="10"/>
      <c r="E2812" s="10"/>
      <c r="F2812" s="10"/>
      <c r="G2812" s="10"/>
      <c r="H2812" s="10"/>
      <c r="I2812" s="1" t="str">
        <f t="shared" si="129"/>
        <v/>
      </c>
      <c r="J2812" s="1" t="s">
        <v>35</v>
      </c>
      <c r="K2812" s="1" t="str">
        <f t="shared" si="130"/>
        <v/>
      </c>
      <c r="L2812" s="1" t="str">
        <f t="shared" si="131"/>
        <v/>
      </c>
      <c r="M2812" s="1">
        <f>IF(OR(Table1[[#This Row],[Std Nom]]="",Table1[[#This Row],[Std Read]]=""),0,Table1[[#This Row],[Std Nom]]-Table1[[#This Row],[Std Read]])</f>
        <v>0</v>
      </c>
      <c r="N2812" s="1">
        <f>IF(Calculations!$F$5="ACCREDITED 17025 WITH UNCERTAINTIES",$N$10,0)</f>
        <v>0</v>
      </c>
      <c r="O2812" s="1" t="str">
        <f>IFERROR(Table1[[#This Row],[Std Nom]]-(_xlfn.XLOOKUP(Table1[[#This Row],[Manufacturer]]&amp;" "&amp;Table1[[#This Row],[Model]],Table13[MFR &amp; MDL],Table13[Tolerance % CW ],"")/100*Table1[[#This Row],[Std Nom]]),"")</f>
        <v/>
      </c>
      <c r="P2812" s="1" t="str">
        <f>IFERROR(Table1[[#This Row],[Std Nom]]+(_xlfn.XLOOKUP(Table1[[#This Row],[Manufacturer]]&amp;" "&amp;Table1[[#This Row],[Model]],Table13[MFR &amp; MDL],Table13[Tolerance % CW ],"")/100*Table1[[#This Row],[Std Nom]]),"")</f>
        <v/>
      </c>
      <c r="Q2812" s="1" t="e">
        <f>Table1[[#This Row],[High Tol]]-Table1[[#This Row],[Low Tol]]</f>
        <v>#VALUE!</v>
      </c>
      <c r="R2812" s="1">
        <f>2*Table1[[#This Row],[Std Error]]</f>
        <v>0</v>
      </c>
      <c r="S2812" s="1" t="str">
        <f>IF(Table1[[#This Row],[High Tol]]="","N/A",IFERROR(ABS(Table1[[#This Row],[Tol Span]]/Table1[[#This Row],[Error Span]]),"N/A"))</f>
        <v>N/A</v>
      </c>
      <c r="T2812" s="1" t="str">
        <f>IF(OR(Table1[[#This Row],[Low Tol]]="",Table1[[#This Row],[High Tol]]=""),"Needs Analysis",IF(Table1[[#This Row],[Ratio]]&gt;=4,"Not Significant",IF(Table1[[#This Row],[Ratio]]&gt;=2,"Semi-Significant","Significant")))</f>
        <v>Needs Analysis</v>
      </c>
      <c r="W2812" s="1">
        <f>IF(Table1[[#This Row],[Cal Type]]&lt;&gt;"ACCREDITED 17025 WITH UNCERTAINTIES",0,"")</f>
        <v>0</v>
      </c>
      <c r="X2812" s="1" t="str">
        <f>IF(Table1[[#This Row],[DUT Read]]="","N/A",Table1[[#This Row],[Std Error]]+Table1[[#This Row],[DUT Read]]+Table1[[#This Row],[DUT Ucty]])</f>
        <v>N/A</v>
      </c>
      <c r="Y2812" s="1" t="str">
        <f>IF(Table1[[#This Row],[Std Read]]="","N/A",Table1[[#This Row],[Std Read]]+Table1[[#This Row],[Std Ucty]])</f>
        <v>N/A</v>
      </c>
      <c r="Z28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2" s="1" t="str">
        <f>IF(Table1[[#This Row],[Spec Type]]="","N/A",Table1[[#This Row],[Spec Type]])</f>
        <v>±</v>
      </c>
      <c r="AC2812" s="1" t="str">
        <f>IF(Table1[[#This Row],[Spec Type2]]="N/A","N/A",IF(AND(Table1[[#This Row],[DUT Adj Read]]&gt;=Table1[[#This Row],[Low Tol]],Table1[[#This Row],[DUT Adj Read]]&lt;=Table1[[#This Row],[High Tol]]),"Pass","Fail"))</f>
        <v>Fail</v>
      </c>
      <c r="AD2812" s="1" t="str">
        <f>IF(AND(Table1[[#This Row],[Spec Type2]]="N/A",Table1[[#This Row],[DUT Adj Read]]="N/A",Table1[[#This Row],[Std Adj Read]]="N/A"),"N/A",IF(Table1[[#This Row],[DUT Adj Read]]="N/A",IF(Table1[[#This Row],[Std Adj Read]]&gt;Table1[[#This Row],[Low Tol]],"Pass","Fail"),IF(Table1[[#This Row],[DUT Adj Read]]&gt;Table1[[#This Row],[Low Tol]],"Pass","Fail")))</f>
        <v>Pass</v>
      </c>
      <c r="AE2812" s="1" t="str">
        <f>IF(AND(Table1[[#This Row],[Spec Type2]]="N/A",Table1[[#This Row],[DUT Adj Read]]="N/A",Table1[[#This Row],[Std Adj Read]]="N/A"),"N/A",IF(Table1[[#This Row],[DUT Adj Read]]="N/A",IF(Table1[[#This Row],[Std Adj Read]]&lt;Table1[[#This Row],[High Tol]],"Pass","Fail"),IF(Table1[[#This Row],[DUT Adj Read]]&lt;Table1[[#This Row],[High Tol]],"Pass","Fail")))</f>
        <v>Fail</v>
      </c>
      <c r="AF2812" s="1" t="str">
        <f>IF(AND(Table1[[#This Row],[Spec Type2]]="N/A",Table1[[#This Row],[DUT Adj Read]]="N/A",Table1[[#This Row],[Std Adj Read]]="N/A"),"N/A",IF(Table1[[#This Row],[DUT Adj Read]]="N/A",IF(Table1[[#This Row],[Std Adj Read]]&gt;=Table1[[#This Row],[Low Tol]],"Pass","Fail"),IF(Table1[[#This Row],[DUT Adj Read]]&gt;=Table1[[#This Row],[Low Tol]],"Pass","Fail")))</f>
        <v>Pass</v>
      </c>
      <c r="AG2812" s="1" t="str">
        <f>IF(AND(Table1[[#This Row],[Spec Type2]]="N/A",Table1[[#This Row],[DUT Adj Read]]="N/A",Table1[[#This Row],[Std Adj Read]]="N/A"),"N/A",IF(Table1[[#This Row],[DUT Adj Read]]="N/A",IF(Table1[[#This Row],[Std Adj Read]]&lt;=Table1[[#This Row],[High Tol]],"Pass","Fail"),IF(Table1[[#This Row],[DUT Adj Read]]&lt;=Table1[[#This Row],[High Tol]],"Pass","Fail")))</f>
        <v>Fail</v>
      </c>
      <c r="AH28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2" s="1" t="b">
        <v>0</v>
      </c>
      <c r="AN2812" s="1" t="b">
        <v>0</v>
      </c>
      <c r="AO2812" s="1" t="b">
        <v>0</v>
      </c>
    </row>
    <row r="2813" spans="1:41" x14ac:dyDescent="0.25">
      <c r="A2813" s="10"/>
      <c r="B2813" s="10"/>
      <c r="C2813" s="10"/>
      <c r="D2813" s="10"/>
      <c r="E2813" s="10"/>
      <c r="F2813" s="10"/>
      <c r="G2813" s="10"/>
      <c r="H2813" s="10"/>
      <c r="I2813" s="1" t="str">
        <f t="shared" si="129"/>
        <v/>
      </c>
      <c r="J2813" s="1" t="s">
        <v>35</v>
      </c>
      <c r="K2813" s="1" t="str">
        <f t="shared" si="130"/>
        <v/>
      </c>
      <c r="L2813" s="1" t="str">
        <f t="shared" si="131"/>
        <v/>
      </c>
      <c r="M2813" s="1">
        <f>IF(OR(Table1[[#This Row],[Std Nom]]="",Table1[[#This Row],[Std Read]]=""),0,Table1[[#This Row],[Std Nom]]-Table1[[#This Row],[Std Read]])</f>
        <v>0</v>
      </c>
      <c r="N2813" s="1">
        <f>IF(Calculations!$F$5="ACCREDITED 17025 WITH UNCERTAINTIES",$N$10,0)</f>
        <v>0</v>
      </c>
      <c r="O2813" s="1" t="str">
        <f>IFERROR(Table1[[#This Row],[Std Nom]]-(_xlfn.XLOOKUP(Table1[[#This Row],[Manufacturer]]&amp;" "&amp;Table1[[#This Row],[Model]],Table13[MFR &amp; MDL],Table13[Tolerance % CW ],"")/100*Table1[[#This Row],[Std Nom]]),"")</f>
        <v/>
      </c>
      <c r="P2813" s="1" t="str">
        <f>IFERROR(Table1[[#This Row],[Std Nom]]+(_xlfn.XLOOKUP(Table1[[#This Row],[Manufacturer]]&amp;" "&amp;Table1[[#This Row],[Model]],Table13[MFR &amp; MDL],Table13[Tolerance % CW ],"")/100*Table1[[#This Row],[Std Nom]]),"")</f>
        <v/>
      </c>
      <c r="Q2813" s="1" t="e">
        <f>Table1[[#This Row],[High Tol]]-Table1[[#This Row],[Low Tol]]</f>
        <v>#VALUE!</v>
      </c>
      <c r="R2813" s="1">
        <f>2*Table1[[#This Row],[Std Error]]</f>
        <v>0</v>
      </c>
      <c r="S2813" s="1" t="str">
        <f>IF(Table1[[#This Row],[High Tol]]="","N/A",IFERROR(ABS(Table1[[#This Row],[Tol Span]]/Table1[[#This Row],[Error Span]]),"N/A"))</f>
        <v>N/A</v>
      </c>
      <c r="T2813" s="1" t="str">
        <f>IF(OR(Table1[[#This Row],[Low Tol]]="",Table1[[#This Row],[High Tol]]=""),"Needs Analysis",IF(Table1[[#This Row],[Ratio]]&gt;=4,"Not Significant",IF(Table1[[#This Row],[Ratio]]&gt;=2,"Semi-Significant","Significant")))</f>
        <v>Needs Analysis</v>
      </c>
      <c r="W2813" s="1">
        <f>IF(Table1[[#This Row],[Cal Type]]&lt;&gt;"ACCREDITED 17025 WITH UNCERTAINTIES",0,"")</f>
        <v>0</v>
      </c>
      <c r="X2813" s="1" t="str">
        <f>IF(Table1[[#This Row],[DUT Read]]="","N/A",Table1[[#This Row],[Std Error]]+Table1[[#This Row],[DUT Read]]+Table1[[#This Row],[DUT Ucty]])</f>
        <v>N/A</v>
      </c>
      <c r="Y2813" s="1" t="str">
        <f>IF(Table1[[#This Row],[Std Read]]="","N/A",Table1[[#This Row],[Std Read]]+Table1[[#This Row],[Std Ucty]])</f>
        <v>N/A</v>
      </c>
      <c r="Z28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3" s="1" t="str">
        <f>IF(Table1[[#This Row],[Spec Type]]="","N/A",Table1[[#This Row],[Spec Type]])</f>
        <v>±</v>
      </c>
      <c r="AC2813" s="1" t="str">
        <f>IF(Table1[[#This Row],[Spec Type2]]="N/A","N/A",IF(AND(Table1[[#This Row],[DUT Adj Read]]&gt;=Table1[[#This Row],[Low Tol]],Table1[[#This Row],[DUT Adj Read]]&lt;=Table1[[#This Row],[High Tol]]),"Pass","Fail"))</f>
        <v>Fail</v>
      </c>
      <c r="AD2813" s="1" t="str">
        <f>IF(AND(Table1[[#This Row],[Spec Type2]]="N/A",Table1[[#This Row],[DUT Adj Read]]="N/A",Table1[[#This Row],[Std Adj Read]]="N/A"),"N/A",IF(Table1[[#This Row],[DUT Adj Read]]="N/A",IF(Table1[[#This Row],[Std Adj Read]]&gt;Table1[[#This Row],[Low Tol]],"Pass","Fail"),IF(Table1[[#This Row],[DUT Adj Read]]&gt;Table1[[#This Row],[Low Tol]],"Pass","Fail")))</f>
        <v>Pass</v>
      </c>
      <c r="AE2813" s="1" t="str">
        <f>IF(AND(Table1[[#This Row],[Spec Type2]]="N/A",Table1[[#This Row],[DUT Adj Read]]="N/A",Table1[[#This Row],[Std Adj Read]]="N/A"),"N/A",IF(Table1[[#This Row],[DUT Adj Read]]="N/A",IF(Table1[[#This Row],[Std Adj Read]]&lt;Table1[[#This Row],[High Tol]],"Pass","Fail"),IF(Table1[[#This Row],[DUT Adj Read]]&lt;Table1[[#This Row],[High Tol]],"Pass","Fail")))</f>
        <v>Fail</v>
      </c>
      <c r="AF2813" s="1" t="str">
        <f>IF(AND(Table1[[#This Row],[Spec Type2]]="N/A",Table1[[#This Row],[DUT Adj Read]]="N/A",Table1[[#This Row],[Std Adj Read]]="N/A"),"N/A",IF(Table1[[#This Row],[DUT Adj Read]]="N/A",IF(Table1[[#This Row],[Std Adj Read]]&gt;=Table1[[#This Row],[Low Tol]],"Pass","Fail"),IF(Table1[[#This Row],[DUT Adj Read]]&gt;=Table1[[#This Row],[Low Tol]],"Pass","Fail")))</f>
        <v>Pass</v>
      </c>
      <c r="AG2813" s="1" t="str">
        <f>IF(AND(Table1[[#This Row],[Spec Type2]]="N/A",Table1[[#This Row],[DUT Adj Read]]="N/A",Table1[[#This Row],[Std Adj Read]]="N/A"),"N/A",IF(Table1[[#This Row],[DUT Adj Read]]="N/A",IF(Table1[[#This Row],[Std Adj Read]]&lt;=Table1[[#This Row],[High Tol]],"Pass","Fail"),IF(Table1[[#This Row],[DUT Adj Read]]&lt;=Table1[[#This Row],[High Tol]],"Pass","Fail")))</f>
        <v>Fail</v>
      </c>
      <c r="AH28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3" s="1" t="b">
        <v>0</v>
      </c>
      <c r="AN2813" s="1" t="b">
        <v>0</v>
      </c>
      <c r="AO2813" s="1" t="b">
        <v>0</v>
      </c>
    </row>
    <row r="2814" spans="1:41" x14ac:dyDescent="0.25">
      <c r="A2814" s="10"/>
      <c r="B2814" s="10"/>
      <c r="C2814" s="10"/>
      <c r="D2814" s="10"/>
      <c r="E2814" s="10"/>
      <c r="F2814" s="10"/>
      <c r="G2814" s="10"/>
      <c r="H2814" s="10"/>
      <c r="I2814" s="1" t="str">
        <f t="shared" si="129"/>
        <v/>
      </c>
      <c r="J2814" s="1" t="s">
        <v>35</v>
      </c>
      <c r="K2814" s="1" t="str">
        <f t="shared" si="130"/>
        <v/>
      </c>
      <c r="L2814" s="1" t="str">
        <f t="shared" si="131"/>
        <v/>
      </c>
      <c r="M2814" s="1">
        <f>IF(OR(Table1[[#This Row],[Std Nom]]="",Table1[[#This Row],[Std Read]]=""),0,Table1[[#This Row],[Std Nom]]-Table1[[#This Row],[Std Read]])</f>
        <v>0</v>
      </c>
      <c r="N2814" s="1">
        <f>IF(Calculations!$F$5="ACCREDITED 17025 WITH UNCERTAINTIES",$N$10,0)</f>
        <v>0</v>
      </c>
      <c r="O2814" s="1" t="str">
        <f>IFERROR(Table1[[#This Row],[Std Nom]]-(_xlfn.XLOOKUP(Table1[[#This Row],[Manufacturer]]&amp;" "&amp;Table1[[#This Row],[Model]],Table13[MFR &amp; MDL],Table13[Tolerance % CW ],"")/100*Table1[[#This Row],[Std Nom]]),"")</f>
        <v/>
      </c>
      <c r="P2814" s="1" t="str">
        <f>IFERROR(Table1[[#This Row],[Std Nom]]+(_xlfn.XLOOKUP(Table1[[#This Row],[Manufacturer]]&amp;" "&amp;Table1[[#This Row],[Model]],Table13[MFR &amp; MDL],Table13[Tolerance % CW ],"")/100*Table1[[#This Row],[Std Nom]]),"")</f>
        <v/>
      </c>
      <c r="Q2814" s="1" t="e">
        <f>Table1[[#This Row],[High Tol]]-Table1[[#This Row],[Low Tol]]</f>
        <v>#VALUE!</v>
      </c>
      <c r="R2814" s="1">
        <f>2*Table1[[#This Row],[Std Error]]</f>
        <v>0</v>
      </c>
      <c r="S2814" s="1" t="str">
        <f>IF(Table1[[#This Row],[High Tol]]="","N/A",IFERROR(ABS(Table1[[#This Row],[Tol Span]]/Table1[[#This Row],[Error Span]]),"N/A"))</f>
        <v>N/A</v>
      </c>
      <c r="T2814" s="1" t="str">
        <f>IF(OR(Table1[[#This Row],[Low Tol]]="",Table1[[#This Row],[High Tol]]=""),"Needs Analysis",IF(Table1[[#This Row],[Ratio]]&gt;=4,"Not Significant",IF(Table1[[#This Row],[Ratio]]&gt;=2,"Semi-Significant","Significant")))</f>
        <v>Needs Analysis</v>
      </c>
      <c r="W2814" s="1">
        <f>IF(Table1[[#This Row],[Cal Type]]&lt;&gt;"ACCREDITED 17025 WITH UNCERTAINTIES",0,"")</f>
        <v>0</v>
      </c>
      <c r="X2814" s="1" t="str">
        <f>IF(Table1[[#This Row],[DUT Read]]="","N/A",Table1[[#This Row],[Std Error]]+Table1[[#This Row],[DUT Read]]+Table1[[#This Row],[DUT Ucty]])</f>
        <v>N/A</v>
      </c>
      <c r="Y2814" s="1" t="str">
        <f>IF(Table1[[#This Row],[Std Read]]="","N/A",Table1[[#This Row],[Std Read]]+Table1[[#This Row],[Std Ucty]])</f>
        <v>N/A</v>
      </c>
      <c r="Z28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4" s="1" t="str">
        <f>IF(Table1[[#This Row],[Spec Type]]="","N/A",Table1[[#This Row],[Spec Type]])</f>
        <v>±</v>
      </c>
      <c r="AC2814" s="1" t="str">
        <f>IF(Table1[[#This Row],[Spec Type2]]="N/A","N/A",IF(AND(Table1[[#This Row],[DUT Adj Read]]&gt;=Table1[[#This Row],[Low Tol]],Table1[[#This Row],[DUT Adj Read]]&lt;=Table1[[#This Row],[High Tol]]),"Pass","Fail"))</f>
        <v>Fail</v>
      </c>
      <c r="AD2814" s="1" t="str">
        <f>IF(AND(Table1[[#This Row],[Spec Type2]]="N/A",Table1[[#This Row],[DUT Adj Read]]="N/A",Table1[[#This Row],[Std Adj Read]]="N/A"),"N/A",IF(Table1[[#This Row],[DUT Adj Read]]="N/A",IF(Table1[[#This Row],[Std Adj Read]]&gt;Table1[[#This Row],[Low Tol]],"Pass","Fail"),IF(Table1[[#This Row],[DUT Adj Read]]&gt;Table1[[#This Row],[Low Tol]],"Pass","Fail")))</f>
        <v>Pass</v>
      </c>
      <c r="AE2814" s="1" t="str">
        <f>IF(AND(Table1[[#This Row],[Spec Type2]]="N/A",Table1[[#This Row],[DUT Adj Read]]="N/A",Table1[[#This Row],[Std Adj Read]]="N/A"),"N/A",IF(Table1[[#This Row],[DUT Adj Read]]="N/A",IF(Table1[[#This Row],[Std Adj Read]]&lt;Table1[[#This Row],[High Tol]],"Pass","Fail"),IF(Table1[[#This Row],[DUT Adj Read]]&lt;Table1[[#This Row],[High Tol]],"Pass","Fail")))</f>
        <v>Fail</v>
      </c>
      <c r="AF2814" s="1" t="str">
        <f>IF(AND(Table1[[#This Row],[Spec Type2]]="N/A",Table1[[#This Row],[DUT Adj Read]]="N/A",Table1[[#This Row],[Std Adj Read]]="N/A"),"N/A",IF(Table1[[#This Row],[DUT Adj Read]]="N/A",IF(Table1[[#This Row],[Std Adj Read]]&gt;=Table1[[#This Row],[Low Tol]],"Pass","Fail"),IF(Table1[[#This Row],[DUT Adj Read]]&gt;=Table1[[#This Row],[Low Tol]],"Pass","Fail")))</f>
        <v>Pass</v>
      </c>
      <c r="AG2814" s="1" t="str">
        <f>IF(AND(Table1[[#This Row],[Spec Type2]]="N/A",Table1[[#This Row],[DUT Adj Read]]="N/A",Table1[[#This Row],[Std Adj Read]]="N/A"),"N/A",IF(Table1[[#This Row],[DUT Adj Read]]="N/A",IF(Table1[[#This Row],[Std Adj Read]]&lt;=Table1[[#This Row],[High Tol]],"Pass","Fail"),IF(Table1[[#This Row],[DUT Adj Read]]&lt;=Table1[[#This Row],[High Tol]],"Pass","Fail")))</f>
        <v>Fail</v>
      </c>
      <c r="AH28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4" s="1" t="b">
        <v>0</v>
      </c>
      <c r="AN2814" s="1" t="b">
        <v>0</v>
      </c>
      <c r="AO2814" s="1" t="b">
        <v>0</v>
      </c>
    </row>
    <row r="2815" spans="1:41" x14ac:dyDescent="0.25">
      <c r="A2815" s="10"/>
      <c r="B2815" s="10"/>
      <c r="C2815" s="10"/>
      <c r="D2815" s="10"/>
      <c r="E2815" s="10"/>
      <c r="F2815" s="10"/>
      <c r="G2815" s="10"/>
      <c r="H2815" s="10"/>
      <c r="I2815" s="1" t="str">
        <f t="shared" si="129"/>
        <v/>
      </c>
      <c r="J2815" s="1" t="s">
        <v>35</v>
      </c>
      <c r="K2815" s="1" t="str">
        <f t="shared" si="130"/>
        <v/>
      </c>
      <c r="L2815" s="1" t="str">
        <f t="shared" si="131"/>
        <v/>
      </c>
      <c r="M2815" s="1">
        <f>IF(OR(Table1[[#This Row],[Std Nom]]="",Table1[[#This Row],[Std Read]]=""),0,Table1[[#This Row],[Std Nom]]-Table1[[#This Row],[Std Read]])</f>
        <v>0</v>
      </c>
      <c r="N2815" s="1">
        <f>IF(Calculations!$F$5="ACCREDITED 17025 WITH UNCERTAINTIES",$N$10,0)</f>
        <v>0</v>
      </c>
      <c r="O2815" s="1" t="str">
        <f>IFERROR(Table1[[#This Row],[Std Nom]]-(_xlfn.XLOOKUP(Table1[[#This Row],[Manufacturer]]&amp;" "&amp;Table1[[#This Row],[Model]],Table13[MFR &amp; MDL],Table13[Tolerance % CW ],"")/100*Table1[[#This Row],[Std Nom]]),"")</f>
        <v/>
      </c>
      <c r="P2815" s="1" t="str">
        <f>IFERROR(Table1[[#This Row],[Std Nom]]+(_xlfn.XLOOKUP(Table1[[#This Row],[Manufacturer]]&amp;" "&amp;Table1[[#This Row],[Model]],Table13[MFR &amp; MDL],Table13[Tolerance % CW ],"")/100*Table1[[#This Row],[Std Nom]]),"")</f>
        <v/>
      </c>
      <c r="Q2815" s="1" t="e">
        <f>Table1[[#This Row],[High Tol]]-Table1[[#This Row],[Low Tol]]</f>
        <v>#VALUE!</v>
      </c>
      <c r="R2815" s="1">
        <f>2*Table1[[#This Row],[Std Error]]</f>
        <v>0</v>
      </c>
      <c r="S2815" s="1" t="str">
        <f>IF(Table1[[#This Row],[High Tol]]="","N/A",IFERROR(ABS(Table1[[#This Row],[Tol Span]]/Table1[[#This Row],[Error Span]]),"N/A"))</f>
        <v>N/A</v>
      </c>
      <c r="T2815" s="1" t="str">
        <f>IF(OR(Table1[[#This Row],[Low Tol]]="",Table1[[#This Row],[High Tol]]=""),"Needs Analysis",IF(Table1[[#This Row],[Ratio]]&gt;=4,"Not Significant",IF(Table1[[#This Row],[Ratio]]&gt;=2,"Semi-Significant","Significant")))</f>
        <v>Needs Analysis</v>
      </c>
      <c r="W2815" s="1">
        <f>IF(Table1[[#This Row],[Cal Type]]&lt;&gt;"ACCREDITED 17025 WITH UNCERTAINTIES",0,"")</f>
        <v>0</v>
      </c>
      <c r="X2815" s="1" t="str">
        <f>IF(Table1[[#This Row],[DUT Read]]="","N/A",Table1[[#This Row],[Std Error]]+Table1[[#This Row],[DUT Read]]+Table1[[#This Row],[DUT Ucty]])</f>
        <v>N/A</v>
      </c>
      <c r="Y2815" s="1" t="str">
        <f>IF(Table1[[#This Row],[Std Read]]="","N/A",Table1[[#This Row],[Std Read]]+Table1[[#This Row],[Std Ucty]])</f>
        <v>N/A</v>
      </c>
      <c r="Z28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5" s="1" t="str">
        <f>IF(Table1[[#This Row],[Spec Type]]="","N/A",Table1[[#This Row],[Spec Type]])</f>
        <v>±</v>
      </c>
      <c r="AC2815" s="1" t="str">
        <f>IF(Table1[[#This Row],[Spec Type2]]="N/A","N/A",IF(AND(Table1[[#This Row],[DUT Adj Read]]&gt;=Table1[[#This Row],[Low Tol]],Table1[[#This Row],[DUT Adj Read]]&lt;=Table1[[#This Row],[High Tol]]),"Pass","Fail"))</f>
        <v>Fail</v>
      </c>
      <c r="AD2815" s="1" t="str">
        <f>IF(AND(Table1[[#This Row],[Spec Type2]]="N/A",Table1[[#This Row],[DUT Adj Read]]="N/A",Table1[[#This Row],[Std Adj Read]]="N/A"),"N/A",IF(Table1[[#This Row],[DUT Adj Read]]="N/A",IF(Table1[[#This Row],[Std Adj Read]]&gt;Table1[[#This Row],[Low Tol]],"Pass","Fail"),IF(Table1[[#This Row],[DUT Adj Read]]&gt;Table1[[#This Row],[Low Tol]],"Pass","Fail")))</f>
        <v>Pass</v>
      </c>
      <c r="AE2815" s="1" t="str">
        <f>IF(AND(Table1[[#This Row],[Spec Type2]]="N/A",Table1[[#This Row],[DUT Adj Read]]="N/A",Table1[[#This Row],[Std Adj Read]]="N/A"),"N/A",IF(Table1[[#This Row],[DUT Adj Read]]="N/A",IF(Table1[[#This Row],[Std Adj Read]]&lt;Table1[[#This Row],[High Tol]],"Pass","Fail"),IF(Table1[[#This Row],[DUT Adj Read]]&lt;Table1[[#This Row],[High Tol]],"Pass","Fail")))</f>
        <v>Fail</v>
      </c>
      <c r="AF2815" s="1" t="str">
        <f>IF(AND(Table1[[#This Row],[Spec Type2]]="N/A",Table1[[#This Row],[DUT Adj Read]]="N/A",Table1[[#This Row],[Std Adj Read]]="N/A"),"N/A",IF(Table1[[#This Row],[DUT Adj Read]]="N/A",IF(Table1[[#This Row],[Std Adj Read]]&gt;=Table1[[#This Row],[Low Tol]],"Pass","Fail"),IF(Table1[[#This Row],[DUT Adj Read]]&gt;=Table1[[#This Row],[Low Tol]],"Pass","Fail")))</f>
        <v>Pass</v>
      </c>
      <c r="AG2815" s="1" t="str">
        <f>IF(AND(Table1[[#This Row],[Spec Type2]]="N/A",Table1[[#This Row],[DUT Adj Read]]="N/A",Table1[[#This Row],[Std Adj Read]]="N/A"),"N/A",IF(Table1[[#This Row],[DUT Adj Read]]="N/A",IF(Table1[[#This Row],[Std Adj Read]]&lt;=Table1[[#This Row],[High Tol]],"Pass","Fail"),IF(Table1[[#This Row],[DUT Adj Read]]&lt;=Table1[[#This Row],[High Tol]],"Pass","Fail")))</f>
        <v>Fail</v>
      </c>
      <c r="AH28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5" s="1" t="b">
        <v>0</v>
      </c>
      <c r="AN2815" s="1" t="b">
        <v>0</v>
      </c>
      <c r="AO2815" s="1" t="b">
        <v>0</v>
      </c>
    </row>
    <row r="2816" spans="1:41" x14ac:dyDescent="0.25">
      <c r="A2816" s="10"/>
      <c r="B2816" s="10"/>
      <c r="C2816" s="10"/>
      <c r="D2816" s="10"/>
      <c r="E2816" s="10"/>
      <c r="F2816" s="10"/>
      <c r="G2816" s="10"/>
      <c r="H2816" s="10"/>
      <c r="I2816" s="1" t="str">
        <f t="shared" si="129"/>
        <v/>
      </c>
      <c r="J2816" s="1" t="s">
        <v>35</v>
      </c>
      <c r="K2816" s="1" t="str">
        <f t="shared" si="130"/>
        <v/>
      </c>
      <c r="L2816" s="1" t="str">
        <f t="shared" si="131"/>
        <v/>
      </c>
      <c r="M2816" s="1">
        <f>IF(OR(Table1[[#This Row],[Std Nom]]="",Table1[[#This Row],[Std Read]]=""),0,Table1[[#This Row],[Std Nom]]-Table1[[#This Row],[Std Read]])</f>
        <v>0</v>
      </c>
      <c r="N2816" s="1">
        <f>IF(Calculations!$F$5="ACCREDITED 17025 WITH UNCERTAINTIES",$N$10,0)</f>
        <v>0</v>
      </c>
      <c r="O2816" s="1" t="str">
        <f>IFERROR(Table1[[#This Row],[Std Nom]]-(_xlfn.XLOOKUP(Table1[[#This Row],[Manufacturer]]&amp;" "&amp;Table1[[#This Row],[Model]],Table13[MFR &amp; MDL],Table13[Tolerance % CW ],"")/100*Table1[[#This Row],[Std Nom]]),"")</f>
        <v/>
      </c>
      <c r="P2816" s="1" t="str">
        <f>IFERROR(Table1[[#This Row],[Std Nom]]+(_xlfn.XLOOKUP(Table1[[#This Row],[Manufacturer]]&amp;" "&amp;Table1[[#This Row],[Model]],Table13[MFR &amp; MDL],Table13[Tolerance % CW ],"")/100*Table1[[#This Row],[Std Nom]]),"")</f>
        <v/>
      </c>
      <c r="Q2816" s="1" t="e">
        <f>Table1[[#This Row],[High Tol]]-Table1[[#This Row],[Low Tol]]</f>
        <v>#VALUE!</v>
      </c>
      <c r="R2816" s="1">
        <f>2*Table1[[#This Row],[Std Error]]</f>
        <v>0</v>
      </c>
      <c r="S2816" s="1" t="str">
        <f>IF(Table1[[#This Row],[High Tol]]="","N/A",IFERROR(ABS(Table1[[#This Row],[Tol Span]]/Table1[[#This Row],[Error Span]]),"N/A"))</f>
        <v>N/A</v>
      </c>
      <c r="T2816" s="1" t="str">
        <f>IF(OR(Table1[[#This Row],[Low Tol]]="",Table1[[#This Row],[High Tol]]=""),"Needs Analysis",IF(Table1[[#This Row],[Ratio]]&gt;=4,"Not Significant",IF(Table1[[#This Row],[Ratio]]&gt;=2,"Semi-Significant","Significant")))</f>
        <v>Needs Analysis</v>
      </c>
      <c r="W2816" s="1">
        <f>IF(Table1[[#This Row],[Cal Type]]&lt;&gt;"ACCREDITED 17025 WITH UNCERTAINTIES",0,"")</f>
        <v>0</v>
      </c>
      <c r="X2816" s="1" t="str">
        <f>IF(Table1[[#This Row],[DUT Read]]="","N/A",Table1[[#This Row],[Std Error]]+Table1[[#This Row],[DUT Read]]+Table1[[#This Row],[DUT Ucty]])</f>
        <v>N/A</v>
      </c>
      <c r="Y2816" s="1" t="str">
        <f>IF(Table1[[#This Row],[Std Read]]="","N/A",Table1[[#This Row],[Std Read]]+Table1[[#This Row],[Std Ucty]])</f>
        <v>N/A</v>
      </c>
      <c r="Z28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6" s="1" t="str">
        <f>IF(Table1[[#This Row],[Spec Type]]="","N/A",Table1[[#This Row],[Spec Type]])</f>
        <v>±</v>
      </c>
      <c r="AC2816" s="1" t="str">
        <f>IF(Table1[[#This Row],[Spec Type2]]="N/A","N/A",IF(AND(Table1[[#This Row],[DUT Adj Read]]&gt;=Table1[[#This Row],[Low Tol]],Table1[[#This Row],[DUT Adj Read]]&lt;=Table1[[#This Row],[High Tol]]),"Pass","Fail"))</f>
        <v>Fail</v>
      </c>
      <c r="AD2816" s="1" t="str">
        <f>IF(AND(Table1[[#This Row],[Spec Type2]]="N/A",Table1[[#This Row],[DUT Adj Read]]="N/A",Table1[[#This Row],[Std Adj Read]]="N/A"),"N/A",IF(Table1[[#This Row],[DUT Adj Read]]="N/A",IF(Table1[[#This Row],[Std Adj Read]]&gt;Table1[[#This Row],[Low Tol]],"Pass","Fail"),IF(Table1[[#This Row],[DUT Adj Read]]&gt;Table1[[#This Row],[Low Tol]],"Pass","Fail")))</f>
        <v>Pass</v>
      </c>
      <c r="AE2816" s="1" t="str">
        <f>IF(AND(Table1[[#This Row],[Spec Type2]]="N/A",Table1[[#This Row],[DUT Adj Read]]="N/A",Table1[[#This Row],[Std Adj Read]]="N/A"),"N/A",IF(Table1[[#This Row],[DUT Adj Read]]="N/A",IF(Table1[[#This Row],[Std Adj Read]]&lt;Table1[[#This Row],[High Tol]],"Pass","Fail"),IF(Table1[[#This Row],[DUT Adj Read]]&lt;Table1[[#This Row],[High Tol]],"Pass","Fail")))</f>
        <v>Fail</v>
      </c>
      <c r="AF2816" s="1" t="str">
        <f>IF(AND(Table1[[#This Row],[Spec Type2]]="N/A",Table1[[#This Row],[DUT Adj Read]]="N/A",Table1[[#This Row],[Std Adj Read]]="N/A"),"N/A",IF(Table1[[#This Row],[DUT Adj Read]]="N/A",IF(Table1[[#This Row],[Std Adj Read]]&gt;=Table1[[#This Row],[Low Tol]],"Pass","Fail"),IF(Table1[[#This Row],[DUT Adj Read]]&gt;=Table1[[#This Row],[Low Tol]],"Pass","Fail")))</f>
        <v>Pass</v>
      </c>
      <c r="AG2816" s="1" t="str">
        <f>IF(AND(Table1[[#This Row],[Spec Type2]]="N/A",Table1[[#This Row],[DUT Adj Read]]="N/A",Table1[[#This Row],[Std Adj Read]]="N/A"),"N/A",IF(Table1[[#This Row],[DUT Adj Read]]="N/A",IF(Table1[[#This Row],[Std Adj Read]]&lt;=Table1[[#This Row],[High Tol]],"Pass","Fail"),IF(Table1[[#This Row],[DUT Adj Read]]&lt;=Table1[[#This Row],[High Tol]],"Pass","Fail")))</f>
        <v>Fail</v>
      </c>
      <c r="AH28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6" s="1" t="b">
        <v>0</v>
      </c>
      <c r="AN2816" s="1" t="b">
        <v>0</v>
      </c>
      <c r="AO2816" s="1" t="b">
        <v>0</v>
      </c>
    </row>
    <row r="2817" spans="1:41" x14ac:dyDescent="0.25">
      <c r="A2817" s="10"/>
      <c r="B2817" s="10"/>
      <c r="C2817" s="10"/>
      <c r="D2817" s="10"/>
      <c r="E2817" s="10"/>
      <c r="F2817" s="10"/>
      <c r="G2817" s="10"/>
      <c r="H2817" s="10"/>
      <c r="I2817" s="1" t="str">
        <f t="shared" si="129"/>
        <v/>
      </c>
      <c r="J2817" s="1" t="s">
        <v>35</v>
      </c>
      <c r="K2817" s="1" t="str">
        <f t="shared" si="130"/>
        <v/>
      </c>
      <c r="L2817" s="1" t="str">
        <f t="shared" si="131"/>
        <v/>
      </c>
      <c r="M2817" s="1">
        <f>IF(OR(Table1[[#This Row],[Std Nom]]="",Table1[[#This Row],[Std Read]]=""),0,Table1[[#This Row],[Std Nom]]-Table1[[#This Row],[Std Read]])</f>
        <v>0</v>
      </c>
      <c r="N2817" s="1">
        <f>IF(Calculations!$F$5="ACCREDITED 17025 WITH UNCERTAINTIES",$N$10,0)</f>
        <v>0</v>
      </c>
      <c r="O2817" s="1" t="str">
        <f>IFERROR(Table1[[#This Row],[Std Nom]]-(_xlfn.XLOOKUP(Table1[[#This Row],[Manufacturer]]&amp;" "&amp;Table1[[#This Row],[Model]],Table13[MFR &amp; MDL],Table13[Tolerance % CW ],"")/100*Table1[[#This Row],[Std Nom]]),"")</f>
        <v/>
      </c>
      <c r="P2817" s="1" t="str">
        <f>IFERROR(Table1[[#This Row],[Std Nom]]+(_xlfn.XLOOKUP(Table1[[#This Row],[Manufacturer]]&amp;" "&amp;Table1[[#This Row],[Model]],Table13[MFR &amp; MDL],Table13[Tolerance % CW ],"")/100*Table1[[#This Row],[Std Nom]]),"")</f>
        <v/>
      </c>
      <c r="Q2817" s="1" t="e">
        <f>Table1[[#This Row],[High Tol]]-Table1[[#This Row],[Low Tol]]</f>
        <v>#VALUE!</v>
      </c>
      <c r="R2817" s="1">
        <f>2*Table1[[#This Row],[Std Error]]</f>
        <v>0</v>
      </c>
      <c r="S2817" s="1" t="str">
        <f>IF(Table1[[#This Row],[High Tol]]="","N/A",IFERROR(ABS(Table1[[#This Row],[Tol Span]]/Table1[[#This Row],[Error Span]]),"N/A"))</f>
        <v>N/A</v>
      </c>
      <c r="T2817" s="1" t="str">
        <f>IF(OR(Table1[[#This Row],[Low Tol]]="",Table1[[#This Row],[High Tol]]=""),"Needs Analysis",IF(Table1[[#This Row],[Ratio]]&gt;=4,"Not Significant",IF(Table1[[#This Row],[Ratio]]&gt;=2,"Semi-Significant","Significant")))</f>
        <v>Needs Analysis</v>
      </c>
      <c r="W2817" s="1">
        <f>IF(Table1[[#This Row],[Cal Type]]&lt;&gt;"ACCREDITED 17025 WITH UNCERTAINTIES",0,"")</f>
        <v>0</v>
      </c>
      <c r="X2817" s="1" t="str">
        <f>IF(Table1[[#This Row],[DUT Read]]="","N/A",Table1[[#This Row],[Std Error]]+Table1[[#This Row],[DUT Read]]+Table1[[#This Row],[DUT Ucty]])</f>
        <v>N/A</v>
      </c>
      <c r="Y2817" s="1" t="str">
        <f>IF(Table1[[#This Row],[Std Read]]="","N/A",Table1[[#This Row],[Std Read]]+Table1[[#This Row],[Std Ucty]])</f>
        <v>N/A</v>
      </c>
      <c r="Z28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7" s="1" t="str">
        <f>IF(Table1[[#This Row],[Spec Type]]="","N/A",Table1[[#This Row],[Spec Type]])</f>
        <v>±</v>
      </c>
      <c r="AC2817" s="1" t="str">
        <f>IF(Table1[[#This Row],[Spec Type2]]="N/A","N/A",IF(AND(Table1[[#This Row],[DUT Adj Read]]&gt;=Table1[[#This Row],[Low Tol]],Table1[[#This Row],[DUT Adj Read]]&lt;=Table1[[#This Row],[High Tol]]),"Pass","Fail"))</f>
        <v>Fail</v>
      </c>
      <c r="AD2817" s="1" t="str">
        <f>IF(AND(Table1[[#This Row],[Spec Type2]]="N/A",Table1[[#This Row],[DUT Adj Read]]="N/A",Table1[[#This Row],[Std Adj Read]]="N/A"),"N/A",IF(Table1[[#This Row],[DUT Adj Read]]="N/A",IF(Table1[[#This Row],[Std Adj Read]]&gt;Table1[[#This Row],[Low Tol]],"Pass","Fail"),IF(Table1[[#This Row],[DUT Adj Read]]&gt;Table1[[#This Row],[Low Tol]],"Pass","Fail")))</f>
        <v>Pass</v>
      </c>
      <c r="AE2817" s="1" t="str">
        <f>IF(AND(Table1[[#This Row],[Spec Type2]]="N/A",Table1[[#This Row],[DUT Adj Read]]="N/A",Table1[[#This Row],[Std Adj Read]]="N/A"),"N/A",IF(Table1[[#This Row],[DUT Adj Read]]="N/A",IF(Table1[[#This Row],[Std Adj Read]]&lt;Table1[[#This Row],[High Tol]],"Pass","Fail"),IF(Table1[[#This Row],[DUT Adj Read]]&lt;Table1[[#This Row],[High Tol]],"Pass","Fail")))</f>
        <v>Fail</v>
      </c>
      <c r="AF2817" s="1" t="str">
        <f>IF(AND(Table1[[#This Row],[Spec Type2]]="N/A",Table1[[#This Row],[DUT Adj Read]]="N/A",Table1[[#This Row],[Std Adj Read]]="N/A"),"N/A",IF(Table1[[#This Row],[DUT Adj Read]]="N/A",IF(Table1[[#This Row],[Std Adj Read]]&gt;=Table1[[#This Row],[Low Tol]],"Pass","Fail"),IF(Table1[[#This Row],[DUT Adj Read]]&gt;=Table1[[#This Row],[Low Tol]],"Pass","Fail")))</f>
        <v>Pass</v>
      </c>
      <c r="AG2817" s="1" t="str">
        <f>IF(AND(Table1[[#This Row],[Spec Type2]]="N/A",Table1[[#This Row],[DUT Adj Read]]="N/A",Table1[[#This Row],[Std Adj Read]]="N/A"),"N/A",IF(Table1[[#This Row],[DUT Adj Read]]="N/A",IF(Table1[[#This Row],[Std Adj Read]]&lt;=Table1[[#This Row],[High Tol]],"Pass","Fail"),IF(Table1[[#This Row],[DUT Adj Read]]&lt;=Table1[[#This Row],[High Tol]],"Pass","Fail")))</f>
        <v>Fail</v>
      </c>
      <c r="AH28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7" s="1" t="b">
        <v>0</v>
      </c>
      <c r="AN2817" s="1" t="b">
        <v>0</v>
      </c>
      <c r="AO2817" s="1" t="b">
        <v>0</v>
      </c>
    </row>
    <row r="2818" spans="1:41" x14ac:dyDescent="0.25">
      <c r="A2818" s="10"/>
      <c r="B2818" s="10"/>
      <c r="C2818" s="10"/>
      <c r="D2818" s="10"/>
      <c r="E2818" s="10"/>
      <c r="F2818" s="10"/>
      <c r="G2818" s="10"/>
      <c r="H2818" s="10"/>
      <c r="I2818" s="1" t="str">
        <f t="shared" si="129"/>
        <v/>
      </c>
      <c r="J2818" s="1" t="s">
        <v>35</v>
      </c>
      <c r="K2818" s="1" t="str">
        <f t="shared" si="130"/>
        <v/>
      </c>
      <c r="L2818" s="1" t="str">
        <f t="shared" si="131"/>
        <v/>
      </c>
      <c r="M2818" s="1">
        <f>IF(OR(Table1[[#This Row],[Std Nom]]="",Table1[[#This Row],[Std Read]]=""),0,Table1[[#This Row],[Std Nom]]-Table1[[#This Row],[Std Read]])</f>
        <v>0</v>
      </c>
      <c r="N2818" s="1">
        <f>IF(Calculations!$F$5="ACCREDITED 17025 WITH UNCERTAINTIES",$N$10,0)</f>
        <v>0</v>
      </c>
      <c r="O2818" s="1" t="str">
        <f>IFERROR(Table1[[#This Row],[Std Nom]]-(_xlfn.XLOOKUP(Table1[[#This Row],[Manufacturer]]&amp;" "&amp;Table1[[#This Row],[Model]],Table13[MFR &amp; MDL],Table13[Tolerance % CW ],"")/100*Table1[[#This Row],[Std Nom]]),"")</f>
        <v/>
      </c>
      <c r="P2818" s="1" t="str">
        <f>IFERROR(Table1[[#This Row],[Std Nom]]+(_xlfn.XLOOKUP(Table1[[#This Row],[Manufacturer]]&amp;" "&amp;Table1[[#This Row],[Model]],Table13[MFR &amp; MDL],Table13[Tolerance % CW ],"")/100*Table1[[#This Row],[Std Nom]]),"")</f>
        <v/>
      </c>
      <c r="Q2818" s="1" t="e">
        <f>Table1[[#This Row],[High Tol]]-Table1[[#This Row],[Low Tol]]</f>
        <v>#VALUE!</v>
      </c>
      <c r="R2818" s="1">
        <f>2*Table1[[#This Row],[Std Error]]</f>
        <v>0</v>
      </c>
      <c r="S2818" s="1" t="str">
        <f>IF(Table1[[#This Row],[High Tol]]="","N/A",IFERROR(ABS(Table1[[#This Row],[Tol Span]]/Table1[[#This Row],[Error Span]]),"N/A"))</f>
        <v>N/A</v>
      </c>
      <c r="T2818" s="1" t="str">
        <f>IF(OR(Table1[[#This Row],[Low Tol]]="",Table1[[#This Row],[High Tol]]=""),"Needs Analysis",IF(Table1[[#This Row],[Ratio]]&gt;=4,"Not Significant",IF(Table1[[#This Row],[Ratio]]&gt;=2,"Semi-Significant","Significant")))</f>
        <v>Needs Analysis</v>
      </c>
      <c r="W2818" s="1">
        <f>IF(Table1[[#This Row],[Cal Type]]&lt;&gt;"ACCREDITED 17025 WITH UNCERTAINTIES",0,"")</f>
        <v>0</v>
      </c>
      <c r="X2818" s="1" t="str">
        <f>IF(Table1[[#This Row],[DUT Read]]="","N/A",Table1[[#This Row],[Std Error]]+Table1[[#This Row],[DUT Read]]+Table1[[#This Row],[DUT Ucty]])</f>
        <v>N/A</v>
      </c>
      <c r="Y2818" s="1" t="str">
        <f>IF(Table1[[#This Row],[Std Read]]="","N/A",Table1[[#This Row],[Std Read]]+Table1[[#This Row],[Std Ucty]])</f>
        <v>N/A</v>
      </c>
      <c r="Z28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8" s="1" t="str">
        <f>IF(Table1[[#This Row],[Spec Type]]="","N/A",Table1[[#This Row],[Spec Type]])</f>
        <v>±</v>
      </c>
      <c r="AC2818" s="1" t="str">
        <f>IF(Table1[[#This Row],[Spec Type2]]="N/A","N/A",IF(AND(Table1[[#This Row],[DUT Adj Read]]&gt;=Table1[[#This Row],[Low Tol]],Table1[[#This Row],[DUT Adj Read]]&lt;=Table1[[#This Row],[High Tol]]),"Pass","Fail"))</f>
        <v>Fail</v>
      </c>
      <c r="AD2818" s="1" t="str">
        <f>IF(AND(Table1[[#This Row],[Spec Type2]]="N/A",Table1[[#This Row],[DUT Adj Read]]="N/A",Table1[[#This Row],[Std Adj Read]]="N/A"),"N/A",IF(Table1[[#This Row],[DUT Adj Read]]="N/A",IF(Table1[[#This Row],[Std Adj Read]]&gt;Table1[[#This Row],[Low Tol]],"Pass","Fail"),IF(Table1[[#This Row],[DUT Adj Read]]&gt;Table1[[#This Row],[Low Tol]],"Pass","Fail")))</f>
        <v>Pass</v>
      </c>
      <c r="AE2818" s="1" t="str">
        <f>IF(AND(Table1[[#This Row],[Spec Type2]]="N/A",Table1[[#This Row],[DUT Adj Read]]="N/A",Table1[[#This Row],[Std Adj Read]]="N/A"),"N/A",IF(Table1[[#This Row],[DUT Adj Read]]="N/A",IF(Table1[[#This Row],[Std Adj Read]]&lt;Table1[[#This Row],[High Tol]],"Pass","Fail"),IF(Table1[[#This Row],[DUT Adj Read]]&lt;Table1[[#This Row],[High Tol]],"Pass","Fail")))</f>
        <v>Fail</v>
      </c>
      <c r="AF2818" s="1" t="str">
        <f>IF(AND(Table1[[#This Row],[Spec Type2]]="N/A",Table1[[#This Row],[DUT Adj Read]]="N/A",Table1[[#This Row],[Std Adj Read]]="N/A"),"N/A",IF(Table1[[#This Row],[DUT Adj Read]]="N/A",IF(Table1[[#This Row],[Std Adj Read]]&gt;=Table1[[#This Row],[Low Tol]],"Pass","Fail"),IF(Table1[[#This Row],[DUT Adj Read]]&gt;=Table1[[#This Row],[Low Tol]],"Pass","Fail")))</f>
        <v>Pass</v>
      </c>
      <c r="AG2818" s="1" t="str">
        <f>IF(AND(Table1[[#This Row],[Spec Type2]]="N/A",Table1[[#This Row],[DUT Adj Read]]="N/A",Table1[[#This Row],[Std Adj Read]]="N/A"),"N/A",IF(Table1[[#This Row],[DUT Adj Read]]="N/A",IF(Table1[[#This Row],[Std Adj Read]]&lt;=Table1[[#This Row],[High Tol]],"Pass","Fail"),IF(Table1[[#This Row],[DUT Adj Read]]&lt;=Table1[[#This Row],[High Tol]],"Pass","Fail")))</f>
        <v>Fail</v>
      </c>
      <c r="AH28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8" s="1" t="b">
        <v>0</v>
      </c>
      <c r="AN2818" s="1" t="b">
        <v>0</v>
      </c>
      <c r="AO2818" s="1" t="b">
        <v>0</v>
      </c>
    </row>
    <row r="2819" spans="1:41" x14ac:dyDescent="0.25">
      <c r="A2819" s="10"/>
      <c r="B2819" s="10"/>
      <c r="C2819" s="10"/>
      <c r="D2819" s="10"/>
      <c r="E2819" s="10"/>
      <c r="F2819" s="10"/>
      <c r="G2819" s="10"/>
      <c r="H2819" s="10"/>
      <c r="I2819" s="1" t="str">
        <f t="shared" si="129"/>
        <v/>
      </c>
      <c r="J2819" s="1" t="s">
        <v>35</v>
      </c>
      <c r="K2819" s="1" t="str">
        <f t="shared" si="130"/>
        <v/>
      </c>
      <c r="L2819" s="1" t="str">
        <f t="shared" si="131"/>
        <v/>
      </c>
      <c r="M2819" s="1">
        <f>IF(OR(Table1[[#This Row],[Std Nom]]="",Table1[[#This Row],[Std Read]]=""),0,Table1[[#This Row],[Std Nom]]-Table1[[#This Row],[Std Read]])</f>
        <v>0</v>
      </c>
      <c r="N2819" s="1">
        <f>IF(Calculations!$F$5="ACCREDITED 17025 WITH UNCERTAINTIES",$N$10,0)</f>
        <v>0</v>
      </c>
      <c r="O2819" s="1" t="str">
        <f>IFERROR(Table1[[#This Row],[Std Nom]]-(_xlfn.XLOOKUP(Table1[[#This Row],[Manufacturer]]&amp;" "&amp;Table1[[#This Row],[Model]],Table13[MFR &amp; MDL],Table13[Tolerance % CW ],"")/100*Table1[[#This Row],[Std Nom]]),"")</f>
        <v/>
      </c>
      <c r="P2819" s="1" t="str">
        <f>IFERROR(Table1[[#This Row],[Std Nom]]+(_xlfn.XLOOKUP(Table1[[#This Row],[Manufacturer]]&amp;" "&amp;Table1[[#This Row],[Model]],Table13[MFR &amp; MDL],Table13[Tolerance % CW ],"")/100*Table1[[#This Row],[Std Nom]]),"")</f>
        <v/>
      </c>
      <c r="Q2819" s="1" t="e">
        <f>Table1[[#This Row],[High Tol]]-Table1[[#This Row],[Low Tol]]</f>
        <v>#VALUE!</v>
      </c>
      <c r="R2819" s="1">
        <f>2*Table1[[#This Row],[Std Error]]</f>
        <v>0</v>
      </c>
      <c r="S2819" s="1" t="str">
        <f>IF(Table1[[#This Row],[High Tol]]="","N/A",IFERROR(ABS(Table1[[#This Row],[Tol Span]]/Table1[[#This Row],[Error Span]]),"N/A"))</f>
        <v>N/A</v>
      </c>
      <c r="T2819" s="1" t="str">
        <f>IF(OR(Table1[[#This Row],[Low Tol]]="",Table1[[#This Row],[High Tol]]=""),"Needs Analysis",IF(Table1[[#This Row],[Ratio]]&gt;=4,"Not Significant",IF(Table1[[#This Row],[Ratio]]&gt;=2,"Semi-Significant","Significant")))</f>
        <v>Needs Analysis</v>
      </c>
      <c r="W2819" s="1">
        <f>IF(Table1[[#This Row],[Cal Type]]&lt;&gt;"ACCREDITED 17025 WITH UNCERTAINTIES",0,"")</f>
        <v>0</v>
      </c>
      <c r="X2819" s="1" t="str">
        <f>IF(Table1[[#This Row],[DUT Read]]="","N/A",Table1[[#This Row],[Std Error]]+Table1[[#This Row],[DUT Read]]+Table1[[#This Row],[DUT Ucty]])</f>
        <v>N/A</v>
      </c>
      <c r="Y2819" s="1" t="str">
        <f>IF(Table1[[#This Row],[Std Read]]="","N/A",Table1[[#This Row],[Std Read]]+Table1[[#This Row],[Std Ucty]])</f>
        <v>N/A</v>
      </c>
      <c r="Z28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9" s="1" t="str">
        <f>IF(Table1[[#This Row],[Spec Type]]="","N/A",Table1[[#This Row],[Spec Type]])</f>
        <v>±</v>
      </c>
      <c r="AC2819" s="1" t="str">
        <f>IF(Table1[[#This Row],[Spec Type2]]="N/A","N/A",IF(AND(Table1[[#This Row],[DUT Adj Read]]&gt;=Table1[[#This Row],[Low Tol]],Table1[[#This Row],[DUT Adj Read]]&lt;=Table1[[#This Row],[High Tol]]),"Pass","Fail"))</f>
        <v>Fail</v>
      </c>
      <c r="AD2819" s="1" t="str">
        <f>IF(AND(Table1[[#This Row],[Spec Type2]]="N/A",Table1[[#This Row],[DUT Adj Read]]="N/A",Table1[[#This Row],[Std Adj Read]]="N/A"),"N/A",IF(Table1[[#This Row],[DUT Adj Read]]="N/A",IF(Table1[[#This Row],[Std Adj Read]]&gt;Table1[[#This Row],[Low Tol]],"Pass","Fail"),IF(Table1[[#This Row],[DUT Adj Read]]&gt;Table1[[#This Row],[Low Tol]],"Pass","Fail")))</f>
        <v>Pass</v>
      </c>
      <c r="AE2819" s="1" t="str">
        <f>IF(AND(Table1[[#This Row],[Spec Type2]]="N/A",Table1[[#This Row],[DUT Adj Read]]="N/A",Table1[[#This Row],[Std Adj Read]]="N/A"),"N/A",IF(Table1[[#This Row],[DUT Adj Read]]="N/A",IF(Table1[[#This Row],[Std Adj Read]]&lt;Table1[[#This Row],[High Tol]],"Pass","Fail"),IF(Table1[[#This Row],[DUT Adj Read]]&lt;Table1[[#This Row],[High Tol]],"Pass","Fail")))</f>
        <v>Fail</v>
      </c>
      <c r="AF2819" s="1" t="str">
        <f>IF(AND(Table1[[#This Row],[Spec Type2]]="N/A",Table1[[#This Row],[DUT Adj Read]]="N/A",Table1[[#This Row],[Std Adj Read]]="N/A"),"N/A",IF(Table1[[#This Row],[DUT Adj Read]]="N/A",IF(Table1[[#This Row],[Std Adj Read]]&gt;=Table1[[#This Row],[Low Tol]],"Pass","Fail"),IF(Table1[[#This Row],[DUT Adj Read]]&gt;=Table1[[#This Row],[Low Tol]],"Pass","Fail")))</f>
        <v>Pass</v>
      </c>
      <c r="AG2819" s="1" t="str">
        <f>IF(AND(Table1[[#This Row],[Spec Type2]]="N/A",Table1[[#This Row],[DUT Adj Read]]="N/A",Table1[[#This Row],[Std Adj Read]]="N/A"),"N/A",IF(Table1[[#This Row],[DUT Adj Read]]="N/A",IF(Table1[[#This Row],[Std Adj Read]]&lt;=Table1[[#This Row],[High Tol]],"Pass","Fail"),IF(Table1[[#This Row],[DUT Adj Read]]&lt;=Table1[[#This Row],[High Tol]],"Pass","Fail")))</f>
        <v>Fail</v>
      </c>
      <c r="AH28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9" s="1" t="b">
        <v>0</v>
      </c>
      <c r="AN2819" s="1" t="b">
        <v>0</v>
      </c>
      <c r="AO2819" s="1" t="b">
        <v>0</v>
      </c>
    </row>
    <row r="2820" spans="1:41" x14ac:dyDescent="0.25">
      <c r="A2820" s="10"/>
      <c r="B2820" s="10"/>
      <c r="C2820" s="10"/>
      <c r="D2820" s="10"/>
      <c r="E2820" s="10"/>
      <c r="F2820" s="10"/>
      <c r="G2820" s="10"/>
      <c r="H2820" s="10"/>
      <c r="I2820" s="1" t="str">
        <f t="shared" si="129"/>
        <v/>
      </c>
      <c r="J2820" s="1" t="s">
        <v>35</v>
      </c>
      <c r="K2820" s="1" t="str">
        <f t="shared" si="130"/>
        <v/>
      </c>
      <c r="L2820" s="1" t="str">
        <f t="shared" si="131"/>
        <v/>
      </c>
      <c r="M2820" s="1">
        <f>IF(OR(Table1[[#This Row],[Std Nom]]="",Table1[[#This Row],[Std Read]]=""),0,Table1[[#This Row],[Std Nom]]-Table1[[#This Row],[Std Read]])</f>
        <v>0</v>
      </c>
      <c r="N2820" s="1">
        <f>IF(Calculations!$F$5="ACCREDITED 17025 WITH UNCERTAINTIES",$N$10,0)</f>
        <v>0</v>
      </c>
      <c r="O2820" s="1" t="str">
        <f>IFERROR(Table1[[#This Row],[Std Nom]]-(_xlfn.XLOOKUP(Table1[[#This Row],[Manufacturer]]&amp;" "&amp;Table1[[#This Row],[Model]],Table13[MFR &amp; MDL],Table13[Tolerance % CW ],"")/100*Table1[[#This Row],[Std Nom]]),"")</f>
        <v/>
      </c>
      <c r="P2820" s="1" t="str">
        <f>IFERROR(Table1[[#This Row],[Std Nom]]+(_xlfn.XLOOKUP(Table1[[#This Row],[Manufacturer]]&amp;" "&amp;Table1[[#This Row],[Model]],Table13[MFR &amp; MDL],Table13[Tolerance % CW ],"")/100*Table1[[#This Row],[Std Nom]]),"")</f>
        <v/>
      </c>
      <c r="Q2820" s="1" t="e">
        <f>Table1[[#This Row],[High Tol]]-Table1[[#This Row],[Low Tol]]</f>
        <v>#VALUE!</v>
      </c>
      <c r="R2820" s="1">
        <f>2*Table1[[#This Row],[Std Error]]</f>
        <v>0</v>
      </c>
      <c r="S2820" s="1" t="str">
        <f>IF(Table1[[#This Row],[High Tol]]="","N/A",IFERROR(ABS(Table1[[#This Row],[Tol Span]]/Table1[[#This Row],[Error Span]]),"N/A"))</f>
        <v>N/A</v>
      </c>
      <c r="T2820" s="1" t="str">
        <f>IF(OR(Table1[[#This Row],[Low Tol]]="",Table1[[#This Row],[High Tol]]=""),"Needs Analysis",IF(Table1[[#This Row],[Ratio]]&gt;=4,"Not Significant",IF(Table1[[#This Row],[Ratio]]&gt;=2,"Semi-Significant","Significant")))</f>
        <v>Needs Analysis</v>
      </c>
      <c r="W2820" s="1">
        <f>IF(Table1[[#This Row],[Cal Type]]&lt;&gt;"ACCREDITED 17025 WITH UNCERTAINTIES",0,"")</f>
        <v>0</v>
      </c>
      <c r="X2820" s="1" t="str">
        <f>IF(Table1[[#This Row],[DUT Read]]="","N/A",Table1[[#This Row],[Std Error]]+Table1[[#This Row],[DUT Read]]+Table1[[#This Row],[DUT Ucty]])</f>
        <v>N/A</v>
      </c>
      <c r="Y2820" s="1" t="str">
        <f>IF(Table1[[#This Row],[Std Read]]="","N/A",Table1[[#This Row],[Std Read]]+Table1[[#This Row],[Std Ucty]])</f>
        <v>N/A</v>
      </c>
      <c r="Z28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0" s="1" t="str">
        <f>IF(Table1[[#This Row],[Spec Type]]="","N/A",Table1[[#This Row],[Spec Type]])</f>
        <v>±</v>
      </c>
      <c r="AC2820" s="1" t="str">
        <f>IF(Table1[[#This Row],[Spec Type2]]="N/A","N/A",IF(AND(Table1[[#This Row],[DUT Adj Read]]&gt;=Table1[[#This Row],[Low Tol]],Table1[[#This Row],[DUT Adj Read]]&lt;=Table1[[#This Row],[High Tol]]),"Pass","Fail"))</f>
        <v>Fail</v>
      </c>
      <c r="AD2820" s="1" t="str">
        <f>IF(AND(Table1[[#This Row],[Spec Type2]]="N/A",Table1[[#This Row],[DUT Adj Read]]="N/A",Table1[[#This Row],[Std Adj Read]]="N/A"),"N/A",IF(Table1[[#This Row],[DUT Adj Read]]="N/A",IF(Table1[[#This Row],[Std Adj Read]]&gt;Table1[[#This Row],[Low Tol]],"Pass","Fail"),IF(Table1[[#This Row],[DUT Adj Read]]&gt;Table1[[#This Row],[Low Tol]],"Pass","Fail")))</f>
        <v>Pass</v>
      </c>
      <c r="AE2820" s="1" t="str">
        <f>IF(AND(Table1[[#This Row],[Spec Type2]]="N/A",Table1[[#This Row],[DUT Adj Read]]="N/A",Table1[[#This Row],[Std Adj Read]]="N/A"),"N/A",IF(Table1[[#This Row],[DUT Adj Read]]="N/A",IF(Table1[[#This Row],[Std Adj Read]]&lt;Table1[[#This Row],[High Tol]],"Pass","Fail"),IF(Table1[[#This Row],[DUT Adj Read]]&lt;Table1[[#This Row],[High Tol]],"Pass","Fail")))</f>
        <v>Fail</v>
      </c>
      <c r="AF2820" s="1" t="str">
        <f>IF(AND(Table1[[#This Row],[Spec Type2]]="N/A",Table1[[#This Row],[DUT Adj Read]]="N/A",Table1[[#This Row],[Std Adj Read]]="N/A"),"N/A",IF(Table1[[#This Row],[DUT Adj Read]]="N/A",IF(Table1[[#This Row],[Std Adj Read]]&gt;=Table1[[#This Row],[Low Tol]],"Pass","Fail"),IF(Table1[[#This Row],[DUT Adj Read]]&gt;=Table1[[#This Row],[Low Tol]],"Pass","Fail")))</f>
        <v>Pass</v>
      </c>
      <c r="AG2820" s="1" t="str">
        <f>IF(AND(Table1[[#This Row],[Spec Type2]]="N/A",Table1[[#This Row],[DUT Adj Read]]="N/A",Table1[[#This Row],[Std Adj Read]]="N/A"),"N/A",IF(Table1[[#This Row],[DUT Adj Read]]="N/A",IF(Table1[[#This Row],[Std Adj Read]]&lt;=Table1[[#This Row],[High Tol]],"Pass","Fail"),IF(Table1[[#This Row],[DUT Adj Read]]&lt;=Table1[[#This Row],[High Tol]],"Pass","Fail")))</f>
        <v>Fail</v>
      </c>
      <c r="AH28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0" s="1" t="b">
        <v>0</v>
      </c>
      <c r="AN2820" s="1" t="b">
        <v>0</v>
      </c>
      <c r="AO2820" s="1" t="b">
        <v>0</v>
      </c>
    </row>
    <row r="2821" spans="1:41" x14ac:dyDescent="0.25">
      <c r="A2821" s="10"/>
      <c r="B2821" s="10"/>
      <c r="C2821" s="10"/>
      <c r="D2821" s="10"/>
      <c r="E2821" s="10"/>
      <c r="F2821" s="10"/>
      <c r="G2821" s="10"/>
      <c r="H2821" s="10"/>
      <c r="I2821" s="1" t="str">
        <f t="shared" si="129"/>
        <v/>
      </c>
      <c r="J2821" s="1" t="s">
        <v>35</v>
      </c>
      <c r="K2821" s="1" t="str">
        <f t="shared" si="130"/>
        <v/>
      </c>
      <c r="L2821" s="1" t="str">
        <f t="shared" si="131"/>
        <v/>
      </c>
      <c r="M2821" s="1">
        <f>IF(OR(Table1[[#This Row],[Std Nom]]="",Table1[[#This Row],[Std Read]]=""),0,Table1[[#This Row],[Std Nom]]-Table1[[#This Row],[Std Read]])</f>
        <v>0</v>
      </c>
      <c r="N2821" s="1">
        <f>IF(Calculations!$F$5="ACCREDITED 17025 WITH UNCERTAINTIES",$N$10,0)</f>
        <v>0</v>
      </c>
      <c r="O2821" s="1" t="str">
        <f>IFERROR(Table1[[#This Row],[Std Nom]]-(_xlfn.XLOOKUP(Table1[[#This Row],[Manufacturer]]&amp;" "&amp;Table1[[#This Row],[Model]],Table13[MFR &amp; MDL],Table13[Tolerance % CW ],"")/100*Table1[[#This Row],[Std Nom]]),"")</f>
        <v/>
      </c>
      <c r="P2821" s="1" t="str">
        <f>IFERROR(Table1[[#This Row],[Std Nom]]+(_xlfn.XLOOKUP(Table1[[#This Row],[Manufacturer]]&amp;" "&amp;Table1[[#This Row],[Model]],Table13[MFR &amp; MDL],Table13[Tolerance % CW ],"")/100*Table1[[#This Row],[Std Nom]]),"")</f>
        <v/>
      </c>
      <c r="Q2821" s="1" t="e">
        <f>Table1[[#This Row],[High Tol]]-Table1[[#This Row],[Low Tol]]</f>
        <v>#VALUE!</v>
      </c>
      <c r="R2821" s="1">
        <f>2*Table1[[#This Row],[Std Error]]</f>
        <v>0</v>
      </c>
      <c r="S2821" s="1" t="str">
        <f>IF(Table1[[#This Row],[High Tol]]="","N/A",IFERROR(ABS(Table1[[#This Row],[Tol Span]]/Table1[[#This Row],[Error Span]]),"N/A"))</f>
        <v>N/A</v>
      </c>
      <c r="T2821" s="1" t="str">
        <f>IF(OR(Table1[[#This Row],[Low Tol]]="",Table1[[#This Row],[High Tol]]=""),"Needs Analysis",IF(Table1[[#This Row],[Ratio]]&gt;=4,"Not Significant",IF(Table1[[#This Row],[Ratio]]&gt;=2,"Semi-Significant","Significant")))</f>
        <v>Needs Analysis</v>
      </c>
      <c r="W2821" s="1">
        <f>IF(Table1[[#This Row],[Cal Type]]&lt;&gt;"ACCREDITED 17025 WITH UNCERTAINTIES",0,"")</f>
        <v>0</v>
      </c>
      <c r="X2821" s="1" t="str">
        <f>IF(Table1[[#This Row],[DUT Read]]="","N/A",Table1[[#This Row],[Std Error]]+Table1[[#This Row],[DUT Read]]+Table1[[#This Row],[DUT Ucty]])</f>
        <v>N/A</v>
      </c>
      <c r="Y2821" s="1" t="str">
        <f>IF(Table1[[#This Row],[Std Read]]="","N/A",Table1[[#This Row],[Std Read]]+Table1[[#This Row],[Std Ucty]])</f>
        <v>N/A</v>
      </c>
      <c r="Z28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1" s="1" t="str">
        <f>IF(Table1[[#This Row],[Spec Type]]="","N/A",Table1[[#This Row],[Spec Type]])</f>
        <v>±</v>
      </c>
      <c r="AC2821" s="1" t="str">
        <f>IF(Table1[[#This Row],[Spec Type2]]="N/A","N/A",IF(AND(Table1[[#This Row],[DUT Adj Read]]&gt;=Table1[[#This Row],[Low Tol]],Table1[[#This Row],[DUT Adj Read]]&lt;=Table1[[#This Row],[High Tol]]),"Pass","Fail"))</f>
        <v>Fail</v>
      </c>
      <c r="AD2821" s="1" t="str">
        <f>IF(AND(Table1[[#This Row],[Spec Type2]]="N/A",Table1[[#This Row],[DUT Adj Read]]="N/A",Table1[[#This Row],[Std Adj Read]]="N/A"),"N/A",IF(Table1[[#This Row],[DUT Adj Read]]="N/A",IF(Table1[[#This Row],[Std Adj Read]]&gt;Table1[[#This Row],[Low Tol]],"Pass","Fail"),IF(Table1[[#This Row],[DUT Adj Read]]&gt;Table1[[#This Row],[Low Tol]],"Pass","Fail")))</f>
        <v>Pass</v>
      </c>
      <c r="AE2821" s="1" t="str">
        <f>IF(AND(Table1[[#This Row],[Spec Type2]]="N/A",Table1[[#This Row],[DUT Adj Read]]="N/A",Table1[[#This Row],[Std Adj Read]]="N/A"),"N/A",IF(Table1[[#This Row],[DUT Adj Read]]="N/A",IF(Table1[[#This Row],[Std Adj Read]]&lt;Table1[[#This Row],[High Tol]],"Pass","Fail"),IF(Table1[[#This Row],[DUT Adj Read]]&lt;Table1[[#This Row],[High Tol]],"Pass","Fail")))</f>
        <v>Fail</v>
      </c>
      <c r="AF2821" s="1" t="str">
        <f>IF(AND(Table1[[#This Row],[Spec Type2]]="N/A",Table1[[#This Row],[DUT Adj Read]]="N/A",Table1[[#This Row],[Std Adj Read]]="N/A"),"N/A",IF(Table1[[#This Row],[DUT Adj Read]]="N/A",IF(Table1[[#This Row],[Std Adj Read]]&gt;=Table1[[#This Row],[Low Tol]],"Pass","Fail"),IF(Table1[[#This Row],[DUT Adj Read]]&gt;=Table1[[#This Row],[Low Tol]],"Pass","Fail")))</f>
        <v>Pass</v>
      </c>
      <c r="AG2821" s="1" t="str">
        <f>IF(AND(Table1[[#This Row],[Spec Type2]]="N/A",Table1[[#This Row],[DUT Adj Read]]="N/A",Table1[[#This Row],[Std Adj Read]]="N/A"),"N/A",IF(Table1[[#This Row],[DUT Adj Read]]="N/A",IF(Table1[[#This Row],[Std Adj Read]]&lt;=Table1[[#This Row],[High Tol]],"Pass","Fail"),IF(Table1[[#This Row],[DUT Adj Read]]&lt;=Table1[[#This Row],[High Tol]],"Pass","Fail")))</f>
        <v>Fail</v>
      </c>
      <c r="AH28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1" s="1" t="b">
        <v>0</v>
      </c>
      <c r="AN2821" s="1" t="b">
        <v>0</v>
      </c>
      <c r="AO2821" s="1" t="b">
        <v>0</v>
      </c>
    </row>
    <row r="2822" spans="1:41" x14ac:dyDescent="0.25">
      <c r="A2822" s="10"/>
      <c r="B2822" s="10"/>
      <c r="C2822" s="10"/>
      <c r="D2822" s="10"/>
      <c r="E2822" s="10"/>
      <c r="F2822" s="10"/>
      <c r="G2822" s="10"/>
      <c r="H2822" s="10"/>
      <c r="I2822" s="1" t="str">
        <f t="shared" si="129"/>
        <v/>
      </c>
      <c r="J2822" s="1" t="s">
        <v>35</v>
      </c>
      <c r="K2822" s="1" t="str">
        <f t="shared" si="130"/>
        <v/>
      </c>
      <c r="L2822" s="1" t="str">
        <f t="shared" si="131"/>
        <v/>
      </c>
      <c r="M2822" s="1">
        <f>IF(OR(Table1[[#This Row],[Std Nom]]="",Table1[[#This Row],[Std Read]]=""),0,Table1[[#This Row],[Std Nom]]-Table1[[#This Row],[Std Read]])</f>
        <v>0</v>
      </c>
      <c r="N2822" s="1">
        <f>IF(Calculations!$F$5="ACCREDITED 17025 WITH UNCERTAINTIES",$N$10,0)</f>
        <v>0</v>
      </c>
      <c r="O2822" s="1" t="str">
        <f>IFERROR(Table1[[#This Row],[Std Nom]]-(_xlfn.XLOOKUP(Table1[[#This Row],[Manufacturer]]&amp;" "&amp;Table1[[#This Row],[Model]],Table13[MFR &amp; MDL],Table13[Tolerance % CW ],"")/100*Table1[[#This Row],[Std Nom]]),"")</f>
        <v/>
      </c>
      <c r="P2822" s="1" t="str">
        <f>IFERROR(Table1[[#This Row],[Std Nom]]+(_xlfn.XLOOKUP(Table1[[#This Row],[Manufacturer]]&amp;" "&amp;Table1[[#This Row],[Model]],Table13[MFR &amp; MDL],Table13[Tolerance % CW ],"")/100*Table1[[#This Row],[Std Nom]]),"")</f>
        <v/>
      </c>
      <c r="Q2822" s="1" t="e">
        <f>Table1[[#This Row],[High Tol]]-Table1[[#This Row],[Low Tol]]</f>
        <v>#VALUE!</v>
      </c>
      <c r="R2822" s="1">
        <f>2*Table1[[#This Row],[Std Error]]</f>
        <v>0</v>
      </c>
      <c r="S2822" s="1" t="str">
        <f>IF(Table1[[#This Row],[High Tol]]="","N/A",IFERROR(ABS(Table1[[#This Row],[Tol Span]]/Table1[[#This Row],[Error Span]]),"N/A"))</f>
        <v>N/A</v>
      </c>
      <c r="T2822" s="1" t="str">
        <f>IF(OR(Table1[[#This Row],[Low Tol]]="",Table1[[#This Row],[High Tol]]=""),"Needs Analysis",IF(Table1[[#This Row],[Ratio]]&gt;=4,"Not Significant",IF(Table1[[#This Row],[Ratio]]&gt;=2,"Semi-Significant","Significant")))</f>
        <v>Needs Analysis</v>
      </c>
      <c r="W2822" s="1">
        <f>IF(Table1[[#This Row],[Cal Type]]&lt;&gt;"ACCREDITED 17025 WITH UNCERTAINTIES",0,"")</f>
        <v>0</v>
      </c>
      <c r="X2822" s="1" t="str">
        <f>IF(Table1[[#This Row],[DUT Read]]="","N/A",Table1[[#This Row],[Std Error]]+Table1[[#This Row],[DUT Read]]+Table1[[#This Row],[DUT Ucty]])</f>
        <v>N/A</v>
      </c>
      <c r="Y2822" s="1" t="str">
        <f>IF(Table1[[#This Row],[Std Read]]="","N/A",Table1[[#This Row],[Std Read]]+Table1[[#This Row],[Std Ucty]])</f>
        <v>N/A</v>
      </c>
      <c r="Z28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2" s="1" t="str">
        <f>IF(Table1[[#This Row],[Spec Type]]="","N/A",Table1[[#This Row],[Spec Type]])</f>
        <v>±</v>
      </c>
      <c r="AC2822" s="1" t="str">
        <f>IF(Table1[[#This Row],[Spec Type2]]="N/A","N/A",IF(AND(Table1[[#This Row],[DUT Adj Read]]&gt;=Table1[[#This Row],[Low Tol]],Table1[[#This Row],[DUT Adj Read]]&lt;=Table1[[#This Row],[High Tol]]),"Pass","Fail"))</f>
        <v>Fail</v>
      </c>
      <c r="AD2822" s="1" t="str">
        <f>IF(AND(Table1[[#This Row],[Spec Type2]]="N/A",Table1[[#This Row],[DUT Adj Read]]="N/A",Table1[[#This Row],[Std Adj Read]]="N/A"),"N/A",IF(Table1[[#This Row],[DUT Adj Read]]="N/A",IF(Table1[[#This Row],[Std Adj Read]]&gt;Table1[[#This Row],[Low Tol]],"Pass","Fail"),IF(Table1[[#This Row],[DUT Adj Read]]&gt;Table1[[#This Row],[Low Tol]],"Pass","Fail")))</f>
        <v>Pass</v>
      </c>
      <c r="AE2822" s="1" t="str">
        <f>IF(AND(Table1[[#This Row],[Spec Type2]]="N/A",Table1[[#This Row],[DUT Adj Read]]="N/A",Table1[[#This Row],[Std Adj Read]]="N/A"),"N/A",IF(Table1[[#This Row],[DUT Adj Read]]="N/A",IF(Table1[[#This Row],[Std Adj Read]]&lt;Table1[[#This Row],[High Tol]],"Pass","Fail"),IF(Table1[[#This Row],[DUT Adj Read]]&lt;Table1[[#This Row],[High Tol]],"Pass","Fail")))</f>
        <v>Fail</v>
      </c>
      <c r="AF2822" s="1" t="str">
        <f>IF(AND(Table1[[#This Row],[Spec Type2]]="N/A",Table1[[#This Row],[DUT Adj Read]]="N/A",Table1[[#This Row],[Std Adj Read]]="N/A"),"N/A",IF(Table1[[#This Row],[DUT Adj Read]]="N/A",IF(Table1[[#This Row],[Std Adj Read]]&gt;=Table1[[#This Row],[Low Tol]],"Pass","Fail"),IF(Table1[[#This Row],[DUT Adj Read]]&gt;=Table1[[#This Row],[Low Tol]],"Pass","Fail")))</f>
        <v>Pass</v>
      </c>
      <c r="AG2822" s="1" t="str">
        <f>IF(AND(Table1[[#This Row],[Spec Type2]]="N/A",Table1[[#This Row],[DUT Adj Read]]="N/A",Table1[[#This Row],[Std Adj Read]]="N/A"),"N/A",IF(Table1[[#This Row],[DUT Adj Read]]="N/A",IF(Table1[[#This Row],[Std Adj Read]]&lt;=Table1[[#This Row],[High Tol]],"Pass","Fail"),IF(Table1[[#This Row],[DUT Adj Read]]&lt;=Table1[[#This Row],[High Tol]],"Pass","Fail")))</f>
        <v>Fail</v>
      </c>
      <c r="AH28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2" s="1" t="b">
        <v>0</v>
      </c>
      <c r="AN2822" s="1" t="b">
        <v>0</v>
      </c>
      <c r="AO2822" s="1" t="b">
        <v>0</v>
      </c>
    </row>
    <row r="2823" spans="1:41" x14ac:dyDescent="0.25">
      <c r="A2823" s="10"/>
      <c r="B2823" s="10"/>
      <c r="C2823" s="10"/>
      <c r="D2823" s="10"/>
      <c r="E2823" s="10"/>
      <c r="F2823" s="10"/>
      <c r="G2823" s="10"/>
      <c r="H2823" s="10"/>
      <c r="I2823" s="1" t="str">
        <f t="shared" si="129"/>
        <v/>
      </c>
      <c r="J2823" s="1" t="s">
        <v>35</v>
      </c>
      <c r="K2823" s="1" t="str">
        <f t="shared" si="130"/>
        <v/>
      </c>
      <c r="L2823" s="1" t="str">
        <f t="shared" si="131"/>
        <v/>
      </c>
      <c r="M2823" s="1">
        <f>IF(OR(Table1[[#This Row],[Std Nom]]="",Table1[[#This Row],[Std Read]]=""),0,Table1[[#This Row],[Std Nom]]-Table1[[#This Row],[Std Read]])</f>
        <v>0</v>
      </c>
      <c r="N2823" s="1">
        <f>IF(Calculations!$F$5="ACCREDITED 17025 WITH UNCERTAINTIES",$N$10,0)</f>
        <v>0</v>
      </c>
      <c r="O2823" s="1" t="str">
        <f>IFERROR(Table1[[#This Row],[Std Nom]]-(_xlfn.XLOOKUP(Table1[[#This Row],[Manufacturer]]&amp;" "&amp;Table1[[#This Row],[Model]],Table13[MFR &amp; MDL],Table13[Tolerance % CW ],"")/100*Table1[[#This Row],[Std Nom]]),"")</f>
        <v/>
      </c>
      <c r="P2823" s="1" t="str">
        <f>IFERROR(Table1[[#This Row],[Std Nom]]+(_xlfn.XLOOKUP(Table1[[#This Row],[Manufacturer]]&amp;" "&amp;Table1[[#This Row],[Model]],Table13[MFR &amp; MDL],Table13[Tolerance % CW ],"")/100*Table1[[#This Row],[Std Nom]]),"")</f>
        <v/>
      </c>
      <c r="Q2823" s="1" t="e">
        <f>Table1[[#This Row],[High Tol]]-Table1[[#This Row],[Low Tol]]</f>
        <v>#VALUE!</v>
      </c>
      <c r="R2823" s="1">
        <f>2*Table1[[#This Row],[Std Error]]</f>
        <v>0</v>
      </c>
      <c r="S2823" s="1" t="str">
        <f>IF(Table1[[#This Row],[High Tol]]="","N/A",IFERROR(ABS(Table1[[#This Row],[Tol Span]]/Table1[[#This Row],[Error Span]]),"N/A"))</f>
        <v>N/A</v>
      </c>
      <c r="T2823" s="1" t="str">
        <f>IF(OR(Table1[[#This Row],[Low Tol]]="",Table1[[#This Row],[High Tol]]=""),"Needs Analysis",IF(Table1[[#This Row],[Ratio]]&gt;=4,"Not Significant",IF(Table1[[#This Row],[Ratio]]&gt;=2,"Semi-Significant","Significant")))</f>
        <v>Needs Analysis</v>
      </c>
      <c r="W2823" s="1">
        <f>IF(Table1[[#This Row],[Cal Type]]&lt;&gt;"ACCREDITED 17025 WITH UNCERTAINTIES",0,"")</f>
        <v>0</v>
      </c>
      <c r="X2823" s="1" t="str">
        <f>IF(Table1[[#This Row],[DUT Read]]="","N/A",Table1[[#This Row],[Std Error]]+Table1[[#This Row],[DUT Read]]+Table1[[#This Row],[DUT Ucty]])</f>
        <v>N/A</v>
      </c>
      <c r="Y2823" s="1" t="str">
        <f>IF(Table1[[#This Row],[Std Read]]="","N/A",Table1[[#This Row],[Std Read]]+Table1[[#This Row],[Std Ucty]])</f>
        <v>N/A</v>
      </c>
      <c r="Z28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3" s="1" t="str">
        <f>IF(Table1[[#This Row],[Spec Type]]="","N/A",Table1[[#This Row],[Spec Type]])</f>
        <v>±</v>
      </c>
      <c r="AC2823" s="1" t="str">
        <f>IF(Table1[[#This Row],[Spec Type2]]="N/A","N/A",IF(AND(Table1[[#This Row],[DUT Adj Read]]&gt;=Table1[[#This Row],[Low Tol]],Table1[[#This Row],[DUT Adj Read]]&lt;=Table1[[#This Row],[High Tol]]),"Pass","Fail"))</f>
        <v>Fail</v>
      </c>
      <c r="AD2823" s="1" t="str">
        <f>IF(AND(Table1[[#This Row],[Spec Type2]]="N/A",Table1[[#This Row],[DUT Adj Read]]="N/A",Table1[[#This Row],[Std Adj Read]]="N/A"),"N/A",IF(Table1[[#This Row],[DUT Adj Read]]="N/A",IF(Table1[[#This Row],[Std Adj Read]]&gt;Table1[[#This Row],[Low Tol]],"Pass","Fail"),IF(Table1[[#This Row],[DUT Adj Read]]&gt;Table1[[#This Row],[Low Tol]],"Pass","Fail")))</f>
        <v>Pass</v>
      </c>
      <c r="AE2823" s="1" t="str">
        <f>IF(AND(Table1[[#This Row],[Spec Type2]]="N/A",Table1[[#This Row],[DUT Adj Read]]="N/A",Table1[[#This Row],[Std Adj Read]]="N/A"),"N/A",IF(Table1[[#This Row],[DUT Adj Read]]="N/A",IF(Table1[[#This Row],[Std Adj Read]]&lt;Table1[[#This Row],[High Tol]],"Pass","Fail"),IF(Table1[[#This Row],[DUT Adj Read]]&lt;Table1[[#This Row],[High Tol]],"Pass","Fail")))</f>
        <v>Fail</v>
      </c>
      <c r="AF2823" s="1" t="str">
        <f>IF(AND(Table1[[#This Row],[Spec Type2]]="N/A",Table1[[#This Row],[DUT Adj Read]]="N/A",Table1[[#This Row],[Std Adj Read]]="N/A"),"N/A",IF(Table1[[#This Row],[DUT Adj Read]]="N/A",IF(Table1[[#This Row],[Std Adj Read]]&gt;=Table1[[#This Row],[Low Tol]],"Pass","Fail"),IF(Table1[[#This Row],[DUT Adj Read]]&gt;=Table1[[#This Row],[Low Tol]],"Pass","Fail")))</f>
        <v>Pass</v>
      </c>
      <c r="AG2823" s="1" t="str">
        <f>IF(AND(Table1[[#This Row],[Spec Type2]]="N/A",Table1[[#This Row],[DUT Adj Read]]="N/A",Table1[[#This Row],[Std Adj Read]]="N/A"),"N/A",IF(Table1[[#This Row],[DUT Adj Read]]="N/A",IF(Table1[[#This Row],[Std Adj Read]]&lt;=Table1[[#This Row],[High Tol]],"Pass","Fail"),IF(Table1[[#This Row],[DUT Adj Read]]&lt;=Table1[[#This Row],[High Tol]],"Pass","Fail")))</f>
        <v>Fail</v>
      </c>
      <c r="AH28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3" s="1" t="b">
        <v>0</v>
      </c>
      <c r="AN2823" s="1" t="b">
        <v>0</v>
      </c>
      <c r="AO2823" s="1" t="b">
        <v>0</v>
      </c>
    </row>
    <row r="2824" spans="1:41" x14ac:dyDescent="0.25">
      <c r="A2824" s="10"/>
      <c r="B2824" s="10"/>
      <c r="C2824" s="10"/>
      <c r="D2824" s="10"/>
      <c r="E2824" s="10"/>
      <c r="F2824" s="10"/>
      <c r="G2824" s="10"/>
      <c r="H2824" s="10"/>
      <c r="I2824" s="1" t="str">
        <f t="shared" si="129"/>
        <v/>
      </c>
      <c r="J2824" s="1" t="s">
        <v>35</v>
      </c>
      <c r="K2824" s="1" t="str">
        <f t="shared" si="130"/>
        <v/>
      </c>
      <c r="L2824" s="1" t="str">
        <f t="shared" si="131"/>
        <v/>
      </c>
      <c r="M2824" s="1">
        <f>IF(OR(Table1[[#This Row],[Std Nom]]="",Table1[[#This Row],[Std Read]]=""),0,Table1[[#This Row],[Std Nom]]-Table1[[#This Row],[Std Read]])</f>
        <v>0</v>
      </c>
      <c r="N2824" s="1">
        <f>IF(Calculations!$F$5="ACCREDITED 17025 WITH UNCERTAINTIES",$N$10,0)</f>
        <v>0</v>
      </c>
      <c r="O2824" s="1" t="str">
        <f>IFERROR(Table1[[#This Row],[Std Nom]]-(_xlfn.XLOOKUP(Table1[[#This Row],[Manufacturer]]&amp;" "&amp;Table1[[#This Row],[Model]],Table13[MFR &amp; MDL],Table13[Tolerance % CW ],"")/100*Table1[[#This Row],[Std Nom]]),"")</f>
        <v/>
      </c>
      <c r="P2824" s="1" t="str">
        <f>IFERROR(Table1[[#This Row],[Std Nom]]+(_xlfn.XLOOKUP(Table1[[#This Row],[Manufacturer]]&amp;" "&amp;Table1[[#This Row],[Model]],Table13[MFR &amp; MDL],Table13[Tolerance % CW ],"")/100*Table1[[#This Row],[Std Nom]]),"")</f>
        <v/>
      </c>
      <c r="Q2824" s="1" t="e">
        <f>Table1[[#This Row],[High Tol]]-Table1[[#This Row],[Low Tol]]</f>
        <v>#VALUE!</v>
      </c>
      <c r="R2824" s="1">
        <f>2*Table1[[#This Row],[Std Error]]</f>
        <v>0</v>
      </c>
      <c r="S2824" s="1" t="str">
        <f>IF(Table1[[#This Row],[High Tol]]="","N/A",IFERROR(ABS(Table1[[#This Row],[Tol Span]]/Table1[[#This Row],[Error Span]]),"N/A"))</f>
        <v>N/A</v>
      </c>
      <c r="T2824" s="1" t="str">
        <f>IF(OR(Table1[[#This Row],[Low Tol]]="",Table1[[#This Row],[High Tol]]=""),"Needs Analysis",IF(Table1[[#This Row],[Ratio]]&gt;=4,"Not Significant",IF(Table1[[#This Row],[Ratio]]&gt;=2,"Semi-Significant","Significant")))</f>
        <v>Needs Analysis</v>
      </c>
      <c r="W2824" s="1">
        <f>IF(Table1[[#This Row],[Cal Type]]&lt;&gt;"ACCREDITED 17025 WITH UNCERTAINTIES",0,"")</f>
        <v>0</v>
      </c>
      <c r="X2824" s="1" t="str">
        <f>IF(Table1[[#This Row],[DUT Read]]="","N/A",Table1[[#This Row],[Std Error]]+Table1[[#This Row],[DUT Read]]+Table1[[#This Row],[DUT Ucty]])</f>
        <v>N/A</v>
      </c>
      <c r="Y2824" s="1" t="str">
        <f>IF(Table1[[#This Row],[Std Read]]="","N/A",Table1[[#This Row],[Std Read]]+Table1[[#This Row],[Std Ucty]])</f>
        <v>N/A</v>
      </c>
      <c r="Z28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4" s="1" t="str">
        <f>IF(Table1[[#This Row],[Spec Type]]="","N/A",Table1[[#This Row],[Spec Type]])</f>
        <v>±</v>
      </c>
      <c r="AC2824" s="1" t="str">
        <f>IF(Table1[[#This Row],[Spec Type2]]="N/A","N/A",IF(AND(Table1[[#This Row],[DUT Adj Read]]&gt;=Table1[[#This Row],[Low Tol]],Table1[[#This Row],[DUT Adj Read]]&lt;=Table1[[#This Row],[High Tol]]),"Pass","Fail"))</f>
        <v>Fail</v>
      </c>
      <c r="AD2824" s="1" t="str">
        <f>IF(AND(Table1[[#This Row],[Spec Type2]]="N/A",Table1[[#This Row],[DUT Adj Read]]="N/A",Table1[[#This Row],[Std Adj Read]]="N/A"),"N/A",IF(Table1[[#This Row],[DUT Adj Read]]="N/A",IF(Table1[[#This Row],[Std Adj Read]]&gt;Table1[[#This Row],[Low Tol]],"Pass","Fail"),IF(Table1[[#This Row],[DUT Adj Read]]&gt;Table1[[#This Row],[Low Tol]],"Pass","Fail")))</f>
        <v>Pass</v>
      </c>
      <c r="AE2824" s="1" t="str">
        <f>IF(AND(Table1[[#This Row],[Spec Type2]]="N/A",Table1[[#This Row],[DUT Adj Read]]="N/A",Table1[[#This Row],[Std Adj Read]]="N/A"),"N/A",IF(Table1[[#This Row],[DUT Adj Read]]="N/A",IF(Table1[[#This Row],[Std Adj Read]]&lt;Table1[[#This Row],[High Tol]],"Pass","Fail"),IF(Table1[[#This Row],[DUT Adj Read]]&lt;Table1[[#This Row],[High Tol]],"Pass","Fail")))</f>
        <v>Fail</v>
      </c>
      <c r="AF2824" s="1" t="str">
        <f>IF(AND(Table1[[#This Row],[Spec Type2]]="N/A",Table1[[#This Row],[DUT Adj Read]]="N/A",Table1[[#This Row],[Std Adj Read]]="N/A"),"N/A",IF(Table1[[#This Row],[DUT Adj Read]]="N/A",IF(Table1[[#This Row],[Std Adj Read]]&gt;=Table1[[#This Row],[Low Tol]],"Pass","Fail"),IF(Table1[[#This Row],[DUT Adj Read]]&gt;=Table1[[#This Row],[Low Tol]],"Pass","Fail")))</f>
        <v>Pass</v>
      </c>
      <c r="AG2824" s="1" t="str">
        <f>IF(AND(Table1[[#This Row],[Spec Type2]]="N/A",Table1[[#This Row],[DUT Adj Read]]="N/A",Table1[[#This Row],[Std Adj Read]]="N/A"),"N/A",IF(Table1[[#This Row],[DUT Adj Read]]="N/A",IF(Table1[[#This Row],[Std Adj Read]]&lt;=Table1[[#This Row],[High Tol]],"Pass","Fail"),IF(Table1[[#This Row],[DUT Adj Read]]&lt;=Table1[[#This Row],[High Tol]],"Pass","Fail")))</f>
        <v>Fail</v>
      </c>
      <c r="AH28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4" s="1" t="b">
        <v>0</v>
      </c>
      <c r="AN2824" s="1" t="b">
        <v>0</v>
      </c>
      <c r="AO2824" s="1" t="b">
        <v>0</v>
      </c>
    </row>
    <row r="2825" spans="1:41" x14ac:dyDescent="0.25">
      <c r="A2825" s="10"/>
      <c r="B2825" s="10"/>
      <c r="C2825" s="10"/>
      <c r="D2825" s="10"/>
      <c r="E2825" s="10"/>
      <c r="F2825" s="10"/>
      <c r="G2825" s="10"/>
      <c r="H2825" s="10"/>
      <c r="I2825" s="1" t="str">
        <f t="shared" si="129"/>
        <v/>
      </c>
      <c r="J2825" s="1" t="s">
        <v>35</v>
      </c>
      <c r="K2825" s="1" t="str">
        <f t="shared" si="130"/>
        <v/>
      </c>
      <c r="L2825" s="1" t="str">
        <f t="shared" si="131"/>
        <v/>
      </c>
      <c r="M2825" s="1">
        <f>IF(OR(Table1[[#This Row],[Std Nom]]="",Table1[[#This Row],[Std Read]]=""),0,Table1[[#This Row],[Std Nom]]-Table1[[#This Row],[Std Read]])</f>
        <v>0</v>
      </c>
      <c r="N2825" s="1">
        <f>IF(Calculations!$F$5="ACCREDITED 17025 WITH UNCERTAINTIES",$N$10,0)</f>
        <v>0</v>
      </c>
      <c r="O2825" s="1" t="str">
        <f>IFERROR(Table1[[#This Row],[Std Nom]]-(_xlfn.XLOOKUP(Table1[[#This Row],[Manufacturer]]&amp;" "&amp;Table1[[#This Row],[Model]],Table13[MFR &amp; MDL],Table13[Tolerance % CW ],"")/100*Table1[[#This Row],[Std Nom]]),"")</f>
        <v/>
      </c>
      <c r="P2825" s="1" t="str">
        <f>IFERROR(Table1[[#This Row],[Std Nom]]+(_xlfn.XLOOKUP(Table1[[#This Row],[Manufacturer]]&amp;" "&amp;Table1[[#This Row],[Model]],Table13[MFR &amp; MDL],Table13[Tolerance % CW ],"")/100*Table1[[#This Row],[Std Nom]]),"")</f>
        <v/>
      </c>
      <c r="Q2825" s="1" t="e">
        <f>Table1[[#This Row],[High Tol]]-Table1[[#This Row],[Low Tol]]</f>
        <v>#VALUE!</v>
      </c>
      <c r="R2825" s="1">
        <f>2*Table1[[#This Row],[Std Error]]</f>
        <v>0</v>
      </c>
      <c r="S2825" s="1" t="str">
        <f>IF(Table1[[#This Row],[High Tol]]="","N/A",IFERROR(ABS(Table1[[#This Row],[Tol Span]]/Table1[[#This Row],[Error Span]]),"N/A"))</f>
        <v>N/A</v>
      </c>
      <c r="T2825" s="1" t="str">
        <f>IF(OR(Table1[[#This Row],[Low Tol]]="",Table1[[#This Row],[High Tol]]=""),"Needs Analysis",IF(Table1[[#This Row],[Ratio]]&gt;=4,"Not Significant",IF(Table1[[#This Row],[Ratio]]&gt;=2,"Semi-Significant","Significant")))</f>
        <v>Needs Analysis</v>
      </c>
      <c r="W2825" s="1">
        <f>IF(Table1[[#This Row],[Cal Type]]&lt;&gt;"ACCREDITED 17025 WITH UNCERTAINTIES",0,"")</f>
        <v>0</v>
      </c>
      <c r="X2825" s="1" t="str">
        <f>IF(Table1[[#This Row],[DUT Read]]="","N/A",Table1[[#This Row],[Std Error]]+Table1[[#This Row],[DUT Read]]+Table1[[#This Row],[DUT Ucty]])</f>
        <v>N/A</v>
      </c>
      <c r="Y2825" s="1" t="str">
        <f>IF(Table1[[#This Row],[Std Read]]="","N/A",Table1[[#This Row],[Std Read]]+Table1[[#This Row],[Std Ucty]])</f>
        <v>N/A</v>
      </c>
      <c r="Z28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5" s="1" t="str">
        <f>IF(Table1[[#This Row],[Spec Type]]="","N/A",Table1[[#This Row],[Spec Type]])</f>
        <v>±</v>
      </c>
      <c r="AC2825" s="1" t="str">
        <f>IF(Table1[[#This Row],[Spec Type2]]="N/A","N/A",IF(AND(Table1[[#This Row],[DUT Adj Read]]&gt;=Table1[[#This Row],[Low Tol]],Table1[[#This Row],[DUT Adj Read]]&lt;=Table1[[#This Row],[High Tol]]),"Pass","Fail"))</f>
        <v>Fail</v>
      </c>
      <c r="AD2825" s="1" t="str">
        <f>IF(AND(Table1[[#This Row],[Spec Type2]]="N/A",Table1[[#This Row],[DUT Adj Read]]="N/A",Table1[[#This Row],[Std Adj Read]]="N/A"),"N/A",IF(Table1[[#This Row],[DUT Adj Read]]="N/A",IF(Table1[[#This Row],[Std Adj Read]]&gt;Table1[[#This Row],[Low Tol]],"Pass","Fail"),IF(Table1[[#This Row],[DUT Adj Read]]&gt;Table1[[#This Row],[Low Tol]],"Pass","Fail")))</f>
        <v>Pass</v>
      </c>
      <c r="AE2825" s="1" t="str">
        <f>IF(AND(Table1[[#This Row],[Spec Type2]]="N/A",Table1[[#This Row],[DUT Adj Read]]="N/A",Table1[[#This Row],[Std Adj Read]]="N/A"),"N/A",IF(Table1[[#This Row],[DUT Adj Read]]="N/A",IF(Table1[[#This Row],[Std Adj Read]]&lt;Table1[[#This Row],[High Tol]],"Pass","Fail"),IF(Table1[[#This Row],[DUT Adj Read]]&lt;Table1[[#This Row],[High Tol]],"Pass","Fail")))</f>
        <v>Fail</v>
      </c>
      <c r="AF2825" s="1" t="str">
        <f>IF(AND(Table1[[#This Row],[Spec Type2]]="N/A",Table1[[#This Row],[DUT Adj Read]]="N/A",Table1[[#This Row],[Std Adj Read]]="N/A"),"N/A",IF(Table1[[#This Row],[DUT Adj Read]]="N/A",IF(Table1[[#This Row],[Std Adj Read]]&gt;=Table1[[#This Row],[Low Tol]],"Pass","Fail"),IF(Table1[[#This Row],[DUT Adj Read]]&gt;=Table1[[#This Row],[Low Tol]],"Pass","Fail")))</f>
        <v>Pass</v>
      </c>
      <c r="AG2825" s="1" t="str">
        <f>IF(AND(Table1[[#This Row],[Spec Type2]]="N/A",Table1[[#This Row],[DUT Adj Read]]="N/A",Table1[[#This Row],[Std Adj Read]]="N/A"),"N/A",IF(Table1[[#This Row],[DUT Adj Read]]="N/A",IF(Table1[[#This Row],[Std Adj Read]]&lt;=Table1[[#This Row],[High Tol]],"Pass","Fail"),IF(Table1[[#This Row],[DUT Adj Read]]&lt;=Table1[[#This Row],[High Tol]],"Pass","Fail")))</f>
        <v>Fail</v>
      </c>
      <c r="AH28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5" s="1" t="b">
        <v>0</v>
      </c>
      <c r="AN2825" s="1" t="b">
        <v>0</v>
      </c>
      <c r="AO2825" s="1" t="b">
        <v>0</v>
      </c>
    </row>
    <row r="2826" spans="1:41" x14ac:dyDescent="0.25">
      <c r="A2826" s="10"/>
      <c r="B2826" s="10"/>
      <c r="C2826" s="10"/>
      <c r="D2826" s="10"/>
      <c r="E2826" s="10"/>
      <c r="F2826" s="10"/>
      <c r="G2826" s="10"/>
      <c r="H2826" s="10"/>
      <c r="I2826" s="1" t="str">
        <f t="shared" si="129"/>
        <v/>
      </c>
      <c r="J2826" s="1" t="s">
        <v>35</v>
      </c>
      <c r="K2826" s="1" t="str">
        <f t="shared" si="130"/>
        <v/>
      </c>
      <c r="L2826" s="1" t="str">
        <f t="shared" si="131"/>
        <v/>
      </c>
      <c r="M2826" s="1">
        <f>IF(OR(Table1[[#This Row],[Std Nom]]="",Table1[[#This Row],[Std Read]]=""),0,Table1[[#This Row],[Std Nom]]-Table1[[#This Row],[Std Read]])</f>
        <v>0</v>
      </c>
      <c r="N2826" s="1">
        <f>IF(Calculations!$F$5="ACCREDITED 17025 WITH UNCERTAINTIES",$N$10,0)</f>
        <v>0</v>
      </c>
      <c r="O2826" s="1" t="str">
        <f>IFERROR(Table1[[#This Row],[Std Nom]]-(_xlfn.XLOOKUP(Table1[[#This Row],[Manufacturer]]&amp;" "&amp;Table1[[#This Row],[Model]],Table13[MFR &amp; MDL],Table13[Tolerance % CW ],"")/100*Table1[[#This Row],[Std Nom]]),"")</f>
        <v/>
      </c>
      <c r="P2826" s="1" t="str">
        <f>IFERROR(Table1[[#This Row],[Std Nom]]+(_xlfn.XLOOKUP(Table1[[#This Row],[Manufacturer]]&amp;" "&amp;Table1[[#This Row],[Model]],Table13[MFR &amp; MDL],Table13[Tolerance % CW ],"")/100*Table1[[#This Row],[Std Nom]]),"")</f>
        <v/>
      </c>
      <c r="Q2826" s="1" t="e">
        <f>Table1[[#This Row],[High Tol]]-Table1[[#This Row],[Low Tol]]</f>
        <v>#VALUE!</v>
      </c>
      <c r="R2826" s="1">
        <f>2*Table1[[#This Row],[Std Error]]</f>
        <v>0</v>
      </c>
      <c r="S2826" s="1" t="str">
        <f>IF(Table1[[#This Row],[High Tol]]="","N/A",IFERROR(ABS(Table1[[#This Row],[Tol Span]]/Table1[[#This Row],[Error Span]]),"N/A"))</f>
        <v>N/A</v>
      </c>
      <c r="T2826" s="1" t="str">
        <f>IF(OR(Table1[[#This Row],[Low Tol]]="",Table1[[#This Row],[High Tol]]=""),"Needs Analysis",IF(Table1[[#This Row],[Ratio]]&gt;=4,"Not Significant",IF(Table1[[#This Row],[Ratio]]&gt;=2,"Semi-Significant","Significant")))</f>
        <v>Needs Analysis</v>
      </c>
      <c r="W2826" s="1">
        <f>IF(Table1[[#This Row],[Cal Type]]&lt;&gt;"ACCREDITED 17025 WITH UNCERTAINTIES",0,"")</f>
        <v>0</v>
      </c>
      <c r="X2826" s="1" t="str">
        <f>IF(Table1[[#This Row],[DUT Read]]="","N/A",Table1[[#This Row],[Std Error]]+Table1[[#This Row],[DUT Read]]+Table1[[#This Row],[DUT Ucty]])</f>
        <v>N/A</v>
      </c>
      <c r="Y2826" s="1" t="str">
        <f>IF(Table1[[#This Row],[Std Read]]="","N/A",Table1[[#This Row],[Std Read]]+Table1[[#This Row],[Std Ucty]])</f>
        <v>N/A</v>
      </c>
      <c r="Z28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6" s="1" t="str">
        <f>IF(Table1[[#This Row],[Spec Type]]="","N/A",Table1[[#This Row],[Spec Type]])</f>
        <v>±</v>
      </c>
      <c r="AC2826" s="1" t="str">
        <f>IF(Table1[[#This Row],[Spec Type2]]="N/A","N/A",IF(AND(Table1[[#This Row],[DUT Adj Read]]&gt;=Table1[[#This Row],[Low Tol]],Table1[[#This Row],[DUT Adj Read]]&lt;=Table1[[#This Row],[High Tol]]),"Pass","Fail"))</f>
        <v>Fail</v>
      </c>
      <c r="AD2826" s="1" t="str">
        <f>IF(AND(Table1[[#This Row],[Spec Type2]]="N/A",Table1[[#This Row],[DUT Adj Read]]="N/A",Table1[[#This Row],[Std Adj Read]]="N/A"),"N/A",IF(Table1[[#This Row],[DUT Adj Read]]="N/A",IF(Table1[[#This Row],[Std Adj Read]]&gt;Table1[[#This Row],[Low Tol]],"Pass","Fail"),IF(Table1[[#This Row],[DUT Adj Read]]&gt;Table1[[#This Row],[Low Tol]],"Pass","Fail")))</f>
        <v>Pass</v>
      </c>
      <c r="AE2826" s="1" t="str">
        <f>IF(AND(Table1[[#This Row],[Spec Type2]]="N/A",Table1[[#This Row],[DUT Adj Read]]="N/A",Table1[[#This Row],[Std Adj Read]]="N/A"),"N/A",IF(Table1[[#This Row],[DUT Adj Read]]="N/A",IF(Table1[[#This Row],[Std Adj Read]]&lt;Table1[[#This Row],[High Tol]],"Pass","Fail"),IF(Table1[[#This Row],[DUT Adj Read]]&lt;Table1[[#This Row],[High Tol]],"Pass","Fail")))</f>
        <v>Fail</v>
      </c>
      <c r="AF2826" s="1" t="str">
        <f>IF(AND(Table1[[#This Row],[Spec Type2]]="N/A",Table1[[#This Row],[DUT Adj Read]]="N/A",Table1[[#This Row],[Std Adj Read]]="N/A"),"N/A",IF(Table1[[#This Row],[DUT Adj Read]]="N/A",IF(Table1[[#This Row],[Std Adj Read]]&gt;=Table1[[#This Row],[Low Tol]],"Pass","Fail"),IF(Table1[[#This Row],[DUT Adj Read]]&gt;=Table1[[#This Row],[Low Tol]],"Pass","Fail")))</f>
        <v>Pass</v>
      </c>
      <c r="AG2826" s="1" t="str">
        <f>IF(AND(Table1[[#This Row],[Spec Type2]]="N/A",Table1[[#This Row],[DUT Adj Read]]="N/A",Table1[[#This Row],[Std Adj Read]]="N/A"),"N/A",IF(Table1[[#This Row],[DUT Adj Read]]="N/A",IF(Table1[[#This Row],[Std Adj Read]]&lt;=Table1[[#This Row],[High Tol]],"Pass","Fail"),IF(Table1[[#This Row],[DUT Adj Read]]&lt;=Table1[[#This Row],[High Tol]],"Pass","Fail")))</f>
        <v>Fail</v>
      </c>
      <c r="AH28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6" s="1" t="b">
        <v>0</v>
      </c>
      <c r="AN2826" s="1" t="b">
        <v>0</v>
      </c>
      <c r="AO2826" s="1" t="b">
        <v>0</v>
      </c>
    </row>
    <row r="2827" spans="1:41" x14ac:dyDescent="0.25">
      <c r="A2827" s="10"/>
      <c r="B2827" s="10"/>
      <c r="C2827" s="10"/>
      <c r="D2827" s="10"/>
      <c r="E2827" s="10"/>
      <c r="F2827" s="10"/>
      <c r="G2827" s="10"/>
      <c r="H2827" s="10"/>
      <c r="I2827" s="1" t="str">
        <f t="shared" ref="I2827:I2890" si="132">IF($I$10="","",$I$10)</f>
        <v/>
      </c>
      <c r="J2827" s="1" t="s">
        <v>35</v>
      </c>
      <c r="K2827" s="1" t="str">
        <f t="shared" ref="K2827:K2890" si="133">IF($K$10="","",$K$10)</f>
        <v/>
      </c>
      <c r="L2827" s="1" t="str">
        <f t="shared" ref="L2827:L2890" si="134">IF($L$10="","",$L$10)</f>
        <v/>
      </c>
      <c r="M2827" s="1">
        <f>IF(OR(Table1[[#This Row],[Std Nom]]="",Table1[[#This Row],[Std Read]]=""),0,Table1[[#This Row],[Std Nom]]-Table1[[#This Row],[Std Read]])</f>
        <v>0</v>
      </c>
      <c r="N2827" s="1">
        <f>IF(Calculations!$F$5="ACCREDITED 17025 WITH UNCERTAINTIES",$N$10,0)</f>
        <v>0</v>
      </c>
      <c r="O2827" s="1" t="str">
        <f>IFERROR(Table1[[#This Row],[Std Nom]]-(_xlfn.XLOOKUP(Table1[[#This Row],[Manufacturer]]&amp;" "&amp;Table1[[#This Row],[Model]],Table13[MFR &amp; MDL],Table13[Tolerance % CW ],"")/100*Table1[[#This Row],[Std Nom]]),"")</f>
        <v/>
      </c>
      <c r="P2827" s="1" t="str">
        <f>IFERROR(Table1[[#This Row],[Std Nom]]+(_xlfn.XLOOKUP(Table1[[#This Row],[Manufacturer]]&amp;" "&amp;Table1[[#This Row],[Model]],Table13[MFR &amp; MDL],Table13[Tolerance % CW ],"")/100*Table1[[#This Row],[Std Nom]]),"")</f>
        <v/>
      </c>
      <c r="Q2827" s="1" t="e">
        <f>Table1[[#This Row],[High Tol]]-Table1[[#This Row],[Low Tol]]</f>
        <v>#VALUE!</v>
      </c>
      <c r="R2827" s="1">
        <f>2*Table1[[#This Row],[Std Error]]</f>
        <v>0</v>
      </c>
      <c r="S2827" s="1" t="str">
        <f>IF(Table1[[#This Row],[High Tol]]="","N/A",IFERROR(ABS(Table1[[#This Row],[Tol Span]]/Table1[[#This Row],[Error Span]]),"N/A"))</f>
        <v>N/A</v>
      </c>
      <c r="T2827" s="1" t="str">
        <f>IF(OR(Table1[[#This Row],[Low Tol]]="",Table1[[#This Row],[High Tol]]=""),"Needs Analysis",IF(Table1[[#This Row],[Ratio]]&gt;=4,"Not Significant",IF(Table1[[#This Row],[Ratio]]&gt;=2,"Semi-Significant","Significant")))</f>
        <v>Needs Analysis</v>
      </c>
      <c r="W2827" s="1">
        <f>IF(Table1[[#This Row],[Cal Type]]&lt;&gt;"ACCREDITED 17025 WITH UNCERTAINTIES",0,"")</f>
        <v>0</v>
      </c>
      <c r="X2827" s="1" t="str">
        <f>IF(Table1[[#This Row],[DUT Read]]="","N/A",Table1[[#This Row],[Std Error]]+Table1[[#This Row],[DUT Read]]+Table1[[#This Row],[DUT Ucty]])</f>
        <v>N/A</v>
      </c>
      <c r="Y2827" s="1" t="str">
        <f>IF(Table1[[#This Row],[Std Read]]="","N/A",Table1[[#This Row],[Std Read]]+Table1[[#This Row],[Std Ucty]])</f>
        <v>N/A</v>
      </c>
      <c r="Z28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7" s="1" t="str">
        <f>IF(Table1[[#This Row],[Spec Type]]="","N/A",Table1[[#This Row],[Spec Type]])</f>
        <v>±</v>
      </c>
      <c r="AC2827" s="1" t="str">
        <f>IF(Table1[[#This Row],[Spec Type2]]="N/A","N/A",IF(AND(Table1[[#This Row],[DUT Adj Read]]&gt;=Table1[[#This Row],[Low Tol]],Table1[[#This Row],[DUT Adj Read]]&lt;=Table1[[#This Row],[High Tol]]),"Pass","Fail"))</f>
        <v>Fail</v>
      </c>
      <c r="AD2827" s="1" t="str">
        <f>IF(AND(Table1[[#This Row],[Spec Type2]]="N/A",Table1[[#This Row],[DUT Adj Read]]="N/A",Table1[[#This Row],[Std Adj Read]]="N/A"),"N/A",IF(Table1[[#This Row],[DUT Adj Read]]="N/A",IF(Table1[[#This Row],[Std Adj Read]]&gt;Table1[[#This Row],[Low Tol]],"Pass","Fail"),IF(Table1[[#This Row],[DUT Adj Read]]&gt;Table1[[#This Row],[Low Tol]],"Pass","Fail")))</f>
        <v>Pass</v>
      </c>
      <c r="AE2827" s="1" t="str">
        <f>IF(AND(Table1[[#This Row],[Spec Type2]]="N/A",Table1[[#This Row],[DUT Adj Read]]="N/A",Table1[[#This Row],[Std Adj Read]]="N/A"),"N/A",IF(Table1[[#This Row],[DUT Adj Read]]="N/A",IF(Table1[[#This Row],[Std Adj Read]]&lt;Table1[[#This Row],[High Tol]],"Pass","Fail"),IF(Table1[[#This Row],[DUT Adj Read]]&lt;Table1[[#This Row],[High Tol]],"Pass","Fail")))</f>
        <v>Fail</v>
      </c>
      <c r="AF2827" s="1" t="str">
        <f>IF(AND(Table1[[#This Row],[Spec Type2]]="N/A",Table1[[#This Row],[DUT Adj Read]]="N/A",Table1[[#This Row],[Std Adj Read]]="N/A"),"N/A",IF(Table1[[#This Row],[DUT Adj Read]]="N/A",IF(Table1[[#This Row],[Std Adj Read]]&gt;=Table1[[#This Row],[Low Tol]],"Pass","Fail"),IF(Table1[[#This Row],[DUT Adj Read]]&gt;=Table1[[#This Row],[Low Tol]],"Pass","Fail")))</f>
        <v>Pass</v>
      </c>
      <c r="AG2827" s="1" t="str">
        <f>IF(AND(Table1[[#This Row],[Spec Type2]]="N/A",Table1[[#This Row],[DUT Adj Read]]="N/A",Table1[[#This Row],[Std Adj Read]]="N/A"),"N/A",IF(Table1[[#This Row],[DUT Adj Read]]="N/A",IF(Table1[[#This Row],[Std Adj Read]]&lt;=Table1[[#This Row],[High Tol]],"Pass","Fail"),IF(Table1[[#This Row],[DUT Adj Read]]&lt;=Table1[[#This Row],[High Tol]],"Pass","Fail")))</f>
        <v>Fail</v>
      </c>
      <c r="AH28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7" s="1" t="b">
        <v>0</v>
      </c>
      <c r="AN2827" s="1" t="b">
        <v>0</v>
      </c>
      <c r="AO2827" s="1" t="b">
        <v>0</v>
      </c>
    </row>
    <row r="2828" spans="1:41" x14ac:dyDescent="0.25">
      <c r="A2828" s="10"/>
      <c r="B2828" s="10"/>
      <c r="C2828" s="10"/>
      <c r="D2828" s="10"/>
      <c r="E2828" s="10"/>
      <c r="F2828" s="10"/>
      <c r="G2828" s="10"/>
      <c r="H2828" s="10"/>
      <c r="I2828" s="1" t="str">
        <f t="shared" si="132"/>
        <v/>
      </c>
      <c r="J2828" s="1" t="s">
        <v>35</v>
      </c>
      <c r="K2828" s="1" t="str">
        <f t="shared" si="133"/>
        <v/>
      </c>
      <c r="L2828" s="1" t="str">
        <f t="shared" si="134"/>
        <v/>
      </c>
      <c r="M2828" s="1">
        <f>IF(OR(Table1[[#This Row],[Std Nom]]="",Table1[[#This Row],[Std Read]]=""),0,Table1[[#This Row],[Std Nom]]-Table1[[#This Row],[Std Read]])</f>
        <v>0</v>
      </c>
      <c r="N2828" s="1">
        <f>IF(Calculations!$F$5="ACCREDITED 17025 WITH UNCERTAINTIES",$N$10,0)</f>
        <v>0</v>
      </c>
      <c r="O2828" s="1" t="str">
        <f>IFERROR(Table1[[#This Row],[Std Nom]]-(_xlfn.XLOOKUP(Table1[[#This Row],[Manufacturer]]&amp;" "&amp;Table1[[#This Row],[Model]],Table13[MFR &amp; MDL],Table13[Tolerance % CW ],"")/100*Table1[[#This Row],[Std Nom]]),"")</f>
        <v/>
      </c>
      <c r="P2828" s="1" t="str">
        <f>IFERROR(Table1[[#This Row],[Std Nom]]+(_xlfn.XLOOKUP(Table1[[#This Row],[Manufacturer]]&amp;" "&amp;Table1[[#This Row],[Model]],Table13[MFR &amp; MDL],Table13[Tolerance % CW ],"")/100*Table1[[#This Row],[Std Nom]]),"")</f>
        <v/>
      </c>
      <c r="Q2828" s="1" t="e">
        <f>Table1[[#This Row],[High Tol]]-Table1[[#This Row],[Low Tol]]</f>
        <v>#VALUE!</v>
      </c>
      <c r="R2828" s="1">
        <f>2*Table1[[#This Row],[Std Error]]</f>
        <v>0</v>
      </c>
      <c r="S2828" s="1" t="str">
        <f>IF(Table1[[#This Row],[High Tol]]="","N/A",IFERROR(ABS(Table1[[#This Row],[Tol Span]]/Table1[[#This Row],[Error Span]]),"N/A"))</f>
        <v>N/A</v>
      </c>
      <c r="T2828" s="1" t="str">
        <f>IF(OR(Table1[[#This Row],[Low Tol]]="",Table1[[#This Row],[High Tol]]=""),"Needs Analysis",IF(Table1[[#This Row],[Ratio]]&gt;=4,"Not Significant",IF(Table1[[#This Row],[Ratio]]&gt;=2,"Semi-Significant","Significant")))</f>
        <v>Needs Analysis</v>
      </c>
      <c r="W2828" s="1">
        <f>IF(Table1[[#This Row],[Cal Type]]&lt;&gt;"ACCREDITED 17025 WITH UNCERTAINTIES",0,"")</f>
        <v>0</v>
      </c>
      <c r="X2828" s="1" t="str">
        <f>IF(Table1[[#This Row],[DUT Read]]="","N/A",Table1[[#This Row],[Std Error]]+Table1[[#This Row],[DUT Read]]+Table1[[#This Row],[DUT Ucty]])</f>
        <v>N/A</v>
      </c>
      <c r="Y2828" s="1" t="str">
        <f>IF(Table1[[#This Row],[Std Read]]="","N/A",Table1[[#This Row],[Std Read]]+Table1[[#This Row],[Std Ucty]])</f>
        <v>N/A</v>
      </c>
      <c r="Z28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8" s="1" t="str">
        <f>IF(Table1[[#This Row],[Spec Type]]="","N/A",Table1[[#This Row],[Spec Type]])</f>
        <v>±</v>
      </c>
      <c r="AC2828" s="1" t="str">
        <f>IF(Table1[[#This Row],[Spec Type2]]="N/A","N/A",IF(AND(Table1[[#This Row],[DUT Adj Read]]&gt;=Table1[[#This Row],[Low Tol]],Table1[[#This Row],[DUT Adj Read]]&lt;=Table1[[#This Row],[High Tol]]),"Pass","Fail"))</f>
        <v>Fail</v>
      </c>
      <c r="AD2828" s="1" t="str">
        <f>IF(AND(Table1[[#This Row],[Spec Type2]]="N/A",Table1[[#This Row],[DUT Adj Read]]="N/A",Table1[[#This Row],[Std Adj Read]]="N/A"),"N/A",IF(Table1[[#This Row],[DUT Adj Read]]="N/A",IF(Table1[[#This Row],[Std Adj Read]]&gt;Table1[[#This Row],[Low Tol]],"Pass","Fail"),IF(Table1[[#This Row],[DUT Adj Read]]&gt;Table1[[#This Row],[Low Tol]],"Pass","Fail")))</f>
        <v>Pass</v>
      </c>
      <c r="AE2828" s="1" t="str">
        <f>IF(AND(Table1[[#This Row],[Spec Type2]]="N/A",Table1[[#This Row],[DUT Adj Read]]="N/A",Table1[[#This Row],[Std Adj Read]]="N/A"),"N/A",IF(Table1[[#This Row],[DUT Adj Read]]="N/A",IF(Table1[[#This Row],[Std Adj Read]]&lt;Table1[[#This Row],[High Tol]],"Pass","Fail"),IF(Table1[[#This Row],[DUT Adj Read]]&lt;Table1[[#This Row],[High Tol]],"Pass","Fail")))</f>
        <v>Fail</v>
      </c>
      <c r="AF2828" s="1" t="str">
        <f>IF(AND(Table1[[#This Row],[Spec Type2]]="N/A",Table1[[#This Row],[DUT Adj Read]]="N/A",Table1[[#This Row],[Std Adj Read]]="N/A"),"N/A",IF(Table1[[#This Row],[DUT Adj Read]]="N/A",IF(Table1[[#This Row],[Std Adj Read]]&gt;=Table1[[#This Row],[Low Tol]],"Pass","Fail"),IF(Table1[[#This Row],[DUT Adj Read]]&gt;=Table1[[#This Row],[Low Tol]],"Pass","Fail")))</f>
        <v>Pass</v>
      </c>
      <c r="AG2828" s="1" t="str">
        <f>IF(AND(Table1[[#This Row],[Spec Type2]]="N/A",Table1[[#This Row],[DUT Adj Read]]="N/A",Table1[[#This Row],[Std Adj Read]]="N/A"),"N/A",IF(Table1[[#This Row],[DUT Adj Read]]="N/A",IF(Table1[[#This Row],[Std Adj Read]]&lt;=Table1[[#This Row],[High Tol]],"Pass","Fail"),IF(Table1[[#This Row],[DUT Adj Read]]&lt;=Table1[[#This Row],[High Tol]],"Pass","Fail")))</f>
        <v>Fail</v>
      </c>
      <c r="AH28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8" s="1" t="b">
        <v>0</v>
      </c>
      <c r="AN2828" s="1" t="b">
        <v>0</v>
      </c>
      <c r="AO2828" s="1" t="b">
        <v>0</v>
      </c>
    </row>
    <row r="2829" spans="1:41" x14ac:dyDescent="0.25">
      <c r="A2829" s="10"/>
      <c r="B2829" s="10"/>
      <c r="C2829" s="10"/>
      <c r="D2829" s="10"/>
      <c r="E2829" s="10"/>
      <c r="F2829" s="10"/>
      <c r="G2829" s="10"/>
      <c r="H2829" s="10"/>
      <c r="I2829" s="1" t="str">
        <f t="shared" si="132"/>
        <v/>
      </c>
      <c r="J2829" s="1" t="s">
        <v>35</v>
      </c>
      <c r="K2829" s="1" t="str">
        <f t="shared" si="133"/>
        <v/>
      </c>
      <c r="L2829" s="1" t="str">
        <f t="shared" si="134"/>
        <v/>
      </c>
      <c r="M2829" s="1">
        <f>IF(OR(Table1[[#This Row],[Std Nom]]="",Table1[[#This Row],[Std Read]]=""),0,Table1[[#This Row],[Std Nom]]-Table1[[#This Row],[Std Read]])</f>
        <v>0</v>
      </c>
      <c r="N2829" s="1">
        <f>IF(Calculations!$F$5="ACCREDITED 17025 WITH UNCERTAINTIES",$N$10,0)</f>
        <v>0</v>
      </c>
      <c r="O2829" s="1" t="str">
        <f>IFERROR(Table1[[#This Row],[Std Nom]]-(_xlfn.XLOOKUP(Table1[[#This Row],[Manufacturer]]&amp;" "&amp;Table1[[#This Row],[Model]],Table13[MFR &amp; MDL],Table13[Tolerance % CW ],"")/100*Table1[[#This Row],[Std Nom]]),"")</f>
        <v/>
      </c>
      <c r="P2829" s="1" t="str">
        <f>IFERROR(Table1[[#This Row],[Std Nom]]+(_xlfn.XLOOKUP(Table1[[#This Row],[Manufacturer]]&amp;" "&amp;Table1[[#This Row],[Model]],Table13[MFR &amp; MDL],Table13[Tolerance % CW ],"")/100*Table1[[#This Row],[Std Nom]]),"")</f>
        <v/>
      </c>
      <c r="Q2829" s="1" t="e">
        <f>Table1[[#This Row],[High Tol]]-Table1[[#This Row],[Low Tol]]</f>
        <v>#VALUE!</v>
      </c>
      <c r="R2829" s="1">
        <f>2*Table1[[#This Row],[Std Error]]</f>
        <v>0</v>
      </c>
      <c r="S2829" s="1" t="str">
        <f>IF(Table1[[#This Row],[High Tol]]="","N/A",IFERROR(ABS(Table1[[#This Row],[Tol Span]]/Table1[[#This Row],[Error Span]]),"N/A"))</f>
        <v>N/A</v>
      </c>
      <c r="T2829" s="1" t="str">
        <f>IF(OR(Table1[[#This Row],[Low Tol]]="",Table1[[#This Row],[High Tol]]=""),"Needs Analysis",IF(Table1[[#This Row],[Ratio]]&gt;=4,"Not Significant",IF(Table1[[#This Row],[Ratio]]&gt;=2,"Semi-Significant","Significant")))</f>
        <v>Needs Analysis</v>
      </c>
      <c r="W2829" s="1">
        <f>IF(Table1[[#This Row],[Cal Type]]&lt;&gt;"ACCREDITED 17025 WITH UNCERTAINTIES",0,"")</f>
        <v>0</v>
      </c>
      <c r="X2829" s="1" t="str">
        <f>IF(Table1[[#This Row],[DUT Read]]="","N/A",Table1[[#This Row],[Std Error]]+Table1[[#This Row],[DUT Read]]+Table1[[#This Row],[DUT Ucty]])</f>
        <v>N/A</v>
      </c>
      <c r="Y2829" s="1" t="str">
        <f>IF(Table1[[#This Row],[Std Read]]="","N/A",Table1[[#This Row],[Std Read]]+Table1[[#This Row],[Std Ucty]])</f>
        <v>N/A</v>
      </c>
      <c r="Z28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9" s="1" t="str">
        <f>IF(Table1[[#This Row],[Spec Type]]="","N/A",Table1[[#This Row],[Spec Type]])</f>
        <v>±</v>
      </c>
      <c r="AC2829" s="1" t="str">
        <f>IF(Table1[[#This Row],[Spec Type2]]="N/A","N/A",IF(AND(Table1[[#This Row],[DUT Adj Read]]&gt;=Table1[[#This Row],[Low Tol]],Table1[[#This Row],[DUT Adj Read]]&lt;=Table1[[#This Row],[High Tol]]),"Pass","Fail"))</f>
        <v>Fail</v>
      </c>
      <c r="AD2829" s="1" t="str">
        <f>IF(AND(Table1[[#This Row],[Spec Type2]]="N/A",Table1[[#This Row],[DUT Adj Read]]="N/A",Table1[[#This Row],[Std Adj Read]]="N/A"),"N/A",IF(Table1[[#This Row],[DUT Adj Read]]="N/A",IF(Table1[[#This Row],[Std Adj Read]]&gt;Table1[[#This Row],[Low Tol]],"Pass","Fail"),IF(Table1[[#This Row],[DUT Adj Read]]&gt;Table1[[#This Row],[Low Tol]],"Pass","Fail")))</f>
        <v>Pass</v>
      </c>
      <c r="AE2829" s="1" t="str">
        <f>IF(AND(Table1[[#This Row],[Spec Type2]]="N/A",Table1[[#This Row],[DUT Adj Read]]="N/A",Table1[[#This Row],[Std Adj Read]]="N/A"),"N/A",IF(Table1[[#This Row],[DUT Adj Read]]="N/A",IF(Table1[[#This Row],[Std Adj Read]]&lt;Table1[[#This Row],[High Tol]],"Pass","Fail"),IF(Table1[[#This Row],[DUT Adj Read]]&lt;Table1[[#This Row],[High Tol]],"Pass","Fail")))</f>
        <v>Fail</v>
      </c>
      <c r="AF2829" s="1" t="str">
        <f>IF(AND(Table1[[#This Row],[Spec Type2]]="N/A",Table1[[#This Row],[DUT Adj Read]]="N/A",Table1[[#This Row],[Std Adj Read]]="N/A"),"N/A",IF(Table1[[#This Row],[DUT Adj Read]]="N/A",IF(Table1[[#This Row],[Std Adj Read]]&gt;=Table1[[#This Row],[Low Tol]],"Pass","Fail"),IF(Table1[[#This Row],[DUT Adj Read]]&gt;=Table1[[#This Row],[Low Tol]],"Pass","Fail")))</f>
        <v>Pass</v>
      </c>
      <c r="AG2829" s="1" t="str">
        <f>IF(AND(Table1[[#This Row],[Spec Type2]]="N/A",Table1[[#This Row],[DUT Adj Read]]="N/A",Table1[[#This Row],[Std Adj Read]]="N/A"),"N/A",IF(Table1[[#This Row],[DUT Adj Read]]="N/A",IF(Table1[[#This Row],[Std Adj Read]]&lt;=Table1[[#This Row],[High Tol]],"Pass","Fail"),IF(Table1[[#This Row],[DUT Adj Read]]&lt;=Table1[[#This Row],[High Tol]],"Pass","Fail")))</f>
        <v>Fail</v>
      </c>
      <c r="AH28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9" s="1" t="b">
        <v>0</v>
      </c>
      <c r="AN2829" s="1" t="b">
        <v>0</v>
      </c>
      <c r="AO2829" s="1" t="b">
        <v>0</v>
      </c>
    </row>
    <row r="2830" spans="1:41" x14ac:dyDescent="0.25">
      <c r="A2830" s="10"/>
      <c r="B2830" s="10"/>
      <c r="C2830" s="10"/>
      <c r="D2830" s="10"/>
      <c r="E2830" s="10"/>
      <c r="F2830" s="10"/>
      <c r="G2830" s="10"/>
      <c r="H2830" s="10"/>
      <c r="I2830" s="1" t="str">
        <f t="shared" si="132"/>
        <v/>
      </c>
      <c r="J2830" s="1" t="s">
        <v>35</v>
      </c>
      <c r="K2830" s="1" t="str">
        <f t="shared" si="133"/>
        <v/>
      </c>
      <c r="L2830" s="1" t="str">
        <f t="shared" si="134"/>
        <v/>
      </c>
      <c r="M2830" s="1">
        <f>IF(OR(Table1[[#This Row],[Std Nom]]="",Table1[[#This Row],[Std Read]]=""),0,Table1[[#This Row],[Std Nom]]-Table1[[#This Row],[Std Read]])</f>
        <v>0</v>
      </c>
      <c r="N2830" s="1">
        <f>IF(Calculations!$F$5="ACCREDITED 17025 WITH UNCERTAINTIES",$N$10,0)</f>
        <v>0</v>
      </c>
      <c r="O2830" s="1" t="str">
        <f>IFERROR(Table1[[#This Row],[Std Nom]]-(_xlfn.XLOOKUP(Table1[[#This Row],[Manufacturer]]&amp;" "&amp;Table1[[#This Row],[Model]],Table13[MFR &amp; MDL],Table13[Tolerance % CW ],"")/100*Table1[[#This Row],[Std Nom]]),"")</f>
        <v/>
      </c>
      <c r="P2830" s="1" t="str">
        <f>IFERROR(Table1[[#This Row],[Std Nom]]+(_xlfn.XLOOKUP(Table1[[#This Row],[Manufacturer]]&amp;" "&amp;Table1[[#This Row],[Model]],Table13[MFR &amp; MDL],Table13[Tolerance % CW ],"")/100*Table1[[#This Row],[Std Nom]]),"")</f>
        <v/>
      </c>
      <c r="Q2830" s="1" t="e">
        <f>Table1[[#This Row],[High Tol]]-Table1[[#This Row],[Low Tol]]</f>
        <v>#VALUE!</v>
      </c>
      <c r="R2830" s="1">
        <f>2*Table1[[#This Row],[Std Error]]</f>
        <v>0</v>
      </c>
      <c r="S2830" s="1" t="str">
        <f>IF(Table1[[#This Row],[High Tol]]="","N/A",IFERROR(ABS(Table1[[#This Row],[Tol Span]]/Table1[[#This Row],[Error Span]]),"N/A"))</f>
        <v>N/A</v>
      </c>
      <c r="T2830" s="1" t="str">
        <f>IF(OR(Table1[[#This Row],[Low Tol]]="",Table1[[#This Row],[High Tol]]=""),"Needs Analysis",IF(Table1[[#This Row],[Ratio]]&gt;=4,"Not Significant",IF(Table1[[#This Row],[Ratio]]&gt;=2,"Semi-Significant","Significant")))</f>
        <v>Needs Analysis</v>
      </c>
      <c r="W2830" s="1">
        <f>IF(Table1[[#This Row],[Cal Type]]&lt;&gt;"ACCREDITED 17025 WITH UNCERTAINTIES",0,"")</f>
        <v>0</v>
      </c>
      <c r="X2830" s="1" t="str">
        <f>IF(Table1[[#This Row],[DUT Read]]="","N/A",Table1[[#This Row],[Std Error]]+Table1[[#This Row],[DUT Read]]+Table1[[#This Row],[DUT Ucty]])</f>
        <v>N/A</v>
      </c>
      <c r="Y2830" s="1" t="str">
        <f>IF(Table1[[#This Row],[Std Read]]="","N/A",Table1[[#This Row],[Std Read]]+Table1[[#This Row],[Std Ucty]])</f>
        <v>N/A</v>
      </c>
      <c r="Z28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0" s="1" t="str">
        <f>IF(Table1[[#This Row],[Spec Type]]="","N/A",Table1[[#This Row],[Spec Type]])</f>
        <v>±</v>
      </c>
      <c r="AC2830" s="1" t="str">
        <f>IF(Table1[[#This Row],[Spec Type2]]="N/A","N/A",IF(AND(Table1[[#This Row],[DUT Adj Read]]&gt;=Table1[[#This Row],[Low Tol]],Table1[[#This Row],[DUT Adj Read]]&lt;=Table1[[#This Row],[High Tol]]),"Pass","Fail"))</f>
        <v>Fail</v>
      </c>
      <c r="AD2830" s="1" t="str">
        <f>IF(AND(Table1[[#This Row],[Spec Type2]]="N/A",Table1[[#This Row],[DUT Adj Read]]="N/A",Table1[[#This Row],[Std Adj Read]]="N/A"),"N/A",IF(Table1[[#This Row],[DUT Adj Read]]="N/A",IF(Table1[[#This Row],[Std Adj Read]]&gt;Table1[[#This Row],[Low Tol]],"Pass","Fail"),IF(Table1[[#This Row],[DUT Adj Read]]&gt;Table1[[#This Row],[Low Tol]],"Pass","Fail")))</f>
        <v>Pass</v>
      </c>
      <c r="AE2830" s="1" t="str">
        <f>IF(AND(Table1[[#This Row],[Spec Type2]]="N/A",Table1[[#This Row],[DUT Adj Read]]="N/A",Table1[[#This Row],[Std Adj Read]]="N/A"),"N/A",IF(Table1[[#This Row],[DUT Adj Read]]="N/A",IF(Table1[[#This Row],[Std Adj Read]]&lt;Table1[[#This Row],[High Tol]],"Pass","Fail"),IF(Table1[[#This Row],[DUT Adj Read]]&lt;Table1[[#This Row],[High Tol]],"Pass","Fail")))</f>
        <v>Fail</v>
      </c>
      <c r="AF2830" s="1" t="str">
        <f>IF(AND(Table1[[#This Row],[Spec Type2]]="N/A",Table1[[#This Row],[DUT Adj Read]]="N/A",Table1[[#This Row],[Std Adj Read]]="N/A"),"N/A",IF(Table1[[#This Row],[DUT Adj Read]]="N/A",IF(Table1[[#This Row],[Std Adj Read]]&gt;=Table1[[#This Row],[Low Tol]],"Pass","Fail"),IF(Table1[[#This Row],[DUT Adj Read]]&gt;=Table1[[#This Row],[Low Tol]],"Pass","Fail")))</f>
        <v>Pass</v>
      </c>
      <c r="AG2830" s="1" t="str">
        <f>IF(AND(Table1[[#This Row],[Spec Type2]]="N/A",Table1[[#This Row],[DUT Adj Read]]="N/A",Table1[[#This Row],[Std Adj Read]]="N/A"),"N/A",IF(Table1[[#This Row],[DUT Adj Read]]="N/A",IF(Table1[[#This Row],[Std Adj Read]]&lt;=Table1[[#This Row],[High Tol]],"Pass","Fail"),IF(Table1[[#This Row],[DUT Adj Read]]&lt;=Table1[[#This Row],[High Tol]],"Pass","Fail")))</f>
        <v>Fail</v>
      </c>
      <c r="AH28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0" s="1" t="b">
        <v>0</v>
      </c>
      <c r="AN2830" s="1" t="b">
        <v>0</v>
      </c>
      <c r="AO2830" s="1" t="b">
        <v>0</v>
      </c>
    </row>
    <row r="2831" spans="1:41" x14ac:dyDescent="0.25">
      <c r="A2831" s="10"/>
      <c r="B2831" s="10"/>
      <c r="C2831" s="10"/>
      <c r="D2831" s="10"/>
      <c r="E2831" s="10"/>
      <c r="F2831" s="10"/>
      <c r="G2831" s="10"/>
      <c r="H2831" s="10"/>
      <c r="I2831" s="1" t="str">
        <f t="shared" si="132"/>
        <v/>
      </c>
      <c r="J2831" s="1" t="s">
        <v>35</v>
      </c>
      <c r="K2831" s="1" t="str">
        <f t="shared" si="133"/>
        <v/>
      </c>
      <c r="L2831" s="1" t="str">
        <f t="shared" si="134"/>
        <v/>
      </c>
      <c r="M2831" s="1">
        <f>IF(OR(Table1[[#This Row],[Std Nom]]="",Table1[[#This Row],[Std Read]]=""),0,Table1[[#This Row],[Std Nom]]-Table1[[#This Row],[Std Read]])</f>
        <v>0</v>
      </c>
      <c r="N2831" s="1">
        <f>IF(Calculations!$F$5="ACCREDITED 17025 WITH UNCERTAINTIES",$N$10,0)</f>
        <v>0</v>
      </c>
      <c r="O2831" s="1" t="str">
        <f>IFERROR(Table1[[#This Row],[Std Nom]]-(_xlfn.XLOOKUP(Table1[[#This Row],[Manufacturer]]&amp;" "&amp;Table1[[#This Row],[Model]],Table13[MFR &amp; MDL],Table13[Tolerance % CW ],"")/100*Table1[[#This Row],[Std Nom]]),"")</f>
        <v/>
      </c>
      <c r="P2831" s="1" t="str">
        <f>IFERROR(Table1[[#This Row],[Std Nom]]+(_xlfn.XLOOKUP(Table1[[#This Row],[Manufacturer]]&amp;" "&amp;Table1[[#This Row],[Model]],Table13[MFR &amp; MDL],Table13[Tolerance % CW ],"")/100*Table1[[#This Row],[Std Nom]]),"")</f>
        <v/>
      </c>
      <c r="Q2831" s="1" t="e">
        <f>Table1[[#This Row],[High Tol]]-Table1[[#This Row],[Low Tol]]</f>
        <v>#VALUE!</v>
      </c>
      <c r="R2831" s="1">
        <f>2*Table1[[#This Row],[Std Error]]</f>
        <v>0</v>
      </c>
      <c r="S2831" s="1" t="str">
        <f>IF(Table1[[#This Row],[High Tol]]="","N/A",IFERROR(ABS(Table1[[#This Row],[Tol Span]]/Table1[[#This Row],[Error Span]]),"N/A"))</f>
        <v>N/A</v>
      </c>
      <c r="T2831" s="1" t="str">
        <f>IF(OR(Table1[[#This Row],[Low Tol]]="",Table1[[#This Row],[High Tol]]=""),"Needs Analysis",IF(Table1[[#This Row],[Ratio]]&gt;=4,"Not Significant",IF(Table1[[#This Row],[Ratio]]&gt;=2,"Semi-Significant","Significant")))</f>
        <v>Needs Analysis</v>
      </c>
      <c r="W2831" s="1">
        <f>IF(Table1[[#This Row],[Cal Type]]&lt;&gt;"ACCREDITED 17025 WITH UNCERTAINTIES",0,"")</f>
        <v>0</v>
      </c>
      <c r="X2831" s="1" t="str">
        <f>IF(Table1[[#This Row],[DUT Read]]="","N/A",Table1[[#This Row],[Std Error]]+Table1[[#This Row],[DUT Read]]+Table1[[#This Row],[DUT Ucty]])</f>
        <v>N/A</v>
      </c>
      <c r="Y2831" s="1" t="str">
        <f>IF(Table1[[#This Row],[Std Read]]="","N/A",Table1[[#This Row],[Std Read]]+Table1[[#This Row],[Std Ucty]])</f>
        <v>N/A</v>
      </c>
      <c r="Z28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1" s="1" t="str">
        <f>IF(Table1[[#This Row],[Spec Type]]="","N/A",Table1[[#This Row],[Spec Type]])</f>
        <v>±</v>
      </c>
      <c r="AC2831" s="1" t="str">
        <f>IF(Table1[[#This Row],[Spec Type2]]="N/A","N/A",IF(AND(Table1[[#This Row],[DUT Adj Read]]&gt;=Table1[[#This Row],[Low Tol]],Table1[[#This Row],[DUT Adj Read]]&lt;=Table1[[#This Row],[High Tol]]),"Pass","Fail"))</f>
        <v>Fail</v>
      </c>
      <c r="AD2831" s="1" t="str">
        <f>IF(AND(Table1[[#This Row],[Spec Type2]]="N/A",Table1[[#This Row],[DUT Adj Read]]="N/A",Table1[[#This Row],[Std Adj Read]]="N/A"),"N/A",IF(Table1[[#This Row],[DUT Adj Read]]="N/A",IF(Table1[[#This Row],[Std Adj Read]]&gt;Table1[[#This Row],[Low Tol]],"Pass","Fail"),IF(Table1[[#This Row],[DUT Adj Read]]&gt;Table1[[#This Row],[Low Tol]],"Pass","Fail")))</f>
        <v>Pass</v>
      </c>
      <c r="AE2831" s="1" t="str">
        <f>IF(AND(Table1[[#This Row],[Spec Type2]]="N/A",Table1[[#This Row],[DUT Adj Read]]="N/A",Table1[[#This Row],[Std Adj Read]]="N/A"),"N/A",IF(Table1[[#This Row],[DUT Adj Read]]="N/A",IF(Table1[[#This Row],[Std Adj Read]]&lt;Table1[[#This Row],[High Tol]],"Pass","Fail"),IF(Table1[[#This Row],[DUT Adj Read]]&lt;Table1[[#This Row],[High Tol]],"Pass","Fail")))</f>
        <v>Fail</v>
      </c>
      <c r="AF2831" s="1" t="str">
        <f>IF(AND(Table1[[#This Row],[Spec Type2]]="N/A",Table1[[#This Row],[DUT Adj Read]]="N/A",Table1[[#This Row],[Std Adj Read]]="N/A"),"N/A",IF(Table1[[#This Row],[DUT Adj Read]]="N/A",IF(Table1[[#This Row],[Std Adj Read]]&gt;=Table1[[#This Row],[Low Tol]],"Pass","Fail"),IF(Table1[[#This Row],[DUT Adj Read]]&gt;=Table1[[#This Row],[Low Tol]],"Pass","Fail")))</f>
        <v>Pass</v>
      </c>
      <c r="AG2831" s="1" t="str">
        <f>IF(AND(Table1[[#This Row],[Spec Type2]]="N/A",Table1[[#This Row],[DUT Adj Read]]="N/A",Table1[[#This Row],[Std Adj Read]]="N/A"),"N/A",IF(Table1[[#This Row],[DUT Adj Read]]="N/A",IF(Table1[[#This Row],[Std Adj Read]]&lt;=Table1[[#This Row],[High Tol]],"Pass","Fail"),IF(Table1[[#This Row],[DUT Adj Read]]&lt;=Table1[[#This Row],[High Tol]],"Pass","Fail")))</f>
        <v>Fail</v>
      </c>
      <c r="AH28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1" s="1" t="b">
        <v>0</v>
      </c>
      <c r="AN2831" s="1" t="b">
        <v>0</v>
      </c>
      <c r="AO2831" s="1" t="b">
        <v>0</v>
      </c>
    </row>
    <row r="2832" spans="1:41" x14ac:dyDescent="0.25">
      <c r="A2832" s="10"/>
      <c r="B2832" s="10"/>
      <c r="C2832" s="10"/>
      <c r="D2832" s="10"/>
      <c r="E2832" s="10"/>
      <c r="F2832" s="10"/>
      <c r="G2832" s="10"/>
      <c r="H2832" s="10"/>
      <c r="I2832" s="1" t="str">
        <f t="shared" si="132"/>
        <v/>
      </c>
      <c r="J2832" s="1" t="s">
        <v>35</v>
      </c>
      <c r="K2832" s="1" t="str">
        <f t="shared" si="133"/>
        <v/>
      </c>
      <c r="L2832" s="1" t="str">
        <f t="shared" si="134"/>
        <v/>
      </c>
      <c r="M2832" s="1">
        <f>IF(OR(Table1[[#This Row],[Std Nom]]="",Table1[[#This Row],[Std Read]]=""),0,Table1[[#This Row],[Std Nom]]-Table1[[#This Row],[Std Read]])</f>
        <v>0</v>
      </c>
      <c r="N2832" s="1">
        <f>IF(Calculations!$F$5="ACCREDITED 17025 WITH UNCERTAINTIES",$N$10,0)</f>
        <v>0</v>
      </c>
      <c r="O2832" s="1" t="str">
        <f>IFERROR(Table1[[#This Row],[Std Nom]]-(_xlfn.XLOOKUP(Table1[[#This Row],[Manufacturer]]&amp;" "&amp;Table1[[#This Row],[Model]],Table13[MFR &amp; MDL],Table13[Tolerance % CW ],"")/100*Table1[[#This Row],[Std Nom]]),"")</f>
        <v/>
      </c>
      <c r="P2832" s="1" t="str">
        <f>IFERROR(Table1[[#This Row],[Std Nom]]+(_xlfn.XLOOKUP(Table1[[#This Row],[Manufacturer]]&amp;" "&amp;Table1[[#This Row],[Model]],Table13[MFR &amp; MDL],Table13[Tolerance % CW ],"")/100*Table1[[#This Row],[Std Nom]]),"")</f>
        <v/>
      </c>
      <c r="Q2832" s="1" t="e">
        <f>Table1[[#This Row],[High Tol]]-Table1[[#This Row],[Low Tol]]</f>
        <v>#VALUE!</v>
      </c>
      <c r="R2832" s="1">
        <f>2*Table1[[#This Row],[Std Error]]</f>
        <v>0</v>
      </c>
      <c r="S2832" s="1" t="str">
        <f>IF(Table1[[#This Row],[High Tol]]="","N/A",IFERROR(ABS(Table1[[#This Row],[Tol Span]]/Table1[[#This Row],[Error Span]]),"N/A"))</f>
        <v>N/A</v>
      </c>
      <c r="T2832" s="1" t="str">
        <f>IF(OR(Table1[[#This Row],[Low Tol]]="",Table1[[#This Row],[High Tol]]=""),"Needs Analysis",IF(Table1[[#This Row],[Ratio]]&gt;=4,"Not Significant",IF(Table1[[#This Row],[Ratio]]&gt;=2,"Semi-Significant","Significant")))</f>
        <v>Needs Analysis</v>
      </c>
      <c r="W2832" s="1">
        <f>IF(Table1[[#This Row],[Cal Type]]&lt;&gt;"ACCREDITED 17025 WITH UNCERTAINTIES",0,"")</f>
        <v>0</v>
      </c>
      <c r="X2832" s="1" t="str">
        <f>IF(Table1[[#This Row],[DUT Read]]="","N/A",Table1[[#This Row],[Std Error]]+Table1[[#This Row],[DUT Read]]+Table1[[#This Row],[DUT Ucty]])</f>
        <v>N/A</v>
      </c>
      <c r="Y2832" s="1" t="str">
        <f>IF(Table1[[#This Row],[Std Read]]="","N/A",Table1[[#This Row],[Std Read]]+Table1[[#This Row],[Std Ucty]])</f>
        <v>N/A</v>
      </c>
      <c r="Z28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2" s="1" t="str">
        <f>IF(Table1[[#This Row],[Spec Type]]="","N/A",Table1[[#This Row],[Spec Type]])</f>
        <v>±</v>
      </c>
      <c r="AC2832" s="1" t="str">
        <f>IF(Table1[[#This Row],[Spec Type2]]="N/A","N/A",IF(AND(Table1[[#This Row],[DUT Adj Read]]&gt;=Table1[[#This Row],[Low Tol]],Table1[[#This Row],[DUT Adj Read]]&lt;=Table1[[#This Row],[High Tol]]),"Pass","Fail"))</f>
        <v>Fail</v>
      </c>
      <c r="AD2832" s="1" t="str">
        <f>IF(AND(Table1[[#This Row],[Spec Type2]]="N/A",Table1[[#This Row],[DUT Adj Read]]="N/A",Table1[[#This Row],[Std Adj Read]]="N/A"),"N/A",IF(Table1[[#This Row],[DUT Adj Read]]="N/A",IF(Table1[[#This Row],[Std Adj Read]]&gt;Table1[[#This Row],[Low Tol]],"Pass","Fail"),IF(Table1[[#This Row],[DUT Adj Read]]&gt;Table1[[#This Row],[Low Tol]],"Pass","Fail")))</f>
        <v>Pass</v>
      </c>
      <c r="AE2832" s="1" t="str">
        <f>IF(AND(Table1[[#This Row],[Spec Type2]]="N/A",Table1[[#This Row],[DUT Adj Read]]="N/A",Table1[[#This Row],[Std Adj Read]]="N/A"),"N/A",IF(Table1[[#This Row],[DUT Adj Read]]="N/A",IF(Table1[[#This Row],[Std Adj Read]]&lt;Table1[[#This Row],[High Tol]],"Pass","Fail"),IF(Table1[[#This Row],[DUT Adj Read]]&lt;Table1[[#This Row],[High Tol]],"Pass","Fail")))</f>
        <v>Fail</v>
      </c>
      <c r="AF2832" s="1" t="str">
        <f>IF(AND(Table1[[#This Row],[Spec Type2]]="N/A",Table1[[#This Row],[DUT Adj Read]]="N/A",Table1[[#This Row],[Std Adj Read]]="N/A"),"N/A",IF(Table1[[#This Row],[DUT Adj Read]]="N/A",IF(Table1[[#This Row],[Std Adj Read]]&gt;=Table1[[#This Row],[Low Tol]],"Pass","Fail"),IF(Table1[[#This Row],[DUT Adj Read]]&gt;=Table1[[#This Row],[Low Tol]],"Pass","Fail")))</f>
        <v>Pass</v>
      </c>
      <c r="AG2832" s="1" t="str">
        <f>IF(AND(Table1[[#This Row],[Spec Type2]]="N/A",Table1[[#This Row],[DUT Adj Read]]="N/A",Table1[[#This Row],[Std Adj Read]]="N/A"),"N/A",IF(Table1[[#This Row],[DUT Adj Read]]="N/A",IF(Table1[[#This Row],[Std Adj Read]]&lt;=Table1[[#This Row],[High Tol]],"Pass","Fail"),IF(Table1[[#This Row],[DUT Adj Read]]&lt;=Table1[[#This Row],[High Tol]],"Pass","Fail")))</f>
        <v>Fail</v>
      </c>
      <c r="AH28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2" s="1" t="b">
        <v>0</v>
      </c>
      <c r="AN2832" s="1" t="b">
        <v>0</v>
      </c>
      <c r="AO2832" s="1" t="b">
        <v>0</v>
      </c>
    </row>
    <row r="2833" spans="1:41" x14ac:dyDescent="0.25">
      <c r="A2833" s="10"/>
      <c r="B2833" s="10"/>
      <c r="C2833" s="10"/>
      <c r="D2833" s="10"/>
      <c r="E2833" s="10"/>
      <c r="F2833" s="10"/>
      <c r="G2833" s="10"/>
      <c r="H2833" s="10"/>
      <c r="I2833" s="1" t="str">
        <f t="shared" si="132"/>
        <v/>
      </c>
      <c r="J2833" s="1" t="s">
        <v>35</v>
      </c>
      <c r="K2833" s="1" t="str">
        <f t="shared" si="133"/>
        <v/>
      </c>
      <c r="L2833" s="1" t="str">
        <f t="shared" si="134"/>
        <v/>
      </c>
      <c r="M2833" s="1">
        <f>IF(OR(Table1[[#This Row],[Std Nom]]="",Table1[[#This Row],[Std Read]]=""),0,Table1[[#This Row],[Std Nom]]-Table1[[#This Row],[Std Read]])</f>
        <v>0</v>
      </c>
      <c r="N2833" s="1">
        <f>IF(Calculations!$F$5="ACCREDITED 17025 WITH UNCERTAINTIES",$N$10,0)</f>
        <v>0</v>
      </c>
      <c r="O2833" s="1" t="str">
        <f>IFERROR(Table1[[#This Row],[Std Nom]]-(_xlfn.XLOOKUP(Table1[[#This Row],[Manufacturer]]&amp;" "&amp;Table1[[#This Row],[Model]],Table13[MFR &amp; MDL],Table13[Tolerance % CW ],"")/100*Table1[[#This Row],[Std Nom]]),"")</f>
        <v/>
      </c>
      <c r="P2833" s="1" t="str">
        <f>IFERROR(Table1[[#This Row],[Std Nom]]+(_xlfn.XLOOKUP(Table1[[#This Row],[Manufacturer]]&amp;" "&amp;Table1[[#This Row],[Model]],Table13[MFR &amp; MDL],Table13[Tolerance % CW ],"")/100*Table1[[#This Row],[Std Nom]]),"")</f>
        <v/>
      </c>
      <c r="Q2833" s="1" t="e">
        <f>Table1[[#This Row],[High Tol]]-Table1[[#This Row],[Low Tol]]</f>
        <v>#VALUE!</v>
      </c>
      <c r="R2833" s="1">
        <f>2*Table1[[#This Row],[Std Error]]</f>
        <v>0</v>
      </c>
      <c r="S2833" s="1" t="str">
        <f>IF(Table1[[#This Row],[High Tol]]="","N/A",IFERROR(ABS(Table1[[#This Row],[Tol Span]]/Table1[[#This Row],[Error Span]]),"N/A"))</f>
        <v>N/A</v>
      </c>
      <c r="T2833" s="1" t="str">
        <f>IF(OR(Table1[[#This Row],[Low Tol]]="",Table1[[#This Row],[High Tol]]=""),"Needs Analysis",IF(Table1[[#This Row],[Ratio]]&gt;=4,"Not Significant",IF(Table1[[#This Row],[Ratio]]&gt;=2,"Semi-Significant","Significant")))</f>
        <v>Needs Analysis</v>
      </c>
      <c r="W2833" s="1">
        <f>IF(Table1[[#This Row],[Cal Type]]&lt;&gt;"ACCREDITED 17025 WITH UNCERTAINTIES",0,"")</f>
        <v>0</v>
      </c>
      <c r="X2833" s="1" t="str">
        <f>IF(Table1[[#This Row],[DUT Read]]="","N/A",Table1[[#This Row],[Std Error]]+Table1[[#This Row],[DUT Read]]+Table1[[#This Row],[DUT Ucty]])</f>
        <v>N/A</v>
      </c>
      <c r="Y2833" s="1" t="str">
        <f>IF(Table1[[#This Row],[Std Read]]="","N/A",Table1[[#This Row],[Std Read]]+Table1[[#This Row],[Std Ucty]])</f>
        <v>N/A</v>
      </c>
      <c r="Z28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3" s="1" t="str">
        <f>IF(Table1[[#This Row],[Spec Type]]="","N/A",Table1[[#This Row],[Spec Type]])</f>
        <v>±</v>
      </c>
      <c r="AC2833" s="1" t="str">
        <f>IF(Table1[[#This Row],[Spec Type2]]="N/A","N/A",IF(AND(Table1[[#This Row],[DUT Adj Read]]&gt;=Table1[[#This Row],[Low Tol]],Table1[[#This Row],[DUT Adj Read]]&lt;=Table1[[#This Row],[High Tol]]),"Pass","Fail"))</f>
        <v>Fail</v>
      </c>
      <c r="AD2833" s="1" t="str">
        <f>IF(AND(Table1[[#This Row],[Spec Type2]]="N/A",Table1[[#This Row],[DUT Adj Read]]="N/A",Table1[[#This Row],[Std Adj Read]]="N/A"),"N/A",IF(Table1[[#This Row],[DUT Adj Read]]="N/A",IF(Table1[[#This Row],[Std Adj Read]]&gt;Table1[[#This Row],[Low Tol]],"Pass","Fail"),IF(Table1[[#This Row],[DUT Adj Read]]&gt;Table1[[#This Row],[Low Tol]],"Pass","Fail")))</f>
        <v>Pass</v>
      </c>
      <c r="AE2833" s="1" t="str">
        <f>IF(AND(Table1[[#This Row],[Spec Type2]]="N/A",Table1[[#This Row],[DUT Adj Read]]="N/A",Table1[[#This Row],[Std Adj Read]]="N/A"),"N/A",IF(Table1[[#This Row],[DUT Adj Read]]="N/A",IF(Table1[[#This Row],[Std Adj Read]]&lt;Table1[[#This Row],[High Tol]],"Pass","Fail"),IF(Table1[[#This Row],[DUT Adj Read]]&lt;Table1[[#This Row],[High Tol]],"Pass","Fail")))</f>
        <v>Fail</v>
      </c>
      <c r="AF2833" s="1" t="str">
        <f>IF(AND(Table1[[#This Row],[Spec Type2]]="N/A",Table1[[#This Row],[DUT Adj Read]]="N/A",Table1[[#This Row],[Std Adj Read]]="N/A"),"N/A",IF(Table1[[#This Row],[DUT Adj Read]]="N/A",IF(Table1[[#This Row],[Std Adj Read]]&gt;=Table1[[#This Row],[Low Tol]],"Pass","Fail"),IF(Table1[[#This Row],[DUT Adj Read]]&gt;=Table1[[#This Row],[Low Tol]],"Pass","Fail")))</f>
        <v>Pass</v>
      </c>
      <c r="AG2833" s="1" t="str">
        <f>IF(AND(Table1[[#This Row],[Spec Type2]]="N/A",Table1[[#This Row],[DUT Adj Read]]="N/A",Table1[[#This Row],[Std Adj Read]]="N/A"),"N/A",IF(Table1[[#This Row],[DUT Adj Read]]="N/A",IF(Table1[[#This Row],[Std Adj Read]]&lt;=Table1[[#This Row],[High Tol]],"Pass","Fail"),IF(Table1[[#This Row],[DUT Adj Read]]&lt;=Table1[[#This Row],[High Tol]],"Pass","Fail")))</f>
        <v>Fail</v>
      </c>
      <c r="AH28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3" s="1" t="b">
        <v>0</v>
      </c>
      <c r="AN2833" s="1" t="b">
        <v>0</v>
      </c>
      <c r="AO2833" s="1" t="b">
        <v>0</v>
      </c>
    </row>
    <row r="2834" spans="1:41" x14ac:dyDescent="0.25">
      <c r="A2834" s="10"/>
      <c r="B2834" s="10"/>
      <c r="C2834" s="10"/>
      <c r="D2834" s="10"/>
      <c r="E2834" s="10"/>
      <c r="F2834" s="10"/>
      <c r="G2834" s="10"/>
      <c r="H2834" s="10"/>
      <c r="I2834" s="1" t="str">
        <f t="shared" si="132"/>
        <v/>
      </c>
      <c r="J2834" s="1" t="s">
        <v>35</v>
      </c>
      <c r="K2834" s="1" t="str">
        <f t="shared" si="133"/>
        <v/>
      </c>
      <c r="L2834" s="1" t="str">
        <f t="shared" si="134"/>
        <v/>
      </c>
      <c r="M2834" s="1">
        <f>IF(OR(Table1[[#This Row],[Std Nom]]="",Table1[[#This Row],[Std Read]]=""),0,Table1[[#This Row],[Std Nom]]-Table1[[#This Row],[Std Read]])</f>
        <v>0</v>
      </c>
      <c r="N2834" s="1">
        <f>IF(Calculations!$F$5="ACCREDITED 17025 WITH UNCERTAINTIES",$N$10,0)</f>
        <v>0</v>
      </c>
      <c r="O2834" s="1" t="str">
        <f>IFERROR(Table1[[#This Row],[Std Nom]]-(_xlfn.XLOOKUP(Table1[[#This Row],[Manufacturer]]&amp;" "&amp;Table1[[#This Row],[Model]],Table13[MFR &amp; MDL],Table13[Tolerance % CW ],"")/100*Table1[[#This Row],[Std Nom]]),"")</f>
        <v/>
      </c>
      <c r="P2834" s="1" t="str">
        <f>IFERROR(Table1[[#This Row],[Std Nom]]+(_xlfn.XLOOKUP(Table1[[#This Row],[Manufacturer]]&amp;" "&amp;Table1[[#This Row],[Model]],Table13[MFR &amp; MDL],Table13[Tolerance % CW ],"")/100*Table1[[#This Row],[Std Nom]]),"")</f>
        <v/>
      </c>
      <c r="Q2834" s="1" t="e">
        <f>Table1[[#This Row],[High Tol]]-Table1[[#This Row],[Low Tol]]</f>
        <v>#VALUE!</v>
      </c>
      <c r="R2834" s="1">
        <f>2*Table1[[#This Row],[Std Error]]</f>
        <v>0</v>
      </c>
      <c r="S2834" s="1" t="str">
        <f>IF(Table1[[#This Row],[High Tol]]="","N/A",IFERROR(ABS(Table1[[#This Row],[Tol Span]]/Table1[[#This Row],[Error Span]]),"N/A"))</f>
        <v>N/A</v>
      </c>
      <c r="T2834" s="1" t="str">
        <f>IF(OR(Table1[[#This Row],[Low Tol]]="",Table1[[#This Row],[High Tol]]=""),"Needs Analysis",IF(Table1[[#This Row],[Ratio]]&gt;=4,"Not Significant",IF(Table1[[#This Row],[Ratio]]&gt;=2,"Semi-Significant","Significant")))</f>
        <v>Needs Analysis</v>
      </c>
      <c r="W2834" s="1">
        <f>IF(Table1[[#This Row],[Cal Type]]&lt;&gt;"ACCREDITED 17025 WITH UNCERTAINTIES",0,"")</f>
        <v>0</v>
      </c>
      <c r="X2834" s="1" t="str">
        <f>IF(Table1[[#This Row],[DUT Read]]="","N/A",Table1[[#This Row],[Std Error]]+Table1[[#This Row],[DUT Read]]+Table1[[#This Row],[DUT Ucty]])</f>
        <v>N/A</v>
      </c>
      <c r="Y2834" s="1" t="str">
        <f>IF(Table1[[#This Row],[Std Read]]="","N/A",Table1[[#This Row],[Std Read]]+Table1[[#This Row],[Std Ucty]])</f>
        <v>N/A</v>
      </c>
      <c r="Z28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4" s="1" t="str">
        <f>IF(Table1[[#This Row],[Spec Type]]="","N/A",Table1[[#This Row],[Spec Type]])</f>
        <v>±</v>
      </c>
      <c r="AC2834" s="1" t="str">
        <f>IF(Table1[[#This Row],[Spec Type2]]="N/A","N/A",IF(AND(Table1[[#This Row],[DUT Adj Read]]&gt;=Table1[[#This Row],[Low Tol]],Table1[[#This Row],[DUT Adj Read]]&lt;=Table1[[#This Row],[High Tol]]),"Pass","Fail"))</f>
        <v>Fail</v>
      </c>
      <c r="AD2834" s="1" t="str">
        <f>IF(AND(Table1[[#This Row],[Spec Type2]]="N/A",Table1[[#This Row],[DUT Adj Read]]="N/A",Table1[[#This Row],[Std Adj Read]]="N/A"),"N/A",IF(Table1[[#This Row],[DUT Adj Read]]="N/A",IF(Table1[[#This Row],[Std Adj Read]]&gt;Table1[[#This Row],[Low Tol]],"Pass","Fail"),IF(Table1[[#This Row],[DUT Adj Read]]&gt;Table1[[#This Row],[Low Tol]],"Pass","Fail")))</f>
        <v>Pass</v>
      </c>
      <c r="AE2834" s="1" t="str">
        <f>IF(AND(Table1[[#This Row],[Spec Type2]]="N/A",Table1[[#This Row],[DUT Adj Read]]="N/A",Table1[[#This Row],[Std Adj Read]]="N/A"),"N/A",IF(Table1[[#This Row],[DUT Adj Read]]="N/A",IF(Table1[[#This Row],[Std Adj Read]]&lt;Table1[[#This Row],[High Tol]],"Pass","Fail"),IF(Table1[[#This Row],[DUT Adj Read]]&lt;Table1[[#This Row],[High Tol]],"Pass","Fail")))</f>
        <v>Fail</v>
      </c>
      <c r="AF2834" s="1" t="str">
        <f>IF(AND(Table1[[#This Row],[Spec Type2]]="N/A",Table1[[#This Row],[DUT Adj Read]]="N/A",Table1[[#This Row],[Std Adj Read]]="N/A"),"N/A",IF(Table1[[#This Row],[DUT Adj Read]]="N/A",IF(Table1[[#This Row],[Std Adj Read]]&gt;=Table1[[#This Row],[Low Tol]],"Pass","Fail"),IF(Table1[[#This Row],[DUT Adj Read]]&gt;=Table1[[#This Row],[Low Tol]],"Pass","Fail")))</f>
        <v>Pass</v>
      </c>
      <c r="AG2834" s="1" t="str">
        <f>IF(AND(Table1[[#This Row],[Spec Type2]]="N/A",Table1[[#This Row],[DUT Adj Read]]="N/A",Table1[[#This Row],[Std Adj Read]]="N/A"),"N/A",IF(Table1[[#This Row],[DUT Adj Read]]="N/A",IF(Table1[[#This Row],[Std Adj Read]]&lt;=Table1[[#This Row],[High Tol]],"Pass","Fail"),IF(Table1[[#This Row],[DUT Adj Read]]&lt;=Table1[[#This Row],[High Tol]],"Pass","Fail")))</f>
        <v>Fail</v>
      </c>
      <c r="AH28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4" s="1" t="b">
        <v>0</v>
      </c>
      <c r="AN2834" s="1" t="b">
        <v>0</v>
      </c>
      <c r="AO2834" s="1" t="b">
        <v>0</v>
      </c>
    </row>
    <row r="2835" spans="1:41" x14ac:dyDescent="0.25">
      <c r="A2835" s="10"/>
      <c r="B2835" s="10"/>
      <c r="C2835" s="10"/>
      <c r="D2835" s="10"/>
      <c r="E2835" s="10"/>
      <c r="F2835" s="10"/>
      <c r="G2835" s="10"/>
      <c r="H2835" s="10"/>
      <c r="I2835" s="1" t="str">
        <f t="shared" si="132"/>
        <v/>
      </c>
      <c r="J2835" s="1" t="s">
        <v>35</v>
      </c>
      <c r="K2835" s="1" t="str">
        <f t="shared" si="133"/>
        <v/>
      </c>
      <c r="L2835" s="1" t="str">
        <f t="shared" si="134"/>
        <v/>
      </c>
      <c r="M2835" s="1">
        <f>IF(OR(Table1[[#This Row],[Std Nom]]="",Table1[[#This Row],[Std Read]]=""),0,Table1[[#This Row],[Std Nom]]-Table1[[#This Row],[Std Read]])</f>
        <v>0</v>
      </c>
      <c r="N2835" s="1">
        <f>IF(Calculations!$F$5="ACCREDITED 17025 WITH UNCERTAINTIES",$N$10,0)</f>
        <v>0</v>
      </c>
      <c r="O2835" s="1" t="str">
        <f>IFERROR(Table1[[#This Row],[Std Nom]]-(_xlfn.XLOOKUP(Table1[[#This Row],[Manufacturer]]&amp;" "&amp;Table1[[#This Row],[Model]],Table13[MFR &amp; MDL],Table13[Tolerance % CW ],"")/100*Table1[[#This Row],[Std Nom]]),"")</f>
        <v/>
      </c>
      <c r="P2835" s="1" t="str">
        <f>IFERROR(Table1[[#This Row],[Std Nom]]+(_xlfn.XLOOKUP(Table1[[#This Row],[Manufacturer]]&amp;" "&amp;Table1[[#This Row],[Model]],Table13[MFR &amp; MDL],Table13[Tolerance % CW ],"")/100*Table1[[#This Row],[Std Nom]]),"")</f>
        <v/>
      </c>
      <c r="Q2835" s="1" t="e">
        <f>Table1[[#This Row],[High Tol]]-Table1[[#This Row],[Low Tol]]</f>
        <v>#VALUE!</v>
      </c>
      <c r="R2835" s="1">
        <f>2*Table1[[#This Row],[Std Error]]</f>
        <v>0</v>
      </c>
      <c r="S2835" s="1" t="str">
        <f>IF(Table1[[#This Row],[High Tol]]="","N/A",IFERROR(ABS(Table1[[#This Row],[Tol Span]]/Table1[[#This Row],[Error Span]]),"N/A"))</f>
        <v>N/A</v>
      </c>
      <c r="T2835" s="1" t="str">
        <f>IF(OR(Table1[[#This Row],[Low Tol]]="",Table1[[#This Row],[High Tol]]=""),"Needs Analysis",IF(Table1[[#This Row],[Ratio]]&gt;=4,"Not Significant",IF(Table1[[#This Row],[Ratio]]&gt;=2,"Semi-Significant","Significant")))</f>
        <v>Needs Analysis</v>
      </c>
      <c r="W2835" s="1">
        <f>IF(Table1[[#This Row],[Cal Type]]&lt;&gt;"ACCREDITED 17025 WITH UNCERTAINTIES",0,"")</f>
        <v>0</v>
      </c>
      <c r="X2835" s="1" t="str">
        <f>IF(Table1[[#This Row],[DUT Read]]="","N/A",Table1[[#This Row],[Std Error]]+Table1[[#This Row],[DUT Read]]+Table1[[#This Row],[DUT Ucty]])</f>
        <v>N/A</v>
      </c>
      <c r="Y2835" s="1" t="str">
        <f>IF(Table1[[#This Row],[Std Read]]="","N/A",Table1[[#This Row],[Std Read]]+Table1[[#This Row],[Std Ucty]])</f>
        <v>N/A</v>
      </c>
      <c r="Z28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5" s="1" t="str">
        <f>IF(Table1[[#This Row],[Spec Type]]="","N/A",Table1[[#This Row],[Spec Type]])</f>
        <v>±</v>
      </c>
      <c r="AC2835" s="1" t="str">
        <f>IF(Table1[[#This Row],[Spec Type2]]="N/A","N/A",IF(AND(Table1[[#This Row],[DUT Adj Read]]&gt;=Table1[[#This Row],[Low Tol]],Table1[[#This Row],[DUT Adj Read]]&lt;=Table1[[#This Row],[High Tol]]),"Pass","Fail"))</f>
        <v>Fail</v>
      </c>
      <c r="AD2835" s="1" t="str">
        <f>IF(AND(Table1[[#This Row],[Spec Type2]]="N/A",Table1[[#This Row],[DUT Adj Read]]="N/A",Table1[[#This Row],[Std Adj Read]]="N/A"),"N/A",IF(Table1[[#This Row],[DUT Adj Read]]="N/A",IF(Table1[[#This Row],[Std Adj Read]]&gt;Table1[[#This Row],[Low Tol]],"Pass","Fail"),IF(Table1[[#This Row],[DUT Adj Read]]&gt;Table1[[#This Row],[Low Tol]],"Pass","Fail")))</f>
        <v>Pass</v>
      </c>
      <c r="AE2835" s="1" t="str">
        <f>IF(AND(Table1[[#This Row],[Spec Type2]]="N/A",Table1[[#This Row],[DUT Adj Read]]="N/A",Table1[[#This Row],[Std Adj Read]]="N/A"),"N/A",IF(Table1[[#This Row],[DUT Adj Read]]="N/A",IF(Table1[[#This Row],[Std Adj Read]]&lt;Table1[[#This Row],[High Tol]],"Pass","Fail"),IF(Table1[[#This Row],[DUT Adj Read]]&lt;Table1[[#This Row],[High Tol]],"Pass","Fail")))</f>
        <v>Fail</v>
      </c>
      <c r="AF2835" s="1" t="str">
        <f>IF(AND(Table1[[#This Row],[Spec Type2]]="N/A",Table1[[#This Row],[DUT Adj Read]]="N/A",Table1[[#This Row],[Std Adj Read]]="N/A"),"N/A",IF(Table1[[#This Row],[DUT Adj Read]]="N/A",IF(Table1[[#This Row],[Std Adj Read]]&gt;=Table1[[#This Row],[Low Tol]],"Pass","Fail"),IF(Table1[[#This Row],[DUT Adj Read]]&gt;=Table1[[#This Row],[Low Tol]],"Pass","Fail")))</f>
        <v>Pass</v>
      </c>
      <c r="AG2835" s="1" t="str">
        <f>IF(AND(Table1[[#This Row],[Spec Type2]]="N/A",Table1[[#This Row],[DUT Adj Read]]="N/A",Table1[[#This Row],[Std Adj Read]]="N/A"),"N/A",IF(Table1[[#This Row],[DUT Adj Read]]="N/A",IF(Table1[[#This Row],[Std Adj Read]]&lt;=Table1[[#This Row],[High Tol]],"Pass","Fail"),IF(Table1[[#This Row],[DUT Adj Read]]&lt;=Table1[[#This Row],[High Tol]],"Pass","Fail")))</f>
        <v>Fail</v>
      </c>
      <c r="AH28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5" s="1" t="b">
        <v>0</v>
      </c>
      <c r="AN2835" s="1" t="b">
        <v>0</v>
      </c>
      <c r="AO2835" s="1" t="b">
        <v>0</v>
      </c>
    </row>
    <row r="2836" spans="1:41" x14ac:dyDescent="0.25">
      <c r="A2836" s="10"/>
      <c r="B2836" s="10"/>
      <c r="C2836" s="10"/>
      <c r="D2836" s="10"/>
      <c r="E2836" s="10"/>
      <c r="F2836" s="10"/>
      <c r="G2836" s="10"/>
      <c r="H2836" s="10"/>
      <c r="I2836" s="1" t="str">
        <f t="shared" si="132"/>
        <v/>
      </c>
      <c r="J2836" s="1" t="s">
        <v>35</v>
      </c>
      <c r="K2836" s="1" t="str">
        <f t="shared" si="133"/>
        <v/>
      </c>
      <c r="L2836" s="1" t="str">
        <f t="shared" si="134"/>
        <v/>
      </c>
      <c r="M2836" s="1">
        <f>IF(OR(Table1[[#This Row],[Std Nom]]="",Table1[[#This Row],[Std Read]]=""),0,Table1[[#This Row],[Std Nom]]-Table1[[#This Row],[Std Read]])</f>
        <v>0</v>
      </c>
      <c r="N2836" s="1">
        <f>IF(Calculations!$F$5="ACCREDITED 17025 WITH UNCERTAINTIES",$N$10,0)</f>
        <v>0</v>
      </c>
      <c r="O2836" s="1" t="str">
        <f>IFERROR(Table1[[#This Row],[Std Nom]]-(_xlfn.XLOOKUP(Table1[[#This Row],[Manufacturer]]&amp;" "&amp;Table1[[#This Row],[Model]],Table13[MFR &amp; MDL],Table13[Tolerance % CW ],"")/100*Table1[[#This Row],[Std Nom]]),"")</f>
        <v/>
      </c>
      <c r="P2836" s="1" t="str">
        <f>IFERROR(Table1[[#This Row],[Std Nom]]+(_xlfn.XLOOKUP(Table1[[#This Row],[Manufacturer]]&amp;" "&amp;Table1[[#This Row],[Model]],Table13[MFR &amp; MDL],Table13[Tolerance % CW ],"")/100*Table1[[#This Row],[Std Nom]]),"")</f>
        <v/>
      </c>
      <c r="Q2836" s="1" t="e">
        <f>Table1[[#This Row],[High Tol]]-Table1[[#This Row],[Low Tol]]</f>
        <v>#VALUE!</v>
      </c>
      <c r="R2836" s="1">
        <f>2*Table1[[#This Row],[Std Error]]</f>
        <v>0</v>
      </c>
      <c r="S2836" s="1" t="str">
        <f>IF(Table1[[#This Row],[High Tol]]="","N/A",IFERROR(ABS(Table1[[#This Row],[Tol Span]]/Table1[[#This Row],[Error Span]]),"N/A"))</f>
        <v>N/A</v>
      </c>
      <c r="T2836" s="1" t="str">
        <f>IF(OR(Table1[[#This Row],[Low Tol]]="",Table1[[#This Row],[High Tol]]=""),"Needs Analysis",IF(Table1[[#This Row],[Ratio]]&gt;=4,"Not Significant",IF(Table1[[#This Row],[Ratio]]&gt;=2,"Semi-Significant","Significant")))</f>
        <v>Needs Analysis</v>
      </c>
      <c r="W2836" s="1">
        <f>IF(Table1[[#This Row],[Cal Type]]&lt;&gt;"ACCREDITED 17025 WITH UNCERTAINTIES",0,"")</f>
        <v>0</v>
      </c>
      <c r="X2836" s="1" t="str">
        <f>IF(Table1[[#This Row],[DUT Read]]="","N/A",Table1[[#This Row],[Std Error]]+Table1[[#This Row],[DUT Read]]+Table1[[#This Row],[DUT Ucty]])</f>
        <v>N/A</v>
      </c>
      <c r="Y2836" s="1" t="str">
        <f>IF(Table1[[#This Row],[Std Read]]="","N/A",Table1[[#This Row],[Std Read]]+Table1[[#This Row],[Std Ucty]])</f>
        <v>N/A</v>
      </c>
      <c r="Z28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6" s="1" t="str">
        <f>IF(Table1[[#This Row],[Spec Type]]="","N/A",Table1[[#This Row],[Spec Type]])</f>
        <v>±</v>
      </c>
      <c r="AC2836" s="1" t="str">
        <f>IF(Table1[[#This Row],[Spec Type2]]="N/A","N/A",IF(AND(Table1[[#This Row],[DUT Adj Read]]&gt;=Table1[[#This Row],[Low Tol]],Table1[[#This Row],[DUT Adj Read]]&lt;=Table1[[#This Row],[High Tol]]),"Pass","Fail"))</f>
        <v>Fail</v>
      </c>
      <c r="AD2836" s="1" t="str">
        <f>IF(AND(Table1[[#This Row],[Spec Type2]]="N/A",Table1[[#This Row],[DUT Adj Read]]="N/A",Table1[[#This Row],[Std Adj Read]]="N/A"),"N/A",IF(Table1[[#This Row],[DUT Adj Read]]="N/A",IF(Table1[[#This Row],[Std Adj Read]]&gt;Table1[[#This Row],[Low Tol]],"Pass","Fail"),IF(Table1[[#This Row],[DUT Adj Read]]&gt;Table1[[#This Row],[Low Tol]],"Pass","Fail")))</f>
        <v>Pass</v>
      </c>
      <c r="AE2836" s="1" t="str">
        <f>IF(AND(Table1[[#This Row],[Spec Type2]]="N/A",Table1[[#This Row],[DUT Adj Read]]="N/A",Table1[[#This Row],[Std Adj Read]]="N/A"),"N/A",IF(Table1[[#This Row],[DUT Adj Read]]="N/A",IF(Table1[[#This Row],[Std Adj Read]]&lt;Table1[[#This Row],[High Tol]],"Pass","Fail"),IF(Table1[[#This Row],[DUT Adj Read]]&lt;Table1[[#This Row],[High Tol]],"Pass","Fail")))</f>
        <v>Fail</v>
      </c>
      <c r="AF2836" s="1" t="str">
        <f>IF(AND(Table1[[#This Row],[Spec Type2]]="N/A",Table1[[#This Row],[DUT Adj Read]]="N/A",Table1[[#This Row],[Std Adj Read]]="N/A"),"N/A",IF(Table1[[#This Row],[DUT Adj Read]]="N/A",IF(Table1[[#This Row],[Std Adj Read]]&gt;=Table1[[#This Row],[Low Tol]],"Pass","Fail"),IF(Table1[[#This Row],[DUT Adj Read]]&gt;=Table1[[#This Row],[Low Tol]],"Pass","Fail")))</f>
        <v>Pass</v>
      </c>
      <c r="AG2836" s="1" t="str">
        <f>IF(AND(Table1[[#This Row],[Spec Type2]]="N/A",Table1[[#This Row],[DUT Adj Read]]="N/A",Table1[[#This Row],[Std Adj Read]]="N/A"),"N/A",IF(Table1[[#This Row],[DUT Adj Read]]="N/A",IF(Table1[[#This Row],[Std Adj Read]]&lt;=Table1[[#This Row],[High Tol]],"Pass","Fail"),IF(Table1[[#This Row],[DUT Adj Read]]&lt;=Table1[[#This Row],[High Tol]],"Pass","Fail")))</f>
        <v>Fail</v>
      </c>
      <c r="AH28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6" s="1" t="b">
        <v>0</v>
      </c>
      <c r="AN2836" s="1" t="b">
        <v>0</v>
      </c>
      <c r="AO2836" s="1" t="b">
        <v>0</v>
      </c>
    </row>
    <row r="2837" spans="1:41" x14ac:dyDescent="0.25">
      <c r="A2837" s="10"/>
      <c r="B2837" s="10"/>
      <c r="C2837" s="10"/>
      <c r="D2837" s="10"/>
      <c r="E2837" s="10"/>
      <c r="F2837" s="10"/>
      <c r="G2837" s="10"/>
      <c r="H2837" s="10"/>
      <c r="I2837" s="1" t="str">
        <f t="shared" si="132"/>
        <v/>
      </c>
      <c r="J2837" s="1" t="s">
        <v>35</v>
      </c>
      <c r="K2837" s="1" t="str">
        <f t="shared" si="133"/>
        <v/>
      </c>
      <c r="L2837" s="1" t="str">
        <f t="shared" si="134"/>
        <v/>
      </c>
      <c r="M2837" s="1">
        <f>IF(OR(Table1[[#This Row],[Std Nom]]="",Table1[[#This Row],[Std Read]]=""),0,Table1[[#This Row],[Std Nom]]-Table1[[#This Row],[Std Read]])</f>
        <v>0</v>
      </c>
      <c r="N2837" s="1">
        <f>IF(Calculations!$F$5="ACCREDITED 17025 WITH UNCERTAINTIES",$N$10,0)</f>
        <v>0</v>
      </c>
      <c r="O2837" s="1" t="str">
        <f>IFERROR(Table1[[#This Row],[Std Nom]]-(_xlfn.XLOOKUP(Table1[[#This Row],[Manufacturer]]&amp;" "&amp;Table1[[#This Row],[Model]],Table13[MFR &amp; MDL],Table13[Tolerance % CW ],"")/100*Table1[[#This Row],[Std Nom]]),"")</f>
        <v/>
      </c>
      <c r="P2837" s="1" t="str">
        <f>IFERROR(Table1[[#This Row],[Std Nom]]+(_xlfn.XLOOKUP(Table1[[#This Row],[Manufacturer]]&amp;" "&amp;Table1[[#This Row],[Model]],Table13[MFR &amp; MDL],Table13[Tolerance % CW ],"")/100*Table1[[#This Row],[Std Nom]]),"")</f>
        <v/>
      </c>
      <c r="Q2837" s="1" t="e">
        <f>Table1[[#This Row],[High Tol]]-Table1[[#This Row],[Low Tol]]</f>
        <v>#VALUE!</v>
      </c>
      <c r="R2837" s="1">
        <f>2*Table1[[#This Row],[Std Error]]</f>
        <v>0</v>
      </c>
      <c r="S2837" s="1" t="str">
        <f>IF(Table1[[#This Row],[High Tol]]="","N/A",IFERROR(ABS(Table1[[#This Row],[Tol Span]]/Table1[[#This Row],[Error Span]]),"N/A"))</f>
        <v>N/A</v>
      </c>
      <c r="T2837" s="1" t="str">
        <f>IF(OR(Table1[[#This Row],[Low Tol]]="",Table1[[#This Row],[High Tol]]=""),"Needs Analysis",IF(Table1[[#This Row],[Ratio]]&gt;=4,"Not Significant",IF(Table1[[#This Row],[Ratio]]&gt;=2,"Semi-Significant","Significant")))</f>
        <v>Needs Analysis</v>
      </c>
      <c r="W2837" s="1">
        <f>IF(Table1[[#This Row],[Cal Type]]&lt;&gt;"ACCREDITED 17025 WITH UNCERTAINTIES",0,"")</f>
        <v>0</v>
      </c>
      <c r="X2837" s="1" t="str">
        <f>IF(Table1[[#This Row],[DUT Read]]="","N/A",Table1[[#This Row],[Std Error]]+Table1[[#This Row],[DUT Read]]+Table1[[#This Row],[DUT Ucty]])</f>
        <v>N/A</v>
      </c>
      <c r="Y2837" s="1" t="str">
        <f>IF(Table1[[#This Row],[Std Read]]="","N/A",Table1[[#This Row],[Std Read]]+Table1[[#This Row],[Std Ucty]])</f>
        <v>N/A</v>
      </c>
      <c r="Z28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7" s="1" t="str">
        <f>IF(Table1[[#This Row],[Spec Type]]="","N/A",Table1[[#This Row],[Spec Type]])</f>
        <v>±</v>
      </c>
      <c r="AC2837" s="1" t="str">
        <f>IF(Table1[[#This Row],[Spec Type2]]="N/A","N/A",IF(AND(Table1[[#This Row],[DUT Adj Read]]&gt;=Table1[[#This Row],[Low Tol]],Table1[[#This Row],[DUT Adj Read]]&lt;=Table1[[#This Row],[High Tol]]),"Pass","Fail"))</f>
        <v>Fail</v>
      </c>
      <c r="AD2837" s="1" t="str">
        <f>IF(AND(Table1[[#This Row],[Spec Type2]]="N/A",Table1[[#This Row],[DUT Adj Read]]="N/A",Table1[[#This Row],[Std Adj Read]]="N/A"),"N/A",IF(Table1[[#This Row],[DUT Adj Read]]="N/A",IF(Table1[[#This Row],[Std Adj Read]]&gt;Table1[[#This Row],[Low Tol]],"Pass","Fail"),IF(Table1[[#This Row],[DUT Adj Read]]&gt;Table1[[#This Row],[Low Tol]],"Pass","Fail")))</f>
        <v>Pass</v>
      </c>
      <c r="AE2837" s="1" t="str">
        <f>IF(AND(Table1[[#This Row],[Spec Type2]]="N/A",Table1[[#This Row],[DUT Adj Read]]="N/A",Table1[[#This Row],[Std Adj Read]]="N/A"),"N/A",IF(Table1[[#This Row],[DUT Adj Read]]="N/A",IF(Table1[[#This Row],[Std Adj Read]]&lt;Table1[[#This Row],[High Tol]],"Pass","Fail"),IF(Table1[[#This Row],[DUT Adj Read]]&lt;Table1[[#This Row],[High Tol]],"Pass","Fail")))</f>
        <v>Fail</v>
      </c>
      <c r="AF2837" s="1" t="str">
        <f>IF(AND(Table1[[#This Row],[Spec Type2]]="N/A",Table1[[#This Row],[DUT Adj Read]]="N/A",Table1[[#This Row],[Std Adj Read]]="N/A"),"N/A",IF(Table1[[#This Row],[DUT Adj Read]]="N/A",IF(Table1[[#This Row],[Std Adj Read]]&gt;=Table1[[#This Row],[Low Tol]],"Pass","Fail"),IF(Table1[[#This Row],[DUT Adj Read]]&gt;=Table1[[#This Row],[Low Tol]],"Pass","Fail")))</f>
        <v>Pass</v>
      </c>
      <c r="AG2837" s="1" t="str">
        <f>IF(AND(Table1[[#This Row],[Spec Type2]]="N/A",Table1[[#This Row],[DUT Adj Read]]="N/A",Table1[[#This Row],[Std Adj Read]]="N/A"),"N/A",IF(Table1[[#This Row],[DUT Adj Read]]="N/A",IF(Table1[[#This Row],[Std Adj Read]]&lt;=Table1[[#This Row],[High Tol]],"Pass","Fail"),IF(Table1[[#This Row],[DUT Adj Read]]&lt;=Table1[[#This Row],[High Tol]],"Pass","Fail")))</f>
        <v>Fail</v>
      </c>
      <c r="AH28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7" s="1" t="b">
        <v>0</v>
      </c>
      <c r="AN2837" s="1" t="b">
        <v>0</v>
      </c>
      <c r="AO2837" s="1" t="b">
        <v>0</v>
      </c>
    </row>
    <row r="2838" spans="1:41" x14ac:dyDescent="0.25">
      <c r="A2838" s="10"/>
      <c r="B2838" s="10"/>
      <c r="C2838" s="10"/>
      <c r="D2838" s="10"/>
      <c r="E2838" s="10"/>
      <c r="F2838" s="10"/>
      <c r="G2838" s="10"/>
      <c r="H2838" s="10"/>
      <c r="I2838" s="1" t="str">
        <f t="shared" si="132"/>
        <v/>
      </c>
      <c r="J2838" s="1" t="s">
        <v>35</v>
      </c>
      <c r="K2838" s="1" t="str">
        <f t="shared" si="133"/>
        <v/>
      </c>
      <c r="L2838" s="1" t="str">
        <f t="shared" si="134"/>
        <v/>
      </c>
      <c r="M2838" s="1">
        <f>IF(OR(Table1[[#This Row],[Std Nom]]="",Table1[[#This Row],[Std Read]]=""),0,Table1[[#This Row],[Std Nom]]-Table1[[#This Row],[Std Read]])</f>
        <v>0</v>
      </c>
      <c r="N2838" s="1">
        <f>IF(Calculations!$F$5="ACCREDITED 17025 WITH UNCERTAINTIES",$N$10,0)</f>
        <v>0</v>
      </c>
      <c r="O2838" s="1" t="str">
        <f>IFERROR(Table1[[#This Row],[Std Nom]]-(_xlfn.XLOOKUP(Table1[[#This Row],[Manufacturer]]&amp;" "&amp;Table1[[#This Row],[Model]],Table13[MFR &amp; MDL],Table13[Tolerance % CW ],"")/100*Table1[[#This Row],[Std Nom]]),"")</f>
        <v/>
      </c>
      <c r="P2838" s="1" t="str">
        <f>IFERROR(Table1[[#This Row],[Std Nom]]+(_xlfn.XLOOKUP(Table1[[#This Row],[Manufacturer]]&amp;" "&amp;Table1[[#This Row],[Model]],Table13[MFR &amp; MDL],Table13[Tolerance % CW ],"")/100*Table1[[#This Row],[Std Nom]]),"")</f>
        <v/>
      </c>
      <c r="Q2838" s="1" t="e">
        <f>Table1[[#This Row],[High Tol]]-Table1[[#This Row],[Low Tol]]</f>
        <v>#VALUE!</v>
      </c>
      <c r="R2838" s="1">
        <f>2*Table1[[#This Row],[Std Error]]</f>
        <v>0</v>
      </c>
      <c r="S2838" s="1" t="str">
        <f>IF(Table1[[#This Row],[High Tol]]="","N/A",IFERROR(ABS(Table1[[#This Row],[Tol Span]]/Table1[[#This Row],[Error Span]]),"N/A"))</f>
        <v>N/A</v>
      </c>
      <c r="T2838" s="1" t="str">
        <f>IF(OR(Table1[[#This Row],[Low Tol]]="",Table1[[#This Row],[High Tol]]=""),"Needs Analysis",IF(Table1[[#This Row],[Ratio]]&gt;=4,"Not Significant",IF(Table1[[#This Row],[Ratio]]&gt;=2,"Semi-Significant","Significant")))</f>
        <v>Needs Analysis</v>
      </c>
      <c r="W2838" s="1">
        <f>IF(Table1[[#This Row],[Cal Type]]&lt;&gt;"ACCREDITED 17025 WITH UNCERTAINTIES",0,"")</f>
        <v>0</v>
      </c>
      <c r="X2838" s="1" t="str">
        <f>IF(Table1[[#This Row],[DUT Read]]="","N/A",Table1[[#This Row],[Std Error]]+Table1[[#This Row],[DUT Read]]+Table1[[#This Row],[DUT Ucty]])</f>
        <v>N/A</v>
      </c>
      <c r="Y2838" s="1" t="str">
        <f>IF(Table1[[#This Row],[Std Read]]="","N/A",Table1[[#This Row],[Std Read]]+Table1[[#This Row],[Std Ucty]])</f>
        <v>N/A</v>
      </c>
      <c r="Z28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8" s="1" t="str">
        <f>IF(Table1[[#This Row],[Spec Type]]="","N/A",Table1[[#This Row],[Spec Type]])</f>
        <v>±</v>
      </c>
      <c r="AC2838" s="1" t="str">
        <f>IF(Table1[[#This Row],[Spec Type2]]="N/A","N/A",IF(AND(Table1[[#This Row],[DUT Adj Read]]&gt;=Table1[[#This Row],[Low Tol]],Table1[[#This Row],[DUT Adj Read]]&lt;=Table1[[#This Row],[High Tol]]),"Pass","Fail"))</f>
        <v>Fail</v>
      </c>
      <c r="AD2838" s="1" t="str">
        <f>IF(AND(Table1[[#This Row],[Spec Type2]]="N/A",Table1[[#This Row],[DUT Adj Read]]="N/A",Table1[[#This Row],[Std Adj Read]]="N/A"),"N/A",IF(Table1[[#This Row],[DUT Adj Read]]="N/A",IF(Table1[[#This Row],[Std Adj Read]]&gt;Table1[[#This Row],[Low Tol]],"Pass","Fail"),IF(Table1[[#This Row],[DUT Adj Read]]&gt;Table1[[#This Row],[Low Tol]],"Pass","Fail")))</f>
        <v>Pass</v>
      </c>
      <c r="AE2838" s="1" t="str">
        <f>IF(AND(Table1[[#This Row],[Spec Type2]]="N/A",Table1[[#This Row],[DUT Adj Read]]="N/A",Table1[[#This Row],[Std Adj Read]]="N/A"),"N/A",IF(Table1[[#This Row],[DUT Adj Read]]="N/A",IF(Table1[[#This Row],[Std Adj Read]]&lt;Table1[[#This Row],[High Tol]],"Pass","Fail"),IF(Table1[[#This Row],[DUT Adj Read]]&lt;Table1[[#This Row],[High Tol]],"Pass","Fail")))</f>
        <v>Fail</v>
      </c>
      <c r="AF2838" s="1" t="str">
        <f>IF(AND(Table1[[#This Row],[Spec Type2]]="N/A",Table1[[#This Row],[DUT Adj Read]]="N/A",Table1[[#This Row],[Std Adj Read]]="N/A"),"N/A",IF(Table1[[#This Row],[DUT Adj Read]]="N/A",IF(Table1[[#This Row],[Std Adj Read]]&gt;=Table1[[#This Row],[Low Tol]],"Pass","Fail"),IF(Table1[[#This Row],[DUT Adj Read]]&gt;=Table1[[#This Row],[Low Tol]],"Pass","Fail")))</f>
        <v>Pass</v>
      </c>
      <c r="AG2838" s="1" t="str">
        <f>IF(AND(Table1[[#This Row],[Spec Type2]]="N/A",Table1[[#This Row],[DUT Adj Read]]="N/A",Table1[[#This Row],[Std Adj Read]]="N/A"),"N/A",IF(Table1[[#This Row],[DUT Adj Read]]="N/A",IF(Table1[[#This Row],[Std Adj Read]]&lt;=Table1[[#This Row],[High Tol]],"Pass","Fail"),IF(Table1[[#This Row],[DUT Adj Read]]&lt;=Table1[[#This Row],[High Tol]],"Pass","Fail")))</f>
        <v>Fail</v>
      </c>
      <c r="AH28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8" s="1" t="b">
        <v>0</v>
      </c>
      <c r="AN2838" s="1" t="b">
        <v>0</v>
      </c>
      <c r="AO2838" s="1" t="b">
        <v>0</v>
      </c>
    </row>
    <row r="2839" spans="1:41" x14ac:dyDescent="0.25">
      <c r="A2839" s="10"/>
      <c r="B2839" s="10"/>
      <c r="C2839" s="10"/>
      <c r="D2839" s="10"/>
      <c r="E2839" s="10"/>
      <c r="F2839" s="10"/>
      <c r="G2839" s="10"/>
      <c r="H2839" s="10"/>
      <c r="I2839" s="1" t="str">
        <f t="shared" si="132"/>
        <v/>
      </c>
      <c r="J2839" s="1" t="s">
        <v>35</v>
      </c>
      <c r="K2839" s="1" t="str">
        <f t="shared" si="133"/>
        <v/>
      </c>
      <c r="L2839" s="1" t="str">
        <f t="shared" si="134"/>
        <v/>
      </c>
      <c r="M2839" s="1">
        <f>IF(OR(Table1[[#This Row],[Std Nom]]="",Table1[[#This Row],[Std Read]]=""),0,Table1[[#This Row],[Std Nom]]-Table1[[#This Row],[Std Read]])</f>
        <v>0</v>
      </c>
      <c r="N2839" s="1">
        <f>IF(Calculations!$F$5="ACCREDITED 17025 WITH UNCERTAINTIES",$N$10,0)</f>
        <v>0</v>
      </c>
      <c r="O2839" s="1" t="str">
        <f>IFERROR(Table1[[#This Row],[Std Nom]]-(_xlfn.XLOOKUP(Table1[[#This Row],[Manufacturer]]&amp;" "&amp;Table1[[#This Row],[Model]],Table13[MFR &amp; MDL],Table13[Tolerance % CW ],"")/100*Table1[[#This Row],[Std Nom]]),"")</f>
        <v/>
      </c>
      <c r="P2839" s="1" t="str">
        <f>IFERROR(Table1[[#This Row],[Std Nom]]+(_xlfn.XLOOKUP(Table1[[#This Row],[Manufacturer]]&amp;" "&amp;Table1[[#This Row],[Model]],Table13[MFR &amp; MDL],Table13[Tolerance % CW ],"")/100*Table1[[#This Row],[Std Nom]]),"")</f>
        <v/>
      </c>
      <c r="Q2839" s="1" t="e">
        <f>Table1[[#This Row],[High Tol]]-Table1[[#This Row],[Low Tol]]</f>
        <v>#VALUE!</v>
      </c>
      <c r="R2839" s="1">
        <f>2*Table1[[#This Row],[Std Error]]</f>
        <v>0</v>
      </c>
      <c r="S2839" s="1" t="str">
        <f>IF(Table1[[#This Row],[High Tol]]="","N/A",IFERROR(ABS(Table1[[#This Row],[Tol Span]]/Table1[[#This Row],[Error Span]]),"N/A"))</f>
        <v>N/A</v>
      </c>
      <c r="T2839" s="1" t="str">
        <f>IF(OR(Table1[[#This Row],[Low Tol]]="",Table1[[#This Row],[High Tol]]=""),"Needs Analysis",IF(Table1[[#This Row],[Ratio]]&gt;=4,"Not Significant",IF(Table1[[#This Row],[Ratio]]&gt;=2,"Semi-Significant","Significant")))</f>
        <v>Needs Analysis</v>
      </c>
      <c r="W2839" s="1">
        <f>IF(Table1[[#This Row],[Cal Type]]&lt;&gt;"ACCREDITED 17025 WITH UNCERTAINTIES",0,"")</f>
        <v>0</v>
      </c>
      <c r="X2839" s="1" t="str">
        <f>IF(Table1[[#This Row],[DUT Read]]="","N/A",Table1[[#This Row],[Std Error]]+Table1[[#This Row],[DUT Read]]+Table1[[#This Row],[DUT Ucty]])</f>
        <v>N/A</v>
      </c>
      <c r="Y2839" s="1" t="str">
        <f>IF(Table1[[#This Row],[Std Read]]="","N/A",Table1[[#This Row],[Std Read]]+Table1[[#This Row],[Std Ucty]])</f>
        <v>N/A</v>
      </c>
      <c r="Z28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9" s="1" t="str">
        <f>IF(Table1[[#This Row],[Spec Type]]="","N/A",Table1[[#This Row],[Spec Type]])</f>
        <v>±</v>
      </c>
      <c r="AC2839" s="1" t="str">
        <f>IF(Table1[[#This Row],[Spec Type2]]="N/A","N/A",IF(AND(Table1[[#This Row],[DUT Adj Read]]&gt;=Table1[[#This Row],[Low Tol]],Table1[[#This Row],[DUT Adj Read]]&lt;=Table1[[#This Row],[High Tol]]),"Pass","Fail"))</f>
        <v>Fail</v>
      </c>
      <c r="AD2839" s="1" t="str">
        <f>IF(AND(Table1[[#This Row],[Spec Type2]]="N/A",Table1[[#This Row],[DUT Adj Read]]="N/A",Table1[[#This Row],[Std Adj Read]]="N/A"),"N/A",IF(Table1[[#This Row],[DUT Adj Read]]="N/A",IF(Table1[[#This Row],[Std Adj Read]]&gt;Table1[[#This Row],[Low Tol]],"Pass","Fail"),IF(Table1[[#This Row],[DUT Adj Read]]&gt;Table1[[#This Row],[Low Tol]],"Pass","Fail")))</f>
        <v>Pass</v>
      </c>
      <c r="AE2839" s="1" t="str">
        <f>IF(AND(Table1[[#This Row],[Spec Type2]]="N/A",Table1[[#This Row],[DUT Adj Read]]="N/A",Table1[[#This Row],[Std Adj Read]]="N/A"),"N/A",IF(Table1[[#This Row],[DUT Adj Read]]="N/A",IF(Table1[[#This Row],[Std Adj Read]]&lt;Table1[[#This Row],[High Tol]],"Pass","Fail"),IF(Table1[[#This Row],[DUT Adj Read]]&lt;Table1[[#This Row],[High Tol]],"Pass","Fail")))</f>
        <v>Fail</v>
      </c>
      <c r="AF2839" s="1" t="str">
        <f>IF(AND(Table1[[#This Row],[Spec Type2]]="N/A",Table1[[#This Row],[DUT Adj Read]]="N/A",Table1[[#This Row],[Std Adj Read]]="N/A"),"N/A",IF(Table1[[#This Row],[DUT Adj Read]]="N/A",IF(Table1[[#This Row],[Std Adj Read]]&gt;=Table1[[#This Row],[Low Tol]],"Pass","Fail"),IF(Table1[[#This Row],[DUT Adj Read]]&gt;=Table1[[#This Row],[Low Tol]],"Pass","Fail")))</f>
        <v>Pass</v>
      </c>
      <c r="AG2839" s="1" t="str">
        <f>IF(AND(Table1[[#This Row],[Spec Type2]]="N/A",Table1[[#This Row],[DUT Adj Read]]="N/A",Table1[[#This Row],[Std Adj Read]]="N/A"),"N/A",IF(Table1[[#This Row],[DUT Adj Read]]="N/A",IF(Table1[[#This Row],[Std Adj Read]]&lt;=Table1[[#This Row],[High Tol]],"Pass","Fail"),IF(Table1[[#This Row],[DUT Adj Read]]&lt;=Table1[[#This Row],[High Tol]],"Pass","Fail")))</f>
        <v>Fail</v>
      </c>
      <c r="AH28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9" s="1" t="b">
        <v>0</v>
      </c>
      <c r="AN2839" s="1" t="b">
        <v>0</v>
      </c>
      <c r="AO2839" s="1" t="b">
        <v>0</v>
      </c>
    </row>
    <row r="2840" spans="1:41" x14ac:dyDescent="0.25">
      <c r="A2840" s="10"/>
      <c r="B2840" s="10"/>
      <c r="C2840" s="10"/>
      <c r="D2840" s="10"/>
      <c r="E2840" s="10"/>
      <c r="F2840" s="10"/>
      <c r="G2840" s="10"/>
      <c r="H2840" s="10"/>
      <c r="I2840" s="1" t="str">
        <f t="shared" si="132"/>
        <v/>
      </c>
      <c r="J2840" s="1" t="s">
        <v>35</v>
      </c>
      <c r="K2840" s="1" t="str">
        <f t="shared" si="133"/>
        <v/>
      </c>
      <c r="L2840" s="1" t="str">
        <f t="shared" si="134"/>
        <v/>
      </c>
      <c r="M2840" s="1">
        <f>IF(OR(Table1[[#This Row],[Std Nom]]="",Table1[[#This Row],[Std Read]]=""),0,Table1[[#This Row],[Std Nom]]-Table1[[#This Row],[Std Read]])</f>
        <v>0</v>
      </c>
      <c r="N2840" s="1">
        <f>IF(Calculations!$F$5="ACCREDITED 17025 WITH UNCERTAINTIES",$N$10,0)</f>
        <v>0</v>
      </c>
      <c r="O2840" s="1" t="str">
        <f>IFERROR(Table1[[#This Row],[Std Nom]]-(_xlfn.XLOOKUP(Table1[[#This Row],[Manufacturer]]&amp;" "&amp;Table1[[#This Row],[Model]],Table13[MFR &amp; MDL],Table13[Tolerance % CW ],"")/100*Table1[[#This Row],[Std Nom]]),"")</f>
        <v/>
      </c>
      <c r="P2840" s="1" t="str">
        <f>IFERROR(Table1[[#This Row],[Std Nom]]+(_xlfn.XLOOKUP(Table1[[#This Row],[Manufacturer]]&amp;" "&amp;Table1[[#This Row],[Model]],Table13[MFR &amp; MDL],Table13[Tolerance % CW ],"")/100*Table1[[#This Row],[Std Nom]]),"")</f>
        <v/>
      </c>
      <c r="Q2840" s="1" t="e">
        <f>Table1[[#This Row],[High Tol]]-Table1[[#This Row],[Low Tol]]</f>
        <v>#VALUE!</v>
      </c>
      <c r="R2840" s="1">
        <f>2*Table1[[#This Row],[Std Error]]</f>
        <v>0</v>
      </c>
      <c r="S2840" s="1" t="str">
        <f>IF(Table1[[#This Row],[High Tol]]="","N/A",IFERROR(ABS(Table1[[#This Row],[Tol Span]]/Table1[[#This Row],[Error Span]]),"N/A"))</f>
        <v>N/A</v>
      </c>
      <c r="T2840" s="1" t="str">
        <f>IF(OR(Table1[[#This Row],[Low Tol]]="",Table1[[#This Row],[High Tol]]=""),"Needs Analysis",IF(Table1[[#This Row],[Ratio]]&gt;=4,"Not Significant",IF(Table1[[#This Row],[Ratio]]&gt;=2,"Semi-Significant","Significant")))</f>
        <v>Needs Analysis</v>
      </c>
      <c r="W2840" s="1">
        <f>IF(Table1[[#This Row],[Cal Type]]&lt;&gt;"ACCREDITED 17025 WITH UNCERTAINTIES",0,"")</f>
        <v>0</v>
      </c>
      <c r="X2840" s="1" t="str">
        <f>IF(Table1[[#This Row],[DUT Read]]="","N/A",Table1[[#This Row],[Std Error]]+Table1[[#This Row],[DUT Read]]+Table1[[#This Row],[DUT Ucty]])</f>
        <v>N/A</v>
      </c>
      <c r="Y2840" s="1" t="str">
        <f>IF(Table1[[#This Row],[Std Read]]="","N/A",Table1[[#This Row],[Std Read]]+Table1[[#This Row],[Std Ucty]])</f>
        <v>N/A</v>
      </c>
      <c r="Z28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0" s="1" t="str">
        <f>IF(Table1[[#This Row],[Spec Type]]="","N/A",Table1[[#This Row],[Spec Type]])</f>
        <v>±</v>
      </c>
      <c r="AC2840" s="1" t="str">
        <f>IF(Table1[[#This Row],[Spec Type2]]="N/A","N/A",IF(AND(Table1[[#This Row],[DUT Adj Read]]&gt;=Table1[[#This Row],[Low Tol]],Table1[[#This Row],[DUT Adj Read]]&lt;=Table1[[#This Row],[High Tol]]),"Pass","Fail"))</f>
        <v>Fail</v>
      </c>
      <c r="AD2840" s="1" t="str">
        <f>IF(AND(Table1[[#This Row],[Spec Type2]]="N/A",Table1[[#This Row],[DUT Adj Read]]="N/A",Table1[[#This Row],[Std Adj Read]]="N/A"),"N/A",IF(Table1[[#This Row],[DUT Adj Read]]="N/A",IF(Table1[[#This Row],[Std Adj Read]]&gt;Table1[[#This Row],[Low Tol]],"Pass","Fail"),IF(Table1[[#This Row],[DUT Adj Read]]&gt;Table1[[#This Row],[Low Tol]],"Pass","Fail")))</f>
        <v>Pass</v>
      </c>
      <c r="AE2840" s="1" t="str">
        <f>IF(AND(Table1[[#This Row],[Spec Type2]]="N/A",Table1[[#This Row],[DUT Adj Read]]="N/A",Table1[[#This Row],[Std Adj Read]]="N/A"),"N/A",IF(Table1[[#This Row],[DUT Adj Read]]="N/A",IF(Table1[[#This Row],[Std Adj Read]]&lt;Table1[[#This Row],[High Tol]],"Pass","Fail"),IF(Table1[[#This Row],[DUT Adj Read]]&lt;Table1[[#This Row],[High Tol]],"Pass","Fail")))</f>
        <v>Fail</v>
      </c>
      <c r="AF2840" s="1" t="str">
        <f>IF(AND(Table1[[#This Row],[Spec Type2]]="N/A",Table1[[#This Row],[DUT Adj Read]]="N/A",Table1[[#This Row],[Std Adj Read]]="N/A"),"N/A",IF(Table1[[#This Row],[DUT Adj Read]]="N/A",IF(Table1[[#This Row],[Std Adj Read]]&gt;=Table1[[#This Row],[Low Tol]],"Pass","Fail"),IF(Table1[[#This Row],[DUT Adj Read]]&gt;=Table1[[#This Row],[Low Tol]],"Pass","Fail")))</f>
        <v>Pass</v>
      </c>
      <c r="AG2840" s="1" t="str">
        <f>IF(AND(Table1[[#This Row],[Spec Type2]]="N/A",Table1[[#This Row],[DUT Adj Read]]="N/A",Table1[[#This Row],[Std Adj Read]]="N/A"),"N/A",IF(Table1[[#This Row],[DUT Adj Read]]="N/A",IF(Table1[[#This Row],[Std Adj Read]]&lt;=Table1[[#This Row],[High Tol]],"Pass","Fail"),IF(Table1[[#This Row],[DUT Adj Read]]&lt;=Table1[[#This Row],[High Tol]],"Pass","Fail")))</f>
        <v>Fail</v>
      </c>
      <c r="AH28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0" s="1" t="b">
        <v>0</v>
      </c>
      <c r="AN2840" s="1" t="b">
        <v>0</v>
      </c>
      <c r="AO2840" s="1" t="b">
        <v>0</v>
      </c>
    </row>
    <row r="2841" spans="1:41" x14ac:dyDescent="0.25">
      <c r="A2841" s="10"/>
      <c r="B2841" s="10"/>
      <c r="C2841" s="10"/>
      <c r="D2841" s="10"/>
      <c r="E2841" s="10"/>
      <c r="F2841" s="10"/>
      <c r="G2841" s="10"/>
      <c r="H2841" s="10"/>
      <c r="I2841" s="1" t="str">
        <f t="shared" si="132"/>
        <v/>
      </c>
      <c r="J2841" s="1" t="s">
        <v>35</v>
      </c>
      <c r="K2841" s="1" t="str">
        <f t="shared" si="133"/>
        <v/>
      </c>
      <c r="L2841" s="1" t="str">
        <f t="shared" si="134"/>
        <v/>
      </c>
      <c r="M2841" s="1">
        <f>IF(OR(Table1[[#This Row],[Std Nom]]="",Table1[[#This Row],[Std Read]]=""),0,Table1[[#This Row],[Std Nom]]-Table1[[#This Row],[Std Read]])</f>
        <v>0</v>
      </c>
      <c r="N2841" s="1">
        <f>IF(Calculations!$F$5="ACCREDITED 17025 WITH UNCERTAINTIES",$N$10,0)</f>
        <v>0</v>
      </c>
      <c r="O2841" s="1" t="str">
        <f>IFERROR(Table1[[#This Row],[Std Nom]]-(_xlfn.XLOOKUP(Table1[[#This Row],[Manufacturer]]&amp;" "&amp;Table1[[#This Row],[Model]],Table13[MFR &amp; MDL],Table13[Tolerance % CW ],"")/100*Table1[[#This Row],[Std Nom]]),"")</f>
        <v/>
      </c>
      <c r="P2841" s="1" t="str">
        <f>IFERROR(Table1[[#This Row],[Std Nom]]+(_xlfn.XLOOKUP(Table1[[#This Row],[Manufacturer]]&amp;" "&amp;Table1[[#This Row],[Model]],Table13[MFR &amp; MDL],Table13[Tolerance % CW ],"")/100*Table1[[#This Row],[Std Nom]]),"")</f>
        <v/>
      </c>
      <c r="Q2841" s="1" t="e">
        <f>Table1[[#This Row],[High Tol]]-Table1[[#This Row],[Low Tol]]</f>
        <v>#VALUE!</v>
      </c>
      <c r="R2841" s="1">
        <f>2*Table1[[#This Row],[Std Error]]</f>
        <v>0</v>
      </c>
      <c r="S2841" s="1" t="str">
        <f>IF(Table1[[#This Row],[High Tol]]="","N/A",IFERROR(ABS(Table1[[#This Row],[Tol Span]]/Table1[[#This Row],[Error Span]]),"N/A"))</f>
        <v>N/A</v>
      </c>
      <c r="T2841" s="1" t="str">
        <f>IF(OR(Table1[[#This Row],[Low Tol]]="",Table1[[#This Row],[High Tol]]=""),"Needs Analysis",IF(Table1[[#This Row],[Ratio]]&gt;=4,"Not Significant",IF(Table1[[#This Row],[Ratio]]&gt;=2,"Semi-Significant","Significant")))</f>
        <v>Needs Analysis</v>
      </c>
      <c r="W2841" s="1">
        <f>IF(Table1[[#This Row],[Cal Type]]&lt;&gt;"ACCREDITED 17025 WITH UNCERTAINTIES",0,"")</f>
        <v>0</v>
      </c>
      <c r="X2841" s="1" t="str">
        <f>IF(Table1[[#This Row],[DUT Read]]="","N/A",Table1[[#This Row],[Std Error]]+Table1[[#This Row],[DUT Read]]+Table1[[#This Row],[DUT Ucty]])</f>
        <v>N/A</v>
      </c>
      <c r="Y2841" s="1" t="str">
        <f>IF(Table1[[#This Row],[Std Read]]="","N/A",Table1[[#This Row],[Std Read]]+Table1[[#This Row],[Std Ucty]])</f>
        <v>N/A</v>
      </c>
      <c r="Z28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1" s="1" t="str">
        <f>IF(Table1[[#This Row],[Spec Type]]="","N/A",Table1[[#This Row],[Spec Type]])</f>
        <v>±</v>
      </c>
      <c r="AC2841" s="1" t="str">
        <f>IF(Table1[[#This Row],[Spec Type2]]="N/A","N/A",IF(AND(Table1[[#This Row],[DUT Adj Read]]&gt;=Table1[[#This Row],[Low Tol]],Table1[[#This Row],[DUT Adj Read]]&lt;=Table1[[#This Row],[High Tol]]),"Pass","Fail"))</f>
        <v>Fail</v>
      </c>
      <c r="AD2841" s="1" t="str">
        <f>IF(AND(Table1[[#This Row],[Spec Type2]]="N/A",Table1[[#This Row],[DUT Adj Read]]="N/A",Table1[[#This Row],[Std Adj Read]]="N/A"),"N/A",IF(Table1[[#This Row],[DUT Adj Read]]="N/A",IF(Table1[[#This Row],[Std Adj Read]]&gt;Table1[[#This Row],[Low Tol]],"Pass","Fail"),IF(Table1[[#This Row],[DUT Adj Read]]&gt;Table1[[#This Row],[Low Tol]],"Pass","Fail")))</f>
        <v>Pass</v>
      </c>
      <c r="AE2841" s="1" t="str">
        <f>IF(AND(Table1[[#This Row],[Spec Type2]]="N/A",Table1[[#This Row],[DUT Adj Read]]="N/A",Table1[[#This Row],[Std Adj Read]]="N/A"),"N/A",IF(Table1[[#This Row],[DUT Adj Read]]="N/A",IF(Table1[[#This Row],[Std Adj Read]]&lt;Table1[[#This Row],[High Tol]],"Pass","Fail"),IF(Table1[[#This Row],[DUT Adj Read]]&lt;Table1[[#This Row],[High Tol]],"Pass","Fail")))</f>
        <v>Fail</v>
      </c>
      <c r="AF2841" s="1" t="str">
        <f>IF(AND(Table1[[#This Row],[Spec Type2]]="N/A",Table1[[#This Row],[DUT Adj Read]]="N/A",Table1[[#This Row],[Std Adj Read]]="N/A"),"N/A",IF(Table1[[#This Row],[DUT Adj Read]]="N/A",IF(Table1[[#This Row],[Std Adj Read]]&gt;=Table1[[#This Row],[Low Tol]],"Pass","Fail"),IF(Table1[[#This Row],[DUT Adj Read]]&gt;=Table1[[#This Row],[Low Tol]],"Pass","Fail")))</f>
        <v>Pass</v>
      </c>
      <c r="AG2841" s="1" t="str">
        <f>IF(AND(Table1[[#This Row],[Spec Type2]]="N/A",Table1[[#This Row],[DUT Adj Read]]="N/A",Table1[[#This Row],[Std Adj Read]]="N/A"),"N/A",IF(Table1[[#This Row],[DUT Adj Read]]="N/A",IF(Table1[[#This Row],[Std Adj Read]]&lt;=Table1[[#This Row],[High Tol]],"Pass","Fail"),IF(Table1[[#This Row],[DUT Adj Read]]&lt;=Table1[[#This Row],[High Tol]],"Pass","Fail")))</f>
        <v>Fail</v>
      </c>
      <c r="AH28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1" s="1" t="b">
        <v>0</v>
      </c>
      <c r="AN2841" s="1" t="b">
        <v>0</v>
      </c>
      <c r="AO2841" s="1" t="b">
        <v>0</v>
      </c>
    </row>
    <row r="2842" spans="1:41" x14ac:dyDescent="0.25">
      <c r="A2842" s="10"/>
      <c r="B2842" s="10"/>
      <c r="C2842" s="10"/>
      <c r="D2842" s="10"/>
      <c r="E2842" s="10"/>
      <c r="F2842" s="10"/>
      <c r="G2842" s="10"/>
      <c r="H2842" s="10"/>
      <c r="I2842" s="1" t="str">
        <f t="shared" si="132"/>
        <v/>
      </c>
      <c r="J2842" s="1" t="s">
        <v>35</v>
      </c>
      <c r="K2842" s="1" t="str">
        <f t="shared" si="133"/>
        <v/>
      </c>
      <c r="L2842" s="1" t="str">
        <f t="shared" si="134"/>
        <v/>
      </c>
      <c r="M2842" s="1">
        <f>IF(OR(Table1[[#This Row],[Std Nom]]="",Table1[[#This Row],[Std Read]]=""),0,Table1[[#This Row],[Std Nom]]-Table1[[#This Row],[Std Read]])</f>
        <v>0</v>
      </c>
      <c r="N2842" s="1">
        <f>IF(Calculations!$F$5="ACCREDITED 17025 WITH UNCERTAINTIES",$N$10,0)</f>
        <v>0</v>
      </c>
      <c r="O2842" s="1" t="str">
        <f>IFERROR(Table1[[#This Row],[Std Nom]]-(_xlfn.XLOOKUP(Table1[[#This Row],[Manufacturer]]&amp;" "&amp;Table1[[#This Row],[Model]],Table13[MFR &amp; MDL],Table13[Tolerance % CW ],"")/100*Table1[[#This Row],[Std Nom]]),"")</f>
        <v/>
      </c>
      <c r="P2842" s="1" t="str">
        <f>IFERROR(Table1[[#This Row],[Std Nom]]+(_xlfn.XLOOKUP(Table1[[#This Row],[Manufacturer]]&amp;" "&amp;Table1[[#This Row],[Model]],Table13[MFR &amp; MDL],Table13[Tolerance % CW ],"")/100*Table1[[#This Row],[Std Nom]]),"")</f>
        <v/>
      </c>
      <c r="Q2842" s="1" t="e">
        <f>Table1[[#This Row],[High Tol]]-Table1[[#This Row],[Low Tol]]</f>
        <v>#VALUE!</v>
      </c>
      <c r="R2842" s="1">
        <f>2*Table1[[#This Row],[Std Error]]</f>
        <v>0</v>
      </c>
      <c r="S2842" s="1" t="str">
        <f>IF(Table1[[#This Row],[High Tol]]="","N/A",IFERROR(ABS(Table1[[#This Row],[Tol Span]]/Table1[[#This Row],[Error Span]]),"N/A"))</f>
        <v>N/A</v>
      </c>
      <c r="T2842" s="1" t="str">
        <f>IF(OR(Table1[[#This Row],[Low Tol]]="",Table1[[#This Row],[High Tol]]=""),"Needs Analysis",IF(Table1[[#This Row],[Ratio]]&gt;=4,"Not Significant",IF(Table1[[#This Row],[Ratio]]&gt;=2,"Semi-Significant","Significant")))</f>
        <v>Needs Analysis</v>
      </c>
      <c r="W2842" s="1">
        <f>IF(Table1[[#This Row],[Cal Type]]&lt;&gt;"ACCREDITED 17025 WITH UNCERTAINTIES",0,"")</f>
        <v>0</v>
      </c>
      <c r="X2842" s="1" t="str">
        <f>IF(Table1[[#This Row],[DUT Read]]="","N/A",Table1[[#This Row],[Std Error]]+Table1[[#This Row],[DUT Read]]+Table1[[#This Row],[DUT Ucty]])</f>
        <v>N/A</v>
      </c>
      <c r="Y2842" s="1" t="str">
        <f>IF(Table1[[#This Row],[Std Read]]="","N/A",Table1[[#This Row],[Std Read]]+Table1[[#This Row],[Std Ucty]])</f>
        <v>N/A</v>
      </c>
      <c r="Z28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2" s="1" t="str">
        <f>IF(Table1[[#This Row],[Spec Type]]="","N/A",Table1[[#This Row],[Spec Type]])</f>
        <v>±</v>
      </c>
      <c r="AC2842" s="1" t="str">
        <f>IF(Table1[[#This Row],[Spec Type2]]="N/A","N/A",IF(AND(Table1[[#This Row],[DUT Adj Read]]&gt;=Table1[[#This Row],[Low Tol]],Table1[[#This Row],[DUT Adj Read]]&lt;=Table1[[#This Row],[High Tol]]),"Pass","Fail"))</f>
        <v>Fail</v>
      </c>
      <c r="AD2842" s="1" t="str">
        <f>IF(AND(Table1[[#This Row],[Spec Type2]]="N/A",Table1[[#This Row],[DUT Adj Read]]="N/A",Table1[[#This Row],[Std Adj Read]]="N/A"),"N/A",IF(Table1[[#This Row],[DUT Adj Read]]="N/A",IF(Table1[[#This Row],[Std Adj Read]]&gt;Table1[[#This Row],[Low Tol]],"Pass","Fail"),IF(Table1[[#This Row],[DUT Adj Read]]&gt;Table1[[#This Row],[Low Tol]],"Pass","Fail")))</f>
        <v>Pass</v>
      </c>
      <c r="AE2842" s="1" t="str">
        <f>IF(AND(Table1[[#This Row],[Spec Type2]]="N/A",Table1[[#This Row],[DUT Adj Read]]="N/A",Table1[[#This Row],[Std Adj Read]]="N/A"),"N/A",IF(Table1[[#This Row],[DUT Adj Read]]="N/A",IF(Table1[[#This Row],[Std Adj Read]]&lt;Table1[[#This Row],[High Tol]],"Pass","Fail"),IF(Table1[[#This Row],[DUT Adj Read]]&lt;Table1[[#This Row],[High Tol]],"Pass","Fail")))</f>
        <v>Fail</v>
      </c>
      <c r="AF2842" s="1" t="str">
        <f>IF(AND(Table1[[#This Row],[Spec Type2]]="N/A",Table1[[#This Row],[DUT Adj Read]]="N/A",Table1[[#This Row],[Std Adj Read]]="N/A"),"N/A",IF(Table1[[#This Row],[DUT Adj Read]]="N/A",IF(Table1[[#This Row],[Std Adj Read]]&gt;=Table1[[#This Row],[Low Tol]],"Pass","Fail"),IF(Table1[[#This Row],[DUT Adj Read]]&gt;=Table1[[#This Row],[Low Tol]],"Pass","Fail")))</f>
        <v>Pass</v>
      </c>
      <c r="AG2842" s="1" t="str">
        <f>IF(AND(Table1[[#This Row],[Spec Type2]]="N/A",Table1[[#This Row],[DUT Adj Read]]="N/A",Table1[[#This Row],[Std Adj Read]]="N/A"),"N/A",IF(Table1[[#This Row],[DUT Adj Read]]="N/A",IF(Table1[[#This Row],[Std Adj Read]]&lt;=Table1[[#This Row],[High Tol]],"Pass","Fail"),IF(Table1[[#This Row],[DUT Adj Read]]&lt;=Table1[[#This Row],[High Tol]],"Pass","Fail")))</f>
        <v>Fail</v>
      </c>
      <c r="AH28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2" s="1" t="b">
        <v>0</v>
      </c>
      <c r="AN2842" s="1" t="b">
        <v>0</v>
      </c>
      <c r="AO2842" s="1" t="b">
        <v>0</v>
      </c>
    </row>
    <row r="2843" spans="1:41" x14ac:dyDescent="0.25">
      <c r="A2843" s="10"/>
      <c r="B2843" s="10"/>
      <c r="C2843" s="10"/>
      <c r="D2843" s="10"/>
      <c r="E2843" s="10"/>
      <c r="F2843" s="10"/>
      <c r="G2843" s="10"/>
      <c r="H2843" s="10"/>
      <c r="I2843" s="1" t="str">
        <f t="shared" si="132"/>
        <v/>
      </c>
      <c r="J2843" s="1" t="s">
        <v>35</v>
      </c>
      <c r="K2843" s="1" t="str">
        <f t="shared" si="133"/>
        <v/>
      </c>
      <c r="L2843" s="1" t="str">
        <f t="shared" si="134"/>
        <v/>
      </c>
      <c r="M2843" s="1">
        <f>IF(OR(Table1[[#This Row],[Std Nom]]="",Table1[[#This Row],[Std Read]]=""),0,Table1[[#This Row],[Std Nom]]-Table1[[#This Row],[Std Read]])</f>
        <v>0</v>
      </c>
      <c r="N2843" s="1">
        <f>IF(Calculations!$F$5="ACCREDITED 17025 WITH UNCERTAINTIES",$N$10,0)</f>
        <v>0</v>
      </c>
      <c r="O2843" s="1" t="str">
        <f>IFERROR(Table1[[#This Row],[Std Nom]]-(_xlfn.XLOOKUP(Table1[[#This Row],[Manufacturer]]&amp;" "&amp;Table1[[#This Row],[Model]],Table13[MFR &amp; MDL],Table13[Tolerance % CW ],"")/100*Table1[[#This Row],[Std Nom]]),"")</f>
        <v/>
      </c>
      <c r="P2843" s="1" t="str">
        <f>IFERROR(Table1[[#This Row],[Std Nom]]+(_xlfn.XLOOKUP(Table1[[#This Row],[Manufacturer]]&amp;" "&amp;Table1[[#This Row],[Model]],Table13[MFR &amp; MDL],Table13[Tolerance % CW ],"")/100*Table1[[#This Row],[Std Nom]]),"")</f>
        <v/>
      </c>
      <c r="Q2843" s="1" t="e">
        <f>Table1[[#This Row],[High Tol]]-Table1[[#This Row],[Low Tol]]</f>
        <v>#VALUE!</v>
      </c>
      <c r="R2843" s="1">
        <f>2*Table1[[#This Row],[Std Error]]</f>
        <v>0</v>
      </c>
      <c r="S2843" s="1" t="str">
        <f>IF(Table1[[#This Row],[High Tol]]="","N/A",IFERROR(ABS(Table1[[#This Row],[Tol Span]]/Table1[[#This Row],[Error Span]]),"N/A"))</f>
        <v>N/A</v>
      </c>
      <c r="T2843" s="1" t="str">
        <f>IF(OR(Table1[[#This Row],[Low Tol]]="",Table1[[#This Row],[High Tol]]=""),"Needs Analysis",IF(Table1[[#This Row],[Ratio]]&gt;=4,"Not Significant",IF(Table1[[#This Row],[Ratio]]&gt;=2,"Semi-Significant","Significant")))</f>
        <v>Needs Analysis</v>
      </c>
      <c r="W2843" s="1">
        <f>IF(Table1[[#This Row],[Cal Type]]&lt;&gt;"ACCREDITED 17025 WITH UNCERTAINTIES",0,"")</f>
        <v>0</v>
      </c>
      <c r="X2843" s="1" t="str">
        <f>IF(Table1[[#This Row],[DUT Read]]="","N/A",Table1[[#This Row],[Std Error]]+Table1[[#This Row],[DUT Read]]+Table1[[#This Row],[DUT Ucty]])</f>
        <v>N/A</v>
      </c>
      <c r="Y2843" s="1" t="str">
        <f>IF(Table1[[#This Row],[Std Read]]="","N/A",Table1[[#This Row],[Std Read]]+Table1[[#This Row],[Std Ucty]])</f>
        <v>N/A</v>
      </c>
      <c r="Z28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3" s="1" t="str">
        <f>IF(Table1[[#This Row],[Spec Type]]="","N/A",Table1[[#This Row],[Spec Type]])</f>
        <v>±</v>
      </c>
      <c r="AC2843" s="1" t="str">
        <f>IF(Table1[[#This Row],[Spec Type2]]="N/A","N/A",IF(AND(Table1[[#This Row],[DUT Adj Read]]&gt;=Table1[[#This Row],[Low Tol]],Table1[[#This Row],[DUT Adj Read]]&lt;=Table1[[#This Row],[High Tol]]),"Pass","Fail"))</f>
        <v>Fail</v>
      </c>
      <c r="AD2843" s="1" t="str">
        <f>IF(AND(Table1[[#This Row],[Spec Type2]]="N/A",Table1[[#This Row],[DUT Adj Read]]="N/A",Table1[[#This Row],[Std Adj Read]]="N/A"),"N/A",IF(Table1[[#This Row],[DUT Adj Read]]="N/A",IF(Table1[[#This Row],[Std Adj Read]]&gt;Table1[[#This Row],[Low Tol]],"Pass","Fail"),IF(Table1[[#This Row],[DUT Adj Read]]&gt;Table1[[#This Row],[Low Tol]],"Pass","Fail")))</f>
        <v>Pass</v>
      </c>
      <c r="AE2843" s="1" t="str">
        <f>IF(AND(Table1[[#This Row],[Spec Type2]]="N/A",Table1[[#This Row],[DUT Adj Read]]="N/A",Table1[[#This Row],[Std Adj Read]]="N/A"),"N/A",IF(Table1[[#This Row],[DUT Adj Read]]="N/A",IF(Table1[[#This Row],[Std Adj Read]]&lt;Table1[[#This Row],[High Tol]],"Pass","Fail"),IF(Table1[[#This Row],[DUT Adj Read]]&lt;Table1[[#This Row],[High Tol]],"Pass","Fail")))</f>
        <v>Fail</v>
      </c>
      <c r="AF2843" s="1" t="str">
        <f>IF(AND(Table1[[#This Row],[Spec Type2]]="N/A",Table1[[#This Row],[DUT Adj Read]]="N/A",Table1[[#This Row],[Std Adj Read]]="N/A"),"N/A",IF(Table1[[#This Row],[DUT Adj Read]]="N/A",IF(Table1[[#This Row],[Std Adj Read]]&gt;=Table1[[#This Row],[Low Tol]],"Pass","Fail"),IF(Table1[[#This Row],[DUT Adj Read]]&gt;=Table1[[#This Row],[Low Tol]],"Pass","Fail")))</f>
        <v>Pass</v>
      </c>
      <c r="AG2843" s="1" t="str">
        <f>IF(AND(Table1[[#This Row],[Spec Type2]]="N/A",Table1[[#This Row],[DUT Adj Read]]="N/A",Table1[[#This Row],[Std Adj Read]]="N/A"),"N/A",IF(Table1[[#This Row],[DUT Adj Read]]="N/A",IF(Table1[[#This Row],[Std Adj Read]]&lt;=Table1[[#This Row],[High Tol]],"Pass","Fail"),IF(Table1[[#This Row],[DUT Adj Read]]&lt;=Table1[[#This Row],[High Tol]],"Pass","Fail")))</f>
        <v>Fail</v>
      </c>
      <c r="AH28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3" s="1" t="b">
        <v>0</v>
      </c>
      <c r="AN2843" s="1" t="b">
        <v>0</v>
      </c>
      <c r="AO2843" s="1" t="b">
        <v>0</v>
      </c>
    </row>
    <row r="2844" spans="1:41" x14ac:dyDescent="0.25">
      <c r="A2844" s="10"/>
      <c r="B2844" s="10"/>
      <c r="C2844" s="10"/>
      <c r="D2844" s="10"/>
      <c r="E2844" s="10"/>
      <c r="F2844" s="10"/>
      <c r="G2844" s="10"/>
      <c r="H2844" s="10"/>
      <c r="I2844" s="1" t="str">
        <f t="shared" si="132"/>
        <v/>
      </c>
      <c r="J2844" s="1" t="s">
        <v>35</v>
      </c>
      <c r="K2844" s="1" t="str">
        <f t="shared" si="133"/>
        <v/>
      </c>
      <c r="L2844" s="1" t="str">
        <f t="shared" si="134"/>
        <v/>
      </c>
      <c r="M2844" s="1">
        <f>IF(OR(Table1[[#This Row],[Std Nom]]="",Table1[[#This Row],[Std Read]]=""),0,Table1[[#This Row],[Std Nom]]-Table1[[#This Row],[Std Read]])</f>
        <v>0</v>
      </c>
      <c r="N2844" s="1">
        <f>IF(Calculations!$F$5="ACCREDITED 17025 WITH UNCERTAINTIES",$N$10,0)</f>
        <v>0</v>
      </c>
      <c r="O2844" s="1" t="str">
        <f>IFERROR(Table1[[#This Row],[Std Nom]]-(_xlfn.XLOOKUP(Table1[[#This Row],[Manufacturer]]&amp;" "&amp;Table1[[#This Row],[Model]],Table13[MFR &amp; MDL],Table13[Tolerance % CW ],"")/100*Table1[[#This Row],[Std Nom]]),"")</f>
        <v/>
      </c>
      <c r="P2844" s="1" t="str">
        <f>IFERROR(Table1[[#This Row],[Std Nom]]+(_xlfn.XLOOKUP(Table1[[#This Row],[Manufacturer]]&amp;" "&amp;Table1[[#This Row],[Model]],Table13[MFR &amp; MDL],Table13[Tolerance % CW ],"")/100*Table1[[#This Row],[Std Nom]]),"")</f>
        <v/>
      </c>
      <c r="Q2844" s="1" t="e">
        <f>Table1[[#This Row],[High Tol]]-Table1[[#This Row],[Low Tol]]</f>
        <v>#VALUE!</v>
      </c>
      <c r="R2844" s="1">
        <f>2*Table1[[#This Row],[Std Error]]</f>
        <v>0</v>
      </c>
      <c r="S2844" s="1" t="str">
        <f>IF(Table1[[#This Row],[High Tol]]="","N/A",IFERROR(ABS(Table1[[#This Row],[Tol Span]]/Table1[[#This Row],[Error Span]]),"N/A"))</f>
        <v>N/A</v>
      </c>
      <c r="T2844" s="1" t="str">
        <f>IF(OR(Table1[[#This Row],[Low Tol]]="",Table1[[#This Row],[High Tol]]=""),"Needs Analysis",IF(Table1[[#This Row],[Ratio]]&gt;=4,"Not Significant",IF(Table1[[#This Row],[Ratio]]&gt;=2,"Semi-Significant","Significant")))</f>
        <v>Needs Analysis</v>
      </c>
      <c r="W2844" s="1">
        <f>IF(Table1[[#This Row],[Cal Type]]&lt;&gt;"ACCREDITED 17025 WITH UNCERTAINTIES",0,"")</f>
        <v>0</v>
      </c>
      <c r="X2844" s="1" t="str">
        <f>IF(Table1[[#This Row],[DUT Read]]="","N/A",Table1[[#This Row],[Std Error]]+Table1[[#This Row],[DUT Read]]+Table1[[#This Row],[DUT Ucty]])</f>
        <v>N/A</v>
      </c>
      <c r="Y2844" s="1" t="str">
        <f>IF(Table1[[#This Row],[Std Read]]="","N/A",Table1[[#This Row],[Std Read]]+Table1[[#This Row],[Std Ucty]])</f>
        <v>N/A</v>
      </c>
      <c r="Z28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4" s="1" t="str">
        <f>IF(Table1[[#This Row],[Spec Type]]="","N/A",Table1[[#This Row],[Spec Type]])</f>
        <v>±</v>
      </c>
      <c r="AC2844" s="1" t="str">
        <f>IF(Table1[[#This Row],[Spec Type2]]="N/A","N/A",IF(AND(Table1[[#This Row],[DUT Adj Read]]&gt;=Table1[[#This Row],[Low Tol]],Table1[[#This Row],[DUT Adj Read]]&lt;=Table1[[#This Row],[High Tol]]),"Pass","Fail"))</f>
        <v>Fail</v>
      </c>
      <c r="AD2844" s="1" t="str">
        <f>IF(AND(Table1[[#This Row],[Spec Type2]]="N/A",Table1[[#This Row],[DUT Adj Read]]="N/A",Table1[[#This Row],[Std Adj Read]]="N/A"),"N/A",IF(Table1[[#This Row],[DUT Adj Read]]="N/A",IF(Table1[[#This Row],[Std Adj Read]]&gt;Table1[[#This Row],[Low Tol]],"Pass","Fail"),IF(Table1[[#This Row],[DUT Adj Read]]&gt;Table1[[#This Row],[Low Tol]],"Pass","Fail")))</f>
        <v>Pass</v>
      </c>
      <c r="AE2844" s="1" t="str">
        <f>IF(AND(Table1[[#This Row],[Spec Type2]]="N/A",Table1[[#This Row],[DUT Adj Read]]="N/A",Table1[[#This Row],[Std Adj Read]]="N/A"),"N/A",IF(Table1[[#This Row],[DUT Adj Read]]="N/A",IF(Table1[[#This Row],[Std Adj Read]]&lt;Table1[[#This Row],[High Tol]],"Pass","Fail"),IF(Table1[[#This Row],[DUT Adj Read]]&lt;Table1[[#This Row],[High Tol]],"Pass","Fail")))</f>
        <v>Fail</v>
      </c>
      <c r="AF2844" s="1" t="str">
        <f>IF(AND(Table1[[#This Row],[Spec Type2]]="N/A",Table1[[#This Row],[DUT Adj Read]]="N/A",Table1[[#This Row],[Std Adj Read]]="N/A"),"N/A",IF(Table1[[#This Row],[DUT Adj Read]]="N/A",IF(Table1[[#This Row],[Std Adj Read]]&gt;=Table1[[#This Row],[Low Tol]],"Pass","Fail"),IF(Table1[[#This Row],[DUT Adj Read]]&gt;=Table1[[#This Row],[Low Tol]],"Pass","Fail")))</f>
        <v>Pass</v>
      </c>
      <c r="AG2844" s="1" t="str">
        <f>IF(AND(Table1[[#This Row],[Spec Type2]]="N/A",Table1[[#This Row],[DUT Adj Read]]="N/A",Table1[[#This Row],[Std Adj Read]]="N/A"),"N/A",IF(Table1[[#This Row],[DUT Adj Read]]="N/A",IF(Table1[[#This Row],[Std Adj Read]]&lt;=Table1[[#This Row],[High Tol]],"Pass","Fail"),IF(Table1[[#This Row],[DUT Adj Read]]&lt;=Table1[[#This Row],[High Tol]],"Pass","Fail")))</f>
        <v>Fail</v>
      </c>
      <c r="AH28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4" s="1" t="b">
        <v>0</v>
      </c>
      <c r="AN2844" s="1" t="b">
        <v>0</v>
      </c>
      <c r="AO2844" s="1" t="b">
        <v>0</v>
      </c>
    </row>
    <row r="2845" spans="1:41" x14ac:dyDescent="0.25">
      <c r="A2845" s="10"/>
      <c r="B2845" s="10"/>
      <c r="C2845" s="10"/>
      <c r="D2845" s="10"/>
      <c r="E2845" s="10"/>
      <c r="F2845" s="10"/>
      <c r="G2845" s="10"/>
      <c r="H2845" s="10"/>
      <c r="I2845" s="1" t="str">
        <f t="shared" si="132"/>
        <v/>
      </c>
      <c r="J2845" s="1" t="s">
        <v>35</v>
      </c>
      <c r="K2845" s="1" t="str">
        <f t="shared" si="133"/>
        <v/>
      </c>
      <c r="L2845" s="1" t="str">
        <f t="shared" si="134"/>
        <v/>
      </c>
      <c r="M2845" s="1">
        <f>IF(OR(Table1[[#This Row],[Std Nom]]="",Table1[[#This Row],[Std Read]]=""),0,Table1[[#This Row],[Std Nom]]-Table1[[#This Row],[Std Read]])</f>
        <v>0</v>
      </c>
      <c r="N2845" s="1">
        <f>IF(Calculations!$F$5="ACCREDITED 17025 WITH UNCERTAINTIES",$N$10,0)</f>
        <v>0</v>
      </c>
      <c r="O2845" s="1" t="str">
        <f>IFERROR(Table1[[#This Row],[Std Nom]]-(_xlfn.XLOOKUP(Table1[[#This Row],[Manufacturer]]&amp;" "&amp;Table1[[#This Row],[Model]],Table13[MFR &amp; MDL],Table13[Tolerance % CW ],"")/100*Table1[[#This Row],[Std Nom]]),"")</f>
        <v/>
      </c>
      <c r="P2845" s="1" t="str">
        <f>IFERROR(Table1[[#This Row],[Std Nom]]+(_xlfn.XLOOKUP(Table1[[#This Row],[Manufacturer]]&amp;" "&amp;Table1[[#This Row],[Model]],Table13[MFR &amp; MDL],Table13[Tolerance % CW ],"")/100*Table1[[#This Row],[Std Nom]]),"")</f>
        <v/>
      </c>
      <c r="Q2845" s="1" t="e">
        <f>Table1[[#This Row],[High Tol]]-Table1[[#This Row],[Low Tol]]</f>
        <v>#VALUE!</v>
      </c>
      <c r="R2845" s="1">
        <f>2*Table1[[#This Row],[Std Error]]</f>
        <v>0</v>
      </c>
      <c r="S2845" s="1" t="str">
        <f>IF(Table1[[#This Row],[High Tol]]="","N/A",IFERROR(ABS(Table1[[#This Row],[Tol Span]]/Table1[[#This Row],[Error Span]]),"N/A"))</f>
        <v>N/A</v>
      </c>
      <c r="T2845" s="1" t="str">
        <f>IF(OR(Table1[[#This Row],[Low Tol]]="",Table1[[#This Row],[High Tol]]=""),"Needs Analysis",IF(Table1[[#This Row],[Ratio]]&gt;=4,"Not Significant",IF(Table1[[#This Row],[Ratio]]&gt;=2,"Semi-Significant","Significant")))</f>
        <v>Needs Analysis</v>
      </c>
      <c r="W2845" s="1">
        <f>IF(Table1[[#This Row],[Cal Type]]&lt;&gt;"ACCREDITED 17025 WITH UNCERTAINTIES",0,"")</f>
        <v>0</v>
      </c>
      <c r="X2845" s="1" t="str">
        <f>IF(Table1[[#This Row],[DUT Read]]="","N/A",Table1[[#This Row],[Std Error]]+Table1[[#This Row],[DUT Read]]+Table1[[#This Row],[DUT Ucty]])</f>
        <v>N/A</v>
      </c>
      <c r="Y2845" s="1" t="str">
        <f>IF(Table1[[#This Row],[Std Read]]="","N/A",Table1[[#This Row],[Std Read]]+Table1[[#This Row],[Std Ucty]])</f>
        <v>N/A</v>
      </c>
      <c r="Z28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5" s="1" t="str">
        <f>IF(Table1[[#This Row],[Spec Type]]="","N/A",Table1[[#This Row],[Spec Type]])</f>
        <v>±</v>
      </c>
      <c r="AC2845" s="1" t="str">
        <f>IF(Table1[[#This Row],[Spec Type2]]="N/A","N/A",IF(AND(Table1[[#This Row],[DUT Adj Read]]&gt;=Table1[[#This Row],[Low Tol]],Table1[[#This Row],[DUT Adj Read]]&lt;=Table1[[#This Row],[High Tol]]),"Pass","Fail"))</f>
        <v>Fail</v>
      </c>
      <c r="AD2845" s="1" t="str">
        <f>IF(AND(Table1[[#This Row],[Spec Type2]]="N/A",Table1[[#This Row],[DUT Adj Read]]="N/A",Table1[[#This Row],[Std Adj Read]]="N/A"),"N/A",IF(Table1[[#This Row],[DUT Adj Read]]="N/A",IF(Table1[[#This Row],[Std Adj Read]]&gt;Table1[[#This Row],[Low Tol]],"Pass","Fail"),IF(Table1[[#This Row],[DUT Adj Read]]&gt;Table1[[#This Row],[Low Tol]],"Pass","Fail")))</f>
        <v>Pass</v>
      </c>
      <c r="AE2845" s="1" t="str">
        <f>IF(AND(Table1[[#This Row],[Spec Type2]]="N/A",Table1[[#This Row],[DUT Adj Read]]="N/A",Table1[[#This Row],[Std Adj Read]]="N/A"),"N/A",IF(Table1[[#This Row],[DUT Adj Read]]="N/A",IF(Table1[[#This Row],[Std Adj Read]]&lt;Table1[[#This Row],[High Tol]],"Pass","Fail"),IF(Table1[[#This Row],[DUT Adj Read]]&lt;Table1[[#This Row],[High Tol]],"Pass","Fail")))</f>
        <v>Fail</v>
      </c>
      <c r="AF2845" s="1" t="str">
        <f>IF(AND(Table1[[#This Row],[Spec Type2]]="N/A",Table1[[#This Row],[DUT Adj Read]]="N/A",Table1[[#This Row],[Std Adj Read]]="N/A"),"N/A",IF(Table1[[#This Row],[DUT Adj Read]]="N/A",IF(Table1[[#This Row],[Std Adj Read]]&gt;=Table1[[#This Row],[Low Tol]],"Pass","Fail"),IF(Table1[[#This Row],[DUT Adj Read]]&gt;=Table1[[#This Row],[Low Tol]],"Pass","Fail")))</f>
        <v>Pass</v>
      </c>
      <c r="AG2845" s="1" t="str">
        <f>IF(AND(Table1[[#This Row],[Spec Type2]]="N/A",Table1[[#This Row],[DUT Adj Read]]="N/A",Table1[[#This Row],[Std Adj Read]]="N/A"),"N/A",IF(Table1[[#This Row],[DUT Adj Read]]="N/A",IF(Table1[[#This Row],[Std Adj Read]]&lt;=Table1[[#This Row],[High Tol]],"Pass","Fail"),IF(Table1[[#This Row],[DUT Adj Read]]&lt;=Table1[[#This Row],[High Tol]],"Pass","Fail")))</f>
        <v>Fail</v>
      </c>
      <c r="AH28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5" s="1" t="b">
        <v>0</v>
      </c>
      <c r="AN2845" s="1" t="b">
        <v>0</v>
      </c>
      <c r="AO2845" s="1" t="b">
        <v>0</v>
      </c>
    </row>
    <row r="2846" spans="1:41" x14ac:dyDescent="0.25">
      <c r="A2846" s="10"/>
      <c r="B2846" s="10"/>
      <c r="C2846" s="10"/>
      <c r="D2846" s="10"/>
      <c r="E2846" s="10"/>
      <c r="F2846" s="10"/>
      <c r="G2846" s="10"/>
      <c r="H2846" s="10"/>
      <c r="I2846" s="1" t="str">
        <f t="shared" si="132"/>
        <v/>
      </c>
      <c r="J2846" s="1" t="s">
        <v>35</v>
      </c>
      <c r="K2846" s="1" t="str">
        <f t="shared" si="133"/>
        <v/>
      </c>
      <c r="L2846" s="1" t="str">
        <f t="shared" si="134"/>
        <v/>
      </c>
      <c r="M2846" s="1">
        <f>IF(OR(Table1[[#This Row],[Std Nom]]="",Table1[[#This Row],[Std Read]]=""),0,Table1[[#This Row],[Std Nom]]-Table1[[#This Row],[Std Read]])</f>
        <v>0</v>
      </c>
      <c r="N2846" s="1">
        <f>IF(Calculations!$F$5="ACCREDITED 17025 WITH UNCERTAINTIES",$N$10,0)</f>
        <v>0</v>
      </c>
      <c r="O2846" s="1" t="str">
        <f>IFERROR(Table1[[#This Row],[Std Nom]]-(_xlfn.XLOOKUP(Table1[[#This Row],[Manufacturer]]&amp;" "&amp;Table1[[#This Row],[Model]],Table13[MFR &amp; MDL],Table13[Tolerance % CW ],"")/100*Table1[[#This Row],[Std Nom]]),"")</f>
        <v/>
      </c>
      <c r="P2846" s="1" t="str">
        <f>IFERROR(Table1[[#This Row],[Std Nom]]+(_xlfn.XLOOKUP(Table1[[#This Row],[Manufacturer]]&amp;" "&amp;Table1[[#This Row],[Model]],Table13[MFR &amp; MDL],Table13[Tolerance % CW ],"")/100*Table1[[#This Row],[Std Nom]]),"")</f>
        <v/>
      </c>
      <c r="Q2846" s="1" t="e">
        <f>Table1[[#This Row],[High Tol]]-Table1[[#This Row],[Low Tol]]</f>
        <v>#VALUE!</v>
      </c>
      <c r="R2846" s="1">
        <f>2*Table1[[#This Row],[Std Error]]</f>
        <v>0</v>
      </c>
      <c r="S2846" s="1" t="str">
        <f>IF(Table1[[#This Row],[High Tol]]="","N/A",IFERROR(ABS(Table1[[#This Row],[Tol Span]]/Table1[[#This Row],[Error Span]]),"N/A"))</f>
        <v>N/A</v>
      </c>
      <c r="T2846" s="1" t="str">
        <f>IF(OR(Table1[[#This Row],[Low Tol]]="",Table1[[#This Row],[High Tol]]=""),"Needs Analysis",IF(Table1[[#This Row],[Ratio]]&gt;=4,"Not Significant",IF(Table1[[#This Row],[Ratio]]&gt;=2,"Semi-Significant","Significant")))</f>
        <v>Needs Analysis</v>
      </c>
      <c r="W2846" s="1">
        <f>IF(Table1[[#This Row],[Cal Type]]&lt;&gt;"ACCREDITED 17025 WITH UNCERTAINTIES",0,"")</f>
        <v>0</v>
      </c>
      <c r="X2846" s="1" t="str">
        <f>IF(Table1[[#This Row],[DUT Read]]="","N/A",Table1[[#This Row],[Std Error]]+Table1[[#This Row],[DUT Read]]+Table1[[#This Row],[DUT Ucty]])</f>
        <v>N/A</v>
      </c>
      <c r="Y2846" s="1" t="str">
        <f>IF(Table1[[#This Row],[Std Read]]="","N/A",Table1[[#This Row],[Std Read]]+Table1[[#This Row],[Std Ucty]])</f>
        <v>N/A</v>
      </c>
      <c r="Z28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6" s="1" t="str">
        <f>IF(Table1[[#This Row],[Spec Type]]="","N/A",Table1[[#This Row],[Spec Type]])</f>
        <v>±</v>
      </c>
      <c r="AC2846" s="1" t="str">
        <f>IF(Table1[[#This Row],[Spec Type2]]="N/A","N/A",IF(AND(Table1[[#This Row],[DUT Adj Read]]&gt;=Table1[[#This Row],[Low Tol]],Table1[[#This Row],[DUT Adj Read]]&lt;=Table1[[#This Row],[High Tol]]),"Pass","Fail"))</f>
        <v>Fail</v>
      </c>
      <c r="AD2846" s="1" t="str">
        <f>IF(AND(Table1[[#This Row],[Spec Type2]]="N/A",Table1[[#This Row],[DUT Adj Read]]="N/A",Table1[[#This Row],[Std Adj Read]]="N/A"),"N/A",IF(Table1[[#This Row],[DUT Adj Read]]="N/A",IF(Table1[[#This Row],[Std Adj Read]]&gt;Table1[[#This Row],[Low Tol]],"Pass","Fail"),IF(Table1[[#This Row],[DUT Adj Read]]&gt;Table1[[#This Row],[Low Tol]],"Pass","Fail")))</f>
        <v>Pass</v>
      </c>
      <c r="AE2846" s="1" t="str">
        <f>IF(AND(Table1[[#This Row],[Spec Type2]]="N/A",Table1[[#This Row],[DUT Adj Read]]="N/A",Table1[[#This Row],[Std Adj Read]]="N/A"),"N/A",IF(Table1[[#This Row],[DUT Adj Read]]="N/A",IF(Table1[[#This Row],[Std Adj Read]]&lt;Table1[[#This Row],[High Tol]],"Pass","Fail"),IF(Table1[[#This Row],[DUT Adj Read]]&lt;Table1[[#This Row],[High Tol]],"Pass","Fail")))</f>
        <v>Fail</v>
      </c>
      <c r="AF2846" s="1" t="str">
        <f>IF(AND(Table1[[#This Row],[Spec Type2]]="N/A",Table1[[#This Row],[DUT Adj Read]]="N/A",Table1[[#This Row],[Std Adj Read]]="N/A"),"N/A",IF(Table1[[#This Row],[DUT Adj Read]]="N/A",IF(Table1[[#This Row],[Std Adj Read]]&gt;=Table1[[#This Row],[Low Tol]],"Pass","Fail"),IF(Table1[[#This Row],[DUT Adj Read]]&gt;=Table1[[#This Row],[Low Tol]],"Pass","Fail")))</f>
        <v>Pass</v>
      </c>
      <c r="AG2846" s="1" t="str">
        <f>IF(AND(Table1[[#This Row],[Spec Type2]]="N/A",Table1[[#This Row],[DUT Adj Read]]="N/A",Table1[[#This Row],[Std Adj Read]]="N/A"),"N/A",IF(Table1[[#This Row],[DUT Adj Read]]="N/A",IF(Table1[[#This Row],[Std Adj Read]]&lt;=Table1[[#This Row],[High Tol]],"Pass","Fail"),IF(Table1[[#This Row],[DUT Adj Read]]&lt;=Table1[[#This Row],[High Tol]],"Pass","Fail")))</f>
        <v>Fail</v>
      </c>
      <c r="AH28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6" s="1" t="b">
        <v>0</v>
      </c>
      <c r="AN2846" s="1" t="b">
        <v>0</v>
      </c>
      <c r="AO2846" s="1" t="b">
        <v>0</v>
      </c>
    </row>
    <row r="2847" spans="1:41" x14ac:dyDescent="0.25">
      <c r="A2847" s="10"/>
      <c r="B2847" s="10"/>
      <c r="C2847" s="10"/>
      <c r="D2847" s="10"/>
      <c r="E2847" s="10"/>
      <c r="F2847" s="10"/>
      <c r="G2847" s="10"/>
      <c r="H2847" s="10"/>
      <c r="I2847" s="1" t="str">
        <f t="shared" si="132"/>
        <v/>
      </c>
      <c r="J2847" s="1" t="s">
        <v>35</v>
      </c>
      <c r="K2847" s="1" t="str">
        <f t="shared" si="133"/>
        <v/>
      </c>
      <c r="L2847" s="1" t="str">
        <f t="shared" si="134"/>
        <v/>
      </c>
      <c r="M2847" s="1">
        <f>IF(OR(Table1[[#This Row],[Std Nom]]="",Table1[[#This Row],[Std Read]]=""),0,Table1[[#This Row],[Std Nom]]-Table1[[#This Row],[Std Read]])</f>
        <v>0</v>
      </c>
      <c r="N2847" s="1">
        <f>IF(Calculations!$F$5="ACCREDITED 17025 WITH UNCERTAINTIES",$N$10,0)</f>
        <v>0</v>
      </c>
      <c r="O2847" s="1" t="str">
        <f>IFERROR(Table1[[#This Row],[Std Nom]]-(_xlfn.XLOOKUP(Table1[[#This Row],[Manufacturer]]&amp;" "&amp;Table1[[#This Row],[Model]],Table13[MFR &amp; MDL],Table13[Tolerance % CW ],"")/100*Table1[[#This Row],[Std Nom]]),"")</f>
        <v/>
      </c>
      <c r="P2847" s="1" t="str">
        <f>IFERROR(Table1[[#This Row],[Std Nom]]+(_xlfn.XLOOKUP(Table1[[#This Row],[Manufacturer]]&amp;" "&amp;Table1[[#This Row],[Model]],Table13[MFR &amp; MDL],Table13[Tolerance % CW ],"")/100*Table1[[#This Row],[Std Nom]]),"")</f>
        <v/>
      </c>
      <c r="Q2847" s="1" t="e">
        <f>Table1[[#This Row],[High Tol]]-Table1[[#This Row],[Low Tol]]</f>
        <v>#VALUE!</v>
      </c>
      <c r="R2847" s="1">
        <f>2*Table1[[#This Row],[Std Error]]</f>
        <v>0</v>
      </c>
      <c r="S2847" s="1" t="str">
        <f>IF(Table1[[#This Row],[High Tol]]="","N/A",IFERROR(ABS(Table1[[#This Row],[Tol Span]]/Table1[[#This Row],[Error Span]]),"N/A"))</f>
        <v>N/A</v>
      </c>
      <c r="T2847" s="1" t="str">
        <f>IF(OR(Table1[[#This Row],[Low Tol]]="",Table1[[#This Row],[High Tol]]=""),"Needs Analysis",IF(Table1[[#This Row],[Ratio]]&gt;=4,"Not Significant",IF(Table1[[#This Row],[Ratio]]&gt;=2,"Semi-Significant","Significant")))</f>
        <v>Needs Analysis</v>
      </c>
      <c r="W2847" s="1">
        <f>IF(Table1[[#This Row],[Cal Type]]&lt;&gt;"ACCREDITED 17025 WITH UNCERTAINTIES",0,"")</f>
        <v>0</v>
      </c>
      <c r="X2847" s="1" t="str">
        <f>IF(Table1[[#This Row],[DUT Read]]="","N/A",Table1[[#This Row],[Std Error]]+Table1[[#This Row],[DUT Read]]+Table1[[#This Row],[DUT Ucty]])</f>
        <v>N/A</v>
      </c>
      <c r="Y2847" s="1" t="str">
        <f>IF(Table1[[#This Row],[Std Read]]="","N/A",Table1[[#This Row],[Std Read]]+Table1[[#This Row],[Std Ucty]])</f>
        <v>N/A</v>
      </c>
      <c r="Z28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7" s="1" t="str">
        <f>IF(Table1[[#This Row],[Spec Type]]="","N/A",Table1[[#This Row],[Spec Type]])</f>
        <v>±</v>
      </c>
      <c r="AC2847" s="1" t="str">
        <f>IF(Table1[[#This Row],[Spec Type2]]="N/A","N/A",IF(AND(Table1[[#This Row],[DUT Adj Read]]&gt;=Table1[[#This Row],[Low Tol]],Table1[[#This Row],[DUT Adj Read]]&lt;=Table1[[#This Row],[High Tol]]),"Pass","Fail"))</f>
        <v>Fail</v>
      </c>
      <c r="AD2847" s="1" t="str">
        <f>IF(AND(Table1[[#This Row],[Spec Type2]]="N/A",Table1[[#This Row],[DUT Adj Read]]="N/A",Table1[[#This Row],[Std Adj Read]]="N/A"),"N/A",IF(Table1[[#This Row],[DUT Adj Read]]="N/A",IF(Table1[[#This Row],[Std Adj Read]]&gt;Table1[[#This Row],[Low Tol]],"Pass","Fail"),IF(Table1[[#This Row],[DUT Adj Read]]&gt;Table1[[#This Row],[Low Tol]],"Pass","Fail")))</f>
        <v>Pass</v>
      </c>
      <c r="AE2847" s="1" t="str">
        <f>IF(AND(Table1[[#This Row],[Spec Type2]]="N/A",Table1[[#This Row],[DUT Adj Read]]="N/A",Table1[[#This Row],[Std Adj Read]]="N/A"),"N/A",IF(Table1[[#This Row],[DUT Adj Read]]="N/A",IF(Table1[[#This Row],[Std Adj Read]]&lt;Table1[[#This Row],[High Tol]],"Pass","Fail"),IF(Table1[[#This Row],[DUT Adj Read]]&lt;Table1[[#This Row],[High Tol]],"Pass","Fail")))</f>
        <v>Fail</v>
      </c>
      <c r="AF2847" s="1" t="str">
        <f>IF(AND(Table1[[#This Row],[Spec Type2]]="N/A",Table1[[#This Row],[DUT Adj Read]]="N/A",Table1[[#This Row],[Std Adj Read]]="N/A"),"N/A",IF(Table1[[#This Row],[DUT Adj Read]]="N/A",IF(Table1[[#This Row],[Std Adj Read]]&gt;=Table1[[#This Row],[Low Tol]],"Pass","Fail"),IF(Table1[[#This Row],[DUT Adj Read]]&gt;=Table1[[#This Row],[Low Tol]],"Pass","Fail")))</f>
        <v>Pass</v>
      </c>
      <c r="AG2847" s="1" t="str">
        <f>IF(AND(Table1[[#This Row],[Spec Type2]]="N/A",Table1[[#This Row],[DUT Adj Read]]="N/A",Table1[[#This Row],[Std Adj Read]]="N/A"),"N/A",IF(Table1[[#This Row],[DUT Adj Read]]="N/A",IF(Table1[[#This Row],[Std Adj Read]]&lt;=Table1[[#This Row],[High Tol]],"Pass","Fail"),IF(Table1[[#This Row],[DUT Adj Read]]&lt;=Table1[[#This Row],[High Tol]],"Pass","Fail")))</f>
        <v>Fail</v>
      </c>
      <c r="AH28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7" s="1" t="b">
        <v>0</v>
      </c>
      <c r="AN2847" s="1" t="b">
        <v>0</v>
      </c>
      <c r="AO2847" s="1" t="b">
        <v>0</v>
      </c>
    </row>
    <row r="2848" spans="1:41" x14ac:dyDescent="0.25">
      <c r="A2848" s="10"/>
      <c r="B2848" s="10"/>
      <c r="C2848" s="10"/>
      <c r="D2848" s="10"/>
      <c r="E2848" s="10"/>
      <c r="F2848" s="10"/>
      <c r="G2848" s="10"/>
      <c r="H2848" s="10"/>
      <c r="I2848" s="1" t="str">
        <f t="shared" si="132"/>
        <v/>
      </c>
      <c r="J2848" s="1" t="s">
        <v>35</v>
      </c>
      <c r="K2848" s="1" t="str">
        <f t="shared" si="133"/>
        <v/>
      </c>
      <c r="L2848" s="1" t="str">
        <f t="shared" si="134"/>
        <v/>
      </c>
      <c r="M2848" s="1">
        <f>IF(OR(Table1[[#This Row],[Std Nom]]="",Table1[[#This Row],[Std Read]]=""),0,Table1[[#This Row],[Std Nom]]-Table1[[#This Row],[Std Read]])</f>
        <v>0</v>
      </c>
      <c r="N2848" s="1">
        <f>IF(Calculations!$F$5="ACCREDITED 17025 WITH UNCERTAINTIES",$N$10,0)</f>
        <v>0</v>
      </c>
      <c r="O2848" s="1" t="str">
        <f>IFERROR(Table1[[#This Row],[Std Nom]]-(_xlfn.XLOOKUP(Table1[[#This Row],[Manufacturer]]&amp;" "&amp;Table1[[#This Row],[Model]],Table13[MFR &amp; MDL],Table13[Tolerance % CW ],"")/100*Table1[[#This Row],[Std Nom]]),"")</f>
        <v/>
      </c>
      <c r="P2848" s="1" t="str">
        <f>IFERROR(Table1[[#This Row],[Std Nom]]+(_xlfn.XLOOKUP(Table1[[#This Row],[Manufacturer]]&amp;" "&amp;Table1[[#This Row],[Model]],Table13[MFR &amp; MDL],Table13[Tolerance % CW ],"")/100*Table1[[#This Row],[Std Nom]]),"")</f>
        <v/>
      </c>
      <c r="Q2848" s="1" t="e">
        <f>Table1[[#This Row],[High Tol]]-Table1[[#This Row],[Low Tol]]</f>
        <v>#VALUE!</v>
      </c>
      <c r="R2848" s="1">
        <f>2*Table1[[#This Row],[Std Error]]</f>
        <v>0</v>
      </c>
      <c r="S2848" s="1" t="str">
        <f>IF(Table1[[#This Row],[High Tol]]="","N/A",IFERROR(ABS(Table1[[#This Row],[Tol Span]]/Table1[[#This Row],[Error Span]]),"N/A"))</f>
        <v>N/A</v>
      </c>
      <c r="T2848" s="1" t="str">
        <f>IF(OR(Table1[[#This Row],[Low Tol]]="",Table1[[#This Row],[High Tol]]=""),"Needs Analysis",IF(Table1[[#This Row],[Ratio]]&gt;=4,"Not Significant",IF(Table1[[#This Row],[Ratio]]&gt;=2,"Semi-Significant","Significant")))</f>
        <v>Needs Analysis</v>
      </c>
      <c r="W2848" s="1">
        <f>IF(Table1[[#This Row],[Cal Type]]&lt;&gt;"ACCREDITED 17025 WITH UNCERTAINTIES",0,"")</f>
        <v>0</v>
      </c>
      <c r="X2848" s="1" t="str">
        <f>IF(Table1[[#This Row],[DUT Read]]="","N/A",Table1[[#This Row],[Std Error]]+Table1[[#This Row],[DUT Read]]+Table1[[#This Row],[DUT Ucty]])</f>
        <v>N/A</v>
      </c>
      <c r="Y2848" s="1" t="str">
        <f>IF(Table1[[#This Row],[Std Read]]="","N/A",Table1[[#This Row],[Std Read]]+Table1[[#This Row],[Std Ucty]])</f>
        <v>N/A</v>
      </c>
      <c r="Z28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8" s="1" t="str">
        <f>IF(Table1[[#This Row],[Spec Type]]="","N/A",Table1[[#This Row],[Spec Type]])</f>
        <v>±</v>
      </c>
      <c r="AC2848" s="1" t="str">
        <f>IF(Table1[[#This Row],[Spec Type2]]="N/A","N/A",IF(AND(Table1[[#This Row],[DUT Adj Read]]&gt;=Table1[[#This Row],[Low Tol]],Table1[[#This Row],[DUT Adj Read]]&lt;=Table1[[#This Row],[High Tol]]),"Pass","Fail"))</f>
        <v>Fail</v>
      </c>
      <c r="AD2848" s="1" t="str">
        <f>IF(AND(Table1[[#This Row],[Spec Type2]]="N/A",Table1[[#This Row],[DUT Adj Read]]="N/A",Table1[[#This Row],[Std Adj Read]]="N/A"),"N/A",IF(Table1[[#This Row],[DUT Adj Read]]="N/A",IF(Table1[[#This Row],[Std Adj Read]]&gt;Table1[[#This Row],[Low Tol]],"Pass","Fail"),IF(Table1[[#This Row],[DUT Adj Read]]&gt;Table1[[#This Row],[Low Tol]],"Pass","Fail")))</f>
        <v>Pass</v>
      </c>
      <c r="AE2848" s="1" t="str">
        <f>IF(AND(Table1[[#This Row],[Spec Type2]]="N/A",Table1[[#This Row],[DUT Adj Read]]="N/A",Table1[[#This Row],[Std Adj Read]]="N/A"),"N/A",IF(Table1[[#This Row],[DUT Adj Read]]="N/A",IF(Table1[[#This Row],[Std Adj Read]]&lt;Table1[[#This Row],[High Tol]],"Pass","Fail"),IF(Table1[[#This Row],[DUT Adj Read]]&lt;Table1[[#This Row],[High Tol]],"Pass","Fail")))</f>
        <v>Fail</v>
      </c>
      <c r="AF2848" s="1" t="str">
        <f>IF(AND(Table1[[#This Row],[Spec Type2]]="N/A",Table1[[#This Row],[DUT Adj Read]]="N/A",Table1[[#This Row],[Std Adj Read]]="N/A"),"N/A",IF(Table1[[#This Row],[DUT Adj Read]]="N/A",IF(Table1[[#This Row],[Std Adj Read]]&gt;=Table1[[#This Row],[Low Tol]],"Pass","Fail"),IF(Table1[[#This Row],[DUT Adj Read]]&gt;=Table1[[#This Row],[Low Tol]],"Pass","Fail")))</f>
        <v>Pass</v>
      </c>
      <c r="AG2848" s="1" t="str">
        <f>IF(AND(Table1[[#This Row],[Spec Type2]]="N/A",Table1[[#This Row],[DUT Adj Read]]="N/A",Table1[[#This Row],[Std Adj Read]]="N/A"),"N/A",IF(Table1[[#This Row],[DUT Adj Read]]="N/A",IF(Table1[[#This Row],[Std Adj Read]]&lt;=Table1[[#This Row],[High Tol]],"Pass","Fail"),IF(Table1[[#This Row],[DUT Adj Read]]&lt;=Table1[[#This Row],[High Tol]],"Pass","Fail")))</f>
        <v>Fail</v>
      </c>
      <c r="AH28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8" s="1" t="b">
        <v>0</v>
      </c>
      <c r="AN2848" s="1" t="b">
        <v>0</v>
      </c>
      <c r="AO2848" s="1" t="b">
        <v>0</v>
      </c>
    </row>
    <row r="2849" spans="1:41" x14ac:dyDescent="0.25">
      <c r="A2849" s="10"/>
      <c r="B2849" s="10"/>
      <c r="C2849" s="10"/>
      <c r="D2849" s="10"/>
      <c r="E2849" s="10"/>
      <c r="F2849" s="10"/>
      <c r="G2849" s="10"/>
      <c r="H2849" s="10"/>
      <c r="I2849" s="1" t="str">
        <f t="shared" si="132"/>
        <v/>
      </c>
      <c r="J2849" s="1" t="s">
        <v>35</v>
      </c>
      <c r="K2849" s="1" t="str">
        <f t="shared" si="133"/>
        <v/>
      </c>
      <c r="L2849" s="1" t="str">
        <f t="shared" si="134"/>
        <v/>
      </c>
      <c r="M2849" s="1">
        <f>IF(OR(Table1[[#This Row],[Std Nom]]="",Table1[[#This Row],[Std Read]]=""),0,Table1[[#This Row],[Std Nom]]-Table1[[#This Row],[Std Read]])</f>
        <v>0</v>
      </c>
      <c r="N2849" s="1">
        <f>IF(Calculations!$F$5="ACCREDITED 17025 WITH UNCERTAINTIES",$N$10,0)</f>
        <v>0</v>
      </c>
      <c r="O2849" s="1" t="str">
        <f>IFERROR(Table1[[#This Row],[Std Nom]]-(_xlfn.XLOOKUP(Table1[[#This Row],[Manufacturer]]&amp;" "&amp;Table1[[#This Row],[Model]],Table13[MFR &amp; MDL],Table13[Tolerance % CW ],"")/100*Table1[[#This Row],[Std Nom]]),"")</f>
        <v/>
      </c>
      <c r="P2849" s="1" t="str">
        <f>IFERROR(Table1[[#This Row],[Std Nom]]+(_xlfn.XLOOKUP(Table1[[#This Row],[Manufacturer]]&amp;" "&amp;Table1[[#This Row],[Model]],Table13[MFR &amp; MDL],Table13[Tolerance % CW ],"")/100*Table1[[#This Row],[Std Nom]]),"")</f>
        <v/>
      </c>
      <c r="Q2849" s="1" t="e">
        <f>Table1[[#This Row],[High Tol]]-Table1[[#This Row],[Low Tol]]</f>
        <v>#VALUE!</v>
      </c>
      <c r="R2849" s="1">
        <f>2*Table1[[#This Row],[Std Error]]</f>
        <v>0</v>
      </c>
      <c r="S2849" s="1" t="str">
        <f>IF(Table1[[#This Row],[High Tol]]="","N/A",IFERROR(ABS(Table1[[#This Row],[Tol Span]]/Table1[[#This Row],[Error Span]]),"N/A"))</f>
        <v>N/A</v>
      </c>
      <c r="T2849" s="1" t="str">
        <f>IF(OR(Table1[[#This Row],[Low Tol]]="",Table1[[#This Row],[High Tol]]=""),"Needs Analysis",IF(Table1[[#This Row],[Ratio]]&gt;=4,"Not Significant",IF(Table1[[#This Row],[Ratio]]&gt;=2,"Semi-Significant","Significant")))</f>
        <v>Needs Analysis</v>
      </c>
      <c r="W2849" s="1">
        <f>IF(Table1[[#This Row],[Cal Type]]&lt;&gt;"ACCREDITED 17025 WITH UNCERTAINTIES",0,"")</f>
        <v>0</v>
      </c>
      <c r="X2849" s="1" t="str">
        <f>IF(Table1[[#This Row],[DUT Read]]="","N/A",Table1[[#This Row],[Std Error]]+Table1[[#This Row],[DUT Read]]+Table1[[#This Row],[DUT Ucty]])</f>
        <v>N/A</v>
      </c>
      <c r="Y2849" s="1" t="str">
        <f>IF(Table1[[#This Row],[Std Read]]="","N/A",Table1[[#This Row],[Std Read]]+Table1[[#This Row],[Std Ucty]])</f>
        <v>N/A</v>
      </c>
      <c r="Z28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9" s="1" t="str">
        <f>IF(Table1[[#This Row],[Spec Type]]="","N/A",Table1[[#This Row],[Spec Type]])</f>
        <v>±</v>
      </c>
      <c r="AC2849" s="1" t="str">
        <f>IF(Table1[[#This Row],[Spec Type2]]="N/A","N/A",IF(AND(Table1[[#This Row],[DUT Adj Read]]&gt;=Table1[[#This Row],[Low Tol]],Table1[[#This Row],[DUT Adj Read]]&lt;=Table1[[#This Row],[High Tol]]),"Pass","Fail"))</f>
        <v>Fail</v>
      </c>
      <c r="AD2849" s="1" t="str">
        <f>IF(AND(Table1[[#This Row],[Spec Type2]]="N/A",Table1[[#This Row],[DUT Adj Read]]="N/A",Table1[[#This Row],[Std Adj Read]]="N/A"),"N/A",IF(Table1[[#This Row],[DUT Adj Read]]="N/A",IF(Table1[[#This Row],[Std Adj Read]]&gt;Table1[[#This Row],[Low Tol]],"Pass","Fail"),IF(Table1[[#This Row],[DUT Adj Read]]&gt;Table1[[#This Row],[Low Tol]],"Pass","Fail")))</f>
        <v>Pass</v>
      </c>
      <c r="AE2849" s="1" t="str">
        <f>IF(AND(Table1[[#This Row],[Spec Type2]]="N/A",Table1[[#This Row],[DUT Adj Read]]="N/A",Table1[[#This Row],[Std Adj Read]]="N/A"),"N/A",IF(Table1[[#This Row],[DUT Adj Read]]="N/A",IF(Table1[[#This Row],[Std Adj Read]]&lt;Table1[[#This Row],[High Tol]],"Pass","Fail"),IF(Table1[[#This Row],[DUT Adj Read]]&lt;Table1[[#This Row],[High Tol]],"Pass","Fail")))</f>
        <v>Fail</v>
      </c>
      <c r="AF2849" s="1" t="str">
        <f>IF(AND(Table1[[#This Row],[Spec Type2]]="N/A",Table1[[#This Row],[DUT Adj Read]]="N/A",Table1[[#This Row],[Std Adj Read]]="N/A"),"N/A",IF(Table1[[#This Row],[DUT Adj Read]]="N/A",IF(Table1[[#This Row],[Std Adj Read]]&gt;=Table1[[#This Row],[Low Tol]],"Pass","Fail"),IF(Table1[[#This Row],[DUT Adj Read]]&gt;=Table1[[#This Row],[Low Tol]],"Pass","Fail")))</f>
        <v>Pass</v>
      </c>
      <c r="AG2849" s="1" t="str">
        <f>IF(AND(Table1[[#This Row],[Spec Type2]]="N/A",Table1[[#This Row],[DUT Adj Read]]="N/A",Table1[[#This Row],[Std Adj Read]]="N/A"),"N/A",IF(Table1[[#This Row],[DUT Adj Read]]="N/A",IF(Table1[[#This Row],[Std Adj Read]]&lt;=Table1[[#This Row],[High Tol]],"Pass","Fail"),IF(Table1[[#This Row],[DUT Adj Read]]&lt;=Table1[[#This Row],[High Tol]],"Pass","Fail")))</f>
        <v>Fail</v>
      </c>
      <c r="AH28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9" s="1" t="b">
        <v>0</v>
      </c>
      <c r="AN2849" s="1" t="b">
        <v>0</v>
      </c>
      <c r="AO2849" s="1" t="b">
        <v>0</v>
      </c>
    </row>
    <row r="2850" spans="1:41" x14ac:dyDescent="0.25">
      <c r="A2850" s="10"/>
      <c r="B2850" s="10"/>
      <c r="C2850" s="10"/>
      <c r="D2850" s="10"/>
      <c r="E2850" s="10"/>
      <c r="F2850" s="10"/>
      <c r="G2850" s="10"/>
      <c r="H2850" s="10"/>
      <c r="I2850" s="1" t="str">
        <f t="shared" si="132"/>
        <v/>
      </c>
      <c r="J2850" s="1" t="s">
        <v>35</v>
      </c>
      <c r="K2850" s="1" t="str">
        <f t="shared" si="133"/>
        <v/>
      </c>
      <c r="L2850" s="1" t="str">
        <f t="shared" si="134"/>
        <v/>
      </c>
      <c r="M2850" s="1">
        <f>IF(OR(Table1[[#This Row],[Std Nom]]="",Table1[[#This Row],[Std Read]]=""),0,Table1[[#This Row],[Std Nom]]-Table1[[#This Row],[Std Read]])</f>
        <v>0</v>
      </c>
      <c r="N2850" s="1">
        <f>IF(Calculations!$F$5="ACCREDITED 17025 WITH UNCERTAINTIES",$N$10,0)</f>
        <v>0</v>
      </c>
      <c r="O2850" s="1" t="str">
        <f>IFERROR(Table1[[#This Row],[Std Nom]]-(_xlfn.XLOOKUP(Table1[[#This Row],[Manufacturer]]&amp;" "&amp;Table1[[#This Row],[Model]],Table13[MFR &amp; MDL],Table13[Tolerance % CW ],"")/100*Table1[[#This Row],[Std Nom]]),"")</f>
        <v/>
      </c>
      <c r="P2850" s="1" t="str">
        <f>IFERROR(Table1[[#This Row],[Std Nom]]+(_xlfn.XLOOKUP(Table1[[#This Row],[Manufacturer]]&amp;" "&amp;Table1[[#This Row],[Model]],Table13[MFR &amp; MDL],Table13[Tolerance % CW ],"")/100*Table1[[#This Row],[Std Nom]]),"")</f>
        <v/>
      </c>
      <c r="Q2850" s="1" t="e">
        <f>Table1[[#This Row],[High Tol]]-Table1[[#This Row],[Low Tol]]</f>
        <v>#VALUE!</v>
      </c>
      <c r="R2850" s="1">
        <f>2*Table1[[#This Row],[Std Error]]</f>
        <v>0</v>
      </c>
      <c r="S2850" s="1" t="str">
        <f>IF(Table1[[#This Row],[High Tol]]="","N/A",IFERROR(ABS(Table1[[#This Row],[Tol Span]]/Table1[[#This Row],[Error Span]]),"N/A"))</f>
        <v>N/A</v>
      </c>
      <c r="T2850" s="1" t="str">
        <f>IF(OR(Table1[[#This Row],[Low Tol]]="",Table1[[#This Row],[High Tol]]=""),"Needs Analysis",IF(Table1[[#This Row],[Ratio]]&gt;=4,"Not Significant",IF(Table1[[#This Row],[Ratio]]&gt;=2,"Semi-Significant","Significant")))</f>
        <v>Needs Analysis</v>
      </c>
      <c r="W2850" s="1">
        <f>IF(Table1[[#This Row],[Cal Type]]&lt;&gt;"ACCREDITED 17025 WITH UNCERTAINTIES",0,"")</f>
        <v>0</v>
      </c>
      <c r="X2850" s="1" t="str">
        <f>IF(Table1[[#This Row],[DUT Read]]="","N/A",Table1[[#This Row],[Std Error]]+Table1[[#This Row],[DUT Read]]+Table1[[#This Row],[DUT Ucty]])</f>
        <v>N/A</v>
      </c>
      <c r="Y2850" s="1" t="str">
        <f>IF(Table1[[#This Row],[Std Read]]="","N/A",Table1[[#This Row],[Std Read]]+Table1[[#This Row],[Std Ucty]])</f>
        <v>N/A</v>
      </c>
      <c r="Z28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0" s="1" t="str">
        <f>IF(Table1[[#This Row],[Spec Type]]="","N/A",Table1[[#This Row],[Spec Type]])</f>
        <v>±</v>
      </c>
      <c r="AC2850" s="1" t="str">
        <f>IF(Table1[[#This Row],[Spec Type2]]="N/A","N/A",IF(AND(Table1[[#This Row],[DUT Adj Read]]&gt;=Table1[[#This Row],[Low Tol]],Table1[[#This Row],[DUT Adj Read]]&lt;=Table1[[#This Row],[High Tol]]),"Pass","Fail"))</f>
        <v>Fail</v>
      </c>
      <c r="AD2850" s="1" t="str">
        <f>IF(AND(Table1[[#This Row],[Spec Type2]]="N/A",Table1[[#This Row],[DUT Adj Read]]="N/A",Table1[[#This Row],[Std Adj Read]]="N/A"),"N/A",IF(Table1[[#This Row],[DUT Adj Read]]="N/A",IF(Table1[[#This Row],[Std Adj Read]]&gt;Table1[[#This Row],[Low Tol]],"Pass","Fail"),IF(Table1[[#This Row],[DUT Adj Read]]&gt;Table1[[#This Row],[Low Tol]],"Pass","Fail")))</f>
        <v>Pass</v>
      </c>
      <c r="AE2850" s="1" t="str">
        <f>IF(AND(Table1[[#This Row],[Spec Type2]]="N/A",Table1[[#This Row],[DUT Adj Read]]="N/A",Table1[[#This Row],[Std Adj Read]]="N/A"),"N/A",IF(Table1[[#This Row],[DUT Adj Read]]="N/A",IF(Table1[[#This Row],[Std Adj Read]]&lt;Table1[[#This Row],[High Tol]],"Pass","Fail"),IF(Table1[[#This Row],[DUT Adj Read]]&lt;Table1[[#This Row],[High Tol]],"Pass","Fail")))</f>
        <v>Fail</v>
      </c>
      <c r="AF2850" s="1" t="str">
        <f>IF(AND(Table1[[#This Row],[Spec Type2]]="N/A",Table1[[#This Row],[DUT Adj Read]]="N/A",Table1[[#This Row],[Std Adj Read]]="N/A"),"N/A",IF(Table1[[#This Row],[DUT Adj Read]]="N/A",IF(Table1[[#This Row],[Std Adj Read]]&gt;=Table1[[#This Row],[Low Tol]],"Pass","Fail"),IF(Table1[[#This Row],[DUT Adj Read]]&gt;=Table1[[#This Row],[Low Tol]],"Pass","Fail")))</f>
        <v>Pass</v>
      </c>
      <c r="AG2850" s="1" t="str">
        <f>IF(AND(Table1[[#This Row],[Spec Type2]]="N/A",Table1[[#This Row],[DUT Adj Read]]="N/A",Table1[[#This Row],[Std Adj Read]]="N/A"),"N/A",IF(Table1[[#This Row],[DUT Adj Read]]="N/A",IF(Table1[[#This Row],[Std Adj Read]]&lt;=Table1[[#This Row],[High Tol]],"Pass","Fail"),IF(Table1[[#This Row],[DUT Adj Read]]&lt;=Table1[[#This Row],[High Tol]],"Pass","Fail")))</f>
        <v>Fail</v>
      </c>
      <c r="AH28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0" s="1" t="b">
        <v>0</v>
      </c>
      <c r="AN2850" s="1" t="b">
        <v>0</v>
      </c>
      <c r="AO2850" s="1" t="b">
        <v>0</v>
      </c>
    </row>
    <row r="2851" spans="1:41" x14ac:dyDescent="0.25">
      <c r="A2851" s="10"/>
      <c r="B2851" s="10"/>
      <c r="C2851" s="10"/>
      <c r="D2851" s="10"/>
      <c r="E2851" s="10"/>
      <c r="F2851" s="10"/>
      <c r="G2851" s="10"/>
      <c r="H2851" s="10"/>
      <c r="I2851" s="1" t="str">
        <f t="shared" si="132"/>
        <v/>
      </c>
      <c r="J2851" s="1" t="s">
        <v>35</v>
      </c>
      <c r="K2851" s="1" t="str">
        <f t="shared" si="133"/>
        <v/>
      </c>
      <c r="L2851" s="1" t="str">
        <f t="shared" si="134"/>
        <v/>
      </c>
      <c r="M2851" s="1">
        <f>IF(OR(Table1[[#This Row],[Std Nom]]="",Table1[[#This Row],[Std Read]]=""),0,Table1[[#This Row],[Std Nom]]-Table1[[#This Row],[Std Read]])</f>
        <v>0</v>
      </c>
      <c r="N2851" s="1">
        <f>IF(Calculations!$F$5="ACCREDITED 17025 WITH UNCERTAINTIES",$N$10,0)</f>
        <v>0</v>
      </c>
      <c r="O2851" s="1" t="str">
        <f>IFERROR(Table1[[#This Row],[Std Nom]]-(_xlfn.XLOOKUP(Table1[[#This Row],[Manufacturer]]&amp;" "&amp;Table1[[#This Row],[Model]],Table13[MFR &amp; MDL],Table13[Tolerance % CW ],"")/100*Table1[[#This Row],[Std Nom]]),"")</f>
        <v/>
      </c>
      <c r="P2851" s="1" t="str">
        <f>IFERROR(Table1[[#This Row],[Std Nom]]+(_xlfn.XLOOKUP(Table1[[#This Row],[Manufacturer]]&amp;" "&amp;Table1[[#This Row],[Model]],Table13[MFR &amp; MDL],Table13[Tolerance % CW ],"")/100*Table1[[#This Row],[Std Nom]]),"")</f>
        <v/>
      </c>
      <c r="Q2851" s="1" t="e">
        <f>Table1[[#This Row],[High Tol]]-Table1[[#This Row],[Low Tol]]</f>
        <v>#VALUE!</v>
      </c>
      <c r="R2851" s="1">
        <f>2*Table1[[#This Row],[Std Error]]</f>
        <v>0</v>
      </c>
      <c r="S2851" s="1" t="str">
        <f>IF(Table1[[#This Row],[High Tol]]="","N/A",IFERROR(ABS(Table1[[#This Row],[Tol Span]]/Table1[[#This Row],[Error Span]]),"N/A"))</f>
        <v>N/A</v>
      </c>
      <c r="T2851" s="1" t="str">
        <f>IF(OR(Table1[[#This Row],[Low Tol]]="",Table1[[#This Row],[High Tol]]=""),"Needs Analysis",IF(Table1[[#This Row],[Ratio]]&gt;=4,"Not Significant",IF(Table1[[#This Row],[Ratio]]&gt;=2,"Semi-Significant","Significant")))</f>
        <v>Needs Analysis</v>
      </c>
      <c r="W2851" s="1">
        <f>IF(Table1[[#This Row],[Cal Type]]&lt;&gt;"ACCREDITED 17025 WITH UNCERTAINTIES",0,"")</f>
        <v>0</v>
      </c>
      <c r="X2851" s="1" t="str">
        <f>IF(Table1[[#This Row],[DUT Read]]="","N/A",Table1[[#This Row],[Std Error]]+Table1[[#This Row],[DUT Read]]+Table1[[#This Row],[DUT Ucty]])</f>
        <v>N/A</v>
      </c>
      <c r="Y2851" s="1" t="str">
        <f>IF(Table1[[#This Row],[Std Read]]="","N/A",Table1[[#This Row],[Std Read]]+Table1[[#This Row],[Std Ucty]])</f>
        <v>N/A</v>
      </c>
      <c r="Z28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1" s="1" t="str">
        <f>IF(Table1[[#This Row],[Spec Type]]="","N/A",Table1[[#This Row],[Spec Type]])</f>
        <v>±</v>
      </c>
      <c r="AC2851" s="1" t="str">
        <f>IF(Table1[[#This Row],[Spec Type2]]="N/A","N/A",IF(AND(Table1[[#This Row],[DUT Adj Read]]&gt;=Table1[[#This Row],[Low Tol]],Table1[[#This Row],[DUT Adj Read]]&lt;=Table1[[#This Row],[High Tol]]),"Pass","Fail"))</f>
        <v>Fail</v>
      </c>
      <c r="AD2851" s="1" t="str">
        <f>IF(AND(Table1[[#This Row],[Spec Type2]]="N/A",Table1[[#This Row],[DUT Adj Read]]="N/A",Table1[[#This Row],[Std Adj Read]]="N/A"),"N/A",IF(Table1[[#This Row],[DUT Adj Read]]="N/A",IF(Table1[[#This Row],[Std Adj Read]]&gt;Table1[[#This Row],[Low Tol]],"Pass","Fail"),IF(Table1[[#This Row],[DUT Adj Read]]&gt;Table1[[#This Row],[Low Tol]],"Pass","Fail")))</f>
        <v>Pass</v>
      </c>
      <c r="AE2851" s="1" t="str">
        <f>IF(AND(Table1[[#This Row],[Spec Type2]]="N/A",Table1[[#This Row],[DUT Adj Read]]="N/A",Table1[[#This Row],[Std Adj Read]]="N/A"),"N/A",IF(Table1[[#This Row],[DUT Adj Read]]="N/A",IF(Table1[[#This Row],[Std Adj Read]]&lt;Table1[[#This Row],[High Tol]],"Pass","Fail"),IF(Table1[[#This Row],[DUT Adj Read]]&lt;Table1[[#This Row],[High Tol]],"Pass","Fail")))</f>
        <v>Fail</v>
      </c>
      <c r="AF2851" s="1" t="str">
        <f>IF(AND(Table1[[#This Row],[Spec Type2]]="N/A",Table1[[#This Row],[DUT Adj Read]]="N/A",Table1[[#This Row],[Std Adj Read]]="N/A"),"N/A",IF(Table1[[#This Row],[DUT Adj Read]]="N/A",IF(Table1[[#This Row],[Std Adj Read]]&gt;=Table1[[#This Row],[Low Tol]],"Pass","Fail"),IF(Table1[[#This Row],[DUT Adj Read]]&gt;=Table1[[#This Row],[Low Tol]],"Pass","Fail")))</f>
        <v>Pass</v>
      </c>
      <c r="AG2851" s="1" t="str">
        <f>IF(AND(Table1[[#This Row],[Spec Type2]]="N/A",Table1[[#This Row],[DUT Adj Read]]="N/A",Table1[[#This Row],[Std Adj Read]]="N/A"),"N/A",IF(Table1[[#This Row],[DUT Adj Read]]="N/A",IF(Table1[[#This Row],[Std Adj Read]]&lt;=Table1[[#This Row],[High Tol]],"Pass","Fail"),IF(Table1[[#This Row],[DUT Adj Read]]&lt;=Table1[[#This Row],[High Tol]],"Pass","Fail")))</f>
        <v>Fail</v>
      </c>
      <c r="AH28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1" s="1" t="b">
        <v>0</v>
      </c>
      <c r="AN2851" s="1" t="b">
        <v>0</v>
      </c>
      <c r="AO2851" s="1" t="b">
        <v>0</v>
      </c>
    </row>
    <row r="2852" spans="1:41" x14ac:dyDescent="0.25">
      <c r="A2852" s="10"/>
      <c r="B2852" s="10"/>
      <c r="C2852" s="10"/>
      <c r="D2852" s="10"/>
      <c r="E2852" s="10"/>
      <c r="F2852" s="10"/>
      <c r="G2852" s="10"/>
      <c r="H2852" s="10"/>
      <c r="I2852" s="1" t="str">
        <f t="shared" si="132"/>
        <v/>
      </c>
      <c r="J2852" s="1" t="s">
        <v>35</v>
      </c>
      <c r="K2852" s="1" t="str">
        <f t="shared" si="133"/>
        <v/>
      </c>
      <c r="L2852" s="1" t="str">
        <f t="shared" si="134"/>
        <v/>
      </c>
      <c r="M2852" s="1">
        <f>IF(OR(Table1[[#This Row],[Std Nom]]="",Table1[[#This Row],[Std Read]]=""),0,Table1[[#This Row],[Std Nom]]-Table1[[#This Row],[Std Read]])</f>
        <v>0</v>
      </c>
      <c r="N2852" s="1">
        <f>IF(Calculations!$F$5="ACCREDITED 17025 WITH UNCERTAINTIES",$N$10,0)</f>
        <v>0</v>
      </c>
      <c r="O2852" s="1" t="str">
        <f>IFERROR(Table1[[#This Row],[Std Nom]]-(_xlfn.XLOOKUP(Table1[[#This Row],[Manufacturer]]&amp;" "&amp;Table1[[#This Row],[Model]],Table13[MFR &amp; MDL],Table13[Tolerance % CW ],"")/100*Table1[[#This Row],[Std Nom]]),"")</f>
        <v/>
      </c>
      <c r="P2852" s="1" t="str">
        <f>IFERROR(Table1[[#This Row],[Std Nom]]+(_xlfn.XLOOKUP(Table1[[#This Row],[Manufacturer]]&amp;" "&amp;Table1[[#This Row],[Model]],Table13[MFR &amp; MDL],Table13[Tolerance % CW ],"")/100*Table1[[#This Row],[Std Nom]]),"")</f>
        <v/>
      </c>
      <c r="Q2852" s="1" t="e">
        <f>Table1[[#This Row],[High Tol]]-Table1[[#This Row],[Low Tol]]</f>
        <v>#VALUE!</v>
      </c>
      <c r="R2852" s="1">
        <f>2*Table1[[#This Row],[Std Error]]</f>
        <v>0</v>
      </c>
      <c r="S2852" s="1" t="str">
        <f>IF(Table1[[#This Row],[High Tol]]="","N/A",IFERROR(ABS(Table1[[#This Row],[Tol Span]]/Table1[[#This Row],[Error Span]]),"N/A"))</f>
        <v>N/A</v>
      </c>
      <c r="T2852" s="1" t="str">
        <f>IF(OR(Table1[[#This Row],[Low Tol]]="",Table1[[#This Row],[High Tol]]=""),"Needs Analysis",IF(Table1[[#This Row],[Ratio]]&gt;=4,"Not Significant",IF(Table1[[#This Row],[Ratio]]&gt;=2,"Semi-Significant","Significant")))</f>
        <v>Needs Analysis</v>
      </c>
      <c r="W2852" s="1">
        <f>IF(Table1[[#This Row],[Cal Type]]&lt;&gt;"ACCREDITED 17025 WITH UNCERTAINTIES",0,"")</f>
        <v>0</v>
      </c>
      <c r="X2852" s="1" t="str">
        <f>IF(Table1[[#This Row],[DUT Read]]="","N/A",Table1[[#This Row],[Std Error]]+Table1[[#This Row],[DUT Read]]+Table1[[#This Row],[DUT Ucty]])</f>
        <v>N/A</v>
      </c>
      <c r="Y2852" s="1" t="str">
        <f>IF(Table1[[#This Row],[Std Read]]="","N/A",Table1[[#This Row],[Std Read]]+Table1[[#This Row],[Std Ucty]])</f>
        <v>N/A</v>
      </c>
      <c r="Z28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2" s="1" t="str">
        <f>IF(Table1[[#This Row],[Spec Type]]="","N/A",Table1[[#This Row],[Spec Type]])</f>
        <v>±</v>
      </c>
      <c r="AC2852" s="1" t="str">
        <f>IF(Table1[[#This Row],[Spec Type2]]="N/A","N/A",IF(AND(Table1[[#This Row],[DUT Adj Read]]&gt;=Table1[[#This Row],[Low Tol]],Table1[[#This Row],[DUT Adj Read]]&lt;=Table1[[#This Row],[High Tol]]),"Pass","Fail"))</f>
        <v>Fail</v>
      </c>
      <c r="AD2852" s="1" t="str">
        <f>IF(AND(Table1[[#This Row],[Spec Type2]]="N/A",Table1[[#This Row],[DUT Adj Read]]="N/A",Table1[[#This Row],[Std Adj Read]]="N/A"),"N/A",IF(Table1[[#This Row],[DUT Adj Read]]="N/A",IF(Table1[[#This Row],[Std Adj Read]]&gt;Table1[[#This Row],[Low Tol]],"Pass","Fail"),IF(Table1[[#This Row],[DUT Adj Read]]&gt;Table1[[#This Row],[Low Tol]],"Pass","Fail")))</f>
        <v>Pass</v>
      </c>
      <c r="AE2852" s="1" t="str">
        <f>IF(AND(Table1[[#This Row],[Spec Type2]]="N/A",Table1[[#This Row],[DUT Adj Read]]="N/A",Table1[[#This Row],[Std Adj Read]]="N/A"),"N/A",IF(Table1[[#This Row],[DUT Adj Read]]="N/A",IF(Table1[[#This Row],[Std Adj Read]]&lt;Table1[[#This Row],[High Tol]],"Pass","Fail"),IF(Table1[[#This Row],[DUT Adj Read]]&lt;Table1[[#This Row],[High Tol]],"Pass","Fail")))</f>
        <v>Fail</v>
      </c>
      <c r="AF2852" s="1" t="str">
        <f>IF(AND(Table1[[#This Row],[Spec Type2]]="N/A",Table1[[#This Row],[DUT Adj Read]]="N/A",Table1[[#This Row],[Std Adj Read]]="N/A"),"N/A",IF(Table1[[#This Row],[DUT Adj Read]]="N/A",IF(Table1[[#This Row],[Std Adj Read]]&gt;=Table1[[#This Row],[Low Tol]],"Pass","Fail"),IF(Table1[[#This Row],[DUT Adj Read]]&gt;=Table1[[#This Row],[Low Tol]],"Pass","Fail")))</f>
        <v>Pass</v>
      </c>
      <c r="AG2852" s="1" t="str">
        <f>IF(AND(Table1[[#This Row],[Spec Type2]]="N/A",Table1[[#This Row],[DUT Adj Read]]="N/A",Table1[[#This Row],[Std Adj Read]]="N/A"),"N/A",IF(Table1[[#This Row],[DUT Adj Read]]="N/A",IF(Table1[[#This Row],[Std Adj Read]]&lt;=Table1[[#This Row],[High Tol]],"Pass","Fail"),IF(Table1[[#This Row],[DUT Adj Read]]&lt;=Table1[[#This Row],[High Tol]],"Pass","Fail")))</f>
        <v>Fail</v>
      </c>
      <c r="AH28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2" s="1" t="b">
        <v>0</v>
      </c>
      <c r="AN2852" s="1" t="b">
        <v>0</v>
      </c>
      <c r="AO2852" s="1" t="b">
        <v>0</v>
      </c>
    </row>
    <row r="2853" spans="1:41" x14ac:dyDescent="0.25">
      <c r="A2853" s="10"/>
      <c r="B2853" s="10"/>
      <c r="C2853" s="10"/>
      <c r="D2853" s="10"/>
      <c r="E2853" s="10"/>
      <c r="F2853" s="10"/>
      <c r="G2853" s="10"/>
      <c r="H2853" s="10"/>
      <c r="I2853" s="1" t="str">
        <f t="shared" si="132"/>
        <v/>
      </c>
      <c r="J2853" s="1" t="s">
        <v>35</v>
      </c>
      <c r="K2853" s="1" t="str">
        <f t="shared" si="133"/>
        <v/>
      </c>
      <c r="L2853" s="1" t="str">
        <f t="shared" si="134"/>
        <v/>
      </c>
      <c r="M2853" s="1">
        <f>IF(OR(Table1[[#This Row],[Std Nom]]="",Table1[[#This Row],[Std Read]]=""),0,Table1[[#This Row],[Std Nom]]-Table1[[#This Row],[Std Read]])</f>
        <v>0</v>
      </c>
      <c r="N2853" s="1">
        <f>IF(Calculations!$F$5="ACCREDITED 17025 WITH UNCERTAINTIES",$N$10,0)</f>
        <v>0</v>
      </c>
      <c r="O2853" s="1" t="str">
        <f>IFERROR(Table1[[#This Row],[Std Nom]]-(_xlfn.XLOOKUP(Table1[[#This Row],[Manufacturer]]&amp;" "&amp;Table1[[#This Row],[Model]],Table13[MFR &amp; MDL],Table13[Tolerance % CW ],"")/100*Table1[[#This Row],[Std Nom]]),"")</f>
        <v/>
      </c>
      <c r="P2853" s="1" t="str">
        <f>IFERROR(Table1[[#This Row],[Std Nom]]+(_xlfn.XLOOKUP(Table1[[#This Row],[Manufacturer]]&amp;" "&amp;Table1[[#This Row],[Model]],Table13[MFR &amp; MDL],Table13[Tolerance % CW ],"")/100*Table1[[#This Row],[Std Nom]]),"")</f>
        <v/>
      </c>
      <c r="Q2853" s="1" t="e">
        <f>Table1[[#This Row],[High Tol]]-Table1[[#This Row],[Low Tol]]</f>
        <v>#VALUE!</v>
      </c>
      <c r="R2853" s="1">
        <f>2*Table1[[#This Row],[Std Error]]</f>
        <v>0</v>
      </c>
      <c r="S2853" s="1" t="str">
        <f>IF(Table1[[#This Row],[High Tol]]="","N/A",IFERROR(ABS(Table1[[#This Row],[Tol Span]]/Table1[[#This Row],[Error Span]]),"N/A"))</f>
        <v>N/A</v>
      </c>
      <c r="T2853" s="1" t="str">
        <f>IF(OR(Table1[[#This Row],[Low Tol]]="",Table1[[#This Row],[High Tol]]=""),"Needs Analysis",IF(Table1[[#This Row],[Ratio]]&gt;=4,"Not Significant",IF(Table1[[#This Row],[Ratio]]&gt;=2,"Semi-Significant","Significant")))</f>
        <v>Needs Analysis</v>
      </c>
      <c r="W2853" s="1">
        <f>IF(Table1[[#This Row],[Cal Type]]&lt;&gt;"ACCREDITED 17025 WITH UNCERTAINTIES",0,"")</f>
        <v>0</v>
      </c>
      <c r="X2853" s="1" t="str">
        <f>IF(Table1[[#This Row],[DUT Read]]="","N/A",Table1[[#This Row],[Std Error]]+Table1[[#This Row],[DUT Read]]+Table1[[#This Row],[DUT Ucty]])</f>
        <v>N/A</v>
      </c>
      <c r="Y2853" s="1" t="str">
        <f>IF(Table1[[#This Row],[Std Read]]="","N/A",Table1[[#This Row],[Std Read]]+Table1[[#This Row],[Std Ucty]])</f>
        <v>N/A</v>
      </c>
      <c r="Z28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3" s="1" t="str">
        <f>IF(Table1[[#This Row],[Spec Type]]="","N/A",Table1[[#This Row],[Spec Type]])</f>
        <v>±</v>
      </c>
      <c r="AC2853" s="1" t="str">
        <f>IF(Table1[[#This Row],[Spec Type2]]="N/A","N/A",IF(AND(Table1[[#This Row],[DUT Adj Read]]&gt;=Table1[[#This Row],[Low Tol]],Table1[[#This Row],[DUT Adj Read]]&lt;=Table1[[#This Row],[High Tol]]),"Pass","Fail"))</f>
        <v>Fail</v>
      </c>
      <c r="AD2853" s="1" t="str">
        <f>IF(AND(Table1[[#This Row],[Spec Type2]]="N/A",Table1[[#This Row],[DUT Adj Read]]="N/A",Table1[[#This Row],[Std Adj Read]]="N/A"),"N/A",IF(Table1[[#This Row],[DUT Adj Read]]="N/A",IF(Table1[[#This Row],[Std Adj Read]]&gt;Table1[[#This Row],[Low Tol]],"Pass","Fail"),IF(Table1[[#This Row],[DUT Adj Read]]&gt;Table1[[#This Row],[Low Tol]],"Pass","Fail")))</f>
        <v>Pass</v>
      </c>
      <c r="AE2853" s="1" t="str">
        <f>IF(AND(Table1[[#This Row],[Spec Type2]]="N/A",Table1[[#This Row],[DUT Adj Read]]="N/A",Table1[[#This Row],[Std Adj Read]]="N/A"),"N/A",IF(Table1[[#This Row],[DUT Adj Read]]="N/A",IF(Table1[[#This Row],[Std Adj Read]]&lt;Table1[[#This Row],[High Tol]],"Pass","Fail"),IF(Table1[[#This Row],[DUT Adj Read]]&lt;Table1[[#This Row],[High Tol]],"Pass","Fail")))</f>
        <v>Fail</v>
      </c>
      <c r="AF2853" s="1" t="str">
        <f>IF(AND(Table1[[#This Row],[Spec Type2]]="N/A",Table1[[#This Row],[DUT Adj Read]]="N/A",Table1[[#This Row],[Std Adj Read]]="N/A"),"N/A",IF(Table1[[#This Row],[DUT Adj Read]]="N/A",IF(Table1[[#This Row],[Std Adj Read]]&gt;=Table1[[#This Row],[Low Tol]],"Pass","Fail"),IF(Table1[[#This Row],[DUT Adj Read]]&gt;=Table1[[#This Row],[Low Tol]],"Pass","Fail")))</f>
        <v>Pass</v>
      </c>
      <c r="AG2853" s="1" t="str">
        <f>IF(AND(Table1[[#This Row],[Spec Type2]]="N/A",Table1[[#This Row],[DUT Adj Read]]="N/A",Table1[[#This Row],[Std Adj Read]]="N/A"),"N/A",IF(Table1[[#This Row],[DUT Adj Read]]="N/A",IF(Table1[[#This Row],[Std Adj Read]]&lt;=Table1[[#This Row],[High Tol]],"Pass","Fail"),IF(Table1[[#This Row],[DUT Adj Read]]&lt;=Table1[[#This Row],[High Tol]],"Pass","Fail")))</f>
        <v>Fail</v>
      </c>
      <c r="AH28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3" s="1" t="b">
        <v>0</v>
      </c>
      <c r="AN2853" s="1" t="b">
        <v>0</v>
      </c>
      <c r="AO2853" s="1" t="b">
        <v>0</v>
      </c>
    </row>
    <row r="2854" spans="1:41" x14ac:dyDescent="0.25">
      <c r="A2854" s="10"/>
      <c r="B2854" s="10"/>
      <c r="C2854" s="10"/>
      <c r="D2854" s="10"/>
      <c r="E2854" s="10"/>
      <c r="F2854" s="10"/>
      <c r="G2854" s="10"/>
      <c r="H2854" s="10"/>
      <c r="I2854" s="1" t="str">
        <f t="shared" si="132"/>
        <v/>
      </c>
      <c r="J2854" s="1" t="s">
        <v>35</v>
      </c>
      <c r="K2854" s="1" t="str">
        <f t="shared" si="133"/>
        <v/>
      </c>
      <c r="L2854" s="1" t="str">
        <f t="shared" si="134"/>
        <v/>
      </c>
      <c r="M2854" s="1">
        <f>IF(OR(Table1[[#This Row],[Std Nom]]="",Table1[[#This Row],[Std Read]]=""),0,Table1[[#This Row],[Std Nom]]-Table1[[#This Row],[Std Read]])</f>
        <v>0</v>
      </c>
      <c r="N2854" s="1">
        <f>IF(Calculations!$F$5="ACCREDITED 17025 WITH UNCERTAINTIES",$N$10,0)</f>
        <v>0</v>
      </c>
      <c r="O2854" s="1" t="str">
        <f>IFERROR(Table1[[#This Row],[Std Nom]]-(_xlfn.XLOOKUP(Table1[[#This Row],[Manufacturer]]&amp;" "&amp;Table1[[#This Row],[Model]],Table13[MFR &amp; MDL],Table13[Tolerance % CW ],"")/100*Table1[[#This Row],[Std Nom]]),"")</f>
        <v/>
      </c>
      <c r="P2854" s="1" t="str">
        <f>IFERROR(Table1[[#This Row],[Std Nom]]+(_xlfn.XLOOKUP(Table1[[#This Row],[Manufacturer]]&amp;" "&amp;Table1[[#This Row],[Model]],Table13[MFR &amp; MDL],Table13[Tolerance % CW ],"")/100*Table1[[#This Row],[Std Nom]]),"")</f>
        <v/>
      </c>
      <c r="Q2854" s="1" t="e">
        <f>Table1[[#This Row],[High Tol]]-Table1[[#This Row],[Low Tol]]</f>
        <v>#VALUE!</v>
      </c>
      <c r="R2854" s="1">
        <f>2*Table1[[#This Row],[Std Error]]</f>
        <v>0</v>
      </c>
      <c r="S2854" s="1" t="str">
        <f>IF(Table1[[#This Row],[High Tol]]="","N/A",IFERROR(ABS(Table1[[#This Row],[Tol Span]]/Table1[[#This Row],[Error Span]]),"N/A"))</f>
        <v>N/A</v>
      </c>
      <c r="T2854" s="1" t="str">
        <f>IF(OR(Table1[[#This Row],[Low Tol]]="",Table1[[#This Row],[High Tol]]=""),"Needs Analysis",IF(Table1[[#This Row],[Ratio]]&gt;=4,"Not Significant",IF(Table1[[#This Row],[Ratio]]&gt;=2,"Semi-Significant","Significant")))</f>
        <v>Needs Analysis</v>
      </c>
      <c r="W2854" s="1">
        <f>IF(Table1[[#This Row],[Cal Type]]&lt;&gt;"ACCREDITED 17025 WITH UNCERTAINTIES",0,"")</f>
        <v>0</v>
      </c>
      <c r="X2854" s="1" t="str">
        <f>IF(Table1[[#This Row],[DUT Read]]="","N/A",Table1[[#This Row],[Std Error]]+Table1[[#This Row],[DUT Read]]+Table1[[#This Row],[DUT Ucty]])</f>
        <v>N/A</v>
      </c>
      <c r="Y2854" s="1" t="str">
        <f>IF(Table1[[#This Row],[Std Read]]="","N/A",Table1[[#This Row],[Std Read]]+Table1[[#This Row],[Std Ucty]])</f>
        <v>N/A</v>
      </c>
      <c r="Z28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4" s="1" t="str">
        <f>IF(Table1[[#This Row],[Spec Type]]="","N/A",Table1[[#This Row],[Spec Type]])</f>
        <v>±</v>
      </c>
      <c r="AC2854" s="1" t="str">
        <f>IF(Table1[[#This Row],[Spec Type2]]="N/A","N/A",IF(AND(Table1[[#This Row],[DUT Adj Read]]&gt;=Table1[[#This Row],[Low Tol]],Table1[[#This Row],[DUT Adj Read]]&lt;=Table1[[#This Row],[High Tol]]),"Pass","Fail"))</f>
        <v>Fail</v>
      </c>
      <c r="AD2854" s="1" t="str">
        <f>IF(AND(Table1[[#This Row],[Spec Type2]]="N/A",Table1[[#This Row],[DUT Adj Read]]="N/A",Table1[[#This Row],[Std Adj Read]]="N/A"),"N/A",IF(Table1[[#This Row],[DUT Adj Read]]="N/A",IF(Table1[[#This Row],[Std Adj Read]]&gt;Table1[[#This Row],[Low Tol]],"Pass","Fail"),IF(Table1[[#This Row],[DUT Adj Read]]&gt;Table1[[#This Row],[Low Tol]],"Pass","Fail")))</f>
        <v>Pass</v>
      </c>
      <c r="AE2854" s="1" t="str">
        <f>IF(AND(Table1[[#This Row],[Spec Type2]]="N/A",Table1[[#This Row],[DUT Adj Read]]="N/A",Table1[[#This Row],[Std Adj Read]]="N/A"),"N/A",IF(Table1[[#This Row],[DUT Adj Read]]="N/A",IF(Table1[[#This Row],[Std Adj Read]]&lt;Table1[[#This Row],[High Tol]],"Pass","Fail"),IF(Table1[[#This Row],[DUT Adj Read]]&lt;Table1[[#This Row],[High Tol]],"Pass","Fail")))</f>
        <v>Fail</v>
      </c>
      <c r="AF2854" s="1" t="str">
        <f>IF(AND(Table1[[#This Row],[Spec Type2]]="N/A",Table1[[#This Row],[DUT Adj Read]]="N/A",Table1[[#This Row],[Std Adj Read]]="N/A"),"N/A",IF(Table1[[#This Row],[DUT Adj Read]]="N/A",IF(Table1[[#This Row],[Std Adj Read]]&gt;=Table1[[#This Row],[Low Tol]],"Pass","Fail"),IF(Table1[[#This Row],[DUT Adj Read]]&gt;=Table1[[#This Row],[Low Tol]],"Pass","Fail")))</f>
        <v>Pass</v>
      </c>
      <c r="AG2854" s="1" t="str">
        <f>IF(AND(Table1[[#This Row],[Spec Type2]]="N/A",Table1[[#This Row],[DUT Adj Read]]="N/A",Table1[[#This Row],[Std Adj Read]]="N/A"),"N/A",IF(Table1[[#This Row],[DUT Adj Read]]="N/A",IF(Table1[[#This Row],[Std Adj Read]]&lt;=Table1[[#This Row],[High Tol]],"Pass","Fail"),IF(Table1[[#This Row],[DUT Adj Read]]&lt;=Table1[[#This Row],[High Tol]],"Pass","Fail")))</f>
        <v>Fail</v>
      </c>
      <c r="AH28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4" s="1" t="b">
        <v>0</v>
      </c>
      <c r="AN2854" s="1" t="b">
        <v>0</v>
      </c>
      <c r="AO2854" s="1" t="b">
        <v>0</v>
      </c>
    </row>
    <row r="2855" spans="1:41" x14ac:dyDescent="0.25">
      <c r="A2855" s="10"/>
      <c r="B2855" s="10"/>
      <c r="C2855" s="10"/>
      <c r="D2855" s="10"/>
      <c r="E2855" s="10"/>
      <c r="F2855" s="10"/>
      <c r="G2855" s="10"/>
      <c r="H2855" s="10"/>
      <c r="I2855" s="1" t="str">
        <f t="shared" si="132"/>
        <v/>
      </c>
      <c r="J2855" s="1" t="s">
        <v>35</v>
      </c>
      <c r="K2855" s="1" t="str">
        <f t="shared" si="133"/>
        <v/>
      </c>
      <c r="L2855" s="1" t="str">
        <f t="shared" si="134"/>
        <v/>
      </c>
      <c r="M2855" s="1">
        <f>IF(OR(Table1[[#This Row],[Std Nom]]="",Table1[[#This Row],[Std Read]]=""),0,Table1[[#This Row],[Std Nom]]-Table1[[#This Row],[Std Read]])</f>
        <v>0</v>
      </c>
      <c r="N2855" s="1">
        <f>IF(Calculations!$F$5="ACCREDITED 17025 WITH UNCERTAINTIES",$N$10,0)</f>
        <v>0</v>
      </c>
      <c r="O2855" s="1" t="str">
        <f>IFERROR(Table1[[#This Row],[Std Nom]]-(_xlfn.XLOOKUP(Table1[[#This Row],[Manufacturer]]&amp;" "&amp;Table1[[#This Row],[Model]],Table13[MFR &amp; MDL],Table13[Tolerance % CW ],"")/100*Table1[[#This Row],[Std Nom]]),"")</f>
        <v/>
      </c>
      <c r="P2855" s="1" t="str">
        <f>IFERROR(Table1[[#This Row],[Std Nom]]+(_xlfn.XLOOKUP(Table1[[#This Row],[Manufacturer]]&amp;" "&amp;Table1[[#This Row],[Model]],Table13[MFR &amp; MDL],Table13[Tolerance % CW ],"")/100*Table1[[#This Row],[Std Nom]]),"")</f>
        <v/>
      </c>
      <c r="Q2855" s="1" t="e">
        <f>Table1[[#This Row],[High Tol]]-Table1[[#This Row],[Low Tol]]</f>
        <v>#VALUE!</v>
      </c>
      <c r="R2855" s="1">
        <f>2*Table1[[#This Row],[Std Error]]</f>
        <v>0</v>
      </c>
      <c r="S2855" s="1" t="str">
        <f>IF(Table1[[#This Row],[High Tol]]="","N/A",IFERROR(ABS(Table1[[#This Row],[Tol Span]]/Table1[[#This Row],[Error Span]]),"N/A"))</f>
        <v>N/A</v>
      </c>
      <c r="T2855" s="1" t="str">
        <f>IF(OR(Table1[[#This Row],[Low Tol]]="",Table1[[#This Row],[High Tol]]=""),"Needs Analysis",IF(Table1[[#This Row],[Ratio]]&gt;=4,"Not Significant",IF(Table1[[#This Row],[Ratio]]&gt;=2,"Semi-Significant","Significant")))</f>
        <v>Needs Analysis</v>
      </c>
      <c r="W2855" s="1">
        <f>IF(Table1[[#This Row],[Cal Type]]&lt;&gt;"ACCREDITED 17025 WITH UNCERTAINTIES",0,"")</f>
        <v>0</v>
      </c>
      <c r="X2855" s="1" t="str">
        <f>IF(Table1[[#This Row],[DUT Read]]="","N/A",Table1[[#This Row],[Std Error]]+Table1[[#This Row],[DUT Read]]+Table1[[#This Row],[DUT Ucty]])</f>
        <v>N/A</v>
      </c>
      <c r="Y2855" s="1" t="str">
        <f>IF(Table1[[#This Row],[Std Read]]="","N/A",Table1[[#This Row],[Std Read]]+Table1[[#This Row],[Std Ucty]])</f>
        <v>N/A</v>
      </c>
      <c r="Z28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5" s="1" t="str">
        <f>IF(Table1[[#This Row],[Spec Type]]="","N/A",Table1[[#This Row],[Spec Type]])</f>
        <v>±</v>
      </c>
      <c r="AC2855" s="1" t="str">
        <f>IF(Table1[[#This Row],[Spec Type2]]="N/A","N/A",IF(AND(Table1[[#This Row],[DUT Adj Read]]&gt;=Table1[[#This Row],[Low Tol]],Table1[[#This Row],[DUT Adj Read]]&lt;=Table1[[#This Row],[High Tol]]),"Pass","Fail"))</f>
        <v>Fail</v>
      </c>
      <c r="AD2855" s="1" t="str">
        <f>IF(AND(Table1[[#This Row],[Spec Type2]]="N/A",Table1[[#This Row],[DUT Adj Read]]="N/A",Table1[[#This Row],[Std Adj Read]]="N/A"),"N/A",IF(Table1[[#This Row],[DUT Adj Read]]="N/A",IF(Table1[[#This Row],[Std Adj Read]]&gt;Table1[[#This Row],[Low Tol]],"Pass","Fail"),IF(Table1[[#This Row],[DUT Adj Read]]&gt;Table1[[#This Row],[Low Tol]],"Pass","Fail")))</f>
        <v>Pass</v>
      </c>
      <c r="AE2855" s="1" t="str">
        <f>IF(AND(Table1[[#This Row],[Spec Type2]]="N/A",Table1[[#This Row],[DUT Adj Read]]="N/A",Table1[[#This Row],[Std Adj Read]]="N/A"),"N/A",IF(Table1[[#This Row],[DUT Adj Read]]="N/A",IF(Table1[[#This Row],[Std Adj Read]]&lt;Table1[[#This Row],[High Tol]],"Pass","Fail"),IF(Table1[[#This Row],[DUT Adj Read]]&lt;Table1[[#This Row],[High Tol]],"Pass","Fail")))</f>
        <v>Fail</v>
      </c>
      <c r="AF2855" s="1" t="str">
        <f>IF(AND(Table1[[#This Row],[Spec Type2]]="N/A",Table1[[#This Row],[DUT Adj Read]]="N/A",Table1[[#This Row],[Std Adj Read]]="N/A"),"N/A",IF(Table1[[#This Row],[DUT Adj Read]]="N/A",IF(Table1[[#This Row],[Std Adj Read]]&gt;=Table1[[#This Row],[Low Tol]],"Pass","Fail"),IF(Table1[[#This Row],[DUT Adj Read]]&gt;=Table1[[#This Row],[Low Tol]],"Pass","Fail")))</f>
        <v>Pass</v>
      </c>
      <c r="AG2855" s="1" t="str">
        <f>IF(AND(Table1[[#This Row],[Spec Type2]]="N/A",Table1[[#This Row],[DUT Adj Read]]="N/A",Table1[[#This Row],[Std Adj Read]]="N/A"),"N/A",IF(Table1[[#This Row],[DUT Adj Read]]="N/A",IF(Table1[[#This Row],[Std Adj Read]]&lt;=Table1[[#This Row],[High Tol]],"Pass","Fail"),IF(Table1[[#This Row],[DUT Adj Read]]&lt;=Table1[[#This Row],[High Tol]],"Pass","Fail")))</f>
        <v>Fail</v>
      </c>
      <c r="AH28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5" s="1" t="b">
        <v>0</v>
      </c>
      <c r="AN2855" s="1" t="b">
        <v>0</v>
      </c>
      <c r="AO2855" s="1" t="b">
        <v>0</v>
      </c>
    </row>
    <row r="2856" spans="1:41" x14ac:dyDescent="0.25">
      <c r="A2856" s="10"/>
      <c r="B2856" s="10"/>
      <c r="C2856" s="10"/>
      <c r="D2856" s="10"/>
      <c r="E2856" s="10"/>
      <c r="F2856" s="10"/>
      <c r="G2856" s="10"/>
      <c r="H2856" s="10"/>
      <c r="I2856" s="1" t="str">
        <f t="shared" si="132"/>
        <v/>
      </c>
      <c r="J2856" s="1" t="s">
        <v>35</v>
      </c>
      <c r="K2856" s="1" t="str">
        <f t="shared" si="133"/>
        <v/>
      </c>
      <c r="L2856" s="1" t="str">
        <f t="shared" si="134"/>
        <v/>
      </c>
      <c r="M2856" s="1">
        <f>IF(OR(Table1[[#This Row],[Std Nom]]="",Table1[[#This Row],[Std Read]]=""),0,Table1[[#This Row],[Std Nom]]-Table1[[#This Row],[Std Read]])</f>
        <v>0</v>
      </c>
      <c r="N2856" s="1">
        <f>IF(Calculations!$F$5="ACCREDITED 17025 WITH UNCERTAINTIES",$N$10,0)</f>
        <v>0</v>
      </c>
      <c r="O2856" s="1" t="str">
        <f>IFERROR(Table1[[#This Row],[Std Nom]]-(_xlfn.XLOOKUP(Table1[[#This Row],[Manufacturer]]&amp;" "&amp;Table1[[#This Row],[Model]],Table13[MFR &amp; MDL],Table13[Tolerance % CW ],"")/100*Table1[[#This Row],[Std Nom]]),"")</f>
        <v/>
      </c>
      <c r="P2856" s="1" t="str">
        <f>IFERROR(Table1[[#This Row],[Std Nom]]+(_xlfn.XLOOKUP(Table1[[#This Row],[Manufacturer]]&amp;" "&amp;Table1[[#This Row],[Model]],Table13[MFR &amp; MDL],Table13[Tolerance % CW ],"")/100*Table1[[#This Row],[Std Nom]]),"")</f>
        <v/>
      </c>
      <c r="Q2856" s="1" t="e">
        <f>Table1[[#This Row],[High Tol]]-Table1[[#This Row],[Low Tol]]</f>
        <v>#VALUE!</v>
      </c>
      <c r="R2856" s="1">
        <f>2*Table1[[#This Row],[Std Error]]</f>
        <v>0</v>
      </c>
      <c r="S2856" s="1" t="str">
        <f>IF(Table1[[#This Row],[High Tol]]="","N/A",IFERROR(ABS(Table1[[#This Row],[Tol Span]]/Table1[[#This Row],[Error Span]]),"N/A"))</f>
        <v>N/A</v>
      </c>
      <c r="T2856" s="1" t="str">
        <f>IF(OR(Table1[[#This Row],[Low Tol]]="",Table1[[#This Row],[High Tol]]=""),"Needs Analysis",IF(Table1[[#This Row],[Ratio]]&gt;=4,"Not Significant",IF(Table1[[#This Row],[Ratio]]&gt;=2,"Semi-Significant","Significant")))</f>
        <v>Needs Analysis</v>
      </c>
      <c r="W2856" s="1">
        <f>IF(Table1[[#This Row],[Cal Type]]&lt;&gt;"ACCREDITED 17025 WITH UNCERTAINTIES",0,"")</f>
        <v>0</v>
      </c>
      <c r="X2856" s="1" t="str">
        <f>IF(Table1[[#This Row],[DUT Read]]="","N/A",Table1[[#This Row],[Std Error]]+Table1[[#This Row],[DUT Read]]+Table1[[#This Row],[DUT Ucty]])</f>
        <v>N/A</v>
      </c>
      <c r="Y2856" s="1" t="str">
        <f>IF(Table1[[#This Row],[Std Read]]="","N/A",Table1[[#This Row],[Std Read]]+Table1[[#This Row],[Std Ucty]])</f>
        <v>N/A</v>
      </c>
      <c r="Z28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6" s="1" t="str">
        <f>IF(Table1[[#This Row],[Spec Type]]="","N/A",Table1[[#This Row],[Spec Type]])</f>
        <v>±</v>
      </c>
      <c r="AC2856" s="1" t="str">
        <f>IF(Table1[[#This Row],[Spec Type2]]="N/A","N/A",IF(AND(Table1[[#This Row],[DUT Adj Read]]&gt;=Table1[[#This Row],[Low Tol]],Table1[[#This Row],[DUT Adj Read]]&lt;=Table1[[#This Row],[High Tol]]),"Pass","Fail"))</f>
        <v>Fail</v>
      </c>
      <c r="AD2856" s="1" t="str">
        <f>IF(AND(Table1[[#This Row],[Spec Type2]]="N/A",Table1[[#This Row],[DUT Adj Read]]="N/A",Table1[[#This Row],[Std Adj Read]]="N/A"),"N/A",IF(Table1[[#This Row],[DUT Adj Read]]="N/A",IF(Table1[[#This Row],[Std Adj Read]]&gt;Table1[[#This Row],[Low Tol]],"Pass","Fail"),IF(Table1[[#This Row],[DUT Adj Read]]&gt;Table1[[#This Row],[Low Tol]],"Pass","Fail")))</f>
        <v>Pass</v>
      </c>
      <c r="AE2856" s="1" t="str">
        <f>IF(AND(Table1[[#This Row],[Spec Type2]]="N/A",Table1[[#This Row],[DUT Adj Read]]="N/A",Table1[[#This Row],[Std Adj Read]]="N/A"),"N/A",IF(Table1[[#This Row],[DUT Adj Read]]="N/A",IF(Table1[[#This Row],[Std Adj Read]]&lt;Table1[[#This Row],[High Tol]],"Pass","Fail"),IF(Table1[[#This Row],[DUT Adj Read]]&lt;Table1[[#This Row],[High Tol]],"Pass","Fail")))</f>
        <v>Fail</v>
      </c>
      <c r="AF2856" s="1" t="str">
        <f>IF(AND(Table1[[#This Row],[Spec Type2]]="N/A",Table1[[#This Row],[DUT Adj Read]]="N/A",Table1[[#This Row],[Std Adj Read]]="N/A"),"N/A",IF(Table1[[#This Row],[DUT Adj Read]]="N/A",IF(Table1[[#This Row],[Std Adj Read]]&gt;=Table1[[#This Row],[Low Tol]],"Pass","Fail"),IF(Table1[[#This Row],[DUT Adj Read]]&gt;=Table1[[#This Row],[Low Tol]],"Pass","Fail")))</f>
        <v>Pass</v>
      </c>
      <c r="AG2856" s="1" t="str">
        <f>IF(AND(Table1[[#This Row],[Spec Type2]]="N/A",Table1[[#This Row],[DUT Adj Read]]="N/A",Table1[[#This Row],[Std Adj Read]]="N/A"),"N/A",IF(Table1[[#This Row],[DUT Adj Read]]="N/A",IF(Table1[[#This Row],[Std Adj Read]]&lt;=Table1[[#This Row],[High Tol]],"Pass","Fail"),IF(Table1[[#This Row],[DUT Adj Read]]&lt;=Table1[[#This Row],[High Tol]],"Pass","Fail")))</f>
        <v>Fail</v>
      </c>
      <c r="AH28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6" s="1" t="b">
        <v>0</v>
      </c>
      <c r="AN2856" s="1" t="b">
        <v>0</v>
      </c>
      <c r="AO2856" s="1" t="b">
        <v>0</v>
      </c>
    </row>
    <row r="2857" spans="1:41" x14ac:dyDescent="0.25">
      <c r="A2857" s="10"/>
      <c r="B2857" s="10"/>
      <c r="C2857" s="10"/>
      <c r="D2857" s="10"/>
      <c r="E2857" s="10"/>
      <c r="F2857" s="10"/>
      <c r="G2857" s="10"/>
      <c r="H2857" s="10"/>
      <c r="I2857" s="1" t="str">
        <f t="shared" si="132"/>
        <v/>
      </c>
      <c r="J2857" s="1" t="s">
        <v>35</v>
      </c>
      <c r="K2857" s="1" t="str">
        <f t="shared" si="133"/>
        <v/>
      </c>
      <c r="L2857" s="1" t="str">
        <f t="shared" si="134"/>
        <v/>
      </c>
      <c r="M2857" s="1">
        <f>IF(OR(Table1[[#This Row],[Std Nom]]="",Table1[[#This Row],[Std Read]]=""),0,Table1[[#This Row],[Std Nom]]-Table1[[#This Row],[Std Read]])</f>
        <v>0</v>
      </c>
      <c r="N2857" s="1">
        <f>IF(Calculations!$F$5="ACCREDITED 17025 WITH UNCERTAINTIES",$N$10,0)</f>
        <v>0</v>
      </c>
      <c r="O2857" s="1" t="str">
        <f>IFERROR(Table1[[#This Row],[Std Nom]]-(_xlfn.XLOOKUP(Table1[[#This Row],[Manufacturer]]&amp;" "&amp;Table1[[#This Row],[Model]],Table13[MFR &amp; MDL],Table13[Tolerance % CW ],"")/100*Table1[[#This Row],[Std Nom]]),"")</f>
        <v/>
      </c>
      <c r="P2857" s="1" t="str">
        <f>IFERROR(Table1[[#This Row],[Std Nom]]+(_xlfn.XLOOKUP(Table1[[#This Row],[Manufacturer]]&amp;" "&amp;Table1[[#This Row],[Model]],Table13[MFR &amp; MDL],Table13[Tolerance % CW ],"")/100*Table1[[#This Row],[Std Nom]]),"")</f>
        <v/>
      </c>
      <c r="Q2857" s="1" t="e">
        <f>Table1[[#This Row],[High Tol]]-Table1[[#This Row],[Low Tol]]</f>
        <v>#VALUE!</v>
      </c>
      <c r="R2857" s="1">
        <f>2*Table1[[#This Row],[Std Error]]</f>
        <v>0</v>
      </c>
      <c r="S2857" s="1" t="str">
        <f>IF(Table1[[#This Row],[High Tol]]="","N/A",IFERROR(ABS(Table1[[#This Row],[Tol Span]]/Table1[[#This Row],[Error Span]]),"N/A"))</f>
        <v>N/A</v>
      </c>
      <c r="T2857" s="1" t="str">
        <f>IF(OR(Table1[[#This Row],[Low Tol]]="",Table1[[#This Row],[High Tol]]=""),"Needs Analysis",IF(Table1[[#This Row],[Ratio]]&gt;=4,"Not Significant",IF(Table1[[#This Row],[Ratio]]&gt;=2,"Semi-Significant","Significant")))</f>
        <v>Needs Analysis</v>
      </c>
      <c r="W2857" s="1">
        <f>IF(Table1[[#This Row],[Cal Type]]&lt;&gt;"ACCREDITED 17025 WITH UNCERTAINTIES",0,"")</f>
        <v>0</v>
      </c>
      <c r="X2857" s="1" t="str">
        <f>IF(Table1[[#This Row],[DUT Read]]="","N/A",Table1[[#This Row],[Std Error]]+Table1[[#This Row],[DUT Read]]+Table1[[#This Row],[DUT Ucty]])</f>
        <v>N/A</v>
      </c>
      <c r="Y2857" s="1" t="str">
        <f>IF(Table1[[#This Row],[Std Read]]="","N/A",Table1[[#This Row],[Std Read]]+Table1[[#This Row],[Std Ucty]])</f>
        <v>N/A</v>
      </c>
      <c r="Z28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7" s="1" t="str">
        <f>IF(Table1[[#This Row],[Spec Type]]="","N/A",Table1[[#This Row],[Spec Type]])</f>
        <v>±</v>
      </c>
      <c r="AC2857" s="1" t="str">
        <f>IF(Table1[[#This Row],[Spec Type2]]="N/A","N/A",IF(AND(Table1[[#This Row],[DUT Adj Read]]&gt;=Table1[[#This Row],[Low Tol]],Table1[[#This Row],[DUT Adj Read]]&lt;=Table1[[#This Row],[High Tol]]),"Pass","Fail"))</f>
        <v>Fail</v>
      </c>
      <c r="AD2857" s="1" t="str">
        <f>IF(AND(Table1[[#This Row],[Spec Type2]]="N/A",Table1[[#This Row],[DUT Adj Read]]="N/A",Table1[[#This Row],[Std Adj Read]]="N/A"),"N/A",IF(Table1[[#This Row],[DUT Adj Read]]="N/A",IF(Table1[[#This Row],[Std Adj Read]]&gt;Table1[[#This Row],[Low Tol]],"Pass","Fail"),IF(Table1[[#This Row],[DUT Adj Read]]&gt;Table1[[#This Row],[Low Tol]],"Pass","Fail")))</f>
        <v>Pass</v>
      </c>
      <c r="AE2857" s="1" t="str">
        <f>IF(AND(Table1[[#This Row],[Spec Type2]]="N/A",Table1[[#This Row],[DUT Adj Read]]="N/A",Table1[[#This Row],[Std Adj Read]]="N/A"),"N/A",IF(Table1[[#This Row],[DUT Adj Read]]="N/A",IF(Table1[[#This Row],[Std Adj Read]]&lt;Table1[[#This Row],[High Tol]],"Pass","Fail"),IF(Table1[[#This Row],[DUT Adj Read]]&lt;Table1[[#This Row],[High Tol]],"Pass","Fail")))</f>
        <v>Fail</v>
      </c>
      <c r="AF2857" s="1" t="str">
        <f>IF(AND(Table1[[#This Row],[Spec Type2]]="N/A",Table1[[#This Row],[DUT Adj Read]]="N/A",Table1[[#This Row],[Std Adj Read]]="N/A"),"N/A",IF(Table1[[#This Row],[DUT Adj Read]]="N/A",IF(Table1[[#This Row],[Std Adj Read]]&gt;=Table1[[#This Row],[Low Tol]],"Pass","Fail"),IF(Table1[[#This Row],[DUT Adj Read]]&gt;=Table1[[#This Row],[Low Tol]],"Pass","Fail")))</f>
        <v>Pass</v>
      </c>
      <c r="AG2857" s="1" t="str">
        <f>IF(AND(Table1[[#This Row],[Spec Type2]]="N/A",Table1[[#This Row],[DUT Adj Read]]="N/A",Table1[[#This Row],[Std Adj Read]]="N/A"),"N/A",IF(Table1[[#This Row],[DUT Adj Read]]="N/A",IF(Table1[[#This Row],[Std Adj Read]]&lt;=Table1[[#This Row],[High Tol]],"Pass","Fail"),IF(Table1[[#This Row],[DUT Adj Read]]&lt;=Table1[[#This Row],[High Tol]],"Pass","Fail")))</f>
        <v>Fail</v>
      </c>
      <c r="AH28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7" s="1" t="b">
        <v>0</v>
      </c>
      <c r="AN2857" s="1" t="b">
        <v>0</v>
      </c>
      <c r="AO2857" s="1" t="b">
        <v>0</v>
      </c>
    </row>
    <row r="2858" spans="1:41" x14ac:dyDescent="0.25">
      <c r="A2858" s="10"/>
      <c r="B2858" s="10"/>
      <c r="C2858" s="10"/>
      <c r="D2858" s="10"/>
      <c r="E2858" s="10"/>
      <c r="F2858" s="10"/>
      <c r="G2858" s="10"/>
      <c r="H2858" s="10"/>
      <c r="I2858" s="1" t="str">
        <f t="shared" si="132"/>
        <v/>
      </c>
      <c r="J2858" s="1" t="s">
        <v>35</v>
      </c>
      <c r="K2858" s="1" t="str">
        <f t="shared" si="133"/>
        <v/>
      </c>
      <c r="L2858" s="1" t="str">
        <f t="shared" si="134"/>
        <v/>
      </c>
      <c r="M2858" s="1">
        <f>IF(OR(Table1[[#This Row],[Std Nom]]="",Table1[[#This Row],[Std Read]]=""),0,Table1[[#This Row],[Std Nom]]-Table1[[#This Row],[Std Read]])</f>
        <v>0</v>
      </c>
      <c r="N2858" s="1">
        <f>IF(Calculations!$F$5="ACCREDITED 17025 WITH UNCERTAINTIES",$N$10,0)</f>
        <v>0</v>
      </c>
      <c r="O2858" s="1" t="str">
        <f>IFERROR(Table1[[#This Row],[Std Nom]]-(_xlfn.XLOOKUP(Table1[[#This Row],[Manufacturer]]&amp;" "&amp;Table1[[#This Row],[Model]],Table13[MFR &amp; MDL],Table13[Tolerance % CW ],"")/100*Table1[[#This Row],[Std Nom]]),"")</f>
        <v/>
      </c>
      <c r="P2858" s="1" t="str">
        <f>IFERROR(Table1[[#This Row],[Std Nom]]+(_xlfn.XLOOKUP(Table1[[#This Row],[Manufacturer]]&amp;" "&amp;Table1[[#This Row],[Model]],Table13[MFR &amp; MDL],Table13[Tolerance % CW ],"")/100*Table1[[#This Row],[Std Nom]]),"")</f>
        <v/>
      </c>
      <c r="Q2858" s="1" t="e">
        <f>Table1[[#This Row],[High Tol]]-Table1[[#This Row],[Low Tol]]</f>
        <v>#VALUE!</v>
      </c>
      <c r="R2858" s="1">
        <f>2*Table1[[#This Row],[Std Error]]</f>
        <v>0</v>
      </c>
      <c r="S2858" s="1" t="str">
        <f>IF(Table1[[#This Row],[High Tol]]="","N/A",IFERROR(ABS(Table1[[#This Row],[Tol Span]]/Table1[[#This Row],[Error Span]]),"N/A"))</f>
        <v>N/A</v>
      </c>
      <c r="T2858" s="1" t="str">
        <f>IF(OR(Table1[[#This Row],[Low Tol]]="",Table1[[#This Row],[High Tol]]=""),"Needs Analysis",IF(Table1[[#This Row],[Ratio]]&gt;=4,"Not Significant",IF(Table1[[#This Row],[Ratio]]&gt;=2,"Semi-Significant","Significant")))</f>
        <v>Needs Analysis</v>
      </c>
      <c r="W2858" s="1">
        <f>IF(Table1[[#This Row],[Cal Type]]&lt;&gt;"ACCREDITED 17025 WITH UNCERTAINTIES",0,"")</f>
        <v>0</v>
      </c>
      <c r="X2858" s="1" t="str">
        <f>IF(Table1[[#This Row],[DUT Read]]="","N/A",Table1[[#This Row],[Std Error]]+Table1[[#This Row],[DUT Read]]+Table1[[#This Row],[DUT Ucty]])</f>
        <v>N/A</v>
      </c>
      <c r="Y2858" s="1" t="str">
        <f>IF(Table1[[#This Row],[Std Read]]="","N/A",Table1[[#This Row],[Std Read]]+Table1[[#This Row],[Std Ucty]])</f>
        <v>N/A</v>
      </c>
      <c r="Z28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8" s="1" t="str">
        <f>IF(Table1[[#This Row],[Spec Type]]="","N/A",Table1[[#This Row],[Spec Type]])</f>
        <v>±</v>
      </c>
      <c r="AC2858" s="1" t="str">
        <f>IF(Table1[[#This Row],[Spec Type2]]="N/A","N/A",IF(AND(Table1[[#This Row],[DUT Adj Read]]&gt;=Table1[[#This Row],[Low Tol]],Table1[[#This Row],[DUT Adj Read]]&lt;=Table1[[#This Row],[High Tol]]),"Pass","Fail"))</f>
        <v>Fail</v>
      </c>
      <c r="AD2858" s="1" t="str">
        <f>IF(AND(Table1[[#This Row],[Spec Type2]]="N/A",Table1[[#This Row],[DUT Adj Read]]="N/A",Table1[[#This Row],[Std Adj Read]]="N/A"),"N/A",IF(Table1[[#This Row],[DUT Adj Read]]="N/A",IF(Table1[[#This Row],[Std Adj Read]]&gt;Table1[[#This Row],[Low Tol]],"Pass","Fail"),IF(Table1[[#This Row],[DUT Adj Read]]&gt;Table1[[#This Row],[Low Tol]],"Pass","Fail")))</f>
        <v>Pass</v>
      </c>
      <c r="AE2858" s="1" t="str">
        <f>IF(AND(Table1[[#This Row],[Spec Type2]]="N/A",Table1[[#This Row],[DUT Adj Read]]="N/A",Table1[[#This Row],[Std Adj Read]]="N/A"),"N/A",IF(Table1[[#This Row],[DUT Adj Read]]="N/A",IF(Table1[[#This Row],[Std Adj Read]]&lt;Table1[[#This Row],[High Tol]],"Pass","Fail"),IF(Table1[[#This Row],[DUT Adj Read]]&lt;Table1[[#This Row],[High Tol]],"Pass","Fail")))</f>
        <v>Fail</v>
      </c>
      <c r="AF2858" s="1" t="str">
        <f>IF(AND(Table1[[#This Row],[Spec Type2]]="N/A",Table1[[#This Row],[DUT Adj Read]]="N/A",Table1[[#This Row],[Std Adj Read]]="N/A"),"N/A",IF(Table1[[#This Row],[DUT Adj Read]]="N/A",IF(Table1[[#This Row],[Std Adj Read]]&gt;=Table1[[#This Row],[Low Tol]],"Pass","Fail"),IF(Table1[[#This Row],[DUT Adj Read]]&gt;=Table1[[#This Row],[Low Tol]],"Pass","Fail")))</f>
        <v>Pass</v>
      </c>
      <c r="AG2858" s="1" t="str">
        <f>IF(AND(Table1[[#This Row],[Spec Type2]]="N/A",Table1[[#This Row],[DUT Adj Read]]="N/A",Table1[[#This Row],[Std Adj Read]]="N/A"),"N/A",IF(Table1[[#This Row],[DUT Adj Read]]="N/A",IF(Table1[[#This Row],[Std Adj Read]]&lt;=Table1[[#This Row],[High Tol]],"Pass","Fail"),IF(Table1[[#This Row],[DUT Adj Read]]&lt;=Table1[[#This Row],[High Tol]],"Pass","Fail")))</f>
        <v>Fail</v>
      </c>
      <c r="AH28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8" s="1" t="b">
        <v>0</v>
      </c>
      <c r="AN2858" s="1" t="b">
        <v>0</v>
      </c>
      <c r="AO2858" s="1" t="b">
        <v>0</v>
      </c>
    </row>
    <row r="2859" spans="1:41" x14ac:dyDescent="0.25">
      <c r="A2859" s="10"/>
      <c r="B2859" s="10"/>
      <c r="C2859" s="10"/>
      <c r="D2859" s="10"/>
      <c r="E2859" s="10"/>
      <c r="F2859" s="10"/>
      <c r="G2859" s="10"/>
      <c r="H2859" s="10"/>
      <c r="I2859" s="1" t="str">
        <f t="shared" si="132"/>
        <v/>
      </c>
      <c r="J2859" s="1" t="s">
        <v>35</v>
      </c>
      <c r="K2859" s="1" t="str">
        <f t="shared" si="133"/>
        <v/>
      </c>
      <c r="L2859" s="1" t="str">
        <f t="shared" si="134"/>
        <v/>
      </c>
      <c r="M2859" s="1">
        <f>IF(OR(Table1[[#This Row],[Std Nom]]="",Table1[[#This Row],[Std Read]]=""),0,Table1[[#This Row],[Std Nom]]-Table1[[#This Row],[Std Read]])</f>
        <v>0</v>
      </c>
      <c r="N2859" s="1">
        <f>IF(Calculations!$F$5="ACCREDITED 17025 WITH UNCERTAINTIES",$N$10,0)</f>
        <v>0</v>
      </c>
      <c r="O2859" s="1" t="str">
        <f>IFERROR(Table1[[#This Row],[Std Nom]]-(_xlfn.XLOOKUP(Table1[[#This Row],[Manufacturer]]&amp;" "&amp;Table1[[#This Row],[Model]],Table13[MFR &amp; MDL],Table13[Tolerance % CW ],"")/100*Table1[[#This Row],[Std Nom]]),"")</f>
        <v/>
      </c>
      <c r="P2859" s="1" t="str">
        <f>IFERROR(Table1[[#This Row],[Std Nom]]+(_xlfn.XLOOKUP(Table1[[#This Row],[Manufacturer]]&amp;" "&amp;Table1[[#This Row],[Model]],Table13[MFR &amp; MDL],Table13[Tolerance % CW ],"")/100*Table1[[#This Row],[Std Nom]]),"")</f>
        <v/>
      </c>
      <c r="Q2859" s="1" t="e">
        <f>Table1[[#This Row],[High Tol]]-Table1[[#This Row],[Low Tol]]</f>
        <v>#VALUE!</v>
      </c>
      <c r="R2859" s="1">
        <f>2*Table1[[#This Row],[Std Error]]</f>
        <v>0</v>
      </c>
      <c r="S2859" s="1" t="str">
        <f>IF(Table1[[#This Row],[High Tol]]="","N/A",IFERROR(ABS(Table1[[#This Row],[Tol Span]]/Table1[[#This Row],[Error Span]]),"N/A"))</f>
        <v>N/A</v>
      </c>
      <c r="T2859" s="1" t="str">
        <f>IF(OR(Table1[[#This Row],[Low Tol]]="",Table1[[#This Row],[High Tol]]=""),"Needs Analysis",IF(Table1[[#This Row],[Ratio]]&gt;=4,"Not Significant",IF(Table1[[#This Row],[Ratio]]&gt;=2,"Semi-Significant","Significant")))</f>
        <v>Needs Analysis</v>
      </c>
      <c r="W2859" s="1">
        <f>IF(Table1[[#This Row],[Cal Type]]&lt;&gt;"ACCREDITED 17025 WITH UNCERTAINTIES",0,"")</f>
        <v>0</v>
      </c>
      <c r="X2859" s="1" t="str">
        <f>IF(Table1[[#This Row],[DUT Read]]="","N/A",Table1[[#This Row],[Std Error]]+Table1[[#This Row],[DUT Read]]+Table1[[#This Row],[DUT Ucty]])</f>
        <v>N/A</v>
      </c>
      <c r="Y2859" s="1" t="str">
        <f>IF(Table1[[#This Row],[Std Read]]="","N/A",Table1[[#This Row],[Std Read]]+Table1[[#This Row],[Std Ucty]])</f>
        <v>N/A</v>
      </c>
      <c r="Z28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9" s="1" t="str">
        <f>IF(Table1[[#This Row],[Spec Type]]="","N/A",Table1[[#This Row],[Spec Type]])</f>
        <v>±</v>
      </c>
      <c r="AC2859" s="1" t="str">
        <f>IF(Table1[[#This Row],[Spec Type2]]="N/A","N/A",IF(AND(Table1[[#This Row],[DUT Adj Read]]&gt;=Table1[[#This Row],[Low Tol]],Table1[[#This Row],[DUT Adj Read]]&lt;=Table1[[#This Row],[High Tol]]),"Pass","Fail"))</f>
        <v>Fail</v>
      </c>
      <c r="AD2859" s="1" t="str">
        <f>IF(AND(Table1[[#This Row],[Spec Type2]]="N/A",Table1[[#This Row],[DUT Adj Read]]="N/A",Table1[[#This Row],[Std Adj Read]]="N/A"),"N/A",IF(Table1[[#This Row],[DUT Adj Read]]="N/A",IF(Table1[[#This Row],[Std Adj Read]]&gt;Table1[[#This Row],[Low Tol]],"Pass","Fail"),IF(Table1[[#This Row],[DUT Adj Read]]&gt;Table1[[#This Row],[Low Tol]],"Pass","Fail")))</f>
        <v>Pass</v>
      </c>
      <c r="AE2859" s="1" t="str">
        <f>IF(AND(Table1[[#This Row],[Spec Type2]]="N/A",Table1[[#This Row],[DUT Adj Read]]="N/A",Table1[[#This Row],[Std Adj Read]]="N/A"),"N/A",IF(Table1[[#This Row],[DUT Adj Read]]="N/A",IF(Table1[[#This Row],[Std Adj Read]]&lt;Table1[[#This Row],[High Tol]],"Pass","Fail"),IF(Table1[[#This Row],[DUT Adj Read]]&lt;Table1[[#This Row],[High Tol]],"Pass","Fail")))</f>
        <v>Fail</v>
      </c>
      <c r="AF2859" s="1" t="str">
        <f>IF(AND(Table1[[#This Row],[Spec Type2]]="N/A",Table1[[#This Row],[DUT Adj Read]]="N/A",Table1[[#This Row],[Std Adj Read]]="N/A"),"N/A",IF(Table1[[#This Row],[DUT Adj Read]]="N/A",IF(Table1[[#This Row],[Std Adj Read]]&gt;=Table1[[#This Row],[Low Tol]],"Pass","Fail"),IF(Table1[[#This Row],[DUT Adj Read]]&gt;=Table1[[#This Row],[Low Tol]],"Pass","Fail")))</f>
        <v>Pass</v>
      </c>
      <c r="AG2859" s="1" t="str">
        <f>IF(AND(Table1[[#This Row],[Spec Type2]]="N/A",Table1[[#This Row],[DUT Adj Read]]="N/A",Table1[[#This Row],[Std Adj Read]]="N/A"),"N/A",IF(Table1[[#This Row],[DUT Adj Read]]="N/A",IF(Table1[[#This Row],[Std Adj Read]]&lt;=Table1[[#This Row],[High Tol]],"Pass","Fail"),IF(Table1[[#This Row],[DUT Adj Read]]&lt;=Table1[[#This Row],[High Tol]],"Pass","Fail")))</f>
        <v>Fail</v>
      </c>
      <c r="AH28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9" s="1" t="b">
        <v>0</v>
      </c>
      <c r="AN2859" s="1" t="b">
        <v>0</v>
      </c>
      <c r="AO2859" s="1" t="b">
        <v>0</v>
      </c>
    </row>
    <row r="2860" spans="1:41" x14ac:dyDescent="0.25">
      <c r="A2860" s="10"/>
      <c r="B2860" s="10"/>
      <c r="C2860" s="10"/>
      <c r="D2860" s="10"/>
      <c r="E2860" s="10"/>
      <c r="F2860" s="10"/>
      <c r="G2860" s="10"/>
      <c r="H2860" s="10"/>
      <c r="I2860" s="1" t="str">
        <f t="shared" si="132"/>
        <v/>
      </c>
      <c r="J2860" s="1" t="s">
        <v>35</v>
      </c>
      <c r="K2860" s="1" t="str">
        <f t="shared" si="133"/>
        <v/>
      </c>
      <c r="L2860" s="1" t="str">
        <f t="shared" si="134"/>
        <v/>
      </c>
      <c r="M2860" s="1">
        <f>IF(OR(Table1[[#This Row],[Std Nom]]="",Table1[[#This Row],[Std Read]]=""),0,Table1[[#This Row],[Std Nom]]-Table1[[#This Row],[Std Read]])</f>
        <v>0</v>
      </c>
      <c r="N2860" s="1">
        <f>IF(Calculations!$F$5="ACCREDITED 17025 WITH UNCERTAINTIES",$N$10,0)</f>
        <v>0</v>
      </c>
      <c r="O2860" s="1" t="str">
        <f>IFERROR(Table1[[#This Row],[Std Nom]]-(_xlfn.XLOOKUP(Table1[[#This Row],[Manufacturer]]&amp;" "&amp;Table1[[#This Row],[Model]],Table13[MFR &amp; MDL],Table13[Tolerance % CW ],"")/100*Table1[[#This Row],[Std Nom]]),"")</f>
        <v/>
      </c>
      <c r="P2860" s="1" t="str">
        <f>IFERROR(Table1[[#This Row],[Std Nom]]+(_xlfn.XLOOKUP(Table1[[#This Row],[Manufacturer]]&amp;" "&amp;Table1[[#This Row],[Model]],Table13[MFR &amp; MDL],Table13[Tolerance % CW ],"")/100*Table1[[#This Row],[Std Nom]]),"")</f>
        <v/>
      </c>
      <c r="Q2860" s="1" t="e">
        <f>Table1[[#This Row],[High Tol]]-Table1[[#This Row],[Low Tol]]</f>
        <v>#VALUE!</v>
      </c>
      <c r="R2860" s="1">
        <f>2*Table1[[#This Row],[Std Error]]</f>
        <v>0</v>
      </c>
      <c r="S2860" s="1" t="str">
        <f>IF(Table1[[#This Row],[High Tol]]="","N/A",IFERROR(ABS(Table1[[#This Row],[Tol Span]]/Table1[[#This Row],[Error Span]]),"N/A"))</f>
        <v>N/A</v>
      </c>
      <c r="T2860" s="1" t="str">
        <f>IF(OR(Table1[[#This Row],[Low Tol]]="",Table1[[#This Row],[High Tol]]=""),"Needs Analysis",IF(Table1[[#This Row],[Ratio]]&gt;=4,"Not Significant",IF(Table1[[#This Row],[Ratio]]&gt;=2,"Semi-Significant","Significant")))</f>
        <v>Needs Analysis</v>
      </c>
      <c r="W2860" s="1">
        <f>IF(Table1[[#This Row],[Cal Type]]&lt;&gt;"ACCREDITED 17025 WITH UNCERTAINTIES",0,"")</f>
        <v>0</v>
      </c>
      <c r="X2860" s="1" t="str">
        <f>IF(Table1[[#This Row],[DUT Read]]="","N/A",Table1[[#This Row],[Std Error]]+Table1[[#This Row],[DUT Read]]+Table1[[#This Row],[DUT Ucty]])</f>
        <v>N/A</v>
      </c>
      <c r="Y2860" s="1" t="str">
        <f>IF(Table1[[#This Row],[Std Read]]="","N/A",Table1[[#This Row],[Std Read]]+Table1[[#This Row],[Std Ucty]])</f>
        <v>N/A</v>
      </c>
      <c r="Z28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0" s="1" t="str">
        <f>IF(Table1[[#This Row],[Spec Type]]="","N/A",Table1[[#This Row],[Spec Type]])</f>
        <v>±</v>
      </c>
      <c r="AC2860" s="1" t="str">
        <f>IF(Table1[[#This Row],[Spec Type2]]="N/A","N/A",IF(AND(Table1[[#This Row],[DUT Adj Read]]&gt;=Table1[[#This Row],[Low Tol]],Table1[[#This Row],[DUT Adj Read]]&lt;=Table1[[#This Row],[High Tol]]),"Pass","Fail"))</f>
        <v>Fail</v>
      </c>
      <c r="AD2860" s="1" t="str">
        <f>IF(AND(Table1[[#This Row],[Spec Type2]]="N/A",Table1[[#This Row],[DUT Adj Read]]="N/A",Table1[[#This Row],[Std Adj Read]]="N/A"),"N/A",IF(Table1[[#This Row],[DUT Adj Read]]="N/A",IF(Table1[[#This Row],[Std Adj Read]]&gt;Table1[[#This Row],[Low Tol]],"Pass","Fail"),IF(Table1[[#This Row],[DUT Adj Read]]&gt;Table1[[#This Row],[Low Tol]],"Pass","Fail")))</f>
        <v>Pass</v>
      </c>
      <c r="AE2860" s="1" t="str">
        <f>IF(AND(Table1[[#This Row],[Spec Type2]]="N/A",Table1[[#This Row],[DUT Adj Read]]="N/A",Table1[[#This Row],[Std Adj Read]]="N/A"),"N/A",IF(Table1[[#This Row],[DUT Adj Read]]="N/A",IF(Table1[[#This Row],[Std Adj Read]]&lt;Table1[[#This Row],[High Tol]],"Pass","Fail"),IF(Table1[[#This Row],[DUT Adj Read]]&lt;Table1[[#This Row],[High Tol]],"Pass","Fail")))</f>
        <v>Fail</v>
      </c>
      <c r="AF2860" s="1" t="str">
        <f>IF(AND(Table1[[#This Row],[Spec Type2]]="N/A",Table1[[#This Row],[DUT Adj Read]]="N/A",Table1[[#This Row],[Std Adj Read]]="N/A"),"N/A",IF(Table1[[#This Row],[DUT Adj Read]]="N/A",IF(Table1[[#This Row],[Std Adj Read]]&gt;=Table1[[#This Row],[Low Tol]],"Pass","Fail"),IF(Table1[[#This Row],[DUT Adj Read]]&gt;=Table1[[#This Row],[Low Tol]],"Pass","Fail")))</f>
        <v>Pass</v>
      </c>
      <c r="AG2860" s="1" t="str">
        <f>IF(AND(Table1[[#This Row],[Spec Type2]]="N/A",Table1[[#This Row],[DUT Adj Read]]="N/A",Table1[[#This Row],[Std Adj Read]]="N/A"),"N/A",IF(Table1[[#This Row],[DUT Adj Read]]="N/A",IF(Table1[[#This Row],[Std Adj Read]]&lt;=Table1[[#This Row],[High Tol]],"Pass","Fail"),IF(Table1[[#This Row],[DUT Adj Read]]&lt;=Table1[[#This Row],[High Tol]],"Pass","Fail")))</f>
        <v>Fail</v>
      </c>
      <c r="AH28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0" s="1" t="b">
        <v>0</v>
      </c>
      <c r="AN2860" s="1" t="b">
        <v>0</v>
      </c>
      <c r="AO2860" s="1" t="b">
        <v>0</v>
      </c>
    </row>
    <row r="2861" spans="1:41" x14ac:dyDescent="0.25">
      <c r="A2861" s="10"/>
      <c r="B2861" s="10"/>
      <c r="C2861" s="10"/>
      <c r="D2861" s="10"/>
      <c r="E2861" s="10"/>
      <c r="F2861" s="10"/>
      <c r="G2861" s="10"/>
      <c r="H2861" s="10"/>
      <c r="I2861" s="1" t="str">
        <f t="shared" si="132"/>
        <v/>
      </c>
      <c r="J2861" s="1" t="s">
        <v>35</v>
      </c>
      <c r="K2861" s="1" t="str">
        <f t="shared" si="133"/>
        <v/>
      </c>
      <c r="L2861" s="1" t="str">
        <f t="shared" si="134"/>
        <v/>
      </c>
      <c r="M2861" s="1">
        <f>IF(OR(Table1[[#This Row],[Std Nom]]="",Table1[[#This Row],[Std Read]]=""),0,Table1[[#This Row],[Std Nom]]-Table1[[#This Row],[Std Read]])</f>
        <v>0</v>
      </c>
      <c r="N2861" s="1">
        <f>IF(Calculations!$F$5="ACCREDITED 17025 WITH UNCERTAINTIES",$N$10,0)</f>
        <v>0</v>
      </c>
      <c r="O2861" s="1" t="str">
        <f>IFERROR(Table1[[#This Row],[Std Nom]]-(_xlfn.XLOOKUP(Table1[[#This Row],[Manufacturer]]&amp;" "&amp;Table1[[#This Row],[Model]],Table13[MFR &amp; MDL],Table13[Tolerance % CW ],"")/100*Table1[[#This Row],[Std Nom]]),"")</f>
        <v/>
      </c>
      <c r="P2861" s="1" t="str">
        <f>IFERROR(Table1[[#This Row],[Std Nom]]+(_xlfn.XLOOKUP(Table1[[#This Row],[Manufacturer]]&amp;" "&amp;Table1[[#This Row],[Model]],Table13[MFR &amp; MDL],Table13[Tolerance % CW ],"")/100*Table1[[#This Row],[Std Nom]]),"")</f>
        <v/>
      </c>
      <c r="Q2861" s="1" t="e">
        <f>Table1[[#This Row],[High Tol]]-Table1[[#This Row],[Low Tol]]</f>
        <v>#VALUE!</v>
      </c>
      <c r="R2861" s="1">
        <f>2*Table1[[#This Row],[Std Error]]</f>
        <v>0</v>
      </c>
      <c r="S2861" s="1" t="str">
        <f>IF(Table1[[#This Row],[High Tol]]="","N/A",IFERROR(ABS(Table1[[#This Row],[Tol Span]]/Table1[[#This Row],[Error Span]]),"N/A"))</f>
        <v>N/A</v>
      </c>
      <c r="T2861" s="1" t="str">
        <f>IF(OR(Table1[[#This Row],[Low Tol]]="",Table1[[#This Row],[High Tol]]=""),"Needs Analysis",IF(Table1[[#This Row],[Ratio]]&gt;=4,"Not Significant",IF(Table1[[#This Row],[Ratio]]&gt;=2,"Semi-Significant","Significant")))</f>
        <v>Needs Analysis</v>
      </c>
      <c r="W2861" s="1">
        <f>IF(Table1[[#This Row],[Cal Type]]&lt;&gt;"ACCREDITED 17025 WITH UNCERTAINTIES",0,"")</f>
        <v>0</v>
      </c>
      <c r="X2861" s="1" t="str">
        <f>IF(Table1[[#This Row],[DUT Read]]="","N/A",Table1[[#This Row],[Std Error]]+Table1[[#This Row],[DUT Read]]+Table1[[#This Row],[DUT Ucty]])</f>
        <v>N/A</v>
      </c>
      <c r="Y2861" s="1" t="str">
        <f>IF(Table1[[#This Row],[Std Read]]="","N/A",Table1[[#This Row],[Std Read]]+Table1[[#This Row],[Std Ucty]])</f>
        <v>N/A</v>
      </c>
      <c r="Z28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1" s="1" t="str">
        <f>IF(Table1[[#This Row],[Spec Type]]="","N/A",Table1[[#This Row],[Spec Type]])</f>
        <v>±</v>
      </c>
      <c r="AC2861" s="1" t="str">
        <f>IF(Table1[[#This Row],[Spec Type2]]="N/A","N/A",IF(AND(Table1[[#This Row],[DUT Adj Read]]&gt;=Table1[[#This Row],[Low Tol]],Table1[[#This Row],[DUT Adj Read]]&lt;=Table1[[#This Row],[High Tol]]),"Pass","Fail"))</f>
        <v>Fail</v>
      </c>
      <c r="AD2861" s="1" t="str">
        <f>IF(AND(Table1[[#This Row],[Spec Type2]]="N/A",Table1[[#This Row],[DUT Adj Read]]="N/A",Table1[[#This Row],[Std Adj Read]]="N/A"),"N/A",IF(Table1[[#This Row],[DUT Adj Read]]="N/A",IF(Table1[[#This Row],[Std Adj Read]]&gt;Table1[[#This Row],[Low Tol]],"Pass","Fail"),IF(Table1[[#This Row],[DUT Adj Read]]&gt;Table1[[#This Row],[Low Tol]],"Pass","Fail")))</f>
        <v>Pass</v>
      </c>
      <c r="AE2861" s="1" t="str">
        <f>IF(AND(Table1[[#This Row],[Spec Type2]]="N/A",Table1[[#This Row],[DUT Adj Read]]="N/A",Table1[[#This Row],[Std Adj Read]]="N/A"),"N/A",IF(Table1[[#This Row],[DUT Adj Read]]="N/A",IF(Table1[[#This Row],[Std Adj Read]]&lt;Table1[[#This Row],[High Tol]],"Pass","Fail"),IF(Table1[[#This Row],[DUT Adj Read]]&lt;Table1[[#This Row],[High Tol]],"Pass","Fail")))</f>
        <v>Fail</v>
      </c>
      <c r="AF2861" s="1" t="str">
        <f>IF(AND(Table1[[#This Row],[Spec Type2]]="N/A",Table1[[#This Row],[DUT Adj Read]]="N/A",Table1[[#This Row],[Std Adj Read]]="N/A"),"N/A",IF(Table1[[#This Row],[DUT Adj Read]]="N/A",IF(Table1[[#This Row],[Std Adj Read]]&gt;=Table1[[#This Row],[Low Tol]],"Pass","Fail"),IF(Table1[[#This Row],[DUT Adj Read]]&gt;=Table1[[#This Row],[Low Tol]],"Pass","Fail")))</f>
        <v>Pass</v>
      </c>
      <c r="AG2861" s="1" t="str">
        <f>IF(AND(Table1[[#This Row],[Spec Type2]]="N/A",Table1[[#This Row],[DUT Adj Read]]="N/A",Table1[[#This Row],[Std Adj Read]]="N/A"),"N/A",IF(Table1[[#This Row],[DUT Adj Read]]="N/A",IF(Table1[[#This Row],[Std Adj Read]]&lt;=Table1[[#This Row],[High Tol]],"Pass","Fail"),IF(Table1[[#This Row],[DUT Adj Read]]&lt;=Table1[[#This Row],[High Tol]],"Pass","Fail")))</f>
        <v>Fail</v>
      </c>
      <c r="AH28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1" s="1" t="b">
        <v>0</v>
      </c>
      <c r="AN2861" s="1" t="b">
        <v>0</v>
      </c>
      <c r="AO2861" s="1" t="b">
        <v>0</v>
      </c>
    </row>
    <row r="2862" spans="1:41" x14ac:dyDescent="0.25">
      <c r="A2862" s="10"/>
      <c r="B2862" s="10"/>
      <c r="C2862" s="10"/>
      <c r="D2862" s="10"/>
      <c r="E2862" s="10"/>
      <c r="F2862" s="10"/>
      <c r="G2862" s="10"/>
      <c r="H2862" s="10"/>
      <c r="I2862" s="1" t="str">
        <f t="shared" si="132"/>
        <v/>
      </c>
      <c r="J2862" s="1" t="s">
        <v>35</v>
      </c>
      <c r="K2862" s="1" t="str">
        <f t="shared" si="133"/>
        <v/>
      </c>
      <c r="L2862" s="1" t="str">
        <f t="shared" si="134"/>
        <v/>
      </c>
      <c r="M2862" s="1">
        <f>IF(OR(Table1[[#This Row],[Std Nom]]="",Table1[[#This Row],[Std Read]]=""),0,Table1[[#This Row],[Std Nom]]-Table1[[#This Row],[Std Read]])</f>
        <v>0</v>
      </c>
      <c r="N2862" s="1">
        <f>IF(Calculations!$F$5="ACCREDITED 17025 WITH UNCERTAINTIES",$N$10,0)</f>
        <v>0</v>
      </c>
      <c r="O2862" s="1" t="str">
        <f>IFERROR(Table1[[#This Row],[Std Nom]]-(_xlfn.XLOOKUP(Table1[[#This Row],[Manufacturer]]&amp;" "&amp;Table1[[#This Row],[Model]],Table13[MFR &amp; MDL],Table13[Tolerance % CW ],"")/100*Table1[[#This Row],[Std Nom]]),"")</f>
        <v/>
      </c>
      <c r="P2862" s="1" t="str">
        <f>IFERROR(Table1[[#This Row],[Std Nom]]+(_xlfn.XLOOKUP(Table1[[#This Row],[Manufacturer]]&amp;" "&amp;Table1[[#This Row],[Model]],Table13[MFR &amp; MDL],Table13[Tolerance % CW ],"")/100*Table1[[#This Row],[Std Nom]]),"")</f>
        <v/>
      </c>
      <c r="Q2862" s="1" t="e">
        <f>Table1[[#This Row],[High Tol]]-Table1[[#This Row],[Low Tol]]</f>
        <v>#VALUE!</v>
      </c>
      <c r="R2862" s="1">
        <f>2*Table1[[#This Row],[Std Error]]</f>
        <v>0</v>
      </c>
      <c r="S2862" s="1" t="str">
        <f>IF(Table1[[#This Row],[High Tol]]="","N/A",IFERROR(ABS(Table1[[#This Row],[Tol Span]]/Table1[[#This Row],[Error Span]]),"N/A"))</f>
        <v>N/A</v>
      </c>
      <c r="T2862" s="1" t="str">
        <f>IF(OR(Table1[[#This Row],[Low Tol]]="",Table1[[#This Row],[High Tol]]=""),"Needs Analysis",IF(Table1[[#This Row],[Ratio]]&gt;=4,"Not Significant",IF(Table1[[#This Row],[Ratio]]&gt;=2,"Semi-Significant","Significant")))</f>
        <v>Needs Analysis</v>
      </c>
      <c r="W2862" s="1">
        <f>IF(Table1[[#This Row],[Cal Type]]&lt;&gt;"ACCREDITED 17025 WITH UNCERTAINTIES",0,"")</f>
        <v>0</v>
      </c>
      <c r="X2862" s="1" t="str">
        <f>IF(Table1[[#This Row],[DUT Read]]="","N/A",Table1[[#This Row],[Std Error]]+Table1[[#This Row],[DUT Read]]+Table1[[#This Row],[DUT Ucty]])</f>
        <v>N/A</v>
      </c>
      <c r="Y2862" s="1" t="str">
        <f>IF(Table1[[#This Row],[Std Read]]="","N/A",Table1[[#This Row],[Std Read]]+Table1[[#This Row],[Std Ucty]])</f>
        <v>N/A</v>
      </c>
      <c r="Z28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2" s="1" t="str">
        <f>IF(Table1[[#This Row],[Spec Type]]="","N/A",Table1[[#This Row],[Spec Type]])</f>
        <v>±</v>
      </c>
      <c r="AC2862" s="1" t="str">
        <f>IF(Table1[[#This Row],[Spec Type2]]="N/A","N/A",IF(AND(Table1[[#This Row],[DUT Adj Read]]&gt;=Table1[[#This Row],[Low Tol]],Table1[[#This Row],[DUT Adj Read]]&lt;=Table1[[#This Row],[High Tol]]),"Pass","Fail"))</f>
        <v>Fail</v>
      </c>
      <c r="AD2862" s="1" t="str">
        <f>IF(AND(Table1[[#This Row],[Spec Type2]]="N/A",Table1[[#This Row],[DUT Adj Read]]="N/A",Table1[[#This Row],[Std Adj Read]]="N/A"),"N/A",IF(Table1[[#This Row],[DUT Adj Read]]="N/A",IF(Table1[[#This Row],[Std Adj Read]]&gt;Table1[[#This Row],[Low Tol]],"Pass","Fail"),IF(Table1[[#This Row],[DUT Adj Read]]&gt;Table1[[#This Row],[Low Tol]],"Pass","Fail")))</f>
        <v>Pass</v>
      </c>
      <c r="AE2862" s="1" t="str">
        <f>IF(AND(Table1[[#This Row],[Spec Type2]]="N/A",Table1[[#This Row],[DUT Adj Read]]="N/A",Table1[[#This Row],[Std Adj Read]]="N/A"),"N/A",IF(Table1[[#This Row],[DUT Adj Read]]="N/A",IF(Table1[[#This Row],[Std Adj Read]]&lt;Table1[[#This Row],[High Tol]],"Pass","Fail"),IF(Table1[[#This Row],[DUT Adj Read]]&lt;Table1[[#This Row],[High Tol]],"Pass","Fail")))</f>
        <v>Fail</v>
      </c>
      <c r="AF2862" s="1" t="str">
        <f>IF(AND(Table1[[#This Row],[Spec Type2]]="N/A",Table1[[#This Row],[DUT Adj Read]]="N/A",Table1[[#This Row],[Std Adj Read]]="N/A"),"N/A",IF(Table1[[#This Row],[DUT Adj Read]]="N/A",IF(Table1[[#This Row],[Std Adj Read]]&gt;=Table1[[#This Row],[Low Tol]],"Pass","Fail"),IF(Table1[[#This Row],[DUT Adj Read]]&gt;=Table1[[#This Row],[Low Tol]],"Pass","Fail")))</f>
        <v>Pass</v>
      </c>
      <c r="AG2862" s="1" t="str">
        <f>IF(AND(Table1[[#This Row],[Spec Type2]]="N/A",Table1[[#This Row],[DUT Adj Read]]="N/A",Table1[[#This Row],[Std Adj Read]]="N/A"),"N/A",IF(Table1[[#This Row],[DUT Adj Read]]="N/A",IF(Table1[[#This Row],[Std Adj Read]]&lt;=Table1[[#This Row],[High Tol]],"Pass","Fail"),IF(Table1[[#This Row],[DUT Adj Read]]&lt;=Table1[[#This Row],[High Tol]],"Pass","Fail")))</f>
        <v>Fail</v>
      </c>
      <c r="AH28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2" s="1" t="b">
        <v>0</v>
      </c>
      <c r="AN2862" s="1" t="b">
        <v>0</v>
      </c>
      <c r="AO2862" s="1" t="b">
        <v>0</v>
      </c>
    </row>
    <row r="2863" spans="1:41" x14ac:dyDescent="0.25">
      <c r="A2863" s="10"/>
      <c r="B2863" s="10"/>
      <c r="C2863" s="10"/>
      <c r="D2863" s="10"/>
      <c r="E2863" s="10"/>
      <c r="F2863" s="10"/>
      <c r="G2863" s="10"/>
      <c r="H2863" s="10"/>
      <c r="I2863" s="1" t="str">
        <f t="shared" si="132"/>
        <v/>
      </c>
      <c r="J2863" s="1" t="s">
        <v>35</v>
      </c>
      <c r="K2863" s="1" t="str">
        <f t="shared" si="133"/>
        <v/>
      </c>
      <c r="L2863" s="1" t="str">
        <f t="shared" si="134"/>
        <v/>
      </c>
      <c r="M2863" s="1">
        <f>IF(OR(Table1[[#This Row],[Std Nom]]="",Table1[[#This Row],[Std Read]]=""),0,Table1[[#This Row],[Std Nom]]-Table1[[#This Row],[Std Read]])</f>
        <v>0</v>
      </c>
      <c r="N2863" s="1">
        <f>IF(Calculations!$F$5="ACCREDITED 17025 WITH UNCERTAINTIES",$N$10,0)</f>
        <v>0</v>
      </c>
      <c r="O2863" s="1" t="str">
        <f>IFERROR(Table1[[#This Row],[Std Nom]]-(_xlfn.XLOOKUP(Table1[[#This Row],[Manufacturer]]&amp;" "&amp;Table1[[#This Row],[Model]],Table13[MFR &amp; MDL],Table13[Tolerance % CW ],"")/100*Table1[[#This Row],[Std Nom]]),"")</f>
        <v/>
      </c>
      <c r="P2863" s="1" t="str">
        <f>IFERROR(Table1[[#This Row],[Std Nom]]+(_xlfn.XLOOKUP(Table1[[#This Row],[Manufacturer]]&amp;" "&amp;Table1[[#This Row],[Model]],Table13[MFR &amp; MDL],Table13[Tolerance % CW ],"")/100*Table1[[#This Row],[Std Nom]]),"")</f>
        <v/>
      </c>
      <c r="Q2863" s="1" t="e">
        <f>Table1[[#This Row],[High Tol]]-Table1[[#This Row],[Low Tol]]</f>
        <v>#VALUE!</v>
      </c>
      <c r="R2863" s="1">
        <f>2*Table1[[#This Row],[Std Error]]</f>
        <v>0</v>
      </c>
      <c r="S2863" s="1" t="str">
        <f>IF(Table1[[#This Row],[High Tol]]="","N/A",IFERROR(ABS(Table1[[#This Row],[Tol Span]]/Table1[[#This Row],[Error Span]]),"N/A"))</f>
        <v>N/A</v>
      </c>
      <c r="T2863" s="1" t="str">
        <f>IF(OR(Table1[[#This Row],[Low Tol]]="",Table1[[#This Row],[High Tol]]=""),"Needs Analysis",IF(Table1[[#This Row],[Ratio]]&gt;=4,"Not Significant",IF(Table1[[#This Row],[Ratio]]&gt;=2,"Semi-Significant","Significant")))</f>
        <v>Needs Analysis</v>
      </c>
      <c r="W2863" s="1">
        <f>IF(Table1[[#This Row],[Cal Type]]&lt;&gt;"ACCREDITED 17025 WITH UNCERTAINTIES",0,"")</f>
        <v>0</v>
      </c>
      <c r="X2863" s="1" t="str">
        <f>IF(Table1[[#This Row],[DUT Read]]="","N/A",Table1[[#This Row],[Std Error]]+Table1[[#This Row],[DUT Read]]+Table1[[#This Row],[DUT Ucty]])</f>
        <v>N/A</v>
      </c>
      <c r="Y2863" s="1" t="str">
        <f>IF(Table1[[#This Row],[Std Read]]="","N/A",Table1[[#This Row],[Std Read]]+Table1[[#This Row],[Std Ucty]])</f>
        <v>N/A</v>
      </c>
      <c r="Z28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3" s="1" t="str">
        <f>IF(Table1[[#This Row],[Spec Type]]="","N/A",Table1[[#This Row],[Spec Type]])</f>
        <v>±</v>
      </c>
      <c r="AC2863" s="1" t="str">
        <f>IF(Table1[[#This Row],[Spec Type2]]="N/A","N/A",IF(AND(Table1[[#This Row],[DUT Adj Read]]&gt;=Table1[[#This Row],[Low Tol]],Table1[[#This Row],[DUT Adj Read]]&lt;=Table1[[#This Row],[High Tol]]),"Pass","Fail"))</f>
        <v>Fail</v>
      </c>
      <c r="AD2863" s="1" t="str">
        <f>IF(AND(Table1[[#This Row],[Spec Type2]]="N/A",Table1[[#This Row],[DUT Adj Read]]="N/A",Table1[[#This Row],[Std Adj Read]]="N/A"),"N/A",IF(Table1[[#This Row],[DUT Adj Read]]="N/A",IF(Table1[[#This Row],[Std Adj Read]]&gt;Table1[[#This Row],[Low Tol]],"Pass","Fail"),IF(Table1[[#This Row],[DUT Adj Read]]&gt;Table1[[#This Row],[Low Tol]],"Pass","Fail")))</f>
        <v>Pass</v>
      </c>
      <c r="AE2863" s="1" t="str">
        <f>IF(AND(Table1[[#This Row],[Spec Type2]]="N/A",Table1[[#This Row],[DUT Adj Read]]="N/A",Table1[[#This Row],[Std Adj Read]]="N/A"),"N/A",IF(Table1[[#This Row],[DUT Adj Read]]="N/A",IF(Table1[[#This Row],[Std Adj Read]]&lt;Table1[[#This Row],[High Tol]],"Pass","Fail"),IF(Table1[[#This Row],[DUT Adj Read]]&lt;Table1[[#This Row],[High Tol]],"Pass","Fail")))</f>
        <v>Fail</v>
      </c>
      <c r="AF2863" s="1" t="str">
        <f>IF(AND(Table1[[#This Row],[Spec Type2]]="N/A",Table1[[#This Row],[DUT Adj Read]]="N/A",Table1[[#This Row],[Std Adj Read]]="N/A"),"N/A",IF(Table1[[#This Row],[DUT Adj Read]]="N/A",IF(Table1[[#This Row],[Std Adj Read]]&gt;=Table1[[#This Row],[Low Tol]],"Pass","Fail"),IF(Table1[[#This Row],[DUT Adj Read]]&gt;=Table1[[#This Row],[Low Tol]],"Pass","Fail")))</f>
        <v>Pass</v>
      </c>
      <c r="AG2863" s="1" t="str">
        <f>IF(AND(Table1[[#This Row],[Spec Type2]]="N/A",Table1[[#This Row],[DUT Adj Read]]="N/A",Table1[[#This Row],[Std Adj Read]]="N/A"),"N/A",IF(Table1[[#This Row],[DUT Adj Read]]="N/A",IF(Table1[[#This Row],[Std Adj Read]]&lt;=Table1[[#This Row],[High Tol]],"Pass","Fail"),IF(Table1[[#This Row],[DUT Adj Read]]&lt;=Table1[[#This Row],[High Tol]],"Pass","Fail")))</f>
        <v>Fail</v>
      </c>
      <c r="AH28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3" s="1" t="b">
        <v>0</v>
      </c>
      <c r="AN2863" s="1" t="b">
        <v>0</v>
      </c>
      <c r="AO2863" s="1" t="b">
        <v>0</v>
      </c>
    </row>
    <row r="2864" spans="1:41" x14ac:dyDescent="0.25">
      <c r="A2864" s="10"/>
      <c r="B2864" s="10"/>
      <c r="C2864" s="10"/>
      <c r="D2864" s="10"/>
      <c r="E2864" s="10"/>
      <c r="F2864" s="10"/>
      <c r="G2864" s="10"/>
      <c r="H2864" s="10"/>
      <c r="I2864" s="1" t="str">
        <f t="shared" si="132"/>
        <v/>
      </c>
      <c r="J2864" s="1" t="s">
        <v>35</v>
      </c>
      <c r="K2864" s="1" t="str">
        <f t="shared" si="133"/>
        <v/>
      </c>
      <c r="L2864" s="1" t="str">
        <f t="shared" si="134"/>
        <v/>
      </c>
      <c r="M2864" s="1">
        <f>IF(OR(Table1[[#This Row],[Std Nom]]="",Table1[[#This Row],[Std Read]]=""),0,Table1[[#This Row],[Std Nom]]-Table1[[#This Row],[Std Read]])</f>
        <v>0</v>
      </c>
      <c r="N2864" s="1">
        <f>IF(Calculations!$F$5="ACCREDITED 17025 WITH UNCERTAINTIES",$N$10,0)</f>
        <v>0</v>
      </c>
      <c r="O2864" s="1" t="str">
        <f>IFERROR(Table1[[#This Row],[Std Nom]]-(_xlfn.XLOOKUP(Table1[[#This Row],[Manufacturer]]&amp;" "&amp;Table1[[#This Row],[Model]],Table13[MFR &amp; MDL],Table13[Tolerance % CW ],"")/100*Table1[[#This Row],[Std Nom]]),"")</f>
        <v/>
      </c>
      <c r="P2864" s="1" t="str">
        <f>IFERROR(Table1[[#This Row],[Std Nom]]+(_xlfn.XLOOKUP(Table1[[#This Row],[Manufacturer]]&amp;" "&amp;Table1[[#This Row],[Model]],Table13[MFR &amp; MDL],Table13[Tolerance % CW ],"")/100*Table1[[#This Row],[Std Nom]]),"")</f>
        <v/>
      </c>
      <c r="Q2864" s="1" t="e">
        <f>Table1[[#This Row],[High Tol]]-Table1[[#This Row],[Low Tol]]</f>
        <v>#VALUE!</v>
      </c>
      <c r="R2864" s="1">
        <f>2*Table1[[#This Row],[Std Error]]</f>
        <v>0</v>
      </c>
      <c r="S2864" s="1" t="str">
        <f>IF(Table1[[#This Row],[High Tol]]="","N/A",IFERROR(ABS(Table1[[#This Row],[Tol Span]]/Table1[[#This Row],[Error Span]]),"N/A"))</f>
        <v>N/A</v>
      </c>
      <c r="T2864" s="1" t="str">
        <f>IF(OR(Table1[[#This Row],[Low Tol]]="",Table1[[#This Row],[High Tol]]=""),"Needs Analysis",IF(Table1[[#This Row],[Ratio]]&gt;=4,"Not Significant",IF(Table1[[#This Row],[Ratio]]&gt;=2,"Semi-Significant","Significant")))</f>
        <v>Needs Analysis</v>
      </c>
      <c r="W2864" s="1">
        <f>IF(Table1[[#This Row],[Cal Type]]&lt;&gt;"ACCREDITED 17025 WITH UNCERTAINTIES",0,"")</f>
        <v>0</v>
      </c>
      <c r="X2864" s="1" t="str">
        <f>IF(Table1[[#This Row],[DUT Read]]="","N/A",Table1[[#This Row],[Std Error]]+Table1[[#This Row],[DUT Read]]+Table1[[#This Row],[DUT Ucty]])</f>
        <v>N/A</v>
      </c>
      <c r="Y2864" s="1" t="str">
        <f>IF(Table1[[#This Row],[Std Read]]="","N/A",Table1[[#This Row],[Std Read]]+Table1[[#This Row],[Std Ucty]])</f>
        <v>N/A</v>
      </c>
      <c r="Z28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4" s="1" t="str">
        <f>IF(Table1[[#This Row],[Spec Type]]="","N/A",Table1[[#This Row],[Spec Type]])</f>
        <v>±</v>
      </c>
      <c r="AC2864" s="1" t="str">
        <f>IF(Table1[[#This Row],[Spec Type2]]="N/A","N/A",IF(AND(Table1[[#This Row],[DUT Adj Read]]&gt;=Table1[[#This Row],[Low Tol]],Table1[[#This Row],[DUT Adj Read]]&lt;=Table1[[#This Row],[High Tol]]),"Pass","Fail"))</f>
        <v>Fail</v>
      </c>
      <c r="AD2864" s="1" t="str">
        <f>IF(AND(Table1[[#This Row],[Spec Type2]]="N/A",Table1[[#This Row],[DUT Adj Read]]="N/A",Table1[[#This Row],[Std Adj Read]]="N/A"),"N/A",IF(Table1[[#This Row],[DUT Adj Read]]="N/A",IF(Table1[[#This Row],[Std Adj Read]]&gt;Table1[[#This Row],[Low Tol]],"Pass","Fail"),IF(Table1[[#This Row],[DUT Adj Read]]&gt;Table1[[#This Row],[Low Tol]],"Pass","Fail")))</f>
        <v>Pass</v>
      </c>
      <c r="AE2864" s="1" t="str">
        <f>IF(AND(Table1[[#This Row],[Spec Type2]]="N/A",Table1[[#This Row],[DUT Adj Read]]="N/A",Table1[[#This Row],[Std Adj Read]]="N/A"),"N/A",IF(Table1[[#This Row],[DUT Adj Read]]="N/A",IF(Table1[[#This Row],[Std Adj Read]]&lt;Table1[[#This Row],[High Tol]],"Pass","Fail"),IF(Table1[[#This Row],[DUT Adj Read]]&lt;Table1[[#This Row],[High Tol]],"Pass","Fail")))</f>
        <v>Fail</v>
      </c>
      <c r="AF2864" s="1" t="str">
        <f>IF(AND(Table1[[#This Row],[Spec Type2]]="N/A",Table1[[#This Row],[DUT Adj Read]]="N/A",Table1[[#This Row],[Std Adj Read]]="N/A"),"N/A",IF(Table1[[#This Row],[DUT Adj Read]]="N/A",IF(Table1[[#This Row],[Std Adj Read]]&gt;=Table1[[#This Row],[Low Tol]],"Pass","Fail"),IF(Table1[[#This Row],[DUT Adj Read]]&gt;=Table1[[#This Row],[Low Tol]],"Pass","Fail")))</f>
        <v>Pass</v>
      </c>
      <c r="AG2864" s="1" t="str">
        <f>IF(AND(Table1[[#This Row],[Spec Type2]]="N/A",Table1[[#This Row],[DUT Adj Read]]="N/A",Table1[[#This Row],[Std Adj Read]]="N/A"),"N/A",IF(Table1[[#This Row],[DUT Adj Read]]="N/A",IF(Table1[[#This Row],[Std Adj Read]]&lt;=Table1[[#This Row],[High Tol]],"Pass","Fail"),IF(Table1[[#This Row],[DUT Adj Read]]&lt;=Table1[[#This Row],[High Tol]],"Pass","Fail")))</f>
        <v>Fail</v>
      </c>
      <c r="AH28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4" s="1" t="b">
        <v>0</v>
      </c>
      <c r="AN2864" s="1" t="b">
        <v>0</v>
      </c>
      <c r="AO2864" s="1" t="b">
        <v>0</v>
      </c>
    </row>
    <row r="2865" spans="1:41" x14ac:dyDescent="0.25">
      <c r="A2865" s="10"/>
      <c r="B2865" s="10"/>
      <c r="C2865" s="10"/>
      <c r="D2865" s="10"/>
      <c r="E2865" s="10"/>
      <c r="F2865" s="10"/>
      <c r="G2865" s="10"/>
      <c r="H2865" s="10"/>
      <c r="I2865" s="1" t="str">
        <f t="shared" si="132"/>
        <v/>
      </c>
      <c r="J2865" s="1" t="s">
        <v>35</v>
      </c>
      <c r="K2865" s="1" t="str">
        <f t="shared" si="133"/>
        <v/>
      </c>
      <c r="L2865" s="1" t="str">
        <f t="shared" si="134"/>
        <v/>
      </c>
      <c r="M2865" s="1">
        <f>IF(OR(Table1[[#This Row],[Std Nom]]="",Table1[[#This Row],[Std Read]]=""),0,Table1[[#This Row],[Std Nom]]-Table1[[#This Row],[Std Read]])</f>
        <v>0</v>
      </c>
      <c r="N2865" s="1">
        <f>IF(Calculations!$F$5="ACCREDITED 17025 WITH UNCERTAINTIES",$N$10,0)</f>
        <v>0</v>
      </c>
      <c r="O2865" s="1" t="str">
        <f>IFERROR(Table1[[#This Row],[Std Nom]]-(_xlfn.XLOOKUP(Table1[[#This Row],[Manufacturer]]&amp;" "&amp;Table1[[#This Row],[Model]],Table13[MFR &amp; MDL],Table13[Tolerance % CW ],"")/100*Table1[[#This Row],[Std Nom]]),"")</f>
        <v/>
      </c>
      <c r="P2865" s="1" t="str">
        <f>IFERROR(Table1[[#This Row],[Std Nom]]+(_xlfn.XLOOKUP(Table1[[#This Row],[Manufacturer]]&amp;" "&amp;Table1[[#This Row],[Model]],Table13[MFR &amp; MDL],Table13[Tolerance % CW ],"")/100*Table1[[#This Row],[Std Nom]]),"")</f>
        <v/>
      </c>
      <c r="Q2865" s="1" t="e">
        <f>Table1[[#This Row],[High Tol]]-Table1[[#This Row],[Low Tol]]</f>
        <v>#VALUE!</v>
      </c>
      <c r="R2865" s="1">
        <f>2*Table1[[#This Row],[Std Error]]</f>
        <v>0</v>
      </c>
      <c r="S2865" s="1" t="str">
        <f>IF(Table1[[#This Row],[High Tol]]="","N/A",IFERROR(ABS(Table1[[#This Row],[Tol Span]]/Table1[[#This Row],[Error Span]]),"N/A"))</f>
        <v>N/A</v>
      </c>
      <c r="T2865" s="1" t="str">
        <f>IF(OR(Table1[[#This Row],[Low Tol]]="",Table1[[#This Row],[High Tol]]=""),"Needs Analysis",IF(Table1[[#This Row],[Ratio]]&gt;=4,"Not Significant",IF(Table1[[#This Row],[Ratio]]&gt;=2,"Semi-Significant","Significant")))</f>
        <v>Needs Analysis</v>
      </c>
      <c r="W2865" s="1">
        <f>IF(Table1[[#This Row],[Cal Type]]&lt;&gt;"ACCREDITED 17025 WITH UNCERTAINTIES",0,"")</f>
        <v>0</v>
      </c>
      <c r="X2865" s="1" t="str">
        <f>IF(Table1[[#This Row],[DUT Read]]="","N/A",Table1[[#This Row],[Std Error]]+Table1[[#This Row],[DUT Read]]+Table1[[#This Row],[DUT Ucty]])</f>
        <v>N/A</v>
      </c>
      <c r="Y2865" s="1" t="str">
        <f>IF(Table1[[#This Row],[Std Read]]="","N/A",Table1[[#This Row],[Std Read]]+Table1[[#This Row],[Std Ucty]])</f>
        <v>N/A</v>
      </c>
      <c r="Z28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5" s="1" t="str">
        <f>IF(Table1[[#This Row],[Spec Type]]="","N/A",Table1[[#This Row],[Spec Type]])</f>
        <v>±</v>
      </c>
      <c r="AC2865" s="1" t="str">
        <f>IF(Table1[[#This Row],[Spec Type2]]="N/A","N/A",IF(AND(Table1[[#This Row],[DUT Adj Read]]&gt;=Table1[[#This Row],[Low Tol]],Table1[[#This Row],[DUT Adj Read]]&lt;=Table1[[#This Row],[High Tol]]),"Pass","Fail"))</f>
        <v>Fail</v>
      </c>
      <c r="AD2865" s="1" t="str">
        <f>IF(AND(Table1[[#This Row],[Spec Type2]]="N/A",Table1[[#This Row],[DUT Adj Read]]="N/A",Table1[[#This Row],[Std Adj Read]]="N/A"),"N/A",IF(Table1[[#This Row],[DUT Adj Read]]="N/A",IF(Table1[[#This Row],[Std Adj Read]]&gt;Table1[[#This Row],[Low Tol]],"Pass","Fail"),IF(Table1[[#This Row],[DUT Adj Read]]&gt;Table1[[#This Row],[Low Tol]],"Pass","Fail")))</f>
        <v>Pass</v>
      </c>
      <c r="AE2865" s="1" t="str">
        <f>IF(AND(Table1[[#This Row],[Spec Type2]]="N/A",Table1[[#This Row],[DUT Adj Read]]="N/A",Table1[[#This Row],[Std Adj Read]]="N/A"),"N/A",IF(Table1[[#This Row],[DUT Adj Read]]="N/A",IF(Table1[[#This Row],[Std Adj Read]]&lt;Table1[[#This Row],[High Tol]],"Pass","Fail"),IF(Table1[[#This Row],[DUT Adj Read]]&lt;Table1[[#This Row],[High Tol]],"Pass","Fail")))</f>
        <v>Fail</v>
      </c>
      <c r="AF2865" s="1" t="str">
        <f>IF(AND(Table1[[#This Row],[Spec Type2]]="N/A",Table1[[#This Row],[DUT Adj Read]]="N/A",Table1[[#This Row],[Std Adj Read]]="N/A"),"N/A",IF(Table1[[#This Row],[DUT Adj Read]]="N/A",IF(Table1[[#This Row],[Std Adj Read]]&gt;=Table1[[#This Row],[Low Tol]],"Pass","Fail"),IF(Table1[[#This Row],[DUT Adj Read]]&gt;=Table1[[#This Row],[Low Tol]],"Pass","Fail")))</f>
        <v>Pass</v>
      </c>
      <c r="AG2865" s="1" t="str">
        <f>IF(AND(Table1[[#This Row],[Spec Type2]]="N/A",Table1[[#This Row],[DUT Adj Read]]="N/A",Table1[[#This Row],[Std Adj Read]]="N/A"),"N/A",IF(Table1[[#This Row],[DUT Adj Read]]="N/A",IF(Table1[[#This Row],[Std Adj Read]]&lt;=Table1[[#This Row],[High Tol]],"Pass","Fail"),IF(Table1[[#This Row],[DUT Adj Read]]&lt;=Table1[[#This Row],[High Tol]],"Pass","Fail")))</f>
        <v>Fail</v>
      </c>
      <c r="AH28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5" s="1" t="b">
        <v>0</v>
      </c>
      <c r="AN2865" s="1" t="b">
        <v>0</v>
      </c>
      <c r="AO2865" s="1" t="b">
        <v>0</v>
      </c>
    </row>
    <row r="2866" spans="1:41" x14ac:dyDescent="0.25">
      <c r="A2866" s="10"/>
      <c r="B2866" s="10"/>
      <c r="C2866" s="10"/>
      <c r="D2866" s="10"/>
      <c r="E2866" s="10"/>
      <c r="F2866" s="10"/>
      <c r="G2866" s="10"/>
      <c r="H2866" s="10"/>
      <c r="I2866" s="1" t="str">
        <f t="shared" si="132"/>
        <v/>
      </c>
      <c r="J2866" s="1" t="s">
        <v>35</v>
      </c>
      <c r="K2866" s="1" t="str">
        <f t="shared" si="133"/>
        <v/>
      </c>
      <c r="L2866" s="1" t="str">
        <f t="shared" si="134"/>
        <v/>
      </c>
      <c r="M2866" s="1">
        <f>IF(OR(Table1[[#This Row],[Std Nom]]="",Table1[[#This Row],[Std Read]]=""),0,Table1[[#This Row],[Std Nom]]-Table1[[#This Row],[Std Read]])</f>
        <v>0</v>
      </c>
      <c r="N2866" s="1">
        <f>IF(Calculations!$F$5="ACCREDITED 17025 WITH UNCERTAINTIES",$N$10,0)</f>
        <v>0</v>
      </c>
      <c r="O2866" s="1" t="str">
        <f>IFERROR(Table1[[#This Row],[Std Nom]]-(_xlfn.XLOOKUP(Table1[[#This Row],[Manufacturer]]&amp;" "&amp;Table1[[#This Row],[Model]],Table13[MFR &amp; MDL],Table13[Tolerance % CW ],"")/100*Table1[[#This Row],[Std Nom]]),"")</f>
        <v/>
      </c>
      <c r="P2866" s="1" t="str">
        <f>IFERROR(Table1[[#This Row],[Std Nom]]+(_xlfn.XLOOKUP(Table1[[#This Row],[Manufacturer]]&amp;" "&amp;Table1[[#This Row],[Model]],Table13[MFR &amp; MDL],Table13[Tolerance % CW ],"")/100*Table1[[#This Row],[Std Nom]]),"")</f>
        <v/>
      </c>
      <c r="Q2866" s="1" t="e">
        <f>Table1[[#This Row],[High Tol]]-Table1[[#This Row],[Low Tol]]</f>
        <v>#VALUE!</v>
      </c>
      <c r="R2866" s="1">
        <f>2*Table1[[#This Row],[Std Error]]</f>
        <v>0</v>
      </c>
      <c r="S2866" s="1" t="str">
        <f>IF(Table1[[#This Row],[High Tol]]="","N/A",IFERROR(ABS(Table1[[#This Row],[Tol Span]]/Table1[[#This Row],[Error Span]]),"N/A"))</f>
        <v>N/A</v>
      </c>
      <c r="T2866" s="1" t="str">
        <f>IF(OR(Table1[[#This Row],[Low Tol]]="",Table1[[#This Row],[High Tol]]=""),"Needs Analysis",IF(Table1[[#This Row],[Ratio]]&gt;=4,"Not Significant",IF(Table1[[#This Row],[Ratio]]&gt;=2,"Semi-Significant","Significant")))</f>
        <v>Needs Analysis</v>
      </c>
      <c r="W2866" s="1">
        <f>IF(Table1[[#This Row],[Cal Type]]&lt;&gt;"ACCREDITED 17025 WITH UNCERTAINTIES",0,"")</f>
        <v>0</v>
      </c>
      <c r="X2866" s="1" t="str">
        <f>IF(Table1[[#This Row],[DUT Read]]="","N/A",Table1[[#This Row],[Std Error]]+Table1[[#This Row],[DUT Read]]+Table1[[#This Row],[DUT Ucty]])</f>
        <v>N/A</v>
      </c>
      <c r="Y2866" s="1" t="str">
        <f>IF(Table1[[#This Row],[Std Read]]="","N/A",Table1[[#This Row],[Std Read]]+Table1[[#This Row],[Std Ucty]])</f>
        <v>N/A</v>
      </c>
      <c r="Z28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6" s="1" t="str">
        <f>IF(Table1[[#This Row],[Spec Type]]="","N/A",Table1[[#This Row],[Spec Type]])</f>
        <v>±</v>
      </c>
      <c r="AC2866" s="1" t="str">
        <f>IF(Table1[[#This Row],[Spec Type2]]="N/A","N/A",IF(AND(Table1[[#This Row],[DUT Adj Read]]&gt;=Table1[[#This Row],[Low Tol]],Table1[[#This Row],[DUT Adj Read]]&lt;=Table1[[#This Row],[High Tol]]),"Pass","Fail"))</f>
        <v>Fail</v>
      </c>
      <c r="AD2866" s="1" t="str">
        <f>IF(AND(Table1[[#This Row],[Spec Type2]]="N/A",Table1[[#This Row],[DUT Adj Read]]="N/A",Table1[[#This Row],[Std Adj Read]]="N/A"),"N/A",IF(Table1[[#This Row],[DUT Adj Read]]="N/A",IF(Table1[[#This Row],[Std Adj Read]]&gt;Table1[[#This Row],[Low Tol]],"Pass","Fail"),IF(Table1[[#This Row],[DUT Adj Read]]&gt;Table1[[#This Row],[Low Tol]],"Pass","Fail")))</f>
        <v>Pass</v>
      </c>
      <c r="AE2866" s="1" t="str">
        <f>IF(AND(Table1[[#This Row],[Spec Type2]]="N/A",Table1[[#This Row],[DUT Adj Read]]="N/A",Table1[[#This Row],[Std Adj Read]]="N/A"),"N/A",IF(Table1[[#This Row],[DUT Adj Read]]="N/A",IF(Table1[[#This Row],[Std Adj Read]]&lt;Table1[[#This Row],[High Tol]],"Pass","Fail"),IF(Table1[[#This Row],[DUT Adj Read]]&lt;Table1[[#This Row],[High Tol]],"Pass","Fail")))</f>
        <v>Fail</v>
      </c>
      <c r="AF2866" s="1" t="str">
        <f>IF(AND(Table1[[#This Row],[Spec Type2]]="N/A",Table1[[#This Row],[DUT Adj Read]]="N/A",Table1[[#This Row],[Std Adj Read]]="N/A"),"N/A",IF(Table1[[#This Row],[DUT Adj Read]]="N/A",IF(Table1[[#This Row],[Std Adj Read]]&gt;=Table1[[#This Row],[Low Tol]],"Pass","Fail"),IF(Table1[[#This Row],[DUT Adj Read]]&gt;=Table1[[#This Row],[Low Tol]],"Pass","Fail")))</f>
        <v>Pass</v>
      </c>
      <c r="AG2866" s="1" t="str">
        <f>IF(AND(Table1[[#This Row],[Spec Type2]]="N/A",Table1[[#This Row],[DUT Adj Read]]="N/A",Table1[[#This Row],[Std Adj Read]]="N/A"),"N/A",IF(Table1[[#This Row],[DUT Adj Read]]="N/A",IF(Table1[[#This Row],[Std Adj Read]]&lt;=Table1[[#This Row],[High Tol]],"Pass","Fail"),IF(Table1[[#This Row],[DUT Adj Read]]&lt;=Table1[[#This Row],[High Tol]],"Pass","Fail")))</f>
        <v>Fail</v>
      </c>
      <c r="AH28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6" s="1" t="b">
        <v>0</v>
      </c>
      <c r="AN2866" s="1" t="b">
        <v>0</v>
      </c>
      <c r="AO2866" s="1" t="b">
        <v>0</v>
      </c>
    </row>
    <row r="2867" spans="1:41" x14ac:dyDescent="0.25">
      <c r="A2867" s="10"/>
      <c r="B2867" s="10"/>
      <c r="C2867" s="10"/>
      <c r="D2867" s="10"/>
      <c r="E2867" s="10"/>
      <c r="F2867" s="10"/>
      <c r="G2867" s="10"/>
      <c r="H2867" s="10"/>
      <c r="I2867" s="1" t="str">
        <f t="shared" si="132"/>
        <v/>
      </c>
      <c r="J2867" s="1" t="s">
        <v>35</v>
      </c>
      <c r="K2867" s="1" t="str">
        <f t="shared" si="133"/>
        <v/>
      </c>
      <c r="L2867" s="1" t="str">
        <f t="shared" si="134"/>
        <v/>
      </c>
      <c r="M2867" s="1">
        <f>IF(OR(Table1[[#This Row],[Std Nom]]="",Table1[[#This Row],[Std Read]]=""),0,Table1[[#This Row],[Std Nom]]-Table1[[#This Row],[Std Read]])</f>
        <v>0</v>
      </c>
      <c r="N2867" s="1">
        <f>IF(Calculations!$F$5="ACCREDITED 17025 WITH UNCERTAINTIES",$N$10,0)</f>
        <v>0</v>
      </c>
      <c r="O2867" s="1" t="str">
        <f>IFERROR(Table1[[#This Row],[Std Nom]]-(_xlfn.XLOOKUP(Table1[[#This Row],[Manufacturer]]&amp;" "&amp;Table1[[#This Row],[Model]],Table13[MFR &amp; MDL],Table13[Tolerance % CW ],"")/100*Table1[[#This Row],[Std Nom]]),"")</f>
        <v/>
      </c>
      <c r="P2867" s="1" t="str">
        <f>IFERROR(Table1[[#This Row],[Std Nom]]+(_xlfn.XLOOKUP(Table1[[#This Row],[Manufacturer]]&amp;" "&amp;Table1[[#This Row],[Model]],Table13[MFR &amp; MDL],Table13[Tolerance % CW ],"")/100*Table1[[#This Row],[Std Nom]]),"")</f>
        <v/>
      </c>
      <c r="Q2867" s="1" t="e">
        <f>Table1[[#This Row],[High Tol]]-Table1[[#This Row],[Low Tol]]</f>
        <v>#VALUE!</v>
      </c>
      <c r="R2867" s="1">
        <f>2*Table1[[#This Row],[Std Error]]</f>
        <v>0</v>
      </c>
      <c r="S2867" s="1" t="str">
        <f>IF(Table1[[#This Row],[High Tol]]="","N/A",IFERROR(ABS(Table1[[#This Row],[Tol Span]]/Table1[[#This Row],[Error Span]]),"N/A"))</f>
        <v>N/A</v>
      </c>
      <c r="T2867" s="1" t="str">
        <f>IF(OR(Table1[[#This Row],[Low Tol]]="",Table1[[#This Row],[High Tol]]=""),"Needs Analysis",IF(Table1[[#This Row],[Ratio]]&gt;=4,"Not Significant",IF(Table1[[#This Row],[Ratio]]&gt;=2,"Semi-Significant","Significant")))</f>
        <v>Needs Analysis</v>
      </c>
      <c r="W2867" s="1">
        <f>IF(Table1[[#This Row],[Cal Type]]&lt;&gt;"ACCREDITED 17025 WITH UNCERTAINTIES",0,"")</f>
        <v>0</v>
      </c>
      <c r="X2867" s="1" t="str">
        <f>IF(Table1[[#This Row],[DUT Read]]="","N/A",Table1[[#This Row],[Std Error]]+Table1[[#This Row],[DUT Read]]+Table1[[#This Row],[DUT Ucty]])</f>
        <v>N/A</v>
      </c>
      <c r="Y2867" s="1" t="str">
        <f>IF(Table1[[#This Row],[Std Read]]="","N/A",Table1[[#This Row],[Std Read]]+Table1[[#This Row],[Std Ucty]])</f>
        <v>N/A</v>
      </c>
      <c r="Z28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7" s="1" t="str">
        <f>IF(Table1[[#This Row],[Spec Type]]="","N/A",Table1[[#This Row],[Spec Type]])</f>
        <v>±</v>
      </c>
      <c r="AC2867" s="1" t="str">
        <f>IF(Table1[[#This Row],[Spec Type2]]="N/A","N/A",IF(AND(Table1[[#This Row],[DUT Adj Read]]&gt;=Table1[[#This Row],[Low Tol]],Table1[[#This Row],[DUT Adj Read]]&lt;=Table1[[#This Row],[High Tol]]),"Pass","Fail"))</f>
        <v>Fail</v>
      </c>
      <c r="AD2867" s="1" t="str">
        <f>IF(AND(Table1[[#This Row],[Spec Type2]]="N/A",Table1[[#This Row],[DUT Adj Read]]="N/A",Table1[[#This Row],[Std Adj Read]]="N/A"),"N/A",IF(Table1[[#This Row],[DUT Adj Read]]="N/A",IF(Table1[[#This Row],[Std Adj Read]]&gt;Table1[[#This Row],[Low Tol]],"Pass","Fail"),IF(Table1[[#This Row],[DUT Adj Read]]&gt;Table1[[#This Row],[Low Tol]],"Pass","Fail")))</f>
        <v>Pass</v>
      </c>
      <c r="AE2867" s="1" t="str">
        <f>IF(AND(Table1[[#This Row],[Spec Type2]]="N/A",Table1[[#This Row],[DUT Adj Read]]="N/A",Table1[[#This Row],[Std Adj Read]]="N/A"),"N/A",IF(Table1[[#This Row],[DUT Adj Read]]="N/A",IF(Table1[[#This Row],[Std Adj Read]]&lt;Table1[[#This Row],[High Tol]],"Pass","Fail"),IF(Table1[[#This Row],[DUT Adj Read]]&lt;Table1[[#This Row],[High Tol]],"Pass","Fail")))</f>
        <v>Fail</v>
      </c>
      <c r="AF2867" s="1" t="str">
        <f>IF(AND(Table1[[#This Row],[Spec Type2]]="N/A",Table1[[#This Row],[DUT Adj Read]]="N/A",Table1[[#This Row],[Std Adj Read]]="N/A"),"N/A",IF(Table1[[#This Row],[DUT Adj Read]]="N/A",IF(Table1[[#This Row],[Std Adj Read]]&gt;=Table1[[#This Row],[Low Tol]],"Pass","Fail"),IF(Table1[[#This Row],[DUT Adj Read]]&gt;=Table1[[#This Row],[Low Tol]],"Pass","Fail")))</f>
        <v>Pass</v>
      </c>
      <c r="AG2867" s="1" t="str">
        <f>IF(AND(Table1[[#This Row],[Spec Type2]]="N/A",Table1[[#This Row],[DUT Adj Read]]="N/A",Table1[[#This Row],[Std Adj Read]]="N/A"),"N/A",IF(Table1[[#This Row],[DUT Adj Read]]="N/A",IF(Table1[[#This Row],[Std Adj Read]]&lt;=Table1[[#This Row],[High Tol]],"Pass","Fail"),IF(Table1[[#This Row],[DUT Adj Read]]&lt;=Table1[[#This Row],[High Tol]],"Pass","Fail")))</f>
        <v>Fail</v>
      </c>
      <c r="AH28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7" s="1" t="b">
        <v>0</v>
      </c>
      <c r="AN2867" s="1" t="b">
        <v>0</v>
      </c>
      <c r="AO2867" s="1" t="b">
        <v>0</v>
      </c>
    </row>
    <row r="2868" spans="1:41" x14ac:dyDescent="0.25">
      <c r="A2868" s="10"/>
      <c r="B2868" s="10"/>
      <c r="C2868" s="10"/>
      <c r="D2868" s="10"/>
      <c r="E2868" s="10"/>
      <c r="F2868" s="10"/>
      <c r="G2868" s="10"/>
      <c r="H2868" s="10"/>
      <c r="I2868" s="1" t="str">
        <f t="shared" si="132"/>
        <v/>
      </c>
      <c r="J2868" s="1" t="s">
        <v>35</v>
      </c>
      <c r="K2868" s="1" t="str">
        <f t="shared" si="133"/>
        <v/>
      </c>
      <c r="L2868" s="1" t="str">
        <f t="shared" si="134"/>
        <v/>
      </c>
      <c r="M2868" s="1">
        <f>IF(OR(Table1[[#This Row],[Std Nom]]="",Table1[[#This Row],[Std Read]]=""),0,Table1[[#This Row],[Std Nom]]-Table1[[#This Row],[Std Read]])</f>
        <v>0</v>
      </c>
      <c r="N2868" s="1">
        <f>IF(Calculations!$F$5="ACCREDITED 17025 WITH UNCERTAINTIES",$N$10,0)</f>
        <v>0</v>
      </c>
      <c r="O2868" s="1" t="str">
        <f>IFERROR(Table1[[#This Row],[Std Nom]]-(_xlfn.XLOOKUP(Table1[[#This Row],[Manufacturer]]&amp;" "&amp;Table1[[#This Row],[Model]],Table13[MFR &amp; MDL],Table13[Tolerance % CW ],"")/100*Table1[[#This Row],[Std Nom]]),"")</f>
        <v/>
      </c>
      <c r="P2868" s="1" t="str">
        <f>IFERROR(Table1[[#This Row],[Std Nom]]+(_xlfn.XLOOKUP(Table1[[#This Row],[Manufacturer]]&amp;" "&amp;Table1[[#This Row],[Model]],Table13[MFR &amp; MDL],Table13[Tolerance % CW ],"")/100*Table1[[#This Row],[Std Nom]]),"")</f>
        <v/>
      </c>
      <c r="Q2868" s="1" t="e">
        <f>Table1[[#This Row],[High Tol]]-Table1[[#This Row],[Low Tol]]</f>
        <v>#VALUE!</v>
      </c>
      <c r="R2868" s="1">
        <f>2*Table1[[#This Row],[Std Error]]</f>
        <v>0</v>
      </c>
      <c r="S2868" s="1" t="str">
        <f>IF(Table1[[#This Row],[High Tol]]="","N/A",IFERROR(ABS(Table1[[#This Row],[Tol Span]]/Table1[[#This Row],[Error Span]]),"N/A"))</f>
        <v>N/A</v>
      </c>
      <c r="T2868" s="1" t="str">
        <f>IF(OR(Table1[[#This Row],[Low Tol]]="",Table1[[#This Row],[High Tol]]=""),"Needs Analysis",IF(Table1[[#This Row],[Ratio]]&gt;=4,"Not Significant",IF(Table1[[#This Row],[Ratio]]&gt;=2,"Semi-Significant","Significant")))</f>
        <v>Needs Analysis</v>
      </c>
      <c r="W2868" s="1">
        <f>IF(Table1[[#This Row],[Cal Type]]&lt;&gt;"ACCREDITED 17025 WITH UNCERTAINTIES",0,"")</f>
        <v>0</v>
      </c>
      <c r="X2868" s="1" t="str">
        <f>IF(Table1[[#This Row],[DUT Read]]="","N/A",Table1[[#This Row],[Std Error]]+Table1[[#This Row],[DUT Read]]+Table1[[#This Row],[DUT Ucty]])</f>
        <v>N/A</v>
      </c>
      <c r="Y2868" s="1" t="str">
        <f>IF(Table1[[#This Row],[Std Read]]="","N/A",Table1[[#This Row],[Std Read]]+Table1[[#This Row],[Std Ucty]])</f>
        <v>N/A</v>
      </c>
      <c r="Z28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8" s="1" t="str">
        <f>IF(Table1[[#This Row],[Spec Type]]="","N/A",Table1[[#This Row],[Spec Type]])</f>
        <v>±</v>
      </c>
      <c r="AC2868" s="1" t="str">
        <f>IF(Table1[[#This Row],[Spec Type2]]="N/A","N/A",IF(AND(Table1[[#This Row],[DUT Adj Read]]&gt;=Table1[[#This Row],[Low Tol]],Table1[[#This Row],[DUT Adj Read]]&lt;=Table1[[#This Row],[High Tol]]),"Pass","Fail"))</f>
        <v>Fail</v>
      </c>
      <c r="AD2868" s="1" t="str">
        <f>IF(AND(Table1[[#This Row],[Spec Type2]]="N/A",Table1[[#This Row],[DUT Adj Read]]="N/A",Table1[[#This Row],[Std Adj Read]]="N/A"),"N/A",IF(Table1[[#This Row],[DUT Adj Read]]="N/A",IF(Table1[[#This Row],[Std Adj Read]]&gt;Table1[[#This Row],[Low Tol]],"Pass","Fail"),IF(Table1[[#This Row],[DUT Adj Read]]&gt;Table1[[#This Row],[Low Tol]],"Pass","Fail")))</f>
        <v>Pass</v>
      </c>
      <c r="AE2868" s="1" t="str">
        <f>IF(AND(Table1[[#This Row],[Spec Type2]]="N/A",Table1[[#This Row],[DUT Adj Read]]="N/A",Table1[[#This Row],[Std Adj Read]]="N/A"),"N/A",IF(Table1[[#This Row],[DUT Adj Read]]="N/A",IF(Table1[[#This Row],[Std Adj Read]]&lt;Table1[[#This Row],[High Tol]],"Pass","Fail"),IF(Table1[[#This Row],[DUT Adj Read]]&lt;Table1[[#This Row],[High Tol]],"Pass","Fail")))</f>
        <v>Fail</v>
      </c>
      <c r="AF2868" s="1" t="str">
        <f>IF(AND(Table1[[#This Row],[Spec Type2]]="N/A",Table1[[#This Row],[DUT Adj Read]]="N/A",Table1[[#This Row],[Std Adj Read]]="N/A"),"N/A",IF(Table1[[#This Row],[DUT Adj Read]]="N/A",IF(Table1[[#This Row],[Std Adj Read]]&gt;=Table1[[#This Row],[Low Tol]],"Pass","Fail"),IF(Table1[[#This Row],[DUT Adj Read]]&gt;=Table1[[#This Row],[Low Tol]],"Pass","Fail")))</f>
        <v>Pass</v>
      </c>
      <c r="AG2868" s="1" t="str">
        <f>IF(AND(Table1[[#This Row],[Spec Type2]]="N/A",Table1[[#This Row],[DUT Adj Read]]="N/A",Table1[[#This Row],[Std Adj Read]]="N/A"),"N/A",IF(Table1[[#This Row],[DUT Adj Read]]="N/A",IF(Table1[[#This Row],[Std Adj Read]]&lt;=Table1[[#This Row],[High Tol]],"Pass","Fail"),IF(Table1[[#This Row],[DUT Adj Read]]&lt;=Table1[[#This Row],[High Tol]],"Pass","Fail")))</f>
        <v>Fail</v>
      </c>
      <c r="AH28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8" s="1" t="b">
        <v>0</v>
      </c>
      <c r="AN2868" s="1" t="b">
        <v>0</v>
      </c>
      <c r="AO2868" s="1" t="b">
        <v>0</v>
      </c>
    </row>
    <row r="2869" spans="1:41" x14ac:dyDescent="0.25">
      <c r="A2869" s="10"/>
      <c r="B2869" s="10"/>
      <c r="C2869" s="10"/>
      <c r="D2869" s="10"/>
      <c r="E2869" s="10"/>
      <c r="F2869" s="10"/>
      <c r="G2869" s="10"/>
      <c r="H2869" s="10"/>
      <c r="I2869" s="1" t="str">
        <f t="shared" si="132"/>
        <v/>
      </c>
      <c r="J2869" s="1" t="s">
        <v>35</v>
      </c>
      <c r="K2869" s="1" t="str">
        <f t="shared" si="133"/>
        <v/>
      </c>
      <c r="L2869" s="1" t="str">
        <f t="shared" si="134"/>
        <v/>
      </c>
      <c r="M2869" s="1">
        <f>IF(OR(Table1[[#This Row],[Std Nom]]="",Table1[[#This Row],[Std Read]]=""),0,Table1[[#This Row],[Std Nom]]-Table1[[#This Row],[Std Read]])</f>
        <v>0</v>
      </c>
      <c r="N2869" s="1">
        <f>IF(Calculations!$F$5="ACCREDITED 17025 WITH UNCERTAINTIES",$N$10,0)</f>
        <v>0</v>
      </c>
      <c r="O2869" s="1" t="str">
        <f>IFERROR(Table1[[#This Row],[Std Nom]]-(_xlfn.XLOOKUP(Table1[[#This Row],[Manufacturer]]&amp;" "&amp;Table1[[#This Row],[Model]],Table13[MFR &amp; MDL],Table13[Tolerance % CW ],"")/100*Table1[[#This Row],[Std Nom]]),"")</f>
        <v/>
      </c>
      <c r="P2869" s="1" t="str">
        <f>IFERROR(Table1[[#This Row],[Std Nom]]+(_xlfn.XLOOKUP(Table1[[#This Row],[Manufacturer]]&amp;" "&amp;Table1[[#This Row],[Model]],Table13[MFR &amp; MDL],Table13[Tolerance % CW ],"")/100*Table1[[#This Row],[Std Nom]]),"")</f>
        <v/>
      </c>
      <c r="Q2869" s="1" t="e">
        <f>Table1[[#This Row],[High Tol]]-Table1[[#This Row],[Low Tol]]</f>
        <v>#VALUE!</v>
      </c>
      <c r="R2869" s="1">
        <f>2*Table1[[#This Row],[Std Error]]</f>
        <v>0</v>
      </c>
      <c r="S2869" s="1" t="str">
        <f>IF(Table1[[#This Row],[High Tol]]="","N/A",IFERROR(ABS(Table1[[#This Row],[Tol Span]]/Table1[[#This Row],[Error Span]]),"N/A"))</f>
        <v>N/A</v>
      </c>
      <c r="T2869" s="1" t="str">
        <f>IF(OR(Table1[[#This Row],[Low Tol]]="",Table1[[#This Row],[High Tol]]=""),"Needs Analysis",IF(Table1[[#This Row],[Ratio]]&gt;=4,"Not Significant",IF(Table1[[#This Row],[Ratio]]&gt;=2,"Semi-Significant","Significant")))</f>
        <v>Needs Analysis</v>
      </c>
      <c r="W2869" s="1">
        <f>IF(Table1[[#This Row],[Cal Type]]&lt;&gt;"ACCREDITED 17025 WITH UNCERTAINTIES",0,"")</f>
        <v>0</v>
      </c>
      <c r="X2869" s="1" t="str">
        <f>IF(Table1[[#This Row],[DUT Read]]="","N/A",Table1[[#This Row],[Std Error]]+Table1[[#This Row],[DUT Read]]+Table1[[#This Row],[DUT Ucty]])</f>
        <v>N/A</v>
      </c>
      <c r="Y2869" s="1" t="str">
        <f>IF(Table1[[#This Row],[Std Read]]="","N/A",Table1[[#This Row],[Std Read]]+Table1[[#This Row],[Std Ucty]])</f>
        <v>N/A</v>
      </c>
      <c r="Z28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9" s="1" t="str">
        <f>IF(Table1[[#This Row],[Spec Type]]="","N/A",Table1[[#This Row],[Spec Type]])</f>
        <v>±</v>
      </c>
      <c r="AC2869" s="1" t="str">
        <f>IF(Table1[[#This Row],[Spec Type2]]="N/A","N/A",IF(AND(Table1[[#This Row],[DUT Adj Read]]&gt;=Table1[[#This Row],[Low Tol]],Table1[[#This Row],[DUT Adj Read]]&lt;=Table1[[#This Row],[High Tol]]),"Pass","Fail"))</f>
        <v>Fail</v>
      </c>
      <c r="AD2869" s="1" t="str">
        <f>IF(AND(Table1[[#This Row],[Spec Type2]]="N/A",Table1[[#This Row],[DUT Adj Read]]="N/A",Table1[[#This Row],[Std Adj Read]]="N/A"),"N/A",IF(Table1[[#This Row],[DUT Adj Read]]="N/A",IF(Table1[[#This Row],[Std Adj Read]]&gt;Table1[[#This Row],[Low Tol]],"Pass","Fail"),IF(Table1[[#This Row],[DUT Adj Read]]&gt;Table1[[#This Row],[Low Tol]],"Pass","Fail")))</f>
        <v>Pass</v>
      </c>
      <c r="AE2869" s="1" t="str">
        <f>IF(AND(Table1[[#This Row],[Spec Type2]]="N/A",Table1[[#This Row],[DUT Adj Read]]="N/A",Table1[[#This Row],[Std Adj Read]]="N/A"),"N/A",IF(Table1[[#This Row],[DUT Adj Read]]="N/A",IF(Table1[[#This Row],[Std Adj Read]]&lt;Table1[[#This Row],[High Tol]],"Pass","Fail"),IF(Table1[[#This Row],[DUT Adj Read]]&lt;Table1[[#This Row],[High Tol]],"Pass","Fail")))</f>
        <v>Fail</v>
      </c>
      <c r="AF2869" s="1" t="str">
        <f>IF(AND(Table1[[#This Row],[Spec Type2]]="N/A",Table1[[#This Row],[DUT Adj Read]]="N/A",Table1[[#This Row],[Std Adj Read]]="N/A"),"N/A",IF(Table1[[#This Row],[DUT Adj Read]]="N/A",IF(Table1[[#This Row],[Std Adj Read]]&gt;=Table1[[#This Row],[Low Tol]],"Pass","Fail"),IF(Table1[[#This Row],[DUT Adj Read]]&gt;=Table1[[#This Row],[Low Tol]],"Pass","Fail")))</f>
        <v>Pass</v>
      </c>
      <c r="AG2869" s="1" t="str">
        <f>IF(AND(Table1[[#This Row],[Spec Type2]]="N/A",Table1[[#This Row],[DUT Adj Read]]="N/A",Table1[[#This Row],[Std Adj Read]]="N/A"),"N/A",IF(Table1[[#This Row],[DUT Adj Read]]="N/A",IF(Table1[[#This Row],[Std Adj Read]]&lt;=Table1[[#This Row],[High Tol]],"Pass","Fail"),IF(Table1[[#This Row],[DUT Adj Read]]&lt;=Table1[[#This Row],[High Tol]],"Pass","Fail")))</f>
        <v>Fail</v>
      </c>
      <c r="AH28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9" s="1" t="b">
        <v>0</v>
      </c>
      <c r="AN2869" s="1" t="b">
        <v>0</v>
      </c>
      <c r="AO2869" s="1" t="b">
        <v>0</v>
      </c>
    </row>
    <row r="2870" spans="1:41" x14ac:dyDescent="0.25">
      <c r="A2870" s="10"/>
      <c r="B2870" s="10"/>
      <c r="C2870" s="10"/>
      <c r="D2870" s="10"/>
      <c r="E2870" s="10"/>
      <c r="F2870" s="10"/>
      <c r="G2870" s="10"/>
      <c r="H2870" s="10"/>
      <c r="I2870" s="1" t="str">
        <f t="shared" si="132"/>
        <v/>
      </c>
      <c r="J2870" s="1" t="s">
        <v>35</v>
      </c>
      <c r="K2870" s="1" t="str">
        <f t="shared" si="133"/>
        <v/>
      </c>
      <c r="L2870" s="1" t="str">
        <f t="shared" si="134"/>
        <v/>
      </c>
      <c r="M2870" s="1">
        <f>IF(OR(Table1[[#This Row],[Std Nom]]="",Table1[[#This Row],[Std Read]]=""),0,Table1[[#This Row],[Std Nom]]-Table1[[#This Row],[Std Read]])</f>
        <v>0</v>
      </c>
      <c r="N2870" s="1">
        <f>IF(Calculations!$F$5="ACCREDITED 17025 WITH UNCERTAINTIES",$N$10,0)</f>
        <v>0</v>
      </c>
      <c r="O2870" s="1" t="str">
        <f>IFERROR(Table1[[#This Row],[Std Nom]]-(_xlfn.XLOOKUP(Table1[[#This Row],[Manufacturer]]&amp;" "&amp;Table1[[#This Row],[Model]],Table13[MFR &amp; MDL],Table13[Tolerance % CW ],"")/100*Table1[[#This Row],[Std Nom]]),"")</f>
        <v/>
      </c>
      <c r="P2870" s="1" t="str">
        <f>IFERROR(Table1[[#This Row],[Std Nom]]+(_xlfn.XLOOKUP(Table1[[#This Row],[Manufacturer]]&amp;" "&amp;Table1[[#This Row],[Model]],Table13[MFR &amp; MDL],Table13[Tolerance % CW ],"")/100*Table1[[#This Row],[Std Nom]]),"")</f>
        <v/>
      </c>
      <c r="Q2870" s="1" t="e">
        <f>Table1[[#This Row],[High Tol]]-Table1[[#This Row],[Low Tol]]</f>
        <v>#VALUE!</v>
      </c>
      <c r="R2870" s="1">
        <f>2*Table1[[#This Row],[Std Error]]</f>
        <v>0</v>
      </c>
      <c r="S2870" s="1" t="str">
        <f>IF(Table1[[#This Row],[High Tol]]="","N/A",IFERROR(ABS(Table1[[#This Row],[Tol Span]]/Table1[[#This Row],[Error Span]]),"N/A"))</f>
        <v>N/A</v>
      </c>
      <c r="T2870" s="1" t="str">
        <f>IF(OR(Table1[[#This Row],[Low Tol]]="",Table1[[#This Row],[High Tol]]=""),"Needs Analysis",IF(Table1[[#This Row],[Ratio]]&gt;=4,"Not Significant",IF(Table1[[#This Row],[Ratio]]&gt;=2,"Semi-Significant","Significant")))</f>
        <v>Needs Analysis</v>
      </c>
      <c r="W2870" s="1">
        <f>IF(Table1[[#This Row],[Cal Type]]&lt;&gt;"ACCREDITED 17025 WITH UNCERTAINTIES",0,"")</f>
        <v>0</v>
      </c>
      <c r="X2870" s="1" t="str">
        <f>IF(Table1[[#This Row],[DUT Read]]="","N/A",Table1[[#This Row],[Std Error]]+Table1[[#This Row],[DUT Read]]+Table1[[#This Row],[DUT Ucty]])</f>
        <v>N/A</v>
      </c>
      <c r="Y2870" s="1" t="str">
        <f>IF(Table1[[#This Row],[Std Read]]="","N/A",Table1[[#This Row],[Std Read]]+Table1[[#This Row],[Std Ucty]])</f>
        <v>N/A</v>
      </c>
      <c r="Z28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0" s="1" t="str">
        <f>IF(Table1[[#This Row],[Spec Type]]="","N/A",Table1[[#This Row],[Spec Type]])</f>
        <v>±</v>
      </c>
      <c r="AC2870" s="1" t="str">
        <f>IF(Table1[[#This Row],[Spec Type2]]="N/A","N/A",IF(AND(Table1[[#This Row],[DUT Adj Read]]&gt;=Table1[[#This Row],[Low Tol]],Table1[[#This Row],[DUT Adj Read]]&lt;=Table1[[#This Row],[High Tol]]),"Pass","Fail"))</f>
        <v>Fail</v>
      </c>
      <c r="AD2870" s="1" t="str">
        <f>IF(AND(Table1[[#This Row],[Spec Type2]]="N/A",Table1[[#This Row],[DUT Adj Read]]="N/A",Table1[[#This Row],[Std Adj Read]]="N/A"),"N/A",IF(Table1[[#This Row],[DUT Adj Read]]="N/A",IF(Table1[[#This Row],[Std Adj Read]]&gt;Table1[[#This Row],[Low Tol]],"Pass","Fail"),IF(Table1[[#This Row],[DUT Adj Read]]&gt;Table1[[#This Row],[Low Tol]],"Pass","Fail")))</f>
        <v>Pass</v>
      </c>
      <c r="AE2870" s="1" t="str">
        <f>IF(AND(Table1[[#This Row],[Spec Type2]]="N/A",Table1[[#This Row],[DUT Adj Read]]="N/A",Table1[[#This Row],[Std Adj Read]]="N/A"),"N/A",IF(Table1[[#This Row],[DUT Adj Read]]="N/A",IF(Table1[[#This Row],[Std Adj Read]]&lt;Table1[[#This Row],[High Tol]],"Pass","Fail"),IF(Table1[[#This Row],[DUT Adj Read]]&lt;Table1[[#This Row],[High Tol]],"Pass","Fail")))</f>
        <v>Fail</v>
      </c>
      <c r="AF2870" s="1" t="str">
        <f>IF(AND(Table1[[#This Row],[Spec Type2]]="N/A",Table1[[#This Row],[DUT Adj Read]]="N/A",Table1[[#This Row],[Std Adj Read]]="N/A"),"N/A",IF(Table1[[#This Row],[DUT Adj Read]]="N/A",IF(Table1[[#This Row],[Std Adj Read]]&gt;=Table1[[#This Row],[Low Tol]],"Pass","Fail"),IF(Table1[[#This Row],[DUT Adj Read]]&gt;=Table1[[#This Row],[Low Tol]],"Pass","Fail")))</f>
        <v>Pass</v>
      </c>
      <c r="AG2870" s="1" t="str">
        <f>IF(AND(Table1[[#This Row],[Spec Type2]]="N/A",Table1[[#This Row],[DUT Adj Read]]="N/A",Table1[[#This Row],[Std Adj Read]]="N/A"),"N/A",IF(Table1[[#This Row],[DUT Adj Read]]="N/A",IF(Table1[[#This Row],[Std Adj Read]]&lt;=Table1[[#This Row],[High Tol]],"Pass","Fail"),IF(Table1[[#This Row],[DUT Adj Read]]&lt;=Table1[[#This Row],[High Tol]],"Pass","Fail")))</f>
        <v>Fail</v>
      </c>
      <c r="AH28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0" s="1" t="b">
        <v>0</v>
      </c>
      <c r="AN2870" s="1" t="b">
        <v>0</v>
      </c>
      <c r="AO2870" s="1" t="b">
        <v>0</v>
      </c>
    </row>
    <row r="2871" spans="1:41" x14ac:dyDescent="0.25">
      <c r="A2871" s="10"/>
      <c r="B2871" s="10"/>
      <c r="C2871" s="10"/>
      <c r="D2871" s="10"/>
      <c r="E2871" s="10"/>
      <c r="F2871" s="10"/>
      <c r="G2871" s="10"/>
      <c r="H2871" s="10"/>
      <c r="I2871" s="1" t="str">
        <f t="shared" si="132"/>
        <v/>
      </c>
      <c r="J2871" s="1" t="s">
        <v>35</v>
      </c>
      <c r="K2871" s="1" t="str">
        <f t="shared" si="133"/>
        <v/>
      </c>
      <c r="L2871" s="1" t="str">
        <f t="shared" si="134"/>
        <v/>
      </c>
      <c r="M2871" s="1">
        <f>IF(OR(Table1[[#This Row],[Std Nom]]="",Table1[[#This Row],[Std Read]]=""),0,Table1[[#This Row],[Std Nom]]-Table1[[#This Row],[Std Read]])</f>
        <v>0</v>
      </c>
      <c r="N2871" s="1">
        <f>IF(Calculations!$F$5="ACCREDITED 17025 WITH UNCERTAINTIES",$N$10,0)</f>
        <v>0</v>
      </c>
      <c r="O2871" s="1" t="str">
        <f>IFERROR(Table1[[#This Row],[Std Nom]]-(_xlfn.XLOOKUP(Table1[[#This Row],[Manufacturer]]&amp;" "&amp;Table1[[#This Row],[Model]],Table13[MFR &amp; MDL],Table13[Tolerance % CW ],"")/100*Table1[[#This Row],[Std Nom]]),"")</f>
        <v/>
      </c>
      <c r="P2871" s="1" t="str">
        <f>IFERROR(Table1[[#This Row],[Std Nom]]+(_xlfn.XLOOKUP(Table1[[#This Row],[Manufacturer]]&amp;" "&amp;Table1[[#This Row],[Model]],Table13[MFR &amp; MDL],Table13[Tolerance % CW ],"")/100*Table1[[#This Row],[Std Nom]]),"")</f>
        <v/>
      </c>
      <c r="Q2871" s="1" t="e">
        <f>Table1[[#This Row],[High Tol]]-Table1[[#This Row],[Low Tol]]</f>
        <v>#VALUE!</v>
      </c>
      <c r="R2871" s="1">
        <f>2*Table1[[#This Row],[Std Error]]</f>
        <v>0</v>
      </c>
      <c r="S2871" s="1" t="str">
        <f>IF(Table1[[#This Row],[High Tol]]="","N/A",IFERROR(ABS(Table1[[#This Row],[Tol Span]]/Table1[[#This Row],[Error Span]]),"N/A"))</f>
        <v>N/A</v>
      </c>
      <c r="T2871" s="1" t="str">
        <f>IF(OR(Table1[[#This Row],[Low Tol]]="",Table1[[#This Row],[High Tol]]=""),"Needs Analysis",IF(Table1[[#This Row],[Ratio]]&gt;=4,"Not Significant",IF(Table1[[#This Row],[Ratio]]&gt;=2,"Semi-Significant","Significant")))</f>
        <v>Needs Analysis</v>
      </c>
      <c r="W2871" s="1">
        <f>IF(Table1[[#This Row],[Cal Type]]&lt;&gt;"ACCREDITED 17025 WITH UNCERTAINTIES",0,"")</f>
        <v>0</v>
      </c>
      <c r="X2871" s="1" t="str">
        <f>IF(Table1[[#This Row],[DUT Read]]="","N/A",Table1[[#This Row],[Std Error]]+Table1[[#This Row],[DUT Read]]+Table1[[#This Row],[DUT Ucty]])</f>
        <v>N/A</v>
      </c>
      <c r="Y2871" s="1" t="str">
        <f>IF(Table1[[#This Row],[Std Read]]="","N/A",Table1[[#This Row],[Std Read]]+Table1[[#This Row],[Std Ucty]])</f>
        <v>N/A</v>
      </c>
      <c r="Z28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1" s="1" t="str">
        <f>IF(Table1[[#This Row],[Spec Type]]="","N/A",Table1[[#This Row],[Spec Type]])</f>
        <v>±</v>
      </c>
      <c r="AC2871" s="1" t="str">
        <f>IF(Table1[[#This Row],[Spec Type2]]="N/A","N/A",IF(AND(Table1[[#This Row],[DUT Adj Read]]&gt;=Table1[[#This Row],[Low Tol]],Table1[[#This Row],[DUT Adj Read]]&lt;=Table1[[#This Row],[High Tol]]),"Pass","Fail"))</f>
        <v>Fail</v>
      </c>
      <c r="AD2871" s="1" t="str">
        <f>IF(AND(Table1[[#This Row],[Spec Type2]]="N/A",Table1[[#This Row],[DUT Adj Read]]="N/A",Table1[[#This Row],[Std Adj Read]]="N/A"),"N/A",IF(Table1[[#This Row],[DUT Adj Read]]="N/A",IF(Table1[[#This Row],[Std Adj Read]]&gt;Table1[[#This Row],[Low Tol]],"Pass","Fail"),IF(Table1[[#This Row],[DUT Adj Read]]&gt;Table1[[#This Row],[Low Tol]],"Pass","Fail")))</f>
        <v>Pass</v>
      </c>
      <c r="AE2871" s="1" t="str">
        <f>IF(AND(Table1[[#This Row],[Spec Type2]]="N/A",Table1[[#This Row],[DUT Adj Read]]="N/A",Table1[[#This Row],[Std Adj Read]]="N/A"),"N/A",IF(Table1[[#This Row],[DUT Adj Read]]="N/A",IF(Table1[[#This Row],[Std Adj Read]]&lt;Table1[[#This Row],[High Tol]],"Pass","Fail"),IF(Table1[[#This Row],[DUT Adj Read]]&lt;Table1[[#This Row],[High Tol]],"Pass","Fail")))</f>
        <v>Fail</v>
      </c>
      <c r="AF2871" s="1" t="str">
        <f>IF(AND(Table1[[#This Row],[Spec Type2]]="N/A",Table1[[#This Row],[DUT Adj Read]]="N/A",Table1[[#This Row],[Std Adj Read]]="N/A"),"N/A",IF(Table1[[#This Row],[DUT Adj Read]]="N/A",IF(Table1[[#This Row],[Std Adj Read]]&gt;=Table1[[#This Row],[Low Tol]],"Pass","Fail"),IF(Table1[[#This Row],[DUT Adj Read]]&gt;=Table1[[#This Row],[Low Tol]],"Pass","Fail")))</f>
        <v>Pass</v>
      </c>
      <c r="AG2871" s="1" t="str">
        <f>IF(AND(Table1[[#This Row],[Spec Type2]]="N/A",Table1[[#This Row],[DUT Adj Read]]="N/A",Table1[[#This Row],[Std Adj Read]]="N/A"),"N/A",IF(Table1[[#This Row],[DUT Adj Read]]="N/A",IF(Table1[[#This Row],[Std Adj Read]]&lt;=Table1[[#This Row],[High Tol]],"Pass","Fail"),IF(Table1[[#This Row],[DUT Adj Read]]&lt;=Table1[[#This Row],[High Tol]],"Pass","Fail")))</f>
        <v>Fail</v>
      </c>
      <c r="AH28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1" s="1" t="b">
        <v>0</v>
      </c>
      <c r="AN2871" s="1" t="b">
        <v>0</v>
      </c>
      <c r="AO2871" s="1" t="b">
        <v>0</v>
      </c>
    </row>
    <row r="2872" spans="1:41" x14ac:dyDescent="0.25">
      <c r="A2872" s="10"/>
      <c r="B2872" s="10"/>
      <c r="C2872" s="10"/>
      <c r="D2872" s="10"/>
      <c r="E2872" s="10"/>
      <c r="F2872" s="10"/>
      <c r="G2872" s="10"/>
      <c r="H2872" s="10"/>
      <c r="I2872" s="1" t="str">
        <f t="shared" si="132"/>
        <v/>
      </c>
      <c r="J2872" s="1" t="s">
        <v>35</v>
      </c>
      <c r="K2872" s="1" t="str">
        <f t="shared" si="133"/>
        <v/>
      </c>
      <c r="L2872" s="1" t="str">
        <f t="shared" si="134"/>
        <v/>
      </c>
      <c r="M2872" s="1">
        <f>IF(OR(Table1[[#This Row],[Std Nom]]="",Table1[[#This Row],[Std Read]]=""),0,Table1[[#This Row],[Std Nom]]-Table1[[#This Row],[Std Read]])</f>
        <v>0</v>
      </c>
      <c r="N2872" s="1">
        <f>IF(Calculations!$F$5="ACCREDITED 17025 WITH UNCERTAINTIES",$N$10,0)</f>
        <v>0</v>
      </c>
      <c r="O2872" s="1" t="str">
        <f>IFERROR(Table1[[#This Row],[Std Nom]]-(_xlfn.XLOOKUP(Table1[[#This Row],[Manufacturer]]&amp;" "&amp;Table1[[#This Row],[Model]],Table13[MFR &amp; MDL],Table13[Tolerance % CW ],"")/100*Table1[[#This Row],[Std Nom]]),"")</f>
        <v/>
      </c>
      <c r="P2872" s="1" t="str">
        <f>IFERROR(Table1[[#This Row],[Std Nom]]+(_xlfn.XLOOKUP(Table1[[#This Row],[Manufacturer]]&amp;" "&amp;Table1[[#This Row],[Model]],Table13[MFR &amp; MDL],Table13[Tolerance % CW ],"")/100*Table1[[#This Row],[Std Nom]]),"")</f>
        <v/>
      </c>
      <c r="Q2872" s="1" t="e">
        <f>Table1[[#This Row],[High Tol]]-Table1[[#This Row],[Low Tol]]</f>
        <v>#VALUE!</v>
      </c>
      <c r="R2872" s="1">
        <f>2*Table1[[#This Row],[Std Error]]</f>
        <v>0</v>
      </c>
      <c r="S2872" s="1" t="str">
        <f>IF(Table1[[#This Row],[High Tol]]="","N/A",IFERROR(ABS(Table1[[#This Row],[Tol Span]]/Table1[[#This Row],[Error Span]]),"N/A"))</f>
        <v>N/A</v>
      </c>
      <c r="T2872" s="1" t="str">
        <f>IF(OR(Table1[[#This Row],[Low Tol]]="",Table1[[#This Row],[High Tol]]=""),"Needs Analysis",IF(Table1[[#This Row],[Ratio]]&gt;=4,"Not Significant",IF(Table1[[#This Row],[Ratio]]&gt;=2,"Semi-Significant","Significant")))</f>
        <v>Needs Analysis</v>
      </c>
      <c r="W2872" s="1">
        <f>IF(Table1[[#This Row],[Cal Type]]&lt;&gt;"ACCREDITED 17025 WITH UNCERTAINTIES",0,"")</f>
        <v>0</v>
      </c>
      <c r="X2872" s="1" t="str">
        <f>IF(Table1[[#This Row],[DUT Read]]="","N/A",Table1[[#This Row],[Std Error]]+Table1[[#This Row],[DUT Read]]+Table1[[#This Row],[DUT Ucty]])</f>
        <v>N/A</v>
      </c>
      <c r="Y2872" s="1" t="str">
        <f>IF(Table1[[#This Row],[Std Read]]="","N/A",Table1[[#This Row],[Std Read]]+Table1[[#This Row],[Std Ucty]])</f>
        <v>N/A</v>
      </c>
      <c r="Z28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2" s="1" t="str">
        <f>IF(Table1[[#This Row],[Spec Type]]="","N/A",Table1[[#This Row],[Spec Type]])</f>
        <v>±</v>
      </c>
      <c r="AC2872" s="1" t="str">
        <f>IF(Table1[[#This Row],[Spec Type2]]="N/A","N/A",IF(AND(Table1[[#This Row],[DUT Adj Read]]&gt;=Table1[[#This Row],[Low Tol]],Table1[[#This Row],[DUT Adj Read]]&lt;=Table1[[#This Row],[High Tol]]),"Pass","Fail"))</f>
        <v>Fail</v>
      </c>
      <c r="AD2872" s="1" t="str">
        <f>IF(AND(Table1[[#This Row],[Spec Type2]]="N/A",Table1[[#This Row],[DUT Adj Read]]="N/A",Table1[[#This Row],[Std Adj Read]]="N/A"),"N/A",IF(Table1[[#This Row],[DUT Adj Read]]="N/A",IF(Table1[[#This Row],[Std Adj Read]]&gt;Table1[[#This Row],[Low Tol]],"Pass","Fail"),IF(Table1[[#This Row],[DUT Adj Read]]&gt;Table1[[#This Row],[Low Tol]],"Pass","Fail")))</f>
        <v>Pass</v>
      </c>
      <c r="AE2872" s="1" t="str">
        <f>IF(AND(Table1[[#This Row],[Spec Type2]]="N/A",Table1[[#This Row],[DUT Adj Read]]="N/A",Table1[[#This Row],[Std Adj Read]]="N/A"),"N/A",IF(Table1[[#This Row],[DUT Adj Read]]="N/A",IF(Table1[[#This Row],[Std Adj Read]]&lt;Table1[[#This Row],[High Tol]],"Pass","Fail"),IF(Table1[[#This Row],[DUT Adj Read]]&lt;Table1[[#This Row],[High Tol]],"Pass","Fail")))</f>
        <v>Fail</v>
      </c>
      <c r="AF2872" s="1" t="str">
        <f>IF(AND(Table1[[#This Row],[Spec Type2]]="N/A",Table1[[#This Row],[DUT Adj Read]]="N/A",Table1[[#This Row],[Std Adj Read]]="N/A"),"N/A",IF(Table1[[#This Row],[DUT Adj Read]]="N/A",IF(Table1[[#This Row],[Std Adj Read]]&gt;=Table1[[#This Row],[Low Tol]],"Pass","Fail"),IF(Table1[[#This Row],[DUT Adj Read]]&gt;=Table1[[#This Row],[Low Tol]],"Pass","Fail")))</f>
        <v>Pass</v>
      </c>
      <c r="AG2872" s="1" t="str">
        <f>IF(AND(Table1[[#This Row],[Spec Type2]]="N/A",Table1[[#This Row],[DUT Adj Read]]="N/A",Table1[[#This Row],[Std Adj Read]]="N/A"),"N/A",IF(Table1[[#This Row],[DUT Adj Read]]="N/A",IF(Table1[[#This Row],[Std Adj Read]]&lt;=Table1[[#This Row],[High Tol]],"Pass","Fail"),IF(Table1[[#This Row],[DUT Adj Read]]&lt;=Table1[[#This Row],[High Tol]],"Pass","Fail")))</f>
        <v>Fail</v>
      </c>
      <c r="AH28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2" s="1" t="b">
        <v>0</v>
      </c>
      <c r="AN2872" s="1" t="b">
        <v>0</v>
      </c>
      <c r="AO2872" s="1" t="b">
        <v>0</v>
      </c>
    </row>
    <row r="2873" spans="1:41" x14ac:dyDescent="0.25">
      <c r="A2873" s="10"/>
      <c r="B2873" s="10"/>
      <c r="C2873" s="10"/>
      <c r="D2873" s="10"/>
      <c r="E2873" s="10"/>
      <c r="F2873" s="10"/>
      <c r="G2873" s="10"/>
      <c r="H2873" s="10"/>
      <c r="I2873" s="1" t="str">
        <f t="shared" si="132"/>
        <v/>
      </c>
      <c r="J2873" s="1" t="s">
        <v>35</v>
      </c>
      <c r="K2873" s="1" t="str">
        <f t="shared" si="133"/>
        <v/>
      </c>
      <c r="L2873" s="1" t="str">
        <f t="shared" si="134"/>
        <v/>
      </c>
      <c r="M2873" s="1">
        <f>IF(OR(Table1[[#This Row],[Std Nom]]="",Table1[[#This Row],[Std Read]]=""),0,Table1[[#This Row],[Std Nom]]-Table1[[#This Row],[Std Read]])</f>
        <v>0</v>
      </c>
      <c r="N2873" s="1">
        <f>IF(Calculations!$F$5="ACCREDITED 17025 WITH UNCERTAINTIES",$N$10,0)</f>
        <v>0</v>
      </c>
      <c r="O2873" s="1" t="str">
        <f>IFERROR(Table1[[#This Row],[Std Nom]]-(_xlfn.XLOOKUP(Table1[[#This Row],[Manufacturer]]&amp;" "&amp;Table1[[#This Row],[Model]],Table13[MFR &amp; MDL],Table13[Tolerance % CW ],"")/100*Table1[[#This Row],[Std Nom]]),"")</f>
        <v/>
      </c>
      <c r="P2873" s="1" t="str">
        <f>IFERROR(Table1[[#This Row],[Std Nom]]+(_xlfn.XLOOKUP(Table1[[#This Row],[Manufacturer]]&amp;" "&amp;Table1[[#This Row],[Model]],Table13[MFR &amp; MDL],Table13[Tolerance % CW ],"")/100*Table1[[#This Row],[Std Nom]]),"")</f>
        <v/>
      </c>
      <c r="Q2873" s="1" t="e">
        <f>Table1[[#This Row],[High Tol]]-Table1[[#This Row],[Low Tol]]</f>
        <v>#VALUE!</v>
      </c>
      <c r="R2873" s="1">
        <f>2*Table1[[#This Row],[Std Error]]</f>
        <v>0</v>
      </c>
      <c r="S2873" s="1" t="str">
        <f>IF(Table1[[#This Row],[High Tol]]="","N/A",IFERROR(ABS(Table1[[#This Row],[Tol Span]]/Table1[[#This Row],[Error Span]]),"N/A"))</f>
        <v>N/A</v>
      </c>
      <c r="T2873" s="1" t="str">
        <f>IF(OR(Table1[[#This Row],[Low Tol]]="",Table1[[#This Row],[High Tol]]=""),"Needs Analysis",IF(Table1[[#This Row],[Ratio]]&gt;=4,"Not Significant",IF(Table1[[#This Row],[Ratio]]&gt;=2,"Semi-Significant","Significant")))</f>
        <v>Needs Analysis</v>
      </c>
      <c r="W2873" s="1">
        <f>IF(Table1[[#This Row],[Cal Type]]&lt;&gt;"ACCREDITED 17025 WITH UNCERTAINTIES",0,"")</f>
        <v>0</v>
      </c>
      <c r="X2873" s="1" t="str">
        <f>IF(Table1[[#This Row],[DUT Read]]="","N/A",Table1[[#This Row],[Std Error]]+Table1[[#This Row],[DUT Read]]+Table1[[#This Row],[DUT Ucty]])</f>
        <v>N/A</v>
      </c>
      <c r="Y2873" s="1" t="str">
        <f>IF(Table1[[#This Row],[Std Read]]="","N/A",Table1[[#This Row],[Std Read]]+Table1[[#This Row],[Std Ucty]])</f>
        <v>N/A</v>
      </c>
      <c r="Z28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3" s="1" t="str">
        <f>IF(Table1[[#This Row],[Spec Type]]="","N/A",Table1[[#This Row],[Spec Type]])</f>
        <v>±</v>
      </c>
      <c r="AC2873" s="1" t="str">
        <f>IF(Table1[[#This Row],[Spec Type2]]="N/A","N/A",IF(AND(Table1[[#This Row],[DUT Adj Read]]&gt;=Table1[[#This Row],[Low Tol]],Table1[[#This Row],[DUT Adj Read]]&lt;=Table1[[#This Row],[High Tol]]),"Pass","Fail"))</f>
        <v>Fail</v>
      </c>
      <c r="AD2873" s="1" t="str">
        <f>IF(AND(Table1[[#This Row],[Spec Type2]]="N/A",Table1[[#This Row],[DUT Adj Read]]="N/A",Table1[[#This Row],[Std Adj Read]]="N/A"),"N/A",IF(Table1[[#This Row],[DUT Adj Read]]="N/A",IF(Table1[[#This Row],[Std Adj Read]]&gt;Table1[[#This Row],[Low Tol]],"Pass","Fail"),IF(Table1[[#This Row],[DUT Adj Read]]&gt;Table1[[#This Row],[Low Tol]],"Pass","Fail")))</f>
        <v>Pass</v>
      </c>
      <c r="AE2873" s="1" t="str">
        <f>IF(AND(Table1[[#This Row],[Spec Type2]]="N/A",Table1[[#This Row],[DUT Adj Read]]="N/A",Table1[[#This Row],[Std Adj Read]]="N/A"),"N/A",IF(Table1[[#This Row],[DUT Adj Read]]="N/A",IF(Table1[[#This Row],[Std Adj Read]]&lt;Table1[[#This Row],[High Tol]],"Pass","Fail"),IF(Table1[[#This Row],[DUT Adj Read]]&lt;Table1[[#This Row],[High Tol]],"Pass","Fail")))</f>
        <v>Fail</v>
      </c>
      <c r="AF2873" s="1" t="str">
        <f>IF(AND(Table1[[#This Row],[Spec Type2]]="N/A",Table1[[#This Row],[DUT Adj Read]]="N/A",Table1[[#This Row],[Std Adj Read]]="N/A"),"N/A",IF(Table1[[#This Row],[DUT Adj Read]]="N/A",IF(Table1[[#This Row],[Std Adj Read]]&gt;=Table1[[#This Row],[Low Tol]],"Pass","Fail"),IF(Table1[[#This Row],[DUT Adj Read]]&gt;=Table1[[#This Row],[Low Tol]],"Pass","Fail")))</f>
        <v>Pass</v>
      </c>
      <c r="AG2873" s="1" t="str">
        <f>IF(AND(Table1[[#This Row],[Spec Type2]]="N/A",Table1[[#This Row],[DUT Adj Read]]="N/A",Table1[[#This Row],[Std Adj Read]]="N/A"),"N/A",IF(Table1[[#This Row],[DUT Adj Read]]="N/A",IF(Table1[[#This Row],[Std Adj Read]]&lt;=Table1[[#This Row],[High Tol]],"Pass","Fail"),IF(Table1[[#This Row],[DUT Adj Read]]&lt;=Table1[[#This Row],[High Tol]],"Pass","Fail")))</f>
        <v>Fail</v>
      </c>
      <c r="AH28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3" s="1" t="b">
        <v>0</v>
      </c>
      <c r="AN2873" s="1" t="b">
        <v>0</v>
      </c>
      <c r="AO2873" s="1" t="b">
        <v>0</v>
      </c>
    </row>
    <row r="2874" spans="1:41" x14ac:dyDescent="0.25">
      <c r="A2874" s="10"/>
      <c r="B2874" s="10"/>
      <c r="C2874" s="10"/>
      <c r="D2874" s="10"/>
      <c r="E2874" s="10"/>
      <c r="F2874" s="10"/>
      <c r="G2874" s="10"/>
      <c r="H2874" s="10"/>
      <c r="I2874" s="1" t="str">
        <f t="shared" si="132"/>
        <v/>
      </c>
      <c r="J2874" s="1" t="s">
        <v>35</v>
      </c>
      <c r="K2874" s="1" t="str">
        <f t="shared" si="133"/>
        <v/>
      </c>
      <c r="L2874" s="1" t="str">
        <f t="shared" si="134"/>
        <v/>
      </c>
      <c r="M2874" s="1">
        <f>IF(OR(Table1[[#This Row],[Std Nom]]="",Table1[[#This Row],[Std Read]]=""),0,Table1[[#This Row],[Std Nom]]-Table1[[#This Row],[Std Read]])</f>
        <v>0</v>
      </c>
      <c r="N2874" s="1">
        <f>IF(Calculations!$F$5="ACCREDITED 17025 WITH UNCERTAINTIES",$N$10,0)</f>
        <v>0</v>
      </c>
      <c r="O2874" s="1" t="str">
        <f>IFERROR(Table1[[#This Row],[Std Nom]]-(_xlfn.XLOOKUP(Table1[[#This Row],[Manufacturer]]&amp;" "&amp;Table1[[#This Row],[Model]],Table13[MFR &amp; MDL],Table13[Tolerance % CW ],"")/100*Table1[[#This Row],[Std Nom]]),"")</f>
        <v/>
      </c>
      <c r="P2874" s="1" t="str">
        <f>IFERROR(Table1[[#This Row],[Std Nom]]+(_xlfn.XLOOKUP(Table1[[#This Row],[Manufacturer]]&amp;" "&amp;Table1[[#This Row],[Model]],Table13[MFR &amp; MDL],Table13[Tolerance % CW ],"")/100*Table1[[#This Row],[Std Nom]]),"")</f>
        <v/>
      </c>
      <c r="Q2874" s="1" t="e">
        <f>Table1[[#This Row],[High Tol]]-Table1[[#This Row],[Low Tol]]</f>
        <v>#VALUE!</v>
      </c>
      <c r="R2874" s="1">
        <f>2*Table1[[#This Row],[Std Error]]</f>
        <v>0</v>
      </c>
      <c r="S2874" s="1" t="str">
        <f>IF(Table1[[#This Row],[High Tol]]="","N/A",IFERROR(ABS(Table1[[#This Row],[Tol Span]]/Table1[[#This Row],[Error Span]]),"N/A"))</f>
        <v>N/A</v>
      </c>
      <c r="T2874" s="1" t="str">
        <f>IF(OR(Table1[[#This Row],[Low Tol]]="",Table1[[#This Row],[High Tol]]=""),"Needs Analysis",IF(Table1[[#This Row],[Ratio]]&gt;=4,"Not Significant",IF(Table1[[#This Row],[Ratio]]&gt;=2,"Semi-Significant","Significant")))</f>
        <v>Needs Analysis</v>
      </c>
      <c r="W2874" s="1">
        <f>IF(Table1[[#This Row],[Cal Type]]&lt;&gt;"ACCREDITED 17025 WITH UNCERTAINTIES",0,"")</f>
        <v>0</v>
      </c>
      <c r="X2874" s="1" t="str">
        <f>IF(Table1[[#This Row],[DUT Read]]="","N/A",Table1[[#This Row],[Std Error]]+Table1[[#This Row],[DUT Read]]+Table1[[#This Row],[DUT Ucty]])</f>
        <v>N/A</v>
      </c>
      <c r="Y2874" s="1" t="str">
        <f>IF(Table1[[#This Row],[Std Read]]="","N/A",Table1[[#This Row],[Std Read]]+Table1[[#This Row],[Std Ucty]])</f>
        <v>N/A</v>
      </c>
      <c r="Z28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4" s="1" t="str">
        <f>IF(Table1[[#This Row],[Spec Type]]="","N/A",Table1[[#This Row],[Spec Type]])</f>
        <v>±</v>
      </c>
      <c r="AC2874" s="1" t="str">
        <f>IF(Table1[[#This Row],[Spec Type2]]="N/A","N/A",IF(AND(Table1[[#This Row],[DUT Adj Read]]&gt;=Table1[[#This Row],[Low Tol]],Table1[[#This Row],[DUT Adj Read]]&lt;=Table1[[#This Row],[High Tol]]),"Pass","Fail"))</f>
        <v>Fail</v>
      </c>
      <c r="AD2874" s="1" t="str">
        <f>IF(AND(Table1[[#This Row],[Spec Type2]]="N/A",Table1[[#This Row],[DUT Adj Read]]="N/A",Table1[[#This Row],[Std Adj Read]]="N/A"),"N/A",IF(Table1[[#This Row],[DUT Adj Read]]="N/A",IF(Table1[[#This Row],[Std Adj Read]]&gt;Table1[[#This Row],[Low Tol]],"Pass","Fail"),IF(Table1[[#This Row],[DUT Adj Read]]&gt;Table1[[#This Row],[Low Tol]],"Pass","Fail")))</f>
        <v>Pass</v>
      </c>
      <c r="AE2874" s="1" t="str">
        <f>IF(AND(Table1[[#This Row],[Spec Type2]]="N/A",Table1[[#This Row],[DUT Adj Read]]="N/A",Table1[[#This Row],[Std Adj Read]]="N/A"),"N/A",IF(Table1[[#This Row],[DUT Adj Read]]="N/A",IF(Table1[[#This Row],[Std Adj Read]]&lt;Table1[[#This Row],[High Tol]],"Pass","Fail"),IF(Table1[[#This Row],[DUT Adj Read]]&lt;Table1[[#This Row],[High Tol]],"Pass","Fail")))</f>
        <v>Fail</v>
      </c>
      <c r="AF2874" s="1" t="str">
        <f>IF(AND(Table1[[#This Row],[Spec Type2]]="N/A",Table1[[#This Row],[DUT Adj Read]]="N/A",Table1[[#This Row],[Std Adj Read]]="N/A"),"N/A",IF(Table1[[#This Row],[DUT Adj Read]]="N/A",IF(Table1[[#This Row],[Std Adj Read]]&gt;=Table1[[#This Row],[Low Tol]],"Pass","Fail"),IF(Table1[[#This Row],[DUT Adj Read]]&gt;=Table1[[#This Row],[Low Tol]],"Pass","Fail")))</f>
        <v>Pass</v>
      </c>
      <c r="AG2874" s="1" t="str">
        <f>IF(AND(Table1[[#This Row],[Spec Type2]]="N/A",Table1[[#This Row],[DUT Adj Read]]="N/A",Table1[[#This Row],[Std Adj Read]]="N/A"),"N/A",IF(Table1[[#This Row],[DUT Adj Read]]="N/A",IF(Table1[[#This Row],[Std Adj Read]]&lt;=Table1[[#This Row],[High Tol]],"Pass","Fail"),IF(Table1[[#This Row],[DUT Adj Read]]&lt;=Table1[[#This Row],[High Tol]],"Pass","Fail")))</f>
        <v>Fail</v>
      </c>
      <c r="AH28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4" s="1" t="b">
        <v>0</v>
      </c>
      <c r="AN2874" s="1" t="b">
        <v>0</v>
      </c>
      <c r="AO2874" s="1" t="b">
        <v>0</v>
      </c>
    </row>
    <row r="2875" spans="1:41" x14ac:dyDescent="0.25">
      <c r="A2875" s="10"/>
      <c r="B2875" s="10"/>
      <c r="C2875" s="10"/>
      <c r="D2875" s="10"/>
      <c r="E2875" s="10"/>
      <c r="F2875" s="10"/>
      <c r="G2875" s="10"/>
      <c r="H2875" s="10"/>
      <c r="I2875" s="1" t="str">
        <f t="shared" si="132"/>
        <v/>
      </c>
      <c r="J2875" s="1" t="s">
        <v>35</v>
      </c>
      <c r="K2875" s="1" t="str">
        <f t="shared" si="133"/>
        <v/>
      </c>
      <c r="L2875" s="1" t="str">
        <f t="shared" si="134"/>
        <v/>
      </c>
      <c r="M2875" s="1">
        <f>IF(OR(Table1[[#This Row],[Std Nom]]="",Table1[[#This Row],[Std Read]]=""),0,Table1[[#This Row],[Std Nom]]-Table1[[#This Row],[Std Read]])</f>
        <v>0</v>
      </c>
      <c r="N2875" s="1">
        <f>IF(Calculations!$F$5="ACCREDITED 17025 WITH UNCERTAINTIES",$N$10,0)</f>
        <v>0</v>
      </c>
      <c r="O2875" s="1" t="str">
        <f>IFERROR(Table1[[#This Row],[Std Nom]]-(_xlfn.XLOOKUP(Table1[[#This Row],[Manufacturer]]&amp;" "&amp;Table1[[#This Row],[Model]],Table13[MFR &amp; MDL],Table13[Tolerance % CW ],"")/100*Table1[[#This Row],[Std Nom]]),"")</f>
        <v/>
      </c>
      <c r="P2875" s="1" t="str">
        <f>IFERROR(Table1[[#This Row],[Std Nom]]+(_xlfn.XLOOKUP(Table1[[#This Row],[Manufacturer]]&amp;" "&amp;Table1[[#This Row],[Model]],Table13[MFR &amp; MDL],Table13[Tolerance % CW ],"")/100*Table1[[#This Row],[Std Nom]]),"")</f>
        <v/>
      </c>
      <c r="Q2875" s="1" t="e">
        <f>Table1[[#This Row],[High Tol]]-Table1[[#This Row],[Low Tol]]</f>
        <v>#VALUE!</v>
      </c>
      <c r="R2875" s="1">
        <f>2*Table1[[#This Row],[Std Error]]</f>
        <v>0</v>
      </c>
      <c r="S2875" s="1" t="str">
        <f>IF(Table1[[#This Row],[High Tol]]="","N/A",IFERROR(ABS(Table1[[#This Row],[Tol Span]]/Table1[[#This Row],[Error Span]]),"N/A"))</f>
        <v>N/A</v>
      </c>
      <c r="T2875" s="1" t="str">
        <f>IF(OR(Table1[[#This Row],[Low Tol]]="",Table1[[#This Row],[High Tol]]=""),"Needs Analysis",IF(Table1[[#This Row],[Ratio]]&gt;=4,"Not Significant",IF(Table1[[#This Row],[Ratio]]&gt;=2,"Semi-Significant","Significant")))</f>
        <v>Needs Analysis</v>
      </c>
      <c r="W2875" s="1">
        <f>IF(Table1[[#This Row],[Cal Type]]&lt;&gt;"ACCREDITED 17025 WITH UNCERTAINTIES",0,"")</f>
        <v>0</v>
      </c>
      <c r="X2875" s="1" t="str">
        <f>IF(Table1[[#This Row],[DUT Read]]="","N/A",Table1[[#This Row],[Std Error]]+Table1[[#This Row],[DUT Read]]+Table1[[#This Row],[DUT Ucty]])</f>
        <v>N/A</v>
      </c>
      <c r="Y2875" s="1" t="str">
        <f>IF(Table1[[#This Row],[Std Read]]="","N/A",Table1[[#This Row],[Std Read]]+Table1[[#This Row],[Std Ucty]])</f>
        <v>N/A</v>
      </c>
      <c r="Z28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5" s="1" t="str">
        <f>IF(Table1[[#This Row],[Spec Type]]="","N/A",Table1[[#This Row],[Spec Type]])</f>
        <v>±</v>
      </c>
      <c r="AC2875" s="1" t="str">
        <f>IF(Table1[[#This Row],[Spec Type2]]="N/A","N/A",IF(AND(Table1[[#This Row],[DUT Adj Read]]&gt;=Table1[[#This Row],[Low Tol]],Table1[[#This Row],[DUT Adj Read]]&lt;=Table1[[#This Row],[High Tol]]),"Pass","Fail"))</f>
        <v>Fail</v>
      </c>
      <c r="AD2875" s="1" t="str">
        <f>IF(AND(Table1[[#This Row],[Spec Type2]]="N/A",Table1[[#This Row],[DUT Adj Read]]="N/A",Table1[[#This Row],[Std Adj Read]]="N/A"),"N/A",IF(Table1[[#This Row],[DUT Adj Read]]="N/A",IF(Table1[[#This Row],[Std Adj Read]]&gt;Table1[[#This Row],[Low Tol]],"Pass","Fail"),IF(Table1[[#This Row],[DUT Adj Read]]&gt;Table1[[#This Row],[Low Tol]],"Pass","Fail")))</f>
        <v>Pass</v>
      </c>
      <c r="AE2875" s="1" t="str">
        <f>IF(AND(Table1[[#This Row],[Spec Type2]]="N/A",Table1[[#This Row],[DUT Adj Read]]="N/A",Table1[[#This Row],[Std Adj Read]]="N/A"),"N/A",IF(Table1[[#This Row],[DUT Adj Read]]="N/A",IF(Table1[[#This Row],[Std Adj Read]]&lt;Table1[[#This Row],[High Tol]],"Pass","Fail"),IF(Table1[[#This Row],[DUT Adj Read]]&lt;Table1[[#This Row],[High Tol]],"Pass","Fail")))</f>
        <v>Fail</v>
      </c>
      <c r="AF2875" s="1" t="str">
        <f>IF(AND(Table1[[#This Row],[Spec Type2]]="N/A",Table1[[#This Row],[DUT Adj Read]]="N/A",Table1[[#This Row],[Std Adj Read]]="N/A"),"N/A",IF(Table1[[#This Row],[DUT Adj Read]]="N/A",IF(Table1[[#This Row],[Std Adj Read]]&gt;=Table1[[#This Row],[Low Tol]],"Pass","Fail"),IF(Table1[[#This Row],[DUT Adj Read]]&gt;=Table1[[#This Row],[Low Tol]],"Pass","Fail")))</f>
        <v>Pass</v>
      </c>
      <c r="AG2875" s="1" t="str">
        <f>IF(AND(Table1[[#This Row],[Spec Type2]]="N/A",Table1[[#This Row],[DUT Adj Read]]="N/A",Table1[[#This Row],[Std Adj Read]]="N/A"),"N/A",IF(Table1[[#This Row],[DUT Adj Read]]="N/A",IF(Table1[[#This Row],[Std Adj Read]]&lt;=Table1[[#This Row],[High Tol]],"Pass","Fail"),IF(Table1[[#This Row],[DUT Adj Read]]&lt;=Table1[[#This Row],[High Tol]],"Pass","Fail")))</f>
        <v>Fail</v>
      </c>
      <c r="AH28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5" s="1" t="b">
        <v>0</v>
      </c>
      <c r="AN2875" s="1" t="b">
        <v>0</v>
      </c>
      <c r="AO2875" s="1" t="b">
        <v>0</v>
      </c>
    </row>
    <row r="2876" spans="1:41" x14ac:dyDescent="0.25">
      <c r="A2876" s="10"/>
      <c r="B2876" s="10"/>
      <c r="C2876" s="10"/>
      <c r="D2876" s="10"/>
      <c r="E2876" s="10"/>
      <c r="F2876" s="10"/>
      <c r="G2876" s="10"/>
      <c r="H2876" s="10"/>
      <c r="I2876" s="1" t="str">
        <f t="shared" si="132"/>
        <v/>
      </c>
      <c r="J2876" s="1" t="s">
        <v>35</v>
      </c>
      <c r="K2876" s="1" t="str">
        <f t="shared" si="133"/>
        <v/>
      </c>
      <c r="L2876" s="1" t="str">
        <f t="shared" si="134"/>
        <v/>
      </c>
      <c r="M2876" s="1">
        <f>IF(OR(Table1[[#This Row],[Std Nom]]="",Table1[[#This Row],[Std Read]]=""),0,Table1[[#This Row],[Std Nom]]-Table1[[#This Row],[Std Read]])</f>
        <v>0</v>
      </c>
      <c r="N2876" s="1">
        <f>IF(Calculations!$F$5="ACCREDITED 17025 WITH UNCERTAINTIES",$N$10,0)</f>
        <v>0</v>
      </c>
      <c r="O2876" s="1" t="str">
        <f>IFERROR(Table1[[#This Row],[Std Nom]]-(_xlfn.XLOOKUP(Table1[[#This Row],[Manufacturer]]&amp;" "&amp;Table1[[#This Row],[Model]],Table13[MFR &amp; MDL],Table13[Tolerance % CW ],"")/100*Table1[[#This Row],[Std Nom]]),"")</f>
        <v/>
      </c>
      <c r="P2876" s="1" t="str">
        <f>IFERROR(Table1[[#This Row],[Std Nom]]+(_xlfn.XLOOKUP(Table1[[#This Row],[Manufacturer]]&amp;" "&amp;Table1[[#This Row],[Model]],Table13[MFR &amp; MDL],Table13[Tolerance % CW ],"")/100*Table1[[#This Row],[Std Nom]]),"")</f>
        <v/>
      </c>
      <c r="Q2876" s="1" t="e">
        <f>Table1[[#This Row],[High Tol]]-Table1[[#This Row],[Low Tol]]</f>
        <v>#VALUE!</v>
      </c>
      <c r="R2876" s="1">
        <f>2*Table1[[#This Row],[Std Error]]</f>
        <v>0</v>
      </c>
      <c r="S2876" s="1" t="str">
        <f>IF(Table1[[#This Row],[High Tol]]="","N/A",IFERROR(ABS(Table1[[#This Row],[Tol Span]]/Table1[[#This Row],[Error Span]]),"N/A"))</f>
        <v>N/A</v>
      </c>
      <c r="T2876" s="1" t="str">
        <f>IF(OR(Table1[[#This Row],[Low Tol]]="",Table1[[#This Row],[High Tol]]=""),"Needs Analysis",IF(Table1[[#This Row],[Ratio]]&gt;=4,"Not Significant",IF(Table1[[#This Row],[Ratio]]&gt;=2,"Semi-Significant","Significant")))</f>
        <v>Needs Analysis</v>
      </c>
      <c r="W2876" s="1">
        <f>IF(Table1[[#This Row],[Cal Type]]&lt;&gt;"ACCREDITED 17025 WITH UNCERTAINTIES",0,"")</f>
        <v>0</v>
      </c>
      <c r="X2876" s="1" t="str">
        <f>IF(Table1[[#This Row],[DUT Read]]="","N/A",Table1[[#This Row],[Std Error]]+Table1[[#This Row],[DUT Read]]+Table1[[#This Row],[DUT Ucty]])</f>
        <v>N/A</v>
      </c>
      <c r="Y2876" s="1" t="str">
        <f>IF(Table1[[#This Row],[Std Read]]="","N/A",Table1[[#This Row],[Std Read]]+Table1[[#This Row],[Std Ucty]])</f>
        <v>N/A</v>
      </c>
      <c r="Z28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6" s="1" t="str">
        <f>IF(Table1[[#This Row],[Spec Type]]="","N/A",Table1[[#This Row],[Spec Type]])</f>
        <v>±</v>
      </c>
      <c r="AC2876" s="1" t="str">
        <f>IF(Table1[[#This Row],[Spec Type2]]="N/A","N/A",IF(AND(Table1[[#This Row],[DUT Adj Read]]&gt;=Table1[[#This Row],[Low Tol]],Table1[[#This Row],[DUT Adj Read]]&lt;=Table1[[#This Row],[High Tol]]),"Pass","Fail"))</f>
        <v>Fail</v>
      </c>
      <c r="AD2876" s="1" t="str">
        <f>IF(AND(Table1[[#This Row],[Spec Type2]]="N/A",Table1[[#This Row],[DUT Adj Read]]="N/A",Table1[[#This Row],[Std Adj Read]]="N/A"),"N/A",IF(Table1[[#This Row],[DUT Adj Read]]="N/A",IF(Table1[[#This Row],[Std Adj Read]]&gt;Table1[[#This Row],[Low Tol]],"Pass","Fail"),IF(Table1[[#This Row],[DUT Adj Read]]&gt;Table1[[#This Row],[Low Tol]],"Pass","Fail")))</f>
        <v>Pass</v>
      </c>
      <c r="AE2876" s="1" t="str">
        <f>IF(AND(Table1[[#This Row],[Spec Type2]]="N/A",Table1[[#This Row],[DUT Adj Read]]="N/A",Table1[[#This Row],[Std Adj Read]]="N/A"),"N/A",IF(Table1[[#This Row],[DUT Adj Read]]="N/A",IF(Table1[[#This Row],[Std Adj Read]]&lt;Table1[[#This Row],[High Tol]],"Pass","Fail"),IF(Table1[[#This Row],[DUT Adj Read]]&lt;Table1[[#This Row],[High Tol]],"Pass","Fail")))</f>
        <v>Fail</v>
      </c>
      <c r="AF2876" s="1" t="str">
        <f>IF(AND(Table1[[#This Row],[Spec Type2]]="N/A",Table1[[#This Row],[DUT Adj Read]]="N/A",Table1[[#This Row],[Std Adj Read]]="N/A"),"N/A",IF(Table1[[#This Row],[DUT Adj Read]]="N/A",IF(Table1[[#This Row],[Std Adj Read]]&gt;=Table1[[#This Row],[Low Tol]],"Pass","Fail"),IF(Table1[[#This Row],[DUT Adj Read]]&gt;=Table1[[#This Row],[Low Tol]],"Pass","Fail")))</f>
        <v>Pass</v>
      </c>
      <c r="AG2876" s="1" t="str">
        <f>IF(AND(Table1[[#This Row],[Spec Type2]]="N/A",Table1[[#This Row],[DUT Adj Read]]="N/A",Table1[[#This Row],[Std Adj Read]]="N/A"),"N/A",IF(Table1[[#This Row],[DUT Adj Read]]="N/A",IF(Table1[[#This Row],[Std Adj Read]]&lt;=Table1[[#This Row],[High Tol]],"Pass","Fail"),IF(Table1[[#This Row],[DUT Adj Read]]&lt;=Table1[[#This Row],[High Tol]],"Pass","Fail")))</f>
        <v>Fail</v>
      </c>
      <c r="AH28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6" s="1" t="b">
        <v>0</v>
      </c>
      <c r="AN2876" s="1" t="b">
        <v>0</v>
      </c>
      <c r="AO2876" s="1" t="b">
        <v>0</v>
      </c>
    </row>
    <row r="2877" spans="1:41" x14ac:dyDescent="0.25">
      <c r="A2877" s="10"/>
      <c r="B2877" s="10"/>
      <c r="C2877" s="10"/>
      <c r="D2877" s="10"/>
      <c r="E2877" s="10"/>
      <c r="F2877" s="10"/>
      <c r="G2877" s="10"/>
      <c r="H2877" s="10"/>
      <c r="I2877" s="1" t="str">
        <f t="shared" si="132"/>
        <v/>
      </c>
      <c r="J2877" s="1" t="s">
        <v>35</v>
      </c>
      <c r="K2877" s="1" t="str">
        <f t="shared" si="133"/>
        <v/>
      </c>
      <c r="L2877" s="1" t="str">
        <f t="shared" si="134"/>
        <v/>
      </c>
      <c r="M2877" s="1">
        <f>IF(OR(Table1[[#This Row],[Std Nom]]="",Table1[[#This Row],[Std Read]]=""),0,Table1[[#This Row],[Std Nom]]-Table1[[#This Row],[Std Read]])</f>
        <v>0</v>
      </c>
      <c r="N2877" s="1">
        <f>IF(Calculations!$F$5="ACCREDITED 17025 WITH UNCERTAINTIES",$N$10,0)</f>
        <v>0</v>
      </c>
      <c r="O2877" s="1" t="str">
        <f>IFERROR(Table1[[#This Row],[Std Nom]]-(_xlfn.XLOOKUP(Table1[[#This Row],[Manufacturer]]&amp;" "&amp;Table1[[#This Row],[Model]],Table13[MFR &amp; MDL],Table13[Tolerance % CW ],"")/100*Table1[[#This Row],[Std Nom]]),"")</f>
        <v/>
      </c>
      <c r="P2877" s="1" t="str">
        <f>IFERROR(Table1[[#This Row],[Std Nom]]+(_xlfn.XLOOKUP(Table1[[#This Row],[Manufacturer]]&amp;" "&amp;Table1[[#This Row],[Model]],Table13[MFR &amp; MDL],Table13[Tolerance % CW ],"")/100*Table1[[#This Row],[Std Nom]]),"")</f>
        <v/>
      </c>
      <c r="Q2877" s="1" t="e">
        <f>Table1[[#This Row],[High Tol]]-Table1[[#This Row],[Low Tol]]</f>
        <v>#VALUE!</v>
      </c>
      <c r="R2877" s="1">
        <f>2*Table1[[#This Row],[Std Error]]</f>
        <v>0</v>
      </c>
      <c r="S2877" s="1" t="str">
        <f>IF(Table1[[#This Row],[High Tol]]="","N/A",IFERROR(ABS(Table1[[#This Row],[Tol Span]]/Table1[[#This Row],[Error Span]]),"N/A"))</f>
        <v>N/A</v>
      </c>
      <c r="T2877" s="1" t="str">
        <f>IF(OR(Table1[[#This Row],[Low Tol]]="",Table1[[#This Row],[High Tol]]=""),"Needs Analysis",IF(Table1[[#This Row],[Ratio]]&gt;=4,"Not Significant",IF(Table1[[#This Row],[Ratio]]&gt;=2,"Semi-Significant","Significant")))</f>
        <v>Needs Analysis</v>
      </c>
      <c r="W2877" s="1">
        <f>IF(Table1[[#This Row],[Cal Type]]&lt;&gt;"ACCREDITED 17025 WITH UNCERTAINTIES",0,"")</f>
        <v>0</v>
      </c>
      <c r="X2877" s="1" t="str">
        <f>IF(Table1[[#This Row],[DUT Read]]="","N/A",Table1[[#This Row],[Std Error]]+Table1[[#This Row],[DUT Read]]+Table1[[#This Row],[DUT Ucty]])</f>
        <v>N/A</v>
      </c>
      <c r="Y2877" s="1" t="str">
        <f>IF(Table1[[#This Row],[Std Read]]="","N/A",Table1[[#This Row],[Std Read]]+Table1[[#This Row],[Std Ucty]])</f>
        <v>N/A</v>
      </c>
      <c r="Z28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7" s="1" t="str">
        <f>IF(Table1[[#This Row],[Spec Type]]="","N/A",Table1[[#This Row],[Spec Type]])</f>
        <v>±</v>
      </c>
      <c r="AC2877" s="1" t="str">
        <f>IF(Table1[[#This Row],[Spec Type2]]="N/A","N/A",IF(AND(Table1[[#This Row],[DUT Adj Read]]&gt;=Table1[[#This Row],[Low Tol]],Table1[[#This Row],[DUT Adj Read]]&lt;=Table1[[#This Row],[High Tol]]),"Pass","Fail"))</f>
        <v>Fail</v>
      </c>
      <c r="AD2877" s="1" t="str">
        <f>IF(AND(Table1[[#This Row],[Spec Type2]]="N/A",Table1[[#This Row],[DUT Adj Read]]="N/A",Table1[[#This Row],[Std Adj Read]]="N/A"),"N/A",IF(Table1[[#This Row],[DUT Adj Read]]="N/A",IF(Table1[[#This Row],[Std Adj Read]]&gt;Table1[[#This Row],[Low Tol]],"Pass","Fail"),IF(Table1[[#This Row],[DUT Adj Read]]&gt;Table1[[#This Row],[Low Tol]],"Pass","Fail")))</f>
        <v>Pass</v>
      </c>
      <c r="AE2877" s="1" t="str">
        <f>IF(AND(Table1[[#This Row],[Spec Type2]]="N/A",Table1[[#This Row],[DUT Adj Read]]="N/A",Table1[[#This Row],[Std Adj Read]]="N/A"),"N/A",IF(Table1[[#This Row],[DUT Adj Read]]="N/A",IF(Table1[[#This Row],[Std Adj Read]]&lt;Table1[[#This Row],[High Tol]],"Pass","Fail"),IF(Table1[[#This Row],[DUT Adj Read]]&lt;Table1[[#This Row],[High Tol]],"Pass","Fail")))</f>
        <v>Fail</v>
      </c>
      <c r="AF2877" s="1" t="str">
        <f>IF(AND(Table1[[#This Row],[Spec Type2]]="N/A",Table1[[#This Row],[DUT Adj Read]]="N/A",Table1[[#This Row],[Std Adj Read]]="N/A"),"N/A",IF(Table1[[#This Row],[DUT Adj Read]]="N/A",IF(Table1[[#This Row],[Std Adj Read]]&gt;=Table1[[#This Row],[Low Tol]],"Pass","Fail"),IF(Table1[[#This Row],[DUT Adj Read]]&gt;=Table1[[#This Row],[Low Tol]],"Pass","Fail")))</f>
        <v>Pass</v>
      </c>
      <c r="AG2877" s="1" t="str">
        <f>IF(AND(Table1[[#This Row],[Spec Type2]]="N/A",Table1[[#This Row],[DUT Adj Read]]="N/A",Table1[[#This Row],[Std Adj Read]]="N/A"),"N/A",IF(Table1[[#This Row],[DUT Adj Read]]="N/A",IF(Table1[[#This Row],[Std Adj Read]]&lt;=Table1[[#This Row],[High Tol]],"Pass","Fail"),IF(Table1[[#This Row],[DUT Adj Read]]&lt;=Table1[[#This Row],[High Tol]],"Pass","Fail")))</f>
        <v>Fail</v>
      </c>
      <c r="AH28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7" s="1" t="b">
        <v>0</v>
      </c>
      <c r="AN2877" s="1" t="b">
        <v>0</v>
      </c>
      <c r="AO2877" s="1" t="b">
        <v>0</v>
      </c>
    </row>
    <row r="2878" spans="1:41" x14ac:dyDescent="0.25">
      <c r="A2878" s="10"/>
      <c r="B2878" s="10"/>
      <c r="C2878" s="10"/>
      <c r="D2878" s="10"/>
      <c r="E2878" s="10"/>
      <c r="F2878" s="10"/>
      <c r="G2878" s="10"/>
      <c r="H2878" s="10"/>
      <c r="I2878" s="1" t="str">
        <f t="shared" si="132"/>
        <v/>
      </c>
      <c r="J2878" s="1" t="s">
        <v>35</v>
      </c>
      <c r="K2878" s="1" t="str">
        <f t="shared" si="133"/>
        <v/>
      </c>
      <c r="L2878" s="1" t="str">
        <f t="shared" si="134"/>
        <v/>
      </c>
      <c r="M2878" s="1">
        <f>IF(OR(Table1[[#This Row],[Std Nom]]="",Table1[[#This Row],[Std Read]]=""),0,Table1[[#This Row],[Std Nom]]-Table1[[#This Row],[Std Read]])</f>
        <v>0</v>
      </c>
      <c r="N2878" s="1">
        <f>IF(Calculations!$F$5="ACCREDITED 17025 WITH UNCERTAINTIES",$N$10,0)</f>
        <v>0</v>
      </c>
      <c r="O2878" s="1" t="str">
        <f>IFERROR(Table1[[#This Row],[Std Nom]]-(_xlfn.XLOOKUP(Table1[[#This Row],[Manufacturer]]&amp;" "&amp;Table1[[#This Row],[Model]],Table13[MFR &amp; MDL],Table13[Tolerance % CW ],"")/100*Table1[[#This Row],[Std Nom]]),"")</f>
        <v/>
      </c>
      <c r="P2878" s="1" t="str">
        <f>IFERROR(Table1[[#This Row],[Std Nom]]+(_xlfn.XLOOKUP(Table1[[#This Row],[Manufacturer]]&amp;" "&amp;Table1[[#This Row],[Model]],Table13[MFR &amp; MDL],Table13[Tolerance % CW ],"")/100*Table1[[#This Row],[Std Nom]]),"")</f>
        <v/>
      </c>
      <c r="Q2878" s="1" t="e">
        <f>Table1[[#This Row],[High Tol]]-Table1[[#This Row],[Low Tol]]</f>
        <v>#VALUE!</v>
      </c>
      <c r="R2878" s="1">
        <f>2*Table1[[#This Row],[Std Error]]</f>
        <v>0</v>
      </c>
      <c r="S2878" s="1" t="str">
        <f>IF(Table1[[#This Row],[High Tol]]="","N/A",IFERROR(ABS(Table1[[#This Row],[Tol Span]]/Table1[[#This Row],[Error Span]]),"N/A"))</f>
        <v>N/A</v>
      </c>
      <c r="T2878" s="1" t="str">
        <f>IF(OR(Table1[[#This Row],[Low Tol]]="",Table1[[#This Row],[High Tol]]=""),"Needs Analysis",IF(Table1[[#This Row],[Ratio]]&gt;=4,"Not Significant",IF(Table1[[#This Row],[Ratio]]&gt;=2,"Semi-Significant","Significant")))</f>
        <v>Needs Analysis</v>
      </c>
      <c r="W2878" s="1">
        <f>IF(Table1[[#This Row],[Cal Type]]&lt;&gt;"ACCREDITED 17025 WITH UNCERTAINTIES",0,"")</f>
        <v>0</v>
      </c>
      <c r="X2878" s="1" t="str">
        <f>IF(Table1[[#This Row],[DUT Read]]="","N/A",Table1[[#This Row],[Std Error]]+Table1[[#This Row],[DUT Read]]+Table1[[#This Row],[DUT Ucty]])</f>
        <v>N/A</v>
      </c>
      <c r="Y2878" s="1" t="str">
        <f>IF(Table1[[#This Row],[Std Read]]="","N/A",Table1[[#This Row],[Std Read]]+Table1[[#This Row],[Std Ucty]])</f>
        <v>N/A</v>
      </c>
      <c r="Z28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8" s="1" t="str">
        <f>IF(Table1[[#This Row],[Spec Type]]="","N/A",Table1[[#This Row],[Spec Type]])</f>
        <v>±</v>
      </c>
      <c r="AC2878" s="1" t="str">
        <f>IF(Table1[[#This Row],[Spec Type2]]="N/A","N/A",IF(AND(Table1[[#This Row],[DUT Adj Read]]&gt;=Table1[[#This Row],[Low Tol]],Table1[[#This Row],[DUT Adj Read]]&lt;=Table1[[#This Row],[High Tol]]),"Pass","Fail"))</f>
        <v>Fail</v>
      </c>
      <c r="AD2878" s="1" t="str">
        <f>IF(AND(Table1[[#This Row],[Spec Type2]]="N/A",Table1[[#This Row],[DUT Adj Read]]="N/A",Table1[[#This Row],[Std Adj Read]]="N/A"),"N/A",IF(Table1[[#This Row],[DUT Adj Read]]="N/A",IF(Table1[[#This Row],[Std Adj Read]]&gt;Table1[[#This Row],[Low Tol]],"Pass","Fail"),IF(Table1[[#This Row],[DUT Adj Read]]&gt;Table1[[#This Row],[Low Tol]],"Pass","Fail")))</f>
        <v>Pass</v>
      </c>
      <c r="AE2878" s="1" t="str">
        <f>IF(AND(Table1[[#This Row],[Spec Type2]]="N/A",Table1[[#This Row],[DUT Adj Read]]="N/A",Table1[[#This Row],[Std Adj Read]]="N/A"),"N/A",IF(Table1[[#This Row],[DUT Adj Read]]="N/A",IF(Table1[[#This Row],[Std Adj Read]]&lt;Table1[[#This Row],[High Tol]],"Pass","Fail"),IF(Table1[[#This Row],[DUT Adj Read]]&lt;Table1[[#This Row],[High Tol]],"Pass","Fail")))</f>
        <v>Fail</v>
      </c>
      <c r="AF2878" s="1" t="str">
        <f>IF(AND(Table1[[#This Row],[Spec Type2]]="N/A",Table1[[#This Row],[DUT Adj Read]]="N/A",Table1[[#This Row],[Std Adj Read]]="N/A"),"N/A",IF(Table1[[#This Row],[DUT Adj Read]]="N/A",IF(Table1[[#This Row],[Std Adj Read]]&gt;=Table1[[#This Row],[Low Tol]],"Pass","Fail"),IF(Table1[[#This Row],[DUT Adj Read]]&gt;=Table1[[#This Row],[Low Tol]],"Pass","Fail")))</f>
        <v>Pass</v>
      </c>
      <c r="AG2878" s="1" t="str">
        <f>IF(AND(Table1[[#This Row],[Spec Type2]]="N/A",Table1[[#This Row],[DUT Adj Read]]="N/A",Table1[[#This Row],[Std Adj Read]]="N/A"),"N/A",IF(Table1[[#This Row],[DUT Adj Read]]="N/A",IF(Table1[[#This Row],[Std Adj Read]]&lt;=Table1[[#This Row],[High Tol]],"Pass","Fail"),IF(Table1[[#This Row],[DUT Adj Read]]&lt;=Table1[[#This Row],[High Tol]],"Pass","Fail")))</f>
        <v>Fail</v>
      </c>
      <c r="AH28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8" s="1" t="b">
        <v>0</v>
      </c>
      <c r="AN2878" s="1" t="b">
        <v>0</v>
      </c>
      <c r="AO2878" s="1" t="b">
        <v>0</v>
      </c>
    </row>
    <row r="2879" spans="1:41" x14ac:dyDescent="0.25">
      <c r="A2879" s="10"/>
      <c r="B2879" s="10"/>
      <c r="C2879" s="10"/>
      <c r="D2879" s="10"/>
      <c r="E2879" s="10"/>
      <c r="F2879" s="10"/>
      <c r="G2879" s="10"/>
      <c r="H2879" s="10"/>
      <c r="I2879" s="1" t="str">
        <f t="shared" si="132"/>
        <v/>
      </c>
      <c r="J2879" s="1" t="s">
        <v>35</v>
      </c>
      <c r="K2879" s="1" t="str">
        <f t="shared" si="133"/>
        <v/>
      </c>
      <c r="L2879" s="1" t="str">
        <f t="shared" si="134"/>
        <v/>
      </c>
      <c r="M2879" s="1">
        <f>IF(OR(Table1[[#This Row],[Std Nom]]="",Table1[[#This Row],[Std Read]]=""),0,Table1[[#This Row],[Std Nom]]-Table1[[#This Row],[Std Read]])</f>
        <v>0</v>
      </c>
      <c r="N2879" s="1">
        <f>IF(Calculations!$F$5="ACCREDITED 17025 WITH UNCERTAINTIES",$N$10,0)</f>
        <v>0</v>
      </c>
      <c r="O2879" s="1" t="str">
        <f>IFERROR(Table1[[#This Row],[Std Nom]]-(_xlfn.XLOOKUP(Table1[[#This Row],[Manufacturer]]&amp;" "&amp;Table1[[#This Row],[Model]],Table13[MFR &amp; MDL],Table13[Tolerance % CW ],"")/100*Table1[[#This Row],[Std Nom]]),"")</f>
        <v/>
      </c>
      <c r="P2879" s="1" t="str">
        <f>IFERROR(Table1[[#This Row],[Std Nom]]+(_xlfn.XLOOKUP(Table1[[#This Row],[Manufacturer]]&amp;" "&amp;Table1[[#This Row],[Model]],Table13[MFR &amp; MDL],Table13[Tolerance % CW ],"")/100*Table1[[#This Row],[Std Nom]]),"")</f>
        <v/>
      </c>
      <c r="Q2879" s="1" t="e">
        <f>Table1[[#This Row],[High Tol]]-Table1[[#This Row],[Low Tol]]</f>
        <v>#VALUE!</v>
      </c>
      <c r="R2879" s="1">
        <f>2*Table1[[#This Row],[Std Error]]</f>
        <v>0</v>
      </c>
      <c r="S2879" s="1" t="str">
        <f>IF(Table1[[#This Row],[High Tol]]="","N/A",IFERROR(ABS(Table1[[#This Row],[Tol Span]]/Table1[[#This Row],[Error Span]]),"N/A"))</f>
        <v>N/A</v>
      </c>
      <c r="T2879" s="1" t="str">
        <f>IF(OR(Table1[[#This Row],[Low Tol]]="",Table1[[#This Row],[High Tol]]=""),"Needs Analysis",IF(Table1[[#This Row],[Ratio]]&gt;=4,"Not Significant",IF(Table1[[#This Row],[Ratio]]&gt;=2,"Semi-Significant","Significant")))</f>
        <v>Needs Analysis</v>
      </c>
      <c r="W2879" s="1">
        <f>IF(Table1[[#This Row],[Cal Type]]&lt;&gt;"ACCREDITED 17025 WITH UNCERTAINTIES",0,"")</f>
        <v>0</v>
      </c>
      <c r="X2879" s="1" t="str">
        <f>IF(Table1[[#This Row],[DUT Read]]="","N/A",Table1[[#This Row],[Std Error]]+Table1[[#This Row],[DUT Read]]+Table1[[#This Row],[DUT Ucty]])</f>
        <v>N/A</v>
      </c>
      <c r="Y2879" s="1" t="str">
        <f>IF(Table1[[#This Row],[Std Read]]="","N/A",Table1[[#This Row],[Std Read]]+Table1[[#This Row],[Std Ucty]])</f>
        <v>N/A</v>
      </c>
      <c r="Z28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9" s="1" t="str">
        <f>IF(Table1[[#This Row],[Spec Type]]="","N/A",Table1[[#This Row],[Spec Type]])</f>
        <v>±</v>
      </c>
      <c r="AC2879" s="1" t="str">
        <f>IF(Table1[[#This Row],[Spec Type2]]="N/A","N/A",IF(AND(Table1[[#This Row],[DUT Adj Read]]&gt;=Table1[[#This Row],[Low Tol]],Table1[[#This Row],[DUT Adj Read]]&lt;=Table1[[#This Row],[High Tol]]),"Pass","Fail"))</f>
        <v>Fail</v>
      </c>
      <c r="AD2879" s="1" t="str">
        <f>IF(AND(Table1[[#This Row],[Spec Type2]]="N/A",Table1[[#This Row],[DUT Adj Read]]="N/A",Table1[[#This Row],[Std Adj Read]]="N/A"),"N/A",IF(Table1[[#This Row],[DUT Adj Read]]="N/A",IF(Table1[[#This Row],[Std Adj Read]]&gt;Table1[[#This Row],[Low Tol]],"Pass","Fail"),IF(Table1[[#This Row],[DUT Adj Read]]&gt;Table1[[#This Row],[Low Tol]],"Pass","Fail")))</f>
        <v>Pass</v>
      </c>
      <c r="AE2879" s="1" t="str">
        <f>IF(AND(Table1[[#This Row],[Spec Type2]]="N/A",Table1[[#This Row],[DUT Adj Read]]="N/A",Table1[[#This Row],[Std Adj Read]]="N/A"),"N/A",IF(Table1[[#This Row],[DUT Adj Read]]="N/A",IF(Table1[[#This Row],[Std Adj Read]]&lt;Table1[[#This Row],[High Tol]],"Pass","Fail"),IF(Table1[[#This Row],[DUT Adj Read]]&lt;Table1[[#This Row],[High Tol]],"Pass","Fail")))</f>
        <v>Fail</v>
      </c>
      <c r="AF2879" s="1" t="str">
        <f>IF(AND(Table1[[#This Row],[Spec Type2]]="N/A",Table1[[#This Row],[DUT Adj Read]]="N/A",Table1[[#This Row],[Std Adj Read]]="N/A"),"N/A",IF(Table1[[#This Row],[DUT Adj Read]]="N/A",IF(Table1[[#This Row],[Std Adj Read]]&gt;=Table1[[#This Row],[Low Tol]],"Pass","Fail"),IF(Table1[[#This Row],[DUT Adj Read]]&gt;=Table1[[#This Row],[Low Tol]],"Pass","Fail")))</f>
        <v>Pass</v>
      </c>
      <c r="AG2879" s="1" t="str">
        <f>IF(AND(Table1[[#This Row],[Spec Type2]]="N/A",Table1[[#This Row],[DUT Adj Read]]="N/A",Table1[[#This Row],[Std Adj Read]]="N/A"),"N/A",IF(Table1[[#This Row],[DUT Adj Read]]="N/A",IF(Table1[[#This Row],[Std Adj Read]]&lt;=Table1[[#This Row],[High Tol]],"Pass","Fail"),IF(Table1[[#This Row],[DUT Adj Read]]&lt;=Table1[[#This Row],[High Tol]],"Pass","Fail")))</f>
        <v>Fail</v>
      </c>
      <c r="AH28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9" s="1" t="b">
        <v>0</v>
      </c>
      <c r="AN2879" s="1" t="b">
        <v>0</v>
      </c>
      <c r="AO2879" s="1" t="b">
        <v>0</v>
      </c>
    </row>
    <row r="2880" spans="1:41" x14ac:dyDescent="0.25">
      <c r="A2880" s="10"/>
      <c r="B2880" s="10"/>
      <c r="C2880" s="10"/>
      <c r="D2880" s="10"/>
      <c r="E2880" s="10"/>
      <c r="F2880" s="10"/>
      <c r="G2880" s="10"/>
      <c r="H2880" s="10"/>
      <c r="I2880" s="1" t="str">
        <f t="shared" si="132"/>
        <v/>
      </c>
      <c r="J2880" s="1" t="s">
        <v>35</v>
      </c>
      <c r="K2880" s="1" t="str">
        <f t="shared" si="133"/>
        <v/>
      </c>
      <c r="L2880" s="1" t="str">
        <f t="shared" si="134"/>
        <v/>
      </c>
      <c r="M2880" s="1">
        <f>IF(OR(Table1[[#This Row],[Std Nom]]="",Table1[[#This Row],[Std Read]]=""),0,Table1[[#This Row],[Std Nom]]-Table1[[#This Row],[Std Read]])</f>
        <v>0</v>
      </c>
      <c r="N2880" s="1">
        <f>IF(Calculations!$F$5="ACCREDITED 17025 WITH UNCERTAINTIES",$N$10,0)</f>
        <v>0</v>
      </c>
      <c r="O2880" s="1" t="str">
        <f>IFERROR(Table1[[#This Row],[Std Nom]]-(_xlfn.XLOOKUP(Table1[[#This Row],[Manufacturer]]&amp;" "&amp;Table1[[#This Row],[Model]],Table13[MFR &amp; MDL],Table13[Tolerance % CW ],"")/100*Table1[[#This Row],[Std Nom]]),"")</f>
        <v/>
      </c>
      <c r="P2880" s="1" t="str">
        <f>IFERROR(Table1[[#This Row],[Std Nom]]+(_xlfn.XLOOKUP(Table1[[#This Row],[Manufacturer]]&amp;" "&amp;Table1[[#This Row],[Model]],Table13[MFR &amp; MDL],Table13[Tolerance % CW ],"")/100*Table1[[#This Row],[Std Nom]]),"")</f>
        <v/>
      </c>
      <c r="Q2880" s="1" t="e">
        <f>Table1[[#This Row],[High Tol]]-Table1[[#This Row],[Low Tol]]</f>
        <v>#VALUE!</v>
      </c>
      <c r="R2880" s="1">
        <f>2*Table1[[#This Row],[Std Error]]</f>
        <v>0</v>
      </c>
      <c r="S2880" s="1" t="str">
        <f>IF(Table1[[#This Row],[High Tol]]="","N/A",IFERROR(ABS(Table1[[#This Row],[Tol Span]]/Table1[[#This Row],[Error Span]]),"N/A"))</f>
        <v>N/A</v>
      </c>
      <c r="T2880" s="1" t="str">
        <f>IF(OR(Table1[[#This Row],[Low Tol]]="",Table1[[#This Row],[High Tol]]=""),"Needs Analysis",IF(Table1[[#This Row],[Ratio]]&gt;=4,"Not Significant",IF(Table1[[#This Row],[Ratio]]&gt;=2,"Semi-Significant","Significant")))</f>
        <v>Needs Analysis</v>
      </c>
      <c r="W2880" s="1">
        <f>IF(Table1[[#This Row],[Cal Type]]&lt;&gt;"ACCREDITED 17025 WITH UNCERTAINTIES",0,"")</f>
        <v>0</v>
      </c>
      <c r="X2880" s="1" t="str">
        <f>IF(Table1[[#This Row],[DUT Read]]="","N/A",Table1[[#This Row],[Std Error]]+Table1[[#This Row],[DUT Read]]+Table1[[#This Row],[DUT Ucty]])</f>
        <v>N/A</v>
      </c>
      <c r="Y2880" s="1" t="str">
        <f>IF(Table1[[#This Row],[Std Read]]="","N/A",Table1[[#This Row],[Std Read]]+Table1[[#This Row],[Std Ucty]])</f>
        <v>N/A</v>
      </c>
      <c r="Z28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0" s="1" t="str">
        <f>IF(Table1[[#This Row],[Spec Type]]="","N/A",Table1[[#This Row],[Spec Type]])</f>
        <v>±</v>
      </c>
      <c r="AC2880" s="1" t="str">
        <f>IF(Table1[[#This Row],[Spec Type2]]="N/A","N/A",IF(AND(Table1[[#This Row],[DUT Adj Read]]&gt;=Table1[[#This Row],[Low Tol]],Table1[[#This Row],[DUT Adj Read]]&lt;=Table1[[#This Row],[High Tol]]),"Pass","Fail"))</f>
        <v>Fail</v>
      </c>
      <c r="AD2880" s="1" t="str">
        <f>IF(AND(Table1[[#This Row],[Spec Type2]]="N/A",Table1[[#This Row],[DUT Adj Read]]="N/A",Table1[[#This Row],[Std Adj Read]]="N/A"),"N/A",IF(Table1[[#This Row],[DUT Adj Read]]="N/A",IF(Table1[[#This Row],[Std Adj Read]]&gt;Table1[[#This Row],[Low Tol]],"Pass","Fail"),IF(Table1[[#This Row],[DUT Adj Read]]&gt;Table1[[#This Row],[Low Tol]],"Pass","Fail")))</f>
        <v>Pass</v>
      </c>
      <c r="AE2880" s="1" t="str">
        <f>IF(AND(Table1[[#This Row],[Spec Type2]]="N/A",Table1[[#This Row],[DUT Adj Read]]="N/A",Table1[[#This Row],[Std Adj Read]]="N/A"),"N/A",IF(Table1[[#This Row],[DUT Adj Read]]="N/A",IF(Table1[[#This Row],[Std Adj Read]]&lt;Table1[[#This Row],[High Tol]],"Pass","Fail"),IF(Table1[[#This Row],[DUT Adj Read]]&lt;Table1[[#This Row],[High Tol]],"Pass","Fail")))</f>
        <v>Fail</v>
      </c>
      <c r="AF2880" s="1" t="str">
        <f>IF(AND(Table1[[#This Row],[Spec Type2]]="N/A",Table1[[#This Row],[DUT Adj Read]]="N/A",Table1[[#This Row],[Std Adj Read]]="N/A"),"N/A",IF(Table1[[#This Row],[DUT Adj Read]]="N/A",IF(Table1[[#This Row],[Std Adj Read]]&gt;=Table1[[#This Row],[Low Tol]],"Pass","Fail"),IF(Table1[[#This Row],[DUT Adj Read]]&gt;=Table1[[#This Row],[Low Tol]],"Pass","Fail")))</f>
        <v>Pass</v>
      </c>
      <c r="AG2880" s="1" t="str">
        <f>IF(AND(Table1[[#This Row],[Spec Type2]]="N/A",Table1[[#This Row],[DUT Adj Read]]="N/A",Table1[[#This Row],[Std Adj Read]]="N/A"),"N/A",IF(Table1[[#This Row],[DUT Adj Read]]="N/A",IF(Table1[[#This Row],[Std Adj Read]]&lt;=Table1[[#This Row],[High Tol]],"Pass","Fail"),IF(Table1[[#This Row],[DUT Adj Read]]&lt;=Table1[[#This Row],[High Tol]],"Pass","Fail")))</f>
        <v>Fail</v>
      </c>
      <c r="AH28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0" s="1" t="b">
        <v>0</v>
      </c>
      <c r="AN2880" s="1" t="b">
        <v>0</v>
      </c>
      <c r="AO2880" s="1" t="b">
        <v>0</v>
      </c>
    </row>
    <row r="2881" spans="1:41" x14ac:dyDescent="0.25">
      <c r="A2881" s="10"/>
      <c r="B2881" s="10"/>
      <c r="C2881" s="10"/>
      <c r="D2881" s="10"/>
      <c r="E2881" s="10"/>
      <c r="F2881" s="10"/>
      <c r="G2881" s="10"/>
      <c r="H2881" s="10"/>
      <c r="I2881" s="1" t="str">
        <f t="shared" si="132"/>
        <v/>
      </c>
      <c r="J2881" s="1" t="s">
        <v>35</v>
      </c>
      <c r="K2881" s="1" t="str">
        <f t="shared" si="133"/>
        <v/>
      </c>
      <c r="L2881" s="1" t="str">
        <f t="shared" si="134"/>
        <v/>
      </c>
      <c r="M2881" s="1">
        <f>IF(OR(Table1[[#This Row],[Std Nom]]="",Table1[[#This Row],[Std Read]]=""),0,Table1[[#This Row],[Std Nom]]-Table1[[#This Row],[Std Read]])</f>
        <v>0</v>
      </c>
      <c r="N2881" s="1">
        <f>IF(Calculations!$F$5="ACCREDITED 17025 WITH UNCERTAINTIES",$N$10,0)</f>
        <v>0</v>
      </c>
      <c r="O2881" s="1" t="str">
        <f>IFERROR(Table1[[#This Row],[Std Nom]]-(_xlfn.XLOOKUP(Table1[[#This Row],[Manufacturer]]&amp;" "&amp;Table1[[#This Row],[Model]],Table13[MFR &amp; MDL],Table13[Tolerance % CW ],"")/100*Table1[[#This Row],[Std Nom]]),"")</f>
        <v/>
      </c>
      <c r="P2881" s="1" t="str">
        <f>IFERROR(Table1[[#This Row],[Std Nom]]+(_xlfn.XLOOKUP(Table1[[#This Row],[Manufacturer]]&amp;" "&amp;Table1[[#This Row],[Model]],Table13[MFR &amp; MDL],Table13[Tolerance % CW ],"")/100*Table1[[#This Row],[Std Nom]]),"")</f>
        <v/>
      </c>
      <c r="Q2881" s="1" t="e">
        <f>Table1[[#This Row],[High Tol]]-Table1[[#This Row],[Low Tol]]</f>
        <v>#VALUE!</v>
      </c>
      <c r="R2881" s="1">
        <f>2*Table1[[#This Row],[Std Error]]</f>
        <v>0</v>
      </c>
      <c r="S2881" s="1" t="str">
        <f>IF(Table1[[#This Row],[High Tol]]="","N/A",IFERROR(ABS(Table1[[#This Row],[Tol Span]]/Table1[[#This Row],[Error Span]]),"N/A"))</f>
        <v>N/A</v>
      </c>
      <c r="T2881" s="1" t="str">
        <f>IF(OR(Table1[[#This Row],[Low Tol]]="",Table1[[#This Row],[High Tol]]=""),"Needs Analysis",IF(Table1[[#This Row],[Ratio]]&gt;=4,"Not Significant",IF(Table1[[#This Row],[Ratio]]&gt;=2,"Semi-Significant","Significant")))</f>
        <v>Needs Analysis</v>
      </c>
      <c r="W2881" s="1">
        <f>IF(Table1[[#This Row],[Cal Type]]&lt;&gt;"ACCREDITED 17025 WITH UNCERTAINTIES",0,"")</f>
        <v>0</v>
      </c>
      <c r="X2881" s="1" t="str">
        <f>IF(Table1[[#This Row],[DUT Read]]="","N/A",Table1[[#This Row],[Std Error]]+Table1[[#This Row],[DUT Read]]+Table1[[#This Row],[DUT Ucty]])</f>
        <v>N/A</v>
      </c>
      <c r="Y2881" s="1" t="str">
        <f>IF(Table1[[#This Row],[Std Read]]="","N/A",Table1[[#This Row],[Std Read]]+Table1[[#This Row],[Std Ucty]])</f>
        <v>N/A</v>
      </c>
      <c r="Z28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1" s="1" t="str">
        <f>IF(Table1[[#This Row],[Spec Type]]="","N/A",Table1[[#This Row],[Spec Type]])</f>
        <v>±</v>
      </c>
      <c r="AC2881" s="1" t="str">
        <f>IF(Table1[[#This Row],[Spec Type2]]="N/A","N/A",IF(AND(Table1[[#This Row],[DUT Adj Read]]&gt;=Table1[[#This Row],[Low Tol]],Table1[[#This Row],[DUT Adj Read]]&lt;=Table1[[#This Row],[High Tol]]),"Pass","Fail"))</f>
        <v>Fail</v>
      </c>
      <c r="AD2881" s="1" t="str">
        <f>IF(AND(Table1[[#This Row],[Spec Type2]]="N/A",Table1[[#This Row],[DUT Adj Read]]="N/A",Table1[[#This Row],[Std Adj Read]]="N/A"),"N/A",IF(Table1[[#This Row],[DUT Adj Read]]="N/A",IF(Table1[[#This Row],[Std Adj Read]]&gt;Table1[[#This Row],[Low Tol]],"Pass","Fail"),IF(Table1[[#This Row],[DUT Adj Read]]&gt;Table1[[#This Row],[Low Tol]],"Pass","Fail")))</f>
        <v>Pass</v>
      </c>
      <c r="AE2881" s="1" t="str">
        <f>IF(AND(Table1[[#This Row],[Spec Type2]]="N/A",Table1[[#This Row],[DUT Adj Read]]="N/A",Table1[[#This Row],[Std Adj Read]]="N/A"),"N/A",IF(Table1[[#This Row],[DUT Adj Read]]="N/A",IF(Table1[[#This Row],[Std Adj Read]]&lt;Table1[[#This Row],[High Tol]],"Pass","Fail"),IF(Table1[[#This Row],[DUT Adj Read]]&lt;Table1[[#This Row],[High Tol]],"Pass","Fail")))</f>
        <v>Fail</v>
      </c>
      <c r="AF2881" s="1" t="str">
        <f>IF(AND(Table1[[#This Row],[Spec Type2]]="N/A",Table1[[#This Row],[DUT Adj Read]]="N/A",Table1[[#This Row],[Std Adj Read]]="N/A"),"N/A",IF(Table1[[#This Row],[DUT Adj Read]]="N/A",IF(Table1[[#This Row],[Std Adj Read]]&gt;=Table1[[#This Row],[Low Tol]],"Pass","Fail"),IF(Table1[[#This Row],[DUT Adj Read]]&gt;=Table1[[#This Row],[Low Tol]],"Pass","Fail")))</f>
        <v>Pass</v>
      </c>
      <c r="AG2881" s="1" t="str">
        <f>IF(AND(Table1[[#This Row],[Spec Type2]]="N/A",Table1[[#This Row],[DUT Adj Read]]="N/A",Table1[[#This Row],[Std Adj Read]]="N/A"),"N/A",IF(Table1[[#This Row],[DUT Adj Read]]="N/A",IF(Table1[[#This Row],[Std Adj Read]]&lt;=Table1[[#This Row],[High Tol]],"Pass","Fail"),IF(Table1[[#This Row],[DUT Adj Read]]&lt;=Table1[[#This Row],[High Tol]],"Pass","Fail")))</f>
        <v>Fail</v>
      </c>
      <c r="AH28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1" s="1" t="b">
        <v>0</v>
      </c>
      <c r="AN2881" s="1" t="b">
        <v>0</v>
      </c>
      <c r="AO2881" s="1" t="b">
        <v>0</v>
      </c>
    </row>
    <row r="2882" spans="1:41" x14ac:dyDescent="0.25">
      <c r="A2882" s="10"/>
      <c r="B2882" s="10"/>
      <c r="C2882" s="10"/>
      <c r="D2882" s="10"/>
      <c r="E2882" s="10"/>
      <c r="F2882" s="10"/>
      <c r="G2882" s="10"/>
      <c r="H2882" s="10"/>
      <c r="I2882" s="1" t="str">
        <f t="shared" si="132"/>
        <v/>
      </c>
      <c r="J2882" s="1" t="s">
        <v>35</v>
      </c>
      <c r="K2882" s="1" t="str">
        <f t="shared" si="133"/>
        <v/>
      </c>
      <c r="L2882" s="1" t="str">
        <f t="shared" si="134"/>
        <v/>
      </c>
      <c r="M2882" s="1">
        <f>IF(OR(Table1[[#This Row],[Std Nom]]="",Table1[[#This Row],[Std Read]]=""),0,Table1[[#This Row],[Std Nom]]-Table1[[#This Row],[Std Read]])</f>
        <v>0</v>
      </c>
      <c r="N2882" s="1">
        <f>IF(Calculations!$F$5="ACCREDITED 17025 WITH UNCERTAINTIES",$N$10,0)</f>
        <v>0</v>
      </c>
      <c r="O2882" s="1" t="str">
        <f>IFERROR(Table1[[#This Row],[Std Nom]]-(_xlfn.XLOOKUP(Table1[[#This Row],[Manufacturer]]&amp;" "&amp;Table1[[#This Row],[Model]],Table13[MFR &amp; MDL],Table13[Tolerance % CW ],"")/100*Table1[[#This Row],[Std Nom]]),"")</f>
        <v/>
      </c>
      <c r="P2882" s="1" t="str">
        <f>IFERROR(Table1[[#This Row],[Std Nom]]+(_xlfn.XLOOKUP(Table1[[#This Row],[Manufacturer]]&amp;" "&amp;Table1[[#This Row],[Model]],Table13[MFR &amp; MDL],Table13[Tolerance % CW ],"")/100*Table1[[#This Row],[Std Nom]]),"")</f>
        <v/>
      </c>
      <c r="Q2882" s="1" t="e">
        <f>Table1[[#This Row],[High Tol]]-Table1[[#This Row],[Low Tol]]</f>
        <v>#VALUE!</v>
      </c>
      <c r="R2882" s="1">
        <f>2*Table1[[#This Row],[Std Error]]</f>
        <v>0</v>
      </c>
      <c r="S2882" s="1" t="str">
        <f>IF(Table1[[#This Row],[High Tol]]="","N/A",IFERROR(ABS(Table1[[#This Row],[Tol Span]]/Table1[[#This Row],[Error Span]]),"N/A"))</f>
        <v>N/A</v>
      </c>
      <c r="T2882" s="1" t="str">
        <f>IF(OR(Table1[[#This Row],[Low Tol]]="",Table1[[#This Row],[High Tol]]=""),"Needs Analysis",IF(Table1[[#This Row],[Ratio]]&gt;=4,"Not Significant",IF(Table1[[#This Row],[Ratio]]&gt;=2,"Semi-Significant","Significant")))</f>
        <v>Needs Analysis</v>
      </c>
      <c r="W2882" s="1">
        <f>IF(Table1[[#This Row],[Cal Type]]&lt;&gt;"ACCREDITED 17025 WITH UNCERTAINTIES",0,"")</f>
        <v>0</v>
      </c>
      <c r="X2882" s="1" t="str">
        <f>IF(Table1[[#This Row],[DUT Read]]="","N/A",Table1[[#This Row],[Std Error]]+Table1[[#This Row],[DUT Read]]+Table1[[#This Row],[DUT Ucty]])</f>
        <v>N/A</v>
      </c>
      <c r="Y2882" s="1" t="str">
        <f>IF(Table1[[#This Row],[Std Read]]="","N/A",Table1[[#This Row],[Std Read]]+Table1[[#This Row],[Std Ucty]])</f>
        <v>N/A</v>
      </c>
      <c r="Z28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2" s="1" t="str">
        <f>IF(Table1[[#This Row],[Spec Type]]="","N/A",Table1[[#This Row],[Spec Type]])</f>
        <v>±</v>
      </c>
      <c r="AC2882" s="1" t="str">
        <f>IF(Table1[[#This Row],[Spec Type2]]="N/A","N/A",IF(AND(Table1[[#This Row],[DUT Adj Read]]&gt;=Table1[[#This Row],[Low Tol]],Table1[[#This Row],[DUT Adj Read]]&lt;=Table1[[#This Row],[High Tol]]),"Pass","Fail"))</f>
        <v>Fail</v>
      </c>
      <c r="AD2882" s="1" t="str">
        <f>IF(AND(Table1[[#This Row],[Spec Type2]]="N/A",Table1[[#This Row],[DUT Adj Read]]="N/A",Table1[[#This Row],[Std Adj Read]]="N/A"),"N/A",IF(Table1[[#This Row],[DUT Adj Read]]="N/A",IF(Table1[[#This Row],[Std Adj Read]]&gt;Table1[[#This Row],[Low Tol]],"Pass","Fail"),IF(Table1[[#This Row],[DUT Adj Read]]&gt;Table1[[#This Row],[Low Tol]],"Pass","Fail")))</f>
        <v>Pass</v>
      </c>
      <c r="AE2882" s="1" t="str">
        <f>IF(AND(Table1[[#This Row],[Spec Type2]]="N/A",Table1[[#This Row],[DUT Adj Read]]="N/A",Table1[[#This Row],[Std Adj Read]]="N/A"),"N/A",IF(Table1[[#This Row],[DUT Adj Read]]="N/A",IF(Table1[[#This Row],[Std Adj Read]]&lt;Table1[[#This Row],[High Tol]],"Pass","Fail"),IF(Table1[[#This Row],[DUT Adj Read]]&lt;Table1[[#This Row],[High Tol]],"Pass","Fail")))</f>
        <v>Fail</v>
      </c>
      <c r="AF2882" s="1" t="str">
        <f>IF(AND(Table1[[#This Row],[Spec Type2]]="N/A",Table1[[#This Row],[DUT Adj Read]]="N/A",Table1[[#This Row],[Std Adj Read]]="N/A"),"N/A",IF(Table1[[#This Row],[DUT Adj Read]]="N/A",IF(Table1[[#This Row],[Std Adj Read]]&gt;=Table1[[#This Row],[Low Tol]],"Pass","Fail"),IF(Table1[[#This Row],[DUT Adj Read]]&gt;=Table1[[#This Row],[Low Tol]],"Pass","Fail")))</f>
        <v>Pass</v>
      </c>
      <c r="AG2882" s="1" t="str">
        <f>IF(AND(Table1[[#This Row],[Spec Type2]]="N/A",Table1[[#This Row],[DUT Adj Read]]="N/A",Table1[[#This Row],[Std Adj Read]]="N/A"),"N/A",IF(Table1[[#This Row],[DUT Adj Read]]="N/A",IF(Table1[[#This Row],[Std Adj Read]]&lt;=Table1[[#This Row],[High Tol]],"Pass","Fail"),IF(Table1[[#This Row],[DUT Adj Read]]&lt;=Table1[[#This Row],[High Tol]],"Pass","Fail")))</f>
        <v>Fail</v>
      </c>
      <c r="AH28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2" s="1" t="b">
        <v>0</v>
      </c>
      <c r="AN2882" s="1" t="b">
        <v>0</v>
      </c>
      <c r="AO2882" s="1" t="b">
        <v>0</v>
      </c>
    </row>
    <row r="2883" spans="1:41" x14ac:dyDescent="0.25">
      <c r="A2883" s="10"/>
      <c r="B2883" s="10"/>
      <c r="C2883" s="10"/>
      <c r="D2883" s="10"/>
      <c r="E2883" s="10"/>
      <c r="F2883" s="10"/>
      <c r="G2883" s="10"/>
      <c r="H2883" s="10"/>
      <c r="I2883" s="1" t="str">
        <f t="shared" si="132"/>
        <v/>
      </c>
      <c r="J2883" s="1" t="s">
        <v>35</v>
      </c>
      <c r="K2883" s="1" t="str">
        <f t="shared" si="133"/>
        <v/>
      </c>
      <c r="L2883" s="1" t="str">
        <f t="shared" si="134"/>
        <v/>
      </c>
      <c r="M2883" s="1">
        <f>IF(OR(Table1[[#This Row],[Std Nom]]="",Table1[[#This Row],[Std Read]]=""),0,Table1[[#This Row],[Std Nom]]-Table1[[#This Row],[Std Read]])</f>
        <v>0</v>
      </c>
      <c r="N2883" s="1">
        <f>IF(Calculations!$F$5="ACCREDITED 17025 WITH UNCERTAINTIES",$N$10,0)</f>
        <v>0</v>
      </c>
      <c r="O2883" s="1" t="str">
        <f>IFERROR(Table1[[#This Row],[Std Nom]]-(_xlfn.XLOOKUP(Table1[[#This Row],[Manufacturer]]&amp;" "&amp;Table1[[#This Row],[Model]],Table13[MFR &amp; MDL],Table13[Tolerance % CW ],"")/100*Table1[[#This Row],[Std Nom]]),"")</f>
        <v/>
      </c>
      <c r="P2883" s="1" t="str">
        <f>IFERROR(Table1[[#This Row],[Std Nom]]+(_xlfn.XLOOKUP(Table1[[#This Row],[Manufacturer]]&amp;" "&amp;Table1[[#This Row],[Model]],Table13[MFR &amp; MDL],Table13[Tolerance % CW ],"")/100*Table1[[#This Row],[Std Nom]]),"")</f>
        <v/>
      </c>
      <c r="Q2883" s="1" t="e">
        <f>Table1[[#This Row],[High Tol]]-Table1[[#This Row],[Low Tol]]</f>
        <v>#VALUE!</v>
      </c>
      <c r="R2883" s="1">
        <f>2*Table1[[#This Row],[Std Error]]</f>
        <v>0</v>
      </c>
      <c r="S2883" s="1" t="str">
        <f>IF(Table1[[#This Row],[High Tol]]="","N/A",IFERROR(ABS(Table1[[#This Row],[Tol Span]]/Table1[[#This Row],[Error Span]]),"N/A"))</f>
        <v>N/A</v>
      </c>
      <c r="T2883" s="1" t="str">
        <f>IF(OR(Table1[[#This Row],[Low Tol]]="",Table1[[#This Row],[High Tol]]=""),"Needs Analysis",IF(Table1[[#This Row],[Ratio]]&gt;=4,"Not Significant",IF(Table1[[#This Row],[Ratio]]&gt;=2,"Semi-Significant","Significant")))</f>
        <v>Needs Analysis</v>
      </c>
      <c r="W2883" s="1">
        <f>IF(Table1[[#This Row],[Cal Type]]&lt;&gt;"ACCREDITED 17025 WITH UNCERTAINTIES",0,"")</f>
        <v>0</v>
      </c>
      <c r="X2883" s="1" t="str">
        <f>IF(Table1[[#This Row],[DUT Read]]="","N/A",Table1[[#This Row],[Std Error]]+Table1[[#This Row],[DUT Read]]+Table1[[#This Row],[DUT Ucty]])</f>
        <v>N/A</v>
      </c>
      <c r="Y2883" s="1" t="str">
        <f>IF(Table1[[#This Row],[Std Read]]="","N/A",Table1[[#This Row],[Std Read]]+Table1[[#This Row],[Std Ucty]])</f>
        <v>N/A</v>
      </c>
      <c r="Z28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3" s="1" t="str">
        <f>IF(Table1[[#This Row],[Spec Type]]="","N/A",Table1[[#This Row],[Spec Type]])</f>
        <v>±</v>
      </c>
      <c r="AC2883" s="1" t="str">
        <f>IF(Table1[[#This Row],[Spec Type2]]="N/A","N/A",IF(AND(Table1[[#This Row],[DUT Adj Read]]&gt;=Table1[[#This Row],[Low Tol]],Table1[[#This Row],[DUT Adj Read]]&lt;=Table1[[#This Row],[High Tol]]),"Pass","Fail"))</f>
        <v>Fail</v>
      </c>
      <c r="AD2883" s="1" t="str">
        <f>IF(AND(Table1[[#This Row],[Spec Type2]]="N/A",Table1[[#This Row],[DUT Adj Read]]="N/A",Table1[[#This Row],[Std Adj Read]]="N/A"),"N/A",IF(Table1[[#This Row],[DUT Adj Read]]="N/A",IF(Table1[[#This Row],[Std Adj Read]]&gt;Table1[[#This Row],[Low Tol]],"Pass","Fail"),IF(Table1[[#This Row],[DUT Adj Read]]&gt;Table1[[#This Row],[Low Tol]],"Pass","Fail")))</f>
        <v>Pass</v>
      </c>
      <c r="AE2883" s="1" t="str">
        <f>IF(AND(Table1[[#This Row],[Spec Type2]]="N/A",Table1[[#This Row],[DUT Adj Read]]="N/A",Table1[[#This Row],[Std Adj Read]]="N/A"),"N/A",IF(Table1[[#This Row],[DUT Adj Read]]="N/A",IF(Table1[[#This Row],[Std Adj Read]]&lt;Table1[[#This Row],[High Tol]],"Pass","Fail"),IF(Table1[[#This Row],[DUT Adj Read]]&lt;Table1[[#This Row],[High Tol]],"Pass","Fail")))</f>
        <v>Fail</v>
      </c>
      <c r="AF2883" s="1" t="str">
        <f>IF(AND(Table1[[#This Row],[Spec Type2]]="N/A",Table1[[#This Row],[DUT Adj Read]]="N/A",Table1[[#This Row],[Std Adj Read]]="N/A"),"N/A",IF(Table1[[#This Row],[DUT Adj Read]]="N/A",IF(Table1[[#This Row],[Std Adj Read]]&gt;=Table1[[#This Row],[Low Tol]],"Pass","Fail"),IF(Table1[[#This Row],[DUT Adj Read]]&gt;=Table1[[#This Row],[Low Tol]],"Pass","Fail")))</f>
        <v>Pass</v>
      </c>
      <c r="AG2883" s="1" t="str">
        <f>IF(AND(Table1[[#This Row],[Spec Type2]]="N/A",Table1[[#This Row],[DUT Adj Read]]="N/A",Table1[[#This Row],[Std Adj Read]]="N/A"),"N/A",IF(Table1[[#This Row],[DUT Adj Read]]="N/A",IF(Table1[[#This Row],[Std Adj Read]]&lt;=Table1[[#This Row],[High Tol]],"Pass","Fail"),IF(Table1[[#This Row],[DUT Adj Read]]&lt;=Table1[[#This Row],[High Tol]],"Pass","Fail")))</f>
        <v>Fail</v>
      </c>
      <c r="AH28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3" s="1" t="b">
        <v>0</v>
      </c>
      <c r="AN2883" s="1" t="b">
        <v>0</v>
      </c>
      <c r="AO2883" s="1" t="b">
        <v>0</v>
      </c>
    </row>
    <row r="2884" spans="1:41" x14ac:dyDescent="0.25">
      <c r="A2884" s="10"/>
      <c r="B2884" s="10"/>
      <c r="C2884" s="10"/>
      <c r="D2884" s="10"/>
      <c r="E2884" s="10"/>
      <c r="F2884" s="10"/>
      <c r="G2884" s="10"/>
      <c r="H2884" s="10"/>
      <c r="I2884" s="1" t="str">
        <f t="shared" si="132"/>
        <v/>
      </c>
      <c r="J2884" s="1" t="s">
        <v>35</v>
      </c>
      <c r="K2884" s="1" t="str">
        <f t="shared" si="133"/>
        <v/>
      </c>
      <c r="L2884" s="1" t="str">
        <f t="shared" si="134"/>
        <v/>
      </c>
      <c r="M2884" s="1">
        <f>IF(OR(Table1[[#This Row],[Std Nom]]="",Table1[[#This Row],[Std Read]]=""),0,Table1[[#This Row],[Std Nom]]-Table1[[#This Row],[Std Read]])</f>
        <v>0</v>
      </c>
      <c r="N2884" s="1">
        <f>IF(Calculations!$F$5="ACCREDITED 17025 WITH UNCERTAINTIES",$N$10,0)</f>
        <v>0</v>
      </c>
      <c r="O2884" s="1" t="str">
        <f>IFERROR(Table1[[#This Row],[Std Nom]]-(_xlfn.XLOOKUP(Table1[[#This Row],[Manufacturer]]&amp;" "&amp;Table1[[#This Row],[Model]],Table13[MFR &amp; MDL],Table13[Tolerance % CW ],"")/100*Table1[[#This Row],[Std Nom]]),"")</f>
        <v/>
      </c>
      <c r="P2884" s="1" t="str">
        <f>IFERROR(Table1[[#This Row],[Std Nom]]+(_xlfn.XLOOKUP(Table1[[#This Row],[Manufacturer]]&amp;" "&amp;Table1[[#This Row],[Model]],Table13[MFR &amp; MDL],Table13[Tolerance % CW ],"")/100*Table1[[#This Row],[Std Nom]]),"")</f>
        <v/>
      </c>
      <c r="Q2884" s="1" t="e">
        <f>Table1[[#This Row],[High Tol]]-Table1[[#This Row],[Low Tol]]</f>
        <v>#VALUE!</v>
      </c>
      <c r="R2884" s="1">
        <f>2*Table1[[#This Row],[Std Error]]</f>
        <v>0</v>
      </c>
      <c r="S2884" s="1" t="str">
        <f>IF(Table1[[#This Row],[High Tol]]="","N/A",IFERROR(ABS(Table1[[#This Row],[Tol Span]]/Table1[[#This Row],[Error Span]]),"N/A"))</f>
        <v>N/A</v>
      </c>
      <c r="T2884" s="1" t="str">
        <f>IF(OR(Table1[[#This Row],[Low Tol]]="",Table1[[#This Row],[High Tol]]=""),"Needs Analysis",IF(Table1[[#This Row],[Ratio]]&gt;=4,"Not Significant",IF(Table1[[#This Row],[Ratio]]&gt;=2,"Semi-Significant","Significant")))</f>
        <v>Needs Analysis</v>
      </c>
      <c r="W2884" s="1">
        <f>IF(Table1[[#This Row],[Cal Type]]&lt;&gt;"ACCREDITED 17025 WITH UNCERTAINTIES",0,"")</f>
        <v>0</v>
      </c>
      <c r="X2884" s="1" t="str">
        <f>IF(Table1[[#This Row],[DUT Read]]="","N/A",Table1[[#This Row],[Std Error]]+Table1[[#This Row],[DUT Read]]+Table1[[#This Row],[DUT Ucty]])</f>
        <v>N/A</v>
      </c>
      <c r="Y2884" s="1" t="str">
        <f>IF(Table1[[#This Row],[Std Read]]="","N/A",Table1[[#This Row],[Std Read]]+Table1[[#This Row],[Std Ucty]])</f>
        <v>N/A</v>
      </c>
      <c r="Z28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4" s="1" t="str">
        <f>IF(Table1[[#This Row],[Spec Type]]="","N/A",Table1[[#This Row],[Spec Type]])</f>
        <v>±</v>
      </c>
      <c r="AC2884" s="1" t="str">
        <f>IF(Table1[[#This Row],[Spec Type2]]="N/A","N/A",IF(AND(Table1[[#This Row],[DUT Adj Read]]&gt;=Table1[[#This Row],[Low Tol]],Table1[[#This Row],[DUT Adj Read]]&lt;=Table1[[#This Row],[High Tol]]),"Pass","Fail"))</f>
        <v>Fail</v>
      </c>
      <c r="AD2884" s="1" t="str">
        <f>IF(AND(Table1[[#This Row],[Spec Type2]]="N/A",Table1[[#This Row],[DUT Adj Read]]="N/A",Table1[[#This Row],[Std Adj Read]]="N/A"),"N/A",IF(Table1[[#This Row],[DUT Adj Read]]="N/A",IF(Table1[[#This Row],[Std Adj Read]]&gt;Table1[[#This Row],[Low Tol]],"Pass","Fail"),IF(Table1[[#This Row],[DUT Adj Read]]&gt;Table1[[#This Row],[Low Tol]],"Pass","Fail")))</f>
        <v>Pass</v>
      </c>
      <c r="AE2884" s="1" t="str">
        <f>IF(AND(Table1[[#This Row],[Spec Type2]]="N/A",Table1[[#This Row],[DUT Adj Read]]="N/A",Table1[[#This Row],[Std Adj Read]]="N/A"),"N/A",IF(Table1[[#This Row],[DUT Adj Read]]="N/A",IF(Table1[[#This Row],[Std Adj Read]]&lt;Table1[[#This Row],[High Tol]],"Pass","Fail"),IF(Table1[[#This Row],[DUT Adj Read]]&lt;Table1[[#This Row],[High Tol]],"Pass","Fail")))</f>
        <v>Fail</v>
      </c>
      <c r="AF2884" s="1" t="str">
        <f>IF(AND(Table1[[#This Row],[Spec Type2]]="N/A",Table1[[#This Row],[DUT Adj Read]]="N/A",Table1[[#This Row],[Std Adj Read]]="N/A"),"N/A",IF(Table1[[#This Row],[DUT Adj Read]]="N/A",IF(Table1[[#This Row],[Std Adj Read]]&gt;=Table1[[#This Row],[Low Tol]],"Pass","Fail"),IF(Table1[[#This Row],[DUT Adj Read]]&gt;=Table1[[#This Row],[Low Tol]],"Pass","Fail")))</f>
        <v>Pass</v>
      </c>
      <c r="AG2884" s="1" t="str">
        <f>IF(AND(Table1[[#This Row],[Spec Type2]]="N/A",Table1[[#This Row],[DUT Adj Read]]="N/A",Table1[[#This Row],[Std Adj Read]]="N/A"),"N/A",IF(Table1[[#This Row],[DUT Adj Read]]="N/A",IF(Table1[[#This Row],[Std Adj Read]]&lt;=Table1[[#This Row],[High Tol]],"Pass","Fail"),IF(Table1[[#This Row],[DUT Adj Read]]&lt;=Table1[[#This Row],[High Tol]],"Pass","Fail")))</f>
        <v>Fail</v>
      </c>
      <c r="AH28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4" s="1" t="b">
        <v>0</v>
      </c>
      <c r="AN2884" s="1" t="b">
        <v>0</v>
      </c>
      <c r="AO2884" s="1" t="b">
        <v>0</v>
      </c>
    </row>
    <row r="2885" spans="1:41" x14ac:dyDescent="0.25">
      <c r="A2885" s="10"/>
      <c r="B2885" s="10"/>
      <c r="C2885" s="10"/>
      <c r="D2885" s="10"/>
      <c r="E2885" s="10"/>
      <c r="F2885" s="10"/>
      <c r="G2885" s="10"/>
      <c r="H2885" s="10"/>
      <c r="I2885" s="1" t="str">
        <f t="shared" si="132"/>
        <v/>
      </c>
      <c r="J2885" s="1" t="s">
        <v>35</v>
      </c>
      <c r="K2885" s="1" t="str">
        <f t="shared" si="133"/>
        <v/>
      </c>
      <c r="L2885" s="1" t="str">
        <f t="shared" si="134"/>
        <v/>
      </c>
      <c r="M2885" s="1">
        <f>IF(OR(Table1[[#This Row],[Std Nom]]="",Table1[[#This Row],[Std Read]]=""),0,Table1[[#This Row],[Std Nom]]-Table1[[#This Row],[Std Read]])</f>
        <v>0</v>
      </c>
      <c r="N2885" s="1">
        <f>IF(Calculations!$F$5="ACCREDITED 17025 WITH UNCERTAINTIES",$N$10,0)</f>
        <v>0</v>
      </c>
      <c r="O2885" s="1" t="str">
        <f>IFERROR(Table1[[#This Row],[Std Nom]]-(_xlfn.XLOOKUP(Table1[[#This Row],[Manufacturer]]&amp;" "&amp;Table1[[#This Row],[Model]],Table13[MFR &amp; MDL],Table13[Tolerance % CW ],"")/100*Table1[[#This Row],[Std Nom]]),"")</f>
        <v/>
      </c>
      <c r="P2885" s="1" t="str">
        <f>IFERROR(Table1[[#This Row],[Std Nom]]+(_xlfn.XLOOKUP(Table1[[#This Row],[Manufacturer]]&amp;" "&amp;Table1[[#This Row],[Model]],Table13[MFR &amp; MDL],Table13[Tolerance % CW ],"")/100*Table1[[#This Row],[Std Nom]]),"")</f>
        <v/>
      </c>
      <c r="Q2885" s="1" t="e">
        <f>Table1[[#This Row],[High Tol]]-Table1[[#This Row],[Low Tol]]</f>
        <v>#VALUE!</v>
      </c>
      <c r="R2885" s="1">
        <f>2*Table1[[#This Row],[Std Error]]</f>
        <v>0</v>
      </c>
      <c r="S2885" s="1" t="str">
        <f>IF(Table1[[#This Row],[High Tol]]="","N/A",IFERROR(ABS(Table1[[#This Row],[Tol Span]]/Table1[[#This Row],[Error Span]]),"N/A"))</f>
        <v>N/A</v>
      </c>
      <c r="T2885" s="1" t="str">
        <f>IF(OR(Table1[[#This Row],[Low Tol]]="",Table1[[#This Row],[High Tol]]=""),"Needs Analysis",IF(Table1[[#This Row],[Ratio]]&gt;=4,"Not Significant",IF(Table1[[#This Row],[Ratio]]&gt;=2,"Semi-Significant","Significant")))</f>
        <v>Needs Analysis</v>
      </c>
      <c r="W2885" s="1">
        <f>IF(Table1[[#This Row],[Cal Type]]&lt;&gt;"ACCREDITED 17025 WITH UNCERTAINTIES",0,"")</f>
        <v>0</v>
      </c>
      <c r="X2885" s="1" t="str">
        <f>IF(Table1[[#This Row],[DUT Read]]="","N/A",Table1[[#This Row],[Std Error]]+Table1[[#This Row],[DUT Read]]+Table1[[#This Row],[DUT Ucty]])</f>
        <v>N/A</v>
      </c>
      <c r="Y2885" s="1" t="str">
        <f>IF(Table1[[#This Row],[Std Read]]="","N/A",Table1[[#This Row],[Std Read]]+Table1[[#This Row],[Std Ucty]])</f>
        <v>N/A</v>
      </c>
      <c r="Z28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5" s="1" t="str">
        <f>IF(Table1[[#This Row],[Spec Type]]="","N/A",Table1[[#This Row],[Spec Type]])</f>
        <v>±</v>
      </c>
      <c r="AC2885" s="1" t="str">
        <f>IF(Table1[[#This Row],[Spec Type2]]="N/A","N/A",IF(AND(Table1[[#This Row],[DUT Adj Read]]&gt;=Table1[[#This Row],[Low Tol]],Table1[[#This Row],[DUT Adj Read]]&lt;=Table1[[#This Row],[High Tol]]),"Pass","Fail"))</f>
        <v>Fail</v>
      </c>
      <c r="AD2885" s="1" t="str">
        <f>IF(AND(Table1[[#This Row],[Spec Type2]]="N/A",Table1[[#This Row],[DUT Adj Read]]="N/A",Table1[[#This Row],[Std Adj Read]]="N/A"),"N/A",IF(Table1[[#This Row],[DUT Adj Read]]="N/A",IF(Table1[[#This Row],[Std Adj Read]]&gt;Table1[[#This Row],[Low Tol]],"Pass","Fail"),IF(Table1[[#This Row],[DUT Adj Read]]&gt;Table1[[#This Row],[Low Tol]],"Pass","Fail")))</f>
        <v>Pass</v>
      </c>
      <c r="AE2885" s="1" t="str">
        <f>IF(AND(Table1[[#This Row],[Spec Type2]]="N/A",Table1[[#This Row],[DUT Adj Read]]="N/A",Table1[[#This Row],[Std Adj Read]]="N/A"),"N/A",IF(Table1[[#This Row],[DUT Adj Read]]="N/A",IF(Table1[[#This Row],[Std Adj Read]]&lt;Table1[[#This Row],[High Tol]],"Pass","Fail"),IF(Table1[[#This Row],[DUT Adj Read]]&lt;Table1[[#This Row],[High Tol]],"Pass","Fail")))</f>
        <v>Fail</v>
      </c>
      <c r="AF2885" s="1" t="str">
        <f>IF(AND(Table1[[#This Row],[Spec Type2]]="N/A",Table1[[#This Row],[DUT Adj Read]]="N/A",Table1[[#This Row],[Std Adj Read]]="N/A"),"N/A",IF(Table1[[#This Row],[DUT Adj Read]]="N/A",IF(Table1[[#This Row],[Std Adj Read]]&gt;=Table1[[#This Row],[Low Tol]],"Pass","Fail"),IF(Table1[[#This Row],[DUT Adj Read]]&gt;=Table1[[#This Row],[Low Tol]],"Pass","Fail")))</f>
        <v>Pass</v>
      </c>
      <c r="AG2885" s="1" t="str">
        <f>IF(AND(Table1[[#This Row],[Spec Type2]]="N/A",Table1[[#This Row],[DUT Adj Read]]="N/A",Table1[[#This Row],[Std Adj Read]]="N/A"),"N/A",IF(Table1[[#This Row],[DUT Adj Read]]="N/A",IF(Table1[[#This Row],[Std Adj Read]]&lt;=Table1[[#This Row],[High Tol]],"Pass","Fail"),IF(Table1[[#This Row],[DUT Adj Read]]&lt;=Table1[[#This Row],[High Tol]],"Pass","Fail")))</f>
        <v>Fail</v>
      </c>
      <c r="AH28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5" s="1" t="b">
        <v>0</v>
      </c>
      <c r="AN2885" s="1" t="b">
        <v>0</v>
      </c>
      <c r="AO2885" s="1" t="b">
        <v>0</v>
      </c>
    </row>
    <row r="2886" spans="1:41" x14ac:dyDescent="0.25">
      <c r="A2886" s="10"/>
      <c r="B2886" s="10"/>
      <c r="C2886" s="10"/>
      <c r="D2886" s="10"/>
      <c r="E2886" s="10"/>
      <c r="F2886" s="10"/>
      <c r="G2886" s="10"/>
      <c r="H2886" s="10"/>
      <c r="I2886" s="1" t="str">
        <f t="shared" si="132"/>
        <v/>
      </c>
      <c r="J2886" s="1" t="s">
        <v>35</v>
      </c>
      <c r="K2886" s="1" t="str">
        <f t="shared" si="133"/>
        <v/>
      </c>
      <c r="L2886" s="1" t="str">
        <f t="shared" si="134"/>
        <v/>
      </c>
      <c r="M2886" s="1">
        <f>IF(OR(Table1[[#This Row],[Std Nom]]="",Table1[[#This Row],[Std Read]]=""),0,Table1[[#This Row],[Std Nom]]-Table1[[#This Row],[Std Read]])</f>
        <v>0</v>
      </c>
      <c r="N2886" s="1">
        <f>IF(Calculations!$F$5="ACCREDITED 17025 WITH UNCERTAINTIES",$N$10,0)</f>
        <v>0</v>
      </c>
      <c r="O2886" s="1" t="str">
        <f>IFERROR(Table1[[#This Row],[Std Nom]]-(_xlfn.XLOOKUP(Table1[[#This Row],[Manufacturer]]&amp;" "&amp;Table1[[#This Row],[Model]],Table13[MFR &amp; MDL],Table13[Tolerance % CW ],"")/100*Table1[[#This Row],[Std Nom]]),"")</f>
        <v/>
      </c>
      <c r="P2886" s="1" t="str">
        <f>IFERROR(Table1[[#This Row],[Std Nom]]+(_xlfn.XLOOKUP(Table1[[#This Row],[Manufacturer]]&amp;" "&amp;Table1[[#This Row],[Model]],Table13[MFR &amp; MDL],Table13[Tolerance % CW ],"")/100*Table1[[#This Row],[Std Nom]]),"")</f>
        <v/>
      </c>
      <c r="Q2886" s="1" t="e">
        <f>Table1[[#This Row],[High Tol]]-Table1[[#This Row],[Low Tol]]</f>
        <v>#VALUE!</v>
      </c>
      <c r="R2886" s="1">
        <f>2*Table1[[#This Row],[Std Error]]</f>
        <v>0</v>
      </c>
      <c r="S2886" s="1" t="str">
        <f>IF(Table1[[#This Row],[High Tol]]="","N/A",IFERROR(ABS(Table1[[#This Row],[Tol Span]]/Table1[[#This Row],[Error Span]]),"N/A"))</f>
        <v>N/A</v>
      </c>
      <c r="T2886" s="1" t="str">
        <f>IF(OR(Table1[[#This Row],[Low Tol]]="",Table1[[#This Row],[High Tol]]=""),"Needs Analysis",IF(Table1[[#This Row],[Ratio]]&gt;=4,"Not Significant",IF(Table1[[#This Row],[Ratio]]&gt;=2,"Semi-Significant","Significant")))</f>
        <v>Needs Analysis</v>
      </c>
      <c r="W2886" s="1">
        <f>IF(Table1[[#This Row],[Cal Type]]&lt;&gt;"ACCREDITED 17025 WITH UNCERTAINTIES",0,"")</f>
        <v>0</v>
      </c>
      <c r="X2886" s="1" t="str">
        <f>IF(Table1[[#This Row],[DUT Read]]="","N/A",Table1[[#This Row],[Std Error]]+Table1[[#This Row],[DUT Read]]+Table1[[#This Row],[DUT Ucty]])</f>
        <v>N/A</v>
      </c>
      <c r="Y2886" s="1" t="str">
        <f>IF(Table1[[#This Row],[Std Read]]="","N/A",Table1[[#This Row],[Std Read]]+Table1[[#This Row],[Std Ucty]])</f>
        <v>N/A</v>
      </c>
      <c r="Z28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6" s="1" t="str">
        <f>IF(Table1[[#This Row],[Spec Type]]="","N/A",Table1[[#This Row],[Spec Type]])</f>
        <v>±</v>
      </c>
      <c r="AC2886" s="1" t="str">
        <f>IF(Table1[[#This Row],[Spec Type2]]="N/A","N/A",IF(AND(Table1[[#This Row],[DUT Adj Read]]&gt;=Table1[[#This Row],[Low Tol]],Table1[[#This Row],[DUT Adj Read]]&lt;=Table1[[#This Row],[High Tol]]),"Pass","Fail"))</f>
        <v>Fail</v>
      </c>
      <c r="AD2886" s="1" t="str">
        <f>IF(AND(Table1[[#This Row],[Spec Type2]]="N/A",Table1[[#This Row],[DUT Adj Read]]="N/A",Table1[[#This Row],[Std Adj Read]]="N/A"),"N/A",IF(Table1[[#This Row],[DUT Adj Read]]="N/A",IF(Table1[[#This Row],[Std Adj Read]]&gt;Table1[[#This Row],[Low Tol]],"Pass","Fail"),IF(Table1[[#This Row],[DUT Adj Read]]&gt;Table1[[#This Row],[Low Tol]],"Pass","Fail")))</f>
        <v>Pass</v>
      </c>
      <c r="AE2886" s="1" t="str">
        <f>IF(AND(Table1[[#This Row],[Spec Type2]]="N/A",Table1[[#This Row],[DUT Adj Read]]="N/A",Table1[[#This Row],[Std Adj Read]]="N/A"),"N/A",IF(Table1[[#This Row],[DUT Adj Read]]="N/A",IF(Table1[[#This Row],[Std Adj Read]]&lt;Table1[[#This Row],[High Tol]],"Pass","Fail"),IF(Table1[[#This Row],[DUT Adj Read]]&lt;Table1[[#This Row],[High Tol]],"Pass","Fail")))</f>
        <v>Fail</v>
      </c>
      <c r="AF2886" s="1" t="str">
        <f>IF(AND(Table1[[#This Row],[Spec Type2]]="N/A",Table1[[#This Row],[DUT Adj Read]]="N/A",Table1[[#This Row],[Std Adj Read]]="N/A"),"N/A",IF(Table1[[#This Row],[DUT Adj Read]]="N/A",IF(Table1[[#This Row],[Std Adj Read]]&gt;=Table1[[#This Row],[Low Tol]],"Pass","Fail"),IF(Table1[[#This Row],[DUT Adj Read]]&gt;=Table1[[#This Row],[Low Tol]],"Pass","Fail")))</f>
        <v>Pass</v>
      </c>
      <c r="AG2886" s="1" t="str">
        <f>IF(AND(Table1[[#This Row],[Spec Type2]]="N/A",Table1[[#This Row],[DUT Adj Read]]="N/A",Table1[[#This Row],[Std Adj Read]]="N/A"),"N/A",IF(Table1[[#This Row],[DUT Adj Read]]="N/A",IF(Table1[[#This Row],[Std Adj Read]]&lt;=Table1[[#This Row],[High Tol]],"Pass","Fail"),IF(Table1[[#This Row],[DUT Adj Read]]&lt;=Table1[[#This Row],[High Tol]],"Pass","Fail")))</f>
        <v>Fail</v>
      </c>
      <c r="AH28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6" s="1" t="b">
        <v>0</v>
      </c>
      <c r="AN2886" s="1" t="b">
        <v>0</v>
      </c>
      <c r="AO2886" s="1" t="b">
        <v>0</v>
      </c>
    </row>
    <row r="2887" spans="1:41" x14ac:dyDescent="0.25">
      <c r="A2887" s="10"/>
      <c r="B2887" s="10"/>
      <c r="C2887" s="10"/>
      <c r="D2887" s="10"/>
      <c r="E2887" s="10"/>
      <c r="F2887" s="10"/>
      <c r="G2887" s="10"/>
      <c r="H2887" s="10"/>
      <c r="I2887" s="1" t="str">
        <f t="shared" si="132"/>
        <v/>
      </c>
      <c r="J2887" s="1" t="s">
        <v>35</v>
      </c>
      <c r="K2887" s="1" t="str">
        <f t="shared" si="133"/>
        <v/>
      </c>
      <c r="L2887" s="1" t="str">
        <f t="shared" si="134"/>
        <v/>
      </c>
      <c r="M2887" s="1">
        <f>IF(OR(Table1[[#This Row],[Std Nom]]="",Table1[[#This Row],[Std Read]]=""),0,Table1[[#This Row],[Std Nom]]-Table1[[#This Row],[Std Read]])</f>
        <v>0</v>
      </c>
      <c r="N2887" s="1">
        <f>IF(Calculations!$F$5="ACCREDITED 17025 WITH UNCERTAINTIES",$N$10,0)</f>
        <v>0</v>
      </c>
      <c r="O2887" s="1" t="str">
        <f>IFERROR(Table1[[#This Row],[Std Nom]]-(_xlfn.XLOOKUP(Table1[[#This Row],[Manufacturer]]&amp;" "&amp;Table1[[#This Row],[Model]],Table13[MFR &amp; MDL],Table13[Tolerance % CW ],"")/100*Table1[[#This Row],[Std Nom]]),"")</f>
        <v/>
      </c>
      <c r="P2887" s="1" t="str">
        <f>IFERROR(Table1[[#This Row],[Std Nom]]+(_xlfn.XLOOKUP(Table1[[#This Row],[Manufacturer]]&amp;" "&amp;Table1[[#This Row],[Model]],Table13[MFR &amp; MDL],Table13[Tolerance % CW ],"")/100*Table1[[#This Row],[Std Nom]]),"")</f>
        <v/>
      </c>
      <c r="Q2887" s="1" t="e">
        <f>Table1[[#This Row],[High Tol]]-Table1[[#This Row],[Low Tol]]</f>
        <v>#VALUE!</v>
      </c>
      <c r="R2887" s="1">
        <f>2*Table1[[#This Row],[Std Error]]</f>
        <v>0</v>
      </c>
      <c r="S2887" s="1" t="str">
        <f>IF(Table1[[#This Row],[High Tol]]="","N/A",IFERROR(ABS(Table1[[#This Row],[Tol Span]]/Table1[[#This Row],[Error Span]]),"N/A"))</f>
        <v>N/A</v>
      </c>
      <c r="T2887" s="1" t="str">
        <f>IF(OR(Table1[[#This Row],[Low Tol]]="",Table1[[#This Row],[High Tol]]=""),"Needs Analysis",IF(Table1[[#This Row],[Ratio]]&gt;=4,"Not Significant",IF(Table1[[#This Row],[Ratio]]&gt;=2,"Semi-Significant","Significant")))</f>
        <v>Needs Analysis</v>
      </c>
      <c r="W2887" s="1">
        <f>IF(Table1[[#This Row],[Cal Type]]&lt;&gt;"ACCREDITED 17025 WITH UNCERTAINTIES",0,"")</f>
        <v>0</v>
      </c>
      <c r="X2887" s="1" t="str">
        <f>IF(Table1[[#This Row],[DUT Read]]="","N/A",Table1[[#This Row],[Std Error]]+Table1[[#This Row],[DUT Read]]+Table1[[#This Row],[DUT Ucty]])</f>
        <v>N/A</v>
      </c>
      <c r="Y2887" s="1" t="str">
        <f>IF(Table1[[#This Row],[Std Read]]="","N/A",Table1[[#This Row],[Std Read]]+Table1[[#This Row],[Std Ucty]])</f>
        <v>N/A</v>
      </c>
      <c r="Z28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7" s="1" t="str">
        <f>IF(Table1[[#This Row],[Spec Type]]="","N/A",Table1[[#This Row],[Spec Type]])</f>
        <v>±</v>
      </c>
      <c r="AC2887" s="1" t="str">
        <f>IF(Table1[[#This Row],[Spec Type2]]="N/A","N/A",IF(AND(Table1[[#This Row],[DUT Adj Read]]&gt;=Table1[[#This Row],[Low Tol]],Table1[[#This Row],[DUT Adj Read]]&lt;=Table1[[#This Row],[High Tol]]),"Pass","Fail"))</f>
        <v>Fail</v>
      </c>
      <c r="AD2887" s="1" t="str">
        <f>IF(AND(Table1[[#This Row],[Spec Type2]]="N/A",Table1[[#This Row],[DUT Adj Read]]="N/A",Table1[[#This Row],[Std Adj Read]]="N/A"),"N/A",IF(Table1[[#This Row],[DUT Adj Read]]="N/A",IF(Table1[[#This Row],[Std Adj Read]]&gt;Table1[[#This Row],[Low Tol]],"Pass","Fail"),IF(Table1[[#This Row],[DUT Adj Read]]&gt;Table1[[#This Row],[Low Tol]],"Pass","Fail")))</f>
        <v>Pass</v>
      </c>
      <c r="AE2887" s="1" t="str">
        <f>IF(AND(Table1[[#This Row],[Spec Type2]]="N/A",Table1[[#This Row],[DUT Adj Read]]="N/A",Table1[[#This Row],[Std Adj Read]]="N/A"),"N/A",IF(Table1[[#This Row],[DUT Adj Read]]="N/A",IF(Table1[[#This Row],[Std Adj Read]]&lt;Table1[[#This Row],[High Tol]],"Pass","Fail"),IF(Table1[[#This Row],[DUT Adj Read]]&lt;Table1[[#This Row],[High Tol]],"Pass","Fail")))</f>
        <v>Fail</v>
      </c>
      <c r="AF2887" s="1" t="str">
        <f>IF(AND(Table1[[#This Row],[Spec Type2]]="N/A",Table1[[#This Row],[DUT Adj Read]]="N/A",Table1[[#This Row],[Std Adj Read]]="N/A"),"N/A",IF(Table1[[#This Row],[DUT Adj Read]]="N/A",IF(Table1[[#This Row],[Std Adj Read]]&gt;=Table1[[#This Row],[Low Tol]],"Pass","Fail"),IF(Table1[[#This Row],[DUT Adj Read]]&gt;=Table1[[#This Row],[Low Tol]],"Pass","Fail")))</f>
        <v>Pass</v>
      </c>
      <c r="AG2887" s="1" t="str">
        <f>IF(AND(Table1[[#This Row],[Spec Type2]]="N/A",Table1[[#This Row],[DUT Adj Read]]="N/A",Table1[[#This Row],[Std Adj Read]]="N/A"),"N/A",IF(Table1[[#This Row],[DUT Adj Read]]="N/A",IF(Table1[[#This Row],[Std Adj Read]]&lt;=Table1[[#This Row],[High Tol]],"Pass","Fail"),IF(Table1[[#This Row],[DUT Adj Read]]&lt;=Table1[[#This Row],[High Tol]],"Pass","Fail")))</f>
        <v>Fail</v>
      </c>
      <c r="AH28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7" s="1" t="b">
        <v>0</v>
      </c>
      <c r="AN2887" s="1" t="b">
        <v>0</v>
      </c>
      <c r="AO2887" s="1" t="b">
        <v>0</v>
      </c>
    </row>
    <row r="2888" spans="1:41" x14ac:dyDescent="0.25">
      <c r="A2888" s="10"/>
      <c r="B2888" s="10"/>
      <c r="C2888" s="10"/>
      <c r="D2888" s="10"/>
      <c r="E2888" s="10"/>
      <c r="F2888" s="10"/>
      <c r="G2888" s="10"/>
      <c r="H2888" s="10"/>
      <c r="I2888" s="1" t="str">
        <f t="shared" si="132"/>
        <v/>
      </c>
      <c r="J2888" s="1" t="s">
        <v>35</v>
      </c>
      <c r="K2888" s="1" t="str">
        <f t="shared" si="133"/>
        <v/>
      </c>
      <c r="L2888" s="1" t="str">
        <f t="shared" si="134"/>
        <v/>
      </c>
      <c r="M2888" s="1">
        <f>IF(OR(Table1[[#This Row],[Std Nom]]="",Table1[[#This Row],[Std Read]]=""),0,Table1[[#This Row],[Std Nom]]-Table1[[#This Row],[Std Read]])</f>
        <v>0</v>
      </c>
      <c r="N2888" s="1">
        <f>IF(Calculations!$F$5="ACCREDITED 17025 WITH UNCERTAINTIES",$N$10,0)</f>
        <v>0</v>
      </c>
      <c r="O2888" s="1" t="str">
        <f>IFERROR(Table1[[#This Row],[Std Nom]]-(_xlfn.XLOOKUP(Table1[[#This Row],[Manufacturer]]&amp;" "&amp;Table1[[#This Row],[Model]],Table13[MFR &amp; MDL],Table13[Tolerance % CW ],"")/100*Table1[[#This Row],[Std Nom]]),"")</f>
        <v/>
      </c>
      <c r="P2888" s="1" t="str">
        <f>IFERROR(Table1[[#This Row],[Std Nom]]+(_xlfn.XLOOKUP(Table1[[#This Row],[Manufacturer]]&amp;" "&amp;Table1[[#This Row],[Model]],Table13[MFR &amp; MDL],Table13[Tolerance % CW ],"")/100*Table1[[#This Row],[Std Nom]]),"")</f>
        <v/>
      </c>
      <c r="Q2888" s="1" t="e">
        <f>Table1[[#This Row],[High Tol]]-Table1[[#This Row],[Low Tol]]</f>
        <v>#VALUE!</v>
      </c>
      <c r="R2888" s="1">
        <f>2*Table1[[#This Row],[Std Error]]</f>
        <v>0</v>
      </c>
      <c r="S2888" s="1" t="str">
        <f>IF(Table1[[#This Row],[High Tol]]="","N/A",IFERROR(ABS(Table1[[#This Row],[Tol Span]]/Table1[[#This Row],[Error Span]]),"N/A"))</f>
        <v>N/A</v>
      </c>
      <c r="T2888" s="1" t="str">
        <f>IF(OR(Table1[[#This Row],[Low Tol]]="",Table1[[#This Row],[High Tol]]=""),"Needs Analysis",IF(Table1[[#This Row],[Ratio]]&gt;=4,"Not Significant",IF(Table1[[#This Row],[Ratio]]&gt;=2,"Semi-Significant","Significant")))</f>
        <v>Needs Analysis</v>
      </c>
      <c r="W2888" s="1">
        <f>IF(Table1[[#This Row],[Cal Type]]&lt;&gt;"ACCREDITED 17025 WITH UNCERTAINTIES",0,"")</f>
        <v>0</v>
      </c>
      <c r="X2888" s="1" t="str">
        <f>IF(Table1[[#This Row],[DUT Read]]="","N/A",Table1[[#This Row],[Std Error]]+Table1[[#This Row],[DUT Read]]+Table1[[#This Row],[DUT Ucty]])</f>
        <v>N/A</v>
      </c>
      <c r="Y2888" s="1" t="str">
        <f>IF(Table1[[#This Row],[Std Read]]="","N/A",Table1[[#This Row],[Std Read]]+Table1[[#This Row],[Std Ucty]])</f>
        <v>N/A</v>
      </c>
      <c r="Z28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8" s="1" t="str">
        <f>IF(Table1[[#This Row],[Spec Type]]="","N/A",Table1[[#This Row],[Spec Type]])</f>
        <v>±</v>
      </c>
      <c r="AC2888" s="1" t="str">
        <f>IF(Table1[[#This Row],[Spec Type2]]="N/A","N/A",IF(AND(Table1[[#This Row],[DUT Adj Read]]&gt;=Table1[[#This Row],[Low Tol]],Table1[[#This Row],[DUT Adj Read]]&lt;=Table1[[#This Row],[High Tol]]),"Pass","Fail"))</f>
        <v>Fail</v>
      </c>
      <c r="AD2888" s="1" t="str">
        <f>IF(AND(Table1[[#This Row],[Spec Type2]]="N/A",Table1[[#This Row],[DUT Adj Read]]="N/A",Table1[[#This Row],[Std Adj Read]]="N/A"),"N/A",IF(Table1[[#This Row],[DUT Adj Read]]="N/A",IF(Table1[[#This Row],[Std Adj Read]]&gt;Table1[[#This Row],[Low Tol]],"Pass","Fail"),IF(Table1[[#This Row],[DUT Adj Read]]&gt;Table1[[#This Row],[Low Tol]],"Pass","Fail")))</f>
        <v>Pass</v>
      </c>
      <c r="AE2888" s="1" t="str">
        <f>IF(AND(Table1[[#This Row],[Spec Type2]]="N/A",Table1[[#This Row],[DUT Adj Read]]="N/A",Table1[[#This Row],[Std Adj Read]]="N/A"),"N/A",IF(Table1[[#This Row],[DUT Adj Read]]="N/A",IF(Table1[[#This Row],[Std Adj Read]]&lt;Table1[[#This Row],[High Tol]],"Pass","Fail"),IF(Table1[[#This Row],[DUT Adj Read]]&lt;Table1[[#This Row],[High Tol]],"Pass","Fail")))</f>
        <v>Fail</v>
      </c>
      <c r="AF2888" s="1" t="str">
        <f>IF(AND(Table1[[#This Row],[Spec Type2]]="N/A",Table1[[#This Row],[DUT Adj Read]]="N/A",Table1[[#This Row],[Std Adj Read]]="N/A"),"N/A",IF(Table1[[#This Row],[DUT Adj Read]]="N/A",IF(Table1[[#This Row],[Std Adj Read]]&gt;=Table1[[#This Row],[Low Tol]],"Pass","Fail"),IF(Table1[[#This Row],[DUT Adj Read]]&gt;=Table1[[#This Row],[Low Tol]],"Pass","Fail")))</f>
        <v>Pass</v>
      </c>
      <c r="AG2888" s="1" t="str">
        <f>IF(AND(Table1[[#This Row],[Spec Type2]]="N/A",Table1[[#This Row],[DUT Adj Read]]="N/A",Table1[[#This Row],[Std Adj Read]]="N/A"),"N/A",IF(Table1[[#This Row],[DUT Adj Read]]="N/A",IF(Table1[[#This Row],[Std Adj Read]]&lt;=Table1[[#This Row],[High Tol]],"Pass","Fail"),IF(Table1[[#This Row],[DUT Adj Read]]&lt;=Table1[[#This Row],[High Tol]],"Pass","Fail")))</f>
        <v>Fail</v>
      </c>
      <c r="AH28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8" s="1" t="b">
        <v>0</v>
      </c>
      <c r="AN2888" s="1" t="b">
        <v>0</v>
      </c>
      <c r="AO2888" s="1" t="b">
        <v>0</v>
      </c>
    </row>
    <row r="2889" spans="1:41" x14ac:dyDescent="0.25">
      <c r="A2889" s="10"/>
      <c r="B2889" s="10"/>
      <c r="C2889" s="10"/>
      <c r="D2889" s="10"/>
      <c r="E2889" s="10"/>
      <c r="F2889" s="10"/>
      <c r="G2889" s="10"/>
      <c r="H2889" s="10"/>
      <c r="I2889" s="1" t="str">
        <f t="shared" si="132"/>
        <v/>
      </c>
      <c r="J2889" s="1" t="s">
        <v>35</v>
      </c>
      <c r="K2889" s="1" t="str">
        <f t="shared" si="133"/>
        <v/>
      </c>
      <c r="L2889" s="1" t="str">
        <f t="shared" si="134"/>
        <v/>
      </c>
      <c r="M2889" s="1">
        <f>IF(OR(Table1[[#This Row],[Std Nom]]="",Table1[[#This Row],[Std Read]]=""),0,Table1[[#This Row],[Std Nom]]-Table1[[#This Row],[Std Read]])</f>
        <v>0</v>
      </c>
      <c r="N2889" s="1">
        <f>IF(Calculations!$F$5="ACCREDITED 17025 WITH UNCERTAINTIES",$N$10,0)</f>
        <v>0</v>
      </c>
      <c r="O2889" s="1" t="str">
        <f>IFERROR(Table1[[#This Row],[Std Nom]]-(_xlfn.XLOOKUP(Table1[[#This Row],[Manufacturer]]&amp;" "&amp;Table1[[#This Row],[Model]],Table13[MFR &amp; MDL],Table13[Tolerance % CW ],"")/100*Table1[[#This Row],[Std Nom]]),"")</f>
        <v/>
      </c>
      <c r="P2889" s="1" t="str">
        <f>IFERROR(Table1[[#This Row],[Std Nom]]+(_xlfn.XLOOKUP(Table1[[#This Row],[Manufacturer]]&amp;" "&amp;Table1[[#This Row],[Model]],Table13[MFR &amp; MDL],Table13[Tolerance % CW ],"")/100*Table1[[#This Row],[Std Nom]]),"")</f>
        <v/>
      </c>
      <c r="Q2889" s="1" t="e">
        <f>Table1[[#This Row],[High Tol]]-Table1[[#This Row],[Low Tol]]</f>
        <v>#VALUE!</v>
      </c>
      <c r="R2889" s="1">
        <f>2*Table1[[#This Row],[Std Error]]</f>
        <v>0</v>
      </c>
      <c r="S2889" s="1" t="str">
        <f>IF(Table1[[#This Row],[High Tol]]="","N/A",IFERROR(ABS(Table1[[#This Row],[Tol Span]]/Table1[[#This Row],[Error Span]]),"N/A"))</f>
        <v>N/A</v>
      </c>
      <c r="T2889" s="1" t="str">
        <f>IF(OR(Table1[[#This Row],[Low Tol]]="",Table1[[#This Row],[High Tol]]=""),"Needs Analysis",IF(Table1[[#This Row],[Ratio]]&gt;=4,"Not Significant",IF(Table1[[#This Row],[Ratio]]&gt;=2,"Semi-Significant","Significant")))</f>
        <v>Needs Analysis</v>
      </c>
      <c r="W2889" s="1">
        <f>IF(Table1[[#This Row],[Cal Type]]&lt;&gt;"ACCREDITED 17025 WITH UNCERTAINTIES",0,"")</f>
        <v>0</v>
      </c>
      <c r="X2889" s="1" t="str">
        <f>IF(Table1[[#This Row],[DUT Read]]="","N/A",Table1[[#This Row],[Std Error]]+Table1[[#This Row],[DUT Read]]+Table1[[#This Row],[DUT Ucty]])</f>
        <v>N/A</v>
      </c>
      <c r="Y2889" s="1" t="str">
        <f>IF(Table1[[#This Row],[Std Read]]="","N/A",Table1[[#This Row],[Std Read]]+Table1[[#This Row],[Std Ucty]])</f>
        <v>N/A</v>
      </c>
      <c r="Z28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9" s="1" t="str">
        <f>IF(Table1[[#This Row],[Spec Type]]="","N/A",Table1[[#This Row],[Spec Type]])</f>
        <v>±</v>
      </c>
      <c r="AC2889" s="1" t="str">
        <f>IF(Table1[[#This Row],[Spec Type2]]="N/A","N/A",IF(AND(Table1[[#This Row],[DUT Adj Read]]&gt;=Table1[[#This Row],[Low Tol]],Table1[[#This Row],[DUT Adj Read]]&lt;=Table1[[#This Row],[High Tol]]),"Pass","Fail"))</f>
        <v>Fail</v>
      </c>
      <c r="AD2889" s="1" t="str">
        <f>IF(AND(Table1[[#This Row],[Spec Type2]]="N/A",Table1[[#This Row],[DUT Adj Read]]="N/A",Table1[[#This Row],[Std Adj Read]]="N/A"),"N/A",IF(Table1[[#This Row],[DUT Adj Read]]="N/A",IF(Table1[[#This Row],[Std Adj Read]]&gt;Table1[[#This Row],[Low Tol]],"Pass","Fail"),IF(Table1[[#This Row],[DUT Adj Read]]&gt;Table1[[#This Row],[Low Tol]],"Pass","Fail")))</f>
        <v>Pass</v>
      </c>
      <c r="AE2889" s="1" t="str">
        <f>IF(AND(Table1[[#This Row],[Spec Type2]]="N/A",Table1[[#This Row],[DUT Adj Read]]="N/A",Table1[[#This Row],[Std Adj Read]]="N/A"),"N/A",IF(Table1[[#This Row],[DUT Adj Read]]="N/A",IF(Table1[[#This Row],[Std Adj Read]]&lt;Table1[[#This Row],[High Tol]],"Pass","Fail"),IF(Table1[[#This Row],[DUT Adj Read]]&lt;Table1[[#This Row],[High Tol]],"Pass","Fail")))</f>
        <v>Fail</v>
      </c>
      <c r="AF2889" s="1" t="str">
        <f>IF(AND(Table1[[#This Row],[Spec Type2]]="N/A",Table1[[#This Row],[DUT Adj Read]]="N/A",Table1[[#This Row],[Std Adj Read]]="N/A"),"N/A",IF(Table1[[#This Row],[DUT Adj Read]]="N/A",IF(Table1[[#This Row],[Std Adj Read]]&gt;=Table1[[#This Row],[Low Tol]],"Pass","Fail"),IF(Table1[[#This Row],[DUT Adj Read]]&gt;=Table1[[#This Row],[Low Tol]],"Pass","Fail")))</f>
        <v>Pass</v>
      </c>
      <c r="AG2889" s="1" t="str">
        <f>IF(AND(Table1[[#This Row],[Spec Type2]]="N/A",Table1[[#This Row],[DUT Adj Read]]="N/A",Table1[[#This Row],[Std Adj Read]]="N/A"),"N/A",IF(Table1[[#This Row],[DUT Adj Read]]="N/A",IF(Table1[[#This Row],[Std Adj Read]]&lt;=Table1[[#This Row],[High Tol]],"Pass","Fail"),IF(Table1[[#This Row],[DUT Adj Read]]&lt;=Table1[[#This Row],[High Tol]],"Pass","Fail")))</f>
        <v>Fail</v>
      </c>
      <c r="AH28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9" s="1" t="b">
        <v>0</v>
      </c>
      <c r="AN2889" s="1" t="b">
        <v>0</v>
      </c>
      <c r="AO2889" s="1" t="b">
        <v>0</v>
      </c>
    </row>
    <row r="2890" spans="1:41" x14ac:dyDescent="0.25">
      <c r="A2890" s="10"/>
      <c r="B2890" s="10"/>
      <c r="C2890" s="10"/>
      <c r="D2890" s="10"/>
      <c r="E2890" s="10"/>
      <c r="F2890" s="10"/>
      <c r="G2890" s="10"/>
      <c r="H2890" s="10"/>
      <c r="I2890" s="1" t="str">
        <f t="shared" si="132"/>
        <v/>
      </c>
      <c r="J2890" s="1" t="s">
        <v>35</v>
      </c>
      <c r="K2890" s="1" t="str">
        <f t="shared" si="133"/>
        <v/>
      </c>
      <c r="L2890" s="1" t="str">
        <f t="shared" si="134"/>
        <v/>
      </c>
      <c r="M2890" s="1">
        <f>IF(OR(Table1[[#This Row],[Std Nom]]="",Table1[[#This Row],[Std Read]]=""),0,Table1[[#This Row],[Std Nom]]-Table1[[#This Row],[Std Read]])</f>
        <v>0</v>
      </c>
      <c r="N2890" s="1">
        <f>IF(Calculations!$F$5="ACCREDITED 17025 WITH UNCERTAINTIES",$N$10,0)</f>
        <v>0</v>
      </c>
      <c r="O2890" s="1" t="str">
        <f>IFERROR(Table1[[#This Row],[Std Nom]]-(_xlfn.XLOOKUP(Table1[[#This Row],[Manufacturer]]&amp;" "&amp;Table1[[#This Row],[Model]],Table13[MFR &amp; MDL],Table13[Tolerance % CW ],"")/100*Table1[[#This Row],[Std Nom]]),"")</f>
        <v/>
      </c>
      <c r="P2890" s="1" t="str">
        <f>IFERROR(Table1[[#This Row],[Std Nom]]+(_xlfn.XLOOKUP(Table1[[#This Row],[Manufacturer]]&amp;" "&amp;Table1[[#This Row],[Model]],Table13[MFR &amp; MDL],Table13[Tolerance % CW ],"")/100*Table1[[#This Row],[Std Nom]]),"")</f>
        <v/>
      </c>
      <c r="Q2890" s="1" t="e">
        <f>Table1[[#This Row],[High Tol]]-Table1[[#This Row],[Low Tol]]</f>
        <v>#VALUE!</v>
      </c>
      <c r="R2890" s="1">
        <f>2*Table1[[#This Row],[Std Error]]</f>
        <v>0</v>
      </c>
      <c r="S2890" s="1" t="str">
        <f>IF(Table1[[#This Row],[High Tol]]="","N/A",IFERROR(ABS(Table1[[#This Row],[Tol Span]]/Table1[[#This Row],[Error Span]]),"N/A"))</f>
        <v>N/A</v>
      </c>
      <c r="T2890" s="1" t="str">
        <f>IF(OR(Table1[[#This Row],[Low Tol]]="",Table1[[#This Row],[High Tol]]=""),"Needs Analysis",IF(Table1[[#This Row],[Ratio]]&gt;=4,"Not Significant",IF(Table1[[#This Row],[Ratio]]&gt;=2,"Semi-Significant","Significant")))</f>
        <v>Needs Analysis</v>
      </c>
      <c r="W2890" s="1">
        <f>IF(Table1[[#This Row],[Cal Type]]&lt;&gt;"ACCREDITED 17025 WITH UNCERTAINTIES",0,"")</f>
        <v>0</v>
      </c>
      <c r="X2890" s="1" t="str">
        <f>IF(Table1[[#This Row],[DUT Read]]="","N/A",Table1[[#This Row],[Std Error]]+Table1[[#This Row],[DUT Read]]+Table1[[#This Row],[DUT Ucty]])</f>
        <v>N/A</v>
      </c>
      <c r="Y2890" s="1" t="str">
        <f>IF(Table1[[#This Row],[Std Read]]="","N/A",Table1[[#This Row],[Std Read]]+Table1[[#This Row],[Std Ucty]])</f>
        <v>N/A</v>
      </c>
      <c r="Z28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0" s="1" t="str">
        <f>IF(Table1[[#This Row],[Spec Type]]="","N/A",Table1[[#This Row],[Spec Type]])</f>
        <v>±</v>
      </c>
      <c r="AC2890" s="1" t="str">
        <f>IF(Table1[[#This Row],[Spec Type2]]="N/A","N/A",IF(AND(Table1[[#This Row],[DUT Adj Read]]&gt;=Table1[[#This Row],[Low Tol]],Table1[[#This Row],[DUT Adj Read]]&lt;=Table1[[#This Row],[High Tol]]),"Pass","Fail"))</f>
        <v>Fail</v>
      </c>
      <c r="AD2890" s="1" t="str">
        <f>IF(AND(Table1[[#This Row],[Spec Type2]]="N/A",Table1[[#This Row],[DUT Adj Read]]="N/A",Table1[[#This Row],[Std Adj Read]]="N/A"),"N/A",IF(Table1[[#This Row],[DUT Adj Read]]="N/A",IF(Table1[[#This Row],[Std Adj Read]]&gt;Table1[[#This Row],[Low Tol]],"Pass","Fail"),IF(Table1[[#This Row],[DUT Adj Read]]&gt;Table1[[#This Row],[Low Tol]],"Pass","Fail")))</f>
        <v>Pass</v>
      </c>
      <c r="AE2890" s="1" t="str">
        <f>IF(AND(Table1[[#This Row],[Spec Type2]]="N/A",Table1[[#This Row],[DUT Adj Read]]="N/A",Table1[[#This Row],[Std Adj Read]]="N/A"),"N/A",IF(Table1[[#This Row],[DUT Adj Read]]="N/A",IF(Table1[[#This Row],[Std Adj Read]]&lt;Table1[[#This Row],[High Tol]],"Pass","Fail"),IF(Table1[[#This Row],[DUT Adj Read]]&lt;Table1[[#This Row],[High Tol]],"Pass","Fail")))</f>
        <v>Fail</v>
      </c>
      <c r="AF2890" s="1" t="str">
        <f>IF(AND(Table1[[#This Row],[Spec Type2]]="N/A",Table1[[#This Row],[DUT Adj Read]]="N/A",Table1[[#This Row],[Std Adj Read]]="N/A"),"N/A",IF(Table1[[#This Row],[DUT Adj Read]]="N/A",IF(Table1[[#This Row],[Std Adj Read]]&gt;=Table1[[#This Row],[Low Tol]],"Pass","Fail"),IF(Table1[[#This Row],[DUT Adj Read]]&gt;=Table1[[#This Row],[Low Tol]],"Pass","Fail")))</f>
        <v>Pass</v>
      </c>
      <c r="AG2890" s="1" t="str">
        <f>IF(AND(Table1[[#This Row],[Spec Type2]]="N/A",Table1[[#This Row],[DUT Adj Read]]="N/A",Table1[[#This Row],[Std Adj Read]]="N/A"),"N/A",IF(Table1[[#This Row],[DUT Adj Read]]="N/A",IF(Table1[[#This Row],[Std Adj Read]]&lt;=Table1[[#This Row],[High Tol]],"Pass","Fail"),IF(Table1[[#This Row],[DUT Adj Read]]&lt;=Table1[[#This Row],[High Tol]],"Pass","Fail")))</f>
        <v>Fail</v>
      </c>
      <c r="AH28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0" s="1" t="b">
        <v>0</v>
      </c>
      <c r="AN2890" s="1" t="b">
        <v>0</v>
      </c>
      <c r="AO2890" s="1" t="b">
        <v>0</v>
      </c>
    </row>
    <row r="2891" spans="1:41" x14ac:dyDescent="0.25">
      <c r="A2891" s="10"/>
      <c r="B2891" s="10"/>
      <c r="C2891" s="10"/>
      <c r="D2891" s="10"/>
      <c r="E2891" s="10"/>
      <c r="F2891" s="10"/>
      <c r="G2891" s="10"/>
      <c r="H2891" s="10"/>
      <c r="I2891" s="1" t="str">
        <f t="shared" ref="I2891:I2954" si="135">IF($I$10="","",$I$10)</f>
        <v/>
      </c>
      <c r="J2891" s="1" t="s">
        <v>35</v>
      </c>
      <c r="K2891" s="1" t="str">
        <f t="shared" ref="K2891:K2954" si="136">IF($K$10="","",$K$10)</f>
        <v/>
      </c>
      <c r="L2891" s="1" t="str">
        <f t="shared" ref="L2891:L2954" si="137">IF($L$10="","",$L$10)</f>
        <v/>
      </c>
      <c r="M2891" s="1">
        <f>IF(OR(Table1[[#This Row],[Std Nom]]="",Table1[[#This Row],[Std Read]]=""),0,Table1[[#This Row],[Std Nom]]-Table1[[#This Row],[Std Read]])</f>
        <v>0</v>
      </c>
      <c r="N2891" s="1">
        <f>IF(Calculations!$F$5="ACCREDITED 17025 WITH UNCERTAINTIES",$N$10,0)</f>
        <v>0</v>
      </c>
      <c r="O2891" s="1" t="str">
        <f>IFERROR(Table1[[#This Row],[Std Nom]]-(_xlfn.XLOOKUP(Table1[[#This Row],[Manufacturer]]&amp;" "&amp;Table1[[#This Row],[Model]],Table13[MFR &amp; MDL],Table13[Tolerance % CW ],"")/100*Table1[[#This Row],[Std Nom]]),"")</f>
        <v/>
      </c>
      <c r="P2891" s="1" t="str">
        <f>IFERROR(Table1[[#This Row],[Std Nom]]+(_xlfn.XLOOKUP(Table1[[#This Row],[Manufacturer]]&amp;" "&amp;Table1[[#This Row],[Model]],Table13[MFR &amp; MDL],Table13[Tolerance % CW ],"")/100*Table1[[#This Row],[Std Nom]]),"")</f>
        <v/>
      </c>
      <c r="Q2891" s="1" t="e">
        <f>Table1[[#This Row],[High Tol]]-Table1[[#This Row],[Low Tol]]</f>
        <v>#VALUE!</v>
      </c>
      <c r="R2891" s="1">
        <f>2*Table1[[#This Row],[Std Error]]</f>
        <v>0</v>
      </c>
      <c r="S2891" s="1" t="str">
        <f>IF(Table1[[#This Row],[High Tol]]="","N/A",IFERROR(ABS(Table1[[#This Row],[Tol Span]]/Table1[[#This Row],[Error Span]]),"N/A"))</f>
        <v>N/A</v>
      </c>
      <c r="T2891" s="1" t="str">
        <f>IF(OR(Table1[[#This Row],[Low Tol]]="",Table1[[#This Row],[High Tol]]=""),"Needs Analysis",IF(Table1[[#This Row],[Ratio]]&gt;=4,"Not Significant",IF(Table1[[#This Row],[Ratio]]&gt;=2,"Semi-Significant","Significant")))</f>
        <v>Needs Analysis</v>
      </c>
      <c r="W2891" s="1">
        <f>IF(Table1[[#This Row],[Cal Type]]&lt;&gt;"ACCREDITED 17025 WITH UNCERTAINTIES",0,"")</f>
        <v>0</v>
      </c>
      <c r="X2891" s="1" t="str">
        <f>IF(Table1[[#This Row],[DUT Read]]="","N/A",Table1[[#This Row],[Std Error]]+Table1[[#This Row],[DUT Read]]+Table1[[#This Row],[DUT Ucty]])</f>
        <v>N/A</v>
      </c>
      <c r="Y2891" s="1" t="str">
        <f>IF(Table1[[#This Row],[Std Read]]="","N/A",Table1[[#This Row],[Std Read]]+Table1[[#This Row],[Std Ucty]])</f>
        <v>N/A</v>
      </c>
      <c r="Z28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1" s="1" t="str">
        <f>IF(Table1[[#This Row],[Spec Type]]="","N/A",Table1[[#This Row],[Spec Type]])</f>
        <v>±</v>
      </c>
      <c r="AC2891" s="1" t="str">
        <f>IF(Table1[[#This Row],[Spec Type2]]="N/A","N/A",IF(AND(Table1[[#This Row],[DUT Adj Read]]&gt;=Table1[[#This Row],[Low Tol]],Table1[[#This Row],[DUT Adj Read]]&lt;=Table1[[#This Row],[High Tol]]),"Pass","Fail"))</f>
        <v>Fail</v>
      </c>
      <c r="AD2891" s="1" t="str">
        <f>IF(AND(Table1[[#This Row],[Spec Type2]]="N/A",Table1[[#This Row],[DUT Adj Read]]="N/A",Table1[[#This Row],[Std Adj Read]]="N/A"),"N/A",IF(Table1[[#This Row],[DUT Adj Read]]="N/A",IF(Table1[[#This Row],[Std Adj Read]]&gt;Table1[[#This Row],[Low Tol]],"Pass","Fail"),IF(Table1[[#This Row],[DUT Adj Read]]&gt;Table1[[#This Row],[Low Tol]],"Pass","Fail")))</f>
        <v>Pass</v>
      </c>
      <c r="AE2891" s="1" t="str">
        <f>IF(AND(Table1[[#This Row],[Spec Type2]]="N/A",Table1[[#This Row],[DUT Adj Read]]="N/A",Table1[[#This Row],[Std Adj Read]]="N/A"),"N/A",IF(Table1[[#This Row],[DUT Adj Read]]="N/A",IF(Table1[[#This Row],[Std Adj Read]]&lt;Table1[[#This Row],[High Tol]],"Pass","Fail"),IF(Table1[[#This Row],[DUT Adj Read]]&lt;Table1[[#This Row],[High Tol]],"Pass","Fail")))</f>
        <v>Fail</v>
      </c>
      <c r="AF2891" s="1" t="str">
        <f>IF(AND(Table1[[#This Row],[Spec Type2]]="N/A",Table1[[#This Row],[DUT Adj Read]]="N/A",Table1[[#This Row],[Std Adj Read]]="N/A"),"N/A",IF(Table1[[#This Row],[DUT Adj Read]]="N/A",IF(Table1[[#This Row],[Std Adj Read]]&gt;=Table1[[#This Row],[Low Tol]],"Pass","Fail"),IF(Table1[[#This Row],[DUT Adj Read]]&gt;=Table1[[#This Row],[Low Tol]],"Pass","Fail")))</f>
        <v>Pass</v>
      </c>
      <c r="AG2891" s="1" t="str">
        <f>IF(AND(Table1[[#This Row],[Spec Type2]]="N/A",Table1[[#This Row],[DUT Adj Read]]="N/A",Table1[[#This Row],[Std Adj Read]]="N/A"),"N/A",IF(Table1[[#This Row],[DUT Adj Read]]="N/A",IF(Table1[[#This Row],[Std Adj Read]]&lt;=Table1[[#This Row],[High Tol]],"Pass","Fail"),IF(Table1[[#This Row],[DUT Adj Read]]&lt;=Table1[[#This Row],[High Tol]],"Pass","Fail")))</f>
        <v>Fail</v>
      </c>
      <c r="AH28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1" s="1" t="b">
        <v>0</v>
      </c>
      <c r="AN2891" s="1" t="b">
        <v>0</v>
      </c>
      <c r="AO2891" s="1" t="b">
        <v>0</v>
      </c>
    </row>
    <row r="2892" spans="1:41" x14ac:dyDescent="0.25">
      <c r="A2892" s="10"/>
      <c r="B2892" s="10"/>
      <c r="C2892" s="10"/>
      <c r="D2892" s="10"/>
      <c r="E2892" s="10"/>
      <c r="F2892" s="10"/>
      <c r="G2892" s="10"/>
      <c r="H2892" s="10"/>
      <c r="I2892" s="1" t="str">
        <f t="shared" si="135"/>
        <v/>
      </c>
      <c r="J2892" s="1" t="s">
        <v>35</v>
      </c>
      <c r="K2892" s="1" t="str">
        <f t="shared" si="136"/>
        <v/>
      </c>
      <c r="L2892" s="1" t="str">
        <f t="shared" si="137"/>
        <v/>
      </c>
      <c r="M2892" s="1">
        <f>IF(OR(Table1[[#This Row],[Std Nom]]="",Table1[[#This Row],[Std Read]]=""),0,Table1[[#This Row],[Std Nom]]-Table1[[#This Row],[Std Read]])</f>
        <v>0</v>
      </c>
      <c r="N2892" s="1">
        <f>IF(Calculations!$F$5="ACCREDITED 17025 WITH UNCERTAINTIES",$N$10,0)</f>
        <v>0</v>
      </c>
      <c r="O2892" s="1" t="str">
        <f>IFERROR(Table1[[#This Row],[Std Nom]]-(_xlfn.XLOOKUP(Table1[[#This Row],[Manufacturer]]&amp;" "&amp;Table1[[#This Row],[Model]],Table13[MFR &amp; MDL],Table13[Tolerance % CW ],"")/100*Table1[[#This Row],[Std Nom]]),"")</f>
        <v/>
      </c>
      <c r="P2892" s="1" t="str">
        <f>IFERROR(Table1[[#This Row],[Std Nom]]+(_xlfn.XLOOKUP(Table1[[#This Row],[Manufacturer]]&amp;" "&amp;Table1[[#This Row],[Model]],Table13[MFR &amp; MDL],Table13[Tolerance % CW ],"")/100*Table1[[#This Row],[Std Nom]]),"")</f>
        <v/>
      </c>
      <c r="Q2892" s="1" t="e">
        <f>Table1[[#This Row],[High Tol]]-Table1[[#This Row],[Low Tol]]</f>
        <v>#VALUE!</v>
      </c>
      <c r="R2892" s="1">
        <f>2*Table1[[#This Row],[Std Error]]</f>
        <v>0</v>
      </c>
      <c r="S2892" s="1" t="str">
        <f>IF(Table1[[#This Row],[High Tol]]="","N/A",IFERROR(ABS(Table1[[#This Row],[Tol Span]]/Table1[[#This Row],[Error Span]]),"N/A"))</f>
        <v>N/A</v>
      </c>
      <c r="T2892" s="1" t="str">
        <f>IF(OR(Table1[[#This Row],[Low Tol]]="",Table1[[#This Row],[High Tol]]=""),"Needs Analysis",IF(Table1[[#This Row],[Ratio]]&gt;=4,"Not Significant",IF(Table1[[#This Row],[Ratio]]&gt;=2,"Semi-Significant","Significant")))</f>
        <v>Needs Analysis</v>
      </c>
      <c r="W2892" s="1">
        <f>IF(Table1[[#This Row],[Cal Type]]&lt;&gt;"ACCREDITED 17025 WITH UNCERTAINTIES",0,"")</f>
        <v>0</v>
      </c>
      <c r="X2892" s="1" t="str">
        <f>IF(Table1[[#This Row],[DUT Read]]="","N/A",Table1[[#This Row],[Std Error]]+Table1[[#This Row],[DUT Read]]+Table1[[#This Row],[DUT Ucty]])</f>
        <v>N/A</v>
      </c>
      <c r="Y2892" s="1" t="str">
        <f>IF(Table1[[#This Row],[Std Read]]="","N/A",Table1[[#This Row],[Std Read]]+Table1[[#This Row],[Std Ucty]])</f>
        <v>N/A</v>
      </c>
      <c r="Z28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2" s="1" t="str">
        <f>IF(Table1[[#This Row],[Spec Type]]="","N/A",Table1[[#This Row],[Spec Type]])</f>
        <v>±</v>
      </c>
      <c r="AC2892" s="1" t="str">
        <f>IF(Table1[[#This Row],[Spec Type2]]="N/A","N/A",IF(AND(Table1[[#This Row],[DUT Adj Read]]&gt;=Table1[[#This Row],[Low Tol]],Table1[[#This Row],[DUT Adj Read]]&lt;=Table1[[#This Row],[High Tol]]),"Pass","Fail"))</f>
        <v>Fail</v>
      </c>
      <c r="AD2892" s="1" t="str">
        <f>IF(AND(Table1[[#This Row],[Spec Type2]]="N/A",Table1[[#This Row],[DUT Adj Read]]="N/A",Table1[[#This Row],[Std Adj Read]]="N/A"),"N/A",IF(Table1[[#This Row],[DUT Adj Read]]="N/A",IF(Table1[[#This Row],[Std Adj Read]]&gt;Table1[[#This Row],[Low Tol]],"Pass","Fail"),IF(Table1[[#This Row],[DUT Adj Read]]&gt;Table1[[#This Row],[Low Tol]],"Pass","Fail")))</f>
        <v>Pass</v>
      </c>
      <c r="AE2892" s="1" t="str">
        <f>IF(AND(Table1[[#This Row],[Spec Type2]]="N/A",Table1[[#This Row],[DUT Adj Read]]="N/A",Table1[[#This Row],[Std Adj Read]]="N/A"),"N/A",IF(Table1[[#This Row],[DUT Adj Read]]="N/A",IF(Table1[[#This Row],[Std Adj Read]]&lt;Table1[[#This Row],[High Tol]],"Pass","Fail"),IF(Table1[[#This Row],[DUT Adj Read]]&lt;Table1[[#This Row],[High Tol]],"Pass","Fail")))</f>
        <v>Fail</v>
      </c>
      <c r="AF2892" s="1" t="str">
        <f>IF(AND(Table1[[#This Row],[Spec Type2]]="N/A",Table1[[#This Row],[DUT Adj Read]]="N/A",Table1[[#This Row],[Std Adj Read]]="N/A"),"N/A",IF(Table1[[#This Row],[DUT Adj Read]]="N/A",IF(Table1[[#This Row],[Std Adj Read]]&gt;=Table1[[#This Row],[Low Tol]],"Pass","Fail"),IF(Table1[[#This Row],[DUT Adj Read]]&gt;=Table1[[#This Row],[Low Tol]],"Pass","Fail")))</f>
        <v>Pass</v>
      </c>
      <c r="AG2892" s="1" t="str">
        <f>IF(AND(Table1[[#This Row],[Spec Type2]]="N/A",Table1[[#This Row],[DUT Adj Read]]="N/A",Table1[[#This Row],[Std Adj Read]]="N/A"),"N/A",IF(Table1[[#This Row],[DUT Adj Read]]="N/A",IF(Table1[[#This Row],[Std Adj Read]]&lt;=Table1[[#This Row],[High Tol]],"Pass","Fail"),IF(Table1[[#This Row],[DUT Adj Read]]&lt;=Table1[[#This Row],[High Tol]],"Pass","Fail")))</f>
        <v>Fail</v>
      </c>
      <c r="AH28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2" s="1" t="b">
        <v>0</v>
      </c>
      <c r="AN2892" s="1" t="b">
        <v>0</v>
      </c>
      <c r="AO2892" s="1" t="b">
        <v>0</v>
      </c>
    </row>
    <row r="2893" spans="1:41" x14ac:dyDescent="0.25">
      <c r="A2893" s="10"/>
      <c r="B2893" s="10"/>
      <c r="C2893" s="10"/>
      <c r="D2893" s="10"/>
      <c r="E2893" s="10"/>
      <c r="F2893" s="10"/>
      <c r="G2893" s="10"/>
      <c r="H2893" s="10"/>
      <c r="I2893" s="1" t="str">
        <f t="shared" si="135"/>
        <v/>
      </c>
      <c r="J2893" s="1" t="s">
        <v>35</v>
      </c>
      <c r="K2893" s="1" t="str">
        <f t="shared" si="136"/>
        <v/>
      </c>
      <c r="L2893" s="1" t="str">
        <f t="shared" si="137"/>
        <v/>
      </c>
      <c r="M2893" s="1">
        <f>IF(OR(Table1[[#This Row],[Std Nom]]="",Table1[[#This Row],[Std Read]]=""),0,Table1[[#This Row],[Std Nom]]-Table1[[#This Row],[Std Read]])</f>
        <v>0</v>
      </c>
      <c r="N2893" s="1">
        <f>IF(Calculations!$F$5="ACCREDITED 17025 WITH UNCERTAINTIES",$N$10,0)</f>
        <v>0</v>
      </c>
      <c r="O2893" s="1" t="str">
        <f>IFERROR(Table1[[#This Row],[Std Nom]]-(_xlfn.XLOOKUP(Table1[[#This Row],[Manufacturer]]&amp;" "&amp;Table1[[#This Row],[Model]],Table13[MFR &amp; MDL],Table13[Tolerance % CW ],"")/100*Table1[[#This Row],[Std Nom]]),"")</f>
        <v/>
      </c>
      <c r="P2893" s="1" t="str">
        <f>IFERROR(Table1[[#This Row],[Std Nom]]+(_xlfn.XLOOKUP(Table1[[#This Row],[Manufacturer]]&amp;" "&amp;Table1[[#This Row],[Model]],Table13[MFR &amp; MDL],Table13[Tolerance % CW ],"")/100*Table1[[#This Row],[Std Nom]]),"")</f>
        <v/>
      </c>
      <c r="Q2893" s="1" t="e">
        <f>Table1[[#This Row],[High Tol]]-Table1[[#This Row],[Low Tol]]</f>
        <v>#VALUE!</v>
      </c>
      <c r="R2893" s="1">
        <f>2*Table1[[#This Row],[Std Error]]</f>
        <v>0</v>
      </c>
      <c r="S2893" s="1" t="str">
        <f>IF(Table1[[#This Row],[High Tol]]="","N/A",IFERROR(ABS(Table1[[#This Row],[Tol Span]]/Table1[[#This Row],[Error Span]]),"N/A"))</f>
        <v>N/A</v>
      </c>
      <c r="T2893" s="1" t="str">
        <f>IF(OR(Table1[[#This Row],[Low Tol]]="",Table1[[#This Row],[High Tol]]=""),"Needs Analysis",IF(Table1[[#This Row],[Ratio]]&gt;=4,"Not Significant",IF(Table1[[#This Row],[Ratio]]&gt;=2,"Semi-Significant","Significant")))</f>
        <v>Needs Analysis</v>
      </c>
      <c r="W2893" s="1">
        <f>IF(Table1[[#This Row],[Cal Type]]&lt;&gt;"ACCREDITED 17025 WITH UNCERTAINTIES",0,"")</f>
        <v>0</v>
      </c>
      <c r="X2893" s="1" t="str">
        <f>IF(Table1[[#This Row],[DUT Read]]="","N/A",Table1[[#This Row],[Std Error]]+Table1[[#This Row],[DUT Read]]+Table1[[#This Row],[DUT Ucty]])</f>
        <v>N/A</v>
      </c>
      <c r="Y2893" s="1" t="str">
        <f>IF(Table1[[#This Row],[Std Read]]="","N/A",Table1[[#This Row],[Std Read]]+Table1[[#This Row],[Std Ucty]])</f>
        <v>N/A</v>
      </c>
      <c r="Z28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3" s="1" t="str">
        <f>IF(Table1[[#This Row],[Spec Type]]="","N/A",Table1[[#This Row],[Spec Type]])</f>
        <v>±</v>
      </c>
      <c r="AC2893" s="1" t="str">
        <f>IF(Table1[[#This Row],[Spec Type2]]="N/A","N/A",IF(AND(Table1[[#This Row],[DUT Adj Read]]&gt;=Table1[[#This Row],[Low Tol]],Table1[[#This Row],[DUT Adj Read]]&lt;=Table1[[#This Row],[High Tol]]),"Pass","Fail"))</f>
        <v>Fail</v>
      </c>
      <c r="AD2893" s="1" t="str">
        <f>IF(AND(Table1[[#This Row],[Spec Type2]]="N/A",Table1[[#This Row],[DUT Adj Read]]="N/A",Table1[[#This Row],[Std Adj Read]]="N/A"),"N/A",IF(Table1[[#This Row],[DUT Adj Read]]="N/A",IF(Table1[[#This Row],[Std Adj Read]]&gt;Table1[[#This Row],[Low Tol]],"Pass","Fail"),IF(Table1[[#This Row],[DUT Adj Read]]&gt;Table1[[#This Row],[Low Tol]],"Pass","Fail")))</f>
        <v>Pass</v>
      </c>
      <c r="AE2893" s="1" t="str">
        <f>IF(AND(Table1[[#This Row],[Spec Type2]]="N/A",Table1[[#This Row],[DUT Adj Read]]="N/A",Table1[[#This Row],[Std Adj Read]]="N/A"),"N/A",IF(Table1[[#This Row],[DUT Adj Read]]="N/A",IF(Table1[[#This Row],[Std Adj Read]]&lt;Table1[[#This Row],[High Tol]],"Pass","Fail"),IF(Table1[[#This Row],[DUT Adj Read]]&lt;Table1[[#This Row],[High Tol]],"Pass","Fail")))</f>
        <v>Fail</v>
      </c>
      <c r="AF2893" s="1" t="str">
        <f>IF(AND(Table1[[#This Row],[Spec Type2]]="N/A",Table1[[#This Row],[DUT Adj Read]]="N/A",Table1[[#This Row],[Std Adj Read]]="N/A"),"N/A",IF(Table1[[#This Row],[DUT Adj Read]]="N/A",IF(Table1[[#This Row],[Std Adj Read]]&gt;=Table1[[#This Row],[Low Tol]],"Pass","Fail"),IF(Table1[[#This Row],[DUT Adj Read]]&gt;=Table1[[#This Row],[Low Tol]],"Pass","Fail")))</f>
        <v>Pass</v>
      </c>
      <c r="AG2893" s="1" t="str">
        <f>IF(AND(Table1[[#This Row],[Spec Type2]]="N/A",Table1[[#This Row],[DUT Adj Read]]="N/A",Table1[[#This Row],[Std Adj Read]]="N/A"),"N/A",IF(Table1[[#This Row],[DUT Adj Read]]="N/A",IF(Table1[[#This Row],[Std Adj Read]]&lt;=Table1[[#This Row],[High Tol]],"Pass","Fail"),IF(Table1[[#This Row],[DUT Adj Read]]&lt;=Table1[[#This Row],[High Tol]],"Pass","Fail")))</f>
        <v>Fail</v>
      </c>
      <c r="AH28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3" s="1" t="b">
        <v>0</v>
      </c>
      <c r="AN2893" s="1" t="b">
        <v>0</v>
      </c>
      <c r="AO2893" s="1" t="b">
        <v>0</v>
      </c>
    </row>
    <row r="2894" spans="1:41" x14ac:dyDescent="0.25">
      <c r="A2894" s="10"/>
      <c r="B2894" s="10"/>
      <c r="C2894" s="10"/>
      <c r="D2894" s="10"/>
      <c r="E2894" s="10"/>
      <c r="F2894" s="10"/>
      <c r="G2894" s="10"/>
      <c r="H2894" s="10"/>
      <c r="I2894" s="1" t="str">
        <f t="shared" si="135"/>
        <v/>
      </c>
      <c r="J2894" s="1" t="s">
        <v>35</v>
      </c>
      <c r="K2894" s="1" t="str">
        <f t="shared" si="136"/>
        <v/>
      </c>
      <c r="L2894" s="1" t="str">
        <f t="shared" si="137"/>
        <v/>
      </c>
      <c r="M2894" s="1">
        <f>IF(OR(Table1[[#This Row],[Std Nom]]="",Table1[[#This Row],[Std Read]]=""),0,Table1[[#This Row],[Std Nom]]-Table1[[#This Row],[Std Read]])</f>
        <v>0</v>
      </c>
      <c r="N2894" s="1">
        <f>IF(Calculations!$F$5="ACCREDITED 17025 WITH UNCERTAINTIES",$N$10,0)</f>
        <v>0</v>
      </c>
      <c r="O2894" s="1" t="str">
        <f>IFERROR(Table1[[#This Row],[Std Nom]]-(_xlfn.XLOOKUP(Table1[[#This Row],[Manufacturer]]&amp;" "&amp;Table1[[#This Row],[Model]],Table13[MFR &amp; MDL],Table13[Tolerance % CW ],"")/100*Table1[[#This Row],[Std Nom]]),"")</f>
        <v/>
      </c>
      <c r="P2894" s="1" t="str">
        <f>IFERROR(Table1[[#This Row],[Std Nom]]+(_xlfn.XLOOKUP(Table1[[#This Row],[Manufacturer]]&amp;" "&amp;Table1[[#This Row],[Model]],Table13[MFR &amp; MDL],Table13[Tolerance % CW ],"")/100*Table1[[#This Row],[Std Nom]]),"")</f>
        <v/>
      </c>
      <c r="Q2894" s="1" t="e">
        <f>Table1[[#This Row],[High Tol]]-Table1[[#This Row],[Low Tol]]</f>
        <v>#VALUE!</v>
      </c>
      <c r="R2894" s="1">
        <f>2*Table1[[#This Row],[Std Error]]</f>
        <v>0</v>
      </c>
      <c r="S2894" s="1" t="str">
        <f>IF(Table1[[#This Row],[High Tol]]="","N/A",IFERROR(ABS(Table1[[#This Row],[Tol Span]]/Table1[[#This Row],[Error Span]]),"N/A"))</f>
        <v>N/A</v>
      </c>
      <c r="T2894" s="1" t="str">
        <f>IF(OR(Table1[[#This Row],[Low Tol]]="",Table1[[#This Row],[High Tol]]=""),"Needs Analysis",IF(Table1[[#This Row],[Ratio]]&gt;=4,"Not Significant",IF(Table1[[#This Row],[Ratio]]&gt;=2,"Semi-Significant","Significant")))</f>
        <v>Needs Analysis</v>
      </c>
      <c r="W2894" s="1">
        <f>IF(Table1[[#This Row],[Cal Type]]&lt;&gt;"ACCREDITED 17025 WITH UNCERTAINTIES",0,"")</f>
        <v>0</v>
      </c>
      <c r="X2894" s="1" t="str">
        <f>IF(Table1[[#This Row],[DUT Read]]="","N/A",Table1[[#This Row],[Std Error]]+Table1[[#This Row],[DUT Read]]+Table1[[#This Row],[DUT Ucty]])</f>
        <v>N/A</v>
      </c>
      <c r="Y2894" s="1" t="str">
        <f>IF(Table1[[#This Row],[Std Read]]="","N/A",Table1[[#This Row],[Std Read]]+Table1[[#This Row],[Std Ucty]])</f>
        <v>N/A</v>
      </c>
      <c r="Z28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4" s="1" t="str">
        <f>IF(Table1[[#This Row],[Spec Type]]="","N/A",Table1[[#This Row],[Spec Type]])</f>
        <v>±</v>
      </c>
      <c r="AC2894" s="1" t="str">
        <f>IF(Table1[[#This Row],[Spec Type2]]="N/A","N/A",IF(AND(Table1[[#This Row],[DUT Adj Read]]&gt;=Table1[[#This Row],[Low Tol]],Table1[[#This Row],[DUT Adj Read]]&lt;=Table1[[#This Row],[High Tol]]),"Pass","Fail"))</f>
        <v>Fail</v>
      </c>
      <c r="AD2894" s="1" t="str">
        <f>IF(AND(Table1[[#This Row],[Spec Type2]]="N/A",Table1[[#This Row],[DUT Adj Read]]="N/A",Table1[[#This Row],[Std Adj Read]]="N/A"),"N/A",IF(Table1[[#This Row],[DUT Adj Read]]="N/A",IF(Table1[[#This Row],[Std Adj Read]]&gt;Table1[[#This Row],[Low Tol]],"Pass","Fail"),IF(Table1[[#This Row],[DUT Adj Read]]&gt;Table1[[#This Row],[Low Tol]],"Pass","Fail")))</f>
        <v>Pass</v>
      </c>
      <c r="AE2894" s="1" t="str">
        <f>IF(AND(Table1[[#This Row],[Spec Type2]]="N/A",Table1[[#This Row],[DUT Adj Read]]="N/A",Table1[[#This Row],[Std Adj Read]]="N/A"),"N/A",IF(Table1[[#This Row],[DUT Adj Read]]="N/A",IF(Table1[[#This Row],[Std Adj Read]]&lt;Table1[[#This Row],[High Tol]],"Pass","Fail"),IF(Table1[[#This Row],[DUT Adj Read]]&lt;Table1[[#This Row],[High Tol]],"Pass","Fail")))</f>
        <v>Fail</v>
      </c>
      <c r="AF2894" s="1" t="str">
        <f>IF(AND(Table1[[#This Row],[Spec Type2]]="N/A",Table1[[#This Row],[DUT Adj Read]]="N/A",Table1[[#This Row],[Std Adj Read]]="N/A"),"N/A",IF(Table1[[#This Row],[DUT Adj Read]]="N/A",IF(Table1[[#This Row],[Std Adj Read]]&gt;=Table1[[#This Row],[Low Tol]],"Pass","Fail"),IF(Table1[[#This Row],[DUT Adj Read]]&gt;=Table1[[#This Row],[Low Tol]],"Pass","Fail")))</f>
        <v>Pass</v>
      </c>
      <c r="AG2894" s="1" t="str">
        <f>IF(AND(Table1[[#This Row],[Spec Type2]]="N/A",Table1[[#This Row],[DUT Adj Read]]="N/A",Table1[[#This Row],[Std Adj Read]]="N/A"),"N/A",IF(Table1[[#This Row],[DUT Adj Read]]="N/A",IF(Table1[[#This Row],[Std Adj Read]]&lt;=Table1[[#This Row],[High Tol]],"Pass","Fail"),IF(Table1[[#This Row],[DUT Adj Read]]&lt;=Table1[[#This Row],[High Tol]],"Pass","Fail")))</f>
        <v>Fail</v>
      </c>
      <c r="AH28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4" s="1" t="b">
        <v>0</v>
      </c>
      <c r="AN2894" s="1" t="b">
        <v>0</v>
      </c>
      <c r="AO2894" s="1" t="b">
        <v>0</v>
      </c>
    </row>
    <row r="2895" spans="1:41" x14ac:dyDescent="0.25">
      <c r="A2895" s="10"/>
      <c r="B2895" s="10"/>
      <c r="C2895" s="10"/>
      <c r="D2895" s="10"/>
      <c r="E2895" s="10"/>
      <c r="F2895" s="10"/>
      <c r="G2895" s="10"/>
      <c r="H2895" s="10"/>
      <c r="I2895" s="1" t="str">
        <f t="shared" si="135"/>
        <v/>
      </c>
      <c r="J2895" s="1" t="s">
        <v>35</v>
      </c>
      <c r="K2895" s="1" t="str">
        <f t="shared" si="136"/>
        <v/>
      </c>
      <c r="L2895" s="1" t="str">
        <f t="shared" si="137"/>
        <v/>
      </c>
      <c r="M2895" s="1">
        <f>IF(OR(Table1[[#This Row],[Std Nom]]="",Table1[[#This Row],[Std Read]]=""),0,Table1[[#This Row],[Std Nom]]-Table1[[#This Row],[Std Read]])</f>
        <v>0</v>
      </c>
      <c r="N2895" s="1">
        <f>IF(Calculations!$F$5="ACCREDITED 17025 WITH UNCERTAINTIES",$N$10,0)</f>
        <v>0</v>
      </c>
      <c r="O2895" s="1" t="str">
        <f>IFERROR(Table1[[#This Row],[Std Nom]]-(_xlfn.XLOOKUP(Table1[[#This Row],[Manufacturer]]&amp;" "&amp;Table1[[#This Row],[Model]],Table13[MFR &amp; MDL],Table13[Tolerance % CW ],"")/100*Table1[[#This Row],[Std Nom]]),"")</f>
        <v/>
      </c>
      <c r="P2895" s="1" t="str">
        <f>IFERROR(Table1[[#This Row],[Std Nom]]+(_xlfn.XLOOKUP(Table1[[#This Row],[Manufacturer]]&amp;" "&amp;Table1[[#This Row],[Model]],Table13[MFR &amp; MDL],Table13[Tolerance % CW ],"")/100*Table1[[#This Row],[Std Nom]]),"")</f>
        <v/>
      </c>
      <c r="Q2895" s="1" t="e">
        <f>Table1[[#This Row],[High Tol]]-Table1[[#This Row],[Low Tol]]</f>
        <v>#VALUE!</v>
      </c>
      <c r="R2895" s="1">
        <f>2*Table1[[#This Row],[Std Error]]</f>
        <v>0</v>
      </c>
      <c r="S2895" s="1" t="str">
        <f>IF(Table1[[#This Row],[High Tol]]="","N/A",IFERROR(ABS(Table1[[#This Row],[Tol Span]]/Table1[[#This Row],[Error Span]]),"N/A"))</f>
        <v>N/A</v>
      </c>
      <c r="T2895" s="1" t="str">
        <f>IF(OR(Table1[[#This Row],[Low Tol]]="",Table1[[#This Row],[High Tol]]=""),"Needs Analysis",IF(Table1[[#This Row],[Ratio]]&gt;=4,"Not Significant",IF(Table1[[#This Row],[Ratio]]&gt;=2,"Semi-Significant","Significant")))</f>
        <v>Needs Analysis</v>
      </c>
      <c r="W2895" s="1">
        <f>IF(Table1[[#This Row],[Cal Type]]&lt;&gt;"ACCREDITED 17025 WITH UNCERTAINTIES",0,"")</f>
        <v>0</v>
      </c>
      <c r="X2895" s="1" t="str">
        <f>IF(Table1[[#This Row],[DUT Read]]="","N/A",Table1[[#This Row],[Std Error]]+Table1[[#This Row],[DUT Read]]+Table1[[#This Row],[DUT Ucty]])</f>
        <v>N/A</v>
      </c>
      <c r="Y2895" s="1" t="str">
        <f>IF(Table1[[#This Row],[Std Read]]="","N/A",Table1[[#This Row],[Std Read]]+Table1[[#This Row],[Std Ucty]])</f>
        <v>N/A</v>
      </c>
      <c r="Z28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5" s="1" t="str">
        <f>IF(Table1[[#This Row],[Spec Type]]="","N/A",Table1[[#This Row],[Spec Type]])</f>
        <v>±</v>
      </c>
      <c r="AC2895" s="1" t="str">
        <f>IF(Table1[[#This Row],[Spec Type2]]="N/A","N/A",IF(AND(Table1[[#This Row],[DUT Adj Read]]&gt;=Table1[[#This Row],[Low Tol]],Table1[[#This Row],[DUT Adj Read]]&lt;=Table1[[#This Row],[High Tol]]),"Pass","Fail"))</f>
        <v>Fail</v>
      </c>
      <c r="AD2895" s="1" t="str">
        <f>IF(AND(Table1[[#This Row],[Spec Type2]]="N/A",Table1[[#This Row],[DUT Adj Read]]="N/A",Table1[[#This Row],[Std Adj Read]]="N/A"),"N/A",IF(Table1[[#This Row],[DUT Adj Read]]="N/A",IF(Table1[[#This Row],[Std Adj Read]]&gt;Table1[[#This Row],[Low Tol]],"Pass","Fail"),IF(Table1[[#This Row],[DUT Adj Read]]&gt;Table1[[#This Row],[Low Tol]],"Pass","Fail")))</f>
        <v>Pass</v>
      </c>
      <c r="AE2895" s="1" t="str">
        <f>IF(AND(Table1[[#This Row],[Spec Type2]]="N/A",Table1[[#This Row],[DUT Adj Read]]="N/A",Table1[[#This Row],[Std Adj Read]]="N/A"),"N/A",IF(Table1[[#This Row],[DUT Adj Read]]="N/A",IF(Table1[[#This Row],[Std Adj Read]]&lt;Table1[[#This Row],[High Tol]],"Pass","Fail"),IF(Table1[[#This Row],[DUT Adj Read]]&lt;Table1[[#This Row],[High Tol]],"Pass","Fail")))</f>
        <v>Fail</v>
      </c>
      <c r="AF2895" s="1" t="str">
        <f>IF(AND(Table1[[#This Row],[Spec Type2]]="N/A",Table1[[#This Row],[DUT Adj Read]]="N/A",Table1[[#This Row],[Std Adj Read]]="N/A"),"N/A",IF(Table1[[#This Row],[DUT Adj Read]]="N/A",IF(Table1[[#This Row],[Std Adj Read]]&gt;=Table1[[#This Row],[Low Tol]],"Pass","Fail"),IF(Table1[[#This Row],[DUT Adj Read]]&gt;=Table1[[#This Row],[Low Tol]],"Pass","Fail")))</f>
        <v>Pass</v>
      </c>
      <c r="AG2895" s="1" t="str">
        <f>IF(AND(Table1[[#This Row],[Spec Type2]]="N/A",Table1[[#This Row],[DUT Adj Read]]="N/A",Table1[[#This Row],[Std Adj Read]]="N/A"),"N/A",IF(Table1[[#This Row],[DUT Adj Read]]="N/A",IF(Table1[[#This Row],[Std Adj Read]]&lt;=Table1[[#This Row],[High Tol]],"Pass","Fail"),IF(Table1[[#This Row],[DUT Adj Read]]&lt;=Table1[[#This Row],[High Tol]],"Pass","Fail")))</f>
        <v>Fail</v>
      </c>
      <c r="AH28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5" s="1" t="b">
        <v>0</v>
      </c>
      <c r="AN2895" s="1" t="b">
        <v>0</v>
      </c>
      <c r="AO2895" s="1" t="b">
        <v>0</v>
      </c>
    </row>
    <row r="2896" spans="1:41" x14ac:dyDescent="0.25">
      <c r="A2896" s="10"/>
      <c r="B2896" s="10"/>
      <c r="C2896" s="10"/>
      <c r="D2896" s="10"/>
      <c r="E2896" s="10"/>
      <c r="F2896" s="10"/>
      <c r="G2896" s="10"/>
      <c r="H2896" s="10"/>
      <c r="I2896" s="1" t="str">
        <f t="shared" si="135"/>
        <v/>
      </c>
      <c r="J2896" s="1" t="s">
        <v>35</v>
      </c>
      <c r="K2896" s="1" t="str">
        <f t="shared" si="136"/>
        <v/>
      </c>
      <c r="L2896" s="1" t="str">
        <f t="shared" si="137"/>
        <v/>
      </c>
      <c r="M2896" s="1">
        <f>IF(OR(Table1[[#This Row],[Std Nom]]="",Table1[[#This Row],[Std Read]]=""),0,Table1[[#This Row],[Std Nom]]-Table1[[#This Row],[Std Read]])</f>
        <v>0</v>
      </c>
      <c r="N2896" s="1">
        <f>IF(Calculations!$F$5="ACCREDITED 17025 WITH UNCERTAINTIES",$N$10,0)</f>
        <v>0</v>
      </c>
      <c r="O2896" s="1" t="str">
        <f>IFERROR(Table1[[#This Row],[Std Nom]]-(_xlfn.XLOOKUP(Table1[[#This Row],[Manufacturer]]&amp;" "&amp;Table1[[#This Row],[Model]],Table13[MFR &amp; MDL],Table13[Tolerance % CW ],"")/100*Table1[[#This Row],[Std Nom]]),"")</f>
        <v/>
      </c>
      <c r="P2896" s="1" t="str">
        <f>IFERROR(Table1[[#This Row],[Std Nom]]+(_xlfn.XLOOKUP(Table1[[#This Row],[Manufacturer]]&amp;" "&amp;Table1[[#This Row],[Model]],Table13[MFR &amp; MDL],Table13[Tolerance % CW ],"")/100*Table1[[#This Row],[Std Nom]]),"")</f>
        <v/>
      </c>
      <c r="Q2896" s="1" t="e">
        <f>Table1[[#This Row],[High Tol]]-Table1[[#This Row],[Low Tol]]</f>
        <v>#VALUE!</v>
      </c>
      <c r="R2896" s="1">
        <f>2*Table1[[#This Row],[Std Error]]</f>
        <v>0</v>
      </c>
      <c r="S2896" s="1" t="str">
        <f>IF(Table1[[#This Row],[High Tol]]="","N/A",IFERROR(ABS(Table1[[#This Row],[Tol Span]]/Table1[[#This Row],[Error Span]]),"N/A"))</f>
        <v>N/A</v>
      </c>
      <c r="T2896" s="1" t="str">
        <f>IF(OR(Table1[[#This Row],[Low Tol]]="",Table1[[#This Row],[High Tol]]=""),"Needs Analysis",IF(Table1[[#This Row],[Ratio]]&gt;=4,"Not Significant",IF(Table1[[#This Row],[Ratio]]&gt;=2,"Semi-Significant","Significant")))</f>
        <v>Needs Analysis</v>
      </c>
      <c r="W2896" s="1">
        <f>IF(Table1[[#This Row],[Cal Type]]&lt;&gt;"ACCREDITED 17025 WITH UNCERTAINTIES",0,"")</f>
        <v>0</v>
      </c>
      <c r="X2896" s="1" t="str">
        <f>IF(Table1[[#This Row],[DUT Read]]="","N/A",Table1[[#This Row],[Std Error]]+Table1[[#This Row],[DUT Read]]+Table1[[#This Row],[DUT Ucty]])</f>
        <v>N/A</v>
      </c>
      <c r="Y2896" s="1" t="str">
        <f>IF(Table1[[#This Row],[Std Read]]="","N/A",Table1[[#This Row],[Std Read]]+Table1[[#This Row],[Std Ucty]])</f>
        <v>N/A</v>
      </c>
      <c r="Z28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6" s="1" t="str">
        <f>IF(Table1[[#This Row],[Spec Type]]="","N/A",Table1[[#This Row],[Spec Type]])</f>
        <v>±</v>
      </c>
      <c r="AC2896" s="1" t="str">
        <f>IF(Table1[[#This Row],[Spec Type2]]="N/A","N/A",IF(AND(Table1[[#This Row],[DUT Adj Read]]&gt;=Table1[[#This Row],[Low Tol]],Table1[[#This Row],[DUT Adj Read]]&lt;=Table1[[#This Row],[High Tol]]),"Pass","Fail"))</f>
        <v>Fail</v>
      </c>
      <c r="AD2896" s="1" t="str">
        <f>IF(AND(Table1[[#This Row],[Spec Type2]]="N/A",Table1[[#This Row],[DUT Adj Read]]="N/A",Table1[[#This Row],[Std Adj Read]]="N/A"),"N/A",IF(Table1[[#This Row],[DUT Adj Read]]="N/A",IF(Table1[[#This Row],[Std Adj Read]]&gt;Table1[[#This Row],[Low Tol]],"Pass","Fail"),IF(Table1[[#This Row],[DUT Adj Read]]&gt;Table1[[#This Row],[Low Tol]],"Pass","Fail")))</f>
        <v>Pass</v>
      </c>
      <c r="AE2896" s="1" t="str">
        <f>IF(AND(Table1[[#This Row],[Spec Type2]]="N/A",Table1[[#This Row],[DUT Adj Read]]="N/A",Table1[[#This Row],[Std Adj Read]]="N/A"),"N/A",IF(Table1[[#This Row],[DUT Adj Read]]="N/A",IF(Table1[[#This Row],[Std Adj Read]]&lt;Table1[[#This Row],[High Tol]],"Pass","Fail"),IF(Table1[[#This Row],[DUT Adj Read]]&lt;Table1[[#This Row],[High Tol]],"Pass","Fail")))</f>
        <v>Fail</v>
      </c>
      <c r="AF2896" s="1" t="str">
        <f>IF(AND(Table1[[#This Row],[Spec Type2]]="N/A",Table1[[#This Row],[DUT Adj Read]]="N/A",Table1[[#This Row],[Std Adj Read]]="N/A"),"N/A",IF(Table1[[#This Row],[DUT Adj Read]]="N/A",IF(Table1[[#This Row],[Std Adj Read]]&gt;=Table1[[#This Row],[Low Tol]],"Pass","Fail"),IF(Table1[[#This Row],[DUT Adj Read]]&gt;=Table1[[#This Row],[Low Tol]],"Pass","Fail")))</f>
        <v>Pass</v>
      </c>
      <c r="AG2896" s="1" t="str">
        <f>IF(AND(Table1[[#This Row],[Spec Type2]]="N/A",Table1[[#This Row],[DUT Adj Read]]="N/A",Table1[[#This Row],[Std Adj Read]]="N/A"),"N/A",IF(Table1[[#This Row],[DUT Adj Read]]="N/A",IF(Table1[[#This Row],[Std Adj Read]]&lt;=Table1[[#This Row],[High Tol]],"Pass","Fail"),IF(Table1[[#This Row],[DUT Adj Read]]&lt;=Table1[[#This Row],[High Tol]],"Pass","Fail")))</f>
        <v>Fail</v>
      </c>
      <c r="AH28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6" s="1" t="b">
        <v>0</v>
      </c>
      <c r="AN2896" s="1" t="b">
        <v>0</v>
      </c>
      <c r="AO2896" s="1" t="b">
        <v>0</v>
      </c>
    </row>
    <row r="2897" spans="1:41" x14ac:dyDescent="0.25">
      <c r="A2897" s="10"/>
      <c r="B2897" s="10"/>
      <c r="C2897" s="10"/>
      <c r="D2897" s="10"/>
      <c r="E2897" s="10"/>
      <c r="F2897" s="10"/>
      <c r="G2897" s="10"/>
      <c r="H2897" s="10"/>
      <c r="I2897" s="1" t="str">
        <f t="shared" si="135"/>
        <v/>
      </c>
      <c r="J2897" s="1" t="s">
        <v>35</v>
      </c>
      <c r="K2897" s="1" t="str">
        <f t="shared" si="136"/>
        <v/>
      </c>
      <c r="L2897" s="1" t="str">
        <f t="shared" si="137"/>
        <v/>
      </c>
      <c r="M2897" s="1">
        <f>IF(OR(Table1[[#This Row],[Std Nom]]="",Table1[[#This Row],[Std Read]]=""),0,Table1[[#This Row],[Std Nom]]-Table1[[#This Row],[Std Read]])</f>
        <v>0</v>
      </c>
      <c r="N2897" s="1">
        <f>IF(Calculations!$F$5="ACCREDITED 17025 WITH UNCERTAINTIES",$N$10,0)</f>
        <v>0</v>
      </c>
      <c r="O2897" s="1" t="str">
        <f>IFERROR(Table1[[#This Row],[Std Nom]]-(_xlfn.XLOOKUP(Table1[[#This Row],[Manufacturer]]&amp;" "&amp;Table1[[#This Row],[Model]],Table13[MFR &amp; MDL],Table13[Tolerance % CW ],"")/100*Table1[[#This Row],[Std Nom]]),"")</f>
        <v/>
      </c>
      <c r="P2897" s="1" t="str">
        <f>IFERROR(Table1[[#This Row],[Std Nom]]+(_xlfn.XLOOKUP(Table1[[#This Row],[Manufacturer]]&amp;" "&amp;Table1[[#This Row],[Model]],Table13[MFR &amp; MDL],Table13[Tolerance % CW ],"")/100*Table1[[#This Row],[Std Nom]]),"")</f>
        <v/>
      </c>
      <c r="Q2897" s="1" t="e">
        <f>Table1[[#This Row],[High Tol]]-Table1[[#This Row],[Low Tol]]</f>
        <v>#VALUE!</v>
      </c>
      <c r="R2897" s="1">
        <f>2*Table1[[#This Row],[Std Error]]</f>
        <v>0</v>
      </c>
      <c r="S2897" s="1" t="str">
        <f>IF(Table1[[#This Row],[High Tol]]="","N/A",IFERROR(ABS(Table1[[#This Row],[Tol Span]]/Table1[[#This Row],[Error Span]]),"N/A"))</f>
        <v>N/A</v>
      </c>
      <c r="T2897" s="1" t="str">
        <f>IF(OR(Table1[[#This Row],[Low Tol]]="",Table1[[#This Row],[High Tol]]=""),"Needs Analysis",IF(Table1[[#This Row],[Ratio]]&gt;=4,"Not Significant",IF(Table1[[#This Row],[Ratio]]&gt;=2,"Semi-Significant","Significant")))</f>
        <v>Needs Analysis</v>
      </c>
      <c r="W2897" s="1">
        <f>IF(Table1[[#This Row],[Cal Type]]&lt;&gt;"ACCREDITED 17025 WITH UNCERTAINTIES",0,"")</f>
        <v>0</v>
      </c>
      <c r="X2897" s="1" t="str">
        <f>IF(Table1[[#This Row],[DUT Read]]="","N/A",Table1[[#This Row],[Std Error]]+Table1[[#This Row],[DUT Read]]+Table1[[#This Row],[DUT Ucty]])</f>
        <v>N/A</v>
      </c>
      <c r="Y2897" s="1" t="str">
        <f>IF(Table1[[#This Row],[Std Read]]="","N/A",Table1[[#This Row],[Std Read]]+Table1[[#This Row],[Std Ucty]])</f>
        <v>N/A</v>
      </c>
      <c r="Z28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7" s="1" t="str">
        <f>IF(Table1[[#This Row],[Spec Type]]="","N/A",Table1[[#This Row],[Spec Type]])</f>
        <v>±</v>
      </c>
      <c r="AC2897" s="1" t="str">
        <f>IF(Table1[[#This Row],[Spec Type2]]="N/A","N/A",IF(AND(Table1[[#This Row],[DUT Adj Read]]&gt;=Table1[[#This Row],[Low Tol]],Table1[[#This Row],[DUT Adj Read]]&lt;=Table1[[#This Row],[High Tol]]),"Pass","Fail"))</f>
        <v>Fail</v>
      </c>
      <c r="AD2897" s="1" t="str">
        <f>IF(AND(Table1[[#This Row],[Spec Type2]]="N/A",Table1[[#This Row],[DUT Adj Read]]="N/A",Table1[[#This Row],[Std Adj Read]]="N/A"),"N/A",IF(Table1[[#This Row],[DUT Adj Read]]="N/A",IF(Table1[[#This Row],[Std Adj Read]]&gt;Table1[[#This Row],[Low Tol]],"Pass","Fail"),IF(Table1[[#This Row],[DUT Adj Read]]&gt;Table1[[#This Row],[Low Tol]],"Pass","Fail")))</f>
        <v>Pass</v>
      </c>
      <c r="AE2897" s="1" t="str">
        <f>IF(AND(Table1[[#This Row],[Spec Type2]]="N/A",Table1[[#This Row],[DUT Adj Read]]="N/A",Table1[[#This Row],[Std Adj Read]]="N/A"),"N/A",IF(Table1[[#This Row],[DUT Adj Read]]="N/A",IF(Table1[[#This Row],[Std Adj Read]]&lt;Table1[[#This Row],[High Tol]],"Pass","Fail"),IF(Table1[[#This Row],[DUT Adj Read]]&lt;Table1[[#This Row],[High Tol]],"Pass","Fail")))</f>
        <v>Fail</v>
      </c>
      <c r="AF2897" s="1" t="str">
        <f>IF(AND(Table1[[#This Row],[Spec Type2]]="N/A",Table1[[#This Row],[DUT Adj Read]]="N/A",Table1[[#This Row],[Std Adj Read]]="N/A"),"N/A",IF(Table1[[#This Row],[DUT Adj Read]]="N/A",IF(Table1[[#This Row],[Std Adj Read]]&gt;=Table1[[#This Row],[Low Tol]],"Pass","Fail"),IF(Table1[[#This Row],[DUT Adj Read]]&gt;=Table1[[#This Row],[Low Tol]],"Pass","Fail")))</f>
        <v>Pass</v>
      </c>
      <c r="AG2897" s="1" t="str">
        <f>IF(AND(Table1[[#This Row],[Spec Type2]]="N/A",Table1[[#This Row],[DUT Adj Read]]="N/A",Table1[[#This Row],[Std Adj Read]]="N/A"),"N/A",IF(Table1[[#This Row],[DUT Adj Read]]="N/A",IF(Table1[[#This Row],[Std Adj Read]]&lt;=Table1[[#This Row],[High Tol]],"Pass","Fail"),IF(Table1[[#This Row],[DUT Adj Read]]&lt;=Table1[[#This Row],[High Tol]],"Pass","Fail")))</f>
        <v>Fail</v>
      </c>
      <c r="AH28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7" s="1" t="b">
        <v>0</v>
      </c>
      <c r="AN2897" s="1" t="b">
        <v>0</v>
      </c>
      <c r="AO2897" s="1" t="b">
        <v>0</v>
      </c>
    </row>
    <row r="2898" spans="1:41" x14ac:dyDescent="0.25">
      <c r="A2898" s="10"/>
      <c r="B2898" s="10"/>
      <c r="C2898" s="10"/>
      <c r="D2898" s="10"/>
      <c r="E2898" s="10"/>
      <c r="F2898" s="10"/>
      <c r="G2898" s="10"/>
      <c r="H2898" s="10"/>
      <c r="I2898" s="1" t="str">
        <f t="shared" si="135"/>
        <v/>
      </c>
      <c r="J2898" s="1" t="s">
        <v>35</v>
      </c>
      <c r="K2898" s="1" t="str">
        <f t="shared" si="136"/>
        <v/>
      </c>
      <c r="L2898" s="1" t="str">
        <f t="shared" si="137"/>
        <v/>
      </c>
      <c r="M2898" s="1">
        <f>IF(OR(Table1[[#This Row],[Std Nom]]="",Table1[[#This Row],[Std Read]]=""),0,Table1[[#This Row],[Std Nom]]-Table1[[#This Row],[Std Read]])</f>
        <v>0</v>
      </c>
      <c r="N2898" s="1">
        <f>IF(Calculations!$F$5="ACCREDITED 17025 WITH UNCERTAINTIES",$N$10,0)</f>
        <v>0</v>
      </c>
      <c r="O2898" s="1" t="str">
        <f>IFERROR(Table1[[#This Row],[Std Nom]]-(_xlfn.XLOOKUP(Table1[[#This Row],[Manufacturer]]&amp;" "&amp;Table1[[#This Row],[Model]],Table13[MFR &amp; MDL],Table13[Tolerance % CW ],"")/100*Table1[[#This Row],[Std Nom]]),"")</f>
        <v/>
      </c>
      <c r="P2898" s="1" t="str">
        <f>IFERROR(Table1[[#This Row],[Std Nom]]+(_xlfn.XLOOKUP(Table1[[#This Row],[Manufacturer]]&amp;" "&amp;Table1[[#This Row],[Model]],Table13[MFR &amp; MDL],Table13[Tolerance % CW ],"")/100*Table1[[#This Row],[Std Nom]]),"")</f>
        <v/>
      </c>
      <c r="Q2898" s="1" t="e">
        <f>Table1[[#This Row],[High Tol]]-Table1[[#This Row],[Low Tol]]</f>
        <v>#VALUE!</v>
      </c>
      <c r="R2898" s="1">
        <f>2*Table1[[#This Row],[Std Error]]</f>
        <v>0</v>
      </c>
      <c r="S2898" s="1" t="str">
        <f>IF(Table1[[#This Row],[High Tol]]="","N/A",IFERROR(ABS(Table1[[#This Row],[Tol Span]]/Table1[[#This Row],[Error Span]]),"N/A"))</f>
        <v>N/A</v>
      </c>
      <c r="T2898" s="1" t="str">
        <f>IF(OR(Table1[[#This Row],[Low Tol]]="",Table1[[#This Row],[High Tol]]=""),"Needs Analysis",IF(Table1[[#This Row],[Ratio]]&gt;=4,"Not Significant",IF(Table1[[#This Row],[Ratio]]&gt;=2,"Semi-Significant","Significant")))</f>
        <v>Needs Analysis</v>
      </c>
      <c r="W2898" s="1">
        <f>IF(Table1[[#This Row],[Cal Type]]&lt;&gt;"ACCREDITED 17025 WITH UNCERTAINTIES",0,"")</f>
        <v>0</v>
      </c>
      <c r="X2898" s="1" t="str">
        <f>IF(Table1[[#This Row],[DUT Read]]="","N/A",Table1[[#This Row],[Std Error]]+Table1[[#This Row],[DUT Read]]+Table1[[#This Row],[DUT Ucty]])</f>
        <v>N/A</v>
      </c>
      <c r="Y2898" s="1" t="str">
        <f>IF(Table1[[#This Row],[Std Read]]="","N/A",Table1[[#This Row],[Std Read]]+Table1[[#This Row],[Std Ucty]])</f>
        <v>N/A</v>
      </c>
      <c r="Z28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8" s="1" t="str">
        <f>IF(Table1[[#This Row],[Spec Type]]="","N/A",Table1[[#This Row],[Spec Type]])</f>
        <v>±</v>
      </c>
      <c r="AC2898" s="1" t="str">
        <f>IF(Table1[[#This Row],[Spec Type2]]="N/A","N/A",IF(AND(Table1[[#This Row],[DUT Adj Read]]&gt;=Table1[[#This Row],[Low Tol]],Table1[[#This Row],[DUT Adj Read]]&lt;=Table1[[#This Row],[High Tol]]),"Pass","Fail"))</f>
        <v>Fail</v>
      </c>
      <c r="AD2898" s="1" t="str">
        <f>IF(AND(Table1[[#This Row],[Spec Type2]]="N/A",Table1[[#This Row],[DUT Adj Read]]="N/A",Table1[[#This Row],[Std Adj Read]]="N/A"),"N/A",IF(Table1[[#This Row],[DUT Adj Read]]="N/A",IF(Table1[[#This Row],[Std Adj Read]]&gt;Table1[[#This Row],[Low Tol]],"Pass","Fail"),IF(Table1[[#This Row],[DUT Adj Read]]&gt;Table1[[#This Row],[Low Tol]],"Pass","Fail")))</f>
        <v>Pass</v>
      </c>
      <c r="AE2898" s="1" t="str">
        <f>IF(AND(Table1[[#This Row],[Spec Type2]]="N/A",Table1[[#This Row],[DUT Adj Read]]="N/A",Table1[[#This Row],[Std Adj Read]]="N/A"),"N/A",IF(Table1[[#This Row],[DUT Adj Read]]="N/A",IF(Table1[[#This Row],[Std Adj Read]]&lt;Table1[[#This Row],[High Tol]],"Pass","Fail"),IF(Table1[[#This Row],[DUT Adj Read]]&lt;Table1[[#This Row],[High Tol]],"Pass","Fail")))</f>
        <v>Fail</v>
      </c>
      <c r="AF2898" s="1" t="str">
        <f>IF(AND(Table1[[#This Row],[Spec Type2]]="N/A",Table1[[#This Row],[DUT Adj Read]]="N/A",Table1[[#This Row],[Std Adj Read]]="N/A"),"N/A",IF(Table1[[#This Row],[DUT Adj Read]]="N/A",IF(Table1[[#This Row],[Std Adj Read]]&gt;=Table1[[#This Row],[Low Tol]],"Pass","Fail"),IF(Table1[[#This Row],[DUT Adj Read]]&gt;=Table1[[#This Row],[Low Tol]],"Pass","Fail")))</f>
        <v>Pass</v>
      </c>
      <c r="AG2898" s="1" t="str">
        <f>IF(AND(Table1[[#This Row],[Spec Type2]]="N/A",Table1[[#This Row],[DUT Adj Read]]="N/A",Table1[[#This Row],[Std Adj Read]]="N/A"),"N/A",IF(Table1[[#This Row],[DUT Adj Read]]="N/A",IF(Table1[[#This Row],[Std Adj Read]]&lt;=Table1[[#This Row],[High Tol]],"Pass","Fail"),IF(Table1[[#This Row],[DUT Adj Read]]&lt;=Table1[[#This Row],[High Tol]],"Pass","Fail")))</f>
        <v>Fail</v>
      </c>
      <c r="AH28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8" s="1" t="b">
        <v>0</v>
      </c>
      <c r="AN2898" s="1" t="b">
        <v>0</v>
      </c>
      <c r="AO2898" s="1" t="b">
        <v>0</v>
      </c>
    </row>
    <row r="2899" spans="1:41" x14ac:dyDescent="0.25">
      <c r="A2899" s="10"/>
      <c r="B2899" s="10"/>
      <c r="C2899" s="10"/>
      <c r="D2899" s="10"/>
      <c r="E2899" s="10"/>
      <c r="F2899" s="10"/>
      <c r="G2899" s="10"/>
      <c r="H2899" s="10"/>
      <c r="I2899" s="1" t="str">
        <f t="shared" si="135"/>
        <v/>
      </c>
      <c r="J2899" s="1" t="s">
        <v>35</v>
      </c>
      <c r="K2899" s="1" t="str">
        <f t="shared" si="136"/>
        <v/>
      </c>
      <c r="L2899" s="1" t="str">
        <f t="shared" si="137"/>
        <v/>
      </c>
      <c r="M2899" s="1">
        <f>IF(OR(Table1[[#This Row],[Std Nom]]="",Table1[[#This Row],[Std Read]]=""),0,Table1[[#This Row],[Std Nom]]-Table1[[#This Row],[Std Read]])</f>
        <v>0</v>
      </c>
      <c r="N2899" s="1">
        <f>IF(Calculations!$F$5="ACCREDITED 17025 WITH UNCERTAINTIES",$N$10,0)</f>
        <v>0</v>
      </c>
      <c r="O2899" s="1" t="str">
        <f>IFERROR(Table1[[#This Row],[Std Nom]]-(_xlfn.XLOOKUP(Table1[[#This Row],[Manufacturer]]&amp;" "&amp;Table1[[#This Row],[Model]],Table13[MFR &amp; MDL],Table13[Tolerance % CW ],"")/100*Table1[[#This Row],[Std Nom]]),"")</f>
        <v/>
      </c>
      <c r="P2899" s="1" t="str">
        <f>IFERROR(Table1[[#This Row],[Std Nom]]+(_xlfn.XLOOKUP(Table1[[#This Row],[Manufacturer]]&amp;" "&amp;Table1[[#This Row],[Model]],Table13[MFR &amp; MDL],Table13[Tolerance % CW ],"")/100*Table1[[#This Row],[Std Nom]]),"")</f>
        <v/>
      </c>
      <c r="Q2899" s="1" t="e">
        <f>Table1[[#This Row],[High Tol]]-Table1[[#This Row],[Low Tol]]</f>
        <v>#VALUE!</v>
      </c>
      <c r="R2899" s="1">
        <f>2*Table1[[#This Row],[Std Error]]</f>
        <v>0</v>
      </c>
      <c r="S2899" s="1" t="str">
        <f>IF(Table1[[#This Row],[High Tol]]="","N/A",IFERROR(ABS(Table1[[#This Row],[Tol Span]]/Table1[[#This Row],[Error Span]]),"N/A"))</f>
        <v>N/A</v>
      </c>
      <c r="T2899" s="1" t="str">
        <f>IF(OR(Table1[[#This Row],[Low Tol]]="",Table1[[#This Row],[High Tol]]=""),"Needs Analysis",IF(Table1[[#This Row],[Ratio]]&gt;=4,"Not Significant",IF(Table1[[#This Row],[Ratio]]&gt;=2,"Semi-Significant","Significant")))</f>
        <v>Needs Analysis</v>
      </c>
      <c r="W2899" s="1">
        <f>IF(Table1[[#This Row],[Cal Type]]&lt;&gt;"ACCREDITED 17025 WITH UNCERTAINTIES",0,"")</f>
        <v>0</v>
      </c>
      <c r="X2899" s="1" t="str">
        <f>IF(Table1[[#This Row],[DUT Read]]="","N/A",Table1[[#This Row],[Std Error]]+Table1[[#This Row],[DUT Read]]+Table1[[#This Row],[DUT Ucty]])</f>
        <v>N/A</v>
      </c>
      <c r="Y2899" s="1" t="str">
        <f>IF(Table1[[#This Row],[Std Read]]="","N/A",Table1[[#This Row],[Std Read]]+Table1[[#This Row],[Std Ucty]])</f>
        <v>N/A</v>
      </c>
      <c r="Z28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9" s="1" t="str">
        <f>IF(Table1[[#This Row],[Spec Type]]="","N/A",Table1[[#This Row],[Spec Type]])</f>
        <v>±</v>
      </c>
      <c r="AC2899" s="1" t="str">
        <f>IF(Table1[[#This Row],[Spec Type2]]="N/A","N/A",IF(AND(Table1[[#This Row],[DUT Adj Read]]&gt;=Table1[[#This Row],[Low Tol]],Table1[[#This Row],[DUT Adj Read]]&lt;=Table1[[#This Row],[High Tol]]),"Pass","Fail"))</f>
        <v>Fail</v>
      </c>
      <c r="AD2899" s="1" t="str">
        <f>IF(AND(Table1[[#This Row],[Spec Type2]]="N/A",Table1[[#This Row],[DUT Adj Read]]="N/A",Table1[[#This Row],[Std Adj Read]]="N/A"),"N/A",IF(Table1[[#This Row],[DUT Adj Read]]="N/A",IF(Table1[[#This Row],[Std Adj Read]]&gt;Table1[[#This Row],[Low Tol]],"Pass","Fail"),IF(Table1[[#This Row],[DUT Adj Read]]&gt;Table1[[#This Row],[Low Tol]],"Pass","Fail")))</f>
        <v>Pass</v>
      </c>
      <c r="AE2899" s="1" t="str">
        <f>IF(AND(Table1[[#This Row],[Spec Type2]]="N/A",Table1[[#This Row],[DUT Adj Read]]="N/A",Table1[[#This Row],[Std Adj Read]]="N/A"),"N/A",IF(Table1[[#This Row],[DUT Adj Read]]="N/A",IF(Table1[[#This Row],[Std Adj Read]]&lt;Table1[[#This Row],[High Tol]],"Pass","Fail"),IF(Table1[[#This Row],[DUT Adj Read]]&lt;Table1[[#This Row],[High Tol]],"Pass","Fail")))</f>
        <v>Fail</v>
      </c>
      <c r="AF2899" s="1" t="str">
        <f>IF(AND(Table1[[#This Row],[Spec Type2]]="N/A",Table1[[#This Row],[DUT Adj Read]]="N/A",Table1[[#This Row],[Std Adj Read]]="N/A"),"N/A",IF(Table1[[#This Row],[DUT Adj Read]]="N/A",IF(Table1[[#This Row],[Std Adj Read]]&gt;=Table1[[#This Row],[Low Tol]],"Pass","Fail"),IF(Table1[[#This Row],[DUT Adj Read]]&gt;=Table1[[#This Row],[Low Tol]],"Pass","Fail")))</f>
        <v>Pass</v>
      </c>
      <c r="AG2899" s="1" t="str">
        <f>IF(AND(Table1[[#This Row],[Spec Type2]]="N/A",Table1[[#This Row],[DUT Adj Read]]="N/A",Table1[[#This Row],[Std Adj Read]]="N/A"),"N/A",IF(Table1[[#This Row],[DUT Adj Read]]="N/A",IF(Table1[[#This Row],[Std Adj Read]]&lt;=Table1[[#This Row],[High Tol]],"Pass","Fail"),IF(Table1[[#This Row],[DUT Adj Read]]&lt;=Table1[[#This Row],[High Tol]],"Pass","Fail")))</f>
        <v>Fail</v>
      </c>
      <c r="AH28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9" s="1" t="b">
        <v>0</v>
      </c>
      <c r="AN2899" s="1" t="b">
        <v>0</v>
      </c>
      <c r="AO2899" s="1" t="b">
        <v>0</v>
      </c>
    </row>
    <row r="2900" spans="1:41" x14ac:dyDescent="0.25">
      <c r="A2900" s="10"/>
      <c r="B2900" s="10"/>
      <c r="C2900" s="10"/>
      <c r="D2900" s="10"/>
      <c r="E2900" s="10"/>
      <c r="F2900" s="10"/>
      <c r="G2900" s="10"/>
      <c r="H2900" s="10"/>
      <c r="I2900" s="1" t="str">
        <f t="shared" si="135"/>
        <v/>
      </c>
      <c r="J2900" s="1" t="s">
        <v>35</v>
      </c>
      <c r="K2900" s="1" t="str">
        <f t="shared" si="136"/>
        <v/>
      </c>
      <c r="L2900" s="1" t="str">
        <f t="shared" si="137"/>
        <v/>
      </c>
      <c r="M2900" s="1">
        <f>IF(OR(Table1[[#This Row],[Std Nom]]="",Table1[[#This Row],[Std Read]]=""),0,Table1[[#This Row],[Std Nom]]-Table1[[#This Row],[Std Read]])</f>
        <v>0</v>
      </c>
      <c r="N2900" s="1">
        <f>IF(Calculations!$F$5="ACCREDITED 17025 WITH UNCERTAINTIES",$N$10,0)</f>
        <v>0</v>
      </c>
      <c r="O2900" s="1" t="str">
        <f>IFERROR(Table1[[#This Row],[Std Nom]]-(_xlfn.XLOOKUP(Table1[[#This Row],[Manufacturer]]&amp;" "&amp;Table1[[#This Row],[Model]],Table13[MFR &amp; MDL],Table13[Tolerance % CW ],"")/100*Table1[[#This Row],[Std Nom]]),"")</f>
        <v/>
      </c>
      <c r="P2900" s="1" t="str">
        <f>IFERROR(Table1[[#This Row],[Std Nom]]+(_xlfn.XLOOKUP(Table1[[#This Row],[Manufacturer]]&amp;" "&amp;Table1[[#This Row],[Model]],Table13[MFR &amp; MDL],Table13[Tolerance % CW ],"")/100*Table1[[#This Row],[Std Nom]]),"")</f>
        <v/>
      </c>
      <c r="Q2900" s="1" t="e">
        <f>Table1[[#This Row],[High Tol]]-Table1[[#This Row],[Low Tol]]</f>
        <v>#VALUE!</v>
      </c>
      <c r="R2900" s="1">
        <f>2*Table1[[#This Row],[Std Error]]</f>
        <v>0</v>
      </c>
      <c r="S2900" s="1" t="str">
        <f>IF(Table1[[#This Row],[High Tol]]="","N/A",IFERROR(ABS(Table1[[#This Row],[Tol Span]]/Table1[[#This Row],[Error Span]]),"N/A"))</f>
        <v>N/A</v>
      </c>
      <c r="T2900" s="1" t="str">
        <f>IF(OR(Table1[[#This Row],[Low Tol]]="",Table1[[#This Row],[High Tol]]=""),"Needs Analysis",IF(Table1[[#This Row],[Ratio]]&gt;=4,"Not Significant",IF(Table1[[#This Row],[Ratio]]&gt;=2,"Semi-Significant","Significant")))</f>
        <v>Needs Analysis</v>
      </c>
      <c r="W2900" s="1">
        <f>IF(Table1[[#This Row],[Cal Type]]&lt;&gt;"ACCREDITED 17025 WITH UNCERTAINTIES",0,"")</f>
        <v>0</v>
      </c>
      <c r="X2900" s="1" t="str">
        <f>IF(Table1[[#This Row],[DUT Read]]="","N/A",Table1[[#This Row],[Std Error]]+Table1[[#This Row],[DUT Read]]+Table1[[#This Row],[DUT Ucty]])</f>
        <v>N/A</v>
      </c>
      <c r="Y2900" s="1" t="str">
        <f>IF(Table1[[#This Row],[Std Read]]="","N/A",Table1[[#This Row],[Std Read]]+Table1[[#This Row],[Std Ucty]])</f>
        <v>N/A</v>
      </c>
      <c r="Z29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0" s="1" t="str">
        <f>IF(Table1[[#This Row],[Spec Type]]="","N/A",Table1[[#This Row],[Spec Type]])</f>
        <v>±</v>
      </c>
      <c r="AC2900" s="1" t="str">
        <f>IF(Table1[[#This Row],[Spec Type2]]="N/A","N/A",IF(AND(Table1[[#This Row],[DUT Adj Read]]&gt;=Table1[[#This Row],[Low Tol]],Table1[[#This Row],[DUT Adj Read]]&lt;=Table1[[#This Row],[High Tol]]),"Pass","Fail"))</f>
        <v>Fail</v>
      </c>
      <c r="AD2900" s="1" t="str">
        <f>IF(AND(Table1[[#This Row],[Spec Type2]]="N/A",Table1[[#This Row],[DUT Adj Read]]="N/A",Table1[[#This Row],[Std Adj Read]]="N/A"),"N/A",IF(Table1[[#This Row],[DUT Adj Read]]="N/A",IF(Table1[[#This Row],[Std Adj Read]]&gt;Table1[[#This Row],[Low Tol]],"Pass","Fail"),IF(Table1[[#This Row],[DUT Adj Read]]&gt;Table1[[#This Row],[Low Tol]],"Pass","Fail")))</f>
        <v>Pass</v>
      </c>
      <c r="AE2900" s="1" t="str">
        <f>IF(AND(Table1[[#This Row],[Spec Type2]]="N/A",Table1[[#This Row],[DUT Adj Read]]="N/A",Table1[[#This Row],[Std Adj Read]]="N/A"),"N/A",IF(Table1[[#This Row],[DUT Adj Read]]="N/A",IF(Table1[[#This Row],[Std Adj Read]]&lt;Table1[[#This Row],[High Tol]],"Pass","Fail"),IF(Table1[[#This Row],[DUT Adj Read]]&lt;Table1[[#This Row],[High Tol]],"Pass","Fail")))</f>
        <v>Fail</v>
      </c>
      <c r="AF2900" s="1" t="str">
        <f>IF(AND(Table1[[#This Row],[Spec Type2]]="N/A",Table1[[#This Row],[DUT Adj Read]]="N/A",Table1[[#This Row],[Std Adj Read]]="N/A"),"N/A",IF(Table1[[#This Row],[DUT Adj Read]]="N/A",IF(Table1[[#This Row],[Std Adj Read]]&gt;=Table1[[#This Row],[Low Tol]],"Pass","Fail"),IF(Table1[[#This Row],[DUT Adj Read]]&gt;=Table1[[#This Row],[Low Tol]],"Pass","Fail")))</f>
        <v>Pass</v>
      </c>
      <c r="AG2900" s="1" t="str">
        <f>IF(AND(Table1[[#This Row],[Spec Type2]]="N/A",Table1[[#This Row],[DUT Adj Read]]="N/A",Table1[[#This Row],[Std Adj Read]]="N/A"),"N/A",IF(Table1[[#This Row],[DUT Adj Read]]="N/A",IF(Table1[[#This Row],[Std Adj Read]]&lt;=Table1[[#This Row],[High Tol]],"Pass","Fail"),IF(Table1[[#This Row],[DUT Adj Read]]&lt;=Table1[[#This Row],[High Tol]],"Pass","Fail")))</f>
        <v>Fail</v>
      </c>
      <c r="AH29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0" s="1" t="b">
        <v>0</v>
      </c>
      <c r="AN2900" s="1" t="b">
        <v>0</v>
      </c>
      <c r="AO2900" s="1" t="b">
        <v>0</v>
      </c>
    </row>
    <row r="2901" spans="1:41" x14ac:dyDescent="0.25">
      <c r="A2901" s="10"/>
      <c r="B2901" s="10"/>
      <c r="C2901" s="10"/>
      <c r="D2901" s="10"/>
      <c r="E2901" s="10"/>
      <c r="F2901" s="10"/>
      <c r="G2901" s="10"/>
      <c r="H2901" s="10"/>
      <c r="I2901" s="1" t="str">
        <f t="shared" si="135"/>
        <v/>
      </c>
      <c r="J2901" s="1" t="s">
        <v>35</v>
      </c>
      <c r="K2901" s="1" t="str">
        <f t="shared" si="136"/>
        <v/>
      </c>
      <c r="L2901" s="1" t="str">
        <f t="shared" si="137"/>
        <v/>
      </c>
      <c r="M2901" s="1">
        <f>IF(OR(Table1[[#This Row],[Std Nom]]="",Table1[[#This Row],[Std Read]]=""),0,Table1[[#This Row],[Std Nom]]-Table1[[#This Row],[Std Read]])</f>
        <v>0</v>
      </c>
      <c r="N2901" s="1">
        <f>IF(Calculations!$F$5="ACCREDITED 17025 WITH UNCERTAINTIES",$N$10,0)</f>
        <v>0</v>
      </c>
      <c r="O2901" s="1" t="str">
        <f>IFERROR(Table1[[#This Row],[Std Nom]]-(_xlfn.XLOOKUP(Table1[[#This Row],[Manufacturer]]&amp;" "&amp;Table1[[#This Row],[Model]],Table13[MFR &amp; MDL],Table13[Tolerance % CW ],"")/100*Table1[[#This Row],[Std Nom]]),"")</f>
        <v/>
      </c>
      <c r="P2901" s="1" t="str">
        <f>IFERROR(Table1[[#This Row],[Std Nom]]+(_xlfn.XLOOKUP(Table1[[#This Row],[Manufacturer]]&amp;" "&amp;Table1[[#This Row],[Model]],Table13[MFR &amp; MDL],Table13[Tolerance % CW ],"")/100*Table1[[#This Row],[Std Nom]]),"")</f>
        <v/>
      </c>
      <c r="Q2901" s="1" t="e">
        <f>Table1[[#This Row],[High Tol]]-Table1[[#This Row],[Low Tol]]</f>
        <v>#VALUE!</v>
      </c>
      <c r="R2901" s="1">
        <f>2*Table1[[#This Row],[Std Error]]</f>
        <v>0</v>
      </c>
      <c r="S2901" s="1" t="str">
        <f>IF(Table1[[#This Row],[High Tol]]="","N/A",IFERROR(ABS(Table1[[#This Row],[Tol Span]]/Table1[[#This Row],[Error Span]]),"N/A"))</f>
        <v>N/A</v>
      </c>
      <c r="T2901" s="1" t="str">
        <f>IF(OR(Table1[[#This Row],[Low Tol]]="",Table1[[#This Row],[High Tol]]=""),"Needs Analysis",IF(Table1[[#This Row],[Ratio]]&gt;=4,"Not Significant",IF(Table1[[#This Row],[Ratio]]&gt;=2,"Semi-Significant","Significant")))</f>
        <v>Needs Analysis</v>
      </c>
      <c r="W2901" s="1">
        <f>IF(Table1[[#This Row],[Cal Type]]&lt;&gt;"ACCREDITED 17025 WITH UNCERTAINTIES",0,"")</f>
        <v>0</v>
      </c>
      <c r="X2901" s="1" t="str">
        <f>IF(Table1[[#This Row],[DUT Read]]="","N/A",Table1[[#This Row],[Std Error]]+Table1[[#This Row],[DUT Read]]+Table1[[#This Row],[DUT Ucty]])</f>
        <v>N/A</v>
      </c>
      <c r="Y2901" s="1" t="str">
        <f>IF(Table1[[#This Row],[Std Read]]="","N/A",Table1[[#This Row],[Std Read]]+Table1[[#This Row],[Std Ucty]])</f>
        <v>N/A</v>
      </c>
      <c r="Z29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1" s="1" t="str">
        <f>IF(Table1[[#This Row],[Spec Type]]="","N/A",Table1[[#This Row],[Spec Type]])</f>
        <v>±</v>
      </c>
      <c r="AC2901" s="1" t="str">
        <f>IF(Table1[[#This Row],[Spec Type2]]="N/A","N/A",IF(AND(Table1[[#This Row],[DUT Adj Read]]&gt;=Table1[[#This Row],[Low Tol]],Table1[[#This Row],[DUT Adj Read]]&lt;=Table1[[#This Row],[High Tol]]),"Pass","Fail"))</f>
        <v>Fail</v>
      </c>
      <c r="AD2901" s="1" t="str">
        <f>IF(AND(Table1[[#This Row],[Spec Type2]]="N/A",Table1[[#This Row],[DUT Adj Read]]="N/A",Table1[[#This Row],[Std Adj Read]]="N/A"),"N/A",IF(Table1[[#This Row],[DUT Adj Read]]="N/A",IF(Table1[[#This Row],[Std Adj Read]]&gt;Table1[[#This Row],[Low Tol]],"Pass","Fail"),IF(Table1[[#This Row],[DUT Adj Read]]&gt;Table1[[#This Row],[Low Tol]],"Pass","Fail")))</f>
        <v>Pass</v>
      </c>
      <c r="AE2901" s="1" t="str">
        <f>IF(AND(Table1[[#This Row],[Spec Type2]]="N/A",Table1[[#This Row],[DUT Adj Read]]="N/A",Table1[[#This Row],[Std Adj Read]]="N/A"),"N/A",IF(Table1[[#This Row],[DUT Adj Read]]="N/A",IF(Table1[[#This Row],[Std Adj Read]]&lt;Table1[[#This Row],[High Tol]],"Pass","Fail"),IF(Table1[[#This Row],[DUT Adj Read]]&lt;Table1[[#This Row],[High Tol]],"Pass","Fail")))</f>
        <v>Fail</v>
      </c>
      <c r="AF2901" s="1" t="str">
        <f>IF(AND(Table1[[#This Row],[Spec Type2]]="N/A",Table1[[#This Row],[DUT Adj Read]]="N/A",Table1[[#This Row],[Std Adj Read]]="N/A"),"N/A",IF(Table1[[#This Row],[DUT Adj Read]]="N/A",IF(Table1[[#This Row],[Std Adj Read]]&gt;=Table1[[#This Row],[Low Tol]],"Pass","Fail"),IF(Table1[[#This Row],[DUT Adj Read]]&gt;=Table1[[#This Row],[Low Tol]],"Pass","Fail")))</f>
        <v>Pass</v>
      </c>
      <c r="AG2901" s="1" t="str">
        <f>IF(AND(Table1[[#This Row],[Spec Type2]]="N/A",Table1[[#This Row],[DUT Adj Read]]="N/A",Table1[[#This Row],[Std Adj Read]]="N/A"),"N/A",IF(Table1[[#This Row],[DUT Adj Read]]="N/A",IF(Table1[[#This Row],[Std Adj Read]]&lt;=Table1[[#This Row],[High Tol]],"Pass","Fail"),IF(Table1[[#This Row],[DUT Adj Read]]&lt;=Table1[[#This Row],[High Tol]],"Pass","Fail")))</f>
        <v>Fail</v>
      </c>
      <c r="AH29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1" s="1" t="b">
        <v>0</v>
      </c>
      <c r="AN2901" s="1" t="b">
        <v>0</v>
      </c>
      <c r="AO2901" s="1" t="b">
        <v>0</v>
      </c>
    </row>
    <row r="2902" spans="1:41" x14ac:dyDescent="0.25">
      <c r="A2902" s="10"/>
      <c r="B2902" s="10"/>
      <c r="C2902" s="10"/>
      <c r="D2902" s="10"/>
      <c r="E2902" s="10"/>
      <c r="F2902" s="10"/>
      <c r="G2902" s="10"/>
      <c r="H2902" s="10"/>
      <c r="I2902" s="1" t="str">
        <f t="shared" si="135"/>
        <v/>
      </c>
      <c r="J2902" s="1" t="s">
        <v>35</v>
      </c>
      <c r="K2902" s="1" t="str">
        <f t="shared" si="136"/>
        <v/>
      </c>
      <c r="L2902" s="1" t="str">
        <f t="shared" si="137"/>
        <v/>
      </c>
      <c r="M2902" s="1">
        <f>IF(OR(Table1[[#This Row],[Std Nom]]="",Table1[[#This Row],[Std Read]]=""),0,Table1[[#This Row],[Std Nom]]-Table1[[#This Row],[Std Read]])</f>
        <v>0</v>
      </c>
      <c r="N2902" s="1">
        <f>IF(Calculations!$F$5="ACCREDITED 17025 WITH UNCERTAINTIES",$N$10,0)</f>
        <v>0</v>
      </c>
      <c r="O2902" s="1" t="str">
        <f>IFERROR(Table1[[#This Row],[Std Nom]]-(_xlfn.XLOOKUP(Table1[[#This Row],[Manufacturer]]&amp;" "&amp;Table1[[#This Row],[Model]],Table13[MFR &amp; MDL],Table13[Tolerance % CW ],"")/100*Table1[[#This Row],[Std Nom]]),"")</f>
        <v/>
      </c>
      <c r="P2902" s="1" t="str">
        <f>IFERROR(Table1[[#This Row],[Std Nom]]+(_xlfn.XLOOKUP(Table1[[#This Row],[Manufacturer]]&amp;" "&amp;Table1[[#This Row],[Model]],Table13[MFR &amp; MDL],Table13[Tolerance % CW ],"")/100*Table1[[#This Row],[Std Nom]]),"")</f>
        <v/>
      </c>
      <c r="Q2902" s="1" t="e">
        <f>Table1[[#This Row],[High Tol]]-Table1[[#This Row],[Low Tol]]</f>
        <v>#VALUE!</v>
      </c>
      <c r="R2902" s="1">
        <f>2*Table1[[#This Row],[Std Error]]</f>
        <v>0</v>
      </c>
      <c r="S2902" s="1" t="str">
        <f>IF(Table1[[#This Row],[High Tol]]="","N/A",IFERROR(ABS(Table1[[#This Row],[Tol Span]]/Table1[[#This Row],[Error Span]]),"N/A"))</f>
        <v>N/A</v>
      </c>
      <c r="T2902" s="1" t="str">
        <f>IF(OR(Table1[[#This Row],[Low Tol]]="",Table1[[#This Row],[High Tol]]=""),"Needs Analysis",IF(Table1[[#This Row],[Ratio]]&gt;=4,"Not Significant",IF(Table1[[#This Row],[Ratio]]&gt;=2,"Semi-Significant","Significant")))</f>
        <v>Needs Analysis</v>
      </c>
      <c r="W2902" s="1">
        <f>IF(Table1[[#This Row],[Cal Type]]&lt;&gt;"ACCREDITED 17025 WITH UNCERTAINTIES",0,"")</f>
        <v>0</v>
      </c>
      <c r="X2902" s="1" t="str">
        <f>IF(Table1[[#This Row],[DUT Read]]="","N/A",Table1[[#This Row],[Std Error]]+Table1[[#This Row],[DUT Read]]+Table1[[#This Row],[DUT Ucty]])</f>
        <v>N/A</v>
      </c>
      <c r="Y2902" s="1" t="str">
        <f>IF(Table1[[#This Row],[Std Read]]="","N/A",Table1[[#This Row],[Std Read]]+Table1[[#This Row],[Std Ucty]])</f>
        <v>N/A</v>
      </c>
      <c r="Z29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2" s="1" t="str">
        <f>IF(Table1[[#This Row],[Spec Type]]="","N/A",Table1[[#This Row],[Spec Type]])</f>
        <v>±</v>
      </c>
      <c r="AC2902" s="1" t="str">
        <f>IF(Table1[[#This Row],[Spec Type2]]="N/A","N/A",IF(AND(Table1[[#This Row],[DUT Adj Read]]&gt;=Table1[[#This Row],[Low Tol]],Table1[[#This Row],[DUT Adj Read]]&lt;=Table1[[#This Row],[High Tol]]),"Pass","Fail"))</f>
        <v>Fail</v>
      </c>
      <c r="AD2902" s="1" t="str">
        <f>IF(AND(Table1[[#This Row],[Spec Type2]]="N/A",Table1[[#This Row],[DUT Adj Read]]="N/A",Table1[[#This Row],[Std Adj Read]]="N/A"),"N/A",IF(Table1[[#This Row],[DUT Adj Read]]="N/A",IF(Table1[[#This Row],[Std Adj Read]]&gt;Table1[[#This Row],[Low Tol]],"Pass","Fail"),IF(Table1[[#This Row],[DUT Adj Read]]&gt;Table1[[#This Row],[Low Tol]],"Pass","Fail")))</f>
        <v>Pass</v>
      </c>
      <c r="AE2902" s="1" t="str">
        <f>IF(AND(Table1[[#This Row],[Spec Type2]]="N/A",Table1[[#This Row],[DUT Adj Read]]="N/A",Table1[[#This Row],[Std Adj Read]]="N/A"),"N/A",IF(Table1[[#This Row],[DUT Adj Read]]="N/A",IF(Table1[[#This Row],[Std Adj Read]]&lt;Table1[[#This Row],[High Tol]],"Pass","Fail"),IF(Table1[[#This Row],[DUT Adj Read]]&lt;Table1[[#This Row],[High Tol]],"Pass","Fail")))</f>
        <v>Fail</v>
      </c>
      <c r="AF2902" s="1" t="str">
        <f>IF(AND(Table1[[#This Row],[Spec Type2]]="N/A",Table1[[#This Row],[DUT Adj Read]]="N/A",Table1[[#This Row],[Std Adj Read]]="N/A"),"N/A",IF(Table1[[#This Row],[DUT Adj Read]]="N/A",IF(Table1[[#This Row],[Std Adj Read]]&gt;=Table1[[#This Row],[Low Tol]],"Pass","Fail"),IF(Table1[[#This Row],[DUT Adj Read]]&gt;=Table1[[#This Row],[Low Tol]],"Pass","Fail")))</f>
        <v>Pass</v>
      </c>
      <c r="AG2902" s="1" t="str">
        <f>IF(AND(Table1[[#This Row],[Spec Type2]]="N/A",Table1[[#This Row],[DUT Adj Read]]="N/A",Table1[[#This Row],[Std Adj Read]]="N/A"),"N/A",IF(Table1[[#This Row],[DUT Adj Read]]="N/A",IF(Table1[[#This Row],[Std Adj Read]]&lt;=Table1[[#This Row],[High Tol]],"Pass","Fail"),IF(Table1[[#This Row],[DUT Adj Read]]&lt;=Table1[[#This Row],[High Tol]],"Pass","Fail")))</f>
        <v>Fail</v>
      </c>
      <c r="AH29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2" s="1" t="b">
        <v>0</v>
      </c>
      <c r="AN2902" s="1" t="b">
        <v>0</v>
      </c>
      <c r="AO2902" s="1" t="b">
        <v>0</v>
      </c>
    </row>
    <row r="2903" spans="1:41" x14ac:dyDescent="0.25">
      <c r="A2903" s="10"/>
      <c r="B2903" s="10"/>
      <c r="C2903" s="10"/>
      <c r="D2903" s="10"/>
      <c r="E2903" s="10"/>
      <c r="F2903" s="10"/>
      <c r="G2903" s="10"/>
      <c r="H2903" s="10"/>
      <c r="I2903" s="1" t="str">
        <f t="shared" si="135"/>
        <v/>
      </c>
      <c r="J2903" s="1" t="s">
        <v>35</v>
      </c>
      <c r="K2903" s="1" t="str">
        <f t="shared" si="136"/>
        <v/>
      </c>
      <c r="L2903" s="1" t="str">
        <f t="shared" si="137"/>
        <v/>
      </c>
      <c r="M2903" s="1">
        <f>IF(OR(Table1[[#This Row],[Std Nom]]="",Table1[[#This Row],[Std Read]]=""),0,Table1[[#This Row],[Std Nom]]-Table1[[#This Row],[Std Read]])</f>
        <v>0</v>
      </c>
      <c r="N2903" s="1">
        <f>IF(Calculations!$F$5="ACCREDITED 17025 WITH UNCERTAINTIES",$N$10,0)</f>
        <v>0</v>
      </c>
      <c r="O2903" s="1" t="str">
        <f>IFERROR(Table1[[#This Row],[Std Nom]]-(_xlfn.XLOOKUP(Table1[[#This Row],[Manufacturer]]&amp;" "&amp;Table1[[#This Row],[Model]],Table13[MFR &amp; MDL],Table13[Tolerance % CW ],"")/100*Table1[[#This Row],[Std Nom]]),"")</f>
        <v/>
      </c>
      <c r="P2903" s="1" t="str">
        <f>IFERROR(Table1[[#This Row],[Std Nom]]+(_xlfn.XLOOKUP(Table1[[#This Row],[Manufacturer]]&amp;" "&amp;Table1[[#This Row],[Model]],Table13[MFR &amp; MDL],Table13[Tolerance % CW ],"")/100*Table1[[#This Row],[Std Nom]]),"")</f>
        <v/>
      </c>
      <c r="Q2903" s="1" t="e">
        <f>Table1[[#This Row],[High Tol]]-Table1[[#This Row],[Low Tol]]</f>
        <v>#VALUE!</v>
      </c>
      <c r="R2903" s="1">
        <f>2*Table1[[#This Row],[Std Error]]</f>
        <v>0</v>
      </c>
      <c r="S2903" s="1" t="str">
        <f>IF(Table1[[#This Row],[High Tol]]="","N/A",IFERROR(ABS(Table1[[#This Row],[Tol Span]]/Table1[[#This Row],[Error Span]]),"N/A"))</f>
        <v>N/A</v>
      </c>
      <c r="T2903" s="1" t="str">
        <f>IF(OR(Table1[[#This Row],[Low Tol]]="",Table1[[#This Row],[High Tol]]=""),"Needs Analysis",IF(Table1[[#This Row],[Ratio]]&gt;=4,"Not Significant",IF(Table1[[#This Row],[Ratio]]&gt;=2,"Semi-Significant","Significant")))</f>
        <v>Needs Analysis</v>
      </c>
      <c r="W2903" s="1">
        <f>IF(Table1[[#This Row],[Cal Type]]&lt;&gt;"ACCREDITED 17025 WITH UNCERTAINTIES",0,"")</f>
        <v>0</v>
      </c>
      <c r="X2903" s="1" t="str">
        <f>IF(Table1[[#This Row],[DUT Read]]="","N/A",Table1[[#This Row],[Std Error]]+Table1[[#This Row],[DUT Read]]+Table1[[#This Row],[DUT Ucty]])</f>
        <v>N/A</v>
      </c>
      <c r="Y2903" s="1" t="str">
        <f>IF(Table1[[#This Row],[Std Read]]="","N/A",Table1[[#This Row],[Std Read]]+Table1[[#This Row],[Std Ucty]])</f>
        <v>N/A</v>
      </c>
      <c r="Z29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3" s="1" t="str">
        <f>IF(Table1[[#This Row],[Spec Type]]="","N/A",Table1[[#This Row],[Spec Type]])</f>
        <v>±</v>
      </c>
      <c r="AC2903" s="1" t="str">
        <f>IF(Table1[[#This Row],[Spec Type2]]="N/A","N/A",IF(AND(Table1[[#This Row],[DUT Adj Read]]&gt;=Table1[[#This Row],[Low Tol]],Table1[[#This Row],[DUT Adj Read]]&lt;=Table1[[#This Row],[High Tol]]),"Pass","Fail"))</f>
        <v>Fail</v>
      </c>
      <c r="AD2903" s="1" t="str">
        <f>IF(AND(Table1[[#This Row],[Spec Type2]]="N/A",Table1[[#This Row],[DUT Adj Read]]="N/A",Table1[[#This Row],[Std Adj Read]]="N/A"),"N/A",IF(Table1[[#This Row],[DUT Adj Read]]="N/A",IF(Table1[[#This Row],[Std Adj Read]]&gt;Table1[[#This Row],[Low Tol]],"Pass","Fail"),IF(Table1[[#This Row],[DUT Adj Read]]&gt;Table1[[#This Row],[Low Tol]],"Pass","Fail")))</f>
        <v>Pass</v>
      </c>
      <c r="AE2903" s="1" t="str">
        <f>IF(AND(Table1[[#This Row],[Spec Type2]]="N/A",Table1[[#This Row],[DUT Adj Read]]="N/A",Table1[[#This Row],[Std Adj Read]]="N/A"),"N/A",IF(Table1[[#This Row],[DUT Adj Read]]="N/A",IF(Table1[[#This Row],[Std Adj Read]]&lt;Table1[[#This Row],[High Tol]],"Pass","Fail"),IF(Table1[[#This Row],[DUT Adj Read]]&lt;Table1[[#This Row],[High Tol]],"Pass","Fail")))</f>
        <v>Fail</v>
      </c>
      <c r="AF2903" s="1" t="str">
        <f>IF(AND(Table1[[#This Row],[Spec Type2]]="N/A",Table1[[#This Row],[DUT Adj Read]]="N/A",Table1[[#This Row],[Std Adj Read]]="N/A"),"N/A",IF(Table1[[#This Row],[DUT Adj Read]]="N/A",IF(Table1[[#This Row],[Std Adj Read]]&gt;=Table1[[#This Row],[Low Tol]],"Pass","Fail"),IF(Table1[[#This Row],[DUT Adj Read]]&gt;=Table1[[#This Row],[Low Tol]],"Pass","Fail")))</f>
        <v>Pass</v>
      </c>
      <c r="AG2903" s="1" t="str">
        <f>IF(AND(Table1[[#This Row],[Spec Type2]]="N/A",Table1[[#This Row],[DUT Adj Read]]="N/A",Table1[[#This Row],[Std Adj Read]]="N/A"),"N/A",IF(Table1[[#This Row],[DUT Adj Read]]="N/A",IF(Table1[[#This Row],[Std Adj Read]]&lt;=Table1[[#This Row],[High Tol]],"Pass","Fail"),IF(Table1[[#This Row],[DUT Adj Read]]&lt;=Table1[[#This Row],[High Tol]],"Pass","Fail")))</f>
        <v>Fail</v>
      </c>
      <c r="AH29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3" s="1" t="b">
        <v>0</v>
      </c>
      <c r="AN2903" s="1" t="b">
        <v>0</v>
      </c>
      <c r="AO2903" s="1" t="b">
        <v>0</v>
      </c>
    </row>
    <row r="2904" spans="1:41" x14ac:dyDescent="0.25">
      <c r="A2904" s="10"/>
      <c r="B2904" s="10"/>
      <c r="C2904" s="10"/>
      <c r="D2904" s="10"/>
      <c r="E2904" s="10"/>
      <c r="F2904" s="10"/>
      <c r="G2904" s="10"/>
      <c r="H2904" s="10"/>
      <c r="I2904" s="1" t="str">
        <f t="shared" si="135"/>
        <v/>
      </c>
      <c r="J2904" s="1" t="s">
        <v>35</v>
      </c>
      <c r="K2904" s="1" t="str">
        <f t="shared" si="136"/>
        <v/>
      </c>
      <c r="L2904" s="1" t="str">
        <f t="shared" si="137"/>
        <v/>
      </c>
      <c r="M2904" s="1">
        <f>IF(OR(Table1[[#This Row],[Std Nom]]="",Table1[[#This Row],[Std Read]]=""),0,Table1[[#This Row],[Std Nom]]-Table1[[#This Row],[Std Read]])</f>
        <v>0</v>
      </c>
      <c r="N2904" s="1">
        <f>IF(Calculations!$F$5="ACCREDITED 17025 WITH UNCERTAINTIES",$N$10,0)</f>
        <v>0</v>
      </c>
      <c r="O2904" s="1" t="str">
        <f>IFERROR(Table1[[#This Row],[Std Nom]]-(_xlfn.XLOOKUP(Table1[[#This Row],[Manufacturer]]&amp;" "&amp;Table1[[#This Row],[Model]],Table13[MFR &amp; MDL],Table13[Tolerance % CW ],"")/100*Table1[[#This Row],[Std Nom]]),"")</f>
        <v/>
      </c>
      <c r="P2904" s="1" t="str">
        <f>IFERROR(Table1[[#This Row],[Std Nom]]+(_xlfn.XLOOKUP(Table1[[#This Row],[Manufacturer]]&amp;" "&amp;Table1[[#This Row],[Model]],Table13[MFR &amp; MDL],Table13[Tolerance % CW ],"")/100*Table1[[#This Row],[Std Nom]]),"")</f>
        <v/>
      </c>
      <c r="Q2904" s="1" t="e">
        <f>Table1[[#This Row],[High Tol]]-Table1[[#This Row],[Low Tol]]</f>
        <v>#VALUE!</v>
      </c>
      <c r="R2904" s="1">
        <f>2*Table1[[#This Row],[Std Error]]</f>
        <v>0</v>
      </c>
      <c r="S2904" s="1" t="str">
        <f>IF(Table1[[#This Row],[High Tol]]="","N/A",IFERROR(ABS(Table1[[#This Row],[Tol Span]]/Table1[[#This Row],[Error Span]]),"N/A"))</f>
        <v>N/A</v>
      </c>
      <c r="T2904" s="1" t="str">
        <f>IF(OR(Table1[[#This Row],[Low Tol]]="",Table1[[#This Row],[High Tol]]=""),"Needs Analysis",IF(Table1[[#This Row],[Ratio]]&gt;=4,"Not Significant",IF(Table1[[#This Row],[Ratio]]&gt;=2,"Semi-Significant","Significant")))</f>
        <v>Needs Analysis</v>
      </c>
      <c r="W2904" s="1">
        <f>IF(Table1[[#This Row],[Cal Type]]&lt;&gt;"ACCREDITED 17025 WITH UNCERTAINTIES",0,"")</f>
        <v>0</v>
      </c>
      <c r="X2904" s="1" t="str">
        <f>IF(Table1[[#This Row],[DUT Read]]="","N/A",Table1[[#This Row],[Std Error]]+Table1[[#This Row],[DUT Read]]+Table1[[#This Row],[DUT Ucty]])</f>
        <v>N/A</v>
      </c>
      <c r="Y2904" s="1" t="str">
        <f>IF(Table1[[#This Row],[Std Read]]="","N/A",Table1[[#This Row],[Std Read]]+Table1[[#This Row],[Std Ucty]])</f>
        <v>N/A</v>
      </c>
      <c r="Z29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4" s="1" t="str">
        <f>IF(Table1[[#This Row],[Spec Type]]="","N/A",Table1[[#This Row],[Spec Type]])</f>
        <v>±</v>
      </c>
      <c r="AC2904" s="1" t="str">
        <f>IF(Table1[[#This Row],[Spec Type2]]="N/A","N/A",IF(AND(Table1[[#This Row],[DUT Adj Read]]&gt;=Table1[[#This Row],[Low Tol]],Table1[[#This Row],[DUT Adj Read]]&lt;=Table1[[#This Row],[High Tol]]),"Pass","Fail"))</f>
        <v>Fail</v>
      </c>
      <c r="AD2904" s="1" t="str">
        <f>IF(AND(Table1[[#This Row],[Spec Type2]]="N/A",Table1[[#This Row],[DUT Adj Read]]="N/A",Table1[[#This Row],[Std Adj Read]]="N/A"),"N/A",IF(Table1[[#This Row],[DUT Adj Read]]="N/A",IF(Table1[[#This Row],[Std Adj Read]]&gt;Table1[[#This Row],[Low Tol]],"Pass","Fail"),IF(Table1[[#This Row],[DUT Adj Read]]&gt;Table1[[#This Row],[Low Tol]],"Pass","Fail")))</f>
        <v>Pass</v>
      </c>
      <c r="AE2904" s="1" t="str">
        <f>IF(AND(Table1[[#This Row],[Spec Type2]]="N/A",Table1[[#This Row],[DUT Adj Read]]="N/A",Table1[[#This Row],[Std Adj Read]]="N/A"),"N/A",IF(Table1[[#This Row],[DUT Adj Read]]="N/A",IF(Table1[[#This Row],[Std Adj Read]]&lt;Table1[[#This Row],[High Tol]],"Pass","Fail"),IF(Table1[[#This Row],[DUT Adj Read]]&lt;Table1[[#This Row],[High Tol]],"Pass","Fail")))</f>
        <v>Fail</v>
      </c>
      <c r="AF2904" s="1" t="str">
        <f>IF(AND(Table1[[#This Row],[Spec Type2]]="N/A",Table1[[#This Row],[DUT Adj Read]]="N/A",Table1[[#This Row],[Std Adj Read]]="N/A"),"N/A",IF(Table1[[#This Row],[DUT Adj Read]]="N/A",IF(Table1[[#This Row],[Std Adj Read]]&gt;=Table1[[#This Row],[Low Tol]],"Pass","Fail"),IF(Table1[[#This Row],[DUT Adj Read]]&gt;=Table1[[#This Row],[Low Tol]],"Pass","Fail")))</f>
        <v>Pass</v>
      </c>
      <c r="AG2904" s="1" t="str">
        <f>IF(AND(Table1[[#This Row],[Spec Type2]]="N/A",Table1[[#This Row],[DUT Adj Read]]="N/A",Table1[[#This Row],[Std Adj Read]]="N/A"),"N/A",IF(Table1[[#This Row],[DUT Adj Read]]="N/A",IF(Table1[[#This Row],[Std Adj Read]]&lt;=Table1[[#This Row],[High Tol]],"Pass","Fail"),IF(Table1[[#This Row],[DUT Adj Read]]&lt;=Table1[[#This Row],[High Tol]],"Pass","Fail")))</f>
        <v>Fail</v>
      </c>
      <c r="AH29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4" s="1" t="b">
        <v>0</v>
      </c>
      <c r="AN2904" s="1" t="b">
        <v>0</v>
      </c>
      <c r="AO2904" s="1" t="b">
        <v>0</v>
      </c>
    </row>
    <row r="2905" spans="1:41" x14ac:dyDescent="0.25">
      <c r="A2905" s="10"/>
      <c r="B2905" s="10"/>
      <c r="C2905" s="10"/>
      <c r="D2905" s="10"/>
      <c r="E2905" s="10"/>
      <c r="F2905" s="10"/>
      <c r="G2905" s="10"/>
      <c r="H2905" s="10"/>
      <c r="I2905" s="1" t="str">
        <f t="shared" si="135"/>
        <v/>
      </c>
      <c r="J2905" s="1" t="s">
        <v>35</v>
      </c>
      <c r="K2905" s="1" t="str">
        <f t="shared" si="136"/>
        <v/>
      </c>
      <c r="L2905" s="1" t="str">
        <f t="shared" si="137"/>
        <v/>
      </c>
      <c r="M2905" s="1">
        <f>IF(OR(Table1[[#This Row],[Std Nom]]="",Table1[[#This Row],[Std Read]]=""),0,Table1[[#This Row],[Std Nom]]-Table1[[#This Row],[Std Read]])</f>
        <v>0</v>
      </c>
      <c r="N2905" s="1">
        <f>IF(Calculations!$F$5="ACCREDITED 17025 WITH UNCERTAINTIES",$N$10,0)</f>
        <v>0</v>
      </c>
      <c r="O2905" s="1" t="str">
        <f>IFERROR(Table1[[#This Row],[Std Nom]]-(_xlfn.XLOOKUP(Table1[[#This Row],[Manufacturer]]&amp;" "&amp;Table1[[#This Row],[Model]],Table13[MFR &amp; MDL],Table13[Tolerance % CW ],"")/100*Table1[[#This Row],[Std Nom]]),"")</f>
        <v/>
      </c>
      <c r="P2905" s="1" t="str">
        <f>IFERROR(Table1[[#This Row],[Std Nom]]+(_xlfn.XLOOKUP(Table1[[#This Row],[Manufacturer]]&amp;" "&amp;Table1[[#This Row],[Model]],Table13[MFR &amp; MDL],Table13[Tolerance % CW ],"")/100*Table1[[#This Row],[Std Nom]]),"")</f>
        <v/>
      </c>
      <c r="Q2905" s="1" t="e">
        <f>Table1[[#This Row],[High Tol]]-Table1[[#This Row],[Low Tol]]</f>
        <v>#VALUE!</v>
      </c>
      <c r="R2905" s="1">
        <f>2*Table1[[#This Row],[Std Error]]</f>
        <v>0</v>
      </c>
      <c r="S2905" s="1" t="str">
        <f>IF(Table1[[#This Row],[High Tol]]="","N/A",IFERROR(ABS(Table1[[#This Row],[Tol Span]]/Table1[[#This Row],[Error Span]]),"N/A"))</f>
        <v>N/A</v>
      </c>
      <c r="T2905" s="1" t="str">
        <f>IF(OR(Table1[[#This Row],[Low Tol]]="",Table1[[#This Row],[High Tol]]=""),"Needs Analysis",IF(Table1[[#This Row],[Ratio]]&gt;=4,"Not Significant",IF(Table1[[#This Row],[Ratio]]&gt;=2,"Semi-Significant","Significant")))</f>
        <v>Needs Analysis</v>
      </c>
      <c r="W2905" s="1">
        <f>IF(Table1[[#This Row],[Cal Type]]&lt;&gt;"ACCREDITED 17025 WITH UNCERTAINTIES",0,"")</f>
        <v>0</v>
      </c>
      <c r="X2905" s="1" t="str">
        <f>IF(Table1[[#This Row],[DUT Read]]="","N/A",Table1[[#This Row],[Std Error]]+Table1[[#This Row],[DUT Read]]+Table1[[#This Row],[DUT Ucty]])</f>
        <v>N/A</v>
      </c>
      <c r="Y2905" s="1" t="str">
        <f>IF(Table1[[#This Row],[Std Read]]="","N/A",Table1[[#This Row],[Std Read]]+Table1[[#This Row],[Std Ucty]])</f>
        <v>N/A</v>
      </c>
      <c r="Z29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5" s="1" t="str">
        <f>IF(Table1[[#This Row],[Spec Type]]="","N/A",Table1[[#This Row],[Spec Type]])</f>
        <v>±</v>
      </c>
      <c r="AC2905" s="1" t="str">
        <f>IF(Table1[[#This Row],[Spec Type2]]="N/A","N/A",IF(AND(Table1[[#This Row],[DUT Adj Read]]&gt;=Table1[[#This Row],[Low Tol]],Table1[[#This Row],[DUT Adj Read]]&lt;=Table1[[#This Row],[High Tol]]),"Pass","Fail"))</f>
        <v>Fail</v>
      </c>
      <c r="AD2905" s="1" t="str">
        <f>IF(AND(Table1[[#This Row],[Spec Type2]]="N/A",Table1[[#This Row],[DUT Adj Read]]="N/A",Table1[[#This Row],[Std Adj Read]]="N/A"),"N/A",IF(Table1[[#This Row],[DUT Adj Read]]="N/A",IF(Table1[[#This Row],[Std Adj Read]]&gt;Table1[[#This Row],[Low Tol]],"Pass","Fail"),IF(Table1[[#This Row],[DUT Adj Read]]&gt;Table1[[#This Row],[Low Tol]],"Pass","Fail")))</f>
        <v>Pass</v>
      </c>
      <c r="AE2905" s="1" t="str">
        <f>IF(AND(Table1[[#This Row],[Spec Type2]]="N/A",Table1[[#This Row],[DUT Adj Read]]="N/A",Table1[[#This Row],[Std Adj Read]]="N/A"),"N/A",IF(Table1[[#This Row],[DUT Adj Read]]="N/A",IF(Table1[[#This Row],[Std Adj Read]]&lt;Table1[[#This Row],[High Tol]],"Pass","Fail"),IF(Table1[[#This Row],[DUT Adj Read]]&lt;Table1[[#This Row],[High Tol]],"Pass","Fail")))</f>
        <v>Fail</v>
      </c>
      <c r="AF2905" s="1" t="str">
        <f>IF(AND(Table1[[#This Row],[Spec Type2]]="N/A",Table1[[#This Row],[DUT Adj Read]]="N/A",Table1[[#This Row],[Std Adj Read]]="N/A"),"N/A",IF(Table1[[#This Row],[DUT Adj Read]]="N/A",IF(Table1[[#This Row],[Std Adj Read]]&gt;=Table1[[#This Row],[Low Tol]],"Pass","Fail"),IF(Table1[[#This Row],[DUT Adj Read]]&gt;=Table1[[#This Row],[Low Tol]],"Pass","Fail")))</f>
        <v>Pass</v>
      </c>
      <c r="AG2905" s="1" t="str">
        <f>IF(AND(Table1[[#This Row],[Spec Type2]]="N/A",Table1[[#This Row],[DUT Adj Read]]="N/A",Table1[[#This Row],[Std Adj Read]]="N/A"),"N/A",IF(Table1[[#This Row],[DUT Adj Read]]="N/A",IF(Table1[[#This Row],[Std Adj Read]]&lt;=Table1[[#This Row],[High Tol]],"Pass","Fail"),IF(Table1[[#This Row],[DUT Adj Read]]&lt;=Table1[[#This Row],[High Tol]],"Pass","Fail")))</f>
        <v>Fail</v>
      </c>
      <c r="AH29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5" s="1" t="b">
        <v>0</v>
      </c>
      <c r="AN2905" s="1" t="b">
        <v>0</v>
      </c>
      <c r="AO2905" s="1" t="b">
        <v>0</v>
      </c>
    </row>
    <row r="2906" spans="1:41" x14ac:dyDescent="0.25">
      <c r="A2906" s="10"/>
      <c r="B2906" s="10"/>
      <c r="C2906" s="10"/>
      <c r="D2906" s="10"/>
      <c r="E2906" s="10"/>
      <c r="F2906" s="10"/>
      <c r="G2906" s="10"/>
      <c r="H2906" s="10"/>
      <c r="I2906" s="1" t="str">
        <f t="shared" si="135"/>
        <v/>
      </c>
      <c r="J2906" s="1" t="s">
        <v>35</v>
      </c>
      <c r="K2906" s="1" t="str">
        <f t="shared" si="136"/>
        <v/>
      </c>
      <c r="L2906" s="1" t="str">
        <f t="shared" si="137"/>
        <v/>
      </c>
      <c r="M2906" s="1">
        <f>IF(OR(Table1[[#This Row],[Std Nom]]="",Table1[[#This Row],[Std Read]]=""),0,Table1[[#This Row],[Std Nom]]-Table1[[#This Row],[Std Read]])</f>
        <v>0</v>
      </c>
      <c r="N2906" s="1">
        <f>IF(Calculations!$F$5="ACCREDITED 17025 WITH UNCERTAINTIES",$N$10,0)</f>
        <v>0</v>
      </c>
      <c r="O2906" s="1" t="str">
        <f>IFERROR(Table1[[#This Row],[Std Nom]]-(_xlfn.XLOOKUP(Table1[[#This Row],[Manufacturer]]&amp;" "&amp;Table1[[#This Row],[Model]],Table13[MFR &amp; MDL],Table13[Tolerance % CW ],"")/100*Table1[[#This Row],[Std Nom]]),"")</f>
        <v/>
      </c>
      <c r="P2906" s="1" t="str">
        <f>IFERROR(Table1[[#This Row],[Std Nom]]+(_xlfn.XLOOKUP(Table1[[#This Row],[Manufacturer]]&amp;" "&amp;Table1[[#This Row],[Model]],Table13[MFR &amp; MDL],Table13[Tolerance % CW ],"")/100*Table1[[#This Row],[Std Nom]]),"")</f>
        <v/>
      </c>
      <c r="Q2906" s="1" t="e">
        <f>Table1[[#This Row],[High Tol]]-Table1[[#This Row],[Low Tol]]</f>
        <v>#VALUE!</v>
      </c>
      <c r="R2906" s="1">
        <f>2*Table1[[#This Row],[Std Error]]</f>
        <v>0</v>
      </c>
      <c r="S2906" s="1" t="str">
        <f>IF(Table1[[#This Row],[High Tol]]="","N/A",IFERROR(ABS(Table1[[#This Row],[Tol Span]]/Table1[[#This Row],[Error Span]]),"N/A"))</f>
        <v>N/A</v>
      </c>
      <c r="T2906" s="1" t="str">
        <f>IF(OR(Table1[[#This Row],[Low Tol]]="",Table1[[#This Row],[High Tol]]=""),"Needs Analysis",IF(Table1[[#This Row],[Ratio]]&gt;=4,"Not Significant",IF(Table1[[#This Row],[Ratio]]&gt;=2,"Semi-Significant","Significant")))</f>
        <v>Needs Analysis</v>
      </c>
      <c r="W2906" s="1">
        <f>IF(Table1[[#This Row],[Cal Type]]&lt;&gt;"ACCREDITED 17025 WITH UNCERTAINTIES",0,"")</f>
        <v>0</v>
      </c>
      <c r="X2906" s="1" t="str">
        <f>IF(Table1[[#This Row],[DUT Read]]="","N/A",Table1[[#This Row],[Std Error]]+Table1[[#This Row],[DUT Read]]+Table1[[#This Row],[DUT Ucty]])</f>
        <v>N/A</v>
      </c>
      <c r="Y2906" s="1" t="str">
        <f>IF(Table1[[#This Row],[Std Read]]="","N/A",Table1[[#This Row],[Std Read]]+Table1[[#This Row],[Std Ucty]])</f>
        <v>N/A</v>
      </c>
      <c r="Z29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6" s="1" t="str">
        <f>IF(Table1[[#This Row],[Spec Type]]="","N/A",Table1[[#This Row],[Spec Type]])</f>
        <v>±</v>
      </c>
      <c r="AC2906" s="1" t="str">
        <f>IF(Table1[[#This Row],[Spec Type2]]="N/A","N/A",IF(AND(Table1[[#This Row],[DUT Adj Read]]&gt;=Table1[[#This Row],[Low Tol]],Table1[[#This Row],[DUT Adj Read]]&lt;=Table1[[#This Row],[High Tol]]),"Pass","Fail"))</f>
        <v>Fail</v>
      </c>
      <c r="AD2906" s="1" t="str">
        <f>IF(AND(Table1[[#This Row],[Spec Type2]]="N/A",Table1[[#This Row],[DUT Adj Read]]="N/A",Table1[[#This Row],[Std Adj Read]]="N/A"),"N/A",IF(Table1[[#This Row],[DUT Adj Read]]="N/A",IF(Table1[[#This Row],[Std Adj Read]]&gt;Table1[[#This Row],[Low Tol]],"Pass","Fail"),IF(Table1[[#This Row],[DUT Adj Read]]&gt;Table1[[#This Row],[Low Tol]],"Pass","Fail")))</f>
        <v>Pass</v>
      </c>
      <c r="AE2906" s="1" t="str">
        <f>IF(AND(Table1[[#This Row],[Spec Type2]]="N/A",Table1[[#This Row],[DUT Adj Read]]="N/A",Table1[[#This Row],[Std Adj Read]]="N/A"),"N/A",IF(Table1[[#This Row],[DUT Adj Read]]="N/A",IF(Table1[[#This Row],[Std Adj Read]]&lt;Table1[[#This Row],[High Tol]],"Pass","Fail"),IF(Table1[[#This Row],[DUT Adj Read]]&lt;Table1[[#This Row],[High Tol]],"Pass","Fail")))</f>
        <v>Fail</v>
      </c>
      <c r="AF2906" s="1" t="str">
        <f>IF(AND(Table1[[#This Row],[Spec Type2]]="N/A",Table1[[#This Row],[DUT Adj Read]]="N/A",Table1[[#This Row],[Std Adj Read]]="N/A"),"N/A",IF(Table1[[#This Row],[DUT Adj Read]]="N/A",IF(Table1[[#This Row],[Std Adj Read]]&gt;=Table1[[#This Row],[Low Tol]],"Pass","Fail"),IF(Table1[[#This Row],[DUT Adj Read]]&gt;=Table1[[#This Row],[Low Tol]],"Pass","Fail")))</f>
        <v>Pass</v>
      </c>
      <c r="AG2906" s="1" t="str">
        <f>IF(AND(Table1[[#This Row],[Spec Type2]]="N/A",Table1[[#This Row],[DUT Adj Read]]="N/A",Table1[[#This Row],[Std Adj Read]]="N/A"),"N/A",IF(Table1[[#This Row],[DUT Adj Read]]="N/A",IF(Table1[[#This Row],[Std Adj Read]]&lt;=Table1[[#This Row],[High Tol]],"Pass","Fail"),IF(Table1[[#This Row],[DUT Adj Read]]&lt;=Table1[[#This Row],[High Tol]],"Pass","Fail")))</f>
        <v>Fail</v>
      </c>
      <c r="AH29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6" s="1" t="b">
        <v>0</v>
      </c>
      <c r="AN2906" s="1" t="b">
        <v>0</v>
      </c>
      <c r="AO2906" s="1" t="b">
        <v>0</v>
      </c>
    </row>
    <row r="2907" spans="1:41" x14ac:dyDescent="0.25">
      <c r="A2907" s="10"/>
      <c r="B2907" s="10"/>
      <c r="C2907" s="10"/>
      <c r="D2907" s="10"/>
      <c r="E2907" s="10"/>
      <c r="F2907" s="10"/>
      <c r="G2907" s="10"/>
      <c r="H2907" s="10"/>
      <c r="I2907" s="1" t="str">
        <f t="shared" si="135"/>
        <v/>
      </c>
      <c r="J2907" s="1" t="s">
        <v>35</v>
      </c>
      <c r="K2907" s="1" t="str">
        <f t="shared" si="136"/>
        <v/>
      </c>
      <c r="L2907" s="1" t="str">
        <f t="shared" si="137"/>
        <v/>
      </c>
      <c r="M2907" s="1">
        <f>IF(OR(Table1[[#This Row],[Std Nom]]="",Table1[[#This Row],[Std Read]]=""),0,Table1[[#This Row],[Std Nom]]-Table1[[#This Row],[Std Read]])</f>
        <v>0</v>
      </c>
      <c r="N2907" s="1">
        <f>IF(Calculations!$F$5="ACCREDITED 17025 WITH UNCERTAINTIES",$N$10,0)</f>
        <v>0</v>
      </c>
      <c r="O2907" s="1" t="str">
        <f>IFERROR(Table1[[#This Row],[Std Nom]]-(_xlfn.XLOOKUP(Table1[[#This Row],[Manufacturer]]&amp;" "&amp;Table1[[#This Row],[Model]],Table13[MFR &amp; MDL],Table13[Tolerance % CW ],"")/100*Table1[[#This Row],[Std Nom]]),"")</f>
        <v/>
      </c>
      <c r="P2907" s="1" t="str">
        <f>IFERROR(Table1[[#This Row],[Std Nom]]+(_xlfn.XLOOKUP(Table1[[#This Row],[Manufacturer]]&amp;" "&amp;Table1[[#This Row],[Model]],Table13[MFR &amp; MDL],Table13[Tolerance % CW ],"")/100*Table1[[#This Row],[Std Nom]]),"")</f>
        <v/>
      </c>
      <c r="Q2907" s="1" t="e">
        <f>Table1[[#This Row],[High Tol]]-Table1[[#This Row],[Low Tol]]</f>
        <v>#VALUE!</v>
      </c>
      <c r="R2907" s="1">
        <f>2*Table1[[#This Row],[Std Error]]</f>
        <v>0</v>
      </c>
      <c r="S2907" s="1" t="str">
        <f>IF(Table1[[#This Row],[High Tol]]="","N/A",IFERROR(ABS(Table1[[#This Row],[Tol Span]]/Table1[[#This Row],[Error Span]]),"N/A"))</f>
        <v>N/A</v>
      </c>
      <c r="T2907" s="1" t="str">
        <f>IF(OR(Table1[[#This Row],[Low Tol]]="",Table1[[#This Row],[High Tol]]=""),"Needs Analysis",IF(Table1[[#This Row],[Ratio]]&gt;=4,"Not Significant",IF(Table1[[#This Row],[Ratio]]&gt;=2,"Semi-Significant","Significant")))</f>
        <v>Needs Analysis</v>
      </c>
      <c r="W2907" s="1">
        <f>IF(Table1[[#This Row],[Cal Type]]&lt;&gt;"ACCREDITED 17025 WITH UNCERTAINTIES",0,"")</f>
        <v>0</v>
      </c>
      <c r="X2907" s="1" t="str">
        <f>IF(Table1[[#This Row],[DUT Read]]="","N/A",Table1[[#This Row],[Std Error]]+Table1[[#This Row],[DUT Read]]+Table1[[#This Row],[DUT Ucty]])</f>
        <v>N/A</v>
      </c>
      <c r="Y2907" s="1" t="str">
        <f>IF(Table1[[#This Row],[Std Read]]="","N/A",Table1[[#This Row],[Std Read]]+Table1[[#This Row],[Std Ucty]])</f>
        <v>N/A</v>
      </c>
      <c r="Z29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7" s="1" t="str">
        <f>IF(Table1[[#This Row],[Spec Type]]="","N/A",Table1[[#This Row],[Spec Type]])</f>
        <v>±</v>
      </c>
      <c r="AC2907" s="1" t="str">
        <f>IF(Table1[[#This Row],[Spec Type2]]="N/A","N/A",IF(AND(Table1[[#This Row],[DUT Adj Read]]&gt;=Table1[[#This Row],[Low Tol]],Table1[[#This Row],[DUT Adj Read]]&lt;=Table1[[#This Row],[High Tol]]),"Pass","Fail"))</f>
        <v>Fail</v>
      </c>
      <c r="AD2907" s="1" t="str">
        <f>IF(AND(Table1[[#This Row],[Spec Type2]]="N/A",Table1[[#This Row],[DUT Adj Read]]="N/A",Table1[[#This Row],[Std Adj Read]]="N/A"),"N/A",IF(Table1[[#This Row],[DUT Adj Read]]="N/A",IF(Table1[[#This Row],[Std Adj Read]]&gt;Table1[[#This Row],[Low Tol]],"Pass","Fail"),IF(Table1[[#This Row],[DUT Adj Read]]&gt;Table1[[#This Row],[Low Tol]],"Pass","Fail")))</f>
        <v>Pass</v>
      </c>
      <c r="AE2907" s="1" t="str">
        <f>IF(AND(Table1[[#This Row],[Spec Type2]]="N/A",Table1[[#This Row],[DUT Adj Read]]="N/A",Table1[[#This Row],[Std Adj Read]]="N/A"),"N/A",IF(Table1[[#This Row],[DUT Adj Read]]="N/A",IF(Table1[[#This Row],[Std Adj Read]]&lt;Table1[[#This Row],[High Tol]],"Pass","Fail"),IF(Table1[[#This Row],[DUT Adj Read]]&lt;Table1[[#This Row],[High Tol]],"Pass","Fail")))</f>
        <v>Fail</v>
      </c>
      <c r="AF2907" s="1" t="str">
        <f>IF(AND(Table1[[#This Row],[Spec Type2]]="N/A",Table1[[#This Row],[DUT Adj Read]]="N/A",Table1[[#This Row],[Std Adj Read]]="N/A"),"N/A",IF(Table1[[#This Row],[DUT Adj Read]]="N/A",IF(Table1[[#This Row],[Std Adj Read]]&gt;=Table1[[#This Row],[Low Tol]],"Pass","Fail"),IF(Table1[[#This Row],[DUT Adj Read]]&gt;=Table1[[#This Row],[Low Tol]],"Pass","Fail")))</f>
        <v>Pass</v>
      </c>
      <c r="AG2907" s="1" t="str">
        <f>IF(AND(Table1[[#This Row],[Spec Type2]]="N/A",Table1[[#This Row],[DUT Adj Read]]="N/A",Table1[[#This Row],[Std Adj Read]]="N/A"),"N/A",IF(Table1[[#This Row],[DUT Adj Read]]="N/A",IF(Table1[[#This Row],[Std Adj Read]]&lt;=Table1[[#This Row],[High Tol]],"Pass","Fail"),IF(Table1[[#This Row],[DUT Adj Read]]&lt;=Table1[[#This Row],[High Tol]],"Pass","Fail")))</f>
        <v>Fail</v>
      </c>
      <c r="AH29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7" s="1" t="b">
        <v>0</v>
      </c>
      <c r="AN2907" s="1" t="b">
        <v>0</v>
      </c>
      <c r="AO2907" s="1" t="b">
        <v>0</v>
      </c>
    </row>
    <row r="2908" spans="1:41" x14ac:dyDescent="0.25">
      <c r="A2908" s="10"/>
      <c r="B2908" s="10"/>
      <c r="C2908" s="10"/>
      <c r="D2908" s="10"/>
      <c r="E2908" s="10"/>
      <c r="F2908" s="10"/>
      <c r="G2908" s="10"/>
      <c r="H2908" s="10"/>
      <c r="I2908" s="1" t="str">
        <f t="shared" si="135"/>
        <v/>
      </c>
      <c r="J2908" s="1" t="s">
        <v>35</v>
      </c>
      <c r="K2908" s="1" t="str">
        <f t="shared" si="136"/>
        <v/>
      </c>
      <c r="L2908" s="1" t="str">
        <f t="shared" si="137"/>
        <v/>
      </c>
      <c r="M2908" s="1">
        <f>IF(OR(Table1[[#This Row],[Std Nom]]="",Table1[[#This Row],[Std Read]]=""),0,Table1[[#This Row],[Std Nom]]-Table1[[#This Row],[Std Read]])</f>
        <v>0</v>
      </c>
      <c r="N2908" s="1">
        <f>IF(Calculations!$F$5="ACCREDITED 17025 WITH UNCERTAINTIES",$N$10,0)</f>
        <v>0</v>
      </c>
      <c r="O2908" s="1" t="str">
        <f>IFERROR(Table1[[#This Row],[Std Nom]]-(_xlfn.XLOOKUP(Table1[[#This Row],[Manufacturer]]&amp;" "&amp;Table1[[#This Row],[Model]],Table13[MFR &amp; MDL],Table13[Tolerance % CW ],"")/100*Table1[[#This Row],[Std Nom]]),"")</f>
        <v/>
      </c>
      <c r="P2908" s="1" t="str">
        <f>IFERROR(Table1[[#This Row],[Std Nom]]+(_xlfn.XLOOKUP(Table1[[#This Row],[Manufacturer]]&amp;" "&amp;Table1[[#This Row],[Model]],Table13[MFR &amp; MDL],Table13[Tolerance % CW ],"")/100*Table1[[#This Row],[Std Nom]]),"")</f>
        <v/>
      </c>
      <c r="Q2908" s="1" t="e">
        <f>Table1[[#This Row],[High Tol]]-Table1[[#This Row],[Low Tol]]</f>
        <v>#VALUE!</v>
      </c>
      <c r="R2908" s="1">
        <f>2*Table1[[#This Row],[Std Error]]</f>
        <v>0</v>
      </c>
      <c r="S2908" s="1" t="str">
        <f>IF(Table1[[#This Row],[High Tol]]="","N/A",IFERROR(ABS(Table1[[#This Row],[Tol Span]]/Table1[[#This Row],[Error Span]]),"N/A"))</f>
        <v>N/A</v>
      </c>
      <c r="T2908" s="1" t="str">
        <f>IF(OR(Table1[[#This Row],[Low Tol]]="",Table1[[#This Row],[High Tol]]=""),"Needs Analysis",IF(Table1[[#This Row],[Ratio]]&gt;=4,"Not Significant",IF(Table1[[#This Row],[Ratio]]&gt;=2,"Semi-Significant","Significant")))</f>
        <v>Needs Analysis</v>
      </c>
      <c r="W2908" s="1">
        <f>IF(Table1[[#This Row],[Cal Type]]&lt;&gt;"ACCREDITED 17025 WITH UNCERTAINTIES",0,"")</f>
        <v>0</v>
      </c>
      <c r="X2908" s="1" t="str">
        <f>IF(Table1[[#This Row],[DUT Read]]="","N/A",Table1[[#This Row],[Std Error]]+Table1[[#This Row],[DUT Read]]+Table1[[#This Row],[DUT Ucty]])</f>
        <v>N/A</v>
      </c>
      <c r="Y2908" s="1" t="str">
        <f>IF(Table1[[#This Row],[Std Read]]="","N/A",Table1[[#This Row],[Std Read]]+Table1[[#This Row],[Std Ucty]])</f>
        <v>N/A</v>
      </c>
      <c r="Z29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8" s="1" t="str">
        <f>IF(Table1[[#This Row],[Spec Type]]="","N/A",Table1[[#This Row],[Spec Type]])</f>
        <v>±</v>
      </c>
      <c r="AC2908" s="1" t="str">
        <f>IF(Table1[[#This Row],[Spec Type2]]="N/A","N/A",IF(AND(Table1[[#This Row],[DUT Adj Read]]&gt;=Table1[[#This Row],[Low Tol]],Table1[[#This Row],[DUT Adj Read]]&lt;=Table1[[#This Row],[High Tol]]),"Pass","Fail"))</f>
        <v>Fail</v>
      </c>
      <c r="AD2908" s="1" t="str">
        <f>IF(AND(Table1[[#This Row],[Spec Type2]]="N/A",Table1[[#This Row],[DUT Adj Read]]="N/A",Table1[[#This Row],[Std Adj Read]]="N/A"),"N/A",IF(Table1[[#This Row],[DUT Adj Read]]="N/A",IF(Table1[[#This Row],[Std Adj Read]]&gt;Table1[[#This Row],[Low Tol]],"Pass","Fail"),IF(Table1[[#This Row],[DUT Adj Read]]&gt;Table1[[#This Row],[Low Tol]],"Pass","Fail")))</f>
        <v>Pass</v>
      </c>
      <c r="AE2908" s="1" t="str">
        <f>IF(AND(Table1[[#This Row],[Spec Type2]]="N/A",Table1[[#This Row],[DUT Adj Read]]="N/A",Table1[[#This Row],[Std Adj Read]]="N/A"),"N/A",IF(Table1[[#This Row],[DUT Adj Read]]="N/A",IF(Table1[[#This Row],[Std Adj Read]]&lt;Table1[[#This Row],[High Tol]],"Pass","Fail"),IF(Table1[[#This Row],[DUT Adj Read]]&lt;Table1[[#This Row],[High Tol]],"Pass","Fail")))</f>
        <v>Fail</v>
      </c>
      <c r="AF2908" s="1" t="str">
        <f>IF(AND(Table1[[#This Row],[Spec Type2]]="N/A",Table1[[#This Row],[DUT Adj Read]]="N/A",Table1[[#This Row],[Std Adj Read]]="N/A"),"N/A",IF(Table1[[#This Row],[DUT Adj Read]]="N/A",IF(Table1[[#This Row],[Std Adj Read]]&gt;=Table1[[#This Row],[Low Tol]],"Pass","Fail"),IF(Table1[[#This Row],[DUT Adj Read]]&gt;=Table1[[#This Row],[Low Tol]],"Pass","Fail")))</f>
        <v>Pass</v>
      </c>
      <c r="AG2908" s="1" t="str">
        <f>IF(AND(Table1[[#This Row],[Spec Type2]]="N/A",Table1[[#This Row],[DUT Adj Read]]="N/A",Table1[[#This Row],[Std Adj Read]]="N/A"),"N/A",IF(Table1[[#This Row],[DUT Adj Read]]="N/A",IF(Table1[[#This Row],[Std Adj Read]]&lt;=Table1[[#This Row],[High Tol]],"Pass","Fail"),IF(Table1[[#This Row],[DUT Adj Read]]&lt;=Table1[[#This Row],[High Tol]],"Pass","Fail")))</f>
        <v>Fail</v>
      </c>
      <c r="AH29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8" s="1" t="b">
        <v>0</v>
      </c>
      <c r="AN2908" s="1" t="b">
        <v>0</v>
      </c>
      <c r="AO2908" s="1" t="b">
        <v>0</v>
      </c>
    </row>
    <row r="2909" spans="1:41" x14ac:dyDescent="0.25">
      <c r="A2909" s="10"/>
      <c r="B2909" s="10"/>
      <c r="C2909" s="10"/>
      <c r="D2909" s="10"/>
      <c r="E2909" s="10"/>
      <c r="F2909" s="10"/>
      <c r="G2909" s="10"/>
      <c r="H2909" s="10"/>
      <c r="I2909" s="1" t="str">
        <f t="shared" si="135"/>
        <v/>
      </c>
      <c r="J2909" s="1" t="s">
        <v>35</v>
      </c>
      <c r="K2909" s="1" t="str">
        <f t="shared" si="136"/>
        <v/>
      </c>
      <c r="L2909" s="1" t="str">
        <f t="shared" si="137"/>
        <v/>
      </c>
      <c r="M2909" s="1">
        <f>IF(OR(Table1[[#This Row],[Std Nom]]="",Table1[[#This Row],[Std Read]]=""),0,Table1[[#This Row],[Std Nom]]-Table1[[#This Row],[Std Read]])</f>
        <v>0</v>
      </c>
      <c r="N2909" s="1">
        <f>IF(Calculations!$F$5="ACCREDITED 17025 WITH UNCERTAINTIES",$N$10,0)</f>
        <v>0</v>
      </c>
      <c r="O2909" s="1" t="str">
        <f>IFERROR(Table1[[#This Row],[Std Nom]]-(_xlfn.XLOOKUP(Table1[[#This Row],[Manufacturer]]&amp;" "&amp;Table1[[#This Row],[Model]],Table13[MFR &amp; MDL],Table13[Tolerance % CW ],"")/100*Table1[[#This Row],[Std Nom]]),"")</f>
        <v/>
      </c>
      <c r="P2909" s="1" t="str">
        <f>IFERROR(Table1[[#This Row],[Std Nom]]+(_xlfn.XLOOKUP(Table1[[#This Row],[Manufacturer]]&amp;" "&amp;Table1[[#This Row],[Model]],Table13[MFR &amp; MDL],Table13[Tolerance % CW ],"")/100*Table1[[#This Row],[Std Nom]]),"")</f>
        <v/>
      </c>
      <c r="Q2909" s="1" t="e">
        <f>Table1[[#This Row],[High Tol]]-Table1[[#This Row],[Low Tol]]</f>
        <v>#VALUE!</v>
      </c>
      <c r="R2909" s="1">
        <f>2*Table1[[#This Row],[Std Error]]</f>
        <v>0</v>
      </c>
      <c r="S2909" s="1" t="str">
        <f>IF(Table1[[#This Row],[High Tol]]="","N/A",IFERROR(ABS(Table1[[#This Row],[Tol Span]]/Table1[[#This Row],[Error Span]]),"N/A"))</f>
        <v>N/A</v>
      </c>
      <c r="T2909" s="1" t="str">
        <f>IF(OR(Table1[[#This Row],[Low Tol]]="",Table1[[#This Row],[High Tol]]=""),"Needs Analysis",IF(Table1[[#This Row],[Ratio]]&gt;=4,"Not Significant",IF(Table1[[#This Row],[Ratio]]&gt;=2,"Semi-Significant","Significant")))</f>
        <v>Needs Analysis</v>
      </c>
      <c r="W2909" s="1">
        <f>IF(Table1[[#This Row],[Cal Type]]&lt;&gt;"ACCREDITED 17025 WITH UNCERTAINTIES",0,"")</f>
        <v>0</v>
      </c>
      <c r="X2909" s="1" t="str">
        <f>IF(Table1[[#This Row],[DUT Read]]="","N/A",Table1[[#This Row],[Std Error]]+Table1[[#This Row],[DUT Read]]+Table1[[#This Row],[DUT Ucty]])</f>
        <v>N/A</v>
      </c>
      <c r="Y2909" s="1" t="str">
        <f>IF(Table1[[#This Row],[Std Read]]="","N/A",Table1[[#This Row],[Std Read]]+Table1[[#This Row],[Std Ucty]])</f>
        <v>N/A</v>
      </c>
      <c r="Z29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9" s="1" t="str">
        <f>IF(Table1[[#This Row],[Spec Type]]="","N/A",Table1[[#This Row],[Spec Type]])</f>
        <v>±</v>
      </c>
      <c r="AC2909" s="1" t="str">
        <f>IF(Table1[[#This Row],[Spec Type2]]="N/A","N/A",IF(AND(Table1[[#This Row],[DUT Adj Read]]&gt;=Table1[[#This Row],[Low Tol]],Table1[[#This Row],[DUT Adj Read]]&lt;=Table1[[#This Row],[High Tol]]),"Pass","Fail"))</f>
        <v>Fail</v>
      </c>
      <c r="AD2909" s="1" t="str">
        <f>IF(AND(Table1[[#This Row],[Spec Type2]]="N/A",Table1[[#This Row],[DUT Adj Read]]="N/A",Table1[[#This Row],[Std Adj Read]]="N/A"),"N/A",IF(Table1[[#This Row],[DUT Adj Read]]="N/A",IF(Table1[[#This Row],[Std Adj Read]]&gt;Table1[[#This Row],[Low Tol]],"Pass","Fail"),IF(Table1[[#This Row],[DUT Adj Read]]&gt;Table1[[#This Row],[Low Tol]],"Pass","Fail")))</f>
        <v>Pass</v>
      </c>
      <c r="AE2909" s="1" t="str">
        <f>IF(AND(Table1[[#This Row],[Spec Type2]]="N/A",Table1[[#This Row],[DUT Adj Read]]="N/A",Table1[[#This Row],[Std Adj Read]]="N/A"),"N/A",IF(Table1[[#This Row],[DUT Adj Read]]="N/A",IF(Table1[[#This Row],[Std Adj Read]]&lt;Table1[[#This Row],[High Tol]],"Pass","Fail"),IF(Table1[[#This Row],[DUT Adj Read]]&lt;Table1[[#This Row],[High Tol]],"Pass","Fail")))</f>
        <v>Fail</v>
      </c>
      <c r="AF2909" s="1" t="str">
        <f>IF(AND(Table1[[#This Row],[Spec Type2]]="N/A",Table1[[#This Row],[DUT Adj Read]]="N/A",Table1[[#This Row],[Std Adj Read]]="N/A"),"N/A",IF(Table1[[#This Row],[DUT Adj Read]]="N/A",IF(Table1[[#This Row],[Std Adj Read]]&gt;=Table1[[#This Row],[Low Tol]],"Pass","Fail"),IF(Table1[[#This Row],[DUT Adj Read]]&gt;=Table1[[#This Row],[Low Tol]],"Pass","Fail")))</f>
        <v>Pass</v>
      </c>
      <c r="AG2909" s="1" t="str">
        <f>IF(AND(Table1[[#This Row],[Spec Type2]]="N/A",Table1[[#This Row],[DUT Adj Read]]="N/A",Table1[[#This Row],[Std Adj Read]]="N/A"),"N/A",IF(Table1[[#This Row],[DUT Adj Read]]="N/A",IF(Table1[[#This Row],[Std Adj Read]]&lt;=Table1[[#This Row],[High Tol]],"Pass","Fail"),IF(Table1[[#This Row],[DUT Adj Read]]&lt;=Table1[[#This Row],[High Tol]],"Pass","Fail")))</f>
        <v>Fail</v>
      </c>
      <c r="AH29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9" s="1" t="b">
        <v>0</v>
      </c>
      <c r="AN2909" s="1" t="b">
        <v>0</v>
      </c>
      <c r="AO2909" s="1" t="b">
        <v>0</v>
      </c>
    </row>
    <row r="2910" spans="1:41" x14ac:dyDescent="0.25">
      <c r="A2910" s="10"/>
      <c r="B2910" s="10"/>
      <c r="C2910" s="10"/>
      <c r="D2910" s="10"/>
      <c r="E2910" s="10"/>
      <c r="F2910" s="10"/>
      <c r="G2910" s="10"/>
      <c r="H2910" s="10"/>
      <c r="I2910" s="1" t="str">
        <f t="shared" si="135"/>
        <v/>
      </c>
      <c r="J2910" s="1" t="s">
        <v>35</v>
      </c>
      <c r="K2910" s="1" t="str">
        <f t="shared" si="136"/>
        <v/>
      </c>
      <c r="L2910" s="1" t="str">
        <f t="shared" si="137"/>
        <v/>
      </c>
      <c r="M2910" s="1">
        <f>IF(OR(Table1[[#This Row],[Std Nom]]="",Table1[[#This Row],[Std Read]]=""),0,Table1[[#This Row],[Std Nom]]-Table1[[#This Row],[Std Read]])</f>
        <v>0</v>
      </c>
      <c r="N2910" s="1">
        <f>IF(Calculations!$F$5="ACCREDITED 17025 WITH UNCERTAINTIES",$N$10,0)</f>
        <v>0</v>
      </c>
      <c r="O2910" s="1" t="str">
        <f>IFERROR(Table1[[#This Row],[Std Nom]]-(_xlfn.XLOOKUP(Table1[[#This Row],[Manufacturer]]&amp;" "&amp;Table1[[#This Row],[Model]],Table13[MFR &amp; MDL],Table13[Tolerance % CW ],"")/100*Table1[[#This Row],[Std Nom]]),"")</f>
        <v/>
      </c>
      <c r="P2910" s="1" t="str">
        <f>IFERROR(Table1[[#This Row],[Std Nom]]+(_xlfn.XLOOKUP(Table1[[#This Row],[Manufacturer]]&amp;" "&amp;Table1[[#This Row],[Model]],Table13[MFR &amp; MDL],Table13[Tolerance % CW ],"")/100*Table1[[#This Row],[Std Nom]]),"")</f>
        <v/>
      </c>
      <c r="Q2910" s="1" t="e">
        <f>Table1[[#This Row],[High Tol]]-Table1[[#This Row],[Low Tol]]</f>
        <v>#VALUE!</v>
      </c>
      <c r="R2910" s="1">
        <f>2*Table1[[#This Row],[Std Error]]</f>
        <v>0</v>
      </c>
      <c r="S2910" s="1" t="str">
        <f>IF(Table1[[#This Row],[High Tol]]="","N/A",IFERROR(ABS(Table1[[#This Row],[Tol Span]]/Table1[[#This Row],[Error Span]]),"N/A"))</f>
        <v>N/A</v>
      </c>
      <c r="T2910" s="1" t="str">
        <f>IF(OR(Table1[[#This Row],[Low Tol]]="",Table1[[#This Row],[High Tol]]=""),"Needs Analysis",IF(Table1[[#This Row],[Ratio]]&gt;=4,"Not Significant",IF(Table1[[#This Row],[Ratio]]&gt;=2,"Semi-Significant","Significant")))</f>
        <v>Needs Analysis</v>
      </c>
      <c r="W2910" s="1">
        <f>IF(Table1[[#This Row],[Cal Type]]&lt;&gt;"ACCREDITED 17025 WITH UNCERTAINTIES",0,"")</f>
        <v>0</v>
      </c>
      <c r="X2910" s="1" t="str">
        <f>IF(Table1[[#This Row],[DUT Read]]="","N/A",Table1[[#This Row],[Std Error]]+Table1[[#This Row],[DUT Read]]+Table1[[#This Row],[DUT Ucty]])</f>
        <v>N/A</v>
      </c>
      <c r="Y2910" s="1" t="str">
        <f>IF(Table1[[#This Row],[Std Read]]="","N/A",Table1[[#This Row],[Std Read]]+Table1[[#This Row],[Std Ucty]])</f>
        <v>N/A</v>
      </c>
      <c r="Z29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0" s="1" t="str">
        <f>IF(Table1[[#This Row],[Spec Type]]="","N/A",Table1[[#This Row],[Spec Type]])</f>
        <v>±</v>
      </c>
      <c r="AC2910" s="1" t="str">
        <f>IF(Table1[[#This Row],[Spec Type2]]="N/A","N/A",IF(AND(Table1[[#This Row],[DUT Adj Read]]&gt;=Table1[[#This Row],[Low Tol]],Table1[[#This Row],[DUT Adj Read]]&lt;=Table1[[#This Row],[High Tol]]),"Pass","Fail"))</f>
        <v>Fail</v>
      </c>
      <c r="AD2910" s="1" t="str">
        <f>IF(AND(Table1[[#This Row],[Spec Type2]]="N/A",Table1[[#This Row],[DUT Adj Read]]="N/A",Table1[[#This Row],[Std Adj Read]]="N/A"),"N/A",IF(Table1[[#This Row],[DUT Adj Read]]="N/A",IF(Table1[[#This Row],[Std Adj Read]]&gt;Table1[[#This Row],[Low Tol]],"Pass","Fail"),IF(Table1[[#This Row],[DUT Adj Read]]&gt;Table1[[#This Row],[Low Tol]],"Pass","Fail")))</f>
        <v>Pass</v>
      </c>
      <c r="AE2910" s="1" t="str">
        <f>IF(AND(Table1[[#This Row],[Spec Type2]]="N/A",Table1[[#This Row],[DUT Adj Read]]="N/A",Table1[[#This Row],[Std Adj Read]]="N/A"),"N/A",IF(Table1[[#This Row],[DUT Adj Read]]="N/A",IF(Table1[[#This Row],[Std Adj Read]]&lt;Table1[[#This Row],[High Tol]],"Pass","Fail"),IF(Table1[[#This Row],[DUT Adj Read]]&lt;Table1[[#This Row],[High Tol]],"Pass","Fail")))</f>
        <v>Fail</v>
      </c>
      <c r="AF2910" s="1" t="str">
        <f>IF(AND(Table1[[#This Row],[Spec Type2]]="N/A",Table1[[#This Row],[DUT Adj Read]]="N/A",Table1[[#This Row],[Std Adj Read]]="N/A"),"N/A",IF(Table1[[#This Row],[DUT Adj Read]]="N/A",IF(Table1[[#This Row],[Std Adj Read]]&gt;=Table1[[#This Row],[Low Tol]],"Pass","Fail"),IF(Table1[[#This Row],[DUT Adj Read]]&gt;=Table1[[#This Row],[Low Tol]],"Pass","Fail")))</f>
        <v>Pass</v>
      </c>
      <c r="AG2910" s="1" t="str">
        <f>IF(AND(Table1[[#This Row],[Spec Type2]]="N/A",Table1[[#This Row],[DUT Adj Read]]="N/A",Table1[[#This Row],[Std Adj Read]]="N/A"),"N/A",IF(Table1[[#This Row],[DUT Adj Read]]="N/A",IF(Table1[[#This Row],[Std Adj Read]]&lt;=Table1[[#This Row],[High Tol]],"Pass","Fail"),IF(Table1[[#This Row],[DUT Adj Read]]&lt;=Table1[[#This Row],[High Tol]],"Pass","Fail")))</f>
        <v>Fail</v>
      </c>
      <c r="AH29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0" s="1" t="b">
        <v>0</v>
      </c>
      <c r="AN2910" s="1" t="b">
        <v>0</v>
      </c>
      <c r="AO2910" s="1" t="b">
        <v>0</v>
      </c>
    </row>
    <row r="2911" spans="1:41" x14ac:dyDescent="0.25">
      <c r="A2911" s="10"/>
      <c r="B2911" s="10"/>
      <c r="C2911" s="10"/>
      <c r="D2911" s="10"/>
      <c r="E2911" s="10"/>
      <c r="F2911" s="10"/>
      <c r="G2911" s="10"/>
      <c r="H2911" s="10"/>
      <c r="I2911" s="1" t="str">
        <f t="shared" si="135"/>
        <v/>
      </c>
      <c r="J2911" s="1" t="s">
        <v>35</v>
      </c>
      <c r="K2911" s="1" t="str">
        <f t="shared" si="136"/>
        <v/>
      </c>
      <c r="L2911" s="1" t="str">
        <f t="shared" si="137"/>
        <v/>
      </c>
      <c r="M2911" s="1">
        <f>IF(OR(Table1[[#This Row],[Std Nom]]="",Table1[[#This Row],[Std Read]]=""),0,Table1[[#This Row],[Std Nom]]-Table1[[#This Row],[Std Read]])</f>
        <v>0</v>
      </c>
      <c r="N2911" s="1">
        <f>IF(Calculations!$F$5="ACCREDITED 17025 WITH UNCERTAINTIES",$N$10,0)</f>
        <v>0</v>
      </c>
      <c r="O2911" s="1" t="str">
        <f>IFERROR(Table1[[#This Row],[Std Nom]]-(_xlfn.XLOOKUP(Table1[[#This Row],[Manufacturer]]&amp;" "&amp;Table1[[#This Row],[Model]],Table13[MFR &amp; MDL],Table13[Tolerance % CW ],"")/100*Table1[[#This Row],[Std Nom]]),"")</f>
        <v/>
      </c>
      <c r="P2911" s="1" t="str">
        <f>IFERROR(Table1[[#This Row],[Std Nom]]+(_xlfn.XLOOKUP(Table1[[#This Row],[Manufacturer]]&amp;" "&amp;Table1[[#This Row],[Model]],Table13[MFR &amp; MDL],Table13[Tolerance % CW ],"")/100*Table1[[#This Row],[Std Nom]]),"")</f>
        <v/>
      </c>
      <c r="Q2911" s="1" t="e">
        <f>Table1[[#This Row],[High Tol]]-Table1[[#This Row],[Low Tol]]</f>
        <v>#VALUE!</v>
      </c>
      <c r="R2911" s="1">
        <f>2*Table1[[#This Row],[Std Error]]</f>
        <v>0</v>
      </c>
      <c r="S2911" s="1" t="str">
        <f>IF(Table1[[#This Row],[High Tol]]="","N/A",IFERROR(ABS(Table1[[#This Row],[Tol Span]]/Table1[[#This Row],[Error Span]]),"N/A"))</f>
        <v>N/A</v>
      </c>
      <c r="T2911" s="1" t="str">
        <f>IF(OR(Table1[[#This Row],[Low Tol]]="",Table1[[#This Row],[High Tol]]=""),"Needs Analysis",IF(Table1[[#This Row],[Ratio]]&gt;=4,"Not Significant",IF(Table1[[#This Row],[Ratio]]&gt;=2,"Semi-Significant","Significant")))</f>
        <v>Needs Analysis</v>
      </c>
      <c r="W2911" s="1">
        <f>IF(Table1[[#This Row],[Cal Type]]&lt;&gt;"ACCREDITED 17025 WITH UNCERTAINTIES",0,"")</f>
        <v>0</v>
      </c>
      <c r="X2911" s="1" t="str">
        <f>IF(Table1[[#This Row],[DUT Read]]="","N/A",Table1[[#This Row],[Std Error]]+Table1[[#This Row],[DUT Read]]+Table1[[#This Row],[DUT Ucty]])</f>
        <v>N/A</v>
      </c>
      <c r="Y2911" s="1" t="str">
        <f>IF(Table1[[#This Row],[Std Read]]="","N/A",Table1[[#This Row],[Std Read]]+Table1[[#This Row],[Std Ucty]])</f>
        <v>N/A</v>
      </c>
      <c r="Z29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1" s="1" t="str">
        <f>IF(Table1[[#This Row],[Spec Type]]="","N/A",Table1[[#This Row],[Spec Type]])</f>
        <v>±</v>
      </c>
      <c r="AC2911" s="1" t="str">
        <f>IF(Table1[[#This Row],[Spec Type2]]="N/A","N/A",IF(AND(Table1[[#This Row],[DUT Adj Read]]&gt;=Table1[[#This Row],[Low Tol]],Table1[[#This Row],[DUT Adj Read]]&lt;=Table1[[#This Row],[High Tol]]),"Pass","Fail"))</f>
        <v>Fail</v>
      </c>
      <c r="AD2911" s="1" t="str">
        <f>IF(AND(Table1[[#This Row],[Spec Type2]]="N/A",Table1[[#This Row],[DUT Adj Read]]="N/A",Table1[[#This Row],[Std Adj Read]]="N/A"),"N/A",IF(Table1[[#This Row],[DUT Adj Read]]="N/A",IF(Table1[[#This Row],[Std Adj Read]]&gt;Table1[[#This Row],[Low Tol]],"Pass","Fail"),IF(Table1[[#This Row],[DUT Adj Read]]&gt;Table1[[#This Row],[Low Tol]],"Pass","Fail")))</f>
        <v>Pass</v>
      </c>
      <c r="AE2911" s="1" t="str">
        <f>IF(AND(Table1[[#This Row],[Spec Type2]]="N/A",Table1[[#This Row],[DUT Adj Read]]="N/A",Table1[[#This Row],[Std Adj Read]]="N/A"),"N/A",IF(Table1[[#This Row],[DUT Adj Read]]="N/A",IF(Table1[[#This Row],[Std Adj Read]]&lt;Table1[[#This Row],[High Tol]],"Pass","Fail"),IF(Table1[[#This Row],[DUT Adj Read]]&lt;Table1[[#This Row],[High Tol]],"Pass","Fail")))</f>
        <v>Fail</v>
      </c>
      <c r="AF2911" s="1" t="str">
        <f>IF(AND(Table1[[#This Row],[Spec Type2]]="N/A",Table1[[#This Row],[DUT Adj Read]]="N/A",Table1[[#This Row],[Std Adj Read]]="N/A"),"N/A",IF(Table1[[#This Row],[DUT Adj Read]]="N/A",IF(Table1[[#This Row],[Std Adj Read]]&gt;=Table1[[#This Row],[Low Tol]],"Pass","Fail"),IF(Table1[[#This Row],[DUT Adj Read]]&gt;=Table1[[#This Row],[Low Tol]],"Pass","Fail")))</f>
        <v>Pass</v>
      </c>
      <c r="AG2911" s="1" t="str">
        <f>IF(AND(Table1[[#This Row],[Spec Type2]]="N/A",Table1[[#This Row],[DUT Adj Read]]="N/A",Table1[[#This Row],[Std Adj Read]]="N/A"),"N/A",IF(Table1[[#This Row],[DUT Adj Read]]="N/A",IF(Table1[[#This Row],[Std Adj Read]]&lt;=Table1[[#This Row],[High Tol]],"Pass","Fail"),IF(Table1[[#This Row],[DUT Adj Read]]&lt;=Table1[[#This Row],[High Tol]],"Pass","Fail")))</f>
        <v>Fail</v>
      </c>
      <c r="AH29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1" s="1" t="b">
        <v>0</v>
      </c>
      <c r="AN2911" s="1" t="b">
        <v>0</v>
      </c>
      <c r="AO2911" s="1" t="b">
        <v>0</v>
      </c>
    </row>
    <row r="2912" spans="1:41" x14ac:dyDescent="0.25">
      <c r="A2912" s="10"/>
      <c r="B2912" s="10"/>
      <c r="C2912" s="10"/>
      <c r="D2912" s="10"/>
      <c r="E2912" s="10"/>
      <c r="F2912" s="10"/>
      <c r="G2912" s="10"/>
      <c r="H2912" s="10"/>
      <c r="I2912" s="1" t="str">
        <f t="shared" si="135"/>
        <v/>
      </c>
      <c r="J2912" s="1" t="s">
        <v>35</v>
      </c>
      <c r="K2912" s="1" t="str">
        <f t="shared" si="136"/>
        <v/>
      </c>
      <c r="L2912" s="1" t="str">
        <f t="shared" si="137"/>
        <v/>
      </c>
      <c r="M2912" s="1">
        <f>IF(OR(Table1[[#This Row],[Std Nom]]="",Table1[[#This Row],[Std Read]]=""),0,Table1[[#This Row],[Std Nom]]-Table1[[#This Row],[Std Read]])</f>
        <v>0</v>
      </c>
      <c r="N2912" s="1">
        <f>IF(Calculations!$F$5="ACCREDITED 17025 WITH UNCERTAINTIES",$N$10,0)</f>
        <v>0</v>
      </c>
      <c r="O2912" s="1" t="str">
        <f>IFERROR(Table1[[#This Row],[Std Nom]]-(_xlfn.XLOOKUP(Table1[[#This Row],[Manufacturer]]&amp;" "&amp;Table1[[#This Row],[Model]],Table13[MFR &amp; MDL],Table13[Tolerance % CW ],"")/100*Table1[[#This Row],[Std Nom]]),"")</f>
        <v/>
      </c>
      <c r="P2912" s="1" t="str">
        <f>IFERROR(Table1[[#This Row],[Std Nom]]+(_xlfn.XLOOKUP(Table1[[#This Row],[Manufacturer]]&amp;" "&amp;Table1[[#This Row],[Model]],Table13[MFR &amp; MDL],Table13[Tolerance % CW ],"")/100*Table1[[#This Row],[Std Nom]]),"")</f>
        <v/>
      </c>
      <c r="Q2912" s="1" t="e">
        <f>Table1[[#This Row],[High Tol]]-Table1[[#This Row],[Low Tol]]</f>
        <v>#VALUE!</v>
      </c>
      <c r="R2912" s="1">
        <f>2*Table1[[#This Row],[Std Error]]</f>
        <v>0</v>
      </c>
      <c r="S2912" s="1" t="str">
        <f>IF(Table1[[#This Row],[High Tol]]="","N/A",IFERROR(ABS(Table1[[#This Row],[Tol Span]]/Table1[[#This Row],[Error Span]]),"N/A"))</f>
        <v>N/A</v>
      </c>
      <c r="T2912" s="1" t="str">
        <f>IF(OR(Table1[[#This Row],[Low Tol]]="",Table1[[#This Row],[High Tol]]=""),"Needs Analysis",IF(Table1[[#This Row],[Ratio]]&gt;=4,"Not Significant",IF(Table1[[#This Row],[Ratio]]&gt;=2,"Semi-Significant","Significant")))</f>
        <v>Needs Analysis</v>
      </c>
      <c r="W2912" s="1">
        <f>IF(Table1[[#This Row],[Cal Type]]&lt;&gt;"ACCREDITED 17025 WITH UNCERTAINTIES",0,"")</f>
        <v>0</v>
      </c>
      <c r="X2912" s="1" t="str">
        <f>IF(Table1[[#This Row],[DUT Read]]="","N/A",Table1[[#This Row],[Std Error]]+Table1[[#This Row],[DUT Read]]+Table1[[#This Row],[DUT Ucty]])</f>
        <v>N/A</v>
      </c>
      <c r="Y2912" s="1" t="str">
        <f>IF(Table1[[#This Row],[Std Read]]="","N/A",Table1[[#This Row],[Std Read]]+Table1[[#This Row],[Std Ucty]])</f>
        <v>N/A</v>
      </c>
      <c r="Z29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2" s="1" t="str">
        <f>IF(Table1[[#This Row],[Spec Type]]="","N/A",Table1[[#This Row],[Spec Type]])</f>
        <v>±</v>
      </c>
      <c r="AC2912" s="1" t="str">
        <f>IF(Table1[[#This Row],[Spec Type2]]="N/A","N/A",IF(AND(Table1[[#This Row],[DUT Adj Read]]&gt;=Table1[[#This Row],[Low Tol]],Table1[[#This Row],[DUT Adj Read]]&lt;=Table1[[#This Row],[High Tol]]),"Pass","Fail"))</f>
        <v>Fail</v>
      </c>
      <c r="AD2912" s="1" t="str">
        <f>IF(AND(Table1[[#This Row],[Spec Type2]]="N/A",Table1[[#This Row],[DUT Adj Read]]="N/A",Table1[[#This Row],[Std Adj Read]]="N/A"),"N/A",IF(Table1[[#This Row],[DUT Adj Read]]="N/A",IF(Table1[[#This Row],[Std Adj Read]]&gt;Table1[[#This Row],[Low Tol]],"Pass","Fail"),IF(Table1[[#This Row],[DUT Adj Read]]&gt;Table1[[#This Row],[Low Tol]],"Pass","Fail")))</f>
        <v>Pass</v>
      </c>
      <c r="AE2912" s="1" t="str">
        <f>IF(AND(Table1[[#This Row],[Spec Type2]]="N/A",Table1[[#This Row],[DUT Adj Read]]="N/A",Table1[[#This Row],[Std Adj Read]]="N/A"),"N/A",IF(Table1[[#This Row],[DUT Adj Read]]="N/A",IF(Table1[[#This Row],[Std Adj Read]]&lt;Table1[[#This Row],[High Tol]],"Pass","Fail"),IF(Table1[[#This Row],[DUT Adj Read]]&lt;Table1[[#This Row],[High Tol]],"Pass","Fail")))</f>
        <v>Fail</v>
      </c>
      <c r="AF2912" s="1" t="str">
        <f>IF(AND(Table1[[#This Row],[Spec Type2]]="N/A",Table1[[#This Row],[DUT Adj Read]]="N/A",Table1[[#This Row],[Std Adj Read]]="N/A"),"N/A",IF(Table1[[#This Row],[DUT Adj Read]]="N/A",IF(Table1[[#This Row],[Std Adj Read]]&gt;=Table1[[#This Row],[Low Tol]],"Pass","Fail"),IF(Table1[[#This Row],[DUT Adj Read]]&gt;=Table1[[#This Row],[Low Tol]],"Pass","Fail")))</f>
        <v>Pass</v>
      </c>
      <c r="AG2912" s="1" t="str">
        <f>IF(AND(Table1[[#This Row],[Spec Type2]]="N/A",Table1[[#This Row],[DUT Adj Read]]="N/A",Table1[[#This Row],[Std Adj Read]]="N/A"),"N/A",IF(Table1[[#This Row],[DUT Adj Read]]="N/A",IF(Table1[[#This Row],[Std Adj Read]]&lt;=Table1[[#This Row],[High Tol]],"Pass","Fail"),IF(Table1[[#This Row],[DUT Adj Read]]&lt;=Table1[[#This Row],[High Tol]],"Pass","Fail")))</f>
        <v>Fail</v>
      </c>
      <c r="AH29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2" s="1" t="b">
        <v>0</v>
      </c>
      <c r="AN2912" s="1" t="b">
        <v>0</v>
      </c>
      <c r="AO2912" s="1" t="b">
        <v>0</v>
      </c>
    </row>
    <row r="2913" spans="1:41" x14ac:dyDescent="0.25">
      <c r="A2913" s="10"/>
      <c r="B2913" s="10"/>
      <c r="C2913" s="10"/>
      <c r="D2913" s="10"/>
      <c r="E2913" s="10"/>
      <c r="F2913" s="10"/>
      <c r="G2913" s="10"/>
      <c r="H2913" s="10"/>
      <c r="I2913" s="1" t="str">
        <f t="shared" si="135"/>
        <v/>
      </c>
      <c r="J2913" s="1" t="s">
        <v>35</v>
      </c>
      <c r="K2913" s="1" t="str">
        <f t="shared" si="136"/>
        <v/>
      </c>
      <c r="L2913" s="1" t="str">
        <f t="shared" si="137"/>
        <v/>
      </c>
      <c r="M2913" s="1">
        <f>IF(OR(Table1[[#This Row],[Std Nom]]="",Table1[[#This Row],[Std Read]]=""),0,Table1[[#This Row],[Std Nom]]-Table1[[#This Row],[Std Read]])</f>
        <v>0</v>
      </c>
      <c r="N2913" s="1">
        <f>IF(Calculations!$F$5="ACCREDITED 17025 WITH UNCERTAINTIES",$N$10,0)</f>
        <v>0</v>
      </c>
      <c r="O2913" s="1" t="str">
        <f>IFERROR(Table1[[#This Row],[Std Nom]]-(_xlfn.XLOOKUP(Table1[[#This Row],[Manufacturer]]&amp;" "&amp;Table1[[#This Row],[Model]],Table13[MFR &amp; MDL],Table13[Tolerance % CW ],"")/100*Table1[[#This Row],[Std Nom]]),"")</f>
        <v/>
      </c>
      <c r="P2913" s="1" t="str">
        <f>IFERROR(Table1[[#This Row],[Std Nom]]+(_xlfn.XLOOKUP(Table1[[#This Row],[Manufacturer]]&amp;" "&amp;Table1[[#This Row],[Model]],Table13[MFR &amp; MDL],Table13[Tolerance % CW ],"")/100*Table1[[#This Row],[Std Nom]]),"")</f>
        <v/>
      </c>
      <c r="Q2913" s="1" t="e">
        <f>Table1[[#This Row],[High Tol]]-Table1[[#This Row],[Low Tol]]</f>
        <v>#VALUE!</v>
      </c>
      <c r="R2913" s="1">
        <f>2*Table1[[#This Row],[Std Error]]</f>
        <v>0</v>
      </c>
      <c r="S2913" s="1" t="str">
        <f>IF(Table1[[#This Row],[High Tol]]="","N/A",IFERROR(ABS(Table1[[#This Row],[Tol Span]]/Table1[[#This Row],[Error Span]]),"N/A"))</f>
        <v>N/A</v>
      </c>
      <c r="T2913" s="1" t="str">
        <f>IF(OR(Table1[[#This Row],[Low Tol]]="",Table1[[#This Row],[High Tol]]=""),"Needs Analysis",IF(Table1[[#This Row],[Ratio]]&gt;=4,"Not Significant",IF(Table1[[#This Row],[Ratio]]&gt;=2,"Semi-Significant","Significant")))</f>
        <v>Needs Analysis</v>
      </c>
      <c r="W2913" s="1">
        <f>IF(Table1[[#This Row],[Cal Type]]&lt;&gt;"ACCREDITED 17025 WITH UNCERTAINTIES",0,"")</f>
        <v>0</v>
      </c>
      <c r="X2913" s="1" t="str">
        <f>IF(Table1[[#This Row],[DUT Read]]="","N/A",Table1[[#This Row],[Std Error]]+Table1[[#This Row],[DUT Read]]+Table1[[#This Row],[DUT Ucty]])</f>
        <v>N/A</v>
      </c>
      <c r="Y2913" s="1" t="str">
        <f>IF(Table1[[#This Row],[Std Read]]="","N/A",Table1[[#This Row],[Std Read]]+Table1[[#This Row],[Std Ucty]])</f>
        <v>N/A</v>
      </c>
      <c r="Z29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3" s="1" t="str">
        <f>IF(Table1[[#This Row],[Spec Type]]="","N/A",Table1[[#This Row],[Spec Type]])</f>
        <v>±</v>
      </c>
      <c r="AC2913" s="1" t="str">
        <f>IF(Table1[[#This Row],[Spec Type2]]="N/A","N/A",IF(AND(Table1[[#This Row],[DUT Adj Read]]&gt;=Table1[[#This Row],[Low Tol]],Table1[[#This Row],[DUT Adj Read]]&lt;=Table1[[#This Row],[High Tol]]),"Pass","Fail"))</f>
        <v>Fail</v>
      </c>
      <c r="AD2913" s="1" t="str">
        <f>IF(AND(Table1[[#This Row],[Spec Type2]]="N/A",Table1[[#This Row],[DUT Adj Read]]="N/A",Table1[[#This Row],[Std Adj Read]]="N/A"),"N/A",IF(Table1[[#This Row],[DUT Adj Read]]="N/A",IF(Table1[[#This Row],[Std Adj Read]]&gt;Table1[[#This Row],[Low Tol]],"Pass","Fail"),IF(Table1[[#This Row],[DUT Adj Read]]&gt;Table1[[#This Row],[Low Tol]],"Pass","Fail")))</f>
        <v>Pass</v>
      </c>
      <c r="AE2913" s="1" t="str">
        <f>IF(AND(Table1[[#This Row],[Spec Type2]]="N/A",Table1[[#This Row],[DUT Adj Read]]="N/A",Table1[[#This Row],[Std Adj Read]]="N/A"),"N/A",IF(Table1[[#This Row],[DUT Adj Read]]="N/A",IF(Table1[[#This Row],[Std Adj Read]]&lt;Table1[[#This Row],[High Tol]],"Pass","Fail"),IF(Table1[[#This Row],[DUT Adj Read]]&lt;Table1[[#This Row],[High Tol]],"Pass","Fail")))</f>
        <v>Fail</v>
      </c>
      <c r="AF2913" s="1" t="str">
        <f>IF(AND(Table1[[#This Row],[Spec Type2]]="N/A",Table1[[#This Row],[DUT Adj Read]]="N/A",Table1[[#This Row],[Std Adj Read]]="N/A"),"N/A",IF(Table1[[#This Row],[DUT Adj Read]]="N/A",IF(Table1[[#This Row],[Std Adj Read]]&gt;=Table1[[#This Row],[Low Tol]],"Pass","Fail"),IF(Table1[[#This Row],[DUT Adj Read]]&gt;=Table1[[#This Row],[Low Tol]],"Pass","Fail")))</f>
        <v>Pass</v>
      </c>
      <c r="AG2913" s="1" t="str">
        <f>IF(AND(Table1[[#This Row],[Spec Type2]]="N/A",Table1[[#This Row],[DUT Adj Read]]="N/A",Table1[[#This Row],[Std Adj Read]]="N/A"),"N/A",IF(Table1[[#This Row],[DUT Adj Read]]="N/A",IF(Table1[[#This Row],[Std Adj Read]]&lt;=Table1[[#This Row],[High Tol]],"Pass","Fail"),IF(Table1[[#This Row],[DUT Adj Read]]&lt;=Table1[[#This Row],[High Tol]],"Pass","Fail")))</f>
        <v>Fail</v>
      </c>
      <c r="AH29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3" s="1" t="b">
        <v>0</v>
      </c>
      <c r="AN2913" s="1" t="b">
        <v>0</v>
      </c>
      <c r="AO2913" s="1" t="b">
        <v>0</v>
      </c>
    </row>
    <row r="2914" spans="1:41" x14ac:dyDescent="0.25">
      <c r="A2914" s="10"/>
      <c r="B2914" s="10"/>
      <c r="C2914" s="10"/>
      <c r="D2914" s="10"/>
      <c r="E2914" s="10"/>
      <c r="F2914" s="10"/>
      <c r="G2914" s="10"/>
      <c r="H2914" s="10"/>
      <c r="I2914" s="1" t="str">
        <f t="shared" si="135"/>
        <v/>
      </c>
      <c r="J2914" s="1" t="s">
        <v>35</v>
      </c>
      <c r="K2914" s="1" t="str">
        <f t="shared" si="136"/>
        <v/>
      </c>
      <c r="L2914" s="1" t="str">
        <f t="shared" si="137"/>
        <v/>
      </c>
      <c r="M2914" s="1">
        <f>IF(OR(Table1[[#This Row],[Std Nom]]="",Table1[[#This Row],[Std Read]]=""),0,Table1[[#This Row],[Std Nom]]-Table1[[#This Row],[Std Read]])</f>
        <v>0</v>
      </c>
      <c r="N2914" s="1">
        <f>IF(Calculations!$F$5="ACCREDITED 17025 WITH UNCERTAINTIES",$N$10,0)</f>
        <v>0</v>
      </c>
      <c r="O2914" s="1" t="str">
        <f>IFERROR(Table1[[#This Row],[Std Nom]]-(_xlfn.XLOOKUP(Table1[[#This Row],[Manufacturer]]&amp;" "&amp;Table1[[#This Row],[Model]],Table13[MFR &amp; MDL],Table13[Tolerance % CW ],"")/100*Table1[[#This Row],[Std Nom]]),"")</f>
        <v/>
      </c>
      <c r="P2914" s="1" t="str">
        <f>IFERROR(Table1[[#This Row],[Std Nom]]+(_xlfn.XLOOKUP(Table1[[#This Row],[Manufacturer]]&amp;" "&amp;Table1[[#This Row],[Model]],Table13[MFR &amp; MDL],Table13[Tolerance % CW ],"")/100*Table1[[#This Row],[Std Nom]]),"")</f>
        <v/>
      </c>
      <c r="Q2914" s="1" t="e">
        <f>Table1[[#This Row],[High Tol]]-Table1[[#This Row],[Low Tol]]</f>
        <v>#VALUE!</v>
      </c>
      <c r="R2914" s="1">
        <f>2*Table1[[#This Row],[Std Error]]</f>
        <v>0</v>
      </c>
      <c r="S2914" s="1" t="str">
        <f>IF(Table1[[#This Row],[High Tol]]="","N/A",IFERROR(ABS(Table1[[#This Row],[Tol Span]]/Table1[[#This Row],[Error Span]]),"N/A"))</f>
        <v>N/A</v>
      </c>
      <c r="T2914" s="1" t="str">
        <f>IF(OR(Table1[[#This Row],[Low Tol]]="",Table1[[#This Row],[High Tol]]=""),"Needs Analysis",IF(Table1[[#This Row],[Ratio]]&gt;=4,"Not Significant",IF(Table1[[#This Row],[Ratio]]&gt;=2,"Semi-Significant","Significant")))</f>
        <v>Needs Analysis</v>
      </c>
      <c r="W2914" s="1">
        <f>IF(Table1[[#This Row],[Cal Type]]&lt;&gt;"ACCREDITED 17025 WITH UNCERTAINTIES",0,"")</f>
        <v>0</v>
      </c>
      <c r="X2914" s="1" t="str">
        <f>IF(Table1[[#This Row],[DUT Read]]="","N/A",Table1[[#This Row],[Std Error]]+Table1[[#This Row],[DUT Read]]+Table1[[#This Row],[DUT Ucty]])</f>
        <v>N/A</v>
      </c>
      <c r="Y2914" s="1" t="str">
        <f>IF(Table1[[#This Row],[Std Read]]="","N/A",Table1[[#This Row],[Std Read]]+Table1[[#This Row],[Std Ucty]])</f>
        <v>N/A</v>
      </c>
      <c r="Z29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4" s="1" t="str">
        <f>IF(Table1[[#This Row],[Spec Type]]="","N/A",Table1[[#This Row],[Spec Type]])</f>
        <v>±</v>
      </c>
      <c r="AC2914" s="1" t="str">
        <f>IF(Table1[[#This Row],[Spec Type2]]="N/A","N/A",IF(AND(Table1[[#This Row],[DUT Adj Read]]&gt;=Table1[[#This Row],[Low Tol]],Table1[[#This Row],[DUT Adj Read]]&lt;=Table1[[#This Row],[High Tol]]),"Pass","Fail"))</f>
        <v>Fail</v>
      </c>
      <c r="AD2914" s="1" t="str">
        <f>IF(AND(Table1[[#This Row],[Spec Type2]]="N/A",Table1[[#This Row],[DUT Adj Read]]="N/A",Table1[[#This Row],[Std Adj Read]]="N/A"),"N/A",IF(Table1[[#This Row],[DUT Adj Read]]="N/A",IF(Table1[[#This Row],[Std Adj Read]]&gt;Table1[[#This Row],[Low Tol]],"Pass","Fail"),IF(Table1[[#This Row],[DUT Adj Read]]&gt;Table1[[#This Row],[Low Tol]],"Pass","Fail")))</f>
        <v>Pass</v>
      </c>
      <c r="AE2914" s="1" t="str">
        <f>IF(AND(Table1[[#This Row],[Spec Type2]]="N/A",Table1[[#This Row],[DUT Adj Read]]="N/A",Table1[[#This Row],[Std Adj Read]]="N/A"),"N/A",IF(Table1[[#This Row],[DUT Adj Read]]="N/A",IF(Table1[[#This Row],[Std Adj Read]]&lt;Table1[[#This Row],[High Tol]],"Pass","Fail"),IF(Table1[[#This Row],[DUT Adj Read]]&lt;Table1[[#This Row],[High Tol]],"Pass","Fail")))</f>
        <v>Fail</v>
      </c>
      <c r="AF2914" s="1" t="str">
        <f>IF(AND(Table1[[#This Row],[Spec Type2]]="N/A",Table1[[#This Row],[DUT Adj Read]]="N/A",Table1[[#This Row],[Std Adj Read]]="N/A"),"N/A",IF(Table1[[#This Row],[DUT Adj Read]]="N/A",IF(Table1[[#This Row],[Std Adj Read]]&gt;=Table1[[#This Row],[Low Tol]],"Pass","Fail"),IF(Table1[[#This Row],[DUT Adj Read]]&gt;=Table1[[#This Row],[Low Tol]],"Pass","Fail")))</f>
        <v>Pass</v>
      </c>
      <c r="AG2914" s="1" t="str">
        <f>IF(AND(Table1[[#This Row],[Spec Type2]]="N/A",Table1[[#This Row],[DUT Adj Read]]="N/A",Table1[[#This Row],[Std Adj Read]]="N/A"),"N/A",IF(Table1[[#This Row],[DUT Adj Read]]="N/A",IF(Table1[[#This Row],[Std Adj Read]]&lt;=Table1[[#This Row],[High Tol]],"Pass","Fail"),IF(Table1[[#This Row],[DUT Adj Read]]&lt;=Table1[[#This Row],[High Tol]],"Pass","Fail")))</f>
        <v>Fail</v>
      </c>
      <c r="AH29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4" s="1" t="b">
        <v>0</v>
      </c>
      <c r="AN2914" s="1" t="b">
        <v>0</v>
      </c>
      <c r="AO2914" s="1" t="b">
        <v>0</v>
      </c>
    </row>
    <row r="2915" spans="1:41" x14ac:dyDescent="0.25">
      <c r="A2915" s="10"/>
      <c r="B2915" s="10"/>
      <c r="C2915" s="10"/>
      <c r="D2915" s="10"/>
      <c r="E2915" s="10"/>
      <c r="F2915" s="10"/>
      <c r="G2915" s="10"/>
      <c r="H2915" s="10"/>
      <c r="I2915" s="1" t="str">
        <f t="shared" si="135"/>
        <v/>
      </c>
      <c r="J2915" s="1" t="s">
        <v>35</v>
      </c>
      <c r="K2915" s="1" t="str">
        <f t="shared" si="136"/>
        <v/>
      </c>
      <c r="L2915" s="1" t="str">
        <f t="shared" si="137"/>
        <v/>
      </c>
      <c r="M2915" s="1">
        <f>IF(OR(Table1[[#This Row],[Std Nom]]="",Table1[[#This Row],[Std Read]]=""),0,Table1[[#This Row],[Std Nom]]-Table1[[#This Row],[Std Read]])</f>
        <v>0</v>
      </c>
      <c r="N2915" s="1">
        <f>IF(Calculations!$F$5="ACCREDITED 17025 WITH UNCERTAINTIES",$N$10,0)</f>
        <v>0</v>
      </c>
      <c r="O2915" s="1" t="str">
        <f>IFERROR(Table1[[#This Row],[Std Nom]]-(_xlfn.XLOOKUP(Table1[[#This Row],[Manufacturer]]&amp;" "&amp;Table1[[#This Row],[Model]],Table13[MFR &amp; MDL],Table13[Tolerance % CW ],"")/100*Table1[[#This Row],[Std Nom]]),"")</f>
        <v/>
      </c>
      <c r="P2915" s="1" t="str">
        <f>IFERROR(Table1[[#This Row],[Std Nom]]+(_xlfn.XLOOKUP(Table1[[#This Row],[Manufacturer]]&amp;" "&amp;Table1[[#This Row],[Model]],Table13[MFR &amp; MDL],Table13[Tolerance % CW ],"")/100*Table1[[#This Row],[Std Nom]]),"")</f>
        <v/>
      </c>
      <c r="Q2915" s="1" t="e">
        <f>Table1[[#This Row],[High Tol]]-Table1[[#This Row],[Low Tol]]</f>
        <v>#VALUE!</v>
      </c>
      <c r="R2915" s="1">
        <f>2*Table1[[#This Row],[Std Error]]</f>
        <v>0</v>
      </c>
      <c r="S2915" s="1" t="str">
        <f>IF(Table1[[#This Row],[High Tol]]="","N/A",IFERROR(ABS(Table1[[#This Row],[Tol Span]]/Table1[[#This Row],[Error Span]]),"N/A"))</f>
        <v>N/A</v>
      </c>
      <c r="T2915" s="1" t="str">
        <f>IF(OR(Table1[[#This Row],[Low Tol]]="",Table1[[#This Row],[High Tol]]=""),"Needs Analysis",IF(Table1[[#This Row],[Ratio]]&gt;=4,"Not Significant",IF(Table1[[#This Row],[Ratio]]&gt;=2,"Semi-Significant","Significant")))</f>
        <v>Needs Analysis</v>
      </c>
      <c r="W2915" s="1">
        <f>IF(Table1[[#This Row],[Cal Type]]&lt;&gt;"ACCREDITED 17025 WITH UNCERTAINTIES",0,"")</f>
        <v>0</v>
      </c>
      <c r="X2915" s="1" t="str">
        <f>IF(Table1[[#This Row],[DUT Read]]="","N/A",Table1[[#This Row],[Std Error]]+Table1[[#This Row],[DUT Read]]+Table1[[#This Row],[DUT Ucty]])</f>
        <v>N/A</v>
      </c>
      <c r="Y2915" s="1" t="str">
        <f>IF(Table1[[#This Row],[Std Read]]="","N/A",Table1[[#This Row],[Std Read]]+Table1[[#This Row],[Std Ucty]])</f>
        <v>N/A</v>
      </c>
      <c r="Z29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5" s="1" t="str">
        <f>IF(Table1[[#This Row],[Spec Type]]="","N/A",Table1[[#This Row],[Spec Type]])</f>
        <v>±</v>
      </c>
      <c r="AC2915" s="1" t="str">
        <f>IF(Table1[[#This Row],[Spec Type2]]="N/A","N/A",IF(AND(Table1[[#This Row],[DUT Adj Read]]&gt;=Table1[[#This Row],[Low Tol]],Table1[[#This Row],[DUT Adj Read]]&lt;=Table1[[#This Row],[High Tol]]),"Pass","Fail"))</f>
        <v>Fail</v>
      </c>
      <c r="AD2915" s="1" t="str">
        <f>IF(AND(Table1[[#This Row],[Spec Type2]]="N/A",Table1[[#This Row],[DUT Adj Read]]="N/A",Table1[[#This Row],[Std Adj Read]]="N/A"),"N/A",IF(Table1[[#This Row],[DUT Adj Read]]="N/A",IF(Table1[[#This Row],[Std Adj Read]]&gt;Table1[[#This Row],[Low Tol]],"Pass","Fail"),IF(Table1[[#This Row],[DUT Adj Read]]&gt;Table1[[#This Row],[Low Tol]],"Pass","Fail")))</f>
        <v>Pass</v>
      </c>
      <c r="AE2915" s="1" t="str">
        <f>IF(AND(Table1[[#This Row],[Spec Type2]]="N/A",Table1[[#This Row],[DUT Adj Read]]="N/A",Table1[[#This Row],[Std Adj Read]]="N/A"),"N/A",IF(Table1[[#This Row],[DUT Adj Read]]="N/A",IF(Table1[[#This Row],[Std Adj Read]]&lt;Table1[[#This Row],[High Tol]],"Pass","Fail"),IF(Table1[[#This Row],[DUT Adj Read]]&lt;Table1[[#This Row],[High Tol]],"Pass","Fail")))</f>
        <v>Fail</v>
      </c>
      <c r="AF2915" s="1" t="str">
        <f>IF(AND(Table1[[#This Row],[Spec Type2]]="N/A",Table1[[#This Row],[DUT Adj Read]]="N/A",Table1[[#This Row],[Std Adj Read]]="N/A"),"N/A",IF(Table1[[#This Row],[DUT Adj Read]]="N/A",IF(Table1[[#This Row],[Std Adj Read]]&gt;=Table1[[#This Row],[Low Tol]],"Pass","Fail"),IF(Table1[[#This Row],[DUT Adj Read]]&gt;=Table1[[#This Row],[Low Tol]],"Pass","Fail")))</f>
        <v>Pass</v>
      </c>
      <c r="AG2915" s="1" t="str">
        <f>IF(AND(Table1[[#This Row],[Spec Type2]]="N/A",Table1[[#This Row],[DUT Adj Read]]="N/A",Table1[[#This Row],[Std Adj Read]]="N/A"),"N/A",IF(Table1[[#This Row],[DUT Adj Read]]="N/A",IF(Table1[[#This Row],[Std Adj Read]]&lt;=Table1[[#This Row],[High Tol]],"Pass","Fail"),IF(Table1[[#This Row],[DUT Adj Read]]&lt;=Table1[[#This Row],[High Tol]],"Pass","Fail")))</f>
        <v>Fail</v>
      </c>
      <c r="AH29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5" s="1" t="b">
        <v>0</v>
      </c>
      <c r="AN2915" s="1" t="b">
        <v>0</v>
      </c>
      <c r="AO2915" s="1" t="b">
        <v>0</v>
      </c>
    </row>
    <row r="2916" spans="1:41" x14ac:dyDescent="0.25">
      <c r="A2916" s="10"/>
      <c r="B2916" s="10"/>
      <c r="C2916" s="10"/>
      <c r="D2916" s="10"/>
      <c r="E2916" s="10"/>
      <c r="F2916" s="10"/>
      <c r="G2916" s="10"/>
      <c r="H2916" s="10"/>
      <c r="I2916" s="1" t="str">
        <f t="shared" si="135"/>
        <v/>
      </c>
      <c r="J2916" s="1" t="s">
        <v>35</v>
      </c>
      <c r="K2916" s="1" t="str">
        <f t="shared" si="136"/>
        <v/>
      </c>
      <c r="L2916" s="1" t="str">
        <f t="shared" si="137"/>
        <v/>
      </c>
      <c r="M2916" s="1">
        <f>IF(OR(Table1[[#This Row],[Std Nom]]="",Table1[[#This Row],[Std Read]]=""),0,Table1[[#This Row],[Std Nom]]-Table1[[#This Row],[Std Read]])</f>
        <v>0</v>
      </c>
      <c r="N2916" s="1">
        <f>IF(Calculations!$F$5="ACCREDITED 17025 WITH UNCERTAINTIES",$N$10,0)</f>
        <v>0</v>
      </c>
      <c r="O2916" s="1" t="str">
        <f>IFERROR(Table1[[#This Row],[Std Nom]]-(_xlfn.XLOOKUP(Table1[[#This Row],[Manufacturer]]&amp;" "&amp;Table1[[#This Row],[Model]],Table13[MFR &amp; MDL],Table13[Tolerance % CW ],"")/100*Table1[[#This Row],[Std Nom]]),"")</f>
        <v/>
      </c>
      <c r="P2916" s="1" t="str">
        <f>IFERROR(Table1[[#This Row],[Std Nom]]+(_xlfn.XLOOKUP(Table1[[#This Row],[Manufacturer]]&amp;" "&amp;Table1[[#This Row],[Model]],Table13[MFR &amp; MDL],Table13[Tolerance % CW ],"")/100*Table1[[#This Row],[Std Nom]]),"")</f>
        <v/>
      </c>
      <c r="Q2916" s="1" t="e">
        <f>Table1[[#This Row],[High Tol]]-Table1[[#This Row],[Low Tol]]</f>
        <v>#VALUE!</v>
      </c>
      <c r="R2916" s="1">
        <f>2*Table1[[#This Row],[Std Error]]</f>
        <v>0</v>
      </c>
      <c r="S2916" s="1" t="str">
        <f>IF(Table1[[#This Row],[High Tol]]="","N/A",IFERROR(ABS(Table1[[#This Row],[Tol Span]]/Table1[[#This Row],[Error Span]]),"N/A"))</f>
        <v>N/A</v>
      </c>
      <c r="T2916" s="1" t="str">
        <f>IF(OR(Table1[[#This Row],[Low Tol]]="",Table1[[#This Row],[High Tol]]=""),"Needs Analysis",IF(Table1[[#This Row],[Ratio]]&gt;=4,"Not Significant",IF(Table1[[#This Row],[Ratio]]&gt;=2,"Semi-Significant","Significant")))</f>
        <v>Needs Analysis</v>
      </c>
      <c r="W2916" s="1">
        <f>IF(Table1[[#This Row],[Cal Type]]&lt;&gt;"ACCREDITED 17025 WITH UNCERTAINTIES",0,"")</f>
        <v>0</v>
      </c>
      <c r="X2916" s="1" t="str">
        <f>IF(Table1[[#This Row],[DUT Read]]="","N/A",Table1[[#This Row],[Std Error]]+Table1[[#This Row],[DUT Read]]+Table1[[#This Row],[DUT Ucty]])</f>
        <v>N/A</v>
      </c>
      <c r="Y2916" s="1" t="str">
        <f>IF(Table1[[#This Row],[Std Read]]="","N/A",Table1[[#This Row],[Std Read]]+Table1[[#This Row],[Std Ucty]])</f>
        <v>N/A</v>
      </c>
      <c r="Z29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6" s="1" t="str">
        <f>IF(Table1[[#This Row],[Spec Type]]="","N/A",Table1[[#This Row],[Spec Type]])</f>
        <v>±</v>
      </c>
      <c r="AC2916" s="1" t="str">
        <f>IF(Table1[[#This Row],[Spec Type2]]="N/A","N/A",IF(AND(Table1[[#This Row],[DUT Adj Read]]&gt;=Table1[[#This Row],[Low Tol]],Table1[[#This Row],[DUT Adj Read]]&lt;=Table1[[#This Row],[High Tol]]),"Pass","Fail"))</f>
        <v>Fail</v>
      </c>
      <c r="AD2916" s="1" t="str">
        <f>IF(AND(Table1[[#This Row],[Spec Type2]]="N/A",Table1[[#This Row],[DUT Adj Read]]="N/A",Table1[[#This Row],[Std Adj Read]]="N/A"),"N/A",IF(Table1[[#This Row],[DUT Adj Read]]="N/A",IF(Table1[[#This Row],[Std Adj Read]]&gt;Table1[[#This Row],[Low Tol]],"Pass","Fail"),IF(Table1[[#This Row],[DUT Adj Read]]&gt;Table1[[#This Row],[Low Tol]],"Pass","Fail")))</f>
        <v>Pass</v>
      </c>
      <c r="AE2916" s="1" t="str">
        <f>IF(AND(Table1[[#This Row],[Spec Type2]]="N/A",Table1[[#This Row],[DUT Adj Read]]="N/A",Table1[[#This Row],[Std Adj Read]]="N/A"),"N/A",IF(Table1[[#This Row],[DUT Adj Read]]="N/A",IF(Table1[[#This Row],[Std Adj Read]]&lt;Table1[[#This Row],[High Tol]],"Pass","Fail"),IF(Table1[[#This Row],[DUT Adj Read]]&lt;Table1[[#This Row],[High Tol]],"Pass","Fail")))</f>
        <v>Fail</v>
      </c>
      <c r="AF2916" s="1" t="str">
        <f>IF(AND(Table1[[#This Row],[Spec Type2]]="N/A",Table1[[#This Row],[DUT Adj Read]]="N/A",Table1[[#This Row],[Std Adj Read]]="N/A"),"N/A",IF(Table1[[#This Row],[DUT Adj Read]]="N/A",IF(Table1[[#This Row],[Std Adj Read]]&gt;=Table1[[#This Row],[Low Tol]],"Pass","Fail"),IF(Table1[[#This Row],[DUT Adj Read]]&gt;=Table1[[#This Row],[Low Tol]],"Pass","Fail")))</f>
        <v>Pass</v>
      </c>
      <c r="AG2916" s="1" t="str">
        <f>IF(AND(Table1[[#This Row],[Spec Type2]]="N/A",Table1[[#This Row],[DUT Adj Read]]="N/A",Table1[[#This Row],[Std Adj Read]]="N/A"),"N/A",IF(Table1[[#This Row],[DUT Adj Read]]="N/A",IF(Table1[[#This Row],[Std Adj Read]]&lt;=Table1[[#This Row],[High Tol]],"Pass","Fail"),IF(Table1[[#This Row],[DUT Adj Read]]&lt;=Table1[[#This Row],[High Tol]],"Pass","Fail")))</f>
        <v>Fail</v>
      </c>
      <c r="AH29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6" s="1" t="b">
        <v>0</v>
      </c>
      <c r="AN2916" s="1" t="b">
        <v>0</v>
      </c>
      <c r="AO2916" s="1" t="b">
        <v>0</v>
      </c>
    </row>
    <row r="2917" spans="1:41" x14ac:dyDescent="0.25">
      <c r="A2917" s="10"/>
      <c r="B2917" s="10"/>
      <c r="C2917" s="10"/>
      <c r="D2917" s="10"/>
      <c r="E2917" s="10"/>
      <c r="F2917" s="10"/>
      <c r="G2917" s="10"/>
      <c r="H2917" s="10"/>
      <c r="I2917" s="1" t="str">
        <f t="shared" si="135"/>
        <v/>
      </c>
      <c r="J2917" s="1" t="s">
        <v>35</v>
      </c>
      <c r="K2917" s="1" t="str">
        <f t="shared" si="136"/>
        <v/>
      </c>
      <c r="L2917" s="1" t="str">
        <f t="shared" si="137"/>
        <v/>
      </c>
      <c r="M2917" s="1">
        <f>IF(OR(Table1[[#This Row],[Std Nom]]="",Table1[[#This Row],[Std Read]]=""),0,Table1[[#This Row],[Std Nom]]-Table1[[#This Row],[Std Read]])</f>
        <v>0</v>
      </c>
      <c r="N2917" s="1">
        <f>IF(Calculations!$F$5="ACCREDITED 17025 WITH UNCERTAINTIES",$N$10,0)</f>
        <v>0</v>
      </c>
      <c r="O2917" s="1" t="str">
        <f>IFERROR(Table1[[#This Row],[Std Nom]]-(_xlfn.XLOOKUP(Table1[[#This Row],[Manufacturer]]&amp;" "&amp;Table1[[#This Row],[Model]],Table13[MFR &amp; MDL],Table13[Tolerance % CW ],"")/100*Table1[[#This Row],[Std Nom]]),"")</f>
        <v/>
      </c>
      <c r="P2917" s="1" t="str">
        <f>IFERROR(Table1[[#This Row],[Std Nom]]+(_xlfn.XLOOKUP(Table1[[#This Row],[Manufacturer]]&amp;" "&amp;Table1[[#This Row],[Model]],Table13[MFR &amp; MDL],Table13[Tolerance % CW ],"")/100*Table1[[#This Row],[Std Nom]]),"")</f>
        <v/>
      </c>
      <c r="Q2917" s="1" t="e">
        <f>Table1[[#This Row],[High Tol]]-Table1[[#This Row],[Low Tol]]</f>
        <v>#VALUE!</v>
      </c>
      <c r="R2917" s="1">
        <f>2*Table1[[#This Row],[Std Error]]</f>
        <v>0</v>
      </c>
      <c r="S2917" s="1" t="str">
        <f>IF(Table1[[#This Row],[High Tol]]="","N/A",IFERROR(ABS(Table1[[#This Row],[Tol Span]]/Table1[[#This Row],[Error Span]]),"N/A"))</f>
        <v>N/A</v>
      </c>
      <c r="T2917" s="1" t="str">
        <f>IF(OR(Table1[[#This Row],[Low Tol]]="",Table1[[#This Row],[High Tol]]=""),"Needs Analysis",IF(Table1[[#This Row],[Ratio]]&gt;=4,"Not Significant",IF(Table1[[#This Row],[Ratio]]&gt;=2,"Semi-Significant","Significant")))</f>
        <v>Needs Analysis</v>
      </c>
      <c r="W2917" s="1">
        <f>IF(Table1[[#This Row],[Cal Type]]&lt;&gt;"ACCREDITED 17025 WITH UNCERTAINTIES",0,"")</f>
        <v>0</v>
      </c>
      <c r="X2917" s="1" t="str">
        <f>IF(Table1[[#This Row],[DUT Read]]="","N/A",Table1[[#This Row],[Std Error]]+Table1[[#This Row],[DUT Read]]+Table1[[#This Row],[DUT Ucty]])</f>
        <v>N/A</v>
      </c>
      <c r="Y2917" s="1" t="str">
        <f>IF(Table1[[#This Row],[Std Read]]="","N/A",Table1[[#This Row],[Std Read]]+Table1[[#This Row],[Std Ucty]])</f>
        <v>N/A</v>
      </c>
      <c r="Z29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7" s="1" t="str">
        <f>IF(Table1[[#This Row],[Spec Type]]="","N/A",Table1[[#This Row],[Spec Type]])</f>
        <v>±</v>
      </c>
      <c r="AC2917" s="1" t="str">
        <f>IF(Table1[[#This Row],[Spec Type2]]="N/A","N/A",IF(AND(Table1[[#This Row],[DUT Adj Read]]&gt;=Table1[[#This Row],[Low Tol]],Table1[[#This Row],[DUT Adj Read]]&lt;=Table1[[#This Row],[High Tol]]),"Pass","Fail"))</f>
        <v>Fail</v>
      </c>
      <c r="AD2917" s="1" t="str">
        <f>IF(AND(Table1[[#This Row],[Spec Type2]]="N/A",Table1[[#This Row],[DUT Adj Read]]="N/A",Table1[[#This Row],[Std Adj Read]]="N/A"),"N/A",IF(Table1[[#This Row],[DUT Adj Read]]="N/A",IF(Table1[[#This Row],[Std Adj Read]]&gt;Table1[[#This Row],[Low Tol]],"Pass","Fail"),IF(Table1[[#This Row],[DUT Adj Read]]&gt;Table1[[#This Row],[Low Tol]],"Pass","Fail")))</f>
        <v>Pass</v>
      </c>
      <c r="AE2917" s="1" t="str">
        <f>IF(AND(Table1[[#This Row],[Spec Type2]]="N/A",Table1[[#This Row],[DUT Adj Read]]="N/A",Table1[[#This Row],[Std Adj Read]]="N/A"),"N/A",IF(Table1[[#This Row],[DUT Adj Read]]="N/A",IF(Table1[[#This Row],[Std Adj Read]]&lt;Table1[[#This Row],[High Tol]],"Pass","Fail"),IF(Table1[[#This Row],[DUT Adj Read]]&lt;Table1[[#This Row],[High Tol]],"Pass","Fail")))</f>
        <v>Fail</v>
      </c>
      <c r="AF2917" s="1" t="str">
        <f>IF(AND(Table1[[#This Row],[Spec Type2]]="N/A",Table1[[#This Row],[DUT Adj Read]]="N/A",Table1[[#This Row],[Std Adj Read]]="N/A"),"N/A",IF(Table1[[#This Row],[DUT Adj Read]]="N/A",IF(Table1[[#This Row],[Std Adj Read]]&gt;=Table1[[#This Row],[Low Tol]],"Pass","Fail"),IF(Table1[[#This Row],[DUT Adj Read]]&gt;=Table1[[#This Row],[Low Tol]],"Pass","Fail")))</f>
        <v>Pass</v>
      </c>
      <c r="AG2917" s="1" t="str">
        <f>IF(AND(Table1[[#This Row],[Spec Type2]]="N/A",Table1[[#This Row],[DUT Adj Read]]="N/A",Table1[[#This Row],[Std Adj Read]]="N/A"),"N/A",IF(Table1[[#This Row],[DUT Adj Read]]="N/A",IF(Table1[[#This Row],[Std Adj Read]]&lt;=Table1[[#This Row],[High Tol]],"Pass","Fail"),IF(Table1[[#This Row],[DUT Adj Read]]&lt;=Table1[[#This Row],[High Tol]],"Pass","Fail")))</f>
        <v>Fail</v>
      </c>
      <c r="AH29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7" s="1" t="b">
        <v>0</v>
      </c>
      <c r="AN2917" s="1" t="b">
        <v>0</v>
      </c>
      <c r="AO2917" s="1" t="b">
        <v>0</v>
      </c>
    </row>
    <row r="2918" spans="1:41" x14ac:dyDescent="0.25">
      <c r="A2918" s="10"/>
      <c r="B2918" s="10"/>
      <c r="C2918" s="10"/>
      <c r="D2918" s="10"/>
      <c r="E2918" s="10"/>
      <c r="F2918" s="10"/>
      <c r="G2918" s="10"/>
      <c r="H2918" s="10"/>
      <c r="I2918" s="1" t="str">
        <f t="shared" si="135"/>
        <v/>
      </c>
      <c r="J2918" s="1" t="s">
        <v>35</v>
      </c>
      <c r="K2918" s="1" t="str">
        <f t="shared" si="136"/>
        <v/>
      </c>
      <c r="L2918" s="1" t="str">
        <f t="shared" si="137"/>
        <v/>
      </c>
      <c r="M2918" s="1">
        <f>IF(OR(Table1[[#This Row],[Std Nom]]="",Table1[[#This Row],[Std Read]]=""),0,Table1[[#This Row],[Std Nom]]-Table1[[#This Row],[Std Read]])</f>
        <v>0</v>
      </c>
      <c r="N2918" s="1">
        <f>IF(Calculations!$F$5="ACCREDITED 17025 WITH UNCERTAINTIES",$N$10,0)</f>
        <v>0</v>
      </c>
      <c r="O2918" s="1" t="str">
        <f>IFERROR(Table1[[#This Row],[Std Nom]]-(_xlfn.XLOOKUP(Table1[[#This Row],[Manufacturer]]&amp;" "&amp;Table1[[#This Row],[Model]],Table13[MFR &amp; MDL],Table13[Tolerance % CW ],"")/100*Table1[[#This Row],[Std Nom]]),"")</f>
        <v/>
      </c>
      <c r="P2918" s="1" t="str">
        <f>IFERROR(Table1[[#This Row],[Std Nom]]+(_xlfn.XLOOKUP(Table1[[#This Row],[Manufacturer]]&amp;" "&amp;Table1[[#This Row],[Model]],Table13[MFR &amp; MDL],Table13[Tolerance % CW ],"")/100*Table1[[#This Row],[Std Nom]]),"")</f>
        <v/>
      </c>
      <c r="Q2918" s="1" t="e">
        <f>Table1[[#This Row],[High Tol]]-Table1[[#This Row],[Low Tol]]</f>
        <v>#VALUE!</v>
      </c>
      <c r="R2918" s="1">
        <f>2*Table1[[#This Row],[Std Error]]</f>
        <v>0</v>
      </c>
      <c r="S2918" s="1" t="str">
        <f>IF(Table1[[#This Row],[High Tol]]="","N/A",IFERROR(ABS(Table1[[#This Row],[Tol Span]]/Table1[[#This Row],[Error Span]]),"N/A"))</f>
        <v>N/A</v>
      </c>
      <c r="T2918" s="1" t="str">
        <f>IF(OR(Table1[[#This Row],[Low Tol]]="",Table1[[#This Row],[High Tol]]=""),"Needs Analysis",IF(Table1[[#This Row],[Ratio]]&gt;=4,"Not Significant",IF(Table1[[#This Row],[Ratio]]&gt;=2,"Semi-Significant","Significant")))</f>
        <v>Needs Analysis</v>
      </c>
      <c r="W2918" s="1">
        <f>IF(Table1[[#This Row],[Cal Type]]&lt;&gt;"ACCREDITED 17025 WITH UNCERTAINTIES",0,"")</f>
        <v>0</v>
      </c>
      <c r="X2918" s="1" t="str">
        <f>IF(Table1[[#This Row],[DUT Read]]="","N/A",Table1[[#This Row],[Std Error]]+Table1[[#This Row],[DUT Read]]+Table1[[#This Row],[DUT Ucty]])</f>
        <v>N/A</v>
      </c>
      <c r="Y2918" s="1" t="str">
        <f>IF(Table1[[#This Row],[Std Read]]="","N/A",Table1[[#This Row],[Std Read]]+Table1[[#This Row],[Std Ucty]])</f>
        <v>N/A</v>
      </c>
      <c r="Z29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8" s="1" t="str">
        <f>IF(Table1[[#This Row],[Spec Type]]="","N/A",Table1[[#This Row],[Spec Type]])</f>
        <v>±</v>
      </c>
      <c r="AC2918" s="1" t="str">
        <f>IF(Table1[[#This Row],[Spec Type2]]="N/A","N/A",IF(AND(Table1[[#This Row],[DUT Adj Read]]&gt;=Table1[[#This Row],[Low Tol]],Table1[[#This Row],[DUT Adj Read]]&lt;=Table1[[#This Row],[High Tol]]),"Pass","Fail"))</f>
        <v>Fail</v>
      </c>
      <c r="AD2918" s="1" t="str">
        <f>IF(AND(Table1[[#This Row],[Spec Type2]]="N/A",Table1[[#This Row],[DUT Adj Read]]="N/A",Table1[[#This Row],[Std Adj Read]]="N/A"),"N/A",IF(Table1[[#This Row],[DUT Adj Read]]="N/A",IF(Table1[[#This Row],[Std Adj Read]]&gt;Table1[[#This Row],[Low Tol]],"Pass","Fail"),IF(Table1[[#This Row],[DUT Adj Read]]&gt;Table1[[#This Row],[Low Tol]],"Pass","Fail")))</f>
        <v>Pass</v>
      </c>
      <c r="AE2918" s="1" t="str">
        <f>IF(AND(Table1[[#This Row],[Spec Type2]]="N/A",Table1[[#This Row],[DUT Adj Read]]="N/A",Table1[[#This Row],[Std Adj Read]]="N/A"),"N/A",IF(Table1[[#This Row],[DUT Adj Read]]="N/A",IF(Table1[[#This Row],[Std Adj Read]]&lt;Table1[[#This Row],[High Tol]],"Pass","Fail"),IF(Table1[[#This Row],[DUT Adj Read]]&lt;Table1[[#This Row],[High Tol]],"Pass","Fail")))</f>
        <v>Fail</v>
      </c>
      <c r="AF2918" s="1" t="str">
        <f>IF(AND(Table1[[#This Row],[Spec Type2]]="N/A",Table1[[#This Row],[DUT Adj Read]]="N/A",Table1[[#This Row],[Std Adj Read]]="N/A"),"N/A",IF(Table1[[#This Row],[DUT Adj Read]]="N/A",IF(Table1[[#This Row],[Std Adj Read]]&gt;=Table1[[#This Row],[Low Tol]],"Pass","Fail"),IF(Table1[[#This Row],[DUT Adj Read]]&gt;=Table1[[#This Row],[Low Tol]],"Pass","Fail")))</f>
        <v>Pass</v>
      </c>
      <c r="AG2918" s="1" t="str">
        <f>IF(AND(Table1[[#This Row],[Spec Type2]]="N/A",Table1[[#This Row],[DUT Adj Read]]="N/A",Table1[[#This Row],[Std Adj Read]]="N/A"),"N/A",IF(Table1[[#This Row],[DUT Adj Read]]="N/A",IF(Table1[[#This Row],[Std Adj Read]]&lt;=Table1[[#This Row],[High Tol]],"Pass","Fail"),IF(Table1[[#This Row],[DUT Adj Read]]&lt;=Table1[[#This Row],[High Tol]],"Pass","Fail")))</f>
        <v>Fail</v>
      </c>
      <c r="AH29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8" s="1" t="b">
        <v>0</v>
      </c>
      <c r="AN2918" s="1" t="b">
        <v>0</v>
      </c>
      <c r="AO2918" s="1" t="b">
        <v>0</v>
      </c>
    </row>
    <row r="2919" spans="1:41" x14ac:dyDescent="0.25">
      <c r="A2919" s="10"/>
      <c r="B2919" s="10"/>
      <c r="C2919" s="10"/>
      <c r="D2919" s="10"/>
      <c r="E2919" s="10"/>
      <c r="F2919" s="10"/>
      <c r="G2919" s="10"/>
      <c r="H2919" s="10"/>
      <c r="I2919" s="1" t="str">
        <f t="shared" si="135"/>
        <v/>
      </c>
      <c r="J2919" s="1" t="s">
        <v>35</v>
      </c>
      <c r="K2919" s="1" t="str">
        <f t="shared" si="136"/>
        <v/>
      </c>
      <c r="L2919" s="1" t="str">
        <f t="shared" si="137"/>
        <v/>
      </c>
      <c r="M2919" s="1">
        <f>IF(OR(Table1[[#This Row],[Std Nom]]="",Table1[[#This Row],[Std Read]]=""),0,Table1[[#This Row],[Std Nom]]-Table1[[#This Row],[Std Read]])</f>
        <v>0</v>
      </c>
      <c r="N2919" s="1">
        <f>IF(Calculations!$F$5="ACCREDITED 17025 WITH UNCERTAINTIES",$N$10,0)</f>
        <v>0</v>
      </c>
      <c r="O2919" s="1" t="str">
        <f>IFERROR(Table1[[#This Row],[Std Nom]]-(_xlfn.XLOOKUP(Table1[[#This Row],[Manufacturer]]&amp;" "&amp;Table1[[#This Row],[Model]],Table13[MFR &amp; MDL],Table13[Tolerance % CW ],"")/100*Table1[[#This Row],[Std Nom]]),"")</f>
        <v/>
      </c>
      <c r="P2919" s="1" t="str">
        <f>IFERROR(Table1[[#This Row],[Std Nom]]+(_xlfn.XLOOKUP(Table1[[#This Row],[Manufacturer]]&amp;" "&amp;Table1[[#This Row],[Model]],Table13[MFR &amp; MDL],Table13[Tolerance % CW ],"")/100*Table1[[#This Row],[Std Nom]]),"")</f>
        <v/>
      </c>
      <c r="Q2919" s="1" t="e">
        <f>Table1[[#This Row],[High Tol]]-Table1[[#This Row],[Low Tol]]</f>
        <v>#VALUE!</v>
      </c>
      <c r="R2919" s="1">
        <f>2*Table1[[#This Row],[Std Error]]</f>
        <v>0</v>
      </c>
      <c r="S2919" s="1" t="str">
        <f>IF(Table1[[#This Row],[High Tol]]="","N/A",IFERROR(ABS(Table1[[#This Row],[Tol Span]]/Table1[[#This Row],[Error Span]]),"N/A"))</f>
        <v>N/A</v>
      </c>
      <c r="T2919" s="1" t="str">
        <f>IF(OR(Table1[[#This Row],[Low Tol]]="",Table1[[#This Row],[High Tol]]=""),"Needs Analysis",IF(Table1[[#This Row],[Ratio]]&gt;=4,"Not Significant",IF(Table1[[#This Row],[Ratio]]&gt;=2,"Semi-Significant","Significant")))</f>
        <v>Needs Analysis</v>
      </c>
      <c r="W2919" s="1">
        <f>IF(Table1[[#This Row],[Cal Type]]&lt;&gt;"ACCREDITED 17025 WITH UNCERTAINTIES",0,"")</f>
        <v>0</v>
      </c>
      <c r="X2919" s="1" t="str">
        <f>IF(Table1[[#This Row],[DUT Read]]="","N/A",Table1[[#This Row],[Std Error]]+Table1[[#This Row],[DUT Read]]+Table1[[#This Row],[DUT Ucty]])</f>
        <v>N/A</v>
      </c>
      <c r="Y2919" s="1" t="str">
        <f>IF(Table1[[#This Row],[Std Read]]="","N/A",Table1[[#This Row],[Std Read]]+Table1[[#This Row],[Std Ucty]])</f>
        <v>N/A</v>
      </c>
      <c r="Z29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9" s="1" t="str">
        <f>IF(Table1[[#This Row],[Spec Type]]="","N/A",Table1[[#This Row],[Spec Type]])</f>
        <v>±</v>
      </c>
      <c r="AC2919" s="1" t="str">
        <f>IF(Table1[[#This Row],[Spec Type2]]="N/A","N/A",IF(AND(Table1[[#This Row],[DUT Adj Read]]&gt;=Table1[[#This Row],[Low Tol]],Table1[[#This Row],[DUT Adj Read]]&lt;=Table1[[#This Row],[High Tol]]),"Pass","Fail"))</f>
        <v>Fail</v>
      </c>
      <c r="AD2919" s="1" t="str">
        <f>IF(AND(Table1[[#This Row],[Spec Type2]]="N/A",Table1[[#This Row],[DUT Adj Read]]="N/A",Table1[[#This Row],[Std Adj Read]]="N/A"),"N/A",IF(Table1[[#This Row],[DUT Adj Read]]="N/A",IF(Table1[[#This Row],[Std Adj Read]]&gt;Table1[[#This Row],[Low Tol]],"Pass","Fail"),IF(Table1[[#This Row],[DUT Adj Read]]&gt;Table1[[#This Row],[Low Tol]],"Pass","Fail")))</f>
        <v>Pass</v>
      </c>
      <c r="AE2919" s="1" t="str">
        <f>IF(AND(Table1[[#This Row],[Spec Type2]]="N/A",Table1[[#This Row],[DUT Adj Read]]="N/A",Table1[[#This Row],[Std Adj Read]]="N/A"),"N/A",IF(Table1[[#This Row],[DUT Adj Read]]="N/A",IF(Table1[[#This Row],[Std Adj Read]]&lt;Table1[[#This Row],[High Tol]],"Pass","Fail"),IF(Table1[[#This Row],[DUT Adj Read]]&lt;Table1[[#This Row],[High Tol]],"Pass","Fail")))</f>
        <v>Fail</v>
      </c>
      <c r="AF2919" s="1" t="str">
        <f>IF(AND(Table1[[#This Row],[Spec Type2]]="N/A",Table1[[#This Row],[DUT Adj Read]]="N/A",Table1[[#This Row],[Std Adj Read]]="N/A"),"N/A",IF(Table1[[#This Row],[DUT Adj Read]]="N/A",IF(Table1[[#This Row],[Std Adj Read]]&gt;=Table1[[#This Row],[Low Tol]],"Pass","Fail"),IF(Table1[[#This Row],[DUT Adj Read]]&gt;=Table1[[#This Row],[Low Tol]],"Pass","Fail")))</f>
        <v>Pass</v>
      </c>
      <c r="AG2919" s="1" t="str">
        <f>IF(AND(Table1[[#This Row],[Spec Type2]]="N/A",Table1[[#This Row],[DUT Adj Read]]="N/A",Table1[[#This Row],[Std Adj Read]]="N/A"),"N/A",IF(Table1[[#This Row],[DUT Adj Read]]="N/A",IF(Table1[[#This Row],[Std Adj Read]]&lt;=Table1[[#This Row],[High Tol]],"Pass","Fail"),IF(Table1[[#This Row],[DUT Adj Read]]&lt;=Table1[[#This Row],[High Tol]],"Pass","Fail")))</f>
        <v>Fail</v>
      </c>
      <c r="AH29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9" s="1" t="b">
        <v>0</v>
      </c>
      <c r="AN2919" s="1" t="b">
        <v>0</v>
      </c>
      <c r="AO2919" s="1" t="b">
        <v>0</v>
      </c>
    </row>
    <row r="2920" spans="1:41" x14ac:dyDescent="0.25">
      <c r="A2920" s="10"/>
      <c r="B2920" s="10"/>
      <c r="C2920" s="10"/>
      <c r="D2920" s="10"/>
      <c r="E2920" s="10"/>
      <c r="F2920" s="10"/>
      <c r="G2920" s="10"/>
      <c r="H2920" s="10"/>
      <c r="I2920" s="1" t="str">
        <f t="shared" si="135"/>
        <v/>
      </c>
      <c r="J2920" s="1" t="s">
        <v>35</v>
      </c>
      <c r="K2920" s="1" t="str">
        <f t="shared" si="136"/>
        <v/>
      </c>
      <c r="L2920" s="1" t="str">
        <f t="shared" si="137"/>
        <v/>
      </c>
      <c r="M2920" s="1">
        <f>IF(OR(Table1[[#This Row],[Std Nom]]="",Table1[[#This Row],[Std Read]]=""),0,Table1[[#This Row],[Std Nom]]-Table1[[#This Row],[Std Read]])</f>
        <v>0</v>
      </c>
      <c r="N2920" s="1">
        <f>IF(Calculations!$F$5="ACCREDITED 17025 WITH UNCERTAINTIES",$N$10,0)</f>
        <v>0</v>
      </c>
      <c r="O2920" s="1" t="str">
        <f>IFERROR(Table1[[#This Row],[Std Nom]]-(_xlfn.XLOOKUP(Table1[[#This Row],[Manufacturer]]&amp;" "&amp;Table1[[#This Row],[Model]],Table13[MFR &amp; MDL],Table13[Tolerance % CW ],"")/100*Table1[[#This Row],[Std Nom]]),"")</f>
        <v/>
      </c>
      <c r="P2920" s="1" t="str">
        <f>IFERROR(Table1[[#This Row],[Std Nom]]+(_xlfn.XLOOKUP(Table1[[#This Row],[Manufacturer]]&amp;" "&amp;Table1[[#This Row],[Model]],Table13[MFR &amp; MDL],Table13[Tolerance % CW ],"")/100*Table1[[#This Row],[Std Nom]]),"")</f>
        <v/>
      </c>
      <c r="Q2920" s="1" t="e">
        <f>Table1[[#This Row],[High Tol]]-Table1[[#This Row],[Low Tol]]</f>
        <v>#VALUE!</v>
      </c>
      <c r="R2920" s="1">
        <f>2*Table1[[#This Row],[Std Error]]</f>
        <v>0</v>
      </c>
      <c r="S2920" s="1" t="str">
        <f>IF(Table1[[#This Row],[High Tol]]="","N/A",IFERROR(ABS(Table1[[#This Row],[Tol Span]]/Table1[[#This Row],[Error Span]]),"N/A"))</f>
        <v>N/A</v>
      </c>
      <c r="T2920" s="1" t="str">
        <f>IF(OR(Table1[[#This Row],[Low Tol]]="",Table1[[#This Row],[High Tol]]=""),"Needs Analysis",IF(Table1[[#This Row],[Ratio]]&gt;=4,"Not Significant",IF(Table1[[#This Row],[Ratio]]&gt;=2,"Semi-Significant","Significant")))</f>
        <v>Needs Analysis</v>
      </c>
      <c r="W2920" s="1">
        <f>IF(Table1[[#This Row],[Cal Type]]&lt;&gt;"ACCREDITED 17025 WITH UNCERTAINTIES",0,"")</f>
        <v>0</v>
      </c>
      <c r="X2920" s="1" t="str">
        <f>IF(Table1[[#This Row],[DUT Read]]="","N/A",Table1[[#This Row],[Std Error]]+Table1[[#This Row],[DUT Read]]+Table1[[#This Row],[DUT Ucty]])</f>
        <v>N/A</v>
      </c>
      <c r="Y2920" s="1" t="str">
        <f>IF(Table1[[#This Row],[Std Read]]="","N/A",Table1[[#This Row],[Std Read]]+Table1[[#This Row],[Std Ucty]])</f>
        <v>N/A</v>
      </c>
      <c r="Z29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0" s="1" t="str">
        <f>IF(Table1[[#This Row],[Spec Type]]="","N/A",Table1[[#This Row],[Spec Type]])</f>
        <v>±</v>
      </c>
      <c r="AC2920" s="1" t="str">
        <f>IF(Table1[[#This Row],[Spec Type2]]="N/A","N/A",IF(AND(Table1[[#This Row],[DUT Adj Read]]&gt;=Table1[[#This Row],[Low Tol]],Table1[[#This Row],[DUT Adj Read]]&lt;=Table1[[#This Row],[High Tol]]),"Pass","Fail"))</f>
        <v>Fail</v>
      </c>
      <c r="AD2920" s="1" t="str">
        <f>IF(AND(Table1[[#This Row],[Spec Type2]]="N/A",Table1[[#This Row],[DUT Adj Read]]="N/A",Table1[[#This Row],[Std Adj Read]]="N/A"),"N/A",IF(Table1[[#This Row],[DUT Adj Read]]="N/A",IF(Table1[[#This Row],[Std Adj Read]]&gt;Table1[[#This Row],[Low Tol]],"Pass","Fail"),IF(Table1[[#This Row],[DUT Adj Read]]&gt;Table1[[#This Row],[Low Tol]],"Pass","Fail")))</f>
        <v>Pass</v>
      </c>
      <c r="AE2920" s="1" t="str">
        <f>IF(AND(Table1[[#This Row],[Spec Type2]]="N/A",Table1[[#This Row],[DUT Adj Read]]="N/A",Table1[[#This Row],[Std Adj Read]]="N/A"),"N/A",IF(Table1[[#This Row],[DUT Adj Read]]="N/A",IF(Table1[[#This Row],[Std Adj Read]]&lt;Table1[[#This Row],[High Tol]],"Pass","Fail"),IF(Table1[[#This Row],[DUT Adj Read]]&lt;Table1[[#This Row],[High Tol]],"Pass","Fail")))</f>
        <v>Fail</v>
      </c>
      <c r="AF2920" s="1" t="str">
        <f>IF(AND(Table1[[#This Row],[Spec Type2]]="N/A",Table1[[#This Row],[DUT Adj Read]]="N/A",Table1[[#This Row],[Std Adj Read]]="N/A"),"N/A",IF(Table1[[#This Row],[DUT Adj Read]]="N/A",IF(Table1[[#This Row],[Std Adj Read]]&gt;=Table1[[#This Row],[Low Tol]],"Pass","Fail"),IF(Table1[[#This Row],[DUT Adj Read]]&gt;=Table1[[#This Row],[Low Tol]],"Pass","Fail")))</f>
        <v>Pass</v>
      </c>
      <c r="AG2920" s="1" t="str">
        <f>IF(AND(Table1[[#This Row],[Spec Type2]]="N/A",Table1[[#This Row],[DUT Adj Read]]="N/A",Table1[[#This Row],[Std Adj Read]]="N/A"),"N/A",IF(Table1[[#This Row],[DUT Adj Read]]="N/A",IF(Table1[[#This Row],[Std Adj Read]]&lt;=Table1[[#This Row],[High Tol]],"Pass","Fail"),IF(Table1[[#This Row],[DUT Adj Read]]&lt;=Table1[[#This Row],[High Tol]],"Pass","Fail")))</f>
        <v>Fail</v>
      </c>
      <c r="AH29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0" s="1" t="b">
        <v>0</v>
      </c>
      <c r="AN2920" s="1" t="b">
        <v>0</v>
      </c>
      <c r="AO2920" s="1" t="b">
        <v>0</v>
      </c>
    </row>
    <row r="2921" spans="1:41" x14ac:dyDescent="0.25">
      <c r="A2921" s="10"/>
      <c r="B2921" s="10"/>
      <c r="C2921" s="10"/>
      <c r="D2921" s="10"/>
      <c r="E2921" s="10"/>
      <c r="F2921" s="10"/>
      <c r="G2921" s="10"/>
      <c r="H2921" s="10"/>
      <c r="I2921" s="1" t="str">
        <f t="shared" si="135"/>
        <v/>
      </c>
      <c r="J2921" s="1" t="s">
        <v>35</v>
      </c>
      <c r="K2921" s="1" t="str">
        <f t="shared" si="136"/>
        <v/>
      </c>
      <c r="L2921" s="1" t="str">
        <f t="shared" si="137"/>
        <v/>
      </c>
      <c r="M2921" s="1">
        <f>IF(OR(Table1[[#This Row],[Std Nom]]="",Table1[[#This Row],[Std Read]]=""),0,Table1[[#This Row],[Std Nom]]-Table1[[#This Row],[Std Read]])</f>
        <v>0</v>
      </c>
      <c r="N2921" s="1">
        <f>IF(Calculations!$F$5="ACCREDITED 17025 WITH UNCERTAINTIES",$N$10,0)</f>
        <v>0</v>
      </c>
      <c r="O2921" s="1" t="str">
        <f>IFERROR(Table1[[#This Row],[Std Nom]]-(_xlfn.XLOOKUP(Table1[[#This Row],[Manufacturer]]&amp;" "&amp;Table1[[#This Row],[Model]],Table13[MFR &amp; MDL],Table13[Tolerance % CW ],"")/100*Table1[[#This Row],[Std Nom]]),"")</f>
        <v/>
      </c>
      <c r="P2921" s="1" t="str">
        <f>IFERROR(Table1[[#This Row],[Std Nom]]+(_xlfn.XLOOKUP(Table1[[#This Row],[Manufacturer]]&amp;" "&amp;Table1[[#This Row],[Model]],Table13[MFR &amp; MDL],Table13[Tolerance % CW ],"")/100*Table1[[#This Row],[Std Nom]]),"")</f>
        <v/>
      </c>
      <c r="Q2921" s="1" t="e">
        <f>Table1[[#This Row],[High Tol]]-Table1[[#This Row],[Low Tol]]</f>
        <v>#VALUE!</v>
      </c>
      <c r="R2921" s="1">
        <f>2*Table1[[#This Row],[Std Error]]</f>
        <v>0</v>
      </c>
      <c r="S2921" s="1" t="str">
        <f>IF(Table1[[#This Row],[High Tol]]="","N/A",IFERROR(ABS(Table1[[#This Row],[Tol Span]]/Table1[[#This Row],[Error Span]]),"N/A"))</f>
        <v>N/A</v>
      </c>
      <c r="T2921" s="1" t="str">
        <f>IF(OR(Table1[[#This Row],[Low Tol]]="",Table1[[#This Row],[High Tol]]=""),"Needs Analysis",IF(Table1[[#This Row],[Ratio]]&gt;=4,"Not Significant",IF(Table1[[#This Row],[Ratio]]&gt;=2,"Semi-Significant","Significant")))</f>
        <v>Needs Analysis</v>
      </c>
      <c r="W2921" s="1">
        <f>IF(Table1[[#This Row],[Cal Type]]&lt;&gt;"ACCREDITED 17025 WITH UNCERTAINTIES",0,"")</f>
        <v>0</v>
      </c>
      <c r="X2921" s="1" t="str">
        <f>IF(Table1[[#This Row],[DUT Read]]="","N/A",Table1[[#This Row],[Std Error]]+Table1[[#This Row],[DUT Read]]+Table1[[#This Row],[DUT Ucty]])</f>
        <v>N/A</v>
      </c>
      <c r="Y2921" s="1" t="str">
        <f>IF(Table1[[#This Row],[Std Read]]="","N/A",Table1[[#This Row],[Std Read]]+Table1[[#This Row],[Std Ucty]])</f>
        <v>N/A</v>
      </c>
      <c r="Z29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1" s="1" t="str">
        <f>IF(Table1[[#This Row],[Spec Type]]="","N/A",Table1[[#This Row],[Spec Type]])</f>
        <v>±</v>
      </c>
      <c r="AC2921" s="1" t="str">
        <f>IF(Table1[[#This Row],[Spec Type2]]="N/A","N/A",IF(AND(Table1[[#This Row],[DUT Adj Read]]&gt;=Table1[[#This Row],[Low Tol]],Table1[[#This Row],[DUT Adj Read]]&lt;=Table1[[#This Row],[High Tol]]),"Pass","Fail"))</f>
        <v>Fail</v>
      </c>
      <c r="AD2921" s="1" t="str">
        <f>IF(AND(Table1[[#This Row],[Spec Type2]]="N/A",Table1[[#This Row],[DUT Adj Read]]="N/A",Table1[[#This Row],[Std Adj Read]]="N/A"),"N/A",IF(Table1[[#This Row],[DUT Adj Read]]="N/A",IF(Table1[[#This Row],[Std Adj Read]]&gt;Table1[[#This Row],[Low Tol]],"Pass","Fail"),IF(Table1[[#This Row],[DUT Adj Read]]&gt;Table1[[#This Row],[Low Tol]],"Pass","Fail")))</f>
        <v>Pass</v>
      </c>
      <c r="AE2921" s="1" t="str">
        <f>IF(AND(Table1[[#This Row],[Spec Type2]]="N/A",Table1[[#This Row],[DUT Adj Read]]="N/A",Table1[[#This Row],[Std Adj Read]]="N/A"),"N/A",IF(Table1[[#This Row],[DUT Adj Read]]="N/A",IF(Table1[[#This Row],[Std Adj Read]]&lt;Table1[[#This Row],[High Tol]],"Pass","Fail"),IF(Table1[[#This Row],[DUT Adj Read]]&lt;Table1[[#This Row],[High Tol]],"Pass","Fail")))</f>
        <v>Fail</v>
      </c>
      <c r="AF2921" s="1" t="str">
        <f>IF(AND(Table1[[#This Row],[Spec Type2]]="N/A",Table1[[#This Row],[DUT Adj Read]]="N/A",Table1[[#This Row],[Std Adj Read]]="N/A"),"N/A",IF(Table1[[#This Row],[DUT Adj Read]]="N/A",IF(Table1[[#This Row],[Std Adj Read]]&gt;=Table1[[#This Row],[Low Tol]],"Pass","Fail"),IF(Table1[[#This Row],[DUT Adj Read]]&gt;=Table1[[#This Row],[Low Tol]],"Pass","Fail")))</f>
        <v>Pass</v>
      </c>
      <c r="AG2921" s="1" t="str">
        <f>IF(AND(Table1[[#This Row],[Spec Type2]]="N/A",Table1[[#This Row],[DUT Adj Read]]="N/A",Table1[[#This Row],[Std Adj Read]]="N/A"),"N/A",IF(Table1[[#This Row],[DUT Adj Read]]="N/A",IF(Table1[[#This Row],[Std Adj Read]]&lt;=Table1[[#This Row],[High Tol]],"Pass","Fail"),IF(Table1[[#This Row],[DUT Adj Read]]&lt;=Table1[[#This Row],[High Tol]],"Pass","Fail")))</f>
        <v>Fail</v>
      </c>
      <c r="AH29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1" s="1" t="b">
        <v>0</v>
      </c>
      <c r="AN2921" s="1" t="b">
        <v>0</v>
      </c>
      <c r="AO2921" s="1" t="b">
        <v>0</v>
      </c>
    </row>
    <row r="2922" spans="1:41" x14ac:dyDescent="0.25">
      <c r="A2922" s="10"/>
      <c r="B2922" s="10"/>
      <c r="C2922" s="10"/>
      <c r="D2922" s="10"/>
      <c r="E2922" s="10"/>
      <c r="F2922" s="10"/>
      <c r="G2922" s="10"/>
      <c r="H2922" s="10"/>
      <c r="I2922" s="1" t="str">
        <f t="shared" si="135"/>
        <v/>
      </c>
      <c r="J2922" s="1" t="s">
        <v>35</v>
      </c>
      <c r="K2922" s="1" t="str">
        <f t="shared" si="136"/>
        <v/>
      </c>
      <c r="L2922" s="1" t="str">
        <f t="shared" si="137"/>
        <v/>
      </c>
      <c r="M2922" s="1">
        <f>IF(OR(Table1[[#This Row],[Std Nom]]="",Table1[[#This Row],[Std Read]]=""),0,Table1[[#This Row],[Std Nom]]-Table1[[#This Row],[Std Read]])</f>
        <v>0</v>
      </c>
      <c r="N2922" s="1">
        <f>IF(Calculations!$F$5="ACCREDITED 17025 WITH UNCERTAINTIES",$N$10,0)</f>
        <v>0</v>
      </c>
      <c r="O2922" s="1" t="str">
        <f>IFERROR(Table1[[#This Row],[Std Nom]]-(_xlfn.XLOOKUP(Table1[[#This Row],[Manufacturer]]&amp;" "&amp;Table1[[#This Row],[Model]],Table13[MFR &amp; MDL],Table13[Tolerance % CW ],"")/100*Table1[[#This Row],[Std Nom]]),"")</f>
        <v/>
      </c>
      <c r="P2922" s="1" t="str">
        <f>IFERROR(Table1[[#This Row],[Std Nom]]+(_xlfn.XLOOKUP(Table1[[#This Row],[Manufacturer]]&amp;" "&amp;Table1[[#This Row],[Model]],Table13[MFR &amp; MDL],Table13[Tolerance % CW ],"")/100*Table1[[#This Row],[Std Nom]]),"")</f>
        <v/>
      </c>
      <c r="Q2922" s="1" t="e">
        <f>Table1[[#This Row],[High Tol]]-Table1[[#This Row],[Low Tol]]</f>
        <v>#VALUE!</v>
      </c>
      <c r="R2922" s="1">
        <f>2*Table1[[#This Row],[Std Error]]</f>
        <v>0</v>
      </c>
      <c r="S2922" s="1" t="str">
        <f>IF(Table1[[#This Row],[High Tol]]="","N/A",IFERROR(ABS(Table1[[#This Row],[Tol Span]]/Table1[[#This Row],[Error Span]]),"N/A"))</f>
        <v>N/A</v>
      </c>
      <c r="T2922" s="1" t="str">
        <f>IF(OR(Table1[[#This Row],[Low Tol]]="",Table1[[#This Row],[High Tol]]=""),"Needs Analysis",IF(Table1[[#This Row],[Ratio]]&gt;=4,"Not Significant",IF(Table1[[#This Row],[Ratio]]&gt;=2,"Semi-Significant","Significant")))</f>
        <v>Needs Analysis</v>
      </c>
      <c r="W2922" s="1">
        <f>IF(Table1[[#This Row],[Cal Type]]&lt;&gt;"ACCREDITED 17025 WITH UNCERTAINTIES",0,"")</f>
        <v>0</v>
      </c>
      <c r="X2922" s="1" t="str">
        <f>IF(Table1[[#This Row],[DUT Read]]="","N/A",Table1[[#This Row],[Std Error]]+Table1[[#This Row],[DUT Read]]+Table1[[#This Row],[DUT Ucty]])</f>
        <v>N/A</v>
      </c>
      <c r="Y2922" s="1" t="str">
        <f>IF(Table1[[#This Row],[Std Read]]="","N/A",Table1[[#This Row],[Std Read]]+Table1[[#This Row],[Std Ucty]])</f>
        <v>N/A</v>
      </c>
      <c r="Z29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2" s="1" t="str">
        <f>IF(Table1[[#This Row],[Spec Type]]="","N/A",Table1[[#This Row],[Spec Type]])</f>
        <v>±</v>
      </c>
      <c r="AC2922" s="1" t="str">
        <f>IF(Table1[[#This Row],[Spec Type2]]="N/A","N/A",IF(AND(Table1[[#This Row],[DUT Adj Read]]&gt;=Table1[[#This Row],[Low Tol]],Table1[[#This Row],[DUT Adj Read]]&lt;=Table1[[#This Row],[High Tol]]),"Pass","Fail"))</f>
        <v>Fail</v>
      </c>
      <c r="AD2922" s="1" t="str">
        <f>IF(AND(Table1[[#This Row],[Spec Type2]]="N/A",Table1[[#This Row],[DUT Adj Read]]="N/A",Table1[[#This Row],[Std Adj Read]]="N/A"),"N/A",IF(Table1[[#This Row],[DUT Adj Read]]="N/A",IF(Table1[[#This Row],[Std Adj Read]]&gt;Table1[[#This Row],[Low Tol]],"Pass","Fail"),IF(Table1[[#This Row],[DUT Adj Read]]&gt;Table1[[#This Row],[Low Tol]],"Pass","Fail")))</f>
        <v>Pass</v>
      </c>
      <c r="AE2922" s="1" t="str">
        <f>IF(AND(Table1[[#This Row],[Spec Type2]]="N/A",Table1[[#This Row],[DUT Adj Read]]="N/A",Table1[[#This Row],[Std Adj Read]]="N/A"),"N/A",IF(Table1[[#This Row],[DUT Adj Read]]="N/A",IF(Table1[[#This Row],[Std Adj Read]]&lt;Table1[[#This Row],[High Tol]],"Pass","Fail"),IF(Table1[[#This Row],[DUT Adj Read]]&lt;Table1[[#This Row],[High Tol]],"Pass","Fail")))</f>
        <v>Fail</v>
      </c>
      <c r="AF2922" s="1" t="str">
        <f>IF(AND(Table1[[#This Row],[Spec Type2]]="N/A",Table1[[#This Row],[DUT Adj Read]]="N/A",Table1[[#This Row],[Std Adj Read]]="N/A"),"N/A",IF(Table1[[#This Row],[DUT Adj Read]]="N/A",IF(Table1[[#This Row],[Std Adj Read]]&gt;=Table1[[#This Row],[Low Tol]],"Pass","Fail"),IF(Table1[[#This Row],[DUT Adj Read]]&gt;=Table1[[#This Row],[Low Tol]],"Pass","Fail")))</f>
        <v>Pass</v>
      </c>
      <c r="AG2922" s="1" t="str">
        <f>IF(AND(Table1[[#This Row],[Spec Type2]]="N/A",Table1[[#This Row],[DUT Adj Read]]="N/A",Table1[[#This Row],[Std Adj Read]]="N/A"),"N/A",IF(Table1[[#This Row],[DUT Adj Read]]="N/A",IF(Table1[[#This Row],[Std Adj Read]]&lt;=Table1[[#This Row],[High Tol]],"Pass","Fail"),IF(Table1[[#This Row],[DUT Adj Read]]&lt;=Table1[[#This Row],[High Tol]],"Pass","Fail")))</f>
        <v>Fail</v>
      </c>
      <c r="AH29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2" s="1" t="b">
        <v>0</v>
      </c>
      <c r="AN2922" s="1" t="b">
        <v>0</v>
      </c>
      <c r="AO2922" s="1" t="b">
        <v>0</v>
      </c>
    </row>
    <row r="2923" spans="1:41" x14ac:dyDescent="0.25">
      <c r="A2923" s="10"/>
      <c r="B2923" s="10"/>
      <c r="C2923" s="10"/>
      <c r="D2923" s="10"/>
      <c r="E2923" s="10"/>
      <c r="F2923" s="10"/>
      <c r="G2923" s="10"/>
      <c r="H2923" s="10"/>
      <c r="I2923" s="1" t="str">
        <f t="shared" si="135"/>
        <v/>
      </c>
      <c r="J2923" s="1" t="s">
        <v>35</v>
      </c>
      <c r="K2923" s="1" t="str">
        <f t="shared" si="136"/>
        <v/>
      </c>
      <c r="L2923" s="1" t="str">
        <f t="shared" si="137"/>
        <v/>
      </c>
      <c r="M2923" s="1">
        <f>IF(OR(Table1[[#This Row],[Std Nom]]="",Table1[[#This Row],[Std Read]]=""),0,Table1[[#This Row],[Std Nom]]-Table1[[#This Row],[Std Read]])</f>
        <v>0</v>
      </c>
      <c r="N2923" s="1">
        <f>IF(Calculations!$F$5="ACCREDITED 17025 WITH UNCERTAINTIES",$N$10,0)</f>
        <v>0</v>
      </c>
      <c r="O2923" s="1" t="str">
        <f>IFERROR(Table1[[#This Row],[Std Nom]]-(_xlfn.XLOOKUP(Table1[[#This Row],[Manufacturer]]&amp;" "&amp;Table1[[#This Row],[Model]],Table13[MFR &amp; MDL],Table13[Tolerance % CW ],"")/100*Table1[[#This Row],[Std Nom]]),"")</f>
        <v/>
      </c>
      <c r="P2923" s="1" t="str">
        <f>IFERROR(Table1[[#This Row],[Std Nom]]+(_xlfn.XLOOKUP(Table1[[#This Row],[Manufacturer]]&amp;" "&amp;Table1[[#This Row],[Model]],Table13[MFR &amp; MDL],Table13[Tolerance % CW ],"")/100*Table1[[#This Row],[Std Nom]]),"")</f>
        <v/>
      </c>
      <c r="Q2923" s="1" t="e">
        <f>Table1[[#This Row],[High Tol]]-Table1[[#This Row],[Low Tol]]</f>
        <v>#VALUE!</v>
      </c>
      <c r="R2923" s="1">
        <f>2*Table1[[#This Row],[Std Error]]</f>
        <v>0</v>
      </c>
      <c r="S2923" s="1" t="str">
        <f>IF(Table1[[#This Row],[High Tol]]="","N/A",IFERROR(ABS(Table1[[#This Row],[Tol Span]]/Table1[[#This Row],[Error Span]]),"N/A"))</f>
        <v>N/A</v>
      </c>
      <c r="T2923" s="1" t="str">
        <f>IF(OR(Table1[[#This Row],[Low Tol]]="",Table1[[#This Row],[High Tol]]=""),"Needs Analysis",IF(Table1[[#This Row],[Ratio]]&gt;=4,"Not Significant",IF(Table1[[#This Row],[Ratio]]&gt;=2,"Semi-Significant","Significant")))</f>
        <v>Needs Analysis</v>
      </c>
      <c r="W2923" s="1">
        <f>IF(Table1[[#This Row],[Cal Type]]&lt;&gt;"ACCREDITED 17025 WITH UNCERTAINTIES",0,"")</f>
        <v>0</v>
      </c>
      <c r="X2923" s="1" t="str">
        <f>IF(Table1[[#This Row],[DUT Read]]="","N/A",Table1[[#This Row],[Std Error]]+Table1[[#This Row],[DUT Read]]+Table1[[#This Row],[DUT Ucty]])</f>
        <v>N/A</v>
      </c>
      <c r="Y2923" s="1" t="str">
        <f>IF(Table1[[#This Row],[Std Read]]="","N/A",Table1[[#This Row],[Std Read]]+Table1[[#This Row],[Std Ucty]])</f>
        <v>N/A</v>
      </c>
      <c r="Z29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3" s="1" t="str">
        <f>IF(Table1[[#This Row],[Spec Type]]="","N/A",Table1[[#This Row],[Spec Type]])</f>
        <v>±</v>
      </c>
      <c r="AC2923" s="1" t="str">
        <f>IF(Table1[[#This Row],[Spec Type2]]="N/A","N/A",IF(AND(Table1[[#This Row],[DUT Adj Read]]&gt;=Table1[[#This Row],[Low Tol]],Table1[[#This Row],[DUT Adj Read]]&lt;=Table1[[#This Row],[High Tol]]),"Pass","Fail"))</f>
        <v>Fail</v>
      </c>
      <c r="AD2923" s="1" t="str">
        <f>IF(AND(Table1[[#This Row],[Spec Type2]]="N/A",Table1[[#This Row],[DUT Adj Read]]="N/A",Table1[[#This Row],[Std Adj Read]]="N/A"),"N/A",IF(Table1[[#This Row],[DUT Adj Read]]="N/A",IF(Table1[[#This Row],[Std Adj Read]]&gt;Table1[[#This Row],[Low Tol]],"Pass","Fail"),IF(Table1[[#This Row],[DUT Adj Read]]&gt;Table1[[#This Row],[Low Tol]],"Pass","Fail")))</f>
        <v>Pass</v>
      </c>
      <c r="AE2923" s="1" t="str">
        <f>IF(AND(Table1[[#This Row],[Spec Type2]]="N/A",Table1[[#This Row],[DUT Adj Read]]="N/A",Table1[[#This Row],[Std Adj Read]]="N/A"),"N/A",IF(Table1[[#This Row],[DUT Adj Read]]="N/A",IF(Table1[[#This Row],[Std Adj Read]]&lt;Table1[[#This Row],[High Tol]],"Pass","Fail"),IF(Table1[[#This Row],[DUT Adj Read]]&lt;Table1[[#This Row],[High Tol]],"Pass","Fail")))</f>
        <v>Fail</v>
      </c>
      <c r="AF2923" s="1" t="str">
        <f>IF(AND(Table1[[#This Row],[Spec Type2]]="N/A",Table1[[#This Row],[DUT Adj Read]]="N/A",Table1[[#This Row],[Std Adj Read]]="N/A"),"N/A",IF(Table1[[#This Row],[DUT Adj Read]]="N/A",IF(Table1[[#This Row],[Std Adj Read]]&gt;=Table1[[#This Row],[Low Tol]],"Pass","Fail"),IF(Table1[[#This Row],[DUT Adj Read]]&gt;=Table1[[#This Row],[Low Tol]],"Pass","Fail")))</f>
        <v>Pass</v>
      </c>
      <c r="AG2923" s="1" t="str">
        <f>IF(AND(Table1[[#This Row],[Spec Type2]]="N/A",Table1[[#This Row],[DUT Adj Read]]="N/A",Table1[[#This Row],[Std Adj Read]]="N/A"),"N/A",IF(Table1[[#This Row],[DUT Adj Read]]="N/A",IF(Table1[[#This Row],[Std Adj Read]]&lt;=Table1[[#This Row],[High Tol]],"Pass","Fail"),IF(Table1[[#This Row],[DUT Adj Read]]&lt;=Table1[[#This Row],[High Tol]],"Pass","Fail")))</f>
        <v>Fail</v>
      </c>
      <c r="AH29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3" s="1" t="b">
        <v>0</v>
      </c>
      <c r="AN2923" s="1" t="b">
        <v>0</v>
      </c>
      <c r="AO2923" s="1" t="b">
        <v>0</v>
      </c>
    </row>
    <row r="2924" spans="1:41" x14ac:dyDescent="0.25">
      <c r="A2924" s="10"/>
      <c r="B2924" s="10"/>
      <c r="C2924" s="10"/>
      <c r="D2924" s="10"/>
      <c r="E2924" s="10"/>
      <c r="F2924" s="10"/>
      <c r="G2924" s="10"/>
      <c r="H2924" s="10"/>
      <c r="I2924" s="1" t="str">
        <f t="shared" si="135"/>
        <v/>
      </c>
      <c r="J2924" s="1" t="s">
        <v>35</v>
      </c>
      <c r="K2924" s="1" t="str">
        <f t="shared" si="136"/>
        <v/>
      </c>
      <c r="L2924" s="1" t="str">
        <f t="shared" si="137"/>
        <v/>
      </c>
      <c r="M2924" s="1">
        <f>IF(OR(Table1[[#This Row],[Std Nom]]="",Table1[[#This Row],[Std Read]]=""),0,Table1[[#This Row],[Std Nom]]-Table1[[#This Row],[Std Read]])</f>
        <v>0</v>
      </c>
      <c r="N2924" s="1">
        <f>IF(Calculations!$F$5="ACCREDITED 17025 WITH UNCERTAINTIES",$N$10,0)</f>
        <v>0</v>
      </c>
      <c r="O2924" s="1" t="str">
        <f>IFERROR(Table1[[#This Row],[Std Nom]]-(_xlfn.XLOOKUP(Table1[[#This Row],[Manufacturer]]&amp;" "&amp;Table1[[#This Row],[Model]],Table13[MFR &amp; MDL],Table13[Tolerance % CW ],"")/100*Table1[[#This Row],[Std Nom]]),"")</f>
        <v/>
      </c>
      <c r="P2924" s="1" t="str">
        <f>IFERROR(Table1[[#This Row],[Std Nom]]+(_xlfn.XLOOKUP(Table1[[#This Row],[Manufacturer]]&amp;" "&amp;Table1[[#This Row],[Model]],Table13[MFR &amp; MDL],Table13[Tolerance % CW ],"")/100*Table1[[#This Row],[Std Nom]]),"")</f>
        <v/>
      </c>
      <c r="Q2924" s="1" t="e">
        <f>Table1[[#This Row],[High Tol]]-Table1[[#This Row],[Low Tol]]</f>
        <v>#VALUE!</v>
      </c>
      <c r="R2924" s="1">
        <f>2*Table1[[#This Row],[Std Error]]</f>
        <v>0</v>
      </c>
      <c r="S2924" s="1" t="str">
        <f>IF(Table1[[#This Row],[High Tol]]="","N/A",IFERROR(ABS(Table1[[#This Row],[Tol Span]]/Table1[[#This Row],[Error Span]]),"N/A"))</f>
        <v>N/A</v>
      </c>
      <c r="T2924" s="1" t="str">
        <f>IF(OR(Table1[[#This Row],[Low Tol]]="",Table1[[#This Row],[High Tol]]=""),"Needs Analysis",IF(Table1[[#This Row],[Ratio]]&gt;=4,"Not Significant",IF(Table1[[#This Row],[Ratio]]&gt;=2,"Semi-Significant","Significant")))</f>
        <v>Needs Analysis</v>
      </c>
      <c r="W2924" s="1">
        <f>IF(Table1[[#This Row],[Cal Type]]&lt;&gt;"ACCREDITED 17025 WITH UNCERTAINTIES",0,"")</f>
        <v>0</v>
      </c>
      <c r="X2924" s="1" t="str">
        <f>IF(Table1[[#This Row],[DUT Read]]="","N/A",Table1[[#This Row],[Std Error]]+Table1[[#This Row],[DUT Read]]+Table1[[#This Row],[DUT Ucty]])</f>
        <v>N/A</v>
      </c>
      <c r="Y2924" s="1" t="str">
        <f>IF(Table1[[#This Row],[Std Read]]="","N/A",Table1[[#This Row],[Std Read]]+Table1[[#This Row],[Std Ucty]])</f>
        <v>N/A</v>
      </c>
      <c r="Z29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4" s="1" t="str">
        <f>IF(Table1[[#This Row],[Spec Type]]="","N/A",Table1[[#This Row],[Spec Type]])</f>
        <v>±</v>
      </c>
      <c r="AC2924" s="1" t="str">
        <f>IF(Table1[[#This Row],[Spec Type2]]="N/A","N/A",IF(AND(Table1[[#This Row],[DUT Adj Read]]&gt;=Table1[[#This Row],[Low Tol]],Table1[[#This Row],[DUT Adj Read]]&lt;=Table1[[#This Row],[High Tol]]),"Pass","Fail"))</f>
        <v>Fail</v>
      </c>
      <c r="AD2924" s="1" t="str">
        <f>IF(AND(Table1[[#This Row],[Spec Type2]]="N/A",Table1[[#This Row],[DUT Adj Read]]="N/A",Table1[[#This Row],[Std Adj Read]]="N/A"),"N/A",IF(Table1[[#This Row],[DUT Adj Read]]="N/A",IF(Table1[[#This Row],[Std Adj Read]]&gt;Table1[[#This Row],[Low Tol]],"Pass","Fail"),IF(Table1[[#This Row],[DUT Adj Read]]&gt;Table1[[#This Row],[Low Tol]],"Pass","Fail")))</f>
        <v>Pass</v>
      </c>
      <c r="AE2924" s="1" t="str">
        <f>IF(AND(Table1[[#This Row],[Spec Type2]]="N/A",Table1[[#This Row],[DUT Adj Read]]="N/A",Table1[[#This Row],[Std Adj Read]]="N/A"),"N/A",IF(Table1[[#This Row],[DUT Adj Read]]="N/A",IF(Table1[[#This Row],[Std Adj Read]]&lt;Table1[[#This Row],[High Tol]],"Pass","Fail"),IF(Table1[[#This Row],[DUT Adj Read]]&lt;Table1[[#This Row],[High Tol]],"Pass","Fail")))</f>
        <v>Fail</v>
      </c>
      <c r="AF2924" s="1" t="str">
        <f>IF(AND(Table1[[#This Row],[Spec Type2]]="N/A",Table1[[#This Row],[DUT Adj Read]]="N/A",Table1[[#This Row],[Std Adj Read]]="N/A"),"N/A",IF(Table1[[#This Row],[DUT Adj Read]]="N/A",IF(Table1[[#This Row],[Std Adj Read]]&gt;=Table1[[#This Row],[Low Tol]],"Pass","Fail"),IF(Table1[[#This Row],[DUT Adj Read]]&gt;=Table1[[#This Row],[Low Tol]],"Pass","Fail")))</f>
        <v>Pass</v>
      </c>
      <c r="AG2924" s="1" t="str">
        <f>IF(AND(Table1[[#This Row],[Spec Type2]]="N/A",Table1[[#This Row],[DUT Adj Read]]="N/A",Table1[[#This Row],[Std Adj Read]]="N/A"),"N/A",IF(Table1[[#This Row],[DUT Adj Read]]="N/A",IF(Table1[[#This Row],[Std Adj Read]]&lt;=Table1[[#This Row],[High Tol]],"Pass","Fail"),IF(Table1[[#This Row],[DUT Adj Read]]&lt;=Table1[[#This Row],[High Tol]],"Pass","Fail")))</f>
        <v>Fail</v>
      </c>
      <c r="AH29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4" s="1" t="b">
        <v>0</v>
      </c>
      <c r="AN2924" s="1" t="b">
        <v>0</v>
      </c>
      <c r="AO2924" s="1" t="b">
        <v>0</v>
      </c>
    </row>
    <row r="2925" spans="1:41" x14ac:dyDescent="0.25">
      <c r="A2925" s="10"/>
      <c r="B2925" s="10"/>
      <c r="C2925" s="10"/>
      <c r="D2925" s="10"/>
      <c r="E2925" s="10"/>
      <c r="F2925" s="10"/>
      <c r="G2925" s="10"/>
      <c r="H2925" s="10"/>
      <c r="I2925" s="1" t="str">
        <f t="shared" si="135"/>
        <v/>
      </c>
      <c r="J2925" s="1" t="s">
        <v>35</v>
      </c>
      <c r="K2925" s="1" t="str">
        <f t="shared" si="136"/>
        <v/>
      </c>
      <c r="L2925" s="1" t="str">
        <f t="shared" si="137"/>
        <v/>
      </c>
      <c r="M2925" s="1">
        <f>IF(OR(Table1[[#This Row],[Std Nom]]="",Table1[[#This Row],[Std Read]]=""),0,Table1[[#This Row],[Std Nom]]-Table1[[#This Row],[Std Read]])</f>
        <v>0</v>
      </c>
      <c r="N2925" s="1">
        <f>IF(Calculations!$F$5="ACCREDITED 17025 WITH UNCERTAINTIES",$N$10,0)</f>
        <v>0</v>
      </c>
      <c r="O2925" s="1" t="str">
        <f>IFERROR(Table1[[#This Row],[Std Nom]]-(_xlfn.XLOOKUP(Table1[[#This Row],[Manufacturer]]&amp;" "&amp;Table1[[#This Row],[Model]],Table13[MFR &amp; MDL],Table13[Tolerance % CW ],"")/100*Table1[[#This Row],[Std Nom]]),"")</f>
        <v/>
      </c>
      <c r="P2925" s="1" t="str">
        <f>IFERROR(Table1[[#This Row],[Std Nom]]+(_xlfn.XLOOKUP(Table1[[#This Row],[Manufacturer]]&amp;" "&amp;Table1[[#This Row],[Model]],Table13[MFR &amp; MDL],Table13[Tolerance % CW ],"")/100*Table1[[#This Row],[Std Nom]]),"")</f>
        <v/>
      </c>
      <c r="Q2925" s="1" t="e">
        <f>Table1[[#This Row],[High Tol]]-Table1[[#This Row],[Low Tol]]</f>
        <v>#VALUE!</v>
      </c>
      <c r="R2925" s="1">
        <f>2*Table1[[#This Row],[Std Error]]</f>
        <v>0</v>
      </c>
      <c r="S2925" s="1" t="str">
        <f>IF(Table1[[#This Row],[High Tol]]="","N/A",IFERROR(ABS(Table1[[#This Row],[Tol Span]]/Table1[[#This Row],[Error Span]]),"N/A"))</f>
        <v>N/A</v>
      </c>
      <c r="T2925" s="1" t="str">
        <f>IF(OR(Table1[[#This Row],[Low Tol]]="",Table1[[#This Row],[High Tol]]=""),"Needs Analysis",IF(Table1[[#This Row],[Ratio]]&gt;=4,"Not Significant",IF(Table1[[#This Row],[Ratio]]&gt;=2,"Semi-Significant","Significant")))</f>
        <v>Needs Analysis</v>
      </c>
      <c r="W2925" s="1">
        <f>IF(Table1[[#This Row],[Cal Type]]&lt;&gt;"ACCREDITED 17025 WITH UNCERTAINTIES",0,"")</f>
        <v>0</v>
      </c>
      <c r="X2925" s="1" t="str">
        <f>IF(Table1[[#This Row],[DUT Read]]="","N/A",Table1[[#This Row],[Std Error]]+Table1[[#This Row],[DUT Read]]+Table1[[#This Row],[DUT Ucty]])</f>
        <v>N/A</v>
      </c>
      <c r="Y2925" s="1" t="str">
        <f>IF(Table1[[#This Row],[Std Read]]="","N/A",Table1[[#This Row],[Std Read]]+Table1[[#This Row],[Std Ucty]])</f>
        <v>N/A</v>
      </c>
      <c r="Z29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5" s="1" t="str">
        <f>IF(Table1[[#This Row],[Spec Type]]="","N/A",Table1[[#This Row],[Spec Type]])</f>
        <v>±</v>
      </c>
      <c r="AC2925" s="1" t="str">
        <f>IF(Table1[[#This Row],[Spec Type2]]="N/A","N/A",IF(AND(Table1[[#This Row],[DUT Adj Read]]&gt;=Table1[[#This Row],[Low Tol]],Table1[[#This Row],[DUT Adj Read]]&lt;=Table1[[#This Row],[High Tol]]),"Pass","Fail"))</f>
        <v>Fail</v>
      </c>
      <c r="AD2925" s="1" t="str">
        <f>IF(AND(Table1[[#This Row],[Spec Type2]]="N/A",Table1[[#This Row],[DUT Adj Read]]="N/A",Table1[[#This Row],[Std Adj Read]]="N/A"),"N/A",IF(Table1[[#This Row],[DUT Adj Read]]="N/A",IF(Table1[[#This Row],[Std Adj Read]]&gt;Table1[[#This Row],[Low Tol]],"Pass","Fail"),IF(Table1[[#This Row],[DUT Adj Read]]&gt;Table1[[#This Row],[Low Tol]],"Pass","Fail")))</f>
        <v>Pass</v>
      </c>
      <c r="AE2925" s="1" t="str">
        <f>IF(AND(Table1[[#This Row],[Spec Type2]]="N/A",Table1[[#This Row],[DUT Adj Read]]="N/A",Table1[[#This Row],[Std Adj Read]]="N/A"),"N/A",IF(Table1[[#This Row],[DUT Adj Read]]="N/A",IF(Table1[[#This Row],[Std Adj Read]]&lt;Table1[[#This Row],[High Tol]],"Pass","Fail"),IF(Table1[[#This Row],[DUT Adj Read]]&lt;Table1[[#This Row],[High Tol]],"Pass","Fail")))</f>
        <v>Fail</v>
      </c>
      <c r="AF2925" s="1" t="str">
        <f>IF(AND(Table1[[#This Row],[Spec Type2]]="N/A",Table1[[#This Row],[DUT Adj Read]]="N/A",Table1[[#This Row],[Std Adj Read]]="N/A"),"N/A",IF(Table1[[#This Row],[DUT Adj Read]]="N/A",IF(Table1[[#This Row],[Std Adj Read]]&gt;=Table1[[#This Row],[Low Tol]],"Pass","Fail"),IF(Table1[[#This Row],[DUT Adj Read]]&gt;=Table1[[#This Row],[Low Tol]],"Pass","Fail")))</f>
        <v>Pass</v>
      </c>
      <c r="AG2925" s="1" t="str">
        <f>IF(AND(Table1[[#This Row],[Spec Type2]]="N/A",Table1[[#This Row],[DUT Adj Read]]="N/A",Table1[[#This Row],[Std Adj Read]]="N/A"),"N/A",IF(Table1[[#This Row],[DUT Adj Read]]="N/A",IF(Table1[[#This Row],[Std Adj Read]]&lt;=Table1[[#This Row],[High Tol]],"Pass","Fail"),IF(Table1[[#This Row],[DUT Adj Read]]&lt;=Table1[[#This Row],[High Tol]],"Pass","Fail")))</f>
        <v>Fail</v>
      </c>
      <c r="AH29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5" s="1" t="b">
        <v>0</v>
      </c>
      <c r="AN2925" s="1" t="b">
        <v>0</v>
      </c>
      <c r="AO2925" s="1" t="b">
        <v>0</v>
      </c>
    </row>
    <row r="2926" spans="1:41" x14ac:dyDescent="0.25">
      <c r="A2926" s="10"/>
      <c r="B2926" s="10"/>
      <c r="C2926" s="10"/>
      <c r="D2926" s="10"/>
      <c r="E2926" s="10"/>
      <c r="F2926" s="10"/>
      <c r="G2926" s="10"/>
      <c r="H2926" s="10"/>
      <c r="I2926" s="1" t="str">
        <f t="shared" si="135"/>
        <v/>
      </c>
      <c r="J2926" s="1" t="s">
        <v>35</v>
      </c>
      <c r="K2926" s="1" t="str">
        <f t="shared" si="136"/>
        <v/>
      </c>
      <c r="L2926" s="1" t="str">
        <f t="shared" si="137"/>
        <v/>
      </c>
      <c r="M2926" s="1">
        <f>IF(OR(Table1[[#This Row],[Std Nom]]="",Table1[[#This Row],[Std Read]]=""),0,Table1[[#This Row],[Std Nom]]-Table1[[#This Row],[Std Read]])</f>
        <v>0</v>
      </c>
      <c r="N2926" s="1">
        <f>IF(Calculations!$F$5="ACCREDITED 17025 WITH UNCERTAINTIES",$N$10,0)</f>
        <v>0</v>
      </c>
      <c r="O2926" s="1" t="str">
        <f>IFERROR(Table1[[#This Row],[Std Nom]]-(_xlfn.XLOOKUP(Table1[[#This Row],[Manufacturer]]&amp;" "&amp;Table1[[#This Row],[Model]],Table13[MFR &amp; MDL],Table13[Tolerance % CW ],"")/100*Table1[[#This Row],[Std Nom]]),"")</f>
        <v/>
      </c>
      <c r="P2926" s="1" t="str">
        <f>IFERROR(Table1[[#This Row],[Std Nom]]+(_xlfn.XLOOKUP(Table1[[#This Row],[Manufacturer]]&amp;" "&amp;Table1[[#This Row],[Model]],Table13[MFR &amp; MDL],Table13[Tolerance % CW ],"")/100*Table1[[#This Row],[Std Nom]]),"")</f>
        <v/>
      </c>
      <c r="Q2926" s="1" t="e">
        <f>Table1[[#This Row],[High Tol]]-Table1[[#This Row],[Low Tol]]</f>
        <v>#VALUE!</v>
      </c>
      <c r="R2926" s="1">
        <f>2*Table1[[#This Row],[Std Error]]</f>
        <v>0</v>
      </c>
      <c r="S2926" s="1" t="str">
        <f>IF(Table1[[#This Row],[High Tol]]="","N/A",IFERROR(ABS(Table1[[#This Row],[Tol Span]]/Table1[[#This Row],[Error Span]]),"N/A"))</f>
        <v>N/A</v>
      </c>
      <c r="T2926" s="1" t="str">
        <f>IF(OR(Table1[[#This Row],[Low Tol]]="",Table1[[#This Row],[High Tol]]=""),"Needs Analysis",IF(Table1[[#This Row],[Ratio]]&gt;=4,"Not Significant",IF(Table1[[#This Row],[Ratio]]&gt;=2,"Semi-Significant","Significant")))</f>
        <v>Needs Analysis</v>
      </c>
      <c r="W2926" s="1">
        <f>IF(Table1[[#This Row],[Cal Type]]&lt;&gt;"ACCREDITED 17025 WITH UNCERTAINTIES",0,"")</f>
        <v>0</v>
      </c>
      <c r="X2926" s="1" t="str">
        <f>IF(Table1[[#This Row],[DUT Read]]="","N/A",Table1[[#This Row],[Std Error]]+Table1[[#This Row],[DUT Read]]+Table1[[#This Row],[DUT Ucty]])</f>
        <v>N/A</v>
      </c>
      <c r="Y2926" s="1" t="str">
        <f>IF(Table1[[#This Row],[Std Read]]="","N/A",Table1[[#This Row],[Std Read]]+Table1[[#This Row],[Std Ucty]])</f>
        <v>N/A</v>
      </c>
      <c r="Z29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6" s="1" t="str">
        <f>IF(Table1[[#This Row],[Spec Type]]="","N/A",Table1[[#This Row],[Spec Type]])</f>
        <v>±</v>
      </c>
      <c r="AC2926" s="1" t="str">
        <f>IF(Table1[[#This Row],[Spec Type2]]="N/A","N/A",IF(AND(Table1[[#This Row],[DUT Adj Read]]&gt;=Table1[[#This Row],[Low Tol]],Table1[[#This Row],[DUT Adj Read]]&lt;=Table1[[#This Row],[High Tol]]),"Pass","Fail"))</f>
        <v>Fail</v>
      </c>
      <c r="AD2926" s="1" t="str">
        <f>IF(AND(Table1[[#This Row],[Spec Type2]]="N/A",Table1[[#This Row],[DUT Adj Read]]="N/A",Table1[[#This Row],[Std Adj Read]]="N/A"),"N/A",IF(Table1[[#This Row],[DUT Adj Read]]="N/A",IF(Table1[[#This Row],[Std Adj Read]]&gt;Table1[[#This Row],[Low Tol]],"Pass","Fail"),IF(Table1[[#This Row],[DUT Adj Read]]&gt;Table1[[#This Row],[Low Tol]],"Pass","Fail")))</f>
        <v>Pass</v>
      </c>
      <c r="AE2926" s="1" t="str">
        <f>IF(AND(Table1[[#This Row],[Spec Type2]]="N/A",Table1[[#This Row],[DUT Adj Read]]="N/A",Table1[[#This Row],[Std Adj Read]]="N/A"),"N/A",IF(Table1[[#This Row],[DUT Adj Read]]="N/A",IF(Table1[[#This Row],[Std Adj Read]]&lt;Table1[[#This Row],[High Tol]],"Pass","Fail"),IF(Table1[[#This Row],[DUT Adj Read]]&lt;Table1[[#This Row],[High Tol]],"Pass","Fail")))</f>
        <v>Fail</v>
      </c>
      <c r="AF2926" s="1" t="str">
        <f>IF(AND(Table1[[#This Row],[Spec Type2]]="N/A",Table1[[#This Row],[DUT Adj Read]]="N/A",Table1[[#This Row],[Std Adj Read]]="N/A"),"N/A",IF(Table1[[#This Row],[DUT Adj Read]]="N/A",IF(Table1[[#This Row],[Std Adj Read]]&gt;=Table1[[#This Row],[Low Tol]],"Pass","Fail"),IF(Table1[[#This Row],[DUT Adj Read]]&gt;=Table1[[#This Row],[Low Tol]],"Pass","Fail")))</f>
        <v>Pass</v>
      </c>
      <c r="AG2926" s="1" t="str">
        <f>IF(AND(Table1[[#This Row],[Spec Type2]]="N/A",Table1[[#This Row],[DUT Adj Read]]="N/A",Table1[[#This Row],[Std Adj Read]]="N/A"),"N/A",IF(Table1[[#This Row],[DUT Adj Read]]="N/A",IF(Table1[[#This Row],[Std Adj Read]]&lt;=Table1[[#This Row],[High Tol]],"Pass","Fail"),IF(Table1[[#This Row],[DUT Adj Read]]&lt;=Table1[[#This Row],[High Tol]],"Pass","Fail")))</f>
        <v>Fail</v>
      </c>
      <c r="AH29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6" s="1" t="b">
        <v>0</v>
      </c>
      <c r="AN2926" s="1" t="b">
        <v>0</v>
      </c>
      <c r="AO2926" s="1" t="b">
        <v>0</v>
      </c>
    </row>
    <row r="2927" spans="1:41" x14ac:dyDescent="0.25">
      <c r="A2927" s="10"/>
      <c r="B2927" s="10"/>
      <c r="C2927" s="10"/>
      <c r="D2927" s="10"/>
      <c r="E2927" s="10"/>
      <c r="F2927" s="10"/>
      <c r="G2927" s="10"/>
      <c r="H2927" s="10"/>
      <c r="I2927" s="1" t="str">
        <f t="shared" si="135"/>
        <v/>
      </c>
      <c r="J2927" s="1" t="s">
        <v>35</v>
      </c>
      <c r="K2927" s="1" t="str">
        <f t="shared" si="136"/>
        <v/>
      </c>
      <c r="L2927" s="1" t="str">
        <f t="shared" si="137"/>
        <v/>
      </c>
      <c r="M2927" s="1">
        <f>IF(OR(Table1[[#This Row],[Std Nom]]="",Table1[[#This Row],[Std Read]]=""),0,Table1[[#This Row],[Std Nom]]-Table1[[#This Row],[Std Read]])</f>
        <v>0</v>
      </c>
      <c r="N2927" s="1">
        <f>IF(Calculations!$F$5="ACCREDITED 17025 WITH UNCERTAINTIES",$N$10,0)</f>
        <v>0</v>
      </c>
      <c r="O2927" s="1" t="str">
        <f>IFERROR(Table1[[#This Row],[Std Nom]]-(_xlfn.XLOOKUP(Table1[[#This Row],[Manufacturer]]&amp;" "&amp;Table1[[#This Row],[Model]],Table13[MFR &amp; MDL],Table13[Tolerance % CW ],"")/100*Table1[[#This Row],[Std Nom]]),"")</f>
        <v/>
      </c>
      <c r="P2927" s="1" t="str">
        <f>IFERROR(Table1[[#This Row],[Std Nom]]+(_xlfn.XLOOKUP(Table1[[#This Row],[Manufacturer]]&amp;" "&amp;Table1[[#This Row],[Model]],Table13[MFR &amp; MDL],Table13[Tolerance % CW ],"")/100*Table1[[#This Row],[Std Nom]]),"")</f>
        <v/>
      </c>
      <c r="Q2927" s="1" t="e">
        <f>Table1[[#This Row],[High Tol]]-Table1[[#This Row],[Low Tol]]</f>
        <v>#VALUE!</v>
      </c>
      <c r="R2927" s="1">
        <f>2*Table1[[#This Row],[Std Error]]</f>
        <v>0</v>
      </c>
      <c r="S2927" s="1" t="str">
        <f>IF(Table1[[#This Row],[High Tol]]="","N/A",IFERROR(ABS(Table1[[#This Row],[Tol Span]]/Table1[[#This Row],[Error Span]]),"N/A"))</f>
        <v>N/A</v>
      </c>
      <c r="T2927" s="1" t="str">
        <f>IF(OR(Table1[[#This Row],[Low Tol]]="",Table1[[#This Row],[High Tol]]=""),"Needs Analysis",IF(Table1[[#This Row],[Ratio]]&gt;=4,"Not Significant",IF(Table1[[#This Row],[Ratio]]&gt;=2,"Semi-Significant","Significant")))</f>
        <v>Needs Analysis</v>
      </c>
      <c r="W2927" s="1">
        <f>IF(Table1[[#This Row],[Cal Type]]&lt;&gt;"ACCREDITED 17025 WITH UNCERTAINTIES",0,"")</f>
        <v>0</v>
      </c>
      <c r="X2927" s="1" t="str">
        <f>IF(Table1[[#This Row],[DUT Read]]="","N/A",Table1[[#This Row],[Std Error]]+Table1[[#This Row],[DUT Read]]+Table1[[#This Row],[DUT Ucty]])</f>
        <v>N/A</v>
      </c>
      <c r="Y2927" s="1" t="str">
        <f>IF(Table1[[#This Row],[Std Read]]="","N/A",Table1[[#This Row],[Std Read]]+Table1[[#This Row],[Std Ucty]])</f>
        <v>N/A</v>
      </c>
      <c r="Z29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7" s="1" t="str">
        <f>IF(Table1[[#This Row],[Spec Type]]="","N/A",Table1[[#This Row],[Spec Type]])</f>
        <v>±</v>
      </c>
      <c r="AC2927" s="1" t="str">
        <f>IF(Table1[[#This Row],[Spec Type2]]="N/A","N/A",IF(AND(Table1[[#This Row],[DUT Adj Read]]&gt;=Table1[[#This Row],[Low Tol]],Table1[[#This Row],[DUT Adj Read]]&lt;=Table1[[#This Row],[High Tol]]),"Pass","Fail"))</f>
        <v>Fail</v>
      </c>
      <c r="AD2927" s="1" t="str">
        <f>IF(AND(Table1[[#This Row],[Spec Type2]]="N/A",Table1[[#This Row],[DUT Adj Read]]="N/A",Table1[[#This Row],[Std Adj Read]]="N/A"),"N/A",IF(Table1[[#This Row],[DUT Adj Read]]="N/A",IF(Table1[[#This Row],[Std Adj Read]]&gt;Table1[[#This Row],[Low Tol]],"Pass","Fail"),IF(Table1[[#This Row],[DUT Adj Read]]&gt;Table1[[#This Row],[Low Tol]],"Pass","Fail")))</f>
        <v>Pass</v>
      </c>
      <c r="AE2927" s="1" t="str">
        <f>IF(AND(Table1[[#This Row],[Spec Type2]]="N/A",Table1[[#This Row],[DUT Adj Read]]="N/A",Table1[[#This Row],[Std Adj Read]]="N/A"),"N/A",IF(Table1[[#This Row],[DUT Adj Read]]="N/A",IF(Table1[[#This Row],[Std Adj Read]]&lt;Table1[[#This Row],[High Tol]],"Pass","Fail"),IF(Table1[[#This Row],[DUT Adj Read]]&lt;Table1[[#This Row],[High Tol]],"Pass","Fail")))</f>
        <v>Fail</v>
      </c>
      <c r="AF2927" s="1" t="str">
        <f>IF(AND(Table1[[#This Row],[Spec Type2]]="N/A",Table1[[#This Row],[DUT Adj Read]]="N/A",Table1[[#This Row],[Std Adj Read]]="N/A"),"N/A",IF(Table1[[#This Row],[DUT Adj Read]]="N/A",IF(Table1[[#This Row],[Std Adj Read]]&gt;=Table1[[#This Row],[Low Tol]],"Pass","Fail"),IF(Table1[[#This Row],[DUT Adj Read]]&gt;=Table1[[#This Row],[Low Tol]],"Pass","Fail")))</f>
        <v>Pass</v>
      </c>
      <c r="AG2927" s="1" t="str">
        <f>IF(AND(Table1[[#This Row],[Spec Type2]]="N/A",Table1[[#This Row],[DUT Adj Read]]="N/A",Table1[[#This Row],[Std Adj Read]]="N/A"),"N/A",IF(Table1[[#This Row],[DUT Adj Read]]="N/A",IF(Table1[[#This Row],[Std Adj Read]]&lt;=Table1[[#This Row],[High Tol]],"Pass","Fail"),IF(Table1[[#This Row],[DUT Adj Read]]&lt;=Table1[[#This Row],[High Tol]],"Pass","Fail")))</f>
        <v>Fail</v>
      </c>
      <c r="AH29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7" s="1" t="b">
        <v>0</v>
      </c>
      <c r="AN2927" s="1" t="b">
        <v>0</v>
      </c>
      <c r="AO2927" s="1" t="b">
        <v>0</v>
      </c>
    </row>
    <row r="2928" spans="1:41" x14ac:dyDescent="0.25">
      <c r="A2928" s="10"/>
      <c r="B2928" s="10"/>
      <c r="C2928" s="10"/>
      <c r="D2928" s="10"/>
      <c r="E2928" s="10"/>
      <c r="F2928" s="10"/>
      <c r="G2928" s="10"/>
      <c r="H2928" s="10"/>
      <c r="I2928" s="1" t="str">
        <f t="shared" si="135"/>
        <v/>
      </c>
      <c r="J2928" s="1" t="s">
        <v>35</v>
      </c>
      <c r="K2928" s="1" t="str">
        <f t="shared" si="136"/>
        <v/>
      </c>
      <c r="L2928" s="1" t="str">
        <f t="shared" si="137"/>
        <v/>
      </c>
      <c r="M2928" s="1">
        <f>IF(OR(Table1[[#This Row],[Std Nom]]="",Table1[[#This Row],[Std Read]]=""),0,Table1[[#This Row],[Std Nom]]-Table1[[#This Row],[Std Read]])</f>
        <v>0</v>
      </c>
      <c r="N2928" s="1">
        <f>IF(Calculations!$F$5="ACCREDITED 17025 WITH UNCERTAINTIES",$N$10,0)</f>
        <v>0</v>
      </c>
      <c r="O2928" s="1" t="str">
        <f>IFERROR(Table1[[#This Row],[Std Nom]]-(_xlfn.XLOOKUP(Table1[[#This Row],[Manufacturer]]&amp;" "&amp;Table1[[#This Row],[Model]],Table13[MFR &amp; MDL],Table13[Tolerance % CW ],"")/100*Table1[[#This Row],[Std Nom]]),"")</f>
        <v/>
      </c>
      <c r="P2928" s="1" t="str">
        <f>IFERROR(Table1[[#This Row],[Std Nom]]+(_xlfn.XLOOKUP(Table1[[#This Row],[Manufacturer]]&amp;" "&amp;Table1[[#This Row],[Model]],Table13[MFR &amp; MDL],Table13[Tolerance % CW ],"")/100*Table1[[#This Row],[Std Nom]]),"")</f>
        <v/>
      </c>
      <c r="Q2928" s="1" t="e">
        <f>Table1[[#This Row],[High Tol]]-Table1[[#This Row],[Low Tol]]</f>
        <v>#VALUE!</v>
      </c>
      <c r="R2928" s="1">
        <f>2*Table1[[#This Row],[Std Error]]</f>
        <v>0</v>
      </c>
      <c r="S2928" s="1" t="str">
        <f>IF(Table1[[#This Row],[High Tol]]="","N/A",IFERROR(ABS(Table1[[#This Row],[Tol Span]]/Table1[[#This Row],[Error Span]]),"N/A"))</f>
        <v>N/A</v>
      </c>
      <c r="T2928" s="1" t="str">
        <f>IF(OR(Table1[[#This Row],[Low Tol]]="",Table1[[#This Row],[High Tol]]=""),"Needs Analysis",IF(Table1[[#This Row],[Ratio]]&gt;=4,"Not Significant",IF(Table1[[#This Row],[Ratio]]&gt;=2,"Semi-Significant","Significant")))</f>
        <v>Needs Analysis</v>
      </c>
      <c r="W2928" s="1">
        <f>IF(Table1[[#This Row],[Cal Type]]&lt;&gt;"ACCREDITED 17025 WITH UNCERTAINTIES",0,"")</f>
        <v>0</v>
      </c>
      <c r="X2928" s="1" t="str">
        <f>IF(Table1[[#This Row],[DUT Read]]="","N/A",Table1[[#This Row],[Std Error]]+Table1[[#This Row],[DUT Read]]+Table1[[#This Row],[DUT Ucty]])</f>
        <v>N/A</v>
      </c>
      <c r="Y2928" s="1" t="str">
        <f>IF(Table1[[#This Row],[Std Read]]="","N/A",Table1[[#This Row],[Std Read]]+Table1[[#This Row],[Std Ucty]])</f>
        <v>N/A</v>
      </c>
      <c r="Z29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8" s="1" t="str">
        <f>IF(Table1[[#This Row],[Spec Type]]="","N/A",Table1[[#This Row],[Spec Type]])</f>
        <v>±</v>
      </c>
      <c r="AC2928" s="1" t="str">
        <f>IF(Table1[[#This Row],[Spec Type2]]="N/A","N/A",IF(AND(Table1[[#This Row],[DUT Adj Read]]&gt;=Table1[[#This Row],[Low Tol]],Table1[[#This Row],[DUT Adj Read]]&lt;=Table1[[#This Row],[High Tol]]),"Pass","Fail"))</f>
        <v>Fail</v>
      </c>
      <c r="AD2928" s="1" t="str">
        <f>IF(AND(Table1[[#This Row],[Spec Type2]]="N/A",Table1[[#This Row],[DUT Adj Read]]="N/A",Table1[[#This Row],[Std Adj Read]]="N/A"),"N/A",IF(Table1[[#This Row],[DUT Adj Read]]="N/A",IF(Table1[[#This Row],[Std Adj Read]]&gt;Table1[[#This Row],[Low Tol]],"Pass","Fail"),IF(Table1[[#This Row],[DUT Adj Read]]&gt;Table1[[#This Row],[Low Tol]],"Pass","Fail")))</f>
        <v>Pass</v>
      </c>
      <c r="AE2928" s="1" t="str">
        <f>IF(AND(Table1[[#This Row],[Spec Type2]]="N/A",Table1[[#This Row],[DUT Adj Read]]="N/A",Table1[[#This Row],[Std Adj Read]]="N/A"),"N/A",IF(Table1[[#This Row],[DUT Adj Read]]="N/A",IF(Table1[[#This Row],[Std Adj Read]]&lt;Table1[[#This Row],[High Tol]],"Pass","Fail"),IF(Table1[[#This Row],[DUT Adj Read]]&lt;Table1[[#This Row],[High Tol]],"Pass","Fail")))</f>
        <v>Fail</v>
      </c>
      <c r="AF2928" s="1" t="str">
        <f>IF(AND(Table1[[#This Row],[Spec Type2]]="N/A",Table1[[#This Row],[DUT Adj Read]]="N/A",Table1[[#This Row],[Std Adj Read]]="N/A"),"N/A",IF(Table1[[#This Row],[DUT Adj Read]]="N/A",IF(Table1[[#This Row],[Std Adj Read]]&gt;=Table1[[#This Row],[Low Tol]],"Pass","Fail"),IF(Table1[[#This Row],[DUT Adj Read]]&gt;=Table1[[#This Row],[Low Tol]],"Pass","Fail")))</f>
        <v>Pass</v>
      </c>
      <c r="AG2928" s="1" t="str">
        <f>IF(AND(Table1[[#This Row],[Spec Type2]]="N/A",Table1[[#This Row],[DUT Adj Read]]="N/A",Table1[[#This Row],[Std Adj Read]]="N/A"),"N/A",IF(Table1[[#This Row],[DUT Adj Read]]="N/A",IF(Table1[[#This Row],[Std Adj Read]]&lt;=Table1[[#This Row],[High Tol]],"Pass","Fail"),IF(Table1[[#This Row],[DUT Adj Read]]&lt;=Table1[[#This Row],[High Tol]],"Pass","Fail")))</f>
        <v>Fail</v>
      </c>
      <c r="AH29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8" s="1" t="b">
        <v>0</v>
      </c>
      <c r="AN2928" s="1" t="b">
        <v>0</v>
      </c>
      <c r="AO2928" s="1" t="b">
        <v>0</v>
      </c>
    </row>
    <row r="2929" spans="1:41" x14ac:dyDescent="0.25">
      <c r="A2929" s="10"/>
      <c r="B2929" s="10"/>
      <c r="C2929" s="10"/>
      <c r="D2929" s="10"/>
      <c r="E2929" s="10"/>
      <c r="F2929" s="10"/>
      <c r="G2929" s="10"/>
      <c r="H2929" s="10"/>
      <c r="I2929" s="1" t="str">
        <f t="shared" si="135"/>
        <v/>
      </c>
      <c r="J2929" s="1" t="s">
        <v>35</v>
      </c>
      <c r="K2929" s="1" t="str">
        <f t="shared" si="136"/>
        <v/>
      </c>
      <c r="L2929" s="1" t="str">
        <f t="shared" si="137"/>
        <v/>
      </c>
      <c r="M2929" s="1">
        <f>IF(OR(Table1[[#This Row],[Std Nom]]="",Table1[[#This Row],[Std Read]]=""),0,Table1[[#This Row],[Std Nom]]-Table1[[#This Row],[Std Read]])</f>
        <v>0</v>
      </c>
      <c r="N2929" s="1">
        <f>IF(Calculations!$F$5="ACCREDITED 17025 WITH UNCERTAINTIES",$N$10,0)</f>
        <v>0</v>
      </c>
      <c r="O2929" s="1" t="str">
        <f>IFERROR(Table1[[#This Row],[Std Nom]]-(_xlfn.XLOOKUP(Table1[[#This Row],[Manufacturer]]&amp;" "&amp;Table1[[#This Row],[Model]],Table13[MFR &amp; MDL],Table13[Tolerance % CW ],"")/100*Table1[[#This Row],[Std Nom]]),"")</f>
        <v/>
      </c>
      <c r="P2929" s="1" t="str">
        <f>IFERROR(Table1[[#This Row],[Std Nom]]+(_xlfn.XLOOKUP(Table1[[#This Row],[Manufacturer]]&amp;" "&amp;Table1[[#This Row],[Model]],Table13[MFR &amp; MDL],Table13[Tolerance % CW ],"")/100*Table1[[#This Row],[Std Nom]]),"")</f>
        <v/>
      </c>
      <c r="Q2929" s="1" t="e">
        <f>Table1[[#This Row],[High Tol]]-Table1[[#This Row],[Low Tol]]</f>
        <v>#VALUE!</v>
      </c>
      <c r="R2929" s="1">
        <f>2*Table1[[#This Row],[Std Error]]</f>
        <v>0</v>
      </c>
      <c r="S2929" s="1" t="str">
        <f>IF(Table1[[#This Row],[High Tol]]="","N/A",IFERROR(ABS(Table1[[#This Row],[Tol Span]]/Table1[[#This Row],[Error Span]]),"N/A"))</f>
        <v>N/A</v>
      </c>
      <c r="T2929" s="1" t="str">
        <f>IF(OR(Table1[[#This Row],[Low Tol]]="",Table1[[#This Row],[High Tol]]=""),"Needs Analysis",IF(Table1[[#This Row],[Ratio]]&gt;=4,"Not Significant",IF(Table1[[#This Row],[Ratio]]&gt;=2,"Semi-Significant","Significant")))</f>
        <v>Needs Analysis</v>
      </c>
      <c r="W2929" s="1">
        <f>IF(Table1[[#This Row],[Cal Type]]&lt;&gt;"ACCREDITED 17025 WITH UNCERTAINTIES",0,"")</f>
        <v>0</v>
      </c>
      <c r="X2929" s="1" t="str">
        <f>IF(Table1[[#This Row],[DUT Read]]="","N/A",Table1[[#This Row],[Std Error]]+Table1[[#This Row],[DUT Read]]+Table1[[#This Row],[DUT Ucty]])</f>
        <v>N/A</v>
      </c>
      <c r="Y2929" s="1" t="str">
        <f>IF(Table1[[#This Row],[Std Read]]="","N/A",Table1[[#This Row],[Std Read]]+Table1[[#This Row],[Std Ucty]])</f>
        <v>N/A</v>
      </c>
      <c r="Z29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9" s="1" t="str">
        <f>IF(Table1[[#This Row],[Spec Type]]="","N/A",Table1[[#This Row],[Spec Type]])</f>
        <v>±</v>
      </c>
      <c r="AC2929" s="1" t="str">
        <f>IF(Table1[[#This Row],[Spec Type2]]="N/A","N/A",IF(AND(Table1[[#This Row],[DUT Adj Read]]&gt;=Table1[[#This Row],[Low Tol]],Table1[[#This Row],[DUT Adj Read]]&lt;=Table1[[#This Row],[High Tol]]),"Pass","Fail"))</f>
        <v>Fail</v>
      </c>
      <c r="AD2929" s="1" t="str">
        <f>IF(AND(Table1[[#This Row],[Spec Type2]]="N/A",Table1[[#This Row],[DUT Adj Read]]="N/A",Table1[[#This Row],[Std Adj Read]]="N/A"),"N/A",IF(Table1[[#This Row],[DUT Adj Read]]="N/A",IF(Table1[[#This Row],[Std Adj Read]]&gt;Table1[[#This Row],[Low Tol]],"Pass","Fail"),IF(Table1[[#This Row],[DUT Adj Read]]&gt;Table1[[#This Row],[Low Tol]],"Pass","Fail")))</f>
        <v>Pass</v>
      </c>
      <c r="AE2929" s="1" t="str">
        <f>IF(AND(Table1[[#This Row],[Spec Type2]]="N/A",Table1[[#This Row],[DUT Adj Read]]="N/A",Table1[[#This Row],[Std Adj Read]]="N/A"),"N/A",IF(Table1[[#This Row],[DUT Adj Read]]="N/A",IF(Table1[[#This Row],[Std Adj Read]]&lt;Table1[[#This Row],[High Tol]],"Pass","Fail"),IF(Table1[[#This Row],[DUT Adj Read]]&lt;Table1[[#This Row],[High Tol]],"Pass","Fail")))</f>
        <v>Fail</v>
      </c>
      <c r="AF2929" s="1" t="str">
        <f>IF(AND(Table1[[#This Row],[Spec Type2]]="N/A",Table1[[#This Row],[DUT Adj Read]]="N/A",Table1[[#This Row],[Std Adj Read]]="N/A"),"N/A",IF(Table1[[#This Row],[DUT Adj Read]]="N/A",IF(Table1[[#This Row],[Std Adj Read]]&gt;=Table1[[#This Row],[Low Tol]],"Pass","Fail"),IF(Table1[[#This Row],[DUT Adj Read]]&gt;=Table1[[#This Row],[Low Tol]],"Pass","Fail")))</f>
        <v>Pass</v>
      </c>
      <c r="AG2929" s="1" t="str">
        <f>IF(AND(Table1[[#This Row],[Spec Type2]]="N/A",Table1[[#This Row],[DUT Adj Read]]="N/A",Table1[[#This Row],[Std Adj Read]]="N/A"),"N/A",IF(Table1[[#This Row],[DUT Adj Read]]="N/A",IF(Table1[[#This Row],[Std Adj Read]]&lt;=Table1[[#This Row],[High Tol]],"Pass","Fail"),IF(Table1[[#This Row],[DUT Adj Read]]&lt;=Table1[[#This Row],[High Tol]],"Pass","Fail")))</f>
        <v>Fail</v>
      </c>
      <c r="AH29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9" s="1" t="b">
        <v>0</v>
      </c>
      <c r="AN2929" s="1" t="b">
        <v>0</v>
      </c>
      <c r="AO2929" s="1" t="b">
        <v>0</v>
      </c>
    </row>
    <row r="2930" spans="1:41" x14ac:dyDescent="0.25">
      <c r="A2930" s="10"/>
      <c r="B2930" s="10"/>
      <c r="C2930" s="10"/>
      <c r="D2930" s="10"/>
      <c r="E2930" s="10"/>
      <c r="F2930" s="10"/>
      <c r="G2930" s="10"/>
      <c r="H2930" s="10"/>
      <c r="I2930" s="1" t="str">
        <f t="shared" si="135"/>
        <v/>
      </c>
      <c r="J2930" s="1" t="s">
        <v>35</v>
      </c>
      <c r="K2930" s="1" t="str">
        <f t="shared" si="136"/>
        <v/>
      </c>
      <c r="L2930" s="1" t="str">
        <f t="shared" si="137"/>
        <v/>
      </c>
      <c r="M2930" s="1">
        <f>IF(OR(Table1[[#This Row],[Std Nom]]="",Table1[[#This Row],[Std Read]]=""),0,Table1[[#This Row],[Std Nom]]-Table1[[#This Row],[Std Read]])</f>
        <v>0</v>
      </c>
      <c r="N2930" s="1">
        <f>IF(Calculations!$F$5="ACCREDITED 17025 WITH UNCERTAINTIES",$N$10,0)</f>
        <v>0</v>
      </c>
      <c r="O2930" s="1" t="str">
        <f>IFERROR(Table1[[#This Row],[Std Nom]]-(_xlfn.XLOOKUP(Table1[[#This Row],[Manufacturer]]&amp;" "&amp;Table1[[#This Row],[Model]],Table13[MFR &amp; MDL],Table13[Tolerance % CW ],"")/100*Table1[[#This Row],[Std Nom]]),"")</f>
        <v/>
      </c>
      <c r="P2930" s="1" t="str">
        <f>IFERROR(Table1[[#This Row],[Std Nom]]+(_xlfn.XLOOKUP(Table1[[#This Row],[Manufacturer]]&amp;" "&amp;Table1[[#This Row],[Model]],Table13[MFR &amp; MDL],Table13[Tolerance % CW ],"")/100*Table1[[#This Row],[Std Nom]]),"")</f>
        <v/>
      </c>
      <c r="Q2930" s="1" t="e">
        <f>Table1[[#This Row],[High Tol]]-Table1[[#This Row],[Low Tol]]</f>
        <v>#VALUE!</v>
      </c>
      <c r="R2930" s="1">
        <f>2*Table1[[#This Row],[Std Error]]</f>
        <v>0</v>
      </c>
      <c r="S2930" s="1" t="str">
        <f>IF(Table1[[#This Row],[High Tol]]="","N/A",IFERROR(ABS(Table1[[#This Row],[Tol Span]]/Table1[[#This Row],[Error Span]]),"N/A"))</f>
        <v>N/A</v>
      </c>
      <c r="T2930" s="1" t="str">
        <f>IF(OR(Table1[[#This Row],[Low Tol]]="",Table1[[#This Row],[High Tol]]=""),"Needs Analysis",IF(Table1[[#This Row],[Ratio]]&gt;=4,"Not Significant",IF(Table1[[#This Row],[Ratio]]&gt;=2,"Semi-Significant","Significant")))</f>
        <v>Needs Analysis</v>
      </c>
      <c r="W2930" s="1">
        <f>IF(Table1[[#This Row],[Cal Type]]&lt;&gt;"ACCREDITED 17025 WITH UNCERTAINTIES",0,"")</f>
        <v>0</v>
      </c>
      <c r="X2930" s="1" t="str">
        <f>IF(Table1[[#This Row],[DUT Read]]="","N/A",Table1[[#This Row],[Std Error]]+Table1[[#This Row],[DUT Read]]+Table1[[#This Row],[DUT Ucty]])</f>
        <v>N/A</v>
      </c>
      <c r="Y2930" s="1" t="str">
        <f>IF(Table1[[#This Row],[Std Read]]="","N/A",Table1[[#This Row],[Std Read]]+Table1[[#This Row],[Std Ucty]])</f>
        <v>N/A</v>
      </c>
      <c r="Z29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0" s="1" t="str">
        <f>IF(Table1[[#This Row],[Spec Type]]="","N/A",Table1[[#This Row],[Spec Type]])</f>
        <v>±</v>
      </c>
      <c r="AC2930" s="1" t="str">
        <f>IF(Table1[[#This Row],[Spec Type2]]="N/A","N/A",IF(AND(Table1[[#This Row],[DUT Adj Read]]&gt;=Table1[[#This Row],[Low Tol]],Table1[[#This Row],[DUT Adj Read]]&lt;=Table1[[#This Row],[High Tol]]),"Pass","Fail"))</f>
        <v>Fail</v>
      </c>
      <c r="AD2930" s="1" t="str">
        <f>IF(AND(Table1[[#This Row],[Spec Type2]]="N/A",Table1[[#This Row],[DUT Adj Read]]="N/A",Table1[[#This Row],[Std Adj Read]]="N/A"),"N/A",IF(Table1[[#This Row],[DUT Adj Read]]="N/A",IF(Table1[[#This Row],[Std Adj Read]]&gt;Table1[[#This Row],[Low Tol]],"Pass","Fail"),IF(Table1[[#This Row],[DUT Adj Read]]&gt;Table1[[#This Row],[Low Tol]],"Pass","Fail")))</f>
        <v>Pass</v>
      </c>
      <c r="AE2930" s="1" t="str">
        <f>IF(AND(Table1[[#This Row],[Spec Type2]]="N/A",Table1[[#This Row],[DUT Adj Read]]="N/A",Table1[[#This Row],[Std Adj Read]]="N/A"),"N/A",IF(Table1[[#This Row],[DUT Adj Read]]="N/A",IF(Table1[[#This Row],[Std Adj Read]]&lt;Table1[[#This Row],[High Tol]],"Pass","Fail"),IF(Table1[[#This Row],[DUT Adj Read]]&lt;Table1[[#This Row],[High Tol]],"Pass","Fail")))</f>
        <v>Fail</v>
      </c>
      <c r="AF2930" s="1" t="str">
        <f>IF(AND(Table1[[#This Row],[Spec Type2]]="N/A",Table1[[#This Row],[DUT Adj Read]]="N/A",Table1[[#This Row],[Std Adj Read]]="N/A"),"N/A",IF(Table1[[#This Row],[DUT Adj Read]]="N/A",IF(Table1[[#This Row],[Std Adj Read]]&gt;=Table1[[#This Row],[Low Tol]],"Pass","Fail"),IF(Table1[[#This Row],[DUT Adj Read]]&gt;=Table1[[#This Row],[Low Tol]],"Pass","Fail")))</f>
        <v>Pass</v>
      </c>
      <c r="AG2930" s="1" t="str">
        <f>IF(AND(Table1[[#This Row],[Spec Type2]]="N/A",Table1[[#This Row],[DUT Adj Read]]="N/A",Table1[[#This Row],[Std Adj Read]]="N/A"),"N/A",IF(Table1[[#This Row],[DUT Adj Read]]="N/A",IF(Table1[[#This Row],[Std Adj Read]]&lt;=Table1[[#This Row],[High Tol]],"Pass","Fail"),IF(Table1[[#This Row],[DUT Adj Read]]&lt;=Table1[[#This Row],[High Tol]],"Pass","Fail")))</f>
        <v>Fail</v>
      </c>
      <c r="AH29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0" s="1" t="b">
        <v>0</v>
      </c>
      <c r="AN2930" s="1" t="b">
        <v>0</v>
      </c>
      <c r="AO2930" s="1" t="b">
        <v>0</v>
      </c>
    </row>
    <row r="2931" spans="1:41" x14ac:dyDescent="0.25">
      <c r="A2931" s="10"/>
      <c r="B2931" s="10"/>
      <c r="C2931" s="10"/>
      <c r="D2931" s="10"/>
      <c r="E2931" s="10"/>
      <c r="F2931" s="10"/>
      <c r="G2931" s="10"/>
      <c r="H2931" s="10"/>
      <c r="I2931" s="1" t="str">
        <f t="shared" si="135"/>
        <v/>
      </c>
      <c r="J2931" s="1" t="s">
        <v>35</v>
      </c>
      <c r="K2931" s="1" t="str">
        <f t="shared" si="136"/>
        <v/>
      </c>
      <c r="L2931" s="1" t="str">
        <f t="shared" si="137"/>
        <v/>
      </c>
      <c r="M2931" s="1">
        <f>IF(OR(Table1[[#This Row],[Std Nom]]="",Table1[[#This Row],[Std Read]]=""),0,Table1[[#This Row],[Std Nom]]-Table1[[#This Row],[Std Read]])</f>
        <v>0</v>
      </c>
      <c r="N2931" s="1">
        <f>IF(Calculations!$F$5="ACCREDITED 17025 WITH UNCERTAINTIES",$N$10,0)</f>
        <v>0</v>
      </c>
      <c r="O2931" s="1" t="str">
        <f>IFERROR(Table1[[#This Row],[Std Nom]]-(_xlfn.XLOOKUP(Table1[[#This Row],[Manufacturer]]&amp;" "&amp;Table1[[#This Row],[Model]],Table13[MFR &amp; MDL],Table13[Tolerance % CW ],"")/100*Table1[[#This Row],[Std Nom]]),"")</f>
        <v/>
      </c>
      <c r="P2931" s="1" t="str">
        <f>IFERROR(Table1[[#This Row],[Std Nom]]+(_xlfn.XLOOKUP(Table1[[#This Row],[Manufacturer]]&amp;" "&amp;Table1[[#This Row],[Model]],Table13[MFR &amp; MDL],Table13[Tolerance % CW ],"")/100*Table1[[#This Row],[Std Nom]]),"")</f>
        <v/>
      </c>
      <c r="Q2931" s="1" t="e">
        <f>Table1[[#This Row],[High Tol]]-Table1[[#This Row],[Low Tol]]</f>
        <v>#VALUE!</v>
      </c>
      <c r="R2931" s="1">
        <f>2*Table1[[#This Row],[Std Error]]</f>
        <v>0</v>
      </c>
      <c r="S2931" s="1" t="str">
        <f>IF(Table1[[#This Row],[High Tol]]="","N/A",IFERROR(ABS(Table1[[#This Row],[Tol Span]]/Table1[[#This Row],[Error Span]]),"N/A"))</f>
        <v>N/A</v>
      </c>
      <c r="T2931" s="1" t="str">
        <f>IF(OR(Table1[[#This Row],[Low Tol]]="",Table1[[#This Row],[High Tol]]=""),"Needs Analysis",IF(Table1[[#This Row],[Ratio]]&gt;=4,"Not Significant",IF(Table1[[#This Row],[Ratio]]&gt;=2,"Semi-Significant","Significant")))</f>
        <v>Needs Analysis</v>
      </c>
      <c r="W2931" s="1">
        <f>IF(Table1[[#This Row],[Cal Type]]&lt;&gt;"ACCREDITED 17025 WITH UNCERTAINTIES",0,"")</f>
        <v>0</v>
      </c>
      <c r="X2931" s="1" t="str">
        <f>IF(Table1[[#This Row],[DUT Read]]="","N/A",Table1[[#This Row],[Std Error]]+Table1[[#This Row],[DUT Read]]+Table1[[#This Row],[DUT Ucty]])</f>
        <v>N/A</v>
      </c>
      <c r="Y2931" s="1" t="str">
        <f>IF(Table1[[#This Row],[Std Read]]="","N/A",Table1[[#This Row],[Std Read]]+Table1[[#This Row],[Std Ucty]])</f>
        <v>N/A</v>
      </c>
      <c r="Z29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1" s="1" t="str">
        <f>IF(Table1[[#This Row],[Spec Type]]="","N/A",Table1[[#This Row],[Spec Type]])</f>
        <v>±</v>
      </c>
      <c r="AC2931" s="1" t="str">
        <f>IF(Table1[[#This Row],[Spec Type2]]="N/A","N/A",IF(AND(Table1[[#This Row],[DUT Adj Read]]&gt;=Table1[[#This Row],[Low Tol]],Table1[[#This Row],[DUT Adj Read]]&lt;=Table1[[#This Row],[High Tol]]),"Pass","Fail"))</f>
        <v>Fail</v>
      </c>
      <c r="AD2931" s="1" t="str">
        <f>IF(AND(Table1[[#This Row],[Spec Type2]]="N/A",Table1[[#This Row],[DUT Adj Read]]="N/A",Table1[[#This Row],[Std Adj Read]]="N/A"),"N/A",IF(Table1[[#This Row],[DUT Adj Read]]="N/A",IF(Table1[[#This Row],[Std Adj Read]]&gt;Table1[[#This Row],[Low Tol]],"Pass","Fail"),IF(Table1[[#This Row],[DUT Adj Read]]&gt;Table1[[#This Row],[Low Tol]],"Pass","Fail")))</f>
        <v>Pass</v>
      </c>
      <c r="AE2931" s="1" t="str">
        <f>IF(AND(Table1[[#This Row],[Spec Type2]]="N/A",Table1[[#This Row],[DUT Adj Read]]="N/A",Table1[[#This Row],[Std Adj Read]]="N/A"),"N/A",IF(Table1[[#This Row],[DUT Adj Read]]="N/A",IF(Table1[[#This Row],[Std Adj Read]]&lt;Table1[[#This Row],[High Tol]],"Pass","Fail"),IF(Table1[[#This Row],[DUT Adj Read]]&lt;Table1[[#This Row],[High Tol]],"Pass","Fail")))</f>
        <v>Fail</v>
      </c>
      <c r="AF2931" s="1" t="str">
        <f>IF(AND(Table1[[#This Row],[Spec Type2]]="N/A",Table1[[#This Row],[DUT Adj Read]]="N/A",Table1[[#This Row],[Std Adj Read]]="N/A"),"N/A",IF(Table1[[#This Row],[DUT Adj Read]]="N/A",IF(Table1[[#This Row],[Std Adj Read]]&gt;=Table1[[#This Row],[Low Tol]],"Pass","Fail"),IF(Table1[[#This Row],[DUT Adj Read]]&gt;=Table1[[#This Row],[Low Tol]],"Pass","Fail")))</f>
        <v>Pass</v>
      </c>
      <c r="AG2931" s="1" t="str">
        <f>IF(AND(Table1[[#This Row],[Spec Type2]]="N/A",Table1[[#This Row],[DUT Adj Read]]="N/A",Table1[[#This Row],[Std Adj Read]]="N/A"),"N/A",IF(Table1[[#This Row],[DUT Adj Read]]="N/A",IF(Table1[[#This Row],[Std Adj Read]]&lt;=Table1[[#This Row],[High Tol]],"Pass","Fail"),IF(Table1[[#This Row],[DUT Adj Read]]&lt;=Table1[[#This Row],[High Tol]],"Pass","Fail")))</f>
        <v>Fail</v>
      </c>
      <c r="AH29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1" s="1" t="b">
        <v>0</v>
      </c>
      <c r="AN2931" s="1" t="b">
        <v>0</v>
      </c>
      <c r="AO2931" s="1" t="b">
        <v>0</v>
      </c>
    </row>
    <row r="2932" spans="1:41" x14ac:dyDescent="0.25">
      <c r="A2932" s="10"/>
      <c r="B2932" s="10"/>
      <c r="C2932" s="10"/>
      <c r="D2932" s="10"/>
      <c r="E2932" s="10"/>
      <c r="F2932" s="10"/>
      <c r="G2932" s="10"/>
      <c r="H2932" s="10"/>
      <c r="I2932" s="1" t="str">
        <f t="shared" si="135"/>
        <v/>
      </c>
      <c r="J2932" s="1" t="s">
        <v>35</v>
      </c>
      <c r="K2932" s="1" t="str">
        <f t="shared" si="136"/>
        <v/>
      </c>
      <c r="L2932" s="1" t="str">
        <f t="shared" si="137"/>
        <v/>
      </c>
      <c r="M2932" s="1">
        <f>IF(OR(Table1[[#This Row],[Std Nom]]="",Table1[[#This Row],[Std Read]]=""),0,Table1[[#This Row],[Std Nom]]-Table1[[#This Row],[Std Read]])</f>
        <v>0</v>
      </c>
      <c r="N2932" s="1">
        <f>IF(Calculations!$F$5="ACCREDITED 17025 WITH UNCERTAINTIES",$N$10,0)</f>
        <v>0</v>
      </c>
      <c r="O2932" s="1" t="str">
        <f>IFERROR(Table1[[#This Row],[Std Nom]]-(_xlfn.XLOOKUP(Table1[[#This Row],[Manufacturer]]&amp;" "&amp;Table1[[#This Row],[Model]],Table13[MFR &amp; MDL],Table13[Tolerance % CW ],"")/100*Table1[[#This Row],[Std Nom]]),"")</f>
        <v/>
      </c>
      <c r="P2932" s="1" t="str">
        <f>IFERROR(Table1[[#This Row],[Std Nom]]+(_xlfn.XLOOKUP(Table1[[#This Row],[Manufacturer]]&amp;" "&amp;Table1[[#This Row],[Model]],Table13[MFR &amp; MDL],Table13[Tolerance % CW ],"")/100*Table1[[#This Row],[Std Nom]]),"")</f>
        <v/>
      </c>
      <c r="Q2932" s="1" t="e">
        <f>Table1[[#This Row],[High Tol]]-Table1[[#This Row],[Low Tol]]</f>
        <v>#VALUE!</v>
      </c>
      <c r="R2932" s="1">
        <f>2*Table1[[#This Row],[Std Error]]</f>
        <v>0</v>
      </c>
      <c r="S2932" s="1" t="str">
        <f>IF(Table1[[#This Row],[High Tol]]="","N/A",IFERROR(ABS(Table1[[#This Row],[Tol Span]]/Table1[[#This Row],[Error Span]]),"N/A"))</f>
        <v>N/A</v>
      </c>
      <c r="T2932" s="1" t="str">
        <f>IF(OR(Table1[[#This Row],[Low Tol]]="",Table1[[#This Row],[High Tol]]=""),"Needs Analysis",IF(Table1[[#This Row],[Ratio]]&gt;=4,"Not Significant",IF(Table1[[#This Row],[Ratio]]&gt;=2,"Semi-Significant","Significant")))</f>
        <v>Needs Analysis</v>
      </c>
      <c r="W2932" s="1">
        <f>IF(Table1[[#This Row],[Cal Type]]&lt;&gt;"ACCREDITED 17025 WITH UNCERTAINTIES",0,"")</f>
        <v>0</v>
      </c>
      <c r="X2932" s="1" t="str">
        <f>IF(Table1[[#This Row],[DUT Read]]="","N/A",Table1[[#This Row],[Std Error]]+Table1[[#This Row],[DUT Read]]+Table1[[#This Row],[DUT Ucty]])</f>
        <v>N/A</v>
      </c>
      <c r="Y2932" s="1" t="str">
        <f>IF(Table1[[#This Row],[Std Read]]="","N/A",Table1[[#This Row],[Std Read]]+Table1[[#This Row],[Std Ucty]])</f>
        <v>N/A</v>
      </c>
      <c r="Z29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2" s="1" t="str">
        <f>IF(Table1[[#This Row],[Spec Type]]="","N/A",Table1[[#This Row],[Spec Type]])</f>
        <v>±</v>
      </c>
      <c r="AC2932" s="1" t="str">
        <f>IF(Table1[[#This Row],[Spec Type2]]="N/A","N/A",IF(AND(Table1[[#This Row],[DUT Adj Read]]&gt;=Table1[[#This Row],[Low Tol]],Table1[[#This Row],[DUT Adj Read]]&lt;=Table1[[#This Row],[High Tol]]),"Pass","Fail"))</f>
        <v>Fail</v>
      </c>
      <c r="AD2932" s="1" t="str">
        <f>IF(AND(Table1[[#This Row],[Spec Type2]]="N/A",Table1[[#This Row],[DUT Adj Read]]="N/A",Table1[[#This Row],[Std Adj Read]]="N/A"),"N/A",IF(Table1[[#This Row],[DUT Adj Read]]="N/A",IF(Table1[[#This Row],[Std Adj Read]]&gt;Table1[[#This Row],[Low Tol]],"Pass","Fail"),IF(Table1[[#This Row],[DUT Adj Read]]&gt;Table1[[#This Row],[Low Tol]],"Pass","Fail")))</f>
        <v>Pass</v>
      </c>
      <c r="AE2932" s="1" t="str">
        <f>IF(AND(Table1[[#This Row],[Spec Type2]]="N/A",Table1[[#This Row],[DUT Adj Read]]="N/A",Table1[[#This Row],[Std Adj Read]]="N/A"),"N/A",IF(Table1[[#This Row],[DUT Adj Read]]="N/A",IF(Table1[[#This Row],[Std Adj Read]]&lt;Table1[[#This Row],[High Tol]],"Pass","Fail"),IF(Table1[[#This Row],[DUT Adj Read]]&lt;Table1[[#This Row],[High Tol]],"Pass","Fail")))</f>
        <v>Fail</v>
      </c>
      <c r="AF2932" s="1" t="str">
        <f>IF(AND(Table1[[#This Row],[Spec Type2]]="N/A",Table1[[#This Row],[DUT Adj Read]]="N/A",Table1[[#This Row],[Std Adj Read]]="N/A"),"N/A",IF(Table1[[#This Row],[DUT Adj Read]]="N/A",IF(Table1[[#This Row],[Std Adj Read]]&gt;=Table1[[#This Row],[Low Tol]],"Pass","Fail"),IF(Table1[[#This Row],[DUT Adj Read]]&gt;=Table1[[#This Row],[Low Tol]],"Pass","Fail")))</f>
        <v>Pass</v>
      </c>
      <c r="AG2932" s="1" t="str">
        <f>IF(AND(Table1[[#This Row],[Spec Type2]]="N/A",Table1[[#This Row],[DUT Adj Read]]="N/A",Table1[[#This Row],[Std Adj Read]]="N/A"),"N/A",IF(Table1[[#This Row],[DUT Adj Read]]="N/A",IF(Table1[[#This Row],[Std Adj Read]]&lt;=Table1[[#This Row],[High Tol]],"Pass","Fail"),IF(Table1[[#This Row],[DUT Adj Read]]&lt;=Table1[[#This Row],[High Tol]],"Pass","Fail")))</f>
        <v>Fail</v>
      </c>
      <c r="AH29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2" s="1" t="b">
        <v>0</v>
      </c>
      <c r="AN2932" s="1" t="b">
        <v>0</v>
      </c>
      <c r="AO2932" s="1" t="b">
        <v>0</v>
      </c>
    </row>
    <row r="2933" spans="1:41" x14ac:dyDescent="0.25">
      <c r="A2933" s="10"/>
      <c r="B2933" s="10"/>
      <c r="C2933" s="10"/>
      <c r="D2933" s="10"/>
      <c r="E2933" s="10"/>
      <c r="F2933" s="10"/>
      <c r="G2933" s="10"/>
      <c r="H2933" s="10"/>
      <c r="I2933" s="1" t="str">
        <f t="shared" si="135"/>
        <v/>
      </c>
      <c r="J2933" s="1" t="s">
        <v>35</v>
      </c>
      <c r="K2933" s="1" t="str">
        <f t="shared" si="136"/>
        <v/>
      </c>
      <c r="L2933" s="1" t="str">
        <f t="shared" si="137"/>
        <v/>
      </c>
      <c r="M2933" s="1">
        <f>IF(OR(Table1[[#This Row],[Std Nom]]="",Table1[[#This Row],[Std Read]]=""),0,Table1[[#This Row],[Std Nom]]-Table1[[#This Row],[Std Read]])</f>
        <v>0</v>
      </c>
      <c r="N2933" s="1">
        <f>IF(Calculations!$F$5="ACCREDITED 17025 WITH UNCERTAINTIES",$N$10,0)</f>
        <v>0</v>
      </c>
      <c r="O2933" s="1" t="str">
        <f>IFERROR(Table1[[#This Row],[Std Nom]]-(_xlfn.XLOOKUP(Table1[[#This Row],[Manufacturer]]&amp;" "&amp;Table1[[#This Row],[Model]],Table13[MFR &amp; MDL],Table13[Tolerance % CW ],"")/100*Table1[[#This Row],[Std Nom]]),"")</f>
        <v/>
      </c>
      <c r="P2933" s="1" t="str">
        <f>IFERROR(Table1[[#This Row],[Std Nom]]+(_xlfn.XLOOKUP(Table1[[#This Row],[Manufacturer]]&amp;" "&amp;Table1[[#This Row],[Model]],Table13[MFR &amp; MDL],Table13[Tolerance % CW ],"")/100*Table1[[#This Row],[Std Nom]]),"")</f>
        <v/>
      </c>
      <c r="Q2933" s="1" t="e">
        <f>Table1[[#This Row],[High Tol]]-Table1[[#This Row],[Low Tol]]</f>
        <v>#VALUE!</v>
      </c>
      <c r="R2933" s="1">
        <f>2*Table1[[#This Row],[Std Error]]</f>
        <v>0</v>
      </c>
      <c r="S2933" s="1" t="str">
        <f>IF(Table1[[#This Row],[High Tol]]="","N/A",IFERROR(ABS(Table1[[#This Row],[Tol Span]]/Table1[[#This Row],[Error Span]]),"N/A"))</f>
        <v>N/A</v>
      </c>
      <c r="T2933" s="1" t="str">
        <f>IF(OR(Table1[[#This Row],[Low Tol]]="",Table1[[#This Row],[High Tol]]=""),"Needs Analysis",IF(Table1[[#This Row],[Ratio]]&gt;=4,"Not Significant",IF(Table1[[#This Row],[Ratio]]&gt;=2,"Semi-Significant","Significant")))</f>
        <v>Needs Analysis</v>
      </c>
      <c r="W2933" s="1">
        <f>IF(Table1[[#This Row],[Cal Type]]&lt;&gt;"ACCREDITED 17025 WITH UNCERTAINTIES",0,"")</f>
        <v>0</v>
      </c>
      <c r="X2933" s="1" t="str">
        <f>IF(Table1[[#This Row],[DUT Read]]="","N/A",Table1[[#This Row],[Std Error]]+Table1[[#This Row],[DUT Read]]+Table1[[#This Row],[DUT Ucty]])</f>
        <v>N/A</v>
      </c>
      <c r="Y2933" s="1" t="str">
        <f>IF(Table1[[#This Row],[Std Read]]="","N/A",Table1[[#This Row],[Std Read]]+Table1[[#This Row],[Std Ucty]])</f>
        <v>N/A</v>
      </c>
      <c r="Z29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3" s="1" t="str">
        <f>IF(Table1[[#This Row],[Spec Type]]="","N/A",Table1[[#This Row],[Spec Type]])</f>
        <v>±</v>
      </c>
      <c r="AC2933" s="1" t="str">
        <f>IF(Table1[[#This Row],[Spec Type2]]="N/A","N/A",IF(AND(Table1[[#This Row],[DUT Adj Read]]&gt;=Table1[[#This Row],[Low Tol]],Table1[[#This Row],[DUT Adj Read]]&lt;=Table1[[#This Row],[High Tol]]),"Pass","Fail"))</f>
        <v>Fail</v>
      </c>
      <c r="AD2933" s="1" t="str">
        <f>IF(AND(Table1[[#This Row],[Spec Type2]]="N/A",Table1[[#This Row],[DUT Adj Read]]="N/A",Table1[[#This Row],[Std Adj Read]]="N/A"),"N/A",IF(Table1[[#This Row],[DUT Adj Read]]="N/A",IF(Table1[[#This Row],[Std Adj Read]]&gt;Table1[[#This Row],[Low Tol]],"Pass","Fail"),IF(Table1[[#This Row],[DUT Adj Read]]&gt;Table1[[#This Row],[Low Tol]],"Pass","Fail")))</f>
        <v>Pass</v>
      </c>
      <c r="AE2933" s="1" t="str">
        <f>IF(AND(Table1[[#This Row],[Spec Type2]]="N/A",Table1[[#This Row],[DUT Adj Read]]="N/A",Table1[[#This Row],[Std Adj Read]]="N/A"),"N/A",IF(Table1[[#This Row],[DUT Adj Read]]="N/A",IF(Table1[[#This Row],[Std Adj Read]]&lt;Table1[[#This Row],[High Tol]],"Pass","Fail"),IF(Table1[[#This Row],[DUT Adj Read]]&lt;Table1[[#This Row],[High Tol]],"Pass","Fail")))</f>
        <v>Fail</v>
      </c>
      <c r="AF2933" s="1" t="str">
        <f>IF(AND(Table1[[#This Row],[Spec Type2]]="N/A",Table1[[#This Row],[DUT Adj Read]]="N/A",Table1[[#This Row],[Std Adj Read]]="N/A"),"N/A",IF(Table1[[#This Row],[DUT Adj Read]]="N/A",IF(Table1[[#This Row],[Std Adj Read]]&gt;=Table1[[#This Row],[Low Tol]],"Pass","Fail"),IF(Table1[[#This Row],[DUT Adj Read]]&gt;=Table1[[#This Row],[Low Tol]],"Pass","Fail")))</f>
        <v>Pass</v>
      </c>
      <c r="AG2933" s="1" t="str">
        <f>IF(AND(Table1[[#This Row],[Spec Type2]]="N/A",Table1[[#This Row],[DUT Adj Read]]="N/A",Table1[[#This Row],[Std Adj Read]]="N/A"),"N/A",IF(Table1[[#This Row],[DUT Adj Read]]="N/A",IF(Table1[[#This Row],[Std Adj Read]]&lt;=Table1[[#This Row],[High Tol]],"Pass","Fail"),IF(Table1[[#This Row],[DUT Adj Read]]&lt;=Table1[[#This Row],[High Tol]],"Pass","Fail")))</f>
        <v>Fail</v>
      </c>
      <c r="AH29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3" s="1" t="b">
        <v>0</v>
      </c>
      <c r="AN2933" s="1" t="b">
        <v>0</v>
      </c>
      <c r="AO2933" s="1" t="b">
        <v>0</v>
      </c>
    </row>
    <row r="2934" spans="1:41" x14ac:dyDescent="0.25">
      <c r="A2934" s="10"/>
      <c r="B2934" s="10"/>
      <c r="C2934" s="10"/>
      <c r="D2934" s="10"/>
      <c r="E2934" s="10"/>
      <c r="F2934" s="10"/>
      <c r="G2934" s="10"/>
      <c r="H2934" s="10"/>
      <c r="I2934" s="1" t="str">
        <f t="shared" si="135"/>
        <v/>
      </c>
      <c r="J2934" s="1" t="s">
        <v>35</v>
      </c>
      <c r="K2934" s="1" t="str">
        <f t="shared" si="136"/>
        <v/>
      </c>
      <c r="L2934" s="1" t="str">
        <f t="shared" si="137"/>
        <v/>
      </c>
      <c r="M2934" s="1">
        <f>IF(OR(Table1[[#This Row],[Std Nom]]="",Table1[[#This Row],[Std Read]]=""),0,Table1[[#This Row],[Std Nom]]-Table1[[#This Row],[Std Read]])</f>
        <v>0</v>
      </c>
      <c r="N2934" s="1">
        <f>IF(Calculations!$F$5="ACCREDITED 17025 WITH UNCERTAINTIES",$N$10,0)</f>
        <v>0</v>
      </c>
      <c r="O2934" s="1" t="str">
        <f>IFERROR(Table1[[#This Row],[Std Nom]]-(_xlfn.XLOOKUP(Table1[[#This Row],[Manufacturer]]&amp;" "&amp;Table1[[#This Row],[Model]],Table13[MFR &amp; MDL],Table13[Tolerance % CW ],"")/100*Table1[[#This Row],[Std Nom]]),"")</f>
        <v/>
      </c>
      <c r="P2934" s="1" t="str">
        <f>IFERROR(Table1[[#This Row],[Std Nom]]+(_xlfn.XLOOKUP(Table1[[#This Row],[Manufacturer]]&amp;" "&amp;Table1[[#This Row],[Model]],Table13[MFR &amp; MDL],Table13[Tolerance % CW ],"")/100*Table1[[#This Row],[Std Nom]]),"")</f>
        <v/>
      </c>
      <c r="Q2934" s="1" t="e">
        <f>Table1[[#This Row],[High Tol]]-Table1[[#This Row],[Low Tol]]</f>
        <v>#VALUE!</v>
      </c>
      <c r="R2934" s="1">
        <f>2*Table1[[#This Row],[Std Error]]</f>
        <v>0</v>
      </c>
      <c r="S2934" s="1" t="str">
        <f>IF(Table1[[#This Row],[High Tol]]="","N/A",IFERROR(ABS(Table1[[#This Row],[Tol Span]]/Table1[[#This Row],[Error Span]]),"N/A"))</f>
        <v>N/A</v>
      </c>
      <c r="T2934" s="1" t="str">
        <f>IF(OR(Table1[[#This Row],[Low Tol]]="",Table1[[#This Row],[High Tol]]=""),"Needs Analysis",IF(Table1[[#This Row],[Ratio]]&gt;=4,"Not Significant",IF(Table1[[#This Row],[Ratio]]&gt;=2,"Semi-Significant","Significant")))</f>
        <v>Needs Analysis</v>
      </c>
      <c r="W2934" s="1">
        <f>IF(Table1[[#This Row],[Cal Type]]&lt;&gt;"ACCREDITED 17025 WITH UNCERTAINTIES",0,"")</f>
        <v>0</v>
      </c>
      <c r="X2934" s="1" t="str">
        <f>IF(Table1[[#This Row],[DUT Read]]="","N/A",Table1[[#This Row],[Std Error]]+Table1[[#This Row],[DUT Read]]+Table1[[#This Row],[DUT Ucty]])</f>
        <v>N/A</v>
      </c>
      <c r="Y2934" s="1" t="str">
        <f>IF(Table1[[#This Row],[Std Read]]="","N/A",Table1[[#This Row],[Std Read]]+Table1[[#This Row],[Std Ucty]])</f>
        <v>N/A</v>
      </c>
      <c r="Z29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4" s="1" t="str">
        <f>IF(Table1[[#This Row],[Spec Type]]="","N/A",Table1[[#This Row],[Spec Type]])</f>
        <v>±</v>
      </c>
      <c r="AC2934" s="1" t="str">
        <f>IF(Table1[[#This Row],[Spec Type2]]="N/A","N/A",IF(AND(Table1[[#This Row],[DUT Adj Read]]&gt;=Table1[[#This Row],[Low Tol]],Table1[[#This Row],[DUT Adj Read]]&lt;=Table1[[#This Row],[High Tol]]),"Pass","Fail"))</f>
        <v>Fail</v>
      </c>
      <c r="AD2934" s="1" t="str">
        <f>IF(AND(Table1[[#This Row],[Spec Type2]]="N/A",Table1[[#This Row],[DUT Adj Read]]="N/A",Table1[[#This Row],[Std Adj Read]]="N/A"),"N/A",IF(Table1[[#This Row],[DUT Adj Read]]="N/A",IF(Table1[[#This Row],[Std Adj Read]]&gt;Table1[[#This Row],[Low Tol]],"Pass","Fail"),IF(Table1[[#This Row],[DUT Adj Read]]&gt;Table1[[#This Row],[Low Tol]],"Pass","Fail")))</f>
        <v>Pass</v>
      </c>
      <c r="AE2934" s="1" t="str">
        <f>IF(AND(Table1[[#This Row],[Spec Type2]]="N/A",Table1[[#This Row],[DUT Adj Read]]="N/A",Table1[[#This Row],[Std Adj Read]]="N/A"),"N/A",IF(Table1[[#This Row],[DUT Adj Read]]="N/A",IF(Table1[[#This Row],[Std Adj Read]]&lt;Table1[[#This Row],[High Tol]],"Pass","Fail"),IF(Table1[[#This Row],[DUT Adj Read]]&lt;Table1[[#This Row],[High Tol]],"Pass","Fail")))</f>
        <v>Fail</v>
      </c>
      <c r="AF2934" s="1" t="str">
        <f>IF(AND(Table1[[#This Row],[Spec Type2]]="N/A",Table1[[#This Row],[DUT Adj Read]]="N/A",Table1[[#This Row],[Std Adj Read]]="N/A"),"N/A",IF(Table1[[#This Row],[DUT Adj Read]]="N/A",IF(Table1[[#This Row],[Std Adj Read]]&gt;=Table1[[#This Row],[Low Tol]],"Pass","Fail"),IF(Table1[[#This Row],[DUT Adj Read]]&gt;=Table1[[#This Row],[Low Tol]],"Pass","Fail")))</f>
        <v>Pass</v>
      </c>
      <c r="AG2934" s="1" t="str">
        <f>IF(AND(Table1[[#This Row],[Spec Type2]]="N/A",Table1[[#This Row],[DUT Adj Read]]="N/A",Table1[[#This Row],[Std Adj Read]]="N/A"),"N/A",IF(Table1[[#This Row],[DUT Adj Read]]="N/A",IF(Table1[[#This Row],[Std Adj Read]]&lt;=Table1[[#This Row],[High Tol]],"Pass","Fail"),IF(Table1[[#This Row],[DUT Adj Read]]&lt;=Table1[[#This Row],[High Tol]],"Pass","Fail")))</f>
        <v>Fail</v>
      </c>
      <c r="AH29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4" s="1" t="b">
        <v>0</v>
      </c>
      <c r="AN2934" s="1" t="b">
        <v>0</v>
      </c>
      <c r="AO2934" s="1" t="b">
        <v>0</v>
      </c>
    </row>
    <row r="2935" spans="1:41" x14ac:dyDescent="0.25">
      <c r="A2935" s="10"/>
      <c r="B2935" s="10"/>
      <c r="C2935" s="10"/>
      <c r="D2935" s="10"/>
      <c r="E2935" s="10"/>
      <c r="F2935" s="10"/>
      <c r="G2935" s="10"/>
      <c r="H2935" s="10"/>
      <c r="I2935" s="1" t="str">
        <f t="shared" si="135"/>
        <v/>
      </c>
      <c r="J2935" s="1" t="s">
        <v>35</v>
      </c>
      <c r="K2935" s="1" t="str">
        <f t="shared" si="136"/>
        <v/>
      </c>
      <c r="L2935" s="1" t="str">
        <f t="shared" si="137"/>
        <v/>
      </c>
      <c r="M2935" s="1">
        <f>IF(OR(Table1[[#This Row],[Std Nom]]="",Table1[[#This Row],[Std Read]]=""),0,Table1[[#This Row],[Std Nom]]-Table1[[#This Row],[Std Read]])</f>
        <v>0</v>
      </c>
      <c r="N2935" s="1">
        <f>IF(Calculations!$F$5="ACCREDITED 17025 WITH UNCERTAINTIES",$N$10,0)</f>
        <v>0</v>
      </c>
      <c r="O2935" s="1" t="str">
        <f>IFERROR(Table1[[#This Row],[Std Nom]]-(_xlfn.XLOOKUP(Table1[[#This Row],[Manufacturer]]&amp;" "&amp;Table1[[#This Row],[Model]],Table13[MFR &amp; MDL],Table13[Tolerance % CW ],"")/100*Table1[[#This Row],[Std Nom]]),"")</f>
        <v/>
      </c>
      <c r="P2935" s="1" t="str">
        <f>IFERROR(Table1[[#This Row],[Std Nom]]+(_xlfn.XLOOKUP(Table1[[#This Row],[Manufacturer]]&amp;" "&amp;Table1[[#This Row],[Model]],Table13[MFR &amp; MDL],Table13[Tolerance % CW ],"")/100*Table1[[#This Row],[Std Nom]]),"")</f>
        <v/>
      </c>
      <c r="Q2935" s="1" t="e">
        <f>Table1[[#This Row],[High Tol]]-Table1[[#This Row],[Low Tol]]</f>
        <v>#VALUE!</v>
      </c>
      <c r="R2935" s="1">
        <f>2*Table1[[#This Row],[Std Error]]</f>
        <v>0</v>
      </c>
      <c r="S2935" s="1" t="str">
        <f>IF(Table1[[#This Row],[High Tol]]="","N/A",IFERROR(ABS(Table1[[#This Row],[Tol Span]]/Table1[[#This Row],[Error Span]]),"N/A"))</f>
        <v>N/A</v>
      </c>
      <c r="T2935" s="1" t="str">
        <f>IF(OR(Table1[[#This Row],[Low Tol]]="",Table1[[#This Row],[High Tol]]=""),"Needs Analysis",IF(Table1[[#This Row],[Ratio]]&gt;=4,"Not Significant",IF(Table1[[#This Row],[Ratio]]&gt;=2,"Semi-Significant","Significant")))</f>
        <v>Needs Analysis</v>
      </c>
      <c r="W2935" s="1">
        <f>IF(Table1[[#This Row],[Cal Type]]&lt;&gt;"ACCREDITED 17025 WITH UNCERTAINTIES",0,"")</f>
        <v>0</v>
      </c>
      <c r="X2935" s="1" t="str">
        <f>IF(Table1[[#This Row],[DUT Read]]="","N/A",Table1[[#This Row],[Std Error]]+Table1[[#This Row],[DUT Read]]+Table1[[#This Row],[DUT Ucty]])</f>
        <v>N/A</v>
      </c>
      <c r="Y2935" s="1" t="str">
        <f>IF(Table1[[#This Row],[Std Read]]="","N/A",Table1[[#This Row],[Std Read]]+Table1[[#This Row],[Std Ucty]])</f>
        <v>N/A</v>
      </c>
      <c r="Z29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5" s="1" t="str">
        <f>IF(Table1[[#This Row],[Spec Type]]="","N/A",Table1[[#This Row],[Spec Type]])</f>
        <v>±</v>
      </c>
      <c r="AC2935" s="1" t="str">
        <f>IF(Table1[[#This Row],[Spec Type2]]="N/A","N/A",IF(AND(Table1[[#This Row],[DUT Adj Read]]&gt;=Table1[[#This Row],[Low Tol]],Table1[[#This Row],[DUT Adj Read]]&lt;=Table1[[#This Row],[High Tol]]),"Pass","Fail"))</f>
        <v>Fail</v>
      </c>
      <c r="AD2935" s="1" t="str">
        <f>IF(AND(Table1[[#This Row],[Spec Type2]]="N/A",Table1[[#This Row],[DUT Adj Read]]="N/A",Table1[[#This Row],[Std Adj Read]]="N/A"),"N/A",IF(Table1[[#This Row],[DUT Adj Read]]="N/A",IF(Table1[[#This Row],[Std Adj Read]]&gt;Table1[[#This Row],[Low Tol]],"Pass","Fail"),IF(Table1[[#This Row],[DUT Adj Read]]&gt;Table1[[#This Row],[Low Tol]],"Pass","Fail")))</f>
        <v>Pass</v>
      </c>
      <c r="AE2935" s="1" t="str">
        <f>IF(AND(Table1[[#This Row],[Spec Type2]]="N/A",Table1[[#This Row],[DUT Adj Read]]="N/A",Table1[[#This Row],[Std Adj Read]]="N/A"),"N/A",IF(Table1[[#This Row],[DUT Adj Read]]="N/A",IF(Table1[[#This Row],[Std Adj Read]]&lt;Table1[[#This Row],[High Tol]],"Pass","Fail"),IF(Table1[[#This Row],[DUT Adj Read]]&lt;Table1[[#This Row],[High Tol]],"Pass","Fail")))</f>
        <v>Fail</v>
      </c>
      <c r="AF2935" s="1" t="str">
        <f>IF(AND(Table1[[#This Row],[Spec Type2]]="N/A",Table1[[#This Row],[DUT Adj Read]]="N/A",Table1[[#This Row],[Std Adj Read]]="N/A"),"N/A",IF(Table1[[#This Row],[DUT Adj Read]]="N/A",IF(Table1[[#This Row],[Std Adj Read]]&gt;=Table1[[#This Row],[Low Tol]],"Pass","Fail"),IF(Table1[[#This Row],[DUT Adj Read]]&gt;=Table1[[#This Row],[Low Tol]],"Pass","Fail")))</f>
        <v>Pass</v>
      </c>
      <c r="AG2935" s="1" t="str">
        <f>IF(AND(Table1[[#This Row],[Spec Type2]]="N/A",Table1[[#This Row],[DUT Adj Read]]="N/A",Table1[[#This Row],[Std Adj Read]]="N/A"),"N/A",IF(Table1[[#This Row],[DUT Adj Read]]="N/A",IF(Table1[[#This Row],[Std Adj Read]]&lt;=Table1[[#This Row],[High Tol]],"Pass","Fail"),IF(Table1[[#This Row],[DUT Adj Read]]&lt;=Table1[[#This Row],[High Tol]],"Pass","Fail")))</f>
        <v>Fail</v>
      </c>
      <c r="AH29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5" s="1" t="b">
        <v>0</v>
      </c>
      <c r="AN2935" s="1" t="b">
        <v>0</v>
      </c>
      <c r="AO2935" s="1" t="b">
        <v>0</v>
      </c>
    </row>
    <row r="2936" spans="1:41" x14ac:dyDescent="0.25">
      <c r="A2936" s="10"/>
      <c r="B2936" s="10"/>
      <c r="C2936" s="10"/>
      <c r="D2936" s="10"/>
      <c r="E2936" s="10"/>
      <c r="F2936" s="10"/>
      <c r="G2936" s="10"/>
      <c r="H2936" s="10"/>
      <c r="I2936" s="1" t="str">
        <f t="shared" si="135"/>
        <v/>
      </c>
      <c r="J2936" s="1" t="s">
        <v>35</v>
      </c>
      <c r="K2936" s="1" t="str">
        <f t="shared" si="136"/>
        <v/>
      </c>
      <c r="L2936" s="1" t="str">
        <f t="shared" si="137"/>
        <v/>
      </c>
      <c r="M2936" s="1">
        <f>IF(OR(Table1[[#This Row],[Std Nom]]="",Table1[[#This Row],[Std Read]]=""),0,Table1[[#This Row],[Std Nom]]-Table1[[#This Row],[Std Read]])</f>
        <v>0</v>
      </c>
      <c r="N2936" s="1">
        <f>IF(Calculations!$F$5="ACCREDITED 17025 WITH UNCERTAINTIES",$N$10,0)</f>
        <v>0</v>
      </c>
      <c r="O2936" s="1" t="str">
        <f>IFERROR(Table1[[#This Row],[Std Nom]]-(_xlfn.XLOOKUP(Table1[[#This Row],[Manufacturer]]&amp;" "&amp;Table1[[#This Row],[Model]],Table13[MFR &amp; MDL],Table13[Tolerance % CW ],"")/100*Table1[[#This Row],[Std Nom]]),"")</f>
        <v/>
      </c>
      <c r="P2936" s="1" t="str">
        <f>IFERROR(Table1[[#This Row],[Std Nom]]+(_xlfn.XLOOKUP(Table1[[#This Row],[Manufacturer]]&amp;" "&amp;Table1[[#This Row],[Model]],Table13[MFR &amp; MDL],Table13[Tolerance % CW ],"")/100*Table1[[#This Row],[Std Nom]]),"")</f>
        <v/>
      </c>
      <c r="Q2936" s="1" t="e">
        <f>Table1[[#This Row],[High Tol]]-Table1[[#This Row],[Low Tol]]</f>
        <v>#VALUE!</v>
      </c>
      <c r="R2936" s="1">
        <f>2*Table1[[#This Row],[Std Error]]</f>
        <v>0</v>
      </c>
      <c r="S2936" s="1" t="str">
        <f>IF(Table1[[#This Row],[High Tol]]="","N/A",IFERROR(ABS(Table1[[#This Row],[Tol Span]]/Table1[[#This Row],[Error Span]]),"N/A"))</f>
        <v>N/A</v>
      </c>
      <c r="T2936" s="1" t="str">
        <f>IF(OR(Table1[[#This Row],[Low Tol]]="",Table1[[#This Row],[High Tol]]=""),"Needs Analysis",IF(Table1[[#This Row],[Ratio]]&gt;=4,"Not Significant",IF(Table1[[#This Row],[Ratio]]&gt;=2,"Semi-Significant","Significant")))</f>
        <v>Needs Analysis</v>
      </c>
      <c r="W2936" s="1">
        <f>IF(Table1[[#This Row],[Cal Type]]&lt;&gt;"ACCREDITED 17025 WITH UNCERTAINTIES",0,"")</f>
        <v>0</v>
      </c>
      <c r="X2936" s="1" t="str">
        <f>IF(Table1[[#This Row],[DUT Read]]="","N/A",Table1[[#This Row],[Std Error]]+Table1[[#This Row],[DUT Read]]+Table1[[#This Row],[DUT Ucty]])</f>
        <v>N/A</v>
      </c>
      <c r="Y2936" s="1" t="str">
        <f>IF(Table1[[#This Row],[Std Read]]="","N/A",Table1[[#This Row],[Std Read]]+Table1[[#This Row],[Std Ucty]])</f>
        <v>N/A</v>
      </c>
      <c r="Z29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6" s="1" t="str">
        <f>IF(Table1[[#This Row],[Spec Type]]="","N/A",Table1[[#This Row],[Spec Type]])</f>
        <v>±</v>
      </c>
      <c r="AC2936" s="1" t="str">
        <f>IF(Table1[[#This Row],[Spec Type2]]="N/A","N/A",IF(AND(Table1[[#This Row],[DUT Adj Read]]&gt;=Table1[[#This Row],[Low Tol]],Table1[[#This Row],[DUT Adj Read]]&lt;=Table1[[#This Row],[High Tol]]),"Pass","Fail"))</f>
        <v>Fail</v>
      </c>
      <c r="AD2936" s="1" t="str">
        <f>IF(AND(Table1[[#This Row],[Spec Type2]]="N/A",Table1[[#This Row],[DUT Adj Read]]="N/A",Table1[[#This Row],[Std Adj Read]]="N/A"),"N/A",IF(Table1[[#This Row],[DUT Adj Read]]="N/A",IF(Table1[[#This Row],[Std Adj Read]]&gt;Table1[[#This Row],[Low Tol]],"Pass","Fail"),IF(Table1[[#This Row],[DUT Adj Read]]&gt;Table1[[#This Row],[Low Tol]],"Pass","Fail")))</f>
        <v>Pass</v>
      </c>
      <c r="AE2936" s="1" t="str">
        <f>IF(AND(Table1[[#This Row],[Spec Type2]]="N/A",Table1[[#This Row],[DUT Adj Read]]="N/A",Table1[[#This Row],[Std Adj Read]]="N/A"),"N/A",IF(Table1[[#This Row],[DUT Adj Read]]="N/A",IF(Table1[[#This Row],[Std Adj Read]]&lt;Table1[[#This Row],[High Tol]],"Pass","Fail"),IF(Table1[[#This Row],[DUT Adj Read]]&lt;Table1[[#This Row],[High Tol]],"Pass","Fail")))</f>
        <v>Fail</v>
      </c>
      <c r="AF2936" s="1" t="str">
        <f>IF(AND(Table1[[#This Row],[Spec Type2]]="N/A",Table1[[#This Row],[DUT Adj Read]]="N/A",Table1[[#This Row],[Std Adj Read]]="N/A"),"N/A",IF(Table1[[#This Row],[DUT Adj Read]]="N/A",IF(Table1[[#This Row],[Std Adj Read]]&gt;=Table1[[#This Row],[Low Tol]],"Pass","Fail"),IF(Table1[[#This Row],[DUT Adj Read]]&gt;=Table1[[#This Row],[Low Tol]],"Pass","Fail")))</f>
        <v>Pass</v>
      </c>
      <c r="AG2936" s="1" t="str">
        <f>IF(AND(Table1[[#This Row],[Spec Type2]]="N/A",Table1[[#This Row],[DUT Adj Read]]="N/A",Table1[[#This Row],[Std Adj Read]]="N/A"),"N/A",IF(Table1[[#This Row],[DUT Adj Read]]="N/A",IF(Table1[[#This Row],[Std Adj Read]]&lt;=Table1[[#This Row],[High Tol]],"Pass","Fail"),IF(Table1[[#This Row],[DUT Adj Read]]&lt;=Table1[[#This Row],[High Tol]],"Pass","Fail")))</f>
        <v>Fail</v>
      </c>
      <c r="AH29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6" s="1" t="b">
        <v>0</v>
      </c>
      <c r="AN2936" s="1" t="b">
        <v>0</v>
      </c>
      <c r="AO2936" s="1" t="b">
        <v>0</v>
      </c>
    </row>
    <row r="2937" spans="1:41" x14ac:dyDescent="0.25">
      <c r="A2937" s="10"/>
      <c r="B2937" s="10"/>
      <c r="C2937" s="10"/>
      <c r="D2937" s="10"/>
      <c r="E2937" s="10"/>
      <c r="F2937" s="10"/>
      <c r="G2937" s="10"/>
      <c r="H2937" s="10"/>
      <c r="I2937" s="1" t="str">
        <f t="shared" si="135"/>
        <v/>
      </c>
      <c r="J2937" s="1" t="s">
        <v>35</v>
      </c>
      <c r="K2937" s="1" t="str">
        <f t="shared" si="136"/>
        <v/>
      </c>
      <c r="L2937" s="1" t="str">
        <f t="shared" si="137"/>
        <v/>
      </c>
      <c r="M2937" s="1">
        <f>IF(OR(Table1[[#This Row],[Std Nom]]="",Table1[[#This Row],[Std Read]]=""),0,Table1[[#This Row],[Std Nom]]-Table1[[#This Row],[Std Read]])</f>
        <v>0</v>
      </c>
      <c r="N2937" s="1">
        <f>IF(Calculations!$F$5="ACCREDITED 17025 WITH UNCERTAINTIES",$N$10,0)</f>
        <v>0</v>
      </c>
      <c r="O2937" s="1" t="str">
        <f>IFERROR(Table1[[#This Row],[Std Nom]]-(_xlfn.XLOOKUP(Table1[[#This Row],[Manufacturer]]&amp;" "&amp;Table1[[#This Row],[Model]],Table13[MFR &amp; MDL],Table13[Tolerance % CW ],"")/100*Table1[[#This Row],[Std Nom]]),"")</f>
        <v/>
      </c>
      <c r="P2937" s="1" t="str">
        <f>IFERROR(Table1[[#This Row],[Std Nom]]+(_xlfn.XLOOKUP(Table1[[#This Row],[Manufacturer]]&amp;" "&amp;Table1[[#This Row],[Model]],Table13[MFR &amp; MDL],Table13[Tolerance % CW ],"")/100*Table1[[#This Row],[Std Nom]]),"")</f>
        <v/>
      </c>
      <c r="Q2937" s="1" t="e">
        <f>Table1[[#This Row],[High Tol]]-Table1[[#This Row],[Low Tol]]</f>
        <v>#VALUE!</v>
      </c>
      <c r="R2937" s="1">
        <f>2*Table1[[#This Row],[Std Error]]</f>
        <v>0</v>
      </c>
      <c r="S2937" s="1" t="str">
        <f>IF(Table1[[#This Row],[High Tol]]="","N/A",IFERROR(ABS(Table1[[#This Row],[Tol Span]]/Table1[[#This Row],[Error Span]]),"N/A"))</f>
        <v>N/A</v>
      </c>
      <c r="T2937" s="1" t="str">
        <f>IF(OR(Table1[[#This Row],[Low Tol]]="",Table1[[#This Row],[High Tol]]=""),"Needs Analysis",IF(Table1[[#This Row],[Ratio]]&gt;=4,"Not Significant",IF(Table1[[#This Row],[Ratio]]&gt;=2,"Semi-Significant","Significant")))</f>
        <v>Needs Analysis</v>
      </c>
      <c r="W2937" s="1">
        <f>IF(Table1[[#This Row],[Cal Type]]&lt;&gt;"ACCREDITED 17025 WITH UNCERTAINTIES",0,"")</f>
        <v>0</v>
      </c>
      <c r="X2937" s="1" t="str">
        <f>IF(Table1[[#This Row],[DUT Read]]="","N/A",Table1[[#This Row],[Std Error]]+Table1[[#This Row],[DUT Read]]+Table1[[#This Row],[DUT Ucty]])</f>
        <v>N/A</v>
      </c>
      <c r="Y2937" s="1" t="str">
        <f>IF(Table1[[#This Row],[Std Read]]="","N/A",Table1[[#This Row],[Std Read]]+Table1[[#This Row],[Std Ucty]])</f>
        <v>N/A</v>
      </c>
      <c r="Z29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7" s="1" t="str">
        <f>IF(Table1[[#This Row],[Spec Type]]="","N/A",Table1[[#This Row],[Spec Type]])</f>
        <v>±</v>
      </c>
      <c r="AC2937" s="1" t="str">
        <f>IF(Table1[[#This Row],[Spec Type2]]="N/A","N/A",IF(AND(Table1[[#This Row],[DUT Adj Read]]&gt;=Table1[[#This Row],[Low Tol]],Table1[[#This Row],[DUT Adj Read]]&lt;=Table1[[#This Row],[High Tol]]),"Pass","Fail"))</f>
        <v>Fail</v>
      </c>
      <c r="AD2937" s="1" t="str">
        <f>IF(AND(Table1[[#This Row],[Spec Type2]]="N/A",Table1[[#This Row],[DUT Adj Read]]="N/A",Table1[[#This Row],[Std Adj Read]]="N/A"),"N/A",IF(Table1[[#This Row],[DUT Adj Read]]="N/A",IF(Table1[[#This Row],[Std Adj Read]]&gt;Table1[[#This Row],[Low Tol]],"Pass","Fail"),IF(Table1[[#This Row],[DUT Adj Read]]&gt;Table1[[#This Row],[Low Tol]],"Pass","Fail")))</f>
        <v>Pass</v>
      </c>
      <c r="AE2937" s="1" t="str">
        <f>IF(AND(Table1[[#This Row],[Spec Type2]]="N/A",Table1[[#This Row],[DUT Adj Read]]="N/A",Table1[[#This Row],[Std Adj Read]]="N/A"),"N/A",IF(Table1[[#This Row],[DUT Adj Read]]="N/A",IF(Table1[[#This Row],[Std Adj Read]]&lt;Table1[[#This Row],[High Tol]],"Pass","Fail"),IF(Table1[[#This Row],[DUT Adj Read]]&lt;Table1[[#This Row],[High Tol]],"Pass","Fail")))</f>
        <v>Fail</v>
      </c>
      <c r="AF2937" s="1" t="str">
        <f>IF(AND(Table1[[#This Row],[Spec Type2]]="N/A",Table1[[#This Row],[DUT Adj Read]]="N/A",Table1[[#This Row],[Std Adj Read]]="N/A"),"N/A",IF(Table1[[#This Row],[DUT Adj Read]]="N/A",IF(Table1[[#This Row],[Std Adj Read]]&gt;=Table1[[#This Row],[Low Tol]],"Pass","Fail"),IF(Table1[[#This Row],[DUT Adj Read]]&gt;=Table1[[#This Row],[Low Tol]],"Pass","Fail")))</f>
        <v>Pass</v>
      </c>
      <c r="AG2937" s="1" t="str">
        <f>IF(AND(Table1[[#This Row],[Spec Type2]]="N/A",Table1[[#This Row],[DUT Adj Read]]="N/A",Table1[[#This Row],[Std Adj Read]]="N/A"),"N/A",IF(Table1[[#This Row],[DUT Adj Read]]="N/A",IF(Table1[[#This Row],[Std Adj Read]]&lt;=Table1[[#This Row],[High Tol]],"Pass","Fail"),IF(Table1[[#This Row],[DUT Adj Read]]&lt;=Table1[[#This Row],[High Tol]],"Pass","Fail")))</f>
        <v>Fail</v>
      </c>
      <c r="AH29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7" s="1" t="b">
        <v>0</v>
      </c>
      <c r="AN2937" s="1" t="b">
        <v>0</v>
      </c>
      <c r="AO2937" s="1" t="b">
        <v>0</v>
      </c>
    </row>
    <row r="2938" spans="1:41" x14ac:dyDescent="0.25">
      <c r="A2938" s="10"/>
      <c r="B2938" s="10"/>
      <c r="C2938" s="10"/>
      <c r="D2938" s="10"/>
      <c r="E2938" s="10"/>
      <c r="F2938" s="10"/>
      <c r="G2938" s="10"/>
      <c r="H2938" s="10"/>
      <c r="I2938" s="1" t="str">
        <f t="shared" si="135"/>
        <v/>
      </c>
      <c r="J2938" s="1" t="s">
        <v>35</v>
      </c>
      <c r="K2938" s="1" t="str">
        <f t="shared" si="136"/>
        <v/>
      </c>
      <c r="L2938" s="1" t="str">
        <f t="shared" si="137"/>
        <v/>
      </c>
      <c r="M2938" s="1">
        <f>IF(OR(Table1[[#This Row],[Std Nom]]="",Table1[[#This Row],[Std Read]]=""),0,Table1[[#This Row],[Std Nom]]-Table1[[#This Row],[Std Read]])</f>
        <v>0</v>
      </c>
      <c r="N2938" s="1">
        <f>IF(Calculations!$F$5="ACCREDITED 17025 WITH UNCERTAINTIES",$N$10,0)</f>
        <v>0</v>
      </c>
      <c r="O2938" s="1" t="str">
        <f>IFERROR(Table1[[#This Row],[Std Nom]]-(_xlfn.XLOOKUP(Table1[[#This Row],[Manufacturer]]&amp;" "&amp;Table1[[#This Row],[Model]],Table13[MFR &amp; MDL],Table13[Tolerance % CW ],"")/100*Table1[[#This Row],[Std Nom]]),"")</f>
        <v/>
      </c>
      <c r="P2938" s="1" t="str">
        <f>IFERROR(Table1[[#This Row],[Std Nom]]+(_xlfn.XLOOKUP(Table1[[#This Row],[Manufacturer]]&amp;" "&amp;Table1[[#This Row],[Model]],Table13[MFR &amp; MDL],Table13[Tolerance % CW ],"")/100*Table1[[#This Row],[Std Nom]]),"")</f>
        <v/>
      </c>
      <c r="Q2938" s="1" t="e">
        <f>Table1[[#This Row],[High Tol]]-Table1[[#This Row],[Low Tol]]</f>
        <v>#VALUE!</v>
      </c>
      <c r="R2938" s="1">
        <f>2*Table1[[#This Row],[Std Error]]</f>
        <v>0</v>
      </c>
      <c r="S2938" s="1" t="str">
        <f>IF(Table1[[#This Row],[High Tol]]="","N/A",IFERROR(ABS(Table1[[#This Row],[Tol Span]]/Table1[[#This Row],[Error Span]]),"N/A"))</f>
        <v>N/A</v>
      </c>
      <c r="T2938" s="1" t="str">
        <f>IF(OR(Table1[[#This Row],[Low Tol]]="",Table1[[#This Row],[High Tol]]=""),"Needs Analysis",IF(Table1[[#This Row],[Ratio]]&gt;=4,"Not Significant",IF(Table1[[#This Row],[Ratio]]&gt;=2,"Semi-Significant","Significant")))</f>
        <v>Needs Analysis</v>
      </c>
      <c r="W2938" s="1">
        <f>IF(Table1[[#This Row],[Cal Type]]&lt;&gt;"ACCREDITED 17025 WITH UNCERTAINTIES",0,"")</f>
        <v>0</v>
      </c>
      <c r="X2938" s="1" t="str">
        <f>IF(Table1[[#This Row],[DUT Read]]="","N/A",Table1[[#This Row],[Std Error]]+Table1[[#This Row],[DUT Read]]+Table1[[#This Row],[DUT Ucty]])</f>
        <v>N/A</v>
      </c>
      <c r="Y2938" s="1" t="str">
        <f>IF(Table1[[#This Row],[Std Read]]="","N/A",Table1[[#This Row],[Std Read]]+Table1[[#This Row],[Std Ucty]])</f>
        <v>N/A</v>
      </c>
      <c r="Z29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8" s="1" t="str">
        <f>IF(Table1[[#This Row],[Spec Type]]="","N/A",Table1[[#This Row],[Spec Type]])</f>
        <v>±</v>
      </c>
      <c r="AC2938" s="1" t="str">
        <f>IF(Table1[[#This Row],[Spec Type2]]="N/A","N/A",IF(AND(Table1[[#This Row],[DUT Adj Read]]&gt;=Table1[[#This Row],[Low Tol]],Table1[[#This Row],[DUT Adj Read]]&lt;=Table1[[#This Row],[High Tol]]),"Pass","Fail"))</f>
        <v>Fail</v>
      </c>
      <c r="AD2938" s="1" t="str">
        <f>IF(AND(Table1[[#This Row],[Spec Type2]]="N/A",Table1[[#This Row],[DUT Adj Read]]="N/A",Table1[[#This Row],[Std Adj Read]]="N/A"),"N/A",IF(Table1[[#This Row],[DUT Adj Read]]="N/A",IF(Table1[[#This Row],[Std Adj Read]]&gt;Table1[[#This Row],[Low Tol]],"Pass","Fail"),IF(Table1[[#This Row],[DUT Adj Read]]&gt;Table1[[#This Row],[Low Tol]],"Pass","Fail")))</f>
        <v>Pass</v>
      </c>
      <c r="AE2938" s="1" t="str">
        <f>IF(AND(Table1[[#This Row],[Spec Type2]]="N/A",Table1[[#This Row],[DUT Adj Read]]="N/A",Table1[[#This Row],[Std Adj Read]]="N/A"),"N/A",IF(Table1[[#This Row],[DUT Adj Read]]="N/A",IF(Table1[[#This Row],[Std Adj Read]]&lt;Table1[[#This Row],[High Tol]],"Pass","Fail"),IF(Table1[[#This Row],[DUT Adj Read]]&lt;Table1[[#This Row],[High Tol]],"Pass","Fail")))</f>
        <v>Fail</v>
      </c>
      <c r="AF2938" s="1" t="str">
        <f>IF(AND(Table1[[#This Row],[Spec Type2]]="N/A",Table1[[#This Row],[DUT Adj Read]]="N/A",Table1[[#This Row],[Std Adj Read]]="N/A"),"N/A",IF(Table1[[#This Row],[DUT Adj Read]]="N/A",IF(Table1[[#This Row],[Std Adj Read]]&gt;=Table1[[#This Row],[Low Tol]],"Pass","Fail"),IF(Table1[[#This Row],[DUT Adj Read]]&gt;=Table1[[#This Row],[Low Tol]],"Pass","Fail")))</f>
        <v>Pass</v>
      </c>
      <c r="AG2938" s="1" t="str">
        <f>IF(AND(Table1[[#This Row],[Spec Type2]]="N/A",Table1[[#This Row],[DUT Adj Read]]="N/A",Table1[[#This Row],[Std Adj Read]]="N/A"),"N/A",IF(Table1[[#This Row],[DUT Adj Read]]="N/A",IF(Table1[[#This Row],[Std Adj Read]]&lt;=Table1[[#This Row],[High Tol]],"Pass","Fail"),IF(Table1[[#This Row],[DUT Adj Read]]&lt;=Table1[[#This Row],[High Tol]],"Pass","Fail")))</f>
        <v>Fail</v>
      </c>
      <c r="AH29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8" s="1" t="b">
        <v>0</v>
      </c>
      <c r="AN2938" s="1" t="b">
        <v>0</v>
      </c>
      <c r="AO2938" s="1" t="b">
        <v>0</v>
      </c>
    </row>
    <row r="2939" spans="1:41" x14ac:dyDescent="0.25">
      <c r="A2939" s="10"/>
      <c r="B2939" s="10"/>
      <c r="C2939" s="10"/>
      <c r="D2939" s="10"/>
      <c r="E2939" s="10"/>
      <c r="F2939" s="10"/>
      <c r="G2939" s="10"/>
      <c r="H2939" s="10"/>
      <c r="I2939" s="1" t="str">
        <f t="shared" si="135"/>
        <v/>
      </c>
      <c r="J2939" s="1" t="s">
        <v>35</v>
      </c>
      <c r="K2939" s="1" t="str">
        <f t="shared" si="136"/>
        <v/>
      </c>
      <c r="L2939" s="1" t="str">
        <f t="shared" si="137"/>
        <v/>
      </c>
      <c r="M2939" s="1">
        <f>IF(OR(Table1[[#This Row],[Std Nom]]="",Table1[[#This Row],[Std Read]]=""),0,Table1[[#This Row],[Std Nom]]-Table1[[#This Row],[Std Read]])</f>
        <v>0</v>
      </c>
      <c r="N2939" s="1">
        <f>IF(Calculations!$F$5="ACCREDITED 17025 WITH UNCERTAINTIES",$N$10,0)</f>
        <v>0</v>
      </c>
      <c r="O2939" s="1" t="str">
        <f>IFERROR(Table1[[#This Row],[Std Nom]]-(_xlfn.XLOOKUP(Table1[[#This Row],[Manufacturer]]&amp;" "&amp;Table1[[#This Row],[Model]],Table13[MFR &amp; MDL],Table13[Tolerance % CW ],"")/100*Table1[[#This Row],[Std Nom]]),"")</f>
        <v/>
      </c>
      <c r="P2939" s="1" t="str">
        <f>IFERROR(Table1[[#This Row],[Std Nom]]+(_xlfn.XLOOKUP(Table1[[#This Row],[Manufacturer]]&amp;" "&amp;Table1[[#This Row],[Model]],Table13[MFR &amp; MDL],Table13[Tolerance % CW ],"")/100*Table1[[#This Row],[Std Nom]]),"")</f>
        <v/>
      </c>
      <c r="Q2939" s="1" t="e">
        <f>Table1[[#This Row],[High Tol]]-Table1[[#This Row],[Low Tol]]</f>
        <v>#VALUE!</v>
      </c>
      <c r="R2939" s="1">
        <f>2*Table1[[#This Row],[Std Error]]</f>
        <v>0</v>
      </c>
      <c r="S2939" s="1" t="str">
        <f>IF(Table1[[#This Row],[High Tol]]="","N/A",IFERROR(ABS(Table1[[#This Row],[Tol Span]]/Table1[[#This Row],[Error Span]]),"N/A"))</f>
        <v>N/A</v>
      </c>
      <c r="T2939" s="1" t="str">
        <f>IF(OR(Table1[[#This Row],[Low Tol]]="",Table1[[#This Row],[High Tol]]=""),"Needs Analysis",IF(Table1[[#This Row],[Ratio]]&gt;=4,"Not Significant",IF(Table1[[#This Row],[Ratio]]&gt;=2,"Semi-Significant","Significant")))</f>
        <v>Needs Analysis</v>
      </c>
      <c r="W2939" s="1">
        <f>IF(Table1[[#This Row],[Cal Type]]&lt;&gt;"ACCREDITED 17025 WITH UNCERTAINTIES",0,"")</f>
        <v>0</v>
      </c>
      <c r="X2939" s="1" t="str">
        <f>IF(Table1[[#This Row],[DUT Read]]="","N/A",Table1[[#This Row],[Std Error]]+Table1[[#This Row],[DUT Read]]+Table1[[#This Row],[DUT Ucty]])</f>
        <v>N/A</v>
      </c>
      <c r="Y2939" s="1" t="str">
        <f>IF(Table1[[#This Row],[Std Read]]="","N/A",Table1[[#This Row],[Std Read]]+Table1[[#This Row],[Std Ucty]])</f>
        <v>N/A</v>
      </c>
      <c r="Z29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9" s="1" t="str">
        <f>IF(Table1[[#This Row],[Spec Type]]="","N/A",Table1[[#This Row],[Spec Type]])</f>
        <v>±</v>
      </c>
      <c r="AC2939" s="1" t="str">
        <f>IF(Table1[[#This Row],[Spec Type2]]="N/A","N/A",IF(AND(Table1[[#This Row],[DUT Adj Read]]&gt;=Table1[[#This Row],[Low Tol]],Table1[[#This Row],[DUT Adj Read]]&lt;=Table1[[#This Row],[High Tol]]),"Pass","Fail"))</f>
        <v>Fail</v>
      </c>
      <c r="AD2939" s="1" t="str">
        <f>IF(AND(Table1[[#This Row],[Spec Type2]]="N/A",Table1[[#This Row],[DUT Adj Read]]="N/A",Table1[[#This Row],[Std Adj Read]]="N/A"),"N/A",IF(Table1[[#This Row],[DUT Adj Read]]="N/A",IF(Table1[[#This Row],[Std Adj Read]]&gt;Table1[[#This Row],[Low Tol]],"Pass","Fail"),IF(Table1[[#This Row],[DUT Adj Read]]&gt;Table1[[#This Row],[Low Tol]],"Pass","Fail")))</f>
        <v>Pass</v>
      </c>
      <c r="AE2939" s="1" t="str">
        <f>IF(AND(Table1[[#This Row],[Spec Type2]]="N/A",Table1[[#This Row],[DUT Adj Read]]="N/A",Table1[[#This Row],[Std Adj Read]]="N/A"),"N/A",IF(Table1[[#This Row],[DUT Adj Read]]="N/A",IF(Table1[[#This Row],[Std Adj Read]]&lt;Table1[[#This Row],[High Tol]],"Pass","Fail"),IF(Table1[[#This Row],[DUT Adj Read]]&lt;Table1[[#This Row],[High Tol]],"Pass","Fail")))</f>
        <v>Fail</v>
      </c>
      <c r="AF2939" s="1" t="str">
        <f>IF(AND(Table1[[#This Row],[Spec Type2]]="N/A",Table1[[#This Row],[DUT Adj Read]]="N/A",Table1[[#This Row],[Std Adj Read]]="N/A"),"N/A",IF(Table1[[#This Row],[DUT Adj Read]]="N/A",IF(Table1[[#This Row],[Std Adj Read]]&gt;=Table1[[#This Row],[Low Tol]],"Pass","Fail"),IF(Table1[[#This Row],[DUT Adj Read]]&gt;=Table1[[#This Row],[Low Tol]],"Pass","Fail")))</f>
        <v>Pass</v>
      </c>
      <c r="AG2939" s="1" t="str">
        <f>IF(AND(Table1[[#This Row],[Spec Type2]]="N/A",Table1[[#This Row],[DUT Adj Read]]="N/A",Table1[[#This Row],[Std Adj Read]]="N/A"),"N/A",IF(Table1[[#This Row],[DUT Adj Read]]="N/A",IF(Table1[[#This Row],[Std Adj Read]]&lt;=Table1[[#This Row],[High Tol]],"Pass","Fail"),IF(Table1[[#This Row],[DUT Adj Read]]&lt;=Table1[[#This Row],[High Tol]],"Pass","Fail")))</f>
        <v>Fail</v>
      </c>
      <c r="AH29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9" s="1" t="b">
        <v>0</v>
      </c>
      <c r="AN2939" s="1" t="b">
        <v>0</v>
      </c>
      <c r="AO2939" s="1" t="b">
        <v>0</v>
      </c>
    </row>
    <row r="2940" spans="1:41" x14ac:dyDescent="0.25">
      <c r="A2940" s="10"/>
      <c r="B2940" s="10"/>
      <c r="C2940" s="10"/>
      <c r="D2940" s="10"/>
      <c r="E2940" s="10"/>
      <c r="F2940" s="10"/>
      <c r="G2940" s="10"/>
      <c r="H2940" s="10"/>
      <c r="I2940" s="1" t="str">
        <f t="shared" si="135"/>
        <v/>
      </c>
      <c r="J2940" s="1" t="s">
        <v>35</v>
      </c>
      <c r="K2940" s="1" t="str">
        <f t="shared" si="136"/>
        <v/>
      </c>
      <c r="L2940" s="1" t="str">
        <f t="shared" si="137"/>
        <v/>
      </c>
      <c r="M2940" s="1">
        <f>IF(OR(Table1[[#This Row],[Std Nom]]="",Table1[[#This Row],[Std Read]]=""),0,Table1[[#This Row],[Std Nom]]-Table1[[#This Row],[Std Read]])</f>
        <v>0</v>
      </c>
      <c r="N2940" s="1">
        <f>IF(Calculations!$F$5="ACCREDITED 17025 WITH UNCERTAINTIES",$N$10,0)</f>
        <v>0</v>
      </c>
      <c r="O2940" s="1" t="str">
        <f>IFERROR(Table1[[#This Row],[Std Nom]]-(_xlfn.XLOOKUP(Table1[[#This Row],[Manufacturer]]&amp;" "&amp;Table1[[#This Row],[Model]],Table13[MFR &amp; MDL],Table13[Tolerance % CW ],"")/100*Table1[[#This Row],[Std Nom]]),"")</f>
        <v/>
      </c>
      <c r="P2940" s="1" t="str">
        <f>IFERROR(Table1[[#This Row],[Std Nom]]+(_xlfn.XLOOKUP(Table1[[#This Row],[Manufacturer]]&amp;" "&amp;Table1[[#This Row],[Model]],Table13[MFR &amp; MDL],Table13[Tolerance % CW ],"")/100*Table1[[#This Row],[Std Nom]]),"")</f>
        <v/>
      </c>
      <c r="Q2940" s="1" t="e">
        <f>Table1[[#This Row],[High Tol]]-Table1[[#This Row],[Low Tol]]</f>
        <v>#VALUE!</v>
      </c>
      <c r="R2940" s="1">
        <f>2*Table1[[#This Row],[Std Error]]</f>
        <v>0</v>
      </c>
      <c r="S2940" s="1" t="str">
        <f>IF(Table1[[#This Row],[High Tol]]="","N/A",IFERROR(ABS(Table1[[#This Row],[Tol Span]]/Table1[[#This Row],[Error Span]]),"N/A"))</f>
        <v>N/A</v>
      </c>
      <c r="T2940" s="1" t="str">
        <f>IF(OR(Table1[[#This Row],[Low Tol]]="",Table1[[#This Row],[High Tol]]=""),"Needs Analysis",IF(Table1[[#This Row],[Ratio]]&gt;=4,"Not Significant",IF(Table1[[#This Row],[Ratio]]&gt;=2,"Semi-Significant","Significant")))</f>
        <v>Needs Analysis</v>
      </c>
      <c r="W2940" s="1">
        <f>IF(Table1[[#This Row],[Cal Type]]&lt;&gt;"ACCREDITED 17025 WITH UNCERTAINTIES",0,"")</f>
        <v>0</v>
      </c>
      <c r="X2940" s="1" t="str">
        <f>IF(Table1[[#This Row],[DUT Read]]="","N/A",Table1[[#This Row],[Std Error]]+Table1[[#This Row],[DUT Read]]+Table1[[#This Row],[DUT Ucty]])</f>
        <v>N/A</v>
      </c>
      <c r="Y2940" s="1" t="str">
        <f>IF(Table1[[#This Row],[Std Read]]="","N/A",Table1[[#This Row],[Std Read]]+Table1[[#This Row],[Std Ucty]])</f>
        <v>N/A</v>
      </c>
      <c r="Z29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0" s="1" t="str">
        <f>IF(Table1[[#This Row],[Spec Type]]="","N/A",Table1[[#This Row],[Spec Type]])</f>
        <v>±</v>
      </c>
      <c r="AC2940" s="1" t="str">
        <f>IF(Table1[[#This Row],[Spec Type2]]="N/A","N/A",IF(AND(Table1[[#This Row],[DUT Adj Read]]&gt;=Table1[[#This Row],[Low Tol]],Table1[[#This Row],[DUT Adj Read]]&lt;=Table1[[#This Row],[High Tol]]),"Pass","Fail"))</f>
        <v>Fail</v>
      </c>
      <c r="AD2940" s="1" t="str">
        <f>IF(AND(Table1[[#This Row],[Spec Type2]]="N/A",Table1[[#This Row],[DUT Adj Read]]="N/A",Table1[[#This Row],[Std Adj Read]]="N/A"),"N/A",IF(Table1[[#This Row],[DUT Adj Read]]="N/A",IF(Table1[[#This Row],[Std Adj Read]]&gt;Table1[[#This Row],[Low Tol]],"Pass","Fail"),IF(Table1[[#This Row],[DUT Adj Read]]&gt;Table1[[#This Row],[Low Tol]],"Pass","Fail")))</f>
        <v>Pass</v>
      </c>
      <c r="AE2940" s="1" t="str">
        <f>IF(AND(Table1[[#This Row],[Spec Type2]]="N/A",Table1[[#This Row],[DUT Adj Read]]="N/A",Table1[[#This Row],[Std Adj Read]]="N/A"),"N/A",IF(Table1[[#This Row],[DUT Adj Read]]="N/A",IF(Table1[[#This Row],[Std Adj Read]]&lt;Table1[[#This Row],[High Tol]],"Pass","Fail"),IF(Table1[[#This Row],[DUT Adj Read]]&lt;Table1[[#This Row],[High Tol]],"Pass","Fail")))</f>
        <v>Fail</v>
      </c>
      <c r="AF2940" s="1" t="str">
        <f>IF(AND(Table1[[#This Row],[Spec Type2]]="N/A",Table1[[#This Row],[DUT Adj Read]]="N/A",Table1[[#This Row],[Std Adj Read]]="N/A"),"N/A",IF(Table1[[#This Row],[DUT Adj Read]]="N/A",IF(Table1[[#This Row],[Std Adj Read]]&gt;=Table1[[#This Row],[Low Tol]],"Pass","Fail"),IF(Table1[[#This Row],[DUT Adj Read]]&gt;=Table1[[#This Row],[Low Tol]],"Pass","Fail")))</f>
        <v>Pass</v>
      </c>
      <c r="AG2940" s="1" t="str">
        <f>IF(AND(Table1[[#This Row],[Spec Type2]]="N/A",Table1[[#This Row],[DUT Adj Read]]="N/A",Table1[[#This Row],[Std Adj Read]]="N/A"),"N/A",IF(Table1[[#This Row],[DUT Adj Read]]="N/A",IF(Table1[[#This Row],[Std Adj Read]]&lt;=Table1[[#This Row],[High Tol]],"Pass","Fail"),IF(Table1[[#This Row],[DUT Adj Read]]&lt;=Table1[[#This Row],[High Tol]],"Pass","Fail")))</f>
        <v>Fail</v>
      </c>
      <c r="AH29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0" s="1" t="b">
        <v>0</v>
      </c>
      <c r="AN2940" s="1" t="b">
        <v>0</v>
      </c>
      <c r="AO2940" s="1" t="b">
        <v>0</v>
      </c>
    </row>
    <row r="2941" spans="1:41" x14ac:dyDescent="0.25">
      <c r="A2941" s="10"/>
      <c r="B2941" s="10"/>
      <c r="C2941" s="10"/>
      <c r="D2941" s="10"/>
      <c r="E2941" s="10"/>
      <c r="F2941" s="10"/>
      <c r="G2941" s="10"/>
      <c r="H2941" s="10"/>
      <c r="I2941" s="1" t="str">
        <f t="shared" si="135"/>
        <v/>
      </c>
      <c r="J2941" s="1" t="s">
        <v>35</v>
      </c>
      <c r="K2941" s="1" t="str">
        <f t="shared" si="136"/>
        <v/>
      </c>
      <c r="L2941" s="1" t="str">
        <f t="shared" si="137"/>
        <v/>
      </c>
      <c r="M2941" s="1">
        <f>IF(OR(Table1[[#This Row],[Std Nom]]="",Table1[[#This Row],[Std Read]]=""),0,Table1[[#This Row],[Std Nom]]-Table1[[#This Row],[Std Read]])</f>
        <v>0</v>
      </c>
      <c r="N2941" s="1">
        <f>IF(Calculations!$F$5="ACCREDITED 17025 WITH UNCERTAINTIES",$N$10,0)</f>
        <v>0</v>
      </c>
      <c r="O2941" s="1" t="str">
        <f>IFERROR(Table1[[#This Row],[Std Nom]]-(_xlfn.XLOOKUP(Table1[[#This Row],[Manufacturer]]&amp;" "&amp;Table1[[#This Row],[Model]],Table13[MFR &amp; MDL],Table13[Tolerance % CW ],"")/100*Table1[[#This Row],[Std Nom]]),"")</f>
        <v/>
      </c>
      <c r="P2941" s="1" t="str">
        <f>IFERROR(Table1[[#This Row],[Std Nom]]+(_xlfn.XLOOKUP(Table1[[#This Row],[Manufacturer]]&amp;" "&amp;Table1[[#This Row],[Model]],Table13[MFR &amp; MDL],Table13[Tolerance % CW ],"")/100*Table1[[#This Row],[Std Nom]]),"")</f>
        <v/>
      </c>
      <c r="Q2941" s="1" t="e">
        <f>Table1[[#This Row],[High Tol]]-Table1[[#This Row],[Low Tol]]</f>
        <v>#VALUE!</v>
      </c>
      <c r="R2941" s="1">
        <f>2*Table1[[#This Row],[Std Error]]</f>
        <v>0</v>
      </c>
      <c r="S2941" s="1" t="str">
        <f>IF(Table1[[#This Row],[High Tol]]="","N/A",IFERROR(ABS(Table1[[#This Row],[Tol Span]]/Table1[[#This Row],[Error Span]]),"N/A"))</f>
        <v>N/A</v>
      </c>
      <c r="T2941" s="1" t="str">
        <f>IF(OR(Table1[[#This Row],[Low Tol]]="",Table1[[#This Row],[High Tol]]=""),"Needs Analysis",IF(Table1[[#This Row],[Ratio]]&gt;=4,"Not Significant",IF(Table1[[#This Row],[Ratio]]&gt;=2,"Semi-Significant","Significant")))</f>
        <v>Needs Analysis</v>
      </c>
      <c r="W2941" s="1">
        <f>IF(Table1[[#This Row],[Cal Type]]&lt;&gt;"ACCREDITED 17025 WITH UNCERTAINTIES",0,"")</f>
        <v>0</v>
      </c>
      <c r="X2941" s="1" t="str">
        <f>IF(Table1[[#This Row],[DUT Read]]="","N/A",Table1[[#This Row],[Std Error]]+Table1[[#This Row],[DUT Read]]+Table1[[#This Row],[DUT Ucty]])</f>
        <v>N/A</v>
      </c>
      <c r="Y2941" s="1" t="str">
        <f>IF(Table1[[#This Row],[Std Read]]="","N/A",Table1[[#This Row],[Std Read]]+Table1[[#This Row],[Std Ucty]])</f>
        <v>N/A</v>
      </c>
      <c r="Z29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1" s="1" t="str">
        <f>IF(Table1[[#This Row],[Spec Type]]="","N/A",Table1[[#This Row],[Spec Type]])</f>
        <v>±</v>
      </c>
      <c r="AC2941" s="1" t="str">
        <f>IF(Table1[[#This Row],[Spec Type2]]="N/A","N/A",IF(AND(Table1[[#This Row],[DUT Adj Read]]&gt;=Table1[[#This Row],[Low Tol]],Table1[[#This Row],[DUT Adj Read]]&lt;=Table1[[#This Row],[High Tol]]),"Pass","Fail"))</f>
        <v>Fail</v>
      </c>
      <c r="AD2941" s="1" t="str">
        <f>IF(AND(Table1[[#This Row],[Spec Type2]]="N/A",Table1[[#This Row],[DUT Adj Read]]="N/A",Table1[[#This Row],[Std Adj Read]]="N/A"),"N/A",IF(Table1[[#This Row],[DUT Adj Read]]="N/A",IF(Table1[[#This Row],[Std Adj Read]]&gt;Table1[[#This Row],[Low Tol]],"Pass","Fail"),IF(Table1[[#This Row],[DUT Adj Read]]&gt;Table1[[#This Row],[Low Tol]],"Pass","Fail")))</f>
        <v>Pass</v>
      </c>
      <c r="AE2941" s="1" t="str">
        <f>IF(AND(Table1[[#This Row],[Spec Type2]]="N/A",Table1[[#This Row],[DUT Adj Read]]="N/A",Table1[[#This Row],[Std Adj Read]]="N/A"),"N/A",IF(Table1[[#This Row],[DUT Adj Read]]="N/A",IF(Table1[[#This Row],[Std Adj Read]]&lt;Table1[[#This Row],[High Tol]],"Pass","Fail"),IF(Table1[[#This Row],[DUT Adj Read]]&lt;Table1[[#This Row],[High Tol]],"Pass","Fail")))</f>
        <v>Fail</v>
      </c>
      <c r="AF2941" s="1" t="str">
        <f>IF(AND(Table1[[#This Row],[Spec Type2]]="N/A",Table1[[#This Row],[DUT Adj Read]]="N/A",Table1[[#This Row],[Std Adj Read]]="N/A"),"N/A",IF(Table1[[#This Row],[DUT Adj Read]]="N/A",IF(Table1[[#This Row],[Std Adj Read]]&gt;=Table1[[#This Row],[Low Tol]],"Pass","Fail"),IF(Table1[[#This Row],[DUT Adj Read]]&gt;=Table1[[#This Row],[Low Tol]],"Pass","Fail")))</f>
        <v>Pass</v>
      </c>
      <c r="AG2941" s="1" t="str">
        <f>IF(AND(Table1[[#This Row],[Spec Type2]]="N/A",Table1[[#This Row],[DUT Adj Read]]="N/A",Table1[[#This Row],[Std Adj Read]]="N/A"),"N/A",IF(Table1[[#This Row],[DUT Adj Read]]="N/A",IF(Table1[[#This Row],[Std Adj Read]]&lt;=Table1[[#This Row],[High Tol]],"Pass","Fail"),IF(Table1[[#This Row],[DUT Adj Read]]&lt;=Table1[[#This Row],[High Tol]],"Pass","Fail")))</f>
        <v>Fail</v>
      </c>
      <c r="AH29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1" s="1" t="b">
        <v>0</v>
      </c>
      <c r="AN2941" s="1" t="b">
        <v>0</v>
      </c>
      <c r="AO2941" s="1" t="b">
        <v>0</v>
      </c>
    </row>
    <row r="2942" spans="1:41" x14ac:dyDescent="0.25">
      <c r="A2942" s="10"/>
      <c r="B2942" s="10"/>
      <c r="C2942" s="10"/>
      <c r="D2942" s="10"/>
      <c r="E2942" s="10"/>
      <c r="F2942" s="10"/>
      <c r="G2942" s="10"/>
      <c r="H2942" s="10"/>
      <c r="I2942" s="1" t="str">
        <f t="shared" si="135"/>
        <v/>
      </c>
      <c r="J2942" s="1" t="s">
        <v>35</v>
      </c>
      <c r="K2942" s="1" t="str">
        <f t="shared" si="136"/>
        <v/>
      </c>
      <c r="L2942" s="1" t="str">
        <f t="shared" si="137"/>
        <v/>
      </c>
      <c r="M2942" s="1">
        <f>IF(OR(Table1[[#This Row],[Std Nom]]="",Table1[[#This Row],[Std Read]]=""),0,Table1[[#This Row],[Std Nom]]-Table1[[#This Row],[Std Read]])</f>
        <v>0</v>
      </c>
      <c r="N2942" s="1">
        <f>IF(Calculations!$F$5="ACCREDITED 17025 WITH UNCERTAINTIES",$N$10,0)</f>
        <v>0</v>
      </c>
      <c r="O2942" s="1" t="str">
        <f>IFERROR(Table1[[#This Row],[Std Nom]]-(_xlfn.XLOOKUP(Table1[[#This Row],[Manufacturer]]&amp;" "&amp;Table1[[#This Row],[Model]],Table13[MFR &amp; MDL],Table13[Tolerance % CW ],"")/100*Table1[[#This Row],[Std Nom]]),"")</f>
        <v/>
      </c>
      <c r="P2942" s="1" t="str">
        <f>IFERROR(Table1[[#This Row],[Std Nom]]+(_xlfn.XLOOKUP(Table1[[#This Row],[Manufacturer]]&amp;" "&amp;Table1[[#This Row],[Model]],Table13[MFR &amp; MDL],Table13[Tolerance % CW ],"")/100*Table1[[#This Row],[Std Nom]]),"")</f>
        <v/>
      </c>
      <c r="Q2942" s="1" t="e">
        <f>Table1[[#This Row],[High Tol]]-Table1[[#This Row],[Low Tol]]</f>
        <v>#VALUE!</v>
      </c>
      <c r="R2942" s="1">
        <f>2*Table1[[#This Row],[Std Error]]</f>
        <v>0</v>
      </c>
      <c r="S2942" s="1" t="str">
        <f>IF(Table1[[#This Row],[High Tol]]="","N/A",IFERROR(ABS(Table1[[#This Row],[Tol Span]]/Table1[[#This Row],[Error Span]]),"N/A"))</f>
        <v>N/A</v>
      </c>
      <c r="T2942" s="1" t="str">
        <f>IF(OR(Table1[[#This Row],[Low Tol]]="",Table1[[#This Row],[High Tol]]=""),"Needs Analysis",IF(Table1[[#This Row],[Ratio]]&gt;=4,"Not Significant",IF(Table1[[#This Row],[Ratio]]&gt;=2,"Semi-Significant","Significant")))</f>
        <v>Needs Analysis</v>
      </c>
      <c r="W2942" s="1">
        <f>IF(Table1[[#This Row],[Cal Type]]&lt;&gt;"ACCREDITED 17025 WITH UNCERTAINTIES",0,"")</f>
        <v>0</v>
      </c>
      <c r="X2942" s="1" t="str">
        <f>IF(Table1[[#This Row],[DUT Read]]="","N/A",Table1[[#This Row],[Std Error]]+Table1[[#This Row],[DUT Read]]+Table1[[#This Row],[DUT Ucty]])</f>
        <v>N/A</v>
      </c>
      <c r="Y2942" s="1" t="str">
        <f>IF(Table1[[#This Row],[Std Read]]="","N/A",Table1[[#This Row],[Std Read]]+Table1[[#This Row],[Std Ucty]])</f>
        <v>N/A</v>
      </c>
      <c r="Z29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2" s="1" t="str">
        <f>IF(Table1[[#This Row],[Spec Type]]="","N/A",Table1[[#This Row],[Spec Type]])</f>
        <v>±</v>
      </c>
      <c r="AC2942" s="1" t="str">
        <f>IF(Table1[[#This Row],[Spec Type2]]="N/A","N/A",IF(AND(Table1[[#This Row],[DUT Adj Read]]&gt;=Table1[[#This Row],[Low Tol]],Table1[[#This Row],[DUT Adj Read]]&lt;=Table1[[#This Row],[High Tol]]),"Pass","Fail"))</f>
        <v>Fail</v>
      </c>
      <c r="AD2942" s="1" t="str">
        <f>IF(AND(Table1[[#This Row],[Spec Type2]]="N/A",Table1[[#This Row],[DUT Adj Read]]="N/A",Table1[[#This Row],[Std Adj Read]]="N/A"),"N/A",IF(Table1[[#This Row],[DUT Adj Read]]="N/A",IF(Table1[[#This Row],[Std Adj Read]]&gt;Table1[[#This Row],[Low Tol]],"Pass","Fail"),IF(Table1[[#This Row],[DUT Adj Read]]&gt;Table1[[#This Row],[Low Tol]],"Pass","Fail")))</f>
        <v>Pass</v>
      </c>
      <c r="AE2942" s="1" t="str">
        <f>IF(AND(Table1[[#This Row],[Spec Type2]]="N/A",Table1[[#This Row],[DUT Adj Read]]="N/A",Table1[[#This Row],[Std Adj Read]]="N/A"),"N/A",IF(Table1[[#This Row],[DUT Adj Read]]="N/A",IF(Table1[[#This Row],[Std Adj Read]]&lt;Table1[[#This Row],[High Tol]],"Pass","Fail"),IF(Table1[[#This Row],[DUT Adj Read]]&lt;Table1[[#This Row],[High Tol]],"Pass","Fail")))</f>
        <v>Fail</v>
      </c>
      <c r="AF2942" s="1" t="str">
        <f>IF(AND(Table1[[#This Row],[Spec Type2]]="N/A",Table1[[#This Row],[DUT Adj Read]]="N/A",Table1[[#This Row],[Std Adj Read]]="N/A"),"N/A",IF(Table1[[#This Row],[DUT Adj Read]]="N/A",IF(Table1[[#This Row],[Std Adj Read]]&gt;=Table1[[#This Row],[Low Tol]],"Pass","Fail"),IF(Table1[[#This Row],[DUT Adj Read]]&gt;=Table1[[#This Row],[Low Tol]],"Pass","Fail")))</f>
        <v>Pass</v>
      </c>
      <c r="AG2942" s="1" t="str">
        <f>IF(AND(Table1[[#This Row],[Spec Type2]]="N/A",Table1[[#This Row],[DUT Adj Read]]="N/A",Table1[[#This Row],[Std Adj Read]]="N/A"),"N/A",IF(Table1[[#This Row],[DUT Adj Read]]="N/A",IF(Table1[[#This Row],[Std Adj Read]]&lt;=Table1[[#This Row],[High Tol]],"Pass","Fail"),IF(Table1[[#This Row],[DUT Adj Read]]&lt;=Table1[[#This Row],[High Tol]],"Pass","Fail")))</f>
        <v>Fail</v>
      </c>
      <c r="AH29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2" s="1" t="b">
        <v>0</v>
      </c>
      <c r="AN2942" s="1" t="b">
        <v>0</v>
      </c>
      <c r="AO2942" s="1" t="b">
        <v>0</v>
      </c>
    </row>
    <row r="2943" spans="1:41" x14ac:dyDescent="0.25">
      <c r="A2943" s="10"/>
      <c r="B2943" s="10"/>
      <c r="C2943" s="10"/>
      <c r="D2943" s="10"/>
      <c r="E2943" s="10"/>
      <c r="F2943" s="10"/>
      <c r="G2943" s="10"/>
      <c r="H2943" s="10"/>
      <c r="I2943" s="1" t="str">
        <f t="shared" si="135"/>
        <v/>
      </c>
      <c r="J2943" s="1" t="s">
        <v>35</v>
      </c>
      <c r="K2943" s="1" t="str">
        <f t="shared" si="136"/>
        <v/>
      </c>
      <c r="L2943" s="1" t="str">
        <f t="shared" si="137"/>
        <v/>
      </c>
      <c r="M2943" s="1">
        <f>IF(OR(Table1[[#This Row],[Std Nom]]="",Table1[[#This Row],[Std Read]]=""),0,Table1[[#This Row],[Std Nom]]-Table1[[#This Row],[Std Read]])</f>
        <v>0</v>
      </c>
      <c r="N2943" s="1">
        <f>IF(Calculations!$F$5="ACCREDITED 17025 WITH UNCERTAINTIES",$N$10,0)</f>
        <v>0</v>
      </c>
      <c r="O2943" s="1" t="str">
        <f>IFERROR(Table1[[#This Row],[Std Nom]]-(_xlfn.XLOOKUP(Table1[[#This Row],[Manufacturer]]&amp;" "&amp;Table1[[#This Row],[Model]],Table13[MFR &amp; MDL],Table13[Tolerance % CW ],"")/100*Table1[[#This Row],[Std Nom]]),"")</f>
        <v/>
      </c>
      <c r="P2943" s="1" t="str">
        <f>IFERROR(Table1[[#This Row],[Std Nom]]+(_xlfn.XLOOKUP(Table1[[#This Row],[Manufacturer]]&amp;" "&amp;Table1[[#This Row],[Model]],Table13[MFR &amp; MDL],Table13[Tolerance % CW ],"")/100*Table1[[#This Row],[Std Nom]]),"")</f>
        <v/>
      </c>
      <c r="Q2943" s="1" t="e">
        <f>Table1[[#This Row],[High Tol]]-Table1[[#This Row],[Low Tol]]</f>
        <v>#VALUE!</v>
      </c>
      <c r="R2943" s="1">
        <f>2*Table1[[#This Row],[Std Error]]</f>
        <v>0</v>
      </c>
      <c r="S2943" s="1" t="str">
        <f>IF(Table1[[#This Row],[High Tol]]="","N/A",IFERROR(ABS(Table1[[#This Row],[Tol Span]]/Table1[[#This Row],[Error Span]]),"N/A"))</f>
        <v>N/A</v>
      </c>
      <c r="T2943" s="1" t="str">
        <f>IF(OR(Table1[[#This Row],[Low Tol]]="",Table1[[#This Row],[High Tol]]=""),"Needs Analysis",IF(Table1[[#This Row],[Ratio]]&gt;=4,"Not Significant",IF(Table1[[#This Row],[Ratio]]&gt;=2,"Semi-Significant","Significant")))</f>
        <v>Needs Analysis</v>
      </c>
      <c r="W2943" s="1">
        <f>IF(Table1[[#This Row],[Cal Type]]&lt;&gt;"ACCREDITED 17025 WITH UNCERTAINTIES",0,"")</f>
        <v>0</v>
      </c>
      <c r="X2943" s="1" t="str">
        <f>IF(Table1[[#This Row],[DUT Read]]="","N/A",Table1[[#This Row],[Std Error]]+Table1[[#This Row],[DUT Read]]+Table1[[#This Row],[DUT Ucty]])</f>
        <v>N/A</v>
      </c>
      <c r="Y2943" s="1" t="str">
        <f>IF(Table1[[#This Row],[Std Read]]="","N/A",Table1[[#This Row],[Std Read]]+Table1[[#This Row],[Std Ucty]])</f>
        <v>N/A</v>
      </c>
      <c r="Z29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3" s="1" t="str">
        <f>IF(Table1[[#This Row],[Spec Type]]="","N/A",Table1[[#This Row],[Spec Type]])</f>
        <v>±</v>
      </c>
      <c r="AC2943" s="1" t="str">
        <f>IF(Table1[[#This Row],[Spec Type2]]="N/A","N/A",IF(AND(Table1[[#This Row],[DUT Adj Read]]&gt;=Table1[[#This Row],[Low Tol]],Table1[[#This Row],[DUT Adj Read]]&lt;=Table1[[#This Row],[High Tol]]),"Pass","Fail"))</f>
        <v>Fail</v>
      </c>
      <c r="AD2943" s="1" t="str">
        <f>IF(AND(Table1[[#This Row],[Spec Type2]]="N/A",Table1[[#This Row],[DUT Adj Read]]="N/A",Table1[[#This Row],[Std Adj Read]]="N/A"),"N/A",IF(Table1[[#This Row],[DUT Adj Read]]="N/A",IF(Table1[[#This Row],[Std Adj Read]]&gt;Table1[[#This Row],[Low Tol]],"Pass","Fail"),IF(Table1[[#This Row],[DUT Adj Read]]&gt;Table1[[#This Row],[Low Tol]],"Pass","Fail")))</f>
        <v>Pass</v>
      </c>
      <c r="AE2943" s="1" t="str">
        <f>IF(AND(Table1[[#This Row],[Spec Type2]]="N/A",Table1[[#This Row],[DUT Adj Read]]="N/A",Table1[[#This Row],[Std Adj Read]]="N/A"),"N/A",IF(Table1[[#This Row],[DUT Adj Read]]="N/A",IF(Table1[[#This Row],[Std Adj Read]]&lt;Table1[[#This Row],[High Tol]],"Pass","Fail"),IF(Table1[[#This Row],[DUT Adj Read]]&lt;Table1[[#This Row],[High Tol]],"Pass","Fail")))</f>
        <v>Fail</v>
      </c>
      <c r="AF2943" s="1" t="str">
        <f>IF(AND(Table1[[#This Row],[Spec Type2]]="N/A",Table1[[#This Row],[DUT Adj Read]]="N/A",Table1[[#This Row],[Std Adj Read]]="N/A"),"N/A",IF(Table1[[#This Row],[DUT Adj Read]]="N/A",IF(Table1[[#This Row],[Std Adj Read]]&gt;=Table1[[#This Row],[Low Tol]],"Pass","Fail"),IF(Table1[[#This Row],[DUT Adj Read]]&gt;=Table1[[#This Row],[Low Tol]],"Pass","Fail")))</f>
        <v>Pass</v>
      </c>
      <c r="AG2943" s="1" t="str">
        <f>IF(AND(Table1[[#This Row],[Spec Type2]]="N/A",Table1[[#This Row],[DUT Adj Read]]="N/A",Table1[[#This Row],[Std Adj Read]]="N/A"),"N/A",IF(Table1[[#This Row],[DUT Adj Read]]="N/A",IF(Table1[[#This Row],[Std Adj Read]]&lt;=Table1[[#This Row],[High Tol]],"Pass","Fail"),IF(Table1[[#This Row],[DUT Adj Read]]&lt;=Table1[[#This Row],[High Tol]],"Pass","Fail")))</f>
        <v>Fail</v>
      </c>
      <c r="AH29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3" s="1" t="b">
        <v>0</v>
      </c>
      <c r="AN2943" s="1" t="b">
        <v>0</v>
      </c>
      <c r="AO2943" s="1" t="b">
        <v>0</v>
      </c>
    </row>
    <row r="2944" spans="1:41" x14ac:dyDescent="0.25">
      <c r="A2944" s="10"/>
      <c r="B2944" s="10"/>
      <c r="C2944" s="10"/>
      <c r="D2944" s="10"/>
      <c r="E2944" s="10"/>
      <c r="F2944" s="10"/>
      <c r="G2944" s="10"/>
      <c r="H2944" s="10"/>
      <c r="I2944" s="1" t="str">
        <f t="shared" si="135"/>
        <v/>
      </c>
      <c r="J2944" s="1" t="s">
        <v>35</v>
      </c>
      <c r="K2944" s="1" t="str">
        <f t="shared" si="136"/>
        <v/>
      </c>
      <c r="L2944" s="1" t="str">
        <f t="shared" si="137"/>
        <v/>
      </c>
      <c r="M2944" s="1">
        <f>IF(OR(Table1[[#This Row],[Std Nom]]="",Table1[[#This Row],[Std Read]]=""),0,Table1[[#This Row],[Std Nom]]-Table1[[#This Row],[Std Read]])</f>
        <v>0</v>
      </c>
      <c r="N2944" s="1">
        <f>IF(Calculations!$F$5="ACCREDITED 17025 WITH UNCERTAINTIES",$N$10,0)</f>
        <v>0</v>
      </c>
      <c r="O2944" s="1" t="str">
        <f>IFERROR(Table1[[#This Row],[Std Nom]]-(_xlfn.XLOOKUP(Table1[[#This Row],[Manufacturer]]&amp;" "&amp;Table1[[#This Row],[Model]],Table13[MFR &amp; MDL],Table13[Tolerance % CW ],"")/100*Table1[[#This Row],[Std Nom]]),"")</f>
        <v/>
      </c>
      <c r="P2944" s="1" t="str">
        <f>IFERROR(Table1[[#This Row],[Std Nom]]+(_xlfn.XLOOKUP(Table1[[#This Row],[Manufacturer]]&amp;" "&amp;Table1[[#This Row],[Model]],Table13[MFR &amp; MDL],Table13[Tolerance % CW ],"")/100*Table1[[#This Row],[Std Nom]]),"")</f>
        <v/>
      </c>
      <c r="Q2944" s="1" t="e">
        <f>Table1[[#This Row],[High Tol]]-Table1[[#This Row],[Low Tol]]</f>
        <v>#VALUE!</v>
      </c>
      <c r="R2944" s="1">
        <f>2*Table1[[#This Row],[Std Error]]</f>
        <v>0</v>
      </c>
      <c r="S2944" s="1" t="str">
        <f>IF(Table1[[#This Row],[High Tol]]="","N/A",IFERROR(ABS(Table1[[#This Row],[Tol Span]]/Table1[[#This Row],[Error Span]]),"N/A"))</f>
        <v>N/A</v>
      </c>
      <c r="T2944" s="1" t="str">
        <f>IF(OR(Table1[[#This Row],[Low Tol]]="",Table1[[#This Row],[High Tol]]=""),"Needs Analysis",IF(Table1[[#This Row],[Ratio]]&gt;=4,"Not Significant",IF(Table1[[#This Row],[Ratio]]&gt;=2,"Semi-Significant","Significant")))</f>
        <v>Needs Analysis</v>
      </c>
      <c r="W2944" s="1">
        <f>IF(Table1[[#This Row],[Cal Type]]&lt;&gt;"ACCREDITED 17025 WITH UNCERTAINTIES",0,"")</f>
        <v>0</v>
      </c>
      <c r="X2944" s="1" t="str">
        <f>IF(Table1[[#This Row],[DUT Read]]="","N/A",Table1[[#This Row],[Std Error]]+Table1[[#This Row],[DUT Read]]+Table1[[#This Row],[DUT Ucty]])</f>
        <v>N/A</v>
      </c>
      <c r="Y2944" s="1" t="str">
        <f>IF(Table1[[#This Row],[Std Read]]="","N/A",Table1[[#This Row],[Std Read]]+Table1[[#This Row],[Std Ucty]])</f>
        <v>N/A</v>
      </c>
      <c r="Z29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4" s="1" t="str">
        <f>IF(Table1[[#This Row],[Spec Type]]="","N/A",Table1[[#This Row],[Spec Type]])</f>
        <v>±</v>
      </c>
      <c r="AC2944" s="1" t="str">
        <f>IF(Table1[[#This Row],[Spec Type2]]="N/A","N/A",IF(AND(Table1[[#This Row],[DUT Adj Read]]&gt;=Table1[[#This Row],[Low Tol]],Table1[[#This Row],[DUT Adj Read]]&lt;=Table1[[#This Row],[High Tol]]),"Pass","Fail"))</f>
        <v>Fail</v>
      </c>
      <c r="AD2944" s="1" t="str">
        <f>IF(AND(Table1[[#This Row],[Spec Type2]]="N/A",Table1[[#This Row],[DUT Adj Read]]="N/A",Table1[[#This Row],[Std Adj Read]]="N/A"),"N/A",IF(Table1[[#This Row],[DUT Adj Read]]="N/A",IF(Table1[[#This Row],[Std Adj Read]]&gt;Table1[[#This Row],[Low Tol]],"Pass","Fail"),IF(Table1[[#This Row],[DUT Adj Read]]&gt;Table1[[#This Row],[Low Tol]],"Pass","Fail")))</f>
        <v>Pass</v>
      </c>
      <c r="AE2944" s="1" t="str">
        <f>IF(AND(Table1[[#This Row],[Spec Type2]]="N/A",Table1[[#This Row],[DUT Adj Read]]="N/A",Table1[[#This Row],[Std Adj Read]]="N/A"),"N/A",IF(Table1[[#This Row],[DUT Adj Read]]="N/A",IF(Table1[[#This Row],[Std Adj Read]]&lt;Table1[[#This Row],[High Tol]],"Pass","Fail"),IF(Table1[[#This Row],[DUT Adj Read]]&lt;Table1[[#This Row],[High Tol]],"Pass","Fail")))</f>
        <v>Fail</v>
      </c>
      <c r="AF2944" s="1" t="str">
        <f>IF(AND(Table1[[#This Row],[Spec Type2]]="N/A",Table1[[#This Row],[DUT Adj Read]]="N/A",Table1[[#This Row],[Std Adj Read]]="N/A"),"N/A",IF(Table1[[#This Row],[DUT Adj Read]]="N/A",IF(Table1[[#This Row],[Std Adj Read]]&gt;=Table1[[#This Row],[Low Tol]],"Pass","Fail"),IF(Table1[[#This Row],[DUT Adj Read]]&gt;=Table1[[#This Row],[Low Tol]],"Pass","Fail")))</f>
        <v>Pass</v>
      </c>
      <c r="AG2944" s="1" t="str">
        <f>IF(AND(Table1[[#This Row],[Spec Type2]]="N/A",Table1[[#This Row],[DUT Adj Read]]="N/A",Table1[[#This Row],[Std Adj Read]]="N/A"),"N/A",IF(Table1[[#This Row],[DUT Adj Read]]="N/A",IF(Table1[[#This Row],[Std Adj Read]]&lt;=Table1[[#This Row],[High Tol]],"Pass","Fail"),IF(Table1[[#This Row],[DUT Adj Read]]&lt;=Table1[[#This Row],[High Tol]],"Pass","Fail")))</f>
        <v>Fail</v>
      </c>
      <c r="AH29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4" s="1" t="b">
        <v>0</v>
      </c>
      <c r="AN2944" s="1" t="b">
        <v>0</v>
      </c>
      <c r="AO2944" s="1" t="b">
        <v>0</v>
      </c>
    </row>
    <row r="2945" spans="1:41" x14ac:dyDescent="0.25">
      <c r="A2945" s="10"/>
      <c r="B2945" s="10"/>
      <c r="C2945" s="10"/>
      <c r="D2945" s="10"/>
      <c r="E2945" s="10"/>
      <c r="F2945" s="10"/>
      <c r="G2945" s="10"/>
      <c r="H2945" s="10"/>
      <c r="I2945" s="1" t="str">
        <f t="shared" si="135"/>
        <v/>
      </c>
      <c r="J2945" s="1" t="s">
        <v>35</v>
      </c>
      <c r="K2945" s="1" t="str">
        <f t="shared" si="136"/>
        <v/>
      </c>
      <c r="L2945" s="1" t="str">
        <f t="shared" si="137"/>
        <v/>
      </c>
      <c r="M2945" s="1">
        <f>IF(OR(Table1[[#This Row],[Std Nom]]="",Table1[[#This Row],[Std Read]]=""),0,Table1[[#This Row],[Std Nom]]-Table1[[#This Row],[Std Read]])</f>
        <v>0</v>
      </c>
      <c r="N2945" s="1">
        <f>IF(Calculations!$F$5="ACCREDITED 17025 WITH UNCERTAINTIES",$N$10,0)</f>
        <v>0</v>
      </c>
      <c r="O2945" s="1" t="str">
        <f>IFERROR(Table1[[#This Row],[Std Nom]]-(_xlfn.XLOOKUP(Table1[[#This Row],[Manufacturer]]&amp;" "&amp;Table1[[#This Row],[Model]],Table13[MFR &amp; MDL],Table13[Tolerance % CW ],"")/100*Table1[[#This Row],[Std Nom]]),"")</f>
        <v/>
      </c>
      <c r="P2945" s="1" t="str">
        <f>IFERROR(Table1[[#This Row],[Std Nom]]+(_xlfn.XLOOKUP(Table1[[#This Row],[Manufacturer]]&amp;" "&amp;Table1[[#This Row],[Model]],Table13[MFR &amp; MDL],Table13[Tolerance % CW ],"")/100*Table1[[#This Row],[Std Nom]]),"")</f>
        <v/>
      </c>
      <c r="Q2945" s="1" t="e">
        <f>Table1[[#This Row],[High Tol]]-Table1[[#This Row],[Low Tol]]</f>
        <v>#VALUE!</v>
      </c>
      <c r="R2945" s="1">
        <f>2*Table1[[#This Row],[Std Error]]</f>
        <v>0</v>
      </c>
      <c r="S2945" s="1" t="str">
        <f>IF(Table1[[#This Row],[High Tol]]="","N/A",IFERROR(ABS(Table1[[#This Row],[Tol Span]]/Table1[[#This Row],[Error Span]]),"N/A"))</f>
        <v>N/A</v>
      </c>
      <c r="T2945" s="1" t="str">
        <f>IF(OR(Table1[[#This Row],[Low Tol]]="",Table1[[#This Row],[High Tol]]=""),"Needs Analysis",IF(Table1[[#This Row],[Ratio]]&gt;=4,"Not Significant",IF(Table1[[#This Row],[Ratio]]&gt;=2,"Semi-Significant","Significant")))</f>
        <v>Needs Analysis</v>
      </c>
      <c r="W2945" s="1">
        <f>IF(Table1[[#This Row],[Cal Type]]&lt;&gt;"ACCREDITED 17025 WITH UNCERTAINTIES",0,"")</f>
        <v>0</v>
      </c>
      <c r="X2945" s="1" t="str">
        <f>IF(Table1[[#This Row],[DUT Read]]="","N/A",Table1[[#This Row],[Std Error]]+Table1[[#This Row],[DUT Read]]+Table1[[#This Row],[DUT Ucty]])</f>
        <v>N/A</v>
      </c>
      <c r="Y2945" s="1" t="str">
        <f>IF(Table1[[#This Row],[Std Read]]="","N/A",Table1[[#This Row],[Std Read]]+Table1[[#This Row],[Std Ucty]])</f>
        <v>N/A</v>
      </c>
      <c r="Z29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5" s="1" t="str">
        <f>IF(Table1[[#This Row],[Spec Type]]="","N/A",Table1[[#This Row],[Spec Type]])</f>
        <v>±</v>
      </c>
      <c r="AC2945" s="1" t="str">
        <f>IF(Table1[[#This Row],[Spec Type2]]="N/A","N/A",IF(AND(Table1[[#This Row],[DUT Adj Read]]&gt;=Table1[[#This Row],[Low Tol]],Table1[[#This Row],[DUT Adj Read]]&lt;=Table1[[#This Row],[High Tol]]),"Pass","Fail"))</f>
        <v>Fail</v>
      </c>
      <c r="AD2945" s="1" t="str">
        <f>IF(AND(Table1[[#This Row],[Spec Type2]]="N/A",Table1[[#This Row],[DUT Adj Read]]="N/A",Table1[[#This Row],[Std Adj Read]]="N/A"),"N/A",IF(Table1[[#This Row],[DUT Adj Read]]="N/A",IF(Table1[[#This Row],[Std Adj Read]]&gt;Table1[[#This Row],[Low Tol]],"Pass","Fail"),IF(Table1[[#This Row],[DUT Adj Read]]&gt;Table1[[#This Row],[Low Tol]],"Pass","Fail")))</f>
        <v>Pass</v>
      </c>
      <c r="AE2945" s="1" t="str">
        <f>IF(AND(Table1[[#This Row],[Spec Type2]]="N/A",Table1[[#This Row],[DUT Adj Read]]="N/A",Table1[[#This Row],[Std Adj Read]]="N/A"),"N/A",IF(Table1[[#This Row],[DUT Adj Read]]="N/A",IF(Table1[[#This Row],[Std Adj Read]]&lt;Table1[[#This Row],[High Tol]],"Pass","Fail"),IF(Table1[[#This Row],[DUT Adj Read]]&lt;Table1[[#This Row],[High Tol]],"Pass","Fail")))</f>
        <v>Fail</v>
      </c>
      <c r="AF2945" s="1" t="str">
        <f>IF(AND(Table1[[#This Row],[Spec Type2]]="N/A",Table1[[#This Row],[DUT Adj Read]]="N/A",Table1[[#This Row],[Std Adj Read]]="N/A"),"N/A",IF(Table1[[#This Row],[DUT Adj Read]]="N/A",IF(Table1[[#This Row],[Std Adj Read]]&gt;=Table1[[#This Row],[Low Tol]],"Pass","Fail"),IF(Table1[[#This Row],[DUT Adj Read]]&gt;=Table1[[#This Row],[Low Tol]],"Pass","Fail")))</f>
        <v>Pass</v>
      </c>
      <c r="AG2945" s="1" t="str">
        <f>IF(AND(Table1[[#This Row],[Spec Type2]]="N/A",Table1[[#This Row],[DUT Adj Read]]="N/A",Table1[[#This Row],[Std Adj Read]]="N/A"),"N/A",IF(Table1[[#This Row],[DUT Adj Read]]="N/A",IF(Table1[[#This Row],[Std Adj Read]]&lt;=Table1[[#This Row],[High Tol]],"Pass","Fail"),IF(Table1[[#This Row],[DUT Adj Read]]&lt;=Table1[[#This Row],[High Tol]],"Pass","Fail")))</f>
        <v>Fail</v>
      </c>
      <c r="AH29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5" s="1" t="b">
        <v>0</v>
      </c>
      <c r="AN2945" s="1" t="b">
        <v>0</v>
      </c>
      <c r="AO2945" s="1" t="b">
        <v>0</v>
      </c>
    </row>
    <row r="2946" spans="1:41" x14ac:dyDescent="0.25">
      <c r="A2946" s="10"/>
      <c r="B2946" s="10"/>
      <c r="C2946" s="10"/>
      <c r="D2946" s="10"/>
      <c r="E2946" s="10"/>
      <c r="F2946" s="10"/>
      <c r="G2946" s="10"/>
      <c r="H2946" s="10"/>
      <c r="I2946" s="1" t="str">
        <f t="shared" si="135"/>
        <v/>
      </c>
      <c r="J2946" s="1" t="s">
        <v>35</v>
      </c>
      <c r="K2946" s="1" t="str">
        <f t="shared" si="136"/>
        <v/>
      </c>
      <c r="L2946" s="1" t="str">
        <f t="shared" si="137"/>
        <v/>
      </c>
      <c r="M2946" s="1">
        <f>IF(OR(Table1[[#This Row],[Std Nom]]="",Table1[[#This Row],[Std Read]]=""),0,Table1[[#This Row],[Std Nom]]-Table1[[#This Row],[Std Read]])</f>
        <v>0</v>
      </c>
      <c r="N2946" s="1">
        <f>IF(Calculations!$F$5="ACCREDITED 17025 WITH UNCERTAINTIES",$N$10,0)</f>
        <v>0</v>
      </c>
      <c r="O2946" s="1" t="str">
        <f>IFERROR(Table1[[#This Row],[Std Nom]]-(_xlfn.XLOOKUP(Table1[[#This Row],[Manufacturer]]&amp;" "&amp;Table1[[#This Row],[Model]],Table13[MFR &amp; MDL],Table13[Tolerance % CW ],"")/100*Table1[[#This Row],[Std Nom]]),"")</f>
        <v/>
      </c>
      <c r="P2946" s="1" t="str">
        <f>IFERROR(Table1[[#This Row],[Std Nom]]+(_xlfn.XLOOKUP(Table1[[#This Row],[Manufacturer]]&amp;" "&amp;Table1[[#This Row],[Model]],Table13[MFR &amp; MDL],Table13[Tolerance % CW ],"")/100*Table1[[#This Row],[Std Nom]]),"")</f>
        <v/>
      </c>
      <c r="Q2946" s="1" t="e">
        <f>Table1[[#This Row],[High Tol]]-Table1[[#This Row],[Low Tol]]</f>
        <v>#VALUE!</v>
      </c>
      <c r="R2946" s="1">
        <f>2*Table1[[#This Row],[Std Error]]</f>
        <v>0</v>
      </c>
      <c r="S2946" s="1" t="str">
        <f>IF(Table1[[#This Row],[High Tol]]="","N/A",IFERROR(ABS(Table1[[#This Row],[Tol Span]]/Table1[[#This Row],[Error Span]]),"N/A"))</f>
        <v>N/A</v>
      </c>
      <c r="T2946" s="1" t="str">
        <f>IF(OR(Table1[[#This Row],[Low Tol]]="",Table1[[#This Row],[High Tol]]=""),"Needs Analysis",IF(Table1[[#This Row],[Ratio]]&gt;=4,"Not Significant",IF(Table1[[#This Row],[Ratio]]&gt;=2,"Semi-Significant","Significant")))</f>
        <v>Needs Analysis</v>
      </c>
      <c r="W2946" s="1">
        <f>IF(Table1[[#This Row],[Cal Type]]&lt;&gt;"ACCREDITED 17025 WITH UNCERTAINTIES",0,"")</f>
        <v>0</v>
      </c>
      <c r="X2946" s="1" t="str">
        <f>IF(Table1[[#This Row],[DUT Read]]="","N/A",Table1[[#This Row],[Std Error]]+Table1[[#This Row],[DUT Read]]+Table1[[#This Row],[DUT Ucty]])</f>
        <v>N/A</v>
      </c>
      <c r="Y2946" s="1" t="str">
        <f>IF(Table1[[#This Row],[Std Read]]="","N/A",Table1[[#This Row],[Std Read]]+Table1[[#This Row],[Std Ucty]])</f>
        <v>N/A</v>
      </c>
      <c r="Z29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6" s="1" t="str">
        <f>IF(Table1[[#This Row],[Spec Type]]="","N/A",Table1[[#This Row],[Spec Type]])</f>
        <v>±</v>
      </c>
      <c r="AC2946" s="1" t="str">
        <f>IF(Table1[[#This Row],[Spec Type2]]="N/A","N/A",IF(AND(Table1[[#This Row],[DUT Adj Read]]&gt;=Table1[[#This Row],[Low Tol]],Table1[[#This Row],[DUT Adj Read]]&lt;=Table1[[#This Row],[High Tol]]),"Pass","Fail"))</f>
        <v>Fail</v>
      </c>
      <c r="AD2946" s="1" t="str">
        <f>IF(AND(Table1[[#This Row],[Spec Type2]]="N/A",Table1[[#This Row],[DUT Adj Read]]="N/A",Table1[[#This Row],[Std Adj Read]]="N/A"),"N/A",IF(Table1[[#This Row],[DUT Adj Read]]="N/A",IF(Table1[[#This Row],[Std Adj Read]]&gt;Table1[[#This Row],[Low Tol]],"Pass","Fail"),IF(Table1[[#This Row],[DUT Adj Read]]&gt;Table1[[#This Row],[Low Tol]],"Pass","Fail")))</f>
        <v>Pass</v>
      </c>
      <c r="AE2946" s="1" t="str">
        <f>IF(AND(Table1[[#This Row],[Spec Type2]]="N/A",Table1[[#This Row],[DUT Adj Read]]="N/A",Table1[[#This Row],[Std Adj Read]]="N/A"),"N/A",IF(Table1[[#This Row],[DUT Adj Read]]="N/A",IF(Table1[[#This Row],[Std Adj Read]]&lt;Table1[[#This Row],[High Tol]],"Pass","Fail"),IF(Table1[[#This Row],[DUT Adj Read]]&lt;Table1[[#This Row],[High Tol]],"Pass","Fail")))</f>
        <v>Fail</v>
      </c>
      <c r="AF2946" s="1" t="str">
        <f>IF(AND(Table1[[#This Row],[Spec Type2]]="N/A",Table1[[#This Row],[DUT Adj Read]]="N/A",Table1[[#This Row],[Std Adj Read]]="N/A"),"N/A",IF(Table1[[#This Row],[DUT Adj Read]]="N/A",IF(Table1[[#This Row],[Std Adj Read]]&gt;=Table1[[#This Row],[Low Tol]],"Pass","Fail"),IF(Table1[[#This Row],[DUT Adj Read]]&gt;=Table1[[#This Row],[Low Tol]],"Pass","Fail")))</f>
        <v>Pass</v>
      </c>
      <c r="AG2946" s="1" t="str">
        <f>IF(AND(Table1[[#This Row],[Spec Type2]]="N/A",Table1[[#This Row],[DUT Adj Read]]="N/A",Table1[[#This Row],[Std Adj Read]]="N/A"),"N/A",IF(Table1[[#This Row],[DUT Adj Read]]="N/A",IF(Table1[[#This Row],[Std Adj Read]]&lt;=Table1[[#This Row],[High Tol]],"Pass","Fail"),IF(Table1[[#This Row],[DUT Adj Read]]&lt;=Table1[[#This Row],[High Tol]],"Pass","Fail")))</f>
        <v>Fail</v>
      </c>
      <c r="AH29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6" s="1" t="b">
        <v>0</v>
      </c>
      <c r="AN2946" s="1" t="b">
        <v>0</v>
      </c>
      <c r="AO2946" s="1" t="b">
        <v>0</v>
      </c>
    </row>
    <row r="2947" spans="1:41" x14ac:dyDescent="0.25">
      <c r="A2947" s="10"/>
      <c r="B2947" s="10"/>
      <c r="C2947" s="10"/>
      <c r="D2947" s="10"/>
      <c r="E2947" s="10"/>
      <c r="F2947" s="10"/>
      <c r="G2947" s="10"/>
      <c r="H2947" s="10"/>
      <c r="I2947" s="1" t="str">
        <f t="shared" si="135"/>
        <v/>
      </c>
      <c r="J2947" s="1" t="s">
        <v>35</v>
      </c>
      <c r="K2947" s="1" t="str">
        <f t="shared" si="136"/>
        <v/>
      </c>
      <c r="L2947" s="1" t="str">
        <f t="shared" si="137"/>
        <v/>
      </c>
      <c r="M2947" s="1">
        <f>IF(OR(Table1[[#This Row],[Std Nom]]="",Table1[[#This Row],[Std Read]]=""),0,Table1[[#This Row],[Std Nom]]-Table1[[#This Row],[Std Read]])</f>
        <v>0</v>
      </c>
      <c r="N2947" s="1">
        <f>IF(Calculations!$F$5="ACCREDITED 17025 WITH UNCERTAINTIES",$N$10,0)</f>
        <v>0</v>
      </c>
      <c r="O2947" s="1" t="str">
        <f>IFERROR(Table1[[#This Row],[Std Nom]]-(_xlfn.XLOOKUP(Table1[[#This Row],[Manufacturer]]&amp;" "&amp;Table1[[#This Row],[Model]],Table13[MFR &amp; MDL],Table13[Tolerance % CW ],"")/100*Table1[[#This Row],[Std Nom]]),"")</f>
        <v/>
      </c>
      <c r="P2947" s="1" t="str">
        <f>IFERROR(Table1[[#This Row],[Std Nom]]+(_xlfn.XLOOKUP(Table1[[#This Row],[Manufacturer]]&amp;" "&amp;Table1[[#This Row],[Model]],Table13[MFR &amp; MDL],Table13[Tolerance % CW ],"")/100*Table1[[#This Row],[Std Nom]]),"")</f>
        <v/>
      </c>
      <c r="Q2947" s="1" t="e">
        <f>Table1[[#This Row],[High Tol]]-Table1[[#This Row],[Low Tol]]</f>
        <v>#VALUE!</v>
      </c>
      <c r="R2947" s="1">
        <f>2*Table1[[#This Row],[Std Error]]</f>
        <v>0</v>
      </c>
      <c r="S2947" s="1" t="str">
        <f>IF(Table1[[#This Row],[High Tol]]="","N/A",IFERROR(ABS(Table1[[#This Row],[Tol Span]]/Table1[[#This Row],[Error Span]]),"N/A"))</f>
        <v>N/A</v>
      </c>
      <c r="T2947" s="1" t="str">
        <f>IF(OR(Table1[[#This Row],[Low Tol]]="",Table1[[#This Row],[High Tol]]=""),"Needs Analysis",IF(Table1[[#This Row],[Ratio]]&gt;=4,"Not Significant",IF(Table1[[#This Row],[Ratio]]&gt;=2,"Semi-Significant","Significant")))</f>
        <v>Needs Analysis</v>
      </c>
      <c r="W2947" s="1">
        <f>IF(Table1[[#This Row],[Cal Type]]&lt;&gt;"ACCREDITED 17025 WITH UNCERTAINTIES",0,"")</f>
        <v>0</v>
      </c>
      <c r="X2947" s="1" t="str">
        <f>IF(Table1[[#This Row],[DUT Read]]="","N/A",Table1[[#This Row],[Std Error]]+Table1[[#This Row],[DUT Read]]+Table1[[#This Row],[DUT Ucty]])</f>
        <v>N/A</v>
      </c>
      <c r="Y2947" s="1" t="str">
        <f>IF(Table1[[#This Row],[Std Read]]="","N/A",Table1[[#This Row],[Std Read]]+Table1[[#This Row],[Std Ucty]])</f>
        <v>N/A</v>
      </c>
      <c r="Z29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7" s="1" t="str">
        <f>IF(Table1[[#This Row],[Spec Type]]="","N/A",Table1[[#This Row],[Spec Type]])</f>
        <v>±</v>
      </c>
      <c r="AC2947" s="1" t="str">
        <f>IF(Table1[[#This Row],[Spec Type2]]="N/A","N/A",IF(AND(Table1[[#This Row],[DUT Adj Read]]&gt;=Table1[[#This Row],[Low Tol]],Table1[[#This Row],[DUT Adj Read]]&lt;=Table1[[#This Row],[High Tol]]),"Pass","Fail"))</f>
        <v>Fail</v>
      </c>
      <c r="AD2947" s="1" t="str">
        <f>IF(AND(Table1[[#This Row],[Spec Type2]]="N/A",Table1[[#This Row],[DUT Adj Read]]="N/A",Table1[[#This Row],[Std Adj Read]]="N/A"),"N/A",IF(Table1[[#This Row],[DUT Adj Read]]="N/A",IF(Table1[[#This Row],[Std Adj Read]]&gt;Table1[[#This Row],[Low Tol]],"Pass","Fail"),IF(Table1[[#This Row],[DUT Adj Read]]&gt;Table1[[#This Row],[Low Tol]],"Pass","Fail")))</f>
        <v>Pass</v>
      </c>
      <c r="AE2947" s="1" t="str">
        <f>IF(AND(Table1[[#This Row],[Spec Type2]]="N/A",Table1[[#This Row],[DUT Adj Read]]="N/A",Table1[[#This Row],[Std Adj Read]]="N/A"),"N/A",IF(Table1[[#This Row],[DUT Adj Read]]="N/A",IF(Table1[[#This Row],[Std Adj Read]]&lt;Table1[[#This Row],[High Tol]],"Pass","Fail"),IF(Table1[[#This Row],[DUT Adj Read]]&lt;Table1[[#This Row],[High Tol]],"Pass","Fail")))</f>
        <v>Fail</v>
      </c>
      <c r="AF2947" s="1" t="str">
        <f>IF(AND(Table1[[#This Row],[Spec Type2]]="N/A",Table1[[#This Row],[DUT Adj Read]]="N/A",Table1[[#This Row],[Std Adj Read]]="N/A"),"N/A",IF(Table1[[#This Row],[DUT Adj Read]]="N/A",IF(Table1[[#This Row],[Std Adj Read]]&gt;=Table1[[#This Row],[Low Tol]],"Pass","Fail"),IF(Table1[[#This Row],[DUT Adj Read]]&gt;=Table1[[#This Row],[Low Tol]],"Pass","Fail")))</f>
        <v>Pass</v>
      </c>
      <c r="AG2947" s="1" t="str">
        <f>IF(AND(Table1[[#This Row],[Spec Type2]]="N/A",Table1[[#This Row],[DUT Adj Read]]="N/A",Table1[[#This Row],[Std Adj Read]]="N/A"),"N/A",IF(Table1[[#This Row],[DUT Adj Read]]="N/A",IF(Table1[[#This Row],[Std Adj Read]]&lt;=Table1[[#This Row],[High Tol]],"Pass","Fail"),IF(Table1[[#This Row],[DUT Adj Read]]&lt;=Table1[[#This Row],[High Tol]],"Pass","Fail")))</f>
        <v>Fail</v>
      </c>
      <c r="AH29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7" s="1" t="b">
        <v>0</v>
      </c>
      <c r="AN2947" s="1" t="b">
        <v>0</v>
      </c>
      <c r="AO2947" s="1" t="b">
        <v>0</v>
      </c>
    </row>
    <row r="2948" spans="1:41" x14ac:dyDescent="0.25">
      <c r="A2948" s="10"/>
      <c r="B2948" s="10"/>
      <c r="C2948" s="10"/>
      <c r="D2948" s="10"/>
      <c r="E2948" s="10"/>
      <c r="F2948" s="10"/>
      <c r="G2948" s="10"/>
      <c r="H2948" s="10"/>
      <c r="I2948" s="1" t="str">
        <f t="shared" si="135"/>
        <v/>
      </c>
      <c r="J2948" s="1" t="s">
        <v>35</v>
      </c>
      <c r="K2948" s="1" t="str">
        <f t="shared" si="136"/>
        <v/>
      </c>
      <c r="L2948" s="1" t="str">
        <f t="shared" si="137"/>
        <v/>
      </c>
      <c r="M2948" s="1">
        <f>IF(OR(Table1[[#This Row],[Std Nom]]="",Table1[[#This Row],[Std Read]]=""),0,Table1[[#This Row],[Std Nom]]-Table1[[#This Row],[Std Read]])</f>
        <v>0</v>
      </c>
      <c r="N2948" s="1">
        <f>IF(Calculations!$F$5="ACCREDITED 17025 WITH UNCERTAINTIES",$N$10,0)</f>
        <v>0</v>
      </c>
      <c r="O2948" s="1" t="str">
        <f>IFERROR(Table1[[#This Row],[Std Nom]]-(_xlfn.XLOOKUP(Table1[[#This Row],[Manufacturer]]&amp;" "&amp;Table1[[#This Row],[Model]],Table13[MFR &amp; MDL],Table13[Tolerance % CW ],"")/100*Table1[[#This Row],[Std Nom]]),"")</f>
        <v/>
      </c>
      <c r="P2948" s="1" t="str">
        <f>IFERROR(Table1[[#This Row],[Std Nom]]+(_xlfn.XLOOKUP(Table1[[#This Row],[Manufacturer]]&amp;" "&amp;Table1[[#This Row],[Model]],Table13[MFR &amp; MDL],Table13[Tolerance % CW ],"")/100*Table1[[#This Row],[Std Nom]]),"")</f>
        <v/>
      </c>
      <c r="Q2948" s="1" t="e">
        <f>Table1[[#This Row],[High Tol]]-Table1[[#This Row],[Low Tol]]</f>
        <v>#VALUE!</v>
      </c>
      <c r="R2948" s="1">
        <f>2*Table1[[#This Row],[Std Error]]</f>
        <v>0</v>
      </c>
      <c r="S2948" s="1" t="str">
        <f>IF(Table1[[#This Row],[High Tol]]="","N/A",IFERROR(ABS(Table1[[#This Row],[Tol Span]]/Table1[[#This Row],[Error Span]]),"N/A"))</f>
        <v>N/A</v>
      </c>
      <c r="T2948" s="1" t="str">
        <f>IF(OR(Table1[[#This Row],[Low Tol]]="",Table1[[#This Row],[High Tol]]=""),"Needs Analysis",IF(Table1[[#This Row],[Ratio]]&gt;=4,"Not Significant",IF(Table1[[#This Row],[Ratio]]&gt;=2,"Semi-Significant","Significant")))</f>
        <v>Needs Analysis</v>
      </c>
      <c r="W2948" s="1">
        <f>IF(Table1[[#This Row],[Cal Type]]&lt;&gt;"ACCREDITED 17025 WITH UNCERTAINTIES",0,"")</f>
        <v>0</v>
      </c>
      <c r="X2948" s="1" t="str">
        <f>IF(Table1[[#This Row],[DUT Read]]="","N/A",Table1[[#This Row],[Std Error]]+Table1[[#This Row],[DUT Read]]+Table1[[#This Row],[DUT Ucty]])</f>
        <v>N/A</v>
      </c>
      <c r="Y2948" s="1" t="str">
        <f>IF(Table1[[#This Row],[Std Read]]="","N/A",Table1[[#This Row],[Std Read]]+Table1[[#This Row],[Std Ucty]])</f>
        <v>N/A</v>
      </c>
      <c r="Z29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8" s="1" t="str">
        <f>IF(Table1[[#This Row],[Spec Type]]="","N/A",Table1[[#This Row],[Spec Type]])</f>
        <v>±</v>
      </c>
      <c r="AC2948" s="1" t="str">
        <f>IF(Table1[[#This Row],[Spec Type2]]="N/A","N/A",IF(AND(Table1[[#This Row],[DUT Adj Read]]&gt;=Table1[[#This Row],[Low Tol]],Table1[[#This Row],[DUT Adj Read]]&lt;=Table1[[#This Row],[High Tol]]),"Pass","Fail"))</f>
        <v>Fail</v>
      </c>
      <c r="AD2948" s="1" t="str">
        <f>IF(AND(Table1[[#This Row],[Spec Type2]]="N/A",Table1[[#This Row],[DUT Adj Read]]="N/A",Table1[[#This Row],[Std Adj Read]]="N/A"),"N/A",IF(Table1[[#This Row],[DUT Adj Read]]="N/A",IF(Table1[[#This Row],[Std Adj Read]]&gt;Table1[[#This Row],[Low Tol]],"Pass","Fail"),IF(Table1[[#This Row],[DUT Adj Read]]&gt;Table1[[#This Row],[Low Tol]],"Pass","Fail")))</f>
        <v>Pass</v>
      </c>
      <c r="AE2948" s="1" t="str">
        <f>IF(AND(Table1[[#This Row],[Spec Type2]]="N/A",Table1[[#This Row],[DUT Adj Read]]="N/A",Table1[[#This Row],[Std Adj Read]]="N/A"),"N/A",IF(Table1[[#This Row],[DUT Adj Read]]="N/A",IF(Table1[[#This Row],[Std Adj Read]]&lt;Table1[[#This Row],[High Tol]],"Pass","Fail"),IF(Table1[[#This Row],[DUT Adj Read]]&lt;Table1[[#This Row],[High Tol]],"Pass","Fail")))</f>
        <v>Fail</v>
      </c>
      <c r="AF2948" s="1" t="str">
        <f>IF(AND(Table1[[#This Row],[Spec Type2]]="N/A",Table1[[#This Row],[DUT Adj Read]]="N/A",Table1[[#This Row],[Std Adj Read]]="N/A"),"N/A",IF(Table1[[#This Row],[DUT Adj Read]]="N/A",IF(Table1[[#This Row],[Std Adj Read]]&gt;=Table1[[#This Row],[Low Tol]],"Pass","Fail"),IF(Table1[[#This Row],[DUT Adj Read]]&gt;=Table1[[#This Row],[Low Tol]],"Pass","Fail")))</f>
        <v>Pass</v>
      </c>
      <c r="AG2948" s="1" t="str">
        <f>IF(AND(Table1[[#This Row],[Spec Type2]]="N/A",Table1[[#This Row],[DUT Adj Read]]="N/A",Table1[[#This Row],[Std Adj Read]]="N/A"),"N/A",IF(Table1[[#This Row],[DUT Adj Read]]="N/A",IF(Table1[[#This Row],[Std Adj Read]]&lt;=Table1[[#This Row],[High Tol]],"Pass","Fail"),IF(Table1[[#This Row],[DUT Adj Read]]&lt;=Table1[[#This Row],[High Tol]],"Pass","Fail")))</f>
        <v>Fail</v>
      </c>
      <c r="AH29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8" s="1" t="b">
        <v>0</v>
      </c>
      <c r="AN2948" s="1" t="b">
        <v>0</v>
      </c>
      <c r="AO2948" s="1" t="b">
        <v>0</v>
      </c>
    </row>
    <row r="2949" spans="1:41" x14ac:dyDescent="0.25">
      <c r="A2949" s="10"/>
      <c r="B2949" s="10"/>
      <c r="C2949" s="10"/>
      <c r="D2949" s="10"/>
      <c r="E2949" s="10"/>
      <c r="F2949" s="10"/>
      <c r="G2949" s="10"/>
      <c r="H2949" s="10"/>
      <c r="I2949" s="1" t="str">
        <f t="shared" si="135"/>
        <v/>
      </c>
      <c r="J2949" s="1" t="s">
        <v>35</v>
      </c>
      <c r="K2949" s="1" t="str">
        <f t="shared" si="136"/>
        <v/>
      </c>
      <c r="L2949" s="1" t="str">
        <f t="shared" si="137"/>
        <v/>
      </c>
      <c r="M2949" s="1">
        <f>IF(OR(Table1[[#This Row],[Std Nom]]="",Table1[[#This Row],[Std Read]]=""),0,Table1[[#This Row],[Std Nom]]-Table1[[#This Row],[Std Read]])</f>
        <v>0</v>
      </c>
      <c r="N2949" s="1">
        <f>IF(Calculations!$F$5="ACCREDITED 17025 WITH UNCERTAINTIES",$N$10,0)</f>
        <v>0</v>
      </c>
      <c r="O2949" s="1" t="str">
        <f>IFERROR(Table1[[#This Row],[Std Nom]]-(_xlfn.XLOOKUP(Table1[[#This Row],[Manufacturer]]&amp;" "&amp;Table1[[#This Row],[Model]],Table13[MFR &amp; MDL],Table13[Tolerance % CW ],"")/100*Table1[[#This Row],[Std Nom]]),"")</f>
        <v/>
      </c>
      <c r="P2949" s="1" t="str">
        <f>IFERROR(Table1[[#This Row],[Std Nom]]+(_xlfn.XLOOKUP(Table1[[#This Row],[Manufacturer]]&amp;" "&amp;Table1[[#This Row],[Model]],Table13[MFR &amp; MDL],Table13[Tolerance % CW ],"")/100*Table1[[#This Row],[Std Nom]]),"")</f>
        <v/>
      </c>
      <c r="Q2949" s="1" t="e">
        <f>Table1[[#This Row],[High Tol]]-Table1[[#This Row],[Low Tol]]</f>
        <v>#VALUE!</v>
      </c>
      <c r="R2949" s="1">
        <f>2*Table1[[#This Row],[Std Error]]</f>
        <v>0</v>
      </c>
      <c r="S2949" s="1" t="str">
        <f>IF(Table1[[#This Row],[High Tol]]="","N/A",IFERROR(ABS(Table1[[#This Row],[Tol Span]]/Table1[[#This Row],[Error Span]]),"N/A"))</f>
        <v>N/A</v>
      </c>
      <c r="T2949" s="1" t="str">
        <f>IF(OR(Table1[[#This Row],[Low Tol]]="",Table1[[#This Row],[High Tol]]=""),"Needs Analysis",IF(Table1[[#This Row],[Ratio]]&gt;=4,"Not Significant",IF(Table1[[#This Row],[Ratio]]&gt;=2,"Semi-Significant","Significant")))</f>
        <v>Needs Analysis</v>
      </c>
      <c r="W2949" s="1">
        <f>IF(Table1[[#This Row],[Cal Type]]&lt;&gt;"ACCREDITED 17025 WITH UNCERTAINTIES",0,"")</f>
        <v>0</v>
      </c>
      <c r="X2949" s="1" t="str">
        <f>IF(Table1[[#This Row],[DUT Read]]="","N/A",Table1[[#This Row],[Std Error]]+Table1[[#This Row],[DUT Read]]+Table1[[#This Row],[DUT Ucty]])</f>
        <v>N/A</v>
      </c>
      <c r="Y2949" s="1" t="str">
        <f>IF(Table1[[#This Row],[Std Read]]="","N/A",Table1[[#This Row],[Std Read]]+Table1[[#This Row],[Std Ucty]])</f>
        <v>N/A</v>
      </c>
      <c r="Z29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9" s="1" t="str">
        <f>IF(Table1[[#This Row],[Spec Type]]="","N/A",Table1[[#This Row],[Spec Type]])</f>
        <v>±</v>
      </c>
      <c r="AC2949" s="1" t="str">
        <f>IF(Table1[[#This Row],[Spec Type2]]="N/A","N/A",IF(AND(Table1[[#This Row],[DUT Adj Read]]&gt;=Table1[[#This Row],[Low Tol]],Table1[[#This Row],[DUT Adj Read]]&lt;=Table1[[#This Row],[High Tol]]),"Pass","Fail"))</f>
        <v>Fail</v>
      </c>
      <c r="AD2949" s="1" t="str">
        <f>IF(AND(Table1[[#This Row],[Spec Type2]]="N/A",Table1[[#This Row],[DUT Adj Read]]="N/A",Table1[[#This Row],[Std Adj Read]]="N/A"),"N/A",IF(Table1[[#This Row],[DUT Adj Read]]="N/A",IF(Table1[[#This Row],[Std Adj Read]]&gt;Table1[[#This Row],[Low Tol]],"Pass","Fail"),IF(Table1[[#This Row],[DUT Adj Read]]&gt;Table1[[#This Row],[Low Tol]],"Pass","Fail")))</f>
        <v>Pass</v>
      </c>
      <c r="AE2949" s="1" t="str">
        <f>IF(AND(Table1[[#This Row],[Spec Type2]]="N/A",Table1[[#This Row],[DUT Adj Read]]="N/A",Table1[[#This Row],[Std Adj Read]]="N/A"),"N/A",IF(Table1[[#This Row],[DUT Adj Read]]="N/A",IF(Table1[[#This Row],[Std Adj Read]]&lt;Table1[[#This Row],[High Tol]],"Pass","Fail"),IF(Table1[[#This Row],[DUT Adj Read]]&lt;Table1[[#This Row],[High Tol]],"Pass","Fail")))</f>
        <v>Fail</v>
      </c>
      <c r="AF2949" s="1" t="str">
        <f>IF(AND(Table1[[#This Row],[Spec Type2]]="N/A",Table1[[#This Row],[DUT Adj Read]]="N/A",Table1[[#This Row],[Std Adj Read]]="N/A"),"N/A",IF(Table1[[#This Row],[DUT Adj Read]]="N/A",IF(Table1[[#This Row],[Std Adj Read]]&gt;=Table1[[#This Row],[Low Tol]],"Pass","Fail"),IF(Table1[[#This Row],[DUT Adj Read]]&gt;=Table1[[#This Row],[Low Tol]],"Pass","Fail")))</f>
        <v>Pass</v>
      </c>
      <c r="AG2949" s="1" t="str">
        <f>IF(AND(Table1[[#This Row],[Spec Type2]]="N/A",Table1[[#This Row],[DUT Adj Read]]="N/A",Table1[[#This Row],[Std Adj Read]]="N/A"),"N/A",IF(Table1[[#This Row],[DUT Adj Read]]="N/A",IF(Table1[[#This Row],[Std Adj Read]]&lt;=Table1[[#This Row],[High Tol]],"Pass","Fail"),IF(Table1[[#This Row],[DUT Adj Read]]&lt;=Table1[[#This Row],[High Tol]],"Pass","Fail")))</f>
        <v>Fail</v>
      </c>
      <c r="AH29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9" s="1" t="b">
        <v>0</v>
      </c>
      <c r="AN2949" s="1" t="b">
        <v>0</v>
      </c>
      <c r="AO2949" s="1" t="b">
        <v>0</v>
      </c>
    </row>
    <row r="2950" spans="1:41" x14ac:dyDescent="0.25">
      <c r="A2950" s="10"/>
      <c r="B2950" s="10"/>
      <c r="C2950" s="10"/>
      <c r="D2950" s="10"/>
      <c r="E2950" s="10"/>
      <c r="F2950" s="10"/>
      <c r="G2950" s="10"/>
      <c r="H2950" s="10"/>
      <c r="I2950" s="1" t="str">
        <f t="shared" si="135"/>
        <v/>
      </c>
      <c r="J2950" s="1" t="s">
        <v>35</v>
      </c>
      <c r="K2950" s="1" t="str">
        <f t="shared" si="136"/>
        <v/>
      </c>
      <c r="L2950" s="1" t="str">
        <f t="shared" si="137"/>
        <v/>
      </c>
      <c r="M2950" s="1">
        <f>IF(OR(Table1[[#This Row],[Std Nom]]="",Table1[[#This Row],[Std Read]]=""),0,Table1[[#This Row],[Std Nom]]-Table1[[#This Row],[Std Read]])</f>
        <v>0</v>
      </c>
      <c r="N2950" s="1">
        <f>IF(Calculations!$F$5="ACCREDITED 17025 WITH UNCERTAINTIES",$N$10,0)</f>
        <v>0</v>
      </c>
      <c r="O2950" s="1" t="str">
        <f>IFERROR(Table1[[#This Row],[Std Nom]]-(_xlfn.XLOOKUP(Table1[[#This Row],[Manufacturer]]&amp;" "&amp;Table1[[#This Row],[Model]],Table13[MFR &amp; MDL],Table13[Tolerance % CW ],"")/100*Table1[[#This Row],[Std Nom]]),"")</f>
        <v/>
      </c>
      <c r="P2950" s="1" t="str">
        <f>IFERROR(Table1[[#This Row],[Std Nom]]+(_xlfn.XLOOKUP(Table1[[#This Row],[Manufacturer]]&amp;" "&amp;Table1[[#This Row],[Model]],Table13[MFR &amp; MDL],Table13[Tolerance % CW ],"")/100*Table1[[#This Row],[Std Nom]]),"")</f>
        <v/>
      </c>
      <c r="Q2950" s="1" t="e">
        <f>Table1[[#This Row],[High Tol]]-Table1[[#This Row],[Low Tol]]</f>
        <v>#VALUE!</v>
      </c>
      <c r="R2950" s="1">
        <f>2*Table1[[#This Row],[Std Error]]</f>
        <v>0</v>
      </c>
      <c r="S2950" s="1" t="str">
        <f>IF(Table1[[#This Row],[High Tol]]="","N/A",IFERROR(ABS(Table1[[#This Row],[Tol Span]]/Table1[[#This Row],[Error Span]]),"N/A"))</f>
        <v>N/A</v>
      </c>
      <c r="T2950" s="1" t="str">
        <f>IF(OR(Table1[[#This Row],[Low Tol]]="",Table1[[#This Row],[High Tol]]=""),"Needs Analysis",IF(Table1[[#This Row],[Ratio]]&gt;=4,"Not Significant",IF(Table1[[#This Row],[Ratio]]&gt;=2,"Semi-Significant","Significant")))</f>
        <v>Needs Analysis</v>
      </c>
      <c r="W2950" s="1">
        <f>IF(Table1[[#This Row],[Cal Type]]&lt;&gt;"ACCREDITED 17025 WITH UNCERTAINTIES",0,"")</f>
        <v>0</v>
      </c>
      <c r="X2950" s="1" t="str">
        <f>IF(Table1[[#This Row],[DUT Read]]="","N/A",Table1[[#This Row],[Std Error]]+Table1[[#This Row],[DUT Read]]+Table1[[#This Row],[DUT Ucty]])</f>
        <v>N/A</v>
      </c>
      <c r="Y2950" s="1" t="str">
        <f>IF(Table1[[#This Row],[Std Read]]="","N/A",Table1[[#This Row],[Std Read]]+Table1[[#This Row],[Std Ucty]])</f>
        <v>N/A</v>
      </c>
      <c r="Z29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0" s="1" t="str">
        <f>IF(Table1[[#This Row],[Spec Type]]="","N/A",Table1[[#This Row],[Spec Type]])</f>
        <v>±</v>
      </c>
      <c r="AC2950" s="1" t="str">
        <f>IF(Table1[[#This Row],[Spec Type2]]="N/A","N/A",IF(AND(Table1[[#This Row],[DUT Adj Read]]&gt;=Table1[[#This Row],[Low Tol]],Table1[[#This Row],[DUT Adj Read]]&lt;=Table1[[#This Row],[High Tol]]),"Pass","Fail"))</f>
        <v>Fail</v>
      </c>
      <c r="AD2950" s="1" t="str">
        <f>IF(AND(Table1[[#This Row],[Spec Type2]]="N/A",Table1[[#This Row],[DUT Adj Read]]="N/A",Table1[[#This Row],[Std Adj Read]]="N/A"),"N/A",IF(Table1[[#This Row],[DUT Adj Read]]="N/A",IF(Table1[[#This Row],[Std Adj Read]]&gt;Table1[[#This Row],[Low Tol]],"Pass","Fail"),IF(Table1[[#This Row],[DUT Adj Read]]&gt;Table1[[#This Row],[Low Tol]],"Pass","Fail")))</f>
        <v>Pass</v>
      </c>
      <c r="AE2950" s="1" t="str">
        <f>IF(AND(Table1[[#This Row],[Spec Type2]]="N/A",Table1[[#This Row],[DUT Adj Read]]="N/A",Table1[[#This Row],[Std Adj Read]]="N/A"),"N/A",IF(Table1[[#This Row],[DUT Adj Read]]="N/A",IF(Table1[[#This Row],[Std Adj Read]]&lt;Table1[[#This Row],[High Tol]],"Pass","Fail"),IF(Table1[[#This Row],[DUT Adj Read]]&lt;Table1[[#This Row],[High Tol]],"Pass","Fail")))</f>
        <v>Fail</v>
      </c>
      <c r="AF2950" s="1" t="str">
        <f>IF(AND(Table1[[#This Row],[Spec Type2]]="N/A",Table1[[#This Row],[DUT Adj Read]]="N/A",Table1[[#This Row],[Std Adj Read]]="N/A"),"N/A",IF(Table1[[#This Row],[DUT Adj Read]]="N/A",IF(Table1[[#This Row],[Std Adj Read]]&gt;=Table1[[#This Row],[Low Tol]],"Pass","Fail"),IF(Table1[[#This Row],[DUT Adj Read]]&gt;=Table1[[#This Row],[Low Tol]],"Pass","Fail")))</f>
        <v>Pass</v>
      </c>
      <c r="AG2950" s="1" t="str">
        <f>IF(AND(Table1[[#This Row],[Spec Type2]]="N/A",Table1[[#This Row],[DUT Adj Read]]="N/A",Table1[[#This Row],[Std Adj Read]]="N/A"),"N/A",IF(Table1[[#This Row],[DUT Adj Read]]="N/A",IF(Table1[[#This Row],[Std Adj Read]]&lt;=Table1[[#This Row],[High Tol]],"Pass","Fail"),IF(Table1[[#This Row],[DUT Adj Read]]&lt;=Table1[[#This Row],[High Tol]],"Pass","Fail")))</f>
        <v>Fail</v>
      </c>
      <c r="AH29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0" s="1" t="b">
        <v>0</v>
      </c>
      <c r="AN2950" s="1" t="b">
        <v>0</v>
      </c>
      <c r="AO2950" s="1" t="b">
        <v>0</v>
      </c>
    </row>
    <row r="2951" spans="1:41" x14ac:dyDescent="0.25">
      <c r="A2951" s="10"/>
      <c r="B2951" s="10"/>
      <c r="C2951" s="10"/>
      <c r="D2951" s="10"/>
      <c r="E2951" s="10"/>
      <c r="F2951" s="10"/>
      <c r="G2951" s="10"/>
      <c r="H2951" s="10"/>
      <c r="I2951" s="1" t="str">
        <f t="shared" si="135"/>
        <v/>
      </c>
      <c r="J2951" s="1" t="s">
        <v>35</v>
      </c>
      <c r="K2951" s="1" t="str">
        <f t="shared" si="136"/>
        <v/>
      </c>
      <c r="L2951" s="1" t="str">
        <f t="shared" si="137"/>
        <v/>
      </c>
      <c r="M2951" s="1">
        <f>IF(OR(Table1[[#This Row],[Std Nom]]="",Table1[[#This Row],[Std Read]]=""),0,Table1[[#This Row],[Std Nom]]-Table1[[#This Row],[Std Read]])</f>
        <v>0</v>
      </c>
      <c r="N2951" s="1">
        <f>IF(Calculations!$F$5="ACCREDITED 17025 WITH UNCERTAINTIES",$N$10,0)</f>
        <v>0</v>
      </c>
      <c r="O2951" s="1" t="str">
        <f>IFERROR(Table1[[#This Row],[Std Nom]]-(_xlfn.XLOOKUP(Table1[[#This Row],[Manufacturer]]&amp;" "&amp;Table1[[#This Row],[Model]],Table13[MFR &amp; MDL],Table13[Tolerance % CW ],"")/100*Table1[[#This Row],[Std Nom]]),"")</f>
        <v/>
      </c>
      <c r="P2951" s="1" t="str">
        <f>IFERROR(Table1[[#This Row],[Std Nom]]+(_xlfn.XLOOKUP(Table1[[#This Row],[Manufacturer]]&amp;" "&amp;Table1[[#This Row],[Model]],Table13[MFR &amp; MDL],Table13[Tolerance % CW ],"")/100*Table1[[#This Row],[Std Nom]]),"")</f>
        <v/>
      </c>
      <c r="Q2951" s="1" t="e">
        <f>Table1[[#This Row],[High Tol]]-Table1[[#This Row],[Low Tol]]</f>
        <v>#VALUE!</v>
      </c>
      <c r="R2951" s="1">
        <f>2*Table1[[#This Row],[Std Error]]</f>
        <v>0</v>
      </c>
      <c r="S2951" s="1" t="str">
        <f>IF(Table1[[#This Row],[High Tol]]="","N/A",IFERROR(ABS(Table1[[#This Row],[Tol Span]]/Table1[[#This Row],[Error Span]]),"N/A"))</f>
        <v>N/A</v>
      </c>
      <c r="T2951" s="1" t="str">
        <f>IF(OR(Table1[[#This Row],[Low Tol]]="",Table1[[#This Row],[High Tol]]=""),"Needs Analysis",IF(Table1[[#This Row],[Ratio]]&gt;=4,"Not Significant",IF(Table1[[#This Row],[Ratio]]&gt;=2,"Semi-Significant","Significant")))</f>
        <v>Needs Analysis</v>
      </c>
      <c r="W2951" s="1">
        <f>IF(Table1[[#This Row],[Cal Type]]&lt;&gt;"ACCREDITED 17025 WITH UNCERTAINTIES",0,"")</f>
        <v>0</v>
      </c>
      <c r="X2951" s="1" t="str">
        <f>IF(Table1[[#This Row],[DUT Read]]="","N/A",Table1[[#This Row],[Std Error]]+Table1[[#This Row],[DUT Read]]+Table1[[#This Row],[DUT Ucty]])</f>
        <v>N/A</v>
      </c>
      <c r="Y2951" s="1" t="str">
        <f>IF(Table1[[#This Row],[Std Read]]="","N/A",Table1[[#This Row],[Std Read]]+Table1[[#This Row],[Std Ucty]])</f>
        <v>N/A</v>
      </c>
      <c r="Z29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1" s="1" t="str">
        <f>IF(Table1[[#This Row],[Spec Type]]="","N/A",Table1[[#This Row],[Spec Type]])</f>
        <v>±</v>
      </c>
      <c r="AC2951" s="1" t="str">
        <f>IF(Table1[[#This Row],[Spec Type2]]="N/A","N/A",IF(AND(Table1[[#This Row],[DUT Adj Read]]&gt;=Table1[[#This Row],[Low Tol]],Table1[[#This Row],[DUT Adj Read]]&lt;=Table1[[#This Row],[High Tol]]),"Pass","Fail"))</f>
        <v>Fail</v>
      </c>
      <c r="AD2951" s="1" t="str">
        <f>IF(AND(Table1[[#This Row],[Spec Type2]]="N/A",Table1[[#This Row],[DUT Adj Read]]="N/A",Table1[[#This Row],[Std Adj Read]]="N/A"),"N/A",IF(Table1[[#This Row],[DUT Adj Read]]="N/A",IF(Table1[[#This Row],[Std Adj Read]]&gt;Table1[[#This Row],[Low Tol]],"Pass","Fail"),IF(Table1[[#This Row],[DUT Adj Read]]&gt;Table1[[#This Row],[Low Tol]],"Pass","Fail")))</f>
        <v>Pass</v>
      </c>
      <c r="AE2951" s="1" t="str">
        <f>IF(AND(Table1[[#This Row],[Spec Type2]]="N/A",Table1[[#This Row],[DUT Adj Read]]="N/A",Table1[[#This Row],[Std Adj Read]]="N/A"),"N/A",IF(Table1[[#This Row],[DUT Adj Read]]="N/A",IF(Table1[[#This Row],[Std Adj Read]]&lt;Table1[[#This Row],[High Tol]],"Pass","Fail"),IF(Table1[[#This Row],[DUT Adj Read]]&lt;Table1[[#This Row],[High Tol]],"Pass","Fail")))</f>
        <v>Fail</v>
      </c>
      <c r="AF2951" s="1" t="str">
        <f>IF(AND(Table1[[#This Row],[Spec Type2]]="N/A",Table1[[#This Row],[DUT Adj Read]]="N/A",Table1[[#This Row],[Std Adj Read]]="N/A"),"N/A",IF(Table1[[#This Row],[DUT Adj Read]]="N/A",IF(Table1[[#This Row],[Std Adj Read]]&gt;=Table1[[#This Row],[Low Tol]],"Pass","Fail"),IF(Table1[[#This Row],[DUT Adj Read]]&gt;=Table1[[#This Row],[Low Tol]],"Pass","Fail")))</f>
        <v>Pass</v>
      </c>
      <c r="AG2951" s="1" t="str">
        <f>IF(AND(Table1[[#This Row],[Spec Type2]]="N/A",Table1[[#This Row],[DUT Adj Read]]="N/A",Table1[[#This Row],[Std Adj Read]]="N/A"),"N/A",IF(Table1[[#This Row],[DUT Adj Read]]="N/A",IF(Table1[[#This Row],[Std Adj Read]]&lt;=Table1[[#This Row],[High Tol]],"Pass","Fail"),IF(Table1[[#This Row],[DUT Adj Read]]&lt;=Table1[[#This Row],[High Tol]],"Pass","Fail")))</f>
        <v>Fail</v>
      </c>
      <c r="AH29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1" s="1" t="b">
        <v>0</v>
      </c>
      <c r="AN2951" s="1" t="b">
        <v>0</v>
      </c>
      <c r="AO2951" s="1" t="b">
        <v>0</v>
      </c>
    </row>
    <row r="2952" spans="1:41" x14ac:dyDescent="0.25">
      <c r="A2952" s="10"/>
      <c r="B2952" s="10"/>
      <c r="C2952" s="10"/>
      <c r="D2952" s="10"/>
      <c r="E2952" s="10"/>
      <c r="F2952" s="10"/>
      <c r="G2952" s="10"/>
      <c r="H2952" s="10"/>
      <c r="I2952" s="1" t="str">
        <f t="shared" si="135"/>
        <v/>
      </c>
      <c r="J2952" s="1" t="s">
        <v>35</v>
      </c>
      <c r="K2952" s="1" t="str">
        <f t="shared" si="136"/>
        <v/>
      </c>
      <c r="L2952" s="1" t="str">
        <f t="shared" si="137"/>
        <v/>
      </c>
      <c r="M2952" s="1">
        <f>IF(OR(Table1[[#This Row],[Std Nom]]="",Table1[[#This Row],[Std Read]]=""),0,Table1[[#This Row],[Std Nom]]-Table1[[#This Row],[Std Read]])</f>
        <v>0</v>
      </c>
      <c r="N2952" s="1">
        <f>IF(Calculations!$F$5="ACCREDITED 17025 WITH UNCERTAINTIES",$N$10,0)</f>
        <v>0</v>
      </c>
      <c r="O2952" s="1" t="str">
        <f>IFERROR(Table1[[#This Row],[Std Nom]]-(_xlfn.XLOOKUP(Table1[[#This Row],[Manufacturer]]&amp;" "&amp;Table1[[#This Row],[Model]],Table13[MFR &amp; MDL],Table13[Tolerance % CW ],"")/100*Table1[[#This Row],[Std Nom]]),"")</f>
        <v/>
      </c>
      <c r="P2952" s="1" t="str">
        <f>IFERROR(Table1[[#This Row],[Std Nom]]+(_xlfn.XLOOKUP(Table1[[#This Row],[Manufacturer]]&amp;" "&amp;Table1[[#This Row],[Model]],Table13[MFR &amp; MDL],Table13[Tolerance % CW ],"")/100*Table1[[#This Row],[Std Nom]]),"")</f>
        <v/>
      </c>
      <c r="Q2952" s="1" t="e">
        <f>Table1[[#This Row],[High Tol]]-Table1[[#This Row],[Low Tol]]</f>
        <v>#VALUE!</v>
      </c>
      <c r="R2952" s="1">
        <f>2*Table1[[#This Row],[Std Error]]</f>
        <v>0</v>
      </c>
      <c r="S2952" s="1" t="str">
        <f>IF(Table1[[#This Row],[High Tol]]="","N/A",IFERROR(ABS(Table1[[#This Row],[Tol Span]]/Table1[[#This Row],[Error Span]]),"N/A"))</f>
        <v>N/A</v>
      </c>
      <c r="T2952" s="1" t="str">
        <f>IF(OR(Table1[[#This Row],[Low Tol]]="",Table1[[#This Row],[High Tol]]=""),"Needs Analysis",IF(Table1[[#This Row],[Ratio]]&gt;=4,"Not Significant",IF(Table1[[#This Row],[Ratio]]&gt;=2,"Semi-Significant","Significant")))</f>
        <v>Needs Analysis</v>
      </c>
      <c r="W2952" s="1">
        <f>IF(Table1[[#This Row],[Cal Type]]&lt;&gt;"ACCREDITED 17025 WITH UNCERTAINTIES",0,"")</f>
        <v>0</v>
      </c>
      <c r="X2952" s="1" t="str">
        <f>IF(Table1[[#This Row],[DUT Read]]="","N/A",Table1[[#This Row],[Std Error]]+Table1[[#This Row],[DUT Read]]+Table1[[#This Row],[DUT Ucty]])</f>
        <v>N/A</v>
      </c>
      <c r="Y2952" s="1" t="str">
        <f>IF(Table1[[#This Row],[Std Read]]="","N/A",Table1[[#This Row],[Std Read]]+Table1[[#This Row],[Std Ucty]])</f>
        <v>N/A</v>
      </c>
      <c r="Z29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2" s="1" t="str">
        <f>IF(Table1[[#This Row],[Spec Type]]="","N/A",Table1[[#This Row],[Spec Type]])</f>
        <v>±</v>
      </c>
      <c r="AC2952" s="1" t="str">
        <f>IF(Table1[[#This Row],[Spec Type2]]="N/A","N/A",IF(AND(Table1[[#This Row],[DUT Adj Read]]&gt;=Table1[[#This Row],[Low Tol]],Table1[[#This Row],[DUT Adj Read]]&lt;=Table1[[#This Row],[High Tol]]),"Pass","Fail"))</f>
        <v>Fail</v>
      </c>
      <c r="AD2952" s="1" t="str">
        <f>IF(AND(Table1[[#This Row],[Spec Type2]]="N/A",Table1[[#This Row],[DUT Adj Read]]="N/A",Table1[[#This Row],[Std Adj Read]]="N/A"),"N/A",IF(Table1[[#This Row],[DUT Adj Read]]="N/A",IF(Table1[[#This Row],[Std Adj Read]]&gt;Table1[[#This Row],[Low Tol]],"Pass","Fail"),IF(Table1[[#This Row],[DUT Adj Read]]&gt;Table1[[#This Row],[Low Tol]],"Pass","Fail")))</f>
        <v>Pass</v>
      </c>
      <c r="AE2952" s="1" t="str">
        <f>IF(AND(Table1[[#This Row],[Spec Type2]]="N/A",Table1[[#This Row],[DUT Adj Read]]="N/A",Table1[[#This Row],[Std Adj Read]]="N/A"),"N/A",IF(Table1[[#This Row],[DUT Adj Read]]="N/A",IF(Table1[[#This Row],[Std Adj Read]]&lt;Table1[[#This Row],[High Tol]],"Pass","Fail"),IF(Table1[[#This Row],[DUT Adj Read]]&lt;Table1[[#This Row],[High Tol]],"Pass","Fail")))</f>
        <v>Fail</v>
      </c>
      <c r="AF2952" s="1" t="str">
        <f>IF(AND(Table1[[#This Row],[Spec Type2]]="N/A",Table1[[#This Row],[DUT Adj Read]]="N/A",Table1[[#This Row],[Std Adj Read]]="N/A"),"N/A",IF(Table1[[#This Row],[DUT Adj Read]]="N/A",IF(Table1[[#This Row],[Std Adj Read]]&gt;=Table1[[#This Row],[Low Tol]],"Pass","Fail"),IF(Table1[[#This Row],[DUT Adj Read]]&gt;=Table1[[#This Row],[Low Tol]],"Pass","Fail")))</f>
        <v>Pass</v>
      </c>
      <c r="AG2952" s="1" t="str">
        <f>IF(AND(Table1[[#This Row],[Spec Type2]]="N/A",Table1[[#This Row],[DUT Adj Read]]="N/A",Table1[[#This Row],[Std Adj Read]]="N/A"),"N/A",IF(Table1[[#This Row],[DUT Adj Read]]="N/A",IF(Table1[[#This Row],[Std Adj Read]]&lt;=Table1[[#This Row],[High Tol]],"Pass","Fail"),IF(Table1[[#This Row],[DUT Adj Read]]&lt;=Table1[[#This Row],[High Tol]],"Pass","Fail")))</f>
        <v>Fail</v>
      </c>
      <c r="AH29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2" s="1" t="b">
        <v>0</v>
      </c>
      <c r="AN2952" s="1" t="b">
        <v>0</v>
      </c>
      <c r="AO2952" s="1" t="b">
        <v>0</v>
      </c>
    </row>
    <row r="2953" spans="1:41" x14ac:dyDescent="0.25">
      <c r="A2953" s="10"/>
      <c r="B2953" s="10"/>
      <c r="C2953" s="10"/>
      <c r="D2953" s="10"/>
      <c r="E2953" s="10"/>
      <c r="F2953" s="10"/>
      <c r="G2953" s="10"/>
      <c r="H2953" s="10"/>
      <c r="I2953" s="1" t="str">
        <f t="shared" si="135"/>
        <v/>
      </c>
      <c r="J2953" s="1" t="s">
        <v>35</v>
      </c>
      <c r="K2953" s="1" t="str">
        <f t="shared" si="136"/>
        <v/>
      </c>
      <c r="L2953" s="1" t="str">
        <f t="shared" si="137"/>
        <v/>
      </c>
      <c r="M2953" s="1">
        <f>IF(OR(Table1[[#This Row],[Std Nom]]="",Table1[[#This Row],[Std Read]]=""),0,Table1[[#This Row],[Std Nom]]-Table1[[#This Row],[Std Read]])</f>
        <v>0</v>
      </c>
      <c r="N2953" s="1">
        <f>IF(Calculations!$F$5="ACCREDITED 17025 WITH UNCERTAINTIES",$N$10,0)</f>
        <v>0</v>
      </c>
      <c r="O2953" s="1" t="str">
        <f>IFERROR(Table1[[#This Row],[Std Nom]]-(_xlfn.XLOOKUP(Table1[[#This Row],[Manufacturer]]&amp;" "&amp;Table1[[#This Row],[Model]],Table13[MFR &amp; MDL],Table13[Tolerance % CW ],"")/100*Table1[[#This Row],[Std Nom]]),"")</f>
        <v/>
      </c>
      <c r="P2953" s="1" t="str">
        <f>IFERROR(Table1[[#This Row],[Std Nom]]+(_xlfn.XLOOKUP(Table1[[#This Row],[Manufacturer]]&amp;" "&amp;Table1[[#This Row],[Model]],Table13[MFR &amp; MDL],Table13[Tolerance % CW ],"")/100*Table1[[#This Row],[Std Nom]]),"")</f>
        <v/>
      </c>
      <c r="Q2953" s="1" t="e">
        <f>Table1[[#This Row],[High Tol]]-Table1[[#This Row],[Low Tol]]</f>
        <v>#VALUE!</v>
      </c>
      <c r="R2953" s="1">
        <f>2*Table1[[#This Row],[Std Error]]</f>
        <v>0</v>
      </c>
      <c r="S2953" s="1" t="str">
        <f>IF(Table1[[#This Row],[High Tol]]="","N/A",IFERROR(ABS(Table1[[#This Row],[Tol Span]]/Table1[[#This Row],[Error Span]]),"N/A"))</f>
        <v>N/A</v>
      </c>
      <c r="T2953" s="1" t="str">
        <f>IF(OR(Table1[[#This Row],[Low Tol]]="",Table1[[#This Row],[High Tol]]=""),"Needs Analysis",IF(Table1[[#This Row],[Ratio]]&gt;=4,"Not Significant",IF(Table1[[#This Row],[Ratio]]&gt;=2,"Semi-Significant","Significant")))</f>
        <v>Needs Analysis</v>
      </c>
      <c r="W2953" s="1">
        <f>IF(Table1[[#This Row],[Cal Type]]&lt;&gt;"ACCREDITED 17025 WITH UNCERTAINTIES",0,"")</f>
        <v>0</v>
      </c>
      <c r="X2953" s="1" t="str">
        <f>IF(Table1[[#This Row],[DUT Read]]="","N/A",Table1[[#This Row],[Std Error]]+Table1[[#This Row],[DUT Read]]+Table1[[#This Row],[DUT Ucty]])</f>
        <v>N/A</v>
      </c>
      <c r="Y2953" s="1" t="str">
        <f>IF(Table1[[#This Row],[Std Read]]="","N/A",Table1[[#This Row],[Std Read]]+Table1[[#This Row],[Std Ucty]])</f>
        <v>N/A</v>
      </c>
      <c r="Z29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3" s="1" t="str">
        <f>IF(Table1[[#This Row],[Spec Type]]="","N/A",Table1[[#This Row],[Spec Type]])</f>
        <v>±</v>
      </c>
      <c r="AC2953" s="1" t="str">
        <f>IF(Table1[[#This Row],[Spec Type2]]="N/A","N/A",IF(AND(Table1[[#This Row],[DUT Adj Read]]&gt;=Table1[[#This Row],[Low Tol]],Table1[[#This Row],[DUT Adj Read]]&lt;=Table1[[#This Row],[High Tol]]),"Pass","Fail"))</f>
        <v>Fail</v>
      </c>
      <c r="AD2953" s="1" t="str">
        <f>IF(AND(Table1[[#This Row],[Spec Type2]]="N/A",Table1[[#This Row],[DUT Adj Read]]="N/A",Table1[[#This Row],[Std Adj Read]]="N/A"),"N/A",IF(Table1[[#This Row],[DUT Adj Read]]="N/A",IF(Table1[[#This Row],[Std Adj Read]]&gt;Table1[[#This Row],[Low Tol]],"Pass","Fail"),IF(Table1[[#This Row],[DUT Adj Read]]&gt;Table1[[#This Row],[Low Tol]],"Pass","Fail")))</f>
        <v>Pass</v>
      </c>
      <c r="AE2953" s="1" t="str">
        <f>IF(AND(Table1[[#This Row],[Spec Type2]]="N/A",Table1[[#This Row],[DUT Adj Read]]="N/A",Table1[[#This Row],[Std Adj Read]]="N/A"),"N/A",IF(Table1[[#This Row],[DUT Adj Read]]="N/A",IF(Table1[[#This Row],[Std Adj Read]]&lt;Table1[[#This Row],[High Tol]],"Pass","Fail"),IF(Table1[[#This Row],[DUT Adj Read]]&lt;Table1[[#This Row],[High Tol]],"Pass","Fail")))</f>
        <v>Fail</v>
      </c>
      <c r="AF2953" s="1" t="str">
        <f>IF(AND(Table1[[#This Row],[Spec Type2]]="N/A",Table1[[#This Row],[DUT Adj Read]]="N/A",Table1[[#This Row],[Std Adj Read]]="N/A"),"N/A",IF(Table1[[#This Row],[DUT Adj Read]]="N/A",IF(Table1[[#This Row],[Std Adj Read]]&gt;=Table1[[#This Row],[Low Tol]],"Pass","Fail"),IF(Table1[[#This Row],[DUT Adj Read]]&gt;=Table1[[#This Row],[Low Tol]],"Pass","Fail")))</f>
        <v>Pass</v>
      </c>
      <c r="AG2953" s="1" t="str">
        <f>IF(AND(Table1[[#This Row],[Spec Type2]]="N/A",Table1[[#This Row],[DUT Adj Read]]="N/A",Table1[[#This Row],[Std Adj Read]]="N/A"),"N/A",IF(Table1[[#This Row],[DUT Adj Read]]="N/A",IF(Table1[[#This Row],[Std Adj Read]]&lt;=Table1[[#This Row],[High Tol]],"Pass","Fail"),IF(Table1[[#This Row],[DUT Adj Read]]&lt;=Table1[[#This Row],[High Tol]],"Pass","Fail")))</f>
        <v>Fail</v>
      </c>
      <c r="AH29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3" s="1" t="b">
        <v>0</v>
      </c>
      <c r="AN2953" s="1" t="b">
        <v>0</v>
      </c>
      <c r="AO2953" s="1" t="b">
        <v>0</v>
      </c>
    </row>
    <row r="2954" spans="1:41" x14ac:dyDescent="0.25">
      <c r="A2954" s="10"/>
      <c r="B2954" s="10"/>
      <c r="C2954" s="10"/>
      <c r="D2954" s="10"/>
      <c r="E2954" s="10"/>
      <c r="F2954" s="10"/>
      <c r="G2954" s="10"/>
      <c r="H2954" s="10"/>
      <c r="I2954" s="1" t="str">
        <f t="shared" si="135"/>
        <v/>
      </c>
      <c r="J2954" s="1" t="s">
        <v>35</v>
      </c>
      <c r="K2954" s="1" t="str">
        <f t="shared" si="136"/>
        <v/>
      </c>
      <c r="L2954" s="1" t="str">
        <f t="shared" si="137"/>
        <v/>
      </c>
      <c r="M2954" s="1">
        <f>IF(OR(Table1[[#This Row],[Std Nom]]="",Table1[[#This Row],[Std Read]]=""),0,Table1[[#This Row],[Std Nom]]-Table1[[#This Row],[Std Read]])</f>
        <v>0</v>
      </c>
      <c r="N2954" s="1">
        <f>IF(Calculations!$F$5="ACCREDITED 17025 WITH UNCERTAINTIES",$N$10,0)</f>
        <v>0</v>
      </c>
      <c r="O2954" s="1" t="str">
        <f>IFERROR(Table1[[#This Row],[Std Nom]]-(_xlfn.XLOOKUP(Table1[[#This Row],[Manufacturer]]&amp;" "&amp;Table1[[#This Row],[Model]],Table13[MFR &amp; MDL],Table13[Tolerance % CW ],"")/100*Table1[[#This Row],[Std Nom]]),"")</f>
        <v/>
      </c>
      <c r="P2954" s="1" t="str">
        <f>IFERROR(Table1[[#This Row],[Std Nom]]+(_xlfn.XLOOKUP(Table1[[#This Row],[Manufacturer]]&amp;" "&amp;Table1[[#This Row],[Model]],Table13[MFR &amp; MDL],Table13[Tolerance % CW ],"")/100*Table1[[#This Row],[Std Nom]]),"")</f>
        <v/>
      </c>
      <c r="Q2954" s="1" t="e">
        <f>Table1[[#This Row],[High Tol]]-Table1[[#This Row],[Low Tol]]</f>
        <v>#VALUE!</v>
      </c>
      <c r="R2954" s="1">
        <f>2*Table1[[#This Row],[Std Error]]</f>
        <v>0</v>
      </c>
      <c r="S2954" s="1" t="str">
        <f>IF(Table1[[#This Row],[High Tol]]="","N/A",IFERROR(ABS(Table1[[#This Row],[Tol Span]]/Table1[[#This Row],[Error Span]]),"N/A"))</f>
        <v>N/A</v>
      </c>
      <c r="T2954" s="1" t="str">
        <f>IF(OR(Table1[[#This Row],[Low Tol]]="",Table1[[#This Row],[High Tol]]=""),"Needs Analysis",IF(Table1[[#This Row],[Ratio]]&gt;=4,"Not Significant",IF(Table1[[#This Row],[Ratio]]&gt;=2,"Semi-Significant","Significant")))</f>
        <v>Needs Analysis</v>
      </c>
      <c r="W2954" s="1">
        <f>IF(Table1[[#This Row],[Cal Type]]&lt;&gt;"ACCREDITED 17025 WITH UNCERTAINTIES",0,"")</f>
        <v>0</v>
      </c>
      <c r="X2954" s="1" t="str">
        <f>IF(Table1[[#This Row],[DUT Read]]="","N/A",Table1[[#This Row],[Std Error]]+Table1[[#This Row],[DUT Read]]+Table1[[#This Row],[DUT Ucty]])</f>
        <v>N/A</v>
      </c>
      <c r="Y2954" s="1" t="str">
        <f>IF(Table1[[#This Row],[Std Read]]="","N/A",Table1[[#This Row],[Std Read]]+Table1[[#This Row],[Std Ucty]])</f>
        <v>N/A</v>
      </c>
      <c r="Z29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4" s="1" t="str">
        <f>IF(Table1[[#This Row],[Spec Type]]="","N/A",Table1[[#This Row],[Spec Type]])</f>
        <v>±</v>
      </c>
      <c r="AC2954" s="1" t="str">
        <f>IF(Table1[[#This Row],[Spec Type2]]="N/A","N/A",IF(AND(Table1[[#This Row],[DUT Adj Read]]&gt;=Table1[[#This Row],[Low Tol]],Table1[[#This Row],[DUT Adj Read]]&lt;=Table1[[#This Row],[High Tol]]),"Pass","Fail"))</f>
        <v>Fail</v>
      </c>
      <c r="AD2954" s="1" t="str">
        <f>IF(AND(Table1[[#This Row],[Spec Type2]]="N/A",Table1[[#This Row],[DUT Adj Read]]="N/A",Table1[[#This Row],[Std Adj Read]]="N/A"),"N/A",IF(Table1[[#This Row],[DUT Adj Read]]="N/A",IF(Table1[[#This Row],[Std Adj Read]]&gt;Table1[[#This Row],[Low Tol]],"Pass","Fail"),IF(Table1[[#This Row],[DUT Adj Read]]&gt;Table1[[#This Row],[Low Tol]],"Pass","Fail")))</f>
        <v>Pass</v>
      </c>
      <c r="AE2954" s="1" t="str">
        <f>IF(AND(Table1[[#This Row],[Spec Type2]]="N/A",Table1[[#This Row],[DUT Adj Read]]="N/A",Table1[[#This Row],[Std Adj Read]]="N/A"),"N/A",IF(Table1[[#This Row],[DUT Adj Read]]="N/A",IF(Table1[[#This Row],[Std Adj Read]]&lt;Table1[[#This Row],[High Tol]],"Pass","Fail"),IF(Table1[[#This Row],[DUT Adj Read]]&lt;Table1[[#This Row],[High Tol]],"Pass","Fail")))</f>
        <v>Fail</v>
      </c>
      <c r="AF2954" s="1" t="str">
        <f>IF(AND(Table1[[#This Row],[Spec Type2]]="N/A",Table1[[#This Row],[DUT Adj Read]]="N/A",Table1[[#This Row],[Std Adj Read]]="N/A"),"N/A",IF(Table1[[#This Row],[DUT Adj Read]]="N/A",IF(Table1[[#This Row],[Std Adj Read]]&gt;=Table1[[#This Row],[Low Tol]],"Pass","Fail"),IF(Table1[[#This Row],[DUT Adj Read]]&gt;=Table1[[#This Row],[Low Tol]],"Pass","Fail")))</f>
        <v>Pass</v>
      </c>
      <c r="AG2954" s="1" t="str">
        <f>IF(AND(Table1[[#This Row],[Spec Type2]]="N/A",Table1[[#This Row],[DUT Adj Read]]="N/A",Table1[[#This Row],[Std Adj Read]]="N/A"),"N/A",IF(Table1[[#This Row],[DUT Adj Read]]="N/A",IF(Table1[[#This Row],[Std Adj Read]]&lt;=Table1[[#This Row],[High Tol]],"Pass","Fail"),IF(Table1[[#This Row],[DUT Adj Read]]&lt;=Table1[[#This Row],[High Tol]],"Pass","Fail")))</f>
        <v>Fail</v>
      </c>
      <c r="AH29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4" s="1" t="b">
        <v>0</v>
      </c>
      <c r="AN2954" s="1" t="b">
        <v>0</v>
      </c>
      <c r="AO2954" s="1" t="b">
        <v>0</v>
      </c>
    </row>
    <row r="2955" spans="1:41" x14ac:dyDescent="0.25">
      <c r="A2955" s="10"/>
      <c r="B2955" s="10"/>
      <c r="C2955" s="10"/>
      <c r="D2955" s="10"/>
      <c r="E2955" s="10"/>
      <c r="F2955" s="10"/>
      <c r="G2955" s="10"/>
      <c r="H2955" s="10"/>
      <c r="I2955" s="1" t="str">
        <f t="shared" ref="I2955:I3006" si="138">IF($I$10="","",$I$10)</f>
        <v/>
      </c>
      <c r="J2955" s="1" t="s">
        <v>35</v>
      </c>
      <c r="K2955" s="1" t="str">
        <f t="shared" ref="K2955:K3006" si="139">IF($K$10="","",$K$10)</f>
        <v/>
      </c>
      <c r="L2955" s="1" t="str">
        <f t="shared" ref="L2955:L3006" si="140">IF($L$10="","",$L$10)</f>
        <v/>
      </c>
      <c r="M2955" s="1">
        <f>IF(OR(Table1[[#This Row],[Std Nom]]="",Table1[[#This Row],[Std Read]]=""),0,Table1[[#This Row],[Std Nom]]-Table1[[#This Row],[Std Read]])</f>
        <v>0</v>
      </c>
      <c r="N2955" s="1">
        <f>IF(Calculations!$F$5="ACCREDITED 17025 WITH UNCERTAINTIES",$N$10,0)</f>
        <v>0</v>
      </c>
      <c r="O2955" s="1" t="str">
        <f>IFERROR(Table1[[#This Row],[Std Nom]]-(_xlfn.XLOOKUP(Table1[[#This Row],[Manufacturer]]&amp;" "&amp;Table1[[#This Row],[Model]],Table13[MFR &amp; MDL],Table13[Tolerance % CW ],"")/100*Table1[[#This Row],[Std Nom]]),"")</f>
        <v/>
      </c>
      <c r="P2955" s="1" t="str">
        <f>IFERROR(Table1[[#This Row],[Std Nom]]+(_xlfn.XLOOKUP(Table1[[#This Row],[Manufacturer]]&amp;" "&amp;Table1[[#This Row],[Model]],Table13[MFR &amp; MDL],Table13[Tolerance % CW ],"")/100*Table1[[#This Row],[Std Nom]]),"")</f>
        <v/>
      </c>
      <c r="Q2955" s="1" t="e">
        <f>Table1[[#This Row],[High Tol]]-Table1[[#This Row],[Low Tol]]</f>
        <v>#VALUE!</v>
      </c>
      <c r="R2955" s="1">
        <f>2*Table1[[#This Row],[Std Error]]</f>
        <v>0</v>
      </c>
      <c r="S2955" s="1" t="str">
        <f>IF(Table1[[#This Row],[High Tol]]="","N/A",IFERROR(ABS(Table1[[#This Row],[Tol Span]]/Table1[[#This Row],[Error Span]]),"N/A"))</f>
        <v>N/A</v>
      </c>
      <c r="T2955" s="1" t="str">
        <f>IF(OR(Table1[[#This Row],[Low Tol]]="",Table1[[#This Row],[High Tol]]=""),"Needs Analysis",IF(Table1[[#This Row],[Ratio]]&gt;=4,"Not Significant",IF(Table1[[#This Row],[Ratio]]&gt;=2,"Semi-Significant","Significant")))</f>
        <v>Needs Analysis</v>
      </c>
      <c r="W2955" s="1">
        <f>IF(Table1[[#This Row],[Cal Type]]&lt;&gt;"ACCREDITED 17025 WITH UNCERTAINTIES",0,"")</f>
        <v>0</v>
      </c>
      <c r="X2955" s="1" t="str">
        <f>IF(Table1[[#This Row],[DUT Read]]="","N/A",Table1[[#This Row],[Std Error]]+Table1[[#This Row],[DUT Read]]+Table1[[#This Row],[DUT Ucty]])</f>
        <v>N/A</v>
      </c>
      <c r="Y2955" s="1" t="str">
        <f>IF(Table1[[#This Row],[Std Read]]="","N/A",Table1[[#This Row],[Std Read]]+Table1[[#This Row],[Std Ucty]])</f>
        <v>N/A</v>
      </c>
      <c r="Z29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5" s="1" t="str">
        <f>IF(Table1[[#This Row],[Spec Type]]="","N/A",Table1[[#This Row],[Spec Type]])</f>
        <v>±</v>
      </c>
      <c r="AC2955" s="1" t="str">
        <f>IF(Table1[[#This Row],[Spec Type2]]="N/A","N/A",IF(AND(Table1[[#This Row],[DUT Adj Read]]&gt;=Table1[[#This Row],[Low Tol]],Table1[[#This Row],[DUT Adj Read]]&lt;=Table1[[#This Row],[High Tol]]),"Pass","Fail"))</f>
        <v>Fail</v>
      </c>
      <c r="AD2955" s="1" t="str">
        <f>IF(AND(Table1[[#This Row],[Spec Type2]]="N/A",Table1[[#This Row],[DUT Adj Read]]="N/A",Table1[[#This Row],[Std Adj Read]]="N/A"),"N/A",IF(Table1[[#This Row],[DUT Adj Read]]="N/A",IF(Table1[[#This Row],[Std Adj Read]]&gt;Table1[[#This Row],[Low Tol]],"Pass","Fail"),IF(Table1[[#This Row],[DUT Adj Read]]&gt;Table1[[#This Row],[Low Tol]],"Pass","Fail")))</f>
        <v>Pass</v>
      </c>
      <c r="AE2955" s="1" t="str">
        <f>IF(AND(Table1[[#This Row],[Spec Type2]]="N/A",Table1[[#This Row],[DUT Adj Read]]="N/A",Table1[[#This Row],[Std Adj Read]]="N/A"),"N/A",IF(Table1[[#This Row],[DUT Adj Read]]="N/A",IF(Table1[[#This Row],[Std Adj Read]]&lt;Table1[[#This Row],[High Tol]],"Pass","Fail"),IF(Table1[[#This Row],[DUT Adj Read]]&lt;Table1[[#This Row],[High Tol]],"Pass","Fail")))</f>
        <v>Fail</v>
      </c>
      <c r="AF2955" s="1" t="str">
        <f>IF(AND(Table1[[#This Row],[Spec Type2]]="N/A",Table1[[#This Row],[DUT Adj Read]]="N/A",Table1[[#This Row],[Std Adj Read]]="N/A"),"N/A",IF(Table1[[#This Row],[DUT Adj Read]]="N/A",IF(Table1[[#This Row],[Std Adj Read]]&gt;=Table1[[#This Row],[Low Tol]],"Pass","Fail"),IF(Table1[[#This Row],[DUT Adj Read]]&gt;=Table1[[#This Row],[Low Tol]],"Pass","Fail")))</f>
        <v>Pass</v>
      </c>
      <c r="AG2955" s="1" t="str">
        <f>IF(AND(Table1[[#This Row],[Spec Type2]]="N/A",Table1[[#This Row],[DUT Adj Read]]="N/A",Table1[[#This Row],[Std Adj Read]]="N/A"),"N/A",IF(Table1[[#This Row],[DUT Adj Read]]="N/A",IF(Table1[[#This Row],[Std Adj Read]]&lt;=Table1[[#This Row],[High Tol]],"Pass","Fail"),IF(Table1[[#This Row],[DUT Adj Read]]&lt;=Table1[[#This Row],[High Tol]],"Pass","Fail")))</f>
        <v>Fail</v>
      </c>
      <c r="AH29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5" s="1" t="b">
        <v>0</v>
      </c>
      <c r="AN2955" s="1" t="b">
        <v>0</v>
      </c>
      <c r="AO2955" s="1" t="b">
        <v>0</v>
      </c>
    </row>
    <row r="2956" spans="1:41" x14ac:dyDescent="0.25">
      <c r="A2956" s="10"/>
      <c r="B2956" s="10"/>
      <c r="C2956" s="10"/>
      <c r="D2956" s="10"/>
      <c r="E2956" s="10"/>
      <c r="F2956" s="10"/>
      <c r="G2956" s="10"/>
      <c r="H2956" s="10"/>
      <c r="I2956" s="1" t="str">
        <f t="shared" si="138"/>
        <v/>
      </c>
      <c r="J2956" s="1" t="s">
        <v>35</v>
      </c>
      <c r="K2956" s="1" t="str">
        <f t="shared" si="139"/>
        <v/>
      </c>
      <c r="L2956" s="1" t="str">
        <f t="shared" si="140"/>
        <v/>
      </c>
      <c r="M2956" s="1">
        <f>IF(OR(Table1[[#This Row],[Std Nom]]="",Table1[[#This Row],[Std Read]]=""),0,Table1[[#This Row],[Std Nom]]-Table1[[#This Row],[Std Read]])</f>
        <v>0</v>
      </c>
      <c r="N2956" s="1">
        <f>IF(Calculations!$F$5="ACCREDITED 17025 WITH UNCERTAINTIES",$N$10,0)</f>
        <v>0</v>
      </c>
      <c r="O2956" s="1" t="str">
        <f>IFERROR(Table1[[#This Row],[Std Nom]]-(_xlfn.XLOOKUP(Table1[[#This Row],[Manufacturer]]&amp;" "&amp;Table1[[#This Row],[Model]],Table13[MFR &amp; MDL],Table13[Tolerance % CW ],"")/100*Table1[[#This Row],[Std Nom]]),"")</f>
        <v/>
      </c>
      <c r="P2956" s="1" t="str">
        <f>IFERROR(Table1[[#This Row],[Std Nom]]+(_xlfn.XLOOKUP(Table1[[#This Row],[Manufacturer]]&amp;" "&amp;Table1[[#This Row],[Model]],Table13[MFR &amp; MDL],Table13[Tolerance % CW ],"")/100*Table1[[#This Row],[Std Nom]]),"")</f>
        <v/>
      </c>
      <c r="Q2956" s="1" t="e">
        <f>Table1[[#This Row],[High Tol]]-Table1[[#This Row],[Low Tol]]</f>
        <v>#VALUE!</v>
      </c>
      <c r="R2956" s="1">
        <f>2*Table1[[#This Row],[Std Error]]</f>
        <v>0</v>
      </c>
      <c r="S2956" s="1" t="str">
        <f>IF(Table1[[#This Row],[High Tol]]="","N/A",IFERROR(ABS(Table1[[#This Row],[Tol Span]]/Table1[[#This Row],[Error Span]]),"N/A"))</f>
        <v>N/A</v>
      </c>
      <c r="T2956" s="1" t="str">
        <f>IF(OR(Table1[[#This Row],[Low Tol]]="",Table1[[#This Row],[High Tol]]=""),"Needs Analysis",IF(Table1[[#This Row],[Ratio]]&gt;=4,"Not Significant",IF(Table1[[#This Row],[Ratio]]&gt;=2,"Semi-Significant","Significant")))</f>
        <v>Needs Analysis</v>
      </c>
      <c r="W2956" s="1">
        <f>IF(Table1[[#This Row],[Cal Type]]&lt;&gt;"ACCREDITED 17025 WITH UNCERTAINTIES",0,"")</f>
        <v>0</v>
      </c>
      <c r="X2956" s="1" t="str">
        <f>IF(Table1[[#This Row],[DUT Read]]="","N/A",Table1[[#This Row],[Std Error]]+Table1[[#This Row],[DUT Read]]+Table1[[#This Row],[DUT Ucty]])</f>
        <v>N/A</v>
      </c>
      <c r="Y2956" s="1" t="str">
        <f>IF(Table1[[#This Row],[Std Read]]="","N/A",Table1[[#This Row],[Std Read]]+Table1[[#This Row],[Std Ucty]])</f>
        <v>N/A</v>
      </c>
      <c r="Z29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6" s="1" t="str">
        <f>IF(Table1[[#This Row],[Spec Type]]="","N/A",Table1[[#This Row],[Spec Type]])</f>
        <v>±</v>
      </c>
      <c r="AC2956" s="1" t="str">
        <f>IF(Table1[[#This Row],[Spec Type2]]="N/A","N/A",IF(AND(Table1[[#This Row],[DUT Adj Read]]&gt;=Table1[[#This Row],[Low Tol]],Table1[[#This Row],[DUT Adj Read]]&lt;=Table1[[#This Row],[High Tol]]),"Pass","Fail"))</f>
        <v>Fail</v>
      </c>
      <c r="AD2956" s="1" t="str">
        <f>IF(AND(Table1[[#This Row],[Spec Type2]]="N/A",Table1[[#This Row],[DUT Adj Read]]="N/A",Table1[[#This Row],[Std Adj Read]]="N/A"),"N/A",IF(Table1[[#This Row],[DUT Adj Read]]="N/A",IF(Table1[[#This Row],[Std Adj Read]]&gt;Table1[[#This Row],[Low Tol]],"Pass","Fail"),IF(Table1[[#This Row],[DUT Adj Read]]&gt;Table1[[#This Row],[Low Tol]],"Pass","Fail")))</f>
        <v>Pass</v>
      </c>
      <c r="AE2956" s="1" t="str">
        <f>IF(AND(Table1[[#This Row],[Spec Type2]]="N/A",Table1[[#This Row],[DUT Adj Read]]="N/A",Table1[[#This Row],[Std Adj Read]]="N/A"),"N/A",IF(Table1[[#This Row],[DUT Adj Read]]="N/A",IF(Table1[[#This Row],[Std Adj Read]]&lt;Table1[[#This Row],[High Tol]],"Pass","Fail"),IF(Table1[[#This Row],[DUT Adj Read]]&lt;Table1[[#This Row],[High Tol]],"Pass","Fail")))</f>
        <v>Fail</v>
      </c>
      <c r="AF2956" s="1" t="str">
        <f>IF(AND(Table1[[#This Row],[Spec Type2]]="N/A",Table1[[#This Row],[DUT Adj Read]]="N/A",Table1[[#This Row],[Std Adj Read]]="N/A"),"N/A",IF(Table1[[#This Row],[DUT Adj Read]]="N/A",IF(Table1[[#This Row],[Std Adj Read]]&gt;=Table1[[#This Row],[Low Tol]],"Pass","Fail"),IF(Table1[[#This Row],[DUT Adj Read]]&gt;=Table1[[#This Row],[Low Tol]],"Pass","Fail")))</f>
        <v>Pass</v>
      </c>
      <c r="AG2956" s="1" t="str">
        <f>IF(AND(Table1[[#This Row],[Spec Type2]]="N/A",Table1[[#This Row],[DUT Adj Read]]="N/A",Table1[[#This Row],[Std Adj Read]]="N/A"),"N/A",IF(Table1[[#This Row],[DUT Adj Read]]="N/A",IF(Table1[[#This Row],[Std Adj Read]]&lt;=Table1[[#This Row],[High Tol]],"Pass","Fail"),IF(Table1[[#This Row],[DUT Adj Read]]&lt;=Table1[[#This Row],[High Tol]],"Pass","Fail")))</f>
        <v>Fail</v>
      </c>
      <c r="AH29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6" s="1" t="b">
        <v>0</v>
      </c>
      <c r="AN2956" s="1" t="b">
        <v>0</v>
      </c>
      <c r="AO2956" s="1" t="b">
        <v>0</v>
      </c>
    </row>
    <row r="2957" spans="1:41" x14ac:dyDescent="0.25">
      <c r="A2957" s="10"/>
      <c r="B2957" s="10"/>
      <c r="C2957" s="10"/>
      <c r="D2957" s="10"/>
      <c r="E2957" s="10"/>
      <c r="F2957" s="10"/>
      <c r="G2957" s="10"/>
      <c r="H2957" s="10"/>
      <c r="I2957" s="1" t="str">
        <f t="shared" si="138"/>
        <v/>
      </c>
      <c r="J2957" s="1" t="s">
        <v>35</v>
      </c>
      <c r="K2957" s="1" t="str">
        <f t="shared" si="139"/>
        <v/>
      </c>
      <c r="L2957" s="1" t="str">
        <f t="shared" si="140"/>
        <v/>
      </c>
      <c r="M2957" s="1">
        <f>IF(OR(Table1[[#This Row],[Std Nom]]="",Table1[[#This Row],[Std Read]]=""),0,Table1[[#This Row],[Std Nom]]-Table1[[#This Row],[Std Read]])</f>
        <v>0</v>
      </c>
      <c r="N2957" s="1">
        <f>IF(Calculations!$F$5="ACCREDITED 17025 WITH UNCERTAINTIES",$N$10,0)</f>
        <v>0</v>
      </c>
      <c r="O2957" s="1" t="str">
        <f>IFERROR(Table1[[#This Row],[Std Nom]]-(_xlfn.XLOOKUP(Table1[[#This Row],[Manufacturer]]&amp;" "&amp;Table1[[#This Row],[Model]],Table13[MFR &amp; MDL],Table13[Tolerance % CW ],"")/100*Table1[[#This Row],[Std Nom]]),"")</f>
        <v/>
      </c>
      <c r="P2957" s="1" t="str">
        <f>IFERROR(Table1[[#This Row],[Std Nom]]+(_xlfn.XLOOKUP(Table1[[#This Row],[Manufacturer]]&amp;" "&amp;Table1[[#This Row],[Model]],Table13[MFR &amp; MDL],Table13[Tolerance % CW ],"")/100*Table1[[#This Row],[Std Nom]]),"")</f>
        <v/>
      </c>
      <c r="Q2957" s="1" t="e">
        <f>Table1[[#This Row],[High Tol]]-Table1[[#This Row],[Low Tol]]</f>
        <v>#VALUE!</v>
      </c>
      <c r="R2957" s="1">
        <f>2*Table1[[#This Row],[Std Error]]</f>
        <v>0</v>
      </c>
      <c r="S2957" s="1" t="str">
        <f>IF(Table1[[#This Row],[High Tol]]="","N/A",IFERROR(ABS(Table1[[#This Row],[Tol Span]]/Table1[[#This Row],[Error Span]]),"N/A"))</f>
        <v>N/A</v>
      </c>
      <c r="T2957" s="1" t="str">
        <f>IF(OR(Table1[[#This Row],[Low Tol]]="",Table1[[#This Row],[High Tol]]=""),"Needs Analysis",IF(Table1[[#This Row],[Ratio]]&gt;=4,"Not Significant",IF(Table1[[#This Row],[Ratio]]&gt;=2,"Semi-Significant","Significant")))</f>
        <v>Needs Analysis</v>
      </c>
      <c r="W2957" s="1">
        <f>IF(Table1[[#This Row],[Cal Type]]&lt;&gt;"ACCREDITED 17025 WITH UNCERTAINTIES",0,"")</f>
        <v>0</v>
      </c>
      <c r="X2957" s="1" t="str">
        <f>IF(Table1[[#This Row],[DUT Read]]="","N/A",Table1[[#This Row],[Std Error]]+Table1[[#This Row],[DUT Read]]+Table1[[#This Row],[DUT Ucty]])</f>
        <v>N/A</v>
      </c>
      <c r="Y2957" s="1" t="str">
        <f>IF(Table1[[#This Row],[Std Read]]="","N/A",Table1[[#This Row],[Std Read]]+Table1[[#This Row],[Std Ucty]])</f>
        <v>N/A</v>
      </c>
      <c r="Z29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7" s="1" t="str">
        <f>IF(Table1[[#This Row],[Spec Type]]="","N/A",Table1[[#This Row],[Spec Type]])</f>
        <v>±</v>
      </c>
      <c r="AC2957" s="1" t="str">
        <f>IF(Table1[[#This Row],[Spec Type2]]="N/A","N/A",IF(AND(Table1[[#This Row],[DUT Adj Read]]&gt;=Table1[[#This Row],[Low Tol]],Table1[[#This Row],[DUT Adj Read]]&lt;=Table1[[#This Row],[High Tol]]),"Pass","Fail"))</f>
        <v>Fail</v>
      </c>
      <c r="AD2957" s="1" t="str">
        <f>IF(AND(Table1[[#This Row],[Spec Type2]]="N/A",Table1[[#This Row],[DUT Adj Read]]="N/A",Table1[[#This Row],[Std Adj Read]]="N/A"),"N/A",IF(Table1[[#This Row],[DUT Adj Read]]="N/A",IF(Table1[[#This Row],[Std Adj Read]]&gt;Table1[[#This Row],[Low Tol]],"Pass","Fail"),IF(Table1[[#This Row],[DUT Adj Read]]&gt;Table1[[#This Row],[Low Tol]],"Pass","Fail")))</f>
        <v>Pass</v>
      </c>
      <c r="AE2957" s="1" t="str">
        <f>IF(AND(Table1[[#This Row],[Spec Type2]]="N/A",Table1[[#This Row],[DUT Adj Read]]="N/A",Table1[[#This Row],[Std Adj Read]]="N/A"),"N/A",IF(Table1[[#This Row],[DUT Adj Read]]="N/A",IF(Table1[[#This Row],[Std Adj Read]]&lt;Table1[[#This Row],[High Tol]],"Pass","Fail"),IF(Table1[[#This Row],[DUT Adj Read]]&lt;Table1[[#This Row],[High Tol]],"Pass","Fail")))</f>
        <v>Fail</v>
      </c>
      <c r="AF2957" s="1" t="str">
        <f>IF(AND(Table1[[#This Row],[Spec Type2]]="N/A",Table1[[#This Row],[DUT Adj Read]]="N/A",Table1[[#This Row],[Std Adj Read]]="N/A"),"N/A",IF(Table1[[#This Row],[DUT Adj Read]]="N/A",IF(Table1[[#This Row],[Std Adj Read]]&gt;=Table1[[#This Row],[Low Tol]],"Pass","Fail"),IF(Table1[[#This Row],[DUT Adj Read]]&gt;=Table1[[#This Row],[Low Tol]],"Pass","Fail")))</f>
        <v>Pass</v>
      </c>
      <c r="AG2957" s="1" t="str">
        <f>IF(AND(Table1[[#This Row],[Spec Type2]]="N/A",Table1[[#This Row],[DUT Adj Read]]="N/A",Table1[[#This Row],[Std Adj Read]]="N/A"),"N/A",IF(Table1[[#This Row],[DUT Adj Read]]="N/A",IF(Table1[[#This Row],[Std Adj Read]]&lt;=Table1[[#This Row],[High Tol]],"Pass","Fail"),IF(Table1[[#This Row],[DUT Adj Read]]&lt;=Table1[[#This Row],[High Tol]],"Pass","Fail")))</f>
        <v>Fail</v>
      </c>
      <c r="AH29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7" s="1" t="b">
        <v>0</v>
      </c>
      <c r="AN2957" s="1" t="b">
        <v>0</v>
      </c>
      <c r="AO2957" s="1" t="b">
        <v>0</v>
      </c>
    </row>
    <row r="2958" spans="1:41" x14ac:dyDescent="0.25">
      <c r="A2958" s="10"/>
      <c r="B2958" s="10"/>
      <c r="C2958" s="10"/>
      <c r="D2958" s="10"/>
      <c r="E2958" s="10"/>
      <c r="F2958" s="10"/>
      <c r="G2958" s="10"/>
      <c r="H2958" s="10"/>
      <c r="I2958" s="1" t="str">
        <f t="shared" si="138"/>
        <v/>
      </c>
      <c r="J2958" s="1" t="s">
        <v>35</v>
      </c>
      <c r="K2958" s="1" t="str">
        <f t="shared" si="139"/>
        <v/>
      </c>
      <c r="L2958" s="1" t="str">
        <f t="shared" si="140"/>
        <v/>
      </c>
      <c r="M2958" s="1">
        <f>IF(OR(Table1[[#This Row],[Std Nom]]="",Table1[[#This Row],[Std Read]]=""),0,Table1[[#This Row],[Std Nom]]-Table1[[#This Row],[Std Read]])</f>
        <v>0</v>
      </c>
      <c r="N2958" s="1">
        <f>IF(Calculations!$F$5="ACCREDITED 17025 WITH UNCERTAINTIES",$N$10,0)</f>
        <v>0</v>
      </c>
      <c r="O2958" s="1" t="str">
        <f>IFERROR(Table1[[#This Row],[Std Nom]]-(_xlfn.XLOOKUP(Table1[[#This Row],[Manufacturer]]&amp;" "&amp;Table1[[#This Row],[Model]],Table13[MFR &amp; MDL],Table13[Tolerance % CW ],"")/100*Table1[[#This Row],[Std Nom]]),"")</f>
        <v/>
      </c>
      <c r="P2958" s="1" t="str">
        <f>IFERROR(Table1[[#This Row],[Std Nom]]+(_xlfn.XLOOKUP(Table1[[#This Row],[Manufacturer]]&amp;" "&amp;Table1[[#This Row],[Model]],Table13[MFR &amp; MDL],Table13[Tolerance % CW ],"")/100*Table1[[#This Row],[Std Nom]]),"")</f>
        <v/>
      </c>
      <c r="Q2958" s="1" t="e">
        <f>Table1[[#This Row],[High Tol]]-Table1[[#This Row],[Low Tol]]</f>
        <v>#VALUE!</v>
      </c>
      <c r="R2958" s="1">
        <f>2*Table1[[#This Row],[Std Error]]</f>
        <v>0</v>
      </c>
      <c r="S2958" s="1" t="str">
        <f>IF(Table1[[#This Row],[High Tol]]="","N/A",IFERROR(ABS(Table1[[#This Row],[Tol Span]]/Table1[[#This Row],[Error Span]]),"N/A"))</f>
        <v>N/A</v>
      </c>
      <c r="T2958" s="1" t="str">
        <f>IF(OR(Table1[[#This Row],[Low Tol]]="",Table1[[#This Row],[High Tol]]=""),"Needs Analysis",IF(Table1[[#This Row],[Ratio]]&gt;=4,"Not Significant",IF(Table1[[#This Row],[Ratio]]&gt;=2,"Semi-Significant","Significant")))</f>
        <v>Needs Analysis</v>
      </c>
      <c r="W2958" s="1">
        <f>IF(Table1[[#This Row],[Cal Type]]&lt;&gt;"ACCREDITED 17025 WITH UNCERTAINTIES",0,"")</f>
        <v>0</v>
      </c>
      <c r="X2958" s="1" t="str">
        <f>IF(Table1[[#This Row],[DUT Read]]="","N/A",Table1[[#This Row],[Std Error]]+Table1[[#This Row],[DUT Read]]+Table1[[#This Row],[DUT Ucty]])</f>
        <v>N/A</v>
      </c>
      <c r="Y2958" s="1" t="str">
        <f>IF(Table1[[#This Row],[Std Read]]="","N/A",Table1[[#This Row],[Std Read]]+Table1[[#This Row],[Std Ucty]])</f>
        <v>N/A</v>
      </c>
      <c r="Z29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8" s="1" t="str">
        <f>IF(Table1[[#This Row],[Spec Type]]="","N/A",Table1[[#This Row],[Spec Type]])</f>
        <v>±</v>
      </c>
      <c r="AC2958" s="1" t="str">
        <f>IF(Table1[[#This Row],[Spec Type2]]="N/A","N/A",IF(AND(Table1[[#This Row],[DUT Adj Read]]&gt;=Table1[[#This Row],[Low Tol]],Table1[[#This Row],[DUT Adj Read]]&lt;=Table1[[#This Row],[High Tol]]),"Pass","Fail"))</f>
        <v>Fail</v>
      </c>
      <c r="AD2958" s="1" t="str">
        <f>IF(AND(Table1[[#This Row],[Spec Type2]]="N/A",Table1[[#This Row],[DUT Adj Read]]="N/A",Table1[[#This Row],[Std Adj Read]]="N/A"),"N/A",IF(Table1[[#This Row],[DUT Adj Read]]="N/A",IF(Table1[[#This Row],[Std Adj Read]]&gt;Table1[[#This Row],[Low Tol]],"Pass","Fail"),IF(Table1[[#This Row],[DUT Adj Read]]&gt;Table1[[#This Row],[Low Tol]],"Pass","Fail")))</f>
        <v>Pass</v>
      </c>
      <c r="AE2958" s="1" t="str">
        <f>IF(AND(Table1[[#This Row],[Spec Type2]]="N/A",Table1[[#This Row],[DUT Adj Read]]="N/A",Table1[[#This Row],[Std Adj Read]]="N/A"),"N/A",IF(Table1[[#This Row],[DUT Adj Read]]="N/A",IF(Table1[[#This Row],[Std Adj Read]]&lt;Table1[[#This Row],[High Tol]],"Pass","Fail"),IF(Table1[[#This Row],[DUT Adj Read]]&lt;Table1[[#This Row],[High Tol]],"Pass","Fail")))</f>
        <v>Fail</v>
      </c>
      <c r="AF2958" s="1" t="str">
        <f>IF(AND(Table1[[#This Row],[Spec Type2]]="N/A",Table1[[#This Row],[DUT Adj Read]]="N/A",Table1[[#This Row],[Std Adj Read]]="N/A"),"N/A",IF(Table1[[#This Row],[DUT Adj Read]]="N/A",IF(Table1[[#This Row],[Std Adj Read]]&gt;=Table1[[#This Row],[Low Tol]],"Pass","Fail"),IF(Table1[[#This Row],[DUT Adj Read]]&gt;=Table1[[#This Row],[Low Tol]],"Pass","Fail")))</f>
        <v>Pass</v>
      </c>
      <c r="AG2958" s="1" t="str">
        <f>IF(AND(Table1[[#This Row],[Spec Type2]]="N/A",Table1[[#This Row],[DUT Adj Read]]="N/A",Table1[[#This Row],[Std Adj Read]]="N/A"),"N/A",IF(Table1[[#This Row],[DUT Adj Read]]="N/A",IF(Table1[[#This Row],[Std Adj Read]]&lt;=Table1[[#This Row],[High Tol]],"Pass","Fail"),IF(Table1[[#This Row],[DUT Adj Read]]&lt;=Table1[[#This Row],[High Tol]],"Pass","Fail")))</f>
        <v>Fail</v>
      </c>
      <c r="AH29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8" s="1" t="b">
        <v>0</v>
      </c>
      <c r="AN2958" s="1" t="b">
        <v>0</v>
      </c>
      <c r="AO2958" s="1" t="b">
        <v>0</v>
      </c>
    </row>
    <row r="2959" spans="1:41" x14ac:dyDescent="0.25">
      <c r="A2959" s="10"/>
      <c r="B2959" s="10"/>
      <c r="C2959" s="10"/>
      <c r="D2959" s="10"/>
      <c r="E2959" s="10"/>
      <c r="F2959" s="10"/>
      <c r="G2959" s="10"/>
      <c r="H2959" s="10"/>
      <c r="I2959" s="1" t="str">
        <f t="shared" si="138"/>
        <v/>
      </c>
      <c r="J2959" s="1" t="s">
        <v>35</v>
      </c>
      <c r="K2959" s="1" t="str">
        <f t="shared" si="139"/>
        <v/>
      </c>
      <c r="L2959" s="1" t="str">
        <f t="shared" si="140"/>
        <v/>
      </c>
      <c r="M2959" s="1">
        <f>IF(OR(Table1[[#This Row],[Std Nom]]="",Table1[[#This Row],[Std Read]]=""),0,Table1[[#This Row],[Std Nom]]-Table1[[#This Row],[Std Read]])</f>
        <v>0</v>
      </c>
      <c r="N2959" s="1">
        <f>IF(Calculations!$F$5="ACCREDITED 17025 WITH UNCERTAINTIES",$N$10,0)</f>
        <v>0</v>
      </c>
      <c r="O2959" s="1" t="str">
        <f>IFERROR(Table1[[#This Row],[Std Nom]]-(_xlfn.XLOOKUP(Table1[[#This Row],[Manufacturer]]&amp;" "&amp;Table1[[#This Row],[Model]],Table13[MFR &amp; MDL],Table13[Tolerance % CW ],"")/100*Table1[[#This Row],[Std Nom]]),"")</f>
        <v/>
      </c>
      <c r="P2959" s="1" t="str">
        <f>IFERROR(Table1[[#This Row],[Std Nom]]+(_xlfn.XLOOKUP(Table1[[#This Row],[Manufacturer]]&amp;" "&amp;Table1[[#This Row],[Model]],Table13[MFR &amp; MDL],Table13[Tolerance % CW ],"")/100*Table1[[#This Row],[Std Nom]]),"")</f>
        <v/>
      </c>
      <c r="Q2959" s="1" t="e">
        <f>Table1[[#This Row],[High Tol]]-Table1[[#This Row],[Low Tol]]</f>
        <v>#VALUE!</v>
      </c>
      <c r="R2959" s="1">
        <f>2*Table1[[#This Row],[Std Error]]</f>
        <v>0</v>
      </c>
      <c r="S2959" s="1" t="str">
        <f>IF(Table1[[#This Row],[High Tol]]="","N/A",IFERROR(ABS(Table1[[#This Row],[Tol Span]]/Table1[[#This Row],[Error Span]]),"N/A"))</f>
        <v>N/A</v>
      </c>
      <c r="T2959" s="1" t="str">
        <f>IF(OR(Table1[[#This Row],[Low Tol]]="",Table1[[#This Row],[High Tol]]=""),"Needs Analysis",IF(Table1[[#This Row],[Ratio]]&gt;=4,"Not Significant",IF(Table1[[#This Row],[Ratio]]&gt;=2,"Semi-Significant","Significant")))</f>
        <v>Needs Analysis</v>
      </c>
      <c r="W2959" s="1">
        <f>IF(Table1[[#This Row],[Cal Type]]&lt;&gt;"ACCREDITED 17025 WITH UNCERTAINTIES",0,"")</f>
        <v>0</v>
      </c>
      <c r="X2959" s="1" t="str">
        <f>IF(Table1[[#This Row],[DUT Read]]="","N/A",Table1[[#This Row],[Std Error]]+Table1[[#This Row],[DUT Read]]+Table1[[#This Row],[DUT Ucty]])</f>
        <v>N/A</v>
      </c>
      <c r="Y2959" s="1" t="str">
        <f>IF(Table1[[#This Row],[Std Read]]="","N/A",Table1[[#This Row],[Std Read]]+Table1[[#This Row],[Std Ucty]])</f>
        <v>N/A</v>
      </c>
      <c r="Z29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9" s="1" t="str">
        <f>IF(Table1[[#This Row],[Spec Type]]="","N/A",Table1[[#This Row],[Spec Type]])</f>
        <v>±</v>
      </c>
      <c r="AC2959" s="1" t="str">
        <f>IF(Table1[[#This Row],[Spec Type2]]="N/A","N/A",IF(AND(Table1[[#This Row],[DUT Adj Read]]&gt;=Table1[[#This Row],[Low Tol]],Table1[[#This Row],[DUT Adj Read]]&lt;=Table1[[#This Row],[High Tol]]),"Pass","Fail"))</f>
        <v>Fail</v>
      </c>
      <c r="AD2959" s="1" t="str">
        <f>IF(AND(Table1[[#This Row],[Spec Type2]]="N/A",Table1[[#This Row],[DUT Adj Read]]="N/A",Table1[[#This Row],[Std Adj Read]]="N/A"),"N/A",IF(Table1[[#This Row],[DUT Adj Read]]="N/A",IF(Table1[[#This Row],[Std Adj Read]]&gt;Table1[[#This Row],[Low Tol]],"Pass","Fail"),IF(Table1[[#This Row],[DUT Adj Read]]&gt;Table1[[#This Row],[Low Tol]],"Pass","Fail")))</f>
        <v>Pass</v>
      </c>
      <c r="AE2959" s="1" t="str">
        <f>IF(AND(Table1[[#This Row],[Spec Type2]]="N/A",Table1[[#This Row],[DUT Adj Read]]="N/A",Table1[[#This Row],[Std Adj Read]]="N/A"),"N/A",IF(Table1[[#This Row],[DUT Adj Read]]="N/A",IF(Table1[[#This Row],[Std Adj Read]]&lt;Table1[[#This Row],[High Tol]],"Pass","Fail"),IF(Table1[[#This Row],[DUT Adj Read]]&lt;Table1[[#This Row],[High Tol]],"Pass","Fail")))</f>
        <v>Fail</v>
      </c>
      <c r="AF2959" s="1" t="str">
        <f>IF(AND(Table1[[#This Row],[Spec Type2]]="N/A",Table1[[#This Row],[DUT Adj Read]]="N/A",Table1[[#This Row],[Std Adj Read]]="N/A"),"N/A",IF(Table1[[#This Row],[DUT Adj Read]]="N/A",IF(Table1[[#This Row],[Std Adj Read]]&gt;=Table1[[#This Row],[Low Tol]],"Pass","Fail"),IF(Table1[[#This Row],[DUT Adj Read]]&gt;=Table1[[#This Row],[Low Tol]],"Pass","Fail")))</f>
        <v>Pass</v>
      </c>
      <c r="AG2959" s="1" t="str">
        <f>IF(AND(Table1[[#This Row],[Spec Type2]]="N/A",Table1[[#This Row],[DUT Adj Read]]="N/A",Table1[[#This Row],[Std Adj Read]]="N/A"),"N/A",IF(Table1[[#This Row],[DUT Adj Read]]="N/A",IF(Table1[[#This Row],[Std Adj Read]]&lt;=Table1[[#This Row],[High Tol]],"Pass","Fail"),IF(Table1[[#This Row],[DUT Adj Read]]&lt;=Table1[[#This Row],[High Tol]],"Pass","Fail")))</f>
        <v>Fail</v>
      </c>
      <c r="AH29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9" s="1" t="b">
        <v>0</v>
      </c>
      <c r="AN2959" s="1" t="b">
        <v>0</v>
      </c>
      <c r="AO2959" s="1" t="b">
        <v>0</v>
      </c>
    </row>
    <row r="2960" spans="1:41" x14ac:dyDescent="0.25">
      <c r="A2960" s="10"/>
      <c r="B2960" s="10"/>
      <c r="C2960" s="10"/>
      <c r="D2960" s="10"/>
      <c r="E2960" s="10"/>
      <c r="F2960" s="10"/>
      <c r="G2960" s="10"/>
      <c r="H2960" s="10"/>
      <c r="I2960" s="1" t="str">
        <f t="shared" si="138"/>
        <v/>
      </c>
      <c r="J2960" s="1" t="s">
        <v>35</v>
      </c>
      <c r="K2960" s="1" t="str">
        <f t="shared" si="139"/>
        <v/>
      </c>
      <c r="L2960" s="1" t="str">
        <f t="shared" si="140"/>
        <v/>
      </c>
      <c r="M2960" s="1">
        <f>IF(OR(Table1[[#This Row],[Std Nom]]="",Table1[[#This Row],[Std Read]]=""),0,Table1[[#This Row],[Std Nom]]-Table1[[#This Row],[Std Read]])</f>
        <v>0</v>
      </c>
      <c r="N2960" s="1">
        <f>IF(Calculations!$F$5="ACCREDITED 17025 WITH UNCERTAINTIES",$N$10,0)</f>
        <v>0</v>
      </c>
      <c r="O2960" s="1" t="str">
        <f>IFERROR(Table1[[#This Row],[Std Nom]]-(_xlfn.XLOOKUP(Table1[[#This Row],[Manufacturer]]&amp;" "&amp;Table1[[#This Row],[Model]],Table13[MFR &amp; MDL],Table13[Tolerance % CW ],"")/100*Table1[[#This Row],[Std Nom]]),"")</f>
        <v/>
      </c>
      <c r="P2960" s="1" t="str">
        <f>IFERROR(Table1[[#This Row],[Std Nom]]+(_xlfn.XLOOKUP(Table1[[#This Row],[Manufacturer]]&amp;" "&amp;Table1[[#This Row],[Model]],Table13[MFR &amp; MDL],Table13[Tolerance % CW ],"")/100*Table1[[#This Row],[Std Nom]]),"")</f>
        <v/>
      </c>
      <c r="Q2960" s="1" t="e">
        <f>Table1[[#This Row],[High Tol]]-Table1[[#This Row],[Low Tol]]</f>
        <v>#VALUE!</v>
      </c>
      <c r="R2960" s="1">
        <f>2*Table1[[#This Row],[Std Error]]</f>
        <v>0</v>
      </c>
      <c r="S2960" s="1" t="str">
        <f>IF(Table1[[#This Row],[High Tol]]="","N/A",IFERROR(ABS(Table1[[#This Row],[Tol Span]]/Table1[[#This Row],[Error Span]]),"N/A"))</f>
        <v>N/A</v>
      </c>
      <c r="T2960" s="1" t="str">
        <f>IF(OR(Table1[[#This Row],[Low Tol]]="",Table1[[#This Row],[High Tol]]=""),"Needs Analysis",IF(Table1[[#This Row],[Ratio]]&gt;=4,"Not Significant",IF(Table1[[#This Row],[Ratio]]&gt;=2,"Semi-Significant","Significant")))</f>
        <v>Needs Analysis</v>
      </c>
      <c r="W2960" s="1">
        <f>IF(Table1[[#This Row],[Cal Type]]&lt;&gt;"ACCREDITED 17025 WITH UNCERTAINTIES",0,"")</f>
        <v>0</v>
      </c>
      <c r="X2960" s="1" t="str">
        <f>IF(Table1[[#This Row],[DUT Read]]="","N/A",Table1[[#This Row],[Std Error]]+Table1[[#This Row],[DUT Read]]+Table1[[#This Row],[DUT Ucty]])</f>
        <v>N/A</v>
      </c>
      <c r="Y2960" s="1" t="str">
        <f>IF(Table1[[#This Row],[Std Read]]="","N/A",Table1[[#This Row],[Std Read]]+Table1[[#This Row],[Std Ucty]])</f>
        <v>N/A</v>
      </c>
      <c r="Z29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0" s="1" t="str">
        <f>IF(Table1[[#This Row],[Spec Type]]="","N/A",Table1[[#This Row],[Spec Type]])</f>
        <v>±</v>
      </c>
      <c r="AC2960" s="1" t="str">
        <f>IF(Table1[[#This Row],[Spec Type2]]="N/A","N/A",IF(AND(Table1[[#This Row],[DUT Adj Read]]&gt;=Table1[[#This Row],[Low Tol]],Table1[[#This Row],[DUT Adj Read]]&lt;=Table1[[#This Row],[High Tol]]),"Pass","Fail"))</f>
        <v>Fail</v>
      </c>
      <c r="AD2960" s="1" t="str">
        <f>IF(AND(Table1[[#This Row],[Spec Type2]]="N/A",Table1[[#This Row],[DUT Adj Read]]="N/A",Table1[[#This Row],[Std Adj Read]]="N/A"),"N/A",IF(Table1[[#This Row],[DUT Adj Read]]="N/A",IF(Table1[[#This Row],[Std Adj Read]]&gt;Table1[[#This Row],[Low Tol]],"Pass","Fail"),IF(Table1[[#This Row],[DUT Adj Read]]&gt;Table1[[#This Row],[Low Tol]],"Pass","Fail")))</f>
        <v>Pass</v>
      </c>
      <c r="AE2960" s="1" t="str">
        <f>IF(AND(Table1[[#This Row],[Spec Type2]]="N/A",Table1[[#This Row],[DUT Adj Read]]="N/A",Table1[[#This Row],[Std Adj Read]]="N/A"),"N/A",IF(Table1[[#This Row],[DUT Adj Read]]="N/A",IF(Table1[[#This Row],[Std Adj Read]]&lt;Table1[[#This Row],[High Tol]],"Pass","Fail"),IF(Table1[[#This Row],[DUT Adj Read]]&lt;Table1[[#This Row],[High Tol]],"Pass","Fail")))</f>
        <v>Fail</v>
      </c>
      <c r="AF2960" s="1" t="str">
        <f>IF(AND(Table1[[#This Row],[Spec Type2]]="N/A",Table1[[#This Row],[DUT Adj Read]]="N/A",Table1[[#This Row],[Std Adj Read]]="N/A"),"N/A",IF(Table1[[#This Row],[DUT Adj Read]]="N/A",IF(Table1[[#This Row],[Std Adj Read]]&gt;=Table1[[#This Row],[Low Tol]],"Pass","Fail"),IF(Table1[[#This Row],[DUT Adj Read]]&gt;=Table1[[#This Row],[Low Tol]],"Pass","Fail")))</f>
        <v>Pass</v>
      </c>
      <c r="AG2960" s="1" t="str">
        <f>IF(AND(Table1[[#This Row],[Spec Type2]]="N/A",Table1[[#This Row],[DUT Adj Read]]="N/A",Table1[[#This Row],[Std Adj Read]]="N/A"),"N/A",IF(Table1[[#This Row],[DUT Adj Read]]="N/A",IF(Table1[[#This Row],[Std Adj Read]]&lt;=Table1[[#This Row],[High Tol]],"Pass","Fail"),IF(Table1[[#This Row],[DUT Adj Read]]&lt;=Table1[[#This Row],[High Tol]],"Pass","Fail")))</f>
        <v>Fail</v>
      </c>
      <c r="AH29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0" s="1" t="b">
        <v>0</v>
      </c>
      <c r="AN2960" s="1" t="b">
        <v>0</v>
      </c>
      <c r="AO2960" s="1" t="b">
        <v>0</v>
      </c>
    </row>
    <row r="2961" spans="1:41" x14ac:dyDescent="0.25">
      <c r="A2961" s="10"/>
      <c r="B2961" s="10"/>
      <c r="C2961" s="10"/>
      <c r="D2961" s="10"/>
      <c r="E2961" s="10"/>
      <c r="F2961" s="10"/>
      <c r="G2961" s="10"/>
      <c r="H2961" s="10"/>
      <c r="I2961" s="1" t="str">
        <f t="shared" si="138"/>
        <v/>
      </c>
      <c r="J2961" s="1" t="s">
        <v>35</v>
      </c>
      <c r="K2961" s="1" t="str">
        <f t="shared" si="139"/>
        <v/>
      </c>
      <c r="L2961" s="1" t="str">
        <f t="shared" si="140"/>
        <v/>
      </c>
      <c r="M2961" s="1">
        <f>IF(OR(Table1[[#This Row],[Std Nom]]="",Table1[[#This Row],[Std Read]]=""),0,Table1[[#This Row],[Std Nom]]-Table1[[#This Row],[Std Read]])</f>
        <v>0</v>
      </c>
      <c r="N2961" s="1">
        <f>IF(Calculations!$F$5="ACCREDITED 17025 WITH UNCERTAINTIES",$N$10,0)</f>
        <v>0</v>
      </c>
      <c r="O2961" s="1" t="str">
        <f>IFERROR(Table1[[#This Row],[Std Nom]]-(_xlfn.XLOOKUP(Table1[[#This Row],[Manufacturer]]&amp;" "&amp;Table1[[#This Row],[Model]],Table13[MFR &amp; MDL],Table13[Tolerance % CW ],"")/100*Table1[[#This Row],[Std Nom]]),"")</f>
        <v/>
      </c>
      <c r="P2961" s="1" t="str">
        <f>IFERROR(Table1[[#This Row],[Std Nom]]+(_xlfn.XLOOKUP(Table1[[#This Row],[Manufacturer]]&amp;" "&amp;Table1[[#This Row],[Model]],Table13[MFR &amp; MDL],Table13[Tolerance % CW ],"")/100*Table1[[#This Row],[Std Nom]]),"")</f>
        <v/>
      </c>
      <c r="Q2961" s="1" t="e">
        <f>Table1[[#This Row],[High Tol]]-Table1[[#This Row],[Low Tol]]</f>
        <v>#VALUE!</v>
      </c>
      <c r="R2961" s="1">
        <f>2*Table1[[#This Row],[Std Error]]</f>
        <v>0</v>
      </c>
      <c r="S2961" s="1" t="str">
        <f>IF(Table1[[#This Row],[High Tol]]="","N/A",IFERROR(ABS(Table1[[#This Row],[Tol Span]]/Table1[[#This Row],[Error Span]]),"N/A"))</f>
        <v>N/A</v>
      </c>
      <c r="T2961" s="1" t="str">
        <f>IF(OR(Table1[[#This Row],[Low Tol]]="",Table1[[#This Row],[High Tol]]=""),"Needs Analysis",IF(Table1[[#This Row],[Ratio]]&gt;=4,"Not Significant",IF(Table1[[#This Row],[Ratio]]&gt;=2,"Semi-Significant","Significant")))</f>
        <v>Needs Analysis</v>
      </c>
      <c r="W2961" s="1">
        <f>IF(Table1[[#This Row],[Cal Type]]&lt;&gt;"ACCREDITED 17025 WITH UNCERTAINTIES",0,"")</f>
        <v>0</v>
      </c>
      <c r="X2961" s="1" t="str">
        <f>IF(Table1[[#This Row],[DUT Read]]="","N/A",Table1[[#This Row],[Std Error]]+Table1[[#This Row],[DUT Read]]+Table1[[#This Row],[DUT Ucty]])</f>
        <v>N/A</v>
      </c>
      <c r="Y2961" s="1" t="str">
        <f>IF(Table1[[#This Row],[Std Read]]="","N/A",Table1[[#This Row],[Std Read]]+Table1[[#This Row],[Std Ucty]])</f>
        <v>N/A</v>
      </c>
      <c r="Z29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1" s="1" t="str">
        <f>IF(Table1[[#This Row],[Spec Type]]="","N/A",Table1[[#This Row],[Spec Type]])</f>
        <v>±</v>
      </c>
      <c r="AC2961" s="1" t="str">
        <f>IF(Table1[[#This Row],[Spec Type2]]="N/A","N/A",IF(AND(Table1[[#This Row],[DUT Adj Read]]&gt;=Table1[[#This Row],[Low Tol]],Table1[[#This Row],[DUT Adj Read]]&lt;=Table1[[#This Row],[High Tol]]),"Pass","Fail"))</f>
        <v>Fail</v>
      </c>
      <c r="AD2961" s="1" t="str">
        <f>IF(AND(Table1[[#This Row],[Spec Type2]]="N/A",Table1[[#This Row],[DUT Adj Read]]="N/A",Table1[[#This Row],[Std Adj Read]]="N/A"),"N/A",IF(Table1[[#This Row],[DUT Adj Read]]="N/A",IF(Table1[[#This Row],[Std Adj Read]]&gt;Table1[[#This Row],[Low Tol]],"Pass","Fail"),IF(Table1[[#This Row],[DUT Adj Read]]&gt;Table1[[#This Row],[Low Tol]],"Pass","Fail")))</f>
        <v>Pass</v>
      </c>
      <c r="AE2961" s="1" t="str">
        <f>IF(AND(Table1[[#This Row],[Spec Type2]]="N/A",Table1[[#This Row],[DUT Adj Read]]="N/A",Table1[[#This Row],[Std Adj Read]]="N/A"),"N/A",IF(Table1[[#This Row],[DUT Adj Read]]="N/A",IF(Table1[[#This Row],[Std Adj Read]]&lt;Table1[[#This Row],[High Tol]],"Pass","Fail"),IF(Table1[[#This Row],[DUT Adj Read]]&lt;Table1[[#This Row],[High Tol]],"Pass","Fail")))</f>
        <v>Fail</v>
      </c>
      <c r="AF2961" s="1" t="str">
        <f>IF(AND(Table1[[#This Row],[Spec Type2]]="N/A",Table1[[#This Row],[DUT Adj Read]]="N/A",Table1[[#This Row],[Std Adj Read]]="N/A"),"N/A",IF(Table1[[#This Row],[DUT Adj Read]]="N/A",IF(Table1[[#This Row],[Std Adj Read]]&gt;=Table1[[#This Row],[Low Tol]],"Pass","Fail"),IF(Table1[[#This Row],[DUT Adj Read]]&gt;=Table1[[#This Row],[Low Tol]],"Pass","Fail")))</f>
        <v>Pass</v>
      </c>
      <c r="AG2961" s="1" t="str">
        <f>IF(AND(Table1[[#This Row],[Spec Type2]]="N/A",Table1[[#This Row],[DUT Adj Read]]="N/A",Table1[[#This Row],[Std Adj Read]]="N/A"),"N/A",IF(Table1[[#This Row],[DUT Adj Read]]="N/A",IF(Table1[[#This Row],[Std Adj Read]]&lt;=Table1[[#This Row],[High Tol]],"Pass","Fail"),IF(Table1[[#This Row],[DUT Adj Read]]&lt;=Table1[[#This Row],[High Tol]],"Pass","Fail")))</f>
        <v>Fail</v>
      </c>
      <c r="AH29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1" s="1" t="b">
        <v>0</v>
      </c>
      <c r="AN2961" s="1" t="b">
        <v>0</v>
      </c>
      <c r="AO2961" s="1" t="b">
        <v>0</v>
      </c>
    </row>
    <row r="2962" spans="1:41" x14ac:dyDescent="0.25">
      <c r="A2962" s="10"/>
      <c r="B2962" s="10"/>
      <c r="C2962" s="10"/>
      <c r="D2962" s="10"/>
      <c r="E2962" s="10"/>
      <c r="F2962" s="10"/>
      <c r="G2962" s="10"/>
      <c r="H2962" s="10"/>
      <c r="I2962" s="1" t="str">
        <f t="shared" si="138"/>
        <v/>
      </c>
      <c r="J2962" s="1" t="s">
        <v>35</v>
      </c>
      <c r="K2962" s="1" t="str">
        <f t="shared" si="139"/>
        <v/>
      </c>
      <c r="L2962" s="1" t="str">
        <f t="shared" si="140"/>
        <v/>
      </c>
      <c r="M2962" s="1">
        <f>IF(OR(Table1[[#This Row],[Std Nom]]="",Table1[[#This Row],[Std Read]]=""),0,Table1[[#This Row],[Std Nom]]-Table1[[#This Row],[Std Read]])</f>
        <v>0</v>
      </c>
      <c r="N2962" s="1">
        <f>IF(Calculations!$F$5="ACCREDITED 17025 WITH UNCERTAINTIES",$N$10,0)</f>
        <v>0</v>
      </c>
      <c r="O2962" s="1" t="str">
        <f>IFERROR(Table1[[#This Row],[Std Nom]]-(_xlfn.XLOOKUP(Table1[[#This Row],[Manufacturer]]&amp;" "&amp;Table1[[#This Row],[Model]],Table13[MFR &amp; MDL],Table13[Tolerance % CW ],"")/100*Table1[[#This Row],[Std Nom]]),"")</f>
        <v/>
      </c>
      <c r="P2962" s="1" t="str">
        <f>IFERROR(Table1[[#This Row],[Std Nom]]+(_xlfn.XLOOKUP(Table1[[#This Row],[Manufacturer]]&amp;" "&amp;Table1[[#This Row],[Model]],Table13[MFR &amp; MDL],Table13[Tolerance % CW ],"")/100*Table1[[#This Row],[Std Nom]]),"")</f>
        <v/>
      </c>
      <c r="Q2962" s="1" t="e">
        <f>Table1[[#This Row],[High Tol]]-Table1[[#This Row],[Low Tol]]</f>
        <v>#VALUE!</v>
      </c>
      <c r="R2962" s="1">
        <f>2*Table1[[#This Row],[Std Error]]</f>
        <v>0</v>
      </c>
      <c r="S2962" s="1" t="str">
        <f>IF(Table1[[#This Row],[High Tol]]="","N/A",IFERROR(ABS(Table1[[#This Row],[Tol Span]]/Table1[[#This Row],[Error Span]]),"N/A"))</f>
        <v>N/A</v>
      </c>
      <c r="T2962" s="1" t="str">
        <f>IF(OR(Table1[[#This Row],[Low Tol]]="",Table1[[#This Row],[High Tol]]=""),"Needs Analysis",IF(Table1[[#This Row],[Ratio]]&gt;=4,"Not Significant",IF(Table1[[#This Row],[Ratio]]&gt;=2,"Semi-Significant","Significant")))</f>
        <v>Needs Analysis</v>
      </c>
      <c r="W2962" s="1">
        <f>IF(Table1[[#This Row],[Cal Type]]&lt;&gt;"ACCREDITED 17025 WITH UNCERTAINTIES",0,"")</f>
        <v>0</v>
      </c>
      <c r="X2962" s="1" t="str">
        <f>IF(Table1[[#This Row],[DUT Read]]="","N/A",Table1[[#This Row],[Std Error]]+Table1[[#This Row],[DUT Read]]+Table1[[#This Row],[DUT Ucty]])</f>
        <v>N/A</v>
      </c>
      <c r="Y2962" s="1" t="str">
        <f>IF(Table1[[#This Row],[Std Read]]="","N/A",Table1[[#This Row],[Std Read]]+Table1[[#This Row],[Std Ucty]])</f>
        <v>N/A</v>
      </c>
      <c r="Z29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2" s="1" t="str">
        <f>IF(Table1[[#This Row],[Spec Type]]="","N/A",Table1[[#This Row],[Spec Type]])</f>
        <v>±</v>
      </c>
      <c r="AC2962" s="1" t="str">
        <f>IF(Table1[[#This Row],[Spec Type2]]="N/A","N/A",IF(AND(Table1[[#This Row],[DUT Adj Read]]&gt;=Table1[[#This Row],[Low Tol]],Table1[[#This Row],[DUT Adj Read]]&lt;=Table1[[#This Row],[High Tol]]),"Pass","Fail"))</f>
        <v>Fail</v>
      </c>
      <c r="AD2962" s="1" t="str">
        <f>IF(AND(Table1[[#This Row],[Spec Type2]]="N/A",Table1[[#This Row],[DUT Adj Read]]="N/A",Table1[[#This Row],[Std Adj Read]]="N/A"),"N/A",IF(Table1[[#This Row],[DUT Adj Read]]="N/A",IF(Table1[[#This Row],[Std Adj Read]]&gt;Table1[[#This Row],[Low Tol]],"Pass","Fail"),IF(Table1[[#This Row],[DUT Adj Read]]&gt;Table1[[#This Row],[Low Tol]],"Pass","Fail")))</f>
        <v>Pass</v>
      </c>
      <c r="AE2962" s="1" t="str">
        <f>IF(AND(Table1[[#This Row],[Spec Type2]]="N/A",Table1[[#This Row],[DUT Adj Read]]="N/A",Table1[[#This Row],[Std Adj Read]]="N/A"),"N/A",IF(Table1[[#This Row],[DUT Adj Read]]="N/A",IF(Table1[[#This Row],[Std Adj Read]]&lt;Table1[[#This Row],[High Tol]],"Pass","Fail"),IF(Table1[[#This Row],[DUT Adj Read]]&lt;Table1[[#This Row],[High Tol]],"Pass","Fail")))</f>
        <v>Fail</v>
      </c>
      <c r="AF2962" s="1" t="str">
        <f>IF(AND(Table1[[#This Row],[Spec Type2]]="N/A",Table1[[#This Row],[DUT Adj Read]]="N/A",Table1[[#This Row],[Std Adj Read]]="N/A"),"N/A",IF(Table1[[#This Row],[DUT Adj Read]]="N/A",IF(Table1[[#This Row],[Std Adj Read]]&gt;=Table1[[#This Row],[Low Tol]],"Pass","Fail"),IF(Table1[[#This Row],[DUT Adj Read]]&gt;=Table1[[#This Row],[Low Tol]],"Pass","Fail")))</f>
        <v>Pass</v>
      </c>
      <c r="AG2962" s="1" t="str">
        <f>IF(AND(Table1[[#This Row],[Spec Type2]]="N/A",Table1[[#This Row],[DUT Adj Read]]="N/A",Table1[[#This Row],[Std Adj Read]]="N/A"),"N/A",IF(Table1[[#This Row],[DUT Adj Read]]="N/A",IF(Table1[[#This Row],[Std Adj Read]]&lt;=Table1[[#This Row],[High Tol]],"Pass","Fail"),IF(Table1[[#This Row],[DUT Adj Read]]&lt;=Table1[[#This Row],[High Tol]],"Pass","Fail")))</f>
        <v>Fail</v>
      </c>
      <c r="AH29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2" s="1" t="b">
        <v>0</v>
      </c>
      <c r="AN2962" s="1" t="b">
        <v>0</v>
      </c>
      <c r="AO2962" s="1" t="b">
        <v>0</v>
      </c>
    </row>
    <row r="2963" spans="1:41" x14ac:dyDescent="0.25">
      <c r="A2963" s="10"/>
      <c r="B2963" s="10"/>
      <c r="C2963" s="10"/>
      <c r="D2963" s="10"/>
      <c r="E2963" s="10"/>
      <c r="F2963" s="10"/>
      <c r="G2963" s="10"/>
      <c r="H2963" s="10"/>
      <c r="I2963" s="1" t="str">
        <f t="shared" si="138"/>
        <v/>
      </c>
      <c r="J2963" s="1" t="s">
        <v>35</v>
      </c>
      <c r="K2963" s="1" t="str">
        <f t="shared" si="139"/>
        <v/>
      </c>
      <c r="L2963" s="1" t="str">
        <f t="shared" si="140"/>
        <v/>
      </c>
      <c r="M2963" s="1">
        <f>IF(OR(Table1[[#This Row],[Std Nom]]="",Table1[[#This Row],[Std Read]]=""),0,Table1[[#This Row],[Std Nom]]-Table1[[#This Row],[Std Read]])</f>
        <v>0</v>
      </c>
      <c r="N2963" s="1">
        <f>IF(Calculations!$F$5="ACCREDITED 17025 WITH UNCERTAINTIES",$N$10,0)</f>
        <v>0</v>
      </c>
      <c r="O2963" s="1" t="str">
        <f>IFERROR(Table1[[#This Row],[Std Nom]]-(_xlfn.XLOOKUP(Table1[[#This Row],[Manufacturer]]&amp;" "&amp;Table1[[#This Row],[Model]],Table13[MFR &amp; MDL],Table13[Tolerance % CW ],"")/100*Table1[[#This Row],[Std Nom]]),"")</f>
        <v/>
      </c>
      <c r="P2963" s="1" t="str">
        <f>IFERROR(Table1[[#This Row],[Std Nom]]+(_xlfn.XLOOKUP(Table1[[#This Row],[Manufacturer]]&amp;" "&amp;Table1[[#This Row],[Model]],Table13[MFR &amp; MDL],Table13[Tolerance % CW ],"")/100*Table1[[#This Row],[Std Nom]]),"")</f>
        <v/>
      </c>
      <c r="Q2963" s="1" t="e">
        <f>Table1[[#This Row],[High Tol]]-Table1[[#This Row],[Low Tol]]</f>
        <v>#VALUE!</v>
      </c>
      <c r="R2963" s="1">
        <f>2*Table1[[#This Row],[Std Error]]</f>
        <v>0</v>
      </c>
      <c r="S2963" s="1" t="str">
        <f>IF(Table1[[#This Row],[High Tol]]="","N/A",IFERROR(ABS(Table1[[#This Row],[Tol Span]]/Table1[[#This Row],[Error Span]]),"N/A"))</f>
        <v>N/A</v>
      </c>
      <c r="T2963" s="1" t="str">
        <f>IF(OR(Table1[[#This Row],[Low Tol]]="",Table1[[#This Row],[High Tol]]=""),"Needs Analysis",IF(Table1[[#This Row],[Ratio]]&gt;=4,"Not Significant",IF(Table1[[#This Row],[Ratio]]&gt;=2,"Semi-Significant","Significant")))</f>
        <v>Needs Analysis</v>
      </c>
      <c r="W2963" s="1">
        <f>IF(Table1[[#This Row],[Cal Type]]&lt;&gt;"ACCREDITED 17025 WITH UNCERTAINTIES",0,"")</f>
        <v>0</v>
      </c>
      <c r="X2963" s="1" t="str">
        <f>IF(Table1[[#This Row],[DUT Read]]="","N/A",Table1[[#This Row],[Std Error]]+Table1[[#This Row],[DUT Read]]+Table1[[#This Row],[DUT Ucty]])</f>
        <v>N/A</v>
      </c>
      <c r="Y2963" s="1" t="str">
        <f>IF(Table1[[#This Row],[Std Read]]="","N/A",Table1[[#This Row],[Std Read]]+Table1[[#This Row],[Std Ucty]])</f>
        <v>N/A</v>
      </c>
      <c r="Z29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3" s="1" t="str">
        <f>IF(Table1[[#This Row],[Spec Type]]="","N/A",Table1[[#This Row],[Spec Type]])</f>
        <v>±</v>
      </c>
      <c r="AC2963" s="1" t="str">
        <f>IF(Table1[[#This Row],[Spec Type2]]="N/A","N/A",IF(AND(Table1[[#This Row],[DUT Adj Read]]&gt;=Table1[[#This Row],[Low Tol]],Table1[[#This Row],[DUT Adj Read]]&lt;=Table1[[#This Row],[High Tol]]),"Pass","Fail"))</f>
        <v>Fail</v>
      </c>
      <c r="AD2963" s="1" t="str">
        <f>IF(AND(Table1[[#This Row],[Spec Type2]]="N/A",Table1[[#This Row],[DUT Adj Read]]="N/A",Table1[[#This Row],[Std Adj Read]]="N/A"),"N/A",IF(Table1[[#This Row],[DUT Adj Read]]="N/A",IF(Table1[[#This Row],[Std Adj Read]]&gt;Table1[[#This Row],[Low Tol]],"Pass","Fail"),IF(Table1[[#This Row],[DUT Adj Read]]&gt;Table1[[#This Row],[Low Tol]],"Pass","Fail")))</f>
        <v>Pass</v>
      </c>
      <c r="AE2963" s="1" t="str">
        <f>IF(AND(Table1[[#This Row],[Spec Type2]]="N/A",Table1[[#This Row],[DUT Adj Read]]="N/A",Table1[[#This Row],[Std Adj Read]]="N/A"),"N/A",IF(Table1[[#This Row],[DUT Adj Read]]="N/A",IF(Table1[[#This Row],[Std Adj Read]]&lt;Table1[[#This Row],[High Tol]],"Pass","Fail"),IF(Table1[[#This Row],[DUT Adj Read]]&lt;Table1[[#This Row],[High Tol]],"Pass","Fail")))</f>
        <v>Fail</v>
      </c>
      <c r="AF2963" s="1" t="str">
        <f>IF(AND(Table1[[#This Row],[Spec Type2]]="N/A",Table1[[#This Row],[DUT Adj Read]]="N/A",Table1[[#This Row],[Std Adj Read]]="N/A"),"N/A",IF(Table1[[#This Row],[DUT Adj Read]]="N/A",IF(Table1[[#This Row],[Std Adj Read]]&gt;=Table1[[#This Row],[Low Tol]],"Pass","Fail"),IF(Table1[[#This Row],[DUT Adj Read]]&gt;=Table1[[#This Row],[Low Tol]],"Pass","Fail")))</f>
        <v>Pass</v>
      </c>
      <c r="AG2963" s="1" t="str">
        <f>IF(AND(Table1[[#This Row],[Spec Type2]]="N/A",Table1[[#This Row],[DUT Adj Read]]="N/A",Table1[[#This Row],[Std Adj Read]]="N/A"),"N/A",IF(Table1[[#This Row],[DUT Adj Read]]="N/A",IF(Table1[[#This Row],[Std Adj Read]]&lt;=Table1[[#This Row],[High Tol]],"Pass","Fail"),IF(Table1[[#This Row],[DUT Adj Read]]&lt;=Table1[[#This Row],[High Tol]],"Pass","Fail")))</f>
        <v>Fail</v>
      </c>
      <c r="AH29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3" s="1" t="b">
        <v>0</v>
      </c>
      <c r="AN2963" s="1" t="b">
        <v>0</v>
      </c>
      <c r="AO2963" s="1" t="b">
        <v>0</v>
      </c>
    </row>
    <row r="2964" spans="1:41" x14ac:dyDescent="0.25">
      <c r="A2964" s="10"/>
      <c r="B2964" s="10"/>
      <c r="C2964" s="10"/>
      <c r="D2964" s="10"/>
      <c r="E2964" s="10"/>
      <c r="F2964" s="10"/>
      <c r="G2964" s="10"/>
      <c r="H2964" s="10"/>
      <c r="I2964" s="1" t="str">
        <f t="shared" si="138"/>
        <v/>
      </c>
      <c r="J2964" s="1" t="s">
        <v>35</v>
      </c>
      <c r="K2964" s="1" t="str">
        <f t="shared" si="139"/>
        <v/>
      </c>
      <c r="L2964" s="1" t="str">
        <f t="shared" si="140"/>
        <v/>
      </c>
      <c r="M2964" s="1">
        <f>IF(OR(Table1[[#This Row],[Std Nom]]="",Table1[[#This Row],[Std Read]]=""),0,Table1[[#This Row],[Std Nom]]-Table1[[#This Row],[Std Read]])</f>
        <v>0</v>
      </c>
      <c r="N2964" s="1">
        <f>IF(Calculations!$F$5="ACCREDITED 17025 WITH UNCERTAINTIES",$N$10,0)</f>
        <v>0</v>
      </c>
      <c r="O2964" s="1" t="str">
        <f>IFERROR(Table1[[#This Row],[Std Nom]]-(_xlfn.XLOOKUP(Table1[[#This Row],[Manufacturer]]&amp;" "&amp;Table1[[#This Row],[Model]],Table13[MFR &amp; MDL],Table13[Tolerance % CW ],"")/100*Table1[[#This Row],[Std Nom]]),"")</f>
        <v/>
      </c>
      <c r="P2964" s="1" t="str">
        <f>IFERROR(Table1[[#This Row],[Std Nom]]+(_xlfn.XLOOKUP(Table1[[#This Row],[Manufacturer]]&amp;" "&amp;Table1[[#This Row],[Model]],Table13[MFR &amp; MDL],Table13[Tolerance % CW ],"")/100*Table1[[#This Row],[Std Nom]]),"")</f>
        <v/>
      </c>
      <c r="Q2964" s="1" t="e">
        <f>Table1[[#This Row],[High Tol]]-Table1[[#This Row],[Low Tol]]</f>
        <v>#VALUE!</v>
      </c>
      <c r="R2964" s="1">
        <f>2*Table1[[#This Row],[Std Error]]</f>
        <v>0</v>
      </c>
      <c r="S2964" s="1" t="str">
        <f>IF(Table1[[#This Row],[High Tol]]="","N/A",IFERROR(ABS(Table1[[#This Row],[Tol Span]]/Table1[[#This Row],[Error Span]]),"N/A"))</f>
        <v>N/A</v>
      </c>
      <c r="T2964" s="1" t="str">
        <f>IF(OR(Table1[[#This Row],[Low Tol]]="",Table1[[#This Row],[High Tol]]=""),"Needs Analysis",IF(Table1[[#This Row],[Ratio]]&gt;=4,"Not Significant",IF(Table1[[#This Row],[Ratio]]&gt;=2,"Semi-Significant","Significant")))</f>
        <v>Needs Analysis</v>
      </c>
      <c r="W2964" s="1">
        <f>IF(Table1[[#This Row],[Cal Type]]&lt;&gt;"ACCREDITED 17025 WITH UNCERTAINTIES",0,"")</f>
        <v>0</v>
      </c>
      <c r="X2964" s="1" t="str">
        <f>IF(Table1[[#This Row],[DUT Read]]="","N/A",Table1[[#This Row],[Std Error]]+Table1[[#This Row],[DUT Read]]+Table1[[#This Row],[DUT Ucty]])</f>
        <v>N/A</v>
      </c>
      <c r="Y2964" s="1" t="str">
        <f>IF(Table1[[#This Row],[Std Read]]="","N/A",Table1[[#This Row],[Std Read]]+Table1[[#This Row],[Std Ucty]])</f>
        <v>N/A</v>
      </c>
      <c r="Z29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4" s="1" t="str">
        <f>IF(Table1[[#This Row],[Spec Type]]="","N/A",Table1[[#This Row],[Spec Type]])</f>
        <v>±</v>
      </c>
      <c r="AC2964" s="1" t="str">
        <f>IF(Table1[[#This Row],[Spec Type2]]="N/A","N/A",IF(AND(Table1[[#This Row],[DUT Adj Read]]&gt;=Table1[[#This Row],[Low Tol]],Table1[[#This Row],[DUT Adj Read]]&lt;=Table1[[#This Row],[High Tol]]),"Pass","Fail"))</f>
        <v>Fail</v>
      </c>
      <c r="AD2964" s="1" t="str">
        <f>IF(AND(Table1[[#This Row],[Spec Type2]]="N/A",Table1[[#This Row],[DUT Adj Read]]="N/A",Table1[[#This Row],[Std Adj Read]]="N/A"),"N/A",IF(Table1[[#This Row],[DUT Adj Read]]="N/A",IF(Table1[[#This Row],[Std Adj Read]]&gt;Table1[[#This Row],[Low Tol]],"Pass","Fail"),IF(Table1[[#This Row],[DUT Adj Read]]&gt;Table1[[#This Row],[Low Tol]],"Pass","Fail")))</f>
        <v>Pass</v>
      </c>
      <c r="AE2964" s="1" t="str">
        <f>IF(AND(Table1[[#This Row],[Spec Type2]]="N/A",Table1[[#This Row],[DUT Adj Read]]="N/A",Table1[[#This Row],[Std Adj Read]]="N/A"),"N/A",IF(Table1[[#This Row],[DUT Adj Read]]="N/A",IF(Table1[[#This Row],[Std Adj Read]]&lt;Table1[[#This Row],[High Tol]],"Pass","Fail"),IF(Table1[[#This Row],[DUT Adj Read]]&lt;Table1[[#This Row],[High Tol]],"Pass","Fail")))</f>
        <v>Fail</v>
      </c>
      <c r="AF2964" s="1" t="str">
        <f>IF(AND(Table1[[#This Row],[Spec Type2]]="N/A",Table1[[#This Row],[DUT Adj Read]]="N/A",Table1[[#This Row],[Std Adj Read]]="N/A"),"N/A",IF(Table1[[#This Row],[DUT Adj Read]]="N/A",IF(Table1[[#This Row],[Std Adj Read]]&gt;=Table1[[#This Row],[Low Tol]],"Pass","Fail"),IF(Table1[[#This Row],[DUT Adj Read]]&gt;=Table1[[#This Row],[Low Tol]],"Pass","Fail")))</f>
        <v>Pass</v>
      </c>
      <c r="AG2964" s="1" t="str">
        <f>IF(AND(Table1[[#This Row],[Spec Type2]]="N/A",Table1[[#This Row],[DUT Adj Read]]="N/A",Table1[[#This Row],[Std Adj Read]]="N/A"),"N/A",IF(Table1[[#This Row],[DUT Adj Read]]="N/A",IF(Table1[[#This Row],[Std Adj Read]]&lt;=Table1[[#This Row],[High Tol]],"Pass","Fail"),IF(Table1[[#This Row],[DUT Adj Read]]&lt;=Table1[[#This Row],[High Tol]],"Pass","Fail")))</f>
        <v>Fail</v>
      </c>
      <c r="AH29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4" s="1" t="b">
        <v>0</v>
      </c>
      <c r="AN2964" s="1" t="b">
        <v>0</v>
      </c>
      <c r="AO2964" s="1" t="b">
        <v>0</v>
      </c>
    </row>
    <row r="2965" spans="1:41" x14ac:dyDescent="0.25">
      <c r="A2965" s="10"/>
      <c r="B2965" s="10"/>
      <c r="C2965" s="10"/>
      <c r="D2965" s="10"/>
      <c r="E2965" s="10"/>
      <c r="F2965" s="10"/>
      <c r="G2965" s="10"/>
      <c r="H2965" s="10"/>
      <c r="I2965" s="1" t="str">
        <f t="shared" si="138"/>
        <v/>
      </c>
      <c r="J2965" s="1" t="s">
        <v>35</v>
      </c>
      <c r="K2965" s="1" t="str">
        <f t="shared" si="139"/>
        <v/>
      </c>
      <c r="L2965" s="1" t="str">
        <f t="shared" si="140"/>
        <v/>
      </c>
      <c r="M2965" s="1">
        <f>IF(OR(Table1[[#This Row],[Std Nom]]="",Table1[[#This Row],[Std Read]]=""),0,Table1[[#This Row],[Std Nom]]-Table1[[#This Row],[Std Read]])</f>
        <v>0</v>
      </c>
      <c r="N2965" s="1">
        <f>IF(Calculations!$F$5="ACCREDITED 17025 WITH UNCERTAINTIES",$N$10,0)</f>
        <v>0</v>
      </c>
      <c r="O2965" s="1" t="str">
        <f>IFERROR(Table1[[#This Row],[Std Nom]]-(_xlfn.XLOOKUP(Table1[[#This Row],[Manufacturer]]&amp;" "&amp;Table1[[#This Row],[Model]],Table13[MFR &amp; MDL],Table13[Tolerance % CW ],"")/100*Table1[[#This Row],[Std Nom]]),"")</f>
        <v/>
      </c>
      <c r="P2965" s="1" t="str">
        <f>IFERROR(Table1[[#This Row],[Std Nom]]+(_xlfn.XLOOKUP(Table1[[#This Row],[Manufacturer]]&amp;" "&amp;Table1[[#This Row],[Model]],Table13[MFR &amp; MDL],Table13[Tolerance % CW ],"")/100*Table1[[#This Row],[Std Nom]]),"")</f>
        <v/>
      </c>
      <c r="Q2965" s="1" t="e">
        <f>Table1[[#This Row],[High Tol]]-Table1[[#This Row],[Low Tol]]</f>
        <v>#VALUE!</v>
      </c>
      <c r="R2965" s="1">
        <f>2*Table1[[#This Row],[Std Error]]</f>
        <v>0</v>
      </c>
      <c r="S2965" s="1" t="str">
        <f>IF(Table1[[#This Row],[High Tol]]="","N/A",IFERROR(ABS(Table1[[#This Row],[Tol Span]]/Table1[[#This Row],[Error Span]]),"N/A"))</f>
        <v>N/A</v>
      </c>
      <c r="T2965" s="1" t="str">
        <f>IF(OR(Table1[[#This Row],[Low Tol]]="",Table1[[#This Row],[High Tol]]=""),"Needs Analysis",IF(Table1[[#This Row],[Ratio]]&gt;=4,"Not Significant",IF(Table1[[#This Row],[Ratio]]&gt;=2,"Semi-Significant","Significant")))</f>
        <v>Needs Analysis</v>
      </c>
      <c r="W2965" s="1">
        <f>IF(Table1[[#This Row],[Cal Type]]&lt;&gt;"ACCREDITED 17025 WITH UNCERTAINTIES",0,"")</f>
        <v>0</v>
      </c>
      <c r="X2965" s="1" t="str">
        <f>IF(Table1[[#This Row],[DUT Read]]="","N/A",Table1[[#This Row],[Std Error]]+Table1[[#This Row],[DUT Read]]+Table1[[#This Row],[DUT Ucty]])</f>
        <v>N/A</v>
      </c>
      <c r="Y2965" s="1" t="str">
        <f>IF(Table1[[#This Row],[Std Read]]="","N/A",Table1[[#This Row],[Std Read]]+Table1[[#This Row],[Std Ucty]])</f>
        <v>N/A</v>
      </c>
      <c r="Z29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5" s="1" t="str">
        <f>IF(Table1[[#This Row],[Spec Type]]="","N/A",Table1[[#This Row],[Spec Type]])</f>
        <v>±</v>
      </c>
      <c r="AC2965" s="1" t="str">
        <f>IF(Table1[[#This Row],[Spec Type2]]="N/A","N/A",IF(AND(Table1[[#This Row],[DUT Adj Read]]&gt;=Table1[[#This Row],[Low Tol]],Table1[[#This Row],[DUT Adj Read]]&lt;=Table1[[#This Row],[High Tol]]),"Pass","Fail"))</f>
        <v>Fail</v>
      </c>
      <c r="AD2965" s="1" t="str">
        <f>IF(AND(Table1[[#This Row],[Spec Type2]]="N/A",Table1[[#This Row],[DUT Adj Read]]="N/A",Table1[[#This Row],[Std Adj Read]]="N/A"),"N/A",IF(Table1[[#This Row],[DUT Adj Read]]="N/A",IF(Table1[[#This Row],[Std Adj Read]]&gt;Table1[[#This Row],[Low Tol]],"Pass","Fail"),IF(Table1[[#This Row],[DUT Adj Read]]&gt;Table1[[#This Row],[Low Tol]],"Pass","Fail")))</f>
        <v>Pass</v>
      </c>
      <c r="AE2965" s="1" t="str">
        <f>IF(AND(Table1[[#This Row],[Spec Type2]]="N/A",Table1[[#This Row],[DUT Adj Read]]="N/A",Table1[[#This Row],[Std Adj Read]]="N/A"),"N/A",IF(Table1[[#This Row],[DUT Adj Read]]="N/A",IF(Table1[[#This Row],[Std Adj Read]]&lt;Table1[[#This Row],[High Tol]],"Pass","Fail"),IF(Table1[[#This Row],[DUT Adj Read]]&lt;Table1[[#This Row],[High Tol]],"Pass","Fail")))</f>
        <v>Fail</v>
      </c>
      <c r="AF2965" s="1" t="str">
        <f>IF(AND(Table1[[#This Row],[Spec Type2]]="N/A",Table1[[#This Row],[DUT Adj Read]]="N/A",Table1[[#This Row],[Std Adj Read]]="N/A"),"N/A",IF(Table1[[#This Row],[DUT Adj Read]]="N/A",IF(Table1[[#This Row],[Std Adj Read]]&gt;=Table1[[#This Row],[Low Tol]],"Pass","Fail"),IF(Table1[[#This Row],[DUT Adj Read]]&gt;=Table1[[#This Row],[Low Tol]],"Pass","Fail")))</f>
        <v>Pass</v>
      </c>
      <c r="AG2965" s="1" t="str">
        <f>IF(AND(Table1[[#This Row],[Spec Type2]]="N/A",Table1[[#This Row],[DUT Adj Read]]="N/A",Table1[[#This Row],[Std Adj Read]]="N/A"),"N/A",IF(Table1[[#This Row],[DUT Adj Read]]="N/A",IF(Table1[[#This Row],[Std Adj Read]]&lt;=Table1[[#This Row],[High Tol]],"Pass","Fail"),IF(Table1[[#This Row],[DUT Adj Read]]&lt;=Table1[[#This Row],[High Tol]],"Pass","Fail")))</f>
        <v>Fail</v>
      </c>
      <c r="AH29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5" s="1" t="b">
        <v>0</v>
      </c>
      <c r="AN2965" s="1" t="b">
        <v>0</v>
      </c>
      <c r="AO2965" s="1" t="b">
        <v>0</v>
      </c>
    </row>
    <row r="2966" spans="1:41" x14ac:dyDescent="0.25">
      <c r="A2966" s="10"/>
      <c r="B2966" s="10"/>
      <c r="C2966" s="10"/>
      <c r="D2966" s="10"/>
      <c r="E2966" s="10"/>
      <c r="F2966" s="10"/>
      <c r="G2966" s="10"/>
      <c r="H2966" s="10"/>
      <c r="I2966" s="1" t="str">
        <f t="shared" si="138"/>
        <v/>
      </c>
      <c r="J2966" s="1" t="s">
        <v>35</v>
      </c>
      <c r="K2966" s="1" t="str">
        <f t="shared" si="139"/>
        <v/>
      </c>
      <c r="L2966" s="1" t="str">
        <f t="shared" si="140"/>
        <v/>
      </c>
      <c r="M2966" s="1">
        <f>IF(OR(Table1[[#This Row],[Std Nom]]="",Table1[[#This Row],[Std Read]]=""),0,Table1[[#This Row],[Std Nom]]-Table1[[#This Row],[Std Read]])</f>
        <v>0</v>
      </c>
      <c r="N2966" s="1">
        <f>IF(Calculations!$F$5="ACCREDITED 17025 WITH UNCERTAINTIES",$N$10,0)</f>
        <v>0</v>
      </c>
      <c r="O2966" s="1" t="str">
        <f>IFERROR(Table1[[#This Row],[Std Nom]]-(_xlfn.XLOOKUP(Table1[[#This Row],[Manufacturer]]&amp;" "&amp;Table1[[#This Row],[Model]],Table13[MFR &amp; MDL],Table13[Tolerance % CW ],"")/100*Table1[[#This Row],[Std Nom]]),"")</f>
        <v/>
      </c>
      <c r="P2966" s="1" t="str">
        <f>IFERROR(Table1[[#This Row],[Std Nom]]+(_xlfn.XLOOKUP(Table1[[#This Row],[Manufacturer]]&amp;" "&amp;Table1[[#This Row],[Model]],Table13[MFR &amp; MDL],Table13[Tolerance % CW ],"")/100*Table1[[#This Row],[Std Nom]]),"")</f>
        <v/>
      </c>
      <c r="Q2966" s="1" t="e">
        <f>Table1[[#This Row],[High Tol]]-Table1[[#This Row],[Low Tol]]</f>
        <v>#VALUE!</v>
      </c>
      <c r="R2966" s="1">
        <f>2*Table1[[#This Row],[Std Error]]</f>
        <v>0</v>
      </c>
      <c r="S2966" s="1" t="str">
        <f>IF(Table1[[#This Row],[High Tol]]="","N/A",IFERROR(ABS(Table1[[#This Row],[Tol Span]]/Table1[[#This Row],[Error Span]]),"N/A"))</f>
        <v>N/A</v>
      </c>
      <c r="T2966" s="1" t="str">
        <f>IF(OR(Table1[[#This Row],[Low Tol]]="",Table1[[#This Row],[High Tol]]=""),"Needs Analysis",IF(Table1[[#This Row],[Ratio]]&gt;=4,"Not Significant",IF(Table1[[#This Row],[Ratio]]&gt;=2,"Semi-Significant","Significant")))</f>
        <v>Needs Analysis</v>
      </c>
      <c r="W2966" s="1">
        <f>IF(Table1[[#This Row],[Cal Type]]&lt;&gt;"ACCREDITED 17025 WITH UNCERTAINTIES",0,"")</f>
        <v>0</v>
      </c>
      <c r="X2966" s="1" t="str">
        <f>IF(Table1[[#This Row],[DUT Read]]="","N/A",Table1[[#This Row],[Std Error]]+Table1[[#This Row],[DUT Read]]+Table1[[#This Row],[DUT Ucty]])</f>
        <v>N/A</v>
      </c>
      <c r="Y2966" s="1" t="str">
        <f>IF(Table1[[#This Row],[Std Read]]="","N/A",Table1[[#This Row],[Std Read]]+Table1[[#This Row],[Std Ucty]])</f>
        <v>N/A</v>
      </c>
      <c r="Z29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6" s="1" t="str">
        <f>IF(Table1[[#This Row],[Spec Type]]="","N/A",Table1[[#This Row],[Spec Type]])</f>
        <v>±</v>
      </c>
      <c r="AC2966" s="1" t="str">
        <f>IF(Table1[[#This Row],[Spec Type2]]="N/A","N/A",IF(AND(Table1[[#This Row],[DUT Adj Read]]&gt;=Table1[[#This Row],[Low Tol]],Table1[[#This Row],[DUT Adj Read]]&lt;=Table1[[#This Row],[High Tol]]),"Pass","Fail"))</f>
        <v>Fail</v>
      </c>
      <c r="AD2966" s="1" t="str">
        <f>IF(AND(Table1[[#This Row],[Spec Type2]]="N/A",Table1[[#This Row],[DUT Adj Read]]="N/A",Table1[[#This Row],[Std Adj Read]]="N/A"),"N/A",IF(Table1[[#This Row],[DUT Adj Read]]="N/A",IF(Table1[[#This Row],[Std Adj Read]]&gt;Table1[[#This Row],[Low Tol]],"Pass","Fail"),IF(Table1[[#This Row],[DUT Adj Read]]&gt;Table1[[#This Row],[Low Tol]],"Pass","Fail")))</f>
        <v>Pass</v>
      </c>
      <c r="AE2966" s="1" t="str">
        <f>IF(AND(Table1[[#This Row],[Spec Type2]]="N/A",Table1[[#This Row],[DUT Adj Read]]="N/A",Table1[[#This Row],[Std Adj Read]]="N/A"),"N/A",IF(Table1[[#This Row],[DUT Adj Read]]="N/A",IF(Table1[[#This Row],[Std Adj Read]]&lt;Table1[[#This Row],[High Tol]],"Pass","Fail"),IF(Table1[[#This Row],[DUT Adj Read]]&lt;Table1[[#This Row],[High Tol]],"Pass","Fail")))</f>
        <v>Fail</v>
      </c>
      <c r="AF2966" s="1" t="str">
        <f>IF(AND(Table1[[#This Row],[Spec Type2]]="N/A",Table1[[#This Row],[DUT Adj Read]]="N/A",Table1[[#This Row],[Std Adj Read]]="N/A"),"N/A",IF(Table1[[#This Row],[DUT Adj Read]]="N/A",IF(Table1[[#This Row],[Std Adj Read]]&gt;=Table1[[#This Row],[Low Tol]],"Pass","Fail"),IF(Table1[[#This Row],[DUT Adj Read]]&gt;=Table1[[#This Row],[Low Tol]],"Pass","Fail")))</f>
        <v>Pass</v>
      </c>
      <c r="AG2966" s="1" t="str">
        <f>IF(AND(Table1[[#This Row],[Spec Type2]]="N/A",Table1[[#This Row],[DUT Adj Read]]="N/A",Table1[[#This Row],[Std Adj Read]]="N/A"),"N/A",IF(Table1[[#This Row],[DUT Adj Read]]="N/A",IF(Table1[[#This Row],[Std Adj Read]]&lt;=Table1[[#This Row],[High Tol]],"Pass","Fail"),IF(Table1[[#This Row],[DUT Adj Read]]&lt;=Table1[[#This Row],[High Tol]],"Pass","Fail")))</f>
        <v>Fail</v>
      </c>
      <c r="AH29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6" s="1" t="b">
        <v>0</v>
      </c>
      <c r="AN2966" s="1" t="b">
        <v>0</v>
      </c>
      <c r="AO2966" s="1" t="b">
        <v>0</v>
      </c>
    </row>
    <row r="2967" spans="1:41" x14ac:dyDescent="0.25">
      <c r="A2967" s="10"/>
      <c r="B2967" s="10"/>
      <c r="C2967" s="10"/>
      <c r="D2967" s="10"/>
      <c r="E2967" s="10"/>
      <c r="F2967" s="10"/>
      <c r="G2967" s="10"/>
      <c r="H2967" s="10"/>
      <c r="I2967" s="1" t="str">
        <f t="shared" si="138"/>
        <v/>
      </c>
      <c r="J2967" s="1" t="s">
        <v>35</v>
      </c>
      <c r="K2967" s="1" t="str">
        <f t="shared" si="139"/>
        <v/>
      </c>
      <c r="L2967" s="1" t="str">
        <f t="shared" si="140"/>
        <v/>
      </c>
      <c r="M2967" s="1">
        <f>IF(OR(Table1[[#This Row],[Std Nom]]="",Table1[[#This Row],[Std Read]]=""),0,Table1[[#This Row],[Std Nom]]-Table1[[#This Row],[Std Read]])</f>
        <v>0</v>
      </c>
      <c r="N2967" s="1">
        <f>IF(Calculations!$F$5="ACCREDITED 17025 WITH UNCERTAINTIES",$N$10,0)</f>
        <v>0</v>
      </c>
      <c r="O2967" s="1" t="str">
        <f>IFERROR(Table1[[#This Row],[Std Nom]]-(_xlfn.XLOOKUP(Table1[[#This Row],[Manufacturer]]&amp;" "&amp;Table1[[#This Row],[Model]],Table13[MFR &amp; MDL],Table13[Tolerance % CW ],"")/100*Table1[[#This Row],[Std Nom]]),"")</f>
        <v/>
      </c>
      <c r="P2967" s="1" t="str">
        <f>IFERROR(Table1[[#This Row],[Std Nom]]+(_xlfn.XLOOKUP(Table1[[#This Row],[Manufacturer]]&amp;" "&amp;Table1[[#This Row],[Model]],Table13[MFR &amp; MDL],Table13[Tolerance % CW ],"")/100*Table1[[#This Row],[Std Nom]]),"")</f>
        <v/>
      </c>
      <c r="Q2967" s="1" t="e">
        <f>Table1[[#This Row],[High Tol]]-Table1[[#This Row],[Low Tol]]</f>
        <v>#VALUE!</v>
      </c>
      <c r="R2967" s="1">
        <f>2*Table1[[#This Row],[Std Error]]</f>
        <v>0</v>
      </c>
      <c r="S2967" s="1" t="str">
        <f>IF(Table1[[#This Row],[High Tol]]="","N/A",IFERROR(ABS(Table1[[#This Row],[Tol Span]]/Table1[[#This Row],[Error Span]]),"N/A"))</f>
        <v>N/A</v>
      </c>
      <c r="T2967" s="1" t="str">
        <f>IF(OR(Table1[[#This Row],[Low Tol]]="",Table1[[#This Row],[High Tol]]=""),"Needs Analysis",IF(Table1[[#This Row],[Ratio]]&gt;=4,"Not Significant",IF(Table1[[#This Row],[Ratio]]&gt;=2,"Semi-Significant","Significant")))</f>
        <v>Needs Analysis</v>
      </c>
      <c r="W2967" s="1">
        <f>IF(Table1[[#This Row],[Cal Type]]&lt;&gt;"ACCREDITED 17025 WITH UNCERTAINTIES",0,"")</f>
        <v>0</v>
      </c>
      <c r="X2967" s="1" t="str">
        <f>IF(Table1[[#This Row],[DUT Read]]="","N/A",Table1[[#This Row],[Std Error]]+Table1[[#This Row],[DUT Read]]+Table1[[#This Row],[DUT Ucty]])</f>
        <v>N/A</v>
      </c>
      <c r="Y2967" s="1" t="str">
        <f>IF(Table1[[#This Row],[Std Read]]="","N/A",Table1[[#This Row],[Std Read]]+Table1[[#This Row],[Std Ucty]])</f>
        <v>N/A</v>
      </c>
      <c r="Z29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7" s="1" t="str">
        <f>IF(Table1[[#This Row],[Spec Type]]="","N/A",Table1[[#This Row],[Spec Type]])</f>
        <v>±</v>
      </c>
      <c r="AC2967" s="1" t="str">
        <f>IF(Table1[[#This Row],[Spec Type2]]="N/A","N/A",IF(AND(Table1[[#This Row],[DUT Adj Read]]&gt;=Table1[[#This Row],[Low Tol]],Table1[[#This Row],[DUT Adj Read]]&lt;=Table1[[#This Row],[High Tol]]),"Pass","Fail"))</f>
        <v>Fail</v>
      </c>
      <c r="AD2967" s="1" t="str">
        <f>IF(AND(Table1[[#This Row],[Spec Type2]]="N/A",Table1[[#This Row],[DUT Adj Read]]="N/A",Table1[[#This Row],[Std Adj Read]]="N/A"),"N/A",IF(Table1[[#This Row],[DUT Adj Read]]="N/A",IF(Table1[[#This Row],[Std Adj Read]]&gt;Table1[[#This Row],[Low Tol]],"Pass","Fail"),IF(Table1[[#This Row],[DUT Adj Read]]&gt;Table1[[#This Row],[Low Tol]],"Pass","Fail")))</f>
        <v>Pass</v>
      </c>
      <c r="AE2967" s="1" t="str">
        <f>IF(AND(Table1[[#This Row],[Spec Type2]]="N/A",Table1[[#This Row],[DUT Adj Read]]="N/A",Table1[[#This Row],[Std Adj Read]]="N/A"),"N/A",IF(Table1[[#This Row],[DUT Adj Read]]="N/A",IF(Table1[[#This Row],[Std Adj Read]]&lt;Table1[[#This Row],[High Tol]],"Pass","Fail"),IF(Table1[[#This Row],[DUT Adj Read]]&lt;Table1[[#This Row],[High Tol]],"Pass","Fail")))</f>
        <v>Fail</v>
      </c>
      <c r="AF2967" s="1" t="str">
        <f>IF(AND(Table1[[#This Row],[Spec Type2]]="N/A",Table1[[#This Row],[DUT Adj Read]]="N/A",Table1[[#This Row],[Std Adj Read]]="N/A"),"N/A",IF(Table1[[#This Row],[DUT Adj Read]]="N/A",IF(Table1[[#This Row],[Std Adj Read]]&gt;=Table1[[#This Row],[Low Tol]],"Pass","Fail"),IF(Table1[[#This Row],[DUT Adj Read]]&gt;=Table1[[#This Row],[Low Tol]],"Pass","Fail")))</f>
        <v>Pass</v>
      </c>
      <c r="AG2967" s="1" t="str">
        <f>IF(AND(Table1[[#This Row],[Spec Type2]]="N/A",Table1[[#This Row],[DUT Adj Read]]="N/A",Table1[[#This Row],[Std Adj Read]]="N/A"),"N/A",IF(Table1[[#This Row],[DUT Adj Read]]="N/A",IF(Table1[[#This Row],[Std Adj Read]]&lt;=Table1[[#This Row],[High Tol]],"Pass","Fail"),IF(Table1[[#This Row],[DUT Adj Read]]&lt;=Table1[[#This Row],[High Tol]],"Pass","Fail")))</f>
        <v>Fail</v>
      </c>
      <c r="AH29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7" s="1" t="b">
        <v>0</v>
      </c>
      <c r="AN2967" s="1" t="b">
        <v>0</v>
      </c>
      <c r="AO2967" s="1" t="b">
        <v>0</v>
      </c>
    </row>
    <row r="2968" spans="1:41" x14ac:dyDescent="0.25">
      <c r="A2968" s="10"/>
      <c r="B2968" s="10"/>
      <c r="C2968" s="10"/>
      <c r="D2968" s="10"/>
      <c r="E2968" s="10"/>
      <c r="F2968" s="10"/>
      <c r="G2968" s="10"/>
      <c r="H2968" s="10"/>
      <c r="I2968" s="1" t="str">
        <f t="shared" si="138"/>
        <v/>
      </c>
      <c r="J2968" s="1" t="s">
        <v>35</v>
      </c>
      <c r="K2968" s="1" t="str">
        <f t="shared" si="139"/>
        <v/>
      </c>
      <c r="L2968" s="1" t="str">
        <f t="shared" si="140"/>
        <v/>
      </c>
      <c r="M2968" s="1">
        <f>IF(OR(Table1[[#This Row],[Std Nom]]="",Table1[[#This Row],[Std Read]]=""),0,Table1[[#This Row],[Std Nom]]-Table1[[#This Row],[Std Read]])</f>
        <v>0</v>
      </c>
      <c r="N2968" s="1">
        <f>IF(Calculations!$F$5="ACCREDITED 17025 WITH UNCERTAINTIES",$N$10,0)</f>
        <v>0</v>
      </c>
      <c r="O2968" s="1" t="str">
        <f>IFERROR(Table1[[#This Row],[Std Nom]]-(_xlfn.XLOOKUP(Table1[[#This Row],[Manufacturer]]&amp;" "&amp;Table1[[#This Row],[Model]],Table13[MFR &amp; MDL],Table13[Tolerance % CW ],"")/100*Table1[[#This Row],[Std Nom]]),"")</f>
        <v/>
      </c>
      <c r="P2968" s="1" t="str">
        <f>IFERROR(Table1[[#This Row],[Std Nom]]+(_xlfn.XLOOKUP(Table1[[#This Row],[Manufacturer]]&amp;" "&amp;Table1[[#This Row],[Model]],Table13[MFR &amp; MDL],Table13[Tolerance % CW ],"")/100*Table1[[#This Row],[Std Nom]]),"")</f>
        <v/>
      </c>
      <c r="Q2968" s="1" t="e">
        <f>Table1[[#This Row],[High Tol]]-Table1[[#This Row],[Low Tol]]</f>
        <v>#VALUE!</v>
      </c>
      <c r="R2968" s="1">
        <f>2*Table1[[#This Row],[Std Error]]</f>
        <v>0</v>
      </c>
      <c r="S2968" s="1" t="str">
        <f>IF(Table1[[#This Row],[High Tol]]="","N/A",IFERROR(ABS(Table1[[#This Row],[Tol Span]]/Table1[[#This Row],[Error Span]]),"N/A"))</f>
        <v>N/A</v>
      </c>
      <c r="T2968" s="1" t="str">
        <f>IF(OR(Table1[[#This Row],[Low Tol]]="",Table1[[#This Row],[High Tol]]=""),"Needs Analysis",IF(Table1[[#This Row],[Ratio]]&gt;=4,"Not Significant",IF(Table1[[#This Row],[Ratio]]&gt;=2,"Semi-Significant","Significant")))</f>
        <v>Needs Analysis</v>
      </c>
      <c r="W2968" s="1">
        <f>IF(Table1[[#This Row],[Cal Type]]&lt;&gt;"ACCREDITED 17025 WITH UNCERTAINTIES",0,"")</f>
        <v>0</v>
      </c>
      <c r="X2968" s="1" t="str">
        <f>IF(Table1[[#This Row],[DUT Read]]="","N/A",Table1[[#This Row],[Std Error]]+Table1[[#This Row],[DUT Read]]+Table1[[#This Row],[DUT Ucty]])</f>
        <v>N/A</v>
      </c>
      <c r="Y2968" s="1" t="str">
        <f>IF(Table1[[#This Row],[Std Read]]="","N/A",Table1[[#This Row],[Std Read]]+Table1[[#This Row],[Std Ucty]])</f>
        <v>N/A</v>
      </c>
      <c r="Z29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8" s="1" t="str">
        <f>IF(Table1[[#This Row],[Spec Type]]="","N/A",Table1[[#This Row],[Spec Type]])</f>
        <v>±</v>
      </c>
      <c r="AC2968" s="1" t="str">
        <f>IF(Table1[[#This Row],[Spec Type2]]="N/A","N/A",IF(AND(Table1[[#This Row],[DUT Adj Read]]&gt;=Table1[[#This Row],[Low Tol]],Table1[[#This Row],[DUT Adj Read]]&lt;=Table1[[#This Row],[High Tol]]),"Pass","Fail"))</f>
        <v>Fail</v>
      </c>
      <c r="AD2968" s="1" t="str">
        <f>IF(AND(Table1[[#This Row],[Spec Type2]]="N/A",Table1[[#This Row],[DUT Adj Read]]="N/A",Table1[[#This Row],[Std Adj Read]]="N/A"),"N/A",IF(Table1[[#This Row],[DUT Adj Read]]="N/A",IF(Table1[[#This Row],[Std Adj Read]]&gt;Table1[[#This Row],[Low Tol]],"Pass","Fail"),IF(Table1[[#This Row],[DUT Adj Read]]&gt;Table1[[#This Row],[Low Tol]],"Pass","Fail")))</f>
        <v>Pass</v>
      </c>
      <c r="AE2968" s="1" t="str">
        <f>IF(AND(Table1[[#This Row],[Spec Type2]]="N/A",Table1[[#This Row],[DUT Adj Read]]="N/A",Table1[[#This Row],[Std Adj Read]]="N/A"),"N/A",IF(Table1[[#This Row],[DUT Adj Read]]="N/A",IF(Table1[[#This Row],[Std Adj Read]]&lt;Table1[[#This Row],[High Tol]],"Pass","Fail"),IF(Table1[[#This Row],[DUT Adj Read]]&lt;Table1[[#This Row],[High Tol]],"Pass","Fail")))</f>
        <v>Fail</v>
      </c>
      <c r="AF2968" s="1" t="str">
        <f>IF(AND(Table1[[#This Row],[Spec Type2]]="N/A",Table1[[#This Row],[DUT Adj Read]]="N/A",Table1[[#This Row],[Std Adj Read]]="N/A"),"N/A",IF(Table1[[#This Row],[DUT Adj Read]]="N/A",IF(Table1[[#This Row],[Std Adj Read]]&gt;=Table1[[#This Row],[Low Tol]],"Pass","Fail"),IF(Table1[[#This Row],[DUT Adj Read]]&gt;=Table1[[#This Row],[Low Tol]],"Pass","Fail")))</f>
        <v>Pass</v>
      </c>
      <c r="AG2968" s="1" t="str">
        <f>IF(AND(Table1[[#This Row],[Spec Type2]]="N/A",Table1[[#This Row],[DUT Adj Read]]="N/A",Table1[[#This Row],[Std Adj Read]]="N/A"),"N/A",IF(Table1[[#This Row],[DUT Adj Read]]="N/A",IF(Table1[[#This Row],[Std Adj Read]]&lt;=Table1[[#This Row],[High Tol]],"Pass","Fail"),IF(Table1[[#This Row],[DUT Adj Read]]&lt;=Table1[[#This Row],[High Tol]],"Pass","Fail")))</f>
        <v>Fail</v>
      </c>
      <c r="AH29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8" s="1" t="b">
        <v>0</v>
      </c>
      <c r="AN2968" s="1" t="b">
        <v>0</v>
      </c>
      <c r="AO2968" s="1" t="b">
        <v>0</v>
      </c>
    </row>
    <row r="2969" spans="1:41" x14ac:dyDescent="0.25">
      <c r="A2969" s="10"/>
      <c r="B2969" s="10"/>
      <c r="C2969" s="10"/>
      <c r="D2969" s="10"/>
      <c r="E2969" s="10"/>
      <c r="F2969" s="10"/>
      <c r="G2969" s="10"/>
      <c r="H2969" s="10"/>
      <c r="I2969" s="1" t="str">
        <f t="shared" si="138"/>
        <v/>
      </c>
      <c r="J2969" s="1" t="s">
        <v>35</v>
      </c>
      <c r="K2969" s="1" t="str">
        <f t="shared" si="139"/>
        <v/>
      </c>
      <c r="L2969" s="1" t="str">
        <f t="shared" si="140"/>
        <v/>
      </c>
      <c r="M2969" s="1">
        <f>IF(OR(Table1[[#This Row],[Std Nom]]="",Table1[[#This Row],[Std Read]]=""),0,Table1[[#This Row],[Std Nom]]-Table1[[#This Row],[Std Read]])</f>
        <v>0</v>
      </c>
      <c r="N2969" s="1">
        <f>IF(Calculations!$F$5="ACCREDITED 17025 WITH UNCERTAINTIES",$N$10,0)</f>
        <v>0</v>
      </c>
      <c r="O2969" s="1" t="str">
        <f>IFERROR(Table1[[#This Row],[Std Nom]]-(_xlfn.XLOOKUP(Table1[[#This Row],[Manufacturer]]&amp;" "&amp;Table1[[#This Row],[Model]],Table13[MFR &amp; MDL],Table13[Tolerance % CW ],"")/100*Table1[[#This Row],[Std Nom]]),"")</f>
        <v/>
      </c>
      <c r="P2969" s="1" t="str">
        <f>IFERROR(Table1[[#This Row],[Std Nom]]+(_xlfn.XLOOKUP(Table1[[#This Row],[Manufacturer]]&amp;" "&amp;Table1[[#This Row],[Model]],Table13[MFR &amp; MDL],Table13[Tolerance % CW ],"")/100*Table1[[#This Row],[Std Nom]]),"")</f>
        <v/>
      </c>
      <c r="Q2969" s="1" t="e">
        <f>Table1[[#This Row],[High Tol]]-Table1[[#This Row],[Low Tol]]</f>
        <v>#VALUE!</v>
      </c>
      <c r="R2969" s="1">
        <f>2*Table1[[#This Row],[Std Error]]</f>
        <v>0</v>
      </c>
      <c r="S2969" s="1" t="str">
        <f>IF(Table1[[#This Row],[High Tol]]="","N/A",IFERROR(ABS(Table1[[#This Row],[Tol Span]]/Table1[[#This Row],[Error Span]]),"N/A"))</f>
        <v>N/A</v>
      </c>
      <c r="T2969" s="1" t="str">
        <f>IF(OR(Table1[[#This Row],[Low Tol]]="",Table1[[#This Row],[High Tol]]=""),"Needs Analysis",IF(Table1[[#This Row],[Ratio]]&gt;=4,"Not Significant",IF(Table1[[#This Row],[Ratio]]&gt;=2,"Semi-Significant","Significant")))</f>
        <v>Needs Analysis</v>
      </c>
      <c r="W2969" s="1">
        <f>IF(Table1[[#This Row],[Cal Type]]&lt;&gt;"ACCREDITED 17025 WITH UNCERTAINTIES",0,"")</f>
        <v>0</v>
      </c>
      <c r="X2969" s="1" t="str">
        <f>IF(Table1[[#This Row],[DUT Read]]="","N/A",Table1[[#This Row],[Std Error]]+Table1[[#This Row],[DUT Read]]+Table1[[#This Row],[DUT Ucty]])</f>
        <v>N/A</v>
      </c>
      <c r="Y2969" s="1" t="str">
        <f>IF(Table1[[#This Row],[Std Read]]="","N/A",Table1[[#This Row],[Std Read]]+Table1[[#This Row],[Std Ucty]])</f>
        <v>N/A</v>
      </c>
      <c r="Z29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9" s="1" t="str">
        <f>IF(Table1[[#This Row],[Spec Type]]="","N/A",Table1[[#This Row],[Spec Type]])</f>
        <v>±</v>
      </c>
      <c r="AC2969" s="1" t="str">
        <f>IF(Table1[[#This Row],[Spec Type2]]="N/A","N/A",IF(AND(Table1[[#This Row],[DUT Adj Read]]&gt;=Table1[[#This Row],[Low Tol]],Table1[[#This Row],[DUT Adj Read]]&lt;=Table1[[#This Row],[High Tol]]),"Pass","Fail"))</f>
        <v>Fail</v>
      </c>
      <c r="AD2969" s="1" t="str">
        <f>IF(AND(Table1[[#This Row],[Spec Type2]]="N/A",Table1[[#This Row],[DUT Adj Read]]="N/A",Table1[[#This Row],[Std Adj Read]]="N/A"),"N/A",IF(Table1[[#This Row],[DUT Adj Read]]="N/A",IF(Table1[[#This Row],[Std Adj Read]]&gt;Table1[[#This Row],[Low Tol]],"Pass","Fail"),IF(Table1[[#This Row],[DUT Adj Read]]&gt;Table1[[#This Row],[Low Tol]],"Pass","Fail")))</f>
        <v>Pass</v>
      </c>
      <c r="AE2969" s="1" t="str">
        <f>IF(AND(Table1[[#This Row],[Spec Type2]]="N/A",Table1[[#This Row],[DUT Adj Read]]="N/A",Table1[[#This Row],[Std Adj Read]]="N/A"),"N/A",IF(Table1[[#This Row],[DUT Adj Read]]="N/A",IF(Table1[[#This Row],[Std Adj Read]]&lt;Table1[[#This Row],[High Tol]],"Pass","Fail"),IF(Table1[[#This Row],[DUT Adj Read]]&lt;Table1[[#This Row],[High Tol]],"Pass","Fail")))</f>
        <v>Fail</v>
      </c>
      <c r="AF2969" s="1" t="str">
        <f>IF(AND(Table1[[#This Row],[Spec Type2]]="N/A",Table1[[#This Row],[DUT Adj Read]]="N/A",Table1[[#This Row],[Std Adj Read]]="N/A"),"N/A",IF(Table1[[#This Row],[DUT Adj Read]]="N/A",IF(Table1[[#This Row],[Std Adj Read]]&gt;=Table1[[#This Row],[Low Tol]],"Pass","Fail"),IF(Table1[[#This Row],[DUT Adj Read]]&gt;=Table1[[#This Row],[Low Tol]],"Pass","Fail")))</f>
        <v>Pass</v>
      </c>
      <c r="AG2969" s="1" t="str">
        <f>IF(AND(Table1[[#This Row],[Spec Type2]]="N/A",Table1[[#This Row],[DUT Adj Read]]="N/A",Table1[[#This Row],[Std Adj Read]]="N/A"),"N/A",IF(Table1[[#This Row],[DUT Adj Read]]="N/A",IF(Table1[[#This Row],[Std Adj Read]]&lt;=Table1[[#This Row],[High Tol]],"Pass","Fail"),IF(Table1[[#This Row],[DUT Adj Read]]&lt;=Table1[[#This Row],[High Tol]],"Pass","Fail")))</f>
        <v>Fail</v>
      </c>
      <c r="AH29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9" s="1" t="b">
        <v>0</v>
      </c>
      <c r="AN2969" s="1" t="b">
        <v>0</v>
      </c>
      <c r="AO2969" s="1" t="b">
        <v>0</v>
      </c>
    </row>
    <row r="2970" spans="1:41" x14ac:dyDescent="0.25">
      <c r="A2970" s="10"/>
      <c r="B2970" s="10"/>
      <c r="C2970" s="10"/>
      <c r="D2970" s="10"/>
      <c r="E2970" s="10"/>
      <c r="F2970" s="10"/>
      <c r="G2970" s="10"/>
      <c r="H2970" s="10"/>
      <c r="I2970" s="1" t="str">
        <f t="shared" si="138"/>
        <v/>
      </c>
      <c r="J2970" s="1" t="s">
        <v>35</v>
      </c>
      <c r="K2970" s="1" t="str">
        <f t="shared" si="139"/>
        <v/>
      </c>
      <c r="L2970" s="1" t="str">
        <f t="shared" si="140"/>
        <v/>
      </c>
      <c r="M2970" s="1">
        <f>IF(OR(Table1[[#This Row],[Std Nom]]="",Table1[[#This Row],[Std Read]]=""),0,Table1[[#This Row],[Std Nom]]-Table1[[#This Row],[Std Read]])</f>
        <v>0</v>
      </c>
      <c r="N2970" s="1">
        <f>IF(Calculations!$F$5="ACCREDITED 17025 WITH UNCERTAINTIES",$N$10,0)</f>
        <v>0</v>
      </c>
      <c r="O2970" s="1" t="str">
        <f>IFERROR(Table1[[#This Row],[Std Nom]]-(_xlfn.XLOOKUP(Table1[[#This Row],[Manufacturer]]&amp;" "&amp;Table1[[#This Row],[Model]],Table13[MFR &amp; MDL],Table13[Tolerance % CW ],"")/100*Table1[[#This Row],[Std Nom]]),"")</f>
        <v/>
      </c>
      <c r="P2970" s="1" t="str">
        <f>IFERROR(Table1[[#This Row],[Std Nom]]+(_xlfn.XLOOKUP(Table1[[#This Row],[Manufacturer]]&amp;" "&amp;Table1[[#This Row],[Model]],Table13[MFR &amp; MDL],Table13[Tolerance % CW ],"")/100*Table1[[#This Row],[Std Nom]]),"")</f>
        <v/>
      </c>
      <c r="Q2970" s="1" t="e">
        <f>Table1[[#This Row],[High Tol]]-Table1[[#This Row],[Low Tol]]</f>
        <v>#VALUE!</v>
      </c>
      <c r="R2970" s="1">
        <f>2*Table1[[#This Row],[Std Error]]</f>
        <v>0</v>
      </c>
      <c r="S2970" s="1" t="str">
        <f>IF(Table1[[#This Row],[High Tol]]="","N/A",IFERROR(ABS(Table1[[#This Row],[Tol Span]]/Table1[[#This Row],[Error Span]]),"N/A"))</f>
        <v>N/A</v>
      </c>
      <c r="T2970" s="1" t="str">
        <f>IF(OR(Table1[[#This Row],[Low Tol]]="",Table1[[#This Row],[High Tol]]=""),"Needs Analysis",IF(Table1[[#This Row],[Ratio]]&gt;=4,"Not Significant",IF(Table1[[#This Row],[Ratio]]&gt;=2,"Semi-Significant","Significant")))</f>
        <v>Needs Analysis</v>
      </c>
      <c r="W2970" s="1">
        <f>IF(Table1[[#This Row],[Cal Type]]&lt;&gt;"ACCREDITED 17025 WITH UNCERTAINTIES",0,"")</f>
        <v>0</v>
      </c>
      <c r="X2970" s="1" t="str">
        <f>IF(Table1[[#This Row],[DUT Read]]="","N/A",Table1[[#This Row],[Std Error]]+Table1[[#This Row],[DUT Read]]+Table1[[#This Row],[DUT Ucty]])</f>
        <v>N/A</v>
      </c>
      <c r="Y2970" s="1" t="str">
        <f>IF(Table1[[#This Row],[Std Read]]="","N/A",Table1[[#This Row],[Std Read]]+Table1[[#This Row],[Std Ucty]])</f>
        <v>N/A</v>
      </c>
      <c r="Z29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0" s="1" t="str">
        <f>IF(Table1[[#This Row],[Spec Type]]="","N/A",Table1[[#This Row],[Spec Type]])</f>
        <v>±</v>
      </c>
      <c r="AC2970" s="1" t="str">
        <f>IF(Table1[[#This Row],[Spec Type2]]="N/A","N/A",IF(AND(Table1[[#This Row],[DUT Adj Read]]&gt;=Table1[[#This Row],[Low Tol]],Table1[[#This Row],[DUT Adj Read]]&lt;=Table1[[#This Row],[High Tol]]),"Pass","Fail"))</f>
        <v>Fail</v>
      </c>
      <c r="AD2970" s="1" t="str">
        <f>IF(AND(Table1[[#This Row],[Spec Type2]]="N/A",Table1[[#This Row],[DUT Adj Read]]="N/A",Table1[[#This Row],[Std Adj Read]]="N/A"),"N/A",IF(Table1[[#This Row],[DUT Adj Read]]="N/A",IF(Table1[[#This Row],[Std Adj Read]]&gt;Table1[[#This Row],[Low Tol]],"Pass","Fail"),IF(Table1[[#This Row],[DUT Adj Read]]&gt;Table1[[#This Row],[Low Tol]],"Pass","Fail")))</f>
        <v>Pass</v>
      </c>
      <c r="AE2970" s="1" t="str">
        <f>IF(AND(Table1[[#This Row],[Spec Type2]]="N/A",Table1[[#This Row],[DUT Adj Read]]="N/A",Table1[[#This Row],[Std Adj Read]]="N/A"),"N/A",IF(Table1[[#This Row],[DUT Adj Read]]="N/A",IF(Table1[[#This Row],[Std Adj Read]]&lt;Table1[[#This Row],[High Tol]],"Pass","Fail"),IF(Table1[[#This Row],[DUT Adj Read]]&lt;Table1[[#This Row],[High Tol]],"Pass","Fail")))</f>
        <v>Fail</v>
      </c>
      <c r="AF2970" s="1" t="str">
        <f>IF(AND(Table1[[#This Row],[Spec Type2]]="N/A",Table1[[#This Row],[DUT Adj Read]]="N/A",Table1[[#This Row],[Std Adj Read]]="N/A"),"N/A",IF(Table1[[#This Row],[DUT Adj Read]]="N/A",IF(Table1[[#This Row],[Std Adj Read]]&gt;=Table1[[#This Row],[Low Tol]],"Pass","Fail"),IF(Table1[[#This Row],[DUT Adj Read]]&gt;=Table1[[#This Row],[Low Tol]],"Pass","Fail")))</f>
        <v>Pass</v>
      </c>
      <c r="AG2970" s="1" t="str">
        <f>IF(AND(Table1[[#This Row],[Spec Type2]]="N/A",Table1[[#This Row],[DUT Adj Read]]="N/A",Table1[[#This Row],[Std Adj Read]]="N/A"),"N/A",IF(Table1[[#This Row],[DUT Adj Read]]="N/A",IF(Table1[[#This Row],[Std Adj Read]]&lt;=Table1[[#This Row],[High Tol]],"Pass","Fail"),IF(Table1[[#This Row],[DUT Adj Read]]&lt;=Table1[[#This Row],[High Tol]],"Pass","Fail")))</f>
        <v>Fail</v>
      </c>
      <c r="AH29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0" s="1" t="b">
        <v>0</v>
      </c>
      <c r="AN2970" s="1" t="b">
        <v>0</v>
      </c>
      <c r="AO2970" s="1" t="b">
        <v>0</v>
      </c>
    </row>
    <row r="2971" spans="1:41" x14ac:dyDescent="0.25">
      <c r="A2971" s="10"/>
      <c r="B2971" s="10"/>
      <c r="C2971" s="10"/>
      <c r="D2971" s="10"/>
      <c r="E2971" s="10"/>
      <c r="F2971" s="10"/>
      <c r="G2971" s="10"/>
      <c r="H2971" s="10"/>
      <c r="I2971" s="1" t="str">
        <f t="shared" si="138"/>
        <v/>
      </c>
      <c r="J2971" s="1" t="s">
        <v>35</v>
      </c>
      <c r="K2971" s="1" t="str">
        <f t="shared" si="139"/>
        <v/>
      </c>
      <c r="L2971" s="1" t="str">
        <f t="shared" si="140"/>
        <v/>
      </c>
      <c r="M2971" s="1">
        <f>IF(OR(Table1[[#This Row],[Std Nom]]="",Table1[[#This Row],[Std Read]]=""),0,Table1[[#This Row],[Std Nom]]-Table1[[#This Row],[Std Read]])</f>
        <v>0</v>
      </c>
      <c r="N2971" s="1">
        <f>IF(Calculations!$F$5="ACCREDITED 17025 WITH UNCERTAINTIES",$N$10,0)</f>
        <v>0</v>
      </c>
      <c r="O2971" s="1" t="str">
        <f>IFERROR(Table1[[#This Row],[Std Nom]]-(_xlfn.XLOOKUP(Table1[[#This Row],[Manufacturer]]&amp;" "&amp;Table1[[#This Row],[Model]],Table13[MFR &amp; MDL],Table13[Tolerance % CW ],"")/100*Table1[[#This Row],[Std Nom]]),"")</f>
        <v/>
      </c>
      <c r="P2971" s="1" t="str">
        <f>IFERROR(Table1[[#This Row],[Std Nom]]+(_xlfn.XLOOKUP(Table1[[#This Row],[Manufacturer]]&amp;" "&amp;Table1[[#This Row],[Model]],Table13[MFR &amp; MDL],Table13[Tolerance % CW ],"")/100*Table1[[#This Row],[Std Nom]]),"")</f>
        <v/>
      </c>
      <c r="Q2971" s="1" t="e">
        <f>Table1[[#This Row],[High Tol]]-Table1[[#This Row],[Low Tol]]</f>
        <v>#VALUE!</v>
      </c>
      <c r="R2971" s="1">
        <f>2*Table1[[#This Row],[Std Error]]</f>
        <v>0</v>
      </c>
      <c r="S2971" s="1" t="str">
        <f>IF(Table1[[#This Row],[High Tol]]="","N/A",IFERROR(ABS(Table1[[#This Row],[Tol Span]]/Table1[[#This Row],[Error Span]]),"N/A"))</f>
        <v>N/A</v>
      </c>
      <c r="T2971" s="1" t="str">
        <f>IF(OR(Table1[[#This Row],[Low Tol]]="",Table1[[#This Row],[High Tol]]=""),"Needs Analysis",IF(Table1[[#This Row],[Ratio]]&gt;=4,"Not Significant",IF(Table1[[#This Row],[Ratio]]&gt;=2,"Semi-Significant","Significant")))</f>
        <v>Needs Analysis</v>
      </c>
      <c r="W2971" s="1">
        <f>IF(Table1[[#This Row],[Cal Type]]&lt;&gt;"ACCREDITED 17025 WITH UNCERTAINTIES",0,"")</f>
        <v>0</v>
      </c>
      <c r="X2971" s="1" t="str">
        <f>IF(Table1[[#This Row],[DUT Read]]="","N/A",Table1[[#This Row],[Std Error]]+Table1[[#This Row],[DUT Read]]+Table1[[#This Row],[DUT Ucty]])</f>
        <v>N/A</v>
      </c>
      <c r="Y2971" s="1" t="str">
        <f>IF(Table1[[#This Row],[Std Read]]="","N/A",Table1[[#This Row],[Std Read]]+Table1[[#This Row],[Std Ucty]])</f>
        <v>N/A</v>
      </c>
      <c r="Z29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1" s="1" t="str">
        <f>IF(Table1[[#This Row],[Spec Type]]="","N/A",Table1[[#This Row],[Spec Type]])</f>
        <v>±</v>
      </c>
      <c r="AC2971" s="1" t="str">
        <f>IF(Table1[[#This Row],[Spec Type2]]="N/A","N/A",IF(AND(Table1[[#This Row],[DUT Adj Read]]&gt;=Table1[[#This Row],[Low Tol]],Table1[[#This Row],[DUT Adj Read]]&lt;=Table1[[#This Row],[High Tol]]),"Pass","Fail"))</f>
        <v>Fail</v>
      </c>
      <c r="AD2971" s="1" t="str">
        <f>IF(AND(Table1[[#This Row],[Spec Type2]]="N/A",Table1[[#This Row],[DUT Adj Read]]="N/A",Table1[[#This Row],[Std Adj Read]]="N/A"),"N/A",IF(Table1[[#This Row],[DUT Adj Read]]="N/A",IF(Table1[[#This Row],[Std Adj Read]]&gt;Table1[[#This Row],[Low Tol]],"Pass","Fail"),IF(Table1[[#This Row],[DUT Adj Read]]&gt;Table1[[#This Row],[Low Tol]],"Pass","Fail")))</f>
        <v>Pass</v>
      </c>
      <c r="AE2971" s="1" t="str">
        <f>IF(AND(Table1[[#This Row],[Spec Type2]]="N/A",Table1[[#This Row],[DUT Adj Read]]="N/A",Table1[[#This Row],[Std Adj Read]]="N/A"),"N/A",IF(Table1[[#This Row],[DUT Adj Read]]="N/A",IF(Table1[[#This Row],[Std Adj Read]]&lt;Table1[[#This Row],[High Tol]],"Pass","Fail"),IF(Table1[[#This Row],[DUT Adj Read]]&lt;Table1[[#This Row],[High Tol]],"Pass","Fail")))</f>
        <v>Fail</v>
      </c>
      <c r="AF2971" s="1" t="str">
        <f>IF(AND(Table1[[#This Row],[Spec Type2]]="N/A",Table1[[#This Row],[DUT Adj Read]]="N/A",Table1[[#This Row],[Std Adj Read]]="N/A"),"N/A",IF(Table1[[#This Row],[DUT Adj Read]]="N/A",IF(Table1[[#This Row],[Std Adj Read]]&gt;=Table1[[#This Row],[Low Tol]],"Pass","Fail"),IF(Table1[[#This Row],[DUT Adj Read]]&gt;=Table1[[#This Row],[Low Tol]],"Pass","Fail")))</f>
        <v>Pass</v>
      </c>
      <c r="AG2971" s="1" t="str">
        <f>IF(AND(Table1[[#This Row],[Spec Type2]]="N/A",Table1[[#This Row],[DUT Adj Read]]="N/A",Table1[[#This Row],[Std Adj Read]]="N/A"),"N/A",IF(Table1[[#This Row],[DUT Adj Read]]="N/A",IF(Table1[[#This Row],[Std Adj Read]]&lt;=Table1[[#This Row],[High Tol]],"Pass","Fail"),IF(Table1[[#This Row],[DUT Adj Read]]&lt;=Table1[[#This Row],[High Tol]],"Pass","Fail")))</f>
        <v>Fail</v>
      </c>
      <c r="AH29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1" s="1" t="b">
        <v>0</v>
      </c>
      <c r="AN2971" s="1" t="b">
        <v>0</v>
      </c>
      <c r="AO2971" s="1" t="b">
        <v>0</v>
      </c>
    </row>
    <row r="2972" spans="1:41" x14ac:dyDescent="0.25">
      <c r="A2972" s="10"/>
      <c r="B2972" s="10"/>
      <c r="C2972" s="10"/>
      <c r="D2972" s="10"/>
      <c r="E2972" s="10"/>
      <c r="F2972" s="10"/>
      <c r="G2972" s="10"/>
      <c r="H2972" s="10"/>
      <c r="I2972" s="1" t="str">
        <f t="shared" si="138"/>
        <v/>
      </c>
      <c r="J2972" s="1" t="s">
        <v>35</v>
      </c>
      <c r="K2972" s="1" t="str">
        <f t="shared" si="139"/>
        <v/>
      </c>
      <c r="L2972" s="1" t="str">
        <f t="shared" si="140"/>
        <v/>
      </c>
      <c r="M2972" s="1">
        <f>IF(OR(Table1[[#This Row],[Std Nom]]="",Table1[[#This Row],[Std Read]]=""),0,Table1[[#This Row],[Std Nom]]-Table1[[#This Row],[Std Read]])</f>
        <v>0</v>
      </c>
      <c r="N2972" s="1">
        <f>IF(Calculations!$F$5="ACCREDITED 17025 WITH UNCERTAINTIES",$N$10,0)</f>
        <v>0</v>
      </c>
      <c r="O2972" s="1" t="str">
        <f>IFERROR(Table1[[#This Row],[Std Nom]]-(_xlfn.XLOOKUP(Table1[[#This Row],[Manufacturer]]&amp;" "&amp;Table1[[#This Row],[Model]],Table13[MFR &amp; MDL],Table13[Tolerance % CW ],"")/100*Table1[[#This Row],[Std Nom]]),"")</f>
        <v/>
      </c>
      <c r="P2972" s="1" t="str">
        <f>IFERROR(Table1[[#This Row],[Std Nom]]+(_xlfn.XLOOKUP(Table1[[#This Row],[Manufacturer]]&amp;" "&amp;Table1[[#This Row],[Model]],Table13[MFR &amp; MDL],Table13[Tolerance % CW ],"")/100*Table1[[#This Row],[Std Nom]]),"")</f>
        <v/>
      </c>
      <c r="Q2972" s="1" t="e">
        <f>Table1[[#This Row],[High Tol]]-Table1[[#This Row],[Low Tol]]</f>
        <v>#VALUE!</v>
      </c>
      <c r="R2972" s="1">
        <f>2*Table1[[#This Row],[Std Error]]</f>
        <v>0</v>
      </c>
      <c r="S2972" s="1" t="str">
        <f>IF(Table1[[#This Row],[High Tol]]="","N/A",IFERROR(ABS(Table1[[#This Row],[Tol Span]]/Table1[[#This Row],[Error Span]]),"N/A"))</f>
        <v>N/A</v>
      </c>
      <c r="T2972" s="1" t="str">
        <f>IF(OR(Table1[[#This Row],[Low Tol]]="",Table1[[#This Row],[High Tol]]=""),"Needs Analysis",IF(Table1[[#This Row],[Ratio]]&gt;=4,"Not Significant",IF(Table1[[#This Row],[Ratio]]&gt;=2,"Semi-Significant","Significant")))</f>
        <v>Needs Analysis</v>
      </c>
      <c r="W2972" s="1">
        <f>IF(Table1[[#This Row],[Cal Type]]&lt;&gt;"ACCREDITED 17025 WITH UNCERTAINTIES",0,"")</f>
        <v>0</v>
      </c>
      <c r="X2972" s="1" t="str">
        <f>IF(Table1[[#This Row],[DUT Read]]="","N/A",Table1[[#This Row],[Std Error]]+Table1[[#This Row],[DUT Read]]+Table1[[#This Row],[DUT Ucty]])</f>
        <v>N/A</v>
      </c>
      <c r="Y2972" s="1" t="str">
        <f>IF(Table1[[#This Row],[Std Read]]="","N/A",Table1[[#This Row],[Std Read]]+Table1[[#This Row],[Std Ucty]])</f>
        <v>N/A</v>
      </c>
      <c r="Z29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2" s="1" t="str">
        <f>IF(Table1[[#This Row],[Spec Type]]="","N/A",Table1[[#This Row],[Spec Type]])</f>
        <v>±</v>
      </c>
      <c r="AC2972" s="1" t="str">
        <f>IF(Table1[[#This Row],[Spec Type2]]="N/A","N/A",IF(AND(Table1[[#This Row],[DUT Adj Read]]&gt;=Table1[[#This Row],[Low Tol]],Table1[[#This Row],[DUT Adj Read]]&lt;=Table1[[#This Row],[High Tol]]),"Pass","Fail"))</f>
        <v>Fail</v>
      </c>
      <c r="AD2972" s="1" t="str">
        <f>IF(AND(Table1[[#This Row],[Spec Type2]]="N/A",Table1[[#This Row],[DUT Adj Read]]="N/A",Table1[[#This Row],[Std Adj Read]]="N/A"),"N/A",IF(Table1[[#This Row],[DUT Adj Read]]="N/A",IF(Table1[[#This Row],[Std Adj Read]]&gt;Table1[[#This Row],[Low Tol]],"Pass","Fail"),IF(Table1[[#This Row],[DUT Adj Read]]&gt;Table1[[#This Row],[Low Tol]],"Pass","Fail")))</f>
        <v>Pass</v>
      </c>
      <c r="AE2972" s="1" t="str">
        <f>IF(AND(Table1[[#This Row],[Spec Type2]]="N/A",Table1[[#This Row],[DUT Adj Read]]="N/A",Table1[[#This Row],[Std Adj Read]]="N/A"),"N/A",IF(Table1[[#This Row],[DUT Adj Read]]="N/A",IF(Table1[[#This Row],[Std Adj Read]]&lt;Table1[[#This Row],[High Tol]],"Pass","Fail"),IF(Table1[[#This Row],[DUT Adj Read]]&lt;Table1[[#This Row],[High Tol]],"Pass","Fail")))</f>
        <v>Fail</v>
      </c>
      <c r="AF2972" s="1" t="str">
        <f>IF(AND(Table1[[#This Row],[Spec Type2]]="N/A",Table1[[#This Row],[DUT Adj Read]]="N/A",Table1[[#This Row],[Std Adj Read]]="N/A"),"N/A",IF(Table1[[#This Row],[DUT Adj Read]]="N/A",IF(Table1[[#This Row],[Std Adj Read]]&gt;=Table1[[#This Row],[Low Tol]],"Pass","Fail"),IF(Table1[[#This Row],[DUT Adj Read]]&gt;=Table1[[#This Row],[Low Tol]],"Pass","Fail")))</f>
        <v>Pass</v>
      </c>
      <c r="AG2972" s="1" t="str">
        <f>IF(AND(Table1[[#This Row],[Spec Type2]]="N/A",Table1[[#This Row],[DUT Adj Read]]="N/A",Table1[[#This Row],[Std Adj Read]]="N/A"),"N/A",IF(Table1[[#This Row],[DUT Adj Read]]="N/A",IF(Table1[[#This Row],[Std Adj Read]]&lt;=Table1[[#This Row],[High Tol]],"Pass","Fail"),IF(Table1[[#This Row],[DUT Adj Read]]&lt;=Table1[[#This Row],[High Tol]],"Pass","Fail")))</f>
        <v>Fail</v>
      </c>
      <c r="AH29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2" s="1" t="b">
        <v>0</v>
      </c>
      <c r="AN2972" s="1" t="b">
        <v>0</v>
      </c>
      <c r="AO2972" s="1" t="b">
        <v>0</v>
      </c>
    </row>
    <row r="2973" spans="1:41" x14ac:dyDescent="0.25">
      <c r="A2973" s="10"/>
      <c r="B2973" s="10"/>
      <c r="C2973" s="10"/>
      <c r="D2973" s="10"/>
      <c r="E2973" s="10"/>
      <c r="F2973" s="10"/>
      <c r="G2973" s="10"/>
      <c r="H2973" s="10"/>
      <c r="I2973" s="1" t="str">
        <f t="shared" si="138"/>
        <v/>
      </c>
      <c r="J2973" s="1" t="s">
        <v>35</v>
      </c>
      <c r="K2973" s="1" t="str">
        <f t="shared" si="139"/>
        <v/>
      </c>
      <c r="L2973" s="1" t="str">
        <f t="shared" si="140"/>
        <v/>
      </c>
      <c r="M2973" s="1">
        <f>IF(OR(Table1[[#This Row],[Std Nom]]="",Table1[[#This Row],[Std Read]]=""),0,Table1[[#This Row],[Std Nom]]-Table1[[#This Row],[Std Read]])</f>
        <v>0</v>
      </c>
      <c r="N2973" s="1">
        <f>IF(Calculations!$F$5="ACCREDITED 17025 WITH UNCERTAINTIES",$N$10,0)</f>
        <v>0</v>
      </c>
      <c r="O2973" s="1" t="str">
        <f>IFERROR(Table1[[#This Row],[Std Nom]]-(_xlfn.XLOOKUP(Table1[[#This Row],[Manufacturer]]&amp;" "&amp;Table1[[#This Row],[Model]],Table13[MFR &amp; MDL],Table13[Tolerance % CW ],"")/100*Table1[[#This Row],[Std Nom]]),"")</f>
        <v/>
      </c>
      <c r="P2973" s="1" t="str">
        <f>IFERROR(Table1[[#This Row],[Std Nom]]+(_xlfn.XLOOKUP(Table1[[#This Row],[Manufacturer]]&amp;" "&amp;Table1[[#This Row],[Model]],Table13[MFR &amp; MDL],Table13[Tolerance % CW ],"")/100*Table1[[#This Row],[Std Nom]]),"")</f>
        <v/>
      </c>
      <c r="Q2973" s="1" t="e">
        <f>Table1[[#This Row],[High Tol]]-Table1[[#This Row],[Low Tol]]</f>
        <v>#VALUE!</v>
      </c>
      <c r="R2973" s="1">
        <f>2*Table1[[#This Row],[Std Error]]</f>
        <v>0</v>
      </c>
      <c r="S2973" s="1" t="str">
        <f>IF(Table1[[#This Row],[High Tol]]="","N/A",IFERROR(ABS(Table1[[#This Row],[Tol Span]]/Table1[[#This Row],[Error Span]]),"N/A"))</f>
        <v>N/A</v>
      </c>
      <c r="T2973" s="1" t="str">
        <f>IF(OR(Table1[[#This Row],[Low Tol]]="",Table1[[#This Row],[High Tol]]=""),"Needs Analysis",IF(Table1[[#This Row],[Ratio]]&gt;=4,"Not Significant",IF(Table1[[#This Row],[Ratio]]&gt;=2,"Semi-Significant","Significant")))</f>
        <v>Needs Analysis</v>
      </c>
      <c r="W2973" s="1">
        <f>IF(Table1[[#This Row],[Cal Type]]&lt;&gt;"ACCREDITED 17025 WITH UNCERTAINTIES",0,"")</f>
        <v>0</v>
      </c>
      <c r="X2973" s="1" t="str">
        <f>IF(Table1[[#This Row],[DUT Read]]="","N/A",Table1[[#This Row],[Std Error]]+Table1[[#This Row],[DUT Read]]+Table1[[#This Row],[DUT Ucty]])</f>
        <v>N/A</v>
      </c>
      <c r="Y2973" s="1" t="str">
        <f>IF(Table1[[#This Row],[Std Read]]="","N/A",Table1[[#This Row],[Std Read]]+Table1[[#This Row],[Std Ucty]])</f>
        <v>N/A</v>
      </c>
      <c r="Z29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3" s="1" t="str">
        <f>IF(Table1[[#This Row],[Spec Type]]="","N/A",Table1[[#This Row],[Spec Type]])</f>
        <v>±</v>
      </c>
      <c r="AC2973" s="1" t="str">
        <f>IF(Table1[[#This Row],[Spec Type2]]="N/A","N/A",IF(AND(Table1[[#This Row],[DUT Adj Read]]&gt;=Table1[[#This Row],[Low Tol]],Table1[[#This Row],[DUT Adj Read]]&lt;=Table1[[#This Row],[High Tol]]),"Pass","Fail"))</f>
        <v>Fail</v>
      </c>
      <c r="AD2973" s="1" t="str">
        <f>IF(AND(Table1[[#This Row],[Spec Type2]]="N/A",Table1[[#This Row],[DUT Adj Read]]="N/A",Table1[[#This Row],[Std Adj Read]]="N/A"),"N/A",IF(Table1[[#This Row],[DUT Adj Read]]="N/A",IF(Table1[[#This Row],[Std Adj Read]]&gt;Table1[[#This Row],[Low Tol]],"Pass","Fail"),IF(Table1[[#This Row],[DUT Adj Read]]&gt;Table1[[#This Row],[Low Tol]],"Pass","Fail")))</f>
        <v>Pass</v>
      </c>
      <c r="AE2973" s="1" t="str">
        <f>IF(AND(Table1[[#This Row],[Spec Type2]]="N/A",Table1[[#This Row],[DUT Adj Read]]="N/A",Table1[[#This Row],[Std Adj Read]]="N/A"),"N/A",IF(Table1[[#This Row],[DUT Adj Read]]="N/A",IF(Table1[[#This Row],[Std Adj Read]]&lt;Table1[[#This Row],[High Tol]],"Pass","Fail"),IF(Table1[[#This Row],[DUT Adj Read]]&lt;Table1[[#This Row],[High Tol]],"Pass","Fail")))</f>
        <v>Fail</v>
      </c>
      <c r="AF2973" s="1" t="str">
        <f>IF(AND(Table1[[#This Row],[Spec Type2]]="N/A",Table1[[#This Row],[DUT Adj Read]]="N/A",Table1[[#This Row],[Std Adj Read]]="N/A"),"N/A",IF(Table1[[#This Row],[DUT Adj Read]]="N/A",IF(Table1[[#This Row],[Std Adj Read]]&gt;=Table1[[#This Row],[Low Tol]],"Pass","Fail"),IF(Table1[[#This Row],[DUT Adj Read]]&gt;=Table1[[#This Row],[Low Tol]],"Pass","Fail")))</f>
        <v>Pass</v>
      </c>
      <c r="AG2973" s="1" t="str">
        <f>IF(AND(Table1[[#This Row],[Spec Type2]]="N/A",Table1[[#This Row],[DUT Adj Read]]="N/A",Table1[[#This Row],[Std Adj Read]]="N/A"),"N/A",IF(Table1[[#This Row],[DUT Adj Read]]="N/A",IF(Table1[[#This Row],[Std Adj Read]]&lt;=Table1[[#This Row],[High Tol]],"Pass","Fail"),IF(Table1[[#This Row],[DUT Adj Read]]&lt;=Table1[[#This Row],[High Tol]],"Pass","Fail")))</f>
        <v>Fail</v>
      </c>
      <c r="AH29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3" s="1" t="b">
        <v>0</v>
      </c>
      <c r="AN2973" s="1" t="b">
        <v>0</v>
      </c>
      <c r="AO2973" s="1" t="b">
        <v>0</v>
      </c>
    </row>
    <row r="2974" spans="1:41" x14ac:dyDescent="0.25">
      <c r="A2974" s="10"/>
      <c r="B2974" s="10"/>
      <c r="C2974" s="10"/>
      <c r="D2974" s="10"/>
      <c r="E2974" s="10"/>
      <c r="F2974" s="10"/>
      <c r="G2974" s="10"/>
      <c r="H2974" s="10"/>
      <c r="I2974" s="1" t="str">
        <f t="shared" si="138"/>
        <v/>
      </c>
      <c r="J2974" s="1" t="s">
        <v>35</v>
      </c>
      <c r="K2974" s="1" t="str">
        <f t="shared" si="139"/>
        <v/>
      </c>
      <c r="L2974" s="1" t="str">
        <f t="shared" si="140"/>
        <v/>
      </c>
      <c r="M2974" s="1">
        <f>IF(OR(Table1[[#This Row],[Std Nom]]="",Table1[[#This Row],[Std Read]]=""),0,Table1[[#This Row],[Std Nom]]-Table1[[#This Row],[Std Read]])</f>
        <v>0</v>
      </c>
      <c r="N2974" s="1">
        <f>IF(Calculations!$F$5="ACCREDITED 17025 WITH UNCERTAINTIES",$N$10,0)</f>
        <v>0</v>
      </c>
      <c r="O2974" s="1" t="str">
        <f>IFERROR(Table1[[#This Row],[Std Nom]]-(_xlfn.XLOOKUP(Table1[[#This Row],[Manufacturer]]&amp;" "&amp;Table1[[#This Row],[Model]],Table13[MFR &amp; MDL],Table13[Tolerance % CW ],"")/100*Table1[[#This Row],[Std Nom]]),"")</f>
        <v/>
      </c>
      <c r="P2974" s="1" t="str">
        <f>IFERROR(Table1[[#This Row],[Std Nom]]+(_xlfn.XLOOKUP(Table1[[#This Row],[Manufacturer]]&amp;" "&amp;Table1[[#This Row],[Model]],Table13[MFR &amp; MDL],Table13[Tolerance % CW ],"")/100*Table1[[#This Row],[Std Nom]]),"")</f>
        <v/>
      </c>
      <c r="Q2974" s="1" t="e">
        <f>Table1[[#This Row],[High Tol]]-Table1[[#This Row],[Low Tol]]</f>
        <v>#VALUE!</v>
      </c>
      <c r="R2974" s="1">
        <f>2*Table1[[#This Row],[Std Error]]</f>
        <v>0</v>
      </c>
      <c r="S2974" s="1" t="str">
        <f>IF(Table1[[#This Row],[High Tol]]="","N/A",IFERROR(ABS(Table1[[#This Row],[Tol Span]]/Table1[[#This Row],[Error Span]]),"N/A"))</f>
        <v>N/A</v>
      </c>
      <c r="T2974" s="1" t="str">
        <f>IF(OR(Table1[[#This Row],[Low Tol]]="",Table1[[#This Row],[High Tol]]=""),"Needs Analysis",IF(Table1[[#This Row],[Ratio]]&gt;=4,"Not Significant",IF(Table1[[#This Row],[Ratio]]&gt;=2,"Semi-Significant","Significant")))</f>
        <v>Needs Analysis</v>
      </c>
      <c r="W2974" s="1">
        <f>IF(Table1[[#This Row],[Cal Type]]&lt;&gt;"ACCREDITED 17025 WITH UNCERTAINTIES",0,"")</f>
        <v>0</v>
      </c>
      <c r="X2974" s="1" t="str">
        <f>IF(Table1[[#This Row],[DUT Read]]="","N/A",Table1[[#This Row],[Std Error]]+Table1[[#This Row],[DUT Read]]+Table1[[#This Row],[DUT Ucty]])</f>
        <v>N/A</v>
      </c>
      <c r="Y2974" s="1" t="str">
        <f>IF(Table1[[#This Row],[Std Read]]="","N/A",Table1[[#This Row],[Std Read]]+Table1[[#This Row],[Std Ucty]])</f>
        <v>N/A</v>
      </c>
      <c r="Z29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4" s="1" t="str">
        <f>IF(Table1[[#This Row],[Spec Type]]="","N/A",Table1[[#This Row],[Spec Type]])</f>
        <v>±</v>
      </c>
      <c r="AC2974" s="1" t="str">
        <f>IF(Table1[[#This Row],[Spec Type2]]="N/A","N/A",IF(AND(Table1[[#This Row],[DUT Adj Read]]&gt;=Table1[[#This Row],[Low Tol]],Table1[[#This Row],[DUT Adj Read]]&lt;=Table1[[#This Row],[High Tol]]),"Pass","Fail"))</f>
        <v>Fail</v>
      </c>
      <c r="AD2974" s="1" t="str">
        <f>IF(AND(Table1[[#This Row],[Spec Type2]]="N/A",Table1[[#This Row],[DUT Adj Read]]="N/A",Table1[[#This Row],[Std Adj Read]]="N/A"),"N/A",IF(Table1[[#This Row],[DUT Adj Read]]="N/A",IF(Table1[[#This Row],[Std Adj Read]]&gt;Table1[[#This Row],[Low Tol]],"Pass","Fail"),IF(Table1[[#This Row],[DUT Adj Read]]&gt;Table1[[#This Row],[Low Tol]],"Pass","Fail")))</f>
        <v>Pass</v>
      </c>
      <c r="AE2974" s="1" t="str">
        <f>IF(AND(Table1[[#This Row],[Spec Type2]]="N/A",Table1[[#This Row],[DUT Adj Read]]="N/A",Table1[[#This Row],[Std Adj Read]]="N/A"),"N/A",IF(Table1[[#This Row],[DUT Adj Read]]="N/A",IF(Table1[[#This Row],[Std Adj Read]]&lt;Table1[[#This Row],[High Tol]],"Pass","Fail"),IF(Table1[[#This Row],[DUT Adj Read]]&lt;Table1[[#This Row],[High Tol]],"Pass","Fail")))</f>
        <v>Fail</v>
      </c>
      <c r="AF2974" s="1" t="str">
        <f>IF(AND(Table1[[#This Row],[Spec Type2]]="N/A",Table1[[#This Row],[DUT Adj Read]]="N/A",Table1[[#This Row],[Std Adj Read]]="N/A"),"N/A",IF(Table1[[#This Row],[DUT Adj Read]]="N/A",IF(Table1[[#This Row],[Std Adj Read]]&gt;=Table1[[#This Row],[Low Tol]],"Pass","Fail"),IF(Table1[[#This Row],[DUT Adj Read]]&gt;=Table1[[#This Row],[Low Tol]],"Pass","Fail")))</f>
        <v>Pass</v>
      </c>
      <c r="AG2974" s="1" t="str">
        <f>IF(AND(Table1[[#This Row],[Spec Type2]]="N/A",Table1[[#This Row],[DUT Adj Read]]="N/A",Table1[[#This Row],[Std Adj Read]]="N/A"),"N/A",IF(Table1[[#This Row],[DUT Adj Read]]="N/A",IF(Table1[[#This Row],[Std Adj Read]]&lt;=Table1[[#This Row],[High Tol]],"Pass","Fail"),IF(Table1[[#This Row],[DUT Adj Read]]&lt;=Table1[[#This Row],[High Tol]],"Pass","Fail")))</f>
        <v>Fail</v>
      </c>
      <c r="AH29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4" s="1" t="b">
        <v>0</v>
      </c>
      <c r="AN2974" s="1" t="b">
        <v>0</v>
      </c>
      <c r="AO2974" s="1" t="b">
        <v>0</v>
      </c>
    </row>
    <row r="2975" spans="1:41" x14ac:dyDescent="0.25">
      <c r="A2975" s="10"/>
      <c r="B2975" s="10"/>
      <c r="C2975" s="10"/>
      <c r="D2975" s="10"/>
      <c r="E2975" s="10"/>
      <c r="F2975" s="10"/>
      <c r="G2975" s="10"/>
      <c r="H2975" s="10"/>
      <c r="I2975" s="1" t="str">
        <f t="shared" si="138"/>
        <v/>
      </c>
      <c r="J2975" s="1" t="s">
        <v>35</v>
      </c>
      <c r="K2975" s="1" t="str">
        <f t="shared" si="139"/>
        <v/>
      </c>
      <c r="L2975" s="1" t="str">
        <f t="shared" si="140"/>
        <v/>
      </c>
      <c r="M2975" s="1">
        <f>IF(OR(Table1[[#This Row],[Std Nom]]="",Table1[[#This Row],[Std Read]]=""),0,Table1[[#This Row],[Std Nom]]-Table1[[#This Row],[Std Read]])</f>
        <v>0</v>
      </c>
      <c r="N2975" s="1">
        <f>IF(Calculations!$F$5="ACCREDITED 17025 WITH UNCERTAINTIES",$N$10,0)</f>
        <v>0</v>
      </c>
      <c r="O2975" s="1" t="str">
        <f>IFERROR(Table1[[#This Row],[Std Nom]]-(_xlfn.XLOOKUP(Table1[[#This Row],[Manufacturer]]&amp;" "&amp;Table1[[#This Row],[Model]],Table13[MFR &amp; MDL],Table13[Tolerance % CW ],"")/100*Table1[[#This Row],[Std Nom]]),"")</f>
        <v/>
      </c>
      <c r="P2975" s="1" t="str">
        <f>IFERROR(Table1[[#This Row],[Std Nom]]+(_xlfn.XLOOKUP(Table1[[#This Row],[Manufacturer]]&amp;" "&amp;Table1[[#This Row],[Model]],Table13[MFR &amp; MDL],Table13[Tolerance % CW ],"")/100*Table1[[#This Row],[Std Nom]]),"")</f>
        <v/>
      </c>
      <c r="Q2975" s="1" t="e">
        <f>Table1[[#This Row],[High Tol]]-Table1[[#This Row],[Low Tol]]</f>
        <v>#VALUE!</v>
      </c>
      <c r="R2975" s="1">
        <f>2*Table1[[#This Row],[Std Error]]</f>
        <v>0</v>
      </c>
      <c r="S2975" s="1" t="str">
        <f>IF(Table1[[#This Row],[High Tol]]="","N/A",IFERROR(ABS(Table1[[#This Row],[Tol Span]]/Table1[[#This Row],[Error Span]]),"N/A"))</f>
        <v>N/A</v>
      </c>
      <c r="T2975" s="1" t="str">
        <f>IF(OR(Table1[[#This Row],[Low Tol]]="",Table1[[#This Row],[High Tol]]=""),"Needs Analysis",IF(Table1[[#This Row],[Ratio]]&gt;=4,"Not Significant",IF(Table1[[#This Row],[Ratio]]&gt;=2,"Semi-Significant","Significant")))</f>
        <v>Needs Analysis</v>
      </c>
      <c r="W2975" s="1">
        <f>IF(Table1[[#This Row],[Cal Type]]&lt;&gt;"ACCREDITED 17025 WITH UNCERTAINTIES",0,"")</f>
        <v>0</v>
      </c>
      <c r="X2975" s="1" t="str">
        <f>IF(Table1[[#This Row],[DUT Read]]="","N/A",Table1[[#This Row],[Std Error]]+Table1[[#This Row],[DUT Read]]+Table1[[#This Row],[DUT Ucty]])</f>
        <v>N/A</v>
      </c>
      <c r="Y2975" s="1" t="str">
        <f>IF(Table1[[#This Row],[Std Read]]="","N/A",Table1[[#This Row],[Std Read]]+Table1[[#This Row],[Std Ucty]])</f>
        <v>N/A</v>
      </c>
      <c r="Z29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5" s="1" t="str">
        <f>IF(Table1[[#This Row],[Spec Type]]="","N/A",Table1[[#This Row],[Spec Type]])</f>
        <v>±</v>
      </c>
      <c r="AC2975" s="1" t="str">
        <f>IF(Table1[[#This Row],[Spec Type2]]="N/A","N/A",IF(AND(Table1[[#This Row],[DUT Adj Read]]&gt;=Table1[[#This Row],[Low Tol]],Table1[[#This Row],[DUT Adj Read]]&lt;=Table1[[#This Row],[High Tol]]),"Pass","Fail"))</f>
        <v>Fail</v>
      </c>
      <c r="AD2975" s="1" t="str">
        <f>IF(AND(Table1[[#This Row],[Spec Type2]]="N/A",Table1[[#This Row],[DUT Adj Read]]="N/A",Table1[[#This Row],[Std Adj Read]]="N/A"),"N/A",IF(Table1[[#This Row],[DUT Adj Read]]="N/A",IF(Table1[[#This Row],[Std Adj Read]]&gt;Table1[[#This Row],[Low Tol]],"Pass","Fail"),IF(Table1[[#This Row],[DUT Adj Read]]&gt;Table1[[#This Row],[Low Tol]],"Pass","Fail")))</f>
        <v>Pass</v>
      </c>
      <c r="AE2975" s="1" t="str">
        <f>IF(AND(Table1[[#This Row],[Spec Type2]]="N/A",Table1[[#This Row],[DUT Adj Read]]="N/A",Table1[[#This Row],[Std Adj Read]]="N/A"),"N/A",IF(Table1[[#This Row],[DUT Adj Read]]="N/A",IF(Table1[[#This Row],[Std Adj Read]]&lt;Table1[[#This Row],[High Tol]],"Pass","Fail"),IF(Table1[[#This Row],[DUT Adj Read]]&lt;Table1[[#This Row],[High Tol]],"Pass","Fail")))</f>
        <v>Fail</v>
      </c>
      <c r="AF2975" s="1" t="str">
        <f>IF(AND(Table1[[#This Row],[Spec Type2]]="N/A",Table1[[#This Row],[DUT Adj Read]]="N/A",Table1[[#This Row],[Std Adj Read]]="N/A"),"N/A",IF(Table1[[#This Row],[DUT Adj Read]]="N/A",IF(Table1[[#This Row],[Std Adj Read]]&gt;=Table1[[#This Row],[Low Tol]],"Pass","Fail"),IF(Table1[[#This Row],[DUT Adj Read]]&gt;=Table1[[#This Row],[Low Tol]],"Pass","Fail")))</f>
        <v>Pass</v>
      </c>
      <c r="AG2975" s="1" t="str">
        <f>IF(AND(Table1[[#This Row],[Spec Type2]]="N/A",Table1[[#This Row],[DUT Adj Read]]="N/A",Table1[[#This Row],[Std Adj Read]]="N/A"),"N/A",IF(Table1[[#This Row],[DUT Adj Read]]="N/A",IF(Table1[[#This Row],[Std Adj Read]]&lt;=Table1[[#This Row],[High Tol]],"Pass","Fail"),IF(Table1[[#This Row],[DUT Adj Read]]&lt;=Table1[[#This Row],[High Tol]],"Pass","Fail")))</f>
        <v>Fail</v>
      </c>
      <c r="AH29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5" s="1" t="b">
        <v>0</v>
      </c>
      <c r="AN2975" s="1" t="b">
        <v>0</v>
      </c>
      <c r="AO2975" s="1" t="b">
        <v>0</v>
      </c>
    </row>
    <row r="2976" spans="1:41" x14ac:dyDescent="0.25">
      <c r="A2976" s="10"/>
      <c r="B2976" s="10"/>
      <c r="C2976" s="10"/>
      <c r="D2976" s="10"/>
      <c r="E2976" s="10"/>
      <c r="F2976" s="10"/>
      <c r="G2976" s="10"/>
      <c r="H2976" s="10"/>
      <c r="I2976" s="1" t="str">
        <f t="shared" si="138"/>
        <v/>
      </c>
      <c r="J2976" s="1" t="s">
        <v>35</v>
      </c>
      <c r="K2976" s="1" t="str">
        <f t="shared" si="139"/>
        <v/>
      </c>
      <c r="L2976" s="1" t="str">
        <f t="shared" si="140"/>
        <v/>
      </c>
      <c r="M2976" s="1">
        <f>IF(OR(Table1[[#This Row],[Std Nom]]="",Table1[[#This Row],[Std Read]]=""),0,Table1[[#This Row],[Std Nom]]-Table1[[#This Row],[Std Read]])</f>
        <v>0</v>
      </c>
      <c r="N2976" s="1">
        <f>IF(Calculations!$F$5="ACCREDITED 17025 WITH UNCERTAINTIES",$N$10,0)</f>
        <v>0</v>
      </c>
      <c r="O2976" s="1" t="str">
        <f>IFERROR(Table1[[#This Row],[Std Nom]]-(_xlfn.XLOOKUP(Table1[[#This Row],[Manufacturer]]&amp;" "&amp;Table1[[#This Row],[Model]],Table13[MFR &amp; MDL],Table13[Tolerance % CW ],"")/100*Table1[[#This Row],[Std Nom]]),"")</f>
        <v/>
      </c>
      <c r="P2976" s="1" t="str">
        <f>IFERROR(Table1[[#This Row],[Std Nom]]+(_xlfn.XLOOKUP(Table1[[#This Row],[Manufacturer]]&amp;" "&amp;Table1[[#This Row],[Model]],Table13[MFR &amp; MDL],Table13[Tolerance % CW ],"")/100*Table1[[#This Row],[Std Nom]]),"")</f>
        <v/>
      </c>
      <c r="Q2976" s="1" t="e">
        <f>Table1[[#This Row],[High Tol]]-Table1[[#This Row],[Low Tol]]</f>
        <v>#VALUE!</v>
      </c>
      <c r="R2976" s="1">
        <f>2*Table1[[#This Row],[Std Error]]</f>
        <v>0</v>
      </c>
      <c r="S2976" s="1" t="str">
        <f>IF(Table1[[#This Row],[High Tol]]="","N/A",IFERROR(ABS(Table1[[#This Row],[Tol Span]]/Table1[[#This Row],[Error Span]]),"N/A"))</f>
        <v>N/A</v>
      </c>
      <c r="T2976" s="1" t="str">
        <f>IF(OR(Table1[[#This Row],[Low Tol]]="",Table1[[#This Row],[High Tol]]=""),"Needs Analysis",IF(Table1[[#This Row],[Ratio]]&gt;=4,"Not Significant",IF(Table1[[#This Row],[Ratio]]&gt;=2,"Semi-Significant","Significant")))</f>
        <v>Needs Analysis</v>
      </c>
      <c r="W2976" s="1">
        <f>IF(Table1[[#This Row],[Cal Type]]&lt;&gt;"ACCREDITED 17025 WITH UNCERTAINTIES",0,"")</f>
        <v>0</v>
      </c>
      <c r="X2976" s="1" t="str">
        <f>IF(Table1[[#This Row],[DUT Read]]="","N/A",Table1[[#This Row],[Std Error]]+Table1[[#This Row],[DUT Read]]+Table1[[#This Row],[DUT Ucty]])</f>
        <v>N/A</v>
      </c>
      <c r="Y2976" s="1" t="str">
        <f>IF(Table1[[#This Row],[Std Read]]="","N/A",Table1[[#This Row],[Std Read]]+Table1[[#This Row],[Std Ucty]])</f>
        <v>N/A</v>
      </c>
      <c r="Z29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6" s="1" t="str">
        <f>IF(Table1[[#This Row],[Spec Type]]="","N/A",Table1[[#This Row],[Spec Type]])</f>
        <v>±</v>
      </c>
      <c r="AC2976" s="1" t="str">
        <f>IF(Table1[[#This Row],[Spec Type2]]="N/A","N/A",IF(AND(Table1[[#This Row],[DUT Adj Read]]&gt;=Table1[[#This Row],[Low Tol]],Table1[[#This Row],[DUT Adj Read]]&lt;=Table1[[#This Row],[High Tol]]),"Pass","Fail"))</f>
        <v>Fail</v>
      </c>
      <c r="AD2976" s="1" t="str">
        <f>IF(AND(Table1[[#This Row],[Spec Type2]]="N/A",Table1[[#This Row],[DUT Adj Read]]="N/A",Table1[[#This Row],[Std Adj Read]]="N/A"),"N/A",IF(Table1[[#This Row],[DUT Adj Read]]="N/A",IF(Table1[[#This Row],[Std Adj Read]]&gt;Table1[[#This Row],[Low Tol]],"Pass","Fail"),IF(Table1[[#This Row],[DUT Adj Read]]&gt;Table1[[#This Row],[Low Tol]],"Pass","Fail")))</f>
        <v>Pass</v>
      </c>
      <c r="AE2976" s="1" t="str">
        <f>IF(AND(Table1[[#This Row],[Spec Type2]]="N/A",Table1[[#This Row],[DUT Adj Read]]="N/A",Table1[[#This Row],[Std Adj Read]]="N/A"),"N/A",IF(Table1[[#This Row],[DUT Adj Read]]="N/A",IF(Table1[[#This Row],[Std Adj Read]]&lt;Table1[[#This Row],[High Tol]],"Pass","Fail"),IF(Table1[[#This Row],[DUT Adj Read]]&lt;Table1[[#This Row],[High Tol]],"Pass","Fail")))</f>
        <v>Fail</v>
      </c>
      <c r="AF2976" s="1" t="str">
        <f>IF(AND(Table1[[#This Row],[Spec Type2]]="N/A",Table1[[#This Row],[DUT Adj Read]]="N/A",Table1[[#This Row],[Std Adj Read]]="N/A"),"N/A",IF(Table1[[#This Row],[DUT Adj Read]]="N/A",IF(Table1[[#This Row],[Std Adj Read]]&gt;=Table1[[#This Row],[Low Tol]],"Pass","Fail"),IF(Table1[[#This Row],[DUT Adj Read]]&gt;=Table1[[#This Row],[Low Tol]],"Pass","Fail")))</f>
        <v>Pass</v>
      </c>
      <c r="AG2976" s="1" t="str">
        <f>IF(AND(Table1[[#This Row],[Spec Type2]]="N/A",Table1[[#This Row],[DUT Adj Read]]="N/A",Table1[[#This Row],[Std Adj Read]]="N/A"),"N/A",IF(Table1[[#This Row],[DUT Adj Read]]="N/A",IF(Table1[[#This Row],[Std Adj Read]]&lt;=Table1[[#This Row],[High Tol]],"Pass","Fail"),IF(Table1[[#This Row],[DUT Adj Read]]&lt;=Table1[[#This Row],[High Tol]],"Pass","Fail")))</f>
        <v>Fail</v>
      </c>
      <c r="AH29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6" s="1" t="b">
        <v>0</v>
      </c>
      <c r="AN2976" s="1" t="b">
        <v>0</v>
      </c>
      <c r="AO2976" s="1" t="b">
        <v>0</v>
      </c>
    </row>
    <row r="2977" spans="1:41" x14ac:dyDescent="0.25">
      <c r="A2977" s="10"/>
      <c r="B2977" s="10"/>
      <c r="C2977" s="10"/>
      <c r="D2977" s="10"/>
      <c r="E2977" s="10"/>
      <c r="F2977" s="10"/>
      <c r="G2977" s="10"/>
      <c r="H2977" s="10"/>
      <c r="I2977" s="1" t="str">
        <f t="shared" si="138"/>
        <v/>
      </c>
      <c r="J2977" s="1" t="s">
        <v>35</v>
      </c>
      <c r="K2977" s="1" t="str">
        <f t="shared" si="139"/>
        <v/>
      </c>
      <c r="L2977" s="1" t="str">
        <f t="shared" si="140"/>
        <v/>
      </c>
      <c r="M2977" s="1">
        <f>IF(OR(Table1[[#This Row],[Std Nom]]="",Table1[[#This Row],[Std Read]]=""),0,Table1[[#This Row],[Std Nom]]-Table1[[#This Row],[Std Read]])</f>
        <v>0</v>
      </c>
      <c r="N2977" s="1">
        <f>IF(Calculations!$F$5="ACCREDITED 17025 WITH UNCERTAINTIES",$N$10,0)</f>
        <v>0</v>
      </c>
      <c r="O2977" s="1" t="str">
        <f>IFERROR(Table1[[#This Row],[Std Nom]]-(_xlfn.XLOOKUP(Table1[[#This Row],[Manufacturer]]&amp;" "&amp;Table1[[#This Row],[Model]],Table13[MFR &amp; MDL],Table13[Tolerance % CW ],"")/100*Table1[[#This Row],[Std Nom]]),"")</f>
        <v/>
      </c>
      <c r="P2977" s="1" t="str">
        <f>IFERROR(Table1[[#This Row],[Std Nom]]+(_xlfn.XLOOKUP(Table1[[#This Row],[Manufacturer]]&amp;" "&amp;Table1[[#This Row],[Model]],Table13[MFR &amp; MDL],Table13[Tolerance % CW ],"")/100*Table1[[#This Row],[Std Nom]]),"")</f>
        <v/>
      </c>
      <c r="Q2977" s="1" t="e">
        <f>Table1[[#This Row],[High Tol]]-Table1[[#This Row],[Low Tol]]</f>
        <v>#VALUE!</v>
      </c>
      <c r="R2977" s="1">
        <f>2*Table1[[#This Row],[Std Error]]</f>
        <v>0</v>
      </c>
      <c r="S2977" s="1" t="str">
        <f>IF(Table1[[#This Row],[High Tol]]="","N/A",IFERROR(ABS(Table1[[#This Row],[Tol Span]]/Table1[[#This Row],[Error Span]]),"N/A"))</f>
        <v>N/A</v>
      </c>
      <c r="T2977" s="1" t="str">
        <f>IF(OR(Table1[[#This Row],[Low Tol]]="",Table1[[#This Row],[High Tol]]=""),"Needs Analysis",IF(Table1[[#This Row],[Ratio]]&gt;=4,"Not Significant",IF(Table1[[#This Row],[Ratio]]&gt;=2,"Semi-Significant","Significant")))</f>
        <v>Needs Analysis</v>
      </c>
      <c r="W2977" s="1">
        <f>IF(Table1[[#This Row],[Cal Type]]&lt;&gt;"ACCREDITED 17025 WITH UNCERTAINTIES",0,"")</f>
        <v>0</v>
      </c>
      <c r="X2977" s="1" t="str">
        <f>IF(Table1[[#This Row],[DUT Read]]="","N/A",Table1[[#This Row],[Std Error]]+Table1[[#This Row],[DUT Read]]+Table1[[#This Row],[DUT Ucty]])</f>
        <v>N/A</v>
      </c>
      <c r="Y2977" s="1" t="str">
        <f>IF(Table1[[#This Row],[Std Read]]="","N/A",Table1[[#This Row],[Std Read]]+Table1[[#This Row],[Std Ucty]])</f>
        <v>N/A</v>
      </c>
      <c r="Z29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7" s="1" t="str">
        <f>IF(Table1[[#This Row],[Spec Type]]="","N/A",Table1[[#This Row],[Spec Type]])</f>
        <v>±</v>
      </c>
      <c r="AC2977" s="1" t="str">
        <f>IF(Table1[[#This Row],[Spec Type2]]="N/A","N/A",IF(AND(Table1[[#This Row],[DUT Adj Read]]&gt;=Table1[[#This Row],[Low Tol]],Table1[[#This Row],[DUT Adj Read]]&lt;=Table1[[#This Row],[High Tol]]),"Pass","Fail"))</f>
        <v>Fail</v>
      </c>
      <c r="AD2977" s="1" t="str">
        <f>IF(AND(Table1[[#This Row],[Spec Type2]]="N/A",Table1[[#This Row],[DUT Adj Read]]="N/A",Table1[[#This Row],[Std Adj Read]]="N/A"),"N/A",IF(Table1[[#This Row],[DUT Adj Read]]="N/A",IF(Table1[[#This Row],[Std Adj Read]]&gt;Table1[[#This Row],[Low Tol]],"Pass","Fail"),IF(Table1[[#This Row],[DUT Adj Read]]&gt;Table1[[#This Row],[Low Tol]],"Pass","Fail")))</f>
        <v>Pass</v>
      </c>
      <c r="AE2977" s="1" t="str">
        <f>IF(AND(Table1[[#This Row],[Spec Type2]]="N/A",Table1[[#This Row],[DUT Adj Read]]="N/A",Table1[[#This Row],[Std Adj Read]]="N/A"),"N/A",IF(Table1[[#This Row],[DUT Adj Read]]="N/A",IF(Table1[[#This Row],[Std Adj Read]]&lt;Table1[[#This Row],[High Tol]],"Pass","Fail"),IF(Table1[[#This Row],[DUT Adj Read]]&lt;Table1[[#This Row],[High Tol]],"Pass","Fail")))</f>
        <v>Fail</v>
      </c>
      <c r="AF2977" s="1" t="str">
        <f>IF(AND(Table1[[#This Row],[Spec Type2]]="N/A",Table1[[#This Row],[DUT Adj Read]]="N/A",Table1[[#This Row],[Std Adj Read]]="N/A"),"N/A",IF(Table1[[#This Row],[DUT Adj Read]]="N/A",IF(Table1[[#This Row],[Std Adj Read]]&gt;=Table1[[#This Row],[Low Tol]],"Pass","Fail"),IF(Table1[[#This Row],[DUT Adj Read]]&gt;=Table1[[#This Row],[Low Tol]],"Pass","Fail")))</f>
        <v>Pass</v>
      </c>
      <c r="AG2977" s="1" t="str">
        <f>IF(AND(Table1[[#This Row],[Spec Type2]]="N/A",Table1[[#This Row],[DUT Adj Read]]="N/A",Table1[[#This Row],[Std Adj Read]]="N/A"),"N/A",IF(Table1[[#This Row],[DUT Adj Read]]="N/A",IF(Table1[[#This Row],[Std Adj Read]]&lt;=Table1[[#This Row],[High Tol]],"Pass","Fail"),IF(Table1[[#This Row],[DUT Adj Read]]&lt;=Table1[[#This Row],[High Tol]],"Pass","Fail")))</f>
        <v>Fail</v>
      </c>
      <c r="AH29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7" s="1" t="b">
        <v>0</v>
      </c>
      <c r="AN2977" s="1" t="b">
        <v>0</v>
      </c>
      <c r="AO2977" s="1" t="b">
        <v>0</v>
      </c>
    </row>
    <row r="2978" spans="1:41" x14ac:dyDescent="0.25">
      <c r="A2978" s="10"/>
      <c r="B2978" s="10"/>
      <c r="C2978" s="10"/>
      <c r="D2978" s="10"/>
      <c r="E2978" s="10"/>
      <c r="F2978" s="10"/>
      <c r="G2978" s="10"/>
      <c r="H2978" s="10"/>
      <c r="I2978" s="1" t="str">
        <f t="shared" si="138"/>
        <v/>
      </c>
      <c r="J2978" s="1" t="s">
        <v>35</v>
      </c>
      <c r="K2978" s="1" t="str">
        <f t="shared" si="139"/>
        <v/>
      </c>
      <c r="L2978" s="1" t="str">
        <f t="shared" si="140"/>
        <v/>
      </c>
      <c r="M2978" s="1">
        <f>IF(OR(Table1[[#This Row],[Std Nom]]="",Table1[[#This Row],[Std Read]]=""),0,Table1[[#This Row],[Std Nom]]-Table1[[#This Row],[Std Read]])</f>
        <v>0</v>
      </c>
      <c r="N2978" s="1">
        <f>IF(Calculations!$F$5="ACCREDITED 17025 WITH UNCERTAINTIES",$N$10,0)</f>
        <v>0</v>
      </c>
      <c r="O2978" s="1" t="str">
        <f>IFERROR(Table1[[#This Row],[Std Nom]]-(_xlfn.XLOOKUP(Table1[[#This Row],[Manufacturer]]&amp;" "&amp;Table1[[#This Row],[Model]],Table13[MFR &amp; MDL],Table13[Tolerance % CW ],"")/100*Table1[[#This Row],[Std Nom]]),"")</f>
        <v/>
      </c>
      <c r="P2978" s="1" t="str">
        <f>IFERROR(Table1[[#This Row],[Std Nom]]+(_xlfn.XLOOKUP(Table1[[#This Row],[Manufacturer]]&amp;" "&amp;Table1[[#This Row],[Model]],Table13[MFR &amp; MDL],Table13[Tolerance % CW ],"")/100*Table1[[#This Row],[Std Nom]]),"")</f>
        <v/>
      </c>
      <c r="Q2978" s="1" t="e">
        <f>Table1[[#This Row],[High Tol]]-Table1[[#This Row],[Low Tol]]</f>
        <v>#VALUE!</v>
      </c>
      <c r="R2978" s="1">
        <f>2*Table1[[#This Row],[Std Error]]</f>
        <v>0</v>
      </c>
      <c r="S2978" s="1" t="str">
        <f>IF(Table1[[#This Row],[High Tol]]="","N/A",IFERROR(ABS(Table1[[#This Row],[Tol Span]]/Table1[[#This Row],[Error Span]]),"N/A"))</f>
        <v>N/A</v>
      </c>
      <c r="T2978" s="1" t="str">
        <f>IF(OR(Table1[[#This Row],[Low Tol]]="",Table1[[#This Row],[High Tol]]=""),"Needs Analysis",IF(Table1[[#This Row],[Ratio]]&gt;=4,"Not Significant",IF(Table1[[#This Row],[Ratio]]&gt;=2,"Semi-Significant","Significant")))</f>
        <v>Needs Analysis</v>
      </c>
      <c r="W2978" s="1">
        <f>IF(Table1[[#This Row],[Cal Type]]&lt;&gt;"ACCREDITED 17025 WITH UNCERTAINTIES",0,"")</f>
        <v>0</v>
      </c>
      <c r="X2978" s="1" t="str">
        <f>IF(Table1[[#This Row],[DUT Read]]="","N/A",Table1[[#This Row],[Std Error]]+Table1[[#This Row],[DUT Read]]+Table1[[#This Row],[DUT Ucty]])</f>
        <v>N/A</v>
      </c>
      <c r="Y2978" s="1" t="str">
        <f>IF(Table1[[#This Row],[Std Read]]="","N/A",Table1[[#This Row],[Std Read]]+Table1[[#This Row],[Std Ucty]])</f>
        <v>N/A</v>
      </c>
      <c r="Z29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8" s="1" t="str">
        <f>IF(Table1[[#This Row],[Spec Type]]="","N/A",Table1[[#This Row],[Spec Type]])</f>
        <v>±</v>
      </c>
      <c r="AC2978" s="1" t="str">
        <f>IF(Table1[[#This Row],[Spec Type2]]="N/A","N/A",IF(AND(Table1[[#This Row],[DUT Adj Read]]&gt;=Table1[[#This Row],[Low Tol]],Table1[[#This Row],[DUT Adj Read]]&lt;=Table1[[#This Row],[High Tol]]),"Pass","Fail"))</f>
        <v>Fail</v>
      </c>
      <c r="AD2978" s="1" t="str">
        <f>IF(AND(Table1[[#This Row],[Spec Type2]]="N/A",Table1[[#This Row],[DUT Adj Read]]="N/A",Table1[[#This Row],[Std Adj Read]]="N/A"),"N/A",IF(Table1[[#This Row],[DUT Adj Read]]="N/A",IF(Table1[[#This Row],[Std Adj Read]]&gt;Table1[[#This Row],[Low Tol]],"Pass","Fail"),IF(Table1[[#This Row],[DUT Adj Read]]&gt;Table1[[#This Row],[Low Tol]],"Pass","Fail")))</f>
        <v>Pass</v>
      </c>
      <c r="AE2978" s="1" t="str">
        <f>IF(AND(Table1[[#This Row],[Spec Type2]]="N/A",Table1[[#This Row],[DUT Adj Read]]="N/A",Table1[[#This Row],[Std Adj Read]]="N/A"),"N/A",IF(Table1[[#This Row],[DUT Adj Read]]="N/A",IF(Table1[[#This Row],[Std Adj Read]]&lt;Table1[[#This Row],[High Tol]],"Pass","Fail"),IF(Table1[[#This Row],[DUT Adj Read]]&lt;Table1[[#This Row],[High Tol]],"Pass","Fail")))</f>
        <v>Fail</v>
      </c>
      <c r="AF2978" s="1" t="str">
        <f>IF(AND(Table1[[#This Row],[Spec Type2]]="N/A",Table1[[#This Row],[DUT Adj Read]]="N/A",Table1[[#This Row],[Std Adj Read]]="N/A"),"N/A",IF(Table1[[#This Row],[DUT Adj Read]]="N/A",IF(Table1[[#This Row],[Std Adj Read]]&gt;=Table1[[#This Row],[Low Tol]],"Pass","Fail"),IF(Table1[[#This Row],[DUT Adj Read]]&gt;=Table1[[#This Row],[Low Tol]],"Pass","Fail")))</f>
        <v>Pass</v>
      </c>
      <c r="AG2978" s="1" t="str">
        <f>IF(AND(Table1[[#This Row],[Spec Type2]]="N/A",Table1[[#This Row],[DUT Adj Read]]="N/A",Table1[[#This Row],[Std Adj Read]]="N/A"),"N/A",IF(Table1[[#This Row],[DUT Adj Read]]="N/A",IF(Table1[[#This Row],[Std Adj Read]]&lt;=Table1[[#This Row],[High Tol]],"Pass","Fail"),IF(Table1[[#This Row],[DUT Adj Read]]&lt;=Table1[[#This Row],[High Tol]],"Pass","Fail")))</f>
        <v>Fail</v>
      </c>
      <c r="AH29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8" s="1" t="b">
        <v>0</v>
      </c>
      <c r="AN2978" s="1" t="b">
        <v>0</v>
      </c>
      <c r="AO2978" s="1" t="b">
        <v>0</v>
      </c>
    </row>
    <row r="2979" spans="1:41" x14ac:dyDescent="0.25">
      <c r="A2979" s="10"/>
      <c r="B2979" s="10"/>
      <c r="C2979" s="10"/>
      <c r="D2979" s="10"/>
      <c r="E2979" s="10"/>
      <c r="F2979" s="10"/>
      <c r="G2979" s="10"/>
      <c r="H2979" s="10"/>
      <c r="I2979" s="1" t="str">
        <f t="shared" si="138"/>
        <v/>
      </c>
      <c r="J2979" s="1" t="s">
        <v>35</v>
      </c>
      <c r="K2979" s="1" t="str">
        <f t="shared" si="139"/>
        <v/>
      </c>
      <c r="L2979" s="1" t="str">
        <f t="shared" si="140"/>
        <v/>
      </c>
      <c r="M2979" s="1">
        <f>IF(OR(Table1[[#This Row],[Std Nom]]="",Table1[[#This Row],[Std Read]]=""),0,Table1[[#This Row],[Std Nom]]-Table1[[#This Row],[Std Read]])</f>
        <v>0</v>
      </c>
      <c r="N2979" s="1">
        <f>IF(Calculations!$F$5="ACCREDITED 17025 WITH UNCERTAINTIES",$N$10,0)</f>
        <v>0</v>
      </c>
      <c r="O2979" s="1" t="str">
        <f>IFERROR(Table1[[#This Row],[Std Nom]]-(_xlfn.XLOOKUP(Table1[[#This Row],[Manufacturer]]&amp;" "&amp;Table1[[#This Row],[Model]],Table13[MFR &amp; MDL],Table13[Tolerance % CW ],"")/100*Table1[[#This Row],[Std Nom]]),"")</f>
        <v/>
      </c>
      <c r="P2979" s="1" t="str">
        <f>IFERROR(Table1[[#This Row],[Std Nom]]+(_xlfn.XLOOKUP(Table1[[#This Row],[Manufacturer]]&amp;" "&amp;Table1[[#This Row],[Model]],Table13[MFR &amp; MDL],Table13[Tolerance % CW ],"")/100*Table1[[#This Row],[Std Nom]]),"")</f>
        <v/>
      </c>
      <c r="Q2979" s="1" t="e">
        <f>Table1[[#This Row],[High Tol]]-Table1[[#This Row],[Low Tol]]</f>
        <v>#VALUE!</v>
      </c>
      <c r="R2979" s="1">
        <f>2*Table1[[#This Row],[Std Error]]</f>
        <v>0</v>
      </c>
      <c r="S2979" s="1" t="str">
        <f>IF(Table1[[#This Row],[High Tol]]="","N/A",IFERROR(ABS(Table1[[#This Row],[Tol Span]]/Table1[[#This Row],[Error Span]]),"N/A"))</f>
        <v>N/A</v>
      </c>
      <c r="T2979" s="1" t="str">
        <f>IF(OR(Table1[[#This Row],[Low Tol]]="",Table1[[#This Row],[High Tol]]=""),"Needs Analysis",IF(Table1[[#This Row],[Ratio]]&gt;=4,"Not Significant",IF(Table1[[#This Row],[Ratio]]&gt;=2,"Semi-Significant","Significant")))</f>
        <v>Needs Analysis</v>
      </c>
      <c r="W2979" s="1">
        <f>IF(Table1[[#This Row],[Cal Type]]&lt;&gt;"ACCREDITED 17025 WITH UNCERTAINTIES",0,"")</f>
        <v>0</v>
      </c>
      <c r="X2979" s="1" t="str">
        <f>IF(Table1[[#This Row],[DUT Read]]="","N/A",Table1[[#This Row],[Std Error]]+Table1[[#This Row],[DUT Read]]+Table1[[#This Row],[DUT Ucty]])</f>
        <v>N/A</v>
      </c>
      <c r="Y2979" s="1" t="str">
        <f>IF(Table1[[#This Row],[Std Read]]="","N/A",Table1[[#This Row],[Std Read]]+Table1[[#This Row],[Std Ucty]])</f>
        <v>N/A</v>
      </c>
      <c r="Z29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9" s="1" t="str">
        <f>IF(Table1[[#This Row],[Spec Type]]="","N/A",Table1[[#This Row],[Spec Type]])</f>
        <v>±</v>
      </c>
      <c r="AC2979" s="1" t="str">
        <f>IF(Table1[[#This Row],[Spec Type2]]="N/A","N/A",IF(AND(Table1[[#This Row],[DUT Adj Read]]&gt;=Table1[[#This Row],[Low Tol]],Table1[[#This Row],[DUT Adj Read]]&lt;=Table1[[#This Row],[High Tol]]),"Pass","Fail"))</f>
        <v>Fail</v>
      </c>
      <c r="AD2979" s="1" t="str">
        <f>IF(AND(Table1[[#This Row],[Spec Type2]]="N/A",Table1[[#This Row],[DUT Adj Read]]="N/A",Table1[[#This Row],[Std Adj Read]]="N/A"),"N/A",IF(Table1[[#This Row],[DUT Adj Read]]="N/A",IF(Table1[[#This Row],[Std Adj Read]]&gt;Table1[[#This Row],[Low Tol]],"Pass","Fail"),IF(Table1[[#This Row],[DUT Adj Read]]&gt;Table1[[#This Row],[Low Tol]],"Pass","Fail")))</f>
        <v>Pass</v>
      </c>
      <c r="AE2979" s="1" t="str">
        <f>IF(AND(Table1[[#This Row],[Spec Type2]]="N/A",Table1[[#This Row],[DUT Adj Read]]="N/A",Table1[[#This Row],[Std Adj Read]]="N/A"),"N/A",IF(Table1[[#This Row],[DUT Adj Read]]="N/A",IF(Table1[[#This Row],[Std Adj Read]]&lt;Table1[[#This Row],[High Tol]],"Pass","Fail"),IF(Table1[[#This Row],[DUT Adj Read]]&lt;Table1[[#This Row],[High Tol]],"Pass","Fail")))</f>
        <v>Fail</v>
      </c>
      <c r="AF2979" s="1" t="str">
        <f>IF(AND(Table1[[#This Row],[Spec Type2]]="N/A",Table1[[#This Row],[DUT Adj Read]]="N/A",Table1[[#This Row],[Std Adj Read]]="N/A"),"N/A",IF(Table1[[#This Row],[DUT Adj Read]]="N/A",IF(Table1[[#This Row],[Std Adj Read]]&gt;=Table1[[#This Row],[Low Tol]],"Pass","Fail"),IF(Table1[[#This Row],[DUT Adj Read]]&gt;=Table1[[#This Row],[Low Tol]],"Pass","Fail")))</f>
        <v>Pass</v>
      </c>
      <c r="AG2979" s="1" t="str">
        <f>IF(AND(Table1[[#This Row],[Spec Type2]]="N/A",Table1[[#This Row],[DUT Adj Read]]="N/A",Table1[[#This Row],[Std Adj Read]]="N/A"),"N/A",IF(Table1[[#This Row],[DUT Adj Read]]="N/A",IF(Table1[[#This Row],[Std Adj Read]]&lt;=Table1[[#This Row],[High Tol]],"Pass","Fail"),IF(Table1[[#This Row],[DUT Adj Read]]&lt;=Table1[[#This Row],[High Tol]],"Pass","Fail")))</f>
        <v>Fail</v>
      </c>
      <c r="AH29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9" s="1" t="b">
        <v>0</v>
      </c>
      <c r="AN2979" s="1" t="b">
        <v>0</v>
      </c>
      <c r="AO2979" s="1" t="b">
        <v>0</v>
      </c>
    </row>
    <row r="2980" spans="1:41" x14ac:dyDescent="0.25">
      <c r="A2980" s="10"/>
      <c r="B2980" s="10"/>
      <c r="C2980" s="10"/>
      <c r="D2980" s="10"/>
      <c r="E2980" s="10"/>
      <c r="F2980" s="10"/>
      <c r="G2980" s="10"/>
      <c r="H2980" s="10"/>
      <c r="I2980" s="1" t="str">
        <f t="shared" si="138"/>
        <v/>
      </c>
      <c r="J2980" s="1" t="s">
        <v>35</v>
      </c>
      <c r="K2980" s="1" t="str">
        <f t="shared" si="139"/>
        <v/>
      </c>
      <c r="L2980" s="1" t="str">
        <f t="shared" si="140"/>
        <v/>
      </c>
      <c r="M2980" s="1">
        <f>IF(OR(Table1[[#This Row],[Std Nom]]="",Table1[[#This Row],[Std Read]]=""),0,Table1[[#This Row],[Std Nom]]-Table1[[#This Row],[Std Read]])</f>
        <v>0</v>
      </c>
      <c r="N2980" s="1">
        <f>IF(Calculations!$F$5="ACCREDITED 17025 WITH UNCERTAINTIES",$N$10,0)</f>
        <v>0</v>
      </c>
      <c r="O2980" s="1" t="str">
        <f>IFERROR(Table1[[#This Row],[Std Nom]]-(_xlfn.XLOOKUP(Table1[[#This Row],[Manufacturer]]&amp;" "&amp;Table1[[#This Row],[Model]],Table13[MFR &amp; MDL],Table13[Tolerance % CW ],"")/100*Table1[[#This Row],[Std Nom]]),"")</f>
        <v/>
      </c>
      <c r="P2980" s="1" t="str">
        <f>IFERROR(Table1[[#This Row],[Std Nom]]+(_xlfn.XLOOKUP(Table1[[#This Row],[Manufacturer]]&amp;" "&amp;Table1[[#This Row],[Model]],Table13[MFR &amp; MDL],Table13[Tolerance % CW ],"")/100*Table1[[#This Row],[Std Nom]]),"")</f>
        <v/>
      </c>
      <c r="Q2980" s="1" t="e">
        <f>Table1[[#This Row],[High Tol]]-Table1[[#This Row],[Low Tol]]</f>
        <v>#VALUE!</v>
      </c>
      <c r="R2980" s="1">
        <f>2*Table1[[#This Row],[Std Error]]</f>
        <v>0</v>
      </c>
      <c r="S2980" s="1" t="str">
        <f>IF(Table1[[#This Row],[High Tol]]="","N/A",IFERROR(ABS(Table1[[#This Row],[Tol Span]]/Table1[[#This Row],[Error Span]]),"N/A"))</f>
        <v>N/A</v>
      </c>
      <c r="T2980" s="1" t="str">
        <f>IF(OR(Table1[[#This Row],[Low Tol]]="",Table1[[#This Row],[High Tol]]=""),"Needs Analysis",IF(Table1[[#This Row],[Ratio]]&gt;=4,"Not Significant",IF(Table1[[#This Row],[Ratio]]&gt;=2,"Semi-Significant","Significant")))</f>
        <v>Needs Analysis</v>
      </c>
      <c r="W2980" s="1">
        <f>IF(Table1[[#This Row],[Cal Type]]&lt;&gt;"ACCREDITED 17025 WITH UNCERTAINTIES",0,"")</f>
        <v>0</v>
      </c>
      <c r="X2980" s="1" t="str">
        <f>IF(Table1[[#This Row],[DUT Read]]="","N/A",Table1[[#This Row],[Std Error]]+Table1[[#This Row],[DUT Read]]+Table1[[#This Row],[DUT Ucty]])</f>
        <v>N/A</v>
      </c>
      <c r="Y2980" s="1" t="str">
        <f>IF(Table1[[#This Row],[Std Read]]="","N/A",Table1[[#This Row],[Std Read]]+Table1[[#This Row],[Std Ucty]])</f>
        <v>N/A</v>
      </c>
      <c r="Z29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0" s="1" t="str">
        <f>IF(Table1[[#This Row],[Spec Type]]="","N/A",Table1[[#This Row],[Spec Type]])</f>
        <v>±</v>
      </c>
      <c r="AC2980" s="1" t="str">
        <f>IF(Table1[[#This Row],[Spec Type2]]="N/A","N/A",IF(AND(Table1[[#This Row],[DUT Adj Read]]&gt;=Table1[[#This Row],[Low Tol]],Table1[[#This Row],[DUT Adj Read]]&lt;=Table1[[#This Row],[High Tol]]),"Pass","Fail"))</f>
        <v>Fail</v>
      </c>
      <c r="AD2980" s="1" t="str">
        <f>IF(AND(Table1[[#This Row],[Spec Type2]]="N/A",Table1[[#This Row],[DUT Adj Read]]="N/A",Table1[[#This Row],[Std Adj Read]]="N/A"),"N/A",IF(Table1[[#This Row],[DUT Adj Read]]="N/A",IF(Table1[[#This Row],[Std Adj Read]]&gt;Table1[[#This Row],[Low Tol]],"Pass","Fail"),IF(Table1[[#This Row],[DUT Adj Read]]&gt;Table1[[#This Row],[Low Tol]],"Pass","Fail")))</f>
        <v>Pass</v>
      </c>
      <c r="AE2980" s="1" t="str">
        <f>IF(AND(Table1[[#This Row],[Spec Type2]]="N/A",Table1[[#This Row],[DUT Adj Read]]="N/A",Table1[[#This Row],[Std Adj Read]]="N/A"),"N/A",IF(Table1[[#This Row],[DUT Adj Read]]="N/A",IF(Table1[[#This Row],[Std Adj Read]]&lt;Table1[[#This Row],[High Tol]],"Pass","Fail"),IF(Table1[[#This Row],[DUT Adj Read]]&lt;Table1[[#This Row],[High Tol]],"Pass","Fail")))</f>
        <v>Fail</v>
      </c>
      <c r="AF2980" s="1" t="str">
        <f>IF(AND(Table1[[#This Row],[Spec Type2]]="N/A",Table1[[#This Row],[DUT Adj Read]]="N/A",Table1[[#This Row],[Std Adj Read]]="N/A"),"N/A",IF(Table1[[#This Row],[DUT Adj Read]]="N/A",IF(Table1[[#This Row],[Std Adj Read]]&gt;=Table1[[#This Row],[Low Tol]],"Pass","Fail"),IF(Table1[[#This Row],[DUT Adj Read]]&gt;=Table1[[#This Row],[Low Tol]],"Pass","Fail")))</f>
        <v>Pass</v>
      </c>
      <c r="AG2980" s="1" t="str">
        <f>IF(AND(Table1[[#This Row],[Spec Type2]]="N/A",Table1[[#This Row],[DUT Adj Read]]="N/A",Table1[[#This Row],[Std Adj Read]]="N/A"),"N/A",IF(Table1[[#This Row],[DUT Adj Read]]="N/A",IF(Table1[[#This Row],[Std Adj Read]]&lt;=Table1[[#This Row],[High Tol]],"Pass","Fail"),IF(Table1[[#This Row],[DUT Adj Read]]&lt;=Table1[[#This Row],[High Tol]],"Pass","Fail")))</f>
        <v>Fail</v>
      </c>
      <c r="AH29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0" s="1" t="b">
        <v>0</v>
      </c>
      <c r="AN2980" s="1" t="b">
        <v>0</v>
      </c>
      <c r="AO2980" s="1" t="b">
        <v>0</v>
      </c>
    </row>
    <row r="2981" spans="1:41" x14ac:dyDescent="0.25">
      <c r="A2981" s="10"/>
      <c r="B2981" s="10"/>
      <c r="C2981" s="10"/>
      <c r="D2981" s="10"/>
      <c r="E2981" s="10"/>
      <c r="F2981" s="10"/>
      <c r="G2981" s="10"/>
      <c r="H2981" s="10"/>
      <c r="I2981" s="1" t="str">
        <f t="shared" si="138"/>
        <v/>
      </c>
      <c r="J2981" s="1" t="s">
        <v>35</v>
      </c>
      <c r="K2981" s="1" t="str">
        <f t="shared" si="139"/>
        <v/>
      </c>
      <c r="L2981" s="1" t="str">
        <f t="shared" si="140"/>
        <v/>
      </c>
      <c r="M2981" s="1">
        <f>IF(OR(Table1[[#This Row],[Std Nom]]="",Table1[[#This Row],[Std Read]]=""),0,Table1[[#This Row],[Std Nom]]-Table1[[#This Row],[Std Read]])</f>
        <v>0</v>
      </c>
      <c r="N2981" s="1">
        <f>IF(Calculations!$F$5="ACCREDITED 17025 WITH UNCERTAINTIES",$N$10,0)</f>
        <v>0</v>
      </c>
      <c r="O2981" s="1" t="str">
        <f>IFERROR(Table1[[#This Row],[Std Nom]]-(_xlfn.XLOOKUP(Table1[[#This Row],[Manufacturer]]&amp;" "&amp;Table1[[#This Row],[Model]],Table13[MFR &amp; MDL],Table13[Tolerance % CW ],"")/100*Table1[[#This Row],[Std Nom]]),"")</f>
        <v/>
      </c>
      <c r="P2981" s="1" t="str">
        <f>IFERROR(Table1[[#This Row],[Std Nom]]+(_xlfn.XLOOKUP(Table1[[#This Row],[Manufacturer]]&amp;" "&amp;Table1[[#This Row],[Model]],Table13[MFR &amp; MDL],Table13[Tolerance % CW ],"")/100*Table1[[#This Row],[Std Nom]]),"")</f>
        <v/>
      </c>
      <c r="Q2981" s="1" t="e">
        <f>Table1[[#This Row],[High Tol]]-Table1[[#This Row],[Low Tol]]</f>
        <v>#VALUE!</v>
      </c>
      <c r="R2981" s="1">
        <f>2*Table1[[#This Row],[Std Error]]</f>
        <v>0</v>
      </c>
      <c r="S2981" s="1" t="str">
        <f>IF(Table1[[#This Row],[High Tol]]="","N/A",IFERROR(ABS(Table1[[#This Row],[Tol Span]]/Table1[[#This Row],[Error Span]]),"N/A"))</f>
        <v>N/A</v>
      </c>
      <c r="T2981" s="1" t="str">
        <f>IF(OR(Table1[[#This Row],[Low Tol]]="",Table1[[#This Row],[High Tol]]=""),"Needs Analysis",IF(Table1[[#This Row],[Ratio]]&gt;=4,"Not Significant",IF(Table1[[#This Row],[Ratio]]&gt;=2,"Semi-Significant","Significant")))</f>
        <v>Needs Analysis</v>
      </c>
      <c r="W2981" s="1">
        <f>IF(Table1[[#This Row],[Cal Type]]&lt;&gt;"ACCREDITED 17025 WITH UNCERTAINTIES",0,"")</f>
        <v>0</v>
      </c>
      <c r="X2981" s="1" t="str">
        <f>IF(Table1[[#This Row],[DUT Read]]="","N/A",Table1[[#This Row],[Std Error]]+Table1[[#This Row],[DUT Read]]+Table1[[#This Row],[DUT Ucty]])</f>
        <v>N/A</v>
      </c>
      <c r="Y2981" s="1" t="str">
        <f>IF(Table1[[#This Row],[Std Read]]="","N/A",Table1[[#This Row],[Std Read]]+Table1[[#This Row],[Std Ucty]])</f>
        <v>N/A</v>
      </c>
      <c r="Z29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1" s="1" t="str">
        <f>IF(Table1[[#This Row],[Spec Type]]="","N/A",Table1[[#This Row],[Spec Type]])</f>
        <v>±</v>
      </c>
      <c r="AC2981" s="1" t="str">
        <f>IF(Table1[[#This Row],[Spec Type2]]="N/A","N/A",IF(AND(Table1[[#This Row],[DUT Adj Read]]&gt;=Table1[[#This Row],[Low Tol]],Table1[[#This Row],[DUT Adj Read]]&lt;=Table1[[#This Row],[High Tol]]),"Pass","Fail"))</f>
        <v>Fail</v>
      </c>
      <c r="AD2981" s="1" t="str">
        <f>IF(AND(Table1[[#This Row],[Spec Type2]]="N/A",Table1[[#This Row],[DUT Adj Read]]="N/A",Table1[[#This Row],[Std Adj Read]]="N/A"),"N/A",IF(Table1[[#This Row],[DUT Adj Read]]="N/A",IF(Table1[[#This Row],[Std Adj Read]]&gt;Table1[[#This Row],[Low Tol]],"Pass","Fail"),IF(Table1[[#This Row],[DUT Adj Read]]&gt;Table1[[#This Row],[Low Tol]],"Pass","Fail")))</f>
        <v>Pass</v>
      </c>
      <c r="AE2981" s="1" t="str">
        <f>IF(AND(Table1[[#This Row],[Spec Type2]]="N/A",Table1[[#This Row],[DUT Adj Read]]="N/A",Table1[[#This Row],[Std Adj Read]]="N/A"),"N/A",IF(Table1[[#This Row],[DUT Adj Read]]="N/A",IF(Table1[[#This Row],[Std Adj Read]]&lt;Table1[[#This Row],[High Tol]],"Pass","Fail"),IF(Table1[[#This Row],[DUT Adj Read]]&lt;Table1[[#This Row],[High Tol]],"Pass","Fail")))</f>
        <v>Fail</v>
      </c>
      <c r="AF2981" s="1" t="str">
        <f>IF(AND(Table1[[#This Row],[Spec Type2]]="N/A",Table1[[#This Row],[DUT Adj Read]]="N/A",Table1[[#This Row],[Std Adj Read]]="N/A"),"N/A",IF(Table1[[#This Row],[DUT Adj Read]]="N/A",IF(Table1[[#This Row],[Std Adj Read]]&gt;=Table1[[#This Row],[Low Tol]],"Pass","Fail"),IF(Table1[[#This Row],[DUT Adj Read]]&gt;=Table1[[#This Row],[Low Tol]],"Pass","Fail")))</f>
        <v>Pass</v>
      </c>
      <c r="AG2981" s="1" t="str">
        <f>IF(AND(Table1[[#This Row],[Spec Type2]]="N/A",Table1[[#This Row],[DUT Adj Read]]="N/A",Table1[[#This Row],[Std Adj Read]]="N/A"),"N/A",IF(Table1[[#This Row],[DUT Adj Read]]="N/A",IF(Table1[[#This Row],[Std Adj Read]]&lt;=Table1[[#This Row],[High Tol]],"Pass","Fail"),IF(Table1[[#This Row],[DUT Adj Read]]&lt;=Table1[[#This Row],[High Tol]],"Pass","Fail")))</f>
        <v>Fail</v>
      </c>
      <c r="AH29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1" s="1" t="b">
        <v>0</v>
      </c>
      <c r="AN2981" s="1" t="b">
        <v>0</v>
      </c>
      <c r="AO2981" s="1" t="b">
        <v>0</v>
      </c>
    </row>
    <row r="2982" spans="1:41" x14ac:dyDescent="0.25">
      <c r="A2982" s="10"/>
      <c r="B2982" s="10"/>
      <c r="C2982" s="10"/>
      <c r="D2982" s="10"/>
      <c r="E2982" s="10"/>
      <c r="F2982" s="10"/>
      <c r="G2982" s="10"/>
      <c r="H2982" s="10"/>
      <c r="I2982" s="1" t="str">
        <f t="shared" si="138"/>
        <v/>
      </c>
      <c r="J2982" s="1" t="s">
        <v>35</v>
      </c>
      <c r="K2982" s="1" t="str">
        <f t="shared" si="139"/>
        <v/>
      </c>
      <c r="L2982" s="1" t="str">
        <f t="shared" si="140"/>
        <v/>
      </c>
      <c r="M2982" s="1">
        <f>IF(OR(Table1[[#This Row],[Std Nom]]="",Table1[[#This Row],[Std Read]]=""),0,Table1[[#This Row],[Std Nom]]-Table1[[#This Row],[Std Read]])</f>
        <v>0</v>
      </c>
      <c r="N2982" s="1">
        <f>IF(Calculations!$F$5="ACCREDITED 17025 WITH UNCERTAINTIES",$N$10,0)</f>
        <v>0</v>
      </c>
      <c r="O2982" s="1" t="str">
        <f>IFERROR(Table1[[#This Row],[Std Nom]]-(_xlfn.XLOOKUP(Table1[[#This Row],[Manufacturer]]&amp;" "&amp;Table1[[#This Row],[Model]],Table13[MFR &amp; MDL],Table13[Tolerance % CW ],"")/100*Table1[[#This Row],[Std Nom]]),"")</f>
        <v/>
      </c>
      <c r="P2982" s="1" t="str">
        <f>IFERROR(Table1[[#This Row],[Std Nom]]+(_xlfn.XLOOKUP(Table1[[#This Row],[Manufacturer]]&amp;" "&amp;Table1[[#This Row],[Model]],Table13[MFR &amp; MDL],Table13[Tolerance % CW ],"")/100*Table1[[#This Row],[Std Nom]]),"")</f>
        <v/>
      </c>
      <c r="Q2982" s="1" t="e">
        <f>Table1[[#This Row],[High Tol]]-Table1[[#This Row],[Low Tol]]</f>
        <v>#VALUE!</v>
      </c>
      <c r="R2982" s="1">
        <f>2*Table1[[#This Row],[Std Error]]</f>
        <v>0</v>
      </c>
      <c r="S2982" s="1" t="str">
        <f>IF(Table1[[#This Row],[High Tol]]="","N/A",IFERROR(ABS(Table1[[#This Row],[Tol Span]]/Table1[[#This Row],[Error Span]]),"N/A"))</f>
        <v>N/A</v>
      </c>
      <c r="T2982" s="1" t="str">
        <f>IF(OR(Table1[[#This Row],[Low Tol]]="",Table1[[#This Row],[High Tol]]=""),"Needs Analysis",IF(Table1[[#This Row],[Ratio]]&gt;=4,"Not Significant",IF(Table1[[#This Row],[Ratio]]&gt;=2,"Semi-Significant","Significant")))</f>
        <v>Needs Analysis</v>
      </c>
      <c r="W2982" s="1">
        <f>IF(Table1[[#This Row],[Cal Type]]&lt;&gt;"ACCREDITED 17025 WITH UNCERTAINTIES",0,"")</f>
        <v>0</v>
      </c>
      <c r="X2982" s="1" t="str">
        <f>IF(Table1[[#This Row],[DUT Read]]="","N/A",Table1[[#This Row],[Std Error]]+Table1[[#This Row],[DUT Read]]+Table1[[#This Row],[DUT Ucty]])</f>
        <v>N/A</v>
      </c>
      <c r="Y2982" s="1" t="str">
        <f>IF(Table1[[#This Row],[Std Read]]="","N/A",Table1[[#This Row],[Std Read]]+Table1[[#This Row],[Std Ucty]])</f>
        <v>N/A</v>
      </c>
      <c r="Z29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2" s="1" t="str">
        <f>IF(Table1[[#This Row],[Spec Type]]="","N/A",Table1[[#This Row],[Spec Type]])</f>
        <v>±</v>
      </c>
      <c r="AC2982" s="1" t="str">
        <f>IF(Table1[[#This Row],[Spec Type2]]="N/A","N/A",IF(AND(Table1[[#This Row],[DUT Adj Read]]&gt;=Table1[[#This Row],[Low Tol]],Table1[[#This Row],[DUT Adj Read]]&lt;=Table1[[#This Row],[High Tol]]),"Pass","Fail"))</f>
        <v>Fail</v>
      </c>
      <c r="AD2982" s="1" t="str">
        <f>IF(AND(Table1[[#This Row],[Spec Type2]]="N/A",Table1[[#This Row],[DUT Adj Read]]="N/A",Table1[[#This Row],[Std Adj Read]]="N/A"),"N/A",IF(Table1[[#This Row],[DUT Adj Read]]="N/A",IF(Table1[[#This Row],[Std Adj Read]]&gt;Table1[[#This Row],[Low Tol]],"Pass","Fail"),IF(Table1[[#This Row],[DUT Adj Read]]&gt;Table1[[#This Row],[Low Tol]],"Pass","Fail")))</f>
        <v>Pass</v>
      </c>
      <c r="AE2982" s="1" t="str">
        <f>IF(AND(Table1[[#This Row],[Spec Type2]]="N/A",Table1[[#This Row],[DUT Adj Read]]="N/A",Table1[[#This Row],[Std Adj Read]]="N/A"),"N/A",IF(Table1[[#This Row],[DUT Adj Read]]="N/A",IF(Table1[[#This Row],[Std Adj Read]]&lt;Table1[[#This Row],[High Tol]],"Pass","Fail"),IF(Table1[[#This Row],[DUT Adj Read]]&lt;Table1[[#This Row],[High Tol]],"Pass","Fail")))</f>
        <v>Fail</v>
      </c>
      <c r="AF2982" s="1" t="str">
        <f>IF(AND(Table1[[#This Row],[Spec Type2]]="N/A",Table1[[#This Row],[DUT Adj Read]]="N/A",Table1[[#This Row],[Std Adj Read]]="N/A"),"N/A",IF(Table1[[#This Row],[DUT Adj Read]]="N/A",IF(Table1[[#This Row],[Std Adj Read]]&gt;=Table1[[#This Row],[Low Tol]],"Pass","Fail"),IF(Table1[[#This Row],[DUT Adj Read]]&gt;=Table1[[#This Row],[Low Tol]],"Pass","Fail")))</f>
        <v>Pass</v>
      </c>
      <c r="AG2982" s="1" t="str">
        <f>IF(AND(Table1[[#This Row],[Spec Type2]]="N/A",Table1[[#This Row],[DUT Adj Read]]="N/A",Table1[[#This Row],[Std Adj Read]]="N/A"),"N/A",IF(Table1[[#This Row],[DUT Adj Read]]="N/A",IF(Table1[[#This Row],[Std Adj Read]]&lt;=Table1[[#This Row],[High Tol]],"Pass","Fail"),IF(Table1[[#This Row],[DUT Adj Read]]&lt;=Table1[[#This Row],[High Tol]],"Pass","Fail")))</f>
        <v>Fail</v>
      </c>
      <c r="AH29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2" s="1" t="b">
        <v>0</v>
      </c>
      <c r="AN2982" s="1" t="b">
        <v>0</v>
      </c>
      <c r="AO2982" s="1" t="b">
        <v>0</v>
      </c>
    </row>
    <row r="2983" spans="1:41" x14ac:dyDescent="0.25">
      <c r="A2983" s="10"/>
      <c r="B2983" s="10"/>
      <c r="C2983" s="10"/>
      <c r="D2983" s="10"/>
      <c r="E2983" s="10"/>
      <c r="F2983" s="10"/>
      <c r="G2983" s="10"/>
      <c r="H2983" s="10"/>
      <c r="I2983" s="1" t="str">
        <f t="shared" si="138"/>
        <v/>
      </c>
      <c r="J2983" s="1" t="s">
        <v>35</v>
      </c>
      <c r="K2983" s="1" t="str">
        <f t="shared" si="139"/>
        <v/>
      </c>
      <c r="L2983" s="1" t="str">
        <f t="shared" si="140"/>
        <v/>
      </c>
      <c r="M2983" s="1">
        <f>IF(OR(Table1[[#This Row],[Std Nom]]="",Table1[[#This Row],[Std Read]]=""),0,Table1[[#This Row],[Std Nom]]-Table1[[#This Row],[Std Read]])</f>
        <v>0</v>
      </c>
      <c r="N2983" s="1">
        <f>IF(Calculations!$F$5="ACCREDITED 17025 WITH UNCERTAINTIES",$N$10,0)</f>
        <v>0</v>
      </c>
      <c r="O2983" s="1" t="str">
        <f>IFERROR(Table1[[#This Row],[Std Nom]]-(_xlfn.XLOOKUP(Table1[[#This Row],[Manufacturer]]&amp;" "&amp;Table1[[#This Row],[Model]],Table13[MFR &amp; MDL],Table13[Tolerance % CW ],"")/100*Table1[[#This Row],[Std Nom]]),"")</f>
        <v/>
      </c>
      <c r="P2983" s="1" t="str">
        <f>IFERROR(Table1[[#This Row],[Std Nom]]+(_xlfn.XLOOKUP(Table1[[#This Row],[Manufacturer]]&amp;" "&amp;Table1[[#This Row],[Model]],Table13[MFR &amp; MDL],Table13[Tolerance % CW ],"")/100*Table1[[#This Row],[Std Nom]]),"")</f>
        <v/>
      </c>
      <c r="Q2983" s="1" t="e">
        <f>Table1[[#This Row],[High Tol]]-Table1[[#This Row],[Low Tol]]</f>
        <v>#VALUE!</v>
      </c>
      <c r="R2983" s="1">
        <f>2*Table1[[#This Row],[Std Error]]</f>
        <v>0</v>
      </c>
      <c r="S2983" s="1" t="str">
        <f>IF(Table1[[#This Row],[High Tol]]="","N/A",IFERROR(ABS(Table1[[#This Row],[Tol Span]]/Table1[[#This Row],[Error Span]]),"N/A"))</f>
        <v>N/A</v>
      </c>
      <c r="T2983" s="1" t="str">
        <f>IF(OR(Table1[[#This Row],[Low Tol]]="",Table1[[#This Row],[High Tol]]=""),"Needs Analysis",IF(Table1[[#This Row],[Ratio]]&gt;=4,"Not Significant",IF(Table1[[#This Row],[Ratio]]&gt;=2,"Semi-Significant","Significant")))</f>
        <v>Needs Analysis</v>
      </c>
      <c r="W2983" s="1">
        <f>IF(Table1[[#This Row],[Cal Type]]&lt;&gt;"ACCREDITED 17025 WITH UNCERTAINTIES",0,"")</f>
        <v>0</v>
      </c>
      <c r="X2983" s="1" t="str">
        <f>IF(Table1[[#This Row],[DUT Read]]="","N/A",Table1[[#This Row],[Std Error]]+Table1[[#This Row],[DUT Read]]+Table1[[#This Row],[DUT Ucty]])</f>
        <v>N/A</v>
      </c>
      <c r="Y2983" s="1" t="str">
        <f>IF(Table1[[#This Row],[Std Read]]="","N/A",Table1[[#This Row],[Std Read]]+Table1[[#This Row],[Std Ucty]])</f>
        <v>N/A</v>
      </c>
      <c r="Z29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3" s="1" t="str">
        <f>IF(Table1[[#This Row],[Spec Type]]="","N/A",Table1[[#This Row],[Spec Type]])</f>
        <v>±</v>
      </c>
      <c r="AC2983" s="1" t="str">
        <f>IF(Table1[[#This Row],[Spec Type2]]="N/A","N/A",IF(AND(Table1[[#This Row],[DUT Adj Read]]&gt;=Table1[[#This Row],[Low Tol]],Table1[[#This Row],[DUT Adj Read]]&lt;=Table1[[#This Row],[High Tol]]),"Pass","Fail"))</f>
        <v>Fail</v>
      </c>
      <c r="AD2983" s="1" t="str">
        <f>IF(AND(Table1[[#This Row],[Spec Type2]]="N/A",Table1[[#This Row],[DUT Adj Read]]="N/A",Table1[[#This Row],[Std Adj Read]]="N/A"),"N/A",IF(Table1[[#This Row],[DUT Adj Read]]="N/A",IF(Table1[[#This Row],[Std Adj Read]]&gt;Table1[[#This Row],[Low Tol]],"Pass","Fail"),IF(Table1[[#This Row],[DUT Adj Read]]&gt;Table1[[#This Row],[Low Tol]],"Pass","Fail")))</f>
        <v>Pass</v>
      </c>
      <c r="AE2983" s="1" t="str">
        <f>IF(AND(Table1[[#This Row],[Spec Type2]]="N/A",Table1[[#This Row],[DUT Adj Read]]="N/A",Table1[[#This Row],[Std Adj Read]]="N/A"),"N/A",IF(Table1[[#This Row],[DUT Adj Read]]="N/A",IF(Table1[[#This Row],[Std Adj Read]]&lt;Table1[[#This Row],[High Tol]],"Pass","Fail"),IF(Table1[[#This Row],[DUT Adj Read]]&lt;Table1[[#This Row],[High Tol]],"Pass","Fail")))</f>
        <v>Fail</v>
      </c>
      <c r="AF2983" s="1" t="str">
        <f>IF(AND(Table1[[#This Row],[Spec Type2]]="N/A",Table1[[#This Row],[DUT Adj Read]]="N/A",Table1[[#This Row],[Std Adj Read]]="N/A"),"N/A",IF(Table1[[#This Row],[DUT Adj Read]]="N/A",IF(Table1[[#This Row],[Std Adj Read]]&gt;=Table1[[#This Row],[Low Tol]],"Pass","Fail"),IF(Table1[[#This Row],[DUT Adj Read]]&gt;=Table1[[#This Row],[Low Tol]],"Pass","Fail")))</f>
        <v>Pass</v>
      </c>
      <c r="AG2983" s="1" t="str">
        <f>IF(AND(Table1[[#This Row],[Spec Type2]]="N/A",Table1[[#This Row],[DUT Adj Read]]="N/A",Table1[[#This Row],[Std Adj Read]]="N/A"),"N/A",IF(Table1[[#This Row],[DUT Adj Read]]="N/A",IF(Table1[[#This Row],[Std Adj Read]]&lt;=Table1[[#This Row],[High Tol]],"Pass","Fail"),IF(Table1[[#This Row],[DUT Adj Read]]&lt;=Table1[[#This Row],[High Tol]],"Pass","Fail")))</f>
        <v>Fail</v>
      </c>
      <c r="AH29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3" s="1" t="b">
        <v>0</v>
      </c>
      <c r="AN2983" s="1" t="b">
        <v>0</v>
      </c>
      <c r="AO2983" s="1" t="b">
        <v>0</v>
      </c>
    </row>
    <row r="2984" spans="1:41" x14ac:dyDescent="0.25">
      <c r="A2984" s="10"/>
      <c r="B2984" s="10"/>
      <c r="C2984" s="10"/>
      <c r="D2984" s="10"/>
      <c r="E2984" s="10"/>
      <c r="F2984" s="10"/>
      <c r="G2984" s="10"/>
      <c r="H2984" s="10"/>
      <c r="I2984" s="1" t="str">
        <f t="shared" si="138"/>
        <v/>
      </c>
      <c r="J2984" s="1" t="s">
        <v>35</v>
      </c>
      <c r="K2984" s="1" t="str">
        <f t="shared" si="139"/>
        <v/>
      </c>
      <c r="L2984" s="1" t="str">
        <f t="shared" si="140"/>
        <v/>
      </c>
      <c r="M2984" s="1">
        <f>IF(OR(Table1[[#This Row],[Std Nom]]="",Table1[[#This Row],[Std Read]]=""),0,Table1[[#This Row],[Std Nom]]-Table1[[#This Row],[Std Read]])</f>
        <v>0</v>
      </c>
      <c r="N2984" s="1">
        <f>IF(Calculations!$F$5="ACCREDITED 17025 WITH UNCERTAINTIES",$N$10,0)</f>
        <v>0</v>
      </c>
      <c r="O2984" s="1" t="str">
        <f>IFERROR(Table1[[#This Row],[Std Nom]]-(_xlfn.XLOOKUP(Table1[[#This Row],[Manufacturer]]&amp;" "&amp;Table1[[#This Row],[Model]],Table13[MFR &amp; MDL],Table13[Tolerance % CW ],"")/100*Table1[[#This Row],[Std Nom]]),"")</f>
        <v/>
      </c>
      <c r="P2984" s="1" t="str">
        <f>IFERROR(Table1[[#This Row],[Std Nom]]+(_xlfn.XLOOKUP(Table1[[#This Row],[Manufacturer]]&amp;" "&amp;Table1[[#This Row],[Model]],Table13[MFR &amp; MDL],Table13[Tolerance % CW ],"")/100*Table1[[#This Row],[Std Nom]]),"")</f>
        <v/>
      </c>
      <c r="Q2984" s="1" t="e">
        <f>Table1[[#This Row],[High Tol]]-Table1[[#This Row],[Low Tol]]</f>
        <v>#VALUE!</v>
      </c>
      <c r="R2984" s="1">
        <f>2*Table1[[#This Row],[Std Error]]</f>
        <v>0</v>
      </c>
      <c r="S2984" s="1" t="str">
        <f>IF(Table1[[#This Row],[High Tol]]="","N/A",IFERROR(ABS(Table1[[#This Row],[Tol Span]]/Table1[[#This Row],[Error Span]]),"N/A"))</f>
        <v>N/A</v>
      </c>
      <c r="T2984" s="1" t="str">
        <f>IF(OR(Table1[[#This Row],[Low Tol]]="",Table1[[#This Row],[High Tol]]=""),"Needs Analysis",IF(Table1[[#This Row],[Ratio]]&gt;=4,"Not Significant",IF(Table1[[#This Row],[Ratio]]&gt;=2,"Semi-Significant","Significant")))</f>
        <v>Needs Analysis</v>
      </c>
      <c r="W2984" s="1">
        <f>IF(Table1[[#This Row],[Cal Type]]&lt;&gt;"ACCREDITED 17025 WITH UNCERTAINTIES",0,"")</f>
        <v>0</v>
      </c>
      <c r="X2984" s="1" t="str">
        <f>IF(Table1[[#This Row],[DUT Read]]="","N/A",Table1[[#This Row],[Std Error]]+Table1[[#This Row],[DUT Read]]+Table1[[#This Row],[DUT Ucty]])</f>
        <v>N/A</v>
      </c>
      <c r="Y2984" s="1" t="str">
        <f>IF(Table1[[#This Row],[Std Read]]="","N/A",Table1[[#This Row],[Std Read]]+Table1[[#This Row],[Std Ucty]])</f>
        <v>N/A</v>
      </c>
      <c r="Z29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4" s="1" t="str">
        <f>IF(Table1[[#This Row],[Spec Type]]="","N/A",Table1[[#This Row],[Spec Type]])</f>
        <v>±</v>
      </c>
      <c r="AC2984" s="1" t="str">
        <f>IF(Table1[[#This Row],[Spec Type2]]="N/A","N/A",IF(AND(Table1[[#This Row],[DUT Adj Read]]&gt;=Table1[[#This Row],[Low Tol]],Table1[[#This Row],[DUT Adj Read]]&lt;=Table1[[#This Row],[High Tol]]),"Pass","Fail"))</f>
        <v>Fail</v>
      </c>
      <c r="AD2984" s="1" t="str">
        <f>IF(AND(Table1[[#This Row],[Spec Type2]]="N/A",Table1[[#This Row],[DUT Adj Read]]="N/A",Table1[[#This Row],[Std Adj Read]]="N/A"),"N/A",IF(Table1[[#This Row],[DUT Adj Read]]="N/A",IF(Table1[[#This Row],[Std Adj Read]]&gt;Table1[[#This Row],[Low Tol]],"Pass","Fail"),IF(Table1[[#This Row],[DUT Adj Read]]&gt;Table1[[#This Row],[Low Tol]],"Pass","Fail")))</f>
        <v>Pass</v>
      </c>
      <c r="AE2984" s="1" t="str">
        <f>IF(AND(Table1[[#This Row],[Spec Type2]]="N/A",Table1[[#This Row],[DUT Adj Read]]="N/A",Table1[[#This Row],[Std Adj Read]]="N/A"),"N/A",IF(Table1[[#This Row],[DUT Adj Read]]="N/A",IF(Table1[[#This Row],[Std Adj Read]]&lt;Table1[[#This Row],[High Tol]],"Pass","Fail"),IF(Table1[[#This Row],[DUT Adj Read]]&lt;Table1[[#This Row],[High Tol]],"Pass","Fail")))</f>
        <v>Fail</v>
      </c>
      <c r="AF2984" s="1" t="str">
        <f>IF(AND(Table1[[#This Row],[Spec Type2]]="N/A",Table1[[#This Row],[DUT Adj Read]]="N/A",Table1[[#This Row],[Std Adj Read]]="N/A"),"N/A",IF(Table1[[#This Row],[DUT Adj Read]]="N/A",IF(Table1[[#This Row],[Std Adj Read]]&gt;=Table1[[#This Row],[Low Tol]],"Pass","Fail"),IF(Table1[[#This Row],[DUT Adj Read]]&gt;=Table1[[#This Row],[Low Tol]],"Pass","Fail")))</f>
        <v>Pass</v>
      </c>
      <c r="AG2984" s="1" t="str">
        <f>IF(AND(Table1[[#This Row],[Spec Type2]]="N/A",Table1[[#This Row],[DUT Adj Read]]="N/A",Table1[[#This Row],[Std Adj Read]]="N/A"),"N/A",IF(Table1[[#This Row],[DUT Adj Read]]="N/A",IF(Table1[[#This Row],[Std Adj Read]]&lt;=Table1[[#This Row],[High Tol]],"Pass","Fail"),IF(Table1[[#This Row],[DUT Adj Read]]&lt;=Table1[[#This Row],[High Tol]],"Pass","Fail")))</f>
        <v>Fail</v>
      </c>
      <c r="AH29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4" s="1" t="b">
        <v>0</v>
      </c>
      <c r="AN2984" s="1" t="b">
        <v>0</v>
      </c>
      <c r="AO2984" s="1" t="b">
        <v>0</v>
      </c>
    </row>
    <row r="2985" spans="1:41" x14ac:dyDescent="0.25">
      <c r="A2985" s="10"/>
      <c r="B2985" s="10"/>
      <c r="C2985" s="10"/>
      <c r="D2985" s="10"/>
      <c r="E2985" s="10"/>
      <c r="F2985" s="10"/>
      <c r="G2985" s="10"/>
      <c r="H2985" s="10"/>
      <c r="I2985" s="1" t="str">
        <f t="shared" si="138"/>
        <v/>
      </c>
      <c r="J2985" s="1" t="s">
        <v>35</v>
      </c>
      <c r="K2985" s="1" t="str">
        <f t="shared" si="139"/>
        <v/>
      </c>
      <c r="L2985" s="1" t="str">
        <f t="shared" si="140"/>
        <v/>
      </c>
      <c r="M2985" s="1">
        <f>IF(OR(Table1[[#This Row],[Std Nom]]="",Table1[[#This Row],[Std Read]]=""),0,Table1[[#This Row],[Std Nom]]-Table1[[#This Row],[Std Read]])</f>
        <v>0</v>
      </c>
      <c r="N2985" s="1">
        <f>IF(Calculations!$F$5="ACCREDITED 17025 WITH UNCERTAINTIES",$N$10,0)</f>
        <v>0</v>
      </c>
      <c r="O2985" s="1" t="str">
        <f>IFERROR(Table1[[#This Row],[Std Nom]]-(_xlfn.XLOOKUP(Table1[[#This Row],[Manufacturer]]&amp;" "&amp;Table1[[#This Row],[Model]],Table13[MFR &amp; MDL],Table13[Tolerance % CW ],"")/100*Table1[[#This Row],[Std Nom]]),"")</f>
        <v/>
      </c>
      <c r="P2985" s="1" t="str">
        <f>IFERROR(Table1[[#This Row],[Std Nom]]+(_xlfn.XLOOKUP(Table1[[#This Row],[Manufacturer]]&amp;" "&amp;Table1[[#This Row],[Model]],Table13[MFR &amp; MDL],Table13[Tolerance % CW ],"")/100*Table1[[#This Row],[Std Nom]]),"")</f>
        <v/>
      </c>
      <c r="Q2985" s="1" t="e">
        <f>Table1[[#This Row],[High Tol]]-Table1[[#This Row],[Low Tol]]</f>
        <v>#VALUE!</v>
      </c>
      <c r="R2985" s="1">
        <f>2*Table1[[#This Row],[Std Error]]</f>
        <v>0</v>
      </c>
      <c r="S2985" s="1" t="str">
        <f>IF(Table1[[#This Row],[High Tol]]="","N/A",IFERROR(ABS(Table1[[#This Row],[Tol Span]]/Table1[[#This Row],[Error Span]]),"N/A"))</f>
        <v>N/A</v>
      </c>
      <c r="T2985" s="1" t="str">
        <f>IF(OR(Table1[[#This Row],[Low Tol]]="",Table1[[#This Row],[High Tol]]=""),"Needs Analysis",IF(Table1[[#This Row],[Ratio]]&gt;=4,"Not Significant",IF(Table1[[#This Row],[Ratio]]&gt;=2,"Semi-Significant","Significant")))</f>
        <v>Needs Analysis</v>
      </c>
      <c r="W2985" s="1">
        <f>IF(Table1[[#This Row],[Cal Type]]&lt;&gt;"ACCREDITED 17025 WITH UNCERTAINTIES",0,"")</f>
        <v>0</v>
      </c>
      <c r="X2985" s="1" t="str">
        <f>IF(Table1[[#This Row],[DUT Read]]="","N/A",Table1[[#This Row],[Std Error]]+Table1[[#This Row],[DUT Read]]+Table1[[#This Row],[DUT Ucty]])</f>
        <v>N/A</v>
      </c>
      <c r="Y2985" s="1" t="str">
        <f>IF(Table1[[#This Row],[Std Read]]="","N/A",Table1[[#This Row],[Std Read]]+Table1[[#This Row],[Std Ucty]])</f>
        <v>N/A</v>
      </c>
      <c r="Z29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5" s="1" t="str">
        <f>IF(Table1[[#This Row],[Spec Type]]="","N/A",Table1[[#This Row],[Spec Type]])</f>
        <v>±</v>
      </c>
      <c r="AC2985" s="1" t="str">
        <f>IF(Table1[[#This Row],[Spec Type2]]="N/A","N/A",IF(AND(Table1[[#This Row],[DUT Adj Read]]&gt;=Table1[[#This Row],[Low Tol]],Table1[[#This Row],[DUT Adj Read]]&lt;=Table1[[#This Row],[High Tol]]),"Pass","Fail"))</f>
        <v>Fail</v>
      </c>
      <c r="AD2985" s="1" t="str">
        <f>IF(AND(Table1[[#This Row],[Spec Type2]]="N/A",Table1[[#This Row],[DUT Adj Read]]="N/A",Table1[[#This Row],[Std Adj Read]]="N/A"),"N/A",IF(Table1[[#This Row],[DUT Adj Read]]="N/A",IF(Table1[[#This Row],[Std Adj Read]]&gt;Table1[[#This Row],[Low Tol]],"Pass","Fail"),IF(Table1[[#This Row],[DUT Adj Read]]&gt;Table1[[#This Row],[Low Tol]],"Pass","Fail")))</f>
        <v>Pass</v>
      </c>
      <c r="AE2985" s="1" t="str">
        <f>IF(AND(Table1[[#This Row],[Spec Type2]]="N/A",Table1[[#This Row],[DUT Adj Read]]="N/A",Table1[[#This Row],[Std Adj Read]]="N/A"),"N/A",IF(Table1[[#This Row],[DUT Adj Read]]="N/A",IF(Table1[[#This Row],[Std Adj Read]]&lt;Table1[[#This Row],[High Tol]],"Pass","Fail"),IF(Table1[[#This Row],[DUT Adj Read]]&lt;Table1[[#This Row],[High Tol]],"Pass","Fail")))</f>
        <v>Fail</v>
      </c>
      <c r="AF2985" s="1" t="str">
        <f>IF(AND(Table1[[#This Row],[Spec Type2]]="N/A",Table1[[#This Row],[DUT Adj Read]]="N/A",Table1[[#This Row],[Std Adj Read]]="N/A"),"N/A",IF(Table1[[#This Row],[DUT Adj Read]]="N/A",IF(Table1[[#This Row],[Std Adj Read]]&gt;=Table1[[#This Row],[Low Tol]],"Pass","Fail"),IF(Table1[[#This Row],[DUT Adj Read]]&gt;=Table1[[#This Row],[Low Tol]],"Pass","Fail")))</f>
        <v>Pass</v>
      </c>
      <c r="AG2985" s="1" t="str">
        <f>IF(AND(Table1[[#This Row],[Spec Type2]]="N/A",Table1[[#This Row],[DUT Adj Read]]="N/A",Table1[[#This Row],[Std Adj Read]]="N/A"),"N/A",IF(Table1[[#This Row],[DUT Adj Read]]="N/A",IF(Table1[[#This Row],[Std Adj Read]]&lt;=Table1[[#This Row],[High Tol]],"Pass","Fail"),IF(Table1[[#This Row],[DUT Adj Read]]&lt;=Table1[[#This Row],[High Tol]],"Pass","Fail")))</f>
        <v>Fail</v>
      </c>
      <c r="AH29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5" s="1" t="b">
        <v>0</v>
      </c>
      <c r="AN2985" s="1" t="b">
        <v>0</v>
      </c>
      <c r="AO2985" s="1" t="b">
        <v>0</v>
      </c>
    </row>
    <row r="2986" spans="1:41" x14ac:dyDescent="0.25">
      <c r="A2986" s="10"/>
      <c r="B2986" s="10"/>
      <c r="C2986" s="10"/>
      <c r="D2986" s="10"/>
      <c r="E2986" s="10"/>
      <c r="F2986" s="10"/>
      <c r="G2986" s="10"/>
      <c r="H2986" s="10"/>
      <c r="I2986" s="1" t="str">
        <f t="shared" si="138"/>
        <v/>
      </c>
      <c r="J2986" s="1" t="s">
        <v>35</v>
      </c>
      <c r="K2986" s="1" t="str">
        <f t="shared" si="139"/>
        <v/>
      </c>
      <c r="L2986" s="1" t="str">
        <f t="shared" si="140"/>
        <v/>
      </c>
      <c r="M2986" s="1">
        <f>IF(OR(Table1[[#This Row],[Std Nom]]="",Table1[[#This Row],[Std Read]]=""),0,Table1[[#This Row],[Std Nom]]-Table1[[#This Row],[Std Read]])</f>
        <v>0</v>
      </c>
      <c r="N2986" s="1">
        <f>IF(Calculations!$F$5="ACCREDITED 17025 WITH UNCERTAINTIES",$N$10,0)</f>
        <v>0</v>
      </c>
      <c r="O2986" s="1" t="str">
        <f>IFERROR(Table1[[#This Row],[Std Nom]]-(_xlfn.XLOOKUP(Table1[[#This Row],[Manufacturer]]&amp;" "&amp;Table1[[#This Row],[Model]],Table13[MFR &amp; MDL],Table13[Tolerance % CW ],"")/100*Table1[[#This Row],[Std Nom]]),"")</f>
        <v/>
      </c>
      <c r="P2986" s="1" t="str">
        <f>IFERROR(Table1[[#This Row],[Std Nom]]+(_xlfn.XLOOKUP(Table1[[#This Row],[Manufacturer]]&amp;" "&amp;Table1[[#This Row],[Model]],Table13[MFR &amp; MDL],Table13[Tolerance % CW ],"")/100*Table1[[#This Row],[Std Nom]]),"")</f>
        <v/>
      </c>
      <c r="Q2986" s="1" t="e">
        <f>Table1[[#This Row],[High Tol]]-Table1[[#This Row],[Low Tol]]</f>
        <v>#VALUE!</v>
      </c>
      <c r="R2986" s="1">
        <f>2*Table1[[#This Row],[Std Error]]</f>
        <v>0</v>
      </c>
      <c r="S2986" s="1" t="str">
        <f>IF(Table1[[#This Row],[High Tol]]="","N/A",IFERROR(ABS(Table1[[#This Row],[Tol Span]]/Table1[[#This Row],[Error Span]]),"N/A"))</f>
        <v>N/A</v>
      </c>
      <c r="T2986" s="1" t="str">
        <f>IF(OR(Table1[[#This Row],[Low Tol]]="",Table1[[#This Row],[High Tol]]=""),"Needs Analysis",IF(Table1[[#This Row],[Ratio]]&gt;=4,"Not Significant",IF(Table1[[#This Row],[Ratio]]&gt;=2,"Semi-Significant","Significant")))</f>
        <v>Needs Analysis</v>
      </c>
      <c r="W2986" s="1">
        <f>IF(Table1[[#This Row],[Cal Type]]&lt;&gt;"ACCREDITED 17025 WITH UNCERTAINTIES",0,"")</f>
        <v>0</v>
      </c>
      <c r="X2986" s="1" t="str">
        <f>IF(Table1[[#This Row],[DUT Read]]="","N/A",Table1[[#This Row],[Std Error]]+Table1[[#This Row],[DUT Read]]+Table1[[#This Row],[DUT Ucty]])</f>
        <v>N/A</v>
      </c>
      <c r="Y2986" s="1" t="str">
        <f>IF(Table1[[#This Row],[Std Read]]="","N/A",Table1[[#This Row],[Std Read]]+Table1[[#This Row],[Std Ucty]])</f>
        <v>N/A</v>
      </c>
      <c r="Z29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6" s="1" t="str">
        <f>IF(Table1[[#This Row],[Spec Type]]="","N/A",Table1[[#This Row],[Spec Type]])</f>
        <v>±</v>
      </c>
      <c r="AC2986" s="1" t="str">
        <f>IF(Table1[[#This Row],[Spec Type2]]="N/A","N/A",IF(AND(Table1[[#This Row],[DUT Adj Read]]&gt;=Table1[[#This Row],[Low Tol]],Table1[[#This Row],[DUT Adj Read]]&lt;=Table1[[#This Row],[High Tol]]),"Pass","Fail"))</f>
        <v>Fail</v>
      </c>
      <c r="AD2986" s="1" t="str">
        <f>IF(AND(Table1[[#This Row],[Spec Type2]]="N/A",Table1[[#This Row],[DUT Adj Read]]="N/A",Table1[[#This Row],[Std Adj Read]]="N/A"),"N/A",IF(Table1[[#This Row],[DUT Adj Read]]="N/A",IF(Table1[[#This Row],[Std Adj Read]]&gt;Table1[[#This Row],[Low Tol]],"Pass","Fail"),IF(Table1[[#This Row],[DUT Adj Read]]&gt;Table1[[#This Row],[Low Tol]],"Pass","Fail")))</f>
        <v>Pass</v>
      </c>
      <c r="AE2986" s="1" t="str">
        <f>IF(AND(Table1[[#This Row],[Spec Type2]]="N/A",Table1[[#This Row],[DUT Adj Read]]="N/A",Table1[[#This Row],[Std Adj Read]]="N/A"),"N/A",IF(Table1[[#This Row],[DUT Adj Read]]="N/A",IF(Table1[[#This Row],[Std Adj Read]]&lt;Table1[[#This Row],[High Tol]],"Pass","Fail"),IF(Table1[[#This Row],[DUT Adj Read]]&lt;Table1[[#This Row],[High Tol]],"Pass","Fail")))</f>
        <v>Fail</v>
      </c>
      <c r="AF2986" s="1" t="str">
        <f>IF(AND(Table1[[#This Row],[Spec Type2]]="N/A",Table1[[#This Row],[DUT Adj Read]]="N/A",Table1[[#This Row],[Std Adj Read]]="N/A"),"N/A",IF(Table1[[#This Row],[DUT Adj Read]]="N/A",IF(Table1[[#This Row],[Std Adj Read]]&gt;=Table1[[#This Row],[Low Tol]],"Pass","Fail"),IF(Table1[[#This Row],[DUT Adj Read]]&gt;=Table1[[#This Row],[Low Tol]],"Pass","Fail")))</f>
        <v>Pass</v>
      </c>
      <c r="AG2986" s="1" t="str">
        <f>IF(AND(Table1[[#This Row],[Spec Type2]]="N/A",Table1[[#This Row],[DUT Adj Read]]="N/A",Table1[[#This Row],[Std Adj Read]]="N/A"),"N/A",IF(Table1[[#This Row],[DUT Adj Read]]="N/A",IF(Table1[[#This Row],[Std Adj Read]]&lt;=Table1[[#This Row],[High Tol]],"Pass","Fail"),IF(Table1[[#This Row],[DUT Adj Read]]&lt;=Table1[[#This Row],[High Tol]],"Pass","Fail")))</f>
        <v>Fail</v>
      </c>
      <c r="AH29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6" s="1" t="b">
        <v>0</v>
      </c>
      <c r="AN2986" s="1" t="b">
        <v>0</v>
      </c>
      <c r="AO2986" s="1" t="b">
        <v>0</v>
      </c>
    </row>
    <row r="2987" spans="1:41" x14ac:dyDescent="0.25">
      <c r="A2987" s="10"/>
      <c r="B2987" s="10"/>
      <c r="C2987" s="10"/>
      <c r="D2987" s="10"/>
      <c r="E2987" s="10"/>
      <c r="F2987" s="10"/>
      <c r="G2987" s="10"/>
      <c r="H2987" s="10"/>
      <c r="I2987" s="1" t="str">
        <f t="shared" si="138"/>
        <v/>
      </c>
      <c r="J2987" s="1" t="s">
        <v>35</v>
      </c>
      <c r="K2987" s="1" t="str">
        <f t="shared" si="139"/>
        <v/>
      </c>
      <c r="L2987" s="1" t="str">
        <f t="shared" si="140"/>
        <v/>
      </c>
      <c r="M2987" s="1">
        <f>IF(OR(Table1[[#This Row],[Std Nom]]="",Table1[[#This Row],[Std Read]]=""),0,Table1[[#This Row],[Std Nom]]-Table1[[#This Row],[Std Read]])</f>
        <v>0</v>
      </c>
      <c r="N2987" s="1">
        <f>IF(Calculations!$F$5="ACCREDITED 17025 WITH UNCERTAINTIES",$N$10,0)</f>
        <v>0</v>
      </c>
      <c r="O2987" s="1" t="str">
        <f>IFERROR(Table1[[#This Row],[Std Nom]]-(_xlfn.XLOOKUP(Table1[[#This Row],[Manufacturer]]&amp;" "&amp;Table1[[#This Row],[Model]],Table13[MFR &amp; MDL],Table13[Tolerance % CW ],"")/100*Table1[[#This Row],[Std Nom]]),"")</f>
        <v/>
      </c>
      <c r="P2987" s="1" t="str">
        <f>IFERROR(Table1[[#This Row],[Std Nom]]+(_xlfn.XLOOKUP(Table1[[#This Row],[Manufacturer]]&amp;" "&amp;Table1[[#This Row],[Model]],Table13[MFR &amp; MDL],Table13[Tolerance % CW ],"")/100*Table1[[#This Row],[Std Nom]]),"")</f>
        <v/>
      </c>
      <c r="Q2987" s="1" t="e">
        <f>Table1[[#This Row],[High Tol]]-Table1[[#This Row],[Low Tol]]</f>
        <v>#VALUE!</v>
      </c>
      <c r="R2987" s="1">
        <f>2*Table1[[#This Row],[Std Error]]</f>
        <v>0</v>
      </c>
      <c r="S2987" s="1" t="str">
        <f>IF(Table1[[#This Row],[High Tol]]="","N/A",IFERROR(ABS(Table1[[#This Row],[Tol Span]]/Table1[[#This Row],[Error Span]]),"N/A"))</f>
        <v>N/A</v>
      </c>
      <c r="T2987" s="1" t="str">
        <f>IF(OR(Table1[[#This Row],[Low Tol]]="",Table1[[#This Row],[High Tol]]=""),"Needs Analysis",IF(Table1[[#This Row],[Ratio]]&gt;=4,"Not Significant",IF(Table1[[#This Row],[Ratio]]&gt;=2,"Semi-Significant","Significant")))</f>
        <v>Needs Analysis</v>
      </c>
      <c r="W2987" s="1">
        <f>IF(Table1[[#This Row],[Cal Type]]&lt;&gt;"ACCREDITED 17025 WITH UNCERTAINTIES",0,"")</f>
        <v>0</v>
      </c>
      <c r="X2987" s="1" t="str">
        <f>IF(Table1[[#This Row],[DUT Read]]="","N/A",Table1[[#This Row],[Std Error]]+Table1[[#This Row],[DUT Read]]+Table1[[#This Row],[DUT Ucty]])</f>
        <v>N/A</v>
      </c>
      <c r="Y2987" s="1" t="str">
        <f>IF(Table1[[#This Row],[Std Read]]="","N/A",Table1[[#This Row],[Std Read]]+Table1[[#This Row],[Std Ucty]])</f>
        <v>N/A</v>
      </c>
      <c r="Z29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7" s="1" t="str">
        <f>IF(Table1[[#This Row],[Spec Type]]="","N/A",Table1[[#This Row],[Spec Type]])</f>
        <v>±</v>
      </c>
      <c r="AC2987" s="1" t="str">
        <f>IF(Table1[[#This Row],[Spec Type2]]="N/A","N/A",IF(AND(Table1[[#This Row],[DUT Adj Read]]&gt;=Table1[[#This Row],[Low Tol]],Table1[[#This Row],[DUT Adj Read]]&lt;=Table1[[#This Row],[High Tol]]),"Pass","Fail"))</f>
        <v>Fail</v>
      </c>
      <c r="AD2987" s="1" t="str">
        <f>IF(AND(Table1[[#This Row],[Spec Type2]]="N/A",Table1[[#This Row],[DUT Adj Read]]="N/A",Table1[[#This Row],[Std Adj Read]]="N/A"),"N/A",IF(Table1[[#This Row],[DUT Adj Read]]="N/A",IF(Table1[[#This Row],[Std Adj Read]]&gt;Table1[[#This Row],[Low Tol]],"Pass","Fail"),IF(Table1[[#This Row],[DUT Adj Read]]&gt;Table1[[#This Row],[Low Tol]],"Pass","Fail")))</f>
        <v>Pass</v>
      </c>
      <c r="AE2987" s="1" t="str">
        <f>IF(AND(Table1[[#This Row],[Spec Type2]]="N/A",Table1[[#This Row],[DUT Adj Read]]="N/A",Table1[[#This Row],[Std Adj Read]]="N/A"),"N/A",IF(Table1[[#This Row],[DUT Adj Read]]="N/A",IF(Table1[[#This Row],[Std Adj Read]]&lt;Table1[[#This Row],[High Tol]],"Pass","Fail"),IF(Table1[[#This Row],[DUT Adj Read]]&lt;Table1[[#This Row],[High Tol]],"Pass","Fail")))</f>
        <v>Fail</v>
      </c>
      <c r="AF2987" s="1" t="str">
        <f>IF(AND(Table1[[#This Row],[Spec Type2]]="N/A",Table1[[#This Row],[DUT Adj Read]]="N/A",Table1[[#This Row],[Std Adj Read]]="N/A"),"N/A",IF(Table1[[#This Row],[DUT Adj Read]]="N/A",IF(Table1[[#This Row],[Std Adj Read]]&gt;=Table1[[#This Row],[Low Tol]],"Pass","Fail"),IF(Table1[[#This Row],[DUT Adj Read]]&gt;=Table1[[#This Row],[Low Tol]],"Pass","Fail")))</f>
        <v>Pass</v>
      </c>
      <c r="AG2987" s="1" t="str">
        <f>IF(AND(Table1[[#This Row],[Spec Type2]]="N/A",Table1[[#This Row],[DUT Adj Read]]="N/A",Table1[[#This Row],[Std Adj Read]]="N/A"),"N/A",IF(Table1[[#This Row],[DUT Adj Read]]="N/A",IF(Table1[[#This Row],[Std Adj Read]]&lt;=Table1[[#This Row],[High Tol]],"Pass","Fail"),IF(Table1[[#This Row],[DUT Adj Read]]&lt;=Table1[[#This Row],[High Tol]],"Pass","Fail")))</f>
        <v>Fail</v>
      </c>
      <c r="AH29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7" s="1" t="b">
        <v>0</v>
      </c>
      <c r="AN2987" s="1" t="b">
        <v>0</v>
      </c>
      <c r="AO2987" s="1" t="b">
        <v>0</v>
      </c>
    </row>
    <row r="2988" spans="1:41" x14ac:dyDescent="0.25">
      <c r="A2988" s="10"/>
      <c r="B2988" s="10"/>
      <c r="C2988" s="10"/>
      <c r="D2988" s="10"/>
      <c r="E2988" s="10"/>
      <c r="F2988" s="10"/>
      <c r="G2988" s="10"/>
      <c r="H2988" s="10"/>
      <c r="I2988" s="1" t="str">
        <f t="shared" si="138"/>
        <v/>
      </c>
      <c r="J2988" s="1" t="s">
        <v>35</v>
      </c>
      <c r="K2988" s="1" t="str">
        <f t="shared" si="139"/>
        <v/>
      </c>
      <c r="L2988" s="1" t="str">
        <f t="shared" si="140"/>
        <v/>
      </c>
      <c r="M2988" s="1">
        <f>IF(OR(Table1[[#This Row],[Std Nom]]="",Table1[[#This Row],[Std Read]]=""),0,Table1[[#This Row],[Std Nom]]-Table1[[#This Row],[Std Read]])</f>
        <v>0</v>
      </c>
      <c r="N2988" s="1">
        <f>IF(Calculations!$F$5="ACCREDITED 17025 WITH UNCERTAINTIES",$N$10,0)</f>
        <v>0</v>
      </c>
      <c r="O2988" s="1" t="str">
        <f>IFERROR(Table1[[#This Row],[Std Nom]]-(_xlfn.XLOOKUP(Table1[[#This Row],[Manufacturer]]&amp;" "&amp;Table1[[#This Row],[Model]],Table13[MFR &amp; MDL],Table13[Tolerance % CW ],"")/100*Table1[[#This Row],[Std Nom]]),"")</f>
        <v/>
      </c>
      <c r="P2988" s="1" t="str">
        <f>IFERROR(Table1[[#This Row],[Std Nom]]+(_xlfn.XLOOKUP(Table1[[#This Row],[Manufacturer]]&amp;" "&amp;Table1[[#This Row],[Model]],Table13[MFR &amp; MDL],Table13[Tolerance % CW ],"")/100*Table1[[#This Row],[Std Nom]]),"")</f>
        <v/>
      </c>
      <c r="Q2988" s="1" t="e">
        <f>Table1[[#This Row],[High Tol]]-Table1[[#This Row],[Low Tol]]</f>
        <v>#VALUE!</v>
      </c>
      <c r="R2988" s="1">
        <f>2*Table1[[#This Row],[Std Error]]</f>
        <v>0</v>
      </c>
      <c r="S2988" s="1" t="str">
        <f>IF(Table1[[#This Row],[High Tol]]="","N/A",IFERROR(ABS(Table1[[#This Row],[Tol Span]]/Table1[[#This Row],[Error Span]]),"N/A"))</f>
        <v>N/A</v>
      </c>
      <c r="T2988" s="1" t="str">
        <f>IF(OR(Table1[[#This Row],[Low Tol]]="",Table1[[#This Row],[High Tol]]=""),"Needs Analysis",IF(Table1[[#This Row],[Ratio]]&gt;=4,"Not Significant",IF(Table1[[#This Row],[Ratio]]&gt;=2,"Semi-Significant","Significant")))</f>
        <v>Needs Analysis</v>
      </c>
      <c r="W2988" s="1">
        <f>IF(Table1[[#This Row],[Cal Type]]&lt;&gt;"ACCREDITED 17025 WITH UNCERTAINTIES",0,"")</f>
        <v>0</v>
      </c>
      <c r="X2988" s="1" t="str">
        <f>IF(Table1[[#This Row],[DUT Read]]="","N/A",Table1[[#This Row],[Std Error]]+Table1[[#This Row],[DUT Read]]+Table1[[#This Row],[DUT Ucty]])</f>
        <v>N/A</v>
      </c>
      <c r="Y2988" s="1" t="str">
        <f>IF(Table1[[#This Row],[Std Read]]="","N/A",Table1[[#This Row],[Std Read]]+Table1[[#This Row],[Std Ucty]])</f>
        <v>N/A</v>
      </c>
      <c r="Z29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8" s="1" t="str">
        <f>IF(Table1[[#This Row],[Spec Type]]="","N/A",Table1[[#This Row],[Spec Type]])</f>
        <v>±</v>
      </c>
      <c r="AC2988" s="1" t="str">
        <f>IF(Table1[[#This Row],[Spec Type2]]="N/A","N/A",IF(AND(Table1[[#This Row],[DUT Adj Read]]&gt;=Table1[[#This Row],[Low Tol]],Table1[[#This Row],[DUT Adj Read]]&lt;=Table1[[#This Row],[High Tol]]),"Pass","Fail"))</f>
        <v>Fail</v>
      </c>
      <c r="AD2988" s="1" t="str">
        <f>IF(AND(Table1[[#This Row],[Spec Type2]]="N/A",Table1[[#This Row],[DUT Adj Read]]="N/A",Table1[[#This Row],[Std Adj Read]]="N/A"),"N/A",IF(Table1[[#This Row],[DUT Adj Read]]="N/A",IF(Table1[[#This Row],[Std Adj Read]]&gt;Table1[[#This Row],[Low Tol]],"Pass","Fail"),IF(Table1[[#This Row],[DUT Adj Read]]&gt;Table1[[#This Row],[Low Tol]],"Pass","Fail")))</f>
        <v>Pass</v>
      </c>
      <c r="AE2988" s="1" t="str">
        <f>IF(AND(Table1[[#This Row],[Spec Type2]]="N/A",Table1[[#This Row],[DUT Adj Read]]="N/A",Table1[[#This Row],[Std Adj Read]]="N/A"),"N/A",IF(Table1[[#This Row],[DUT Adj Read]]="N/A",IF(Table1[[#This Row],[Std Adj Read]]&lt;Table1[[#This Row],[High Tol]],"Pass","Fail"),IF(Table1[[#This Row],[DUT Adj Read]]&lt;Table1[[#This Row],[High Tol]],"Pass","Fail")))</f>
        <v>Fail</v>
      </c>
      <c r="AF2988" s="1" t="str">
        <f>IF(AND(Table1[[#This Row],[Spec Type2]]="N/A",Table1[[#This Row],[DUT Adj Read]]="N/A",Table1[[#This Row],[Std Adj Read]]="N/A"),"N/A",IF(Table1[[#This Row],[DUT Adj Read]]="N/A",IF(Table1[[#This Row],[Std Adj Read]]&gt;=Table1[[#This Row],[Low Tol]],"Pass","Fail"),IF(Table1[[#This Row],[DUT Adj Read]]&gt;=Table1[[#This Row],[Low Tol]],"Pass","Fail")))</f>
        <v>Pass</v>
      </c>
      <c r="AG2988" s="1" t="str">
        <f>IF(AND(Table1[[#This Row],[Spec Type2]]="N/A",Table1[[#This Row],[DUT Adj Read]]="N/A",Table1[[#This Row],[Std Adj Read]]="N/A"),"N/A",IF(Table1[[#This Row],[DUT Adj Read]]="N/A",IF(Table1[[#This Row],[Std Adj Read]]&lt;=Table1[[#This Row],[High Tol]],"Pass","Fail"),IF(Table1[[#This Row],[DUT Adj Read]]&lt;=Table1[[#This Row],[High Tol]],"Pass","Fail")))</f>
        <v>Fail</v>
      </c>
      <c r="AH29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8" s="1" t="b">
        <v>0</v>
      </c>
      <c r="AN2988" s="1" t="b">
        <v>0</v>
      </c>
      <c r="AO2988" s="1" t="b">
        <v>0</v>
      </c>
    </row>
    <row r="2989" spans="1:41" x14ac:dyDescent="0.25">
      <c r="A2989" s="10"/>
      <c r="B2989" s="10"/>
      <c r="C2989" s="10"/>
      <c r="D2989" s="10"/>
      <c r="E2989" s="10"/>
      <c r="F2989" s="10"/>
      <c r="G2989" s="10"/>
      <c r="H2989" s="10"/>
      <c r="I2989" s="1" t="str">
        <f t="shared" si="138"/>
        <v/>
      </c>
      <c r="J2989" s="1" t="s">
        <v>35</v>
      </c>
      <c r="K2989" s="1" t="str">
        <f t="shared" si="139"/>
        <v/>
      </c>
      <c r="L2989" s="1" t="str">
        <f t="shared" si="140"/>
        <v/>
      </c>
      <c r="M2989" s="1">
        <f>IF(OR(Table1[[#This Row],[Std Nom]]="",Table1[[#This Row],[Std Read]]=""),0,Table1[[#This Row],[Std Nom]]-Table1[[#This Row],[Std Read]])</f>
        <v>0</v>
      </c>
      <c r="N2989" s="1">
        <f>IF(Calculations!$F$5="ACCREDITED 17025 WITH UNCERTAINTIES",$N$10,0)</f>
        <v>0</v>
      </c>
      <c r="O2989" s="1" t="str">
        <f>IFERROR(Table1[[#This Row],[Std Nom]]-(_xlfn.XLOOKUP(Table1[[#This Row],[Manufacturer]]&amp;" "&amp;Table1[[#This Row],[Model]],Table13[MFR &amp; MDL],Table13[Tolerance % CW ],"")/100*Table1[[#This Row],[Std Nom]]),"")</f>
        <v/>
      </c>
      <c r="P2989" s="1" t="str">
        <f>IFERROR(Table1[[#This Row],[Std Nom]]+(_xlfn.XLOOKUP(Table1[[#This Row],[Manufacturer]]&amp;" "&amp;Table1[[#This Row],[Model]],Table13[MFR &amp; MDL],Table13[Tolerance % CW ],"")/100*Table1[[#This Row],[Std Nom]]),"")</f>
        <v/>
      </c>
      <c r="Q2989" s="1" t="e">
        <f>Table1[[#This Row],[High Tol]]-Table1[[#This Row],[Low Tol]]</f>
        <v>#VALUE!</v>
      </c>
      <c r="R2989" s="1">
        <f>2*Table1[[#This Row],[Std Error]]</f>
        <v>0</v>
      </c>
      <c r="S2989" s="1" t="str">
        <f>IF(Table1[[#This Row],[High Tol]]="","N/A",IFERROR(ABS(Table1[[#This Row],[Tol Span]]/Table1[[#This Row],[Error Span]]),"N/A"))</f>
        <v>N/A</v>
      </c>
      <c r="T2989" s="1" t="str">
        <f>IF(OR(Table1[[#This Row],[Low Tol]]="",Table1[[#This Row],[High Tol]]=""),"Needs Analysis",IF(Table1[[#This Row],[Ratio]]&gt;=4,"Not Significant",IF(Table1[[#This Row],[Ratio]]&gt;=2,"Semi-Significant","Significant")))</f>
        <v>Needs Analysis</v>
      </c>
      <c r="W2989" s="1">
        <f>IF(Table1[[#This Row],[Cal Type]]&lt;&gt;"ACCREDITED 17025 WITH UNCERTAINTIES",0,"")</f>
        <v>0</v>
      </c>
      <c r="X2989" s="1" t="str">
        <f>IF(Table1[[#This Row],[DUT Read]]="","N/A",Table1[[#This Row],[Std Error]]+Table1[[#This Row],[DUT Read]]+Table1[[#This Row],[DUT Ucty]])</f>
        <v>N/A</v>
      </c>
      <c r="Y2989" s="1" t="str">
        <f>IF(Table1[[#This Row],[Std Read]]="","N/A",Table1[[#This Row],[Std Read]]+Table1[[#This Row],[Std Ucty]])</f>
        <v>N/A</v>
      </c>
      <c r="Z29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9" s="1" t="str">
        <f>IF(Table1[[#This Row],[Spec Type]]="","N/A",Table1[[#This Row],[Spec Type]])</f>
        <v>±</v>
      </c>
      <c r="AC2989" s="1" t="str">
        <f>IF(Table1[[#This Row],[Spec Type2]]="N/A","N/A",IF(AND(Table1[[#This Row],[DUT Adj Read]]&gt;=Table1[[#This Row],[Low Tol]],Table1[[#This Row],[DUT Adj Read]]&lt;=Table1[[#This Row],[High Tol]]),"Pass","Fail"))</f>
        <v>Fail</v>
      </c>
      <c r="AD2989" s="1" t="str">
        <f>IF(AND(Table1[[#This Row],[Spec Type2]]="N/A",Table1[[#This Row],[DUT Adj Read]]="N/A",Table1[[#This Row],[Std Adj Read]]="N/A"),"N/A",IF(Table1[[#This Row],[DUT Adj Read]]="N/A",IF(Table1[[#This Row],[Std Adj Read]]&gt;Table1[[#This Row],[Low Tol]],"Pass","Fail"),IF(Table1[[#This Row],[DUT Adj Read]]&gt;Table1[[#This Row],[Low Tol]],"Pass","Fail")))</f>
        <v>Pass</v>
      </c>
      <c r="AE2989" s="1" t="str">
        <f>IF(AND(Table1[[#This Row],[Spec Type2]]="N/A",Table1[[#This Row],[DUT Adj Read]]="N/A",Table1[[#This Row],[Std Adj Read]]="N/A"),"N/A",IF(Table1[[#This Row],[DUT Adj Read]]="N/A",IF(Table1[[#This Row],[Std Adj Read]]&lt;Table1[[#This Row],[High Tol]],"Pass","Fail"),IF(Table1[[#This Row],[DUT Adj Read]]&lt;Table1[[#This Row],[High Tol]],"Pass","Fail")))</f>
        <v>Fail</v>
      </c>
      <c r="AF2989" s="1" t="str">
        <f>IF(AND(Table1[[#This Row],[Spec Type2]]="N/A",Table1[[#This Row],[DUT Adj Read]]="N/A",Table1[[#This Row],[Std Adj Read]]="N/A"),"N/A",IF(Table1[[#This Row],[DUT Adj Read]]="N/A",IF(Table1[[#This Row],[Std Adj Read]]&gt;=Table1[[#This Row],[Low Tol]],"Pass","Fail"),IF(Table1[[#This Row],[DUT Adj Read]]&gt;=Table1[[#This Row],[Low Tol]],"Pass","Fail")))</f>
        <v>Pass</v>
      </c>
      <c r="AG2989" s="1" t="str">
        <f>IF(AND(Table1[[#This Row],[Spec Type2]]="N/A",Table1[[#This Row],[DUT Adj Read]]="N/A",Table1[[#This Row],[Std Adj Read]]="N/A"),"N/A",IF(Table1[[#This Row],[DUT Adj Read]]="N/A",IF(Table1[[#This Row],[Std Adj Read]]&lt;=Table1[[#This Row],[High Tol]],"Pass","Fail"),IF(Table1[[#This Row],[DUT Adj Read]]&lt;=Table1[[#This Row],[High Tol]],"Pass","Fail")))</f>
        <v>Fail</v>
      </c>
      <c r="AH29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9" s="1" t="b">
        <v>0</v>
      </c>
      <c r="AN2989" s="1" t="b">
        <v>0</v>
      </c>
      <c r="AO2989" s="1" t="b">
        <v>0</v>
      </c>
    </row>
    <row r="2990" spans="1:41" x14ac:dyDescent="0.25">
      <c r="A2990" s="10"/>
      <c r="B2990" s="10"/>
      <c r="C2990" s="10"/>
      <c r="D2990" s="10"/>
      <c r="E2990" s="10"/>
      <c r="F2990" s="10"/>
      <c r="G2990" s="10"/>
      <c r="H2990" s="10"/>
      <c r="I2990" s="1" t="str">
        <f t="shared" si="138"/>
        <v/>
      </c>
      <c r="J2990" s="1" t="s">
        <v>35</v>
      </c>
      <c r="K2990" s="1" t="str">
        <f t="shared" si="139"/>
        <v/>
      </c>
      <c r="L2990" s="1" t="str">
        <f t="shared" si="140"/>
        <v/>
      </c>
      <c r="M2990" s="1">
        <f>IF(OR(Table1[[#This Row],[Std Nom]]="",Table1[[#This Row],[Std Read]]=""),0,Table1[[#This Row],[Std Nom]]-Table1[[#This Row],[Std Read]])</f>
        <v>0</v>
      </c>
      <c r="N2990" s="1">
        <f>IF(Calculations!$F$5="ACCREDITED 17025 WITH UNCERTAINTIES",$N$10,0)</f>
        <v>0</v>
      </c>
      <c r="O2990" s="1" t="str">
        <f>IFERROR(Table1[[#This Row],[Std Nom]]-(_xlfn.XLOOKUP(Table1[[#This Row],[Manufacturer]]&amp;" "&amp;Table1[[#This Row],[Model]],Table13[MFR &amp; MDL],Table13[Tolerance % CW ],"")/100*Table1[[#This Row],[Std Nom]]),"")</f>
        <v/>
      </c>
      <c r="P2990" s="1" t="str">
        <f>IFERROR(Table1[[#This Row],[Std Nom]]+(_xlfn.XLOOKUP(Table1[[#This Row],[Manufacturer]]&amp;" "&amp;Table1[[#This Row],[Model]],Table13[MFR &amp; MDL],Table13[Tolerance % CW ],"")/100*Table1[[#This Row],[Std Nom]]),"")</f>
        <v/>
      </c>
      <c r="Q2990" s="1" t="e">
        <f>Table1[[#This Row],[High Tol]]-Table1[[#This Row],[Low Tol]]</f>
        <v>#VALUE!</v>
      </c>
      <c r="R2990" s="1">
        <f>2*Table1[[#This Row],[Std Error]]</f>
        <v>0</v>
      </c>
      <c r="S2990" s="1" t="str">
        <f>IF(Table1[[#This Row],[High Tol]]="","N/A",IFERROR(ABS(Table1[[#This Row],[Tol Span]]/Table1[[#This Row],[Error Span]]),"N/A"))</f>
        <v>N/A</v>
      </c>
      <c r="T2990" s="1" t="str">
        <f>IF(OR(Table1[[#This Row],[Low Tol]]="",Table1[[#This Row],[High Tol]]=""),"Needs Analysis",IF(Table1[[#This Row],[Ratio]]&gt;=4,"Not Significant",IF(Table1[[#This Row],[Ratio]]&gt;=2,"Semi-Significant","Significant")))</f>
        <v>Needs Analysis</v>
      </c>
      <c r="W2990" s="1">
        <f>IF(Table1[[#This Row],[Cal Type]]&lt;&gt;"ACCREDITED 17025 WITH UNCERTAINTIES",0,"")</f>
        <v>0</v>
      </c>
      <c r="X2990" s="1" t="str">
        <f>IF(Table1[[#This Row],[DUT Read]]="","N/A",Table1[[#This Row],[Std Error]]+Table1[[#This Row],[DUT Read]]+Table1[[#This Row],[DUT Ucty]])</f>
        <v>N/A</v>
      </c>
      <c r="Y2990" s="1" t="str">
        <f>IF(Table1[[#This Row],[Std Read]]="","N/A",Table1[[#This Row],[Std Read]]+Table1[[#This Row],[Std Ucty]])</f>
        <v>N/A</v>
      </c>
      <c r="Z29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0" s="1" t="str">
        <f>IF(Table1[[#This Row],[Spec Type]]="","N/A",Table1[[#This Row],[Spec Type]])</f>
        <v>±</v>
      </c>
      <c r="AC2990" s="1" t="str">
        <f>IF(Table1[[#This Row],[Spec Type2]]="N/A","N/A",IF(AND(Table1[[#This Row],[DUT Adj Read]]&gt;=Table1[[#This Row],[Low Tol]],Table1[[#This Row],[DUT Adj Read]]&lt;=Table1[[#This Row],[High Tol]]),"Pass","Fail"))</f>
        <v>Fail</v>
      </c>
      <c r="AD2990" s="1" t="str">
        <f>IF(AND(Table1[[#This Row],[Spec Type2]]="N/A",Table1[[#This Row],[DUT Adj Read]]="N/A",Table1[[#This Row],[Std Adj Read]]="N/A"),"N/A",IF(Table1[[#This Row],[DUT Adj Read]]="N/A",IF(Table1[[#This Row],[Std Adj Read]]&gt;Table1[[#This Row],[Low Tol]],"Pass","Fail"),IF(Table1[[#This Row],[DUT Adj Read]]&gt;Table1[[#This Row],[Low Tol]],"Pass","Fail")))</f>
        <v>Pass</v>
      </c>
      <c r="AE2990" s="1" t="str">
        <f>IF(AND(Table1[[#This Row],[Spec Type2]]="N/A",Table1[[#This Row],[DUT Adj Read]]="N/A",Table1[[#This Row],[Std Adj Read]]="N/A"),"N/A",IF(Table1[[#This Row],[DUT Adj Read]]="N/A",IF(Table1[[#This Row],[Std Adj Read]]&lt;Table1[[#This Row],[High Tol]],"Pass","Fail"),IF(Table1[[#This Row],[DUT Adj Read]]&lt;Table1[[#This Row],[High Tol]],"Pass","Fail")))</f>
        <v>Fail</v>
      </c>
      <c r="AF2990" s="1" t="str">
        <f>IF(AND(Table1[[#This Row],[Spec Type2]]="N/A",Table1[[#This Row],[DUT Adj Read]]="N/A",Table1[[#This Row],[Std Adj Read]]="N/A"),"N/A",IF(Table1[[#This Row],[DUT Adj Read]]="N/A",IF(Table1[[#This Row],[Std Adj Read]]&gt;=Table1[[#This Row],[Low Tol]],"Pass","Fail"),IF(Table1[[#This Row],[DUT Adj Read]]&gt;=Table1[[#This Row],[Low Tol]],"Pass","Fail")))</f>
        <v>Pass</v>
      </c>
      <c r="AG2990" s="1" t="str">
        <f>IF(AND(Table1[[#This Row],[Spec Type2]]="N/A",Table1[[#This Row],[DUT Adj Read]]="N/A",Table1[[#This Row],[Std Adj Read]]="N/A"),"N/A",IF(Table1[[#This Row],[DUT Adj Read]]="N/A",IF(Table1[[#This Row],[Std Adj Read]]&lt;=Table1[[#This Row],[High Tol]],"Pass","Fail"),IF(Table1[[#This Row],[DUT Adj Read]]&lt;=Table1[[#This Row],[High Tol]],"Pass","Fail")))</f>
        <v>Fail</v>
      </c>
      <c r="AH29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0" s="1" t="b">
        <v>0</v>
      </c>
      <c r="AN2990" s="1" t="b">
        <v>0</v>
      </c>
      <c r="AO2990" s="1" t="b">
        <v>0</v>
      </c>
    </row>
    <row r="2991" spans="1:41" x14ac:dyDescent="0.25">
      <c r="A2991" s="10"/>
      <c r="B2991" s="10"/>
      <c r="C2991" s="10"/>
      <c r="D2991" s="10"/>
      <c r="E2991" s="10"/>
      <c r="F2991" s="10"/>
      <c r="G2991" s="10"/>
      <c r="H2991" s="10"/>
      <c r="I2991" s="1" t="str">
        <f t="shared" si="138"/>
        <v/>
      </c>
      <c r="J2991" s="1" t="s">
        <v>35</v>
      </c>
      <c r="K2991" s="1" t="str">
        <f t="shared" si="139"/>
        <v/>
      </c>
      <c r="L2991" s="1" t="str">
        <f t="shared" si="140"/>
        <v/>
      </c>
      <c r="M2991" s="1">
        <f>IF(OR(Table1[[#This Row],[Std Nom]]="",Table1[[#This Row],[Std Read]]=""),0,Table1[[#This Row],[Std Nom]]-Table1[[#This Row],[Std Read]])</f>
        <v>0</v>
      </c>
      <c r="N2991" s="1">
        <f>IF(Calculations!$F$5="ACCREDITED 17025 WITH UNCERTAINTIES",$N$10,0)</f>
        <v>0</v>
      </c>
      <c r="O2991" s="1" t="str">
        <f>IFERROR(Table1[[#This Row],[Std Nom]]-(_xlfn.XLOOKUP(Table1[[#This Row],[Manufacturer]]&amp;" "&amp;Table1[[#This Row],[Model]],Table13[MFR &amp; MDL],Table13[Tolerance % CW ],"")/100*Table1[[#This Row],[Std Nom]]),"")</f>
        <v/>
      </c>
      <c r="P2991" s="1" t="str">
        <f>IFERROR(Table1[[#This Row],[Std Nom]]+(_xlfn.XLOOKUP(Table1[[#This Row],[Manufacturer]]&amp;" "&amp;Table1[[#This Row],[Model]],Table13[MFR &amp; MDL],Table13[Tolerance % CW ],"")/100*Table1[[#This Row],[Std Nom]]),"")</f>
        <v/>
      </c>
      <c r="Q2991" s="1" t="e">
        <f>Table1[[#This Row],[High Tol]]-Table1[[#This Row],[Low Tol]]</f>
        <v>#VALUE!</v>
      </c>
      <c r="R2991" s="1">
        <f>2*Table1[[#This Row],[Std Error]]</f>
        <v>0</v>
      </c>
      <c r="S2991" s="1" t="str">
        <f>IF(Table1[[#This Row],[High Tol]]="","N/A",IFERROR(ABS(Table1[[#This Row],[Tol Span]]/Table1[[#This Row],[Error Span]]),"N/A"))</f>
        <v>N/A</v>
      </c>
      <c r="T2991" s="1" t="str">
        <f>IF(OR(Table1[[#This Row],[Low Tol]]="",Table1[[#This Row],[High Tol]]=""),"Needs Analysis",IF(Table1[[#This Row],[Ratio]]&gt;=4,"Not Significant",IF(Table1[[#This Row],[Ratio]]&gt;=2,"Semi-Significant","Significant")))</f>
        <v>Needs Analysis</v>
      </c>
      <c r="W2991" s="1">
        <f>IF(Table1[[#This Row],[Cal Type]]&lt;&gt;"ACCREDITED 17025 WITH UNCERTAINTIES",0,"")</f>
        <v>0</v>
      </c>
      <c r="X2991" s="1" t="str">
        <f>IF(Table1[[#This Row],[DUT Read]]="","N/A",Table1[[#This Row],[Std Error]]+Table1[[#This Row],[DUT Read]]+Table1[[#This Row],[DUT Ucty]])</f>
        <v>N/A</v>
      </c>
      <c r="Y2991" s="1" t="str">
        <f>IF(Table1[[#This Row],[Std Read]]="","N/A",Table1[[#This Row],[Std Read]]+Table1[[#This Row],[Std Ucty]])</f>
        <v>N/A</v>
      </c>
      <c r="Z29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1" s="1" t="str">
        <f>IF(Table1[[#This Row],[Spec Type]]="","N/A",Table1[[#This Row],[Spec Type]])</f>
        <v>±</v>
      </c>
      <c r="AC2991" s="1" t="str">
        <f>IF(Table1[[#This Row],[Spec Type2]]="N/A","N/A",IF(AND(Table1[[#This Row],[DUT Adj Read]]&gt;=Table1[[#This Row],[Low Tol]],Table1[[#This Row],[DUT Adj Read]]&lt;=Table1[[#This Row],[High Tol]]),"Pass","Fail"))</f>
        <v>Fail</v>
      </c>
      <c r="AD2991" s="1" t="str">
        <f>IF(AND(Table1[[#This Row],[Spec Type2]]="N/A",Table1[[#This Row],[DUT Adj Read]]="N/A",Table1[[#This Row],[Std Adj Read]]="N/A"),"N/A",IF(Table1[[#This Row],[DUT Adj Read]]="N/A",IF(Table1[[#This Row],[Std Adj Read]]&gt;Table1[[#This Row],[Low Tol]],"Pass","Fail"),IF(Table1[[#This Row],[DUT Adj Read]]&gt;Table1[[#This Row],[Low Tol]],"Pass","Fail")))</f>
        <v>Pass</v>
      </c>
      <c r="AE2991" s="1" t="str">
        <f>IF(AND(Table1[[#This Row],[Spec Type2]]="N/A",Table1[[#This Row],[DUT Adj Read]]="N/A",Table1[[#This Row],[Std Adj Read]]="N/A"),"N/A",IF(Table1[[#This Row],[DUT Adj Read]]="N/A",IF(Table1[[#This Row],[Std Adj Read]]&lt;Table1[[#This Row],[High Tol]],"Pass","Fail"),IF(Table1[[#This Row],[DUT Adj Read]]&lt;Table1[[#This Row],[High Tol]],"Pass","Fail")))</f>
        <v>Fail</v>
      </c>
      <c r="AF2991" s="1" t="str">
        <f>IF(AND(Table1[[#This Row],[Spec Type2]]="N/A",Table1[[#This Row],[DUT Adj Read]]="N/A",Table1[[#This Row],[Std Adj Read]]="N/A"),"N/A",IF(Table1[[#This Row],[DUT Adj Read]]="N/A",IF(Table1[[#This Row],[Std Adj Read]]&gt;=Table1[[#This Row],[Low Tol]],"Pass","Fail"),IF(Table1[[#This Row],[DUT Adj Read]]&gt;=Table1[[#This Row],[Low Tol]],"Pass","Fail")))</f>
        <v>Pass</v>
      </c>
      <c r="AG2991" s="1" t="str">
        <f>IF(AND(Table1[[#This Row],[Spec Type2]]="N/A",Table1[[#This Row],[DUT Adj Read]]="N/A",Table1[[#This Row],[Std Adj Read]]="N/A"),"N/A",IF(Table1[[#This Row],[DUT Adj Read]]="N/A",IF(Table1[[#This Row],[Std Adj Read]]&lt;=Table1[[#This Row],[High Tol]],"Pass","Fail"),IF(Table1[[#This Row],[DUT Adj Read]]&lt;=Table1[[#This Row],[High Tol]],"Pass","Fail")))</f>
        <v>Fail</v>
      </c>
      <c r="AH29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1" s="1" t="b">
        <v>0</v>
      </c>
      <c r="AN2991" s="1" t="b">
        <v>0</v>
      </c>
      <c r="AO2991" s="1" t="b">
        <v>0</v>
      </c>
    </row>
    <row r="2992" spans="1:41" x14ac:dyDescent="0.25">
      <c r="A2992" s="10"/>
      <c r="B2992" s="10"/>
      <c r="C2992" s="10"/>
      <c r="D2992" s="10"/>
      <c r="E2992" s="10"/>
      <c r="F2992" s="10"/>
      <c r="G2992" s="10"/>
      <c r="H2992" s="10"/>
      <c r="I2992" s="1" t="str">
        <f t="shared" si="138"/>
        <v/>
      </c>
      <c r="J2992" s="1" t="s">
        <v>35</v>
      </c>
      <c r="K2992" s="1" t="str">
        <f t="shared" si="139"/>
        <v/>
      </c>
      <c r="L2992" s="1" t="str">
        <f t="shared" si="140"/>
        <v/>
      </c>
      <c r="M2992" s="1">
        <f>IF(OR(Table1[[#This Row],[Std Nom]]="",Table1[[#This Row],[Std Read]]=""),0,Table1[[#This Row],[Std Nom]]-Table1[[#This Row],[Std Read]])</f>
        <v>0</v>
      </c>
      <c r="N2992" s="1">
        <f>IF(Calculations!$F$5="ACCREDITED 17025 WITH UNCERTAINTIES",$N$10,0)</f>
        <v>0</v>
      </c>
      <c r="O2992" s="1" t="str">
        <f>IFERROR(Table1[[#This Row],[Std Nom]]-(_xlfn.XLOOKUP(Table1[[#This Row],[Manufacturer]]&amp;" "&amp;Table1[[#This Row],[Model]],Table13[MFR &amp; MDL],Table13[Tolerance % CW ],"")/100*Table1[[#This Row],[Std Nom]]),"")</f>
        <v/>
      </c>
      <c r="P2992" s="1" t="str">
        <f>IFERROR(Table1[[#This Row],[Std Nom]]+(_xlfn.XLOOKUP(Table1[[#This Row],[Manufacturer]]&amp;" "&amp;Table1[[#This Row],[Model]],Table13[MFR &amp; MDL],Table13[Tolerance % CW ],"")/100*Table1[[#This Row],[Std Nom]]),"")</f>
        <v/>
      </c>
      <c r="Q2992" s="1" t="e">
        <f>Table1[[#This Row],[High Tol]]-Table1[[#This Row],[Low Tol]]</f>
        <v>#VALUE!</v>
      </c>
      <c r="R2992" s="1">
        <f>2*Table1[[#This Row],[Std Error]]</f>
        <v>0</v>
      </c>
      <c r="S2992" s="1" t="str">
        <f>IF(Table1[[#This Row],[High Tol]]="","N/A",IFERROR(ABS(Table1[[#This Row],[Tol Span]]/Table1[[#This Row],[Error Span]]),"N/A"))</f>
        <v>N/A</v>
      </c>
      <c r="T2992" s="1" t="str">
        <f>IF(OR(Table1[[#This Row],[Low Tol]]="",Table1[[#This Row],[High Tol]]=""),"Needs Analysis",IF(Table1[[#This Row],[Ratio]]&gt;=4,"Not Significant",IF(Table1[[#This Row],[Ratio]]&gt;=2,"Semi-Significant","Significant")))</f>
        <v>Needs Analysis</v>
      </c>
      <c r="W2992" s="1">
        <f>IF(Table1[[#This Row],[Cal Type]]&lt;&gt;"ACCREDITED 17025 WITH UNCERTAINTIES",0,"")</f>
        <v>0</v>
      </c>
      <c r="X2992" s="1" t="str">
        <f>IF(Table1[[#This Row],[DUT Read]]="","N/A",Table1[[#This Row],[Std Error]]+Table1[[#This Row],[DUT Read]]+Table1[[#This Row],[DUT Ucty]])</f>
        <v>N/A</v>
      </c>
      <c r="Y2992" s="1" t="str">
        <f>IF(Table1[[#This Row],[Std Read]]="","N/A",Table1[[#This Row],[Std Read]]+Table1[[#This Row],[Std Ucty]])</f>
        <v>N/A</v>
      </c>
      <c r="Z29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2" s="1" t="str">
        <f>IF(Table1[[#This Row],[Spec Type]]="","N/A",Table1[[#This Row],[Spec Type]])</f>
        <v>±</v>
      </c>
      <c r="AC2992" s="1" t="str">
        <f>IF(Table1[[#This Row],[Spec Type2]]="N/A","N/A",IF(AND(Table1[[#This Row],[DUT Adj Read]]&gt;=Table1[[#This Row],[Low Tol]],Table1[[#This Row],[DUT Adj Read]]&lt;=Table1[[#This Row],[High Tol]]),"Pass","Fail"))</f>
        <v>Fail</v>
      </c>
      <c r="AD2992" s="1" t="str">
        <f>IF(AND(Table1[[#This Row],[Spec Type2]]="N/A",Table1[[#This Row],[DUT Adj Read]]="N/A",Table1[[#This Row],[Std Adj Read]]="N/A"),"N/A",IF(Table1[[#This Row],[DUT Adj Read]]="N/A",IF(Table1[[#This Row],[Std Adj Read]]&gt;Table1[[#This Row],[Low Tol]],"Pass","Fail"),IF(Table1[[#This Row],[DUT Adj Read]]&gt;Table1[[#This Row],[Low Tol]],"Pass","Fail")))</f>
        <v>Pass</v>
      </c>
      <c r="AE2992" s="1" t="str">
        <f>IF(AND(Table1[[#This Row],[Spec Type2]]="N/A",Table1[[#This Row],[DUT Adj Read]]="N/A",Table1[[#This Row],[Std Adj Read]]="N/A"),"N/A",IF(Table1[[#This Row],[DUT Adj Read]]="N/A",IF(Table1[[#This Row],[Std Adj Read]]&lt;Table1[[#This Row],[High Tol]],"Pass","Fail"),IF(Table1[[#This Row],[DUT Adj Read]]&lt;Table1[[#This Row],[High Tol]],"Pass","Fail")))</f>
        <v>Fail</v>
      </c>
      <c r="AF2992" s="1" t="str">
        <f>IF(AND(Table1[[#This Row],[Spec Type2]]="N/A",Table1[[#This Row],[DUT Adj Read]]="N/A",Table1[[#This Row],[Std Adj Read]]="N/A"),"N/A",IF(Table1[[#This Row],[DUT Adj Read]]="N/A",IF(Table1[[#This Row],[Std Adj Read]]&gt;=Table1[[#This Row],[Low Tol]],"Pass","Fail"),IF(Table1[[#This Row],[DUT Adj Read]]&gt;=Table1[[#This Row],[Low Tol]],"Pass","Fail")))</f>
        <v>Pass</v>
      </c>
      <c r="AG2992" s="1" t="str">
        <f>IF(AND(Table1[[#This Row],[Spec Type2]]="N/A",Table1[[#This Row],[DUT Adj Read]]="N/A",Table1[[#This Row],[Std Adj Read]]="N/A"),"N/A",IF(Table1[[#This Row],[DUT Adj Read]]="N/A",IF(Table1[[#This Row],[Std Adj Read]]&lt;=Table1[[#This Row],[High Tol]],"Pass","Fail"),IF(Table1[[#This Row],[DUT Adj Read]]&lt;=Table1[[#This Row],[High Tol]],"Pass","Fail")))</f>
        <v>Fail</v>
      </c>
      <c r="AH29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2" s="1" t="b">
        <v>0</v>
      </c>
      <c r="AN2992" s="1" t="b">
        <v>0</v>
      </c>
      <c r="AO2992" s="1" t="b">
        <v>0</v>
      </c>
    </row>
    <row r="2993" spans="1:41" x14ac:dyDescent="0.25">
      <c r="A2993" s="10"/>
      <c r="B2993" s="10"/>
      <c r="C2993" s="10"/>
      <c r="D2993" s="10"/>
      <c r="E2993" s="10"/>
      <c r="F2993" s="10"/>
      <c r="G2993" s="10"/>
      <c r="H2993" s="10"/>
      <c r="I2993" s="1" t="str">
        <f t="shared" si="138"/>
        <v/>
      </c>
      <c r="J2993" s="1" t="s">
        <v>35</v>
      </c>
      <c r="K2993" s="1" t="str">
        <f t="shared" si="139"/>
        <v/>
      </c>
      <c r="L2993" s="1" t="str">
        <f t="shared" si="140"/>
        <v/>
      </c>
      <c r="M2993" s="1">
        <f>IF(OR(Table1[[#This Row],[Std Nom]]="",Table1[[#This Row],[Std Read]]=""),0,Table1[[#This Row],[Std Nom]]-Table1[[#This Row],[Std Read]])</f>
        <v>0</v>
      </c>
      <c r="N2993" s="1">
        <f>IF(Calculations!$F$5="ACCREDITED 17025 WITH UNCERTAINTIES",$N$10,0)</f>
        <v>0</v>
      </c>
      <c r="O2993" s="1" t="str">
        <f>IFERROR(Table1[[#This Row],[Std Nom]]-(_xlfn.XLOOKUP(Table1[[#This Row],[Manufacturer]]&amp;" "&amp;Table1[[#This Row],[Model]],Table13[MFR &amp; MDL],Table13[Tolerance % CW ],"")/100*Table1[[#This Row],[Std Nom]]),"")</f>
        <v/>
      </c>
      <c r="P2993" s="1" t="str">
        <f>IFERROR(Table1[[#This Row],[Std Nom]]+(_xlfn.XLOOKUP(Table1[[#This Row],[Manufacturer]]&amp;" "&amp;Table1[[#This Row],[Model]],Table13[MFR &amp; MDL],Table13[Tolerance % CW ],"")/100*Table1[[#This Row],[Std Nom]]),"")</f>
        <v/>
      </c>
      <c r="Q2993" s="1" t="e">
        <f>Table1[[#This Row],[High Tol]]-Table1[[#This Row],[Low Tol]]</f>
        <v>#VALUE!</v>
      </c>
      <c r="R2993" s="1">
        <f>2*Table1[[#This Row],[Std Error]]</f>
        <v>0</v>
      </c>
      <c r="S2993" s="1" t="str">
        <f>IF(Table1[[#This Row],[High Tol]]="","N/A",IFERROR(ABS(Table1[[#This Row],[Tol Span]]/Table1[[#This Row],[Error Span]]),"N/A"))</f>
        <v>N/A</v>
      </c>
      <c r="T2993" s="1" t="str">
        <f>IF(OR(Table1[[#This Row],[Low Tol]]="",Table1[[#This Row],[High Tol]]=""),"Needs Analysis",IF(Table1[[#This Row],[Ratio]]&gt;=4,"Not Significant",IF(Table1[[#This Row],[Ratio]]&gt;=2,"Semi-Significant","Significant")))</f>
        <v>Needs Analysis</v>
      </c>
      <c r="W2993" s="1">
        <f>IF(Table1[[#This Row],[Cal Type]]&lt;&gt;"ACCREDITED 17025 WITH UNCERTAINTIES",0,"")</f>
        <v>0</v>
      </c>
      <c r="X2993" s="1" t="str">
        <f>IF(Table1[[#This Row],[DUT Read]]="","N/A",Table1[[#This Row],[Std Error]]+Table1[[#This Row],[DUT Read]]+Table1[[#This Row],[DUT Ucty]])</f>
        <v>N/A</v>
      </c>
      <c r="Y2993" s="1" t="str">
        <f>IF(Table1[[#This Row],[Std Read]]="","N/A",Table1[[#This Row],[Std Read]]+Table1[[#This Row],[Std Ucty]])</f>
        <v>N/A</v>
      </c>
      <c r="Z29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3" s="1" t="str">
        <f>IF(Table1[[#This Row],[Spec Type]]="","N/A",Table1[[#This Row],[Spec Type]])</f>
        <v>±</v>
      </c>
      <c r="AC2993" s="1" t="str">
        <f>IF(Table1[[#This Row],[Spec Type2]]="N/A","N/A",IF(AND(Table1[[#This Row],[DUT Adj Read]]&gt;=Table1[[#This Row],[Low Tol]],Table1[[#This Row],[DUT Adj Read]]&lt;=Table1[[#This Row],[High Tol]]),"Pass","Fail"))</f>
        <v>Fail</v>
      </c>
      <c r="AD2993" s="1" t="str">
        <f>IF(AND(Table1[[#This Row],[Spec Type2]]="N/A",Table1[[#This Row],[DUT Adj Read]]="N/A",Table1[[#This Row],[Std Adj Read]]="N/A"),"N/A",IF(Table1[[#This Row],[DUT Adj Read]]="N/A",IF(Table1[[#This Row],[Std Adj Read]]&gt;Table1[[#This Row],[Low Tol]],"Pass","Fail"),IF(Table1[[#This Row],[DUT Adj Read]]&gt;Table1[[#This Row],[Low Tol]],"Pass","Fail")))</f>
        <v>Pass</v>
      </c>
      <c r="AE2993" s="1" t="str">
        <f>IF(AND(Table1[[#This Row],[Spec Type2]]="N/A",Table1[[#This Row],[DUT Adj Read]]="N/A",Table1[[#This Row],[Std Adj Read]]="N/A"),"N/A",IF(Table1[[#This Row],[DUT Adj Read]]="N/A",IF(Table1[[#This Row],[Std Adj Read]]&lt;Table1[[#This Row],[High Tol]],"Pass","Fail"),IF(Table1[[#This Row],[DUT Adj Read]]&lt;Table1[[#This Row],[High Tol]],"Pass","Fail")))</f>
        <v>Fail</v>
      </c>
      <c r="AF2993" s="1" t="str">
        <f>IF(AND(Table1[[#This Row],[Spec Type2]]="N/A",Table1[[#This Row],[DUT Adj Read]]="N/A",Table1[[#This Row],[Std Adj Read]]="N/A"),"N/A",IF(Table1[[#This Row],[DUT Adj Read]]="N/A",IF(Table1[[#This Row],[Std Adj Read]]&gt;=Table1[[#This Row],[Low Tol]],"Pass","Fail"),IF(Table1[[#This Row],[DUT Adj Read]]&gt;=Table1[[#This Row],[Low Tol]],"Pass","Fail")))</f>
        <v>Pass</v>
      </c>
      <c r="AG2993" s="1" t="str">
        <f>IF(AND(Table1[[#This Row],[Spec Type2]]="N/A",Table1[[#This Row],[DUT Adj Read]]="N/A",Table1[[#This Row],[Std Adj Read]]="N/A"),"N/A",IF(Table1[[#This Row],[DUT Adj Read]]="N/A",IF(Table1[[#This Row],[Std Adj Read]]&lt;=Table1[[#This Row],[High Tol]],"Pass","Fail"),IF(Table1[[#This Row],[DUT Adj Read]]&lt;=Table1[[#This Row],[High Tol]],"Pass","Fail")))</f>
        <v>Fail</v>
      </c>
      <c r="AH29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3" s="1" t="b">
        <v>0</v>
      </c>
      <c r="AN2993" s="1" t="b">
        <v>0</v>
      </c>
      <c r="AO2993" s="1" t="b">
        <v>0</v>
      </c>
    </row>
    <row r="2994" spans="1:41" x14ac:dyDescent="0.25">
      <c r="A2994" s="10"/>
      <c r="B2994" s="10"/>
      <c r="C2994" s="10"/>
      <c r="D2994" s="10"/>
      <c r="E2994" s="10"/>
      <c r="F2994" s="10"/>
      <c r="G2994" s="10"/>
      <c r="H2994" s="10"/>
      <c r="I2994" s="1" t="str">
        <f t="shared" si="138"/>
        <v/>
      </c>
      <c r="J2994" s="1" t="s">
        <v>35</v>
      </c>
      <c r="K2994" s="1" t="str">
        <f t="shared" si="139"/>
        <v/>
      </c>
      <c r="L2994" s="1" t="str">
        <f t="shared" si="140"/>
        <v/>
      </c>
      <c r="M2994" s="1">
        <f>IF(OR(Table1[[#This Row],[Std Nom]]="",Table1[[#This Row],[Std Read]]=""),0,Table1[[#This Row],[Std Nom]]-Table1[[#This Row],[Std Read]])</f>
        <v>0</v>
      </c>
      <c r="N2994" s="1">
        <f>IF(Calculations!$F$5="ACCREDITED 17025 WITH UNCERTAINTIES",$N$10,0)</f>
        <v>0</v>
      </c>
      <c r="O2994" s="1" t="str">
        <f>IFERROR(Table1[[#This Row],[Std Nom]]-(_xlfn.XLOOKUP(Table1[[#This Row],[Manufacturer]]&amp;" "&amp;Table1[[#This Row],[Model]],Table13[MFR &amp; MDL],Table13[Tolerance % CW ],"")/100*Table1[[#This Row],[Std Nom]]),"")</f>
        <v/>
      </c>
      <c r="P2994" s="1" t="str">
        <f>IFERROR(Table1[[#This Row],[Std Nom]]+(_xlfn.XLOOKUP(Table1[[#This Row],[Manufacturer]]&amp;" "&amp;Table1[[#This Row],[Model]],Table13[MFR &amp; MDL],Table13[Tolerance % CW ],"")/100*Table1[[#This Row],[Std Nom]]),"")</f>
        <v/>
      </c>
      <c r="Q2994" s="1" t="e">
        <f>Table1[[#This Row],[High Tol]]-Table1[[#This Row],[Low Tol]]</f>
        <v>#VALUE!</v>
      </c>
      <c r="R2994" s="1">
        <f>2*Table1[[#This Row],[Std Error]]</f>
        <v>0</v>
      </c>
      <c r="S2994" s="1" t="str">
        <f>IF(Table1[[#This Row],[High Tol]]="","N/A",IFERROR(ABS(Table1[[#This Row],[Tol Span]]/Table1[[#This Row],[Error Span]]),"N/A"))</f>
        <v>N/A</v>
      </c>
      <c r="T2994" s="1" t="str">
        <f>IF(OR(Table1[[#This Row],[Low Tol]]="",Table1[[#This Row],[High Tol]]=""),"Needs Analysis",IF(Table1[[#This Row],[Ratio]]&gt;=4,"Not Significant",IF(Table1[[#This Row],[Ratio]]&gt;=2,"Semi-Significant","Significant")))</f>
        <v>Needs Analysis</v>
      </c>
      <c r="W2994" s="1">
        <f>IF(Table1[[#This Row],[Cal Type]]&lt;&gt;"ACCREDITED 17025 WITH UNCERTAINTIES",0,"")</f>
        <v>0</v>
      </c>
      <c r="X2994" s="1" t="str">
        <f>IF(Table1[[#This Row],[DUT Read]]="","N/A",Table1[[#This Row],[Std Error]]+Table1[[#This Row],[DUT Read]]+Table1[[#This Row],[DUT Ucty]])</f>
        <v>N/A</v>
      </c>
      <c r="Y2994" s="1" t="str">
        <f>IF(Table1[[#This Row],[Std Read]]="","N/A",Table1[[#This Row],[Std Read]]+Table1[[#This Row],[Std Ucty]])</f>
        <v>N/A</v>
      </c>
      <c r="Z29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4" s="1" t="str">
        <f>IF(Table1[[#This Row],[Spec Type]]="","N/A",Table1[[#This Row],[Spec Type]])</f>
        <v>±</v>
      </c>
      <c r="AC2994" s="1" t="str">
        <f>IF(Table1[[#This Row],[Spec Type2]]="N/A","N/A",IF(AND(Table1[[#This Row],[DUT Adj Read]]&gt;=Table1[[#This Row],[Low Tol]],Table1[[#This Row],[DUT Adj Read]]&lt;=Table1[[#This Row],[High Tol]]),"Pass","Fail"))</f>
        <v>Fail</v>
      </c>
      <c r="AD2994" s="1" t="str">
        <f>IF(AND(Table1[[#This Row],[Spec Type2]]="N/A",Table1[[#This Row],[DUT Adj Read]]="N/A",Table1[[#This Row],[Std Adj Read]]="N/A"),"N/A",IF(Table1[[#This Row],[DUT Adj Read]]="N/A",IF(Table1[[#This Row],[Std Adj Read]]&gt;Table1[[#This Row],[Low Tol]],"Pass","Fail"),IF(Table1[[#This Row],[DUT Adj Read]]&gt;Table1[[#This Row],[Low Tol]],"Pass","Fail")))</f>
        <v>Pass</v>
      </c>
      <c r="AE2994" s="1" t="str">
        <f>IF(AND(Table1[[#This Row],[Spec Type2]]="N/A",Table1[[#This Row],[DUT Adj Read]]="N/A",Table1[[#This Row],[Std Adj Read]]="N/A"),"N/A",IF(Table1[[#This Row],[DUT Adj Read]]="N/A",IF(Table1[[#This Row],[Std Adj Read]]&lt;Table1[[#This Row],[High Tol]],"Pass","Fail"),IF(Table1[[#This Row],[DUT Adj Read]]&lt;Table1[[#This Row],[High Tol]],"Pass","Fail")))</f>
        <v>Fail</v>
      </c>
      <c r="AF2994" s="1" t="str">
        <f>IF(AND(Table1[[#This Row],[Spec Type2]]="N/A",Table1[[#This Row],[DUT Adj Read]]="N/A",Table1[[#This Row],[Std Adj Read]]="N/A"),"N/A",IF(Table1[[#This Row],[DUT Adj Read]]="N/A",IF(Table1[[#This Row],[Std Adj Read]]&gt;=Table1[[#This Row],[Low Tol]],"Pass","Fail"),IF(Table1[[#This Row],[DUT Adj Read]]&gt;=Table1[[#This Row],[Low Tol]],"Pass","Fail")))</f>
        <v>Pass</v>
      </c>
      <c r="AG2994" s="1" t="str">
        <f>IF(AND(Table1[[#This Row],[Spec Type2]]="N/A",Table1[[#This Row],[DUT Adj Read]]="N/A",Table1[[#This Row],[Std Adj Read]]="N/A"),"N/A",IF(Table1[[#This Row],[DUT Adj Read]]="N/A",IF(Table1[[#This Row],[Std Adj Read]]&lt;=Table1[[#This Row],[High Tol]],"Pass","Fail"),IF(Table1[[#This Row],[DUT Adj Read]]&lt;=Table1[[#This Row],[High Tol]],"Pass","Fail")))</f>
        <v>Fail</v>
      </c>
      <c r="AH29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4" s="1" t="b">
        <v>0</v>
      </c>
      <c r="AN2994" s="1" t="b">
        <v>0</v>
      </c>
      <c r="AO2994" s="1" t="b">
        <v>0</v>
      </c>
    </row>
    <row r="2995" spans="1:41" x14ac:dyDescent="0.25">
      <c r="A2995" s="10"/>
      <c r="B2995" s="10"/>
      <c r="C2995" s="10"/>
      <c r="D2995" s="10"/>
      <c r="E2995" s="10"/>
      <c r="F2995" s="10"/>
      <c r="G2995" s="10"/>
      <c r="H2995" s="10"/>
      <c r="I2995" s="1" t="str">
        <f t="shared" si="138"/>
        <v/>
      </c>
      <c r="J2995" s="1" t="s">
        <v>35</v>
      </c>
      <c r="K2995" s="1" t="str">
        <f t="shared" si="139"/>
        <v/>
      </c>
      <c r="L2995" s="1" t="str">
        <f t="shared" si="140"/>
        <v/>
      </c>
      <c r="M2995" s="1">
        <f>IF(OR(Table1[[#This Row],[Std Nom]]="",Table1[[#This Row],[Std Read]]=""),0,Table1[[#This Row],[Std Nom]]-Table1[[#This Row],[Std Read]])</f>
        <v>0</v>
      </c>
      <c r="N2995" s="1">
        <f>IF(Calculations!$F$5="ACCREDITED 17025 WITH UNCERTAINTIES",$N$10,0)</f>
        <v>0</v>
      </c>
      <c r="O2995" s="1" t="str">
        <f>IFERROR(Table1[[#This Row],[Std Nom]]-(_xlfn.XLOOKUP(Table1[[#This Row],[Manufacturer]]&amp;" "&amp;Table1[[#This Row],[Model]],Table13[MFR &amp; MDL],Table13[Tolerance % CW ],"")/100*Table1[[#This Row],[Std Nom]]),"")</f>
        <v/>
      </c>
      <c r="P2995" s="1" t="str">
        <f>IFERROR(Table1[[#This Row],[Std Nom]]+(_xlfn.XLOOKUP(Table1[[#This Row],[Manufacturer]]&amp;" "&amp;Table1[[#This Row],[Model]],Table13[MFR &amp; MDL],Table13[Tolerance % CW ],"")/100*Table1[[#This Row],[Std Nom]]),"")</f>
        <v/>
      </c>
      <c r="Q2995" s="1" t="e">
        <f>Table1[[#This Row],[High Tol]]-Table1[[#This Row],[Low Tol]]</f>
        <v>#VALUE!</v>
      </c>
      <c r="R2995" s="1">
        <f>2*Table1[[#This Row],[Std Error]]</f>
        <v>0</v>
      </c>
      <c r="S2995" s="1" t="str">
        <f>IF(Table1[[#This Row],[High Tol]]="","N/A",IFERROR(ABS(Table1[[#This Row],[Tol Span]]/Table1[[#This Row],[Error Span]]),"N/A"))</f>
        <v>N/A</v>
      </c>
      <c r="T2995" s="1" t="str">
        <f>IF(OR(Table1[[#This Row],[Low Tol]]="",Table1[[#This Row],[High Tol]]=""),"Needs Analysis",IF(Table1[[#This Row],[Ratio]]&gt;=4,"Not Significant",IF(Table1[[#This Row],[Ratio]]&gt;=2,"Semi-Significant","Significant")))</f>
        <v>Needs Analysis</v>
      </c>
      <c r="W2995" s="1">
        <f>IF(Table1[[#This Row],[Cal Type]]&lt;&gt;"ACCREDITED 17025 WITH UNCERTAINTIES",0,"")</f>
        <v>0</v>
      </c>
      <c r="X2995" s="1" t="str">
        <f>IF(Table1[[#This Row],[DUT Read]]="","N/A",Table1[[#This Row],[Std Error]]+Table1[[#This Row],[DUT Read]]+Table1[[#This Row],[DUT Ucty]])</f>
        <v>N/A</v>
      </c>
      <c r="Y2995" s="1" t="str">
        <f>IF(Table1[[#This Row],[Std Read]]="","N/A",Table1[[#This Row],[Std Read]]+Table1[[#This Row],[Std Ucty]])</f>
        <v>N/A</v>
      </c>
      <c r="Z29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5" s="1" t="str">
        <f>IF(Table1[[#This Row],[Spec Type]]="","N/A",Table1[[#This Row],[Spec Type]])</f>
        <v>±</v>
      </c>
      <c r="AC2995" s="1" t="str">
        <f>IF(Table1[[#This Row],[Spec Type2]]="N/A","N/A",IF(AND(Table1[[#This Row],[DUT Adj Read]]&gt;=Table1[[#This Row],[Low Tol]],Table1[[#This Row],[DUT Adj Read]]&lt;=Table1[[#This Row],[High Tol]]),"Pass","Fail"))</f>
        <v>Fail</v>
      </c>
      <c r="AD2995" s="1" t="str">
        <f>IF(AND(Table1[[#This Row],[Spec Type2]]="N/A",Table1[[#This Row],[DUT Adj Read]]="N/A",Table1[[#This Row],[Std Adj Read]]="N/A"),"N/A",IF(Table1[[#This Row],[DUT Adj Read]]="N/A",IF(Table1[[#This Row],[Std Adj Read]]&gt;Table1[[#This Row],[Low Tol]],"Pass","Fail"),IF(Table1[[#This Row],[DUT Adj Read]]&gt;Table1[[#This Row],[Low Tol]],"Pass","Fail")))</f>
        <v>Pass</v>
      </c>
      <c r="AE2995" s="1" t="str">
        <f>IF(AND(Table1[[#This Row],[Spec Type2]]="N/A",Table1[[#This Row],[DUT Adj Read]]="N/A",Table1[[#This Row],[Std Adj Read]]="N/A"),"N/A",IF(Table1[[#This Row],[DUT Adj Read]]="N/A",IF(Table1[[#This Row],[Std Adj Read]]&lt;Table1[[#This Row],[High Tol]],"Pass","Fail"),IF(Table1[[#This Row],[DUT Adj Read]]&lt;Table1[[#This Row],[High Tol]],"Pass","Fail")))</f>
        <v>Fail</v>
      </c>
      <c r="AF2995" s="1" t="str">
        <f>IF(AND(Table1[[#This Row],[Spec Type2]]="N/A",Table1[[#This Row],[DUT Adj Read]]="N/A",Table1[[#This Row],[Std Adj Read]]="N/A"),"N/A",IF(Table1[[#This Row],[DUT Adj Read]]="N/A",IF(Table1[[#This Row],[Std Adj Read]]&gt;=Table1[[#This Row],[Low Tol]],"Pass","Fail"),IF(Table1[[#This Row],[DUT Adj Read]]&gt;=Table1[[#This Row],[Low Tol]],"Pass","Fail")))</f>
        <v>Pass</v>
      </c>
      <c r="AG2995" s="1" t="str">
        <f>IF(AND(Table1[[#This Row],[Spec Type2]]="N/A",Table1[[#This Row],[DUT Adj Read]]="N/A",Table1[[#This Row],[Std Adj Read]]="N/A"),"N/A",IF(Table1[[#This Row],[DUT Adj Read]]="N/A",IF(Table1[[#This Row],[Std Adj Read]]&lt;=Table1[[#This Row],[High Tol]],"Pass","Fail"),IF(Table1[[#This Row],[DUT Adj Read]]&lt;=Table1[[#This Row],[High Tol]],"Pass","Fail")))</f>
        <v>Fail</v>
      </c>
      <c r="AH29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5" s="1" t="b">
        <v>0</v>
      </c>
      <c r="AN2995" s="1" t="b">
        <v>0</v>
      </c>
      <c r="AO2995" s="1" t="b">
        <v>0</v>
      </c>
    </row>
    <row r="2996" spans="1:41" x14ac:dyDescent="0.25">
      <c r="A2996" s="10"/>
      <c r="B2996" s="10"/>
      <c r="C2996" s="10"/>
      <c r="D2996" s="10"/>
      <c r="E2996" s="10"/>
      <c r="F2996" s="10"/>
      <c r="G2996" s="10"/>
      <c r="H2996" s="10"/>
      <c r="I2996" s="1" t="str">
        <f t="shared" si="138"/>
        <v/>
      </c>
      <c r="J2996" s="1" t="s">
        <v>35</v>
      </c>
      <c r="K2996" s="1" t="str">
        <f t="shared" si="139"/>
        <v/>
      </c>
      <c r="L2996" s="1" t="str">
        <f t="shared" si="140"/>
        <v/>
      </c>
      <c r="M2996" s="1">
        <f>IF(OR(Table1[[#This Row],[Std Nom]]="",Table1[[#This Row],[Std Read]]=""),0,Table1[[#This Row],[Std Nom]]-Table1[[#This Row],[Std Read]])</f>
        <v>0</v>
      </c>
      <c r="N2996" s="1">
        <f>IF(Calculations!$F$5="ACCREDITED 17025 WITH UNCERTAINTIES",$N$10,0)</f>
        <v>0</v>
      </c>
      <c r="O2996" s="1" t="str">
        <f>IFERROR(Table1[[#This Row],[Std Nom]]-(_xlfn.XLOOKUP(Table1[[#This Row],[Manufacturer]]&amp;" "&amp;Table1[[#This Row],[Model]],Table13[MFR &amp; MDL],Table13[Tolerance % CW ],"")/100*Table1[[#This Row],[Std Nom]]),"")</f>
        <v/>
      </c>
      <c r="P2996" s="1" t="str">
        <f>IFERROR(Table1[[#This Row],[Std Nom]]+(_xlfn.XLOOKUP(Table1[[#This Row],[Manufacturer]]&amp;" "&amp;Table1[[#This Row],[Model]],Table13[MFR &amp; MDL],Table13[Tolerance % CW ],"")/100*Table1[[#This Row],[Std Nom]]),"")</f>
        <v/>
      </c>
      <c r="Q2996" s="1" t="e">
        <f>Table1[[#This Row],[High Tol]]-Table1[[#This Row],[Low Tol]]</f>
        <v>#VALUE!</v>
      </c>
      <c r="R2996" s="1">
        <f>2*Table1[[#This Row],[Std Error]]</f>
        <v>0</v>
      </c>
      <c r="S2996" s="1" t="str">
        <f>IF(Table1[[#This Row],[High Tol]]="","N/A",IFERROR(ABS(Table1[[#This Row],[Tol Span]]/Table1[[#This Row],[Error Span]]),"N/A"))</f>
        <v>N/A</v>
      </c>
      <c r="T2996" s="1" t="str">
        <f>IF(OR(Table1[[#This Row],[Low Tol]]="",Table1[[#This Row],[High Tol]]=""),"Needs Analysis",IF(Table1[[#This Row],[Ratio]]&gt;=4,"Not Significant",IF(Table1[[#This Row],[Ratio]]&gt;=2,"Semi-Significant","Significant")))</f>
        <v>Needs Analysis</v>
      </c>
      <c r="W2996" s="1">
        <f>IF(Table1[[#This Row],[Cal Type]]&lt;&gt;"ACCREDITED 17025 WITH UNCERTAINTIES",0,"")</f>
        <v>0</v>
      </c>
      <c r="X2996" s="1" t="str">
        <f>IF(Table1[[#This Row],[DUT Read]]="","N/A",Table1[[#This Row],[Std Error]]+Table1[[#This Row],[DUT Read]]+Table1[[#This Row],[DUT Ucty]])</f>
        <v>N/A</v>
      </c>
      <c r="Y2996" s="1" t="str">
        <f>IF(Table1[[#This Row],[Std Read]]="","N/A",Table1[[#This Row],[Std Read]]+Table1[[#This Row],[Std Ucty]])</f>
        <v>N/A</v>
      </c>
      <c r="Z29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6" s="1" t="str">
        <f>IF(Table1[[#This Row],[Spec Type]]="","N/A",Table1[[#This Row],[Spec Type]])</f>
        <v>±</v>
      </c>
      <c r="AC2996" s="1" t="str">
        <f>IF(Table1[[#This Row],[Spec Type2]]="N/A","N/A",IF(AND(Table1[[#This Row],[DUT Adj Read]]&gt;=Table1[[#This Row],[Low Tol]],Table1[[#This Row],[DUT Adj Read]]&lt;=Table1[[#This Row],[High Tol]]),"Pass","Fail"))</f>
        <v>Fail</v>
      </c>
      <c r="AD2996" s="1" t="str">
        <f>IF(AND(Table1[[#This Row],[Spec Type2]]="N/A",Table1[[#This Row],[DUT Adj Read]]="N/A",Table1[[#This Row],[Std Adj Read]]="N/A"),"N/A",IF(Table1[[#This Row],[DUT Adj Read]]="N/A",IF(Table1[[#This Row],[Std Adj Read]]&gt;Table1[[#This Row],[Low Tol]],"Pass","Fail"),IF(Table1[[#This Row],[DUT Adj Read]]&gt;Table1[[#This Row],[Low Tol]],"Pass","Fail")))</f>
        <v>Pass</v>
      </c>
      <c r="AE2996" s="1" t="str">
        <f>IF(AND(Table1[[#This Row],[Spec Type2]]="N/A",Table1[[#This Row],[DUT Adj Read]]="N/A",Table1[[#This Row],[Std Adj Read]]="N/A"),"N/A",IF(Table1[[#This Row],[DUT Adj Read]]="N/A",IF(Table1[[#This Row],[Std Adj Read]]&lt;Table1[[#This Row],[High Tol]],"Pass","Fail"),IF(Table1[[#This Row],[DUT Adj Read]]&lt;Table1[[#This Row],[High Tol]],"Pass","Fail")))</f>
        <v>Fail</v>
      </c>
      <c r="AF2996" s="1" t="str">
        <f>IF(AND(Table1[[#This Row],[Spec Type2]]="N/A",Table1[[#This Row],[DUT Adj Read]]="N/A",Table1[[#This Row],[Std Adj Read]]="N/A"),"N/A",IF(Table1[[#This Row],[DUT Adj Read]]="N/A",IF(Table1[[#This Row],[Std Adj Read]]&gt;=Table1[[#This Row],[Low Tol]],"Pass","Fail"),IF(Table1[[#This Row],[DUT Adj Read]]&gt;=Table1[[#This Row],[Low Tol]],"Pass","Fail")))</f>
        <v>Pass</v>
      </c>
      <c r="AG2996" s="1" t="str">
        <f>IF(AND(Table1[[#This Row],[Spec Type2]]="N/A",Table1[[#This Row],[DUT Adj Read]]="N/A",Table1[[#This Row],[Std Adj Read]]="N/A"),"N/A",IF(Table1[[#This Row],[DUT Adj Read]]="N/A",IF(Table1[[#This Row],[Std Adj Read]]&lt;=Table1[[#This Row],[High Tol]],"Pass","Fail"),IF(Table1[[#This Row],[DUT Adj Read]]&lt;=Table1[[#This Row],[High Tol]],"Pass","Fail")))</f>
        <v>Fail</v>
      </c>
      <c r="AH29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6" s="1" t="b">
        <v>0</v>
      </c>
      <c r="AN2996" s="1" t="b">
        <v>0</v>
      </c>
      <c r="AO2996" s="1" t="b">
        <v>0</v>
      </c>
    </row>
    <row r="2997" spans="1:41" x14ac:dyDescent="0.25">
      <c r="A2997" s="10"/>
      <c r="B2997" s="10"/>
      <c r="C2997" s="10"/>
      <c r="D2997" s="10"/>
      <c r="E2997" s="10"/>
      <c r="F2997" s="10"/>
      <c r="G2997" s="10"/>
      <c r="H2997" s="10"/>
      <c r="I2997" s="1" t="str">
        <f t="shared" si="138"/>
        <v/>
      </c>
      <c r="J2997" s="1" t="s">
        <v>35</v>
      </c>
      <c r="K2997" s="1" t="str">
        <f t="shared" si="139"/>
        <v/>
      </c>
      <c r="L2997" s="1" t="str">
        <f t="shared" si="140"/>
        <v/>
      </c>
      <c r="M2997" s="1">
        <f>IF(OR(Table1[[#This Row],[Std Nom]]="",Table1[[#This Row],[Std Read]]=""),0,Table1[[#This Row],[Std Nom]]-Table1[[#This Row],[Std Read]])</f>
        <v>0</v>
      </c>
      <c r="N2997" s="1">
        <f>IF(Calculations!$F$5="ACCREDITED 17025 WITH UNCERTAINTIES",$N$10,0)</f>
        <v>0</v>
      </c>
      <c r="O2997" s="1" t="str">
        <f>IFERROR(Table1[[#This Row],[Std Nom]]-(_xlfn.XLOOKUP(Table1[[#This Row],[Manufacturer]]&amp;" "&amp;Table1[[#This Row],[Model]],Table13[MFR &amp; MDL],Table13[Tolerance % CW ],"")/100*Table1[[#This Row],[Std Nom]]),"")</f>
        <v/>
      </c>
      <c r="P2997" s="1" t="str">
        <f>IFERROR(Table1[[#This Row],[Std Nom]]+(_xlfn.XLOOKUP(Table1[[#This Row],[Manufacturer]]&amp;" "&amp;Table1[[#This Row],[Model]],Table13[MFR &amp; MDL],Table13[Tolerance % CW ],"")/100*Table1[[#This Row],[Std Nom]]),"")</f>
        <v/>
      </c>
      <c r="Q2997" s="1" t="e">
        <f>Table1[[#This Row],[High Tol]]-Table1[[#This Row],[Low Tol]]</f>
        <v>#VALUE!</v>
      </c>
      <c r="R2997" s="1">
        <f>2*Table1[[#This Row],[Std Error]]</f>
        <v>0</v>
      </c>
      <c r="S2997" s="1" t="str">
        <f>IF(Table1[[#This Row],[High Tol]]="","N/A",IFERROR(ABS(Table1[[#This Row],[Tol Span]]/Table1[[#This Row],[Error Span]]),"N/A"))</f>
        <v>N/A</v>
      </c>
      <c r="T2997" s="1" t="str">
        <f>IF(OR(Table1[[#This Row],[Low Tol]]="",Table1[[#This Row],[High Tol]]=""),"Needs Analysis",IF(Table1[[#This Row],[Ratio]]&gt;=4,"Not Significant",IF(Table1[[#This Row],[Ratio]]&gt;=2,"Semi-Significant","Significant")))</f>
        <v>Needs Analysis</v>
      </c>
      <c r="W2997" s="1">
        <f>IF(Table1[[#This Row],[Cal Type]]&lt;&gt;"ACCREDITED 17025 WITH UNCERTAINTIES",0,"")</f>
        <v>0</v>
      </c>
      <c r="X2997" s="1" t="str">
        <f>IF(Table1[[#This Row],[DUT Read]]="","N/A",Table1[[#This Row],[Std Error]]+Table1[[#This Row],[DUT Read]]+Table1[[#This Row],[DUT Ucty]])</f>
        <v>N/A</v>
      </c>
      <c r="Y2997" s="1" t="str">
        <f>IF(Table1[[#This Row],[Std Read]]="","N/A",Table1[[#This Row],[Std Read]]+Table1[[#This Row],[Std Ucty]])</f>
        <v>N/A</v>
      </c>
      <c r="Z29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7" s="1" t="str">
        <f>IF(Table1[[#This Row],[Spec Type]]="","N/A",Table1[[#This Row],[Spec Type]])</f>
        <v>±</v>
      </c>
      <c r="AC2997" s="1" t="str">
        <f>IF(Table1[[#This Row],[Spec Type2]]="N/A","N/A",IF(AND(Table1[[#This Row],[DUT Adj Read]]&gt;=Table1[[#This Row],[Low Tol]],Table1[[#This Row],[DUT Adj Read]]&lt;=Table1[[#This Row],[High Tol]]),"Pass","Fail"))</f>
        <v>Fail</v>
      </c>
      <c r="AD2997" s="1" t="str">
        <f>IF(AND(Table1[[#This Row],[Spec Type2]]="N/A",Table1[[#This Row],[DUT Adj Read]]="N/A",Table1[[#This Row],[Std Adj Read]]="N/A"),"N/A",IF(Table1[[#This Row],[DUT Adj Read]]="N/A",IF(Table1[[#This Row],[Std Adj Read]]&gt;Table1[[#This Row],[Low Tol]],"Pass","Fail"),IF(Table1[[#This Row],[DUT Adj Read]]&gt;Table1[[#This Row],[Low Tol]],"Pass","Fail")))</f>
        <v>Pass</v>
      </c>
      <c r="AE2997" s="1" t="str">
        <f>IF(AND(Table1[[#This Row],[Spec Type2]]="N/A",Table1[[#This Row],[DUT Adj Read]]="N/A",Table1[[#This Row],[Std Adj Read]]="N/A"),"N/A",IF(Table1[[#This Row],[DUT Adj Read]]="N/A",IF(Table1[[#This Row],[Std Adj Read]]&lt;Table1[[#This Row],[High Tol]],"Pass","Fail"),IF(Table1[[#This Row],[DUT Adj Read]]&lt;Table1[[#This Row],[High Tol]],"Pass","Fail")))</f>
        <v>Fail</v>
      </c>
      <c r="AF2997" s="1" t="str">
        <f>IF(AND(Table1[[#This Row],[Spec Type2]]="N/A",Table1[[#This Row],[DUT Adj Read]]="N/A",Table1[[#This Row],[Std Adj Read]]="N/A"),"N/A",IF(Table1[[#This Row],[DUT Adj Read]]="N/A",IF(Table1[[#This Row],[Std Adj Read]]&gt;=Table1[[#This Row],[Low Tol]],"Pass","Fail"),IF(Table1[[#This Row],[DUT Adj Read]]&gt;=Table1[[#This Row],[Low Tol]],"Pass","Fail")))</f>
        <v>Pass</v>
      </c>
      <c r="AG2997" s="1" t="str">
        <f>IF(AND(Table1[[#This Row],[Spec Type2]]="N/A",Table1[[#This Row],[DUT Adj Read]]="N/A",Table1[[#This Row],[Std Adj Read]]="N/A"),"N/A",IF(Table1[[#This Row],[DUT Adj Read]]="N/A",IF(Table1[[#This Row],[Std Adj Read]]&lt;=Table1[[#This Row],[High Tol]],"Pass","Fail"),IF(Table1[[#This Row],[DUT Adj Read]]&lt;=Table1[[#This Row],[High Tol]],"Pass","Fail")))</f>
        <v>Fail</v>
      </c>
      <c r="AH29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7" s="1" t="b">
        <v>0</v>
      </c>
      <c r="AN2997" s="1" t="b">
        <v>0</v>
      </c>
      <c r="AO2997" s="1" t="b">
        <v>0</v>
      </c>
    </row>
    <row r="2998" spans="1:41" x14ac:dyDescent="0.25">
      <c r="A2998" s="10"/>
      <c r="B2998" s="10"/>
      <c r="C2998" s="10"/>
      <c r="D2998" s="10"/>
      <c r="E2998" s="10"/>
      <c r="F2998" s="10"/>
      <c r="G2998" s="10"/>
      <c r="H2998" s="10"/>
      <c r="I2998" s="1" t="str">
        <f t="shared" si="138"/>
        <v/>
      </c>
      <c r="J2998" s="1" t="s">
        <v>35</v>
      </c>
      <c r="K2998" s="1" t="str">
        <f t="shared" si="139"/>
        <v/>
      </c>
      <c r="L2998" s="1" t="str">
        <f t="shared" si="140"/>
        <v/>
      </c>
      <c r="M2998" s="1">
        <f>IF(OR(Table1[[#This Row],[Std Nom]]="",Table1[[#This Row],[Std Read]]=""),0,Table1[[#This Row],[Std Nom]]-Table1[[#This Row],[Std Read]])</f>
        <v>0</v>
      </c>
      <c r="N2998" s="1">
        <f>IF(Calculations!$F$5="ACCREDITED 17025 WITH UNCERTAINTIES",$N$10,0)</f>
        <v>0</v>
      </c>
      <c r="O2998" s="1" t="str">
        <f>IFERROR(Table1[[#This Row],[Std Nom]]-(_xlfn.XLOOKUP(Table1[[#This Row],[Manufacturer]]&amp;" "&amp;Table1[[#This Row],[Model]],Table13[MFR &amp; MDL],Table13[Tolerance % CW ],"")/100*Table1[[#This Row],[Std Nom]]),"")</f>
        <v/>
      </c>
      <c r="P2998" s="1" t="str">
        <f>IFERROR(Table1[[#This Row],[Std Nom]]+(_xlfn.XLOOKUP(Table1[[#This Row],[Manufacturer]]&amp;" "&amp;Table1[[#This Row],[Model]],Table13[MFR &amp; MDL],Table13[Tolerance % CW ],"")/100*Table1[[#This Row],[Std Nom]]),"")</f>
        <v/>
      </c>
      <c r="Q2998" s="1" t="e">
        <f>Table1[[#This Row],[High Tol]]-Table1[[#This Row],[Low Tol]]</f>
        <v>#VALUE!</v>
      </c>
      <c r="R2998" s="1">
        <f>2*Table1[[#This Row],[Std Error]]</f>
        <v>0</v>
      </c>
      <c r="S2998" s="1" t="str">
        <f>IF(Table1[[#This Row],[High Tol]]="","N/A",IFERROR(ABS(Table1[[#This Row],[Tol Span]]/Table1[[#This Row],[Error Span]]),"N/A"))</f>
        <v>N/A</v>
      </c>
      <c r="T2998" s="1" t="str">
        <f>IF(OR(Table1[[#This Row],[Low Tol]]="",Table1[[#This Row],[High Tol]]=""),"Needs Analysis",IF(Table1[[#This Row],[Ratio]]&gt;=4,"Not Significant",IF(Table1[[#This Row],[Ratio]]&gt;=2,"Semi-Significant","Significant")))</f>
        <v>Needs Analysis</v>
      </c>
      <c r="W2998" s="1">
        <f>IF(Table1[[#This Row],[Cal Type]]&lt;&gt;"ACCREDITED 17025 WITH UNCERTAINTIES",0,"")</f>
        <v>0</v>
      </c>
      <c r="X2998" s="1" t="str">
        <f>IF(Table1[[#This Row],[DUT Read]]="","N/A",Table1[[#This Row],[Std Error]]+Table1[[#This Row],[DUT Read]]+Table1[[#This Row],[DUT Ucty]])</f>
        <v>N/A</v>
      </c>
      <c r="Y2998" s="1" t="str">
        <f>IF(Table1[[#This Row],[Std Read]]="","N/A",Table1[[#This Row],[Std Read]]+Table1[[#This Row],[Std Ucty]])</f>
        <v>N/A</v>
      </c>
      <c r="Z29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8" s="1" t="str">
        <f>IF(Table1[[#This Row],[Spec Type]]="","N/A",Table1[[#This Row],[Spec Type]])</f>
        <v>±</v>
      </c>
      <c r="AC2998" s="1" t="str">
        <f>IF(Table1[[#This Row],[Spec Type2]]="N/A","N/A",IF(AND(Table1[[#This Row],[DUT Adj Read]]&gt;=Table1[[#This Row],[Low Tol]],Table1[[#This Row],[DUT Adj Read]]&lt;=Table1[[#This Row],[High Tol]]),"Pass","Fail"))</f>
        <v>Fail</v>
      </c>
      <c r="AD2998" s="1" t="str">
        <f>IF(AND(Table1[[#This Row],[Spec Type2]]="N/A",Table1[[#This Row],[DUT Adj Read]]="N/A",Table1[[#This Row],[Std Adj Read]]="N/A"),"N/A",IF(Table1[[#This Row],[DUT Adj Read]]="N/A",IF(Table1[[#This Row],[Std Adj Read]]&gt;Table1[[#This Row],[Low Tol]],"Pass","Fail"),IF(Table1[[#This Row],[DUT Adj Read]]&gt;Table1[[#This Row],[Low Tol]],"Pass","Fail")))</f>
        <v>Pass</v>
      </c>
      <c r="AE2998" s="1" t="str">
        <f>IF(AND(Table1[[#This Row],[Spec Type2]]="N/A",Table1[[#This Row],[DUT Adj Read]]="N/A",Table1[[#This Row],[Std Adj Read]]="N/A"),"N/A",IF(Table1[[#This Row],[DUT Adj Read]]="N/A",IF(Table1[[#This Row],[Std Adj Read]]&lt;Table1[[#This Row],[High Tol]],"Pass","Fail"),IF(Table1[[#This Row],[DUT Adj Read]]&lt;Table1[[#This Row],[High Tol]],"Pass","Fail")))</f>
        <v>Fail</v>
      </c>
      <c r="AF2998" s="1" t="str">
        <f>IF(AND(Table1[[#This Row],[Spec Type2]]="N/A",Table1[[#This Row],[DUT Adj Read]]="N/A",Table1[[#This Row],[Std Adj Read]]="N/A"),"N/A",IF(Table1[[#This Row],[DUT Adj Read]]="N/A",IF(Table1[[#This Row],[Std Adj Read]]&gt;=Table1[[#This Row],[Low Tol]],"Pass","Fail"),IF(Table1[[#This Row],[DUT Adj Read]]&gt;=Table1[[#This Row],[Low Tol]],"Pass","Fail")))</f>
        <v>Pass</v>
      </c>
      <c r="AG2998" s="1" t="str">
        <f>IF(AND(Table1[[#This Row],[Spec Type2]]="N/A",Table1[[#This Row],[DUT Adj Read]]="N/A",Table1[[#This Row],[Std Adj Read]]="N/A"),"N/A",IF(Table1[[#This Row],[DUT Adj Read]]="N/A",IF(Table1[[#This Row],[Std Adj Read]]&lt;=Table1[[#This Row],[High Tol]],"Pass","Fail"),IF(Table1[[#This Row],[DUT Adj Read]]&lt;=Table1[[#This Row],[High Tol]],"Pass","Fail")))</f>
        <v>Fail</v>
      </c>
      <c r="AH29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8" s="1" t="b">
        <v>0</v>
      </c>
      <c r="AN2998" s="1" t="b">
        <v>0</v>
      </c>
      <c r="AO2998" s="1" t="b">
        <v>0</v>
      </c>
    </row>
    <row r="2999" spans="1:41" x14ac:dyDescent="0.25">
      <c r="A2999" s="10"/>
      <c r="B2999" s="10"/>
      <c r="C2999" s="10"/>
      <c r="D2999" s="10"/>
      <c r="E2999" s="10"/>
      <c r="F2999" s="10"/>
      <c r="G2999" s="10"/>
      <c r="H2999" s="10"/>
      <c r="I2999" s="1" t="str">
        <f t="shared" si="138"/>
        <v/>
      </c>
      <c r="J2999" s="1" t="s">
        <v>35</v>
      </c>
      <c r="K2999" s="1" t="str">
        <f t="shared" si="139"/>
        <v/>
      </c>
      <c r="L2999" s="1" t="str">
        <f t="shared" si="140"/>
        <v/>
      </c>
      <c r="M2999" s="1">
        <f>IF(OR(Table1[[#This Row],[Std Nom]]="",Table1[[#This Row],[Std Read]]=""),0,Table1[[#This Row],[Std Nom]]-Table1[[#This Row],[Std Read]])</f>
        <v>0</v>
      </c>
      <c r="N2999" s="1">
        <f>IF(Calculations!$F$5="ACCREDITED 17025 WITH UNCERTAINTIES",$N$10,0)</f>
        <v>0</v>
      </c>
      <c r="O2999" s="1" t="str">
        <f>IFERROR(Table1[[#This Row],[Std Nom]]-(_xlfn.XLOOKUP(Table1[[#This Row],[Manufacturer]]&amp;" "&amp;Table1[[#This Row],[Model]],Table13[MFR &amp; MDL],Table13[Tolerance % CW ],"")/100*Table1[[#This Row],[Std Nom]]),"")</f>
        <v/>
      </c>
      <c r="P2999" s="1" t="str">
        <f>IFERROR(Table1[[#This Row],[Std Nom]]+(_xlfn.XLOOKUP(Table1[[#This Row],[Manufacturer]]&amp;" "&amp;Table1[[#This Row],[Model]],Table13[MFR &amp; MDL],Table13[Tolerance % CW ],"")/100*Table1[[#This Row],[Std Nom]]),"")</f>
        <v/>
      </c>
      <c r="Q2999" s="1" t="e">
        <f>Table1[[#This Row],[High Tol]]-Table1[[#This Row],[Low Tol]]</f>
        <v>#VALUE!</v>
      </c>
      <c r="R2999" s="1">
        <f>2*Table1[[#This Row],[Std Error]]</f>
        <v>0</v>
      </c>
      <c r="S2999" s="1" t="str">
        <f>IF(Table1[[#This Row],[High Tol]]="","N/A",IFERROR(ABS(Table1[[#This Row],[Tol Span]]/Table1[[#This Row],[Error Span]]),"N/A"))</f>
        <v>N/A</v>
      </c>
      <c r="T2999" s="1" t="str">
        <f>IF(OR(Table1[[#This Row],[Low Tol]]="",Table1[[#This Row],[High Tol]]=""),"Needs Analysis",IF(Table1[[#This Row],[Ratio]]&gt;=4,"Not Significant",IF(Table1[[#This Row],[Ratio]]&gt;=2,"Semi-Significant","Significant")))</f>
        <v>Needs Analysis</v>
      </c>
      <c r="W2999" s="1">
        <f>IF(Table1[[#This Row],[Cal Type]]&lt;&gt;"ACCREDITED 17025 WITH UNCERTAINTIES",0,"")</f>
        <v>0</v>
      </c>
      <c r="X2999" s="1" t="str">
        <f>IF(Table1[[#This Row],[DUT Read]]="","N/A",Table1[[#This Row],[Std Error]]+Table1[[#This Row],[DUT Read]]+Table1[[#This Row],[DUT Ucty]])</f>
        <v>N/A</v>
      </c>
      <c r="Y2999" s="1" t="str">
        <f>IF(Table1[[#This Row],[Std Read]]="","N/A",Table1[[#This Row],[Std Read]]+Table1[[#This Row],[Std Ucty]])</f>
        <v>N/A</v>
      </c>
      <c r="Z29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9" s="1" t="str">
        <f>IF(Table1[[#This Row],[Spec Type]]="","N/A",Table1[[#This Row],[Spec Type]])</f>
        <v>±</v>
      </c>
      <c r="AC2999" s="1" t="str">
        <f>IF(Table1[[#This Row],[Spec Type2]]="N/A","N/A",IF(AND(Table1[[#This Row],[DUT Adj Read]]&gt;=Table1[[#This Row],[Low Tol]],Table1[[#This Row],[DUT Adj Read]]&lt;=Table1[[#This Row],[High Tol]]),"Pass","Fail"))</f>
        <v>Fail</v>
      </c>
      <c r="AD2999" s="1" t="str">
        <f>IF(AND(Table1[[#This Row],[Spec Type2]]="N/A",Table1[[#This Row],[DUT Adj Read]]="N/A",Table1[[#This Row],[Std Adj Read]]="N/A"),"N/A",IF(Table1[[#This Row],[DUT Adj Read]]="N/A",IF(Table1[[#This Row],[Std Adj Read]]&gt;Table1[[#This Row],[Low Tol]],"Pass","Fail"),IF(Table1[[#This Row],[DUT Adj Read]]&gt;Table1[[#This Row],[Low Tol]],"Pass","Fail")))</f>
        <v>Pass</v>
      </c>
      <c r="AE2999" s="1" t="str">
        <f>IF(AND(Table1[[#This Row],[Spec Type2]]="N/A",Table1[[#This Row],[DUT Adj Read]]="N/A",Table1[[#This Row],[Std Adj Read]]="N/A"),"N/A",IF(Table1[[#This Row],[DUT Adj Read]]="N/A",IF(Table1[[#This Row],[Std Adj Read]]&lt;Table1[[#This Row],[High Tol]],"Pass","Fail"),IF(Table1[[#This Row],[DUT Adj Read]]&lt;Table1[[#This Row],[High Tol]],"Pass","Fail")))</f>
        <v>Fail</v>
      </c>
      <c r="AF2999" s="1" t="str">
        <f>IF(AND(Table1[[#This Row],[Spec Type2]]="N/A",Table1[[#This Row],[DUT Adj Read]]="N/A",Table1[[#This Row],[Std Adj Read]]="N/A"),"N/A",IF(Table1[[#This Row],[DUT Adj Read]]="N/A",IF(Table1[[#This Row],[Std Adj Read]]&gt;=Table1[[#This Row],[Low Tol]],"Pass","Fail"),IF(Table1[[#This Row],[DUT Adj Read]]&gt;=Table1[[#This Row],[Low Tol]],"Pass","Fail")))</f>
        <v>Pass</v>
      </c>
      <c r="AG2999" s="1" t="str">
        <f>IF(AND(Table1[[#This Row],[Spec Type2]]="N/A",Table1[[#This Row],[DUT Adj Read]]="N/A",Table1[[#This Row],[Std Adj Read]]="N/A"),"N/A",IF(Table1[[#This Row],[DUT Adj Read]]="N/A",IF(Table1[[#This Row],[Std Adj Read]]&lt;=Table1[[#This Row],[High Tol]],"Pass","Fail"),IF(Table1[[#This Row],[DUT Adj Read]]&lt;=Table1[[#This Row],[High Tol]],"Pass","Fail")))</f>
        <v>Fail</v>
      </c>
      <c r="AH29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9" s="1" t="b">
        <v>0</v>
      </c>
      <c r="AN2999" s="1" t="b">
        <v>0</v>
      </c>
      <c r="AO2999" s="1" t="b">
        <v>0</v>
      </c>
    </row>
    <row r="3000" spans="1:41" x14ac:dyDescent="0.25">
      <c r="A3000" s="10"/>
      <c r="B3000" s="10"/>
      <c r="C3000" s="10"/>
      <c r="D3000" s="10"/>
      <c r="E3000" s="10"/>
      <c r="F3000" s="10"/>
      <c r="G3000" s="10"/>
      <c r="H3000" s="10"/>
      <c r="I3000" s="1" t="str">
        <f t="shared" si="138"/>
        <v/>
      </c>
      <c r="J3000" s="1" t="s">
        <v>35</v>
      </c>
      <c r="K3000" s="1" t="str">
        <f t="shared" si="139"/>
        <v/>
      </c>
      <c r="L3000" s="1" t="str">
        <f t="shared" si="140"/>
        <v/>
      </c>
      <c r="M3000" s="1">
        <f>IF(OR(Table1[[#This Row],[Std Nom]]="",Table1[[#This Row],[Std Read]]=""),0,Table1[[#This Row],[Std Nom]]-Table1[[#This Row],[Std Read]])</f>
        <v>0</v>
      </c>
      <c r="N3000" s="1">
        <f>IF(Calculations!$F$5="ACCREDITED 17025 WITH UNCERTAINTIES",$N$10,0)</f>
        <v>0</v>
      </c>
      <c r="O3000" s="1" t="str">
        <f>IFERROR(Table1[[#This Row],[Std Nom]]-(_xlfn.XLOOKUP(Table1[[#This Row],[Manufacturer]]&amp;" "&amp;Table1[[#This Row],[Model]],Table13[MFR &amp; MDL],Table13[Tolerance % CW ],"")/100*Table1[[#This Row],[Std Nom]]),"")</f>
        <v/>
      </c>
      <c r="P3000" s="1" t="str">
        <f>IFERROR(Table1[[#This Row],[Std Nom]]+(_xlfn.XLOOKUP(Table1[[#This Row],[Manufacturer]]&amp;" "&amp;Table1[[#This Row],[Model]],Table13[MFR &amp; MDL],Table13[Tolerance % CW ],"")/100*Table1[[#This Row],[Std Nom]]),"")</f>
        <v/>
      </c>
      <c r="Q3000" s="1" t="e">
        <f>Table1[[#This Row],[High Tol]]-Table1[[#This Row],[Low Tol]]</f>
        <v>#VALUE!</v>
      </c>
      <c r="R3000" s="1">
        <f>2*Table1[[#This Row],[Std Error]]</f>
        <v>0</v>
      </c>
      <c r="S3000" s="1" t="str">
        <f>IF(Table1[[#This Row],[High Tol]]="","N/A",IFERROR(ABS(Table1[[#This Row],[Tol Span]]/Table1[[#This Row],[Error Span]]),"N/A"))</f>
        <v>N/A</v>
      </c>
      <c r="T3000" s="1" t="str">
        <f>IF(OR(Table1[[#This Row],[Low Tol]]="",Table1[[#This Row],[High Tol]]=""),"Needs Analysis",IF(Table1[[#This Row],[Ratio]]&gt;=4,"Not Significant",IF(Table1[[#This Row],[Ratio]]&gt;=2,"Semi-Significant","Significant")))</f>
        <v>Needs Analysis</v>
      </c>
      <c r="W3000" s="1">
        <f>IF(Table1[[#This Row],[Cal Type]]&lt;&gt;"ACCREDITED 17025 WITH UNCERTAINTIES",0,"")</f>
        <v>0</v>
      </c>
      <c r="X3000" s="1" t="str">
        <f>IF(Table1[[#This Row],[DUT Read]]="","N/A",Table1[[#This Row],[Std Error]]+Table1[[#This Row],[DUT Read]]+Table1[[#This Row],[DUT Ucty]])</f>
        <v>N/A</v>
      </c>
      <c r="Y3000" s="1" t="str">
        <f>IF(Table1[[#This Row],[Std Read]]="","N/A",Table1[[#This Row],[Std Read]]+Table1[[#This Row],[Std Ucty]])</f>
        <v>N/A</v>
      </c>
      <c r="Z30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0" s="1" t="str">
        <f>IF(Table1[[#This Row],[Spec Type]]="","N/A",Table1[[#This Row],[Spec Type]])</f>
        <v>±</v>
      </c>
      <c r="AC3000" s="1" t="str">
        <f>IF(Table1[[#This Row],[Spec Type2]]="N/A","N/A",IF(AND(Table1[[#This Row],[DUT Adj Read]]&gt;=Table1[[#This Row],[Low Tol]],Table1[[#This Row],[DUT Adj Read]]&lt;=Table1[[#This Row],[High Tol]]),"Pass","Fail"))</f>
        <v>Fail</v>
      </c>
      <c r="AD3000" s="1" t="str">
        <f>IF(AND(Table1[[#This Row],[Spec Type2]]="N/A",Table1[[#This Row],[DUT Adj Read]]="N/A",Table1[[#This Row],[Std Adj Read]]="N/A"),"N/A",IF(Table1[[#This Row],[DUT Adj Read]]="N/A",IF(Table1[[#This Row],[Std Adj Read]]&gt;Table1[[#This Row],[Low Tol]],"Pass","Fail"),IF(Table1[[#This Row],[DUT Adj Read]]&gt;Table1[[#This Row],[Low Tol]],"Pass","Fail")))</f>
        <v>Pass</v>
      </c>
      <c r="AE3000" s="1" t="str">
        <f>IF(AND(Table1[[#This Row],[Spec Type2]]="N/A",Table1[[#This Row],[DUT Adj Read]]="N/A",Table1[[#This Row],[Std Adj Read]]="N/A"),"N/A",IF(Table1[[#This Row],[DUT Adj Read]]="N/A",IF(Table1[[#This Row],[Std Adj Read]]&lt;Table1[[#This Row],[High Tol]],"Pass","Fail"),IF(Table1[[#This Row],[DUT Adj Read]]&lt;Table1[[#This Row],[High Tol]],"Pass","Fail")))</f>
        <v>Fail</v>
      </c>
      <c r="AF3000" s="1" t="str">
        <f>IF(AND(Table1[[#This Row],[Spec Type2]]="N/A",Table1[[#This Row],[DUT Adj Read]]="N/A",Table1[[#This Row],[Std Adj Read]]="N/A"),"N/A",IF(Table1[[#This Row],[DUT Adj Read]]="N/A",IF(Table1[[#This Row],[Std Adj Read]]&gt;=Table1[[#This Row],[Low Tol]],"Pass","Fail"),IF(Table1[[#This Row],[DUT Adj Read]]&gt;=Table1[[#This Row],[Low Tol]],"Pass","Fail")))</f>
        <v>Pass</v>
      </c>
      <c r="AG3000" s="1" t="str">
        <f>IF(AND(Table1[[#This Row],[Spec Type2]]="N/A",Table1[[#This Row],[DUT Adj Read]]="N/A",Table1[[#This Row],[Std Adj Read]]="N/A"),"N/A",IF(Table1[[#This Row],[DUT Adj Read]]="N/A",IF(Table1[[#This Row],[Std Adj Read]]&lt;=Table1[[#This Row],[High Tol]],"Pass","Fail"),IF(Table1[[#This Row],[DUT Adj Read]]&lt;=Table1[[#This Row],[High Tol]],"Pass","Fail")))</f>
        <v>Fail</v>
      </c>
      <c r="AH30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0" s="1" t="b">
        <v>0</v>
      </c>
      <c r="AN3000" s="1" t="b">
        <v>0</v>
      </c>
      <c r="AO3000" s="1" t="b">
        <v>0</v>
      </c>
    </row>
    <row r="3001" spans="1:41" x14ac:dyDescent="0.25">
      <c r="A3001" s="10"/>
      <c r="B3001" s="10"/>
      <c r="C3001" s="10"/>
      <c r="D3001" s="10"/>
      <c r="E3001" s="10"/>
      <c r="F3001" s="10"/>
      <c r="G3001" s="10"/>
      <c r="H3001" s="10"/>
      <c r="I3001" s="1" t="str">
        <f t="shared" si="138"/>
        <v/>
      </c>
      <c r="J3001" s="1" t="s">
        <v>35</v>
      </c>
      <c r="K3001" s="1" t="str">
        <f t="shared" si="139"/>
        <v/>
      </c>
      <c r="L3001" s="1" t="str">
        <f t="shared" si="140"/>
        <v/>
      </c>
      <c r="M3001" s="1">
        <f>IF(OR(Table1[[#This Row],[Std Nom]]="",Table1[[#This Row],[Std Read]]=""),0,Table1[[#This Row],[Std Nom]]-Table1[[#This Row],[Std Read]])</f>
        <v>0</v>
      </c>
      <c r="N3001" s="1">
        <f>IF(Calculations!$F$5="ACCREDITED 17025 WITH UNCERTAINTIES",$N$10,0)</f>
        <v>0</v>
      </c>
      <c r="O3001" s="1" t="str">
        <f>IFERROR(Table1[[#This Row],[Std Nom]]-(_xlfn.XLOOKUP(Table1[[#This Row],[Manufacturer]]&amp;" "&amp;Table1[[#This Row],[Model]],Table13[MFR &amp; MDL],Table13[Tolerance % CW ],"")/100*Table1[[#This Row],[Std Nom]]),"")</f>
        <v/>
      </c>
      <c r="P3001" s="1" t="str">
        <f>IFERROR(Table1[[#This Row],[Std Nom]]+(_xlfn.XLOOKUP(Table1[[#This Row],[Manufacturer]]&amp;" "&amp;Table1[[#This Row],[Model]],Table13[MFR &amp; MDL],Table13[Tolerance % CW ],"")/100*Table1[[#This Row],[Std Nom]]),"")</f>
        <v/>
      </c>
      <c r="Q3001" s="1" t="e">
        <f>Table1[[#This Row],[High Tol]]-Table1[[#This Row],[Low Tol]]</f>
        <v>#VALUE!</v>
      </c>
      <c r="R3001" s="1">
        <f>2*Table1[[#This Row],[Std Error]]</f>
        <v>0</v>
      </c>
      <c r="S3001" s="1" t="str">
        <f>IF(Table1[[#This Row],[High Tol]]="","N/A",IFERROR(ABS(Table1[[#This Row],[Tol Span]]/Table1[[#This Row],[Error Span]]),"N/A"))</f>
        <v>N/A</v>
      </c>
      <c r="T3001" s="1" t="str">
        <f>IF(OR(Table1[[#This Row],[Low Tol]]="",Table1[[#This Row],[High Tol]]=""),"Needs Analysis",IF(Table1[[#This Row],[Ratio]]&gt;=4,"Not Significant",IF(Table1[[#This Row],[Ratio]]&gt;=2,"Semi-Significant","Significant")))</f>
        <v>Needs Analysis</v>
      </c>
      <c r="W3001" s="1">
        <f>IF(Table1[[#This Row],[Cal Type]]&lt;&gt;"ACCREDITED 17025 WITH UNCERTAINTIES",0,"")</f>
        <v>0</v>
      </c>
      <c r="X3001" s="1" t="str">
        <f>IF(Table1[[#This Row],[DUT Read]]="","N/A",Table1[[#This Row],[Std Error]]+Table1[[#This Row],[DUT Read]]+Table1[[#This Row],[DUT Ucty]])</f>
        <v>N/A</v>
      </c>
      <c r="Y3001" s="1" t="str">
        <f>IF(Table1[[#This Row],[Std Read]]="","N/A",Table1[[#This Row],[Std Read]]+Table1[[#This Row],[Std Ucty]])</f>
        <v>N/A</v>
      </c>
      <c r="Z30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1" s="1" t="str">
        <f>IF(Table1[[#This Row],[Spec Type]]="","N/A",Table1[[#This Row],[Spec Type]])</f>
        <v>±</v>
      </c>
      <c r="AC3001" s="1" t="str">
        <f>IF(Table1[[#This Row],[Spec Type2]]="N/A","N/A",IF(AND(Table1[[#This Row],[DUT Adj Read]]&gt;=Table1[[#This Row],[Low Tol]],Table1[[#This Row],[DUT Adj Read]]&lt;=Table1[[#This Row],[High Tol]]),"Pass","Fail"))</f>
        <v>Fail</v>
      </c>
      <c r="AD3001" s="1" t="str">
        <f>IF(AND(Table1[[#This Row],[Spec Type2]]="N/A",Table1[[#This Row],[DUT Adj Read]]="N/A",Table1[[#This Row],[Std Adj Read]]="N/A"),"N/A",IF(Table1[[#This Row],[DUT Adj Read]]="N/A",IF(Table1[[#This Row],[Std Adj Read]]&gt;Table1[[#This Row],[Low Tol]],"Pass","Fail"),IF(Table1[[#This Row],[DUT Adj Read]]&gt;Table1[[#This Row],[Low Tol]],"Pass","Fail")))</f>
        <v>Pass</v>
      </c>
      <c r="AE3001" s="1" t="str">
        <f>IF(AND(Table1[[#This Row],[Spec Type2]]="N/A",Table1[[#This Row],[DUT Adj Read]]="N/A",Table1[[#This Row],[Std Adj Read]]="N/A"),"N/A",IF(Table1[[#This Row],[DUT Adj Read]]="N/A",IF(Table1[[#This Row],[Std Adj Read]]&lt;Table1[[#This Row],[High Tol]],"Pass","Fail"),IF(Table1[[#This Row],[DUT Adj Read]]&lt;Table1[[#This Row],[High Tol]],"Pass","Fail")))</f>
        <v>Fail</v>
      </c>
      <c r="AF3001" s="1" t="str">
        <f>IF(AND(Table1[[#This Row],[Spec Type2]]="N/A",Table1[[#This Row],[DUT Adj Read]]="N/A",Table1[[#This Row],[Std Adj Read]]="N/A"),"N/A",IF(Table1[[#This Row],[DUT Adj Read]]="N/A",IF(Table1[[#This Row],[Std Adj Read]]&gt;=Table1[[#This Row],[Low Tol]],"Pass","Fail"),IF(Table1[[#This Row],[DUT Adj Read]]&gt;=Table1[[#This Row],[Low Tol]],"Pass","Fail")))</f>
        <v>Pass</v>
      </c>
      <c r="AG3001" s="1" t="str">
        <f>IF(AND(Table1[[#This Row],[Spec Type2]]="N/A",Table1[[#This Row],[DUT Adj Read]]="N/A",Table1[[#This Row],[Std Adj Read]]="N/A"),"N/A",IF(Table1[[#This Row],[DUT Adj Read]]="N/A",IF(Table1[[#This Row],[Std Adj Read]]&lt;=Table1[[#This Row],[High Tol]],"Pass","Fail"),IF(Table1[[#This Row],[DUT Adj Read]]&lt;=Table1[[#This Row],[High Tol]],"Pass","Fail")))</f>
        <v>Fail</v>
      </c>
      <c r="AH30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1" s="1" t="b">
        <v>0</v>
      </c>
      <c r="AN3001" s="1" t="b">
        <v>0</v>
      </c>
      <c r="AO3001" s="1" t="b">
        <v>0</v>
      </c>
    </row>
    <row r="3002" spans="1:41" x14ac:dyDescent="0.25">
      <c r="A3002" s="10"/>
      <c r="B3002" s="10"/>
      <c r="C3002" s="10"/>
      <c r="D3002" s="10"/>
      <c r="E3002" s="10"/>
      <c r="F3002" s="10"/>
      <c r="G3002" s="10"/>
      <c r="H3002" s="10"/>
      <c r="I3002" s="1" t="str">
        <f t="shared" si="138"/>
        <v/>
      </c>
      <c r="J3002" s="1" t="s">
        <v>35</v>
      </c>
      <c r="K3002" s="1" t="str">
        <f t="shared" si="139"/>
        <v/>
      </c>
      <c r="L3002" s="1" t="str">
        <f t="shared" si="140"/>
        <v/>
      </c>
      <c r="M3002" s="1">
        <f>IF(OR(Table1[[#This Row],[Std Nom]]="",Table1[[#This Row],[Std Read]]=""),0,Table1[[#This Row],[Std Nom]]-Table1[[#This Row],[Std Read]])</f>
        <v>0</v>
      </c>
      <c r="N3002" s="1">
        <f>IF(Calculations!$F$5="ACCREDITED 17025 WITH UNCERTAINTIES",$N$10,0)</f>
        <v>0</v>
      </c>
      <c r="O3002" s="1" t="str">
        <f>IFERROR(Table1[[#This Row],[Std Nom]]-(_xlfn.XLOOKUP(Table1[[#This Row],[Manufacturer]]&amp;" "&amp;Table1[[#This Row],[Model]],Table13[MFR &amp; MDL],Table13[Tolerance % CW ],"")/100*Table1[[#This Row],[Std Nom]]),"")</f>
        <v/>
      </c>
      <c r="P3002" s="1" t="str">
        <f>IFERROR(Table1[[#This Row],[Std Nom]]+(_xlfn.XLOOKUP(Table1[[#This Row],[Manufacturer]]&amp;" "&amp;Table1[[#This Row],[Model]],Table13[MFR &amp; MDL],Table13[Tolerance % CW ],"")/100*Table1[[#This Row],[Std Nom]]),"")</f>
        <v/>
      </c>
      <c r="Q3002" s="1" t="e">
        <f>Table1[[#This Row],[High Tol]]-Table1[[#This Row],[Low Tol]]</f>
        <v>#VALUE!</v>
      </c>
      <c r="R3002" s="1">
        <f>2*Table1[[#This Row],[Std Error]]</f>
        <v>0</v>
      </c>
      <c r="S3002" s="1" t="str">
        <f>IF(Table1[[#This Row],[High Tol]]="","N/A",IFERROR(ABS(Table1[[#This Row],[Tol Span]]/Table1[[#This Row],[Error Span]]),"N/A"))</f>
        <v>N/A</v>
      </c>
      <c r="T3002" s="1" t="str">
        <f>IF(OR(Table1[[#This Row],[Low Tol]]="",Table1[[#This Row],[High Tol]]=""),"Needs Analysis",IF(Table1[[#This Row],[Ratio]]&gt;=4,"Not Significant",IF(Table1[[#This Row],[Ratio]]&gt;=2,"Semi-Significant","Significant")))</f>
        <v>Needs Analysis</v>
      </c>
      <c r="W3002" s="1">
        <f>IF(Table1[[#This Row],[Cal Type]]&lt;&gt;"ACCREDITED 17025 WITH UNCERTAINTIES",0,"")</f>
        <v>0</v>
      </c>
      <c r="X3002" s="1" t="str">
        <f>IF(Table1[[#This Row],[DUT Read]]="","N/A",Table1[[#This Row],[Std Error]]+Table1[[#This Row],[DUT Read]]+Table1[[#This Row],[DUT Ucty]])</f>
        <v>N/A</v>
      </c>
      <c r="Y3002" s="1" t="str">
        <f>IF(Table1[[#This Row],[Std Read]]="","N/A",Table1[[#This Row],[Std Read]]+Table1[[#This Row],[Std Ucty]])</f>
        <v>N/A</v>
      </c>
      <c r="Z30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2" s="1" t="str">
        <f>IF(Table1[[#This Row],[Spec Type]]="","N/A",Table1[[#This Row],[Spec Type]])</f>
        <v>±</v>
      </c>
      <c r="AC3002" s="1" t="str">
        <f>IF(Table1[[#This Row],[Spec Type2]]="N/A","N/A",IF(AND(Table1[[#This Row],[DUT Adj Read]]&gt;=Table1[[#This Row],[Low Tol]],Table1[[#This Row],[DUT Adj Read]]&lt;=Table1[[#This Row],[High Tol]]),"Pass","Fail"))</f>
        <v>Fail</v>
      </c>
      <c r="AD3002" s="1" t="str">
        <f>IF(AND(Table1[[#This Row],[Spec Type2]]="N/A",Table1[[#This Row],[DUT Adj Read]]="N/A",Table1[[#This Row],[Std Adj Read]]="N/A"),"N/A",IF(Table1[[#This Row],[DUT Adj Read]]="N/A",IF(Table1[[#This Row],[Std Adj Read]]&gt;Table1[[#This Row],[Low Tol]],"Pass","Fail"),IF(Table1[[#This Row],[DUT Adj Read]]&gt;Table1[[#This Row],[Low Tol]],"Pass","Fail")))</f>
        <v>Pass</v>
      </c>
      <c r="AE3002" s="1" t="str">
        <f>IF(AND(Table1[[#This Row],[Spec Type2]]="N/A",Table1[[#This Row],[DUT Adj Read]]="N/A",Table1[[#This Row],[Std Adj Read]]="N/A"),"N/A",IF(Table1[[#This Row],[DUT Adj Read]]="N/A",IF(Table1[[#This Row],[Std Adj Read]]&lt;Table1[[#This Row],[High Tol]],"Pass","Fail"),IF(Table1[[#This Row],[DUT Adj Read]]&lt;Table1[[#This Row],[High Tol]],"Pass","Fail")))</f>
        <v>Fail</v>
      </c>
      <c r="AF3002" s="1" t="str">
        <f>IF(AND(Table1[[#This Row],[Spec Type2]]="N/A",Table1[[#This Row],[DUT Adj Read]]="N/A",Table1[[#This Row],[Std Adj Read]]="N/A"),"N/A",IF(Table1[[#This Row],[DUT Adj Read]]="N/A",IF(Table1[[#This Row],[Std Adj Read]]&gt;=Table1[[#This Row],[Low Tol]],"Pass","Fail"),IF(Table1[[#This Row],[DUT Adj Read]]&gt;=Table1[[#This Row],[Low Tol]],"Pass","Fail")))</f>
        <v>Pass</v>
      </c>
      <c r="AG3002" s="1" t="str">
        <f>IF(AND(Table1[[#This Row],[Spec Type2]]="N/A",Table1[[#This Row],[DUT Adj Read]]="N/A",Table1[[#This Row],[Std Adj Read]]="N/A"),"N/A",IF(Table1[[#This Row],[DUT Adj Read]]="N/A",IF(Table1[[#This Row],[Std Adj Read]]&lt;=Table1[[#This Row],[High Tol]],"Pass","Fail"),IF(Table1[[#This Row],[DUT Adj Read]]&lt;=Table1[[#This Row],[High Tol]],"Pass","Fail")))</f>
        <v>Fail</v>
      </c>
      <c r="AH30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2" s="1" t="b">
        <v>0</v>
      </c>
      <c r="AN3002" s="1" t="b">
        <v>0</v>
      </c>
      <c r="AO3002" s="1" t="b">
        <v>0</v>
      </c>
    </row>
    <row r="3003" spans="1:41" x14ac:dyDescent="0.25">
      <c r="A3003" s="10"/>
      <c r="B3003" s="10"/>
      <c r="C3003" s="10"/>
      <c r="D3003" s="10"/>
      <c r="E3003" s="10"/>
      <c r="F3003" s="10"/>
      <c r="G3003" s="10"/>
      <c r="H3003" s="10"/>
      <c r="I3003" s="1" t="str">
        <f t="shared" si="138"/>
        <v/>
      </c>
      <c r="J3003" s="1" t="s">
        <v>35</v>
      </c>
      <c r="K3003" s="1" t="str">
        <f t="shared" si="139"/>
        <v/>
      </c>
      <c r="L3003" s="1" t="str">
        <f t="shared" si="140"/>
        <v/>
      </c>
      <c r="M3003" s="1">
        <f>IF(OR(Table1[[#This Row],[Std Nom]]="",Table1[[#This Row],[Std Read]]=""),0,Table1[[#This Row],[Std Nom]]-Table1[[#This Row],[Std Read]])</f>
        <v>0</v>
      </c>
      <c r="N3003" s="1">
        <f>IF(Calculations!$F$5="ACCREDITED 17025 WITH UNCERTAINTIES",$N$10,0)</f>
        <v>0</v>
      </c>
      <c r="O3003" s="1" t="str">
        <f>IFERROR(Table1[[#This Row],[Std Nom]]-(_xlfn.XLOOKUP(Table1[[#This Row],[Manufacturer]]&amp;" "&amp;Table1[[#This Row],[Model]],Table13[MFR &amp; MDL],Table13[Tolerance % CW ],"")/100*Table1[[#This Row],[Std Nom]]),"")</f>
        <v/>
      </c>
      <c r="P3003" s="1" t="str">
        <f>IFERROR(Table1[[#This Row],[Std Nom]]+(_xlfn.XLOOKUP(Table1[[#This Row],[Manufacturer]]&amp;" "&amp;Table1[[#This Row],[Model]],Table13[MFR &amp; MDL],Table13[Tolerance % CW ],"")/100*Table1[[#This Row],[Std Nom]]),"")</f>
        <v/>
      </c>
      <c r="Q3003" s="1" t="e">
        <f>Table1[[#This Row],[High Tol]]-Table1[[#This Row],[Low Tol]]</f>
        <v>#VALUE!</v>
      </c>
      <c r="R3003" s="1">
        <f>2*Table1[[#This Row],[Std Error]]</f>
        <v>0</v>
      </c>
      <c r="S3003" s="1" t="str">
        <f>IF(Table1[[#This Row],[High Tol]]="","N/A",IFERROR(ABS(Table1[[#This Row],[Tol Span]]/Table1[[#This Row],[Error Span]]),"N/A"))</f>
        <v>N/A</v>
      </c>
      <c r="T3003" s="1" t="str">
        <f>IF(OR(Table1[[#This Row],[Low Tol]]="",Table1[[#This Row],[High Tol]]=""),"Needs Analysis",IF(Table1[[#This Row],[Ratio]]&gt;=4,"Not Significant",IF(Table1[[#This Row],[Ratio]]&gt;=2,"Semi-Significant","Significant")))</f>
        <v>Needs Analysis</v>
      </c>
      <c r="W3003" s="1">
        <f>IF(Table1[[#This Row],[Cal Type]]&lt;&gt;"ACCREDITED 17025 WITH UNCERTAINTIES",0,"")</f>
        <v>0</v>
      </c>
      <c r="X3003" s="1" t="str">
        <f>IF(Table1[[#This Row],[DUT Read]]="","N/A",Table1[[#This Row],[Std Error]]+Table1[[#This Row],[DUT Read]]+Table1[[#This Row],[DUT Ucty]])</f>
        <v>N/A</v>
      </c>
      <c r="Y3003" s="1" t="str">
        <f>IF(Table1[[#This Row],[Std Read]]="","N/A",Table1[[#This Row],[Std Read]]+Table1[[#This Row],[Std Ucty]])</f>
        <v>N/A</v>
      </c>
      <c r="Z30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3" s="1" t="str">
        <f>IF(Table1[[#This Row],[Spec Type]]="","N/A",Table1[[#This Row],[Spec Type]])</f>
        <v>±</v>
      </c>
      <c r="AC3003" s="1" t="str">
        <f>IF(Table1[[#This Row],[Spec Type2]]="N/A","N/A",IF(AND(Table1[[#This Row],[DUT Adj Read]]&gt;=Table1[[#This Row],[Low Tol]],Table1[[#This Row],[DUT Adj Read]]&lt;=Table1[[#This Row],[High Tol]]),"Pass","Fail"))</f>
        <v>Fail</v>
      </c>
      <c r="AD3003" s="1" t="str">
        <f>IF(AND(Table1[[#This Row],[Spec Type2]]="N/A",Table1[[#This Row],[DUT Adj Read]]="N/A",Table1[[#This Row],[Std Adj Read]]="N/A"),"N/A",IF(Table1[[#This Row],[DUT Adj Read]]="N/A",IF(Table1[[#This Row],[Std Adj Read]]&gt;Table1[[#This Row],[Low Tol]],"Pass","Fail"),IF(Table1[[#This Row],[DUT Adj Read]]&gt;Table1[[#This Row],[Low Tol]],"Pass","Fail")))</f>
        <v>Pass</v>
      </c>
      <c r="AE3003" s="1" t="str">
        <f>IF(AND(Table1[[#This Row],[Spec Type2]]="N/A",Table1[[#This Row],[DUT Adj Read]]="N/A",Table1[[#This Row],[Std Adj Read]]="N/A"),"N/A",IF(Table1[[#This Row],[DUT Adj Read]]="N/A",IF(Table1[[#This Row],[Std Adj Read]]&lt;Table1[[#This Row],[High Tol]],"Pass","Fail"),IF(Table1[[#This Row],[DUT Adj Read]]&lt;Table1[[#This Row],[High Tol]],"Pass","Fail")))</f>
        <v>Fail</v>
      </c>
      <c r="AF3003" s="1" t="str">
        <f>IF(AND(Table1[[#This Row],[Spec Type2]]="N/A",Table1[[#This Row],[DUT Adj Read]]="N/A",Table1[[#This Row],[Std Adj Read]]="N/A"),"N/A",IF(Table1[[#This Row],[DUT Adj Read]]="N/A",IF(Table1[[#This Row],[Std Adj Read]]&gt;=Table1[[#This Row],[Low Tol]],"Pass","Fail"),IF(Table1[[#This Row],[DUT Adj Read]]&gt;=Table1[[#This Row],[Low Tol]],"Pass","Fail")))</f>
        <v>Pass</v>
      </c>
      <c r="AG3003" s="1" t="str">
        <f>IF(AND(Table1[[#This Row],[Spec Type2]]="N/A",Table1[[#This Row],[DUT Adj Read]]="N/A",Table1[[#This Row],[Std Adj Read]]="N/A"),"N/A",IF(Table1[[#This Row],[DUT Adj Read]]="N/A",IF(Table1[[#This Row],[Std Adj Read]]&lt;=Table1[[#This Row],[High Tol]],"Pass","Fail"),IF(Table1[[#This Row],[DUT Adj Read]]&lt;=Table1[[#This Row],[High Tol]],"Pass","Fail")))</f>
        <v>Fail</v>
      </c>
      <c r="AH30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3" s="1" t="b">
        <v>0</v>
      </c>
      <c r="AN3003" s="1" t="b">
        <v>0</v>
      </c>
      <c r="AO3003" s="1" t="b">
        <v>0</v>
      </c>
    </row>
    <row r="3004" spans="1:41" x14ac:dyDescent="0.25">
      <c r="A3004" s="10"/>
      <c r="B3004" s="10"/>
      <c r="C3004" s="10"/>
      <c r="D3004" s="10"/>
      <c r="E3004" s="10"/>
      <c r="F3004" s="10"/>
      <c r="G3004" s="10"/>
      <c r="H3004" s="10"/>
      <c r="I3004" s="1" t="str">
        <f t="shared" si="138"/>
        <v/>
      </c>
      <c r="J3004" s="1" t="s">
        <v>35</v>
      </c>
      <c r="K3004" s="1" t="str">
        <f t="shared" si="139"/>
        <v/>
      </c>
      <c r="L3004" s="1" t="str">
        <f t="shared" si="140"/>
        <v/>
      </c>
      <c r="M3004" s="1">
        <f>IF(OR(Table1[[#This Row],[Std Nom]]="",Table1[[#This Row],[Std Read]]=""),0,Table1[[#This Row],[Std Nom]]-Table1[[#This Row],[Std Read]])</f>
        <v>0</v>
      </c>
      <c r="N3004" s="1">
        <f>IF(Calculations!$F$5="ACCREDITED 17025 WITH UNCERTAINTIES",$N$10,0)</f>
        <v>0</v>
      </c>
      <c r="O3004" s="1" t="str">
        <f>IFERROR(Table1[[#This Row],[Std Nom]]-(_xlfn.XLOOKUP(Table1[[#This Row],[Manufacturer]]&amp;" "&amp;Table1[[#This Row],[Model]],Table13[MFR &amp; MDL],Table13[Tolerance % CW ],"")/100*Table1[[#This Row],[Std Nom]]),"")</f>
        <v/>
      </c>
      <c r="P3004" s="1" t="str">
        <f>IFERROR(Table1[[#This Row],[Std Nom]]+(_xlfn.XLOOKUP(Table1[[#This Row],[Manufacturer]]&amp;" "&amp;Table1[[#This Row],[Model]],Table13[MFR &amp; MDL],Table13[Tolerance % CW ],"")/100*Table1[[#This Row],[Std Nom]]),"")</f>
        <v/>
      </c>
      <c r="Q3004" s="1" t="e">
        <f>Table1[[#This Row],[High Tol]]-Table1[[#This Row],[Low Tol]]</f>
        <v>#VALUE!</v>
      </c>
      <c r="R3004" s="1">
        <f>2*Table1[[#This Row],[Std Error]]</f>
        <v>0</v>
      </c>
      <c r="S3004" s="1" t="str">
        <f>IF(Table1[[#This Row],[High Tol]]="","N/A",IFERROR(ABS(Table1[[#This Row],[Tol Span]]/Table1[[#This Row],[Error Span]]),"N/A"))</f>
        <v>N/A</v>
      </c>
      <c r="T3004" s="1" t="str">
        <f>IF(OR(Table1[[#This Row],[Low Tol]]="",Table1[[#This Row],[High Tol]]=""),"Needs Analysis",IF(Table1[[#This Row],[Ratio]]&gt;=4,"Not Significant",IF(Table1[[#This Row],[Ratio]]&gt;=2,"Semi-Significant","Significant")))</f>
        <v>Needs Analysis</v>
      </c>
      <c r="W3004" s="1">
        <f>IF(Table1[[#This Row],[Cal Type]]&lt;&gt;"ACCREDITED 17025 WITH UNCERTAINTIES",0,"")</f>
        <v>0</v>
      </c>
      <c r="X3004" s="1" t="str">
        <f>IF(Table1[[#This Row],[DUT Read]]="","N/A",Table1[[#This Row],[Std Error]]+Table1[[#This Row],[DUT Read]]+Table1[[#This Row],[DUT Ucty]])</f>
        <v>N/A</v>
      </c>
      <c r="Y3004" s="1" t="str">
        <f>IF(Table1[[#This Row],[Std Read]]="","N/A",Table1[[#This Row],[Std Read]]+Table1[[#This Row],[Std Ucty]])</f>
        <v>N/A</v>
      </c>
      <c r="Z30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4" s="1" t="str">
        <f>IF(Table1[[#This Row],[Spec Type]]="","N/A",Table1[[#This Row],[Spec Type]])</f>
        <v>±</v>
      </c>
      <c r="AC3004" s="1" t="str">
        <f>IF(Table1[[#This Row],[Spec Type2]]="N/A","N/A",IF(AND(Table1[[#This Row],[DUT Adj Read]]&gt;=Table1[[#This Row],[Low Tol]],Table1[[#This Row],[DUT Adj Read]]&lt;=Table1[[#This Row],[High Tol]]),"Pass","Fail"))</f>
        <v>Fail</v>
      </c>
      <c r="AD3004" s="1" t="str">
        <f>IF(AND(Table1[[#This Row],[Spec Type2]]="N/A",Table1[[#This Row],[DUT Adj Read]]="N/A",Table1[[#This Row],[Std Adj Read]]="N/A"),"N/A",IF(Table1[[#This Row],[DUT Adj Read]]="N/A",IF(Table1[[#This Row],[Std Adj Read]]&gt;Table1[[#This Row],[Low Tol]],"Pass","Fail"),IF(Table1[[#This Row],[DUT Adj Read]]&gt;Table1[[#This Row],[Low Tol]],"Pass","Fail")))</f>
        <v>Pass</v>
      </c>
      <c r="AE3004" s="1" t="str">
        <f>IF(AND(Table1[[#This Row],[Spec Type2]]="N/A",Table1[[#This Row],[DUT Adj Read]]="N/A",Table1[[#This Row],[Std Adj Read]]="N/A"),"N/A",IF(Table1[[#This Row],[DUT Adj Read]]="N/A",IF(Table1[[#This Row],[Std Adj Read]]&lt;Table1[[#This Row],[High Tol]],"Pass","Fail"),IF(Table1[[#This Row],[DUT Adj Read]]&lt;Table1[[#This Row],[High Tol]],"Pass","Fail")))</f>
        <v>Fail</v>
      </c>
      <c r="AF3004" s="1" t="str">
        <f>IF(AND(Table1[[#This Row],[Spec Type2]]="N/A",Table1[[#This Row],[DUT Adj Read]]="N/A",Table1[[#This Row],[Std Adj Read]]="N/A"),"N/A",IF(Table1[[#This Row],[DUT Adj Read]]="N/A",IF(Table1[[#This Row],[Std Adj Read]]&gt;=Table1[[#This Row],[Low Tol]],"Pass","Fail"),IF(Table1[[#This Row],[DUT Adj Read]]&gt;=Table1[[#This Row],[Low Tol]],"Pass","Fail")))</f>
        <v>Pass</v>
      </c>
      <c r="AG3004" s="1" t="str">
        <f>IF(AND(Table1[[#This Row],[Spec Type2]]="N/A",Table1[[#This Row],[DUT Adj Read]]="N/A",Table1[[#This Row],[Std Adj Read]]="N/A"),"N/A",IF(Table1[[#This Row],[DUT Adj Read]]="N/A",IF(Table1[[#This Row],[Std Adj Read]]&lt;=Table1[[#This Row],[High Tol]],"Pass","Fail"),IF(Table1[[#This Row],[DUT Adj Read]]&lt;=Table1[[#This Row],[High Tol]],"Pass","Fail")))</f>
        <v>Fail</v>
      </c>
      <c r="AH30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4" s="1" t="b">
        <v>0</v>
      </c>
      <c r="AN3004" s="1" t="b">
        <v>0</v>
      </c>
      <c r="AO3004" s="1" t="b">
        <v>0</v>
      </c>
    </row>
    <row r="3005" spans="1:41" x14ac:dyDescent="0.25">
      <c r="A3005" s="10"/>
      <c r="B3005" s="10"/>
      <c r="C3005" s="10"/>
      <c r="D3005" s="10"/>
      <c r="E3005" s="10"/>
      <c r="F3005" s="10"/>
      <c r="G3005" s="10"/>
      <c r="H3005" s="10"/>
      <c r="I3005" s="1" t="str">
        <f t="shared" si="138"/>
        <v/>
      </c>
      <c r="J3005" s="1" t="s">
        <v>35</v>
      </c>
      <c r="K3005" s="1" t="str">
        <f t="shared" si="139"/>
        <v/>
      </c>
      <c r="L3005" s="1" t="str">
        <f t="shared" si="140"/>
        <v/>
      </c>
      <c r="M3005" s="1">
        <f>IF(OR(Table1[[#This Row],[Std Nom]]="",Table1[[#This Row],[Std Read]]=""),0,Table1[[#This Row],[Std Nom]]-Table1[[#This Row],[Std Read]])</f>
        <v>0</v>
      </c>
      <c r="N3005" s="1">
        <f>IF(Calculations!$F$5="ACCREDITED 17025 WITH UNCERTAINTIES",$N$10,0)</f>
        <v>0</v>
      </c>
      <c r="O3005" s="1" t="str">
        <f>IFERROR(Table1[[#This Row],[Std Nom]]-(_xlfn.XLOOKUP(Table1[[#This Row],[Manufacturer]]&amp;" "&amp;Table1[[#This Row],[Model]],Table13[MFR &amp; MDL],Table13[Tolerance % CW ],"")/100*Table1[[#This Row],[Std Nom]]),"")</f>
        <v/>
      </c>
      <c r="P3005" s="1" t="str">
        <f>IFERROR(Table1[[#This Row],[Std Nom]]+(_xlfn.XLOOKUP(Table1[[#This Row],[Manufacturer]]&amp;" "&amp;Table1[[#This Row],[Model]],Table13[MFR &amp; MDL],Table13[Tolerance % CW ],"")/100*Table1[[#This Row],[Std Nom]]),"")</f>
        <v/>
      </c>
      <c r="Q3005" s="1" t="e">
        <f>Table1[[#This Row],[High Tol]]-Table1[[#This Row],[Low Tol]]</f>
        <v>#VALUE!</v>
      </c>
      <c r="R3005" s="1">
        <f>2*Table1[[#This Row],[Std Error]]</f>
        <v>0</v>
      </c>
      <c r="S3005" s="1" t="str">
        <f>IF(Table1[[#This Row],[High Tol]]="","N/A",IFERROR(ABS(Table1[[#This Row],[Tol Span]]/Table1[[#This Row],[Error Span]]),"N/A"))</f>
        <v>N/A</v>
      </c>
      <c r="T3005" s="1" t="str">
        <f>IF(OR(Table1[[#This Row],[Low Tol]]="",Table1[[#This Row],[High Tol]]=""),"Needs Analysis",IF(Table1[[#This Row],[Ratio]]&gt;=4,"Not Significant",IF(Table1[[#This Row],[Ratio]]&gt;=2,"Semi-Significant","Significant")))</f>
        <v>Needs Analysis</v>
      </c>
      <c r="W3005" s="1">
        <f>IF(Table1[[#This Row],[Cal Type]]&lt;&gt;"ACCREDITED 17025 WITH UNCERTAINTIES",0,"")</f>
        <v>0</v>
      </c>
      <c r="X3005" s="1" t="str">
        <f>IF(Table1[[#This Row],[DUT Read]]="","N/A",Table1[[#This Row],[Std Error]]+Table1[[#This Row],[DUT Read]]+Table1[[#This Row],[DUT Ucty]])</f>
        <v>N/A</v>
      </c>
      <c r="Y3005" s="1" t="str">
        <f>IF(Table1[[#This Row],[Std Read]]="","N/A",Table1[[#This Row],[Std Read]]+Table1[[#This Row],[Std Ucty]])</f>
        <v>N/A</v>
      </c>
      <c r="Z30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5" s="1" t="str">
        <f>IF(Table1[[#This Row],[Spec Type]]="","N/A",Table1[[#This Row],[Spec Type]])</f>
        <v>±</v>
      </c>
      <c r="AC3005" s="1" t="str">
        <f>IF(Table1[[#This Row],[Spec Type2]]="N/A","N/A",IF(AND(Table1[[#This Row],[DUT Adj Read]]&gt;=Table1[[#This Row],[Low Tol]],Table1[[#This Row],[DUT Adj Read]]&lt;=Table1[[#This Row],[High Tol]]),"Pass","Fail"))</f>
        <v>Fail</v>
      </c>
      <c r="AD3005" s="1" t="str">
        <f>IF(AND(Table1[[#This Row],[Spec Type2]]="N/A",Table1[[#This Row],[DUT Adj Read]]="N/A",Table1[[#This Row],[Std Adj Read]]="N/A"),"N/A",IF(Table1[[#This Row],[DUT Adj Read]]="N/A",IF(Table1[[#This Row],[Std Adj Read]]&gt;Table1[[#This Row],[Low Tol]],"Pass","Fail"),IF(Table1[[#This Row],[DUT Adj Read]]&gt;Table1[[#This Row],[Low Tol]],"Pass","Fail")))</f>
        <v>Pass</v>
      </c>
      <c r="AE3005" s="1" t="str">
        <f>IF(AND(Table1[[#This Row],[Spec Type2]]="N/A",Table1[[#This Row],[DUT Adj Read]]="N/A",Table1[[#This Row],[Std Adj Read]]="N/A"),"N/A",IF(Table1[[#This Row],[DUT Adj Read]]="N/A",IF(Table1[[#This Row],[Std Adj Read]]&lt;Table1[[#This Row],[High Tol]],"Pass","Fail"),IF(Table1[[#This Row],[DUT Adj Read]]&lt;Table1[[#This Row],[High Tol]],"Pass","Fail")))</f>
        <v>Fail</v>
      </c>
      <c r="AF3005" s="1" t="str">
        <f>IF(AND(Table1[[#This Row],[Spec Type2]]="N/A",Table1[[#This Row],[DUT Adj Read]]="N/A",Table1[[#This Row],[Std Adj Read]]="N/A"),"N/A",IF(Table1[[#This Row],[DUT Adj Read]]="N/A",IF(Table1[[#This Row],[Std Adj Read]]&gt;=Table1[[#This Row],[Low Tol]],"Pass","Fail"),IF(Table1[[#This Row],[DUT Adj Read]]&gt;=Table1[[#This Row],[Low Tol]],"Pass","Fail")))</f>
        <v>Pass</v>
      </c>
      <c r="AG3005" s="1" t="str">
        <f>IF(AND(Table1[[#This Row],[Spec Type2]]="N/A",Table1[[#This Row],[DUT Adj Read]]="N/A",Table1[[#This Row],[Std Adj Read]]="N/A"),"N/A",IF(Table1[[#This Row],[DUT Adj Read]]="N/A",IF(Table1[[#This Row],[Std Adj Read]]&lt;=Table1[[#This Row],[High Tol]],"Pass","Fail"),IF(Table1[[#This Row],[DUT Adj Read]]&lt;=Table1[[#This Row],[High Tol]],"Pass","Fail")))</f>
        <v>Fail</v>
      </c>
      <c r="AH30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5" s="1" t="b">
        <v>0</v>
      </c>
      <c r="AN3005" s="1" t="b">
        <v>0</v>
      </c>
      <c r="AO3005" s="1" t="b">
        <v>0</v>
      </c>
    </row>
    <row r="3006" spans="1:41" x14ac:dyDescent="0.25">
      <c r="A3006" s="10"/>
      <c r="B3006" s="10"/>
      <c r="C3006" s="10"/>
      <c r="D3006" s="10"/>
      <c r="E3006" s="10"/>
      <c r="F3006" s="10"/>
      <c r="G3006" s="10"/>
      <c r="H3006" s="10"/>
      <c r="I3006" s="1" t="str">
        <f t="shared" si="138"/>
        <v/>
      </c>
      <c r="J3006" s="1" t="s">
        <v>35</v>
      </c>
      <c r="K3006" s="1" t="str">
        <f t="shared" si="139"/>
        <v/>
      </c>
      <c r="L3006" s="1" t="str">
        <f t="shared" si="140"/>
        <v/>
      </c>
      <c r="M3006" s="1">
        <f>IF(OR(Table1[[#This Row],[Std Nom]]="",Table1[[#This Row],[Std Read]]=""),0,Table1[[#This Row],[Std Nom]]-Table1[[#This Row],[Std Read]])</f>
        <v>0</v>
      </c>
      <c r="N3006" s="1">
        <f>IF(Calculations!$F$5="ACCREDITED 17025 WITH UNCERTAINTIES",$N$10,0)</f>
        <v>0</v>
      </c>
      <c r="O3006" s="1" t="str">
        <f>IFERROR(Table1[[#This Row],[Std Nom]]-(_xlfn.XLOOKUP(Table1[[#This Row],[Manufacturer]]&amp;" "&amp;Table1[[#This Row],[Model]],Table13[MFR &amp; MDL],Table13[Tolerance % CW ],"")/100*Table1[[#This Row],[Std Nom]]),"")</f>
        <v/>
      </c>
      <c r="P3006" s="1" t="str">
        <f>IFERROR(Table1[[#This Row],[Std Nom]]+(_xlfn.XLOOKUP(Table1[[#This Row],[Manufacturer]]&amp;" "&amp;Table1[[#This Row],[Model]],Table13[MFR &amp; MDL],Table13[Tolerance % CW ],"")/100*Table1[[#This Row],[Std Nom]]),"")</f>
        <v/>
      </c>
      <c r="Q3006" s="1" t="e">
        <f>Table1[[#This Row],[High Tol]]-Table1[[#This Row],[Low Tol]]</f>
        <v>#VALUE!</v>
      </c>
      <c r="R3006" s="1">
        <f>2*Table1[[#This Row],[Std Error]]</f>
        <v>0</v>
      </c>
      <c r="S3006" s="1" t="str">
        <f>IF(Table1[[#This Row],[High Tol]]="","N/A",IFERROR(ABS(Table1[[#This Row],[Tol Span]]/Table1[[#This Row],[Error Span]]),"N/A"))</f>
        <v>N/A</v>
      </c>
      <c r="T3006" s="1" t="str">
        <f>IF(OR(Table1[[#This Row],[Low Tol]]="",Table1[[#This Row],[High Tol]]=""),"Needs Analysis",IF(Table1[[#This Row],[Ratio]]&gt;=4,"Not Significant",IF(Table1[[#This Row],[Ratio]]&gt;=2,"Semi-Significant","Significant")))</f>
        <v>Needs Analysis</v>
      </c>
      <c r="W3006" s="1">
        <f>IF(Table1[[#This Row],[Cal Type]]&lt;&gt;"ACCREDITED 17025 WITH UNCERTAINTIES",0,"")</f>
        <v>0</v>
      </c>
      <c r="X3006" s="1" t="str">
        <f>IF(Table1[[#This Row],[DUT Read]]="","N/A",Table1[[#This Row],[Std Error]]+Table1[[#This Row],[DUT Read]]+Table1[[#This Row],[DUT Ucty]])</f>
        <v>N/A</v>
      </c>
      <c r="Y3006" s="1" t="str">
        <f>IF(Table1[[#This Row],[Std Read]]="","N/A",Table1[[#This Row],[Std Read]]+Table1[[#This Row],[Std Ucty]])</f>
        <v>N/A</v>
      </c>
      <c r="Z30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6" s="1" t="str">
        <f>IF(Table1[[#This Row],[Spec Type]]="","N/A",Table1[[#This Row],[Spec Type]])</f>
        <v>±</v>
      </c>
      <c r="AC3006" s="1" t="str">
        <f>IF(Table1[[#This Row],[Spec Type2]]="N/A","N/A",IF(AND(Table1[[#This Row],[DUT Adj Read]]&gt;=Table1[[#This Row],[Low Tol]],Table1[[#This Row],[DUT Adj Read]]&lt;=Table1[[#This Row],[High Tol]]),"Pass","Fail"))</f>
        <v>Fail</v>
      </c>
      <c r="AD3006" s="1" t="str">
        <f>IF(AND(Table1[[#This Row],[Spec Type2]]="N/A",Table1[[#This Row],[DUT Adj Read]]="N/A",Table1[[#This Row],[Std Adj Read]]="N/A"),"N/A",IF(Table1[[#This Row],[DUT Adj Read]]="N/A",IF(Table1[[#This Row],[Std Adj Read]]&gt;Table1[[#This Row],[Low Tol]],"Pass","Fail"),IF(Table1[[#This Row],[DUT Adj Read]]&gt;Table1[[#This Row],[Low Tol]],"Pass","Fail")))</f>
        <v>Pass</v>
      </c>
      <c r="AE3006" s="1" t="str">
        <f>IF(AND(Table1[[#This Row],[Spec Type2]]="N/A",Table1[[#This Row],[DUT Adj Read]]="N/A",Table1[[#This Row],[Std Adj Read]]="N/A"),"N/A",IF(Table1[[#This Row],[DUT Adj Read]]="N/A",IF(Table1[[#This Row],[Std Adj Read]]&lt;Table1[[#This Row],[High Tol]],"Pass","Fail"),IF(Table1[[#This Row],[DUT Adj Read]]&lt;Table1[[#This Row],[High Tol]],"Pass","Fail")))</f>
        <v>Fail</v>
      </c>
      <c r="AF3006" s="1" t="str">
        <f>IF(AND(Table1[[#This Row],[Spec Type2]]="N/A",Table1[[#This Row],[DUT Adj Read]]="N/A",Table1[[#This Row],[Std Adj Read]]="N/A"),"N/A",IF(Table1[[#This Row],[DUT Adj Read]]="N/A",IF(Table1[[#This Row],[Std Adj Read]]&gt;=Table1[[#This Row],[Low Tol]],"Pass","Fail"),IF(Table1[[#This Row],[DUT Adj Read]]&gt;=Table1[[#This Row],[Low Tol]],"Pass","Fail")))</f>
        <v>Pass</v>
      </c>
      <c r="AG3006" s="1" t="str">
        <f>IF(AND(Table1[[#This Row],[Spec Type2]]="N/A",Table1[[#This Row],[DUT Adj Read]]="N/A",Table1[[#This Row],[Std Adj Read]]="N/A"),"N/A",IF(Table1[[#This Row],[DUT Adj Read]]="N/A",IF(Table1[[#This Row],[Std Adj Read]]&lt;=Table1[[#This Row],[High Tol]],"Pass","Fail"),IF(Table1[[#This Row],[DUT Adj Read]]&lt;=Table1[[#This Row],[High Tol]],"Pass","Fail")))</f>
        <v>Fail</v>
      </c>
      <c r="AH30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6" s="1" t="b">
        <v>0</v>
      </c>
      <c r="AN3006" s="1" t="b">
        <v>0</v>
      </c>
      <c r="AO3006" s="1" t="b">
        <v>0</v>
      </c>
    </row>
    <row r="3007" spans="1:41" x14ac:dyDescent="0.25">
      <c r="A3007" s="10"/>
      <c r="B3007" s="10"/>
      <c r="C3007" s="10"/>
      <c r="D3007" s="10"/>
      <c r="E3007" s="10"/>
      <c r="F3007" s="10"/>
      <c r="G3007" s="10"/>
      <c r="H3007" s="10"/>
      <c r="I3007" s="1" t="str">
        <f t="shared" ref="I3007" si="141">IF($I$10="","",$I$10)</f>
        <v/>
      </c>
      <c r="J3007" s="1" t="s">
        <v>35</v>
      </c>
      <c r="K3007" s="1" t="str">
        <f t="shared" ref="K3007" si="142">IF($K$10="","",$K$10)</f>
        <v/>
      </c>
      <c r="L3007" s="1" t="str">
        <f t="shared" ref="L3007" si="143">IF($L$10="","",$L$10)</f>
        <v/>
      </c>
      <c r="M3007" s="1">
        <f>IF(OR(Table1[[#This Row],[Std Nom]]="",Table1[[#This Row],[Std Read]]=""),0,Table1[[#This Row],[Std Nom]]-Table1[[#This Row],[Std Read]])</f>
        <v>0</v>
      </c>
      <c r="N3007" s="1">
        <f>IF(Calculations!$F$5="ACCREDITED 17025 WITH UNCERTAINTIES",$N$10,0)</f>
        <v>0</v>
      </c>
      <c r="O3007" s="1" t="str">
        <f>IFERROR(Table1[[#This Row],[Std Nom]]-(_xlfn.XLOOKUP(Table1[[#This Row],[Manufacturer]]&amp;" "&amp;Table1[[#This Row],[Model]],Table13[MFR &amp; MDL],Table13[Tolerance % CW ],"")/100*Table1[[#This Row],[Std Nom]]),"")</f>
        <v/>
      </c>
      <c r="P3007" s="1" t="str">
        <f>IFERROR(Table1[[#This Row],[Std Nom]]+(_xlfn.XLOOKUP(Table1[[#This Row],[Manufacturer]]&amp;" "&amp;Table1[[#This Row],[Model]],Table13[MFR &amp; MDL],Table13[Tolerance % CW ],"")/100*Table1[[#This Row],[Std Nom]]),"")</f>
        <v/>
      </c>
      <c r="Q3007" s="1" t="e">
        <f>Table1[[#This Row],[High Tol]]-Table1[[#This Row],[Low Tol]]</f>
        <v>#VALUE!</v>
      </c>
      <c r="R3007" s="1">
        <f>2*Table1[[#This Row],[Std Error]]</f>
        <v>0</v>
      </c>
      <c r="S3007" s="1" t="str">
        <f>IF(Table1[[#This Row],[High Tol]]="","N/A",IFERROR(ABS(Table1[[#This Row],[Tol Span]]/Table1[[#This Row],[Error Span]]),"N/A"))</f>
        <v>N/A</v>
      </c>
      <c r="T3007" s="1" t="str">
        <f>IF(OR(Table1[[#This Row],[Low Tol]]="",Table1[[#This Row],[High Tol]]=""),"Needs Analysis",IF(Table1[[#This Row],[Ratio]]&gt;=4,"Not Significant",IF(Table1[[#This Row],[Ratio]]&gt;=2,"Semi-Significant","Significant")))</f>
        <v>Needs Analysis</v>
      </c>
      <c r="W3007" s="1">
        <f>IF(Table1[[#This Row],[Cal Type]]&lt;&gt;"ACCREDITED 17025 WITH UNCERTAINTIES",0,"")</f>
        <v>0</v>
      </c>
      <c r="X3007" s="1" t="str">
        <f>IF(Table1[[#This Row],[DUT Read]]="","N/A",Table1[[#This Row],[Std Error]]+Table1[[#This Row],[DUT Read]]+Table1[[#This Row],[DUT Ucty]])</f>
        <v>N/A</v>
      </c>
      <c r="Y3007" s="1" t="str">
        <f>IF(Table1[[#This Row],[Std Read]]="","N/A",Table1[[#This Row],[Std Read]]+Table1[[#This Row],[Std Ucty]])</f>
        <v>N/A</v>
      </c>
      <c r="Z30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7" s="1" t="str">
        <f>IF(Table1[[#This Row],[Spec Type]]="","N/A",Table1[[#This Row],[Spec Type]])</f>
        <v>±</v>
      </c>
      <c r="AC3007" s="1" t="str">
        <f>IF(Table1[[#This Row],[Spec Type2]]="N/A","N/A",IF(AND(Table1[[#This Row],[DUT Adj Read]]&gt;=Table1[[#This Row],[Low Tol]],Table1[[#This Row],[DUT Adj Read]]&lt;=Table1[[#This Row],[High Tol]]),"Pass","Fail"))</f>
        <v>Fail</v>
      </c>
      <c r="AD3007" s="1" t="str">
        <f>IF(AND(Table1[[#This Row],[Spec Type2]]="N/A",Table1[[#This Row],[DUT Adj Read]]="N/A",Table1[[#This Row],[Std Adj Read]]="N/A"),"N/A",IF(Table1[[#This Row],[DUT Adj Read]]="N/A",IF(Table1[[#This Row],[Std Adj Read]]&gt;Table1[[#This Row],[Low Tol]],"Pass","Fail"),IF(Table1[[#This Row],[DUT Adj Read]]&gt;Table1[[#This Row],[Low Tol]],"Pass","Fail")))</f>
        <v>Pass</v>
      </c>
      <c r="AE3007" s="1" t="str">
        <f>IF(AND(Table1[[#This Row],[Spec Type2]]="N/A",Table1[[#This Row],[DUT Adj Read]]="N/A",Table1[[#This Row],[Std Adj Read]]="N/A"),"N/A",IF(Table1[[#This Row],[DUT Adj Read]]="N/A",IF(Table1[[#This Row],[Std Adj Read]]&lt;Table1[[#This Row],[High Tol]],"Pass","Fail"),IF(Table1[[#This Row],[DUT Adj Read]]&lt;Table1[[#This Row],[High Tol]],"Pass","Fail")))</f>
        <v>Fail</v>
      </c>
      <c r="AF3007" s="1" t="str">
        <f>IF(AND(Table1[[#This Row],[Spec Type2]]="N/A",Table1[[#This Row],[DUT Adj Read]]="N/A",Table1[[#This Row],[Std Adj Read]]="N/A"),"N/A",IF(Table1[[#This Row],[DUT Adj Read]]="N/A",IF(Table1[[#This Row],[Std Adj Read]]&gt;=Table1[[#This Row],[Low Tol]],"Pass","Fail"),IF(Table1[[#This Row],[DUT Adj Read]]&gt;=Table1[[#This Row],[Low Tol]],"Pass","Fail")))</f>
        <v>Pass</v>
      </c>
      <c r="AG3007" s="1" t="str">
        <f>IF(AND(Table1[[#This Row],[Spec Type2]]="N/A",Table1[[#This Row],[DUT Adj Read]]="N/A",Table1[[#This Row],[Std Adj Read]]="N/A"),"N/A",IF(Table1[[#This Row],[DUT Adj Read]]="N/A",IF(Table1[[#This Row],[Std Adj Read]]&lt;=Table1[[#This Row],[High Tol]],"Pass","Fail"),IF(Table1[[#This Row],[DUT Adj Read]]&lt;=Table1[[#This Row],[High Tol]],"Pass","Fail")))</f>
        <v>Fail</v>
      </c>
      <c r="AH30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7" s="1" t="b">
        <v>0</v>
      </c>
      <c r="AN3007" s="1" t="b">
        <v>0</v>
      </c>
      <c r="AO3007" s="1" t="b">
        <v>0</v>
      </c>
    </row>
    <row r="3012" spans="1:17" ht="15.75" thickBot="1" x14ac:dyDescent="0.3"/>
    <row r="3013" spans="1:17" ht="16.5" thickBot="1" x14ac:dyDescent="0.3">
      <c r="D3013" s="43" t="s">
        <v>76</v>
      </c>
      <c r="E3013" s="44"/>
      <c r="F3013" s="17"/>
      <c r="G3013" s="18" t="s">
        <v>77</v>
      </c>
    </row>
    <row r="3014" spans="1:17" ht="16.5" thickBot="1" x14ac:dyDescent="0.3">
      <c r="D3014" s="43" t="s">
        <v>78</v>
      </c>
      <c r="E3014" s="44"/>
      <c r="F3014" s="22" t="str">
        <f>IF(F3013="","",SUBTOTAL(103,$A$10:$A$3007))</f>
        <v/>
      </c>
      <c r="G3014" s="18" t="s">
        <v>77</v>
      </c>
    </row>
    <row r="3015" spans="1:17" ht="19.5" thickBot="1" x14ac:dyDescent="0.35">
      <c r="D3015" s="65" t="s">
        <v>71</v>
      </c>
      <c r="E3015" s="66"/>
      <c r="F3015" s="19" t="str">
        <f>IF(F3013="","",(F3014/F3013)*100)</f>
        <v/>
      </c>
      <c r="G3015" s="16" t="s">
        <v>72</v>
      </c>
    </row>
    <row r="3016" spans="1:17" ht="24.75" customHeight="1" x14ac:dyDescent="0.25">
      <c r="A3016" s="48" t="s">
        <v>118</v>
      </c>
      <c r="B3016" s="49"/>
      <c r="C3016" s="49"/>
      <c r="D3016" s="49"/>
      <c r="E3016" s="49"/>
      <c r="F3016" s="49"/>
      <c r="G3016" s="49"/>
      <c r="H3016" s="49"/>
      <c r="I3016" s="49"/>
      <c r="J3016" s="49"/>
      <c r="K3016" s="49"/>
      <c r="L3016" s="49"/>
      <c r="M3016" s="49"/>
      <c r="N3016" s="49"/>
      <c r="O3016" s="49"/>
      <c r="P3016" s="49"/>
      <c r="Q3016" s="50"/>
    </row>
    <row r="3017" spans="1:17" ht="24.75" customHeight="1" x14ac:dyDescent="0.25">
      <c r="A3017" s="51"/>
      <c r="B3017" s="52"/>
      <c r="C3017" s="52"/>
      <c r="D3017" s="52"/>
      <c r="E3017" s="52"/>
      <c r="F3017" s="52"/>
      <c r="G3017" s="52"/>
      <c r="H3017" s="52"/>
      <c r="I3017" s="52"/>
      <c r="J3017" s="52"/>
      <c r="K3017" s="52"/>
      <c r="L3017" s="52"/>
      <c r="M3017" s="52"/>
      <c r="N3017" s="52"/>
      <c r="O3017" s="52"/>
      <c r="P3017" s="52"/>
      <c r="Q3017" s="53"/>
    </row>
    <row r="3018" spans="1:17" ht="24.75" customHeight="1" x14ac:dyDescent="0.25">
      <c r="A3018" s="51"/>
      <c r="B3018" s="52"/>
      <c r="C3018" s="52"/>
      <c r="D3018" s="52"/>
      <c r="E3018" s="52"/>
      <c r="F3018" s="52"/>
      <c r="G3018" s="52"/>
      <c r="H3018" s="52"/>
      <c r="I3018" s="52"/>
      <c r="J3018" s="52"/>
      <c r="K3018" s="52"/>
      <c r="L3018" s="52"/>
      <c r="M3018" s="52"/>
      <c r="N3018" s="52"/>
      <c r="O3018" s="52"/>
      <c r="P3018" s="52"/>
      <c r="Q3018" s="53"/>
    </row>
    <row r="3019" spans="1:17" ht="24.75" customHeight="1" thickBot="1" x14ac:dyDescent="0.3">
      <c r="A3019" s="54"/>
      <c r="B3019" s="55"/>
      <c r="C3019" s="55"/>
      <c r="D3019" s="55"/>
      <c r="E3019" s="55"/>
      <c r="F3019" s="55"/>
      <c r="G3019" s="55"/>
      <c r="H3019" s="55"/>
      <c r="I3019" s="55"/>
      <c r="J3019" s="55"/>
      <c r="K3019" s="55"/>
      <c r="L3019" s="55"/>
      <c r="M3019" s="55"/>
      <c r="N3019" s="55"/>
      <c r="O3019" s="55"/>
      <c r="P3019" s="55"/>
      <c r="Q3019" s="56"/>
    </row>
  </sheetData>
  <mergeCells count="20">
    <mergeCell ref="AH8:AI8"/>
    <mergeCell ref="AB8:AG8"/>
    <mergeCell ref="A6:I6"/>
    <mergeCell ref="A7:I7"/>
    <mergeCell ref="D3013:E3013"/>
    <mergeCell ref="K5:AI5"/>
    <mergeCell ref="K6:AI6"/>
    <mergeCell ref="K7:AI7"/>
    <mergeCell ref="A3016:Q3019"/>
    <mergeCell ref="A1:C5"/>
    <mergeCell ref="A8:J8"/>
    <mergeCell ref="K8:N8"/>
    <mergeCell ref="O8:T8"/>
    <mergeCell ref="K1:V1"/>
    <mergeCell ref="U8:Z8"/>
    <mergeCell ref="D3015:E3015"/>
    <mergeCell ref="D3014:E3014"/>
    <mergeCell ref="K2:AI2"/>
    <mergeCell ref="K3:AI3"/>
    <mergeCell ref="K4:AI4"/>
  </mergeCells>
  <conditionalFormatting sqref="F1:F5">
    <cfRule type="containsBlanks" dxfId="58" priority="23">
      <formula>LEN(TRIM(F1))=0</formula>
    </cfRule>
  </conditionalFormatting>
  <conditionalFormatting sqref="N10:P3007 U10:W3007 AA10:AA3007 I10:L3007">
    <cfRule type="containsBlanks" dxfId="57" priority="9">
      <formula>LEN(TRIM(I10))=0</formula>
    </cfRule>
  </conditionalFormatting>
  <conditionalFormatting sqref="A10:AI3007">
    <cfRule type="expression" dxfId="56" priority="1" stopIfTrue="1">
      <formula>$AH10="Determination required."</formula>
    </cfRule>
    <cfRule type="expression" dxfId="55" priority="2" stopIfTrue="1">
      <formula>$AH10="No further action required."</formula>
    </cfRule>
    <cfRule type="expression" dxfId="54" priority="7" stopIfTrue="1">
      <formula>$AH10="Fails FI, determination required."</formula>
    </cfRule>
    <cfRule type="expression" dxfId="53" priority="8" stopIfTrue="1">
      <formula>$T10="Not Significant"</formula>
    </cfRule>
    <cfRule type="expression" dxfId="52" priority="10" stopIfTrue="1">
      <formula>$T10="Semi-Significant"</formula>
    </cfRule>
    <cfRule type="expression" dxfId="51" priority="15" stopIfTrue="1">
      <formula>$T10="Significant"</formula>
    </cfRule>
  </conditionalFormatting>
  <dataValidations count="8">
    <dataValidation type="list" errorStyle="information" showInputMessage="1" errorTitle="Incorrect Input" error="Please Select from the Drop Down." promptTitle="Select from the Drop Down" sqref="J10:J3007" xr:uid="{00000000-0002-0000-0000-000000000000}">
      <formula1>$AK$9:$AK$14</formula1>
    </dataValidation>
    <dataValidation type="list" showInputMessage="1" showErrorMessage="1" sqref="AH10:AH3007" xr:uid="{00000000-0002-0000-0000-000001000000}">
      <formula1>$AK$16:$AK$21</formula1>
    </dataValidation>
    <dataValidation type="list" allowBlank="1" showInputMessage="1" showErrorMessage="1" sqref="F5" xr:uid="{A8F91188-EB81-4024-9000-BD77ADCF03C1}">
      <formula1>"NORMAL, ACCREDITED 17025 WITH UNCERTAINTIES"</formula1>
    </dataValidation>
    <dataValidation type="list" allowBlank="1" showInputMessage="1" showErrorMessage="1" sqref="AA10:AA3007" xr:uid="{98030DFD-8826-431C-A7BF-CDEC1B7ED4ED}">
      <formula1>"Pass, Fail"</formula1>
    </dataValidation>
    <dataValidation type="decimal" allowBlank="1" showInputMessage="1" showErrorMessage="1" errorTitle="Input Error" error="Input Numerical Data Only" sqref="K10:L3007" xr:uid="{D915FB93-5538-429B-8B99-F4D05C1DA1AF}">
      <formula1>-999999999999</formula1>
      <formula2>999999999999</formula2>
    </dataValidation>
    <dataValidation type="decimal" allowBlank="1" showErrorMessage="1" errorTitle="Numerical Data Only" error="Please input numerical data only." sqref="N10:N3007" xr:uid="{701C075F-430B-4D01-A469-272DA9EFE3B7}">
      <formula1>-999999999999</formula1>
      <formula2>999999999999</formula2>
    </dataValidation>
    <dataValidation type="decimal" allowBlank="1" showInputMessage="1" showErrorMessage="1" errorTitle="Input Numerical Data Only" error="Only numbers go in these cells." sqref="U10:V3007" xr:uid="{CC1C1A7F-0C55-4319-98A0-24C634F4AF91}">
      <formula1>-999999999999</formula1>
      <formula2>999999999999</formula2>
    </dataValidation>
    <dataValidation allowBlank="1" showErrorMessage="1" errorTitle="Numerical Data Only" error="Please input numerical data only." sqref="O10:P3007" xr:uid="{CA60ADC3-13DB-429F-B226-E09DAEC23483}"/>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A_HeaderInputPull">
                <anchor moveWithCells="1" sizeWithCells="1">
                  <from>
                    <xdr:col>7</xdr:col>
                    <xdr:colOff>0</xdr:colOff>
                    <xdr:row>0</xdr:row>
                    <xdr:rowOff>19050</xdr:rowOff>
                  </from>
                  <to>
                    <xdr:col>7</xdr:col>
                    <xdr:colOff>866775</xdr:colOff>
                    <xdr:row>5</xdr:row>
                    <xdr:rowOff>9525</xdr:rowOff>
                  </to>
                </anchor>
              </controlPr>
            </control>
          </mc:Choice>
        </mc:AlternateContent>
        <mc:AlternateContent xmlns:mc="http://schemas.openxmlformats.org/markup-compatibility/2006">
          <mc:Choice Requires="x14">
            <control shapeId="3083" r:id="rId5" name="Button 11">
              <controlPr defaultSize="0" print="0" autoFill="0" autoPict="0" macro="[0]!B_AddCalcParameter">
                <anchor moveWithCells="1" sizeWithCells="1">
                  <from>
                    <xdr:col>8</xdr:col>
                    <xdr:colOff>266700</xdr:colOff>
                    <xdr:row>0</xdr:row>
                    <xdr:rowOff>19050</xdr:rowOff>
                  </from>
                  <to>
                    <xdr:col>9</xdr:col>
                    <xdr:colOff>647700</xdr:colOff>
                    <xdr:row>5</xdr:row>
                    <xdr:rowOff>19050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
  <sheetViews>
    <sheetView workbookViewId="0">
      <selection activeCell="B28" sqref="B28"/>
    </sheetView>
  </sheetViews>
  <sheetFormatPr defaultColWidth="20.28515625" defaultRowHeight="15"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F26"/>
  <sheetViews>
    <sheetView workbookViewId="0">
      <selection activeCell="D28" sqref="D28"/>
    </sheetView>
  </sheetViews>
  <sheetFormatPr defaultRowHeight="15" x14ac:dyDescent="0.25"/>
  <cols>
    <col min="1" max="2" width="5" customWidth="1"/>
    <col min="3" max="3" width="7.5703125" style="1" customWidth="1"/>
    <col min="4" max="4" width="236.7109375" customWidth="1"/>
  </cols>
  <sheetData>
    <row r="1" spans="1:4" ht="40.5" customHeight="1" x14ac:dyDescent="0.25">
      <c r="D1" s="20" t="s">
        <v>79</v>
      </c>
    </row>
    <row r="2" spans="1:4" ht="18.75" x14ac:dyDescent="0.3">
      <c r="A2" s="13">
        <v>1</v>
      </c>
      <c r="B2" s="45" t="s">
        <v>131</v>
      </c>
      <c r="C2" s="45"/>
      <c r="D2" s="45"/>
    </row>
    <row r="3" spans="1:4" ht="18.75" x14ac:dyDescent="0.3">
      <c r="A3" s="13">
        <v>2</v>
      </c>
      <c r="B3" s="45" t="s">
        <v>87</v>
      </c>
      <c r="C3" s="45"/>
      <c r="D3" s="45"/>
    </row>
    <row r="4" spans="1:4" ht="18.75" x14ac:dyDescent="0.3">
      <c r="A4" s="13">
        <v>3</v>
      </c>
      <c r="B4" s="45" t="s">
        <v>132</v>
      </c>
      <c r="C4" s="45"/>
      <c r="D4" s="45"/>
    </row>
    <row r="5" spans="1:4" ht="18.75" x14ac:dyDescent="0.3">
      <c r="A5" s="13">
        <v>4</v>
      </c>
      <c r="B5" s="45" t="s">
        <v>101</v>
      </c>
      <c r="C5" s="45"/>
      <c r="D5" s="45"/>
    </row>
    <row r="6" spans="1:4" ht="18.75" x14ac:dyDescent="0.3">
      <c r="A6" s="13">
        <v>5</v>
      </c>
      <c r="B6" s="45" t="s">
        <v>100</v>
      </c>
      <c r="C6" s="45"/>
      <c r="D6" s="45"/>
    </row>
    <row r="7" spans="1:4" ht="18.75" x14ac:dyDescent="0.3">
      <c r="A7" s="13">
        <v>6</v>
      </c>
      <c r="B7" s="45" t="s">
        <v>133</v>
      </c>
      <c r="C7" s="45"/>
      <c r="D7" s="45"/>
    </row>
    <row r="8" spans="1:4" ht="18.75" x14ac:dyDescent="0.3">
      <c r="A8" s="13"/>
      <c r="B8" s="13" t="s">
        <v>88</v>
      </c>
      <c r="C8" s="45" t="s">
        <v>105</v>
      </c>
      <c r="D8" s="45"/>
    </row>
    <row r="9" spans="1:4" ht="18.75" x14ac:dyDescent="0.3">
      <c r="A9" s="13"/>
      <c r="B9" s="13" t="s">
        <v>89</v>
      </c>
      <c r="C9" s="45" t="s">
        <v>134</v>
      </c>
      <c r="D9" s="45"/>
    </row>
    <row r="10" spans="1:4" ht="18.75" x14ac:dyDescent="0.3">
      <c r="A10" s="13"/>
      <c r="B10" s="13" t="s">
        <v>90</v>
      </c>
      <c r="C10" s="45" t="s">
        <v>135</v>
      </c>
      <c r="D10" s="45"/>
    </row>
    <row r="11" spans="1:4" ht="18.75" x14ac:dyDescent="0.3">
      <c r="A11" s="13"/>
      <c r="B11" s="13" t="s">
        <v>91</v>
      </c>
      <c r="C11" s="45" t="s">
        <v>106</v>
      </c>
      <c r="D11" s="45"/>
    </row>
    <row r="12" spans="1:4" ht="18.75" x14ac:dyDescent="0.3">
      <c r="A12" s="13"/>
      <c r="B12" s="13"/>
      <c r="C12" s="13" t="s">
        <v>92</v>
      </c>
      <c r="D12" t="s">
        <v>102</v>
      </c>
    </row>
    <row r="13" spans="1:4" ht="18.75" x14ac:dyDescent="0.3">
      <c r="A13" s="13"/>
      <c r="B13" s="13"/>
      <c r="C13" s="13" t="s">
        <v>93</v>
      </c>
      <c r="D13" s="23" t="s">
        <v>114</v>
      </c>
    </row>
    <row r="14" spans="1:4" ht="30.75" x14ac:dyDescent="0.3">
      <c r="A14" s="13"/>
      <c r="B14" s="13"/>
      <c r="C14" s="24" t="s">
        <v>94</v>
      </c>
      <c r="D14" s="23" t="s">
        <v>136</v>
      </c>
    </row>
    <row r="15" spans="1:4" ht="18.75" x14ac:dyDescent="0.3">
      <c r="B15" s="13" t="s">
        <v>95</v>
      </c>
      <c r="C15" s="45" t="s">
        <v>137</v>
      </c>
      <c r="D15" s="45"/>
    </row>
    <row r="16" spans="1:4" ht="18.75" x14ac:dyDescent="0.3">
      <c r="B16" s="13" t="s">
        <v>96</v>
      </c>
      <c r="C16" s="45" t="s">
        <v>138</v>
      </c>
      <c r="D16" s="45"/>
    </row>
    <row r="17" spans="1:6" ht="18.75" x14ac:dyDescent="0.3">
      <c r="B17" s="13" t="s">
        <v>97</v>
      </c>
      <c r="C17" s="45" t="s">
        <v>139</v>
      </c>
      <c r="D17" s="45"/>
    </row>
    <row r="18" spans="1:6" ht="18.75" x14ac:dyDescent="0.3">
      <c r="B18" s="13" t="s">
        <v>98</v>
      </c>
      <c r="C18" s="45" t="s">
        <v>140</v>
      </c>
      <c r="D18" s="45"/>
      <c r="E18" s="45"/>
      <c r="F18" s="45"/>
    </row>
    <row r="19" spans="1:6" ht="29.25" customHeight="1" x14ac:dyDescent="0.25">
      <c r="B19" s="24" t="s">
        <v>99</v>
      </c>
      <c r="C19" s="68" t="s">
        <v>107</v>
      </c>
      <c r="D19" s="68"/>
    </row>
    <row r="20" spans="1:6" ht="33.75" customHeight="1" x14ac:dyDescent="0.25">
      <c r="B20" s="24" t="s">
        <v>103</v>
      </c>
      <c r="C20" s="68" t="s">
        <v>109</v>
      </c>
      <c r="D20" s="68"/>
    </row>
    <row r="21" spans="1:6" ht="48" customHeight="1" x14ac:dyDescent="0.25">
      <c r="B21" s="24"/>
      <c r="C21" s="24" t="s">
        <v>104</v>
      </c>
      <c r="D21" s="25" t="s">
        <v>110</v>
      </c>
    </row>
    <row r="22" spans="1:6" ht="18.75" x14ac:dyDescent="0.3">
      <c r="A22" s="13">
        <v>7</v>
      </c>
      <c r="B22" s="45" t="s">
        <v>115</v>
      </c>
      <c r="C22" s="45"/>
      <c r="D22" s="45"/>
    </row>
    <row r="24" spans="1:6" ht="18.75" x14ac:dyDescent="0.3">
      <c r="A24" s="35"/>
      <c r="B24" s="35"/>
      <c r="C24" s="35"/>
    </row>
    <row r="26" spans="1:6" x14ac:dyDescent="0.25">
      <c r="C26"/>
    </row>
  </sheetData>
  <mergeCells count="17">
    <mergeCell ref="C16:D16"/>
    <mergeCell ref="C18:F18"/>
    <mergeCell ref="C17:D17"/>
    <mergeCell ref="C20:D20"/>
    <mergeCell ref="B22:D22"/>
    <mergeCell ref="B2:D2"/>
    <mergeCell ref="C19:D19"/>
    <mergeCell ref="C8:D8"/>
    <mergeCell ref="C9:D9"/>
    <mergeCell ref="C10:D10"/>
    <mergeCell ref="C11:D11"/>
    <mergeCell ref="B3:D3"/>
    <mergeCell ref="B4:D4"/>
    <mergeCell ref="B5:D5"/>
    <mergeCell ref="B6:D6"/>
    <mergeCell ref="B7:D7"/>
    <mergeCell ref="C15:D1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F71A9-8465-496E-9429-9B9DE2EF40BD}">
  <sheetPr codeName="Sheet5"/>
  <dimension ref="A1:G3893"/>
  <sheetViews>
    <sheetView workbookViewId="0">
      <pane ySplit="1" topLeftCell="A2" activePane="bottomLeft" state="frozen"/>
      <selection pane="bottomLeft" activeCell="G1" sqref="G1"/>
    </sheetView>
  </sheetViews>
  <sheetFormatPr defaultRowHeight="15" x14ac:dyDescent="0.25"/>
  <cols>
    <col min="1" max="2" width="16.5703125" style="10" customWidth="1"/>
    <col min="3" max="3" width="22" customWidth="1"/>
    <col min="4" max="4" width="11.7109375" style="1" customWidth="1"/>
    <col min="5" max="5" width="11.140625" style="1" customWidth="1"/>
    <col min="6" max="6" width="16.5703125" style="38" customWidth="1"/>
    <col min="7" max="7" width="16.5703125" customWidth="1"/>
  </cols>
  <sheetData>
    <row r="1" spans="1:7" ht="30" customHeight="1" x14ac:dyDescent="0.25">
      <c r="A1" s="39" t="s">
        <v>40</v>
      </c>
      <c r="B1" s="39" t="s">
        <v>2</v>
      </c>
      <c r="C1" s="39" t="s">
        <v>3602</v>
      </c>
      <c r="D1" s="40" t="s">
        <v>3601</v>
      </c>
      <c r="E1" s="40" t="s">
        <v>3600</v>
      </c>
      <c r="F1" s="41" t="s">
        <v>3599</v>
      </c>
      <c r="G1" s="39" t="s">
        <v>3598</v>
      </c>
    </row>
    <row r="2" spans="1:7" x14ac:dyDescent="0.25">
      <c r="A2" s="10" t="s">
        <v>3589</v>
      </c>
      <c r="B2" s="10" t="s">
        <v>3597</v>
      </c>
      <c r="C2" t="str">
        <f>Table13[[#This Row],[Manufacturer]]&amp;" "&amp;Table13[[#This Row],[Model]]</f>
        <v>AC Delco ARM302-4S</v>
      </c>
      <c r="D2" s="1">
        <v>1.5</v>
      </c>
      <c r="E2" s="1">
        <v>2.5</v>
      </c>
      <c r="F2" s="38">
        <v>250.7</v>
      </c>
      <c r="G2" t="s">
        <v>166</v>
      </c>
    </row>
    <row r="3" spans="1:7" x14ac:dyDescent="0.25">
      <c r="A3" s="10" t="s">
        <v>3589</v>
      </c>
      <c r="B3" s="10" t="s">
        <v>3596</v>
      </c>
      <c r="C3" t="str">
        <f>Table13[[#This Row],[Manufacturer]]&amp;" "&amp;Table13[[#This Row],[Model]]</f>
        <v>AC Delco ARM325-2I</v>
      </c>
      <c r="D3" s="1">
        <v>2</v>
      </c>
      <c r="E3" s="1">
        <v>3</v>
      </c>
      <c r="F3" s="38">
        <v>22</v>
      </c>
      <c r="G3" t="s">
        <v>166</v>
      </c>
    </row>
    <row r="4" spans="1:7" x14ac:dyDescent="0.25">
      <c r="A4" s="10" t="s">
        <v>3589</v>
      </c>
      <c r="B4" s="10" t="s">
        <v>3595</v>
      </c>
      <c r="C4" t="str">
        <f>Table13[[#This Row],[Manufacturer]]&amp;" "&amp;Table13[[#This Row],[Model]]</f>
        <v>AC Delco ARM327-3I</v>
      </c>
      <c r="D4" s="1">
        <v>2</v>
      </c>
      <c r="E4" s="1">
        <v>3</v>
      </c>
      <c r="F4" s="38">
        <v>99.5</v>
      </c>
      <c r="G4" t="s">
        <v>166</v>
      </c>
    </row>
    <row r="5" spans="1:7" x14ac:dyDescent="0.25">
      <c r="A5" s="10" t="s">
        <v>3589</v>
      </c>
      <c r="B5" s="10" t="s">
        <v>3594</v>
      </c>
      <c r="C5" t="str">
        <f>Table13[[#This Row],[Manufacturer]]&amp;" "&amp;Table13[[#This Row],[Model]]</f>
        <v>AC Delco ARM329-4I</v>
      </c>
      <c r="D5" s="1">
        <v>2</v>
      </c>
      <c r="E5" s="1">
        <v>3</v>
      </c>
      <c r="F5" s="38">
        <v>147.5</v>
      </c>
      <c r="G5" t="s">
        <v>166</v>
      </c>
    </row>
    <row r="6" spans="1:7" x14ac:dyDescent="0.25">
      <c r="A6" s="10" t="s">
        <v>3589</v>
      </c>
      <c r="B6" s="10" t="s">
        <v>3593</v>
      </c>
      <c r="C6" t="str">
        <f>Table13[[#This Row],[Manufacturer]]&amp;" "&amp;Table13[[#This Row],[Model]]</f>
        <v>AC Delco ARM331-2I</v>
      </c>
      <c r="D6" s="1">
        <v>3</v>
      </c>
      <c r="E6" s="1">
        <v>4</v>
      </c>
      <c r="F6" s="38">
        <v>18.5</v>
      </c>
      <c r="G6" t="s">
        <v>166</v>
      </c>
    </row>
    <row r="7" spans="1:7" x14ac:dyDescent="0.25">
      <c r="A7" s="10" t="s">
        <v>3589</v>
      </c>
      <c r="B7" s="10" t="s">
        <v>3592</v>
      </c>
      <c r="C7" t="str">
        <f>Table13[[#This Row],[Manufacturer]]&amp;" "&amp;Table13[[#This Row],[Model]]</f>
        <v>AC Delco ARM601-3</v>
      </c>
      <c r="D7" s="1">
        <v>2</v>
      </c>
      <c r="E7" s="1">
        <v>3</v>
      </c>
      <c r="F7" s="38">
        <v>37</v>
      </c>
      <c r="G7" t="s">
        <v>166</v>
      </c>
    </row>
    <row r="8" spans="1:7" x14ac:dyDescent="0.25">
      <c r="A8" s="10" t="s">
        <v>3589</v>
      </c>
      <c r="B8" s="10" t="s">
        <v>3591</v>
      </c>
      <c r="C8" t="str">
        <f>Table13[[#This Row],[Manufacturer]]&amp;" "&amp;Table13[[#This Row],[Model]]</f>
        <v>AC Delco ARM601-4</v>
      </c>
      <c r="D8" s="1">
        <v>2</v>
      </c>
      <c r="E8" s="1">
        <v>3</v>
      </c>
      <c r="F8" s="38">
        <v>150</v>
      </c>
      <c r="G8" t="s">
        <v>164</v>
      </c>
    </row>
    <row r="9" spans="1:7" x14ac:dyDescent="0.25">
      <c r="A9" s="10" t="s">
        <v>3589</v>
      </c>
      <c r="B9" s="10" t="s">
        <v>3590</v>
      </c>
      <c r="C9" t="str">
        <f>Table13[[#This Row],[Manufacturer]]&amp;" "&amp;Table13[[#This Row],[Model]]</f>
        <v>AC Delco ARM602-3</v>
      </c>
      <c r="D9" s="1">
        <v>2</v>
      </c>
      <c r="E9" s="1">
        <v>3</v>
      </c>
      <c r="F9" s="38">
        <v>59</v>
      </c>
      <c r="G9" t="s">
        <v>166</v>
      </c>
    </row>
    <row r="10" spans="1:7" x14ac:dyDescent="0.25">
      <c r="A10" s="10" t="s">
        <v>3589</v>
      </c>
      <c r="B10" s="10" t="s">
        <v>3588</v>
      </c>
      <c r="C10" t="str">
        <f>Table13[[#This Row],[Manufacturer]]&amp;" "&amp;Table13[[#This Row],[Model]]</f>
        <v>AC Delco ARM602-4A</v>
      </c>
      <c r="D10" s="1">
        <v>1.5</v>
      </c>
      <c r="E10" s="1">
        <v>2.5</v>
      </c>
      <c r="F10" s="38">
        <v>250</v>
      </c>
      <c r="G10" t="s">
        <v>166</v>
      </c>
    </row>
    <row r="11" spans="1:7" x14ac:dyDescent="0.25">
      <c r="A11" s="10" t="s">
        <v>3584</v>
      </c>
      <c r="B11" s="10" t="s">
        <v>3587</v>
      </c>
      <c r="C11" t="str">
        <f>Table13[[#This Row],[Manufacturer]]&amp;" "&amp;Table13[[#This Row],[Model]]</f>
        <v>Agilent 8710-1764</v>
      </c>
      <c r="D11" s="1">
        <v>10</v>
      </c>
      <c r="E11" s="1" t="s">
        <v>169</v>
      </c>
      <c r="F11" s="38">
        <v>8</v>
      </c>
      <c r="G11" t="s">
        <v>164</v>
      </c>
    </row>
    <row r="12" spans="1:7" x14ac:dyDescent="0.25">
      <c r="A12" s="10" t="s">
        <v>3584</v>
      </c>
      <c r="B12" s="10" t="s">
        <v>3586</v>
      </c>
      <c r="C12" t="str">
        <f>Table13[[#This Row],[Manufacturer]]&amp;" "&amp;Table13[[#This Row],[Model]]</f>
        <v>Agilent 8710-1765</v>
      </c>
      <c r="D12" s="1">
        <v>10</v>
      </c>
      <c r="E12" s="1" t="s">
        <v>169</v>
      </c>
      <c r="F12" s="38">
        <v>8</v>
      </c>
      <c r="G12" t="s">
        <v>164</v>
      </c>
    </row>
    <row r="13" spans="1:7" x14ac:dyDescent="0.25">
      <c r="A13" s="10" t="s">
        <v>3584</v>
      </c>
      <c r="B13" s="10" t="s">
        <v>3585</v>
      </c>
      <c r="C13" t="str">
        <f>Table13[[#This Row],[Manufacturer]]&amp;" "&amp;Table13[[#This Row],[Model]]</f>
        <v>Agilent 8710-1766</v>
      </c>
      <c r="D13" s="1">
        <v>10</v>
      </c>
      <c r="E13" s="1" t="s">
        <v>169</v>
      </c>
      <c r="F13" s="38">
        <v>12</v>
      </c>
      <c r="G13" t="s">
        <v>164</v>
      </c>
    </row>
    <row r="14" spans="1:7" x14ac:dyDescent="0.25">
      <c r="A14" s="10" t="s">
        <v>3584</v>
      </c>
      <c r="B14" s="10" t="s">
        <v>3583</v>
      </c>
      <c r="C14" t="str">
        <f>Table13[[#This Row],[Manufacturer]]&amp;" "&amp;Table13[[#This Row],[Model]]</f>
        <v>Agilent 8710-1935</v>
      </c>
      <c r="D14" s="1">
        <v>5</v>
      </c>
      <c r="E14" s="1" t="s">
        <v>169</v>
      </c>
      <c r="F14" s="38">
        <v>5</v>
      </c>
      <c r="G14" t="s">
        <v>184</v>
      </c>
    </row>
    <row r="15" spans="1:7" x14ac:dyDescent="0.25">
      <c r="A15" s="10" t="s">
        <v>3582</v>
      </c>
      <c r="B15" s="10" t="s">
        <v>3581</v>
      </c>
      <c r="C15" t="str">
        <f>Table13[[#This Row],[Manufacturer]]&amp;" "&amp;Table13[[#This Row],[Model]]</f>
        <v>Agilent(HP) T5969</v>
      </c>
      <c r="D15" s="1">
        <v>4</v>
      </c>
      <c r="E15" s="1">
        <v>4</v>
      </c>
      <c r="F15" s="38">
        <v>8</v>
      </c>
      <c r="G15" t="s">
        <v>164</v>
      </c>
    </row>
    <row r="16" spans="1:7" x14ac:dyDescent="0.25">
      <c r="A16" s="10" t="s">
        <v>3572</v>
      </c>
      <c r="B16" s="10" t="s">
        <v>3580</v>
      </c>
      <c r="C16" t="str">
        <f>Table13[[#This Row],[Manufacturer]]&amp;" "&amp;Table13[[#This Row],[Model]]</f>
        <v>APCO Mossberg A25</v>
      </c>
      <c r="D16" s="1">
        <v>3</v>
      </c>
      <c r="E16" s="1">
        <v>3</v>
      </c>
      <c r="F16" s="38">
        <v>25</v>
      </c>
      <c r="G16" t="s">
        <v>172</v>
      </c>
    </row>
    <row r="17" spans="1:7" x14ac:dyDescent="0.25">
      <c r="A17" s="10" t="s">
        <v>3572</v>
      </c>
      <c r="B17" s="10" t="s">
        <v>3579</v>
      </c>
      <c r="C17" t="str">
        <f>Table13[[#This Row],[Manufacturer]]&amp;" "&amp;Table13[[#This Row],[Model]]</f>
        <v>APCO Mossberg A50</v>
      </c>
      <c r="D17" s="1">
        <v>3</v>
      </c>
      <c r="E17" s="1">
        <v>3</v>
      </c>
      <c r="F17" s="38">
        <v>50</v>
      </c>
      <c r="G17" t="s">
        <v>172</v>
      </c>
    </row>
    <row r="18" spans="1:7" x14ac:dyDescent="0.25">
      <c r="A18" s="10" t="s">
        <v>3572</v>
      </c>
      <c r="B18" s="10" t="s">
        <v>3578</v>
      </c>
      <c r="C18" t="str">
        <f>Table13[[#This Row],[Manufacturer]]&amp;" "&amp;Table13[[#This Row],[Model]]</f>
        <v>APCO Mossberg A100</v>
      </c>
      <c r="D18" s="1">
        <v>3</v>
      </c>
      <c r="E18" s="1">
        <v>3</v>
      </c>
      <c r="F18" s="38">
        <v>100</v>
      </c>
      <c r="G18" t="s">
        <v>172</v>
      </c>
    </row>
    <row r="19" spans="1:7" x14ac:dyDescent="0.25">
      <c r="A19" s="10" t="s">
        <v>3572</v>
      </c>
      <c r="B19" s="10" t="s">
        <v>3577</v>
      </c>
      <c r="C19" t="str">
        <f>Table13[[#This Row],[Manufacturer]]&amp;" "&amp;Table13[[#This Row],[Model]]</f>
        <v>APCO Mossberg B6.25</v>
      </c>
      <c r="D19" s="1">
        <v>3</v>
      </c>
      <c r="E19" s="1">
        <v>3</v>
      </c>
      <c r="F19" s="38">
        <v>6.25</v>
      </c>
      <c r="G19" t="s">
        <v>164</v>
      </c>
    </row>
    <row r="20" spans="1:7" x14ac:dyDescent="0.25">
      <c r="A20" s="10" t="s">
        <v>3572</v>
      </c>
      <c r="B20" s="10" t="s">
        <v>3576</v>
      </c>
      <c r="C20" t="str">
        <f>Table13[[#This Row],[Manufacturer]]&amp;" "&amp;Table13[[#This Row],[Model]]</f>
        <v>APCO Mossberg B12.5</v>
      </c>
      <c r="D20" s="1">
        <v>3</v>
      </c>
      <c r="E20" s="1">
        <v>3</v>
      </c>
      <c r="F20" s="38">
        <v>12.5</v>
      </c>
      <c r="G20" t="s">
        <v>164</v>
      </c>
    </row>
    <row r="21" spans="1:7" x14ac:dyDescent="0.25">
      <c r="A21" s="10" t="s">
        <v>3572</v>
      </c>
      <c r="B21" s="10" t="s">
        <v>3575</v>
      </c>
      <c r="C21" t="str">
        <f>Table13[[#This Row],[Manufacturer]]&amp;" "&amp;Table13[[#This Row],[Model]]</f>
        <v>APCO Mossberg B25</v>
      </c>
      <c r="D21" s="1">
        <v>3</v>
      </c>
      <c r="E21" s="1">
        <v>3</v>
      </c>
      <c r="F21" s="38">
        <v>25</v>
      </c>
      <c r="G21" t="s">
        <v>164</v>
      </c>
    </row>
    <row r="22" spans="1:7" x14ac:dyDescent="0.25">
      <c r="A22" s="10" t="s">
        <v>3572</v>
      </c>
      <c r="B22" s="10" t="s">
        <v>3574</v>
      </c>
      <c r="C22" t="str">
        <f>Table13[[#This Row],[Manufacturer]]&amp;" "&amp;Table13[[#This Row],[Model]]</f>
        <v>APCO Mossberg B50</v>
      </c>
      <c r="D22" s="1">
        <v>3</v>
      </c>
      <c r="E22" s="1">
        <v>3</v>
      </c>
      <c r="F22" s="38">
        <v>50</v>
      </c>
      <c r="G22" t="s">
        <v>164</v>
      </c>
    </row>
    <row r="23" spans="1:7" x14ac:dyDescent="0.25">
      <c r="A23" s="10" t="s">
        <v>3572</v>
      </c>
      <c r="B23" s="10" t="s">
        <v>3573</v>
      </c>
      <c r="C23" t="str">
        <f>Table13[[#This Row],[Manufacturer]]&amp;" "&amp;Table13[[#This Row],[Model]]</f>
        <v>APCO Mossberg B75</v>
      </c>
      <c r="D23" s="1">
        <v>3</v>
      </c>
      <c r="E23" s="1">
        <v>3</v>
      </c>
      <c r="F23" s="38">
        <v>75</v>
      </c>
      <c r="G23" t="s">
        <v>164</v>
      </c>
    </row>
    <row r="24" spans="1:7" x14ac:dyDescent="0.25">
      <c r="A24" s="10" t="s">
        <v>3572</v>
      </c>
      <c r="B24" s="10" t="s">
        <v>3571</v>
      </c>
      <c r="C24" t="str">
        <f>Table13[[#This Row],[Manufacturer]]&amp;" "&amp;Table13[[#This Row],[Model]]</f>
        <v>APCO Mossberg B100</v>
      </c>
      <c r="D24" s="1">
        <v>3</v>
      </c>
      <c r="E24" s="1">
        <v>3</v>
      </c>
      <c r="F24" s="38">
        <v>100</v>
      </c>
      <c r="G24" t="s">
        <v>164</v>
      </c>
    </row>
    <row r="25" spans="1:7" x14ac:dyDescent="0.25">
      <c r="A25" s="10" t="s">
        <v>3492</v>
      </c>
      <c r="B25" s="10" t="s">
        <v>3570</v>
      </c>
      <c r="C25" t="str">
        <f>Table13[[#This Row],[Manufacturer]]&amp;" "&amp;Table13[[#This Row],[Model]]</f>
        <v>Armstrong 64 302</v>
      </c>
      <c r="D25" s="1">
        <v>4</v>
      </c>
      <c r="E25" s="1">
        <v>4</v>
      </c>
      <c r="F25" s="38">
        <v>75</v>
      </c>
      <c r="G25" t="s">
        <v>164</v>
      </c>
    </row>
    <row r="26" spans="1:7" x14ac:dyDescent="0.25">
      <c r="A26" s="10" t="s">
        <v>3492</v>
      </c>
      <c r="B26" s="10" t="s">
        <v>3569</v>
      </c>
      <c r="C26" t="str">
        <f>Table13[[#This Row],[Manufacturer]]&amp;" "&amp;Table13[[#This Row],[Model]]</f>
        <v>Armstrong 64 302A</v>
      </c>
      <c r="D26" s="1">
        <v>4</v>
      </c>
      <c r="E26" s="1">
        <v>4</v>
      </c>
      <c r="F26" s="38">
        <v>75</v>
      </c>
      <c r="G26" t="s">
        <v>164</v>
      </c>
    </row>
    <row r="27" spans="1:7" x14ac:dyDescent="0.25">
      <c r="A27" s="10" t="s">
        <v>3492</v>
      </c>
      <c r="B27" s="10" t="s">
        <v>3568</v>
      </c>
      <c r="C27" t="str">
        <f>Table13[[#This Row],[Manufacturer]]&amp;" "&amp;Table13[[#This Row],[Model]]</f>
        <v>Armstrong 64 352</v>
      </c>
      <c r="D27" s="1">
        <v>4</v>
      </c>
      <c r="E27" s="1">
        <v>4</v>
      </c>
      <c r="F27" s="38">
        <v>250</v>
      </c>
      <c r="G27" t="s">
        <v>164</v>
      </c>
    </row>
    <row r="28" spans="1:7" x14ac:dyDescent="0.25">
      <c r="A28" s="10" t="s">
        <v>3492</v>
      </c>
      <c r="B28" s="10" t="s">
        <v>3567</v>
      </c>
      <c r="C28" t="str">
        <f>Table13[[#This Row],[Manufacturer]]&amp;" "&amp;Table13[[#This Row],[Model]]</f>
        <v>Armstrong 64 355</v>
      </c>
      <c r="D28" s="1">
        <v>4</v>
      </c>
      <c r="E28" s="1">
        <v>4</v>
      </c>
      <c r="F28" s="38">
        <v>600</v>
      </c>
      <c r="G28" t="s">
        <v>164</v>
      </c>
    </row>
    <row r="29" spans="1:7" x14ac:dyDescent="0.25">
      <c r="A29" s="10" t="s">
        <v>3492</v>
      </c>
      <c r="B29" s="10" t="s">
        <v>3566</v>
      </c>
      <c r="C29" t="str">
        <f>Table13[[#This Row],[Manufacturer]]&amp;" "&amp;Table13[[#This Row],[Model]]</f>
        <v>Armstrong 64 355A</v>
      </c>
      <c r="D29" s="1">
        <v>4</v>
      </c>
      <c r="E29" s="1">
        <v>4</v>
      </c>
      <c r="F29" s="38">
        <v>600</v>
      </c>
      <c r="G29" t="s">
        <v>164</v>
      </c>
    </row>
    <row r="30" spans="1:7" x14ac:dyDescent="0.25">
      <c r="A30" s="10" t="s">
        <v>3492</v>
      </c>
      <c r="B30" s="10" t="s">
        <v>3565</v>
      </c>
      <c r="C30" t="str">
        <f>Table13[[#This Row],[Manufacturer]]&amp;" "&amp;Table13[[#This Row],[Model]]</f>
        <v>Armstrong 64 358</v>
      </c>
      <c r="D30" s="1">
        <v>4</v>
      </c>
      <c r="E30" s="1">
        <v>4</v>
      </c>
      <c r="F30" s="38">
        <v>50</v>
      </c>
      <c r="G30" t="s">
        <v>166</v>
      </c>
    </row>
    <row r="31" spans="1:7" x14ac:dyDescent="0.25">
      <c r="A31" s="10" t="s">
        <v>3492</v>
      </c>
      <c r="B31" s="10" t="s">
        <v>3564</v>
      </c>
      <c r="C31" t="str">
        <f>Table13[[#This Row],[Manufacturer]]&amp;" "&amp;Table13[[#This Row],[Model]]</f>
        <v>Armstrong 64 358A</v>
      </c>
      <c r="D31" s="1">
        <v>4</v>
      </c>
      <c r="E31" s="1">
        <v>4</v>
      </c>
      <c r="F31" s="38">
        <v>50</v>
      </c>
      <c r="G31" t="s">
        <v>166</v>
      </c>
    </row>
    <row r="32" spans="1:7" x14ac:dyDescent="0.25">
      <c r="A32" s="10" t="s">
        <v>3492</v>
      </c>
      <c r="B32" s="10" t="s">
        <v>3563</v>
      </c>
      <c r="C32" t="str">
        <f>Table13[[#This Row],[Manufacturer]]&amp;" "&amp;Table13[[#This Row],[Model]]</f>
        <v>Armstrong 64 402</v>
      </c>
      <c r="D32" s="1">
        <v>4</v>
      </c>
      <c r="E32" s="1">
        <v>4</v>
      </c>
      <c r="F32" s="38">
        <v>175</v>
      </c>
      <c r="G32" t="s">
        <v>166</v>
      </c>
    </row>
    <row r="33" spans="1:7" x14ac:dyDescent="0.25">
      <c r="A33" s="10" t="s">
        <v>3492</v>
      </c>
      <c r="B33" s="10" t="s">
        <v>3562</v>
      </c>
      <c r="C33" t="str">
        <f>Table13[[#This Row],[Manufacturer]]&amp;" "&amp;Table13[[#This Row],[Model]]</f>
        <v>Armstrong 64 405</v>
      </c>
      <c r="D33" s="1">
        <v>4</v>
      </c>
      <c r="E33" s="1">
        <v>4</v>
      </c>
      <c r="F33" s="38">
        <v>250</v>
      </c>
      <c r="G33" t="s">
        <v>166</v>
      </c>
    </row>
    <row r="34" spans="1:7" x14ac:dyDescent="0.25">
      <c r="A34" s="10" t="s">
        <v>3492</v>
      </c>
      <c r="B34" s="10" t="s">
        <v>3561</v>
      </c>
      <c r="C34" t="str">
        <f>Table13[[#This Row],[Manufacturer]]&amp;" "&amp;Table13[[#This Row],[Model]]</f>
        <v>Armstrong 64 407</v>
      </c>
      <c r="D34" s="1">
        <v>4</v>
      </c>
      <c r="E34" s="1">
        <v>4</v>
      </c>
      <c r="F34" s="38">
        <v>250</v>
      </c>
      <c r="G34" t="s">
        <v>166</v>
      </c>
    </row>
    <row r="35" spans="1:7" x14ac:dyDescent="0.25">
      <c r="A35" s="10" t="s">
        <v>3492</v>
      </c>
      <c r="B35" s="10" t="s">
        <v>3560</v>
      </c>
      <c r="C35" t="str">
        <f>Table13[[#This Row],[Manufacturer]]&amp;" "&amp;Table13[[#This Row],[Model]]</f>
        <v>Armstrong 64 407A</v>
      </c>
      <c r="D35" s="1">
        <v>4</v>
      </c>
      <c r="E35" s="1">
        <v>4</v>
      </c>
      <c r="F35" s="38">
        <v>250</v>
      </c>
      <c r="G35" t="s">
        <v>166</v>
      </c>
    </row>
    <row r="36" spans="1:7" x14ac:dyDescent="0.25">
      <c r="A36" s="10" t="s">
        <v>3492</v>
      </c>
      <c r="B36" s="10" t="s">
        <v>3559</v>
      </c>
      <c r="C36" t="str">
        <f>Table13[[#This Row],[Manufacturer]]&amp;" "&amp;Table13[[#This Row],[Model]]</f>
        <v>Armstrong 64 452</v>
      </c>
      <c r="D36" s="1">
        <v>4</v>
      </c>
      <c r="E36" s="1">
        <v>4</v>
      </c>
      <c r="F36" s="38">
        <v>350</v>
      </c>
      <c r="G36" t="s">
        <v>166</v>
      </c>
    </row>
    <row r="37" spans="1:7" x14ac:dyDescent="0.25">
      <c r="A37" s="10" t="s">
        <v>3492</v>
      </c>
      <c r="B37" s="10" t="s">
        <v>3558</v>
      </c>
      <c r="C37" t="str">
        <f>Table13[[#This Row],[Manufacturer]]&amp;" "&amp;Table13[[#This Row],[Model]]</f>
        <v>Armstrong 64 455</v>
      </c>
      <c r="D37" s="1">
        <v>4</v>
      </c>
      <c r="E37" s="1">
        <v>4</v>
      </c>
      <c r="F37" s="38">
        <v>600</v>
      </c>
      <c r="G37" t="s">
        <v>166</v>
      </c>
    </row>
    <row r="38" spans="1:7" x14ac:dyDescent="0.25">
      <c r="A38" s="10" t="s">
        <v>3492</v>
      </c>
      <c r="B38" s="10" t="s">
        <v>3557</v>
      </c>
      <c r="C38" t="str">
        <f>Table13[[#This Row],[Manufacturer]]&amp;" "&amp;Table13[[#This Row],[Model]]</f>
        <v>Armstrong 64 458</v>
      </c>
      <c r="D38" s="1">
        <v>4</v>
      </c>
      <c r="E38" s="1">
        <v>4</v>
      </c>
      <c r="F38" s="38">
        <v>600</v>
      </c>
      <c r="G38" t="s">
        <v>166</v>
      </c>
    </row>
    <row r="39" spans="1:7" x14ac:dyDescent="0.25">
      <c r="A39" s="10" t="s">
        <v>3492</v>
      </c>
      <c r="B39" s="10" t="s">
        <v>3556</v>
      </c>
      <c r="C39" t="str">
        <f>Table13[[#This Row],[Manufacturer]]&amp;" "&amp;Table13[[#This Row],[Model]]</f>
        <v>Armstrong 64 502</v>
      </c>
      <c r="D39" s="1">
        <v>4</v>
      </c>
      <c r="E39" s="1">
        <v>4</v>
      </c>
      <c r="F39" s="38">
        <v>1000</v>
      </c>
      <c r="G39" t="s">
        <v>166</v>
      </c>
    </row>
    <row r="40" spans="1:7" x14ac:dyDescent="0.25">
      <c r="A40" s="10" t="s">
        <v>3492</v>
      </c>
      <c r="B40" s="10" t="s">
        <v>3555</v>
      </c>
      <c r="C40" t="str">
        <f>Table13[[#This Row],[Manufacturer]]&amp;" "&amp;Table13[[#This Row],[Model]]</f>
        <v>Armstrong 64 505</v>
      </c>
      <c r="D40" s="1">
        <v>4</v>
      </c>
      <c r="E40" s="1">
        <v>4</v>
      </c>
      <c r="F40" s="38">
        <v>2000</v>
      </c>
      <c r="G40" t="s">
        <v>166</v>
      </c>
    </row>
    <row r="41" spans="1:7" x14ac:dyDescent="0.25">
      <c r="A41" s="10" t="s">
        <v>3492</v>
      </c>
      <c r="B41" s="10" t="s">
        <v>3554</v>
      </c>
      <c r="C41" t="str">
        <f>Table13[[#This Row],[Manufacturer]]&amp;" "&amp;Table13[[#This Row],[Model]]</f>
        <v>Armstrong 64 534</v>
      </c>
      <c r="D41" s="1">
        <v>2</v>
      </c>
      <c r="E41" s="1">
        <v>3</v>
      </c>
      <c r="F41" s="38">
        <v>100</v>
      </c>
      <c r="G41" t="s">
        <v>166</v>
      </c>
    </row>
    <row r="42" spans="1:7" x14ac:dyDescent="0.25">
      <c r="A42" s="10" t="s">
        <v>3492</v>
      </c>
      <c r="B42" s="10" t="s">
        <v>3553</v>
      </c>
      <c r="C42" t="str">
        <f>Table13[[#This Row],[Manufacturer]]&amp;" "&amp;Table13[[#This Row],[Model]]</f>
        <v>Armstrong 64 544</v>
      </c>
      <c r="D42" s="1">
        <v>2</v>
      </c>
      <c r="E42" s="1">
        <v>3</v>
      </c>
      <c r="F42" s="38">
        <v>250</v>
      </c>
      <c r="G42" t="s">
        <v>166</v>
      </c>
    </row>
    <row r="43" spans="1:7" x14ac:dyDescent="0.25">
      <c r="A43" s="10" t="s">
        <v>3492</v>
      </c>
      <c r="B43" s="10" t="s">
        <v>3552</v>
      </c>
      <c r="C43" t="str">
        <f>Table13[[#This Row],[Manufacturer]]&amp;" "&amp;Table13[[#This Row],[Model]]</f>
        <v>Armstrong 64 551</v>
      </c>
      <c r="D43" s="1">
        <v>1</v>
      </c>
      <c r="E43" s="1">
        <v>1</v>
      </c>
      <c r="F43" s="38">
        <v>50</v>
      </c>
      <c r="G43" t="s">
        <v>164</v>
      </c>
    </row>
    <row r="44" spans="1:7" x14ac:dyDescent="0.25">
      <c r="A44" s="10" t="s">
        <v>3492</v>
      </c>
      <c r="B44" s="10" t="s">
        <v>3551</v>
      </c>
      <c r="C44" t="str">
        <f>Table13[[#This Row],[Manufacturer]]&amp;" "&amp;Table13[[#This Row],[Model]]</f>
        <v>Armstrong 64 552</v>
      </c>
      <c r="D44" s="1">
        <v>1</v>
      </c>
      <c r="E44" s="1">
        <v>1</v>
      </c>
      <c r="F44" s="38">
        <v>50</v>
      </c>
      <c r="G44" t="s">
        <v>164</v>
      </c>
    </row>
    <row r="45" spans="1:7" x14ac:dyDescent="0.25">
      <c r="A45" s="10" t="s">
        <v>3492</v>
      </c>
      <c r="B45" s="10" t="s">
        <v>3550</v>
      </c>
      <c r="C45" t="str">
        <f>Table13[[#This Row],[Manufacturer]]&amp;" "&amp;Table13[[#This Row],[Model]]</f>
        <v>Armstrong 64 561</v>
      </c>
      <c r="D45" s="1">
        <v>1</v>
      </c>
      <c r="E45" s="1">
        <v>1</v>
      </c>
      <c r="F45" s="38">
        <v>250</v>
      </c>
      <c r="G45" t="s">
        <v>164</v>
      </c>
    </row>
    <row r="46" spans="1:7" x14ac:dyDescent="0.25">
      <c r="A46" s="10" t="s">
        <v>3492</v>
      </c>
      <c r="B46" s="10" t="s">
        <v>3549</v>
      </c>
      <c r="C46" t="str">
        <f>Table13[[#This Row],[Manufacturer]]&amp;" "&amp;Table13[[#This Row],[Model]]</f>
        <v>Armstrong 64 562</v>
      </c>
      <c r="D46" s="1">
        <v>1</v>
      </c>
      <c r="E46" s="1">
        <v>1</v>
      </c>
      <c r="F46" s="38">
        <v>250</v>
      </c>
      <c r="G46" t="s">
        <v>164</v>
      </c>
    </row>
    <row r="47" spans="1:7" x14ac:dyDescent="0.25">
      <c r="A47" s="10" t="s">
        <v>3492</v>
      </c>
      <c r="B47" s="10" t="s">
        <v>3548</v>
      </c>
      <c r="C47" t="str">
        <f>Table13[[#This Row],[Manufacturer]]&amp;" "&amp;Table13[[#This Row],[Model]]</f>
        <v>Armstrong 64 567</v>
      </c>
      <c r="D47" s="1">
        <v>1</v>
      </c>
      <c r="E47" s="1">
        <v>1</v>
      </c>
      <c r="F47" s="38">
        <v>50</v>
      </c>
      <c r="G47" t="s">
        <v>166</v>
      </c>
    </row>
    <row r="48" spans="1:7" x14ac:dyDescent="0.25">
      <c r="A48" s="10" t="s">
        <v>3492</v>
      </c>
      <c r="B48" s="10" t="s">
        <v>3547</v>
      </c>
      <c r="C48" t="str">
        <f>Table13[[#This Row],[Manufacturer]]&amp;" "&amp;Table13[[#This Row],[Model]]</f>
        <v>Armstrong 64 570</v>
      </c>
      <c r="D48" s="1">
        <v>1</v>
      </c>
      <c r="E48" s="1">
        <v>1</v>
      </c>
      <c r="F48" s="38">
        <v>250</v>
      </c>
      <c r="G48" t="s">
        <v>166</v>
      </c>
    </row>
    <row r="49" spans="1:7" x14ac:dyDescent="0.25">
      <c r="A49" s="10" t="s">
        <v>3492</v>
      </c>
      <c r="B49" s="10" t="s">
        <v>3546</v>
      </c>
      <c r="C49" t="str">
        <f>Table13[[#This Row],[Manufacturer]]&amp;" "&amp;Table13[[#This Row],[Model]]</f>
        <v>Armstrong 64 587</v>
      </c>
      <c r="D49" s="1">
        <v>1</v>
      </c>
      <c r="E49" s="1">
        <v>1</v>
      </c>
      <c r="F49" s="38">
        <v>600</v>
      </c>
      <c r="G49" t="s">
        <v>166</v>
      </c>
    </row>
    <row r="50" spans="1:7" x14ac:dyDescent="0.25">
      <c r="A50" s="10" t="s">
        <v>3492</v>
      </c>
      <c r="B50" s="10" t="s">
        <v>3545</v>
      </c>
      <c r="C50" t="str">
        <f>Table13[[#This Row],[Manufacturer]]&amp;" "&amp;Table13[[#This Row],[Model]]</f>
        <v>Armstrong 64 591</v>
      </c>
      <c r="D50" s="1">
        <v>1</v>
      </c>
      <c r="E50" s="1">
        <v>1</v>
      </c>
      <c r="F50" s="38">
        <v>1000</v>
      </c>
      <c r="G50" t="s">
        <v>166</v>
      </c>
    </row>
    <row r="51" spans="1:7" x14ac:dyDescent="0.25">
      <c r="A51" s="10" t="s">
        <v>3492</v>
      </c>
      <c r="B51" s="10" t="s">
        <v>3544</v>
      </c>
      <c r="C51" t="str">
        <f>Table13[[#This Row],[Manufacturer]]&amp;" "&amp;Table13[[#This Row],[Model]]</f>
        <v>Armstrong 64 730</v>
      </c>
      <c r="D51" s="1">
        <v>7</v>
      </c>
      <c r="E51" s="1">
        <v>7</v>
      </c>
      <c r="F51" s="38">
        <v>600</v>
      </c>
      <c r="G51" t="s">
        <v>164</v>
      </c>
    </row>
    <row r="52" spans="1:7" x14ac:dyDescent="0.25">
      <c r="A52" s="10" t="s">
        <v>3492</v>
      </c>
      <c r="B52" s="10" t="s">
        <v>3543</v>
      </c>
      <c r="C52" t="str">
        <f>Table13[[#This Row],[Manufacturer]]&amp;" "&amp;Table13[[#This Row],[Model]]</f>
        <v>Armstrong 64 740</v>
      </c>
      <c r="D52" s="1">
        <v>7</v>
      </c>
      <c r="E52" s="1">
        <v>7</v>
      </c>
      <c r="F52" s="38">
        <v>150</v>
      </c>
      <c r="G52" t="s">
        <v>166</v>
      </c>
    </row>
    <row r="53" spans="1:7" x14ac:dyDescent="0.25">
      <c r="A53" s="10" t="s">
        <v>3492</v>
      </c>
      <c r="B53" s="10" t="s">
        <v>3542</v>
      </c>
      <c r="C53" t="str">
        <f>Table13[[#This Row],[Manufacturer]]&amp;" "&amp;Table13[[#This Row],[Model]]</f>
        <v>Armstrong 64 007</v>
      </c>
      <c r="D53" s="1">
        <v>3</v>
      </c>
      <c r="E53" s="1" t="s">
        <v>169</v>
      </c>
      <c r="F53" s="38">
        <v>50</v>
      </c>
      <c r="G53" t="s">
        <v>164</v>
      </c>
    </row>
    <row r="54" spans="1:7" x14ac:dyDescent="0.25">
      <c r="A54" s="10" t="s">
        <v>3492</v>
      </c>
      <c r="B54" s="10" t="s">
        <v>3541</v>
      </c>
      <c r="C54" t="str">
        <f>Table13[[#This Row],[Manufacturer]]&amp;" "&amp;Table13[[#This Row],[Model]]</f>
        <v>Armstrong 64 010</v>
      </c>
      <c r="D54" s="1">
        <v>3</v>
      </c>
      <c r="E54" s="1" t="s">
        <v>169</v>
      </c>
      <c r="F54" s="38">
        <v>200</v>
      </c>
      <c r="G54" t="s">
        <v>164</v>
      </c>
    </row>
    <row r="55" spans="1:7" x14ac:dyDescent="0.25">
      <c r="A55" s="10" t="s">
        <v>3492</v>
      </c>
      <c r="B55" s="10" t="s">
        <v>3540</v>
      </c>
      <c r="C55" t="str">
        <f>Table13[[#This Row],[Manufacturer]]&amp;" "&amp;Table13[[#This Row],[Model]]</f>
        <v>Armstrong 64 014</v>
      </c>
      <c r="D55" s="1">
        <v>3</v>
      </c>
      <c r="E55" s="1" t="s">
        <v>169</v>
      </c>
      <c r="F55" s="38">
        <v>200</v>
      </c>
      <c r="G55" t="s">
        <v>164</v>
      </c>
    </row>
    <row r="56" spans="1:7" x14ac:dyDescent="0.25">
      <c r="A56" s="10" t="s">
        <v>3492</v>
      </c>
      <c r="B56" s="10" t="s">
        <v>3539</v>
      </c>
      <c r="C56" t="str">
        <f>Table13[[#This Row],[Manufacturer]]&amp;" "&amp;Table13[[#This Row],[Model]]</f>
        <v>Armstrong 64 031</v>
      </c>
      <c r="D56" s="1">
        <v>3</v>
      </c>
      <c r="E56" s="1" t="s">
        <v>169</v>
      </c>
      <c r="F56" s="38">
        <v>50</v>
      </c>
      <c r="G56" t="s">
        <v>164</v>
      </c>
    </row>
    <row r="57" spans="1:7" x14ac:dyDescent="0.25">
      <c r="A57" s="10" t="s">
        <v>3492</v>
      </c>
      <c r="B57" s="10" t="s">
        <v>3538</v>
      </c>
      <c r="C57" t="str">
        <f>Table13[[#This Row],[Manufacturer]]&amp;" "&amp;Table13[[#This Row],[Model]]</f>
        <v>Armstrong 64 032</v>
      </c>
      <c r="D57" s="1">
        <v>3</v>
      </c>
      <c r="E57" s="1" t="s">
        <v>169</v>
      </c>
      <c r="F57" s="38">
        <v>200</v>
      </c>
      <c r="G57" t="s">
        <v>164</v>
      </c>
    </row>
    <row r="58" spans="1:7" x14ac:dyDescent="0.25">
      <c r="A58" s="10" t="s">
        <v>3492</v>
      </c>
      <c r="B58" s="10" t="s">
        <v>3537</v>
      </c>
      <c r="C58" t="str">
        <f>Table13[[#This Row],[Manufacturer]]&amp;" "&amp;Table13[[#This Row],[Model]]</f>
        <v>Armstrong 64 038</v>
      </c>
      <c r="D58" s="1">
        <v>3</v>
      </c>
      <c r="E58" s="1" t="s">
        <v>169</v>
      </c>
      <c r="F58" s="38">
        <v>25</v>
      </c>
      <c r="G58" t="s">
        <v>184</v>
      </c>
    </row>
    <row r="59" spans="1:7" x14ac:dyDescent="0.25">
      <c r="A59" s="10" t="s">
        <v>3492</v>
      </c>
      <c r="B59" s="10" t="s">
        <v>3536</v>
      </c>
      <c r="C59" t="str">
        <f>Table13[[#This Row],[Manufacturer]]&amp;" "&amp;Table13[[#This Row],[Model]]</f>
        <v>Armstrong 64 041</v>
      </c>
      <c r="D59" s="1">
        <v>3</v>
      </c>
      <c r="E59" s="1" t="s">
        <v>169</v>
      </c>
      <c r="F59" s="38">
        <v>250</v>
      </c>
      <c r="G59" t="s">
        <v>164</v>
      </c>
    </row>
    <row r="60" spans="1:7" x14ac:dyDescent="0.25">
      <c r="A60" s="10" t="s">
        <v>3492</v>
      </c>
      <c r="B60" s="10" t="s">
        <v>3535</v>
      </c>
      <c r="C60" t="str">
        <f>Table13[[#This Row],[Manufacturer]]&amp;" "&amp;Table13[[#This Row],[Model]]</f>
        <v>Armstrong 64 042</v>
      </c>
      <c r="D60" s="1">
        <v>3</v>
      </c>
      <c r="E60" s="1" t="s">
        <v>169</v>
      </c>
      <c r="F60" s="38">
        <v>1000</v>
      </c>
      <c r="G60" t="s">
        <v>164</v>
      </c>
    </row>
    <row r="61" spans="1:7" x14ac:dyDescent="0.25">
      <c r="A61" s="10" t="s">
        <v>3492</v>
      </c>
      <c r="B61" s="10" t="s">
        <v>3534</v>
      </c>
      <c r="C61" t="str">
        <f>Table13[[#This Row],[Manufacturer]]&amp;" "&amp;Table13[[#This Row],[Model]]</f>
        <v>Armstrong 64 046</v>
      </c>
      <c r="D61" s="1">
        <v>3</v>
      </c>
      <c r="E61" s="1" t="s">
        <v>169</v>
      </c>
      <c r="F61" s="38">
        <v>100</v>
      </c>
      <c r="G61" t="s">
        <v>166</v>
      </c>
    </row>
    <row r="62" spans="1:7" x14ac:dyDescent="0.25">
      <c r="A62" s="10" t="s">
        <v>3492</v>
      </c>
      <c r="B62" s="10" t="s">
        <v>3533</v>
      </c>
      <c r="C62" t="str">
        <f>Table13[[#This Row],[Manufacturer]]&amp;" "&amp;Table13[[#This Row],[Model]]</f>
        <v>Armstrong 64 049</v>
      </c>
      <c r="D62" s="1">
        <v>3</v>
      </c>
      <c r="E62" s="1" t="s">
        <v>169</v>
      </c>
      <c r="F62" s="38">
        <v>100</v>
      </c>
      <c r="G62" t="s">
        <v>184</v>
      </c>
    </row>
    <row r="63" spans="1:7" x14ac:dyDescent="0.25">
      <c r="A63" s="10" t="s">
        <v>3492</v>
      </c>
      <c r="B63" s="10" t="s">
        <v>3532</v>
      </c>
      <c r="C63" t="str">
        <f>Table13[[#This Row],[Manufacturer]]&amp;" "&amp;Table13[[#This Row],[Model]]</f>
        <v>Armstrong 64 051</v>
      </c>
      <c r="D63" s="1">
        <v>3</v>
      </c>
      <c r="E63" s="1" t="s">
        <v>169</v>
      </c>
      <c r="F63" s="38">
        <v>200</v>
      </c>
      <c r="G63" t="s">
        <v>164</v>
      </c>
    </row>
    <row r="64" spans="1:7" x14ac:dyDescent="0.25">
      <c r="A64" s="10" t="s">
        <v>3492</v>
      </c>
      <c r="B64" s="10" t="s">
        <v>3531</v>
      </c>
      <c r="C64" t="str">
        <f>Table13[[#This Row],[Manufacturer]]&amp;" "&amp;Table13[[#This Row],[Model]]</f>
        <v>Armstrong 64 055</v>
      </c>
      <c r="D64" s="1">
        <v>3</v>
      </c>
      <c r="E64" s="1" t="s">
        <v>169</v>
      </c>
      <c r="F64" s="38">
        <v>250</v>
      </c>
      <c r="G64" t="s">
        <v>164</v>
      </c>
    </row>
    <row r="65" spans="1:7" x14ac:dyDescent="0.25">
      <c r="A65" s="10" t="s">
        <v>3492</v>
      </c>
      <c r="B65" s="10" t="s">
        <v>3530</v>
      </c>
      <c r="C65" t="str">
        <f>Table13[[#This Row],[Manufacturer]]&amp;" "&amp;Table13[[#This Row],[Model]]</f>
        <v>Armstrong 64 058</v>
      </c>
      <c r="D65" s="1">
        <v>3</v>
      </c>
      <c r="E65" s="1" t="s">
        <v>169</v>
      </c>
      <c r="F65" s="38">
        <v>250</v>
      </c>
      <c r="G65" t="s">
        <v>164</v>
      </c>
    </row>
    <row r="66" spans="1:7" x14ac:dyDescent="0.25">
      <c r="A66" s="10" t="s">
        <v>3492</v>
      </c>
      <c r="B66" s="10" t="s">
        <v>3529</v>
      </c>
      <c r="C66" t="str">
        <f>Table13[[#This Row],[Manufacturer]]&amp;" "&amp;Table13[[#This Row],[Model]]</f>
        <v>Armstrong 64 063</v>
      </c>
      <c r="D66" s="1">
        <v>3</v>
      </c>
      <c r="E66" s="1" t="s">
        <v>169</v>
      </c>
      <c r="F66" s="38">
        <v>1000</v>
      </c>
      <c r="G66" t="s">
        <v>164</v>
      </c>
    </row>
    <row r="67" spans="1:7" x14ac:dyDescent="0.25">
      <c r="A67" s="10" t="s">
        <v>3492</v>
      </c>
      <c r="B67" s="10" t="s">
        <v>3528</v>
      </c>
      <c r="C67" t="str">
        <f>Table13[[#This Row],[Manufacturer]]&amp;" "&amp;Table13[[#This Row],[Model]]</f>
        <v>Armstrong 64 066</v>
      </c>
      <c r="D67" s="1">
        <v>3</v>
      </c>
      <c r="E67" s="1" t="s">
        <v>169</v>
      </c>
      <c r="F67" s="38">
        <v>100</v>
      </c>
      <c r="G67" t="s">
        <v>166</v>
      </c>
    </row>
    <row r="68" spans="1:7" x14ac:dyDescent="0.25">
      <c r="A68" s="10" t="s">
        <v>3492</v>
      </c>
      <c r="B68" s="10" t="s">
        <v>3527</v>
      </c>
      <c r="C68" t="str">
        <f>Table13[[#This Row],[Manufacturer]]&amp;" "&amp;Table13[[#This Row],[Model]]</f>
        <v>Armstrong 64 081</v>
      </c>
      <c r="D68" s="1">
        <v>3</v>
      </c>
      <c r="E68" s="1" t="s">
        <v>169</v>
      </c>
      <c r="F68" s="38">
        <v>1800</v>
      </c>
      <c r="G68" t="s">
        <v>164</v>
      </c>
    </row>
    <row r="69" spans="1:7" x14ac:dyDescent="0.25">
      <c r="A69" s="10" t="s">
        <v>3492</v>
      </c>
      <c r="B69" s="10" t="s">
        <v>3526</v>
      </c>
      <c r="C69" t="str">
        <f>Table13[[#This Row],[Manufacturer]]&amp;" "&amp;Table13[[#This Row],[Model]]</f>
        <v>Armstrong 64 082</v>
      </c>
      <c r="D69" s="1">
        <v>3</v>
      </c>
      <c r="E69" s="1" t="s">
        <v>169</v>
      </c>
      <c r="F69" s="38">
        <v>3000</v>
      </c>
      <c r="G69" t="s">
        <v>164</v>
      </c>
    </row>
    <row r="70" spans="1:7" x14ac:dyDescent="0.25">
      <c r="A70" s="10" t="s">
        <v>3492</v>
      </c>
      <c r="B70" s="10" t="s">
        <v>3525</v>
      </c>
      <c r="C70" t="str">
        <f>Table13[[#This Row],[Manufacturer]]&amp;" "&amp;Table13[[#This Row],[Model]]</f>
        <v>Armstrong 64 084</v>
      </c>
      <c r="D70" s="1">
        <v>3</v>
      </c>
      <c r="E70" s="1" t="s">
        <v>169</v>
      </c>
      <c r="F70" s="38">
        <v>100</v>
      </c>
      <c r="G70" t="s">
        <v>166</v>
      </c>
    </row>
    <row r="71" spans="1:7" x14ac:dyDescent="0.25">
      <c r="A71" s="10" t="s">
        <v>3492</v>
      </c>
      <c r="B71" s="10" t="s">
        <v>3524</v>
      </c>
      <c r="C71" t="str">
        <f>Table13[[#This Row],[Manufacturer]]&amp;" "&amp;Table13[[#This Row],[Model]]</f>
        <v>Armstrong 64 085</v>
      </c>
      <c r="D71" s="1">
        <v>3</v>
      </c>
      <c r="E71" s="1" t="s">
        <v>169</v>
      </c>
      <c r="F71" s="38">
        <v>150</v>
      </c>
      <c r="G71" t="s">
        <v>166</v>
      </c>
    </row>
    <row r="72" spans="1:7" x14ac:dyDescent="0.25">
      <c r="A72" s="10" t="s">
        <v>3492</v>
      </c>
      <c r="B72" s="10" t="s">
        <v>3523</v>
      </c>
      <c r="C72" t="str">
        <f>Table13[[#This Row],[Manufacturer]]&amp;" "&amp;Table13[[#This Row],[Model]]</f>
        <v>Armstrong 64 086</v>
      </c>
      <c r="D72" s="1">
        <v>3</v>
      </c>
      <c r="E72" s="1" t="s">
        <v>169</v>
      </c>
      <c r="F72" s="38">
        <v>250</v>
      </c>
      <c r="G72" t="s">
        <v>166</v>
      </c>
    </row>
    <row r="73" spans="1:7" x14ac:dyDescent="0.25">
      <c r="A73" s="10" t="s">
        <v>3492</v>
      </c>
      <c r="B73" s="10" t="s">
        <v>3522</v>
      </c>
      <c r="C73" t="str">
        <f>Table13[[#This Row],[Manufacturer]]&amp;" "&amp;Table13[[#This Row],[Model]]</f>
        <v>Armstrong 64 089</v>
      </c>
      <c r="D73" s="1">
        <v>3</v>
      </c>
      <c r="E73" s="1" t="s">
        <v>169</v>
      </c>
      <c r="F73" s="38">
        <v>340</v>
      </c>
      <c r="G73" t="s">
        <v>184</v>
      </c>
    </row>
    <row r="74" spans="1:7" x14ac:dyDescent="0.25">
      <c r="A74" s="10" t="s">
        <v>3492</v>
      </c>
      <c r="B74" s="10" t="s">
        <v>3521</v>
      </c>
      <c r="C74" t="str">
        <f>Table13[[#This Row],[Manufacturer]]&amp;" "&amp;Table13[[#This Row],[Model]]</f>
        <v>Armstrong 64 094</v>
      </c>
      <c r="D74" s="1">
        <v>3</v>
      </c>
      <c r="E74" s="1" t="s">
        <v>169</v>
      </c>
      <c r="F74" s="38">
        <v>400</v>
      </c>
      <c r="G74" t="s">
        <v>166</v>
      </c>
    </row>
    <row r="75" spans="1:7" x14ac:dyDescent="0.25">
      <c r="A75" s="10" t="s">
        <v>3492</v>
      </c>
      <c r="B75" s="10" t="s">
        <v>3520</v>
      </c>
      <c r="C75" t="str">
        <f>Table13[[#This Row],[Manufacturer]]&amp;" "&amp;Table13[[#This Row],[Model]]</f>
        <v>Armstrong 64 095</v>
      </c>
      <c r="D75" s="1">
        <v>3</v>
      </c>
      <c r="E75" s="1" t="s">
        <v>169</v>
      </c>
      <c r="F75" s="38">
        <v>600</v>
      </c>
      <c r="G75" t="s">
        <v>166</v>
      </c>
    </row>
    <row r="76" spans="1:7" x14ac:dyDescent="0.25">
      <c r="A76" s="10" t="s">
        <v>3492</v>
      </c>
      <c r="B76" s="10" t="s">
        <v>3519</v>
      </c>
      <c r="C76" t="str">
        <f>Table13[[#This Row],[Manufacturer]]&amp;" "&amp;Table13[[#This Row],[Model]]</f>
        <v>Armstrong 64 099</v>
      </c>
      <c r="D76" s="1">
        <v>3</v>
      </c>
      <c r="E76" s="1" t="s">
        <v>169</v>
      </c>
      <c r="F76" s="38">
        <v>800</v>
      </c>
      <c r="G76" t="s">
        <v>184</v>
      </c>
    </row>
    <row r="77" spans="1:7" x14ac:dyDescent="0.25">
      <c r="A77" s="10" t="s">
        <v>3492</v>
      </c>
      <c r="B77" s="10" t="s">
        <v>3518</v>
      </c>
      <c r="C77" t="str">
        <f>Table13[[#This Row],[Manufacturer]]&amp;" "&amp;Table13[[#This Row],[Model]]</f>
        <v>Armstrong 64 101</v>
      </c>
      <c r="D77" s="1">
        <v>3</v>
      </c>
      <c r="E77" s="1" t="s">
        <v>169</v>
      </c>
      <c r="F77" s="38">
        <v>100</v>
      </c>
      <c r="G77" t="s">
        <v>166</v>
      </c>
    </row>
    <row r="78" spans="1:7" x14ac:dyDescent="0.25">
      <c r="A78" s="10" t="s">
        <v>3492</v>
      </c>
      <c r="B78" s="10" t="s">
        <v>3517</v>
      </c>
      <c r="C78" t="str">
        <f>Table13[[#This Row],[Manufacturer]]&amp;" "&amp;Table13[[#This Row],[Model]]</f>
        <v>Armstrong 64 102</v>
      </c>
      <c r="D78" s="1">
        <v>3</v>
      </c>
      <c r="E78" s="1" t="s">
        <v>169</v>
      </c>
      <c r="F78" s="38">
        <v>150</v>
      </c>
      <c r="G78" t="s">
        <v>166</v>
      </c>
    </row>
    <row r="79" spans="1:7" x14ac:dyDescent="0.25">
      <c r="A79" s="10" t="s">
        <v>3492</v>
      </c>
      <c r="B79" s="10" t="s">
        <v>3516</v>
      </c>
      <c r="C79" t="str">
        <f>Table13[[#This Row],[Manufacturer]]&amp;" "&amp;Table13[[#This Row],[Model]]</f>
        <v>Armstrong 64 104</v>
      </c>
      <c r="D79" s="1">
        <v>3</v>
      </c>
      <c r="E79" s="1" t="s">
        <v>169</v>
      </c>
      <c r="F79" s="38">
        <v>250</v>
      </c>
      <c r="G79" t="s">
        <v>166</v>
      </c>
    </row>
    <row r="80" spans="1:7" x14ac:dyDescent="0.25">
      <c r="A80" s="10" t="s">
        <v>3492</v>
      </c>
      <c r="B80" s="10" t="s">
        <v>3515</v>
      </c>
      <c r="C80" t="str">
        <f>Table13[[#This Row],[Manufacturer]]&amp;" "&amp;Table13[[#This Row],[Model]]</f>
        <v>Armstrong 64 107</v>
      </c>
      <c r="D80" s="1">
        <v>3</v>
      </c>
      <c r="E80" s="1" t="s">
        <v>169</v>
      </c>
      <c r="F80" s="38">
        <v>250</v>
      </c>
      <c r="G80" t="s">
        <v>166</v>
      </c>
    </row>
    <row r="81" spans="1:7" x14ac:dyDescent="0.25">
      <c r="A81" s="10" t="s">
        <v>3492</v>
      </c>
      <c r="B81" s="10" t="s">
        <v>3514</v>
      </c>
      <c r="C81" t="str">
        <f>Table13[[#This Row],[Manufacturer]]&amp;" "&amp;Table13[[#This Row],[Model]]</f>
        <v>Armstrong 64 146</v>
      </c>
      <c r="D81" s="1">
        <v>3</v>
      </c>
      <c r="E81" s="1" t="s">
        <v>169</v>
      </c>
      <c r="F81" s="38">
        <v>75</v>
      </c>
      <c r="G81" t="s">
        <v>166</v>
      </c>
    </row>
    <row r="82" spans="1:7" x14ac:dyDescent="0.25">
      <c r="A82" s="10" t="s">
        <v>3492</v>
      </c>
      <c r="B82" s="10" t="s">
        <v>3513</v>
      </c>
      <c r="C82" t="str">
        <f>Table13[[#This Row],[Manufacturer]]&amp;" "&amp;Table13[[#This Row],[Model]]</f>
        <v>Armstrong 64 151</v>
      </c>
      <c r="D82" s="1">
        <v>3</v>
      </c>
      <c r="E82" s="1" t="s">
        <v>169</v>
      </c>
      <c r="F82" s="38">
        <v>400</v>
      </c>
      <c r="G82" t="s">
        <v>166</v>
      </c>
    </row>
    <row r="83" spans="1:7" x14ac:dyDescent="0.25">
      <c r="A83" s="10" t="s">
        <v>3492</v>
      </c>
      <c r="B83" s="10" t="s">
        <v>3512</v>
      </c>
      <c r="C83" t="str">
        <f>Table13[[#This Row],[Manufacturer]]&amp;" "&amp;Table13[[#This Row],[Model]]</f>
        <v>Armstrong 64 154</v>
      </c>
      <c r="D83" s="1">
        <v>3</v>
      </c>
      <c r="E83" s="1" t="s">
        <v>169</v>
      </c>
      <c r="F83" s="38">
        <v>600</v>
      </c>
      <c r="G83" t="s">
        <v>166</v>
      </c>
    </row>
    <row r="84" spans="1:7" x14ac:dyDescent="0.25">
      <c r="A84" s="10" t="s">
        <v>3492</v>
      </c>
      <c r="B84" s="10" t="s">
        <v>3511</v>
      </c>
      <c r="C84" t="str">
        <f>Table13[[#This Row],[Manufacturer]]&amp;" "&amp;Table13[[#This Row],[Model]]</f>
        <v>Armstrong 64 186</v>
      </c>
      <c r="D84" s="1">
        <v>3</v>
      </c>
      <c r="E84" s="1" t="s">
        <v>169</v>
      </c>
      <c r="F84" s="38">
        <v>250</v>
      </c>
      <c r="G84" t="s">
        <v>166</v>
      </c>
    </row>
    <row r="85" spans="1:7" x14ac:dyDescent="0.25">
      <c r="A85" s="10" t="s">
        <v>3492</v>
      </c>
      <c r="B85" s="10" t="s">
        <v>3510</v>
      </c>
      <c r="C85" t="str">
        <f>Table13[[#This Row],[Manufacturer]]&amp;" "&amp;Table13[[#This Row],[Model]]</f>
        <v>Armstrong 64 212</v>
      </c>
      <c r="D85" s="1">
        <v>3</v>
      </c>
      <c r="E85" s="1" t="s">
        <v>169</v>
      </c>
      <c r="F85" s="38">
        <v>200</v>
      </c>
      <c r="G85" t="s">
        <v>164</v>
      </c>
    </row>
    <row r="86" spans="1:7" x14ac:dyDescent="0.25">
      <c r="A86" s="10" t="s">
        <v>3492</v>
      </c>
      <c r="B86" s="10" t="s">
        <v>3509</v>
      </c>
      <c r="C86" t="str">
        <f>Table13[[#This Row],[Manufacturer]]&amp;" "&amp;Table13[[#This Row],[Model]]</f>
        <v>Armstrong 64 221</v>
      </c>
      <c r="D86" s="1">
        <v>3</v>
      </c>
      <c r="E86" s="1" t="s">
        <v>169</v>
      </c>
      <c r="F86" s="38">
        <v>250</v>
      </c>
      <c r="G86" t="s">
        <v>164</v>
      </c>
    </row>
    <row r="87" spans="1:7" x14ac:dyDescent="0.25">
      <c r="A87" s="10" t="s">
        <v>3492</v>
      </c>
      <c r="B87" s="10" t="s">
        <v>3508</v>
      </c>
      <c r="C87" t="str">
        <f>Table13[[#This Row],[Manufacturer]]&amp;" "&amp;Table13[[#This Row],[Model]]</f>
        <v>Armstrong 64 226</v>
      </c>
      <c r="D87" s="1">
        <v>3</v>
      </c>
      <c r="E87" s="1" t="s">
        <v>169</v>
      </c>
      <c r="F87" s="38">
        <v>100</v>
      </c>
      <c r="G87" t="s">
        <v>166</v>
      </c>
    </row>
    <row r="88" spans="1:7" x14ac:dyDescent="0.25">
      <c r="A88" s="10" t="s">
        <v>3492</v>
      </c>
      <c r="B88" s="10" t="s">
        <v>3507</v>
      </c>
      <c r="C88" t="str">
        <f>Table13[[#This Row],[Manufacturer]]&amp;" "&amp;Table13[[#This Row],[Model]]</f>
        <v>Armstrong 64 236</v>
      </c>
      <c r="D88" s="1">
        <v>3</v>
      </c>
      <c r="E88" s="1" t="s">
        <v>169</v>
      </c>
      <c r="F88" s="38">
        <v>250</v>
      </c>
      <c r="G88" t="s">
        <v>164</v>
      </c>
    </row>
    <row r="89" spans="1:7" x14ac:dyDescent="0.25">
      <c r="A89" s="10" t="s">
        <v>3492</v>
      </c>
      <c r="B89" s="10" t="s">
        <v>3506</v>
      </c>
      <c r="C89" t="str">
        <f>Table13[[#This Row],[Manufacturer]]&amp;" "&amp;Table13[[#This Row],[Model]]</f>
        <v>Armstrong 64 931</v>
      </c>
      <c r="D89" s="1">
        <v>3</v>
      </c>
      <c r="E89" s="1" t="s">
        <v>169</v>
      </c>
      <c r="F89" s="38">
        <v>50</v>
      </c>
      <c r="G89" t="s">
        <v>164</v>
      </c>
    </row>
    <row r="90" spans="1:7" x14ac:dyDescent="0.25">
      <c r="A90" s="10" t="s">
        <v>3492</v>
      </c>
      <c r="B90" s="10" t="s">
        <v>3505</v>
      </c>
      <c r="C90" t="str">
        <f>Table13[[#This Row],[Manufacturer]]&amp;" "&amp;Table13[[#This Row],[Model]]</f>
        <v>Armstrong 64 932</v>
      </c>
      <c r="D90" s="1">
        <v>3</v>
      </c>
      <c r="E90" s="1" t="s">
        <v>169</v>
      </c>
      <c r="F90" s="38">
        <v>200</v>
      </c>
      <c r="G90" t="s">
        <v>164</v>
      </c>
    </row>
    <row r="91" spans="1:7" x14ac:dyDescent="0.25">
      <c r="A91" s="10" t="s">
        <v>3492</v>
      </c>
      <c r="B91" s="10" t="s">
        <v>3504</v>
      </c>
      <c r="C91" t="str">
        <f>Table13[[#This Row],[Manufacturer]]&amp;" "&amp;Table13[[#This Row],[Model]]</f>
        <v>Armstrong 64 938</v>
      </c>
      <c r="D91" s="1">
        <v>3</v>
      </c>
      <c r="E91" s="1" t="s">
        <v>169</v>
      </c>
      <c r="F91" s="38">
        <v>25</v>
      </c>
      <c r="G91" t="s">
        <v>184</v>
      </c>
    </row>
    <row r="92" spans="1:7" x14ac:dyDescent="0.25">
      <c r="A92" s="10" t="s">
        <v>3492</v>
      </c>
      <c r="B92" s="10" t="s">
        <v>3503</v>
      </c>
      <c r="C92" t="str">
        <f>Table13[[#This Row],[Manufacturer]]&amp;" "&amp;Table13[[#This Row],[Model]]</f>
        <v>Armstrong 64 941</v>
      </c>
      <c r="D92" s="1">
        <v>3</v>
      </c>
      <c r="E92" s="1" t="s">
        <v>169</v>
      </c>
      <c r="F92" s="38">
        <v>250</v>
      </c>
      <c r="G92" t="s">
        <v>164</v>
      </c>
    </row>
    <row r="93" spans="1:7" x14ac:dyDescent="0.25">
      <c r="A93" s="10" t="s">
        <v>3492</v>
      </c>
      <c r="B93" s="10" t="s">
        <v>3502</v>
      </c>
      <c r="C93" t="str">
        <f>Table13[[#This Row],[Manufacturer]]&amp;" "&amp;Table13[[#This Row],[Model]]</f>
        <v>Armstrong 64 942</v>
      </c>
      <c r="D93" s="1">
        <v>3</v>
      </c>
      <c r="E93" s="1" t="s">
        <v>169</v>
      </c>
      <c r="F93" s="38">
        <v>1000</v>
      </c>
      <c r="G93" t="s">
        <v>164</v>
      </c>
    </row>
    <row r="94" spans="1:7" x14ac:dyDescent="0.25">
      <c r="A94" s="10" t="s">
        <v>3492</v>
      </c>
      <c r="B94" s="10" t="s">
        <v>3501</v>
      </c>
      <c r="C94" t="str">
        <f>Table13[[#This Row],[Manufacturer]]&amp;" "&amp;Table13[[#This Row],[Model]]</f>
        <v>Armstrong 64 946</v>
      </c>
      <c r="D94" s="1">
        <v>3</v>
      </c>
      <c r="E94" s="1" t="s">
        <v>169</v>
      </c>
      <c r="F94" s="38">
        <v>100</v>
      </c>
      <c r="G94" t="s">
        <v>166</v>
      </c>
    </row>
    <row r="95" spans="1:7" x14ac:dyDescent="0.25">
      <c r="A95" s="10" t="s">
        <v>3492</v>
      </c>
      <c r="B95" s="10" t="s">
        <v>3500</v>
      </c>
      <c r="C95" t="str">
        <f>Table13[[#This Row],[Manufacturer]]&amp;" "&amp;Table13[[#This Row],[Model]]</f>
        <v>Armstrong 64 981</v>
      </c>
      <c r="D95" s="1">
        <v>3</v>
      </c>
      <c r="E95" s="1" t="s">
        <v>169</v>
      </c>
      <c r="F95" s="38">
        <v>1800</v>
      </c>
      <c r="G95" t="s">
        <v>164</v>
      </c>
    </row>
    <row r="96" spans="1:7" x14ac:dyDescent="0.25">
      <c r="A96" s="10" t="s">
        <v>3492</v>
      </c>
      <c r="B96" s="10" t="s">
        <v>3499</v>
      </c>
      <c r="C96" t="str">
        <f>Table13[[#This Row],[Manufacturer]]&amp;" "&amp;Table13[[#This Row],[Model]]</f>
        <v>Armstrong 64 984</v>
      </c>
      <c r="D96" s="1">
        <v>3</v>
      </c>
      <c r="E96" s="1" t="s">
        <v>169</v>
      </c>
      <c r="F96" s="38">
        <v>100</v>
      </c>
      <c r="G96" t="s">
        <v>166</v>
      </c>
    </row>
    <row r="97" spans="1:7" x14ac:dyDescent="0.25">
      <c r="A97" s="10" t="s">
        <v>3492</v>
      </c>
      <c r="B97" s="10" t="s">
        <v>3498</v>
      </c>
      <c r="C97" t="str">
        <f>Table13[[#This Row],[Manufacturer]]&amp;" "&amp;Table13[[#This Row],[Model]]</f>
        <v>Armstrong 64 985</v>
      </c>
      <c r="D97" s="1">
        <v>3</v>
      </c>
      <c r="E97" s="1" t="s">
        <v>169</v>
      </c>
      <c r="F97" s="38">
        <v>150</v>
      </c>
      <c r="G97" t="s">
        <v>164</v>
      </c>
    </row>
    <row r="98" spans="1:7" x14ac:dyDescent="0.25">
      <c r="A98" s="10" t="s">
        <v>3492</v>
      </c>
      <c r="B98" s="10" t="s">
        <v>3497</v>
      </c>
      <c r="C98" t="str">
        <f>Table13[[#This Row],[Manufacturer]]&amp;" "&amp;Table13[[#This Row],[Model]]</f>
        <v>Armstrong 64 986</v>
      </c>
      <c r="D98" s="1">
        <v>3</v>
      </c>
      <c r="E98" s="1" t="s">
        <v>169</v>
      </c>
      <c r="F98" s="38">
        <v>250</v>
      </c>
      <c r="G98" t="s">
        <v>166</v>
      </c>
    </row>
    <row r="99" spans="1:7" x14ac:dyDescent="0.25">
      <c r="A99" s="10" t="s">
        <v>3492</v>
      </c>
      <c r="B99" s="10" t="s">
        <v>3496</v>
      </c>
      <c r="C99" t="str">
        <f>Table13[[#This Row],[Manufacturer]]&amp;" "&amp;Table13[[#This Row],[Model]]</f>
        <v>Armstrong 64 995</v>
      </c>
      <c r="D99" s="1">
        <v>3</v>
      </c>
      <c r="E99" s="1" t="s">
        <v>169</v>
      </c>
      <c r="F99" s="38">
        <v>600</v>
      </c>
      <c r="G99" t="s">
        <v>166</v>
      </c>
    </row>
    <row r="100" spans="1:7" x14ac:dyDescent="0.25">
      <c r="A100" s="10" t="s">
        <v>3492</v>
      </c>
      <c r="B100" s="10" t="s">
        <v>3495</v>
      </c>
      <c r="C100" t="str">
        <f>Table13[[#This Row],[Manufacturer]]&amp;" "&amp;Table13[[#This Row],[Model]]</f>
        <v>Armstrong CG21000QC-ARBH</v>
      </c>
      <c r="D100" s="1">
        <v>3</v>
      </c>
      <c r="E100" s="1" t="s">
        <v>169</v>
      </c>
      <c r="F100" s="38">
        <v>1000</v>
      </c>
      <c r="G100" t="s">
        <v>164</v>
      </c>
    </row>
    <row r="101" spans="1:7" x14ac:dyDescent="0.25">
      <c r="A101" s="10" t="s">
        <v>3492</v>
      </c>
      <c r="B101" s="10" t="s">
        <v>3494</v>
      </c>
      <c r="C101" t="str">
        <f>Table13[[#This Row],[Manufacturer]]&amp;" "&amp;Table13[[#This Row],[Model]]</f>
        <v>Armstrong 64 001</v>
      </c>
      <c r="D101" s="1">
        <v>6</v>
      </c>
      <c r="E101" s="1" t="s">
        <v>169</v>
      </c>
      <c r="F101" s="38">
        <v>100</v>
      </c>
      <c r="G101" t="s">
        <v>164</v>
      </c>
    </row>
    <row r="102" spans="1:7" x14ac:dyDescent="0.25">
      <c r="A102" s="10" t="s">
        <v>3492</v>
      </c>
      <c r="B102" s="10" t="s">
        <v>3493</v>
      </c>
      <c r="C102" t="str">
        <f>Table13[[#This Row],[Manufacturer]]&amp;" "&amp;Table13[[#This Row],[Model]]</f>
        <v>Armstrong 64 004</v>
      </c>
      <c r="D102" s="1">
        <v>6</v>
      </c>
      <c r="E102" s="1" t="s">
        <v>169</v>
      </c>
      <c r="F102" s="38">
        <v>36</v>
      </c>
      <c r="G102" t="s">
        <v>164</v>
      </c>
    </row>
    <row r="103" spans="1:7" x14ac:dyDescent="0.25">
      <c r="A103" s="10" t="s">
        <v>3492</v>
      </c>
      <c r="B103" s="10" t="s">
        <v>3491</v>
      </c>
      <c r="C103" t="str">
        <f>Table13[[#This Row],[Manufacturer]]&amp;" "&amp;Table13[[#This Row],[Model]]</f>
        <v>Armstrong 64 005</v>
      </c>
      <c r="D103" s="1">
        <v>6</v>
      </c>
      <c r="E103" s="1" t="s">
        <v>169</v>
      </c>
      <c r="F103" s="38">
        <v>36</v>
      </c>
      <c r="G103" t="s">
        <v>164</v>
      </c>
    </row>
    <row r="104" spans="1:7" x14ac:dyDescent="0.25">
      <c r="A104" s="10" t="s">
        <v>3427</v>
      </c>
      <c r="B104" s="10" t="s">
        <v>3490</v>
      </c>
      <c r="C104" t="str">
        <f>Table13[[#This Row],[Manufacturer]]&amp;" "&amp;Table13[[#This Row],[Model]]</f>
        <v>ASG ASG-D35</v>
      </c>
      <c r="D104" s="1">
        <v>2.5</v>
      </c>
      <c r="E104" s="1" t="s">
        <v>169</v>
      </c>
      <c r="F104" s="38">
        <v>35.4</v>
      </c>
      <c r="G104" t="s">
        <v>164</v>
      </c>
    </row>
    <row r="105" spans="1:7" x14ac:dyDescent="0.25">
      <c r="A105" s="10" t="s">
        <v>3427</v>
      </c>
      <c r="B105" s="10" t="s">
        <v>3489</v>
      </c>
      <c r="C105" t="str">
        <f>Table13[[#This Row],[Manufacturer]]&amp;" "&amp;Table13[[#This Row],[Model]]</f>
        <v>ASG ASG-D4</v>
      </c>
      <c r="D105" s="1">
        <v>2.5</v>
      </c>
      <c r="E105" s="1" t="s">
        <v>169</v>
      </c>
      <c r="F105" s="38">
        <v>4.42</v>
      </c>
      <c r="G105" t="s">
        <v>164</v>
      </c>
    </row>
    <row r="106" spans="1:7" x14ac:dyDescent="0.25">
      <c r="A106" s="10" t="s">
        <v>3427</v>
      </c>
      <c r="B106" s="10" t="s">
        <v>3488</v>
      </c>
      <c r="C106" t="str">
        <f>Table13[[#This Row],[Manufacturer]]&amp;" "&amp;Table13[[#This Row],[Model]]</f>
        <v>ASG ASG-W177</v>
      </c>
      <c r="D106" s="1">
        <v>3</v>
      </c>
      <c r="E106" s="1" t="s">
        <v>169</v>
      </c>
      <c r="F106" s="38">
        <v>177</v>
      </c>
      <c r="G106" t="s">
        <v>164</v>
      </c>
    </row>
    <row r="107" spans="1:7" x14ac:dyDescent="0.25">
      <c r="A107" s="10" t="s">
        <v>3427</v>
      </c>
      <c r="B107" s="10" t="s">
        <v>3487</v>
      </c>
      <c r="C107" t="str">
        <f>Table13[[#This Row],[Manufacturer]]&amp;" "&amp;Table13[[#This Row],[Model]]</f>
        <v>ASG ASG-W177-NM</v>
      </c>
      <c r="D107" s="1">
        <v>1</v>
      </c>
      <c r="E107" s="1">
        <v>1</v>
      </c>
      <c r="F107" s="38">
        <v>20</v>
      </c>
      <c r="G107" t="s">
        <v>184</v>
      </c>
    </row>
    <row r="108" spans="1:7" x14ac:dyDescent="0.25">
      <c r="A108" s="10" t="s">
        <v>3427</v>
      </c>
      <c r="B108" s="10" t="s">
        <v>3486</v>
      </c>
      <c r="C108" t="str">
        <f>Table13[[#This Row],[Manufacturer]]&amp;" "&amp;Table13[[#This Row],[Model]]</f>
        <v>ASG ASG-W53</v>
      </c>
      <c r="D108" s="1">
        <v>1</v>
      </c>
      <c r="E108" s="1">
        <v>1</v>
      </c>
      <c r="F108" s="38">
        <v>6</v>
      </c>
      <c r="G108" t="s">
        <v>184</v>
      </c>
    </row>
    <row r="109" spans="1:7" x14ac:dyDescent="0.25">
      <c r="A109" s="10" t="s">
        <v>3427</v>
      </c>
      <c r="B109" s="10" t="s">
        <v>3485</v>
      </c>
      <c r="C109" t="str">
        <f>Table13[[#This Row],[Manufacturer]]&amp;" "&amp;Table13[[#This Row],[Model]]</f>
        <v>ASG DT2-030AR</v>
      </c>
      <c r="D109" s="1">
        <v>1</v>
      </c>
      <c r="E109" s="1">
        <v>1</v>
      </c>
      <c r="F109" s="38">
        <v>30</v>
      </c>
      <c r="G109" t="s">
        <v>184</v>
      </c>
    </row>
    <row r="110" spans="1:7" x14ac:dyDescent="0.25">
      <c r="A110" s="10" t="s">
        <v>3427</v>
      </c>
      <c r="B110" s="10" t="s">
        <v>3484</v>
      </c>
      <c r="C110" t="str">
        <f>Table13[[#This Row],[Manufacturer]]&amp;" "&amp;Table13[[#This Row],[Model]]</f>
        <v>ASG DT4-200AR</v>
      </c>
      <c r="D110" s="1">
        <v>1</v>
      </c>
      <c r="E110" s="1">
        <v>1</v>
      </c>
      <c r="F110" s="38">
        <v>200</v>
      </c>
      <c r="G110" t="s">
        <v>184</v>
      </c>
    </row>
    <row r="111" spans="1:7" x14ac:dyDescent="0.25">
      <c r="A111" s="10" t="s">
        <v>3427</v>
      </c>
      <c r="B111" s="10" t="s">
        <v>3483</v>
      </c>
      <c r="C111" t="str">
        <f>Table13[[#This Row],[Manufacturer]]&amp;" "&amp;Table13[[#This Row],[Model]]</f>
        <v>ASG DT4-340AR</v>
      </c>
      <c r="D111" s="1">
        <v>1</v>
      </c>
      <c r="E111" s="1">
        <v>1</v>
      </c>
      <c r="F111" s="38">
        <v>340</v>
      </c>
      <c r="G111" t="s">
        <v>184</v>
      </c>
    </row>
    <row r="112" spans="1:7" x14ac:dyDescent="0.25">
      <c r="A112" s="10" t="s">
        <v>3427</v>
      </c>
      <c r="B112" s="10" t="s">
        <v>3482</v>
      </c>
      <c r="C112" t="str">
        <f>Table13[[#This Row],[Manufacturer]]&amp;" "&amp;Table13[[#This Row],[Model]]</f>
        <v>ASG TW010</v>
      </c>
      <c r="D112" s="1">
        <v>1</v>
      </c>
      <c r="E112" s="1">
        <v>1</v>
      </c>
      <c r="F112" s="38">
        <v>10</v>
      </c>
      <c r="G112" t="s">
        <v>184</v>
      </c>
    </row>
    <row r="113" spans="1:7" x14ac:dyDescent="0.25">
      <c r="A113" s="10" t="s">
        <v>3427</v>
      </c>
      <c r="B113" s="10" t="s">
        <v>3481</v>
      </c>
      <c r="C113" t="str">
        <f>Table13[[#This Row],[Manufacturer]]&amp;" "&amp;Table13[[#This Row],[Model]]</f>
        <v>ASG TW010-W</v>
      </c>
      <c r="D113" s="1">
        <v>1</v>
      </c>
      <c r="E113" s="1">
        <v>1</v>
      </c>
      <c r="F113" s="38">
        <v>10</v>
      </c>
      <c r="G113" t="s">
        <v>184</v>
      </c>
    </row>
    <row r="114" spans="1:7" x14ac:dyDescent="0.25">
      <c r="A114" s="10" t="s">
        <v>3427</v>
      </c>
      <c r="B114" s="10" t="s">
        <v>3480</v>
      </c>
      <c r="C114" t="str">
        <f>Table13[[#This Row],[Manufacturer]]&amp;" "&amp;Table13[[#This Row],[Model]]</f>
        <v>ASG TW020</v>
      </c>
      <c r="D114" s="1">
        <v>1</v>
      </c>
      <c r="E114" s="1">
        <v>1</v>
      </c>
      <c r="F114" s="38">
        <v>20</v>
      </c>
      <c r="G114" t="s">
        <v>184</v>
      </c>
    </row>
    <row r="115" spans="1:7" x14ac:dyDescent="0.25">
      <c r="A115" s="10" t="s">
        <v>3427</v>
      </c>
      <c r="B115" s="10" t="s">
        <v>3479</v>
      </c>
      <c r="C115" t="str">
        <f>Table13[[#This Row],[Manufacturer]]&amp;" "&amp;Table13[[#This Row],[Model]]</f>
        <v>ASG TW020-W</v>
      </c>
      <c r="D115" s="1">
        <v>1</v>
      </c>
      <c r="E115" s="1">
        <v>1</v>
      </c>
      <c r="F115" s="38">
        <v>20</v>
      </c>
      <c r="G115" t="s">
        <v>184</v>
      </c>
    </row>
    <row r="116" spans="1:7" x14ac:dyDescent="0.25">
      <c r="A116" s="10" t="s">
        <v>3427</v>
      </c>
      <c r="B116" s="10" t="s">
        <v>3478</v>
      </c>
      <c r="C116" t="str">
        <f>Table13[[#This Row],[Manufacturer]]&amp;" "&amp;Table13[[#This Row],[Model]]</f>
        <v>ASG TW050</v>
      </c>
      <c r="D116" s="1">
        <v>1</v>
      </c>
      <c r="E116" s="1">
        <v>1</v>
      </c>
      <c r="F116" s="38">
        <v>50</v>
      </c>
      <c r="G116" t="s">
        <v>184</v>
      </c>
    </row>
    <row r="117" spans="1:7" x14ac:dyDescent="0.25">
      <c r="A117" s="10" t="s">
        <v>3427</v>
      </c>
      <c r="B117" s="10" t="s">
        <v>3477</v>
      </c>
      <c r="C117" t="str">
        <f>Table13[[#This Row],[Manufacturer]]&amp;" "&amp;Table13[[#This Row],[Model]]</f>
        <v>ASG TW050-W</v>
      </c>
      <c r="D117" s="1">
        <v>1</v>
      </c>
      <c r="E117" s="1">
        <v>1</v>
      </c>
      <c r="F117" s="38">
        <v>50</v>
      </c>
      <c r="G117" t="s">
        <v>184</v>
      </c>
    </row>
    <row r="118" spans="1:7" x14ac:dyDescent="0.25">
      <c r="A118" s="10" t="s">
        <v>3427</v>
      </c>
      <c r="B118" s="10" t="s">
        <v>3476</v>
      </c>
      <c r="C118" t="str">
        <f>Table13[[#This Row],[Manufacturer]]&amp;" "&amp;Table13[[#This Row],[Model]]</f>
        <v>ASG TW100</v>
      </c>
      <c r="D118" s="1">
        <v>1</v>
      </c>
      <c r="E118" s="1">
        <v>1</v>
      </c>
      <c r="F118" s="38">
        <v>100</v>
      </c>
      <c r="G118" t="s">
        <v>184</v>
      </c>
    </row>
    <row r="119" spans="1:7" x14ac:dyDescent="0.25">
      <c r="A119" s="10" t="s">
        <v>3427</v>
      </c>
      <c r="B119" s="10" t="s">
        <v>3475</v>
      </c>
      <c r="C119" t="str">
        <f>Table13[[#This Row],[Manufacturer]]&amp;" "&amp;Table13[[#This Row],[Model]]</f>
        <v>ASG TW1000</v>
      </c>
      <c r="D119" s="1">
        <v>1</v>
      </c>
      <c r="E119" s="1">
        <v>1</v>
      </c>
      <c r="F119" s="38">
        <v>1000</v>
      </c>
      <c r="G119" t="s">
        <v>184</v>
      </c>
    </row>
    <row r="120" spans="1:7" x14ac:dyDescent="0.25">
      <c r="A120" s="10" t="s">
        <v>3427</v>
      </c>
      <c r="B120" s="10" t="s">
        <v>3474</v>
      </c>
      <c r="C120" t="str">
        <f>Table13[[#This Row],[Manufacturer]]&amp;" "&amp;Table13[[#This Row],[Model]]</f>
        <v>ASG TW1000-W</v>
      </c>
      <c r="D120" s="1">
        <v>1</v>
      </c>
      <c r="E120" s="1">
        <v>1</v>
      </c>
      <c r="F120" s="38">
        <v>1000</v>
      </c>
      <c r="G120" t="s">
        <v>184</v>
      </c>
    </row>
    <row r="121" spans="1:7" x14ac:dyDescent="0.25">
      <c r="A121" s="10" t="s">
        <v>3427</v>
      </c>
      <c r="B121" s="10" t="s">
        <v>3473</v>
      </c>
      <c r="C121" t="str">
        <f>Table13[[#This Row],[Manufacturer]]&amp;" "&amp;Table13[[#This Row],[Model]]</f>
        <v>ASG TW100-W</v>
      </c>
      <c r="D121" s="1">
        <v>1</v>
      </c>
      <c r="E121" s="1">
        <v>1</v>
      </c>
      <c r="F121" s="38">
        <v>100</v>
      </c>
      <c r="G121" t="s">
        <v>184</v>
      </c>
    </row>
    <row r="122" spans="1:7" x14ac:dyDescent="0.25">
      <c r="A122" s="10" t="s">
        <v>3427</v>
      </c>
      <c r="B122" s="10" t="s">
        <v>3472</v>
      </c>
      <c r="C122" t="str">
        <f>Table13[[#This Row],[Manufacturer]]&amp;" "&amp;Table13[[#This Row],[Model]]</f>
        <v>ASG TW135</v>
      </c>
      <c r="D122" s="1">
        <v>1</v>
      </c>
      <c r="E122" s="1">
        <v>1</v>
      </c>
      <c r="F122" s="38">
        <v>135</v>
      </c>
      <c r="G122" t="s">
        <v>184</v>
      </c>
    </row>
    <row r="123" spans="1:7" x14ac:dyDescent="0.25">
      <c r="A123" s="10" t="s">
        <v>3427</v>
      </c>
      <c r="B123" s="10" t="s">
        <v>3471</v>
      </c>
      <c r="C123" t="str">
        <f>Table13[[#This Row],[Manufacturer]]&amp;" "&amp;Table13[[#This Row],[Model]]</f>
        <v>ASG TW135-W</v>
      </c>
      <c r="D123" s="1">
        <v>1</v>
      </c>
      <c r="E123" s="1">
        <v>1</v>
      </c>
      <c r="F123" s="38">
        <v>135</v>
      </c>
      <c r="G123" t="s">
        <v>184</v>
      </c>
    </row>
    <row r="124" spans="1:7" x14ac:dyDescent="0.25">
      <c r="A124" s="10" t="s">
        <v>3427</v>
      </c>
      <c r="B124" s="10" t="s">
        <v>3470</v>
      </c>
      <c r="C124" t="str">
        <f>Table13[[#This Row],[Manufacturer]]&amp;" "&amp;Table13[[#This Row],[Model]]</f>
        <v>ASG TW150</v>
      </c>
      <c r="D124" s="1">
        <v>1</v>
      </c>
      <c r="E124" s="1">
        <v>1</v>
      </c>
      <c r="F124" s="38">
        <v>150</v>
      </c>
      <c r="G124" t="s">
        <v>184</v>
      </c>
    </row>
    <row r="125" spans="1:7" x14ac:dyDescent="0.25">
      <c r="A125" s="10" t="s">
        <v>3427</v>
      </c>
      <c r="B125" s="10" t="s">
        <v>3469</v>
      </c>
      <c r="C125" t="str">
        <f>Table13[[#This Row],[Manufacturer]]&amp;" "&amp;Table13[[#This Row],[Model]]</f>
        <v>ASG TW1500</v>
      </c>
      <c r="D125" s="1">
        <v>1</v>
      </c>
      <c r="E125" s="1">
        <v>1</v>
      </c>
      <c r="F125" s="38">
        <v>1500</v>
      </c>
      <c r="G125" t="s">
        <v>184</v>
      </c>
    </row>
    <row r="126" spans="1:7" x14ac:dyDescent="0.25">
      <c r="A126" s="10" t="s">
        <v>3427</v>
      </c>
      <c r="B126" s="10" t="s">
        <v>3468</v>
      </c>
      <c r="C126" t="str">
        <f>Table13[[#This Row],[Manufacturer]]&amp;" "&amp;Table13[[#This Row],[Model]]</f>
        <v>ASG TW1500-W</v>
      </c>
      <c r="D126" s="1">
        <v>1</v>
      </c>
      <c r="E126" s="1">
        <v>1</v>
      </c>
      <c r="F126" s="38">
        <v>1500</v>
      </c>
      <c r="G126" t="s">
        <v>184</v>
      </c>
    </row>
    <row r="127" spans="1:7" x14ac:dyDescent="0.25">
      <c r="A127" s="10" t="s">
        <v>3427</v>
      </c>
      <c r="B127" s="10" t="s">
        <v>3467</v>
      </c>
      <c r="C127" t="str">
        <f>Table13[[#This Row],[Manufacturer]]&amp;" "&amp;Table13[[#This Row],[Model]]</f>
        <v>ASG TW150-W</v>
      </c>
      <c r="D127" s="1">
        <v>1</v>
      </c>
      <c r="E127" s="1">
        <v>1</v>
      </c>
      <c r="F127" s="38">
        <v>150</v>
      </c>
      <c r="G127" t="s">
        <v>184</v>
      </c>
    </row>
    <row r="128" spans="1:7" x14ac:dyDescent="0.25">
      <c r="A128" s="10" t="s">
        <v>3427</v>
      </c>
      <c r="B128" s="10" t="s">
        <v>3466</v>
      </c>
      <c r="C128" t="str">
        <f>Table13[[#This Row],[Manufacturer]]&amp;" "&amp;Table13[[#This Row],[Model]]</f>
        <v>ASG TW200</v>
      </c>
      <c r="D128" s="1">
        <v>1</v>
      </c>
      <c r="E128" s="1">
        <v>1</v>
      </c>
      <c r="F128" s="38">
        <v>200</v>
      </c>
      <c r="G128" t="s">
        <v>184</v>
      </c>
    </row>
    <row r="129" spans="1:7" x14ac:dyDescent="0.25">
      <c r="A129" s="10" t="s">
        <v>3427</v>
      </c>
      <c r="B129" s="10" t="s">
        <v>3465</v>
      </c>
      <c r="C129" t="str">
        <f>Table13[[#This Row],[Manufacturer]]&amp;" "&amp;Table13[[#This Row],[Model]]</f>
        <v>ASG TW2000</v>
      </c>
      <c r="D129" s="1">
        <v>1</v>
      </c>
      <c r="E129" s="1">
        <v>1</v>
      </c>
      <c r="F129" s="38">
        <v>2000</v>
      </c>
      <c r="G129" t="s">
        <v>184</v>
      </c>
    </row>
    <row r="130" spans="1:7" x14ac:dyDescent="0.25">
      <c r="A130" s="10" t="s">
        <v>3427</v>
      </c>
      <c r="B130" s="10" t="s">
        <v>3464</v>
      </c>
      <c r="C130" t="str">
        <f>Table13[[#This Row],[Manufacturer]]&amp;" "&amp;Table13[[#This Row],[Model]]</f>
        <v>ASG TW2000-W</v>
      </c>
      <c r="D130" s="1">
        <v>1</v>
      </c>
      <c r="E130" s="1">
        <v>1</v>
      </c>
      <c r="F130" s="38">
        <v>2000</v>
      </c>
      <c r="G130" t="s">
        <v>184</v>
      </c>
    </row>
    <row r="131" spans="1:7" x14ac:dyDescent="0.25">
      <c r="A131" s="10" t="s">
        <v>3427</v>
      </c>
      <c r="B131" s="10" t="s">
        <v>3463</v>
      </c>
      <c r="C131" t="str">
        <f>Table13[[#This Row],[Manufacturer]]&amp;" "&amp;Table13[[#This Row],[Model]]</f>
        <v>ASG TW200-W</v>
      </c>
      <c r="D131" s="1">
        <v>1</v>
      </c>
      <c r="E131" s="1">
        <v>1</v>
      </c>
      <c r="F131" s="38">
        <v>200</v>
      </c>
      <c r="G131" t="s">
        <v>184</v>
      </c>
    </row>
    <row r="132" spans="1:7" x14ac:dyDescent="0.25">
      <c r="A132" s="10" t="s">
        <v>3427</v>
      </c>
      <c r="B132" s="10" t="s">
        <v>3462</v>
      </c>
      <c r="C132" t="str">
        <f>Table13[[#This Row],[Manufacturer]]&amp;" "&amp;Table13[[#This Row],[Model]]</f>
        <v>ASG TW250</v>
      </c>
      <c r="D132" s="1">
        <v>1</v>
      </c>
      <c r="E132" s="1">
        <v>1</v>
      </c>
      <c r="F132" s="38">
        <v>250</v>
      </c>
      <c r="G132" t="s">
        <v>184</v>
      </c>
    </row>
    <row r="133" spans="1:7" x14ac:dyDescent="0.25">
      <c r="A133" s="10" t="s">
        <v>3427</v>
      </c>
      <c r="B133" s="10" t="s">
        <v>3461</v>
      </c>
      <c r="C133" t="str">
        <f>Table13[[#This Row],[Manufacturer]]&amp;" "&amp;Table13[[#This Row],[Model]]</f>
        <v>ASG TW250-W</v>
      </c>
      <c r="D133" s="1">
        <v>1</v>
      </c>
      <c r="E133" s="1">
        <v>1</v>
      </c>
      <c r="F133" s="38">
        <v>250</v>
      </c>
      <c r="G133" t="s">
        <v>184</v>
      </c>
    </row>
    <row r="134" spans="1:7" x14ac:dyDescent="0.25">
      <c r="A134" s="10" t="s">
        <v>3427</v>
      </c>
      <c r="B134" s="10" t="s">
        <v>3460</v>
      </c>
      <c r="C134" t="str">
        <f>Table13[[#This Row],[Manufacturer]]&amp;" "&amp;Table13[[#This Row],[Model]]</f>
        <v>ASG TW300</v>
      </c>
      <c r="D134" s="1">
        <v>1</v>
      </c>
      <c r="E134" s="1">
        <v>1</v>
      </c>
      <c r="F134" s="38">
        <v>300</v>
      </c>
      <c r="G134" t="s">
        <v>184</v>
      </c>
    </row>
    <row r="135" spans="1:7" x14ac:dyDescent="0.25">
      <c r="A135" s="10" t="s">
        <v>3427</v>
      </c>
      <c r="B135" s="10" t="s">
        <v>3459</v>
      </c>
      <c r="C135" t="str">
        <f>Table13[[#This Row],[Manufacturer]]&amp;" "&amp;Table13[[#This Row],[Model]]</f>
        <v>ASG TW300-W</v>
      </c>
      <c r="D135" s="1">
        <v>1</v>
      </c>
      <c r="E135" s="1">
        <v>1</v>
      </c>
      <c r="F135" s="38">
        <v>300</v>
      </c>
      <c r="G135" t="s">
        <v>184</v>
      </c>
    </row>
    <row r="136" spans="1:7" x14ac:dyDescent="0.25">
      <c r="A136" s="10" t="s">
        <v>3427</v>
      </c>
      <c r="B136" s="10" t="s">
        <v>3458</v>
      </c>
      <c r="C136" t="str">
        <f>Table13[[#This Row],[Manufacturer]]&amp;" "&amp;Table13[[#This Row],[Model]]</f>
        <v>ASG TW400</v>
      </c>
      <c r="D136" s="1">
        <v>1</v>
      </c>
      <c r="E136" s="1">
        <v>1</v>
      </c>
      <c r="F136" s="38">
        <v>400</v>
      </c>
      <c r="G136" t="s">
        <v>184</v>
      </c>
    </row>
    <row r="137" spans="1:7" x14ac:dyDescent="0.25">
      <c r="A137" s="10" t="s">
        <v>3427</v>
      </c>
      <c r="B137" s="10" t="s">
        <v>3457</v>
      </c>
      <c r="C137" t="str">
        <f>Table13[[#This Row],[Manufacturer]]&amp;" "&amp;Table13[[#This Row],[Model]]</f>
        <v>ASG TW400-W</v>
      </c>
      <c r="D137" s="1">
        <v>1</v>
      </c>
      <c r="E137" s="1">
        <v>1</v>
      </c>
      <c r="F137" s="38">
        <v>400</v>
      </c>
      <c r="G137" t="s">
        <v>184</v>
      </c>
    </row>
    <row r="138" spans="1:7" x14ac:dyDescent="0.25">
      <c r="A138" s="10" t="s">
        <v>3427</v>
      </c>
      <c r="B138" s="10" t="s">
        <v>3456</v>
      </c>
      <c r="C138" t="str">
        <f>Table13[[#This Row],[Manufacturer]]&amp;" "&amp;Table13[[#This Row],[Model]]</f>
        <v>ASG TW500</v>
      </c>
      <c r="D138" s="1">
        <v>1</v>
      </c>
      <c r="E138" s="1">
        <v>1</v>
      </c>
      <c r="F138" s="38">
        <v>500</v>
      </c>
      <c r="G138" t="s">
        <v>184</v>
      </c>
    </row>
    <row r="139" spans="1:7" x14ac:dyDescent="0.25">
      <c r="A139" s="10" t="s">
        <v>3427</v>
      </c>
      <c r="B139" s="10" t="s">
        <v>3455</v>
      </c>
      <c r="C139" t="str">
        <f>Table13[[#This Row],[Manufacturer]]&amp;" "&amp;Table13[[#This Row],[Model]]</f>
        <v>ASG TW500-W</v>
      </c>
      <c r="D139" s="1">
        <v>1</v>
      </c>
      <c r="E139" s="1">
        <v>1</v>
      </c>
      <c r="F139" s="38">
        <v>500</v>
      </c>
      <c r="G139" t="s">
        <v>184</v>
      </c>
    </row>
    <row r="140" spans="1:7" x14ac:dyDescent="0.25">
      <c r="A140" s="10" t="s">
        <v>3427</v>
      </c>
      <c r="B140" s="10" t="s">
        <v>3454</v>
      </c>
      <c r="C140" t="str">
        <f>Table13[[#This Row],[Manufacturer]]&amp;" "&amp;Table13[[#This Row],[Model]]</f>
        <v>ASG TW600</v>
      </c>
      <c r="D140" s="1">
        <v>1</v>
      </c>
      <c r="E140" s="1">
        <v>1</v>
      </c>
      <c r="F140" s="38">
        <v>600</v>
      </c>
      <c r="G140" t="s">
        <v>184</v>
      </c>
    </row>
    <row r="141" spans="1:7" x14ac:dyDescent="0.25">
      <c r="A141" s="10" t="s">
        <v>3427</v>
      </c>
      <c r="B141" s="10" t="s">
        <v>3453</v>
      </c>
      <c r="C141" t="str">
        <f>Table13[[#This Row],[Manufacturer]]&amp;" "&amp;Table13[[#This Row],[Model]]</f>
        <v>ASG TW600-W</v>
      </c>
      <c r="D141" s="1">
        <v>1</v>
      </c>
      <c r="E141" s="1">
        <v>1</v>
      </c>
      <c r="F141" s="38">
        <v>600</v>
      </c>
      <c r="G141" t="s">
        <v>184</v>
      </c>
    </row>
    <row r="142" spans="1:7" x14ac:dyDescent="0.25">
      <c r="A142" s="10" t="s">
        <v>3427</v>
      </c>
      <c r="B142" s="10" t="s">
        <v>3452</v>
      </c>
      <c r="C142" t="str">
        <f>Table13[[#This Row],[Manufacturer]]&amp;" "&amp;Table13[[#This Row],[Model]]</f>
        <v>ASG TW800</v>
      </c>
      <c r="D142" s="1">
        <v>1</v>
      </c>
      <c r="E142" s="1">
        <v>1</v>
      </c>
      <c r="F142" s="38">
        <v>800</v>
      </c>
      <c r="G142" t="s">
        <v>184</v>
      </c>
    </row>
    <row r="143" spans="1:7" x14ac:dyDescent="0.25">
      <c r="A143" s="10" t="s">
        <v>3427</v>
      </c>
      <c r="B143" s="10" t="s">
        <v>3451</v>
      </c>
      <c r="C143" t="str">
        <f>Table13[[#This Row],[Manufacturer]]&amp;" "&amp;Table13[[#This Row],[Model]]</f>
        <v>ASG TW800-W</v>
      </c>
      <c r="D143" s="1">
        <v>1</v>
      </c>
      <c r="E143" s="1">
        <v>1</v>
      </c>
      <c r="F143" s="38">
        <v>800</v>
      </c>
      <c r="G143" t="s">
        <v>184</v>
      </c>
    </row>
    <row r="144" spans="1:7" x14ac:dyDescent="0.25">
      <c r="A144" s="10" t="s">
        <v>3427</v>
      </c>
      <c r="B144" s="10">
        <v>65101</v>
      </c>
      <c r="C144" t="str">
        <f>Table13[[#This Row],[Manufacturer]]&amp;" "&amp;Table13[[#This Row],[Model]]</f>
        <v>ASG 65101</v>
      </c>
      <c r="D144" s="1">
        <v>6</v>
      </c>
      <c r="E144" s="1" t="s">
        <v>169</v>
      </c>
      <c r="F144" s="38">
        <v>100</v>
      </c>
      <c r="G144" t="s">
        <v>172</v>
      </c>
    </row>
    <row r="145" spans="1:7" x14ac:dyDescent="0.25">
      <c r="A145" s="10" t="s">
        <v>3427</v>
      </c>
      <c r="B145" s="10">
        <v>65102</v>
      </c>
      <c r="C145" t="str">
        <f>Table13[[#This Row],[Manufacturer]]&amp;" "&amp;Table13[[#This Row],[Model]]</f>
        <v>ASG 65102</v>
      </c>
      <c r="D145" s="1">
        <v>6</v>
      </c>
      <c r="E145" s="1" t="s">
        <v>169</v>
      </c>
      <c r="F145" s="38">
        <v>15</v>
      </c>
      <c r="G145" t="s">
        <v>164</v>
      </c>
    </row>
    <row r="146" spans="1:7" x14ac:dyDescent="0.25">
      <c r="A146" s="10" t="s">
        <v>3427</v>
      </c>
      <c r="B146" s="10">
        <v>65103</v>
      </c>
      <c r="C146" t="str">
        <f>Table13[[#This Row],[Manufacturer]]&amp;" "&amp;Table13[[#This Row],[Model]]</f>
        <v>ASG 65103</v>
      </c>
      <c r="D146" s="1">
        <v>6</v>
      </c>
      <c r="E146" s="1" t="s">
        <v>169</v>
      </c>
      <c r="F146" s="38">
        <v>40</v>
      </c>
      <c r="G146" t="s">
        <v>164</v>
      </c>
    </row>
    <row r="147" spans="1:7" x14ac:dyDescent="0.25">
      <c r="A147" s="10" t="s">
        <v>3427</v>
      </c>
      <c r="B147" s="10">
        <v>65104</v>
      </c>
      <c r="C147" t="str">
        <f>Table13[[#This Row],[Manufacturer]]&amp;" "&amp;Table13[[#This Row],[Model]]</f>
        <v>ASG 65104</v>
      </c>
      <c r="D147" s="1">
        <v>6</v>
      </c>
      <c r="E147" s="1" t="s">
        <v>169</v>
      </c>
      <c r="F147" s="38">
        <v>2</v>
      </c>
      <c r="G147" t="s">
        <v>164</v>
      </c>
    </row>
    <row r="148" spans="1:7" x14ac:dyDescent="0.25">
      <c r="A148" s="10" t="s">
        <v>3427</v>
      </c>
      <c r="B148" s="10">
        <v>65105</v>
      </c>
      <c r="C148" t="str">
        <f>Table13[[#This Row],[Manufacturer]]&amp;" "&amp;Table13[[#This Row],[Model]]</f>
        <v>ASG 65105</v>
      </c>
      <c r="D148" s="1">
        <v>6</v>
      </c>
      <c r="E148" s="1" t="s">
        <v>169</v>
      </c>
      <c r="F148" s="38">
        <v>100</v>
      </c>
      <c r="G148" t="s">
        <v>172</v>
      </c>
    </row>
    <row r="149" spans="1:7" x14ac:dyDescent="0.25">
      <c r="A149" s="10" t="s">
        <v>3427</v>
      </c>
      <c r="B149" s="10">
        <v>65106</v>
      </c>
      <c r="C149" t="str">
        <f>Table13[[#This Row],[Manufacturer]]&amp;" "&amp;Table13[[#This Row],[Model]]</f>
        <v>ASG 65106</v>
      </c>
      <c r="D149" s="1">
        <v>6</v>
      </c>
      <c r="E149" s="1" t="s">
        <v>169</v>
      </c>
      <c r="F149" s="38">
        <v>15</v>
      </c>
      <c r="G149" t="s">
        <v>164</v>
      </c>
    </row>
    <row r="150" spans="1:7" x14ac:dyDescent="0.25">
      <c r="A150" s="10" t="s">
        <v>3427</v>
      </c>
      <c r="B150" s="10">
        <v>65107</v>
      </c>
      <c r="C150" t="str">
        <f>Table13[[#This Row],[Manufacturer]]&amp;" "&amp;Table13[[#This Row],[Model]]</f>
        <v>ASG 65107</v>
      </c>
      <c r="D150" s="1">
        <v>6</v>
      </c>
      <c r="E150" s="1" t="s">
        <v>169</v>
      </c>
      <c r="F150" s="38">
        <v>40</v>
      </c>
      <c r="G150" t="s">
        <v>164</v>
      </c>
    </row>
    <row r="151" spans="1:7" x14ac:dyDescent="0.25">
      <c r="A151" s="10" t="s">
        <v>3427</v>
      </c>
      <c r="B151" s="10" t="s">
        <v>3450</v>
      </c>
      <c r="C151" t="str">
        <f>Table13[[#This Row],[Manufacturer]]&amp;" "&amp;Table13[[#This Row],[Model]]</f>
        <v>ASG AS-012NM-H</v>
      </c>
      <c r="D151" s="1">
        <v>6</v>
      </c>
      <c r="E151" s="1" t="s">
        <v>169</v>
      </c>
      <c r="F151" s="38">
        <v>1.2</v>
      </c>
      <c r="G151" t="s">
        <v>184</v>
      </c>
    </row>
    <row r="152" spans="1:7" x14ac:dyDescent="0.25">
      <c r="A152" s="10" t="s">
        <v>3427</v>
      </c>
      <c r="B152" s="10" t="s">
        <v>3449</v>
      </c>
      <c r="C152" t="str">
        <f>Table13[[#This Row],[Manufacturer]]&amp;" "&amp;Table13[[#This Row],[Model]]</f>
        <v>ASG AS-012NM-H-CG</v>
      </c>
      <c r="D152" s="1">
        <v>6</v>
      </c>
      <c r="E152" s="1" t="s">
        <v>169</v>
      </c>
      <c r="F152" s="38">
        <v>1.2</v>
      </c>
      <c r="G152" t="s">
        <v>184</v>
      </c>
    </row>
    <row r="153" spans="1:7" x14ac:dyDescent="0.25">
      <c r="A153" s="10" t="s">
        <v>3427</v>
      </c>
      <c r="B153" s="10" t="s">
        <v>3448</v>
      </c>
      <c r="C153" t="str">
        <f>Table13[[#This Row],[Manufacturer]]&amp;" "&amp;Table13[[#This Row],[Model]]</f>
        <v>ASG AS-040IN-H</v>
      </c>
      <c r="D153" s="1">
        <v>6</v>
      </c>
      <c r="E153" s="1" t="s">
        <v>169</v>
      </c>
      <c r="F153" s="38">
        <v>4</v>
      </c>
      <c r="G153" t="s">
        <v>164</v>
      </c>
    </row>
    <row r="154" spans="1:7" x14ac:dyDescent="0.25">
      <c r="A154" s="10" t="s">
        <v>3427</v>
      </c>
      <c r="B154" s="10" t="s">
        <v>3447</v>
      </c>
      <c r="C154" t="str">
        <f>Table13[[#This Row],[Manufacturer]]&amp;" "&amp;Table13[[#This Row],[Model]]</f>
        <v>ASG AS-040IN-H-CG</v>
      </c>
      <c r="D154" s="1">
        <v>6</v>
      </c>
      <c r="E154" s="1" t="s">
        <v>169</v>
      </c>
      <c r="F154" s="38">
        <v>4</v>
      </c>
      <c r="G154" t="s">
        <v>164</v>
      </c>
    </row>
    <row r="155" spans="1:7" x14ac:dyDescent="0.25">
      <c r="A155" s="10" t="s">
        <v>3427</v>
      </c>
      <c r="B155" s="10" t="s">
        <v>3446</v>
      </c>
      <c r="C155" t="str">
        <f>Table13[[#This Row],[Manufacturer]]&amp;" "&amp;Table13[[#This Row],[Model]]</f>
        <v>ASG AS-060NM-H</v>
      </c>
      <c r="D155" s="1">
        <v>6</v>
      </c>
      <c r="E155" s="1" t="s">
        <v>169</v>
      </c>
      <c r="F155" s="38">
        <v>6</v>
      </c>
      <c r="G155" t="s">
        <v>184</v>
      </c>
    </row>
    <row r="156" spans="1:7" x14ac:dyDescent="0.25">
      <c r="A156" s="10" t="s">
        <v>3427</v>
      </c>
      <c r="B156" s="10" t="s">
        <v>3445</v>
      </c>
      <c r="C156" t="str">
        <f>Table13[[#This Row],[Manufacturer]]&amp;" "&amp;Table13[[#This Row],[Model]]</f>
        <v>ASG AS-060NM-H-CG</v>
      </c>
      <c r="D156" s="1">
        <v>6</v>
      </c>
      <c r="E156" s="1" t="s">
        <v>169</v>
      </c>
      <c r="F156" s="38">
        <v>6</v>
      </c>
      <c r="G156" t="s">
        <v>184</v>
      </c>
    </row>
    <row r="157" spans="1:7" x14ac:dyDescent="0.25">
      <c r="A157" s="10" t="s">
        <v>3427</v>
      </c>
      <c r="B157" s="10" t="s">
        <v>3444</v>
      </c>
      <c r="C157" t="str">
        <f>Table13[[#This Row],[Manufacturer]]&amp;" "&amp;Table13[[#This Row],[Model]]</f>
        <v>ASG AS-100NM-S</v>
      </c>
      <c r="D157" s="1">
        <v>6</v>
      </c>
      <c r="E157" s="1" t="s">
        <v>169</v>
      </c>
      <c r="F157" s="38">
        <v>10</v>
      </c>
      <c r="G157" t="s">
        <v>184</v>
      </c>
    </row>
    <row r="158" spans="1:7" x14ac:dyDescent="0.25">
      <c r="A158" s="10" t="s">
        <v>3427</v>
      </c>
      <c r="B158" s="10" t="s">
        <v>3443</v>
      </c>
      <c r="C158" t="str">
        <f>Table13[[#This Row],[Manufacturer]]&amp;" "&amp;Table13[[#This Row],[Model]]</f>
        <v>ASG AS-100NM-S-CG</v>
      </c>
      <c r="D158" s="1">
        <v>6</v>
      </c>
      <c r="E158" s="1" t="s">
        <v>169</v>
      </c>
      <c r="F158" s="38">
        <v>10</v>
      </c>
      <c r="G158" t="s">
        <v>184</v>
      </c>
    </row>
    <row r="159" spans="1:7" x14ac:dyDescent="0.25">
      <c r="A159" s="10" t="s">
        <v>3427</v>
      </c>
      <c r="B159" s="10" t="s">
        <v>3442</v>
      </c>
      <c r="C159" t="str">
        <f>Table13[[#This Row],[Manufacturer]]&amp;" "&amp;Table13[[#This Row],[Model]]</f>
        <v>ASG AS-150IN-H</v>
      </c>
      <c r="D159" s="1">
        <v>6</v>
      </c>
      <c r="E159" s="1" t="s">
        <v>169</v>
      </c>
      <c r="F159" s="38">
        <v>15</v>
      </c>
      <c r="G159" t="s">
        <v>164</v>
      </c>
    </row>
    <row r="160" spans="1:7" x14ac:dyDescent="0.25">
      <c r="A160" s="10" t="s">
        <v>3427</v>
      </c>
      <c r="B160" s="10" t="s">
        <v>3441</v>
      </c>
      <c r="C160" t="str">
        <f>Table13[[#This Row],[Manufacturer]]&amp;" "&amp;Table13[[#This Row],[Model]]</f>
        <v>ASG AS-150IN-H-CG</v>
      </c>
      <c r="D160" s="1">
        <v>6</v>
      </c>
      <c r="E160" s="1" t="s">
        <v>169</v>
      </c>
      <c r="F160" s="38">
        <v>15</v>
      </c>
      <c r="G160" t="s">
        <v>164</v>
      </c>
    </row>
    <row r="161" spans="1:7" x14ac:dyDescent="0.25">
      <c r="A161" s="10" t="s">
        <v>3427</v>
      </c>
      <c r="B161" s="10" t="s">
        <v>3440</v>
      </c>
      <c r="C161" t="str">
        <f>Table13[[#This Row],[Manufacturer]]&amp;" "&amp;Table13[[#This Row],[Model]]</f>
        <v>ASG AS-900IN-S</v>
      </c>
      <c r="D161" s="1">
        <v>6</v>
      </c>
      <c r="E161" s="1" t="s">
        <v>169</v>
      </c>
      <c r="F161" s="38">
        <v>90</v>
      </c>
      <c r="G161" t="s">
        <v>164</v>
      </c>
    </row>
    <row r="162" spans="1:7" x14ac:dyDescent="0.25">
      <c r="A162" s="10" t="s">
        <v>3427</v>
      </c>
      <c r="B162" s="10" t="s">
        <v>3439</v>
      </c>
      <c r="C162" t="str">
        <f>Table13[[#This Row],[Manufacturer]]&amp;" "&amp;Table13[[#This Row],[Model]]</f>
        <v>ASG AS-900IN-S-CG</v>
      </c>
      <c r="D162" s="1">
        <v>6</v>
      </c>
      <c r="E162" s="1" t="s">
        <v>169</v>
      </c>
      <c r="F162" s="38">
        <v>90</v>
      </c>
      <c r="G162" t="s">
        <v>164</v>
      </c>
    </row>
    <row r="163" spans="1:7" x14ac:dyDescent="0.25">
      <c r="A163" s="10" t="s">
        <v>3427</v>
      </c>
      <c r="B163" s="10" t="s">
        <v>3438</v>
      </c>
      <c r="C163" t="str">
        <f>Table13[[#This Row],[Manufacturer]]&amp;" "&amp;Table13[[#This Row],[Model]]</f>
        <v>ASG ASG-A15</v>
      </c>
      <c r="D163" s="1">
        <v>6</v>
      </c>
      <c r="E163" s="1" t="s">
        <v>169</v>
      </c>
      <c r="F163" s="38">
        <v>15</v>
      </c>
      <c r="G163" t="s">
        <v>164</v>
      </c>
    </row>
    <row r="164" spans="1:7" x14ac:dyDescent="0.25">
      <c r="A164" s="10" t="s">
        <v>3427</v>
      </c>
      <c r="B164" s="10" t="s">
        <v>3437</v>
      </c>
      <c r="C164" t="str">
        <f>Table13[[#This Row],[Manufacturer]]&amp;" "&amp;Table13[[#This Row],[Model]]</f>
        <v>ASG ASG-A40</v>
      </c>
      <c r="D164" s="1">
        <v>6</v>
      </c>
      <c r="E164" s="1" t="s">
        <v>169</v>
      </c>
      <c r="F164" s="38">
        <v>40</v>
      </c>
      <c r="G164" t="s">
        <v>164</v>
      </c>
    </row>
    <row r="165" spans="1:7" x14ac:dyDescent="0.25">
      <c r="A165" s="10" t="s">
        <v>3427</v>
      </c>
      <c r="B165" s="10" t="s">
        <v>3436</v>
      </c>
      <c r="C165" t="str">
        <f>Table13[[#This Row],[Manufacturer]]&amp;" "&amp;Table13[[#This Row],[Model]]</f>
        <v>ASG ASG-A6</v>
      </c>
      <c r="D165" s="1">
        <v>6</v>
      </c>
      <c r="E165" s="1" t="s">
        <v>169</v>
      </c>
      <c r="F165" s="38">
        <v>100</v>
      </c>
      <c r="G165" t="s">
        <v>172</v>
      </c>
    </row>
    <row r="166" spans="1:7" x14ac:dyDescent="0.25">
      <c r="A166" s="10" t="s">
        <v>3427</v>
      </c>
      <c r="B166" s="10" t="s">
        <v>3435</v>
      </c>
      <c r="C166" t="str">
        <f>Table13[[#This Row],[Manufacturer]]&amp;" "&amp;Table13[[#This Row],[Model]]</f>
        <v>ASG ASG-P15</v>
      </c>
      <c r="D166" s="1">
        <v>6</v>
      </c>
      <c r="E166" s="1" t="s">
        <v>169</v>
      </c>
      <c r="F166" s="38">
        <v>15</v>
      </c>
      <c r="G166" t="s">
        <v>164</v>
      </c>
    </row>
    <row r="167" spans="1:7" x14ac:dyDescent="0.25">
      <c r="A167" s="10" t="s">
        <v>3427</v>
      </c>
      <c r="B167" s="10" t="s">
        <v>3434</v>
      </c>
      <c r="C167" t="str">
        <f>Table13[[#This Row],[Manufacturer]]&amp;" "&amp;Table13[[#This Row],[Model]]</f>
        <v>ASG ASG-P2</v>
      </c>
      <c r="D167" s="1">
        <v>6</v>
      </c>
      <c r="E167" s="1" t="s">
        <v>169</v>
      </c>
      <c r="F167" s="38">
        <v>2</v>
      </c>
      <c r="G167" t="s">
        <v>164</v>
      </c>
    </row>
    <row r="168" spans="1:7" x14ac:dyDescent="0.25">
      <c r="A168" s="10" t="s">
        <v>3427</v>
      </c>
      <c r="B168" s="10" t="s">
        <v>3433</v>
      </c>
      <c r="C168" t="str">
        <f>Table13[[#This Row],[Manufacturer]]&amp;" "&amp;Table13[[#This Row],[Model]]</f>
        <v>ASG ASG-P40</v>
      </c>
      <c r="D168" s="1">
        <v>6</v>
      </c>
      <c r="E168" s="1" t="s">
        <v>169</v>
      </c>
      <c r="F168" s="38">
        <v>40</v>
      </c>
      <c r="G168" t="s">
        <v>164</v>
      </c>
    </row>
    <row r="169" spans="1:7" x14ac:dyDescent="0.25">
      <c r="A169" s="10" t="s">
        <v>3427</v>
      </c>
      <c r="B169" s="10" t="s">
        <v>3432</v>
      </c>
      <c r="C169" t="str">
        <f>Table13[[#This Row],[Manufacturer]]&amp;" "&amp;Table13[[#This Row],[Model]]</f>
        <v>ASG ASG-P6</v>
      </c>
      <c r="D169" s="1">
        <v>6</v>
      </c>
      <c r="E169" s="1" t="s">
        <v>169</v>
      </c>
      <c r="F169" s="38">
        <v>100</v>
      </c>
      <c r="G169" t="s">
        <v>172</v>
      </c>
    </row>
    <row r="170" spans="1:7" x14ac:dyDescent="0.25">
      <c r="A170" s="10" t="s">
        <v>3427</v>
      </c>
      <c r="B170" s="10" t="s">
        <v>3431</v>
      </c>
      <c r="C170" t="str">
        <f>Table13[[#This Row],[Manufacturer]]&amp;" "&amp;Table13[[#This Row],[Model]]</f>
        <v>ASG PS-012NM-H</v>
      </c>
      <c r="D170" s="1">
        <v>6</v>
      </c>
      <c r="E170" s="1" t="s">
        <v>169</v>
      </c>
      <c r="F170" s="38">
        <v>1.2</v>
      </c>
      <c r="G170" t="s">
        <v>184</v>
      </c>
    </row>
    <row r="171" spans="1:7" x14ac:dyDescent="0.25">
      <c r="A171" s="10" t="s">
        <v>3427</v>
      </c>
      <c r="B171" s="10" t="s">
        <v>3430</v>
      </c>
      <c r="C171" t="str">
        <f>Table13[[#This Row],[Manufacturer]]&amp;" "&amp;Table13[[#This Row],[Model]]</f>
        <v>ASG PS-018NM-H</v>
      </c>
      <c r="D171" s="1">
        <v>6</v>
      </c>
      <c r="E171" s="1" t="s">
        <v>169</v>
      </c>
      <c r="F171" s="38">
        <v>1.8</v>
      </c>
      <c r="G171" t="s">
        <v>184</v>
      </c>
    </row>
    <row r="172" spans="1:7" x14ac:dyDescent="0.25">
      <c r="A172" s="10" t="s">
        <v>3427</v>
      </c>
      <c r="B172" s="10" t="s">
        <v>3429</v>
      </c>
      <c r="C172" t="str">
        <f>Table13[[#This Row],[Manufacturer]]&amp;" "&amp;Table13[[#This Row],[Model]]</f>
        <v>ASG PS-018NM-H-CG</v>
      </c>
      <c r="D172" s="1">
        <v>6</v>
      </c>
      <c r="E172" s="1" t="s">
        <v>169</v>
      </c>
      <c r="F172" s="38">
        <v>1.8</v>
      </c>
      <c r="G172" t="s">
        <v>184</v>
      </c>
    </row>
    <row r="173" spans="1:7" x14ac:dyDescent="0.25">
      <c r="A173" s="10" t="s">
        <v>3427</v>
      </c>
      <c r="B173" s="10" t="s">
        <v>3428</v>
      </c>
      <c r="C173" t="str">
        <f>Table13[[#This Row],[Manufacturer]]&amp;" "&amp;Table13[[#This Row],[Model]]</f>
        <v>ASG PS-060HM-S</v>
      </c>
      <c r="D173" s="1">
        <v>6</v>
      </c>
      <c r="E173" s="1" t="s">
        <v>169</v>
      </c>
      <c r="F173" s="38">
        <v>6</v>
      </c>
      <c r="G173" t="s">
        <v>184</v>
      </c>
    </row>
    <row r="174" spans="1:7" x14ac:dyDescent="0.25">
      <c r="A174" s="10" t="s">
        <v>3427</v>
      </c>
      <c r="B174" s="10" t="s">
        <v>3426</v>
      </c>
      <c r="C174" t="str">
        <f>Table13[[#This Row],[Manufacturer]]&amp;" "&amp;Table13[[#This Row],[Model]]</f>
        <v>ASG PS-060HM-S-CG</v>
      </c>
      <c r="D174" s="1">
        <v>6</v>
      </c>
      <c r="E174" s="1" t="s">
        <v>169</v>
      </c>
      <c r="F174" s="38">
        <v>6</v>
      </c>
      <c r="G174" t="s">
        <v>184</v>
      </c>
    </row>
    <row r="175" spans="1:7" x14ac:dyDescent="0.25">
      <c r="A175" s="10" t="s">
        <v>3417</v>
      </c>
      <c r="B175" s="10">
        <v>109</v>
      </c>
      <c r="C175" t="str">
        <f>Table13[[#This Row],[Manufacturer]]&amp;" "&amp;Table13[[#This Row],[Model]]</f>
        <v>ATD Tools 109</v>
      </c>
      <c r="D175" s="1">
        <v>4</v>
      </c>
      <c r="E175" s="1" t="s">
        <v>169</v>
      </c>
      <c r="F175" s="38">
        <v>600</v>
      </c>
      <c r="G175" t="s">
        <v>166</v>
      </c>
    </row>
    <row r="176" spans="1:7" x14ac:dyDescent="0.25">
      <c r="A176" s="10" t="s">
        <v>3417</v>
      </c>
      <c r="B176" s="10">
        <v>12504</v>
      </c>
      <c r="C176" t="str">
        <f>Table13[[#This Row],[Manufacturer]]&amp;" "&amp;Table13[[#This Row],[Model]]</f>
        <v>ATD Tools 12504</v>
      </c>
      <c r="D176" s="1">
        <v>4</v>
      </c>
      <c r="E176" s="1" t="s">
        <v>169</v>
      </c>
      <c r="F176" s="38">
        <v>250</v>
      </c>
      <c r="G176" t="s">
        <v>166</v>
      </c>
    </row>
    <row r="177" spans="1:7" x14ac:dyDescent="0.25">
      <c r="A177" s="10" t="s">
        <v>3417</v>
      </c>
      <c r="B177" s="10" t="s">
        <v>3425</v>
      </c>
      <c r="C177" t="str">
        <f>Table13[[#This Row],[Manufacturer]]&amp;" "&amp;Table13[[#This Row],[Model]]</f>
        <v>ATD Tools ATD-12500A</v>
      </c>
      <c r="D177" s="1">
        <v>4</v>
      </c>
      <c r="E177" s="1" t="s">
        <v>169</v>
      </c>
      <c r="F177" s="38">
        <v>200</v>
      </c>
      <c r="G177" t="s">
        <v>164</v>
      </c>
    </row>
    <row r="178" spans="1:7" x14ac:dyDescent="0.25">
      <c r="A178" s="10" t="s">
        <v>3417</v>
      </c>
      <c r="B178" s="10" t="s">
        <v>3424</v>
      </c>
      <c r="C178" t="str">
        <f>Table13[[#This Row],[Manufacturer]]&amp;" "&amp;Table13[[#This Row],[Model]]</f>
        <v>ATD Tools ATD-12501A</v>
      </c>
      <c r="D178" s="1">
        <v>4</v>
      </c>
      <c r="E178" s="1" t="s">
        <v>169</v>
      </c>
      <c r="F178" s="38">
        <v>250</v>
      </c>
      <c r="G178" t="s">
        <v>164</v>
      </c>
    </row>
    <row r="179" spans="1:7" x14ac:dyDescent="0.25">
      <c r="A179" s="10" t="s">
        <v>3417</v>
      </c>
      <c r="B179" s="10" t="s">
        <v>3423</v>
      </c>
      <c r="C179" t="str">
        <f>Table13[[#This Row],[Manufacturer]]&amp;" "&amp;Table13[[#This Row],[Model]]</f>
        <v>ATD Tools ATD-12502A</v>
      </c>
      <c r="D179" s="1">
        <v>4</v>
      </c>
      <c r="E179" s="1" t="s">
        <v>169</v>
      </c>
      <c r="F179" s="38">
        <v>100</v>
      </c>
      <c r="G179" t="s">
        <v>166</v>
      </c>
    </row>
    <row r="180" spans="1:7" x14ac:dyDescent="0.25">
      <c r="A180" s="10" t="s">
        <v>3417</v>
      </c>
      <c r="B180" s="10" t="s">
        <v>3422</v>
      </c>
      <c r="C180" t="str">
        <f>Table13[[#This Row],[Manufacturer]]&amp;" "&amp;Table13[[#This Row],[Model]]</f>
        <v>ATD Tools ATD-12504A</v>
      </c>
      <c r="D180" s="1">
        <v>4</v>
      </c>
      <c r="E180" s="1" t="s">
        <v>169</v>
      </c>
      <c r="F180" s="38">
        <v>250</v>
      </c>
      <c r="G180" t="s">
        <v>166</v>
      </c>
    </row>
    <row r="181" spans="1:7" x14ac:dyDescent="0.25">
      <c r="A181" s="10" t="s">
        <v>3417</v>
      </c>
      <c r="B181" s="10" t="s">
        <v>3421</v>
      </c>
      <c r="C181" t="str">
        <f>Table13[[#This Row],[Manufacturer]]&amp;" "&amp;Table13[[#This Row],[Model]]</f>
        <v>ATD Tools ATD-12505</v>
      </c>
      <c r="D181" s="1">
        <v>4</v>
      </c>
      <c r="E181" s="1" t="s">
        <v>169</v>
      </c>
      <c r="F181" s="38">
        <v>600</v>
      </c>
      <c r="G181" t="s">
        <v>166</v>
      </c>
    </row>
    <row r="182" spans="1:7" x14ac:dyDescent="0.25">
      <c r="A182" s="10" t="s">
        <v>3417</v>
      </c>
      <c r="B182" s="10" t="s">
        <v>3420</v>
      </c>
      <c r="C182" t="str">
        <f>Table13[[#This Row],[Manufacturer]]&amp;" "&amp;Table13[[#This Row],[Model]]</f>
        <v>ATD Tools ATD-12505A</v>
      </c>
      <c r="D182" s="1">
        <v>4</v>
      </c>
      <c r="E182" s="1" t="s">
        <v>169</v>
      </c>
      <c r="F182" s="38">
        <v>600</v>
      </c>
      <c r="G182" t="s">
        <v>166</v>
      </c>
    </row>
    <row r="183" spans="1:7" x14ac:dyDescent="0.25">
      <c r="A183" s="10" t="s">
        <v>3417</v>
      </c>
      <c r="B183" s="10" t="s">
        <v>3419</v>
      </c>
      <c r="C183" t="str">
        <f>Table13[[#This Row],[Manufacturer]]&amp;" "&amp;Table13[[#This Row],[Model]]</f>
        <v>ATD Tools ATD-2504</v>
      </c>
      <c r="D183" s="1">
        <v>4</v>
      </c>
      <c r="E183" s="1">
        <v>4</v>
      </c>
      <c r="F183" s="38">
        <v>250</v>
      </c>
      <c r="G183" t="s">
        <v>166</v>
      </c>
    </row>
    <row r="184" spans="1:7" x14ac:dyDescent="0.25">
      <c r="A184" s="10" t="s">
        <v>3417</v>
      </c>
      <c r="B184" s="10" t="s">
        <v>3418</v>
      </c>
      <c r="C184" t="str">
        <f>Table13[[#This Row],[Manufacturer]]&amp;" "&amp;Table13[[#This Row],[Model]]</f>
        <v>ATD Tools ATD2505</v>
      </c>
      <c r="D184" s="1">
        <v>4</v>
      </c>
      <c r="E184" s="1">
        <v>4</v>
      </c>
      <c r="F184" s="38">
        <v>600</v>
      </c>
      <c r="G184" t="s">
        <v>166</v>
      </c>
    </row>
    <row r="185" spans="1:7" x14ac:dyDescent="0.25">
      <c r="A185" s="10" t="s">
        <v>3417</v>
      </c>
      <c r="B185" s="10" t="s">
        <v>3416</v>
      </c>
      <c r="C185" t="str">
        <f>Table13[[#This Row],[Manufacturer]]&amp;" "&amp;Table13[[#This Row],[Model]]</f>
        <v>ATD Tools ATD-2505</v>
      </c>
      <c r="D185" s="1">
        <v>4</v>
      </c>
      <c r="E185" s="1">
        <v>4</v>
      </c>
      <c r="F185" s="38">
        <v>600</v>
      </c>
      <c r="G185" t="s">
        <v>166</v>
      </c>
    </row>
    <row r="186" spans="1:7" x14ac:dyDescent="0.25">
      <c r="A186" s="10" t="s">
        <v>3415</v>
      </c>
      <c r="B186" s="10">
        <v>55640201</v>
      </c>
      <c r="C186" t="str">
        <f>Table13[[#This Row],[Manufacturer]]&amp;" "&amp;Table13[[#This Row],[Model]]</f>
        <v>Atorn 55640201</v>
      </c>
      <c r="D186" s="1">
        <v>4</v>
      </c>
      <c r="E186" s="1" t="s">
        <v>169</v>
      </c>
      <c r="F186" s="38">
        <v>6</v>
      </c>
      <c r="G186" t="s">
        <v>184</v>
      </c>
    </row>
    <row r="187" spans="1:7" x14ac:dyDescent="0.25">
      <c r="A187" s="10" t="s">
        <v>3415</v>
      </c>
      <c r="B187" s="10">
        <v>55640202</v>
      </c>
      <c r="C187" t="str">
        <f>Table13[[#This Row],[Manufacturer]]&amp;" "&amp;Table13[[#This Row],[Model]]</f>
        <v>Atorn 55640202</v>
      </c>
      <c r="D187" s="1">
        <v>3</v>
      </c>
      <c r="E187" s="1" t="s">
        <v>169</v>
      </c>
      <c r="F187" s="38">
        <v>25</v>
      </c>
      <c r="G187" t="s">
        <v>184</v>
      </c>
    </row>
    <row r="188" spans="1:7" x14ac:dyDescent="0.25">
      <c r="A188" s="10" t="s">
        <v>3415</v>
      </c>
      <c r="B188" s="10">
        <v>55640203</v>
      </c>
      <c r="C188" t="str">
        <f>Table13[[#This Row],[Manufacturer]]&amp;" "&amp;Table13[[#This Row],[Model]]</f>
        <v>Atorn 55640203</v>
      </c>
      <c r="D188" s="1">
        <v>3</v>
      </c>
      <c r="E188" s="1" t="s">
        <v>169</v>
      </c>
      <c r="F188" s="38">
        <v>60</v>
      </c>
      <c r="G188" t="s">
        <v>184</v>
      </c>
    </row>
    <row r="189" spans="1:7" x14ac:dyDescent="0.25">
      <c r="A189" s="10" t="s">
        <v>3415</v>
      </c>
      <c r="B189" s="10">
        <v>55640204</v>
      </c>
      <c r="C189" t="str">
        <f>Table13[[#This Row],[Manufacturer]]&amp;" "&amp;Table13[[#This Row],[Model]]</f>
        <v>Atorn 55640204</v>
      </c>
      <c r="D189" s="1">
        <v>3</v>
      </c>
      <c r="E189" s="1" t="s">
        <v>169</v>
      </c>
      <c r="F189" s="38">
        <v>120</v>
      </c>
      <c r="G189" t="s">
        <v>184</v>
      </c>
    </row>
    <row r="190" spans="1:7" x14ac:dyDescent="0.25">
      <c r="A190" s="10" t="s">
        <v>3415</v>
      </c>
      <c r="B190" s="10">
        <v>55640205</v>
      </c>
      <c r="C190" t="str">
        <f>Table13[[#This Row],[Manufacturer]]&amp;" "&amp;Table13[[#This Row],[Model]]</f>
        <v>Atorn 55640205</v>
      </c>
      <c r="D190" s="1">
        <v>3</v>
      </c>
      <c r="E190" s="1" t="s">
        <v>169</v>
      </c>
      <c r="F190" s="38">
        <v>200</v>
      </c>
      <c r="G190" t="s">
        <v>184</v>
      </c>
    </row>
    <row r="191" spans="1:7" x14ac:dyDescent="0.25">
      <c r="A191" s="10" t="s">
        <v>3415</v>
      </c>
      <c r="B191" s="10">
        <v>55640206</v>
      </c>
      <c r="C191" t="str">
        <f>Table13[[#This Row],[Manufacturer]]&amp;" "&amp;Table13[[#This Row],[Model]]</f>
        <v>Atorn 55640206</v>
      </c>
      <c r="D191" s="1">
        <v>3</v>
      </c>
      <c r="E191" s="1" t="s">
        <v>169</v>
      </c>
      <c r="F191" s="38">
        <v>320</v>
      </c>
      <c r="G191" t="s">
        <v>184</v>
      </c>
    </row>
    <row r="192" spans="1:7" x14ac:dyDescent="0.25">
      <c r="A192" s="10" t="s">
        <v>3413</v>
      </c>
      <c r="B192" s="10" t="s">
        <v>3414</v>
      </c>
      <c r="C192" t="str">
        <f>Table13[[#This Row],[Manufacturer]]&amp;" "&amp;Table13[[#This Row],[Model]]</f>
        <v>Autocraft AC66</v>
      </c>
      <c r="D192" s="1">
        <v>4</v>
      </c>
      <c r="E192" s="1">
        <v>6</v>
      </c>
      <c r="F192" s="38">
        <v>250</v>
      </c>
      <c r="G192" t="s">
        <v>166</v>
      </c>
    </row>
    <row r="193" spans="1:7" x14ac:dyDescent="0.25">
      <c r="A193" s="10" t="s">
        <v>3413</v>
      </c>
      <c r="B193" s="10" t="s">
        <v>3412</v>
      </c>
      <c r="C193" t="str">
        <f>Table13[[#This Row],[Manufacturer]]&amp;" "&amp;Table13[[#This Row],[Model]]</f>
        <v>Autocraft AC68</v>
      </c>
      <c r="D193" s="1">
        <v>4</v>
      </c>
      <c r="E193" s="1" t="s">
        <v>169</v>
      </c>
      <c r="F193" s="38">
        <v>150</v>
      </c>
      <c r="G193" t="s">
        <v>166</v>
      </c>
    </row>
    <row r="194" spans="1:7" x14ac:dyDescent="0.25">
      <c r="A194" s="10" t="s">
        <v>3409</v>
      </c>
      <c r="B194" s="10" t="s">
        <v>3411</v>
      </c>
      <c r="C194" t="str">
        <f>Table13[[#This Row],[Manufacturer]]&amp;" "&amp;Table13[[#This Row],[Model]]</f>
        <v>Bahco 6981A</v>
      </c>
      <c r="D194" s="1">
        <v>4</v>
      </c>
      <c r="E194" s="1">
        <v>4</v>
      </c>
      <c r="F194" s="38">
        <v>35</v>
      </c>
      <c r="G194" t="s">
        <v>166</v>
      </c>
    </row>
    <row r="195" spans="1:7" x14ac:dyDescent="0.25">
      <c r="A195" s="10" t="s">
        <v>3409</v>
      </c>
      <c r="B195" s="10" t="s">
        <v>3410</v>
      </c>
      <c r="C195" t="str">
        <f>Table13[[#This Row],[Manufacturer]]&amp;" "&amp;Table13[[#This Row],[Model]]</f>
        <v>Bahco IZO-D-30</v>
      </c>
      <c r="D195" s="1">
        <v>2</v>
      </c>
      <c r="E195" s="1">
        <v>2</v>
      </c>
      <c r="F195" s="38">
        <v>30</v>
      </c>
      <c r="G195" t="s">
        <v>184</v>
      </c>
    </row>
    <row r="196" spans="1:7" x14ac:dyDescent="0.25">
      <c r="A196" s="10" t="s">
        <v>3409</v>
      </c>
      <c r="B196" s="10" t="s">
        <v>3408</v>
      </c>
      <c r="C196" t="str">
        <f>Table13[[#This Row],[Manufacturer]]&amp;" "&amp;Table13[[#This Row],[Model]]</f>
        <v>Bahco 7455-800</v>
      </c>
      <c r="D196" s="1">
        <v>4</v>
      </c>
      <c r="E196" s="1">
        <v>6</v>
      </c>
      <c r="F196" s="38">
        <v>800</v>
      </c>
      <c r="G196" t="s">
        <v>184</v>
      </c>
    </row>
    <row r="197" spans="1:7" x14ac:dyDescent="0.25">
      <c r="A197" s="10" t="s">
        <v>3376</v>
      </c>
      <c r="B197" s="10" t="s">
        <v>3407</v>
      </c>
      <c r="C197" t="str">
        <f>Table13[[#This Row],[Manufacturer]]&amp;" "&amp;Table13[[#This Row],[Model]]</f>
        <v>Belknap VB10005LDFN</v>
      </c>
      <c r="D197" s="1">
        <v>4</v>
      </c>
      <c r="E197" s="1">
        <v>4</v>
      </c>
      <c r="F197" s="38">
        <v>1000</v>
      </c>
      <c r="G197" t="s">
        <v>166</v>
      </c>
    </row>
    <row r="198" spans="1:7" x14ac:dyDescent="0.25">
      <c r="A198" s="10" t="s">
        <v>3376</v>
      </c>
      <c r="B198" s="10" t="s">
        <v>3406</v>
      </c>
      <c r="C198" t="str">
        <f>Table13[[#This Row],[Manufacturer]]&amp;" "&amp;Table13[[#This Row],[Model]]</f>
        <v>Belknap VB1003LDFN</v>
      </c>
      <c r="D198" s="1">
        <v>4</v>
      </c>
      <c r="E198" s="1">
        <v>4</v>
      </c>
      <c r="F198" s="38">
        <v>100</v>
      </c>
      <c r="G198" t="s">
        <v>166</v>
      </c>
    </row>
    <row r="199" spans="1:7" x14ac:dyDescent="0.25">
      <c r="A199" s="10" t="s">
        <v>3376</v>
      </c>
      <c r="B199" s="10" t="s">
        <v>3405</v>
      </c>
      <c r="C199" t="str">
        <f>Table13[[#This Row],[Manufacturer]]&amp;" "&amp;Table13[[#This Row],[Model]]</f>
        <v>Belknap VB1502LDIN</v>
      </c>
      <c r="D199" s="1">
        <v>4</v>
      </c>
      <c r="E199" s="1">
        <v>4</v>
      </c>
      <c r="F199" s="38">
        <v>150</v>
      </c>
      <c r="G199" t="s">
        <v>164</v>
      </c>
    </row>
    <row r="200" spans="1:7" x14ac:dyDescent="0.25">
      <c r="A200" s="10" t="s">
        <v>3376</v>
      </c>
      <c r="B200" s="10" t="s">
        <v>3404</v>
      </c>
      <c r="C200" t="str">
        <f>Table13[[#This Row],[Manufacturer]]&amp;" "&amp;Table13[[#This Row],[Model]]</f>
        <v>Belknap VB151LDIN</v>
      </c>
      <c r="D200" s="1">
        <v>4</v>
      </c>
      <c r="E200" s="1">
        <v>4</v>
      </c>
      <c r="F200" s="38">
        <v>15</v>
      </c>
      <c r="G200" t="s">
        <v>164</v>
      </c>
    </row>
    <row r="201" spans="1:7" x14ac:dyDescent="0.25">
      <c r="A201" s="10" t="s">
        <v>3376</v>
      </c>
      <c r="B201" s="10" t="s">
        <v>3403</v>
      </c>
      <c r="C201" t="str">
        <f>Table13[[#This Row],[Manufacturer]]&amp;" "&amp;Table13[[#This Row],[Model]]</f>
        <v>Belknap VB20005LDFE</v>
      </c>
      <c r="D201" s="1">
        <v>4</v>
      </c>
      <c r="E201" s="1">
        <v>4</v>
      </c>
      <c r="F201" s="38">
        <v>2000</v>
      </c>
      <c r="G201" t="s">
        <v>166</v>
      </c>
    </row>
    <row r="202" spans="1:7" x14ac:dyDescent="0.25">
      <c r="A202" s="10" t="s">
        <v>3376</v>
      </c>
      <c r="B202" s="10" t="s">
        <v>3402</v>
      </c>
      <c r="C202" t="str">
        <f>Table13[[#This Row],[Manufacturer]]&amp;" "&amp;Table13[[#This Row],[Model]]</f>
        <v>Belknap VB2502LDIN</v>
      </c>
      <c r="D202" s="1">
        <v>4</v>
      </c>
      <c r="E202" s="1">
        <v>4</v>
      </c>
      <c r="F202" s="38">
        <v>250</v>
      </c>
      <c r="G202" t="s">
        <v>164</v>
      </c>
    </row>
    <row r="203" spans="1:7" x14ac:dyDescent="0.25">
      <c r="A203" s="10" t="s">
        <v>3376</v>
      </c>
      <c r="B203" s="10" t="s">
        <v>3401</v>
      </c>
      <c r="C203" t="str">
        <f>Table13[[#This Row],[Manufacturer]]&amp;" "&amp;Table13[[#This Row],[Model]]</f>
        <v>Belknap VB2503LDFN</v>
      </c>
      <c r="D203" s="1">
        <v>4</v>
      </c>
      <c r="E203" s="1">
        <v>4</v>
      </c>
      <c r="F203" s="38">
        <v>250</v>
      </c>
      <c r="G203" t="s">
        <v>166</v>
      </c>
    </row>
    <row r="204" spans="1:7" x14ac:dyDescent="0.25">
      <c r="A204" s="10" t="s">
        <v>3376</v>
      </c>
      <c r="B204" s="10" t="s">
        <v>3400</v>
      </c>
      <c r="C204" t="str">
        <f>Table13[[#This Row],[Manufacturer]]&amp;" "&amp;Table13[[#This Row],[Model]]</f>
        <v>Belknap VB301LDIN</v>
      </c>
      <c r="D204" s="1">
        <v>4</v>
      </c>
      <c r="E204" s="1">
        <v>4</v>
      </c>
      <c r="F204" s="38">
        <v>30</v>
      </c>
      <c r="G204" t="s">
        <v>164</v>
      </c>
    </row>
    <row r="205" spans="1:7" x14ac:dyDescent="0.25">
      <c r="A205" s="10" t="s">
        <v>3376</v>
      </c>
      <c r="B205" s="10" t="s">
        <v>3399</v>
      </c>
      <c r="C205" t="str">
        <f>Table13[[#This Row],[Manufacturer]]&amp;" "&amp;Table13[[#This Row],[Model]]</f>
        <v>Belknap VB3504LDFN</v>
      </c>
      <c r="D205" s="1">
        <v>4</v>
      </c>
      <c r="E205" s="1">
        <v>4</v>
      </c>
      <c r="F205" s="38">
        <v>350</v>
      </c>
      <c r="G205" t="s">
        <v>166</v>
      </c>
    </row>
    <row r="206" spans="1:7" x14ac:dyDescent="0.25">
      <c r="A206" s="10" t="s">
        <v>3376</v>
      </c>
      <c r="B206" s="10" t="s">
        <v>3398</v>
      </c>
      <c r="C206" t="str">
        <f>Table13[[#This Row],[Manufacturer]]&amp;" "&amp;Table13[[#This Row],[Model]]</f>
        <v>Belknap VB502LDFN</v>
      </c>
      <c r="D206" s="1">
        <v>4</v>
      </c>
      <c r="E206" s="1">
        <v>4</v>
      </c>
      <c r="F206" s="38">
        <v>50</v>
      </c>
      <c r="G206" t="s">
        <v>166</v>
      </c>
    </row>
    <row r="207" spans="1:7" x14ac:dyDescent="0.25">
      <c r="A207" s="10" t="s">
        <v>3376</v>
      </c>
      <c r="B207" s="10" t="s">
        <v>3397</v>
      </c>
      <c r="C207" t="str">
        <f>Table13[[#This Row],[Manufacturer]]&amp;" "&amp;Table13[[#This Row],[Model]]</f>
        <v>Belknap VB6002LDIN</v>
      </c>
      <c r="D207" s="1">
        <v>4</v>
      </c>
      <c r="E207" s="1">
        <v>4</v>
      </c>
      <c r="F207" s="38">
        <v>600</v>
      </c>
      <c r="G207" t="s">
        <v>164</v>
      </c>
    </row>
    <row r="208" spans="1:7" x14ac:dyDescent="0.25">
      <c r="A208" s="10" t="s">
        <v>3376</v>
      </c>
      <c r="B208" s="10" t="s">
        <v>3396</v>
      </c>
      <c r="C208" t="str">
        <f>Table13[[#This Row],[Manufacturer]]&amp;" "&amp;Table13[[#This Row],[Model]]</f>
        <v>Belknap VB6004LDFN</v>
      </c>
      <c r="D208" s="1">
        <v>4</v>
      </c>
      <c r="E208" s="1">
        <v>4</v>
      </c>
      <c r="F208" s="38">
        <v>600</v>
      </c>
      <c r="G208" t="s">
        <v>166</v>
      </c>
    </row>
    <row r="209" spans="1:7" x14ac:dyDescent="0.25">
      <c r="A209" s="10" t="s">
        <v>3376</v>
      </c>
      <c r="B209" s="10" t="s">
        <v>3395</v>
      </c>
      <c r="C209" t="str">
        <f>Table13[[#This Row],[Manufacturer]]&amp;" "&amp;Table13[[#This Row],[Model]]</f>
        <v>Belknap VB751LDIN</v>
      </c>
      <c r="D209" s="1">
        <v>4</v>
      </c>
      <c r="E209" s="1">
        <v>4</v>
      </c>
      <c r="F209" s="38">
        <v>75</v>
      </c>
      <c r="G209" t="s">
        <v>164</v>
      </c>
    </row>
    <row r="210" spans="1:7" x14ac:dyDescent="0.25">
      <c r="A210" s="10" t="s">
        <v>3376</v>
      </c>
      <c r="B210" s="10" t="s">
        <v>3394</v>
      </c>
      <c r="C210" t="str">
        <f>Table13[[#This Row],[Manufacturer]]&amp;" "&amp;Table13[[#This Row],[Model]]</f>
        <v>Belknap VB752LDIN</v>
      </c>
      <c r="D210" s="1">
        <v>4</v>
      </c>
      <c r="E210" s="1">
        <v>4</v>
      </c>
      <c r="F210" s="38">
        <v>75</v>
      </c>
      <c r="G210" t="s">
        <v>164</v>
      </c>
    </row>
    <row r="211" spans="1:7" x14ac:dyDescent="0.25">
      <c r="A211" s="10" t="s">
        <v>3376</v>
      </c>
      <c r="B211" s="10" t="s">
        <v>3149</v>
      </c>
      <c r="C211" t="str">
        <f>Table13[[#This Row],[Manufacturer]]&amp;" "&amp;Table13[[#This Row],[Model]]</f>
        <v>Belknap 6004MFRMH</v>
      </c>
      <c r="D211" s="1">
        <v>4</v>
      </c>
      <c r="E211" s="1">
        <v>6</v>
      </c>
      <c r="F211" s="38">
        <v>600</v>
      </c>
      <c r="G211" t="s">
        <v>166</v>
      </c>
    </row>
    <row r="212" spans="1:7" x14ac:dyDescent="0.25">
      <c r="A212" s="10" t="s">
        <v>3376</v>
      </c>
      <c r="B212" s="10" t="s">
        <v>3393</v>
      </c>
      <c r="C212" t="str">
        <f>Table13[[#This Row],[Manufacturer]]&amp;" "&amp;Table13[[#This Row],[Model]]</f>
        <v>Belknap VB1000T-I</v>
      </c>
      <c r="D212" s="1">
        <v>4</v>
      </c>
      <c r="E212" s="1">
        <v>4</v>
      </c>
      <c r="F212" s="38">
        <v>1000</v>
      </c>
      <c r="G212" t="s">
        <v>166</v>
      </c>
    </row>
    <row r="213" spans="1:7" x14ac:dyDescent="0.25">
      <c r="A213" s="10" t="s">
        <v>3376</v>
      </c>
      <c r="B213" s="10" t="s">
        <v>3392</v>
      </c>
      <c r="C213" t="str">
        <f>Table13[[#This Row],[Manufacturer]]&amp;" "&amp;Table13[[#This Row],[Model]]</f>
        <v>Belknap VB100ST-I</v>
      </c>
      <c r="D213" s="1">
        <v>4</v>
      </c>
      <c r="E213" s="1">
        <v>4</v>
      </c>
      <c r="F213" s="38">
        <v>150</v>
      </c>
      <c r="G213" t="s">
        <v>166</v>
      </c>
    </row>
    <row r="214" spans="1:7" x14ac:dyDescent="0.25">
      <c r="A214" s="10" t="s">
        <v>3376</v>
      </c>
      <c r="B214" s="10" t="s">
        <v>3391</v>
      </c>
      <c r="C214" t="str">
        <f>Table13[[#This Row],[Manufacturer]]&amp;" "&amp;Table13[[#This Row],[Model]]</f>
        <v>Belknap VB100T-I</v>
      </c>
      <c r="D214" s="1">
        <v>4</v>
      </c>
      <c r="E214" s="1">
        <v>4</v>
      </c>
      <c r="F214" s="38">
        <v>150</v>
      </c>
      <c r="G214" t="s">
        <v>166</v>
      </c>
    </row>
    <row r="215" spans="1:7" x14ac:dyDescent="0.25">
      <c r="A215" s="10" t="s">
        <v>3376</v>
      </c>
      <c r="B215" s="10" t="s">
        <v>3390</v>
      </c>
      <c r="C215" t="str">
        <f>Table13[[#This Row],[Manufacturer]]&amp;" "&amp;Table13[[#This Row],[Model]]</f>
        <v>Belknap VB10ST-I</v>
      </c>
      <c r="D215" s="1">
        <v>4</v>
      </c>
      <c r="E215" s="1">
        <v>4</v>
      </c>
      <c r="F215" s="38">
        <v>25</v>
      </c>
      <c r="G215" t="s">
        <v>166</v>
      </c>
    </row>
    <row r="216" spans="1:7" x14ac:dyDescent="0.25">
      <c r="A216" s="10" t="s">
        <v>3376</v>
      </c>
      <c r="B216" s="10" t="s">
        <v>3389</v>
      </c>
      <c r="C216" t="str">
        <f>Table13[[#This Row],[Manufacturer]]&amp;" "&amp;Table13[[#This Row],[Model]]</f>
        <v>Belknap VB10T-1</v>
      </c>
      <c r="D216" s="1">
        <v>4</v>
      </c>
      <c r="E216" s="1">
        <v>4</v>
      </c>
      <c r="F216" s="38">
        <v>9</v>
      </c>
      <c r="G216" t="s">
        <v>166</v>
      </c>
    </row>
    <row r="217" spans="1:7" x14ac:dyDescent="0.25">
      <c r="A217" s="10" t="s">
        <v>3376</v>
      </c>
      <c r="B217" s="10" t="s">
        <v>3388</v>
      </c>
      <c r="C217" t="str">
        <f>Table13[[#This Row],[Manufacturer]]&amp;" "&amp;Table13[[#This Row],[Model]]</f>
        <v>Belknap VB200T-I</v>
      </c>
      <c r="D217" s="1">
        <v>4</v>
      </c>
      <c r="E217" s="1">
        <v>4</v>
      </c>
      <c r="F217" s="38">
        <v>200</v>
      </c>
      <c r="G217" t="s">
        <v>166</v>
      </c>
    </row>
    <row r="218" spans="1:7" x14ac:dyDescent="0.25">
      <c r="A218" s="10" t="s">
        <v>3376</v>
      </c>
      <c r="B218" s="10" t="s">
        <v>3387</v>
      </c>
      <c r="C218" t="str">
        <f>Table13[[#This Row],[Manufacturer]]&amp;" "&amp;Table13[[#This Row],[Model]]</f>
        <v>Belknap VB2T-I</v>
      </c>
      <c r="D218" s="1">
        <v>4</v>
      </c>
      <c r="E218" s="1">
        <v>4</v>
      </c>
      <c r="F218" s="38">
        <v>24</v>
      </c>
      <c r="G218" t="s">
        <v>164</v>
      </c>
    </row>
    <row r="219" spans="1:7" x14ac:dyDescent="0.25">
      <c r="A219" s="10" t="s">
        <v>3376</v>
      </c>
      <c r="B219" s="10" t="s">
        <v>3386</v>
      </c>
      <c r="C219" t="str">
        <f>Table13[[#This Row],[Manufacturer]]&amp;" "&amp;Table13[[#This Row],[Model]]</f>
        <v>Belknap VB300T-I</v>
      </c>
      <c r="D219" s="1">
        <v>4</v>
      </c>
      <c r="E219" s="1">
        <v>4</v>
      </c>
      <c r="F219" s="38">
        <v>300</v>
      </c>
      <c r="G219" t="s">
        <v>166</v>
      </c>
    </row>
    <row r="220" spans="1:7" x14ac:dyDescent="0.25">
      <c r="A220" s="10" t="s">
        <v>3376</v>
      </c>
      <c r="B220" s="10" t="s">
        <v>3385</v>
      </c>
      <c r="C220" t="str">
        <f>Table13[[#This Row],[Manufacturer]]&amp;" "&amp;Table13[[#This Row],[Model]]</f>
        <v>Belknap VB50ST-I</v>
      </c>
      <c r="D220" s="1">
        <v>4</v>
      </c>
      <c r="E220" s="1">
        <v>4</v>
      </c>
      <c r="F220" s="38">
        <v>50</v>
      </c>
      <c r="G220" t="s">
        <v>166</v>
      </c>
    </row>
    <row r="221" spans="1:7" x14ac:dyDescent="0.25">
      <c r="A221" s="10" t="s">
        <v>3376</v>
      </c>
      <c r="B221" s="10" t="s">
        <v>3384</v>
      </c>
      <c r="C221" t="str">
        <f>Table13[[#This Row],[Manufacturer]]&amp;" "&amp;Table13[[#This Row],[Model]]</f>
        <v>Belknap VB50T-I</v>
      </c>
      <c r="D221" s="1">
        <v>4</v>
      </c>
      <c r="E221" s="1">
        <v>4</v>
      </c>
      <c r="F221" s="38">
        <v>50</v>
      </c>
      <c r="G221" t="s">
        <v>166</v>
      </c>
    </row>
    <row r="222" spans="1:7" x14ac:dyDescent="0.25">
      <c r="A222" s="10" t="s">
        <v>3376</v>
      </c>
      <c r="B222" s="10" t="s">
        <v>3383</v>
      </c>
      <c r="C222" t="str">
        <f>Table13[[#This Row],[Manufacturer]]&amp;" "&amp;Table13[[#This Row],[Model]]</f>
        <v>Belknap VB5T-I</v>
      </c>
      <c r="D222" s="1">
        <v>4</v>
      </c>
      <c r="E222" s="1">
        <v>4</v>
      </c>
      <c r="F222" s="38">
        <v>60</v>
      </c>
      <c r="G222" t="s">
        <v>164</v>
      </c>
    </row>
    <row r="223" spans="1:7" x14ac:dyDescent="0.25">
      <c r="A223" s="10" t="s">
        <v>3376</v>
      </c>
      <c r="B223" s="10" t="s">
        <v>3382</v>
      </c>
      <c r="C223" t="str">
        <f>Table13[[#This Row],[Manufacturer]]&amp;" "&amp;Table13[[#This Row],[Model]]</f>
        <v>Belknap VB600T-I</v>
      </c>
      <c r="D223" s="1">
        <v>4</v>
      </c>
      <c r="E223" s="1">
        <v>4</v>
      </c>
      <c r="F223" s="38">
        <v>600</v>
      </c>
      <c r="G223" t="s">
        <v>166</v>
      </c>
    </row>
    <row r="224" spans="1:7" x14ac:dyDescent="0.25">
      <c r="A224" s="10" t="s">
        <v>3376</v>
      </c>
      <c r="B224" s="10" t="s">
        <v>3381</v>
      </c>
      <c r="C224" t="str">
        <f>Table13[[#This Row],[Manufacturer]]&amp;" "&amp;Table13[[#This Row],[Model]]</f>
        <v>Belknap 12A-1</v>
      </c>
      <c r="D224" s="1">
        <v>5</v>
      </c>
      <c r="E224" s="1">
        <v>5</v>
      </c>
      <c r="F224" s="38">
        <v>480</v>
      </c>
      <c r="G224" t="s">
        <v>164</v>
      </c>
    </row>
    <row r="225" spans="1:7" x14ac:dyDescent="0.25">
      <c r="A225" s="10" t="s">
        <v>3376</v>
      </c>
      <c r="B225" s="10" t="s">
        <v>3380</v>
      </c>
      <c r="C225" t="str">
        <f>Table13[[#This Row],[Manufacturer]]&amp;" "&amp;Table13[[#This Row],[Model]]</f>
        <v>Belknap 12B-2</v>
      </c>
      <c r="D225" s="1">
        <v>5</v>
      </c>
      <c r="E225" s="1">
        <v>5</v>
      </c>
      <c r="F225" s="38">
        <v>600</v>
      </c>
      <c r="G225" t="s">
        <v>164</v>
      </c>
    </row>
    <row r="226" spans="1:7" x14ac:dyDescent="0.25">
      <c r="A226" s="10" t="s">
        <v>3376</v>
      </c>
      <c r="B226" s="10" t="s">
        <v>3379</v>
      </c>
      <c r="C226" t="str">
        <f>Table13[[#This Row],[Manufacturer]]&amp;" "&amp;Table13[[#This Row],[Model]]</f>
        <v>Belknap 12D-2</v>
      </c>
      <c r="D226" s="1">
        <v>5</v>
      </c>
      <c r="E226" s="1">
        <v>5</v>
      </c>
      <c r="F226" s="38">
        <v>900</v>
      </c>
      <c r="G226" t="s">
        <v>164</v>
      </c>
    </row>
    <row r="227" spans="1:7" x14ac:dyDescent="0.25">
      <c r="A227" s="10" t="s">
        <v>3376</v>
      </c>
      <c r="B227" s="10" t="s">
        <v>3378</v>
      </c>
      <c r="C227" t="str">
        <f>Table13[[#This Row],[Manufacturer]]&amp;" "&amp;Table13[[#This Row],[Model]]</f>
        <v>Belknap 12E-2</v>
      </c>
      <c r="D227" s="1">
        <v>5</v>
      </c>
      <c r="E227" s="1">
        <v>5</v>
      </c>
      <c r="F227" s="38">
        <v>1440</v>
      </c>
      <c r="G227" t="s">
        <v>164</v>
      </c>
    </row>
    <row r="228" spans="1:7" x14ac:dyDescent="0.25">
      <c r="A228" s="10" t="s">
        <v>3376</v>
      </c>
      <c r="B228" s="10" t="s">
        <v>3377</v>
      </c>
      <c r="C228" t="str">
        <f>Table13[[#This Row],[Manufacturer]]&amp;" "&amp;Table13[[#This Row],[Model]]</f>
        <v>Belknap 38A-1</v>
      </c>
      <c r="D228" s="1">
        <v>5</v>
      </c>
      <c r="E228" s="1">
        <v>5</v>
      </c>
      <c r="F228" s="38">
        <v>180</v>
      </c>
      <c r="G228" t="s">
        <v>164</v>
      </c>
    </row>
    <row r="229" spans="1:7" x14ac:dyDescent="0.25">
      <c r="A229" s="10" t="s">
        <v>3376</v>
      </c>
      <c r="B229" s="10" t="s">
        <v>3375</v>
      </c>
      <c r="C229" t="str">
        <f>Table13[[#This Row],[Manufacturer]]&amp;" "&amp;Table13[[#This Row],[Model]]</f>
        <v>Belknap 38B-2</v>
      </c>
      <c r="D229" s="1">
        <v>5</v>
      </c>
      <c r="E229" s="1">
        <v>5</v>
      </c>
      <c r="F229" s="38">
        <v>300</v>
      </c>
      <c r="G229" t="s">
        <v>164</v>
      </c>
    </row>
    <row r="230" spans="1:7" x14ac:dyDescent="0.25">
      <c r="A230" s="10" t="s">
        <v>3374</v>
      </c>
      <c r="B230" s="10" t="s">
        <v>3373</v>
      </c>
      <c r="C230" t="str">
        <f>Table13[[#This Row],[Manufacturer]]&amp;" "&amp;Table13[[#This Row],[Model]]</f>
        <v>Best Kanon 4200QLK</v>
      </c>
      <c r="D230" s="1">
        <v>3</v>
      </c>
      <c r="E230" s="1" t="s">
        <v>169</v>
      </c>
      <c r="F230" s="38">
        <v>42</v>
      </c>
      <c r="G230" t="s">
        <v>258</v>
      </c>
    </row>
    <row r="231" spans="1:7" x14ac:dyDescent="0.25">
      <c r="A231" s="10" t="s">
        <v>3372</v>
      </c>
      <c r="B231" s="10" t="s">
        <v>3371</v>
      </c>
      <c r="C231" t="str">
        <f>Table13[[#This Row],[Manufacturer]]&amp;" "&amp;Table13[[#This Row],[Model]]</f>
        <v>Birzman BM10-STTW-0101-K</v>
      </c>
      <c r="D231" s="1">
        <v>4</v>
      </c>
      <c r="E231" s="1">
        <v>6</v>
      </c>
      <c r="F231" s="38">
        <v>15</v>
      </c>
      <c r="G231" t="s">
        <v>184</v>
      </c>
    </row>
    <row r="232" spans="1:7" x14ac:dyDescent="0.25">
      <c r="A232" s="10" t="s">
        <v>3370</v>
      </c>
      <c r="B232" s="10" t="s">
        <v>2230</v>
      </c>
      <c r="C232" t="str">
        <f>Table13[[#This Row],[Manufacturer]]&amp;" "&amp;Table13[[#This Row],[Model]]</f>
        <v>Blackhawk 34870-A</v>
      </c>
      <c r="D232" s="1">
        <v>4</v>
      </c>
      <c r="E232" s="1">
        <v>6</v>
      </c>
      <c r="F232" s="38">
        <v>100</v>
      </c>
      <c r="G232" t="s">
        <v>166</v>
      </c>
    </row>
    <row r="233" spans="1:7" x14ac:dyDescent="0.25">
      <c r="A233" s="10" t="s">
        <v>3370</v>
      </c>
      <c r="B233" s="10" t="s">
        <v>2229</v>
      </c>
      <c r="C233" t="str">
        <f>Table13[[#This Row],[Manufacturer]]&amp;" "&amp;Table13[[#This Row],[Model]]</f>
        <v>Blackhawk 39825-A</v>
      </c>
      <c r="D233" s="1">
        <v>4</v>
      </c>
      <c r="E233" s="1">
        <v>6</v>
      </c>
      <c r="F233" s="38">
        <v>250</v>
      </c>
      <c r="G233" t="s">
        <v>164</v>
      </c>
    </row>
    <row r="234" spans="1:7" x14ac:dyDescent="0.25">
      <c r="A234" s="10" t="s">
        <v>3370</v>
      </c>
      <c r="B234" s="10" t="s">
        <v>2228</v>
      </c>
      <c r="C234" t="str">
        <f>Table13[[#This Row],[Manufacturer]]&amp;" "&amp;Table13[[#This Row],[Model]]</f>
        <v>Blackhawk 49859-A</v>
      </c>
      <c r="D234" s="1">
        <v>4</v>
      </c>
      <c r="E234" s="1">
        <v>6</v>
      </c>
      <c r="F234" s="38">
        <v>150</v>
      </c>
      <c r="G234" t="s">
        <v>166</v>
      </c>
    </row>
    <row r="235" spans="1:7" x14ac:dyDescent="0.25">
      <c r="A235" s="10" t="s">
        <v>3370</v>
      </c>
      <c r="B235" s="10" t="s">
        <v>2227</v>
      </c>
      <c r="C235" t="str">
        <f>Table13[[#This Row],[Manufacturer]]&amp;" "&amp;Table13[[#This Row],[Model]]</f>
        <v>Blackhawk 49860A</v>
      </c>
      <c r="D235" s="1">
        <v>4</v>
      </c>
      <c r="E235" s="1">
        <v>6</v>
      </c>
      <c r="F235" s="38">
        <v>250</v>
      </c>
      <c r="G235" t="s">
        <v>166</v>
      </c>
    </row>
    <row r="236" spans="1:7" x14ac:dyDescent="0.25">
      <c r="A236" s="10" t="s">
        <v>3368</v>
      </c>
      <c r="B236" s="10" t="s">
        <v>3369</v>
      </c>
      <c r="C236" t="str">
        <f>Table13[[#This Row],[Manufacturer]]&amp;" "&amp;Table13[[#This Row],[Model]]</f>
        <v>Brownline BLD0212BM</v>
      </c>
      <c r="D236" s="1">
        <v>3.5</v>
      </c>
      <c r="E236" s="1">
        <v>3.5</v>
      </c>
      <c r="F236" s="38">
        <v>150</v>
      </c>
      <c r="G236" t="s">
        <v>166</v>
      </c>
    </row>
    <row r="237" spans="1:7" x14ac:dyDescent="0.25">
      <c r="A237" s="10" t="s">
        <v>3368</v>
      </c>
      <c r="B237" s="10" t="s">
        <v>3367</v>
      </c>
      <c r="C237" t="str">
        <f>Table13[[#This Row],[Manufacturer]]&amp;" "&amp;Table13[[#This Row],[Model]]</f>
        <v>Brownline BLD0212M</v>
      </c>
      <c r="D237" s="1">
        <v>3.5</v>
      </c>
      <c r="E237" s="1">
        <v>3.5</v>
      </c>
      <c r="F237" s="38">
        <v>150</v>
      </c>
      <c r="G237" t="s">
        <v>166</v>
      </c>
    </row>
    <row r="238" spans="1:7" x14ac:dyDescent="0.25">
      <c r="A238" s="10" t="s">
        <v>3365</v>
      </c>
      <c r="B238" s="10" t="s">
        <v>3366</v>
      </c>
      <c r="C238" t="str">
        <f>Table13[[#This Row],[Manufacturer]]&amp;" "&amp;Table13[[#This Row],[Model]]</f>
        <v>Burndy BTW150750</v>
      </c>
      <c r="D238" s="1">
        <v>4</v>
      </c>
      <c r="E238" s="1">
        <v>6</v>
      </c>
      <c r="F238" s="38">
        <v>750</v>
      </c>
      <c r="G238" t="s">
        <v>164</v>
      </c>
    </row>
    <row r="239" spans="1:7" x14ac:dyDescent="0.25">
      <c r="A239" s="10" t="s">
        <v>3365</v>
      </c>
      <c r="B239" s="10" t="s">
        <v>3364</v>
      </c>
      <c r="C239" t="str">
        <f>Table13[[#This Row],[Manufacturer]]&amp;" "&amp;Table13[[#This Row],[Model]]</f>
        <v>Burndy BTW30150</v>
      </c>
      <c r="D239" s="1">
        <v>4</v>
      </c>
      <c r="E239" s="1">
        <v>6</v>
      </c>
      <c r="F239" s="38">
        <v>150</v>
      </c>
      <c r="G239" t="s">
        <v>164</v>
      </c>
    </row>
    <row r="240" spans="1:7" x14ac:dyDescent="0.25">
      <c r="A240" s="10" t="s">
        <v>3363</v>
      </c>
      <c r="B240" s="10" t="s">
        <v>3362</v>
      </c>
      <c r="C240" t="str">
        <f>Table13[[#This Row],[Manufacturer]]&amp;" "&amp;Table13[[#This Row],[Model]]</f>
        <v>Cal-Hawk ASPTW3</v>
      </c>
      <c r="D240" s="1">
        <v>4</v>
      </c>
      <c r="E240" s="1" t="s">
        <v>169</v>
      </c>
      <c r="F240" s="38">
        <v>960</v>
      </c>
      <c r="G240" t="s">
        <v>164</v>
      </c>
    </row>
    <row r="241" spans="1:7" x14ac:dyDescent="0.25">
      <c r="A241" s="10" t="s">
        <v>3361</v>
      </c>
      <c r="B241" s="10" t="s">
        <v>3360</v>
      </c>
      <c r="C241" t="str">
        <f>Table13[[#This Row],[Manufacturer]]&amp;" "&amp;Table13[[#This Row],[Model]]</f>
        <v>California Torque Tools 2001TPRH</v>
      </c>
      <c r="D241" s="1">
        <v>3</v>
      </c>
      <c r="E241" s="1" t="s">
        <v>169</v>
      </c>
      <c r="F241" s="38">
        <v>200</v>
      </c>
      <c r="G241" t="s">
        <v>164</v>
      </c>
    </row>
    <row r="242" spans="1:7" x14ac:dyDescent="0.25">
      <c r="A242" s="10" t="s">
        <v>3355</v>
      </c>
      <c r="B242" s="10" t="s">
        <v>3359</v>
      </c>
      <c r="C242" t="str">
        <f>Table13[[#This Row],[Manufacturer]]&amp;" "&amp;Table13[[#This Row],[Model]]</f>
        <v>Capri Tools 26000-200</v>
      </c>
      <c r="D242" s="1">
        <v>2</v>
      </c>
      <c r="E242" s="1">
        <v>3</v>
      </c>
      <c r="F242" s="38">
        <v>200</v>
      </c>
      <c r="G242" t="s">
        <v>187</v>
      </c>
    </row>
    <row r="243" spans="1:7" x14ac:dyDescent="0.25">
      <c r="A243" s="10" t="s">
        <v>3355</v>
      </c>
      <c r="B243" s="10" t="s">
        <v>3358</v>
      </c>
      <c r="C243" t="str">
        <f>Table13[[#This Row],[Manufacturer]]&amp;" "&amp;Table13[[#This Row],[Model]]</f>
        <v>Capri Tools 26000-400</v>
      </c>
      <c r="D243" s="1">
        <v>2</v>
      </c>
      <c r="E243" s="1">
        <v>3</v>
      </c>
      <c r="F243" s="38">
        <v>400</v>
      </c>
      <c r="G243" t="s">
        <v>187</v>
      </c>
    </row>
    <row r="244" spans="1:7" x14ac:dyDescent="0.25">
      <c r="A244" s="10" t="s">
        <v>3355</v>
      </c>
      <c r="B244" s="10" t="s">
        <v>3357</v>
      </c>
      <c r="C244" t="str">
        <f>Table13[[#This Row],[Manufacturer]]&amp;" "&amp;Table13[[#This Row],[Model]]</f>
        <v>Capri Tools 26000-50</v>
      </c>
      <c r="D244" s="1">
        <v>2</v>
      </c>
      <c r="E244" s="1">
        <v>3</v>
      </c>
      <c r="F244" s="38">
        <v>50</v>
      </c>
      <c r="G244" t="s">
        <v>187</v>
      </c>
    </row>
    <row r="245" spans="1:7" x14ac:dyDescent="0.25">
      <c r="A245" s="10" t="s">
        <v>3355</v>
      </c>
      <c r="B245" s="10">
        <v>31007</v>
      </c>
      <c r="C245" t="str">
        <f>Table13[[#This Row],[Manufacturer]]&amp;" "&amp;Table13[[#This Row],[Model]]</f>
        <v>Capri Tools 31007</v>
      </c>
      <c r="D245" s="1">
        <v>4</v>
      </c>
      <c r="E245" s="1" t="s">
        <v>169</v>
      </c>
      <c r="F245" s="38">
        <v>245</v>
      </c>
      <c r="G245" t="s">
        <v>164</v>
      </c>
    </row>
    <row r="246" spans="1:7" x14ac:dyDescent="0.25">
      <c r="A246" s="10" t="s">
        <v>3355</v>
      </c>
      <c r="B246" s="10">
        <v>31200</v>
      </c>
      <c r="C246" t="str">
        <f>Table13[[#This Row],[Manufacturer]]&amp;" "&amp;Table13[[#This Row],[Model]]</f>
        <v>Capri Tools 31200</v>
      </c>
      <c r="D246" s="1">
        <v>3</v>
      </c>
      <c r="E246" s="1">
        <v>5</v>
      </c>
      <c r="F246" s="38">
        <v>150</v>
      </c>
      <c r="G246" t="s">
        <v>164</v>
      </c>
    </row>
    <row r="247" spans="1:7" x14ac:dyDescent="0.25">
      <c r="A247" s="10" t="s">
        <v>3355</v>
      </c>
      <c r="B247" s="10" t="s">
        <v>3356</v>
      </c>
      <c r="C247" t="str">
        <f>Table13[[#This Row],[Manufacturer]]&amp;" "&amp;Table13[[#This Row],[Model]]</f>
        <v>Capri Tools CP21075</v>
      </c>
      <c r="D247" s="1">
        <v>6</v>
      </c>
      <c r="E247" s="1" t="s">
        <v>169</v>
      </c>
      <c r="F247" s="38">
        <v>6</v>
      </c>
      <c r="G247" t="s">
        <v>164</v>
      </c>
    </row>
    <row r="248" spans="1:7" x14ac:dyDescent="0.25">
      <c r="A248" s="10" t="s">
        <v>3355</v>
      </c>
      <c r="B248" s="10" t="s">
        <v>3354</v>
      </c>
      <c r="C248" t="str">
        <f>Table13[[#This Row],[Manufacturer]]&amp;" "&amp;Table13[[#This Row],[Model]]</f>
        <v>Capri Tools CP21075S</v>
      </c>
      <c r="D248" s="1">
        <v>6</v>
      </c>
      <c r="E248" s="1" t="s">
        <v>169</v>
      </c>
      <c r="F248" s="38">
        <v>6</v>
      </c>
      <c r="G248" t="s">
        <v>164</v>
      </c>
    </row>
    <row r="249" spans="1:7" x14ac:dyDescent="0.25">
      <c r="A249" s="10" t="s">
        <v>3348</v>
      </c>
      <c r="B249" s="10" t="s">
        <v>3353</v>
      </c>
      <c r="C249" t="str">
        <f>Table13[[#This Row],[Manufacturer]]&amp;" "&amp;Table13[[#This Row],[Model]]</f>
        <v>Carlyle ETW14FL</v>
      </c>
      <c r="D249" s="1">
        <v>2</v>
      </c>
      <c r="E249" s="1">
        <v>3</v>
      </c>
      <c r="F249" s="38">
        <v>265</v>
      </c>
      <c r="G249" t="s">
        <v>164</v>
      </c>
    </row>
    <row r="250" spans="1:7" x14ac:dyDescent="0.25">
      <c r="A250" s="10" t="s">
        <v>3348</v>
      </c>
      <c r="B250" s="10" t="s">
        <v>3352</v>
      </c>
      <c r="C250" t="str">
        <f>Table13[[#This Row],[Manufacturer]]&amp;" "&amp;Table13[[#This Row],[Model]]</f>
        <v>Carlyle TW12FL</v>
      </c>
      <c r="D250" s="1">
        <v>3</v>
      </c>
      <c r="E250" s="1" t="s">
        <v>169</v>
      </c>
      <c r="F250" s="38">
        <v>250</v>
      </c>
      <c r="G250" t="s">
        <v>166</v>
      </c>
    </row>
    <row r="251" spans="1:7" x14ac:dyDescent="0.25">
      <c r="A251" s="10" t="s">
        <v>3348</v>
      </c>
      <c r="B251" s="10" t="s">
        <v>3351</v>
      </c>
      <c r="C251" t="str">
        <f>Table13[[#This Row],[Manufacturer]]&amp;" "&amp;Table13[[#This Row],[Model]]</f>
        <v>Carlyle TW12RH1</v>
      </c>
      <c r="D251" s="1">
        <v>4</v>
      </c>
      <c r="E251" s="1">
        <v>6</v>
      </c>
      <c r="F251" s="38">
        <v>250</v>
      </c>
      <c r="G251" t="s">
        <v>166</v>
      </c>
    </row>
    <row r="252" spans="1:7" x14ac:dyDescent="0.25">
      <c r="A252" s="10" t="s">
        <v>3348</v>
      </c>
      <c r="B252" s="10" t="s">
        <v>3350</v>
      </c>
      <c r="C252" t="str">
        <f>Table13[[#This Row],[Manufacturer]]&amp;" "&amp;Table13[[#This Row],[Model]]</f>
        <v>Carlyle TW12RH2</v>
      </c>
      <c r="D252" s="1">
        <v>4</v>
      </c>
      <c r="E252" s="1" t="s">
        <v>169</v>
      </c>
      <c r="F252" s="38">
        <v>250</v>
      </c>
      <c r="G252" t="s">
        <v>166</v>
      </c>
    </row>
    <row r="253" spans="1:7" x14ac:dyDescent="0.25">
      <c r="A253" s="10" t="s">
        <v>3348</v>
      </c>
      <c r="B253" s="10" t="s">
        <v>3349</v>
      </c>
      <c r="C253" t="str">
        <f>Table13[[#This Row],[Manufacturer]]&amp;" "&amp;Table13[[#This Row],[Model]]</f>
        <v>Carlyle TW34</v>
      </c>
      <c r="D253" s="1">
        <v>4</v>
      </c>
      <c r="E253" s="1">
        <v>6</v>
      </c>
      <c r="F253" s="38">
        <v>600</v>
      </c>
      <c r="G253" t="s">
        <v>166</v>
      </c>
    </row>
    <row r="254" spans="1:7" x14ac:dyDescent="0.25">
      <c r="A254" s="10" t="s">
        <v>3348</v>
      </c>
      <c r="B254" s="10" t="s">
        <v>3347</v>
      </c>
      <c r="C254" t="str">
        <f>Table13[[#This Row],[Manufacturer]]&amp;" "&amp;Table13[[#This Row],[Model]]</f>
        <v>Carlyle TW38TD1</v>
      </c>
      <c r="D254" s="1">
        <v>3</v>
      </c>
      <c r="E254" s="1" t="s">
        <v>169</v>
      </c>
      <c r="F254" s="38">
        <v>100</v>
      </c>
      <c r="G254" t="s">
        <v>166</v>
      </c>
    </row>
    <row r="255" spans="1:7" x14ac:dyDescent="0.25">
      <c r="A255" s="10" t="s">
        <v>3107</v>
      </c>
      <c r="B255" s="10" t="s">
        <v>3346</v>
      </c>
      <c r="C255" t="str">
        <f>Table13[[#This Row],[Manufacturer]]&amp;" "&amp;Table13[[#This Row],[Model]]</f>
        <v>CDI 10005CF-II</v>
      </c>
      <c r="D255" s="1">
        <v>1</v>
      </c>
      <c r="E255" s="1">
        <v>1</v>
      </c>
      <c r="F255" s="38">
        <v>1000</v>
      </c>
      <c r="G255" t="s">
        <v>166</v>
      </c>
    </row>
    <row r="256" spans="1:7" x14ac:dyDescent="0.25">
      <c r="A256" s="10" t="s">
        <v>3107</v>
      </c>
      <c r="B256" s="10" t="s">
        <v>3345</v>
      </c>
      <c r="C256" t="str">
        <f>Table13[[#This Row],[Manufacturer]]&amp;" "&amp;Table13[[#This Row],[Model]]</f>
        <v>CDI 10005KLDFN</v>
      </c>
      <c r="D256" s="1">
        <v>3</v>
      </c>
      <c r="E256" s="1">
        <v>3</v>
      </c>
      <c r="F256" s="38">
        <v>140</v>
      </c>
      <c r="G256" t="s">
        <v>258</v>
      </c>
    </row>
    <row r="257" spans="1:7" x14ac:dyDescent="0.25">
      <c r="A257" s="10" t="s">
        <v>3107</v>
      </c>
      <c r="B257" s="10" t="s">
        <v>3344</v>
      </c>
      <c r="C257" t="str">
        <f>Table13[[#This Row],[Manufacturer]]&amp;" "&amp;Table13[[#This Row],[Model]]</f>
        <v>CDI 10005LDFN</v>
      </c>
      <c r="D257" s="1">
        <v>4</v>
      </c>
      <c r="E257" s="1">
        <v>4</v>
      </c>
      <c r="F257" s="38">
        <v>1000</v>
      </c>
      <c r="G257" t="s">
        <v>166</v>
      </c>
    </row>
    <row r="258" spans="1:7" x14ac:dyDescent="0.25">
      <c r="A258" s="10" t="s">
        <v>3107</v>
      </c>
      <c r="B258" s="10" t="s">
        <v>3343</v>
      </c>
      <c r="C258" t="str">
        <f>Table13[[#This Row],[Manufacturer]]&amp;" "&amp;Table13[[#This Row],[Model]]</f>
        <v>CDI 1000-PF</v>
      </c>
      <c r="D258" s="1">
        <v>1</v>
      </c>
      <c r="E258" s="1">
        <v>1</v>
      </c>
      <c r="F258" s="38">
        <v>1000</v>
      </c>
      <c r="G258" t="s">
        <v>166</v>
      </c>
    </row>
    <row r="259" spans="1:7" x14ac:dyDescent="0.25">
      <c r="A259" s="10" t="s">
        <v>3107</v>
      </c>
      <c r="B259" s="10" t="s">
        <v>3342</v>
      </c>
      <c r="C259" t="str">
        <f>Table13[[#This Row],[Manufacturer]]&amp;" "&amp;Table13[[#This Row],[Model]]</f>
        <v>CDI 1002CASG</v>
      </c>
      <c r="D259" s="1">
        <v>2</v>
      </c>
      <c r="E259" s="1">
        <v>3</v>
      </c>
      <c r="F259" s="38">
        <v>100</v>
      </c>
      <c r="G259" t="s">
        <v>166</v>
      </c>
    </row>
    <row r="260" spans="1:7" x14ac:dyDescent="0.25">
      <c r="A260" s="10" t="s">
        <v>3107</v>
      </c>
      <c r="B260" s="10" t="s">
        <v>3341</v>
      </c>
      <c r="C260" t="str">
        <f>Table13[[#This Row],[Manufacturer]]&amp;" "&amp;Table13[[#This Row],[Model]]</f>
        <v>CDI 1002CF3</v>
      </c>
      <c r="D260" s="1">
        <v>2</v>
      </c>
      <c r="E260" s="1">
        <v>3</v>
      </c>
      <c r="F260" s="38">
        <v>100</v>
      </c>
      <c r="G260" t="s">
        <v>166</v>
      </c>
    </row>
    <row r="261" spans="1:7" x14ac:dyDescent="0.25">
      <c r="A261" s="10" t="s">
        <v>3107</v>
      </c>
      <c r="B261" s="10" t="s">
        <v>3340</v>
      </c>
      <c r="C261" t="str">
        <f>Table13[[#This Row],[Manufacturer]]&amp;" "&amp;Table13[[#This Row],[Model]]</f>
        <v>CDI 1002TAA</v>
      </c>
      <c r="D261" s="1">
        <v>2</v>
      </c>
      <c r="E261" s="1">
        <v>3</v>
      </c>
      <c r="F261" s="38">
        <v>1200</v>
      </c>
      <c r="G261" t="s">
        <v>164</v>
      </c>
    </row>
    <row r="262" spans="1:7" x14ac:dyDescent="0.25">
      <c r="A262" s="10" t="s">
        <v>3107</v>
      </c>
      <c r="B262" s="10" t="s">
        <v>3339</v>
      </c>
      <c r="C262" t="str">
        <f>Table13[[#This Row],[Manufacturer]]&amp;" "&amp;Table13[[#This Row],[Model]]</f>
        <v>CDI 1003BF</v>
      </c>
      <c r="D262" s="1">
        <v>4</v>
      </c>
      <c r="E262" s="1">
        <v>4</v>
      </c>
      <c r="F262" s="38">
        <v>100</v>
      </c>
      <c r="G262" t="s">
        <v>166</v>
      </c>
    </row>
    <row r="263" spans="1:7" x14ac:dyDescent="0.25">
      <c r="A263" s="10" t="s">
        <v>3107</v>
      </c>
      <c r="B263" s="10" t="s">
        <v>3338</v>
      </c>
      <c r="C263" t="str">
        <f>Table13[[#This Row],[Manufacturer]]&amp;" "&amp;Table13[[#This Row],[Model]]</f>
        <v>CDI 1003KLDFN</v>
      </c>
      <c r="D263" s="1">
        <v>3</v>
      </c>
      <c r="E263" s="1">
        <v>3</v>
      </c>
      <c r="F263" s="38">
        <v>14</v>
      </c>
      <c r="G263" t="s">
        <v>258</v>
      </c>
    </row>
    <row r="264" spans="1:7" x14ac:dyDescent="0.25">
      <c r="A264" s="10" t="s">
        <v>3107</v>
      </c>
      <c r="B264" s="10" t="s">
        <v>3337</v>
      </c>
      <c r="C264" t="str">
        <f>Table13[[#This Row],[Manufacturer]]&amp;" "&amp;Table13[[#This Row],[Model]]</f>
        <v>CDI 1003LDFE</v>
      </c>
      <c r="D264" s="1">
        <v>4</v>
      </c>
      <c r="E264" s="1">
        <v>4</v>
      </c>
      <c r="F264" s="38">
        <v>100</v>
      </c>
      <c r="G264" t="s">
        <v>166</v>
      </c>
    </row>
    <row r="265" spans="1:7" x14ac:dyDescent="0.25">
      <c r="A265" s="10" t="s">
        <v>3107</v>
      </c>
      <c r="B265" s="10" t="s">
        <v>3336</v>
      </c>
      <c r="C265" t="str">
        <f>Table13[[#This Row],[Manufacturer]]&amp;" "&amp;Table13[[#This Row],[Model]]</f>
        <v>CDI 1003LDFIN</v>
      </c>
      <c r="D265" s="1">
        <v>4</v>
      </c>
      <c r="E265" s="1">
        <v>4</v>
      </c>
      <c r="F265" s="38">
        <v>100</v>
      </c>
      <c r="G265" t="s">
        <v>166</v>
      </c>
    </row>
    <row r="266" spans="1:7" x14ac:dyDescent="0.25">
      <c r="A266" s="10" t="s">
        <v>3107</v>
      </c>
      <c r="B266" s="10" t="s">
        <v>3335</v>
      </c>
      <c r="C266" t="str">
        <f>Table13[[#This Row],[Manufacturer]]&amp;" "&amp;Table13[[#This Row],[Model]]</f>
        <v>CDI 1003LDFN</v>
      </c>
      <c r="D266" s="1">
        <v>4</v>
      </c>
      <c r="E266" s="1">
        <v>4</v>
      </c>
      <c r="F266" s="38">
        <v>100</v>
      </c>
      <c r="G266" t="s">
        <v>166</v>
      </c>
    </row>
    <row r="267" spans="1:7" x14ac:dyDescent="0.25">
      <c r="A267" s="10" t="s">
        <v>3107</v>
      </c>
      <c r="B267" s="10" t="s">
        <v>3334</v>
      </c>
      <c r="C267" t="str">
        <f>Table13[[#This Row],[Manufacturer]]&amp;" "&amp;Table13[[#This Row],[Model]]</f>
        <v>CDI 100LDFNI</v>
      </c>
      <c r="D267" s="1">
        <v>3</v>
      </c>
      <c r="E267" s="1">
        <v>3</v>
      </c>
      <c r="F267" s="38">
        <v>100</v>
      </c>
      <c r="G267" t="s">
        <v>166</v>
      </c>
    </row>
    <row r="268" spans="1:7" x14ac:dyDescent="0.25">
      <c r="A268" s="10" t="s">
        <v>3107</v>
      </c>
      <c r="B268" s="10" t="s">
        <v>3333</v>
      </c>
      <c r="C268" t="str">
        <f>Table13[[#This Row],[Manufacturer]]&amp;" "&amp;Table13[[#This Row],[Model]]</f>
        <v>CDI 1403NLDNSS</v>
      </c>
      <c r="D268" s="1">
        <v>4</v>
      </c>
      <c r="E268" s="1">
        <v>4</v>
      </c>
      <c r="F268" s="38">
        <v>140</v>
      </c>
      <c r="G268" t="s">
        <v>184</v>
      </c>
    </row>
    <row r="269" spans="1:7" x14ac:dyDescent="0.25">
      <c r="A269" s="10" t="s">
        <v>3107</v>
      </c>
      <c r="B269" s="10" t="s">
        <v>3332</v>
      </c>
      <c r="C269" t="str">
        <f>Table13[[#This Row],[Manufacturer]]&amp;" "&amp;Table13[[#This Row],[Model]]</f>
        <v>CDI 1502KLDIN</v>
      </c>
      <c r="D269" s="1">
        <v>3</v>
      </c>
      <c r="E269" s="1">
        <v>3</v>
      </c>
      <c r="F269" s="38">
        <v>175</v>
      </c>
      <c r="G269" t="s">
        <v>418</v>
      </c>
    </row>
    <row r="270" spans="1:7" x14ac:dyDescent="0.25">
      <c r="A270" s="10" t="s">
        <v>3107</v>
      </c>
      <c r="B270" s="10" t="s">
        <v>3331</v>
      </c>
      <c r="C270" t="str">
        <f>Table13[[#This Row],[Manufacturer]]&amp;" "&amp;Table13[[#This Row],[Model]]</f>
        <v>CDI 1502LDIN</v>
      </c>
      <c r="D270" s="1">
        <v>4</v>
      </c>
      <c r="E270" s="1">
        <v>4</v>
      </c>
      <c r="F270" s="38">
        <v>150</v>
      </c>
      <c r="G270" t="s">
        <v>164</v>
      </c>
    </row>
    <row r="271" spans="1:7" x14ac:dyDescent="0.25">
      <c r="A271" s="10" t="s">
        <v>3107</v>
      </c>
      <c r="B271" s="10" t="s">
        <v>3330</v>
      </c>
      <c r="C271" t="str">
        <f>Table13[[#This Row],[Manufacturer]]&amp;" "&amp;Table13[[#This Row],[Model]]</f>
        <v>CDI 1503BF</v>
      </c>
      <c r="D271" s="1">
        <v>4</v>
      </c>
      <c r="E271" s="1">
        <v>4</v>
      </c>
      <c r="F271" s="38">
        <v>150</v>
      </c>
      <c r="G271" t="s">
        <v>166</v>
      </c>
    </row>
    <row r="272" spans="1:7" x14ac:dyDescent="0.25">
      <c r="A272" s="10" t="s">
        <v>3107</v>
      </c>
      <c r="B272" s="10" t="s">
        <v>3329</v>
      </c>
      <c r="C272" t="str">
        <f>Table13[[#This Row],[Manufacturer]]&amp;" "&amp;Table13[[#This Row],[Model]]</f>
        <v>CDI 150LDINI</v>
      </c>
      <c r="D272" s="1">
        <v>3</v>
      </c>
      <c r="E272" s="1">
        <v>3</v>
      </c>
      <c r="F272" s="38">
        <v>150</v>
      </c>
      <c r="G272" t="s">
        <v>164</v>
      </c>
    </row>
    <row r="273" spans="1:7" x14ac:dyDescent="0.25">
      <c r="A273" s="10" t="s">
        <v>3107</v>
      </c>
      <c r="B273" s="10" t="s">
        <v>3328</v>
      </c>
      <c r="C273" t="str">
        <f>Table13[[#This Row],[Manufacturer]]&amp;" "&amp;Table13[[#This Row],[Model]]</f>
        <v>CDI 151LDIN</v>
      </c>
      <c r="D273" s="1">
        <v>4</v>
      </c>
      <c r="E273" s="1">
        <v>4</v>
      </c>
      <c r="F273" s="38">
        <v>15</v>
      </c>
      <c r="G273" t="s">
        <v>164</v>
      </c>
    </row>
    <row r="274" spans="1:7" x14ac:dyDescent="0.25">
      <c r="A274" s="10" t="s">
        <v>3107</v>
      </c>
      <c r="B274" s="10" t="s">
        <v>3327</v>
      </c>
      <c r="C274" t="str">
        <f>Table13[[#This Row],[Manufacturer]]&amp;" "&amp;Table13[[#This Row],[Model]]</f>
        <v>CDI 151LDINSS</v>
      </c>
      <c r="D274" s="1">
        <v>4</v>
      </c>
      <c r="E274" s="1">
        <v>4</v>
      </c>
      <c r="F274" s="38">
        <v>15</v>
      </c>
      <c r="G274" t="s">
        <v>164</v>
      </c>
    </row>
    <row r="275" spans="1:7" x14ac:dyDescent="0.25">
      <c r="A275" s="10" t="s">
        <v>3107</v>
      </c>
      <c r="B275" s="10" t="s">
        <v>3326</v>
      </c>
      <c r="C275" t="str">
        <f>Table13[[#This Row],[Manufacturer]]&amp;" "&amp;Table13[[#This Row],[Model]]</f>
        <v>CDI 1753KLDFN</v>
      </c>
      <c r="D275" s="1">
        <v>3</v>
      </c>
      <c r="E275" s="1">
        <v>3</v>
      </c>
      <c r="F275" s="38">
        <v>25</v>
      </c>
      <c r="G275" t="s">
        <v>258</v>
      </c>
    </row>
    <row r="276" spans="1:7" x14ac:dyDescent="0.25">
      <c r="A276" s="10" t="s">
        <v>3107</v>
      </c>
      <c r="B276" s="10" t="s">
        <v>3325</v>
      </c>
      <c r="C276" t="str">
        <f>Table13[[#This Row],[Manufacturer]]&amp;" "&amp;Table13[[#This Row],[Model]]</f>
        <v>CDI 1753LDFN</v>
      </c>
      <c r="D276" s="1">
        <v>4</v>
      </c>
      <c r="E276" s="1">
        <v>4</v>
      </c>
      <c r="F276" s="38">
        <v>175</v>
      </c>
      <c r="G276" t="s">
        <v>166</v>
      </c>
    </row>
    <row r="277" spans="1:7" x14ac:dyDescent="0.25">
      <c r="A277" s="10" t="s">
        <v>3107</v>
      </c>
      <c r="B277" s="10" t="s">
        <v>3324</v>
      </c>
      <c r="C277" t="str">
        <f>Table13[[#This Row],[Manufacturer]]&amp;" "&amp;Table13[[#This Row],[Model]]</f>
        <v>CDI 175LDFNI</v>
      </c>
      <c r="D277" s="1">
        <v>4</v>
      </c>
      <c r="E277" s="1">
        <v>4</v>
      </c>
      <c r="F277" s="38">
        <v>175</v>
      </c>
      <c r="G277" t="s">
        <v>166</v>
      </c>
    </row>
    <row r="278" spans="1:7" x14ac:dyDescent="0.25">
      <c r="A278" s="10" t="s">
        <v>3107</v>
      </c>
      <c r="B278" s="10" t="s">
        <v>3323</v>
      </c>
      <c r="C278" t="str">
        <f>Table13[[#This Row],[Manufacturer]]&amp;" "&amp;Table13[[#This Row],[Model]]</f>
        <v>CDI 20005KLDFN</v>
      </c>
      <c r="D278" s="1">
        <v>3</v>
      </c>
      <c r="E278" s="1">
        <v>3</v>
      </c>
      <c r="F278" s="38">
        <v>280</v>
      </c>
      <c r="G278" t="s">
        <v>258</v>
      </c>
    </row>
    <row r="279" spans="1:7" x14ac:dyDescent="0.25">
      <c r="A279" s="10" t="s">
        <v>3107</v>
      </c>
      <c r="B279" s="10" t="s">
        <v>3322</v>
      </c>
      <c r="C279" t="str">
        <f>Table13[[#This Row],[Manufacturer]]&amp;" "&amp;Table13[[#This Row],[Model]]</f>
        <v>CDI 20005LDFESS</v>
      </c>
      <c r="D279" s="1">
        <v>4</v>
      </c>
      <c r="E279" s="1">
        <v>4</v>
      </c>
      <c r="F279" s="38">
        <v>2000</v>
      </c>
      <c r="G279" t="s">
        <v>166</v>
      </c>
    </row>
    <row r="280" spans="1:7" x14ac:dyDescent="0.25">
      <c r="A280" s="10" t="s">
        <v>3107</v>
      </c>
      <c r="B280" s="10" t="s">
        <v>3321</v>
      </c>
      <c r="C280" t="str">
        <f>Table13[[#This Row],[Manufacturer]]&amp;" "&amp;Table13[[#This Row],[Model]]</f>
        <v>CDI 2003BF</v>
      </c>
      <c r="D280" s="1">
        <v>4</v>
      </c>
      <c r="E280" s="1">
        <v>4</v>
      </c>
      <c r="F280" s="38">
        <v>200</v>
      </c>
      <c r="G280" t="s">
        <v>166</v>
      </c>
    </row>
    <row r="281" spans="1:7" x14ac:dyDescent="0.25">
      <c r="A281" s="10" t="s">
        <v>3107</v>
      </c>
      <c r="B281" s="10" t="s">
        <v>3320</v>
      </c>
      <c r="C281" t="str">
        <f>Table13[[#This Row],[Manufacturer]]&amp;" "&amp;Table13[[#This Row],[Model]]</f>
        <v>CDI 2003-F-PET-M</v>
      </c>
      <c r="D281" s="1">
        <v>1</v>
      </c>
      <c r="E281" s="1">
        <v>1</v>
      </c>
      <c r="F281" s="38">
        <v>200</v>
      </c>
      <c r="G281" t="s">
        <v>166</v>
      </c>
    </row>
    <row r="282" spans="1:7" x14ac:dyDescent="0.25">
      <c r="A282" s="10" t="s">
        <v>3107</v>
      </c>
      <c r="B282" s="10" t="s">
        <v>3319</v>
      </c>
      <c r="C282" t="str">
        <f>Table13[[#This Row],[Manufacturer]]&amp;" "&amp;Table13[[#This Row],[Model]]</f>
        <v>CDI 2003-F-PET-R</v>
      </c>
      <c r="D282" s="1">
        <v>1</v>
      </c>
      <c r="E282" s="1">
        <v>1</v>
      </c>
      <c r="F282" s="38">
        <v>200</v>
      </c>
      <c r="G282" t="s">
        <v>164</v>
      </c>
    </row>
    <row r="283" spans="1:7" x14ac:dyDescent="0.25">
      <c r="A283" s="10" t="s">
        <v>3107</v>
      </c>
      <c r="B283" s="10" t="s">
        <v>3318</v>
      </c>
      <c r="C283" t="str">
        <f>Table13[[#This Row],[Manufacturer]]&amp;" "&amp;Table13[[#This Row],[Model]]</f>
        <v>CDI 2003-I-PET-C</v>
      </c>
      <c r="D283" s="1">
        <v>1</v>
      </c>
      <c r="E283" s="1">
        <v>1</v>
      </c>
      <c r="F283" s="38">
        <v>200</v>
      </c>
      <c r="G283" t="s">
        <v>166</v>
      </c>
    </row>
    <row r="284" spans="1:7" x14ac:dyDescent="0.25">
      <c r="A284" s="10" t="s">
        <v>3107</v>
      </c>
      <c r="B284" s="10" t="s">
        <v>3317</v>
      </c>
      <c r="C284" t="str">
        <f>Table13[[#This Row],[Manufacturer]]&amp;" "&amp;Table13[[#This Row],[Model]]</f>
        <v>CDI 2401CASG</v>
      </c>
      <c r="D284" s="1">
        <v>2</v>
      </c>
      <c r="E284" s="1">
        <v>3</v>
      </c>
      <c r="F284" s="38">
        <v>20</v>
      </c>
      <c r="G284" t="s">
        <v>166</v>
      </c>
    </row>
    <row r="285" spans="1:7" x14ac:dyDescent="0.25">
      <c r="A285" s="10" t="s">
        <v>3107</v>
      </c>
      <c r="B285" s="10" t="s">
        <v>3316</v>
      </c>
      <c r="C285" t="str">
        <f>Table13[[#This Row],[Manufacturer]]&amp;" "&amp;Table13[[#This Row],[Model]]</f>
        <v>CDI 2401CI3</v>
      </c>
      <c r="D285" s="1">
        <v>2</v>
      </c>
      <c r="E285" s="1">
        <v>3</v>
      </c>
      <c r="F285" s="38">
        <v>240</v>
      </c>
      <c r="G285" t="s">
        <v>164</v>
      </c>
    </row>
    <row r="286" spans="1:7" x14ac:dyDescent="0.25">
      <c r="A286" s="10" t="s">
        <v>3107</v>
      </c>
      <c r="B286" s="10" t="s">
        <v>3315</v>
      </c>
      <c r="C286" t="str">
        <f>Table13[[#This Row],[Manufacturer]]&amp;" "&amp;Table13[[#This Row],[Model]]</f>
        <v>CDI 2403NLDNSS</v>
      </c>
      <c r="D286" s="1">
        <v>3</v>
      </c>
      <c r="E286" s="1">
        <v>3</v>
      </c>
      <c r="F286" s="38">
        <v>240</v>
      </c>
      <c r="G286" t="s">
        <v>184</v>
      </c>
    </row>
    <row r="287" spans="1:7" x14ac:dyDescent="0.25">
      <c r="A287" s="10" t="s">
        <v>3107</v>
      </c>
      <c r="B287" s="10" t="s">
        <v>3314</v>
      </c>
      <c r="C287" t="str">
        <f>Table13[[#This Row],[Manufacturer]]&amp;" "&amp;Table13[[#This Row],[Model]]</f>
        <v>CDI 2502CI-II</v>
      </c>
      <c r="D287" s="1">
        <v>1</v>
      </c>
      <c r="E287" s="1">
        <v>1</v>
      </c>
      <c r="F287" s="38">
        <v>250</v>
      </c>
      <c r="G287" t="s">
        <v>164</v>
      </c>
    </row>
    <row r="288" spans="1:7" x14ac:dyDescent="0.25">
      <c r="A288" s="10" t="s">
        <v>3107</v>
      </c>
      <c r="B288" s="10" t="s">
        <v>3313</v>
      </c>
      <c r="C288" t="str">
        <f>Table13[[#This Row],[Manufacturer]]&amp;" "&amp;Table13[[#This Row],[Model]]</f>
        <v>CDI 2502ED</v>
      </c>
      <c r="D288" s="1">
        <v>1</v>
      </c>
      <c r="E288" s="1">
        <v>1</v>
      </c>
      <c r="F288" s="38">
        <v>250</v>
      </c>
      <c r="G288" t="s">
        <v>164</v>
      </c>
    </row>
    <row r="289" spans="1:7" x14ac:dyDescent="0.25">
      <c r="A289" s="10" t="s">
        <v>3107</v>
      </c>
      <c r="B289" s="10" t="s">
        <v>3312</v>
      </c>
      <c r="C289" t="str">
        <f>Table13[[#This Row],[Manufacturer]]&amp;" "&amp;Table13[[#This Row],[Model]]</f>
        <v>CDI 2502KLDIN</v>
      </c>
      <c r="D289" s="1">
        <v>3</v>
      </c>
      <c r="E289" s="1">
        <v>3</v>
      </c>
      <c r="F289" s="38">
        <v>280</v>
      </c>
      <c r="G289" t="s">
        <v>418</v>
      </c>
    </row>
    <row r="290" spans="1:7" x14ac:dyDescent="0.25">
      <c r="A290" s="10" t="s">
        <v>3107</v>
      </c>
      <c r="B290" s="10" t="s">
        <v>3311</v>
      </c>
      <c r="C290" t="str">
        <f>Table13[[#This Row],[Manufacturer]]&amp;" "&amp;Table13[[#This Row],[Model]]</f>
        <v>CDI 2502LDIN</v>
      </c>
      <c r="D290" s="1">
        <v>4</v>
      </c>
      <c r="E290" s="1">
        <v>4</v>
      </c>
      <c r="F290" s="38">
        <v>250</v>
      </c>
      <c r="G290" t="s">
        <v>164</v>
      </c>
    </row>
    <row r="291" spans="1:7" x14ac:dyDescent="0.25">
      <c r="A291" s="10" t="s">
        <v>3107</v>
      </c>
      <c r="B291" s="10" t="s">
        <v>3310</v>
      </c>
      <c r="C291" t="str">
        <f>Table13[[#This Row],[Manufacturer]]&amp;" "&amp;Table13[[#This Row],[Model]]</f>
        <v>CDI 2503CASG</v>
      </c>
      <c r="D291" s="1">
        <v>2</v>
      </c>
      <c r="E291" s="1">
        <v>3</v>
      </c>
      <c r="F291" s="38">
        <v>250</v>
      </c>
      <c r="G291" t="s">
        <v>166</v>
      </c>
    </row>
    <row r="292" spans="1:7" x14ac:dyDescent="0.25">
      <c r="A292" s="10" t="s">
        <v>3107</v>
      </c>
      <c r="B292" s="10" t="s">
        <v>3309</v>
      </c>
      <c r="C292" t="str">
        <f>Table13[[#This Row],[Manufacturer]]&amp;" "&amp;Table13[[#This Row],[Model]]</f>
        <v>CDI 2503CF3</v>
      </c>
      <c r="D292" s="1">
        <v>2</v>
      </c>
      <c r="E292" s="1">
        <v>3</v>
      </c>
      <c r="F292" s="38">
        <v>250</v>
      </c>
      <c r="G292" t="s">
        <v>166</v>
      </c>
    </row>
    <row r="293" spans="1:7" x14ac:dyDescent="0.25">
      <c r="A293" s="10" t="s">
        <v>3107</v>
      </c>
      <c r="B293" s="10" t="s">
        <v>3308</v>
      </c>
      <c r="C293" t="str">
        <f>Table13[[#This Row],[Manufacturer]]&amp;" "&amp;Table13[[#This Row],[Model]]</f>
        <v>CDI 2503CF3HA</v>
      </c>
      <c r="D293" s="1">
        <v>1</v>
      </c>
      <c r="E293" s="1">
        <v>1</v>
      </c>
      <c r="F293" s="38">
        <v>250</v>
      </c>
      <c r="G293" t="s">
        <v>166</v>
      </c>
    </row>
    <row r="294" spans="1:7" x14ac:dyDescent="0.25">
      <c r="A294" s="10" t="s">
        <v>3107</v>
      </c>
      <c r="B294" s="10" t="s">
        <v>3307</v>
      </c>
      <c r="C294" t="str">
        <f>Table13[[#This Row],[Manufacturer]]&amp;" "&amp;Table13[[#This Row],[Model]]</f>
        <v>CDI 2503CF-II</v>
      </c>
      <c r="D294" s="1">
        <v>1</v>
      </c>
      <c r="E294" s="1">
        <v>1</v>
      </c>
      <c r="F294" s="38">
        <v>250</v>
      </c>
      <c r="G294" t="s">
        <v>166</v>
      </c>
    </row>
    <row r="295" spans="1:7" x14ac:dyDescent="0.25">
      <c r="A295" s="10" t="s">
        <v>3107</v>
      </c>
      <c r="B295" s="10" t="s">
        <v>3306</v>
      </c>
      <c r="C295" t="str">
        <f>Table13[[#This Row],[Manufacturer]]&amp;" "&amp;Table13[[#This Row],[Model]]</f>
        <v>CDI 2503KLDFN</v>
      </c>
      <c r="D295" s="1">
        <v>3</v>
      </c>
      <c r="E295" s="1">
        <v>3</v>
      </c>
      <c r="F295" s="38">
        <v>35</v>
      </c>
      <c r="G295" t="s">
        <v>258</v>
      </c>
    </row>
    <row r="296" spans="1:7" x14ac:dyDescent="0.25">
      <c r="A296" s="10" t="s">
        <v>3107</v>
      </c>
      <c r="B296" s="10" t="s">
        <v>3305</v>
      </c>
      <c r="C296" t="str">
        <f>Table13[[#This Row],[Manufacturer]]&amp;" "&amp;Table13[[#This Row],[Model]]</f>
        <v>CDI 2503LDFN</v>
      </c>
      <c r="D296" s="1">
        <v>4</v>
      </c>
      <c r="E296" s="1">
        <v>4</v>
      </c>
      <c r="F296" s="38">
        <v>250</v>
      </c>
      <c r="G296" t="s">
        <v>166</v>
      </c>
    </row>
    <row r="297" spans="1:7" x14ac:dyDescent="0.25">
      <c r="A297" s="10" t="s">
        <v>3107</v>
      </c>
      <c r="B297" s="10" t="s">
        <v>3304</v>
      </c>
      <c r="C297" t="str">
        <f>Table13[[#This Row],[Manufacturer]]&amp;" "&amp;Table13[[#This Row],[Model]]</f>
        <v>CDI 2503LDFNR</v>
      </c>
      <c r="D297" s="1">
        <v>4</v>
      </c>
      <c r="E297" s="1">
        <v>4</v>
      </c>
      <c r="F297" s="38">
        <v>250</v>
      </c>
      <c r="G297" t="s">
        <v>166</v>
      </c>
    </row>
    <row r="298" spans="1:7" x14ac:dyDescent="0.25">
      <c r="A298" s="10" t="s">
        <v>3107</v>
      </c>
      <c r="B298" s="10" t="s">
        <v>3303</v>
      </c>
      <c r="C298" t="str">
        <f>Table13[[#This Row],[Manufacturer]]&amp;" "&amp;Table13[[#This Row],[Model]]</f>
        <v>CDI 250LDFNI</v>
      </c>
      <c r="D298" s="1">
        <v>3</v>
      </c>
      <c r="E298" s="1">
        <v>3</v>
      </c>
      <c r="F298" s="38">
        <v>250</v>
      </c>
      <c r="G298" t="s">
        <v>166</v>
      </c>
    </row>
    <row r="299" spans="1:7" x14ac:dyDescent="0.25">
      <c r="A299" s="10" t="s">
        <v>3107</v>
      </c>
      <c r="B299" s="10" t="s">
        <v>3302</v>
      </c>
      <c r="C299" t="str">
        <f>Table13[[#This Row],[Manufacturer]]&amp;" "&amp;Table13[[#This Row],[Model]]</f>
        <v>CDI 252LDFN</v>
      </c>
      <c r="D299" s="1">
        <v>3</v>
      </c>
      <c r="E299" s="1">
        <v>3</v>
      </c>
      <c r="F299" s="38">
        <v>25</v>
      </c>
      <c r="G299" t="s">
        <v>166</v>
      </c>
    </row>
    <row r="300" spans="1:7" x14ac:dyDescent="0.25">
      <c r="A300" s="10" t="s">
        <v>3107</v>
      </c>
      <c r="B300" s="10" t="s">
        <v>3301</v>
      </c>
      <c r="C300" t="str">
        <f>Table13[[#This Row],[Manufacturer]]&amp;" "&amp;Table13[[#This Row],[Model]]</f>
        <v>CDI 3.51NLDNSS</v>
      </c>
      <c r="D300" s="1">
        <v>3</v>
      </c>
      <c r="E300" s="1">
        <v>3</v>
      </c>
      <c r="F300" s="38">
        <v>3.5</v>
      </c>
      <c r="G300" t="s">
        <v>184</v>
      </c>
    </row>
    <row r="301" spans="1:7" x14ac:dyDescent="0.25">
      <c r="A301" s="10" t="s">
        <v>3107</v>
      </c>
      <c r="B301" s="10" t="s">
        <v>3300</v>
      </c>
      <c r="C301" t="str">
        <f>Table13[[#This Row],[Manufacturer]]&amp;" "&amp;Table13[[#This Row],[Model]]</f>
        <v>CDI 3002-I-PET-C</v>
      </c>
      <c r="D301" s="1">
        <v>1</v>
      </c>
      <c r="E301" s="1">
        <v>1</v>
      </c>
      <c r="F301" s="38">
        <v>300</v>
      </c>
      <c r="G301" t="s">
        <v>164</v>
      </c>
    </row>
    <row r="302" spans="1:7" x14ac:dyDescent="0.25">
      <c r="A302" s="10" t="s">
        <v>3107</v>
      </c>
      <c r="B302" s="10" t="s">
        <v>3299</v>
      </c>
      <c r="C302" t="str">
        <f>Table13[[#This Row],[Manufacturer]]&amp;" "&amp;Table13[[#This Row],[Model]]</f>
        <v>CDI 3002-I-PET-M</v>
      </c>
      <c r="D302" s="1">
        <v>1</v>
      </c>
      <c r="E302" s="1">
        <v>1</v>
      </c>
      <c r="F302" s="38">
        <v>300</v>
      </c>
      <c r="G302" t="s">
        <v>164</v>
      </c>
    </row>
    <row r="303" spans="1:7" x14ac:dyDescent="0.25">
      <c r="A303" s="10" t="s">
        <v>3107</v>
      </c>
      <c r="B303" s="10" t="s">
        <v>3298</v>
      </c>
      <c r="C303" t="str">
        <f>Table13[[#This Row],[Manufacturer]]&amp;" "&amp;Table13[[#This Row],[Model]]</f>
        <v>CDI 3002-I-PET-R</v>
      </c>
      <c r="D303" s="1">
        <v>1</v>
      </c>
      <c r="E303" s="1">
        <v>1</v>
      </c>
      <c r="F303" s="38">
        <v>300</v>
      </c>
      <c r="G303" t="s">
        <v>164</v>
      </c>
    </row>
    <row r="304" spans="1:7" x14ac:dyDescent="0.25">
      <c r="A304" s="10" t="s">
        <v>3107</v>
      </c>
      <c r="B304" s="10" t="s">
        <v>3297</v>
      </c>
      <c r="C304" t="str">
        <f>Table13[[#This Row],[Manufacturer]]&amp;" "&amp;Table13[[#This Row],[Model]]</f>
        <v>CDI 3002LDIN</v>
      </c>
      <c r="D304" s="1">
        <v>4</v>
      </c>
      <c r="E304" s="1">
        <v>4</v>
      </c>
      <c r="F304" s="38">
        <v>300</v>
      </c>
      <c r="G304" t="s">
        <v>164</v>
      </c>
    </row>
    <row r="305" spans="1:7" x14ac:dyDescent="0.25">
      <c r="A305" s="10" t="s">
        <v>3107</v>
      </c>
      <c r="B305" s="10" t="s">
        <v>3296</v>
      </c>
      <c r="C305" t="str">
        <f>Table13[[#This Row],[Manufacturer]]&amp;" "&amp;Table13[[#This Row],[Model]]</f>
        <v>CDI 3002LDINSS</v>
      </c>
      <c r="D305" s="1">
        <v>4</v>
      </c>
      <c r="E305" s="1">
        <v>4</v>
      </c>
      <c r="F305" s="38">
        <v>300</v>
      </c>
      <c r="G305" t="s">
        <v>164</v>
      </c>
    </row>
    <row r="306" spans="1:7" x14ac:dyDescent="0.25">
      <c r="A306" s="10" t="s">
        <v>3107</v>
      </c>
      <c r="B306" s="10" t="s">
        <v>3295</v>
      </c>
      <c r="C306" t="str">
        <f>Table13[[#This Row],[Manufacturer]]&amp;" "&amp;Table13[[#This Row],[Model]]</f>
        <v>CDI 3004BF</v>
      </c>
      <c r="D306" s="1">
        <v>4</v>
      </c>
      <c r="E306" s="1">
        <v>4</v>
      </c>
      <c r="F306" s="38">
        <v>300</v>
      </c>
      <c r="G306" t="s">
        <v>166</v>
      </c>
    </row>
    <row r="307" spans="1:7" x14ac:dyDescent="0.25">
      <c r="A307" s="10" t="s">
        <v>3107</v>
      </c>
      <c r="B307" s="10" t="s">
        <v>3294</v>
      </c>
      <c r="C307" t="str">
        <f>Table13[[#This Row],[Manufacturer]]&amp;" "&amp;Table13[[#This Row],[Model]]</f>
        <v>CDI 301KLDIN</v>
      </c>
      <c r="D307" s="1">
        <v>3</v>
      </c>
      <c r="E307" s="1">
        <v>3</v>
      </c>
      <c r="F307" s="38">
        <v>35</v>
      </c>
      <c r="G307" t="s">
        <v>418</v>
      </c>
    </row>
    <row r="308" spans="1:7" x14ac:dyDescent="0.25">
      <c r="A308" s="10" t="s">
        <v>3107</v>
      </c>
      <c r="B308" s="10" t="s">
        <v>3293</v>
      </c>
      <c r="C308" t="str">
        <f>Table13[[#This Row],[Manufacturer]]&amp;" "&amp;Table13[[#This Row],[Model]]</f>
        <v>CDI 301LDIN</v>
      </c>
      <c r="D308" s="1">
        <v>4</v>
      </c>
      <c r="E308" s="1">
        <v>4</v>
      </c>
      <c r="F308" s="38">
        <v>30</v>
      </c>
      <c r="G308" t="s">
        <v>164</v>
      </c>
    </row>
    <row r="309" spans="1:7" x14ac:dyDescent="0.25">
      <c r="A309" s="10" t="s">
        <v>3107</v>
      </c>
      <c r="B309" s="10" t="s">
        <v>3292</v>
      </c>
      <c r="C309" t="str">
        <f>Table13[[#This Row],[Manufacturer]]&amp;" "&amp;Table13[[#This Row],[Model]]</f>
        <v>CDI 302NLDNSS</v>
      </c>
      <c r="D309" s="1">
        <v>3</v>
      </c>
      <c r="E309" s="1">
        <v>3</v>
      </c>
      <c r="F309" s="38">
        <v>30</v>
      </c>
      <c r="G309" t="s">
        <v>184</v>
      </c>
    </row>
    <row r="310" spans="1:7" x14ac:dyDescent="0.25">
      <c r="A310" s="10" t="s">
        <v>3107</v>
      </c>
      <c r="B310" s="10" t="s">
        <v>3291</v>
      </c>
      <c r="C310" t="str">
        <f>Table13[[#This Row],[Manufacturer]]&amp;" "&amp;Table13[[#This Row],[Model]]</f>
        <v>CDI 3503NLDNSS</v>
      </c>
      <c r="D310" s="1">
        <v>3</v>
      </c>
      <c r="E310" s="1">
        <v>3</v>
      </c>
      <c r="F310" s="38">
        <v>350</v>
      </c>
      <c r="G310" t="s">
        <v>184</v>
      </c>
    </row>
    <row r="311" spans="1:7" x14ac:dyDescent="0.25">
      <c r="A311" s="10" t="s">
        <v>3107</v>
      </c>
      <c r="B311" s="10" t="s">
        <v>3290</v>
      </c>
      <c r="C311" t="str">
        <f>Table13[[#This Row],[Manufacturer]]&amp;" "&amp;Table13[[#This Row],[Model]]</f>
        <v>CDI 3504KLDFN</v>
      </c>
      <c r="D311" s="1">
        <v>3</v>
      </c>
      <c r="E311" s="1">
        <v>3</v>
      </c>
      <c r="F311" s="38">
        <v>50</v>
      </c>
      <c r="G311" t="s">
        <v>258</v>
      </c>
    </row>
    <row r="312" spans="1:7" x14ac:dyDescent="0.25">
      <c r="A312" s="10" t="s">
        <v>3107</v>
      </c>
      <c r="B312" s="10" t="s">
        <v>3289</v>
      </c>
      <c r="C312" t="str">
        <f>Table13[[#This Row],[Manufacturer]]&amp;" "&amp;Table13[[#This Row],[Model]]</f>
        <v>CDI 3504LDFN</v>
      </c>
      <c r="D312" s="1">
        <v>4</v>
      </c>
      <c r="E312" s="1">
        <v>4</v>
      </c>
      <c r="F312" s="38">
        <v>350</v>
      </c>
      <c r="G312" t="s">
        <v>166</v>
      </c>
    </row>
    <row r="313" spans="1:7" x14ac:dyDescent="0.25">
      <c r="A313" s="10" t="s">
        <v>3107</v>
      </c>
      <c r="B313" s="10" t="s">
        <v>3288</v>
      </c>
      <c r="C313" t="str">
        <f>Table13[[#This Row],[Manufacturer]]&amp;" "&amp;Table13[[#This Row],[Model]]</f>
        <v>CDI 501CI-II</v>
      </c>
      <c r="D313" s="1">
        <v>1</v>
      </c>
      <c r="E313" s="1">
        <v>1</v>
      </c>
      <c r="F313" s="38">
        <v>50</v>
      </c>
      <c r="G313" t="s">
        <v>164</v>
      </c>
    </row>
    <row r="314" spans="1:7" x14ac:dyDescent="0.25">
      <c r="A314" s="10" t="s">
        <v>3107</v>
      </c>
      <c r="B314" s="10" t="s">
        <v>3287</v>
      </c>
      <c r="C314" t="str">
        <f>Table13[[#This Row],[Manufacturer]]&amp;" "&amp;Table13[[#This Row],[Model]]</f>
        <v>CDI 501-I-PET-C</v>
      </c>
      <c r="D314" s="1">
        <v>1</v>
      </c>
      <c r="E314" s="1">
        <v>1</v>
      </c>
      <c r="F314" s="38">
        <v>50</v>
      </c>
      <c r="G314" t="s">
        <v>164</v>
      </c>
    </row>
    <row r="315" spans="1:7" x14ac:dyDescent="0.25">
      <c r="A315" s="10" t="s">
        <v>3107</v>
      </c>
      <c r="B315" s="10" t="s">
        <v>3286</v>
      </c>
      <c r="C315" t="str">
        <f>Table13[[#This Row],[Manufacturer]]&amp;" "&amp;Table13[[#This Row],[Model]]</f>
        <v>CDI 501-I-PET-M</v>
      </c>
      <c r="D315" s="1">
        <v>1</v>
      </c>
      <c r="E315" s="1">
        <v>1</v>
      </c>
      <c r="F315" s="38">
        <v>50</v>
      </c>
      <c r="G315" t="s">
        <v>164</v>
      </c>
    </row>
    <row r="316" spans="1:7" x14ac:dyDescent="0.25">
      <c r="A316" s="10" t="s">
        <v>3107</v>
      </c>
      <c r="B316" s="10" t="s">
        <v>3285</v>
      </c>
      <c r="C316" t="str">
        <f>Table13[[#This Row],[Manufacturer]]&amp;" "&amp;Table13[[#This Row],[Model]]</f>
        <v>CDI 501-I-PET-R</v>
      </c>
      <c r="D316" s="1">
        <v>1</v>
      </c>
      <c r="E316" s="1">
        <v>1</v>
      </c>
      <c r="F316" s="38">
        <v>50</v>
      </c>
      <c r="G316" t="s">
        <v>164</v>
      </c>
    </row>
    <row r="317" spans="1:7" x14ac:dyDescent="0.25">
      <c r="A317" s="10" t="s">
        <v>3107</v>
      </c>
      <c r="B317" s="10" t="s">
        <v>3284</v>
      </c>
      <c r="C317" t="str">
        <f>Table13[[#This Row],[Manufacturer]]&amp;" "&amp;Table13[[#This Row],[Model]]</f>
        <v>CDI 502BF</v>
      </c>
      <c r="D317" s="1">
        <v>4</v>
      </c>
      <c r="E317" s="1">
        <v>4</v>
      </c>
      <c r="F317" s="38">
        <v>50</v>
      </c>
      <c r="G317" t="s">
        <v>166</v>
      </c>
    </row>
    <row r="318" spans="1:7" x14ac:dyDescent="0.25">
      <c r="A318" s="10" t="s">
        <v>3107</v>
      </c>
      <c r="B318" s="10" t="s">
        <v>3283</v>
      </c>
      <c r="C318" t="str">
        <f>Table13[[#This Row],[Manufacturer]]&amp;" "&amp;Table13[[#This Row],[Model]]</f>
        <v>CDI 502CF-II</v>
      </c>
      <c r="D318" s="1">
        <v>1</v>
      </c>
      <c r="E318" s="1">
        <v>1</v>
      </c>
      <c r="F318" s="38">
        <v>50</v>
      </c>
      <c r="G318" t="s">
        <v>166</v>
      </c>
    </row>
    <row r="319" spans="1:7" x14ac:dyDescent="0.25">
      <c r="A319" s="10" t="s">
        <v>3107</v>
      </c>
      <c r="B319" s="10" t="s">
        <v>3282</v>
      </c>
      <c r="C319" t="str">
        <f>Table13[[#This Row],[Manufacturer]]&amp;" "&amp;Table13[[#This Row],[Model]]</f>
        <v>CDI 502KLDFN</v>
      </c>
      <c r="D319" s="1">
        <v>3</v>
      </c>
      <c r="E319" s="1">
        <v>3</v>
      </c>
      <c r="F319" s="38">
        <v>7</v>
      </c>
      <c r="G319" t="s">
        <v>258</v>
      </c>
    </row>
    <row r="320" spans="1:7" x14ac:dyDescent="0.25">
      <c r="A320" s="10" t="s">
        <v>3107</v>
      </c>
      <c r="B320" s="10" t="s">
        <v>3281</v>
      </c>
      <c r="C320" t="str">
        <f>Table13[[#This Row],[Manufacturer]]&amp;" "&amp;Table13[[#This Row],[Model]]</f>
        <v>CDI 502LDFN</v>
      </c>
      <c r="D320" s="1">
        <v>4</v>
      </c>
      <c r="E320" s="1">
        <v>4</v>
      </c>
      <c r="F320" s="38">
        <v>50</v>
      </c>
      <c r="G320" t="s">
        <v>166</v>
      </c>
    </row>
    <row r="321" spans="1:7" x14ac:dyDescent="0.25">
      <c r="A321" s="10" t="s">
        <v>3107</v>
      </c>
      <c r="B321" s="10" t="s">
        <v>3280</v>
      </c>
      <c r="C321" t="str">
        <f>Table13[[#This Row],[Manufacturer]]&amp;" "&amp;Table13[[#This Row],[Model]]</f>
        <v>CDI 6002BI</v>
      </c>
      <c r="D321" s="1">
        <v>4</v>
      </c>
      <c r="E321" s="1">
        <v>4</v>
      </c>
      <c r="F321" s="38">
        <v>600</v>
      </c>
      <c r="G321" t="s">
        <v>164</v>
      </c>
    </row>
    <row r="322" spans="1:7" x14ac:dyDescent="0.25">
      <c r="A322" s="10" t="s">
        <v>3107</v>
      </c>
      <c r="B322" s="10" t="s">
        <v>3279</v>
      </c>
      <c r="C322" t="str">
        <f>Table13[[#This Row],[Manufacturer]]&amp;" "&amp;Table13[[#This Row],[Model]]</f>
        <v>CDI 6002ED</v>
      </c>
      <c r="D322" s="1">
        <v>2</v>
      </c>
      <c r="E322" s="1">
        <v>3</v>
      </c>
      <c r="F322" s="38">
        <v>600</v>
      </c>
      <c r="G322" t="s">
        <v>164</v>
      </c>
    </row>
    <row r="323" spans="1:7" x14ac:dyDescent="0.25">
      <c r="A323" s="10" t="s">
        <v>3107</v>
      </c>
      <c r="B323" s="10" t="s">
        <v>3278</v>
      </c>
      <c r="C323" t="str">
        <f>Table13[[#This Row],[Manufacturer]]&amp;" "&amp;Table13[[#This Row],[Model]]</f>
        <v>CDI 6002-I-PET-C</v>
      </c>
      <c r="D323" s="1">
        <v>1</v>
      </c>
      <c r="E323" s="1">
        <v>1</v>
      </c>
      <c r="F323" s="38">
        <v>600</v>
      </c>
      <c r="G323" t="s">
        <v>164</v>
      </c>
    </row>
    <row r="324" spans="1:7" x14ac:dyDescent="0.25">
      <c r="A324" s="10" t="s">
        <v>3107</v>
      </c>
      <c r="B324" s="10" t="s">
        <v>3277</v>
      </c>
      <c r="C324" t="str">
        <f>Table13[[#This Row],[Manufacturer]]&amp;" "&amp;Table13[[#This Row],[Model]]</f>
        <v>CDI 6002-I-PET-M</v>
      </c>
      <c r="D324" s="1">
        <v>1</v>
      </c>
      <c r="E324" s="1">
        <v>1</v>
      </c>
      <c r="F324" s="38">
        <v>600</v>
      </c>
      <c r="G324" t="s">
        <v>164</v>
      </c>
    </row>
    <row r="325" spans="1:7" x14ac:dyDescent="0.25">
      <c r="A325" s="10" t="s">
        <v>3107</v>
      </c>
      <c r="B325" s="10" t="s">
        <v>3276</v>
      </c>
      <c r="C325" t="str">
        <f>Table13[[#This Row],[Manufacturer]]&amp;" "&amp;Table13[[#This Row],[Model]]</f>
        <v>CDI 6002-I-PET-R</v>
      </c>
      <c r="D325" s="1">
        <v>1</v>
      </c>
      <c r="E325" s="1">
        <v>1</v>
      </c>
      <c r="F325" s="38">
        <v>600</v>
      </c>
      <c r="G325" t="s">
        <v>164</v>
      </c>
    </row>
    <row r="326" spans="1:7" x14ac:dyDescent="0.25">
      <c r="A326" s="10" t="s">
        <v>3107</v>
      </c>
      <c r="B326" s="10" t="s">
        <v>3275</v>
      </c>
      <c r="C326" t="str">
        <f>Table13[[#This Row],[Manufacturer]]&amp;" "&amp;Table13[[#This Row],[Model]]</f>
        <v>CDI 6002KLDIN</v>
      </c>
      <c r="D326" s="1">
        <v>3</v>
      </c>
      <c r="E326" s="1">
        <v>3</v>
      </c>
      <c r="F326" s="38">
        <v>700</v>
      </c>
      <c r="G326" t="s">
        <v>418</v>
      </c>
    </row>
    <row r="327" spans="1:7" x14ac:dyDescent="0.25">
      <c r="A327" s="10" t="s">
        <v>3107</v>
      </c>
      <c r="B327" s="10" t="s">
        <v>3274</v>
      </c>
      <c r="C327" t="str">
        <f>Table13[[#This Row],[Manufacturer]]&amp;" "&amp;Table13[[#This Row],[Model]]</f>
        <v>CDI 6002LDIN</v>
      </c>
      <c r="D327" s="1">
        <v>4</v>
      </c>
      <c r="E327" s="1">
        <v>4</v>
      </c>
      <c r="F327" s="38">
        <v>600</v>
      </c>
      <c r="G327" t="s">
        <v>164</v>
      </c>
    </row>
    <row r="328" spans="1:7" x14ac:dyDescent="0.25">
      <c r="A328" s="10" t="s">
        <v>3107</v>
      </c>
      <c r="B328" s="10" t="s">
        <v>3273</v>
      </c>
      <c r="C328" t="str">
        <f>Table13[[#This Row],[Manufacturer]]&amp;" "&amp;Table13[[#This Row],[Model]]</f>
        <v>CDI 6004CASG</v>
      </c>
      <c r="D328" s="1">
        <v>2</v>
      </c>
      <c r="E328" s="1">
        <v>3</v>
      </c>
      <c r="F328" s="38">
        <v>600</v>
      </c>
      <c r="G328" t="s">
        <v>166</v>
      </c>
    </row>
    <row r="329" spans="1:7" x14ac:dyDescent="0.25">
      <c r="A329" s="10" t="s">
        <v>3107</v>
      </c>
      <c r="B329" s="10" t="s">
        <v>3272</v>
      </c>
      <c r="C329" t="str">
        <f>Table13[[#This Row],[Manufacturer]]&amp;" "&amp;Table13[[#This Row],[Model]]</f>
        <v>CDI 6004CF-II</v>
      </c>
      <c r="D329" s="1">
        <v>1</v>
      </c>
      <c r="E329" s="1">
        <v>1</v>
      </c>
      <c r="F329" s="38">
        <v>600</v>
      </c>
      <c r="G329" t="s">
        <v>166</v>
      </c>
    </row>
    <row r="330" spans="1:7" x14ac:dyDescent="0.25">
      <c r="A330" s="10" t="s">
        <v>3107</v>
      </c>
      <c r="B330" s="10" t="s">
        <v>3271</v>
      </c>
      <c r="C330" t="str">
        <f>Table13[[#This Row],[Manufacturer]]&amp;" "&amp;Table13[[#This Row],[Model]]</f>
        <v>CDI 6004-F-PET-R</v>
      </c>
      <c r="D330" s="1">
        <v>1</v>
      </c>
      <c r="E330" s="1">
        <v>1</v>
      </c>
      <c r="F330" s="38">
        <v>600</v>
      </c>
      <c r="G330" t="s">
        <v>166</v>
      </c>
    </row>
    <row r="331" spans="1:7" x14ac:dyDescent="0.25">
      <c r="A331" s="10" t="s">
        <v>3107</v>
      </c>
      <c r="B331" s="10" t="s">
        <v>3270</v>
      </c>
      <c r="C331" t="str">
        <f>Table13[[#This Row],[Manufacturer]]&amp;" "&amp;Table13[[#This Row],[Model]]</f>
        <v>CDI 6004-I-PET-C</v>
      </c>
      <c r="D331" s="1">
        <v>1</v>
      </c>
      <c r="E331" s="1">
        <v>1</v>
      </c>
      <c r="F331" s="38">
        <v>600</v>
      </c>
      <c r="G331" t="s">
        <v>166</v>
      </c>
    </row>
    <row r="332" spans="1:7" x14ac:dyDescent="0.25">
      <c r="A332" s="10" t="s">
        <v>3107</v>
      </c>
      <c r="B332" s="10" t="s">
        <v>3269</v>
      </c>
      <c r="C332" t="str">
        <f>Table13[[#This Row],[Manufacturer]]&amp;" "&amp;Table13[[#This Row],[Model]]</f>
        <v>CDI 6004KLDFN</v>
      </c>
      <c r="D332" s="1">
        <v>3</v>
      </c>
      <c r="E332" s="1">
        <v>3</v>
      </c>
      <c r="F332" s="38">
        <v>80</v>
      </c>
      <c r="G332" t="s">
        <v>258</v>
      </c>
    </row>
    <row r="333" spans="1:7" x14ac:dyDescent="0.25">
      <c r="A333" s="10" t="s">
        <v>3107</v>
      </c>
      <c r="B333" s="10" t="s">
        <v>3268</v>
      </c>
      <c r="C333" t="str">
        <f>Table13[[#This Row],[Manufacturer]]&amp;" "&amp;Table13[[#This Row],[Model]]</f>
        <v>CDI 6004LDFN</v>
      </c>
      <c r="D333" s="1">
        <v>4</v>
      </c>
      <c r="E333" s="1">
        <v>4</v>
      </c>
      <c r="F333" s="38">
        <v>600</v>
      </c>
      <c r="G333" t="s">
        <v>166</v>
      </c>
    </row>
    <row r="334" spans="1:7" x14ac:dyDescent="0.25">
      <c r="A334" s="10" t="s">
        <v>3107</v>
      </c>
      <c r="B334" s="10" t="s">
        <v>3267</v>
      </c>
      <c r="C334" t="str">
        <f>Table13[[#This Row],[Manufacturer]]&amp;" "&amp;Table13[[#This Row],[Model]]</f>
        <v>CDI 600LDINI</v>
      </c>
      <c r="D334" s="1">
        <v>3</v>
      </c>
      <c r="E334" s="1">
        <v>3</v>
      </c>
      <c r="F334" s="38">
        <v>600</v>
      </c>
      <c r="G334" t="s">
        <v>164</v>
      </c>
    </row>
    <row r="335" spans="1:7" x14ac:dyDescent="0.25">
      <c r="A335" s="10" t="s">
        <v>3107</v>
      </c>
      <c r="B335" s="10" t="s">
        <v>3266</v>
      </c>
      <c r="C335" t="str">
        <f>Table13[[#This Row],[Manufacturer]]&amp;" "&amp;Table13[[#This Row],[Model]]</f>
        <v>CDI 751KLDIN</v>
      </c>
      <c r="D335" s="1">
        <v>3</v>
      </c>
      <c r="E335" s="1">
        <v>3</v>
      </c>
      <c r="F335" s="38">
        <v>90</v>
      </c>
      <c r="G335" t="s">
        <v>418</v>
      </c>
    </row>
    <row r="336" spans="1:7" x14ac:dyDescent="0.25">
      <c r="A336" s="10" t="s">
        <v>3107</v>
      </c>
      <c r="B336" s="10" t="s">
        <v>3265</v>
      </c>
      <c r="C336" t="str">
        <f>Table13[[#This Row],[Manufacturer]]&amp;" "&amp;Table13[[#This Row],[Model]]</f>
        <v>CDI 751LDIN</v>
      </c>
      <c r="D336" s="1">
        <v>4</v>
      </c>
      <c r="E336" s="1">
        <v>4</v>
      </c>
      <c r="F336" s="38">
        <v>75</v>
      </c>
      <c r="G336" t="s">
        <v>164</v>
      </c>
    </row>
    <row r="337" spans="1:7" x14ac:dyDescent="0.25">
      <c r="A337" s="10" t="s">
        <v>3107</v>
      </c>
      <c r="B337" s="10" t="s">
        <v>3264</v>
      </c>
      <c r="C337" t="str">
        <f>Table13[[#This Row],[Manufacturer]]&amp;" "&amp;Table13[[#This Row],[Model]]</f>
        <v>CDI 751LDINSS</v>
      </c>
      <c r="D337" s="1">
        <v>4</v>
      </c>
      <c r="E337" s="1">
        <v>4</v>
      </c>
      <c r="F337" s="38">
        <v>75</v>
      </c>
      <c r="G337" t="s">
        <v>164</v>
      </c>
    </row>
    <row r="338" spans="1:7" x14ac:dyDescent="0.25">
      <c r="A338" s="10" t="s">
        <v>3107</v>
      </c>
      <c r="B338" s="10" t="s">
        <v>3263</v>
      </c>
      <c r="C338" t="str">
        <f>Table13[[#This Row],[Manufacturer]]&amp;" "&amp;Table13[[#This Row],[Model]]</f>
        <v>CDI 752LDIN</v>
      </c>
      <c r="D338" s="1">
        <v>3</v>
      </c>
      <c r="E338" s="1">
        <v>3</v>
      </c>
      <c r="F338" s="38">
        <v>75</v>
      </c>
      <c r="G338" t="s">
        <v>164</v>
      </c>
    </row>
    <row r="339" spans="1:7" x14ac:dyDescent="0.25">
      <c r="A339" s="10" t="s">
        <v>3107</v>
      </c>
      <c r="B339" s="10" t="s">
        <v>3262</v>
      </c>
      <c r="C339" t="str">
        <f>Table13[[#This Row],[Manufacturer]]&amp;" "&amp;Table13[[#This Row],[Model]]</f>
        <v>CDI 752LDINSS</v>
      </c>
      <c r="D339" s="1">
        <v>3</v>
      </c>
      <c r="E339" s="1">
        <v>3</v>
      </c>
      <c r="F339" s="38">
        <v>75</v>
      </c>
      <c r="G339" t="s">
        <v>164</v>
      </c>
    </row>
    <row r="340" spans="1:7" x14ac:dyDescent="0.25">
      <c r="A340" s="10" t="s">
        <v>3107</v>
      </c>
      <c r="B340" s="10" t="s">
        <v>3261</v>
      </c>
      <c r="C340" t="str">
        <f>Table13[[#This Row],[Manufacturer]]&amp;" "&amp;Table13[[#This Row],[Model]]</f>
        <v>CDI 75LDINI</v>
      </c>
      <c r="D340" s="1">
        <v>3</v>
      </c>
      <c r="E340" s="1">
        <v>3</v>
      </c>
      <c r="F340" s="38">
        <v>75</v>
      </c>
      <c r="G340" t="s">
        <v>164</v>
      </c>
    </row>
    <row r="341" spans="1:7" x14ac:dyDescent="0.25">
      <c r="A341" s="10" t="s">
        <v>3107</v>
      </c>
      <c r="B341" s="10" t="s">
        <v>3260</v>
      </c>
      <c r="C341" t="str">
        <f>Table13[[#This Row],[Manufacturer]]&amp;" "&amp;Table13[[#This Row],[Model]]</f>
        <v>CDI 92NLDNSS</v>
      </c>
      <c r="D341" s="1">
        <v>3</v>
      </c>
      <c r="E341" s="1">
        <v>3</v>
      </c>
      <c r="F341" s="38">
        <v>9</v>
      </c>
      <c r="G341" t="s">
        <v>184</v>
      </c>
    </row>
    <row r="342" spans="1:7" x14ac:dyDescent="0.25">
      <c r="A342" s="10" t="s">
        <v>3107</v>
      </c>
      <c r="B342" s="10" t="s">
        <v>3259</v>
      </c>
      <c r="C342" t="str">
        <f>Table13[[#This Row],[Manufacturer]]&amp;" "&amp;Table13[[#This Row],[Model]]</f>
        <v>CDI 10002KMRMH</v>
      </c>
      <c r="D342" s="1">
        <v>4</v>
      </c>
      <c r="E342" s="1">
        <v>6</v>
      </c>
      <c r="F342" s="38">
        <v>1000</v>
      </c>
      <c r="G342" t="s">
        <v>418</v>
      </c>
    </row>
    <row r="343" spans="1:7" x14ac:dyDescent="0.25">
      <c r="A343" s="10" t="s">
        <v>3107</v>
      </c>
      <c r="B343" s="10" t="s">
        <v>3258</v>
      </c>
      <c r="C343" t="str">
        <f>Table13[[#This Row],[Manufacturer]]&amp;" "&amp;Table13[[#This Row],[Model]]</f>
        <v>CDI 10002MMH</v>
      </c>
      <c r="D343" s="1">
        <v>4</v>
      </c>
      <c r="E343" s="1">
        <v>6</v>
      </c>
      <c r="F343" s="38">
        <v>1000</v>
      </c>
      <c r="G343" t="s">
        <v>164</v>
      </c>
    </row>
    <row r="344" spans="1:7" x14ac:dyDescent="0.25">
      <c r="A344" s="10" t="s">
        <v>3107</v>
      </c>
      <c r="B344" s="10" t="s">
        <v>3257</v>
      </c>
      <c r="C344" t="str">
        <f>Table13[[#This Row],[Manufacturer]]&amp;" "&amp;Table13[[#This Row],[Model]]</f>
        <v>CDI 10002MRMH</v>
      </c>
      <c r="D344" s="1">
        <v>4</v>
      </c>
      <c r="E344" s="1">
        <v>6</v>
      </c>
      <c r="F344" s="38">
        <v>1000</v>
      </c>
      <c r="G344" t="s">
        <v>164</v>
      </c>
    </row>
    <row r="345" spans="1:7" x14ac:dyDescent="0.25">
      <c r="A345" s="10" t="s">
        <v>3107</v>
      </c>
      <c r="B345" s="10" t="s">
        <v>3256</v>
      </c>
      <c r="C345" t="str">
        <f>Table13[[#This Row],[Manufacturer]]&amp;" "&amp;Table13[[#This Row],[Model]]</f>
        <v>CDI 10002MRPH</v>
      </c>
      <c r="D345" s="1">
        <v>4</v>
      </c>
      <c r="E345" s="1">
        <v>6</v>
      </c>
      <c r="F345" s="38">
        <v>1000</v>
      </c>
      <c r="G345" t="s">
        <v>164</v>
      </c>
    </row>
    <row r="346" spans="1:7" x14ac:dyDescent="0.25">
      <c r="A346" s="10" t="s">
        <v>3107</v>
      </c>
      <c r="B346" s="10" t="s">
        <v>3255</v>
      </c>
      <c r="C346" t="str">
        <f>Table13[[#This Row],[Manufacturer]]&amp;" "&amp;Table13[[#This Row],[Model]]</f>
        <v>CDI 10005MFMH</v>
      </c>
      <c r="D346" s="1">
        <v>4</v>
      </c>
      <c r="E346" s="1">
        <v>6</v>
      </c>
      <c r="F346" s="38">
        <v>1000</v>
      </c>
      <c r="G346" t="s">
        <v>166</v>
      </c>
    </row>
    <row r="347" spans="1:7" x14ac:dyDescent="0.25">
      <c r="A347" s="10" t="s">
        <v>3107</v>
      </c>
      <c r="B347" s="10" t="s">
        <v>3254</v>
      </c>
      <c r="C347" t="str">
        <f>Table13[[#This Row],[Manufacturer]]&amp;" "&amp;Table13[[#This Row],[Model]]</f>
        <v>CDI 10005MFRMH</v>
      </c>
      <c r="D347" s="1">
        <v>4</v>
      </c>
      <c r="E347" s="1">
        <v>6</v>
      </c>
      <c r="F347" s="38">
        <v>1000</v>
      </c>
      <c r="G347" t="s">
        <v>166</v>
      </c>
    </row>
    <row r="348" spans="1:7" x14ac:dyDescent="0.25">
      <c r="A348" s="10" t="s">
        <v>3107</v>
      </c>
      <c r="B348" s="10" t="s">
        <v>3253</v>
      </c>
      <c r="C348" t="str">
        <f>Table13[[#This Row],[Manufacturer]]&amp;" "&amp;Table13[[#This Row],[Model]]</f>
        <v>CDI 10005MFRPH</v>
      </c>
      <c r="D348" s="1">
        <v>4</v>
      </c>
      <c r="E348" s="1">
        <v>6</v>
      </c>
      <c r="F348" s="38">
        <v>1000</v>
      </c>
      <c r="G348" t="s">
        <v>166</v>
      </c>
    </row>
    <row r="349" spans="1:7" x14ac:dyDescent="0.25">
      <c r="A349" s="10" t="s">
        <v>3107</v>
      </c>
      <c r="B349" s="10" t="s">
        <v>3252</v>
      </c>
      <c r="C349" t="str">
        <f>Table13[[#This Row],[Manufacturer]]&amp;" "&amp;Table13[[#This Row],[Model]]</f>
        <v>CDI 1002MFMH</v>
      </c>
      <c r="D349" s="1">
        <v>4</v>
      </c>
      <c r="E349" s="1">
        <v>6</v>
      </c>
      <c r="F349" s="38">
        <v>100</v>
      </c>
      <c r="G349" t="s">
        <v>166</v>
      </c>
    </row>
    <row r="350" spans="1:7" x14ac:dyDescent="0.25">
      <c r="A350" s="10" t="s">
        <v>3107</v>
      </c>
      <c r="B350" s="10" t="s">
        <v>3251</v>
      </c>
      <c r="C350" t="str">
        <f>Table13[[#This Row],[Manufacturer]]&amp;" "&amp;Table13[[#This Row],[Model]]</f>
        <v>CDI 1002MFRMH</v>
      </c>
      <c r="D350" s="1">
        <v>4</v>
      </c>
      <c r="E350" s="1">
        <v>6</v>
      </c>
      <c r="F350" s="38">
        <v>100</v>
      </c>
      <c r="G350" t="s">
        <v>166</v>
      </c>
    </row>
    <row r="351" spans="1:7" x14ac:dyDescent="0.25">
      <c r="A351" s="10" t="s">
        <v>3107</v>
      </c>
      <c r="B351" s="10" t="s">
        <v>3250</v>
      </c>
      <c r="C351" t="str">
        <f>Table13[[#This Row],[Manufacturer]]&amp;" "&amp;Table13[[#This Row],[Model]]</f>
        <v>CDI 1002MFRPH</v>
      </c>
      <c r="D351" s="1">
        <v>4</v>
      </c>
      <c r="E351" s="1">
        <v>6</v>
      </c>
      <c r="F351" s="38">
        <v>100</v>
      </c>
      <c r="G351" t="s">
        <v>166</v>
      </c>
    </row>
    <row r="352" spans="1:7" x14ac:dyDescent="0.25">
      <c r="A352" s="10" t="s">
        <v>3107</v>
      </c>
      <c r="B352" s="10" t="s">
        <v>3249</v>
      </c>
      <c r="C352" t="str">
        <f>Table13[[#This Row],[Manufacturer]]&amp;" "&amp;Table13[[#This Row],[Model]]</f>
        <v>CDI 1002NMRMH</v>
      </c>
      <c r="D352" s="1">
        <v>4</v>
      </c>
      <c r="E352" s="1">
        <v>6</v>
      </c>
      <c r="F352" s="38">
        <v>100</v>
      </c>
      <c r="G352" t="s">
        <v>184</v>
      </c>
    </row>
    <row r="353" spans="1:7" x14ac:dyDescent="0.25">
      <c r="A353" s="10" t="s">
        <v>3107</v>
      </c>
      <c r="B353" s="10" t="s">
        <v>3248</v>
      </c>
      <c r="C353" t="str">
        <f>Table13[[#This Row],[Manufacturer]]&amp;" "&amp;Table13[[#This Row],[Model]]</f>
        <v>CDI 1002NMRMHSS</v>
      </c>
      <c r="D353" s="1">
        <v>4</v>
      </c>
      <c r="E353" s="1">
        <v>6</v>
      </c>
      <c r="F353" s="38">
        <v>100</v>
      </c>
      <c r="G353" t="s">
        <v>184</v>
      </c>
    </row>
    <row r="354" spans="1:7" x14ac:dyDescent="0.25">
      <c r="A354" s="10" t="s">
        <v>3107</v>
      </c>
      <c r="B354" s="10" t="s">
        <v>3247</v>
      </c>
      <c r="C354" t="str">
        <f>Table13[[#This Row],[Manufacturer]]&amp;" "&amp;Table13[[#This Row],[Model]]</f>
        <v>CDI 100NMIMH</v>
      </c>
      <c r="D354" s="1">
        <v>4</v>
      </c>
      <c r="E354" s="1">
        <v>6</v>
      </c>
      <c r="F354" s="38">
        <v>100</v>
      </c>
      <c r="G354" t="s">
        <v>184</v>
      </c>
    </row>
    <row r="355" spans="1:7" x14ac:dyDescent="0.25">
      <c r="A355" s="10" t="s">
        <v>3107</v>
      </c>
      <c r="B355" s="10" t="s">
        <v>3246</v>
      </c>
      <c r="C355" t="str">
        <f>Table13[[#This Row],[Manufacturer]]&amp;" "&amp;Table13[[#This Row],[Model]]</f>
        <v>CDI 100T-3P (ft.lb.)</v>
      </c>
      <c r="D355" s="1">
        <v>4</v>
      </c>
      <c r="E355" s="1">
        <v>6</v>
      </c>
      <c r="F355" s="38">
        <v>150</v>
      </c>
      <c r="G355" t="s">
        <v>166</v>
      </c>
    </row>
    <row r="356" spans="1:7" x14ac:dyDescent="0.25">
      <c r="A356" s="10" t="s">
        <v>3107</v>
      </c>
      <c r="B356" s="10" t="s">
        <v>3245</v>
      </c>
      <c r="C356" t="str">
        <f>Table13[[#This Row],[Manufacturer]]&amp;" "&amp;Table13[[#This Row],[Model]]</f>
        <v>CDI 100T-3P (in.lb.)</v>
      </c>
      <c r="D356" s="1">
        <v>4</v>
      </c>
      <c r="E356" s="1">
        <v>6</v>
      </c>
      <c r="F356" s="38">
        <v>1800</v>
      </c>
      <c r="G356" t="s">
        <v>164</v>
      </c>
    </row>
    <row r="357" spans="1:7" x14ac:dyDescent="0.25">
      <c r="A357" s="10" t="s">
        <v>3107</v>
      </c>
      <c r="B357" s="10" t="s">
        <v>3244</v>
      </c>
      <c r="C357" t="str">
        <f>Table13[[#This Row],[Manufacturer]]&amp;" "&amp;Table13[[#This Row],[Model]]</f>
        <v>CDI 100T-3R (ft.lb.)</v>
      </c>
      <c r="D357" s="1">
        <v>4</v>
      </c>
      <c r="E357" s="1">
        <v>6</v>
      </c>
      <c r="F357" s="38">
        <v>150</v>
      </c>
      <c r="G357" t="s">
        <v>166</v>
      </c>
    </row>
    <row r="358" spans="1:7" x14ac:dyDescent="0.25">
      <c r="A358" s="10" t="s">
        <v>3107</v>
      </c>
      <c r="B358" s="10" t="s">
        <v>3243</v>
      </c>
      <c r="C358" t="str">
        <f>Table13[[#This Row],[Manufacturer]]&amp;" "&amp;Table13[[#This Row],[Model]]</f>
        <v>CDI 100T-3R (in.lb.)</v>
      </c>
      <c r="D358" s="1">
        <v>4</v>
      </c>
      <c r="E358" s="1">
        <v>6</v>
      </c>
      <c r="F358" s="38">
        <v>1800</v>
      </c>
      <c r="G358" t="s">
        <v>164</v>
      </c>
    </row>
    <row r="359" spans="1:7" x14ac:dyDescent="0.25">
      <c r="A359" s="10" t="s">
        <v>3107</v>
      </c>
      <c r="B359" s="10" t="s">
        <v>3242</v>
      </c>
      <c r="C359" t="str">
        <f>Table13[[#This Row],[Manufacturer]]&amp;" "&amp;Table13[[#This Row],[Model]]</f>
        <v>CDI 100T-I</v>
      </c>
      <c r="D359" s="1">
        <v>4</v>
      </c>
      <c r="E359" s="1">
        <v>4</v>
      </c>
      <c r="F359" s="38">
        <v>150</v>
      </c>
      <c r="G359" t="s">
        <v>166</v>
      </c>
    </row>
    <row r="360" spans="1:7" x14ac:dyDescent="0.25">
      <c r="A360" s="10" t="s">
        <v>3107</v>
      </c>
      <c r="B360" s="10" t="s">
        <v>3241</v>
      </c>
      <c r="C360" t="str">
        <f>Table13[[#This Row],[Manufacturer]]&amp;" "&amp;Table13[[#This Row],[Model]]</f>
        <v>CDI 100T-I-SET</v>
      </c>
      <c r="D360" s="1">
        <v>4</v>
      </c>
      <c r="E360" s="1">
        <v>4</v>
      </c>
      <c r="F360" s="38">
        <v>150</v>
      </c>
      <c r="G360" t="s">
        <v>166</v>
      </c>
    </row>
    <row r="361" spans="1:7" x14ac:dyDescent="0.25">
      <c r="A361" s="10" t="s">
        <v>3107</v>
      </c>
      <c r="B361" s="10" t="s">
        <v>3240</v>
      </c>
      <c r="C361" t="str">
        <f>Table13[[#This Row],[Manufacturer]]&amp;" "&amp;Table13[[#This Row],[Model]]</f>
        <v>CDI 10ST-I-SET</v>
      </c>
      <c r="D361" s="1">
        <v>4</v>
      </c>
      <c r="E361" s="1">
        <v>4</v>
      </c>
      <c r="F361" s="38">
        <v>300</v>
      </c>
      <c r="G361" t="s">
        <v>164</v>
      </c>
    </row>
    <row r="362" spans="1:7" x14ac:dyDescent="0.25">
      <c r="A362" s="10" t="s">
        <v>3107</v>
      </c>
      <c r="B362" s="10" t="s">
        <v>3239</v>
      </c>
      <c r="C362" t="str">
        <f>Table13[[#This Row],[Manufacturer]]&amp;" "&amp;Table13[[#This Row],[Model]]</f>
        <v>CDI 10T-2P (ft.lb.)</v>
      </c>
      <c r="D362" s="1">
        <v>4</v>
      </c>
      <c r="E362" s="1">
        <v>6</v>
      </c>
      <c r="F362" s="38">
        <v>9</v>
      </c>
      <c r="G362" t="s">
        <v>166</v>
      </c>
    </row>
    <row r="363" spans="1:7" x14ac:dyDescent="0.25">
      <c r="A363" s="10" t="s">
        <v>3107</v>
      </c>
      <c r="B363" s="10" t="s">
        <v>3238</v>
      </c>
      <c r="C363" t="str">
        <f>Table13[[#This Row],[Manufacturer]]&amp;" "&amp;Table13[[#This Row],[Model]]</f>
        <v>CDI 10T-2P (in.lb.)</v>
      </c>
      <c r="D363" s="1">
        <v>4</v>
      </c>
      <c r="E363" s="1">
        <v>6</v>
      </c>
      <c r="F363" s="38">
        <v>108</v>
      </c>
      <c r="G363" t="s">
        <v>164</v>
      </c>
    </row>
    <row r="364" spans="1:7" x14ac:dyDescent="0.25">
      <c r="A364" s="10" t="s">
        <v>3107</v>
      </c>
      <c r="B364" s="10" t="s">
        <v>3237</v>
      </c>
      <c r="C364" t="str">
        <f>Table13[[#This Row],[Manufacturer]]&amp;" "&amp;Table13[[#This Row],[Model]]</f>
        <v>CDI 10T-2R (ft.lb.)</v>
      </c>
      <c r="D364" s="1">
        <v>4</v>
      </c>
      <c r="E364" s="1">
        <v>6</v>
      </c>
      <c r="F364" s="38">
        <v>9</v>
      </c>
      <c r="G364" t="s">
        <v>166</v>
      </c>
    </row>
    <row r="365" spans="1:7" x14ac:dyDescent="0.25">
      <c r="A365" s="10" t="s">
        <v>3107</v>
      </c>
      <c r="B365" s="10" t="s">
        <v>3236</v>
      </c>
      <c r="C365" t="str">
        <f>Table13[[#This Row],[Manufacturer]]&amp;" "&amp;Table13[[#This Row],[Model]]</f>
        <v>CDI 10T-2R (in.lb.)</v>
      </c>
      <c r="D365" s="1">
        <v>4</v>
      </c>
      <c r="E365" s="1">
        <v>6</v>
      </c>
      <c r="F365" s="38">
        <v>108</v>
      </c>
      <c r="G365" t="s">
        <v>164</v>
      </c>
    </row>
    <row r="366" spans="1:7" x14ac:dyDescent="0.25">
      <c r="A366" s="10" t="s">
        <v>3107</v>
      </c>
      <c r="B366" s="10" t="s">
        <v>3235</v>
      </c>
      <c r="C366" t="str">
        <f>Table13[[#This Row],[Manufacturer]]&amp;" "&amp;Table13[[#This Row],[Model]]</f>
        <v>CDI 10T-I-SET</v>
      </c>
      <c r="D366" s="1">
        <v>4</v>
      </c>
      <c r="E366" s="1">
        <v>4</v>
      </c>
      <c r="F366" s="38">
        <v>250</v>
      </c>
      <c r="G366" t="s">
        <v>164</v>
      </c>
    </row>
    <row r="367" spans="1:7" x14ac:dyDescent="0.25">
      <c r="A367" s="10" t="s">
        <v>3107</v>
      </c>
      <c r="B367" s="10" t="s">
        <v>3234</v>
      </c>
      <c r="C367" t="str">
        <f>Table13[[#This Row],[Manufacturer]]&amp;" "&amp;Table13[[#This Row],[Model]]</f>
        <v>CDI 14003KMRMH</v>
      </c>
      <c r="D367" s="1">
        <v>4</v>
      </c>
      <c r="E367" s="1">
        <v>6</v>
      </c>
      <c r="F367" s="38">
        <v>1400</v>
      </c>
      <c r="G367" t="s">
        <v>418</v>
      </c>
    </row>
    <row r="368" spans="1:7" x14ac:dyDescent="0.25">
      <c r="A368" s="10" t="s">
        <v>3107</v>
      </c>
      <c r="B368" s="10" t="s">
        <v>3233</v>
      </c>
      <c r="C368" t="str">
        <f>Table13[[#This Row],[Manufacturer]]&amp;" "&amp;Table13[[#This Row],[Model]]</f>
        <v>CDI 15005NMRMH</v>
      </c>
      <c r="D368" s="1">
        <v>4</v>
      </c>
      <c r="E368" s="1">
        <v>6</v>
      </c>
      <c r="F368" s="38">
        <v>1500</v>
      </c>
      <c r="G368" t="s">
        <v>184</v>
      </c>
    </row>
    <row r="369" spans="1:7" x14ac:dyDescent="0.25">
      <c r="A369" s="10" t="s">
        <v>3107</v>
      </c>
      <c r="B369" s="10" t="s">
        <v>3232</v>
      </c>
      <c r="C369" t="str">
        <f>Table13[[#This Row],[Manufacturer]]&amp;" "&amp;Table13[[#This Row],[Model]]</f>
        <v>CDI 15005NMRMHSS</v>
      </c>
      <c r="D369" s="1">
        <v>4</v>
      </c>
      <c r="E369" s="1">
        <v>6</v>
      </c>
      <c r="F369" s="38">
        <v>1500</v>
      </c>
      <c r="G369" t="s">
        <v>184</v>
      </c>
    </row>
    <row r="370" spans="1:7" x14ac:dyDescent="0.25">
      <c r="A370" s="10" t="s">
        <v>3107</v>
      </c>
      <c r="B370" s="10" t="s">
        <v>3231</v>
      </c>
      <c r="C370" t="str">
        <f>Table13[[#This Row],[Manufacturer]]&amp;" "&amp;Table13[[#This Row],[Model]]</f>
        <v>CDI 1501MMH</v>
      </c>
      <c r="D370" s="1">
        <v>4</v>
      </c>
      <c r="E370" s="1">
        <v>6</v>
      </c>
      <c r="F370" s="38">
        <v>150</v>
      </c>
      <c r="G370" t="s">
        <v>164</v>
      </c>
    </row>
    <row r="371" spans="1:7" x14ac:dyDescent="0.25">
      <c r="A371" s="10" t="s">
        <v>3107</v>
      </c>
      <c r="B371" s="10" t="s">
        <v>3230</v>
      </c>
      <c r="C371" t="str">
        <f>Table13[[#This Row],[Manufacturer]]&amp;" "&amp;Table13[[#This Row],[Model]]</f>
        <v>CDI 1501MRH</v>
      </c>
      <c r="D371" s="1">
        <v>4</v>
      </c>
      <c r="E371" s="1">
        <v>6</v>
      </c>
      <c r="F371" s="38">
        <v>150</v>
      </c>
      <c r="G371" t="s">
        <v>164</v>
      </c>
    </row>
    <row r="372" spans="1:7" x14ac:dyDescent="0.25">
      <c r="A372" s="10" t="s">
        <v>3107</v>
      </c>
      <c r="B372" s="10" t="s">
        <v>3229</v>
      </c>
      <c r="C372" t="str">
        <f>Table13[[#This Row],[Manufacturer]]&amp;" "&amp;Table13[[#This Row],[Model]]</f>
        <v>CDI 1501MRMH</v>
      </c>
      <c r="D372" s="1">
        <v>4</v>
      </c>
      <c r="E372" s="1">
        <v>6</v>
      </c>
      <c r="F372" s="38">
        <v>150</v>
      </c>
      <c r="G372" t="s">
        <v>164</v>
      </c>
    </row>
    <row r="373" spans="1:7" x14ac:dyDescent="0.25">
      <c r="A373" s="10" t="s">
        <v>3107</v>
      </c>
      <c r="B373" s="10" t="s">
        <v>3228</v>
      </c>
      <c r="C373" t="str">
        <f>Table13[[#This Row],[Manufacturer]]&amp;" "&amp;Table13[[#This Row],[Model]]</f>
        <v>CDI 1501MRPH</v>
      </c>
      <c r="D373" s="1">
        <v>4</v>
      </c>
      <c r="E373" s="1">
        <v>6</v>
      </c>
      <c r="F373" s="38">
        <v>150</v>
      </c>
      <c r="G373" t="s">
        <v>164</v>
      </c>
    </row>
    <row r="374" spans="1:7" x14ac:dyDescent="0.25">
      <c r="A374" s="10" t="s">
        <v>3107</v>
      </c>
      <c r="B374" s="10" t="s">
        <v>3227</v>
      </c>
      <c r="C374" t="str">
        <f>Table13[[#This Row],[Manufacturer]]&amp;" "&amp;Table13[[#This Row],[Model]]</f>
        <v>CDI 1501MRRH</v>
      </c>
      <c r="D374" s="1">
        <v>4</v>
      </c>
      <c r="E374" s="1">
        <v>6</v>
      </c>
      <c r="F374" s="38">
        <v>150</v>
      </c>
      <c r="G374" t="s">
        <v>164</v>
      </c>
    </row>
    <row r="375" spans="1:7" x14ac:dyDescent="0.25">
      <c r="A375" s="10" t="s">
        <v>3107</v>
      </c>
      <c r="B375" s="10" t="s">
        <v>3226</v>
      </c>
      <c r="C375" t="str">
        <f>Table13[[#This Row],[Manufacturer]]&amp;" "&amp;Table13[[#This Row],[Model]]</f>
        <v>CDI 1501TP-1</v>
      </c>
      <c r="D375" s="1">
        <v>6</v>
      </c>
      <c r="E375" s="1" t="s">
        <v>169</v>
      </c>
      <c r="F375" s="38">
        <v>170</v>
      </c>
      <c r="G375" t="s">
        <v>164</v>
      </c>
    </row>
    <row r="376" spans="1:7" x14ac:dyDescent="0.25">
      <c r="A376" s="10" t="s">
        <v>3107</v>
      </c>
      <c r="B376" s="10" t="s">
        <v>3225</v>
      </c>
      <c r="C376" t="str">
        <f>Table13[[#This Row],[Manufacturer]]&amp;" "&amp;Table13[[#This Row],[Model]]</f>
        <v>CDI 1501TPA-1</v>
      </c>
      <c r="D376" s="1">
        <v>6</v>
      </c>
      <c r="E376" s="1" t="s">
        <v>169</v>
      </c>
      <c r="F376" s="38">
        <v>170</v>
      </c>
      <c r="G376" t="s">
        <v>164</v>
      </c>
    </row>
    <row r="377" spans="1:7" x14ac:dyDescent="0.25">
      <c r="A377" s="10" t="s">
        <v>3107</v>
      </c>
      <c r="B377" s="10" t="s">
        <v>3224</v>
      </c>
      <c r="C377" t="str">
        <f>Table13[[#This Row],[Manufacturer]]&amp;" "&amp;Table13[[#This Row],[Model]]</f>
        <v>CDI 1502KMRMH</v>
      </c>
      <c r="D377" s="1">
        <v>4</v>
      </c>
      <c r="E377" s="1">
        <v>6</v>
      </c>
      <c r="F377" s="38">
        <v>150</v>
      </c>
      <c r="G377" t="s">
        <v>418</v>
      </c>
    </row>
    <row r="378" spans="1:7" x14ac:dyDescent="0.25">
      <c r="A378" s="10" t="s">
        <v>3107</v>
      </c>
      <c r="B378" s="10" t="s">
        <v>3223</v>
      </c>
      <c r="C378" t="str">
        <f>Table13[[#This Row],[Manufacturer]]&amp;" "&amp;Table13[[#This Row],[Model]]</f>
        <v>CDI 1502MRMH</v>
      </c>
      <c r="D378" s="1">
        <v>4</v>
      </c>
      <c r="E378" s="1">
        <v>6</v>
      </c>
      <c r="F378" s="38">
        <v>150</v>
      </c>
      <c r="G378" t="s">
        <v>164</v>
      </c>
    </row>
    <row r="379" spans="1:7" x14ac:dyDescent="0.25">
      <c r="A379" s="10" t="s">
        <v>3107</v>
      </c>
      <c r="B379" s="10" t="s">
        <v>3222</v>
      </c>
      <c r="C379" t="str">
        <f>Table13[[#This Row],[Manufacturer]]&amp;" "&amp;Table13[[#This Row],[Model]]</f>
        <v>CDI 1502MRMHSS</v>
      </c>
      <c r="D379" s="1">
        <v>4</v>
      </c>
      <c r="E379" s="1">
        <v>6</v>
      </c>
      <c r="F379" s="38">
        <v>150</v>
      </c>
      <c r="G379" t="s">
        <v>164</v>
      </c>
    </row>
    <row r="380" spans="1:7" x14ac:dyDescent="0.25">
      <c r="A380" s="10" t="s">
        <v>3107</v>
      </c>
      <c r="B380" s="10" t="s">
        <v>3221</v>
      </c>
      <c r="C380" t="str">
        <f>Table13[[#This Row],[Manufacturer]]&amp;" "&amp;Table13[[#This Row],[Model]]</f>
        <v>CDI 1502MRRH</v>
      </c>
      <c r="D380" s="1">
        <v>4</v>
      </c>
      <c r="E380" s="1">
        <v>6</v>
      </c>
      <c r="F380" s="38">
        <v>150</v>
      </c>
      <c r="G380" t="s">
        <v>164</v>
      </c>
    </row>
    <row r="381" spans="1:7" x14ac:dyDescent="0.25">
      <c r="A381" s="10" t="s">
        <v>3107</v>
      </c>
      <c r="B381" s="10" t="s">
        <v>3220</v>
      </c>
      <c r="C381" t="str">
        <f>Table13[[#This Row],[Manufacturer]]&amp;" "&amp;Table13[[#This Row],[Model]]</f>
        <v>CDI 1502TP-1</v>
      </c>
      <c r="D381" s="1">
        <v>6</v>
      </c>
      <c r="E381" s="1" t="s">
        <v>169</v>
      </c>
      <c r="F381" s="38">
        <v>170</v>
      </c>
      <c r="G381" t="s">
        <v>164</v>
      </c>
    </row>
    <row r="382" spans="1:7" x14ac:dyDescent="0.25">
      <c r="A382" s="10" t="s">
        <v>3107</v>
      </c>
      <c r="B382" s="10" t="s">
        <v>3219</v>
      </c>
      <c r="C382" t="str">
        <f>Table13[[#This Row],[Manufacturer]]&amp;" "&amp;Table13[[#This Row],[Model]]</f>
        <v>CDI 1503MFMH</v>
      </c>
      <c r="D382" s="1">
        <v>4</v>
      </c>
      <c r="E382" s="1">
        <v>6</v>
      </c>
      <c r="F382" s="38">
        <v>150</v>
      </c>
      <c r="G382" t="s">
        <v>166</v>
      </c>
    </row>
    <row r="383" spans="1:7" x14ac:dyDescent="0.25">
      <c r="A383" s="10" t="s">
        <v>3107</v>
      </c>
      <c r="B383" s="10" t="s">
        <v>3218</v>
      </c>
      <c r="C383" t="str">
        <f>Table13[[#This Row],[Manufacturer]]&amp;" "&amp;Table13[[#This Row],[Model]]</f>
        <v>CDI 1503MFRMH</v>
      </c>
      <c r="D383" s="1">
        <v>4</v>
      </c>
      <c r="E383" s="1">
        <v>6</v>
      </c>
      <c r="F383" s="38">
        <v>150</v>
      </c>
      <c r="G383" t="s">
        <v>166</v>
      </c>
    </row>
    <row r="384" spans="1:7" x14ac:dyDescent="0.25">
      <c r="A384" s="10" t="s">
        <v>3107</v>
      </c>
      <c r="B384" s="10" t="s">
        <v>3217</v>
      </c>
      <c r="C384" t="str">
        <f>Table13[[#This Row],[Manufacturer]]&amp;" "&amp;Table13[[#This Row],[Model]]</f>
        <v>CDI 1503MFRMHSS</v>
      </c>
      <c r="D384" s="1">
        <v>4</v>
      </c>
      <c r="E384" s="1">
        <v>6</v>
      </c>
      <c r="F384" s="38">
        <v>150</v>
      </c>
      <c r="G384" t="s">
        <v>166</v>
      </c>
    </row>
    <row r="385" spans="1:7" x14ac:dyDescent="0.25">
      <c r="A385" s="10" t="s">
        <v>3107</v>
      </c>
      <c r="B385" s="10" t="s">
        <v>3216</v>
      </c>
      <c r="C385" t="str">
        <f>Table13[[#This Row],[Manufacturer]]&amp;" "&amp;Table13[[#This Row],[Model]]</f>
        <v>CDI 1503MFRPH</v>
      </c>
      <c r="D385" s="1">
        <v>4</v>
      </c>
      <c r="E385" s="1">
        <v>6</v>
      </c>
      <c r="F385" s="38">
        <v>150</v>
      </c>
      <c r="G385" t="s">
        <v>166</v>
      </c>
    </row>
    <row r="386" spans="1:7" x14ac:dyDescent="0.25">
      <c r="A386" s="10" t="s">
        <v>3107</v>
      </c>
      <c r="B386" s="10" t="s">
        <v>3215</v>
      </c>
      <c r="C386" t="str">
        <f>Table13[[#This Row],[Manufacturer]]&amp;" "&amp;Table13[[#This Row],[Model]]</f>
        <v>CDI 1503MFRRH</v>
      </c>
      <c r="D386" s="1">
        <v>4</v>
      </c>
      <c r="E386" s="1">
        <v>6</v>
      </c>
      <c r="F386" s="38">
        <v>150</v>
      </c>
      <c r="G386" t="s">
        <v>166</v>
      </c>
    </row>
    <row r="387" spans="1:7" x14ac:dyDescent="0.25">
      <c r="A387" s="10" t="s">
        <v>3107</v>
      </c>
      <c r="B387" s="10" t="s">
        <v>3214</v>
      </c>
      <c r="C387" t="str">
        <f>Table13[[#This Row],[Manufacturer]]&amp;" "&amp;Table13[[#This Row],[Model]]</f>
        <v>CDI 1505KMRMH</v>
      </c>
      <c r="D387" s="1">
        <v>4</v>
      </c>
      <c r="E387" s="1">
        <v>6</v>
      </c>
      <c r="F387" s="38">
        <v>150</v>
      </c>
      <c r="G387" t="s">
        <v>258</v>
      </c>
    </row>
    <row r="388" spans="1:7" x14ac:dyDescent="0.25">
      <c r="A388" s="10" t="s">
        <v>3107</v>
      </c>
      <c r="B388" s="10" t="s">
        <v>3213</v>
      </c>
      <c r="C388" t="str">
        <f>Table13[[#This Row],[Manufacturer]]&amp;" "&amp;Table13[[#This Row],[Model]]</f>
        <v>CDI 150MFMHSS</v>
      </c>
      <c r="D388" s="1">
        <v>4</v>
      </c>
      <c r="E388" s="1">
        <v>6</v>
      </c>
      <c r="F388" s="38">
        <v>150</v>
      </c>
      <c r="G388" t="s">
        <v>166</v>
      </c>
    </row>
    <row r="389" spans="1:7" x14ac:dyDescent="0.25">
      <c r="A389" s="10" t="s">
        <v>3107</v>
      </c>
      <c r="B389" s="10" t="s">
        <v>3212</v>
      </c>
      <c r="C389" t="str">
        <f>Table13[[#This Row],[Manufacturer]]&amp;" "&amp;Table13[[#This Row],[Model]]</f>
        <v>CDI 150MIMH</v>
      </c>
      <c r="D389" s="1">
        <v>4</v>
      </c>
      <c r="E389" s="1">
        <v>6</v>
      </c>
      <c r="F389" s="38">
        <v>150</v>
      </c>
      <c r="G389" t="s">
        <v>166</v>
      </c>
    </row>
    <row r="390" spans="1:7" x14ac:dyDescent="0.25">
      <c r="A390" s="10" t="s">
        <v>3107</v>
      </c>
      <c r="B390" s="10" t="s">
        <v>3211</v>
      </c>
      <c r="C390" t="str">
        <f>Table13[[#This Row],[Manufacturer]]&amp;" "&amp;Table13[[#This Row],[Model]]</f>
        <v>CDI 16003MMH</v>
      </c>
      <c r="D390" s="1">
        <v>4</v>
      </c>
      <c r="E390" s="1">
        <v>6</v>
      </c>
      <c r="F390" s="38">
        <v>1600</v>
      </c>
      <c r="G390" t="s">
        <v>164</v>
      </c>
    </row>
    <row r="391" spans="1:7" x14ac:dyDescent="0.25">
      <c r="A391" s="10" t="s">
        <v>3107</v>
      </c>
      <c r="B391" s="10" t="s">
        <v>3210</v>
      </c>
      <c r="C391" t="str">
        <f>Table13[[#This Row],[Manufacturer]]&amp;" "&amp;Table13[[#This Row],[Model]]</f>
        <v>CDI 16003MRMH</v>
      </c>
      <c r="D391" s="1">
        <v>4</v>
      </c>
      <c r="E391" s="1">
        <v>6</v>
      </c>
      <c r="F391" s="38">
        <v>1600</v>
      </c>
      <c r="G391" t="s">
        <v>164</v>
      </c>
    </row>
    <row r="392" spans="1:7" x14ac:dyDescent="0.25">
      <c r="A392" s="10" t="s">
        <v>3107</v>
      </c>
      <c r="B392" s="10" t="s">
        <v>3209</v>
      </c>
      <c r="C392" t="str">
        <f>Table13[[#This Row],[Manufacturer]]&amp;" "&amp;Table13[[#This Row],[Model]]</f>
        <v>CDI 20005MFMH</v>
      </c>
      <c r="D392" s="1">
        <v>4</v>
      </c>
      <c r="E392" s="1">
        <v>6</v>
      </c>
      <c r="F392" s="38">
        <v>2000</v>
      </c>
      <c r="G392" t="s">
        <v>166</v>
      </c>
    </row>
    <row r="393" spans="1:7" x14ac:dyDescent="0.25">
      <c r="A393" s="10" t="s">
        <v>3107</v>
      </c>
      <c r="B393" s="10" t="s">
        <v>3208</v>
      </c>
      <c r="C393" t="str">
        <f>Table13[[#This Row],[Manufacturer]]&amp;" "&amp;Table13[[#This Row],[Model]]</f>
        <v>CDI 20005MFMHSS</v>
      </c>
      <c r="D393" s="1">
        <v>4</v>
      </c>
      <c r="E393" s="1">
        <v>6</v>
      </c>
      <c r="F393" s="38">
        <v>2000</v>
      </c>
      <c r="G393" t="s">
        <v>166</v>
      </c>
    </row>
    <row r="394" spans="1:7" x14ac:dyDescent="0.25">
      <c r="A394" s="10" t="s">
        <v>3107</v>
      </c>
      <c r="B394" s="10" t="s">
        <v>3207</v>
      </c>
      <c r="C394" t="str">
        <f>Table13[[#This Row],[Manufacturer]]&amp;" "&amp;Table13[[#This Row],[Model]]</f>
        <v>CDI 2001MRMH</v>
      </c>
      <c r="D394" s="1">
        <v>4</v>
      </c>
      <c r="E394" s="1">
        <v>6</v>
      </c>
      <c r="F394" s="38">
        <v>200</v>
      </c>
      <c r="G394" t="s">
        <v>164</v>
      </c>
    </row>
    <row r="395" spans="1:7" x14ac:dyDescent="0.25">
      <c r="A395" s="10" t="s">
        <v>3107</v>
      </c>
      <c r="B395" s="10" t="s">
        <v>3206</v>
      </c>
      <c r="C395" t="str">
        <f>Table13[[#This Row],[Manufacturer]]&amp;" "&amp;Table13[[#This Row],[Model]]</f>
        <v>CDI 2002MMH</v>
      </c>
      <c r="D395" s="1">
        <v>4</v>
      </c>
      <c r="E395" s="1">
        <v>6</v>
      </c>
      <c r="F395" s="38">
        <v>200</v>
      </c>
      <c r="G395" t="s">
        <v>164</v>
      </c>
    </row>
    <row r="396" spans="1:7" x14ac:dyDescent="0.25">
      <c r="A396" s="10" t="s">
        <v>3107</v>
      </c>
      <c r="B396" s="10" t="s">
        <v>3205</v>
      </c>
      <c r="C396" t="str">
        <f>Table13[[#This Row],[Manufacturer]]&amp;" "&amp;Table13[[#This Row],[Model]]</f>
        <v>CDI 2002MRMH</v>
      </c>
      <c r="D396" s="1">
        <v>4</v>
      </c>
      <c r="E396" s="1">
        <v>6</v>
      </c>
      <c r="F396" s="38">
        <v>200</v>
      </c>
      <c r="G396" t="s">
        <v>164</v>
      </c>
    </row>
    <row r="397" spans="1:7" x14ac:dyDescent="0.25">
      <c r="A397" s="10" t="s">
        <v>3107</v>
      </c>
      <c r="B397" s="10" t="s">
        <v>3204</v>
      </c>
      <c r="C397" t="str">
        <f>Table13[[#This Row],[Manufacturer]]&amp;" "&amp;Table13[[#This Row],[Model]]</f>
        <v>CDI 2002NMRMH</v>
      </c>
      <c r="D397" s="1">
        <v>4</v>
      </c>
      <c r="E397" s="1">
        <v>6</v>
      </c>
      <c r="F397" s="38">
        <v>200</v>
      </c>
      <c r="G397" t="s">
        <v>1360</v>
      </c>
    </row>
    <row r="398" spans="1:7" x14ac:dyDescent="0.25">
      <c r="A398" s="10" t="s">
        <v>3107</v>
      </c>
      <c r="B398" s="10" t="s">
        <v>3203</v>
      </c>
      <c r="C398" t="str">
        <f>Table13[[#This Row],[Manufacturer]]&amp;" "&amp;Table13[[#This Row],[Model]]</f>
        <v>CDI 2003MFMH</v>
      </c>
      <c r="D398" s="1">
        <v>4</v>
      </c>
      <c r="E398" s="1">
        <v>6</v>
      </c>
      <c r="F398" s="38">
        <v>200</v>
      </c>
      <c r="G398" t="s">
        <v>166</v>
      </c>
    </row>
    <row r="399" spans="1:7" x14ac:dyDescent="0.25">
      <c r="A399" s="10" t="s">
        <v>3107</v>
      </c>
      <c r="B399" s="10" t="s">
        <v>3202</v>
      </c>
      <c r="C399" t="str">
        <f>Table13[[#This Row],[Manufacturer]]&amp;" "&amp;Table13[[#This Row],[Model]]</f>
        <v>CDI 2003MFRMH</v>
      </c>
      <c r="D399" s="1">
        <v>4</v>
      </c>
      <c r="E399" s="1">
        <v>6</v>
      </c>
      <c r="F399" s="38">
        <v>200</v>
      </c>
      <c r="G399" t="s">
        <v>166</v>
      </c>
    </row>
    <row r="400" spans="1:7" x14ac:dyDescent="0.25">
      <c r="A400" s="10" t="s">
        <v>3107</v>
      </c>
      <c r="B400" s="10" t="s">
        <v>3201</v>
      </c>
      <c r="C400" t="str">
        <f>Table13[[#This Row],[Manufacturer]]&amp;" "&amp;Table13[[#This Row],[Model]]</f>
        <v>CDI 2003MFRPH</v>
      </c>
      <c r="D400" s="1">
        <v>4</v>
      </c>
      <c r="E400" s="1">
        <v>6</v>
      </c>
      <c r="F400" s="38">
        <v>200</v>
      </c>
      <c r="G400" t="s">
        <v>166</v>
      </c>
    </row>
    <row r="401" spans="1:7" x14ac:dyDescent="0.25">
      <c r="A401" s="10" t="s">
        <v>3107</v>
      </c>
      <c r="B401" s="10" t="s">
        <v>3200</v>
      </c>
      <c r="C401" t="str">
        <f>Table13[[#This Row],[Manufacturer]]&amp;" "&amp;Table13[[#This Row],[Model]]</f>
        <v>CDI 2003NMRMH</v>
      </c>
      <c r="D401" s="1">
        <v>4</v>
      </c>
      <c r="E401" s="1">
        <v>6</v>
      </c>
      <c r="F401" s="38">
        <v>200</v>
      </c>
      <c r="G401" t="s">
        <v>184</v>
      </c>
    </row>
    <row r="402" spans="1:7" x14ac:dyDescent="0.25">
      <c r="A402" s="10" t="s">
        <v>3107</v>
      </c>
      <c r="B402" s="10" t="s">
        <v>3199</v>
      </c>
      <c r="C402" t="str">
        <f>Table13[[#This Row],[Manufacturer]]&amp;" "&amp;Table13[[#This Row],[Model]]</f>
        <v>CDI 2003NMRMHSS</v>
      </c>
      <c r="D402" s="1">
        <v>4</v>
      </c>
      <c r="E402" s="1">
        <v>6</v>
      </c>
      <c r="F402" s="38">
        <v>200</v>
      </c>
      <c r="G402" t="s">
        <v>184</v>
      </c>
    </row>
    <row r="403" spans="1:7" x14ac:dyDescent="0.25">
      <c r="A403" s="10" t="s">
        <v>3107</v>
      </c>
      <c r="B403" s="10" t="s">
        <v>3198</v>
      </c>
      <c r="C403" t="str">
        <f>Table13[[#This Row],[Manufacturer]]&amp;" "&amp;Table13[[#This Row],[Model]]</f>
        <v>CDI 200NMIMH</v>
      </c>
      <c r="D403" s="1">
        <v>4</v>
      </c>
      <c r="E403" s="1">
        <v>6</v>
      </c>
      <c r="F403" s="38">
        <v>200</v>
      </c>
      <c r="G403" t="s">
        <v>184</v>
      </c>
    </row>
    <row r="404" spans="1:7" x14ac:dyDescent="0.25">
      <c r="A404" s="10" t="s">
        <v>3107</v>
      </c>
      <c r="B404" s="10" t="s">
        <v>3197</v>
      </c>
      <c r="C404" t="str">
        <f>Table13[[#This Row],[Manufacturer]]&amp;" "&amp;Table13[[#This Row],[Model]]</f>
        <v>CDI 200T-3P (ft.lb.)</v>
      </c>
      <c r="D404" s="1">
        <v>4</v>
      </c>
      <c r="E404" s="1">
        <v>6</v>
      </c>
      <c r="F404" s="38">
        <v>200</v>
      </c>
      <c r="G404" t="s">
        <v>166</v>
      </c>
    </row>
    <row r="405" spans="1:7" x14ac:dyDescent="0.25">
      <c r="A405" s="10" t="s">
        <v>3107</v>
      </c>
      <c r="B405" s="10" t="s">
        <v>3196</v>
      </c>
      <c r="C405" t="str">
        <f>Table13[[#This Row],[Manufacturer]]&amp;" "&amp;Table13[[#This Row],[Model]]</f>
        <v>CDI 200T-3P (in.lb.)</v>
      </c>
      <c r="D405" s="1">
        <v>4</v>
      </c>
      <c r="E405" s="1">
        <v>6</v>
      </c>
      <c r="F405" s="38">
        <v>2400</v>
      </c>
      <c r="G405" t="s">
        <v>164</v>
      </c>
    </row>
    <row r="406" spans="1:7" x14ac:dyDescent="0.25">
      <c r="A406" s="10" t="s">
        <v>3107</v>
      </c>
      <c r="B406" s="10" t="s">
        <v>3195</v>
      </c>
      <c r="C406" t="str">
        <f>Table13[[#This Row],[Manufacturer]]&amp;" "&amp;Table13[[#This Row],[Model]]</f>
        <v>CDI 200T-3R (ft.lb.)</v>
      </c>
      <c r="D406" s="1">
        <v>4</v>
      </c>
      <c r="E406" s="1">
        <v>6</v>
      </c>
      <c r="F406" s="38">
        <v>200</v>
      </c>
      <c r="G406" t="s">
        <v>166</v>
      </c>
    </row>
    <row r="407" spans="1:7" x14ac:dyDescent="0.25">
      <c r="A407" s="10" t="s">
        <v>3107</v>
      </c>
      <c r="B407" s="10" t="s">
        <v>3194</v>
      </c>
      <c r="C407" t="str">
        <f>Table13[[#This Row],[Manufacturer]]&amp;" "&amp;Table13[[#This Row],[Model]]</f>
        <v>CDI 200T-3R (in.lb.)</v>
      </c>
      <c r="D407" s="1">
        <v>4</v>
      </c>
      <c r="E407" s="1">
        <v>6</v>
      </c>
      <c r="F407" s="38">
        <v>2400</v>
      </c>
      <c r="G407" t="s">
        <v>164</v>
      </c>
    </row>
    <row r="408" spans="1:7" x14ac:dyDescent="0.25">
      <c r="A408" s="10" t="s">
        <v>3107</v>
      </c>
      <c r="B408" s="10" t="s">
        <v>3193</v>
      </c>
      <c r="C408" t="str">
        <f>Table13[[#This Row],[Manufacturer]]&amp;" "&amp;Table13[[#This Row],[Model]]</f>
        <v>CDI 200T-I-SET</v>
      </c>
      <c r="D408" s="1">
        <v>4</v>
      </c>
      <c r="E408" s="1">
        <v>6</v>
      </c>
      <c r="F408" s="38">
        <v>200</v>
      </c>
      <c r="G408" t="s">
        <v>166</v>
      </c>
    </row>
    <row r="409" spans="1:7" x14ac:dyDescent="0.25">
      <c r="A409" s="10" t="s">
        <v>3107</v>
      </c>
      <c r="B409" s="10" t="s">
        <v>3192</v>
      </c>
      <c r="C409" t="str">
        <f>Table13[[#This Row],[Manufacturer]]&amp;" "&amp;Table13[[#This Row],[Model]]</f>
        <v>CDI 203KMRMH</v>
      </c>
      <c r="D409" s="1">
        <v>4</v>
      </c>
      <c r="E409" s="1">
        <v>6</v>
      </c>
      <c r="F409" s="38">
        <v>20</v>
      </c>
      <c r="G409" t="s">
        <v>258</v>
      </c>
    </row>
    <row r="410" spans="1:7" x14ac:dyDescent="0.25">
      <c r="A410" s="10" t="s">
        <v>3107</v>
      </c>
      <c r="B410" s="10" t="s">
        <v>3191</v>
      </c>
      <c r="C410" t="str">
        <f>Table13[[#This Row],[Manufacturer]]&amp;" "&amp;Table13[[#This Row],[Model]]</f>
        <v>CDI 25003MRMH</v>
      </c>
      <c r="D410" s="1">
        <v>4</v>
      </c>
      <c r="E410" s="1">
        <v>6</v>
      </c>
      <c r="F410" s="38">
        <v>2500</v>
      </c>
      <c r="G410" t="s">
        <v>164</v>
      </c>
    </row>
    <row r="411" spans="1:7" x14ac:dyDescent="0.25">
      <c r="A411" s="10" t="s">
        <v>3107</v>
      </c>
      <c r="B411" s="10" t="s">
        <v>3190</v>
      </c>
      <c r="C411" t="str">
        <f>Table13[[#This Row],[Manufacturer]]&amp;" "&amp;Table13[[#This Row],[Model]]</f>
        <v>CDI 2502MMH</v>
      </c>
      <c r="D411" s="1">
        <v>4</v>
      </c>
      <c r="E411" s="1">
        <v>6</v>
      </c>
      <c r="F411" s="38">
        <v>250</v>
      </c>
      <c r="G411" t="s">
        <v>164</v>
      </c>
    </row>
    <row r="412" spans="1:7" x14ac:dyDescent="0.25">
      <c r="A412" s="10" t="s">
        <v>3107</v>
      </c>
      <c r="B412" s="10" t="s">
        <v>3189</v>
      </c>
      <c r="C412" t="str">
        <f>Table13[[#This Row],[Manufacturer]]&amp;" "&amp;Table13[[#This Row],[Model]]</f>
        <v>CDI 2502MRMH</v>
      </c>
      <c r="D412" s="1">
        <v>4</v>
      </c>
      <c r="E412" s="1">
        <v>6</v>
      </c>
      <c r="F412" s="38">
        <v>250</v>
      </c>
      <c r="G412" t="s">
        <v>164</v>
      </c>
    </row>
    <row r="413" spans="1:7" x14ac:dyDescent="0.25">
      <c r="A413" s="10" t="s">
        <v>3107</v>
      </c>
      <c r="B413" s="10" t="s">
        <v>3188</v>
      </c>
      <c r="C413" t="str">
        <f>Table13[[#This Row],[Manufacturer]]&amp;" "&amp;Table13[[#This Row],[Model]]</f>
        <v>CDI 2502MRPH</v>
      </c>
      <c r="D413" s="1">
        <v>4</v>
      </c>
      <c r="E413" s="1">
        <v>6</v>
      </c>
      <c r="F413" s="38">
        <v>250</v>
      </c>
      <c r="G413" t="s">
        <v>164</v>
      </c>
    </row>
    <row r="414" spans="1:7" x14ac:dyDescent="0.25">
      <c r="A414" s="10" t="s">
        <v>3107</v>
      </c>
      <c r="B414" s="10" t="s">
        <v>3187</v>
      </c>
      <c r="C414" t="str">
        <f>Table13[[#This Row],[Manufacturer]]&amp;" "&amp;Table13[[#This Row],[Model]]</f>
        <v>CDI 2503MFMH</v>
      </c>
      <c r="D414" s="1">
        <v>4</v>
      </c>
      <c r="E414" s="1">
        <v>6</v>
      </c>
      <c r="F414" s="38">
        <v>250</v>
      </c>
      <c r="G414" t="s">
        <v>166</v>
      </c>
    </row>
    <row r="415" spans="1:7" x14ac:dyDescent="0.25">
      <c r="A415" s="10" t="s">
        <v>3107</v>
      </c>
      <c r="B415" s="10" t="s">
        <v>3186</v>
      </c>
      <c r="C415" t="str">
        <f>Table13[[#This Row],[Manufacturer]]&amp;" "&amp;Table13[[#This Row],[Model]]</f>
        <v>CDI 2503MFRMH</v>
      </c>
      <c r="D415" s="1">
        <v>4</v>
      </c>
      <c r="E415" s="1">
        <v>6</v>
      </c>
      <c r="F415" s="38">
        <v>250</v>
      </c>
      <c r="G415" t="s">
        <v>166</v>
      </c>
    </row>
    <row r="416" spans="1:7" x14ac:dyDescent="0.25">
      <c r="A416" s="10" t="s">
        <v>3107</v>
      </c>
      <c r="B416" s="10" t="s">
        <v>3185</v>
      </c>
      <c r="C416" t="str">
        <f>Table13[[#This Row],[Manufacturer]]&amp;" "&amp;Table13[[#This Row],[Model]]</f>
        <v>CDI 2503MFRPH</v>
      </c>
      <c r="D416" s="1">
        <v>4</v>
      </c>
      <c r="E416" s="1">
        <v>6</v>
      </c>
      <c r="F416" s="38">
        <v>250</v>
      </c>
      <c r="G416" t="s">
        <v>166</v>
      </c>
    </row>
    <row r="417" spans="1:7" x14ac:dyDescent="0.25">
      <c r="A417" s="10" t="s">
        <v>3107</v>
      </c>
      <c r="B417" s="10" t="s">
        <v>3184</v>
      </c>
      <c r="C417" t="str">
        <f>Table13[[#This Row],[Manufacturer]]&amp;" "&amp;Table13[[#This Row],[Model]]</f>
        <v>CDI 250MFIMH</v>
      </c>
      <c r="D417" s="1">
        <v>4</v>
      </c>
      <c r="E417" s="1">
        <v>6</v>
      </c>
      <c r="F417" s="38">
        <v>250</v>
      </c>
      <c r="G417" t="s">
        <v>166</v>
      </c>
    </row>
    <row r="418" spans="1:7" x14ac:dyDescent="0.25">
      <c r="A418" s="10" t="s">
        <v>3107</v>
      </c>
      <c r="B418" s="10" t="s">
        <v>3183</v>
      </c>
      <c r="C418" t="str">
        <f>Table13[[#This Row],[Manufacturer]]&amp;" "&amp;Table13[[#This Row],[Model]]</f>
        <v>CDI 250MFMHSS</v>
      </c>
      <c r="D418" s="1">
        <v>4</v>
      </c>
      <c r="E418" s="1">
        <v>6</v>
      </c>
      <c r="F418" s="38">
        <v>250</v>
      </c>
      <c r="G418" t="s">
        <v>166</v>
      </c>
    </row>
    <row r="419" spans="1:7" x14ac:dyDescent="0.25">
      <c r="A419" s="10" t="s">
        <v>3107</v>
      </c>
      <c r="B419" s="10" t="s">
        <v>3182</v>
      </c>
      <c r="C419" t="str">
        <f>Table13[[#This Row],[Manufacturer]]&amp;" "&amp;Table13[[#This Row],[Model]]</f>
        <v>CDI 3002KMRMH</v>
      </c>
      <c r="D419" s="1">
        <v>4</v>
      </c>
      <c r="E419" s="1">
        <v>6</v>
      </c>
      <c r="F419" s="38">
        <v>300</v>
      </c>
      <c r="G419" t="s">
        <v>418</v>
      </c>
    </row>
    <row r="420" spans="1:7" x14ac:dyDescent="0.25">
      <c r="A420" s="10" t="s">
        <v>3107</v>
      </c>
      <c r="B420" s="10" t="s">
        <v>3181</v>
      </c>
      <c r="C420" t="str">
        <f>Table13[[#This Row],[Manufacturer]]&amp;" "&amp;Table13[[#This Row],[Model]]</f>
        <v>CDI 3003NMRMH</v>
      </c>
      <c r="D420" s="1">
        <v>4</v>
      </c>
      <c r="E420" s="1">
        <v>6</v>
      </c>
      <c r="F420" s="38">
        <v>300</v>
      </c>
      <c r="G420" t="s">
        <v>184</v>
      </c>
    </row>
    <row r="421" spans="1:7" x14ac:dyDescent="0.25">
      <c r="A421" s="10" t="s">
        <v>3107</v>
      </c>
      <c r="B421" s="10" t="s">
        <v>3180</v>
      </c>
      <c r="C421" t="str">
        <f>Table13[[#This Row],[Manufacturer]]&amp;" "&amp;Table13[[#This Row],[Model]]</f>
        <v>CDI 300T-4P (ft.lb.)</v>
      </c>
      <c r="D421" s="1">
        <v>4</v>
      </c>
      <c r="E421" s="1">
        <v>6</v>
      </c>
      <c r="F421" s="38">
        <v>300</v>
      </c>
      <c r="G421" t="s">
        <v>166</v>
      </c>
    </row>
    <row r="422" spans="1:7" x14ac:dyDescent="0.25">
      <c r="A422" s="10" t="s">
        <v>3107</v>
      </c>
      <c r="B422" s="10" t="s">
        <v>3179</v>
      </c>
      <c r="C422" t="str">
        <f>Table13[[#This Row],[Manufacturer]]&amp;" "&amp;Table13[[#This Row],[Model]]</f>
        <v>CDI 300T-4P (in.lb.)</v>
      </c>
      <c r="D422" s="1">
        <v>4</v>
      </c>
      <c r="E422" s="1">
        <v>6</v>
      </c>
      <c r="F422" s="38">
        <v>3600</v>
      </c>
      <c r="G422" t="s">
        <v>164</v>
      </c>
    </row>
    <row r="423" spans="1:7" x14ac:dyDescent="0.25">
      <c r="A423" s="10" t="s">
        <v>3107</v>
      </c>
      <c r="B423" s="10" t="s">
        <v>3178</v>
      </c>
      <c r="C423" t="str">
        <f>Table13[[#This Row],[Manufacturer]]&amp;" "&amp;Table13[[#This Row],[Model]]</f>
        <v>CDI 300T-4R (ft.lb.)</v>
      </c>
      <c r="D423" s="1">
        <v>4</v>
      </c>
      <c r="E423" s="1">
        <v>6</v>
      </c>
      <c r="F423" s="38">
        <v>300</v>
      </c>
      <c r="G423" t="s">
        <v>166</v>
      </c>
    </row>
    <row r="424" spans="1:7" x14ac:dyDescent="0.25">
      <c r="A424" s="10" t="s">
        <v>3107</v>
      </c>
      <c r="B424" s="10" t="s">
        <v>3177</v>
      </c>
      <c r="C424" t="str">
        <f>Table13[[#This Row],[Manufacturer]]&amp;" "&amp;Table13[[#This Row],[Model]]</f>
        <v>CDI 300T-4R (in.lb.)</v>
      </c>
      <c r="D424" s="1">
        <v>4</v>
      </c>
      <c r="E424" s="1">
        <v>6</v>
      </c>
      <c r="F424" s="38">
        <v>3600</v>
      </c>
      <c r="G424" t="s">
        <v>164</v>
      </c>
    </row>
    <row r="425" spans="1:7" x14ac:dyDescent="0.25">
      <c r="A425" s="10" t="s">
        <v>3107</v>
      </c>
      <c r="B425" s="10" t="s">
        <v>3176</v>
      </c>
      <c r="C425" t="str">
        <f>Table13[[#This Row],[Manufacturer]]&amp;" "&amp;Table13[[#This Row],[Model]]</f>
        <v>CDI 300T-I-SET</v>
      </c>
      <c r="D425" s="1">
        <v>4</v>
      </c>
      <c r="E425" s="1">
        <v>4</v>
      </c>
      <c r="F425" s="38">
        <v>300</v>
      </c>
      <c r="G425" t="s">
        <v>166</v>
      </c>
    </row>
    <row r="426" spans="1:7" x14ac:dyDescent="0.25">
      <c r="A426" s="10" t="s">
        <v>3107</v>
      </c>
      <c r="B426" s="10" t="s">
        <v>3175</v>
      </c>
      <c r="C426" t="str">
        <f>Table13[[#This Row],[Manufacturer]]&amp;" "&amp;Table13[[#This Row],[Model]]</f>
        <v>CDI 303KMRMH</v>
      </c>
      <c r="D426" s="1">
        <v>4</v>
      </c>
      <c r="E426" s="1">
        <v>6</v>
      </c>
      <c r="F426" s="38">
        <v>30</v>
      </c>
      <c r="G426" t="s">
        <v>258</v>
      </c>
    </row>
    <row r="427" spans="1:7" x14ac:dyDescent="0.25">
      <c r="A427" s="10" t="s">
        <v>3107</v>
      </c>
      <c r="B427" s="10" t="s">
        <v>3174</v>
      </c>
      <c r="C427" t="str">
        <f>Table13[[#This Row],[Manufacturer]]&amp;" "&amp;Table13[[#This Row],[Model]]</f>
        <v>CDI 3403NMRMH</v>
      </c>
      <c r="D427" s="1">
        <v>4</v>
      </c>
      <c r="E427" s="1">
        <v>6</v>
      </c>
      <c r="F427" s="38">
        <v>340</v>
      </c>
      <c r="G427" t="s">
        <v>184</v>
      </c>
    </row>
    <row r="428" spans="1:7" x14ac:dyDescent="0.25">
      <c r="A428" s="10" t="s">
        <v>3107</v>
      </c>
      <c r="B428" s="10" t="s">
        <v>3173</v>
      </c>
      <c r="C428" t="str">
        <f>Table13[[#This Row],[Manufacturer]]&amp;" "&amp;Table13[[#This Row],[Model]]</f>
        <v>CDI 3403NMRMHSS</v>
      </c>
      <c r="D428" s="1">
        <v>4</v>
      </c>
      <c r="E428" s="1" t="s">
        <v>169</v>
      </c>
      <c r="F428" s="38">
        <v>340</v>
      </c>
      <c r="G428" t="s">
        <v>184</v>
      </c>
    </row>
    <row r="429" spans="1:7" x14ac:dyDescent="0.25">
      <c r="A429" s="10" t="s">
        <v>3107</v>
      </c>
      <c r="B429" s="10" t="s">
        <v>3172</v>
      </c>
      <c r="C429" t="str">
        <f>Table13[[#This Row],[Manufacturer]]&amp;" "&amp;Table13[[#This Row],[Model]]</f>
        <v>CDI 350NMIMH</v>
      </c>
      <c r="D429" s="1">
        <v>4</v>
      </c>
      <c r="E429" s="1">
        <v>6</v>
      </c>
      <c r="F429" s="38">
        <v>350</v>
      </c>
      <c r="G429" t="s">
        <v>184</v>
      </c>
    </row>
    <row r="430" spans="1:7" x14ac:dyDescent="0.25">
      <c r="A430" s="10" t="s">
        <v>3107</v>
      </c>
      <c r="B430" s="10" t="s">
        <v>3171</v>
      </c>
      <c r="C430" t="str">
        <f>Table13[[#This Row],[Manufacturer]]&amp;" "&amp;Table13[[#This Row],[Model]]</f>
        <v>CDI 3603NMRMH</v>
      </c>
      <c r="D430" s="1">
        <v>4</v>
      </c>
      <c r="E430" s="1">
        <v>6</v>
      </c>
      <c r="F430" s="38">
        <v>360</v>
      </c>
      <c r="G430" t="s">
        <v>184</v>
      </c>
    </row>
    <row r="431" spans="1:7" x14ac:dyDescent="0.25">
      <c r="A431" s="10" t="s">
        <v>3107</v>
      </c>
      <c r="B431" s="10" t="s">
        <v>3170</v>
      </c>
      <c r="C431" t="str">
        <f>Table13[[#This Row],[Manufacturer]]&amp;" "&amp;Table13[[#This Row],[Model]]</f>
        <v>CDI 363KMRMH</v>
      </c>
      <c r="D431" s="1">
        <v>4</v>
      </c>
      <c r="E431" s="1">
        <v>6</v>
      </c>
      <c r="F431" s="38">
        <v>36</v>
      </c>
      <c r="G431" t="s">
        <v>258</v>
      </c>
    </row>
    <row r="432" spans="1:7" x14ac:dyDescent="0.25">
      <c r="A432" s="10" t="s">
        <v>3107</v>
      </c>
      <c r="B432" s="10" t="s">
        <v>3169</v>
      </c>
      <c r="C432" t="str">
        <f>Table13[[#This Row],[Manufacturer]]&amp;" "&amp;Table13[[#This Row],[Model]]</f>
        <v>CDI 4004MFMH</v>
      </c>
      <c r="D432" s="1">
        <v>4</v>
      </c>
      <c r="E432" s="1">
        <v>6</v>
      </c>
      <c r="F432" s="38">
        <v>400</v>
      </c>
      <c r="G432" t="s">
        <v>166</v>
      </c>
    </row>
    <row r="433" spans="1:7" x14ac:dyDescent="0.25">
      <c r="A433" s="10" t="s">
        <v>3107</v>
      </c>
      <c r="B433" s="10" t="s">
        <v>3168</v>
      </c>
      <c r="C433" t="str">
        <f>Table13[[#This Row],[Manufacturer]]&amp;" "&amp;Table13[[#This Row],[Model]]</f>
        <v>CDI 4004MFRMH</v>
      </c>
      <c r="D433" s="1">
        <v>4</v>
      </c>
      <c r="E433" s="1">
        <v>6</v>
      </c>
      <c r="F433" s="38">
        <v>400</v>
      </c>
      <c r="G433" t="s">
        <v>166</v>
      </c>
    </row>
    <row r="434" spans="1:7" x14ac:dyDescent="0.25">
      <c r="A434" s="10" t="s">
        <v>3107</v>
      </c>
      <c r="B434" s="10" t="s">
        <v>3167</v>
      </c>
      <c r="C434" t="str">
        <f>Table13[[#This Row],[Manufacturer]]&amp;" "&amp;Table13[[#This Row],[Model]]</f>
        <v>CDI 48004MMH</v>
      </c>
      <c r="D434" s="1">
        <v>4</v>
      </c>
      <c r="E434" s="1">
        <v>6</v>
      </c>
      <c r="F434" s="38">
        <v>4800</v>
      </c>
      <c r="G434" t="s">
        <v>164</v>
      </c>
    </row>
    <row r="435" spans="1:7" x14ac:dyDescent="0.25">
      <c r="A435" s="10" t="s">
        <v>3107</v>
      </c>
      <c r="B435" s="10" t="s">
        <v>3166</v>
      </c>
      <c r="C435" t="str">
        <f>Table13[[#This Row],[Manufacturer]]&amp;" "&amp;Table13[[#This Row],[Model]]</f>
        <v>CDI 48004MRMH</v>
      </c>
      <c r="D435" s="1">
        <v>4</v>
      </c>
      <c r="E435" s="1">
        <v>6</v>
      </c>
      <c r="F435" s="38">
        <v>4800</v>
      </c>
      <c r="G435" t="s">
        <v>164</v>
      </c>
    </row>
    <row r="436" spans="1:7" x14ac:dyDescent="0.25">
      <c r="A436" s="10" t="s">
        <v>3107</v>
      </c>
      <c r="B436" s="10" t="s">
        <v>3165</v>
      </c>
      <c r="C436" t="str">
        <f>Table13[[#This Row],[Manufacturer]]&amp;" "&amp;Table13[[#This Row],[Model]]</f>
        <v>CDI 501KMRMH</v>
      </c>
      <c r="D436" s="1">
        <v>4</v>
      </c>
      <c r="E436" s="1">
        <v>6</v>
      </c>
      <c r="F436" s="38">
        <v>50</v>
      </c>
      <c r="G436" t="s">
        <v>418</v>
      </c>
    </row>
    <row r="437" spans="1:7" x14ac:dyDescent="0.25">
      <c r="A437" s="10" t="s">
        <v>3107</v>
      </c>
      <c r="B437" s="10" t="s">
        <v>3164</v>
      </c>
      <c r="C437" t="str">
        <f>Table13[[#This Row],[Manufacturer]]&amp;" "&amp;Table13[[#This Row],[Model]]</f>
        <v>CDI 501MMH</v>
      </c>
      <c r="D437" s="1">
        <v>4</v>
      </c>
      <c r="E437" s="1">
        <v>6</v>
      </c>
      <c r="F437" s="38">
        <v>50</v>
      </c>
      <c r="G437" t="s">
        <v>164</v>
      </c>
    </row>
    <row r="438" spans="1:7" x14ac:dyDescent="0.25">
      <c r="A438" s="10" t="s">
        <v>3107</v>
      </c>
      <c r="B438" s="10" t="s">
        <v>3163</v>
      </c>
      <c r="C438" t="str">
        <f>Table13[[#This Row],[Manufacturer]]&amp;" "&amp;Table13[[#This Row],[Model]]</f>
        <v>CDI 501MRMH</v>
      </c>
      <c r="D438" s="1">
        <v>4</v>
      </c>
      <c r="E438" s="1">
        <v>6</v>
      </c>
      <c r="F438" s="38">
        <v>50</v>
      </c>
      <c r="G438" t="s">
        <v>164</v>
      </c>
    </row>
    <row r="439" spans="1:7" x14ac:dyDescent="0.25">
      <c r="A439" s="10" t="s">
        <v>3107</v>
      </c>
      <c r="B439" s="10" t="s">
        <v>3162</v>
      </c>
      <c r="C439" t="str">
        <f>Table13[[#This Row],[Manufacturer]]&amp;" "&amp;Table13[[#This Row],[Model]]</f>
        <v>CDI 501NMRMH</v>
      </c>
      <c r="D439" s="1">
        <v>4</v>
      </c>
      <c r="E439" s="1">
        <v>6</v>
      </c>
      <c r="F439" s="38">
        <v>50</v>
      </c>
      <c r="G439" t="s">
        <v>1360</v>
      </c>
    </row>
    <row r="440" spans="1:7" x14ac:dyDescent="0.25">
      <c r="A440" s="10" t="s">
        <v>3107</v>
      </c>
      <c r="B440" s="10" t="s">
        <v>3161</v>
      </c>
      <c r="C440" t="str">
        <f>Table13[[#This Row],[Manufacturer]]&amp;" "&amp;Table13[[#This Row],[Model]]</f>
        <v>CDI 50NMIMH</v>
      </c>
      <c r="D440" s="1">
        <v>4</v>
      </c>
      <c r="E440" s="1">
        <v>6</v>
      </c>
      <c r="F440" s="38">
        <v>50</v>
      </c>
      <c r="G440" t="s">
        <v>184</v>
      </c>
    </row>
    <row r="441" spans="1:7" x14ac:dyDescent="0.25">
      <c r="A441" s="10" t="s">
        <v>3107</v>
      </c>
      <c r="B441" s="10" t="s">
        <v>3160</v>
      </c>
      <c r="C441" t="str">
        <f>Table13[[#This Row],[Manufacturer]]&amp;" "&amp;Table13[[#This Row],[Model]]</f>
        <v>CDI 50T-2P (ft.lb.)</v>
      </c>
      <c r="D441" s="1">
        <v>4</v>
      </c>
      <c r="E441" s="1">
        <v>6</v>
      </c>
      <c r="F441" s="38">
        <v>50</v>
      </c>
      <c r="G441" t="s">
        <v>166</v>
      </c>
    </row>
    <row r="442" spans="1:7" x14ac:dyDescent="0.25">
      <c r="A442" s="10" t="s">
        <v>3107</v>
      </c>
      <c r="B442" s="10" t="s">
        <v>3159</v>
      </c>
      <c r="C442" t="str">
        <f>Table13[[#This Row],[Manufacturer]]&amp;" "&amp;Table13[[#This Row],[Model]]</f>
        <v>CDI 50T-2P (in.lb.)</v>
      </c>
      <c r="D442" s="1">
        <v>4</v>
      </c>
      <c r="E442" s="1">
        <v>6</v>
      </c>
      <c r="F442" s="38">
        <v>600</v>
      </c>
      <c r="G442" t="s">
        <v>164</v>
      </c>
    </row>
    <row r="443" spans="1:7" x14ac:dyDescent="0.25">
      <c r="A443" s="10" t="s">
        <v>3107</v>
      </c>
      <c r="B443" s="10" t="s">
        <v>3158</v>
      </c>
      <c r="C443" t="str">
        <f>Table13[[#This Row],[Manufacturer]]&amp;" "&amp;Table13[[#This Row],[Model]]</f>
        <v>CDI 50T-2R (ft.lb.)</v>
      </c>
      <c r="D443" s="1">
        <v>4</v>
      </c>
      <c r="E443" s="1">
        <v>6</v>
      </c>
      <c r="F443" s="38">
        <v>50</v>
      </c>
      <c r="G443" t="s">
        <v>166</v>
      </c>
    </row>
    <row r="444" spans="1:7" x14ac:dyDescent="0.25">
      <c r="A444" s="10" t="s">
        <v>3107</v>
      </c>
      <c r="B444" s="10" t="s">
        <v>3157</v>
      </c>
      <c r="C444" t="str">
        <f>Table13[[#This Row],[Manufacturer]]&amp;" "&amp;Table13[[#This Row],[Model]]</f>
        <v>CDI 50T-2R (in.lb.)</v>
      </c>
      <c r="D444" s="1">
        <v>4</v>
      </c>
      <c r="E444" s="1">
        <v>6</v>
      </c>
      <c r="F444" s="38">
        <v>600</v>
      </c>
      <c r="G444" t="s">
        <v>164</v>
      </c>
    </row>
    <row r="445" spans="1:7" x14ac:dyDescent="0.25">
      <c r="A445" s="10" t="s">
        <v>3107</v>
      </c>
      <c r="B445" s="10" t="s">
        <v>3156</v>
      </c>
      <c r="C445" t="str">
        <f>Table13[[#This Row],[Manufacturer]]&amp;" "&amp;Table13[[#This Row],[Model]]</f>
        <v>CDI 50T-I-SET</v>
      </c>
      <c r="D445" s="1">
        <v>4</v>
      </c>
      <c r="E445" s="1">
        <v>4</v>
      </c>
      <c r="F445" s="38">
        <v>75</v>
      </c>
      <c r="G445" t="s">
        <v>166</v>
      </c>
    </row>
    <row r="446" spans="1:7" x14ac:dyDescent="0.25">
      <c r="A446" s="10" t="s">
        <v>3107</v>
      </c>
      <c r="B446" s="10" t="s">
        <v>3155</v>
      </c>
      <c r="C446" t="str">
        <f>Table13[[#This Row],[Manufacturer]]&amp;" "&amp;Table13[[#This Row],[Model]]</f>
        <v>CDI 5T-1P (ft.lb.)</v>
      </c>
      <c r="D446" s="1">
        <v>4</v>
      </c>
      <c r="E446" s="1">
        <v>6</v>
      </c>
      <c r="F446" s="38">
        <v>5</v>
      </c>
      <c r="G446" t="s">
        <v>166</v>
      </c>
    </row>
    <row r="447" spans="1:7" x14ac:dyDescent="0.25">
      <c r="A447" s="10" t="s">
        <v>3107</v>
      </c>
      <c r="B447" s="10" t="s">
        <v>3154</v>
      </c>
      <c r="C447" t="str">
        <f>Table13[[#This Row],[Manufacturer]]&amp;" "&amp;Table13[[#This Row],[Model]]</f>
        <v>CDI 5T-1P (in.lb.)</v>
      </c>
      <c r="D447" s="1">
        <v>4</v>
      </c>
      <c r="E447" s="1">
        <v>6</v>
      </c>
      <c r="F447" s="38">
        <v>60</v>
      </c>
      <c r="G447" t="s">
        <v>164</v>
      </c>
    </row>
    <row r="448" spans="1:7" x14ac:dyDescent="0.25">
      <c r="A448" s="10" t="s">
        <v>3107</v>
      </c>
      <c r="B448" s="10" t="s">
        <v>3153</v>
      </c>
      <c r="C448" t="str">
        <f>Table13[[#This Row],[Manufacturer]]&amp;" "&amp;Table13[[#This Row],[Model]]</f>
        <v>CDI 5T-1R (ft.lb.)</v>
      </c>
      <c r="D448" s="1">
        <v>4</v>
      </c>
      <c r="E448" s="1">
        <v>6</v>
      </c>
      <c r="F448" s="38">
        <v>5</v>
      </c>
      <c r="G448" t="s">
        <v>166</v>
      </c>
    </row>
    <row r="449" spans="1:7" x14ac:dyDescent="0.25">
      <c r="A449" s="10" t="s">
        <v>3107</v>
      </c>
      <c r="B449" s="10" t="s">
        <v>3152</v>
      </c>
      <c r="C449" t="str">
        <f>Table13[[#This Row],[Manufacturer]]&amp;" "&amp;Table13[[#This Row],[Model]]</f>
        <v>CDI 5T-1R (in.lb.)</v>
      </c>
      <c r="D449" s="1">
        <v>4</v>
      </c>
      <c r="E449" s="1">
        <v>6</v>
      </c>
      <c r="F449" s="38">
        <v>60</v>
      </c>
      <c r="G449" t="s">
        <v>164</v>
      </c>
    </row>
    <row r="450" spans="1:7" x14ac:dyDescent="0.25">
      <c r="A450" s="10" t="s">
        <v>3107</v>
      </c>
      <c r="B450" s="10" t="s">
        <v>3151</v>
      </c>
      <c r="C450" t="str">
        <f>Table13[[#This Row],[Manufacturer]]&amp;" "&amp;Table13[[#This Row],[Model]]</f>
        <v>CDI 5TI-SET</v>
      </c>
      <c r="D450" s="1">
        <v>4</v>
      </c>
      <c r="E450" s="1">
        <v>4</v>
      </c>
      <c r="F450" s="38">
        <v>50</v>
      </c>
      <c r="G450" t="s">
        <v>164</v>
      </c>
    </row>
    <row r="451" spans="1:7" x14ac:dyDescent="0.25">
      <c r="A451" s="10" t="s">
        <v>3107</v>
      </c>
      <c r="B451" s="10" t="s">
        <v>3150</v>
      </c>
      <c r="C451" t="str">
        <f>Table13[[#This Row],[Manufacturer]]&amp;" "&amp;Table13[[#This Row],[Model]]</f>
        <v>CDI 6004MFMH</v>
      </c>
      <c r="D451" s="1">
        <v>4</v>
      </c>
      <c r="E451" s="1">
        <v>6</v>
      </c>
      <c r="F451" s="38">
        <v>600</v>
      </c>
      <c r="G451" t="s">
        <v>166</v>
      </c>
    </row>
    <row r="452" spans="1:7" x14ac:dyDescent="0.25">
      <c r="A452" s="10" t="s">
        <v>3107</v>
      </c>
      <c r="B452" s="10" t="s">
        <v>3149</v>
      </c>
      <c r="C452" t="str">
        <f>Table13[[#This Row],[Manufacturer]]&amp;" "&amp;Table13[[#This Row],[Model]]</f>
        <v>CDI 6004MFRMH</v>
      </c>
      <c r="D452" s="1">
        <v>4</v>
      </c>
      <c r="E452" s="1">
        <v>6</v>
      </c>
      <c r="F452" s="38">
        <v>600</v>
      </c>
      <c r="G452" t="s">
        <v>166</v>
      </c>
    </row>
    <row r="453" spans="1:7" x14ac:dyDescent="0.25">
      <c r="A453" s="10" t="s">
        <v>3107</v>
      </c>
      <c r="B453" s="10" t="s">
        <v>3148</v>
      </c>
      <c r="C453" t="str">
        <f>Table13[[#This Row],[Manufacturer]]&amp;" "&amp;Table13[[#This Row],[Model]]</f>
        <v>CDI 6004MFRPH</v>
      </c>
      <c r="D453" s="1">
        <v>4</v>
      </c>
      <c r="E453" s="1">
        <v>6</v>
      </c>
      <c r="F453" s="38">
        <v>600</v>
      </c>
      <c r="G453" t="s">
        <v>166</v>
      </c>
    </row>
    <row r="454" spans="1:7" x14ac:dyDescent="0.25">
      <c r="A454" s="10" t="s">
        <v>3107</v>
      </c>
      <c r="B454" s="10" t="s">
        <v>3147</v>
      </c>
      <c r="C454" t="str">
        <f>Table13[[#This Row],[Manufacturer]]&amp;" "&amp;Table13[[#This Row],[Model]]</f>
        <v>CDI 600T-4P (ft.lb.)</v>
      </c>
      <c r="D454" s="1">
        <v>4</v>
      </c>
      <c r="E454" s="1">
        <v>6</v>
      </c>
      <c r="F454" s="38">
        <v>600</v>
      </c>
      <c r="G454" t="s">
        <v>166</v>
      </c>
    </row>
    <row r="455" spans="1:7" x14ac:dyDescent="0.25">
      <c r="A455" s="10" t="s">
        <v>3107</v>
      </c>
      <c r="B455" s="10" t="s">
        <v>3146</v>
      </c>
      <c r="C455" t="str">
        <f>Table13[[#This Row],[Manufacturer]]&amp;" "&amp;Table13[[#This Row],[Model]]</f>
        <v>CDI 600T-4P (in.lb.)</v>
      </c>
      <c r="D455" s="1">
        <v>4</v>
      </c>
      <c r="E455" s="1">
        <v>6</v>
      </c>
      <c r="F455" s="38">
        <v>7200</v>
      </c>
      <c r="G455" t="s">
        <v>164</v>
      </c>
    </row>
    <row r="456" spans="1:7" x14ac:dyDescent="0.25">
      <c r="A456" s="10" t="s">
        <v>3107</v>
      </c>
      <c r="B456" s="10" t="s">
        <v>3145</v>
      </c>
      <c r="C456" t="str">
        <f>Table13[[#This Row],[Manufacturer]]&amp;" "&amp;Table13[[#This Row],[Model]]</f>
        <v>CDI 600T-4R (ft.lb.)</v>
      </c>
      <c r="D456" s="1">
        <v>4</v>
      </c>
      <c r="E456" s="1">
        <v>6</v>
      </c>
      <c r="F456" s="38">
        <v>600</v>
      </c>
      <c r="G456" t="s">
        <v>166</v>
      </c>
    </row>
    <row r="457" spans="1:7" x14ac:dyDescent="0.25">
      <c r="A457" s="10" t="s">
        <v>3107</v>
      </c>
      <c r="B457" s="10" t="s">
        <v>3144</v>
      </c>
      <c r="C457" t="str">
        <f>Table13[[#This Row],[Manufacturer]]&amp;" "&amp;Table13[[#This Row],[Model]]</f>
        <v>CDI 600T-4R (in.lb.)</v>
      </c>
      <c r="D457" s="1">
        <v>4</v>
      </c>
      <c r="E457" s="1">
        <v>6</v>
      </c>
      <c r="F457" s="38">
        <v>7200</v>
      </c>
      <c r="G457" t="s">
        <v>164</v>
      </c>
    </row>
    <row r="458" spans="1:7" x14ac:dyDescent="0.25">
      <c r="A458" s="10" t="s">
        <v>3107</v>
      </c>
      <c r="B458" s="10" t="s">
        <v>3143</v>
      </c>
      <c r="C458" t="str">
        <f>Table13[[#This Row],[Manufacturer]]&amp;" "&amp;Table13[[#This Row],[Model]]</f>
        <v>CDI 600T-I-SET</v>
      </c>
      <c r="D458" s="1">
        <v>4</v>
      </c>
      <c r="E458" s="1">
        <v>4</v>
      </c>
      <c r="F458" s="38">
        <v>600</v>
      </c>
      <c r="G458" t="s">
        <v>166</v>
      </c>
    </row>
    <row r="459" spans="1:7" x14ac:dyDescent="0.25">
      <c r="A459" s="10" t="s">
        <v>3107</v>
      </c>
      <c r="B459" s="10" t="s">
        <v>3142</v>
      </c>
      <c r="C459" t="str">
        <f>Table13[[#This Row],[Manufacturer]]&amp;" "&amp;Table13[[#This Row],[Model]]</f>
        <v>CDI 602NMRMH</v>
      </c>
      <c r="D459" s="1">
        <v>4</v>
      </c>
      <c r="E459" s="1">
        <v>6</v>
      </c>
      <c r="F459" s="38">
        <v>60</v>
      </c>
      <c r="G459" t="s">
        <v>184</v>
      </c>
    </row>
    <row r="460" spans="1:7" x14ac:dyDescent="0.25">
      <c r="A460" s="10" t="s">
        <v>3107</v>
      </c>
      <c r="B460" s="10" t="s">
        <v>3141</v>
      </c>
      <c r="C460" t="str">
        <f>Table13[[#This Row],[Manufacturer]]&amp;" "&amp;Table13[[#This Row],[Model]]</f>
        <v>CDI 602NMRMHSS</v>
      </c>
      <c r="D460" s="1">
        <v>4</v>
      </c>
      <c r="E460" s="1">
        <v>6</v>
      </c>
      <c r="F460" s="38">
        <v>60</v>
      </c>
      <c r="G460" t="s">
        <v>184</v>
      </c>
    </row>
    <row r="461" spans="1:7" x14ac:dyDescent="0.25">
      <c r="A461" s="10" t="s">
        <v>3107</v>
      </c>
      <c r="B461" s="10" t="s">
        <v>3140</v>
      </c>
      <c r="C461" t="str">
        <f>Table13[[#This Row],[Manufacturer]]&amp;" "&amp;Table13[[#This Row],[Model]]</f>
        <v>CDI 7502MMH</v>
      </c>
      <c r="D461" s="1">
        <v>4</v>
      </c>
      <c r="E461" s="1">
        <v>6</v>
      </c>
      <c r="F461" s="38">
        <v>750</v>
      </c>
      <c r="G461" t="s">
        <v>164</v>
      </c>
    </row>
    <row r="462" spans="1:7" x14ac:dyDescent="0.25">
      <c r="A462" s="10" t="s">
        <v>3107</v>
      </c>
      <c r="B462" s="10" t="s">
        <v>3139</v>
      </c>
      <c r="C462" t="str">
        <f>Table13[[#This Row],[Manufacturer]]&amp;" "&amp;Table13[[#This Row],[Model]]</f>
        <v>CDI 7502MRMH</v>
      </c>
      <c r="D462" s="1">
        <v>4</v>
      </c>
      <c r="E462" s="1">
        <v>6</v>
      </c>
      <c r="F462" s="38">
        <v>750</v>
      </c>
      <c r="G462" t="s">
        <v>164</v>
      </c>
    </row>
    <row r="463" spans="1:7" x14ac:dyDescent="0.25">
      <c r="A463" s="10" t="s">
        <v>3107</v>
      </c>
      <c r="B463" s="10" t="s">
        <v>3138</v>
      </c>
      <c r="C463" t="str">
        <f>Table13[[#This Row],[Manufacturer]]&amp;" "&amp;Table13[[#This Row],[Model]]</f>
        <v>CDI 7502MRRHSS</v>
      </c>
      <c r="D463" s="1">
        <v>4</v>
      </c>
      <c r="E463" s="1" t="s">
        <v>169</v>
      </c>
      <c r="F463" s="38">
        <v>750</v>
      </c>
      <c r="G463" t="s">
        <v>164</v>
      </c>
    </row>
    <row r="464" spans="1:7" x14ac:dyDescent="0.25">
      <c r="A464" s="10" t="s">
        <v>3107</v>
      </c>
      <c r="B464" s="10" t="s">
        <v>3137</v>
      </c>
      <c r="C464" t="str">
        <f>Table13[[#This Row],[Manufacturer]]&amp;" "&amp;Table13[[#This Row],[Model]]</f>
        <v>CDI 7502MRRPHSS</v>
      </c>
      <c r="D464" s="1">
        <v>4</v>
      </c>
      <c r="E464" s="1" t="s">
        <v>169</v>
      </c>
      <c r="F464" s="38">
        <v>750</v>
      </c>
      <c r="G464" t="s">
        <v>164</v>
      </c>
    </row>
    <row r="465" spans="1:7" x14ac:dyDescent="0.25">
      <c r="A465" s="10" t="s">
        <v>3107</v>
      </c>
      <c r="B465" s="10" t="s">
        <v>3136</v>
      </c>
      <c r="C465" t="str">
        <f>Table13[[#This Row],[Manufacturer]]&amp;" "&amp;Table13[[#This Row],[Model]]</f>
        <v>CDI 7503MRMH</v>
      </c>
      <c r="D465" s="1">
        <v>4</v>
      </c>
      <c r="E465" s="1">
        <v>6</v>
      </c>
      <c r="F465" s="38">
        <v>750</v>
      </c>
      <c r="G465" t="s">
        <v>164</v>
      </c>
    </row>
    <row r="466" spans="1:7" x14ac:dyDescent="0.25">
      <c r="A466" s="10" t="s">
        <v>3107</v>
      </c>
      <c r="B466" s="10" t="s">
        <v>3135</v>
      </c>
      <c r="C466" t="str">
        <f>Table13[[#This Row],[Manufacturer]]&amp;" "&amp;Table13[[#This Row],[Model]]</f>
        <v>CDI 752MFMH</v>
      </c>
      <c r="D466" s="1">
        <v>4</v>
      </c>
      <c r="E466" s="1">
        <v>6</v>
      </c>
      <c r="F466" s="38">
        <v>75</v>
      </c>
      <c r="G466" t="s">
        <v>166</v>
      </c>
    </row>
    <row r="467" spans="1:7" x14ac:dyDescent="0.25">
      <c r="A467" s="10" t="s">
        <v>3107</v>
      </c>
      <c r="B467" s="10" t="s">
        <v>3134</v>
      </c>
      <c r="C467" t="str">
        <f>Table13[[#This Row],[Manufacturer]]&amp;" "&amp;Table13[[#This Row],[Model]]</f>
        <v>CDI 752MFRMH</v>
      </c>
      <c r="D467" s="1">
        <v>4</v>
      </c>
      <c r="E467" s="1">
        <v>6</v>
      </c>
      <c r="F467" s="38">
        <v>75</v>
      </c>
      <c r="G467" t="s">
        <v>166</v>
      </c>
    </row>
    <row r="468" spans="1:7" x14ac:dyDescent="0.25">
      <c r="A468" s="10" t="s">
        <v>3107</v>
      </c>
      <c r="B468" s="10" t="s">
        <v>3133</v>
      </c>
      <c r="C468" t="str">
        <f>Table13[[#This Row],[Manufacturer]]&amp;" "&amp;Table13[[#This Row],[Model]]</f>
        <v>CDI 75MFIMH</v>
      </c>
      <c r="D468" s="1">
        <v>4</v>
      </c>
      <c r="E468" s="1">
        <v>6</v>
      </c>
      <c r="F468" s="38">
        <v>75</v>
      </c>
      <c r="G468" t="s">
        <v>166</v>
      </c>
    </row>
    <row r="469" spans="1:7" x14ac:dyDescent="0.25">
      <c r="A469" s="10" t="s">
        <v>3107</v>
      </c>
      <c r="B469" s="10" t="s">
        <v>3132</v>
      </c>
      <c r="C469" t="str">
        <f>Table13[[#This Row],[Manufacturer]]&amp;" "&amp;Table13[[#This Row],[Model]]</f>
        <v>CDI 75MFMHSS</v>
      </c>
      <c r="D469" s="1">
        <v>4</v>
      </c>
      <c r="E469" s="1">
        <v>6</v>
      </c>
      <c r="F469" s="38">
        <v>75</v>
      </c>
      <c r="G469" t="s">
        <v>166</v>
      </c>
    </row>
    <row r="470" spans="1:7" x14ac:dyDescent="0.25">
      <c r="A470" s="10" t="s">
        <v>3107</v>
      </c>
      <c r="B470" s="10" t="s">
        <v>3131</v>
      </c>
      <c r="C470" t="str">
        <f>Table13[[#This Row],[Manufacturer]]&amp;" "&amp;Table13[[#This Row],[Model]]</f>
        <v>CDI 8004NMRMH</v>
      </c>
      <c r="D470" s="1">
        <v>4</v>
      </c>
      <c r="E470" s="1">
        <v>6</v>
      </c>
      <c r="F470" s="38">
        <v>800</v>
      </c>
      <c r="G470" t="s">
        <v>184</v>
      </c>
    </row>
    <row r="471" spans="1:7" x14ac:dyDescent="0.25">
      <c r="A471" s="10" t="s">
        <v>3107</v>
      </c>
      <c r="B471" s="10" t="s">
        <v>3130</v>
      </c>
      <c r="C471" t="str">
        <f>Table13[[#This Row],[Manufacturer]]&amp;" "&amp;Table13[[#This Row],[Model]]</f>
        <v>CDI 8004NMRMHSS</v>
      </c>
      <c r="D471" s="1">
        <v>4</v>
      </c>
      <c r="E471" s="1">
        <v>6</v>
      </c>
      <c r="F471" s="38">
        <v>800</v>
      </c>
      <c r="G471" t="s">
        <v>184</v>
      </c>
    </row>
    <row r="472" spans="1:7" x14ac:dyDescent="0.25">
      <c r="A472" s="10" t="s">
        <v>3107</v>
      </c>
      <c r="B472" s="10" t="s">
        <v>3129</v>
      </c>
      <c r="C472" t="str">
        <f>Table13[[#This Row],[Manufacturer]]&amp;" "&amp;Table13[[#This Row],[Model]]</f>
        <v>CDI 800NMIMH</v>
      </c>
      <c r="D472" s="1">
        <v>4</v>
      </c>
      <c r="E472" s="1">
        <v>6</v>
      </c>
      <c r="F472" s="38">
        <v>800</v>
      </c>
      <c r="G472" t="s">
        <v>184</v>
      </c>
    </row>
    <row r="473" spans="1:7" x14ac:dyDescent="0.25">
      <c r="A473" s="10" t="s">
        <v>3107</v>
      </c>
      <c r="B473" s="10" t="s">
        <v>3128</v>
      </c>
      <c r="C473" t="str">
        <f>Table13[[#This Row],[Manufacturer]]&amp;" "&amp;Table13[[#This Row],[Model]]</f>
        <v>CDI 802MFRFMHSS</v>
      </c>
      <c r="D473" s="1">
        <v>4</v>
      </c>
      <c r="E473" s="1">
        <v>6</v>
      </c>
      <c r="F473" s="38">
        <v>80</v>
      </c>
      <c r="G473" t="s">
        <v>166</v>
      </c>
    </row>
    <row r="474" spans="1:7" x14ac:dyDescent="0.25">
      <c r="A474" s="10" t="s">
        <v>3107</v>
      </c>
      <c r="B474" s="10" t="s">
        <v>3127</v>
      </c>
      <c r="C474" t="str">
        <f>Table13[[#This Row],[Manufacturer]]&amp;" "&amp;Table13[[#This Row],[Model]]</f>
        <v>CDI 802MFRMHSS</v>
      </c>
      <c r="D474" s="1">
        <v>4</v>
      </c>
      <c r="E474" s="1">
        <v>6</v>
      </c>
      <c r="F474" s="38">
        <v>80</v>
      </c>
      <c r="G474" t="s">
        <v>166</v>
      </c>
    </row>
    <row r="475" spans="1:7" x14ac:dyDescent="0.25">
      <c r="A475" s="10" t="s">
        <v>3107</v>
      </c>
      <c r="B475" s="10" t="s">
        <v>3126</v>
      </c>
      <c r="C475" t="str">
        <f>Table13[[#This Row],[Manufacturer]]&amp;" "&amp;Table13[[#This Row],[Model]]</f>
        <v>CDI 804KMRMH</v>
      </c>
      <c r="D475" s="1">
        <v>4</v>
      </c>
      <c r="E475" s="1">
        <v>6</v>
      </c>
      <c r="F475" s="38">
        <v>80</v>
      </c>
      <c r="G475" t="s">
        <v>258</v>
      </c>
    </row>
    <row r="476" spans="1:7" x14ac:dyDescent="0.25">
      <c r="A476" s="10" t="s">
        <v>3107</v>
      </c>
      <c r="B476" s="10" t="s">
        <v>3125</v>
      </c>
      <c r="C476" t="str">
        <f>Table13[[#This Row],[Manufacturer]]&amp;" "&amp;Table13[[#This Row],[Model]]</f>
        <v>CDI C1503MFRW</v>
      </c>
      <c r="D476" s="1">
        <v>4</v>
      </c>
      <c r="E476" s="1" t="s">
        <v>169</v>
      </c>
      <c r="F476" s="38">
        <v>150</v>
      </c>
      <c r="G476" t="s">
        <v>166</v>
      </c>
    </row>
    <row r="477" spans="1:7" x14ac:dyDescent="0.25">
      <c r="A477" s="10" t="s">
        <v>3107</v>
      </c>
      <c r="B477" s="10" t="s">
        <v>3124</v>
      </c>
      <c r="C477" t="str">
        <f>Table13[[#This Row],[Manufacturer]]&amp;" "&amp;Table13[[#This Row],[Model]]</f>
        <v>CDI ENDURO3R250T</v>
      </c>
      <c r="D477" s="1">
        <v>4</v>
      </c>
      <c r="E477" s="1">
        <v>6</v>
      </c>
      <c r="F477" s="38">
        <v>250</v>
      </c>
      <c r="G477" t="s">
        <v>166</v>
      </c>
    </row>
    <row r="478" spans="1:7" x14ac:dyDescent="0.25">
      <c r="A478" s="10" t="s">
        <v>3107</v>
      </c>
      <c r="B478" s="10" t="s">
        <v>3123</v>
      </c>
      <c r="C478" t="str">
        <f>Table13[[#This Row],[Manufacturer]]&amp;" "&amp;Table13[[#This Row],[Model]]</f>
        <v>CDI 1001SMO</v>
      </c>
      <c r="D478" s="1">
        <v>6</v>
      </c>
      <c r="E478" s="1">
        <v>6</v>
      </c>
      <c r="F478" s="38">
        <v>100</v>
      </c>
      <c r="G478" t="s">
        <v>172</v>
      </c>
    </row>
    <row r="479" spans="1:7" x14ac:dyDescent="0.25">
      <c r="A479" s="10" t="s">
        <v>3107</v>
      </c>
      <c r="B479" s="10" t="s">
        <v>3122</v>
      </c>
      <c r="C479" t="str">
        <f>Table13[[#This Row],[Manufacturer]]&amp;" "&amp;Table13[[#This Row],[Model]]</f>
        <v>CDI 1001SPO</v>
      </c>
      <c r="D479" s="1">
        <v>6</v>
      </c>
      <c r="E479" s="1">
        <v>6</v>
      </c>
      <c r="F479" s="38">
        <v>130</v>
      </c>
      <c r="G479" t="s">
        <v>172</v>
      </c>
    </row>
    <row r="480" spans="1:7" x14ac:dyDescent="0.25">
      <c r="A480" s="10" t="s">
        <v>3107</v>
      </c>
      <c r="B480" s="10" t="s">
        <v>3121</v>
      </c>
      <c r="C480" t="str">
        <f>Table13[[#This Row],[Manufacturer]]&amp;" "&amp;Table13[[#This Row],[Model]]</f>
        <v>CDI 1501TP</v>
      </c>
      <c r="D480" s="1">
        <v>6</v>
      </c>
      <c r="E480" s="1">
        <v>6</v>
      </c>
      <c r="F480" s="38">
        <v>150</v>
      </c>
      <c r="G480" t="s">
        <v>164</v>
      </c>
    </row>
    <row r="481" spans="1:7" x14ac:dyDescent="0.25">
      <c r="A481" s="10" t="s">
        <v>3107</v>
      </c>
      <c r="B481" s="10" t="s">
        <v>3120</v>
      </c>
      <c r="C481" t="str">
        <f>Table13[[#This Row],[Manufacturer]]&amp;" "&amp;Table13[[#This Row],[Model]]</f>
        <v>CDI 1501TPA</v>
      </c>
      <c r="D481" s="1">
        <v>6</v>
      </c>
      <c r="E481" s="1">
        <v>6</v>
      </c>
      <c r="F481" s="38">
        <v>150</v>
      </c>
      <c r="G481" t="s">
        <v>164</v>
      </c>
    </row>
    <row r="482" spans="1:7" x14ac:dyDescent="0.25">
      <c r="A482" s="10" t="s">
        <v>3107</v>
      </c>
      <c r="B482" s="10" t="s">
        <v>3119</v>
      </c>
      <c r="C482" t="str">
        <f>Table13[[#This Row],[Manufacturer]]&amp;" "&amp;Table13[[#This Row],[Model]]</f>
        <v>CDI 1502TPA</v>
      </c>
      <c r="D482" s="1">
        <v>6</v>
      </c>
      <c r="E482" s="1">
        <v>6</v>
      </c>
      <c r="F482" s="38">
        <v>150</v>
      </c>
      <c r="G482" t="s">
        <v>164</v>
      </c>
    </row>
    <row r="483" spans="1:7" x14ac:dyDescent="0.25">
      <c r="A483" s="10" t="s">
        <v>3107</v>
      </c>
      <c r="B483" s="10" t="s">
        <v>3118</v>
      </c>
      <c r="C483" t="str">
        <f>Table13[[#This Row],[Manufacturer]]&amp;" "&amp;Table13[[#This Row],[Model]]</f>
        <v>CDI 151NSM</v>
      </c>
      <c r="D483" s="1">
        <v>6</v>
      </c>
      <c r="E483" s="1" t="s">
        <v>169</v>
      </c>
      <c r="F483" s="38">
        <v>20</v>
      </c>
      <c r="G483" t="s">
        <v>187</v>
      </c>
    </row>
    <row r="484" spans="1:7" x14ac:dyDescent="0.25">
      <c r="A484" s="10" t="s">
        <v>3107</v>
      </c>
      <c r="B484" s="10" t="s">
        <v>3117</v>
      </c>
      <c r="C484" t="str">
        <f>Table13[[#This Row],[Manufacturer]]&amp;" "&amp;Table13[[#This Row],[Model]]</f>
        <v>CDI 151SM</v>
      </c>
      <c r="D484" s="1">
        <v>6</v>
      </c>
      <c r="E484" s="1" t="s">
        <v>169</v>
      </c>
      <c r="F484" s="38">
        <v>15</v>
      </c>
      <c r="G484" t="s">
        <v>164</v>
      </c>
    </row>
    <row r="485" spans="1:7" x14ac:dyDescent="0.25">
      <c r="A485" s="10" t="s">
        <v>3107</v>
      </c>
      <c r="B485" s="10" t="s">
        <v>3116</v>
      </c>
      <c r="C485" t="str">
        <f>Table13[[#This Row],[Manufacturer]]&amp;" "&amp;Table13[[#This Row],[Model]]</f>
        <v>CDI 151SP</v>
      </c>
      <c r="D485" s="1">
        <v>6</v>
      </c>
      <c r="E485" s="1" t="s">
        <v>169</v>
      </c>
      <c r="F485" s="38">
        <v>15</v>
      </c>
      <c r="G485" t="s">
        <v>164</v>
      </c>
    </row>
    <row r="486" spans="1:7" x14ac:dyDescent="0.25">
      <c r="A486" s="10" t="s">
        <v>3107</v>
      </c>
      <c r="B486" s="10" t="s">
        <v>3115</v>
      </c>
      <c r="C486" t="str">
        <f>Table13[[#This Row],[Manufacturer]]&amp;" "&amp;Table13[[#This Row],[Model]]</f>
        <v>CDI 21SP</v>
      </c>
      <c r="D486" s="1">
        <v>6</v>
      </c>
      <c r="E486" s="1" t="s">
        <v>169</v>
      </c>
      <c r="F486" s="38">
        <v>32</v>
      </c>
      <c r="G486" t="s">
        <v>172</v>
      </c>
    </row>
    <row r="487" spans="1:7" x14ac:dyDescent="0.25">
      <c r="A487" s="10" t="s">
        <v>3107</v>
      </c>
      <c r="B487" s="10" t="s">
        <v>3114</v>
      </c>
      <c r="C487" t="str">
        <f>Table13[[#This Row],[Manufacturer]]&amp;" "&amp;Table13[[#This Row],[Model]]</f>
        <v>CDI 301SM</v>
      </c>
      <c r="D487" s="1">
        <v>6</v>
      </c>
      <c r="E487" s="1" t="s">
        <v>169</v>
      </c>
      <c r="F487" s="38">
        <v>30</v>
      </c>
      <c r="G487" t="s">
        <v>164</v>
      </c>
    </row>
    <row r="488" spans="1:7" x14ac:dyDescent="0.25">
      <c r="A488" s="10" t="s">
        <v>3107</v>
      </c>
      <c r="B488" s="10" t="s">
        <v>3113</v>
      </c>
      <c r="C488" t="str">
        <f>Table13[[#This Row],[Manufacturer]]&amp;" "&amp;Table13[[#This Row],[Model]]</f>
        <v>CDI 361SM</v>
      </c>
      <c r="D488" s="1">
        <v>6</v>
      </c>
      <c r="E488" s="1" t="s">
        <v>169</v>
      </c>
      <c r="F488" s="38">
        <v>36</v>
      </c>
      <c r="G488" t="s">
        <v>164</v>
      </c>
    </row>
    <row r="489" spans="1:7" x14ac:dyDescent="0.25">
      <c r="A489" s="10" t="s">
        <v>3107</v>
      </c>
      <c r="B489" s="10" t="s">
        <v>3112</v>
      </c>
      <c r="C489" t="str">
        <f>Table13[[#This Row],[Manufacturer]]&amp;" "&amp;Table13[[#This Row],[Model]]</f>
        <v>CDI 361SP</v>
      </c>
      <c r="D489" s="1">
        <v>6</v>
      </c>
      <c r="E489" s="1" t="s">
        <v>169</v>
      </c>
      <c r="F489" s="38">
        <v>36</v>
      </c>
      <c r="G489" t="s">
        <v>164</v>
      </c>
    </row>
    <row r="490" spans="1:7" x14ac:dyDescent="0.25">
      <c r="A490" s="10" t="s">
        <v>3107</v>
      </c>
      <c r="B490" s="10" t="s">
        <v>3111</v>
      </c>
      <c r="C490" t="str">
        <f>Table13[[#This Row],[Manufacturer]]&amp;" "&amp;Table13[[#This Row],[Model]]</f>
        <v>CDI 401NSM</v>
      </c>
      <c r="D490" s="1">
        <v>6</v>
      </c>
      <c r="E490" s="1" t="s">
        <v>169</v>
      </c>
      <c r="F490" s="38">
        <v>450</v>
      </c>
      <c r="G490" t="s">
        <v>187</v>
      </c>
    </row>
    <row r="491" spans="1:7" x14ac:dyDescent="0.25">
      <c r="A491" s="10" t="s">
        <v>3107</v>
      </c>
      <c r="B491" s="10" t="s">
        <v>3110</v>
      </c>
      <c r="C491" t="str">
        <f>Table13[[#This Row],[Manufacturer]]&amp;" "&amp;Table13[[#This Row],[Model]]</f>
        <v>CDI 401SM</v>
      </c>
      <c r="D491" s="1">
        <v>6</v>
      </c>
      <c r="E491" s="1" t="s">
        <v>169</v>
      </c>
      <c r="F491" s="38">
        <v>40</v>
      </c>
      <c r="G491" t="s">
        <v>164</v>
      </c>
    </row>
    <row r="492" spans="1:7" x14ac:dyDescent="0.25">
      <c r="A492" s="10" t="s">
        <v>3107</v>
      </c>
      <c r="B492" s="10" t="s">
        <v>175</v>
      </c>
      <c r="C492" t="str">
        <f>Table13[[#This Row],[Manufacturer]]&amp;" "&amp;Table13[[#This Row],[Model]]</f>
        <v>CDI 401SP</v>
      </c>
      <c r="D492" s="1">
        <v>6</v>
      </c>
      <c r="E492" s="1" t="s">
        <v>169</v>
      </c>
      <c r="F492" s="38">
        <v>40</v>
      </c>
      <c r="G492" t="s">
        <v>164</v>
      </c>
    </row>
    <row r="493" spans="1:7" x14ac:dyDescent="0.25">
      <c r="A493" s="10" t="s">
        <v>3107</v>
      </c>
      <c r="B493" s="10" t="s">
        <v>3109</v>
      </c>
      <c r="C493" t="str">
        <f>Table13[[#This Row],[Manufacturer]]&amp;" "&amp;Table13[[#This Row],[Model]]</f>
        <v>CDI 61NSM</v>
      </c>
      <c r="D493" s="1">
        <v>6</v>
      </c>
      <c r="E493" s="1" t="s">
        <v>169</v>
      </c>
      <c r="F493" s="38">
        <v>80</v>
      </c>
      <c r="G493" t="s">
        <v>187</v>
      </c>
    </row>
    <row r="494" spans="1:7" x14ac:dyDescent="0.25">
      <c r="A494" s="10" t="s">
        <v>3107</v>
      </c>
      <c r="B494" s="10" t="s">
        <v>3108</v>
      </c>
      <c r="C494" t="str">
        <f>Table13[[#This Row],[Manufacturer]]&amp;" "&amp;Table13[[#This Row],[Model]]</f>
        <v>CDI 61SM</v>
      </c>
      <c r="D494" s="1">
        <v>6</v>
      </c>
      <c r="E494" s="1" t="s">
        <v>169</v>
      </c>
      <c r="F494" s="38">
        <v>100</v>
      </c>
      <c r="G494" t="s">
        <v>172</v>
      </c>
    </row>
    <row r="495" spans="1:7" x14ac:dyDescent="0.25">
      <c r="A495" s="10" t="s">
        <v>3107</v>
      </c>
      <c r="B495" s="10" t="s">
        <v>173</v>
      </c>
      <c r="C495" t="str">
        <f>Table13[[#This Row],[Manufacturer]]&amp;" "&amp;Table13[[#This Row],[Model]]</f>
        <v>CDI 61SP</v>
      </c>
      <c r="D495" s="1">
        <v>6</v>
      </c>
      <c r="E495" s="1" t="s">
        <v>169</v>
      </c>
      <c r="F495" s="38">
        <v>100</v>
      </c>
      <c r="G495" t="s">
        <v>172</v>
      </c>
    </row>
    <row r="496" spans="1:7" x14ac:dyDescent="0.25">
      <c r="A496" s="10" t="s">
        <v>3106</v>
      </c>
      <c r="B496" s="10" t="s">
        <v>2834</v>
      </c>
      <c r="C496" t="str">
        <f>Table13[[#This Row],[Manufacturer]]&amp;" "&amp;Table13[[#This Row],[Model]]</f>
        <v>Cedar DIW-75</v>
      </c>
      <c r="D496" s="1" t="s">
        <v>1412</v>
      </c>
      <c r="E496" s="1" t="s">
        <v>3105</v>
      </c>
      <c r="F496" s="38">
        <v>75</v>
      </c>
      <c r="G496" t="s">
        <v>184</v>
      </c>
    </row>
    <row r="497" spans="1:7" x14ac:dyDescent="0.25">
      <c r="A497" s="10" t="s">
        <v>3096</v>
      </c>
      <c r="B497" s="10" t="s">
        <v>3104</v>
      </c>
      <c r="C497" t="str">
        <f>Table13[[#This Row],[Manufacturer]]&amp;" "&amp;Table13[[#This Row],[Model]]</f>
        <v>Cementex 150750TW12I</v>
      </c>
      <c r="D497" s="1">
        <v>4</v>
      </c>
      <c r="E497" s="1">
        <v>6</v>
      </c>
      <c r="F497" s="38">
        <v>750</v>
      </c>
      <c r="G497" t="s">
        <v>164</v>
      </c>
    </row>
    <row r="498" spans="1:7" x14ac:dyDescent="0.25">
      <c r="A498" s="10" t="s">
        <v>3096</v>
      </c>
      <c r="B498" s="10" t="s">
        <v>3103</v>
      </c>
      <c r="C498" t="str">
        <f>Table13[[#This Row],[Manufacturer]]&amp;" "&amp;Table13[[#This Row],[Model]]</f>
        <v>Cementex 1575TW12F</v>
      </c>
      <c r="D498" s="1">
        <v>4</v>
      </c>
      <c r="E498" s="1">
        <v>6</v>
      </c>
      <c r="F498" s="38">
        <v>75</v>
      </c>
      <c r="G498" t="s">
        <v>166</v>
      </c>
    </row>
    <row r="499" spans="1:7" x14ac:dyDescent="0.25">
      <c r="A499" s="10" t="s">
        <v>3096</v>
      </c>
      <c r="B499" s="10" t="s">
        <v>3102</v>
      </c>
      <c r="C499" t="str">
        <f>Table13[[#This Row],[Manufacturer]]&amp;" "&amp;Table13[[#This Row],[Model]]</f>
        <v>Cementex 1575TW38F</v>
      </c>
      <c r="D499" s="1">
        <v>4</v>
      </c>
      <c r="E499" s="1">
        <v>6</v>
      </c>
      <c r="F499" s="38">
        <v>75</v>
      </c>
      <c r="G499" t="s">
        <v>166</v>
      </c>
    </row>
    <row r="500" spans="1:7" x14ac:dyDescent="0.25">
      <c r="A500" s="10" t="s">
        <v>3096</v>
      </c>
      <c r="B500" s="10" t="s">
        <v>3101</v>
      </c>
      <c r="C500" t="str">
        <f>Table13[[#This Row],[Manufacturer]]&amp;" "&amp;Table13[[#This Row],[Model]]</f>
        <v>Cementex 25250TW12F</v>
      </c>
      <c r="D500" s="1">
        <v>4</v>
      </c>
      <c r="E500" s="1">
        <v>6</v>
      </c>
      <c r="F500" s="38">
        <v>250</v>
      </c>
      <c r="G500" t="s">
        <v>166</v>
      </c>
    </row>
    <row r="501" spans="1:7" x14ac:dyDescent="0.25">
      <c r="A501" s="10" t="s">
        <v>3096</v>
      </c>
      <c r="B501" s="10" t="s">
        <v>3100</v>
      </c>
      <c r="C501" t="str">
        <f>Table13[[#This Row],[Manufacturer]]&amp;" "&amp;Table13[[#This Row],[Model]]</f>
        <v>Cementex 30150TW12F</v>
      </c>
      <c r="D501" s="1">
        <v>4</v>
      </c>
      <c r="E501" s="1">
        <v>6</v>
      </c>
      <c r="F501" s="38">
        <v>150</v>
      </c>
      <c r="G501" t="s">
        <v>166</v>
      </c>
    </row>
    <row r="502" spans="1:7" x14ac:dyDescent="0.25">
      <c r="A502" s="10" t="s">
        <v>3096</v>
      </c>
      <c r="B502" s="10" t="s">
        <v>3099</v>
      </c>
      <c r="C502" t="str">
        <f>Table13[[#This Row],[Manufacturer]]&amp;" "&amp;Table13[[#This Row],[Model]]</f>
        <v>Cementex 30150TW14I</v>
      </c>
      <c r="D502" s="1">
        <v>4</v>
      </c>
      <c r="E502" s="1">
        <v>6</v>
      </c>
      <c r="F502" s="38">
        <v>150</v>
      </c>
      <c r="G502" t="s">
        <v>164</v>
      </c>
    </row>
    <row r="503" spans="1:7" x14ac:dyDescent="0.25">
      <c r="A503" s="10" t="s">
        <v>3096</v>
      </c>
      <c r="B503" s="10" t="s">
        <v>3098</v>
      </c>
      <c r="C503" t="str">
        <f>Table13[[#This Row],[Manufacturer]]&amp;" "&amp;Table13[[#This Row],[Model]]</f>
        <v>Cementex 30150TW38I</v>
      </c>
      <c r="D503" s="1">
        <v>4</v>
      </c>
      <c r="E503" s="1">
        <v>6</v>
      </c>
      <c r="F503" s="38">
        <v>150</v>
      </c>
      <c r="G503" t="s">
        <v>164</v>
      </c>
    </row>
    <row r="504" spans="1:7" x14ac:dyDescent="0.25">
      <c r="A504" s="10" t="s">
        <v>3096</v>
      </c>
      <c r="B504" s="10" t="s">
        <v>3097</v>
      </c>
      <c r="C504" t="str">
        <f>Table13[[#This Row],[Manufacturer]]&amp;" "&amp;Table13[[#This Row],[Model]]</f>
        <v>Cementex 30200TW38I</v>
      </c>
      <c r="D504" s="1">
        <v>4</v>
      </c>
      <c r="E504" s="1">
        <v>6</v>
      </c>
      <c r="F504" s="38">
        <v>200</v>
      </c>
      <c r="G504" t="s">
        <v>164</v>
      </c>
    </row>
    <row r="505" spans="1:7" x14ac:dyDescent="0.25">
      <c r="A505" s="10" t="s">
        <v>3096</v>
      </c>
      <c r="B505" s="10" t="s">
        <v>3095</v>
      </c>
      <c r="C505" t="str">
        <f>Table13[[#This Row],[Manufacturer]]&amp;" "&amp;Table13[[#This Row],[Model]]</f>
        <v>Cementex 50250TW38I</v>
      </c>
      <c r="D505" s="1">
        <v>4</v>
      </c>
      <c r="E505" s="1">
        <v>6</v>
      </c>
      <c r="F505" s="38">
        <v>250</v>
      </c>
      <c r="G505" t="s">
        <v>164</v>
      </c>
    </row>
    <row r="506" spans="1:7" x14ac:dyDescent="0.25">
      <c r="A506" s="10" t="s">
        <v>3094</v>
      </c>
      <c r="B506" s="10" t="s">
        <v>3093</v>
      </c>
      <c r="C506" t="str">
        <f>Table13[[#This Row],[Manufacturer]]&amp;" "&amp;Table13[[#This Row],[Model]]</f>
        <v>Centric RF CT-516-8E</v>
      </c>
      <c r="D506" s="1">
        <v>8</v>
      </c>
      <c r="E506" s="1" t="s">
        <v>169</v>
      </c>
      <c r="F506" s="38">
        <v>8</v>
      </c>
      <c r="G506" t="s">
        <v>164</v>
      </c>
    </row>
    <row r="507" spans="1:7" x14ac:dyDescent="0.25">
      <c r="A507" s="10" t="s">
        <v>3092</v>
      </c>
      <c r="B507" s="10" t="s">
        <v>3091</v>
      </c>
      <c r="C507" t="str">
        <f>Table13[[#This Row],[Manufacturer]]&amp;" "&amp;Table13[[#This Row],[Model]]</f>
        <v>Checkline GEK030-R2E</v>
      </c>
      <c r="D507" s="1" t="s">
        <v>1412</v>
      </c>
      <c r="E507" s="1" t="s">
        <v>2679</v>
      </c>
    </row>
    <row r="508" spans="1:7" x14ac:dyDescent="0.25">
      <c r="A508" s="10" t="s">
        <v>3082</v>
      </c>
      <c r="B508" s="10" t="s">
        <v>3090</v>
      </c>
      <c r="C508" t="str">
        <f>Table13[[#This Row],[Manufacturer]]&amp;" "&amp;Table13[[#This Row],[Model]]</f>
        <v>Check-Line DIW-20</v>
      </c>
      <c r="D508" s="1" t="s">
        <v>1412</v>
      </c>
      <c r="E508" s="1" t="s">
        <v>3081</v>
      </c>
    </row>
    <row r="509" spans="1:7" x14ac:dyDescent="0.25">
      <c r="A509" s="10" t="s">
        <v>3082</v>
      </c>
      <c r="B509" s="10" t="s">
        <v>3089</v>
      </c>
      <c r="C509" t="str">
        <f>Table13[[#This Row],[Manufacturer]]&amp;" "&amp;Table13[[#This Row],[Model]]</f>
        <v>Check-Line DTL-100i</v>
      </c>
      <c r="D509" s="1">
        <v>2</v>
      </c>
      <c r="E509" s="1">
        <v>3</v>
      </c>
      <c r="F509" s="38">
        <v>12</v>
      </c>
      <c r="G509" t="s">
        <v>184</v>
      </c>
    </row>
    <row r="510" spans="1:7" x14ac:dyDescent="0.25">
      <c r="A510" s="10" t="s">
        <v>3082</v>
      </c>
      <c r="B510" s="10" t="s">
        <v>3088</v>
      </c>
      <c r="C510" t="str">
        <f>Table13[[#This Row],[Manufacturer]]&amp;" "&amp;Table13[[#This Row],[Model]]</f>
        <v>Check-Line DTL-175i</v>
      </c>
      <c r="D510" s="1">
        <v>2</v>
      </c>
      <c r="E510" s="1">
        <v>3</v>
      </c>
      <c r="F510" s="38">
        <v>20</v>
      </c>
      <c r="G510" t="s">
        <v>184</v>
      </c>
    </row>
    <row r="511" spans="1:7" x14ac:dyDescent="0.25">
      <c r="A511" s="10" t="s">
        <v>3082</v>
      </c>
      <c r="B511" s="10" t="s">
        <v>3087</v>
      </c>
      <c r="C511" t="str">
        <f>Table13[[#This Row],[Manufacturer]]&amp;" "&amp;Table13[[#This Row],[Model]]</f>
        <v>Check-Line DTL-50i</v>
      </c>
      <c r="D511" s="1">
        <v>2</v>
      </c>
      <c r="E511" s="1">
        <v>3</v>
      </c>
      <c r="F511" s="38">
        <v>6</v>
      </c>
      <c r="G511" t="s">
        <v>184</v>
      </c>
    </row>
    <row r="512" spans="1:7" x14ac:dyDescent="0.25">
      <c r="A512" s="10" t="s">
        <v>3082</v>
      </c>
      <c r="B512" s="10" t="s">
        <v>3086</v>
      </c>
      <c r="C512" t="str">
        <f>Table13[[#This Row],[Manufacturer]]&amp;" "&amp;Table13[[#This Row],[Model]]</f>
        <v>Check-Line DTW-1200IBN</v>
      </c>
      <c r="D512" s="1">
        <v>2.5</v>
      </c>
      <c r="E512" s="1">
        <v>3.5</v>
      </c>
      <c r="F512" s="38">
        <v>99.5</v>
      </c>
      <c r="G512" t="s">
        <v>166</v>
      </c>
    </row>
    <row r="513" spans="1:7" x14ac:dyDescent="0.25">
      <c r="A513" s="10" t="s">
        <v>3082</v>
      </c>
      <c r="B513" s="10" t="s">
        <v>3085</v>
      </c>
      <c r="C513" t="str">
        <f>Table13[[#This Row],[Manufacturer]]&amp;" "&amp;Table13[[#This Row],[Model]]</f>
        <v>Check-Line DTW-265i</v>
      </c>
      <c r="D513" s="1">
        <v>2.5</v>
      </c>
      <c r="E513" s="1">
        <v>3.5</v>
      </c>
      <c r="F513" s="38">
        <v>265</v>
      </c>
      <c r="G513" t="s">
        <v>164</v>
      </c>
    </row>
    <row r="514" spans="1:7" x14ac:dyDescent="0.25">
      <c r="A514" s="10" t="s">
        <v>3082</v>
      </c>
      <c r="B514" s="10" t="s">
        <v>2683</v>
      </c>
      <c r="C514" t="str">
        <f>Table13[[#This Row],[Manufacturer]]&amp;" "&amp;Table13[[#This Row],[Model]]</f>
        <v>Check-Line GLK060E</v>
      </c>
      <c r="D514" s="1">
        <v>1.5</v>
      </c>
      <c r="E514" s="1">
        <v>1.5</v>
      </c>
      <c r="F514" s="38">
        <v>85</v>
      </c>
      <c r="G514" t="s">
        <v>172</v>
      </c>
    </row>
    <row r="515" spans="1:7" x14ac:dyDescent="0.25">
      <c r="A515" s="10" t="s">
        <v>3082</v>
      </c>
      <c r="B515" s="10" t="s">
        <v>3084</v>
      </c>
      <c r="C515" t="str">
        <f>Table13[[#This Row],[Manufacturer]]&amp;" "&amp;Table13[[#This Row],[Model]]</f>
        <v>Check-Line TSD-200</v>
      </c>
      <c r="D515" s="1" t="s">
        <v>1412</v>
      </c>
      <c r="E515" s="1" t="s">
        <v>3081</v>
      </c>
    </row>
    <row r="516" spans="1:7" x14ac:dyDescent="0.25">
      <c r="A516" s="10" t="s">
        <v>3082</v>
      </c>
      <c r="B516" s="10" t="s">
        <v>3083</v>
      </c>
      <c r="C516" t="str">
        <f>Table13[[#This Row],[Manufacturer]]&amp;" "&amp;Table13[[#This Row],[Model]]</f>
        <v>Check-Line TSD-400</v>
      </c>
      <c r="D516" s="1" t="s">
        <v>1412</v>
      </c>
      <c r="E516" s="1" t="s">
        <v>3081</v>
      </c>
    </row>
    <row r="517" spans="1:7" x14ac:dyDescent="0.25">
      <c r="A517" s="10" t="s">
        <v>3082</v>
      </c>
      <c r="B517" s="10" t="s">
        <v>3037</v>
      </c>
      <c r="C517" t="str">
        <f>Table13[[#This Row],[Manufacturer]]&amp;" "&amp;Table13[[#This Row],[Model]]</f>
        <v>Check-Line TSD-50</v>
      </c>
      <c r="D517" s="1" t="s">
        <v>1412</v>
      </c>
      <c r="E517" s="1" t="s">
        <v>3081</v>
      </c>
    </row>
    <row r="518" spans="1:7" x14ac:dyDescent="0.25">
      <c r="A518" s="10" t="s">
        <v>3071</v>
      </c>
      <c r="B518" s="10" t="s">
        <v>3080</v>
      </c>
      <c r="C518" t="str">
        <f>Table13[[#This Row],[Manufacturer]]&amp;" "&amp;Table13[[#This Row],[Model]]</f>
        <v>Chicago Pneumatic CP8905 lbf ft</v>
      </c>
      <c r="D518" s="1">
        <v>4</v>
      </c>
      <c r="E518" s="1" t="s">
        <v>169</v>
      </c>
      <c r="F518" s="38">
        <v>250</v>
      </c>
      <c r="G518" t="s">
        <v>164</v>
      </c>
    </row>
    <row r="519" spans="1:7" x14ac:dyDescent="0.25">
      <c r="A519" s="10" t="s">
        <v>3071</v>
      </c>
      <c r="B519" s="10" t="s">
        <v>3079</v>
      </c>
      <c r="C519" t="str">
        <f>Table13[[#This Row],[Manufacturer]]&amp;" "&amp;Table13[[#This Row],[Model]]</f>
        <v>Chicago Pneumatic CP8905 Nm</v>
      </c>
      <c r="D519" s="1">
        <v>4</v>
      </c>
      <c r="E519" s="1" t="s">
        <v>169</v>
      </c>
      <c r="F519" s="38">
        <v>25</v>
      </c>
      <c r="G519" t="s">
        <v>184</v>
      </c>
    </row>
    <row r="520" spans="1:7" x14ac:dyDescent="0.25">
      <c r="A520" s="10" t="s">
        <v>3071</v>
      </c>
      <c r="B520" s="10" t="s">
        <v>3078</v>
      </c>
      <c r="C520" t="str">
        <f>Table13[[#This Row],[Manufacturer]]&amp;" "&amp;Table13[[#This Row],[Model]]</f>
        <v>Chicago Pneumatic CP8910 lbf ft</v>
      </c>
      <c r="D520" s="1">
        <v>4</v>
      </c>
      <c r="E520" s="1" t="s">
        <v>169</v>
      </c>
      <c r="F520" s="38">
        <v>75</v>
      </c>
      <c r="G520" t="s">
        <v>166</v>
      </c>
    </row>
    <row r="521" spans="1:7" x14ac:dyDescent="0.25">
      <c r="A521" s="10" t="s">
        <v>3071</v>
      </c>
      <c r="B521" s="10" t="s">
        <v>3077</v>
      </c>
      <c r="C521" t="str">
        <f>Table13[[#This Row],[Manufacturer]]&amp;" "&amp;Table13[[#This Row],[Model]]</f>
        <v>Chicago Pneumatic CP8910 Nm</v>
      </c>
      <c r="D521" s="1">
        <v>4</v>
      </c>
      <c r="E521" s="1" t="s">
        <v>169</v>
      </c>
      <c r="F521" s="38">
        <v>100</v>
      </c>
      <c r="G521" t="s">
        <v>184</v>
      </c>
    </row>
    <row r="522" spans="1:7" x14ac:dyDescent="0.25">
      <c r="A522" s="10" t="s">
        <v>3071</v>
      </c>
      <c r="B522" s="10" t="s">
        <v>3076</v>
      </c>
      <c r="C522" t="str">
        <f>Table13[[#This Row],[Manufacturer]]&amp;" "&amp;Table13[[#This Row],[Model]]</f>
        <v>Chicago Pneumatic CP8915 lbf ft</v>
      </c>
      <c r="D522" s="1">
        <v>4</v>
      </c>
      <c r="E522" s="1" t="s">
        <v>169</v>
      </c>
      <c r="F522" s="38">
        <v>150</v>
      </c>
      <c r="G522" t="s">
        <v>166</v>
      </c>
    </row>
    <row r="523" spans="1:7" x14ac:dyDescent="0.25">
      <c r="A523" s="10" t="s">
        <v>3071</v>
      </c>
      <c r="B523" s="10" t="s">
        <v>3075</v>
      </c>
      <c r="C523" t="str">
        <f>Table13[[#This Row],[Manufacturer]]&amp;" "&amp;Table13[[#This Row],[Model]]</f>
        <v>Chicago Pneumatic CP8915 Nm</v>
      </c>
      <c r="D523" s="1">
        <v>4</v>
      </c>
      <c r="E523" s="1" t="s">
        <v>169</v>
      </c>
      <c r="F523" s="38">
        <v>200</v>
      </c>
      <c r="G523" t="s">
        <v>184</v>
      </c>
    </row>
    <row r="524" spans="1:7" x14ac:dyDescent="0.25">
      <c r="A524" s="10" t="s">
        <v>3071</v>
      </c>
      <c r="B524" s="10" t="s">
        <v>3074</v>
      </c>
      <c r="C524" t="str">
        <f>Table13[[#This Row],[Manufacturer]]&amp;" "&amp;Table13[[#This Row],[Model]]</f>
        <v>Chicago Pneumatic CP8920 lbf ft</v>
      </c>
      <c r="D524" s="1">
        <v>4</v>
      </c>
      <c r="E524" s="1" t="s">
        <v>169</v>
      </c>
      <c r="F524" s="38">
        <v>55</v>
      </c>
      <c r="G524" t="s">
        <v>166</v>
      </c>
    </row>
    <row r="525" spans="1:7" x14ac:dyDescent="0.25">
      <c r="A525" s="10" t="s">
        <v>3071</v>
      </c>
      <c r="B525" s="10" t="s">
        <v>3073</v>
      </c>
      <c r="C525" t="str">
        <f>Table13[[#This Row],[Manufacturer]]&amp;" "&amp;Table13[[#This Row],[Model]]</f>
        <v>Chicago Pneumatic CP8920 Nm</v>
      </c>
      <c r="D525" s="1">
        <v>4</v>
      </c>
      <c r="E525" s="1" t="s">
        <v>169</v>
      </c>
      <c r="F525" s="38">
        <v>750</v>
      </c>
      <c r="G525" t="s">
        <v>184</v>
      </c>
    </row>
    <row r="526" spans="1:7" x14ac:dyDescent="0.25">
      <c r="A526" s="10" t="s">
        <v>3071</v>
      </c>
      <c r="B526" s="10" t="s">
        <v>3072</v>
      </c>
      <c r="C526" t="str">
        <f>Table13[[#This Row],[Manufacturer]]&amp;" "&amp;Table13[[#This Row],[Model]]</f>
        <v>Chicago Pneumatic CP8925 lbf ft</v>
      </c>
      <c r="D526" s="1">
        <v>4</v>
      </c>
      <c r="E526" s="1" t="s">
        <v>169</v>
      </c>
      <c r="F526" s="38">
        <v>750</v>
      </c>
      <c r="G526" t="s">
        <v>166</v>
      </c>
    </row>
    <row r="527" spans="1:7" x14ac:dyDescent="0.25">
      <c r="A527" s="10" t="s">
        <v>3071</v>
      </c>
      <c r="B527" s="10" t="s">
        <v>3070</v>
      </c>
      <c r="C527" t="str">
        <f>Table13[[#This Row],[Manufacturer]]&amp;" "&amp;Table13[[#This Row],[Model]]</f>
        <v>Chicago Pneumatic CP8925 Nm</v>
      </c>
      <c r="D527" s="1">
        <v>4</v>
      </c>
      <c r="E527" s="1" t="s">
        <v>169</v>
      </c>
      <c r="F527" s="38">
        <v>1000</v>
      </c>
      <c r="G527" t="s">
        <v>184</v>
      </c>
    </row>
    <row r="528" spans="1:7" x14ac:dyDescent="0.25">
      <c r="A528" s="10" t="s">
        <v>3053</v>
      </c>
      <c r="B528" s="10">
        <v>47711</v>
      </c>
      <c r="C528" t="str">
        <f>Table13[[#This Row],[Manufacturer]]&amp;" "&amp;Table13[[#This Row],[Model]]</f>
        <v>Craftsman 47711</v>
      </c>
      <c r="D528" s="1">
        <v>2</v>
      </c>
      <c r="E528" s="1">
        <v>3</v>
      </c>
      <c r="F528" s="38">
        <v>100</v>
      </c>
      <c r="G528" t="s">
        <v>166</v>
      </c>
    </row>
    <row r="529" spans="1:7" x14ac:dyDescent="0.25">
      <c r="A529" s="10" t="s">
        <v>3053</v>
      </c>
      <c r="B529" s="10">
        <v>47712</v>
      </c>
      <c r="C529" t="str">
        <f>Table13[[#This Row],[Manufacturer]]&amp;" "&amp;Table13[[#This Row],[Model]]</f>
        <v>Craftsman 47712</v>
      </c>
      <c r="D529" s="1">
        <v>2</v>
      </c>
      <c r="E529" s="1">
        <v>3</v>
      </c>
      <c r="F529" s="38">
        <v>200</v>
      </c>
      <c r="G529" t="s">
        <v>166</v>
      </c>
    </row>
    <row r="530" spans="1:7" x14ac:dyDescent="0.25">
      <c r="A530" s="10" t="s">
        <v>3053</v>
      </c>
      <c r="B530" s="10" t="s">
        <v>3069</v>
      </c>
      <c r="C530" t="str">
        <f>Table13[[#This Row],[Manufacturer]]&amp;" "&amp;Table13[[#This Row],[Model]]</f>
        <v>Craftsman 9 44642</v>
      </c>
      <c r="D530" s="1">
        <v>3</v>
      </c>
      <c r="E530" s="1">
        <v>3</v>
      </c>
      <c r="F530" s="38">
        <v>150</v>
      </c>
      <c r="G530" t="s">
        <v>166</v>
      </c>
    </row>
    <row r="531" spans="1:7" x14ac:dyDescent="0.25">
      <c r="A531" s="10" t="s">
        <v>3053</v>
      </c>
      <c r="B531" s="10" t="s">
        <v>3068</v>
      </c>
      <c r="C531" t="str">
        <f>Table13[[#This Row],[Manufacturer]]&amp;" "&amp;Table13[[#This Row],[Model]]</f>
        <v>Craftsman 9 44644</v>
      </c>
      <c r="D531" s="1">
        <v>3</v>
      </c>
      <c r="E531" s="1">
        <v>3</v>
      </c>
      <c r="F531" s="38">
        <v>50</v>
      </c>
      <c r="G531" t="s">
        <v>166</v>
      </c>
    </row>
    <row r="532" spans="1:7" x14ac:dyDescent="0.25">
      <c r="A532" s="10" t="s">
        <v>3053</v>
      </c>
      <c r="B532" s="10">
        <v>13231</v>
      </c>
      <c r="C532" t="str">
        <f>Table13[[#This Row],[Manufacturer]]&amp;" "&amp;Table13[[#This Row],[Model]]</f>
        <v>Craftsman 13231</v>
      </c>
      <c r="D532" s="1">
        <v>4</v>
      </c>
      <c r="E532" s="1">
        <v>4</v>
      </c>
      <c r="F532" s="38">
        <v>80</v>
      </c>
      <c r="G532" t="s">
        <v>166</v>
      </c>
    </row>
    <row r="533" spans="1:7" x14ac:dyDescent="0.25">
      <c r="A533" s="10" t="s">
        <v>3053</v>
      </c>
      <c r="B533" s="10">
        <v>2335</v>
      </c>
      <c r="C533" t="str">
        <f>Table13[[#This Row],[Manufacturer]]&amp;" "&amp;Table13[[#This Row],[Model]]</f>
        <v>Craftsman 2335</v>
      </c>
      <c r="D533" s="1">
        <v>4</v>
      </c>
      <c r="E533" s="1">
        <v>4</v>
      </c>
      <c r="F533" s="38">
        <v>150</v>
      </c>
      <c r="G533" t="s">
        <v>166</v>
      </c>
    </row>
    <row r="534" spans="1:7" x14ac:dyDescent="0.25">
      <c r="A534" s="10" t="s">
        <v>3053</v>
      </c>
      <c r="B534" s="10">
        <v>31423</v>
      </c>
      <c r="C534" t="str">
        <f>Table13[[#This Row],[Manufacturer]]&amp;" "&amp;Table13[[#This Row],[Model]]</f>
        <v>Craftsman 31423</v>
      </c>
      <c r="D534" s="1">
        <v>4</v>
      </c>
      <c r="E534" s="1" t="s">
        <v>169</v>
      </c>
      <c r="F534" s="38">
        <v>250</v>
      </c>
      <c r="G534" t="s">
        <v>164</v>
      </c>
    </row>
    <row r="535" spans="1:7" x14ac:dyDescent="0.25">
      <c r="A535" s="10" t="s">
        <v>3053</v>
      </c>
      <c r="B535" s="10">
        <v>31424</v>
      </c>
      <c r="C535" t="str">
        <f>Table13[[#This Row],[Manufacturer]]&amp;" "&amp;Table13[[#This Row],[Model]]</f>
        <v>Craftsman 31424</v>
      </c>
      <c r="D535" s="1">
        <v>4</v>
      </c>
      <c r="E535" s="1" t="s">
        <v>169</v>
      </c>
      <c r="F535" s="38">
        <v>75</v>
      </c>
      <c r="G535" t="s">
        <v>166</v>
      </c>
    </row>
    <row r="536" spans="1:7" x14ac:dyDescent="0.25">
      <c r="A536" s="10" t="s">
        <v>3053</v>
      </c>
      <c r="B536" s="10">
        <v>31425</v>
      </c>
      <c r="C536" t="str">
        <f>Table13[[#This Row],[Manufacturer]]&amp;" "&amp;Table13[[#This Row],[Model]]</f>
        <v>Craftsman 31425</v>
      </c>
      <c r="D536" s="1">
        <v>4</v>
      </c>
      <c r="E536" s="1" t="s">
        <v>169</v>
      </c>
      <c r="F536" s="38">
        <v>150</v>
      </c>
      <c r="G536" t="s">
        <v>166</v>
      </c>
    </row>
    <row r="537" spans="1:7" x14ac:dyDescent="0.25">
      <c r="A537" s="10" t="s">
        <v>3053</v>
      </c>
      <c r="B537" s="10">
        <v>34883</v>
      </c>
      <c r="C537" t="str">
        <f>Table13[[#This Row],[Manufacturer]]&amp;" "&amp;Table13[[#This Row],[Model]]</f>
        <v>Craftsman 34883</v>
      </c>
      <c r="D537" s="1">
        <v>4</v>
      </c>
      <c r="E537" s="1">
        <v>6</v>
      </c>
      <c r="F537" s="38">
        <v>75</v>
      </c>
      <c r="G537" t="s">
        <v>166</v>
      </c>
    </row>
    <row r="538" spans="1:7" x14ac:dyDescent="0.25">
      <c r="A538" s="10" t="s">
        <v>3053</v>
      </c>
      <c r="B538" s="10">
        <v>44593</v>
      </c>
      <c r="C538" t="str">
        <f>Table13[[#This Row],[Manufacturer]]&amp;" "&amp;Table13[[#This Row],[Model]]</f>
        <v>Craftsman 44593</v>
      </c>
      <c r="D538" s="1">
        <v>4</v>
      </c>
      <c r="E538" s="1" t="s">
        <v>169</v>
      </c>
      <c r="F538" s="38">
        <v>250</v>
      </c>
      <c r="G538" t="s">
        <v>164</v>
      </c>
    </row>
    <row r="539" spans="1:7" x14ac:dyDescent="0.25">
      <c r="A539" s="10" t="s">
        <v>3053</v>
      </c>
      <c r="B539" s="10">
        <v>44594</v>
      </c>
      <c r="C539" t="str">
        <f>Table13[[#This Row],[Manufacturer]]&amp;" "&amp;Table13[[#This Row],[Model]]</f>
        <v>Craftsman 44594</v>
      </c>
      <c r="D539" s="1">
        <v>4</v>
      </c>
      <c r="E539" s="1" t="s">
        <v>169</v>
      </c>
      <c r="F539" s="38">
        <v>75</v>
      </c>
      <c r="G539" t="s">
        <v>166</v>
      </c>
    </row>
    <row r="540" spans="1:7" x14ac:dyDescent="0.25">
      <c r="A540" s="10" t="s">
        <v>3053</v>
      </c>
      <c r="B540" s="10">
        <v>44595</v>
      </c>
      <c r="C540" t="str">
        <f>Table13[[#This Row],[Manufacturer]]&amp;" "&amp;Table13[[#This Row],[Model]]</f>
        <v>Craftsman 44595</v>
      </c>
      <c r="D540" s="1">
        <v>4</v>
      </c>
      <c r="E540" s="1" t="s">
        <v>169</v>
      </c>
      <c r="F540" s="38">
        <v>150</v>
      </c>
      <c r="G540" t="s">
        <v>166</v>
      </c>
    </row>
    <row r="541" spans="1:7" x14ac:dyDescent="0.25">
      <c r="A541" s="10" t="s">
        <v>3053</v>
      </c>
      <c r="B541" s="10">
        <v>44596</v>
      </c>
      <c r="C541" t="str">
        <f>Table13[[#This Row],[Manufacturer]]&amp;" "&amp;Table13[[#This Row],[Model]]</f>
        <v>Craftsman 44596</v>
      </c>
      <c r="D541" s="1">
        <v>3</v>
      </c>
      <c r="E541" s="1" t="s">
        <v>169</v>
      </c>
      <c r="F541" s="38">
        <v>80</v>
      </c>
      <c r="G541" t="s">
        <v>166</v>
      </c>
    </row>
    <row r="542" spans="1:7" x14ac:dyDescent="0.25">
      <c r="A542" s="10" t="s">
        <v>3053</v>
      </c>
      <c r="B542" s="10">
        <v>44597</v>
      </c>
      <c r="C542" t="str">
        <f>Table13[[#This Row],[Manufacturer]]&amp;" "&amp;Table13[[#This Row],[Model]]</f>
        <v>Craftsman 44597</v>
      </c>
      <c r="D542" s="1">
        <v>3</v>
      </c>
      <c r="E542" s="1" t="s">
        <v>169</v>
      </c>
      <c r="F542" s="38">
        <v>250</v>
      </c>
      <c r="G542" t="s">
        <v>166</v>
      </c>
    </row>
    <row r="543" spans="1:7" x14ac:dyDescent="0.25">
      <c r="A543" s="10" t="s">
        <v>3053</v>
      </c>
      <c r="B543" s="10">
        <v>63002</v>
      </c>
      <c r="C543" t="str">
        <f>Table13[[#This Row],[Manufacturer]]&amp;" "&amp;Table13[[#This Row],[Model]]</f>
        <v>Craftsman 63002</v>
      </c>
      <c r="D543" s="1">
        <v>4</v>
      </c>
      <c r="E543" s="1" t="s">
        <v>169</v>
      </c>
      <c r="F543" s="38">
        <v>75</v>
      </c>
      <c r="G543" t="s">
        <v>166</v>
      </c>
    </row>
    <row r="544" spans="1:7" x14ac:dyDescent="0.25">
      <c r="A544" s="10" t="s">
        <v>3053</v>
      </c>
      <c r="B544" s="10">
        <v>75001</v>
      </c>
      <c r="C544" t="str">
        <f>Table13[[#This Row],[Manufacturer]]&amp;" "&amp;Table13[[#This Row],[Model]]</f>
        <v>Craftsman 75001</v>
      </c>
      <c r="D544" s="1">
        <v>2</v>
      </c>
      <c r="E544" s="1" t="s">
        <v>169</v>
      </c>
      <c r="F544" s="38">
        <v>250</v>
      </c>
      <c r="G544" t="s">
        <v>166</v>
      </c>
    </row>
    <row r="545" spans="1:7" x14ac:dyDescent="0.25">
      <c r="A545" s="10" t="s">
        <v>3053</v>
      </c>
      <c r="B545" s="10" t="s">
        <v>3067</v>
      </c>
      <c r="C545" t="str">
        <f>Table13[[#This Row],[Manufacturer]]&amp;" "&amp;Table13[[#This Row],[Model]]</f>
        <v>Craftsman 9 13918</v>
      </c>
      <c r="D545" s="1">
        <v>4</v>
      </c>
      <c r="E545" s="1" t="s">
        <v>169</v>
      </c>
      <c r="F545" s="38">
        <v>80</v>
      </c>
      <c r="G545" t="s">
        <v>166</v>
      </c>
    </row>
    <row r="546" spans="1:7" x14ac:dyDescent="0.25">
      <c r="A546" s="10" t="s">
        <v>3053</v>
      </c>
      <c r="B546" s="10" t="s">
        <v>3066</v>
      </c>
      <c r="C546" t="str">
        <f>Table13[[#This Row],[Manufacturer]]&amp;" "&amp;Table13[[#This Row],[Model]]</f>
        <v>Craftsman 9 13919</v>
      </c>
      <c r="D546" s="1">
        <v>4</v>
      </c>
      <c r="E546" s="1" t="s">
        <v>169</v>
      </c>
      <c r="F546" s="38">
        <v>250</v>
      </c>
      <c r="G546" t="s">
        <v>166</v>
      </c>
    </row>
    <row r="547" spans="1:7" x14ac:dyDescent="0.25">
      <c r="A547" s="10" t="s">
        <v>3053</v>
      </c>
      <c r="B547" s="10" t="s">
        <v>3065</v>
      </c>
      <c r="C547" t="str">
        <f>Table13[[#This Row],[Manufacturer]]&amp;" "&amp;Table13[[#This Row],[Model]]</f>
        <v>Craftsman 9 31423</v>
      </c>
      <c r="D547" s="1">
        <v>4</v>
      </c>
      <c r="E547" s="1" t="s">
        <v>169</v>
      </c>
      <c r="F547" s="38">
        <v>250</v>
      </c>
      <c r="G547" t="s">
        <v>164</v>
      </c>
    </row>
    <row r="548" spans="1:7" x14ac:dyDescent="0.25">
      <c r="A548" s="10" t="s">
        <v>3053</v>
      </c>
      <c r="B548" s="10" t="s">
        <v>3064</v>
      </c>
      <c r="C548" t="str">
        <f>Table13[[#This Row],[Manufacturer]]&amp;" "&amp;Table13[[#This Row],[Model]]</f>
        <v>Craftsman 9 31424</v>
      </c>
      <c r="D548" s="1">
        <v>4</v>
      </c>
      <c r="E548" s="1" t="s">
        <v>169</v>
      </c>
      <c r="F548" s="38">
        <v>75</v>
      </c>
      <c r="G548" t="s">
        <v>164</v>
      </c>
    </row>
    <row r="549" spans="1:7" x14ac:dyDescent="0.25">
      <c r="A549" s="10" t="s">
        <v>3053</v>
      </c>
      <c r="B549" s="10" t="s">
        <v>3063</v>
      </c>
      <c r="C549" t="str">
        <f>Table13[[#This Row],[Manufacturer]]&amp;" "&amp;Table13[[#This Row],[Model]]</f>
        <v>Craftsman 9 31425</v>
      </c>
      <c r="D549" s="1">
        <v>4</v>
      </c>
      <c r="E549" s="1" t="s">
        <v>169</v>
      </c>
      <c r="F549" s="38">
        <v>150</v>
      </c>
      <c r="G549" t="s">
        <v>166</v>
      </c>
    </row>
    <row r="550" spans="1:7" x14ac:dyDescent="0.25">
      <c r="A550" s="10" t="s">
        <v>3053</v>
      </c>
      <c r="B550" s="10" t="s">
        <v>3062</v>
      </c>
      <c r="C550" t="str">
        <f>Table13[[#This Row],[Manufacturer]]&amp;" "&amp;Table13[[#This Row],[Model]]</f>
        <v>Craftsman 9 44482</v>
      </c>
      <c r="D550" s="1">
        <v>3</v>
      </c>
      <c r="E550" s="1">
        <v>3</v>
      </c>
      <c r="F550" s="38">
        <v>200</v>
      </c>
      <c r="G550" t="s">
        <v>166</v>
      </c>
    </row>
    <row r="551" spans="1:7" x14ac:dyDescent="0.25">
      <c r="A551" s="10" t="s">
        <v>3053</v>
      </c>
      <c r="B551" s="10" t="s">
        <v>3061</v>
      </c>
      <c r="C551" t="str">
        <f>Table13[[#This Row],[Manufacturer]]&amp;" "&amp;Table13[[#This Row],[Model]]</f>
        <v>Craftsman 9 44547</v>
      </c>
      <c r="D551" s="1">
        <v>3</v>
      </c>
      <c r="E551" s="1">
        <v>3</v>
      </c>
      <c r="F551" s="38">
        <v>600</v>
      </c>
      <c r="G551" t="s">
        <v>164</v>
      </c>
    </row>
    <row r="552" spans="1:7" x14ac:dyDescent="0.25">
      <c r="A552" s="10" t="s">
        <v>3053</v>
      </c>
      <c r="B552" s="10" t="s">
        <v>3060</v>
      </c>
      <c r="C552" t="str">
        <f>Table13[[#This Row],[Manufacturer]]&amp;" "&amp;Table13[[#This Row],[Model]]</f>
        <v>Craftsman 9 44548</v>
      </c>
      <c r="D552" s="1">
        <v>3</v>
      </c>
      <c r="E552" s="1">
        <v>3</v>
      </c>
      <c r="F552" s="38">
        <v>250</v>
      </c>
      <c r="G552" t="s">
        <v>166</v>
      </c>
    </row>
    <row r="553" spans="1:7" x14ac:dyDescent="0.25">
      <c r="A553" s="10" t="s">
        <v>3053</v>
      </c>
      <c r="B553" s="10" t="s">
        <v>3059</v>
      </c>
      <c r="C553" t="str">
        <f>Table13[[#This Row],[Manufacturer]]&amp;" "&amp;Table13[[#This Row],[Model]]</f>
        <v>Craftsman 9 44593</v>
      </c>
      <c r="D553" s="1">
        <v>4</v>
      </c>
      <c r="E553" s="1" t="s">
        <v>169</v>
      </c>
      <c r="F553" s="38">
        <v>250</v>
      </c>
      <c r="G553" t="s">
        <v>164</v>
      </c>
    </row>
    <row r="554" spans="1:7" x14ac:dyDescent="0.25">
      <c r="A554" s="10" t="s">
        <v>3053</v>
      </c>
      <c r="B554" s="10" t="s">
        <v>3058</v>
      </c>
      <c r="C554" t="str">
        <f>Table13[[#This Row],[Manufacturer]]&amp;" "&amp;Table13[[#This Row],[Model]]</f>
        <v>Craftsman 9 44594</v>
      </c>
      <c r="D554" s="1">
        <v>4</v>
      </c>
      <c r="E554" s="1" t="s">
        <v>169</v>
      </c>
      <c r="F554" s="38">
        <v>75</v>
      </c>
      <c r="G554" t="s">
        <v>166</v>
      </c>
    </row>
    <row r="555" spans="1:7" x14ac:dyDescent="0.25">
      <c r="A555" s="10" t="s">
        <v>3053</v>
      </c>
      <c r="B555" s="10" t="s">
        <v>3057</v>
      </c>
      <c r="C555" t="str">
        <f>Table13[[#This Row],[Manufacturer]]&amp;" "&amp;Table13[[#This Row],[Model]]</f>
        <v>Craftsman 9 44595</v>
      </c>
      <c r="D555" s="1">
        <v>4</v>
      </c>
      <c r="E555" s="1" t="s">
        <v>169</v>
      </c>
      <c r="F555" s="38">
        <v>150</v>
      </c>
      <c r="G555" t="s">
        <v>166</v>
      </c>
    </row>
    <row r="556" spans="1:7" x14ac:dyDescent="0.25">
      <c r="A556" s="10" t="s">
        <v>3053</v>
      </c>
      <c r="B556" s="10" t="s">
        <v>3056</v>
      </c>
      <c r="C556" t="str">
        <f>Table13[[#This Row],[Manufacturer]]&amp;" "&amp;Table13[[#This Row],[Model]]</f>
        <v>Craftsman 9 44597</v>
      </c>
      <c r="D556" s="1">
        <v>3</v>
      </c>
      <c r="E556" s="1" t="s">
        <v>169</v>
      </c>
      <c r="F556" s="38">
        <v>250</v>
      </c>
      <c r="G556" t="s">
        <v>166</v>
      </c>
    </row>
    <row r="557" spans="1:7" x14ac:dyDescent="0.25">
      <c r="A557" s="10" t="s">
        <v>3053</v>
      </c>
      <c r="B557" s="10">
        <v>913919</v>
      </c>
      <c r="C557" t="str">
        <f>Table13[[#This Row],[Manufacturer]]&amp;" "&amp;Table13[[#This Row],[Model]]</f>
        <v>Craftsman 913919</v>
      </c>
      <c r="D557" s="1">
        <v>4</v>
      </c>
      <c r="E557" s="1" t="s">
        <v>169</v>
      </c>
      <c r="F557" s="38">
        <v>250</v>
      </c>
      <c r="G557" t="s">
        <v>166</v>
      </c>
    </row>
    <row r="558" spans="1:7" x14ac:dyDescent="0.25">
      <c r="A558" s="10" t="s">
        <v>3053</v>
      </c>
      <c r="B558" s="10">
        <v>944443</v>
      </c>
      <c r="C558" t="str">
        <f>Table13[[#This Row],[Manufacturer]]&amp;" "&amp;Table13[[#This Row],[Model]]</f>
        <v>Craftsman 944443</v>
      </c>
      <c r="D558" s="1">
        <v>4</v>
      </c>
      <c r="E558" s="1">
        <v>6</v>
      </c>
      <c r="F558" s="38">
        <v>150</v>
      </c>
      <c r="G558" t="s">
        <v>166</v>
      </c>
    </row>
    <row r="559" spans="1:7" x14ac:dyDescent="0.25">
      <c r="A559" s="10" t="s">
        <v>3053</v>
      </c>
      <c r="B559" s="10">
        <v>944541</v>
      </c>
      <c r="C559" t="str">
        <f>Table13[[#This Row],[Manufacturer]]&amp;" "&amp;Table13[[#This Row],[Model]]</f>
        <v>Craftsman 944541</v>
      </c>
      <c r="D559" s="1">
        <v>4</v>
      </c>
      <c r="E559" s="1">
        <v>6</v>
      </c>
      <c r="F559" s="38">
        <v>250</v>
      </c>
      <c r="G559" t="s">
        <v>164</v>
      </c>
    </row>
    <row r="560" spans="1:7" x14ac:dyDescent="0.25">
      <c r="A560" s="10" t="s">
        <v>3053</v>
      </c>
      <c r="B560" s="10" t="s">
        <v>3055</v>
      </c>
      <c r="C560" t="str">
        <f>Table13[[#This Row],[Manufacturer]]&amp;" "&amp;Table13[[#This Row],[Model]]</f>
        <v>Craftsman 944542</v>
      </c>
      <c r="D560" s="1">
        <v>4</v>
      </c>
      <c r="E560" s="1">
        <v>6</v>
      </c>
      <c r="F560" s="38">
        <v>75</v>
      </c>
      <c r="G560" t="s">
        <v>166</v>
      </c>
    </row>
    <row r="561" spans="1:7" x14ac:dyDescent="0.25">
      <c r="A561" s="10" t="s">
        <v>3053</v>
      </c>
      <c r="B561" s="10">
        <v>944545</v>
      </c>
      <c r="C561" t="str">
        <f>Table13[[#This Row],[Manufacturer]]&amp;" "&amp;Table13[[#This Row],[Model]]</f>
        <v>Craftsman 944545</v>
      </c>
      <c r="D561" s="1">
        <v>4</v>
      </c>
      <c r="E561" s="1">
        <v>4</v>
      </c>
      <c r="F561" s="38">
        <v>75</v>
      </c>
      <c r="G561" t="s">
        <v>166</v>
      </c>
    </row>
    <row r="562" spans="1:7" x14ac:dyDescent="0.25">
      <c r="A562" s="10" t="s">
        <v>3053</v>
      </c>
      <c r="B562" s="10" t="s">
        <v>3054</v>
      </c>
      <c r="C562" t="str">
        <f>Table13[[#This Row],[Manufacturer]]&amp;" "&amp;Table13[[#This Row],[Model]]</f>
        <v>Craftsman 94543</v>
      </c>
      <c r="D562" s="1">
        <v>4</v>
      </c>
      <c r="E562" s="1">
        <v>6</v>
      </c>
      <c r="F562" s="38">
        <v>150</v>
      </c>
      <c r="G562" t="s">
        <v>166</v>
      </c>
    </row>
    <row r="563" spans="1:7" x14ac:dyDescent="0.25">
      <c r="A563" s="10" t="s">
        <v>3053</v>
      </c>
      <c r="B563" s="10">
        <v>34887</v>
      </c>
      <c r="C563" t="str">
        <f>Table13[[#This Row],[Manufacturer]]&amp;" "&amp;Table13[[#This Row],[Model]]</f>
        <v>Craftsman 34887</v>
      </c>
      <c r="D563" s="1">
        <v>6</v>
      </c>
      <c r="E563" s="1" t="s">
        <v>169</v>
      </c>
      <c r="F563" s="38">
        <v>36</v>
      </c>
      <c r="G563" t="s">
        <v>164</v>
      </c>
    </row>
    <row r="564" spans="1:7" x14ac:dyDescent="0.25">
      <c r="A564" s="10" t="s">
        <v>3052</v>
      </c>
      <c r="B564" s="10" t="s">
        <v>3051</v>
      </c>
      <c r="C564" t="str">
        <f>Table13[[#This Row],[Manufacturer]]&amp;" "&amp;Table13[[#This Row],[Model]]</f>
        <v>CTA 8952K</v>
      </c>
      <c r="D564" s="1">
        <v>4</v>
      </c>
      <c r="E564" s="1">
        <v>6</v>
      </c>
      <c r="F564" s="38">
        <v>250</v>
      </c>
      <c r="G564" t="s">
        <v>164</v>
      </c>
    </row>
    <row r="565" spans="1:7" x14ac:dyDescent="0.25">
      <c r="A565" s="10" t="s">
        <v>3050</v>
      </c>
      <c r="B565" s="10">
        <v>307</v>
      </c>
      <c r="C565" t="str">
        <f>Table13[[#This Row],[Manufacturer]]&amp;" "&amp;Table13[[#This Row],[Model]]</f>
        <v>CW/EU 307</v>
      </c>
      <c r="D565" s="1">
        <v>10</v>
      </c>
      <c r="E565" s="1">
        <v>10</v>
      </c>
      <c r="F565" s="38">
        <v>50</v>
      </c>
      <c r="G565" t="s">
        <v>184</v>
      </c>
    </row>
    <row r="566" spans="1:7" x14ac:dyDescent="0.25">
      <c r="A566" s="10" t="s">
        <v>3048</v>
      </c>
      <c r="B566" s="10" t="s">
        <v>3049</v>
      </c>
      <c r="C566" t="str">
        <f>Table13[[#This Row],[Manufacturer]]&amp;" "&amp;Table13[[#This Row],[Model]]</f>
        <v>DeWalt DWMT75462</v>
      </c>
      <c r="D566" s="1">
        <v>4</v>
      </c>
      <c r="E566" s="1">
        <v>6</v>
      </c>
      <c r="F566" s="38">
        <v>250</v>
      </c>
      <c r="G566" t="s">
        <v>166</v>
      </c>
    </row>
    <row r="567" spans="1:7" x14ac:dyDescent="0.25">
      <c r="A567" s="10" t="s">
        <v>3048</v>
      </c>
      <c r="B567" s="10" t="s">
        <v>3047</v>
      </c>
      <c r="C567" t="str">
        <f>Table13[[#This Row],[Manufacturer]]&amp;" "&amp;Table13[[#This Row],[Model]]</f>
        <v>DeWalt DWMT75463</v>
      </c>
      <c r="D567" s="1">
        <v>4</v>
      </c>
      <c r="E567" s="1">
        <v>6</v>
      </c>
      <c r="F567" s="38">
        <v>100</v>
      </c>
      <c r="G567" t="s">
        <v>166</v>
      </c>
    </row>
    <row r="568" spans="1:7" x14ac:dyDescent="0.25">
      <c r="A568" s="10" t="s">
        <v>3043</v>
      </c>
      <c r="B568" s="10" t="s">
        <v>3046</v>
      </c>
      <c r="C568" t="str">
        <f>Table13[[#This Row],[Manufacturer]]&amp;" "&amp;Table13[[#This Row],[Model]]</f>
        <v>Digitool Solutions DW-1002</v>
      </c>
      <c r="D568" s="1">
        <v>1</v>
      </c>
      <c r="E568" s="1">
        <v>1</v>
      </c>
      <c r="F568" s="38">
        <v>100</v>
      </c>
      <c r="G568" t="s">
        <v>166</v>
      </c>
    </row>
    <row r="569" spans="1:7" x14ac:dyDescent="0.25">
      <c r="A569" s="10" t="s">
        <v>3043</v>
      </c>
      <c r="B569" s="10" t="s">
        <v>3045</v>
      </c>
      <c r="C569" t="str">
        <f>Table13[[#This Row],[Manufacturer]]&amp;" "&amp;Table13[[#This Row],[Model]]</f>
        <v>Digitool Solutions DW-2501</v>
      </c>
      <c r="D569" s="1">
        <v>1</v>
      </c>
      <c r="E569" s="1">
        <v>1</v>
      </c>
      <c r="F569" s="38">
        <v>250</v>
      </c>
      <c r="G569" t="s">
        <v>164</v>
      </c>
    </row>
    <row r="570" spans="1:7" x14ac:dyDescent="0.25">
      <c r="A570" s="10" t="s">
        <v>3043</v>
      </c>
      <c r="B570" s="10" t="s">
        <v>3044</v>
      </c>
      <c r="C570" t="str">
        <f>Table13[[#This Row],[Manufacturer]]&amp;" "&amp;Table13[[#This Row],[Model]]</f>
        <v>Digitool Solutions DW-2503</v>
      </c>
      <c r="D570" s="1">
        <v>1</v>
      </c>
      <c r="E570" s="1">
        <v>1</v>
      </c>
      <c r="F570" s="38">
        <v>250</v>
      </c>
      <c r="G570" t="s">
        <v>166</v>
      </c>
    </row>
    <row r="571" spans="1:7" x14ac:dyDescent="0.25">
      <c r="A571" s="10" t="s">
        <v>3043</v>
      </c>
      <c r="B571" s="10" t="s">
        <v>3042</v>
      </c>
      <c r="C571" t="str">
        <f>Table13[[#This Row],[Manufacturer]]&amp;" "&amp;Table13[[#This Row],[Model]]</f>
        <v>Digitool Solutions DW-6004</v>
      </c>
      <c r="D571" s="1">
        <v>1</v>
      </c>
      <c r="E571" s="1">
        <v>1</v>
      </c>
      <c r="F571" s="38">
        <v>600</v>
      </c>
      <c r="G571" t="s">
        <v>166</v>
      </c>
    </row>
    <row r="572" spans="1:7" x14ac:dyDescent="0.25">
      <c r="A572" s="10" t="s">
        <v>3040</v>
      </c>
      <c r="B572" s="10" t="s">
        <v>3041</v>
      </c>
      <c r="C572" t="str">
        <f>Table13[[#This Row],[Manufacturer]]&amp;" "&amp;Table13[[#This Row],[Model]]</f>
        <v>Duralast 79-141</v>
      </c>
      <c r="D572" s="1">
        <v>4</v>
      </c>
      <c r="E572" s="1">
        <v>6</v>
      </c>
      <c r="F572" s="38">
        <v>960</v>
      </c>
      <c r="G572" t="s">
        <v>164</v>
      </c>
    </row>
    <row r="573" spans="1:7" x14ac:dyDescent="0.25">
      <c r="A573" s="10" t="s">
        <v>3040</v>
      </c>
      <c r="B573" s="10" t="s">
        <v>3039</v>
      </c>
      <c r="C573" t="str">
        <f>Table13[[#This Row],[Manufacturer]]&amp;" "&amp;Table13[[#This Row],[Model]]</f>
        <v>Duralast 79-142</v>
      </c>
      <c r="D573" s="1">
        <v>4</v>
      </c>
      <c r="E573" s="1" t="s">
        <v>169</v>
      </c>
      <c r="F573" s="38">
        <v>150</v>
      </c>
      <c r="G573" t="s">
        <v>166</v>
      </c>
    </row>
    <row r="574" spans="1:7" x14ac:dyDescent="0.25">
      <c r="A574" s="10" t="s">
        <v>3038</v>
      </c>
      <c r="B574" s="10" t="s">
        <v>3037</v>
      </c>
      <c r="C574" t="str">
        <f>Table13[[#This Row],[Manufacturer]]&amp;" "&amp;Table13[[#This Row],[Model]]</f>
        <v>Electromatic TSD-50</v>
      </c>
      <c r="D574" s="1">
        <v>2</v>
      </c>
      <c r="E574" s="1">
        <v>3</v>
      </c>
      <c r="F574" s="38">
        <v>50</v>
      </c>
      <c r="G574" t="s">
        <v>187</v>
      </c>
    </row>
    <row r="575" spans="1:7" x14ac:dyDescent="0.25">
      <c r="A575" s="10" t="s">
        <v>3036</v>
      </c>
      <c r="B575" s="10">
        <v>44800010</v>
      </c>
      <c r="C575" t="str">
        <f>Table13[[#This Row],[Manufacturer]]&amp;" "&amp;Table13[[#This Row],[Model]]</f>
        <v>Ewal 44800010</v>
      </c>
      <c r="D575" s="1">
        <v>4</v>
      </c>
      <c r="E575" s="1">
        <v>4</v>
      </c>
      <c r="F575" s="38">
        <v>35</v>
      </c>
      <c r="G575" t="s">
        <v>166</v>
      </c>
    </row>
    <row r="576" spans="1:7" x14ac:dyDescent="0.25">
      <c r="A576" s="10" t="s">
        <v>3036</v>
      </c>
      <c r="B576" s="10">
        <v>44800035</v>
      </c>
      <c r="C576" t="str">
        <f>Table13[[#This Row],[Manufacturer]]&amp;" "&amp;Table13[[#This Row],[Model]]</f>
        <v>Ewal 44800035</v>
      </c>
      <c r="D576" s="1">
        <v>4</v>
      </c>
      <c r="E576" s="1">
        <v>4</v>
      </c>
      <c r="F576" s="38">
        <v>12</v>
      </c>
      <c r="G576" t="s">
        <v>166</v>
      </c>
    </row>
    <row r="577" spans="1:7" x14ac:dyDescent="0.25">
      <c r="A577" s="10" t="s">
        <v>3036</v>
      </c>
      <c r="B577" s="10">
        <v>44803230</v>
      </c>
      <c r="C577" t="str">
        <f>Table13[[#This Row],[Manufacturer]]&amp;" "&amp;Table13[[#This Row],[Model]]</f>
        <v>Ewal 44803230</v>
      </c>
      <c r="D577" s="1">
        <v>4</v>
      </c>
      <c r="E577" s="1">
        <v>4</v>
      </c>
      <c r="F577" s="38">
        <v>40</v>
      </c>
      <c r="G577" t="s">
        <v>166</v>
      </c>
    </row>
    <row r="578" spans="1:7" x14ac:dyDescent="0.25">
      <c r="A578" s="10" t="s">
        <v>3036</v>
      </c>
      <c r="B578" s="10" t="s">
        <v>2400</v>
      </c>
      <c r="C578" t="str">
        <f>Table13[[#This Row],[Manufacturer]]&amp;" "&amp;Table13[[#This Row],[Model]]</f>
        <v>Ewal 77-DISS-TW</v>
      </c>
      <c r="D578" s="1">
        <v>4</v>
      </c>
      <c r="E578" s="1">
        <v>4</v>
      </c>
      <c r="F578" s="38">
        <v>35</v>
      </c>
      <c r="G578" t="s">
        <v>166</v>
      </c>
    </row>
    <row r="579" spans="1:7" x14ac:dyDescent="0.25">
      <c r="A579" s="10" t="s">
        <v>3036</v>
      </c>
      <c r="B579" s="10" t="s">
        <v>3035</v>
      </c>
      <c r="C579" t="str">
        <f>Table13[[#This Row],[Manufacturer]]&amp;" "&amp;Table13[[#This Row],[Model]]</f>
        <v>Ewal 77-DISS-TW-15</v>
      </c>
      <c r="D579" s="1">
        <v>4</v>
      </c>
      <c r="E579" s="1">
        <v>4</v>
      </c>
      <c r="F579" s="38">
        <v>15</v>
      </c>
      <c r="G579" t="s">
        <v>166</v>
      </c>
    </row>
    <row r="580" spans="1:7" x14ac:dyDescent="0.25">
      <c r="A580" s="10" t="s">
        <v>3027</v>
      </c>
      <c r="B580" s="10" t="s">
        <v>3034</v>
      </c>
      <c r="C580" t="str">
        <f>Table13[[#This Row],[Manufacturer]]&amp;" "&amp;Table13[[#This Row],[Model]]</f>
        <v>Facom J.208-50D</v>
      </c>
      <c r="D580" s="1">
        <v>4</v>
      </c>
      <c r="E580" s="1" t="s">
        <v>169</v>
      </c>
      <c r="F580" s="38">
        <v>50</v>
      </c>
      <c r="G580" t="s">
        <v>184</v>
      </c>
    </row>
    <row r="581" spans="1:7" x14ac:dyDescent="0.25">
      <c r="A581" s="10" t="s">
        <v>3027</v>
      </c>
      <c r="B581" s="10" t="s">
        <v>3033</v>
      </c>
      <c r="C581" t="str">
        <f>Table13[[#This Row],[Manufacturer]]&amp;" "&amp;Table13[[#This Row],[Model]]</f>
        <v>Facom K.306-600d</v>
      </c>
      <c r="D581" s="1">
        <v>2</v>
      </c>
      <c r="E581" s="1" t="s">
        <v>169</v>
      </c>
      <c r="F581" s="38">
        <v>600</v>
      </c>
      <c r="G581" t="s">
        <v>184</v>
      </c>
    </row>
    <row r="582" spans="1:7" x14ac:dyDescent="0.25">
      <c r="A582" s="10" t="s">
        <v>3027</v>
      </c>
      <c r="B582" s="10" t="s">
        <v>3032</v>
      </c>
      <c r="C582" t="str">
        <f>Table13[[#This Row],[Manufacturer]]&amp;" "&amp;Table13[[#This Row],[Model]]</f>
        <v>Facom R.208-25</v>
      </c>
      <c r="D582" s="1">
        <v>4</v>
      </c>
      <c r="E582" s="1" t="s">
        <v>169</v>
      </c>
      <c r="F582" s="38">
        <v>25</v>
      </c>
      <c r="G582" t="s">
        <v>184</v>
      </c>
    </row>
    <row r="583" spans="1:7" x14ac:dyDescent="0.25">
      <c r="A583" s="10" t="s">
        <v>3027</v>
      </c>
      <c r="B583" s="10" t="s">
        <v>3031</v>
      </c>
      <c r="C583" t="str">
        <f>Table13[[#This Row],[Manufacturer]]&amp;" "&amp;Table13[[#This Row],[Model]]</f>
        <v>Facom R.306-25D</v>
      </c>
      <c r="D583" s="1">
        <v>4</v>
      </c>
      <c r="E583" s="1" t="s">
        <v>169</v>
      </c>
      <c r="F583" s="38">
        <v>25</v>
      </c>
      <c r="G583" t="s">
        <v>184</v>
      </c>
    </row>
    <row r="584" spans="1:7" x14ac:dyDescent="0.25">
      <c r="A584" s="10" t="s">
        <v>3027</v>
      </c>
      <c r="B584" s="10" t="s">
        <v>3030</v>
      </c>
      <c r="C584" t="str">
        <f>Table13[[#This Row],[Manufacturer]]&amp;" "&amp;Table13[[#This Row],[Model]]</f>
        <v>Facom A.402</v>
      </c>
      <c r="D584" s="1">
        <v>6</v>
      </c>
      <c r="E584" s="1" t="s">
        <v>169</v>
      </c>
      <c r="F584" s="38">
        <v>2.5</v>
      </c>
      <c r="G584" t="s">
        <v>184</v>
      </c>
    </row>
    <row r="585" spans="1:7" x14ac:dyDescent="0.25">
      <c r="A585" s="10" t="s">
        <v>3027</v>
      </c>
      <c r="B585" s="10" t="s">
        <v>3029</v>
      </c>
      <c r="C585" t="str">
        <f>Table13[[#This Row],[Manufacturer]]&amp;" "&amp;Table13[[#This Row],[Model]]</f>
        <v>Facom A.404</v>
      </c>
      <c r="D585" s="1">
        <v>6</v>
      </c>
      <c r="E585" s="1" t="s">
        <v>169</v>
      </c>
      <c r="F585" s="38">
        <v>10</v>
      </c>
      <c r="G585" t="s">
        <v>184</v>
      </c>
    </row>
    <row r="586" spans="1:7" x14ac:dyDescent="0.25">
      <c r="A586" s="10" t="s">
        <v>3027</v>
      </c>
      <c r="B586" s="10" t="s">
        <v>3028</v>
      </c>
      <c r="C586" t="str">
        <f>Table13[[#This Row],[Manufacturer]]&amp;" "&amp;Table13[[#This Row],[Model]]</f>
        <v>Facom A.442</v>
      </c>
      <c r="D586" s="1">
        <v>6</v>
      </c>
      <c r="E586" s="1" t="s">
        <v>169</v>
      </c>
      <c r="F586" s="38">
        <v>2.5</v>
      </c>
      <c r="G586" t="s">
        <v>184</v>
      </c>
    </row>
    <row r="587" spans="1:7" x14ac:dyDescent="0.25">
      <c r="A587" s="10" t="s">
        <v>3027</v>
      </c>
      <c r="B587" s="10" t="s">
        <v>3026</v>
      </c>
      <c r="C587" t="str">
        <f>Table13[[#This Row],[Manufacturer]]&amp;" "&amp;Table13[[#This Row],[Model]]</f>
        <v>Facom A.444</v>
      </c>
      <c r="D587" s="1">
        <v>6</v>
      </c>
      <c r="E587" s="1" t="s">
        <v>169</v>
      </c>
      <c r="F587" s="38">
        <v>10</v>
      </c>
      <c r="G587" t="s">
        <v>184</v>
      </c>
    </row>
    <row r="588" spans="1:7" x14ac:dyDescent="0.25">
      <c r="A588" s="10" t="s">
        <v>3025</v>
      </c>
      <c r="B588" s="10" t="s">
        <v>3024</v>
      </c>
      <c r="C588" t="str">
        <f>Table13[[#This Row],[Manufacturer]]&amp;" "&amp;Table13[[#This Row],[Model]]</f>
        <v>Fairview ST-SMA8</v>
      </c>
      <c r="D588" s="1">
        <v>4</v>
      </c>
      <c r="E588" s="1" t="s">
        <v>169</v>
      </c>
      <c r="F588" s="38">
        <v>8</v>
      </c>
      <c r="G588" t="s">
        <v>164</v>
      </c>
    </row>
    <row r="589" spans="1:7" x14ac:dyDescent="0.25">
      <c r="A589" s="10" t="s">
        <v>3018</v>
      </c>
      <c r="B589" s="10" t="s">
        <v>3023</v>
      </c>
      <c r="C589" t="str">
        <f>Table13[[#This Row],[Manufacturer]]&amp;" "&amp;Table13[[#This Row],[Model]]</f>
        <v>Fairview Microwave ST-N-1316-B014</v>
      </c>
      <c r="D589" s="1">
        <v>4</v>
      </c>
      <c r="E589" s="1">
        <v>4</v>
      </c>
      <c r="F589" s="38">
        <v>14</v>
      </c>
      <c r="G589" t="s">
        <v>164</v>
      </c>
    </row>
    <row r="590" spans="1:7" x14ac:dyDescent="0.25">
      <c r="A590" s="10" t="s">
        <v>3018</v>
      </c>
      <c r="B590" s="10" t="s">
        <v>3022</v>
      </c>
      <c r="C590" t="str">
        <f>Table13[[#This Row],[Manufacturer]]&amp;" "&amp;Table13[[#This Row],[Model]]</f>
        <v>Fairview Microwave ST-N-1316-B08</v>
      </c>
      <c r="D590" s="1">
        <v>4</v>
      </c>
      <c r="E590" s="1">
        <v>4</v>
      </c>
      <c r="F590" s="38">
        <v>8</v>
      </c>
      <c r="G590" t="s">
        <v>164</v>
      </c>
    </row>
    <row r="591" spans="1:7" x14ac:dyDescent="0.25">
      <c r="A591" s="10" t="s">
        <v>3018</v>
      </c>
      <c r="B591" s="10" t="s">
        <v>3021</v>
      </c>
      <c r="C591" t="str">
        <f>Table13[[#This Row],[Manufacturer]]&amp;" "&amp;Table13[[#This Row],[Model]]</f>
        <v>Fairview Microwave ST-N-2532-B08</v>
      </c>
      <c r="D591" s="1">
        <v>4</v>
      </c>
      <c r="E591" s="1">
        <v>4</v>
      </c>
      <c r="F591" s="38">
        <v>8</v>
      </c>
      <c r="G591" t="s">
        <v>164</v>
      </c>
    </row>
    <row r="592" spans="1:7" x14ac:dyDescent="0.25">
      <c r="A592" s="10" t="s">
        <v>3018</v>
      </c>
      <c r="B592" s="10" t="s">
        <v>3020</v>
      </c>
      <c r="C592" t="str">
        <f>Table13[[#This Row],[Manufacturer]]&amp;" "&amp;Table13[[#This Row],[Model]]</f>
        <v>Fairview Microwave ST-N-2532-B14</v>
      </c>
      <c r="D592" s="1">
        <v>4</v>
      </c>
      <c r="E592" s="1">
        <v>4</v>
      </c>
      <c r="F592" s="38">
        <v>14</v>
      </c>
      <c r="G592" t="s">
        <v>164</v>
      </c>
    </row>
    <row r="593" spans="1:7" x14ac:dyDescent="0.25">
      <c r="A593" s="10" t="s">
        <v>3018</v>
      </c>
      <c r="B593" s="10" t="s">
        <v>3019</v>
      </c>
      <c r="C593" t="str">
        <f>Table13[[#This Row],[Manufacturer]]&amp;" "&amp;Table13[[#This Row],[Model]]</f>
        <v>Fairview Microwave ST-N-34-B014</v>
      </c>
      <c r="D593" s="1">
        <v>4</v>
      </c>
      <c r="E593" s="1">
        <v>4</v>
      </c>
      <c r="F593" s="38">
        <v>14</v>
      </c>
      <c r="G593" t="s">
        <v>164</v>
      </c>
    </row>
    <row r="594" spans="1:7" x14ac:dyDescent="0.25">
      <c r="A594" s="10" t="s">
        <v>3018</v>
      </c>
      <c r="B594" s="10" t="s">
        <v>3017</v>
      </c>
      <c r="C594" t="str">
        <f>Table13[[#This Row],[Manufacturer]]&amp;" "&amp;Table13[[#This Row],[Model]]</f>
        <v>Fairview Microwave ST-N-34-B08</v>
      </c>
      <c r="D594" s="1">
        <v>4</v>
      </c>
      <c r="E594" s="1">
        <v>4</v>
      </c>
      <c r="F594" s="38">
        <v>8</v>
      </c>
      <c r="G594" t="s">
        <v>164</v>
      </c>
    </row>
    <row r="595" spans="1:7" x14ac:dyDescent="0.25">
      <c r="A595" s="10" t="s">
        <v>3016</v>
      </c>
      <c r="B595" s="10" t="s">
        <v>3015</v>
      </c>
      <c r="C595" t="str">
        <f>Table13[[#This Row],[Manufacturer]]&amp;" "&amp;Table13[[#This Row],[Model]]</f>
        <v>Firstinfo H51772</v>
      </c>
      <c r="D595" s="1">
        <v>6</v>
      </c>
      <c r="E595" s="1" t="s">
        <v>169</v>
      </c>
      <c r="F595" s="38">
        <v>6</v>
      </c>
      <c r="G595" t="s">
        <v>164</v>
      </c>
    </row>
    <row r="596" spans="1:7" x14ac:dyDescent="0.25">
      <c r="A596" s="10" t="s">
        <v>3013</v>
      </c>
      <c r="B596" s="10" t="s">
        <v>3014</v>
      </c>
      <c r="C596" t="str">
        <f>Table13[[#This Row],[Manufacturer]]&amp;" "&amp;Table13[[#This Row],[Model]]</f>
        <v>Garage Ready GR-DTW12</v>
      </c>
      <c r="D596" s="1">
        <v>2</v>
      </c>
      <c r="E596" s="1">
        <v>2</v>
      </c>
      <c r="F596" s="38">
        <v>60</v>
      </c>
      <c r="G596" t="s">
        <v>184</v>
      </c>
    </row>
    <row r="597" spans="1:7" x14ac:dyDescent="0.25">
      <c r="A597" s="10" t="s">
        <v>3013</v>
      </c>
      <c r="B597" s="10" t="s">
        <v>3012</v>
      </c>
      <c r="C597" t="str">
        <f>Table13[[#This Row],[Manufacturer]]&amp;" "&amp;Table13[[#This Row],[Model]]</f>
        <v>Garage Ready GR-DTW14</v>
      </c>
      <c r="D597" s="1">
        <v>2</v>
      </c>
      <c r="E597" s="1">
        <v>2</v>
      </c>
      <c r="F597" s="38">
        <v>30</v>
      </c>
      <c r="G597" t="s">
        <v>184</v>
      </c>
    </row>
    <row r="598" spans="1:7" x14ac:dyDescent="0.25">
      <c r="A598" s="10" t="s">
        <v>2989</v>
      </c>
      <c r="B598" s="10" t="s">
        <v>3011</v>
      </c>
      <c r="C598" t="str">
        <f>Table13[[#This Row],[Manufacturer]]&amp;" "&amp;Table13[[#This Row],[Model]]</f>
        <v>Garant 65 6050_1000</v>
      </c>
      <c r="D598" s="1">
        <v>3</v>
      </c>
      <c r="E598" s="1">
        <v>3</v>
      </c>
      <c r="F598" s="38">
        <v>1000</v>
      </c>
      <c r="G598" t="s">
        <v>184</v>
      </c>
    </row>
    <row r="599" spans="1:7" x14ac:dyDescent="0.25">
      <c r="A599" s="10" t="s">
        <v>2989</v>
      </c>
      <c r="B599" s="10" t="s">
        <v>3010</v>
      </c>
      <c r="C599" t="str">
        <f>Table13[[#This Row],[Manufacturer]]&amp;" "&amp;Table13[[#This Row],[Model]]</f>
        <v>Garant 65 6050_120</v>
      </c>
      <c r="D599" s="1">
        <v>3</v>
      </c>
      <c r="E599" s="1">
        <v>3</v>
      </c>
      <c r="F599" s="38">
        <v>120</v>
      </c>
      <c r="G599" t="s">
        <v>184</v>
      </c>
    </row>
    <row r="600" spans="1:7" x14ac:dyDescent="0.25">
      <c r="A600" s="10" t="s">
        <v>2989</v>
      </c>
      <c r="B600" s="10" t="s">
        <v>3009</v>
      </c>
      <c r="C600" t="str">
        <f>Table13[[#This Row],[Manufacturer]]&amp;" "&amp;Table13[[#This Row],[Model]]</f>
        <v>Garant 65 6050_1600</v>
      </c>
      <c r="D600" s="1">
        <v>3</v>
      </c>
      <c r="E600" s="1">
        <v>3</v>
      </c>
      <c r="F600" s="38">
        <v>1600</v>
      </c>
      <c r="G600" t="s">
        <v>184</v>
      </c>
    </row>
    <row r="601" spans="1:7" x14ac:dyDescent="0.25">
      <c r="A601" s="10" t="s">
        <v>2989</v>
      </c>
      <c r="B601" s="10" t="s">
        <v>3008</v>
      </c>
      <c r="C601" t="str">
        <f>Table13[[#This Row],[Manufacturer]]&amp;" "&amp;Table13[[#This Row],[Model]]</f>
        <v>Garant 65 6050_200</v>
      </c>
      <c r="D601" s="1">
        <v>3</v>
      </c>
      <c r="E601" s="1">
        <v>3</v>
      </c>
      <c r="F601" s="38">
        <v>200</v>
      </c>
      <c r="G601" t="s">
        <v>184</v>
      </c>
    </row>
    <row r="602" spans="1:7" x14ac:dyDescent="0.25">
      <c r="A602" s="10" t="s">
        <v>2989</v>
      </c>
      <c r="B602" s="10" t="s">
        <v>3007</v>
      </c>
      <c r="C602" t="str">
        <f>Table13[[#This Row],[Manufacturer]]&amp;" "&amp;Table13[[#This Row],[Model]]</f>
        <v>Garant 65 6050_25</v>
      </c>
      <c r="D602" s="1">
        <v>3</v>
      </c>
      <c r="E602" s="1">
        <v>3</v>
      </c>
      <c r="F602" s="38">
        <v>25</v>
      </c>
      <c r="G602" t="s">
        <v>184</v>
      </c>
    </row>
    <row r="603" spans="1:7" x14ac:dyDescent="0.25">
      <c r="A603" s="10" t="s">
        <v>2989</v>
      </c>
      <c r="B603" s="10" t="s">
        <v>3006</v>
      </c>
      <c r="C603" t="str">
        <f>Table13[[#This Row],[Manufacturer]]&amp;" "&amp;Table13[[#This Row],[Model]]</f>
        <v>Garant 65 6050_320</v>
      </c>
      <c r="D603" s="1">
        <v>3</v>
      </c>
      <c r="E603" s="1">
        <v>3</v>
      </c>
      <c r="F603" s="38">
        <v>320</v>
      </c>
      <c r="G603" t="s">
        <v>184</v>
      </c>
    </row>
    <row r="604" spans="1:7" x14ac:dyDescent="0.25">
      <c r="A604" s="10" t="s">
        <v>2989</v>
      </c>
      <c r="B604" s="10" t="s">
        <v>3005</v>
      </c>
      <c r="C604" t="str">
        <f>Table13[[#This Row],[Manufacturer]]&amp;" "&amp;Table13[[#This Row],[Model]]</f>
        <v>Garant 65 6050_400</v>
      </c>
      <c r="D604" s="1">
        <v>3</v>
      </c>
      <c r="E604" s="1">
        <v>3</v>
      </c>
      <c r="F604" s="38">
        <v>400</v>
      </c>
      <c r="G604" t="s">
        <v>184</v>
      </c>
    </row>
    <row r="605" spans="1:7" x14ac:dyDescent="0.25">
      <c r="A605" s="10" t="s">
        <v>2989</v>
      </c>
      <c r="B605" s="10" t="s">
        <v>3004</v>
      </c>
      <c r="C605" t="str">
        <f>Table13[[#This Row],[Manufacturer]]&amp;" "&amp;Table13[[#This Row],[Model]]</f>
        <v>Garant 65 6050_500</v>
      </c>
      <c r="D605" s="1">
        <v>3</v>
      </c>
      <c r="E605" s="1">
        <v>3</v>
      </c>
      <c r="F605" s="38">
        <v>500</v>
      </c>
      <c r="G605" t="s">
        <v>184</v>
      </c>
    </row>
    <row r="606" spans="1:7" x14ac:dyDescent="0.25">
      <c r="A606" s="10" t="s">
        <v>2989</v>
      </c>
      <c r="B606" s="10" t="s">
        <v>3003</v>
      </c>
      <c r="C606" t="str">
        <f>Table13[[#This Row],[Manufacturer]]&amp;" "&amp;Table13[[#This Row],[Model]]</f>
        <v>Garant 65 6050_6</v>
      </c>
      <c r="D606" s="1">
        <v>4</v>
      </c>
      <c r="E606" s="1">
        <v>4</v>
      </c>
      <c r="F606" s="38">
        <v>6</v>
      </c>
      <c r="G606" t="s">
        <v>184</v>
      </c>
    </row>
    <row r="607" spans="1:7" x14ac:dyDescent="0.25">
      <c r="A607" s="10" t="s">
        <v>2989</v>
      </c>
      <c r="B607" s="10" t="s">
        <v>3002</v>
      </c>
      <c r="C607" t="str">
        <f>Table13[[#This Row],[Manufacturer]]&amp;" "&amp;Table13[[#This Row],[Model]]</f>
        <v>Garant 65 6050_60</v>
      </c>
      <c r="D607" s="1">
        <v>3</v>
      </c>
      <c r="E607" s="1">
        <v>3</v>
      </c>
      <c r="F607" s="38">
        <v>60</v>
      </c>
      <c r="G607" t="s">
        <v>184</v>
      </c>
    </row>
    <row r="608" spans="1:7" x14ac:dyDescent="0.25">
      <c r="A608" s="10" t="s">
        <v>2989</v>
      </c>
      <c r="B608" s="10" t="s">
        <v>3001</v>
      </c>
      <c r="C608" t="str">
        <f>Table13[[#This Row],[Manufacturer]]&amp;" "&amp;Table13[[#This Row],[Model]]</f>
        <v>Garant 65 6050_800</v>
      </c>
      <c r="D608" s="1">
        <v>3</v>
      </c>
      <c r="E608" s="1">
        <v>3</v>
      </c>
      <c r="F608" s="38">
        <v>800</v>
      </c>
      <c r="G608" t="s">
        <v>184</v>
      </c>
    </row>
    <row r="609" spans="1:7" x14ac:dyDescent="0.25">
      <c r="A609" s="10" t="s">
        <v>2989</v>
      </c>
      <c r="B609" s="10" t="s">
        <v>3000</v>
      </c>
      <c r="C609" t="str">
        <f>Table13[[#This Row],[Manufacturer]]&amp;" "&amp;Table13[[#This Row],[Model]]</f>
        <v>Garant 65 6055_120</v>
      </c>
      <c r="D609" s="1">
        <v>3</v>
      </c>
      <c r="E609" s="1" t="s">
        <v>169</v>
      </c>
      <c r="F609" s="38">
        <v>120</v>
      </c>
      <c r="G609" t="s">
        <v>184</v>
      </c>
    </row>
    <row r="610" spans="1:7" x14ac:dyDescent="0.25">
      <c r="A610" s="10" t="s">
        <v>2989</v>
      </c>
      <c r="B610" s="10" t="s">
        <v>2999</v>
      </c>
      <c r="C610" t="str">
        <f>Table13[[#This Row],[Manufacturer]]&amp;" "&amp;Table13[[#This Row],[Model]]</f>
        <v>Garant 65 6055_200</v>
      </c>
      <c r="D610" s="1">
        <v>3</v>
      </c>
      <c r="E610" s="1" t="s">
        <v>169</v>
      </c>
      <c r="F610" s="38">
        <v>200</v>
      </c>
      <c r="G610" t="s">
        <v>184</v>
      </c>
    </row>
    <row r="611" spans="1:7" x14ac:dyDescent="0.25">
      <c r="A611" s="10" t="s">
        <v>2989</v>
      </c>
      <c r="B611" s="10" t="s">
        <v>2998</v>
      </c>
      <c r="C611" t="str">
        <f>Table13[[#This Row],[Manufacturer]]&amp;" "&amp;Table13[[#This Row],[Model]]</f>
        <v>Garant 65 6055_25</v>
      </c>
      <c r="D611" s="1">
        <v>3</v>
      </c>
      <c r="E611" s="1" t="s">
        <v>169</v>
      </c>
      <c r="F611" s="38">
        <v>25</v>
      </c>
      <c r="G611" t="s">
        <v>184</v>
      </c>
    </row>
    <row r="612" spans="1:7" x14ac:dyDescent="0.25">
      <c r="A612" s="10" t="s">
        <v>2989</v>
      </c>
      <c r="B612" s="10" t="s">
        <v>2997</v>
      </c>
      <c r="C612" t="str">
        <f>Table13[[#This Row],[Manufacturer]]&amp;" "&amp;Table13[[#This Row],[Model]]</f>
        <v>Garant 65 6055_320</v>
      </c>
      <c r="D612" s="1">
        <v>3</v>
      </c>
      <c r="E612" s="1" t="s">
        <v>169</v>
      </c>
      <c r="F612" s="38">
        <v>320</v>
      </c>
      <c r="G612" t="s">
        <v>184</v>
      </c>
    </row>
    <row r="613" spans="1:7" x14ac:dyDescent="0.25">
      <c r="A613" s="10" t="s">
        <v>2989</v>
      </c>
      <c r="B613" s="10" t="s">
        <v>2996</v>
      </c>
      <c r="C613" t="str">
        <f>Table13[[#This Row],[Manufacturer]]&amp;" "&amp;Table13[[#This Row],[Model]]</f>
        <v>Garant 65 6055_400</v>
      </c>
      <c r="D613" s="1">
        <v>3</v>
      </c>
      <c r="E613" s="1" t="s">
        <v>169</v>
      </c>
      <c r="F613" s="38">
        <v>400</v>
      </c>
      <c r="G613" t="s">
        <v>184</v>
      </c>
    </row>
    <row r="614" spans="1:7" x14ac:dyDescent="0.25">
      <c r="A614" s="10" t="s">
        <v>2989</v>
      </c>
      <c r="B614" s="10" t="s">
        <v>2995</v>
      </c>
      <c r="C614" t="str">
        <f>Table13[[#This Row],[Manufacturer]]&amp;" "&amp;Table13[[#This Row],[Model]]</f>
        <v>Garant 65 6055_500</v>
      </c>
      <c r="D614" s="1">
        <v>3</v>
      </c>
      <c r="E614" s="1" t="s">
        <v>169</v>
      </c>
      <c r="F614" s="38">
        <v>500</v>
      </c>
      <c r="G614" t="s">
        <v>184</v>
      </c>
    </row>
    <row r="615" spans="1:7" x14ac:dyDescent="0.25">
      <c r="A615" s="10" t="s">
        <v>2989</v>
      </c>
      <c r="B615" s="10" t="s">
        <v>2994</v>
      </c>
      <c r="C615" t="str">
        <f>Table13[[#This Row],[Manufacturer]]&amp;" "&amp;Table13[[#This Row],[Model]]</f>
        <v>Garant 65 6055_60</v>
      </c>
      <c r="D615" s="1">
        <v>3</v>
      </c>
      <c r="E615" s="1" t="s">
        <v>169</v>
      </c>
      <c r="F615" s="38">
        <v>60</v>
      </c>
      <c r="G615" t="s">
        <v>184</v>
      </c>
    </row>
    <row r="616" spans="1:7" x14ac:dyDescent="0.25">
      <c r="A616" s="10" t="s">
        <v>2989</v>
      </c>
      <c r="B616" s="10" t="s">
        <v>2993</v>
      </c>
      <c r="C616" t="str">
        <f>Table13[[#This Row],[Manufacturer]]&amp;" "&amp;Table13[[#This Row],[Model]]</f>
        <v>Garant 65 6055_800</v>
      </c>
      <c r="D616" s="1">
        <v>3</v>
      </c>
      <c r="E616" s="1" t="s">
        <v>169</v>
      </c>
      <c r="F616" s="38">
        <v>800</v>
      </c>
      <c r="G616" t="s">
        <v>184</v>
      </c>
    </row>
    <row r="617" spans="1:7" x14ac:dyDescent="0.25">
      <c r="A617" s="10" t="s">
        <v>2989</v>
      </c>
      <c r="B617" s="10">
        <v>659500</v>
      </c>
      <c r="C617" t="str">
        <f>Table13[[#This Row],[Manufacturer]]&amp;" "&amp;Table13[[#This Row],[Model]]</f>
        <v>Garant 659500</v>
      </c>
      <c r="D617" s="1">
        <v>6</v>
      </c>
      <c r="E617" s="1" t="s">
        <v>169</v>
      </c>
      <c r="F617" s="38">
        <v>500</v>
      </c>
      <c r="G617" t="s">
        <v>187</v>
      </c>
    </row>
    <row r="618" spans="1:7" x14ac:dyDescent="0.25">
      <c r="A618" s="10" t="s">
        <v>2989</v>
      </c>
      <c r="B618" s="10" t="s">
        <v>2992</v>
      </c>
      <c r="C618" t="str">
        <f>Table13[[#This Row],[Manufacturer]]&amp;" "&amp;Table13[[#This Row],[Model]]</f>
        <v>Garant 659905/50</v>
      </c>
      <c r="D618" s="1">
        <v>6</v>
      </c>
      <c r="E618" s="1" t="s">
        <v>169</v>
      </c>
      <c r="F618" s="38">
        <v>50</v>
      </c>
      <c r="G618" t="s">
        <v>187</v>
      </c>
    </row>
    <row r="619" spans="1:7" x14ac:dyDescent="0.25">
      <c r="A619" s="10" t="s">
        <v>2989</v>
      </c>
      <c r="B619" s="10" t="s">
        <v>2991</v>
      </c>
      <c r="C619" t="str">
        <f>Table13[[#This Row],[Manufacturer]]&amp;" "&amp;Table13[[#This Row],[Model]]</f>
        <v>Garant 659906/200</v>
      </c>
      <c r="D619" s="1">
        <v>6</v>
      </c>
      <c r="E619" s="1" t="s">
        <v>169</v>
      </c>
      <c r="F619" s="38">
        <v>200</v>
      </c>
      <c r="G619" t="s">
        <v>187</v>
      </c>
    </row>
    <row r="620" spans="1:7" x14ac:dyDescent="0.25">
      <c r="A620" s="10" t="s">
        <v>2989</v>
      </c>
      <c r="B620" s="10" t="s">
        <v>2990</v>
      </c>
      <c r="C620" t="str">
        <f>Table13[[#This Row],[Manufacturer]]&amp;" "&amp;Table13[[#This Row],[Model]]</f>
        <v>Garant 659906/500</v>
      </c>
      <c r="D620" s="1">
        <v>6</v>
      </c>
      <c r="E620" s="1" t="s">
        <v>169</v>
      </c>
      <c r="F620" s="38">
        <v>500</v>
      </c>
      <c r="G620" t="s">
        <v>187</v>
      </c>
    </row>
    <row r="621" spans="1:7" x14ac:dyDescent="0.25">
      <c r="A621" s="10" t="s">
        <v>2989</v>
      </c>
      <c r="B621" s="10">
        <v>659910</v>
      </c>
      <c r="C621" t="str">
        <f>Table13[[#This Row],[Manufacturer]]&amp;" "&amp;Table13[[#This Row],[Model]]</f>
        <v>Garant 659910</v>
      </c>
      <c r="D621" s="1">
        <v>6</v>
      </c>
      <c r="E621" s="1" t="s">
        <v>169</v>
      </c>
      <c r="F621" s="38">
        <v>500</v>
      </c>
      <c r="G621" t="s">
        <v>187</v>
      </c>
    </row>
    <row r="622" spans="1:7" x14ac:dyDescent="0.25">
      <c r="A622" s="10" t="s">
        <v>2989</v>
      </c>
      <c r="B622" s="10">
        <v>659911</v>
      </c>
      <c r="C622" t="str">
        <f>Table13[[#This Row],[Manufacturer]]&amp;" "&amp;Table13[[#This Row],[Model]]</f>
        <v>Garant 659911</v>
      </c>
      <c r="D622" s="1">
        <v>6</v>
      </c>
      <c r="E622" s="1" t="s">
        <v>169</v>
      </c>
      <c r="F622" s="38">
        <v>500</v>
      </c>
      <c r="G622" t="s">
        <v>187</v>
      </c>
    </row>
    <row r="623" spans="1:7" x14ac:dyDescent="0.25">
      <c r="A623" s="10" t="s">
        <v>2988</v>
      </c>
      <c r="B623" s="10" t="s">
        <v>2401</v>
      </c>
      <c r="C623" t="str">
        <f>Table13[[#This Row],[Manufacturer]]&amp;" "&amp;Table13[[#This Row],[Model]]</f>
        <v>Gasflo Products 77-350-TW</v>
      </c>
      <c r="D623" s="1">
        <v>4</v>
      </c>
      <c r="E623" s="1">
        <v>4</v>
      </c>
      <c r="F623" s="38">
        <v>40</v>
      </c>
      <c r="G623" t="s">
        <v>166</v>
      </c>
    </row>
    <row r="624" spans="1:7" x14ac:dyDescent="0.25">
      <c r="A624" s="10" t="s">
        <v>2988</v>
      </c>
      <c r="B624" s="10" t="s">
        <v>2400</v>
      </c>
      <c r="C624" t="str">
        <f>Table13[[#This Row],[Manufacturer]]&amp;" "&amp;Table13[[#This Row],[Model]]</f>
        <v>Gasflo Products 77-DISS-TW</v>
      </c>
      <c r="D624" s="1">
        <v>4</v>
      </c>
      <c r="E624" s="1">
        <v>4</v>
      </c>
      <c r="F624" s="38">
        <v>35</v>
      </c>
      <c r="G624" t="s">
        <v>166</v>
      </c>
    </row>
    <row r="625" spans="1:7" x14ac:dyDescent="0.25">
      <c r="A625" s="10" t="s">
        <v>2988</v>
      </c>
      <c r="B625" s="10" t="s">
        <v>2398</v>
      </c>
      <c r="C625" t="str">
        <f>Table13[[#This Row],[Manufacturer]]&amp;" "&amp;Table13[[#This Row],[Model]]</f>
        <v>Gasflo Products 77-DISS-TW-K</v>
      </c>
      <c r="D625" s="1">
        <v>4</v>
      </c>
      <c r="E625" s="1">
        <v>4</v>
      </c>
      <c r="F625" s="38">
        <v>12</v>
      </c>
      <c r="G625" t="s">
        <v>166</v>
      </c>
    </row>
    <row r="626" spans="1:7" x14ac:dyDescent="0.25">
      <c r="A626" s="10" t="s">
        <v>2987</v>
      </c>
      <c r="B626" s="10" t="s">
        <v>2986</v>
      </c>
      <c r="C626" t="str">
        <f>Table13[[#This Row],[Manufacturer]]&amp;" "&amp;Table13[[#This Row],[Model]]</f>
        <v>Gearhead GH3001</v>
      </c>
      <c r="D626" s="1">
        <v>4</v>
      </c>
      <c r="E626" s="1" t="s">
        <v>169</v>
      </c>
      <c r="F626" s="38">
        <v>150</v>
      </c>
      <c r="G626" t="s">
        <v>166</v>
      </c>
    </row>
    <row r="627" spans="1:7" x14ac:dyDescent="0.25">
      <c r="A627" s="10" t="s">
        <v>2985</v>
      </c>
      <c r="B627" s="10">
        <v>85076</v>
      </c>
      <c r="C627" t="str">
        <f>Table13[[#This Row],[Manufacturer]]&amp;" "&amp;Table13[[#This Row],[Model]]</f>
        <v>Gearwrench 85076</v>
      </c>
      <c r="D627" s="1">
        <v>2</v>
      </c>
      <c r="E627" s="1">
        <v>3</v>
      </c>
      <c r="F627" s="38">
        <v>135</v>
      </c>
      <c r="G627" t="s">
        <v>184</v>
      </c>
    </row>
    <row r="628" spans="1:7" x14ac:dyDescent="0.25">
      <c r="A628" s="10" t="s">
        <v>2985</v>
      </c>
      <c r="B628" s="10">
        <v>85077</v>
      </c>
      <c r="C628" t="str">
        <f>Table13[[#This Row],[Manufacturer]]&amp;" "&amp;Table13[[#This Row],[Model]]</f>
        <v>Gearwrench 85077</v>
      </c>
      <c r="D628" s="1">
        <v>2</v>
      </c>
      <c r="E628" s="1">
        <v>3</v>
      </c>
      <c r="F628" s="38">
        <v>340</v>
      </c>
      <c r="G628" t="s">
        <v>184</v>
      </c>
    </row>
    <row r="629" spans="1:7" x14ac:dyDescent="0.25">
      <c r="A629" s="10" t="s">
        <v>2985</v>
      </c>
      <c r="B629" s="10">
        <v>85051</v>
      </c>
      <c r="C629" t="str">
        <f>Table13[[#This Row],[Manufacturer]]&amp;" "&amp;Table13[[#This Row],[Model]]</f>
        <v>Gearwrench 85051</v>
      </c>
      <c r="D629" s="1">
        <v>3</v>
      </c>
      <c r="E629" s="1" t="s">
        <v>169</v>
      </c>
      <c r="F629" s="38">
        <v>250</v>
      </c>
      <c r="G629" t="s">
        <v>164</v>
      </c>
    </row>
    <row r="630" spans="1:7" x14ac:dyDescent="0.25">
      <c r="A630" s="10" t="s">
        <v>2985</v>
      </c>
      <c r="B630" s="10">
        <v>85052</v>
      </c>
      <c r="C630" t="str">
        <f>Table13[[#This Row],[Manufacturer]]&amp;" "&amp;Table13[[#This Row],[Model]]</f>
        <v>Gearwrench 85052</v>
      </c>
      <c r="D630" s="1">
        <v>3</v>
      </c>
      <c r="E630" s="1" t="s">
        <v>169</v>
      </c>
      <c r="F630" s="38">
        <v>100</v>
      </c>
      <c r="G630" t="s">
        <v>166</v>
      </c>
    </row>
    <row r="631" spans="1:7" x14ac:dyDescent="0.25">
      <c r="A631" s="10" t="s">
        <v>2985</v>
      </c>
      <c r="B631" s="10">
        <v>85053</v>
      </c>
      <c r="C631" t="str">
        <f>Table13[[#This Row],[Manufacturer]]&amp;" "&amp;Table13[[#This Row],[Model]]</f>
        <v>Gearwrench 85053</v>
      </c>
      <c r="D631" s="1">
        <v>3</v>
      </c>
      <c r="E631" s="1" t="s">
        <v>169</v>
      </c>
      <c r="F631" s="38">
        <v>150</v>
      </c>
      <c r="G631" t="s">
        <v>166</v>
      </c>
    </row>
    <row r="632" spans="1:7" x14ac:dyDescent="0.25">
      <c r="A632" s="10" t="s">
        <v>2985</v>
      </c>
      <c r="B632" s="10">
        <v>85054</v>
      </c>
      <c r="C632" t="str">
        <f>Table13[[#This Row],[Manufacturer]]&amp;" "&amp;Table13[[#This Row],[Model]]</f>
        <v>Gearwrench 85054</v>
      </c>
      <c r="D632" s="1">
        <v>3</v>
      </c>
      <c r="E632" s="1" t="s">
        <v>169</v>
      </c>
      <c r="F632" s="38">
        <v>250</v>
      </c>
      <c r="G632" t="s">
        <v>166</v>
      </c>
    </row>
    <row r="633" spans="1:7" x14ac:dyDescent="0.25">
      <c r="A633" s="10" t="s">
        <v>2985</v>
      </c>
      <c r="B633" s="10">
        <v>85060</v>
      </c>
      <c r="C633" t="str">
        <f>Table13[[#This Row],[Manufacturer]]&amp;" "&amp;Table13[[#This Row],[Model]]</f>
        <v>Gearwrench 85060</v>
      </c>
      <c r="D633" s="1">
        <v>3</v>
      </c>
      <c r="E633" s="1" t="s">
        <v>169</v>
      </c>
      <c r="F633" s="38">
        <v>200</v>
      </c>
      <c r="G633" t="s">
        <v>164</v>
      </c>
    </row>
    <row r="634" spans="1:7" x14ac:dyDescent="0.25">
      <c r="A634" s="10" t="s">
        <v>2985</v>
      </c>
      <c r="B634" s="10">
        <v>85061</v>
      </c>
      <c r="C634" t="str">
        <f>Table13[[#This Row],[Manufacturer]]&amp;" "&amp;Table13[[#This Row],[Model]]</f>
        <v>Gearwrench 85061</v>
      </c>
      <c r="D634" s="1">
        <v>3</v>
      </c>
      <c r="E634" s="1" t="s">
        <v>169</v>
      </c>
      <c r="F634" s="38">
        <v>250</v>
      </c>
      <c r="G634" t="s">
        <v>164</v>
      </c>
    </row>
    <row r="635" spans="1:7" x14ac:dyDescent="0.25">
      <c r="A635" s="10" t="s">
        <v>2985</v>
      </c>
      <c r="B635" s="10">
        <v>85062</v>
      </c>
      <c r="C635" t="str">
        <f>Table13[[#This Row],[Manufacturer]]&amp;" "&amp;Table13[[#This Row],[Model]]</f>
        <v>Gearwrench 85062</v>
      </c>
      <c r="D635" s="1">
        <v>3</v>
      </c>
      <c r="E635" s="1" t="s">
        <v>169</v>
      </c>
      <c r="F635" s="38">
        <v>100</v>
      </c>
      <c r="G635" t="s">
        <v>166</v>
      </c>
    </row>
    <row r="636" spans="1:7" x14ac:dyDescent="0.25">
      <c r="A636" s="10" t="s">
        <v>2985</v>
      </c>
      <c r="B636" s="10">
        <v>85063</v>
      </c>
      <c r="C636" t="str">
        <f>Table13[[#This Row],[Manufacturer]]&amp;" "&amp;Table13[[#This Row],[Model]]</f>
        <v>Gearwrench 85063</v>
      </c>
      <c r="D636" s="1">
        <v>3</v>
      </c>
      <c r="E636" s="1" t="s">
        <v>169</v>
      </c>
      <c r="F636" s="38">
        <v>150</v>
      </c>
      <c r="G636" t="s">
        <v>164</v>
      </c>
    </row>
    <row r="637" spans="1:7" x14ac:dyDescent="0.25">
      <c r="A637" s="10" t="s">
        <v>2985</v>
      </c>
      <c r="B637" s="10">
        <v>85065</v>
      </c>
      <c r="C637" t="str">
        <f>Table13[[#This Row],[Manufacturer]]&amp;" "&amp;Table13[[#This Row],[Model]]</f>
        <v>Gearwrench 85065</v>
      </c>
      <c r="D637" s="1">
        <v>3</v>
      </c>
      <c r="E637" s="1" t="s">
        <v>169</v>
      </c>
      <c r="F637" s="38">
        <v>600</v>
      </c>
      <c r="G637" t="s">
        <v>166</v>
      </c>
    </row>
    <row r="638" spans="1:7" x14ac:dyDescent="0.25">
      <c r="A638" s="10" t="s">
        <v>2985</v>
      </c>
      <c r="B638" s="10">
        <v>85066</v>
      </c>
      <c r="C638" t="str">
        <f>Table13[[#This Row],[Manufacturer]]&amp;" "&amp;Table13[[#This Row],[Model]]</f>
        <v>Gearwrench 85066</v>
      </c>
      <c r="D638" s="1">
        <v>3</v>
      </c>
      <c r="E638" s="1" t="s">
        <v>169</v>
      </c>
      <c r="F638" s="38">
        <v>250</v>
      </c>
      <c r="G638" t="s">
        <v>166</v>
      </c>
    </row>
    <row r="639" spans="1:7" x14ac:dyDescent="0.25">
      <c r="A639" s="10" t="s">
        <v>2985</v>
      </c>
      <c r="B639" s="10">
        <v>85087</v>
      </c>
      <c r="C639" t="str">
        <f>Table13[[#This Row],[Manufacturer]]&amp;" "&amp;Table13[[#This Row],[Model]]</f>
        <v>Gearwrench 85087</v>
      </c>
      <c r="D639" s="1">
        <v>3</v>
      </c>
      <c r="E639" s="1" t="s">
        <v>169</v>
      </c>
      <c r="F639" s="38">
        <v>250</v>
      </c>
      <c r="G639" t="s">
        <v>166</v>
      </c>
    </row>
    <row r="640" spans="1:7" x14ac:dyDescent="0.25">
      <c r="A640" s="10" t="s">
        <v>2985</v>
      </c>
      <c r="B640" s="10">
        <v>85176</v>
      </c>
      <c r="C640" t="str">
        <f>Table13[[#This Row],[Manufacturer]]&amp;" "&amp;Table13[[#This Row],[Model]]</f>
        <v>Gearwrench 85176</v>
      </c>
      <c r="D640" s="1">
        <v>3</v>
      </c>
      <c r="E640" s="1" t="s">
        <v>169</v>
      </c>
      <c r="F640" s="38">
        <v>100</v>
      </c>
      <c r="G640" t="s">
        <v>166</v>
      </c>
    </row>
    <row r="641" spans="1:7" x14ac:dyDescent="0.25">
      <c r="A641" s="10" t="s">
        <v>2895</v>
      </c>
      <c r="B641" s="10" t="s">
        <v>2984</v>
      </c>
      <c r="C641" t="str">
        <f>Table13[[#This Row],[Manufacturer]]&amp;" "&amp;Table13[[#This Row],[Model]]</f>
        <v>Gedore 4549-02</v>
      </c>
      <c r="D641" s="1">
        <v>3</v>
      </c>
      <c r="E641" s="1" t="s">
        <v>169</v>
      </c>
      <c r="F641" s="38">
        <v>25</v>
      </c>
      <c r="G641" t="s">
        <v>184</v>
      </c>
    </row>
    <row r="642" spans="1:7" x14ac:dyDescent="0.25">
      <c r="A642" s="10" t="s">
        <v>2895</v>
      </c>
      <c r="B642" s="10" t="s">
        <v>2983</v>
      </c>
      <c r="C642" t="str">
        <f>Table13[[#This Row],[Manufacturer]]&amp;" "&amp;Table13[[#This Row],[Model]]</f>
        <v>Gedore 4549-05</v>
      </c>
      <c r="D642" s="1">
        <v>3</v>
      </c>
      <c r="E642" s="1" t="s">
        <v>169</v>
      </c>
      <c r="F642" s="38">
        <v>50</v>
      </c>
      <c r="G642" t="s">
        <v>184</v>
      </c>
    </row>
    <row r="643" spans="1:7" x14ac:dyDescent="0.25">
      <c r="A643" s="10" t="s">
        <v>2895</v>
      </c>
      <c r="B643" s="10" t="s">
        <v>2982</v>
      </c>
      <c r="C643" t="str">
        <f>Table13[[#This Row],[Manufacturer]]&amp;" "&amp;Table13[[#This Row],[Model]]</f>
        <v>Gedore 4550-20</v>
      </c>
      <c r="D643" s="1">
        <v>3</v>
      </c>
      <c r="E643" s="1" t="s">
        <v>169</v>
      </c>
      <c r="F643" s="38">
        <v>150</v>
      </c>
      <c r="G643" t="s">
        <v>166</v>
      </c>
    </row>
    <row r="644" spans="1:7" x14ac:dyDescent="0.25">
      <c r="A644" s="10" t="s">
        <v>2895</v>
      </c>
      <c r="B644" s="10" t="s">
        <v>2981</v>
      </c>
      <c r="C644" t="str">
        <f>Table13[[#This Row],[Manufacturer]]&amp;" "&amp;Table13[[#This Row],[Model]]</f>
        <v>Gedore 6551-10</v>
      </c>
      <c r="D644" s="1">
        <v>3</v>
      </c>
      <c r="E644" s="1">
        <v>3</v>
      </c>
      <c r="F644" s="38">
        <v>75</v>
      </c>
      <c r="G644" t="s">
        <v>166</v>
      </c>
    </row>
    <row r="645" spans="1:7" x14ac:dyDescent="0.25">
      <c r="A645" s="10" t="s">
        <v>2895</v>
      </c>
      <c r="B645" s="10" t="s">
        <v>2980</v>
      </c>
      <c r="C645" t="str">
        <f>Table13[[#This Row],[Manufacturer]]&amp;" "&amp;Table13[[#This Row],[Model]]</f>
        <v>Gedore 753-11</v>
      </c>
      <c r="D645" s="1">
        <v>3</v>
      </c>
      <c r="E645" s="1" t="s">
        <v>169</v>
      </c>
      <c r="F645" s="38">
        <v>106</v>
      </c>
      <c r="G645" t="s">
        <v>164</v>
      </c>
    </row>
    <row r="646" spans="1:7" x14ac:dyDescent="0.25">
      <c r="A646" s="10" t="s">
        <v>2895</v>
      </c>
      <c r="B646" s="10" t="s">
        <v>2979</v>
      </c>
      <c r="C646" t="str">
        <f>Table13[[#This Row],[Manufacturer]]&amp;" "&amp;Table13[[#This Row],[Model]]</f>
        <v>Gedore Torcofix 100 K</v>
      </c>
      <c r="D646" s="1">
        <v>4</v>
      </c>
      <c r="E646" s="1" t="s">
        <v>169</v>
      </c>
      <c r="F646" s="38">
        <v>100</v>
      </c>
      <c r="G646" t="s">
        <v>184</v>
      </c>
    </row>
    <row r="647" spans="1:7" x14ac:dyDescent="0.25">
      <c r="A647" s="10" t="s">
        <v>2895</v>
      </c>
      <c r="B647" s="10" t="s">
        <v>2978</v>
      </c>
      <c r="C647" t="str">
        <f>Table13[[#This Row],[Manufacturer]]&amp;" "&amp;Table13[[#This Row],[Model]]</f>
        <v>Gedore Torcofix 100 SE</v>
      </c>
      <c r="D647" s="1">
        <v>4</v>
      </c>
      <c r="E647" s="1" t="s">
        <v>169</v>
      </c>
      <c r="F647" s="38">
        <v>100</v>
      </c>
      <c r="G647" t="s">
        <v>184</v>
      </c>
    </row>
    <row r="648" spans="1:7" x14ac:dyDescent="0.25">
      <c r="A648" s="10" t="s">
        <v>2895</v>
      </c>
      <c r="B648" s="10" t="s">
        <v>2977</v>
      </c>
      <c r="C648" t="str">
        <f>Table13[[#This Row],[Manufacturer]]&amp;" "&amp;Table13[[#This Row],[Model]]</f>
        <v>Gedore Torcofix 100 Z</v>
      </c>
      <c r="D648" s="1">
        <v>4</v>
      </c>
      <c r="E648" s="1" t="s">
        <v>169</v>
      </c>
      <c r="F648" s="38">
        <v>100</v>
      </c>
      <c r="G648" t="s">
        <v>184</v>
      </c>
    </row>
    <row r="649" spans="1:7" x14ac:dyDescent="0.25">
      <c r="A649" s="10" t="s">
        <v>2895</v>
      </c>
      <c r="B649" s="10" t="s">
        <v>2976</v>
      </c>
      <c r="C649" t="str">
        <f>Table13[[#This Row],[Manufacturer]]&amp;" "&amp;Table13[[#This Row],[Model]]</f>
        <v>Gedore Torcofix 200 G</v>
      </c>
      <c r="D649" s="1">
        <v>6</v>
      </c>
      <c r="E649" s="1" t="s">
        <v>169</v>
      </c>
      <c r="F649" s="38">
        <v>200</v>
      </c>
      <c r="G649" t="s">
        <v>184</v>
      </c>
    </row>
    <row r="650" spans="1:7" x14ac:dyDescent="0.25">
      <c r="A650" s="10" t="s">
        <v>2895</v>
      </c>
      <c r="B650" s="10" t="s">
        <v>2975</v>
      </c>
      <c r="C650" t="str">
        <f>Table13[[#This Row],[Manufacturer]]&amp;" "&amp;Table13[[#This Row],[Model]]</f>
        <v>Gedore Torcofix 200 K</v>
      </c>
      <c r="D650" s="1">
        <v>4</v>
      </c>
      <c r="E650" s="1" t="s">
        <v>169</v>
      </c>
      <c r="F650" s="38">
        <v>200</v>
      </c>
      <c r="G650" t="s">
        <v>184</v>
      </c>
    </row>
    <row r="651" spans="1:7" x14ac:dyDescent="0.25">
      <c r="A651" s="10" t="s">
        <v>2895</v>
      </c>
      <c r="B651" s="10" t="s">
        <v>2974</v>
      </c>
      <c r="C651" t="str">
        <f>Table13[[#This Row],[Manufacturer]]&amp;" "&amp;Table13[[#This Row],[Model]]</f>
        <v>Gedore Torcofix 200 SE</v>
      </c>
      <c r="D651" s="1">
        <v>4</v>
      </c>
      <c r="E651" s="1" t="s">
        <v>169</v>
      </c>
      <c r="F651" s="38">
        <v>200</v>
      </c>
      <c r="G651" t="s">
        <v>184</v>
      </c>
    </row>
    <row r="652" spans="1:7" x14ac:dyDescent="0.25">
      <c r="A652" s="10" t="s">
        <v>2895</v>
      </c>
      <c r="B652" s="10" t="s">
        <v>2973</v>
      </c>
      <c r="C652" t="str">
        <f>Table13[[#This Row],[Manufacturer]]&amp;" "&amp;Table13[[#This Row],[Model]]</f>
        <v>Gedore Torcofix 200 Z</v>
      </c>
      <c r="D652" s="1">
        <v>4</v>
      </c>
      <c r="E652" s="1" t="s">
        <v>169</v>
      </c>
      <c r="F652" s="38">
        <v>200</v>
      </c>
      <c r="G652" t="s">
        <v>184</v>
      </c>
    </row>
    <row r="653" spans="1:7" x14ac:dyDescent="0.25">
      <c r="A653" s="10" t="s">
        <v>2895</v>
      </c>
      <c r="B653" s="10" t="s">
        <v>2972</v>
      </c>
      <c r="C653" t="str">
        <f>Table13[[#This Row],[Manufacturer]]&amp;" "&amp;Table13[[#This Row],[Model]]</f>
        <v>Gedore Torcofix 25 G</v>
      </c>
      <c r="D653" s="1">
        <v>4</v>
      </c>
      <c r="E653" s="1" t="s">
        <v>169</v>
      </c>
      <c r="F653" s="38">
        <v>25</v>
      </c>
      <c r="G653" t="s">
        <v>184</v>
      </c>
    </row>
    <row r="654" spans="1:7" x14ac:dyDescent="0.25">
      <c r="A654" s="10" t="s">
        <v>2895</v>
      </c>
      <c r="B654" s="10" t="s">
        <v>2971</v>
      </c>
      <c r="C654" t="str">
        <f>Table13[[#This Row],[Manufacturer]]&amp;" "&amp;Table13[[#This Row],[Model]]</f>
        <v>Gedore Torcofix 25 K</v>
      </c>
      <c r="D654" s="1">
        <v>4</v>
      </c>
      <c r="E654" s="1" t="s">
        <v>169</v>
      </c>
      <c r="F654" s="38">
        <v>25</v>
      </c>
      <c r="G654" t="s">
        <v>184</v>
      </c>
    </row>
    <row r="655" spans="1:7" x14ac:dyDescent="0.25">
      <c r="A655" s="10" t="s">
        <v>2895</v>
      </c>
      <c r="B655" s="10" t="s">
        <v>2970</v>
      </c>
      <c r="C655" t="str">
        <f>Table13[[#This Row],[Manufacturer]]&amp;" "&amp;Table13[[#This Row],[Model]]</f>
        <v>Gedore Torcofix 25 SE</v>
      </c>
      <c r="D655" s="1">
        <v>4</v>
      </c>
      <c r="E655" s="1" t="s">
        <v>169</v>
      </c>
      <c r="F655" s="38">
        <v>25</v>
      </c>
      <c r="G655" t="s">
        <v>184</v>
      </c>
    </row>
    <row r="656" spans="1:7" x14ac:dyDescent="0.25">
      <c r="A656" s="10" t="s">
        <v>2895</v>
      </c>
      <c r="B656" s="10" t="s">
        <v>2969</v>
      </c>
      <c r="C656" t="str">
        <f>Table13[[#This Row],[Manufacturer]]&amp;" "&amp;Table13[[#This Row],[Model]]</f>
        <v>Gedore Torcofix 25 Z</v>
      </c>
      <c r="D656" s="1">
        <v>4</v>
      </c>
      <c r="E656" s="1" t="s">
        <v>169</v>
      </c>
      <c r="F656" s="38">
        <v>25</v>
      </c>
      <c r="G656" t="s">
        <v>184</v>
      </c>
    </row>
    <row r="657" spans="1:7" x14ac:dyDescent="0.25">
      <c r="A657" s="10" t="s">
        <v>2895</v>
      </c>
      <c r="B657" s="10" t="s">
        <v>2968</v>
      </c>
      <c r="C657" t="str">
        <f>Table13[[#This Row],[Manufacturer]]&amp;" "&amp;Table13[[#This Row],[Model]]</f>
        <v>Gedore Torcofix 300 K</v>
      </c>
      <c r="D657" s="1">
        <v>4</v>
      </c>
      <c r="E657" s="1" t="s">
        <v>169</v>
      </c>
      <c r="F657" s="38">
        <v>300</v>
      </c>
      <c r="G657" t="s">
        <v>184</v>
      </c>
    </row>
    <row r="658" spans="1:7" x14ac:dyDescent="0.25">
      <c r="A658" s="10" t="s">
        <v>2895</v>
      </c>
      <c r="B658" s="10" t="s">
        <v>2967</v>
      </c>
      <c r="C658" t="str">
        <f>Table13[[#This Row],[Manufacturer]]&amp;" "&amp;Table13[[#This Row],[Model]]</f>
        <v>Gedore Torcofix 300 SE</v>
      </c>
      <c r="D658" s="1">
        <v>4</v>
      </c>
      <c r="E658" s="1" t="s">
        <v>169</v>
      </c>
      <c r="F658" s="38">
        <v>300</v>
      </c>
      <c r="G658" t="s">
        <v>184</v>
      </c>
    </row>
    <row r="659" spans="1:7" x14ac:dyDescent="0.25">
      <c r="A659" s="10" t="s">
        <v>2895</v>
      </c>
      <c r="B659" s="10" t="s">
        <v>2966</v>
      </c>
      <c r="C659" t="str">
        <f>Table13[[#This Row],[Manufacturer]]&amp;" "&amp;Table13[[#This Row],[Model]]</f>
        <v>Gedore Torcofix 300 Z</v>
      </c>
      <c r="D659" s="1">
        <v>4</v>
      </c>
      <c r="E659" s="1" t="s">
        <v>169</v>
      </c>
      <c r="F659" s="38">
        <v>300</v>
      </c>
      <c r="G659" t="s">
        <v>184</v>
      </c>
    </row>
    <row r="660" spans="1:7" x14ac:dyDescent="0.25">
      <c r="A660" s="10" t="s">
        <v>2895</v>
      </c>
      <c r="B660" s="10" t="s">
        <v>2965</v>
      </c>
      <c r="C660" t="str">
        <f>Table13[[#This Row],[Manufacturer]]&amp;" "&amp;Table13[[#This Row],[Model]]</f>
        <v>Gedore Torcofix 400 K</v>
      </c>
      <c r="D660" s="1">
        <v>4</v>
      </c>
      <c r="E660" s="1" t="s">
        <v>169</v>
      </c>
      <c r="F660" s="38">
        <v>400</v>
      </c>
      <c r="G660" t="s">
        <v>184</v>
      </c>
    </row>
    <row r="661" spans="1:7" x14ac:dyDescent="0.25">
      <c r="A661" s="10" t="s">
        <v>2895</v>
      </c>
      <c r="B661" s="10" t="s">
        <v>2964</v>
      </c>
      <c r="C661" t="str">
        <f>Table13[[#This Row],[Manufacturer]]&amp;" "&amp;Table13[[#This Row],[Model]]</f>
        <v>Gedore Torcofix 400 SE</v>
      </c>
      <c r="D661" s="1">
        <v>4</v>
      </c>
      <c r="E661" s="1" t="s">
        <v>169</v>
      </c>
      <c r="F661" s="38">
        <v>400</v>
      </c>
      <c r="G661" t="s">
        <v>184</v>
      </c>
    </row>
    <row r="662" spans="1:7" x14ac:dyDescent="0.25">
      <c r="A662" s="10" t="s">
        <v>2895</v>
      </c>
      <c r="B662" s="10" t="s">
        <v>2963</v>
      </c>
      <c r="C662" t="str">
        <f>Table13[[#This Row],[Manufacturer]]&amp;" "&amp;Table13[[#This Row],[Model]]</f>
        <v>Gedore Torcofix 400 Z</v>
      </c>
      <c r="D662" s="1">
        <v>4</v>
      </c>
      <c r="E662" s="1" t="s">
        <v>169</v>
      </c>
      <c r="F662" s="38">
        <v>400</v>
      </c>
      <c r="G662" t="s">
        <v>184</v>
      </c>
    </row>
    <row r="663" spans="1:7" x14ac:dyDescent="0.25">
      <c r="A663" s="10" t="s">
        <v>2895</v>
      </c>
      <c r="B663" s="10" t="s">
        <v>2962</v>
      </c>
      <c r="C663" t="str">
        <f>Table13[[#This Row],[Manufacturer]]&amp;" "&amp;Table13[[#This Row],[Model]]</f>
        <v>Gedore Torcofix 5 K</v>
      </c>
      <c r="D663" s="1">
        <v>4</v>
      </c>
      <c r="E663" s="1" t="s">
        <v>169</v>
      </c>
      <c r="F663" s="38">
        <v>5</v>
      </c>
      <c r="G663" t="s">
        <v>184</v>
      </c>
    </row>
    <row r="664" spans="1:7" x14ac:dyDescent="0.25">
      <c r="A664" s="10" t="s">
        <v>2895</v>
      </c>
      <c r="B664" s="10" t="s">
        <v>2961</v>
      </c>
      <c r="C664" t="str">
        <f>Table13[[#This Row],[Manufacturer]]&amp;" "&amp;Table13[[#This Row],[Model]]</f>
        <v>Gedore Torcofix 50 G</v>
      </c>
      <c r="D664" s="1">
        <v>4</v>
      </c>
      <c r="E664" s="1" t="s">
        <v>169</v>
      </c>
      <c r="F664" s="38">
        <v>50</v>
      </c>
      <c r="G664" t="s">
        <v>184</v>
      </c>
    </row>
    <row r="665" spans="1:7" x14ac:dyDescent="0.25">
      <c r="A665" s="10" t="s">
        <v>2895</v>
      </c>
      <c r="B665" s="10" t="s">
        <v>2960</v>
      </c>
      <c r="C665" t="str">
        <f>Table13[[#This Row],[Manufacturer]]&amp;" "&amp;Table13[[#This Row],[Model]]</f>
        <v>Gedore Torcofix 50 K</v>
      </c>
      <c r="D665" s="1">
        <v>4</v>
      </c>
      <c r="E665" s="1" t="s">
        <v>169</v>
      </c>
      <c r="F665" s="38">
        <v>50</v>
      </c>
      <c r="G665" t="s">
        <v>184</v>
      </c>
    </row>
    <row r="666" spans="1:7" x14ac:dyDescent="0.25">
      <c r="A666" s="10" t="s">
        <v>2895</v>
      </c>
      <c r="B666" s="10" t="s">
        <v>2959</v>
      </c>
      <c r="C666" t="str">
        <f>Table13[[#This Row],[Manufacturer]]&amp;" "&amp;Table13[[#This Row],[Model]]</f>
        <v>Gedore Torcofix 50 SE</v>
      </c>
      <c r="D666" s="1">
        <v>4</v>
      </c>
      <c r="E666" s="1" t="s">
        <v>169</v>
      </c>
      <c r="F666" s="38">
        <v>50</v>
      </c>
      <c r="G666" t="s">
        <v>184</v>
      </c>
    </row>
    <row r="667" spans="1:7" x14ac:dyDescent="0.25">
      <c r="A667" s="10" t="s">
        <v>2895</v>
      </c>
      <c r="B667" s="10" t="s">
        <v>2958</v>
      </c>
      <c r="C667" t="str">
        <f>Table13[[#This Row],[Manufacturer]]&amp;" "&amp;Table13[[#This Row],[Model]]</f>
        <v>Gedore Torcofix 50 Z</v>
      </c>
      <c r="D667" s="1">
        <v>4</v>
      </c>
      <c r="E667" s="1" t="s">
        <v>169</v>
      </c>
      <c r="F667" s="38">
        <v>50</v>
      </c>
      <c r="G667" t="s">
        <v>184</v>
      </c>
    </row>
    <row r="668" spans="1:7" x14ac:dyDescent="0.25">
      <c r="A668" s="10" t="s">
        <v>2895</v>
      </c>
      <c r="B668" s="10" t="s">
        <v>2957</v>
      </c>
      <c r="C668" t="str">
        <f>Table13[[#This Row],[Manufacturer]]&amp;" "&amp;Table13[[#This Row],[Model]]</f>
        <v>Gedore Torcofix 550 K</v>
      </c>
      <c r="D668" s="1">
        <v>4</v>
      </c>
      <c r="E668" s="1" t="s">
        <v>169</v>
      </c>
      <c r="F668" s="38">
        <v>550</v>
      </c>
      <c r="G668" t="s">
        <v>184</v>
      </c>
    </row>
    <row r="669" spans="1:7" x14ac:dyDescent="0.25">
      <c r="A669" s="10" t="s">
        <v>2895</v>
      </c>
      <c r="B669" s="10" t="s">
        <v>2956</v>
      </c>
      <c r="C669" t="str">
        <f>Table13[[#This Row],[Manufacturer]]&amp;" "&amp;Table13[[#This Row],[Model]]</f>
        <v>Gedore Torcofix 750 K</v>
      </c>
      <c r="D669" s="1">
        <v>4</v>
      </c>
      <c r="E669" s="1" t="s">
        <v>169</v>
      </c>
      <c r="F669" s="38">
        <v>750</v>
      </c>
      <c r="G669" t="s">
        <v>184</v>
      </c>
    </row>
    <row r="670" spans="1:7" x14ac:dyDescent="0.25">
      <c r="A670" s="10" t="s">
        <v>2895</v>
      </c>
      <c r="B670" s="10" t="s">
        <v>2955</v>
      </c>
      <c r="C670" t="str">
        <f>Table13[[#This Row],[Manufacturer]]&amp;" "&amp;Table13[[#This Row],[Model]]</f>
        <v>Gedore Torcofix 85 G</v>
      </c>
      <c r="D670" s="1">
        <v>4</v>
      </c>
      <c r="E670" s="1" t="s">
        <v>169</v>
      </c>
      <c r="F670" s="38">
        <v>85</v>
      </c>
      <c r="G670" t="s">
        <v>184</v>
      </c>
    </row>
    <row r="671" spans="1:7" x14ac:dyDescent="0.25">
      <c r="A671" s="10" t="s">
        <v>2895</v>
      </c>
      <c r="B671" s="10" t="s">
        <v>2954</v>
      </c>
      <c r="C671" t="str">
        <f>Table13[[#This Row],[Manufacturer]]&amp;" "&amp;Table13[[#This Row],[Model]]</f>
        <v>Gedore Torcofix-Z</v>
      </c>
      <c r="D671" s="1">
        <v>3</v>
      </c>
      <c r="E671" s="1" t="s">
        <v>169</v>
      </c>
      <c r="F671" s="38">
        <v>50</v>
      </c>
      <c r="G671" t="s">
        <v>184</v>
      </c>
    </row>
    <row r="672" spans="1:7" x14ac:dyDescent="0.25">
      <c r="A672" s="10" t="s">
        <v>2895</v>
      </c>
      <c r="B672" s="10" t="s">
        <v>2953</v>
      </c>
      <c r="C672" t="str">
        <f>Table13[[#This Row],[Manufacturer]]&amp;" "&amp;Table13[[#This Row],[Model]]</f>
        <v>Gedore TSC 10</v>
      </c>
      <c r="D672" s="1">
        <v>6</v>
      </c>
      <c r="E672" s="1" t="s">
        <v>169</v>
      </c>
      <c r="F672" s="38">
        <v>10</v>
      </c>
      <c r="G672" t="s">
        <v>184</v>
      </c>
    </row>
    <row r="673" spans="1:7" x14ac:dyDescent="0.25">
      <c r="A673" s="10" t="s">
        <v>2895</v>
      </c>
      <c r="B673" s="10" t="s">
        <v>2952</v>
      </c>
      <c r="C673" t="str">
        <f>Table13[[#This Row],[Manufacturer]]&amp;" "&amp;Table13[[#This Row],[Model]]</f>
        <v>Gedore TSC 45</v>
      </c>
      <c r="D673" s="1">
        <v>6</v>
      </c>
      <c r="E673" s="1" t="s">
        <v>169</v>
      </c>
      <c r="F673" s="38">
        <v>45</v>
      </c>
      <c r="G673" t="s">
        <v>164</v>
      </c>
    </row>
    <row r="674" spans="1:7" x14ac:dyDescent="0.25">
      <c r="A674" s="10" t="s">
        <v>2895</v>
      </c>
      <c r="B674" s="10" t="s">
        <v>2951</v>
      </c>
      <c r="C674" t="str">
        <f>Table13[[#This Row],[Manufacturer]]&amp;" "&amp;Table13[[#This Row],[Model]]</f>
        <v>Gedore TSC 5</v>
      </c>
      <c r="D674" s="1">
        <v>6</v>
      </c>
      <c r="E674" s="1" t="s">
        <v>169</v>
      </c>
      <c r="F674" s="38">
        <v>5</v>
      </c>
      <c r="G674" t="s">
        <v>184</v>
      </c>
    </row>
    <row r="675" spans="1:7" x14ac:dyDescent="0.25">
      <c r="A675" s="10" t="s">
        <v>2895</v>
      </c>
      <c r="B675" s="10" t="s">
        <v>2950</v>
      </c>
      <c r="C675" t="str">
        <f>Table13[[#This Row],[Manufacturer]]&amp;" "&amp;Table13[[#This Row],[Model]]</f>
        <v>Gedore TSC 90</v>
      </c>
      <c r="D675" s="1">
        <v>6</v>
      </c>
      <c r="E675" s="1" t="s">
        <v>169</v>
      </c>
      <c r="F675" s="38">
        <v>90</v>
      </c>
      <c r="G675" t="s">
        <v>164</v>
      </c>
    </row>
    <row r="676" spans="1:7" x14ac:dyDescent="0.25">
      <c r="A676" s="10" t="s">
        <v>2895</v>
      </c>
      <c r="B676" s="10" t="s">
        <v>2949</v>
      </c>
      <c r="C676" t="str">
        <f>Table13[[#This Row],[Manufacturer]]&amp;" "&amp;Table13[[#This Row],[Model]]</f>
        <v>Gedore TSN 10/90</v>
      </c>
      <c r="D676" s="1">
        <v>6</v>
      </c>
      <c r="E676" s="1" t="s">
        <v>169</v>
      </c>
      <c r="F676" s="38">
        <v>90</v>
      </c>
      <c r="G676" t="s">
        <v>164</v>
      </c>
    </row>
    <row r="677" spans="1:7" x14ac:dyDescent="0.25">
      <c r="A677" s="10" t="s">
        <v>2895</v>
      </c>
      <c r="B677" s="10" t="s">
        <v>2948</v>
      </c>
      <c r="C677" t="str">
        <f>Table13[[#This Row],[Manufacturer]]&amp;" "&amp;Table13[[#This Row],[Model]]</f>
        <v>Gedore TSN 125</v>
      </c>
      <c r="D677" s="1">
        <v>4</v>
      </c>
      <c r="E677" s="1" t="s">
        <v>169</v>
      </c>
      <c r="F677" s="38">
        <v>125</v>
      </c>
      <c r="G677" t="s">
        <v>184</v>
      </c>
    </row>
    <row r="678" spans="1:7" x14ac:dyDescent="0.25">
      <c r="A678" s="10" t="s">
        <v>2895</v>
      </c>
      <c r="B678" s="10" t="s">
        <v>2947</v>
      </c>
      <c r="C678" t="str">
        <f>Table13[[#This Row],[Manufacturer]]&amp;" "&amp;Table13[[#This Row],[Model]]</f>
        <v>Gedore TSN 25 A</v>
      </c>
      <c r="D678" s="1">
        <v>4</v>
      </c>
      <c r="E678" s="1" t="s">
        <v>169</v>
      </c>
      <c r="F678" s="38">
        <v>25</v>
      </c>
      <c r="G678" t="s">
        <v>184</v>
      </c>
    </row>
    <row r="679" spans="1:7" x14ac:dyDescent="0.25">
      <c r="A679" s="10" t="s">
        <v>2895</v>
      </c>
      <c r="B679" s="10" t="s">
        <v>2946</v>
      </c>
      <c r="C679" t="str">
        <f>Table13[[#This Row],[Manufacturer]]&amp;" "&amp;Table13[[#This Row],[Model]]</f>
        <v>Gedore TSN 25 D</v>
      </c>
      <c r="D679" s="1">
        <v>4</v>
      </c>
      <c r="E679" s="1" t="s">
        <v>169</v>
      </c>
      <c r="F679" s="38">
        <v>25</v>
      </c>
      <c r="G679" t="s">
        <v>184</v>
      </c>
    </row>
    <row r="680" spans="1:7" x14ac:dyDescent="0.25">
      <c r="A680" s="10" t="s">
        <v>2895</v>
      </c>
      <c r="B680" s="10" t="s">
        <v>2945</v>
      </c>
      <c r="C680" t="str">
        <f>Table13[[#This Row],[Manufacturer]]&amp;" "&amp;Table13[[#This Row],[Model]]</f>
        <v>Gedore TSN 5/45</v>
      </c>
      <c r="D680" s="1">
        <v>6</v>
      </c>
      <c r="E680" s="1" t="s">
        <v>169</v>
      </c>
      <c r="F680" s="38">
        <v>45</v>
      </c>
      <c r="G680" t="s">
        <v>164</v>
      </c>
    </row>
    <row r="681" spans="1:7" x14ac:dyDescent="0.25">
      <c r="A681" s="10" t="s">
        <v>2895</v>
      </c>
      <c r="B681" s="10" t="s">
        <v>2944</v>
      </c>
      <c r="C681" t="str">
        <f>Table13[[#This Row],[Manufacturer]]&amp;" "&amp;Table13[[#This Row],[Model]]</f>
        <v>Gedore TSN 55</v>
      </c>
      <c r="D681" s="1">
        <v>4</v>
      </c>
      <c r="E681" s="1" t="s">
        <v>169</v>
      </c>
      <c r="F681" s="38">
        <v>55</v>
      </c>
      <c r="G681" t="s">
        <v>184</v>
      </c>
    </row>
    <row r="682" spans="1:7" x14ac:dyDescent="0.25">
      <c r="A682" s="10" t="s">
        <v>2895</v>
      </c>
      <c r="B682" s="10" t="s">
        <v>2560</v>
      </c>
      <c r="C682" t="str">
        <f>Table13[[#This Row],[Manufacturer]]&amp;" "&amp;Table13[[#This Row],[Model]]</f>
        <v>Gedore TSN25A</v>
      </c>
      <c r="D682" s="1">
        <v>4</v>
      </c>
      <c r="E682" s="1" t="s">
        <v>169</v>
      </c>
      <c r="F682" s="38">
        <v>25</v>
      </c>
      <c r="G682" t="s">
        <v>184</v>
      </c>
    </row>
    <row r="683" spans="1:7" x14ac:dyDescent="0.25">
      <c r="A683" s="10" t="s">
        <v>2895</v>
      </c>
      <c r="B683" s="10" t="s">
        <v>2559</v>
      </c>
      <c r="C683" t="str">
        <f>Table13[[#This Row],[Manufacturer]]&amp;" "&amp;Table13[[#This Row],[Model]]</f>
        <v>Gedore TSN25D</v>
      </c>
      <c r="D683" s="1">
        <v>4</v>
      </c>
      <c r="E683" s="1" t="s">
        <v>169</v>
      </c>
      <c r="F683" s="38">
        <v>25</v>
      </c>
      <c r="G683" t="s">
        <v>184</v>
      </c>
    </row>
    <row r="684" spans="1:7" x14ac:dyDescent="0.25">
      <c r="A684" s="10" t="s">
        <v>2895</v>
      </c>
      <c r="B684" s="10" t="s">
        <v>2943</v>
      </c>
      <c r="C684" t="str">
        <f>Table13[[#This Row],[Manufacturer]]&amp;" "&amp;Table13[[#This Row],[Model]]</f>
        <v>Gedore TSP 10</v>
      </c>
      <c r="D684" s="1">
        <v>6</v>
      </c>
      <c r="E684" s="1" t="s">
        <v>169</v>
      </c>
      <c r="F684" s="38">
        <v>10</v>
      </c>
      <c r="G684" t="s">
        <v>184</v>
      </c>
    </row>
    <row r="685" spans="1:7" x14ac:dyDescent="0.25">
      <c r="A685" s="10" t="s">
        <v>2895</v>
      </c>
      <c r="B685" s="10" t="s">
        <v>2942</v>
      </c>
      <c r="C685" t="str">
        <f>Table13[[#This Row],[Manufacturer]]&amp;" "&amp;Table13[[#This Row],[Model]]</f>
        <v>Gedore TSP 5</v>
      </c>
      <c r="D685" s="1">
        <v>6</v>
      </c>
      <c r="E685" s="1" t="s">
        <v>169</v>
      </c>
      <c r="F685" s="38">
        <v>5</v>
      </c>
      <c r="G685" t="s">
        <v>184</v>
      </c>
    </row>
    <row r="686" spans="1:7" x14ac:dyDescent="0.25">
      <c r="A686" s="10" t="s">
        <v>2895</v>
      </c>
      <c r="B686" s="10" t="s">
        <v>2941</v>
      </c>
      <c r="C686" t="str">
        <f>Table13[[#This Row],[Manufacturer]]&amp;" "&amp;Table13[[#This Row],[Model]]</f>
        <v>Gedore QSA12 FH</v>
      </c>
      <c r="D686" s="1">
        <v>6</v>
      </c>
      <c r="E686" s="1" t="s">
        <v>169</v>
      </c>
      <c r="F686" s="38">
        <v>12</v>
      </c>
      <c r="G686" t="s">
        <v>164</v>
      </c>
    </row>
    <row r="687" spans="1:7" x14ac:dyDescent="0.25">
      <c r="A687" s="10" t="s">
        <v>2895</v>
      </c>
      <c r="B687" s="10" t="s">
        <v>2940</v>
      </c>
      <c r="C687" t="str">
        <f>Table13[[#This Row],[Manufacturer]]&amp;" "&amp;Table13[[#This Row],[Model]]</f>
        <v>Gedore QSA160 FH</v>
      </c>
      <c r="D687" s="1">
        <v>6</v>
      </c>
      <c r="E687" s="1" t="s">
        <v>169</v>
      </c>
      <c r="F687" s="38">
        <v>160</v>
      </c>
      <c r="G687" t="s">
        <v>172</v>
      </c>
    </row>
    <row r="688" spans="1:7" x14ac:dyDescent="0.25">
      <c r="A688" s="10" t="s">
        <v>2895</v>
      </c>
      <c r="B688" s="10" t="s">
        <v>2939</v>
      </c>
      <c r="C688" t="str">
        <f>Table13[[#This Row],[Manufacturer]]&amp;" "&amp;Table13[[#This Row],[Model]]</f>
        <v>Gedore QSA4 FH</v>
      </c>
      <c r="D688" s="1">
        <v>6</v>
      </c>
      <c r="E688" s="1" t="s">
        <v>169</v>
      </c>
      <c r="F688" s="38">
        <v>4</v>
      </c>
      <c r="G688" t="s">
        <v>164</v>
      </c>
    </row>
    <row r="689" spans="1:7" x14ac:dyDescent="0.25">
      <c r="A689" s="10" t="s">
        <v>2895</v>
      </c>
      <c r="B689" s="10" t="s">
        <v>2938</v>
      </c>
      <c r="C689" t="str">
        <f>Table13[[#This Row],[Manufacturer]]&amp;" "&amp;Table13[[#This Row],[Model]]</f>
        <v>Gedore QSA50 FH</v>
      </c>
      <c r="D689" s="1">
        <v>6</v>
      </c>
      <c r="E689" s="1" t="s">
        <v>169</v>
      </c>
      <c r="F689" s="38">
        <v>50</v>
      </c>
      <c r="G689" t="s">
        <v>164</v>
      </c>
    </row>
    <row r="690" spans="1:7" x14ac:dyDescent="0.25">
      <c r="A690" s="10" t="s">
        <v>2895</v>
      </c>
      <c r="B690" s="10" t="s">
        <v>2937</v>
      </c>
      <c r="C690" t="str">
        <f>Table13[[#This Row],[Manufacturer]]&amp;" "&amp;Table13[[#This Row],[Model]]</f>
        <v>Gedore QSA60 FH</v>
      </c>
      <c r="D690" s="1">
        <v>6</v>
      </c>
      <c r="E690" s="1" t="s">
        <v>169</v>
      </c>
      <c r="F690" s="38">
        <v>60</v>
      </c>
      <c r="G690" t="s">
        <v>172</v>
      </c>
    </row>
    <row r="691" spans="1:7" x14ac:dyDescent="0.25">
      <c r="A691" s="10" t="s">
        <v>2895</v>
      </c>
      <c r="B691" s="10" t="s">
        <v>2936</v>
      </c>
      <c r="C691" t="str">
        <f>Table13[[#This Row],[Manufacturer]]&amp;" "&amp;Table13[[#This Row],[Model]]</f>
        <v>Gedore QSA60Z FH</v>
      </c>
      <c r="D691" s="1">
        <v>6</v>
      </c>
      <c r="E691" s="1" t="s">
        <v>169</v>
      </c>
      <c r="F691" s="38">
        <v>60</v>
      </c>
      <c r="G691" t="s">
        <v>172</v>
      </c>
    </row>
    <row r="692" spans="1:7" x14ac:dyDescent="0.25">
      <c r="A692" s="10" t="s">
        <v>2895</v>
      </c>
      <c r="B692" s="10" t="s">
        <v>2935</v>
      </c>
      <c r="C692" t="str">
        <f>Table13[[#This Row],[Manufacturer]]&amp;" "&amp;Table13[[#This Row],[Model]]</f>
        <v>Gedore QSA80 FH</v>
      </c>
      <c r="D692" s="1">
        <v>6</v>
      </c>
      <c r="E692" s="1" t="s">
        <v>169</v>
      </c>
      <c r="F692" s="38">
        <v>80</v>
      </c>
      <c r="G692" t="s">
        <v>164</v>
      </c>
    </row>
    <row r="693" spans="1:7" x14ac:dyDescent="0.25">
      <c r="A693" s="10" t="s">
        <v>2895</v>
      </c>
      <c r="B693" s="10" t="s">
        <v>2934</v>
      </c>
      <c r="C693" t="str">
        <f>Table13[[#This Row],[Manufacturer]]&amp;" "&amp;Table13[[#This Row],[Model]]</f>
        <v>Gedore QSN120 FH</v>
      </c>
      <c r="D693" s="1">
        <v>6</v>
      </c>
      <c r="E693" s="1" t="s">
        <v>169</v>
      </c>
      <c r="F693" s="38">
        <v>120</v>
      </c>
      <c r="G693" t="s">
        <v>187</v>
      </c>
    </row>
    <row r="694" spans="1:7" x14ac:dyDescent="0.25">
      <c r="A694" s="10" t="s">
        <v>2895</v>
      </c>
      <c r="B694" s="10" t="s">
        <v>2933</v>
      </c>
      <c r="C694" t="str">
        <f>Table13[[#This Row],[Manufacturer]]&amp;" "&amp;Table13[[#This Row],[Model]]</f>
        <v>Gedore QSN40 FH</v>
      </c>
      <c r="D694" s="1">
        <v>6</v>
      </c>
      <c r="E694" s="1" t="s">
        <v>169</v>
      </c>
      <c r="F694" s="38">
        <v>0.4</v>
      </c>
      <c r="G694" t="s">
        <v>184</v>
      </c>
    </row>
    <row r="695" spans="1:7" x14ac:dyDescent="0.25">
      <c r="A695" s="10" t="s">
        <v>2895</v>
      </c>
      <c r="B695" s="10" t="s">
        <v>2932</v>
      </c>
      <c r="C695" t="str">
        <f>Table13[[#This Row],[Manufacturer]]&amp;" "&amp;Table13[[#This Row],[Model]]</f>
        <v>Gedore QSN600 FH</v>
      </c>
      <c r="D695" s="1">
        <v>6</v>
      </c>
      <c r="E695" s="1" t="s">
        <v>169</v>
      </c>
      <c r="F695" s="38">
        <v>6</v>
      </c>
      <c r="G695" t="s">
        <v>184</v>
      </c>
    </row>
    <row r="696" spans="1:7" x14ac:dyDescent="0.25">
      <c r="A696" s="10" t="s">
        <v>2895</v>
      </c>
      <c r="B696" s="10" t="s">
        <v>2931</v>
      </c>
      <c r="C696" t="str">
        <f>Table13[[#This Row],[Manufacturer]]&amp;" "&amp;Table13[[#This Row],[Model]]</f>
        <v>Gedore QSN900 FH</v>
      </c>
      <c r="D696" s="1">
        <v>6</v>
      </c>
      <c r="E696" s="1" t="s">
        <v>169</v>
      </c>
      <c r="F696" s="38">
        <v>9</v>
      </c>
      <c r="G696" t="s">
        <v>184</v>
      </c>
    </row>
    <row r="697" spans="1:7" x14ac:dyDescent="0.25">
      <c r="A697" s="10" t="s">
        <v>2895</v>
      </c>
      <c r="B697" s="10" t="s">
        <v>2930</v>
      </c>
      <c r="C697" t="str">
        <f>Table13[[#This Row],[Manufacturer]]&amp;" "&amp;Table13[[#This Row],[Model]]</f>
        <v>Gedore ATB 10 lbf in</v>
      </c>
      <c r="D697" s="1">
        <v>6</v>
      </c>
      <c r="E697" s="1" t="s">
        <v>169</v>
      </c>
      <c r="F697" s="38">
        <v>90</v>
      </c>
      <c r="G697" t="s">
        <v>164</v>
      </c>
    </row>
    <row r="698" spans="1:7" x14ac:dyDescent="0.25">
      <c r="A698" s="10" t="s">
        <v>2895</v>
      </c>
      <c r="B698" s="10" t="s">
        <v>2929</v>
      </c>
      <c r="C698" t="str">
        <f>Table13[[#This Row],[Manufacturer]]&amp;" "&amp;Table13[[#This Row],[Model]]</f>
        <v>Gedore ATB 10 Nm</v>
      </c>
      <c r="D698" s="1">
        <v>6</v>
      </c>
      <c r="E698" s="1" t="s">
        <v>169</v>
      </c>
      <c r="F698" s="38">
        <v>10</v>
      </c>
      <c r="G698" t="s">
        <v>184</v>
      </c>
    </row>
    <row r="699" spans="1:7" x14ac:dyDescent="0.25">
      <c r="A699" s="10" t="s">
        <v>2895</v>
      </c>
      <c r="B699" s="10" t="s">
        <v>2928</v>
      </c>
      <c r="C699" t="str">
        <f>Table13[[#This Row],[Manufacturer]]&amp;" "&amp;Table13[[#This Row],[Model]]</f>
        <v>Gedore ATB 10G lbf in</v>
      </c>
      <c r="D699" s="1">
        <v>6</v>
      </c>
      <c r="E699" s="1" t="s">
        <v>169</v>
      </c>
      <c r="F699" s="38">
        <v>90</v>
      </c>
      <c r="G699" t="s">
        <v>164</v>
      </c>
    </row>
    <row r="700" spans="1:7" x14ac:dyDescent="0.25">
      <c r="A700" s="10" t="s">
        <v>2895</v>
      </c>
      <c r="B700" s="10" t="s">
        <v>2927</v>
      </c>
      <c r="C700" t="str">
        <f>Table13[[#This Row],[Manufacturer]]&amp;" "&amp;Table13[[#This Row],[Model]]</f>
        <v>Gedore ATB 10G Nm</v>
      </c>
      <c r="D700" s="1">
        <v>6</v>
      </c>
      <c r="E700" s="1" t="s">
        <v>169</v>
      </c>
      <c r="F700" s="38">
        <v>10</v>
      </c>
      <c r="G700" t="s">
        <v>184</v>
      </c>
    </row>
    <row r="701" spans="1:7" x14ac:dyDescent="0.25">
      <c r="A701" s="10" t="s">
        <v>2895</v>
      </c>
      <c r="B701" s="10" t="s">
        <v>2926</v>
      </c>
      <c r="C701" t="str">
        <f>Table13[[#This Row],[Manufacturer]]&amp;" "&amp;Table13[[#This Row],[Model]]</f>
        <v>Gedore ATB 2.5 cNm</v>
      </c>
      <c r="D701" s="1">
        <v>6</v>
      </c>
      <c r="E701" s="1" t="s">
        <v>169</v>
      </c>
      <c r="F701" s="38">
        <v>250</v>
      </c>
      <c r="G701" t="s">
        <v>372</v>
      </c>
    </row>
    <row r="702" spans="1:7" x14ac:dyDescent="0.25">
      <c r="A702" s="10" t="s">
        <v>2895</v>
      </c>
      <c r="B702" s="10" t="s">
        <v>2925</v>
      </c>
      <c r="C702" t="str">
        <f>Table13[[#This Row],[Manufacturer]]&amp;" "&amp;Table13[[#This Row],[Model]]</f>
        <v>Gedore ATB 2.5 lbf in</v>
      </c>
      <c r="D702" s="1">
        <v>6</v>
      </c>
      <c r="E702" s="1" t="s">
        <v>169</v>
      </c>
      <c r="F702" s="38">
        <v>22.5</v>
      </c>
      <c r="G702" t="s">
        <v>164</v>
      </c>
    </row>
    <row r="703" spans="1:7" x14ac:dyDescent="0.25">
      <c r="A703" s="10" t="s">
        <v>2895</v>
      </c>
      <c r="B703" s="10" t="s">
        <v>2924</v>
      </c>
      <c r="C703" t="str">
        <f>Table13[[#This Row],[Manufacturer]]&amp;" "&amp;Table13[[#This Row],[Model]]</f>
        <v>Gedore ATB 2.5G cNm</v>
      </c>
      <c r="D703" s="1">
        <v>6</v>
      </c>
      <c r="E703" s="1" t="s">
        <v>169</v>
      </c>
      <c r="F703" s="38">
        <v>250</v>
      </c>
      <c r="G703" t="s">
        <v>372</v>
      </c>
    </row>
    <row r="704" spans="1:7" x14ac:dyDescent="0.25">
      <c r="A704" s="10" t="s">
        <v>2895</v>
      </c>
      <c r="B704" s="10" t="s">
        <v>2923</v>
      </c>
      <c r="C704" t="str">
        <f>Table13[[#This Row],[Manufacturer]]&amp;" "&amp;Table13[[#This Row],[Model]]</f>
        <v>Gedore ATB 2.5G lbf in</v>
      </c>
      <c r="D704" s="1">
        <v>6</v>
      </c>
      <c r="E704" s="1" t="s">
        <v>169</v>
      </c>
      <c r="F704" s="38">
        <v>22.5</v>
      </c>
      <c r="G704" t="s">
        <v>164</v>
      </c>
    </row>
    <row r="705" spans="1:7" x14ac:dyDescent="0.25">
      <c r="A705" s="10" t="s">
        <v>2895</v>
      </c>
      <c r="B705" s="10" t="s">
        <v>2922</v>
      </c>
      <c r="C705" t="str">
        <f>Table13[[#This Row],[Manufacturer]]&amp;" "&amp;Table13[[#This Row],[Model]]</f>
        <v>Gedore ATB 5 lbf in</v>
      </c>
      <c r="D705" s="1">
        <v>6</v>
      </c>
      <c r="E705" s="1" t="s">
        <v>169</v>
      </c>
      <c r="F705" s="38">
        <v>45</v>
      </c>
      <c r="G705" t="s">
        <v>164</v>
      </c>
    </row>
    <row r="706" spans="1:7" x14ac:dyDescent="0.25">
      <c r="A706" s="10" t="s">
        <v>2895</v>
      </c>
      <c r="B706" s="10" t="s">
        <v>2921</v>
      </c>
      <c r="C706" t="str">
        <f>Table13[[#This Row],[Manufacturer]]&amp;" "&amp;Table13[[#This Row],[Model]]</f>
        <v>Gedore ATB 5 Nm</v>
      </c>
      <c r="D706" s="1">
        <v>6</v>
      </c>
      <c r="E706" s="1" t="s">
        <v>169</v>
      </c>
      <c r="F706" s="38">
        <v>5</v>
      </c>
      <c r="G706" t="s">
        <v>184</v>
      </c>
    </row>
    <row r="707" spans="1:7" x14ac:dyDescent="0.25">
      <c r="A707" s="10" t="s">
        <v>2895</v>
      </c>
      <c r="B707" s="10" t="s">
        <v>2920</v>
      </c>
      <c r="C707" t="str">
        <f>Table13[[#This Row],[Manufacturer]]&amp;" "&amp;Table13[[#This Row],[Model]]</f>
        <v>Gedore ATB 5G lbf in</v>
      </c>
      <c r="D707" s="1">
        <v>6</v>
      </c>
      <c r="E707" s="1" t="s">
        <v>169</v>
      </c>
      <c r="F707" s="38">
        <v>45</v>
      </c>
      <c r="G707" t="s">
        <v>164</v>
      </c>
    </row>
    <row r="708" spans="1:7" x14ac:dyDescent="0.25">
      <c r="A708" s="10" t="s">
        <v>2895</v>
      </c>
      <c r="B708" s="10" t="s">
        <v>2919</v>
      </c>
      <c r="C708" t="str">
        <f>Table13[[#This Row],[Manufacturer]]&amp;" "&amp;Table13[[#This Row],[Model]]</f>
        <v>Gedore ATB 5G Nm</v>
      </c>
      <c r="D708" s="1">
        <v>6</v>
      </c>
      <c r="E708" s="1" t="s">
        <v>169</v>
      </c>
      <c r="F708" s="38">
        <v>5</v>
      </c>
      <c r="G708" t="s">
        <v>184</v>
      </c>
    </row>
    <row r="709" spans="1:7" x14ac:dyDescent="0.25">
      <c r="A709" s="10" t="s">
        <v>2895</v>
      </c>
      <c r="B709" s="10" t="s">
        <v>2918</v>
      </c>
      <c r="C709" t="str">
        <f>Table13[[#This Row],[Manufacturer]]&amp;" "&amp;Table13[[#This Row],[Model]]</f>
        <v>Gedore TBN 10 lbf in</v>
      </c>
      <c r="D709" s="1">
        <v>6</v>
      </c>
      <c r="E709" s="1" t="s">
        <v>169</v>
      </c>
      <c r="F709" s="38">
        <v>89</v>
      </c>
      <c r="G709" t="s">
        <v>164</v>
      </c>
    </row>
    <row r="710" spans="1:7" x14ac:dyDescent="0.25">
      <c r="A710" s="10" t="s">
        <v>2895</v>
      </c>
      <c r="B710" s="10" t="s">
        <v>2917</v>
      </c>
      <c r="C710" t="str">
        <f>Table13[[#This Row],[Manufacturer]]&amp;" "&amp;Table13[[#This Row],[Model]]</f>
        <v>Gedore TBN 10 Nm</v>
      </c>
      <c r="D710" s="1">
        <v>6</v>
      </c>
      <c r="E710" s="1" t="s">
        <v>169</v>
      </c>
      <c r="F710" s="38">
        <v>10</v>
      </c>
      <c r="G710" t="s">
        <v>184</v>
      </c>
    </row>
    <row r="711" spans="1:7" x14ac:dyDescent="0.25">
      <c r="A711" s="10" t="s">
        <v>2895</v>
      </c>
      <c r="B711" s="10" t="s">
        <v>2916</v>
      </c>
      <c r="C711" t="str">
        <f>Table13[[#This Row],[Manufacturer]]&amp;" "&amp;Table13[[#This Row],[Model]]</f>
        <v>Gedore TBN 10G lbf in</v>
      </c>
      <c r="D711" s="1">
        <v>6</v>
      </c>
      <c r="E711" s="1" t="s">
        <v>169</v>
      </c>
      <c r="F711" s="38">
        <v>89</v>
      </c>
      <c r="G711" t="s">
        <v>164</v>
      </c>
    </row>
    <row r="712" spans="1:7" x14ac:dyDescent="0.25">
      <c r="A712" s="10" t="s">
        <v>2895</v>
      </c>
      <c r="B712" s="10" t="s">
        <v>2915</v>
      </c>
      <c r="C712" t="str">
        <f>Table13[[#This Row],[Manufacturer]]&amp;" "&amp;Table13[[#This Row],[Model]]</f>
        <v>Gedore TBN 10G Nm</v>
      </c>
      <c r="D712" s="1">
        <v>6</v>
      </c>
      <c r="E712" s="1" t="s">
        <v>169</v>
      </c>
      <c r="F712" s="38">
        <v>10</v>
      </c>
      <c r="G712" t="s">
        <v>184</v>
      </c>
    </row>
    <row r="713" spans="1:7" x14ac:dyDescent="0.25">
      <c r="A713" s="10" t="s">
        <v>2895</v>
      </c>
      <c r="B713" s="10" t="s">
        <v>2914</v>
      </c>
      <c r="C713" t="str">
        <f>Table13[[#This Row],[Manufacturer]]&amp;" "&amp;Table13[[#This Row],[Model]]</f>
        <v>Gedore TBN 135 lbf in</v>
      </c>
      <c r="D713" s="1">
        <v>4</v>
      </c>
      <c r="E713" s="1" t="s">
        <v>169</v>
      </c>
      <c r="F713" s="38">
        <v>100</v>
      </c>
      <c r="G713" t="s">
        <v>166</v>
      </c>
    </row>
    <row r="714" spans="1:7" x14ac:dyDescent="0.25">
      <c r="A714" s="10" t="s">
        <v>2895</v>
      </c>
      <c r="B714" s="10" t="s">
        <v>2913</v>
      </c>
      <c r="C714" t="str">
        <f>Table13[[#This Row],[Manufacturer]]&amp;" "&amp;Table13[[#This Row],[Model]]</f>
        <v>Gedore TBN 135 Nm</v>
      </c>
      <c r="D714" s="1">
        <v>4</v>
      </c>
      <c r="E714" s="1" t="s">
        <v>169</v>
      </c>
      <c r="F714" s="38">
        <v>135</v>
      </c>
      <c r="G714" t="s">
        <v>184</v>
      </c>
    </row>
    <row r="715" spans="1:7" x14ac:dyDescent="0.25">
      <c r="A715" s="10" t="s">
        <v>2895</v>
      </c>
      <c r="B715" s="10" t="s">
        <v>2912</v>
      </c>
      <c r="C715" t="str">
        <f>Table13[[#This Row],[Manufacturer]]&amp;" "&amp;Table13[[#This Row],[Model]]</f>
        <v>Gedore TBN 135G lbf in</v>
      </c>
      <c r="D715" s="1">
        <v>4</v>
      </c>
      <c r="E715" s="1" t="s">
        <v>169</v>
      </c>
      <c r="F715" s="38">
        <v>100</v>
      </c>
      <c r="G715" t="s">
        <v>166</v>
      </c>
    </row>
    <row r="716" spans="1:7" x14ac:dyDescent="0.25">
      <c r="A716" s="10" t="s">
        <v>2895</v>
      </c>
      <c r="B716" s="10" t="s">
        <v>2911</v>
      </c>
      <c r="C716" t="str">
        <f>Table13[[#This Row],[Manufacturer]]&amp;" "&amp;Table13[[#This Row],[Model]]</f>
        <v>Gedore TBN 135G Nm</v>
      </c>
      <c r="D716" s="1">
        <v>4</v>
      </c>
      <c r="E716" s="1" t="s">
        <v>169</v>
      </c>
      <c r="F716" s="38">
        <v>135</v>
      </c>
      <c r="G716" t="s">
        <v>184</v>
      </c>
    </row>
    <row r="717" spans="1:7" x14ac:dyDescent="0.25">
      <c r="A717" s="10" t="s">
        <v>2895</v>
      </c>
      <c r="B717" s="10" t="s">
        <v>2910</v>
      </c>
      <c r="C717" t="str">
        <f>Table13[[#This Row],[Manufacturer]]&amp;" "&amp;Table13[[#This Row],[Model]]</f>
        <v>Gedore TBN 2 lbf in</v>
      </c>
      <c r="D717" s="1">
        <v>6</v>
      </c>
      <c r="E717" s="1" t="s">
        <v>169</v>
      </c>
      <c r="F717" s="38">
        <v>18</v>
      </c>
      <c r="G717" t="s">
        <v>164</v>
      </c>
    </row>
    <row r="718" spans="1:7" x14ac:dyDescent="0.25">
      <c r="A718" s="10" t="s">
        <v>2895</v>
      </c>
      <c r="B718" s="10" t="s">
        <v>2909</v>
      </c>
      <c r="C718" t="str">
        <f>Table13[[#This Row],[Manufacturer]]&amp;" "&amp;Table13[[#This Row],[Model]]</f>
        <v>Gedore TBN 2 Nm</v>
      </c>
      <c r="D718" s="1">
        <v>6</v>
      </c>
      <c r="E718" s="1" t="s">
        <v>169</v>
      </c>
      <c r="F718" s="38">
        <v>2</v>
      </c>
      <c r="G718" t="s">
        <v>184</v>
      </c>
    </row>
    <row r="719" spans="1:7" x14ac:dyDescent="0.25">
      <c r="A719" s="10" t="s">
        <v>2895</v>
      </c>
      <c r="B719" s="10" t="s">
        <v>2908</v>
      </c>
      <c r="C719" t="str">
        <f>Table13[[#This Row],[Manufacturer]]&amp;" "&amp;Table13[[#This Row],[Model]]</f>
        <v>Gedore TBN 200 lbf in</v>
      </c>
      <c r="D719" s="1">
        <v>4</v>
      </c>
      <c r="E719" s="1" t="s">
        <v>169</v>
      </c>
      <c r="F719" s="38">
        <v>147</v>
      </c>
      <c r="G719" t="s">
        <v>166</v>
      </c>
    </row>
    <row r="720" spans="1:7" x14ac:dyDescent="0.25">
      <c r="A720" s="10" t="s">
        <v>2895</v>
      </c>
      <c r="B720" s="10" t="s">
        <v>2907</v>
      </c>
      <c r="C720" t="str">
        <f>Table13[[#This Row],[Manufacturer]]&amp;" "&amp;Table13[[#This Row],[Model]]</f>
        <v>Gedore TBN 200 Nm</v>
      </c>
      <c r="D720" s="1">
        <v>4</v>
      </c>
      <c r="E720" s="1" t="s">
        <v>169</v>
      </c>
      <c r="F720" s="38">
        <v>200</v>
      </c>
      <c r="G720" t="s">
        <v>184</v>
      </c>
    </row>
    <row r="721" spans="1:7" x14ac:dyDescent="0.25">
      <c r="A721" s="10" t="s">
        <v>2895</v>
      </c>
      <c r="B721" s="10" t="s">
        <v>2906</v>
      </c>
      <c r="C721" t="str">
        <f>Table13[[#This Row],[Manufacturer]]&amp;" "&amp;Table13[[#This Row],[Model]]</f>
        <v>Gedore TBN 200G lbf in</v>
      </c>
      <c r="D721" s="1">
        <v>4</v>
      </c>
      <c r="E721" s="1" t="s">
        <v>169</v>
      </c>
      <c r="F721" s="38">
        <v>147</v>
      </c>
      <c r="G721" t="s">
        <v>166</v>
      </c>
    </row>
    <row r="722" spans="1:7" x14ac:dyDescent="0.25">
      <c r="A722" s="10" t="s">
        <v>2895</v>
      </c>
      <c r="B722" s="10" t="s">
        <v>2905</v>
      </c>
      <c r="C722" t="str">
        <f>Table13[[#This Row],[Manufacturer]]&amp;" "&amp;Table13[[#This Row],[Model]]</f>
        <v>Gedore TBN 200G Nm</v>
      </c>
      <c r="D722" s="1">
        <v>4</v>
      </c>
      <c r="E722" s="1" t="s">
        <v>169</v>
      </c>
      <c r="F722" s="38">
        <v>200</v>
      </c>
      <c r="G722" t="s">
        <v>184</v>
      </c>
    </row>
    <row r="723" spans="1:7" x14ac:dyDescent="0.25">
      <c r="A723" s="10" t="s">
        <v>2895</v>
      </c>
      <c r="B723" s="10" t="s">
        <v>2904</v>
      </c>
      <c r="C723" t="str">
        <f>Table13[[#This Row],[Manufacturer]]&amp;" "&amp;Table13[[#This Row],[Model]]</f>
        <v>Gedore TBN 25 lbf in</v>
      </c>
      <c r="D723" s="1">
        <v>4</v>
      </c>
      <c r="E723" s="1" t="s">
        <v>169</v>
      </c>
      <c r="F723" s="38">
        <v>18</v>
      </c>
      <c r="G723" t="s">
        <v>166</v>
      </c>
    </row>
    <row r="724" spans="1:7" x14ac:dyDescent="0.25">
      <c r="A724" s="10" t="s">
        <v>2895</v>
      </c>
      <c r="B724" s="10" t="s">
        <v>2903</v>
      </c>
      <c r="C724" t="str">
        <f>Table13[[#This Row],[Manufacturer]]&amp;" "&amp;Table13[[#This Row],[Model]]</f>
        <v>Gedore TBN 25 Nm</v>
      </c>
      <c r="D724" s="1">
        <v>4</v>
      </c>
      <c r="E724" s="1" t="s">
        <v>169</v>
      </c>
      <c r="F724" s="38">
        <v>25</v>
      </c>
      <c r="G724" t="s">
        <v>184</v>
      </c>
    </row>
    <row r="725" spans="1:7" x14ac:dyDescent="0.25">
      <c r="A725" s="10" t="s">
        <v>2895</v>
      </c>
      <c r="B725" s="10" t="s">
        <v>2902</v>
      </c>
      <c r="C725" t="str">
        <f>Table13[[#This Row],[Manufacturer]]&amp;" "&amp;Table13[[#This Row],[Model]]</f>
        <v>Gedore TBN 25G lbf in</v>
      </c>
      <c r="D725" s="1">
        <v>4</v>
      </c>
      <c r="E725" s="1" t="s">
        <v>169</v>
      </c>
      <c r="F725" s="38">
        <v>18</v>
      </c>
      <c r="G725" t="s">
        <v>166</v>
      </c>
    </row>
    <row r="726" spans="1:7" x14ac:dyDescent="0.25">
      <c r="A726" s="10" t="s">
        <v>2895</v>
      </c>
      <c r="B726" s="10" t="s">
        <v>2901</v>
      </c>
      <c r="C726" t="str">
        <f>Table13[[#This Row],[Manufacturer]]&amp;" "&amp;Table13[[#This Row],[Model]]</f>
        <v>Gedore TBN 25G Nm</v>
      </c>
      <c r="D726" s="1">
        <v>4</v>
      </c>
      <c r="E726" s="1" t="s">
        <v>169</v>
      </c>
      <c r="F726" s="38">
        <v>25</v>
      </c>
      <c r="G726" t="s">
        <v>184</v>
      </c>
    </row>
    <row r="727" spans="1:7" x14ac:dyDescent="0.25">
      <c r="A727" s="10" t="s">
        <v>2895</v>
      </c>
      <c r="B727" s="10" t="s">
        <v>2900</v>
      </c>
      <c r="C727" t="str">
        <f>Table13[[#This Row],[Manufacturer]]&amp;" "&amp;Table13[[#This Row],[Model]]</f>
        <v>Gedore TBN 2G lbf in</v>
      </c>
      <c r="D727" s="1">
        <v>6</v>
      </c>
      <c r="E727" s="1" t="s">
        <v>169</v>
      </c>
      <c r="F727" s="38">
        <v>18</v>
      </c>
      <c r="G727" t="s">
        <v>164</v>
      </c>
    </row>
    <row r="728" spans="1:7" x14ac:dyDescent="0.25">
      <c r="A728" s="10" t="s">
        <v>2895</v>
      </c>
      <c r="B728" s="10" t="s">
        <v>2899</v>
      </c>
      <c r="C728" t="str">
        <f>Table13[[#This Row],[Manufacturer]]&amp;" "&amp;Table13[[#This Row],[Model]]</f>
        <v>Gedore TBN 2G Nm</v>
      </c>
      <c r="D728" s="1">
        <v>6</v>
      </c>
      <c r="E728" s="1" t="s">
        <v>169</v>
      </c>
      <c r="F728" s="38">
        <v>2</v>
      </c>
      <c r="G728" t="s">
        <v>184</v>
      </c>
    </row>
    <row r="729" spans="1:7" x14ac:dyDescent="0.25">
      <c r="A729" s="10" t="s">
        <v>2895</v>
      </c>
      <c r="B729" s="10" t="s">
        <v>2898</v>
      </c>
      <c r="C729" t="str">
        <f>Table13[[#This Row],[Manufacturer]]&amp;" "&amp;Table13[[#This Row],[Model]]</f>
        <v>Gedore TBN 65 lbf in</v>
      </c>
      <c r="D729" s="1">
        <v>4</v>
      </c>
      <c r="E729" s="1" t="s">
        <v>169</v>
      </c>
      <c r="F729" s="38">
        <v>48</v>
      </c>
      <c r="G729" t="s">
        <v>166</v>
      </c>
    </row>
    <row r="730" spans="1:7" x14ac:dyDescent="0.25">
      <c r="A730" s="10" t="s">
        <v>2895</v>
      </c>
      <c r="B730" s="10" t="s">
        <v>2897</v>
      </c>
      <c r="C730" t="str">
        <f>Table13[[#This Row],[Manufacturer]]&amp;" "&amp;Table13[[#This Row],[Model]]</f>
        <v>Gedore TBN 65 Nm</v>
      </c>
      <c r="D730" s="1">
        <v>4</v>
      </c>
      <c r="E730" s="1" t="s">
        <v>169</v>
      </c>
      <c r="F730" s="38">
        <v>65</v>
      </c>
      <c r="G730" t="s">
        <v>184</v>
      </c>
    </row>
    <row r="731" spans="1:7" x14ac:dyDescent="0.25">
      <c r="A731" s="10" t="s">
        <v>2895</v>
      </c>
      <c r="B731" s="10" t="s">
        <v>2896</v>
      </c>
      <c r="C731" t="str">
        <f>Table13[[#This Row],[Manufacturer]]&amp;" "&amp;Table13[[#This Row],[Model]]</f>
        <v>Gedore TBN 65G lbf in</v>
      </c>
      <c r="D731" s="1">
        <v>4</v>
      </c>
      <c r="E731" s="1" t="s">
        <v>169</v>
      </c>
      <c r="F731" s="38">
        <v>48</v>
      </c>
      <c r="G731" t="s">
        <v>166</v>
      </c>
    </row>
    <row r="732" spans="1:7" x14ac:dyDescent="0.25">
      <c r="A732" s="10" t="s">
        <v>2895</v>
      </c>
      <c r="B732" s="10" t="s">
        <v>2894</v>
      </c>
      <c r="C732" t="str">
        <f>Table13[[#This Row],[Manufacturer]]&amp;" "&amp;Table13[[#This Row],[Model]]</f>
        <v>Gedore TBN 65G Nm</v>
      </c>
      <c r="D732" s="1">
        <v>4</v>
      </c>
      <c r="E732" s="1" t="s">
        <v>169</v>
      </c>
      <c r="F732" s="38">
        <v>65</v>
      </c>
      <c r="G732" t="s">
        <v>184</v>
      </c>
    </row>
    <row r="733" spans="1:7" x14ac:dyDescent="0.25">
      <c r="A733" s="10" t="s">
        <v>2893</v>
      </c>
      <c r="B733" s="10" t="s">
        <v>2892</v>
      </c>
      <c r="C733" t="str">
        <f>Table13[[#This Row],[Manufacturer]]&amp;" "&amp;Table13[[#This Row],[Model]]</f>
        <v>Glenair 600-161</v>
      </c>
      <c r="D733" s="1">
        <v>2</v>
      </c>
      <c r="E733" s="1">
        <v>2</v>
      </c>
      <c r="F733" s="38">
        <v>300</v>
      </c>
      <c r="G733" t="s">
        <v>164</v>
      </c>
    </row>
    <row r="734" spans="1:7" x14ac:dyDescent="0.25">
      <c r="A734" s="10" t="s">
        <v>2891</v>
      </c>
      <c r="B734" s="10" t="s">
        <v>2890</v>
      </c>
      <c r="C734" t="str">
        <f>Table13[[#This Row],[Manufacturer]]&amp;" "&amp;Table13[[#This Row],[Model]]</f>
        <v>Gray DIN75A</v>
      </c>
      <c r="D734" s="1">
        <v>4</v>
      </c>
      <c r="E734" s="1">
        <v>4</v>
      </c>
      <c r="F734" s="38">
        <v>75</v>
      </c>
      <c r="G734" t="s">
        <v>164</v>
      </c>
    </row>
    <row r="735" spans="1:7" x14ac:dyDescent="0.25">
      <c r="A735" s="10" t="s">
        <v>2888</v>
      </c>
      <c r="B735" s="10" t="s">
        <v>2889</v>
      </c>
      <c r="C735" t="str">
        <f>Table13[[#This Row],[Manufacturer]]&amp;" "&amp;Table13[[#This Row],[Model]]</f>
        <v>GreatNeck MATW1</v>
      </c>
      <c r="D735" s="1">
        <v>4</v>
      </c>
      <c r="E735" s="1" t="s">
        <v>169</v>
      </c>
      <c r="F735" s="38">
        <v>960</v>
      </c>
      <c r="G735" t="s">
        <v>164</v>
      </c>
    </row>
    <row r="736" spans="1:7" x14ac:dyDescent="0.25">
      <c r="A736" s="10" t="s">
        <v>2888</v>
      </c>
      <c r="B736" s="10" t="s">
        <v>2887</v>
      </c>
      <c r="C736" t="str">
        <f>Table13[[#This Row],[Manufacturer]]&amp;" "&amp;Table13[[#This Row],[Model]]</f>
        <v>GreatNeck MATW3</v>
      </c>
      <c r="D736" s="1">
        <v>4</v>
      </c>
      <c r="E736" s="1" t="s">
        <v>169</v>
      </c>
      <c r="F736" s="38">
        <v>150</v>
      </c>
      <c r="G736" t="s">
        <v>166</v>
      </c>
    </row>
    <row r="737" spans="1:7" x14ac:dyDescent="0.25">
      <c r="A737" s="10" t="s">
        <v>2857</v>
      </c>
      <c r="B737" s="10" t="s">
        <v>2886</v>
      </c>
      <c r="C737" t="str">
        <f>Table13[[#This Row],[Manufacturer]]&amp;" "&amp;Table13[[#This Row],[Model]]</f>
        <v>Hazet 5110-1 CT</v>
      </c>
      <c r="D737" s="1">
        <v>4</v>
      </c>
      <c r="E737" s="1">
        <v>4</v>
      </c>
      <c r="F737" s="38">
        <v>60</v>
      </c>
      <c r="G737" t="s">
        <v>184</v>
      </c>
    </row>
    <row r="738" spans="1:7" x14ac:dyDescent="0.25">
      <c r="A738" s="10" t="s">
        <v>2857</v>
      </c>
      <c r="B738" s="10" t="s">
        <v>2885</v>
      </c>
      <c r="C738" t="str">
        <f>Table13[[#This Row],[Manufacturer]]&amp;" "&amp;Table13[[#This Row],[Model]]</f>
        <v>Hazet 5110-3 CT</v>
      </c>
      <c r="D738" s="1">
        <v>3</v>
      </c>
      <c r="E738" s="1" t="s">
        <v>169</v>
      </c>
      <c r="F738" s="38">
        <v>60</v>
      </c>
      <c r="G738" t="s">
        <v>184</v>
      </c>
    </row>
    <row r="739" spans="1:7" x14ac:dyDescent="0.25">
      <c r="A739" s="10" t="s">
        <v>2857</v>
      </c>
      <c r="B739" s="10" t="s">
        <v>2884</v>
      </c>
      <c r="C739" t="str">
        <f>Table13[[#This Row],[Manufacturer]]&amp;" "&amp;Table13[[#This Row],[Model]]</f>
        <v>Hazet 5121-1 CT</v>
      </c>
      <c r="D739" s="1">
        <v>4</v>
      </c>
      <c r="E739" s="1">
        <v>4</v>
      </c>
      <c r="F739" s="38">
        <v>120</v>
      </c>
      <c r="G739" t="s">
        <v>184</v>
      </c>
    </row>
    <row r="740" spans="1:7" x14ac:dyDescent="0.25">
      <c r="A740" s="10" t="s">
        <v>2857</v>
      </c>
      <c r="B740" s="10" t="s">
        <v>2883</v>
      </c>
      <c r="C740" t="str">
        <f>Table13[[#This Row],[Manufacturer]]&amp;" "&amp;Table13[[#This Row],[Model]]</f>
        <v>Hazet 5122-1 CT</v>
      </c>
      <c r="D740" s="1">
        <v>4</v>
      </c>
      <c r="E740" s="1">
        <v>4</v>
      </c>
      <c r="F740" s="38">
        <v>200</v>
      </c>
      <c r="G740" t="s">
        <v>184</v>
      </c>
    </row>
    <row r="741" spans="1:7" x14ac:dyDescent="0.25">
      <c r="A741" s="10" t="s">
        <v>2857</v>
      </c>
      <c r="B741" s="10" t="s">
        <v>2882</v>
      </c>
      <c r="C741" t="str">
        <f>Table13[[#This Row],[Manufacturer]]&amp;" "&amp;Table13[[#This Row],[Model]]</f>
        <v>Hazet 5123-1 CT</v>
      </c>
      <c r="D741" s="1">
        <v>4</v>
      </c>
      <c r="E741" s="1">
        <v>4</v>
      </c>
      <c r="F741" s="38">
        <v>320</v>
      </c>
      <c r="G741" t="s">
        <v>184</v>
      </c>
    </row>
    <row r="742" spans="1:7" x14ac:dyDescent="0.25">
      <c r="A742" s="10" t="s">
        <v>2857</v>
      </c>
      <c r="B742" s="10" t="s">
        <v>2881</v>
      </c>
      <c r="C742" t="str">
        <f>Table13[[#This Row],[Manufacturer]]&amp;" "&amp;Table13[[#This Row],[Model]]</f>
        <v>Hazet 6108-1CT</v>
      </c>
      <c r="D742" s="1">
        <v>2</v>
      </c>
      <c r="E742" s="1" t="s">
        <v>169</v>
      </c>
      <c r="F742" s="38">
        <v>10</v>
      </c>
      <c r="G742" t="s">
        <v>184</v>
      </c>
    </row>
    <row r="743" spans="1:7" x14ac:dyDescent="0.25">
      <c r="A743" s="10" t="s">
        <v>2857</v>
      </c>
      <c r="B743" s="10" t="s">
        <v>2880</v>
      </c>
      <c r="C743" t="str">
        <f>Table13[[#This Row],[Manufacturer]]&amp;" "&amp;Table13[[#This Row],[Model]]</f>
        <v>Hazet 6121-1CT</v>
      </c>
      <c r="D743" s="1">
        <v>2</v>
      </c>
      <c r="E743" s="1" t="s">
        <v>169</v>
      </c>
      <c r="F743" s="38">
        <v>120</v>
      </c>
      <c r="G743" t="s">
        <v>184</v>
      </c>
    </row>
    <row r="744" spans="1:7" x14ac:dyDescent="0.25">
      <c r="A744" s="10" t="s">
        <v>2857</v>
      </c>
      <c r="B744" s="10" t="s">
        <v>2879</v>
      </c>
      <c r="C744" t="str">
        <f>Table13[[#This Row],[Manufacturer]]&amp;" "&amp;Table13[[#This Row],[Model]]</f>
        <v>Hazet 6290-1 CT</v>
      </c>
      <c r="D744" s="1">
        <v>2</v>
      </c>
      <c r="E744" s="1" t="s">
        <v>169</v>
      </c>
      <c r="F744" s="38">
        <v>60</v>
      </c>
      <c r="G744" t="s">
        <v>184</v>
      </c>
    </row>
    <row r="745" spans="1:7" x14ac:dyDescent="0.25">
      <c r="A745" s="10" t="s">
        <v>2857</v>
      </c>
      <c r="B745" s="10" t="s">
        <v>2878</v>
      </c>
      <c r="C745" t="str">
        <f>Table13[[#This Row],[Manufacturer]]&amp;" "&amp;Table13[[#This Row],[Model]]</f>
        <v>Hazet 6291-1 CT</v>
      </c>
      <c r="D745" s="1">
        <v>2</v>
      </c>
      <c r="E745" s="1" t="s">
        <v>169</v>
      </c>
      <c r="F745" s="38">
        <v>120</v>
      </c>
      <c r="G745" t="s">
        <v>184</v>
      </c>
    </row>
    <row r="746" spans="1:7" x14ac:dyDescent="0.25">
      <c r="A746" s="10" t="s">
        <v>2857</v>
      </c>
      <c r="B746" s="10" t="s">
        <v>2877</v>
      </c>
      <c r="C746" t="str">
        <f>Table13[[#This Row],[Manufacturer]]&amp;" "&amp;Table13[[#This Row],[Model]]</f>
        <v>Hazet 6291-2 CT</v>
      </c>
      <c r="D746" s="1">
        <v>2</v>
      </c>
      <c r="E746" s="1" t="s">
        <v>169</v>
      </c>
      <c r="F746" s="38">
        <v>120</v>
      </c>
      <c r="G746" t="s">
        <v>184</v>
      </c>
    </row>
    <row r="747" spans="1:7" x14ac:dyDescent="0.25">
      <c r="A747" s="10" t="s">
        <v>2857</v>
      </c>
      <c r="B747" s="10" t="s">
        <v>2876</v>
      </c>
      <c r="C747" t="str">
        <f>Table13[[#This Row],[Manufacturer]]&amp;" "&amp;Table13[[#This Row],[Model]]</f>
        <v>Hazet 6292-1 CT</v>
      </c>
      <c r="D747" s="1">
        <v>2</v>
      </c>
      <c r="E747" s="1" t="s">
        <v>169</v>
      </c>
      <c r="F747" s="38">
        <v>200</v>
      </c>
      <c r="G747" t="s">
        <v>184</v>
      </c>
    </row>
    <row r="748" spans="1:7" x14ac:dyDescent="0.25">
      <c r="A748" s="10" t="s">
        <v>2857</v>
      </c>
      <c r="B748" s="10" t="s">
        <v>2875</v>
      </c>
      <c r="C748" t="str">
        <f>Table13[[#This Row],[Manufacturer]]&amp;" "&amp;Table13[[#This Row],[Model]]</f>
        <v>Hazet 6293-1 CT</v>
      </c>
      <c r="D748" s="1">
        <v>2</v>
      </c>
      <c r="E748" s="1" t="s">
        <v>169</v>
      </c>
      <c r="F748" s="38">
        <v>320</v>
      </c>
      <c r="G748" t="s">
        <v>184</v>
      </c>
    </row>
    <row r="749" spans="1:7" x14ac:dyDescent="0.25">
      <c r="A749" s="10" t="s">
        <v>2857</v>
      </c>
      <c r="B749" s="10" t="s">
        <v>2874</v>
      </c>
      <c r="C749" t="str">
        <f>Table13[[#This Row],[Manufacturer]]&amp;" "&amp;Table13[[#This Row],[Model]]</f>
        <v>Hazet 65 6500_10</v>
      </c>
      <c r="D749" s="1">
        <v>2</v>
      </c>
      <c r="E749" s="1">
        <v>2</v>
      </c>
      <c r="F749" s="38">
        <v>10</v>
      </c>
      <c r="G749" t="s">
        <v>184</v>
      </c>
    </row>
    <row r="750" spans="1:7" x14ac:dyDescent="0.25">
      <c r="A750" s="10" t="s">
        <v>2857</v>
      </c>
      <c r="B750" s="10" t="s">
        <v>2873</v>
      </c>
      <c r="C750" t="str">
        <f>Table13[[#This Row],[Manufacturer]]&amp;" "&amp;Table13[[#This Row],[Model]]</f>
        <v>Hazet 65 6500_1000</v>
      </c>
      <c r="D750" s="1">
        <v>3</v>
      </c>
      <c r="E750" s="1">
        <v>3</v>
      </c>
      <c r="F750" s="38">
        <v>1000</v>
      </c>
      <c r="G750" t="s">
        <v>184</v>
      </c>
    </row>
    <row r="751" spans="1:7" x14ac:dyDescent="0.25">
      <c r="A751" s="10" t="s">
        <v>2857</v>
      </c>
      <c r="B751" s="10" t="s">
        <v>2872</v>
      </c>
      <c r="C751" t="str">
        <f>Table13[[#This Row],[Manufacturer]]&amp;" "&amp;Table13[[#This Row],[Model]]</f>
        <v>Hazet 65 6500_120</v>
      </c>
      <c r="D751" s="1">
        <v>2</v>
      </c>
      <c r="E751" s="1">
        <v>2</v>
      </c>
      <c r="F751" s="38">
        <v>120</v>
      </c>
      <c r="G751" t="s">
        <v>184</v>
      </c>
    </row>
    <row r="752" spans="1:7" x14ac:dyDescent="0.25">
      <c r="A752" s="10" t="s">
        <v>2857</v>
      </c>
      <c r="B752" s="10" t="s">
        <v>2871</v>
      </c>
      <c r="C752" t="str">
        <f>Table13[[#This Row],[Manufacturer]]&amp;" "&amp;Table13[[#This Row],[Model]]</f>
        <v>Hazet 65 6500_1600</v>
      </c>
      <c r="D752" s="1">
        <v>3</v>
      </c>
      <c r="E752" s="1">
        <v>3</v>
      </c>
      <c r="F752" s="38">
        <v>1600</v>
      </c>
      <c r="G752" t="s">
        <v>184</v>
      </c>
    </row>
    <row r="753" spans="1:7" x14ac:dyDescent="0.25">
      <c r="A753" s="10" t="s">
        <v>2857</v>
      </c>
      <c r="B753" s="10" t="s">
        <v>2870</v>
      </c>
      <c r="C753" t="str">
        <f>Table13[[#This Row],[Manufacturer]]&amp;" "&amp;Table13[[#This Row],[Model]]</f>
        <v>Hazet 65 6500_200</v>
      </c>
      <c r="D753" s="1">
        <v>2</v>
      </c>
      <c r="E753" s="1">
        <v>2</v>
      </c>
      <c r="F753" s="38">
        <v>200</v>
      </c>
      <c r="G753" t="s">
        <v>184</v>
      </c>
    </row>
    <row r="754" spans="1:7" x14ac:dyDescent="0.25">
      <c r="A754" s="10" t="s">
        <v>2857</v>
      </c>
      <c r="B754" s="10" t="s">
        <v>2869</v>
      </c>
      <c r="C754" t="str">
        <f>Table13[[#This Row],[Manufacturer]]&amp;" "&amp;Table13[[#This Row],[Model]]</f>
        <v>Hazet 65 6500_2000</v>
      </c>
      <c r="D754" s="1">
        <v>4</v>
      </c>
      <c r="E754" s="1">
        <v>4</v>
      </c>
      <c r="F754" s="38">
        <v>2000</v>
      </c>
      <c r="G754" t="s">
        <v>184</v>
      </c>
    </row>
    <row r="755" spans="1:7" x14ac:dyDescent="0.25">
      <c r="A755" s="10" t="s">
        <v>2857</v>
      </c>
      <c r="B755" s="10" t="s">
        <v>2868</v>
      </c>
      <c r="C755" t="str">
        <f>Table13[[#This Row],[Manufacturer]]&amp;" "&amp;Table13[[#This Row],[Model]]</f>
        <v>Hazet 65 6500_320</v>
      </c>
      <c r="D755" s="1">
        <v>2</v>
      </c>
      <c r="E755" s="1">
        <v>2</v>
      </c>
      <c r="F755" s="38">
        <v>320</v>
      </c>
      <c r="G755" t="s">
        <v>184</v>
      </c>
    </row>
    <row r="756" spans="1:7" x14ac:dyDescent="0.25">
      <c r="A756" s="10" t="s">
        <v>2857</v>
      </c>
      <c r="B756" s="10" t="s">
        <v>2867</v>
      </c>
      <c r="C756" t="str">
        <f>Table13[[#This Row],[Manufacturer]]&amp;" "&amp;Table13[[#This Row],[Model]]</f>
        <v>Hazet 65 6500_400</v>
      </c>
      <c r="D756" s="1">
        <v>2</v>
      </c>
      <c r="E756" s="1">
        <v>2</v>
      </c>
      <c r="F756" s="38">
        <v>400</v>
      </c>
      <c r="G756" t="s">
        <v>184</v>
      </c>
    </row>
    <row r="757" spans="1:7" x14ac:dyDescent="0.25">
      <c r="A757" s="10" t="s">
        <v>2857</v>
      </c>
      <c r="B757" s="10" t="s">
        <v>2866</v>
      </c>
      <c r="C757" t="str">
        <f>Table13[[#This Row],[Manufacturer]]&amp;" "&amp;Table13[[#This Row],[Model]]</f>
        <v>Hazet 65 6500_6</v>
      </c>
      <c r="D757" s="1">
        <v>4</v>
      </c>
      <c r="E757" s="1">
        <v>4</v>
      </c>
      <c r="F757" s="38">
        <v>6</v>
      </c>
      <c r="G757" t="s">
        <v>184</v>
      </c>
    </row>
    <row r="758" spans="1:7" x14ac:dyDescent="0.25">
      <c r="A758" s="10" t="s">
        <v>2857</v>
      </c>
      <c r="B758" s="10" t="s">
        <v>2865</v>
      </c>
      <c r="C758" t="str">
        <f>Table13[[#This Row],[Manufacturer]]&amp;" "&amp;Table13[[#This Row],[Model]]</f>
        <v>Hazet 65 6500_60</v>
      </c>
      <c r="D758" s="1">
        <v>2</v>
      </c>
      <c r="E758" s="1">
        <v>2</v>
      </c>
      <c r="F758" s="38">
        <v>60</v>
      </c>
      <c r="G758" t="s">
        <v>184</v>
      </c>
    </row>
    <row r="759" spans="1:7" x14ac:dyDescent="0.25">
      <c r="A759" s="10" t="s">
        <v>2857</v>
      </c>
      <c r="B759" s="10" t="s">
        <v>2864</v>
      </c>
      <c r="C759" t="str">
        <f>Table13[[#This Row],[Manufacturer]]&amp;" "&amp;Table13[[#This Row],[Model]]</f>
        <v>Hazet 65 6500_800</v>
      </c>
      <c r="D759" s="1">
        <v>2</v>
      </c>
      <c r="E759" s="1">
        <v>2</v>
      </c>
      <c r="F759" s="38">
        <v>800</v>
      </c>
      <c r="G759" t="s">
        <v>184</v>
      </c>
    </row>
    <row r="760" spans="1:7" x14ac:dyDescent="0.25">
      <c r="A760" s="10" t="s">
        <v>2857</v>
      </c>
      <c r="B760" s="10" t="s">
        <v>2863</v>
      </c>
      <c r="C760" t="str">
        <f>Table13[[#This Row],[Manufacturer]]&amp;" "&amp;Table13[[#This Row],[Model]]</f>
        <v>Hazet 65 6510_10</v>
      </c>
      <c r="D760" s="1">
        <v>2</v>
      </c>
      <c r="E760" s="1" t="s">
        <v>169</v>
      </c>
      <c r="F760" s="38">
        <v>10</v>
      </c>
      <c r="G760" t="s">
        <v>184</v>
      </c>
    </row>
    <row r="761" spans="1:7" x14ac:dyDescent="0.25">
      <c r="A761" s="10" t="s">
        <v>2857</v>
      </c>
      <c r="B761" s="10" t="s">
        <v>2862</v>
      </c>
      <c r="C761" t="str">
        <f>Table13[[#This Row],[Manufacturer]]&amp;" "&amp;Table13[[#This Row],[Model]]</f>
        <v>Hazet 65 6510_120</v>
      </c>
      <c r="D761" s="1">
        <v>2</v>
      </c>
      <c r="E761" s="1" t="s">
        <v>169</v>
      </c>
      <c r="F761" s="38">
        <v>120</v>
      </c>
      <c r="G761" t="s">
        <v>184</v>
      </c>
    </row>
    <row r="762" spans="1:7" x14ac:dyDescent="0.25">
      <c r="A762" s="10" t="s">
        <v>2857</v>
      </c>
      <c r="B762" s="10" t="s">
        <v>2861</v>
      </c>
      <c r="C762" t="str">
        <f>Table13[[#This Row],[Manufacturer]]&amp;" "&amp;Table13[[#This Row],[Model]]</f>
        <v>Hazet 65 6510_200</v>
      </c>
      <c r="D762" s="1">
        <v>2</v>
      </c>
      <c r="E762" s="1" t="s">
        <v>169</v>
      </c>
      <c r="F762" s="38">
        <v>200</v>
      </c>
      <c r="G762" t="s">
        <v>184</v>
      </c>
    </row>
    <row r="763" spans="1:7" x14ac:dyDescent="0.25">
      <c r="A763" s="10" t="s">
        <v>2857</v>
      </c>
      <c r="B763" s="10" t="s">
        <v>2860</v>
      </c>
      <c r="C763" t="str">
        <f>Table13[[#This Row],[Manufacturer]]&amp;" "&amp;Table13[[#This Row],[Model]]</f>
        <v>Hazet 65 6510_320</v>
      </c>
      <c r="D763" s="1">
        <v>2</v>
      </c>
      <c r="E763" s="1" t="s">
        <v>169</v>
      </c>
      <c r="F763" s="38">
        <v>320</v>
      </c>
      <c r="G763" t="s">
        <v>184</v>
      </c>
    </row>
    <row r="764" spans="1:7" x14ac:dyDescent="0.25">
      <c r="A764" s="10" t="s">
        <v>2857</v>
      </c>
      <c r="B764" s="10" t="s">
        <v>2859</v>
      </c>
      <c r="C764" t="str">
        <f>Table13[[#This Row],[Manufacturer]]&amp;" "&amp;Table13[[#This Row],[Model]]</f>
        <v>Hazet 65 6510_400</v>
      </c>
      <c r="D764" s="1">
        <v>2</v>
      </c>
      <c r="E764" s="1" t="s">
        <v>169</v>
      </c>
      <c r="F764" s="38">
        <v>400</v>
      </c>
      <c r="G764" t="s">
        <v>184</v>
      </c>
    </row>
    <row r="765" spans="1:7" x14ac:dyDescent="0.25">
      <c r="A765" s="10" t="s">
        <v>2857</v>
      </c>
      <c r="B765" s="10" t="s">
        <v>2858</v>
      </c>
      <c r="C765" t="str">
        <f>Table13[[#This Row],[Manufacturer]]&amp;" "&amp;Table13[[#This Row],[Model]]</f>
        <v>Hazet 65 6510_60</v>
      </c>
      <c r="D765" s="1">
        <v>2</v>
      </c>
      <c r="E765" s="1" t="s">
        <v>169</v>
      </c>
      <c r="F765" s="38">
        <v>60</v>
      </c>
      <c r="G765" t="s">
        <v>184</v>
      </c>
    </row>
    <row r="766" spans="1:7" x14ac:dyDescent="0.25">
      <c r="A766" s="10" t="s">
        <v>2857</v>
      </c>
      <c r="B766" s="10" t="s">
        <v>2856</v>
      </c>
      <c r="C766" t="str">
        <f>Table13[[#This Row],[Manufacturer]]&amp;" "&amp;Table13[[#This Row],[Model]]</f>
        <v>Hazet 65 6510_800</v>
      </c>
      <c r="D766" s="1">
        <v>2</v>
      </c>
      <c r="E766" s="1" t="s">
        <v>169</v>
      </c>
      <c r="F766" s="38">
        <v>800</v>
      </c>
      <c r="G766" t="s">
        <v>184</v>
      </c>
    </row>
    <row r="767" spans="1:7" x14ac:dyDescent="0.25">
      <c r="A767" s="10" t="s">
        <v>2855</v>
      </c>
      <c r="B767" s="10" t="s">
        <v>2854</v>
      </c>
      <c r="C767" t="str">
        <f>Table13[[#This Row],[Manufacturer]]&amp;" "&amp;Table13[[#This Row],[Model]]</f>
        <v>Holex 655920 30</v>
      </c>
      <c r="D767" s="1">
        <v>3</v>
      </c>
      <c r="E767" s="1">
        <v>3</v>
      </c>
      <c r="F767" s="38">
        <v>30</v>
      </c>
      <c r="G767" t="s">
        <v>184</v>
      </c>
    </row>
    <row r="768" spans="1:7" x14ac:dyDescent="0.25">
      <c r="A768" s="10" t="s">
        <v>2838</v>
      </c>
      <c r="B768" s="10" t="s">
        <v>2853</v>
      </c>
      <c r="C768" t="str">
        <f>Table13[[#This Row],[Manufacturer]]&amp;" "&amp;Table13[[#This Row],[Model]]</f>
        <v>Huber+Suhner 74Z-0-0-174</v>
      </c>
      <c r="D768" s="1">
        <v>15</v>
      </c>
      <c r="E768" s="1">
        <v>15</v>
      </c>
      <c r="F768" s="38">
        <v>130</v>
      </c>
      <c r="G768" t="s">
        <v>372</v>
      </c>
    </row>
    <row r="769" spans="1:7" x14ac:dyDescent="0.25">
      <c r="A769" s="10" t="s">
        <v>2838</v>
      </c>
      <c r="B769" s="10" t="s">
        <v>2852</v>
      </c>
      <c r="C769" t="str">
        <f>Table13[[#This Row],[Manufacturer]]&amp;" "&amp;Table13[[#This Row],[Model]]</f>
        <v>Huber+Suhner 74Z-0-0-189</v>
      </c>
      <c r="D769" s="1">
        <v>15</v>
      </c>
      <c r="E769" s="1">
        <v>15</v>
      </c>
      <c r="F769" s="38">
        <v>200</v>
      </c>
      <c r="G769" t="s">
        <v>372</v>
      </c>
    </row>
    <row r="770" spans="1:7" x14ac:dyDescent="0.25">
      <c r="A770" s="10" t="s">
        <v>2838</v>
      </c>
      <c r="B770" s="10" t="s">
        <v>2851</v>
      </c>
      <c r="C770" t="str">
        <f>Table13[[#This Row],[Manufacturer]]&amp;" "&amp;Table13[[#This Row],[Model]]</f>
        <v>Huber+Suhner 74Z-0-0-192</v>
      </c>
      <c r="D770" s="1">
        <v>15</v>
      </c>
      <c r="E770" s="1">
        <v>15</v>
      </c>
      <c r="F770" s="38">
        <v>100</v>
      </c>
      <c r="G770" t="s">
        <v>372</v>
      </c>
    </row>
    <row r="771" spans="1:7" x14ac:dyDescent="0.25">
      <c r="A771" s="10" t="s">
        <v>2838</v>
      </c>
      <c r="B771" s="10" t="s">
        <v>2850</v>
      </c>
      <c r="C771" t="str">
        <f>Table13[[#This Row],[Manufacturer]]&amp;" "&amp;Table13[[#This Row],[Model]]</f>
        <v>Huber+Suhner 74Z-0-0-193</v>
      </c>
      <c r="D771" s="1">
        <v>15</v>
      </c>
      <c r="E771" s="1">
        <v>15</v>
      </c>
      <c r="F771" s="38">
        <v>100</v>
      </c>
      <c r="G771" t="s">
        <v>187</v>
      </c>
    </row>
    <row r="772" spans="1:7" x14ac:dyDescent="0.25">
      <c r="A772" s="10" t="s">
        <v>2838</v>
      </c>
      <c r="B772" s="10" t="s">
        <v>2849</v>
      </c>
      <c r="C772" t="str">
        <f>Table13[[#This Row],[Manufacturer]]&amp;" "&amp;Table13[[#This Row],[Model]]</f>
        <v>Huber+Suhner 74Z-0-0-21</v>
      </c>
      <c r="D772" s="1">
        <v>15</v>
      </c>
      <c r="E772" s="1">
        <v>15</v>
      </c>
      <c r="F772" s="38">
        <v>8.85</v>
      </c>
      <c r="G772" t="s">
        <v>164</v>
      </c>
    </row>
    <row r="773" spans="1:7" x14ac:dyDescent="0.25">
      <c r="A773" s="10" t="s">
        <v>2838</v>
      </c>
      <c r="B773" s="10" t="s">
        <v>2848</v>
      </c>
      <c r="C773" t="str">
        <f>Table13[[#This Row],[Manufacturer]]&amp;" "&amp;Table13[[#This Row],[Model]]</f>
        <v>Huber+Suhner 74Z-0-0-321</v>
      </c>
      <c r="D773" s="1">
        <v>15</v>
      </c>
      <c r="E773" s="1">
        <v>15</v>
      </c>
      <c r="F773" s="38">
        <v>8.8000000000000007</v>
      </c>
      <c r="G773" t="s">
        <v>164</v>
      </c>
    </row>
    <row r="774" spans="1:7" x14ac:dyDescent="0.25">
      <c r="A774" s="10" t="s">
        <v>2838</v>
      </c>
      <c r="B774" s="10" t="s">
        <v>2847</v>
      </c>
      <c r="C774" t="str">
        <f>Table13[[#This Row],[Manufacturer]]&amp;" "&amp;Table13[[#This Row],[Model]]</f>
        <v>Huber+Suhner 74Z-0-0-330</v>
      </c>
      <c r="D774" s="1">
        <v>15</v>
      </c>
      <c r="E774" s="1">
        <v>15</v>
      </c>
      <c r="F774" s="38">
        <v>100</v>
      </c>
      <c r="G774" t="s">
        <v>372</v>
      </c>
    </row>
    <row r="775" spans="1:7" x14ac:dyDescent="0.25">
      <c r="A775" s="10" t="s">
        <v>2838</v>
      </c>
      <c r="B775" s="10" t="s">
        <v>2846</v>
      </c>
      <c r="C775" t="str">
        <f>Table13[[#This Row],[Manufacturer]]&amp;" "&amp;Table13[[#This Row],[Model]]</f>
        <v>Huber+Suhner 74Z-0-0-373</v>
      </c>
      <c r="D775" s="1">
        <v>15</v>
      </c>
      <c r="E775" s="1">
        <v>15</v>
      </c>
      <c r="F775" s="38">
        <v>100</v>
      </c>
      <c r="G775" t="s">
        <v>372</v>
      </c>
    </row>
    <row r="776" spans="1:7" x14ac:dyDescent="0.25">
      <c r="A776" s="10" t="s">
        <v>2838</v>
      </c>
      <c r="B776" s="10" t="s">
        <v>2845</v>
      </c>
      <c r="C776" t="str">
        <f>Table13[[#This Row],[Manufacturer]]&amp;" "&amp;Table13[[#This Row],[Model]]</f>
        <v>Huber+Suhner 74Z-0-0-45</v>
      </c>
      <c r="D776" s="1">
        <v>15</v>
      </c>
      <c r="E776" s="1">
        <v>15</v>
      </c>
      <c r="F776" s="38">
        <v>30</v>
      </c>
      <c r="G776" t="s">
        <v>372</v>
      </c>
    </row>
    <row r="777" spans="1:7" x14ac:dyDescent="0.25">
      <c r="A777" s="10" t="s">
        <v>2838</v>
      </c>
      <c r="B777" s="10" t="s">
        <v>2844</v>
      </c>
      <c r="C777" t="str">
        <f>Table13[[#This Row],[Manufacturer]]&amp;" "&amp;Table13[[#This Row],[Model]]</f>
        <v>Huber+Suhner 74Z-0-0-492</v>
      </c>
      <c r="D777" s="1">
        <v>15</v>
      </c>
      <c r="E777" s="1">
        <v>15</v>
      </c>
      <c r="F777" s="38">
        <v>90</v>
      </c>
      <c r="G777" t="s">
        <v>372</v>
      </c>
    </row>
    <row r="778" spans="1:7" x14ac:dyDescent="0.25">
      <c r="A778" s="10" t="s">
        <v>2838</v>
      </c>
      <c r="B778" s="10" t="s">
        <v>2843</v>
      </c>
      <c r="C778" t="str">
        <f>Table13[[#This Row],[Manufacturer]]&amp;" "&amp;Table13[[#This Row],[Model]]</f>
        <v>Huber+Suhner 74Z-0-0-500</v>
      </c>
      <c r="D778" s="1">
        <v>15</v>
      </c>
      <c r="E778" s="1">
        <v>15</v>
      </c>
      <c r="F778" s="38">
        <v>500</v>
      </c>
      <c r="G778" t="s">
        <v>372</v>
      </c>
    </row>
    <row r="779" spans="1:7" x14ac:dyDescent="0.25">
      <c r="A779" s="10" t="s">
        <v>2838</v>
      </c>
      <c r="B779" s="10" t="s">
        <v>2842</v>
      </c>
      <c r="C779" t="str">
        <f>Table13[[#This Row],[Manufacturer]]&amp;" "&amp;Table13[[#This Row],[Model]]</f>
        <v>Huber+Suhner 74Z-0-0-511</v>
      </c>
      <c r="D779" s="1">
        <v>15</v>
      </c>
      <c r="E779" s="1">
        <v>15</v>
      </c>
      <c r="F779" s="38">
        <v>260</v>
      </c>
      <c r="G779" t="s">
        <v>372</v>
      </c>
    </row>
    <row r="780" spans="1:7" x14ac:dyDescent="0.25">
      <c r="A780" s="10" t="s">
        <v>2838</v>
      </c>
      <c r="B780" s="10" t="s">
        <v>2841</v>
      </c>
      <c r="C780" t="str">
        <f>Table13[[#This Row],[Manufacturer]]&amp;" "&amp;Table13[[#This Row],[Model]]</f>
        <v>Huber+Suhner 74Z-0-0-663</v>
      </c>
      <c r="D780" s="1">
        <v>15</v>
      </c>
      <c r="E780" s="1">
        <v>15</v>
      </c>
      <c r="F780" s="38">
        <v>150</v>
      </c>
      <c r="G780" t="s">
        <v>372</v>
      </c>
    </row>
    <row r="781" spans="1:7" x14ac:dyDescent="0.25">
      <c r="A781" s="10" t="s">
        <v>2838</v>
      </c>
      <c r="B781" s="10" t="s">
        <v>2840</v>
      </c>
      <c r="C781" t="str">
        <f>Table13[[#This Row],[Manufacturer]]&amp;" "&amp;Table13[[#This Row],[Model]]</f>
        <v>Huber+Suhner 74Z-0-0-77</v>
      </c>
      <c r="D781" s="1">
        <v>15</v>
      </c>
      <c r="E781" s="1">
        <v>15</v>
      </c>
      <c r="F781" s="38">
        <v>100</v>
      </c>
      <c r="G781" t="s">
        <v>372</v>
      </c>
    </row>
    <row r="782" spans="1:7" x14ac:dyDescent="0.25">
      <c r="A782" s="10" t="s">
        <v>2838</v>
      </c>
      <c r="B782" s="10" t="s">
        <v>2839</v>
      </c>
      <c r="C782" t="str">
        <f>Table13[[#This Row],[Manufacturer]]&amp;" "&amp;Table13[[#This Row],[Model]]</f>
        <v>Huber+Suhner 74Z-0-0-79</v>
      </c>
      <c r="D782" s="1">
        <v>15</v>
      </c>
      <c r="E782" s="1">
        <v>15</v>
      </c>
      <c r="F782" s="38">
        <v>45</v>
      </c>
      <c r="G782" t="s">
        <v>187</v>
      </c>
    </row>
    <row r="783" spans="1:7" x14ac:dyDescent="0.25">
      <c r="A783" s="10" t="s">
        <v>2838</v>
      </c>
      <c r="B783" s="10" t="s">
        <v>2837</v>
      </c>
      <c r="C783" t="str">
        <f>Table13[[#This Row],[Manufacturer]]&amp;" "&amp;Table13[[#This Row],[Model]]</f>
        <v>Huber+Suhner 74Z-0-0-80</v>
      </c>
      <c r="D783" s="1">
        <v>15</v>
      </c>
      <c r="E783" s="1">
        <v>15</v>
      </c>
      <c r="F783" s="38">
        <v>195</v>
      </c>
      <c r="G783" t="s">
        <v>372</v>
      </c>
    </row>
    <row r="784" spans="1:7" x14ac:dyDescent="0.25">
      <c r="A784" s="10" t="s">
        <v>2836</v>
      </c>
      <c r="B784" s="10">
        <v>39102</v>
      </c>
      <c r="C784" t="str">
        <f>Table13[[#This Row],[Manufacturer]]&amp;" "&amp;Table13[[#This Row],[Model]]</f>
        <v>Husky 39102</v>
      </c>
      <c r="D784" s="1">
        <v>4</v>
      </c>
      <c r="E784" s="1">
        <v>6</v>
      </c>
      <c r="F784" s="38">
        <v>250</v>
      </c>
      <c r="G784" t="s">
        <v>164</v>
      </c>
    </row>
    <row r="785" spans="1:7" x14ac:dyDescent="0.25">
      <c r="A785" s="10" t="s">
        <v>2836</v>
      </c>
      <c r="B785" s="10">
        <v>39103</v>
      </c>
      <c r="C785" t="str">
        <f>Table13[[#This Row],[Manufacturer]]&amp;" "&amp;Table13[[#This Row],[Model]]</f>
        <v>Husky 39103</v>
      </c>
      <c r="D785" s="1">
        <v>4</v>
      </c>
      <c r="E785" s="1">
        <v>5</v>
      </c>
      <c r="F785" s="38">
        <v>100</v>
      </c>
      <c r="G785" t="s">
        <v>166</v>
      </c>
    </row>
    <row r="786" spans="1:7" x14ac:dyDescent="0.25">
      <c r="A786" s="10" t="s">
        <v>2836</v>
      </c>
      <c r="B786" s="10">
        <v>39104</v>
      </c>
      <c r="C786" t="str">
        <f>Table13[[#This Row],[Manufacturer]]&amp;" "&amp;Table13[[#This Row],[Model]]</f>
        <v>Husky 39104</v>
      </c>
      <c r="D786" s="1">
        <v>3</v>
      </c>
      <c r="E786" s="1" t="s">
        <v>169</v>
      </c>
      <c r="F786" s="38">
        <v>250</v>
      </c>
      <c r="G786" t="s">
        <v>166</v>
      </c>
    </row>
    <row r="787" spans="1:7" x14ac:dyDescent="0.25">
      <c r="A787" s="10" t="s">
        <v>2836</v>
      </c>
      <c r="B787" s="10">
        <v>564394</v>
      </c>
      <c r="C787" t="str">
        <f>Table13[[#This Row],[Manufacturer]]&amp;" "&amp;Table13[[#This Row],[Model]]</f>
        <v>Husky 564394</v>
      </c>
      <c r="D787" s="1">
        <v>3</v>
      </c>
      <c r="E787" s="1" t="s">
        <v>169</v>
      </c>
      <c r="F787" s="38">
        <v>100</v>
      </c>
      <c r="G787" t="s">
        <v>166</v>
      </c>
    </row>
    <row r="788" spans="1:7" x14ac:dyDescent="0.25">
      <c r="A788" s="10" t="s">
        <v>2836</v>
      </c>
      <c r="B788" s="10">
        <v>564464</v>
      </c>
      <c r="C788" t="str">
        <f>Table13[[#This Row],[Manufacturer]]&amp;" "&amp;Table13[[#This Row],[Model]]</f>
        <v>Husky 564464</v>
      </c>
      <c r="D788" s="1">
        <v>3</v>
      </c>
      <c r="E788" s="1" t="s">
        <v>169</v>
      </c>
      <c r="F788" s="38">
        <v>250</v>
      </c>
      <c r="G788" t="s">
        <v>166</v>
      </c>
    </row>
    <row r="789" spans="1:7" x14ac:dyDescent="0.25">
      <c r="A789" s="10" t="s">
        <v>2836</v>
      </c>
      <c r="B789" s="10" t="s">
        <v>2835</v>
      </c>
      <c r="C789" t="str">
        <f>Table13[[#This Row],[Manufacturer]]&amp;" "&amp;Table13[[#This Row],[Model]]</f>
        <v>Husky H3DTWDIG</v>
      </c>
      <c r="D789" s="1">
        <v>4</v>
      </c>
      <c r="E789" s="1" t="s">
        <v>169</v>
      </c>
      <c r="F789" s="38">
        <v>80</v>
      </c>
      <c r="G789" t="s">
        <v>166</v>
      </c>
    </row>
    <row r="790" spans="1:7" x14ac:dyDescent="0.25">
      <c r="A790" s="10" t="s">
        <v>2832</v>
      </c>
      <c r="B790" s="10" t="s">
        <v>2834</v>
      </c>
      <c r="C790" t="str">
        <f>Table13[[#This Row],[Manufacturer]]&amp;" "&amp;Table13[[#This Row],[Model]]</f>
        <v>Imada DIW-75</v>
      </c>
      <c r="D790" s="1" t="s">
        <v>1412</v>
      </c>
      <c r="E790" s="1" t="s">
        <v>2831</v>
      </c>
      <c r="F790" s="38">
        <v>75</v>
      </c>
      <c r="G790" t="s">
        <v>184</v>
      </c>
    </row>
    <row r="791" spans="1:7" x14ac:dyDescent="0.25">
      <c r="A791" s="10" t="s">
        <v>2832</v>
      </c>
      <c r="B791" s="10" t="s">
        <v>2833</v>
      </c>
      <c r="C791" t="str">
        <f>Table13[[#This Row],[Manufacturer]]&amp;" "&amp;Table13[[#This Row],[Model]]</f>
        <v>Imada GEK030-C3E</v>
      </c>
      <c r="D791" s="1" t="s">
        <v>1412</v>
      </c>
      <c r="E791" s="1" t="s">
        <v>2679</v>
      </c>
    </row>
    <row r="792" spans="1:7" x14ac:dyDescent="0.25">
      <c r="A792" s="10" t="s">
        <v>2832</v>
      </c>
      <c r="B792" s="10" t="s">
        <v>2683</v>
      </c>
      <c r="C792" t="str">
        <f>Table13[[#This Row],[Manufacturer]]&amp;" "&amp;Table13[[#This Row],[Model]]</f>
        <v>Imada GLK060E</v>
      </c>
      <c r="D792" s="1" t="s">
        <v>1412</v>
      </c>
      <c r="E792" s="1" t="s">
        <v>2831</v>
      </c>
    </row>
    <row r="793" spans="1:7" x14ac:dyDescent="0.25">
      <c r="A793" s="10" t="s">
        <v>2832</v>
      </c>
      <c r="B793" s="10" t="s">
        <v>2682</v>
      </c>
      <c r="C793" t="str">
        <f>Table13[[#This Row],[Manufacturer]]&amp;" "&amp;Table13[[#This Row],[Model]]</f>
        <v>Imada GLK250E</v>
      </c>
      <c r="D793" s="1" t="s">
        <v>1412</v>
      </c>
      <c r="E793" s="1" t="s">
        <v>2831</v>
      </c>
    </row>
    <row r="794" spans="1:7" x14ac:dyDescent="0.25">
      <c r="A794" s="10" t="s">
        <v>2832</v>
      </c>
      <c r="B794" s="10" t="s">
        <v>2680</v>
      </c>
      <c r="C794" t="str">
        <f>Table13[[#This Row],[Manufacturer]]&amp;" "&amp;Table13[[#This Row],[Model]]</f>
        <v>Imada GLK500E</v>
      </c>
      <c r="D794" s="1" t="s">
        <v>1412</v>
      </c>
      <c r="E794" s="1" t="s">
        <v>2831</v>
      </c>
    </row>
    <row r="795" spans="1:7" x14ac:dyDescent="0.25">
      <c r="A795" s="10" t="s">
        <v>2829</v>
      </c>
      <c r="B795" s="10" t="s">
        <v>2830</v>
      </c>
      <c r="C795" t="str">
        <f>Table13[[#This Row],[Manufacturer]]&amp;" "&amp;Table13[[#This Row],[Model]]</f>
        <v>Insize IST-DW18</v>
      </c>
      <c r="D795" s="1">
        <v>4</v>
      </c>
      <c r="E795" s="1">
        <v>4</v>
      </c>
      <c r="F795" s="38">
        <v>150</v>
      </c>
      <c r="G795" t="s">
        <v>164</v>
      </c>
    </row>
    <row r="796" spans="1:7" x14ac:dyDescent="0.25">
      <c r="A796" s="10" t="s">
        <v>2829</v>
      </c>
      <c r="B796" s="10" t="s">
        <v>2828</v>
      </c>
      <c r="C796" t="str">
        <f>Table13[[#This Row],[Manufacturer]]&amp;" "&amp;Table13[[#This Row],[Model]]</f>
        <v>Insize IST-DW9</v>
      </c>
      <c r="D796" s="1">
        <v>4</v>
      </c>
      <c r="E796" s="1">
        <v>4</v>
      </c>
      <c r="F796" s="38">
        <v>75</v>
      </c>
      <c r="G796" t="s">
        <v>164</v>
      </c>
    </row>
    <row r="797" spans="1:7" x14ac:dyDescent="0.25">
      <c r="A797" s="10" t="s">
        <v>2819</v>
      </c>
      <c r="B797" s="10" t="s">
        <v>2827</v>
      </c>
      <c r="C797" t="str">
        <f>Table13[[#This Row],[Manufacturer]]&amp;" "&amp;Table13[[#This Row],[Model]]</f>
        <v>Integra Companies TD-30INLB-B</v>
      </c>
      <c r="D797" s="1">
        <v>4</v>
      </c>
      <c r="E797" s="1" t="s">
        <v>169</v>
      </c>
      <c r="F797" s="38">
        <v>30</v>
      </c>
      <c r="G797" t="s">
        <v>164</v>
      </c>
    </row>
    <row r="798" spans="1:7" x14ac:dyDescent="0.25">
      <c r="A798" s="10" t="s">
        <v>2819</v>
      </c>
      <c r="B798" s="10" t="s">
        <v>2826</v>
      </c>
      <c r="C798" t="str">
        <f>Table13[[#This Row],[Manufacturer]]&amp;" "&amp;Table13[[#This Row],[Model]]</f>
        <v>Integra Companies TD-44INLB-N</v>
      </c>
      <c r="D798" s="1">
        <v>4</v>
      </c>
      <c r="E798" s="1" t="s">
        <v>169</v>
      </c>
      <c r="F798" s="38">
        <v>44</v>
      </c>
      <c r="G798" t="s">
        <v>164</v>
      </c>
    </row>
    <row r="799" spans="1:7" x14ac:dyDescent="0.25">
      <c r="A799" s="10" t="s">
        <v>2819</v>
      </c>
      <c r="B799" s="10" t="s">
        <v>2825</v>
      </c>
      <c r="C799" t="str">
        <f>Table13[[#This Row],[Manufacturer]]&amp;" "&amp;Table13[[#This Row],[Model]]</f>
        <v>Integra Companies TD-50INLB-R</v>
      </c>
      <c r="D799" s="1">
        <v>4</v>
      </c>
      <c r="E799" s="1" t="s">
        <v>169</v>
      </c>
      <c r="F799" s="38">
        <v>50</v>
      </c>
      <c r="G799" t="s">
        <v>164</v>
      </c>
    </row>
    <row r="800" spans="1:7" x14ac:dyDescent="0.25">
      <c r="A800" s="10" t="s">
        <v>2819</v>
      </c>
      <c r="B800" s="10" t="s">
        <v>2824</v>
      </c>
      <c r="C800" t="str">
        <f>Table13[[#This Row],[Manufacturer]]&amp;" "&amp;Table13[[#This Row],[Model]]</f>
        <v>Integra Companies TDEX-30INLB-B</v>
      </c>
      <c r="D800" s="1">
        <v>4</v>
      </c>
      <c r="E800" s="1" t="s">
        <v>169</v>
      </c>
      <c r="F800" s="38">
        <v>30</v>
      </c>
      <c r="G800" t="s">
        <v>164</v>
      </c>
    </row>
    <row r="801" spans="1:7" x14ac:dyDescent="0.25">
      <c r="A801" s="10" t="s">
        <v>2819</v>
      </c>
      <c r="B801" s="10" t="s">
        <v>2823</v>
      </c>
      <c r="C801" t="str">
        <f>Table13[[#This Row],[Manufacturer]]&amp;" "&amp;Table13[[#This Row],[Model]]</f>
        <v>Integra Companies TDEX-44INLB-N</v>
      </c>
      <c r="D801" s="1">
        <v>4</v>
      </c>
      <c r="E801" s="1" t="s">
        <v>169</v>
      </c>
      <c r="F801" s="38">
        <v>44</v>
      </c>
      <c r="G801" t="s">
        <v>164</v>
      </c>
    </row>
    <row r="802" spans="1:7" x14ac:dyDescent="0.25">
      <c r="A802" s="10" t="s">
        <v>2819</v>
      </c>
      <c r="B802" s="10" t="s">
        <v>2822</v>
      </c>
      <c r="C802" t="str">
        <f>Table13[[#This Row],[Manufacturer]]&amp;" "&amp;Table13[[#This Row],[Model]]</f>
        <v>Integra Companies TDEX-50INLB-R</v>
      </c>
      <c r="D802" s="1">
        <v>4</v>
      </c>
      <c r="E802" s="1" t="s">
        <v>169</v>
      </c>
      <c r="F802" s="38">
        <v>50</v>
      </c>
      <c r="G802" t="s">
        <v>164</v>
      </c>
    </row>
    <row r="803" spans="1:7" x14ac:dyDescent="0.25">
      <c r="A803" s="10" t="s">
        <v>2819</v>
      </c>
      <c r="B803" s="10" t="s">
        <v>2821</v>
      </c>
      <c r="C803" t="str">
        <f>Table13[[#This Row],[Manufacturer]]&amp;" "&amp;Table13[[#This Row],[Model]]</f>
        <v>Integra Companies TDR-30INLB-B</v>
      </c>
      <c r="D803" s="1">
        <v>4</v>
      </c>
      <c r="E803" s="1" t="s">
        <v>169</v>
      </c>
      <c r="F803" s="38">
        <v>30</v>
      </c>
      <c r="G803" t="s">
        <v>164</v>
      </c>
    </row>
    <row r="804" spans="1:7" x14ac:dyDescent="0.25">
      <c r="A804" s="10" t="s">
        <v>2819</v>
      </c>
      <c r="B804" s="10" t="s">
        <v>2820</v>
      </c>
      <c r="C804" t="str">
        <f>Table13[[#This Row],[Manufacturer]]&amp;" "&amp;Table13[[#This Row],[Model]]</f>
        <v>Integra Companies TDR-44INLB-N</v>
      </c>
      <c r="D804" s="1">
        <v>4</v>
      </c>
      <c r="E804" s="1" t="s">
        <v>169</v>
      </c>
      <c r="F804" s="38">
        <v>44</v>
      </c>
      <c r="G804" t="s">
        <v>164</v>
      </c>
    </row>
    <row r="805" spans="1:7" x14ac:dyDescent="0.25">
      <c r="A805" s="10" t="s">
        <v>2819</v>
      </c>
      <c r="B805" s="10" t="s">
        <v>2818</v>
      </c>
      <c r="C805" t="str">
        <f>Table13[[#This Row],[Manufacturer]]&amp;" "&amp;Table13[[#This Row],[Model]]</f>
        <v>Integra Companies TDR-50INLB-R</v>
      </c>
      <c r="D805" s="1">
        <v>4</v>
      </c>
      <c r="E805" s="1" t="s">
        <v>169</v>
      </c>
      <c r="F805" s="38">
        <v>50</v>
      </c>
      <c r="G805" t="s">
        <v>164</v>
      </c>
    </row>
    <row r="806" spans="1:7" x14ac:dyDescent="0.25">
      <c r="A806" s="10" t="s">
        <v>2806</v>
      </c>
      <c r="B806" s="10" t="s">
        <v>2817</v>
      </c>
      <c r="C806" t="str">
        <f>Table13[[#This Row],[Manufacturer]]&amp;" "&amp;Table13[[#This Row],[Model]]</f>
        <v>J.H. Williams BTD 1 250</v>
      </c>
      <c r="D806" s="1">
        <v>4</v>
      </c>
      <c r="E806" s="1">
        <v>4</v>
      </c>
      <c r="F806" s="38">
        <v>250</v>
      </c>
      <c r="G806" t="s">
        <v>164</v>
      </c>
    </row>
    <row r="807" spans="1:7" x14ac:dyDescent="0.25">
      <c r="A807" s="10" t="s">
        <v>2806</v>
      </c>
      <c r="B807" s="10" t="s">
        <v>2816</v>
      </c>
      <c r="C807" t="str">
        <f>Table13[[#This Row],[Manufacturer]]&amp;" "&amp;Table13[[#This Row],[Model]]</f>
        <v>J.H. Williams BTD 2 250</v>
      </c>
      <c r="D807" s="1">
        <v>4</v>
      </c>
      <c r="E807" s="1">
        <v>4</v>
      </c>
      <c r="F807" s="38">
        <v>250</v>
      </c>
      <c r="G807" t="s">
        <v>164</v>
      </c>
    </row>
    <row r="808" spans="1:7" x14ac:dyDescent="0.25">
      <c r="A808" s="10" t="s">
        <v>2806</v>
      </c>
      <c r="B808" s="10" t="s">
        <v>2815</v>
      </c>
      <c r="C808" t="str">
        <f>Table13[[#This Row],[Manufacturer]]&amp;" "&amp;Table13[[#This Row],[Model]]</f>
        <v>J.H. Williams BTD 2 250F</v>
      </c>
      <c r="D808" s="1">
        <v>4</v>
      </c>
      <c r="E808" s="1">
        <v>4</v>
      </c>
      <c r="F808" s="38">
        <v>250</v>
      </c>
      <c r="G808" t="s">
        <v>166</v>
      </c>
    </row>
    <row r="809" spans="1:7" x14ac:dyDescent="0.25">
      <c r="A809" s="10" t="s">
        <v>2806</v>
      </c>
      <c r="B809" s="10" t="s">
        <v>2814</v>
      </c>
      <c r="C809" t="str">
        <f>Table13[[#This Row],[Manufacturer]]&amp;" "&amp;Table13[[#This Row],[Model]]</f>
        <v>J.H. Williams BTD 2 50F</v>
      </c>
      <c r="D809" s="1">
        <v>4</v>
      </c>
      <c r="E809" s="1">
        <v>4</v>
      </c>
      <c r="F809" s="38">
        <v>50</v>
      </c>
      <c r="G809" t="s">
        <v>166</v>
      </c>
    </row>
    <row r="810" spans="1:7" x14ac:dyDescent="0.25">
      <c r="A810" s="10" t="s">
        <v>2806</v>
      </c>
      <c r="B810" s="10" t="s">
        <v>2813</v>
      </c>
      <c r="C810" t="str">
        <f>Table13[[#This Row],[Manufacturer]]&amp;" "&amp;Table13[[#This Row],[Model]]</f>
        <v>J.H. Williams BTD 3 50F</v>
      </c>
      <c r="D810" s="1">
        <v>4</v>
      </c>
      <c r="E810" s="1">
        <v>4</v>
      </c>
      <c r="F810" s="38">
        <v>50</v>
      </c>
      <c r="G810" t="s">
        <v>166</v>
      </c>
    </row>
    <row r="811" spans="1:7" x14ac:dyDescent="0.25">
      <c r="A811" s="10" t="s">
        <v>2806</v>
      </c>
      <c r="B811" s="10" t="s">
        <v>2812</v>
      </c>
      <c r="C811" t="str">
        <f>Table13[[#This Row],[Manufacturer]]&amp;" "&amp;Table13[[#This Row],[Model]]</f>
        <v>J.H. Williams HTD 2 350F</v>
      </c>
      <c r="D811" s="1">
        <v>4</v>
      </c>
      <c r="E811" s="1">
        <v>4</v>
      </c>
      <c r="F811" s="38">
        <v>350</v>
      </c>
      <c r="G811" t="s">
        <v>166</v>
      </c>
    </row>
    <row r="812" spans="1:7" x14ac:dyDescent="0.25">
      <c r="A812" s="10" t="s">
        <v>2806</v>
      </c>
      <c r="B812" s="10" t="s">
        <v>2811</v>
      </c>
      <c r="C812" t="str">
        <f>Table13[[#This Row],[Manufacturer]]&amp;" "&amp;Table13[[#This Row],[Model]]</f>
        <v>J.H. Williams HTD 2 600F</v>
      </c>
      <c r="D812" s="1">
        <v>4</v>
      </c>
      <c r="E812" s="1">
        <v>4</v>
      </c>
      <c r="F812" s="38">
        <v>600</v>
      </c>
      <c r="G812" t="s">
        <v>166</v>
      </c>
    </row>
    <row r="813" spans="1:7" x14ac:dyDescent="0.25">
      <c r="A813" s="10" t="s">
        <v>2806</v>
      </c>
      <c r="B813" s="10" t="s">
        <v>2810</v>
      </c>
      <c r="C813" t="str">
        <f>Table13[[#This Row],[Manufacturer]]&amp;" "&amp;Table13[[#This Row],[Model]]</f>
        <v>J.H. Williams HTD 3 600F</v>
      </c>
      <c r="D813" s="1">
        <v>4</v>
      </c>
      <c r="E813" s="1">
        <v>4</v>
      </c>
      <c r="F813" s="38">
        <v>600</v>
      </c>
      <c r="G813" t="s">
        <v>166</v>
      </c>
    </row>
    <row r="814" spans="1:7" x14ac:dyDescent="0.25">
      <c r="A814" s="10" t="s">
        <v>2806</v>
      </c>
      <c r="B814" s="10" t="s">
        <v>2809</v>
      </c>
      <c r="C814" t="str">
        <f>Table13[[#This Row],[Manufacturer]]&amp;" "&amp;Table13[[#This Row],[Model]]</f>
        <v>J.H. Williams MTD 2 75</v>
      </c>
      <c r="D814" s="1">
        <v>4</v>
      </c>
      <c r="E814" s="1">
        <v>4</v>
      </c>
      <c r="F814" s="38">
        <v>75</v>
      </c>
      <c r="G814" t="s">
        <v>164</v>
      </c>
    </row>
    <row r="815" spans="1:7" x14ac:dyDescent="0.25">
      <c r="A815" s="10" t="s">
        <v>2806</v>
      </c>
      <c r="B815" s="10" t="s">
        <v>2808</v>
      </c>
      <c r="C815" t="str">
        <f>Table13[[#This Row],[Manufacturer]]&amp;" "&amp;Table13[[#This Row],[Model]]</f>
        <v>J.H. Williams STD 1 250F</v>
      </c>
      <c r="D815" s="1">
        <v>4</v>
      </c>
      <c r="E815" s="1">
        <v>4</v>
      </c>
      <c r="F815" s="38">
        <v>250</v>
      </c>
      <c r="G815" t="s">
        <v>166</v>
      </c>
    </row>
    <row r="816" spans="1:7" x14ac:dyDescent="0.25">
      <c r="A816" s="10" t="s">
        <v>2806</v>
      </c>
      <c r="B816" s="10" t="s">
        <v>2807</v>
      </c>
      <c r="C816" t="str">
        <f>Table13[[#This Row],[Manufacturer]]&amp;" "&amp;Table13[[#This Row],[Model]]</f>
        <v>J.H. Williams STD 3 250F</v>
      </c>
      <c r="D816" s="1">
        <v>4</v>
      </c>
      <c r="E816" s="1">
        <v>4</v>
      </c>
      <c r="F816" s="38">
        <v>250</v>
      </c>
      <c r="G816" t="s">
        <v>166</v>
      </c>
    </row>
    <row r="817" spans="1:7" x14ac:dyDescent="0.25">
      <c r="A817" s="10" t="s">
        <v>2806</v>
      </c>
      <c r="B817" s="10" t="s">
        <v>2805</v>
      </c>
      <c r="C817" t="str">
        <f>Table13[[#This Row],[Manufacturer]]&amp;" "&amp;Table13[[#This Row],[Model]]</f>
        <v>J.H. Williams XTD 3 2000F</v>
      </c>
      <c r="D817" s="1">
        <v>4</v>
      </c>
      <c r="E817" s="1">
        <v>4</v>
      </c>
      <c r="F817" s="38">
        <v>2000</v>
      </c>
      <c r="G817" t="s">
        <v>166</v>
      </c>
    </row>
    <row r="818" spans="1:7" x14ac:dyDescent="0.25">
      <c r="A818" s="10" t="s">
        <v>2779</v>
      </c>
      <c r="B818" s="10" t="s">
        <v>2804</v>
      </c>
      <c r="C818" t="str">
        <f>Table13[[#This Row],[Manufacturer]]&amp;" "&amp;Table13[[#This Row],[Model]]</f>
        <v>Jetco D1-100I-P</v>
      </c>
      <c r="D818" s="1">
        <v>1</v>
      </c>
      <c r="E818" s="1">
        <v>1</v>
      </c>
      <c r="F818" s="38">
        <v>100</v>
      </c>
      <c r="G818" t="s">
        <v>164</v>
      </c>
    </row>
    <row r="819" spans="1:7" x14ac:dyDescent="0.25">
      <c r="A819" s="10" t="s">
        <v>2779</v>
      </c>
      <c r="B819" s="10" t="s">
        <v>2803</v>
      </c>
      <c r="C819" t="str">
        <f>Table13[[#This Row],[Manufacturer]]&amp;" "&amp;Table13[[#This Row],[Model]]</f>
        <v>Jetco D1-150I</v>
      </c>
      <c r="D819" s="1">
        <v>4</v>
      </c>
      <c r="E819" s="1">
        <v>4</v>
      </c>
      <c r="F819" s="38">
        <v>150</v>
      </c>
      <c r="G819" t="s">
        <v>164</v>
      </c>
    </row>
    <row r="820" spans="1:7" x14ac:dyDescent="0.25">
      <c r="A820" s="10" t="s">
        <v>2779</v>
      </c>
      <c r="B820" s="10" t="s">
        <v>2802</v>
      </c>
      <c r="C820" t="str">
        <f>Table13[[#This Row],[Manufacturer]]&amp;" "&amp;Table13[[#This Row],[Model]]</f>
        <v>Jetco D1-250I</v>
      </c>
      <c r="D820" s="1">
        <v>4</v>
      </c>
      <c r="E820" s="1">
        <v>4</v>
      </c>
      <c r="F820" s="38">
        <v>250</v>
      </c>
      <c r="G820" t="s">
        <v>164</v>
      </c>
    </row>
    <row r="821" spans="1:7" x14ac:dyDescent="0.25">
      <c r="A821" s="10" t="s">
        <v>2779</v>
      </c>
      <c r="B821" s="10" t="s">
        <v>2801</v>
      </c>
      <c r="C821" t="str">
        <f>Table13[[#This Row],[Manufacturer]]&amp;" "&amp;Table13[[#This Row],[Model]]</f>
        <v>Jetco D1-30I</v>
      </c>
      <c r="D821" s="1">
        <v>4</v>
      </c>
      <c r="E821" s="1">
        <v>4</v>
      </c>
      <c r="F821" s="38">
        <v>30</v>
      </c>
      <c r="G821" t="s">
        <v>164</v>
      </c>
    </row>
    <row r="822" spans="1:7" x14ac:dyDescent="0.25">
      <c r="A822" s="10" t="s">
        <v>2779</v>
      </c>
      <c r="B822" s="10" t="s">
        <v>2800</v>
      </c>
      <c r="C822" t="str">
        <f>Table13[[#This Row],[Manufacturer]]&amp;" "&amp;Table13[[#This Row],[Model]]</f>
        <v>Jetco D1-50F</v>
      </c>
      <c r="D822" s="1">
        <v>4</v>
      </c>
      <c r="E822" s="1">
        <v>4</v>
      </c>
      <c r="F822" s="38">
        <v>50</v>
      </c>
      <c r="G822" t="s">
        <v>166</v>
      </c>
    </row>
    <row r="823" spans="1:7" x14ac:dyDescent="0.25">
      <c r="A823" s="10" t="s">
        <v>2779</v>
      </c>
      <c r="B823" s="10" t="s">
        <v>2799</v>
      </c>
      <c r="C823" t="str">
        <f>Table13[[#This Row],[Manufacturer]]&amp;" "&amp;Table13[[#This Row],[Model]]</f>
        <v>Jetco D1-50F-E</v>
      </c>
      <c r="D823" s="1">
        <v>4</v>
      </c>
      <c r="E823" s="1">
        <v>4</v>
      </c>
      <c r="F823" s="38">
        <v>50</v>
      </c>
      <c r="G823" t="s">
        <v>166</v>
      </c>
    </row>
    <row r="824" spans="1:7" x14ac:dyDescent="0.25">
      <c r="A824" s="10" t="s">
        <v>2779</v>
      </c>
      <c r="B824" s="10" t="s">
        <v>2798</v>
      </c>
      <c r="C824" t="str">
        <f>Table13[[#This Row],[Manufacturer]]&amp;" "&amp;Table13[[#This Row],[Model]]</f>
        <v>Jetco D1-50I-P</v>
      </c>
      <c r="D824" s="1">
        <v>1</v>
      </c>
      <c r="E824" s="1">
        <v>1</v>
      </c>
      <c r="F824" s="38">
        <v>50</v>
      </c>
      <c r="G824" t="s">
        <v>164</v>
      </c>
    </row>
    <row r="825" spans="1:7" x14ac:dyDescent="0.25">
      <c r="A825" s="10" t="s">
        <v>2779</v>
      </c>
      <c r="B825" s="10" t="s">
        <v>2797</v>
      </c>
      <c r="C825" t="str">
        <f>Table13[[#This Row],[Manufacturer]]&amp;" "&amp;Table13[[#This Row],[Model]]</f>
        <v>Jetco D1-600I</v>
      </c>
      <c r="D825" s="1">
        <v>4</v>
      </c>
      <c r="E825" s="1">
        <v>4</v>
      </c>
      <c r="F825" s="38">
        <v>600</v>
      </c>
      <c r="G825" t="s">
        <v>164</v>
      </c>
    </row>
    <row r="826" spans="1:7" x14ac:dyDescent="0.25">
      <c r="A826" s="10" t="s">
        <v>2779</v>
      </c>
      <c r="B826" s="10" t="s">
        <v>2796</v>
      </c>
      <c r="C826" t="str">
        <f>Table13[[#This Row],[Manufacturer]]&amp;" "&amp;Table13[[#This Row],[Model]]</f>
        <v>Jetco D1-75I</v>
      </c>
      <c r="D826" s="1">
        <v>4</v>
      </c>
      <c r="E826" s="1">
        <v>4</v>
      </c>
      <c r="F826" s="38">
        <v>75</v>
      </c>
      <c r="G826" t="s">
        <v>164</v>
      </c>
    </row>
    <row r="827" spans="1:7" x14ac:dyDescent="0.25">
      <c r="A827" s="10" t="s">
        <v>2779</v>
      </c>
      <c r="B827" s="10" t="s">
        <v>2795</v>
      </c>
      <c r="C827" t="str">
        <f>Table13[[#This Row],[Manufacturer]]&amp;" "&amp;Table13[[#This Row],[Model]]</f>
        <v>Jetco D1-75I-P</v>
      </c>
      <c r="D827" s="1">
        <v>1</v>
      </c>
      <c r="E827" s="1">
        <v>1</v>
      </c>
      <c r="F827" s="38">
        <v>75</v>
      </c>
      <c r="G827" t="s">
        <v>164</v>
      </c>
    </row>
    <row r="828" spans="1:7" x14ac:dyDescent="0.25">
      <c r="A828" s="10" t="s">
        <v>2779</v>
      </c>
      <c r="B828" s="10" t="s">
        <v>2794</v>
      </c>
      <c r="C828" t="str">
        <f>Table13[[#This Row],[Manufacturer]]&amp;" "&amp;Table13[[#This Row],[Model]]</f>
        <v>Jetco D3-100F</v>
      </c>
      <c r="D828" s="1">
        <v>4</v>
      </c>
      <c r="E828" s="1">
        <v>4</v>
      </c>
      <c r="F828" s="38">
        <v>100</v>
      </c>
      <c r="G828" t="s">
        <v>166</v>
      </c>
    </row>
    <row r="829" spans="1:7" x14ac:dyDescent="0.25">
      <c r="A829" s="10" t="s">
        <v>2779</v>
      </c>
      <c r="B829" s="10" t="s">
        <v>2793</v>
      </c>
      <c r="C829" t="str">
        <f>Table13[[#This Row],[Manufacturer]]&amp;" "&amp;Table13[[#This Row],[Model]]</f>
        <v>Jetco D3-175F</v>
      </c>
      <c r="D829" s="1">
        <v>4</v>
      </c>
      <c r="E829" s="1">
        <v>4</v>
      </c>
      <c r="F829" s="38">
        <v>175</v>
      </c>
      <c r="G829" t="s">
        <v>166</v>
      </c>
    </row>
    <row r="830" spans="1:7" x14ac:dyDescent="0.25">
      <c r="A830" s="10" t="s">
        <v>2779</v>
      </c>
      <c r="B830" s="10" t="s">
        <v>2792</v>
      </c>
      <c r="C830" t="str">
        <f>Table13[[#This Row],[Manufacturer]]&amp;" "&amp;Table13[[#This Row],[Model]]</f>
        <v>Jetco D3-250F</v>
      </c>
      <c r="D830" s="1">
        <v>4</v>
      </c>
      <c r="E830" s="1">
        <v>4</v>
      </c>
      <c r="F830" s="38">
        <v>250</v>
      </c>
      <c r="G830" t="s">
        <v>166</v>
      </c>
    </row>
    <row r="831" spans="1:7" x14ac:dyDescent="0.25">
      <c r="A831" s="10" t="s">
        <v>2779</v>
      </c>
      <c r="B831" s="10" t="s">
        <v>2791</v>
      </c>
      <c r="C831" t="str">
        <f>Table13[[#This Row],[Manufacturer]]&amp;" "&amp;Table13[[#This Row],[Model]]</f>
        <v>Jetco D3-600F</v>
      </c>
      <c r="D831" s="1">
        <v>4</v>
      </c>
      <c r="E831" s="1">
        <v>4</v>
      </c>
      <c r="F831" s="38">
        <v>600</v>
      </c>
      <c r="G831" t="s">
        <v>166</v>
      </c>
    </row>
    <row r="832" spans="1:7" x14ac:dyDescent="0.25">
      <c r="A832" s="10" t="s">
        <v>2779</v>
      </c>
      <c r="B832" s="10" t="s">
        <v>2790</v>
      </c>
      <c r="C832" t="str">
        <f>Table13[[#This Row],[Manufacturer]]&amp;" "&amp;Table13[[#This Row],[Model]]</f>
        <v>Jetco D4-1000F</v>
      </c>
      <c r="D832" s="1">
        <v>4</v>
      </c>
      <c r="E832" s="1">
        <v>4</v>
      </c>
      <c r="F832" s="38">
        <v>1000</v>
      </c>
      <c r="G832" t="s">
        <v>166</v>
      </c>
    </row>
    <row r="833" spans="1:7" x14ac:dyDescent="0.25">
      <c r="A833" s="10" t="s">
        <v>2779</v>
      </c>
      <c r="B833" s="10" t="s">
        <v>2789</v>
      </c>
      <c r="C833" t="str">
        <f>Table13[[#This Row],[Manufacturer]]&amp;" "&amp;Table13[[#This Row],[Model]]</f>
        <v>Jetco D4-350F</v>
      </c>
      <c r="D833" s="1">
        <v>4</v>
      </c>
      <c r="E833" s="1">
        <v>4</v>
      </c>
      <c r="F833" s="38">
        <v>350</v>
      </c>
      <c r="G833" t="s">
        <v>166</v>
      </c>
    </row>
    <row r="834" spans="1:7" x14ac:dyDescent="0.25">
      <c r="A834" s="10" t="s">
        <v>2779</v>
      </c>
      <c r="B834" s="10" t="s">
        <v>2788</v>
      </c>
      <c r="C834" t="str">
        <f>Table13[[#This Row],[Manufacturer]]&amp;" "&amp;Table13[[#This Row],[Model]]</f>
        <v>Jetco D5-2000F</v>
      </c>
      <c r="D834" s="1">
        <v>4</v>
      </c>
      <c r="E834" s="1">
        <v>4</v>
      </c>
      <c r="F834" s="38">
        <v>2000</v>
      </c>
      <c r="G834" t="s">
        <v>166</v>
      </c>
    </row>
    <row r="835" spans="1:7" x14ac:dyDescent="0.25">
      <c r="A835" s="10" t="s">
        <v>2779</v>
      </c>
      <c r="B835" s="10" t="s">
        <v>2787</v>
      </c>
      <c r="C835" t="str">
        <f>Table13[[#This Row],[Manufacturer]]&amp;" "&amp;Table13[[#This Row],[Model]]</f>
        <v>Jetco ED-100F</v>
      </c>
      <c r="D835" s="1">
        <v>1</v>
      </c>
      <c r="E835" s="1">
        <v>1</v>
      </c>
      <c r="F835" s="38">
        <v>100</v>
      </c>
      <c r="G835" t="s">
        <v>166</v>
      </c>
    </row>
    <row r="836" spans="1:7" x14ac:dyDescent="0.25">
      <c r="A836" s="10" t="s">
        <v>2779</v>
      </c>
      <c r="B836" s="10" t="s">
        <v>2786</v>
      </c>
      <c r="C836" t="str">
        <f>Table13[[#This Row],[Manufacturer]]&amp;" "&amp;Table13[[#This Row],[Model]]</f>
        <v>Jetco ED-100I</v>
      </c>
      <c r="D836" s="1">
        <v>1</v>
      </c>
      <c r="E836" s="1">
        <v>1</v>
      </c>
      <c r="F836" s="38">
        <v>100</v>
      </c>
      <c r="G836" t="s">
        <v>164</v>
      </c>
    </row>
    <row r="837" spans="1:7" x14ac:dyDescent="0.25">
      <c r="A837" s="10" t="s">
        <v>2779</v>
      </c>
      <c r="B837" s="10" t="s">
        <v>2785</v>
      </c>
      <c r="C837" t="str">
        <f>Table13[[#This Row],[Manufacturer]]&amp;" "&amp;Table13[[#This Row],[Model]]</f>
        <v>Jetco ED-2000F</v>
      </c>
      <c r="D837" s="1">
        <v>1</v>
      </c>
      <c r="E837" s="1">
        <v>1</v>
      </c>
      <c r="F837" s="38">
        <v>2000</v>
      </c>
      <c r="G837" t="s">
        <v>166</v>
      </c>
    </row>
    <row r="838" spans="1:7" x14ac:dyDescent="0.25">
      <c r="A838" s="10" t="s">
        <v>2779</v>
      </c>
      <c r="B838" s="10" t="s">
        <v>2784</v>
      </c>
      <c r="C838" t="str">
        <f>Table13[[#This Row],[Manufacturer]]&amp;" "&amp;Table13[[#This Row],[Model]]</f>
        <v>Jetco ED-250F</v>
      </c>
      <c r="D838" s="1">
        <v>1</v>
      </c>
      <c r="E838" s="1">
        <v>1</v>
      </c>
      <c r="F838" s="38">
        <v>250</v>
      </c>
      <c r="G838" t="s">
        <v>166</v>
      </c>
    </row>
    <row r="839" spans="1:7" x14ac:dyDescent="0.25">
      <c r="A839" s="10" t="s">
        <v>2779</v>
      </c>
      <c r="B839" s="10" t="s">
        <v>2783</v>
      </c>
      <c r="C839" t="str">
        <f>Table13[[#This Row],[Manufacturer]]&amp;" "&amp;Table13[[#This Row],[Model]]</f>
        <v>Jetco ED-250I</v>
      </c>
      <c r="D839" s="1">
        <v>1</v>
      </c>
      <c r="E839" s="1">
        <v>1</v>
      </c>
      <c r="F839" s="38">
        <v>250</v>
      </c>
      <c r="G839" t="s">
        <v>164</v>
      </c>
    </row>
    <row r="840" spans="1:7" x14ac:dyDescent="0.25">
      <c r="A840" s="10" t="s">
        <v>2779</v>
      </c>
      <c r="B840" s="10" t="s">
        <v>2782</v>
      </c>
      <c r="C840" t="str">
        <f>Table13[[#This Row],[Manufacturer]]&amp;" "&amp;Table13[[#This Row],[Model]]</f>
        <v>Jetco ED-50F</v>
      </c>
      <c r="D840" s="1">
        <v>1</v>
      </c>
      <c r="E840" s="1">
        <v>1</v>
      </c>
      <c r="F840" s="38">
        <v>50</v>
      </c>
      <c r="G840" t="s">
        <v>166</v>
      </c>
    </row>
    <row r="841" spans="1:7" x14ac:dyDescent="0.25">
      <c r="A841" s="10" t="s">
        <v>2779</v>
      </c>
      <c r="B841" s="10" t="s">
        <v>2781</v>
      </c>
      <c r="C841" t="str">
        <f>Table13[[#This Row],[Manufacturer]]&amp;" "&amp;Table13[[#This Row],[Model]]</f>
        <v>Jetco ED-50I</v>
      </c>
      <c r="D841" s="1">
        <v>1</v>
      </c>
      <c r="E841" s="1">
        <v>1</v>
      </c>
      <c r="F841" s="38">
        <v>50</v>
      </c>
      <c r="G841" t="s">
        <v>164</v>
      </c>
    </row>
    <row r="842" spans="1:7" x14ac:dyDescent="0.25">
      <c r="A842" s="10" t="s">
        <v>2779</v>
      </c>
      <c r="B842" s="10" t="s">
        <v>2780</v>
      </c>
      <c r="C842" t="str">
        <f>Table13[[#This Row],[Manufacturer]]&amp;" "&amp;Table13[[#This Row],[Model]]</f>
        <v>Jetco ED-600F</v>
      </c>
      <c r="D842" s="1">
        <v>1</v>
      </c>
      <c r="E842" s="1">
        <v>1</v>
      </c>
      <c r="F842" s="38">
        <v>600</v>
      </c>
      <c r="G842" t="s">
        <v>166</v>
      </c>
    </row>
    <row r="843" spans="1:7" x14ac:dyDescent="0.25">
      <c r="A843" s="10" t="s">
        <v>2779</v>
      </c>
      <c r="B843" s="10" t="s">
        <v>2778</v>
      </c>
      <c r="C843" t="str">
        <f>Table13[[#This Row],[Manufacturer]]&amp;" "&amp;Table13[[#This Row],[Model]]</f>
        <v>Jetco ED-75I</v>
      </c>
      <c r="D843" s="1">
        <v>1</v>
      </c>
      <c r="E843" s="1">
        <v>1</v>
      </c>
      <c r="F843" s="38">
        <v>75</v>
      </c>
      <c r="G843" t="s">
        <v>164</v>
      </c>
    </row>
    <row r="844" spans="1:7" x14ac:dyDescent="0.25">
      <c r="A844" s="10" t="s">
        <v>2777</v>
      </c>
      <c r="B844" s="10">
        <v>600</v>
      </c>
      <c r="C844" t="str">
        <f>Table13[[#This Row],[Manufacturer]]&amp;" "&amp;Table13[[#This Row],[Model]]</f>
        <v>JO Line 600</v>
      </c>
      <c r="D844" s="1">
        <v>4</v>
      </c>
      <c r="E844" s="1">
        <v>6</v>
      </c>
      <c r="F844" s="38">
        <v>600</v>
      </c>
      <c r="G844" t="s">
        <v>166</v>
      </c>
    </row>
    <row r="845" spans="1:7" x14ac:dyDescent="0.25">
      <c r="A845" s="10" t="s">
        <v>2757</v>
      </c>
      <c r="B845" s="10" t="s">
        <v>2776</v>
      </c>
      <c r="C845" t="str">
        <f>Table13[[#This Row],[Manufacturer]]&amp;" "&amp;Table13[[#This Row],[Model]]</f>
        <v>Jonnesway T07020F</v>
      </c>
      <c r="D845" s="1">
        <v>4</v>
      </c>
      <c r="E845" s="1" t="s">
        <v>2755</v>
      </c>
      <c r="F845" s="38">
        <v>250</v>
      </c>
      <c r="G845" t="s">
        <v>164</v>
      </c>
    </row>
    <row r="846" spans="1:7" x14ac:dyDescent="0.25">
      <c r="A846" s="10" t="s">
        <v>2757</v>
      </c>
      <c r="B846" s="10" t="s">
        <v>2775</v>
      </c>
      <c r="C846" t="str">
        <f>Table13[[#This Row],[Manufacturer]]&amp;" "&amp;Table13[[#This Row],[Model]]</f>
        <v>Jonnesway T07021F</v>
      </c>
      <c r="D846" s="1">
        <v>4</v>
      </c>
      <c r="E846" s="1" t="s">
        <v>2755</v>
      </c>
      <c r="F846" s="38">
        <v>250</v>
      </c>
      <c r="G846" t="s">
        <v>164</v>
      </c>
    </row>
    <row r="847" spans="1:7" x14ac:dyDescent="0.25">
      <c r="A847" s="10" t="s">
        <v>2757</v>
      </c>
      <c r="B847" s="10" t="s">
        <v>2774</v>
      </c>
      <c r="C847" t="str">
        <f>Table13[[#This Row],[Manufacturer]]&amp;" "&amp;Table13[[#This Row],[Model]]</f>
        <v>Jonnesway T07030N</v>
      </c>
      <c r="D847" s="1">
        <v>4</v>
      </c>
      <c r="E847" s="1" t="s">
        <v>2755</v>
      </c>
      <c r="F847" s="38">
        <v>30</v>
      </c>
      <c r="G847" t="s">
        <v>184</v>
      </c>
    </row>
    <row r="848" spans="1:7" x14ac:dyDescent="0.25">
      <c r="A848" s="10" t="s">
        <v>2757</v>
      </c>
      <c r="B848" s="10" t="s">
        <v>2773</v>
      </c>
      <c r="C848" t="str">
        <f>Table13[[#This Row],[Manufacturer]]&amp;" "&amp;Table13[[#This Row],[Model]]</f>
        <v>Jonnesway T07031N</v>
      </c>
      <c r="D848" s="1">
        <v>4</v>
      </c>
      <c r="E848" s="1" t="s">
        <v>2755</v>
      </c>
      <c r="F848" s="38">
        <v>30</v>
      </c>
      <c r="G848" t="s">
        <v>184</v>
      </c>
    </row>
    <row r="849" spans="1:7" x14ac:dyDescent="0.25">
      <c r="A849" s="10" t="s">
        <v>2757</v>
      </c>
      <c r="B849" s="10" t="s">
        <v>2772</v>
      </c>
      <c r="C849" t="str">
        <f>Table13[[#This Row],[Manufacturer]]&amp;" "&amp;Table13[[#This Row],[Model]]</f>
        <v>Jonnesway T07080F</v>
      </c>
      <c r="D849" s="1">
        <v>4</v>
      </c>
      <c r="E849" s="1" t="s">
        <v>2755</v>
      </c>
      <c r="F849" s="38">
        <v>80</v>
      </c>
      <c r="G849" t="s">
        <v>166</v>
      </c>
    </row>
    <row r="850" spans="1:7" x14ac:dyDescent="0.25">
      <c r="A850" s="10" t="s">
        <v>2757</v>
      </c>
      <c r="B850" s="10" t="s">
        <v>2771</v>
      </c>
      <c r="C850" t="str">
        <f>Table13[[#This Row],[Manufacturer]]&amp;" "&amp;Table13[[#This Row],[Model]]</f>
        <v>Jonnesway T07080N</v>
      </c>
      <c r="D850" s="1">
        <v>4</v>
      </c>
      <c r="E850" s="1" t="s">
        <v>2755</v>
      </c>
      <c r="F850" s="38">
        <v>80</v>
      </c>
      <c r="G850" t="s">
        <v>184</v>
      </c>
    </row>
    <row r="851" spans="1:7" x14ac:dyDescent="0.25">
      <c r="A851" s="10" t="s">
        <v>2757</v>
      </c>
      <c r="B851" s="10" t="s">
        <v>2770</v>
      </c>
      <c r="C851" t="str">
        <f>Table13[[#This Row],[Manufacturer]]&amp;" "&amp;Table13[[#This Row],[Model]]</f>
        <v>Jonnesway T07110N</v>
      </c>
      <c r="D851" s="1">
        <v>4</v>
      </c>
      <c r="E851" s="1" t="s">
        <v>2755</v>
      </c>
      <c r="F851" s="38">
        <v>110</v>
      </c>
      <c r="G851" t="s">
        <v>184</v>
      </c>
    </row>
    <row r="852" spans="1:7" x14ac:dyDescent="0.25">
      <c r="A852" s="10" t="s">
        <v>2757</v>
      </c>
      <c r="B852" s="10" t="s">
        <v>2769</v>
      </c>
      <c r="C852" t="str">
        <f>Table13[[#This Row],[Manufacturer]]&amp;" "&amp;Table13[[#This Row],[Model]]</f>
        <v>Jonnesway T071501N</v>
      </c>
      <c r="D852" s="1">
        <v>4</v>
      </c>
      <c r="E852" s="1" t="s">
        <v>2755</v>
      </c>
      <c r="F852" s="38">
        <v>1500</v>
      </c>
      <c r="G852" t="s">
        <v>184</v>
      </c>
    </row>
    <row r="853" spans="1:7" x14ac:dyDescent="0.25">
      <c r="A853" s="10" t="s">
        <v>2757</v>
      </c>
      <c r="B853" s="10" t="s">
        <v>2768</v>
      </c>
      <c r="C853" t="str">
        <f>Table13[[#This Row],[Manufacturer]]&amp;" "&amp;Table13[[#This Row],[Model]]</f>
        <v>Jonnesway T07150F</v>
      </c>
      <c r="D853" s="1">
        <v>4</v>
      </c>
      <c r="E853" s="1" t="s">
        <v>2755</v>
      </c>
      <c r="F853" s="38">
        <v>150</v>
      </c>
      <c r="G853" t="s">
        <v>166</v>
      </c>
    </row>
    <row r="854" spans="1:7" x14ac:dyDescent="0.25">
      <c r="A854" s="10" t="s">
        <v>2757</v>
      </c>
      <c r="B854" s="10" t="s">
        <v>2767</v>
      </c>
      <c r="C854" t="str">
        <f>Table13[[#This Row],[Manufacturer]]&amp;" "&amp;Table13[[#This Row],[Model]]</f>
        <v>Jonnesway T07210N</v>
      </c>
      <c r="D854" s="1">
        <v>4</v>
      </c>
      <c r="E854" s="1" t="s">
        <v>2755</v>
      </c>
      <c r="F854" s="38">
        <v>210</v>
      </c>
      <c r="G854" t="s">
        <v>184</v>
      </c>
    </row>
    <row r="855" spans="1:7" x14ac:dyDescent="0.25">
      <c r="A855" s="10" t="s">
        <v>2757</v>
      </c>
      <c r="B855" s="10" t="s">
        <v>2766</v>
      </c>
      <c r="C855" t="str">
        <f>Table13[[#This Row],[Manufacturer]]&amp;" "&amp;Table13[[#This Row],[Model]]</f>
        <v>Jonnesway T07250F</v>
      </c>
      <c r="D855" s="1">
        <v>4</v>
      </c>
      <c r="E855" s="1" t="s">
        <v>2755</v>
      </c>
      <c r="F855" s="38">
        <v>250</v>
      </c>
      <c r="G855" t="s">
        <v>166</v>
      </c>
    </row>
    <row r="856" spans="1:7" x14ac:dyDescent="0.25">
      <c r="A856" s="10" t="s">
        <v>2757</v>
      </c>
      <c r="B856" s="10" t="s">
        <v>2765</v>
      </c>
      <c r="C856" t="str">
        <f>Table13[[#This Row],[Manufacturer]]&amp;" "&amp;Table13[[#This Row],[Model]]</f>
        <v>Jonnesway T07300F</v>
      </c>
      <c r="D856" s="1">
        <v>4</v>
      </c>
      <c r="E856" s="1" t="s">
        <v>2755</v>
      </c>
      <c r="F856" s="38">
        <v>300</v>
      </c>
      <c r="G856" t="s">
        <v>166</v>
      </c>
    </row>
    <row r="857" spans="1:7" x14ac:dyDescent="0.25">
      <c r="A857" s="10" t="s">
        <v>2757</v>
      </c>
      <c r="B857" s="10" t="s">
        <v>2764</v>
      </c>
      <c r="C857" t="str">
        <f>Table13[[#This Row],[Manufacturer]]&amp;" "&amp;Table13[[#This Row],[Model]]</f>
        <v>Jonnesway T07350N</v>
      </c>
      <c r="D857" s="1">
        <v>4</v>
      </c>
      <c r="E857" s="1" t="s">
        <v>2755</v>
      </c>
      <c r="F857" s="38">
        <v>359</v>
      </c>
      <c r="G857" t="s">
        <v>184</v>
      </c>
    </row>
    <row r="858" spans="1:7" x14ac:dyDescent="0.25">
      <c r="A858" s="10" t="s">
        <v>2757</v>
      </c>
      <c r="B858" s="10" t="s">
        <v>2763</v>
      </c>
      <c r="C858" t="str">
        <f>Table13[[#This Row],[Manufacturer]]&amp;" "&amp;Table13[[#This Row],[Model]]</f>
        <v>Jonnesway T07500N</v>
      </c>
      <c r="D858" s="1">
        <v>4</v>
      </c>
      <c r="E858" s="1" t="s">
        <v>2755</v>
      </c>
      <c r="F858" s="38">
        <v>500</v>
      </c>
      <c r="G858" t="s">
        <v>184</v>
      </c>
    </row>
    <row r="859" spans="1:7" x14ac:dyDescent="0.25">
      <c r="A859" s="10" t="s">
        <v>2757</v>
      </c>
      <c r="B859" s="10" t="s">
        <v>2762</v>
      </c>
      <c r="C859" t="str">
        <f>Table13[[#This Row],[Manufacturer]]&amp;" "&amp;Table13[[#This Row],[Model]]</f>
        <v>Jonnesway T07600F</v>
      </c>
      <c r="D859" s="1">
        <v>4</v>
      </c>
      <c r="E859" s="1" t="s">
        <v>2755</v>
      </c>
      <c r="F859" s="38">
        <v>600</v>
      </c>
      <c r="G859" t="s">
        <v>166</v>
      </c>
    </row>
    <row r="860" spans="1:7" x14ac:dyDescent="0.25">
      <c r="A860" s="10" t="s">
        <v>2757</v>
      </c>
      <c r="B860" s="10" t="s">
        <v>2761</v>
      </c>
      <c r="C860" t="str">
        <f>Table13[[#This Row],[Manufacturer]]&amp;" "&amp;Table13[[#This Row],[Model]]</f>
        <v>Jonnesway T07700F</v>
      </c>
      <c r="D860" s="1">
        <v>4</v>
      </c>
      <c r="E860" s="1" t="s">
        <v>2755</v>
      </c>
      <c r="F860" s="38">
        <v>700</v>
      </c>
      <c r="G860" t="s">
        <v>166</v>
      </c>
    </row>
    <row r="861" spans="1:7" x14ac:dyDescent="0.25">
      <c r="A861" s="10" t="s">
        <v>2757</v>
      </c>
      <c r="B861" s="10" t="s">
        <v>2760</v>
      </c>
      <c r="C861" t="str">
        <f>Table13[[#This Row],[Manufacturer]]&amp;" "&amp;Table13[[#This Row],[Model]]</f>
        <v>Jonnesway T07700N</v>
      </c>
      <c r="D861" s="1">
        <v>4</v>
      </c>
      <c r="E861" s="1" t="s">
        <v>2755</v>
      </c>
      <c r="F861" s="38">
        <v>700</v>
      </c>
      <c r="G861" t="s">
        <v>184</v>
      </c>
    </row>
    <row r="862" spans="1:7" x14ac:dyDescent="0.25">
      <c r="A862" s="10" t="s">
        <v>2757</v>
      </c>
      <c r="B862" s="10" t="s">
        <v>2759</v>
      </c>
      <c r="C862" t="str">
        <f>Table13[[#This Row],[Manufacturer]]&amp;" "&amp;Table13[[#This Row],[Model]]</f>
        <v>Jonnesway T07701F</v>
      </c>
      <c r="D862" s="1">
        <v>4</v>
      </c>
      <c r="E862" s="1" t="s">
        <v>2755</v>
      </c>
      <c r="F862" s="38">
        <v>700</v>
      </c>
      <c r="G862" t="s">
        <v>166</v>
      </c>
    </row>
    <row r="863" spans="1:7" x14ac:dyDescent="0.25">
      <c r="A863" s="10" t="s">
        <v>2757</v>
      </c>
      <c r="B863" s="10" t="s">
        <v>2758</v>
      </c>
      <c r="C863" t="str">
        <f>Table13[[#This Row],[Manufacturer]]&amp;" "&amp;Table13[[#This Row],[Model]]</f>
        <v>Jonnesway T07980N</v>
      </c>
      <c r="D863" s="1">
        <v>4</v>
      </c>
      <c r="E863" s="1" t="s">
        <v>2755</v>
      </c>
      <c r="F863" s="38">
        <v>980</v>
      </c>
      <c r="G863" t="s">
        <v>184</v>
      </c>
    </row>
    <row r="864" spans="1:7" x14ac:dyDescent="0.25">
      <c r="A864" s="10" t="s">
        <v>2757</v>
      </c>
      <c r="B864" s="10" t="s">
        <v>2756</v>
      </c>
      <c r="C864" t="str">
        <f>Table13[[#This Row],[Manufacturer]]&amp;" "&amp;Table13[[#This Row],[Model]]</f>
        <v>Jonnesway T07981N</v>
      </c>
      <c r="D864" s="1">
        <v>4</v>
      </c>
      <c r="E864" s="1" t="s">
        <v>2755</v>
      </c>
      <c r="F864" s="38">
        <v>980</v>
      </c>
      <c r="G864" t="s">
        <v>184</v>
      </c>
    </row>
    <row r="865" spans="1:7" x14ac:dyDescent="0.25">
      <c r="A865" s="10" t="s">
        <v>2754</v>
      </c>
      <c r="B865" s="10">
        <v>51100</v>
      </c>
      <c r="C865" t="str">
        <f>Table13[[#This Row],[Manufacturer]]&amp;" "&amp;Table13[[#This Row],[Model]]</f>
        <v>JS Technology 51100</v>
      </c>
      <c r="D865" s="1">
        <v>4</v>
      </c>
      <c r="E865" s="1">
        <v>6</v>
      </c>
      <c r="F865" s="38">
        <v>150</v>
      </c>
      <c r="G865" t="s">
        <v>164</v>
      </c>
    </row>
    <row r="866" spans="1:7" x14ac:dyDescent="0.25">
      <c r="A866" s="10" t="s">
        <v>2754</v>
      </c>
      <c r="B866" s="10" t="s">
        <v>2753</v>
      </c>
      <c r="C866" t="str">
        <f>Table13[[#This Row],[Manufacturer]]&amp;" "&amp;Table13[[#This Row],[Model]]</f>
        <v>JS Technology G61160</v>
      </c>
      <c r="D866" s="1">
        <v>4</v>
      </c>
      <c r="E866" s="1" t="s">
        <v>169</v>
      </c>
      <c r="F866" s="38">
        <v>150</v>
      </c>
      <c r="G866" t="s">
        <v>164</v>
      </c>
    </row>
    <row r="867" spans="1:7" x14ac:dyDescent="0.25">
      <c r="A867" s="10" t="s">
        <v>2752</v>
      </c>
      <c r="B867" s="10" t="s">
        <v>2751</v>
      </c>
      <c r="C867" t="str">
        <f>Table13[[#This Row],[Manufacturer]]&amp;" "&amp;Table13[[#This Row],[Model]]</f>
        <v>K Tool International KTI-72100</v>
      </c>
      <c r="D867" s="1">
        <v>4</v>
      </c>
      <c r="E867" s="1" t="s">
        <v>169</v>
      </c>
      <c r="F867" s="38">
        <v>200</v>
      </c>
      <c r="G867" t="s">
        <v>164</v>
      </c>
    </row>
    <row r="868" spans="1:7" x14ac:dyDescent="0.25">
      <c r="A868" s="10" t="s">
        <v>2747</v>
      </c>
      <c r="B868" s="10" t="s">
        <v>2750</v>
      </c>
      <c r="C868" t="str">
        <f>Table13[[#This Row],[Manufacturer]]&amp;" "&amp;Table13[[#This Row],[Model]]</f>
        <v>Kabo ARD080B1</v>
      </c>
      <c r="D868" s="1">
        <v>3</v>
      </c>
      <c r="E868" s="1" t="s">
        <v>169</v>
      </c>
      <c r="F868" s="38">
        <v>110</v>
      </c>
      <c r="G868" t="s">
        <v>184</v>
      </c>
    </row>
    <row r="869" spans="1:7" x14ac:dyDescent="0.25">
      <c r="A869" s="10" t="s">
        <v>2747</v>
      </c>
      <c r="B869" s="10" t="s">
        <v>2749</v>
      </c>
      <c r="C869" t="str">
        <f>Table13[[#This Row],[Manufacturer]]&amp;" "&amp;Table13[[#This Row],[Model]]</f>
        <v>Kabo ARD080B2</v>
      </c>
      <c r="D869" s="1">
        <v>3</v>
      </c>
      <c r="E869" s="1" t="s">
        <v>169</v>
      </c>
      <c r="F869" s="38">
        <v>110</v>
      </c>
      <c r="G869" t="s">
        <v>184</v>
      </c>
    </row>
    <row r="870" spans="1:7" x14ac:dyDescent="0.25">
      <c r="A870" s="10" t="s">
        <v>2747</v>
      </c>
      <c r="B870" s="10" t="s">
        <v>2748</v>
      </c>
      <c r="C870" t="str">
        <f>Table13[[#This Row],[Manufacturer]]&amp;" "&amp;Table13[[#This Row],[Model]]</f>
        <v>Kabo ARD150B1</v>
      </c>
      <c r="D870" s="1">
        <v>3</v>
      </c>
      <c r="E870" s="1" t="s">
        <v>169</v>
      </c>
      <c r="F870" s="38">
        <v>210</v>
      </c>
      <c r="G870" t="s">
        <v>184</v>
      </c>
    </row>
    <row r="871" spans="1:7" x14ac:dyDescent="0.25">
      <c r="A871" s="10" t="s">
        <v>2747</v>
      </c>
      <c r="B871" s="10" t="s">
        <v>2746</v>
      </c>
      <c r="C871" t="str">
        <f>Table13[[#This Row],[Manufacturer]]&amp;" "&amp;Table13[[#This Row],[Model]]</f>
        <v>Kabo ARD150B2</v>
      </c>
      <c r="D871" s="1">
        <v>3</v>
      </c>
      <c r="E871" s="1" t="s">
        <v>169</v>
      </c>
      <c r="F871" s="38">
        <v>210</v>
      </c>
      <c r="G871" t="s">
        <v>184</v>
      </c>
    </row>
    <row r="872" spans="1:7" x14ac:dyDescent="0.25">
      <c r="A872" s="10" t="s">
        <v>2712</v>
      </c>
      <c r="B872" s="10" t="s">
        <v>2745</v>
      </c>
      <c r="C872" t="str">
        <f>Table13[[#This Row],[Manufacturer]]&amp;" "&amp;Table13[[#This Row],[Model]]</f>
        <v>Kanon 230QSPK</v>
      </c>
      <c r="D872" s="1">
        <v>3</v>
      </c>
      <c r="E872" s="1" t="s">
        <v>169</v>
      </c>
      <c r="F872" s="38">
        <v>230</v>
      </c>
      <c r="G872" t="s">
        <v>418</v>
      </c>
    </row>
    <row r="873" spans="1:7" x14ac:dyDescent="0.25">
      <c r="A873" s="10" t="s">
        <v>2712</v>
      </c>
      <c r="B873" s="10" t="s">
        <v>2744</v>
      </c>
      <c r="C873" t="str">
        <f>Table13[[#This Row],[Manufacturer]]&amp;" "&amp;Table13[[#This Row],[Model]]</f>
        <v>Kanon N50QLK</v>
      </c>
      <c r="D873" s="1">
        <v>3</v>
      </c>
      <c r="E873" s="1" t="s">
        <v>2743</v>
      </c>
      <c r="F873" s="38">
        <v>50</v>
      </c>
      <c r="G873" t="s">
        <v>184</v>
      </c>
    </row>
    <row r="874" spans="1:7" x14ac:dyDescent="0.25">
      <c r="A874" s="10" t="s">
        <v>2712</v>
      </c>
      <c r="B874" s="10" t="s">
        <v>2742</v>
      </c>
      <c r="C874" t="str">
        <f>Table13[[#This Row],[Manufacturer]]&amp;" "&amp;Table13[[#This Row],[Model]]</f>
        <v>Kanon N60LCK</v>
      </c>
      <c r="D874" s="1">
        <v>3</v>
      </c>
      <c r="E874" s="1" t="s">
        <v>169</v>
      </c>
      <c r="F874" s="38">
        <v>6</v>
      </c>
      <c r="G874" t="s">
        <v>184</v>
      </c>
    </row>
    <row r="875" spans="1:7" x14ac:dyDescent="0.25">
      <c r="A875" s="10" t="s">
        <v>2712</v>
      </c>
      <c r="B875" s="10" t="s">
        <v>2741</v>
      </c>
      <c r="C875" t="str">
        <f>Table13[[#This Row],[Manufacturer]]&amp;" "&amp;Table13[[#This Row],[Model]]</f>
        <v>Kanon N6LCK</v>
      </c>
      <c r="D875" s="1">
        <v>3</v>
      </c>
      <c r="E875" s="1" t="s">
        <v>169</v>
      </c>
      <c r="F875" s="38">
        <v>6</v>
      </c>
      <c r="G875" t="s">
        <v>184</v>
      </c>
    </row>
    <row r="876" spans="1:7" x14ac:dyDescent="0.25">
      <c r="A876" s="10" t="s">
        <v>2712</v>
      </c>
      <c r="B876" s="10" t="s">
        <v>2740</v>
      </c>
      <c r="C876" t="str">
        <f>Table13[[#This Row],[Manufacturer]]&amp;" "&amp;Table13[[#This Row],[Model]]</f>
        <v>Kanon 100LTDK</v>
      </c>
      <c r="D876" s="1">
        <v>3</v>
      </c>
      <c r="E876" s="1" t="s">
        <v>169</v>
      </c>
      <c r="F876" s="38">
        <v>100</v>
      </c>
      <c r="G876" t="s">
        <v>418</v>
      </c>
    </row>
    <row r="877" spans="1:7" x14ac:dyDescent="0.25">
      <c r="A877" s="10" t="s">
        <v>2712</v>
      </c>
      <c r="B877" s="10" t="s">
        <v>2739</v>
      </c>
      <c r="C877" t="str">
        <f>Table13[[#This Row],[Manufacturer]]&amp;" "&amp;Table13[[#This Row],[Model]]</f>
        <v>Kanon 12LTDK</v>
      </c>
      <c r="D877" s="1">
        <v>3</v>
      </c>
      <c r="E877" s="1" t="s">
        <v>169</v>
      </c>
      <c r="F877" s="38">
        <v>12</v>
      </c>
      <c r="G877" t="s">
        <v>418</v>
      </c>
    </row>
    <row r="878" spans="1:7" x14ac:dyDescent="0.25">
      <c r="A878" s="10" t="s">
        <v>2712</v>
      </c>
      <c r="B878" s="10" t="s">
        <v>2738</v>
      </c>
      <c r="C878" t="str">
        <f>Table13[[#This Row],[Manufacturer]]&amp;" "&amp;Table13[[#This Row],[Model]]</f>
        <v>Kanon 20LTDK</v>
      </c>
      <c r="D878" s="1">
        <v>3</v>
      </c>
      <c r="E878" s="1" t="s">
        <v>169</v>
      </c>
      <c r="F878" s="38">
        <v>20</v>
      </c>
      <c r="G878" t="s">
        <v>418</v>
      </c>
    </row>
    <row r="879" spans="1:7" x14ac:dyDescent="0.25">
      <c r="A879" s="10" t="s">
        <v>2712</v>
      </c>
      <c r="B879" s="10" t="s">
        <v>2737</v>
      </c>
      <c r="C879" t="str">
        <f>Table13[[#This Row],[Manufacturer]]&amp;" "&amp;Table13[[#This Row],[Model]]</f>
        <v>Kanon 30LTDK</v>
      </c>
      <c r="D879" s="1">
        <v>3</v>
      </c>
      <c r="E879" s="1" t="s">
        <v>169</v>
      </c>
      <c r="F879" s="38">
        <v>30</v>
      </c>
      <c r="G879" t="s">
        <v>418</v>
      </c>
    </row>
    <row r="880" spans="1:7" x14ac:dyDescent="0.25">
      <c r="A880" s="10" t="s">
        <v>2712</v>
      </c>
      <c r="B880" s="10" t="s">
        <v>2736</v>
      </c>
      <c r="C880" t="str">
        <f>Table13[[#This Row],[Manufacturer]]&amp;" "&amp;Table13[[#This Row],[Model]]</f>
        <v>Kanon 3LTDK</v>
      </c>
      <c r="D880" s="1">
        <v>3</v>
      </c>
      <c r="E880" s="1" t="s">
        <v>169</v>
      </c>
      <c r="F880" s="38">
        <v>3</v>
      </c>
      <c r="G880" t="s">
        <v>418</v>
      </c>
    </row>
    <row r="881" spans="1:7" x14ac:dyDescent="0.25">
      <c r="A881" s="10" t="s">
        <v>2712</v>
      </c>
      <c r="B881" s="10" t="s">
        <v>2735</v>
      </c>
      <c r="C881" t="str">
        <f>Table13[[#This Row],[Manufacturer]]&amp;" "&amp;Table13[[#This Row],[Model]]</f>
        <v>Kanon 3LTDK-H</v>
      </c>
      <c r="D881" s="1">
        <v>3</v>
      </c>
      <c r="E881" s="1" t="s">
        <v>169</v>
      </c>
      <c r="F881" s="38">
        <v>3</v>
      </c>
      <c r="G881" t="s">
        <v>418</v>
      </c>
    </row>
    <row r="882" spans="1:7" x14ac:dyDescent="0.25">
      <c r="A882" s="10" t="s">
        <v>2712</v>
      </c>
      <c r="B882" s="10" t="s">
        <v>2734</v>
      </c>
      <c r="C882" t="str">
        <f>Table13[[#This Row],[Manufacturer]]&amp;" "&amp;Table13[[#This Row],[Model]]</f>
        <v>Kanon 50LTDK</v>
      </c>
      <c r="D882" s="1">
        <v>3</v>
      </c>
      <c r="E882" s="1" t="s">
        <v>169</v>
      </c>
      <c r="F882" s="38">
        <v>50</v>
      </c>
      <c r="G882" t="s">
        <v>418</v>
      </c>
    </row>
    <row r="883" spans="1:7" x14ac:dyDescent="0.25">
      <c r="A883" s="10" t="s">
        <v>2712</v>
      </c>
      <c r="B883" s="10" t="s">
        <v>2733</v>
      </c>
      <c r="C883" t="str">
        <f>Table13[[#This Row],[Manufacturer]]&amp;" "&amp;Table13[[#This Row],[Model]]</f>
        <v>Kanon 6LTDK</v>
      </c>
      <c r="D883" s="1">
        <v>3</v>
      </c>
      <c r="E883" s="1" t="s">
        <v>169</v>
      </c>
      <c r="F883" s="38">
        <v>6</v>
      </c>
      <c r="G883" t="s">
        <v>418</v>
      </c>
    </row>
    <row r="884" spans="1:7" x14ac:dyDescent="0.25">
      <c r="A884" s="10" t="s">
        <v>2712</v>
      </c>
      <c r="B884" s="10" t="s">
        <v>2732</v>
      </c>
      <c r="C884" t="str">
        <f>Table13[[#This Row],[Manufacturer]]&amp;" "&amp;Table13[[#This Row],[Model]]</f>
        <v>Kanon CN120LTDK</v>
      </c>
      <c r="D884" s="1">
        <v>3</v>
      </c>
      <c r="E884" s="1" t="s">
        <v>169</v>
      </c>
      <c r="F884" s="38">
        <v>120</v>
      </c>
      <c r="G884" t="s">
        <v>187</v>
      </c>
    </row>
    <row r="885" spans="1:7" x14ac:dyDescent="0.25">
      <c r="A885" s="10" t="s">
        <v>2712</v>
      </c>
      <c r="B885" s="10" t="s">
        <v>2731</v>
      </c>
      <c r="C885" t="str">
        <f>Table13[[#This Row],[Manufacturer]]&amp;" "&amp;Table13[[#This Row],[Model]]</f>
        <v>Kanon CN200LTDK</v>
      </c>
      <c r="D885" s="1">
        <v>3</v>
      </c>
      <c r="E885" s="1" t="s">
        <v>169</v>
      </c>
      <c r="F885" s="38">
        <v>200</v>
      </c>
      <c r="G885" t="s">
        <v>187</v>
      </c>
    </row>
    <row r="886" spans="1:7" x14ac:dyDescent="0.25">
      <c r="A886" s="10" t="s">
        <v>2712</v>
      </c>
      <c r="B886" s="10" t="s">
        <v>2730</v>
      </c>
      <c r="C886" t="str">
        <f>Table13[[#This Row],[Manufacturer]]&amp;" "&amp;Table13[[#This Row],[Model]]</f>
        <v>Kanon CN300LTDK</v>
      </c>
      <c r="D886" s="1">
        <v>3</v>
      </c>
      <c r="E886" s="1" t="s">
        <v>169</v>
      </c>
      <c r="F886" s="38">
        <v>300</v>
      </c>
      <c r="G886" t="s">
        <v>187</v>
      </c>
    </row>
    <row r="887" spans="1:7" x14ac:dyDescent="0.25">
      <c r="A887" s="10" t="s">
        <v>2712</v>
      </c>
      <c r="B887" s="10" t="s">
        <v>2729</v>
      </c>
      <c r="C887" t="str">
        <f>Table13[[#This Row],[Manufacturer]]&amp;" "&amp;Table13[[#This Row],[Model]]</f>
        <v>Kanon CN30LTDK</v>
      </c>
      <c r="D887" s="1">
        <v>3</v>
      </c>
      <c r="E887" s="1" t="s">
        <v>169</v>
      </c>
      <c r="F887" s="38">
        <v>30</v>
      </c>
      <c r="G887" t="s">
        <v>187</v>
      </c>
    </row>
    <row r="888" spans="1:7" x14ac:dyDescent="0.25">
      <c r="A888" s="10" t="s">
        <v>2712</v>
      </c>
      <c r="B888" s="10" t="s">
        <v>2728</v>
      </c>
      <c r="C888" t="str">
        <f>Table13[[#This Row],[Manufacturer]]&amp;" "&amp;Table13[[#This Row],[Model]]</f>
        <v>Kanon CN30LTDK-H</v>
      </c>
      <c r="D888" s="1">
        <v>3</v>
      </c>
      <c r="E888" s="1" t="s">
        <v>169</v>
      </c>
      <c r="F888" s="38">
        <v>30</v>
      </c>
      <c r="G888" t="s">
        <v>187</v>
      </c>
    </row>
    <row r="889" spans="1:7" x14ac:dyDescent="0.25">
      <c r="A889" s="10" t="s">
        <v>2712</v>
      </c>
      <c r="B889" s="10" t="s">
        <v>2727</v>
      </c>
      <c r="C889" t="str">
        <f>Table13[[#This Row],[Manufacturer]]&amp;" "&amp;Table13[[#This Row],[Model]]</f>
        <v>Kanon CN500LTDK</v>
      </c>
      <c r="D889" s="1">
        <v>3</v>
      </c>
      <c r="E889" s="1" t="s">
        <v>169</v>
      </c>
      <c r="F889" s="38">
        <v>500</v>
      </c>
      <c r="G889" t="s">
        <v>187</v>
      </c>
    </row>
    <row r="890" spans="1:7" x14ac:dyDescent="0.25">
      <c r="A890" s="10" t="s">
        <v>2712</v>
      </c>
      <c r="B890" s="10" t="s">
        <v>2726</v>
      </c>
      <c r="C890" t="str">
        <f>Table13[[#This Row],[Manufacturer]]&amp;" "&amp;Table13[[#This Row],[Model]]</f>
        <v>Kanon CN60LTDK</v>
      </c>
      <c r="D890" s="1">
        <v>3</v>
      </c>
      <c r="E890" s="1" t="s">
        <v>169</v>
      </c>
      <c r="F890" s="38">
        <v>60</v>
      </c>
      <c r="G890" t="s">
        <v>187</v>
      </c>
    </row>
    <row r="891" spans="1:7" x14ac:dyDescent="0.25">
      <c r="A891" s="10" t="s">
        <v>2712</v>
      </c>
      <c r="B891" s="10" t="s">
        <v>2725</v>
      </c>
      <c r="C891" t="str">
        <f>Table13[[#This Row],[Manufacturer]]&amp;" "&amp;Table13[[#This Row],[Model]]</f>
        <v>Kanon N100LTDK</v>
      </c>
      <c r="D891" s="1">
        <v>3</v>
      </c>
      <c r="E891" s="1" t="s">
        <v>169</v>
      </c>
      <c r="F891" s="38">
        <v>10</v>
      </c>
      <c r="G891" t="s">
        <v>184</v>
      </c>
    </row>
    <row r="892" spans="1:7" x14ac:dyDescent="0.25">
      <c r="A892" s="10" t="s">
        <v>2712</v>
      </c>
      <c r="B892" s="10" t="s">
        <v>2724</v>
      </c>
      <c r="C892" t="str">
        <f>Table13[[#This Row],[Manufacturer]]&amp;" "&amp;Table13[[#This Row],[Model]]</f>
        <v>Kanon N10LTDK</v>
      </c>
      <c r="D892" s="1">
        <v>3</v>
      </c>
      <c r="E892" s="1" t="s">
        <v>169</v>
      </c>
      <c r="F892" s="38">
        <v>10</v>
      </c>
      <c r="G892" t="s">
        <v>184</v>
      </c>
    </row>
    <row r="893" spans="1:7" x14ac:dyDescent="0.25">
      <c r="A893" s="10" t="s">
        <v>2712</v>
      </c>
      <c r="B893" s="10" t="s">
        <v>2723</v>
      </c>
      <c r="C893" t="str">
        <f>Table13[[#This Row],[Manufacturer]]&amp;" "&amp;Table13[[#This Row],[Model]]</f>
        <v>Kanon N12LTDK</v>
      </c>
      <c r="D893" s="1">
        <v>3</v>
      </c>
      <c r="E893" s="1" t="s">
        <v>169</v>
      </c>
      <c r="F893" s="38">
        <v>120</v>
      </c>
      <c r="G893" t="s">
        <v>187</v>
      </c>
    </row>
    <row r="894" spans="1:7" x14ac:dyDescent="0.25">
      <c r="A894" s="10" t="s">
        <v>2712</v>
      </c>
      <c r="B894" s="10" t="s">
        <v>2722</v>
      </c>
      <c r="C894" t="str">
        <f>Table13[[#This Row],[Manufacturer]]&amp;" "&amp;Table13[[#This Row],[Model]]</f>
        <v>Kanon N20LTDK</v>
      </c>
      <c r="D894" s="1">
        <v>3</v>
      </c>
      <c r="E894" s="1" t="s">
        <v>169</v>
      </c>
      <c r="F894" s="38">
        <v>200</v>
      </c>
      <c r="G894" t="s">
        <v>187</v>
      </c>
    </row>
    <row r="895" spans="1:7" x14ac:dyDescent="0.25">
      <c r="A895" s="10" t="s">
        <v>2712</v>
      </c>
      <c r="B895" s="10" t="s">
        <v>2721</v>
      </c>
      <c r="C895" t="str">
        <f>Table13[[#This Row],[Manufacturer]]&amp;" "&amp;Table13[[#This Row],[Model]]</f>
        <v>Kanon N30LTDK</v>
      </c>
      <c r="D895" s="1">
        <v>3</v>
      </c>
      <c r="E895" s="1" t="s">
        <v>169</v>
      </c>
      <c r="F895" s="38">
        <v>300</v>
      </c>
      <c r="G895" t="s">
        <v>187</v>
      </c>
    </row>
    <row r="896" spans="1:7" x14ac:dyDescent="0.25">
      <c r="A896" s="10" t="s">
        <v>2712</v>
      </c>
      <c r="B896" s="10" t="s">
        <v>2720</v>
      </c>
      <c r="C896" t="str">
        <f>Table13[[#This Row],[Manufacturer]]&amp;" "&amp;Table13[[#This Row],[Model]]</f>
        <v>Kanon N30LTDK-H</v>
      </c>
      <c r="D896" s="1">
        <v>3</v>
      </c>
      <c r="E896" s="1" t="s">
        <v>169</v>
      </c>
      <c r="F896" s="38">
        <v>30</v>
      </c>
      <c r="G896" t="s">
        <v>187</v>
      </c>
    </row>
    <row r="897" spans="1:7" x14ac:dyDescent="0.25">
      <c r="A897" s="10" t="s">
        <v>2712</v>
      </c>
      <c r="B897" s="10" t="s">
        <v>2719</v>
      </c>
      <c r="C897" t="str">
        <f>Table13[[#This Row],[Manufacturer]]&amp;" "&amp;Table13[[#This Row],[Model]]</f>
        <v>Kanon N3LTDK</v>
      </c>
      <c r="D897" s="1">
        <v>3</v>
      </c>
      <c r="E897" s="1" t="s">
        <v>169</v>
      </c>
      <c r="F897" s="38">
        <v>30</v>
      </c>
      <c r="G897" t="s">
        <v>187</v>
      </c>
    </row>
    <row r="898" spans="1:7" x14ac:dyDescent="0.25">
      <c r="A898" s="10" t="s">
        <v>2712</v>
      </c>
      <c r="B898" s="10" t="s">
        <v>2718</v>
      </c>
      <c r="C898" t="str">
        <f>Table13[[#This Row],[Manufacturer]]&amp;" "&amp;Table13[[#This Row],[Model]]</f>
        <v>Kanon N3LTDK-H</v>
      </c>
      <c r="D898" s="1">
        <v>3</v>
      </c>
      <c r="E898" s="1" t="s">
        <v>169</v>
      </c>
      <c r="F898" s="38">
        <v>30</v>
      </c>
      <c r="G898" t="s">
        <v>187</v>
      </c>
    </row>
    <row r="899" spans="1:7" x14ac:dyDescent="0.25">
      <c r="A899" s="10" t="s">
        <v>2712</v>
      </c>
      <c r="B899" s="10" t="s">
        <v>2717</v>
      </c>
      <c r="C899" t="str">
        <f>Table13[[#This Row],[Manufacturer]]&amp;" "&amp;Table13[[#This Row],[Model]]</f>
        <v>Kanon N50LTDK</v>
      </c>
      <c r="D899" s="1">
        <v>3</v>
      </c>
      <c r="E899" s="1" t="s">
        <v>169</v>
      </c>
      <c r="F899" s="38">
        <v>500</v>
      </c>
      <c r="G899" t="s">
        <v>187</v>
      </c>
    </row>
    <row r="900" spans="1:7" x14ac:dyDescent="0.25">
      <c r="A900" s="10" t="s">
        <v>2712</v>
      </c>
      <c r="B900" s="10" t="s">
        <v>2716</v>
      </c>
      <c r="C900" t="str">
        <f>Table13[[#This Row],[Manufacturer]]&amp;" "&amp;Table13[[#This Row],[Model]]</f>
        <v>Kanon N6LTDK</v>
      </c>
      <c r="D900" s="1">
        <v>3</v>
      </c>
      <c r="E900" s="1" t="s">
        <v>169</v>
      </c>
      <c r="F900" s="38">
        <v>60</v>
      </c>
      <c r="G900" t="s">
        <v>187</v>
      </c>
    </row>
    <row r="901" spans="1:7" x14ac:dyDescent="0.25">
      <c r="A901" s="10" t="s">
        <v>2712</v>
      </c>
      <c r="B901" s="10" t="s">
        <v>2715</v>
      </c>
      <c r="C901" t="str">
        <f>Table13[[#This Row],[Manufacturer]]&amp;" "&amp;Table13[[#This Row],[Model]]</f>
        <v>Kanon OI 200LTDK</v>
      </c>
      <c r="D901" s="1">
        <v>3</v>
      </c>
      <c r="E901" s="1" t="s">
        <v>169</v>
      </c>
      <c r="F901" s="38">
        <v>200</v>
      </c>
      <c r="G901" t="s">
        <v>172</v>
      </c>
    </row>
    <row r="902" spans="1:7" x14ac:dyDescent="0.25">
      <c r="A902" s="10" t="s">
        <v>2712</v>
      </c>
      <c r="B902" s="10" t="s">
        <v>2714</v>
      </c>
      <c r="C902" t="str">
        <f>Table13[[#This Row],[Manufacturer]]&amp;" "&amp;Table13[[#This Row],[Model]]</f>
        <v>Kanon PI 30LTDK</v>
      </c>
      <c r="D902" s="1">
        <v>3</v>
      </c>
      <c r="E902" s="1" t="s">
        <v>169</v>
      </c>
      <c r="F902" s="38">
        <v>30</v>
      </c>
      <c r="G902" t="s">
        <v>164</v>
      </c>
    </row>
    <row r="903" spans="1:7" x14ac:dyDescent="0.25">
      <c r="A903" s="10" t="s">
        <v>2712</v>
      </c>
      <c r="B903" s="10" t="s">
        <v>2713</v>
      </c>
      <c r="C903" t="str">
        <f>Table13[[#This Row],[Manufacturer]]&amp;" "&amp;Table13[[#This Row],[Model]]</f>
        <v>Kanon PI 50LTDK</v>
      </c>
      <c r="D903" s="1">
        <v>3</v>
      </c>
      <c r="E903" s="1" t="s">
        <v>169</v>
      </c>
      <c r="F903" s="38">
        <v>50</v>
      </c>
      <c r="G903" t="s">
        <v>164</v>
      </c>
    </row>
    <row r="904" spans="1:7" x14ac:dyDescent="0.25">
      <c r="A904" s="10" t="s">
        <v>2712</v>
      </c>
      <c r="B904" s="10" t="s">
        <v>2711</v>
      </c>
      <c r="C904" t="str">
        <f>Table13[[#This Row],[Manufacturer]]&amp;" "&amp;Table13[[#This Row],[Model]]</f>
        <v>Kanon STDK-R400CN</v>
      </c>
      <c r="D904" s="1">
        <v>3</v>
      </c>
      <c r="E904" s="1" t="s">
        <v>169</v>
      </c>
      <c r="F904" s="38">
        <v>40</v>
      </c>
      <c r="G904" t="s">
        <v>164</v>
      </c>
    </row>
    <row r="905" spans="1:7" x14ac:dyDescent="0.25">
      <c r="A905" s="10" t="s">
        <v>2710</v>
      </c>
      <c r="B905" s="10" t="s">
        <v>2709</v>
      </c>
      <c r="C905" t="str">
        <f>Table13[[#This Row],[Manufacturer]]&amp;" "&amp;Table13[[#This Row],[Model]]</f>
        <v>KCR Products KCR-3125S-8</v>
      </c>
      <c r="D905" s="1">
        <v>9.25</v>
      </c>
      <c r="E905" s="1" t="s">
        <v>169</v>
      </c>
      <c r="F905" s="38">
        <v>8</v>
      </c>
      <c r="G905" t="s">
        <v>164</v>
      </c>
    </row>
    <row r="906" spans="1:7" x14ac:dyDescent="0.25">
      <c r="A906" s="10" t="s">
        <v>2700</v>
      </c>
      <c r="B906" s="10" t="s">
        <v>2708</v>
      </c>
      <c r="C906" t="str">
        <f>Table13[[#This Row],[Manufacturer]]&amp;" "&amp;Table13[[#This Row],[Model]]</f>
        <v>K-D 2951</v>
      </c>
      <c r="D906" s="1">
        <v>3</v>
      </c>
      <c r="E906" s="1" t="s">
        <v>169</v>
      </c>
      <c r="F906" s="38">
        <v>100</v>
      </c>
      <c r="G906" t="s">
        <v>166</v>
      </c>
    </row>
    <row r="907" spans="1:7" x14ac:dyDescent="0.25">
      <c r="A907" s="10" t="s">
        <v>2700</v>
      </c>
      <c r="B907" s="10" t="s">
        <v>2707</v>
      </c>
      <c r="C907" t="str">
        <f>Table13[[#This Row],[Manufacturer]]&amp;" "&amp;Table13[[#This Row],[Model]]</f>
        <v>K-D 2952</v>
      </c>
      <c r="D907" s="1">
        <v>3</v>
      </c>
      <c r="E907" s="1" t="s">
        <v>169</v>
      </c>
      <c r="F907" s="38">
        <v>250</v>
      </c>
      <c r="G907" t="s">
        <v>166</v>
      </c>
    </row>
    <row r="908" spans="1:7" x14ac:dyDescent="0.25">
      <c r="A908" s="10" t="s">
        <v>2700</v>
      </c>
      <c r="B908" s="10" t="s">
        <v>2706</v>
      </c>
      <c r="C908" t="str">
        <f>Table13[[#This Row],[Manufacturer]]&amp;" "&amp;Table13[[#This Row],[Model]]</f>
        <v>K-D 2953</v>
      </c>
      <c r="D908" s="1">
        <v>3</v>
      </c>
      <c r="E908" s="1" t="s">
        <v>169</v>
      </c>
      <c r="F908" s="38">
        <v>600</v>
      </c>
      <c r="G908" t="s">
        <v>166</v>
      </c>
    </row>
    <row r="909" spans="1:7" x14ac:dyDescent="0.25">
      <c r="A909" s="10" t="s">
        <v>2700</v>
      </c>
      <c r="B909" s="10" t="s">
        <v>2705</v>
      </c>
      <c r="C909" t="str">
        <f>Table13[[#This Row],[Manufacturer]]&amp;" "&amp;Table13[[#This Row],[Model]]</f>
        <v>K-D 2954</v>
      </c>
      <c r="D909" s="1">
        <v>3</v>
      </c>
      <c r="E909" s="1" t="s">
        <v>169</v>
      </c>
      <c r="F909" s="38">
        <v>75</v>
      </c>
      <c r="G909" t="s">
        <v>166</v>
      </c>
    </row>
    <row r="910" spans="1:7" x14ac:dyDescent="0.25">
      <c r="A910" s="10" t="s">
        <v>2700</v>
      </c>
      <c r="B910" s="10" t="s">
        <v>2704</v>
      </c>
      <c r="C910" t="str">
        <f>Table13[[#This Row],[Manufacturer]]&amp;" "&amp;Table13[[#This Row],[Model]]</f>
        <v>K-D 3261</v>
      </c>
      <c r="D910" s="1">
        <v>3</v>
      </c>
      <c r="E910" s="1" t="s">
        <v>169</v>
      </c>
      <c r="F910" s="38">
        <v>50</v>
      </c>
      <c r="G910" t="s">
        <v>164</v>
      </c>
    </row>
    <row r="911" spans="1:7" x14ac:dyDescent="0.25">
      <c r="A911" s="10" t="s">
        <v>2700</v>
      </c>
      <c r="B911" s="10" t="s">
        <v>2703</v>
      </c>
      <c r="C911" t="str">
        <f>Table13[[#This Row],[Manufacturer]]&amp;" "&amp;Table13[[#This Row],[Model]]</f>
        <v>K-D 3262</v>
      </c>
      <c r="D911" s="1">
        <v>3</v>
      </c>
      <c r="E911" s="1" t="s">
        <v>169</v>
      </c>
      <c r="F911" s="38">
        <v>200</v>
      </c>
      <c r="G911" t="s">
        <v>164</v>
      </c>
    </row>
    <row r="912" spans="1:7" x14ac:dyDescent="0.25">
      <c r="A912" s="10" t="s">
        <v>2700</v>
      </c>
      <c r="B912" s="10">
        <v>3263</v>
      </c>
      <c r="C912" t="str">
        <f>Table13[[#This Row],[Manufacturer]]&amp;" "&amp;Table13[[#This Row],[Model]]</f>
        <v>K-D 3263</v>
      </c>
      <c r="D912" s="1">
        <v>3</v>
      </c>
      <c r="E912" s="1" t="s">
        <v>169</v>
      </c>
      <c r="F912" s="38">
        <v>250</v>
      </c>
      <c r="G912" t="s">
        <v>164</v>
      </c>
    </row>
    <row r="913" spans="1:7" x14ac:dyDescent="0.25">
      <c r="A913" s="10" t="s">
        <v>2700</v>
      </c>
      <c r="B913" s="10" t="s">
        <v>2702</v>
      </c>
      <c r="C913" t="str">
        <f>Table13[[#This Row],[Manufacturer]]&amp;" "&amp;Table13[[#This Row],[Model]]</f>
        <v>K-D 3264</v>
      </c>
      <c r="D913" s="1">
        <v>3</v>
      </c>
      <c r="E913" s="1" t="s">
        <v>169</v>
      </c>
      <c r="F913" s="38">
        <v>1000</v>
      </c>
      <c r="G913" t="s">
        <v>166</v>
      </c>
    </row>
    <row r="914" spans="1:7" x14ac:dyDescent="0.25">
      <c r="A914" s="10" t="s">
        <v>2700</v>
      </c>
      <c r="B914" s="10" t="s">
        <v>2701</v>
      </c>
      <c r="C914" t="str">
        <f>Table13[[#This Row],[Manufacturer]]&amp;" "&amp;Table13[[#This Row],[Model]]</f>
        <v>K-D 3265</v>
      </c>
      <c r="D914" s="1">
        <v>3</v>
      </c>
      <c r="E914" s="1" t="s">
        <v>169</v>
      </c>
      <c r="F914" s="38">
        <v>150</v>
      </c>
      <c r="G914" t="s">
        <v>166</v>
      </c>
    </row>
    <row r="915" spans="1:7" x14ac:dyDescent="0.25">
      <c r="A915" s="10" t="s">
        <v>2700</v>
      </c>
      <c r="B915" s="10">
        <v>3266</v>
      </c>
      <c r="C915" t="str">
        <f>Table13[[#This Row],[Manufacturer]]&amp;" "&amp;Table13[[#This Row],[Model]]</f>
        <v>K-D 3266</v>
      </c>
      <c r="D915" s="1">
        <v>3</v>
      </c>
      <c r="E915" s="1" t="s">
        <v>169</v>
      </c>
      <c r="F915" s="38">
        <v>250</v>
      </c>
      <c r="G915" t="s">
        <v>166</v>
      </c>
    </row>
    <row r="916" spans="1:7" x14ac:dyDescent="0.25">
      <c r="A916" s="10" t="s">
        <v>2699</v>
      </c>
      <c r="B916" s="10">
        <v>2555</v>
      </c>
      <c r="C916" t="str">
        <f>Table13[[#This Row],[Manufacturer]]&amp;" "&amp;Table13[[#This Row],[Model]]</f>
        <v>KD Tools 2555</v>
      </c>
      <c r="D916" s="1">
        <v>4</v>
      </c>
      <c r="E916" s="1">
        <v>4</v>
      </c>
      <c r="F916" s="38">
        <v>250</v>
      </c>
      <c r="G916" t="s">
        <v>164</v>
      </c>
    </row>
    <row r="917" spans="1:7" x14ac:dyDescent="0.25">
      <c r="A917" s="10" t="s">
        <v>2699</v>
      </c>
      <c r="B917" s="10">
        <v>2653</v>
      </c>
      <c r="C917" t="str">
        <f>Table13[[#This Row],[Manufacturer]]&amp;" "&amp;Table13[[#This Row],[Model]]</f>
        <v>KD Tools 2653</v>
      </c>
      <c r="D917" s="1">
        <v>4</v>
      </c>
      <c r="E917" s="1">
        <v>4</v>
      </c>
      <c r="F917" s="38">
        <v>250</v>
      </c>
      <c r="G917" t="s">
        <v>166</v>
      </c>
    </row>
    <row r="918" spans="1:7" x14ac:dyDescent="0.25">
      <c r="A918" s="10" t="s">
        <v>2699</v>
      </c>
      <c r="B918" s="10">
        <v>3418</v>
      </c>
      <c r="C918" t="str">
        <f>Table13[[#This Row],[Manufacturer]]&amp;" "&amp;Table13[[#This Row],[Model]]</f>
        <v>KD Tools 3418</v>
      </c>
      <c r="D918" s="1">
        <v>4</v>
      </c>
      <c r="E918" s="1" t="s">
        <v>169</v>
      </c>
      <c r="F918" s="38">
        <v>36</v>
      </c>
      <c r="G918" t="s">
        <v>164</v>
      </c>
    </row>
    <row r="919" spans="1:7" x14ac:dyDescent="0.25">
      <c r="A919" s="10" t="s">
        <v>2698</v>
      </c>
      <c r="B919" s="10" t="s">
        <v>2697</v>
      </c>
      <c r="C919" t="str">
        <f>Table13[[#This Row],[Manufacturer]]&amp;" "&amp;Table13[[#This Row],[Model]]</f>
        <v>Keltek 5110-8.5</v>
      </c>
      <c r="D919" s="1">
        <v>6</v>
      </c>
      <c r="E919" s="1" t="s">
        <v>169</v>
      </c>
      <c r="F919" s="38">
        <v>4</v>
      </c>
      <c r="G919" t="s">
        <v>164</v>
      </c>
    </row>
    <row r="920" spans="1:7" x14ac:dyDescent="0.25">
      <c r="A920" s="10" t="s">
        <v>2696</v>
      </c>
      <c r="B920" s="10" t="s">
        <v>2695</v>
      </c>
      <c r="C920" t="str">
        <f>Table13[[#This Row],[Manufacturer]]&amp;" "&amp;Table13[[#This Row],[Model]]</f>
        <v>King Tony 34111-2EG</v>
      </c>
      <c r="D920" s="1">
        <v>5</v>
      </c>
      <c r="E920" s="1">
        <v>5</v>
      </c>
      <c r="F920" s="38">
        <v>50</v>
      </c>
      <c r="G920" t="s">
        <v>164</v>
      </c>
    </row>
    <row r="921" spans="1:7" x14ac:dyDescent="0.25">
      <c r="A921" s="10" t="s">
        <v>2694</v>
      </c>
      <c r="B921" s="10" t="s">
        <v>2693</v>
      </c>
      <c r="C921" t="str">
        <f>Table13[[#This Row],[Manufacturer]]&amp;" "&amp;Table13[[#This Row],[Model]]</f>
        <v>Kingmaster ARD80</v>
      </c>
      <c r="D921" s="1">
        <v>4</v>
      </c>
      <c r="E921" s="1">
        <v>6</v>
      </c>
      <c r="F921" s="38">
        <v>80</v>
      </c>
      <c r="G921" t="s">
        <v>166</v>
      </c>
    </row>
    <row r="922" spans="1:7" x14ac:dyDescent="0.25">
      <c r="A922" s="10" t="s">
        <v>2692</v>
      </c>
      <c r="B922" s="10">
        <v>57032</v>
      </c>
      <c r="C922" t="str">
        <f>Table13[[#This Row],[Manufacturer]]&amp;" "&amp;Table13[[#This Row],[Model]]</f>
        <v>Klein 57032</v>
      </c>
      <c r="D922" s="1">
        <v>6</v>
      </c>
      <c r="E922" s="1" t="s">
        <v>169</v>
      </c>
      <c r="F922" s="38">
        <v>40</v>
      </c>
      <c r="G922" t="s">
        <v>164</v>
      </c>
    </row>
    <row r="923" spans="1:7" x14ac:dyDescent="0.25">
      <c r="A923" s="10" t="s">
        <v>2692</v>
      </c>
      <c r="B923" s="10" t="s">
        <v>2691</v>
      </c>
      <c r="C923" t="str">
        <f>Table13[[#This Row],[Manufacturer]]&amp;" "&amp;Table13[[#This Row],[Model]]</f>
        <v>Klein 57035</v>
      </c>
      <c r="D923" s="1">
        <v>6</v>
      </c>
      <c r="E923" s="1">
        <v>6</v>
      </c>
      <c r="F923" s="38">
        <v>36</v>
      </c>
      <c r="G923" t="s">
        <v>164</v>
      </c>
    </row>
    <row r="924" spans="1:7" x14ac:dyDescent="0.25">
      <c r="A924" s="10" t="s">
        <v>2690</v>
      </c>
      <c r="B924" s="10" t="s">
        <v>2689</v>
      </c>
      <c r="C924" t="str">
        <f>Table13[[#This Row],[Manufacturer]]&amp;" "&amp;Table13[[#This Row],[Model]]</f>
        <v>Knipex 98 43 50</v>
      </c>
      <c r="D924" s="1">
        <v>4</v>
      </c>
      <c r="E924" s="1">
        <v>6</v>
      </c>
      <c r="F924" s="38">
        <v>40</v>
      </c>
      <c r="G924" t="s">
        <v>166</v>
      </c>
    </row>
    <row r="925" spans="1:7" x14ac:dyDescent="0.25">
      <c r="A925" s="10" t="s">
        <v>2688</v>
      </c>
      <c r="B925" s="10">
        <v>337333</v>
      </c>
      <c r="C925" t="str">
        <f>Table13[[#This Row],[Manufacturer]]&amp;" "&amp;Table13[[#This Row],[Model]]</f>
        <v>Kobalt 337333</v>
      </c>
      <c r="D925" s="1">
        <v>4</v>
      </c>
      <c r="E925" s="1" t="s">
        <v>169</v>
      </c>
      <c r="F925" s="38">
        <v>100</v>
      </c>
      <c r="G925" t="s">
        <v>166</v>
      </c>
    </row>
    <row r="926" spans="1:7" x14ac:dyDescent="0.25">
      <c r="A926" s="10" t="s">
        <v>2688</v>
      </c>
      <c r="B926" s="10">
        <v>337334</v>
      </c>
      <c r="C926" t="str">
        <f>Table13[[#This Row],[Manufacturer]]&amp;" "&amp;Table13[[#This Row],[Model]]</f>
        <v>Kobalt 337334</v>
      </c>
      <c r="D926" s="1">
        <v>4</v>
      </c>
      <c r="E926" s="1" t="s">
        <v>169</v>
      </c>
      <c r="F926" s="38">
        <v>250</v>
      </c>
      <c r="G926" t="s">
        <v>166</v>
      </c>
    </row>
    <row r="927" spans="1:7" x14ac:dyDescent="0.25">
      <c r="A927" s="10" t="s">
        <v>2686</v>
      </c>
      <c r="B927" s="10" t="s">
        <v>2687</v>
      </c>
      <c r="C927" t="str">
        <f>Table13[[#This Row],[Manufacturer]]&amp;" "&amp;Table13[[#This Row],[Model]]</f>
        <v>KS Tools 516.1612 lbf ft</v>
      </c>
      <c r="D927" s="1">
        <v>3</v>
      </c>
      <c r="E927" s="1" t="s">
        <v>169</v>
      </c>
      <c r="F927" s="38">
        <v>18</v>
      </c>
      <c r="G927" t="s">
        <v>166</v>
      </c>
    </row>
    <row r="928" spans="1:7" x14ac:dyDescent="0.25">
      <c r="A928" s="10" t="s">
        <v>2686</v>
      </c>
      <c r="B928" s="10" t="s">
        <v>2685</v>
      </c>
      <c r="C928" t="str">
        <f>Table13[[#This Row],[Manufacturer]]&amp;" "&amp;Table13[[#This Row],[Model]]</f>
        <v>KS Tools 516.1612 Nm</v>
      </c>
      <c r="D928" s="1">
        <v>3</v>
      </c>
      <c r="E928" s="1" t="s">
        <v>169</v>
      </c>
      <c r="F928" s="38">
        <v>25</v>
      </c>
      <c r="G928" t="s">
        <v>184</v>
      </c>
    </row>
    <row r="929" spans="1:7" x14ac:dyDescent="0.25">
      <c r="A929" s="10" t="s">
        <v>2681</v>
      </c>
      <c r="B929" s="10" t="s">
        <v>2684</v>
      </c>
      <c r="C929" t="str">
        <f>Table13[[#This Row],[Manufacturer]]&amp;" "&amp;Table13[[#This Row],[Model]]</f>
        <v>KTC GEK030-C3</v>
      </c>
      <c r="D929" s="1" t="s">
        <v>1412</v>
      </c>
      <c r="E929" s="1" t="s">
        <v>2679</v>
      </c>
    </row>
    <row r="930" spans="1:7" x14ac:dyDescent="0.25">
      <c r="A930" s="10" t="s">
        <v>2681</v>
      </c>
      <c r="B930" s="10" t="s">
        <v>2683</v>
      </c>
      <c r="C930" t="str">
        <f>Table13[[#This Row],[Manufacturer]]&amp;" "&amp;Table13[[#This Row],[Model]]</f>
        <v>KTC GLK060E</v>
      </c>
      <c r="D930" s="1" t="s">
        <v>1412</v>
      </c>
      <c r="E930" s="1" t="s">
        <v>2679</v>
      </c>
    </row>
    <row r="931" spans="1:7" x14ac:dyDescent="0.25">
      <c r="A931" s="10" t="s">
        <v>2681</v>
      </c>
      <c r="B931" s="10" t="s">
        <v>2682</v>
      </c>
      <c r="C931" t="str">
        <f>Table13[[#This Row],[Manufacturer]]&amp;" "&amp;Table13[[#This Row],[Model]]</f>
        <v>KTC GLK250E</v>
      </c>
      <c r="D931" s="1" t="s">
        <v>1412</v>
      </c>
      <c r="E931" s="1" t="s">
        <v>2679</v>
      </c>
    </row>
    <row r="932" spans="1:7" x14ac:dyDescent="0.25">
      <c r="A932" s="10" t="s">
        <v>2681</v>
      </c>
      <c r="B932" s="10" t="s">
        <v>2680</v>
      </c>
      <c r="C932" t="str">
        <f>Table13[[#This Row],[Manufacturer]]&amp;" "&amp;Table13[[#This Row],[Model]]</f>
        <v>KTC GLK500E</v>
      </c>
      <c r="D932" s="1" t="s">
        <v>1412</v>
      </c>
      <c r="E932" s="1" t="s">
        <v>2679</v>
      </c>
    </row>
    <row r="933" spans="1:7" x14ac:dyDescent="0.25">
      <c r="A933" s="10" t="s">
        <v>2670</v>
      </c>
      <c r="B933" s="10" t="s">
        <v>2678</v>
      </c>
      <c r="C933" t="str">
        <f>Table13[[#This Row],[Manufacturer]]&amp;" "&amp;Table13[[#This Row],[Model]]</f>
        <v>Lindstrom MA500-3</v>
      </c>
      <c r="D933" s="1">
        <v>6</v>
      </c>
      <c r="E933" s="1" t="s">
        <v>169</v>
      </c>
      <c r="F933" s="38">
        <v>450</v>
      </c>
      <c r="G933" t="s">
        <v>187</v>
      </c>
    </row>
    <row r="934" spans="1:7" x14ac:dyDescent="0.25">
      <c r="A934" s="10" t="s">
        <v>2670</v>
      </c>
      <c r="B934" s="10" t="s">
        <v>2677</v>
      </c>
      <c r="C934" t="str">
        <f>Table13[[#This Row],[Manufacturer]]&amp;" "&amp;Table13[[#This Row],[Model]]</f>
        <v>Lindstrom MAL500-1</v>
      </c>
      <c r="D934" s="1">
        <v>6</v>
      </c>
      <c r="E934" s="1" t="s">
        <v>169</v>
      </c>
      <c r="F934" s="38">
        <v>100</v>
      </c>
      <c r="G934" t="s">
        <v>172</v>
      </c>
    </row>
    <row r="935" spans="1:7" x14ac:dyDescent="0.25">
      <c r="A935" s="10" t="s">
        <v>2670</v>
      </c>
      <c r="B935" s="10" t="s">
        <v>2676</v>
      </c>
      <c r="C935" t="str">
        <f>Table13[[#This Row],[Manufacturer]]&amp;" "&amp;Table13[[#This Row],[Model]]</f>
        <v>Lindstrom MAL500-1D</v>
      </c>
      <c r="D935" s="1">
        <v>6</v>
      </c>
      <c r="E935" s="1" t="s">
        <v>169</v>
      </c>
      <c r="F935" s="38">
        <v>200</v>
      </c>
      <c r="G935" t="s">
        <v>172</v>
      </c>
    </row>
    <row r="936" spans="1:7" x14ac:dyDescent="0.25">
      <c r="A936" s="10" t="s">
        <v>2670</v>
      </c>
      <c r="B936" s="10" t="s">
        <v>2675</v>
      </c>
      <c r="C936" t="str">
        <f>Table13[[#This Row],[Manufacturer]]&amp;" "&amp;Table13[[#This Row],[Model]]</f>
        <v>Lindstrom MAL500-2</v>
      </c>
      <c r="D936" s="1">
        <v>6</v>
      </c>
      <c r="E936" s="1" t="s">
        <v>169</v>
      </c>
      <c r="F936" s="38">
        <v>15</v>
      </c>
      <c r="G936" t="s">
        <v>164</v>
      </c>
    </row>
    <row r="937" spans="1:7" x14ac:dyDescent="0.25">
      <c r="A937" s="10" t="s">
        <v>2670</v>
      </c>
      <c r="B937" s="10" t="s">
        <v>2674</v>
      </c>
      <c r="C937" t="str">
        <f>Table13[[#This Row],[Manufacturer]]&amp;" "&amp;Table13[[#This Row],[Model]]</f>
        <v>Lindstrom MAL500-3</v>
      </c>
      <c r="D937" s="1">
        <v>6</v>
      </c>
      <c r="E937" s="1" t="s">
        <v>169</v>
      </c>
      <c r="F937" s="38">
        <v>40</v>
      </c>
      <c r="G937" t="s">
        <v>164</v>
      </c>
    </row>
    <row r="938" spans="1:7" x14ac:dyDescent="0.25">
      <c r="A938" s="10" t="s">
        <v>2670</v>
      </c>
      <c r="B938" s="10" t="s">
        <v>2673</v>
      </c>
      <c r="C938" t="str">
        <f>Table13[[#This Row],[Manufacturer]]&amp;" "&amp;Table13[[#This Row],[Model]]</f>
        <v>Lindstrom PS501-1</v>
      </c>
      <c r="D938" s="1">
        <v>6</v>
      </c>
      <c r="E938" s="1" t="s">
        <v>169</v>
      </c>
      <c r="F938" s="38">
        <v>32</v>
      </c>
      <c r="G938" t="s">
        <v>172</v>
      </c>
    </row>
    <row r="939" spans="1:7" x14ac:dyDescent="0.25">
      <c r="A939" s="10" t="s">
        <v>2670</v>
      </c>
      <c r="B939" s="10" t="s">
        <v>2672</v>
      </c>
      <c r="C939" t="str">
        <f>Table13[[#This Row],[Manufacturer]]&amp;" "&amp;Table13[[#This Row],[Model]]</f>
        <v>Lindstrom PS501-2</v>
      </c>
      <c r="D939" s="1">
        <v>6</v>
      </c>
      <c r="E939" s="1" t="s">
        <v>169</v>
      </c>
      <c r="F939" s="38">
        <v>100</v>
      </c>
      <c r="G939" t="s">
        <v>172</v>
      </c>
    </row>
    <row r="940" spans="1:7" x14ac:dyDescent="0.25">
      <c r="A940" s="10" t="s">
        <v>2670</v>
      </c>
      <c r="B940" s="10" t="s">
        <v>2671</v>
      </c>
      <c r="C940" t="str">
        <f>Table13[[#This Row],[Manufacturer]]&amp;" "&amp;Table13[[#This Row],[Model]]</f>
        <v>Lindstrom PS501-3</v>
      </c>
      <c r="D940" s="1">
        <v>6</v>
      </c>
      <c r="E940" s="1" t="s">
        <v>169</v>
      </c>
      <c r="F940" s="38">
        <v>15</v>
      </c>
      <c r="G940" t="s">
        <v>164</v>
      </c>
    </row>
    <row r="941" spans="1:7" x14ac:dyDescent="0.25">
      <c r="A941" s="10" t="s">
        <v>2670</v>
      </c>
      <c r="B941" s="10" t="s">
        <v>2669</v>
      </c>
      <c r="C941" t="str">
        <f>Table13[[#This Row],[Manufacturer]]&amp;" "&amp;Table13[[#This Row],[Model]]</f>
        <v>Lindstrom PS501-4</v>
      </c>
      <c r="D941" s="1">
        <v>6</v>
      </c>
      <c r="E941" s="1" t="s">
        <v>169</v>
      </c>
      <c r="F941" s="38">
        <v>40</v>
      </c>
      <c r="G941" t="s">
        <v>164</v>
      </c>
    </row>
    <row r="942" spans="1:7" x14ac:dyDescent="0.25">
      <c r="A942" s="10" t="s">
        <v>2665</v>
      </c>
      <c r="B942" s="10" t="s">
        <v>2668</v>
      </c>
      <c r="C942" t="str">
        <f>Table13[[#This Row],[Manufacturer]]&amp;" "&amp;Table13[[#This Row],[Model]]</f>
        <v>Mac Tools TW4200A</v>
      </c>
      <c r="D942" s="1">
        <v>3</v>
      </c>
      <c r="E942" s="1" t="s">
        <v>169</v>
      </c>
      <c r="F942" s="38">
        <v>200</v>
      </c>
      <c r="G942" t="s">
        <v>164</v>
      </c>
    </row>
    <row r="943" spans="1:7" x14ac:dyDescent="0.25">
      <c r="A943" s="10" t="s">
        <v>2665</v>
      </c>
      <c r="B943" s="10" t="s">
        <v>2667</v>
      </c>
      <c r="C943" t="str">
        <f>Table13[[#This Row],[Manufacturer]]&amp;" "&amp;Table13[[#This Row],[Model]]</f>
        <v>Mac Tools TWV250</v>
      </c>
      <c r="D943" s="1">
        <v>4</v>
      </c>
      <c r="E943" s="1">
        <v>6</v>
      </c>
      <c r="F943" s="38">
        <v>250</v>
      </c>
      <c r="G943" t="s">
        <v>166</v>
      </c>
    </row>
    <row r="944" spans="1:7" x14ac:dyDescent="0.25">
      <c r="A944" s="10" t="s">
        <v>2665</v>
      </c>
      <c r="B944" s="10" t="s">
        <v>2666</v>
      </c>
      <c r="C944" t="str">
        <f>Table13[[#This Row],[Manufacturer]]&amp;" "&amp;Table13[[#This Row],[Model]]</f>
        <v>Mac Tools TWZ400P</v>
      </c>
      <c r="D944" s="1" t="s">
        <v>2663</v>
      </c>
      <c r="E944" s="1" t="s">
        <v>330</v>
      </c>
      <c r="F944" s="38" t="s">
        <v>329</v>
      </c>
      <c r="G944" t="s">
        <v>166</v>
      </c>
    </row>
    <row r="945" spans="1:7" x14ac:dyDescent="0.25">
      <c r="A945" s="10" t="s">
        <v>2665</v>
      </c>
      <c r="B945" s="10" t="s">
        <v>2664</v>
      </c>
      <c r="C945" t="str">
        <f>Table13[[#This Row],[Manufacturer]]&amp;" "&amp;Table13[[#This Row],[Model]]</f>
        <v>Mac Tools TWZ600P</v>
      </c>
      <c r="D945" s="1" t="s">
        <v>2663</v>
      </c>
      <c r="E945" s="1" t="s">
        <v>330</v>
      </c>
      <c r="F945" s="38" t="s">
        <v>329</v>
      </c>
      <c r="G945" t="s">
        <v>166</v>
      </c>
    </row>
    <row r="946" spans="1:7" x14ac:dyDescent="0.25">
      <c r="A946" s="10" t="s">
        <v>2662</v>
      </c>
      <c r="B946" s="10" t="s">
        <v>2661</v>
      </c>
      <c r="C946" t="str">
        <f>Table13[[#This Row],[Manufacturer]]&amp;" "&amp;Table13[[#This Row],[Model]]</f>
        <v>Master Mechanic M38255OTW</v>
      </c>
      <c r="D946" s="1">
        <v>4</v>
      </c>
      <c r="E946" s="1">
        <v>6</v>
      </c>
      <c r="F946" s="38">
        <v>250</v>
      </c>
      <c r="G946" t="s">
        <v>164</v>
      </c>
    </row>
    <row r="947" spans="1:7" x14ac:dyDescent="0.25">
      <c r="A947" s="10" t="s">
        <v>2655</v>
      </c>
      <c r="B947" s="10" t="s">
        <v>2660</v>
      </c>
      <c r="C947" t="str">
        <f>Table13[[#This Row],[Manufacturer]]&amp;" "&amp;Table13[[#This Row],[Model]]</f>
        <v>Matco ETWA20FK</v>
      </c>
      <c r="D947" s="1">
        <v>2</v>
      </c>
      <c r="E947" s="1">
        <v>3</v>
      </c>
      <c r="F947" s="38">
        <v>240</v>
      </c>
      <c r="G947" t="s">
        <v>164</v>
      </c>
    </row>
    <row r="948" spans="1:7" x14ac:dyDescent="0.25">
      <c r="A948" s="10" t="s">
        <v>2655</v>
      </c>
      <c r="B948" s="10" t="s">
        <v>2659</v>
      </c>
      <c r="C948" t="str">
        <f>Table13[[#This Row],[Manufacturer]]&amp;" "&amp;Table13[[#This Row],[Model]]</f>
        <v>Matco T-150RA</v>
      </c>
      <c r="D948" s="1">
        <v>3</v>
      </c>
      <c r="E948" s="1">
        <v>3</v>
      </c>
      <c r="F948" s="38">
        <v>150</v>
      </c>
      <c r="G948" t="s">
        <v>164</v>
      </c>
    </row>
    <row r="949" spans="1:7" x14ac:dyDescent="0.25">
      <c r="A949" s="10" t="s">
        <v>2655</v>
      </c>
      <c r="B949" s="10" t="s">
        <v>2658</v>
      </c>
      <c r="C949" t="str">
        <f>Table13[[#This Row],[Manufacturer]]&amp;" "&amp;Table13[[#This Row],[Model]]</f>
        <v>Matco TDR600R</v>
      </c>
      <c r="D949" s="1">
        <v>3</v>
      </c>
      <c r="E949" s="1" t="s">
        <v>169</v>
      </c>
      <c r="F949" s="38">
        <v>600</v>
      </c>
      <c r="G949" t="s">
        <v>166</v>
      </c>
    </row>
    <row r="950" spans="1:7" x14ac:dyDescent="0.25">
      <c r="A950" s="10" t="s">
        <v>2655</v>
      </c>
      <c r="B950" s="10" t="s">
        <v>2657</v>
      </c>
      <c r="C950" t="str">
        <f>Table13[[#This Row],[Manufacturer]]&amp;" "&amp;Table13[[#This Row],[Model]]</f>
        <v>Matco TRB100</v>
      </c>
      <c r="D950" s="1">
        <v>3</v>
      </c>
      <c r="E950" s="1" t="s">
        <v>169</v>
      </c>
      <c r="F950" s="38">
        <v>100</v>
      </c>
      <c r="G950" t="s">
        <v>166</v>
      </c>
    </row>
    <row r="951" spans="1:7" x14ac:dyDescent="0.25">
      <c r="A951" s="10" t="s">
        <v>2655</v>
      </c>
      <c r="B951" s="10" t="s">
        <v>2656</v>
      </c>
      <c r="C951" t="str">
        <f>Table13[[#This Row],[Manufacturer]]&amp;" "&amp;Table13[[#This Row],[Model]]</f>
        <v>Matco TRB100K</v>
      </c>
      <c r="D951" s="1">
        <v>3</v>
      </c>
      <c r="E951" s="1">
        <v>5</v>
      </c>
      <c r="F951" s="38">
        <v>100</v>
      </c>
      <c r="G951" t="s">
        <v>166</v>
      </c>
    </row>
    <row r="952" spans="1:7" x14ac:dyDescent="0.25">
      <c r="A952" s="10" t="s">
        <v>2655</v>
      </c>
      <c r="B952" s="10" t="s">
        <v>2654</v>
      </c>
      <c r="C952" t="str">
        <f>Table13[[#This Row],[Manufacturer]]&amp;" "&amp;Table13[[#This Row],[Model]]</f>
        <v>Matco TRB75F</v>
      </c>
      <c r="D952" s="1">
        <v>3</v>
      </c>
      <c r="E952" s="1" t="s">
        <v>169</v>
      </c>
      <c r="F952" s="38">
        <v>75</v>
      </c>
      <c r="G952" t="s">
        <v>166</v>
      </c>
    </row>
    <row r="953" spans="1:7" x14ac:dyDescent="0.25">
      <c r="A953" s="10" t="s">
        <v>2653</v>
      </c>
      <c r="B953" s="10" t="s">
        <v>2652</v>
      </c>
      <c r="C953" t="str">
        <f>Table13[[#This Row],[Manufacturer]]&amp;" "&amp;Table13[[#This Row],[Model]]</f>
        <v>Matco Tools TSA36</v>
      </c>
      <c r="D953" s="1">
        <v>6</v>
      </c>
      <c r="E953" s="1" t="s">
        <v>169</v>
      </c>
      <c r="F953" s="38">
        <v>36</v>
      </c>
      <c r="G953" t="s">
        <v>164</v>
      </c>
    </row>
    <row r="954" spans="1:7" x14ac:dyDescent="0.25">
      <c r="A954" s="10" t="s">
        <v>2643</v>
      </c>
      <c r="B954" s="10" t="s">
        <v>2651</v>
      </c>
      <c r="C954" t="str">
        <f>Table13[[#This Row],[Manufacturer]]&amp;" "&amp;Table13[[#This Row],[Model]]</f>
        <v>Maury Microwave 2498T1</v>
      </c>
      <c r="D954" s="1">
        <v>6.6666670000000003</v>
      </c>
      <c r="E954" s="1">
        <v>6.6666670000000003</v>
      </c>
      <c r="F954" s="38">
        <v>12</v>
      </c>
      <c r="G954" t="s">
        <v>164</v>
      </c>
    </row>
    <row r="955" spans="1:7" x14ac:dyDescent="0.25">
      <c r="A955" s="10" t="s">
        <v>2643</v>
      </c>
      <c r="B955" s="10" t="s">
        <v>2650</v>
      </c>
      <c r="C955" t="str">
        <f>Table13[[#This Row],[Manufacturer]]&amp;" "&amp;Table13[[#This Row],[Model]]</f>
        <v>Maury Microwave 2698C2</v>
      </c>
      <c r="D955" s="1">
        <v>6.6666670000000003</v>
      </c>
      <c r="E955" s="1">
        <v>6.6666670000000003</v>
      </c>
      <c r="F955" s="38">
        <v>12</v>
      </c>
      <c r="G955" t="s">
        <v>164</v>
      </c>
    </row>
    <row r="956" spans="1:7" x14ac:dyDescent="0.25">
      <c r="A956" s="10" t="s">
        <v>2643</v>
      </c>
      <c r="B956" s="10" t="s">
        <v>2649</v>
      </c>
      <c r="C956" t="str">
        <f>Table13[[#This Row],[Manufacturer]]&amp;" "&amp;Table13[[#This Row],[Model]]</f>
        <v>Maury Microwave 2698G1</v>
      </c>
      <c r="D956" s="1">
        <v>6.6666670000000003</v>
      </c>
      <c r="E956" s="1">
        <v>6.6666670000000003</v>
      </c>
      <c r="F956" s="38">
        <v>12</v>
      </c>
      <c r="G956" t="s">
        <v>164</v>
      </c>
    </row>
    <row r="957" spans="1:7" x14ac:dyDescent="0.25">
      <c r="A957" s="10" t="s">
        <v>2643</v>
      </c>
      <c r="B957" s="10" t="s">
        <v>2648</v>
      </c>
      <c r="C957" t="str">
        <f>Table13[[#This Row],[Manufacturer]]&amp;" "&amp;Table13[[#This Row],[Model]]</f>
        <v>Maury Microwave 2698H1</v>
      </c>
      <c r="D957" s="1">
        <v>6.6666670000000003</v>
      </c>
      <c r="E957" s="1">
        <v>6.6666670000000003</v>
      </c>
      <c r="F957" s="38">
        <v>8</v>
      </c>
      <c r="G957" t="s">
        <v>164</v>
      </c>
    </row>
    <row r="958" spans="1:7" x14ac:dyDescent="0.25">
      <c r="A958" s="10" t="s">
        <v>2643</v>
      </c>
      <c r="B958" s="10" t="s">
        <v>2647</v>
      </c>
      <c r="C958" t="str">
        <f>Table13[[#This Row],[Manufacturer]]&amp;" "&amp;Table13[[#This Row],[Model]]</f>
        <v>Maury Microwave 2698J1</v>
      </c>
      <c r="D958" s="1">
        <v>6.6666670000000003</v>
      </c>
      <c r="E958" s="1">
        <v>6.6666670000000003</v>
      </c>
      <c r="F958" s="38">
        <v>12</v>
      </c>
      <c r="G958" t="s">
        <v>164</v>
      </c>
    </row>
    <row r="959" spans="1:7" x14ac:dyDescent="0.25">
      <c r="A959" s="10" t="s">
        <v>2643</v>
      </c>
      <c r="B959" s="10" t="s">
        <v>2646</v>
      </c>
      <c r="C959" t="str">
        <f>Table13[[#This Row],[Manufacturer]]&amp;" "&amp;Table13[[#This Row],[Model]]</f>
        <v>Maury Microwave 2698K1</v>
      </c>
      <c r="D959" s="1">
        <v>6</v>
      </c>
      <c r="E959" s="1">
        <v>6</v>
      </c>
      <c r="F959" s="38">
        <v>20</v>
      </c>
      <c r="G959" t="s">
        <v>164</v>
      </c>
    </row>
    <row r="960" spans="1:7" x14ac:dyDescent="0.25">
      <c r="A960" s="10" t="s">
        <v>2643</v>
      </c>
      <c r="B960" s="10" t="s">
        <v>2645</v>
      </c>
      <c r="C960" t="str">
        <f>Table13[[#This Row],[Manufacturer]]&amp;" "&amp;Table13[[#This Row],[Model]]</f>
        <v>Maury Microwave 8799A1</v>
      </c>
      <c r="D960" s="1">
        <v>6.25</v>
      </c>
      <c r="E960" s="1">
        <v>6.25</v>
      </c>
      <c r="F960" s="38">
        <v>8</v>
      </c>
      <c r="G960" t="s">
        <v>164</v>
      </c>
    </row>
    <row r="961" spans="1:7" x14ac:dyDescent="0.25">
      <c r="A961" s="10" t="s">
        <v>2643</v>
      </c>
      <c r="B961" s="10" t="s">
        <v>2644</v>
      </c>
      <c r="C961" t="str">
        <f>Table13[[#This Row],[Manufacturer]]&amp;" "&amp;Table13[[#This Row],[Model]]</f>
        <v>Maury Microwave 8799D1</v>
      </c>
      <c r="D961" s="1">
        <v>6</v>
      </c>
      <c r="E961" s="1">
        <v>6</v>
      </c>
      <c r="F961" s="38">
        <v>5</v>
      </c>
      <c r="G961" t="s">
        <v>164</v>
      </c>
    </row>
    <row r="962" spans="1:7" x14ac:dyDescent="0.25">
      <c r="A962" s="10" t="s">
        <v>2643</v>
      </c>
      <c r="B962" s="10" t="s">
        <v>2642</v>
      </c>
      <c r="C962" t="str">
        <f>Table13[[#This Row],[Manufacturer]]&amp;" "&amp;Table13[[#This Row],[Model]]</f>
        <v>Maury Microwave 8799E1</v>
      </c>
      <c r="D962" s="1">
        <v>6</v>
      </c>
      <c r="E962" s="1">
        <v>6</v>
      </c>
      <c r="F962" s="38">
        <v>5</v>
      </c>
      <c r="G962" t="s">
        <v>164</v>
      </c>
    </row>
    <row r="963" spans="1:7" x14ac:dyDescent="0.25">
      <c r="A963" s="10" t="s">
        <v>2638</v>
      </c>
      <c r="B963" s="10" t="s">
        <v>2641</v>
      </c>
      <c r="C963" t="str">
        <f>Table13[[#This Row],[Manufacturer]]&amp;" "&amp;Table13[[#This Row],[Model]]</f>
        <v>McMaster-Carr CD3150FR-MCB</v>
      </c>
      <c r="D963" s="1">
        <v>4</v>
      </c>
      <c r="E963" s="1" t="s">
        <v>169</v>
      </c>
      <c r="F963" s="38">
        <v>150</v>
      </c>
      <c r="G963" t="s">
        <v>166</v>
      </c>
    </row>
    <row r="964" spans="1:7" x14ac:dyDescent="0.25">
      <c r="A964" s="10" t="s">
        <v>2638</v>
      </c>
      <c r="B964" s="10" t="s">
        <v>2640</v>
      </c>
      <c r="C964" t="str">
        <f>Table13[[#This Row],[Manufacturer]]&amp;" "&amp;Table13[[#This Row],[Model]]</f>
        <v>McMaster-Carr DT150FA</v>
      </c>
      <c r="D964" s="1">
        <v>4</v>
      </c>
      <c r="E964" s="1" t="s">
        <v>169</v>
      </c>
      <c r="F964" s="38">
        <v>150</v>
      </c>
      <c r="G964" t="s">
        <v>166</v>
      </c>
    </row>
    <row r="965" spans="1:7" x14ac:dyDescent="0.25">
      <c r="A965" s="10" t="s">
        <v>2638</v>
      </c>
      <c r="B965" s="10" t="s">
        <v>2639</v>
      </c>
      <c r="C965" t="str">
        <f>Table13[[#This Row],[Manufacturer]]&amp;" "&amp;Table13[[#This Row],[Model]]</f>
        <v>McMaster-Carr DT250A</v>
      </c>
      <c r="D965" s="1">
        <v>4</v>
      </c>
      <c r="E965" s="1" t="s">
        <v>169</v>
      </c>
      <c r="F965" s="38">
        <v>250</v>
      </c>
      <c r="G965" t="s">
        <v>164</v>
      </c>
    </row>
    <row r="966" spans="1:7" x14ac:dyDescent="0.25">
      <c r="A966" s="10" t="s">
        <v>2638</v>
      </c>
      <c r="B966" s="10" t="s">
        <v>2637</v>
      </c>
      <c r="C966" t="str">
        <f>Table13[[#This Row],[Manufacturer]]&amp;" "&amp;Table13[[#This Row],[Model]]</f>
        <v>McMaster-Carr DT75FA</v>
      </c>
      <c r="D966" s="1">
        <v>4</v>
      </c>
      <c r="E966" s="1">
        <v>6</v>
      </c>
      <c r="F966" s="38">
        <v>80</v>
      </c>
      <c r="G966" t="s">
        <v>166</v>
      </c>
    </row>
    <row r="967" spans="1:7" x14ac:dyDescent="0.25">
      <c r="A967" s="10" t="s">
        <v>2625</v>
      </c>
      <c r="B967" s="10" t="s">
        <v>2636</v>
      </c>
      <c r="C967" t="str">
        <f>Table13[[#This Row],[Manufacturer]]&amp;" "&amp;Table13[[#This Row],[Model]]</f>
        <v>MegaPhase TS-4-234</v>
      </c>
      <c r="D967" s="1">
        <v>6</v>
      </c>
      <c r="E967" s="1" t="s">
        <v>169</v>
      </c>
      <c r="F967" s="38">
        <v>4</v>
      </c>
      <c r="G967" t="s">
        <v>164</v>
      </c>
    </row>
    <row r="968" spans="1:7" x14ac:dyDescent="0.25">
      <c r="A968" s="10" t="s">
        <v>2625</v>
      </c>
      <c r="B968" s="10" t="s">
        <v>2635</v>
      </c>
      <c r="C968" t="str">
        <f>Table13[[#This Row],[Manufacturer]]&amp;" "&amp;Table13[[#This Row],[Model]]</f>
        <v>MegaPhase TS-4-334</v>
      </c>
      <c r="D968" s="1">
        <v>6</v>
      </c>
      <c r="E968" s="1" t="s">
        <v>169</v>
      </c>
      <c r="F968" s="38">
        <v>4</v>
      </c>
      <c r="G968" t="s">
        <v>164</v>
      </c>
    </row>
    <row r="969" spans="1:7" x14ac:dyDescent="0.25">
      <c r="A969" s="10" t="s">
        <v>2625</v>
      </c>
      <c r="B969" s="10" t="s">
        <v>2634</v>
      </c>
      <c r="C969" t="str">
        <f>Table13[[#This Row],[Manufacturer]]&amp;" "&amp;Table13[[#This Row],[Model]]</f>
        <v>MegaPhase TS-5-562</v>
      </c>
      <c r="D969" s="1">
        <v>6</v>
      </c>
      <c r="E969" s="1" t="s">
        <v>169</v>
      </c>
      <c r="F969" s="38">
        <v>5</v>
      </c>
      <c r="G969" t="s">
        <v>164</v>
      </c>
    </row>
    <row r="970" spans="1:7" x14ac:dyDescent="0.25">
      <c r="A970" s="10" t="s">
        <v>2625</v>
      </c>
      <c r="B970" s="10" t="s">
        <v>2633</v>
      </c>
      <c r="C970" t="str">
        <f>Table13[[#This Row],[Manufacturer]]&amp;" "&amp;Table13[[#This Row],[Model]]</f>
        <v>MegaPhase TS-8-312</v>
      </c>
      <c r="D970" s="1">
        <v>6</v>
      </c>
      <c r="E970" s="1" t="s">
        <v>169</v>
      </c>
      <c r="F970" s="38">
        <v>8</v>
      </c>
      <c r="G970" t="s">
        <v>164</v>
      </c>
    </row>
    <row r="971" spans="1:7" x14ac:dyDescent="0.25">
      <c r="A971" s="10" t="s">
        <v>2625</v>
      </c>
      <c r="B971" s="10" t="s">
        <v>2632</v>
      </c>
      <c r="C971" t="str">
        <f>Table13[[#This Row],[Manufacturer]]&amp;" "&amp;Table13[[#This Row],[Model]]</f>
        <v>MegaPhase BTW-12-750</v>
      </c>
      <c r="D971" s="1">
        <v>6</v>
      </c>
      <c r="E971" s="1" t="s">
        <v>169</v>
      </c>
      <c r="F971" s="38">
        <v>12</v>
      </c>
      <c r="G971" t="s">
        <v>164</v>
      </c>
    </row>
    <row r="972" spans="1:7" x14ac:dyDescent="0.25">
      <c r="A972" s="10" t="s">
        <v>2625</v>
      </c>
      <c r="B972" s="10" t="s">
        <v>2631</v>
      </c>
      <c r="C972" t="str">
        <f>Table13[[#This Row],[Manufacturer]]&amp;" "&amp;Table13[[#This Row],[Model]]</f>
        <v>MegaPhase BTW-5-562</v>
      </c>
      <c r="D972" s="1">
        <v>6</v>
      </c>
      <c r="E972" s="1" t="s">
        <v>169</v>
      </c>
      <c r="F972" s="38">
        <v>5</v>
      </c>
      <c r="G972" t="s">
        <v>164</v>
      </c>
    </row>
    <row r="973" spans="1:7" x14ac:dyDescent="0.25">
      <c r="A973" s="10" t="s">
        <v>2625</v>
      </c>
      <c r="B973" s="10" t="s">
        <v>2630</v>
      </c>
      <c r="C973" t="str">
        <f>Table13[[#This Row],[Manufacturer]]&amp;" "&amp;Table13[[#This Row],[Model]]</f>
        <v>MegaPhase BTW-8-312</v>
      </c>
      <c r="D973" s="1">
        <v>6</v>
      </c>
      <c r="E973" s="1" t="s">
        <v>169</v>
      </c>
      <c r="F973" s="38">
        <v>8</v>
      </c>
      <c r="G973" t="s">
        <v>164</v>
      </c>
    </row>
    <row r="974" spans="1:7" x14ac:dyDescent="0.25">
      <c r="A974" s="10" t="s">
        <v>2625</v>
      </c>
      <c r="B974" s="10" t="s">
        <v>2629</v>
      </c>
      <c r="C974" t="str">
        <f>Table13[[#This Row],[Manufacturer]]&amp;" "&amp;Table13[[#This Row],[Model]]</f>
        <v>MegaPhase BTW-8-787</v>
      </c>
      <c r="D974" s="1">
        <v>6</v>
      </c>
      <c r="E974" s="1" t="s">
        <v>169</v>
      </c>
      <c r="F974" s="38">
        <v>8</v>
      </c>
      <c r="G974" t="s">
        <v>164</v>
      </c>
    </row>
    <row r="975" spans="1:7" x14ac:dyDescent="0.25">
      <c r="A975" s="10" t="s">
        <v>2625</v>
      </c>
      <c r="B975" s="10" t="s">
        <v>2628</v>
      </c>
      <c r="C975" t="str">
        <f>Table13[[#This Row],[Manufacturer]]&amp;" "&amp;Table13[[#This Row],[Model]]</f>
        <v>MegaPhase BTWs-12-750</v>
      </c>
      <c r="D975" s="1">
        <v>6</v>
      </c>
      <c r="E975" s="1" t="s">
        <v>169</v>
      </c>
      <c r="F975" s="38">
        <v>12</v>
      </c>
      <c r="G975" t="s">
        <v>164</v>
      </c>
    </row>
    <row r="976" spans="1:7" x14ac:dyDescent="0.25">
      <c r="A976" s="10" t="s">
        <v>2625</v>
      </c>
      <c r="B976" s="10" t="s">
        <v>2627</v>
      </c>
      <c r="C976" t="str">
        <f>Table13[[#This Row],[Manufacturer]]&amp;" "&amp;Table13[[#This Row],[Model]]</f>
        <v>MegaPhase BTWs-5-562</v>
      </c>
      <c r="D976" s="1">
        <v>6</v>
      </c>
      <c r="E976" s="1" t="s">
        <v>169</v>
      </c>
      <c r="F976" s="38">
        <v>5</v>
      </c>
      <c r="G976" t="s">
        <v>164</v>
      </c>
    </row>
    <row r="977" spans="1:7" x14ac:dyDescent="0.25">
      <c r="A977" s="10" t="s">
        <v>2625</v>
      </c>
      <c r="B977" s="10" t="s">
        <v>2626</v>
      </c>
      <c r="C977" t="str">
        <f>Table13[[#This Row],[Manufacturer]]&amp;" "&amp;Table13[[#This Row],[Model]]</f>
        <v>MegaPhase BTWs-8-312</v>
      </c>
      <c r="D977" s="1">
        <v>6</v>
      </c>
      <c r="E977" s="1" t="s">
        <v>169</v>
      </c>
      <c r="F977" s="38">
        <v>8</v>
      </c>
      <c r="G977" t="s">
        <v>164</v>
      </c>
    </row>
    <row r="978" spans="1:7" x14ac:dyDescent="0.25">
      <c r="A978" s="10" t="s">
        <v>2625</v>
      </c>
      <c r="B978" s="10" t="s">
        <v>2624</v>
      </c>
      <c r="C978" t="str">
        <f>Table13[[#This Row],[Manufacturer]]&amp;" "&amp;Table13[[#This Row],[Model]]</f>
        <v>MegaPhase BTWs-8-787</v>
      </c>
      <c r="D978" s="1">
        <v>6</v>
      </c>
      <c r="E978" s="1" t="s">
        <v>169</v>
      </c>
      <c r="F978" s="38">
        <v>8</v>
      </c>
      <c r="G978" t="s">
        <v>164</v>
      </c>
    </row>
    <row r="979" spans="1:7" x14ac:dyDescent="0.25">
      <c r="A979" s="10" t="s">
        <v>2623</v>
      </c>
      <c r="B979" s="10" t="s">
        <v>2622</v>
      </c>
      <c r="C979" t="str">
        <f>Table13[[#This Row],[Manufacturer]]&amp;" "&amp;Table13[[#This Row],[Model]]</f>
        <v>MHH Engineering CO. LTD. TB-12C</v>
      </c>
      <c r="D979" s="1">
        <v>6</v>
      </c>
      <c r="E979" s="1">
        <v>6</v>
      </c>
      <c r="F979" s="38">
        <v>12</v>
      </c>
      <c r="G979" t="s">
        <v>164</v>
      </c>
    </row>
    <row r="980" spans="1:7" x14ac:dyDescent="0.25">
      <c r="A980" s="10" t="s">
        <v>2616</v>
      </c>
      <c r="B980" s="10" t="s">
        <v>2621</v>
      </c>
      <c r="C980" t="str">
        <f>Table13[[#This Row],[Manufacturer]]&amp;" "&amp;Table13[[#This Row],[Model]]</f>
        <v>Mitutoyo Datatorq 983-210</v>
      </c>
      <c r="D980" s="1">
        <v>1</v>
      </c>
      <c r="E980" s="1">
        <v>1</v>
      </c>
      <c r="F980" s="38">
        <v>50</v>
      </c>
      <c r="G980" t="s">
        <v>164</v>
      </c>
    </row>
    <row r="981" spans="1:7" x14ac:dyDescent="0.25">
      <c r="A981" s="10" t="s">
        <v>2616</v>
      </c>
      <c r="B981" s="10" t="s">
        <v>2620</v>
      </c>
      <c r="C981" t="str">
        <f>Table13[[#This Row],[Manufacturer]]&amp;" "&amp;Table13[[#This Row],[Model]]</f>
        <v>Mitutoyo Datatorq 983-211</v>
      </c>
      <c r="D981" s="1">
        <v>1</v>
      </c>
      <c r="E981" s="1">
        <v>1</v>
      </c>
      <c r="F981" s="38">
        <v>250</v>
      </c>
      <c r="G981" t="s">
        <v>164</v>
      </c>
    </row>
    <row r="982" spans="1:7" x14ac:dyDescent="0.25">
      <c r="A982" s="10" t="s">
        <v>2616</v>
      </c>
      <c r="B982" s="10" t="s">
        <v>2619</v>
      </c>
      <c r="C982" t="str">
        <f>Table13[[#This Row],[Manufacturer]]&amp;" "&amp;Table13[[#This Row],[Model]]</f>
        <v>Mitutoyo Datatorq 983-212</v>
      </c>
      <c r="D982" s="1">
        <v>1</v>
      </c>
      <c r="E982" s="1">
        <v>1</v>
      </c>
      <c r="F982" s="38">
        <v>50</v>
      </c>
      <c r="G982" t="s">
        <v>166</v>
      </c>
    </row>
    <row r="983" spans="1:7" x14ac:dyDescent="0.25">
      <c r="A983" s="10" t="s">
        <v>2616</v>
      </c>
      <c r="B983" s="10" t="s">
        <v>2618</v>
      </c>
      <c r="C983" t="str">
        <f>Table13[[#This Row],[Manufacturer]]&amp;" "&amp;Table13[[#This Row],[Model]]</f>
        <v>Mitutoyo Datatorq 983-213</v>
      </c>
      <c r="D983" s="1">
        <v>1</v>
      </c>
      <c r="E983" s="1">
        <v>1</v>
      </c>
      <c r="F983" s="38">
        <v>250</v>
      </c>
      <c r="G983" t="s">
        <v>166</v>
      </c>
    </row>
    <row r="984" spans="1:7" x14ac:dyDescent="0.25">
      <c r="A984" s="10" t="s">
        <v>2616</v>
      </c>
      <c r="B984" s="10" t="s">
        <v>2617</v>
      </c>
      <c r="C984" t="str">
        <f>Table13[[#This Row],[Manufacturer]]&amp;" "&amp;Table13[[#This Row],[Model]]</f>
        <v>Mitutoyo Datatorq 983-214</v>
      </c>
      <c r="D984" s="1">
        <v>1</v>
      </c>
      <c r="E984" s="1">
        <v>1</v>
      </c>
      <c r="F984" s="38">
        <v>600</v>
      </c>
      <c r="G984" t="s">
        <v>166</v>
      </c>
    </row>
    <row r="985" spans="1:7" x14ac:dyDescent="0.25">
      <c r="A985" s="10" t="s">
        <v>2616</v>
      </c>
      <c r="B985" s="10" t="s">
        <v>2615</v>
      </c>
      <c r="C985" t="str">
        <f>Table13[[#This Row],[Manufacturer]]&amp;" "&amp;Table13[[#This Row],[Model]]</f>
        <v>Mitutoyo Datatorq 983-215</v>
      </c>
      <c r="D985" s="1">
        <v>1</v>
      </c>
      <c r="E985" s="1">
        <v>1</v>
      </c>
      <c r="F985" s="38">
        <v>1000</v>
      </c>
      <c r="G985" t="s">
        <v>166</v>
      </c>
    </row>
    <row r="986" spans="1:7" x14ac:dyDescent="0.25">
      <c r="A986" s="10" t="s">
        <v>2466</v>
      </c>
      <c r="B986" s="10" t="s">
        <v>2614</v>
      </c>
      <c r="C986" t="str">
        <f>Table13[[#This Row],[Manufacturer]]&amp;" "&amp;Table13[[#This Row],[Model]]</f>
        <v>Mountz ADS12A</v>
      </c>
      <c r="D986" s="1">
        <v>4</v>
      </c>
      <c r="E986" s="1">
        <v>4</v>
      </c>
      <c r="F986" s="38">
        <v>120</v>
      </c>
      <c r="G986" t="s">
        <v>166</v>
      </c>
    </row>
    <row r="987" spans="1:7" x14ac:dyDescent="0.25">
      <c r="A987" s="10" t="s">
        <v>2466</v>
      </c>
      <c r="B987" s="10" t="s">
        <v>2613</v>
      </c>
      <c r="C987" t="str">
        <f>Table13[[#This Row],[Manufacturer]]&amp;" "&amp;Table13[[#This Row],[Model]]</f>
        <v>Mountz ADS12D</v>
      </c>
      <c r="D987" s="1">
        <v>4</v>
      </c>
      <c r="E987" s="1">
        <v>4</v>
      </c>
      <c r="F987" s="38">
        <v>120</v>
      </c>
      <c r="G987" t="s">
        <v>166</v>
      </c>
    </row>
    <row r="988" spans="1:7" x14ac:dyDescent="0.25">
      <c r="A988" s="10" t="s">
        <v>2466</v>
      </c>
      <c r="B988" s="10" t="s">
        <v>2612</v>
      </c>
      <c r="C988" t="str">
        <f>Table13[[#This Row],[Manufacturer]]&amp;" "&amp;Table13[[#This Row],[Model]]</f>
        <v>Mountz ADS25</v>
      </c>
      <c r="D988" s="1">
        <v>4</v>
      </c>
      <c r="E988" s="1">
        <v>4</v>
      </c>
      <c r="F988" s="38">
        <v>240</v>
      </c>
      <c r="G988" t="s">
        <v>166</v>
      </c>
    </row>
    <row r="989" spans="1:7" x14ac:dyDescent="0.25">
      <c r="A989" s="10" t="s">
        <v>2466</v>
      </c>
      <c r="B989" s="10" t="s">
        <v>2611</v>
      </c>
      <c r="C989" t="str">
        <f>Table13[[#This Row],[Manufacturer]]&amp;" "&amp;Table13[[#This Row],[Model]]</f>
        <v>Mountz ADS25F</v>
      </c>
      <c r="D989" s="1">
        <v>4</v>
      </c>
      <c r="E989" s="1">
        <v>4</v>
      </c>
      <c r="F989" s="38">
        <v>20</v>
      </c>
      <c r="G989" t="s">
        <v>166</v>
      </c>
    </row>
    <row r="990" spans="1:7" x14ac:dyDescent="0.25">
      <c r="A990" s="10" t="s">
        <v>2466</v>
      </c>
      <c r="B990" s="10" t="s">
        <v>2610</v>
      </c>
      <c r="C990" t="str">
        <f>Table13[[#This Row],[Manufacturer]]&amp;" "&amp;Table13[[#This Row],[Model]]</f>
        <v>Mountz ADS4</v>
      </c>
      <c r="D990" s="1">
        <v>6</v>
      </c>
      <c r="E990" s="1" t="s">
        <v>169</v>
      </c>
      <c r="F990" s="38">
        <v>35</v>
      </c>
      <c r="G990" t="s">
        <v>164</v>
      </c>
    </row>
    <row r="991" spans="1:7" x14ac:dyDescent="0.25">
      <c r="A991" s="10" t="s">
        <v>2466</v>
      </c>
      <c r="B991" s="10" t="s">
        <v>2609</v>
      </c>
      <c r="C991" t="str">
        <f>Table13[[#This Row],[Manufacturer]]&amp;" "&amp;Table13[[#This Row],[Model]]</f>
        <v>Mountz ADS40</v>
      </c>
      <c r="D991" s="1">
        <v>4</v>
      </c>
      <c r="E991" s="1">
        <v>4</v>
      </c>
      <c r="F991" s="38">
        <v>40</v>
      </c>
      <c r="G991" t="s">
        <v>184</v>
      </c>
    </row>
    <row r="992" spans="1:7" x14ac:dyDescent="0.25">
      <c r="A992" s="10" t="s">
        <v>2466</v>
      </c>
      <c r="B992" s="10" t="s">
        <v>2608</v>
      </c>
      <c r="C992" t="str">
        <f>Table13[[#This Row],[Manufacturer]]&amp;" "&amp;Table13[[#This Row],[Model]]</f>
        <v>Mountz ADS40F</v>
      </c>
      <c r="D992" s="1">
        <v>4</v>
      </c>
      <c r="E992" s="1">
        <v>4</v>
      </c>
      <c r="F992" s="38">
        <v>30</v>
      </c>
      <c r="G992" t="s">
        <v>166</v>
      </c>
    </row>
    <row r="993" spans="1:7" x14ac:dyDescent="0.25">
      <c r="A993" s="10" t="s">
        <v>2466</v>
      </c>
      <c r="B993" s="10" t="s">
        <v>2607</v>
      </c>
      <c r="C993" t="str">
        <f>Table13[[#This Row],[Manufacturer]]&amp;" "&amp;Table13[[#This Row],[Model]]</f>
        <v>Mountz ADS40S</v>
      </c>
      <c r="D993" s="1">
        <v>4</v>
      </c>
      <c r="E993" s="1">
        <v>4</v>
      </c>
      <c r="F993" s="38">
        <v>40</v>
      </c>
      <c r="G993" t="s">
        <v>184</v>
      </c>
    </row>
    <row r="994" spans="1:7" x14ac:dyDescent="0.25">
      <c r="A994" s="10" t="s">
        <v>2466</v>
      </c>
      <c r="B994" s="10" t="s">
        <v>2606</v>
      </c>
      <c r="C994" t="str">
        <f>Table13[[#This Row],[Manufacturer]]&amp;" "&amp;Table13[[#This Row],[Model]]</f>
        <v>Mountz ADS8</v>
      </c>
      <c r="D994" s="1">
        <v>6</v>
      </c>
      <c r="E994" s="1">
        <v>6</v>
      </c>
      <c r="F994" s="38">
        <v>75</v>
      </c>
      <c r="G994" t="s">
        <v>166</v>
      </c>
    </row>
    <row r="995" spans="1:7" x14ac:dyDescent="0.25">
      <c r="A995" s="10" t="s">
        <v>2466</v>
      </c>
      <c r="B995" s="10" t="s">
        <v>2605</v>
      </c>
      <c r="C995" t="str">
        <f>Table13[[#This Row],[Manufacturer]]&amp;" "&amp;Table13[[#This Row],[Model]]</f>
        <v>Mountz BDS160</v>
      </c>
      <c r="D995" s="1">
        <v>4</v>
      </c>
      <c r="E995" s="1">
        <v>4</v>
      </c>
      <c r="F995" s="38">
        <v>120</v>
      </c>
      <c r="G995" t="s">
        <v>166</v>
      </c>
    </row>
    <row r="996" spans="1:7" x14ac:dyDescent="0.25">
      <c r="A996" s="10" t="s">
        <v>2466</v>
      </c>
      <c r="B996" s="10" t="s">
        <v>2604</v>
      </c>
      <c r="C996" t="str">
        <f>Table13[[#This Row],[Manufacturer]]&amp;" "&amp;Table13[[#This Row],[Model]]</f>
        <v>Mountz BDS160S</v>
      </c>
      <c r="D996" s="1">
        <v>4</v>
      </c>
      <c r="E996" s="1">
        <v>4</v>
      </c>
      <c r="F996" s="38">
        <v>120</v>
      </c>
      <c r="G996" t="s">
        <v>166</v>
      </c>
    </row>
    <row r="997" spans="1:7" x14ac:dyDescent="0.25">
      <c r="A997" s="10" t="s">
        <v>2466</v>
      </c>
      <c r="B997" s="10" t="s">
        <v>2603</v>
      </c>
      <c r="C997" t="str">
        <f>Table13[[#This Row],[Manufacturer]]&amp;" "&amp;Table13[[#This Row],[Model]]</f>
        <v>Mountz BDS200</v>
      </c>
      <c r="D997" s="1">
        <v>4</v>
      </c>
      <c r="E997" s="1">
        <v>4</v>
      </c>
      <c r="F997" s="38">
        <v>160</v>
      </c>
      <c r="G997" t="s">
        <v>166</v>
      </c>
    </row>
    <row r="998" spans="1:7" x14ac:dyDescent="0.25">
      <c r="A998" s="10" t="s">
        <v>2466</v>
      </c>
      <c r="B998" s="10" t="s">
        <v>2602</v>
      </c>
      <c r="C998" t="str">
        <f>Table13[[#This Row],[Manufacturer]]&amp;" "&amp;Table13[[#This Row],[Model]]</f>
        <v>Mountz BDS200S</v>
      </c>
      <c r="D998" s="1">
        <v>4</v>
      </c>
      <c r="E998" s="1">
        <v>4</v>
      </c>
      <c r="F998" s="38">
        <v>160</v>
      </c>
      <c r="G998" t="s">
        <v>166</v>
      </c>
    </row>
    <row r="999" spans="1:7" x14ac:dyDescent="0.25">
      <c r="A999" s="10" t="s">
        <v>2466</v>
      </c>
      <c r="B999" s="10" t="s">
        <v>2601</v>
      </c>
      <c r="C999" t="str">
        <f>Table13[[#This Row],[Manufacturer]]&amp;" "&amp;Table13[[#This Row],[Model]]</f>
        <v>Mountz BDS80A</v>
      </c>
      <c r="D999" s="1">
        <v>4</v>
      </c>
      <c r="E999" s="1">
        <v>4</v>
      </c>
      <c r="F999" s="38">
        <v>60</v>
      </c>
      <c r="G999" t="s">
        <v>166</v>
      </c>
    </row>
    <row r="1000" spans="1:7" x14ac:dyDescent="0.25">
      <c r="A1000" s="10" t="s">
        <v>2466</v>
      </c>
      <c r="B1000" s="10" t="s">
        <v>2600</v>
      </c>
      <c r="C1000" t="str">
        <f>Table13[[#This Row],[Manufacturer]]&amp;" "&amp;Table13[[#This Row],[Model]]</f>
        <v>Mountz BDS80AS</v>
      </c>
      <c r="D1000" s="1">
        <v>4</v>
      </c>
      <c r="E1000" s="1">
        <v>4</v>
      </c>
      <c r="F1000" s="38">
        <v>60</v>
      </c>
      <c r="G1000" t="s">
        <v>166</v>
      </c>
    </row>
    <row r="1001" spans="1:7" x14ac:dyDescent="0.25">
      <c r="A1001" s="10" t="s">
        <v>2466</v>
      </c>
      <c r="B1001" s="10" t="s">
        <v>2599</v>
      </c>
      <c r="C1001" t="str">
        <f>Table13[[#This Row],[Manufacturer]]&amp;" "&amp;Table13[[#This Row],[Model]]</f>
        <v>Mountz BDS80E</v>
      </c>
      <c r="D1001" s="1">
        <v>4</v>
      </c>
      <c r="E1001" s="1">
        <v>4</v>
      </c>
      <c r="F1001" s="38">
        <v>60</v>
      </c>
      <c r="G1001" t="s">
        <v>166</v>
      </c>
    </row>
    <row r="1002" spans="1:7" x14ac:dyDescent="0.25">
      <c r="A1002" s="10" t="s">
        <v>2466</v>
      </c>
      <c r="B1002" s="10" t="s">
        <v>2598</v>
      </c>
      <c r="C1002" t="str">
        <f>Table13[[#This Row],[Manufacturer]]&amp;" "&amp;Table13[[#This Row],[Model]]</f>
        <v>Mountz BDS80ES</v>
      </c>
      <c r="D1002" s="1">
        <v>4</v>
      </c>
      <c r="E1002" s="1">
        <v>4</v>
      </c>
      <c r="F1002" s="38">
        <v>60</v>
      </c>
      <c r="G1002" t="s">
        <v>166</v>
      </c>
    </row>
    <row r="1003" spans="1:7" x14ac:dyDescent="0.25">
      <c r="A1003" s="10" t="s">
        <v>2466</v>
      </c>
      <c r="B1003" s="10" t="s">
        <v>2597</v>
      </c>
      <c r="C1003" t="str">
        <f>Table13[[#This Row],[Manufacturer]]&amp;" "&amp;Table13[[#This Row],[Model]]</f>
        <v>Mountz CDS400S</v>
      </c>
      <c r="D1003" s="1">
        <v>4</v>
      </c>
      <c r="E1003" s="1">
        <v>4</v>
      </c>
      <c r="F1003" s="38">
        <v>300</v>
      </c>
      <c r="G1003" t="s">
        <v>166</v>
      </c>
    </row>
    <row r="1004" spans="1:7" x14ac:dyDescent="0.25">
      <c r="A1004" s="10" t="s">
        <v>2466</v>
      </c>
      <c r="B1004" s="10" t="s">
        <v>2596</v>
      </c>
      <c r="C1004" t="str">
        <f>Table13[[#This Row],[Manufacturer]]&amp;" "&amp;Table13[[#This Row],[Model]]</f>
        <v>Mountz DDS800S</v>
      </c>
      <c r="D1004" s="1">
        <v>4</v>
      </c>
      <c r="E1004" s="1">
        <v>4</v>
      </c>
      <c r="F1004" s="38">
        <v>600</v>
      </c>
      <c r="G1004" t="s">
        <v>166</v>
      </c>
    </row>
    <row r="1005" spans="1:7" x14ac:dyDescent="0.25">
      <c r="A1005" s="10" t="s">
        <v>2466</v>
      </c>
      <c r="B1005" s="10" t="s">
        <v>2595</v>
      </c>
      <c r="C1005" t="str">
        <f>Table13[[#This Row],[Manufacturer]]&amp;" "&amp;Table13[[#This Row],[Model]]</f>
        <v>Mountz EDS1400</v>
      </c>
      <c r="D1005" s="1">
        <v>4</v>
      </c>
      <c r="E1005" s="1">
        <v>4</v>
      </c>
      <c r="F1005" s="38">
        <v>1000</v>
      </c>
      <c r="G1005" t="s">
        <v>166</v>
      </c>
    </row>
    <row r="1006" spans="1:7" x14ac:dyDescent="0.25">
      <c r="A1006" s="10" t="s">
        <v>2466</v>
      </c>
      <c r="B1006" s="10" t="s">
        <v>2594</v>
      </c>
      <c r="C1006" t="str">
        <f>Table13[[#This Row],[Manufacturer]]&amp;" "&amp;Table13[[#This Row],[Model]]</f>
        <v>Mountz EDS2000</v>
      </c>
      <c r="D1006" s="1">
        <v>4</v>
      </c>
      <c r="E1006" s="1">
        <v>4</v>
      </c>
      <c r="F1006" s="38">
        <v>1500</v>
      </c>
      <c r="G1006" t="s">
        <v>166</v>
      </c>
    </row>
    <row r="1007" spans="1:7" x14ac:dyDescent="0.25">
      <c r="A1007" s="10" t="s">
        <v>2466</v>
      </c>
      <c r="B1007" s="10" t="s">
        <v>2593</v>
      </c>
      <c r="C1007" t="str">
        <f>Table13[[#This Row],[Manufacturer]]&amp;" "&amp;Table13[[#This Row],[Model]]</f>
        <v>Mountz EPT250I</v>
      </c>
      <c r="D1007" s="1">
        <v>4</v>
      </c>
      <c r="E1007" s="1" t="s">
        <v>169</v>
      </c>
      <c r="F1007" s="38">
        <v>250</v>
      </c>
      <c r="G1007" t="s">
        <v>164</v>
      </c>
    </row>
    <row r="1008" spans="1:7" x14ac:dyDescent="0.25">
      <c r="A1008" s="10" t="s">
        <v>2466</v>
      </c>
      <c r="B1008" s="10" t="s">
        <v>2592</v>
      </c>
      <c r="C1008" t="str">
        <f>Table13[[#This Row],[Manufacturer]]&amp;" "&amp;Table13[[#This Row],[Model]]</f>
        <v>Mountz EPT75F</v>
      </c>
      <c r="D1008" s="1">
        <v>4</v>
      </c>
      <c r="E1008" s="1" t="s">
        <v>169</v>
      </c>
      <c r="F1008" s="38">
        <v>75</v>
      </c>
      <c r="G1008" t="s">
        <v>166</v>
      </c>
    </row>
    <row r="1009" spans="1:7" x14ac:dyDescent="0.25">
      <c r="A1009" s="10" t="s">
        <v>2466</v>
      </c>
      <c r="B1009" s="10" t="s">
        <v>2591</v>
      </c>
      <c r="C1009" t="str">
        <f>Table13[[#This Row],[Manufacturer]]&amp;" "&amp;Table13[[#This Row],[Model]]</f>
        <v>Mountz IPT 110</v>
      </c>
      <c r="D1009" s="1">
        <v>4</v>
      </c>
      <c r="E1009" s="1">
        <v>4</v>
      </c>
      <c r="F1009" s="38">
        <v>110.7</v>
      </c>
      <c r="G1009" t="s">
        <v>166</v>
      </c>
    </row>
    <row r="1010" spans="1:7" x14ac:dyDescent="0.25">
      <c r="A1010" s="10" t="s">
        <v>2466</v>
      </c>
      <c r="B1010" s="10" t="s">
        <v>2590</v>
      </c>
      <c r="C1010" t="str">
        <f>Table13[[#This Row],[Manufacturer]]&amp;" "&amp;Table13[[#This Row],[Model]]</f>
        <v>Mountz IPT 110N</v>
      </c>
      <c r="D1010" s="1">
        <v>4</v>
      </c>
      <c r="E1010" s="1">
        <v>4</v>
      </c>
      <c r="F1010" s="38">
        <v>150</v>
      </c>
      <c r="G1010" t="s">
        <v>184</v>
      </c>
    </row>
    <row r="1011" spans="1:7" x14ac:dyDescent="0.25">
      <c r="A1011" s="10" t="s">
        <v>2466</v>
      </c>
      <c r="B1011" s="10" t="s">
        <v>2589</v>
      </c>
      <c r="C1011" t="str">
        <f>Table13[[#This Row],[Manufacturer]]&amp;" "&amp;Table13[[#This Row],[Model]]</f>
        <v>Mountz IPT 150</v>
      </c>
      <c r="D1011" s="1">
        <v>4</v>
      </c>
      <c r="E1011" s="1">
        <v>4</v>
      </c>
      <c r="F1011" s="38">
        <v>147.6</v>
      </c>
      <c r="G1011" t="s">
        <v>166</v>
      </c>
    </row>
    <row r="1012" spans="1:7" x14ac:dyDescent="0.25">
      <c r="A1012" s="10" t="s">
        <v>2466</v>
      </c>
      <c r="B1012" s="10" t="s">
        <v>2588</v>
      </c>
      <c r="C1012" t="str">
        <f>Table13[[#This Row],[Manufacturer]]&amp;" "&amp;Table13[[#This Row],[Model]]</f>
        <v>Mountz IPT 150N</v>
      </c>
      <c r="D1012" s="1">
        <v>4</v>
      </c>
      <c r="E1012" s="1">
        <v>4</v>
      </c>
      <c r="F1012" s="38">
        <v>200</v>
      </c>
      <c r="G1012" t="s">
        <v>184</v>
      </c>
    </row>
    <row r="1013" spans="1:7" x14ac:dyDescent="0.25">
      <c r="A1013" s="10" t="s">
        <v>2466</v>
      </c>
      <c r="B1013" s="10" t="s">
        <v>2587</v>
      </c>
      <c r="C1013" t="str">
        <f>Table13[[#This Row],[Manufacturer]]&amp;" "&amp;Table13[[#This Row],[Model]]</f>
        <v>Mountz IPT 18</v>
      </c>
      <c r="D1013" s="1">
        <v>4</v>
      </c>
      <c r="E1013" s="1">
        <v>4</v>
      </c>
      <c r="F1013" s="38">
        <v>18.399999999999999</v>
      </c>
      <c r="G1013" t="s">
        <v>166</v>
      </c>
    </row>
    <row r="1014" spans="1:7" x14ac:dyDescent="0.25">
      <c r="A1014" s="10" t="s">
        <v>2466</v>
      </c>
      <c r="B1014" s="10" t="s">
        <v>2586</v>
      </c>
      <c r="C1014" t="str">
        <f>Table13[[#This Row],[Manufacturer]]&amp;" "&amp;Table13[[#This Row],[Model]]</f>
        <v>Mountz IPT 18N</v>
      </c>
      <c r="D1014" s="1">
        <v>4</v>
      </c>
      <c r="E1014" s="1">
        <v>4</v>
      </c>
      <c r="F1014" s="38">
        <v>25</v>
      </c>
      <c r="G1014" t="s">
        <v>184</v>
      </c>
    </row>
    <row r="1015" spans="1:7" x14ac:dyDescent="0.25">
      <c r="A1015" s="10" t="s">
        <v>2466</v>
      </c>
      <c r="B1015" s="10" t="s">
        <v>2585</v>
      </c>
      <c r="C1015" t="str">
        <f>Table13[[#This Row],[Manufacturer]]&amp;" "&amp;Table13[[#This Row],[Model]]</f>
        <v>Mountz IPT 250</v>
      </c>
      <c r="D1015" s="1">
        <v>4</v>
      </c>
      <c r="E1015" s="1">
        <v>4</v>
      </c>
      <c r="F1015" s="38">
        <v>250.9</v>
      </c>
      <c r="G1015" t="s">
        <v>166</v>
      </c>
    </row>
    <row r="1016" spans="1:7" x14ac:dyDescent="0.25">
      <c r="A1016" s="10" t="s">
        <v>2466</v>
      </c>
      <c r="B1016" s="10" t="s">
        <v>2584</v>
      </c>
      <c r="C1016" t="str">
        <f>Table13[[#This Row],[Manufacturer]]&amp;" "&amp;Table13[[#This Row],[Model]]</f>
        <v>Mountz IPT 250N</v>
      </c>
      <c r="D1016" s="1">
        <v>4</v>
      </c>
      <c r="E1016" s="1">
        <v>4</v>
      </c>
      <c r="F1016" s="38">
        <v>340</v>
      </c>
      <c r="G1016" t="s">
        <v>184</v>
      </c>
    </row>
    <row r="1017" spans="1:7" x14ac:dyDescent="0.25">
      <c r="A1017" s="10" t="s">
        <v>2466</v>
      </c>
      <c r="B1017" s="10" t="s">
        <v>2583</v>
      </c>
      <c r="C1017" t="str">
        <f>Table13[[#This Row],[Manufacturer]]&amp;" "&amp;Table13[[#This Row],[Model]]</f>
        <v>Mountz IPT 36</v>
      </c>
      <c r="D1017" s="1">
        <v>4</v>
      </c>
      <c r="E1017" s="1">
        <v>4</v>
      </c>
      <c r="F1017" s="38">
        <v>36.9</v>
      </c>
      <c r="G1017" t="s">
        <v>166</v>
      </c>
    </row>
    <row r="1018" spans="1:7" x14ac:dyDescent="0.25">
      <c r="A1018" s="10" t="s">
        <v>2466</v>
      </c>
      <c r="B1018" s="10" t="s">
        <v>2582</v>
      </c>
      <c r="C1018" t="str">
        <f>Table13[[#This Row],[Manufacturer]]&amp;" "&amp;Table13[[#This Row],[Model]]</f>
        <v>Mountz IPT 369</v>
      </c>
      <c r="D1018" s="1">
        <v>4</v>
      </c>
      <c r="E1018" s="1">
        <v>4</v>
      </c>
      <c r="F1018" s="38">
        <v>369</v>
      </c>
      <c r="G1018" t="s">
        <v>166</v>
      </c>
    </row>
    <row r="1019" spans="1:7" x14ac:dyDescent="0.25">
      <c r="A1019" s="10" t="s">
        <v>2466</v>
      </c>
      <c r="B1019" s="10" t="s">
        <v>2581</v>
      </c>
      <c r="C1019" t="str">
        <f>Table13[[#This Row],[Manufacturer]]&amp;" "&amp;Table13[[#This Row],[Model]]</f>
        <v>Mountz IPT 369N</v>
      </c>
      <c r="D1019" s="1">
        <v>4</v>
      </c>
      <c r="E1019" s="1">
        <v>4</v>
      </c>
      <c r="F1019" s="38">
        <v>500</v>
      </c>
      <c r="G1019" t="s">
        <v>184</v>
      </c>
    </row>
    <row r="1020" spans="1:7" x14ac:dyDescent="0.25">
      <c r="A1020" s="10" t="s">
        <v>2466</v>
      </c>
      <c r="B1020" s="10" t="s">
        <v>2580</v>
      </c>
      <c r="C1020" t="str">
        <f>Table13[[#This Row],[Manufacturer]]&amp;" "&amp;Table13[[#This Row],[Model]]</f>
        <v>Mountz IPT 36N</v>
      </c>
      <c r="D1020" s="1">
        <v>4</v>
      </c>
      <c r="E1020" s="1">
        <v>4</v>
      </c>
      <c r="F1020" s="38">
        <v>50</v>
      </c>
      <c r="G1020" t="s">
        <v>184</v>
      </c>
    </row>
    <row r="1021" spans="1:7" x14ac:dyDescent="0.25">
      <c r="A1021" s="10" t="s">
        <v>2466</v>
      </c>
      <c r="B1021" s="10" t="s">
        <v>2579</v>
      </c>
      <c r="C1021" t="str">
        <f>Table13[[#This Row],[Manufacturer]]&amp;" "&amp;Table13[[#This Row],[Model]]</f>
        <v>Mountz IPT 73</v>
      </c>
      <c r="D1021" s="1">
        <v>4</v>
      </c>
      <c r="E1021" s="1">
        <v>4</v>
      </c>
      <c r="F1021" s="38">
        <v>73.8</v>
      </c>
      <c r="G1021" t="s">
        <v>166</v>
      </c>
    </row>
    <row r="1022" spans="1:7" x14ac:dyDescent="0.25">
      <c r="A1022" s="10" t="s">
        <v>2466</v>
      </c>
      <c r="B1022" s="10" t="s">
        <v>2578</v>
      </c>
      <c r="C1022" t="str">
        <f>Table13[[#This Row],[Manufacturer]]&amp;" "&amp;Table13[[#This Row],[Model]]</f>
        <v>Mountz IPT 73N</v>
      </c>
      <c r="D1022" s="1">
        <v>4</v>
      </c>
      <c r="E1022" s="1">
        <v>4</v>
      </c>
      <c r="F1022" s="38">
        <v>100</v>
      </c>
      <c r="G1022" t="s">
        <v>184</v>
      </c>
    </row>
    <row r="1023" spans="1:7" x14ac:dyDescent="0.25">
      <c r="A1023" s="10" t="s">
        <v>2466</v>
      </c>
      <c r="B1023" s="10" t="s">
        <v>2577</v>
      </c>
      <c r="C1023" t="str">
        <f>Table13[[#This Row],[Manufacturer]]&amp;" "&amp;Table13[[#This Row],[Model]]</f>
        <v>Mountz IPT 885</v>
      </c>
      <c r="D1023" s="1">
        <v>4</v>
      </c>
      <c r="E1023" s="1">
        <v>4</v>
      </c>
      <c r="F1023" s="38">
        <v>885.6</v>
      </c>
      <c r="G1023" t="s">
        <v>166</v>
      </c>
    </row>
    <row r="1024" spans="1:7" x14ac:dyDescent="0.25">
      <c r="A1024" s="10" t="s">
        <v>2466</v>
      </c>
      <c r="B1024" s="10" t="s">
        <v>2576</v>
      </c>
      <c r="C1024" t="str">
        <f>Table13[[#This Row],[Manufacturer]]&amp;" "&amp;Table13[[#This Row],[Model]]</f>
        <v>Mountz IPT 885N</v>
      </c>
      <c r="D1024" s="1">
        <v>4</v>
      </c>
      <c r="E1024" s="1">
        <v>4</v>
      </c>
      <c r="F1024" s="38">
        <v>1200</v>
      </c>
      <c r="G1024" t="s">
        <v>184</v>
      </c>
    </row>
    <row r="1025" spans="1:7" x14ac:dyDescent="0.25">
      <c r="A1025" s="10" t="s">
        <v>2466</v>
      </c>
      <c r="B1025" s="10" t="s">
        <v>2575</v>
      </c>
      <c r="C1025" t="str">
        <f>Table13[[#This Row],[Manufacturer]]&amp;" "&amp;Table13[[#This Row],[Model]]</f>
        <v>Mountz Titan100i</v>
      </c>
      <c r="D1025" s="1">
        <v>4</v>
      </c>
      <c r="E1025" s="1" t="s">
        <v>169</v>
      </c>
      <c r="F1025" s="38">
        <v>100</v>
      </c>
      <c r="G1025" t="s">
        <v>164</v>
      </c>
    </row>
    <row r="1026" spans="1:7" x14ac:dyDescent="0.25">
      <c r="A1026" s="10" t="s">
        <v>2466</v>
      </c>
      <c r="B1026" s="10" t="s">
        <v>2574</v>
      </c>
      <c r="C1026" t="str">
        <f>Table13[[#This Row],[Manufacturer]]&amp;" "&amp;Table13[[#This Row],[Model]]</f>
        <v>Mountz Titan150F</v>
      </c>
      <c r="D1026" s="1">
        <v>4</v>
      </c>
      <c r="E1026" s="1" t="s">
        <v>169</v>
      </c>
      <c r="F1026" s="38">
        <v>150</v>
      </c>
      <c r="G1026" t="s">
        <v>166</v>
      </c>
    </row>
    <row r="1027" spans="1:7" x14ac:dyDescent="0.25">
      <c r="A1027" s="10" t="s">
        <v>2466</v>
      </c>
      <c r="B1027" s="10" t="s">
        <v>2573</v>
      </c>
      <c r="C1027" t="str">
        <f>Table13[[#This Row],[Manufacturer]]&amp;" "&amp;Table13[[#This Row],[Model]]</f>
        <v>Mountz Titan150F-S</v>
      </c>
      <c r="D1027" s="1">
        <v>4</v>
      </c>
      <c r="E1027" s="1" t="s">
        <v>169</v>
      </c>
      <c r="F1027" s="38">
        <v>150</v>
      </c>
      <c r="G1027" t="s">
        <v>166</v>
      </c>
    </row>
    <row r="1028" spans="1:7" x14ac:dyDescent="0.25">
      <c r="A1028" s="10" t="s">
        <v>2466</v>
      </c>
      <c r="B1028" s="10" t="s">
        <v>2572</v>
      </c>
      <c r="C1028" t="str">
        <f>Table13[[#This Row],[Manufacturer]]&amp;" "&amp;Table13[[#This Row],[Model]]</f>
        <v>Mountz Titan250i</v>
      </c>
      <c r="D1028" s="1">
        <v>4</v>
      </c>
      <c r="E1028" s="1" t="s">
        <v>169</v>
      </c>
      <c r="F1028" s="38">
        <v>250</v>
      </c>
      <c r="G1028" t="s">
        <v>164</v>
      </c>
    </row>
    <row r="1029" spans="1:7" x14ac:dyDescent="0.25">
      <c r="A1029" s="10" t="s">
        <v>2466</v>
      </c>
      <c r="B1029" s="10" t="s">
        <v>2571</v>
      </c>
      <c r="C1029" t="str">
        <f>Table13[[#This Row],[Manufacturer]]&amp;" "&amp;Table13[[#This Row],[Model]]</f>
        <v>Mountz Titan250i-S</v>
      </c>
      <c r="D1029" s="1">
        <v>4</v>
      </c>
      <c r="E1029" s="1" t="s">
        <v>169</v>
      </c>
      <c r="F1029" s="38">
        <v>250</v>
      </c>
      <c r="G1029" t="s">
        <v>164</v>
      </c>
    </row>
    <row r="1030" spans="1:7" x14ac:dyDescent="0.25">
      <c r="A1030" s="10" t="s">
        <v>2466</v>
      </c>
      <c r="B1030" s="10" t="s">
        <v>2570</v>
      </c>
      <c r="C1030" t="str">
        <f>Table13[[#This Row],[Manufacturer]]&amp;" "&amp;Table13[[#This Row],[Model]]</f>
        <v>Mountz Titan300F</v>
      </c>
      <c r="D1030" s="1">
        <v>4</v>
      </c>
      <c r="E1030" s="1" t="s">
        <v>169</v>
      </c>
      <c r="F1030" s="38">
        <v>300</v>
      </c>
      <c r="G1030" t="s">
        <v>166</v>
      </c>
    </row>
    <row r="1031" spans="1:7" x14ac:dyDescent="0.25">
      <c r="A1031" s="10" t="s">
        <v>2466</v>
      </c>
      <c r="B1031" s="10" t="s">
        <v>2569</v>
      </c>
      <c r="C1031" t="str">
        <f>Table13[[#This Row],[Manufacturer]]&amp;" "&amp;Table13[[#This Row],[Model]]</f>
        <v>Mountz Titan300F-S</v>
      </c>
      <c r="D1031" s="1">
        <v>4</v>
      </c>
      <c r="E1031" s="1" t="s">
        <v>169</v>
      </c>
      <c r="F1031" s="38">
        <v>300</v>
      </c>
      <c r="G1031" t="s">
        <v>166</v>
      </c>
    </row>
    <row r="1032" spans="1:7" x14ac:dyDescent="0.25">
      <c r="A1032" s="10" t="s">
        <v>2466</v>
      </c>
      <c r="B1032" s="10" t="s">
        <v>2568</v>
      </c>
      <c r="C1032" t="str">
        <f>Table13[[#This Row],[Manufacturer]]&amp;" "&amp;Table13[[#This Row],[Model]]</f>
        <v>Mountz Titan600F</v>
      </c>
      <c r="D1032" s="1">
        <v>4</v>
      </c>
      <c r="E1032" s="1" t="s">
        <v>169</v>
      </c>
      <c r="F1032" s="38">
        <v>600</v>
      </c>
      <c r="G1032" t="s">
        <v>166</v>
      </c>
    </row>
    <row r="1033" spans="1:7" x14ac:dyDescent="0.25">
      <c r="A1033" s="10" t="s">
        <v>2466</v>
      </c>
      <c r="B1033" s="10" t="s">
        <v>2567</v>
      </c>
      <c r="C1033" t="str">
        <f>Table13[[#This Row],[Manufacturer]]&amp;" "&amp;Table13[[#This Row],[Model]]</f>
        <v>Mountz Titan75F</v>
      </c>
      <c r="D1033" s="1">
        <v>4</v>
      </c>
      <c r="E1033" s="1" t="s">
        <v>169</v>
      </c>
      <c r="F1033" s="38">
        <v>75</v>
      </c>
      <c r="G1033" t="s">
        <v>166</v>
      </c>
    </row>
    <row r="1034" spans="1:7" x14ac:dyDescent="0.25">
      <c r="A1034" s="10" t="s">
        <v>2466</v>
      </c>
      <c r="B1034" s="10" t="s">
        <v>2566</v>
      </c>
      <c r="C1034" t="str">
        <f>Table13[[#This Row],[Manufacturer]]&amp;" "&amp;Table13[[#This Row],[Model]]</f>
        <v>Mountz Titan75F-S</v>
      </c>
      <c r="D1034" s="1">
        <v>4</v>
      </c>
      <c r="E1034" s="1" t="s">
        <v>169</v>
      </c>
      <c r="F1034" s="38">
        <v>75</v>
      </c>
      <c r="G1034" t="s">
        <v>166</v>
      </c>
    </row>
    <row r="1035" spans="1:7" x14ac:dyDescent="0.25">
      <c r="A1035" s="10" t="s">
        <v>2466</v>
      </c>
      <c r="B1035" s="10" t="s">
        <v>2565</v>
      </c>
      <c r="C1035" t="str">
        <f>Table13[[#This Row],[Manufacturer]]&amp;" "&amp;Table13[[#This Row],[Model]]</f>
        <v>Mountz TSC10</v>
      </c>
      <c r="D1035" s="1" t="s">
        <v>2555</v>
      </c>
      <c r="E1035" s="1" t="s">
        <v>330</v>
      </c>
      <c r="F1035" s="38" t="s">
        <v>329</v>
      </c>
      <c r="G1035" t="s">
        <v>184</v>
      </c>
    </row>
    <row r="1036" spans="1:7" x14ac:dyDescent="0.25">
      <c r="A1036" s="10" t="s">
        <v>2466</v>
      </c>
      <c r="B1036" s="10" t="s">
        <v>2564</v>
      </c>
      <c r="C1036" t="str">
        <f>Table13[[#This Row],[Manufacturer]]&amp;" "&amp;Table13[[#This Row],[Model]]</f>
        <v>Mountz TSC45</v>
      </c>
      <c r="D1036" s="1" t="s">
        <v>2555</v>
      </c>
      <c r="E1036" s="1" t="s">
        <v>330</v>
      </c>
      <c r="F1036" s="38" t="s">
        <v>329</v>
      </c>
      <c r="G1036" t="s">
        <v>164</v>
      </c>
    </row>
    <row r="1037" spans="1:7" x14ac:dyDescent="0.25">
      <c r="A1037" s="10" t="s">
        <v>2466</v>
      </c>
      <c r="B1037" s="10" t="s">
        <v>2563</v>
      </c>
      <c r="C1037" t="str">
        <f>Table13[[#This Row],[Manufacturer]]&amp;" "&amp;Table13[[#This Row],[Model]]</f>
        <v>Mountz TSC5</v>
      </c>
      <c r="D1037" s="1" t="s">
        <v>2555</v>
      </c>
      <c r="E1037" s="1" t="s">
        <v>330</v>
      </c>
      <c r="F1037" s="38" t="s">
        <v>329</v>
      </c>
      <c r="G1037" t="s">
        <v>184</v>
      </c>
    </row>
    <row r="1038" spans="1:7" x14ac:dyDescent="0.25">
      <c r="A1038" s="10" t="s">
        <v>2466</v>
      </c>
      <c r="B1038" s="10" t="s">
        <v>2562</v>
      </c>
      <c r="C1038" t="str">
        <f>Table13[[#This Row],[Manufacturer]]&amp;" "&amp;Table13[[#This Row],[Model]]</f>
        <v>Mountz TSC90</v>
      </c>
      <c r="D1038" s="1" t="s">
        <v>2555</v>
      </c>
      <c r="E1038" s="1" t="s">
        <v>330</v>
      </c>
      <c r="F1038" s="38" t="s">
        <v>329</v>
      </c>
      <c r="G1038" t="s">
        <v>164</v>
      </c>
    </row>
    <row r="1039" spans="1:7" x14ac:dyDescent="0.25">
      <c r="A1039" s="10" t="s">
        <v>2466</v>
      </c>
      <c r="B1039" s="10" t="s">
        <v>2561</v>
      </c>
      <c r="C1039" t="str">
        <f>Table13[[#This Row],[Manufacturer]]&amp;" "&amp;Table13[[#This Row],[Model]]</f>
        <v>Mountz TSN125</v>
      </c>
      <c r="D1039" s="1" t="s">
        <v>2555</v>
      </c>
      <c r="E1039" s="1" t="s">
        <v>330</v>
      </c>
      <c r="F1039" s="38" t="s">
        <v>329</v>
      </c>
      <c r="G1039" t="s">
        <v>166</v>
      </c>
    </row>
    <row r="1040" spans="1:7" x14ac:dyDescent="0.25">
      <c r="A1040" s="10" t="s">
        <v>2466</v>
      </c>
      <c r="B1040" s="10" t="s">
        <v>2560</v>
      </c>
      <c r="C1040" t="str">
        <f>Table13[[#This Row],[Manufacturer]]&amp;" "&amp;Table13[[#This Row],[Model]]</f>
        <v>Mountz TSN25A</v>
      </c>
      <c r="D1040" s="1" t="s">
        <v>2555</v>
      </c>
      <c r="E1040" s="1" t="s">
        <v>330</v>
      </c>
      <c r="F1040" s="38" t="s">
        <v>329</v>
      </c>
      <c r="G1040" t="s">
        <v>166</v>
      </c>
    </row>
    <row r="1041" spans="1:7" x14ac:dyDescent="0.25">
      <c r="A1041" s="10" t="s">
        <v>2466</v>
      </c>
      <c r="B1041" s="10" t="s">
        <v>2559</v>
      </c>
      <c r="C1041" t="str">
        <f>Table13[[#This Row],[Manufacturer]]&amp;" "&amp;Table13[[#This Row],[Model]]</f>
        <v>Mountz TSN25D</v>
      </c>
      <c r="D1041" s="1" t="s">
        <v>2555</v>
      </c>
      <c r="E1041" s="1" t="s">
        <v>330</v>
      </c>
      <c r="F1041" s="38" t="s">
        <v>329</v>
      </c>
      <c r="G1041" t="s">
        <v>166</v>
      </c>
    </row>
    <row r="1042" spans="1:7" x14ac:dyDescent="0.25">
      <c r="A1042" s="10" t="s">
        <v>2466</v>
      </c>
      <c r="B1042" s="10" t="s">
        <v>2558</v>
      </c>
      <c r="C1042" t="str">
        <f>Table13[[#This Row],[Manufacturer]]&amp;" "&amp;Table13[[#This Row],[Model]]</f>
        <v>Mountz TSN55</v>
      </c>
      <c r="D1042" s="1" t="s">
        <v>2555</v>
      </c>
      <c r="E1042" s="1" t="s">
        <v>330</v>
      </c>
      <c r="F1042" s="38" t="s">
        <v>329</v>
      </c>
      <c r="G1042" t="s">
        <v>166</v>
      </c>
    </row>
    <row r="1043" spans="1:7" x14ac:dyDescent="0.25">
      <c r="A1043" s="10" t="s">
        <v>2466</v>
      </c>
      <c r="B1043" s="10" t="s">
        <v>2557</v>
      </c>
      <c r="C1043" t="str">
        <f>Table13[[#This Row],[Manufacturer]]&amp;" "&amp;Table13[[#This Row],[Model]]</f>
        <v>Mountz TSP10/90</v>
      </c>
      <c r="D1043" s="1" t="s">
        <v>2555</v>
      </c>
      <c r="E1043" s="1" t="s">
        <v>330</v>
      </c>
      <c r="F1043" s="38" t="s">
        <v>329</v>
      </c>
      <c r="G1043" t="s">
        <v>164</v>
      </c>
    </row>
    <row r="1044" spans="1:7" x14ac:dyDescent="0.25">
      <c r="A1044" s="10" t="s">
        <v>2466</v>
      </c>
      <c r="B1044" s="10" t="s">
        <v>2556</v>
      </c>
      <c r="C1044" t="str">
        <f>Table13[[#This Row],[Manufacturer]]&amp;" "&amp;Table13[[#This Row],[Model]]</f>
        <v>Mountz TSP5/45</v>
      </c>
      <c r="D1044" s="1" t="s">
        <v>2555</v>
      </c>
      <c r="E1044" s="1" t="s">
        <v>330</v>
      </c>
      <c r="F1044" s="38" t="s">
        <v>329</v>
      </c>
      <c r="G1044" t="s">
        <v>164</v>
      </c>
    </row>
    <row r="1045" spans="1:7" x14ac:dyDescent="0.25">
      <c r="A1045" s="10" t="s">
        <v>2466</v>
      </c>
      <c r="B1045" s="10" t="s">
        <v>2554</v>
      </c>
      <c r="C1045" t="str">
        <f>Table13[[#This Row],[Manufacturer]]&amp;" "&amp;Table13[[#This Row],[Model]]</f>
        <v>Mountz CRS100-0022FH</v>
      </c>
      <c r="D1045" s="1">
        <v>6</v>
      </c>
      <c r="E1045" s="1" t="s">
        <v>169</v>
      </c>
      <c r="F1045" s="38">
        <v>32</v>
      </c>
      <c r="G1045" t="s">
        <v>172</v>
      </c>
    </row>
    <row r="1046" spans="1:7" x14ac:dyDescent="0.25">
      <c r="A1046" s="10" t="s">
        <v>2466</v>
      </c>
      <c r="B1046" s="10" t="s">
        <v>2553</v>
      </c>
      <c r="C1046" t="str">
        <f>Table13[[#This Row],[Manufacturer]]&amp;" "&amp;Table13[[#This Row],[Model]]</f>
        <v>Mountz CRS100-0135FH</v>
      </c>
      <c r="D1046" s="1">
        <v>6</v>
      </c>
      <c r="E1046" s="1" t="s">
        <v>169</v>
      </c>
      <c r="F1046" s="38">
        <v>12</v>
      </c>
      <c r="G1046" t="s">
        <v>164</v>
      </c>
    </row>
    <row r="1047" spans="1:7" x14ac:dyDescent="0.25">
      <c r="A1047" s="10" t="s">
        <v>2466</v>
      </c>
      <c r="B1047" s="10" t="s">
        <v>2552</v>
      </c>
      <c r="C1047" t="str">
        <f>Table13[[#This Row],[Manufacturer]]&amp;" "&amp;Table13[[#This Row],[Model]]</f>
        <v>Mountz CRS100-0406FH</v>
      </c>
      <c r="D1047" s="1">
        <v>6</v>
      </c>
      <c r="E1047" s="1" t="s">
        <v>169</v>
      </c>
      <c r="F1047" s="38">
        <v>36</v>
      </c>
      <c r="G1047" t="s">
        <v>164</v>
      </c>
    </row>
    <row r="1048" spans="1:7" x14ac:dyDescent="0.25">
      <c r="A1048" s="10" t="s">
        <v>2466</v>
      </c>
      <c r="B1048" s="10" t="s">
        <v>2551</v>
      </c>
      <c r="C1048" t="str">
        <f>Table13[[#This Row],[Manufacturer]]&amp;" "&amp;Table13[[#This Row],[Model]]</f>
        <v>Mountz CRS100-1360FH</v>
      </c>
      <c r="D1048" s="1">
        <v>6</v>
      </c>
      <c r="E1048" s="1" t="s">
        <v>169</v>
      </c>
      <c r="F1048" s="38">
        <v>120</v>
      </c>
      <c r="G1048" t="s">
        <v>164</v>
      </c>
    </row>
    <row r="1049" spans="1:7" x14ac:dyDescent="0.25">
      <c r="A1049" s="10" t="s">
        <v>2466</v>
      </c>
      <c r="B1049" s="10" t="s">
        <v>2550</v>
      </c>
      <c r="C1049" t="str">
        <f>Table13[[#This Row],[Manufacturer]]&amp;" "&amp;Table13[[#This Row],[Model]]</f>
        <v>Mountz EMT12</v>
      </c>
      <c r="D1049" s="1">
        <v>6</v>
      </c>
      <c r="E1049" s="1" t="s">
        <v>169</v>
      </c>
      <c r="F1049" s="38">
        <v>12</v>
      </c>
      <c r="G1049" t="s">
        <v>164</v>
      </c>
    </row>
    <row r="1050" spans="1:7" x14ac:dyDescent="0.25">
      <c r="A1050" s="10" t="s">
        <v>2466</v>
      </c>
      <c r="B1050" s="10" t="s">
        <v>2549</v>
      </c>
      <c r="C1050" t="str">
        <f>Table13[[#This Row],[Manufacturer]]&amp;" "&amp;Table13[[#This Row],[Model]]</f>
        <v>Mountz EMT120</v>
      </c>
      <c r="D1050" s="1">
        <v>6</v>
      </c>
      <c r="E1050" s="1" t="s">
        <v>169</v>
      </c>
      <c r="F1050" s="38">
        <v>120</v>
      </c>
      <c r="G1050" t="s">
        <v>187</v>
      </c>
    </row>
    <row r="1051" spans="1:7" x14ac:dyDescent="0.25">
      <c r="A1051" s="10" t="s">
        <v>2466</v>
      </c>
      <c r="B1051" s="10" t="s">
        <v>2548</v>
      </c>
      <c r="C1051" t="str">
        <f>Table13[[#This Row],[Manufacturer]]&amp;" "&amp;Table13[[#This Row],[Model]]</f>
        <v>Mountz EMT160</v>
      </c>
      <c r="D1051" s="1">
        <v>6</v>
      </c>
      <c r="E1051" s="1" t="s">
        <v>169</v>
      </c>
      <c r="F1051" s="38">
        <v>160</v>
      </c>
      <c r="G1051" t="s">
        <v>172</v>
      </c>
    </row>
    <row r="1052" spans="1:7" x14ac:dyDescent="0.25">
      <c r="A1052" s="10" t="s">
        <v>2466</v>
      </c>
      <c r="B1052" s="10" t="s">
        <v>2547</v>
      </c>
      <c r="C1052" t="str">
        <f>Table13[[#This Row],[Manufacturer]]&amp;" "&amp;Table13[[#This Row],[Model]]</f>
        <v>Mountz EMT4</v>
      </c>
      <c r="D1052" s="1">
        <v>6</v>
      </c>
      <c r="E1052" s="1" t="s">
        <v>169</v>
      </c>
      <c r="F1052" s="38">
        <v>4</v>
      </c>
      <c r="G1052" t="s">
        <v>164</v>
      </c>
    </row>
    <row r="1053" spans="1:7" x14ac:dyDescent="0.25">
      <c r="A1053" s="10" t="s">
        <v>2466</v>
      </c>
      <c r="B1053" s="10" t="s">
        <v>2546</v>
      </c>
      <c r="C1053" t="str">
        <f>Table13[[#This Row],[Manufacturer]]&amp;" "&amp;Table13[[#This Row],[Model]]</f>
        <v>Mountz EMT40</v>
      </c>
      <c r="D1053" s="1">
        <v>6</v>
      </c>
      <c r="E1053" s="1" t="s">
        <v>169</v>
      </c>
      <c r="F1053" s="38">
        <v>40</v>
      </c>
      <c r="G1053" t="s">
        <v>187</v>
      </c>
    </row>
    <row r="1054" spans="1:7" x14ac:dyDescent="0.25">
      <c r="A1054" s="10" t="s">
        <v>2466</v>
      </c>
      <c r="B1054" s="10" t="s">
        <v>2545</v>
      </c>
      <c r="C1054" t="str">
        <f>Table13[[#This Row],[Manufacturer]]&amp;" "&amp;Table13[[#This Row],[Model]]</f>
        <v>Mountz EMT50</v>
      </c>
      <c r="D1054" s="1">
        <v>6</v>
      </c>
      <c r="E1054" s="1" t="s">
        <v>169</v>
      </c>
      <c r="F1054" s="38">
        <v>50</v>
      </c>
      <c r="G1054" t="s">
        <v>164</v>
      </c>
    </row>
    <row r="1055" spans="1:7" x14ac:dyDescent="0.25">
      <c r="A1055" s="10" t="s">
        <v>2466</v>
      </c>
      <c r="B1055" s="10" t="s">
        <v>2544</v>
      </c>
      <c r="C1055" t="str">
        <f>Table13[[#This Row],[Manufacturer]]&amp;" "&amp;Table13[[#This Row],[Model]]</f>
        <v>Mountz EMT6</v>
      </c>
      <c r="D1055" s="1">
        <v>6</v>
      </c>
      <c r="E1055" s="1" t="s">
        <v>169</v>
      </c>
      <c r="F1055" s="38">
        <v>6</v>
      </c>
      <c r="G1055" t="s">
        <v>184</v>
      </c>
    </row>
    <row r="1056" spans="1:7" x14ac:dyDescent="0.25">
      <c r="A1056" s="10" t="s">
        <v>2466</v>
      </c>
      <c r="B1056" s="10" t="s">
        <v>2543</v>
      </c>
      <c r="C1056" t="str">
        <f>Table13[[#This Row],[Manufacturer]]&amp;" "&amp;Table13[[#This Row],[Model]]</f>
        <v>Mountz EMT60</v>
      </c>
      <c r="D1056" s="1">
        <v>6</v>
      </c>
      <c r="E1056" s="1" t="s">
        <v>169</v>
      </c>
      <c r="F1056" s="38">
        <v>60</v>
      </c>
      <c r="G1056" t="s">
        <v>172</v>
      </c>
    </row>
    <row r="1057" spans="1:7" x14ac:dyDescent="0.25">
      <c r="A1057" s="10" t="s">
        <v>2466</v>
      </c>
      <c r="B1057" s="10" t="s">
        <v>2542</v>
      </c>
      <c r="C1057" t="str">
        <f>Table13[[#This Row],[Manufacturer]]&amp;" "&amp;Table13[[#This Row],[Model]]</f>
        <v>Mountz EMT80</v>
      </c>
      <c r="D1057" s="1">
        <v>6</v>
      </c>
      <c r="E1057" s="1" t="s">
        <v>169</v>
      </c>
      <c r="F1057" s="38">
        <v>80</v>
      </c>
      <c r="G1057" t="s">
        <v>164</v>
      </c>
    </row>
    <row r="1058" spans="1:7" x14ac:dyDescent="0.25">
      <c r="A1058" s="10" t="s">
        <v>2466</v>
      </c>
      <c r="B1058" s="10" t="s">
        <v>2541</v>
      </c>
      <c r="C1058" t="str">
        <f>Table13[[#This Row],[Manufacturer]]&amp;" "&amp;Table13[[#This Row],[Model]]</f>
        <v>Mountz EMT9</v>
      </c>
      <c r="D1058" s="1">
        <v>6</v>
      </c>
      <c r="E1058" s="1" t="s">
        <v>169</v>
      </c>
      <c r="F1058" s="38">
        <v>9</v>
      </c>
      <c r="G1058" t="s">
        <v>184</v>
      </c>
    </row>
    <row r="1059" spans="1:7" x14ac:dyDescent="0.25">
      <c r="A1059" s="10" t="s">
        <v>2466</v>
      </c>
      <c r="B1059" s="10" t="s">
        <v>2540</v>
      </c>
      <c r="C1059" t="str">
        <f>Table13[[#This Row],[Manufacturer]]&amp;" "&amp;Table13[[#This Row],[Model]]</f>
        <v>Mountz FG-125i</v>
      </c>
      <c r="D1059" s="1">
        <v>6</v>
      </c>
      <c r="E1059" s="1" t="s">
        <v>169</v>
      </c>
      <c r="F1059" s="38">
        <v>125</v>
      </c>
      <c r="G1059" t="s">
        <v>164</v>
      </c>
    </row>
    <row r="1060" spans="1:7" x14ac:dyDescent="0.25">
      <c r="A1060" s="10" t="s">
        <v>2466</v>
      </c>
      <c r="B1060" s="10" t="s">
        <v>2539</v>
      </c>
      <c r="C1060" t="str">
        <f>Table13[[#This Row],[Manufacturer]]&amp;" "&amp;Table13[[#This Row],[Model]]</f>
        <v>Mountz FG-20i</v>
      </c>
      <c r="D1060" s="1">
        <v>6</v>
      </c>
      <c r="E1060" s="1" t="s">
        <v>169</v>
      </c>
      <c r="F1060" s="38">
        <v>20</v>
      </c>
      <c r="G1060" t="s">
        <v>164</v>
      </c>
    </row>
    <row r="1061" spans="1:7" x14ac:dyDescent="0.25">
      <c r="A1061" s="10" t="s">
        <v>2466</v>
      </c>
      <c r="B1061" s="10" t="s">
        <v>2538</v>
      </c>
      <c r="C1061" t="str">
        <f>Table13[[#This Row],[Manufacturer]]&amp;" "&amp;Table13[[#This Row],[Model]]</f>
        <v>Mountz FG-40i</v>
      </c>
      <c r="D1061" s="1">
        <v>6</v>
      </c>
      <c r="E1061" s="1" t="s">
        <v>169</v>
      </c>
      <c r="F1061" s="38">
        <v>40</v>
      </c>
      <c r="G1061" t="s">
        <v>164</v>
      </c>
    </row>
    <row r="1062" spans="1:7" x14ac:dyDescent="0.25">
      <c r="A1062" s="10" t="s">
        <v>2466</v>
      </c>
      <c r="B1062" s="10" t="s">
        <v>2537</v>
      </c>
      <c r="C1062" t="str">
        <f>Table13[[#This Row],[Manufacturer]]&amp;" "&amp;Table13[[#This Row],[Model]]</f>
        <v>Mountz FG-8i</v>
      </c>
      <c r="D1062" s="1">
        <v>6</v>
      </c>
      <c r="E1062" s="1" t="s">
        <v>169</v>
      </c>
      <c r="F1062" s="38">
        <v>8</v>
      </c>
      <c r="G1062" t="s">
        <v>164</v>
      </c>
    </row>
    <row r="1063" spans="1:7" x14ac:dyDescent="0.25">
      <c r="A1063" s="10" t="s">
        <v>2466</v>
      </c>
      <c r="B1063" s="10" t="s">
        <v>2536</v>
      </c>
      <c r="C1063" t="str">
        <f>Table13[[#This Row],[Manufacturer]]&amp;" "&amp;Table13[[#This Row],[Model]]</f>
        <v>Mountz IFR CRS100-0135FH</v>
      </c>
      <c r="D1063" s="1">
        <v>6</v>
      </c>
      <c r="E1063" s="1" t="s">
        <v>169</v>
      </c>
      <c r="F1063" s="38">
        <v>12</v>
      </c>
      <c r="G1063" t="s">
        <v>164</v>
      </c>
    </row>
    <row r="1064" spans="1:7" x14ac:dyDescent="0.25">
      <c r="A1064" s="10" t="s">
        <v>2466</v>
      </c>
      <c r="B1064" s="10" t="s">
        <v>2535</v>
      </c>
      <c r="C1064" t="str">
        <f>Table13[[#This Row],[Manufacturer]]&amp;" "&amp;Table13[[#This Row],[Model]]</f>
        <v>Mountz IFR CRS100-0406FH</v>
      </c>
      <c r="D1064" s="1">
        <v>6</v>
      </c>
      <c r="E1064" s="1" t="s">
        <v>169</v>
      </c>
      <c r="F1064" s="38">
        <v>36</v>
      </c>
      <c r="G1064" t="s">
        <v>164</v>
      </c>
    </row>
    <row r="1065" spans="1:7" x14ac:dyDescent="0.25">
      <c r="A1065" s="10" t="s">
        <v>2466</v>
      </c>
      <c r="B1065" s="10" t="s">
        <v>2534</v>
      </c>
      <c r="C1065" t="str">
        <f>Table13[[#This Row],[Manufacturer]]&amp;" "&amp;Table13[[#This Row],[Model]]</f>
        <v>Mountz MT-120A</v>
      </c>
      <c r="D1065" s="1">
        <v>6</v>
      </c>
      <c r="E1065" s="1" t="s">
        <v>169</v>
      </c>
      <c r="F1065" s="38">
        <v>120</v>
      </c>
      <c r="G1065" t="s">
        <v>172</v>
      </c>
    </row>
    <row r="1066" spans="1:7" x14ac:dyDescent="0.25">
      <c r="A1066" s="10" t="s">
        <v>2466</v>
      </c>
      <c r="B1066" s="10" t="s">
        <v>2533</v>
      </c>
      <c r="C1066" t="str">
        <f>Table13[[#This Row],[Manufacturer]]&amp;" "&amp;Table13[[#This Row],[Model]]</f>
        <v>Mountz MT120-AFH</v>
      </c>
      <c r="D1066" s="1">
        <v>6</v>
      </c>
      <c r="E1066" s="1" t="s">
        <v>169</v>
      </c>
      <c r="F1066" s="38">
        <v>120</v>
      </c>
      <c r="G1066" t="s">
        <v>172</v>
      </c>
    </row>
    <row r="1067" spans="1:7" x14ac:dyDescent="0.25">
      <c r="A1067" s="10" t="s">
        <v>2466</v>
      </c>
      <c r="B1067" s="10" t="s">
        <v>2532</v>
      </c>
      <c r="C1067" t="str">
        <f>Table13[[#This Row],[Manufacturer]]&amp;" "&amp;Table13[[#This Row],[Model]]</f>
        <v>Mountz MT120-N</v>
      </c>
      <c r="D1067" s="1">
        <v>6</v>
      </c>
      <c r="E1067" s="1" t="s">
        <v>169</v>
      </c>
      <c r="F1067" s="38">
        <v>120</v>
      </c>
      <c r="G1067" t="s">
        <v>187</v>
      </c>
    </row>
    <row r="1068" spans="1:7" x14ac:dyDescent="0.25">
      <c r="A1068" s="10" t="s">
        <v>2466</v>
      </c>
      <c r="B1068" s="10" t="s">
        <v>2531</v>
      </c>
      <c r="C1068" t="str">
        <f>Table13[[#This Row],[Manufacturer]]&amp;" "&amp;Table13[[#This Row],[Model]]</f>
        <v>Mountz MT120-NFH</v>
      </c>
      <c r="D1068" s="1">
        <v>6</v>
      </c>
      <c r="E1068" s="1" t="s">
        <v>169</v>
      </c>
      <c r="F1068" s="38">
        <v>120</v>
      </c>
      <c r="G1068" t="s">
        <v>187</v>
      </c>
    </row>
    <row r="1069" spans="1:7" x14ac:dyDescent="0.25">
      <c r="A1069" s="10" t="s">
        <v>2466</v>
      </c>
      <c r="B1069" s="10" t="s">
        <v>2530</v>
      </c>
      <c r="C1069" t="str">
        <f>Table13[[#This Row],[Manufacturer]]&amp;" "&amp;Table13[[#This Row],[Model]]</f>
        <v>Mountz MT12-A</v>
      </c>
      <c r="D1069" s="1">
        <v>6</v>
      </c>
      <c r="E1069" s="1" t="s">
        <v>169</v>
      </c>
      <c r="F1069" s="38">
        <v>12</v>
      </c>
      <c r="G1069" t="s">
        <v>164</v>
      </c>
    </row>
    <row r="1070" spans="1:7" x14ac:dyDescent="0.25">
      <c r="A1070" s="10" t="s">
        <v>2466</v>
      </c>
      <c r="B1070" s="10" t="s">
        <v>2529</v>
      </c>
      <c r="C1070" t="str">
        <f>Table13[[#This Row],[Manufacturer]]&amp;" "&amp;Table13[[#This Row],[Model]]</f>
        <v>Mountz MT12-AFH</v>
      </c>
      <c r="D1070" s="1">
        <v>6</v>
      </c>
      <c r="E1070" s="1" t="s">
        <v>169</v>
      </c>
      <c r="F1070" s="38">
        <v>12</v>
      </c>
      <c r="G1070" t="s">
        <v>164</v>
      </c>
    </row>
    <row r="1071" spans="1:7" x14ac:dyDescent="0.25">
      <c r="A1071" s="10" t="s">
        <v>2466</v>
      </c>
      <c r="B1071" s="10" t="s">
        <v>2528</v>
      </c>
      <c r="C1071" t="str">
        <f>Table13[[#This Row],[Manufacturer]]&amp;" "&amp;Table13[[#This Row],[Model]]</f>
        <v>Mountz MT50-A</v>
      </c>
      <c r="D1071" s="1">
        <v>6</v>
      </c>
      <c r="E1071" s="1" t="s">
        <v>169</v>
      </c>
      <c r="F1071" s="38">
        <v>50</v>
      </c>
      <c r="G1071" t="s">
        <v>164</v>
      </c>
    </row>
    <row r="1072" spans="1:7" x14ac:dyDescent="0.25">
      <c r="A1072" s="10" t="s">
        <v>2466</v>
      </c>
      <c r="B1072" s="10" t="s">
        <v>2527</v>
      </c>
      <c r="C1072" t="str">
        <f>Table13[[#This Row],[Manufacturer]]&amp;" "&amp;Table13[[#This Row],[Model]]</f>
        <v>Mountz MT50-AFH</v>
      </c>
      <c r="D1072" s="1">
        <v>6</v>
      </c>
      <c r="E1072" s="1" t="s">
        <v>169</v>
      </c>
      <c r="F1072" s="38">
        <v>50</v>
      </c>
      <c r="G1072" t="s">
        <v>164</v>
      </c>
    </row>
    <row r="1073" spans="1:7" x14ac:dyDescent="0.25">
      <c r="A1073" s="10" t="s">
        <v>2466</v>
      </c>
      <c r="B1073" s="10" t="s">
        <v>2526</v>
      </c>
      <c r="C1073" t="str">
        <f>Table13[[#This Row],[Manufacturer]]&amp;" "&amp;Table13[[#This Row],[Model]]</f>
        <v>Mountz MT6-N</v>
      </c>
      <c r="D1073" s="1">
        <v>6</v>
      </c>
      <c r="E1073" s="1" t="s">
        <v>169</v>
      </c>
      <c r="F1073" s="38">
        <v>6</v>
      </c>
      <c r="G1073" t="s">
        <v>184</v>
      </c>
    </row>
    <row r="1074" spans="1:7" x14ac:dyDescent="0.25">
      <c r="A1074" s="10" t="s">
        <v>2466</v>
      </c>
      <c r="B1074" s="10" t="s">
        <v>2525</v>
      </c>
      <c r="C1074" t="str">
        <f>Table13[[#This Row],[Manufacturer]]&amp;" "&amp;Table13[[#This Row],[Model]]</f>
        <v>Mountz MT6-NFH</v>
      </c>
      <c r="D1074" s="1">
        <v>6</v>
      </c>
      <c r="E1074" s="1" t="s">
        <v>169</v>
      </c>
      <c r="F1074" s="38">
        <v>6</v>
      </c>
      <c r="G1074" t="s">
        <v>184</v>
      </c>
    </row>
    <row r="1075" spans="1:7" x14ac:dyDescent="0.25">
      <c r="A1075" s="10" t="s">
        <v>2466</v>
      </c>
      <c r="B1075" s="10" t="s">
        <v>2524</v>
      </c>
      <c r="C1075" t="str">
        <f>Table13[[#This Row],[Manufacturer]]&amp;" "&amp;Table13[[#This Row],[Model]]</f>
        <v>Mountz MT80-A</v>
      </c>
      <c r="D1075" s="1">
        <v>6</v>
      </c>
      <c r="E1075" s="1" t="s">
        <v>169</v>
      </c>
      <c r="F1075" s="38">
        <v>80</v>
      </c>
      <c r="G1075" t="s">
        <v>164</v>
      </c>
    </row>
    <row r="1076" spans="1:7" x14ac:dyDescent="0.25">
      <c r="A1076" s="10" t="s">
        <v>2466</v>
      </c>
      <c r="B1076" s="10" t="s">
        <v>2523</v>
      </c>
      <c r="C1076" t="str">
        <f>Table13[[#This Row],[Manufacturer]]&amp;" "&amp;Table13[[#This Row],[Model]]</f>
        <v>Mountz MT80-AFH</v>
      </c>
      <c r="D1076" s="1">
        <v>6</v>
      </c>
      <c r="E1076" s="1" t="s">
        <v>169</v>
      </c>
      <c r="F1076" s="38">
        <v>80</v>
      </c>
      <c r="G1076" t="s">
        <v>164</v>
      </c>
    </row>
    <row r="1077" spans="1:7" x14ac:dyDescent="0.25">
      <c r="A1077" s="10" t="s">
        <v>2466</v>
      </c>
      <c r="B1077" s="10" t="s">
        <v>2522</v>
      </c>
      <c r="C1077" t="str">
        <f>Table13[[#This Row],[Manufacturer]]&amp;" "&amp;Table13[[#This Row],[Model]]</f>
        <v>Mountz MT9-N</v>
      </c>
      <c r="D1077" s="1">
        <v>6</v>
      </c>
      <c r="E1077" s="1" t="s">
        <v>169</v>
      </c>
      <c r="F1077" s="38">
        <v>9</v>
      </c>
      <c r="G1077" t="s">
        <v>184</v>
      </c>
    </row>
    <row r="1078" spans="1:7" x14ac:dyDescent="0.25">
      <c r="A1078" s="10" t="s">
        <v>2466</v>
      </c>
      <c r="B1078" s="10" t="s">
        <v>2521</v>
      </c>
      <c r="C1078" t="str">
        <f>Table13[[#This Row],[Manufacturer]]&amp;" "&amp;Table13[[#This Row],[Model]]</f>
        <v>Mountz MT9-NFH</v>
      </c>
      <c r="D1078" s="1">
        <v>6</v>
      </c>
      <c r="E1078" s="1" t="s">
        <v>169</v>
      </c>
      <c r="F1078" s="38">
        <v>9</v>
      </c>
      <c r="G1078" t="s">
        <v>184</v>
      </c>
    </row>
    <row r="1079" spans="1:7" x14ac:dyDescent="0.25">
      <c r="A1079" s="10" t="s">
        <v>2466</v>
      </c>
      <c r="B1079" s="10" t="s">
        <v>2520</v>
      </c>
      <c r="C1079" t="str">
        <f>Table13[[#This Row],[Manufacturer]]&amp;" "&amp;Table13[[#This Row],[Model]]</f>
        <v>Mountz PSE1350</v>
      </c>
      <c r="D1079" s="1">
        <v>6</v>
      </c>
      <c r="E1079" s="1" t="s">
        <v>169</v>
      </c>
      <c r="F1079" s="38">
        <v>120</v>
      </c>
      <c r="G1079" t="s">
        <v>164</v>
      </c>
    </row>
    <row r="1080" spans="1:7" x14ac:dyDescent="0.25">
      <c r="A1080" s="10" t="s">
        <v>2466</v>
      </c>
      <c r="B1080" s="10" t="s">
        <v>2519</v>
      </c>
      <c r="C1080" t="str">
        <f>Table13[[#This Row],[Manufacturer]]&amp;" "&amp;Table13[[#This Row],[Model]]</f>
        <v>Mountz PSE150</v>
      </c>
      <c r="D1080" s="1">
        <v>6</v>
      </c>
      <c r="E1080" s="1" t="s">
        <v>169</v>
      </c>
      <c r="F1080" s="38">
        <v>13</v>
      </c>
      <c r="G1080" t="s">
        <v>164</v>
      </c>
    </row>
    <row r="1081" spans="1:7" x14ac:dyDescent="0.25">
      <c r="A1081" s="10" t="s">
        <v>2466</v>
      </c>
      <c r="B1081" s="10" t="s">
        <v>2518</v>
      </c>
      <c r="C1081" t="str">
        <f>Table13[[#This Row],[Manufacturer]]&amp;" "&amp;Table13[[#This Row],[Model]]</f>
        <v>Mountz PSE25</v>
      </c>
      <c r="D1081" s="1">
        <v>6</v>
      </c>
      <c r="E1081" s="1" t="s">
        <v>169</v>
      </c>
      <c r="F1081" s="38">
        <v>35</v>
      </c>
      <c r="G1081" t="s">
        <v>172</v>
      </c>
    </row>
    <row r="1082" spans="1:7" x14ac:dyDescent="0.25">
      <c r="A1082" s="10" t="s">
        <v>2466</v>
      </c>
      <c r="B1082" s="10" t="s">
        <v>2517</v>
      </c>
      <c r="C1082" t="str">
        <f>Table13[[#This Row],[Manufacturer]]&amp;" "&amp;Table13[[#This Row],[Model]]</f>
        <v>Mountz PSE450</v>
      </c>
      <c r="D1082" s="1">
        <v>6</v>
      </c>
      <c r="E1082" s="1" t="s">
        <v>169</v>
      </c>
      <c r="F1082" s="38">
        <v>40</v>
      </c>
      <c r="G1082" t="s">
        <v>164</v>
      </c>
    </row>
    <row r="1083" spans="1:7" x14ac:dyDescent="0.25">
      <c r="A1083" s="10" t="s">
        <v>2466</v>
      </c>
      <c r="B1083" s="10" t="s">
        <v>2516</v>
      </c>
      <c r="C1083" t="str">
        <f>Table13[[#This Row],[Manufacturer]]&amp;" "&amp;Table13[[#This Row],[Model]]</f>
        <v>Mountz QSN600SD</v>
      </c>
      <c r="D1083" s="1">
        <v>6</v>
      </c>
      <c r="E1083" s="1" t="s">
        <v>169</v>
      </c>
      <c r="F1083" s="38">
        <v>6</v>
      </c>
      <c r="G1083" t="s">
        <v>184</v>
      </c>
    </row>
    <row r="1084" spans="1:7" x14ac:dyDescent="0.25">
      <c r="A1084" s="10" t="s">
        <v>2466</v>
      </c>
      <c r="B1084" s="10" t="s">
        <v>2515</v>
      </c>
      <c r="C1084" t="str">
        <f>Table13[[#This Row],[Manufacturer]]&amp;" "&amp;Table13[[#This Row],[Model]]</f>
        <v>Mountz TLS Prime 150</v>
      </c>
      <c r="D1084" s="1">
        <v>10</v>
      </c>
      <c r="E1084" s="1" t="s">
        <v>169</v>
      </c>
      <c r="F1084" s="38">
        <v>13</v>
      </c>
      <c r="G1084" t="s">
        <v>164</v>
      </c>
    </row>
    <row r="1085" spans="1:7" x14ac:dyDescent="0.25">
      <c r="A1085" s="10" t="s">
        <v>2466</v>
      </c>
      <c r="B1085" s="10" t="s">
        <v>2514</v>
      </c>
      <c r="C1085" t="str">
        <f>Table13[[#This Row],[Manufacturer]]&amp;" "&amp;Table13[[#This Row],[Model]]</f>
        <v>Mountz TLS Prime 450</v>
      </c>
      <c r="D1085" s="1">
        <v>10</v>
      </c>
      <c r="E1085" s="1" t="s">
        <v>169</v>
      </c>
      <c r="F1085" s="38">
        <v>40</v>
      </c>
      <c r="G1085" t="s">
        <v>164</v>
      </c>
    </row>
    <row r="1086" spans="1:7" x14ac:dyDescent="0.25">
      <c r="A1086" s="10" t="s">
        <v>2466</v>
      </c>
      <c r="B1086" s="10" t="s">
        <v>2513</v>
      </c>
      <c r="C1086" t="str">
        <f>Table13[[#This Row],[Manufacturer]]&amp;" "&amp;Table13[[#This Row],[Model]]</f>
        <v>Mountz TLS PRO 1350</v>
      </c>
      <c r="D1086" s="1">
        <v>6</v>
      </c>
      <c r="E1086" s="1" t="s">
        <v>169</v>
      </c>
      <c r="F1086" s="38">
        <v>120</v>
      </c>
      <c r="G1086" t="s">
        <v>164</v>
      </c>
    </row>
    <row r="1087" spans="1:7" x14ac:dyDescent="0.25">
      <c r="A1087" s="10" t="s">
        <v>2466</v>
      </c>
      <c r="B1087" s="10" t="s">
        <v>2512</v>
      </c>
      <c r="C1087" t="str">
        <f>Table13[[#This Row],[Manufacturer]]&amp;" "&amp;Table13[[#This Row],[Model]]</f>
        <v>Mountz TLS PRO 1350 ESD</v>
      </c>
      <c r="D1087" s="1">
        <v>6</v>
      </c>
      <c r="E1087" s="1" t="s">
        <v>169</v>
      </c>
      <c r="F1087" s="38">
        <v>120</v>
      </c>
      <c r="G1087" t="s">
        <v>164</v>
      </c>
    </row>
    <row r="1088" spans="1:7" x14ac:dyDescent="0.25">
      <c r="A1088" s="10" t="s">
        <v>2466</v>
      </c>
      <c r="B1088" s="10" t="s">
        <v>2511</v>
      </c>
      <c r="C1088" t="str">
        <f>Table13[[#This Row],[Manufacturer]]&amp;" "&amp;Table13[[#This Row],[Model]]</f>
        <v>Mountz TLS PRO 150</v>
      </c>
      <c r="D1088" s="1">
        <v>6</v>
      </c>
      <c r="E1088" s="1" t="s">
        <v>169</v>
      </c>
      <c r="F1088" s="38">
        <v>13</v>
      </c>
      <c r="G1088" t="s">
        <v>164</v>
      </c>
    </row>
    <row r="1089" spans="1:7" x14ac:dyDescent="0.25">
      <c r="A1089" s="10" t="s">
        <v>2466</v>
      </c>
      <c r="B1089" s="10" t="s">
        <v>2510</v>
      </c>
      <c r="C1089" t="str">
        <f>Table13[[#This Row],[Manufacturer]]&amp;" "&amp;Table13[[#This Row],[Model]]</f>
        <v>Mountz TLS PRO 150 ESD</v>
      </c>
      <c r="D1089" s="1">
        <v>6</v>
      </c>
      <c r="E1089" s="1" t="s">
        <v>169</v>
      </c>
      <c r="F1089" s="38">
        <v>13</v>
      </c>
      <c r="G1089" t="s">
        <v>164</v>
      </c>
    </row>
    <row r="1090" spans="1:7" x14ac:dyDescent="0.25">
      <c r="A1090" s="10" t="s">
        <v>2466</v>
      </c>
      <c r="B1090" s="10" t="s">
        <v>2509</v>
      </c>
      <c r="C1090" t="str">
        <f>Table13[[#This Row],[Manufacturer]]&amp;" "&amp;Table13[[#This Row],[Model]]</f>
        <v>Mountz TLS PRO 25</v>
      </c>
      <c r="D1090" s="1">
        <v>6</v>
      </c>
      <c r="E1090" s="1" t="s">
        <v>169</v>
      </c>
      <c r="F1090" s="38">
        <v>2.2000000000000002</v>
      </c>
      <c r="G1090" t="s">
        <v>164</v>
      </c>
    </row>
    <row r="1091" spans="1:7" x14ac:dyDescent="0.25">
      <c r="A1091" s="10" t="s">
        <v>2466</v>
      </c>
      <c r="B1091" s="10" t="s">
        <v>2508</v>
      </c>
      <c r="C1091" t="str">
        <f>Table13[[#This Row],[Manufacturer]]&amp;" "&amp;Table13[[#This Row],[Model]]</f>
        <v>Mountz TLS PRO 25 ESD</v>
      </c>
      <c r="D1091" s="1">
        <v>6</v>
      </c>
      <c r="E1091" s="1" t="s">
        <v>169</v>
      </c>
      <c r="F1091" s="38">
        <v>2.2000000000000002</v>
      </c>
      <c r="G1091" t="s">
        <v>164</v>
      </c>
    </row>
    <row r="1092" spans="1:7" x14ac:dyDescent="0.25">
      <c r="A1092" s="10" t="s">
        <v>2466</v>
      </c>
      <c r="B1092" s="10" t="s">
        <v>2507</v>
      </c>
      <c r="C1092" t="str">
        <f>Table13[[#This Row],[Manufacturer]]&amp;" "&amp;Table13[[#This Row],[Model]]</f>
        <v>Mountz TLS PRO 450</v>
      </c>
      <c r="D1092" s="1">
        <v>6</v>
      </c>
      <c r="E1092" s="1" t="s">
        <v>169</v>
      </c>
      <c r="F1092" s="38">
        <v>40</v>
      </c>
      <c r="G1092" t="s">
        <v>164</v>
      </c>
    </row>
    <row r="1093" spans="1:7" x14ac:dyDescent="0.25">
      <c r="A1093" s="10" t="s">
        <v>2466</v>
      </c>
      <c r="B1093" s="10" t="s">
        <v>2506</v>
      </c>
      <c r="C1093" t="str">
        <f>Table13[[#This Row],[Manufacturer]]&amp;" "&amp;Table13[[#This Row],[Model]]</f>
        <v>Mountz TLS PRO 450 ESD</v>
      </c>
      <c r="D1093" s="1">
        <v>6</v>
      </c>
      <c r="E1093" s="1" t="s">
        <v>169</v>
      </c>
      <c r="F1093" s="38">
        <v>40</v>
      </c>
      <c r="G1093" t="s">
        <v>164</v>
      </c>
    </row>
    <row r="1094" spans="1:7" x14ac:dyDescent="0.25">
      <c r="A1094" s="10" t="s">
        <v>2466</v>
      </c>
      <c r="B1094" s="10" t="s">
        <v>2505</v>
      </c>
      <c r="C1094" t="str">
        <f>Table13[[#This Row],[Manufacturer]]&amp;" "&amp;Table13[[#This Row],[Model]]</f>
        <v>Mountz TLS0022</v>
      </c>
      <c r="D1094" s="1">
        <v>6</v>
      </c>
      <c r="E1094" s="1" t="s">
        <v>169</v>
      </c>
      <c r="F1094" s="38">
        <v>32</v>
      </c>
      <c r="G1094" t="s">
        <v>172</v>
      </c>
    </row>
    <row r="1095" spans="1:7" x14ac:dyDescent="0.25">
      <c r="A1095" s="10" t="s">
        <v>2466</v>
      </c>
      <c r="B1095" s="10" t="s">
        <v>2504</v>
      </c>
      <c r="C1095" t="str">
        <f>Table13[[#This Row],[Manufacturer]]&amp;" "&amp;Table13[[#This Row],[Model]]</f>
        <v>Mountz TLS0022M</v>
      </c>
      <c r="D1095" s="1">
        <v>6</v>
      </c>
      <c r="E1095" s="1" t="s">
        <v>169</v>
      </c>
      <c r="F1095" s="38">
        <v>32</v>
      </c>
      <c r="G1095" t="s">
        <v>172</v>
      </c>
    </row>
    <row r="1096" spans="1:7" x14ac:dyDescent="0.25">
      <c r="A1096" s="10" t="s">
        <v>2466</v>
      </c>
      <c r="B1096" s="10" t="s">
        <v>2503</v>
      </c>
      <c r="C1096" t="str">
        <f>Table13[[#This Row],[Manufacturer]]&amp;" "&amp;Table13[[#This Row],[Model]]</f>
        <v>Mountz TLS0135</v>
      </c>
      <c r="D1096" s="1">
        <v>6</v>
      </c>
      <c r="E1096" s="1" t="s">
        <v>169</v>
      </c>
      <c r="F1096" s="38">
        <v>12</v>
      </c>
      <c r="G1096" t="s">
        <v>164</v>
      </c>
    </row>
    <row r="1097" spans="1:7" x14ac:dyDescent="0.25">
      <c r="A1097" s="10" t="s">
        <v>2466</v>
      </c>
      <c r="B1097" s="10" t="s">
        <v>2502</v>
      </c>
      <c r="C1097" t="str">
        <f>Table13[[#This Row],[Manufacturer]]&amp;" "&amp;Table13[[#This Row],[Model]]</f>
        <v>Mountz TLS0406</v>
      </c>
      <c r="D1097" s="1">
        <v>6</v>
      </c>
      <c r="E1097" s="1" t="s">
        <v>169</v>
      </c>
      <c r="F1097" s="38">
        <v>36</v>
      </c>
      <c r="G1097" t="s">
        <v>164</v>
      </c>
    </row>
    <row r="1098" spans="1:7" x14ac:dyDescent="0.25">
      <c r="A1098" s="10" t="s">
        <v>2466</v>
      </c>
      <c r="B1098" s="10" t="s">
        <v>2501</v>
      </c>
      <c r="C1098" t="str">
        <f>Table13[[#This Row],[Manufacturer]]&amp;" "&amp;Table13[[#This Row],[Model]]</f>
        <v>Mountz TLS1360</v>
      </c>
      <c r="D1098" s="1">
        <v>6</v>
      </c>
      <c r="E1098" s="1" t="s">
        <v>169</v>
      </c>
      <c r="F1098" s="38">
        <v>120</v>
      </c>
      <c r="G1098" t="s">
        <v>164</v>
      </c>
    </row>
    <row r="1099" spans="1:7" x14ac:dyDescent="0.25">
      <c r="A1099" s="10" t="s">
        <v>2466</v>
      </c>
      <c r="B1099" s="10" t="s">
        <v>2500</v>
      </c>
      <c r="C1099" t="str">
        <f>Table13[[#This Row],[Manufacturer]]&amp;" "&amp;Table13[[#This Row],[Model]]</f>
        <v>Mountz TLS-IFR 0135</v>
      </c>
      <c r="D1099" s="1">
        <v>6</v>
      </c>
      <c r="E1099" s="1" t="s">
        <v>169</v>
      </c>
      <c r="F1099" s="38">
        <v>12</v>
      </c>
      <c r="G1099" t="s">
        <v>164</v>
      </c>
    </row>
    <row r="1100" spans="1:7" x14ac:dyDescent="0.25">
      <c r="A1100" s="10" t="s">
        <v>2466</v>
      </c>
      <c r="B1100" s="10" t="s">
        <v>2499</v>
      </c>
      <c r="C1100" t="str">
        <f>Table13[[#This Row],[Manufacturer]]&amp;" "&amp;Table13[[#This Row],[Model]]</f>
        <v>Mountz TLS-IFR 0406</v>
      </c>
      <c r="D1100" s="1">
        <v>6</v>
      </c>
      <c r="E1100" s="1" t="s">
        <v>169</v>
      </c>
      <c r="F1100" s="38">
        <v>36</v>
      </c>
      <c r="G1100" t="s">
        <v>164</v>
      </c>
    </row>
    <row r="1101" spans="1:7" x14ac:dyDescent="0.25">
      <c r="A1101" s="10" t="s">
        <v>2466</v>
      </c>
      <c r="B1101" s="10" t="s">
        <v>2498</v>
      </c>
      <c r="C1101" t="str">
        <f>Table13[[#This Row],[Manufacturer]]&amp;" "&amp;Table13[[#This Row],[Model]]</f>
        <v>Mountz TLS-IFR 1360</v>
      </c>
      <c r="D1101" s="1">
        <v>6</v>
      </c>
      <c r="E1101" s="1" t="s">
        <v>169</v>
      </c>
      <c r="F1101" s="38">
        <v>120</v>
      </c>
      <c r="G1101" t="s">
        <v>164</v>
      </c>
    </row>
    <row r="1102" spans="1:7" x14ac:dyDescent="0.25">
      <c r="A1102" s="10" t="s">
        <v>2466</v>
      </c>
      <c r="B1102" s="10" t="s">
        <v>2497</v>
      </c>
      <c r="C1102" t="str">
        <f>Table13[[#This Row],[Manufacturer]]&amp;" "&amp;Table13[[#This Row],[Model]]</f>
        <v>Mountz ATB10</v>
      </c>
      <c r="D1102" s="1">
        <v>6</v>
      </c>
      <c r="E1102" s="1" t="s">
        <v>169</v>
      </c>
      <c r="F1102" s="38">
        <v>10</v>
      </c>
      <c r="G1102" t="s">
        <v>184</v>
      </c>
    </row>
    <row r="1103" spans="1:7" x14ac:dyDescent="0.25">
      <c r="A1103" s="10" t="s">
        <v>2466</v>
      </c>
      <c r="B1103" s="10" t="s">
        <v>2496</v>
      </c>
      <c r="C1103" t="str">
        <f>Table13[[#This Row],[Manufacturer]]&amp;" "&amp;Table13[[#This Row],[Model]]</f>
        <v>Mountz ATB10i</v>
      </c>
      <c r="D1103" s="1">
        <v>6</v>
      </c>
      <c r="E1103" s="1" t="s">
        <v>169</v>
      </c>
      <c r="F1103" s="38">
        <v>90</v>
      </c>
      <c r="G1103" t="s">
        <v>164</v>
      </c>
    </row>
    <row r="1104" spans="1:7" x14ac:dyDescent="0.25">
      <c r="A1104" s="10" t="s">
        <v>2466</v>
      </c>
      <c r="B1104" s="10" t="s">
        <v>2495</v>
      </c>
      <c r="C1104" t="str">
        <f>Table13[[#This Row],[Manufacturer]]&amp;" "&amp;Table13[[#This Row],[Model]]</f>
        <v>Mountz ATB2.5</v>
      </c>
      <c r="D1104" s="1">
        <v>6</v>
      </c>
      <c r="E1104" s="1" t="s">
        <v>169</v>
      </c>
      <c r="F1104" s="38">
        <v>1.25</v>
      </c>
      <c r="G1104" t="s">
        <v>184</v>
      </c>
    </row>
    <row r="1105" spans="1:7" x14ac:dyDescent="0.25">
      <c r="A1105" s="10" t="s">
        <v>2466</v>
      </c>
      <c r="B1105" s="10" t="s">
        <v>2494</v>
      </c>
      <c r="C1105" t="str">
        <f>Table13[[#This Row],[Manufacturer]]&amp;" "&amp;Table13[[#This Row],[Model]]</f>
        <v>Mountz ATB25</v>
      </c>
      <c r="D1105" s="1">
        <v>4</v>
      </c>
      <c r="E1105" s="1" t="s">
        <v>169</v>
      </c>
      <c r="F1105" s="38">
        <v>25</v>
      </c>
      <c r="G1105" t="s">
        <v>184</v>
      </c>
    </row>
    <row r="1106" spans="1:7" x14ac:dyDescent="0.25">
      <c r="A1106" s="10" t="s">
        <v>2466</v>
      </c>
      <c r="B1106" s="10" t="s">
        <v>2493</v>
      </c>
      <c r="C1106" t="str">
        <f>Table13[[#This Row],[Manufacturer]]&amp;" "&amp;Table13[[#This Row],[Model]]</f>
        <v>Mountz ATB25F</v>
      </c>
      <c r="D1106" s="1">
        <v>4</v>
      </c>
      <c r="E1106" s="1" t="s">
        <v>169</v>
      </c>
      <c r="F1106" s="38">
        <v>18</v>
      </c>
      <c r="G1106" t="s">
        <v>166</v>
      </c>
    </row>
    <row r="1107" spans="1:7" x14ac:dyDescent="0.25">
      <c r="A1107" s="10" t="s">
        <v>2466</v>
      </c>
      <c r="B1107" s="10" t="s">
        <v>2492</v>
      </c>
      <c r="C1107" t="str">
        <f>Table13[[#This Row],[Manufacturer]]&amp;" "&amp;Table13[[#This Row],[Model]]</f>
        <v>Mountz ATB25i</v>
      </c>
      <c r="D1107" s="1">
        <v>4</v>
      </c>
      <c r="E1107" s="1" t="s">
        <v>169</v>
      </c>
      <c r="F1107" s="38">
        <v>220</v>
      </c>
      <c r="G1107" t="s">
        <v>164</v>
      </c>
    </row>
    <row r="1108" spans="1:7" x14ac:dyDescent="0.25">
      <c r="A1108" s="10" t="s">
        <v>2466</v>
      </c>
      <c r="B1108" s="10" t="s">
        <v>2491</v>
      </c>
      <c r="C1108" t="str">
        <f>Table13[[#This Row],[Manufacturer]]&amp;" "&amp;Table13[[#This Row],[Model]]</f>
        <v>Mountz ATB5</v>
      </c>
      <c r="D1108" s="1">
        <v>6</v>
      </c>
      <c r="E1108" s="1" t="s">
        <v>169</v>
      </c>
      <c r="F1108" s="38">
        <v>5</v>
      </c>
      <c r="G1108" t="s">
        <v>184</v>
      </c>
    </row>
    <row r="1109" spans="1:7" x14ac:dyDescent="0.25">
      <c r="A1109" s="10" t="s">
        <v>2466</v>
      </c>
      <c r="B1109" s="10" t="s">
        <v>2490</v>
      </c>
      <c r="C1109" t="str">
        <f>Table13[[#This Row],[Manufacturer]]&amp;" "&amp;Table13[[#This Row],[Model]]</f>
        <v>Mountz ATB5i</v>
      </c>
      <c r="D1109" s="1">
        <v>6</v>
      </c>
      <c r="E1109" s="1" t="s">
        <v>169</v>
      </c>
      <c r="F1109" s="38">
        <v>45</v>
      </c>
      <c r="G1109" t="s">
        <v>164</v>
      </c>
    </row>
    <row r="1110" spans="1:7" x14ac:dyDescent="0.25">
      <c r="A1110" s="10" t="s">
        <v>2466</v>
      </c>
      <c r="B1110" s="10" t="s">
        <v>2489</v>
      </c>
      <c r="C1110" t="str">
        <f>Table13[[#This Row],[Manufacturer]]&amp;" "&amp;Table13[[#This Row],[Model]]</f>
        <v>Mountz MMTB 39</v>
      </c>
      <c r="D1110" s="1">
        <v>6</v>
      </c>
      <c r="E1110" s="1" t="s">
        <v>169</v>
      </c>
      <c r="F1110" s="38">
        <v>39</v>
      </c>
      <c r="G1110" t="s">
        <v>172</v>
      </c>
    </row>
    <row r="1111" spans="1:7" x14ac:dyDescent="0.25">
      <c r="A1111" s="10" t="s">
        <v>2466</v>
      </c>
      <c r="B1111" s="10" t="s">
        <v>2488</v>
      </c>
      <c r="C1111" t="str">
        <f>Table13[[#This Row],[Manufacturer]]&amp;" "&amp;Table13[[#This Row],[Model]]</f>
        <v>Mountz MMTB 40-80</v>
      </c>
      <c r="D1111" s="1">
        <v>6</v>
      </c>
      <c r="E1111" s="1">
        <v>6</v>
      </c>
      <c r="F1111" s="38">
        <v>80</v>
      </c>
      <c r="G1111" t="s">
        <v>172</v>
      </c>
    </row>
    <row r="1112" spans="1:7" x14ac:dyDescent="0.25">
      <c r="A1112" s="10" t="s">
        <v>2466</v>
      </c>
      <c r="B1112" s="10" t="s">
        <v>2487</v>
      </c>
      <c r="C1112" t="str">
        <f>Table13[[#This Row],[Manufacturer]]&amp;" "&amp;Table13[[#This Row],[Model]]</f>
        <v>Mountz MMTB 80</v>
      </c>
      <c r="D1112" s="1">
        <v>6</v>
      </c>
      <c r="E1112" s="1" t="s">
        <v>169</v>
      </c>
      <c r="F1112" s="38">
        <v>80</v>
      </c>
      <c r="G1112" t="s">
        <v>172</v>
      </c>
    </row>
    <row r="1113" spans="1:7" x14ac:dyDescent="0.25">
      <c r="A1113" s="10" t="s">
        <v>2466</v>
      </c>
      <c r="B1113" s="10" t="s">
        <v>2486</v>
      </c>
      <c r="C1113" t="str">
        <f>Table13[[#This Row],[Manufacturer]]&amp;" "&amp;Table13[[#This Row],[Model]]</f>
        <v>Mountz MMTB 8-39</v>
      </c>
      <c r="D1113" s="1">
        <v>6</v>
      </c>
      <c r="E1113" s="1">
        <v>6</v>
      </c>
      <c r="F1113" s="38">
        <v>39</v>
      </c>
      <c r="G1113" t="s">
        <v>172</v>
      </c>
    </row>
    <row r="1114" spans="1:7" x14ac:dyDescent="0.25">
      <c r="A1114" s="10" t="s">
        <v>2466</v>
      </c>
      <c r="B1114" s="10" t="s">
        <v>2485</v>
      </c>
      <c r="C1114" t="str">
        <f>Table13[[#This Row],[Manufacturer]]&amp;" "&amp;Table13[[#This Row],[Model]]</f>
        <v>Mountz MTBN10</v>
      </c>
      <c r="D1114" s="1">
        <v>6</v>
      </c>
      <c r="E1114" s="1">
        <v>6</v>
      </c>
      <c r="F1114" s="38">
        <v>89</v>
      </c>
      <c r="G1114" t="s">
        <v>164</v>
      </c>
    </row>
    <row r="1115" spans="1:7" x14ac:dyDescent="0.25">
      <c r="A1115" s="10" t="s">
        <v>2466</v>
      </c>
      <c r="B1115" s="10" t="s">
        <v>2484</v>
      </c>
      <c r="C1115" t="str">
        <f>Table13[[#This Row],[Manufacturer]]&amp;" "&amp;Table13[[#This Row],[Model]]</f>
        <v>Mountz MTBN135</v>
      </c>
      <c r="D1115" s="1">
        <v>4</v>
      </c>
      <c r="E1115" s="1" t="s">
        <v>169</v>
      </c>
      <c r="F1115" s="38">
        <v>1194</v>
      </c>
      <c r="G1115" t="s">
        <v>164</v>
      </c>
    </row>
    <row r="1116" spans="1:7" x14ac:dyDescent="0.25">
      <c r="A1116" s="10" t="s">
        <v>2466</v>
      </c>
      <c r="B1116" s="10" t="s">
        <v>2483</v>
      </c>
      <c r="C1116" t="str">
        <f>Table13[[#This Row],[Manufacturer]]&amp;" "&amp;Table13[[#This Row],[Model]]</f>
        <v>Mountz MTBN2</v>
      </c>
      <c r="D1116" s="1">
        <v>6</v>
      </c>
      <c r="E1116" s="1">
        <v>6</v>
      </c>
      <c r="F1116" s="38">
        <v>18</v>
      </c>
      <c r="G1116" t="s">
        <v>164</v>
      </c>
    </row>
    <row r="1117" spans="1:7" x14ac:dyDescent="0.25">
      <c r="A1117" s="10" t="s">
        <v>2466</v>
      </c>
      <c r="B1117" s="10" t="s">
        <v>2482</v>
      </c>
      <c r="C1117" t="str">
        <f>Table13[[#This Row],[Manufacturer]]&amp;" "&amp;Table13[[#This Row],[Model]]</f>
        <v>Mountz MTBN200</v>
      </c>
      <c r="D1117" s="1">
        <v>4</v>
      </c>
      <c r="E1117" s="1" t="s">
        <v>169</v>
      </c>
      <c r="F1117" s="38">
        <v>1770</v>
      </c>
      <c r="G1117" t="s">
        <v>164</v>
      </c>
    </row>
    <row r="1118" spans="1:7" x14ac:dyDescent="0.25">
      <c r="A1118" s="10" t="s">
        <v>2466</v>
      </c>
      <c r="B1118" s="10" t="s">
        <v>2481</v>
      </c>
      <c r="C1118" t="str">
        <f>Table13[[#This Row],[Manufacturer]]&amp;" "&amp;Table13[[#This Row],[Model]]</f>
        <v>Mountz MTBN25</v>
      </c>
      <c r="D1118" s="1">
        <v>4</v>
      </c>
      <c r="E1118" s="1" t="s">
        <v>169</v>
      </c>
      <c r="F1118" s="38">
        <v>221</v>
      </c>
      <c r="G1118" t="s">
        <v>164</v>
      </c>
    </row>
    <row r="1119" spans="1:7" x14ac:dyDescent="0.25">
      <c r="A1119" s="10" t="s">
        <v>2466</v>
      </c>
      <c r="B1119" s="10" t="s">
        <v>2480</v>
      </c>
      <c r="C1119" t="str">
        <f>Table13[[#This Row],[Manufacturer]]&amp;" "&amp;Table13[[#This Row],[Model]]</f>
        <v>Mountz MTBN65</v>
      </c>
      <c r="D1119" s="1">
        <v>4</v>
      </c>
      <c r="E1119" s="1" t="s">
        <v>169</v>
      </c>
      <c r="F1119" s="38">
        <v>575</v>
      </c>
      <c r="G1119" t="s">
        <v>164</v>
      </c>
    </row>
    <row r="1120" spans="1:7" x14ac:dyDescent="0.25">
      <c r="A1120" s="10" t="s">
        <v>2466</v>
      </c>
      <c r="B1120" s="10" t="s">
        <v>2479</v>
      </c>
      <c r="C1120" t="str">
        <f>Table13[[#This Row],[Manufacturer]]&amp;" "&amp;Table13[[#This Row],[Model]]</f>
        <v>Mountz TB (0600AX)</v>
      </c>
      <c r="D1120" s="1">
        <v>6</v>
      </c>
      <c r="E1120" s="1">
        <v>6</v>
      </c>
      <c r="F1120" s="38">
        <v>50</v>
      </c>
      <c r="G1120" t="s">
        <v>172</v>
      </c>
    </row>
    <row r="1121" spans="1:7" x14ac:dyDescent="0.25">
      <c r="A1121" s="10" t="s">
        <v>2466</v>
      </c>
      <c r="B1121" s="10" t="s">
        <v>2478</v>
      </c>
      <c r="C1121" t="str">
        <f>Table13[[#This Row],[Manufacturer]]&amp;" "&amp;Table13[[#This Row],[Model]]</f>
        <v>Mountz TB (0600BX)</v>
      </c>
      <c r="D1121" s="1">
        <v>6</v>
      </c>
      <c r="E1121" s="1">
        <v>6</v>
      </c>
      <c r="F1121" s="38">
        <v>12</v>
      </c>
      <c r="G1121" t="s">
        <v>164</v>
      </c>
    </row>
    <row r="1122" spans="1:7" x14ac:dyDescent="0.25">
      <c r="A1122" s="10" t="s">
        <v>2466</v>
      </c>
      <c r="B1122" s="10" t="s">
        <v>2477</v>
      </c>
      <c r="C1122" t="str">
        <f>Table13[[#This Row],[Manufacturer]]&amp;" "&amp;Table13[[#This Row],[Model]]</f>
        <v>Mountz TB (0600CX)</v>
      </c>
      <c r="D1122" s="1">
        <v>6</v>
      </c>
      <c r="E1122" s="1">
        <v>6</v>
      </c>
      <c r="F1122" s="38">
        <v>21</v>
      </c>
      <c r="G1122" t="s">
        <v>164</v>
      </c>
    </row>
    <row r="1123" spans="1:7" x14ac:dyDescent="0.25">
      <c r="A1123" s="10" t="s">
        <v>2466</v>
      </c>
      <c r="B1123" s="10" t="s">
        <v>2476</v>
      </c>
      <c r="C1123" t="str">
        <f>Table13[[#This Row],[Manufacturer]]&amp;" "&amp;Table13[[#This Row],[Model]]</f>
        <v>Mountz TB (0600DX)</v>
      </c>
      <c r="D1123" s="1">
        <v>6</v>
      </c>
      <c r="E1123" s="1">
        <v>6</v>
      </c>
      <c r="F1123" s="38">
        <v>50</v>
      </c>
      <c r="G1123" t="s">
        <v>164</v>
      </c>
    </row>
    <row r="1124" spans="1:7" x14ac:dyDescent="0.25">
      <c r="A1124" s="10" t="s">
        <v>2466</v>
      </c>
      <c r="B1124" s="10" t="s">
        <v>2475</v>
      </c>
      <c r="C1124" t="str">
        <f>Table13[[#This Row],[Manufacturer]]&amp;" "&amp;Table13[[#This Row],[Model]]</f>
        <v>Mountz TBIH (067999-A)</v>
      </c>
      <c r="D1124" s="1">
        <v>6</v>
      </c>
      <c r="E1124" s="1">
        <v>6</v>
      </c>
      <c r="F1124" s="38">
        <v>50</v>
      </c>
      <c r="G1124" t="s">
        <v>172</v>
      </c>
    </row>
    <row r="1125" spans="1:7" x14ac:dyDescent="0.25">
      <c r="A1125" s="10" t="s">
        <v>2466</v>
      </c>
      <c r="B1125" s="10" t="s">
        <v>2474</v>
      </c>
      <c r="C1125" t="str">
        <f>Table13[[#This Row],[Manufacturer]]&amp;" "&amp;Table13[[#This Row],[Model]]</f>
        <v>Mountz TBIH (067999-B)</v>
      </c>
      <c r="D1125" s="1">
        <v>6</v>
      </c>
      <c r="E1125" s="1">
        <v>6</v>
      </c>
      <c r="F1125" s="38">
        <v>12</v>
      </c>
      <c r="G1125" t="s">
        <v>164</v>
      </c>
    </row>
    <row r="1126" spans="1:7" x14ac:dyDescent="0.25">
      <c r="A1126" s="10" t="s">
        <v>2466</v>
      </c>
      <c r="B1126" s="10" t="s">
        <v>2473</v>
      </c>
      <c r="C1126" t="str">
        <f>Table13[[#This Row],[Manufacturer]]&amp;" "&amp;Table13[[#This Row],[Model]]</f>
        <v>Mountz TBIH (067999-C)</v>
      </c>
      <c r="D1126" s="1">
        <v>6</v>
      </c>
      <c r="E1126" s="1">
        <v>6</v>
      </c>
      <c r="F1126" s="38">
        <v>21</v>
      </c>
      <c r="G1126" t="s">
        <v>164</v>
      </c>
    </row>
    <row r="1127" spans="1:7" x14ac:dyDescent="0.25">
      <c r="A1127" s="10" t="s">
        <v>2466</v>
      </c>
      <c r="B1127" s="10" t="s">
        <v>2472</v>
      </c>
      <c r="C1127" t="str">
        <f>Table13[[#This Row],[Manufacturer]]&amp;" "&amp;Table13[[#This Row],[Model]]</f>
        <v>Mountz TBIH (067999-D)</v>
      </c>
      <c r="D1127" s="1">
        <v>6</v>
      </c>
      <c r="E1127" s="1">
        <v>6</v>
      </c>
      <c r="F1127" s="38">
        <v>50</v>
      </c>
      <c r="G1127" t="s">
        <v>164</v>
      </c>
    </row>
    <row r="1128" spans="1:7" x14ac:dyDescent="0.25">
      <c r="A1128" s="10" t="s">
        <v>2466</v>
      </c>
      <c r="B1128" s="10" t="s">
        <v>2471</v>
      </c>
      <c r="C1128" t="str">
        <f>Table13[[#This Row],[Manufacturer]]&amp;" "&amp;Table13[[#This Row],[Model]]</f>
        <v>Mountz TBIH (06800XA)</v>
      </c>
      <c r="D1128" s="1">
        <v>6</v>
      </c>
      <c r="E1128" s="1">
        <v>6</v>
      </c>
      <c r="F1128" s="38">
        <v>50</v>
      </c>
      <c r="G1128" t="s">
        <v>172</v>
      </c>
    </row>
    <row r="1129" spans="1:7" x14ac:dyDescent="0.25">
      <c r="A1129" s="10" t="s">
        <v>2466</v>
      </c>
      <c r="B1129" s="10" t="s">
        <v>2470</v>
      </c>
      <c r="C1129" t="str">
        <f>Table13[[#This Row],[Manufacturer]]&amp;" "&amp;Table13[[#This Row],[Model]]</f>
        <v>Mountz TBIH (06800XB)</v>
      </c>
      <c r="D1129" s="1">
        <v>6</v>
      </c>
      <c r="E1129" s="1">
        <v>6</v>
      </c>
      <c r="F1129" s="38">
        <v>12</v>
      </c>
      <c r="G1129" t="s">
        <v>164</v>
      </c>
    </row>
    <row r="1130" spans="1:7" x14ac:dyDescent="0.25">
      <c r="A1130" s="10" t="s">
        <v>2466</v>
      </c>
      <c r="B1130" s="10" t="s">
        <v>2469</v>
      </c>
      <c r="C1130" t="str">
        <f>Table13[[#This Row],[Manufacturer]]&amp;" "&amp;Table13[[#This Row],[Model]]</f>
        <v>Mountz TBIH (06800XC)</v>
      </c>
      <c r="D1130" s="1">
        <v>6</v>
      </c>
      <c r="E1130" s="1">
        <v>6</v>
      </c>
      <c r="F1130" s="38">
        <v>21</v>
      </c>
      <c r="G1130" t="s">
        <v>164</v>
      </c>
    </row>
    <row r="1131" spans="1:7" x14ac:dyDescent="0.25">
      <c r="A1131" s="10" t="s">
        <v>2466</v>
      </c>
      <c r="B1131" s="10" t="s">
        <v>2468</v>
      </c>
      <c r="C1131" t="str">
        <f>Table13[[#This Row],[Manufacturer]]&amp;" "&amp;Table13[[#This Row],[Model]]</f>
        <v>Mountz TBIH (06800XD)</v>
      </c>
      <c r="D1131" s="1">
        <v>6</v>
      </c>
      <c r="E1131" s="1">
        <v>6</v>
      </c>
      <c r="F1131" s="38">
        <v>50</v>
      </c>
      <c r="G1131" t="s">
        <v>164</v>
      </c>
    </row>
    <row r="1132" spans="1:7" x14ac:dyDescent="0.25">
      <c r="A1132" s="10" t="s">
        <v>2466</v>
      </c>
      <c r="B1132" s="10" t="s">
        <v>2467</v>
      </c>
      <c r="C1132" t="str">
        <f>Table13[[#This Row],[Manufacturer]]&amp;" "&amp;Table13[[#This Row],[Model]]</f>
        <v>Mountz TBX-12</v>
      </c>
      <c r="D1132" s="1">
        <v>4</v>
      </c>
      <c r="E1132" s="1" t="s">
        <v>169</v>
      </c>
      <c r="F1132" s="38">
        <v>106.2</v>
      </c>
      <c r="G1132" t="s">
        <v>164</v>
      </c>
    </row>
    <row r="1133" spans="1:7" x14ac:dyDescent="0.25">
      <c r="A1133" s="10" t="s">
        <v>2466</v>
      </c>
      <c r="B1133" s="10" t="s">
        <v>2465</v>
      </c>
      <c r="C1133" t="str">
        <f>Table13[[#This Row],[Manufacturer]]&amp;" "&amp;Table13[[#This Row],[Model]]</f>
        <v>Mountz TBX-25</v>
      </c>
      <c r="D1133" s="1">
        <v>4</v>
      </c>
      <c r="E1133" s="1" t="s">
        <v>169</v>
      </c>
      <c r="F1133" s="38">
        <v>221.3</v>
      </c>
      <c r="G1133" t="s">
        <v>164</v>
      </c>
    </row>
    <row r="1134" spans="1:7" x14ac:dyDescent="0.25">
      <c r="A1134" s="10" t="s">
        <v>2431</v>
      </c>
      <c r="B1134" s="10" t="s">
        <v>2464</v>
      </c>
      <c r="C1134" t="str">
        <f>Table13[[#This Row],[Manufacturer]]&amp;" "&amp;Table13[[#This Row],[Model]]</f>
        <v>NASCO 68TG A</v>
      </c>
      <c r="D1134" s="1">
        <v>2</v>
      </c>
      <c r="E1134" s="1">
        <v>2</v>
      </c>
      <c r="F1134" s="38">
        <v>66</v>
      </c>
      <c r="G1134" t="s">
        <v>164</v>
      </c>
    </row>
    <row r="1135" spans="1:7" x14ac:dyDescent="0.25">
      <c r="A1135" s="10" t="s">
        <v>2431</v>
      </c>
      <c r="B1135" s="10" t="s">
        <v>2463</v>
      </c>
      <c r="C1135" t="str">
        <f>Table13[[#This Row],[Manufacturer]]&amp;" "&amp;Table13[[#This Row],[Model]]</f>
        <v>NASCO 98TG A</v>
      </c>
      <c r="D1135" s="1">
        <v>2</v>
      </c>
      <c r="E1135" s="1">
        <v>2</v>
      </c>
      <c r="F1135" s="38">
        <v>9</v>
      </c>
      <c r="G1135" t="s">
        <v>164</v>
      </c>
    </row>
    <row r="1136" spans="1:7" x14ac:dyDescent="0.25">
      <c r="A1136" s="10" t="s">
        <v>2431</v>
      </c>
      <c r="B1136" s="10" t="s">
        <v>2462</v>
      </c>
      <c r="C1136" t="str">
        <f>Table13[[#This Row],[Manufacturer]]&amp;" "&amp;Table13[[#This Row],[Model]]</f>
        <v>NASCO GS170</v>
      </c>
      <c r="D1136" s="1">
        <v>3</v>
      </c>
      <c r="E1136" s="1">
        <v>3</v>
      </c>
      <c r="F1136" s="38">
        <v>170</v>
      </c>
      <c r="G1136" t="s">
        <v>164</v>
      </c>
    </row>
    <row r="1137" spans="1:7" x14ac:dyDescent="0.25">
      <c r="A1137" s="10" t="s">
        <v>2431</v>
      </c>
      <c r="B1137" s="10" t="s">
        <v>2461</v>
      </c>
      <c r="C1137" t="str">
        <f>Table13[[#This Row],[Manufacturer]]&amp;" "&amp;Table13[[#This Row],[Model]]</f>
        <v>NASCO GS350</v>
      </c>
      <c r="D1137" s="1">
        <v>3</v>
      </c>
      <c r="E1137" s="1">
        <v>3</v>
      </c>
      <c r="F1137" s="38">
        <v>350</v>
      </c>
      <c r="G1137" t="s">
        <v>164</v>
      </c>
    </row>
    <row r="1138" spans="1:7" x14ac:dyDescent="0.25">
      <c r="A1138" s="10" t="s">
        <v>2431</v>
      </c>
      <c r="B1138" s="10" t="s">
        <v>2460</v>
      </c>
      <c r="C1138" t="str">
        <f>Table13[[#This Row],[Manufacturer]]&amp;" "&amp;Table13[[#This Row],[Model]]</f>
        <v>NASCO SL100</v>
      </c>
      <c r="D1138" s="1">
        <v>3</v>
      </c>
      <c r="E1138" s="1">
        <v>3</v>
      </c>
      <c r="F1138" s="38">
        <v>100</v>
      </c>
      <c r="G1138" t="s">
        <v>164</v>
      </c>
    </row>
    <row r="1139" spans="1:7" x14ac:dyDescent="0.25">
      <c r="A1139" s="10" t="s">
        <v>2431</v>
      </c>
      <c r="B1139" s="10" t="s">
        <v>2459</v>
      </c>
      <c r="C1139" t="str">
        <f>Table13[[#This Row],[Manufacturer]]&amp;" "&amp;Table13[[#This Row],[Model]]</f>
        <v>NASCO SL12</v>
      </c>
      <c r="D1139" s="1">
        <v>3</v>
      </c>
      <c r="E1139" s="1">
        <v>3</v>
      </c>
      <c r="F1139" s="38">
        <v>12</v>
      </c>
      <c r="G1139" t="s">
        <v>164</v>
      </c>
    </row>
    <row r="1140" spans="1:7" x14ac:dyDescent="0.25">
      <c r="A1140" s="10" t="s">
        <v>2431</v>
      </c>
      <c r="B1140" s="10" t="s">
        <v>2458</v>
      </c>
      <c r="C1140" t="str">
        <f>Table13[[#This Row],[Manufacturer]]&amp;" "&amp;Table13[[#This Row],[Model]]</f>
        <v>NASCO SL25</v>
      </c>
      <c r="D1140" s="1">
        <v>3</v>
      </c>
      <c r="E1140" s="1">
        <v>3</v>
      </c>
      <c r="F1140" s="38">
        <v>25</v>
      </c>
      <c r="G1140" t="s">
        <v>164</v>
      </c>
    </row>
    <row r="1141" spans="1:7" x14ac:dyDescent="0.25">
      <c r="A1141" s="10" t="s">
        <v>2431</v>
      </c>
      <c r="B1141" s="10" t="s">
        <v>2457</v>
      </c>
      <c r="C1141" t="str">
        <f>Table13[[#This Row],[Manufacturer]]&amp;" "&amp;Table13[[#This Row],[Model]]</f>
        <v>NASCO SL50</v>
      </c>
      <c r="D1141" s="1">
        <v>3</v>
      </c>
      <c r="E1141" s="1">
        <v>3</v>
      </c>
      <c r="F1141" s="38">
        <v>50</v>
      </c>
      <c r="G1141" t="s">
        <v>164</v>
      </c>
    </row>
    <row r="1142" spans="1:7" x14ac:dyDescent="0.25">
      <c r="A1142" s="10" t="s">
        <v>2431</v>
      </c>
      <c r="B1142" s="10" t="s">
        <v>2456</v>
      </c>
      <c r="C1142" t="str">
        <f>Table13[[#This Row],[Manufacturer]]&amp;" "&amp;Table13[[#This Row],[Model]]</f>
        <v>NASCO SL6</v>
      </c>
      <c r="D1142" s="1">
        <v>3</v>
      </c>
      <c r="E1142" s="1">
        <v>3</v>
      </c>
      <c r="F1142" s="38">
        <v>6</v>
      </c>
      <c r="G1142" t="s">
        <v>172</v>
      </c>
    </row>
    <row r="1143" spans="1:7" x14ac:dyDescent="0.25">
      <c r="A1143" s="10" t="s">
        <v>2431</v>
      </c>
      <c r="B1143" s="10" t="s">
        <v>2455</v>
      </c>
      <c r="C1143" t="str">
        <f>Table13[[#This Row],[Manufacturer]]&amp;" "&amp;Table13[[#This Row],[Model]]</f>
        <v>NASCO SO12</v>
      </c>
      <c r="D1143" s="1">
        <v>3</v>
      </c>
      <c r="E1143" s="1">
        <v>3</v>
      </c>
      <c r="F1143" s="38">
        <v>12</v>
      </c>
      <c r="G1143" t="s">
        <v>172</v>
      </c>
    </row>
    <row r="1144" spans="1:7" x14ac:dyDescent="0.25">
      <c r="A1144" s="10" t="s">
        <v>2431</v>
      </c>
      <c r="B1144" s="10" t="s">
        <v>2454</v>
      </c>
      <c r="C1144" t="str">
        <f>Table13[[#This Row],[Manufacturer]]&amp;" "&amp;Table13[[#This Row],[Model]]</f>
        <v>NASCO SO24</v>
      </c>
      <c r="D1144" s="1">
        <v>3</v>
      </c>
      <c r="E1144" s="1">
        <v>3</v>
      </c>
      <c r="F1144" s="38">
        <v>24</v>
      </c>
      <c r="G1144" t="s">
        <v>172</v>
      </c>
    </row>
    <row r="1145" spans="1:7" x14ac:dyDescent="0.25">
      <c r="A1145" s="10" t="s">
        <v>2431</v>
      </c>
      <c r="B1145" s="10" t="s">
        <v>2453</v>
      </c>
      <c r="C1145" t="str">
        <f>Table13[[#This Row],[Manufacturer]]&amp;" "&amp;Table13[[#This Row],[Model]]</f>
        <v>NASCO SO3</v>
      </c>
      <c r="D1145" s="1">
        <v>3</v>
      </c>
      <c r="E1145" s="1">
        <v>3</v>
      </c>
      <c r="F1145" s="38">
        <v>3</v>
      </c>
      <c r="G1145" t="s">
        <v>172</v>
      </c>
    </row>
    <row r="1146" spans="1:7" x14ac:dyDescent="0.25">
      <c r="A1146" s="10" t="s">
        <v>2431</v>
      </c>
      <c r="B1146" s="10" t="s">
        <v>2452</v>
      </c>
      <c r="C1146" t="str">
        <f>Table13[[#This Row],[Manufacturer]]&amp;" "&amp;Table13[[#This Row],[Model]]</f>
        <v>NASCO SO48</v>
      </c>
      <c r="D1146" s="1">
        <v>3</v>
      </c>
      <c r="E1146" s="1">
        <v>3</v>
      </c>
      <c r="F1146" s="38">
        <v>96</v>
      </c>
      <c r="G1146" t="s">
        <v>172</v>
      </c>
    </row>
    <row r="1147" spans="1:7" x14ac:dyDescent="0.25">
      <c r="A1147" s="10" t="s">
        <v>2431</v>
      </c>
      <c r="B1147" s="10" t="s">
        <v>2451</v>
      </c>
      <c r="C1147" t="str">
        <f>Table13[[#This Row],[Manufacturer]]&amp;" "&amp;Table13[[#This Row],[Model]]</f>
        <v>NASCO SO6</v>
      </c>
      <c r="D1147" s="1">
        <v>3</v>
      </c>
      <c r="E1147" s="1">
        <v>3</v>
      </c>
      <c r="F1147" s="38">
        <v>6</v>
      </c>
      <c r="G1147" t="s">
        <v>172</v>
      </c>
    </row>
    <row r="1148" spans="1:7" x14ac:dyDescent="0.25">
      <c r="A1148" s="10" t="s">
        <v>2431</v>
      </c>
      <c r="B1148" s="10" t="s">
        <v>2450</v>
      </c>
      <c r="C1148" t="str">
        <f>Table13[[#This Row],[Manufacturer]]&amp;" "&amp;Table13[[#This Row],[Model]]</f>
        <v>NASCO SO80</v>
      </c>
      <c r="D1148" s="1">
        <v>3</v>
      </c>
      <c r="E1148" s="1">
        <v>3</v>
      </c>
      <c r="F1148" s="38">
        <v>80</v>
      </c>
      <c r="G1148" t="s">
        <v>164</v>
      </c>
    </row>
    <row r="1149" spans="1:7" x14ac:dyDescent="0.25">
      <c r="A1149" s="10" t="s">
        <v>2431</v>
      </c>
      <c r="B1149" s="10" t="s">
        <v>2449</v>
      </c>
      <c r="C1149" t="str">
        <f>Table13[[#This Row],[Manufacturer]]&amp;" "&amp;Table13[[#This Row],[Model]]</f>
        <v>NASCO TT 1</v>
      </c>
      <c r="D1149" s="1">
        <v>6</v>
      </c>
      <c r="E1149" s="1">
        <v>6</v>
      </c>
      <c r="F1149" s="38">
        <v>20</v>
      </c>
      <c r="G1149" t="s">
        <v>172</v>
      </c>
    </row>
    <row r="1150" spans="1:7" x14ac:dyDescent="0.25">
      <c r="A1150" s="10" t="s">
        <v>2431</v>
      </c>
      <c r="B1150" s="10" t="s">
        <v>2448</v>
      </c>
      <c r="C1150" t="str">
        <f>Table13[[#This Row],[Manufacturer]]&amp;" "&amp;Table13[[#This Row],[Model]]</f>
        <v>NASCO TT 1CM</v>
      </c>
      <c r="D1150" s="1">
        <v>6</v>
      </c>
      <c r="E1150" s="1">
        <v>6</v>
      </c>
      <c r="F1150" s="38">
        <v>1.5</v>
      </c>
      <c r="G1150" t="s">
        <v>418</v>
      </c>
    </row>
    <row r="1151" spans="1:7" x14ac:dyDescent="0.25">
      <c r="A1151" s="10" t="s">
        <v>2431</v>
      </c>
      <c r="B1151" s="10" t="s">
        <v>2447</v>
      </c>
      <c r="C1151" t="str">
        <f>Table13[[#This Row],[Manufacturer]]&amp;" "&amp;Table13[[#This Row],[Model]]</f>
        <v>NASCO TT100F/H</v>
      </c>
      <c r="D1151" s="1">
        <v>6</v>
      </c>
      <c r="E1151" s="1">
        <v>6</v>
      </c>
      <c r="F1151" s="38">
        <v>140</v>
      </c>
      <c r="G1151" t="s">
        <v>172</v>
      </c>
    </row>
    <row r="1152" spans="1:7" x14ac:dyDescent="0.25">
      <c r="A1152" s="10" t="s">
        <v>2431</v>
      </c>
      <c r="B1152" s="10" t="s">
        <v>2446</v>
      </c>
      <c r="C1152" t="str">
        <f>Table13[[#This Row],[Manufacturer]]&amp;" "&amp;Table13[[#This Row],[Model]]</f>
        <v>NASCO TT250F/H</v>
      </c>
      <c r="D1152" s="1">
        <v>6</v>
      </c>
      <c r="E1152" s="1">
        <v>6</v>
      </c>
      <c r="F1152" s="38">
        <v>20</v>
      </c>
      <c r="G1152" t="s">
        <v>166</v>
      </c>
    </row>
    <row r="1153" spans="1:7" x14ac:dyDescent="0.25">
      <c r="A1153" s="10" t="s">
        <v>2431</v>
      </c>
      <c r="B1153" s="10" t="s">
        <v>2445</v>
      </c>
      <c r="C1153" t="str">
        <f>Table13[[#This Row],[Manufacturer]]&amp;" "&amp;Table13[[#This Row],[Model]]</f>
        <v>NASCO TT500F/H</v>
      </c>
      <c r="D1153" s="1">
        <v>6</v>
      </c>
      <c r="E1153" s="1">
        <v>6</v>
      </c>
      <c r="F1153" s="38">
        <v>40</v>
      </c>
      <c r="G1153" t="s">
        <v>166</v>
      </c>
    </row>
    <row r="1154" spans="1:7" x14ac:dyDescent="0.25">
      <c r="A1154" s="10" t="s">
        <v>2431</v>
      </c>
      <c r="B1154" s="10" t="s">
        <v>2444</v>
      </c>
      <c r="C1154" t="str">
        <f>Table13[[#This Row],[Manufacturer]]&amp;" "&amp;Table13[[#This Row],[Model]]</f>
        <v>NASCO TT50F/H</v>
      </c>
      <c r="D1154" s="1">
        <v>6</v>
      </c>
      <c r="E1154" s="1">
        <v>6</v>
      </c>
      <c r="F1154" s="38">
        <v>70</v>
      </c>
      <c r="G1154" t="s">
        <v>172</v>
      </c>
    </row>
    <row r="1155" spans="1:7" x14ac:dyDescent="0.25">
      <c r="A1155" s="10" t="s">
        <v>2431</v>
      </c>
      <c r="B1155" s="10" t="s">
        <v>2443</v>
      </c>
      <c r="C1155" t="str">
        <f>Table13[[#This Row],[Manufacturer]]&amp;" "&amp;Table13[[#This Row],[Model]]</f>
        <v>NASCO NTA 250FW</v>
      </c>
      <c r="D1155" s="1">
        <v>0.5</v>
      </c>
      <c r="E1155" s="1">
        <v>0.5</v>
      </c>
      <c r="F1155" s="38">
        <v>250</v>
      </c>
      <c r="G1155" t="s">
        <v>166</v>
      </c>
    </row>
    <row r="1156" spans="1:7" x14ac:dyDescent="0.25">
      <c r="A1156" s="10" t="s">
        <v>2431</v>
      </c>
      <c r="B1156" s="10" t="s">
        <v>2442</v>
      </c>
      <c r="C1156" t="str">
        <f>Table13[[#This Row],[Manufacturer]]&amp;" "&amp;Table13[[#This Row],[Model]]</f>
        <v>NASCO NTA 250IW</v>
      </c>
      <c r="D1156" s="1">
        <v>0.5</v>
      </c>
      <c r="E1156" s="1">
        <v>0.5</v>
      </c>
      <c r="F1156" s="38">
        <v>250</v>
      </c>
      <c r="G1156" t="s">
        <v>164</v>
      </c>
    </row>
    <row r="1157" spans="1:7" x14ac:dyDescent="0.25">
      <c r="A1157" s="10" t="s">
        <v>2431</v>
      </c>
      <c r="B1157" s="10" t="s">
        <v>2441</v>
      </c>
      <c r="C1157" t="str">
        <f>Table13[[#This Row],[Manufacturer]]&amp;" "&amp;Table13[[#This Row],[Model]]</f>
        <v>NASCO NTA 50FW</v>
      </c>
      <c r="D1157" s="1">
        <v>0.5</v>
      </c>
      <c r="E1157" s="1">
        <v>0.5</v>
      </c>
      <c r="F1157" s="38">
        <v>50</v>
      </c>
      <c r="G1157" t="s">
        <v>166</v>
      </c>
    </row>
    <row r="1158" spans="1:7" x14ac:dyDescent="0.25">
      <c r="A1158" s="10" t="s">
        <v>2431</v>
      </c>
      <c r="B1158" s="10" t="s">
        <v>2440</v>
      </c>
      <c r="C1158" t="str">
        <f>Table13[[#This Row],[Manufacturer]]&amp;" "&amp;Table13[[#This Row],[Model]]</f>
        <v>NASCO NTA 50IW</v>
      </c>
      <c r="D1158" s="1">
        <v>0.5</v>
      </c>
      <c r="E1158" s="1">
        <v>0.5</v>
      </c>
      <c r="F1158" s="38">
        <v>50</v>
      </c>
      <c r="G1158" t="s">
        <v>164</v>
      </c>
    </row>
    <row r="1159" spans="1:7" x14ac:dyDescent="0.25">
      <c r="A1159" s="10" t="s">
        <v>2431</v>
      </c>
      <c r="B1159" s="10" t="s">
        <v>2439</v>
      </c>
      <c r="C1159" t="str">
        <f>Table13[[#This Row],[Manufacturer]]&amp;" "&amp;Table13[[#This Row],[Model]]</f>
        <v>NASCO NTL 100</v>
      </c>
      <c r="D1159" s="1">
        <v>3</v>
      </c>
      <c r="E1159" s="1">
        <v>3</v>
      </c>
      <c r="F1159" s="38">
        <v>100</v>
      </c>
      <c r="G1159" t="s">
        <v>164</v>
      </c>
    </row>
    <row r="1160" spans="1:7" x14ac:dyDescent="0.25">
      <c r="A1160" s="10" t="s">
        <v>2431</v>
      </c>
      <c r="B1160" s="10" t="s">
        <v>2438</v>
      </c>
      <c r="C1160" t="str">
        <f>Table13[[#This Row],[Manufacturer]]&amp;" "&amp;Table13[[#This Row],[Model]]</f>
        <v>NASCO NTL 12</v>
      </c>
      <c r="D1160" s="1">
        <v>3</v>
      </c>
      <c r="E1160" s="1">
        <v>3</v>
      </c>
      <c r="F1160" s="38">
        <v>12</v>
      </c>
      <c r="G1160" t="s">
        <v>164</v>
      </c>
    </row>
    <row r="1161" spans="1:7" x14ac:dyDescent="0.25">
      <c r="A1161" s="10" t="s">
        <v>2431</v>
      </c>
      <c r="B1161" s="10" t="s">
        <v>2437</v>
      </c>
      <c r="C1161" t="str">
        <f>Table13[[#This Row],[Manufacturer]]&amp;" "&amp;Table13[[#This Row],[Model]]</f>
        <v>NASCO 810587</v>
      </c>
      <c r="D1161" s="1">
        <v>3</v>
      </c>
      <c r="E1161" s="1">
        <v>3</v>
      </c>
      <c r="F1161" s="38">
        <v>36</v>
      </c>
      <c r="G1161" t="s">
        <v>164</v>
      </c>
    </row>
    <row r="1162" spans="1:7" x14ac:dyDescent="0.25">
      <c r="A1162" s="10" t="s">
        <v>2431</v>
      </c>
      <c r="B1162" s="10" t="s">
        <v>2436</v>
      </c>
      <c r="C1162" t="str">
        <f>Table13[[#This Row],[Manufacturer]]&amp;" "&amp;Table13[[#This Row],[Model]]</f>
        <v>NASCO MT120 A</v>
      </c>
      <c r="D1162" s="1">
        <v>6</v>
      </c>
      <c r="E1162" s="1">
        <v>6</v>
      </c>
      <c r="F1162" s="38">
        <v>120</v>
      </c>
      <c r="G1162" t="s">
        <v>172</v>
      </c>
    </row>
    <row r="1163" spans="1:7" x14ac:dyDescent="0.25">
      <c r="A1163" s="10" t="s">
        <v>2431</v>
      </c>
      <c r="B1163" s="10" t="s">
        <v>2435</v>
      </c>
      <c r="C1163" t="str">
        <f>Table13[[#This Row],[Manufacturer]]&amp;" "&amp;Table13[[#This Row],[Model]]</f>
        <v>NASCO MT50A</v>
      </c>
      <c r="D1163" s="1">
        <v>6</v>
      </c>
      <c r="E1163" s="1">
        <v>6</v>
      </c>
      <c r="F1163" s="38">
        <v>50</v>
      </c>
      <c r="G1163" t="s">
        <v>164</v>
      </c>
    </row>
    <row r="1164" spans="1:7" x14ac:dyDescent="0.25">
      <c r="A1164" s="10" t="s">
        <v>2431</v>
      </c>
      <c r="B1164" s="10" t="s">
        <v>2434</v>
      </c>
      <c r="C1164" t="str">
        <f>Table13[[#This Row],[Manufacturer]]&amp;" "&amp;Table13[[#This Row],[Model]]</f>
        <v>NASCO MT80 A</v>
      </c>
      <c r="D1164" s="1">
        <v>6</v>
      </c>
      <c r="E1164" s="1">
        <v>6</v>
      </c>
      <c r="F1164" s="38">
        <v>80</v>
      </c>
      <c r="G1164" t="s">
        <v>164</v>
      </c>
    </row>
    <row r="1165" spans="1:7" x14ac:dyDescent="0.25">
      <c r="A1165" s="10" t="s">
        <v>2431</v>
      </c>
      <c r="B1165" s="10" t="s">
        <v>2433</v>
      </c>
      <c r="C1165" t="str">
        <f>Table13[[#This Row],[Manufacturer]]&amp;" "&amp;Table13[[#This Row],[Model]]</f>
        <v>NASCO TS 100</v>
      </c>
      <c r="D1165" s="1">
        <v>6</v>
      </c>
      <c r="E1165" s="1">
        <v>6</v>
      </c>
      <c r="F1165" s="38">
        <v>100</v>
      </c>
      <c r="G1165" t="s">
        <v>172</v>
      </c>
    </row>
    <row r="1166" spans="1:7" x14ac:dyDescent="0.25">
      <c r="A1166" s="10" t="s">
        <v>2431</v>
      </c>
      <c r="B1166" s="10" t="s">
        <v>2432</v>
      </c>
      <c r="C1166" t="str">
        <f>Table13[[#This Row],[Manufacturer]]&amp;" "&amp;Table13[[#This Row],[Model]]</f>
        <v>NASCO TS 30</v>
      </c>
      <c r="D1166" s="1">
        <v>6</v>
      </c>
      <c r="E1166" s="1">
        <v>6</v>
      </c>
      <c r="F1166" s="38">
        <v>30</v>
      </c>
      <c r="G1166" t="s">
        <v>164</v>
      </c>
    </row>
    <row r="1167" spans="1:7" x14ac:dyDescent="0.25">
      <c r="A1167" s="10" t="s">
        <v>2431</v>
      </c>
      <c r="B1167" s="10" t="s">
        <v>257</v>
      </c>
      <c r="C1167" t="str">
        <f>Table13[[#This Row],[Manufacturer]]&amp;" "&amp;Table13[[#This Row],[Model]]</f>
        <v>NASCO TS 35</v>
      </c>
      <c r="D1167" s="1">
        <v>6</v>
      </c>
      <c r="E1167" s="1">
        <v>6</v>
      </c>
      <c r="F1167" s="38">
        <v>36</v>
      </c>
      <c r="G1167" t="s">
        <v>164</v>
      </c>
    </row>
    <row r="1168" spans="1:7" x14ac:dyDescent="0.25">
      <c r="A1168" s="10" t="s">
        <v>2431</v>
      </c>
      <c r="B1168" s="10" t="s">
        <v>2430</v>
      </c>
      <c r="C1168" t="str">
        <f>Table13[[#This Row],[Manufacturer]]&amp;" "&amp;Table13[[#This Row],[Model]]</f>
        <v>NASCO TTSN 1</v>
      </c>
      <c r="D1168" s="1">
        <v>6</v>
      </c>
      <c r="E1168" s="1">
        <v>6</v>
      </c>
      <c r="F1168" s="38">
        <v>30</v>
      </c>
      <c r="G1168" t="s">
        <v>172</v>
      </c>
    </row>
    <row r="1169" spans="1:7" x14ac:dyDescent="0.25">
      <c r="A1169" s="10" t="s">
        <v>2429</v>
      </c>
      <c r="B1169" s="10" t="s">
        <v>2428</v>
      </c>
      <c r="C1169" t="str">
        <f>Table13[[#This Row],[Manufacturer]]&amp;" "&amp;Table13[[#This Row],[Model]]</f>
        <v>Neiko 10573B</v>
      </c>
      <c r="D1169" s="1">
        <v>6</v>
      </c>
      <c r="E1169" s="1" t="s">
        <v>169</v>
      </c>
      <c r="F1169" s="38">
        <v>50</v>
      </c>
      <c r="G1169" t="s">
        <v>164</v>
      </c>
    </row>
    <row r="1170" spans="1:7" x14ac:dyDescent="0.25">
      <c r="A1170" s="10" t="s">
        <v>2427</v>
      </c>
      <c r="B1170" s="10">
        <v>11034</v>
      </c>
      <c r="C1170" t="str">
        <f>Table13[[#This Row],[Manufacturer]]&amp;" "&amp;Table13[[#This Row],[Model]]</f>
        <v>Norbar 11034</v>
      </c>
      <c r="D1170" s="1">
        <v>4</v>
      </c>
      <c r="E1170" s="1" t="s">
        <v>169</v>
      </c>
      <c r="F1170" s="38">
        <v>20</v>
      </c>
      <c r="G1170" t="s">
        <v>184</v>
      </c>
    </row>
    <row r="1171" spans="1:7" x14ac:dyDescent="0.25">
      <c r="A1171" s="10" t="s">
        <v>2427</v>
      </c>
      <c r="B1171" s="10">
        <v>11035</v>
      </c>
      <c r="C1171" t="str">
        <f>Table13[[#This Row],[Manufacturer]]&amp;" "&amp;Table13[[#This Row],[Model]]</f>
        <v>Norbar 11035</v>
      </c>
      <c r="D1171" s="1">
        <v>4</v>
      </c>
      <c r="E1171" s="1" t="s">
        <v>169</v>
      </c>
      <c r="F1171" s="38">
        <v>20</v>
      </c>
      <c r="G1171" t="s">
        <v>184</v>
      </c>
    </row>
    <row r="1172" spans="1:7" x14ac:dyDescent="0.25">
      <c r="A1172" s="10" t="s">
        <v>2427</v>
      </c>
      <c r="B1172" s="10">
        <v>11036</v>
      </c>
      <c r="C1172" t="str">
        <f>Table13[[#This Row],[Manufacturer]]&amp;" "&amp;Table13[[#This Row],[Model]]</f>
        <v>Norbar 11036</v>
      </c>
      <c r="D1172" s="1">
        <v>4</v>
      </c>
      <c r="E1172" s="1" t="s">
        <v>169</v>
      </c>
      <c r="F1172" s="38">
        <v>20</v>
      </c>
      <c r="G1172" t="s">
        <v>184</v>
      </c>
    </row>
    <row r="1173" spans="1:7" x14ac:dyDescent="0.25">
      <c r="A1173" s="10" t="s">
        <v>2427</v>
      </c>
      <c r="B1173" s="10">
        <v>11037</v>
      </c>
      <c r="C1173" t="str">
        <f>Table13[[#This Row],[Manufacturer]]&amp;" "&amp;Table13[[#This Row],[Model]]</f>
        <v>Norbar 11037</v>
      </c>
      <c r="D1173" s="1">
        <v>4</v>
      </c>
      <c r="E1173" s="1" t="s">
        <v>169</v>
      </c>
      <c r="F1173" s="38">
        <v>20</v>
      </c>
      <c r="G1173" t="s">
        <v>184</v>
      </c>
    </row>
    <row r="1174" spans="1:7" x14ac:dyDescent="0.25">
      <c r="A1174" s="10" t="s">
        <v>2427</v>
      </c>
      <c r="B1174" s="10">
        <v>11085</v>
      </c>
      <c r="C1174" t="str">
        <f>Table13[[#This Row],[Manufacturer]]&amp;" "&amp;Table13[[#This Row],[Model]]</f>
        <v>Norbar 11085</v>
      </c>
      <c r="D1174" s="1">
        <v>4</v>
      </c>
      <c r="E1174" s="1" t="s">
        <v>169</v>
      </c>
      <c r="F1174" s="38">
        <v>20</v>
      </c>
      <c r="G1174" t="s">
        <v>184</v>
      </c>
    </row>
    <row r="1175" spans="1:7" x14ac:dyDescent="0.25">
      <c r="A1175" s="10" t="s">
        <v>2427</v>
      </c>
      <c r="B1175" s="10">
        <v>11086</v>
      </c>
      <c r="C1175" t="str">
        <f>Table13[[#This Row],[Manufacturer]]&amp;" "&amp;Table13[[#This Row],[Model]]</f>
        <v>Norbar 11086</v>
      </c>
      <c r="D1175" s="1">
        <v>4</v>
      </c>
      <c r="E1175" s="1" t="s">
        <v>169</v>
      </c>
      <c r="F1175" s="38">
        <v>20</v>
      </c>
      <c r="G1175" t="s">
        <v>184</v>
      </c>
    </row>
    <row r="1176" spans="1:7" x14ac:dyDescent="0.25">
      <c r="A1176" s="10" t="s">
        <v>2427</v>
      </c>
      <c r="B1176" s="10">
        <v>11087</v>
      </c>
      <c r="C1176" t="str">
        <f>Table13[[#This Row],[Manufacturer]]&amp;" "&amp;Table13[[#This Row],[Model]]</f>
        <v>Norbar 11087</v>
      </c>
      <c r="D1176" s="1">
        <v>4</v>
      </c>
      <c r="E1176" s="1" t="s">
        <v>169</v>
      </c>
      <c r="F1176" s="38">
        <v>20</v>
      </c>
      <c r="G1176" t="s">
        <v>184</v>
      </c>
    </row>
    <row r="1177" spans="1:7" x14ac:dyDescent="0.25">
      <c r="A1177" s="10" t="s">
        <v>2427</v>
      </c>
      <c r="B1177" s="10">
        <v>11088</v>
      </c>
      <c r="C1177" t="str">
        <f>Table13[[#This Row],[Manufacturer]]&amp;" "&amp;Table13[[#This Row],[Model]]</f>
        <v>Norbar 11088</v>
      </c>
      <c r="D1177" s="1">
        <v>4</v>
      </c>
      <c r="E1177" s="1" t="s">
        <v>169</v>
      </c>
      <c r="F1177" s="38">
        <v>20</v>
      </c>
      <c r="G1177" t="s">
        <v>184</v>
      </c>
    </row>
    <row r="1178" spans="1:7" x14ac:dyDescent="0.25">
      <c r="A1178" s="10" t="s">
        <v>2427</v>
      </c>
      <c r="B1178" s="10">
        <v>11089</v>
      </c>
      <c r="C1178" t="str">
        <f>Table13[[#This Row],[Manufacturer]]&amp;" "&amp;Table13[[#This Row],[Model]]</f>
        <v>Norbar 11089</v>
      </c>
      <c r="D1178" s="1">
        <v>4</v>
      </c>
      <c r="E1178" s="1" t="s">
        <v>169</v>
      </c>
      <c r="F1178" s="38">
        <v>20</v>
      </c>
      <c r="G1178" t="s">
        <v>184</v>
      </c>
    </row>
    <row r="1179" spans="1:7" x14ac:dyDescent="0.25">
      <c r="A1179" s="10" t="s">
        <v>2427</v>
      </c>
      <c r="B1179" s="10">
        <v>11090</v>
      </c>
      <c r="C1179" t="str">
        <f>Table13[[#This Row],[Manufacturer]]&amp;" "&amp;Table13[[#This Row],[Model]]</f>
        <v>Norbar 11090</v>
      </c>
      <c r="D1179" s="1">
        <v>3</v>
      </c>
      <c r="E1179" s="1" t="s">
        <v>169</v>
      </c>
      <c r="F1179" s="38">
        <v>20</v>
      </c>
      <c r="G1179" t="s">
        <v>184</v>
      </c>
    </row>
    <row r="1180" spans="1:7" x14ac:dyDescent="0.25">
      <c r="A1180" s="10" t="s">
        <v>2427</v>
      </c>
      <c r="B1180" s="10">
        <v>11117</v>
      </c>
      <c r="C1180" t="str">
        <f>Table13[[#This Row],[Manufacturer]]&amp;" "&amp;Table13[[#This Row],[Model]]</f>
        <v>Norbar 11117</v>
      </c>
      <c r="D1180" s="1">
        <v>3</v>
      </c>
      <c r="E1180" s="1" t="s">
        <v>169</v>
      </c>
      <c r="F1180" s="38">
        <v>220</v>
      </c>
      <c r="G1180" t="s">
        <v>166</v>
      </c>
    </row>
    <row r="1181" spans="1:7" x14ac:dyDescent="0.25">
      <c r="A1181" s="10" t="s">
        <v>2427</v>
      </c>
      <c r="B1181" s="10">
        <v>11122</v>
      </c>
      <c r="C1181" t="str">
        <f>Table13[[#This Row],[Manufacturer]]&amp;" "&amp;Table13[[#This Row],[Model]]</f>
        <v>Norbar 11122</v>
      </c>
      <c r="D1181" s="1">
        <v>4</v>
      </c>
      <c r="E1181" s="1" t="s">
        <v>169</v>
      </c>
      <c r="F1181" s="38">
        <v>20</v>
      </c>
      <c r="G1181" t="s">
        <v>184</v>
      </c>
    </row>
    <row r="1182" spans="1:7" x14ac:dyDescent="0.25">
      <c r="A1182" s="10" t="s">
        <v>2427</v>
      </c>
      <c r="B1182" s="10">
        <v>11123</v>
      </c>
      <c r="C1182" t="str">
        <f>Table13[[#This Row],[Manufacturer]]&amp;" "&amp;Table13[[#This Row],[Model]]</f>
        <v>Norbar 11123</v>
      </c>
      <c r="D1182" s="1">
        <v>4</v>
      </c>
      <c r="E1182" s="1" t="s">
        <v>169</v>
      </c>
      <c r="F1182" s="38">
        <v>20</v>
      </c>
      <c r="G1182" t="s">
        <v>184</v>
      </c>
    </row>
    <row r="1183" spans="1:7" x14ac:dyDescent="0.25">
      <c r="A1183" s="10" t="s">
        <v>2427</v>
      </c>
      <c r="B1183" s="10">
        <v>11125</v>
      </c>
      <c r="C1183" t="str">
        <f>Table13[[#This Row],[Manufacturer]]&amp;" "&amp;Table13[[#This Row],[Model]]</f>
        <v>Norbar 11125</v>
      </c>
      <c r="D1183" s="1">
        <v>4</v>
      </c>
      <c r="E1183" s="1" t="s">
        <v>169</v>
      </c>
      <c r="F1183" s="38">
        <v>20</v>
      </c>
      <c r="G1183" t="s">
        <v>184</v>
      </c>
    </row>
    <row r="1184" spans="1:7" x14ac:dyDescent="0.25">
      <c r="A1184" s="10" t="s">
        <v>2427</v>
      </c>
      <c r="B1184" s="10">
        <v>11126</v>
      </c>
      <c r="C1184" t="str">
        <f>Table13[[#This Row],[Manufacturer]]&amp;" "&amp;Table13[[#This Row],[Model]]</f>
        <v>Norbar 11126</v>
      </c>
      <c r="D1184" s="1">
        <v>4</v>
      </c>
      <c r="E1184" s="1" t="s">
        <v>169</v>
      </c>
      <c r="F1184" s="38">
        <v>20</v>
      </c>
      <c r="G1184" t="s">
        <v>184</v>
      </c>
    </row>
    <row r="1185" spans="1:7" x14ac:dyDescent="0.25">
      <c r="A1185" s="10" t="s">
        <v>2427</v>
      </c>
      <c r="B1185" s="10">
        <v>11138</v>
      </c>
      <c r="C1185" t="str">
        <f>Table13[[#This Row],[Manufacturer]]&amp;" "&amp;Table13[[#This Row],[Model]]</f>
        <v>Norbar 11138</v>
      </c>
      <c r="D1185" s="1">
        <v>3</v>
      </c>
      <c r="E1185" s="1" t="s">
        <v>169</v>
      </c>
      <c r="F1185" s="38">
        <v>80</v>
      </c>
      <c r="G1185" t="s">
        <v>166</v>
      </c>
    </row>
    <row r="1186" spans="1:7" x14ac:dyDescent="0.25">
      <c r="A1186" s="10" t="s">
        <v>2427</v>
      </c>
      <c r="B1186" s="10">
        <v>11139</v>
      </c>
      <c r="C1186" t="str">
        <f>Table13[[#This Row],[Manufacturer]]&amp;" "&amp;Table13[[#This Row],[Model]]</f>
        <v>Norbar 11139</v>
      </c>
      <c r="D1186" s="1">
        <v>3</v>
      </c>
      <c r="E1186" s="1">
        <v>3</v>
      </c>
      <c r="F1186" s="38">
        <v>80</v>
      </c>
      <c r="G1186" t="s">
        <v>166</v>
      </c>
    </row>
    <row r="1187" spans="1:7" x14ac:dyDescent="0.25">
      <c r="A1187" s="10" t="s">
        <v>2427</v>
      </c>
      <c r="B1187" s="10">
        <v>11140</v>
      </c>
      <c r="C1187" t="str">
        <f>Table13[[#This Row],[Manufacturer]]&amp;" "&amp;Table13[[#This Row],[Model]]</f>
        <v>Norbar 11140</v>
      </c>
      <c r="D1187" s="1">
        <v>3</v>
      </c>
      <c r="E1187" s="1">
        <v>3</v>
      </c>
      <c r="F1187" s="38">
        <v>150</v>
      </c>
      <c r="G1187" t="s">
        <v>166</v>
      </c>
    </row>
    <row r="1188" spans="1:7" x14ac:dyDescent="0.25">
      <c r="A1188" s="10" t="s">
        <v>2427</v>
      </c>
      <c r="B1188" s="10">
        <v>11143</v>
      </c>
      <c r="C1188" t="str">
        <f>Table13[[#This Row],[Manufacturer]]&amp;" "&amp;Table13[[#This Row],[Model]]</f>
        <v>Norbar 11143</v>
      </c>
      <c r="D1188" s="1">
        <v>3</v>
      </c>
      <c r="E1188" s="1">
        <v>3</v>
      </c>
      <c r="F1188" s="38">
        <v>80</v>
      </c>
      <c r="G1188" t="s">
        <v>166</v>
      </c>
    </row>
    <row r="1189" spans="1:7" x14ac:dyDescent="0.25">
      <c r="A1189" s="10" t="s">
        <v>2427</v>
      </c>
      <c r="B1189" s="10">
        <v>11144</v>
      </c>
      <c r="C1189" t="str">
        <f>Table13[[#This Row],[Manufacturer]]&amp;" "&amp;Table13[[#This Row],[Model]]</f>
        <v>Norbar 11144</v>
      </c>
      <c r="D1189" s="1">
        <v>3</v>
      </c>
      <c r="E1189" s="1">
        <v>3</v>
      </c>
      <c r="F1189" s="38">
        <v>150</v>
      </c>
      <c r="G1189" t="s">
        <v>166</v>
      </c>
    </row>
    <row r="1190" spans="1:7" x14ac:dyDescent="0.25">
      <c r="A1190" s="10" t="s">
        <v>2427</v>
      </c>
      <c r="B1190" s="10">
        <v>11150</v>
      </c>
      <c r="C1190" t="str">
        <f>Table13[[#This Row],[Manufacturer]]&amp;" "&amp;Table13[[#This Row],[Model]]</f>
        <v>Norbar 11150</v>
      </c>
      <c r="D1190" s="1">
        <v>3</v>
      </c>
      <c r="E1190" s="1">
        <v>3</v>
      </c>
      <c r="F1190" s="38">
        <v>80</v>
      </c>
      <c r="G1190" t="s">
        <v>166</v>
      </c>
    </row>
    <row r="1191" spans="1:7" x14ac:dyDescent="0.25">
      <c r="A1191" s="10" t="s">
        <v>2427</v>
      </c>
      <c r="B1191" s="10">
        <v>11151</v>
      </c>
      <c r="C1191" t="str">
        <f>Table13[[#This Row],[Manufacturer]]&amp;" "&amp;Table13[[#This Row],[Model]]</f>
        <v>Norbar 11151</v>
      </c>
      <c r="D1191" s="1">
        <v>3</v>
      </c>
      <c r="E1191" s="1">
        <v>3</v>
      </c>
      <c r="F1191" s="38">
        <v>150</v>
      </c>
      <c r="G1191" t="s">
        <v>166</v>
      </c>
    </row>
    <row r="1192" spans="1:7" x14ac:dyDescent="0.25">
      <c r="A1192" s="10" t="s">
        <v>2427</v>
      </c>
      <c r="B1192" s="10">
        <v>11152</v>
      </c>
      <c r="C1192" t="str">
        <f>Table13[[#This Row],[Manufacturer]]&amp;" "&amp;Table13[[#This Row],[Model]]</f>
        <v>Norbar 11152</v>
      </c>
      <c r="D1192" s="1">
        <v>3</v>
      </c>
      <c r="E1192" s="1">
        <v>3</v>
      </c>
      <c r="F1192" s="38">
        <v>150</v>
      </c>
      <c r="G1192" t="s">
        <v>166</v>
      </c>
    </row>
    <row r="1193" spans="1:7" x14ac:dyDescent="0.25">
      <c r="A1193" s="10" t="s">
        <v>2427</v>
      </c>
      <c r="B1193" s="10">
        <v>11153</v>
      </c>
      <c r="C1193" t="str">
        <f>Table13[[#This Row],[Manufacturer]]&amp;" "&amp;Table13[[#This Row],[Model]]</f>
        <v>Norbar 11153</v>
      </c>
      <c r="D1193" s="1">
        <v>3</v>
      </c>
      <c r="E1193" s="1">
        <v>3</v>
      </c>
      <c r="F1193" s="38">
        <v>220</v>
      </c>
      <c r="G1193" t="s">
        <v>166</v>
      </c>
    </row>
    <row r="1194" spans="1:7" x14ac:dyDescent="0.25">
      <c r="A1194" s="10" t="s">
        <v>2427</v>
      </c>
      <c r="B1194" s="10">
        <v>11164</v>
      </c>
      <c r="C1194" t="str">
        <f>Table13[[#This Row],[Manufacturer]]&amp;" "&amp;Table13[[#This Row],[Model]]</f>
        <v>Norbar 11164</v>
      </c>
      <c r="D1194" s="1">
        <v>3</v>
      </c>
      <c r="E1194" s="1">
        <v>3</v>
      </c>
      <c r="F1194" s="38">
        <v>45</v>
      </c>
      <c r="G1194" t="s">
        <v>166</v>
      </c>
    </row>
    <row r="1195" spans="1:7" x14ac:dyDescent="0.25">
      <c r="A1195" s="10" t="s">
        <v>2427</v>
      </c>
      <c r="B1195" s="10">
        <v>11167</v>
      </c>
      <c r="C1195" t="str">
        <f>Table13[[#This Row],[Manufacturer]]&amp;" "&amp;Table13[[#This Row],[Model]]</f>
        <v>Norbar 11167</v>
      </c>
      <c r="D1195" s="1">
        <v>3</v>
      </c>
      <c r="E1195" s="1">
        <v>3</v>
      </c>
      <c r="F1195" s="38">
        <v>45</v>
      </c>
      <c r="G1195" t="s">
        <v>166</v>
      </c>
    </row>
    <row r="1196" spans="1:7" x14ac:dyDescent="0.25">
      <c r="A1196" s="10" t="s">
        <v>2427</v>
      </c>
      <c r="B1196" s="10">
        <v>11170</v>
      </c>
      <c r="C1196" t="str">
        <f>Table13[[#This Row],[Manufacturer]]&amp;" "&amp;Table13[[#This Row],[Model]]</f>
        <v>Norbar 11170</v>
      </c>
      <c r="D1196" s="1">
        <v>3</v>
      </c>
      <c r="E1196" s="1">
        <v>3</v>
      </c>
      <c r="F1196" s="38">
        <v>45</v>
      </c>
      <c r="G1196" t="s">
        <v>166</v>
      </c>
    </row>
    <row r="1197" spans="1:7" x14ac:dyDescent="0.25">
      <c r="A1197" s="10" t="s">
        <v>2427</v>
      </c>
      <c r="B1197" s="10">
        <v>11171</v>
      </c>
      <c r="C1197" t="str">
        <f>Table13[[#This Row],[Manufacturer]]&amp;" "&amp;Table13[[#This Row],[Model]]</f>
        <v>Norbar 11171</v>
      </c>
      <c r="D1197" s="1">
        <v>3</v>
      </c>
      <c r="E1197" s="1">
        <v>3</v>
      </c>
      <c r="F1197" s="38">
        <v>45</v>
      </c>
      <c r="G1197" t="s">
        <v>166</v>
      </c>
    </row>
    <row r="1198" spans="1:7" x14ac:dyDescent="0.25">
      <c r="A1198" s="10" t="s">
        <v>2427</v>
      </c>
      <c r="B1198" s="10">
        <v>12001</v>
      </c>
      <c r="C1198" t="str">
        <f>Table13[[#This Row],[Manufacturer]]&amp;" "&amp;Table13[[#This Row],[Model]]</f>
        <v>Norbar 12001</v>
      </c>
      <c r="D1198" s="1">
        <v>4</v>
      </c>
      <c r="E1198" s="1">
        <v>4</v>
      </c>
      <c r="F1198" s="38">
        <v>500</v>
      </c>
      <c r="G1198" t="s">
        <v>184</v>
      </c>
    </row>
    <row r="1199" spans="1:7" x14ac:dyDescent="0.25">
      <c r="A1199" s="10" t="s">
        <v>2427</v>
      </c>
      <c r="B1199" s="10">
        <v>12001.01</v>
      </c>
      <c r="C1199" t="str">
        <f>Table13[[#This Row],[Manufacturer]]&amp;" "&amp;Table13[[#This Row],[Model]]</f>
        <v>Norbar 12001.01</v>
      </c>
      <c r="D1199" s="1">
        <v>4</v>
      </c>
      <c r="E1199" s="1">
        <v>4</v>
      </c>
      <c r="F1199" s="38">
        <v>500</v>
      </c>
      <c r="G1199" t="s">
        <v>184</v>
      </c>
    </row>
    <row r="1200" spans="1:7" x14ac:dyDescent="0.25">
      <c r="A1200" s="10" t="s">
        <v>2427</v>
      </c>
      <c r="B1200" s="10">
        <v>12002</v>
      </c>
      <c r="C1200" t="str">
        <f>Table13[[#This Row],[Manufacturer]]&amp;" "&amp;Table13[[#This Row],[Model]]</f>
        <v>Norbar 12002</v>
      </c>
      <c r="D1200" s="1">
        <v>4</v>
      </c>
      <c r="E1200" s="1">
        <v>4</v>
      </c>
      <c r="F1200" s="38">
        <v>1500</v>
      </c>
      <c r="G1200" t="s">
        <v>184</v>
      </c>
    </row>
    <row r="1201" spans="1:7" x14ac:dyDescent="0.25">
      <c r="A1201" s="10" t="s">
        <v>2427</v>
      </c>
      <c r="B1201" s="10">
        <v>12003</v>
      </c>
      <c r="C1201" t="str">
        <f>Table13[[#This Row],[Manufacturer]]&amp;" "&amp;Table13[[#This Row],[Model]]</f>
        <v>Norbar 12003</v>
      </c>
      <c r="D1201" s="1">
        <v>4</v>
      </c>
      <c r="E1201" s="1">
        <v>4</v>
      </c>
      <c r="F1201" s="38">
        <v>550</v>
      </c>
      <c r="G1201" t="s">
        <v>184</v>
      </c>
    </row>
    <row r="1202" spans="1:7" x14ac:dyDescent="0.25">
      <c r="A1202" s="10" t="s">
        <v>2427</v>
      </c>
      <c r="B1202" s="10">
        <v>12006</v>
      </c>
      <c r="C1202" t="str">
        <f>Table13[[#This Row],[Manufacturer]]&amp;" "&amp;Table13[[#This Row],[Model]]</f>
        <v>Norbar 12006</v>
      </c>
      <c r="D1202" s="1">
        <v>4</v>
      </c>
      <c r="E1202" s="1">
        <v>4</v>
      </c>
      <c r="F1202" s="38">
        <v>700</v>
      </c>
      <c r="G1202" t="s">
        <v>184</v>
      </c>
    </row>
    <row r="1203" spans="1:7" x14ac:dyDescent="0.25">
      <c r="A1203" s="10" t="s">
        <v>2427</v>
      </c>
      <c r="B1203" s="10">
        <v>12006.01</v>
      </c>
      <c r="C1203" t="str">
        <f>Table13[[#This Row],[Manufacturer]]&amp;" "&amp;Table13[[#This Row],[Model]]</f>
        <v>Norbar 12006.01</v>
      </c>
      <c r="D1203" s="1">
        <v>4</v>
      </c>
      <c r="E1203" s="1">
        <v>4</v>
      </c>
      <c r="F1203" s="38">
        <v>700</v>
      </c>
      <c r="G1203" t="s">
        <v>184</v>
      </c>
    </row>
    <row r="1204" spans="1:7" x14ac:dyDescent="0.25">
      <c r="A1204" s="10" t="s">
        <v>2427</v>
      </c>
      <c r="B1204" s="10">
        <v>12007</v>
      </c>
      <c r="C1204" t="str">
        <f>Table13[[#This Row],[Manufacturer]]&amp;" "&amp;Table13[[#This Row],[Model]]</f>
        <v>Norbar 12007</v>
      </c>
      <c r="D1204" s="1">
        <v>4</v>
      </c>
      <c r="E1204" s="1" t="s">
        <v>169</v>
      </c>
      <c r="F1204" s="38">
        <v>800</v>
      </c>
      <c r="G1204" t="s">
        <v>184</v>
      </c>
    </row>
    <row r="1205" spans="1:7" x14ac:dyDescent="0.25">
      <c r="A1205" s="10" t="s">
        <v>2427</v>
      </c>
      <c r="B1205" s="10">
        <v>12007.01</v>
      </c>
      <c r="C1205" t="str">
        <f>Table13[[#This Row],[Manufacturer]]&amp;" "&amp;Table13[[#This Row],[Model]]</f>
        <v>Norbar 12007.01</v>
      </c>
      <c r="D1205" s="1">
        <v>4</v>
      </c>
      <c r="E1205" s="1" t="s">
        <v>169</v>
      </c>
      <c r="F1205" s="38">
        <v>800</v>
      </c>
      <c r="G1205" t="s">
        <v>184</v>
      </c>
    </row>
    <row r="1206" spans="1:7" x14ac:dyDescent="0.25">
      <c r="A1206" s="10" t="s">
        <v>2427</v>
      </c>
      <c r="B1206" s="10">
        <v>12009</v>
      </c>
      <c r="C1206" t="str">
        <f>Table13[[#This Row],[Manufacturer]]&amp;" "&amp;Table13[[#This Row],[Model]]</f>
        <v>Norbar 12009</v>
      </c>
      <c r="D1206" s="1">
        <v>4</v>
      </c>
      <c r="E1206" s="1">
        <v>4</v>
      </c>
      <c r="F1206" s="38">
        <v>1000</v>
      </c>
      <c r="G1206" t="s">
        <v>184</v>
      </c>
    </row>
    <row r="1207" spans="1:7" x14ac:dyDescent="0.25">
      <c r="A1207" s="10" t="s">
        <v>2427</v>
      </c>
      <c r="B1207" s="10">
        <v>12009.01</v>
      </c>
      <c r="C1207" t="str">
        <f>Table13[[#This Row],[Manufacturer]]&amp;" "&amp;Table13[[#This Row],[Model]]</f>
        <v>Norbar 12009.01</v>
      </c>
      <c r="D1207" s="1">
        <v>4</v>
      </c>
      <c r="E1207" s="1" t="s">
        <v>169</v>
      </c>
      <c r="F1207" s="38">
        <v>1000</v>
      </c>
      <c r="G1207" t="s">
        <v>184</v>
      </c>
    </row>
    <row r="1208" spans="1:7" x14ac:dyDescent="0.25">
      <c r="A1208" s="10" t="s">
        <v>2427</v>
      </c>
      <c r="B1208" s="10">
        <v>12012</v>
      </c>
      <c r="C1208" t="str">
        <f>Table13[[#This Row],[Manufacturer]]&amp;" "&amp;Table13[[#This Row],[Model]]</f>
        <v>Norbar 12012</v>
      </c>
      <c r="D1208" s="1">
        <v>4</v>
      </c>
      <c r="E1208" s="1">
        <v>4</v>
      </c>
      <c r="F1208" s="38">
        <v>1500</v>
      </c>
      <c r="G1208" t="s">
        <v>184</v>
      </c>
    </row>
    <row r="1209" spans="1:7" x14ac:dyDescent="0.25">
      <c r="A1209" s="10" t="s">
        <v>2427</v>
      </c>
      <c r="B1209" s="10">
        <v>12012.01</v>
      </c>
      <c r="C1209" t="str">
        <f>Table13[[#This Row],[Manufacturer]]&amp;" "&amp;Table13[[#This Row],[Model]]</f>
        <v>Norbar 12012.01</v>
      </c>
      <c r="D1209" s="1">
        <v>4</v>
      </c>
      <c r="E1209" s="1">
        <v>4</v>
      </c>
      <c r="F1209" s="38">
        <v>1500</v>
      </c>
      <c r="G1209" t="s">
        <v>184</v>
      </c>
    </row>
    <row r="1210" spans="1:7" x14ac:dyDescent="0.25">
      <c r="A1210" s="10" t="s">
        <v>2427</v>
      </c>
      <c r="B1210" s="10">
        <v>12015</v>
      </c>
      <c r="C1210" t="str">
        <f>Table13[[#This Row],[Manufacturer]]&amp;" "&amp;Table13[[#This Row],[Model]]</f>
        <v>Norbar 12015</v>
      </c>
      <c r="D1210" s="1">
        <v>4</v>
      </c>
      <c r="E1210" s="1">
        <v>4</v>
      </c>
      <c r="F1210" s="38">
        <v>500</v>
      </c>
      <c r="G1210" t="s">
        <v>184</v>
      </c>
    </row>
    <row r="1211" spans="1:7" x14ac:dyDescent="0.25">
      <c r="A1211" s="10" t="s">
        <v>2427</v>
      </c>
      <c r="B1211" s="10">
        <v>12017</v>
      </c>
      <c r="C1211" t="str">
        <f>Table13[[#This Row],[Manufacturer]]&amp;" "&amp;Table13[[#This Row],[Model]]</f>
        <v>Norbar 12017</v>
      </c>
      <c r="D1211" s="1">
        <v>4</v>
      </c>
      <c r="E1211" s="1">
        <v>4</v>
      </c>
      <c r="F1211" s="38">
        <v>550</v>
      </c>
      <c r="G1211" t="s">
        <v>184</v>
      </c>
    </row>
    <row r="1212" spans="1:7" x14ac:dyDescent="0.25">
      <c r="A1212" s="10" t="s">
        <v>2427</v>
      </c>
      <c r="B1212" s="10">
        <v>12020</v>
      </c>
      <c r="C1212" t="str">
        <f>Table13[[#This Row],[Manufacturer]]&amp;" "&amp;Table13[[#This Row],[Model]]</f>
        <v>Norbar 12020</v>
      </c>
      <c r="D1212" s="1">
        <v>4</v>
      </c>
      <c r="E1212" s="1">
        <v>4</v>
      </c>
      <c r="F1212" s="38">
        <v>700</v>
      </c>
      <c r="G1212" t="s">
        <v>184</v>
      </c>
    </row>
    <row r="1213" spans="1:7" x14ac:dyDescent="0.25">
      <c r="A1213" s="10" t="s">
        <v>2427</v>
      </c>
      <c r="B1213" s="10">
        <v>12023</v>
      </c>
      <c r="C1213" t="str">
        <f>Table13[[#This Row],[Manufacturer]]&amp;" "&amp;Table13[[#This Row],[Model]]</f>
        <v>Norbar 12023</v>
      </c>
      <c r="D1213" s="1">
        <v>4</v>
      </c>
      <c r="E1213" s="1">
        <v>4</v>
      </c>
      <c r="F1213" s="38">
        <v>1000</v>
      </c>
      <c r="G1213" t="s">
        <v>184</v>
      </c>
    </row>
    <row r="1214" spans="1:7" x14ac:dyDescent="0.25">
      <c r="A1214" s="10" t="s">
        <v>2427</v>
      </c>
      <c r="B1214" s="10">
        <v>12026</v>
      </c>
      <c r="C1214" t="str">
        <f>Table13[[#This Row],[Manufacturer]]&amp;" "&amp;Table13[[#This Row],[Model]]</f>
        <v>Norbar 12026</v>
      </c>
      <c r="D1214" s="1">
        <v>4</v>
      </c>
      <c r="E1214" s="1">
        <v>4</v>
      </c>
      <c r="F1214" s="38">
        <v>1000</v>
      </c>
      <c r="G1214" t="s">
        <v>184</v>
      </c>
    </row>
    <row r="1215" spans="1:7" x14ac:dyDescent="0.25">
      <c r="A1215" s="10" t="s">
        <v>2427</v>
      </c>
      <c r="B1215" s="10">
        <v>12100</v>
      </c>
      <c r="C1215" t="str">
        <f>Table13[[#This Row],[Manufacturer]]&amp;" "&amp;Table13[[#This Row],[Model]]</f>
        <v>Norbar 12100</v>
      </c>
      <c r="D1215" s="1">
        <v>4</v>
      </c>
      <c r="E1215" s="1">
        <v>4</v>
      </c>
      <c r="F1215" s="38">
        <v>2000</v>
      </c>
      <c r="G1215" t="s">
        <v>184</v>
      </c>
    </row>
    <row r="1216" spans="1:7" x14ac:dyDescent="0.25">
      <c r="A1216" s="10" t="s">
        <v>2427</v>
      </c>
      <c r="B1216" s="10">
        <v>12101</v>
      </c>
      <c r="C1216" t="str">
        <f>Table13[[#This Row],[Manufacturer]]&amp;" "&amp;Table13[[#This Row],[Model]]</f>
        <v>Norbar 12101</v>
      </c>
      <c r="D1216" s="1">
        <v>4</v>
      </c>
      <c r="E1216" s="1">
        <v>4</v>
      </c>
      <c r="F1216" s="38">
        <v>1000</v>
      </c>
      <c r="G1216" t="s">
        <v>184</v>
      </c>
    </row>
    <row r="1217" spans="1:7" x14ac:dyDescent="0.25">
      <c r="A1217" s="10" t="s">
        <v>2427</v>
      </c>
      <c r="B1217" s="10">
        <v>12101.01</v>
      </c>
      <c r="C1217" t="str">
        <f>Table13[[#This Row],[Manufacturer]]&amp;" "&amp;Table13[[#This Row],[Model]]</f>
        <v>Norbar 12101.01</v>
      </c>
      <c r="D1217" s="1">
        <v>4</v>
      </c>
      <c r="E1217" s="1">
        <v>4</v>
      </c>
      <c r="F1217" s="38">
        <v>1000</v>
      </c>
      <c r="G1217" t="s">
        <v>184</v>
      </c>
    </row>
    <row r="1218" spans="1:7" x14ac:dyDescent="0.25">
      <c r="A1218" s="10" t="s">
        <v>2427</v>
      </c>
      <c r="B1218" s="10">
        <v>12102</v>
      </c>
      <c r="C1218" t="str">
        <f>Table13[[#This Row],[Manufacturer]]&amp;" "&amp;Table13[[#This Row],[Model]]</f>
        <v>Norbar 12102</v>
      </c>
      <c r="D1218" s="1">
        <v>4</v>
      </c>
      <c r="E1218" s="1">
        <v>4</v>
      </c>
      <c r="F1218" s="38">
        <v>700</v>
      </c>
      <c r="G1218" t="s">
        <v>184</v>
      </c>
    </row>
    <row r="1219" spans="1:7" x14ac:dyDescent="0.25">
      <c r="A1219" s="10" t="s">
        <v>2427</v>
      </c>
      <c r="B1219" s="10">
        <v>12102.01</v>
      </c>
      <c r="C1219" t="str">
        <f>Table13[[#This Row],[Manufacturer]]&amp;" "&amp;Table13[[#This Row],[Model]]</f>
        <v>Norbar 12102.01</v>
      </c>
      <c r="D1219" s="1">
        <v>4</v>
      </c>
      <c r="E1219" s="1">
        <v>4</v>
      </c>
      <c r="F1219" s="38">
        <v>700</v>
      </c>
      <c r="G1219" t="s">
        <v>184</v>
      </c>
    </row>
    <row r="1220" spans="1:7" x14ac:dyDescent="0.25">
      <c r="A1220" s="10" t="s">
        <v>2427</v>
      </c>
      <c r="B1220" s="10">
        <v>12105</v>
      </c>
      <c r="C1220" t="str">
        <f>Table13[[#This Row],[Manufacturer]]&amp;" "&amp;Table13[[#This Row],[Model]]</f>
        <v>Norbar 12105</v>
      </c>
      <c r="D1220" s="1">
        <v>4</v>
      </c>
      <c r="E1220" s="1">
        <v>4</v>
      </c>
      <c r="F1220" s="38">
        <v>800</v>
      </c>
      <c r="G1220" t="s">
        <v>184</v>
      </c>
    </row>
    <row r="1221" spans="1:7" x14ac:dyDescent="0.25">
      <c r="A1221" s="10" t="s">
        <v>2427</v>
      </c>
      <c r="B1221" s="10">
        <v>12106</v>
      </c>
      <c r="C1221" t="str">
        <f>Table13[[#This Row],[Manufacturer]]&amp;" "&amp;Table13[[#This Row],[Model]]</f>
        <v>Norbar 12106</v>
      </c>
      <c r="D1221" s="1">
        <v>4</v>
      </c>
      <c r="E1221" s="1">
        <v>4</v>
      </c>
      <c r="F1221" s="38">
        <v>800</v>
      </c>
      <c r="G1221" t="s">
        <v>184</v>
      </c>
    </row>
    <row r="1222" spans="1:7" x14ac:dyDescent="0.25">
      <c r="A1222" s="10" t="s">
        <v>2427</v>
      </c>
      <c r="B1222" s="10">
        <v>12107</v>
      </c>
      <c r="C1222" t="str">
        <f>Table13[[#This Row],[Manufacturer]]&amp;" "&amp;Table13[[#This Row],[Model]]</f>
        <v>Norbar 12107</v>
      </c>
      <c r="D1222" s="1">
        <v>4</v>
      </c>
      <c r="E1222" s="1">
        <v>4</v>
      </c>
      <c r="F1222" s="38">
        <v>1000</v>
      </c>
      <c r="G1222" t="s">
        <v>184</v>
      </c>
    </row>
    <row r="1223" spans="1:7" x14ac:dyDescent="0.25">
      <c r="A1223" s="10" t="s">
        <v>2427</v>
      </c>
      <c r="B1223" s="10">
        <v>12108</v>
      </c>
      <c r="C1223" t="str">
        <f>Table13[[#This Row],[Manufacturer]]&amp;" "&amp;Table13[[#This Row],[Model]]</f>
        <v>Norbar 12108</v>
      </c>
      <c r="D1223" s="1">
        <v>4</v>
      </c>
      <c r="E1223" s="1">
        <v>4</v>
      </c>
      <c r="F1223" s="38">
        <v>1000</v>
      </c>
      <c r="G1223" t="s">
        <v>184</v>
      </c>
    </row>
    <row r="1224" spans="1:7" x14ac:dyDescent="0.25">
      <c r="A1224" s="10" t="s">
        <v>2427</v>
      </c>
      <c r="B1224" s="10">
        <v>13001</v>
      </c>
      <c r="C1224" t="str">
        <f>Table13[[#This Row],[Manufacturer]]&amp;" "&amp;Table13[[#This Row],[Model]]</f>
        <v>Norbar 13001</v>
      </c>
      <c r="D1224" s="1">
        <v>3</v>
      </c>
      <c r="E1224" s="1">
        <v>3</v>
      </c>
      <c r="F1224" s="38">
        <v>5</v>
      </c>
      <c r="G1224" t="s">
        <v>184</v>
      </c>
    </row>
    <row r="1225" spans="1:7" x14ac:dyDescent="0.25">
      <c r="A1225" s="10" t="s">
        <v>2427</v>
      </c>
      <c r="B1225" s="10">
        <v>13002</v>
      </c>
      <c r="C1225" t="str">
        <f>Table13[[#This Row],[Manufacturer]]&amp;" "&amp;Table13[[#This Row],[Model]]</f>
        <v>Norbar 13002</v>
      </c>
      <c r="D1225" s="1">
        <v>3</v>
      </c>
      <c r="E1225" s="1">
        <v>3</v>
      </c>
      <c r="F1225" s="38">
        <v>50</v>
      </c>
      <c r="G1225" t="s">
        <v>164</v>
      </c>
    </row>
    <row r="1226" spans="1:7" x14ac:dyDescent="0.25">
      <c r="A1226" s="10" t="s">
        <v>2427</v>
      </c>
      <c r="B1226" s="10">
        <v>13003</v>
      </c>
      <c r="C1226" t="str">
        <f>Table13[[#This Row],[Manufacturer]]&amp;" "&amp;Table13[[#This Row],[Model]]</f>
        <v>Norbar 13003</v>
      </c>
      <c r="D1226" s="1">
        <v>3</v>
      </c>
      <c r="E1226" s="1">
        <v>3</v>
      </c>
      <c r="F1226" s="38">
        <v>50</v>
      </c>
      <c r="G1226" t="s">
        <v>418</v>
      </c>
    </row>
    <row r="1227" spans="1:7" x14ac:dyDescent="0.25">
      <c r="A1227" s="10" t="s">
        <v>2427</v>
      </c>
      <c r="B1227" s="10">
        <v>13004</v>
      </c>
      <c r="C1227" t="str">
        <f>Table13[[#This Row],[Manufacturer]]&amp;" "&amp;Table13[[#This Row],[Model]]</f>
        <v>Norbar 13004</v>
      </c>
      <c r="D1227" s="1">
        <v>3</v>
      </c>
      <c r="E1227" s="1">
        <v>3</v>
      </c>
      <c r="F1227" s="38">
        <v>5</v>
      </c>
      <c r="G1227" t="s">
        <v>184</v>
      </c>
    </row>
    <row r="1228" spans="1:7" x14ac:dyDescent="0.25">
      <c r="A1228" s="10" t="s">
        <v>2427</v>
      </c>
      <c r="B1228" s="10">
        <v>13005</v>
      </c>
      <c r="C1228" t="str">
        <f>Table13[[#This Row],[Manufacturer]]&amp;" "&amp;Table13[[#This Row],[Model]]</f>
        <v>Norbar 13005</v>
      </c>
      <c r="D1228" s="1">
        <v>3</v>
      </c>
      <c r="E1228" s="1">
        <v>3</v>
      </c>
      <c r="F1228" s="38">
        <v>50</v>
      </c>
      <c r="G1228" t="s">
        <v>164</v>
      </c>
    </row>
    <row r="1229" spans="1:7" x14ac:dyDescent="0.25">
      <c r="A1229" s="10" t="s">
        <v>2427</v>
      </c>
      <c r="B1229" s="10">
        <v>13006</v>
      </c>
      <c r="C1229" t="str">
        <f>Table13[[#This Row],[Manufacturer]]&amp;" "&amp;Table13[[#This Row],[Model]]</f>
        <v>Norbar 13006</v>
      </c>
      <c r="D1229" s="1">
        <v>3</v>
      </c>
      <c r="E1229" s="1">
        <v>3</v>
      </c>
      <c r="F1229" s="38">
        <v>50</v>
      </c>
      <c r="G1229" t="s">
        <v>418</v>
      </c>
    </row>
    <row r="1230" spans="1:7" x14ac:dyDescent="0.25">
      <c r="A1230" s="10" t="s">
        <v>2427</v>
      </c>
      <c r="B1230" s="10">
        <v>13010</v>
      </c>
      <c r="C1230" t="str">
        <f>Table13[[#This Row],[Manufacturer]]&amp;" "&amp;Table13[[#This Row],[Model]]</f>
        <v>Norbar 13010</v>
      </c>
      <c r="D1230" s="1">
        <v>3</v>
      </c>
      <c r="E1230" s="1" t="s">
        <v>169</v>
      </c>
      <c r="F1230" s="38">
        <v>45</v>
      </c>
      <c r="G1230" t="s">
        <v>166</v>
      </c>
    </row>
    <row r="1231" spans="1:7" x14ac:dyDescent="0.25">
      <c r="A1231" s="10" t="s">
        <v>2427</v>
      </c>
      <c r="B1231" s="10">
        <v>130104</v>
      </c>
      <c r="C1231" t="str">
        <f>Table13[[#This Row],[Manufacturer]]&amp;" "&amp;Table13[[#This Row],[Model]]</f>
        <v>Norbar 130104</v>
      </c>
      <c r="D1231" s="1">
        <v>3</v>
      </c>
      <c r="E1231" s="1" t="s">
        <v>169</v>
      </c>
      <c r="F1231" s="38">
        <v>150</v>
      </c>
      <c r="G1231" t="s">
        <v>166</v>
      </c>
    </row>
    <row r="1232" spans="1:7" x14ac:dyDescent="0.25">
      <c r="A1232" s="10" t="s">
        <v>2427</v>
      </c>
      <c r="B1232" s="10">
        <v>13011</v>
      </c>
      <c r="C1232" t="str">
        <f>Table13[[#This Row],[Manufacturer]]&amp;" "&amp;Table13[[#This Row],[Model]]</f>
        <v>Norbar 13011</v>
      </c>
      <c r="D1232" s="1">
        <v>3</v>
      </c>
      <c r="E1232" s="1" t="s">
        <v>169</v>
      </c>
      <c r="F1232" s="38">
        <v>45</v>
      </c>
      <c r="G1232" t="s">
        <v>166</v>
      </c>
    </row>
    <row r="1233" spans="1:7" x14ac:dyDescent="0.25">
      <c r="A1233" s="10" t="s">
        <v>2427</v>
      </c>
      <c r="B1233" s="10">
        <v>13012</v>
      </c>
      <c r="C1233" t="str">
        <f>Table13[[#This Row],[Manufacturer]]&amp;" "&amp;Table13[[#This Row],[Model]]</f>
        <v>Norbar 13012</v>
      </c>
      <c r="D1233" s="1">
        <v>3</v>
      </c>
      <c r="E1233" s="1" t="s">
        <v>169</v>
      </c>
      <c r="F1233" s="38">
        <v>80</v>
      </c>
      <c r="G1233" t="s">
        <v>166</v>
      </c>
    </row>
    <row r="1234" spans="1:7" x14ac:dyDescent="0.25">
      <c r="A1234" s="10" t="s">
        <v>2427</v>
      </c>
      <c r="B1234" s="10">
        <v>13013</v>
      </c>
      <c r="C1234" t="str">
        <f>Table13[[#This Row],[Manufacturer]]&amp;" "&amp;Table13[[#This Row],[Model]]</f>
        <v>Norbar 13013</v>
      </c>
      <c r="D1234" s="1">
        <v>3</v>
      </c>
      <c r="E1234" s="1" t="s">
        <v>169</v>
      </c>
      <c r="F1234" s="38">
        <v>80</v>
      </c>
      <c r="G1234" t="s">
        <v>166</v>
      </c>
    </row>
    <row r="1235" spans="1:7" x14ac:dyDescent="0.25">
      <c r="A1235" s="10" t="s">
        <v>2427</v>
      </c>
      <c r="B1235" s="10">
        <v>13014</v>
      </c>
      <c r="C1235" t="str">
        <f>Table13[[#This Row],[Manufacturer]]&amp;" "&amp;Table13[[#This Row],[Model]]</f>
        <v>Norbar 13014</v>
      </c>
      <c r="D1235" s="1">
        <v>3</v>
      </c>
      <c r="E1235" s="1" t="s">
        <v>169</v>
      </c>
      <c r="F1235" s="38">
        <v>150</v>
      </c>
      <c r="G1235" t="s">
        <v>166</v>
      </c>
    </row>
    <row r="1236" spans="1:7" x14ac:dyDescent="0.25">
      <c r="A1236" s="10" t="s">
        <v>2427</v>
      </c>
      <c r="B1236" s="10">
        <v>13042</v>
      </c>
      <c r="C1236" t="str">
        <f>Table13[[#This Row],[Manufacturer]]&amp;" "&amp;Table13[[#This Row],[Model]]</f>
        <v>Norbar 13042</v>
      </c>
      <c r="D1236" s="1">
        <v>3</v>
      </c>
      <c r="E1236" s="1">
        <v>3</v>
      </c>
      <c r="F1236" s="38">
        <v>45</v>
      </c>
      <c r="G1236" t="s">
        <v>166</v>
      </c>
    </row>
    <row r="1237" spans="1:7" x14ac:dyDescent="0.25">
      <c r="A1237" s="10" t="s">
        <v>2427</v>
      </c>
      <c r="B1237" s="10">
        <v>13043</v>
      </c>
      <c r="C1237" t="str">
        <f>Table13[[#This Row],[Manufacturer]]&amp;" "&amp;Table13[[#This Row],[Model]]</f>
        <v>Norbar 13043</v>
      </c>
      <c r="D1237" s="1">
        <v>3</v>
      </c>
      <c r="E1237" s="1">
        <v>3</v>
      </c>
      <c r="F1237" s="38">
        <v>45</v>
      </c>
      <c r="G1237" t="s">
        <v>166</v>
      </c>
    </row>
    <row r="1238" spans="1:7" x14ac:dyDescent="0.25">
      <c r="A1238" s="10" t="s">
        <v>2427</v>
      </c>
      <c r="B1238" s="10">
        <v>13044</v>
      </c>
      <c r="C1238" t="str">
        <f>Table13[[#This Row],[Manufacturer]]&amp;" "&amp;Table13[[#This Row],[Model]]</f>
        <v>Norbar 13044</v>
      </c>
      <c r="D1238" s="1">
        <v>3</v>
      </c>
      <c r="E1238" s="1">
        <v>3</v>
      </c>
      <c r="F1238" s="38">
        <v>80</v>
      </c>
      <c r="G1238" t="s">
        <v>166</v>
      </c>
    </row>
    <row r="1239" spans="1:7" x14ac:dyDescent="0.25">
      <c r="A1239" s="10" t="s">
        <v>2427</v>
      </c>
      <c r="B1239" s="10">
        <v>13045</v>
      </c>
      <c r="C1239" t="str">
        <f>Table13[[#This Row],[Manufacturer]]&amp;" "&amp;Table13[[#This Row],[Model]]</f>
        <v>Norbar 13045</v>
      </c>
      <c r="D1239" s="1">
        <v>3</v>
      </c>
      <c r="E1239" s="1">
        <v>3</v>
      </c>
      <c r="F1239" s="38">
        <v>80</v>
      </c>
      <c r="G1239" t="s">
        <v>166</v>
      </c>
    </row>
    <row r="1240" spans="1:7" x14ac:dyDescent="0.25">
      <c r="A1240" s="10" t="s">
        <v>2427</v>
      </c>
      <c r="B1240" s="10">
        <v>13046</v>
      </c>
      <c r="C1240" t="str">
        <f>Table13[[#This Row],[Manufacturer]]&amp;" "&amp;Table13[[#This Row],[Model]]</f>
        <v>Norbar 13046</v>
      </c>
      <c r="D1240" s="1">
        <v>3</v>
      </c>
      <c r="E1240" s="1">
        <v>3</v>
      </c>
      <c r="F1240" s="38">
        <v>150</v>
      </c>
      <c r="G1240" t="s">
        <v>166</v>
      </c>
    </row>
    <row r="1241" spans="1:7" x14ac:dyDescent="0.25">
      <c r="A1241" s="10" t="s">
        <v>2427</v>
      </c>
      <c r="B1241" s="10">
        <v>13047</v>
      </c>
      <c r="C1241" t="str">
        <f>Table13[[#This Row],[Manufacturer]]&amp;" "&amp;Table13[[#This Row],[Model]]</f>
        <v>Norbar 13047</v>
      </c>
      <c r="D1241" s="1">
        <v>3</v>
      </c>
      <c r="E1241" s="1">
        <v>3</v>
      </c>
      <c r="F1241" s="38">
        <v>220</v>
      </c>
      <c r="G1241" t="s">
        <v>166</v>
      </c>
    </row>
    <row r="1242" spans="1:7" x14ac:dyDescent="0.25">
      <c r="A1242" s="10" t="s">
        <v>2427</v>
      </c>
      <c r="B1242" s="10">
        <v>13049</v>
      </c>
      <c r="C1242" t="str">
        <f>Table13[[#This Row],[Manufacturer]]&amp;" "&amp;Table13[[#This Row],[Model]]</f>
        <v>Norbar 13049</v>
      </c>
      <c r="D1242" s="1">
        <v>3</v>
      </c>
      <c r="E1242" s="1">
        <v>3</v>
      </c>
      <c r="F1242" s="38">
        <v>250</v>
      </c>
      <c r="G1242" t="s">
        <v>166</v>
      </c>
    </row>
    <row r="1243" spans="1:7" x14ac:dyDescent="0.25">
      <c r="A1243" s="10" t="s">
        <v>2427</v>
      </c>
      <c r="B1243" s="10">
        <v>13050</v>
      </c>
      <c r="C1243" t="str">
        <f>Table13[[#This Row],[Manufacturer]]&amp;" "&amp;Table13[[#This Row],[Model]]</f>
        <v>Norbar 13050</v>
      </c>
      <c r="D1243" s="1">
        <v>3</v>
      </c>
      <c r="E1243" s="1">
        <v>3</v>
      </c>
      <c r="F1243" s="38">
        <v>300</v>
      </c>
      <c r="G1243" t="s">
        <v>166</v>
      </c>
    </row>
    <row r="1244" spans="1:7" x14ac:dyDescent="0.25">
      <c r="A1244" s="10" t="s">
        <v>2427</v>
      </c>
      <c r="B1244" s="10">
        <v>13051</v>
      </c>
      <c r="C1244" t="str">
        <f>Table13[[#This Row],[Manufacturer]]&amp;" "&amp;Table13[[#This Row],[Model]]</f>
        <v>Norbar 13051</v>
      </c>
      <c r="D1244" s="1">
        <v>3</v>
      </c>
      <c r="E1244" s="1">
        <v>3</v>
      </c>
      <c r="F1244" s="38">
        <v>45</v>
      </c>
      <c r="G1244" t="s">
        <v>166</v>
      </c>
    </row>
    <row r="1245" spans="1:7" x14ac:dyDescent="0.25">
      <c r="A1245" s="10" t="s">
        <v>2427</v>
      </c>
      <c r="B1245" s="10">
        <v>13052</v>
      </c>
      <c r="C1245" t="str">
        <f>Table13[[#This Row],[Manufacturer]]&amp;" "&amp;Table13[[#This Row],[Model]]</f>
        <v>Norbar 13052</v>
      </c>
      <c r="D1245" s="1">
        <v>3</v>
      </c>
      <c r="E1245" s="1">
        <v>3</v>
      </c>
      <c r="F1245" s="38">
        <v>45</v>
      </c>
      <c r="G1245" t="s">
        <v>166</v>
      </c>
    </row>
    <row r="1246" spans="1:7" x14ac:dyDescent="0.25">
      <c r="A1246" s="10" t="s">
        <v>2427</v>
      </c>
      <c r="B1246" s="10">
        <v>13053</v>
      </c>
      <c r="C1246" t="str">
        <f>Table13[[#This Row],[Manufacturer]]&amp;" "&amp;Table13[[#This Row],[Model]]</f>
        <v>Norbar 13053</v>
      </c>
      <c r="D1246" s="1">
        <v>3</v>
      </c>
      <c r="E1246" s="1">
        <v>3</v>
      </c>
      <c r="F1246" s="38">
        <v>80</v>
      </c>
      <c r="G1246" t="s">
        <v>166</v>
      </c>
    </row>
    <row r="1247" spans="1:7" x14ac:dyDescent="0.25">
      <c r="A1247" s="10" t="s">
        <v>2427</v>
      </c>
      <c r="B1247" s="10">
        <v>13054</v>
      </c>
      <c r="C1247" t="str">
        <f>Table13[[#This Row],[Manufacturer]]&amp;" "&amp;Table13[[#This Row],[Model]]</f>
        <v>Norbar 13054</v>
      </c>
      <c r="D1247" s="1">
        <v>3</v>
      </c>
      <c r="E1247" s="1">
        <v>3</v>
      </c>
      <c r="F1247" s="38">
        <v>80</v>
      </c>
      <c r="G1247" t="s">
        <v>166</v>
      </c>
    </row>
    <row r="1248" spans="1:7" x14ac:dyDescent="0.25">
      <c r="A1248" s="10" t="s">
        <v>2427</v>
      </c>
      <c r="B1248" s="10">
        <v>13055</v>
      </c>
      <c r="C1248" t="str">
        <f>Table13[[#This Row],[Manufacturer]]&amp;" "&amp;Table13[[#This Row],[Model]]</f>
        <v>Norbar 13055</v>
      </c>
      <c r="D1248" s="1">
        <v>3</v>
      </c>
      <c r="E1248" s="1">
        <v>3</v>
      </c>
      <c r="F1248" s="38">
        <v>150</v>
      </c>
      <c r="G1248" t="s">
        <v>166</v>
      </c>
    </row>
    <row r="1249" spans="1:7" x14ac:dyDescent="0.25">
      <c r="A1249" s="10" t="s">
        <v>2427</v>
      </c>
      <c r="B1249" s="10">
        <v>13056</v>
      </c>
      <c r="C1249" t="str">
        <f>Table13[[#This Row],[Manufacturer]]&amp;" "&amp;Table13[[#This Row],[Model]]</f>
        <v>Norbar 13056</v>
      </c>
      <c r="D1249" s="1">
        <v>3</v>
      </c>
      <c r="E1249" s="1">
        <v>3</v>
      </c>
      <c r="F1249" s="38">
        <v>300</v>
      </c>
      <c r="G1249" t="s">
        <v>166</v>
      </c>
    </row>
    <row r="1250" spans="1:7" x14ac:dyDescent="0.25">
      <c r="A1250" s="10" t="s">
        <v>2427</v>
      </c>
      <c r="B1250" s="10">
        <v>13057</v>
      </c>
      <c r="C1250" t="str">
        <f>Table13[[#This Row],[Manufacturer]]&amp;" "&amp;Table13[[#This Row],[Model]]</f>
        <v>Norbar 13057</v>
      </c>
      <c r="D1250" s="1">
        <v>3</v>
      </c>
      <c r="E1250" s="1">
        <v>3</v>
      </c>
      <c r="F1250" s="38">
        <v>220</v>
      </c>
      <c r="G1250" t="s">
        <v>166</v>
      </c>
    </row>
    <row r="1251" spans="1:7" x14ac:dyDescent="0.25">
      <c r="A1251" s="10" t="s">
        <v>2427</v>
      </c>
      <c r="B1251" s="10">
        <v>13068</v>
      </c>
      <c r="C1251" t="str">
        <f>Table13[[#This Row],[Manufacturer]]&amp;" "&amp;Table13[[#This Row],[Model]]</f>
        <v>Norbar 13068</v>
      </c>
      <c r="D1251" s="1">
        <v>3</v>
      </c>
      <c r="E1251" s="1">
        <v>3</v>
      </c>
      <c r="F1251" s="38">
        <v>300</v>
      </c>
      <c r="G1251" t="s">
        <v>166</v>
      </c>
    </row>
    <row r="1252" spans="1:7" x14ac:dyDescent="0.25">
      <c r="A1252" s="10" t="s">
        <v>2427</v>
      </c>
      <c r="B1252" s="10">
        <v>13075</v>
      </c>
      <c r="C1252" t="str">
        <f>Table13[[#This Row],[Manufacturer]]&amp;" "&amp;Table13[[#This Row],[Model]]</f>
        <v>Norbar 13075</v>
      </c>
      <c r="D1252" s="1">
        <v>3</v>
      </c>
      <c r="E1252" s="1">
        <v>3</v>
      </c>
      <c r="F1252" s="38">
        <v>530</v>
      </c>
      <c r="G1252" t="s">
        <v>164</v>
      </c>
    </row>
    <row r="1253" spans="1:7" x14ac:dyDescent="0.25">
      <c r="A1253" s="10" t="s">
        <v>2427</v>
      </c>
      <c r="B1253" s="10">
        <v>13076</v>
      </c>
      <c r="C1253" t="str">
        <f>Table13[[#This Row],[Manufacturer]]&amp;" "&amp;Table13[[#This Row],[Model]]</f>
        <v>Norbar 13076</v>
      </c>
      <c r="D1253" s="1">
        <v>3</v>
      </c>
      <c r="E1253" s="1">
        <v>3</v>
      </c>
      <c r="F1253" s="38">
        <v>530</v>
      </c>
      <c r="G1253" t="s">
        <v>164</v>
      </c>
    </row>
    <row r="1254" spans="1:7" x14ac:dyDescent="0.25">
      <c r="A1254" s="10" t="s">
        <v>2427</v>
      </c>
      <c r="B1254" s="10">
        <v>13077</v>
      </c>
      <c r="C1254" t="str">
        <f>Table13[[#This Row],[Manufacturer]]&amp;" "&amp;Table13[[#This Row],[Model]]</f>
        <v>Norbar 13077</v>
      </c>
      <c r="D1254" s="1">
        <v>3</v>
      </c>
      <c r="E1254" s="1">
        <v>3</v>
      </c>
      <c r="F1254" s="38">
        <v>800</v>
      </c>
      <c r="G1254" t="s">
        <v>164</v>
      </c>
    </row>
    <row r="1255" spans="1:7" x14ac:dyDescent="0.25">
      <c r="A1255" s="10" t="s">
        <v>2427</v>
      </c>
      <c r="B1255" s="10">
        <v>13078</v>
      </c>
      <c r="C1255" t="str">
        <f>Table13[[#This Row],[Manufacturer]]&amp;" "&amp;Table13[[#This Row],[Model]]</f>
        <v>Norbar 13078</v>
      </c>
      <c r="D1255" s="1">
        <v>3</v>
      </c>
      <c r="E1255" s="1">
        <v>3</v>
      </c>
      <c r="F1255" s="38">
        <v>800</v>
      </c>
      <c r="G1255" t="s">
        <v>164</v>
      </c>
    </row>
    <row r="1256" spans="1:7" x14ac:dyDescent="0.25">
      <c r="A1256" s="10" t="s">
        <v>2427</v>
      </c>
      <c r="B1256" s="10">
        <v>13079</v>
      </c>
      <c r="C1256" t="str">
        <f>Table13[[#This Row],[Manufacturer]]&amp;" "&amp;Table13[[#This Row],[Model]]</f>
        <v>Norbar 13079</v>
      </c>
      <c r="D1256" s="1">
        <v>3</v>
      </c>
      <c r="E1256" s="1">
        <v>3</v>
      </c>
      <c r="F1256" s="38">
        <v>1800</v>
      </c>
      <c r="G1256" t="s">
        <v>164</v>
      </c>
    </row>
    <row r="1257" spans="1:7" x14ac:dyDescent="0.25">
      <c r="A1257" s="10" t="s">
        <v>2427</v>
      </c>
      <c r="B1257" s="10">
        <v>13080</v>
      </c>
      <c r="C1257" t="str">
        <f>Table13[[#This Row],[Manufacturer]]&amp;" "&amp;Table13[[#This Row],[Model]]</f>
        <v>Norbar 13080</v>
      </c>
      <c r="D1257" s="1">
        <v>3</v>
      </c>
      <c r="E1257" s="1">
        <v>3</v>
      </c>
      <c r="F1257" s="38">
        <v>2500</v>
      </c>
      <c r="G1257" t="s">
        <v>164</v>
      </c>
    </row>
    <row r="1258" spans="1:7" x14ac:dyDescent="0.25">
      <c r="A1258" s="10" t="s">
        <v>2427</v>
      </c>
      <c r="B1258" s="10">
        <v>13082</v>
      </c>
      <c r="C1258" t="str">
        <f>Table13[[#This Row],[Manufacturer]]&amp;" "&amp;Table13[[#This Row],[Model]]</f>
        <v>Norbar 13082</v>
      </c>
      <c r="D1258" s="1">
        <v>3</v>
      </c>
      <c r="E1258" s="1">
        <v>3</v>
      </c>
      <c r="F1258" s="38">
        <v>3000</v>
      </c>
      <c r="G1258" t="s">
        <v>164</v>
      </c>
    </row>
    <row r="1259" spans="1:7" x14ac:dyDescent="0.25">
      <c r="A1259" s="10" t="s">
        <v>2427</v>
      </c>
      <c r="B1259" s="10">
        <v>13083</v>
      </c>
      <c r="C1259" t="str">
        <f>Table13[[#This Row],[Manufacturer]]&amp;" "&amp;Table13[[#This Row],[Model]]</f>
        <v>Norbar 13083</v>
      </c>
      <c r="D1259" s="1">
        <v>3</v>
      </c>
      <c r="E1259" s="1">
        <v>3</v>
      </c>
      <c r="F1259" s="38">
        <v>3500</v>
      </c>
      <c r="G1259" t="s">
        <v>164</v>
      </c>
    </row>
    <row r="1260" spans="1:7" x14ac:dyDescent="0.25">
      <c r="A1260" s="10" t="s">
        <v>2427</v>
      </c>
      <c r="B1260" s="10">
        <v>13265</v>
      </c>
      <c r="C1260" t="str">
        <f>Table13[[#This Row],[Manufacturer]]&amp;" "&amp;Table13[[#This Row],[Model]]</f>
        <v>Norbar 13265</v>
      </c>
      <c r="D1260" s="1">
        <v>3</v>
      </c>
      <c r="E1260" s="1" t="s">
        <v>169</v>
      </c>
      <c r="F1260" s="38">
        <v>50</v>
      </c>
      <c r="G1260" t="s">
        <v>184</v>
      </c>
    </row>
    <row r="1261" spans="1:7" x14ac:dyDescent="0.25">
      <c r="A1261" s="10" t="s">
        <v>2427</v>
      </c>
      <c r="B1261" s="10">
        <v>13285</v>
      </c>
      <c r="C1261" t="str">
        <f>Table13[[#This Row],[Manufacturer]]&amp;" "&amp;Table13[[#This Row],[Model]]</f>
        <v>Norbar 13285</v>
      </c>
      <c r="D1261" s="1">
        <v>3</v>
      </c>
      <c r="E1261" s="1">
        <v>3</v>
      </c>
      <c r="F1261" s="38">
        <v>180</v>
      </c>
      <c r="G1261" t="s">
        <v>164</v>
      </c>
    </row>
    <row r="1262" spans="1:7" x14ac:dyDescent="0.25">
      <c r="A1262" s="10" t="s">
        <v>2427</v>
      </c>
      <c r="B1262" s="10">
        <v>13292</v>
      </c>
      <c r="C1262" t="str">
        <f>Table13[[#This Row],[Manufacturer]]&amp;" "&amp;Table13[[#This Row],[Model]]</f>
        <v>Norbar 13292</v>
      </c>
      <c r="D1262" s="1">
        <v>3</v>
      </c>
      <c r="E1262" s="1">
        <v>3</v>
      </c>
      <c r="F1262" s="38">
        <v>180</v>
      </c>
      <c r="G1262" t="s">
        <v>164</v>
      </c>
    </row>
    <row r="1263" spans="1:7" x14ac:dyDescent="0.25">
      <c r="A1263" s="10" t="s">
        <v>2427</v>
      </c>
      <c r="B1263" s="10">
        <v>13294</v>
      </c>
      <c r="C1263" t="str">
        <f>Table13[[#This Row],[Manufacturer]]&amp;" "&amp;Table13[[#This Row],[Model]]</f>
        <v>Norbar 13294</v>
      </c>
      <c r="D1263" s="1">
        <v>3</v>
      </c>
      <c r="E1263" s="1" t="s">
        <v>169</v>
      </c>
      <c r="F1263" s="38">
        <v>35</v>
      </c>
      <c r="G1263" t="s">
        <v>166</v>
      </c>
    </row>
    <row r="1264" spans="1:7" x14ac:dyDescent="0.25">
      <c r="A1264" s="10" t="s">
        <v>2427</v>
      </c>
      <c r="B1264" s="10">
        <v>13295</v>
      </c>
      <c r="C1264" t="str">
        <f>Table13[[#This Row],[Manufacturer]]&amp;" "&amp;Table13[[#This Row],[Model]]</f>
        <v>Norbar 13295</v>
      </c>
      <c r="D1264" s="1">
        <v>3</v>
      </c>
      <c r="E1264" s="1" t="s">
        <v>169</v>
      </c>
      <c r="F1264" s="38">
        <v>35</v>
      </c>
      <c r="G1264" t="s">
        <v>166</v>
      </c>
    </row>
    <row r="1265" spans="1:7" x14ac:dyDescent="0.25">
      <c r="A1265" s="10" t="s">
        <v>2427</v>
      </c>
      <c r="B1265" s="10">
        <v>13440</v>
      </c>
      <c r="C1265" t="str">
        <f>Table13[[#This Row],[Manufacturer]]&amp;" "&amp;Table13[[#This Row],[Model]]</f>
        <v>Norbar 13440</v>
      </c>
      <c r="D1265" s="1">
        <v>3</v>
      </c>
      <c r="E1265" s="1">
        <v>3</v>
      </c>
      <c r="F1265" s="38">
        <v>75</v>
      </c>
      <c r="G1265" t="s">
        <v>166</v>
      </c>
    </row>
    <row r="1266" spans="1:7" x14ac:dyDescent="0.25">
      <c r="A1266" s="10" t="s">
        <v>2427</v>
      </c>
      <c r="B1266" s="10">
        <v>13441</v>
      </c>
      <c r="C1266" t="str">
        <f>Table13[[#This Row],[Manufacturer]]&amp;" "&amp;Table13[[#This Row],[Model]]</f>
        <v>Norbar 13441</v>
      </c>
      <c r="D1266" s="1">
        <v>3</v>
      </c>
      <c r="E1266" s="1">
        <v>3</v>
      </c>
      <c r="F1266" s="38">
        <v>75</v>
      </c>
      <c r="G1266" t="s">
        <v>166</v>
      </c>
    </row>
    <row r="1267" spans="1:7" x14ac:dyDescent="0.25">
      <c r="A1267" s="10" t="s">
        <v>2427</v>
      </c>
      <c r="B1267" s="10">
        <v>13442</v>
      </c>
      <c r="C1267" t="str">
        <f>Table13[[#This Row],[Manufacturer]]&amp;" "&amp;Table13[[#This Row],[Model]]</f>
        <v>Norbar 13442</v>
      </c>
      <c r="D1267" s="1">
        <v>3</v>
      </c>
      <c r="E1267" s="1">
        <v>3</v>
      </c>
      <c r="F1267" s="38">
        <v>110</v>
      </c>
      <c r="G1267" t="s">
        <v>166</v>
      </c>
    </row>
    <row r="1268" spans="1:7" x14ac:dyDescent="0.25">
      <c r="A1268" s="10" t="s">
        <v>2427</v>
      </c>
      <c r="B1268" s="10">
        <v>13443</v>
      </c>
      <c r="C1268" t="str">
        <f>Table13[[#This Row],[Manufacturer]]&amp;" "&amp;Table13[[#This Row],[Model]]</f>
        <v>Norbar 13443</v>
      </c>
      <c r="D1268" s="1">
        <v>3</v>
      </c>
      <c r="E1268" s="1">
        <v>3</v>
      </c>
      <c r="F1268" s="38">
        <v>150</v>
      </c>
      <c r="G1268" t="s">
        <v>166</v>
      </c>
    </row>
    <row r="1269" spans="1:7" x14ac:dyDescent="0.25">
      <c r="A1269" s="10" t="s">
        <v>2427</v>
      </c>
      <c r="B1269" s="10">
        <v>13444</v>
      </c>
      <c r="C1269" t="str">
        <f>Table13[[#This Row],[Manufacturer]]&amp;" "&amp;Table13[[#This Row],[Model]]</f>
        <v>Norbar 13444</v>
      </c>
      <c r="D1269" s="1">
        <v>3</v>
      </c>
      <c r="E1269" s="1">
        <v>3</v>
      </c>
      <c r="F1269" s="38">
        <v>185</v>
      </c>
      <c r="G1269" t="s">
        <v>166</v>
      </c>
    </row>
    <row r="1270" spans="1:7" x14ac:dyDescent="0.25">
      <c r="A1270" s="10" t="s">
        <v>2427</v>
      </c>
      <c r="B1270" s="10">
        <v>13445</v>
      </c>
      <c r="C1270" t="str">
        <f>Table13[[#This Row],[Manufacturer]]&amp;" "&amp;Table13[[#This Row],[Model]]</f>
        <v>Norbar 13445</v>
      </c>
      <c r="D1270" s="1">
        <v>3</v>
      </c>
      <c r="E1270" s="1">
        <v>3</v>
      </c>
      <c r="F1270" s="38">
        <v>220</v>
      </c>
      <c r="G1270" t="s">
        <v>166</v>
      </c>
    </row>
    <row r="1271" spans="1:7" x14ac:dyDescent="0.25">
      <c r="A1271" s="10" t="s">
        <v>2427</v>
      </c>
      <c r="B1271" s="10">
        <v>13450</v>
      </c>
      <c r="C1271" t="str">
        <f>Table13[[#This Row],[Manufacturer]]&amp;" "&amp;Table13[[#This Row],[Model]]</f>
        <v>Norbar 13450</v>
      </c>
      <c r="D1271" s="1">
        <v>3</v>
      </c>
      <c r="E1271" s="1">
        <v>3</v>
      </c>
      <c r="F1271" s="38">
        <v>100</v>
      </c>
      <c r="G1271" t="s">
        <v>184</v>
      </c>
    </row>
    <row r="1272" spans="1:7" x14ac:dyDescent="0.25">
      <c r="A1272" s="10" t="s">
        <v>2427</v>
      </c>
      <c r="B1272" s="10">
        <v>13451</v>
      </c>
      <c r="C1272" t="str">
        <f>Table13[[#This Row],[Manufacturer]]&amp;" "&amp;Table13[[#This Row],[Model]]</f>
        <v>Norbar 13451</v>
      </c>
      <c r="D1272" s="1">
        <v>3</v>
      </c>
      <c r="E1272" s="1">
        <v>3</v>
      </c>
      <c r="F1272" s="38">
        <v>100</v>
      </c>
      <c r="G1272" t="s">
        <v>184</v>
      </c>
    </row>
    <row r="1273" spans="1:7" x14ac:dyDescent="0.25">
      <c r="A1273" s="10" t="s">
        <v>2427</v>
      </c>
      <c r="B1273" s="10">
        <v>13452</v>
      </c>
      <c r="C1273" t="str">
        <f>Table13[[#This Row],[Manufacturer]]&amp;" "&amp;Table13[[#This Row],[Model]]</f>
        <v>Norbar 13452</v>
      </c>
      <c r="D1273" s="1">
        <v>3</v>
      </c>
      <c r="E1273" s="1">
        <v>3</v>
      </c>
      <c r="F1273" s="38">
        <v>150</v>
      </c>
      <c r="G1273" t="s">
        <v>184</v>
      </c>
    </row>
    <row r="1274" spans="1:7" x14ac:dyDescent="0.25">
      <c r="A1274" s="10" t="s">
        <v>2427</v>
      </c>
      <c r="B1274" s="10">
        <v>13453</v>
      </c>
      <c r="C1274" t="str">
        <f>Table13[[#This Row],[Manufacturer]]&amp;" "&amp;Table13[[#This Row],[Model]]</f>
        <v>Norbar 13453</v>
      </c>
      <c r="D1274" s="1">
        <v>3</v>
      </c>
      <c r="E1274" s="1">
        <v>3</v>
      </c>
      <c r="F1274" s="38">
        <v>200</v>
      </c>
      <c r="G1274" t="s">
        <v>184</v>
      </c>
    </row>
    <row r="1275" spans="1:7" x14ac:dyDescent="0.25">
      <c r="A1275" s="10" t="s">
        <v>2427</v>
      </c>
      <c r="B1275" s="10">
        <v>13454</v>
      </c>
      <c r="C1275" t="str">
        <f>Table13[[#This Row],[Manufacturer]]&amp;" "&amp;Table13[[#This Row],[Model]]</f>
        <v>Norbar 13454</v>
      </c>
      <c r="D1275" s="1">
        <v>3</v>
      </c>
      <c r="E1275" s="1">
        <v>3</v>
      </c>
      <c r="F1275" s="38">
        <v>250</v>
      </c>
      <c r="G1275" t="s">
        <v>184</v>
      </c>
    </row>
    <row r="1276" spans="1:7" x14ac:dyDescent="0.25">
      <c r="A1276" s="10" t="s">
        <v>2427</v>
      </c>
      <c r="B1276" s="10">
        <v>13455</v>
      </c>
      <c r="C1276" t="str">
        <f>Table13[[#This Row],[Manufacturer]]&amp;" "&amp;Table13[[#This Row],[Model]]</f>
        <v>Norbar 13455</v>
      </c>
      <c r="D1276" s="1">
        <v>3</v>
      </c>
      <c r="E1276" s="1">
        <v>3</v>
      </c>
      <c r="F1276" s="38">
        <v>300</v>
      </c>
      <c r="G1276" t="s">
        <v>184</v>
      </c>
    </row>
    <row r="1277" spans="1:7" x14ac:dyDescent="0.25">
      <c r="A1277" s="10" t="s">
        <v>2427</v>
      </c>
      <c r="B1277" s="10">
        <v>13460</v>
      </c>
      <c r="C1277" t="str">
        <f>Table13[[#This Row],[Manufacturer]]&amp;" "&amp;Table13[[#This Row],[Model]]</f>
        <v>Norbar 13460</v>
      </c>
      <c r="D1277" s="1">
        <v>3</v>
      </c>
      <c r="E1277" s="1">
        <v>3</v>
      </c>
      <c r="F1277" s="38">
        <v>75</v>
      </c>
      <c r="G1277" t="s">
        <v>166</v>
      </c>
    </row>
    <row r="1278" spans="1:7" x14ac:dyDescent="0.25">
      <c r="A1278" s="10" t="s">
        <v>2427</v>
      </c>
      <c r="B1278" s="10">
        <v>13461</v>
      </c>
      <c r="C1278" t="str">
        <f>Table13[[#This Row],[Manufacturer]]&amp;" "&amp;Table13[[#This Row],[Model]]</f>
        <v>Norbar 13461</v>
      </c>
      <c r="D1278" s="1">
        <v>3</v>
      </c>
      <c r="E1278" s="1">
        <v>3</v>
      </c>
      <c r="F1278" s="38">
        <v>75</v>
      </c>
      <c r="G1278" t="s">
        <v>166</v>
      </c>
    </row>
    <row r="1279" spans="1:7" x14ac:dyDescent="0.25">
      <c r="A1279" s="10" t="s">
        <v>2427</v>
      </c>
      <c r="B1279" s="10">
        <v>13462</v>
      </c>
      <c r="C1279" t="str">
        <f>Table13[[#This Row],[Manufacturer]]&amp;" "&amp;Table13[[#This Row],[Model]]</f>
        <v>Norbar 13462</v>
      </c>
      <c r="D1279" s="1">
        <v>3</v>
      </c>
      <c r="E1279" s="1">
        <v>3</v>
      </c>
      <c r="F1279" s="38">
        <v>110</v>
      </c>
      <c r="G1279" t="s">
        <v>166</v>
      </c>
    </row>
    <row r="1280" spans="1:7" x14ac:dyDescent="0.25">
      <c r="A1280" s="10" t="s">
        <v>2427</v>
      </c>
      <c r="B1280" s="10">
        <v>13463</v>
      </c>
      <c r="C1280" t="str">
        <f>Table13[[#This Row],[Manufacturer]]&amp;" "&amp;Table13[[#This Row],[Model]]</f>
        <v>Norbar 13463</v>
      </c>
      <c r="D1280" s="1">
        <v>3</v>
      </c>
      <c r="E1280" s="1">
        <v>3</v>
      </c>
      <c r="F1280" s="38">
        <v>150</v>
      </c>
      <c r="G1280" t="s">
        <v>166</v>
      </c>
    </row>
    <row r="1281" spans="1:7" x14ac:dyDescent="0.25">
      <c r="A1281" s="10" t="s">
        <v>2427</v>
      </c>
      <c r="B1281" s="10">
        <v>13464</v>
      </c>
      <c r="C1281" t="str">
        <f>Table13[[#This Row],[Manufacturer]]&amp;" "&amp;Table13[[#This Row],[Model]]</f>
        <v>Norbar 13464</v>
      </c>
      <c r="D1281" s="1">
        <v>3</v>
      </c>
      <c r="E1281" s="1">
        <v>3</v>
      </c>
      <c r="F1281" s="38">
        <v>185</v>
      </c>
      <c r="G1281" t="s">
        <v>166</v>
      </c>
    </row>
    <row r="1282" spans="1:7" x14ac:dyDescent="0.25">
      <c r="A1282" s="10" t="s">
        <v>2427</v>
      </c>
      <c r="B1282" s="10">
        <v>13465</v>
      </c>
      <c r="C1282" t="str">
        <f>Table13[[#This Row],[Manufacturer]]&amp;" "&amp;Table13[[#This Row],[Model]]</f>
        <v>Norbar 13465</v>
      </c>
      <c r="D1282" s="1">
        <v>3</v>
      </c>
      <c r="E1282" s="1">
        <v>3</v>
      </c>
      <c r="F1282" s="38">
        <v>220</v>
      </c>
      <c r="G1282" t="s">
        <v>166</v>
      </c>
    </row>
    <row r="1283" spans="1:7" x14ac:dyDescent="0.25">
      <c r="A1283" s="10" t="s">
        <v>2427</v>
      </c>
      <c r="B1283" s="10">
        <v>13466</v>
      </c>
      <c r="C1283" t="str">
        <f>Table13[[#This Row],[Manufacturer]]&amp;" "&amp;Table13[[#This Row],[Model]]</f>
        <v>Norbar 13466</v>
      </c>
      <c r="D1283" s="1">
        <v>3</v>
      </c>
      <c r="E1283" s="1">
        <v>3</v>
      </c>
      <c r="F1283" s="38">
        <v>250</v>
      </c>
      <c r="G1283" t="s">
        <v>166</v>
      </c>
    </row>
    <row r="1284" spans="1:7" x14ac:dyDescent="0.25">
      <c r="A1284" s="10" t="s">
        <v>2427</v>
      </c>
      <c r="B1284" s="10">
        <v>13540</v>
      </c>
      <c r="C1284" t="str">
        <f>Table13[[#This Row],[Manufacturer]]&amp;" "&amp;Table13[[#This Row],[Model]]</f>
        <v>Norbar 13540</v>
      </c>
      <c r="D1284" s="1">
        <v>3</v>
      </c>
      <c r="E1284" s="1">
        <v>3</v>
      </c>
      <c r="F1284" s="38">
        <v>44</v>
      </c>
      <c r="G1284" t="s">
        <v>166</v>
      </c>
    </row>
    <row r="1285" spans="1:7" x14ac:dyDescent="0.25">
      <c r="A1285" s="10" t="s">
        <v>2427</v>
      </c>
      <c r="B1285" s="10">
        <v>13541</v>
      </c>
      <c r="C1285" t="str">
        <f>Table13[[#This Row],[Manufacturer]]&amp;" "&amp;Table13[[#This Row],[Model]]</f>
        <v>Norbar 13541</v>
      </c>
      <c r="D1285" s="1">
        <v>3</v>
      </c>
      <c r="E1285" s="1">
        <v>3</v>
      </c>
      <c r="F1285" s="38">
        <v>44</v>
      </c>
      <c r="G1285" t="s">
        <v>166</v>
      </c>
    </row>
    <row r="1286" spans="1:7" x14ac:dyDescent="0.25">
      <c r="A1286" s="10" t="s">
        <v>2427</v>
      </c>
      <c r="B1286" s="10">
        <v>13550</v>
      </c>
      <c r="C1286" t="str">
        <f>Table13[[#This Row],[Manufacturer]]&amp;" "&amp;Table13[[#This Row],[Model]]</f>
        <v>Norbar 13550</v>
      </c>
      <c r="D1286" s="1">
        <v>3</v>
      </c>
      <c r="E1286" s="1">
        <v>3</v>
      </c>
      <c r="F1286" s="38">
        <v>180</v>
      </c>
      <c r="G1286" t="s">
        <v>164</v>
      </c>
    </row>
    <row r="1287" spans="1:7" x14ac:dyDescent="0.25">
      <c r="A1287" s="10" t="s">
        <v>2427</v>
      </c>
      <c r="B1287" s="10">
        <v>13552</v>
      </c>
      <c r="C1287" t="str">
        <f>Table13[[#This Row],[Manufacturer]]&amp;" "&amp;Table13[[#This Row],[Model]]</f>
        <v>Norbar 13552</v>
      </c>
      <c r="D1287" s="1">
        <v>3</v>
      </c>
      <c r="E1287" s="1">
        <v>3</v>
      </c>
      <c r="F1287" s="38">
        <v>75</v>
      </c>
      <c r="G1287" t="s">
        <v>166</v>
      </c>
    </row>
    <row r="1288" spans="1:7" x14ac:dyDescent="0.25">
      <c r="A1288" s="10" t="s">
        <v>2427</v>
      </c>
      <c r="B1288" s="10">
        <v>13553</v>
      </c>
      <c r="C1288" t="str">
        <f>Table13[[#This Row],[Manufacturer]]&amp;" "&amp;Table13[[#This Row],[Model]]</f>
        <v>Norbar 13553</v>
      </c>
      <c r="D1288" s="1">
        <v>3</v>
      </c>
      <c r="E1288" s="1">
        <v>3</v>
      </c>
      <c r="F1288" s="38">
        <v>75</v>
      </c>
      <c r="G1288" t="s">
        <v>166</v>
      </c>
    </row>
    <row r="1289" spans="1:7" x14ac:dyDescent="0.25">
      <c r="A1289" s="10" t="s">
        <v>2427</v>
      </c>
      <c r="B1289" s="10">
        <v>13554</v>
      </c>
      <c r="C1289" t="str">
        <f>Table13[[#This Row],[Manufacturer]]&amp;" "&amp;Table13[[#This Row],[Model]]</f>
        <v>Norbar 13554</v>
      </c>
      <c r="D1289" s="1">
        <v>3</v>
      </c>
      <c r="E1289" s="1">
        <v>3</v>
      </c>
      <c r="F1289" s="38">
        <v>110</v>
      </c>
      <c r="G1289" t="s">
        <v>166</v>
      </c>
    </row>
    <row r="1290" spans="1:7" x14ac:dyDescent="0.25">
      <c r="A1290" s="10" t="s">
        <v>2427</v>
      </c>
      <c r="B1290" s="10">
        <v>13555</v>
      </c>
      <c r="C1290" t="str">
        <f>Table13[[#This Row],[Manufacturer]]&amp;" "&amp;Table13[[#This Row],[Model]]</f>
        <v>Norbar 13555</v>
      </c>
      <c r="D1290" s="1">
        <v>3</v>
      </c>
      <c r="E1290" s="1">
        <v>3</v>
      </c>
      <c r="F1290" s="38">
        <v>150</v>
      </c>
      <c r="G1290" t="s">
        <v>166</v>
      </c>
    </row>
    <row r="1291" spans="1:7" x14ac:dyDescent="0.25">
      <c r="A1291" s="10" t="s">
        <v>2427</v>
      </c>
      <c r="B1291" s="10">
        <v>13556</v>
      </c>
      <c r="C1291" t="str">
        <f>Table13[[#This Row],[Manufacturer]]&amp;" "&amp;Table13[[#This Row],[Model]]</f>
        <v>Norbar 13556</v>
      </c>
      <c r="D1291" s="1">
        <v>3</v>
      </c>
      <c r="E1291" s="1">
        <v>3</v>
      </c>
      <c r="F1291" s="38">
        <v>185</v>
      </c>
      <c r="G1291" t="s">
        <v>166</v>
      </c>
    </row>
    <row r="1292" spans="1:7" x14ac:dyDescent="0.25">
      <c r="A1292" s="10" t="s">
        <v>2427</v>
      </c>
      <c r="B1292" s="10">
        <v>13557</v>
      </c>
      <c r="C1292" t="str">
        <f>Table13[[#This Row],[Manufacturer]]&amp;" "&amp;Table13[[#This Row],[Model]]</f>
        <v>Norbar 13557</v>
      </c>
      <c r="D1292" s="1">
        <v>3</v>
      </c>
      <c r="E1292" s="1">
        <v>3</v>
      </c>
      <c r="F1292" s="38">
        <v>220</v>
      </c>
      <c r="G1292" t="s">
        <v>166</v>
      </c>
    </row>
    <row r="1293" spans="1:7" x14ac:dyDescent="0.25">
      <c r="A1293" s="10" t="s">
        <v>2427</v>
      </c>
      <c r="B1293" s="10">
        <v>13559</v>
      </c>
      <c r="C1293" t="str">
        <f>Table13[[#This Row],[Manufacturer]]&amp;" "&amp;Table13[[#This Row],[Model]]</f>
        <v>Norbar 13559</v>
      </c>
      <c r="D1293" s="1">
        <v>3</v>
      </c>
      <c r="E1293" s="1">
        <v>3</v>
      </c>
      <c r="F1293" s="38">
        <v>20</v>
      </c>
      <c r="G1293" t="s">
        <v>184</v>
      </c>
    </row>
    <row r="1294" spans="1:7" x14ac:dyDescent="0.25">
      <c r="A1294" s="10" t="s">
        <v>2427</v>
      </c>
      <c r="B1294" s="10">
        <v>13565</v>
      </c>
      <c r="C1294" t="str">
        <f>Table13[[#This Row],[Manufacturer]]&amp;" "&amp;Table13[[#This Row],[Model]]</f>
        <v>Norbar 13565</v>
      </c>
      <c r="D1294" s="1">
        <v>3</v>
      </c>
      <c r="E1294" s="1">
        <v>3</v>
      </c>
      <c r="F1294" s="38">
        <v>100</v>
      </c>
      <c r="G1294" t="s">
        <v>184</v>
      </c>
    </row>
    <row r="1295" spans="1:7" x14ac:dyDescent="0.25">
      <c r="A1295" s="10" t="s">
        <v>2427</v>
      </c>
      <c r="B1295" s="10">
        <v>13566</v>
      </c>
      <c r="C1295" t="str">
        <f>Table13[[#This Row],[Manufacturer]]&amp;" "&amp;Table13[[#This Row],[Model]]</f>
        <v>Norbar 13566</v>
      </c>
      <c r="D1295" s="1">
        <v>3</v>
      </c>
      <c r="E1295" s="1">
        <v>3</v>
      </c>
      <c r="F1295" s="38">
        <v>100</v>
      </c>
      <c r="G1295" t="s">
        <v>184</v>
      </c>
    </row>
    <row r="1296" spans="1:7" x14ac:dyDescent="0.25">
      <c r="A1296" s="10" t="s">
        <v>2427</v>
      </c>
      <c r="B1296" s="10">
        <v>13567</v>
      </c>
      <c r="C1296" t="str">
        <f>Table13[[#This Row],[Manufacturer]]&amp;" "&amp;Table13[[#This Row],[Model]]</f>
        <v>Norbar 13567</v>
      </c>
      <c r="D1296" s="1">
        <v>3</v>
      </c>
      <c r="E1296" s="1">
        <v>3</v>
      </c>
      <c r="F1296" s="38">
        <v>150</v>
      </c>
      <c r="G1296" t="s">
        <v>184</v>
      </c>
    </row>
    <row r="1297" spans="1:7" x14ac:dyDescent="0.25">
      <c r="A1297" s="10" t="s">
        <v>2427</v>
      </c>
      <c r="B1297" s="10">
        <v>13568</v>
      </c>
      <c r="C1297" t="str">
        <f>Table13[[#This Row],[Manufacturer]]&amp;" "&amp;Table13[[#This Row],[Model]]</f>
        <v>Norbar 13568</v>
      </c>
      <c r="D1297" s="1">
        <v>3</v>
      </c>
      <c r="E1297" s="1">
        <v>3</v>
      </c>
      <c r="F1297" s="38">
        <v>200</v>
      </c>
      <c r="G1297" t="s">
        <v>184</v>
      </c>
    </row>
    <row r="1298" spans="1:7" x14ac:dyDescent="0.25">
      <c r="A1298" s="10" t="s">
        <v>2427</v>
      </c>
      <c r="B1298" s="10">
        <v>13569</v>
      </c>
      <c r="C1298" t="str">
        <f>Table13[[#This Row],[Manufacturer]]&amp;" "&amp;Table13[[#This Row],[Model]]</f>
        <v>Norbar 13569</v>
      </c>
      <c r="D1298" s="1">
        <v>3</v>
      </c>
      <c r="E1298" s="1">
        <v>3</v>
      </c>
      <c r="F1298" s="38">
        <v>250</v>
      </c>
      <c r="G1298" t="s">
        <v>184</v>
      </c>
    </row>
    <row r="1299" spans="1:7" x14ac:dyDescent="0.25">
      <c r="A1299" s="10" t="s">
        <v>2427</v>
      </c>
      <c r="B1299" s="10">
        <v>13570</v>
      </c>
      <c r="C1299" t="str">
        <f>Table13[[#This Row],[Manufacturer]]&amp;" "&amp;Table13[[#This Row],[Model]]</f>
        <v>Norbar 13570</v>
      </c>
      <c r="D1299" s="1">
        <v>3</v>
      </c>
      <c r="E1299" s="1">
        <v>3</v>
      </c>
      <c r="F1299" s="38">
        <v>300</v>
      </c>
      <c r="G1299" t="s">
        <v>184</v>
      </c>
    </row>
    <row r="1300" spans="1:7" x14ac:dyDescent="0.25">
      <c r="A1300" s="10" t="s">
        <v>2427</v>
      </c>
      <c r="B1300" s="10">
        <v>13585</v>
      </c>
      <c r="C1300" t="str">
        <f>Table13[[#This Row],[Manufacturer]]&amp;" "&amp;Table13[[#This Row],[Model]]</f>
        <v>Norbar 13585</v>
      </c>
      <c r="D1300" s="1">
        <v>3</v>
      </c>
      <c r="E1300" s="1">
        <v>3</v>
      </c>
      <c r="F1300" s="38">
        <v>180</v>
      </c>
      <c r="G1300" t="s">
        <v>164</v>
      </c>
    </row>
    <row r="1301" spans="1:7" x14ac:dyDescent="0.25">
      <c r="A1301" s="10" t="s">
        <v>2427</v>
      </c>
      <c r="B1301" s="10">
        <v>13600</v>
      </c>
      <c r="C1301" t="str">
        <f>Table13[[#This Row],[Manufacturer]]&amp;" "&amp;Table13[[#This Row],[Model]]</f>
        <v>Norbar 13600</v>
      </c>
      <c r="D1301" s="1">
        <v>3</v>
      </c>
      <c r="E1301" s="1">
        <v>3</v>
      </c>
      <c r="F1301" s="38">
        <v>180</v>
      </c>
      <c r="G1301" t="s">
        <v>164</v>
      </c>
    </row>
    <row r="1302" spans="1:7" x14ac:dyDescent="0.25">
      <c r="A1302" s="10" t="s">
        <v>2427</v>
      </c>
      <c r="B1302" s="10">
        <v>13603</v>
      </c>
      <c r="C1302" t="str">
        <f>Table13[[#This Row],[Manufacturer]]&amp;" "&amp;Table13[[#This Row],[Model]]</f>
        <v>Norbar 13603</v>
      </c>
      <c r="D1302" s="1">
        <v>3</v>
      </c>
      <c r="E1302" s="1">
        <v>3</v>
      </c>
      <c r="F1302" s="38">
        <v>75</v>
      </c>
      <c r="G1302" t="s">
        <v>166</v>
      </c>
    </row>
    <row r="1303" spans="1:7" x14ac:dyDescent="0.25">
      <c r="A1303" s="10" t="s">
        <v>2427</v>
      </c>
      <c r="B1303" s="10">
        <v>13604</v>
      </c>
      <c r="C1303" t="str">
        <f>Table13[[#This Row],[Manufacturer]]&amp;" "&amp;Table13[[#This Row],[Model]]</f>
        <v>Norbar 13604</v>
      </c>
      <c r="D1303" s="1">
        <v>3</v>
      </c>
      <c r="E1303" s="1">
        <v>3</v>
      </c>
      <c r="F1303" s="38">
        <v>110</v>
      </c>
      <c r="G1303" t="s">
        <v>166</v>
      </c>
    </row>
    <row r="1304" spans="1:7" x14ac:dyDescent="0.25">
      <c r="A1304" s="10" t="s">
        <v>2427</v>
      </c>
      <c r="B1304" s="10">
        <v>13605</v>
      </c>
      <c r="C1304" t="str">
        <f>Table13[[#This Row],[Manufacturer]]&amp;" "&amp;Table13[[#This Row],[Model]]</f>
        <v>Norbar 13605</v>
      </c>
      <c r="D1304" s="1">
        <v>3</v>
      </c>
      <c r="E1304" s="1">
        <v>3</v>
      </c>
      <c r="F1304" s="38">
        <v>150</v>
      </c>
      <c r="G1304" t="s">
        <v>166</v>
      </c>
    </row>
    <row r="1305" spans="1:7" x14ac:dyDescent="0.25">
      <c r="A1305" s="10" t="s">
        <v>2427</v>
      </c>
      <c r="B1305" s="10">
        <v>13606</v>
      </c>
      <c r="C1305" t="str">
        <f>Table13[[#This Row],[Manufacturer]]&amp;" "&amp;Table13[[#This Row],[Model]]</f>
        <v>Norbar 13606</v>
      </c>
      <c r="D1305" s="1">
        <v>3</v>
      </c>
      <c r="E1305" s="1">
        <v>3</v>
      </c>
      <c r="F1305" s="38">
        <v>150</v>
      </c>
      <c r="G1305" t="s">
        <v>166</v>
      </c>
    </row>
    <row r="1306" spans="1:7" x14ac:dyDescent="0.25">
      <c r="A1306" s="10" t="s">
        <v>2427</v>
      </c>
      <c r="B1306" s="10">
        <v>13607</v>
      </c>
      <c r="C1306" t="str">
        <f>Table13[[#This Row],[Manufacturer]]&amp;" "&amp;Table13[[#This Row],[Model]]</f>
        <v>Norbar 13607</v>
      </c>
      <c r="D1306" s="1">
        <v>3</v>
      </c>
      <c r="E1306" s="1">
        <v>3</v>
      </c>
      <c r="F1306" s="38">
        <v>185</v>
      </c>
      <c r="G1306" t="s">
        <v>166</v>
      </c>
    </row>
    <row r="1307" spans="1:7" x14ac:dyDescent="0.25">
      <c r="A1307" s="10" t="s">
        <v>2427</v>
      </c>
      <c r="B1307" s="10">
        <v>13608</v>
      </c>
      <c r="C1307" t="str">
        <f>Table13[[#This Row],[Manufacturer]]&amp;" "&amp;Table13[[#This Row],[Model]]</f>
        <v>Norbar 13608</v>
      </c>
      <c r="D1307" s="1">
        <v>3</v>
      </c>
      <c r="E1307" s="1">
        <v>3</v>
      </c>
      <c r="F1307" s="38">
        <v>220</v>
      </c>
      <c r="G1307" t="s">
        <v>166</v>
      </c>
    </row>
    <row r="1308" spans="1:7" x14ac:dyDescent="0.25">
      <c r="A1308" s="10" t="s">
        <v>2427</v>
      </c>
      <c r="B1308" s="10">
        <v>13640</v>
      </c>
      <c r="C1308" t="str">
        <f>Table13[[#This Row],[Manufacturer]]&amp;" "&amp;Table13[[#This Row],[Model]]</f>
        <v>Norbar 13640</v>
      </c>
      <c r="D1308" s="1">
        <v>3</v>
      </c>
      <c r="E1308" s="1">
        <v>3</v>
      </c>
      <c r="F1308" s="38">
        <v>180</v>
      </c>
      <c r="G1308" t="s">
        <v>164</v>
      </c>
    </row>
    <row r="1309" spans="1:7" x14ac:dyDescent="0.25">
      <c r="A1309" s="10" t="s">
        <v>2427</v>
      </c>
      <c r="B1309" s="10">
        <v>13648</v>
      </c>
      <c r="C1309" t="str">
        <f>Table13[[#This Row],[Manufacturer]]&amp;" "&amp;Table13[[#This Row],[Model]]</f>
        <v>Norbar 13648</v>
      </c>
      <c r="D1309" s="1">
        <v>3</v>
      </c>
      <c r="E1309" s="1" t="s">
        <v>169</v>
      </c>
      <c r="F1309" s="38">
        <v>20</v>
      </c>
      <c r="G1309" t="s">
        <v>184</v>
      </c>
    </row>
    <row r="1310" spans="1:7" x14ac:dyDescent="0.25">
      <c r="A1310" s="10" t="s">
        <v>2427</v>
      </c>
      <c r="B1310" s="10">
        <v>13649</v>
      </c>
      <c r="C1310" t="str">
        <f>Table13[[#This Row],[Manufacturer]]&amp;" "&amp;Table13[[#This Row],[Model]]</f>
        <v>Norbar 13649</v>
      </c>
      <c r="D1310" s="1">
        <v>3</v>
      </c>
      <c r="E1310" s="1">
        <v>3</v>
      </c>
      <c r="F1310" s="38">
        <v>20</v>
      </c>
      <c r="G1310" t="s">
        <v>184</v>
      </c>
    </row>
    <row r="1311" spans="1:7" x14ac:dyDescent="0.25">
      <c r="A1311" s="10" t="s">
        <v>2427</v>
      </c>
      <c r="B1311" s="10">
        <v>13652</v>
      </c>
      <c r="C1311" t="str">
        <f>Table13[[#This Row],[Manufacturer]]&amp;" "&amp;Table13[[#This Row],[Model]]</f>
        <v>Norbar 13652</v>
      </c>
      <c r="D1311" s="1">
        <v>3</v>
      </c>
      <c r="E1311" s="1">
        <v>3</v>
      </c>
      <c r="F1311" s="38">
        <v>180</v>
      </c>
      <c r="G1311" t="s">
        <v>164</v>
      </c>
    </row>
    <row r="1312" spans="1:7" x14ac:dyDescent="0.25">
      <c r="A1312" s="10" t="s">
        <v>2427</v>
      </c>
      <c r="B1312" s="10">
        <v>13653</v>
      </c>
      <c r="C1312" t="str">
        <f>Table13[[#This Row],[Manufacturer]]&amp;" "&amp;Table13[[#This Row],[Model]]</f>
        <v>Norbar 13653</v>
      </c>
      <c r="D1312" s="1">
        <v>3</v>
      </c>
      <c r="E1312" s="1">
        <v>3</v>
      </c>
      <c r="F1312" s="38">
        <v>180</v>
      </c>
      <c r="G1312" t="s">
        <v>164</v>
      </c>
    </row>
    <row r="1313" spans="1:7" x14ac:dyDescent="0.25">
      <c r="A1313" s="10" t="s">
        <v>2427</v>
      </c>
      <c r="B1313" s="10">
        <v>13658</v>
      </c>
      <c r="C1313" t="str">
        <f>Table13[[#This Row],[Manufacturer]]&amp;" "&amp;Table13[[#This Row],[Model]]</f>
        <v>Norbar 13658</v>
      </c>
      <c r="D1313" s="1">
        <v>3</v>
      </c>
      <c r="E1313" s="1">
        <v>3</v>
      </c>
      <c r="F1313" s="38">
        <v>35</v>
      </c>
      <c r="G1313" t="s">
        <v>166</v>
      </c>
    </row>
    <row r="1314" spans="1:7" x14ac:dyDescent="0.25">
      <c r="A1314" s="10" t="s">
        <v>2427</v>
      </c>
      <c r="B1314" s="10">
        <v>13659</v>
      </c>
      <c r="C1314" t="str">
        <f>Table13[[#This Row],[Manufacturer]]&amp;" "&amp;Table13[[#This Row],[Model]]</f>
        <v>Norbar 13659</v>
      </c>
      <c r="D1314" s="1">
        <v>3</v>
      </c>
      <c r="E1314" s="1">
        <v>3</v>
      </c>
      <c r="F1314" s="38">
        <v>35</v>
      </c>
      <c r="G1314" t="s">
        <v>166</v>
      </c>
    </row>
    <row r="1315" spans="1:7" x14ac:dyDescent="0.25">
      <c r="A1315" s="10" t="s">
        <v>2427</v>
      </c>
      <c r="B1315" s="10">
        <v>13662</v>
      </c>
      <c r="C1315" t="str">
        <f>Table13[[#This Row],[Manufacturer]]&amp;" "&amp;Table13[[#This Row],[Model]]</f>
        <v>Norbar 13662</v>
      </c>
      <c r="D1315" s="1">
        <v>3</v>
      </c>
      <c r="E1315" s="1">
        <v>3</v>
      </c>
      <c r="F1315" s="38">
        <v>50</v>
      </c>
      <c r="G1315" t="s">
        <v>184</v>
      </c>
    </row>
    <row r="1316" spans="1:7" x14ac:dyDescent="0.25">
      <c r="A1316" s="10" t="s">
        <v>2427</v>
      </c>
      <c r="B1316" s="10">
        <v>13663</v>
      </c>
      <c r="C1316" t="str">
        <f>Table13[[#This Row],[Manufacturer]]&amp;" "&amp;Table13[[#This Row],[Model]]</f>
        <v>Norbar 13663</v>
      </c>
      <c r="D1316" s="1">
        <v>3</v>
      </c>
      <c r="E1316" s="1" t="s">
        <v>169</v>
      </c>
      <c r="F1316" s="38">
        <v>50</v>
      </c>
      <c r="G1316" t="s">
        <v>184</v>
      </c>
    </row>
    <row r="1317" spans="1:7" x14ac:dyDescent="0.25">
      <c r="A1317" s="10" t="s">
        <v>2427</v>
      </c>
      <c r="B1317" s="10">
        <v>13664</v>
      </c>
      <c r="C1317" t="str">
        <f>Table13[[#This Row],[Manufacturer]]&amp;" "&amp;Table13[[#This Row],[Model]]</f>
        <v>Norbar 13664</v>
      </c>
      <c r="D1317" s="1">
        <v>3</v>
      </c>
      <c r="E1317" s="1">
        <v>3</v>
      </c>
      <c r="F1317" s="38">
        <v>35</v>
      </c>
      <c r="G1317" t="s">
        <v>166</v>
      </c>
    </row>
    <row r="1318" spans="1:7" x14ac:dyDescent="0.25">
      <c r="A1318" s="10" t="s">
        <v>2427</v>
      </c>
      <c r="B1318" s="10">
        <v>13665</v>
      </c>
      <c r="C1318" t="str">
        <f>Table13[[#This Row],[Manufacturer]]&amp;" "&amp;Table13[[#This Row],[Model]]</f>
        <v>Norbar 13665</v>
      </c>
      <c r="D1318" s="1">
        <v>3</v>
      </c>
      <c r="E1318" s="1">
        <v>3</v>
      </c>
      <c r="F1318" s="38">
        <v>35</v>
      </c>
      <c r="G1318" t="s">
        <v>166</v>
      </c>
    </row>
    <row r="1319" spans="1:7" x14ac:dyDescent="0.25">
      <c r="A1319" s="10" t="s">
        <v>2427</v>
      </c>
      <c r="B1319" s="10">
        <v>13666</v>
      </c>
      <c r="C1319" t="str">
        <f>Table13[[#This Row],[Manufacturer]]&amp;" "&amp;Table13[[#This Row],[Model]]</f>
        <v>Norbar 13666</v>
      </c>
      <c r="D1319" s="1">
        <v>3</v>
      </c>
      <c r="E1319" s="1">
        <v>3</v>
      </c>
      <c r="F1319" s="38">
        <v>35</v>
      </c>
      <c r="G1319" t="s">
        <v>166</v>
      </c>
    </row>
    <row r="1320" spans="1:7" x14ac:dyDescent="0.25">
      <c r="A1320" s="10" t="s">
        <v>2427</v>
      </c>
      <c r="B1320" s="10">
        <v>13667</v>
      </c>
      <c r="C1320" t="str">
        <f>Table13[[#This Row],[Manufacturer]]&amp;" "&amp;Table13[[#This Row],[Model]]</f>
        <v>Norbar 13667</v>
      </c>
      <c r="D1320" s="1">
        <v>3</v>
      </c>
      <c r="E1320" s="1">
        <v>3</v>
      </c>
      <c r="F1320" s="38">
        <v>45</v>
      </c>
      <c r="G1320" t="s">
        <v>166</v>
      </c>
    </row>
    <row r="1321" spans="1:7" x14ac:dyDescent="0.25">
      <c r="A1321" s="10" t="s">
        <v>2427</v>
      </c>
      <c r="B1321" s="10">
        <v>13670</v>
      </c>
      <c r="C1321" t="str">
        <f>Table13[[#This Row],[Manufacturer]]&amp;" "&amp;Table13[[#This Row],[Model]]</f>
        <v>Norbar 13670</v>
      </c>
      <c r="D1321" s="1">
        <v>3</v>
      </c>
      <c r="E1321" s="1">
        <v>3</v>
      </c>
      <c r="F1321" s="38">
        <v>20</v>
      </c>
      <c r="G1321" t="s">
        <v>184</v>
      </c>
    </row>
    <row r="1322" spans="1:7" x14ac:dyDescent="0.25">
      <c r="A1322" s="10" t="s">
        <v>2427</v>
      </c>
      <c r="B1322" s="10">
        <v>13671</v>
      </c>
      <c r="C1322" t="str">
        <f>Table13[[#This Row],[Manufacturer]]&amp;" "&amp;Table13[[#This Row],[Model]]</f>
        <v>Norbar 13671</v>
      </c>
      <c r="D1322" s="1">
        <v>3</v>
      </c>
      <c r="E1322" s="1">
        <v>3</v>
      </c>
      <c r="F1322" s="38">
        <v>50</v>
      </c>
      <c r="G1322" t="s">
        <v>184</v>
      </c>
    </row>
    <row r="1323" spans="1:7" x14ac:dyDescent="0.25">
      <c r="A1323" s="10" t="s">
        <v>2427</v>
      </c>
      <c r="B1323" s="10">
        <v>13672</v>
      </c>
      <c r="C1323" t="str">
        <f>Table13[[#This Row],[Manufacturer]]&amp;" "&amp;Table13[[#This Row],[Model]]</f>
        <v>Norbar 13672</v>
      </c>
      <c r="D1323" s="1">
        <v>3</v>
      </c>
      <c r="E1323" s="1">
        <v>3</v>
      </c>
      <c r="F1323" s="38">
        <v>60</v>
      </c>
      <c r="G1323" t="s">
        <v>184</v>
      </c>
    </row>
    <row r="1324" spans="1:7" x14ac:dyDescent="0.25">
      <c r="A1324" s="10" t="s">
        <v>2427</v>
      </c>
      <c r="B1324" s="10">
        <v>13673</v>
      </c>
      <c r="C1324" t="str">
        <f>Table13[[#This Row],[Manufacturer]]&amp;" "&amp;Table13[[#This Row],[Model]]</f>
        <v>Norbar 13673</v>
      </c>
      <c r="D1324" s="1">
        <v>3</v>
      </c>
      <c r="E1324" s="1">
        <v>3</v>
      </c>
      <c r="F1324" s="38">
        <v>100</v>
      </c>
      <c r="G1324" t="s">
        <v>184</v>
      </c>
    </row>
    <row r="1325" spans="1:7" x14ac:dyDescent="0.25">
      <c r="A1325" s="10" t="s">
        <v>2427</v>
      </c>
      <c r="B1325" s="10">
        <v>13674</v>
      </c>
      <c r="C1325" t="str">
        <f>Table13[[#This Row],[Manufacturer]]&amp;" "&amp;Table13[[#This Row],[Model]]</f>
        <v>Norbar 13674</v>
      </c>
      <c r="D1325" s="1">
        <v>3</v>
      </c>
      <c r="E1325" s="1">
        <v>3</v>
      </c>
      <c r="F1325" s="38">
        <v>150</v>
      </c>
      <c r="G1325" t="s">
        <v>184</v>
      </c>
    </row>
    <row r="1326" spans="1:7" x14ac:dyDescent="0.25">
      <c r="A1326" s="10" t="s">
        <v>2427</v>
      </c>
      <c r="B1326" s="10">
        <v>13675</v>
      </c>
      <c r="C1326" t="str">
        <f>Table13[[#This Row],[Manufacturer]]&amp;" "&amp;Table13[[#This Row],[Model]]</f>
        <v>Norbar 13675</v>
      </c>
      <c r="D1326" s="1">
        <v>3</v>
      </c>
      <c r="E1326" s="1">
        <v>3</v>
      </c>
      <c r="F1326" s="38">
        <v>200</v>
      </c>
      <c r="G1326" t="s">
        <v>184</v>
      </c>
    </row>
    <row r="1327" spans="1:7" x14ac:dyDescent="0.25">
      <c r="A1327" s="10" t="s">
        <v>2427</v>
      </c>
      <c r="B1327" s="10">
        <v>13676</v>
      </c>
      <c r="C1327" t="str">
        <f>Table13[[#This Row],[Manufacturer]]&amp;" "&amp;Table13[[#This Row],[Model]]</f>
        <v>Norbar 13676</v>
      </c>
      <c r="D1327" s="1">
        <v>3</v>
      </c>
      <c r="E1327" s="1">
        <v>3</v>
      </c>
      <c r="F1327" s="38">
        <v>200</v>
      </c>
      <c r="G1327" t="s">
        <v>184</v>
      </c>
    </row>
    <row r="1328" spans="1:7" x14ac:dyDescent="0.25">
      <c r="A1328" s="10" t="s">
        <v>2427</v>
      </c>
      <c r="B1328" s="10">
        <v>13677</v>
      </c>
      <c r="C1328" t="str">
        <f>Table13[[#This Row],[Manufacturer]]&amp;" "&amp;Table13[[#This Row],[Model]]</f>
        <v>Norbar 13677</v>
      </c>
      <c r="D1328" s="1">
        <v>3</v>
      </c>
      <c r="E1328" s="1">
        <v>3</v>
      </c>
      <c r="F1328" s="38">
        <v>250</v>
      </c>
      <c r="G1328" t="s">
        <v>184</v>
      </c>
    </row>
    <row r="1329" spans="1:7" x14ac:dyDescent="0.25">
      <c r="A1329" s="10" t="s">
        <v>2427</v>
      </c>
      <c r="B1329" s="10">
        <v>13678</v>
      </c>
      <c r="C1329" t="str">
        <f>Table13[[#This Row],[Manufacturer]]&amp;" "&amp;Table13[[#This Row],[Model]]</f>
        <v>Norbar 13678</v>
      </c>
      <c r="D1329" s="1">
        <v>3</v>
      </c>
      <c r="E1329" s="1">
        <v>3</v>
      </c>
      <c r="F1329" s="38">
        <v>300</v>
      </c>
      <c r="G1329" t="s">
        <v>184</v>
      </c>
    </row>
    <row r="1330" spans="1:7" x14ac:dyDescent="0.25">
      <c r="A1330" s="10" t="s">
        <v>2427</v>
      </c>
      <c r="B1330" s="10">
        <v>13679</v>
      </c>
      <c r="C1330" t="str">
        <f>Table13[[#This Row],[Manufacturer]]&amp;" "&amp;Table13[[#This Row],[Model]]</f>
        <v>Norbar 13679</v>
      </c>
      <c r="D1330" s="1">
        <v>3</v>
      </c>
      <c r="E1330" s="1">
        <v>3</v>
      </c>
      <c r="F1330" s="38">
        <v>45</v>
      </c>
      <c r="G1330" t="s">
        <v>166</v>
      </c>
    </row>
    <row r="1331" spans="1:7" x14ac:dyDescent="0.25">
      <c r="A1331" s="10" t="s">
        <v>2427</v>
      </c>
      <c r="B1331" s="10">
        <v>13680</v>
      </c>
      <c r="C1331" t="str">
        <f>Table13[[#This Row],[Manufacturer]]&amp;" "&amp;Table13[[#This Row],[Model]]</f>
        <v>Norbar 13680</v>
      </c>
      <c r="D1331" s="1">
        <v>3</v>
      </c>
      <c r="E1331" s="1">
        <v>3</v>
      </c>
      <c r="F1331" s="38">
        <v>45</v>
      </c>
      <c r="G1331" t="s">
        <v>166</v>
      </c>
    </row>
    <row r="1332" spans="1:7" x14ac:dyDescent="0.25">
      <c r="A1332" s="10" t="s">
        <v>2427</v>
      </c>
      <c r="B1332" s="10">
        <v>13681</v>
      </c>
      <c r="C1332" t="str">
        <f>Table13[[#This Row],[Manufacturer]]&amp;" "&amp;Table13[[#This Row],[Model]]</f>
        <v>Norbar 13681</v>
      </c>
      <c r="D1332" s="1">
        <v>3</v>
      </c>
      <c r="E1332" s="1">
        <v>3</v>
      </c>
      <c r="F1332" s="38">
        <v>60</v>
      </c>
      <c r="G1332" t="s">
        <v>184</v>
      </c>
    </row>
    <row r="1333" spans="1:7" x14ac:dyDescent="0.25">
      <c r="A1333" s="10" t="s">
        <v>2427</v>
      </c>
      <c r="B1333" s="10">
        <v>13682</v>
      </c>
      <c r="C1333" t="str">
        <f>Table13[[#This Row],[Manufacturer]]&amp;" "&amp;Table13[[#This Row],[Model]]</f>
        <v>Norbar 13682</v>
      </c>
      <c r="D1333" s="1">
        <v>3</v>
      </c>
      <c r="E1333" s="1">
        <v>3</v>
      </c>
      <c r="F1333" s="38">
        <v>60</v>
      </c>
      <c r="G1333" t="s">
        <v>184</v>
      </c>
    </row>
    <row r="1334" spans="1:7" x14ac:dyDescent="0.25">
      <c r="A1334" s="10" t="s">
        <v>2427</v>
      </c>
      <c r="B1334" s="10">
        <v>13683</v>
      </c>
      <c r="C1334" t="str">
        <f>Table13[[#This Row],[Manufacturer]]&amp;" "&amp;Table13[[#This Row],[Model]]</f>
        <v>Norbar 13683</v>
      </c>
      <c r="D1334" s="1">
        <v>3</v>
      </c>
      <c r="E1334" s="1">
        <v>3</v>
      </c>
      <c r="F1334" s="38">
        <v>45</v>
      </c>
      <c r="G1334" t="s">
        <v>166</v>
      </c>
    </row>
    <row r="1335" spans="1:7" x14ac:dyDescent="0.25">
      <c r="A1335" s="10" t="s">
        <v>2427</v>
      </c>
      <c r="B1335" s="10">
        <v>13684</v>
      </c>
      <c r="C1335" t="str">
        <f>Table13[[#This Row],[Manufacturer]]&amp;" "&amp;Table13[[#This Row],[Model]]</f>
        <v>Norbar 13684</v>
      </c>
      <c r="D1335" s="1">
        <v>3</v>
      </c>
      <c r="E1335" s="1">
        <v>3</v>
      </c>
      <c r="F1335" s="38">
        <v>45</v>
      </c>
      <c r="G1335" t="s">
        <v>166</v>
      </c>
    </row>
    <row r="1336" spans="1:7" x14ac:dyDescent="0.25">
      <c r="A1336" s="10" t="s">
        <v>2427</v>
      </c>
      <c r="B1336" s="10">
        <v>13685</v>
      </c>
      <c r="C1336" t="str">
        <f>Table13[[#This Row],[Manufacturer]]&amp;" "&amp;Table13[[#This Row],[Model]]</f>
        <v>Norbar 13685</v>
      </c>
      <c r="D1336" s="1">
        <v>3</v>
      </c>
      <c r="E1336" s="1">
        <v>3</v>
      </c>
      <c r="F1336" s="38">
        <v>45</v>
      </c>
      <c r="G1336" t="s">
        <v>166</v>
      </c>
    </row>
    <row r="1337" spans="1:7" x14ac:dyDescent="0.25">
      <c r="A1337" s="10" t="s">
        <v>2427</v>
      </c>
      <c r="B1337" s="10">
        <v>13686</v>
      </c>
      <c r="C1337" t="str">
        <f>Table13[[#This Row],[Manufacturer]]&amp;" "&amp;Table13[[#This Row],[Model]]</f>
        <v>Norbar 13686</v>
      </c>
      <c r="D1337" s="1">
        <v>3</v>
      </c>
      <c r="E1337" s="1">
        <v>3</v>
      </c>
      <c r="F1337" s="38">
        <v>60</v>
      </c>
      <c r="G1337" t="s">
        <v>184</v>
      </c>
    </row>
    <row r="1338" spans="1:7" x14ac:dyDescent="0.25">
      <c r="A1338" s="10" t="s">
        <v>2427</v>
      </c>
      <c r="B1338" s="10">
        <v>13900</v>
      </c>
      <c r="C1338" t="str">
        <f>Table13[[#This Row],[Manufacturer]]&amp;" "&amp;Table13[[#This Row],[Model]]</f>
        <v>Norbar 13900</v>
      </c>
      <c r="D1338" s="1">
        <v>3</v>
      </c>
      <c r="E1338" s="1" t="s">
        <v>169</v>
      </c>
      <c r="F1338" s="38">
        <v>20</v>
      </c>
      <c r="G1338" t="s">
        <v>184</v>
      </c>
    </row>
    <row r="1339" spans="1:7" x14ac:dyDescent="0.25">
      <c r="A1339" s="10" t="s">
        <v>2427</v>
      </c>
      <c r="B1339" s="10">
        <v>13902</v>
      </c>
      <c r="C1339" t="str">
        <f>Table13[[#This Row],[Manufacturer]]&amp;" "&amp;Table13[[#This Row],[Model]]</f>
        <v>Norbar 13902</v>
      </c>
      <c r="D1339" s="1">
        <v>3</v>
      </c>
      <c r="E1339" s="1" t="s">
        <v>169</v>
      </c>
      <c r="F1339" s="38">
        <v>35</v>
      </c>
      <c r="G1339" t="s">
        <v>166</v>
      </c>
    </row>
    <row r="1340" spans="1:7" x14ac:dyDescent="0.25">
      <c r="A1340" s="10" t="s">
        <v>2427</v>
      </c>
      <c r="B1340" s="10">
        <v>13903</v>
      </c>
      <c r="C1340" t="str">
        <f>Table13[[#This Row],[Manufacturer]]&amp;" "&amp;Table13[[#This Row],[Model]]</f>
        <v>Norbar 13903</v>
      </c>
      <c r="D1340" s="1">
        <v>3</v>
      </c>
      <c r="E1340" s="1" t="s">
        <v>169</v>
      </c>
      <c r="F1340" s="38">
        <v>35</v>
      </c>
      <c r="G1340" t="s">
        <v>166</v>
      </c>
    </row>
    <row r="1341" spans="1:7" x14ac:dyDescent="0.25">
      <c r="A1341" s="10" t="s">
        <v>2427</v>
      </c>
      <c r="B1341" s="10">
        <v>13906</v>
      </c>
      <c r="C1341" t="str">
        <f>Table13[[#This Row],[Manufacturer]]&amp;" "&amp;Table13[[#This Row],[Model]]</f>
        <v>Norbar 13906</v>
      </c>
      <c r="D1341" s="1">
        <v>3</v>
      </c>
      <c r="E1341" s="1" t="s">
        <v>169</v>
      </c>
      <c r="F1341" s="38">
        <v>50</v>
      </c>
      <c r="G1341" t="s">
        <v>184</v>
      </c>
    </row>
    <row r="1342" spans="1:7" x14ac:dyDescent="0.25">
      <c r="A1342" s="10" t="s">
        <v>2427</v>
      </c>
      <c r="B1342" s="10">
        <v>13907</v>
      </c>
      <c r="C1342" t="str">
        <f>Table13[[#This Row],[Manufacturer]]&amp;" "&amp;Table13[[#This Row],[Model]]</f>
        <v>Norbar 13907</v>
      </c>
      <c r="D1342" s="1">
        <v>3</v>
      </c>
      <c r="E1342" s="1" t="s">
        <v>169</v>
      </c>
      <c r="F1342" s="38">
        <v>50</v>
      </c>
      <c r="G1342" t="s">
        <v>184</v>
      </c>
    </row>
    <row r="1343" spans="1:7" x14ac:dyDescent="0.25">
      <c r="A1343" s="10" t="s">
        <v>2427</v>
      </c>
      <c r="B1343" s="10">
        <v>14002</v>
      </c>
      <c r="C1343" t="str">
        <f>Table13[[#This Row],[Manufacturer]]&amp;" "&amp;Table13[[#This Row],[Model]]</f>
        <v>Norbar 14002</v>
      </c>
      <c r="D1343" s="1">
        <v>3</v>
      </c>
      <c r="E1343" s="1">
        <v>3</v>
      </c>
      <c r="F1343" s="38">
        <v>750</v>
      </c>
      <c r="G1343" t="s">
        <v>166</v>
      </c>
    </row>
    <row r="1344" spans="1:7" x14ac:dyDescent="0.25">
      <c r="A1344" s="10" t="s">
        <v>2427</v>
      </c>
      <c r="B1344" s="10">
        <v>14003</v>
      </c>
      <c r="C1344" t="str">
        <f>Table13[[#This Row],[Manufacturer]]&amp;" "&amp;Table13[[#This Row],[Model]]</f>
        <v>Norbar 14003</v>
      </c>
      <c r="D1344" s="1">
        <v>3</v>
      </c>
      <c r="E1344" s="1">
        <v>3</v>
      </c>
      <c r="F1344" s="38">
        <v>750</v>
      </c>
      <c r="G1344" t="s">
        <v>166</v>
      </c>
    </row>
    <row r="1345" spans="1:7" x14ac:dyDescent="0.25">
      <c r="A1345" s="10" t="s">
        <v>2427</v>
      </c>
      <c r="B1345" s="10">
        <v>14004</v>
      </c>
      <c r="C1345" t="str">
        <f>Table13[[#This Row],[Manufacturer]]&amp;" "&amp;Table13[[#This Row],[Model]]</f>
        <v>Norbar 14004</v>
      </c>
      <c r="D1345" s="1">
        <v>3</v>
      </c>
      <c r="E1345" s="1">
        <v>3</v>
      </c>
      <c r="F1345" s="38">
        <v>1100</v>
      </c>
      <c r="G1345" t="s">
        <v>166</v>
      </c>
    </row>
    <row r="1346" spans="1:7" x14ac:dyDescent="0.25">
      <c r="A1346" s="10" t="s">
        <v>2427</v>
      </c>
      <c r="B1346" s="10">
        <v>14005</v>
      </c>
      <c r="C1346" t="str">
        <f>Table13[[#This Row],[Manufacturer]]&amp;" "&amp;Table13[[#This Row],[Model]]</f>
        <v>Norbar 14005</v>
      </c>
      <c r="D1346" s="1">
        <v>3</v>
      </c>
      <c r="E1346" s="1">
        <v>3</v>
      </c>
      <c r="F1346" s="38">
        <v>1100</v>
      </c>
      <c r="G1346" t="s">
        <v>166</v>
      </c>
    </row>
    <row r="1347" spans="1:7" x14ac:dyDescent="0.25">
      <c r="A1347" s="10" t="s">
        <v>2427</v>
      </c>
      <c r="B1347" s="10">
        <v>14007</v>
      </c>
      <c r="C1347" t="str">
        <f>Table13[[#This Row],[Manufacturer]]&amp;" "&amp;Table13[[#This Row],[Model]]</f>
        <v>Norbar 14007</v>
      </c>
      <c r="D1347" s="1">
        <v>3</v>
      </c>
      <c r="E1347" s="1">
        <v>3</v>
      </c>
      <c r="F1347" s="38">
        <v>1000</v>
      </c>
      <c r="G1347" t="s">
        <v>184</v>
      </c>
    </row>
    <row r="1348" spans="1:7" x14ac:dyDescent="0.25">
      <c r="A1348" s="10" t="s">
        <v>2427</v>
      </c>
      <c r="B1348" s="10">
        <v>14008</v>
      </c>
      <c r="C1348" t="str">
        <f>Table13[[#This Row],[Manufacturer]]&amp;" "&amp;Table13[[#This Row],[Model]]</f>
        <v>Norbar 14008</v>
      </c>
      <c r="D1348" s="1">
        <v>3</v>
      </c>
      <c r="E1348" s="1">
        <v>3</v>
      </c>
      <c r="F1348" s="38">
        <v>1000</v>
      </c>
      <c r="G1348" t="s">
        <v>184</v>
      </c>
    </row>
    <row r="1349" spans="1:7" x14ac:dyDescent="0.25">
      <c r="A1349" s="10" t="s">
        <v>2427</v>
      </c>
      <c r="B1349" s="10">
        <v>14009</v>
      </c>
      <c r="C1349" t="str">
        <f>Table13[[#This Row],[Manufacturer]]&amp;" "&amp;Table13[[#This Row],[Model]]</f>
        <v>Norbar 14009</v>
      </c>
      <c r="D1349" s="1">
        <v>3</v>
      </c>
      <c r="E1349" s="1">
        <v>3</v>
      </c>
      <c r="F1349" s="38">
        <v>1500</v>
      </c>
      <c r="G1349" t="s">
        <v>184</v>
      </c>
    </row>
    <row r="1350" spans="1:7" x14ac:dyDescent="0.25">
      <c r="A1350" s="10" t="s">
        <v>2427</v>
      </c>
      <c r="B1350" s="10">
        <v>14010</v>
      </c>
      <c r="C1350" t="str">
        <f>Table13[[#This Row],[Manufacturer]]&amp;" "&amp;Table13[[#This Row],[Model]]</f>
        <v>Norbar 14010</v>
      </c>
      <c r="D1350" s="1">
        <v>3</v>
      </c>
      <c r="E1350" s="1">
        <v>3</v>
      </c>
      <c r="F1350" s="38">
        <v>1500</v>
      </c>
      <c r="G1350" t="s">
        <v>184</v>
      </c>
    </row>
    <row r="1351" spans="1:7" x14ac:dyDescent="0.25">
      <c r="A1351" s="10" t="s">
        <v>2427</v>
      </c>
      <c r="B1351" s="10">
        <v>14015</v>
      </c>
      <c r="C1351" t="str">
        <f>Table13[[#This Row],[Manufacturer]]&amp;" "&amp;Table13[[#This Row],[Model]]</f>
        <v>Norbar 14015</v>
      </c>
      <c r="D1351" s="1">
        <v>3</v>
      </c>
      <c r="E1351" s="1">
        <v>3</v>
      </c>
      <c r="F1351" s="38">
        <v>600</v>
      </c>
      <c r="G1351" t="s">
        <v>166</v>
      </c>
    </row>
    <row r="1352" spans="1:7" x14ac:dyDescent="0.25">
      <c r="A1352" s="10" t="s">
        <v>2427</v>
      </c>
      <c r="B1352" s="10">
        <v>14016</v>
      </c>
      <c r="C1352" t="str">
        <f>Table13[[#This Row],[Manufacturer]]&amp;" "&amp;Table13[[#This Row],[Model]]</f>
        <v>Norbar 14016</v>
      </c>
      <c r="D1352" s="1">
        <v>3</v>
      </c>
      <c r="E1352" s="1">
        <v>3</v>
      </c>
      <c r="F1352" s="38">
        <v>600</v>
      </c>
      <c r="G1352" t="s">
        <v>166</v>
      </c>
    </row>
    <row r="1353" spans="1:7" x14ac:dyDescent="0.25">
      <c r="A1353" s="10" t="s">
        <v>2427</v>
      </c>
      <c r="B1353" s="10">
        <v>14017</v>
      </c>
      <c r="C1353" t="str">
        <f>Table13[[#This Row],[Manufacturer]]&amp;" "&amp;Table13[[#This Row],[Model]]</f>
        <v>Norbar 14017</v>
      </c>
      <c r="D1353" s="1">
        <v>3</v>
      </c>
      <c r="E1353" s="1">
        <v>3</v>
      </c>
      <c r="F1353" s="38">
        <v>800</v>
      </c>
      <c r="G1353" t="s">
        <v>184</v>
      </c>
    </row>
    <row r="1354" spans="1:7" x14ac:dyDescent="0.25">
      <c r="A1354" s="10" t="s">
        <v>2427</v>
      </c>
      <c r="B1354" s="10">
        <v>14018</v>
      </c>
      <c r="C1354" t="str">
        <f>Table13[[#This Row],[Manufacturer]]&amp;" "&amp;Table13[[#This Row],[Model]]</f>
        <v>Norbar 14018</v>
      </c>
      <c r="D1354" s="1">
        <v>3</v>
      </c>
      <c r="E1354" s="1">
        <v>3</v>
      </c>
      <c r="F1354" s="38">
        <v>800</v>
      </c>
      <c r="G1354" t="s">
        <v>184</v>
      </c>
    </row>
    <row r="1355" spans="1:7" x14ac:dyDescent="0.25">
      <c r="A1355" s="10" t="s">
        <v>2427</v>
      </c>
      <c r="B1355" s="10">
        <v>14024</v>
      </c>
      <c r="C1355" t="str">
        <f>Table13[[#This Row],[Manufacturer]]&amp;" "&amp;Table13[[#This Row],[Model]]</f>
        <v>Norbar 14024</v>
      </c>
      <c r="D1355" s="1">
        <v>3</v>
      </c>
      <c r="E1355" s="1">
        <v>3</v>
      </c>
      <c r="F1355" s="38">
        <v>800</v>
      </c>
      <c r="G1355" t="s">
        <v>184</v>
      </c>
    </row>
    <row r="1356" spans="1:7" x14ac:dyDescent="0.25">
      <c r="A1356" s="10" t="s">
        <v>2427</v>
      </c>
      <c r="B1356" s="10">
        <v>14025</v>
      </c>
      <c r="C1356" t="str">
        <f>Table13[[#This Row],[Manufacturer]]&amp;" "&amp;Table13[[#This Row],[Model]]</f>
        <v>Norbar 14025</v>
      </c>
      <c r="D1356" s="1">
        <v>3</v>
      </c>
      <c r="E1356" s="1">
        <v>3</v>
      </c>
      <c r="F1356" s="38">
        <v>800</v>
      </c>
      <c r="G1356" t="s">
        <v>184</v>
      </c>
    </row>
    <row r="1357" spans="1:7" x14ac:dyDescent="0.25">
      <c r="A1357" s="10" t="s">
        <v>2427</v>
      </c>
      <c r="B1357" s="10">
        <v>14026</v>
      </c>
      <c r="C1357" t="str">
        <f>Table13[[#This Row],[Manufacturer]]&amp;" "&amp;Table13[[#This Row],[Model]]</f>
        <v>Norbar 14026</v>
      </c>
      <c r="D1357" s="1">
        <v>3</v>
      </c>
      <c r="E1357" s="1">
        <v>3</v>
      </c>
      <c r="F1357" s="38">
        <v>1000</v>
      </c>
      <c r="G1357" t="s">
        <v>184</v>
      </c>
    </row>
    <row r="1358" spans="1:7" x14ac:dyDescent="0.25">
      <c r="A1358" s="10" t="s">
        <v>2427</v>
      </c>
      <c r="B1358" s="10">
        <v>14027</v>
      </c>
      <c r="C1358" t="str">
        <f>Table13[[#This Row],[Manufacturer]]&amp;" "&amp;Table13[[#This Row],[Model]]</f>
        <v>Norbar 14027</v>
      </c>
      <c r="D1358" s="1">
        <v>3</v>
      </c>
      <c r="E1358" s="1">
        <v>3</v>
      </c>
      <c r="F1358" s="38">
        <v>1000</v>
      </c>
      <c r="G1358" t="s">
        <v>184</v>
      </c>
    </row>
    <row r="1359" spans="1:7" x14ac:dyDescent="0.25">
      <c r="A1359" s="10" t="s">
        <v>2427</v>
      </c>
      <c r="B1359" s="10">
        <v>14028</v>
      </c>
      <c r="C1359" t="str">
        <f>Table13[[#This Row],[Manufacturer]]&amp;" "&amp;Table13[[#This Row],[Model]]</f>
        <v>Norbar 14028</v>
      </c>
      <c r="D1359" s="1">
        <v>3</v>
      </c>
      <c r="E1359" s="1">
        <v>3</v>
      </c>
      <c r="F1359" s="38">
        <v>1500</v>
      </c>
      <c r="G1359" t="s">
        <v>184</v>
      </c>
    </row>
    <row r="1360" spans="1:7" x14ac:dyDescent="0.25">
      <c r="A1360" s="10" t="s">
        <v>2427</v>
      </c>
      <c r="B1360" s="10">
        <v>14029</v>
      </c>
      <c r="C1360" t="str">
        <f>Table13[[#This Row],[Manufacturer]]&amp;" "&amp;Table13[[#This Row],[Model]]</f>
        <v>Norbar 14029</v>
      </c>
      <c r="D1360" s="1">
        <v>3</v>
      </c>
      <c r="E1360" s="1">
        <v>3</v>
      </c>
      <c r="F1360" s="38">
        <v>1500</v>
      </c>
      <c r="G1360" t="s">
        <v>184</v>
      </c>
    </row>
    <row r="1361" spans="1:7" x14ac:dyDescent="0.25">
      <c r="A1361" s="10" t="s">
        <v>2427</v>
      </c>
      <c r="B1361" s="10">
        <v>14037</v>
      </c>
      <c r="C1361" t="str">
        <f>Table13[[#This Row],[Manufacturer]]&amp;" "&amp;Table13[[#This Row],[Model]]</f>
        <v>Norbar 14037</v>
      </c>
      <c r="D1361" s="1">
        <v>3</v>
      </c>
      <c r="E1361" s="1">
        <v>3</v>
      </c>
      <c r="F1361" s="38">
        <v>480</v>
      </c>
      <c r="G1361" t="s">
        <v>166</v>
      </c>
    </row>
    <row r="1362" spans="1:7" x14ac:dyDescent="0.25">
      <c r="A1362" s="10" t="s">
        <v>2427</v>
      </c>
      <c r="B1362" s="10">
        <v>14038</v>
      </c>
      <c r="C1362" t="str">
        <f>Table13[[#This Row],[Manufacturer]]&amp;" "&amp;Table13[[#This Row],[Model]]</f>
        <v>Norbar 14038</v>
      </c>
      <c r="D1362" s="1">
        <v>3</v>
      </c>
      <c r="E1362" s="1">
        <v>3</v>
      </c>
      <c r="F1362" s="38">
        <v>650</v>
      </c>
      <c r="G1362" t="s">
        <v>184</v>
      </c>
    </row>
    <row r="1363" spans="1:7" x14ac:dyDescent="0.25">
      <c r="A1363" s="10" t="s">
        <v>2427</v>
      </c>
      <c r="B1363" s="10">
        <v>14039</v>
      </c>
      <c r="C1363" t="str">
        <f>Table13[[#This Row],[Manufacturer]]&amp;" "&amp;Table13[[#This Row],[Model]]</f>
        <v>Norbar 14039</v>
      </c>
      <c r="D1363" s="1">
        <v>3</v>
      </c>
      <c r="E1363" s="1">
        <v>3</v>
      </c>
      <c r="F1363" s="38">
        <v>650</v>
      </c>
      <c r="G1363" t="s">
        <v>184</v>
      </c>
    </row>
    <row r="1364" spans="1:7" x14ac:dyDescent="0.25">
      <c r="A1364" s="10" t="s">
        <v>2427</v>
      </c>
      <c r="B1364" s="10">
        <v>14041</v>
      </c>
      <c r="C1364" t="str">
        <f>Table13[[#This Row],[Manufacturer]]&amp;" "&amp;Table13[[#This Row],[Model]]</f>
        <v>Norbar 14041</v>
      </c>
      <c r="D1364" s="1">
        <v>3</v>
      </c>
      <c r="E1364" s="1">
        <v>3</v>
      </c>
      <c r="F1364" s="38">
        <v>650</v>
      </c>
      <c r="G1364" t="s">
        <v>184</v>
      </c>
    </row>
    <row r="1365" spans="1:7" x14ac:dyDescent="0.25">
      <c r="A1365" s="10" t="s">
        <v>2427</v>
      </c>
      <c r="B1365" s="10">
        <v>14042</v>
      </c>
      <c r="C1365" t="str">
        <f>Table13[[#This Row],[Manufacturer]]&amp;" "&amp;Table13[[#This Row],[Model]]</f>
        <v>Norbar 14042</v>
      </c>
      <c r="D1365" s="1">
        <v>3</v>
      </c>
      <c r="E1365" s="1">
        <v>3</v>
      </c>
      <c r="F1365" s="38">
        <v>650</v>
      </c>
      <c r="G1365" t="s">
        <v>184</v>
      </c>
    </row>
    <row r="1366" spans="1:7" x14ac:dyDescent="0.25">
      <c r="A1366" s="10" t="s">
        <v>2427</v>
      </c>
      <c r="B1366" s="10">
        <v>14043</v>
      </c>
      <c r="C1366" t="str">
        <f>Table13[[#This Row],[Manufacturer]]&amp;" "&amp;Table13[[#This Row],[Model]]</f>
        <v>Norbar 14043</v>
      </c>
      <c r="D1366" s="1">
        <v>3</v>
      </c>
      <c r="E1366" s="1">
        <v>3</v>
      </c>
      <c r="F1366" s="38">
        <v>650</v>
      </c>
      <c r="G1366" t="s">
        <v>184</v>
      </c>
    </row>
    <row r="1367" spans="1:7" x14ac:dyDescent="0.25">
      <c r="A1367" s="10" t="s">
        <v>2427</v>
      </c>
      <c r="B1367" s="10">
        <v>1500</v>
      </c>
      <c r="C1367" t="str">
        <f>Table13[[#This Row],[Manufacturer]]&amp;" "&amp;Table13[[#This Row],[Model]]</f>
        <v>Norbar 1500</v>
      </c>
      <c r="D1367" s="1">
        <v>3</v>
      </c>
      <c r="E1367" s="1" t="s">
        <v>169</v>
      </c>
      <c r="F1367" s="38">
        <v>1100</v>
      </c>
      <c r="G1367" t="s">
        <v>166</v>
      </c>
    </row>
    <row r="1368" spans="1:7" x14ac:dyDescent="0.25">
      <c r="A1368" s="10" t="s">
        <v>2427</v>
      </c>
      <c r="B1368" s="10">
        <v>15002</v>
      </c>
      <c r="C1368" t="str">
        <f>Table13[[#This Row],[Manufacturer]]&amp;" "&amp;Table13[[#This Row],[Model]]</f>
        <v>Norbar 15002</v>
      </c>
      <c r="D1368" s="1">
        <v>3</v>
      </c>
      <c r="E1368" s="1">
        <v>3</v>
      </c>
      <c r="F1368" s="38">
        <v>37.5</v>
      </c>
      <c r="G1368" t="s">
        <v>166</v>
      </c>
    </row>
    <row r="1369" spans="1:7" x14ac:dyDescent="0.25">
      <c r="A1369" s="10" t="s">
        <v>2427</v>
      </c>
      <c r="B1369" s="10">
        <v>15003</v>
      </c>
      <c r="C1369" t="str">
        <f>Table13[[#This Row],[Manufacturer]]&amp;" "&amp;Table13[[#This Row],[Model]]</f>
        <v>Norbar 15003</v>
      </c>
      <c r="D1369" s="1">
        <v>3</v>
      </c>
      <c r="E1369" s="1">
        <v>3</v>
      </c>
      <c r="F1369" s="38">
        <v>75</v>
      </c>
      <c r="G1369" t="s">
        <v>166</v>
      </c>
    </row>
    <row r="1370" spans="1:7" x14ac:dyDescent="0.25">
      <c r="A1370" s="10" t="s">
        <v>2427</v>
      </c>
      <c r="B1370" s="10">
        <v>15004</v>
      </c>
      <c r="C1370" t="str">
        <f>Table13[[#This Row],[Manufacturer]]&amp;" "&amp;Table13[[#This Row],[Model]]</f>
        <v>Norbar 15004</v>
      </c>
      <c r="D1370" s="1">
        <v>3</v>
      </c>
      <c r="E1370" s="1">
        <v>3</v>
      </c>
      <c r="F1370" s="38">
        <v>150</v>
      </c>
      <c r="G1370" t="s">
        <v>166</v>
      </c>
    </row>
    <row r="1371" spans="1:7" x14ac:dyDescent="0.25">
      <c r="A1371" s="10" t="s">
        <v>2427</v>
      </c>
      <c r="B1371" s="10">
        <v>15005</v>
      </c>
      <c r="C1371" t="str">
        <f>Table13[[#This Row],[Manufacturer]]&amp;" "&amp;Table13[[#This Row],[Model]]</f>
        <v>Norbar 15005</v>
      </c>
      <c r="D1371" s="1">
        <v>3</v>
      </c>
      <c r="E1371" s="1">
        <v>3</v>
      </c>
      <c r="F1371" s="38">
        <v>220</v>
      </c>
      <c r="G1371" t="s">
        <v>166</v>
      </c>
    </row>
    <row r="1372" spans="1:7" x14ac:dyDescent="0.25">
      <c r="A1372" s="10" t="s">
        <v>2427</v>
      </c>
      <c r="B1372" s="10">
        <v>15006</v>
      </c>
      <c r="C1372" t="str">
        <f>Table13[[#This Row],[Manufacturer]]&amp;" "&amp;Table13[[#This Row],[Model]]</f>
        <v>Norbar 15006</v>
      </c>
      <c r="D1372" s="1">
        <v>3</v>
      </c>
      <c r="E1372" s="1">
        <v>3</v>
      </c>
      <c r="F1372" s="38">
        <v>250</v>
      </c>
      <c r="G1372" t="s">
        <v>166</v>
      </c>
    </row>
    <row r="1373" spans="1:7" x14ac:dyDescent="0.25">
      <c r="A1373" s="10" t="s">
        <v>2427</v>
      </c>
      <c r="B1373" s="10">
        <v>15007</v>
      </c>
      <c r="C1373" t="str">
        <f>Table13[[#This Row],[Manufacturer]]&amp;" "&amp;Table13[[#This Row],[Model]]</f>
        <v>Norbar 15007</v>
      </c>
      <c r="D1373" s="1">
        <v>3</v>
      </c>
      <c r="E1373" s="1">
        <v>3</v>
      </c>
      <c r="F1373" s="38">
        <v>300</v>
      </c>
      <c r="G1373" t="s">
        <v>166</v>
      </c>
    </row>
    <row r="1374" spans="1:7" x14ac:dyDescent="0.25">
      <c r="A1374" s="10" t="s">
        <v>2427</v>
      </c>
      <c r="B1374" s="10">
        <v>15012</v>
      </c>
      <c r="C1374" t="str">
        <f>Table13[[#This Row],[Manufacturer]]&amp;" "&amp;Table13[[#This Row],[Model]]</f>
        <v>Norbar 15012</v>
      </c>
      <c r="D1374" s="1">
        <v>3</v>
      </c>
      <c r="E1374" s="1">
        <v>3</v>
      </c>
      <c r="F1374" s="38">
        <v>37.5</v>
      </c>
      <c r="G1374" t="s">
        <v>166</v>
      </c>
    </row>
    <row r="1375" spans="1:7" x14ac:dyDescent="0.25">
      <c r="A1375" s="10" t="s">
        <v>2427</v>
      </c>
      <c r="B1375" s="10">
        <v>15013</v>
      </c>
      <c r="C1375" t="str">
        <f>Table13[[#This Row],[Manufacturer]]&amp;" "&amp;Table13[[#This Row],[Model]]</f>
        <v>Norbar 15013</v>
      </c>
      <c r="D1375" s="1">
        <v>3</v>
      </c>
      <c r="E1375" s="1">
        <v>3</v>
      </c>
      <c r="F1375" s="38">
        <v>37.5</v>
      </c>
      <c r="G1375" t="s">
        <v>166</v>
      </c>
    </row>
    <row r="1376" spans="1:7" x14ac:dyDescent="0.25">
      <c r="A1376" s="10" t="s">
        <v>2427</v>
      </c>
      <c r="B1376" s="10">
        <v>15014</v>
      </c>
      <c r="C1376" t="str">
        <f>Table13[[#This Row],[Manufacturer]]&amp;" "&amp;Table13[[#This Row],[Model]]</f>
        <v>Norbar 15014</v>
      </c>
      <c r="D1376" s="1">
        <v>3</v>
      </c>
      <c r="E1376" s="1">
        <v>3</v>
      </c>
      <c r="F1376" s="38">
        <v>75</v>
      </c>
      <c r="G1376" t="s">
        <v>166</v>
      </c>
    </row>
    <row r="1377" spans="1:7" x14ac:dyDescent="0.25">
      <c r="A1377" s="10" t="s">
        <v>2427</v>
      </c>
      <c r="B1377" s="10">
        <v>15015</v>
      </c>
      <c r="C1377" t="str">
        <f>Table13[[#This Row],[Manufacturer]]&amp;" "&amp;Table13[[#This Row],[Model]]</f>
        <v>Norbar 15015</v>
      </c>
      <c r="D1377" s="1">
        <v>3</v>
      </c>
      <c r="E1377" s="1">
        <v>3</v>
      </c>
      <c r="F1377" s="38">
        <v>75</v>
      </c>
      <c r="G1377" t="s">
        <v>166</v>
      </c>
    </row>
    <row r="1378" spans="1:7" x14ac:dyDescent="0.25">
      <c r="A1378" s="10" t="s">
        <v>2427</v>
      </c>
      <c r="B1378" s="10">
        <v>15016</v>
      </c>
      <c r="C1378" t="str">
        <f>Table13[[#This Row],[Manufacturer]]&amp;" "&amp;Table13[[#This Row],[Model]]</f>
        <v>Norbar 15016</v>
      </c>
      <c r="D1378" s="1">
        <v>3</v>
      </c>
      <c r="E1378" s="1">
        <v>3</v>
      </c>
      <c r="F1378" s="38">
        <v>150</v>
      </c>
      <c r="G1378" t="s">
        <v>166</v>
      </c>
    </row>
    <row r="1379" spans="1:7" x14ac:dyDescent="0.25">
      <c r="A1379" s="10" t="s">
        <v>2427</v>
      </c>
      <c r="B1379" s="10">
        <v>15022</v>
      </c>
      <c r="C1379" t="str">
        <f>Table13[[#This Row],[Manufacturer]]&amp;" "&amp;Table13[[#This Row],[Model]]</f>
        <v>Norbar 15022</v>
      </c>
      <c r="D1379" s="1">
        <v>3</v>
      </c>
      <c r="E1379" s="1">
        <v>3</v>
      </c>
      <c r="F1379" s="38">
        <v>50</v>
      </c>
      <c r="G1379" t="s">
        <v>184</v>
      </c>
    </row>
    <row r="1380" spans="1:7" x14ac:dyDescent="0.25">
      <c r="A1380" s="10" t="s">
        <v>2427</v>
      </c>
      <c r="B1380" s="10">
        <v>15023</v>
      </c>
      <c r="C1380" t="str">
        <f>Table13[[#This Row],[Manufacturer]]&amp;" "&amp;Table13[[#This Row],[Model]]</f>
        <v>Norbar 15023</v>
      </c>
      <c r="D1380" s="1">
        <v>3</v>
      </c>
      <c r="E1380" s="1">
        <v>3</v>
      </c>
      <c r="F1380" s="38">
        <v>50</v>
      </c>
      <c r="G1380" t="s">
        <v>184</v>
      </c>
    </row>
    <row r="1381" spans="1:7" x14ac:dyDescent="0.25">
      <c r="A1381" s="10" t="s">
        <v>2427</v>
      </c>
      <c r="B1381" s="10">
        <v>15024</v>
      </c>
      <c r="C1381" t="str">
        <f>Table13[[#This Row],[Manufacturer]]&amp;" "&amp;Table13[[#This Row],[Model]]</f>
        <v>Norbar 15024</v>
      </c>
      <c r="D1381" s="1">
        <v>3</v>
      </c>
      <c r="E1381" s="1">
        <v>3</v>
      </c>
      <c r="F1381" s="38">
        <v>100</v>
      </c>
      <c r="G1381" t="s">
        <v>184</v>
      </c>
    </row>
    <row r="1382" spans="1:7" x14ac:dyDescent="0.25">
      <c r="A1382" s="10" t="s">
        <v>2427</v>
      </c>
      <c r="B1382" s="10">
        <v>15025</v>
      </c>
      <c r="C1382" t="str">
        <f>Table13[[#This Row],[Manufacturer]]&amp;" "&amp;Table13[[#This Row],[Model]]</f>
        <v>Norbar 15025</v>
      </c>
      <c r="D1382" s="1">
        <v>3</v>
      </c>
      <c r="E1382" s="1">
        <v>3</v>
      </c>
      <c r="F1382" s="38">
        <v>100</v>
      </c>
      <c r="G1382" t="s">
        <v>184</v>
      </c>
    </row>
    <row r="1383" spans="1:7" x14ac:dyDescent="0.25">
      <c r="A1383" s="10" t="s">
        <v>2427</v>
      </c>
      <c r="B1383" s="10">
        <v>15026</v>
      </c>
      <c r="C1383" t="str">
        <f>Table13[[#This Row],[Manufacturer]]&amp;" "&amp;Table13[[#This Row],[Model]]</f>
        <v>Norbar 15026</v>
      </c>
      <c r="D1383" s="1">
        <v>3</v>
      </c>
      <c r="E1383" s="1">
        <v>3</v>
      </c>
      <c r="F1383" s="38">
        <v>200</v>
      </c>
      <c r="G1383" t="s">
        <v>184</v>
      </c>
    </row>
    <row r="1384" spans="1:7" x14ac:dyDescent="0.25">
      <c r="A1384" s="10" t="s">
        <v>2427</v>
      </c>
      <c r="B1384" s="10">
        <v>15032</v>
      </c>
      <c r="C1384" t="str">
        <f>Table13[[#This Row],[Manufacturer]]&amp;" "&amp;Table13[[#This Row],[Model]]</f>
        <v>Norbar 15032</v>
      </c>
      <c r="D1384" s="1">
        <v>3</v>
      </c>
      <c r="E1384" s="1">
        <v>3</v>
      </c>
      <c r="F1384" s="38">
        <v>440</v>
      </c>
      <c r="G1384" t="s">
        <v>164</v>
      </c>
    </row>
    <row r="1385" spans="1:7" x14ac:dyDescent="0.25">
      <c r="A1385" s="10" t="s">
        <v>2427</v>
      </c>
      <c r="B1385" s="10">
        <v>15033</v>
      </c>
      <c r="C1385" t="str">
        <f>Table13[[#This Row],[Manufacturer]]&amp;" "&amp;Table13[[#This Row],[Model]]</f>
        <v>Norbar 15033</v>
      </c>
      <c r="D1385" s="1">
        <v>3</v>
      </c>
      <c r="E1385" s="1">
        <v>3</v>
      </c>
      <c r="F1385" s="38">
        <v>440</v>
      </c>
      <c r="G1385" t="s">
        <v>164</v>
      </c>
    </row>
    <row r="1386" spans="1:7" x14ac:dyDescent="0.25">
      <c r="A1386" s="10" t="s">
        <v>2427</v>
      </c>
      <c r="B1386" s="10">
        <v>15034</v>
      </c>
      <c r="C1386" t="str">
        <f>Table13[[#This Row],[Manufacturer]]&amp;" "&amp;Table13[[#This Row],[Model]]</f>
        <v>Norbar 15034</v>
      </c>
      <c r="D1386" s="1">
        <v>3</v>
      </c>
      <c r="E1386" s="1">
        <v>3</v>
      </c>
      <c r="F1386" s="38">
        <v>800</v>
      </c>
      <c r="G1386" t="s">
        <v>164</v>
      </c>
    </row>
    <row r="1387" spans="1:7" x14ac:dyDescent="0.25">
      <c r="A1387" s="10" t="s">
        <v>2427</v>
      </c>
      <c r="B1387" s="10">
        <v>15035</v>
      </c>
      <c r="C1387" t="str">
        <f>Table13[[#This Row],[Manufacturer]]&amp;" "&amp;Table13[[#This Row],[Model]]</f>
        <v>Norbar 15035</v>
      </c>
      <c r="D1387" s="1">
        <v>3</v>
      </c>
      <c r="E1387" s="1">
        <v>3</v>
      </c>
      <c r="F1387" s="38">
        <v>800</v>
      </c>
      <c r="G1387" t="s">
        <v>164</v>
      </c>
    </row>
    <row r="1388" spans="1:7" x14ac:dyDescent="0.25">
      <c r="A1388" s="10" t="s">
        <v>2427</v>
      </c>
      <c r="B1388" s="10">
        <v>15036</v>
      </c>
      <c r="C1388" t="str">
        <f>Table13[[#This Row],[Manufacturer]]&amp;" "&amp;Table13[[#This Row],[Model]]</f>
        <v>Norbar 15036</v>
      </c>
      <c r="D1388" s="1">
        <v>3</v>
      </c>
      <c r="E1388" s="1">
        <v>3</v>
      </c>
      <c r="F1388" s="38">
        <v>1800</v>
      </c>
      <c r="G1388" t="s">
        <v>164</v>
      </c>
    </row>
    <row r="1389" spans="1:7" x14ac:dyDescent="0.25">
      <c r="A1389" s="10" t="s">
        <v>2427</v>
      </c>
      <c r="B1389" s="10">
        <v>15042</v>
      </c>
      <c r="C1389" t="str">
        <f>Table13[[#This Row],[Manufacturer]]&amp;" "&amp;Table13[[#This Row],[Model]]</f>
        <v>Norbar 15042</v>
      </c>
      <c r="D1389" s="1">
        <v>3</v>
      </c>
      <c r="E1389" s="1">
        <v>3</v>
      </c>
      <c r="F1389" s="38">
        <v>50</v>
      </c>
      <c r="G1389" t="s">
        <v>184</v>
      </c>
    </row>
    <row r="1390" spans="1:7" x14ac:dyDescent="0.25">
      <c r="A1390" s="10" t="s">
        <v>2427</v>
      </c>
      <c r="B1390" s="10">
        <v>15043</v>
      </c>
      <c r="C1390" t="str">
        <f>Table13[[#This Row],[Manufacturer]]&amp;" "&amp;Table13[[#This Row],[Model]]</f>
        <v>Norbar 15043</v>
      </c>
      <c r="D1390" s="1">
        <v>3</v>
      </c>
      <c r="E1390" s="1">
        <v>3</v>
      </c>
      <c r="F1390" s="38">
        <v>100</v>
      </c>
      <c r="G1390" t="s">
        <v>184</v>
      </c>
    </row>
    <row r="1391" spans="1:7" x14ac:dyDescent="0.25">
      <c r="A1391" s="10" t="s">
        <v>2427</v>
      </c>
      <c r="B1391" s="10">
        <v>15044</v>
      </c>
      <c r="C1391" t="str">
        <f>Table13[[#This Row],[Manufacturer]]&amp;" "&amp;Table13[[#This Row],[Model]]</f>
        <v>Norbar 15044</v>
      </c>
      <c r="D1391" s="1">
        <v>3</v>
      </c>
      <c r="E1391" s="1">
        <v>3</v>
      </c>
      <c r="F1391" s="38">
        <v>200</v>
      </c>
      <c r="G1391" t="s">
        <v>184</v>
      </c>
    </row>
    <row r="1392" spans="1:7" x14ac:dyDescent="0.25">
      <c r="A1392" s="10" t="s">
        <v>2427</v>
      </c>
      <c r="B1392" s="10">
        <v>15045</v>
      </c>
      <c r="C1392" t="str">
        <f>Table13[[#This Row],[Manufacturer]]&amp;" "&amp;Table13[[#This Row],[Model]]</f>
        <v>Norbar 15045</v>
      </c>
      <c r="D1392" s="1">
        <v>3</v>
      </c>
      <c r="E1392" s="1">
        <v>3</v>
      </c>
      <c r="F1392" s="38">
        <v>300</v>
      </c>
      <c r="G1392" t="s">
        <v>184</v>
      </c>
    </row>
    <row r="1393" spans="1:7" x14ac:dyDescent="0.25">
      <c r="A1393" s="10" t="s">
        <v>2427</v>
      </c>
      <c r="B1393" s="10">
        <v>15046</v>
      </c>
      <c r="C1393" t="str">
        <f>Table13[[#This Row],[Manufacturer]]&amp;" "&amp;Table13[[#This Row],[Model]]</f>
        <v>Norbar 15046</v>
      </c>
      <c r="D1393" s="1">
        <v>3</v>
      </c>
      <c r="E1393" s="1">
        <v>3</v>
      </c>
      <c r="F1393" s="38">
        <v>340</v>
      </c>
      <c r="G1393" t="s">
        <v>184</v>
      </c>
    </row>
    <row r="1394" spans="1:7" x14ac:dyDescent="0.25">
      <c r="A1394" s="10" t="s">
        <v>2427</v>
      </c>
      <c r="B1394" s="10">
        <v>15047</v>
      </c>
      <c r="C1394" t="str">
        <f>Table13[[#This Row],[Manufacturer]]&amp;" "&amp;Table13[[#This Row],[Model]]</f>
        <v>Norbar 15047</v>
      </c>
      <c r="D1394" s="1">
        <v>3</v>
      </c>
      <c r="E1394" s="1">
        <v>3</v>
      </c>
      <c r="F1394" s="38">
        <v>400</v>
      </c>
      <c r="G1394" t="s">
        <v>184</v>
      </c>
    </row>
    <row r="1395" spans="1:7" x14ac:dyDescent="0.25">
      <c r="A1395" s="10" t="s">
        <v>2427</v>
      </c>
      <c r="B1395" s="10">
        <v>15052</v>
      </c>
      <c r="C1395" t="str">
        <f>Table13[[#This Row],[Manufacturer]]&amp;" "&amp;Table13[[#This Row],[Model]]</f>
        <v>Norbar 15052</v>
      </c>
      <c r="D1395" s="1">
        <v>3</v>
      </c>
      <c r="E1395" s="1">
        <v>3</v>
      </c>
      <c r="F1395" s="38">
        <v>440</v>
      </c>
      <c r="G1395" t="s">
        <v>164</v>
      </c>
    </row>
    <row r="1396" spans="1:7" x14ac:dyDescent="0.25">
      <c r="A1396" s="10" t="s">
        <v>2427</v>
      </c>
      <c r="B1396" s="10">
        <v>15053</v>
      </c>
      <c r="C1396" t="str">
        <f>Table13[[#This Row],[Manufacturer]]&amp;" "&amp;Table13[[#This Row],[Model]]</f>
        <v>Norbar 15053</v>
      </c>
      <c r="D1396" s="1">
        <v>3</v>
      </c>
      <c r="E1396" s="1">
        <v>3</v>
      </c>
      <c r="F1396" s="38">
        <v>800</v>
      </c>
      <c r="G1396" t="s">
        <v>164</v>
      </c>
    </row>
    <row r="1397" spans="1:7" x14ac:dyDescent="0.25">
      <c r="A1397" s="10" t="s">
        <v>2427</v>
      </c>
      <c r="B1397" s="10">
        <v>15054</v>
      </c>
      <c r="C1397" t="str">
        <f>Table13[[#This Row],[Manufacturer]]&amp;" "&amp;Table13[[#This Row],[Model]]</f>
        <v>Norbar 15054</v>
      </c>
      <c r="D1397" s="1">
        <v>3</v>
      </c>
      <c r="E1397" s="1">
        <v>3</v>
      </c>
      <c r="F1397" s="38">
        <v>1800</v>
      </c>
      <c r="G1397" t="s">
        <v>164</v>
      </c>
    </row>
    <row r="1398" spans="1:7" x14ac:dyDescent="0.25">
      <c r="A1398" s="10" t="s">
        <v>2427</v>
      </c>
      <c r="B1398" s="10">
        <v>15055</v>
      </c>
      <c r="C1398" t="str">
        <f>Table13[[#This Row],[Manufacturer]]&amp;" "&amp;Table13[[#This Row],[Model]]</f>
        <v>Norbar 15055</v>
      </c>
      <c r="D1398" s="1">
        <v>3</v>
      </c>
      <c r="E1398" s="1">
        <v>3</v>
      </c>
      <c r="F1398" s="38">
        <v>2500</v>
      </c>
      <c r="G1398" t="s">
        <v>164</v>
      </c>
    </row>
    <row r="1399" spans="1:7" x14ac:dyDescent="0.25">
      <c r="A1399" s="10" t="s">
        <v>2427</v>
      </c>
      <c r="B1399" s="10">
        <v>15056</v>
      </c>
      <c r="C1399" t="str">
        <f>Table13[[#This Row],[Manufacturer]]&amp;" "&amp;Table13[[#This Row],[Model]]</f>
        <v>Norbar 15056</v>
      </c>
      <c r="D1399" s="1">
        <v>3</v>
      </c>
      <c r="E1399" s="1">
        <v>3</v>
      </c>
      <c r="F1399" s="38">
        <v>3000</v>
      </c>
      <c r="G1399" t="s">
        <v>164</v>
      </c>
    </row>
    <row r="1400" spans="1:7" x14ac:dyDescent="0.25">
      <c r="A1400" s="10" t="s">
        <v>2427</v>
      </c>
      <c r="B1400" s="10">
        <v>15057</v>
      </c>
      <c r="C1400" t="str">
        <f>Table13[[#This Row],[Manufacturer]]&amp;" "&amp;Table13[[#This Row],[Model]]</f>
        <v>Norbar 15057</v>
      </c>
      <c r="D1400" s="1">
        <v>3</v>
      </c>
      <c r="E1400" s="1">
        <v>3</v>
      </c>
      <c r="F1400" s="38">
        <v>3500</v>
      </c>
      <c r="G1400" t="s">
        <v>164</v>
      </c>
    </row>
    <row r="1401" spans="1:7" x14ac:dyDescent="0.25">
      <c r="A1401" s="10" t="s">
        <v>2427</v>
      </c>
      <c r="B1401" s="10">
        <v>15062</v>
      </c>
      <c r="C1401" t="str">
        <f>Table13[[#This Row],[Manufacturer]]&amp;" "&amp;Table13[[#This Row],[Model]]</f>
        <v>Norbar 15062</v>
      </c>
      <c r="D1401" s="1">
        <v>3</v>
      </c>
      <c r="E1401" s="1">
        <v>3</v>
      </c>
      <c r="F1401" s="38">
        <v>37.5</v>
      </c>
      <c r="G1401" t="s">
        <v>166</v>
      </c>
    </row>
    <row r="1402" spans="1:7" x14ac:dyDescent="0.25">
      <c r="A1402" s="10" t="s">
        <v>2427</v>
      </c>
      <c r="B1402" s="10">
        <v>15063</v>
      </c>
      <c r="C1402" t="str">
        <f>Table13[[#This Row],[Manufacturer]]&amp;" "&amp;Table13[[#This Row],[Model]]</f>
        <v>Norbar 15063</v>
      </c>
      <c r="D1402" s="1">
        <v>3</v>
      </c>
      <c r="E1402" s="1">
        <v>3</v>
      </c>
      <c r="F1402" s="38">
        <v>75</v>
      </c>
      <c r="G1402" t="s">
        <v>166</v>
      </c>
    </row>
    <row r="1403" spans="1:7" x14ac:dyDescent="0.25">
      <c r="A1403" s="10" t="s">
        <v>2427</v>
      </c>
      <c r="B1403" s="10">
        <v>15064</v>
      </c>
      <c r="C1403" t="str">
        <f>Table13[[#This Row],[Manufacturer]]&amp;" "&amp;Table13[[#This Row],[Model]]</f>
        <v>Norbar 15064</v>
      </c>
      <c r="D1403" s="1">
        <v>3</v>
      </c>
      <c r="E1403" s="1" t="s">
        <v>169</v>
      </c>
      <c r="F1403" s="38">
        <v>150</v>
      </c>
      <c r="G1403" t="s">
        <v>166</v>
      </c>
    </row>
    <row r="1404" spans="1:7" x14ac:dyDescent="0.25">
      <c r="A1404" s="10" t="s">
        <v>2427</v>
      </c>
      <c r="B1404" s="10">
        <v>15065</v>
      </c>
      <c r="C1404" t="str">
        <f>Table13[[#This Row],[Manufacturer]]&amp;" "&amp;Table13[[#This Row],[Model]]</f>
        <v>Norbar 15065</v>
      </c>
      <c r="D1404" s="1">
        <v>3</v>
      </c>
      <c r="E1404" s="1">
        <v>3</v>
      </c>
      <c r="F1404" s="38">
        <v>220</v>
      </c>
      <c r="G1404" t="s">
        <v>166</v>
      </c>
    </row>
    <row r="1405" spans="1:7" x14ac:dyDescent="0.25">
      <c r="A1405" s="10" t="s">
        <v>2427</v>
      </c>
      <c r="B1405" s="10">
        <v>15072</v>
      </c>
      <c r="C1405" t="str">
        <f>Table13[[#This Row],[Manufacturer]]&amp;" "&amp;Table13[[#This Row],[Model]]</f>
        <v>Norbar 15072</v>
      </c>
      <c r="D1405" s="1">
        <v>3</v>
      </c>
      <c r="E1405" s="1">
        <v>3</v>
      </c>
      <c r="F1405" s="38">
        <v>50</v>
      </c>
      <c r="G1405" t="s">
        <v>184</v>
      </c>
    </row>
    <row r="1406" spans="1:7" x14ac:dyDescent="0.25">
      <c r="A1406" s="10" t="s">
        <v>2427</v>
      </c>
      <c r="B1406" s="10">
        <v>15073</v>
      </c>
      <c r="C1406" t="str">
        <f>Table13[[#This Row],[Manufacturer]]&amp;" "&amp;Table13[[#This Row],[Model]]</f>
        <v>Norbar 15073</v>
      </c>
      <c r="D1406" s="1">
        <v>3</v>
      </c>
      <c r="E1406" s="1">
        <v>3</v>
      </c>
      <c r="F1406" s="38">
        <v>100</v>
      </c>
      <c r="G1406" t="s">
        <v>184</v>
      </c>
    </row>
    <row r="1407" spans="1:7" x14ac:dyDescent="0.25">
      <c r="A1407" s="10" t="s">
        <v>2427</v>
      </c>
      <c r="B1407" s="10">
        <v>15074</v>
      </c>
      <c r="C1407" t="str">
        <f>Table13[[#This Row],[Manufacturer]]&amp;" "&amp;Table13[[#This Row],[Model]]</f>
        <v>Norbar 15074</v>
      </c>
      <c r="D1407" s="1">
        <v>3</v>
      </c>
      <c r="E1407" s="1">
        <v>3</v>
      </c>
      <c r="F1407" s="38">
        <v>200</v>
      </c>
      <c r="G1407" t="s">
        <v>184</v>
      </c>
    </row>
    <row r="1408" spans="1:7" x14ac:dyDescent="0.25">
      <c r="A1408" s="10" t="s">
        <v>2427</v>
      </c>
      <c r="B1408" s="10">
        <v>15075</v>
      </c>
      <c r="C1408" t="str">
        <f>Table13[[#This Row],[Manufacturer]]&amp;" "&amp;Table13[[#This Row],[Model]]</f>
        <v>Norbar 15075</v>
      </c>
      <c r="D1408" s="1">
        <v>3</v>
      </c>
      <c r="E1408" s="1">
        <v>3</v>
      </c>
      <c r="F1408" s="38">
        <v>300</v>
      </c>
      <c r="G1408" t="s">
        <v>184</v>
      </c>
    </row>
    <row r="1409" spans="1:7" x14ac:dyDescent="0.25">
      <c r="A1409" s="10" t="s">
        <v>2427</v>
      </c>
      <c r="B1409" s="10">
        <v>15082</v>
      </c>
      <c r="C1409" t="str">
        <f>Table13[[#This Row],[Manufacturer]]&amp;" "&amp;Table13[[#This Row],[Model]]</f>
        <v>Norbar 15082</v>
      </c>
      <c r="D1409" s="1">
        <v>3</v>
      </c>
      <c r="E1409" s="1">
        <v>3</v>
      </c>
      <c r="F1409" s="38">
        <v>37.5</v>
      </c>
      <c r="G1409" t="s">
        <v>166</v>
      </c>
    </row>
    <row r="1410" spans="1:7" x14ac:dyDescent="0.25">
      <c r="A1410" s="10" t="s">
        <v>2427</v>
      </c>
      <c r="B1410" s="10">
        <v>15083</v>
      </c>
      <c r="C1410" t="str">
        <f>Table13[[#This Row],[Manufacturer]]&amp;" "&amp;Table13[[#This Row],[Model]]</f>
        <v>Norbar 15083</v>
      </c>
      <c r="D1410" s="1">
        <v>3</v>
      </c>
      <c r="E1410" s="1">
        <v>3</v>
      </c>
      <c r="F1410" s="38">
        <v>75</v>
      </c>
      <c r="G1410" t="s">
        <v>166</v>
      </c>
    </row>
    <row r="1411" spans="1:7" x14ac:dyDescent="0.25">
      <c r="A1411" s="10" t="s">
        <v>2427</v>
      </c>
      <c r="B1411" s="10">
        <v>15084</v>
      </c>
      <c r="C1411" t="str">
        <f>Table13[[#This Row],[Manufacturer]]&amp;" "&amp;Table13[[#This Row],[Model]]</f>
        <v>Norbar 15084</v>
      </c>
      <c r="D1411" s="1">
        <v>3</v>
      </c>
      <c r="E1411" s="1">
        <v>3</v>
      </c>
      <c r="F1411" s="38">
        <v>150</v>
      </c>
      <c r="G1411" t="s">
        <v>166</v>
      </c>
    </row>
    <row r="1412" spans="1:7" x14ac:dyDescent="0.25">
      <c r="A1412" s="10" t="s">
        <v>2427</v>
      </c>
      <c r="B1412" s="10">
        <v>15085</v>
      </c>
      <c r="C1412" t="str">
        <f>Table13[[#This Row],[Manufacturer]]&amp;" "&amp;Table13[[#This Row],[Model]]</f>
        <v>Norbar 15085</v>
      </c>
      <c r="D1412" s="1">
        <v>3</v>
      </c>
      <c r="E1412" s="1">
        <v>3</v>
      </c>
      <c r="F1412" s="38">
        <v>220</v>
      </c>
      <c r="G1412" t="s">
        <v>166</v>
      </c>
    </row>
    <row r="1413" spans="1:7" x14ac:dyDescent="0.25">
      <c r="A1413" s="10" t="s">
        <v>2427</v>
      </c>
      <c r="B1413" s="10">
        <v>15092</v>
      </c>
      <c r="C1413" t="str">
        <f>Table13[[#This Row],[Manufacturer]]&amp;" "&amp;Table13[[#This Row],[Model]]</f>
        <v>Norbar 15092</v>
      </c>
      <c r="D1413" s="1">
        <v>3</v>
      </c>
      <c r="E1413" s="1">
        <v>3</v>
      </c>
      <c r="F1413" s="38">
        <v>440</v>
      </c>
      <c r="G1413" t="s">
        <v>164</v>
      </c>
    </row>
    <row r="1414" spans="1:7" x14ac:dyDescent="0.25">
      <c r="A1414" s="10" t="s">
        <v>2427</v>
      </c>
      <c r="B1414" s="10">
        <v>15093</v>
      </c>
      <c r="C1414" t="str">
        <f>Table13[[#This Row],[Manufacturer]]&amp;" "&amp;Table13[[#This Row],[Model]]</f>
        <v>Norbar 15093</v>
      </c>
      <c r="D1414" s="1">
        <v>3</v>
      </c>
      <c r="E1414" s="1">
        <v>3</v>
      </c>
      <c r="F1414" s="38">
        <v>800</v>
      </c>
      <c r="G1414" t="s">
        <v>164</v>
      </c>
    </row>
    <row r="1415" spans="1:7" x14ac:dyDescent="0.25">
      <c r="A1415" s="10" t="s">
        <v>2427</v>
      </c>
      <c r="B1415" s="10">
        <v>15094</v>
      </c>
      <c r="C1415" t="str">
        <f>Table13[[#This Row],[Manufacturer]]&amp;" "&amp;Table13[[#This Row],[Model]]</f>
        <v>Norbar 15094</v>
      </c>
      <c r="D1415" s="1">
        <v>3</v>
      </c>
      <c r="E1415" s="1">
        <v>3</v>
      </c>
      <c r="F1415" s="38">
        <v>1800</v>
      </c>
      <c r="G1415" t="s">
        <v>164</v>
      </c>
    </row>
    <row r="1416" spans="1:7" x14ac:dyDescent="0.25">
      <c r="A1416" s="10" t="s">
        <v>2427</v>
      </c>
      <c r="B1416" s="10">
        <v>15095</v>
      </c>
      <c r="C1416" t="str">
        <f>Table13[[#This Row],[Manufacturer]]&amp;" "&amp;Table13[[#This Row],[Model]]</f>
        <v>Norbar 15095</v>
      </c>
      <c r="D1416" s="1">
        <v>3</v>
      </c>
      <c r="E1416" s="1">
        <v>3</v>
      </c>
      <c r="F1416" s="38">
        <v>2500</v>
      </c>
      <c r="G1416" t="s">
        <v>164</v>
      </c>
    </row>
    <row r="1417" spans="1:7" x14ac:dyDescent="0.25">
      <c r="A1417" s="10" t="s">
        <v>2427</v>
      </c>
      <c r="B1417" s="10">
        <v>15102</v>
      </c>
      <c r="C1417" t="str">
        <f>Table13[[#This Row],[Manufacturer]]&amp;" "&amp;Table13[[#This Row],[Model]]</f>
        <v>Norbar 15102</v>
      </c>
      <c r="D1417" s="1">
        <v>3</v>
      </c>
      <c r="E1417" s="1">
        <v>3</v>
      </c>
      <c r="F1417" s="38">
        <v>37.5</v>
      </c>
      <c r="G1417" t="s">
        <v>166</v>
      </c>
    </row>
    <row r="1418" spans="1:7" x14ac:dyDescent="0.25">
      <c r="A1418" s="10" t="s">
        <v>2427</v>
      </c>
      <c r="B1418" s="10">
        <v>15103</v>
      </c>
      <c r="C1418" t="str">
        <f>Table13[[#This Row],[Manufacturer]]&amp;" "&amp;Table13[[#This Row],[Model]]</f>
        <v>Norbar 15103</v>
      </c>
      <c r="D1418" s="1">
        <v>3</v>
      </c>
      <c r="E1418" s="1">
        <v>3</v>
      </c>
      <c r="F1418" s="38">
        <v>75</v>
      </c>
      <c r="G1418" t="s">
        <v>166</v>
      </c>
    </row>
    <row r="1419" spans="1:7" x14ac:dyDescent="0.25">
      <c r="A1419" s="10" t="s">
        <v>2427</v>
      </c>
      <c r="B1419" s="10">
        <v>15104</v>
      </c>
      <c r="C1419" t="str">
        <f>Table13[[#This Row],[Manufacturer]]&amp;" "&amp;Table13[[#This Row],[Model]]</f>
        <v>Norbar 15104</v>
      </c>
      <c r="D1419" s="1">
        <v>3</v>
      </c>
      <c r="E1419" s="1">
        <v>3</v>
      </c>
      <c r="F1419" s="38">
        <v>150</v>
      </c>
      <c r="G1419" t="s">
        <v>166</v>
      </c>
    </row>
    <row r="1420" spans="1:7" x14ac:dyDescent="0.25">
      <c r="A1420" s="10" t="s">
        <v>2427</v>
      </c>
      <c r="B1420" s="10">
        <v>15105</v>
      </c>
      <c r="C1420" t="str">
        <f>Table13[[#This Row],[Manufacturer]]&amp;" "&amp;Table13[[#This Row],[Model]]</f>
        <v>Norbar 15105</v>
      </c>
      <c r="D1420" s="1">
        <v>3</v>
      </c>
      <c r="E1420" s="1">
        <v>3</v>
      </c>
      <c r="F1420" s="38">
        <v>150</v>
      </c>
      <c r="G1420" t="s">
        <v>166</v>
      </c>
    </row>
    <row r="1421" spans="1:7" x14ac:dyDescent="0.25">
      <c r="A1421" s="10" t="s">
        <v>2427</v>
      </c>
      <c r="B1421" s="10">
        <v>15106</v>
      </c>
      <c r="C1421" t="str">
        <f>Table13[[#This Row],[Manufacturer]]&amp;" "&amp;Table13[[#This Row],[Model]]</f>
        <v>Norbar 15106</v>
      </c>
      <c r="D1421" s="1">
        <v>3</v>
      </c>
      <c r="E1421" s="1">
        <v>3</v>
      </c>
      <c r="F1421" s="38">
        <v>220</v>
      </c>
      <c r="G1421" t="s">
        <v>166</v>
      </c>
    </row>
    <row r="1422" spans="1:7" x14ac:dyDescent="0.25">
      <c r="A1422" s="10" t="s">
        <v>2427</v>
      </c>
      <c r="B1422" s="10">
        <v>15107</v>
      </c>
      <c r="C1422" t="str">
        <f>Table13[[#This Row],[Manufacturer]]&amp;" "&amp;Table13[[#This Row],[Model]]</f>
        <v>Norbar 15107</v>
      </c>
      <c r="D1422" s="1">
        <v>3</v>
      </c>
      <c r="E1422" s="1">
        <v>3</v>
      </c>
      <c r="F1422" s="38">
        <v>250</v>
      </c>
      <c r="G1422" t="s">
        <v>166</v>
      </c>
    </row>
    <row r="1423" spans="1:7" x14ac:dyDescent="0.25">
      <c r="A1423" s="10" t="s">
        <v>2427</v>
      </c>
      <c r="B1423" s="10">
        <v>15108</v>
      </c>
      <c r="C1423" t="str">
        <f>Table13[[#This Row],[Manufacturer]]&amp;" "&amp;Table13[[#This Row],[Model]]</f>
        <v>Norbar 15108</v>
      </c>
      <c r="D1423" s="1">
        <v>3</v>
      </c>
      <c r="E1423" s="1">
        <v>3</v>
      </c>
      <c r="F1423" s="38">
        <v>300</v>
      </c>
      <c r="G1423" t="s">
        <v>166</v>
      </c>
    </row>
    <row r="1424" spans="1:7" x14ac:dyDescent="0.25">
      <c r="A1424" s="10" t="s">
        <v>2427</v>
      </c>
      <c r="B1424" s="10">
        <v>15112</v>
      </c>
      <c r="C1424" t="str">
        <f>Table13[[#This Row],[Manufacturer]]&amp;" "&amp;Table13[[#This Row],[Model]]</f>
        <v>Norbar 15112</v>
      </c>
      <c r="D1424" s="1">
        <v>3</v>
      </c>
      <c r="E1424" s="1">
        <v>3</v>
      </c>
      <c r="F1424" s="38">
        <v>50</v>
      </c>
      <c r="G1424" t="s">
        <v>184</v>
      </c>
    </row>
    <row r="1425" spans="1:7" x14ac:dyDescent="0.25">
      <c r="A1425" s="10" t="s">
        <v>2427</v>
      </c>
      <c r="B1425" s="10">
        <v>15113</v>
      </c>
      <c r="C1425" t="str">
        <f>Table13[[#This Row],[Manufacturer]]&amp;" "&amp;Table13[[#This Row],[Model]]</f>
        <v>Norbar 15113</v>
      </c>
      <c r="D1425" s="1">
        <v>3</v>
      </c>
      <c r="E1425" s="1">
        <v>3</v>
      </c>
      <c r="F1425" s="38">
        <v>100</v>
      </c>
      <c r="G1425" t="s">
        <v>184</v>
      </c>
    </row>
    <row r="1426" spans="1:7" x14ac:dyDescent="0.25">
      <c r="A1426" s="10" t="s">
        <v>2427</v>
      </c>
      <c r="B1426" s="10">
        <v>15114</v>
      </c>
      <c r="C1426" t="str">
        <f>Table13[[#This Row],[Manufacturer]]&amp;" "&amp;Table13[[#This Row],[Model]]</f>
        <v>Norbar 15114</v>
      </c>
      <c r="D1426" s="1">
        <v>3</v>
      </c>
      <c r="E1426" s="1">
        <v>3</v>
      </c>
      <c r="F1426" s="38">
        <v>200</v>
      </c>
      <c r="G1426" t="s">
        <v>184</v>
      </c>
    </row>
    <row r="1427" spans="1:7" x14ac:dyDescent="0.25">
      <c r="A1427" s="10" t="s">
        <v>2427</v>
      </c>
      <c r="B1427" s="10">
        <v>15115</v>
      </c>
      <c r="C1427" t="str">
        <f>Table13[[#This Row],[Manufacturer]]&amp;" "&amp;Table13[[#This Row],[Model]]</f>
        <v>Norbar 15115</v>
      </c>
      <c r="D1427" s="1">
        <v>3</v>
      </c>
      <c r="E1427" s="1">
        <v>3</v>
      </c>
      <c r="F1427" s="38">
        <v>200</v>
      </c>
      <c r="G1427" t="s">
        <v>184</v>
      </c>
    </row>
    <row r="1428" spans="1:7" x14ac:dyDescent="0.25">
      <c r="A1428" s="10" t="s">
        <v>2427</v>
      </c>
      <c r="B1428" s="10">
        <v>15116</v>
      </c>
      <c r="C1428" t="str">
        <f>Table13[[#This Row],[Manufacturer]]&amp;" "&amp;Table13[[#This Row],[Model]]</f>
        <v>Norbar 15116</v>
      </c>
      <c r="D1428" s="1">
        <v>3</v>
      </c>
      <c r="E1428" s="1">
        <v>3</v>
      </c>
      <c r="F1428" s="38">
        <v>300</v>
      </c>
      <c r="G1428" t="s">
        <v>184</v>
      </c>
    </row>
    <row r="1429" spans="1:7" x14ac:dyDescent="0.25">
      <c r="A1429" s="10" t="s">
        <v>2427</v>
      </c>
      <c r="B1429" s="10">
        <v>15117</v>
      </c>
      <c r="C1429" t="str">
        <f>Table13[[#This Row],[Manufacturer]]&amp;" "&amp;Table13[[#This Row],[Model]]</f>
        <v>Norbar 15117</v>
      </c>
      <c r="D1429" s="1">
        <v>3</v>
      </c>
      <c r="E1429" s="1">
        <v>3</v>
      </c>
      <c r="F1429" s="38">
        <v>340</v>
      </c>
      <c r="G1429" t="s">
        <v>184</v>
      </c>
    </row>
    <row r="1430" spans="1:7" x14ac:dyDescent="0.25">
      <c r="A1430" s="10" t="s">
        <v>2427</v>
      </c>
      <c r="B1430" s="10">
        <v>15118</v>
      </c>
      <c r="C1430" t="str">
        <f>Table13[[#This Row],[Manufacturer]]&amp;" "&amp;Table13[[#This Row],[Model]]</f>
        <v>Norbar 15118</v>
      </c>
      <c r="D1430" s="1">
        <v>3</v>
      </c>
      <c r="E1430" s="1">
        <v>3</v>
      </c>
      <c r="F1430" s="38">
        <v>400</v>
      </c>
      <c r="G1430" t="s">
        <v>184</v>
      </c>
    </row>
    <row r="1431" spans="1:7" x14ac:dyDescent="0.25">
      <c r="A1431" s="10" t="s">
        <v>2427</v>
      </c>
      <c r="B1431" s="10">
        <v>15122</v>
      </c>
      <c r="C1431" t="str">
        <f>Table13[[#This Row],[Manufacturer]]&amp;" "&amp;Table13[[#This Row],[Model]]</f>
        <v>Norbar 15122</v>
      </c>
      <c r="D1431" s="1">
        <v>3</v>
      </c>
      <c r="E1431" s="1">
        <v>3</v>
      </c>
      <c r="F1431" s="38">
        <v>37.5</v>
      </c>
      <c r="G1431" t="s">
        <v>166</v>
      </c>
    </row>
    <row r="1432" spans="1:7" x14ac:dyDescent="0.25">
      <c r="A1432" s="10" t="s">
        <v>2427</v>
      </c>
      <c r="B1432" s="10">
        <v>15123</v>
      </c>
      <c r="C1432" t="str">
        <f>Table13[[#This Row],[Manufacturer]]&amp;" "&amp;Table13[[#This Row],[Model]]</f>
        <v>Norbar 15123</v>
      </c>
      <c r="D1432" s="1">
        <v>3</v>
      </c>
      <c r="E1432" s="1">
        <v>3</v>
      </c>
      <c r="F1432" s="38">
        <v>75</v>
      </c>
      <c r="G1432" t="s">
        <v>166</v>
      </c>
    </row>
    <row r="1433" spans="1:7" x14ac:dyDescent="0.25">
      <c r="A1433" s="10" t="s">
        <v>2427</v>
      </c>
      <c r="B1433" s="10">
        <v>15124</v>
      </c>
      <c r="C1433" t="str">
        <f>Table13[[#This Row],[Manufacturer]]&amp;" "&amp;Table13[[#This Row],[Model]]</f>
        <v>Norbar 15124</v>
      </c>
      <c r="D1433" s="1">
        <v>3</v>
      </c>
      <c r="E1433" s="1">
        <v>3</v>
      </c>
      <c r="F1433" s="38">
        <v>150</v>
      </c>
      <c r="G1433" t="s">
        <v>166</v>
      </c>
    </row>
    <row r="1434" spans="1:7" x14ac:dyDescent="0.25">
      <c r="A1434" s="10" t="s">
        <v>2427</v>
      </c>
      <c r="B1434" s="10">
        <v>15125</v>
      </c>
      <c r="C1434" t="str">
        <f>Table13[[#This Row],[Manufacturer]]&amp;" "&amp;Table13[[#This Row],[Model]]</f>
        <v>Norbar 15125</v>
      </c>
      <c r="D1434" s="1">
        <v>3</v>
      </c>
      <c r="E1434" s="1">
        <v>3</v>
      </c>
      <c r="F1434" s="38">
        <v>150</v>
      </c>
      <c r="G1434" t="s">
        <v>166</v>
      </c>
    </row>
    <row r="1435" spans="1:7" x14ac:dyDescent="0.25">
      <c r="A1435" s="10" t="s">
        <v>2427</v>
      </c>
      <c r="B1435" s="10">
        <v>15126</v>
      </c>
      <c r="C1435" t="str">
        <f>Table13[[#This Row],[Manufacturer]]&amp;" "&amp;Table13[[#This Row],[Model]]</f>
        <v>Norbar 15126</v>
      </c>
      <c r="D1435" s="1">
        <v>3</v>
      </c>
      <c r="E1435" s="1">
        <v>3</v>
      </c>
      <c r="F1435" s="38">
        <v>220</v>
      </c>
      <c r="G1435" t="s">
        <v>166</v>
      </c>
    </row>
    <row r="1436" spans="1:7" x14ac:dyDescent="0.25">
      <c r="A1436" s="10" t="s">
        <v>2427</v>
      </c>
      <c r="B1436" s="10">
        <v>15127</v>
      </c>
      <c r="C1436" t="str">
        <f>Table13[[#This Row],[Manufacturer]]&amp;" "&amp;Table13[[#This Row],[Model]]</f>
        <v>Norbar 15127</v>
      </c>
      <c r="D1436" s="1">
        <v>3</v>
      </c>
      <c r="E1436" s="1">
        <v>3</v>
      </c>
      <c r="F1436" s="38">
        <v>250</v>
      </c>
      <c r="G1436" t="s">
        <v>166</v>
      </c>
    </row>
    <row r="1437" spans="1:7" x14ac:dyDescent="0.25">
      <c r="A1437" s="10" t="s">
        <v>2427</v>
      </c>
      <c r="B1437" s="10">
        <v>15128</v>
      </c>
      <c r="C1437" t="str">
        <f>Table13[[#This Row],[Manufacturer]]&amp;" "&amp;Table13[[#This Row],[Model]]</f>
        <v>Norbar 15128</v>
      </c>
      <c r="D1437" s="1">
        <v>3</v>
      </c>
      <c r="E1437" s="1">
        <v>3</v>
      </c>
      <c r="F1437" s="38">
        <v>300</v>
      </c>
      <c r="G1437" t="s">
        <v>166</v>
      </c>
    </row>
    <row r="1438" spans="1:7" x14ac:dyDescent="0.25">
      <c r="A1438" s="10" t="s">
        <v>2427</v>
      </c>
      <c r="B1438" s="10">
        <v>15132</v>
      </c>
      <c r="C1438" t="str">
        <f>Table13[[#This Row],[Manufacturer]]&amp;" "&amp;Table13[[#This Row],[Model]]</f>
        <v>Norbar 15132</v>
      </c>
      <c r="D1438" s="1">
        <v>3</v>
      </c>
      <c r="E1438" s="1">
        <v>3</v>
      </c>
      <c r="F1438" s="38">
        <v>440</v>
      </c>
      <c r="G1438" t="s">
        <v>164</v>
      </c>
    </row>
    <row r="1439" spans="1:7" x14ac:dyDescent="0.25">
      <c r="A1439" s="10" t="s">
        <v>2427</v>
      </c>
      <c r="B1439" s="10">
        <v>15133</v>
      </c>
      <c r="C1439" t="str">
        <f>Table13[[#This Row],[Manufacturer]]&amp;" "&amp;Table13[[#This Row],[Model]]</f>
        <v>Norbar 15133</v>
      </c>
      <c r="D1439" s="1">
        <v>3</v>
      </c>
      <c r="E1439" s="1">
        <v>3</v>
      </c>
      <c r="F1439" s="38">
        <v>800</v>
      </c>
      <c r="G1439" t="s">
        <v>164</v>
      </c>
    </row>
    <row r="1440" spans="1:7" x14ac:dyDescent="0.25">
      <c r="A1440" s="10" t="s">
        <v>2427</v>
      </c>
      <c r="B1440" s="10">
        <v>15134</v>
      </c>
      <c r="C1440" t="str">
        <f>Table13[[#This Row],[Manufacturer]]&amp;" "&amp;Table13[[#This Row],[Model]]</f>
        <v>Norbar 15134</v>
      </c>
      <c r="D1440" s="1">
        <v>3</v>
      </c>
      <c r="E1440" s="1">
        <v>3</v>
      </c>
      <c r="F1440" s="38">
        <v>1800</v>
      </c>
      <c r="G1440" t="s">
        <v>164</v>
      </c>
    </row>
    <row r="1441" spans="1:7" x14ac:dyDescent="0.25">
      <c r="A1441" s="10" t="s">
        <v>2427</v>
      </c>
      <c r="B1441" s="10">
        <v>15135</v>
      </c>
      <c r="C1441" t="str">
        <f>Table13[[#This Row],[Manufacturer]]&amp;" "&amp;Table13[[#This Row],[Model]]</f>
        <v>Norbar 15135</v>
      </c>
      <c r="D1441" s="1">
        <v>3</v>
      </c>
      <c r="E1441" s="1">
        <v>3</v>
      </c>
      <c r="F1441" s="38">
        <v>1800</v>
      </c>
      <c r="G1441" t="s">
        <v>164</v>
      </c>
    </row>
    <row r="1442" spans="1:7" x14ac:dyDescent="0.25">
      <c r="A1442" s="10" t="s">
        <v>2427</v>
      </c>
      <c r="B1442" s="10">
        <v>15136</v>
      </c>
      <c r="C1442" t="str">
        <f>Table13[[#This Row],[Manufacturer]]&amp;" "&amp;Table13[[#This Row],[Model]]</f>
        <v>Norbar 15136</v>
      </c>
      <c r="D1442" s="1">
        <v>3</v>
      </c>
      <c r="E1442" s="1">
        <v>3</v>
      </c>
      <c r="F1442" s="38">
        <v>2500</v>
      </c>
      <c r="G1442" t="s">
        <v>164</v>
      </c>
    </row>
    <row r="1443" spans="1:7" x14ac:dyDescent="0.25">
      <c r="A1443" s="10" t="s">
        <v>2427</v>
      </c>
      <c r="B1443" s="10">
        <v>15137</v>
      </c>
      <c r="C1443" t="str">
        <f>Table13[[#This Row],[Manufacturer]]&amp;" "&amp;Table13[[#This Row],[Model]]</f>
        <v>Norbar 15137</v>
      </c>
      <c r="D1443" s="1">
        <v>3</v>
      </c>
      <c r="E1443" s="1">
        <v>3</v>
      </c>
      <c r="F1443" s="38">
        <v>3000</v>
      </c>
      <c r="G1443" t="s">
        <v>164</v>
      </c>
    </row>
    <row r="1444" spans="1:7" x14ac:dyDescent="0.25">
      <c r="A1444" s="10" t="s">
        <v>2427</v>
      </c>
      <c r="B1444" s="10">
        <v>15138</v>
      </c>
      <c r="C1444" t="str">
        <f>Table13[[#This Row],[Manufacturer]]&amp;" "&amp;Table13[[#This Row],[Model]]</f>
        <v>Norbar 15138</v>
      </c>
      <c r="D1444" s="1">
        <v>3</v>
      </c>
      <c r="E1444" s="1">
        <v>3</v>
      </c>
      <c r="F1444" s="38">
        <v>3500</v>
      </c>
      <c r="G1444" t="s">
        <v>164</v>
      </c>
    </row>
    <row r="1445" spans="1:7" x14ac:dyDescent="0.25">
      <c r="A1445" s="10" t="s">
        <v>2427</v>
      </c>
      <c r="B1445" s="10">
        <v>15142</v>
      </c>
      <c r="C1445" t="str">
        <f>Table13[[#This Row],[Manufacturer]]&amp;" "&amp;Table13[[#This Row],[Model]]</f>
        <v>Norbar 15142</v>
      </c>
      <c r="D1445" s="1">
        <v>3</v>
      </c>
      <c r="E1445" s="1">
        <v>3</v>
      </c>
      <c r="F1445" s="38">
        <v>37.5</v>
      </c>
      <c r="G1445" t="s">
        <v>166</v>
      </c>
    </row>
    <row r="1446" spans="1:7" x14ac:dyDescent="0.25">
      <c r="A1446" s="10" t="s">
        <v>2427</v>
      </c>
      <c r="B1446" s="10">
        <v>15143</v>
      </c>
      <c r="C1446" t="str">
        <f>Table13[[#This Row],[Manufacturer]]&amp;" "&amp;Table13[[#This Row],[Model]]</f>
        <v>Norbar 15143</v>
      </c>
      <c r="D1446" s="1">
        <v>3</v>
      </c>
      <c r="E1446" s="1">
        <v>3</v>
      </c>
      <c r="F1446" s="38">
        <v>37.5</v>
      </c>
      <c r="G1446" t="s">
        <v>166</v>
      </c>
    </row>
    <row r="1447" spans="1:7" x14ac:dyDescent="0.25">
      <c r="A1447" s="10" t="s">
        <v>2427</v>
      </c>
      <c r="B1447" s="10">
        <v>15144</v>
      </c>
      <c r="C1447" t="str">
        <f>Table13[[#This Row],[Manufacturer]]&amp;" "&amp;Table13[[#This Row],[Model]]</f>
        <v>Norbar 15144</v>
      </c>
      <c r="D1447" s="1">
        <v>3</v>
      </c>
      <c r="E1447" s="1">
        <v>3</v>
      </c>
      <c r="F1447" s="38">
        <v>75</v>
      </c>
      <c r="G1447" t="s">
        <v>166</v>
      </c>
    </row>
    <row r="1448" spans="1:7" x14ac:dyDescent="0.25">
      <c r="A1448" s="10" t="s">
        <v>2427</v>
      </c>
      <c r="B1448" s="10">
        <v>15145</v>
      </c>
      <c r="C1448" t="str">
        <f>Table13[[#This Row],[Manufacturer]]&amp;" "&amp;Table13[[#This Row],[Model]]</f>
        <v>Norbar 15145</v>
      </c>
      <c r="D1448" s="1">
        <v>3</v>
      </c>
      <c r="E1448" s="1">
        <v>3</v>
      </c>
      <c r="F1448" s="38">
        <v>75</v>
      </c>
      <c r="G1448" t="s">
        <v>166</v>
      </c>
    </row>
    <row r="1449" spans="1:7" x14ac:dyDescent="0.25">
      <c r="A1449" s="10" t="s">
        <v>2427</v>
      </c>
      <c r="B1449" s="10">
        <v>15146</v>
      </c>
      <c r="C1449" t="str">
        <f>Table13[[#This Row],[Manufacturer]]&amp;" "&amp;Table13[[#This Row],[Model]]</f>
        <v>Norbar 15146</v>
      </c>
      <c r="D1449" s="1">
        <v>3</v>
      </c>
      <c r="E1449" s="1">
        <v>3</v>
      </c>
      <c r="F1449" s="38">
        <v>150</v>
      </c>
      <c r="G1449" t="s">
        <v>166</v>
      </c>
    </row>
    <row r="1450" spans="1:7" x14ac:dyDescent="0.25">
      <c r="A1450" s="10" t="s">
        <v>2427</v>
      </c>
      <c r="B1450" s="10">
        <v>15172</v>
      </c>
      <c r="C1450" t="str">
        <f>Table13[[#This Row],[Manufacturer]]&amp;" "&amp;Table13[[#This Row],[Model]]</f>
        <v>Norbar 15172</v>
      </c>
      <c r="D1450" s="1">
        <v>3</v>
      </c>
      <c r="E1450" s="1">
        <v>3</v>
      </c>
      <c r="F1450" s="38">
        <v>37.5</v>
      </c>
      <c r="G1450" t="s">
        <v>166</v>
      </c>
    </row>
    <row r="1451" spans="1:7" x14ac:dyDescent="0.25">
      <c r="A1451" s="10" t="s">
        <v>2427</v>
      </c>
      <c r="B1451" s="10">
        <v>15173</v>
      </c>
      <c r="C1451" t="str">
        <f>Table13[[#This Row],[Manufacturer]]&amp;" "&amp;Table13[[#This Row],[Model]]</f>
        <v>Norbar 15173</v>
      </c>
      <c r="D1451" s="1">
        <v>3</v>
      </c>
      <c r="E1451" s="1">
        <v>3</v>
      </c>
      <c r="F1451" s="38">
        <v>75</v>
      </c>
      <c r="G1451" t="s">
        <v>166</v>
      </c>
    </row>
    <row r="1452" spans="1:7" x14ac:dyDescent="0.25">
      <c r="A1452" s="10" t="s">
        <v>2427</v>
      </c>
      <c r="B1452" s="10">
        <v>15174</v>
      </c>
      <c r="C1452" t="str">
        <f>Table13[[#This Row],[Manufacturer]]&amp;" "&amp;Table13[[#This Row],[Model]]</f>
        <v>Norbar 15174</v>
      </c>
      <c r="D1452" s="1">
        <v>3</v>
      </c>
      <c r="E1452" s="1">
        <v>3</v>
      </c>
      <c r="F1452" s="38">
        <v>150</v>
      </c>
      <c r="G1452" t="s">
        <v>166</v>
      </c>
    </row>
    <row r="1453" spans="1:7" x14ac:dyDescent="0.25">
      <c r="A1453" s="10" t="s">
        <v>2427</v>
      </c>
      <c r="B1453" s="10">
        <v>15175</v>
      </c>
      <c r="C1453" t="str">
        <f>Table13[[#This Row],[Manufacturer]]&amp;" "&amp;Table13[[#This Row],[Model]]</f>
        <v>Norbar 15175</v>
      </c>
      <c r="D1453" s="1">
        <v>3</v>
      </c>
      <c r="E1453" s="1">
        <v>3</v>
      </c>
      <c r="F1453" s="38">
        <v>220</v>
      </c>
      <c r="G1453" t="s">
        <v>166</v>
      </c>
    </row>
    <row r="1454" spans="1:7" x14ac:dyDescent="0.25">
      <c r="A1454" s="10" t="s">
        <v>2427</v>
      </c>
      <c r="B1454" s="10">
        <v>15176</v>
      </c>
      <c r="C1454" t="str">
        <f>Table13[[#This Row],[Manufacturer]]&amp;" "&amp;Table13[[#This Row],[Model]]</f>
        <v>Norbar 15176</v>
      </c>
      <c r="D1454" s="1">
        <v>3</v>
      </c>
      <c r="E1454" s="1">
        <v>3</v>
      </c>
      <c r="F1454" s="38">
        <v>250</v>
      </c>
      <c r="G1454" t="s">
        <v>166</v>
      </c>
    </row>
    <row r="1455" spans="1:7" x14ac:dyDescent="0.25">
      <c r="A1455" s="10" t="s">
        <v>2427</v>
      </c>
      <c r="B1455" s="10">
        <v>15177</v>
      </c>
      <c r="C1455" t="str">
        <f>Table13[[#This Row],[Manufacturer]]&amp;" "&amp;Table13[[#This Row],[Model]]</f>
        <v>Norbar 15177</v>
      </c>
      <c r="D1455" s="1">
        <v>3</v>
      </c>
      <c r="E1455" s="1">
        <v>3</v>
      </c>
      <c r="F1455" s="38">
        <v>300</v>
      </c>
      <c r="G1455" t="s">
        <v>166</v>
      </c>
    </row>
    <row r="1456" spans="1:7" x14ac:dyDescent="0.25">
      <c r="A1456" s="10" t="s">
        <v>2427</v>
      </c>
      <c r="B1456" s="10">
        <v>13475</v>
      </c>
      <c r="C1456" t="str">
        <f>Table13[[#This Row],[Manufacturer]]&amp;" "&amp;Table13[[#This Row],[Model]]</f>
        <v>Norbar 13475</v>
      </c>
      <c r="D1456" s="1">
        <v>3</v>
      </c>
      <c r="E1456" s="1">
        <v>3</v>
      </c>
      <c r="F1456" s="38">
        <v>1.5</v>
      </c>
      <c r="G1456" t="s">
        <v>184</v>
      </c>
    </row>
    <row r="1457" spans="1:7" x14ac:dyDescent="0.25">
      <c r="A1457" s="10" t="s">
        <v>2427</v>
      </c>
      <c r="B1457" s="10">
        <v>13476</v>
      </c>
      <c r="C1457" t="str">
        <f>Table13[[#This Row],[Manufacturer]]&amp;" "&amp;Table13[[#This Row],[Model]]</f>
        <v>Norbar 13476</v>
      </c>
      <c r="D1457" s="1">
        <v>3</v>
      </c>
      <c r="E1457" s="1">
        <v>3</v>
      </c>
      <c r="F1457" s="38">
        <v>3</v>
      </c>
      <c r="G1457" t="s">
        <v>184</v>
      </c>
    </row>
    <row r="1458" spans="1:7" x14ac:dyDescent="0.25">
      <c r="A1458" s="10" t="s">
        <v>2427</v>
      </c>
      <c r="B1458" s="10">
        <v>13509</v>
      </c>
      <c r="C1458" t="str">
        <f>Table13[[#This Row],[Manufacturer]]&amp;" "&amp;Table13[[#This Row],[Model]]</f>
        <v>Norbar 13509</v>
      </c>
      <c r="D1458" s="1">
        <v>3</v>
      </c>
      <c r="E1458" s="1">
        <v>3</v>
      </c>
      <c r="F1458" s="38">
        <v>6</v>
      </c>
      <c r="G1458" t="s">
        <v>184</v>
      </c>
    </row>
    <row r="1459" spans="1:7" x14ac:dyDescent="0.25">
      <c r="A1459" s="10" t="s">
        <v>2427</v>
      </c>
      <c r="B1459" s="10">
        <v>13510</v>
      </c>
      <c r="C1459" t="str">
        <f>Table13[[#This Row],[Manufacturer]]&amp;" "&amp;Table13[[#This Row],[Model]]</f>
        <v>Norbar 13510</v>
      </c>
      <c r="D1459" s="1">
        <v>3</v>
      </c>
      <c r="E1459" s="1">
        <v>3</v>
      </c>
      <c r="F1459" s="38">
        <v>13</v>
      </c>
      <c r="G1459" t="s">
        <v>164</v>
      </c>
    </row>
    <row r="1460" spans="1:7" x14ac:dyDescent="0.25">
      <c r="A1460" s="10" t="s">
        <v>2427</v>
      </c>
      <c r="B1460" s="10">
        <v>13511</v>
      </c>
      <c r="C1460" t="str">
        <f>Table13[[#This Row],[Manufacturer]]&amp;" "&amp;Table13[[#This Row],[Model]]</f>
        <v>Norbar 13511</v>
      </c>
      <c r="D1460" s="1">
        <v>3</v>
      </c>
      <c r="E1460" s="1">
        <v>3</v>
      </c>
      <c r="F1460" s="38">
        <v>26</v>
      </c>
      <c r="G1460" t="s">
        <v>164</v>
      </c>
    </row>
    <row r="1461" spans="1:7" x14ac:dyDescent="0.25">
      <c r="A1461" s="10" t="s">
        <v>2427</v>
      </c>
      <c r="B1461" s="10">
        <v>13512</v>
      </c>
      <c r="C1461" t="str">
        <f>Table13[[#This Row],[Manufacturer]]&amp;" "&amp;Table13[[#This Row],[Model]]</f>
        <v>Norbar 13512</v>
      </c>
      <c r="D1461" s="1">
        <v>3</v>
      </c>
      <c r="E1461" s="1">
        <v>3</v>
      </c>
      <c r="F1461" s="38">
        <v>53</v>
      </c>
      <c r="G1461" t="s">
        <v>164</v>
      </c>
    </row>
    <row r="1462" spans="1:7" x14ac:dyDescent="0.25">
      <c r="A1462" s="10" t="s">
        <v>2427</v>
      </c>
      <c r="B1462" s="10">
        <v>13515</v>
      </c>
      <c r="C1462" t="str">
        <f>Table13[[#This Row],[Manufacturer]]&amp;" "&amp;Table13[[#This Row],[Model]]</f>
        <v>Norbar 13515</v>
      </c>
      <c r="D1462" s="1">
        <v>3</v>
      </c>
      <c r="E1462" s="1">
        <v>3</v>
      </c>
      <c r="F1462" s="38">
        <v>13</v>
      </c>
      <c r="G1462" t="s">
        <v>164</v>
      </c>
    </row>
    <row r="1463" spans="1:7" x14ac:dyDescent="0.25">
      <c r="A1463" s="10" t="s">
        <v>2427</v>
      </c>
      <c r="B1463" s="10">
        <v>13516</v>
      </c>
      <c r="C1463" t="str">
        <f>Table13[[#This Row],[Manufacturer]]&amp;" "&amp;Table13[[#This Row],[Model]]</f>
        <v>Norbar 13516</v>
      </c>
      <c r="D1463" s="1">
        <v>3</v>
      </c>
      <c r="E1463" s="1">
        <v>3</v>
      </c>
      <c r="F1463" s="38">
        <v>26</v>
      </c>
      <c r="G1463" t="s">
        <v>164</v>
      </c>
    </row>
    <row r="1464" spans="1:7" x14ac:dyDescent="0.25">
      <c r="A1464" s="10" t="s">
        <v>2427</v>
      </c>
      <c r="B1464" s="10">
        <v>13517</v>
      </c>
      <c r="C1464" t="str">
        <f>Table13[[#This Row],[Manufacturer]]&amp;" "&amp;Table13[[#This Row],[Model]]</f>
        <v>Norbar 13517</v>
      </c>
      <c r="D1464" s="1">
        <v>3</v>
      </c>
      <c r="E1464" s="1">
        <v>3</v>
      </c>
      <c r="F1464" s="38">
        <v>53</v>
      </c>
      <c r="G1464" t="s">
        <v>164</v>
      </c>
    </row>
    <row r="1465" spans="1:7" x14ac:dyDescent="0.25">
      <c r="A1465" s="10" t="s">
        <v>2424</v>
      </c>
      <c r="B1465" s="10">
        <v>63722342</v>
      </c>
      <c r="C1465" t="str">
        <f>Table13[[#This Row],[Manufacturer]]&amp;" "&amp;Table13[[#This Row],[Model]]</f>
        <v>NuLine 63722342</v>
      </c>
      <c r="D1465" s="1">
        <v>4</v>
      </c>
      <c r="E1465" s="1" t="s">
        <v>169</v>
      </c>
      <c r="F1465" s="38">
        <v>20</v>
      </c>
      <c r="G1465" t="s">
        <v>166</v>
      </c>
    </row>
    <row r="1466" spans="1:7" x14ac:dyDescent="0.25">
      <c r="A1466" s="10" t="s">
        <v>2424</v>
      </c>
      <c r="B1466" s="10">
        <v>63722425</v>
      </c>
      <c r="C1466" t="str">
        <f>Table13[[#This Row],[Manufacturer]]&amp;" "&amp;Table13[[#This Row],[Model]]</f>
        <v>NuLine 63722425</v>
      </c>
      <c r="D1466" s="1">
        <v>4</v>
      </c>
      <c r="E1466" s="1" t="s">
        <v>169</v>
      </c>
      <c r="F1466" s="38">
        <v>1500</v>
      </c>
      <c r="G1466" t="s">
        <v>166</v>
      </c>
    </row>
    <row r="1467" spans="1:7" x14ac:dyDescent="0.25">
      <c r="A1467" s="10" t="s">
        <v>2424</v>
      </c>
      <c r="B1467" s="10" t="s">
        <v>2426</v>
      </c>
      <c r="C1467" t="str">
        <f>Table13[[#This Row],[Manufacturer]]&amp;" "&amp;Table13[[#This Row],[Model]]</f>
        <v>NuLine NB-100C</v>
      </c>
      <c r="D1467" s="1" t="s">
        <v>2425</v>
      </c>
      <c r="E1467" s="1" t="s">
        <v>330</v>
      </c>
      <c r="F1467" s="38" t="s">
        <v>329</v>
      </c>
      <c r="G1467" t="s">
        <v>166</v>
      </c>
    </row>
    <row r="1468" spans="1:7" x14ac:dyDescent="0.25">
      <c r="A1468" s="10" t="s">
        <v>2424</v>
      </c>
      <c r="B1468" s="10" t="s">
        <v>2423</v>
      </c>
      <c r="C1468" t="str">
        <f>Table13[[#This Row],[Manufacturer]]&amp;" "&amp;Table13[[#This Row],[Model]]</f>
        <v>NuLine PTMTW-I-2000E</v>
      </c>
      <c r="D1468" s="1">
        <v>4</v>
      </c>
      <c r="E1468" s="1" t="s">
        <v>169</v>
      </c>
      <c r="F1468" s="38">
        <v>1500</v>
      </c>
      <c r="G1468" t="s">
        <v>166</v>
      </c>
    </row>
    <row r="1469" spans="1:7" x14ac:dyDescent="0.25">
      <c r="A1469" s="10" t="s">
        <v>2422</v>
      </c>
      <c r="B1469" s="10" t="s">
        <v>2421</v>
      </c>
      <c r="C1469" t="str">
        <f>Table13[[#This Row],[Manufacturer]]&amp;" "&amp;Table13[[#This Row],[Model]]</f>
        <v>Ocon OCS-4</v>
      </c>
      <c r="D1469" s="1">
        <v>6</v>
      </c>
      <c r="E1469" s="1" t="s">
        <v>169</v>
      </c>
      <c r="F1469" s="38">
        <v>36</v>
      </c>
      <c r="G1469" t="s">
        <v>164</v>
      </c>
    </row>
    <row r="1470" spans="1:7" x14ac:dyDescent="0.25">
      <c r="A1470" s="10" t="s">
        <v>2418</v>
      </c>
      <c r="B1470" s="10" t="s">
        <v>2420</v>
      </c>
      <c r="C1470" t="str">
        <f>Table13[[#This Row],[Manufacturer]]&amp;" "&amp;Table13[[#This Row],[Model]]</f>
        <v>OEL Sales IT-250TA-TB</v>
      </c>
      <c r="D1470" s="1">
        <v>4</v>
      </c>
      <c r="E1470" s="1" t="s">
        <v>169</v>
      </c>
      <c r="F1470" s="38">
        <v>25</v>
      </c>
      <c r="G1470" t="s">
        <v>164</v>
      </c>
    </row>
    <row r="1471" spans="1:7" x14ac:dyDescent="0.25">
      <c r="A1471" s="10" t="s">
        <v>2418</v>
      </c>
      <c r="B1471" s="10" t="s">
        <v>2419</v>
      </c>
      <c r="C1471" t="str">
        <f>Table13[[#This Row],[Manufacturer]]&amp;" "&amp;Table13[[#This Row],[Model]]</f>
        <v>OEL Sales IT-30250RA</v>
      </c>
      <c r="D1471" s="1">
        <v>4</v>
      </c>
      <c r="E1471" s="1" t="s">
        <v>169</v>
      </c>
      <c r="F1471" s="38">
        <v>250</v>
      </c>
      <c r="G1471" t="s">
        <v>164</v>
      </c>
    </row>
    <row r="1472" spans="1:7" x14ac:dyDescent="0.25">
      <c r="A1472" s="10" t="s">
        <v>2418</v>
      </c>
      <c r="B1472" s="10" t="s">
        <v>2417</v>
      </c>
      <c r="C1472" t="str">
        <f>Table13[[#This Row],[Manufacturer]]&amp;" "&amp;Table13[[#This Row],[Model]]</f>
        <v>OEL Sales IT3262</v>
      </c>
      <c r="D1472" s="1">
        <v>4</v>
      </c>
      <c r="E1472" s="1" t="s">
        <v>169</v>
      </c>
      <c r="F1472" s="38">
        <v>200</v>
      </c>
      <c r="G1472" t="s">
        <v>164</v>
      </c>
    </row>
    <row r="1473" spans="1:7" x14ac:dyDescent="0.25">
      <c r="A1473" s="10" t="s">
        <v>2406</v>
      </c>
      <c r="B1473" s="10" t="s">
        <v>2416</v>
      </c>
      <c r="C1473" t="str">
        <f>Table13[[#This Row],[Manufacturer]]&amp;" "&amp;Table13[[#This Row],[Model]]</f>
        <v>Omni Spectra 2098-0351-54</v>
      </c>
      <c r="D1473" s="1">
        <v>14.286</v>
      </c>
      <c r="E1473" s="1">
        <v>14.286</v>
      </c>
      <c r="F1473" s="38">
        <v>14</v>
      </c>
      <c r="G1473" t="s">
        <v>164</v>
      </c>
    </row>
    <row r="1474" spans="1:7" x14ac:dyDescent="0.25">
      <c r="A1474" s="10" t="s">
        <v>2406</v>
      </c>
      <c r="B1474" s="10" t="s">
        <v>2415</v>
      </c>
      <c r="C1474" t="str">
        <f>Table13[[#This Row],[Manufacturer]]&amp;" "&amp;Table13[[#This Row],[Model]]</f>
        <v>Omni Spectra 2098-5065-54</v>
      </c>
      <c r="D1474" s="1" t="s">
        <v>226</v>
      </c>
      <c r="E1474" s="1" t="s">
        <v>1112</v>
      </c>
      <c r="F1474" s="38" t="s">
        <v>224</v>
      </c>
      <c r="G1474" t="s">
        <v>164</v>
      </c>
    </row>
    <row r="1475" spans="1:7" x14ac:dyDescent="0.25">
      <c r="A1475" s="10" t="s">
        <v>2406</v>
      </c>
      <c r="B1475" s="10" t="s">
        <v>2414</v>
      </c>
      <c r="C1475" t="str">
        <f>Table13[[#This Row],[Manufacturer]]&amp;" "&amp;Table13[[#This Row],[Model]]</f>
        <v>Omni Spectra 2098-5304-54</v>
      </c>
      <c r="D1475" s="1">
        <v>10</v>
      </c>
      <c r="E1475" s="1">
        <v>10</v>
      </c>
      <c r="F1475" s="38">
        <v>5</v>
      </c>
      <c r="G1475" t="s">
        <v>164</v>
      </c>
    </row>
    <row r="1476" spans="1:7" x14ac:dyDescent="0.25">
      <c r="A1476" s="10" t="s">
        <v>2406</v>
      </c>
      <c r="B1476" s="10" t="s">
        <v>2413</v>
      </c>
      <c r="C1476" t="str">
        <f>Table13[[#This Row],[Manufacturer]]&amp;" "&amp;Table13[[#This Row],[Model]]</f>
        <v>Omni Spectra 2098-5619-54</v>
      </c>
      <c r="D1476" s="1">
        <v>6.6665999999999999</v>
      </c>
      <c r="E1476" s="1">
        <v>6.6665999999999999</v>
      </c>
      <c r="F1476" s="38">
        <v>30</v>
      </c>
      <c r="G1476" t="s">
        <v>164</v>
      </c>
    </row>
    <row r="1477" spans="1:7" x14ac:dyDescent="0.25">
      <c r="A1477" s="10" t="s">
        <v>2406</v>
      </c>
      <c r="B1477" s="10" t="s">
        <v>2412</v>
      </c>
      <c r="C1477" t="str">
        <f>Table13[[#This Row],[Manufacturer]]&amp;" "&amp;Table13[[#This Row],[Model]]</f>
        <v>Omni Spectra 2098-5830-54</v>
      </c>
      <c r="D1477" s="1" t="s">
        <v>226</v>
      </c>
      <c r="E1477" s="1" t="s">
        <v>1112</v>
      </c>
      <c r="F1477" s="38" t="s">
        <v>224</v>
      </c>
      <c r="G1477" t="s">
        <v>164</v>
      </c>
    </row>
    <row r="1478" spans="1:7" x14ac:dyDescent="0.25">
      <c r="A1478" s="10" t="s">
        <v>2406</v>
      </c>
      <c r="B1478" s="10" t="s">
        <v>2411</v>
      </c>
      <c r="C1478" t="str">
        <f>Table13[[#This Row],[Manufacturer]]&amp;" "&amp;Table13[[#This Row],[Model]]</f>
        <v>Omni Spectra 2598-5026-54</v>
      </c>
      <c r="D1478" s="1">
        <v>14.286</v>
      </c>
      <c r="E1478" s="1">
        <v>14.286</v>
      </c>
      <c r="F1478" s="38">
        <v>14</v>
      </c>
      <c r="G1478" t="s">
        <v>164</v>
      </c>
    </row>
    <row r="1479" spans="1:7" x14ac:dyDescent="0.25">
      <c r="A1479" s="10" t="s">
        <v>2406</v>
      </c>
      <c r="B1479" s="10" t="s">
        <v>2410</v>
      </c>
      <c r="C1479" t="str">
        <f>Table13[[#This Row],[Manufacturer]]&amp;" "&amp;Table13[[#This Row],[Model]]</f>
        <v>Omni Spectra 2598-5027-54</v>
      </c>
      <c r="D1479" s="1">
        <v>14.286</v>
      </c>
      <c r="E1479" s="1">
        <v>14.286</v>
      </c>
      <c r="F1479" s="38">
        <v>14</v>
      </c>
      <c r="G1479" t="s">
        <v>164</v>
      </c>
    </row>
    <row r="1480" spans="1:7" x14ac:dyDescent="0.25">
      <c r="A1480" s="10" t="s">
        <v>2406</v>
      </c>
      <c r="B1480" s="10" t="s">
        <v>2409</v>
      </c>
      <c r="C1480" t="str">
        <f>Table13[[#This Row],[Manufacturer]]&amp;" "&amp;Table13[[#This Row],[Model]]</f>
        <v>Omni Spectra 2598-5160-54</v>
      </c>
      <c r="D1480" s="1" t="s">
        <v>226</v>
      </c>
      <c r="E1480" s="1" t="s">
        <v>1112</v>
      </c>
      <c r="F1480" s="38" t="s">
        <v>224</v>
      </c>
      <c r="G1480" t="s">
        <v>164</v>
      </c>
    </row>
    <row r="1481" spans="1:7" x14ac:dyDescent="0.25">
      <c r="A1481" s="10" t="s">
        <v>2406</v>
      </c>
      <c r="B1481" s="10" t="s">
        <v>2408</v>
      </c>
      <c r="C1481" t="str">
        <f>Table13[[#This Row],[Manufacturer]]&amp;" "&amp;Table13[[#This Row],[Model]]</f>
        <v>Omni Spectra 2598-5298-54</v>
      </c>
      <c r="D1481" s="1">
        <v>14.286</v>
      </c>
      <c r="E1481" s="1">
        <v>14.286</v>
      </c>
      <c r="F1481" s="38">
        <v>14</v>
      </c>
      <c r="G1481" t="s">
        <v>164</v>
      </c>
    </row>
    <row r="1482" spans="1:7" x14ac:dyDescent="0.25">
      <c r="A1482" s="10" t="s">
        <v>2406</v>
      </c>
      <c r="B1482" s="10" t="s">
        <v>2407</v>
      </c>
      <c r="C1482" t="str">
        <f>Table13[[#This Row],[Manufacturer]]&amp;" "&amp;Table13[[#This Row],[Model]]</f>
        <v>Omni Spectra 2598-5383-50</v>
      </c>
      <c r="D1482" s="1">
        <v>13.333</v>
      </c>
      <c r="E1482" s="1">
        <v>13.333</v>
      </c>
      <c r="F1482" s="38">
        <v>15</v>
      </c>
      <c r="G1482" t="s">
        <v>164</v>
      </c>
    </row>
    <row r="1483" spans="1:7" x14ac:dyDescent="0.25">
      <c r="A1483" s="10" t="s">
        <v>2406</v>
      </c>
      <c r="B1483" s="10" t="s">
        <v>2405</v>
      </c>
      <c r="C1483" t="str">
        <f>Table13[[#This Row],[Manufacturer]]&amp;" "&amp;Table13[[#This Row],[Model]]</f>
        <v>Omni Spectra 7098-5031-54</v>
      </c>
      <c r="D1483" s="1">
        <v>14.286</v>
      </c>
      <c r="E1483" s="1">
        <v>14.286</v>
      </c>
      <c r="F1483" s="38">
        <v>14</v>
      </c>
      <c r="G1483" t="s">
        <v>164</v>
      </c>
    </row>
    <row r="1484" spans="1:7" x14ac:dyDescent="0.25">
      <c r="A1484" s="10" t="s">
        <v>2404</v>
      </c>
      <c r="B1484" s="10">
        <v>7477</v>
      </c>
      <c r="C1484" t="str">
        <f>Table13[[#This Row],[Manufacturer]]&amp;" "&amp;Table13[[#This Row],[Model]]</f>
        <v>OTC 7477</v>
      </c>
      <c r="D1484" s="1">
        <v>4</v>
      </c>
      <c r="E1484" s="1" t="s">
        <v>169</v>
      </c>
      <c r="F1484" s="38">
        <v>150</v>
      </c>
      <c r="G1484" t="s">
        <v>166</v>
      </c>
    </row>
    <row r="1485" spans="1:7" x14ac:dyDescent="0.25">
      <c r="A1485" s="10" t="s">
        <v>2403</v>
      </c>
      <c r="B1485" s="10">
        <v>62343561</v>
      </c>
      <c r="C1485" t="str">
        <f>Table13[[#This Row],[Manufacturer]]&amp;" "&amp;Table13[[#This Row],[Model]]</f>
        <v>Paramount 62343561</v>
      </c>
      <c r="D1485" s="1">
        <v>4</v>
      </c>
      <c r="E1485" s="1">
        <v>6</v>
      </c>
      <c r="F1485" s="38">
        <v>50</v>
      </c>
      <c r="G1485" t="s">
        <v>164</v>
      </c>
    </row>
    <row r="1486" spans="1:7" x14ac:dyDescent="0.25">
      <c r="A1486" s="10" t="s">
        <v>2403</v>
      </c>
      <c r="B1486" s="10" t="s">
        <v>2402</v>
      </c>
      <c r="C1486" t="str">
        <f>Table13[[#This Row],[Manufacturer]]&amp;" "&amp;Table13[[#This Row],[Model]]</f>
        <v>Paramount PAR-SARO063FT</v>
      </c>
      <c r="D1486" s="1">
        <v>3</v>
      </c>
      <c r="E1486" s="1">
        <v>6</v>
      </c>
      <c r="F1486" s="38">
        <v>20</v>
      </c>
      <c r="G1486" t="s">
        <v>166</v>
      </c>
    </row>
    <row r="1487" spans="1:7" x14ac:dyDescent="0.25">
      <c r="A1487" s="10" t="s">
        <v>2399</v>
      </c>
      <c r="B1487" s="10" t="s">
        <v>2401</v>
      </c>
      <c r="C1487" t="str">
        <f>Table13[[#This Row],[Manufacturer]]&amp;" "&amp;Table13[[#This Row],[Model]]</f>
        <v>Parker 77-350-TW</v>
      </c>
      <c r="D1487" s="1">
        <v>4</v>
      </c>
      <c r="E1487" s="1">
        <v>4</v>
      </c>
      <c r="F1487" s="38">
        <v>40</v>
      </c>
      <c r="G1487" t="s">
        <v>166</v>
      </c>
    </row>
    <row r="1488" spans="1:7" x14ac:dyDescent="0.25">
      <c r="A1488" s="10" t="s">
        <v>2399</v>
      </c>
      <c r="B1488" s="10" t="s">
        <v>2400</v>
      </c>
      <c r="C1488" t="str">
        <f>Table13[[#This Row],[Manufacturer]]&amp;" "&amp;Table13[[#This Row],[Model]]</f>
        <v>Parker 77-DISS-TW</v>
      </c>
      <c r="D1488" s="1">
        <v>4</v>
      </c>
      <c r="E1488" s="1">
        <v>4</v>
      </c>
      <c r="F1488" s="38">
        <v>35</v>
      </c>
      <c r="G1488" t="s">
        <v>166</v>
      </c>
    </row>
    <row r="1489" spans="1:7" x14ac:dyDescent="0.25">
      <c r="A1489" s="10" t="s">
        <v>2399</v>
      </c>
      <c r="B1489" s="10" t="s">
        <v>2398</v>
      </c>
      <c r="C1489" t="str">
        <f>Table13[[#This Row],[Manufacturer]]&amp;" "&amp;Table13[[#This Row],[Model]]</f>
        <v>Parker 77-DISS-TW-K</v>
      </c>
      <c r="D1489" s="1">
        <v>4</v>
      </c>
      <c r="E1489" s="1">
        <v>4</v>
      </c>
      <c r="F1489" s="38">
        <v>12</v>
      </c>
      <c r="G1489" t="s">
        <v>166</v>
      </c>
    </row>
    <row r="1490" spans="1:7" x14ac:dyDescent="0.25">
      <c r="A1490" s="10" t="s">
        <v>2380</v>
      </c>
      <c r="B1490" s="10" t="s">
        <v>2397</v>
      </c>
      <c r="C1490" t="str">
        <f>Table13[[#This Row],[Manufacturer]]&amp;" "&amp;Table13[[#This Row],[Model]]</f>
        <v>Pasternack PE5019-1</v>
      </c>
      <c r="D1490" s="1">
        <v>4.9379999999999997</v>
      </c>
      <c r="E1490" s="1" t="s">
        <v>169</v>
      </c>
      <c r="F1490" s="38">
        <v>8.1</v>
      </c>
      <c r="G1490" t="s">
        <v>164</v>
      </c>
    </row>
    <row r="1491" spans="1:7" x14ac:dyDescent="0.25">
      <c r="A1491" s="10" t="s">
        <v>2380</v>
      </c>
      <c r="B1491" s="10" t="s">
        <v>2396</v>
      </c>
      <c r="C1491" t="str">
        <f>Table13[[#This Row],[Manufacturer]]&amp;" "&amp;Table13[[#This Row],[Model]]</f>
        <v>Pasternack PE5019-10</v>
      </c>
      <c r="D1491" s="1">
        <v>4</v>
      </c>
      <c r="E1491" s="1">
        <v>4</v>
      </c>
      <c r="F1491" s="38">
        <v>12</v>
      </c>
      <c r="G1491" t="s">
        <v>164</v>
      </c>
    </row>
    <row r="1492" spans="1:7" x14ac:dyDescent="0.25">
      <c r="A1492" s="10" t="s">
        <v>2380</v>
      </c>
      <c r="B1492" s="10" t="s">
        <v>2395</v>
      </c>
      <c r="C1492" t="str">
        <f>Table13[[#This Row],[Manufacturer]]&amp;" "&amp;Table13[[#This Row],[Model]]</f>
        <v>Pasternack PE5019-11</v>
      </c>
      <c r="D1492" s="1">
        <v>5</v>
      </c>
      <c r="E1492" s="1" t="s">
        <v>169</v>
      </c>
      <c r="F1492" s="38">
        <v>3</v>
      </c>
      <c r="G1492" t="s">
        <v>164</v>
      </c>
    </row>
    <row r="1493" spans="1:7" x14ac:dyDescent="0.25">
      <c r="A1493" s="10" t="s">
        <v>2380</v>
      </c>
      <c r="B1493" s="10" t="s">
        <v>2394</v>
      </c>
      <c r="C1493" t="str">
        <f>Table13[[#This Row],[Manufacturer]]&amp;" "&amp;Table13[[#This Row],[Model]]</f>
        <v>Pasternack PE5019-12</v>
      </c>
      <c r="D1493" s="1">
        <v>5</v>
      </c>
      <c r="E1493" s="1" t="s">
        <v>169</v>
      </c>
      <c r="F1493" s="38">
        <v>2</v>
      </c>
      <c r="G1493" t="s">
        <v>164</v>
      </c>
    </row>
    <row r="1494" spans="1:7" x14ac:dyDescent="0.25">
      <c r="A1494" s="10" t="s">
        <v>2380</v>
      </c>
      <c r="B1494" s="10" t="s">
        <v>2393</v>
      </c>
      <c r="C1494" t="str">
        <f>Table13[[#This Row],[Manufacturer]]&amp;" "&amp;Table13[[#This Row],[Model]]</f>
        <v>Pasternack PE5019-13</v>
      </c>
      <c r="D1494" s="1">
        <v>4</v>
      </c>
      <c r="E1494" s="1" t="s">
        <v>169</v>
      </c>
      <c r="F1494" s="38">
        <v>5</v>
      </c>
      <c r="G1494" t="s">
        <v>164</v>
      </c>
    </row>
    <row r="1495" spans="1:7" x14ac:dyDescent="0.25">
      <c r="A1495" s="10" t="s">
        <v>2380</v>
      </c>
      <c r="B1495" s="10" t="s">
        <v>2392</v>
      </c>
      <c r="C1495" t="str">
        <f>Table13[[#This Row],[Manufacturer]]&amp;" "&amp;Table13[[#This Row],[Model]]</f>
        <v>Pasternack PE5019-14</v>
      </c>
      <c r="D1495" s="1">
        <v>4.9379999999999997</v>
      </c>
      <c r="E1495" s="1" t="s">
        <v>169</v>
      </c>
      <c r="F1495" s="38">
        <v>8.1</v>
      </c>
      <c r="G1495" t="s">
        <v>164</v>
      </c>
    </row>
    <row r="1496" spans="1:7" x14ac:dyDescent="0.25">
      <c r="A1496" s="10" t="s">
        <v>2380</v>
      </c>
      <c r="B1496" s="10" t="s">
        <v>2391</v>
      </c>
      <c r="C1496" t="str">
        <f>Table13[[#This Row],[Manufacturer]]&amp;" "&amp;Table13[[#This Row],[Model]]</f>
        <v>Pasternack PE5019-16</v>
      </c>
      <c r="D1496" s="1">
        <v>3.75</v>
      </c>
      <c r="E1496" s="1" t="s">
        <v>169</v>
      </c>
      <c r="F1496" s="38">
        <v>4</v>
      </c>
      <c r="G1496" t="s">
        <v>164</v>
      </c>
    </row>
    <row r="1497" spans="1:7" x14ac:dyDescent="0.25">
      <c r="A1497" s="10" t="s">
        <v>2380</v>
      </c>
      <c r="B1497" s="10" t="s">
        <v>2390</v>
      </c>
      <c r="C1497" t="str">
        <f>Table13[[#This Row],[Manufacturer]]&amp;" "&amp;Table13[[#This Row],[Model]]</f>
        <v>Pasternack PE5019-17</v>
      </c>
      <c r="D1497" s="1">
        <v>4</v>
      </c>
      <c r="E1497" s="1" t="s">
        <v>169</v>
      </c>
      <c r="F1497" s="38">
        <v>6</v>
      </c>
      <c r="G1497" t="s">
        <v>164</v>
      </c>
    </row>
    <row r="1498" spans="1:7" x14ac:dyDescent="0.25">
      <c r="A1498" s="10" t="s">
        <v>2380</v>
      </c>
      <c r="B1498" s="10" t="s">
        <v>2389</v>
      </c>
      <c r="C1498" t="str">
        <f>Table13[[#This Row],[Manufacturer]]&amp;" "&amp;Table13[[#This Row],[Model]]</f>
        <v>Pasternack PE5019-18</v>
      </c>
      <c r="D1498" s="1">
        <v>4</v>
      </c>
      <c r="E1498" s="1" t="s">
        <v>169</v>
      </c>
      <c r="F1498" s="38">
        <v>6</v>
      </c>
      <c r="G1498" t="s">
        <v>164</v>
      </c>
    </row>
    <row r="1499" spans="1:7" x14ac:dyDescent="0.25">
      <c r="A1499" s="10" t="s">
        <v>2380</v>
      </c>
      <c r="B1499" s="10" t="s">
        <v>2388</v>
      </c>
      <c r="C1499" t="str">
        <f>Table13[[#This Row],[Manufacturer]]&amp;" "&amp;Table13[[#This Row],[Model]]</f>
        <v>Pasternack PE5019-19</v>
      </c>
      <c r="D1499" s="1">
        <v>4</v>
      </c>
      <c r="E1499" s="1" t="s">
        <v>169</v>
      </c>
      <c r="F1499" s="38">
        <v>5</v>
      </c>
      <c r="G1499" t="s">
        <v>164</v>
      </c>
    </row>
    <row r="1500" spans="1:7" x14ac:dyDescent="0.25">
      <c r="A1500" s="10" t="s">
        <v>2380</v>
      </c>
      <c r="B1500" s="10" t="s">
        <v>2387</v>
      </c>
      <c r="C1500" t="str">
        <f>Table13[[#This Row],[Manufacturer]]&amp;" "&amp;Table13[[#This Row],[Model]]</f>
        <v>Pasternack PE5019-2</v>
      </c>
      <c r="D1500" s="1">
        <v>6.6666699999999999</v>
      </c>
      <c r="E1500" s="1" t="s">
        <v>169</v>
      </c>
      <c r="F1500" s="38">
        <v>12</v>
      </c>
      <c r="G1500" t="s">
        <v>164</v>
      </c>
    </row>
    <row r="1501" spans="1:7" x14ac:dyDescent="0.25">
      <c r="A1501" s="10" t="s">
        <v>2380</v>
      </c>
      <c r="B1501" s="10" t="s">
        <v>2386</v>
      </c>
      <c r="C1501" t="str">
        <f>Table13[[#This Row],[Manufacturer]]&amp;" "&amp;Table13[[#This Row],[Model]]</f>
        <v>Pasternack PE5019-3</v>
      </c>
      <c r="D1501" s="1">
        <v>4</v>
      </c>
      <c r="E1501" s="1" t="s">
        <v>169</v>
      </c>
      <c r="F1501" s="38">
        <v>8</v>
      </c>
      <c r="G1501" t="s">
        <v>164</v>
      </c>
    </row>
    <row r="1502" spans="1:7" x14ac:dyDescent="0.25">
      <c r="A1502" s="10" t="s">
        <v>2380</v>
      </c>
      <c r="B1502" s="10" t="s">
        <v>2385</v>
      </c>
      <c r="C1502" t="str">
        <f>Table13[[#This Row],[Manufacturer]]&amp;" "&amp;Table13[[#This Row],[Model]]</f>
        <v>Pasternack PE5019-4</v>
      </c>
      <c r="D1502" s="1">
        <v>4</v>
      </c>
      <c r="E1502" s="1" t="s">
        <v>169</v>
      </c>
      <c r="F1502" s="38">
        <v>14</v>
      </c>
      <c r="G1502" t="s">
        <v>164</v>
      </c>
    </row>
    <row r="1503" spans="1:7" x14ac:dyDescent="0.25">
      <c r="A1503" s="10" t="s">
        <v>2380</v>
      </c>
      <c r="B1503" s="10" t="s">
        <v>2384</v>
      </c>
      <c r="C1503" t="str">
        <f>Table13[[#This Row],[Manufacturer]]&amp;" "&amp;Table13[[#This Row],[Model]]</f>
        <v>Pasternack PE5019-5</v>
      </c>
      <c r="D1503" s="1">
        <v>4</v>
      </c>
      <c r="E1503" s="1" t="s">
        <v>169</v>
      </c>
      <c r="F1503" s="38">
        <v>8</v>
      </c>
      <c r="G1503" t="s">
        <v>164</v>
      </c>
    </row>
    <row r="1504" spans="1:7" x14ac:dyDescent="0.25">
      <c r="A1504" s="10" t="s">
        <v>2380</v>
      </c>
      <c r="B1504" s="10" t="s">
        <v>2383</v>
      </c>
      <c r="C1504" t="str">
        <f>Table13[[#This Row],[Manufacturer]]&amp;" "&amp;Table13[[#This Row],[Model]]</f>
        <v>Pasternack PE5019-6</v>
      </c>
      <c r="D1504" s="1">
        <v>4</v>
      </c>
      <c r="E1504" s="1" t="s">
        <v>169</v>
      </c>
      <c r="F1504" s="38">
        <v>14</v>
      </c>
      <c r="G1504" t="s">
        <v>164</v>
      </c>
    </row>
    <row r="1505" spans="1:7" x14ac:dyDescent="0.25">
      <c r="A1505" s="10" t="s">
        <v>2380</v>
      </c>
      <c r="B1505" s="10" t="s">
        <v>2382</v>
      </c>
      <c r="C1505" t="str">
        <f>Table13[[#This Row],[Manufacturer]]&amp;" "&amp;Table13[[#This Row],[Model]]</f>
        <v>Pasternack PE5019-7</v>
      </c>
      <c r="D1505" s="1">
        <v>4</v>
      </c>
      <c r="E1505" s="1" t="s">
        <v>169</v>
      </c>
      <c r="F1505" s="38">
        <v>8</v>
      </c>
      <c r="G1505" t="s">
        <v>164</v>
      </c>
    </row>
    <row r="1506" spans="1:7" x14ac:dyDescent="0.25">
      <c r="A1506" s="10" t="s">
        <v>2380</v>
      </c>
      <c r="B1506" s="10" t="s">
        <v>2381</v>
      </c>
      <c r="C1506" t="str">
        <f>Table13[[#This Row],[Manufacturer]]&amp;" "&amp;Table13[[#This Row],[Model]]</f>
        <v>Pasternack PE5019-8</v>
      </c>
      <c r="D1506" s="1">
        <v>4</v>
      </c>
      <c r="E1506" s="1" t="s">
        <v>169</v>
      </c>
      <c r="F1506" s="38">
        <v>14</v>
      </c>
      <c r="G1506" t="s">
        <v>164</v>
      </c>
    </row>
    <row r="1507" spans="1:7" x14ac:dyDescent="0.25">
      <c r="A1507" s="10" t="s">
        <v>2380</v>
      </c>
      <c r="B1507" s="10" t="s">
        <v>2379</v>
      </c>
      <c r="C1507" t="str">
        <f>Table13[[#This Row],[Manufacturer]]&amp;" "&amp;Table13[[#This Row],[Model]]</f>
        <v>Pasternack PE5019-9</v>
      </c>
      <c r="D1507" s="1">
        <v>5</v>
      </c>
      <c r="E1507" s="1" t="s">
        <v>169</v>
      </c>
      <c r="F1507" s="38">
        <v>12</v>
      </c>
      <c r="G1507" t="s">
        <v>164</v>
      </c>
    </row>
    <row r="1508" spans="1:7" x14ac:dyDescent="0.25">
      <c r="A1508" s="10" t="s">
        <v>2378</v>
      </c>
      <c r="B1508" s="10" t="s">
        <v>2377</v>
      </c>
      <c r="C1508" t="str">
        <f>Table13[[#This Row],[Manufacturer]]&amp;" "&amp;Table13[[#This Row],[Model]]</f>
        <v>Pedros DEMI3-15-NM</v>
      </c>
      <c r="D1508" s="1">
        <v>4</v>
      </c>
      <c r="E1508" s="1">
        <v>6</v>
      </c>
      <c r="F1508" s="38">
        <v>15</v>
      </c>
      <c r="G1508" t="s">
        <v>184</v>
      </c>
    </row>
    <row r="1509" spans="1:7" x14ac:dyDescent="0.25">
      <c r="A1509" s="10" t="s">
        <v>2376</v>
      </c>
      <c r="B1509" s="10" t="s">
        <v>2375</v>
      </c>
      <c r="C1509" t="str">
        <f>Table13[[#This Row],[Manufacturer]]&amp;" "&amp;Table13[[#This Row],[Model]]</f>
        <v>Performance Tool M199</v>
      </c>
      <c r="D1509" s="1">
        <v>4</v>
      </c>
      <c r="E1509" s="1">
        <v>4</v>
      </c>
      <c r="F1509" s="38">
        <v>250</v>
      </c>
      <c r="G1509" t="s">
        <v>166</v>
      </c>
    </row>
    <row r="1510" spans="1:7" x14ac:dyDescent="0.25">
      <c r="A1510" s="10" t="s">
        <v>2370</v>
      </c>
      <c r="B1510" s="10" t="s">
        <v>2374</v>
      </c>
      <c r="C1510" t="str">
        <f>Table13[[#This Row],[Manufacturer]]&amp;" "&amp;Table13[[#This Row],[Model]]</f>
        <v>Pittsburgh 0 - 180 in·lb</v>
      </c>
      <c r="D1510" s="1">
        <v>4</v>
      </c>
      <c r="E1510" s="1" t="s">
        <v>169</v>
      </c>
      <c r="F1510" s="38">
        <v>180</v>
      </c>
      <c r="G1510" t="s">
        <v>164</v>
      </c>
    </row>
    <row r="1511" spans="1:7" x14ac:dyDescent="0.25">
      <c r="A1511" s="10" t="s">
        <v>2370</v>
      </c>
      <c r="B1511" s="10" t="s">
        <v>2373</v>
      </c>
      <c r="C1511" t="str">
        <f>Table13[[#This Row],[Manufacturer]]&amp;" "&amp;Table13[[#This Row],[Model]]</f>
        <v>Pittsburgh 0 - 80 ft·lb</v>
      </c>
      <c r="D1511" s="1">
        <v>4</v>
      </c>
      <c r="E1511" s="1" t="s">
        <v>169</v>
      </c>
      <c r="F1511" s="38">
        <v>80</v>
      </c>
      <c r="G1511" t="s">
        <v>166</v>
      </c>
    </row>
    <row r="1512" spans="1:7" x14ac:dyDescent="0.25">
      <c r="A1512" s="10" t="s">
        <v>2370</v>
      </c>
      <c r="B1512" s="10" t="s">
        <v>2372</v>
      </c>
      <c r="C1512" t="str">
        <f>Table13[[#This Row],[Manufacturer]]&amp;" "&amp;Table13[[#This Row],[Model]]</f>
        <v>Pittsburgh 00807</v>
      </c>
      <c r="D1512" s="1">
        <v>4</v>
      </c>
      <c r="E1512" s="1" t="s">
        <v>169</v>
      </c>
      <c r="F1512" s="38">
        <v>80</v>
      </c>
      <c r="G1512" t="s">
        <v>166</v>
      </c>
    </row>
    <row r="1513" spans="1:7" x14ac:dyDescent="0.25">
      <c r="A1513" s="10" t="s">
        <v>2370</v>
      </c>
      <c r="B1513" s="10">
        <v>239</v>
      </c>
      <c r="C1513" t="str">
        <f>Table13[[#This Row],[Manufacturer]]&amp;" "&amp;Table13[[#This Row],[Model]]</f>
        <v>Pittsburgh 239</v>
      </c>
      <c r="D1513" s="1">
        <v>4</v>
      </c>
      <c r="E1513" s="1" t="s">
        <v>169</v>
      </c>
      <c r="F1513" s="38">
        <v>150</v>
      </c>
      <c r="G1513" t="s">
        <v>166</v>
      </c>
    </row>
    <row r="1514" spans="1:7" x14ac:dyDescent="0.25">
      <c r="A1514" s="10" t="s">
        <v>2370</v>
      </c>
      <c r="B1514" s="10" t="s">
        <v>2371</v>
      </c>
      <c r="C1514" t="str">
        <f>Table13[[#This Row],[Manufacturer]]&amp;" "&amp;Table13[[#This Row],[Model]]</f>
        <v>Pittsburgh 50 - 300 ft·lb</v>
      </c>
      <c r="D1514" s="1">
        <v>4</v>
      </c>
      <c r="E1514" s="1" t="s">
        <v>169</v>
      </c>
      <c r="F1514" s="38">
        <v>300</v>
      </c>
      <c r="G1514" t="s">
        <v>166</v>
      </c>
    </row>
    <row r="1515" spans="1:7" x14ac:dyDescent="0.25">
      <c r="A1515" s="10" t="s">
        <v>2370</v>
      </c>
      <c r="B1515" s="10">
        <v>61277</v>
      </c>
      <c r="C1515" t="str">
        <f>Table13[[#This Row],[Manufacturer]]&amp;" "&amp;Table13[[#This Row],[Model]]</f>
        <v>Pittsburgh 61277</v>
      </c>
      <c r="D1515" s="1">
        <v>4</v>
      </c>
      <c r="E1515" s="1">
        <v>4</v>
      </c>
      <c r="F1515" s="38">
        <v>200</v>
      </c>
      <c r="G1515" t="s">
        <v>164</v>
      </c>
    </row>
    <row r="1516" spans="1:7" x14ac:dyDescent="0.25">
      <c r="A1516" s="10" t="s">
        <v>2370</v>
      </c>
      <c r="B1516" s="10">
        <v>63883</v>
      </c>
      <c r="C1516" t="str">
        <f>Table13[[#This Row],[Manufacturer]]&amp;" "&amp;Table13[[#This Row],[Model]]</f>
        <v>Pittsburgh 63883</v>
      </c>
      <c r="D1516" s="1">
        <v>4</v>
      </c>
      <c r="E1516" s="1" t="s">
        <v>169</v>
      </c>
      <c r="F1516" s="38">
        <v>300</v>
      </c>
      <c r="G1516" t="s">
        <v>166</v>
      </c>
    </row>
    <row r="1517" spans="1:7" x14ac:dyDescent="0.25">
      <c r="A1517" s="10" t="s">
        <v>2277</v>
      </c>
      <c r="B1517" s="10" t="s">
        <v>2369</v>
      </c>
      <c r="C1517" t="str">
        <f>Table13[[#This Row],[Manufacturer]]&amp;" "&amp;Table13[[#This Row],[Model]]</f>
        <v>Precision Instruments D1F100H</v>
      </c>
      <c r="D1517" s="1">
        <v>2</v>
      </c>
      <c r="E1517" s="1">
        <v>2</v>
      </c>
      <c r="F1517" s="38">
        <v>100</v>
      </c>
      <c r="G1517" t="s">
        <v>164</v>
      </c>
    </row>
    <row r="1518" spans="1:7" x14ac:dyDescent="0.25">
      <c r="A1518" s="10" t="s">
        <v>2277</v>
      </c>
      <c r="B1518" s="10" t="s">
        <v>2368</v>
      </c>
      <c r="C1518" t="str">
        <f>Table13[[#This Row],[Manufacturer]]&amp;" "&amp;Table13[[#This Row],[Model]]</f>
        <v>Precision Instruments D1F100HL</v>
      </c>
      <c r="D1518" s="1">
        <v>2</v>
      </c>
      <c r="E1518" s="1">
        <v>2</v>
      </c>
      <c r="F1518" s="38">
        <v>100</v>
      </c>
      <c r="G1518" t="s">
        <v>164</v>
      </c>
    </row>
    <row r="1519" spans="1:7" x14ac:dyDescent="0.25">
      <c r="A1519" s="10" t="s">
        <v>2277</v>
      </c>
      <c r="B1519" s="10" t="s">
        <v>2367</v>
      </c>
      <c r="C1519" t="str">
        <f>Table13[[#This Row],[Manufacturer]]&amp;" "&amp;Table13[[#This Row],[Model]]</f>
        <v>Precision Instruments D1F100HM</v>
      </c>
      <c r="D1519" s="1">
        <v>2</v>
      </c>
      <c r="E1519" s="1">
        <v>2</v>
      </c>
      <c r="F1519" s="38">
        <v>100</v>
      </c>
      <c r="G1519" t="s">
        <v>164</v>
      </c>
    </row>
    <row r="1520" spans="1:7" x14ac:dyDescent="0.25">
      <c r="A1520" s="10" t="s">
        <v>2277</v>
      </c>
      <c r="B1520" s="10" t="s">
        <v>2366</v>
      </c>
      <c r="C1520" t="str">
        <f>Table13[[#This Row],[Manufacturer]]&amp;" "&amp;Table13[[#This Row],[Model]]</f>
        <v>Precision Instruments D1F10N</v>
      </c>
      <c r="D1520" s="1">
        <v>2</v>
      </c>
      <c r="E1520" s="1">
        <v>2</v>
      </c>
      <c r="F1520" s="38">
        <v>10</v>
      </c>
      <c r="G1520" t="s">
        <v>184</v>
      </c>
    </row>
    <row r="1521" spans="1:7" x14ac:dyDescent="0.25">
      <c r="A1521" s="10" t="s">
        <v>2277</v>
      </c>
      <c r="B1521" s="10" t="s">
        <v>2365</v>
      </c>
      <c r="C1521" t="str">
        <f>Table13[[#This Row],[Manufacturer]]&amp;" "&amp;Table13[[#This Row],[Model]]</f>
        <v>Precision Instruments D1F10NL</v>
      </c>
      <c r="D1521" s="1">
        <v>2</v>
      </c>
      <c r="E1521" s="1">
        <v>2</v>
      </c>
      <c r="F1521" s="38">
        <v>10</v>
      </c>
      <c r="G1521" t="s">
        <v>184</v>
      </c>
    </row>
    <row r="1522" spans="1:7" x14ac:dyDescent="0.25">
      <c r="A1522" s="10" t="s">
        <v>2277</v>
      </c>
      <c r="B1522" s="10" t="s">
        <v>2364</v>
      </c>
      <c r="C1522" t="str">
        <f>Table13[[#This Row],[Manufacturer]]&amp;" "&amp;Table13[[#This Row],[Model]]</f>
        <v>Precision Instruments D1F10NM</v>
      </c>
      <c r="D1522" s="1">
        <v>2</v>
      </c>
      <c r="E1522" s="1">
        <v>2</v>
      </c>
      <c r="F1522" s="38">
        <v>10</v>
      </c>
      <c r="G1522" t="s">
        <v>184</v>
      </c>
    </row>
    <row r="1523" spans="1:7" x14ac:dyDescent="0.25">
      <c r="A1523" s="10" t="s">
        <v>2277</v>
      </c>
      <c r="B1523" s="10" t="s">
        <v>2363</v>
      </c>
      <c r="C1523" t="str">
        <f>Table13[[#This Row],[Manufacturer]]&amp;" "&amp;Table13[[#This Row],[Model]]</f>
        <v>Precision Instruments D1F15CHK</v>
      </c>
      <c r="D1523" s="1">
        <v>2</v>
      </c>
      <c r="E1523" s="1">
        <v>2</v>
      </c>
      <c r="F1523" s="38">
        <v>15</v>
      </c>
      <c r="G1523" t="s">
        <v>164</v>
      </c>
    </row>
    <row r="1524" spans="1:7" x14ac:dyDescent="0.25">
      <c r="A1524" s="10" t="s">
        <v>2277</v>
      </c>
      <c r="B1524" s="10" t="s">
        <v>2362</v>
      </c>
      <c r="C1524" t="str">
        <f>Table13[[#This Row],[Manufacturer]]&amp;" "&amp;Table13[[#This Row],[Model]]</f>
        <v>Precision Instruments D1F15CHKL</v>
      </c>
      <c r="D1524" s="1">
        <v>2</v>
      </c>
      <c r="E1524" s="1">
        <v>2</v>
      </c>
      <c r="F1524" s="38">
        <v>15</v>
      </c>
      <c r="G1524" t="s">
        <v>164</v>
      </c>
    </row>
    <row r="1525" spans="1:7" x14ac:dyDescent="0.25">
      <c r="A1525" s="10" t="s">
        <v>2277</v>
      </c>
      <c r="B1525" s="10" t="s">
        <v>2361</v>
      </c>
      <c r="C1525" t="str">
        <f>Table13[[#This Row],[Manufacturer]]&amp;" "&amp;Table13[[#This Row],[Model]]</f>
        <v>Precision Instruments D1F15CHKM</v>
      </c>
      <c r="D1525" s="1">
        <v>2</v>
      </c>
      <c r="E1525" s="1">
        <v>2</v>
      </c>
      <c r="F1525" s="38">
        <v>15</v>
      </c>
      <c r="G1525" t="s">
        <v>164</v>
      </c>
    </row>
    <row r="1526" spans="1:7" x14ac:dyDescent="0.25">
      <c r="A1526" s="10" t="s">
        <v>2277</v>
      </c>
      <c r="B1526" s="10" t="s">
        <v>2360</v>
      </c>
      <c r="C1526" t="str">
        <f>Table13[[#This Row],[Manufacturer]]&amp;" "&amp;Table13[[#This Row],[Model]]</f>
        <v>Precision Instruments D1F15CHN</v>
      </c>
      <c r="D1526" s="1">
        <v>2</v>
      </c>
      <c r="E1526" s="1">
        <v>2</v>
      </c>
      <c r="F1526" s="38">
        <v>15</v>
      </c>
      <c r="G1526" t="s">
        <v>164</v>
      </c>
    </row>
    <row r="1527" spans="1:7" x14ac:dyDescent="0.25">
      <c r="A1527" s="10" t="s">
        <v>2277</v>
      </c>
      <c r="B1527" s="10" t="s">
        <v>2359</v>
      </c>
      <c r="C1527" t="str">
        <f>Table13[[#This Row],[Manufacturer]]&amp;" "&amp;Table13[[#This Row],[Model]]</f>
        <v>Precision Instruments D1F15CHNL</v>
      </c>
      <c r="D1527" s="1">
        <v>2</v>
      </c>
      <c r="E1527" s="1">
        <v>2</v>
      </c>
      <c r="F1527" s="38">
        <v>15</v>
      </c>
      <c r="G1527" t="s">
        <v>164</v>
      </c>
    </row>
    <row r="1528" spans="1:7" x14ac:dyDescent="0.25">
      <c r="A1528" s="10" t="s">
        <v>2277</v>
      </c>
      <c r="B1528" s="10" t="s">
        <v>2358</v>
      </c>
      <c r="C1528" t="str">
        <f>Table13[[#This Row],[Manufacturer]]&amp;" "&amp;Table13[[#This Row],[Model]]</f>
        <v>Precision Instruments D1F15CHNM</v>
      </c>
      <c r="D1528" s="1">
        <v>2</v>
      </c>
      <c r="E1528" s="1">
        <v>2</v>
      </c>
      <c r="F1528" s="38">
        <v>15</v>
      </c>
      <c r="G1528" t="s">
        <v>164</v>
      </c>
    </row>
    <row r="1529" spans="1:7" x14ac:dyDescent="0.25">
      <c r="A1529" s="10" t="s">
        <v>2277</v>
      </c>
      <c r="B1529" s="10" t="s">
        <v>2357</v>
      </c>
      <c r="C1529" t="str">
        <f>Table13[[#This Row],[Manufacturer]]&amp;" "&amp;Table13[[#This Row],[Model]]</f>
        <v>Precision Instruments D1F15CHWM</v>
      </c>
      <c r="D1529" s="1">
        <v>2</v>
      </c>
      <c r="E1529" s="1">
        <v>2</v>
      </c>
      <c r="F1529" s="38">
        <v>15</v>
      </c>
      <c r="G1529" t="s">
        <v>164</v>
      </c>
    </row>
    <row r="1530" spans="1:7" x14ac:dyDescent="0.25">
      <c r="A1530" s="10" t="s">
        <v>2277</v>
      </c>
      <c r="B1530" s="10" t="s">
        <v>2356</v>
      </c>
      <c r="C1530" t="str">
        <f>Table13[[#This Row],[Manufacturer]]&amp;" "&amp;Table13[[#This Row],[Model]]</f>
        <v>Precision Instruments D1F15H</v>
      </c>
      <c r="D1530" s="1">
        <v>2</v>
      </c>
      <c r="E1530" s="1">
        <v>2</v>
      </c>
      <c r="F1530" s="38">
        <v>15</v>
      </c>
      <c r="G1530" t="s">
        <v>164</v>
      </c>
    </row>
    <row r="1531" spans="1:7" x14ac:dyDescent="0.25">
      <c r="A1531" s="10" t="s">
        <v>2277</v>
      </c>
      <c r="B1531" s="10" t="s">
        <v>2355</v>
      </c>
      <c r="C1531" t="str">
        <f>Table13[[#This Row],[Manufacturer]]&amp;" "&amp;Table13[[#This Row],[Model]]</f>
        <v>Precision Instruments D1F15HL</v>
      </c>
      <c r="D1531" s="1">
        <v>2</v>
      </c>
      <c r="E1531" s="1">
        <v>2</v>
      </c>
      <c r="F1531" s="38">
        <v>15</v>
      </c>
      <c r="G1531" t="s">
        <v>164</v>
      </c>
    </row>
    <row r="1532" spans="1:7" x14ac:dyDescent="0.25">
      <c r="A1532" s="10" t="s">
        <v>2277</v>
      </c>
      <c r="B1532" s="10" t="s">
        <v>2354</v>
      </c>
      <c r="C1532" t="str">
        <f>Table13[[#This Row],[Manufacturer]]&amp;" "&amp;Table13[[#This Row],[Model]]</f>
        <v>Precision Instruments D1F15HM</v>
      </c>
      <c r="D1532" s="1">
        <v>2</v>
      </c>
      <c r="E1532" s="1">
        <v>2</v>
      </c>
      <c r="F1532" s="38">
        <v>15</v>
      </c>
      <c r="G1532" t="s">
        <v>164</v>
      </c>
    </row>
    <row r="1533" spans="1:7" x14ac:dyDescent="0.25">
      <c r="A1533" s="10" t="s">
        <v>2277</v>
      </c>
      <c r="B1533" s="10" t="s">
        <v>2353</v>
      </c>
      <c r="C1533" t="str">
        <f>Table13[[#This Row],[Manufacturer]]&amp;" "&amp;Table13[[#This Row],[Model]]</f>
        <v>Precision Instruments D1F240Z</v>
      </c>
      <c r="D1533" s="1">
        <v>2</v>
      </c>
      <c r="E1533" s="1">
        <v>2</v>
      </c>
      <c r="F1533" s="38">
        <v>240</v>
      </c>
      <c r="G1533" t="s">
        <v>172</v>
      </c>
    </row>
    <row r="1534" spans="1:7" x14ac:dyDescent="0.25">
      <c r="A1534" s="10" t="s">
        <v>2277</v>
      </c>
      <c r="B1534" s="10" t="s">
        <v>2352</v>
      </c>
      <c r="C1534" t="str">
        <f>Table13[[#This Row],[Manufacturer]]&amp;" "&amp;Table13[[#This Row],[Model]]</f>
        <v>Precision Instruments D1F240ZL</v>
      </c>
      <c r="D1534" s="1">
        <v>2</v>
      </c>
      <c r="E1534" s="1">
        <v>2</v>
      </c>
      <c r="F1534" s="38">
        <v>240</v>
      </c>
      <c r="G1534" t="s">
        <v>172</v>
      </c>
    </row>
    <row r="1535" spans="1:7" x14ac:dyDescent="0.25">
      <c r="A1535" s="10" t="s">
        <v>2277</v>
      </c>
      <c r="B1535" s="10" t="s">
        <v>2351</v>
      </c>
      <c r="C1535" t="str">
        <f>Table13[[#This Row],[Manufacturer]]&amp;" "&amp;Table13[[#This Row],[Model]]</f>
        <v>Precision Instruments D1F240ZM</v>
      </c>
      <c r="D1535" s="1">
        <v>2</v>
      </c>
      <c r="E1535" s="1">
        <v>2</v>
      </c>
      <c r="F1535" s="38">
        <v>240</v>
      </c>
      <c r="G1535" t="s">
        <v>172</v>
      </c>
    </row>
    <row r="1536" spans="1:7" x14ac:dyDescent="0.25">
      <c r="A1536" s="10" t="s">
        <v>2277</v>
      </c>
      <c r="B1536" s="10" t="s">
        <v>2350</v>
      </c>
      <c r="C1536" t="str">
        <f>Table13[[#This Row],[Manufacturer]]&amp;" "&amp;Table13[[#This Row],[Model]]</f>
        <v>Precision Instruments D1F30CHK</v>
      </c>
      <c r="D1536" s="1">
        <v>2</v>
      </c>
      <c r="E1536" s="1">
        <v>2</v>
      </c>
      <c r="F1536" s="38">
        <v>30</v>
      </c>
      <c r="G1536" t="s">
        <v>164</v>
      </c>
    </row>
    <row r="1537" spans="1:7" x14ac:dyDescent="0.25">
      <c r="A1537" s="10" t="s">
        <v>2277</v>
      </c>
      <c r="B1537" s="10" t="s">
        <v>2349</v>
      </c>
      <c r="C1537" t="str">
        <f>Table13[[#This Row],[Manufacturer]]&amp;" "&amp;Table13[[#This Row],[Model]]</f>
        <v>Precision Instruments D1F30CHKL</v>
      </c>
      <c r="D1537" s="1">
        <v>2</v>
      </c>
      <c r="E1537" s="1">
        <v>2</v>
      </c>
      <c r="F1537" s="38">
        <v>30</v>
      </c>
      <c r="G1537" t="s">
        <v>164</v>
      </c>
    </row>
    <row r="1538" spans="1:7" x14ac:dyDescent="0.25">
      <c r="A1538" s="10" t="s">
        <v>2277</v>
      </c>
      <c r="B1538" s="10" t="s">
        <v>2348</v>
      </c>
      <c r="C1538" t="str">
        <f>Table13[[#This Row],[Manufacturer]]&amp;" "&amp;Table13[[#This Row],[Model]]</f>
        <v>Precision Instruments D1F30CHKM</v>
      </c>
      <c r="D1538" s="1">
        <v>2</v>
      </c>
      <c r="E1538" s="1">
        <v>2</v>
      </c>
      <c r="F1538" s="38">
        <v>30</v>
      </c>
      <c r="G1538" t="s">
        <v>164</v>
      </c>
    </row>
    <row r="1539" spans="1:7" x14ac:dyDescent="0.25">
      <c r="A1539" s="10" t="s">
        <v>2277</v>
      </c>
      <c r="B1539" s="10" t="s">
        <v>2347</v>
      </c>
      <c r="C1539" t="str">
        <f>Table13[[#This Row],[Manufacturer]]&amp;" "&amp;Table13[[#This Row],[Model]]</f>
        <v>Precision Instruments D1F30CHN</v>
      </c>
      <c r="D1539" s="1">
        <v>2</v>
      </c>
      <c r="E1539" s="1">
        <v>2</v>
      </c>
      <c r="F1539" s="38">
        <v>30</v>
      </c>
      <c r="G1539" t="s">
        <v>164</v>
      </c>
    </row>
    <row r="1540" spans="1:7" x14ac:dyDescent="0.25">
      <c r="A1540" s="10" t="s">
        <v>2277</v>
      </c>
      <c r="B1540" s="10" t="s">
        <v>2346</v>
      </c>
      <c r="C1540" t="str">
        <f>Table13[[#This Row],[Manufacturer]]&amp;" "&amp;Table13[[#This Row],[Model]]</f>
        <v>Precision Instruments D1F30CHNL</v>
      </c>
      <c r="D1540" s="1">
        <v>2</v>
      </c>
      <c r="E1540" s="1">
        <v>2</v>
      </c>
      <c r="F1540" s="38">
        <v>30</v>
      </c>
      <c r="G1540" t="s">
        <v>164</v>
      </c>
    </row>
    <row r="1541" spans="1:7" x14ac:dyDescent="0.25">
      <c r="A1541" s="10" t="s">
        <v>2277</v>
      </c>
      <c r="B1541" s="10" t="s">
        <v>2345</v>
      </c>
      <c r="C1541" t="str">
        <f>Table13[[#This Row],[Manufacturer]]&amp;" "&amp;Table13[[#This Row],[Model]]</f>
        <v>Precision Instruments D1F30CHNM</v>
      </c>
      <c r="D1541" s="1">
        <v>2</v>
      </c>
      <c r="E1541" s="1">
        <v>2</v>
      </c>
      <c r="F1541" s="38">
        <v>30</v>
      </c>
      <c r="G1541" t="s">
        <v>164</v>
      </c>
    </row>
    <row r="1542" spans="1:7" x14ac:dyDescent="0.25">
      <c r="A1542" s="10" t="s">
        <v>2277</v>
      </c>
      <c r="B1542" s="10" t="s">
        <v>2344</v>
      </c>
      <c r="C1542" t="str">
        <f>Table13[[#This Row],[Manufacturer]]&amp;" "&amp;Table13[[#This Row],[Model]]</f>
        <v>Precision Instruments D1F30H</v>
      </c>
      <c r="D1542" s="1">
        <v>2</v>
      </c>
      <c r="E1542" s="1">
        <v>2</v>
      </c>
      <c r="F1542" s="38">
        <v>30</v>
      </c>
      <c r="G1542" t="s">
        <v>164</v>
      </c>
    </row>
    <row r="1543" spans="1:7" x14ac:dyDescent="0.25">
      <c r="A1543" s="10" t="s">
        <v>2277</v>
      </c>
      <c r="B1543" s="10" t="s">
        <v>2343</v>
      </c>
      <c r="C1543" t="str">
        <f>Table13[[#This Row],[Manufacturer]]&amp;" "&amp;Table13[[#This Row],[Model]]</f>
        <v>Precision Instruments D1F30HL</v>
      </c>
      <c r="D1543" s="1">
        <v>2</v>
      </c>
      <c r="E1543" s="1">
        <v>2</v>
      </c>
      <c r="F1543" s="38">
        <v>30</v>
      </c>
      <c r="G1543" t="s">
        <v>164</v>
      </c>
    </row>
    <row r="1544" spans="1:7" x14ac:dyDescent="0.25">
      <c r="A1544" s="10" t="s">
        <v>2277</v>
      </c>
      <c r="B1544" s="10" t="s">
        <v>2342</v>
      </c>
      <c r="C1544" t="str">
        <f>Table13[[#This Row],[Manufacturer]]&amp;" "&amp;Table13[[#This Row],[Model]]</f>
        <v>Precision Instruments D1F30HM</v>
      </c>
      <c r="D1544" s="1">
        <v>2</v>
      </c>
      <c r="E1544" s="1">
        <v>2</v>
      </c>
      <c r="F1544" s="38">
        <v>30</v>
      </c>
      <c r="G1544" t="s">
        <v>164</v>
      </c>
    </row>
    <row r="1545" spans="1:7" x14ac:dyDescent="0.25">
      <c r="A1545" s="10" t="s">
        <v>2277</v>
      </c>
      <c r="B1545" s="10" t="s">
        <v>2341</v>
      </c>
      <c r="C1545" t="str">
        <f>Table13[[#This Row],[Manufacturer]]&amp;" "&amp;Table13[[#This Row],[Model]]</f>
        <v>Precision Instruments D1F50CHK</v>
      </c>
      <c r="D1545" s="1">
        <v>2</v>
      </c>
      <c r="E1545" s="1">
        <v>2</v>
      </c>
      <c r="F1545" s="38">
        <v>50</v>
      </c>
      <c r="G1545" t="s">
        <v>164</v>
      </c>
    </row>
    <row r="1546" spans="1:7" x14ac:dyDescent="0.25">
      <c r="A1546" s="10" t="s">
        <v>2277</v>
      </c>
      <c r="B1546" s="10" t="s">
        <v>2340</v>
      </c>
      <c r="C1546" t="str">
        <f>Table13[[#This Row],[Manufacturer]]&amp;" "&amp;Table13[[#This Row],[Model]]</f>
        <v>Precision Instruments D1F50CHKL</v>
      </c>
      <c r="D1546" s="1">
        <v>2</v>
      </c>
      <c r="E1546" s="1">
        <v>2</v>
      </c>
      <c r="F1546" s="38">
        <v>50</v>
      </c>
      <c r="G1546" t="s">
        <v>164</v>
      </c>
    </row>
    <row r="1547" spans="1:7" x14ac:dyDescent="0.25">
      <c r="A1547" s="10" t="s">
        <v>2277</v>
      </c>
      <c r="B1547" s="10" t="s">
        <v>2339</v>
      </c>
      <c r="C1547" t="str">
        <f>Table13[[#This Row],[Manufacturer]]&amp;" "&amp;Table13[[#This Row],[Model]]</f>
        <v>Precision Instruments D1F50CHKM</v>
      </c>
      <c r="D1547" s="1">
        <v>2</v>
      </c>
      <c r="E1547" s="1">
        <v>2</v>
      </c>
      <c r="F1547" s="38">
        <v>50</v>
      </c>
      <c r="G1547" t="s">
        <v>164</v>
      </c>
    </row>
    <row r="1548" spans="1:7" x14ac:dyDescent="0.25">
      <c r="A1548" s="10" t="s">
        <v>2277</v>
      </c>
      <c r="B1548" s="10" t="s">
        <v>2338</v>
      </c>
      <c r="C1548" t="str">
        <f>Table13[[#This Row],[Manufacturer]]&amp;" "&amp;Table13[[#This Row],[Model]]</f>
        <v>Precision Instruments D1F50H</v>
      </c>
      <c r="D1548" s="1">
        <v>2</v>
      </c>
      <c r="E1548" s="1">
        <v>2</v>
      </c>
      <c r="F1548" s="38">
        <v>50</v>
      </c>
      <c r="G1548" t="s">
        <v>164</v>
      </c>
    </row>
    <row r="1549" spans="1:7" x14ac:dyDescent="0.25">
      <c r="A1549" s="10" t="s">
        <v>2277</v>
      </c>
      <c r="B1549" s="10" t="s">
        <v>2337</v>
      </c>
      <c r="C1549" t="str">
        <f>Table13[[#This Row],[Manufacturer]]&amp;" "&amp;Table13[[#This Row],[Model]]</f>
        <v>Precision Instruments D1F50HL</v>
      </c>
      <c r="D1549" s="1">
        <v>2</v>
      </c>
      <c r="E1549" s="1">
        <v>2</v>
      </c>
      <c r="F1549" s="38">
        <v>50</v>
      </c>
      <c r="G1549" t="s">
        <v>164</v>
      </c>
    </row>
    <row r="1550" spans="1:7" x14ac:dyDescent="0.25">
      <c r="A1550" s="10" t="s">
        <v>2277</v>
      </c>
      <c r="B1550" s="10" t="s">
        <v>2336</v>
      </c>
      <c r="C1550" t="str">
        <f>Table13[[#This Row],[Manufacturer]]&amp;" "&amp;Table13[[#This Row],[Model]]</f>
        <v>Precision Instruments D1F50HM</v>
      </c>
      <c r="D1550" s="1">
        <v>2</v>
      </c>
      <c r="E1550" s="1">
        <v>2</v>
      </c>
      <c r="F1550" s="38">
        <v>50</v>
      </c>
      <c r="G1550" t="s">
        <v>164</v>
      </c>
    </row>
    <row r="1551" spans="1:7" x14ac:dyDescent="0.25">
      <c r="A1551" s="10" t="s">
        <v>2277</v>
      </c>
      <c r="B1551" s="10" t="s">
        <v>2335</v>
      </c>
      <c r="C1551" t="str">
        <f>Table13[[#This Row],[Manufacturer]]&amp;" "&amp;Table13[[#This Row],[Model]]</f>
        <v>Precision Instruments D1F5N</v>
      </c>
      <c r="D1551" s="1">
        <v>2</v>
      </c>
      <c r="E1551" s="1">
        <v>2</v>
      </c>
      <c r="F1551" s="38">
        <v>5</v>
      </c>
      <c r="G1551" t="s">
        <v>184</v>
      </c>
    </row>
    <row r="1552" spans="1:7" x14ac:dyDescent="0.25">
      <c r="A1552" s="10" t="s">
        <v>2277</v>
      </c>
      <c r="B1552" s="10" t="s">
        <v>2334</v>
      </c>
      <c r="C1552" t="str">
        <f>Table13[[#This Row],[Manufacturer]]&amp;" "&amp;Table13[[#This Row],[Model]]</f>
        <v>Precision Instruments D1F5NL</v>
      </c>
      <c r="D1552" s="1">
        <v>2</v>
      </c>
      <c r="E1552" s="1">
        <v>2</v>
      </c>
      <c r="F1552" s="38">
        <v>5</v>
      </c>
      <c r="G1552" t="s">
        <v>184</v>
      </c>
    </row>
    <row r="1553" spans="1:7" x14ac:dyDescent="0.25">
      <c r="A1553" s="10" t="s">
        <v>2277</v>
      </c>
      <c r="B1553" s="10" t="s">
        <v>2333</v>
      </c>
      <c r="C1553" t="str">
        <f>Table13[[#This Row],[Manufacturer]]&amp;" "&amp;Table13[[#This Row],[Model]]</f>
        <v>Precision Instruments D1F5NM</v>
      </c>
      <c r="D1553" s="1">
        <v>2</v>
      </c>
      <c r="E1553" s="1">
        <v>2</v>
      </c>
      <c r="F1553" s="38">
        <v>5</v>
      </c>
      <c r="G1553" t="s">
        <v>184</v>
      </c>
    </row>
    <row r="1554" spans="1:7" x14ac:dyDescent="0.25">
      <c r="A1554" s="10" t="s">
        <v>2277</v>
      </c>
      <c r="B1554" s="10" t="s">
        <v>2332</v>
      </c>
      <c r="C1554" t="str">
        <f>Table13[[#This Row],[Manufacturer]]&amp;" "&amp;Table13[[#This Row],[Model]]</f>
        <v>Precision Instruments D1F75CHK</v>
      </c>
      <c r="D1554" s="1">
        <v>2</v>
      </c>
      <c r="E1554" s="1">
        <v>2</v>
      </c>
      <c r="F1554" s="38">
        <v>75</v>
      </c>
      <c r="G1554" t="s">
        <v>164</v>
      </c>
    </row>
    <row r="1555" spans="1:7" x14ac:dyDescent="0.25">
      <c r="A1555" s="10" t="s">
        <v>2277</v>
      </c>
      <c r="B1555" s="10" t="s">
        <v>2331</v>
      </c>
      <c r="C1555" t="str">
        <f>Table13[[#This Row],[Manufacturer]]&amp;" "&amp;Table13[[#This Row],[Model]]</f>
        <v>Precision Instruments D1F75CHKL</v>
      </c>
      <c r="D1555" s="1">
        <v>2</v>
      </c>
      <c r="E1555" s="1">
        <v>2</v>
      </c>
      <c r="F1555" s="38">
        <v>75</v>
      </c>
      <c r="G1555" t="s">
        <v>164</v>
      </c>
    </row>
    <row r="1556" spans="1:7" x14ac:dyDescent="0.25">
      <c r="A1556" s="10" t="s">
        <v>2277</v>
      </c>
      <c r="B1556" s="10" t="s">
        <v>2330</v>
      </c>
      <c r="C1556" t="str">
        <f>Table13[[#This Row],[Manufacturer]]&amp;" "&amp;Table13[[#This Row],[Model]]</f>
        <v>Precision Instruments D1F75CHKM</v>
      </c>
      <c r="D1556" s="1">
        <v>2</v>
      </c>
      <c r="E1556" s="1">
        <v>2</v>
      </c>
      <c r="F1556" s="38">
        <v>75</v>
      </c>
      <c r="G1556" t="s">
        <v>164</v>
      </c>
    </row>
    <row r="1557" spans="1:7" x14ac:dyDescent="0.25">
      <c r="A1557" s="10" t="s">
        <v>2277</v>
      </c>
      <c r="B1557" s="10" t="s">
        <v>2329</v>
      </c>
      <c r="C1557" t="str">
        <f>Table13[[#This Row],[Manufacturer]]&amp;" "&amp;Table13[[#This Row],[Model]]</f>
        <v>Precision Instruments D1F75CHN</v>
      </c>
      <c r="D1557" s="1">
        <v>2</v>
      </c>
      <c r="E1557" s="1">
        <v>2</v>
      </c>
      <c r="F1557" s="38">
        <v>75</v>
      </c>
      <c r="G1557" t="s">
        <v>164</v>
      </c>
    </row>
    <row r="1558" spans="1:7" x14ac:dyDescent="0.25">
      <c r="A1558" s="10" t="s">
        <v>2277</v>
      </c>
      <c r="B1558" s="10" t="s">
        <v>2328</v>
      </c>
      <c r="C1558" t="str">
        <f>Table13[[#This Row],[Manufacturer]]&amp;" "&amp;Table13[[#This Row],[Model]]</f>
        <v>Precision Instruments D1F75CHNL</v>
      </c>
      <c r="D1558" s="1">
        <v>2</v>
      </c>
      <c r="E1558" s="1">
        <v>2</v>
      </c>
      <c r="F1558" s="38">
        <v>75</v>
      </c>
      <c r="G1558" t="s">
        <v>164</v>
      </c>
    </row>
    <row r="1559" spans="1:7" x14ac:dyDescent="0.25">
      <c r="A1559" s="10" t="s">
        <v>2277</v>
      </c>
      <c r="B1559" s="10" t="s">
        <v>2327</v>
      </c>
      <c r="C1559" t="str">
        <f>Table13[[#This Row],[Manufacturer]]&amp;" "&amp;Table13[[#This Row],[Model]]</f>
        <v>Precision Instruments D1F75CHNM</v>
      </c>
      <c r="D1559" s="1">
        <v>2</v>
      </c>
      <c r="E1559" s="1">
        <v>2</v>
      </c>
      <c r="F1559" s="38">
        <v>75</v>
      </c>
      <c r="G1559" t="s">
        <v>164</v>
      </c>
    </row>
    <row r="1560" spans="1:7" x14ac:dyDescent="0.25">
      <c r="A1560" s="10" t="s">
        <v>2277</v>
      </c>
      <c r="B1560" s="10" t="s">
        <v>2326</v>
      </c>
      <c r="C1560" t="str">
        <f>Table13[[#This Row],[Manufacturer]]&amp;" "&amp;Table13[[#This Row],[Model]]</f>
        <v>Precision Instruments D1F75H</v>
      </c>
      <c r="D1560" s="1">
        <v>2</v>
      </c>
      <c r="E1560" s="1">
        <v>2</v>
      </c>
      <c r="F1560" s="38">
        <v>75</v>
      </c>
      <c r="G1560" t="s">
        <v>164</v>
      </c>
    </row>
    <row r="1561" spans="1:7" x14ac:dyDescent="0.25">
      <c r="A1561" s="10" t="s">
        <v>2277</v>
      </c>
      <c r="B1561" s="10" t="s">
        <v>2325</v>
      </c>
      <c r="C1561" t="str">
        <f>Table13[[#This Row],[Manufacturer]]&amp;" "&amp;Table13[[#This Row],[Model]]</f>
        <v>Precision Instruments D1F75HL</v>
      </c>
      <c r="D1561" s="1">
        <v>2</v>
      </c>
      <c r="E1561" s="1">
        <v>2</v>
      </c>
      <c r="F1561" s="38">
        <v>75</v>
      </c>
      <c r="G1561" t="s">
        <v>164</v>
      </c>
    </row>
    <row r="1562" spans="1:7" x14ac:dyDescent="0.25">
      <c r="A1562" s="10" t="s">
        <v>2277</v>
      </c>
      <c r="B1562" s="10" t="s">
        <v>2324</v>
      </c>
      <c r="C1562" t="str">
        <f>Table13[[#This Row],[Manufacturer]]&amp;" "&amp;Table13[[#This Row],[Model]]</f>
        <v>Precision Instruments D1F75HM</v>
      </c>
      <c r="D1562" s="1">
        <v>2</v>
      </c>
      <c r="E1562" s="1">
        <v>2</v>
      </c>
      <c r="F1562" s="38">
        <v>75</v>
      </c>
      <c r="G1562" t="s">
        <v>164</v>
      </c>
    </row>
    <row r="1563" spans="1:7" x14ac:dyDescent="0.25">
      <c r="A1563" s="10" t="s">
        <v>2277</v>
      </c>
      <c r="B1563" s="10" t="s">
        <v>2323</v>
      </c>
      <c r="C1563" t="str">
        <f>Table13[[#This Row],[Manufacturer]]&amp;" "&amp;Table13[[#This Row],[Model]]</f>
        <v>Precision Instruments D250CFNMC</v>
      </c>
      <c r="D1563" s="1">
        <v>2</v>
      </c>
      <c r="E1563" s="1">
        <v>2</v>
      </c>
      <c r="F1563" s="38">
        <v>50</v>
      </c>
      <c r="G1563" t="s">
        <v>166</v>
      </c>
    </row>
    <row r="1564" spans="1:7" x14ac:dyDescent="0.25">
      <c r="A1564" s="10" t="s">
        <v>2277</v>
      </c>
      <c r="B1564" s="10" t="s">
        <v>2322</v>
      </c>
      <c r="C1564" t="str">
        <f>Table13[[#This Row],[Manufacturer]]&amp;" "&amp;Table13[[#This Row],[Model]]</f>
        <v>Precision Instruments D3F100FMP</v>
      </c>
      <c r="D1564" s="1">
        <v>2</v>
      </c>
      <c r="E1564" s="1">
        <v>2</v>
      </c>
      <c r="F1564" s="38">
        <v>100</v>
      </c>
      <c r="G1564" t="s">
        <v>166</v>
      </c>
    </row>
    <row r="1565" spans="1:7" x14ac:dyDescent="0.25">
      <c r="A1565" s="10" t="s">
        <v>2277</v>
      </c>
      <c r="B1565" s="10" t="s">
        <v>2321</v>
      </c>
      <c r="C1565" t="str">
        <f>Table13[[#This Row],[Manufacturer]]&amp;" "&amp;Table13[[#This Row],[Model]]</f>
        <v>Precision Instruments DS1F192CZHMC</v>
      </c>
      <c r="D1565" s="1">
        <v>2</v>
      </c>
      <c r="E1565" s="1">
        <v>2</v>
      </c>
      <c r="F1565" s="38">
        <v>12</v>
      </c>
      <c r="G1565" t="s">
        <v>164</v>
      </c>
    </row>
    <row r="1566" spans="1:7" x14ac:dyDescent="0.25">
      <c r="A1566" s="10" t="s">
        <v>2277</v>
      </c>
      <c r="B1566" s="10" t="s">
        <v>2320</v>
      </c>
      <c r="C1566" t="str">
        <f>Table13[[#This Row],[Manufacturer]]&amp;" "&amp;Table13[[#This Row],[Model]]</f>
        <v>Precision Instruments DS1F384CZHMC</v>
      </c>
      <c r="D1566" s="1">
        <v>2</v>
      </c>
      <c r="E1566" s="1">
        <v>2</v>
      </c>
      <c r="F1566" s="38">
        <v>24</v>
      </c>
      <c r="G1566" t="s">
        <v>164</v>
      </c>
    </row>
    <row r="1567" spans="1:7" x14ac:dyDescent="0.25">
      <c r="A1567" s="10" t="s">
        <v>2277</v>
      </c>
      <c r="B1567" s="10" t="s">
        <v>2319</v>
      </c>
      <c r="C1567" t="str">
        <f>Table13[[#This Row],[Manufacturer]]&amp;" "&amp;Table13[[#This Row],[Model]]</f>
        <v>Precision Instruments DS1F48CZHM</v>
      </c>
      <c r="D1567" s="1">
        <v>2</v>
      </c>
      <c r="E1567" s="1">
        <v>2</v>
      </c>
      <c r="F1567" s="38">
        <v>40</v>
      </c>
      <c r="G1567" t="s">
        <v>172</v>
      </c>
    </row>
    <row r="1568" spans="1:7" x14ac:dyDescent="0.25">
      <c r="A1568" s="10" t="s">
        <v>2277</v>
      </c>
      <c r="B1568" s="10" t="s">
        <v>2318</v>
      </c>
      <c r="C1568" t="str">
        <f>Table13[[#This Row],[Manufacturer]]&amp;" "&amp;Table13[[#This Row],[Model]]</f>
        <v>Precision Instruments DS1F8Z</v>
      </c>
      <c r="D1568" s="1">
        <v>2</v>
      </c>
      <c r="E1568" s="1">
        <v>2</v>
      </c>
      <c r="F1568" s="38">
        <v>8</v>
      </c>
      <c r="G1568" t="s">
        <v>172</v>
      </c>
    </row>
    <row r="1569" spans="1:7" x14ac:dyDescent="0.25">
      <c r="A1569" s="10" t="s">
        <v>2277</v>
      </c>
      <c r="B1569" s="10" t="s">
        <v>2317</v>
      </c>
      <c r="C1569" t="str">
        <f>Table13[[#This Row],[Manufacturer]]&amp;" "&amp;Table13[[#This Row],[Model]]</f>
        <v>Precision Instruments DS1F96CZH</v>
      </c>
      <c r="D1569" s="1">
        <v>2</v>
      </c>
      <c r="E1569" s="1">
        <v>2</v>
      </c>
      <c r="F1569" s="38">
        <v>96</v>
      </c>
      <c r="G1569" t="s">
        <v>172</v>
      </c>
    </row>
    <row r="1570" spans="1:7" x14ac:dyDescent="0.25">
      <c r="A1570" s="10" t="s">
        <v>2277</v>
      </c>
      <c r="B1570" s="10" t="s">
        <v>2316</v>
      </c>
      <c r="C1570" t="str">
        <f>Table13[[#This Row],[Manufacturer]]&amp;" "&amp;Table13[[#This Row],[Model]]</f>
        <v>Precision Instruments DS1F96CZHM</v>
      </c>
      <c r="D1570" s="1">
        <v>2</v>
      </c>
      <c r="E1570" s="1">
        <v>2</v>
      </c>
      <c r="F1570" s="38">
        <v>96</v>
      </c>
      <c r="G1570" t="s">
        <v>172</v>
      </c>
    </row>
    <row r="1571" spans="1:7" x14ac:dyDescent="0.25">
      <c r="A1571" s="10" t="s">
        <v>2277</v>
      </c>
      <c r="B1571" s="10" t="s">
        <v>2315</v>
      </c>
      <c r="C1571" t="str">
        <f>Table13[[#This Row],[Manufacturer]]&amp;" "&amp;Table13[[#This Row],[Model]]</f>
        <v>Precision Instruments C2FR100F</v>
      </c>
      <c r="D1571" s="1">
        <v>4</v>
      </c>
      <c r="E1571" s="1" t="s">
        <v>169</v>
      </c>
      <c r="F1571" s="38">
        <v>100</v>
      </c>
      <c r="G1571" t="s">
        <v>166</v>
      </c>
    </row>
    <row r="1572" spans="1:7" x14ac:dyDescent="0.25">
      <c r="A1572" s="10" t="s">
        <v>2277</v>
      </c>
      <c r="B1572" s="10" t="s">
        <v>2314</v>
      </c>
      <c r="C1572" t="str">
        <f>Table13[[#This Row],[Manufacturer]]&amp;" "&amp;Table13[[#This Row],[Model]]</f>
        <v>Precision Instruments C2FR130N</v>
      </c>
      <c r="D1572" s="1">
        <v>4</v>
      </c>
      <c r="E1572" s="1" t="s">
        <v>169</v>
      </c>
      <c r="F1572" s="38">
        <v>135</v>
      </c>
      <c r="G1572" t="s">
        <v>184</v>
      </c>
    </row>
    <row r="1573" spans="1:7" x14ac:dyDescent="0.25">
      <c r="A1573" s="10" t="s">
        <v>2277</v>
      </c>
      <c r="B1573" s="10" t="s">
        <v>2313</v>
      </c>
      <c r="C1573" t="str">
        <f>Table13[[#This Row],[Manufacturer]]&amp;" "&amp;Table13[[#This Row],[Model]]</f>
        <v>Precision Instruments C2FR14M</v>
      </c>
      <c r="D1573" s="1">
        <v>4</v>
      </c>
      <c r="E1573" s="1" t="s">
        <v>169</v>
      </c>
      <c r="F1573" s="38">
        <v>14</v>
      </c>
      <c r="G1573" t="s">
        <v>258</v>
      </c>
    </row>
    <row r="1574" spans="1:7" x14ac:dyDescent="0.25">
      <c r="A1574" s="10" t="s">
        <v>2277</v>
      </c>
      <c r="B1574" s="10" t="s">
        <v>2312</v>
      </c>
      <c r="C1574" t="str">
        <f>Table13[[#This Row],[Manufacturer]]&amp;" "&amp;Table13[[#This Row],[Model]]</f>
        <v>Precision Instruments C2FR600H</v>
      </c>
      <c r="D1574" s="1">
        <v>4</v>
      </c>
      <c r="E1574" s="1" t="s">
        <v>169</v>
      </c>
      <c r="F1574" s="38">
        <v>600</v>
      </c>
      <c r="G1574" t="s">
        <v>164</v>
      </c>
    </row>
    <row r="1575" spans="1:7" x14ac:dyDescent="0.25">
      <c r="A1575" s="10" t="s">
        <v>2277</v>
      </c>
      <c r="B1575" s="10" t="s">
        <v>2311</v>
      </c>
      <c r="C1575" t="str">
        <f>Table13[[#This Row],[Manufacturer]]&amp;" "&amp;Table13[[#This Row],[Model]]</f>
        <v>Precision Instruments C2FR68N</v>
      </c>
      <c r="D1575" s="1">
        <v>4</v>
      </c>
      <c r="E1575" s="1" t="s">
        <v>169</v>
      </c>
      <c r="F1575" s="38">
        <v>68</v>
      </c>
      <c r="G1575" t="s">
        <v>184</v>
      </c>
    </row>
    <row r="1576" spans="1:7" x14ac:dyDescent="0.25">
      <c r="A1576" s="10" t="s">
        <v>2277</v>
      </c>
      <c r="B1576" s="10" t="s">
        <v>2310</v>
      </c>
      <c r="C1576" t="str">
        <f>Table13[[#This Row],[Manufacturer]]&amp;" "&amp;Table13[[#This Row],[Model]]</f>
        <v>Precision Instruments C2R100F</v>
      </c>
      <c r="D1576" s="1">
        <v>4</v>
      </c>
      <c r="E1576" s="1" t="s">
        <v>169</v>
      </c>
      <c r="F1576" s="38">
        <v>100</v>
      </c>
      <c r="G1576" t="s">
        <v>166</v>
      </c>
    </row>
    <row r="1577" spans="1:7" x14ac:dyDescent="0.25">
      <c r="A1577" s="10" t="s">
        <v>2277</v>
      </c>
      <c r="B1577" s="10" t="s">
        <v>2309</v>
      </c>
      <c r="C1577" t="str">
        <f>Table13[[#This Row],[Manufacturer]]&amp;" "&amp;Table13[[#This Row],[Model]]</f>
        <v>Precision Instruments C3F250F</v>
      </c>
      <c r="D1577" s="1">
        <v>4</v>
      </c>
      <c r="E1577" s="1" t="s">
        <v>169</v>
      </c>
      <c r="F1577" s="38">
        <v>250</v>
      </c>
      <c r="G1577" t="s">
        <v>166</v>
      </c>
    </row>
    <row r="1578" spans="1:7" x14ac:dyDescent="0.25">
      <c r="A1578" s="10" t="s">
        <v>2277</v>
      </c>
      <c r="B1578" s="10" t="s">
        <v>2308</v>
      </c>
      <c r="C1578" t="str">
        <f>Table13[[#This Row],[Manufacturer]]&amp;" "&amp;Table13[[#This Row],[Model]]</f>
        <v>Precision Instruments C3F34M</v>
      </c>
      <c r="D1578" s="1">
        <v>4</v>
      </c>
      <c r="E1578" s="1" t="s">
        <v>169</v>
      </c>
      <c r="F1578" s="38">
        <v>34</v>
      </c>
      <c r="G1578" t="s">
        <v>258</v>
      </c>
    </row>
    <row r="1579" spans="1:7" x14ac:dyDescent="0.25">
      <c r="A1579" s="10" t="s">
        <v>2277</v>
      </c>
      <c r="B1579" s="10" t="s">
        <v>2307</v>
      </c>
      <c r="C1579" t="str">
        <f>Table13[[#This Row],[Manufacturer]]&amp;" "&amp;Table13[[#This Row],[Model]]</f>
        <v>Precision Instruments C3FR250F</v>
      </c>
      <c r="D1579" s="1">
        <v>4</v>
      </c>
      <c r="E1579" s="1" t="s">
        <v>169</v>
      </c>
      <c r="F1579" s="38">
        <v>250</v>
      </c>
      <c r="G1579" t="s">
        <v>166</v>
      </c>
    </row>
    <row r="1580" spans="1:7" x14ac:dyDescent="0.25">
      <c r="A1580" s="10" t="s">
        <v>2277</v>
      </c>
      <c r="B1580" s="10" t="s">
        <v>2306</v>
      </c>
      <c r="C1580" t="str">
        <f>Table13[[#This Row],[Manufacturer]]&amp;" "&amp;Table13[[#This Row],[Model]]</f>
        <v>Precision Instruments C3FR34M</v>
      </c>
      <c r="D1580" s="1">
        <v>4</v>
      </c>
      <c r="E1580" s="1" t="s">
        <v>169</v>
      </c>
      <c r="F1580" s="38">
        <v>34</v>
      </c>
      <c r="G1580" t="s">
        <v>258</v>
      </c>
    </row>
    <row r="1581" spans="1:7" x14ac:dyDescent="0.25">
      <c r="A1581" s="10" t="s">
        <v>2277</v>
      </c>
      <c r="B1581" s="10" t="s">
        <v>2305</v>
      </c>
      <c r="C1581" t="str">
        <f>Table13[[#This Row],[Manufacturer]]&amp;" "&amp;Table13[[#This Row],[Model]]</f>
        <v>Precision Instruments C3FR350N</v>
      </c>
      <c r="D1581" s="1">
        <v>4</v>
      </c>
      <c r="E1581" s="1" t="s">
        <v>169</v>
      </c>
      <c r="F1581" s="38">
        <v>350</v>
      </c>
      <c r="G1581" t="s">
        <v>184</v>
      </c>
    </row>
    <row r="1582" spans="1:7" x14ac:dyDescent="0.25">
      <c r="A1582" s="10" t="s">
        <v>2277</v>
      </c>
      <c r="B1582" s="10" t="s">
        <v>2304</v>
      </c>
      <c r="C1582" t="str">
        <f>Table13[[#This Row],[Manufacturer]]&amp;" "&amp;Table13[[#This Row],[Model]]</f>
        <v>Precision Instruments C4D400F</v>
      </c>
      <c r="D1582" s="1">
        <v>4</v>
      </c>
      <c r="E1582" s="1" t="s">
        <v>169</v>
      </c>
      <c r="F1582" s="38">
        <v>400</v>
      </c>
      <c r="G1582" t="s">
        <v>166</v>
      </c>
    </row>
    <row r="1583" spans="1:7" x14ac:dyDescent="0.25">
      <c r="A1583" s="10" t="s">
        <v>2277</v>
      </c>
      <c r="B1583" s="10" t="s">
        <v>2303</v>
      </c>
      <c r="C1583" t="str">
        <f>Table13[[#This Row],[Manufacturer]]&amp;" "&amp;Table13[[#This Row],[Model]]</f>
        <v>Precision Instruments C4D600F</v>
      </c>
      <c r="D1583" s="1">
        <v>4</v>
      </c>
      <c r="E1583" s="1" t="s">
        <v>169</v>
      </c>
      <c r="F1583" s="38">
        <v>600</v>
      </c>
      <c r="G1583" t="s">
        <v>166</v>
      </c>
    </row>
    <row r="1584" spans="1:7" x14ac:dyDescent="0.25">
      <c r="A1584" s="10" t="s">
        <v>2277</v>
      </c>
      <c r="B1584" s="10" t="s">
        <v>2302</v>
      </c>
      <c r="C1584" t="str">
        <f>Table13[[#This Row],[Manufacturer]]&amp;" "&amp;Table13[[#This Row],[Model]]</f>
        <v>Precision Instruments C4D800N</v>
      </c>
      <c r="D1584" s="1">
        <v>4</v>
      </c>
      <c r="E1584" s="1" t="s">
        <v>169</v>
      </c>
      <c r="F1584" s="38">
        <v>800</v>
      </c>
      <c r="G1584" t="s">
        <v>184</v>
      </c>
    </row>
    <row r="1585" spans="1:7" x14ac:dyDescent="0.25">
      <c r="A1585" s="10" t="s">
        <v>2277</v>
      </c>
      <c r="B1585" s="10" t="s">
        <v>2301</v>
      </c>
      <c r="C1585" t="str">
        <f>Table13[[#This Row],[Manufacturer]]&amp;" "&amp;Table13[[#This Row],[Model]]</f>
        <v>Precision Instruments C4D80M</v>
      </c>
      <c r="D1585" s="1">
        <v>4</v>
      </c>
      <c r="E1585" s="1" t="s">
        <v>169</v>
      </c>
      <c r="F1585" s="38">
        <v>80</v>
      </c>
      <c r="G1585" t="s">
        <v>258</v>
      </c>
    </row>
    <row r="1586" spans="1:7" x14ac:dyDescent="0.25">
      <c r="A1586" s="10" t="s">
        <v>2277</v>
      </c>
      <c r="B1586" s="10" t="s">
        <v>2300</v>
      </c>
      <c r="C1586" t="str">
        <f>Table13[[#This Row],[Manufacturer]]&amp;" "&amp;Table13[[#This Row],[Model]]</f>
        <v>Precision Instruments C5D600F</v>
      </c>
      <c r="D1586" s="1">
        <v>4</v>
      </c>
      <c r="E1586" s="1" t="s">
        <v>169</v>
      </c>
      <c r="F1586" s="38">
        <v>600</v>
      </c>
      <c r="G1586" t="s">
        <v>166</v>
      </c>
    </row>
    <row r="1587" spans="1:7" x14ac:dyDescent="0.25">
      <c r="A1587" s="10" t="s">
        <v>2277</v>
      </c>
      <c r="B1587" s="10" t="s">
        <v>2299</v>
      </c>
      <c r="C1587" t="str">
        <f>Table13[[#This Row],[Manufacturer]]&amp;" "&amp;Table13[[#This Row],[Model]]</f>
        <v>Precision Instruments M1F200H</v>
      </c>
      <c r="D1587" s="1">
        <v>3</v>
      </c>
      <c r="E1587" s="1">
        <v>3</v>
      </c>
      <c r="F1587" s="38">
        <v>200</v>
      </c>
      <c r="G1587" t="s">
        <v>164</v>
      </c>
    </row>
    <row r="1588" spans="1:7" x14ac:dyDescent="0.25">
      <c r="A1588" s="10" t="s">
        <v>2277</v>
      </c>
      <c r="B1588" s="10" t="s">
        <v>2298</v>
      </c>
      <c r="C1588" t="str">
        <f>Table13[[#This Row],[Manufacturer]]&amp;" "&amp;Table13[[#This Row],[Model]]</f>
        <v>Precision Instruments M1F200HXB</v>
      </c>
      <c r="D1588" s="1">
        <v>3</v>
      </c>
      <c r="E1588" s="1">
        <v>3</v>
      </c>
      <c r="F1588" s="38">
        <v>200</v>
      </c>
      <c r="G1588" t="s">
        <v>164</v>
      </c>
    </row>
    <row r="1589" spans="1:7" x14ac:dyDescent="0.25">
      <c r="A1589" s="10" t="s">
        <v>2277</v>
      </c>
      <c r="B1589" s="10" t="s">
        <v>2297</v>
      </c>
      <c r="C1589" t="str">
        <f>Table13[[#This Row],[Manufacturer]]&amp;" "&amp;Table13[[#This Row],[Model]]</f>
        <v>Precision Instruments M1F50H</v>
      </c>
      <c r="D1589" s="1">
        <v>3</v>
      </c>
      <c r="E1589" s="1">
        <v>3</v>
      </c>
      <c r="F1589" s="38">
        <v>50</v>
      </c>
      <c r="G1589" t="s">
        <v>164</v>
      </c>
    </row>
    <row r="1590" spans="1:7" x14ac:dyDescent="0.25">
      <c r="A1590" s="10" t="s">
        <v>2277</v>
      </c>
      <c r="B1590" s="10" t="s">
        <v>2296</v>
      </c>
      <c r="C1590" t="str">
        <f>Table13[[#This Row],[Manufacturer]]&amp;" "&amp;Table13[[#This Row],[Model]]</f>
        <v>Precision Instruments M1F50HB</v>
      </c>
      <c r="D1590" s="1">
        <v>3</v>
      </c>
      <c r="E1590" s="1">
        <v>3</v>
      </c>
      <c r="F1590" s="38">
        <v>50</v>
      </c>
      <c r="G1590" t="s">
        <v>164</v>
      </c>
    </row>
    <row r="1591" spans="1:7" x14ac:dyDescent="0.25">
      <c r="A1591" s="10" t="s">
        <v>2277</v>
      </c>
      <c r="B1591" s="10" t="s">
        <v>2295</v>
      </c>
      <c r="C1591" t="str">
        <f>Table13[[#This Row],[Manufacturer]]&amp;" "&amp;Table13[[#This Row],[Model]]</f>
        <v>Precision Instruments M1R200H</v>
      </c>
      <c r="D1591" s="1">
        <v>3</v>
      </c>
      <c r="E1591" s="1">
        <v>3</v>
      </c>
      <c r="F1591" s="38">
        <v>200</v>
      </c>
      <c r="G1591" t="s">
        <v>164</v>
      </c>
    </row>
    <row r="1592" spans="1:7" x14ac:dyDescent="0.25">
      <c r="A1592" s="10" t="s">
        <v>2277</v>
      </c>
      <c r="B1592" s="10" t="s">
        <v>2294</v>
      </c>
      <c r="C1592" t="str">
        <f>Table13[[#This Row],[Manufacturer]]&amp;" "&amp;Table13[[#This Row],[Model]]</f>
        <v>Precision Instruments M1R200HC</v>
      </c>
      <c r="D1592" s="1">
        <v>3</v>
      </c>
      <c r="E1592" s="1">
        <v>3</v>
      </c>
      <c r="F1592" s="38">
        <v>200</v>
      </c>
      <c r="G1592" t="s">
        <v>164</v>
      </c>
    </row>
    <row r="1593" spans="1:7" x14ac:dyDescent="0.25">
      <c r="A1593" s="10" t="s">
        <v>2277</v>
      </c>
      <c r="B1593" s="10" t="s">
        <v>2293</v>
      </c>
      <c r="C1593" t="str">
        <f>Table13[[#This Row],[Manufacturer]]&amp;" "&amp;Table13[[#This Row],[Model]]</f>
        <v>Precision Instruments M1R200HX</v>
      </c>
      <c r="D1593" s="1">
        <v>3</v>
      </c>
      <c r="E1593" s="1">
        <v>3</v>
      </c>
      <c r="F1593" s="38">
        <v>200</v>
      </c>
      <c r="G1593" t="s">
        <v>164</v>
      </c>
    </row>
    <row r="1594" spans="1:7" x14ac:dyDescent="0.25">
      <c r="A1594" s="10" t="s">
        <v>2277</v>
      </c>
      <c r="B1594" s="10" t="s">
        <v>2292</v>
      </c>
      <c r="C1594" t="str">
        <f>Table13[[#This Row],[Manufacturer]]&amp;" "&amp;Table13[[#This Row],[Model]]</f>
        <v>Precision Instruments M1R50H</v>
      </c>
      <c r="D1594" s="1">
        <v>3</v>
      </c>
      <c r="E1594" s="1">
        <v>3</v>
      </c>
      <c r="F1594" s="38">
        <v>50</v>
      </c>
      <c r="G1594" t="s">
        <v>164</v>
      </c>
    </row>
    <row r="1595" spans="1:7" x14ac:dyDescent="0.25">
      <c r="A1595" s="10" t="s">
        <v>2277</v>
      </c>
      <c r="B1595" s="10" t="s">
        <v>2291</v>
      </c>
      <c r="C1595" t="str">
        <f>Table13[[#This Row],[Manufacturer]]&amp;" "&amp;Table13[[#This Row],[Model]]</f>
        <v>Precision Instruments M2F1000H</v>
      </c>
      <c r="D1595" s="1">
        <v>3</v>
      </c>
      <c r="E1595" s="1">
        <v>3</v>
      </c>
      <c r="F1595" s="38">
        <v>1000</v>
      </c>
      <c r="G1595" t="s">
        <v>164</v>
      </c>
    </row>
    <row r="1596" spans="1:7" x14ac:dyDescent="0.25">
      <c r="A1596" s="10" t="s">
        <v>2277</v>
      </c>
      <c r="B1596" s="10" t="s">
        <v>2290</v>
      </c>
      <c r="C1596" t="str">
        <f>Table13[[#This Row],[Manufacturer]]&amp;" "&amp;Table13[[#This Row],[Model]]</f>
        <v>Precision Instruments M2F1000HXB</v>
      </c>
      <c r="D1596" s="1">
        <v>3</v>
      </c>
      <c r="E1596" s="1">
        <v>3</v>
      </c>
      <c r="F1596" s="38">
        <v>1000</v>
      </c>
      <c r="G1596" t="s">
        <v>164</v>
      </c>
    </row>
    <row r="1597" spans="1:7" x14ac:dyDescent="0.25">
      <c r="A1597" s="10" t="s">
        <v>2277</v>
      </c>
      <c r="B1597" s="10" t="s">
        <v>2289</v>
      </c>
      <c r="C1597" t="str">
        <f>Table13[[#This Row],[Manufacturer]]&amp;" "&amp;Table13[[#This Row],[Model]]</f>
        <v>Precision Instruments M2F100F</v>
      </c>
      <c r="D1597" s="1">
        <v>3</v>
      </c>
      <c r="E1597" s="1">
        <v>3</v>
      </c>
      <c r="F1597" s="38">
        <v>100</v>
      </c>
      <c r="G1597" t="s">
        <v>166</v>
      </c>
    </row>
    <row r="1598" spans="1:7" x14ac:dyDescent="0.25">
      <c r="A1598" s="10" t="s">
        <v>2277</v>
      </c>
      <c r="B1598" s="10" t="s">
        <v>2288</v>
      </c>
      <c r="C1598" t="str">
        <f>Table13[[#This Row],[Manufacturer]]&amp;" "&amp;Table13[[#This Row],[Model]]</f>
        <v>Precision Instruments M2FR100F</v>
      </c>
      <c r="D1598" s="1">
        <v>3</v>
      </c>
      <c r="E1598" s="1">
        <v>3</v>
      </c>
      <c r="F1598" s="38">
        <v>100</v>
      </c>
      <c r="G1598" t="s">
        <v>166</v>
      </c>
    </row>
    <row r="1599" spans="1:7" x14ac:dyDescent="0.25">
      <c r="A1599" s="10" t="s">
        <v>2277</v>
      </c>
      <c r="B1599" s="10" t="s">
        <v>2287</v>
      </c>
      <c r="C1599" t="str">
        <f>Table13[[#This Row],[Manufacturer]]&amp;" "&amp;Table13[[#This Row],[Model]]</f>
        <v>Precision Instruments M2R1000H</v>
      </c>
      <c r="D1599" s="1">
        <v>3</v>
      </c>
      <c r="E1599" s="1">
        <v>3</v>
      </c>
      <c r="F1599" s="38">
        <v>1000</v>
      </c>
      <c r="G1599" t="s">
        <v>164</v>
      </c>
    </row>
    <row r="1600" spans="1:7" x14ac:dyDescent="0.25">
      <c r="A1600" s="10" t="s">
        <v>2277</v>
      </c>
      <c r="B1600" s="10" t="s">
        <v>2286</v>
      </c>
      <c r="C1600" t="str">
        <f>Table13[[#This Row],[Manufacturer]]&amp;" "&amp;Table13[[#This Row],[Model]]</f>
        <v>Precision Instruments M2R1000HX</v>
      </c>
      <c r="D1600" s="1">
        <v>3</v>
      </c>
      <c r="E1600" s="1">
        <v>3</v>
      </c>
      <c r="F1600" s="38">
        <v>1000</v>
      </c>
      <c r="G1600" t="s">
        <v>164</v>
      </c>
    </row>
    <row r="1601" spans="1:7" x14ac:dyDescent="0.25">
      <c r="A1601" s="10" t="s">
        <v>2277</v>
      </c>
      <c r="B1601" s="10" t="s">
        <v>2285</v>
      </c>
      <c r="C1601" t="str">
        <f>Table13[[#This Row],[Manufacturer]]&amp;" "&amp;Table13[[#This Row],[Model]]</f>
        <v>Precision Instruments M2R100F</v>
      </c>
      <c r="D1601" s="1">
        <v>3</v>
      </c>
      <c r="E1601" s="1">
        <v>3</v>
      </c>
      <c r="F1601" s="38">
        <v>100</v>
      </c>
      <c r="G1601" t="s">
        <v>166</v>
      </c>
    </row>
    <row r="1602" spans="1:7" x14ac:dyDescent="0.25">
      <c r="A1602" s="10" t="s">
        <v>2277</v>
      </c>
      <c r="B1602" s="10" t="s">
        <v>2284</v>
      </c>
      <c r="C1602" t="str">
        <f>Table13[[#This Row],[Manufacturer]]&amp;" "&amp;Table13[[#This Row],[Model]]</f>
        <v>Precision Instruments M2R200H</v>
      </c>
      <c r="D1602" s="1">
        <v>3</v>
      </c>
      <c r="E1602" s="1">
        <v>3</v>
      </c>
      <c r="F1602" s="38">
        <v>200</v>
      </c>
      <c r="G1602" t="s">
        <v>164</v>
      </c>
    </row>
    <row r="1603" spans="1:7" x14ac:dyDescent="0.25">
      <c r="A1603" s="10" t="s">
        <v>2277</v>
      </c>
      <c r="B1603" s="10" t="s">
        <v>2283</v>
      </c>
      <c r="C1603" t="str">
        <f>Table13[[#This Row],[Manufacturer]]&amp;" "&amp;Table13[[#This Row],[Model]]</f>
        <v>Precision Instruments M2R200HX</v>
      </c>
      <c r="D1603" s="1">
        <v>3</v>
      </c>
      <c r="E1603" s="1">
        <v>3</v>
      </c>
      <c r="F1603" s="38">
        <v>200</v>
      </c>
      <c r="G1603" t="s">
        <v>164</v>
      </c>
    </row>
    <row r="1604" spans="1:7" x14ac:dyDescent="0.25">
      <c r="A1604" s="10" t="s">
        <v>2277</v>
      </c>
      <c r="B1604" s="10" t="s">
        <v>2282</v>
      </c>
      <c r="C1604" t="str">
        <f>Table13[[#This Row],[Manufacturer]]&amp;" "&amp;Table13[[#This Row],[Model]]</f>
        <v>Precision Instruments M3F2500H</v>
      </c>
      <c r="D1604" s="1">
        <v>3</v>
      </c>
      <c r="E1604" s="1">
        <v>3</v>
      </c>
      <c r="F1604" s="38">
        <v>2500</v>
      </c>
      <c r="G1604" t="s">
        <v>164</v>
      </c>
    </row>
    <row r="1605" spans="1:7" x14ac:dyDescent="0.25">
      <c r="A1605" s="10" t="s">
        <v>2277</v>
      </c>
      <c r="B1605" s="10" t="s">
        <v>2281</v>
      </c>
      <c r="C1605" t="str">
        <f>Table13[[#This Row],[Manufacturer]]&amp;" "&amp;Table13[[#This Row],[Model]]</f>
        <v>Precision Instruments M3F2500HXB</v>
      </c>
      <c r="D1605" s="1">
        <v>3</v>
      </c>
      <c r="E1605" s="1">
        <v>3</v>
      </c>
      <c r="F1605" s="38">
        <v>2500</v>
      </c>
      <c r="G1605" t="s">
        <v>164</v>
      </c>
    </row>
    <row r="1606" spans="1:7" x14ac:dyDescent="0.25">
      <c r="A1606" s="10" t="s">
        <v>2277</v>
      </c>
      <c r="B1606" s="10" t="s">
        <v>2280</v>
      </c>
      <c r="C1606" t="str">
        <f>Table13[[#This Row],[Manufacturer]]&amp;" "&amp;Table13[[#This Row],[Model]]</f>
        <v>Precision Instruments M3F250F</v>
      </c>
      <c r="D1606" s="1">
        <v>3</v>
      </c>
      <c r="E1606" s="1">
        <v>3</v>
      </c>
      <c r="F1606" s="38">
        <v>250</v>
      </c>
      <c r="G1606" t="s">
        <v>166</v>
      </c>
    </row>
    <row r="1607" spans="1:7" x14ac:dyDescent="0.25">
      <c r="A1607" s="10" t="s">
        <v>2277</v>
      </c>
      <c r="B1607" s="10" t="s">
        <v>2279</v>
      </c>
      <c r="C1607" t="str">
        <f>Table13[[#This Row],[Manufacturer]]&amp;" "&amp;Table13[[#This Row],[Model]]</f>
        <v>Precision Instruments M3R2500H</v>
      </c>
      <c r="D1607" s="1">
        <v>3</v>
      </c>
      <c r="E1607" s="1">
        <v>3</v>
      </c>
      <c r="F1607" s="38">
        <v>2500</v>
      </c>
      <c r="G1607" t="s">
        <v>164</v>
      </c>
    </row>
    <row r="1608" spans="1:7" x14ac:dyDescent="0.25">
      <c r="A1608" s="10" t="s">
        <v>2277</v>
      </c>
      <c r="B1608" s="10" t="s">
        <v>2278</v>
      </c>
      <c r="C1608" t="str">
        <f>Table13[[#This Row],[Manufacturer]]&amp;" "&amp;Table13[[#This Row],[Model]]</f>
        <v>Precision Instruments M3R2500HX</v>
      </c>
      <c r="D1608" s="1">
        <v>3</v>
      </c>
      <c r="E1608" s="1">
        <v>3</v>
      </c>
      <c r="F1608" s="38">
        <v>2500</v>
      </c>
      <c r="G1608" t="s">
        <v>164</v>
      </c>
    </row>
    <row r="1609" spans="1:7" x14ac:dyDescent="0.25">
      <c r="A1609" s="10" t="s">
        <v>2277</v>
      </c>
      <c r="B1609" s="10" t="s">
        <v>2276</v>
      </c>
      <c r="C1609" t="str">
        <f>Table13[[#This Row],[Manufacturer]]&amp;" "&amp;Table13[[#This Row],[Model]]</f>
        <v>Precision Instruments M3R250F</v>
      </c>
      <c r="D1609" s="1">
        <v>3</v>
      </c>
      <c r="E1609" s="1">
        <v>3</v>
      </c>
      <c r="F1609" s="38">
        <v>250</v>
      </c>
      <c r="G1609" t="s">
        <v>166</v>
      </c>
    </row>
    <row r="1610" spans="1:7" x14ac:dyDescent="0.25">
      <c r="A1610" s="10" t="s">
        <v>2275</v>
      </c>
      <c r="B1610" s="10">
        <v>8654006</v>
      </c>
      <c r="C1610" t="str">
        <f>Table13[[#This Row],[Manufacturer]]&amp;" "&amp;Table13[[#This Row],[Model]]</f>
        <v>Pro Point 8654006</v>
      </c>
      <c r="D1610" s="1">
        <v>4</v>
      </c>
      <c r="E1610" s="1">
        <v>6</v>
      </c>
      <c r="F1610" s="38">
        <v>80</v>
      </c>
      <c r="G1610" t="s">
        <v>166</v>
      </c>
    </row>
    <row r="1611" spans="1:7" x14ac:dyDescent="0.25">
      <c r="A1611" s="10" t="s">
        <v>2274</v>
      </c>
      <c r="B1611" s="10">
        <v>58276023</v>
      </c>
      <c r="C1611" t="str">
        <f>Table13[[#This Row],[Manufacturer]]&amp;" "&amp;Table13[[#This Row],[Model]]</f>
        <v>Pro Source 58276023</v>
      </c>
      <c r="D1611" s="1">
        <v>3</v>
      </c>
      <c r="E1611" s="1">
        <v>6</v>
      </c>
      <c r="F1611" s="38">
        <v>200</v>
      </c>
      <c r="G1611" t="s">
        <v>164</v>
      </c>
    </row>
    <row r="1612" spans="1:7" x14ac:dyDescent="0.25">
      <c r="A1612" s="10" t="s">
        <v>2274</v>
      </c>
      <c r="B1612" s="10">
        <v>62343512</v>
      </c>
      <c r="C1612" t="str">
        <f>Table13[[#This Row],[Manufacturer]]&amp;" "&amp;Table13[[#This Row],[Model]]</f>
        <v>Pro Source 62343512</v>
      </c>
      <c r="D1612" s="1">
        <v>3</v>
      </c>
      <c r="E1612" s="1">
        <v>6</v>
      </c>
      <c r="F1612" s="38">
        <v>150</v>
      </c>
      <c r="G1612" t="s">
        <v>166</v>
      </c>
    </row>
    <row r="1613" spans="1:7" x14ac:dyDescent="0.25">
      <c r="A1613" s="10" t="s">
        <v>2274</v>
      </c>
      <c r="B1613" s="10">
        <v>62343520</v>
      </c>
      <c r="C1613" t="str">
        <f>Table13[[#This Row],[Manufacturer]]&amp;" "&amp;Table13[[#This Row],[Model]]</f>
        <v>Pro Source 62343520</v>
      </c>
      <c r="D1613" s="1">
        <v>3</v>
      </c>
      <c r="E1613" s="1">
        <v>6</v>
      </c>
      <c r="F1613" s="38">
        <v>600</v>
      </c>
      <c r="G1613" t="s">
        <v>166</v>
      </c>
    </row>
    <row r="1614" spans="1:7" x14ac:dyDescent="0.25">
      <c r="A1614" s="10" t="s">
        <v>2274</v>
      </c>
      <c r="B1614" s="10">
        <v>62343538</v>
      </c>
      <c r="C1614" t="str">
        <f>Table13[[#This Row],[Manufacturer]]&amp;" "&amp;Table13[[#This Row],[Model]]</f>
        <v>Pro Source 62343538</v>
      </c>
      <c r="D1614" s="1">
        <v>3</v>
      </c>
      <c r="E1614" s="1">
        <v>6</v>
      </c>
      <c r="F1614" s="38">
        <v>100</v>
      </c>
      <c r="G1614" t="s">
        <v>166</v>
      </c>
    </row>
    <row r="1615" spans="1:7" x14ac:dyDescent="0.25">
      <c r="A1615" s="10" t="s">
        <v>2274</v>
      </c>
      <c r="B1615" s="10">
        <v>62343546</v>
      </c>
      <c r="C1615" t="str">
        <f>Table13[[#This Row],[Manufacturer]]&amp;" "&amp;Table13[[#This Row],[Model]]</f>
        <v>Pro Source 62343546</v>
      </c>
      <c r="D1615" s="1">
        <v>3</v>
      </c>
      <c r="E1615" s="1">
        <v>6</v>
      </c>
      <c r="F1615" s="38">
        <v>250</v>
      </c>
      <c r="G1615" t="s">
        <v>166</v>
      </c>
    </row>
    <row r="1616" spans="1:7" x14ac:dyDescent="0.25">
      <c r="A1616" s="10" t="s">
        <v>2274</v>
      </c>
      <c r="B1616" s="10">
        <v>62343553</v>
      </c>
      <c r="C1616" t="str">
        <f>Table13[[#This Row],[Manufacturer]]&amp;" "&amp;Table13[[#This Row],[Model]]</f>
        <v>Pro Source 62343553</v>
      </c>
      <c r="D1616" s="1">
        <v>3</v>
      </c>
      <c r="E1616" s="1">
        <v>6</v>
      </c>
      <c r="F1616" s="38">
        <v>250</v>
      </c>
      <c r="G1616" t="s">
        <v>164</v>
      </c>
    </row>
    <row r="1617" spans="1:7" x14ac:dyDescent="0.25">
      <c r="A1617" s="10" t="s">
        <v>2274</v>
      </c>
      <c r="B1617" s="10">
        <v>62343561</v>
      </c>
      <c r="C1617" t="str">
        <f>Table13[[#This Row],[Manufacturer]]&amp;" "&amp;Table13[[#This Row],[Model]]</f>
        <v>Pro Source 62343561</v>
      </c>
      <c r="D1617" s="1">
        <v>3</v>
      </c>
      <c r="E1617" s="1">
        <v>6</v>
      </c>
      <c r="F1617" s="38">
        <v>50</v>
      </c>
      <c r="G1617" t="s">
        <v>164</v>
      </c>
    </row>
    <row r="1618" spans="1:7" x14ac:dyDescent="0.25">
      <c r="A1618" s="10" t="s">
        <v>2274</v>
      </c>
      <c r="B1618" s="10">
        <v>62343595</v>
      </c>
      <c r="C1618" t="str">
        <f>Table13[[#This Row],[Manufacturer]]&amp;" "&amp;Table13[[#This Row],[Model]]</f>
        <v>Pro Source 62343595</v>
      </c>
      <c r="D1618" s="1">
        <v>3</v>
      </c>
      <c r="E1618" s="1">
        <v>6</v>
      </c>
      <c r="F1618" s="38">
        <v>200</v>
      </c>
      <c r="G1618" t="s">
        <v>164</v>
      </c>
    </row>
    <row r="1619" spans="1:7" x14ac:dyDescent="0.25">
      <c r="A1619" s="10" t="s">
        <v>2274</v>
      </c>
      <c r="B1619" s="10">
        <v>68124890</v>
      </c>
      <c r="C1619" t="str">
        <f>Table13[[#This Row],[Manufacturer]]&amp;" "&amp;Table13[[#This Row],[Model]]</f>
        <v>Pro Source 68124890</v>
      </c>
      <c r="D1619" s="1">
        <v>3</v>
      </c>
      <c r="E1619" s="1">
        <v>6</v>
      </c>
      <c r="F1619" s="38">
        <v>80</v>
      </c>
      <c r="G1619" t="s">
        <v>166</v>
      </c>
    </row>
    <row r="1620" spans="1:7" x14ac:dyDescent="0.25">
      <c r="A1620" s="10" t="s">
        <v>2274</v>
      </c>
      <c r="B1620" s="10">
        <v>68124908</v>
      </c>
      <c r="C1620" t="str">
        <f>Table13[[#This Row],[Manufacturer]]&amp;" "&amp;Table13[[#This Row],[Model]]</f>
        <v>Pro Source 68124908</v>
      </c>
      <c r="D1620" s="1">
        <v>3</v>
      </c>
      <c r="E1620" s="1">
        <v>6</v>
      </c>
      <c r="F1620" s="38">
        <v>20</v>
      </c>
      <c r="G1620" t="s">
        <v>166</v>
      </c>
    </row>
    <row r="1621" spans="1:7" x14ac:dyDescent="0.25">
      <c r="A1621" s="10" t="s">
        <v>2272</v>
      </c>
      <c r="B1621" s="10" t="s">
        <v>2273</v>
      </c>
      <c r="C1621" t="str">
        <f>Table13[[#This Row],[Manufacturer]]&amp;" "&amp;Table13[[#This Row],[Model]]</f>
        <v>Proskit SD-T635-0112 LB</v>
      </c>
      <c r="D1621" s="1">
        <v>6</v>
      </c>
      <c r="E1621" s="1" t="s">
        <v>169</v>
      </c>
      <c r="F1621" s="38">
        <v>10</v>
      </c>
      <c r="G1621" t="s">
        <v>164</v>
      </c>
    </row>
    <row r="1622" spans="1:7" x14ac:dyDescent="0.25">
      <c r="A1622" s="10" t="s">
        <v>2272</v>
      </c>
      <c r="B1622" s="10" t="s">
        <v>2271</v>
      </c>
      <c r="C1622" t="str">
        <f>Table13[[#This Row],[Manufacturer]]&amp;" "&amp;Table13[[#This Row],[Model]]</f>
        <v>Proskit SD-T635-0112 N</v>
      </c>
      <c r="D1622" s="1">
        <v>6</v>
      </c>
      <c r="E1622" s="1" t="s">
        <v>169</v>
      </c>
      <c r="F1622" s="38">
        <v>1.2</v>
      </c>
      <c r="G1622" t="s">
        <v>184</v>
      </c>
    </row>
    <row r="1623" spans="1:7" x14ac:dyDescent="0.25">
      <c r="A1623" s="10" t="s">
        <v>2130</v>
      </c>
      <c r="B1623" s="10" t="s">
        <v>2270</v>
      </c>
      <c r="C1623" t="str">
        <f>Table13[[#This Row],[Manufacturer]]&amp;" "&amp;Table13[[#This Row],[Model]]</f>
        <v>Proto 6113A</v>
      </c>
      <c r="D1623" s="1">
        <v>4</v>
      </c>
      <c r="E1623" s="1">
        <v>4</v>
      </c>
      <c r="F1623" s="38">
        <v>50</v>
      </c>
      <c r="G1623" t="s">
        <v>166</v>
      </c>
    </row>
    <row r="1624" spans="1:7" x14ac:dyDescent="0.25">
      <c r="A1624" s="10" t="s">
        <v>2130</v>
      </c>
      <c r="B1624" s="10" t="s">
        <v>322</v>
      </c>
      <c r="C1624" t="str">
        <f>Table13[[#This Row],[Manufacturer]]&amp;" "&amp;Table13[[#This Row],[Model]]</f>
        <v>Proto 6121A</v>
      </c>
      <c r="D1624" s="1">
        <v>4</v>
      </c>
      <c r="E1624" s="1">
        <v>4</v>
      </c>
      <c r="F1624" s="38">
        <v>175</v>
      </c>
      <c r="G1624" t="s">
        <v>166</v>
      </c>
    </row>
    <row r="1625" spans="1:7" x14ac:dyDescent="0.25">
      <c r="A1625" s="10" t="s">
        <v>2130</v>
      </c>
      <c r="B1625" s="10" t="s">
        <v>2269</v>
      </c>
      <c r="C1625" t="str">
        <f>Table13[[#This Row],[Manufacturer]]&amp;" "&amp;Table13[[#This Row],[Model]]</f>
        <v>Proto 6125A</v>
      </c>
      <c r="D1625" s="1">
        <v>4</v>
      </c>
      <c r="E1625" s="1">
        <v>4</v>
      </c>
      <c r="F1625" s="38">
        <v>250</v>
      </c>
      <c r="G1625" t="s">
        <v>166</v>
      </c>
    </row>
    <row r="1626" spans="1:7" x14ac:dyDescent="0.25">
      <c r="A1626" s="10" t="s">
        <v>2130</v>
      </c>
      <c r="B1626" s="10" t="s">
        <v>2268</v>
      </c>
      <c r="C1626" t="str">
        <f>Table13[[#This Row],[Manufacturer]]&amp;" "&amp;Table13[[#This Row],[Model]]</f>
        <v>Proto 6149F</v>
      </c>
      <c r="D1626" s="1">
        <v>4</v>
      </c>
      <c r="E1626" s="1">
        <v>4</v>
      </c>
      <c r="F1626" s="38">
        <v>2000</v>
      </c>
      <c r="G1626" t="s">
        <v>166</v>
      </c>
    </row>
    <row r="1627" spans="1:7" x14ac:dyDescent="0.25">
      <c r="A1627" s="10" t="s">
        <v>2130</v>
      </c>
      <c r="B1627" s="10" t="s">
        <v>2267</v>
      </c>
      <c r="C1627" t="str">
        <f>Table13[[#This Row],[Manufacturer]]&amp;" "&amp;Table13[[#This Row],[Model]]</f>
        <v>Proto 6169A</v>
      </c>
      <c r="D1627" s="1">
        <v>3</v>
      </c>
      <c r="E1627" s="1">
        <v>3</v>
      </c>
      <c r="F1627" s="38">
        <v>75</v>
      </c>
      <c r="G1627" t="s">
        <v>164</v>
      </c>
    </row>
    <row r="1628" spans="1:7" x14ac:dyDescent="0.25">
      <c r="A1628" s="10" t="s">
        <v>2130</v>
      </c>
      <c r="B1628" s="10" t="s">
        <v>320</v>
      </c>
      <c r="C1628" t="str">
        <f>Table13[[#This Row],[Manufacturer]]&amp;" "&amp;Table13[[#This Row],[Model]]</f>
        <v>Proto 6177A</v>
      </c>
      <c r="D1628" s="1">
        <v>4</v>
      </c>
      <c r="E1628" s="1">
        <v>4</v>
      </c>
      <c r="F1628" s="38">
        <v>250</v>
      </c>
      <c r="G1628" t="s">
        <v>164</v>
      </c>
    </row>
    <row r="1629" spans="1:7" x14ac:dyDescent="0.25">
      <c r="A1629" s="10" t="s">
        <v>2130</v>
      </c>
      <c r="B1629" s="10" t="s">
        <v>2266</v>
      </c>
      <c r="C1629" t="str">
        <f>Table13[[#This Row],[Manufacturer]]&amp;" "&amp;Table13[[#This Row],[Model]]</f>
        <v>Proto 6181A</v>
      </c>
      <c r="D1629" s="1">
        <v>4</v>
      </c>
      <c r="E1629" s="1">
        <v>4</v>
      </c>
      <c r="F1629" s="38">
        <v>600</v>
      </c>
      <c r="G1629" t="s">
        <v>164</v>
      </c>
    </row>
    <row r="1630" spans="1:7" x14ac:dyDescent="0.25">
      <c r="A1630" s="10" t="s">
        <v>2130</v>
      </c>
      <c r="B1630" s="10" t="s">
        <v>2265</v>
      </c>
      <c r="C1630" t="str">
        <f>Table13[[#This Row],[Manufacturer]]&amp;" "&amp;Table13[[#This Row],[Model]]</f>
        <v>Proto J6012E</v>
      </c>
      <c r="D1630" s="1">
        <v>2</v>
      </c>
      <c r="E1630" s="1">
        <v>3</v>
      </c>
      <c r="F1630" s="38">
        <v>99</v>
      </c>
      <c r="G1630" t="s">
        <v>166</v>
      </c>
    </row>
    <row r="1631" spans="1:7" x14ac:dyDescent="0.25">
      <c r="A1631" s="10" t="s">
        <v>2130</v>
      </c>
      <c r="B1631" s="10" t="s">
        <v>2264</v>
      </c>
      <c r="C1631" t="str">
        <f>Table13[[#This Row],[Manufacturer]]&amp;" "&amp;Table13[[#This Row],[Model]]</f>
        <v>Proto J6012EFX</v>
      </c>
      <c r="D1631" s="1">
        <v>2</v>
      </c>
      <c r="E1631" s="1">
        <v>3</v>
      </c>
      <c r="F1631" s="38">
        <v>99</v>
      </c>
      <c r="G1631" t="s">
        <v>166</v>
      </c>
    </row>
    <row r="1632" spans="1:7" x14ac:dyDescent="0.25">
      <c r="A1632" s="10" t="s">
        <v>2130</v>
      </c>
      <c r="B1632" s="10" t="s">
        <v>2263</v>
      </c>
      <c r="C1632" t="str">
        <f>Table13[[#This Row],[Manufacturer]]&amp;" "&amp;Table13[[#This Row],[Model]]</f>
        <v>Proto J6014EFX</v>
      </c>
      <c r="D1632" s="1">
        <v>2</v>
      </c>
      <c r="E1632" s="1">
        <v>3</v>
      </c>
      <c r="F1632" s="38">
        <v>250</v>
      </c>
      <c r="G1632" t="s">
        <v>166</v>
      </c>
    </row>
    <row r="1633" spans="1:7" x14ac:dyDescent="0.25">
      <c r="A1633" s="10" t="s">
        <v>2130</v>
      </c>
      <c r="B1633" s="10" t="s">
        <v>2262</v>
      </c>
      <c r="C1633" t="str">
        <f>Table13[[#This Row],[Manufacturer]]&amp;" "&amp;Table13[[#This Row],[Model]]</f>
        <v>Proto J6061EFX</v>
      </c>
      <c r="D1633" s="1">
        <v>2</v>
      </c>
      <c r="E1633" s="1">
        <v>3</v>
      </c>
      <c r="F1633" s="38">
        <v>22</v>
      </c>
      <c r="G1633" t="s">
        <v>166</v>
      </c>
    </row>
    <row r="1634" spans="1:7" x14ac:dyDescent="0.25">
      <c r="A1634" s="10" t="s">
        <v>2130</v>
      </c>
      <c r="B1634" s="10" t="s">
        <v>2261</v>
      </c>
      <c r="C1634" t="str">
        <f>Table13[[#This Row],[Manufacturer]]&amp;" "&amp;Table13[[#This Row],[Model]]</f>
        <v>Proto J6113F</v>
      </c>
      <c r="D1634" s="1">
        <v>4</v>
      </c>
      <c r="E1634" s="1">
        <v>4</v>
      </c>
      <c r="F1634" s="38">
        <v>50</v>
      </c>
      <c r="G1634" t="s">
        <v>166</v>
      </c>
    </row>
    <row r="1635" spans="1:7" x14ac:dyDescent="0.25">
      <c r="A1635" s="10" t="s">
        <v>2130</v>
      </c>
      <c r="B1635" s="10" t="s">
        <v>2260</v>
      </c>
      <c r="C1635" t="str">
        <f>Table13[[#This Row],[Manufacturer]]&amp;" "&amp;Table13[[#This Row],[Model]]</f>
        <v>Proto J6113NMF</v>
      </c>
      <c r="D1635" s="1">
        <v>4</v>
      </c>
      <c r="E1635" s="1">
        <v>4</v>
      </c>
      <c r="F1635" s="38">
        <v>50</v>
      </c>
      <c r="G1635" t="s">
        <v>166</v>
      </c>
    </row>
    <row r="1636" spans="1:7" x14ac:dyDescent="0.25">
      <c r="A1636" s="10" t="s">
        <v>2130</v>
      </c>
      <c r="B1636" s="10" t="s">
        <v>2259</v>
      </c>
      <c r="C1636" t="str">
        <f>Table13[[#This Row],[Manufacturer]]&amp;" "&amp;Table13[[#This Row],[Model]]</f>
        <v>Proto J6121F</v>
      </c>
      <c r="D1636" s="1">
        <v>4</v>
      </c>
      <c r="E1636" s="1">
        <v>4</v>
      </c>
      <c r="F1636" s="38">
        <v>175</v>
      </c>
      <c r="G1636" t="s">
        <v>166</v>
      </c>
    </row>
    <row r="1637" spans="1:7" x14ac:dyDescent="0.25">
      <c r="A1637" s="10" t="s">
        <v>2130</v>
      </c>
      <c r="B1637" s="10" t="s">
        <v>2258</v>
      </c>
      <c r="C1637" t="str">
        <f>Table13[[#This Row],[Manufacturer]]&amp;" "&amp;Table13[[#This Row],[Model]]</f>
        <v>Proto J6121NMF</v>
      </c>
      <c r="D1637" s="1">
        <v>4</v>
      </c>
      <c r="E1637" s="1">
        <v>4</v>
      </c>
      <c r="F1637" s="38">
        <v>175</v>
      </c>
      <c r="G1637" t="s">
        <v>166</v>
      </c>
    </row>
    <row r="1638" spans="1:7" x14ac:dyDescent="0.25">
      <c r="A1638" s="10" t="s">
        <v>2130</v>
      </c>
      <c r="B1638" s="10" t="s">
        <v>2257</v>
      </c>
      <c r="C1638" t="str">
        <f>Table13[[#This Row],[Manufacturer]]&amp;" "&amp;Table13[[#This Row],[Model]]</f>
        <v>Proto J6125F</v>
      </c>
      <c r="D1638" s="1">
        <v>4</v>
      </c>
      <c r="E1638" s="1">
        <v>4</v>
      </c>
      <c r="F1638" s="38">
        <v>250</v>
      </c>
      <c r="G1638" t="s">
        <v>166</v>
      </c>
    </row>
    <row r="1639" spans="1:7" x14ac:dyDescent="0.25">
      <c r="A1639" s="10" t="s">
        <v>2130</v>
      </c>
      <c r="B1639" s="10" t="s">
        <v>2256</v>
      </c>
      <c r="C1639" t="str">
        <f>Table13[[#This Row],[Manufacturer]]&amp;" "&amp;Table13[[#This Row],[Model]]</f>
        <v>Proto J6133F</v>
      </c>
      <c r="D1639" s="1">
        <v>4</v>
      </c>
      <c r="E1639" s="1">
        <v>4</v>
      </c>
      <c r="F1639" s="38">
        <v>600</v>
      </c>
      <c r="G1639" t="s">
        <v>166</v>
      </c>
    </row>
    <row r="1640" spans="1:7" x14ac:dyDescent="0.25">
      <c r="A1640" s="10" t="s">
        <v>2130</v>
      </c>
      <c r="B1640" s="10" t="s">
        <v>2255</v>
      </c>
      <c r="C1640" t="str">
        <f>Table13[[#This Row],[Manufacturer]]&amp;" "&amp;Table13[[#This Row],[Model]]</f>
        <v>Proto J6134F</v>
      </c>
      <c r="D1640" s="1">
        <v>4</v>
      </c>
      <c r="E1640" s="1">
        <v>4</v>
      </c>
      <c r="F1640" s="38">
        <v>350</v>
      </c>
      <c r="G1640" t="s">
        <v>166</v>
      </c>
    </row>
    <row r="1641" spans="1:7" x14ac:dyDescent="0.25">
      <c r="A1641" s="10" t="s">
        <v>2130</v>
      </c>
      <c r="B1641" s="10" t="s">
        <v>2254</v>
      </c>
      <c r="C1641" t="str">
        <f>Table13[[#This Row],[Manufacturer]]&amp;" "&amp;Table13[[#This Row],[Model]]</f>
        <v>Proto J6141AB</v>
      </c>
      <c r="D1641" s="1">
        <v>4</v>
      </c>
      <c r="E1641" s="1">
        <v>4</v>
      </c>
      <c r="F1641" s="38">
        <v>1000</v>
      </c>
      <c r="G1641" t="s">
        <v>166</v>
      </c>
    </row>
    <row r="1642" spans="1:7" x14ac:dyDescent="0.25">
      <c r="A1642" s="10" t="s">
        <v>2130</v>
      </c>
      <c r="B1642" s="10" t="s">
        <v>2253</v>
      </c>
      <c r="C1642" t="str">
        <f>Table13[[#This Row],[Manufacturer]]&amp;" "&amp;Table13[[#This Row],[Model]]</f>
        <v>Proto J6141F</v>
      </c>
      <c r="D1642" s="1">
        <v>4</v>
      </c>
      <c r="E1642" s="1">
        <v>4</v>
      </c>
      <c r="F1642" s="38">
        <v>1000</v>
      </c>
      <c r="G1642" t="s">
        <v>166</v>
      </c>
    </row>
    <row r="1643" spans="1:7" x14ac:dyDescent="0.25">
      <c r="A1643" s="10" t="s">
        <v>2130</v>
      </c>
      <c r="B1643" s="10" t="s">
        <v>2252</v>
      </c>
      <c r="C1643" t="str">
        <f>Table13[[#This Row],[Manufacturer]]&amp;" "&amp;Table13[[#This Row],[Model]]</f>
        <v>Proto J6149F</v>
      </c>
      <c r="D1643" s="1">
        <v>4</v>
      </c>
      <c r="E1643" s="1">
        <v>4</v>
      </c>
      <c r="F1643" s="38">
        <v>2000</v>
      </c>
      <c r="G1643" t="s">
        <v>166</v>
      </c>
    </row>
    <row r="1644" spans="1:7" x14ac:dyDescent="0.25">
      <c r="A1644" s="10" t="s">
        <v>2130</v>
      </c>
      <c r="B1644" s="10" t="s">
        <v>2251</v>
      </c>
      <c r="C1644" t="str">
        <f>Table13[[#This Row],[Manufacturer]]&amp;" "&amp;Table13[[#This Row],[Model]]</f>
        <v>Proto J6168F</v>
      </c>
      <c r="D1644" s="1">
        <v>4</v>
      </c>
      <c r="E1644" s="1">
        <v>4</v>
      </c>
      <c r="F1644" s="38">
        <v>30</v>
      </c>
      <c r="G1644" t="s">
        <v>166</v>
      </c>
    </row>
    <row r="1645" spans="1:7" x14ac:dyDescent="0.25">
      <c r="A1645" s="10" t="s">
        <v>2130</v>
      </c>
      <c r="B1645" s="10" t="s">
        <v>2250</v>
      </c>
      <c r="C1645" t="str">
        <f>Table13[[#This Row],[Manufacturer]]&amp;" "&amp;Table13[[#This Row],[Model]]</f>
        <v>Proto J6169F</v>
      </c>
      <c r="D1645" s="1">
        <v>4</v>
      </c>
      <c r="E1645" s="1">
        <v>4</v>
      </c>
      <c r="F1645" s="38">
        <v>75</v>
      </c>
      <c r="G1645" t="s">
        <v>164</v>
      </c>
    </row>
    <row r="1646" spans="1:7" x14ac:dyDescent="0.25">
      <c r="A1646" s="10" t="s">
        <v>2130</v>
      </c>
      <c r="B1646" s="10" t="s">
        <v>2249</v>
      </c>
      <c r="C1646" t="str">
        <f>Table13[[#This Row],[Manufacturer]]&amp;" "&amp;Table13[[#This Row],[Model]]</f>
        <v>Proto J6169NMF</v>
      </c>
      <c r="D1646" s="1">
        <v>4</v>
      </c>
      <c r="E1646" s="1">
        <v>4</v>
      </c>
      <c r="F1646" s="38">
        <v>90</v>
      </c>
      <c r="G1646" t="s">
        <v>166</v>
      </c>
    </row>
    <row r="1647" spans="1:7" x14ac:dyDescent="0.25">
      <c r="A1647" s="10" t="s">
        <v>2130</v>
      </c>
      <c r="B1647" s="10" t="s">
        <v>2248</v>
      </c>
      <c r="C1647" t="str">
        <f>Table13[[#This Row],[Manufacturer]]&amp;" "&amp;Table13[[#This Row],[Model]]</f>
        <v>Proto J6177F</v>
      </c>
      <c r="D1647" s="1">
        <v>4</v>
      </c>
      <c r="E1647" s="1">
        <v>4</v>
      </c>
      <c r="F1647" s="38">
        <v>250</v>
      </c>
      <c r="G1647" t="s">
        <v>164</v>
      </c>
    </row>
    <row r="1648" spans="1:7" x14ac:dyDescent="0.25">
      <c r="A1648" s="10" t="s">
        <v>2130</v>
      </c>
      <c r="B1648" s="10" t="s">
        <v>2247</v>
      </c>
      <c r="C1648" t="str">
        <f>Table13[[#This Row],[Manufacturer]]&amp;" "&amp;Table13[[#This Row],[Model]]</f>
        <v>Proto J6177NMF</v>
      </c>
      <c r="D1648" s="1">
        <v>4</v>
      </c>
      <c r="E1648" s="1">
        <v>4</v>
      </c>
      <c r="F1648" s="38">
        <v>250</v>
      </c>
      <c r="G1648" t="s">
        <v>164</v>
      </c>
    </row>
    <row r="1649" spans="1:7" x14ac:dyDescent="0.25">
      <c r="A1649" s="10" t="s">
        <v>2130</v>
      </c>
      <c r="B1649" s="10" t="s">
        <v>2246</v>
      </c>
      <c r="C1649" t="str">
        <f>Table13[[#This Row],[Manufacturer]]&amp;" "&amp;Table13[[#This Row],[Model]]</f>
        <v>Proto J6181F</v>
      </c>
      <c r="D1649" s="1">
        <v>4</v>
      </c>
      <c r="E1649" s="1">
        <v>4</v>
      </c>
      <c r="F1649" s="38">
        <v>600</v>
      </c>
      <c r="G1649" t="s">
        <v>166</v>
      </c>
    </row>
    <row r="1650" spans="1:7" x14ac:dyDescent="0.25">
      <c r="A1650" s="10" t="s">
        <v>2130</v>
      </c>
      <c r="B1650" s="10" t="s">
        <v>2245</v>
      </c>
      <c r="C1650" t="str">
        <f>Table13[[#This Row],[Manufacturer]]&amp;" "&amp;Table13[[#This Row],[Model]]</f>
        <v>Proto J6339</v>
      </c>
      <c r="D1650" s="1">
        <v>1</v>
      </c>
      <c r="E1650" s="1">
        <v>1</v>
      </c>
      <c r="F1650" s="38">
        <v>75</v>
      </c>
      <c r="G1650" t="s">
        <v>164</v>
      </c>
    </row>
    <row r="1651" spans="1:7" x14ac:dyDescent="0.25">
      <c r="A1651" s="10" t="s">
        <v>2130</v>
      </c>
      <c r="B1651" s="10" t="s">
        <v>2244</v>
      </c>
      <c r="C1651" t="str">
        <f>Table13[[#This Row],[Manufacturer]]&amp;" "&amp;Table13[[#This Row],[Model]]</f>
        <v>Proto J6342</v>
      </c>
      <c r="D1651" s="1">
        <v>1</v>
      </c>
      <c r="E1651" s="1">
        <v>1</v>
      </c>
      <c r="F1651" s="38">
        <v>100</v>
      </c>
      <c r="G1651" t="s">
        <v>164</v>
      </c>
    </row>
    <row r="1652" spans="1:7" x14ac:dyDescent="0.25">
      <c r="A1652" s="10" t="s">
        <v>2130</v>
      </c>
      <c r="B1652" s="10" t="s">
        <v>2243</v>
      </c>
      <c r="C1652" t="str">
        <f>Table13[[#This Row],[Manufacturer]]&amp;" "&amp;Table13[[#This Row],[Model]]</f>
        <v>Proto J6345</v>
      </c>
      <c r="D1652" s="1">
        <v>1</v>
      </c>
      <c r="E1652" s="1">
        <v>1</v>
      </c>
      <c r="F1652" s="38">
        <v>250</v>
      </c>
      <c r="G1652" t="s">
        <v>164</v>
      </c>
    </row>
    <row r="1653" spans="1:7" x14ac:dyDescent="0.25">
      <c r="A1653" s="10" t="s">
        <v>2130</v>
      </c>
      <c r="B1653" s="10" t="s">
        <v>2242</v>
      </c>
      <c r="C1653" t="str">
        <f>Table13[[#This Row],[Manufacturer]]&amp;" "&amp;Table13[[#This Row],[Model]]</f>
        <v>Proto J6345A</v>
      </c>
      <c r="D1653" s="1">
        <v>1</v>
      </c>
      <c r="E1653" s="1">
        <v>1</v>
      </c>
      <c r="F1653" s="38">
        <v>50</v>
      </c>
      <c r="G1653" t="s">
        <v>166</v>
      </c>
    </row>
    <row r="1654" spans="1:7" x14ac:dyDescent="0.25">
      <c r="A1654" s="10" t="s">
        <v>2130</v>
      </c>
      <c r="B1654" s="10" t="s">
        <v>2241</v>
      </c>
      <c r="C1654" t="str">
        <f>Table13[[#This Row],[Manufacturer]]&amp;" "&amp;Table13[[#This Row],[Model]]</f>
        <v>Proto J6345B</v>
      </c>
      <c r="D1654" s="1">
        <v>1</v>
      </c>
      <c r="E1654" s="1">
        <v>1</v>
      </c>
      <c r="F1654" s="38">
        <v>100</v>
      </c>
      <c r="G1654" t="s">
        <v>166</v>
      </c>
    </row>
    <row r="1655" spans="1:7" x14ac:dyDescent="0.25">
      <c r="A1655" s="10" t="s">
        <v>2130</v>
      </c>
      <c r="B1655" s="10" t="s">
        <v>2240</v>
      </c>
      <c r="C1655" t="str">
        <f>Table13[[#This Row],[Manufacturer]]&amp;" "&amp;Table13[[#This Row],[Model]]</f>
        <v>Proto J6346</v>
      </c>
      <c r="D1655" s="1">
        <v>1</v>
      </c>
      <c r="E1655" s="1">
        <v>1</v>
      </c>
      <c r="F1655" s="38">
        <v>250</v>
      </c>
      <c r="G1655" t="s">
        <v>166</v>
      </c>
    </row>
    <row r="1656" spans="1:7" x14ac:dyDescent="0.25">
      <c r="A1656" s="10" t="s">
        <v>2130</v>
      </c>
      <c r="B1656" s="10" t="s">
        <v>2239</v>
      </c>
      <c r="C1656" t="str">
        <f>Table13[[#This Row],[Manufacturer]]&amp;" "&amp;Table13[[#This Row],[Model]]</f>
        <v>Proto J6347</v>
      </c>
      <c r="D1656" s="1">
        <v>1</v>
      </c>
      <c r="E1656" s="1">
        <v>1</v>
      </c>
      <c r="F1656" s="38">
        <v>600</v>
      </c>
      <c r="G1656" t="s">
        <v>166</v>
      </c>
    </row>
    <row r="1657" spans="1:7" x14ac:dyDescent="0.25">
      <c r="A1657" s="10" t="s">
        <v>2130</v>
      </c>
      <c r="B1657" s="10" t="s">
        <v>2238</v>
      </c>
      <c r="C1657" t="str">
        <f>Table13[[#This Row],[Manufacturer]]&amp;" "&amp;Table13[[#This Row],[Model]]</f>
        <v>Proto J6349</v>
      </c>
      <c r="D1657" s="1">
        <v>1</v>
      </c>
      <c r="E1657" s="1">
        <v>1</v>
      </c>
      <c r="F1657" s="38">
        <v>1000</v>
      </c>
      <c r="G1657" t="s">
        <v>166</v>
      </c>
    </row>
    <row r="1658" spans="1:7" x14ac:dyDescent="0.25">
      <c r="A1658" s="10" t="s">
        <v>2130</v>
      </c>
      <c r="B1658" s="10" t="s">
        <v>2237</v>
      </c>
      <c r="C1658" t="str">
        <f>Table13[[#This Row],[Manufacturer]]&amp;" "&amp;Table13[[#This Row],[Model]]</f>
        <v>Proto J6351</v>
      </c>
      <c r="D1658" s="1">
        <v>1</v>
      </c>
      <c r="E1658" s="1">
        <v>1</v>
      </c>
      <c r="F1658" s="38">
        <v>2000</v>
      </c>
      <c r="G1658" t="s">
        <v>166</v>
      </c>
    </row>
    <row r="1659" spans="1:7" x14ac:dyDescent="0.25">
      <c r="A1659" s="10" t="s">
        <v>2130</v>
      </c>
      <c r="B1659" s="10" t="s">
        <v>2236</v>
      </c>
      <c r="C1659" t="str">
        <f>Table13[[#This Row],[Manufacturer]]&amp;" "&amp;Table13[[#This Row],[Model]]</f>
        <v>Proto JH4-250</v>
      </c>
      <c r="D1659" s="1">
        <v>2</v>
      </c>
      <c r="E1659" s="1">
        <v>3</v>
      </c>
      <c r="F1659" s="38">
        <v>250</v>
      </c>
      <c r="G1659" t="s">
        <v>164</v>
      </c>
    </row>
    <row r="1660" spans="1:7" x14ac:dyDescent="0.25">
      <c r="A1660" s="10" t="s">
        <v>2130</v>
      </c>
      <c r="B1660" s="10" t="s">
        <v>2235</v>
      </c>
      <c r="C1660" t="str">
        <f>Table13[[#This Row],[Manufacturer]]&amp;" "&amp;Table13[[#This Row],[Model]]</f>
        <v>Proto JH4-250RB</v>
      </c>
      <c r="D1660" s="1">
        <v>2</v>
      </c>
      <c r="E1660" s="1">
        <v>2</v>
      </c>
      <c r="F1660" s="38">
        <v>250</v>
      </c>
      <c r="G1660" t="s">
        <v>166</v>
      </c>
    </row>
    <row r="1661" spans="1:7" x14ac:dyDescent="0.25">
      <c r="A1661" s="10" t="s">
        <v>2130</v>
      </c>
      <c r="B1661" s="10" t="s">
        <v>2234</v>
      </c>
      <c r="C1661" t="str">
        <f>Table13[[#This Row],[Manufacturer]]&amp;" "&amp;Table13[[#This Row],[Model]]</f>
        <v>Proto JH5-100F</v>
      </c>
      <c r="D1661" s="1">
        <v>2</v>
      </c>
      <c r="E1661" s="1">
        <v>2</v>
      </c>
      <c r="F1661" s="38">
        <v>100</v>
      </c>
      <c r="G1661" t="s">
        <v>166</v>
      </c>
    </row>
    <row r="1662" spans="1:7" x14ac:dyDescent="0.25">
      <c r="A1662" s="10" t="s">
        <v>2130</v>
      </c>
      <c r="B1662" s="10" t="s">
        <v>2233</v>
      </c>
      <c r="C1662" t="str">
        <f>Table13[[#This Row],[Manufacturer]]&amp;" "&amp;Table13[[#This Row],[Model]]</f>
        <v>Proto JH5-100FRB</v>
      </c>
      <c r="D1662" s="1">
        <v>2</v>
      </c>
      <c r="E1662" s="1">
        <v>2</v>
      </c>
      <c r="F1662" s="38">
        <v>100</v>
      </c>
      <c r="G1662" t="s">
        <v>166</v>
      </c>
    </row>
    <row r="1663" spans="1:7" x14ac:dyDescent="0.25">
      <c r="A1663" s="10" t="s">
        <v>2130</v>
      </c>
      <c r="B1663" s="10" t="s">
        <v>2232</v>
      </c>
      <c r="C1663" t="str">
        <f>Table13[[#This Row],[Manufacturer]]&amp;" "&amp;Table13[[#This Row],[Model]]</f>
        <v>Proto JH7-250F</v>
      </c>
      <c r="D1663" s="1">
        <v>2</v>
      </c>
      <c r="E1663" s="1">
        <v>2</v>
      </c>
      <c r="F1663" s="38">
        <v>250</v>
      </c>
      <c r="G1663" t="s">
        <v>166</v>
      </c>
    </row>
    <row r="1664" spans="1:7" x14ac:dyDescent="0.25">
      <c r="A1664" s="10" t="s">
        <v>2130</v>
      </c>
      <c r="B1664" s="10" t="s">
        <v>2231</v>
      </c>
      <c r="C1664" t="str">
        <f>Table13[[#This Row],[Manufacturer]]&amp;" "&amp;Table13[[#This Row],[Model]]</f>
        <v>Proto JH7-250FRB</v>
      </c>
      <c r="D1664" s="1">
        <v>2</v>
      </c>
      <c r="E1664" s="1">
        <v>2</v>
      </c>
      <c r="F1664" s="38">
        <v>250</v>
      </c>
      <c r="G1664" t="s">
        <v>166</v>
      </c>
    </row>
    <row r="1665" spans="1:7" x14ac:dyDescent="0.25">
      <c r="A1665" s="10" t="s">
        <v>2130</v>
      </c>
      <c r="B1665" s="10" t="s">
        <v>2230</v>
      </c>
      <c r="C1665" t="str">
        <f>Table13[[#This Row],[Manufacturer]]&amp;" "&amp;Table13[[#This Row],[Model]]</f>
        <v>Proto 34870-A</v>
      </c>
      <c r="D1665" s="1">
        <v>4</v>
      </c>
      <c r="E1665" s="1">
        <v>6</v>
      </c>
      <c r="F1665" s="38">
        <v>100</v>
      </c>
      <c r="G1665" t="s">
        <v>166</v>
      </c>
    </row>
    <row r="1666" spans="1:7" x14ac:dyDescent="0.25">
      <c r="A1666" s="10" t="s">
        <v>2130</v>
      </c>
      <c r="B1666" s="10" t="s">
        <v>2229</v>
      </c>
      <c r="C1666" t="str">
        <f>Table13[[#This Row],[Manufacturer]]&amp;" "&amp;Table13[[#This Row],[Model]]</f>
        <v>Proto 39825-A</v>
      </c>
      <c r="D1666" s="1">
        <v>4</v>
      </c>
      <c r="E1666" s="1">
        <v>6</v>
      </c>
      <c r="F1666" s="38">
        <v>250</v>
      </c>
      <c r="G1666" t="s">
        <v>164</v>
      </c>
    </row>
    <row r="1667" spans="1:7" x14ac:dyDescent="0.25">
      <c r="A1667" s="10" t="s">
        <v>2130</v>
      </c>
      <c r="B1667" s="10" t="s">
        <v>2228</v>
      </c>
      <c r="C1667" t="str">
        <f>Table13[[#This Row],[Manufacturer]]&amp;" "&amp;Table13[[#This Row],[Model]]</f>
        <v>Proto 49859-A</v>
      </c>
      <c r="D1667" s="1">
        <v>4</v>
      </c>
      <c r="E1667" s="1">
        <v>6</v>
      </c>
      <c r="F1667" s="38">
        <v>150</v>
      </c>
      <c r="G1667" t="s">
        <v>166</v>
      </c>
    </row>
    <row r="1668" spans="1:7" x14ac:dyDescent="0.25">
      <c r="A1668" s="10" t="s">
        <v>2130</v>
      </c>
      <c r="B1668" s="10" t="s">
        <v>2227</v>
      </c>
      <c r="C1668" t="str">
        <f>Table13[[#This Row],[Manufacturer]]&amp;" "&amp;Table13[[#This Row],[Model]]</f>
        <v>Proto 49860A</v>
      </c>
      <c r="D1668" s="1">
        <v>4</v>
      </c>
      <c r="E1668" s="1">
        <v>6</v>
      </c>
      <c r="F1668" s="38">
        <v>250</v>
      </c>
      <c r="G1668" t="s">
        <v>166</v>
      </c>
    </row>
    <row r="1669" spans="1:7" x14ac:dyDescent="0.25">
      <c r="A1669" s="10" t="s">
        <v>2130</v>
      </c>
      <c r="B1669" s="10" t="s">
        <v>2226</v>
      </c>
      <c r="C1669" t="str">
        <f>Table13[[#This Row],[Manufacturer]]&amp;" "&amp;Table13[[#This Row],[Model]]</f>
        <v>Proto 6005A</v>
      </c>
      <c r="D1669" s="1">
        <v>4</v>
      </c>
      <c r="E1669" s="1">
        <v>6</v>
      </c>
      <c r="F1669" s="38">
        <v>80</v>
      </c>
      <c r="G1669" t="s">
        <v>166</v>
      </c>
    </row>
    <row r="1670" spans="1:7" x14ac:dyDescent="0.25">
      <c r="A1670" s="10" t="s">
        <v>2130</v>
      </c>
      <c r="B1670" s="10" t="s">
        <v>2225</v>
      </c>
      <c r="C1670" t="str">
        <f>Table13[[#This Row],[Manufacturer]]&amp;" "&amp;Table13[[#This Row],[Model]]</f>
        <v>Proto 6005C</v>
      </c>
      <c r="D1670" s="1">
        <v>4</v>
      </c>
      <c r="E1670" s="1">
        <v>6</v>
      </c>
      <c r="F1670" s="38">
        <v>80</v>
      </c>
      <c r="G1670" t="s">
        <v>166</v>
      </c>
    </row>
    <row r="1671" spans="1:7" x14ac:dyDescent="0.25">
      <c r="A1671" s="10" t="s">
        <v>2130</v>
      </c>
      <c r="B1671" s="10">
        <v>6006</v>
      </c>
      <c r="C1671" t="str">
        <f>Table13[[#This Row],[Manufacturer]]&amp;" "&amp;Table13[[#This Row],[Model]]</f>
        <v>Proto 6006</v>
      </c>
      <c r="D1671" s="1">
        <v>4</v>
      </c>
      <c r="E1671" s="1">
        <v>6</v>
      </c>
      <c r="F1671" s="38">
        <v>100</v>
      </c>
      <c r="G1671" t="s">
        <v>166</v>
      </c>
    </row>
    <row r="1672" spans="1:7" x14ac:dyDescent="0.25">
      <c r="A1672" s="10" t="s">
        <v>2130</v>
      </c>
      <c r="B1672" s="10" t="s">
        <v>2224</v>
      </c>
      <c r="C1672" t="str">
        <f>Table13[[#This Row],[Manufacturer]]&amp;" "&amp;Table13[[#This Row],[Model]]</f>
        <v>Proto 6006A</v>
      </c>
      <c r="D1672" s="1">
        <v>4</v>
      </c>
      <c r="E1672" s="1">
        <v>6</v>
      </c>
      <c r="F1672" s="38">
        <v>80</v>
      </c>
      <c r="G1672" t="s">
        <v>166</v>
      </c>
    </row>
    <row r="1673" spans="1:7" x14ac:dyDescent="0.25">
      <c r="A1673" s="10" t="s">
        <v>2130</v>
      </c>
      <c r="B1673" s="10" t="s">
        <v>2223</v>
      </c>
      <c r="C1673" t="str">
        <f>Table13[[#This Row],[Manufacturer]]&amp;" "&amp;Table13[[#This Row],[Model]]</f>
        <v>Proto 6006C</v>
      </c>
      <c r="D1673" s="1">
        <v>4</v>
      </c>
      <c r="E1673" s="1">
        <v>6</v>
      </c>
      <c r="F1673" s="38">
        <v>80</v>
      </c>
      <c r="G1673" t="s">
        <v>166</v>
      </c>
    </row>
    <row r="1674" spans="1:7" x14ac:dyDescent="0.25">
      <c r="A1674" s="10" t="s">
        <v>2130</v>
      </c>
      <c r="B1674" s="10" t="s">
        <v>2222</v>
      </c>
      <c r="C1674" t="str">
        <f>Table13[[#This Row],[Manufacturer]]&amp;" "&amp;Table13[[#This Row],[Model]]</f>
        <v>Proto 6006CX</v>
      </c>
      <c r="D1674" s="1">
        <v>4</v>
      </c>
      <c r="E1674" s="1">
        <v>6</v>
      </c>
      <c r="F1674" s="38">
        <v>80</v>
      </c>
      <c r="G1674" t="s">
        <v>166</v>
      </c>
    </row>
    <row r="1675" spans="1:7" x14ac:dyDescent="0.25">
      <c r="A1675" s="10" t="s">
        <v>2130</v>
      </c>
      <c r="B1675" s="10" t="s">
        <v>2221</v>
      </c>
      <c r="C1675" t="str">
        <f>Table13[[#This Row],[Manufacturer]]&amp;" "&amp;Table13[[#This Row],[Model]]</f>
        <v>Proto 6006F</v>
      </c>
      <c r="D1675" s="1">
        <v>4</v>
      </c>
      <c r="E1675" s="1">
        <v>6</v>
      </c>
      <c r="F1675" s="38">
        <v>80</v>
      </c>
      <c r="G1675" t="s">
        <v>166</v>
      </c>
    </row>
    <row r="1676" spans="1:7" x14ac:dyDescent="0.25">
      <c r="A1676" s="10" t="s">
        <v>2130</v>
      </c>
      <c r="B1676" s="10" t="s">
        <v>2220</v>
      </c>
      <c r="C1676" t="str">
        <f>Table13[[#This Row],[Manufacturer]]&amp;" "&amp;Table13[[#This Row],[Model]]</f>
        <v>Proto 6006NMA</v>
      </c>
      <c r="D1676" s="1">
        <v>4</v>
      </c>
      <c r="E1676" s="1">
        <v>6</v>
      </c>
      <c r="F1676" s="38">
        <v>80</v>
      </c>
      <c r="G1676" t="s">
        <v>184</v>
      </c>
    </row>
    <row r="1677" spans="1:7" x14ac:dyDescent="0.25">
      <c r="A1677" s="10" t="s">
        <v>2130</v>
      </c>
      <c r="B1677" s="10" t="s">
        <v>2219</v>
      </c>
      <c r="C1677" t="str">
        <f>Table13[[#This Row],[Manufacturer]]&amp;" "&amp;Table13[[#This Row],[Model]]</f>
        <v>Proto 6006NMC</v>
      </c>
      <c r="D1677" s="1">
        <v>4</v>
      </c>
      <c r="E1677" s="1">
        <v>6</v>
      </c>
      <c r="F1677" s="38">
        <v>80</v>
      </c>
      <c r="G1677" t="s">
        <v>184</v>
      </c>
    </row>
    <row r="1678" spans="1:7" x14ac:dyDescent="0.25">
      <c r="A1678" s="10" t="s">
        <v>2130</v>
      </c>
      <c r="B1678" s="10" t="s">
        <v>2218</v>
      </c>
      <c r="C1678" t="str">
        <f>Table13[[#This Row],[Manufacturer]]&amp;" "&amp;Table13[[#This Row],[Model]]</f>
        <v>Proto 6008C</v>
      </c>
      <c r="D1678" s="1">
        <v>4</v>
      </c>
      <c r="E1678" s="1">
        <v>6</v>
      </c>
      <c r="F1678" s="38">
        <v>80</v>
      </c>
      <c r="G1678" t="s">
        <v>166</v>
      </c>
    </row>
    <row r="1679" spans="1:7" x14ac:dyDescent="0.25">
      <c r="A1679" s="10" t="s">
        <v>2130</v>
      </c>
      <c r="B1679" s="10" t="s">
        <v>2217</v>
      </c>
      <c r="C1679" t="str">
        <f>Table13[[#This Row],[Manufacturer]]&amp;" "&amp;Table13[[#This Row],[Model]]</f>
        <v>Proto 6008CX</v>
      </c>
      <c r="D1679" s="1">
        <v>4</v>
      </c>
      <c r="E1679" s="1">
        <v>6</v>
      </c>
      <c r="F1679" s="38">
        <v>80</v>
      </c>
      <c r="G1679" t="s">
        <v>166</v>
      </c>
    </row>
    <row r="1680" spans="1:7" x14ac:dyDescent="0.25">
      <c r="A1680" s="10" t="s">
        <v>2130</v>
      </c>
      <c r="B1680" s="10">
        <v>6012</v>
      </c>
      <c r="C1680" t="str">
        <f>Table13[[#This Row],[Manufacturer]]&amp;" "&amp;Table13[[#This Row],[Model]]</f>
        <v>Proto 6012</v>
      </c>
      <c r="D1680" s="1">
        <v>4</v>
      </c>
      <c r="E1680" s="1">
        <v>6</v>
      </c>
      <c r="F1680" s="38">
        <v>100</v>
      </c>
      <c r="G1680" t="s">
        <v>166</v>
      </c>
    </row>
    <row r="1681" spans="1:7" x14ac:dyDescent="0.25">
      <c r="A1681" s="10" t="s">
        <v>2130</v>
      </c>
      <c r="B1681" s="10" t="s">
        <v>2216</v>
      </c>
      <c r="C1681" t="str">
        <f>Table13[[#This Row],[Manufacturer]]&amp;" "&amp;Table13[[#This Row],[Model]]</f>
        <v>Proto 6012C</v>
      </c>
      <c r="D1681" s="1">
        <v>4</v>
      </c>
      <c r="E1681" s="1">
        <v>6</v>
      </c>
      <c r="F1681" s="38">
        <v>100</v>
      </c>
      <c r="G1681" t="s">
        <v>166</v>
      </c>
    </row>
    <row r="1682" spans="1:7" x14ac:dyDescent="0.25">
      <c r="A1682" s="10" t="s">
        <v>2130</v>
      </c>
      <c r="B1682" s="10" t="s">
        <v>2215</v>
      </c>
      <c r="C1682" t="str">
        <f>Table13[[#This Row],[Manufacturer]]&amp;" "&amp;Table13[[#This Row],[Model]]</f>
        <v>Proto 6012F</v>
      </c>
      <c r="D1682" s="1">
        <v>4</v>
      </c>
      <c r="E1682" s="1">
        <v>6</v>
      </c>
      <c r="F1682" s="38">
        <v>100</v>
      </c>
      <c r="G1682" t="s">
        <v>166</v>
      </c>
    </row>
    <row r="1683" spans="1:7" x14ac:dyDescent="0.25">
      <c r="A1683" s="10" t="s">
        <v>2130</v>
      </c>
      <c r="B1683" s="10" t="s">
        <v>2214</v>
      </c>
      <c r="C1683" t="str">
        <f>Table13[[#This Row],[Manufacturer]]&amp;" "&amp;Table13[[#This Row],[Model]]</f>
        <v>Proto 6013C</v>
      </c>
      <c r="D1683" s="1">
        <v>4</v>
      </c>
      <c r="E1683" s="1">
        <v>6</v>
      </c>
      <c r="F1683" s="38">
        <v>250</v>
      </c>
      <c r="G1683" t="s">
        <v>166</v>
      </c>
    </row>
    <row r="1684" spans="1:7" x14ac:dyDescent="0.25">
      <c r="A1684" s="10" t="s">
        <v>2130</v>
      </c>
      <c r="B1684" s="10">
        <v>6014</v>
      </c>
      <c r="C1684" t="str">
        <f>Table13[[#This Row],[Manufacturer]]&amp;" "&amp;Table13[[#This Row],[Model]]</f>
        <v>Proto 6014</v>
      </c>
      <c r="D1684" s="1">
        <v>4</v>
      </c>
      <c r="E1684" s="1">
        <v>6</v>
      </c>
      <c r="F1684" s="38">
        <v>250</v>
      </c>
      <c r="G1684" t="s">
        <v>166</v>
      </c>
    </row>
    <row r="1685" spans="1:7" x14ac:dyDescent="0.25">
      <c r="A1685" s="10" t="s">
        <v>2130</v>
      </c>
      <c r="B1685" s="10" t="s">
        <v>2213</v>
      </c>
      <c r="C1685" t="str">
        <f>Table13[[#This Row],[Manufacturer]]&amp;" "&amp;Table13[[#This Row],[Model]]</f>
        <v>Proto 6014C</v>
      </c>
      <c r="D1685" s="1">
        <v>4</v>
      </c>
      <c r="E1685" s="1">
        <v>6</v>
      </c>
      <c r="F1685" s="38">
        <v>250</v>
      </c>
      <c r="G1685" t="s">
        <v>166</v>
      </c>
    </row>
    <row r="1686" spans="1:7" x14ac:dyDescent="0.25">
      <c r="A1686" s="10" t="s">
        <v>2130</v>
      </c>
      <c r="B1686" s="10" t="s">
        <v>2212</v>
      </c>
      <c r="C1686" t="str">
        <f>Table13[[#This Row],[Manufacturer]]&amp;" "&amp;Table13[[#This Row],[Model]]</f>
        <v>Proto 6014CX</v>
      </c>
      <c r="D1686" s="1">
        <v>4</v>
      </c>
      <c r="E1686" s="1">
        <v>6</v>
      </c>
      <c r="F1686" s="38">
        <v>250</v>
      </c>
      <c r="G1686" t="s">
        <v>166</v>
      </c>
    </row>
    <row r="1687" spans="1:7" x14ac:dyDescent="0.25">
      <c r="A1687" s="10" t="s">
        <v>2130</v>
      </c>
      <c r="B1687" s="10" t="s">
        <v>2211</v>
      </c>
      <c r="C1687" t="str">
        <f>Table13[[#This Row],[Manufacturer]]&amp;" "&amp;Table13[[#This Row],[Model]]</f>
        <v>Proto 6014F</v>
      </c>
      <c r="D1687" s="1">
        <v>4</v>
      </c>
      <c r="E1687" s="1">
        <v>6</v>
      </c>
      <c r="F1687" s="38">
        <v>250</v>
      </c>
      <c r="G1687" t="s">
        <v>166</v>
      </c>
    </row>
    <row r="1688" spans="1:7" x14ac:dyDescent="0.25">
      <c r="A1688" s="10" t="s">
        <v>2130</v>
      </c>
      <c r="B1688" s="10" t="s">
        <v>2210</v>
      </c>
      <c r="C1688" t="str">
        <f>Table13[[#This Row],[Manufacturer]]&amp;" "&amp;Table13[[#This Row],[Model]]</f>
        <v>Proto 6014NMC</v>
      </c>
      <c r="D1688" s="1">
        <v>4</v>
      </c>
      <c r="E1688" s="1">
        <v>6</v>
      </c>
      <c r="F1688" s="38">
        <v>350</v>
      </c>
      <c r="G1688" t="s">
        <v>184</v>
      </c>
    </row>
    <row r="1689" spans="1:7" x14ac:dyDescent="0.25">
      <c r="A1689" s="10" t="s">
        <v>2130</v>
      </c>
      <c r="B1689" s="10" t="s">
        <v>2209</v>
      </c>
      <c r="C1689" t="str">
        <f>Table13[[#This Row],[Manufacturer]]&amp;" "&amp;Table13[[#This Row],[Model]]</f>
        <v>Proto 6015C</v>
      </c>
      <c r="D1689" s="1">
        <v>4</v>
      </c>
      <c r="E1689" s="1">
        <v>6</v>
      </c>
      <c r="F1689" s="38">
        <v>150</v>
      </c>
      <c r="G1689" t="s">
        <v>166</v>
      </c>
    </row>
    <row r="1690" spans="1:7" x14ac:dyDescent="0.25">
      <c r="A1690" s="10" t="s">
        <v>2130</v>
      </c>
      <c r="B1690" s="10">
        <v>6016</v>
      </c>
      <c r="C1690" t="str">
        <f>Table13[[#This Row],[Manufacturer]]&amp;" "&amp;Table13[[#This Row],[Model]]</f>
        <v>Proto 6016</v>
      </c>
      <c r="D1690" s="1">
        <v>4</v>
      </c>
      <c r="E1690" s="1">
        <v>6</v>
      </c>
      <c r="F1690" s="38">
        <v>150</v>
      </c>
      <c r="G1690" t="s">
        <v>166</v>
      </c>
    </row>
    <row r="1691" spans="1:7" x14ac:dyDescent="0.25">
      <c r="A1691" s="10" t="s">
        <v>2130</v>
      </c>
      <c r="B1691" s="10" t="s">
        <v>2208</v>
      </c>
      <c r="C1691" t="str">
        <f>Table13[[#This Row],[Manufacturer]]&amp;" "&amp;Table13[[#This Row],[Model]]</f>
        <v>Proto 6016C</v>
      </c>
      <c r="D1691" s="1">
        <v>4</v>
      </c>
      <c r="E1691" s="1">
        <v>6</v>
      </c>
      <c r="F1691" s="38">
        <v>150</v>
      </c>
      <c r="G1691" t="s">
        <v>166</v>
      </c>
    </row>
    <row r="1692" spans="1:7" x14ac:dyDescent="0.25">
      <c r="A1692" s="10" t="s">
        <v>2130</v>
      </c>
      <c r="B1692" s="10" t="s">
        <v>2207</v>
      </c>
      <c r="C1692" t="str">
        <f>Table13[[#This Row],[Manufacturer]]&amp;" "&amp;Table13[[#This Row],[Model]]</f>
        <v>Proto 6016CX</v>
      </c>
      <c r="D1692" s="1">
        <v>4</v>
      </c>
      <c r="E1692" s="1">
        <v>6</v>
      </c>
      <c r="F1692" s="38">
        <v>150</v>
      </c>
      <c r="G1692" t="s">
        <v>166</v>
      </c>
    </row>
    <row r="1693" spans="1:7" x14ac:dyDescent="0.25">
      <c r="A1693" s="10" t="s">
        <v>2130</v>
      </c>
      <c r="B1693" s="10" t="s">
        <v>2206</v>
      </c>
      <c r="C1693" t="str">
        <f>Table13[[#This Row],[Manufacturer]]&amp;" "&amp;Table13[[#This Row],[Model]]</f>
        <v>Proto 6016F</v>
      </c>
      <c r="D1693" s="1">
        <v>4</v>
      </c>
      <c r="E1693" s="1">
        <v>6</v>
      </c>
      <c r="F1693" s="38">
        <v>150</v>
      </c>
      <c r="G1693" t="s">
        <v>166</v>
      </c>
    </row>
    <row r="1694" spans="1:7" x14ac:dyDescent="0.25">
      <c r="A1694" s="10" t="s">
        <v>2130</v>
      </c>
      <c r="B1694" s="10" t="s">
        <v>2205</v>
      </c>
      <c r="C1694" t="str">
        <f>Table13[[#This Row],[Manufacturer]]&amp;" "&amp;Table13[[#This Row],[Model]]</f>
        <v>Proto 6016NM</v>
      </c>
      <c r="D1694" s="1">
        <v>4</v>
      </c>
      <c r="E1694" s="1">
        <v>6</v>
      </c>
      <c r="F1694" s="38">
        <v>200</v>
      </c>
      <c r="G1694" t="s">
        <v>184</v>
      </c>
    </row>
    <row r="1695" spans="1:7" x14ac:dyDescent="0.25">
      <c r="A1695" s="10" t="s">
        <v>2130</v>
      </c>
      <c r="B1695" s="10" t="s">
        <v>2204</v>
      </c>
      <c r="C1695" t="str">
        <f>Table13[[#This Row],[Manufacturer]]&amp;" "&amp;Table13[[#This Row],[Model]]</f>
        <v>Proto 6016NMB</v>
      </c>
      <c r="D1695" s="1">
        <v>4</v>
      </c>
      <c r="E1695" s="1">
        <v>6</v>
      </c>
      <c r="F1695" s="38">
        <v>200</v>
      </c>
      <c r="G1695" t="s">
        <v>184</v>
      </c>
    </row>
    <row r="1696" spans="1:7" x14ac:dyDescent="0.25">
      <c r="A1696" s="10" t="s">
        <v>2130</v>
      </c>
      <c r="B1696" s="10" t="s">
        <v>2203</v>
      </c>
      <c r="C1696" t="str">
        <f>Table13[[#This Row],[Manufacturer]]&amp;" "&amp;Table13[[#This Row],[Model]]</f>
        <v>Proto 6016NMC</v>
      </c>
      <c r="D1696" s="1">
        <v>4</v>
      </c>
      <c r="E1696" s="1">
        <v>6</v>
      </c>
      <c r="F1696" s="38">
        <v>200</v>
      </c>
      <c r="G1696" t="s">
        <v>184</v>
      </c>
    </row>
    <row r="1697" spans="1:7" x14ac:dyDescent="0.25">
      <c r="A1697" s="10" t="s">
        <v>2130</v>
      </c>
      <c r="B1697" s="10" t="s">
        <v>2202</v>
      </c>
      <c r="C1697" t="str">
        <f>Table13[[#This Row],[Manufacturer]]&amp;" "&amp;Table13[[#This Row],[Model]]</f>
        <v>Proto 6018AB</v>
      </c>
      <c r="D1697" s="1">
        <v>4</v>
      </c>
      <c r="E1697" s="1">
        <v>6</v>
      </c>
      <c r="F1697" s="38">
        <v>300</v>
      </c>
      <c r="G1697" t="s">
        <v>166</v>
      </c>
    </row>
    <row r="1698" spans="1:7" x14ac:dyDescent="0.25">
      <c r="A1698" s="10" t="s">
        <v>2130</v>
      </c>
      <c r="B1698" s="10" t="s">
        <v>2201</v>
      </c>
      <c r="C1698" t="str">
        <f>Table13[[#This Row],[Manufacturer]]&amp;" "&amp;Table13[[#This Row],[Model]]</f>
        <v>Proto 6020-1</v>
      </c>
      <c r="D1698" s="1">
        <v>4</v>
      </c>
      <c r="E1698" s="1">
        <v>6</v>
      </c>
      <c r="F1698" s="38">
        <v>600</v>
      </c>
      <c r="G1698" t="s">
        <v>166</v>
      </c>
    </row>
    <row r="1699" spans="1:7" x14ac:dyDescent="0.25">
      <c r="A1699" s="10" t="s">
        <v>2130</v>
      </c>
      <c r="B1699" s="10" t="s">
        <v>2200</v>
      </c>
      <c r="C1699" t="str">
        <f>Table13[[#This Row],[Manufacturer]]&amp;" "&amp;Table13[[#This Row],[Model]]</f>
        <v>Proto 6020AB</v>
      </c>
      <c r="D1699" s="1">
        <v>4</v>
      </c>
      <c r="E1699" s="1">
        <v>6</v>
      </c>
      <c r="F1699" s="38">
        <v>600</v>
      </c>
      <c r="G1699" t="s">
        <v>166</v>
      </c>
    </row>
    <row r="1700" spans="1:7" x14ac:dyDescent="0.25">
      <c r="A1700" s="10" t="s">
        <v>2130</v>
      </c>
      <c r="B1700" s="10" t="s">
        <v>2199</v>
      </c>
      <c r="C1700" t="str">
        <f>Table13[[#This Row],[Manufacturer]]&amp;" "&amp;Table13[[#This Row],[Model]]</f>
        <v>Proto 6020NM</v>
      </c>
      <c r="D1700" s="1">
        <v>4</v>
      </c>
      <c r="E1700" s="1">
        <v>6</v>
      </c>
      <c r="F1700" s="38">
        <v>800</v>
      </c>
      <c r="G1700" t="s">
        <v>184</v>
      </c>
    </row>
    <row r="1701" spans="1:7" x14ac:dyDescent="0.25">
      <c r="A1701" s="10" t="s">
        <v>2130</v>
      </c>
      <c r="B1701" s="10" t="s">
        <v>2198</v>
      </c>
      <c r="C1701" t="str">
        <f>Table13[[#This Row],[Manufacturer]]&amp;" "&amp;Table13[[#This Row],[Model]]</f>
        <v>Proto 6022B</v>
      </c>
      <c r="D1701" s="1">
        <v>4</v>
      </c>
      <c r="E1701" s="1">
        <v>6</v>
      </c>
      <c r="F1701" s="38">
        <v>700</v>
      </c>
      <c r="G1701" t="s">
        <v>166</v>
      </c>
    </row>
    <row r="1702" spans="1:7" x14ac:dyDescent="0.25">
      <c r="A1702" s="10" t="s">
        <v>2130</v>
      </c>
      <c r="B1702" s="10" t="s">
        <v>2197</v>
      </c>
      <c r="C1702" t="str">
        <f>Table13[[#This Row],[Manufacturer]]&amp;" "&amp;Table13[[#This Row],[Model]]</f>
        <v>Proto 6060A</v>
      </c>
      <c r="D1702" s="1">
        <v>4</v>
      </c>
      <c r="E1702" s="1">
        <v>6</v>
      </c>
      <c r="F1702" s="38">
        <v>50</v>
      </c>
      <c r="G1702" t="s">
        <v>164</v>
      </c>
    </row>
    <row r="1703" spans="1:7" x14ac:dyDescent="0.25">
      <c r="A1703" s="10" t="s">
        <v>2130</v>
      </c>
      <c r="B1703" s="10" t="s">
        <v>2196</v>
      </c>
      <c r="C1703" t="str">
        <f>Table13[[#This Row],[Manufacturer]]&amp;" "&amp;Table13[[#This Row],[Model]]</f>
        <v>Proto 6061-5</v>
      </c>
      <c r="D1703" s="1">
        <v>4</v>
      </c>
      <c r="E1703" s="1" t="s">
        <v>169</v>
      </c>
      <c r="F1703" s="38">
        <v>200</v>
      </c>
      <c r="G1703" t="s">
        <v>164</v>
      </c>
    </row>
    <row r="1704" spans="1:7" x14ac:dyDescent="0.25">
      <c r="A1704" s="10" t="s">
        <v>2130</v>
      </c>
      <c r="B1704" s="10" t="s">
        <v>316</v>
      </c>
      <c r="C1704" t="str">
        <f>Table13[[#This Row],[Manufacturer]]&amp;" "&amp;Table13[[#This Row],[Model]]</f>
        <v>Proto 6061A</v>
      </c>
      <c r="D1704" s="1">
        <v>4</v>
      </c>
      <c r="E1704" s="1">
        <v>6</v>
      </c>
      <c r="F1704" s="38">
        <v>200</v>
      </c>
      <c r="G1704" t="s">
        <v>164</v>
      </c>
    </row>
    <row r="1705" spans="1:7" x14ac:dyDescent="0.25">
      <c r="A1705" s="10" t="s">
        <v>2130</v>
      </c>
      <c r="B1705" s="10" t="s">
        <v>2195</v>
      </c>
      <c r="C1705" t="str">
        <f>Table13[[#This Row],[Manufacturer]]&amp;" "&amp;Table13[[#This Row],[Model]]</f>
        <v>Proto 6062C</v>
      </c>
      <c r="D1705" s="1">
        <v>4</v>
      </c>
      <c r="E1705" s="1">
        <v>6</v>
      </c>
      <c r="F1705" s="38">
        <v>200</v>
      </c>
      <c r="G1705" t="s">
        <v>164</v>
      </c>
    </row>
    <row r="1706" spans="1:7" x14ac:dyDescent="0.25">
      <c r="A1706" s="10" t="s">
        <v>2130</v>
      </c>
      <c r="B1706" s="10" t="s">
        <v>2194</v>
      </c>
      <c r="C1706" t="str">
        <f>Table13[[#This Row],[Manufacturer]]&amp;" "&amp;Table13[[#This Row],[Model]]</f>
        <v>Proto 6062F</v>
      </c>
      <c r="D1706" s="1">
        <v>4</v>
      </c>
      <c r="E1706" s="1">
        <v>6</v>
      </c>
      <c r="F1706" s="38">
        <v>200</v>
      </c>
      <c r="G1706" t="s">
        <v>164</v>
      </c>
    </row>
    <row r="1707" spans="1:7" x14ac:dyDescent="0.25">
      <c r="A1707" s="10" t="s">
        <v>2130</v>
      </c>
      <c r="B1707" s="10" t="s">
        <v>2193</v>
      </c>
      <c r="C1707" t="str">
        <f>Table13[[#This Row],[Manufacturer]]&amp;" "&amp;Table13[[#This Row],[Model]]</f>
        <v>Proto 6063-5</v>
      </c>
      <c r="D1707" s="1">
        <v>4</v>
      </c>
      <c r="E1707" s="1" t="s">
        <v>169</v>
      </c>
      <c r="F1707" s="38">
        <v>200</v>
      </c>
      <c r="G1707" t="s">
        <v>164</v>
      </c>
    </row>
    <row r="1708" spans="1:7" x14ac:dyDescent="0.25">
      <c r="A1708" s="10" t="s">
        <v>2130</v>
      </c>
      <c r="B1708" s="10" t="s">
        <v>2192</v>
      </c>
      <c r="C1708" t="str">
        <f>Table13[[#This Row],[Manufacturer]]&amp;" "&amp;Table13[[#This Row],[Model]]</f>
        <v>Proto 6063A</v>
      </c>
      <c r="D1708" s="1">
        <v>4</v>
      </c>
      <c r="E1708" s="1">
        <v>6</v>
      </c>
      <c r="F1708" s="38">
        <v>200</v>
      </c>
      <c r="G1708" t="s">
        <v>164</v>
      </c>
    </row>
    <row r="1709" spans="1:7" x14ac:dyDescent="0.25">
      <c r="A1709" s="10" t="s">
        <v>2130</v>
      </c>
      <c r="B1709" s="10" t="s">
        <v>314</v>
      </c>
      <c r="C1709" t="str">
        <f>Table13[[#This Row],[Manufacturer]]&amp;" "&amp;Table13[[#This Row],[Model]]</f>
        <v>Proto 6064A</v>
      </c>
      <c r="D1709" s="1">
        <v>4</v>
      </c>
      <c r="E1709" s="1">
        <v>6</v>
      </c>
      <c r="F1709" s="38">
        <v>200</v>
      </c>
      <c r="G1709" t="s">
        <v>164</v>
      </c>
    </row>
    <row r="1710" spans="1:7" x14ac:dyDescent="0.25">
      <c r="A1710" s="10" t="s">
        <v>2130</v>
      </c>
      <c r="B1710" s="10" t="s">
        <v>2191</v>
      </c>
      <c r="C1710" t="str">
        <f>Table13[[#This Row],[Manufacturer]]&amp;" "&amp;Table13[[#This Row],[Model]]</f>
        <v>Proto 6064C</v>
      </c>
      <c r="D1710" s="1">
        <v>4</v>
      </c>
      <c r="E1710" s="1">
        <v>6</v>
      </c>
      <c r="F1710" s="38">
        <v>200</v>
      </c>
      <c r="G1710" t="s">
        <v>164</v>
      </c>
    </row>
    <row r="1711" spans="1:7" x14ac:dyDescent="0.25">
      <c r="A1711" s="10" t="s">
        <v>2130</v>
      </c>
      <c r="B1711" s="10" t="s">
        <v>2190</v>
      </c>
      <c r="C1711" t="str">
        <f>Table13[[#This Row],[Manufacturer]]&amp;" "&amp;Table13[[#This Row],[Model]]</f>
        <v>Proto 6064CX</v>
      </c>
      <c r="D1711" s="1">
        <v>4</v>
      </c>
      <c r="E1711" s="1">
        <v>6</v>
      </c>
      <c r="F1711" s="38">
        <v>200</v>
      </c>
      <c r="G1711" t="s">
        <v>164</v>
      </c>
    </row>
    <row r="1712" spans="1:7" x14ac:dyDescent="0.25">
      <c r="A1712" s="10" t="s">
        <v>2130</v>
      </c>
      <c r="B1712" s="10" t="s">
        <v>2189</v>
      </c>
      <c r="C1712" t="str">
        <f>Table13[[#This Row],[Manufacturer]]&amp;" "&amp;Table13[[#This Row],[Model]]</f>
        <v>Proto 6064F</v>
      </c>
      <c r="D1712" s="1">
        <v>4</v>
      </c>
      <c r="E1712" s="1">
        <v>6</v>
      </c>
      <c r="F1712" s="38">
        <v>200</v>
      </c>
      <c r="G1712" t="s">
        <v>164</v>
      </c>
    </row>
    <row r="1713" spans="1:7" x14ac:dyDescent="0.25">
      <c r="A1713" s="10" t="s">
        <v>2130</v>
      </c>
      <c r="B1713" s="10">
        <v>6065</v>
      </c>
      <c r="C1713" t="str">
        <f>Table13[[#This Row],[Manufacturer]]&amp;" "&amp;Table13[[#This Row],[Model]]</f>
        <v>Proto 6065</v>
      </c>
      <c r="D1713" s="1">
        <v>4</v>
      </c>
      <c r="E1713" s="1">
        <v>6</v>
      </c>
      <c r="F1713" s="38">
        <v>1000</v>
      </c>
      <c r="G1713" t="s">
        <v>164</v>
      </c>
    </row>
    <row r="1714" spans="1:7" x14ac:dyDescent="0.25">
      <c r="A1714" s="10" t="s">
        <v>2130</v>
      </c>
      <c r="B1714" s="10" t="s">
        <v>2188</v>
      </c>
      <c r="C1714" t="str">
        <f>Table13[[#This Row],[Manufacturer]]&amp;" "&amp;Table13[[#This Row],[Model]]</f>
        <v>Proto 6065-4</v>
      </c>
      <c r="D1714" s="1">
        <v>4</v>
      </c>
      <c r="E1714" s="1" t="s">
        <v>169</v>
      </c>
      <c r="F1714" s="38">
        <v>800</v>
      </c>
      <c r="G1714" t="s">
        <v>164</v>
      </c>
    </row>
    <row r="1715" spans="1:7" x14ac:dyDescent="0.25">
      <c r="A1715" s="10" t="s">
        <v>2130</v>
      </c>
      <c r="B1715" s="10" t="s">
        <v>2187</v>
      </c>
      <c r="C1715" t="str">
        <f>Table13[[#This Row],[Manufacturer]]&amp;" "&amp;Table13[[#This Row],[Model]]</f>
        <v>Proto 6065A</v>
      </c>
      <c r="D1715" s="1">
        <v>4</v>
      </c>
      <c r="E1715" s="1">
        <v>6</v>
      </c>
      <c r="F1715" s="38">
        <v>1000</v>
      </c>
      <c r="G1715" t="s">
        <v>164</v>
      </c>
    </row>
    <row r="1716" spans="1:7" x14ac:dyDescent="0.25">
      <c r="A1716" s="10" t="s">
        <v>2130</v>
      </c>
      <c r="B1716" s="10" t="s">
        <v>2186</v>
      </c>
      <c r="C1716" t="str">
        <f>Table13[[#This Row],[Manufacturer]]&amp;" "&amp;Table13[[#This Row],[Model]]</f>
        <v>Proto 6065F</v>
      </c>
      <c r="D1716" s="1">
        <v>4</v>
      </c>
      <c r="E1716" s="1">
        <v>6</v>
      </c>
      <c r="F1716" s="38">
        <v>1000</v>
      </c>
      <c r="G1716" t="s">
        <v>164</v>
      </c>
    </row>
    <row r="1717" spans="1:7" x14ac:dyDescent="0.25">
      <c r="A1717" s="10" t="s">
        <v>2130</v>
      </c>
      <c r="B1717" s="10" t="s">
        <v>313</v>
      </c>
      <c r="C1717" t="str">
        <f>Table13[[#This Row],[Manufacturer]]&amp;" "&amp;Table13[[#This Row],[Model]]</f>
        <v>Proto 6066A</v>
      </c>
      <c r="D1717" s="1">
        <v>4</v>
      </c>
      <c r="E1717" s="1">
        <v>6</v>
      </c>
      <c r="F1717" s="38">
        <v>1000</v>
      </c>
      <c r="G1717" t="s">
        <v>164</v>
      </c>
    </row>
    <row r="1718" spans="1:7" x14ac:dyDescent="0.25">
      <c r="A1718" s="10" t="s">
        <v>2130</v>
      </c>
      <c r="B1718" s="10" t="s">
        <v>2185</v>
      </c>
      <c r="C1718" t="str">
        <f>Table13[[#This Row],[Manufacturer]]&amp;" "&amp;Table13[[#This Row],[Model]]</f>
        <v>Proto 6066C</v>
      </c>
      <c r="D1718" s="1">
        <v>4</v>
      </c>
      <c r="E1718" s="1">
        <v>6</v>
      </c>
      <c r="F1718" s="38">
        <v>1000</v>
      </c>
      <c r="G1718" t="s">
        <v>164</v>
      </c>
    </row>
    <row r="1719" spans="1:7" x14ac:dyDescent="0.25">
      <c r="A1719" s="10" t="s">
        <v>2130</v>
      </c>
      <c r="B1719" s="10" t="s">
        <v>2184</v>
      </c>
      <c r="C1719" t="str">
        <f>Table13[[#This Row],[Manufacturer]]&amp;" "&amp;Table13[[#This Row],[Model]]</f>
        <v>Proto 6066F</v>
      </c>
      <c r="D1719" s="1">
        <v>4</v>
      </c>
      <c r="E1719" s="1">
        <v>6</v>
      </c>
      <c r="F1719" s="38">
        <v>1000</v>
      </c>
      <c r="G1719" t="s">
        <v>164</v>
      </c>
    </row>
    <row r="1720" spans="1:7" x14ac:dyDescent="0.25">
      <c r="A1720" s="10" t="s">
        <v>2130</v>
      </c>
      <c r="B1720" s="10" t="s">
        <v>2183</v>
      </c>
      <c r="C1720" t="str">
        <f>Table13[[#This Row],[Manufacturer]]&amp;" "&amp;Table13[[#This Row],[Model]]</f>
        <v>Proto 6068C</v>
      </c>
      <c r="D1720" s="1">
        <v>4</v>
      </c>
      <c r="E1720" s="1">
        <v>6</v>
      </c>
      <c r="F1720" s="38">
        <v>1800</v>
      </c>
      <c r="G1720" t="s">
        <v>164</v>
      </c>
    </row>
    <row r="1721" spans="1:7" x14ac:dyDescent="0.25">
      <c r="A1721" s="10" t="s">
        <v>2130</v>
      </c>
      <c r="B1721" s="10" t="s">
        <v>2182</v>
      </c>
      <c r="C1721" t="str">
        <f>Table13[[#This Row],[Manufacturer]]&amp;" "&amp;Table13[[#This Row],[Model]]</f>
        <v>Proto 6068F</v>
      </c>
      <c r="D1721" s="1">
        <v>4</v>
      </c>
      <c r="E1721" s="1">
        <v>6</v>
      </c>
      <c r="F1721" s="38">
        <v>1800</v>
      </c>
      <c r="G1721" t="s">
        <v>164</v>
      </c>
    </row>
    <row r="1722" spans="1:7" x14ac:dyDescent="0.25">
      <c r="A1722" s="10" t="s">
        <v>2130</v>
      </c>
      <c r="B1722" s="10" t="s">
        <v>2181</v>
      </c>
      <c r="C1722" t="str">
        <f>Table13[[#This Row],[Manufacturer]]&amp;" "&amp;Table13[[#This Row],[Model]]</f>
        <v>Proto 6072F</v>
      </c>
      <c r="D1722" s="1">
        <v>4</v>
      </c>
      <c r="E1722" s="1">
        <v>6</v>
      </c>
      <c r="F1722" s="38">
        <v>3000</v>
      </c>
      <c r="G1722" t="s">
        <v>164</v>
      </c>
    </row>
    <row r="1723" spans="1:7" x14ac:dyDescent="0.25">
      <c r="A1723" s="10" t="s">
        <v>2130</v>
      </c>
      <c r="B1723" s="10" t="s">
        <v>2180</v>
      </c>
      <c r="C1723" t="str">
        <f>Table13[[#This Row],[Manufacturer]]&amp;" "&amp;Table13[[#This Row],[Model]]</f>
        <v>Proto H7-6014C</v>
      </c>
      <c r="D1723" s="1">
        <v>4</v>
      </c>
      <c r="E1723" s="1">
        <v>6</v>
      </c>
      <c r="F1723" s="38">
        <v>250</v>
      </c>
      <c r="G1723" t="s">
        <v>166</v>
      </c>
    </row>
    <row r="1724" spans="1:7" x14ac:dyDescent="0.25">
      <c r="A1724" s="10" t="s">
        <v>2130</v>
      </c>
      <c r="B1724" s="10" t="s">
        <v>2179</v>
      </c>
      <c r="C1724" t="str">
        <f>Table13[[#This Row],[Manufacturer]]&amp;" "&amp;Table13[[#This Row],[Model]]</f>
        <v>Proto J6005C</v>
      </c>
      <c r="D1724" s="1">
        <v>4</v>
      </c>
      <c r="E1724" s="1">
        <v>6</v>
      </c>
      <c r="F1724" s="38">
        <v>80</v>
      </c>
      <c r="G1724" t="s">
        <v>166</v>
      </c>
    </row>
    <row r="1725" spans="1:7" x14ac:dyDescent="0.25">
      <c r="A1725" s="10" t="s">
        <v>2130</v>
      </c>
      <c r="B1725" s="10" t="s">
        <v>2178</v>
      </c>
      <c r="C1725" t="str">
        <f>Table13[[#This Row],[Manufacturer]]&amp;" "&amp;Table13[[#This Row],[Model]]</f>
        <v>Proto J6006C</v>
      </c>
      <c r="D1725" s="1">
        <v>4</v>
      </c>
      <c r="E1725" s="1">
        <v>6</v>
      </c>
      <c r="F1725" s="38">
        <v>80</v>
      </c>
      <c r="G1725" t="s">
        <v>166</v>
      </c>
    </row>
    <row r="1726" spans="1:7" x14ac:dyDescent="0.25">
      <c r="A1726" s="10" t="s">
        <v>2130</v>
      </c>
      <c r="B1726" s="10" t="s">
        <v>2177</v>
      </c>
      <c r="C1726" t="str">
        <f>Table13[[#This Row],[Manufacturer]]&amp;" "&amp;Table13[[#This Row],[Model]]</f>
        <v>Proto J6006F</v>
      </c>
      <c r="D1726" s="1">
        <v>4</v>
      </c>
      <c r="E1726" s="1">
        <v>6</v>
      </c>
      <c r="F1726" s="38">
        <v>80</v>
      </c>
      <c r="G1726" t="s">
        <v>166</v>
      </c>
    </row>
    <row r="1727" spans="1:7" x14ac:dyDescent="0.25">
      <c r="A1727" s="10" t="s">
        <v>2130</v>
      </c>
      <c r="B1727" s="10" t="s">
        <v>2176</v>
      </c>
      <c r="C1727" t="str">
        <f>Table13[[#This Row],[Manufacturer]]&amp;" "&amp;Table13[[#This Row],[Model]]</f>
        <v>Proto J6006MC</v>
      </c>
      <c r="D1727" s="1">
        <v>4</v>
      </c>
      <c r="E1727" s="1">
        <v>6</v>
      </c>
      <c r="F1727" s="38">
        <v>80</v>
      </c>
      <c r="G1727" t="s">
        <v>184</v>
      </c>
    </row>
    <row r="1728" spans="1:7" x14ac:dyDescent="0.25">
      <c r="A1728" s="10" t="s">
        <v>2130</v>
      </c>
      <c r="B1728" s="10" t="s">
        <v>2175</v>
      </c>
      <c r="C1728" t="str">
        <f>Table13[[#This Row],[Manufacturer]]&amp;" "&amp;Table13[[#This Row],[Model]]</f>
        <v>Proto J6006NMC</v>
      </c>
      <c r="D1728" s="1">
        <v>4</v>
      </c>
      <c r="E1728" s="1">
        <v>6</v>
      </c>
      <c r="F1728" s="38">
        <v>80</v>
      </c>
      <c r="G1728" t="s">
        <v>184</v>
      </c>
    </row>
    <row r="1729" spans="1:7" x14ac:dyDescent="0.25">
      <c r="A1729" s="10" t="s">
        <v>2130</v>
      </c>
      <c r="B1729" s="10" t="s">
        <v>2174</v>
      </c>
      <c r="C1729" t="str">
        <f>Table13[[#This Row],[Manufacturer]]&amp;" "&amp;Table13[[#This Row],[Model]]</f>
        <v>Proto J6008C</v>
      </c>
      <c r="D1729" s="1">
        <v>4</v>
      </c>
      <c r="E1729" s="1">
        <v>6</v>
      </c>
      <c r="F1729" s="38">
        <v>80</v>
      </c>
      <c r="G1729" t="s">
        <v>166</v>
      </c>
    </row>
    <row r="1730" spans="1:7" x14ac:dyDescent="0.25">
      <c r="A1730" s="10" t="s">
        <v>2130</v>
      </c>
      <c r="B1730" s="10" t="s">
        <v>2173</v>
      </c>
      <c r="C1730" t="str">
        <f>Table13[[#This Row],[Manufacturer]]&amp;" "&amp;Table13[[#This Row],[Model]]</f>
        <v>Proto J6012C</v>
      </c>
      <c r="D1730" s="1">
        <v>4</v>
      </c>
      <c r="E1730" s="1">
        <v>6</v>
      </c>
      <c r="F1730" s="38">
        <v>100</v>
      </c>
      <c r="G1730" t="s">
        <v>166</v>
      </c>
    </row>
    <row r="1731" spans="1:7" x14ac:dyDescent="0.25">
      <c r="A1731" s="10" t="s">
        <v>2130</v>
      </c>
      <c r="B1731" s="10" t="s">
        <v>2172</v>
      </c>
      <c r="C1731" t="str">
        <f>Table13[[#This Row],[Manufacturer]]&amp;" "&amp;Table13[[#This Row],[Model]]</f>
        <v>Proto J6012FC</v>
      </c>
      <c r="D1731" s="1">
        <v>4</v>
      </c>
      <c r="E1731" s="1">
        <v>6</v>
      </c>
      <c r="F1731" s="38">
        <v>100</v>
      </c>
      <c r="G1731" t="s">
        <v>166</v>
      </c>
    </row>
    <row r="1732" spans="1:7" x14ac:dyDescent="0.25">
      <c r="A1732" s="10" t="s">
        <v>2130</v>
      </c>
      <c r="B1732" s="10" t="s">
        <v>2171</v>
      </c>
      <c r="C1732" t="str">
        <f>Table13[[#This Row],[Manufacturer]]&amp;" "&amp;Table13[[#This Row],[Model]]</f>
        <v>Proto J6013C</v>
      </c>
      <c r="D1732" s="1">
        <v>4</v>
      </c>
      <c r="E1732" s="1">
        <v>6</v>
      </c>
      <c r="F1732" s="38">
        <v>250</v>
      </c>
      <c r="G1732" t="s">
        <v>166</v>
      </c>
    </row>
    <row r="1733" spans="1:7" x14ac:dyDescent="0.25">
      <c r="A1733" s="10" t="s">
        <v>2130</v>
      </c>
      <c r="B1733" s="10" t="s">
        <v>2170</v>
      </c>
      <c r="C1733" t="str">
        <f>Table13[[#This Row],[Manufacturer]]&amp;" "&amp;Table13[[#This Row],[Model]]</f>
        <v>Proto J6014C</v>
      </c>
      <c r="D1733" s="1">
        <v>4</v>
      </c>
      <c r="E1733" s="1">
        <v>6</v>
      </c>
      <c r="F1733" s="38">
        <v>250</v>
      </c>
      <c r="G1733" t="s">
        <v>166</v>
      </c>
    </row>
    <row r="1734" spans="1:7" x14ac:dyDescent="0.25">
      <c r="A1734" s="10" t="s">
        <v>2130</v>
      </c>
      <c r="B1734" s="10" t="s">
        <v>2169</v>
      </c>
      <c r="C1734" t="str">
        <f>Table13[[#This Row],[Manufacturer]]&amp;" "&amp;Table13[[#This Row],[Model]]</f>
        <v>Proto J6014F</v>
      </c>
      <c r="D1734" s="1">
        <v>4</v>
      </c>
      <c r="E1734" s="1">
        <v>6</v>
      </c>
      <c r="F1734" s="38">
        <v>250</v>
      </c>
      <c r="G1734" t="s">
        <v>166</v>
      </c>
    </row>
    <row r="1735" spans="1:7" x14ac:dyDescent="0.25">
      <c r="A1735" s="10" t="s">
        <v>2130</v>
      </c>
      <c r="B1735" s="10" t="s">
        <v>2168</v>
      </c>
      <c r="C1735" t="str">
        <f>Table13[[#This Row],[Manufacturer]]&amp;" "&amp;Table13[[#This Row],[Model]]</f>
        <v>Proto J6014MC</v>
      </c>
      <c r="D1735" s="1">
        <v>4</v>
      </c>
      <c r="E1735" s="1">
        <v>6</v>
      </c>
      <c r="F1735" s="38">
        <v>350</v>
      </c>
      <c r="G1735" t="s">
        <v>184</v>
      </c>
    </row>
    <row r="1736" spans="1:7" x14ac:dyDescent="0.25">
      <c r="A1736" s="10" t="s">
        <v>2130</v>
      </c>
      <c r="B1736" s="10" t="s">
        <v>2167</v>
      </c>
      <c r="C1736" t="str">
        <f>Table13[[#This Row],[Manufacturer]]&amp;" "&amp;Table13[[#This Row],[Model]]</f>
        <v>Proto J6014NMC</v>
      </c>
      <c r="D1736" s="1">
        <v>4</v>
      </c>
      <c r="E1736" s="1">
        <v>6</v>
      </c>
      <c r="F1736" s="38">
        <v>350</v>
      </c>
      <c r="G1736" t="s">
        <v>184</v>
      </c>
    </row>
    <row r="1737" spans="1:7" x14ac:dyDescent="0.25">
      <c r="A1737" s="10" t="s">
        <v>2130</v>
      </c>
      <c r="B1737" s="10" t="s">
        <v>2166</v>
      </c>
      <c r="C1737" t="str">
        <f>Table13[[#This Row],[Manufacturer]]&amp;" "&amp;Table13[[#This Row],[Model]]</f>
        <v>Proto J6015C</v>
      </c>
      <c r="D1737" s="1">
        <v>4</v>
      </c>
      <c r="E1737" s="1">
        <v>6</v>
      </c>
      <c r="F1737" s="38">
        <v>150</v>
      </c>
      <c r="G1737" t="s">
        <v>166</v>
      </c>
    </row>
    <row r="1738" spans="1:7" x14ac:dyDescent="0.25">
      <c r="A1738" s="10" t="s">
        <v>2130</v>
      </c>
      <c r="B1738" s="10" t="s">
        <v>2165</v>
      </c>
      <c r="C1738" t="str">
        <f>Table13[[#This Row],[Manufacturer]]&amp;" "&amp;Table13[[#This Row],[Model]]</f>
        <v>Proto J6016B</v>
      </c>
      <c r="D1738" s="1">
        <v>4</v>
      </c>
      <c r="E1738" s="1">
        <v>6</v>
      </c>
      <c r="F1738" s="38">
        <v>150</v>
      </c>
      <c r="G1738" t="s">
        <v>166</v>
      </c>
    </row>
    <row r="1739" spans="1:7" x14ac:dyDescent="0.25">
      <c r="A1739" s="10" t="s">
        <v>2130</v>
      </c>
      <c r="B1739" s="10" t="s">
        <v>2164</v>
      </c>
      <c r="C1739" t="str">
        <f>Table13[[#This Row],[Manufacturer]]&amp;" "&amp;Table13[[#This Row],[Model]]</f>
        <v>Proto J6016C</v>
      </c>
      <c r="D1739" s="1">
        <v>4</v>
      </c>
      <c r="E1739" s="1">
        <v>6</v>
      </c>
      <c r="F1739" s="38">
        <v>150</v>
      </c>
      <c r="G1739" t="s">
        <v>166</v>
      </c>
    </row>
    <row r="1740" spans="1:7" x14ac:dyDescent="0.25">
      <c r="A1740" s="10" t="s">
        <v>2130</v>
      </c>
      <c r="B1740" s="10" t="s">
        <v>2163</v>
      </c>
      <c r="C1740" t="str">
        <f>Table13[[#This Row],[Manufacturer]]&amp;" "&amp;Table13[[#This Row],[Model]]</f>
        <v>Proto J6016MC</v>
      </c>
      <c r="D1740" s="1">
        <v>4</v>
      </c>
      <c r="E1740" s="1">
        <v>6</v>
      </c>
      <c r="F1740" s="38">
        <v>200</v>
      </c>
      <c r="G1740" t="s">
        <v>184</v>
      </c>
    </row>
    <row r="1741" spans="1:7" x14ac:dyDescent="0.25">
      <c r="A1741" s="10" t="s">
        <v>2130</v>
      </c>
      <c r="B1741" s="10" t="s">
        <v>2162</v>
      </c>
      <c r="C1741" t="str">
        <f>Table13[[#This Row],[Manufacturer]]&amp;" "&amp;Table13[[#This Row],[Model]]</f>
        <v>Proto J6016NMC</v>
      </c>
      <c r="D1741" s="1">
        <v>4</v>
      </c>
      <c r="E1741" s="1">
        <v>6</v>
      </c>
      <c r="F1741" s="38">
        <v>200</v>
      </c>
      <c r="G1741" t="s">
        <v>184</v>
      </c>
    </row>
    <row r="1742" spans="1:7" x14ac:dyDescent="0.25">
      <c r="A1742" s="10" t="s">
        <v>2130</v>
      </c>
      <c r="B1742" s="10" t="s">
        <v>2161</v>
      </c>
      <c r="C1742" t="str">
        <f>Table13[[#This Row],[Manufacturer]]&amp;" "&amp;Table13[[#This Row],[Model]]</f>
        <v>Proto J6017B</v>
      </c>
      <c r="D1742" s="1">
        <v>4</v>
      </c>
      <c r="E1742" s="1">
        <v>6</v>
      </c>
      <c r="F1742" s="38">
        <v>600</v>
      </c>
      <c r="G1742" t="s">
        <v>166</v>
      </c>
    </row>
    <row r="1743" spans="1:7" x14ac:dyDescent="0.25">
      <c r="A1743" s="10" t="s">
        <v>2130</v>
      </c>
      <c r="B1743" s="10" t="s">
        <v>2160</v>
      </c>
      <c r="C1743" t="str">
        <f>Table13[[#This Row],[Manufacturer]]&amp;" "&amp;Table13[[#This Row],[Model]]</f>
        <v>Proto J6018AB</v>
      </c>
      <c r="D1743" s="1">
        <v>4</v>
      </c>
      <c r="E1743" s="1">
        <v>6</v>
      </c>
      <c r="F1743" s="38">
        <v>300</v>
      </c>
      <c r="G1743" t="s">
        <v>166</v>
      </c>
    </row>
    <row r="1744" spans="1:7" x14ac:dyDescent="0.25">
      <c r="A1744" s="10" t="s">
        <v>2130</v>
      </c>
      <c r="B1744" s="10" t="s">
        <v>2159</v>
      </c>
      <c r="C1744" t="str">
        <f>Table13[[#This Row],[Manufacturer]]&amp;" "&amp;Table13[[#This Row],[Model]]</f>
        <v>Proto J6018CX</v>
      </c>
      <c r="D1744" s="1">
        <v>4</v>
      </c>
      <c r="E1744" s="1">
        <v>6</v>
      </c>
      <c r="F1744" s="38">
        <v>300</v>
      </c>
      <c r="G1744" t="s">
        <v>166</v>
      </c>
    </row>
    <row r="1745" spans="1:7" x14ac:dyDescent="0.25">
      <c r="A1745" s="10" t="s">
        <v>2130</v>
      </c>
      <c r="B1745" s="10" t="s">
        <v>2158</v>
      </c>
      <c r="C1745" t="str">
        <f>Table13[[#This Row],[Manufacturer]]&amp;" "&amp;Table13[[#This Row],[Model]]</f>
        <v>Proto J6020AB</v>
      </c>
      <c r="D1745" s="1">
        <v>4</v>
      </c>
      <c r="E1745" s="1">
        <v>6</v>
      </c>
      <c r="F1745" s="38">
        <v>600</v>
      </c>
      <c r="G1745" t="s">
        <v>166</v>
      </c>
    </row>
    <row r="1746" spans="1:7" x14ac:dyDescent="0.25">
      <c r="A1746" s="10" t="s">
        <v>2130</v>
      </c>
      <c r="B1746" s="10" t="s">
        <v>2157</v>
      </c>
      <c r="C1746" t="str">
        <f>Table13[[#This Row],[Manufacturer]]&amp;" "&amp;Table13[[#This Row],[Model]]</f>
        <v>Proto J6020CX</v>
      </c>
      <c r="D1746" s="1">
        <v>4</v>
      </c>
      <c r="E1746" s="1">
        <v>6</v>
      </c>
      <c r="F1746" s="38">
        <v>600</v>
      </c>
      <c r="G1746" t="s">
        <v>166</v>
      </c>
    </row>
    <row r="1747" spans="1:7" x14ac:dyDescent="0.25">
      <c r="A1747" s="10" t="s">
        <v>2130</v>
      </c>
      <c r="B1747" s="10" t="s">
        <v>2156</v>
      </c>
      <c r="C1747" t="str">
        <f>Table13[[#This Row],[Manufacturer]]&amp;" "&amp;Table13[[#This Row],[Model]]</f>
        <v>Proto J6020NM</v>
      </c>
      <c r="D1747" s="1">
        <v>4</v>
      </c>
      <c r="E1747" s="1">
        <v>6</v>
      </c>
      <c r="F1747" s="38">
        <v>800</v>
      </c>
      <c r="G1747" t="s">
        <v>184</v>
      </c>
    </row>
    <row r="1748" spans="1:7" x14ac:dyDescent="0.25">
      <c r="A1748" s="10" t="s">
        <v>2130</v>
      </c>
      <c r="B1748" s="10" t="s">
        <v>2155</v>
      </c>
      <c r="C1748" t="str">
        <f>Table13[[#This Row],[Manufacturer]]&amp;" "&amp;Table13[[#This Row],[Model]]</f>
        <v>Proto J6022B</v>
      </c>
      <c r="D1748" s="1">
        <v>4</v>
      </c>
      <c r="E1748" s="1">
        <v>6</v>
      </c>
      <c r="F1748" s="38">
        <v>700</v>
      </c>
      <c r="G1748" t="s">
        <v>166</v>
      </c>
    </row>
    <row r="1749" spans="1:7" x14ac:dyDescent="0.25">
      <c r="A1749" s="10" t="s">
        <v>2130</v>
      </c>
      <c r="B1749" s="10" t="s">
        <v>2154</v>
      </c>
      <c r="C1749" t="str">
        <f>Table13[[#This Row],[Manufacturer]]&amp;" "&amp;Table13[[#This Row],[Model]]</f>
        <v>Proto J6023</v>
      </c>
      <c r="D1749" s="1">
        <v>4</v>
      </c>
      <c r="E1749" s="1">
        <v>6</v>
      </c>
      <c r="F1749" s="38">
        <v>1000</v>
      </c>
      <c r="G1749" t="s">
        <v>166</v>
      </c>
    </row>
    <row r="1750" spans="1:7" x14ac:dyDescent="0.25">
      <c r="A1750" s="10" t="s">
        <v>2130</v>
      </c>
      <c r="B1750" s="10" t="s">
        <v>2153</v>
      </c>
      <c r="C1750" t="str">
        <f>Table13[[#This Row],[Manufacturer]]&amp;" "&amp;Table13[[#This Row],[Model]]</f>
        <v>Proto J6025</v>
      </c>
      <c r="D1750" s="1">
        <v>4</v>
      </c>
      <c r="E1750" s="1">
        <v>6</v>
      </c>
      <c r="F1750" s="38">
        <v>2000</v>
      </c>
      <c r="G1750" t="s">
        <v>166</v>
      </c>
    </row>
    <row r="1751" spans="1:7" x14ac:dyDescent="0.25">
      <c r="A1751" s="10" t="s">
        <v>2130</v>
      </c>
      <c r="B1751" s="10" t="s">
        <v>2152</v>
      </c>
      <c r="C1751" t="str">
        <f>Table13[[#This Row],[Manufacturer]]&amp;" "&amp;Table13[[#This Row],[Model]]</f>
        <v>Proto J6060A</v>
      </c>
      <c r="D1751" s="1">
        <v>4</v>
      </c>
      <c r="E1751" s="1">
        <v>6</v>
      </c>
      <c r="F1751" s="38">
        <v>50</v>
      </c>
      <c r="G1751" t="s">
        <v>164</v>
      </c>
    </row>
    <row r="1752" spans="1:7" x14ac:dyDescent="0.25">
      <c r="A1752" s="10" t="s">
        <v>2130</v>
      </c>
      <c r="B1752" s="10" t="s">
        <v>2151</v>
      </c>
      <c r="C1752" t="str">
        <f>Table13[[#This Row],[Manufacturer]]&amp;" "&amp;Table13[[#This Row],[Model]]</f>
        <v>Proto J6061C</v>
      </c>
      <c r="D1752" s="1">
        <v>4</v>
      </c>
      <c r="E1752" s="1">
        <v>6</v>
      </c>
      <c r="F1752" s="38">
        <v>200</v>
      </c>
      <c r="G1752" t="s">
        <v>164</v>
      </c>
    </row>
    <row r="1753" spans="1:7" x14ac:dyDescent="0.25">
      <c r="A1753" s="10" t="s">
        <v>2130</v>
      </c>
      <c r="B1753" s="10" t="s">
        <v>2150</v>
      </c>
      <c r="C1753" t="str">
        <f>Table13[[#This Row],[Manufacturer]]&amp;" "&amp;Table13[[#This Row],[Model]]</f>
        <v>Proto J6061CX</v>
      </c>
      <c r="D1753" s="1">
        <v>4</v>
      </c>
      <c r="E1753" s="1">
        <v>6</v>
      </c>
      <c r="F1753" s="38">
        <v>200</v>
      </c>
      <c r="G1753" t="s">
        <v>164</v>
      </c>
    </row>
    <row r="1754" spans="1:7" x14ac:dyDescent="0.25">
      <c r="A1754" s="10" t="s">
        <v>2130</v>
      </c>
      <c r="B1754" s="10" t="s">
        <v>2149</v>
      </c>
      <c r="C1754" t="str">
        <f>Table13[[#This Row],[Manufacturer]]&amp;" "&amp;Table13[[#This Row],[Model]]</f>
        <v>Proto J6062C</v>
      </c>
      <c r="D1754" s="1">
        <v>4</v>
      </c>
      <c r="E1754" s="1">
        <v>6</v>
      </c>
      <c r="F1754" s="38">
        <v>200</v>
      </c>
      <c r="G1754" t="s">
        <v>164</v>
      </c>
    </row>
    <row r="1755" spans="1:7" x14ac:dyDescent="0.25">
      <c r="A1755" s="10" t="s">
        <v>2130</v>
      </c>
      <c r="B1755" s="10" t="s">
        <v>2148</v>
      </c>
      <c r="C1755" t="str">
        <f>Table13[[#This Row],[Manufacturer]]&amp;" "&amp;Table13[[#This Row],[Model]]</f>
        <v>Proto J6063C</v>
      </c>
      <c r="D1755" s="1">
        <v>4</v>
      </c>
      <c r="E1755" s="1">
        <v>6</v>
      </c>
      <c r="F1755" s="38">
        <v>200</v>
      </c>
      <c r="G1755" t="s">
        <v>164</v>
      </c>
    </row>
    <row r="1756" spans="1:7" x14ac:dyDescent="0.25">
      <c r="A1756" s="10" t="s">
        <v>2130</v>
      </c>
      <c r="B1756" s="10" t="s">
        <v>2147</v>
      </c>
      <c r="C1756" t="str">
        <f>Table13[[#This Row],[Manufacturer]]&amp;" "&amp;Table13[[#This Row],[Model]]</f>
        <v>Proto J6063CX</v>
      </c>
      <c r="D1756" s="1">
        <v>4</v>
      </c>
      <c r="E1756" s="1">
        <v>6</v>
      </c>
      <c r="F1756" s="38">
        <v>200</v>
      </c>
      <c r="G1756" t="s">
        <v>164</v>
      </c>
    </row>
    <row r="1757" spans="1:7" x14ac:dyDescent="0.25">
      <c r="A1757" s="10" t="s">
        <v>2130</v>
      </c>
      <c r="B1757" s="10" t="s">
        <v>2146</v>
      </c>
      <c r="C1757" t="str">
        <f>Table13[[#This Row],[Manufacturer]]&amp;" "&amp;Table13[[#This Row],[Model]]</f>
        <v>Proto J6064C</v>
      </c>
      <c r="D1757" s="1">
        <v>4</v>
      </c>
      <c r="E1757" s="1">
        <v>6</v>
      </c>
      <c r="F1757" s="38">
        <v>200</v>
      </c>
      <c r="G1757" t="s">
        <v>164</v>
      </c>
    </row>
    <row r="1758" spans="1:7" x14ac:dyDescent="0.25">
      <c r="A1758" s="10" t="s">
        <v>2130</v>
      </c>
      <c r="B1758" s="10" t="s">
        <v>2145</v>
      </c>
      <c r="C1758" t="str">
        <f>Table13[[#This Row],[Manufacturer]]&amp;" "&amp;Table13[[#This Row],[Model]]</f>
        <v>Proto J6064CX</v>
      </c>
      <c r="D1758" s="1">
        <v>4</v>
      </c>
      <c r="E1758" s="1">
        <v>6</v>
      </c>
      <c r="F1758" s="38">
        <v>200</v>
      </c>
      <c r="G1758" t="s">
        <v>164</v>
      </c>
    </row>
    <row r="1759" spans="1:7" x14ac:dyDescent="0.25">
      <c r="A1759" s="10" t="s">
        <v>2130</v>
      </c>
      <c r="B1759" s="10" t="s">
        <v>2144</v>
      </c>
      <c r="C1759" t="str">
        <f>Table13[[#This Row],[Manufacturer]]&amp;" "&amp;Table13[[#This Row],[Model]]</f>
        <v>Proto J6065C</v>
      </c>
      <c r="D1759" s="1">
        <v>4</v>
      </c>
      <c r="E1759" s="1">
        <v>6</v>
      </c>
      <c r="F1759" s="38">
        <v>1000</v>
      </c>
      <c r="G1759" t="s">
        <v>164</v>
      </c>
    </row>
    <row r="1760" spans="1:7" x14ac:dyDescent="0.25">
      <c r="A1760" s="10" t="s">
        <v>2130</v>
      </c>
      <c r="B1760" s="10" t="s">
        <v>2143</v>
      </c>
      <c r="C1760" t="str">
        <f>Table13[[#This Row],[Manufacturer]]&amp;" "&amp;Table13[[#This Row],[Model]]</f>
        <v>Proto J6065CX</v>
      </c>
      <c r="D1760" s="1">
        <v>4</v>
      </c>
      <c r="E1760" s="1">
        <v>6</v>
      </c>
      <c r="F1760" s="38">
        <v>1000</v>
      </c>
      <c r="G1760" t="s">
        <v>164</v>
      </c>
    </row>
    <row r="1761" spans="1:7" x14ac:dyDescent="0.25">
      <c r="A1761" s="10" t="s">
        <v>2130</v>
      </c>
      <c r="B1761" s="10" t="s">
        <v>2142</v>
      </c>
      <c r="C1761" t="str">
        <f>Table13[[#This Row],[Manufacturer]]&amp;" "&amp;Table13[[#This Row],[Model]]</f>
        <v>Proto J6066C</v>
      </c>
      <c r="D1761" s="1">
        <v>4</v>
      </c>
      <c r="E1761" s="1">
        <v>6</v>
      </c>
      <c r="F1761" s="38">
        <v>1000</v>
      </c>
      <c r="G1761" t="s">
        <v>164</v>
      </c>
    </row>
    <row r="1762" spans="1:7" x14ac:dyDescent="0.25">
      <c r="A1762" s="10" t="s">
        <v>2130</v>
      </c>
      <c r="B1762" s="10" t="s">
        <v>2141</v>
      </c>
      <c r="C1762" t="str">
        <f>Table13[[#This Row],[Manufacturer]]&amp;" "&amp;Table13[[#This Row],[Model]]</f>
        <v>Proto J6066CX</v>
      </c>
      <c r="D1762" s="1">
        <v>4</v>
      </c>
      <c r="E1762" s="1">
        <v>6</v>
      </c>
      <c r="F1762" s="38">
        <v>1000</v>
      </c>
      <c r="G1762" t="s">
        <v>164</v>
      </c>
    </row>
    <row r="1763" spans="1:7" x14ac:dyDescent="0.25">
      <c r="A1763" s="10" t="s">
        <v>2130</v>
      </c>
      <c r="B1763" s="10" t="s">
        <v>2140</v>
      </c>
      <c r="C1763" t="str">
        <f>Table13[[#This Row],[Manufacturer]]&amp;" "&amp;Table13[[#This Row],[Model]]</f>
        <v>Proto J6068C</v>
      </c>
      <c r="D1763" s="1">
        <v>4</v>
      </c>
      <c r="E1763" s="1">
        <v>6</v>
      </c>
      <c r="F1763" s="38">
        <v>1800</v>
      </c>
      <c r="G1763" t="s">
        <v>164</v>
      </c>
    </row>
    <row r="1764" spans="1:7" x14ac:dyDescent="0.25">
      <c r="A1764" s="10" t="s">
        <v>2130</v>
      </c>
      <c r="B1764" s="10" t="s">
        <v>2139</v>
      </c>
      <c r="C1764" t="str">
        <f>Table13[[#This Row],[Manufacturer]]&amp;" "&amp;Table13[[#This Row],[Model]]</f>
        <v>Proto J6072C</v>
      </c>
      <c r="D1764" s="1">
        <v>4</v>
      </c>
      <c r="E1764" s="1">
        <v>6</v>
      </c>
      <c r="F1764" s="38">
        <v>3000</v>
      </c>
      <c r="G1764" t="s">
        <v>164</v>
      </c>
    </row>
    <row r="1765" spans="1:7" x14ac:dyDescent="0.25">
      <c r="A1765" s="10" t="s">
        <v>2130</v>
      </c>
      <c r="B1765" s="10" t="s">
        <v>2138</v>
      </c>
      <c r="C1765" t="str">
        <f>Table13[[#This Row],[Manufacturer]]&amp;" "&amp;Table13[[#This Row],[Model]]</f>
        <v>Proto JH4-150PS</v>
      </c>
      <c r="D1765" s="1">
        <v>4</v>
      </c>
      <c r="E1765" s="1">
        <v>6</v>
      </c>
      <c r="F1765" s="38">
        <v>150</v>
      </c>
      <c r="G1765" t="s">
        <v>164</v>
      </c>
    </row>
    <row r="1766" spans="1:7" x14ac:dyDescent="0.25">
      <c r="A1766" s="10" t="s">
        <v>2130</v>
      </c>
      <c r="B1766" s="10" t="s">
        <v>2137</v>
      </c>
      <c r="C1766" t="str">
        <f>Table13[[#This Row],[Manufacturer]]&amp;" "&amp;Table13[[#This Row],[Model]]</f>
        <v>Proto JH4-50FPS</v>
      </c>
      <c r="D1766" s="1">
        <v>4</v>
      </c>
      <c r="E1766" s="1">
        <v>6</v>
      </c>
      <c r="F1766" s="38">
        <v>50</v>
      </c>
      <c r="G1766" t="s">
        <v>166</v>
      </c>
    </row>
    <row r="1767" spans="1:7" x14ac:dyDescent="0.25">
      <c r="A1767" s="10" t="s">
        <v>2130</v>
      </c>
      <c r="B1767" s="10" t="s">
        <v>2136</v>
      </c>
      <c r="C1767" t="str">
        <f>Table13[[#This Row],[Manufacturer]]&amp;" "&amp;Table13[[#This Row],[Model]]</f>
        <v>Proto JH5-150FPS</v>
      </c>
      <c r="D1767" s="1">
        <v>4</v>
      </c>
      <c r="E1767" s="1">
        <v>6</v>
      </c>
      <c r="F1767" s="38">
        <v>150</v>
      </c>
      <c r="G1767" t="s">
        <v>166</v>
      </c>
    </row>
    <row r="1768" spans="1:7" x14ac:dyDescent="0.25">
      <c r="A1768" s="10" t="s">
        <v>2130</v>
      </c>
      <c r="B1768" s="10" t="s">
        <v>2135</v>
      </c>
      <c r="C1768" t="str">
        <f>Table13[[#This Row],[Manufacturer]]&amp;" "&amp;Table13[[#This Row],[Model]]</f>
        <v>Proto JH5-200FPS</v>
      </c>
      <c r="D1768" s="1">
        <v>4</v>
      </c>
      <c r="E1768" s="1">
        <v>6</v>
      </c>
      <c r="F1768" s="38">
        <v>200</v>
      </c>
      <c r="G1768" t="s">
        <v>166</v>
      </c>
    </row>
    <row r="1769" spans="1:7" x14ac:dyDescent="0.25">
      <c r="A1769" s="10" t="s">
        <v>2130</v>
      </c>
      <c r="B1769" s="10" t="s">
        <v>2134</v>
      </c>
      <c r="C1769" t="str">
        <f>Table13[[#This Row],[Manufacturer]]&amp;" "&amp;Table13[[#This Row],[Model]]</f>
        <v>Proto JH5-6006C</v>
      </c>
      <c r="D1769" s="1">
        <v>4</v>
      </c>
      <c r="E1769" s="1">
        <v>6</v>
      </c>
      <c r="F1769" s="38">
        <v>80</v>
      </c>
      <c r="G1769" t="s">
        <v>166</v>
      </c>
    </row>
    <row r="1770" spans="1:7" x14ac:dyDescent="0.25">
      <c r="A1770" s="10" t="s">
        <v>2130</v>
      </c>
      <c r="B1770" s="10" t="s">
        <v>2133</v>
      </c>
      <c r="C1770" t="str">
        <f>Table13[[#This Row],[Manufacturer]]&amp;" "&amp;Table13[[#This Row],[Model]]</f>
        <v>Proto JH7-6014C</v>
      </c>
      <c r="D1770" s="1">
        <v>4</v>
      </c>
      <c r="E1770" s="1">
        <v>6</v>
      </c>
      <c r="F1770" s="38">
        <v>250</v>
      </c>
      <c r="G1770" t="s">
        <v>166</v>
      </c>
    </row>
    <row r="1771" spans="1:7" x14ac:dyDescent="0.25">
      <c r="A1771" s="10" t="s">
        <v>2130</v>
      </c>
      <c r="B1771" s="10">
        <v>6104</v>
      </c>
      <c r="C1771" t="str">
        <f>Table13[[#This Row],[Manufacturer]]&amp;" "&amp;Table13[[#This Row],[Model]]</f>
        <v>Proto 6104</v>
      </c>
      <c r="D1771" s="1">
        <v>6</v>
      </c>
      <c r="E1771" s="1" t="s">
        <v>169</v>
      </c>
      <c r="F1771" s="38">
        <v>100</v>
      </c>
      <c r="G1771" t="s">
        <v>172</v>
      </c>
    </row>
    <row r="1772" spans="1:7" x14ac:dyDescent="0.25">
      <c r="A1772" s="10" t="s">
        <v>2130</v>
      </c>
      <c r="B1772" s="10">
        <v>6106</v>
      </c>
      <c r="C1772" t="str">
        <f>Table13[[#This Row],[Manufacturer]]&amp;" "&amp;Table13[[#This Row],[Model]]</f>
        <v>Proto 6106</v>
      </c>
      <c r="D1772" s="1">
        <v>4</v>
      </c>
      <c r="E1772" s="1" t="s">
        <v>169</v>
      </c>
      <c r="F1772" s="38">
        <v>36</v>
      </c>
      <c r="G1772" t="s">
        <v>164</v>
      </c>
    </row>
    <row r="1773" spans="1:7" x14ac:dyDescent="0.25">
      <c r="A1773" s="10" t="s">
        <v>2130</v>
      </c>
      <c r="B1773" s="10" t="s">
        <v>2132</v>
      </c>
      <c r="C1773" t="str">
        <f>Table13[[#This Row],[Manufacturer]]&amp;" "&amp;Table13[[#This Row],[Model]]</f>
        <v>Proto J6104A</v>
      </c>
      <c r="D1773" s="1">
        <v>4</v>
      </c>
      <c r="E1773" s="1" t="s">
        <v>169</v>
      </c>
      <c r="F1773" s="38">
        <v>100</v>
      </c>
      <c r="G1773" t="s">
        <v>172</v>
      </c>
    </row>
    <row r="1774" spans="1:7" x14ac:dyDescent="0.25">
      <c r="A1774" s="10" t="s">
        <v>2130</v>
      </c>
      <c r="B1774" s="10" t="s">
        <v>2131</v>
      </c>
      <c r="C1774" t="str">
        <f>Table13[[#This Row],[Manufacturer]]&amp;" "&amp;Table13[[#This Row],[Model]]</f>
        <v>Proto J6106A</v>
      </c>
      <c r="D1774" s="1">
        <v>4</v>
      </c>
      <c r="E1774" s="1" t="s">
        <v>169</v>
      </c>
      <c r="F1774" s="38">
        <v>36</v>
      </c>
      <c r="G1774" t="s">
        <v>164</v>
      </c>
    </row>
    <row r="1775" spans="1:7" x14ac:dyDescent="0.25">
      <c r="A1775" s="10" t="s">
        <v>2130</v>
      </c>
      <c r="B1775" s="10" t="s">
        <v>2129</v>
      </c>
      <c r="C1775" t="str">
        <f>Table13[[#This Row],[Manufacturer]]&amp;" "&amp;Table13[[#This Row],[Model]]</f>
        <v>Proto J6107A</v>
      </c>
      <c r="D1775" s="1">
        <v>4</v>
      </c>
      <c r="E1775" s="1" t="s">
        <v>169</v>
      </c>
      <c r="F1775" s="38">
        <v>22</v>
      </c>
      <c r="G1775" t="s">
        <v>164</v>
      </c>
    </row>
    <row r="1776" spans="1:7" x14ac:dyDescent="0.25">
      <c r="A1776" s="10" t="s">
        <v>2128</v>
      </c>
      <c r="B1776" s="10" t="s">
        <v>2127</v>
      </c>
      <c r="C1776" t="str">
        <f>Table13[[#This Row],[Manufacturer]]&amp;" "&amp;Table13[[#This Row],[Model]]</f>
        <v>Proxxon MC 30</v>
      </c>
      <c r="D1776" s="1">
        <v>3</v>
      </c>
      <c r="E1776" s="1" t="s">
        <v>169</v>
      </c>
      <c r="F1776" s="38">
        <v>30</v>
      </c>
      <c r="G1776" t="s">
        <v>184</v>
      </c>
    </row>
    <row r="1777" spans="1:7" x14ac:dyDescent="0.25">
      <c r="A1777" s="10" t="s">
        <v>2126</v>
      </c>
      <c r="B1777" s="10" t="s">
        <v>2125</v>
      </c>
      <c r="C1777" t="str">
        <f>Table13[[#This Row],[Manufacturer]]&amp;" "&amp;Table13[[#This Row],[Model]]</f>
        <v>Radiall R-282-320</v>
      </c>
      <c r="D1777" s="1">
        <v>20</v>
      </c>
      <c r="E1777" s="1">
        <v>20</v>
      </c>
      <c r="F1777" s="38">
        <v>5</v>
      </c>
      <c r="G1777" t="s">
        <v>164</v>
      </c>
    </row>
    <row r="1778" spans="1:7" x14ac:dyDescent="0.25">
      <c r="A1778" s="10" t="s">
        <v>2123</v>
      </c>
      <c r="B1778" s="10">
        <v>7715700</v>
      </c>
      <c r="C1778" t="str">
        <f>Table13[[#This Row],[Manufacturer]]&amp;" "&amp;Table13[[#This Row],[Model]]</f>
        <v>Rahsol 7715700</v>
      </c>
      <c r="D1778" s="1">
        <v>4</v>
      </c>
      <c r="E1778" s="1" t="s">
        <v>169</v>
      </c>
      <c r="F1778" s="38">
        <v>350</v>
      </c>
      <c r="G1778" t="s">
        <v>166</v>
      </c>
    </row>
    <row r="1779" spans="1:7" x14ac:dyDescent="0.25">
      <c r="A1779" s="10" t="s">
        <v>2123</v>
      </c>
      <c r="B1779" s="10" t="s">
        <v>2124</v>
      </c>
      <c r="C1779" t="str">
        <f>Table13[[#This Row],[Manufacturer]]&amp;" "&amp;Table13[[#This Row],[Model]]</f>
        <v>Rahsol 8460-01</v>
      </c>
      <c r="D1779" s="1">
        <v>3</v>
      </c>
      <c r="E1779" s="1" t="s">
        <v>169</v>
      </c>
      <c r="F1779" s="38">
        <v>350</v>
      </c>
      <c r="G1779" t="s">
        <v>164</v>
      </c>
    </row>
    <row r="1780" spans="1:7" x14ac:dyDescent="0.25">
      <c r="A1780" s="10" t="s">
        <v>2123</v>
      </c>
      <c r="B1780" s="10">
        <v>757</v>
      </c>
      <c r="C1780" t="str">
        <f>Table13[[#This Row],[Manufacturer]]&amp;" "&amp;Table13[[#This Row],[Model]]</f>
        <v>Rahsol 757</v>
      </c>
      <c r="D1780" s="1">
        <v>6</v>
      </c>
      <c r="E1780" s="1">
        <v>6</v>
      </c>
      <c r="F1780" s="38">
        <v>6</v>
      </c>
      <c r="G1780" t="s">
        <v>184</v>
      </c>
    </row>
    <row r="1781" spans="1:7" x14ac:dyDescent="0.25">
      <c r="A1781" s="10" t="s">
        <v>2122</v>
      </c>
      <c r="B1781" s="10">
        <v>2125458</v>
      </c>
      <c r="C1781" t="str">
        <f>Table13[[#This Row],[Manufacturer]]&amp;" "&amp;Table13[[#This Row],[Model]]</f>
        <v>Rock River 2125458</v>
      </c>
      <c r="D1781" s="1">
        <v>4</v>
      </c>
      <c r="E1781" s="1" t="s">
        <v>169</v>
      </c>
      <c r="F1781" s="38">
        <v>50</v>
      </c>
      <c r="G1781" t="s">
        <v>164</v>
      </c>
    </row>
    <row r="1782" spans="1:7" x14ac:dyDescent="0.25">
      <c r="A1782" s="10" t="s">
        <v>2122</v>
      </c>
      <c r="B1782" s="10">
        <v>2125459</v>
      </c>
      <c r="C1782" t="str">
        <f>Table13[[#This Row],[Manufacturer]]&amp;" "&amp;Table13[[#This Row],[Model]]</f>
        <v>Rock River 2125459</v>
      </c>
      <c r="D1782" s="1">
        <v>4</v>
      </c>
      <c r="E1782" s="1" t="s">
        <v>169</v>
      </c>
      <c r="F1782" s="38">
        <v>200</v>
      </c>
      <c r="G1782" t="s">
        <v>164</v>
      </c>
    </row>
    <row r="1783" spans="1:7" x14ac:dyDescent="0.25">
      <c r="A1783" s="10" t="s">
        <v>2122</v>
      </c>
      <c r="B1783" s="10">
        <v>2125460</v>
      </c>
      <c r="C1783" t="str">
        <f>Table13[[#This Row],[Manufacturer]]&amp;" "&amp;Table13[[#This Row],[Model]]</f>
        <v>Rock River 2125460</v>
      </c>
      <c r="D1783" s="1">
        <v>4</v>
      </c>
      <c r="E1783" s="1" t="s">
        <v>169</v>
      </c>
      <c r="F1783" s="38">
        <v>250</v>
      </c>
      <c r="G1783" t="s">
        <v>164</v>
      </c>
    </row>
    <row r="1784" spans="1:7" x14ac:dyDescent="0.25">
      <c r="A1784" s="10" t="s">
        <v>2122</v>
      </c>
      <c r="B1784" s="10">
        <v>2125461</v>
      </c>
      <c r="C1784" t="str">
        <f>Table13[[#This Row],[Manufacturer]]&amp;" "&amp;Table13[[#This Row],[Model]]</f>
        <v>Rock River 2125461</v>
      </c>
      <c r="D1784" s="1">
        <v>4</v>
      </c>
      <c r="E1784" s="1" t="s">
        <v>169</v>
      </c>
      <c r="F1784" s="38">
        <v>100</v>
      </c>
      <c r="G1784" t="s">
        <v>166</v>
      </c>
    </row>
    <row r="1785" spans="1:7" x14ac:dyDescent="0.25">
      <c r="A1785" s="10" t="s">
        <v>2122</v>
      </c>
      <c r="B1785" s="10">
        <v>2125462</v>
      </c>
      <c r="C1785" t="str">
        <f>Table13[[#This Row],[Manufacturer]]&amp;" "&amp;Table13[[#This Row],[Model]]</f>
        <v>Rock River 2125462</v>
      </c>
      <c r="D1785" s="1">
        <v>4</v>
      </c>
      <c r="E1785" s="1" t="s">
        <v>169</v>
      </c>
      <c r="F1785" s="38">
        <v>250</v>
      </c>
      <c r="G1785" t="s">
        <v>166</v>
      </c>
    </row>
    <row r="1786" spans="1:7" x14ac:dyDescent="0.25">
      <c r="A1786" s="10" t="s">
        <v>2122</v>
      </c>
      <c r="B1786" s="10">
        <v>2125463</v>
      </c>
      <c r="C1786" t="str">
        <f>Table13[[#This Row],[Manufacturer]]&amp;" "&amp;Table13[[#This Row],[Model]]</f>
        <v>Rock River 2125463</v>
      </c>
      <c r="D1786" s="1">
        <v>4</v>
      </c>
      <c r="E1786" s="1" t="s">
        <v>169</v>
      </c>
      <c r="F1786" s="38">
        <v>600</v>
      </c>
      <c r="G1786" t="s">
        <v>166</v>
      </c>
    </row>
    <row r="1787" spans="1:7" x14ac:dyDescent="0.25">
      <c r="A1787" s="10" t="s">
        <v>2122</v>
      </c>
      <c r="B1787" s="10">
        <v>2161551</v>
      </c>
      <c r="C1787" t="str">
        <f>Table13[[#This Row],[Manufacturer]]&amp;" "&amp;Table13[[#This Row],[Model]]</f>
        <v>Rock River 2161551</v>
      </c>
      <c r="D1787" s="1">
        <v>4</v>
      </c>
      <c r="E1787" s="1">
        <v>6</v>
      </c>
      <c r="F1787" s="38">
        <v>200</v>
      </c>
      <c r="G1787" t="s">
        <v>164</v>
      </c>
    </row>
    <row r="1788" spans="1:7" x14ac:dyDescent="0.25">
      <c r="A1788" s="10" t="s">
        <v>2122</v>
      </c>
      <c r="B1788" s="10">
        <v>2161553</v>
      </c>
      <c r="C1788" t="str">
        <f>Table13[[#This Row],[Manufacturer]]&amp;" "&amp;Table13[[#This Row],[Model]]</f>
        <v>Rock River 2161553</v>
      </c>
      <c r="D1788" s="1">
        <v>4</v>
      </c>
      <c r="E1788" s="1">
        <v>6</v>
      </c>
      <c r="F1788" s="38">
        <v>100</v>
      </c>
      <c r="G1788" t="s">
        <v>166</v>
      </c>
    </row>
    <row r="1789" spans="1:7" x14ac:dyDescent="0.25">
      <c r="A1789" s="10" t="s">
        <v>2121</v>
      </c>
      <c r="B1789" s="10" t="s">
        <v>2120</v>
      </c>
      <c r="C1789" t="str">
        <f>Table13[[#This Row],[Manufacturer]]&amp;" "&amp;Table13[[#This Row],[Model]]</f>
        <v>Sam DYNASTOP 5-80</v>
      </c>
      <c r="D1789" s="1">
        <v>4</v>
      </c>
      <c r="E1789" s="1" t="s">
        <v>169</v>
      </c>
      <c r="F1789" s="38">
        <v>800</v>
      </c>
      <c r="G1789" t="s">
        <v>184</v>
      </c>
    </row>
    <row r="1790" spans="1:7" x14ac:dyDescent="0.25">
      <c r="A1790" s="10" t="s">
        <v>2118</v>
      </c>
      <c r="B1790" s="10" t="s">
        <v>2119</v>
      </c>
      <c r="C1790" t="str">
        <f>Table13[[#This Row],[Manufacturer]]&amp;" "&amp;Table13[[#This Row],[Model]]</f>
        <v>Sandvik Coromant 5680-088-02</v>
      </c>
      <c r="D1790" s="1">
        <v>4</v>
      </c>
      <c r="E1790" s="1" t="s">
        <v>169</v>
      </c>
      <c r="F1790" s="38">
        <v>65</v>
      </c>
      <c r="G1790" t="s">
        <v>184</v>
      </c>
    </row>
    <row r="1791" spans="1:7" x14ac:dyDescent="0.25">
      <c r="A1791" s="10" t="s">
        <v>2118</v>
      </c>
      <c r="B1791" s="10" t="s">
        <v>2117</v>
      </c>
      <c r="C1791" t="str">
        <f>Table13[[#This Row],[Manufacturer]]&amp;" "&amp;Table13[[#This Row],[Model]]</f>
        <v>Sandvik Coromant 5680-099-01</v>
      </c>
      <c r="D1791" s="1">
        <v>4</v>
      </c>
      <c r="E1791" s="1" t="s">
        <v>169</v>
      </c>
      <c r="F1791" s="38">
        <v>15</v>
      </c>
      <c r="G1791" t="s">
        <v>184</v>
      </c>
    </row>
    <row r="1792" spans="1:7" x14ac:dyDescent="0.25">
      <c r="A1792" s="10" t="s">
        <v>2066</v>
      </c>
      <c r="B1792" s="10" t="s">
        <v>2116</v>
      </c>
      <c r="C1792" t="str">
        <f>Table13[[#This Row],[Manufacturer]]&amp;" "&amp;Table13[[#This Row],[Model]]</f>
        <v>Seekonk SD-48</v>
      </c>
      <c r="D1792" s="1">
        <v>3</v>
      </c>
      <c r="E1792" s="1">
        <v>3</v>
      </c>
      <c r="F1792" s="38">
        <v>48</v>
      </c>
      <c r="G1792" t="s">
        <v>172</v>
      </c>
    </row>
    <row r="1793" spans="1:7" x14ac:dyDescent="0.25">
      <c r="A1793" s="10" t="s">
        <v>2066</v>
      </c>
      <c r="B1793" s="10" t="s">
        <v>2115</v>
      </c>
      <c r="C1793" t="str">
        <f>Table13[[#This Row],[Manufacturer]]&amp;" "&amp;Table13[[#This Row],[Model]]</f>
        <v>Seekonk SD-96</v>
      </c>
      <c r="D1793" s="1">
        <v>3</v>
      </c>
      <c r="E1793" s="1">
        <v>3</v>
      </c>
      <c r="F1793" s="38">
        <v>96</v>
      </c>
      <c r="G1793" t="s">
        <v>172</v>
      </c>
    </row>
    <row r="1794" spans="1:7" x14ac:dyDescent="0.25">
      <c r="A1794" s="10" t="s">
        <v>2066</v>
      </c>
      <c r="B1794" s="10" t="s">
        <v>2114</v>
      </c>
      <c r="C1794" t="str">
        <f>Table13[[#This Row],[Manufacturer]]&amp;" "&amp;Table13[[#This Row],[Model]]</f>
        <v>Seekonk SL-100 Left</v>
      </c>
      <c r="D1794" s="1">
        <v>3</v>
      </c>
      <c r="E1794" s="1" t="s">
        <v>169</v>
      </c>
      <c r="F1794" s="38">
        <v>100</v>
      </c>
      <c r="G1794" t="s">
        <v>164</v>
      </c>
    </row>
    <row r="1795" spans="1:7" x14ac:dyDescent="0.25">
      <c r="A1795" s="10" t="s">
        <v>2066</v>
      </c>
      <c r="B1795" s="10" t="s">
        <v>2113</v>
      </c>
      <c r="C1795" t="str">
        <f>Table13[[#This Row],[Manufacturer]]&amp;" "&amp;Table13[[#This Row],[Model]]</f>
        <v>Seekonk SL-100 Right</v>
      </c>
      <c r="D1795" s="1">
        <v>3</v>
      </c>
      <c r="E1795" s="1" t="s">
        <v>169</v>
      </c>
      <c r="F1795" s="38">
        <v>100</v>
      </c>
      <c r="G1795" t="s">
        <v>164</v>
      </c>
    </row>
    <row r="1796" spans="1:7" x14ac:dyDescent="0.25">
      <c r="A1796" s="10" t="s">
        <v>2066</v>
      </c>
      <c r="B1796" s="10" t="s">
        <v>2112</v>
      </c>
      <c r="C1796" t="str">
        <f>Table13[[#This Row],[Manufacturer]]&amp;" "&amp;Table13[[#This Row],[Model]]</f>
        <v>Seekonk SL-12</v>
      </c>
      <c r="D1796" s="1">
        <v>3</v>
      </c>
      <c r="E1796" s="1">
        <v>3</v>
      </c>
      <c r="F1796" s="38">
        <v>12</v>
      </c>
      <c r="G1796" t="s">
        <v>164</v>
      </c>
    </row>
    <row r="1797" spans="1:7" x14ac:dyDescent="0.25">
      <c r="A1797" s="10" t="s">
        <v>2066</v>
      </c>
      <c r="B1797" s="10" t="s">
        <v>2111</v>
      </c>
      <c r="C1797" t="str">
        <f>Table13[[#This Row],[Manufacturer]]&amp;" "&amp;Table13[[#This Row],[Model]]</f>
        <v>Seekonk SL-25 Left</v>
      </c>
      <c r="D1797" s="1">
        <v>3</v>
      </c>
      <c r="E1797" s="1" t="s">
        <v>169</v>
      </c>
      <c r="F1797" s="38">
        <v>25</v>
      </c>
      <c r="G1797" t="s">
        <v>164</v>
      </c>
    </row>
    <row r="1798" spans="1:7" x14ac:dyDescent="0.25">
      <c r="A1798" s="10" t="s">
        <v>2066</v>
      </c>
      <c r="B1798" s="10" t="s">
        <v>2110</v>
      </c>
      <c r="C1798" t="str">
        <f>Table13[[#This Row],[Manufacturer]]&amp;" "&amp;Table13[[#This Row],[Model]]</f>
        <v>Seekonk SL-25 Right</v>
      </c>
      <c r="D1798" s="1">
        <v>3</v>
      </c>
      <c r="E1798" s="1" t="s">
        <v>169</v>
      </c>
      <c r="F1798" s="38">
        <v>25</v>
      </c>
      <c r="G1798" t="s">
        <v>164</v>
      </c>
    </row>
    <row r="1799" spans="1:7" x14ac:dyDescent="0.25">
      <c r="A1799" s="10" t="s">
        <v>2066</v>
      </c>
      <c r="B1799" s="10" t="s">
        <v>2109</v>
      </c>
      <c r="C1799" t="str">
        <f>Table13[[#This Row],[Manufacturer]]&amp;" "&amp;Table13[[#This Row],[Model]]</f>
        <v>Seekonk SL-50 Left</v>
      </c>
      <c r="D1799" s="1">
        <v>3</v>
      </c>
      <c r="E1799" s="1" t="s">
        <v>169</v>
      </c>
      <c r="F1799" s="38">
        <v>50</v>
      </c>
      <c r="G1799" t="s">
        <v>164</v>
      </c>
    </row>
    <row r="1800" spans="1:7" x14ac:dyDescent="0.25">
      <c r="A1800" s="10" t="s">
        <v>2066</v>
      </c>
      <c r="B1800" s="10" t="s">
        <v>2108</v>
      </c>
      <c r="C1800" t="str">
        <f>Table13[[#This Row],[Manufacturer]]&amp;" "&amp;Table13[[#This Row],[Model]]</f>
        <v>Seekonk SL-50 Right</v>
      </c>
      <c r="D1800" s="1">
        <v>3</v>
      </c>
      <c r="E1800" s="1" t="s">
        <v>169</v>
      </c>
      <c r="F1800" s="38">
        <v>50</v>
      </c>
      <c r="G1800" t="s">
        <v>164</v>
      </c>
    </row>
    <row r="1801" spans="1:7" x14ac:dyDescent="0.25">
      <c r="A1801" s="10" t="s">
        <v>2066</v>
      </c>
      <c r="B1801" s="10" t="s">
        <v>2107</v>
      </c>
      <c r="C1801" t="str">
        <f>Table13[[#This Row],[Manufacturer]]&amp;" "&amp;Table13[[#This Row],[Model]]</f>
        <v>Seekonk SL-6</v>
      </c>
      <c r="D1801" s="1">
        <v>3</v>
      </c>
      <c r="E1801" s="1">
        <v>3</v>
      </c>
      <c r="F1801" s="38">
        <v>6</v>
      </c>
      <c r="G1801" t="s">
        <v>164</v>
      </c>
    </row>
    <row r="1802" spans="1:7" x14ac:dyDescent="0.25">
      <c r="A1802" s="10" t="s">
        <v>2066</v>
      </c>
      <c r="B1802" s="10" t="s">
        <v>2106</v>
      </c>
      <c r="C1802" t="str">
        <f>Table13[[#This Row],[Manufacturer]]&amp;" "&amp;Table13[[#This Row],[Model]]</f>
        <v>Seekonk SL-80 Left</v>
      </c>
      <c r="D1802" s="1">
        <v>3</v>
      </c>
      <c r="E1802" s="1" t="s">
        <v>169</v>
      </c>
      <c r="F1802" s="38">
        <v>80</v>
      </c>
      <c r="G1802" t="s">
        <v>164</v>
      </c>
    </row>
    <row r="1803" spans="1:7" x14ac:dyDescent="0.25">
      <c r="A1803" s="10" t="s">
        <v>2066</v>
      </c>
      <c r="B1803" s="10" t="s">
        <v>2105</v>
      </c>
      <c r="C1803" t="str">
        <f>Table13[[#This Row],[Manufacturer]]&amp;" "&amp;Table13[[#This Row],[Model]]</f>
        <v>Seekonk SL-80 Right</v>
      </c>
      <c r="D1803" s="1">
        <v>3</v>
      </c>
      <c r="E1803" s="1" t="s">
        <v>169</v>
      </c>
      <c r="F1803" s="38">
        <v>80</v>
      </c>
      <c r="G1803" t="s">
        <v>164</v>
      </c>
    </row>
    <row r="1804" spans="1:7" x14ac:dyDescent="0.25">
      <c r="A1804" s="10" t="s">
        <v>2066</v>
      </c>
      <c r="B1804" s="10" t="s">
        <v>2104</v>
      </c>
      <c r="C1804" t="str">
        <f>Table13[[#This Row],[Manufacturer]]&amp;" "&amp;Table13[[#This Row],[Model]]</f>
        <v>Seekonk SO-24</v>
      </c>
      <c r="D1804" s="1">
        <v>3</v>
      </c>
      <c r="E1804" s="1">
        <v>3</v>
      </c>
      <c r="F1804" s="38">
        <v>24</v>
      </c>
      <c r="G1804" t="s">
        <v>164</v>
      </c>
    </row>
    <row r="1805" spans="1:7" x14ac:dyDescent="0.25">
      <c r="A1805" s="10" t="s">
        <v>2066</v>
      </c>
      <c r="B1805" s="10" t="s">
        <v>2103</v>
      </c>
      <c r="C1805" t="str">
        <f>Table13[[#This Row],[Manufacturer]]&amp;" "&amp;Table13[[#This Row],[Model]]</f>
        <v>Seekonk SO-96</v>
      </c>
      <c r="D1805" s="1">
        <v>3</v>
      </c>
      <c r="E1805" s="1">
        <v>3</v>
      </c>
      <c r="F1805" s="38">
        <v>96</v>
      </c>
      <c r="G1805" t="s">
        <v>172</v>
      </c>
    </row>
    <row r="1806" spans="1:7" x14ac:dyDescent="0.25">
      <c r="A1806" s="10" t="s">
        <v>2066</v>
      </c>
      <c r="B1806" s="10" t="s">
        <v>2102</v>
      </c>
      <c r="C1806" t="str">
        <f>Table13[[#This Row],[Manufacturer]]&amp;" "&amp;Table13[[#This Row],[Model]]</f>
        <v>Seekonk TSF-50</v>
      </c>
      <c r="D1806" s="1">
        <v>3</v>
      </c>
      <c r="E1806" s="1">
        <v>3</v>
      </c>
      <c r="F1806" s="38">
        <v>50</v>
      </c>
      <c r="G1806" t="s">
        <v>166</v>
      </c>
    </row>
    <row r="1807" spans="1:7" x14ac:dyDescent="0.25">
      <c r="A1807" s="10" t="s">
        <v>2066</v>
      </c>
      <c r="B1807" s="10" t="s">
        <v>2101</v>
      </c>
      <c r="C1807" t="str">
        <f>Table13[[#This Row],[Manufacturer]]&amp;" "&amp;Table13[[#This Row],[Model]]</f>
        <v>Seekonk TSQ-100</v>
      </c>
      <c r="D1807" s="1">
        <v>3</v>
      </c>
      <c r="E1807" s="1">
        <v>3</v>
      </c>
      <c r="F1807" s="38">
        <v>100</v>
      </c>
      <c r="G1807" t="s">
        <v>164</v>
      </c>
    </row>
    <row r="1808" spans="1:7" x14ac:dyDescent="0.25">
      <c r="A1808" s="10" t="s">
        <v>2066</v>
      </c>
      <c r="B1808" s="10" t="s">
        <v>2100</v>
      </c>
      <c r="C1808" t="str">
        <f>Table13[[#This Row],[Manufacturer]]&amp;" "&amp;Table13[[#This Row],[Model]]</f>
        <v>Seekonk TSQ-150</v>
      </c>
      <c r="D1808" s="1">
        <v>3</v>
      </c>
      <c r="E1808" s="1">
        <v>3</v>
      </c>
      <c r="F1808" s="38">
        <v>150</v>
      </c>
      <c r="G1808" t="s">
        <v>164</v>
      </c>
    </row>
    <row r="1809" spans="1:7" x14ac:dyDescent="0.25">
      <c r="A1809" s="10" t="s">
        <v>2066</v>
      </c>
      <c r="B1809" s="10" t="s">
        <v>2099</v>
      </c>
      <c r="C1809" t="str">
        <f>Table13[[#This Row],[Manufacturer]]&amp;" "&amp;Table13[[#This Row],[Model]]</f>
        <v>Seekonk TSQ-30</v>
      </c>
      <c r="D1809" s="1">
        <v>3</v>
      </c>
      <c r="E1809" s="1">
        <v>3</v>
      </c>
      <c r="F1809" s="38">
        <v>30</v>
      </c>
      <c r="G1809" t="s">
        <v>164</v>
      </c>
    </row>
    <row r="1810" spans="1:7" x14ac:dyDescent="0.25">
      <c r="A1810" s="10" t="s">
        <v>2066</v>
      </c>
      <c r="B1810" s="10" t="s">
        <v>2098</v>
      </c>
      <c r="C1810" t="str">
        <f>Table13[[#This Row],[Manufacturer]]&amp;" "&amp;Table13[[#This Row],[Model]]</f>
        <v>Seekonk TSQ-300</v>
      </c>
      <c r="D1810" s="1">
        <v>3</v>
      </c>
      <c r="E1810" s="1">
        <v>3</v>
      </c>
      <c r="F1810" s="38">
        <v>300</v>
      </c>
      <c r="G1810" t="s">
        <v>164</v>
      </c>
    </row>
    <row r="1811" spans="1:7" x14ac:dyDescent="0.25">
      <c r="A1811" s="10" t="s">
        <v>2066</v>
      </c>
      <c r="B1811" s="10" t="s">
        <v>2097</v>
      </c>
      <c r="C1811" t="str">
        <f>Table13[[#This Row],[Manufacturer]]&amp;" "&amp;Table13[[#This Row],[Model]]</f>
        <v>Seekonk TSQ-600</v>
      </c>
      <c r="D1811" s="1">
        <v>3</v>
      </c>
      <c r="E1811" s="1">
        <v>3</v>
      </c>
      <c r="F1811" s="38">
        <v>600</v>
      </c>
      <c r="G1811" t="s">
        <v>164</v>
      </c>
    </row>
    <row r="1812" spans="1:7" x14ac:dyDescent="0.25">
      <c r="A1812" s="10" t="s">
        <v>2066</v>
      </c>
      <c r="B1812" s="10" t="s">
        <v>2096</v>
      </c>
      <c r="C1812" t="str">
        <f>Table13[[#This Row],[Manufacturer]]&amp;" "&amp;Table13[[#This Row],[Model]]</f>
        <v>Seekonk TSQ-75</v>
      </c>
      <c r="D1812" s="1">
        <v>3</v>
      </c>
      <c r="E1812" s="1">
        <v>3</v>
      </c>
      <c r="F1812" s="38">
        <v>75</v>
      </c>
      <c r="G1812" t="s">
        <v>164</v>
      </c>
    </row>
    <row r="1813" spans="1:7" x14ac:dyDescent="0.25">
      <c r="A1813" s="10" t="s">
        <v>2066</v>
      </c>
      <c r="B1813" s="10" t="s">
        <v>2095</v>
      </c>
      <c r="C1813" t="str">
        <f>Table13[[#This Row],[Manufacturer]]&amp;" "&amp;Table13[[#This Row],[Model]]</f>
        <v>Seekonk IT-3 1/4</v>
      </c>
      <c r="D1813" s="1">
        <v>4</v>
      </c>
      <c r="E1813" s="1" t="s">
        <v>169</v>
      </c>
      <c r="F1813" s="38">
        <v>100</v>
      </c>
      <c r="G1813" t="s">
        <v>164</v>
      </c>
    </row>
    <row r="1814" spans="1:7" x14ac:dyDescent="0.25">
      <c r="A1814" s="10" t="s">
        <v>2066</v>
      </c>
      <c r="B1814" s="10" t="s">
        <v>2094</v>
      </c>
      <c r="C1814" t="str">
        <f>Table13[[#This Row],[Manufacturer]]&amp;" "&amp;Table13[[#This Row],[Model]]</f>
        <v>Seekonk IT-4 3/8</v>
      </c>
      <c r="D1814" s="1">
        <v>4</v>
      </c>
      <c r="E1814" s="1" t="s">
        <v>169</v>
      </c>
      <c r="F1814" s="38">
        <v>300</v>
      </c>
      <c r="G1814" t="s">
        <v>164</v>
      </c>
    </row>
    <row r="1815" spans="1:7" x14ac:dyDescent="0.25">
      <c r="A1815" s="10" t="s">
        <v>2066</v>
      </c>
      <c r="B1815" s="10" t="s">
        <v>2093</v>
      </c>
      <c r="C1815" t="str">
        <f>Table13[[#This Row],[Manufacturer]]&amp;" "&amp;Table13[[#This Row],[Model]]</f>
        <v>Seekonk IT-5 1/2</v>
      </c>
      <c r="D1815" s="1">
        <v>4</v>
      </c>
      <c r="E1815" s="1" t="s">
        <v>169</v>
      </c>
      <c r="F1815" s="38">
        <v>125</v>
      </c>
      <c r="G1815" t="s">
        <v>166</v>
      </c>
    </row>
    <row r="1816" spans="1:7" x14ac:dyDescent="0.25">
      <c r="A1816" s="10" t="s">
        <v>2066</v>
      </c>
      <c r="B1816" s="10" t="s">
        <v>2092</v>
      </c>
      <c r="C1816" t="str">
        <f>Table13[[#This Row],[Manufacturer]]&amp;" "&amp;Table13[[#This Row],[Model]]</f>
        <v>Seekonk IT-6 3/4</v>
      </c>
      <c r="D1816" s="1">
        <v>4</v>
      </c>
      <c r="E1816" s="1" t="s">
        <v>169</v>
      </c>
      <c r="F1816" s="38">
        <v>250</v>
      </c>
      <c r="G1816" t="s">
        <v>166</v>
      </c>
    </row>
    <row r="1817" spans="1:7" x14ac:dyDescent="0.25">
      <c r="A1817" s="10" t="s">
        <v>2066</v>
      </c>
      <c r="B1817" s="10" t="s">
        <v>2091</v>
      </c>
      <c r="C1817" t="str">
        <f>Table13[[#This Row],[Manufacturer]]&amp;" "&amp;Table13[[#This Row],[Model]]</f>
        <v>Seekonk LT-L</v>
      </c>
      <c r="D1817" s="1">
        <v>4</v>
      </c>
      <c r="E1817" s="1" t="s">
        <v>169</v>
      </c>
      <c r="F1817" s="38">
        <v>60</v>
      </c>
      <c r="G1817" t="s">
        <v>164</v>
      </c>
    </row>
    <row r="1818" spans="1:7" x14ac:dyDescent="0.25">
      <c r="A1818" s="10" t="s">
        <v>2066</v>
      </c>
      <c r="B1818" s="10" t="s">
        <v>2069</v>
      </c>
      <c r="C1818" t="str">
        <f>Table13[[#This Row],[Manufacturer]]&amp;" "&amp;Table13[[#This Row],[Model]]</f>
        <v>Seekonk LT-M</v>
      </c>
      <c r="D1818" s="1">
        <v>4</v>
      </c>
      <c r="E1818" s="1" t="s">
        <v>169</v>
      </c>
      <c r="F1818" s="38">
        <v>20</v>
      </c>
      <c r="G1818" t="s">
        <v>164</v>
      </c>
    </row>
    <row r="1819" spans="1:7" x14ac:dyDescent="0.25">
      <c r="A1819" s="10" t="s">
        <v>2066</v>
      </c>
      <c r="B1819" s="10" t="s">
        <v>2090</v>
      </c>
      <c r="C1819" t="str">
        <f>Table13[[#This Row],[Manufacturer]]&amp;" "&amp;Table13[[#This Row],[Model]]</f>
        <v>Seekonk LT-O</v>
      </c>
      <c r="D1819" s="1">
        <v>4</v>
      </c>
      <c r="E1819" s="1" t="s">
        <v>169</v>
      </c>
      <c r="F1819" s="38">
        <v>60</v>
      </c>
      <c r="G1819" t="s">
        <v>164</v>
      </c>
    </row>
    <row r="1820" spans="1:7" x14ac:dyDescent="0.25">
      <c r="A1820" s="10" t="s">
        <v>2066</v>
      </c>
      <c r="B1820" s="10" t="s">
        <v>2089</v>
      </c>
      <c r="C1820" t="str">
        <f>Table13[[#This Row],[Manufacturer]]&amp;" "&amp;Table13[[#This Row],[Model]]</f>
        <v>Seekonk LT-R</v>
      </c>
      <c r="D1820" s="1">
        <v>4</v>
      </c>
      <c r="E1820" s="1" t="s">
        <v>169</v>
      </c>
      <c r="F1820" s="38">
        <v>100</v>
      </c>
      <c r="G1820" t="s">
        <v>164</v>
      </c>
    </row>
    <row r="1821" spans="1:7" x14ac:dyDescent="0.25">
      <c r="A1821" s="10" t="s">
        <v>2066</v>
      </c>
      <c r="B1821" s="10" t="s">
        <v>2088</v>
      </c>
      <c r="C1821" t="str">
        <f>Table13[[#This Row],[Manufacturer]]&amp;" "&amp;Table13[[#This Row],[Model]]</f>
        <v>Seekonk LT-R 1/4</v>
      </c>
      <c r="D1821" s="1">
        <v>4</v>
      </c>
      <c r="E1821" s="1" t="s">
        <v>169</v>
      </c>
      <c r="F1821" s="38">
        <v>100</v>
      </c>
      <c r="G1821" t="s">
        <v>164</v>
      </c>
    </row>
    <row r="1822" spans="1:7" x14ac:dyDescent="0.25">
      <c r="A1822" s="10" t="s">
        <v>2066</v>
      </c>
      <c r="B1822" s="10" t="s">
        <v>2087</v>
      </c>
      <c r="C1822" t="str">
        <f>Table13[[#This Row],[Manufacturer]]&amp;" "&amp;Table13[[#This Row],[Model]]</f>
        <v>Seekonk LT-R 3/8</v>
      </c>
      <c r="D1822" s="1">
        <v>4</v>
      </c>
      <c r="E1822" s="1" t="s">
        <v>169</v>
      </c>
      <c r="F1822" s="38">
        <v>100</v>
      </c>
      <c r="G1822" t="s">
        <v>164</v>
      </c>
    </row>
    <row r="1823" spans="1:7" x14ac:dyDescent="0.25">
      <c r="A1823" s="10" t="s">
        <v>2066</v>
      </c>
      <c r="B1823" s="10" t="s">
        <v>2086</v>
      </c>
      <c r="C1823" t="str">
        <f>Table13[[#This Row],[Manufacturer]]&amp;" "&amp;Table13[[#This Row],[Model]]</f>
        <v>Seekonk NC-100</v>
      </c>
      <c r="D1823" s="1">
        <v>4</v>
      </c>
      <c r="E1823" s="1">
        <v>4</v>
      </c>
      <c r="F1823" s="38">
        <v>100</v>
      </c>
      <c r="G1823" t="s">
        <v>164</v>
      </c>
    </row>
    <row r="1824" spans="1:7" x14ac:dyDescent="0.25">
      <c r="A1824" s="10" t="s">
        <v>2066</v>
      </c>
      <c r="B1824" s="10" t="s">
        <v>2085</v>
      </c>
      <c r="C1824" t="str">
        <f>Table13[[#This Row],[Manufacturer]]&amp;" "&amp;Table13[[#This Row],[Model]]</f>
        <v>Seekonk SM-150-T37</v>
      </c>
      <c r="D1824" s="1">
        <v>4</v>
      </c>
      <c r="E1824" s="1" t="s">
        <v>169</v>
      </c>
      <c r="F1824" s="38">
        <v>150</v>
      </c>
      <c r="G1824" t="s">
        <v>164</v>
      </c>
    </row>
    <row r="1825" spans="1:7" x14ac:dyDescent="0.25">
      <c r="A1825" s="10" t="s">
        <v>2066</v>
      </c>
      <c r="B1825" s="10" t="s">
        <v>2084</v>
      </c>
      <c r="C1825" t="str">
        <f>Table13[[#This Row],[Manufacturer]]&amp;" "&amp;Table13[[#This Row],[Model]]</f>
        <v>Seekonk BT-1B-1/4</v>
      </c>
      <c r="F1825" s="38">
        <v>50</v>
      </c>
      <c r="G1825" t="s">
        <v>164</v>
      </c>
    </row>
    <row r="1826" spans="1:7" x14ac:dyDescent="0.25">
      <c r="A1826" s="10" t="s">
        <v>2066</v>
      </c>
      <c r="B1826" s="10" t="s">
        <v>2083</v>
      </c>
      <c r="C1826" t="str">
        <f>Table13[[#This Row],[Manufacturer]]&amp;" "&amp;Table13[[#This Row],[Model]]</f>
        <v>Seekonk BT-1R-1/4</v>
      </c>
      <c r="F1826" s="38">
        <v>50</v>
      </c>
      <c r="G1826" t="s">
        <v>164</v>
      </c>
    </row>
    <row r="1827" spans="1:7" x14ac:dyDescent="0.25">
      <c r="A1827" s="10" t="s">
        <v>2066</v>
      </c>
      <c r="B1827" s="10" t="s">
        <v>2082</v>
      </c>
      <c r="C1827" t="str">
        <f>Table13[[#This Row],[Manufacturer]]&amp;" "&amp;Table13[[#This Row],[Model]]</f>
        <v>Seekonk BT-2D-1/4</v>
      </c>
      <c r="F1827" s="38">
        <v>80</v>
      </c>
      <c r="G1827" t="s">
        <v>164</v>
      </c>
    </row>
    <row r="1828" spans="1:7" x14ac:dyDescent="0.25">
      <c r="A1828" s="10" t="s">
        <v>2066</v>
      </c>
      <c r="B1828" s="10" t="s">
        <v>2081</v>
      </c>
      <c r="C1828" t="str">
        <f>Table13[[#This Row],[Manufacturer]]&amp;" "&amp;Table13[[#This Row],[Model]]</f>
        <v>Seekonk BT-2D-3/8</v>
      </c>
      <c r="F1828" s="38">
        <v>80</v>
      </c>
      <c r="G1828" t="s">
        <v>164</v>
      </c>
    </row>
    <row r="1829" spans="1:7" x14ac:dyDescent="0.25">
      <c r="A1829" s="10" t="s">
        <v>2066</v>
      </c>
      <c r="B1829" s="10" t="s">
        <v>2080</v>
      </c>
      <c r="C1829" t="str">
        <f>Table13[[#This Row],[Manufacturer]]&amp;" "&amp;Table13[[#This Row],[Model]]</f>
        <v>Seekonk BT-2L-1/4</v>
      </c>
      <c r="F1829" s="38">
        <v>80</v>
      </c>
      <c r="G1829" t="s">
        <v>164</v>
      </c>
    </row>
    <row r="1830" spans="1:7" x14ac:dyDescent="0.25">
      <c r="A1830" s="10" t="s">
        <v>2066</v>
      </c>
      <c r="B1830" s="10" t="s">
        <v>2079</v>
      </c>
      <c r="C1830" t="str">
        <f>Table13[[#This Row],[Manufacturer]]&amp;" "&amp;Table13[[#This Row],[Model]]</f>
        <v>Seekonk BT-2L-3/8</v>
      </c>
      <c r="F1830" s="38">
        <v>80</v>
      </c>
      <c r="G1830" t="s">
        <v>164</v>
      </c>
    </row>
    <row r="1831" spans="1:7" x14ac:dyDescent="0.25">
      <c r="A1831" s="10" t="s">
        <v>2066</v>
      </c>
      <c r="B1831" s="10" t="s">
        <v>2078</v>
      </c>
      <c r="C1831" t="str">
        <f>Table13[[#This Row],[Manufacturer]]&amp;" "&amp;Table13[[#This Row],[Model]]</f>
        <v>Seekonk BT-2R-1/4</v>
      </c>
      <c r="F1831" s="38">
        <v>80</v>
      </c>
      <c r="G1831" t="s">
        <v>164</v>
      </c>
    </row>
    <row r="1832" spans="1:7" x14ac:dyDescent="0.25">
      <c r="A1832" s="10" t="s">
        <v>2066</v>
      </c>
      <c r="B1832" s="10" t="s">
        <v>2077</v>
      </c>
      <c r="C1832" t="str">
        <f>Table13[[#This Row],[Manufacturer]]&amp;" "&amp;Table13[[#This Row],[Model]]</f>
        <v>Seekonk BT-2R-3/8</v>
      </c>
      <c r="F1832" s="38">
        <v>80</v>
      </c>
      <c r="G1832" t="s">
        <v>164</v>
      </c>
    </row>
    <row r="1833" spans="1:7" x14ac:dyDescent="0.25">
      <c r="A1833" s="10" t="s">
        <v>2066</v>
      </c>
      <c r="B1833" s="10" t="s">
        <v>2076</v>
      </c>
      <c r="C1833" t="str">
        <f>Table13[[#This Row],[Manufacturer]]&amp;" "&amp;Table13[[#This Row],[Model]]</f>
        <v>Seekonk BT-3-1/4</v>
      </c>
      <c r="F1833" s="38">
        <v>80</v>
      </c>
      <c r="G1833" t="s">
        <v>164</v>
      </c>
    </row>
    <row r="1834" spans="1:7" x14ac:dyDescent="0.25">
      <c r="A1834" s="10" t="s">
        <v>2066</v>
      </c>
      <c r="B1834" s="10" t="s">
        <v>2075</v>
      </c>
      <c r="C1834" t="str">
        <f>Table13[[#This Row],[Manufacturer]]&amp;" "&amp;Table13[[#This Row],[Model]]</f>
        <v>Seekonk BT-3-3/8</v>
      </c>
      <c r="F1834" s="38">
        <v>80</v>
      </c>
      <c r="G1834" t="s">
        <v>164</v>
      </c>
    </row>
    <row r="1835" spans="1:7" x14ac:dyDescent="0.25">
      <c r="A1835" s="10" t="s">
        <v>2066</v>
      </c>
      <c r="B1835" s="10" t="s">
        <v>2074</v>
      </c>
      <c r="C1835" t="str">
        <f>Table13[[#This Row],[Manufacturer]]&amp;" "&amp;Table13[[#This Row],[Model]]</f>
        <v>Seekonk BT-4C-3/8</v>
      </c>
      <c r="D1835" s="1">
        <v>4</v>
      </c>
      <c r="E1835" s="1">
        <v>4</v>
      </c>
      <c r="F1835" s="38">
        <v>250</v>
      </c>
      <c r="G1835" t="s">
        <v>164</v>
      </c>
    </row>
    <row r="1836" spans="1:7" x14ac:dyDescent="0.25">
      <c r="A1836" s="10" t="s">
        <v>2066</v>
      </c>
      <c r="B1836" s="10" t="s">
        <v>2073</v>
      </c>
      <c r="C1836" t="str">
        <f>Table13[[#This Row],[Manufacturer]]&amp;" "&amp;Table13[[#This Row],[Model]]</f>
        <v>Seekonk BT-4D-3/8</v>
      </c>
      <c r="D1836" s="1">
        <v>4</v>
      </c>
      <c r="E1836" s="1">
        <v>4</v>
      </c>
      <c r="F1836" s="38">
        <v>250</v>
      </c>
      <c r="G1836" t="s">
        <v>164</v>
      </c>
    </row>
    <row r="1837" spans="1:7" x14ac:dyDescent="0.25">
      <c r="A1837" s="10" t="s">
        <v>2066</v>
      </c>
      <c r="B1837" s="10" t="s">
        <v>2072</v>
      </c>
      <c r="C1837" t="str">
        <f>Table13[[#This Row],[Manufacturer]]&amp;" "&amp;Table13[[#This Row],[Model]]</f>
        <v>Seekonk BT-4L-3/8</v>
      </c>
      <c r="D1837" s="1">
        <v>4</v>
      </c>
      <c r="E1837" s="1">
        <v>4</v>
      </c>
      <c r="F1837" s="38">
        <v>250</v>
      </c>
      <c r="G1837" t="s">
        <v>164</v>
      </c>
    </row>
    <row r="1838" spans="1:7" x14ac:dyDescent="0.25">
      <c r="A1838" s="10" t="s">
        <v>2066</v>
      </c>
      <c r="B1838" s="10" t="s">
        <v>2071</v>
      </c>
      <c r="C1838" t="str">
        <f>Table13[[#This Row],[Manufacturer]]&amp;" "&amp;Table13[[#This Row],[Model]]</f>
        <v>Seekonk BT-4L8-3/8</v>
      </c>
      <c r="D1838" s="1">
        <v>4</v>
      </c>
      <c r="E1838" s="1">
        <v>4</v>
      </c>
      <c r="F1838" s="38">
        <v>250</v>
      </c>
      <c r="G1838" t="s">
        <v>164</v>
      </c>
    </row>
    <row r="1839" spans="1:7" x14ac:dyDescent="0.25">
      <c r="A1839" s="10" t="s">
        <v>2066</v>
      </c>
      <c r="B1839" s="10" t="s">
        <v>2070</v>
      </c>
      <c r="C1839" t="str">
        <f>Table13[[#This Row],[Manufacturer]]&amp;" "&amp;Table13[[#This Row],[Model]]</f>
        <v>Seekonk BT-4R-3/8</v>
      </c>
      <c r="D1839" s="1">
        <v>4</v>
      </c>
      <c r="E1839" s="1">
        <v>4</v>
      </c>
      <c r="F1839" s="38">
        <v>250</v>
      </c>
      <c r="G1839" t="s">
        <v>164</v>
      </c>
    </row>
    <row r="1840" spans="1:7" x14ac:dyDescent="0.25">
      <c r="A1840" s="10" t="s">
        <v>2066</v>
      </c>
      <c r="B1840" s="10" t="s">
        <v>2069</v>
      </c>
      <c r="C1840" t="str">
        <f>Table13[[#This Row],[Manufacturer]]&amp;" "&amp;Table13[[#This Row],[Model]]</f>
        <v>Seekonk LT-M</v>
      </c>
      <c r="D1840" s="1">
        <v>4</v>
      </c>
      <c r="E1840" s="1">
        <v>4</v>
      </c>
      <c r="F1840" s="38">
        <v>20</v>
      </c>
      <c r="G1840" t="s">
        <v>164</v>
      </c>
    </row>
    <row r="1841" spans="1:7" x14ac:dyDescent="0.25">
      <c r="A1841" s="10" t="s">
        <v>2066</v>
      </c>
      <c r="B1841" s="10" t="s">
        <v>2068</v>
      </c>
      <c r="C1841" t="str">
        <f>Table13[[#This Row],[Manufacturer]]&amp;" "&amp;Table13[[#This Row],[Model]]</f>
        <v>Seekonk MC-10H</v>
      </c>
      <c r="D1841" s="1">
        <v>3</v>
      </c>
      <c r="E1841" s="1" t="s">
        <v>169</v>
      </c>
      <c r="F1841" s="38">
        <v>3</v>
      </c>
      <c r="G1841" t="s">
        <v>164</v>
      </c>
    </row>
    <row r="1842" spans="1:7" x14ac:dyDescent="0.25">
      <c r="A1842" s="10" t="s">
        <v>2066</v>
      </c>
      <c r="B1842" s="10" t="s">
        <v>2067</v>
      </c>
      <c r="C1842" t="str">
        <f>Table13[[#This Row],[Manufacturer]]&amp;" "&amp;Table13[[#This Row],[Model]]</f>
        <v>Seekonk MC-200</v>
      </c>
      <c r="D1842" s="1">
        <v>3</v>
      </c>
      <c r="E1842" s="1" t="s">
        <v>169</v>
      </c>
      <c r="F1842" s="38">
        <v>35</v>
      </c>
      <c r="G1842" t="s">
        <v>164</v>
      </c>
    </row>
    <row r="1843" spans="1:7" x14ac:dyDescent="0.25">
      <c r="A1843" s="10" t="s">
        <v>2066</v>
      </c>
      <c r="B1843" s="10" t="s">
        <v>2065</v>
      </c>
      <c r="C1843" t="str">
        <f>Table13[[#This Row],[Manufacturer]]&amp;" "&amp;Table13[[#This Row],[Model]]</f>
        <v>Seekonk TK-1</v>
      </c>
      <c r="D1843" s="1">
        <v>4</v>
      </c>
      <c r="E1843" s="1" t="s">
        <v>169</v>
      </c>
      <c r="F1843" s="38">
        <v>50</v>
      </c>
      <c r="G1843" t="s">
        <v>164</v>
      </c>
    </row>
    <row r="1844" spans="1:7" x14ac:dyDescent="0.25">
      <c r="A1844" s="10" t="s">
        <v>2064</v>
      </c>
      <c r="B1844" s="10">
        <v>72110</v>
      </c>
      <c r="C1844" t="str">
        <f>Table13[[#This Row],[Manufacturer]]&amp;" "&amp;Table13[[#This Row],[Model]]</f>
        <v>Signet 72110</v>
      </c>
      <c r="D1844" s="1">
        <v>3</v>
      </c>
      <c r="E1844" s="1" t="s">
        <v>169</v>
      </c>
      <c r="F1844" s="38">
        <v>110</v>
      </c>
      <c r="G1844" t="s">
        <v>184</v>
      </c>
    </row>
    <row r="1845" spans="1:7" x14ac:dyDescent="0.25">
      <c r="A1845" s="10" t="s">
        <v>2064</v>
      </c>
      <c r="B1845" s="10">
        <v>72120</v>
      </c>
      <c r="C1845" t="str">
        <f>Table13[[#This Row],[Manufacturer]]&amp;" "&amp;Table13[[#This Row],[Model]]</f>
        <v>Signet 72120</v>
      </c>
      <c r="D1845" s="1">
        <v>3</v>
      </c>
      <c r="E1845" s="1" t="s">
        <v>169</v>
      </c>
      <c r="F1845" s="38">
        <v>60</v>
      </c>
      <c r="G1845" t="s">
        <v>184</v>
      </c>
    </row>
    <row r="1846" spans="1:7" x14ac:dyDescent="0.25">
      <c r="A1846" s="10" t="s">
        <v>2064</v>
      </c>
      <c r="B1846" s="10">
        <v>73075</v>
      </c>
      <c r="C1846" t="str">
        <f>Table13[[#This Row],[Manufacturer]]&amp;" "&amp;Table13[[#This Row],[Model]]</f>
        <v>Signet 73075</v>
      </c>
      <c r="D1846" s="1">
        <v>3</v>
      </c>
      <c r="E1846" s="1" t="s">
        <v>169</v>
      </c>
      <c r="F1846" s="38">
        <v>200</v>
      </c>
      <c r="G1846" t="s">
        <v>184</v>
      </c>
    </row>
    <row r="1847" spans="1:7" x14ac:dyDescent="0.25">
      <c r="A1847" s="10" t="s">
        <v>2064</v>
      </c>
      <c r="B1847" s="10">
        <v>73080</v>
      </c>
      <c r="C1847" t="str">
        <f>Table13[[#This Row],[Manufacturer]]&amp;" "&amp;Table13[[#This Row],[Model]]</f>
        <v>Signet 73080</v>
      </c>
      <c r="D1847" s="1">
        <v>3</v>
      </c>
      <c r="E1847" s="1" t="s">
        <v>169</v>
      </c>
      <c r="F1847" s="38">
        <v>200</v>
      </c>
      <c r="G1847" t="s">
        <v>184</v>
      </c>
    </row>
    <row r="1848" spans="1:7" x14ac:dyDescent="0.25">
      <c r="A1848" s="10" t="s">
        <v>2064</v>
      </c>
      <c r="B1848" s="10">
        <v>73110</v>
      </c>
      <c r="C1848" t="str">
        <f>Table13[[#This Row],[Manufacturer]]&amp;" "&amp;Table13[[#This Row],[Model]]</f>
        <v>Signet 73110</v>
      </c>
      <c r="D1848" s="1">
        <v>3</v>
      </c>
      <c r="E1848" s="1" t="s">
        <v>169</v>
      </c>
      <c r="F1848" s="38">
        <v>110</v>
      </c>
      <c r="G1848" t="s">
        <v>184</v>
      </c>
    </row>
    <row r="1849" spans="1:7" x14ac:dyDescent="0.25">
      <c r="A1849" s="10" t="s">
        <v>2064</v>
      </c>
      <c r="B1849" s="10">
        <v>73112</v>
      </c>
      <c r="C1849" t="str">
        <f>Table13[[#This Row],[Manufacturer]]&amp;" "&amp;Table13[[#This Row],[Model]]</f>
        <v>Signet 73112</v>
      </c>
      <c r="D1849" s="1">
        <v>3</v>
      </c>
      <c r="E1849" s="1" t="s">
        <v>169</v>
      </c>
      <c r="F1849" s="38">
        <v>210</v>
      </c>
      <c r="G1849" t="s">
        <v>184</v>
      </c>
    </row>
    <row r="1850" spans="1:7" x14ac:dyDescent="0.25">
      <c r="A1850" s="10" t="s">
        <v>2039</v>
      </c>
      <c r="B1850" s="10">
        <v>74006</v>
      </c>
      <c r="C1850" t="str">
        <f>Table13[[#This Row],[Manufacturer]]&amp;" "&amp;Table13[[#This Row],[Model]]</f>
        <v>SK 74006</v>
      </c>
      <c r="D1850" s="1">
        <v>4</v>
      </c>
      <c r="E1850" s="1">
        <v>4</v>
      </c>
      <c r="F1850" s="38">
        <v>60</v>
      </c>
      <c r="G1850" t="s">
        <v>166</v>
      </c>
    </row>
    <row r="1851" spans="1:7" x14ac:dyDescent="0.25">
      <c r="A1851" s="10" t="s">
        <v>2039</v>
      </c>
      <c r="B1851" s="10">
        <v>76120</v>
      </c>
      <c r="C1851" t="str">
        <f>Table13[[#This Row],[Manufacturer]]&amp;" "&amp;Table13[[#This Row],[Model]]</f>
        <v>SK 76120</v>
      </c>
      <c r="D1851" s="1">
        <v>4</v>
      </c>
      <c r="E1851" s="1">
        <v>4</v>
      </c>
      <c r="F1851" s="38">
        <v>75</v>
      </c>
      <c r="G1851" t="s">
        <v>166</v>
      </c>
    </row>
    <row r="1852" spans="1:7" x14ac:dyDescent="0.25">
      <c r="A1852" s="10" t="s">
        <v>2039</v>
      </c>
      <c r="B1852" s="10">
        <v>76130</v>
      </c>
      <c r="C1852" t="str">
        <f>Table13[[#This Row],[Manufacturer]]&amp;" "&amp;Table13[[#This Row],[Model]]</f>
        <v>SK 76130</v>
      </c>
      <c r="D1852" s="1">
        <v>4</v>
      </c>
      <c r="E1852" s="1">
        <v>4</v>
      </c>
      <c r="F1852" s="38">
        <v>150</v>
      </c>
      <c r="G1852" t="s">
        <v>166</v>
      </c>
    </row>
    <row r="1853" spans="1:7" x14ac:dyDescent="0.25">
      <c r="A1853" s="10" t="s">
        <v>2039</v>
      </c>
      <c r="B1853" s="10">
        <v>74010</v>
      </c>
      <c r="C1853" t="str">
        <f>Table13[[#This Row],[Manufacturer]]&amp;" "&amp;Table13[[#This Row],[Model]]</f>
        <v>SK 74010</v>
      </c>
      <c r="D1853" s="1">
        <v>3</v>
      </c>
      <c r="E1853" s="1">
        <v>3</v>
      </c>
      <c r="F1853" s="38">
        <v>100</v>
      </c>
      <c r="G1853" t="s">
        <v>164</v>
      </c>
    </row>
    <row r="1854" spans="1:7" x14ac:dyDescent="0.25">
      <c r="A1854" s="10" t="s">
        <v>2039</v>
      </c>
      <c r="B1854" s="10">
        <v>74020</v>
      </c>
      <c r="C1854" t="str">
        <f>Table13[[#This Row],[Manufacturer]]&amp;" "&amp;Table13[[#This Row],[Model]]</f>
        <v>SK 74020</v>
      </c>
      <c r="D1854" s="1">
        <v>3</v>
      </c>
      <c r="E1854" s="1">
        <v>3</v>
      </c>
      <c r="F1854" s="38">
        <v>200</v>
      </c>
      <c r="G1854" t="s">
        <v>164</v>
      </c>
    </row>
    <row r="1855" spans="1:7" x14ac:dyDescent="0.25">
      <c r="A1855" s="10" t="s">
        <v>2039</v>
      </c>
      <c r="B1855" s="10">
        <v>74021</v>
      </c>
      <c r="C1855" t="str">
        <f>Table13[[#This Row],[Manufacturer]]&amp;" "&amp;Table13[[#This Row],[Model]]</f>
        <v>SK 74021</v>
      </c>
      <c r="D1855" s="1">
        <v>3</v>
      </c>
      <c r="E1855" s="1">
        <v>3</v>
      </c>
      <c r="F1855" s="38">
        <v>250</v>
      </c>
      <c r="G1855" t="s">
        <v>164</v>
      </c>
    </row>
    <row r="1856" spans="1:7" x14ac:dyDescent="0.25">
      <c r="A1856" s="10" t="s">
        <v>2039</v>
      </c>
      <c r="B1856" s="10">
        <v>74022</v>
      </c>
      <c r="C1856" t="str">
        <f>Table13[[#This Row],[Manufacturer]]&amp;" "&amp;Table13[[#This Row],[Model]]</f>
        <v>SK 74022</v>
      </c>
      <c r="D1856" s="1">
        <v>3</v>
      </c>
      <c r="E1856" s="1">
        <v>3</v>
      </c>
      <c r="F1856" s="38">
        <v>1000</v>
      </c>
      <c r="G1856" t="s">
        <v>164</v>
      </c>
    </row>
    <row r="1857" spans="1:7" x14ac:dyDescent="0.25">
      <c r="A1857" s="10" t="s">
        <v>2039</v>
      </c>
      <c r="B1857" s="10">
        <v>74025</v>
      </c>
      <c r="C1857" t="str">
        <f>Table13[[#This Row],[Manufacturer]]&amp;" "&amp;Table13[[#This Row],[Model]]</f>
        <v>SK 74025</v>
      </c>
      <c r="D1857" s="1">
        <v>4</v>
      </c>
      <c r="E1857" s="1">
        <v>6</v>
      </c>
      <c r="F1857" s="38">
        <v>250</v>
      </c>
      <c r="G1857" t="s">
        <v>166</v>
      </c>
    </row>
    <row r="1858" spans="1:7" x14ac:dyDescent="0.25">
      <c r="A1858" s="10" t="s">
        <v>2039</v>
      </c>
      <c r="B1858" s="10">
        <v>74080</v>
      </c>
      <c r="C1858" t="str">
        <f>Table13[[#This Row],[Manufacturer]]&amp;" "&amp;Table13[[#This Row],[Model]]</f>
        <v>SK 74080</v>
      </c>
      <c r="D1858" s="1">
        <v>3</v>
      </c>
      <c r="E1858" s="1">
        <v>3</v>
      </c>
      <c r="F1858" s="38">
        <v>100</v>
      </c>
      <c r="G1858" t="s">
        <v>166</v>
      </c>
    </row>
    <row r="1859" spans="1:7" x14ac:dyDescent="0.25">
      <c r="A1859" s="10" t="s">
        <v>2039</v>
      </c>
      <c r="B1859" s="10">
        <v>74100</v>
      </c>
      <c r="C1859" t="str">
        <f>Table13[[#This Row],[Manufacturer]]&amp;" "&amp;Table13[[#This Row],[Model]]</f>
        <v>SK 74100</v>
      </c>
      <c r="D1859" s="1">
        <v>4</v>
      </c>
      <c r="E1859" s="1">
        <v>6</v>
      </c>
      <c r="F1859" s="38">
        <v>100</v>
      </c>
      <c r="G1859" t="s">
        <v>166</v>
      </c>
    </row>
    <row r="1860" spans="1:7" x14ac:dyDescent="0.25">
      <c r="A1860" s="10" t="s">
        <v>2039</v>
      </c>
      <c r="B1860" s="10">
        <v>74250</v>
      </c>
      <c r="C1860" t="str">
        <f>Table13[[#This Row],[Manufacturer]]&amp;" "&amp;Table13[[#This Row],[Model]]</f>
        <v>SK 74250</v>
      </c>
      <c r="D1860" s="1">
        <v>4</v>
      </c>
      <c r="E1860" s="1">
        <v>6</v>
      </c>
      <c r="F1860" s="38">
        <v>250</v>
      </c>
      <c r="G1860" t="s">
        <v>166</v>
      </c>
    </row>
    <row r="1861" spans="1:7" x14ac:dyDescent="0.25">
      <c r="A1861" s="10" t="s">
        <v>2039</v>
      </c>
      <c r="B1861" s="10">
        <v>74255</v>
      </c>
      <c r="C1861" t="str">
        <f>Table13[[#This Row],[Manufacturer]]&amp;" "&amp;Table13[[#This Row],[Model]]</f>
        <v>SK 74255</v>
      </c>
      <c r="D1861" s="1">
        <v>3</v>
      </c>
      <c r="E1861" s="1">
        <v>3</v>
      </c>
      <c r="F1861" s="38">
        <v>150</v>
      </c>
      <c r="G1861" t="s">
        <v>166</v>
      </c>
    </row>
    <row r="1862" spans="1:7" x14ac:dyDescent="0.25">
      <c r="A1862" s="10" t="s">
        <v>2039</v>
      </c>
      <c r="B1862" s="10">
        <v>74260</v>
      </c>
      <c r="C1862" t="str">
        <f>Table13[[#This Row],[Manufacturer]]&amp;" "&amp;Table13[[#This Row],[Model]]</f>
        <v>SK 74260</v>
      </c>
      <c r="D1862" s="1">
        <v>3</v>
      </c>
      <c r="E1862" s="1">
        <v>3</v>
      </c>
      <c r="F1862" s="38">
        <v>250</v>
      </c>
      <c r="G1862" t="s">
        <v>166</v>
      </c>
    </row>
    <row r="1863" spans="1:7" x14ac:dyDescent="0.25">
      <c r="A1863" s="10" t="s">
        <v>2039</v>
      </c>
      <c r="B1863" s="10">
        <v>74550</v>
      </c>
      <c r="C1863" t="str">
        <f>Table13[[#This Row],[Manufacturer]]&amp;" "&amp;Table13[[#This Row],[Model]]</f>
        <v>SK 74550</v>
      </c>
      <c r="D1863" s="1">
        <v>3</v>
      </c>
      <c r="E1863" s="1">
        <v>3</v>
      </c>
      <c r="F1863" s="38">
        <v>150</v>
      </c>
      <c r="G1863" t="s">
        <v>166</v>
      </c>
    </row>
    <row r="1864" spans="1:7" x14ac:dyDescent="0.25">
      <c r="A1864" s="10" t="s">
        <v>2039</v>
      </c>
      <c r="B1864" s="10">
        <v>75002</v>
      </c>
      <c r="C1864" t="str">
        <f>Table13[[#This Row],[Manufacturer]]&amp;" "&amp;Table13[[#This Row],[Model]]</f>
        <v>SK 75002</v>
      </c>
      <c r="D1864" s="1">
        <v>3</v>
      </c>
      <c r="E1864" s="1" t="s">
        <v>169</v>
      </c>
      <c r="F1864" s="38">
        <v>200</v>
      </c>
      <c r="G1864" t="s">
        <v>164</v>
      </c>
    </row>
    <row r="1865" spans="1:7" x14ac:dyDescent="0.25">
      <c r="A1865" s="10" t="s">
        <v>2039</v>
      </c>
      <c r="B1865" s="10">
        <v>75025</v>
      </c>
      <c r="C1865" t="str">
        <f>Table13[[#This Row],[Manufacturer]]&amp;" "&amp;Table13[[#This Row],[Model]]</f>
        <v>SK 75025</v>
      </c>
      <c r="D1865" s="1">
        <v>3</v>
      </c>
      <c r="E1865" s="1" t="s">
        <v>169</v>
      </c>
      <c r="F1865" s="38">
        <v>250</v>
      </c>
      <c r="G1865" t="s">
        <v>164</v>
      </c>
    </row>
    <row r="1866" spans="1:7" x14ac:dyDescent="0.25">
      <c r="A1866" s="10" t="s">
        <v>2039</v>
      </c>
      <c r="B1866" s="10">
        <v>75100</v>
      </c>
      <c r="C1866" t="str">
        <f>Table13[[#This Row],[Manufacturer]]&amp;" "&amp;Table13[[#This Row],[Model]]</f>
        <v>SK 75100</v>
      </c>
      <c r="D1866" s="1">
        <v>3</v>
      </c>
      <c r="E1866" s="1" t="s">
        <v>169</v>
      </c>
      <c r="F1866" s="38">
        <v>100</v>
      </c>
      <c r="G1866" t="s">
        <v>166</v>
      </c>
    </row>
    <row r="1867" spans="1:7" x14ac:dyDescent="0.25">
      <c r="A1867" s="10" t="s">
        <v>2039</v>
      </c>
      <c r="B1867" s="10">
        <v>75150</v>
      </c>
      <c r="C1867" t="str">
        <f>Table13[[#This Row],[Manufacturer]]&amp;" "&amp;Table13[[#This Row],[Model]]</f>
        <v>SK 75150</v>
      </c>
      <c r="D1867" s="1">
        <v>3</v>
      </c>
      <c r="E1867" s="1" t="s">
        <v>169</v>
      </c>
      <c r="F1867" s="38">
        <v>150</v>
      </c>
      <c r="G1867" t="s">
        <v>166</v>
      </c>
    </row>
    <row r="1868" spans="1:7" x14ac:dyDescent="0.25">
      <c r="A1868" s="10" t="s">
        <v>2039</v>
      </c>
      <c r="B1868" s="10">
        <v>75250</v>
      </c>
      <c r="C1868" t="str">
        <f>Table13[[#This Row],[Manufacturer]]&amp;" "&amp;Table13[[#This Row],[Model]]</f>
        <v>SK 75250</v>
      </c>
      <c r="D1868" s="1">
        <v>3</v>
      </c>
      <c r="E1868" s="1" t="s">
        <v>169</v>
      </c>
      <c r="F1868" s="38">
        <v>250</v>
      </c>
      <c r="G1868" t="s">
        <v>166</v>
      </c>
    </row>
    <row r="1869" spans="1:7" x14ac:dyDescent="0.25">
      <c r="A1869" s="10" t="s">
        <v>2039</v>
      </c>
      <c r="B1869" s="10">
        <v>75600</v>
      </c>
      <c r="C1869" t="str">
        <f>Table13[[#This Row],[Manufacturer]]&amp;" "&amp;Table13[[#This Row],[Model]]</f>
        <v>SK 75600</v>
      </c>
      <c r="D1869" s="1">
        <v>3</v>
      </c>
      <c r="E1869" s="1" t="s">
        <v>169</v>
      </c>
      <c r="F1869" s="38">
        <v>600</v>
      </c>
      <c r="G1869" t="s">
        <v>166</v>
      </c>
    </row>
    <row r="1870" spans="1:7" x14ac:dyDescent="0.25">
      <c r="A1870" s="10" t="s">
        <v>2039</v>
      </c>
      <c r="B1870" s="10" t="s">
        <v>2063</v>
      </c>
      <c r="C1870" t="str">
        <f>Table13[[#This Row],[Manufacturer]]&amp;" "&amp;Table13[[#This Row],[Model]]</f>
        <v>SK SKT0011</v>
      </c>
      <c r="D1870" s="1">
        <v>4</v>
      </c>
      <c r="E1870" s="1" t="s">
        <v>169</v>
      </c>
      <c r="F1870" s="38">
        <v>150</v>
      </c>
      <c r="G1870" t="s">
        <v>164</v>
      </c>
    </row>
    <row r="1871" spans="1:7" x14ac:dyDescent="0.25">
      <c r="A1871" s="10" t="s">
        <v>2039</v>
      </c>
      <c r="B1871" s="10" t="s">
        <v>2062</v>
      </c>
      <c r="C1871" t="str">
        <f>Table13[[#This Row],[Manufacturer]]&amp;" "&amp;Table13[[#This Row],[Model]]</f>
        <v>SK SKT0013</v>
      </c>
      <c r="D1871" s="1">
        <v>4</v>
      </c>
      <c r="E1871" s="1" t="s">
        <v>169</v>
      </c>
      <c r="F1871" s="38">
        <v>750</v>
      </c>
      <c r="G1871" t="s">
        <v>164</v>
      </c>
    </row>
    <row r="1872" spans="1:7" x14ac:dyDescent="0.25">
      <c r="A1872" s="10" t="s">
        <v>2039</v>
      </c>
      <c r="B1872" s="10" t="s">
        <v>2061</v>
      </c>
      <c r="C1872" t="str">
        <f>Table13[[#This Row],[Manufacturer]]&amp;" "&amp;Table13[[#This Row],[Model]]</f>
        <v>SK SKT0014</v>
      </c>
      <c r="D1872" s="1">
        <v>4</v>
      </c>
      <c r="E1872" s="1" t="s">
        <v>169</v>
      </c>
      <c r="F1872" s="38">
        <v>150</v>
      </c>
      <c r="G1872" t="s">
        <v>166</v>
      </c>
    </row>
    <row r="1873" spans="1:7" x14ac:dyDescent="0.25">
      <c r="A1873" s="10" t="s">
        <v>2039</v>
      </c>
      <c r="B1873" s="10" t="s">
        <v>2060</v>
      </c>
      <c r="C1873" t="str">
        <f>Table13[[#This Row],[Manufacturer]]&amp;" "&amp;Table13[[#This Row],[Model]]</f>
        <v>SK SKT0016</v>
      </c>
      <c r="D1873" s="1">
        <v>4</v>
      </c>
      <c r="E1873" s="1" t="s">
        <v>169</v>
      </c>
      <c r="F1873" s="38">
        <v>300</v>
      </c>
      <c r="G1873" t="s">
        <v>164</v>
      </c>
    </row>
    <row r="1874" spans="1:7" x14ac:dyDescent="0.25">
      <c r="A1874" s="10" t="s">
        <v>2039</v>
      </c>
      <c r="B1874" s="10" t="s">
        <v>2059</v>
      </c>
      <c r="C1874" t="str">
        <f>Table13[[#This Row],[Manufacturer]]&amp;" "&amp;Table13[[#This Row],[Model]]</f>
        <v>SK SKT0055</v>
      </c>
      <c r="D1874" s="1">
        <v>4</v>
      </c>
      <c r="E1874" s="1" t="s">
        <v>169</v>
      </c>
      <c r="F1874" s="38">
        <v>750</v>
      </c>
      <c r="G1874" t="s">
        <v>164</v>
      </c>
    </row>
    <row r="1875" spans="1:7" x14ac:dyDescent="0.25">
      <c r="A1875" s="10" t="s">
        <v>2039</v>
      </c>
      <c r="B1875" s="10" t="s">
        <v>2058</v>
      </c>
      <c r="C1875" t="str">
        <f>Table13[[#This Row],[Manufacturer]]&amp;" "&amp;Table13[[#This Row],[Model]]</f>
        <v>SK SKT0056</v>
      </c>
      <c r="D1875" s="1">
        <v>4</v>
      </c>
      <c r="E1875" s="1" t="s">
        <v>169</v>
      </c>
      <c r="F1875" s="38">
        <v>150</v>
      </c>
      <c r="G1875" t="s">
        <v>166</v>
      </c>
    </row>
    <row r="1876" spans="1:7" x14ac:dyDescent="0.25">
      <c r="A1876" s="10" t="s">
        <v>2039</v>
      </c>
      <c r="B1876" s="10" t="s">
        <v>2057</v>
      </c>
      <c r="C1876" t="str">
        <f>Table13[[#This Row],[Manufacturer]]&amp;" "&amp;Table13[[#This Row],[Model]]</f>
        <v>SK SKT0058</v>
      </c>
      <c r="D1876" s="1">
        <v>4</v>
      </c>
      <c r="E1876" s="1" t="s">
        <v>169</v>
      </c>
      <c r="F1876" s="38">
        <v>300</v>
      </c>
      <c r="G1876" t="s">
        <v>164</v>
      </c>
    </row>
    <row r="1877" spans="1:7" x14ac:dyDescent="0.25">
      <c r="A1877" s="10" t="s">
        <v>2039</v>
      </c>
      <c r="B1877" s="10" t="s">
        <v>2056</v>
      </c>
      <c r="C1877" t="str">
        <f>Table13[[#This Row],[Manufacturer]]&amp;" "&amp;Table13[[#This Row],[Model]]</f>
        <v>SK SKT0059</v>
      </c>
      <c r="D1877" s="1">
        <v>4</v>
      </c>
      <c r="E1877" s="1" t="s">
        <v>169</v>
      </c>
      <c r="F1877" s="38">
        <v>250</v>
      </c>
      <c r="G1877" t="s">
        <v>166</v>
      </c>
    </row>
    <row r="1878" spans="1:7" x14ac:dyDescent="0.25">
      <c r="A1878" s="10" t="s">
        <v>2039</v>
      </c>
      <c r="B1878" s="10" t="s">
        <v>2055</v>
      </c>
      <c r="C1878" t="str">
        <f>Table13[[#This Row],[Manufacturer]]&amp;" "&amp;Table13[[#This Row],[Model]]</f>
        <v>SK SKT0151</v>
      </c>
      <c r="D1878" s="1">
        <v>4</v>
      </c>
      <c r="E1878" s="1" t="s">
        <v>169</v>
      </c>
      <c r="F1878" s="38">
        <v>600</v>
      </c>
      <c r="G1878" t="s">
        <v>166</v>
      </c>
    </row>
    <row r="1879" spans="1:7" x14ac:dyDescent="0.25">
      <c r="A1879" s="10" t="s">
        <v>2039</v>
      </c>
      <c r="B1879" s="10" t="s">
        <v>2054</v>
      </c>
      <c r="C1879" t="str">
        <f>Table13[[#This Row],[Manufacturer]]&amp;" "&amp;Table13[[#This Row],[Model]]</f>
        <v>SK SKT0400</v>
      </c>
      <c r="D1879" s="1">
        <v>4</v>
      </c>
      <c r="E1879" s="1" t="s">
        <v>169</v>
      </c>
      <c r="F1879" s="38">
        <v>50</v>
      </c>
      <c r="G1879" t="s">
        <v>164</v>
      </c>
    </row>
    <row r="1880" spans="1:7" x14ac:dyDescent="0.25">
      <c r="A1880" s="10" t="s">
        <v>2039</v>
      </c>
      <c r="B1880" s="10" t="s">
        <v>2053</v>
      </c>
      <c r="C1880" t="str">
        <f>Table13[[#This Row],[Manufacturer]]&amp;" "&amp;Table13[[#This Row],[Model]]</f>
        <v>SK SKT0589</v>
      </c>
      <c r="D1880" s="1">
        <v>4</v>
      </c>
      <c r="E1880" s="1" t="s">
        <v>169</v>
      </c>
      <c r="F1880" s="38">
        <v>150</v>
      </c>
      <c r="G1880" t="s">
        <v>164</v>
      </c>
    </row>
    <row r="1881" spans="1:7" x14ac:dyDescent="0.25">
      <c r="A1881" s="10" t="s">
        <v>2039</v>
      </c>
      <c r="B1881" s="10" t="s">
        <v>2052</v>
      </c>
      <c r="C1881" t="str">
        <f>Table13[[#This Row],[Manufacturer]]&amp;" "&amp;Table13[[#This Row],[Model]]</f>
        <v>SK SKT0763</v>
      </c>
      <c r="D1881" s="1">
        <v>4</v>
      </c>
      <c r="E1881" s="1" t="s">
        <v>169</v>
      </c>
      <c r="F1881" s="38">
        <v>600</v>
      </c>
      <c r="G1881" t="s">
        <v>164</v>
      </c>
    </row>
    <row r="1882" spans="1:7" x14ac:dyDescent="0.25">
      <c r="A1882" s="10" t="s">
        <v>2039</v>
      </c>
      <c r="B1882" s="10" t="s">
        <v>2051</v>
      </c>
      <c r="C1882" t="str">
        <f>Table13[[#This Row],[Manufacturer]]&amp;" "&amp;Table13[[#This Row],[Model]]</f>
        <v>SK SKT0765</v>
      </c>
      <c r="D1882" s="1">
        <v>4</v>
      </c>
      <c r="E1882" s="1" t="s">
        <v>169</v>
      </c>
      <c r="F1882" s="38">
        <v>150</v>
      </c>
      <c r="G1882" t="s">
        <v>164</v>
      </c>
    </row>
    <row r="1883" spans="1:7" x14ac:dyDescent="0.25">
      <c r="A1883" s="10" t="s">
        <v>2039</v>
      </c>
      <c r="B1883" s="10" t="s">
        <v>2050</v>
      </c>
      <c r="C1883" t="str">
        <f>Table13[[#This Row],[Manufacturer]]&amp;" "&amp;Table13[[#This Row],[Model]]</f>
        <v>SK SKT0769</v>
      </c>
      <c r="D1883" s="1">
        <v>4</v>
      </c>
      <c r="E1883" s="1" t="s">
        <v>169</v>
      </c>
      <c r="F1883" s="38">
        <v>50</v>
      </c>
      <c r="G1883" t="s">
        <v>164</v>
      </c>
    </row>
    <row r="1884" spans="1:7" x14ac:dyDescent="0.25">
      <c r="A1884" s="10" t="s">
        <v>2039</v>
      </c>
      <c r="B1884" s="10" t="s">
        <v>2049</v>
      </c>
      <c r="C1884" t="str">
        <f>Table13[[#This Row],[Manufacturer]]&amp;" "&amp;Table13[[#This Row],[Model]]</f>
        <v>SK SKT0770</v>
      </c>
      <c r="D1884" s="1">
        <v>4</v>
      </c>
      <c r="E1884" s="1" t="s">
        <v>169</v>
      </c>
      <c r="F1884" s="38">
        <v>75</v>
      </c>
      <c r="G1884" t="s">
        <v>166</v>
      </c>
    </row>
    <row r="1885" spans="1:7" x14ac:dyDescent="0.25">
      <c r="A1885" s="10" t="s">
        <v>2039</v>
      </c>
      <c r="B1885" s="10" t="s">
        <v>2048</v>
      </c>
      <c r="C1885" t="str">
        <f>Table13[[#This Row],[Manufacturer]]&amp;" "&amp;Table13[[#This Row],[Model]]</f>
        <v>SK SKT0771</v>
      </c>
      <c r="D1885" s="1">
        <v>4</v>
      </c>
      <c r="E1885" s="1" t="s">
        <v>169</v>
      </c>
      <c r="F1885" s="38">
        <v>150</v>
      </c>
      <c r="G1885" t="s">
        <v>166</v>
      </c>
    </row>
    <row r="1886" spans="1:7" x14ac:dyDescent="0.25">
      <c r="A1886" s="10" t="s">
        <v>2039</v>
      </c>
      <c r="B1886" s="10" t="s">
        <v>2047</v>
      </c>
      <c r="C1886" t="str">
        <f>Table13[[#This Row],[Manufacturer]]&amp;" "&amp;Table13[[#This Row],[Model]]</f>
        <v>SK SKT0784</v>
      </c>
      <c r="D1886" s="1">
        <v>4</v>
      </c>
      <c r="E1886" s="1" t="s">
        <v>169</v>
      </c>
      <c r="F1886" s="38">
        <v>6</v>
      </c>
      <c r="G1886" t="s">
        <v>184</v>
      </c>
    </row>
    <row r="1887" spans="1:7" x14ac:dyDescent="0.25">
      <c r="A1887" s="10" t="s">
        <v>2039</v>
      </c>
      <c r="B1887" s="10" t="s">
        <v>2046</v>
      </c>
      <c r="C1887" t="str">
        <f>Table13[[#This Row],[Manufacturer]]&amp;" "&amp;Table13[[#This Row],[Model]]</f>
        <v>SK SKT0785</v>
      </c>
      <c r="D1887" s="1">
        <v>4</v>
      </c>
      <c r="E1887" s="1" t="s">
        <v>169</v>
      </c>
      <c r="F1887" s="38">
        <v>20</v>
      </c>
      <c r="G1887" t="s">
        <v>184</v>
      </c>
    </row>
    <row r="1888" spans="1:7" x14ac:dyDescent="0.25">
      <c r="A1888" s="10" t="s">
        <v>2039</v>
      </c>
      <c r="B1888" s="10" t="s">
        <v>2045</v>
      </c>
      <c r="C1888" t="str">
        <f>Table13[[#This Row],[Manufacturer]]&amp;" "&amp;Table13[[#This Row],[Model]]</f>
        <v>SK SKT0786</v>
      </c>
      <c r="D1888" s="1">
        <v>4</v>
      </c>
      <c r="E1888" s="1" t="s">
        <v>169</v>
      </c>
      <c r="F1888" s="38">
        <v>100</v>
      </c>
      <c r="G1888" t="s">
        <v>184</v>
      </c>
    </row>
    <row r="1889" spans="1:7" x14ac:dyDescent="0.25">
      <c r="A1889" s="10" t="s">
        <v>2039</v>
      </c>
      <c r="B1889" s="10" t="s">
        <v>2044</v>
      </c>
      <c r="C1889" t="str">
        <f>Table13[[#This Row],[Manufacturer]]&amp;" "&amp;Table13[[#This Row],[Model]]</f>
        <v>SK SKT0787</v>
      </c>
      <c r="D1889" s="1">
        <v>4</v>
      </c>
      <c r="E1889" s="1" t="s">
        <v>169</v>
      </c>
      <c r="F1889" s="38">
        <v>200</v>
      </c>
      <c r="G1889" t="s">
        <v>184</v>
      </c>
    </row>
    <row r="1890" spans="1:7" x14ac:dyDescent="0.25">
      <c r="A1890" s="10" t="s">
        <v>2039</v>
      </c>
      <c r="B1890" s="10">
        <v>73008</v>
      </c>
      <c r="C1890" t="str">
        <f>Table13[[#This Row],[Manufacturer]]&amp;" "&amp;Table13[[#This Row],[Model]]</f>
        <v>SK 73008</v>
      </c>
      <c r="D1890" s="1">
        <v>6</v>
      </c>
      <c r="E1890" s="1" t="s">
        <v>169</v>
      </c>
      <c r="F1890" s="38">
        <v>88</v>
      </c>
      <c r="G1890" t="s">
        <v>164</v>
      </c>
    </row>
    <row r="1891" spans="1:7" x14ac:dyDescent="0.25">
      <c r="A1891" s="10" t="s">
        <v>2039</v>
      </c>
      <c r="B1891" s="10" t="s">
        <v>2043</v>
      </c>
      <c r="C1891" t="str">
        <f>Table13[[#This Row],[Manufacturer]]&amp;" "&amp;Table13[[#This Row],[Model]]</f>
        <v>SK SKT0045</v>
      </c>
      <c r="D1891" s="1">
        <v>6</v>
      </c>
      <c r="E1891" s="1">
        <v>6</v>
      </c>
      <c r="F1891" s="38">
        <v>100</v>
      </c>
      <c r="G1891" t="s">
        <v>172</v>
      </c>
    </row>
    <row r="1892" spans="1:7" x14ac:dyDescent="0.25">
      <c r="A1892" s="10" t="s">
        <v>2039</v>
      </c>
      <c r="B1892" s="10" t="s">
        <v>2042</v>
      </c>
      <c r="C1892" t="str">
        <f>Table13[[#This Row],[Manufacturer]]&amp;" "&amp;Table13[[#This Row],[Model]]</f>
        <v>SK SKT0046</v>
      </c>
      <c r="D1892" s="1">
        <v>6</v>
      </c>
      <c r="E1892" s="1">
        <v>6</v>
      </c>
      <c r="F1892" s="38">
        <v>74</v>
      </c>
      <c r="G1892" t="s">
        <v>187</v>
      </c>
    </row>
    <row r="1893" spans="1:7" x14ac:dyDescent="0.25">
      <c r="A1893" s="10" t="s">
        <v>2039</v>
      </c>
      <c r="B1893" s="10" t="s">
        <v>2041</v>
      </c>
      <c r="C1893" t="str">
        <f>Table13[[#This Row],[Manufacturer]]&amp;" "&amp;Table13[[#This Row],[Model]]</f>
        <v>SK SKT0064</v>
      </c>
      <c r="D1893" s="1">
        <v>6</v>
      </c>
      <c r="E1893" s="1">
        <v>6</v>
      </c>
      <c r="F1893" s="38">
        <v>15</v>
      </c>
      <c r="G1893" t="s">
        <v>164</v>
      </c>
    </row>
    <row r="1894" spans="1:7" x14ac:dyDescent="0.25">
      <c r="A1894" s="10" t="s">
        <v>2039</v>
      </c>
      <c r="B1894" s="10" t="s">
        <v>2040</v>
      </c>
      <c r="C1894" t="str">
        <f>Table13[[#This Row],[Manufacturer]]&amp;" "&amp;Table13[[#This Row],[Model]]</f>
        <v>SK SKT0563</v>
      </c>
      <c r="D1894" s="1">
        <v>6</v>
      </c>
      <c r="E1894" s="1">
        <v>6</v>
      </c>
      <c r="F1894" s="38">
        <v>36</v>
      </c>
      <c r="G1894" t="s">
        <v>164</v>
      </c>
    </row>
    <row r="1895" spans="1:7" x14ac:dyDescent="0.25">
      <c r="A1895" s="10" t="s">
        <v>2039</v>
      </c>
      <c r="B1895" s="10" t="s">
        <v>2038</v>
      </c>
      <c r="C1895" t="str">
        <f>Table13[[#This Row],[Manufacturer]]&amp;" "&amp;Table13[[#This Row],[Model]]</f>
        <v>SK SKT0587</v>
      </c>
      <c r="D1895" s="1">
        <v>6</v>
      </c>
      <c r="E1895" s="1">
        <v>6</v>
      </c>
      <c r="F1895" s="38">
        <v>36</v>
      </c>
      <c r="G1895" t="s">
        <v>164</v>
      </c>
    </row>
    <row r="1896" spans="1:7" x14ac:dyDescent="0.25">
      <c r="A1896" s="10" t="s">
        <v>1842</v>
      </c>
      <c r="B1896" s="10" t="s">
        <v>2037</v>
      </c>
      <c r="C1896" t="str">
        <f>Table13[[#This Row],[Manufacturer]]&amp;" "&amp;Table13[[#This Row],[Model]]</f>
        <v>Snap On BRUTUS3R250D</v>
      </c>
      <c r="D1896" s="1">
        <v>4</v>
      </c>
      <c r="E1896" s="1">
        <v>6</v>
      </c>
      <c r="F1896" s="38">
        <v>250</v>
      </c>
      <c r="G1896" t="s">
        <v>166</v>
      </c>
    </row>
    <row r="1897" spans="1:7" x14ac:dyDescent="0.25">
      <c r="A1897" s="10" t="s">
        <v>1842</v>
      </c>
      <c r="B1897" s="10" t="s">
        <v>2036</v>
      </c>
      <c r="C1897" t="str">
        <f>Table13[[#This Row],[Manufacturer]]&amp;" "&amp;Table13[[#This Row],[Model]]</f>
        <v>Snap On BRUTUS3R300</v>
      </c>
      <c r="D1897" s="1">
        <v>6</v>
      </c>
      <c r="E1897" s="1">
        <v>6</v>
      </c>
      <c r="F1897" s="38">
        <v>300</v>
      </c>
      <c r="G1897" t="s">
        <v>166</v>
      </c>
    </row>
    <row r="1898" spans="1:7" x14ac:dyDescent="0.25">
      <c r="A1898" s="10" t="s">
        <v>1842</v>
      </c>
      <c r="B1898" s="10" t="s">
        <v>2035</v>
      </c>
      <c r="C1898" t="str">
        <f>Table13[[#This Row],[Manufacturer]]&amp;" "&amp;Table13[[#This Row],[Model]]</f>
        <v>Snap On QC1200</v>
      </c>
      <c r="D1898" s="1">
        <v>4</v>
      </c>
      <c r="E1898" s="1">
        <v>6</v>
      </c>
      <c r="F1898" s="38">
        <v>200</v>
      </c>
      <c r="G1898" t="s">
        <v>164</v>
      </c>
    </row>
    <row r="1899" spans="1:7" x14ac:dyDescent="0.25">
      <c r="A1899" s="10" t="s">
        <v>1842</v>
      </c>
      <c r="B1899" s="10" t="s">
        <v>2034</v>
      </c>
      <c r="C1899" t="str">
        <f>Table13[[#This Row],[Manufacturer]]&amp;" "&amp;Table13[[#This Row],[Model]]</f>
        <v>Snap On QC150</v>
      </c>
      <c r="D1899" s="1">
        <v>4</v>
      </c>
      <c r="E1899" s="1">
        <v>6</v>
      </c>
      <c r="F1899" s="38">
        <v>50</v>
      </c>
      <c r="G1899" t="s">
        <v>164</v>
      </c>
    </row>
    <row r="1900" spans="1:7" x14ac:dyDescent="0.25">
      <c r="A1900" s="10" t="s">
        <v>1842</v>
      </c>
      <c r="B1900" s="10" t="s">
        <v>2033</v>
      </c>
      <c r="C1900" t="str">
        <f>Table13[[#This Row],[Manufacturer]]&amp;" "&amp;Table13[[#This Row],[Model]]</f>
        <v>Snap On QC1I200</v>
      </c>
      <c r="D1900" s="1">
        <v>4</v>
      </c>
      <c r="E1900" s="1">
        <v>6</v>
      </c>
      <c r="F1900" s="38">
        <v>200</v>
      </c>
      <c r="G1900" t="s">
        <v>164</v>
      </c>
    </row>
    <row r="1901" spans="1:7" x14ac:dyDescent="0.25">
      <c r="A1901" s="10" t="s">
        <v>1842</v>
      </c>
      <c r="B1901" s="10" t="s">
        <v>2032</v>
      </c>
      <c r="C1901" t="str">
        <f>Table13[[#This Row],[Manufacturer]]&amp;" "&amp;Table13[[#This Row],[Model]]</f>
        <v>Snap On QC1N25</v>
      </c>
      <c r="D1901" s="1">
        <v>4</v>
      </c>
      <c r="E1901" s="1">
        <v>6</v>
      </c>
      <c r="F1901" s="38">
        <v>250</v>
      </c>
      <c r="G1901" t="s">
        <v>1360</v>
      </c>
    </row>
    <row r="1902" spans="1:7" x14ac:dyDescent="0.25">
      <c r="A1902" s="10" t="s">
        <v>1842</v>
      </c>
      <c r="B1902" s="10" t="s">
        <v>2031</v>
      </c>
      <c r="C1902" t="str">
        <f>Table13[[#This Row],[Manufacturer]]&amp;" "&amp;Table13[[#This Row],[Model]]</f>
        <v>Snap On QC1N6</v>
      </c>
      <c r="D1902" s="1">
        <v>4</v>
      </c>
      <c r="E1902" s="1">
        <v>6</v>
      </c>
      <c r="F1902" s="38">
        <v>60</v>
      </c>
      <c r="G1902" t="s">
        <v>1360</v>
      </c>
    </row>
    <row r="1903" spans="1:7" x14ac:dyDescent="0.25">
      <c r="A1903" s="10" t="s">
        <v>1842</v>
      </c>
      <c r="B1903" s="10" t="s">
        <v>2030</v>
      </c>
      <c r="C1903" t="str">
        <f>Table13[[#This Row],[Manufacturer]]&amp;" "&amp;Table13[[#This Row],[Model]]</f>
        <v>Snap On QC1R200</v>
      </c>
      <c r="D1903" s="1">
        <v>4</v>
      </c>
      <c r="E1903" s="1">
        <v>6</v>
      </c>
      <c r="F1903" s="38">
        <v>200</v>
      </c>
      <c r="G1903" t="s">
        <v>164</v>
      </c>
    </row>
    <row r="1904" spans="1:7" x14ac:dyDescent="0.25">
      <c r="A1904" s="10" t="s">
        <v>1842</v>
      </c>
      <c r="B1904" s="10" t="s">
        <v>2029</v>
      </c>
      <c r="C1904" t="str">
        <f>Table13[[#This Row],[Manufacturer]]&amp;" "&amp;Table13[[#This Row],[Model]]</f>
        <v>Snap On QC1R50</v>
      </c>
      <c r="D1904" s="1">
        <v>4</v>
      </c>
      <c r="E1904" s="1">
        <v>6</v>
      </c>
      <c r="F1904" s="38">
        <v>50</v>
      </c>
      <c r="G1904" t="s">
        <v>164</v>
      </c>
    </row>
    <row r="1905" spans="1:7" x14ac:dyDescent="0.25">
      <c r="A1905" s="10" t="s">
        <v>1842</v>
      </c>
      <c r="B1905" s="10" t="s">
        <v>2028</v>
      </c>
      <c r="C1905" t="str">
        <f>Table13[[#This Row],[Manufacturer]]&amp;" "&amp;Table13[[#This Row],[Model]]</f>
        <v>Snap On QC1RM200</v>
      </c>
      <c r="D1905" s="1">
        <v>4</v>
      </c>
      <c r="E1905" s="1">
        <v>6</v>
      </c>
      <c r="F1905" s="38">
        <v>200</v>
      </c>
      <c r="G1905" t="s">
        <v>418</v>
      </c>
    </row>
    <row r="1906" spans="1:7" x14ac:dyDescent="0.25">
      <c r="A1906" s="10" t="s">
        <v>1842</v>
      </c>
      <c r="B1906" s="10" t="s">
        <v>2027</v>
      </c>
      <c r="C1906" t="str">
        <f>Table13[[#This Row],[Manufacturer]]&amp;" "&amp;Table13[[#This Row],[Model]]</f>
        <v>Snap On QC1RN25</v>
      </c>
      <c r="D1906" s="1">
        <v>4</v>
      </c>
      <c r="E1906" s="1">
        <v>6</v>
      </c>
      <c r="F1906" s="38">
        <v>250</v>
      </c>
      <c r="G1906" t="s">
        <v>1360</v>
      </c>
    </row>
    <row r="1907" spans="1:7" x14ac:dyDescent="0.25">
      <c r="A1907" s="10" t="s">
        <v>1842</v>
      </c>
      <c r="B1907" s="10" t="s">
        <v>2026</v>
      </c>
      <c r="C1907" t="str">
        <f>Table13[[#This Row],[Manufacturer]]&amp;" "&amp;Table13[[#This Row],[Model]]</f>
        <v>Snap On QC1RN6</v>
      </c>
      <c r="D1907" s="1">
        <v>4</v>
      </c>
      <c r="E1907" s="1">
        <v>6</v>
      </c>
      <c r="F1907" s="38">
        <v>60</v>
      </c>
      <c r="G1907" t="s">
        <v>1360</v>
      </c>
    </row>
    <row r="1908" spans="1:7" x14ac:dyDescent="0.25">
      <c r="A1908" s="10" t="s">
        <v>1842</v>
      </c>
      <c r="B1908" s="10" t="s">
        <v>2025</v>
      </c>
      <c r="C1908" t="str">
        <f>Table13[[#This Row],[Manufacturer]]&amp;" "&amp;Table13[[#This Row],[Model]]</f>
        <v>Snap On QC2100</v>
      </c>
      <c r="D1908" s="1">
        <v>4</v>
      </c>
      <c r="E1908" s="1">
        <v>6</v>
      </c>
      <c r="F1908" s="38">
        <v>100</v>
      </c>
      <c r="G1908" t="s">
        <v>166</v>
      </c>
    </row>
    <row r="1909" spans="1:7" x14ac:dyDescent="0.25">
      <c r="A1909" s="10" t="s">
        <v>1842</v>
      </c>
      <c r="B1909" s="10" t="s">
        <v>2024</v>
      </c>
      <c r="C1909" t="str">
        <f>Table13[[#This Row],[Manufacturer]]&amp;" "&amp;Table13[[#This Row],[Model]]</f>
        <v>Snap On QC2175</v>
      </c>
      <c r="D1909" s="1">
        <v>4</v>
      </c>
      <c r="E1909" s="1">
        <v>6</v>
      </c>
      <c r="F1909" s="38">
        <v>75</v>
      </c>
      <c r="G1909" t="s">
        <v>166</v>
      </c>
    </row>
    <row r="1910" spans="1:7" x14ac:dyDescent="0.25">
      <c r="A1910" s="10" t="s">
        <v>1842</v>
      </c>
      <c r="B1910" s="10" t="s">
        <v>2023</v>
      </c>
      <c r="C1910" t="str">
        <f>Table13[[#This Row],[Manufacturer]]&amp;" "&amp;Table13[[#This Row],[Model]]</f>
        <v>Snap On QC275</v>
      </c>
      <c r="D1910" s="1">
        <v>4</v>
      </c>
      <c r="E1910" s="1">
        <v>6</v>
      </c>
      <c r="F1910" s="38">
        <v>75</v>
      </c>
      <c r="G1910" t="s">
        <v>166</v>
      </c>
    </row>
    <row r="1911" spans="1:7" x14ac:dyDescent="0.25">
      <c r="A1911" s="10" t="s">
        <v>1842</v>
      </c>
      <c r="B1911" s="10" t="s">
        <v>2022</v>
      </c>
      <c r="C1911" t="str">
        <f>Table13[[#This Row],[Manufacturer]]&amp;" "&amp;Table13[[#This Row],[Model]]</f>
        <v>Snap On QC2FR75</v>
      </c>
      <c r="D1911" s="1">
        <v>4</v>
      </c>
      <c r="E1911" s="1">
        <v>6</v>
      </c>
      <c r="F1911" s="38">
        <v>75</v>
      </c>
      <c r="G1911" t="s">
        <v>166</v>
      </c>
    </row>
    <row r="1912" spans="1:7" x14ac:dyDescent="0.25">
      <c r="A1912" s="10" t="s">
        <v>1842</v>
      </c>
      <c r="B1912" s="10" t="s">
        <v>2021</v>
      </c>
      <c r="C1912" t="str">
        <f>Table13[[#This Row],[Manufacturer]]&amp;" "&amp;Table13[[#This Row],[Model]]</f>
        <v>Snap On QC2I75</v>
      </c>
      <c r="D1912" s="1">
        <v>4</v>
      </c>
      <c r="E1912" s="1">
        <v>6</v>
      </c>
      <c r="F1912" s="38">
        <v>75</v>
      </c>
      <c r="G1912" t="s">
        <v>166</v>
      </c>
    </row>
    <row r="1913" spans="1:7" x14ac:dyDescent="0.25">
      <c r="A1913" s="10" t="s">
        <v>1842</v>
      </c>
      <c r="B1913" s="10" t="s">
        <v>2020</v>
      </c>
      <c r="C1913" t="str">
        <f>Table13[[#This Row],[Manufacturer]]&amp;" "&amp;Table13[[#This Row],[Model]]</f>
        <v>Snap On QC2N100</v>
      </c>
      <c r="D1913" s="1">
        <v>4</v>
      </c>
      <c r="E1913" s="1">
        <v>6</v>
      </c>
      <c r="F1913" s="38">
        <v>100</v>
      </c>
      <c r="G1913" t="s">
        <v>184</v>
      </c>
    </row>
    <row r="1914" spans="1:7" x14ac:dyDescent="0.25">
      <c r="A1914" s="10" t="s">
        <v>1842</v>
      </c>
      <c r="B1914" s="10" t="s">
        <v>2019</v>
      </c>
      <c r="C1914" t="str">
        <f>Table13[[#This Row],[Manufacturer]]&amp;" "&amp;Table13[[#This Row],[Model]]</f>
        <v>Snap On QC2N50</v>
      </c>
      <c r="D1914" s="1">
        <v>4</v>
      </c>
      <c r="E1914" s="1">
        <v>6</v>
      </c>
      <c r="F1914" s="38">
        <v>50</v>
      </c>
      <c r="G1914" t="s">
        <v>184</v>
      </c>
    </row>
    <row r="1915" spans="1:7" x14ac:dyDescent="0.25">
      <c r="A1915" s="10" t="s">
        <v>1842</v>
      </c>
      <c r="B1915" s="10" t="s">
        <v>2018</v>
      </c>
      <c r="C1915" t="str">
        <f>Table13[[#This Row],[Manufacturer]]&amp;" "&amp;Table13[[#This Row],[Model]]</f>
        <v>Snap On QC2R100</v>
      </c>
      <c r="D1915" s="1">
        <v>4</v>
      </c>
      <c r="E1915" s="1">
        <v>6</v>
      </c>
      <c r="F1915" s="38">
        <v>100</v>
      </c>
      <c r="G1915" t="s">
        <v>166</v>
      </c>
    </row>
    <row r="1916" spans="1:7" x14ac:dyDescent="0.25">
      <c r="A1916" s="10" t="s">
        <v>1842</v>
      </c>
      <c r="B1916" s="10" t="s">
        <v>2017</v>
      </c>
      <c r="C1916" t="str">
        <f>Table13[[#This Row],[Manufacturer]]&amp;" "&amp;Table13[[#This Row],[Model]]</f>
        <v>Snap On QC2R1000</v>
      </c>
      <c r="D1916" s="1">
        <v>4</v>
      </c>
      <c r="E1916" s="1">
        <v>6</v>
      </c>
      <c r="F1916" s="38">
        <v>1000</v>
      </c>
      <c r="G1916" t="s">
        <v>164</v>
      </c>
    </row>
    <row r="1917" spans="1:7" x14ac:dyDescent="0.25">
      <c r="A1917" s="10" t="s">
        <v>1842</v>
      </c>
      <c r="B1917" s="10" t="s">
        <v>2016</v>
      </c>
      <c r="C1917" t="str">
        <f>Table13[[#This Row],[Manufacturer]]&amp;" "&amp;Table13[[#This Row],[Model]]</f>
        <v>Snap On QC2R200</v>
      </c>
      <c r="D1917" s="1">
        <v>4</v>
      </c>
      <c r="E1917" s="1">
        <v>6</v>
      </c>
      <c r="F1917" s="38">
        <v>200</v>
      </c>
      <c r="G1917" t="s">
        <v>164</v>
      </c>
    </row>
    <row r="1918" spans="1:7" x14ac:dyDescent="0.25">
      <c r="A1918" s="10" t="s">
        <v>1842</v>
      </c>
      <c r="B1918" s="10" t="s">
        <v>2015</v>
      </c>
      <c r="C1918" t="str">
        <f>Table13[[#This Row],[Manufacturer]]&amp;" "&amp;Table13[[#This Row],[Model]]</f>
        <v>Snap On QC2RM1000</v>
      </c>
      <c r="D1918" s="1">
        <v>4</v>
      </c>
      <c r="E1918" s="1">
        <v>6</v>
      </c>
      <c r="F1918" s="38">
        <v>1000</v>
      </c>
      <c r="G1918" t="s">
        <v>418</v>
      </c>
    </row>
    <row r="1919" spans="1:7" x14ac:dyDescent="0.25">
      <c r="A1919" s="10" t="s">
        <v>1842</v>
      </c>
      <c r="B1919" s="10" t="s">
        <v>2014</v>
      </c>
      <c r="C1919" t="str">
        <f>Table13[[#This Row],[Manufacturer]]&amp;" "&amp;Table13[[#This Row],[Model]]</f>
        <v>Snap On QC2RN100</v>
      </c>
      <c r="D1919" s="1">
        <v>4</v>
      </c>
      <c r="E1919" s="1">
        <v>6</v>
      </c>
      <c r="F1919" s="38">
        <v>100</v>
      </c>
      <c r="G1919" t="s">
        <v>184</v>
      </c>
    </row>
    <row r="1920" spans="1:7" x14ac:dyDescent="0.25">
      <c r="A1920" s="10" t="s">
        <v>1842</v>
      </c>
      <c r="B1920" s="10" t="s">
        <v>2013</v>
      </c>
      <c r="C1920" t="str">
        <f>Table13[[#This Row],[Manufacturer]]&amp;" "&amp;Table13[[#This Row],[Model]]</f>
        <v>Snap On QC2RN25</v>
      </c>
      <c r="D1920" s="1">
        <v>4</v>
      </c>
      <c r="E1920" s="1">
        <v>6</v>
      </c>
      <c r="F1920" s="38">
        <v>250</v>
      </c>
      <c r="G1920" t="s">
        <v>1360</v>
      </c>
    </row>
    <row r="1921" spans="1:7" x14ac:dyDescent="0.25">
      <c r="A1921" s="10" t="s">
        <v>1842</v>
      </c>
      <c r="B1921" s="10" t="s">
        <v>2012</v>
      </c>
      <c r="C1921" t="str">
        <f>Table13[[#This Row],[Manufacturer]]&amp;" "&amp;Table13[[#This Row],[Model]]</f>
        <v>Snap On QC2RN50</v>
      </c>
      <c r="D1921" s="1">
        <v>4</v>
      </c>
      <c r="E1921" s="1">
        <v>6</v>
      </c>
      <c r="F1921" s="38">
        <v>50</v>
      </c>
      <c r="G1921" t="s">
        <v>184</v>
      </c>
    </row>
    <row r="1922" spans="1:7" x14ac:dyDescent="0.25">
      <c r="A1922" s="10" t="s">
        <v>1842</v>
      </c>
      <c r="B1922" s="10" t="s">
        <v>2011</v>
      </c>
      <c r="C1922" t="str">
        <f>Table13[[#This Row],[Manufacturer]]&amp;" "&amp;Table13[[#This Row],[Model]]</f>
        <v>Snap On QC3150</v>
      </c>
      <c r="D1922" s="1">
        <v>4</v>
      </c>
      <c r="E1922" s="1">
        <v>6</v>
      </c>
      <c r="F1922" s="38">
        <v>150</v>
      </c>
      <c r="G1922" t="s">
        <v>166</v>
      </c>
    </row>
    <row r="1923" spans="1:7" x14ac:dyDescent="0.25">
      <c r="A1923" s="10" t="s">
        <v>1842</v>
      </c>
      <c r="B1923" s="10" t="s">
        <v>2010</v>
      </c>
      <c r="C1923" t="str">
        <f>Table13[[#This Row],[Manufacturer]]&amp;" "&amp;Table13[[#This Row],[Model]]</f>
        <v>Snap On QC31600</v>
      </c>
      <c r="D1923" s="1">
        <v>4</v>
      </c>
      <c r="E1923" s="1">
        <v>6</v>
      </c>
      <c r="F1923" s="38">
        <v>1600</v>
      </c>
      <c r="G1923" t="s">
        <v>164</v>
      </c>
    </row>
    <row r="1924" spans="1:7" x14ac:dyDescent="0.25">
      <c r="A1924" s="10" t="s">
        <v>1842</v>
      </c>
      <c r="B1924" s="10" t="s">
        <v>2009</v>
      </c>
      <c r="C1924" t="str">
        <f>Table13[[#This Row],[Manufacturer]]&amp;" "&amp;Table13[[#This Row],[Model]]</f>
        <v>Snap On QC3250</v>
      </c>
      <c r="D1924" s="1">
        <v>4</v>
      </c>
      <c r="E1924" s="1">
        <v>6</v>
      </c>
      <c r="F1924" s="38">
        <v>250</v>
      </c>
      <c r="G1924" t="s">
        <v>166</v>
      </c>
    </row>
    <row r="1925" spans="1:7" x14ac:dyDescent="0.25">
      <c r="A1925" s="10" t="s">
        <v>1842</v>
      </c>
      <c r="B1925" s="10" t="s">
        <v>2008</v>
      </c>
      <c r="C1925" t="str">
        <f>Table13[[#This Row],[Manufacturer]]&amp;" "&amp;Table13[[#This Row],[Model]]</f>
        <v>Snap On QC32500</v>
      </c>
      <c r="D1925" s="1">
        <v>4</v>
      </c>
      <c r="E1925" s="1">
        <v>6</v>
      </c>
      <c r="F1925" s="38">
        <v>2500</v>
      </c>
      <c r="G1925" t="s">
        <v>164</v>
      </c>
    </row>
    <row r="1926" spans="1:7" x14ac:dyDescent="0.25">
      <c r="A1926" s="10" t="s">
        <v>1842</v>
      </c>
      <c r="B1926" s="10" t="s">
        <v>2007</v>
      </c>
      <c r="C1926" t="str">
        <f>Table13[[#This Row],[Manufacturer]]&amp;" "&amp;Table13[[#This Row],[Model]]</f>
        <v>Snap On QC3N200</v>
      </c>
      <c r="D1926" s="1">
        <v>4</v>
      </c>
      <c r="E1926" s="1">
        <v>6</v>
      </c>
      <c r="F1926" s="38">
        <v>200</v>
      </c>
      <c r="G1926" t="s">
        <v>184</v>
      </c>
    </row>
    <row r="1927" spans="1:7" x14ac:dyDescent="0.25">
      <c r="A1927" s="10" t="s">
        <v>1842</v>
      </c>
      <c r="B1927" s="10" t="s">
        <v>2006</v>
      </c>
      <c r="C1927" t="str">
        <f>Table13[[#This Row],[Manufacturer]]&amp;" "&amp;Table13[[#This Row],[Model]]</f>
        <v>Snap On QC3N350</v>
      </c>
      <c r="D1927" s="1">
        <v>4</v>
      </c>
      <c r="E1927" s="1">
        <v>6</v>
      </c>
      <c r="F1927" s="38">
        <v>350</v>
      </c>
      <c r="G1927" t="s">
        <v>184</v>
      </c>
    </row>
    <row r="1928" spans="1:7" x14ac:dyDescent="0.25">
      <c r="A1928" s="10" t="s">
        <v>1842</v>
      </c>
      <c r="B1928" s="10" t="s">
        <v>2005</v>
      </c>
      <c r="C1928" t="str">
        <f>Table13[[#This Row],[Manufacturer]]&amp;" "&amp;Table13[[#This Row],[Model]]</f>
        <v>Snap On QC3R150</v>
      </c>
      <c r="D1928" s="1">
        <v>4</v>
      </c>
      <c r="E1928" s="1">
        <v>6</v>
      </c>
      <c r="F1928" s="38">
        <v>150</v>
      </c>
      <c r="G1928" t="s">
        <v>166</v>
      </c>
    </row>
    <row r="1929" spans="1:7" x14ac:dyDescent="0.25">
      <c r="A1929" s="10" t="s">
        <v>1842</v>
      </c>
      <c r="B1929" s="10" t="s">
        <v>2004</v>
      </c>
      <c r="C1929" t="str">
        <f>Table13[[#This Row],[Manufacturer]]&amp;" "&amp;Table13[[#This Row],[Model]]</f>
        <v>Snap On QC3R250</v>
      </c>
      <c r="D1929" s="1">
        <v>4</v>
      </c>
      <c r="E1929" s="1">
        <v>6</v>
      </c>
      <c r="F1929" s="38">
        <v>250</v>
      </c>
      <c r="G1929" t="s">
        <v>166</v>
      </c>
    </row>
    <row r="1930" spans="1:7" x14ac:dyDescent="0.25">
      <c r="A1930" s="10" t="s">
        <v>1842</v>
      </c>
      <c r="B1930" s="10" t="s">
        <v>2003</v>
      </c>
      <c r="C1930" t="str">
        <f>Table13[[#This Row],[Manufacturer]]&amp;" "&amp;Table13[[#This Row],[Model]]</f>
        <v>Snap On QC3R2500</v>
      </c>
      <c r="D1930" s="1">
        <v>4</v>
      </c>
      <c r="E1930" s="1">
        <v>6</v>
      </c>
      <c r="F1930" s="38">
        <v>2500</v>
      </c>
      <c r="G1930" t="s">
        <v>164</v>
      </c>
    </row>
    <row r="1931" spans="1:7" x14ac:dyDescent="0.25">
      <c r="A1931" s="10" t="s">
        <v>1842</v>
      </c>
      <c r="B1931" s="10" t="s">
        <v>2002</v>
      </c>
      <c r="C1931" t="str">
        <f>Table13[[#This Row],[Manufacturer]]&amp;" "&amp;Table13[[#This Row],[Model]]</f>
        <v>Snap On QC3RM2000</v>
      </c>
      <c r="D1931" s="1">
        <v>4</v>
      </c>
      <c r="E1931" s="1">
        <v>6</v>
      </c>
      <c r="F1931" s="38">
        <v>2000</v>
      </c>
      <c r="G1931" t="s">
        <v>418</v>
      </c>
    </row>
    <row r="1932" spans="1:7" x14ac:dyDescent="0.25">
      <c r="A1932" s="10" t="s">
        <v>1842</v>
      </c>
      <c r="B1932" s="10" t="s">
        <v>2001</v>
      </c>
      <c r="C1932" t="str">
        <f>Table13[[#This Row],[Manufacturer]]&amp;" "&amp;Table13[[#This Row],[Model]]</f>
        <v>Snap On QC3RM30</v>
      </c>
      <c r="D1932" s="1">
        <v>4</v>
      </c>
      <c r="E1932" s="1">
        <v>6</v>
      </c>
      <c r="F1932" s="38">
        <v>30</v>
      </c>
      <c r="G1932" t="s">
        <v>258</v>
      </c>
    </row>
    <row r="1933" spans="1:7" x14ac:dyDescent="0.25">
      <c r="A1933" s="10" t="s">
        <v>1842</v>
      </c>
      <c r="B1933" s="10" t="s">
        <v>2000</v>
      </c>
      <c r="C1933" t="str">
        <f>Table13[[#This Row],[Manufacturer]]&amp;" "&amp;Table13[[#This Row],[Model]]</f>
        <v>Snap On QC3RN200</v>
      </c>
      <c r="D1933" s="1">
        <v>4</v>
      </c>
      <c r="E1933" s="1">
        <v>6</v>
      </c>
      <c r="F1933" s="38">
        <v>200</v>
      </c>
      <c r="G1933" t="s">
        <v>184</v>
      </c>
    </row>
    <row r="1934" spans="1:7" x14ac:dyDescent="0.25">
      <c r="A1934" s="10" t="s">
        <v>1842</v>
      </c>
      <c r="B1934" s="10" t="s">
        <v>1999</v>
      </c>
      <c r="C1934" t="str">
        <f>Table13[[#This Row],[Manufacturer]]&amp;" "&amp;Table13[[#This Row],[Model]]</f>
        <v>Snap On QC3RN350</v>
      </c>
      <c r="D1934" s="1">
        <v>4</v>
      </c>
      <c r="E1934" s="1">
        <v>6</v>
      </c>
      <c r="F1934" s="38">
        <v>350</v>
      </c>
      <c r="G1934" t="s">
        <v>184</v>
      </c>
    </row>
    <row r="1935" spans="1:7" x14ac:dyDescent="0.25">
      <c r="A1935" s="10" t="s">
        <v>1842</v>
      </c>
      <c r="B1935" s="10" t="s">
        <v>1998</v>
      </c>
      <c r="C1935" t="str">
        <f>Table13[[#This Row],[Manufacturer]]&amp;" "&amp;Table13[[#This Row],[Model]]</f>
        <v>Snap On QC4400</v>
      </c>
      <c r="D1935" s="1">
        <v>4</v>
      </c>
      <c r="E1935" s="1">
        <v>6</v>
      </c>
      <c r="F1935" s="38">
        <v>400</v>
      </c>
      <c r="G1935" t="s">
        <v>166</v>
      </c>
    </row>
    <row r="1936" spans="1:7" x14ac:dyDescent="0.25">
      <c r="A1936" s="10" t="s">
        <v>1842</v>
      </c>
      <c r="B1936" s="10" t="s">
        <v>1997</v>
      </c>
      <c r="C1936" t="str">
        <f>Table13[[#This Row],[Manufacturer]]&amp;" "&amp;Table13[[#This Row],[Model]]</f>
        <v>Snap On QC4600</v>
      </c>
      <c r="D1936" s="1">
        <v>4</v>
      </c>
      <c r="E1936" s="1">
        <v>6</v>
      </c>
      <c r="F1936" s="38">
        <v>600</v>
      </c>
      <c r="G1936" t="s">
        <v>166</v>
      </c>
    </row>
    <row r="1937" spans="1:7" x14ac:dyDescent="0.25">
      <c r="A1937" s="10" t="s">
        <v>1842</v>
      </c>
      <c r="B1937" s="10" t="s">
        <v>1996</v>
      </c>
      <c r="C1937" t="str">
        <f>Table13[[#This Row],[Manufacturer]]&amp;" "&amp;Table13[[#This Row],[Model]]</f>
        <v>Snap On QC4N550</v>
      </c>
      <c r="D1937" s="1">
        <v>4</v>
      </c>
      <c r="E1937" s="1">
        <v>6</v>
      </c>
      <c r="F1937" s="38">
        <v>550</v>
      </c>
      <c r="G1937" t="s">
        <v>184</v>
      </c>
    </row>
    <row r="1938" spans="1:7" x14ac:dyDescent="0.25">
      <c r="A1938" s="10" t="s">
        <v>1842</v>
      </c>
      <c r="B1938" s="10" t="s">
        <v>1995</v>
      </c>
      <c r="C1938" t="str">
        <f>Table13[[#This Row],[Manufacturer]]&amp;" "&amp;Table13[[#This Row],[Model]]</f>
        <v>Snap On QC4N800</v>
      </c>
      <c r="D1938" s="1">
        <v>4</v>
      </c>
      <c r="E1938" s="1">
        <v>6</v>
      </c>
      <c r="F1938" s="38">
        <v>800</v>
      </c>
      <c r="G1938" t="s">
        <v>184</v>
      </c>
    </row>
    <row r="1939" spans="1:7" x14ac:dyDescent="0.25">
      <c r="A1939" s="10" t="s">
        <v>1842</v>
      </c>
      <c r="B1939" s="10" t="s">
        <v>1994</v>
      </c>
      <c r="C1939" t="str">
        <f>Table13[[#This Row],[Manufacturer]]&amp;" "&amp;Table13[[#This Row],[Model]]</f>
        <v>Snap On QC4R400</v>
      </c>
      <c r="D1939" s="1">
        <v>4</v>
      </c>
      <c r="E1939" s="1">
        <v>6</v>
      </c>
      <c r="F1939" s="38">
        <v>400</v>
      </c>
      <c r="G1939" t="s">
        <v>166</v>
      </c>
    </row>
    <row r="1940" spans="1:7" x14ac:dyDescent="0.25">
      <c r="A1940" s="10" t="s">
        <v>1842</v>
      </c>
      <c r="B1940" s="10" t="s">
        <v>1993</v>
      </c>
      <c r="C1940" t="str">
        <f>Table13[[#This Row],[Manufacturer]]&amp;" "&amp;Table13[[#This Row],[Model]]</f>
        <v>Snap On QC4R400A</v>
      </c>
      <c r="D1940" s="1">
        <v>4</v>
      </c>
      <c r="E1940" s="1">
        <v>6</v>
      </c>
      <c r="F1940" s="38">
        <v>400</v>
      </c>
      <c r="G1940" t="s">
        <v>166</v>
      </c>
    </row>
    <row r="1941" spans="1:7" x14ac:dyDescent="0.25">
      <c r="A1941" s="10" t="s">
        <v>1842</v>
      </c>
      <c r="B1941" s="10" t="s">
        <v>1992</v>
      </c>
      <c r="C1941" t="str">
        <f>Table13[[#This Row],[Manufacturer]]&amp;" "&amp;Table13[[#This Row],[Model]]</f>
        <v>Snap On QC4R600</v>
      </c>
      <c r="D1941" s="1">
        <v>4</v>
      </c>
      <c r="E1941" s="1">
        <v>6</v>
      </c>
      <c r="F1941" s="38">
        <v>600</v>
      </c>
      <c r="G1941" t="s">
        <v>166</v>
      </c>
    </row>
    <row r="1942" spans="1:7" x14ac:dyDescent="0.25">
      <c r="A1942" s="10" t="s">
        <v>1842</v>
      </c>
      <c r="B1942" s="10" t="s">
        <v>1991</v>
      </c>
      <c r="C1942" t="str">
        <f>Table13[[#This Row],[Manufacturer]]&amp;" "&amp;Table13[[#This Row],[Model]]</f>
        <v>Snap On QC4R600A</v>
      </c>
      <c r="D1942" s="1">
        <v>4</v>
      </c>
      <c r="E1942" s="1">
        <v>6</v>
      </c>
      <c r="F1942" s="38">
        <v>600</v>
      </c>
      <c r="G1942" t="s">
        <v>166</v>
      </c>
    </row>
    <row r="1943" spans="1:7" x14ac:dyDescent="0.25">
      <c r="A1943" s="10" t="s">
        <v>1842</v>
      </c>
      <c r="B1943" s="10" t="s">
        <v>1990</v>
      </c>
      <c r="C1943" t="str">
        <f>Table13[[#This Row],[Manufacturer]]&amp;" "&amp;Table13[[#This Row],[Model]]</f>
        <v>Snap On QC4RM80</v>
      </c>
      <c r="D1943" s="1">
        <v>4</v>
      </c>
      <c r="E1943" s="1">
        <v>6</v>
      </c>
      <c r="F1943" s="38">
        <v>80</v>
      </c>
      <c r="G1943" t="s">
        <v>258</v>
      </c>
    </row>
    <row r="1944" spans="1:7" x14ac:dyDescent="0.25">
      <c r="A1944" s="10" t="s">
        <v>1842</v>
      </c>
      <c r="B1944" s="10" t="s">
        <v>1989</v>
      </c>
      <c r="C1944" t="str">
        <f>Table13[[#This Row],[Manufacturer]]&amp;" "&amp;Table13[[#This Row],[Model]]</f>
        <v>Snap On QC4RN550</v>
      </c>
      <c r="D1944" s="1">
        <v>4</v>
      </c>
      <c r="E1944" s="1">
        <v>6</v>
      </c>
      <c r="F1944" s="38">
        <v>550</v>
      </c>
      <c r="G1944" t="s">
        <v>184</v>
      </c>
    </row>
    <row r="1945" spans="1:7" x14ac:dyDescent="0.25">
      <c r="A1945" s="10" t="s">
        <v>1842</v>
      </c>
      <c r="B1945" s="10" t="s">
        <v>1988</v>
      </c>
      <c r="C1945" t="str">
        <f>Table13[[#This Row],[Manufacturer]]&amp;" "&amp;Table13[[#This Row],[Model]]</f>
        <v>Snap On QC4RN800</v>
      </c>
      <c r="D1945" s="1">
        <v>4</v>
      </c>
      <c r="E1945" s="1">
        <v>6</v>
      </c>
      <c r="F1945" s="38">
        <v>800</v>
      </c>
      <c r="G1945" t="s">
        <v>184</v>
      </c>
    </row>
    <row r="1946" spans="1:7" x14ac:dyDescent="0.25">
      <c r="A1946" s="10" t="s">
        <v>1842</v>
      </c>
      <c r="B1946" s="10" t="s">
        <v>1987</v>
      </c>
      <c r="C1946" t="str">
        <f>Table13[[#This Row],[Manufacturer]]&amp;" "&amp;Table13[[#This Row],[Model]]</f>
        <v>Snap On QC51000</v>
      </c>
      <c r="D1946" s="1">
        <v>4</v>
      </c>
      <c r="E1946" s="1">
        <v>6</v>
      </c>
      <c r="F1946" s="38">
        <v>1000</v>
      </c>
      <c r="G1946" t="s">
        <v>166</v>
      </c>
    </row>
    <row r="1947" spans="1:7" x14ac:dyDescent="0.25">
      <c r="A1947" s="10" t="s">
        <v>1842</v>
      </c>
      <c r="B1947" s="10" t="s">
        <v>1986</v>
      </c>
      <c r="C1947" t="str">
        <f>Table13[[#This Row],[Manufacturer]]&amp;" "&amp;Table13[[#This Row],[Model]]</f>
        <v>Snap On QC5N2500</v>
      </c>
      <c r="D1947" s="1">
        <v>4</v>
      </c>
      <c r="E1947" s="1">
        <v>6</v>
      </c>
      <c r="F1947" s="38">
        <v>2500</v>
      </c>
      <c r="G1947" t="s">
        <v>184</v>
      </c>
    </row>
    <row r="1948" spans="1:7" x14ac:dyDescent="0.25">
      <c r="A1948" s="10" t="s">
        <v>1842</v>
      </c>
      <c r="B1948" s="10" t="s">
        <v>1985</v>
      </c>
      <c r="C1948" t="str">
        <f>Table13[[#This Row],[Manufacturer]]&amp;" "&amp;Table13[[#This Row],[Model]]</f>
        <v>Snap On QC5R1000</v>
      </c>
      <c r="D1948" s="1">
        <v>4</v>
      </c>
      <c r="E1948" s="1">
        <v>6</v>
      </c>
      <c r="F1948" s="38">
        <v>1000</v>
      </c>
      <c r="G1948" t="s">
        <v>166</v>
      </c>
    </row>
    <row r="1949" spans="1:7" x14ac:dyDescent="0.25">
      <c r="A1949" s="10" t="s">
        <v>1842</v>
      </c>
      <c r="B1949" s="10" t="s">
        <v>1984</v>
      </c>
      <c r="C1949" t="str">
        <f>Table13[[#This Row],[Manufacturer]]&amp;" "&amp;Table13[[#This Row],[Model]]</f>
        <v>Snap On QD1200</v>
      </c>
      <c r="D1949" s="1">
        <v>4</v>
      </c>
      <c r="E1949" s="1">
        <v>6</v>
      </c>
      <c r="F1949" s="38">
        <v>200</v>
      </c>
      <c r="G1949" t="s">
        <v>164</v>
      </c>
    </row>
    <row r="1950" spans="1:7" x14ac:dyDescent="0.25">
      <c r="A1950" s="10" t="s">
        <v>1842</v>
      </c>
      <c r="B1950" s="10" t="s">
        <v>1983</v>
      </c>
      <c r="C1950" t="str">
        <f>Table13[[#This Row],[Manufacturer]]&amp;" "&amp;Table13[[#This Row],[Model]]</f>
        <v>Snap On QD150</v>
      </c>
      <c r="D1950" s="1">
        <v>4</v>
      </c>
      <c r="E1950" s="1">
        <v>6</v>
      </c>
      <c r="F1950" s="38">
        <v>50</v>
      </c>
      <c r="G1950" t="s">
        <v>164</v>
      </c>
    </row>
    <row r="1951" spans="1:7" x14ac:dyDescent="0.25">
      <c r="A1951" s="10" t="s">
        <v>1842</v>
      </c>
      <c r="B1951" s="10" t="s">
        <v>1982</v>
      </c>
      <c r="C1951" t="str">
        <f>Table13[[#This Row],[Manufacturer]]&amp;" "&amp;Table13[[#This Row],[Model]]</f>
        <v>Snap On QD1R200</v>
      </c>
      <c r="D1951" s="1">
        <v>4</v>
      </c>
      <c r="E1951" s="1">
        <v>6</v>
      </c>
      <c r="F1951" s="38">
        <v>200</v>
      </c>
      <c r="G1951" t="s">
        <v>164</v>
      </c>
    </row>
    <row r="1952" spans="1:7" x14ac:dyDescent="0.25">
      <c r="A1952" s="10" t="s">
        <v>1842</v>
      </c>
      <c r="B1952" s="10" t="s">
        <v>1981</v>
      </c>
      <c r="C1952" t="str">
        <f>Table13[[#This Row],[Manufacturer]]&amp;" "&amp;Table13[[#This Row],[Model]]</f>
        <v>Snap On QD1R50</v>
      </c>
      <c r="D1952" s="1">
        <v>4</v>
      </c>
      <c r="E1952" s="1">
        <v>6</v>
      </c>
      <c r="F1952" s="38">
        <v>50</v>
      </c>
      <c r="G1952" t="s">
        <v>164</v>
      </c>
    </row>
    <row r="1953" spans="1:7" x14ac:dyDescent="0.25">
      <c r="A1953" s="10" t="s">
        <v>1842</v>
      </c>
      <c r="B1953" s="10" t="s">
        <v>1980</v>
      </c>
      <c r="C1953" t="str">
        <f>Table13[[#This Row],[Manufacturer]]&amp;" "&amp;Table13[[#This Row],[Model]]</f>
        <v>Snap On QD1R50A</v>
      </c>
      <c r="D1953" s="1">
        <v>4</v>
      </c>
      <c r="E1953" s="1">
        <v>6</v>
      </c>
      <c r="F1953" s="38">
        <v>50</v>
      </c>
      <c r="G1953" t="s">
        <v>164</v>
      </c>
    </row>
    <row r="1954" spans="1:7" x14ac:dyDescent="0.25">
      <c r="A1954" s="10" t="s">
        <v>1842</v>
      </c>
      <c r="B1954" s="10" t="s">
        <v>1979</v>
      </c>
      <c r="C1954" t="str">
        <f>Table13[[#This Row],[Manufacturer]]&amp;" "&amp;Table13[[#This Row],[Model]]</f>
        <v>Snap On QD1RN25</v>
      </c>
      <c r="D1954" s="1">
        <v>4</v>
      </c>
      <c r="E1954" s="1">
        <v>6</v>
      </c>
      <c r="F1954" s="38">
        <v>50</v>
      </c>
      <c r="G1954" t="s">
        <v>1360</v>
      </c>
    </row>
    <row r="1955" spans="1:7" x14ac:dyDescent="0.25">
      <c r="A1955" s="10" t="s">
        <v>1842</v>
      </c>
      <c r="B1955" s="10" t="s">
        <v>1978</v>
      </c>
      <c r="C1955" t="str">
        <f>Table13[[#This Row],[Manufacturer]]&amp;" "&amp;Table13[[#This Row],[Model]]</f>
        <v>Snap On QD1RN25A</v>
      </c>
      <c r="D1955" s="1">
        <v>4</v>
      </c>
      <c r="E1955" s="1">
        <v>6</v>
      </c>
      <c r="F1955" s="38">
        <v>25</v>
      </c>
      <c r="G1955" t="s">
        <v>184</v>
      </c>
    </row>
    <row r="1956" spans="1:7" x14ac:dyDescent="0.25">
      <c r="A1956" s="10" t="s">
        <v>1842</v>
      </c>
      <c r="B1956" s="10" t="s">
        <v>1977</v>
      </c>
      <c r="C1956" t="str">
        <f>Table13[[#This Row],[Manufacturer]]&amp;" "&amp;Table13[[#This Row],[Model]]</f>
        <v>Snap On QD1RN6</v>
      </c>
      <c r="D1956" s="1">
        <v>4</v>
      </c>
      <c r="E1956" s="1">
        <v>6</v>
      </c>
      <c r="F1956" s="38">
        <v>60</v>
      </c>
      <c r="G1956" t="s">
        <v>1360</v>
      </c>
    </row>
    <row r="1957" spans="1:7" x14ac:dyDescent="0.25">
      <c r="A1957" s="10" t="s">
        <v>1842</v>
      </c>
      <c r="B1957" s="10" t="s">
        <v>1976</v>
      </c>
      <c r="C1957" t="str">
        <f>Table13[[#This Row],[Manufacturer]]&amp;" "&amp;Table13[[#This Row],[Model]]</f>
        <v>Snap On QD1RN6A</v>
      </c>
      <c r="D1957" s="1">
        <v>4</v>
      </c>
      <c r="E1957" s="1">
        <v>6</v>
      </c>
      <c r="F1957" s="38">
        <v>6</v>
      </c>
      <c r="G1957" t="s">
        <v>184</v>
      </c>
    </row>
    <row r="1958" spans="1:7" x14ac:dyDescent="0.25">
      <c r="A1958" s="10" t="s">
        <v>1842</v>
      </c>
      <c r="B1958" s="10" t="s">
        <v>1975</v>
      </c>
      <c r="C1958" t="str">
        <f>Table13[[#This Row],[Manufacturer]]&amp;" "&amp;Table13[[#This Row],[Model]]</f>
        <v>Snap On QD2100</v>
      </c>
      <c r="D1958" s="1">
        <v>4</v>
      </c>
      <c r="E1958" s="1">
        <v>6</v>
      </c>
      <c r="F1958" s="38">
        <v>100</v>
      </c>
      <c r="G1958" t="s">
        <v>166</v>
      </c>
    </row>
    <row r="1959" spans="1:7" x14ac:dyDescent="0.25">
      <c r="A1959" s="10" t="s">
        <v>1842</v>
      </c>
      <c r="B1959" s="10" t="s">
        <v>1974</v>
      </c>
      <c r="C1959" t="str">
        <f>Table13[[#This Row],[Manufacturer]]&amp;" "&amp;Table13[[#This Row],[Model]]</f>
        <v>Snap On QD21000A</v>
      </c>
      <c r="D1959" s="1">
        <v>4</v>
      </c>
      <c r="E1959" s="1">
        <v>6</v>
      </c>
      <c r="F1959" s="38">
        <v>1000</v>
      </c>
      <c r="G1959" t="s">
        <v>164</v>
      </c>
    </row>
    <row r="1960" spans="1:7" x14ac:dyDescent="0.25">
      <c r="A1960" s="10" t="s">
        <v>1842</v>
      </c>
      <c r="B1960" s="10" t="s">
        <v>1973</v>
      </c>
      <c r="C1960" t="str">
        <f>Table13[[#This Row],[Manufacturer]]&amp;" "&amp;Table13[[#This Row],[Model]]</f>
        <v>Snap On QD2100A</v>
      </c>
      <c r="D1960" s="1">
        <v>4</v>
      </c>
      <c r="E1960" s="1">
        <v>6</v>
      </c>
      <c r="F1960" s="38">
        <v>100</v>
      </c>
      <c r="G1960" t="s">
        <v>166</v>
      </c>
    </row>
    <row r="1961" spans="1:7" x14ac:dyDescent="0.25">
      <c r="A1961" s="10" t="s">
        <v>1842</v>
      </c>
      <c r="B1961" s="10" t="s">
        <v>1972</v>
      </c>
      <c r="C1961" t="str">
        <f>Table13[[#This Row],[Manufacturer]]&amp;" "&amp;Table13[[#This Row],[Model]]</f>
        <v>Snap On QD275</v>
      </c>
      <c r="D1961" s="1">
        <v>4</v>
      </c>
      <c r="E1961" s="1">
        <v>6</v>
      </c>
      <c r="F1961" s="38">
        <v>75</v>
      </c>
      <c r="G1961" t="s">
        <v>166</v>
      </c>
    </row>
    <row r="1962" spans="1:7" x14ac:dyDescent="0.25">
      <c r="A1962" s="10" t="s">
        <v>1842</v>
      </c>
      <c r="B1962" s="10" t="s">
        <v>1971</v>
      </c>
      <c r="C1962" t="str">
        <f>Table13[[#This Row],[Manufacturer]]&amp;" "&amp;Table13[[#This Row],[Model]]</f>
        <v>Snap On QD2FR75</v>
      </c>
      <c r="D1962" s="1">
        <v>4</v>
      </c>
      <c r="E1962" s="1">
        <v>6</v>
      </c>
      <c r="F1962" s="38">
        <v>75</v>
      </c>
      <c r="G1962" t="s">
        <v>166</v>
      </c>
    </row>
    <row r="1963" spans="1:7" x14ac:dyDescent="0.25">
      <c r="A1963" s="10" t="s">
        <v>1842</v>
      </c>
      <c r="B1963" s="10" t="s">
        <v>1970</v>
      </c>
      <c r="C1963" t="str">
        <f>Table13[[#This Row],[Manufacturer]]&amp;" "&amp;Table13[[#This Row],[Model]]</f>
        <v>Snap On QD2IN100</v>
      </c>
      <c r="D1963" s="1">
        <v>4</v>
      </c>
      <c r="E1963" s="1">
        <v>6</v>
      </c>
      <c r="F1963" s="38">
        <v>100</v>
      </c>
      <c r="G1963" t="s">
        <v>184</v>
      </c>
    </row>
    <row r="1964" spans="1:7" x14ac:dyDescent="0.25">
      <c r="A1964" s="10" t="s">
        <v>1842</v>
      </c>
      <c r="B1964" s="10" t="s">
        <v>1969</v>
      </c>
      <c r="C1964" t="str">
        <f>Table13[[#This Row],[Manufacturer]]&amp;" "&amp;Table13[[#This Row],[Model]]</f>
        <v>Snap On QD2IN50</v>
      </c>
      <c r="D1964" s="1">
        <v>4</v>
      </c>
      <c r="E1964" s="1">
        <v>6</v>
      </c>
      <c r="F1964" s="38">
        <v>50</v>
      </c>
      <c r="G1964" t="s">
        <v>184</v>
      </c>
    </row>
    <row r="1965" spans="1:7" x14ac:dyDescent="0.25">
      <c r="A1965" s="10" t="s">
        <v>1842</v>
      </c>
      <c r="B1965" s="10" t="s">
        <v>1968</v>
      </c>
      <c r="C1965" t="str">
        <f>Table13[[#This Row],[Manufacturer]]&amp;" "&amp;Table13[[#This Row],[Model]]</f>
        <v>Snap On QD2R100</v>
      </c>
      <c r="D1965" s="1">
        <v>4</v>
      </c>
      <c r="E1965" s="1">
        <v>6</v>
      </c>
      <c r="F1965" s="38">
        <v>100</v>
      </c>
      <c r="G1965" t="s">
        <v>166</v>
      </c>
    </row>
    <row r="1966" spans="1:7" x14ac:dyDescent="0.25">
      <c r="A1966" s="10" t="s">
        <v>1842</v>
      </c>
      <c r="B1966" s="10" t="s">
        <v>1967</v>
      </c>
      <c r="C1966" t="str">
        <f>Table13[[#This Row],[Manufacturer]]&amp;" "&amp;Table13[[#This Row],[Model]]</f>
        <v>Snap On QD2R1000</v>
      </c>
      <c r="D1966" s="1">
        <v>4</v>
      </c>
      <c r="E1966" s="1">
        <v>6</v>
      </c>
      <c r="F1966" s="38">
        <v>1000</v>
      </c>
      <c r="G1966" t="s">
        <v>164</v>
      </c>
    </row>
    <row r="1967" spans="1:7" x14ac:dyDescent="0.25">
      <c r="A1967" s="10" t="s">
        <v>1842</v>
      </c>
      <c r="B1967" s="10" t="s">
        <v>1966</v>
      </c>
      <c r="C1967" t="str">
        <f>Table13[[#This Row],[Manufacturer]]&amp;" "&amp;Table13[[#This Row],[Model]]</f>
        <v>Snap On QD2R1000A</v>
      </c>
      <c r="D1967" s="1">
        <v>4</v>
      </c>
      <c r="E1967" s="1">
        <v>6</v>
      </c>
      <c r="F1967" s="38">
        <v>1000</v>
      </c>
      <c r="G1967" t="s">
        <v>164</v>
      </c>
    </row>
    <row r="1968" spans="1:7" x14ac:dyDescent="0.25">
      <c r="A1968" s="10" t="s">
        <v>1842</v>
      </c>
      <c r="B1968" s="10" t="s">
        <v>1965</v>
      </c>
      <c r="C1968" t="str">
        <f>Table13[[#This Row],[Manufacturer]]&amp;" "&amp;Table13[[#This Row],[Model]]</f>
        <v>Snap On QD2R100A</v>
      </c>
      <c r="D1968" s="1">
        <v>4</v>
      </c>
      <c r="E1968" s="1">
        <v>6</v>
      </c>
      <c r="F1968" s="38">
        <v>100</v>
      </c>
      <c r="G1968" t="s">
        <v>166</v>
      </c>
    </row>
    <row r="1969" spans="1:7" x14ac:dyDescent="0.25">
      <c r="A1969" s="10" t="s">
        <v>1842</v>
      </c>
      <c r="B1969" s="10" t="s">
        <v>1964</v>
      </c>
      <c r="C1969" t="str">
        <f>Table13[[#This Row],[Manufacturer]]&amp;" "&amp;Table13[[#This Row],[Model]]</f>
        <v>Snap On QD2R200</v>
      </c>
      <c r="D1969" s="1">
        <v>4</v>
      </c>
      <c r="E1969" s="1">
        <v>6</v>
      </c>
      <c r="F1969" s="38">
        <v>200</v>
      </c>
      <c r="G1969" t="s">
        <v>164</v>
      </c>
    </row>
    <row r="1970" spans="1:7" x14ac:dyDescent="0.25">
      <c r="A1970" s="10" t="s">
        <v>1842</v>
      </c>
      <c r="B1970" s="10" t="s">
        <v>1963</v>
      </c>
      <c r="C1970" t="str">
        <f>Table13[[#This Row],[Manufacturer]]&amp;" "&amp;Table13[[#This Row],[Model]]</f>
        <v>Snap On QD2RN100</v>
      </c>
      <c r="D1970" s="1">
        <v>4</v>
      </c>
      <c r="E1970" s="1">
        <v>6</v>
      </c>
      <c r="F1970" s="38">
        <v>100</v>
      </c>
      <c r="G1970" t="s">
        <v>184</v>
      </c>
    </row>
    <row r="1971" spans="1:7" x14ac:dyDescent="0.25">
      <c r="A1971" s="10" t="s">
        <v>1842</v>
      </c>
      <c r="B1971" s="10" t="s">
        <v>1962</v>
      </c>
      <c r="C1971" t="str">
        <f>Table13[[#This Row],[Manufacturer]]&amp;" "&amp;Table13[[#This Row],[Model]]</f>
        <v>Snap On QD2RN25</v>
      </c>
      <c r="D1971" s="1">
        <v>4</v>
      </c>
      <c r="E1971" s="1">
        <v>6</v>
      </c>
      <c r="F1971" s="38">
        <v>250</v>
      </c>
      <c r="G1971" t="s">
        <v>1360</v>
      </c>
    </row>
    <row r="1972" spans="1:7" x14ac:dyDescent="0.25">
      <c r="A1972" s="10" t="s">
        <v>1842</v>
      </c>
      <c r="B1972" s="10" t="s">
        <v>1961</v>
      </c>
      <c r="C1972" t="str">
        <f>Table13[[#This Row],[Manufacturer]]&amp;" "&amp;Table13[[#This Row],[Model]]</f>
        <v>Snap On QD2RN25A</v>
      </c>
      <c r="D1972" s="1">
        <v>4</v>
      </c>
      <c r="E1972" s="1">
        <v>6</v>
      </c>
      <c r="F1972" s="38">
        <v>25</v>
      </c>
      <c r="G1972" t="s">
        <v>184</v>
      </c>
    </row>
    <row r="1973" spans="1:7" x14ac:dyDescent="0.25">
      <c r="A1973" s="10" t="s">
        <v>1842</v>
      </c>
      <c r="B1973" s="10" t="s">
        <v>1960</v>
      </c>
      <c r="C1973" t="str">
        <f>Table13[[#This Row],[Manufacturer]]&amp;" "&amp;Table13[[#This Row],[Model]]</f>
        <v>Snap On QD2RN50</v>
      </c>
      <c r="D1973" s="1">
        <v>4</v>
      </c>
      <c r="E1973" s="1">
        <v>6</v>
      </c>
      <c r="F1973" s="38">
        <v>50</v>
      </c>
      <c r="G1973" t="s">
        <v>184</v>
      </c>
    </row>
    <row r="1974" spans="1:7" x14ac:dyDescent="0.25">
      <c r="A1974" s="10" t="s">
        <v>1842</v>
      </c>
      <c r="B1974" s="10" t="s">
        <v>1959</v>
      </c>
      <c r="C1974" t="str">
        <f>Table13[[#This Row],[Manufacturer]]&amp;" "&amp;Table13[[#This Row],[Model]]</f>
        <v>Snap On QD2RN50A</v>
      </c>
      <c r="D1974" s="1">
        <v>4</v>
      </c>
      <c r="E1974" s="1">
        <v>6</v>
      </c>
      <c r="F1974" s="38">
        <v>50</v>
      </c>
      <c r="G1974" t="s">
        <v>184</v>
      </c>
    </row>
    <row r="1975" spans="1:7" x14ac:dyDescent="0.25">
      <c r="A1975" s="10" t="s">
        <v>1842</v>
      </c>
      <c r="B1975" s="10" t="s">
        <v>1958</v>
      </c>
      <c r="C1975" t="str">
        <f>Table13[[#This Row],[Manufacturer]]&amp;" "&amp;Table13[[#This Row],[Model]]</f>
        <v>Snap On QD3150</v>
      </c>
      <c r="D1975" s="1">
        <v>4</v>
      </c>
      <c r="E1975" s="1">
        <v>6</v>
      </c>
      <c r="F1975" s="38">
        <v>150</v>
      </c>
      <c r="G1975" t="s">
        <v>166</v>
      </c>
    </row>
    <row r="1976" spans="1:7" x14ac:dyDescent="0.25">
      <c r="A1976" s="10" t="s">
        <v>1842</v>
      </c>
      <c r="B1976" s="10" t="s">
        <v>1957</v>
      </c>
      <c r="C1976" t="str">
        <f>Table13[[#This Row],[Manufacturer]]&amp;" "&amp;Table13[[#This Row],[Model]]</f>
        <v>Snap On QD3250</v>
      </c>
      <c r="D1976" s="1">
        <v>4</v>
      </c>
      <c r="E1976" s="1">
        <v>6</v>
      </c>
      <c r="F1976" s="38">
        <v>2500</v>
      </c>
      <c r="G1976" t="s">
        <v>164</v>
      </c>
    </row>
    <row r="1977" spans="1:7" x14ac:dyDescent="0.25">
      <c r="A1977" s="10" t="s">
        <v>1842</v>
      </c>
      <c r="B1977" s="10" t="s">
        <v>1956</v>
      </c>
      <c r="C1977" t="str">
        <f>Table13[[#This Row],[Manufacturer]]&amp;" "&amp;Table13[[#This Row],[Model]]</f>
        <v>Snap On QD3250A</v>
      </c>
      <c r="D1977" s="1">
        <v>4</v>
      </c>
      <c r="E1977" s="1">
        <v>6</v>
      </c>
      <c r="F1977" s="38">
        <v>250</v>
      </c>
      <c r="G1977" t="s">
        <v>166</v>
      </c>
    </row>
    <row r="1978" spans="1:7" x14ac:dyDescent="0.25">
      <c r="A1978" s="10" t="s">
        <v>1842</v>
      </c>
      <c r="B1978" s="10" t="s">
        <v>1955</v>
      </c>
      <c r="C1978" t="str">
        <f>Table13[[#This Row],[Manufacturer]]&amp;" "&amp;Table13[[#This Row],[Model]]</f>
        <v>Snap On QD3IN200</v>
      </c>
      <c r="D1978" s="1">
        <v>4</v>
      </c>
      <c r="E1978" s="1">
        <v>6</v>
      </c>
      <c r="F1978" s="38">
        <v>200</v>
      </c>
      <c r="G1978" t="s">
        <v>184</v>
      </c>
    </row>
    <row r="1979" spans="1:7" x14ac:dyDescent="0.25">
      <c r="A1979" s="10" t="s">
        <v>1842</v>
      </c>
      <c r="B1979" s="10" t="s">
        <v>1954</v>
      </c>
      <c r="C1979" t="str">
        <f>Table13[[#This Row],[Manufacturer]]&amp;" "&amp;Table13[[#This Row],[Model]]</f>
        <v>Snap On QD3IN350</v>
      </c>
      <c r="D1979" s="1">
        <v>4</v>
      </c>
      <c r="E1979" s="1">
        <v>6</v>
      </c>
      <c r="F1979" s="38">
        <v>350</v>
      </c>
      <c r="G1979" t="s">
        <v>184</v>
      </c>
    </row>
    <row r="1980" spans="1:7" x14ac:dyDescent="0.25">
      <c r="A1980" s="10" t="s">
        <v>1842</v>
      </c>
      <c r="B1980" s="10" t="s">
        <v>1953</v>
      </c>
      <c r="C1980" t="str">
        <f>Table13[[#This Row],[Manufacturer]]&amp;" "&amp;Table13[[#This Row],[Model]]</f>
        <v>Snap On QD3R150</v>
      </c>
      <c r="D1980" s="1">
        <v>4</v>
      </c>
      <c r="E1980" s="1">
        <v>6</v>
      </c>
      <c r="F1980" s="38">
        <v>150</v>
      </c>
      <c r="G1980" t="s">
        <v>166</v>
      </c>
    </row>
    <row r="1981" spans="1:7" x14ac:dyDescent="0.25">
      <c r="A1981" s="10" t="s">
        <v>1842</v>
      </c>
      <c r="B1981" s="10" t="s">
        <v>1952</v>
      </c>
      <c r="C1981" t="str">
        <f>Table13[[#This Row],[Manufacturer]]&amp;" "&amp;Table13[[#This Row],[Model]]</f>
        <v>Snap On QD3R150A</v>
      </c>
      <c r="D1981" s="1">
        <v>4</v>
      </c>
      <c r="E1981" s="1">
        <v>6</v>
      </c>
      <c r="F1981" s="38">
        <v>150</v>
      </c>
      <c r="G1981" t="s">
        <v>166</v>
      </c>
    </row>
    <row r="1982" spans="1:7" x14ac:dyDescent="0.25">
      <c r="A1982" s="10" t="s">
        <v>1842</v>
      </c>
      <c r="B1982" s="10" t="s">
        <v>1951</v>
      </c>
      <c r="C1982" t="str">
        <f>Table13[[#This Row],[Manufacturer]]&amp;" "&amp;Table13[[#This Row],[Model]]</f>
        <v>Snap On QD3R1600</v>
      </c>
      <c r="D1982" s="1">
        <v>4</v>
      </c>
      <c r="E1982" s="1">
        <v>6</v>
      </c>
      <c r="F1982" s="38">
        <v>1600</v>
      </c>
      <c r="G1982" t="s">
        <v>164</v>
      </c>
    </row>
    <row r="1983" spans="1:7" x14ac:dyDescent="0.25">
      <c r="A1983" s="10" t="s">
        <v>1842</v>
      </c>
      <c r="B1983" s="10" t="s">
        <v>1950</v>
      </c>
      <c r="C1983" t="str">
        <f>Table13[[#This Row],[Manufacturer]]&amp;" "&amp;Table13[[#This Row],[Model]]</f>
        <v>Snap On QD3R1600A</v>
      </c>
      <c r="D1983" s="1">
        <v>4</v>
      </c>
      <c r="E1983" s="1">
        <v>6</v>
      </c>
      <c r="F1983" s="38">
        <v>1600</v>
      </c>
      <c r="G1983" t="s">
        <v>164</v>
      </c>
    </row>
    <row r="1984" spans="1:7" x14ac:dyDescent="0.25">
      <c r="A1984" s="10" t="s">
        <v>1842</v>
      </c>
      <c r="B1984" s="10" t="s">
        <v>1949</v>
      </c>
      <c r="C1984" t="str">
        <f>Table13[[#This Row],[Manufacturer]]&amp;" "&amp;Table13[[#This Row],[Model]]</f>
        <v>Snap On QD3R250</v>
      </c>
      <c r="D1984" s="1">
        <v>4</v>
      </c>
      <c r="E1984" s="1">
        <v>6</v>
      </c>
      <c r="F1984" s="38">
        <v>250</v>
      </c>
      <c r="G1984" t="s">
        <v>166</v>
      </c>
    </row>
    <row r="1985" spans="1:7" x14ac:dyDescent="0.25">
      <c r="A1985" s="10" t="s">
        <v>1842</v>
      </c>
      <c r="B1985" s="10" t="s">
        <v>1948</v>
      </c>
      <c r="C1985" t="str">
        <f>Table13[[#This Row],[Manufacturer]]&amp;" "&amp;Table13[[#This Row],[Model]]</f>
        <v>Snap On QD3R2500</v>
      </c>
      <c r="D1985" s="1">
        <v>4</v>
      </c>
      <c r="E1985" s="1">
        <v>6</v>
      </c>
      <c r="F1985" s="38">
        <v>2500</v>
      </c>
      <c r="G1985" t="s">
        <v>164</v>
      </c>
    </row>
    <row r="1986" spans="1:7" x14ac:dyDescent="0.25">
      <c r="A1986" s="10" t="s">
        <v>1842</v>
      </c>
      <c r="B1986" s="10" t="s">
        <v>1947</v>
      </c>
      <c r="C1986" t="str">
        <f>Table13[[#This Row],[Manufacturer]]&amp;" "&amp;Table13[[#This Row],[Model]]</f>
        <v>Snap On QD3R250A</v>
      </c>
      <c r="D1986" s="1">
        <v>4</v>
      </c>
      <c r="E1986" s="1">
        <v>6</v>
      </c>
      <c r="F1986" s="38">
        <v>250</v>
      </c>
      <c r="G1986" t="s">
        <v>166</v>
      </c>
    </row>
    <row r="1987" spans="1:7" x14ac:dyDescent="0.25">
      <c r="A1987" s="10" t="s">
        <v>1842</v>
      </c>
      <c r="B1987" s="10" t="s">
        <v>1946</v>
      </c>
      <c r="C1987" t="str">
        <f>Table13[[#This Row],[Manufacturer]]&amp;" "&amp;Table13[[#This Row],[Model]]</f>
        <v>Snap On QD3RN200</v>
      </c>
      <c r="D1987" s="1">
        <v>4</v>
      </c>
      <c r="E1987" s="1">
        <v>6</v>
      </c>
      <c r="F1987" s="38">
        <v>200</v>
      </c>
      <c r="G1987" t="s">
        <v>184</v>
      </c>
    </row>
    <row r="1988" spans="1:7" x14ac:dyDescent="0.25">
      <c r="A1988" s="10" t="s">
        <v>1842</v>
      </c>
      <c r="B1988" s="10" t="s">
        <v>1945</v>
      </c>
      <c r="C1988" t="str">
        <f>Table13[[#This Row],[Manufacturer]]&amp;" "&amp;Table13[[#This Row],[Model]]</f>
        <v>Snap On QD3RN350</v>
      </c>
      <c r="D1988" s="1">
        <v>4</v>
      </c>
      <c r="E1988" s="1">
        <v>6</v>
      </c>
      <c r="F1988" s="38">
        <v>350</v>
      </c>
      <c r="G1988" t="s">
        <v>184</v>
      </c>
    </row>
    <row r="1989" spans="1:7" x14ac:dyDescent="0.25">
      <c r="A1989" s="10" t="s">
        <v>1842</v>
      </c>
      <c r="B1989" s="10" t="s">
        <v>1944</v>
      </c>
      <c r="C1989" t="str">
        <f>Table13[[#This Row],[Manufacturer]]&amp;" "&amp;Table13[[#This Row],[Model]]</f>
        <v>Snap On QD4400</v>
      </c>
      <c r="D1989" s="1">
        <v>4</v>
      </c>
      <c r="E1989" s="1">
        <v>6</v>
      </c>
      <c r="F1989" s="38">
        <v>400</v>
      </c>
      <c r="G1989" t="s">
        <v>166</v>
      </c>
    </row>
    <row r="1990" spans="1:7" x14ac:dyDescent="0.25">
      <c r="A1990" s="10" t="s">
        <v>1842</v>
      </c>
      <c r="B1990" s="10" t="s">
        <v>1943</v>
      </c>
      <c r="C1990" t="str">
        <f>Table13[[#This Row],[Manufacturer]]&amp;" "&amp;Table13[[#This Row],[Model]]</f>
        <v>Snap On QD4400A</v>
      </c>
      <c r="D1990" s="1">
        <v>4</v>
      </c>
      <c r="E1990" s="1">
        <v>6</v>
      </c>
      <c r="F1990" s="38">
        <v>350</v>
      </c>
      <c r="G1990" t="s">
        <v>184</v>
      </c>
    </row>
    <row r="1991" spans="1:7" x14ac:dyDescent="0.25">
      <c r="A1991" s="10" t="s">
        <v>1842</v>
      </c>
      <c r="B1991" s="10" t="s">
        <v>1942</v>
      </c>
      <c r="C1991" t="str">
        <f>Table13[[#This Row],[Manufacturer]]&amp;" "&amp;Table13[[#This Row],[Model]]</f>
        <v>Snap On QD4600</v>
      </c>
      <c r="D1991" s="1">
        <v>4</v>
      </c>
      <c r="E1991" s="1">
        <v>6</v>
      </c>
      <c r="F1991" s="38">
        <v>600</v>
      </c>
      <c r="G1991" t="s">
        <v>166</v>
      </c>
    </row>
    <row r="1992" spans="1:7" x14ac:dyDescent="0.25">
      <c r="A1992" s="10" t="s">
        <v>1842</v>
      </c>
      <c r="B1992" s="10" t="s">
        <v>1941</v>
      </c>
      <c r="C1992" t="str">
        <f>Table13[[#This Row],[Manufacturer]]&amp;" "&amp;Table13[[#This Row],[Model]]</f>
        <v>Snap On QD4600A</v>
      </c>
      <c r="D1992" s="1">
        <v>4</v>
      </c>
      <c r="E1992" s="1">
        <v>6</v>
      </c>
      <c r="F1992" s="38">
        <v>600</v>
      </c>
      <c r="G1992" t="s">
        <v>166</v>
      </c>
    </row>
    <row r="1993" spans="1:7" x14ac:dyDescent="0.25">
      <c r="A1993" s="10" t="s">
        <v>1842</v>
      </c>
      <c r="B1993" s="10" t="s">
        <v>1940</v>
      </c>
      <c r="C1993" t="str">
        <f>Table13[[#This Row],[Manufacturer]]&amp;" "&amp;Table13[[#This Row],[Model]]</f>
        <v>Snap On QD4IN800</v>
      </c>
      <c r="D1993" s="1">
        <v>4</v>
      </c>
      <c r="E1993" s="1">
        <v>6</v>
      </c>
      <c r="F1993" s="38">
        <v>800</v>
      </c>
      <c r="G1993" t="s">
        <v>184</v>
      </c>
    </row>
    <row r="1994" spans="1:7" x14ac:dyDescent="0.25">
      <c r="A1994" s="10" t="s">
        <v>1842</v>
      </c>
      <c r="B1994" s="10" t="s">
        <v>1939</v>
      </c>
      <c r="C1994" t="str">
        <f>Table13[[#This Row],[Manufacturer]]&amp;" "&amp;Table13[[#This Row],[Model]]</f>
        <v>Snap On QD4IN800A</v>
      </c>
      <c r="D1994" s="1">
        <v>4</v>
      </c>
      <c r="E1994" s="1">
        <v>6</v>
      </c>
      <c r="F1994" s="38">
        <v>800</v>
      </c>
      <c r="G1994" t="s">
        <v>184</v>
      </c>
    </row>
    <row r="1995" spans="1:7" x14ac:dyDescent="0.25">
      <c r="A1995" s="10" t="s">
        <v>1842</v>
      </c>
      <c r="B1995" s="10" t="s">
        <v>1938</v>
      </c>
      <c r="C1995" t="str">
        <f>Table13[[#This Row],[Manufacturer]]&amp;" "&amp;Table13[[#This Row],[Model]]</f>
        <v>Snap On QD4R400</v>
      </c>
      <c r="D1995" s="1">
        <v>4</v>
      </c>
      <c r="E1995" s="1">
        <v>6</v>
      </c>
      <c r="F1995" s="38">
        <v>400</v>
      </c>
      <c r="G1995" t="s">
        <v>166</v>
      </c>
    </row>
    <row r="1996" spans="1:7" x14ac:dyDescent="0.25">
      <c r="A1996" s="10" t="s">
        <v>1842</v>
      </c>
      <c r="B1996" s="10" t="s">
        <v>1937</v>
      </c>
      <c r="C1996" t="str">
        <f>Table13[[#This Row],[Manufacturer]]&amp;" "&amp;Table13[[#This Row],[Model]]</f>
        <v>Snap On QD4R600</v>
      </c>
      <c r="D1996" s="1">
        <v>4</v>
      </c>
      <c r="E1996" s="1">
        <v>6</v>
      </c>
      <c r="F1996" s="38">
        <v>600</v>
      </c>
      <c r="G1996" t="s">
        <v>166</v>
      </c>
    </row>
    <row r="1997" spans="1:7" x14ac:dyDescent="0.25">
      <c r="A1997" s="10" t="s">
        <v>1842</v>
      </c>
      <c r="B1997" s="10" t="s">
        <v>1936</v>
      </c>
      <c r="C1997" t="str">
        <f>Table13[[#This Row],[Manufacturer]]&amp;" "&amp;Table13[[#This Row],[Model]]</f>
        <v>Snap On QD4R600A</v>
      </c>
      <c r="D1997" s="1">
        <v>4</v>
      </c>
      <c r="E1997" s="1">
        <v>6</v>
      </c>
      <c r="F1997" s="38">
        <v>600</v>
      </c>
      <c r="G1997" t="s">
        <v>166</v>
      </c>
    </row>
    <row r="1998" spans="1:7" x14ac:dyDescent="0.25">
      <c r="A1998" s="10" t="s">
        <v>1842</v>
      </c>
      <c r="B1998" s="10" t="s">
        <v>1935</v>
      </c>
      <c r="C1998" t="str">
        <f>Table13[[#This Row],[Manufacturer]]&amp;" "&amp;Table13[[#This Row],[Model]]</f>
        <v>Snap On QD4RN550</v>
      </c>
      <c r="D1998" s="1">
        <v>4</v>
      </c>
      <c r="E1998" s="1">
        <v>6</v>
      </c>
      <c r="F1998" s="38">
        <v>550</v>
      </c>
      <c r="G1998" t="s">
        <v>184</v>
      </c>
    </row>
    <row r="1999" spans="1:7" x14ac:dyDescent="0.25">
      <c r="A1999" s="10" t="s">
        <v>1842</v>
      </c>
      <c r="B1999" s="10" t="s">
        <v>1934</v>
      </c>
      <c r="C1999" t="str">
        <f>Table13[[#This Row],[Manufacturer]]&amp;" "&amp;Table13[[#This Row],[Model]]</f>
        <v>Snap On QD4RN800</v>
      </c>
      <c r="D1999" s="1">
        <v>4</v>
      </c>
      <c r="E1999" s="1">
        <v>6</v>
      </c>
      <c r="F1999" s="38">
        <v>800</v>
      </c>
      <c r="G1999" t="s">
        <v>184</v>
      </c>
    </row>
    <row r="2000" spans="1:7" x14ac:dyDescent="0.25">
      <c r="A2000" s="10" t="s">
        <v>1842</v>
      </c>
      <c r="B2000" s="10" t="s">
        <v>1933</v>
      </c>
      <c r="C2000" t="str">
        <f>Table13[[#This Row],[Manufacturer]]&amp;" "&amp;Table13[[#This Row],[Model]]</f>
        <v>Snap On QD4RN800A</v>
      </c>
      <c r="D2000" s="1">
        <v>4</v>
      </c>
      <c r="E2000" s="1">
        <v>6</v>
      </c>
      <c r="F2000" s="38">
        <v>800</v>
      </c>
      <c r="G2000" t="s">
        <v>184</v>
      </c>
    </row>
    <row r="2001" spans="1:7" x14ac:dyDescent="0.25">
      <c r="A2001" s="10" t="s">
        <v>1842</v>
      </c>
      <c r="B2001" s="10" t="s">
        <v>1932</v>
      </c>
      <c r="C2001" t="str">
        <f>Table13[[#This Row],[Manufacturer]]&amp;" "&amp;Table13[[#This Row],[Model]]</f>
        <v>Snap On QD5R1000</v>
      </c>
      <c r="D2001" s="1">
        <v>4</v>
      </c>
      <c r="E2001" s="1">
        <v>6</v>
      </c>
      <c r="F2001" s="38">
        <v>1000</v>
      </c>
      <c r="G2001" t="s">
        <v>166</v>
      </c>
    </row>
    <row r="2002" spans="1:7" x14ac:dyDescent="0.25">
      <c r="A2002" s="10" t="s">
        <v>1842</v>
      </c>
      <c r="B2002" s="10" t="s">
        <v>1931</v>
      </c>
      <c r="C2002" t="str">
        <f>Table13[[#This Row],[Manufacturer]]&amp;" "&amp;Table13[[#This Row],[Model]]</f>
        <v>Snap On QJ117</v>
      </c>
      <c r="D2002" s="1">
        <v>4</v>
      </c>
      <c r="E2002" s="1">
        <v>6</v>
      </c>
      <c r="F2002" s="38">
        <v>200</v>
      </c>
      <c r="G2002" t="s">
        <v>164</v>
      </c>
    </row>
    <row r="2003" spans="1:7" x14ac:dyDescent="0.25">
      <c r="A2003" s="10" t="s">
        <v>1842</v>
      </c>
      <c r="B2003" s="10" t="s">
        <v>1930</v>
      </c>
      <c r="C2003" t="str">
        <f>Table13[[#This Row],[Manufacturer]]&amp;" "&amp;Table13[[#This Row],[Model]]</f>
        <v>Snap On QJ117B</v>
      </c>
      <c r="D2003" s="1">
        <v>4</v>
      </c>
      <c r="E2003" s="1">
        <v>6</v>
      </c>
      <c r="F2003" s="38">
        <v>200</v>
      </c>
      <c r="G2003" t="s">
        <v>164</v>
      </c>
    </row>
    <row r="2004" spans="1:7" x14ac:dyDescent="0.25">
      <c r="A2004" s="10" t="s">
        <v>1842</v>
      </c>
      <c r="B2004" s="10" t="s">
        <v>1929</v>
      </c>
      <c r="C2004" t="str">
        <f>Table13[[#This Row],[Manufacturer]]&amp;" "&amp;Table13[[#This Row],[Model]]</f>
        <v>Snap On QJ117C</v>
      </c>
      <c r="D2004" s="1">
        <v>4</v>
      </c>
      <c r="E2004" s="1">
        <v>6</v>
      </c>
      <c r="F2004" s="38">
        <v>200</v>
      </c>
      <c r="G2004" t="s">
        <v>164</v>
      </c>
    </row>
    <row r="2005" spans="1:7" x14ac:dyDescent="0.25">
      <c r="A2005" s="10" t="s">
        <v>1842</v>
      </c>
      <c r="B2005" s="10" t="s">
        <v>1928</v>
      </c>
      <c r="C2005" t="str">
        <f>Table13[[#This Row],[Manufacturer]]&amp;" "&amp;Table13[[#This Row],[Model]]</f>
        <v>Snap On QJ2100B</v>
      </c>
      <c r="D2005" s="1">
        <v>4</v>
      </c>
      <c r="E2005" s="1">
        <v>6</v>
      </c>
      <c r="F2005" s="38">
        <v>100</v>
      </c>
      <c r="G2005" t="s">
        <v>166</v>
      </c>
    </row>
    <row r="2006" spans="1:7" x14ac:dyDescent="0.25">
      <c r="A2006" s="10" t="s">
        <v>1842</v>
      </c>
      <c r="B2006" s="10" t="s">
        <v>1927</v>
      </c>
      <c r="C2006" t="str">
        <f>Table13[[#This Row],[Manufacturer]]&amp;" "&amp;Table13[[#This Row],[Model]]</f>
        <v>Snap On QJ2100C</v>
      </c>
      <c r="D2006" s="1">
        <v>4</v>
      </c>
      <c r="E2006" s="1">
        <v>6</v>
      </c>
      <c r="F2006" s="38">
        <v>100</v>
      </c>
      <c r="G2006" t="s">
        <v>166</v>
      </c>
    </row>
    <row r="2007" spans="1:7" x14ac:dyDescent="0.25">
      <c r="A2007" s="10" t="s">
        <v>1842</v>
      </c>
      <c r="B2007" s="10" t="s">
        <v>1926</v>
      </c>
      <c r="C2007" t="str">
        <f>Table13[[#This Row],[Manufacturer]]&amp;" "&amp;Table13[[#This Row],[Model]]</f>
        <v>Snap On QJ217B</v>
      </c>
      <c r="D2007" s="1">
        <v>4</v>
      </c>
      <c r="E2007" s="1">
        <v>6</v>
      </c>
      <c r="F2007" s="38">
        <v>200</v>
      </c>
      <c r="G2007" t="s">
        <v>164</v>
      </c>
    </row>
    <row r="2008" spans="1:7" x14ac:dyDescent="0.25">
      <c r="A2008" s="10" t="s">
        <v>1842</v>
      </c>
      <c r="B2008" s="10" t="s">
        <v>1925</v>
      </c>
      <c r="C2008" t="str">
        <f>Table13[[#This Row],[Manufacturer]]&amp;" "&amp;Table13[[#This Row],[Model]]</f>
        <v>Snap On QJ217C</v>
      </c>
      <c r="D2008" s="1">
        <v>4</v>
      </c>
      <c r="E2008" s="1">
        <v>6</v>
      </c>
      <c r="F2008" s="38">
        <v>200</v>
      </c>
      <c r="G2008" t="s">
        <v>164</v>
      </c>
    </row>
    <row r="2009" spans="1:7" x14ac:dyDescent="0.25">
      <c r="A2009" s="10" t="s">
        <v>1842</v>
      </c>
      <c r="B2009" s="10" t="s">
        <v>1924</v>
      </c>
      <c r="C2009" t="str">
        <f>Table13[[#This Row],[Manufacturer]]&amp;" "&amp;Table13[[#This Row],[Model]]</f>
        <v>Snap On QJ284B</v>
      </c>
      <c r="D2009" s="1">
        <v>4</v>
      </c>
      <c r="E2009" s="1">
        <v>6</v>
      </c>
      <c r="F2009" s="38">
        <v>1000</v>
      </c>
      <c r="G2009" t="s">
        <v>164</v>
      </c>
    </row>
    <row r="2010" spans="1:7" x14ac:dyDescent="0.25">
      <c r="A2010" s="10" t="s">
        <v>1842</v>
      </c>
      <c r="B2010" s="10" t="s">
        <v>1923</v>
      </c>
      <c r="C2010" t="str">
        <f>Table13[[#This Row],[Manufacturer]]&amp;" "&amp;Table13[[#This Row],[Model]]</f>
        <v>Snap On QJ284C</v>
      </c>
      <c r="D2010" s="1">
        <v>4</v>
      </c>
      <c r="E2010" s="1">
        <v>6</v>
      </c>
      <c r="F2010" s="38">
        <v>1000</v>
      </c>
      <c r="G2010" t="s">
        <v>164</v>
      </c>
    </row>
    <row r="2011" spans="1:7" x14ac:dyDescent="0.25">
      <c r="A2011" s="10" t="s">
        <v>1842</v>
      </c>
      <c r="B2011" s="10" t="s">
        <v>1922</v>
      </c>
      <c r="C2011" t="str">
        <f>Table13[[#This Row],[Manufacturer]]&amp;" "&amp;Table13[[#This Row],[Model]]</f>
        <v>Snap On QJ3200B</v>
      </c>
      <c r="D2011" s="1">
        <v>4</v>
      </c>
      <c r="E2011" s="1">
        <v>6</v>
      </c>
      <c r="F2011" s="38">
        <v>200</v>
      </c>
      <c r="G2011" t="s">
        <v>166</v>
      </c>
    </row>
    <row r="2012" spans="1:7" x14ac:dyDescent="0.25">
      <c r="A2012" s="10" t="s">
        <v>1842</v>
      </c>
      <c r="B2012" s="10" t="s">
        <v>1921</v>
      </c>
      <c r="C2012" t="str">
        <f>Table13[[#This Row],[Manufacturer]]&amp;" "&amp;Table13[[#This Row],[Model]]</f>
        <v>Snap On QJ3209B</v>
      </c>
      <c r="D2012" s="1">
        <v>4</v>
      </c>
      <c r="E2012" s="1">
        <v>6</v>
      </c>
      <c r="F2012" s="38">
        <v>2500</v>
      </c>
      <c r="G2012" t="s">
        <v>164</v>
      </c>
    </row>
    <row r="2013" spans="1:7" x14ac:dyDescent="0.25">
      <c r="A2013" s="10" t="s">
        <v>1842</v>
      </c>
      <c r="B2013" s="10" t="s">
        <v>1920</v>
      </c>
      <c r="C2013" t="str">
        <f>Table13[[#This Row],[Manufacturer]]&amp;" "&amp;Table13[[#This Row],[Model]]</f>
        <v>Snap On QJ3250</v>
      </c>
      <c r="D2013" s="1">
        <v>4</v>
      </c>
      <c r="E2013" s="1">
        <v>6</v>
      </c>
      <c r="F2013" s="38">
        <v>250</v>
      </c>
      <c r="G2013" t="s">
        <v>166</v>
      </c>
    </row>
    <row r="2014" spans="1:7" x14ac:dyDescent="0.25">
      <c r="A2014" s="10" t="s">
        <v>1842</v>
      </c>
      <c r="B2014" s="10" t="s">
        <v>1919</v>
      </c>
      <c r="C2014" t="str">
        <f>Table13[[#This Row],[Manufacturer]]&amp;" "&amp;Table13[[#This Row],[Model]]</f>
        <v>Snap On QJ3250A</v>
      </c>
      <c r="D2014" s="1">
        <v>4</v>
      </c>
      <c r="E2014" s="1">
        <v>6</v>
      </c>
      <c r="F2014" s="38">
        <v>250</v>
      </c>
      <c r="G2014" t="s">
        <v>166</v>
      </c>
    </row>
    <row r="2015" spans="1:7" x14ac:dyDescent="0.25">
      <c r="A2015" s="10" t="s">
        <v>1842</v>
      </c>
      <c r="B2015" s="10" t="s">
        <v>1918</v>
      </c>
      <c r="C2015" t="str">
        <f>Table13[[#This Row],[Manufacturer]]&amp;" "&amp;Table13[[#This Row],[Model]]</f>
        <v>Snap On QJ4600A</v>
      </c>
      <c r="D2015" s="1">
        <v>4</v>
      </c>
      <c r="E2015" s="1">
        <v>6</v>
      </c>
      <c r="F2015" s="38">
        <v>600</v>
      </c>
      <c r="G2015" t="s">
        <v>166</v>
      </c>
    </row>
    <row r="2016" spans="1:7" x14ac:dyDescent="0.25">
      <c r="A2016" s="10" t="s">
        <v>1842</v>
      </c>
      <c r="B2016" s="10" t="s">
        <v>1917</v>
      </c>
      <c r="C2016" t="str">
        <f>Table13[[#This Row],[Manufacturer]]&amp;" "&amp;Table13[[#This Row],[Model]]</f>
        <v>Snap On QJFR275B</v>
      </c>
      <c r="D2016" s="1">
        <v>4</v>
      </c>
      <c r="E2016" s="1">
        <v>6</v>
      </c>
      <c r="F2016" s="38">
        <v>75</v>
      </c>
      <c r="G2016" t="s">
        <v>166</v>
      </c>
    </row>
    <row r="2017" spans="1:7" x14ac:dyDescent="0.25">
      <c r="A2017" s="10" t="s">
        <v>1842</v>
      </c>
      <c r="B2017" s="10" t="s">
        <v>1916</v>
      </c>
      <c r="C2017" t="str">
        <f>Table13[[#This Row],[Manufacturer]]&amp;" "&amp;Table13[[#This Row],[Model]]</f>
        <v>Snap On QJFR275C</v>
      </c>
      <c r="D2017" s="1">
        <v>4</v>
      </c>
      <c r="E2017" s="1">
        <v>6</v>
      </c>
      <c r="F2017" s="38">
        <v>75</v>
      </c>
      <c r="G2017" t="s">
        <v>166</v>
      </c>
    </row>
    <row r="2018" spans="1:7" x14ac:dyDescent="0.25">
      <c r="A2018" s="10" t="s">
        <v>1842</v>
      </c>
      <c r="B2018" s="10" t="s">
        <v>1915</v>
      </c>
      <c r="C2018" t="str">
        <f>Table13[[#This Row],[Manufacturer]]&amp;" "&amp;Table13[[#This Row],[Model]]</f>
        <v>Snap On QJFR275D</v>
      </c>
      <c r="D2018" s="1">
        <v>4</v>
      </c>
      <c r="E2018" s="1">
        <v>6</v>
      </c>
      <c r="F2018" s="38">
        <v>75</v>
      </c>
      <c r="G2018" t="s">
        <v>166</v>
      </c>
    </row>
    <row r="2019" spans="1:7" x14ac:dyDescent="0.25">
      <c r="A2019" s="10" t="s">
        <v>1842</v>
      </c>
      <c r="B2019" s="10" t="s">
        <v>1914</v>
      </c>
      <c r="C2019" t="str">
        <f>Table13[[#This Row],[Manufacturer]]&amp;" "&amp;Table13[[#This Row],[Model]]</f>
        <v>Snap On QJFR275E</v>
      </c>
      <c r="D2019" s="1">
        <v>4</v>
      </c>
      <c r="E2019" s="1">
        <v>6</v>
      </c>
      <c r="F2019" s="38">
        <v>75</v>
      </c>
      <c r="G2019" t="s">
        <v>166</v>
      </c>
    </row>
    <row r="2020" spans="1:7" x14ac:dyDescent="0.25">
      <c r="A2020" s="10" t="s">
        <v>1842</v>
      </c>
      <c r="B2020" s="10" t="s">
        <v>1913</v>
      </c>
      <c r="C2020" t="str">
        <f>Table13[[#This Row],[Manufacturer]]&amp;" "&amp;Table13[[#This Row],[Model]]</f>
        <v>Snap On QJFR3200</v>
      </c>
      <c r="D2020" s="1">
        <v>4</v>
      </c>
      <c r="E2020" s="1">
        <v>6</v>
      </c>
      <c r="F2020" s="38">
        <v>200</v>
      </c>
      <c r="G2020" t="s">
        <v>166</v>
      </c>
    </row>
    <row r="2021" spans="1:7" x14ac:dyDescent="0.25">
      <c r="A2021" s="10" t="s">
        <v>1842</v>
      </c>
      <c r="B2021" s="10" t="s">
        <v>1912</v>
      </c>
      <c r="C2021" t="str">
        <f>Table13[[#This Row],[Manufacturer]]&amp;" "&amp;Table13[[#This Row],[Model]]</f>
        <v>Snap On QJFR3250</v>
      </c>
      <c r="D2021" s="1">
        <v>4</v>
      </c>
      <c r="E2021" s="1">
        <v>6</v>
      </c>
      <c r="F2021" s="38">
        <v>250</v>
      </c>
      <c r="G2021" t="s">
        <v>166</v>
      </c>
    </row>
    <row r="2022" spans="1:7" x14ac:dyDescent="0.25">
      <c r="A2022" s="10" t="s">
        <v>1842</v>
      </c>
      <c r="B2022" s="10" t="s">
        <v>1911</v>
      </c>
      <c r="C2022" t="str">
        <f>Table13[[#This Row],[Manufacturer]]&amp;" "&amp;Table13[[#This Row],[Model]]</f>
        <v>Snap On QJM12</v>
      </c>
      <c r="D2022" s="1">
        <v>4</v>
      </c>
      <c r="E2022" s="1">
        <v>6</v>
      </c>
      <c r="F2022" s="38">
        <v>200</v>
      </c>
      <c r="G2022" t="s">
        <v>418</v>
      </c>
    </row>
    <row r="2023" spans="1:7" x14ac:dyDescent="0.25">
      <c r="A2023" s="10" t="s">
        <v>1842</v>
      </c>
      <c r="B2023" s="10" t="s">
        <v>1910</v>
      </c>
      <c r="C2023" t="str">
        <f>Table13[[#This Row],[Manufacturer]]&amp;" "&amp;Table13[[#This Row],[Model]]</f>
        <v>Snap On QJM330</v>
      </c>
      <c r="D2023" s="1">
        <v>4</v>
      </c>
      <c r="E2023" s="1">
        <v>6</v>
      </c>
      <c r="F2023" s="38">
        <v>30</v>
      </c>
      <c r="G2023" t="s">
        <v>258</v>
      </c>
    </row>
    <row r="2024" spans="1:7" x14ac:dyDescent="0.25">
      <c r="A2024" s="10" t="s">
        <v>1842</v>
      </c>
      <c r="B2024" s="10" t="s">
        <v>1909</v>
      </c>
      <c r="C2024" t="str">
        <f>Table13[[#This Row],[Manufacturer]]&amp;" "&amp;Table13[[#This Row],[Model]]</f>
        <v>Snap On QJMR12A</v>
      </c>
      <c r="D2024" s="1">
        <v>4</v>
      </c>
      <c r="E2024" s="1">
        <v>6</v>
      </c>
      <c r="F2024" s="38">
        <v>200</v>
      </c>
      <c r="G2024" t="s">
        <v>418</v>
      </c>
    </row>
    <row r="2025" spans="1:7" x14ac:dyDescent="0.25">
      <c r="A2025" s="10" t="s">
        <v>1842</v>
      </c>
      <c r="B2025" s="10" t="s">
        <v>1908</v>
      </c>
      <c r="C2025" t="str">
        <f>Table13[[#This Row],[Manufacturer]]&amp;" "&amp;Table13[[#This Row],[Model]]</f>
        <v>Snap On QJMR12B</v>
      </c>
      <c r="D2025" s="1">
        <v>4</v>
      </c>
      <c r="E2025" s="1">
        <v>6</v>
      </c>
      <c r="F2025" s="38">
        <v>200</v>
      </c>
      <c r="G2025" t="s">
        <v>418</v>
      </c>
    </row>
    <row r="2026" spans="1:7" x14ac:dyDescent="0.25">
      <c r="A2026" s="10" t="s">
        <v>1842</v>
      </c>
      <c r="B2026" s="10" t="s">
        <v>1907</v>
      </c>
      <c r="C2026" t="str">
        <f>Table13[[#This Row],[Manufacturer]]&amp;" "&amp;Table13[[#This Row],[Model]]</f>
        <v>Snap On QJMR12C</v>
      </c>
      <c r="D2026" s="1">
        <v>4</v>
      </c>
      <c r="E2026" s="1">
        <v>6</v>
      </c>
      <c r="F2026" s="38">
        <v>200</v>
      </c>
      <c r="G2026" t="s">
        <v>418</v>
      </c>
    </row>
    <row r="2027" spans="1:7" x14ac:dyDescent="0.25">
      <c r="A2027" s="10" t="s">
        <v>1842</v>
      </c>
      <c r="B2027" s="10" t="s">
        <v>1906</v>
      </c>
      <c r="C2027" t="str">
        <f>Table13[[#This Row],[Manufacturer]]&amp;" "&amp;Table13[[#This Row],[Model]]</f>
        <v>Snap On QJMR210A</v>
      </c>
      <c r="D2027" s="1">
        <v>4</v>
      </c>
      <c r="E2027" s="1">
        <v>6</v>
      </c>
      <c r="F2027" s="38">
        <v>1000</v>
      </c>
      <c r="G2027" t="s">
        <v>418</v>
      </c>
    </row>
    <row r="2028" spans="1:7" x14ac:dyDescent="0.25">
      <c r="A2028" s="10" t="s">
        <v>1842</v>
      </c>
      <c r="B2028" s="10" t="s">
        <v>1905</v>
      </c>
      <c r="C2028" t="str">
        <f>Table13[[#This Row],[Manufacturer]]&amp;" "&amp;Table13[[#This Row],[Model]]</f>
        <v>Snap On QJMR210B</v>
      </c>
      <c r="D2028" s="1">
        <v>4</v>
      </c>
      <c r="E2028" s="1">
        <v>6</v>
      </c>
      <c r="F2028" s="38">
        <v>1000</v>
      </c>
      <c r="G2028" t="s">
        <v>418</v>
      </c>
    </row>
    <row r="2029" spans="1:7" x14ac:dyDescent="0.25">
      <c r="A2029" s="10" t="s">
        <v>1842</v>
      </c>
      <c r="B2029" s="10" t="s">
        <v>1904</v>
      </c>
      <c r="C2029" t="str">
        <f>Table13[[#This Row],[Manufacturer]]&amp;" "&amp;Table13[[#This Row],[Model]]</f>
        <v>Snap On QJMR210C</v>
      </c>
      <c r="D2029" s="1">
        <v>4</v>
      </c>
      <c r="E2029" s="1">
        <v>6</v>
      </c>
      <c r="F2029" s="38">
        <v>1000</v>
      </c>
      <c r="G2029" t="s">
        <v>418</v>
      </c>
    </row>
    <row r="2030" spans="1:7" x14ac:dyDescent="0.25">
      <c r="A2030" s="10" t="s">
        <v>1842</v>
      </c>
      <c r="B2030" s="10" t="s">
        <v>1903</v>
      </c>
      <c r="C2030" t="str">
        <f>Table13[[#This Row],[Manufacturer]]&amp;" "&amp;Table13[[#This Row],[Model]]</f>
        <v>Snap On QJMR210D</v>
      </c>
      <c r="D2030" s="1">
        <v>4</v>
      </c>
      <c r="E2030" s="1">
        <v>6</v>
      </c>
      <c r="F2030" s="38">
        <v>1000</v>
      </c>
      <c r="G2030" t="s">
        <v>418</v>
      </c>
    </row>
    <row r="2031" spans="1:7" x14ac:dyDescent="0.25">
      <c r="A2031" s="10" t="s">
        <v>1842</v>
      </c>
      <c r="B2031" s="10" t="s">
        <v>1902</v>
      </c>
      <c r="C2031" t="str">
        <f>Table13[[#This Row],[Manufacturer]]&amp;" "&amp;Table13[[#This Row],[Model]]</f>
        <v>Snap On QJMR330</v>
      </c>
      <c r="D2031" s="1">
        <v>4</v>
      </c>
      <c r="E2031" s="1">
        <v>6</v>
      </c>
      <c r="F2031" s="38">
        <v>30</v>
      </c>
      <c r="G2031" t="s">
        <v>258</v>
      </c>
    </row>
    <row r="2032" spans="1:7" x14ac:dyDescent="0.25">
      <c r="A2032" s="10" t="s">
        <v>1842</v>
      </c>
      <c r="B2032" s="10" t="s">
        <v>1901</v>
      </c>
      <c r="C2032" t="str">
        <f>Table13[[#This Row],[Manufacturer]]&amp;" "&amp;Table13[[#This Row],[Model]]</f>
        <v>Snap On QJMR330B</v>
      </c>
      <c r="D2032" s="1">
        <v>4</v>
      </c>
      <c r="E2032" s="1">
        <v>6</v>
      </c>
      <c r="F2032" s="38">
        <v>30</v>
      </c>
      <c r="G2032" t="s">
        <v>258</v>
      </c>
    </row>
    <row r="2033" spans="1:7" x14ac:dyDescent="0.25">
      <c r="A2033" s="10" t="s">
        <v>1842</v>
      </c>
      <c r="B2033" s="10" t="s">
        <v>1900</v>
      </c>
      <c r="C2033" t="str">
        <f>Table13[[#This Row],[Manufacturer]]&amp;" "&amp;Table13[[#This Row],[Model]]</f>
        <v>Snap On QJR117</v>
      </c>
      <c r="D2033" s="1">
        <v>4</v>
      </c>
      <c r="E2033" s="1">
        <v>6</v>
      </c>
      <c r="F2033" s="38">
        <v>200</v>
      </c>
      <c r="G2033" t="s">
        <v>164</v>
      </c>
    </row>
    <row r="2034" spans="1:7" x14ac:dyDescent="0.25">
      <c r="A2034" s="10" t="s">
        <v>1842</v>
      </c>
      <c r="B2034" s="10" t="s">
        <v>1899</v>
      </c>
      <c r="C2034" t="str">
        <f>Table13[[#This Row],[Manufacturer]]&amp;" "&amp;Table13[[#This Row],[Model]]</f>
        <v>Snap On QJR117B</v>
      </c>
      <c r="D2034" s="1">
        <v>4</v>
      </c>
      <c r="E2034" s="1">
        <v>6</v>
      </c>
      <c r="F2034" s="38">
        <v>200</v>
      </c>
      <c r="G2034" t="s">
        <v>164</v>
      </c>
    </row>
    <row r="2035" spans="1:7" x14ac:dyDescent="0.25">
      <c r="A2035" s="10" t="s">
        <v>1842</v>
      </c>
      <c r="B2035" s="10" t="s">
        <v>1898</v>
      </c>
      <c r="C2035" t="str">
        <f>Table13[[#This Row],[Manufacturer]]&amp;" "&amp;Table13[[#This Row],[Model]]</f>
        <v>Snap On QJR117C</v>
      </c>
      <c r="D2035" s="1">
        <v>4</v>
      </c>
      <c r="E2035" s="1">
        <v>6</v>
      </c>
      <c r="F2035" s="38">
        <v>200</v>
      </c>
      <c r="G2035" t="s">
        <v>164</v>
      </c>
    </row>
    <row r="2036" spans="1:7" x14ac:dyDescent="0.25">
      <c r="A2036" s="10" t="s">
        <v>1842</v>
      </c>
      <c r="B2036" s="10" t="s">
        <v>1897</v>
      </c>
      <c r="C2036" t="str">
        <f>Table13[[#This Row],[Manufacturer]]&amp;" "&amp;Table13[[#This Row],[Model]]</f>
        <v>Snap On QJR117D</v>
      </c>
      <c r="D2036" s="1">
        <v>4</v>
      </c>
      <c r="E2036" s="1">
        <v>6</v>
      </c>
      <c r="F2036" s="38">
        <v>200</v>
      </c>
      <c r="G2036" t="s">
        <v>164</v>
      </c>
    </row>
    <row r="2037" spans="1:7" x14ac:dyDescent="0.25">
      <c r="A2037" s="10" t="s">
        <v>1842</v>
      </c>
      <c r="B2037" s="10" t="s">
        <v>1896</v>
      </c>
      <c r="C2037" t="str">
        <f>Table13[[#This Row],[Manufacturer]]&amp;" "&amp;Table13[[#This Row],[Model]]</f>
        <v>Snap On QJR117E</v>
      </c>
      <c r="D2037" s="1">
        <v>4</v>
      </c>
      <c r="E2037" s="1">
        <v>6</v>
      </c>
      <c r="F2037" s="38">
        <v>200</v>
      </c>
      <c r="G2037" t="s">
        <v>164</v>
      </c>
    </row>
    <row r="2038" spans="1:7" x14ac:dyDescent="0.25">
      <c r="A2038" s="10" t="s">
        <v>1842</v>
      </c>
      <c r="B2038" s="10" t="s">
        <v>1895</v>
      </c>
      <c r="C2038" t="str">
        <f>Table13[[#This Row],[Manufacturer]]&amp;" "&amp;Table13[[#This Row],[Model]]</f>
        <v>Snap On QJR117F</v>
      </c>
      <c r="D2038" s="1">
        <v>4</v>
      </c>
      <c r="E2038" s="1">
        <v>6</v>
      </c>
      <c r="F2038" s="38">
        <v>200</v>
      </c>
      <c r="G2038" t="s">
        <v>164</v>
      </c>
    </row>
    <row r="2039" spans="1:7" x14ac:dyDescent="0.25">
      <c r="A2039" s="10" t="s">
        <v>1842</v>
      </c>
      <c r="B2039" s="10" t="s">
        <v>1894</v>
      </c>
      <c r="C2039" t="str">
        <f>Table13[[#This Row],[Manufacturer]]&amp;" "&amp;Table13[[#This Row],[Model]]</f>
        <v>Snap On QJR2100B</v>
      </c>
      <c r="D2039" s="1">
        <v>4</v>
      </c>
      <c r="E2039" s="1">
        <v>6</v>
      </c>
      <c r="F2039" s="38">
        <v>100</v>
      </c>
      <c r="G2039" t="s">
        <v>166</v>
      </c>
    </row>
    <row r="2040" spans="1:7" x14ac:dyDescent="0.25">
      <c r="A2040" s="10" t="s">
        <v>1842</v>
      </c>
      <c r="B2040" s="10" t="s">
        <v>1893</v>
      </c>
      <c r="C2040" t="str">
        <f>Table13[[#This Row],[Manufacturer]]&amp;" "&amp;Table13[[#This Row],[Model]]</f>
        <v>Snap On QJR2100C</v>
      </c>
      <c r="D2040" s="1">
        <v>4</v>
      </c>
      <c r="E2040" s="1">
        <v>6</v>
      </c>
      <c r="F2040" s="38">
        <v>100</v>
      </c>
      <c r="G2040" t="s">
        <v>166</v>
      </c>
    </row>
    <row r="2041" spans="1:7" x14ac:dyDescent="0.25">
      <c r="A2041" s="10" t="s">
        <v>1842</v>
      </c>
      <c r="B2041" s="10" t="s">
        <v>1892</v>
      </c>
      <c r="C2041" t="str">
        <f>Table13[[#This Row],[Manufacturer]]&amp;" "&amp;Table13[[#This Row],[Model]]</f>
        <v>Snap On QJR2100D</v>
      </c>
      <c r="D2041" s="1">
        <v>4</v>
      </c>
      <c r="E2041" s="1">
        <v>6</v>
      </c>
      <c r="F2041" s="38">
        <v>100</v>
      </c>
      <c r="G2041" t="s">
        <v>166</v>
      </c>
    </row>
    <row r="2042" spans="1:7" x14ac:dyDescent="0.25">
      <c r="A2042" s="10" t="s">
        <v>1842</v>
      </c>
      <c r="B2042" s="10" t="s">
        <v>1891</v>
      </c>
      <c r="C2042" t="str">
        <f>Table13[[#This Row],[Manufacturer]]&amp;" "&amp;Table13[[#This Row],[Model]]</f>
        <v>Snap On QJR2100E</v>
      </c>
      <c r="D2042" s="1">
        <v>4</v>
      </c>
      <c r="E2042" s="1">
        <v>6</v>
      </c>
      <c r="F2042" s="38">
        <v>100</v>
      </c>
      <c r="G2042" t="s">
        <v>166</v>
      </c>
    </row>
    <row r="2043" spans="1:7" x14ac:dyDescent="0.25">
      <c r="A2043" s="10" t="s">
        <v>1842</v>
      </c>
      <c r="B2043" s="10" t="s">
        <v>1890</v>
      </c>
      <c r="C2043" t="str">
        <f>Table13[[#This Row],[Manufacturer]]&amp;" "&amp;Table13[[#This Row],[Model]]</f>
        <v>Snap On QJR217B</v>
      </c>
      <c r="D2043" s="1">
        <v>4</v>
      </c>
      <c r="E2043" s="1">
        <v>6</v>
      </c>
      <c r="F2043" s="38">
        <v>200</v>
      </c>
      <c r="G2043" t="s">
        <v>164</v>
      </c>
    </row>
    <row r="2044" spans="1:7" x14ac:dyDescent="0.25">
      <c r="A2044" s="10" t="s">
        <v>1842</v>
      </c>
      <c r="B2044" s="10" t="s">
        <v>1889</v>
      </c>
      <c r="C2044" t="str">
        <f>Table13[[#This Row],[Manufacturer]]&amp;" "&amp;Table13[[#This Row],[Model]]</f>
        <v>Snap On QJR217C</v>
      </c>
      <c r="D2044" s="1">
        <v>4</v>
      </c>
      <c r="E2044" s="1">
        <v>6</v>
      </c>
      <c r="F2044" s="38">
        <v>200</v>
      </c>
      <c r="G2044" t="s">
        <v>164</v>
      </c>
    </row>
    <row r="2045" spans="1:7" x14ac:dyDescent="0.25">
      <c r="A2045" s="10" t="s">
        <v>1842</v>
      </c>
      <c r="B2045" s="10" t="s">
        <v>1888</v>
      </c>
      <c r="C2045" t="str">
        <f>Table13[[#This Row],[Manufacturer]]&amp;" "&amp;Table13[[#This Row],[Model]]</f>
        <v>Snap On QJR217D</v>
      </c>
      <c r="D2045" s="1">
        <v>4</v>
      </c>
      <c r="E2045" s="1">
        <v>6</v>
      </c>
      <c r="F2045" s="38">
        <v>200</v>
      </c>
      <c r="G2045" t="s">
        <v>164</v>
      </c>
    </row>
    <row r="2046" spans="1:7" x14ac:dyDescent="0.25">
      <c r="A2046" s="10" t="s">
        <v>1842</v>
      </c>
      <c r="B2046" s="10" t="s">
        <v>1887</v>
      </c>
      <c r="C2046" t="str">
        <f>Table13[[#This Row],[Manufacturer]]&amp;" "&amp;Table13[[#This Row],[Model]]</f>
        <v>Snap On QJR284B</v>
      </c>
      <c r="D2046" s="1">
        <v>4</v>
      </c>
      <c r="E2046" s="1">
        <v>6</v>
      </c>
      <c r="F2046" s="38">
        <v>1000</v>
      </c>
      <c r="G2046" t="s">
        <v>164</v>
      </c>
    </row>
    <row r="2047" spans="1:7" x14ac:dyDescent="0.25">
      <c r="A2047" s="10" t="s">
        <v>1842</v>
      </c>
      <c r="B2047" s="10" t="s">
        <v>1886</v>
      </c>
      <c r="C2047" t="str">
        <f>Table13[[#This Row],[Manufacturer]]&amp;" "&amp;Table13[[#This Row],[Model]]</f>
        <v>Snap On QJR284C</v>
      </c>
      <c r="D2047" s="1">
        <v>4</v>
      </c>
      <c r="E2047" s="1">
        <v>6</v>
      </c>
      <c r="F2047" s="38">
        <v>1000</v>
      </c>
      <c r="G2047" t="s">
        <v>164</v>
      </c>
    </row>
    <row r="2048" spans="1:7" x14ac:dyDescent="0.25">
      <c r="A2048" s="10" t="s">
        <v>1842</v>
      </c>
      <c r="B2048" s="10" t="s">
        <v>1885</v>
      </c>
      <c r="C2048" t="str">
        <f>Table13[[#This Row],[Manufacturer]]&amp;" "&amp;Table13[[#This Row],[Model]]</f>
        <v>Snap On QJR284D</v>
      </c>
      <c r="D2048" s="1">
        <v>4</v>
      </c>
      <c r="E2048" s="1">
        <v>6</v>
      </c>
      <c r="F2048" s="38">
        <v>1000</v>
      </c>
      <c r="G2048" t="s">
        <v>164</v>
      </c>
    </row>
    <row r="2049" spans="1:7" x14ac:dyDescent="0.25">
      <c r="A2049" s="10" t="s">
        <v>1842</v>
      </c>
      <c r="B2049" s="10" t="s">
        <v>1884</v>
      </c>
      <c r="C2049" t="str">
        <f>Table13[[#This Row],[Manufacturer]]&amp;" "&amp;Table13[[#This Row],[Model]]</f>
        <v>Snap On QJR284E</v>
      </c>
      <c r="D2049" s="1">
        <v>4</v>
      </c>
      <c r="E2049" s="1">
        <v>6</v>
      </c>
      <c r="F2049" s="38">
        <v>1000</v>
      </c>
      <c r="G2049" t="s">
        <v>164</v>
      </c>
    </row>
    <row r="2050" spans="1:7" x14ac:dyDescent="0.25">
      <c r="A2050" s="10" t="s">
        <v>1842</v>
      </c>
      <c r="B2050" s="10" t="s">
        <v>1883</v>
      </c>
      <c r="C2050" t="str">
        <f>Table13[[#This Row],[Manufacturer]]&amp;" "&amp;Table13[[#This Row],[Model]]</f>
        <v>Snap On QJR3200B</v>
      </c>
      <c r="D2050" s="1">
        <v>4</v>
      </c>
      <c r="E2050" s="1">
        <v>6</v>
      </c>
      <c r="F2050" s="38">
        <v>200</v>
      </c>
      <c r="G2050" t="s">
        <v>166</v>
      </c>
    </row>
    <row r="2051" spans="1:7" x14ac:dyDescent="0.25">
      <c r="A2051" s="10" t="s">
        <v>1842</v>
      </c>
      <c r="B2051" s="10" t="s">
        <v>1882</v>
      </c>
      <c r="C2051" t="str">
        <f>Table13[[#This Row],[Manufacturer]]&amp;" "&amp;Table13[[#This Row],[Model]]</f>
        <v>Snap On QJR3200C</v>
      </c>
      <c r="D2051" s="1">
        <v>4</v>
      </c>
      <c r="E2051" s="1">
        <v>6</v>
      </c>
      <c r="F2051" s="38">
        <v>200</v>
      </c>
      <c r="G2051" t="s">
        <v>166</v>
      </c>
    </row>
    <row r="2052" spans="1:7" x14ac:dyDescent="0.25">
      <c r="A2052" s="10" t="s">
        <v>1842</v>
      </c>
      <c r="B2052" s="10" t="s">
        <v>1881</v>
      </c>
      <c r="C2052" t="str">
        <f>Table13[[#This Row],[Manufacturer]]&amp;" "&amp;Table13[[#This Row],[Model]]</f>
        <v>Snap On QJR3209B</v>
      </c>
      <c r="D2052" s="1">
        <v>4</v>
      </c>
      <c r="E2052" s="1">
        <v>6</v>
      </c>
      <c r="F2052" s="38">
        <v>2500</v>
      </c>
      <c r="G2052" t="s">
        <v>164</v>
      </c>
    </row>
    <row r="2053" spans="1:7" x14ac:dyDescent="0.25">
      <c r="A2053" s="10" t="s">
        <v>1842</v>
      </c>
      <c r="B2053" s="10" t="s">
        <v>1880</v>
      </c>
      <c r="C2053" t="str">
        <f>Table13[[#This Row],[Manufacturer]]&amp;" "&amp;Table13[[#This Row],[Model]]</f>
        <v>Snap On QJR3250</v>
      </c>
      <c r="D2053" s="1">
        <v>4</v>
      </c>
      <c r="E2053" s="1">
        <v>6</v>
      </c>
      <c r="F2053" s="38">
        <v>250</v>
      </c>
      <c r="G2053" t="s">
        <v>166</v>
      </c>
    </row>
    <row r="2054" spans="1:7" x14ac:dyDescent="0.25">
      <c r="A2054" s="10" t="s">
        <v>1842</v>
      </c>
      <c r="B2054" s="10" t="s">
        <v>1879</v>
      </c>
      <c r="C2054" t="str">
        <f>Table13[[#This Row],[Manufacturer]]&amp;" "&amp;Table13[[#This Row],[Model]]</f>
        <v>Snap On QJR3250A</v>
      </c>
      <c r="D2054" s="1">
        <v>4</v>
      </c>
      <c r="E2054" s="1">
        <v>6</v>
      </c>
      <c r="F2054" s="38">
        <v>250</v>
      </c>
      <c r="G2054" t="s">
        <v>166</v>
      </c>
    </row>
    <row r="2055" spans="1:7" x14ac:dyDescent="0.25">
      <c r="A2055" s="10" t="s">
        <v>1842</v>
      </c>
      <c r="B2055" s="10" t="s">
        <v>1878</v>
      </c>
      <c r="C2055" t="str">
        <f>Table13[[#This Row],[Manufacturer]]&amp;" "&amp;Table13[[#This Row],[Model]]</f>
        <v>Snap On QJR4600A</v>
      </c>
      <c r="D2055" s="1">
        <v>4</v>
      </c>
      <c r="E2055" s="1">
        <v>6</v>
      </c>
      <c r="F2055" s="38">
        <v>600</v>
      </c>
      <c r="G2055" t="s">
        <v>166</v>
      </c>
    </row>
    <row r="2056" spans="1:7" x14ac:dyDescent="0.25">
      <c r="A2056" s="10" t="s">
        <v>1842</v>
      </c>
      <c r="B2056" s="10" t="s">
        <v>1877</v>
      </c>
      <c r="C2056" t="str">
        <f>Table13[[#This Row],[Manufacturer]]&amp;" "&amp;Table13[[#This Row],[Model]]</f>
        <v>Snap On QJR4600B</v>
      </c>
      <c r="D2056" s="1">
        <v>4</v>
      </c>
      <c r="E2056" s="1">
        <v>6</v>
      </c>
      <c r="F2056" s="38">
        <v>600</v>
      </c>
      <c r="G2056" t="s">
        <v>166</v>
      </c>
    </row>
    <row r="2057" spans="1:7" x14ac:dyDescent="0.25">
      <c r="A2057" s="10" t="s">
        <v>1842</v>
      </c>
      <c r="B2057" s="10" t="s">
        <v>1876</v>
      </c>
      <c r="C2057" t="str">
        <f>Table13[[#This Row],[Manufacturer]]&amp;" "&amp;Table13[[#This Row],[Model]]</f>
        <v>Snap On QJRM250</v>
      </c>
      <c r="D2057" s="1">
        <v>4</v>
      </c>
      <c r="E2057" s="1">
        <v>6</v>
      </c>
      <c r="F2057" s="38">
        <v>250</v>
      </c>
      <c r="G2057" t="s">
        <v>184</v>
      </c>
    </row>
    <row r="2058" spans="1:7" x14ac:dyDescent="0.25">
      <c r="A2058" s="10" t="s">
        <v>1842</v>
      </c>
      <c r="B2058" s="10" t="s">
        <v>1875</v>
      </c>
      <c r="C2058" t="str">
        <f>Table13[[#This Row],[Manufacturer]]&amp;" "&amp;Table13[[#This Row],[Model]]</f>
        <v>Snap On QJRM250A</v>
      </c>
      <c r="D2058" s="1">
        <v>4</v>
      </c>
      <c r="E2058" s="1">
        <v>6</v>
      </c>
      <c r="F2058" s="38">
        <v>250</v>
      </c>
      <c r="G2058" t="s">
        <v>184</v>
      </c>
    </row>
    <row r="2059" spans="1:7" x14ac:dyDescent="0.25">
      <c r="A2059" s="10" t="s">
        <v>1842</v>
      </c>
      <c r="B2059" s="10" t="s">
        <v>1874</v>
      </c>
      <c r="C2059" t="str">
        <f>Table13[[#This Row],[Manufacturer]]&amp;" "&amp;Table13[[#This Row],[Model]]</f>
        <v>Snap On QJRM65</v>
      </c>
      <c r="D2059" s="1">
        <v>4</v>
      </c>
      <c r="E2059" s="1">
        <v>6</v>
      </c>
      <c r="F2059" s="38">
        <v>65</v>
      </c>
      <c r="G2059" t="s">
        <v>184</v>
      </c>
    </row>
    <row r="2060" spans="1:7" x14ac:dyDescent="0.25">
      <c r="A2060" s="10" t="s">
        <v>1842</v>
      </c>
      <c r="B2060" s="10" t="s">
        <v>1873</v>
      </c>
      <c r="C2060" t="str">
        <f>Table13[[#This Row],[Manufacturer]]&amp;" "&amp;Table13[[#This Row],[Model]]</f>
        <v>Snap On QJRM65A</v>
      </c>
      <c r="D2060" s="1">
        <v>4</v>
      </c>
      <c r="E2060" s="1">
        <v>6</v>
      </c>
      <c r="F2060" s="38">
        <v>65</v>
      </c>
      <c r="G2060" t="s">
        <v>184</v>
      </c>
    </row>
    <row r="2061" spans="1:7" x14ac:dyDescent="0.25">
      <c r="A2061" s="10" t="s">
        <v>1842</v>
      </c>
      <c r="B2061" s="10" t="s">
        <v>1872</v>
      </c>
      <c r="C2061" t="str">
        <f>Table13[[#This Row],[Manufacturer]]&amp;" "&amp;Table13[[#This Row],[Model]]</f>
        <v>Snap On QJRM65B</v>
      </c>
      <c r="D2061" s="1">
        <v>4</v>
      </c>
      <c r="E2061" s="1">
        <v>6</v>
      </c>
      <c r="F2061" s="38">
        <v>65</v>
      </c>
      <c r="G2061" t="s">
        <v>184</v>
      </c>
    </row>
    <row r="2062" spans="1:7" x14ac:dyDescent="0.25">
      <c r="A2062" s="10" t="s">
        <v>1842</v>
      </c>
      <c r="B2062" s="10" t="s">
        <v>1871</v>
      </c>
      <c r="C2062" t="str">
        <f>Table13[[#This Row],[Manufacturer]]&amp;" "&amp;Table13[[#This Row],[Model]]</f>
        <v>Snap On QJRM65C</v>
      </c>
      <c r="D2062" s="1">
        <v>4</v>
      </c>
      <c r="E2062" s="1">
        <v>6</v>
      </c>
      <c r="F2062" s="38">
        <v>65</v>
      </c>
      <c r="G2062" t="s">
        <v>184</v>
      </c>
    </row>
    <row r="2063" spans="1:7" x14ac:dyDescent="0.25">
      <c r="A2063" s="10" t="s">
        <v>1842</v>
      </c>
      <c r="B2063" s="10" t="s">
        <v>1870</v>
      </c>
      <c r="C2063" t="str">
        <f>Table13[[#This Row],[Manufacturer]]&amp;" "&amp;Table13[[#This Row],[Model]]</f>
        <v>Snap On QP2100B</v>
      </c>
      <c r="D2063" s="1">
        <v>4</v>
      </c>
      <c r="E2063" s="1">
        <v>6</v>
      </c>
      <c r="F2063" s="38">
        <v>250</v>
      </c>
      <c r="G2063" t="s">
        <v>166</v>
      </c>
    </row>
    <row r="2064" spans="1:7" x14ac:dyDescent="0.25">
      <c r="A2064" s="10" t="s">
        <v>1842</v>
      </c>
      <c r="B2064" s="10" t="s">
        <v>1869</v>
      </c>
      <c r="C2064" t="str">
        <f>Table13[[#This Row],[Manufacturer]]&amp;" "&amp;Table13[[#This Row],[Model]]</f>
        <v>Snap On QT1R200</v>
      </c>
      <c r="D2064" s="1">
        <v>4</v>
      </c>
      <c r="E2064" s="1">
        <v>6</v>
      </c>
      <c r="F2064" s="38">
        <v>200</v>
      </c>
      <c r="G2064" t="s">
        <v>164</v>
      </c>
    </row>
    <row r="2065" spans="1:7" x14ac:dyDescent="0.25">
      <c r="A2065" s="10" t="s">
        <v>1842</v>
      </c>
      <c r="B2065" s="10" t="s">
        <v>1868</v>
      </c>
      <c r="C2065" t="str">
        <f>Table13[[#This Row],[Manufacturer]]&amp;" "&amp;Table13[[#This Row],[Model]]</f>
        <v>Snap On QT1R50</v>
      </c>
      <c r="D2065" s="1">
        <v>4</v>
      </c>
      <c r="E2065" s="1">
        <v>6</v>
      </c>
      <c r="F2065" s="38">
        <v>50</v>
      </c>
      <c r="G2065" t="s">
        <v>164</v>
      </c>
    </row>
    <row r="2066" spans="1:7" x14ac:dyDescent="0.25">
      <c r="A2066" s="10" t="s">
        <v>1842</v>
      </c>
      <c r="B2066" s="10" t="s">
        <v>1867</v>
      </c>
      <c r="C2066" t="str">
        <f>Table13[[#This Row],[Manufacturer]]&amp;" "&amp;Table13[[#This Row],[Model]]</f>
        <v>Snap On QT2FR100</v>
      </c>
      <c r="D2066" s="1">
        <v>4</v>
      </c>
      <c r="E2066" s="1">
        <v>6</v>
      </c>
      <c r="F2066" s="38">
        <v>100</v>
      </c>
      <c r="G2066" t="s">
        <v>164</v>
      </c>
    </row>
    <row r="2067" spans="1:7" x14ac:dyDescent="0.25">
      <c r="A2067" s="10" t="s">
        <v>1842</v>
      </c>
      <c r="B2067" s="10" t="s">
        <v>1866</v>
      </c>
      <c r="C2067" t="str">
        <f>Table13[[#This Row],[Manufacturer]]&amp;" "&amp;Table13[[#This Row],[Model]]</f>
        <v>Snap On QT2R100</v>
      </c>
      <c r="D2067" s="1">
        <v>4</v>
      </c>
      <c r="E2067" s="1">
        <v>6</v>
      </c>
      <c r="F2067" s="38">
        <v>100</v>
      </c>
      <c r="G2067" t="s">
        <v>164</v>
      </c>
    </row>
    <row r="2068" spans="1:7" x14ac:dyDescent="0.25">
      <c r="A2068" s="10" t="s">
        <v>1842</v>
      </c>
      <c r="B2068" s="10" t="s">
        <v>1865</v>
      </c>
      <c r="C2068" t="str">
        <f>Table13[[#This Row],[Manufacturer]]&amp;" "&amp;Table13[[#This Row],[Model]]</f>
        <v>Snap On QT2R1000</v>
      </c>
      <c r="D2068" s="1">
        <v>4</v>
      </c>
      <c r="E2068" s="1">
        <v>6</v>
      </c>
      <c r="F2068" s="38">
        <v>1000</v>
      </c>
      <c r="G2068" t="s">
        <v>164</v>
      </c>
    </row>
    <row r="2069" spans="1:7" x14ac:dyDescent="0.25">
      <c r="A2069" s="10" t="s">
        <v>1842</v>
      </c>
      <c r="B2069" s="10" t="s">
        <v>1864</v>
      </c>
      <c r="C2069" t="str">
        <f>Table13[[#This Row],[Manufacturer]]&amp;" "&amp;Table13[[#This Row],[Model]]</f>
        <v>Snap On QT3R250</v>
      </c>
      <c r="D2069" s="1">
        <v>4</v>
      </c>
      <c r="E2069" s="1">
        <v>6</v>
      </c>
      <c r="F2069" s="38">
        <v>250</v>
      </c>
      <c r="G2069" t="s">
        <v>166</v>
      </c>
    </row>
    <row r="2070" spans="1:7" x14ac:dyDescent="0.25">
      <c r="A2070" s="10" t="s">
        <v>1842</v>
      </c>
      <c r="B2070" s="10" t="s">
        <v>1863</v>
      </c>
      <c r="C2070" t="str">
        <f>Table13[[#This Row],[Manufacturer]]&amp;" "&amp;Table13[[#This Row],[Model]]</f>
        <v>Snap On QT3R2500</v>
      </c>
      <c r="D2070" s="1">
        <v>4</v>
      </c>
      <c r="E2070" s="1">
        <v>6</v>
      </c>
      <c r="F2070" s="38">
        <v>2500</v>
      </c>
      <c r="G2070" t="s">
        <v>164</v>
      </c>
    </row>
    <row r="2071" spans="1:7" x14ac:dyDescent="0.25">
      <c r="A2071" s="10" t="s">
        <v>1842</v>
      </c>
      <c r="B2071" s="10" t="s">
        <v>1862</v>
      </c>
      <c r="C2071" t="str">
        <f>Table13[[#This Row],[Manufacturer]]&amp;" "&amp;Table13[[#This Row],[Model]]</f>
        <v>Snap On TQF250</v>
      </c>
      <c r="D2071" s="1">
        <v>4</v>
      </c>
      <c r="E2071" s="1" t="s">
        <v>169</v>
      </c>
      <c r="F2071" s="38">
        <v>250</v>
      </c>
      <c r="G2071" t="s">
        <v>166</v>
      </c>
    </row>
    <row r="2072" spans="1:7" x14ac:dyDescent="0.25">
      <c r="A2072" s="10" t="s">
        <v>1842</v>
      </c>
      <c r="B2072" s="10" t="s">
        <v>1861</v>
      </c>
      <c r="C2072" t="str">
        <f>Table13[[#This Row],[Manufacturer]]&amp;" "&amp;Table13[[#This Row],[Model]]</f>
        <v>Snap On TQF250C</v>
      </c>
      <c r="D2072" s="1">
        <v>4</v>
      </c>
      <c r="E2072" s="1" t="s">
        <v>169</v>
      </c>
      <c r="F2072" s="38">
        <v>250</v>
      </c>
      <c r="G2072" t="s">
        <v>166</v>
      </c>
    </row>
    <row r="2073" spans="1:7" x14ac:dyDescent="0.25">
      <c r="A2073" s="10" t="s">
        <v>1842</v>
      </c>
      <c r="B2073" s="10" t="s">
        <v>1860</v>
      </c>
      <c r="C2073" t="str">
        <f>Table13[[#This Row],[Manufacturer]]&amp;" "&amp;Table13[[#This Row],[Model]]</f>
        <v>Snap On TQFM34</v>
      </c>
      <c r="D2073" s="1">
        <v>4</v>
      </c>
      <c r="E2073" s="1" t="s">
        <v>169</v>
      </c>
      <c r="F2073" s="38">
        <v>34</v>
      </c>
      <c r="G2073" t="s">
        <v>258</v>
      </c>
    </row>
    <row r="2074" spans="1:7" x14ac:dyDescent="0.25">
      <c r="A2074" s="10" t="s">
        <v>1842</v>
      </c>
      <c r="B2074" s="10" t="s">
        <v>1859</v>
      </c>
      <c r="C2074" t="str">
        <f>Table13[[#This Row],[Manufacturer]]&amp;" "&amp;Table13[[#This Row],[Model]]</f>
        <v>Snap On TQFR100A</v>
      </c>
      <c r="D2074" s="1">
        <v>4</v>
      </c>
      <c r="E2074" s="1" t="s">
        <v>169</v>
      </c>
      <c r="F2074" s="38">
        <v>100</v>
      </c>
      <c r="G2074" t="s">
        <v>166</v>
      </c>
    </row>
    <row r="2075" spans="1:7" x14ac:dyDescent="0.25">
      <c r="A2075" s="10" t="s">
        <v>1842</v>
      </c>
      <c r="B2075" s="10" t="s">
        <v>1858</v>
      </c>
      <c r="C2075" t="str">
        <f>Table13[[#This Row],[Manufacturer]]&amp;" "&amp;Table13[[#This Row],[Model]]</f>
        <v>Snap On TQFR250</v>
      </c>
      <c r="D2075" s="1">
        <v>4</v>
      </c>
      <c r="E2075" s="1" t="s">
        <v>169</v>
      </c>
      <c r="F2075" s="38">
        <v>250</v>
      </c>
      <c r="G2075" t="s">
        <v>166</v>
      </c>
    </row>
    <row r="2076" spans="1:7" x14ac:dyDescent="0.25">
      <c r="A2076" s="10" t="s">
        <v>1842</v>
      </c>
      <c r="B2076" s="10" t="s">
        <v>1857</v>
      </c>
      <c r="C2076" t="str">
        <f>Table13[[#This Row],[Manufacturer]]&amp;" "&amp;Table13[[#This Row],[Model]]</f>
        <v>Snap On TQFR50A</v>
      </c>
      <c r="D2076" s="1">
        <v>4</v>
      </c>
      <c r="E2076" s="1" t="s">
        <v>169</v>
      </c>
      <c r="F2076" s="38">
        <v>600</v>
      </c>
      <c r="G2076" t="s">
        <v>164</v>
      </c>
    </row>
    <row r="2077" spans="1:7" x14ac:dyDescent="0.25">
      <c r="A2077" s="10" t="s">
        <v>1842</v>
      </c>
      <c r="B2077" s="10" t="s">
        <v>1856</v>
      </c>
      <c r="C2077" t="str">
        <f>Table13[[#This Row],[Manufacturer]]&amp;" "&amp;Table13[[#This Row],[Model]]</f>
        <v>Snap On TQFR50C</v>
      </c>
      <c r="D2077" s="1">
        <v>4</v>
      </c>
      <c r="E2077" s="1" t="s">
        <v>169</v>
      </c>
      <c r="F2077" s="38">
        <v>600</v>
      </c>
      <c r="G2077" t="s">
        <v>164</v>
      </c>
    </row>
    <row r="2078" spans="1:7" x14ac:dyDescent="0.25">
      <c r="A2078" s="10" t="s">
        <v>1842</v>
      </c>
      <c r="B2078" s="10" t="s">
        <v>1855</v>
      </c>
      <c r="C2078" t="str">
        <f>Table13[[#This Row],[Manufacturer]]&amp;" "&amp;Table13[[#This Row],[Model]]</f>
        <v>Snap On TQFRM14A</v>
      </c>
      <c r="D2078" s="1">
        <v>4</v>
      </c>
      <c r="E2078" s="1" t="s">
        <v>169</v>
      </c>
      <c r="F2078" s="38">
        <v>14</v>
      </c>
      <c r="G2078" t="s">
        <v>258</v>
      </c>
    </row>
    <row r="2079" spans="1:7" x14ac:dyDescent="0.25">
      <c r="A2079" s="10" t="s">
        <v>1842</v>
      </c>
      <c r="B2079" s="10" t="s">
        <v>1854</v>
      </c>
      <c r="C2079" t="str">
        <f>Table13[[#This Row],[Manufacturer]]&amp;" "&amp;Table13[[#This Row],[Model]]</f>
        <v>Snap On TQFRM34C</v>
      </c>
      <c r="D2079" s="1">
        <v>4</v>
      </c>
      <c r="E2079" s="1" t="s">
        <v>169</v>
      </c>
      <c r="F2079" s="38">
        <v>34</v>
      </c>
      <c r="G2079" t="s">
        <v>258</v>
      </c>
    </row>
    <row r="2080" spans="1:7" x14ac:dyDescent="0.25">
      <c r="A2080" s="10" t="s">
        <v>1842</v>
      </c>
      <c r="B2080" s="10" t="s">
        <v>1853</v>
      </c>
      <c r="C2080" t="str">
        <f>Table13[[#This Row],[Manufacturer]]&amp;" "&amp;Table13[[#This Row],[Model]]</f>
        <v>Snap On TQFRN130</v>
      </c>
      <c r="D2080" s="1">
        <v>4</v>
      </c>
      <c r="E2080" s="1" t="s">
        <v>169</v>
      </c>
      <c r="F2080" s="38">
        <v>130</v>
      </c>
      <c r="G2080" t="s">
        <v>184</v>
      </c>
    </row>
    <row r="2081" spans="1:7" x14ac:dyDescent="0.25">
      <c r="A2081" s="10" t="s">
        <v>1842</v>
      </c>
      <c r="B2081" s="10" t="s">
        <v>1852</v>
      </c>
      <c r="C2081" t="str">
        <f>Table13[[#This Row],[Manufacturer]]&amp;" "&amp;Table13[[#This Row],[Model]]</f>
        <v>Snap On TQFRN350C</v>
      </c>
      <c r="D2081" s="1">
        <v>4</v>
      </c>
      <c r="E2081" s="1" t="s">
        <v>169</v>
      </c>
      <c r="F2081" s="38">
        <v>350</v>
      </c>
      <c r="G2081" t="s">
        <v>184</v>
      </c>
    </row>
    <row r="2082" spans="1:7" x14ac:dyDescent="0.25">
      <c r="A2082" s="10" t="s">
        <v>1842</v>
      </c>
      <c r="B2082" s="10" t="s">
        <v>1851</v>
      </c>
      <c r="C2082" t="str">
        <f>Table13[[#This Row],[Manufacturer]]&amp;" "&amp;Table13[[#This Row],[Model]]</f>
        <v>Snap On TQFRN600B</v>
      </c>
      <c r="D2082" s="1">
        <v>4</v>
      </c>
      <c r="E2082" s="1" t="s">
        <v>169</v>
      </c>
      <c r="F2082" s="38">
        <v>600</v>
      </c>
      <c r="G2082" t="s">
        <v>166</v>
      </c>
    </row>
    <row r="2083" spans="1:7" x14ac:dyDescent="0.25">
      <c r="A2083" s="10" t="s">
        <v>1842</v>
      </c>
      <c r="B2083" s="10" t="s">
        <v>1850</v>
      </c>
      <c r="C2083" t="str">
        <f>Table13[[#This Row],[Manufacturer]]&amp;" "&amp;Table13[[#This Row],[Model]]</f>
        <v>Snap On TQFRN68</v>
      </c>
      <c r="D2083" s="1">
        <v>4</v>
      </c>
      <c r="E2083" s="1" t="s">
        <v>169</v>
      </c>
      <c r="F2083" s="38">
        <v>68</v>
      </c>
      <c r="G2083" t="s">
        <v>184</v>
      </c>
    </row>
    <row r="2084" spans="1:7" x14ac:dyDescent="0.25">
      <c r="A2084" s="10" t="s">
        <v>1842</v>
      </c>
      <c r="B2084" s="10" t="s">
        <v>1849</v>
      </c>
      <c r="C2084" t="str">
        <f>Table13[[#This Row],[Manufacturer]]&amp;" "&amp;Table13[[#This Row],[Model]]</f>
        <v>Snap On TQR100A</v>
      </c>
      <c r="D2084" s="1">
        <v>4</v>
      </c>
      <c r="E2084" s="1" t="s">
        <v>169</v>
      </c>
      <c r="F2084" s="38">
        <v>100</v>
      </c>
      <c r="G2084" t="s">
        <v>166</v>
      </c>
    </row>
    <row r="2085" spans="1:7" x14ac:dyDescent="0.25">
      <c r="A2085" s="10" t="s">
        <v>1842</v>
      </c>
      <c r="B2085" s="10" t="s">
        <v>1848</v>
      </c>
      <c r="C2085" t="str">
        <f>Table13[[#This Row],[Manufacturer]]&amp;" "&amp;Table13[[#This Row],[Model]]</f>
        <v>Snap On TQR250A</v>
      </c>
      <c r="D2085" s="1">
        <v>4</v>
      </c>
      <c r="E2085" s="1" t="s">
        <v>169</v>
      </c>
      <c r="F2085" s="38">
        <v>250</v>
      </c>
      <c r="G2085" t="s">
        <v>166</v>
      </c>
    </row>
    <row r="2086" spans="1:7" x14ac:dyDescent="0.25">
      <c r="A2086" s="10" t="s">
        <v>1842</v>
      </c>
      <c r="B2086" s="10" t="s">
        <v>1847</v>
      </c>
      <c r="C2086" t="str">
        <f>Table13[[#This Row],[Manufacturer]]&amp;" "&amp;Table13[[#This Row],[Model]]</f>
        <v>Snap On TQR250C</v>
      </c>
      <c r="D2086" s="1">
        <v>4</v>
      </c>
      <c r="E2086" s="1" t="s">
        <v>169</v>
      </c>
      <c r="F2086" s="38">
        <v>250</v>
      </c>
      <c r="G2086" t="s">
        <v>166</v>
      </c>
    </row>
    <row r="2087" spans="1:7" x14ac:dyDescent="0.25">
      <c r="A2087" s="10" t="s">
        <v>1842</v>
      </c>
      <c r="B2087" s="10" t="s">
        <v>1846</v>
      </c>
      <c r="C2087" t="str">
        <f>Table13[[#This Row],[Manufacturer]]&amp;" "&amp;Table13[[#This Row],[Model]]</f>
        <v>Snap On TQR400</v>
      </c>
      <c r="D2087" s="1">
        <v>4</v>
      </c>
      <c r="E2087" s="1" t="s">
        <v>169</v>
      </c>
      <c r="F2087" s="38">
        <v>400</v>
      </c>
      <c r="G2087" t="s">
        <v>166</v>
      </c>
    </row>
    <row r="2088" spans="1:7" x14ac:dyDescent="0.25">
      <c r="A2088" s="10" t="s">
        <v>1842</v>
      </c>
      <c r="B2088" s="10" t="s">
        <v>1845</v>
      </c>
      <c r="C2088" t="str">
        <f>Table13[[#This Row],[Manufacturer]]&amp;" "&amp;Table13[[#This Row],[Model]]</f>
        <v>Snap On TQR600B</v>
      </c>
      <c r="D2088" s="1">
        <v>4</v>
      </c>
      <c r="E2088" s="1" t="s">
        <v>169</v>
      </c>
      <c r="F2088" s="38">
        <v>600</v>
      </c>
      <c r="G2088" t="s">
        <v>166</v>
      </c>
    </row>
    <row r="2089" spans="1:7" x14ac:dyDescent="0.25">
      <c r="A2089" s="10" t="s">
        <v>1842</v>
      </c>
      <c r="B2089" s="10" t="s">
        <v>1844</v>
      </c>
      <c r="C2089" t="str">
        <f>Table13[[#This Row],[Manufacturer]]&amp;" "&amp;Table13[[#This Row],[Model]]</f>
        <v>Snap On TQR600C</v>
      </c>
      <c r="D2089" s="1">
        <v>4</v>
      </c>
      <c r="E2089" s="1" t="s">
        <v>169</v>
      </c>
      <c r="F2089" s="38">
        <v>600</v>
      </c>
      <c r="G2089" t="s">
        <v>166</v>
      </c>
    </row>
    <row r="2090" spans="1:7" x14ac:dyDescent="0.25">
      <c r="A2090" s="10" t="s">
        <v>1842</v>
      </c>
      <c r="B2090" s="10" t="s">
        <v>1843</v>
      </c>
      <c r="C2090" t="str">
        <f>Table13[[#This Row],[Manufacturer]]&amp;" "&amp;Table13[[#This Row],[Model]]</f>
        <v>Snap On TQR600E</v>
      </c>
      <c r="D2090" s="1">
        <v>4</v>
      </c>
      <c r="E2090" s="1" t="s">
        <v>169</v>
      </c>
      <c r="F2090" s="38">
        <v>600</v>
      </c>
      <c r="G2090" t="s">
        <v>166</v>
      </c>
    </row>
    <row r="2091" spans="1:7" x14ac:dyDescent="0.25">
      <c r="A2091" s="10" t="s">
        <v>1842</v>
      </c>
      <c r="B2091" s="10" t="s">
        <v>1841</v>
      </c>
      <c r="C2091" t="str">
        <f>Table13[[#This Row],[Manufacturer]]&amp;" "&amp;Table13[[#This Row],[Model]]</f>
        <v>Snap On TQRM80B</v>
      </c>
      <c r="D2091" s="1">
        <v>4</v>
      </c>
      <c r="E2091" s="1" t="s">
        <v>169</v>
      </c>
      <c r="F2091" s="38">
        <v>80</v>
      </c>
      <c r="G2091" t="s">
        <v>258</v>
      </c>
    </row>
    <row r="2092" spans="1:7" x14ac:dyDescent="0.25">
      <c r="A2092" s="10" t="s">
        <v>1466</v>
      </c>
      <c r="B2092" s="10" t="s">
        <v>1840</v>
      </c>
      <c r="C2092" t="str">
        <f>Table13[[#This Row],[Manufacturer]]&amp;" "&amp;Table13[[#This Row],[Model]]</f>
        <v>Snap-on ED1050</v>
      </c>
      <c r="D2092" s="1">
        <v>1</v>
      </c>
      <c r="E2092" s="1">
        <v>1</v>
      </c>
      <c r="F2092" s="38">
        <v>50</v>
      </c>
      <c r="G2092" t="s">
        <v>164</v>
      </c>
    </row>
    <row r="2093" spans="1:7" x14ac:dyDescent="0.25">
      <c r="A2093" s="10" t="s">
        <v>1466</v>
      </c>
      <c r="B2093" s="10" t="s">
        <v>1839</v>
      </c>
      <c r="C2093" t="str">
        <f>Table13[[#This Row],[Manufacturer]]&amp;" "&amp;Table13[[#This Row],[Model]]</f>
        <v>Snap-on ED2250</v>
      </c>
      <c r="D2093" s="1">
        <v>1</v>
      </c>
      <c r="E2093" s="1">
        <v>1</v>
      </c>
      <c r="F2093" s="38">
        <v>150</v>
      </c>
      <c r="G2093" t="s">
        <v>164</v>
      </c>
    </row>
    <row r="2094" spans="1:7" x14ac:dyDescent="0.25">
      <c r="A2094" s="10" t="s">
        <v>1466</v>
      </c>
      <c r="B2094" s="10" t="s">
        <v>1838</v>
      </c>
      <c r="C2094" t="str">
        <f>Table13[[#This Row],[Manufacturer]]&amp;" "&amp;Table13[[#This Row],[Model]]</f>
        <v>Snap-on ED2600</v>
      </c>
      <c r="D2094" s="1">
        <v>1</v>
      </c>
      <c r="E2094" s="1">
        <v>1</v>
      </c>
      <c r="F2094" s="38">
        <v>50</v>
      </c>
      <c r="G2094" t="s">
        <v>166</v>
      </c>
    </row>
    <row r="2095" spans="1:7" x14ac:dyDescent="0.25">
      <c r="A2095" s="10" t="s">
        <v>1466</v>
      </c>
      <c r="B2095" s="10" t="s">
        <v>1837</v>
      </c>
      <c r="C2095" t="str">
        <f>Table13[[#This Row],[Manufacturer]]&amp;" "&amp;Table13[[#This Row],[Model]]</f>
        <v>Snap-on GTE100</v>
      </c>
      <c r="D2095" s="1">
        <v>2</v>
      </c>
      <c r="E2095" s="1">
        <v>2</v>
      </c>
      <c r="F2095" s="38">
        <v>100</v>
      </c>
      <c r="G2095" t="s">
        <v>166</v>
      </c>
    </row>
    <row r="2096" spans="1:7" x14ac:dyDescent="0.25">
      <c r="A2096" s="10" t="s">
        <v>1466</v>
      </c>
      <c r="B2096" s="10" t="s">
        <v>1836</v>
      </c>
      <c r="C2096" t="str">
        <f>Table13[[#This Row],[Manufacturer]]&amp;" "&amp;Table13[[#This Row],[Model]]</f>
        <v>Snap-on GTE12A</v>
      </c>
      <c r="D2096" s="1">
        <v>2</v>
      </c>
      <c r="E2096" s="1">
        <v>2</v>
      </c>
      <c r="F2096" s="38">
        <v>150</v>
      </c>
      <c r="G2096" t="s">
        <v>164</v>
      </c>
    </row>
    <row r="2097" spans="1:7" x14ac:dyDescent="0.25">
      <c r="A2097" s="10" t="s">
        <v>1466</v>
      </c>
      <c r="B2097" s="10" t="s">
        <v>1835</v>
      </c>
      <c r="C2097" t="str">
        <f>Table13[[#This Row],[Manufacturer]]&amp;" "&amp;Table13[[#This Row],[Model]]</f>
        <v>Snap-on GTE175</v>
      </c>
      <c r="D2097" s="1">
        <v>2</v>
      </c>
      <c r="E2097" s="1">
        <v>2</v>
      </c>
      <c r="F2097" s="38">
        <v>175</v>
      </c>
      <c r="G2097" t="s">
        <v>166</v>
      </c>
    </row>
    <row r="2098" spans="1:7" x14ac:dyDescent="0.25">
      <c r="A2098" s="10" t="s">
        <v>1466</v>
      </c>
      <c r="B2098" s="10" t="s">
        <v>1834</v>
      </c>
      <c r="C2098" t="str">
        <f>Table13[[#This Row],[Manufacturer]]&amp;" "&amp;Table13[[#This Row],[Model]]</f>
        <v>Snap-on GTE250</v>
      </c>
      <c r="D2098" s="1">
        <v>2</v>
      </c>
      <c r="E2098" s="1">
        <v>2</v>
      </c>
      <c r="F2098" s="38">
        <v>250</v>
      </c>
      <c r="G2098" t="s">
        <v>166</v>
      </c>
    </row>
    <row r="2099" spans="1:7" x14ac:dyDescent="0.25">
      <c r="A2099" s="10" t="s">
        <v>1466</v>
      </c>
      <c r="B2099" s="10" t="s">
        <v>1833</v>
      </c>
      <c r="C2099" t="str">
        <f>Table13[[#This Row],[Manufacturer]]&amp;" "&amp;Table13[[#This Row],[Model]]</f>
        <v>Snap-on GTE3A</v>
      </c>
      <c r="D2099" s="1">
        <v>2</v>
      </c>
      <c r="E2099" s="1">
        <v>2</v>
      </c>
      <c r="F2099" s="38">
        <v>30</v>
      </c>
      <c r="G2099" t="s">
        <v>164</v>
      </c>
    </row>
    <row r="2100" spans="1:7" x14ac:dyDescent="0.25">
      <c r="A2100" s="10" t="s">
        <v>1466</v>
      </c>
      <c r="B2100" s="10" t="s">
        <v>1832</v>
      </c>
      <c r="C2100" t="str">
        <f>Table13[[#This Row],[Manufacturer]]&amp;" "&amp;Table13[[#This Row],[Model]]</f>
        <v>Snap-on GTE50A</v>
      </c>
      <c r="D2100" s="1">
        <v>2</v>
      </c>
      <c r="E2100" s="1">
        <v>2</v>
      </c>
      <c r="F2100" s="38">
        <v>600</v>
      </c>
      <c r="G2100" t="s">
        <v>164</v>
      </c>
    </row>
    <row r="2101" spans="1:7" x14ac:dyDescent="0.25">
      <c r="A2101" s="10" t="s">
        <v>1466</v>
      </c>
      <c r="B2101" s="10" t="s">
        <v>1831</v>
      </c>
      <c r="C2101" t="str">
        <f>Table13[[#This Row],[Manufacturer]]&amp;" "&amp;Table13[[#This Row],[Model]]</f>
        <v>Snap-on GTE50FA</v>
      </c>
      <c r="D2101" s="1">
        <v>2</v>
      </c>
      <c r="E2101" s="1">
        <v>2</v>
      </c>
      <c r="F2101" s="38">
        <v>50</v>
      </c>
      <c r="G2101" t="s">
        <v>166</v>
      </c>
    </row>
    <row r="2102" spans="1:7" x14ac:dyDescent="0.25">
      <c r="A2102" s="10" t="s">
        <v>1466</v>
      </c>
      <c r="B2102" s="10" t="s">
        <v>1830</v>
      </c>
      <c r="C2102" t="str">
        <f>Table13[[#This Row],[Manufacturer]]&amp;" "&amp;Table13[[#This Row],[Model]]</f>
        <v>Snap-on GTE602</v>
      </c>
      <c r="D2102" s="1">
        <v>2</v>
      </c>
      <c r="E2102" s="1">
        <v>2</v>
      </c>
      <c r="F2102" s="38">
        <v>600</v>
      </c>
      <c r="G2102" t="s">
        <v>166</v>
      </c>
    </row>
    <row r="2103" spans="1:7" x14ac:dyDescent="0.25">
      <c r="A2103" s="10" t="s">
        <v>1466</v>
      </c>
      <c r="B2103" s="10" t="s">
        <v>1829</v>
      </c>
      <c r="C2103" t="str">
        <f>Table13[[#This Row],[Manufacturer]]&amp;" "&amp;Table13[[#This Row],[Model]]</f>
        <v>Snap-on PMR100</v>
      </c>
      <c r="D2103" s="1">
        <v>2</v>
      </c>
      <c r="E2103" s="1">
        <v>3</v>
      </c>
      <c r="F2103" s="38">
        <v>135</v>
      </c>
      <c r="G2103" t="s">
        <v>184</v>
      </c>
    </row>
    <row r="2104" spans="1:7" x14ac:dyDescent="0.25">
      <c r="A2104" s="10" t="s">
        <v>1466</v>
      </c>
      <c r="B2104" s="10" t="s">
        <v>1828</v>
      </c>
      <c r="C2104" t="str">
        <f>Table13[[#This Row],[Manufacturer]]&amp;" "&amp;Table13[[#This Row],[Model]]</f>
        <v>Snap-on PMR50</v>
      </c>
      <c r="D2104" s="1">
        <v>2</v>
      </c>
      <c r="E2104" s="1">
        <v>3</v>
      </c>
      <c r="F2104" s="38">
        <v>27</v>
      </c>
      <c r="G2104" t="s">
        <v>184</v>
      </c>
    </row>
    <row r="2105" spans="1:7" x14ac:dyDescent="0.25">
      <c r="A2105" s="10" t="s">
        <v>1466</v>
      </c>
      <c r="B2105" s="10" t="s">
        <v>1827</v>
      </c>
      <c r="C2105" t="str">
        <f>Table13[[#This Row],[Manufacturer]]&amp;" "&amp;Table13[[#This Row],[Model]]</f>
        <v>Snap-on QCE115A</v>
      </c>
      <c r="D2105" s="1">
        <v>1</v>
      </c>
      <c r="E2105" s="1">
        <v>1</v>
      </c>
      <c r="F2105" s="38">
        <v>50</v>
      </c>
      <c r="G2105" t="s">
        <v>164</v>
      </c>
    </row>
    <row r="2106" spans="1:7" x14ac:dyDescent="0.25">
      <c r="A2106" s="10" t="s">
        <v>1466</v>
      </c>
      <c r="B2106" s="10" t="s">
        <v>1826</v>
      </c>
      <c r="C2106" t="str">
        <f>Table13[[#This Row],[Manufacturer]]&amp;" "&amp;Table13[[#This Row],[Model]]</f>
        <v>Snap-on QCE215A</v>
      </c>
      <c r="D2106" s="1">
        <v>1</v>
      </c>
      <c r="E2106" s="1">
        <v>1</v>
      </c>
      <c r="F2106" s="38">
        <v>250</v>
      </c>
      <c r="G2106" t="s">
        <v>164</v>
      </c>
    </row>
    <row r="2107" spans="1:7" x14ac:dyDescent="0.25">
      <c r="A2107" s="10" t="s">
        <v>1466</v>
      </c>
      <c r="B2107" s="10" t="s">
        <v>1825</v>
      </c>
      <c r="C2107" t="str">
        <f>Table13[[#This Row],[Manufacturer]]&amp;" "&amp;Table13[[#This Row],[Model]]</f>
        <v>Snap-on QCE225A</v>
      </c>
      <c r="D2107" s="1">
        <v>1</v>
      </c>
      <c r="E2107" s="1">
        <v>1</v>
      </c>
      <c r="F2107" s="38">
        <v>50</v>
      </c>
      <c r="G2107" t="s">
        <v>166</v>
      </c>
    </row>
    <row r="2108" spans="1:7" x14ac:dyDescent="0.25">
      <c r="A2108" s="10" t="s">
        <v>1466</v>
      </c>
      <c r="B2108" s="10" t="s">
        <v>1824</v>
      </c>
      <c r="C2108" t="str">
        <f>Table13[[#This Row],[Manufacturer]]&amp;" "&amp;Table13[[#This Row],[Model]]</f>
        <v>Snap-on QCE325A</v>
      </c>
      <c r="D2108" s="1">
        <v>1</v>
      </c>
      <c r="E2108" s="1">
        <v>1</v>
      </c>
      <c r="F2108" s="38">
        <v>250</v>
      </c>
      <c r="G2108" t="s">
        <v>166</v>
      </c>
    </row>
    <row r="2109" spans="1:7" x14ac:dyDescent="0.25">
      <c r="A2109" s="10" t="s">
        <v>1466</v>
      </c>
      <c r="B2109" s="10" t="s">
        <v>1823</v>
      </c>
      <c r="C2109" t="str">
        <f>Table13[[#This Row],[Manufacturer]]&amp;" "&amp;Table13[[#This Row],[Model]]</f>
        <v>Snap-on QCE425A</v>
      </c>
      <c r="D2109" s="1">
        <v>1</v>
      </c>
      <c r="E2109" s="1">
        <v>1</v>
      </c>
      <c r="F2109" s="38">
        <v>600</v>
      </c>
      <c r="G2109" t="s">
        <v>166</v>
      </c>
    </row>
    <row r="2110" spans="1:7" x14ac:dyDescent="0.25">
      <c r="A2110" s="10" t="s">
        <v>1466</v>
      </c>
      <c r="B2110" s="10" t="s">
        <v>1822</v>
      </c>
      <c r="C2110" t="str">
        <f>Table13[[#This Row],[Manufacturer]]&amp;" "&amp;Table13[[#This Row],[Model]]</f>
        <v>Snap-on TE100</v>
      </c>
      <c r="D2110" s="1">
        <v>2</v>
      </c>
      <c r="E2110" s="1">
        <v>2</v>
      </c>
      <c r="F2110" s="38">
        <v>100</v>
      </c>
      <c r="G2110" t="s">
        <v>166</v>
      </c>
    </row>
    <row r="2111" spans="1:7" x14ac:dyDescent="0.25">
      <c r="A2111" s="10" t="s">
        <v>1466</v>
      </c>
      <c r="B2111" s="10" t="s">
        <v>1821</v>
      </c>
      <c r="C2111" t="str">
        <f>Table13[[#This Row],[Manufacturer]]&amp;" "&amp;Table13[[#This Row],[Model]]</f>
        <v>Snap-on TE1003</v>
      </c>
      <c r="D2111" s="1">
        <v>2</v>
      </c>
      <c r="E2111" s="1">
        <v>2</v>
      </c>
      <c r="F2111" s="38">
        <v>1000</v>
      </c>
      <c r="G2111" t="s">
        <v>166</v>
      </c>
    </row>
    <row r="2112" spans="1:7" x14ac:dyDescent="0.25">
      <c r="A2112" s="10" t="s">
        <v>1466</v>
      </c>
      <c r="B2112" s="10" t="s">
        <v>1820</v>
      </c>
      <c r="C2112" t="str">
        <f>Table13[[#This Row],[Manufacturer]]&amp;" "&amp;Table13[[#This Row],[Model]]</f>
        <v>Snap-on TE1003FU</v>
      </c>
      <c r="D2112" s="1">
        <v>2</v>
      </c>
      <c r="E2112" s="1">
        <v>2</v>
      </c>
      <c r="F2112" s="38">
        <v>1000</v>
      </c>
      <c r="G2112" t="s">
        <v>166</v>
      </c>
    </row>
    <row r="2113" spans="1:7" x14ac:dyDescent="0.25">
      <c r="A2113" s="10" t="s">
        <v>1466</v>
      </c>
      <c r="B2113" s="10" t="s">
        <v>1819</v>
      </c>
      <c r="C2113" t="str">
        <f>Table13[[#This Row],[Manufacturer]]&amp;" "&amp;Table13[[#This Row],[Model]]</f>
        <v>Snap-on TE1003FUE</v>
      </c>
      <c r="D2113" s="1">
        <v>2</v>
      </c>
      <c r="E2113" s="1">
        <v>2</v>
      </c>
      <c r="F2113" s="38">
        <v>1000</v>
      </c>
      <c r="G2113" t="s">
        <v>166</v>
      </c>
    </row>
    <row r="2114" spans="1:7" x14ac:dyDescent="0.25">
      <c r="A2114" s="10" t="s">
        <v>1466</v>
      </c>
      <c r="B2114" s="10" t="s">
        <v>1818</v>
      </c>
      <c r="C2114" t="str">
        <f>Table13[[#This Row],[Manufacturer]]&amp;" "&amp;Table13[[#This Row],[Model]]</f>
        <v>Snap-on TE1003L</v>
      </c>
      <c r="D2114" s="1">
        <v>2</v>
      </c>
      <c r="E2114" s="1">
        <v>2</v>
      </c>
      <c r="F2114" s="38">
        <v>1000</v>
      </c>
      <c r="G2114" t="s">
        <v>166</v>
      </c>
    </row>
    <row r="2115" spans="1:7" x14ac:dyDescent="0.25">
      <c r="A2115" s="10" t="s">
        <v>1466</v>
      </c>
      <c r="B2115" s="10" t="s">
        <v>1817</v>
      </c>
      <c r="C2115" t="str">
        <f>Table13[[#This Row],[Manufacturer]]&amp;" "&amp;Table13[[#This Row],[Model]]</f>
        <v>Snap-on TE1003LE</v>
      </c>
      <c r="D2115" s="1">
        <v>2</v>
      </c>
      <c r="E2115" s="1">
        <v>2</v>
      </c>
      <c r="F2115" s="38">
        <v>1000</v>
      </c>
      <c r="G2115" t="s">
        <v>166</v>
      </c>
    </row>
    <row r="2116" spans="1:7" x14ac:dyDescent="0.25">
      <c r="A2116" s="10" t="s">
        <v>1466</v>
      </c>
      <c r="B2116" s="10" t="s">
        <v>1816</v>
      </c>
      <c r="C2116" t="str">
        <f>Table13[[#This Row],[Manufacturer]]&amp;" "&amp;Table13[[#This Row],[Model]]</f>
        <v>Snap-on TE100FU</v>
      </c>
      <c r="D2116" s="1">
        <v>2</v>
      </c>
      <c r="E2116" s="1">
        <v>2</v>
      </c>
      <c r="F2116" s="38">
        <v>100</v>
      </c>
      <c r="G2116" t="s">
        <v>166</v>
      </c>
    </row>
    <row r="2117" spans="1:7" x14ac:dyDescent="0.25">
      <c r="A2117" s="10" t="s">
        <v>1466</v>
      </c>
      <c r="B2117" s="10" t="s">
        <v>1815</v>
      </c>
      <c r="C2117" t="str">
        <f>Table13[[#This Row],[Manufacturer]]&amp;" "&amp;Table13[[#This Row],[Model]]</f>
        <v>Snap-on TE100FUE</v>
      </c>
      <c r="D2117" s="1">
        <v>2</v>
      </c>
      <c r="E2117" s="1">
        <v>2</v>
      </c>
      <c r="F2117" s="38">
        <v>100</v>
      </c>
      <c r="G2117" t="s">
        <v>166</v>
      </c>
    </row>
    <row r="2118" spans="1:7" x14ac:dyDescent="0.25">
      <c r="A2118" s="10" t="s">
        <v>1466</v>
      </c>
      <c r="B2118" s="10" t="s">
        <v>1814</v>
      </c>
      <c r="C2118" t="str">
        <f>Table13[[#This Row],[Manufacturer]]&amp;" "&amp;Table13[[#This Row],[Model]]</f>
        <v>Snap-on TE100L</v>
      </c>
      <c r="D2118" s="1">
        <v>2</v>
      </c>
      <c r="E2118" s="1">
        <v>2</v>
      </c>
      <c r="F2118" s="38">
        <v>100</v>
      </c>
      <c r="G2118" t="s">
        <v>166</v>
      </c>
    </row>
    <row r="2119" spans="1:7" x14ac:dyDescent="0.25">
      <c r="A2119" s="10" t="s">
        <v>1466</v>
      </c>
      <c r="B2119" s="10" t="s">
        <v>1813</v>
      </c>
      <c r="C2119" t="str">
        <f>Table13[[#This Row],[Manufacturer]]&amp;" "&amp;Table13[[#This Row],[Model]]</f>
        <v>Snap-on TE12A</v>
      </c>
      <c r="D2119" s="1">
        <v>2</v>
      </c>
      <c r="E2119" s="1">
        <v>2</v>
      </c>
      <c r="F2119" s="38">
        <v>150</v>
      </c>
      <c r="G2119" t="s">
        <v>164</v>
      </c>
    </row>
    <row r="2120" spans="1:7" x14ac:dyDescent="0.25">
      <c r="A2120" s="10" t="s">
        <v>1466</v>
      </c>
      <c r="B2120" s="10" t="s">
        <v>1812</v>
      </c>
      <c r="C2120" t="str">
        <f>Table13[[#This Row],[Manufacturer]]&amp;" "&amp;Table13[[#This Row],[Model]]</f>
        <v>Snap-on TE12FA</v>
      </c>
      <c r="D2120" s="1">
        <v>2</v>
      </c>
      <c r="E2120" s="1">
        <v>2</v>
      </c>
      <c r="F2120" s="38">
        <v>12</v>
      </c>
      <c r="G2120" t="s">
        <v>166</v>
      </c>
    </row>
    <row r="2121" spans="1:7" x14ac:dyDescent="0.25">
      <c r="A2121" s="10" t="s">
        <v>1466</v>
      </c>
      <c r="B2121" s="10" t="s">
        <v>1811</v>
      </c>
      <c r="C2121" t="str">
        <f>Table13[[#This Row],[Manufacturer]]&amp;" "&amp;Table13[[#This Row],[Model]]</f>
        <v>Snap-on TE12FFUA</v>
      </c>
      <c r="D2121" s="1">
        <v>2</v>
      </c>
      <c r="E2121" s="1">
        <v>2</v>
      </c>
      <c r="F2121" s="38">
        <v>12</v>
      </c>
      <c r="G2121" t="s">
        <v>166</v>
      </c>
    </row>
    <row r="2122" spans="1:7" x14ac:dyDescent="0.25">
      <c r="A2122" s="10" t="s">
        <v>1466</v>
      </c>
      <c r="B2122" s="10" t="s">
        <v>1810</v>
      </c>
      <c r="C2122" t="str">
        <f>Table13[[#This Row],[Manufacturer]]&amp;" "&amp;Table13[[#This Row],[Model]]</f>
        <v>Snap-on TE12FLA</v>
      </c>
      <c r="D2122" s="1">
        <v>2</v>
      </c>
      <c r="E2122" s="1">
        <v>2</v>
      </c>
      <c r="F2122" s="38">
        <v>12</v>
      </c>
      <c r="G2122" t="s">
        <v>166</v>
      </c>
    </row>
    <row r="2123" spans="1:7" x14ac:dyDescent="0.25">
      <c r="A2123" s="10" t="s">
        <v>1466</v>
      </c>
      <c r="B2123" s="10" t="s">
        <v>1809</v>
      </c>
      <c r="C2123" t="str">
        <f>Table13[[#This Row],[Manufacturer]]&amp;" "&amp;Table13[[#This Row],[Model]]</f>
        <v>Snap-on TE12FUA</v>
      </c>
      <c r="D2123" s="1">
        <v>2</v>
      </c>
      <c r="E2123" s="1">
        <v>2</v>
      </c>
      <c r="F2123" s="38">
        <v>150</v>
      </c>
      <c r="G2123" t="s">
        <v>164</v>
      </c>
    </row>
    <row r="2124" spans="1:7" x14ac:dyDescent="0.25">
      <c r="A2124" s="10" t="s">
        <v>1466</v>
      </c>
      <c r="B2124" s="10" t="s">
        <v>1808</v>
      </c>
      <c r="C2124" t="str">
        <f>Table13[[#This Row],[Manufacturer]]&amp;" "&amp;Table13[[#This Row],[Model]]</f>
        <v>Snap-on TE12FUE</v>
      </c>
      <c r="D2124" s="1">
        <v>2</v>
      </c>
      <c r="E2124" s="1">
        <v>2</v>
      </c>
      <c r="F2124" s="38">
        <v>150</v>
      </c>
      <c r="G2124" t="s">
        <v>164</v>
      </c>
    </row>
    <row r="2125" spans="1:7" x14ac:dyDescent="0.25">
      <c r="A2125" s="10" t="s">
        <v>1466</v>
      </c>
      <c r="B2125" s="10" t="s">
        <v>1807</v>
      </c>
      <c r="C2125" t="str">
        <f>Table13[[#This Row],[Manufacturer]]&amp;" "&amp;Table13[[#This Row],[Model]]</f>
        <v>Snap-on TE12LA</v>
      </c>
      <c r="D2125" s="1">
        <v>2</v>
      </c>
      <c r="E2125" s="1">
        <v>2</v>
      </c>
      <c r="F2125" s="38">
        <v>150</v>
      </c>
      <c r="G2125" t="s">
        <v>164</v>
      </c>
    </row>
    <row r="2126" spans="1:7" x14ac:dyDescent="0.25">
      <c r="A2126" s="10" t="s">
        <v>1466</v>
      </c>
      <c r="B2126" s="10" t="s">
        <v>1806</v>
      </c>
      <c r="C2126" t="str">
        <f>Table13[[#This Row],[Manufacturer]]&amp;" "&amp;Table13[[#This Row],[Model]]</f>
        <v>Snap-on TE1503</v>
      </c>
      <c r="D2126" s="1">
        <v>2</v>
      </c>
      <c r="E2126" s="1">
        <v>2</v>
      </c>
      <c r="F2126" s="38">
        <v>1500</v>
      </c>
      <c r="G2126" t="s">
        <v>166</v>
      </c>
    </row>
    <row r="2127" spans="1:7" x14ac:dyDescent="0.25">
      <c r="A2127" s="10" t="s">
        <v>1466</v>
      </c>
      <c r="B2127" s="10" t="s">
        <v>1805</v>
      </c>
      <c r="C2127" t="str">
        <f>Table13[[#This Row],[Manufacturer]]&amp;" "&amp;Table13[[#This Row],[Model]]</f>
        <v>Snap-on TE1503FU</v>
      </c>
      <c r="D2127" s="1">
        <v>2</v>
      </c>
      <c r="E2127" s="1">
        <v>2</v>
      </c>
      <c r="F2127" s="38">
        <v>1500</v>
      </c>
      <c r="G2127" t="s">
        <v>166</v>
      </c>
    </row>
    <row r="2128" spans="1:7" x14ac:dyDescent="0.25">
      <c r="A2128" s="10" t="s">
        <v>1466</v>
      </c>
      <c r="B2128" s="10" t="s">
        <v>1804</v>
      </c>
      <c r="C2128" t="str">
        <f>Table13[[#This Row],[Manufacturer]]&amp;" "&amp;Table13[[#This Row],[Model]]</f>
        <v>Snap-on TE1503L</v>
      </c>
      <c r="D2128" s="1">
        <v>2</v>
      </c>
      <c r="E2128" s="1">
        <v>2</v>
      </c>
      <c r="F2128" s="38">
        <v>1500</v>
      </c>
      <c r="G2128" t="s">
        <v>166</v>
      </c>
    </row>
    <row r="2129" spans="1:7" x14ac:dyDescent="0.25">
      <c r="A2129" s="10" t="s">
        <v>1466</v>
      </c>
      <c r="B2129" s="10" t="s">
        <v>1803</v>
      </c>
      <c r="C2129" t="str">
        <f>Table13[[#This Row],[Manufacturer]]&amp;" "&amp;Table13[[#This Row],[Model]]</f>
        <v>Snap-on TE175</v>
      </c>
      <c r="D2129" s="1">
        <v>2</v>
      </c>
      <c r="E2129" s="1">
        <v>2</v>
      </c>
      <c r="F2129" s="38">
        <v>175</v>
      </c>
      <c r="G2129" t="s">
        <v>166</v>
      </c>
    </row>
    <row r="2130" spans="1:7" x14ac:dyDescent="0.25">
      <c r="A2130" s="10" t="s">
        <v>1466</v>
      </c>
      <c r="B2130" s="10" t="s">
        <v>1802</v>
      </c>
      <c r="C2130" t="str">
        <f>Table13[[#This Row],[Manufacturer]]&amp;" "&amp;Table13[[#This Row],[Model]]</f>
        <v>Snap-on TE175FU</v>
      </c>
      <c r="D2130" s="1">
        <v>2</v>
      </c>
      <c r="E2130" s="1">
        <v>2</v>
      </c>
      <c r="F2130" s="38">
        <v>175</v>
      </c>
      <c r="G2130" t="s">
        <v>166</v>
      </c>
    </row>
    <row r="2131" spans="1:7" x14ac:dyDescent="0.25">
      <c r="A2131" s="10" t="s">
        <v>1466</v>
      </c>
      <c r="B2131" s="10" t="s">
        <v>1801</v>
      </c>
      <c r="C2131" t="str">
        <f>Table13[[#This Row],[Manufacturer]]&amp;" "&amp;Table13[[#This Row],[Model]]</f>
        <v>Snap-on TE175FUE</v>
      </c>
      <c r="D2131" s="1">
        <v>2</v>
      </c>
      <c r="E2131" s="1">
        <v>2</v>
      </c>
      <c r="F2131" s="38">
        <v>175</v>
      </c>
      <c r="G2131" t="s">
        <v>166</v>
      </c>
    </row>
    <row r="2132" spans="1:7" x14ac:dyDescent="0.25">
      <c r="A2132" s="10" t="s">
        <v>1466</v>
      </c>
      <c r="B2132" s="10" t="s">
        <v>1800</v>
      </c>
      <c r="C2132" t="str">
        <f>Table13[[#This Row],[Manufacturer]]&amp;" "&amp;Table13[[#This Row],[Model]]</f>
        <v>Snap-on TE175L</v>
      </c>
      <c r="D2132" s="1">
        <v>2</v>
      </c>
      <c r="E2132" s="1">
        <v>2</v>
      </c>
      <c r="F2132" s="38">
        <v>175</v>
      </c>
      <c r="G2132" t="s">
        <v>166</v>
      </c>
    </row>
    <row r="2133" spans="1:7" x14ac:dyDescent="0.25">
      <c r="A2133" s="10" t="s">
        <v>1466</v>
      </c>
      <c r="B2133" s="10" t="s">
        <v>1799</v>
      </c>
      <c r="C2133" t="str">
        <f>Table13[[#This Row],[Manufacturer]]&amp;" "&amp;Table13[[#This Row],[Model]]</f>
        <v>Snap-on TE1A</v>
      </c>
      <c r="D2133" s="1">
        <v>2</v>
      </c>
      <c r="E2133" s="1">
        <v>2</v>
      </c>
      <c r="F2133" s="38">
        <v>15</v>
      </c>
      <c r="G2133" t="s">
        <v>164</v>
      </c>
    </row>
    <row r="2134" spans="1:7" x14ac:dyDescent="0.25">
      <c r="A2134" s="10" t="s">
        <v>1466</v>
      </c>
      <c r="B2134" s="10" t="s">
        <v>1798</v>
      </c>
      <c r="C2134" t="str">
        <f>Table13[[#This Row],[Manufacturer]]&amp;" "&amp;Table13[[#This Row],[Model]]</f>
        <v>Snap-on TE1FUA</v>
      </c>
      <c r="D2134" s="1">
        <v>2</v>
      </c>
      <c r="E2134" s="1">
        <v>2</v>
      </c>
      <c r="F2134" s="38">
        <v>15</v>
      </c>
      <c r="G2134" t="s">
        <v>164</v>
      </c>
    </row>
    <row r="2135" spans="1:7" x14ac:dyDescent="0.25">
      <c r="A2135" s="10" t="s">
        <v>1466</v>
      </c>
      <c r="B2135" s="10" t="s">
        <v>1797</v>
      </c>
      <c r="C2135" t="str">
        <f>Table13[[#This Row],[Manufacturer]]&amp;" "&amp;Table13[[#This Row],[Model]]</f>
        <v>Snap-on TE1FUE</v>
      </c>
      <c r="D2135" s="1">
        <v>2</v>
      </c>
      <c r="E2135" s="1">
        <v>2</v>
      </c>
      <c r="F2135" s="38">
        <v>15</v>
      </c>
      <c r="G2135" t="s">
        <v>164</v>
      </c>
    </row>
    <row r="2136" spans="1:7" x14ac:dyDescent="0.25">
      <c r="A2136" s="10" t="s">
        <v>1466</v>
      </c>
      <c r="B2136" s="10" t="s">
        <v>1796</v>
      </c>
      <c r="C2136" t="str">
        <f>Table13[[#This Row],[Manufacturer]]&amp;" "&amp;Table13[[#This Row],[Model]]</f>
        <v>Snap-on TE2003</v>
      </c>
      <c r="D2136" s="1">
        <v>2</v>
      </c>
      <c r="E2136" s="1">
        <v>2</v>
      </c>
      <c r="F2136" s="38">
        <v>2000</v>
      </c>
      <c r="G2136" t="s">
        <v>166</v>
      </c>
    </row>
    <row r="2137" spans="1:7" x14ac:dyDescent="0.25">
      <c r="A2137" s="10" t="s">
        <v>1466</v>
      </c>
      <c r="B2137" s="10" t="s">
        <v>1795</v>
      </c>
      <c r="C2137" t="str">
        <f>Table13[[#This Row],[Manufacturer]]&amp;" "&amp;Table13[[#This Row],[Model]]</f>
        <v>Snap-on TE2003FU</v>
      </c>
      <c r="D2137" s="1">
        <v>2</v>
      </c>
      <c r="E2137" s="1">
        <v>2</v>
      </c>
      <c r="F2137" s="38">
        <v>2000</v>
      </c>
      <c r="G2137" t="s">
        <v>166</v>
      </c>
    </row>
    <row r="2138" spans="1:7" x14ac:dyDescent="0.25">
      <c r="A2138" s="10" t="s">
        <v>1466</v>
      </c>
      <c r="B2138" s="10" t="s">
        <v>1794</v>
      </c>
      <c r="C2138" t="str">
        <f>Table13[[#This Row],[Manufacturer]]&amp;" "&amp;Table13[[#This Row],[Model]]</f>
        <v>Snap-on TE2003FUE</v>
      </c>
      <c r="D2138" s="1">
        <v>2</v>
      </c>
      <c r="E2138" s="1">
        <v>2</v>
      </c>
      <c r="F2138" s="38">
        <v>2000</v>
      </c>
      <c r="G2138" t="s">
        <v>166</v>
      </c>
    </row>
    <row r="2139" spans="1:7" x14ac:dyDescent="0.25">
      <c r="A2139" s="10" t="s">
        <v>1466</v>
      </c>
      <c r="B2139" s="10" t="s">
        <v>1793</v>
      </c>
      <c r="C2139" t="str">
        <f>Table13[[#This Row],[Manufacturer]]&amp;" "&amp;Table13[[#This Row],[Model]]</f>
        <v>Snap-on TE2003L</v>
      </c>
      <c r="D2139" s="1">
        <v>2</v>
      </c>
      <c r="E2139" s="1">
        <v>2</v>
      </c>
      <c r="F2139" s="38">
        <v>2000</v>
      </c>
      <c r="G2139" t="s">
        <v>166</v>
      </c>
    </row>
    <row r="2140" spans="1:7" x14ac:dyDescent="0.25">
      <c r="A2140" s="10" t="s">
        <v>1466</v>
      </c>
      <c r="B2140" s="10" t="s">
        <v>1792</v>
      </c>
      <c r="C2140" t="str">
        <f>Table13[[#This Row],[Manufacturer]]&amp;" "&amp;Table13[[#This Row],[Model]]</f>
        <v>Snap-on TE2003LE</v>
      </c>
      <c r="D2140" s="1">
        <v>2</v>
      </c>
      <c r="E2140" s="1">
        <v>2</v>
      </c>
      <c r="F2140" s="38">
        <v>2000</v>
      </c>
      <c r="G2140" t="s">
        <v>166</v>
      </c>
    </row>
    <row r="2141" spans="1:7" x14ac:dyDescent="0.25">
      <c r="A2141" s="10" t="s">
        <v>1466</v>
      </c>
      <c r="B2141" s="10" t="s">
        <v>1791</v>
      </c>
      <c r="C2141" t="str">
        <f>Table13[[#This Row],[Manufacturer]]&amp;" "&amp;Table13[[#This Row],[Model]]</f>
        <v>Snap-on TE2005</v>
      </c>
      <c r="D2141" s="1">
        <v>2</v>
      </c>
      <c r="E2141" s="1">
        <v>2</v>
      </c>
      <c r="F2141" s="38">
        <v>2000</v>
      </c>
      <c r="G2141" t="s">
        <v>166</v>
      </c>
    </row>
    <row r="2142" spans="1:7" x14ac:dyDescent="0.25">
      <c r="A2142" s="10" t="s">
        <v>1466</v>
      </c>
      <c r="B2142" s="10" t="s">
        <v>1790</v>
      </c>
      <c r="C2142" t="str">
        <f>Table13[[#This Row],[Manufacturer]]&amp;" "&amp;Table13[[#This Row],[Model]]</f>
        <v>Snap-on TE2005FU</v>
      </c>
      <c r="D2142" s="1">
        <v>2</v>
      </c>
      <c r="E2142" s="1">
        <v>2</v>
      </c>
      <c r="F2142" s="38">
        <v>2000</v>
      </c>
      <c r="G2142" t="s">
        <v>166</v>
      </c>
    </row>
    <row r="2143" spans="1:7" x14ac:dyDescent="0.25">
      <c r="A2143" s="10" t="s">
        <v>1466</v>
      </c>
      <c r="B2143" s="10" t="s">
        <v>1789</v>
      </c>
      <c r="C2143" t="str">
        <f>Table13[[#This Row],[Manufacturer]]&amp;" "&amp;Table13[[#This Row],[Model]]</f>
        <v>Snap-on TE2005L</v>
      </c>
      <c r="D2143" s="1">
        <v>2</v>
      </c>
      <c r="E2143" s="1">
        <v>2</v>
      </c>
      <c r="F2143" s="38">
        <v>2000</v>
      </c>
      <c r="G2143" t="s">
        <v>166</v>
      </c>
    </row>
    <row r="2144" spans="1:7" x14ac:dyDescent="0.25">
      <c r="A2144" s="10" t="s">
        <v>1466</v>
      </c>
      <c r="B2144" s="10" t="s">
        <v>1788</v>
      </c>
      <c r="C2144" t="str">
        <f>Table13[[#This Row],[Manufacturer]]&amp;" "&amp;Table13[[#This Row],[Model]]</f>
        <v>Snap-on TE250</v>
      </c>
      <c r="D2144" s="1">
        <v>2</v>
      </c>
      <c r="E2144" s="1">
        <v>2</v>
      </c>
      <c r="F2144" s="38">
        <v>250</v>
      </c>
      <c r="G2144" t="s">
        <v>166</v>
      </c>
    </row>
    <row r="2145" spans="1:7" x14ac:dyDescent="0.25">
      <c r="A2145" s="10" t="s">
        <v>1466</v>
      </c>
      <c r="B2145" s="10" t="s">
        <v>1787</v>
      </c>
      <c r="C2145" t="str">
        <f>Table13[[#This Row],[Manufacturer]]&amp;" "&amp;Table13[[#This Row],[Model]]</f>
        <v>Snap-on TE250FU</v>
      </c>
      <c r="D2145" s="1">
        <v>2</v>
      </c>
      <c r="E2145" s="1">
        <v>2</v>
      </c>
      <c r="F2145" s="38">
        <v>250</v>
      </c>
      <c r="G2145" t="s">
        <v>166</v>
      </c>
    </row>
    <row r="2146" spans="1:7" x14ac:dyDescent="0.25">
      <c r="A2146" s="10" t="s">
        <v>1466</v>
      </c>
      <c r="B2146" s="10" t="s">
        <v>1786</v>
      </c>
      <c r="C2146" t="str">
        <f>Table13[[#This Row],[Manufacturer]]&amp;" "&amp;Table13[[#This Row],[Model]]</f>
        <v>Snap-on TE250FUE</v>
      </c>
      <c r="D2146" s="1">
        <v>2</v>
      </c>
      <c r="E2146" s="1">
        <v>2</v>
      </c>
      <c r="F2146" s="38">
        <v>250</v>
      </c>
      <c r="G2146" t="s">
        <v>166</v>
      </c>
    </row>
    <row r="2147" spans="1:7" x14ac:dyDescent="0.25">
      <c r="A2147" s="10" t="s">
        <v>1466</v>
      </c>
      <c r="B2147" s="10" t="s">
        <v>1785</v>
      </c>
      <c r="C2147" t="str">
        <f>Table13[[#This Row],[Manufacturer]]&amp;" "&amp;Table13[[#This Row],[Model]]</f>
        <v>Snap-on TE250L</v>
      </c>
      <c r="D2147" s="1">
        <v>2</v>
      </c>
      <c r="E2147" s="1">
        <v>2</v>
      </c>
      <c r="F2147" s="38">
        <v>250</v>
      </c>
      <c r="G2147" t="s">
        <v>166</v>
      </c>
    </row>
    <row r="2148" spans="1:7" x14ac:dyDescent="0.25">
      <c r="A2148" s="10" t="s">
        <v>1466</v>
      </c>
      <c r="B2148" s="10" t="s">
        <v>1784</v>
      </c>
      <c r="C2148" t="str">
        <f>Table13[[#This Row],[Manufacturer]]&amp;" "&amp;Table13[[#This Row],[Model]]</f>
        <v>Snap-on TE25A</v>
      </c>
      <c r="D2148" s="1">
        <v>2</v>
      </c>
      <c r="E2148" s="1">
        <v>2</v>
      </c>
      <c r="F2148" s="38">
        <v>300</v>
      </c>
      <c r="G2148" t="s">
        <v>164</v>
      </c>
    </row>
    <row r="2149" spans="1:7" x14ac:dyDescent="0.25">
      <c r="A2149" s="10" t="s">
        <v>1466</v>
      </c>
      <c r="B2149" s="10" t="s">
        <v>1783</v>
      </c>
      <c r="C2149" t="str">
        <f>Table13[[#This Row],[Manufacturer]]&amp;" "&amp;Table13[[#This Row],[Model]]</f>
        <v>Snap-on TE25FA</v>
      </c>
      <c r="D2149" s="1">
        <v>2</v>
      </c>
      <c r="E2149" s="1">
        <v>2</v>
      </c>
      <c r="F2149" s="38">
        <v>25</v>
      </c>
      <c r="G2149" t="s">
        <v>166</v>
      </c>
    </row>
    <row r="2150" spans="1:7" x14ac:dyDescent="0.25">
      <c r="A2150" s="10" t="s">
        <v>1466</v>
      </c>
      <c r="B2150" s="10" t="s">
        <v>1782</v>
      </c>
      <c r="C2150" t="str">
        <f>Table13[[#This Row],[Manufacturer]]&amp;" "&amp;Table13[[#This Row],[Model]]</f>
        <v>Snap-on TE25FFUA</v>
      </c>
      <c r="D2150" s="1">
        <v>2</v>
      </c>
      <c r="E2150" s="1">
        <v>2</v>
      </c>
      <c r="F2150" s="38">
        <v>25</v>
      </c>
      <c r="G2150" t="s">
        <v>166</v>
      </c>
    </row>
    <row r="2151" spans="1:7" x14ac:dyDescent="0.25">
      <c r="A2151" s="10" t="s">
        <v>1466</v>
      </c>
      <c r="B2151" s="10" t="s">
        <v>1781</v>
      </c>
      <c r="C2151" t="str">
        <f>Table13[[#This Row],[Manufacturer]]&amp;" "&amp;Table13[[#This Row],[Model]]</f>
        <v>Snap-on TE25FFUE</v>
      </c>
      <c r="D2151" s="1">
        <v>2</v>
      </c>
      <c r="E2151" s="1">
        <v>2</v>
      </c>
      <c r="F2151" s="38">
        <v>25</v>
      </c>
      <c r="G2151" t="s">
        <v>166</v>
      </c>
    </row>
    <row r="2152" spans="1:7" x14ac:dyDescent="0.25">
      <c r="A2152" s="10" t="s">
        <v>1466</v>
      </c>
      <c r="B2152" s="10" t="s">
        <v>1780</v>
      </c>
      <c r="C2152" t="str">
        <f>Table13[[#This Row],[Manufacturer]]&amp;" "&amp;Table13[[#This Row],[Model]]</f>
        <v>Snap-on TE25FLA</v>
      </c>
      <c r="D2152" s="1">
        <v>2</v>
      </c>
      <c r="E2152" s="1">
        <v>2</v>
      </c>
      <c r="F2152" s="38">
        <v>25</v>
      </c>
      <c r="G2152" t="s">
        <v>166</v>
      </c>
    </row>
    <row r="2153" spans="1:7" x14ac:dyDescent="0.25">
      <c r="A2153" s="10" t="s">
        <v>1466</v>
      </c>
      <c r="B2153" s="10" t="s">
        <v>1779</v>
      </c>
      <c r="C2153" t="str">
        <f>Table13[[#This Row],[Manufacturer]]&amp;" "&amp;Table13[[#This Row],[Model]]</f>
        <v>Snap-on TE25FUA</v>
      </c>
      <c r="D2153" s="1">
        <v>2</v>
      </c>
      <c r="E2153" s="1">
        <v>2</v>
      </c>
      <c r="F2153" s="38">
        <v>300</v>
      </c>
      <c r="G2153" t="s">
        <v>164</v>
      </c>
    </row>
    <row r="2154" spans="1:7" x14ac:dyDescent="0.25">
      <c r="A2154" s="10" t="s">
        <v>1466</v>
      </c>
      <c r="B2154" s="10" t="s">
        <v>1778</v>
      </c>
      <c r="C2154" t="str">
        <f>Table13[[#This Row],[Manufacturer]]&amp;" "&amp;Table13[[#This Row],[Model]]</f>
        <v>Snap-on TE25FUE</v>
      </c>
      <c r="D2154" s="1">
        <v>2</v>
      </c>
      <c r="E2154" s="1">
        <v>2</v>
      </c>
      <c r="F2154" s="38">
        <v>300</v>
      </c>
      <c r="G2154" t="s">
        <v>164</v>
      </c>
    </row>
    <row r="2155" spans="1:7" x14ac:dyDescent="0.25">
      <c r="A2155" s="10" t="s">
        <v>1466</v>
      </c>
      <c r="B2155" s="10" t="s">
        <v>1777</v>
      </c>
      <c r="C2155" t="str">
        <f>Table13[[#This Row],[Manufacturer]]&amp;" "&amp;Table13[[#This Row],[Model]]</f>
        <v>Snap-on TE25LA</v>
      </c>
      <c r="D2155" s="1">
        <v>2</v>
      </c>
      <c r="E2155" s="1">
        <v>2</v>
      </c>
      <c r="F2155" s="38">
        <v>300</v>
      </c>
      <c r="G2155" t="s">
        <v>164</v>
      </c>
    </row>
    <row r="2156" spans="1:7" x14ac:dyDescent="0.25">
      <c r="A2156" s="10" t="s">
        <v>1466</v>
      </c>
      <c r="B2156" s="10" t="s">
        <v>1776</v>
      </c>
      <c r="C2156" t="str">
        <f>Table13[[#This Row],[Manufacturer]]&amp;" "&amp;Table13[[#This Row],[Model]]</f>
        <v>Snap-on TE3005</v>
      </c>
      <c r="D2156" s="1">
        <v>2</v>
      </c>
      <c r="E2156" s="1">
        <v>2</v>
      </c>
      <c r="F2156" s="38">
        <v>3000</v>
      </c>
      <c r="G2156" t="s">
        <v>166</v>
      </c>
    </row>
    <row r="2157" spans="1:7" x14ac:dyDescent="0.25">
      <c r="A2157" s="10" t="s">
        <v>1466</v>
      </c>
      <c r="B2157" s="10" t="s">
        <v>1775</v>
      </c>
      <c r="C2157" t="str">
        <f>Table13[[#This Row],[Manufacturer]]&amp;" "&amp;Table13[[#This Row],[Model]]</f>
        <v>Snap-on TE3005FU</v>
      </c>
      <c r="D2157" s="1">
        <v>2</v>
      </c>
      <c r="E2157" s="1">
        <v>2</v>
      </c>
      <c r="F2157" s="38">
        <v>3000</v>
      </c>
      <c r="G2157" t="s">
        <v>166</v>
      </c>
    </row>
    <row r="2158" spans="1:7" x14ac:dyDescent="0.25">
      <c r="A2158" s="10" t="s">
        <v>1466</v>
      </c>
      <c r="B2158" s="10" t="s">
        <v>1774</v>
      </c>
      <c r="C2158" t="str">
        <f>Table13[[#This Row],[Manufacturer]]&amp;" "&amp;Table13[[#This Row],[Model]]</f>
        <v>Snap-on TE3005L</v>
      </c>
      <c r="D2158" s="1">
        <v>2</v>
      </c>
      <c r="E2158" s="1">
        <v>2</v>
      </c>
      <c r="F2158" s="38">
        <v>3000</v>
      </c>
      <c r="G2158" t="s">
        <v>166</v>
      </c>
    </row>
    <row r="2159" spans="1:7" x14ac:dyDescent="0.25">
      <c r="A2159" s="10" t="s">
        <v>1466</v>
      </c>
      <c r="B2159" s="10" t="s">
        <v>1773</v>
      </c>
      <c r="C2159" t="str">
        <f>Table13[[#This Row],[Manufacturer]]&amp;" "&amp;Table13[[#This Row],[Model]]</f>
        <v>Snap-on TE352A</v>
      </c>
      <c r="D2159" s="1">
        <v>2</v>
      </c>
      <c r="E2159" s="1">
        <v>2</v>
      </c>
      <c r="F2159" s="38">
        <v>350</v>
      </c>
      <c r="G2159" t="s">
        <v>166</v>
      </c>
    </row>
    <row r="2160" spans="1:7" x14ac:dyDescent="0.25">
      <c r="A2160" s="10" t="s">
        <v>1466</v>
      </c>
      <c r="B2160" s="10" t="s">
        <v>1772</v>
      </c>
      <c r="C2160" t="str">
        <f>Table13[[#This Row],[Manufacturer]]&amp;" "&amp;Table13[[#This Row],[Model]]</f>
        <v>Snap-on TE352FUA</v>
      </c>
      <c r="D2160" s="1">
        <v>2</v>
      </c>
      <c r="E2160" s="1">
        <v>2</v>
      </c>
      <c r="F2160" s="38">
        <v>350</v>
      </c>
      <c r="G2160" t="s">
        <v>166</v>
      </c>
    </row>
    <row r="2161" spans="1:7" x14ac:dyDescent="0.25">
      <c r="A2161" s="10" t="s">
        <v>1466</v>
      </c>
      <c r="B2161" s="10" t="s">
        <v>1771</v>
      </c>
      <c r="C2161" t="str">
        <f>Table13[[#This Row],[Manufacturer]]&amp;" "&amp;Table13[[#This Row],[Model]]</f>
        <v>Snap-on TE352FUE</v>
      </c>
      <c r="D2161" s="1">
        <v>2</v>
      </c>
      <c r="E2161" s="1">
        <v>2</v>
      </c>
      <c r="F2161" s="38">
        <v>350</v>
      </c>
      <c r="G2161" t="s">
        <v>166</v>
      </c>
    </row>
    <row r="2162" spans="1:7" x14ac:dyDescent="0.25">
      <c r="A2162" s="10" t="s">
        <v>1466</v>
      </c>
      <c r="B2162" s="10" t="s">
        <v>1770</v>
      </c>
      <c r="C2162" t="str">
        <f>Table13[[#This Row],[Manufacturer]]&amp;" "&amp;Table13[[#This Row],[Model]]</f>
        <v>Snap-on TE352LA</v>
      </c>
      <c r="D2162" s="1">
        <v>2</v>
      </c>
      <c r="E2162" s="1">
        <v>2</v>
      </c>
      <c r="F2162" s="38">
        <v>350</v>
      </c>
      <c r="G2162" t="s">
        <v>166</v>
      </c>
    </row>
    <row r="2163" spans="1:7" x14ac:dyDescent="0.25">
      <c r="A2163" s="10" t="s">
        <v>1466</v>
      </c>
      <c r="B2163" s="10" t="s">
        <v>1769</v>
      </c>
      <c r="C2163" t="str">
        <f>Table13[[#This Row],[Manufacturer]]&amp;" "&amp;Table13[[#This Row],[Model]]</f>
        <v>Snap-on TE3A</v>
      </c>
      <c r="D2163" s="1">
        <v>2</v>
      </c>
      <c r="E2163" s="1">
        <v>2</v>
      </c>
      <c r="F2163" s="38">
        <v>30</v>
      </c>
      <c r="G2163" t="s">
        <v>164</v>
      </c>
    </row>
    <row r="2164" spans="1:7" x14ac:dyDescent="0.25">
      <c r="A2164" s="10" t="s">
        <v>1466</v>
      </c>
      <c r="B2164" s="10" t="s">
        <v>1768</v>
      </c>
      <c r="C2164" t="str">
        <f>Table13[[#This Row],[Manufacturer]]&amp;" "&amp;Table13[[#This Row],[Model]]</f>
        <v>Snap-on TE3FUA</v>
      </c>
      <c r="D2164" s="1">
        <v>2</v>
      </c>
      <c r="E2164" s="1">
        <v>2</v>
      </c>
      <c r="F2164" s="38">
        <v>30</v>
      </c>
      <c r="G2164" t="s">
        <v>164</v>
      </c>
    </row>
    <row r="2165" spans="1:7" x14ac:dyDescent="0.25">
      <c r="A2165" s="10" t="s">
        <v>1466</v>
      </c>
      <c r="B2165" s="10" t="s">
        <v>1767</v>
      </c>
      <c r="C2165" t="str">
        <f>Table13[[#This Row],[Manufacturer]]&amp;" "&amp;Table13[[#This Row],[Model]]</f>
        <v>Snap-on TE3FUE</v>
      </c>
      <c r="D2165" s="1">
        <v>2</v>
      </c>
      <c r="E2165" s="1">
        <v>2</v>
      </c>
      <c r="F2165" s="38">
        <v>30</v>
      </c>
      <c r="G2165" t="s">
        <v>164</v>
      </c>
    </row>
    <row r="2166" spans="1:7" x14ac:dyDescent="0.25">
      <c r="A2166" s="10" t="s">
        <v>1466</v>
      </c>
      <c r="B2166" s="10" t="s">
        <v>1766</v>
      </c>
      <c r="C2166" t="str">
        <f>Table13[[#This Row],[Manufacturer]]&amp;" "&amp;Table13[[#This Row],[Model]]</f>
        <v>Snap-on TE50A</v>
      </c>
      <c r="D2166" s="1">
        <v>2</v>
      </c>
      <c r="E2166" s="1">
        <v>2</v>
      </c>
      <c r="F2166" s="38">
        <v>600</v>
      </c>
      <c r="G2166" t="s">
        <v>164</v>
      </c>
    </row>
    <row r="2167" spans="1:7" x14ac:dyDescent="0.25">
      <c r="A2167" s="10" t="s">
        <v>1466</v>
      </c>
      <c r="B2167" s="10" t="s">
        <v>1765</v>
      </c>
      <c r="C2167" t="str">
        <f>Table13[[#This Row],[Manufacturer]]&amp;" "&amp;Table13[[#This Row],[Model]]</f>
        <v>Snap-on TE50FA</v>
      </c>
      <c r="D2167" s="1">
        <v>2</v>
      </c>
      <c r="E2167" s="1">
        <v>2</v>
      </c>
      <c r="F2167" s="38">
        <v>50</v>
      </c>
      <c r="G2167" t="s">
        <v>166</v>
      </c>
    </row>
    <row r="2168" spans="1:7" x14ac:dyDescent="0.25">
      <c r="A2168" s="10" t="s">
        <v>1466</v>
      </c>
      <c r="B2168" s="10" t="s">
        <v>1764</v>
      </c>
      <c r="C2168" t="str">
        <f>Table13[[#This Row],[Manufacturer]]&amp;" "&amp;Table13[[#This Row],[Model]]</f>
        <v>Snap-on TE50FFUA</v>
      </c>
      <c r="D2168" s="1">
        <v>2</v>
      </c>
      <c r="E2168" s="1">
        <v>2</v>
      </c>
      <c r="F2168" s="38">
        <v>50</v>
      </c>
      <c r="G2168" t="s">
        <v>166</v>
      </c>
    </row>
    <row r="2169" spans="1:7" x14ac:dyDescent="0.25">
      <c r="A2169" s="10" t="s">
        <v>1466</v>
      </c>
      <c r="B2169" s="10" t="s">
        <v>1763</v>
      </c>
      <c r="C2169" t="str">
        <f>Table13[[#This Row],[Manufacturer]]&amp;" "&amp;Table13[[#This Row],[Model]]</f>
        <v>Snap-on TE50FFUE</v>
      </c>
      <c r="D2169" s="1">
        <v>2</v>
      </c>
      <c r="E2169" s="1">
        <v>2</v>
      </c>
      <c r="F2169" s="38">
        <v>50</v>
      </c>
      <c r="G2169" t="s">
        <v>166</v>
      </c>
    </row>
    <row r="2170" spans="1:7" x14ac:dyDescent="0.25">
      <c r="A2170" s="10" t="s">
        <v>1466</v>
      </c>
      <c r="B2170" s="10" t="s">
        <v>1762</v>
      </c>
      <c r="C2170" t="str">
        <f>Table13[[#This Row],[Manufacturer]]&amp;" "&amp;Table13[[#This Row],[Model]]</f>
        <v>Snap-on TE50FLA</v>
      </c>
      <c r="D2170" s="1">
        <v>2</v>
      </c>
      <c r="E2170" s="1">
        <v>2</v>
      </c>
      <c r="F2170" s="38">
        <v>50</v>
      </c>
      <c r="G2170" t="s">
        <v>166</v>
      </c>
    </row>
    <row r="2171" spans="1:7" x14ac:dyDescent="0.25">
      <c r="A2171" s="10" t="s">
        <v>1466</v>
      </c>
      <c r="B2171" s="10" t="s">
        <v>1761</v>
      </c>
      <c r="C2171" t="str">
        <f>Table13[[#This Row],[Manufacturer]]&amp;" "&amp;Table13[[#This Row],[Model]]</f>
        <v>Snap-on TE50FUA</v>
      </c>
      <c r="D2171" s="1">
        <v>2</v>
      </c>
      <c r="E2171" s="1">
        <v>2</v>
      </c>
      <c r="F2171" s="38">
        <v>600</v>
      </c>
      <c r="G2171" t="s">
        <v>164</v>
      </c>
    </row>
    <row r="2172" spans="1:7" x14ac:dyDescent="0.25">
      <c r="A2172" s="10" t="s">
        <v>1466</v>
      </c>
      <c r="B2172" s="10" t="s">
        <v>1760</v>
      </c>
      <c r="C2172" t="str">
        <f>Table13[[#This Row],[Manufacturer]]&amp;" "&amp;Table13[[#This Row],[Model]]</f>
        <v>Snap-on TE50FUE</v>
      </c>
      <c r="D2172" s="1">
        <v>2</v>
      </c>
      <c r="E2172" s="1">
        <v>2</v>
      </c>
      <c r="F2172" s="38">
        <v>600</v>
      </c>
      <c r="G2172" t="s">
        <v>164</v>
      </c>
    </row>
    <row r="2173" spans="1:7" x14ac:dyDescent="0.25">
      <c r="A2173" s="10" t="s">
        <v>1466</v>
      </c>
      <c r="B2173" s="10" t="s">
        <v>1759</v>
      </c>
      <c r="C2173" t="str">
        <f>Table13[[#This Row],[Manufacturer]]&amp;" "&amp;Table13[[#This Row],[Model]]</f>
        <v>Snap-on TE50LA</v>
      </c>
      <c r="D2173" s="1">
        <v>2</v>
      </c>
      <c r="E2173" s="1">
        <v>2</v>
      </c>
      <c r="F2173" s="38">
        <v>600</v>
      </c>
      <c r="G2173" t="s">
        <v>164</v>
      </c>
    </row>
    <row r="2174" spans="1:7" x14ac:dyDescent="0.25">
      <c r="A2174" s="10" t="s">
        <v>1466</v>
      </c>
      <c r="B2174" s="10" t="s">
        <v>1758</v>
      </c>
      <c r="C2174" t="str">
        <f>Table13[[#This Row],[Manufacturer]]&amp;" "&amp;Table13[[#This Row],[Model]]</f>
        <v>Snap-on TE51</v>
      </c>
      <c r="D2174" s="1">
        <v>2</v>
      </c>
      <c r="E2174" s="1">
        <v>2</v>
      </c>
      <c r="F2174" s="38">
        <v>600</v>
      </c>
      <c r="G2174" t="s">
        <v>164</v>
      </c>
    </row>
    <row r="2175" spans="1:7" x14ac:dyDescent="0.25">
      <c r="A2175" s="10" t="s">
        <v>1466</v>
      </c>
      <c r="B2175" s="10" t="s">
        <v>1757</v>
      </c>
      <c r="C2175" t="str">
        <f>Table13[[#This Row],[Manufacturer]]&amp;" "&amp;Table13[[#This Row],[Model]]</f>
        <v>Snap-on TE51F</v>
      </c>
      <c r="D2175" s="1">
        <v>2</v>
      </c>
      <c r="E2175" s="1">
        <v>2</v>
      </c>
      <c r="F2175" s="38">
        <v>50</v>
      </c>
      <c r="G2175" t="s">
        <v>166</v>
      </c>
    </row>
    <row r="2176" spans="1:7" x14ac:dyDescent="0.25">
      <c r="A2176" s="10" t="s">
        <v>1466</v>
      </c>
      <c r="B2176" s="10" t="s">
        <v>1756</v>
      </c>
      <c r="C2176" t="str">
        <f>Table13[[#This Row],[Manufacturer]]&amp;" "&amp;Table13[[#This Row],[Model]]</f>
        <v>Snap-on TE51FFU</v>
      </c>
      <c r="D2176" s="1">
        <v>2</v>
      </c>
      <c r="E2176" s="1">
        <v>2</v>
      </c>
      <c r="F2176" s="38">
        <v>50</v>
      </c>
      <c r="G2176" t="s">
        <v>166</v>
      </c>
    </row>
    <row r="2177" spans="1:7" x14ac:dyDescent="0.25">
      <c r="A2177" s="10" t="s">
        <v>1466</v>
      </c>
      <c r="B2177" s="10" t="s">
        <v>1755</v>
      </c>
      <c r="C2177" t="str">
        <f>Table13[[#This Row],[Manufacturer]]&amp;" "&amp;Table13[[#This Row],[Model]]</f>
        <v>Snap-on TE51FL</v>
      </c>
      <c r="D2177" s="1">
        <v>2</v>
      </c>
      <c r="E2177" s="1">
        <v>2</v>
      </c>
      <c r="F2177" s="38">
        <v>50</v>
      </c>
      <c r="G2177" t="s">
        <v>166</v>
      </c>
    </row>
    <row r="2178" spans="1:7" x14ac:dyDescent="0.25">
      <c r="A2178" s="10" t="s">
        <v>1466</v>
      </c>
      <c r="B2178" s="10" t="s">
        <v>1754</v>
      </c>
      <c r="C2178" t="str">
        <f>Table13[[#This Row],[Manufacturer]]&amp;" "&amp;Table13[[#This Row],[Model]]</f>
        <v>Snap-on TE51FU</v>
      </c>
      <c r="D2178" s="1">
        <v>2</v>
      </c>
      <c r="E2178" s="1">
        <v>2</v>
      </c>
      <c r="F2178" s="38">
        <v>600</v>
      </c>
      <c r="G2178" t="s">
        <v>164</v>
      </c>
    </row>
    <row r="2179" spans="1:7" x14ac:dyDescent="0.25">
      <c r="A2179" s="10" t="s">
        <v>1466</v>
      </c>
      <c r="B2179" s="10" t="s">
        <v>1753</v>
      </c>
      <c r="C2179" t="str">
        <f>Table13[[#This Row],[Manufacturer]]&amp;" "&amp;Table13[[#This Row],[Model]]</f>
        <v>Snap-on TE51L</v>
      </c>
      <c r="D2179" s="1">
        <v>2</v>
      </c>
      <c r="E2179" s="1">
        <v>2</v>
      </c>
      <c r="F2179" s="38">
        <v>600</v>
      </c>
      <c r="G2179" t="s">
        <v>164</v>
      </c>
    </row>
    <row r="2180" spans="1:7" x14ac:dyDescent="0.25">
      <c r="A2180" s="10" t="s">
        <v>1466</v>
      </c>
      <c r="B2180" s="10" t="s">
        <v>1752</v>
      </c>
      <c r="C2180" t="str">
        <f>Table13[[#This Row],[Manufacturer]]&amp;" "&amp;Table13[[#This Row],[Model]]</f>
        <v>Snap-on TE602</v>
      </c>
      <c r="D2180" s="1">
        <v>2</v>
      </c>
      <c r="E2180" s="1">
        <v>2</v>
      </c>
      <c r="F2180" s="38">
        <v>600</v>
      </c>
      <c r="G2180" t="s">
        <v>166</v>
      </c>
    </row>
    <row r="2181" spans="1:7" x14ac:dyDescent="0.25">
      <c r="A2181" s="10" t="s">
        <v>1466</v>
      </c>
      <c r="B2181" s="10" t="s">
        <v>1751</v>
      </c>
      <c r="C2181" t="str">
        <f>Table13[[#This Row],[Manufacturer]]&amp;" "&amp;Table13[[#This Row],[Model]]</f>
        <v>Snap-on TE602A</v>
      </c>
      <c r="D2181" s="1">
        <v>2</v>
      </c>
      <c r="E2181" s="1">
        <v>2</v>
      </c>
      <c r="F2181" s="38">
        <v>600</v>
      </c>
      <c r="G2181" t="s">
        <v>166</v>
      </c>
    </row>
    <row r="2182" spans="1:7" x14ac:dyDescent="0.25">
      <c r="A2182" s="10" t="s">
        <v>1466</v>
      </c>
      <c r="B2182" s="10" t="s">
        <v>1750</v>
      </c>
      <c r="C2182" t="str">
        <f>Table13[[#This Row],[Manufacturer]]&amp;" "&amp;Table13[[#This Row],[Model]]</f>
        <v>Snap-on TE602FUA</v>
      </c>
      <c r="D2182" s="1">
        <v>2</v>
      </c>
      <c r="E2182" s="1">
        <v>2</v>
      </c>
      <c r="F2182" s="38">
        <v>600</v>
      </c>
      <c r="G2182" t="s">
        <v>166</v>
      </c>
    </row>
    <row r="2183" spans="1:7" x14ac:dyDescent="0.25">
      <c r="A2183" s="10" t="s">
        <v>1466</v>
      </c>
      <c r="B2183" s="10" t="s">
        <v>1749</v>
      </c>
      <c r="C2183" t="str">
        <f>Table13[[#This Row],[Manufacturer]]&amp;" "&amp;Table13[[#This Row],[Model]]</f>
        <v>Snap-on TE602FUE</v>
      </c>
      <c r="D2183" s="1">
        <v>2</v>
      </c>
      <c r="E2183" s="1">
        <v>2</v>
      </c>
      <c r="F2183" s="38">
        <v>600</v>
      </c>
      <c r="G2183" t="s">
        <v>166</v>
      </c>
    </row>
    <row r="2184" spans="1:7" x14ac:dyDescent="0.25">
      <c r="A2184" s="10" t="s">
        <v>1466</v>
      </c>
      <c r="B2184" s="10" t="s">
        <v>1748</v>
      </c>
      <c r="C2184" t="str">
        <f>Table13[[#This Row],[Manufacturer]]&amp;" "&amp;Table13[[#This Row],[Model]]</f>
        <v>Snap-on TE602LA</v>
      </c>
      <c r="D2184" s="1">
        <v>2</v>
      </c>
      <c r="E2184" s="1">
        <v>2</v>
      </c>
      <c r="F2184" s="38">
        <v>600</v>
      </c>
      <c r="G2184" t="s">
        <v>166</v>
      </c>
    </row>
    <row r="2185" spans="1:7" x14ac:dyDescent="0.25">
      <c r="A2185" s="10" t="s">
        <v>1466</v>
      </c>
      <c r="B2185" s="10" t="s">
        <v>1747</v>
      </c>
      <c r="C2185" t="str">
        <f>Table13[[#This Row],[Manufacturer]]&amp;" "&amp;Table13[[#This Row],[Model]]</f>
        <v>Snap-on TE602LE</v>
      </c>
      <c r="D2185" s="1">
        <v>2</v>
      </c>
      <c r="E2185" s="1">
        <v>2</v>
      </c>
      <c r="F2185" s="38">
        <v>600</v>
      </c>
      <c r="G2185" t="s">
        <v>166</v>
      </c>
    </row>
    <row r="2186" spans="1:7" x14ac:dyDescent="0.25">
      <c r="A2186" s="10" t="s">
        <v>1466</v>
      </c>
      <c r="B2186" s="10" t="s">
        <v>1746</v>
      </c>
      <c r="C2186" t="str">
        <f>Table13[[#This Row],[Manufacturer]]&amp;" "&amp;Table13[[#This Row],[Model]]</f>
        <v>Snap-on TE6A</v>
      </c>
      <c r="D2186" s="1">
        <v>2</v>
      </c>
      <c r="E2186" s="1">
        <v>2</v>
      </c>
      <c r="F2186" s="38">
        <v>75</v>
      </c>
      <c r="G2186" t="s">
        <v>164</v>
      </c>
    </row>
    <row r="2187" spans="1:7" x14ac:dyDescent="0.25">
      <c r="A2187" s="10" t="s">
        <v>1466</v>
      </c>
      <c r="B2187" s="10" t="s">
        <v>1745</v>
      </c>
      <c r="C2187" t="str">
        <f>Table13[[#This Row],[Manufacturer]]&amp;" "&amp;Table13[[#This Row],[Model]]</f>
        <v>Snap-on TE6FUA</v>
      </c>
      <c r="D2187" s="1">
        <v>2</v>
      </c>
      <c r="E2187" s="1">
        <v>2</v>
      </c>
      <c r="F2187" s="38">
        <v>75</v>
      </c>
      <c r="G2187" t="s">
        <v>164</v>
      </c>
    </row>
    <row r="2188" spans="1:7" x14ac:dyDescent="0.25">
      <c r="A2188" s="10" t="s">
        <v>1466</v>
      </c>
      <c r="B2188" s="10" t="s">
        <v>1744</v>
      </c>
      <c r="C2188" t="str">
        <f>Table13[[#This Row],[Manufacturer]]&amp;" "&amp;Table13[[#This Row],[Model]]</f>
        <v>Snap-on TE803</v>
      </c>
      <c r="D2188" s="1">
        <v>2</v>
      </c>
      <c r="E2188" s="1">
        <v>2</v>
      </c>
      <c r="F2188" s="38">
        <v>800</v>
      </c>
      <c r="G2188" t="s">
        <v>166</v>
      </c>
    </row>
    <row r="2189" spans="1:7" x14ac:dyDescent="0.25">
      <c r="A2189" s="10" t="s">
        <v>1466</v>
      </c>
      <c r="B2189" s="10" t="s">
        <v>1743</v>
      </c>
      <c r="C2189" t="str">
        <f>Table13[[#This Row],[Manufacturer]]&amp;" "&amp;Table13[[#This Row],[Model]]</f>
        <v>Snap-on TE803FU</v>
      </c>
      <c r="D2189" s="1">
        <v>2</v>
      </c>
      <c r="E2189" s="1">
        <v>2</v>
      </c>
      <c r="F2189" s="38">
        <v>800</v>
      </c>
      <c r="G2189" t="s">
        <v>166</v>
      </c>
    </row>
    <row r="2190" spans="1:7" x14ac:dyDescent="0.25">
      <c r="A2190" s="10" t="s">
        <v>1466</v>
      </c>
      <c r="B2190" s="10" t="s">
        <v>1742</v>
      </c>
      <c r="C2190" t="str">
        <f>Table13[[#This Row],[Manufacturer]]&amp;" "&amp;Table13[[#This Row],[Model]]</f>
        <v>Snap-on TE803L</v>
      </c>
      <c r="D2190" s="1">
        <v>2</v>
      </c>
      <c r="E2190" s="1">
        <v>2</v>
      </c>
      <c r="F2190" s="38">
        <v>800</v>
      </c>
      <c r="G2190" t="s">
        <v>166</v>
      </c>
    </row>
    <row r="2191" spans="1:7" x14ac:dyDescent="0.25">
      <c r="A2191" s="10" t="s">
        <v>1466</v>
      </c>
      <c r="B2191" s="10" t="s">
        <v>1741</v>
      </c>
      <c r="C2191" t="str">
        <f>Table13[[#This Row],[Manufacturer]]&amp;" "&amp;Table13[[#This Row],[Model]]</f>
        <v>Snap-on TEC100</v>
      </c>
      <c r="D2191" s="1">
        <v>2</v>
      </c>
      <c r="E2191" s="1">
        <v>2</v>
      </c>
      <c r="F2191" s="38">
        <v>100</v>
      </c>
      <c r="G2191" t="s">
        <v>166</v>
      </c>
    </row>
    <row r="2192" spans="1:7" x14ac:dyDescent="0.25">
      <c r="A2192" s="10" t="s">
        <v>1466</v>
      </c>
      <c r="B2192" s="10" t="s">
        <v>1740</v>
      </c>
      <c r="C2192" t="str">
        <f>Table13[[#This Row],[Manufacturer]]&amp;" "&amp;Table13[[#This Row],[Model]]</f>
        <v>Snap-on TEC1003</v>
      </c>
      <c r="D2192" s="1">
        <v>2</v>
      </c>
      <c r="E2192" s="1">
        <v>2</v>
      </c>
      <c r="F2192" s="38">
        <v>1000</v>
      </c>
      <c r="G2192" t="s">
        <v>166</v>
      </c>
    </row>
    <row r="2193" spans="1:7" x14ac:dyDescent="0.25">
      <c r="A2193" s="10" t="s">
        <v>1466</v>
      </c>
      <c r="B2193" s="10" t="s">
        <v>1739</v>
      </c>
      <c r="C2193" t="str">
        <f>Table13[[#This Row],[Manufacturer]]&amp;" "&amp;Table13[[#This Row],[Model]]</f>
        <v>Snap-on TEC1003FU</v>
      </c>
      <c r="D2193" s="1">
        <v>2</v>
      </c>
      <c r="E2193" s="1">
        <v>2</v>
      </c>
      <c r="F2193" s="38">
        <v>1000</v>
      </c>
      <c r="G2193" t="s">
        <v>166</v>
      </c>
    </row>
    <row r="2194" spans="1:7" x14ac:dyDescent="0.25">
      <c r="A2194" s="10" t="s">
        <v>1466</v>
      </c>
      <c r="B2194" s="10" t="s">
        <v>1738</v>
      </c>
      <c r="C2194" t="str">
        <f>Table13[[#This Row],[Manufacturer]]&amp;" "&amp;Table13[[#This Row],[Model]]</f>
        <v>Snap-on TEC1003L</v>
      </c>
      <c r="D2194" s="1">
        <v>2</v>
      </c>
      <c r="E2194" s="1">
        <v>2</v>
      </c>
      <c r="F2194" s="38">
        <v>1000</v>
      </c>
      <c r="G2194" t="s">
        <v>166</v>
      </c>
    </row>
    <row r="2195" spans="1:7" x14ac:dyDescent="0.25">
      <c r="A2195" s="10" t="s">
        <v>1466</v>
      </c>
      <c r="B2195" s="10" t="s">
        <v>1737</v>
      </c>
      <c r="C2195" t="str">
        <f>Table13[[#This Row],[Manufacturer]]&amp;" "&amp;Table13[[#This Row],[Model]]</f>
        <v>Snap-on TEC100FU</v>
      </c>
      <c r="D2195" s="1">
        <v>2</v>
      </c>
      <c r="E2195" s="1">
        <v>2</v>
      </c>
      <c r="F2195" s="38">
        <v>100</v>
      </c>
      <c r="G2195" t="s">
        <v>166</v>
      </c>
    </row>
    <row r="2196" spans="1:7" x14ac:dyDescent="0.25">
      <c r="A2196" s="10" t="s">
        <v>1466</v>
      </c>
      <c r="B2196" s="10" t="s">
        <v>1736</v>
      </c>
      <c r="C2196" t="str">
        <f>Table13[[#This Row],[Manufacturer]]&amp;" "&amp;Table13[[#This Row],[Model]]</f>
        <v>Snap-on TEC100FUE</v>
      </c>
      <c r="D2196" s="1">
        <v>2</v>
      </c>
      <c r="E2196" s="1">
        <v>2</v>
      </c>
      <c r="F2196" s="38">
        <v>100</v>
      </c>
      <c r="G2196" t="s">
        <v>166</v>
      </c>
    </row>
    <row r="2197" spans="1:7" x14ac:dyDescent="0.25">
      <c r="A2197" s="10" t="s">
        <v>1466</v>
      </c>
      <c r="B2197" s="10" t="s">
        <v>1735</v>
      </c>
      <c r="C2197" t="str">
        <f>Table13[[#This Row],[Manufacturer]]&amp;" "&amp;Table13[[#This Row],[Model]]</f>
        <v>Snap-on TEC100L</v>
      </c>
      <c r="D2197" s="1">
        <v>2</v>
      </c>
      <c r="E2197" s="1">
        <v>2</v>
      </c>
      <c r="F2197" s="38">
        <v>100</v>
      </c>
      <c r="G2197" t="s">
        <v>166</v>
      </c>
    </row>
    <row r="2198" spans="1:7" x14ac:dyDescent="0.25">
      <c r="A2198" s="10" t="s">
        <v>1466</v>
      </c>
      <c r="B2198" s="10" t="s">
        <v>1734</v>
      </c>
      <c r="C2198" t="str">
        <f>Table13[[#This Row],[Manufacturer]]&amp;" "&amp;Table13[[#This Row],[Model]]</f>
        <v>Snap-on TEC12A</v>
      </c>
      <c r="D2198" s="1">
        <v>2</v>
      </c>
      <c r="E2198" s="1">
        <v>2</v>
      </c>
      <c r="F2198" s="38">
        <v>150</v>
      </c>
      <c r="G2198" t="s">
        <v>164</v>
      </c>
    </row>
    <row r="2199" spans="1:7" x14ac:dyDescent="0.25">
      <c r="A2199" s="10" t="s">
        <v>1466</v>
      </c>
      <c r="B2199" s="10" t="s">
        <v>1733</v>
      </c>
      <c r="C2199" t="str">
        <f>Table13[[#This Row],[Manufacturer]]&amp;" "&amp;Table13[[#This Row],[Model]]</f>
        <v>Snap-on TEC12FUA</v>
      </c>
      <c r="D2199" s="1">
        <v>2</v>
      </c>
      <c r="E2199" s="1">
        <v>2</v>
      </c>
      <c r="F2199" s="38">
        <v>150</v>
      </c>
      <c r="G2199" t="s">
        <v>164</v>
      </c>
    </row>
    <row r="2200" spans="1:7" x14ac:dyDescent="0.25">
      <c r="A2200" s="10" t="s">
        <v>1466</v>
      </c>
      <c r="B2200" s="10" t="s">
        <v>1732</v>
      </c>
      <c r="C2200" t="str">
        <f>Table13[[#This Row],[Manufacturer]]&amp;" "&amp;Table13[[#This Row],[Model]]</f>
        <v>Snap-on TEC12FUE</v>
      </c>
      <c r="D2200" s="1">
        <v>2</v>
      </c>
      <c r="E2200" s="1">
        <v>2</v>
      </c>
      <c r="F2200" s="38">
        <v>150</v>
      </c>
      <c r="G2200" t="s">
        <v>164</v>
      </c>
    </row>
    <row r="2201" spans="1:7" x14ac:dyDescent="0.25">
      <c r="A2201" s="10" t="s">
        <v>1466</v>
      </c>
      <c r="B2201" s="10" t="s">
        <v>1731</v>
      </c>
      <c r="C2201" t="str">
        <f>Table13[[#This Row],[Manufacturer]]&amp;" "&amp;Table13[[#This Row],[Model]]</f>
        <v>Snap-on TEC12LA</v>
      </c>
      <c r="D2201" s="1">
        <v>2</v>
      </c>
      <c r="E2201" s="1">
        <v>2</v>
      </c>
      <c r="F2201" s="38">
        <v>150</v>
      </c>
      <c r="G2201" t="s">
        <v>164</v>
      </c>
    </row>
    <row r="2202" spans="1:7" x14ac:dyDescent="0.25">
      <c r="A2202" s="10" t="s">
        <v>1466</v>
      </c>
      <c r="B2202" s="10" t="s">
        <v>1730</v>
      </c>
      <c r="C2202" t="str">
        <f>Table13[[#This Row],[Manufacturer]]&amp;" "&amp;Table13[[#This Row],[Model]]</f>
        <v>Snap-on TEC1503</v>
      </c>
      <c r="D2202" s="1">
        <v>2</v>
      </c>
      <c r="E2202" s="1">
        <v>2</v>
      </c>
      <c r="F2202" s="38">
        <v>1500</v>
      </c>
      <c r="G2202" t="s">
        <v>166</v>
      </c>
    </row>
    <row r="2203" spans="1:7" x14ac:dyDescent="0.25">
      <c r="A2203" s="10" t="s">
        <v>1466</v>
      </c>
      <c r="B2203" s="10" t="s">
        <v>1729</v>
      </c>
      <c r="C2203" t="str">
        <f>Table13[[#This Row],[Manufacturer]]&amp;" "&amp;Table13[[#This Row],[Model]]</f>
        <v>Snap-on TEC1503FU</v>
      </c>
      <c r="D2203" s="1">
        <v>2</v>
      </c>
      <c r="E2203" s="1">
        <v>2</v>
      </c>
      <c r="F2203" s="38">
        <v>1500</v>
      </c>
      <c r="G2203" t="s">
        <v>166</v>
      </c>
    </row>
    <row r="2204" spans="1:7" x14ac:dyDescent="0.25">
      <c r="A2204" s="10" t="s">
        <v>1466</v>
      </c>
      <c r="B2204" s="10" t="s">
        <v>1728</v>
      </c>
      <c r="C2204" t="str">
        <f>Table13[[#This Row],[Manufacturer]]&amp;" "&amp;Table13[[#This Row],[Model]]</f>
        <v>Snap-on TEC1503L</v>
      </c>
      <c r="D2204" s="1">
        <v>2</v>
      </c>
      <c r="E2204" s="1">
        <v>2</v>
      </c>
      <c r="F2204" s="38">
        <v>1500</v>
      </c>
      <c r="G2204" t="s">
        <v>166</v>
      </c>
    </row>
    <row r="2205" spans="1:7" x14ac:dyDescent="0.25">
      <c r="A2205" s="10" t="s">
        <v>1466</v>
      </c>
      <c r="B2205" s="10" t="s">
        <v>1727</v>
      </c>
      <c r="C2205" t="str">
        <f>Table13[[#This Row],[Manufacturer]]&amp;" "&amp;Table13[[#This Row],[Model]]</f>
        <v>Snap-on TEC175</v>
      </c>
      <c r="D2205" s="1">
        <v>2</v>
      </c>
      <c r="E2205" s="1">
        <v>2</v>
      </c>
      <c r="F2205" s="38">
        <v>175</v>
      </c>
      <c r="G2205" t="s">
        <v>166</v>
      </c>
    </row>
    <row r="2206" spans="1:7" x14ac:dyDescent="0.25">
      <c r="A2206" s="10" t="s">
        <v>1466</v>
      </c>
      <c r="B2206" s="10" t="s">
        <v>1726</v>
      </c>
      <c r="C2206" t="str">
        <f>Table13[[#This Row],[Manufacturer]]&amp;" "&amp;Table13[[#This Row],[Model]]</f>
        <v>Snap-on TEC175FU</v>
      </c>
      <c r="D2206" s="1">
        <v>2</v>
      </c>
      <c r="E2206" s="1">
        <v>2</v>
      </c>
      <c r="F2206" s="38">
        <v>175</v>
      </c>
      <c r="G2206" t="s">
        <v>166</v>
      </c>
    </row>
    <row r="2207" spans="1:7" x14ac:dyDescent="0.25">
      <c r="A2207" s="10" t="s">
        <v>1466</v>
      </c>
      <c r="B2207" s="10" t="s">
        <v>1725</v>
      </c>
      <c r="C2207" t="str">
        <f>Table13[[#This Row],[Manufacturer]]&amp;" "&amp;Table13[[#This Row],[Model]]</f>
        <v>Snap-on TEC175FUE</v>
      </c>
      <c r="D2207" s="1">
        <v>2</v>
      </c>
      <c r="E2207" s="1">
        <v>2</v>
      </c>
      <c r="F2207" s="38">
        <v>175</v>
      </c>
      <c r="G2207" t="s">
        <v>166</v>
      </c>
    </row>
    <row r="2208" spans="1:7" x14ac:dyDescent="0.25">
      <c r="A2208" s="10" t="s">
        <v>1466</v>
      </c>
      <c r="B2208" s="10" t="s">
        <v>1724</v>
      </c>
      <c r="C2208" t="str">
        <f>Table13[[#This Row],[Manufacturer]]&amp;" "&amp;Table13[[#This Row],[Model]]</f>
        <v>Snap-on TEC175L</v>
      </c>
      <c r="D2208" s="1">
        <v>2</v>
      </c>
      <c r="E2208" s="1">
        <v>2</v>
      </c>
      <c r="F2208" s="38">
        <v>175</v>
      </c>
      <c r="G2208" t="s">
        <v>166</v>
      </c>
    </row>
    <row r="2209" spans="1:7" x14ac:dyDescent="0.25">
      <c r="A2209" s="10" t="s">
        <v>1466</v>
      </c>
      <c r="B2209" s="10" t="s">
        <v>1723</v>
      </c>
      <c r="C2209" t="str">
        <f>Table13[[#This Row],[Manufacturer]]&amp;" "&amp;Table13[[#This Row],[Model]]</f>
        <v>Snap-on TEC1A</v>
      </c>
      <c r="D2209" s="1">
        <v>2</v>
      </c>
      <c r="E2209" s="1">
        <v>2</v>
      </c>
      <c r="F2209" s="38">
        <v>15</v>
      </c>
      <c r="G2209" t="s">
        <v>164</v>
      </c>
    </row>
    <row r="2210" spans="1:7" x14ac:dyDescent="0.25">
      <c r="A2210" s="10" t="s">
        <v>1466</v>
      </c>
      <c r="B2210" s="10" t="s">
        <v>1722</v>
      </c>
      <c r="C2210" t="str">
        <f>Table13[[#This Row],[Manufacturer]]&amp;" "&amp;Table13[[#This Row],[Model]]</f>
        <v>Snap-on TEC1FUA</v>
      </c>
      <c r="D2210" s="1">
        <v>2</v>
      </c>
      <c r="E2210" s="1">
        <v>2</v>
      </c>
      <c r="F2210" s="38">
        <v>15</v>
      </c>
      <c r="G2210" t="s">
        <v>164</v>
      </c>
    </row>
    <row r="2211" spans="1:7" x14ac:dyDescent="0.25">
      <c r="A2211" s="10" t="s">
        <v>1466</v>
      </c>
      <c r="B2211" s="10" t="s">
        <v>1721</v>
      </c>
      <c r="C2211" t="str">
        <f>Table13[[#This Row],[Manufacturer]]&amp;" "&amp;Table13[[#This Row],[Model]]</f>
        <v>Snap-on TEC1FUE</v>
      </c>
      <c r="D2211" s="1">
        <v>2</v>
      </c>
      <c r="E2211" s="1">
        <v>2</v>
      </c>
      <c r="F2211" s="38">
        <v>15</v>
      </c>
      <c r="G2211" t="s">
        <v>164</v>
      </c>
    </row>
    <row r="2212" spans="1:7" x14ac:dyDescent="0.25">
      <c r="A2212" s="10" t="s">
        <v>1466</v>
      </c>
      <c r="B2212" s="10" t="s">
        <v>1720</v>
      </c>
      <c r="C2212" t="str">
        <f>Table13[[#This Row],[Manufacturer]]&amp;" "&amp;Table13[[#This Row],[Model]]</f>
        <v>Snap-on TEC2003</v>
      </c>
      <c r="D2212" s="1">
        <v>2</v>
      </c>
      <c r="E2212" s="1">
        <v>2</v>
      </c>
      <c r="F2212" s="38">
        <v>2000</v>
      </c>
      <c r="G2212" t="s">
        <v>166</v>
      </c>
    </row>
    <row r="2213" spans="1:7" x14ac:dyDescent="0.25">
      <c r="A2213" s="10" t="s">
        <v>1466</v>
      </c>
      <c r="B2213" s="10" t="s">
        <v>1719</v>
      </c>
      <c r="C2213" t="str">
        <f>Table13[[#This Row],[Manufacturer]]&amp;" "&amp;Table13[[#This Row],[Model]]</f>
        <v>Snap-on TEC2003FU</v>
      </c>
      <c r="D2213" s="1">
        <v>2</v>
      </c>
      <c r="E2213" s="1">
        <v>2</v>
      </c>
      <c r="F2213" s="38">
        <v>2000</v>
      </c>
      <c r="G2213" t="s">
        <v>166</v>
      </c>
    </row>
    <row r="2214" spans="1:7" x14ac:dyDescent="0.25">
      <c r="A2214" s="10" t="s">
        <v>1466</v>
      </c>
      <c r="B2214" s="10" t="s">
        <v>1718</v>
      </c>
      <c r="C2214" t="str">
        <f>Table13[[#This Row],[Manufacturer]]&amp;" "&amp;Table13[[#This Row],[Model]]</f>
        <v>Snap-on TEC2003L</v>
      </c>
      <c r="D2214" s="1">
        <v>2</v>
      </c>
      <c r="E2214" s="1">
        <v>2</v>
      </c>
      <c r="F2214" s="38">
        <v>2000</v>
      </c>
      <c r="G2214" t="s">
        <v>166</v>
      </c>
    </row>
    <row r="2215" spans="1:7" x14ac:dyDescent="0.25">
      <c r="A2215" s="10" t="s">
        <v>1466</v>
      </c>
      <c r="B2215" s="10" t="s">
        <v>1717</v>
      </c>
      <c r="C2215" t="str">
        <f>Table13[[#This Row],[Manufacturer]]&amp;" "&amp;Table13[[#This Row],[Model]]</f>
        <v>Snap-on TEC2005</v>
      </c>
      <c r="D2215" s="1">
        <v>2</v>
      </c>
      <c r="E2215" s="1">
        <v>2</v>
      </c>
      <c r="F2215" s="38">
        <v>2000</v>
      </c>
      <c r="G2215" t="s">
        <v>166</v>
      </c>
    </row>
    <row r="2216" spans="1:7" x14ac:dyDescent="0.25">
      <c r="A2216" s="10" t="s">
        <v>1466</v>
      </c>
      <c r="B2216" s="10" t="s">
        <v>1716</v>
      </c>
      <c r="C2216" t="str">
        <f>Table13[[#This Row],[Manufacturer]]&amp;" "&amp;Table13[[#This Row],[Model]]</f>
        <v>Snap-on TEC2005FU</v>
      </c>
      <c r="D2216" s="1">
        <v>2</v>
      </c>
      <c r="E2216" s="1">
        <v>2</v>
      </c>
      <c r="F2216" s="38">
        <v>2000</v>
      </c>
      <c r="G2216" t="s">
        <v>166</v>
      </c>
    </row>
    <row r="2217" spans="1:7" x14ac:dyDescent="0.25">
      <c r="A2217" s="10" t="s">
        <v>1466</v>
      </c>
      <c r="B2217" s="10" t="s">
        <v>1715</v>
      </c>
      <c r="C2217" t="str">
        <f>Table13[[#This Row],[Manufacturer]]&amp;" "&amp;Table13[[#This Row],[Model]]</f>
        <v>Snap-on TEC2005L</v>
      </c>
      <c r="D2217" s="1">
        <v>2</v>
      </c>
      <c r="E2217" s="1">
        <v>2</v>
      </c>
      <c r="F2217" s="38">
        <v>2000</v>
      </c>
      <c r="G2217" t="s">
        <v>166</v>
      </c>
    </row>
    <row r="2218" spans="1:7" x14ac:dyDescent="0.25">
      <c r="A2218" s="10" t="s">
        <v>1466</v>
      </c>
      <c r="B2218" s="10" t="s">
        <v>1714</v>
      </c>
      <c r="C2218" t="str">
        <f>Table13[[#This Row],[Manufacturer]]&amp;" "&amp;Table13[[#This Row],[Model]]</f>
        <v>Snap-on TEC250</v>
      </c>
      <c r="D2218" s="1">
        <v>2</v>
      </c>
      <c r="E2218" s="1">
        <v>2</v>
      </c>
      <c r="F2218" s="38">
        <v>250</v>
      </c>
      <c r="G2218" t="s">
        <v>166</v>
      </c>
    </row>
    <row r="2219" spans="1:7" x14ac:dyDescent="0.25">
      <c r="A2219" s="10" t="s">
        <v>1466</v>
      </c>
      <c r="B2219" s="10" t="s">
        <v>1713</v>
      </c>
      <c r="C2219" t="str">
        <f>Table13[[#This Row],[Manufacturer]]&amp;" "&amp;Table13[[#This Row],[Model]]</f>
        <v>Snap-on TEC250FU</v>
      </c>
      <c r="D2219" s="1">
        <v>2</v>
      </c>
      <c r="E2219" s="1">
        <v>2</v>
      </c>
      <c r="F2219" s="38">
        <v>250</v>
      </c>
      <c r="G2219" t="s">
        <v>166</v>
      </c>
    </row>
    <row r="2220" spans="1:7" x14ac:dyDescent="0.25">
      <c r="A2220" s="10" t="s">
        <v>1466</v>
      </c>
      <c r="B2220" s="10" t="s">
        <v>1712</v>
      </c>
      <c r="C2220" t="str">
        <f>Table13[[#This Row],[Manufacturer]]&amp;" "&amp;Table13[[#This Row],[Model]]</f>
        <v>Snap-on TEC250FUE</v>
      </c>
      <c r="D2220" s="1">
        <v>2</v>
      </c>
      <c r="E2220" s="1">
        <v>2</v>
      </c>
      <c r="F2220" s="38">
        <v>250</v>
      </c>
      <c r="G2220" t="s">
        <v>166</v>
      </c>
    </row>
    <row r="2221" spans="1:7" x14ac:dyDescent="0.25">
      <c r="A2221" s="10" t="s">
        <v>1466</v>
      </c>
      <c r="B2221" s="10" t="s">
        <v>1711</v>
      </c>
      <c r="C2221" t="str">
        <f>Table13[[#This Row],[Manufacturer]]&amp;" "&amp;Table13[[#This Row],[Model]]</f>
        <v>Snap-on TEC250L</v>
      </c>
      <c r="D2221" s="1">
        <v>2</v>
      </c>
      <c r="E2221" s="1">
        <v>2</v>
      </c>
      <c r="F2221" s="38">
        <v>250</v>
      </c>
      <c r="G2221" t="s">
        <v>166</v>
      </c>
    </row>
    <row r="2222" spans="1:7" x14ac:dyDescent="0.25">
      <c r="A2222" s="10" t="s">
        <v>1466</v>
      </c>
      <c r="B2222" s="10" t="s">
        <v>1710</v>
      </c>
      <c r="C2222" t="str">
        <f>Table13[[#This Row],[Manufacturer]]&amp;" "&amp;Table13[[#This Row],[Model]]</f>
        <v>Snap-on TEC25FA</v>
      </c>
      <c r="D2222" s="1">
        <v>2</v>
      </c>
      <c r="E2222" s="1">
        <v>2</v>
      </c>
      <c r="F2222" s="38">
        <v>25</v>
      </c>
      <c r="G2222" t="s">
        <v>166</v>
      </c>
    </row>
    <row r="2223" spans="1:7" x14ac:dyDescent="0.25">
      <c r="A2223" s="10" t="s">
        <v>1466</v>
      </c>
      <c r="B2223" s="10" t="s">
        <v>1709</v>
      </c>
      <c r="C2223" t="str">
        <f>Table13[[#This Row],[Manufacturer]]&amp;" "&amp;Table13[[#This Row],[Model]]</f>
        <v>Snap-on TEC25FFUA</v>
      </c>
      <c r="D2223" s="1">
        <v>2</v>
      </c>
      <c r="E2223" s="1">
        <v>2</v>
      </c>
      <c r="F2223" s="38">
        <v>25</v>
      </c>
      <c r="G2223" t="s">
        <v>166</v>
      </c>
    </row>
    <row r="2224" spans="1:7" x14ac:dyDescent="0.25">
      <c r="A2224" s="10" t="s">
        <v>1466</v>
      </c>
      <c r="B2224" s="10" t="s">
        <v>1708</v>
      </c>
      <c r="C2224" t="str">
        <f>Table13[[#This Row],[Manufacturer]]&amp;" "&amp;Table13[[#This Row],[Model]]</f>
        <v>Snap-on TEC25FLA</v>
      </c>
      <c r="D2224" s="1">
        <v>2</v>
      </c>
      <c r="E2224" s="1">
        <v>2</v>
      </c>
      <c r="F2224" s="38">
        <v>25</v>
      </c>
      <c r="G2224" t="s">
        <v>166</v>
      </c>
    </row>
    <row r="2225" spans="1:7" x14ac:dyDescent="0.25">
      <c r="A2225" s="10" t="s">
        <v>1466</v>
      </c>
      <c r="B2225" s="10" t="s">
        <v>1707</v>
      </c>
      <c r="C2225" t="str">
        <f>Table13[[#This Row],[Manufacturer]]&amp;" "&amp;Table13[[#This Row],[Model]]</f>
        <v>Snap-on TEC25FUE</v>
      </c>
      <c r="D2225" s="1">
        <v>2</v>
      </c>
      <c r="E2225" s="1">
        <v>2</v>
      </c>
      <c r="F2225" s="38">
        <v>25</v>
      </c>
      <c r="G2225" t="s">
        <v>166</v>
      </c>
    </row>
    <row r="2226" spans="1:7" x14ac:dyDescent="0.25">
      <c r="A2226" s="10" t="s">
        <v>1466</v>
      </c>
      <c r="B2226" s="10" t="s">
        <v>1706</v>
      </c>
      <c r="C2226" t="str">
        <f>Table13[[#This Row],[Manufacturer]]&amp;" "&amp;Table13[[#This Row],[Model]]</f>
        <v>Snap-on TEC3005</v>
      </c>
      <c r="D2226" s="1">
        <v>2</v>
      </c>
      <c r="E2226" s="1">
        <v>2</v>
      </c>
      <c r="F2226" s="38">
        <v>3000</v>
      </c>
      <c r="G2226" t="s">
        <v>166</v>
      </c>
    </row>
    <row r="2227" spans="1:7" x14ac:dyDescent="0.25">
      <c r="A2227" s="10" t="s">
        <v>1466</v>
      </c>
      <c r="B2227" s="10" t="s">
        <v>1705</v>
      </c>
      <c r="C2227" t="str">
        <f>Table13[[#This Row],[Manufacturer]]&amp;" "&amp;Table13[[#This Row],[Model]]</f>
        <v>Snap-on TEC3005FU</v>
      </c>
      <c r="D2227" s="1">
        <v>2</v>
      </c>
      <c r="E2227" s="1">
        <v>2</v>
      </c>
      <c r="F2227" s="38">
        <v>3000</v>
      </c>
      <c r="G2227" t="s">
        <v>166</v>
      </c>
    </row>
    <row r="2228" spans="1:7" x14ac:dyDescent="0.25">
      <c r="A2228" s="10" t="s">
        <v>1466</v>
      </c>
      <c r="B2228" s="10" t="s">
        <v>1704</v>
      </c>
      <c r="C2228" t="str">
        <f>Table13[[#This Row],[Manufacturer]]&amp;" "&amp;Table13[[#This Row],[Model]]</f>
        <v>Snap-on TEC3005L</v>
      </c>
      <c r="D2228" s="1">
        <v>2</v>
      </c>
      <c r="E2228" s="1">
        <v>2</v>
      </c>
      <c r="F2228" s="38">
        <v>3000</v>
      </c>
      <c r="G2228" t="s">
        <v>166</v>
      </c>
    </row>
    <row r="2229" spans="1:7" x14ac:dyDescent="0.25">
      <c r="A2229" s="10" t="s">
        <v>1466</v>
      </c>
      <c r="B2229" s="10" t="s">
        <v>1703</v>
      </c>
      <c r="C2229" t="str">
        <f>Table13[[#This Row],[Manufacturer]]&amp;" "&amp;Table13[[#This Row],[Model]]</f>
        <v>Snap-on TEC352A</v>
      </c>
      <c r="D2229" s="1">
        <v>2</v>
      </c>
      <c r="E2229" s="1">
        <v>2</v>
      </c>
      <c r="F2229" s="38">
        <v>350</v>
      </c>
      <c r="G2229" t="s">
        <v>166</v>
      </c>
    </row>
    <row r="2230" spans="1:7" x14ac:dyDescent="0.25">
      <c r="A2230" s="10" t="s">
        <v>1466</v>
      </c>
      <c r="B2230" s="10" t="s">
        <v>1702</v>
      </c>
      <c r="C2230" t="str">
        <f>Table13[[#This Row],[Manufacturer]]&amp;" "&amp;Table13[[#This Row],[Model]]</f>
        <v>Snap-on TEC352FUA</v>
      </c>
      <c r="D2230" s="1">
        <v>2</v>
      </c>
      <c r="E2230" s="1">
        <v>2</v>
      </c>
      <c r="F2230" s="38">
        <v>350</v>
      </c>
      <c r="G2230" t="s">
        <v>166</v>
      </c>
    </row>
    <row r="2231" spans="1:7" x14ac:dyDescent="0.25">
      <c r="A2231" s="10" t="s">
        <v>1466</v>
      </c>
      <c r="B2231" s="10" t="s">
        <v>1701</v>
      </c>
      <c r="C2231" t="str">
        <f>Table13[[#This Row],[Manufacturer]]&amp;" "&amp;Table13[[#This Row],[Model]]</f>
        <v>Snap-on TEC352FUE</v>
      </c>
      <c r="D2231" s="1">
        <v>2</v>
      </c>
      <c r="E2231" s="1">
        <v>2</v>
      </c>
      <c r="F2231" s="38">
        <v>350</v>
      </c>
      <c r="G2231" t="s">
        <v>166</v>
      </c>
    </row>
    <row r="2232" spans="1:7" x14ac:dyDescent="0.25">
      <c r="A2232" s="10" t="s">
        <v>1466</v>
      </c>
      <c r="B2232" s="10" t="s">
        <v>1700</v>
      </c>
      <c r="C2232" t="str">
        <f>Table13[[#This Row],[Manufacturer]]&amp;" "&amp;Table13[[#This Row],[Model]]</f>
        <v>Snap-on TEC352LA</v>
      </c>
      <c r="D2232" s="1">
        <v>2</v>
      </c>
      <c r="E2232" s="1">
        <v>2</v>
      </c>
      <c r="F2232" s="38">
        <v>350</v>
      </c>
      <c r="G2232" t="s">
        <v>166</v>
      </c>
    </row>
    <row r="2233" spans="1:7" x14ac:dyDescent="0.25">
      <c r="A2233" s="10" t="s">
        <v>1466</v>
      </c>
      <c r="B2233" s="10" t="s">
        <v>1699</v>
      </c>
      <c r="C2233" t="str">
        <f>Table13[[#This Row],[Manufacturer]]&amp;" "&amp;Table13[[#This Row],[Model]]</f>
        <v>Snap-on TEC3A</v>
      </c>
      <c r="D2233" s="1">
        <v>2</v>
      </c>
      <c r="E2233" s="1">
        <v>2</v>
      </c>
      <c r="F2233" s="38">
        <v>30</v>
      </c>
      <c r="G2233" t="s">
        <v>164</v>
      </c>
    </row>
    <row r="2234" spans="1:7" x14ac:dyDescent="0.25">
      <c r="A2234" s="10" t="s">
        <v>1466</v>
      </c>
      <c r="B2234" s="10" t="s">
        <v>1698</v>
      </c>
      <c r="C2234" t="str">
        <f>Table13[[#This Row],[Manufacturer]]&amp;" "&amp;Table13[[#This Row],[Model]]</f>
        <v>Snap-on TEC3FUA</v>
      </c>
      <c r="D2234" s="1">
        <v>2</v>
      </c>
      <c r="E2234" s="1">
        <v>2</v>
      </c>
      <c r="F2234" s="38">
        <v>30</v>
      </c>
      <c r="G2234" t="s">
        <v>164</v>
      </c>
    </row>
    <row r="2235" spans="1:7" x14ac:dyDescent="0.25">
      <c r="A2235" s="10" t="s">
        <v>1466</v>
      </c>
      <c r="B2235" s="10" t="s">
        <v>1697</v>
      </c>
      <c r="C2235" t="str">
        <f>Table13[[#This Row],[Manufacturer]]&amp;" "&amp;Table13[[#This Row],[Model]]</f>
        <v>Snap-on TEC3FUE</v>
      </c>
      <c r="D2235" s="1">
        <v>2</v>
      </c>
      <c r="E2235" s="1">
        <v>2</v>
      </c>
      <c r="F2235" s="38">
        <v>30</v>
      </c>
      <c r="G2235" t="s">
        <v>164</v>
      </c>
    </row>
    <row r="2236" spans="1:7" x14ac:dyDescent="0.25">
      <c r="A2236" s="10" t="s">
        <v>1466</v>
      </c>
      <c r="B2236" s="10" t="s">
        <v>1696</v>
      </c>
      <c r="C2236" t="str">
        <f>Table13[[#This Row],[Manufacturer]]&amp;" "&amp;Table13[[#This Row],[Model]]</f>
        <v>Snap-on TEC50A</v>
      </c>
      <c r="D2236" s="1">
        <v>2</v>
      </c>
      <c r="E2236" s="1">
        <v>2</v>
      </c>
      <c r="F2236" s="38">
        <v>600</v>
      </c>
      <c r="G2236" t="s">
        <v>164</v>
      </c>
    </row>
    <row r="2237" spans="1:7" x14ac:dyDescent="0.25">
      <c r="A2237" s="10" t="s">
        <v>1466</v>
      </c>
      <c r="B2237" s="10" t="s">
        <v>1695</v>
      </c>
      <c r="C2237" t="str">
        <f>Table13[[#This Row],[Manufacturer]]&amp;" "&amp;Table13[[#This Row],[Model]]</f>
        <v>Snap-on TEC50FUA</v>
      </c>
      <c r="D2237" s="1">
        <v>2</v>
      </c>
      <c r="E2237" s="1">
        <v>2</v>
      </c>
      <c r="F2237" s="38">
        <v>600</v>
      </c>
      <c r="G2237" t="s">
        <v>164</v>
      </c>
    </row>
    <row r="2238" spans="1:7" x14ac:dyDescent="0.25">
      <c r="A2238" s="10" t="s">
        <v>1466</v>
      </c>
      <c r="B2238" s="10" t="s">
        <v>1694</v>
      </c>
      <c r="C2238" t="str">
        <f>Table13[[#This Row],[Manufacturer]]&amp;" "&amp;Table13[[#This Row],[Model]]</f>
        <v>Snap-on TEC50FUE</v>
      </c>
      <c r="D2238" s="1">
        <v>2</v>
      </c>
      <c r="E2238" s="1">
        <v>2</v>
      </c>
      <c r="F2238" s="38">
        <v>600</v>
      </c>
      <c r="G2238" t="s">
        <v>164</v>
      </c>
    </row>
    <row r="2239" spans="1:7" x14ac:dyDescent="0.25">
      <c r="A2239" s="10" t="s">
        <v>1466</v>
      </c>
      <c r="B2239" s="10" t="s">
        <v>1693</v>
      </c>
      <c r="C2239" t="str">
        <f>Table13[[#This Row],[Manufacturer]]&amp;" "&amp;Table13[[#This Row],[Model]]</f>
        <v>Snap-on TEC50LA</v>
      </c>
      <c r="D2239" s="1">
        <v>2</v>
      </c>
      <c r="E2239" s="1">
        <v>2</v>
      </c>
      <c r="F2239" s="38">
        <v>600</v>
      </c>
      <c r="G2239" t="s">
        <v>164</v>
      </c>
    </row>
    <row r="2240" spans="1:7" x14ac:dyDescent="0.25">
      <c r="A2240" s="10" t="s">
        <v>1466</v>
      </c>
      <c r="B2240" s="10" t="s">
        <v>1692</v>
      </c>
      <c r="C2240" t="str">
        <f>Table13[[#This Row],[Manufacturer]]&amp;" "&amp;Table13[[#This Row],[Model]]</f>
        <v>Snap-on TEC51</v>
      </c>
      <c r="D2240" s="1">
        <v>2</v>
      </c>
      <c r="E2240" s="1">
        <v>2</v>
      </c>
      <c r="F2240" s="38">
        <v>600</v>
      </c>
      <c r="G2240" t="s">
        <v>164</v>
      </c>
    </row>
    <row r="2241" spans="1:7" x14ac:dyDescent="0.25">
      <c r="A2241" s="10" t="s">
        <v>1466</v>
      </c>
      <c r="B2241" s="10" t="s">
        <v>1691</v>
      </c>
      <c r="C2241" t="str">
        <f>Table13[[#This Row],[Manufacturer]]&amp;" "&amp;Table13[[#This Row],[Model]]</f>
        <v>Snap-on TEC51FU</v>
      </c>
      <c r="D2241" s="1">
        <v>2</v>
      </c>
      <c r="E2241" s="1">
        <v>2</v>
      </c>
      <c r="F2241" s="38">
        <v>600</v>
      </c>
      <c r="G2241" t="s">
        <v>164</v>
      </c>
    </row>
    <row r="2242" spans="1:7" x14ac:dyDescent="0.25">
      <c r="A2242" s="10" t="s">
        <v>1466</v>
      </c>
      <c r="B2242" s="10" t="s">
        <v>1690</v>
      </c>
      <c r="C2242" t="str">
        <f>Table13[[#This Row],[Manufacturer]]&amp;" "&amp;Table13[[#This Row],[Model]]</f>
        <v>Snap-on TEC51FUE</v>
      </c>
      <c r="D2242" s="1">
        <v>2</v>
      </c>
      <c r="E2242" s="1">
        <v>2</v>
      </c>
      <c r="F2242" s="38">
        <v>600</v>
      </c>
      <c r="G2242" t="s">
        <v>164</v>
      </c>
    </row>
    <row r="2243" spans="1:7" x14ac:dyDescent="0.25">
      <c r="A2243" s="10" t="s">
        <v>1466</v>
      </c>
      <c r="B2243" s="10" t="s">
        <v>1689</v>
      </c>
      <c r="C2243" t="str">
        <f>Table13[[#This Row],[Manufacturer]]&amp;" "&amp;Table13[[#This Row],[Model]]</f>
        <v>Snap-on TEC51L</v>
      </c>
      <c r="D2243" s="1">
        <v>2</v>
      </c>
      <c r="E2243" s="1">
        <v>2</v>
      </c>
      <c r="F2243" s="38">
        <v>600</v>
      </c>
      <c r="G2243" t="s">
        <v>164</v>
      </c>
    </row>
    <row r="2244" spans="1:7" x14ac:dyDescent="0.25">
      <c r="A2244" s="10" t="s">
        <v>1466</v>
      </c>
      <c r="B2244" s="10" t="s">
        <v>1688</v>
      </c>
      <c r="C2244" t="str">
        <f>Table13[[#This Row],[Manufacturer]]&amp;" "&amp;Table13[[#This Row],[Model]]</f>
        <v>Snap-on TEC602A</v>
      </c>
      <c r="D2244" s="1">
        <v>2</v>
      </c>
      <c r="E2244" s="1">
        <v>2</v>
      </c>
      <c r="F2244" s="38">
        <v>600</v>
      </c>
      <c r="G2244" t="s">
        <v>166</v>
      </c>
    </row>
    <row r="2245" spans="1:7" x14ac:dyDescent="0.25">
      <c r="A2245" s="10" t="s">
        <v>1466</v>
      </c>
      <c r="B2245" s="10" t="s">
        <v>1687</v>
      </c>
      <c r="C2245" t="str">
        <f>Table13[[#This Row],[Manufacturer]]&amp;" "&amp;Table13[[#This Row],[Model]]</f>
        <v>Snap-on TEC602FU</v>
      </c>
      <c r="D2245" s="1">
        <v>2</v>
      </c>
      <c r="E2245" s="1">
        <v>2</v>
      </c>
      <c r="F2245" s="38">
        <v>600</v>
      </c>
      <c r="G2245" t="s">
        <v>166</v>
      </c>
    </row>
    <row r="2246" spans="1:7" x14ac:dyDescent="0.25">
      <c r="A2246" s="10" t="s">
        <v>1466</v>
      </c>
      <c r="B2246" s="10" t="s">
        <v>1686</v>
      </c>
      <c r="C2246" t="str">
        <f>Table13[[#This Row],[Manufacturer]]&amp;" "&amp;Table13[[#This Row],[Model]]</f>
        <v>Snap-on TEC602FUA</v>
      </c>
      <c r="D2246" s="1">
        <v>2</v>
      </c>
      <c r="E2246" s="1">
        <v>2</v>
      </c>
      <c r="F2246" s="38">
        <v>600</v>
      </c>
      <c r="G2246" t="s">
        <v>166</v>
      </c>
    </row>
    <row r="2247" spans="1:7" x14ac:dyDescent="0.25">
      <c r="A2247" s="10" t="s">
        <v>1466</v>
      </c>
      <c r="B2247" s="10" t="s">
        <v>1685</v>
      </c>
      <c r="C2247" t="str">
        <f>Table13[[#This Row],[Manufacturer]]&amp;" "&amp;Table13[[#This Row],[Model]]</f>
        <v>Snap-on TEC602FUE</v>
      </c>
      <c r="D2247" s="1">
        <v>2</v>
      </c>
      <c r="E2247" s="1">
        <v>2</v>
      </c>
      <c r="F2247" s="38">
        <v>600</v>
      </c>
      <c r="G2247" t="s">
        <v>166</v>
      </c>
    </row>
    <row r="2248" spans="1:7" x14ac:dyDescent="0.25">
      <c r="A2248" s="10" t="s">
        <v>1466</v>
      </c>
      <c r="B2248" s="10" t="s">
        <v>1684</v>
      </c>
      <c r="C2248" t="str">
        <f>Table13[[#This Row],[Manufacturer]]&amp;" "&amp;Table13[[#This Row],[Model]]</f>
        <v>Snap-on TEC602LA</v>
      </c>
      <c r="D2248" s="1">
        <v>2</v>
      </c>
      <c r="E2248" s="1">
        <v>2</v>
      </c>
      <c r="F2248" s="38">
        <v>600</v>
      </c>
      <c r="G2248" t="s">
        <v>166</v>
      </c>
    </row>
    <row r="2249" spans="1:7" x14ac:dyDescent="0.25">
      <c r="A2249" s="10" t="s">
        <v>1466</v>
      </c>
      <c r="B2249" s="10" t="s">
        <v>1683</v>
      </c>
      <c r="C2249" t="str">
        <f>Table13[[#This Row],[Manufacturer]]&amp;" "&amp;Table13[[#This Row],[Model]]</f>
        <v>Snap-on TEC6A</v>
      </c>
      <c r="D2249" s="1">
        <v>2</v>
      </c>
      <c r="E2249" s="1">
        <v>2</v>
      </c>
      <c r="F2249" s="38">
        <v>75</v>
      </c>
      <c r="G2249" t="s">
        <v>164</v>
      </c>
    </row>
    <row r="2250" spans="1:7" x14ac:dyDescent="0.25">
      <c r="A2250" s="10" t="s">
        <v>1466</v>
      </c>
      <c r="B2250" s="10" t="s">
        <v>1682</v>
      </c>
      <c r="C2250" t="str">
        <f>Table13[[#This Row],[Manufacturer]]&amp;" "&amp;Table13[[#This Row],[Model]]</f>
        <v>Snap-on TEC6FUA</v>
      </c>
      <c r="D2250" s="1">
        <v>2</v>
      </c>
      <c r="E2250" s="1">
        <v>2</v>
      </c>
      <c r="F2250" s="38">
        <v>75</v>
      </c>
      <c r="G2250" t="s">
        <v>164</v>
      </c>
    </row>
    <row r="2251" spans="1:7" x14ac:dyDescent="0.25">
      <c r="A2251" s="10" t="s">
        <v>1466</v>
      </c>
      <c r="B2251" s="10" t="s">
        <v>1681</v>
      </c>
      <c r="C2251" t="str">
        <f>Table13[[#This Row],[Manufacturer]]&amp;" "&amp;Table13[[#This Row],[Model]]</f>
        <v>Snap-on TEC6FUE</v>
      </c>
      <c r="D2251" s="1">
        <v>2</v>
      </c>
      <c r="E2251" s="1">
        <v>2</v>
      </c>
      <c r="F2251" s="38">
        <v>75</v>
      </c>
      <c r="G2251" t="s">
        <v>164</v>
      </c>
    </row>
    <row r="2252" spans="1:7" x14ac:dyDescent="0.25">
      <c r="A2252" s="10" t="s">
        <v>1466</v>
      </c>
      <c r="B2252" s="10" t="s">
        <v>1680</v>
      </c>
      <c r="C2252" t="str">
        <f>Table13[[#This Row],[Manufacturer]]&amp;" "&amp;Table13[[#This Row],[Model]]</f>
        <v>Snap-on TEC803</v>
      </c>
      <c r="D2252" s="1">
        <v>2</v>
      </c>
      <c r="E2252" s="1">
        <v>2</v>
      </c>
      <c r="F2252" s="38">
        <v>800</v>
      </c>
      <c r="G2252" t="s">
        <v>166</v>
      </c>
    </row>
    <row r="2253" spans="1:7" x14ac:dyDescent="0.25">
      <c r="A2253" s="10" t="s">
        <v>1466</v>
      </c>
      <c r="B2253" s="10" t="s">
        <v>1679</v>
      </c>
      <c r="C2253" t="str">
        <f>Table13[[#This Row],[Manufacturer]]&amp;" "&amp;Table13[[#This Row],[Model]]</f>
        <v>Snap-on TEC803FU</v>
      </c>
      <c r="D2253" s="1">
        <v>2</v>
      </c>
      <c r="E2253" s="1">
        <v>2</v>
      </c>
      <c r="F2253" s="38">
        <v>800</v>
      </c>
      <c r="G2253" t="s">
        <v>166</v>
      </c>
    </row>
    <row r="2254" spans="1:7" x14ac:dyDescent="0.25">
      <c r="A2254" s="10" t="s">
        <v>1466</v>
      </c>
      <c r="B2254" s="10" t="s">
        <v>1678</v>
      </c>
      <c r="C2254" t="str">
        <f>Table13[[#This Row],[Manufacturer]]&amp;" "&amp;Table13[[#This Row],[Model]]</f>
        <v>Snap-on TEC803L</v>
      </c>
      <c r="D2254" s="1">
        <v>2</v>
      </c>
      <c r="E2254" s="1">
        <v>2</v>
      </c>
      <c r="F2254" s="38">
        <v>800</v>
      </c>
      <c r="G2254" t="s">
        <v>166</v>
      </c>
    </row>
    <row r="2255" spans="1:7" x14ac:dyDescent="0.25">
      <c r="A2255" s="10" t="s">
        <v>1466</v>
      </c>
      <c r="B2255" s="10" t="s">
        <v>1677</v>
      </c>
      <c r="C2255" t="str">
        <f>Table13[[#This Row],[Manufacturer]]&amp;" "&amp;Table13[[#This Row],[Model]]</f>
        <v>Snap-on TECH1</v>
      </c>
      <c r="D2255" s="1">
        <v>2</v>
      </c>
      <c r="E2255" s="1">
        <v>3</v>
      </c>
      <c r="F2255" s="38">
        <v>20</v>
      </c>
      <c r="G2255" t="s">
        <v>166</v>
      </c>
    </row>
    <row r="2256" spans="1:7" x14ac:dyDescent="0.25">
      <c r="A2256" s="10" t="s">
        <v>1466</v>
      </c>
      <c r="B2256" s="10" t="s">
        <v>1676</v>
      </c>
      <c r="C2256" t="str">
        <f>Table13[[#This Row],[Manufacturer]]&amp;" "&amp;Table13[[#This Row],[Model]]</f>
        <v>Snap-on TECH1FR240</v>
      </c>
      <c r="D2256" s="1">
        <v>2</v>
      </c>
      <c r="E2256" s="1">
        <v>3</v>
      </c>
      <c r="F2256" s="38">
        <v>240</v>
      </c>
      <c r="G2256" t="s">
        <v>164</v>
      </c>
    </row>
    <row r="2257" spans="1:7" x14ac:dyDescent="0.25">
      <c r="A2257" s="10" t="s">
        <v>1466</v>
      </c>
      <c r="B2257" s="10" t="s">
        <v>1675</v>
      </c>
      <c r="C2257" t="str">
        <f>Table13[[#This Row],[Manufacturer]]&amp;" "&amp;Table13[[#This Row],[Model]]</f>
        <v>Snap-on TECH1FRM240</v>
      </c>
      <c r="D2257" s="1">
        <v>2</v>
      </c>
      <c r="E2257" s="1">
        <v>3</v>
      </c>
      <c r="F2257" s="38">
        <v>240</v>
      </c>
      <c r="G2257" t="s">
        <v>164</v>
      </c>
    </row>
    <row r="2258" spans="1:7" x14ac:dyDescent="0.25">
      <c r="A2258" s="10" t="s">
        <v>1466</v>
      </c>
      <c r="B2258" s="10" t="s">
        <v>1674</v>
      </c>
      <c r="C2258" t="str">
        <f>Table13[[#This Row],[Manufacturer]]&amp;" "&amp;Table13[[#This Row],[Model]]</f>
        <v>Snap-on TECH1J240</v>
      </c>
      <c r="D2258" s="1">
        <v>4</v>
      </c>
      <c r="E2258" s="1">
        <v>6</v>
      </c>
      <c r="F2258" s="38">
        <v>240</v>
      </c>
      <c r="G2258" t="s">
        <v>164</v>
      </c>
    </row>
    <row r="2259" spans="1:7" x14ac:dyDescent="0.25">
      <c r="A2259" s="10" t="s">
        <v>1466</v>
      </c>
      <c r="B2259" s="10" t="s">
        <v>1673</v>
      </c>
      <c r="C2259" t="str">
        <f>Table13[[#This Row],[Manufacturer]]&amp;" "&amp;Table13[[#This Row],[Model]]</f>
        <v>Snap-on TECH1JD240</v>
      </c>
      <c r="D2259" s="1">
        <v>4</v>
      </c>
      <c r="E2259" s="1">
        <v>6</v>
      </c>
      <c r="F2259" s="38">
        <v>240</v>
      </c>
      <c r="G2259" t="s">
        <v>164</v>
      </c>
    </row>
    <row r="2260" spans="1:7" x14ac:dyDescent="0.25">
      <c r="A2260" s="10" t="s">
        <v>1466</v>
      </c>
      <c r="B2260" s="10" t="s">
        <v>1672</v>
      </c>
      <c r="C2260" t="str">
        <f>Table13[[#This Row],[Manufacturer]]&amp;" "&amp;Table13[[#This Row],[Model]]</f>
        <v>Snap-on TECH1JDM240</v>
      </c>
      <c r="D2260" s="1">
        <v>4</v>
      </c>
      <c r="E2260" s="1">
        <v>6</v>
      </c>
      <c r="F2260" s="38">
        <v>240</v>
      </c>
      <c r="G2260" t="s">
        <v>164</v>
      </c>
    </row>
    <row r="2261" spans="1:7" x14ac:dyDescent="0.25">
      <c r="A2261" s="10" t="s">
        <v>1466</v>
      </c>
      <c r="B2261" s="10" t="s">
        <v>1671</v>
      </c>
      <c r="C2261" t="str">
        <f>Table13[[#This Row],[Manufacturer]]&amp;" "&amp;Table13[[#This Row],[Model]]</f>
        <v>Snap-on TECH1R240</v>
      </c>
      <c r="D2261" s="1">
        <v>2</v>
      </c>
      <c r="E2261" s="1">
        <v>3</v>
      </c>
      <c r="F2261" s="38">
        <v>240</v>
      </c>
      <c r="G2261" t="s">
        <v>164</v>
      </c>
    </row>
    <row r="2262" spans="1:7" x14ac:dyDescent="0.25">
      <c r="A2262" s="10" t="s">
        <v>1466</v>
      </c>
      <c r="B2262" s="10" t="s">
        <v>1670</v>
      </c>
      <c r="C2262" t="str">
        <f>Table13[[#This Row],[Manufacturer]]&amp;" "&amp;Table13[[#This Row],[Model]]</f>
        <v>Snap-on TECH2</v>
      </c>
      <c r="D2262" s="1">
        <v>2</v>
      </c>
      <c r="E2262" s="1">
        <v>3</v>
      </c>
      <c r="F2262" s="38">
        <v>100</v>
      </c>
      <c r="G2262" t="s">
        <v>166</v>
      </c>
    </row>
    <row r="2263" spans="1:7" x14ac:dyDescent="0.25">
      <c r="A2263" s="10" t="s">
        <v>1466</v>
      </c>
      <c r="B2263" s="10" t="s">
        <v>1669</v>
      </c>
      <c r="C2263" t="str">
        <f>Table13[[#This Row],[Manufacturer]]&amp;" "&amp;Table13[[#This Row],[Model]]</f>
        <v>Snap-on TECH2FR100</v>
      </c>
      <c r="D2263" s="1">
        <v>2</v>
      </c>
      <c r="E2263" s="1">
        <v>3</v>
      </c>
      <c r="F2263" s="38">
        <v>100</v>
      </c>
      <c r="G2263" t="s">
        <v>166</v>
      </c>
    </row>
    <row r="2264" spans="1:7" x14ac:dyDescent="0.25">
      <c r="A2264" s="10" t="s">
        <v>1466</v>
      </c>
      <c r="B2264" s="10" t="s">
        <v>1668</v>
      </c>
      <c r="C2264" t="str">
        <f>Table13[[#This Row],[Manufacturer]]&amp;" "&amp;Table13[[#This Row],[Model]]</f>
        <v>Snap-on TECH2R100</v>
      </c>
      <c r="D2264" s="1">
        <v>2</v>
      </c>
      <c r="E2264" s="1">
        <v>3</v>
      </c>
      <c r="F2264" s="38">
        <v>100</v>
      </c>
      <c r="G2264" t="s">
        <v>166</v>
      </c>
    </row>
    <row r="2265" spans="1:7" x14ac:dyDescent="0.25">
      <c r="A2265" s="10" t="s">
        <v>1466</v>
      </c>
      <c r="B2265" s="10" t="s">
        <v>1667</v>
      </c>
      <c r="C2265" t="str">
        <f>Table13[[#This Row],[Manufacturer]]&amp;" "&amp;Table13[[#This Row],[Model]]</f>
        <v>Snap-on TECH2Y100</v>
      </c>
      <c r="D2265" s="1">
        <v>4</v>
      </c>
      <c r="E2265" s="1">
        <v>6</v>
      </c>
      <c r="F2265" s="38">
        <v>100</v>
      </c>
      <c r="G2265" t="s">
        <v>166</v>
      </c>
    </row>
    <row r="2266" spans="1:7" x14ac:dyDescent="0.25">
      <c r="A2266" s="10" t="s">
        <v>1466</v>
      </c>
      <c r="B2266" s="10" t="s">
        <v>1666</v>
      </c>
      <c r="C2266" t="str">
        <f>Table13[[#This Row],[Manufacturer]]&amp;" "&amp;Table13[[#This Row],[Model]]</f>
        <v>Snap-on TECH2YD100</v>
      </c>
      <c r="D2266" s="1">
        <v>4</v>
      </c>
      <c r="E2266" s="1">
        <v>6</v>
      </c>
      <c r="F2266" s="38">
        <v>100</v>
      </c>
      <c r="G2266" t="s">
        <v>166</v>
      </c>
    </row>
    <row r="2267" spans="1:7" x14ac:dyDescent="0.25">
      <c r="A2267" s="10" t="s">
        <v>1466</v>
      </c>
      <c r="B2267" s="10" t="s">
        <v>1665</v>
      </c>
      <c r="C2267" t="str">
        <f>Table13[[#This Row],[Manufacturer]]&amp;" "&amp;Table13[[#This Row],[Model]]</f>
        <v>Snap-on TECH3</v>
      </c>
      <c r="D2267" s="1">
        <v>2</v>
      </c>
      <c r="E2267" s="1">
        <v>3</v>
      </c>
      <c r="F2267" s="38">
        <v>250</v>
      </c>
      <c r="G2267" t="s">
        <v>166</v>
      </c>
    </row>
    <row r="2268" spans="1:7" x14ac:dyDescent="0.25">
      <c r="A2268" s="10" t="s">
        <v>1466</v>
      </c>
      <c r="B2268" s="10" t="s">
        <v>1664</v>
      </c>
      <c r="C2268" t="str">
        <f>Table13[[#This Row],[Manufacturer]]&amp;" "&amp;Table13[[#This Row],[Model]]</f>
        <v>Snap-on TECH3FR250</v>
      </c>
      <c r="D2268" s="1">
        <v>2</v>
      </c>
      <c r="E2268" s="1">
        <v>3</v>
      </c>
      <c r="F2268" s="38">
        <v>250</v>
      </c>
      <c r="G2268" t="s">
        <v>166</v>
      </c>
    </row>
    <row r="2269" spans="1:7" x14ac:dyDescent="0.25">
      <c r="A2269" s="10" t="s">
        <v>1466</v>
      </c>
      <c r="B2269" s="10" t="s">
        <v>1663</v>
      </c>
      <c r="C2269" t="str">
        <f>Table13[[#This Row],[Manufacturer]]&amp;" "&amp;Table13[[#This Row],[Model]]</f>
        <v>Snap-on TECH3R250</v>
      </c>
      <c r="D2269" s="1">
        <v>2</v>
      </c>
      <c r="E2269" s="1">
        <v>3</v>
      </c>
      <c r="F2269" s="38">
        <v>250</v>
      </c>
      <c r="G2269" t="s">
        <v>166</v>
      </c>
    </row>
    <row r="2270" spans="1:7" x14ac:dyDescent="0.25">
      <c r="A2270" s="10" t="s">
        <v>1466</v>
      </c>
      <c r="B2270" s="10" t="s">
        <v>1662</v>
      </c>
      <c r="C2270" t="str">
        <f>Table13[[#This Row],[Manufacturer]]&amp;" "&amp;Table13[[#This Row],[Model]]</f>
        <v>Snap-on TECH3X250</v>
      </c>
      <c r="D2270" s="1">
        <v>4</v>
      </c>
      <c r="E2270" s="1">
        <v>6</v>
      </c>
      <c r="F2270" s="38">
        <v>250</v>
      </c>
      <c r="G2270" t="s">
        <v>166</v>
      </c>
    </row>
    <row r="2271" spans="1:7" x14ac:dyDescent="0.25">
      <c r="A2271" s="10" t="s">
        <v>1466</v>
      </c>
      <c r="B2271" s="10" t="s">
        <v>1661</v>
      </c>
      <c r="C2271" t="str">
        <f>Table13[[#This Row],[Manufacturer]]&amp;" "&amp;Table13[[#This Row],[Model]]</f>
        <v>Snap-on TECH3XD250</v>
      </c>
      <c r="D2271" s="1">
        <v>4</v>
      </c>
      <c r="E2271" s="1">
        <v>6</v>
      </c>
      <c r="F2271" s="38">
        <v>250</v>
      </c>
      <c r="G2271" t="s">
        <v>166</v>
      </c>
    </row>
    <row r="2272" spans="1:7" x14ac:dyDescent="0.25">
      <c r="A2272" s="10" t="s">
        <v>1466</v>
      </c>
      <c r="B2272" s="10" t="s">
        <v>1660</v>
      </c>
      <c r="C2272" t="str">
        <f>Table13[[#This Row],[Manufacturer]]&amp;" "&amp;Table13[[#This Row],[Model]]</f>
        <v>Snap-on TECH4</v>
      </c>
      <c r="D2272" s="1">
        <v>2</v>
      </c>
      <c r="E2272" s="1">
        <v>3</v>
      </c>
      <c r="F2272" s="38">
        <v>600</v>
      </c>
      <c r="G2272" t="s">
        <v>166</v>
      </c>
    </row>
    <row r="2273" spans="1:7" x14ac:dyDescent="0.25">
      <c r="A2273" s="10" t="s">
        <v>1466</v>
      </c>
      <c r="B2273" s="10" t="s">
        <v>1659</v>
      </c>
      <c r="C2273" t="str">
        <f>Table13[[#This Row],[Manufacturer]]&amp;" "&amp;Table13[[#This Row],[Model]]</f>
        <v>Snap-on TECH4R600</v>
      </c>
      <c r="D2273" s="1">
        <v>2</v>
      </c>
      <c r="E2273" s="1">
        <v>3</v>
      </c>
      <c r="F2273" s="38">
        <v>600</v>
      </c>
      <c r="G2273" t="s">
        <v>166</v>
      </c>
    </row>
    <row r="2274" spans="1:7" x14ac:dyDescent="0.25">
      <c r="A2274" s="10" t="s">
        <v>1466</v>
      </c>
      <c r="B2274" s="10" t="s">
        <v>1658</v>
      </c>
      <c r="C2274" t="str">
        <f>Table13[[#This Row],[Manufacturer]]&amp;" "&amp;Table13[[#This Row],[Model]]</f>
        <v>Snap-on TECH4Z600</v>
      </c>
      <c r="D2274" s="1">
        <v>4</v>
      </c>
      <c r="E2274" s="1">
        <v>6</v>
      </c>
      <c r="F2274" s="38">
        <v>600</v>
      </c>
      <c r="G2274" t="s">
        <v>166</v>
      </c>
    </row>
    <row r="2275" spans="1:7" x14ac:dyDescent="0.25">
      <c r="A2275" s="10" t="s">
        <v>1466</v>
      </c>
      <c r="B2275" s="10" t="s">
        <v>1657</v>
      </c>
      <c r="C2275" t="str">
        <f>Table13[[#This Row],[Manufacturer]]&amp;" "&amp;Table13[[#This Row],[Model]]</f>
        <v>Snap-on TECH4ZD600</v>
      </c>
      <c r="D2275" s="1">
        <v>4</v>
      </c>
      <c r="E2275" s="1">
        <v>6</v>
      </c>
      <c r="F2275" s="38">
        <v>600</v>
      </c>
      <c r="G2275" t="s">
        <v>166</v>
      </c>
    </row>
    <row r="2276" spans="1:7" x14ac:dyDescent="0.25">
      <c r="A2276" s="10" t="s">
        <v>1466</v>
      </c>
      <c r="B2276" s="10" t="s">
        <v>1656</v>
      </c>
      <c r="C2276" t="str">
        <f>Table13[[#This Row],[Manufacturer]]&amp;" "&amp;Table13[[#This Row],[Model]]</f>
        <v>Snap-on TECP6-FU-A</v>
      </c>
      <c r="D2276" s="1">
        <v>2</v>
      </c>
      <c r="E2276" s="1">
        <v>2</v>
      </c>
      <c r="F2276" s="38">
        <v>75</v>
      </c>
      <c r="G2276" t="s">
        <v>164</v>
      </c>
    </row>
    <row r="2277" spans="1:7" x14ac:dyDescent="0.25">
      <c r="A2277" s="10" t="s">
        <v>1466</v>
      </c>
      <c r="B2277" s="10" t="s">
        <v>1655</v>
      </c>
      <c r="C2277" t="str">
        <f>Table13[[#This Row],[Manufacturer]]&amp;" "&amp;Table13[[#This Row],[Model]]</f>
        <v>Snap-on TED6FUA</v>
      </c>
      <c r="D2277" s="1" t="s">
        <v>1412</v>
      </c>
      <c r="E2277" s="1" t="s">
        <v>1654</v>
      </c>
    </row>
    <row r="2278" spans="1:7" x14ac:dyDescent="0.25">
      <c r="A2278" s="10" t="s">
        <v>1466</v>
      </c>
      <c r="B2278" s="10" t="s">
        <v>1653</v>
      </c>
      <c r="C2278" t="str">
        <f>Table13[[#This Row],[Manufacturer]]&amp;" "&amp;Table13[[#This Row],[Model]]</f>
        <v>Snap-on TER100</v>
      </c>
      <c r="D2278" s="1">
        <v>1</v>
      </c>
      <c r="E2278" s="1">
        <v>1</v>
      </c>
      <c r="F2278" s="38">
        <v>100</v>
      </c>
      <c r="G2278" t="s">
        <v>166</v>
      </c>
    </row>
    <row r="2279" spans="1:7" x14ac:dyDescent="0.25">
      <c r="A2279" s="10" t="s">
        <v>1466</v>
      </c>
      <c r="B2279" s="10" t="s">
        <v>1652</v>
      </c>
      <c r="C2279" t="str">
        <f>Table13[[#This Row],[Manufacturer]]&amp;" "&amp;Table13[[#This Row],[Model]]</f>
        <v>Snap-on TER1003</v>
      </c>
      <c r="D2279" s="1">
        <v>1</v>
      </c>
      <c r="E2279" s="1">
        <v>1</v>
      </c>
      <c r="F2279" s="38">
        <v>1000</v>
      </c>
      <c r="G2279" t="s">
        <v>166</v>
      </c>
    </row>
    <row r="2280" spans="1:7" x14ac:dyDescent="0.25">
      <c r="A2280" s="10" t="s">
        <v>1466</v>
      </c>
      <c r="B2280" s="10" t="s">
        <v>1651</v>
      </c>
      <c r="C2280" t="str">
        <f>Table13[[#This Row],[Manufacturer]]&amp;" "&amp;Table13[[#This Row],[Model]]</f>
        <v>Snap-on TER1003FU</v>
      </c>
      <c r="D2280" s="1">
        <v>1</v>
      </c>
      <c r="E2280" s="1">
        <v>1</v>
      </c>
      <c r="F2280" s="38">
        <v>1000</v>
      </c>
      <c r="G2280" t="s">
        <v>166</v>
      </c>
    </row>
    <row r="2281" spans="1:7" x14ac:dyDescent="0.25">
      <c r="A2281" s="10" t="s">
        <v>1466</v>
      </c>
      <c r="B2281" s="10" t="s">
        <v>1650</v>
      </c>
      <c r="C2281" t="str">
        <f>Table13[[#This Row],[Manufacturer]]&amp;" "&amp;Table13[[#This Row],[Model]]</f>
        <v>Snap-on TER1003L</v>
      </c>
      <c r="D2281" s="1">
        <v>1</v>
      </c>
      <c r="E2281" s="1">
        <v>1</v>
      </c>
      <c r="F2281" s="38">
        <v>1000</v>
      </c>
      <c r="G2281" t="s">
        <v>166</v>
      </c>
    </row>
    <row r="2282" spans="1:7" x14ac:dyDescent="0.25">
      <c r="A2282" s="10" t="s">
        <v>1466</v>
      </c>
      <c r="B2282" s="10" t="s">
        <v>1649</v>
      </c>
      <c r="C2282" t="str">
        <f>Table13[[#This Row],[Manufacturer]]&amp;" "&amp;Table13[[#This Row],[Model]]</f>
        <v>Snap-on TER100FU</v>
      </c>
      <c r="D2282" s="1">
        <v>1</v>
      </c>
      <c r="E2282" s="1">
        <v>1</v>
      </c>
      <c r="F2282" s="38">
        <v>100</v>
      </c>
      <c r="G2282" t="s">
        <v>166</v>
      </c>
    </row>
    <row r="2283" spans="1:7" x14ac:dyDescent="0.25">
      <c r="A2283" s="10" t="s">
        <v>1466</v>
      </c>
      <c r="B2283" s="10" t="s">
        <v>1648</v>
      </c>
      <c r="C2283" t="str">
        <f>Table13[[#This Row],[Manufacturer]]&amp;" "&amp;Table13[[#This Row],[Model]]</f>
        <v>Snap-on TER100L</v>
      </c>
      <c r="D2283" s="1">
        <v>1</v>
      </c>
      <c r="E2283" s="1">
        <v>1</v>
      </c>
      <c r="F2283" s="38">
        <v>100</v>
      </c>
      <c r="G2283" t="s">
        <v>166</v>
      </c>
    </row>
    <row r="2284" spans="1:7" x14ac:dyDescent="0.25">
      <c r="A2284" s="10" t="s">
        <v>1466</v>
      </c>
      <c r="B2284" s="10" t="s">
        <v>1647</v>
      </c>
      <c r="C2284" t="str">
        <f>Table13[[#This Row],[Manufacturer]]&amp;" "&amp;Table13[[#This Row],[Model]]</f>
        <v>Snap-on TER12A</v>
      </c>
      <c r="D2284" s="1">
        <v>1</v>
      </c>
      <c r="E2284" s="1">
        <v>1</v>
      </c>
      <c r="F2284" s="38">
        <v>150</v>
      </c>
      <c r="G2284" t="s">
        <v>164</v>
      </c>
    </row>
    <row r="2285" spans="1:7" x14ac:dyDescent="0.25">
      <c r="A2285" s="10" t="s">
        <v>1466</v>
      </c>
      <c r="B2285" s="10" t="s">
        <v>1646</v>
      </c>
      <c r="C2285" t="str">
        <f>Table13[[#This Row],[Manufacturer]]&amp;" "&amp;Table13[[#This Row],[Model]]</f>
        <v>Snap-on TER12FUA</v>
      </c>
      <c r="D2285" s="1">
        <v>1</v>
      </c>
      <c r="E2285" s="1">
        <v>1</v>
      </c>
      <c r="F2285" s="38">
        <v>150</v>
      </c>
      <c r="G2285" t="s">
        <v>164</v>
      </c>
    </row>
    <row r="2286" spans="1:7" x14ac:dyDescent="0.25">
      <c r="A2286" s="10" t="s">
        <v>1466</v>
      </c>
      <c r="B2286" s="10" t="s">
        <v>1645</v>
      </c>
      <c r="C2286" t="str">
        <f>Table13[[#This Row],[Manufacturer]]&amp;" "&amp;Table13[[#This Row],[Model]]</f>
        <v>Snap-on TER12LA</v>
      </c>
      <c r="D2286" s="1">
        <v>1</v>
      </c>
      <c r="E2286" s="1">
        <v>1</v>
      </c>
      <c r="F2286" s="38">
        <v>150</v>
      </c>
      <c r="G2286" t="s">
        <v>164</v>
      </c>
    </row>
    <row r="2287" spans="1:7" x14ac:dyDescent="0.25">
      <c r="A2287" s="10" t="s">
        <v>1466</v>
      </c>
      <c r="B2287" s="10" t="s">
        <v>1644</v>
      </c>
      <c r="C2287" t="str">
        <f>Table13[[#This Row],[Manufacturer]]&amp;" "&amp;Table13[[#This Row],[Model]]</f>
        <v>Snap-on TER175</v>
      </c>
      <c r="D2287" s="1">
        <v>1</v>
      </c>
      <c r="E2287" s="1">
        <v>1</v>
      </c>
      <c r="F2287" s="38">
        <v>175</v>
      </c>
      <c r="G2287" t="s">
        <v>166</v>
      </c>
    </row>
    <row r="2288" spans="1:7" x14ac:dyDescent="0.25">
      <c r="A2288" s="10" t="s">
        <v>1466</v>
      </c>
      <c r="B2288" s="10" t="s">
        <v>1643</v>
      </c>
      <c r="C2288" t="str">
        <f>Table13[[#This Row],[Manufacturer]]&amp;" "&amp;Table13[[#This Row],[Model]]</f>
        <v>Snap-on TER175FU</v>
      </c>
      <c r="D2288" s="1">
        <v>1</v>
      </c>
      <c r="E2288" s="1">
        <v>1</v>
      </c>
      <c r="F2288" s="38">
        <v>175</v>
      </c>
      <c r="G2288" t="s">
        <v>166</v>
      </c>
    </row>
    <row r="2289" spans="1:7" x14ac:dyDescent="0.25">
      <c r="A2289" s="10" t="s">
        <v>1466</v>
      </c>
      <c r="B2289" s="10" t="s">
        <v>1642</v>
      </c>
      <c r="C2289" t="str">
        <f>Table13[[#This Row],[Manufacturer]]&amp;" "&amp;Table13[[#This Row],[Model]]</f>
        <v>Snap-on TER175L</v>
      </c>
      <c r="D2289" s="1">
        <v>1</v>
      </c>
      <c r="E2289" s="1">
        <v>1</v>
      </c>
      <c r="F2289" s="38">
        <v>175</v>
      </c>
      <c r="G2289" t="s">
        <v>166</v>
      </c>
    </row>
    <row r="2290" spans="1:7" x14ac:dyDescent="0.25">
      <c r="A2290" s="10" t="s">
        <v>1466</v>
      </c>
      <c r="B2290" s="10" t="s">
        <v>1641</v>
      </c>
      <c r="C2290" t="str">
        <f>Table13[[#This Row],[Manufacturer]]&amp;" "&amp;Table13[[#This Row],[Model]]</f>
        <v>Snap-on TER1A</v>
      </c>
      <c r="D2290" s="1">
        <v>1</v>
      </c>
      <c r="E2290" s="1">
        <v>1</v>
      </c>
      <c r="F2290" s="38">
        <v>15</v>
      </c>
      <c r="G2290" t="s">
        <v>164</v>
      </c>
    </row>
    <row r="2291" spans="1:7" x14ac:dyDescent="0.25">
      <c r="A2291" s="10" t="s">
        <v>1466</v>
      </c>
      <c r="B2291" s="10" t="s">
        <v>1640</v>
      </c>
      <c r="C2291" t="str">
        <f>Table13[[#This Row],[Manufacturer]]&amp;" "&amp;Table13[[#This Row],[Model]]</f>
        <v>Snap-on TER1FUA</v>
      </c>
      <c r="D2291" s="1">
        <v>1</v>
      </c>
      <c r="E2291" s="1">
        <v>1</v>
      </c>
      <c r="F2291" s="38">
        <v>15</v>
      </c>
      <c r="G2291" t="s">
        <v>164</v>
      </c>
    </row>
    <row r="2292" spans="1:7" x14ac:dyDescent="0.25">
      <c r="A2292" s="10" t="s">
        <v>1466</v>
      </c>
      <c r="B2292" s="10" t="s">
        <v>1639</v>
      </c>
      <c r="C2292" t="str">
        <f>Table13[[#This Row],[Manufacturer]]&amp;" "&amp;Table13[[#This Row],[Model]]</f>
        <v>Snap-on TER250</v>
      </c>
      <c r="D2292" s="1">
        <v>1</v>
      </c>
      <c r="E2292" s="1">
        <v>1</v>
      </c>
      <c r="F2292" s="38">
        <v>250</v>
      </c>
      <c r="G2292" t="s">
        <v>166</v>
      </c>
    </row>
    <row r="2293" spans="1:7" x14ac:dyDescent="0.25">
      <c r="A2293" s="10" t="s">
        <v>1466</v>
      </c>
      <c r="B2293" s="10" t="s">
        <v>1638</v>
      </c>
      <c r="C2293" t="str">
        <f>Table13[[#This Row],[Manufacturer]]&amp;" "&amp;Table13[[#This Row],[Model]]</f>
        <v>Snap-on TER250FU</v>
      </c>
      <c r="D2293" s="1">
        <v>1</v>
      </c>
      <c r="E2293" s="1">
        <v>1</v>
      </c>
      <c r="F2293" s="38">
        <v>250</v>
      </c>
      <c r="G2293" t="s">
        <v>166</v>
      </c>
    </row>
    <row r="2294" spans="1:7" x14ac:dyDescent="0.25">
      <c r="A2294" s="10" t="s">
        <v>1466</v>
      </c>
      <c r="B2294" s="10" t="s">
        <v>1637</v>
      </c>
      <c r="C2294" t="str">
        <f>Table13[[#This Row],[Manufacturer]]&amp;" "&amp;Table13[[#This Row],[Model]]</f>
        <v>Snap-on TER250L</v>
      </c>
      <c r="D2294" s="1">
        <v>1</v>
      </c>
      <c r="E2294" s="1">
        <v>1</v>
      </c>
      <c r="F2294" s="38">
        <v>250</v>
      </c>
      <c r="G2294" t="s">
        <v>166</v>
      </c>
    </row>
    <row r="2295" spans="1:7" x14ac:dyDescent="0.25">
      <c r="A2295" s="10" t="s">
        <v>1466</v>
      </c>
      <c r="B2295" s="10" t="s">
        <v>1636</v>
      </c>
      <c r="C2295" t="str">
        <f>Table13[[#This Row],[Manufacturer]]&amp;" "&amp;Table13[[#This Row],[Model]]</f>
        <v>Snap-on TER25A</v>
      </c>
      <c r="D2295" s="1">
        <v>1</v>
      </c>
      <c r="E2295" s="1">
        <v>1</v>
      </c>
      <c r="F2295" s="38">
        <v>300</v>
      </c>
      <c r="G2295" t="s">
        <v>164</v>
      </c>
    </row>
    <row r="2296" spans="1:7" x14ac:dyDescent="0.25">
      <c r="A2296" s="10" t="s">
        <v>1466</v>
      </c>
      <c r="B2296" s="10" t="s">
        <v>1635</v>
      </c>
      <c r="C2296" t="str">
        <f>Table13[[#This Row],[Manufacturer]]&amp;" "&amp;Table13[[#This Row],[Model]]</f>
        <v>Snap-on TER25FUA</v>
      </c>
      <c r="D2296" s="1">
        <v>1</v>
      </c>
      <c r="E2296" s="1">
        <v>1</v>
      </c>
      <c r="F2296" s="38">
        <v>300</v>
      </c>
      <c r="G2296" t="s">
        <v>164</v>
      </c>
    </row>
    <row r="2297" spans="1:7" x14ac:dyDescent="0.25">
      <c r="A2297" s="10" t="s">
        <v>1466</v>
      </c>
      <c r="B2297" s="10" t="s">
        <v>1634</v>
      </c>
      <c r="C2297" t="str">
        <f>Table13[[#This Row],[Manufacturer]]&amp;" "&amp;Table13[[#This Row],[Model]]</f>
        <v>Snap-on TER25LA</v>
      </c>
      <c r="D2297" s="1">
        <v>1</v>
      </c>
      <c r="E2297" s="1">
        <v>1</v>
      </c>
      <c r="F2297" s="38">
        <v>300</v>
      </c>
      <c r="G2297" t="s">
        <v>164</v>
      </c>
    </row>
    <row r="2298" spans="1:7" x14ac:dyDescent="0.25">
      <c r="A2298" s="10" t="s">
        <v>1466</v>
      </c>
      <c r="B2298" s="10" t="s">
        <v>1633</v>
      </c>
      <c r="C2298" t="str">
        <f>Table13[[#This Row],[Manufacturer]]&amp;" "&amp;Table13[[#This Row],[Model]]</f>
        <v>Snap-on TER352A</v>
      </c>
      <c r="D2298" s="1">
        <v>1</v>
      </c>
      <c r="E2298" s="1">
        <v>1</v>
      </c>
      <c r="F2298" s="38">
        <v>350</v>
      </c>
      <c r="G2298" t="s">
        <v>166</v>
      </c>
    </row>
    <row r="2299" spans="1:7" x14ac:dyDescent="0.25">
      <c r="A2299" s="10" t="s">
        <v>1466</v>
      </c>
      <c r="B2299" s="10" t="s">
        <v>1632</v>
      </c>
      <c r="C2299" t="str">
        <f>Table13[[#This Row],[Manufacturer]]&amp;" "&amp;Table13[[#This Row],[Model]]</f>
        <v>Snap-on TER352FUA</v>
      </c>
      <c r="D2299" s="1">
        <v>1</v>
      </c>
      <c r="E2299" s="1">
        <v>1</v>
      </c>
      <c r="F2299" s="38">
        <v>350</v>
      </c>
      <c r="G2299" t="s">
        <v>166</v>
      </c>
    </row>
    <row r="2300" spans="1:7" x14ac:dyDescent="0.25">
      <c r="A2300" s="10" t="s">
        <v>1466</v>
      </c>
      <c r="B2300" s="10" t="s">
        <v>1631</v>
      </c>
      <c r="C2300" t="str">
        <f>Table13[[#This Row],[Manufacturer]]&amp;" "&amp;Table13[[#This Row],[Model]]</f>
        <v>Snap-on TER352LA</v>
      </c>
      <c r="D2300" s="1">
        <v>1</v>
      </c>
      <c r="E2300" s="1">
        <v>1</v>
      </c>
      <c r="F2300" s="38">
        <v>350</v>
      </c>
      <c r="G2300" t="s">
        <v>166</v>
      </c>
    </row>
    <row r="2301" spans="1:7" x14ac:dyDescent="0.25">
      <c r="A2301" s="10" t="s">
        <v>1466</v>
      </c>
      <c r="B2301" s="10" t="s">
        <v>1630</v>
      </c>
      <c r="C2301" t="str">
        <f>Table13[[#This Row],[Manufacturer]]&amp;" "&amp;Table13[[#This Row],[Model]]</f>
        <v>Snap-on TER3A</v>
      </c>
      <c r="D2301" s="1">
        <v>1</v>
      </c>
      <c r="E2301" s="1">
        <v>1</v>
      </c>
      <c r="F2301" s="38">
        <v>30</v>
      </c>
      <c r="G2301" t="s">
        <v>164</v>
      </c>
    </row>
    <row r="2302" spans="1:7" x14ac:dyDescent="0.25">
      <c r="A2302" s="10" t="s">
        <v>1466</v>
      </c>
      <c r="B2302" s="10" t="s">
        <v>1629</v>
      </c>
      <c r="C2302" t="str">
        <f>Table13[[#This Row],[Manufacturer]]&amp;" "&amp;Table13[[#This Row],[Model]]</f>
        <v>Snap-on TER3FUA</v>
      </c>
      <c r="D2302" s="1">
        <v>1</v>
      </c>
      <c r="E2302" s="1">
        <v>1</v>
      </c>
      <c r="F2302" s="38">
        <v>30</v>
      </c>
      <c r="G2302" t="s">
        <v>164</v>
      </c>
    </row>
    <row r="2303" spans="1:7" x14ac:dyDescent="0.25">
      <c r="A2303" s="10" t="s">
        <v>1466</v>
      </c>
      <c r="B2303" s="10" t="s">
        <v>1628</v>
      </c>
      <c r="C2303" t="str">
        <f>Table13[[#This Row],[Manufacturer]]&amp;" "&amp;Table13[[#This Row],[Model]]</f>
        <v>Snap-on TER50A</v>
      </c>
      <c r="D2303" s="1">
        <v>1</v>
      </c>
      <c r="E2303" s="1">
        <v>1</v>
      </c>
      <c r="F2303" s="38">
        <v>600</v>
      </c>
      <c r="G2303" t="s">
        <v>164</v>
      </c>
    </row>
    <row r="2304" spans="1:7" x14ac:dyDescent="0.25">
      <c r="A2304" s="10" t="s">
        <v>1466</v>
      </c>
      <c r="B2304" s="10" t="s">
        <v>1627</v>
      </c>
      <c r="C2304" t="str">
        <f>Table13[[#This Row],[Manufacturer]]&amp;" "&amp;Table13[[#This Row],[Model]]</f>
        <v>Snap-on TER50FUA</v>
      </c>
      <c r="D2304" s="1">
        <v>1</v>
      </c>
      <c r="E2304" s="1">
        <v>1</v>
      </c>
      <c r="F2304" s="38">
        <v>600</v>
      </c>
      <c r="G2304" t="s">
        <v>164</v>
      </c>
    </row>
    <row r="2305" spans="1:7" x14ac:dyDescent="0.25">
      <c r="A2305" s="10" t="s">
        <v>1466</v>
      </c>
      <c r="B2305" s="10" t="s">
        <v>1626</v>
      </c>
      <c r="C2305" t="str">
        <f>Table13[[#This Row],[Manufacturer]]&amp;" "&amp;Table13[[#This Row],[Model]]</f>
        <v>Snap-on TER50LA</v>
      </c>
      <c r="D2305" s="1">
        <v>1</v>
      </c>
      <c r="E2305" s="1">
        <v>1</v>
      </c>
      <c r="F2305" s="38">
        <v>600</v>
      </c>
      <c r="G2305" t="s">
        <v>164</v>
      </c>
    </row>
    <row r="2306" spans="1:7" x14ac:dyDescent="0.25">
      <c r="A2306" s="10" t="s">
        <v>1466</v>
      </c>
      <c r="B2306" s="10" t="s">
        <v>1625</v>
      </c>
      <c r="C2306" t="str">
        <f>Table13[[#This Row],[Manufacturer]]&amp;" "&amp;Table13[[#This Row],[Model]]</f>
        <v>Snap-on TER51</v>
      </c>
      <c r="D2306" s="1">
        <v>1</v>
      </c>
      <c r="E2306" s="1">
        <v>1</v>
      </c>
      <c r="F2306" s="38">
        <v>600</v>
      </c>
      <c r="G2306" t="s">
        <v>164</v>
      </c>
    </row>
    <row r="2307" spans="1:7" x14ac:dyDescent="0.25">
      <c r="A2307" s="10" t="s">
        <v>1466</v>
      </c>
      <c r="B2307" s="10" t="s">
        <v>1624</v>
      </c>
      <c r="C2307" t="str">
        <f>Table13[[#This Row],[Manufacturer]]&amp;" "&amp;Table13[[#This Row],[Model]]</f>
        <v>Snap-on TER51FU</v>
      </c>
      <c r="D2307" s="1">
        <v>1</v>
      </c>
      <c r="E2307" s="1">
        <v>1</v>
      </c>
      <c r="F2307" s="38">
        <v>600</v>
      </c>
      <c r="G2307" t="s">
        <v>164</v>
      </c>
    </row>
    <row r="2308" spans="1:7" x14ac:dyDescent="0.25">
      <c r="A2308" s="10" t="s">
        <v>1466</v>
      </c>
      <c r="B2308" s="10" t="s">
        <v>1623</v>
      </c>
      <c r="C2308" t="str">
        <f>Table13[[#This Row],[Manufacturer]]&amp;" "&amp;Table13[[#This Row],[Model]]</f>
        <v>Snap-on TER51L</v>
      </c>
      <c r="D2308" s="1">
        <v>1</v>
      </c>
      <c r="E2308" s="1">
        <v>1</v>
      </c>
      <c r="F2308" s="38">
        <v>600</v>
      </c>
      <c r="G2308" t="s">
        <v>164</v>
      </c>
    </row>
    <row r="2309" spans="1:7" x14ac:dyDescent="0.25">
      <c r="A2309" s="10" t="s">
        <v>1466</v>
      </c>
      <c r="B2309" s="10" t="s">
        <v>1622</v>
      </c>
      <c r="C2309" t="str">
        <f>Table13[[#This Row],[Manufacturer]]&amp;" "&amp;Table13[[#This Row],[Model]]</f>
        <v>Snap-on TER602A</v>
      </c>
      <c r="D2309" s="1">
        <v>1</v>
      </c>
      <c r="E2309" s="1">
        <v>1</v>
      </c>
      <c r="F2309" s="38">
        <v>600</v>
      </c>
      <c r="G2309" t="s">
        <v>166</v>
      </c>
    </row>
    <row r="2310" spans="1:7" x14ac:dyDescent="0.25">
      <c r="A2310" s="10" t="s">
        <v>1466</v>
      </c>
      <c r="B2310" s="10" t="s">
        <v>1621</v>
      </c>
      <c r="C2310" t="str">
        <f>Table13[[#This Row],[Manufacturer]]&amp;" "&amp;Table13[[#This Row],[Model]]</f>
        <v>Snap-on TER602FUA</v>
      </c>
      <c r="D2310" s="1">
        <v>1</v>
      </c>
      <c r="E2310" s="1">
        <v>1</v>
      </c>
      <c r="F2310" s="38">
        <v>600</v>
      </c>
      <c r="G2310" t="s">
        <v>166</v>
      </c>
    </row>
    <row r="2311" spans="1:7" x14ac:dyDescent="0.25">
      <c r="A2311" s="10" t="s">
        <v>1466</v>
      </c>
      <c r="B2311" s="10" t="s">
        <v>1620</v>
      </c>
      <c r="C2311" t="str">
        <f>Table13[[#This Row],[Manufacturer]]&amp;" "&amp;Table13[[#This Row],[Model]]</f>
        <v>Snap-on TER602LA</v>
      </c>
      <c r="D2311" s="1">
        <v>1</v>
      </c>
      <c r="E2311" s="1">
        <v>1</v>
      </c>
      <c r="F2311" s="38">
        <v>600</v>
      </c>
      <c r="G2311" t="s">
        <v>166</v>
      </c>
    </row>
    <row r="2312" spans="1:7" x14ac:dyDescent="0.25">
      <c r="A2312" s="10" t="s">
        <v>1466</v>
      </c>
      <c r="B2312" s="10" t="s">
        <v>1619</v>
      </c>
      <c r="C2312" t="str">
        <f>Table13[[#This Row],[Manufacturer]]&amp;" "&amp;Table13[[#This Row],[Model]]</f>
        <v>Snap-on TER6A</v>
      </c>
      <c r="D2312" s="1">
        <v>1</v>
      </c>
      <c r="E2312" s="1">
        <v>1</v>
      </c>
      <c r="F2312" s="38">
        <v>75</v>
      </c>
      <c r="G2312" t="s">
        <v>164</v>
      </c>
    </row>
    <row r="2313" spans="1:7" x14ac:dyDescent="0.25">
      <c r="A2313" s="10" t="s">
        <v>1466</v>
      </c>
      <c r="B2313" s="10" t="s">
        <v>1618</v>
      </c>
      <c r="C2313" t="str">
        <f>Table13[[#This Row],[Manufacturer]]&amp;" "&amp;Table13[[#This Row],[Model]]</f>
        <v>Snap-on TER6FUA</v>
      </c>
      <c r="D2313" s="1">
        <v>1</v>
      </c>
      <c r="E2313" s="1">
        <v>1</v>
      </c>
      <c r="F2313" s="38">
        <v>75</v>
      </c>
      <c r="G2313" t="s">
        <v>164</v>
      </c>
    </row>
    <row r="2314" spans="1:7" x14ac:dyDescent="0.25">
      <c r="A2314" s="10" t="s">
        <v>1466</v>
      </c>
      <c r="B2314" s="10" t="s">
        <v>1617</v>
      </c>
      <c r="C2314" t="str">
        <f>Table13[[#This Row],[Manufacturer]]&amp;" "&amp;Table13[[#This Row],[Model]]</f>
        <v>Snap-on TESI10</v>
      </c>
      <c r="D2314" s="1">
        <v>2</v>
      </c>
      <c r="E2314" s="1">
        <v>2</v>
      </c>
      <c r="F2314" s="38">
        <v>10</v>
      </c>
      <c r="G2314" t="s">
        <v>184</v>
      </c>
    </row>
    <row r="2315" spans="1:7" x14ac:dyDescent="0.25">
      <c r="A2315" s="10" t="s">
        <v>1466</v>
      </c>
      <c r="B2315" s="10" t="s">
        <v>1616</v>
      </c>
      <c r="C2315" t="str">
        <f>Table13[[#This Row],[Manufacturer]]&amp;" "&amp;Table13[[#This Row],[Model]]</f>
        <v>Snap-on TESI10FU</v>
      </c>
      <c r="D2315" s="1">
        <v>2</v>
      </c>
      <c r="E2315" s="1">
        <v>2</v>
      </c>
      <c r="F2315" s="38">
        <v>10</v>
      </c>
      <c r="G2315" t="s">
        <v>184</v>
      </c>
    </row>
    <row r="2316" spans="1:7" x14ac:dyDescent="0.25">
      <c r="A2316" s="10" t="s">
        <v>1466</v>
      </c>
      <c r="B2316" s="10" t="s">
        <v>1615</v>
      </c>
      <c r="C2316" t="str">
        <f>Table13[[#This Row],[Manufacturer]]&amp;" "&amp;Table13[[#This Row],[Model]]</f>
        <v>Snap-on TESI10FUE</v>
      </c>
      <c r="D2316" s="1">
        <v>2</v>
      </c>
      <c r="E2316" s="1">
        <v>2</v>
      </c>
      <c r="F2316" s="38">
        <v>10</v>
      </c>
      <c r="G2316" t="s">
        <v>184</v>
      </c>
    </row>
    <row r="2317" spans="1:7" x14ac:dyDescent="0.25">
      <c r="A2317" s="10" t="s">
        <v>1466</v>
      </c>
      <c r="B2317" s="10" t="s">
        <v>1614</v>
      </c>
      <c r="C2317" t="str">
        <f>Table13[[#This Row],[Manufacturer]]&amp;" "&amp;Table13[[#This Row],[Model]]</f>
        <v>Snap-on TESI10L</v>
      </c>
      <c r="D2317" s="1">
        <v>2</v>
      </c>
      <c r="E2317" s="1">
        <v>2</v>
      </c>
      <c r="F2317" s="38">
        <v>10</v>
      </c>
      <c r="G2317" t="s">
        <v>184</v>
      </c>
    </row>
    <row r="2318" spans="1:7" x14ac:dyDescent="0.25">
      <c r="A2318" s="10" t="s">
        <v>1466</v>
      </c>
      <c r="B2318" s="10" t="s">
        <v>1613</v>
      </c>
      <c r="C2318" t="str">
        <f>Table13[[#This Row],[Manufacturer]]&amp;" "&amp;Table13[[#This Row],[Model]]</f>
        <v>Snap-on TESI125</v>
      </c>
      <c r="D2318" s="1">
        <v>2</v>
      </c>
      <c r="E2318" s="1">
        <v>2</v>
      </c>
      <c r="F2318" s="38">
        <v>125</v>
      </c>
      <c r="G2318" t="s">
        <v>184</v>
      </c>
    </row>
    <row r="2319" spans="1:7" x14ac:dyDescent="0.25">
      <c r="A2319" s="10" t="s">
        <v>1466</v>
      </c>
      <c r="B2319" s="10" t="s">
        <v>1612</v>
      </c>
      <c r="C2319" t="str">
        <f>Table13[[#This Row],[Manufacturer]]&amp;" "&amp;Table13[[#This Row],[Model]]</f>
        <v>Snap-on TESI125FU</v>
      </c>
      <c r="D2319" s="1">
        <v>2</v>
      </c>
      <c r="E2319" s="1">
        <v>2</v>
      </c>
      <c r="F2319" s="38">
        <v>125</v>
      </c>
      <c r="G2319" t="s">
        <v>184</v>
      </c>
    </row>
    <row r="2320" spans="1:7" x14ac:dyDescent="0.25">
      <c r="A2320" s="10" t="s">
        <v>1466</v>
      </c>
      <c r="B2320" s="10" t="s">
        <v>1611</v>
      </c>
      <c r="C2320" t="str">
        <f>Table13[[#This Row],[Manufacturer]]&amp;" "&amp;Table13[[#This Row],[Model]]</f>
        <v>Snap-on TESI125FUE</v>
      </c>
      <c r="D2320" s="1">
        <v>2</v>
      </c>
      <c r="E2320" s="1">
        <v>2</v>
      </c>
      <c r="F2320" s="38">
        <v>125</v>
      </c>
      <c r="G2320" t="s">
        <v>184</v>
      </c>
    </row>
    <row r="2321" spans="1:7" x14ac:dyDescent="0.25">
      <c r="A2321" s="10" t="s">
        <v>1466</v>
      </c>
      <c r="B2321" s="10" t="s">
        <v>1610</v>
      </c>
      <c r="C2321" t="str">
        <f>Table13[[#This Row],[Manufacturer]]&amp;" "&amp;Table13[[#This Row],[Model]]</f>
        <v>Snap-on TESI125L</v>
      </c>
      <c r="D2321" s="1">
        <v>2</v>
      </c>
      <c r="E2321" s="1">
        <v>2</v>
      </c>
      <c r="F2321" s="38">
        <v>125</v>
      </c>
      <c r="G2321" t="s">
        <v>184</v>
      </c>
    </row>
    <row r="2322" spans="1:7" x14ac:dyDescent="0.25">
      <c r="A2322" s="10" t="s">
        <v>1466</v>
      </c>
      <c r="B2322" s="10" t="s">
        <v>1609</v>
      </c>
      <c r="C2322" t="str">
        <f>Table13[[#This Row],[Manufacturer]]&amp;" "&amp;Table13[[#This Row],[Model]]</f>
        <v>Snap-on TESI1360</v>
      </c>
      <c r="D2322" s="1">
        <v>2</v>
      </c>
      <c r="E2322" s="1">
        <v>2</v>
      </c>
      <c r="F2322" s="38">
        <v>1360</v>
      </c>
      <c r="G2322" t="s">
        <v>184</v>
      </c>
    </row>
    <row r="2323" spans="1:7" x14ac:dyDescent="0.25">
      <c r="A2323" s="10" t="s">
        <v>1466</v>
      </c>
      <c r="B2323" s="10" t="s">
        <v>1608</v>
      </c>
      <c r="C2323" t="str">
        <f>Table13[[#This Row],[Manufacturer]]&amp;" "&amp;Table13[[#This Row],[Model]]</f>
        <v>Snap-on TESI1360A</v>
      </c>
      <c r="D2323" s="1">
        <v>2</v>
      </c>
      <c r="E2323" s="1">
        <v>2</v>
      </c>
      <c r="F2323" s="38">
        <v>1360</v>
      </c>
      <c r="G2323" t="s">
        <v>184</v>
      </c>
    </row>
    <row r="2324" spans="1:7" x14ac:dyDescent="0.25">
      <c r="A2324" s="10" t="s">
        <v>1466</v>
      </c>
      <c r="B2324" s="10" t="s">
        <v>1607</v>
      </c>
      <c r="C2324" t="str">
        <f>Table13[[#This Row],[Manufacturer]]&amp;" "&amp;Table13[[#This Row],[Model]]</f>
        <v>Snap-on TESI1360FU</v>
      </c>
      <c r="D2324" s="1">
        <v>2</v>
      </c>
      <c r="E2324" s="1">
        <v>2</v>
      </c>
      <c r="F2324" s="38">
        <v>1360</v>
      </c>
      <c r="G2324" t="s">
        <v>184</v>
      </c>
    </row>
    <row r="2325" spans="1:7" x14ac:dyDescent="0.25">
      <c r="A2325" s="10" t="s">
        <v>1466</v>
      </c>
      <c r="B2325" s="10" t="s">
        <v>1606</v>
      </c>
      <c r="C2325" t="str">
        <f>Table13[[#This Row],[Manufacturer]]&amp;" "&amp;Table13[[#This Row],[Model]]</f>
        <v>Snap-on TESI1360FUE</v>
      </c>
      <c r="D2325" s="1">
        <v>2</v>
      </c>
      <c r="E2325" s="1">
        <v>2</v>
      </c>
      <c r="F2325" s="38">
        <v>1360</v>
      </c>
      <c r="G2325" t="s">
        <v>184</v>
      </c>
    </row>
    <row r="2326" spans="1:7" x14ac:dyDescent="0.25">
      <c r="A2326" s="10" t="s">
        <v>1466</v>
      </c>
      <c r="B2326" s="10" t="s">
        <v>1605</v>
      </c>
      <c r="C2326" t="str">
        <f>Table13[[#This Row],[Manufacturer]]&amp;" "&amp;Table13[[#This Row],[Model]]</f>
        <v>Snap-on TESI1360L</v>
      </c>
      <c r="D2326" s="1">
        <v>2</v>
      </c>
      <c r="E2326" s="1">
        <v>2</v>
      </c>
      <c r="F2326" s="38">
        <v>1360</v>
      </c>
      <c r="G2326" t="s">
        <v>184</v>
      </c>
    </row>
    <row r="2327" spans="1:7" x14ac:dyDescent="0.25">
      <c r="A2327" s="10" t="s">
        <v>1466</v>
      </c>
      <c r="B2327" s="10" t="s">
        <v>1604</v>
      </c>
      <c r="C2327" t="str">
        <f>Table13[[#This Row],[Manufacturer]]&amp;" "&amp;Table13[[#This Row],[Model]]</f>
        <v>Snap-on TESI1360LE</v>
      </c>
      <c r="D2327" s="1">
        <v>2</v>
      </c>
      <c r="E2327" s="1">
        <v>2</v>
      </c>
      <c r="F2327" s="38">
        <v>1360</v>
      </c>
      <c r="G2327" t="s">
        <v>184</v>
      </c>
    </row>
    <row r="2328" spans="1:7" x14ac:dyDescent="0.25">
      <c r="A2328" s="10" t="s">
        <v>1466</v>
      </c>
      <c r="B2328" s="10" t="s">
        <v>1603</v>
      </c>
      <c r="C2328" t="str">
        <f>Table13[[#This Row],[Manufacturer]]&amp;" "&amp;Table13[[#This Row],[Model]]</f>
        <v>Snap-on TESI20</v>
      </c>
      <c r="D2328" s="1">
        <v>2</v>
      </c>
      <c r="E2328" s="1">
        <v>2</v>
      </c>
      <c r="F2328" s="38">
        <v>20</v>
      </c>
      <c r="G2328" t="s">
        <v>184</v>
      </c>
    </row>
    <row r="2329" spans="1:7" x14ac:dyDescent="0.25">
      <c r="A2329" s="10" t="s">
        <v>1466</v>
      </c>
      <c r="B2329" s="10" t="s">
        <v>1602</v>
      </c>
      <c r="C2329" t="str">
        <f>Table13[[#This Row],[Manufacturer]]&amp;" "&amp;Table13[[#This Row],[Model]]</f>
        <v>Snap-on TESI200</v>
      </c>
      <c r="D2329" s="1">
        <v>2</v>
      </c>
      <c r="E2329" s="1">
        <v>2</v>
      </c>
      <c r="F2329" s="38">
        <v>200</v>
      </c>
      <c r="G2329" t="s">
        <v>184</v>
      </c>
    </row>
    <row r="2330" spans="1:7" x14ac:dyDescent="0.25">
      <c r="A2330" s="10" t="s">
        <v>1466</v>
      </c>
      <c r="B2330" s="10" t="s">
        <v>1601</v>
      </c>
      <c r="C2330" t="str">
        <f>Table13[[#This Row],[Manufacturer]]&amp;" "&amp;Table13[[#This Row],[Model]]</f>
        <v>Snap-on TESI200FU</v>
      </c>
      <c r="D2330" s="1">
        <v>2</v>
      </c>
      <c r="E2330" s="1">
        <v>2</v>
      </c>
      <c r="F2330" s="38">
        <v>200</v>
      </c>
      <c r="G2330" t="s">
        <v>184</v>
      </c>
    </row>
    <row r="2331" spans="1:7" x14ac:dyDescent="0.25">
      <c r="A2331" s="10" t="s">
        <v>1466</v>
      </c>
      <c r="B2331" s="10" t="s">
        <v>1600</v>
      </c>
      <c r="C2331" t="str">
        <f>Table13[[#This Row],[Manufacturer]]&amp;" "&amp;Table13[[#This Row],[Model]]</f>
        <v>Snap-on TESI200L</v>
      </c>
      <c r="D2331" s="1">
        <v>2</v>
      </c>
      <c r="E2331" s="1">
        <v>2</v>
      </c>
      <c r="F2331" s="38">
        <v>200</v>
      </c>
      <c r="G2331" t="s">
        <v>184</v>
      </c>
    </row>
    <row r="2332" spans="1:7" x14ac:dyDescent="0.25">
      <c r="A2332" s="10" t="s">
        <v>1466</v>
      </c>
      <c r="B2332" s="10" t="s">
        <v>1599</v>
      </c>
      <c r="C2332" t="str">
        <f>Table13[[#This Row],[Manufacturer]]&amp;" "&amp;Table13[[#This Row],[Model]]</f>
        <v>Snap-on TESI20FU</v>
      </c>
      <c r="D2332" s="1">
        <v>2</v>
      </c>
      <c r="E2332" s="1">
        <v>2</v>
      </c>
      <c r="F2332" s="38">
        <v>20</v>
      </c>
      <c r="G2332" t="s">
        <v>184</v>
      </c>
    </row>
    <row r="2333" spans="1:7" x14ac:dyDescent="0.25">
      <c r="A2333" s="10" t="s">
        <v>1466</v>
      </c>
      <c r="B2333" s="10" t="s">
        <v>1598</v>
      </c>
      <c r="C2333" t="str">
        <f>Table13[[#This Row],[Manufacturer]]&amp;" "&amp;Table13[[#This Row],[Model]]</f>
        <v>Snap-on TESI20FUE</v>
      </c>
      <c r="D2333" s="1">
        <v>2</v>
      </c>
      <c r="E2333" s="1">
        <v>2</v>
      </c>
      <c r="F2333" s="38">
        <v>20</v>
      </c>
      <c r="G2333" t="s">
        <v>184</v>
      </c>
    </row>
    <row r="2334" spans="1:7" x14ac:dyDescent="0.25">
      <c r="A2334" s="10" t="s">
        <v>1466</v>
      </c>
      <c r="B2334" s="10" t="s">
        <v>1597</v>
      </c>
      <c r="C2334" t="str">
        <f>Table13[[#This Row],[Manufacturer]]&amp;" "&amp;Table13[[#This Row],[Model]]</f>
        <v>Snap-on TESI20L</v>
      </c>
      <c r="D2334" s="1">
        <v>2</v>
      </c>
      <c r="E2334" s="1">
        <v>2</v>
      </c>
      <c r="F2334" s="38">
        <v>20</v>
      </c>
      <c r="G2334" t="s">
        <v>184</v>
      </c>
    </row>
    <row r="2335" spans="1:7" x14ac:dyDescent="0.25">
      <c r="A2335" s="10" t="s">
        <v>1466</v>
      </c>
      <c r="B2335" s="10" t="s">
        <v>1596</v>
      </c>
      <c r="C2335" t="str">
        <f>Table13[[#This Row],[Manufacturer]]&amp;" "&amp;Table13[[#This Row],[Model]]</f>
        <v>Snap-on TESI250</v>
      </c>
      <c r="D2335" s="1">
        <v>2</v>
      </c>
      <c r="E2335" s="1">
        <v>2</v>
      </c>
      <c r="F2335" s="38">
        <v>250</v>
      </c>
      <c r="G2335" t="s">
        <v>184</v>
      </c>
    </row>
    <row r="2336" spans="1:7" x14ac:dyDescent="0.25">
      <c r="A2336" s="10" t="s">
        <v>1466</v>
      </c>
      <c r="B2336" s="10" t="s">
        <v>1595</v>
      </c>
      <c r="C2336" t="str">
        <f>Table13[[#This Row],[Manufacturer]]&amp;" "&amp;Table13[[#This Row],[Model]]</f>
        <v>Snap-on TESI250FU</v>
      </c>
      <c r="D2336" s="1">
        <v>2</v>
      </c>
      <c r="E2336" s="1">
        <v>2</v>
      </c>
      <c r="F2336" s="38">
        <v>250</v>
      </c>
      <c r="G2336" t="s">
        <v>184</v>
      </c>
    </row>
    <row r="2337" spans="1:7" x14ac:dyDescent="0.25">
      <c r="A2337" s="10" t="s">
        <v>1466</v>
      </c>
      <c r="B2337" s="10" t="s">
        <v>1594</v>
      </c>
      <c r="C2337" t="str">
        <f>Table13[[#This Row],[Manufacturer]]&amp;" "&amp;Table13[[#This Row],[Model]]</f>
        <v>Snap-on TESI250FUE</v>
      </c>
      <c r="D2337" s="1">
        <v>2</v>
      </c>
      <c r="E2337" s="1">
        <v>2</v>
      </c>
      <c r="F2337" s="38">
        <v>250</v>
      </c>
      <c r="G2337" t="s">
        <v>184</v>
      </c>
    </row>
    <row r="2338" spans="1:7" x14ac:dyDescent="0.25">
      <c r="A2338" s="10" t="s">
        <v>1466</v>
      </c>
      <c r="B2338" s="10" t="s">
        <v>1593</v>
      </c>
      <c r="C2338" t="str">
        <f>Table13[[#This Row],[Manufacturer]]&amp;" "&amp;Table13[[#This Row],[Model]]</f>
        <v>Snap-on TESI250L</v>
      </c>
      <c r="D2338" s="1">
        <v>2</v>
      </c>
      <c r="E2338" s="1">
        <v>2</v>
      </c>
      <c r="F2338" s="38">
        <v>250</v>
      </c>
      <c r="G2338" t="s">
        <v>184</v>
      </c>
    </row>
    <row r="2339" spans="1:7" x14ac:dyDescent="0.25">
      <c r="A2339" s="10" t="s">
        <v>1466</v>
      </c>
      <c r="B2339" s="10" t="s">
        <v>1592</v>
      </c>
      <c r="C2339" t="str">
        <f>Table13[[#This Row],[Manufacturer]]&amp;" "&amp;Table13[[#This Row],[Model]]</f>
        <v>Snap-on TESI2803</v>
      </c>
      <c r="D2339" s="1">
        <v>2</v>
      </c>
      <c r="E2339" s="1">
        <v>2</v>
      </c>
      <c r="F2339" s="38">
        <v>2800</v>
      </c>
      <c r="G2339" t="s">
        <v>184</v>
      </c>
    </row>
    <row r="2340" spans="1:7" x14ac:dyDescent="0.25">
      <c r="A2340" s="10" t="s">
        <v>1466</v>
      </c>
      <c r="B2340" s="10" t="s">
        <v>1591</v>
      </c>
      <c r="C2340" t="str">
        <f>Table13[[#This Row],[Manufacturer]]&amp;" "&amp;Table13[[#This Row],[Model]]</f>
        <v>Snap-on TESI2803FU</v>
      </c>
      <c r="D2340" s="1">
        <v>2</v>
      </c>
      <c r="E2340" s="1">
        <v>2</v>
      </c>
      <c r="F2340" s="38">
        <v>2800</v>
      </c>
      <c r="G2340" t="s">
        <v>184</v>
      </c>
    </row>
    <row r="2341" spans="1:7" x14ac:dyDescent="0.25">
      <c r="A2341" s="10" t="s">
        <v>1466</v>
      </c>
      <c r="B2341" s="10" t="s">
        <v>1590</v>
      </c>
      <c r="C2341" t="str">
        <f>Table13[[#This Row],[Manufacturer]]&amp;" "&amp;Table13[[#This Row],[Model]]</f>
        <v>Snap-on TESI2803FUE</v>
      </c>
      <c r="D2341" s="1">
        <v>2</v>
      </c>
      <c r="E2341" s="1">
        <v>2</v>
      </c>
      <c r="F2341" s="38">
        <v>2800</v>
      </c>
      <c r="G2341" t="s">
        <v>184</v>
      </c>
    </row>
    <row r="2342" spans="1:7" x14ac:dyDescent="0.25">
      <c r="A2342" s="10" t="s">
        <v>1466</v>
      </c>
      <c r="B2342" s="10" t="s">
        <v>1589</v>
      </c>
      <c r="C2342" t="str">
        <f>Table13[[#This Row],[Manufacturer]]&amp;" "&amp;Table13[[#This Row],[Model]]</f>
        <v>Snap-on TESI2803L</v>
      </c>
      <c r="D2342" s="1">
        <v>2</v>
      </c>
      <c r="E2342" s="1">
        <v>2</v>
      </c>
      <c r="F2342" s="38">
        <v>2800</v>
      </c>
      <c r="G2342" t="s">
        <v>184</v>
      </c>
    </row>
    <row r="2343" spans="1:7" x14ac:dyDescent="0.25">
      <c r="A2343" s="10" t="s">
        <v>1466</v>
      </c>
      <c r="B2343" s="10" t="s">
        <v>1588</v>
      </c>
      <c r="C2343" t="str">
        <f>Table13[[#This Row],[Manufacturer]]&amp;" "&amp;Table13[[#This Row],[Model]]</f>
        <v>Snap-on TESI2803LE</v>
      </c>
      <c r="D2343" s="1">
        <v>2</v>
      </c>
      <c r="E2343" s="1">
        <v>2</v>
      </c>
      <c r="F2343" s="38">
        <v>2800</v>
      </c>
      <c r="G2343" t="s">
        <v>184</v>
      </c>
    </row>
    <row r="2344" spans="1:7" x14ac:dyDescent="0.25">
      <c r="A2344" s="10" t="s">
        <v>1466</v>
      </c>
      <c r="B2344" s="10" t="s">
        <v>1587</v>
      </c>
      <c r="C2344" t="str">
        <f>Table13[[#This Row],[Manufacturer]]&amp;" "&amp;Table13[[#This Row],[Model]]</f>
        <v>Snap-on TESI2805</v>
      </c>
      <c r="D2344" s="1">
        <v>2</v>
      </c>
      <c r="E2344" s="1">
        <v>2</v>
      </c>
      <c r="F2344" s="38">
        <v>2800</v>
      </c>
      <c r="G2344" t="s">
        <v>184</v>
      </c>
    </row>
    <row r="2345" spans="1:7" x14ac:dyDescent="0.25">
      <c r="A2345" s="10" t="s">
        <v>1466</v>
      </c>
      <c r="B2345" s="10" t="s">
        <v>1586</v>
      </c>
      <c r="C2345" t="str">
        <f>Table13[[#This Row],[Manufacturer]]&amp;" "&amp;Table13[[#This Row],[Model]]</f>
        <v>Snap-on TESI30</v>
      </c>
      <c r="D2345" s="1">
        <v>2</v>
      </c>
      <c r="E2345" s="1">
        <v>2</v>
      </c>
      <c r="F2345" s="38">
        <v>30</v>
      </c>
      <c r="G2345" t="s">
        <v>184</v>
      </c>
    </row>
    <row r="2346" spans="1:7" x14ac:dyDescent="0.25">
      <c r="A2346" s="10" t="s">
        <v>1466</v>
      </c>
      <c r="B2346" s="10" t="s">
        <v>1585</v>
      </c>
      <c r="C2346" t="str">
        <f>Table13[[#This Row],[Manufacturer]]&amp;" "&amp;Table13[[#This Row],[Model]]</f>
        <v>Snap-on TESI30FU</v>
      </c>
      <c r="D2346" s="1">
        <v>2</v>
      </c>
      <c r="E2346" s="1">
        <v>2</v>
      </c>
      <c r="F2346" s="38">
        <v>30</v>
      </c>
      <c r="G2346" t="s">
        <v>184</v>
      </c>
    </row>
    <row r="2347" spans="1:7" x14ac:dyDescent="0.25">
      <c r="A2347" s="10" t="s">
        <v>1466</v>
      </c>
      <c r="B2347" s="10" t="s">
        <v>1584</v>
      </c>
      <c r="C2347" t="str">
        <f>Table13[[#This Row],[Manufacturer]]&amp;" "&amp;Table13[[#This Row],[Model]]</f>
        <v>Snap-on TESI30FUE</v>
      </c>
      <c r="D2347" s="1">
        <v>2</v>
      </c>
      <c r="E2347" s="1">
        <v>2</v>
      </c>
      <c r="F2347" s="38">
        <v>30</v>
      </c>
      <c r="G2347" t="s">
        <v>184</v>
      </c>
    </row>
    <row r="2348" spans="1:7" x14ac:dyDescent="0.25">
      <c r="A2348" s="10" t="s">
        <v>1466</v>
      </c>
      <c r="B2348" s="10" t="s">
        <v>1583</v>
      </c>
      <c r="C2348" t="str">
        <f>Table13[[#This Row],[Manufacturer]]&amp;" "&amp;Table13[[#This Row],[Model]]</f>
        <v>Snap-on TESI30L</v>
      </c>
      <c r="D2348" s="1">
        <v>2</v>
      </c>
      <c r="E2348" s="1">
        <v>2</v>
      </c>
      <c r="F2348" s="38">
        <v>30</v>
      </c>
      <c r="G2348" t="s">
        <v>184</v>
      </c>
    </row>
    <row r="2349" spans="1:7" x14ac:dyDescent="0.25">
      <c r="A2349" s="10" t="s">
        <v>1466</v>
      </c>
      <c r="B2349" s="10" t="s">
        <v>1582</v>
      </c>
      <c r="C2349" t="str">
        <f>Table13[[#This Row],[Manufacturer]]&amp;" "&amp;Table13[[#This Row],[Model]]</f>
        <v>Snap-on TESI4000</v>
      </c>
      <c r="D2349" s="1">
        <v>2</v>
      </c>
      <c r="E2349" s="1">
        <v>2</v>
      </c>
      <c r="F2349" s="38">
        <v>4000</v>
      </c>
      <c r="G2349" t="s">
        <v>184</v>
      </c>
    </row>
    <row r="2350" spans="1:7" x14ac:dyDescent="0.25">
      <c r="A2350" s="10" t="s">
        <v>1466</v>
      </c>
      <c r="B2350" s="10" t="s">
        <v>1581</v>
      </c>
      <c r="C2350" t="str">
        <f>Table13[[#This Row],[Manufacturer]]&amp;" "&amp;Table13[[#This Row],[Model]]</f>
        <v>Snap-on TESI4000FU</v>
      </c>
      <c r="D2350" s="1">
        <v>2</v>
      </c>
      <c r="E2350" s="1">
        <v>2</v>
      </c>
      <c r="F2350" s="38">
        <v>4000</v>
      </c>
      <c r="G2350" t="s">
        <v>184</v>
      </c>
    </row>
    <row r="2351" spans="1:7" x14ac:dyDescent="0.25">
      <c r="A2351" s="10" t="s">
        <v>1466</v>
      </c>
      <c r="B2351" s="10" t="s">
        <v>1580</v>
      </c>
      <c r="C2351" t="str">
        <f>Table13[[#This Row],[Manufacturer]]&amp;" "&amp;Table13[[#This Row],[Model]]</f>
        <v>Snap-on TESI4000L</v>
      </c>
      <c r="D2351" s="1">
        <v>2</v>
      </c>
      <c r="E2351" s="1">
        <v>2</v>
      </c>
      <c r="F2351" s="38">
        <v>4000</v>
      </c>
      <c r="G2351" t="s">
        <v>184</v>
      </c>
    </row>
    <row r="2352" spans="1:7" x14ac:dyDescent="0.25">
      <c r="A2352" s="10" t="s">
        <v>1466</v>
      </c>
      <c r="B2352" s="10" t="s">
        <v>1579</v>
      </c>
      <c r="C2352" t="str">
        <f>Table13[[#This Row],[Manufacturer]]&amp;" "&amp;Table13[[#This Row],[Model]]</f>
        <v>Snap-on TESI5</v>
      </c>
      <c r="D2352" s="1">
        <v>2</v>
      </c>
      <c r="E2352" s="1">
        <v>2</v>
      </c>
      <c r="F2352" s="38">
        <v>5</v>
      </c>
      <c r="G2352" t="s">
        <v>184</v>
      </c>
    </row>
    <row r="2353" spans="1:7" x14ac:dyDescent="0.25">
      <c r="A2353" s="10" t="s">
        <v>1466</v>
      </c>
      <c r="B2353" s="10" t="s">
        <v>1578</v>
      </c>
      <c r="C2353" t="str">
        <f>Table13[[#This Row],[Manufacturer]]&amp;" "&amp;Table13[[#This Row],[Model]]</f>
        <v>Snap-on TESI500A</v>
      </c>
      <c r="D2353" s="1">
        <v>2</v>
      </c>
      <c r="E2353" s="1">
        <v>2</v>
      </c>
      <c r="F2353" s="38">
        <v>500</v>
      </c>
      <c r="G2353" t="s">
        <v>184</v>
      </c>
    </row>
    <row r="2354" spans="1:7" x14ac:dyDescent="0.25">
      <c r="A2354" s="10" t="s">
        <v>1466</v>
      </c>
      <c r="B2354" s="10" t="s">
        <v>1577</v>
      </c>
      <c r="C2354" t="str">
        <f>Table13[[#This Row],[Manufacturer]]&amp;" "&amp;Table13[[#This Row],[Model]]</f>
        <v>Snap-on TESI500FUA</v>
      </c>
      <c r="D2354" s="1">
        <v>2</v>
      </c>
      <c r="E2354" s="1">
        <v>2</v>
      </c>
      <c r="F2354" s="38">
        <v>500</v>
      </c>
      <c r="G2354" t="s">
        <v>184</v>
      </c>
    </row>
    <row r="2355" spans="1:7" x14ac:dyDescent="0.25">
      <c r="A2355" s="10" t="s">
        <v>1466</v>
      </c>
      <c r="B2355" s="10" t="s">
        <v>1576</v>
      </c>
      <c r="C2355" t="str">
        <f>Table13[[#This Row],[Manufacturer]]&amp;" "&amp;Table13[[#This Row],[Model]]</f>
        <v>Snap-on TESI500FUE</v>
      </c>
      <c r="D2355" s="1">
        <v>2</v>
      </c>
      <c r="E2355" s="1">
        <v>2</v>
      </c>
      <c r="F2355" s="38">
        <v>500</v>
      </c>
      <c r="G2355" t="s">
        <v>184</v>
      </c>
    </row>
    <row r="2356" spans="1:7" x14ac:dyDescent="0.25">
      <c r="A2356" s="10" t="s">
        <v>1466</v>
      </c>
      <c r="B2356" s="10" t="s">
        <v>1575</v>
      </c>
      <c r="C2356" t="str">
        <f>Table13[[#This Row],[Manufacturer]]&amp;" "&amp;Table13[[#This Row],[Model]]</f>
        <v>Snap-on TESI500LA</v>
      </c>
      <c r="D2356" s="1">
        <v>2</v>
      </c>
      <c r="E2356" s="1">
        <v>2</v>
      </c>
      <c r="F2356" s="38">
        <v>500</v>
      </c>
      <c r="G2356" t="s">
        <v>184</v>
      </c>
    </row>
    <row r="2357" spans="1:7" x14ac:dyDescent="0.25">
      <c r="A2357" s="10" t="s">
        <v>1466</v>
      </c>
      <c r="B2357" s="10" t="s">
        <v>1574</v>
      </c>
      <c r="C2357" t="str">
        <f>Table13[[#This Row],[Manufacturer]]&amp;" "&amp;Table13[[#This Row],[Model]]</f>
        <v>Snap-on TESI5FU</v>
      </c>
      <c r="D2357" s="1">
        <v>2</v>
      </c>
      <c r="E2357" s="1">
        <v>2</v>
      </c>
      <c r="F2357" s="38">
        <v>5</v>
      </c>
      <c r="G2357" t="s">
        <v>184</v>
      </c>
    </row>
    <row r="2358" spans="1:7" x14ac:dyDescent="0.25">
      <c r="A2358" s="10" t="s">
        <v>1466</v>
      </c>
      <c r="B2358" s="10" t="s">
        <v>1573</v>
      </c>
      <c r="C2358" t="str">
        <f>Table13[[#This Row],[Manufacturer]]&amp;" "&amp;Table13[[#This Row],[Model]]</f>
        <v>Snap-on TESI5FUE</v>
      </c>
      <c r="D2358" s="1">
        <v>2</v>
      </c>
      <c r="E2358" s="1">
        <v>2</v>
      </c>
      <c r="F2358" s="38">
        <v>5</v>
      </c>
      <c r="G2358" t="s">
        <v>184</v>
      </c>
    </row>
    <row r="2359" spans="1:7" x14ac:dyDescent="0.25">
      <c r="A2359" s="10" t="s">
        <v>1466</v>
      </c>
      <c r="B2359" s="10" t="s">
        <v>1572</v>
      </c>
      <c r="C2359" t="str">
        <f>Table13[[#This Row],[Manufacturer]]&amp;" "&amp;Table13[[#This Row],[Model]]</f>
        <v>Snap-on TESI5L</v>
      </c>
      <c r="D2359" s="1">
        <v>2</v>
      </c>
      <c r="E2359" s="1">
        <v>2</v>
      </c>
      <c r="F2359" s="38">
        <v>5</v>
      </c>
      <c r="G2359" t="s">
        <v>184</v>
      </c>
    </row>
    <row r="2360" spans="1:7" x14ac:dyDescent="0.25">
      <c r="A2360" s="10" t="s">
        <v>1466</v>
      </c>
      <c r="B2360" s="10" t="s">
        <v>1571</v>
      </c>
      <c r="C2360" t="str">
        <f>Table13[[#This Row],[Manufacturer]]&amp;" "&amp;Table13[[#This Row],[Model]]</f>
        <v>Snap-on TESI60</v>
      </c>
      <c r="D2360" s="1">
        <v>2</v>
      </c>
      <c r="E2360" s="1">
        <v>2</v>
      </c>
      <c r="F2360" s="38">
        <v>60</v>
      </c>
      <c r="G2360" t="s">
        <v>184</v>
      </c>
    </row>
    <row r="2361" spans="1:7" x14ac:dyDescent="0.25">
      <c r="A2361" s="10" t="s">
        <v>1466</v>
      </c>
      <c r="B2361" s="10" t="s">
        <v>1570</v>
      </c>
      <c r="C2361" t="str">
        <f>Table13[[#This Row],[Manufacturer]]&amp;" "&amp;Table13[[#This Row],[Model]]</f>
        <v>Snap-on TESI60FU</v>
      </c>
      <c r="D2361" s="1">
        <v>2</v>
      </c>
      <c r="E2361" s="1">
        <v>2</v>
      </c>
      <c r="F2361" s="38">
        <v>60</v>
      </c>
      <c r="G2361" t="s">
        <v>184</v>
      </c>
    </row>
    <row r="2362" spans="1:7" x14ac:dyDescent="0.25">
      <c r="A2362" s="10" t="s">
        <v>1466</v>
      </c>
      <c r="B2362" s="10" t="s">
        <v>1569</v>
      </c>
      <c r="C2362" t="str">
        <f>Table13[[#This Row],[Manufacturer]]&amp;" "&amp;Table13[[#This Row],[Model]]</f>
        <v>Snap-on TESI60L</v>
      </c>
      <c r="D2362" s="1">
        <v>2</v>
      </c>
      <c r="E2362" s="1">
        <v>2</v>
      </c>
      <c r="F2362" s="38">
        <v>60</v>
      </c>
      <c r="G2362" t="s">
        <v>184</v>
      </c>
    </row>
    <row r="2363" spans="1:7" x14ac:dyDescent="0.25">
      <c r="A2363" s="10" t="s">
        <v>1466</v>
      </c>
      <c r="B2363" s="10" t="s">
        <v>1568</v>
      </c>
      <c r="C2363" t="str">
        <f>Table13[[#This Row],[Manufacturer]]&amp;" "&amp;Table13[[#This Row],[Model]]</f>
        <v>Snap-on TESI70</v>
      </c>
      <c r="D2363" s="1">
        <v>2</v>
      </c>
      <c r="E2363" s="1">
        <v>2</v>
      </c>
      <c r="F2363" s="38">
        <v>70</v>
      </c>
      <c r="G2363" t="s">
        <v>184</v>
      </c>
    </row>
    <row r="2364" spans="1:7" x14ac:dyDescent="0.25">
      <c r="A2364" s="10" t="s">
        <v>1466</v>
      </c>
      <c r="B2364" s="10" t="s">
        <v>1567</v>
      </c>
      <c r="C2364" t="str">
        <f>Table13[[#This Row],[Manufacturer]]&amp;" "&amp;Table13[[#This Row],[Model]]</f>
        <v>Snap-on TESI70FU</v>
      </c>
      <c r="D2364" s="1">
        <v>2</v>
      </c>
      <c r="E2364" s="1">
        <v>2</v>
      </c>
      <c r="F2364" s="38">
        <v>70</v>
      </c>
      <c r="G2364" t="s">
        <v>184</v>
      </c>
    </row>
    <row r="2365" spans="1:7" x14ac:dyDescent="0.25">
      <c r="A2365" s="10" t="s">
        <v>1466</v>
      </c>
      <c r="B2365" s="10" t="s">
        <v>1566</v>
      </c>
      <c r="C2365" t="str">
        <f>Table13[[#This Row],[Manufacturer]]&amp;" "&amp;Table13[[#This Row],[Model]]</f>
        <v>Snap-on TESI70FUE</v>
      </c>
      <c r="D2365" s="1">
        <v>2</v>
      </c>
      <c r="E2365" s="1">
        <v>2</v>
      </c>
      <c r="F2365" s="38">
        <v>70</v>
      </c>
      <c r="G2365" t="s">
        <v>184</v>
      </c>
    </row>
    <row r="2366" spans="1:7" x14ac:dyDescent="0.25">
      <c r="A2366" s="10" t="s">
        <v>1466</v>
      </c>
      <c r="B2366" s="10" t="s">
        <v>1565</v>
      </c>
      <c r="C2366" t="str">
        <f>Table13[[#This Row],[Manufacturer]]&amp;" "&amp;Table13[[#This Row],[Model]]</f>
        <v>Snap-on TESI70L</v>
      </c>
      <c r="D2366" s="1">
        <v>2</v>
      </c>
      <c r="E2366" s="1">
        <v>2</v>
      </c>
      <c r="F2366" s="38">
        <v>70</v>
      </c>
      <c r="G2366" t="s">
        <v>184</v>
      </c>
    </row>
    <row r="2367" spans="1:7" x14ac:dyDescent="0.25">
      <c r="A2367" s="10" t="s">
        <v>1466</v>
      </c>
      <c r="B2367" s="10" t="s">
        <v>1564</v>
      </c>
      <c r="C2367" t="str">
        <f>Table13[[#This Row],[Manufacturer]]&amp;" "&amp;Table13[[#This Row],[Model]]</f>
        <v>Snap-on TESI75</v>
      </c>
      <c r="D2367" s="1">
        <v>2</v>
      </c>
      <c r="E2367" s="1">
        <v>2</v>
      </c>
      <c r="F2367" s="38">
        <v>75</v>
      </c>
      <c r="G2367" t="s">
        <v>184</v>
      </c>
    </row>
    <row r="2368" spans="1:7" x14ac:dyDescent="0.25">
      <c r="A2368" s="10" t="s">
        <v>1466</v>
      </c>
      <c r="B2368" s="10" t="s">
        <v>1563</v>
      </c>
      <c r="C2368" t="str">
        <f>Table13[[#This Row],[Manufacturer]]&amp;" "&amp;Table13[[#This Row],[Model]]</f>
        <v>Snap-on TESI75FU</v>
      </c>
      <c r="D2368" s="1">
        <v>2</v>
      </c>
      <c r="E2368" s="1">
        <v>2</v>
      </c>
      <c r="F2368" s="38">
        <v>75</v>
      </c>
      <c r="G2368" t="s">
        <v>184</v>
      </c>
    </row>
    <row r="2369" spans="1:7" x14ac:dyDescent="0.25">
      <c r="A2369" s="10" t="s">
        <v>1466</v>
      </c>
      <c r="B2369" s="10" t="s">
        <v>1562</v>
      </c>
      <c r="C2369" t="str">
        <f>Table13[[#This Row],[Manufacturer]]&amp;" "&amp;Table13[[#This Row],[Model]]</f>
        <v>Snap-on TESI75FUE</v>
      </c>
      <c r="D2369" s="1">
        <v>2</v>
      </c>
      <c r="E2369" s="1">
        <v>2</v>
      </c>
      <c r="F2369" s="38">
        <v>75</v>
      </c>
      <c r="G2369" t="s">
        <v>184</v>
      </c>
    </row>
    <row r="2370" spans="1:7" x14ac:dyDescent="0.25">
      <c r="A2370" s="10" t="s">
        <v>1466</v>
      </c>
      <c r="B2370" s="10" t="s">
        <v>1561</v>
      </c>
      <c r="C2370" t="str">
        <f>Table13[[#This Row],[Manufacturer]]&amp;" "&amp;Table13[[#This Row],[Model]]</f>
        <v>Snap-on TESI75L</v>
      </c>
      <c r="D2370" s="1">
        <v>2</v>
      </c>
      <c r="E2370" s="1">
        <v>2</v>
      </c>
      <c r="F2370" s="38">
        <v>75</v>
      </c>
      <c r="G2370" t="s">
        <v>184</v>
      </c>
    </row>
    <row r="2371" spans="1:7" x14ac:dyDescent="0.25">
      <c r="A2371" s="10" t="s">
        <v>1466</v>
      </c>
      <c r="B2371" s="10" t="s">
        <v>1560</v>
      </c>
      <c r="C2371" t="str">
        <f>Table13[[#This Row],[Manufacturer]]&amp;" "&amp;Table13[[#This Row],[Model]]</f>
        <v>Snap-on TESI800A</v>
      </c>
      <c r="D2371" s="1">
        <v>2</v>
      </c>
      <c r="E2371" s="1">
        <v>2</v>
      </c>
      <c r="F2371" s="38">
        <v>800</v>
      </c>
      <c r="G2371" t="s">
        <v>184</v>
      </c>
    </row>
    <row r="2372" spans="1:7" x14ac:dyDescent="0.25">
      <c r="A2372" s="10" t="s">
        <v>1466</v>
      </c>
      <c r="B2372" s="10" t="s">
        <v>1559</v>
      </c>
      <c r="C2372" t="str">
        <f>Table13[[#This Row],[Manufacturer]]&amp;" "&amp;Table13[[#This Row],[Model]]</f>
        <v>Snap-on TESI800FUA</v>
      </c>
      <c r="D2372" s="1">
        <v>2</v>
      </c>
      <c r="E2372" s="1">
        <v>2</v>
      </c>
      <c r="F2372" s="38">
        <v>800</v>
      </c>
      <c r="G2372" t="s">
        <v>184</v>
      </c>
    </row>
    <row r="2373" spans="1:7" x14ac:dyDescent="0.25">
      <c r="A2373" s="10" t="s">
        <v>1466</v>
      </c>
      <c r="B2373" s="10" t="s">
        <v>1558</v>
      </c>
      <c r="C2373" t="str">
        <f>Table13[[#This Row],[Manufacturer]]&amp;" "&amp;Table13[[#This Row],[Model]]</f>
        <v>Snap-on TESI800FUE</v>
      </c>
      <c r="D2373" s="1">
        <v>2</v>
      </c>
      <c r="E2373" s="1">
        <v>2</v>
      </c>
      <c r="F2373" s="38">
        <v>800</v>
      </c>
      <c r="G2373" t="s">
        <v>184</v>
      </c>
    </row>
    <row r="2374" spans="1:7" x14ac:dyDescent="0.25">
      <c r="A2374" s="10" t="s">
        <v>1466</v>
      </c>
      <c r="B2374" s="10" t="s">
        <v>1557</v>
      </c>
      <c r="C2374" t="str">
        <f>Table13[[#This Row],[Manufacturer]]&amp;" "&amp;Table13[[#This Row],[Model]]</f>
        <v>Snap-on TESI800LA</v>
      </c>
      <c r="D2374" s="1">
        <v>2</v>
      </c>
      <c r="E2374" s="1">
        <v>2</v>
      </c>
      <c r="F2374" s="38">
        <v>800</v>
      </c>
      <c r="G2374" t="s">
        <v>184</v>
      </c>
    </row>
    <row r="2375" spans="1:7" x14ac:dyDescent="0.25">
      <c r="A2375" s="10" t="s">
        <v>1466</v>
      </c>
      <c r="B2375" s="10" t="s">
        <v>1556</v>
      </c>
      <c r="C2375" t="str">
        <f>Table13[[#This Row],[Manufacturer]]&amp;" "&amp;Table13[[#This Row],[Model]]</f>
        <v>Snap-on TESI800LE</v>
      </c>
      <c r="D2375" s="1">
        <v>2</v>
      </c>
      <c r="E2375" s="1">
        <v>2</v>
      </c>
      <c r="F2375" s="38">
        <v>800</v>
      </c>
      <c r="G2375" t="s">
        <v>184</v>
      </c>
    </row>
    <row r="2376" spans="1:7" x14ac:dyDescent="0.25">
      <c r="A2376" s="10" t="s">
        <v>1466</v>
      </c>
      <c r="B2376" s="10" t="s">
        <v>1555</v>
      </c>
      <c r="C2376" t="str">
        <f>Table13[[#This Row],[Manufacturer]]&amp;" "&amp;Table13[[#This Row],[Model]]</f>
        <v>Snap-on TEX1003TFUA</v>
      </c>
      <c r="D2376" s="1">
        <v>2</v>
      </c>
      <c r="E2376" s="1">
        <v>2</v>
      </c>
      <c r="F2376" s="38">
        <v>1000</v>
      </c>
      <c r="G2376" t="s">
        <v>166</v>
      </c>
    </row>
    <row r="2377" spans="1:7" x14ac:dyDescent="0.25">
      <c r="A2377" s="10" t="s">
        <v>1466</v>
      </c>
      <c r="B2377" s="10" t="s">
        <v>1554</v>
      </c>
      <c r="C2377" t="str">
        <f>Table13[[#This Row],[Manufacturer]]&amp;" "&amp;Table13[[#This Row],[Model]]</f>
        <v>Snap-on TEX1003TLA</v>
      </c>
      <c r="D2377" s="1">
        <v>2</v>
      </c>
      <c r="E2377" s="1">
        <v>2</v>
      </c>
      <c r="F2377" s="38">
        <v>1000</v>
      </c>
      <c r="G2377" t="s">
        <v>166</v>
      </c>
    </row>
    <row r="2378" spans="1:7" x14ac:dyDescent="0.25">
      <c r="A2378" s="10" t="s">
        <v>1466</v>
      </c>
      <c r="B2378" s="10" t="s">
        <v>1553</v>
      </c>
      <c r="C2378" t="str">
        <f>Table13[[#This Row],[Manufacturer]]&amp;" "&amp;Table13[[#This Row],[Model]]</f>
        <v>Snap-on TEX2003TFU</v>
      </c>
      <c r="D2378" s="1">
        <v>2</v>
      </c>
      <c r="E2378" s="1">
        <v>2</v>
      </c>
      <c r="F2378" s="38">
        <v>2000</v>
      </c>
      <c r="G2378" t="s">
        <v>166</v>
      </c>
    </row>
    <row r="2379" spans="1:7" x14ac:dyDescent="0.25">
      <c r="A2379" s="10" t="s">
        <v>1466</v>
      </c>
      <c r="B2379" s="10" t="s">
        <v>1552</v>
      </c>
      <c r="C2379" t="str">
        <f>Table13[[#This Row],[Manufacturer]]&amp;" "&amp;Table13[[#This Row],[Model]]</f>
        <v>Snap-on TEX2003TL</v>
      </c>
      <c r="D2379" s="1">
        <v>2</v>
      </c>
      <c r="E2379" s="1">
        <v>2</v>
      </c>
      <c r="F2379" s="38">
        <v>2000</v>
      </c>
      <c r="G2379" t="s">
        <v>166</v>
      </c>
    </row>
    <row r="2380" spans="1:7" x14ac:dyDescent="0.25">
      <c r="A2380" s="10" t="s">
        <v>1466</v>
      </c>
      <c r="B2380" s="10" t="s">
        <v>1551</v>
      </c>
      <c r="C2380" t="str">
        <f>Table13[[#This Row],[Manufacturer]]&amp;" "&amp;Table13[[#This Row],[Model]]</f>
        <v>Snap-on TEX602TFUA</v>
      </c>
      <c r="D2380" s="1">
        <v>2</v>
      </c>
      <c r="E2380" s="1">
        <v>2</v>
      </c>
      <c r="F2380" s="38">
        <v>600</v>
      </c>
      <c r="G2380" t="s">
        <v>166</v>
      </c>
    </row>
    <row r="2381" spans="1:7" x14ac:dyDescent="0.25">
      <c r="A2381" s="10" t="s">
        <v>1466</v>
      </c>
      <c r="B2381" s="10" t="s">
        <v>1550</v>
      </c>
      <c r="C2381" t="str">
        <f>Table13[[#This Row],[Manufacturer]]&amp;" "&amp;Table13[[#This Row],[Model]]</f>
        <v>Snap-on TEX602TLA</v>
      </c>
      <c r="D2381" s="1">
        <v>2</v>
      </c>
      <c r="E2381" s="1">
        <v>2</v>
      </c>
      <c r="F2381" s="38">
        <v>600</v>
      </c>
      <c r="G2381" t="s">
        <v>166</v>
      </c>
    </row>
    <row r="2382" spans="1:7" x14ac:dyDescent="0.25">
      <c r="A2382" s="10" t="s">
        <v>1466</v>
      </c>
      <c r="B2382" s="10" t="s">
        <v>1549</v>
      </c>
      <c r="C2382" t="str">
        <f>Table13[[#This Row],[Manufacturer]]&amp;" "&amp;Table13[[#This Row],[Model]]</f>
        <v>Snap-on TEXC1003TFUA</v>
      </c>
      <c r="D2382" s="1">
        <v>2</v>
      </c>
      <c r="E2382" s="1">
        <v>2</v>
      </c>
      <c r="F2382" s="38">
        <v>1000</v>
      </c>
      <c r="G2382" t="s">
        <v>166</v>
      </c>
    </row>
    <row r="2383" spans="1:7" x14ac:dyDescent="0.25">
      <c r="A2383" s="10" t="s">
        <v>1466</v>
      </c>
      <c r="B2383" s="10" t="s">
        <v>1548</v>
      </c>
      <c r="C2383" t="str">
        <f>Table13[[#This Row],[Manufacturer]]&amp;" "&amp;Table13[[#This Row],[Model]]</f>
        <v>Snap-on TEXC1003TLA</v>
      </c>
      <c r="D2383" s="1">
        <v>2</v>
      </c>
      <c r="E2383" s="1">
        <v>2</v>
      </c>
      <c r="F2383" s="38">
        <v>1000</v>
      </c>
      <c r="G2383" t="s">
        <v>166</v>
      </c>
    </row>
    <row r="2384" spans="1:7" x14ac:dyDescent="0.25">
      <c r="A2384" s="10" t="s">
        <v>1466</v>
      </c>
      <c r="B2384" s="10" t="s">
        <v>1547</v>
      </c>
      <c r="C2384" t="str">
        <f>Table13[[#This Row],[Manufacturer]]&amp;" "&amp;Table13[[#This Row],[Model]]</f>
        <v>Snap-on TEXC2003TFU</v>
      </c>
      <c r="D2384" s="1">
        <v>2</v>
      </c>
      <c r="E2384" s="1">
        <v>2</v>
      </c>
      <c r="F2384" s="38">
        <v>2000</v>
      </c>
      <c r="G2384" t="s">
        <v>166</v>
      </c>
    </row>
    <row r="2385" spans="1:7" x14ac:dyDescent="0.25">
      <c r="A2385" s="10" t="s">
        <v>1466</v>
      </c>
      <c r="B2385" s="10" t="s">
        <v>1546</v>
      </c>
      <c r="C2385" t="str">
        <f>Table13[[#This Row],[Manufacturer]]&amp;" "&amp;Table13[[#This Row],[Model]]</f>
        <v>Snap-on TEXC2003TL</v>
      </c>
      <c r="D2385" s="1">
        <v>2</v>
      </c>
      <c r="E2385" s="1">
        <v>2</v>
      </c>
      <c r="F2385" s="38">
        <v>2000</v>
      </c>
      <c r="G2385" t="s">
        <v>166</v>
      </c>
    </row>
    <row r="2386" spans="1:7" x14ac:dyDescent="0.25">
      <c r="A2386" s="10" t="s">
        <v>1466</v>
      </c>
      <c r="B2386" s="10" t="s">
        <v>1545</v>
      </c>
      <c r="C2386" t="str">
        <f>Table13[[#This Row],[Manufacturer]]&amp;" "&amp;Table13[[#This Row],[Model]]</f>
        <v>Snap-on TEXC602TFUA</v>
      </c>
      <c r="D2386" s="1">
        <v>2</v>
      </c>
      <c r="E2386" s="1">
        <v>2</v>
      </c>
      <c r="F2386" s="38">
        <v>600</v>
      </c>
      <c r="G2386" t="s">
        <v>166</v>
      </c>
    </row>
    <row r="2387" spans="1:7" x14ac:dyDescent="0.25">
      <c r="A2387" s="10" t="s">
        <v>1466</v>
      </c>
      <c r="B2387" s="10" t="s">
        <v>1544</v>
      </c>
      <c r="C2387" t="str">
        <f>Table13[[#This Row],[Manufacturer]]&amp;" "&amp;Table13[[#This Row],[Model]]</f>
        <v>Snap-on TEXC602TLA</v>
      </c>
      <c r="D2387" s="1">
        <v>2</v>
      </c>
      <c r="E2387" s="1">
        <v>2</v>
      </c>
      <c r="F2387" s="38">
        <v>600</v>
      </c>
      <c r="G2387" t="s">
        <v>166</v>
      </c>
    </row>
    <row r="2388" spans="1:7" x14ac:dyDescent="0.25">
      <c r="A2388" s="10" t="s">
        <v>1466</v>
      </c>
      <c r="B2388" s="10" t="s">
        <v>1543</v>
      </c>
      <c r="C2388" t="str">
        <f>Table13[[#This Row],[Manufacturer]]&amp;" "&amp;Table13[[#This Row],[Model]]</f>
        <v>Snap-on TQ-250-FU</v>
      </c>
      <c r="D2388" s="1">
        <v>2</v>
      </c>
      <c r="E2388" s="1">
        <v>2</v>
      </c>
      <c r="F2388" s="38">
        <v>250</v>
      </c>
      <c r="G2388" t="s">
        <v>166</v>
      </c>
    </row>
    <row r="2389" spans="1:7" x14ac:dyDescent="0.25">
      <c r="A2389" s="10" t="s">
        <v>1466</v>
      </c>
      <c r="B2389" s="10" t="s">
        <v>1542</v>
      </c>
      <c r="C2389" t="str">
        <f>Table13[[#This Row],[Manufacturer]]&amp;" "&amp;Table13[[#This Row],[Model]]</f>
        <v>Snap-on TQ-3</v>
      </c>
      <c r="D2389" s="1">
        <v>3</v>
      </c>
      <c r="E2389" s="1">
        <v>3</v>
      </c>
      <c r="F2389" s="38">
        <v>30</v>
      </c>
      <c r="G2389" t="s">
        <v>164</v>
      </c>
    </row>
    <row r="2390" spans="1:7" x14ac:dyDescent="0.25">
      <c r="A2390" s="10" t="s">
        <v>1466</v>
      </c>
      <c r="B2390" s="10" t="s">
        <v>1541</v>
      </c>
      <c r="C2390" t="str">
        <f>Table13[[#This Row],[Manufacturer]]&amp;" "&amp;Table13[[#This Row],[Model]]</f>
        <v>Snap-on TQ-50A</v>
      </c>
      <c r="D2390" s="1">
        <v>4</v>
      </c>
      <c r="E2390" s="1">
        <v>4</v>
      </c>
      <c r="F2390" s="38">
        <v>600</v>
      </c>
      <c r="G2390" t="s">
        <v>164</v>
      </c>
    </row>
    <row r="2391" spans="1:7" x14ac:dyDescent="0.25">
      <c r="A2391" s="10" t="s">
        <v>1466</v>
      </c>
      <c r="B2391" s="10" t="s">
        <v>1540</v>
      </c>
      <c r="C2391" t="str">
        <f>Table13[[#This Row],[Manufacturer]]&amp;" "&amp;Table13[[#This Row],[Model]]</f>
        <v>Snap-on TQS012A</v>
      </c>
      <c r="D2391" s="1">
        <v>2</v>
      </c>
      <c r="E2391" s="1">
        <v>2</v>
      </c>
      <c r="F2391" s="38">
        <v>24</v>
      </c>
      <c r="G2391" t="s">
        <v>172</v>
      </c>
    </row>
    <row r="2392" spans="1:7" x14ac:dyDescent="0.25">
      <c r="A2392" s="10" t="s">
        <v>1466</v>
      </c>
      <c r="B2392" s="10" t="s">
        <v>1539</v>
      </c>
      <c r="C2392" t="str">
        <f>Table13[[#This Row],[Manufacturer]]&amp;" "&amp;Table13[[#This Row],[Model]]</f>
        <v>Snap-on TQS012FU</v>
      </c>
      <c r="D2392" s="1">
        <v>2</v>
      </c>
      <c r="E2392" s="1">
        <v>2</v>
      </c>
      <c r="F2392" s="38">
        <v>24</v>
      </c>
      <c r="G2392" t="s">
        <v>172</v>
      </c>
    </row>
    <row r="2393" spans="1:7" x14ac:dyDescent="0.25">
      <c r="A2393" s="10" t="s">
        <v>1466</v>
      </c>
      <c r="B2393" s="10" t="s">
        <v>1538</v>
      </c>
      <c r="C2393" t="str">
        <f>Table13[[#This Row],[Manufacturer]]&amp;" "&amp;Table13[[#This Row],[Model]]</f>
        <v>Snap-on TQS012FUA</v>
      </c>
      <c r="D2393" s="1">
        <v>2</v>
      </c>
      <c r="E2393" s="1">
        <v>2</v>
      </c>
      <c r="F2393" s="38">
        <v>24</v>
      </c>
      <c r="G2393" t="s">
        <v>172</v>
      </c>
    </row>
    <row r="2394" spans="1:7" x14ac:dyDescent="0.25">
      <c r="A2394" s="10" t="s">
        <v>1466</v>
      </c>
      <c r="B2394" s="10" t="s">
        <v>1537</v>
      </c>
      <c r="C2394" t="str">
        <f>Table13[[#This Row],[Manufacturer]]&amp;" "&amp;Table13[[#This Row],[Model]]</f>
        <v>Snap-on TQS025</v>
      </c>
      <c r="D2394" s="1">
        <v>2</v>
      </c>
      <c r="E2394" s="1">
        <v>2</v>
      </c>
      <c r="F2394" s="38">
        <v>48</v>
      </c>
      <c r="G2394" t="s">
        <v>172</v>
      </c>
    </row>
    <row r="2395" spans="1:7" x14ac:dyDescent="0.25">
      <c r="A2395" s="10" t="s">
        <v>1466</v>
      </c>
      <c r="B2395" s="10" t="s">
        <v>1536</v>
      </c>
      <c r="C2395" t="str">
        <f>Table13[[#This Row],[Manufacturer]]&amp;" "&amp;Table13[[#This Row],[Model]]</f>
        <v>Snap-on TQS025A</v>
      </c>
      <c r="D2395" s="1">
        <v>2</v>
      </c>
      <c r="E2395" s="1">
        <v>2</v>
      </c>
      <c r="F2395" s="38">
        <v>48</v>
      </c>
      <c r="G2395" t="s">
        <v>172</v>
      </c>
    </row>
    <row r="2396" spans="1:7" x14ac:dyDescent="0.25">
      <c r="A2396" s="10" t="s">
        <v>1466</v>
      </c>
      <c r="B2396" s="10" t="s">
        <v>1535</v>
      </c>
      <c r="C2396" t="str">
        <f>Table13[[#This Row],[Manufacturer]]&amp;" "&amp;Table13[[#This Row],[Model]]</f>
        <v>Snap-on TQS025FU</v>
      </c>
      <c r="D2396" s="1">
        <v>2</v>
      </c>
      <c r="E2396" s="1">
        <v>2</v>
      </c>
      <c r="F2396" s="38">
        <v>48</v>
      </c>
      <c r="G2396" t="s">
        <v>172</v>
      </c>
    </row>
    <row r="2397" spans="1:7" x14ac:dyDescent="0.25">
      <c r="A2397" s="10" t="s">
        <v>1466</v>
      </c>
      <c r="B2397" s="10" t="s">
        <v>1534</v>
      </c>
      <c r="C2397" t="str">
        <f>Table13[[#This Row],[Manufacturer]]&amp;" "&amp;Table13[[#This Row],[Model]]</f>
        <v>Snap-on TQS025FUA</v>
      </c>
      <c r="D2397" s="1">
        <v>2</v>
      </c>
      <c r="E2397" s="1">
        <v>2</v>
      </c>
      <c r="F2397" s="38">
        <v>48</v>
      </c>
      <c r="G2397" t="s">
        <v>172</v>
      </c>
    </row>
    <row r="2398" spans="1:7" x14ac:dyDescent="0.25">
      <c r="A2398" s="10" t="s">
        <v>1466</v>
      </c>
      <c r="B2398" s="10" t="s">
        <v>1533</v>
      </c>
      <c r="C2398" t="str">
        <f>Table13[[#This Row],[Manufacturer]]&amp;" "&amp;Table13[[#This Row],[Model]]</f>
        <v>Snap-on TQS050A</v>
      </c>
      <c r="D2398" s="1" t="s">
        <v>1412</v>
      </c>
      <c r="E2398" s="1" t="s">
        <v>1530</v>
      </c>
    </row>
    <row r="2399" spans="1:7" x14ac:dyDescent="0.25">
      <c r="A2399" s="10" t="s">
        <v>1466</v>
      </c>
      <c r="B2399" s="10" t="s">
        <v>1532</v>
      </c>
      <c r="C2399" t="str">
        <f>Table13[[#This Row],[Manufacturer]]&amp;" "&amp;Table13[[#This Row],[Model]]</f>
        <v>Snap-on TQS050FU</v>
      </c>
      <c r="D2399" s="1" t="s">
        <v>1412</v>
      </c>
      <c r="E2399" s="1" t="s">
        <v>1530</v>
      </c>
    </row>
    <row r="2400" spans="1:7" x14ac:dyDescent="0.25">
      <c r="A2400" s="10" t="s">
        <v>1466</v>
      </c>
      <c r="B2400" s="10" t="s">
        <v>1531</v>
      </c>
      <c r="C2400" t="str">
        <f>Table13[[#This Row],[Manufacturer]]&amp;" "&amp;Table13[[#This Row],[Model]]</f>
        <v>Snap-on TQS050FUA</v>
      </c>
      <c r="D2400" s="1" t="s">
        <v>1412</v>
      </c>
      <c r="E2400" s="1" t="s">
        <v>1530</v>
      </c>
    </row>
    <row r="2401" spans="1:7" x14ac:dyDescent="0.25">
      <c r="A2401" s="10" t="s">
        <v>1466</v>
      </c>
      <c r="B2401" s="10" t="s">
        <v>1529</v>
      </c>
      <c r="C2401" t="str">
        <f>Table13[[#This Row],[Manufacturer]]&amp;" "&amp;Table13[[#This Row],[Model]]</f>
        <v>Snap-on TQS1A</v>
      </c>
      <c r="D2401" s="1">
        <v>2</v>
      </c>
      <c r="E2401" s="1">
        <v>2</v>
      </c>
      <c r="F2401" s="38">
        <v>12</v>
      </c>
      <c r="G2401" t="s">
        <v>164</v>
      </c>
    </row>
    <row r="2402" spans="1:7" x14ac:dyDescent="0.25">
      <c r="A2402" s="10" t="s">
        <v>1466</v>
      </c>
      <c r="B2402" s="10" t="s">
        <v>1528</v>
      </c>
      <c r="C2402" t="str">
        <f>Table13[[#This Row],[Manufacturer]]&amp;" "&amp;Table13[[#This Row],[Model]]</f>
        <v>Snap-on TQS1FUA</v>
      </c>
      <c r="D2402" s="1">
        <v>2</v>
      </c>
      <c r="E2402" s="1">
        <v>2</v>
      </c>
      <c r="F2402" s="38">
        <v>12</v>
      </c>
      <c r="G2402" t="s">
        <v>164</v>
      </c>
    </row>
    <row r="2403" spans="1:7" x14ac:dyDescent="0.25">
      <c r="A2403" s="10" t="s">
        <v>1466</v>
      </c>
      <c r="B2403" s="10" t="s">
        <v>1527</v>
      </c>
      <c r="C2403" t="str">
        <f>Table13[[#This Row],[Manufacturer]]&amp;" "&amp;Table13[[#This Row],[Model]]</f>
        <v>Snap-on TQS2.5A</v>
      </c>
      <c r="D2403" s="1">
        <v>2</v>
      </c>
      <c r="E2403" s="1">
        <v>2</v>
      </c>
      <c r="F2403" s="38">
        <v>30</v>
      </c>
      <c r="G2403" t="s">
        <v>164</v>
      </c>
    </row>
    <row r="2404" spans="1:7" x14ac:dyDescent="0.25">
      <c r="A2404" s="10" t="s">
        <v>1466</v>
      </c>
      <c r="B2404" s="10" t="s">
        <v>1526</v>
      </c>
      <c r="C2404" t="str">
        <f>Table13[[#This Row],[Manufacturer]]&amp;" "&amp;Table13[[#This Row],[Model]]</f>
        <v>Snap-on TQS2.5FUA</v>
      </c>
      <c r="D2404" s="1">
        <v>2</v>
      </c>
      <c r="E2404" s="1">
        <v>2</v>
      </c>
      <c r="F2404" s="38">
        <v>30</v>
      </c>
      <c r="G2404" t="s">
        <v>164</v>
      </c>
    </row>
    <row r="2405" spans="1:7" x14ac:dyDescent="0.25">
      <c r="A2405" s="10" t="s">
        <v>1466</v>
      </c>
      <c r="B2405" s="10" t="s">
        <v>1525</v>
      </c>
      <c r="C2405" t="str">
        <f>Table13[[#This Row],[Manufacturer]]&amp;" "&amp;Table13[[#This Row],[Model]]</f>
        <v>Snap-on TQS2A</v>
      </c>
      <c r="D2405" s="1">
        <v>2</v>
      </c>
      <c r="E2405" s="1">
        <v>2</v>
      </c>
      <c r="F2405" s="38">
        <v>24</v>
      </c>
      <c r="G2405" t="s">
        <v>164</v>
      </c>
    </row>
    <row r="2406" spans="1:7" x14ac:dyDescent="0.25">
      <c r="A2406" s="10" t="s">
        <v>1466</v>
      </c>
      <c r="B2406" s="10" t="s">
        <v>1524</v>
      </c>
      <c r="C2406" t="str">
        <f>Table13[[#This Row],[Manufacturer]]&amp;" "&amp;Table13[[#This Row],[Model]]</f>
        <v>Snap-on TQS2FUA</v>
      </c>
      <c r="D2406" s="1">
        <v>2</v>
      </c>
      <c r="E2406" s="1">
        <v>2</v>
      </c>
      <c r="F2406" s="38">
        <v>24</v>
      </c>
      <c r="G2406" t="s">
        <v>164</v>
      </c>
    </row>
    <row r="2407" spans="1:7" x14ac:dyDescent="0.25">
      <c r="A2407" s="10" t="s">
        <v>1466</v>
      </c>
      <c r="B2407" s="10" t="s">
        <v>1523</v>
      </c>
      <c r="C2407" t="str">
        <f>Table13[[#This Row],[Manufacturer]]&amp;" "&amp;Table13[[#This Row],[Model]]</f>
        <v>Snap-on TQS4A</v>
      </c>
      <c r="D2407" s="1">
        <v>2</v>
      </c>
      <c r="E2407" s="1">
        <v>2</v>
      </c>
      <c r="F2407" s="38">
        <v>50</v>
      </c>
      <c r="G2407" t="s">
        <v>164</v>
      </c>
    </row>
    <row r="2408" spans="1:7" x14ac:dyDescent="0.25">
      <c r="A2408" s="10" t="s">
        <v>1466</v>
      </c>
      <c r="B2408" s="10" t="s">
        <v>1522</v>
      </c>
      <c r="C2408" t="str">
        <f>Table13[[#This Row],[Manufacturer]]&amp;" "&amp;Table13[[#This Row],[Model]]</f>
        <v>Snap-on TQS4AC</v>
      </c>
      <c r="D2408" s="1">
        <v>2</v>
      </c>
      <c r="E2408" s="1">
        <v>2</v>
      </c>
      <c r="F2408" s="38">
        <v>50</v>
      </c>
      <c r="G2408" t="s">
        <v>164</v>
      </c>
    </row>
    <row r="2409" spans="1:7" x14ac:dyDescent="0.25">
      <c r="A2409" s="10" t="s">
        <v>1466</v>
      </c>
      <c r="B2409" s="10" t="s">
        <v>1521</v>
      </c>
      <c r="C2409" t="str">
        <f>Table13[[#This Row],[Manufacturer]]&amp;" "&amp;Table13[[#This Row],[Model]]</f>
        <v>Snap-on TQS4FU</v>
      </c>
      <c r="D2409" s="1">
        <v>2</v>
      </c>
      <c r="E2409" s="1">
        <v>2</v>
      </c>
      <c r="F2409" s="38">
        <v>50</v>
      </c>
      <c r="G2409" t="s">
        <v>164</v>
      </c>
    </row>
    <row r="2410" spans="1:7" x14ac:dyDescent="0.25">
      <c r="A2410" s="10" t="s">
        <v>1466</v>
      </c>
      <c r="B2410" s="10" t="s">
        <v>1520</v>
      </c>
      <c r="C2410" t="str">
        <f>Table13[[#This Row],[Manufacturer]]&amp;" "&amp;Table13[[#This Row],[Model]]</f>
        <v>Snap-on TQS4FUA</v>
      </c>
      <c r="D2410" s="1">
        <v>2</v>
      </c>
      <c r="E2410" s="1">
        <v>2</v>
      </c>
      <c r="F2410" s="38">
        <v>50</v>
      </c>
      <c r="G2410" t="s">
        <v>164</v>
      </c>
    </row>
    <row r="2411" spans="1:7" x14ac:dyDescent="0.25">
      <c r="A2411" s="10" t="s">
        <v>1466</v>
      </c>
      <c r="B2411" s="10" t="s">
        <v>1519</v>
      </c>
      <c r="C2411" t="str">
        <f>Table13[[#This Row],[Manufacturer]]&amp;" "&amp;Table13[[#This Row],[Model]]</f>
        <v>Snap-on TQS4FUAC</v>
      </c>
      <c r="D2411" s="1">
        <v>2</v>
      </c>
      <c r="E2411" s="1">
        <v>2</v>
      </c>
      <c r="F2411" s="38">
        <v>50</v>
      </c>
      <c r="G2411" t="s">
        <v>164</v>
      </c>
    </row>
    <row r="2412" spans="1:7" x14ac:dyDescent="0.25">
      <c r="A2412" s="10" t="s">
        <v>1466</v>
      </c>
      <c r="B2412" s="10" t="s">
        <v>1518</v>
      </c>
      <c r="C2412" t="str">
        <f>Table13[[#This Row],[Manufacturer]]&amp;" "&amp;Table13[[#This Row],[Model]]</f>
        <v>Snap-on TQS6A</v>
      </c>
      <c r="D2412" s="1">
        <v>2</v>
      </c>
      <c r="E2412" s="1">
        <v>2</v>
      </c>
      <c r="F2412" s="38">
        <v>75</v>
      </c>
      <c r="G2412" t="s">
        <v>164</v>
      </c>
    </row>
    <row r="2413" spans="1:7" x14ac:dyDescent="0.25">
      <c r="A2413" s="10" t="s">
        <v>1466</v>
      </c>
      <c r="B2413" s="10" t="s">
        <v>1517</v>
      </c>
      <c r="C2413" t="str">
        <f>Table13[[#This Row],[Manufacturer]]&amp;" "&amp;Table13[[#This Row],[Model]]</f>
        <v>Snap-on TQS6FU</v>
      </c>
      <c r="D2413" s="1">
        <v>2</v>
      </c>
      <c r="E2413" s="1">
        <v>2</v>
      </c>
      <c r="F2413" s="38">
        <v>75</v>
      </c>
      <c r="G2413" t="s">
        <v>164</v>
      </c>
    </row>
    <row r="2414" spans="1:7" x14ac:dyDescent="0.25">
      <c r="A2414" s="10" t="s">
        <v>1466</v>
      </c>
      <c r="B2414" s="10" t="s">
        <v>1516</v>
      </c>
      <c r="C2414" t="str">
        <f>Table13[[#This Row],[Manufacturer]]&amp;" "&amp;Table13[[#This Row],[Model]]</f>
        <v>Snap-on TQSC1A</v>
      </c>
      <c r="D2414" s="1">
        <v>2</v>
      </c>
      <c r="E2414" s="1">
        <v>2</v>
      </c>
      <c r="F2414" s="38">
        <v>15</v>
      </c>
      <c r="G2414" t="s">
        <v>164</v>
      </c>
    </row>
    <row r="2415" spans="1:7" x14ac:dyDescent="0.25">
      <c r="A2415" s="10" t="s">
        <v>1466</v>
      </c>
      <c r="B2415" s="10" t="s">
        <v>1515</v>
      </c>
      <c r="C2415" t="str">
        <f>Table13[[#This Row],[Manufacturer]]&amp;" "&amp;Table13[[#This Row],[Model]]</f>
        <v>Snap-on TQSC1FUA</v>
      </c>
      <c r="D2415" s="1">
        <v>2</v>
      </c>
      <c r="E2415" s="1">
        <v>2</v>
      </c>
      <c r="F2415" s="38">
        <v>15</v>
      </c>
      <c r="G2415" t="s">
        <v>164</v>
      </c>
    </row>
    <row r="2416" spans="1:7" x14ac:dyDescent="0.25">
      <c r="A2416" s="10" t="s">
        <v>1466</v>
      </c>
      <c r="B2416" s="10" t="s">
        <v>1514</v>
      </c>
      <c r="C2416" t="str">
        <f>Table13[[#This Row],[Manufacturer]]&amp;" "&amp;Table13[[#This Row],[Model]]</f>
        <v>Snap-on TQSC2.5A</v>
      </c>
      <c r="D2416" s="1">
        <v>2</v>
      </c>
      <c r="E2416" s="1">
        <v>2</v>
      </c>
      <c r="F2416" s="38">
        <v>30</v>
      </c>
      <c r="G2416" t="s">
        <v>164</v>
      </c>
    </row>
    <row r="2417" spans="1:7" x14ac:dyDescent="0.25">
      <c r="A2417" s="10" t="s">
        <v>1466</v>
      </c>
      <c r="B2417" s="10" t="s">
        <v>1513</v>
      </c>
      <c r="C2417" t="str">
        <f>Table13[[#This Row],[Manufacturer]]&amp;" "&amp;Table13[[#This Row],[Model]]</f>
        <v>Snap-on TQSC2.5FUA</v>
      </c>
      <c r="D2417" s="1">
        <v>2</v>
      </c>
      <c r="E2417" s="1">
        <v>2</v>
      </c>
      <c r="F2417" s="38">
        <v>30</v>
      </c>
      <c r="G2417" t="s">
        <v>164</v>
      </c>
    </row>
    <row r="2418" spans="1:7" x14ac:dyDescent="0.25">
      <c r="A2418" s="10" t="s">
        <v>1466</v>
      </c>
      <c r="B2418" s="10" t="s">
        <v>1512</v>
      </c>
      <c r="C2418" t="str">
        <f>Table13[[#This Row],[Manufacturer]]&amp;" "&amp;Table13[[#This Row],[Model]]</f>
        <v>Snap-on TQSC4A</v>
      </c>
      <c r="D2418" s="1">
        <v>2</v>
      </c>
      <c r="E2418" s="1">
        <v>2</v>
      </c>
      <c r="F2418" s="38">
        <v>50</v>
      </c>
      <c r="G2418" t="s">
        <v>164</v>
      </c>
    </row>
    <row r="2419" spans="1:7" x14ac:dyDescent="0.25">
      <c r="A2419" s="10" t="s">
        <v>1466</v>
      </c>
      <c r="B2419" s="10" t="s">
        <v>1511</v>
      </c>
      <c r="C2419" t="str">
        <f>Table13[[#This Row],[Manufacturer]]&amp;" "&amp;Table13[[#This Row],[Model]]</f>
        <v>Snap-on TQSC4FU</v>
      </c>
      <c r="D2419" s="1">
        <v>2</v>
      </c>
      <c r="E2419" s="1">
        <v>2</v>
      </c>
      <c r="F2419" s="38">
        <v>50</v>
      </c>
      <c r="G2419" t="s">
        <v>164</v>
      </c>
    </row>
    <row r="2420" spans="1:7" x14ac:dyDescent="0.25">
      <c r="A2420" s="10" t="s">
        <v>1466</v>
      </c>
      <c r="B2420" s="10" t="s">
        <v>1510</v>
      </c>
      <c r="C2420" t="str">
        <f>Table13[[#This Row],[Manufacturer]]&amp;" "&amp;Table13[[#This Row],[Model]]</f>
        <v>Snap-on TQSC4FUA</v>
      </c>
      <c r="D2420" s="1">
        <v>2</v>
      </c>
      <c r="E2420" s="1">
        <v>2</v>
      </c>
      <c r="F2420" s="38">
        <v>50</v>
      </c>
      <c r="G2420" t="s">
        <v>164</v>
      </c>
    </row>
    <row r="2421" spans="1:7" x14ac:dyDescent="0.25">
      <c r="A2421" s="10" t="s">
        <v>1466</v>
      </c>
      <c r="B2421" s="10" t="s">
        <v>1509</v>
      </c>
      <c r="C2421" t="str">
        <f>Table13[[#This Row],[Manufacturer]]&amp;" "&amp;Table13[[#This Row],[Model]]</f>
        <v>Snap-on TQSC6A</v>
      </c>
      <c r="D2421" s="1">
        <v>2</v>
      </c>
      <c r="E2421" s="1">
        <v>2</v>
      </c>
      <c r="F2421" s="38">
        <v>75</v>
      </c>
      <c r="G2421" t="s">
        <v>164</v>
      </c>
    </row>
    <row r="2422" spans="1:7" x14ac:dyDescent="0.25">
      <c r="A2422" s="10" t="s">
        <v>1466</v>
      </c>
      <c r="B2422" s="10" t="s">
        <v>1508</v>
      </c>
      <c r="C2422" t="str">
        <f>Table13[[#This Row],[Manufacturer]]&amp;" "&amp;Table13[[#This Row],[Model]]</f>
        <v>Snap-on TQSC6FUA</v>
      </c>
      <c r="D2422" s="1">
        <v>2</v>
      </c>
      <c r="E2422" s="1">
        <v>2</v>
      </c>
      <c r="F2422" s="38">
        <v>75</v>
      </c>
      <c r="G2422" t="s">
        <v>164</v>
      </c>
    </row>
    <row r="2423" spans="1:7" x14ac:dyDescent="0.25">
      <c r="A2423" s="10" t="s">
        <v>1466</v>
      </c>
      <c r="B2423" s="10" t="s">
        <v>1507</v>
      </c>
      <c r="C2423" t="str">
        <f>Table13[[#This Row],[Manufacturer]]&amp;" "&amp;Table13[[#This Row],[Model]]</f>
        <v>Snap-on TQSP2.5FUA</v>
      </c>
      <c r="D2423" s="1">
        <v>2</v>
      </c>
      <c r="E2423" s="1">
        <v>2</v>
      </c>
      <c r="F2423" s="38">
        <v>30</v>
      </c>
      <c r="G2423" t="s">
        <v>164</v>
      </c>
    </row>
    <row r="2424" spans="1:7" x14ac:dyDescent="0.25">
      <c r="A2424" s="10" t="s">
        <v>1466</v>
      </c>
      <c r="B2424" s="10" t="s">
        <v>1506</v>
      </c>
      <c r="C2424" t="str">
        <f>Table13[[#This Row],[Manufacturer]]&amp;" "&amp;Table13[[#This Row],[Model]]</f>
        <v>Snap-on TQSR1FUA</v>
      </c>
      <c r="D2424" s="1">
        <v>2</v>
      </c>
      <c r="E2424" s="1">
        <v>2</v>
      </c>
      <c r="F2424" s="38">
        <v>15</v>
      </c>
      <c r="G2424" t="s">
        <v>164</v>
      </c>
    </row>
    <row r="2425" spans="1:7" x14ac:dyDescent="0.25">
      <c r="A2425" s="10" t="s">
        <v>1466</v>
      </c>
      <c r="B2425" s="10" t="s">
        <v>1505</v>
      </c>
      <c r="C2425" t="str">
        <f>Table13[[#This Row],[Manufacturer]]&amp;" "&amp;Table13[[#This Row],[Model]]</f>
        <v>Snap-on TQSR2.5A</v>
      </c>
      <c r="D2425" s="1">
        <v>2</v>
      </c>
      <c r="E2425" s="1">
        <v>2</v>
      </c>
      <c r="F2425" s="38">
        <v>30</v>
      </c>
      <c r="G2425" t="s">
        <v>164</v>
      </c>
    </row>
    <row r="2426" spans="1:7" x14ac:dyDescent="0.25">
      <c r="A2426" s="10" t="s">
        <v>1466</v>
      </c>
      <c r="B2426" s="10" t="s">
        <v>1504</v>
      </c>
      <c r="C2426" t="str">
        <f>Table13[[#This Row],[Manufacturer]]&amp;" "&amp;Table13[[#This Row],[Model]]</f>
        <v>Snap-on TQSR2.5FUA</v>
      </c>
      <c r="D2426" s="1">
        <v>2</v>
      </c>
      <c r="E2426" s="1">
        <v>2</v>
      </c>
      <c r="F2426" s="38">
        <v>30</v>
      </c>
      <c r="G2426" t="s">
        <v>164</v>
      </c>
    </row>
    <row r="2427" spans="1:7" x14ac:dyDescent="0.25">
      <c r="A2427" s="10" t="s">
        <v>1466</v>
      </c>
      <c r="B2427" s="10" t="s">
        <v>1503</v>
      </c>
      <c r="C2427" t="str">
        <f>Table13[[#This Row],[Manufacturer]]&amp;" "&amp;Table13[[#This Row],[Model]]</f>
        <v>Snap-on TQSR4A</v>
      </c>
      <c r="D2427" s="1">
        <v>2</v>
      </c>
      <c r="E2427" s="1">
        <v>2</v>
      </c>
      <c r="F2427" s="38">
        <v>50</v>
      </c>
      <c r="G2427" t="s">
        <v>164</v>
      </c>
    </row>
    <row r="2428" spans="1:7" x14ac:dyDescent="0.25">
      <c r="A2428" s="10" t="s">
        <v>1466</v>
      </c>
      <c r="B2428" s="10" t="s">
        <v>1502</v>
      </c>
      <c r="C2428" t="str">
        <f>Table13[[#This Row],[Manufacturer]]&amp;" "&amp;Table13[[#This Row],[Model]]</f>
        <v>Snap-on TQSR4FUA</v>
      </c>
      <c r="D2428" s="1">
        <v>2</v>
      </c>
      <c r="E2428" s="1">
        <v>2</v>
      </c>
      <c r="F2428" s="38">
        <v>50</v>
      </c>
      <c r="G2428" t="s">
        <v>164</v>
      </c>
    </row>
    <row r="2429" spans="1:7" x14ac:dyDescent="0.25">
      <c r="A2429" s="10" t="s">
        <v>1466</v>
      </c>
      <c r="B2429" s="10" t="s">
        <v>1501</v>
      </c>
      <c r="C2429" t="str">
        <f>Table13[[#This Row],[Manufacturer]]&amp;" "&amp;Table13[[#This Row],[Model]]</f>
        <v>Snap-on TQSR6A</v>
      </c>
      <c r="D2429" s="1">
        <v>2</v>
      </c>
      <c r="E2429" s="1">
        <v>2</v>
      </c>
      <c r="F2429" s="38">
        <v>75</v>
      </c>
      <c r="G2429" t="s">
        <v>164</v>
      </c>
    </row>
    <row r="2430" spans="1:7" x14ac:dyDescent="0.25">
      <c r="A2430" s="10" t="s">
        <v>1466</v>
      </c>
      <c r="B2430" s="10" t="s">
        <v>1500</v>
      </c>
      <c r="C2430" t="str">
        <f>Table13[[#This Row],[Manufacturer]]&amp;" "&amp;Table13[[#This Row],[Model]]</f>
        <v>Snap-on TQSR6FUA</v>
      </c>
      <c r="D2430" s="1">
        <v>2</v>
      </c>
      <c r="E2430" s="1">
        <v>2</v>
      </c>
      <c r="F2430" s="38">
        <v>75</v>
      </c>
      <c r="G2430" t="s">
        <v>164</v>
      </c>
    </row>
    <row r="2431" spans="1:7" x14ac:dyDescent="0.25">
      <c r="A2431" s="10" t="s">
        <v>1466</v>
      </c>
      <c r="B2431" s="10" t="s">
        <v>1499</v>
      </c>
      <c r="C2431" t="str">
        <f>Table13[[#This Row],[Manufacturer]]&amp;" "&amp;Table13[[#This Row],[Model]]</f>
        <v>Snap-on TQSS025A</v>
      </c>
      <c r="D2431" s="1">
        <v>2</v>
      </c>
      <c r="E2431" s="1">
        <v>2</v>
      </c>
      <c r="F2431" s="38">
        <v>48</v>
      </c>
      <c r="G2431" t="s">
        <v>172</v>
      </c>
    </row>
    <row r="2432" spans="1:7" x14ac:dyDescent="0.25">
      <c r="A2432" s="10" t="s">
        <v>1466</v>
      </c>
      <c r="B2432" s="10" t="s">
        <v>1498</v>
      </c>
      <c r="C2432" t="str">
        <f>Table13[[#This Row],[Manufacturer]]&amp;" "&amp;Table13[[#This Row],[Model]]</f>
        <v>Snap-on TQSS025FU</v>
      </c>
      <c r="D2432" s="1">
        <v>2</v>
      </c>
      <c r="E2432" s="1">
        <v>2</v>
      </c>
      <c r="F2432" s="38">
        <v>48</v>
      </c>
      <c r="G2432" t="s">
        <v>172</v>
      </c>
    </row>
    <row r="2433" spans="1:7" x14ac:dyDescent="0.25">
      <c r="A2433" s="10" t="s">
        <v>1466</v>
      </c>
      <c r="B2433" s="10" t="s">
        <v>1497</v>
      </c>
      <c r="C2433" t="str">
        <f>Table13[[#This Row],[Manufacturer]]&amp;" "&amp;Table13[[#This Row],[Model]]</f>
        <v>Snap-on TQSS050A</v>
      </c>
      <c r="D2433" s="1">
        <v>2</v>
      </c>
      <c r="E2433" s="1">
        <v>2</v>
      </c>
      <c r="F2433" s="38">
        <v>6</v>
      </c>
      <c r="G2433" t="s">
        <v>164</v>
      </c>
    </row>
    <row r="2434" spans="1:7" x14ac:dyDescent="0.25">
      <c r="A2434" s="10" t="s">
        <v>1466</v>
      </c>
      <c r="B2434" s="10" t="s">
        <v>1496</v>
      </c>
      <c r="C2434" t="str">
        <f>Table13[[#This Row],[Manufacturer]]&amp;" "&amp;Table13[[#This Row],[Model]]</f>
        <v>Snap-on TQSS050AC</v>
      </c>
      <c r="D2434" s="1">
        <v>2</v>
      </c>
      <c r="E2434" s="1">
        <v>2</v>
      </c>
      <c r="F2434" s="38">
        <v>6</v>
      </c>
      <c r="G2434" t="s">
        <v>164</v>
      </c>
    </row>
    <row r="2435" spans="1:7" x14ac:dyDescent="0.25">
      <c r="A2435" s="10" t="s">
        <v>1466</v>
      </c>
      <c r="B2435" s="10" t="s">
        <v>1495</v>
      </c>
      <c r="C2435" t="str">
        <f>Table13[[#This Row],[Manufacturer]]&amp;" "&amp;Table13[[#This Row],[Model]]</f>
        <v>Snap-on TQSS050FUA</v>
      </c>
      <c r="D2435" s="1">
        <v>2</v>
      </c>
      <c r="E2435" s="1">
        <v>2</v>
      </c>
      <c r="F2435" s="38">
        <v>6</v>
      </c>
      <c r="G2435" t="s">
        <v>164</v>
      </c>
    </row>
    <row r="2436" spans="1:7" x14ac:dyDescent="0.25">
      <c r="A2436" s="10" t="s">
        <v>1466</v>
      </c>
      <c r="B2436" s="10" t="s">
        <v>1494</v>
      </c>
      <c r="C2436" t="str">
        <f>Table13[[#This Row],[Manufacturer]]&amp;" "&amp;Table13[[#This Row],[Model]]</f>
        <v>Snap-on TQSS050FUAC</v>
      </c>
      <c r="D2436" s="1">
        <v>2</v>
      </c>
      <c r="E2436" s="1">
        <v>2</v>
      </c>
      <c r="F2436" s="38">
        <v>6</v>
      </c>
      <c r="G2436" t="s">
        <v>164</v>
      </c>
    </row>
    <row r="2437" spans="1:7" x14ac:dyDescent="0.25">
      <c r="A2437" s="10" t="s">
        <v>1466</v>
      </c>
      <c r="B2437" s="10" t="s">
        <v>1493</v>
      </c>
      <c r="C2437" t="str">
        <f>Table13[[#This Row],[Manufacturer]]&amp;" "&amp;Table13[[#This Row],[Model]]</f>
        <v>Snap-on TQSS1A</v>
      </c>
      <c r="D2437" s="1">
        <v>2</v>
      </c>
      <c r="E2437" s="1">
        <v>2</v>
      </c>
      <c r="F2437" s="38">
        <v>12</v>
      </c>
      <c r="G2437" t="s">
        <v>164</v>
      </c>
    </row>
    <row r="2438" spans="1:7" x14ac:dyDescent="0.25">
      <c r="A2438" s="10" t="s">
        <v>1466</v>
      </c>
      <c r="B2438" s="10" t="s">
        <v>1492</v>
      </c>
      <c r="C2438" t="str">
        <f>Table13[[#This Row],[Manufacturer]]&amp;" "&amp;Table13[[#This Row],[Model]]</f>
        <v>Snap-on TQSS1FUA</v>
      </c>
      <c r="D2438" s="1">
        <v>2</v>
      </c>
      <c r="E2438" s="1">
        <v>2</v>
      </c>
      <c r="F2438" s="38">
        <v>12</v>
      </c>
      <c r="G2438" t="s">
        <v>164</v>
      </c>
    </row>
    <row r="2439" spans="1:7" x14ac:dyDescent="0.25">
      <c r="A2439" s="10" t="s">
        <v>1466</v>
      </c>
      <c r="B2439" s="10" t="s">
        <v>1491</v>
      </c>
      <c r="C2439" t="str">
        <f>Table13[[#This Row],[Manufacturer]]&amp;" "&amp;Table13[[#This Row],[Model]]</f>
        <v>Snap-on TQSS2.5A</v>
      </c>
      <c r="D2439" s="1">
        <v>2</v>
      </c>
      <c r="E2439" s="1">
        <v>2</v>
      </c>
      <c r="F2439" s="38">
        <v>30</v>
      </c>
      <c r="G2439" t="s">
        <v>164</v>
      </c>
    </row>
    <row r="2440" spans="1:7" x14ac:dyDescent="0.25">
      <c r="A2440" s="10" t="s">
        <v>1466</v>
      </c>
      <c r="B2440" s="10" t="s">
        <v>1490</v>
      </c>
      <c r="C2440" t="str">
        <f>Table13[[#This Row],[Manufacturer]]&amp;" "&amp;Table13[[#This Row],[Model]]</f>
        <v>Snap-on TQSS2.5FUA</v>
      </c>
      <c r="D2440" s="1">
        <v>2</v>
      </c>
      <c r="E2440" s="1">
        <v>2</v>
      </c>
      <c r="F2440" s="38">
        <v>30</v>
      </c>
      <c r="G2440" t="s">
        <v>164</v>
      </c>
    </row>
    <row r="2441" spans="1:7" x14ac:dyDescent="0.25">
      <c r="A2441" s="10" t="s">
        <v>1466</v>
      </c>
      <c r="B2441" s="10" t="s">
        <v>1489</v>
      </c>
      <c r="C2441" t="str">
        <f>Table13[[#This Row],[Manufacturer]]&amp;" "&amp;Table13[[#This Row],[Model]]</f>
        <v>Snap-on TQSS2A</v>
      </c>
      <c r="D2441" s="1">
        <v>2</v>
      </c>
      <c r="E2441" s="1">
        <v>2</v>
      </c>
      <c r="F2441" s="38">
        <v>24</v>
      </c>
      <c r="G2441" t="s">
        <v>164</v>
      </c>
    </row>
    <row r="2442" spans="1:7" x14ac:dyDescent="0.25">
      <c r="A2442" s="10" t="s">
        <v>1466</v>
      </c>
      <c r="B2442" s="10" t="s">
        <v>1488</v>
      </c>
      <c r="C2442" t="str">
        <f>Table13[[#This Row],[Manufacturer]]&amp;" "&amp;Table13[[#This Row],[Model]]</f>
        <v>Snap-on TQSS2FUA</v>
      </c>
      <c r="D2442" s="1">
        <v>2</v>
      </c>
      <c r="E2442" s="1">
        <v>2</v>
      </c>
      <c r="F2442" s="38">
        <v>24</v>
      </c>
      <c r="G2442" t="s">
        <v>164</v>
      </c>
    </row>
    <row r="2443" spans="1:7" x14ac:dyDescent="0.25">
      <c r="A2443" s="10" t="s">
        <v>1466</v>
      </c>
      <c r="B2443" s="10" t="s">
        <v>1487</v>
      </c>
      <c r="C2443" t="str">
        <f>Table13[[#This Row],[Manufacturer]]&amp;" "&amp;Table13[[#This Row],[Model]]</f>
        <v>Snap-on TQSS4A</v>
      </c>
      <c r="D2443" s="1">
        <v>2</v>
      </c>
      <c r="E2443" s="1">
        <v>2</v>
      </c>
      <c r="F2443" s="38">
        <v>50</v>
      </c>
      <c r="G2443" t="s">
        <v>164</v>
      </c>
    </row>
    <row r="2444" spans="1:7" x14ac:dyDescent="0.25">
      <c r="A2444" s="10" t="s">
        <v>1466</v>
      </c>
      <c r="B2444" s="10" t="s">
        <v>1486</v>
      </c>
      <c r="C2444" t="str">
        <f>Table13[[#This Row],[Manufacturer]]&amp;" "&amp;Table13[[#This Row],[Model]]</f>
        <v>Snap-on TQSS4FUA</v>
      </c>
      <c r="D2444" s="1">
        <v>2</v>
      </c>
      <c r="E2444" s="1">
        <v>2</v>
      </c>
      <c r="F2444" s="38">
        <v>50</v>
      </c>
      <c r="G2444" t="s">
        <v>164</v>
      </c>
    </row>
    <row r="2445" spans="1:7" x14ac:dyDescent="0.25">
      <c r="A2445" s="10" t="s">
        <v>1466</v>
      </c>
      <c r="B2445" s="10" t="s">
        <v>1485</v>
      </c>
      <c r="C2445" t="str">
        <f>Table13[[#This Row],[Manufacturer]]&amp;" "&amp;Table13[[#This Row],[Model]]</f>
        <v>Snap-on TQSS6A</v>
      </c>
      <c r="D2445" s="1">
        <v>2</v>
      </c>
      <c r="E2445" s="1">
        <v>2</v>
      </c>
      <c r="F2445" s="38">
        <v>75</v>
      </c>
      <c r="G2445" t="s">
        <v>164</v>
      </c>
    </row>
    <row r="2446" spans="1:7" x14ac:dyDescent="0.25">
      <c r="A2446" s="10" t="s">
        <v>1466</v>
      </c>
      <c r="B2446" s="10" t="s">
        <v>1484</v>
      </c>
      <c r="C2446" t="str">
        <f>Table13[[#This Row],[Manufacturer]]&amp;" "&amp;Table13[[#This Row],[Model]]</f>
        <v>Snap-on TQSS6FUA</v>
      </c>
      <c r="D2446" s="1">
        <v>2</v>
      </c>
      <c r="E2446" s="1">
        <v>2</v>
      </c>
      <c r="F2446" s="38">
        <v>75</v>
      </c>
      <c r="G2446" t="s">
        <v>164</v>
      </c>
    </row>
    <row r="2447" spans="1:7" x14ac:dyDescent="0.25">
      <c r="A2447" s="10" t="s">
        <v>1466</v>
      </c>
      <c r="B2447" s="10" t="s">
        <v>1483</v>
      </c>
      <c r="C2447" t="str">
        <f>Table13[[#This Row],[Manufacturer]]&amp;" "&amp;Table13[[#This Row],[Model]]</f>
        <v>Snap-on TQSSC1FUA</v>
      </c>
      <c r="D2447" s="1">
        <v>2</v>
      </c>
      <c r="E2447" s="1">
        <v>2</v>
      </c>
      <c r="F2447" s="38">
        <v>15</v>
      </c>
      <c r="G2447" t="s">
        <v>164</v>
      </c>
    </row>
    <row r="2448" spans="1:7" x14ac:dyDescent="0.25">
      <c r="A2448" s="10" t="s">
        <v>1466</v>
      </c>
      <c r="B2448" s="10" t="s">
        <v>1482</v>
      </c>
      <c r="C2448" t="str">
        <f>Table13[[#This Row],[Manufacturer]]&amp;" "&amp;Table13[[#This Row],[Model]]</f>
        <v>Snap-on TQSSC2.5FUA</v>
      </c>
      <c r="D2448" s="1">
        <v>2</v>
      </c>
      <c r="E2448" s="1">
        <v>2</v>
      </c>
      <c r="F2448" s="38">
        <v>30</v>
      </c>
      <c r="G2448" t="s">
        <v>164</v>
      </c>
    </row>
    <row r="2449" spans="1:7" x14ac:dyDescent="0.25">
      <c r="A2449" s="10" t="s">
        <v>1466</v>
      </c>
      <c r="B2449" s="10" t="s">
        <v>1481</v>
      </c>
      <c r="C2449" t="str">
        <f>Table13[[#This Row],[Manufacturer]]&amp;" "&amp;Table13[[#This Row],[Model]]</f>
        <v>Snap-on TQSSC4FUA</v>
      </c>
      <c r="D2449" s="1">
        <v>2</v>
      </c>
      <c r="E2449" s="1">
        <v>2</v>
      </c>
      <c r="F2449" s="38">
        <v>50</v>
      </c>
      <c r="G2449" t="s">
        <v>164</v>
      </c>
    </row>
    <row r="2450" spans="1:7" x14ac:dyDescent="0.25">
      <c r="A2450" s="10" t="s">
        <v>1466</v>
      </c>
      <c r="B2450" s="10" t="s">
        <v>1480</v>
      </c>
      <c r="C2450" t="str">
        <f>Table13[[#This Row],[Manufacturer]]&amp;" "&amp;Table13[[#This Row],[Model]]</f>
        <v>Snap-on TQSSC6FUA</v>
      </c>
      <c r="D2450" s="1">
        <v>2</v>
      </c>
      <c r="E2450" s="1">
        <v>2</v>
      </c>
      <c r="F2450" s="38">
        <v>75</v>
      </c>
      <c r="G2450" t="s">
        <v>164</v>
      </c>
    </row>
    <row r="2451" spans="1:7" x14ac:dyDescent="0.25">
      <c r="A2451" s="10" t="s">
        <v>1466</v>
      </c>
      <c r="B2451" s="10" t="s">
        <v>1479</v>
      </c>
      <c r="C2451" t="str">
        <f>Table13[[#This Row],[Manufacturer]]&amp;" "&amp;Table13[[#This Row],[Model]]</f>
        <v>Snap-on QDRIVER1P</v>
      </c>
      <c r="D2451" s="1">
        <v>6</v>
      </c>
      <c r="E2451" s="1" t="s">
        <v>169</v>
      </c>
      <c r="F2451" s="38">
        <v>32</v>
      </c>
      <c r="G2451" t="s">
        <v>172</v>
      </c>
    </row>
    <row r="2452" spans="1:7" x14ac:dyDescent="0.25">
      <c r="A2452" s="10" t="s">
        <v>1466</v>
      </c>
      <c r="B2452" s="10" t="s">
        <v>1478</v>
      </c>
      <c r="C2452" t="str">
        <f>Table13[[#This Row],[Manufacturer]]&amp;" "&amp;Table13[[#This Row],[Model]]</f>
        <v>Snap-on QDRIVER2</v>
      </c>
      <c r="D2452" s="1">
        <v>6</v>
      </c>
      <c r="E2452" s="1" t="s">
        <v>169</v>
      </c>
      <c r="F2452" s="38">
        <v>100</v>
      </c>
      <c r="G2452" t="s">
        <v>172</v>
      </c>
    </row>
    <row r="2453" spans="1:7" x14ac:dyDescent="0.25">
      <c r="A2453" s="10" t="s">
        <v>1466</v>
      </c>
      <c r="B2453" s="10" t="s">
        <v>1477</v>
      </c>
      <c r="C2453" t="str">
        <f>Table13[[#This Row],[Manufacturer]]&amp;" "&amp;Table13[[#This Row],[Model]]</f>
        <v>Snap-on QDRIVER2A</v>
      </c>
      <c r="D2453" s="1">
        <v>6</v>
      </c>
      <c r="E2453" s="1" t="s">
        <v>169</v>
      </c>
      <c r="F2453" s="38">
        <v>100</v>
      </c>
      <c r="G2453" t="s">
        <v>172</v>
      </c>
    </row>
    <row r="2454" spans="1:7" x14ac:dyDescent="0.25">
      <c r="A2454" s="10" t="s">
        <v>1466</v>
      </c>
      <c r="B2454" s="10" t="s">
        <v>1476</v>
      </c>
      <c r="C2454" t="str">
        <f>Table13[[#This Row],[Manufacturer]]&amp;" "&amp;Table13[[#This Row],[Model]]</f>
        <v>Snap-on QDRIVER2P</v>
      </c>
      <c r="D2454" s="1">
        <v>6</v>
      </c>
      <c r="E2454" s="1" t="s">
        <v>169</v>
      </c>
      <c r="F2454" s="38">
        <v>100</v>
      </c>
      <c r="G2454" t="s">
        <v>172</v>
      </c>
    </row>
    <row r="2455" spans="1:7" x14ac:dyDescent="0.25">
      <c r="A2455" s="10" t="s">
        <v>1466</v>
      </c>
      <c r="B2455" s="10" t="s">
        <v>1475</v>
      </c>
      <c r="C2455" t="str">
        <f>Table13[[#This Row],[Manufacturer]]&amp;" "&amp;Table13[[#This Row],[Model]]</f>
        <v>Snap-on QDRIVER3</v>
      </c>
      <c r="D2455" s="1">
        <v>6</v>
      </c>
      <c r="E2455" s="1" t="s">
        <v>169</v>
      </c>
      <c r="F2455" s="38">
        <v>15</v>
      </c>
      <c r="G2455" t="s">
        <v>164</v>
      </c>
    </row>
    <row r="2456" spans="1:7" x14ac:dyDescent="0.25">
      <c r="A2456" s="10" t="s">
        <v>1466</v>
      </c>
      <c r="B2456" s="10" t="s">
        <v>1474</v>
      </c>
      <c r="C2456" t="str">
        <f>Table13[[#This Row],[Manufacturer]]&amp;" "&amp;Table13[[#This Row],[Model]]</f>
        <v>Snap-on QDRIVER3A</v>
      </c>
      <c r="D2456" s="1">
        <v>6</v>
      </c>
      <c r="E2456" s="1" t="s">
        <v>169</v>
      </c>
      <c r="F2456" s="38">
        <v>15</v>
      </c>
      <c r="G2456" t="s">
        <v>164</v>
      </c>
    </row>
    <row r="2457" spans="1:7" x14ac:dyDescent="0.25">
      <c r="A2457" s="10" t="s">
        <v>1466</v>
      </c>
      <c r="B2457" s="10" t="s">
        <v>1473</v>
      </c>
      <c r="C2457" t="str">
        <f>Table13[[#This Row],[Manufacturer]]&amp;" "&amp;Table13[[#This Row],[Model]]</f>
        <v>Snap-on QDRIVER3P</v>
      </c>
      <c r="D2457" s="1">
        <v>6</v>
      </c>
      <c r="E2457" s="1" t="s">
        <v>169</v>
      </c>
      <c r="F2457" s="38">
        <v>15</v>
      </c>
      <c r="G2457" t="s">
        <v>164</v>
      </c>
    </row>
    <row r="2458" spans="1:7" x14ac:dyDescent="0.25">
      <c r="A2458" s="10" t="s">
        <v>1466</v>
      </c>
      <c r="B2458" s="10" t="s">
        <v>1472</v>
      </c>
      <c r="C2458" t="str">
        <f>Table13[[#This Row],[Manufacturer]]&amp;" "&amp;Table13[[#This Row],[Model]]</f>
        <v>Snap-on QDRIVER4</v>
      </c>
      <c r="D2458" s="1">
        <v>6</v>
      </c>
      <c r="E2458" s="1" t="s">
        <v>169</v>
      </c>
      <c r="F2458" s="38">
        <v>40</v>
      </c>
      <c r="G2458" t="s">
        <v>164</v>
      </c>
    </row>
    <row r="2459" spans="1:7" x14ac:dyDescent="0.25">
      <c r="A2459" s="10" t="s">
        <v>1466</v>
      </c>
      <c r="B2459" s="10" t="s">
        <v>1471</v>
      </c>
      <c r="C2459" t="str">
        <f>Table13[[#This Row],[Manufacturer]]&amp;" "&amp;Table13[[#This Row],[Model]]</f>
        <v>Snap-on QDRIVER4A</v>
      </c>
      <c r="D2459" s="1">
        <v>6</v>
      </c>
      <c r="E2459" s="1" t="s">
        <v>169</v>
      </c>
      <c r="F2459" s="38">
        <v>40</v>
      </c>
      <c r="G2459" t="s">
        <v>164</v>
      </c>
    </row>
    <row r="2460" spans="1:7" x14ac:dyDescent="0.25">
      <c r="A2460" s="10" t="s">
        <v>1466</v>
      </c>
      <c r="B2460" s="10" t="s">
        <v>1470</v>
      </c>
      <c r="C2460" t="str">
        <f>Table13[[#This Row],[Manufacturer]]&amp;" "&amp;Table13[[#This Row],[Model]]</f>
        <v>Snap-on QDRIVER4NM</v>
      </c>
      <c r="D2460" s="1">
        <v>6</v>
      </c>
      <c r="E2460" s="1" t="s">
        <v>169</v>
      </c>
      <c r="F2460" s="38">
        <v>450</v>
      </c>
      <c r="G2460" t="s">
        <v>187</v>
      </c>
    </row>
    <row r="2461" spans="1:7" x14ac:dyDescent="0.25">
      <c r="A2461" s="10" t="s">
        <v>1466</v>
      </c>
      <c r="B2461" s="10" t="s">
        <v>1469</v>
      </c>
      <c r="C2461" t="str">
        <f>Table13[[#This Row],[Manufacturer]]&amp;" "&amp;Table13[[#This Row],[Model]]</f>
        <v>Snap-on QDRIVER4NMA</v>
      </c>
      <c r="D2461" s="1">
        <v>6</v>
      </c>
      <c r="E2461" s="1" t="s">
        <v>169</v>
      </c>
      <c r="F2461" s="38">
        <v>450</v>
      </c>
      <c r="G2461" t="s">
        <v>187</v>
      </c>
    </row>
    <row r="2462" spans="1:7" x14ac:dyDescent="0.25">
      <c r="A2462" s="10" t="s">
        <v>1466</v>
      </c>
      <c r="B2462" s="10" t="s">
        <v>1468</v>
      </c>
      <c r="C2462" t="str">
        <f>Table13[[#This Row],[Manufacturer]]&amp;" "&amp;Table13[[#This Row],[Model]]</f>
        <v>Snap-on QDRIVER4P</v>
      </c>
      <c r="D2462" s="1">
        <v>6</v>
      </c>
      <c r="E2462" s="1" t="s">
        <v>169</v>
      </c>
      <c r="F2462" s="38">
        <v>40</v>
      </c>
      <c r="G2462" t="s">
        <v>164</v>
      </c>
    </row>
    <row r="2463" spans="1:7" x14ac:dyDescent="0.25">
      <c r="A2463" s="10" t="s">
        <v>1466</v>
      </c>
      <c r="B2463" s="10" t="s">
        <v>1467</v>
      </c>
      <c r="C2463" t="str">
        <f>Table13[[#This Row],[Manufacturer]]&amp;" "&amp;Table13[[#This Row],[Model]]</f>
        <v>Snap-on QTS135</v>
      </c>
      <c r="D2463" s="1">
        <v>4</v>
      </c>
      <c r="E2463" s="1">
        <v>4</v>
      </c>
      <c r="F2463" s="38">
        <v>35</v>
      </c>
      <c r="G2463" t="s">
        <v>164</v>
      </c>
    </row>
    <row r="2464" spans="1:7" x14ac:dyDescent="0.25">
      <c r="A2464" s="10" t="s">
        <v>1466</v>
      </c>
      <c r="B2464" s="10" t="s">
        <v>1465</v>
      </c>
      <c r="C2464" t="str">
        <f>Table13[[#This Row],[Manufacturer]]&amp;" "&amp;Table13[[#This Row],[Model]]</f>
        <v>Snap-on QTSP135</v>
      </c>
      <c r="D2464" s="1">
        <v>4</v>
      </c>
      <c r="E2464" s="1">
        <v>4</v>
      </c>
      <c r="F2464" s="38">
        <v>35</v>
      </c>
      <c r="G2464" t="s">
        <v>164</v>
      </c>
    </row>
    <row r="2465" spans="1:7" x14ac:dyDescent="0.25">
      <c r="A2465" s="10" t="s">
        <v>1464</v>
      </c>
      <c r="B2465" s="10" t="s">
        <v>1463</v>
      </c>
      <c r="C2465" t="str">
        <f>Table13[[#This Row],[Manufacturer]]&amp;" "&amp;Table13[[#This Row],[Model]]</f>
        <v>Sonopet 5450-800-039</v>
      </c>
      <c r="D2465" s="1">
        <v>10</v>
      </c>
      <c r="E2465" s="1" t="s">
        <v>169</v>
      </c>
      <c r="F2465" s="38">
        <v>1.96</v>
      </c>
      <c r="G2465" t="s">
        <v>184</v>
      </c>
    </row>
    <row r="2466" spans="1:7" x14ac:dyDescent="0.25">
      <c r="A2466" s="10" t="s">
        <v>1431</v>
      </c>
      <c r="B2466" s="10" t="s">
        <v>1462</v>
      </c>
      <c r="C2466" t="str">
        <f>Table13[[#This Row],[Manufacturer]]&amp;" "&amp;Table13[[#This Row],[Model]]</f>
        <v>Stahlwille 760/15</v>
      </c>
      <c r="D2466" s="1">
        <v>4</v>
      </c>
      <c r="E2466" s="1">
        <v>4</v>
      </c>
      <c r="F2466" s="38">
        <v>150</v>
      </c>
      <c r="G2466" t="s">
        <v>187</v>
      </c>
    </row>
    <row r="2467" spans="1:7" x14ac:dyDescent="0.25">
      <c r="A2467" s="10" t="s">
        <v>1431</v>
      </c>
      <c r="B2467" s="10" t="s">
        <v>1461</v>
      </c>
      <c r="C2467" t="str">
        <f>Table13[[#This Row],[Manufacturer]]&amp;" "&amp;Table13[[#This Row],[Model]]</f>
        <v>Stahlwille 760/30</v>
      </c>
      <c r="D2467" s="1">
        <v>4</v>
      </c>
      <c r="E2467" s="1">
        <v>4</v>
      </c>
      <c r="F2467" s="38">
        <v>300</v>
      </c>
      <c r="G2467" t="s">
        <v>187</v>
      </c>
    </row>
    <row r="2468" spans="1:7" x14ac:dyDescent="0.25">
      <c r="A2468" s="10" t="s">
        <v>1431</v>
      </c>
      <c r="B2468" s="10" t="s">
        <v>1460</v>
      </c>
      <c r="C2468" t="str">
        <f>Table13[[#This Row],[Manufacturer]]&amp;" "&amp;Table13[[#This Row],[Model]]</f>
        <v>Stahlwille 760/60</v>
      </c>
      <c r="D2468" s="1">
        <v>4</v>
      </c>
      <c r="E2468" s="1">
        <v>4</v>
      </c>
      <c r="F2468" s="38">
        <v>600</v>
      </c>
      <c r="G2468" t="s">
        <v>187</v>
      </c>
    </row>
    <row r="2469" spans="1:7" x14ac:dyDescent="0.25">
      <c r="A2469" s="10" t="s">
        <v>1431</v>
      </c>
      <c r="B2469" s="10" t="s">
        <v>1459</v>
      </c>
      <c r="C2469" t="str">
        <f>Table13[[#This Row],[Manufacturer]]&amp;" "&amp;Table13[[#This Row],[Model]]</f>
        <v>Stahlwille 760/7.5</v>
      </c>
      <c r="D2469" s="1">
        <v>4</v>
      </c>
      <c r="E2469" s="1">
        <v>4</v>
      </c>
      <c r="F2469" s="38">
        <v>75</v>
      </c>
      <c r="G2469" t="s">
        <v>187</v>
      </c>
    </row>
    <row r="2470" spans="1:7" x14ac:dyDescent="0.25">
      <c r="A2470" s="10" t="s">
        <v>1431</v>
      </c>
      <c r="B2470" s="10" t="s">
        <v>1458</v>
      </c>
      <c r="C2470" t="str">
        <f>Table13[[#This Row],[Manufacturer]]&amp;" "&amp;Table13[[#This Row],[Model]]</f>
        <v>Stahlwille 72NF/100</v>
      </c>
      <c r="D2470" s="1">
        <v>4</v>
      </c>
      <c r="E2470" s="1">
        <v>4</v>
      </c>
      <c r="F2470" s="38">
        <v>725</v>
      </c>
      <c r="G2470" t="s">
        <v>166</v>
      </c>
    </row>
    <row r="2471" spans="1:7" x14ac:dyDescent="0.25">
      <c r="A2471" s="10" t="s">
        <v>1431</v>
      </c>
      <c r="B2471" s="10" t="s">
        <v>1457</v>
      </c>
      <c r="C2471" t="str">
        <f>Table13[[#This Row],[Manufacturer]]&amp;" "&amp;Table13[[#This Row],[Model]]</f>
        <v>Stahlwille 730/10</v>
      </c>
      <c r="D2471" s="1">
        <v>3</v>
      </c>
      <c r="E2471" s="1">
        <v>3</v>
      </c>
      <c r="F2471" s="38">
        <v>100</v>
      </c>
      <c r="G2471" t="s">
        <v>184</v>
      </c>
    </row>
    <row r="2472" spans="1:7" x14ac:dyDescent="0.25">
      <c r="A2472" s="10" t="s">
        <v>1431</v>
      </c>
      <c r="B2472" s="10" t="s">
        <v>1456</v>
      </c>
      <c r="C2472" t="str">
        <f>Table13[[#This Row],[Manufacturer]]&amp;" "&amp;Table13[[#This Row],[Model]]</f>
        <v>Stahlwille 730/2</v>
      </c>
      <c r="D2472" s="1">
        <v>3</v>
      </c>
      <c r="E2472" s="1">
        <v>3</v>
      </c>
      <c r="F2472" s="38">
        <v>20</v>
      </c>
      <c r="G2472" t="s">
        <v>184</v>
      </c>
    </row>
    <row r="2473" spans="1:7" x14ac:dyDescent="0.25">
      <c r="A2473" s="10" t="s">
        <v>1431</v>
      </c>
      <c r="B2473" s="10" t="s">
        <v>1455</v>
      </c>
      <c r="C2473" t="str">
        <f>Table13[[#This Row],[Manufacturer]]&amp;" "&amp;Table13[[#This Row],[Model]]</f>
        <v>Stahlwille 730N/12</v>
      </c>
      <c r="D2473" s="1">
        <v>3</v>
      </c>
      <c r="E2473" s="1">
        <v>3</v>
      </c>
      <c r="F2473" s="38">
        <v>130</v>
      </c>
      <c r="G2473" t="s">
        <v>184</v>
      </c>
    </row>
    <row r="2474" spans="1:7" x14ac:dyDescent="0.25">
      <c r="A2474" s="10" t="s">
        <v>1431</v>
      </c>
      <c r="B2474" s="10" t="s">
        <v>1454</v>
      </c>
      <c r="C2474" t="str">
        <f>Table13[[#This Row],[Manufacturer]]&amp;" "&amp;Table13[[#This Row],[Model]]</f>
        <v>Stahlwille 730N/2</v>
      </c>
      <c r="D2474" s="1">
        <v>3</v>
      </c>
      <c r="E2474" s="1">
        <v>3</v>
      </c>
      <c r="F2474" s="38">
        <v>20</v>
      </c>
      <c r="G2474" t="s">
        <v>184</v>
      </c>
    </row>
    <row r="2475" spans="1:7" x14ac:dyDescent="0.25">
      <c r="A2475" s="10" t="s">
        <v>1431</v>
      </c>
      <c r="B2475" s="10" t="s">
        <v>1453</v>
      </c>
      <c r="C2475" t="str">
        <f>Table13[[#This Row],[Manufacturer]]&amp;" "&amp;Table13[[#This Row],[Model]]</f>
        <v>Stahlwille 730N/20</v>
      </c>
      <c r="D2475" s="1">
        <v>3</v>
      </c>
      <c r="E2475" s="1">
        <v>3</v>
      </c>
      <c r="F2475" s="38">
        <v>200</v>
      </c>
      <c r="G2475" t="s">
        <v>184</v>
      </c>
    </row>
    <row r="2476" spans="1:7" x14ac:dyDescent="0.25">
      <c r="A2476" s="10" t="s">
        <v>1431</v>
      </c>
      <c r="B2476" s="10" t="s">
        <v>1452</v>
      </c>
      <c r="C2476" t="str">
        <f>Table13[[#This Row],[Manufacturer]]&amp;" "&amp;Table13[[#This Row],[Model]]</f>
        <v>Stahlwille 730N/40</v>
      </c>
      <c r="D2476" s="1">
        <v>3</v>
      </c>
      <c r="E2476" s="1">
        <v>3</v>
      </c>
      <c r="F2476" s="38">
        <v>400</v>
      </c>
      <c r="G2476" t="s">
        <v>184</v>
      </c>
    </row>
    <row r="2477" spans="1:7" x14ac:dyDescent="0.25">
      <c r="A2477" s="10" t="s">
        <v>1431</v>
      </c>
      <c r="B2477" s="10" t="s">
        <v>1451</v>
      </c>
      <c r="C2477" t="str">
        <f>Table13[[#This Row],[Manufacturer]]&amp;" "&amp;Table13[[#This Row],[Model]]</f>
        <v>Stahlwille 730N/5</v>
      </c>
      <c r="D2477" s="1">
        <v>3</v>
      </c>
      <c r="E2477" s="1">
        <v>3</v>
      </c>
      <c r="F2477" s="38">
        <v>50</v>
      </c>
      <c r="G2477" t="s">
        <v>184</v>
      </c>
    </row>
    <row r="2478" spans="1:7" x14ac:dyDescent="0.25">
      <c r="A2478" s="10" t="s">
        <v>1431</v>
      </c>
      <c r="B2478" s="10" t="s">
        <v>1450</v>
      </c>
      <c r="C2478" t="str">
        <f>Table13[[#This Row],[Manufacturer]]&amp;" "&amp;Table13[[#This Row],[Model]]</f>
        <v>Stahlwille 730N/65</v>
      </c>
      <c r="D2478" s="1">
        <v>3</v>
      </c>
      <c r="E2478" s="1">
        <v>3</v>
      </c>
      <c r="F2478" s="38">
        <v>650</v>
      </c>
      <c r="G2478" t="s">
        <v>184</v>
      </c>
    </row>
    <row r="2479" spans="1:7" x14ac:dyDescent="0.25">
      <c r="A2479" s="10" t="s">
        <v>1431</v>
      </c>
      <c r="B2479" s="10" t="s">
        <v>1449</v>
      </c>
      <c r="C2479" t="str">
        <f>Table13[[#This Row],[Manufacturer]]&amp;" "&amp;Table13[[#This Row],[Model]]</f>
        <v>Stahlwille 730Na/10</v>
      </c>
      <c r="D2479" s="1">
        <v>3</v>
      </c>
      <c r="E2479" s="1">
        <v>3</v>
      </c>
      <c r="F2479" s="38">
        <v>75</v>
      </c>
      <c r="G2479" t="s">
        <v>166</v>
      </c>
    </row>
    <row r="2480" spans="1:7" x14ac:dyDescent="0.25">
      <c r="A2480" s="10" t="s">
        <v>1431</v>
      </c>
      <c r="B2480" s="10" t="s">
        <v>1448</v>
      </c>
      <c r="C2480" t="str">
        <f>Table13[[#This Row],[Manufacturer]]&amp;" "&amp;Table13[[#This Row],[Model]]</f>
        <v>Stahlwille 730Na/2</v>
      </c>
      <c r="D2480" s="1">
        <v>3</v>
      </c>
      <c r="E2480" s="1">
        <v>3</v>
      </c>
      <c r="F2480" s="38">
        <v>15</v>
      </c>
      <c r="G2480" t="s">
        <v>166</v>
      </c>
    </row>
    <row r="2481" spans="1:7" x14ac:dyDescent="0.25">
      <c r="A2481" s="10" t="s">
        <v>1431</v>
      </c>
      <c r="B2481" s="10" t="s">
        <v>1447</v>
      </c>
      <c r="C2481" t="str">
        <f>Table13[[#This Row],[Manufacturer]]&amp;" "&amp;Table13[[#This Row],[Model]]</f>
        <v>Stahlwille 730Na/20</v>
      </c>
      <c r="D2481" s="1">
        <v>3</v>
      </c>
      <c r="E2481" s="1">
        <v>3</v>
      </c>
      <c r="F2481" s="38">
        <v>150</v>
      </c>
      <c r="G2481" t="s">
        <v>166</v>
      </c>
    </row>
    <row r="2482" spans="1:7" x14ac:dyDescent="0.25">
      <c r="A2482" s="10" t="s">
        <v>1431</v>
      </c>
      <c r="B2482" s="10" t="s">
        <v>1446</v>
      </c>
      <c r="C2482" t="str">
        <f>Table13[[#This Row],[Manufacturer]]&amp;" "&amp;Table13[[#This Row],[Model]]</f>
        <v>Stahlwille 730Na/40</v>
      </c>
      <c r="D2482" s="1">
        <v>3</v>
      </c>
      <c r="E2482" s="1">
        <v>3</v>
      </c>
      <c r="F2482" s="38">
        <v>300</v>
      </c>
      <c r="G2482" t="s">
        <v>166</v>
      </c>
    </row>
    <row r="2483" spans="1:7" x14ac:dyDescent="0.25">
      <c r="A2483" s="10" t="s">
        <v>1431</v>
      </c>
      <c r="B2483" s="10" t="s">
        <v>1445</v>
      </c>
      <c r="C2483" t="str">
        <f>Table13[[#This Row],[Manufacturer]]&amp;" "&amp;Table13[[#This Row],[Model]]</f>
        <v>Stahlwille 730Na/5</v>
      </c>
      <c r="D2483" s="1">
        <v>3</v>
      </c>
      <c r="E2483" s="1">
        <v>3</v>
      </c>
      <c r="F2483" s="38">
        <v>37</v>
      </c>
      <c r="G2483" t="s">
        <v>166</v>
      </c>
    </row>
    <row r="2484" spans="1:7" x14ac:dyDescent="0.25">
      <c r="A2484" s="10" t="s">
        <v>1431</v>
      </c>
      <c r="B2484" s="10" t="s">
        <v>1444</v>
      </c>
      <c r="C2484" t="str">
        <f>Table13[[#This Row],[Manufacturer]]&amp;" "&amp;Table13[[#This Row],[Model]]</f>
        <v>Stahlwille Manoskop 730/10</v>
      </c>
      <c r="D2484" s="1">
        <v>4</v>
      </c>
      <c r="E2484" s="1" t="s">
        <v>169</v>
      </c>
      <c r="F2484" s="38">
        <v>100</v>
      </c>
      <c r="G2484" t="s">
        <v>184</v>
      </c>
    </row>
    <row r="2485" spans="1:7" x14ac:dyDescent="0.25">
      <c r="A2485" s="10" t="s">
        <v>1431</v>
      </c>
      <c r="B2485" s="10" t="s">
        <v>1443</v>
      </c>
      <c r="C2485" t="str">
        <f>Table13[[#This Row],[Manufacturer]]&amp;" "&amp;Table13[[#This Row],[Model]]</f>
        <v>Stahlwille Manoskop 730/12</v>
      </c>
      <c r="D2485" s="1">
        <v>4</v>
      </c>
      <c r="E2485" s="1" t="s">
        <v>169</v>
      </c>
      <c r="F2485" s="38">
        <v>130</v>
      </c>
      <c r="G2485" t="s">
        <v>184</v>
      </c>
    </row>
    <row r="2486" spans="1:7" x14ac:dyDescent="0.25">
      <c r="A2486" s="10" t="s">
        <v>1431</v>
      </c>
      <c r="B2486" s="10" t="s">
        <v>1442</v>
      </c>
      <c r="C2486" t="str">
        <f>Table13[[#This Row],[Manufacturer]]&amp;" "&amp;Table13[[#This Row],[Model]]</f>
        <v>Stahlwille Manoskop 730/2</v>
      </c>
      <c r="D2486" s="1">
        <v>4</v>
      </c>
      <c r="E2486" s="1" t="s">
        <v>169</v>
      </c>
      <c r="F2486" s="38">
        <v>20</v>
      </c>
      <c r="G2486" t="s">
        <v>184</v>
      </c>
    </row>
    <row r="2487" spans="1:7" x14ac:dyDescent="0.25">
      <c r="A2487" s="10" t="s">
        <v>1431</v>
      </c>
      <c r="B2487" s="10" t="s">
        <v>1441</v>
      </c>
      <c r="C2487" t="str">
        <f>Table13[[#This Row],[Manufacturer]]&amp;" "&amp;Table13[[#This Row],[Model]]</f>
        <v>Stahlwille Manoskop 730/20</v>
      </c>
      <c r="D2487" s="1">
        <v>4</v>
      </c>
      <c r="E2487" s="1" t="s">
        <v>169</v>
      </c>
      <c r="F2487" s="38">
        <v>200</v>
      </c>
      <c r="G2487" t="s">
        <v>184</v>
      </c>
    </row>
    <row r="2488" spans="1:7" x14ac:dyDescent="0.25">
      <c r="A2488" s="10" t="s">
        <v>1431</v>
      </c>
      <c r="B2488" s="10" t="s">
        <v>1440</v>
      </c>
      <c r="C2488" t="str">
        <f>Table13[[#This Row],[Manufacturer]]&amp;" "&amp;Table13[[#This Row],[Model]]</f>
        <v>Stahlwille Manoskop 730/4</v>
      </c>
      <c r="D2488" s="1">
        <v>4</v>
      </c>
      <c r="E2488" s="1" t="s">
        <v>169</v>
      </c>
      <c r="F2488" s="38">
        <v>40</v>
      </c>
      <c r="G2488" t="s">
        <v>184</v>
      </c>
    </row>
    <row r="2489" spans="1:7" x14ac:dyDescent="0.25">
      <c r="A2489" s="10" t="s">
        <v>1431</v>
      </c>
      <c r="B2489" s="10" t="s">
        <v>1439</v>
      </c>
      <c r="C2489" t="str">
        <f>Table13[[#This Row],[Manufacturer]]&amp;" "&amp;Table13[[#This Row],[Model]]</f>
        <v>Stahlwille Manoskop 730/40</v>
      </c>
      <c r="D2489" s="1">
        <v>4</v>
      </c>
      <c r="E2489" s="1" t="s">
        <v>169</v>
      </c>
      <c r="F2489" s="38">
        <v>400</v>
      </c>
      <c r="G2489" t="s">
        <v>184</v>
      </c>
    </row>
    <row r="2490" spans="1:7" x14ac:dyDescent="0.25">
      <c r="A2490" s="10" t="s">
        <v>1431</v>
      </c>
      <c r="B2490" s="10" t="s">
        <v>1438</v>
      </c>
      <c r="C2490" t="str">
        <f>Table13[[#This Row],[Manufacturer]]&amp;" "&amp;Table13[[#This Row],[Model]]</f>
        <v>Stahlwille Manoskop 730/5</v>
      </c>
      <c r="D2490" s="1">
        <v>4</v>
      </c>
      <c r="E2490" s="1" t="s">
        <v>169</v>
      </c>
      <c r="F2490" s="38">
        <v>50</v>
      </c>
      <c r="G2490" t="s">
        <v>184</v>
      </c>
    </row>
    <row r="2491" spans="1:7" x14ac:dyDescent="0.25">
      <c r="A2491" s="10" t="s">
        <v>1431</v>
      </c>
      <c r="B2491" s="10" t="s">
        <v>1437</v>
      </c>
      <c r="C2491" t="str">
        <f>Table13[[#This Row],[Manufacturer]]&amp;" "&amp;Table13[[#This Row],[Model]]</f>
        <v>Stahlwille Manoskop 730/65</v>
      </c>
      <c r="D2491" s="1">
        <v>4</v>
      </c>
      <c r="E2491" s="1" t="s">
        <v>169</v>
      </c>
      <c r="F2491" s="38">
        <v>650</v>
      </c>
      <c r="G2491" t="s">
        <v>184</v>
      </c>
    </row>
    <row r="2492" spans="1:7" x14ac:dyDescent="0.25">
      <c r="A2492" s="10" t="s">
        <v>1431</v>
      </c>
      <c r="B2492" s="10" t="s">
        <v>1436</v>
      </c>
      <c r="C2492" t="str">
        <f>Table13[[#This Row],[Manufacturer]]&amp;" "&amp;Table13[[#This Row],[Model]]</f>
        <v>Stahlwille Manoskop 730a/10</v>
      </c>
      <c r="D2492" s="1">
        <v>4</v>
      </c>
      <c r="E2492" s="1" t="s">
        <v>169</v>
      </c>
      <c r="F2492" s="38">
        <v>100</v>
      </c>
      <c r="G2492" t="s">
        <v>184</v>
      </c>
    </row>
    <row r="2493" spans="1:7" x14ac:dyDescent="0.25">
      <c r="A2493" s="10" t="s">
        <v>1431</v>
      </c>
      <c r="B2493" s="10" t="s">
        <v>1435</v>
      </c>
      <c r="C2493" t="str">
        <f>Table13[[#This Row],[Manufacturer]]&amp;" "&amp;Table13[[#This Row],[Model]]</f>
        <v>Stahlwille Manoskop 730a/12</v>
      </c>
      <c r="D2493" s="1">
        <v>4</v>
      </c>
      <c r="E2493" s="1" t="s">
        <v>169</v>
      </c>
      <c r="F2493" s="38">
        <v>130</v>
      </c>
      <c r="G2493" t="s">
        <v>184</v>
      </c>
    </row>
    <row r="2494" spans="1:7" x14ac:dyDescent="0.25">
      <c r="A2494" s="10" t="s">
        <v>1431</v>
      </c>
      <c r="B2494" s="10" t="s">
        <v>1434</v>
      </c>
      <c r="C2494" t="str">
        <f>Table13[[#This Row],[Manufacturer]]&amp;" "&amp;Table13[[#This Row],[Model]]</f>
        <v>Stahlwille Manoskop 730a/2</v>
      </c>
      <c r="D2494" s="1">
        <v>4</v>
      </c>
      <c r="E2494" s="1" t="s">
        <v>169</v>
      </c>
      <c r="F2494" s="38">
        <v>175</v>
      </c>
      <c r="G2494" t="s">
        <v>164</v>
      </c>
    </row>
    <row r="2495" spans="1:7" x14ac:dyDescent="0.25">
      <c r="A2495" s="10" t="s">
        <v>1431</v>
      </c>
      <c r="B2495" s="10" t="s">
        <v>1433</v>
      </c>
      <c r="C2495" t="str">
        <f>Table13[[#This Row],[Manufacturer]]&amp;" "&amp;Table13[[#This Row],[Model]]</f>
        <v>Stahlwille Manoskop 730a/20</v>
      </c>
      <c r="D2495" s="1">
        <v>4</v>
      </c>
      <c r="E2495" s="1" t="s">
        <v>169</v>
      </c>
      <c r="F2495" s="38">
        <v>200</v>
      </c>
      <c r="G2495" t="s">
        <v>184</v>
      </c>
    </row>
    <row r="2496" spans="1:7" x14ac:dyDescent="0.25">
      <c r="A2496" s="10" t="s">
        <v>1431</v>
      </c>
      <c r="B2496" s="10" t="s">
        <v>1432</v>
      </c>
      <c r="C2496" t="str">
        <f>Table13[[#This Row],[Manufacturer]]&amp;" "&amp;Table13[[#This Row],[Model]]</f>
        <v>Stahlwille Manoskop 730a/4</v>
      </c>
      <c r="D2496" s="1">
        <v>4</v>
      </c>
      <c r="E2496" s="1" t="s">
        <v>169</v>
      </c>
      <c r="F2496" s="38">
        <v>40</v>
      </c>
      <c r="G2496" t="s">
        <v>184</v>
      </c>
    </row>
    <row r="2497" spans="1:7" x14ac:dyDescent="0.25">
      <c r="A2497" s="10" t="s">
        <v>1431</v>
      </c>
      <c r="B2497" s="10" t="s">
        <v>1430</v>
      </c>
      <c r="C2497" t="str">
        <f>Table13[[#This Row],[Manufacturer]]&amp;" "&amp;Table13[[#This Row],[Model]]</f>
        <v>Stahlwille Manoskop 730a/5</v>
      </c>
      <c r="D2497" s="1">
        <v>4</v>
      </c>
      <c r="E2497" s="1" t="s">
        <v>169</v>
      </c>
      <c r="F2497" s="38">
        <v>50</v>
      </c>
      <c r="G2497" t="s">
        <v>184</v>
      </c>
    </row>
    <row r="2498" spans="1:7" x14ac:dyDescent="0.25">
      <c r="A2498" s="10" t="s">
        <v>1428</v>
      </c>
      <c r="B2498" s="10" t="s">
        <v>1429</v>
      </c>
      <c r="C2498" t="str">
        <f>Table13[[#This Row],[Manufacturer]]&amp;" "&amp;Table13[[#This Row],[Model]]</f>
        <v>Storm 3T425</v>
      </c>
      <c r="D2498" s="1">
        <v>4</v>
      </c>
      <c r="E2498" s="1" t="s">
        <v>169</v>
      </c>
      <c r="F2498" s="38">
        <v>250</v>
      </c>
      <c r="G2498" t="s">
        <v>166</v>
      </c>
    </row>
    <row r="2499" spans="1:7" x14ac:dyDescent="0.25">
      <c r="A2499" s="10" t="s">
        <v>1428</v>
      </c>
      <c r="B2499" s="10" t="s">
        <v>1427</v>
      </c>
      <c r="C2499" t="str">
        <f>Table13[[#This Row],[Manufacturer]]&amp;" "&amp;Table13[[#This Row],[Model]]</f>
        <v>Storm 3T660</v>
      </c>
      <c r="D2499" s="1">
        <v>4</v>
      </c>
      <c r="E2499" s="1" t="s">
        <v>169</v>
      </c>
      <c r="F2499" s="38">
        <v>600</v>
      </c>
      <c r="G2499" t="s">
        <v>166</v>
      </c>
    </row>
    <row r="2500" spans="1:7" x14ac:dyDescent="0.25">
      <c r="A2500" s="10" t="s">
        <v>1145</v>
      </c>
      <c r="B2500" s="10" t="s">
        <v>1426</v>
      </c>
      <c r="C2500" t="str">
        <f>Table13[[#This Row],[Manufacturer]]&amp;" "&amp;Table13[[#This Row],[Model]]</f>
        <v>Sturtevant Richmont DM 5 NM</v>
      </c>
      <c r="D2500" s="1">
        <v>2</v>
      </c>
      <c r="E2500" s="1">
        <v>2</v>
      </c>
      <c r="F2500" s="38">
        <v>5</v>
      </c>
      <c r="G2500" t="s">
        <v>184</v>
      </c>
    </row>
    <row r="2501" spans="1:7" x14ac:dyDescent="0.25">
      <c r="A2501" s="10" t="s">
        <v>1145</v>
      </c>
      <c r="B2501" s="10" t="s">
        <v>1425</v>
      </c>
      <c r="C2501" t="str">
        <f>Table13[[#This Row],[Manufacturer]]&amp;" "&amp;Table13[[#This Row],[Model]]</f>
        <v>Sturtevant Richmont DM1/10I</v>
      </c>
      <c r="D2501" s="1">
        <v>2</v>
      </c>
      <c r="E2501" s="1">
        <v>2</v>
      </c>
      <c r="F2501" s="38">
        <v>10</v>
      </c>
      <c r="G2501" t="s">
        <v>164</v>
      </c>
    </row>
    <row r="2502" spans="1:7" x14ac:dyDescent="0.25">
      <c r="A2502" s="10" t="s">
        <v>1145</v>
      </c>
      <c r="B2502" s="10" t="s">
        <v>1424</v>
      </c>
      <c r="C2502" t="str">
        <f>Table13[[#This Row],[Manufacturer]]&amp;" "&amp;Table13[[#This Row],[Model]]</f>
        <v>Sturtevant Richmont DM110/100I dNm</v>
      </c>
      <c r="D2502" s="1">
        <v>2</v>
      </c>
      <c r="E2502" s="1">
        <v>2</v>
      </c>
      <c r="F2502" s="38">
        <v>110</v>
      </c>
      <c r="G2502" t="s">
        <v>1360</v>
      </c>
    </row>
    <row r="2503" spans="1:7" x14ac:dyDescent="0.25">
      <c r="A2503" s="10" t="s">
        <v>1145</v>
      </c>
      <c r="B2503" s="10" t="s">
        <v>1423</v>
      </c>
      <c r="C2503" t="str">
        <f>Table13[[#This Row],[Manufacturer]]&amp;" "&amp;Table13[[#This Row],[Model]]</f>
        <v>Sturtevant Richmont DM110/100I inlb</v>
      </c>
      <c r="D2503" s="1">
        <v>2</v>
      </c>
      <c r="E2503" s="1">
        <v>2</v>
      </c>
      <c r="F2503" s="38">
        <v>100</v>
      </c>
      <c r="G2503" t="s">
        <v>164</v>
      </c>
    </row>
    <row r="2504" spans="1:7" x14ac:dyDescent="0.25">
      <c r="A2504" s="10" t="s">
        <v>1145</v>
      </c>
      <c r="B2504" s="10" t="s">
        <v>1422</v>
      </c>
      <c r="C2504" t="str">
        <f>Table13[[#This Row],[Manufacturer]]&amp;" "&amp;Table13[[#This Row],[Model]]</f>
        <v>Sturtevant Richmont DM110/160I0</v>
      </c>
      <c r="D2504" s="1">
        <v>2</v>
      </c>
      <c r="E2504" s="1">
        <v>2</v>
      </c>
      <c r="F2504" s="38">
        <v>160</v>
      </c>
      <c r="G2504" t="s">
        <v>172</v>
      </c>
    </row>
    <row r="2505" spans="1:7" x14ac:dyDescent="0.25">
      <c r="A2505" s="10" t="s">
        <v>1145</v>
      </c>
      <c r="B2505" s="10" t="s">
        <v>1421</v>
      </c>
      <c r="C2505" t="str">
        <f>Table13[[#This Row],[Manufacturer]]&amp;" "&amp;Table13[[#This Row],[Model]]</f>
        <v>Sturtevant Richmont DM12/100I</v>
      </c>
      <c r="D2505" s="1">
        <v>2</v>
      </c>
      <c r="E2505" s="1">
        <v>2</v>
      </c>
      <c r="F2505" s="38">
        <v>100</v>
      </c>
      <c r="G2505" t="s">
        <v>164</v>
      </c>
    </row>
    <row r="2506" spans="1:7" x14ac:dyDescent="0.25">
      <c r="A2506" s="10" t="s">
        <v>1145</v>
      </c>
      <c r="B2506" s="10" t="s">
        <v>1420</v>
      </c>
      <c r="C2506" t="str">
        <f>Table13[[#This Row],[Manufacturer]]&amp;" "&amp;Table13[[#This Row],[Model]]</f>
        <v>Sturtevant Richmont DM12NM</v>
      </c>
      <c r="D2506" s="1" t="s">
        <v>1412</v>
      </c>
      <c r="E2506" s="1" t="s">
        <v>1411</v>
      </c>
    </row>
    <row r="2507" spans="1:7" x14ac:dyDescent="0.25">
      <c r="A2507" s="10" t="s">
        <v>1145</v>
      </c>
      <c r="B2507" s="10" t="s">
        <v>1419</v>
      </c>
      <c r="C2507" t="str">
        <f>Table13[[#This Row],[Manufacturer]]&amp;" "&amp;Table13[[#This Row],[Model]]</f>
        <v>Sturtevant Richmont DM140/100</v>
      </c>
      <c r="D2507" s="1">
        <v>2</v>
      </c>
      <c r="E2507" s="1">
        <v>2</v>
      </c>
      <c r="F2507" s="38">
        <v>100</v>
      </c>
      <c r="G2507" t="s">
        <v>166</v>
      </c>
    </row>
    <row r="2508" spans="1:7" x14ac:dyDescent="0.25">
      <c r="A2508" s="10" t="s">
        <v>1145</v>
      </c>
      <c r="B2508" s="10" t="s">
        <v>1418</v>
      </c>
      <c r="C2508" t="str">
        <f>Table13[[#This Row],[Manufacturer]]&amp;" "&amp;Table13[[#This Row],[Model]]</f>
        <v>Sturtevant Richmont DM140-NM</v>
      </c>
      <c r="D2508" s="1">
        <v>2</v>
      </c>
      <c r="E2508" s="1">
        <v>2</v>
      </c>
      <c r="F2508" s="38">
        <v>140</v>
      </c>
      <c r="G2508" t="s">
        <v>184</v>
      </c>
    </row>
    <row r="2509" spans="1:7" x14ac:dyDescent="0.25">
      <c r="A2509" s="10" t="s">
        <v>1145</v>
      </c>
      <c r="B2509" s="10" t="s">
        <v>1417</v>
      </c>
      <c r="C2509" t="str">
        <f>Table13[[#This Row],[Manufacturer]]&amp;" "&amp;Table13[[#This Row],[Model]]</f>
        <v>Sturtevant Richmont DM2.5/25I</v>
      </c>
      <c r="D2509" s="1">
        <v>2</v>
      </c>
      <c r="E2509" s="1">
        <v>2</v>
      </c>
      <c r="F2509" s="38">
        <v>25</v>
      </c>
      <c r="G2509" t="s">
        <v>164</v>
      </c>
    </row>
    <row r="2510" spans="1:7" x14ac:dyDescent="0.25">
      <c r="A2510" s="10" t="s">
        <v>1145</v>
      </c>
      <c r="B2510" s="10" t="s">
        <v>1416</v>
      </c>
      <c r="C2510" t="str">
        <f>Table13[[#This Row],[Manufacturer]]&amp;" "&amp;Table13[[#This Row],[Model]]</f>
        <v>Sturtevant Richmont DM210/150</v>
      </c>
      <c r="D2510" s="1">
        <v>2</v>
      </c>
      <c r="E2510" s="1">
        <v>2</v>
      </c>
      <c r="F2510" s="38">
        <v>150</v>
      </c>
      <c r="G2510" t="s">
        <v>166</v>
      </c>
    </row>
    <row r="2511" spans="1:7" x14ac:dyDescent="0.25">
      <c r="A2511" s="10" t="s">
        <v>1145</v>
      </c>
      <c r="B2511" s="10" t="s">
        <v>1415</v>
      </c>
      <c r="C2511" t="str">
        <f>Table13[[#This Row],[Manufacturer]]&amp;" "&amp;Table13[[#This Row],[Model]]</f>
        <v>Sturtevant Richmont DM22/200I</v>
      </c>
      <c r="D2511" s="1">
        <v>2</v>
      </c>
      <c r="E2511" s="1">
        <v>2</v>
      </c>
      <c r="F2511" s="38">
        <v>200</v>
      </c>
      <c r="G2511" t="s">
        <v>164</v>
      </c>
    </row>
    <row r="2512" spans="1:7" x14ac:dyDescent="0.25">
      <c r="A2512" s="10" t="s">
        <v>1145</v>
      </c>
      <c r="B2512" s="10" t="s">
        <v>1414</v>
      </c>
      <c r="C2512" t="str">
        <f>Table13[[#This Row],[Manufacturer]]&amp;" "&amp;Table13[[#This Row],[Model]]</f>
        <v>Sturtevant Richmont DM22/32I0</v>
      </c>
      <c r="D2512" s="1">
        <v>2</v>
      </c>
      <c r="E2512" s="1">
        <v>2</v>
      </c>
      <c r="F2512" s="38">
        <v>32</v>
      </c>
      <c r="G2512" t="s">
        <v>172</v>
      </c>
    </row>
    <row r="2513" spans="1:7" x14ac:dyDescent="0.25">
      <c r="A2513" s="10" t="s">
        <v>1145</v>
      </c>
      <c r="B2513" s="10" t="s">
        <v>1413</v>
      </c>
      <c r="C2513" t="str">
        <f>Table13[[#This Row],[Manufacturer]]&amp;" "&amp;Table13[[#This Row],[Model]]</f>
        <v>Sturtevant Richmont DM22NM</v>
      </c>
      <c r="D2513" s="1" t="s">
        <v>1412</v>
      </c>
      <c r="E2513" s="1" t="s">
        <v>1411</v>
      </c>
    </row>
    <row r="2514" spans="1:7" x14ac:dyDescent="0.25">
      <c r="A2514" s="10" t="s">
        <v>1145</v>
      </c>
      <c r="B2514" s="10" t="s">
        <v>1410</v>
      </c>
      <c r="C2514" t="str">
        <f>Table13[[#This Row],[Manufacturer]]&amp;" "&amp;Table13[[#This Row],[Model]]</f>
        <v>Sturtevant Richmont DM28/25I</v>
      </c>
      <c r="D2514" s="1">
        <v>2</v>
      </c>
      <c r="E2514" s="1">
        <v>2</v>
      </c>
      <c r="F2514" s="38">
        <v>25</v>
      </c>
      <c r="G2514" t="s">
        <v>164</v>
      </c>
    </row>
    <row r="2515" spans="1:7" x14ac:dyDescent="0.25">
      <c r="A2515" s="10" t="s">
        <v>1145</v>
      </c>
      <c r="B2515" s="10" t="s">
        <v>1409</v>
      </c>
      <c r="C2515" t="str">
        <f>Table13[[#This Row],[Manufacturer]]&amp;" "&amp;Table13[[#This Row],[Model]]</f>
        <v>Sturtevant Richmont DM34/25</v>
      </c>
      <c r="D2515" s="1">
        <v>2</v>
      </c>
      <c r="E2515" s="1">
        <v>2</v>
      </c>
      <c r="F2515" s="38">
        <v>25</v>
      </c>
      <c r="G2515" t="s">
        <v>166</v>
      </c>
    </row>
    <row r="2516" spans="1:7" x14ac:dyDescent="0.25">
      <c r="A2516" s="10" t="s">
        <v>1145</v>
      </c>
      <c r="B2516" s="10" t="s">
        <v>1408</v>
      </c>
      <c r="C2516" t="str">
        <f>Table13[[#This Row],[Manufacturer]]&amp;" "&amp;Table13[[#This Row],[Model]]</f>
        <v>Sturtevant Richmont DM34/300I</v>
      </c>
      <c r="D2516" s="1">
        <v>2</v>
      </c>
      <c r="E2516" s="1">
        <v>2</v>
      </c>
      <c r="F2516" s="38">
        <v>300</v>
      </c>
      <c r="G2516" t="s">
        <v>164</v>
      </c>
    </row>
    <row r="2517" spans="1:7" x14ac:dyDescent="0.25">
      <c r="A2517" s="10" t="s">
        <v>1145</v>
      </c>
      <c r="B2517" s="10" t="s">
        <v>1407</v>
      </c>
      <c r="C2517" t="str">
        <f>Table13[[#This Row],[Manufacturer]]&amp;" "&amp;Table13[[#This Row],[Model]]</f>
        <v>Sturtevant Richmont DM-34-NM</v>
      </c>
      <c r="D2517" s="1">
        <v>2</v>
      </c>
      <c r="E2517" s="1">
        <v>2</v>
      </c>
      <c r="F2517" s="38">
        <v>300</v>
      </c>
      <c r="G2517" t="s">
        <v>164</v>
      </c>
    </row>
    <row r="2518" spans="1:7" x14ac:dyDescent="0.25">
      <c r="A2518" s="10" t="s">
        <v>1145</v>
      </c>
      <c r="B2518" s="10" t="s">
        <v>1406</v>
      </c>
      <c r="C2518" t="str">
        <f>Table13[[#This Row],[Manufacturer]]&amp;" "&amp;Table13[[#This Row],[Model]]</f>
        <v>Sturtevant Richmont DM5/50I</v>
      </c>
      <c r="D2518" s="1">
        <v>2</v>
      </c>
      <c r="E2518" s="1">
        <v>2</v>
      </c>
      <c r="F2518" s="38">
        <v>50</v>
      </c>
      <c r="G2518" t="s">
        <v>164</v>
      </c>
    </row>
    <row r="2519" spans="1:7" x14ac:dyDescent="0.25">
      <c r="A2519" s="10" t="s">
        <v>1145</v>
      </c>
      <c r="B2519" s="10" t="s">
        <v>1405</v>
      </c>
      <c r="C2519" t="str">
        <f>Table13[[#This Row],[Manufacturer]]&amp;" "&amp;Table13[[#This Row],[Model]]</f>
        <v>Sturtevant Richmont DM56/50I</v>
      </c>
      <c r="D2519" s="1">
        <v>2</v>
      </c>
      <c r="E2519" s="1">
        <v>2</v>
      </c>
      <c r="F2519" s="38">
        <v>50</v>
      </c>
      <c r="G2519" t="s">
        <v>164</v>
      </c>
    </row>
    <row r="2520" spans="1:7" x14ac:dyDescent="0.25">
      <c r="A2520" s="10" t="s">
        <v>1145</v>
      </c>
      <c r="B2520" s="10" t="s">
        <v>1404</v>
      </c>
      <c r="C2520" t="str">
        <f>Table13[[#This Row],[Manufacturer]]&amp;" "&amp;Table13[[#This Row],[Model]]</f>
        <v>Sturtevant Richmont DM56/80I0</v>
      </c>
      <c r="D2520" s="1">
        <v>2</v>
      </c>
      <c r="E2520" s="1">
        <v>2</v>
      </c>
      <c r="F2520" s="38">
        <v>80</v>
      </c>
      <c r="G2520" t="s">
        <v>172</v>
      </c>
    </row>
    <row r="2521" spans="1:7" x14ac:dyDescent="0.25">
      <c r="A2521" s="10" t="s">
        <v>1145</v>
      </c>
      <c r="B2521" s="10" t="s">
        <v>1403</v>
      </c>
      <c r="C2521" t="str">
        <f>Table13[[#This Row],[Manufacturer]]&amp;" "&amp;Table13[[#This Row],[Model]]</f>
        <v>Sturtevant Richmont DM70/50</v>
      </c>
      <c r="D2521" s="1">
        <v>2</v>
      </c>
      <c r="E2521" s="1">
        <v>2</v>
      </c>
      <c r="F2521" s="38">
        <v>50</v>
      </c>
      <c r="G2521" t="s">
        <v>166</v>
      </c>
    </row>
    <row r="2522" spans="1:7" x14ac:dyDescent="0.25">
      <c r="A2522" s="10" t="s">
        <v>1145</v>
      </c>
      <c r="B2522" s="10" t="s">
        <v>1402</v>
      </c>
      <c r="C2522" t="str">
        <f>Table13[[#This Row],[Manufacturer]]&amp;" "&amp;Table13[[#This Row],[Model]]</f>
        <v>Sturtevant Richmont DM70/600I</v>
      </c>
      <c r="D2522" s="1">
        <v>2</v>
      </c>
      <c r="E2522" s="1">
        <v>2</v>
      </c>
      <c r="F2522" s="38">
        <v>600</v>
      </c>
      <c r="G2522" t="s">
        <v>164</v>
      </c>
    </row>
    <row r="2523" spans="1:7" x14ac:dyDescent="0.25">
      <c r="A2523" s="10" t="s">
        <v>1145</v>
      </c>
      <c r="B2523" s="10" t="s">
        <v>1401</v>
      </c>
      <c r="C2523" t="str">
        <f>Table13[[#This Row],[Manufacturer]]&amp;" "&amp;Table13[[#This Row],[Model]]</f>
        <v>Sturtevant Richmont DM-70-NM</v>
      </c>
      <c r="D2523" s="1">
        <v>2</v>
      </c>
      <c r="E2523" s="1">
        <v>2</v>
      </c>
      <c r="F2523" s="38">
        <v>600</v>
      </c>
      <c r="G2523" t="s">
        <v>164</v>
      </c>
    </row>
    <row r="2524" spans="1:7" x14ac:dyDescent="0.25">
      <c r="A2524" s="10" t="s">
        <v>1145</v>
      </c>
      <c r="B2524" s="10" t="s">
        <v>1400</v>
      </c>
      <c r="C2524" t="str">
        <f>Table13[[#This Row],[Manufacturer]]&amp;" "&amp;Table13[[#This Row],[Model]]</f>
        <v>Sturtevant Richmont M100</v>
      </c>
      <c r="D2524" s="1">
        <v>2</v>
      </c>
      <c r="E2524" s="1">
        <v>2</v>
      </c>
      <c r="F2524" s="38">
        <v>100</v>
      </c>
      <c r="G2524" t="s">
        <v>166</v>
      </c>
    </row>
    <row r="2525" spans="1:7" x14ac:dyDescent="0.25">
      <c r="A2525" s="10" t="s">
        <v>1145</v>
      </c>
      <c r="B2525" s="10" t="s">
        <v>1399</v>
      </c>
      <c r="C2525" t="str">
        <f>Table13[[#This Row],[Manufacturer]]&amp;" "&amp;Table13[[#This Row],[Model]]</f>
        <v>Sturtevant Richmont M100I</v>
      </c>
      <c r="D2525" s="1">
        <v>2</v>
      </c>
      <c r="E2525" s="1">
        <v>2</v>
      </c>
      <c r="F2525" s="38">
        <v>100</v>
      </c>
      <c r="G2525" t="s">
        <v>164</v>
      </c>
    </row>
    <row r="2526" spans="1:7" x14ac:dyDescent="0.25">
      <c r="A2526" s="10" t="s">
        <v>1145</v>
      </c>
      <c r="B2526" s="10" t="s">
        <v>1398</v>
      </c>
      <c r="C2526" t="str">
        <f>Table13[[#This Row],[Manufacturer]]&amp;" "&amp;Table13[[#This Row],[Model]]</f>
        <v>Sturtevant Richmont M10I</v>
      </c>
      <c r="D2526" s="1">
        <v>2</v>
      </c>
      <c r="E2526" s="1">
        <v>2</v>
      </c>
      <c r="F2526" s="38">
        <v>10</v>
      </c>
      <c r="G2526" t="s">
        <v>164</v>
      </c>
    </row>
    <row r="2527" spans="1:7" x14ac:dyDescent="0.25">
      <c r="A2527" s="10" t="s">
        <v>1145</v>
      </c>
      <c r="B2527" s="10" t="s">
        <v>1397</v>
      </c>
      <c r="C2527" t="str">
        <f>Table13[[#This Row],[Manufacturer]]&amp;" "&amp;Table13[[#This Row],[Model]]</f>
        <v>Sturtevant Richmont M110CNM</v>
      </c>
      <c r="D2527" s="1">
        <v>2</v>
      </c>
      <c r="E2527" s="1">
        <v>2</v>
      </c>
      <c r="F2527" s="38">
        <v>110</v>
      </c>
      <c r="G2527" t="s">
        <v>187</v>
      </c>
    </row>
    <row r="2528" spans="1:7" x14ac:dyDescent="0.25">
      <c r="A2528" s="10" t="s">
        <v>1145</v>
      </c>
      <c r="B2528" s="10" t="s">
        <v>1396</v>
      </c>
      <c r="C2528" t="str">
        <f>Table13[[#This Row],[Manufacturer]]&amp;" "&amp;Table13[[#This Row],[Model]]</f>
        <v>Sturtevant Richmont M115KGF.CM</v>
      </c>
      <c r="D2528" s="1">
        <v>2</v>
      </c>
      <c r="E2528" s="1">
        <v>2</v>
      </c>
      <c r="F2528" s="38">
        <v>115</v>
      </c>
      <c r="G2528" t="s">
        <v>418</v>
      </c>
    </row>
    <row r="2529" spans="1:7" x14ac:dyDescent="0.25">
      <c r="A2529" s="10" t="s">
        <v>1145</v>
      </c>
      <c r="B2529" s="10" t="s">
        <v>1395</v>
      </c>
      <c r="C2529" t="str">
        <f>Table13[[#This Row],[Manufacturer]]&amp;" "&amp;Table13[[#This Row],[Model]]</f>
        <v>Sturtevant Richmont M1200I</v>
      </c>
      <c r="D2529" s="1">
        <v>2</v>
      </c>
      <c r="E2529" s="1">
        <v>2</v>
      </c>
      <c r="F2529" s="38">
        <v>1200</v>
      </c>
      <c r="G2529" t="s">
        <v>164</v>
      </c>
    </row>
    <row r="2530" spans="1:7" x14ac:dyDescent="0.25">
      <c r="A2530" s="10" t="s">
        <v>1145</v>
      </c>
      <c r="B2530" s="10" t="s">
        <v>1394</v>
      </c>
      <c r="C2530" t="str">
        <f>Table13[[#This Row],[Manufacturer]]&amp;" "&amp;Table13[[#This Row],[Model]]</f>
        <v>Sturtevant Richmont M12KGF.CM</v>
      </c>
      <c r="D2530" s="1">
        <v>2</v>
      </c>
      <c r="E2530" s="1">
        <v>2</v>
      </c>
      <c r="F2530" s="38">
        <v>12</v>
      </c>
      <c r="G2530" t="s">
        <v>418</v>
      </c>
    </row>
    <row r="2531" spans="1:7" x14ac:dyDescent="0.25">
      <c r="A2531" s="10" t="s">
        <v>1145</v>
      </c>
      <c r="B2531" s="10" t="s">
        <v>1393</v>
      </c>
      <c r="C2531" t="str">
        <f>Table13[[#This Row],[Manufacturer]]&amp;" "&amp;Table13[[#This Row],[Model]]</f>
        <v>Sturtevant Richmont M12NM</v>
      </c>
      <c r="D2531" s="1">
        <v>2</v>
      </c>
      <c r="E2531" s="1">
        <v>2</v>
      </c>
      <c r="F2531" s="38">
        <v>12</v>
      </c>
      <c r="G2531" t="s">
        <v>184</v>
      </c>
    </row>
    <row r="2532" spans="1:7" x14ac:dyDescent="0.25">
      <c r="A2532" s="10" t="s">
        <v>1145</v>
      </c>
      <c r="B2532" s="10" t="s">
        <v>1392</v>
      </c>
      <c r="C2532" t="str">
        <f>Table13[[#This Row],[Manufacturer]]&amp;" "&amp;Table13[[#This Row],[Model]]</f>
        <v>Sturtevant Richmont M140NM</v>
      </c>
      <c r="D2532" s="1">
        <v>2</v>
      </c>
      <c r="E2532" s="1">
        <v>2</v>
      </c>
      <c r="F2532" s="38">
        <v>140</v>
      </c>
      <c r="G2532" t="s">
        <v>184</v>
      </c>
    </row>
    <row r="2533" spans="1:7" x14ac:dyDescent="0.25">
      <c r="A2533" s="10" t="s">
        <v>1145</v>
      </c>
      <c r="B2533" s="10" t="s">
        <v>1391</v>
      </c>
      <c r="C2533" t="str">
        <f>Table13[[#This Row],[Manufacturer]]&amp;" "&amp;Table13[[#This Row],[Model]]</f>
        <v>Sturtevant Richmont M-140-NM</v>
      </c>
      <c r="D2533" s="1">
        <v>2</v>
      </c>
      <c r="E2533" s="1">
        <v>2</v>
      </c>
      <c r="F2533" s="38">
        <v>140</v>
      </c>
      <c r="G2533" t="s">
        <v>184</v>
      </c>
    </row>
    <row r="2534" spans="1:7" x14ac:dyDescent="0.25">
      <c r="A2534" s="10" t="s">
        <v>1145</v>
      </c>
      <c r="B2534" s="10" t="s">
        <v>1390</v>
      </c>
      <c r="C2534" t="str">
        <f>Table13[[#This Row],[Manufacturer]]&amp;" "&amp;Table13[[#This Row],[Model]]</f>
        <v>Sturtevant Richmont M14KGF.M</v>
      </c>
      <c r="D2534" s="1">
        <v>2</v>
      </c>
      <c r="E2534" s="1">
        <v>2</v>
      </c>
      <c r="F2534" s="38">
        <v>14</v>
      </c>
      <c r="G2534" t="s">
        <v>258</v>
      </c>
    </row>
    <row r="2535" spans="1:7" x14ac:dyDescent="0.25">
      <c r="A2535" s="10" t="s">
        <v>1145</v>
      </c>
      <c r="B2535" s="10" t="s">
        <v>1389</v>
      </c>
      <c r="C2535" t="str">
        <f>Table13[[#This Row],[Manufacturer]]&amp;" "&amp;Table13[[#This Row],[Model]]</f>
        <v>Sturtevant Richmont M150</v>
      </c>
      <c r="D2535" s="1">
        <v>2</v>
      </c>
      <c r="E2535" s="1">
        <v>2</v>
      </c>
      <c r="F2535" s="38">
        <v>150</v>
      </c>
      <c r="G2535" t="s">
        <v>166</v>
      </c>
    </row>
    <row r="2536" spans="1:7" x14ac:dyDescent="0.25">
      <c r="A2536" s="10" t="s">
        <v>1145</v>
      </c>
      <c r="B2536" s="10" t="s">
        <v>1388</v>
      </c>
      <c r="C2536" t="str">
        <f>Table13[[#This Row],[Manufacturer]]&amp;" "&amp;Table13[[#This Row],[Model]]</f>
        <v>Sturtevant Richmont M160I0</v>
      </c>
      <c r="D2536" s="1">
        <v>2</v>
      </c>
      <c r="E2536" s="1">
        <v>2</v>
      </c>
      <c r="F2536" s="38">
        <v>160</v>
      </c>
      <c r="G2536" t="s">
        <v>172</v>
      </c>
    </row>
    <row r="2537" spans="1:7" x14ac:dyDescent="0.25">
      <c r="A2537" s="10" t="s">
        <v>1145</v>
      </c>
      <c r="B2537" s="10" t="s">
        <v>1387</v>
      </c>
      <c r="C2537" t="str">
        <f>Table13[[#This Row],[Manufacturer]]&amp;" "&amp;Table13[[#This Row],[Model]]</f>
        <v>Sturtevant Richmont M1800I</v>
      </c>
      <c r="D2537" s="1">
        <v>2</v>
      </c>
      <c r="E2537" s="1">
        <v>2</v>
      </c>
      <c r="F2537" s="38">
        <v>1800</v>
      </c>
      <c r="G2537" t="s">
        <v>164</v>
      </c>
    </row>
    <row r="2538" spans="1:7" x14ac:dyDescent="0.25">
      <c r="A2538" s="10" t="s">
        <v>1145</v>
      </c>
      <c r="B2538" s="10" t="s">
        <v>1386</v>
      </c>
      <c r="C2538" t="str">
        <f>Table13[[#This Row],[Manufacturer]]&amp;" "&amp;Table13[[#This Row],[Model]]</f>
        <v>Sturtevant Richmont M1NM</v>
      </c>
      <c r="D2538" s="1">
        <v>2</v>
      </c>
      <c r="E2538" s="1">
        <v>2</v>
      </c>
      <c r="F2538" s="38">
        <v>1</v>
      </c>
      <c r="G2538" t="s">
        <v>184</v>
      </c>
    </row>
    <row r="2539" spans="1:7" x14ac:dyDescent="0.25">
      <c r="A2539" s="10" t="s">
        <v>1145</v>
      </c>
      <c r="B2539" s="10" t="s">
        <v>1385</v>
      </c>
      <c r="C2539" t="str">
        <f>Table13[[#This Row],[Manufacturer]]&amp;" "&amp;Table13[[#This Row],[Model]]</f>
        <v>Sturtevant Richmont M2.5NM</v>
      </c>
      <c r="D2539" s="1">
        <v>2</v>
      </c>
      <c r="E2539" s="1">
        <v>2</v>
      </c>
      <c r="F2539" s="38">
        <v>2.5</v>
      </c>
      <c r="G2539" t="s">
        <v>184</v>
      </c>
    </row>
    <row r="2540" spans="1:7" x14ac:dyDescent="0.25">
      <c r="A2540" s="10" t="s">
        <v>1145</v>
      </c>
      <c r="B2540" s="10" t="s">
        <v>1384</v>
      </c>
      <c r="C2540" t="str">
        <f>Table13[[#This Row],[Manufacturer]]&amp;" "&amp;Table13[[#This Row],[Model]]</f>
        <v>Sturtevant Richmont M200</v>
      </c>
      <c r="D2540" s="1">
        <v>2</v>
      </c>
      <c r="E2540" s="1">
        <v>2</v>
      </c>
      <c r="F2540" s="38">
        <v>200</v>
      </c>
      <c r="G2540" t="s">
        <v>166</v>
      </c>
    </row>
    <row r="2541" spans="1:7" x14ac:dyDescent="0.25">
      <c r="A2541" s="10" t="s">
        <v>1145</v>
      </c>
      <c r="B2541" s="10" t="s">
        <v>1383</v>
      </c>
      <c r="C2541" t="str">
        <f>Table13[[#This Row],[Manufacturer]]&amp;" "&amp;Table13[[#This Row],[Model]]</f>
        <v>Sturtevant Richmont M200I</v>
      </c>
      <c r="D2541" s="1">
        <v>2</v>
      </c>
      <c r="E2541" s="1">
        <v>2</v>
      </c>
      <c r="F2541" s="38">
        <v>200</v>
      </c>
      <c r="G2541" t="s">
        <v>164</v>
      </c>
    </row>
    <row r="2542" spans="1:7" x14ac:dyDescent="0.25">
      <c r="A2542" s="10" t="s">
        <v>1145</v>
      </c>
      <c r="B2542" s="10" t="s">
        <v>1382</v>
      </c>
      <c r="C2542" t="str">
        <f>Table13[[#This Row],[Manufacturer]]&amp;" "&amp;Table13[[#This Row],[Model]]</f>
        <v>Sturtevant Richmont M210NM</v>
      </c>
      <c r="D2542" s="1">
        <v>2</v>
      </c>
      <c r="E2542" s="1">
        <v>2</v>
      </c>
      <c r="F2542" s="38">
        <v>210</v>
      </c>
      <c r="G2542" t="s">
        <v>184</v>
      </c>
    </row>
    <row r="2543" spans="1:7" x14ac:dyDescent="0.25">
      <c r="A2543" s="10" t="s">
        <v>1145</v>
      </c>
      <c r="B2543" s="10" t="s">
        <v>1381</v>
      </c>
      <c r="C2543" t="str">
        <f>Table13[[#This Row],[Manufacturer]]&amp;" "&amp;Table13[[#This Row],[Model]]</f>
        <v>Sturtevant Richmont M-210-NM</v>
      </c>
      <c r="D2543" s="1">
        <v>2</v>
      </c>
      <c r="E2543" s="1">
        <v>2</v>
      </c>
      <c r="F2543" s="38">
        <v>210</v>
      </c>
      <c r="G2543" t="s">
        <v>184</v>
      </c>
    </row>
    <row r="2544" spans="1:7" x14ac:dyDescent="0.25">
      <c r="A2544" s="10" t="s">
        <v>1145</v>
      </c>
      <c r="B2544" s="10" t="s">
        <v>1380</v>
      </c>
      <c r="C2544" t="str">
        <f>Table13[[#This Row],[Manufacturer]]&amp;" "&amp;Table13[[#This Row],[Model]]</f>
        <v>Sturtevant Richmont M21KGF.M</v>
      </c>
      <c r="D2544" s="1">
        <v>2</v>
      </c>
      <c r="E2544" s="1">
        <v>2</v>
      </c>
      <c r="F2544" s="38">
        <v>21</v>
      </c>
      <c r="G2544" t="s">
        <v>258</v>
      </c>
    </row>
    <row r="2545" spans="1:7" x14ac:dyDescent="0.25">
      <c r="A2545" s="10" t="s">
        <v>1145</v>
      </c>
      <c r="B2545" s="10" t="s">
        <v>1379</v>
      </c>
      <c r="C2545" t="str">
        <f>Table13[[#This Row],[Manufacturer]]&amp;" "&amp;Table13[[#This Row],[Model]]</f>
        <v>Sturtevant Richmont M22NM</v>
      </c>
      <c r="D2545" s="1">
        <v>2</v>
      </c>
      <c r="E2545" s="1">
        <v>2</v>
      </c>
      <c r="F2545" s="38">
        <v>22</v>
      </c>
      <c r="G2545" t="s">
        <v>184</v>
      </c>
    </row>
    <row r="2546" spans="1:7" x14ac:dyDescent="0.25">
      <c r="A2546" s="10" t="s">
        <v>1145</v>
      </c>
      <c r="B2546" s="10" t="s">
        <v>1378</v>
      </c>
      <c r="C2546" t="str">
        <f>Table13[[#This Row],[Manufacturer]]&amp;" "&amp;Table13[[#This Row],[Model]]</f>
        <v>Sturtevant Richmont M230KGF.CM</v>
      </c>
      <c r="D2546" s="1">
        <v>2</v>
      </c>
      <c r="E2546" s="1">
        <v>2</v>
      </c>
      <c r="F2546" s="38">
        <v>230</v>
      </c>
      <c r="G2546" t="s">
        <v>418</v>
      </c>
    </row>
    <row r="2547" spans="1:7" x14ac:dyDescent="0.25">
      <c r="A2547" s="10" t="s">
        <v>1145</v>
      </c>
      <c r="B2547" s="10" t="s">
        <v>1377</v>
      </c>
      <c r="C2547" t="str">
        <f>Table13[[#This Row],[Manufacturer]]&amp;" "&amp;Table13[[#This Row],[Model]]</f>
        <v>Sturtevant Richmont M25</v>
      </c>
      <c r="D2547" s="1">
        <v>2</v>
      </c>
      <c r="E2547" s="1">
        <v>2</v>
      </c>
      <c r="F2547" s="38">
        <v>25</v>
      </c>
      <c r="G2547" t="s">
        <v>166</v>
      </c>
    </row>
    <row r="2548" spans="1:7" x14ac:dyDescent="0.25">
      <c r="A2548" s="10" t="s">
        <v>1145</v>
      </c>
      <c r="B2548" s="10" t="s">
        <v>1376</v>
      </c>
      <c r="C2548" t="str">
        <f>Table13[[#This Row],[Manufacturer]]&amp;" "&amp;Table13[[#This Row],[Model]]</f>
        <v>Sturtevant Richmont M-25-1</v>
      </c>
      <c r="D2548" s="1">
        <v>2</v>
      </c>
      <c r="E2548" s="1">
        <v>2</v>
      </c>
      <c r="F2548" s="38">
        <v>25</v>
      </c>
      <c r="G2548" t="s">
        <v>164</v>
      </c>
    </row>
    <row r="2549" spans="1:7" x14ac:dyDescent="0.25">
      <c r="A2549" s="10" t="s">
        <v>1145</v>
      </c>
      <c r="B2549" s="10" t="s">
        <v>1375</v>
      </c>
      <c r="C2549" t="str">
        <f>Table13[[#This Row],[Manufacturer]]&amp;" "&amp;Table13[[#This Row],[Model]]</f>
        <v>Sturtevant Richmont M25I</v>
      </c>
      <c r="D2549" s="1">
        <v>2</v>
      </c>
      <c r="E2549" s="1">
        <v>2</v>
      </c>
      <c r="F2549" s="38">
        <v>25</v>
      </c>
      <c r="G2549" t="s">
        <v>164</v>
      </c>
    </row>
    <row r="2550" spans="1:7" x14ac:dyDescent="0.25">
      <c r="A2550" s="10" t="s">
        <v>1145</v>
      </c>
      <c r="B2550" s="10" t="s">
        <v>1374</v>
      </c>
      <c r="C2550" t="str">
        <f>Table13[[#This Row],[Manufacturer]]&amp;" "&amp;Table13[[#This Row],[Model]]</f>
        <v>Sturtevant Richmont M280NM</v>
      </c>
      <c r="D2550" s="1">
        <v>2</v>
      </c>
      <c r="E2550" s="1">
        <v>2</v>
      </c>
      <c r="F2550" s="38">
        <v>280</v>
      </c>
      <c r="G2550" t="s">
        <v>184</v>
      </c>
    </row>
    <row r="2551" spans="1:7" x14ac:dyDescent="0.25">
      <c r="A2551" s="10" t="s">
        <v>1145</v>
      </c>
      <c r="B2551" s="10" t="s">
        <v>1373</v>
      </c>
      <c r="C2551" t="str">
        <f>Table13[[#This Row],[Manufacturer]]&amp;" "&amp;Table13[[#This Row],[Model]]</f>
        <v>Sturtevant Richmont M28KGF.M</v>
      </c>
      <c r="D2551" s="1">
        <v>2</v>
      </c>
      <c r="E2551" s="1">
        <v>2</v>
      </c>
      <c r="F2551" s="38">
        <v>28</v>
      </c>
      <c r="G2551" t="s">
        <v>258</v>
      </c>
    </row>
    <row r="2552" spans="1:7" x14ac:dyDescent="0.25">
      <c r="A2552" s="10" t="s">
        <v>1145</v>
      </c>
      <c r="B2552" s="10" t="s">
        <v>1372</v>
      </c>
      <c r="C2552" t="str">
        <f>Table13[[#This Row],[Manufacturer]]&amp;" "&amp;Table13[[#This Row],[Model]]</f>
        <v>Sturtevant Richmont M29KGF.CM</v>
      </c>
      <c r="D2552" s="1">
        <v>2</v>
      </c>
      <c r="E2552" s="1">
        <v>2</v>
      </c>
      <c r="F2552" s="38">
        <v>29</v>
      </c>
      <c r="G2552" t="s">
        <v>418</v>
      </c>
    </row>
    <row r="2553" spans="1:7" x14ac:dyDescent="0.25">
      <c r="A2553" s="10" t="s">
        <v>1145</v>
      </c>
      <c r="B2553" s="10" t="s">
        <v>1371</v>
      </c>
      <c r="C2553" t="str">
        <f>Table13[[#This Row],[Manufacturer]]&amp;" "&amp;Table13[[#This Row],[Model]]</f>
        <v>Sturtevant Richmont M300</v>
      </c>
      <c r="D2553" s="1">
        <v>2</v>
      </c>
      <c r="E2553" s="1">
        <v>2</v>
      </c>
      <c r="F2553" s="38">
        <v>300</v>
      </c>
      <c r="G2553" t="s">
        <v>166</v>
      </c>
    </row>
    <row r="2554" spans="1:7" x14ac:dyDescent="0.25">
      <c r="A2554" s="10" t="s">
        <v>1145</v>
      </c>
      <c r="B2554" s="10" t="s">
        <v>1370</v>
      </c>
      <c r="C2554" t="str">
        <f>Table13[[#This Row],[Manufacturer]]&amp;" "&amp;Table13[[#This Row],[Model]]</f>
        <v>Sturtevant Richmont M300I</v>
      </c>
      <c r="D2554" s="1">
        <v>2</v>
      </c>
      <c r="E2554" s="1">
        <v>2</v>
      </c>
      <c r="F2554" s="38">
        <v>300</v>
      </c>
      <c r="G2554" t="s">
        <v>164</v>
      </c>
    </row>
    <row r="2555" spans="1:7" x14ac:dyDescent="0.25">
      <c r="A2555" s="10" t="s">
        <v>1145</v>
      </c>
      <c r="B2555" s="10" t="s">
        <v>1369</v>
      </c>
      <c r="C2555" t="str">
        <f>Table13[[#This Row],[Manufacturer]]&amp;" "&amp;Table13[[#This Row],[Model]]</f>
        <v>Sturtevant Richmont M32I0</v>
      </c>
      <c r="D2555" s="1">
        <v>2</v>
      </c>
      <c r="E2555" s="1">
        <v>2</v>
      </c>
      <c r="F2555" s="38">
        <v>32</v>
      </c>
      <c r="G2555" t="s">
        <v>172</v>
      </c>
    </row>
    <row r="2556" spans="1:7" x14ac:dyDescent="0.25">
      <c r="A2556" s="10" t="s">
        <v>1145</v>
      </c>
      <c r="B2556" s="10" t="s">
        <v>1368</v>
      </c>
      <c r="C2556" t="str">
        <f>Table13[[#This Row],[Manufacturer]]&amp;" "&amp;Table13[[#This Row],[Model]]</f>
        <v>Sturtevant Richmont M34NM</v>
      </c>
      <c r="D2556" s="1">
        <v>2</v>
      </c>
      <c r="E2556" s="1">
        <v>2</v>
      </c>
      <c r="F2556" s="38">
        <v>34</v>
      </c>
      <c r="G2556" t="s">
        <v>184</v>
      </c>
    </row>
    <row r="2557" spans="1:7" x14ac:dyDescent="0.25">
      <c r="A2557" s="10" t="s">
        <v>1145</v>
      </c>
      <c r="B2557" s="10" t="s">
        <v>1367</v>
      </c>
      <c r="C2557" t="str">
        <f>Table13[[#This Row],[Manufacturer]]&amp;" "&amp;Table13[[#This Row],[Model]]</f>
        <v>Sturtevant Richmont M350KGF.CM</v>
      </c>
      <c r="D2557" s="1">
        <v>2</v>
      </c>
      <c r="E2557" s="1">
        <v>2</v>
      </c>
      <c r="F2557" s="38">
        <v>350</v>
      </c>
      <c r="G2557" t="s">
        <v>418</v>
      </c>
    </row>
    <row r="2558" spans="1:7" x14ac:dyDescent="0.25">
      <c r="A2558" s="10" t="s">
        <v>1145</v>
      </c>
      <c r="B2558" s="10" t="s">
        <v>1366</v>
      </c>
      <c r="C2558" t="str">
        <f>Table13[[#This Row],[Manufacturer]]&amp;" "&amp;Table13[[#This Row],[Model]]</f>
        <v>Sturtevant Richmont M410NM</v>
      </c>
      <c r="D2558" s="1">
        <v>2</v>
      </c>
      <c r="E2558" s="1">
        <v>2</v>
      </c>
      <c r="F2558" s="38">
        <v>410</v>
      </c>
      <c r="G2558" t="s">
        <v>184</v>
      </c>
    </row>
    <row r="2559" spans="1:7" x14ac:dyDescent="0.25">
      <c r="A2559" s="10" t="s">
        <v>1145</v>
      </c>
      <c r="B2559" s="10" t="s">
        <v>1365</v>
      </c>
      <c r="C2559" t="str">
        <f>Table13[[#This Row],[Manufacturer]]&amp;" "&amp;Table13[[#This Row],[Model]]</f>
        <v>Sturtevant Richmont M42KGF.M</v>
      </c>
      <c r="D2559" s="1">
        <v>2</v>
      </c>
      <c r="E2559" s="1">
        <v>2</v>
      </c>
      <c r="F2559" s="38">
        <v>42</v>
      </c>
      <c r="G2559" t="s">
        <v>258</v>
      </c>
    </row>
    <row r="2560" spans="1:7" x14ac:dyDescent="0.25">
      <c r="A2560" s="10" t="s">
        <v>1145</v>
      </c>
      <c r="B2560" s="10" t="s">
        <v>1364</v>
      </c>
      <c r="C2560" t="str">
        <f>Table13[[#This Row],[Manufacturer]]&amp;" "&amp;Table13[[#This Row],[Model]]</f>
        <v>Sturtevant Richmont M50</v>
      </c>
      <c r="D2560" s="1">
        <v>2</v>
      </c>
      <c r="E2560" s="1">
        <v>2</v>
      </c>
      <c r="F2560" s="38">
        <v>50</v>
      </c>
      <c r="G2560" t="s">
        <v>166</v>
      </c>
    </row>
    <row r="2561" spans="1:7" x14ac:dyDescent="0.25">
      <c r="A2561" s="10" t="s">
        <v>1145</v>
      </c>
      <c r="B2561" s="10" t="s">
        <v>1363</v>
      </c>
      <c r="C2561" t="str">
        <f>Table13[[#This Row],[Manufacturer]]&amp;" "&amp;Table13[[#This Row],[Model]]</f>
        <v>Sturtevant Richmont M50I</v>
      </c>
      <c r="D2561" s="1">
        <v>2</v>
      </c>
      <c r="E2561" s="1">
        <v>2</v>
      </c>
      <c r="F2561" s="38">
        <v>50</v>
      </c>
      <c r="G2561" t="s">
        <v>164</v>
      </c>
    </row>
    <row r="2562" spans="1:7" x14ac:dyDescent="0.25">
      <c r="A2562" s="10" t="s">
        <v>1145</v>
      </c>
      <c r="B2562" s="10" t="s">
        <v>1362</v>
      </c>
      <c r="C2562" t="str">
        <f>Table13[[#This Row],[Manufacturer]]&amp;" "&amp;Table13[[#This Row],[Model]]</f>
        <v>Sturtevant Richmont M56CNM</v>
      </c>
      <c r="D2562" s="1">
        <v>2</v>
      </c>
      <c r="E2562" s="1">
        <v>2</v>
      </c>
      <c r="F2562" s="38">
        <v>50</v>
      </c>
      <c r="G2562" t="s">
        <v>187</v>
      </c>
    </row>
    <row r="2563" spans="1:7" x14ac:dyDescent="0.25">
      <c r="A2563" s="10" t="s">
        <v>1145</v>
      </c>
      <c r="B2563" s="10" t="s">
        <v>1361</v>
      </c>
      <c r="C2563" t="str">
        <f>Table13[[#This Row],[Manufacturer]]&amp;" "&amp;Table13[[#This Row],[Model]]</f>
        <v>Sturtevant Richmont M56DNM</v>
      </c>
      <c r="D2563" s="1">
        <v>2</v>
      </c>
      <c r="E2563" s="1">
        <v>2</v>
      </c>
      <c r="F2563" s="38">
        <v>56</v>
      </c>
      <c r="G2563" t="s">
        <v>1360</v>
      </c>
    </row>
    <row r="2564" spans="1:7" x14ac:dyDescent="0.25">
      <c r="A2564" s="10" t="s">
        <v>1145</v>
      </c>
      <c r="B2564" s="10" t="s">
        <v>1359</v>
      </c>
      <c r="C2564" t="str">
        <f>Table13[[#This Row],[Manufacturer]]&amp;" "&amp;Table13[[#This Row],[Model]]</f>
        <v>Sturtevant Richmont M58KGF.CM</v>
      </c>
      <c r="D2564" s="1">
        <v>2</v>
      </c>
      <c r="E2564" s="1">
        <v>2</v>
      </c>
      <c r="F2564" s="38">
        <v>58</v>
      </c>
      <c r="G2564" t="s">
        <v>418</v>
      </c>
    </row>
    <row r="2565" spans="1:7" x14ac:dyDescent="0.25">
      <c r="A2565" s="10" t="s">
        <v>1145</v>
      </c>
      <c r="B2565" s="10" t="s">
        <v>1358</v>
      </c>
      <c r="C2565" t="str">
        <f>Table13[[#This Row],[Manufacturer]]&amp;" "&amp;Table13[[#This Row],[Model]]</f>
        <v>Sturtevant Richmont M5I</v>
      </c>
      <c r="D2565" s="1">
        <v>2</v>
      </c>
      <c r="E2565" s="1">
        <v>2</v>
      </c>
      <c r="F2565" s="38">
        <v>5</v>
      </c>
      <c r="G2565" t="s">
        <v>164</v>
      </c>
    </row>
    <row r="2566" spans="1:7" x14ac:dyDescent="0.25">
      <c r="A2566" s="10" t="s">
        <v>1145</v>
      </c>
      <c r="B2566" s="10" t="s">
        <v>1357</v>
      </c>
      <c r="C2566" t="str">
        <f>Table13[[#This Row],[Manufacturer]]&amp;" "&amp;Table13[[#This Row],[Model]]</f>
        <v>Sturtevant Richmont M5NM</v>
      </c>
      <c r="D2566" s="1">
        <v>2</v>
      </c>
      <c r="E2566" s="1">
        <v>2</v>
      </c>
      <c r="F2566" s="38">
        <v>5</v>
      </c>
      <c r="G2566" t="s">
        <v>184</v>
      </c>
    </row>
    <row r="2567" spans="1:7" x14ac:dyDescent="0.25">
      <c r="A2567" s="10" t="s">
        <v>1145</v>
      </c>
      <c r="B2567" s="10" t="s">
        <v>1356</v>
      </c>
      <c r="C2567" t="str">
        <f>Table13[[#This Row],[Manufacturer]]&amp;" "&amp;Table13[[#This Row],[Model]]</f>
        <v>Sturtevant Richmont M600I</v>
      </c>
      <c r="D2567" s="1">
        <v>2</v>
      </c>
      <c r="E2567" s="1">
        <v>2</v>
      </c>
      <c r="F2567" s="38">
        <v>600</v>
      </c>
      <c r="G2567" t="s">
        <v>164</v>
      </c>
    </row>
    <row r="2568" spans="1:7" x14ac:dyDescent="0.25">
      <c r="A2568" s="10" t="s">
        <v>1145</v>
      </c>
      <c r="B2568" s="10" t="s">
        <v>1355</v>
      </c>
      <c r="C2568" t="str">
        <f>Table13[[#This Row],[Manufacturer]]&amp;" "&amp;Table13[[#This Row],[Model]]</f>
        <v>Sturtevant Richmont M600R</v>
      </c>
      <c r="D2568" s="1">
        <v>2</v>
      </c>
      <c r="E2568" s="1">
        <v>2</v>
      </c>
      <c r="F2568" s="38">
        <v>600</v>
      </c>
      <c r="G2568" t="s">
        <v>166</v>
      </c>
    </row>
    <row r="2569" spans="1:7" x14ac:dyDescent="0.25">
      <c r="A2569" s="10" t="s">
        <v>1145</v>
      </c>
      <c r="B2569" s="10" t="s">
        <v>1354</v>
      </c>
      <c r="C2569" t="str">
        <f>Table13[[#This Row],[Manufacturer]]&amp;" "&amp;Table13[[#This Row],[Model]]</f>
        <v>Sturtevant Richmont M700KGF.CM</v>
      </c>
      <c r="D2569" s="1">
        <v>2</v>
      </c>
      <c r="E2569" s="1">
        <v>2</v>
      </c>
      <c r="F2569" s="38">
        <v>700</v>
      </c>
      <c r="G2569" t="s">
        <v>418</v>
      </c>
    </row>
    <row r="2570" spans="1:7" x14ac:dyDescent="0.25">
      <c r="A2570" s="10" t="s">
        <v>1145</v>
      </c>
      <c r="B2570" s="10" t="s">
        <v>1353</v>
      </c>
      <c r="C2570" t="str">
        <f>Table13[[#This Row],[Manufacturer]]&amp;" "&amp;Table13[[#This Row],[Model]]</f>
        <v>Sturtevant Richmont M70NM</v>
      </c>
      <c r="D2570" s="1">
        <v>2</v>
      </c>
      <c r="E2570" s="1">
        <v>2</v>
      </c>
      <c r="F2570" s="38">
        <v>70</v>
      </c>
      <c r="G2570" t="s">
        <v>184</v>
      </c>
    </row>
    <row r="2571" spans="1:7" x14ac:dyDescent="0.25">
      <c r="A2571" s="10" t="s">
        <v>1145</v>
      </c>
      <c r="B2571" s="10" t="s">
        <v>1352</v>
      </c>
      <c r="C2571" t="str">
        <f>Table13[[#This Row],[Manufacturer]]&amp;" "&amp;Table13[[#This Row],[Model]]</f>
        <v>Sturtevant Richmont M80I0</v>
      </c>
      <c r="D2571" s="1">
        <v>2</v>
      </c>
      <c r="E2571" s="1">
        <v>2</v>
      </c>
      <c r="F2571" s="38">
        <v>80</v>
      </c>
      <c r="G2571" t="s">
        <v>172</v>
      </c>
    </row>
    <row r="2572" spans="1:7" x14ac:dyDescent="0.25">
      <c r="A2572" s="10" t="s">
        <v>1145</v>
      </c>
      <c r="B2572" s="10" t="s">
        <v>1351</v>
      </c>
      <c r="C2572" t="str">
        <f>Table13[[#This Row],[Manufacturer]]&amp;" "&amp;Table13[[#This Row],[Model]]</f>
        <v>Sturtevant Richmont M825RNM</v>
      </c>
      <c r="D2572" s="1">
        <v>2</v>
      </c>
      <c r="E2572" s="1">
        <v>2</v>
      </c>
      <c r="F2572" s="38">
        <v>825</v>
      </c>
      <c r="G2572" t="s">
        <v>184</v>
      </c>
    </row>
    <row r="2573" spans="1:7" x14ac:dyDescent="0.25">
      <c r="A2573" s="10" t="s">
        <v>1145</v>
      </c>
      <c r="B2573" s="10" t="s">
        <v>1350</v>
      </c>
      <c r="C2573" t="str">
        <f>Table13[[#This Row],[Manufacturer]]&amp;" "&amp;Table13[[#This Row],[Model]]</f>
        <v>Sturtevant Richmont MD1000</v>
      </c>
      <c r="D2573" s="1">
        <v>3</v>
      </c>
      <c r="E2573" s="1">
        <v>3</v>
      </c>
      <c r="F2573" s="38">
        <v>1000</v>
      </c>
      <c r="G2573" t="s">
        <v>166</v>
      </c>
    </row>
    <row r="2574" spans="1:7" x14ac:dyDescent="0.25">
      <c r="A2574" s="10" t="s">
        <v>1145</v>
      </c>
      <c r="B2574" s="10" t="s">
        <v>1349</v>
      </c>
      <c r="C2574" t="str">
        <f>Table13[[#This Row],[Manufacturer]]&amp;" "&amp;Table13[[#This Row],[Model]]</f>
        <v>Sturtevant Richmont MD150</v>
      </c>
      <c r="D2574" s="1">
        <v>3</v>
      </c>
      <c r="E2574" s="1">
        <v>3</v>
      </c>
      <c r="F2574" s="38">
        <v>150</v>
      </c>
      <c r="G2574" t="s">
        <v>166</v>
      </c>
    </row>
    <row r="2575" spans="1:7" x14ac:dyDescent="0.25">
      <c r="A2575" s="10" t="s">
        <v>1145</v>
      </c>
      <c r="B2575" s="10" t="s">
        <v>1348</v>
      </c>
      <c r="C2575" t="str">
        <f>Table13[[#This Row],[Manufacturer]]&amp;" "&amp;Table13[[#This Row],[Model]]</f>
        <v>Sturtevant Richmont MD150I</v>
      </c>
      <c r="D2575" s="1">
        <v>3</v>
      </c>
      <c r="E2575" s="1">
        <v>3</v>
      </c>
      <c r="F2575" s="38">
        <v>150</v>
      </c>
      <c r="G2575" t="s">
        <v>164</v>
      </c>
    </row>
    <row r="2576" spans="1:7" x14ac:dyDescent="0.25">
      <c r="A2576" s="10" t="s">
        <v>1145</v>
      </c>
      <c r="B2576" s="10" t="s">
        <v>1347</v>
      </c>
      <c r="C2576" t="str">
        <f>Table13[[#This Row],[Manufacturer]]&amp;" "&amp;Table13[[#This Row],[Model]]</f>
        <v>Sturtevant Richmont MD15NM</v>
      </c>
      <c r="D2576" s="1">
        <v>3</v>
      </c>
      <c r="E2576" s="1">
        <v>3</v>
      </c>
      <c r="F2576" s="38">
        <v>15</v>
      </c>
      <c r="G2576" t="s">
        <v>184</v>
      </c>
    </row>
    <row r="2577" spans="1:7" x14ac:dyDescent="0.25">
      <c r="A2577" s="10" t="s">
        <v>1145</v>
      </c>
      <c r="B2577" s="10" t="s">
        <v>1346</v>
      </c>
      <c r="C2577" t="str">
        <f>Table13[[#This Row],[Manufacturer]]&amp;" "&amp;Table13[[#This Row],[Model]]</f>
        <v>Sturtevant Richmont MD175KGF.CM</v>
      </c>
      <c r="D2577" s="1">
        <v>3</v>
      </c>
      <c r="E2577" s="1">
        <v>3</v>
      </c>
      <c r="F2577" s="38">
        <v>175</v>
      </c>
      <c r="G2577" t="s">
        <v>418</v>
      </c>
    </row>
    <row r="2578" spans="1:7" x14ac:dyDescent="0.25">
      <c r="A2578" s="10" t="s">
        <v>1145</v>
      </c>
      <c r="B2578" s="10" t="s">
        <v>1345</v>
      </c>
      <c r="C2578" t="str">
        <f>Table13[[#This Row],[Manufacturer]]&amp;" "&amp;Table13[[#This Row],[Model]]</f>
        <v>Sturtevant Richmont MD200NM</v>
      </c>
      <c r="D2578" s="1">
        <v>3</v>
      </c>
      <c r="E2578" s="1">
        <v>3</v>
      </c>
      <c r="F2578" s="38">
        <v>200</v>
      </c>
      <c r="G2578" t="s">
        <v>184</v>
      </c>
    </row>
    <row r="2579" spans="1:7" x14ac:dyDescent="0.25">
      <c r="A2579" s="10" t="s">
        <v>1145</v>
      </c>
      <c r="B2579" s="10" t="s">
        <v>1344</v>
      </c>
      <c r="C2579" t="str">
        <f>Table13[[#This Row],[Manufacturer]]&amp;" "&amp;Table13[[#This Row],[Model]]</f>
        <v>Sturtevant Richmont MD20KGF.M</v>
      </c>
      <c r="D2579" s="1">
        <v>3</v>
      </c>
      <c r="E2579" s="1">
        <v>3</v>
      </c>
      <c r="F2579" s="38">
        <v>20</v>
      </c>
      <c r="G2579" t="s">
        <v>258</v>
      </c>
    </row>
    <row r="2580" spans="1:7" x14ac:dyDescent="0.25">
      <c r="A2580" s="10" t="s">
        <v>1145</v>
      </c>
      <c r="B2580" s="10" t="s">
        <v>1343</v>
      </c>
      <c r="C2580" t="str">
        <f>Table13[[#This Row],[Manufacturer]]&amp;" "&amp;Table13[[#This Row],[Model]]</f>
        <v>Sturtevant Richmont MD250</v>
      </c>
      <c r="D2580" s="1">
        <v>3</v>
      </c>
      <c r="E2580" s="1">
        <v>3</v>
      </c>
      <c r="F2580" s="38">
        <v>250</v>
      </c>
      <c r="G2580" t="s">
        <v>166</v>
      </c>
    </row>
    <row r="2581" spans="1:7" x14ac:dyDescent="0.25">
      <c r="A2581" s="10" t="s">
        <v>1145</v>
      </c>
      <c r="B2581" s="10" t="s">
        <v>1342</v>
      </c>
      <c r="C2581" t="str">
        <f>Table13[[#This Row],[Manufacturer]]&amp;" "&amp;Table13[[#This Row],[Model]]</f>
        <v>Sturtevant Richmont MD300I</v>
      </c>
      <c r="D2581" s="1">
        <v>3</v>
      </c>
      <c r="E2581" s="1">
        <v>3</v>
      </c>
      <c r="F2581" s="38">
        <v>300</v>
      </c>
      <c r="G2581" t="s">
        <v>164</v>
      </c>
    </row>
    <row r="2582" spans="1:7" x14ac:dyDescent="0.25">
      <c r="A2582" s="10" t="s">
        <v>1145</v>
      </c>
      <c r="B2582" s="10" t="s">
        <v>1341</v>
      </c>
      <c r="C2582" t="str">
        <f>Table13[[#This Row],[Manufacturer]]&amp;" "&amp;Table13[[#This Row],[Model]]</f>
        <v>Sturtevant Richmont MD300KGF.CM</v>
      </c>
      <c r="D2582" s="1">
        <v>3</v>
      </c>
      <c r="E2582" s="1">
        <v>3</v>
      </c>
      <c r="F2582" s="38">
        <v>300</v>
      </c>
      <c r="G2582" t="s">
        <v>418</v>
      </c>
    </row>
    <row r="2583" spans="1:7" x14ac:dyDescent="0.25">
      <c r="A2583" s="10" t="s">
        <v>1145</v>
      </c>
      <c r="B2583" s="10" t="s">
        <v>1340</v>
      </c>
      <c r="C2583" t="str">
        <f>Table13[[#This Row],[Manufacturer]]&amp;" "&amp;Table13[[#This Row],[Model]]</f>
        <v>Sturtevant Richmont MD350NM</v>
      </c>
      <c r="D2583" s="1">
        <v>3</v>
      </c>
      <c r="E2583" s="1">
        <v>3</v>
      </c>
      <c r="F2583" s="38">
        <v>350</v>
      </c>
      <c r="G2583" t="s">
        <v>184</v>
      </c>
    </row>
    <row r="2584" spans="1:7" x14ac:dyDescent="0.25">
      <c r="A2584" s="10" t="s">
        <v>1145</v>
      </c>
      <c r="B2584" s="10" t="s">
        <v>1339</v>
      </c>
      <c r="C2584" t="str">
        <f>Table13[[#This Row],[Manufacturer]]&amp;" "&amp;Table13[[#This Row],[Model]]</f>
        <v>Sturtevant Richmont MD35KGF.M</v>
      </c>
      <c r="D2584" s="1">
        <v>3</v>
      </c>
      <c r="E2584" s="1">
        <v>3</v>
      </c>
      <c r="F2584" s="38">
        <v>35</v>
      </c>
      <c r="G2584" t="s">
        <v>258</v>
      </c>
    </row>
    <row r="2585" spans="1:7" x14ac:dyDescent="0.25">
      <c r="A2585" s="10" t="s">
        <v>1145</v>
      </c>
      <c r="B2585" s="10" t="s">
        <v>1338</v>
      </c>
      <c r="C2585" t="str">
        <f>Table13[[#This Row],[Manufacturer]]&amp;" "&amp;Table13[[#This Row],[Model]]</f>
        <v>Sturtevant Richmont MD35NM</v>
      </c>
      <c r="D2585" s="1">
        <v>3</v>
      </c>
      <c r="E2585" s="1">
        <v>3</v>
      </c>
      <c r="F2585" s="38">
        <v>35</v>
      </c>
      <c r="G2585" t="s">
        <v>184</v>
      </c>
    </row>
    <row r="2586" spans="1:7" x14ac:dyDescent="0.25">
      <c r="A2586" s="10" t="s">
        <v>1145</v>
      </c>
      <c r="B2586" s="10" t="s">
        <v>1337</v>
      </c>
      <c r="C2586" t="str">
        <f>Table13[[#This Row],[Manufacturer]]&amp;" "&amp;Table13[[#This Row],[Model]]</f>
        <v>Sturtevant Richmont MD50I</v>
      </c>
      <c r="D2586" s="1">
        <v>3</v>
      </c>
      <c r="E2586" s="1">
        <v>3</v>
      </c>
      <c r="F2586" s="38">
        <v>50</v>
      </c>
      <c r="G2586" t="s">
        <v>164</v>
      </c>
    </row>
    <row r="2587" spans="1:7" x14ac:dyDescent="0.25">
      <c r="A2587" s="10" t="s">
        <v>1145</v>
      </c>
      <c r="B2587" s="10" t="s">
        <v>1336</v>
      </c>
      <c r="C2587" t="str">
        <f>Table13[[#This Row],[Manufacturer]]&amp;" "&amp;Table13[[#This Row],[Model]]</f>
        <v>Sturtevant Richmont MD600</v>
      </c>
      <c r="D2587" s="1">
        <v>3</v>
      </c>
      <c r="E2587" s="1">
        <v>3</v>
      </c>
      <c r="F2587" s="38">
        <v>600</v>
      </c>
      <c r="G2587" t="s">
        <v>166</v>
      </c>
    </row>
    <row r="2588" spans="1:7" x14ac:dyDescent="0.25">
      <c r="A2588" s="10" t="s">
        <v>1145</v>
      </c>
      <c r="B2588" s="10" t="s">
        <v>1335</v>
      </c>
      <c r="C2588" t="str">
        <f>Table13[[#This Row],[Manufacturer]]&amp;" "&amp;Table13[[#This Row],[Model]]</f>
        <v>Sturtevant Richmont MD600I</v>
      </c>
      <c r="D2588" s="1">
        <v>3</v>
      </c>
      <c r="E2588" s="1">
        <v>3</v>
      </c>
      <c r="F2588" s="38">
        <v>600</v>
      </c>
      <c r="G2588" t="s">
        <v>164</v>
      </c>
    </row>
    <row r="2589" spans="1:7" x14ac:dyDescent="0.25">
      <c r="A2589" s="10" t="s">
        <v>1145</v>
      </c>
      <c r="B2589" s="10" t="s">
        <v>1334</v>
      </c>
      <c r="C2589" t="str">
        <f>Table13[[#This Row],[Manufacturer]]&amp;" "&amp;Table13[[#This Row],[Model]]</f>
        <v>Sturtevant Richmont MD60KGF.CM</v>
      </c>
      <c r="D2589" s="1">
        <v>3</v>
      </c>
      <c r="E2589" s="1">
        <v>3</v>
      </c>
      <c r="F2589" s="38">
        <v>60</v>
      </c>
      <c r="G2589" t="s">
        <v>418</v>
      </c>
    </row>
    <row r="2590" spans="1:7" x14ac:dyDescent="0.25">
      <c r="A2590" s="10" t="s">
        <v>1145</v>
      </c>
      <c r="B2590" s="10" t="s">
        <v>1333</v>
      </c>
      <c r="C2590" t="str">
        <f>Table13[[#This Row],[Manufacturer]]&amp;" "&amp;Table13[[#This Row],[Model]]</f>
        <v>Sturtevant Richmont MD6NM</v>
      </c>
      <c r="D2590" s="1">
        <v>3</v>
      </c>
      <c r="E2590" s="1">
        <v>3</v>
      </c>
      <c r="F2590" s="38">
        <v>6</v>
      </c>
      <c r="G2590" t="s">
        <v>184</v>
      </c>
    </row>
    <row r="2591" spans="1:7" x14ac:dyDescent="0.25">
      <c r="A2591" s="10" t="s">
        <v>1145</v>
      </c>
      <c r="B2591" s="10" t="s">
        <v>1332</v>
      </c>
      <c r="C2591" t="str">
        <f>Table13[[#This Row],[Manufacturer]]&amp;" "&amp;Table13[[#This Row],[Model]]</f>
        <v>Sturtevant Richmont MD700KGF.CM</v>
      </c>
      <c r="D2591" s="1">
        <v>3</v>
      </c>
      <c r="E2591" s="1">
        <v>3</v>
      </c>
      <c r="F2591" s="38">
        <v>700</v>
      </c>
      <c r="G2591" t="s">
        <v>418</v>
      </c>
    </row>
    <row r="2592" spans="1:7" x14ac:dyDescent="0.25">
      <c r="A2592" s="10" t="s">
        <v>1145</v>
      </c>
      <c r="B2592" s="10" t="s">
        <v>1331</v>
      </c>
      <c r="C2592" t="str">
        <f>Table13[[#This Row],[Manufacturer]]&amp;" "&amp;Table13[[#This Row],[Model]]</f>
        <v>Sturtevant Richmont MD-70-50</v>
      </c>
      <c r="D2592" s="1">
        <v>2</v>
      </c>
      <c r="E2592" s="1">
        <v>2</v>
      </c>
      <c r="F2592" s="38">
        <v>70</v>
      </c>
      <c r="G2592" t="s">
        <v>184</v>
      </c>
    </row>
    <row r="2593" spans="1:7" x14ac:dyDescent="0.25">
      <c r="A2593" s="10" t="s">
        <v>1145</v>
      </c>
      <c r="B2593" s="10" t="s">
        <v>1330</v>
      </c>
      <c r="C2593" t="str">
        <f>Table13[[#This Row],[Manufacturer]]&amp;" "&amp;Table13[[#This Row],[Model]]</f>
        <v>Sturtevant Richmont MD70NM</v>
      </c>
      <c r="D2593" s="1">
        <v>3</v>
      </c>
      <c r="E2593" s="1">
        <v>3</v>
      </c>
      <c r="F2593" s="38">
        <v>70</v>
      </c>
      <c r="G2593" t="s">
        <v>184</v>
      </c>
    </row>
    <row r="2594" spans="1:7" x14ac:dyDescent="0.25">
      <c r="A2594" s="10" t="s">
        <v>1145</v>
      </c>
      <c r="B2594" s="10" t="s">
        <v>1329</v>
      </c>
      <c r="C2594" t="str">
        <f>Table13[[#This Row],[Manufacturer]]&amp;" "&amp;Table13[[#This Row],[Model]]</f>
        <v>Sturtevant Richmont MD800NM</v>
      </c>
      <c r="D2594" s="1">
        <v>3</v>
      </c>
      <c r="E2594" s="1">
        <v>3</v>
      </c>
      <c r="F2594" s="38">
        <v>800</v>
      </c>
      <c r="G2594" t="s">
        <v>184</v>
      </c>
    </row>
    <row r="2595" spans="1:7" x14ac:dyDescent="0.25">
      <c r="A2595" s="10" t="s">
        <v>1145</v>
      </c>
      <c r="B2595" s="10" t="s">
        <v>1328</v>
      </c>
      <c r="C2595" t="str">
        <f>Table13[[#This Row],[Manufacturer]]&amp;" "&amp;Table13[[#This Row],[Model]]</f>
        <v>Sturtevant Richmont MD85KGF.CM</v>
      </c>
      <c r="D2595" s="1">
        <v>3</v>
      </c>
      <c r="E2595" s="1">
        <v>3</v>
      </c>
      <c r="F2595" s="38">
        <v>85</v>
      </c>
      <c r="G2595" t="s">
        <v>418</v>
      </c>
    </row>
    <row r="2596" spans="1:7" x14ac:dyDescent="0.25">
      <c r="A2596" s="10" t="s">
        <v>1145</v>
      </c>
      <c r="B2596" s="10" t="s">
        <v>1327</v>
      </c>
      <c r="C2596" t="str">
        <f>Table13[[#This Row],[Manufacturer]]&amp;" "&amp;Table13[[#This Row],[Model]]</f>
        <v>Sturtevant Richmont S100</v>
      </c>
      <c r="D2596" s="1">
        <v>2</v>
      </c>
      <c r="E2596" s="1">
        <v>2</v>
      </c>
      <c r="F2596" s="38">
        <v>100</v>
      </c>
      <c r="G2596" t="s">
        <v>166</v>
      </c>
    </row>
    <row r="2597" spans="1:7" x14ac:dyDescent="0.25">
      <c r="A2597" s="10" t="s">
        <v>1145</v>
      </c>
      <c r="B2597" s="10" t="s">
        <v>1326</v>
      </c>
      <c r="C2597" t="str">
        <f>Table13[[#This Row],[Manufacturer]]&amp;" "&amp;Table13[[#This Row],[Model]]</f>
        <v>Sturtevant Richmont S100I</v>
      </c>
      <c r="D2597" s="1">
        <v>2</v>
      </c>
      <c r="E2597" s="1">
        <v>2</v>
      </c>
      <c r="F2597" s="38">
        <v>100</v>
      </c>
      <c r="G2597" t="s">
        <v>164</v>
      </c>
    </row>
    <row r="2598" spans="1:7" x14ac:dyDescent="0.25">
      <c r="A2598" s="10" t="s">
        <v>1145</v>
      </c>
      <c r="B2598" s="10" t="s">
        <v>1325</v>
      </c>
      <c r="C2598" t="str">
        <f>Table13[[#This Row],[Manufacturer]]&amp;" "&amp;Table13[[#This Row],[Model]]</f>
        <v>Sturtevant Richmont S1200I</v>
      </c>
      <c r="D2598" s="1">
        <v>2</v>
      </c>
      <c r="E2598" s="1">
        <v>2</v>
      </c>
      <c r="F2598" s="38">
        <v>1200</v>
      </c>
      <c r="G2598" t="s">
        <v>164</v>
      </c>
    </row>
    <row r="2599" spans="1:7" x14ac:dyDescent="0.25">
      <c r="A2599" s="10" t="s">
        <v>1145</v>
      </c>
      <c r="B2599" s="10" t="s">
        <v>1324</v>
      </c>
      <c r="C2599" t="str">
        <f>Table13[[#This Row],[Manufacturer]]&amp;" "&amp;Table13[[#This Row],[Model]]</f>
        <v>Sturtevant Richmont S150</v>
      </c>
      <c r="D2599" s="1">
        <v>2</v>
      </c>
      <c r="E2599" s="1">
        <v>2</v>
      </c>
      <c r="F2599" s="38">
        <v>150</v>
      </c>
      <c r="G2599" t="s">
        <v>166</v>
      </c>
    </row>
    <row r="2600" spans="1:7" x14ac:dyDescent="0.25">
      <c r="A2600" s="10" t="s">
        <v>1145</v>
      </c>
      <c r="B2600" s="10" t="s">
        <v>1323</v>
      </c>
      <c r="C2600" t="str">
        <f>Table13[[#This Row],[Manufacturer]]&amp;" "&amp;Table13[[#This Row],[Model]]</f>
        <v>Sturtevant Richmont S1800I</v>
      </c>
      <c r="D2600" s="1">
        <v>2</v>
      </c>
      <c r="E2600" s="1">
        <v>2</v>
      </c>
      <c r="F2600" s="38">
        <v>1800</v>
      </c>
      <c r="G2600" t="s">
        <v>164</v>
      </c>
    </row>
    <row r="2601" spans="1:7" x14ac:dyDescent="0.25">
      <c r="A2601" s="10" t="s">
        <v>1145</v>
      </c>
      <c r="B2601" s="10" t="s">
        <v>1322</v>
      </c>
      <c r="C2601" t="str">
        <f>Table13[[#This Row],[Manufacturer]]&amp;" "&amp;Table13[[#This Row],[Model]]</f>
        <v>Sturtevant Richmont S200</v>
      </c>
      <c r="D2601" s="1">
        <v>2</v>
      </c>
      <c r="E2601" s="1">
        <v>2</v>
      </c>
      <c r="F2601" s="38">
        <v>200</v>
      </c>
      <c r="G2601" t="s">
        <v>166</v>
      </c>
    </row>
    <row r="2602" spans="1:7" x14ac:dyDescent="0.25">
      <c r="A2602" s="10" t="s">
        <v>1145</v>
      </c>
      <c r="B2602" s="10" t="s">
        <v>1321</v>
      </c>
      <c r="C2602" t="str">
        <f>Table13[[#This Row],[Manufacturer]]&amp;" "&amp;Table13[[#This Row],[Model]]</f>
        <v>Sturtevant Richmont S200I</v>
      </c>
      <c r="D2602" s="1">
        <v>2</v>
      </c>
      <c r="E2602" s="1">
        <v>2</v>
      </c>
      <c r="F2602" s="38">
        <v>200</v>
      </c>
      <c r="G2602" t="s">
        <v>164</v>
      </c>
    </row>
    <row r="2603" spans="1:7" x14ac:dyDescent="0.25">
      <c r="A2603" s="10" t="s">
        <v>1145</v>
      </c>
      <c r="B2603" s="10" t="s">
        <v>1320</v>
      </c>
      <c r="C2603" t="str">
        <f>Table13[[#This Row],[Manufacturer]]&amp;" "&amp;Table13[[#This Row],[Model]]</f>
        <v>Sturtevant Richmont S2400I</v>
      </c>
      <c r="D2603" s="1">
        <v>2</v>
      </c>
      <c r="E2603" s="1">
        <v>2</v>
      </c>
      <c r="F2603" s="38">
        <v>2400</v>
      </c>
      <c r="G2603" t="s">
        <v>164</v>
      </c>
    </row>
    <row r="2604" spans="1:7" x14ac:dyDescent="0.25">
      <c r="A2604" s="10" t="s">
        <v>1145</v>
      </c>
      <c r="B2604" s="10" t="s">
        <v>1319</v>
      </c>
      <c r="C2604" t="str">
        <f>Table13[[#This Row],[Manufacturer]]&amp;" "&amp;Table13[[#This Row],[Model]]</f>
        <v>Sturtevant Richmont S25</v>
      </c>
      <c r="D2604" s="1">
        <v>2</v>
      </c>
      <c r="E2604" s="1">
        <v>2</v>
      </c>
      <c r="F2604" s="38">
        <v>25</v>
      </c>
      <c r="G2604" t="s">
        <v>166</v>
      </c>
    </row>
    <row r="2605" spans="1:7" x14ac:dyDescent="0.25">
      <c r="A2605" s="10" t="s">
        <v>1145</v>
      </c>
      <c r="B2605" s="10" t="s">
        <v>1318</v>
      </c>
      <c r="C2605" t="str">
        <f>Table13[[#This Row],[Manufacturer]]&amp;" "&amp;Table13[[#This Row],[Model]]</f>
        <v>Sturtevant Richmont S300</v>
      </c>
      <c r="D2605" s="1">
        <v>2</v>
      </c>
      <c r="E2605" s="1">
        <v>2</v>
      </c>
      <c r="F2605" s="38">
        <v>300</v>
      </c>
      <c r="G2605" t="s">
        <v>166</v>
      </c>
    </row>
    <row r="2606" spans="1:7" x14ac:dyDescent="0.25">
      <c r="A2606" s="10" t="s">
        <v>1145</v>
      </c>
      <c r="B2606" s="10" t="s">
        <v>1317</v>
      </c>
      <c r="C2606" t="str">
        <f>Table13[[#This Row],[Manufacturer]]&amp;" "&amp;Table13[[#This Row],[Model]]</f>
        <v>Sturtevant Richmont S300I</v>
      </c>
      <c r="D2606" s="1">
        <v>2</v>
      </c>
      <c r="E2606" s="1">
        <v>2</v>
      </c>
      <c r="F2606" s="38">
        <v>300</v>
      </c>
      <c r="G2606" t="s">
        <v>164</v>
      </c>
    </row>
    <row r="2607" spans="1:7" x14ac:dyDescent="0.25">
      <c r="A2607" s="10" t="s">
        <v>1145</v>
      </c>
      <c r="B2607" s="10" t="s">
        <v>1316</v>
      </c>
      <c r="C2607" t="str">
        <f>Table13[[#This Row],[Manufacturer]]&amp;" "&amp;Table13[[#This Row],[Model]]</f>
        <v>Sturtevant Richmont S3600I</v>
      </c>
      <c r="D2607" s="1">
        <v>2</v>
      </c>
      <c r="E2607" s="1">
        <v>2</v>
      </c>
      <c r="F2607" s="38">
        <v>3600</v>
      </c>
      <c r="G2607" t="s">
        <v>164</v>
      </c>
    </row>
    <row r="2608" spans="1:7" x14ac:dyDescent="0.25">
      <c r="A2608" s="10" t="s">
        <v>1145</v>
      </c>
      <c r="B2608" s="10" t="s">
        <v>1315</v>
      </c>
      <c r="C2608" t="str">
        <f>Table13[[#This Row],[Manufacturer]]&amp;" "&amp;Table13[[#This Row],[Model]]</f>
        <v>Sturtevant Richmont S50</v>
      </c>
      <c r="D2608" s="1">
        <v>2</v>
      </c>
      <c r="E2608" s="1">
        <v>2</v>
      </c>
      <c r="F2608" s="38">
        <v>50</v>
      </c>
      <c r="G2608" t="s">
        <v>166</v>
      </c>
    </row>
    <row r="2609" spans="1:7" x14ac:dyDescent="0.25">
      <c r="A2609" s="10" t="s">
        <v>1145</v>
      </c>
      <c r="B2609" s="10" t="s">
        <v>1314</v>
      </c>
      <c r="C2609" t="str">
        <f>Table13[[#This Row],[Manufacturer]]&amp;" "&amp;Table13[[#This Row],[Model]]</f>
        <v>Sturtevant Richmont S50I</v>
      </c>
      <c r="D2609" s="1">
        <v>2</v>
      </c>
      <c r="E2609" s="1">
        <v>2</v>
      </c>
      <c r="F2609" s="38">
        <v>50</v>
      </c>
      <c r="G2609" t="s">
        <v>164</v>
      </c>
    </row>
    <row r="2610" spans="1:7" x14ac:dyDescent="0.25">
      <c r="A2610" s="10" t="s">
        <v>1145</v>
      </c>
      <c r="B2610" s="10" t="s">
        <v>1313</v>
      </c>
      <c r="C2610" t="str">
        <f>Table13[[#This Row],[Manufacturer]]&amp;" "&amp;Table13[[#This Row],[Model]]</f>
        <v>Sturtevant Richmont S600I</v>
      </c>
      <c r="D2610" s="1">
        <v>2</v>
      </c>
      <c r="E2610" s="1">
        <v>2</v>
      </c>
      <c r="F2610" s="38">
        <v>600</v>
      </c>
      <c r="G2610" t="s">
        <v>164</v>
      </c>
    </row>
    <row r="2611" spans="1:7" x14ac:dyDescent="0.25">
      <c r="A2611" s="10" t="s">
        <v>1145</v>
      </c>
      <c r="B2611" s="10" t="s">
        <v>1312</v>
      </c>
      <c r="C2611" t="str">
        <f>Table13[[#This Row],[Manufacturer]]&amp;" "&amp;Table13[[#This Row],[Model]]</f>
        <v>Sturtevant Richmont S600R</v>
      </c>
      <c r="D2611" s="1">
        <v>2</v>
      </c>
      <c r="E2611" s="1">
        <v>2</v>
      </c>
      <c r="F2611" s="38">
        <v>600</v>
      </c>
      <c r="G2611" t="s">
        <v>166</v>
      </c>
    </row>
    <row r="2612" spans="1:7" x14ac:dyDescent="0.25">
      <c r="A2612" s="10" t="s">
        <v>1145</v>
      </c>
      <c r="B2612" s="10" t="s">
        <v>1311</v>
      </c>
      <c r="C2612" t="str">
        <f>Table13[[#This Row],[Manufacturer]]&amp;" "&amp;Table13[[#This Row],[Model]]</f>
        <v>Sturtevant Richmont 100 Nm</v>
      </c>
      <c r="D2612" s="1">
        <v>4</v>
      </c>
      <c r="E2612" s="1" t="s">
        <v>169</v>
      </c>
      <c r="F2612" s="38">
        <v>100</v>
      </c>
      <c r="G2612" t="s">
        <v>184</v>
      </c>
    </row>
    <row r="2613" spans="1:7" x14ac:dyDescent="0.25">
      <c r="A2613" s="10" t="s">
        <v>1145</v>
      </c>
      <c r="B2613" s="10" t="s">
        <v>1310</v>
      </c>
      <c r="C2613" t="str">
        <f>Table13[[#This Row],[Manufacturer]]&amp;" "&amp;Table13[[#This Row],[Model]]</f>
        <v>Sturtevant Richmont 2 SD 150 I MG</v>
      </c>
      <c r="D2613" s="1">
        <v>4</v>
      </c>
      <c r="E2613" s="1" t="s">
        <v>169</v>
      </c>
      <c r="F2613" s="38">
        <v>150</v>
      </c>
      <c r="G2613" t="s">
        <v>164</v>
      </c>
    </row>
    <row r="2614" spans="1:7" x14ac:dyDescent="0.25">
      <c r="A2614" s="10" t="s">
        <v>1145</v>
      </c>
      <c r="B2614" s="10" t="s">
        <v>1309</v>
      </c>
      <c r="C2614" t="str">
        <f>Table13[[#This Row],[Manufacturer]]&amp;" "&amp;Table13[[#This Row],[Model]]</f>
        <v>Sturtevant Richmont 2 SD 50 I MG</v>
      </c>
      <c r="D2614" s="1">
        <v>4</v>
      </c>
      <c r="E2614" s="1" t="s">
        <v>169</v>
      </c>
      <c r="F2614" s="38">
        <v>50</v>
      </c>
      <c r="G2614" t="s">
        <v>164</v>
      </c>
    </row>
    <row r="2615" spans="1:7" x14ac:dyDescent="0.25">
      <c r="A2615" s="10" t="s">
        <v>1145</v>
      </c>
      <c r="B2615" s="10" t="s">
        <v>1308</v>
      </c>
      <c r="C2615" t="str">
        <f>Table13[[#This Row],[Manufacturer]]&amp;" "&amp;Table13[[#This Row],[Model]]</f>
        <v>Sturtevant Richmont 2 SDR 150 I MG</v>
      </c>
      <c r="D2615" s="1">
        <v>4</v>
      </c>
      <c r="E2615" s="1" t="s">
        <v>169</v>
      </c>
      <c r="F2615" s="38">
        <v>150</v>
      </c>
      <c r="G2615" t="s">
        <v>164</v>
      </c>
    </row>
    <row r="2616" spans="1:7" x14ac:dyDescent="0.25">
      <c r="A2616" s="10" t="s">
        <v>1145</v>
      </c>
      <c r="B2616" s="10" t="s">
        <v>1307</v>
      </c>
      <c r="C2616" t="str">
        <f>Table13[[#This Row],[Manufacturer]]&amp;" "&amp;Table13[[#This Row],[Model]]</f>
        <v>Sturtevant Richmont 2 SDR 20 Nm MG</v>
      </c>
      <c r="D2616" s="1">
        <v>4</v>
      </c>
      <c r="E2616" s="1" t="s">
        <v>169</v>
      </c>
      <c r="F2616" s="38">
        <v>20</v>
      </c>
      <c r="G2616" t="s">
        <v>184</v>
      </c>
    </row>
    <row r="2617" spans="1:7" x14ac:dyDescent="0.25">
      <c r="A2617" s="10" t="s">
        <v>1145</v>
      </c>
      <c r="B2617" s="10" t="s">
        <v>1306</v>
      </c>
      <c r="C2617" t="str">
        <f>Table13[[#This Row],[Manufacturer]]&amp;" "&amp;Table13[[#This Row],[Model]]</f>
        <v>Sturtevant Richmont 2 SDR 50 I MG</v>
      </c>
      <c r="D2617" s="1">
        <v>4</v>
      </c>
      <c r="E2617" s="1" t="s">
        <v>169</v>
      </c>
      <c r="F2617" s="38">
        <v>50</v>
      </c>
      <c r="G2617" t="s">
        <v>164</v>
      </c>
    </row>
    <row r="2618" spans="1:7" x14ac:dyDescent="0.25">
      <c r="A2618" s="10" t="s">
        <v>1145</v>
      </c>
      <c r="B2618" s="10" t="s">
        <v>1305</v>
      </c>
      <c r="C2618" t="str">
        <f>Table13[[#This Row],[Manufacturer]]&amp;" "&amp;Table13[[#This Row],[Model]]</f>
        <v>Sturtevant Richmont 2 SDR 6 Nm MG</v>
      </c>
      <c r="D2618" s="1">
        <v>4</v>
      </c>
      <c r="E2618" s="1" t="s">
        <v>169</v>
      </c>
      <c r="F2618" s="38">
        <v>6</v>
      </c>
      <c r="G2618" t="s">
        <v>184</v>
      </c>
    </row>
    <row r="2619" spans="1:7" x14ac:dyDescent="0.25">
      <c r="A2619" s="10" t="s">
        <v>1145</v>
      </c>
      <c r="B2619" s="10" t="s">
        <v>1304</v>
      </c>
      <c r="C2619" t="str">
        <f>Table13[[#This Row],[Manufacturer]]&amp;" "&amp;Table13[[#This Row],[Model]]</f>
        <v>Sturtevant Richmont 20 Nm</v>
      </c>
      <c r="D2619" s="1">
        <v>4</v>
      </c>
      <c r="E2619" s="1" t="s">
        <v>169</v>
      </c>
      <c r="F2619" s="38">
        <v>20</v>
      </c>
      <c r="G2619" t="s">
        <v>184</v>
      </c>
    </row>
    <row r="2620" spans="1:7" x14ac:dyDescent="0.25">
      <c r="A2620" s="10" t="s">
        <v>1145</v>
      </c>
      <c r="B2620" s="10" t="s">
        <v>1303</v>
      </c>
      <c r="C2620" t="str">
        <f>Table13[[#This Row],[Manufacturer]]&amp;" "&amp;Table13[[#This Row],[Model]]</f>
        <v>Sturtevant Richmont 200 Nm</v>
      </c>
      <c r="D2620" s="1">
        <v>4</v>
      </c>
      <c r="E2620" s="1" t="s">
        <v>169</v>
      </c>
      <c r="F2620" s="38">
        <v>200</v>
      </c>
      <c r="G2620" t="s">
        <v>184</v>
      </c>
    </row>
    <row r="2621" spans="1:7" x14ac:dyDescent="0.25">
      <c r="A2621" s="10" t="s">
        <v>1145</v>
      </c>
      <c r="B2621" s="10" t="s">
        <v>1302</v>
      </c>
      <c r="C2621" t="str">
        <f>Table13[[#This Row],[Manufacturer]]&amp;" "&amp;Table13[[#This Row],[Model]]</f>
        <v>Sturtevant Richmont 2SD150I</v>
      </c>
      <c r="D2621" s="1">
        <v>4</v>
      </c>
      <c r="E2621" s="1" t="s">
        <v>169</v>
      </c>
      <c r="F2621" s="38">
        <v>150</v>
      </c>
      <c r="G2621" t="s">
        <v>164</v>
      </c>
    </row>
    <row r="2622" spans="1:7" x14ac:dyDescent="0.25">
      <c r="A2622" s="10" t="s">
        <v>1145</v>
      </c>
      <c r="B2622" s="10" t="s">
        <v>1301</v>
      </c>
      <c r="C2622" t="str">
        <f>Table13[[#This Row],[Manufacturer]]&amp;" "&amp;Table13[[#This Row],[Model]]</f>
        <v>Sturtevant Richmont 2SD200I</v>
      </c>
      <c r="D2622" s="1">
        <v>4</v>
      </c>
      <c r="E2622" s="1" t="s">
        <v>169</v>
      </c>
      <c r="F2622" s="38">
        <v>200</v>
      </c>
      <c r="G2622" t="s">
        <v>164</v>
      </c>
    </row>
    <row r="2623" spans="1:7" x14ac:dyDescent="0.25">
      <c r="A2623" s="10" t="s">
        <v>1145</v>
      </c>
      <c r="B2623" s="10" t="s">
        <v>1300</v>
      </c>
      <c r="C2623" t="str">
        <f>Table13[[#This Row],[Manufacturer]]&amp;" "&amp;Table13[[#This Row],[Model]]</f>
        <v>Sturtevant Richmont 2SD200KGF.CM</v>
      </c>
      <c r="D2623" s="1">
        <v>4</v>
      </c>
      <c r="E2623" s="1" t="s">
        <v>169</v>
      </c>
      <c r="F2623" s="38">
        <v>200</v>
      </c>
      <c r="G2623" t="s">
        <v>418</v>
      </c>
    </row>
    <row r="2624" spans="1:7" x14ac:dyDescent="0.25">
      <c r="A2624" s="10" t="s">
        <v>1145</v>
      </c>
      <c r="B2624" s="10" t="s">
        <v>1299</v>
      </c>
      <c r="C2624" t="str">
        <f>Table13[[#This Row],[Manufacturer]]&amp;" "&amp;Table13[[#This Row],[Model]]</f>
        <v>Sturtevant Richmont 2SD20NM</v>
      </c>
      <c r="D2624" s="1">
        <v>4</v>
      </c>
      <c r="E2624" s="1" t="s">
        <v>169</v>
      </c>
      <c r="F2624" s="38">
        <v>20</v>
      </c>
      <c r="G2624" t="s">
        <v>184</v>
      </c>
    </row>
    <row r="2625" spans="1:7" x14ac:dyDescent="0.25">
      <c r="A2625" s="10" t="s">
        <v>1145</v>
      </c>
      <c r="B2625" s="10" t="s">
        <v>1298</v>
      </c>
      <c r="C2625" t="str">
        <f>Table13[[#This Row],[Manufacturer]]&amp;" "&amp;Table13[[#This Row],[Model]]</f>
        <v>Sturtevant Richmont 2SD50I</v>
      </c>
      <c r="D2625" s="1">
        <v>4</v>
      </c>
      <c r="E2625" s="1" t="s">
        <v>169</v>
      </c>
      <c r="F2625" s="38">
        <v>50</v>
      </c>
      <c r="G2625" t="s">
        <v>164</v>
      </c>
    </row>
    <row r="2626" spans="1:7" x14ac:dyDescent="0.25">
      <c r="A2626" s="10" t="s">
        <v>1145</v>
      </c>
      <c r="B2626" s="10" t="s">
        <v>1297</v>
      </c>
      <c r="C2626" t="str">
        <f>Table13[[#This Row],[Manufacturer]]&amp;" "&amp;Table13[[#This Row],[Model]]</f>
        <v>Sturtevant Richmont 2SD60KGF.CM</v>
      </c>
      <c r="D2626" s="1">
        <v>4</v>
      </c>
      <c r="E2626" s="1" t="s">
        <v>169</v>
      </c>
      <c r="F2626" s="38">
        <v>60</v>
      </c>
      <c r="G2626" t="s">
        <v>418</v>
      </c>
    </row>
    <row r="2627" spans="1:7" x14ac:dyDescent="0.25">
      <c r="A2627" s="10" t="s">
        <v>1145</v>
      </c>
      <c r="B2627" s="10" t="s">
        <v>1296</v>
      </c>
      <c r="C2627" t="str">
        <f>Table13[[#This Row],[Manufacturer]]&amp;" "&amp;Table13[[#This Row],[Model]]</f>
        <v>Sturtevant Richmont 2SD6NM</v>
      </c>
      <c r="D2627" s="1">
        <v>4</v>
      </c>
      <c r="E2627" s="1" t="s">
        <v>169</v>
      </c>
      <c r="F2627" s="38">
        <v>6</v>
      </c>
      <c r="G2627" t="s">
        <v>184</v>
      </c>
    </row>
    <row r="2628" spans="1:7" x14ac:dyDescent="0.25">
      <c r="A2628" s="10" t="s">
        <v>1145</v>
      </c>
      <c r="B2628" s="10" t="s">
        <v>1295</v>
      </c>
      <c r="C2628" t="str">
        <f>Table13[[#This Row],[Manufacturer]]&amp;" "&amp;Table13[[#This Row],[Model]]</f>
        <v>Sturtevant Richmont 2SDR150I</v>
      </c>
      <c r="D2628" s="1">
        <v>4</v>
      </c>
      <c r="E2628" s="1" t="s">
        <v>169</v>
      </c>
      <c r="F2628" s="38">
        <v>150</v>
      </c>
      <c r="G2628" t="s">
        <v>164</v>
      </c>
    </row>
    <row r="2629" spans="1:7" x14ac:dyDescent="0.25">
      <c r="A2629" s="10" t="s">
        <v>1145</v>
      </c>
      <c r="B2629" s="10" t="s">
        <v>1294</v>
      </c>
      <c r="C2629" t="str">
        <f>Table13[[#This Row],[Manufacturer]]&amp;" "&amp;Table13[[#This Row],[Model]]</f>
        <v>Sturtevant Richmont 2SDR200KGF.CM</v>
      </c>
      <c r="D2629" s="1">
        <v>4</v>
      </c>
      <c r="E2629" s="1" t="s">
        <v>169</v>
      </c>
      <c r="F2629" s="38">
        <v>200</v>
      </c>
      <c r="G2629" t="s">
        <v>418</v>
      </c>
    </row>
    <row r="2630" spans="1:7" x14ac:dyDescent="0.25">
      <c r="A2630" s="10" t="s">
        <v>1145</v>
      </c>
      <c r="B2630" s="10" t="s">
        <v>1293</v>
      </c>
      <c r="C2630" t="str">
        <f>Table13[[#This Row],[Manufacturer]]&amp;" "&amp;Table13[[#This Row],[Model]]</f>
        <v>Sturtevant Richmont 2SDR20NM</v>
      </c>
      <c r="D2630" s="1">
        <v>4</v>
      </c>
      <c r="E2630" s="1" t="s">
        <v>169</v>
      </c>
      <c r="F2630" s="38">
        <v>20</v>
      </c>
      <c r="G2630" t="s">
        <v>184</v>
      </c>
    </row>
    <row r="2631" spans="1:7" x14ac:dyDescent="0.25">
      <c r="A2631" s="10" t="s">
        <v>1145</v>
      </c>
      <c r="B2631" s="10" t="s">
        <v>1292</v>
      </c>
      <c r="C2631" t="str">
        <f>Table13[[#This Row],[Manufacturer]]&amp;" "&amp;Table13[[#This Row],[Model]]</f>
        <v>Sturtevant Richmont 2SDR50I</v>
      </c>
      <c r="D2631" s="1">
        <v>4</v>
      </c>
      <c r="E2631" s="1" t="s">
        <v>169</v>
      </c>
      <c r="F2631" s="38">
        <v>50</v>
      </c>
      <c r="G2631" t="s">
        <v>164</v>
      </c>
    </row>
    <row r="2632" spans="1:7" x14ac:dyDescent="0.25">
      <c r="A2632" s="10" t="s">
        <v>1145</v>
      </c>
      <c r="B2632" s="10" t="s">
        <v>1291</v>
      </c>
      <c r="C2632" t="str">
        <f>Table13[[#This Row],[Manufacturer]]&amp;" "&amp;Table13[[#This Row],[Model]]</f>
        <v>Sturtevant Richmont 2SDR60KGF.CM</v>
      </c>
      <c r="D2632" s="1">
        <v>4</v>
      </c>
      <c r="E2632" s="1" t="s">
        <v>169</v>
      </c>
      <c r="F2632" s="38">
        <v>60</v>
      </c>
      <c r="G2632" t="s">
        <v>418</v>
      </c>
    </row>
    <row r="2633" spans="1:7" x14ac:dyDescent="0.25">
      <c r="A2633" s="10" t="s">
        <v>1145</v>
      </c>
      <c r="B2633" s="10" t="s">
        <v>1290</v>
      </c>
      <c r="C2633" t="str">
        <f>Table13[[#This Row],[Manufacturer]]&amp;" "&amp;Table13[[#This Row],[Model]]</f>
        <v>Sturtevant Richmont 2SDR6NM</v>
      </c>
      <c r="D2633" s="1">
        <v>4</v>
      </c>
      <c r="E2633" s="1" t="s">
        <v>169</v>
      </c>
      <c r="F2633" s="38">
        <v>6</v>
      </c>
      <c r="G2633" t="s">
        <v>184</v>
      </c>
    </row>
    <row r="2634" spans="1:7" x14ac:dyDescent="0.25">
      <c r="A2634" s="10" t="s">
        <v>1145</v>
      </c>
      <c r="B2634" s="10" t="s">
        <v>1289</v>
      </c>
      <c r="C2634" t="str">
        <f>Table13[[#This Row],[Manufacturer]]&amp;" "&amp;Table13[[#This Row],[Model]]</f>
        <v>Sturtevant Richmont 3 SD 200 I MG</v>
      </c>
      <c r="D2634" s="1">
        <v>4</v>
      </c>
      <c r="E2634" s="1" t="s">
        <v>169</v>
      </c>
      <c r="F2634" s="38">
        <v>200</v>
      </c>
      <c r="G2634" t="s">
        <v>164</v>
      </c>
    </row>
    <row r="2635" spans="1:7" x14ac:dyDescent="0.25">
      <c r="A2635" s="10" t="s">
        <v>1145</v>
      </c>
      <c r="B2635" s="10" t="s">
        <v>1288</v>
      </c>
      <c r="C2635" t="str">
        <f>Table13[[#This Row],[Manufacturer]]&amp;" "&amp;Table13[[#This Row],[Model]]</f>
        <v>Sturtevant Richmont 3 SD 750 I MG</v>
      </c>
      <c r="D2635" s="1">
        <v>4</v>
      </c>
      <c r="E2635" s="1" t="s">
        <v>169</v>
      </c>
      <c r="F2635" s="38">
        <v>750</v>
      </c>
      <c r="G2635" t="s">
        <v>164</v>
      </c>
    </row>
    <row r="2636" spans="1:7" x14ac:dyDescent="0.25">
      <c r="A2636" s="10" t="s">
        <v>1145</v>
      </c>
      <c r="B2636" s="10" t="s">
        <v>1287</v>
      </c>
      <c r="C2636" t="str">
        <f>Table13[[#This Row],[Manufacturer]]&amp;" "&amp;Table13[[#This Row],[Model]]</f>
        <v>Sturtevant Richmont 3 SDR 100 MG</v>
      </c>
      <c r="D2636" s="1">
        <v>4</v>
      </c>
      <c r="E2636" s="1" t="s">
        <v>169</v>
      </c>
      <c r="F2636" s="38">
        <v>100</v>
      </c>
      <c r="G2636" t="s">
        <v>166</v>
      </c>
    </row>
    <row r="2637" spans="1:7" x14ac:dyDescent="0.25">
      <c r="A2637" s="10" t="s">
        <v>1145</v>
      </c>
      <c r="B2637" s="10" t="s">
        <v>1286</v>
      </c>
      <c r="C2637" t="str">
        <f>Table13[[#This Row],[Manufacturer]]&amp;" "&amp;Table13[[#This Row],[Model]]</f>
        <v>Sturtevant Richmont 3 SDR 100 Nm MG</v>
      </c>
      <c r="D2637" s="1">
        <v>4</v>
      </c>
      <c r="E2637" s="1" t="s">
        <v>169</v>
      </c>
      <c r="F2637" s="38">
        <v>100</v>
      </c>
      <c r="G2637" t="s">
        <v>184</v>
      </c>
    </row>
    <row r="2638" spans="1:7" x14ac:dyDescent="0.25">
      <c r="A2638" s="10" t="s">
        <v>1145</v>
      </c>
      <c r="B2638" s="10" t="s">
        <v>1285</v>
      </c>
      <c r="C2638" t="str">
        <f>Table13[[#This Row],[Manufacturer]]&amp;" "&amp;Table13[[#This Row],[Model]]</f>
        <v>Sturtevant Richmont 3 SDR 1200 I MG</v>
      </c>
      <c r="D2638" s="1">
        <v>4</v>
      </c>
      <c r="E2638" s="1" t="s">
        <v>169</v>
      </c>
      <c r="F2638" s="38">
        <v>1200</v>
      </c>
      <c r="G2638" t="s">
        <v>164</v>
      </c>
    </row>
    <row r="2639" spans="1:7" x14ac:dyDescent="0.25">
      <c r="A2639" s="10" t="s">
        <v>1145</v>
      </c>
      <c r="B2639" s="10" t="s">
        <v>1284</v>
      </c>
      <c r="C2639" t="str">
        <f>Table13[[#This Row],[Manufacturer]]&amp;" "&amp;Table13[[#This Row],[Model]]</f>
        <v>Sturtevant Richmont 3 SDR 140 Nm MG</v>
      </c>
      <c r="D2639" s="1">
        <v>4</v>
      </c>
      <c r="E2639" s="1" t="s">
        <v>169</v>
      </c>
      <c r="F2639" s="38">
        <v>140</v>
      </c>
      <c r="G2639" t="s">
        <v>184</v>
      </c>
    </row>
    <row r="2640" spans="1:7" x14ac:dyDescent="0.25">
      <c r="A2640" s="10" t="s">
        <v>1145</v>
      </c>
      <c r="B2640" s="10" t="s">
        <v>1283</v>
      </c>
      <c r="C2640" t="str">
        <f>Table13[[#This Row],[Manufacturer]]&amp;" "&amp;Table13[[#This Row],[Model]]</f>
        <v>Sturtevant Richmont 3 SDR 150 I MG</v>
      </c>
      <c r="D2640" s="1">
        <v>4</v>
      </c>
      <c r="E2640" s="1" t="s">
        <v>169</v>
      </c>
      <c r="F2640" s="38">
        <v>150</v>
      </c>
      <c r="G2640" t="s">
        <v>164</v>
      </c>
    </row>
    <row r="2641" spans="1:7" x14ac:dyDescent="0.25">
      <c r="A2641" s="10" t="s">
        <v>1145</v>
      </c>
      <c r="B2641" s="10" t="s">
        <v>1282</v>
      </c>
      <c r="C2641" t="str">
        <f>Table13[[#This Row],[Manufacturer]]&amp;" "&amp;Table13[[#This Row],[Model]]</f>
        <v>Sturtevant Richmont 3 SDR 20 Nm MG</v>
      </c>
      <c r="D2641" s="1">
        <v>4</v>
      </c>
      <c r="E2641" s="1" t="s">
        <v>169</v>
      </c>
      <c r="F2641" s="38">
        <v>20</v>
      </c>
      <c r="G2641" t="s">
        <v>184</v>
      </c>
    </row>
    <row r="2642" spans="1:7" x14ac:dyDescent="0.25">
      <c r="A2642" s="10" t="s">
        <v>1145</v>
      </c>
      <c r="B2642" s="10" t="s">
        <v>1281</v>
      </c>
      <c r="C2642" t="str">
        <f>Table13[[#This Row],[Manufacturer]]&amp;" "&amp;Table13[[#This Row],[Model]]</f>
        <v>Sturtevant Richmont 3 SDR 200 I MG</v>
      </c>
      <c r="D2642" s="1">
        <v>4</v>
      </c>
      <c r="E2642" s="1" t="s">
        <v>169</v>
      </c>
      <c r="F2642" s="38">
        <v>200</v>
      </c>
      <c r="G2642" t="s">
        <v>164</v>
      </c>
    </row>
    <row r="2643" spans="1:7" x14ac:dyDescent="0.25">
      <c r="A2643" s="10" t="s">
        <v>1145</v>
      </c>
      <c r="B2643" s="10" t="s">
        <v>1280</v>
      </c>
      <c r="C2643" t="str">
        <f>Table13[[#This Row],[Manufacturer]]&amp;" "&amp;Table13[[#This Row],[Model]]</f>
        <v>Sturtevant Richmont 3 SDR 50 Nm MG</v>
      </c>
      <c r="D2643" s="1">
        <v>4</v>
      </c>
      <c r="E2643" s="1" t="s">
        <v>169</v>
      </c>
      <c r="F2643" s="38">
        <v>50</v>
      </c>
      <c r="G2643" t="s">
        <v>184</v>
      </c>
    </row>
    <row r="2644" spans="1:7" x14ac:dyDescent="0.25">
      <c r="A2644" s="10" t="s">
        <v>1145</v>
      </c>
      <c r="B2644" s="10" t="s">
        <v>1279</v>
      </c>
      <c r="C2644" t="str">
        <f>Table13[[#This Row],[Manufacturer]]&amp;" "&amp;Table13[[#This Row],[Model]]</f>
        <v>Sturtevant Richmont 3 SDR 600 I MG</v>
      </c>
      <c r="D2644" s="1">
        <v>4</v>
      </c>
      <c r="E2644" s="1" t="s">
        <v>169</v>
      </c>
      <c r="F2644" s="38">
        <v>600</v>
      </c>
      <c r="G2644" t="s">
        <v>164</v>
      </c>
    </row>
    <row r="2645" spans="1:7" x14ac:dyDescent="0.25">
      <c r="A2645" s="10" t="s">
        <v>1145</v>
      </c>
      <c r="B2645" s="10" t="s">
        <v>1278</v>
      </c>
      <c r="C2645" t="str">
        <f>Table13[[#This Row],[Manufacturer]]&amp;" "&amp;Table13[[#This Row],[Model]]</f>
        <v>Sturtevant Richmont 3 SDR 75 MG</v>
      </c>
      <c r="D2645" s="1">
        <v>4</v>
      </c>
      <c r="E2645" s="1" t="s">
        <v>169</v>
      </c>
      <c r="F2645" s="38">
        <v>75</v>
      </c>
      <c r="G2645" t="s">
        <v>166</v>
      </c>
    </row>
    <row r="2646" spans="1:7" x14ac:dyDescent="0.25">
      <c r="A2646" s="10" t="s">
        <v>1145</v>
      </c>
      <c r="B2646" s="10" t="s">
        <v>1277</v>
      </c>
      <c r="C2646" t="str">
        <f>Table13[[#This Row],[Manufacturer]]&amp;" "&amp;Table13[[#This Row],[Model]]</f>
        <v>Sturtevant Richmont 3 SDR 750 I MG</v>
      </c>
      <c r="D2646" s="1">
        <v>4</v>
      </c>
      <c r="E2646" s="1" t="s">
        <v>169</v>
      </c>
      <c r="F2646" s="38">
        <v>750</v>
      </c>
      <c r="G2646" t="s">
        <v>164</v>
      </c>
    </row>
    <row r="2647" spans="1:7" x14ac:dyDescent="0.25">
      <c r="A2647" s="10" t="s">
        <v>1145</v>
      </c>
      <c r="B2647" s="10" t="s">
        <v>1276</v>
      </c>
      <c r="C2647" t="str">
        <f>Table13[[#This Row],[Manufacturer]]&amp;" "&amp;Table13[[#This Row],[Model]]</f>
        <v>Sturtevant Richmont 3SD100NM</v>
      </c>
      <c r="D2647" s="1">
        <v>4</v>
      </c>
      <c r="E2647" s="1" t="s">
        <v>169</v>
      </c>
      <c r="F2647" s="38">
        <v>100</v>
      </c>
      <c r="G2647" t="s">
        <v>184</v>
      </c>
    </row>
    <row r="2648" spans="1:7" x14ac:dyDescent="0.25">
      <c r="A2648" s="10" t="s">
        <v>1145</v>
      </c>
      <c r="B2648" s="10" t="s">
        <v>1275</v>
      </c>
      <c r="C2648" t="str">
        <f>Table13[[#This Row],[Manufacturer]]&amp;" "&amp;Table13[[#This Row],[Model]]</f>
        <v>Sturtevant Richmont 3SD1200I</v>
      </c>
      <c r="D2648" s="1">
        <v>4</v>
      </c>
      <c r="E2648" s="1" t="s">
        <v>169</v>
      </c>
      <c r="F2648" s="38">
        <v>1200</v>
      </c>
      <c r="G2648" t="s">
        <v>164</v>
      </c>
    </row>
    <row r="2649" spans="1:7" x14ac:dyDescent="0.25">
      <c r="A2649" s="10" t="s">
        <v>1145</v>
      </c>
      <c r="B2649" s="10" t="s">
        <v>1274</v>
      </c>
      <c r="C2649" t="str">
        <f>Table13[[#This Row],[Manufacturer]]&amp;" "&amp;Table13[[#This Row],[Model]]</f>
        <v>Sturtevant Richmont 3SD150I</v>
      </c>
      <c r="D2649" s="1">
        <v>4</v>
      </c>
      <c r="E2649" s="1" t="s">
        <v>169</v>
      </c>
      <c r="F2649" s="38">
        <v>150</v>
      </c>
      <c r="G2649" t="s">
        <v>164</v>
      </c>
    </row>
    <row r="2650" spans="1:7" x14ac:dyDescent="0.25">
      <c r="A2650" s="10" t="s">
        <v>1145</v>
      </c>
      <c r="B2650" s="10" t="s">
        <v>1273</v>
      </c>
      <c r="C2650" t="str">
        <f>Table13[[#This Row],[Manufacturer]]&amp;" "&amp;Table13[[#This Row],[Model]]</f>
        <v>Sturtevant Richmont 3SD200I</v>
      </c>
      <c r="D2650" s="1">
        <v>4</v>
      </c>
      <c r="E2650" s="1" t="s">
        <v>169</v>
      </c>
      <c r="F2650" s="38">
        <v>200</v>
      </c>
      <c r="G2650" t="s">
        <v>164</v>
      </c>
    </row>
    <row r="2651" spans="1:7" x14ac:dyDescent="0.25">
      <c r="A2651" s="10" t="s">
        <v>1145</v>
      </c>
      <c r="B2651" s="10" t="s">
        <v>1272</v>
      </c>
      <c r="C2651" t="str">
        <f>Table13[[#This Row],[Manufacturer]]&amp;" "&amp;Table13[[#This Row],[Model]]</f>
        <v>Sturtevant Richmont 3SD200KGF.CM</v>
      </c>
      <c r="D2651" s="1">
        <v>4</v>
      </c>
      <c r="E2651" s="1" t="s">
        <v>169</v>
      </c>
      <c r="F2651" s="38">
        <v>200</v>
      </c>
      <c r="G2651" t="s">
        <v>418</v>
      </c>
    </row>
    <row r="2652" spans="1:7" x14ac:dyDescent="0.25">
      <c r="A2652" s="10" t="s">
        <v>1145</v>
      </c>
      <c r="B2652" s="10" t="s">
        <v>1271</v>
      </c>
      <c r="C2652" t="str">
        <f>Table13[[#This Row],[Manufacturer]]&amp;" "&amp;Table13[[#This Row],[Model]]</f>
        <v>Sturtevant Richmont 3SD20NM</v>
      </c>
      <c r="D2652" s="1">
        <v>4</v>
      </c>
      <c r="E2652" s="1" t="s">
        <v>169</v>
      </c>
      <c r="F2652" s="38">
        <v>20</v>
      </c>
      <c r="G2652" t="s">
        <v>184</v>
      </c>
    </row>
    <row r="2653" spans="1:7" x14ac:dyDescent="0.25">
      <c r="A2653" s="10" t="s">
        <v>1145</v>
      </c>
      <c r="B2653" s="10" t="s">
        <v>1270</v>
      </c>
      <c r="C2653" t="str">
        <f>Table13[[#This Row],[Manufacturer]]&amp;" "&amp;Table13[[#This Row],[Model]]</f>
        <v>Sturtevant Richmont 3SD750I</v>
      </c>
      <c r="D2653" s="1">
        <v>4</v>
      </c>
      <c r="E2653" s="1" t="s">
        <v>169</v>
      </c>
      <c r="F2653" s="38">
        <v>750</v>
      </c>
      <c r="G2653" t="s">
        <v>164</v>
      </c>
    </row>
    <row r="2654" spans="1:7" x14ac:dyDescent="0.25">
      <c r="A2654" s="10" t="s">
        <v>1145</v>
      </c>
      <c r="B2654" s="10" t="s">
        <v>1269</v>
      </c>
      <c r="C2654" t="str">
        <f>Table13[[#This Row],[Manufacturer]]&amp;" "&amp;Table13[[#This Row],[Model]]</f>
        <v>Sturtevant Richmont 3SD900KGF.CM</v>
      </c>
      <c r="D2654" s="1">
        <v>4</v>
      </c>
      <c r="E2654" s="1" t="s">
        <v>169</v>
      </c>
      <c r="F2654" s="38">
        <v>900</v>
      </c>
      <c r="G2654" t="s">
        <v>418</v>
      </c>
    </row>
    <row r="2655" spans="1:7" x14ac:dyDescent="0.25">
      <c r="A2655" s="10" t="s">
        <v>1145</v>
      </c>
      <c r="B2655" s="10" t="s">
        <v>1268</v>
      </c>
      <c r="C2655" t="str">
        <f>Table13[[#This Row],[Manufacturer]]&amp;" "&amp;Table13[[#This Row],[Model]]</f>
        <v>Sturtevant Richmont 3SDR100</v>
      </c>
      <c r="D2655" s="1">
        <v>4</v>
      </c>
      <c r="E2655" s="1" t="s">
        <v>169</v>
      </c>
      <c r="F2655" s="38">
        <v>100</v>
      </c>
      <c r="G2655" t="s">
        <v>166</v>
      </c>
    </row>
    <row r="2656" spans="1:7" x14ac:dyDescent="0.25">
      <c r="A2656" s="10" t="s">
        <v>1145</v>
      </c>
      <c r="B2656" s="10" t="s">
        <v>1267</v>
      </c>
      <c r="C2656" t="str">
        <f>Table13[[#This Row],[Manufacturer]]&amp;" "&amp;Table13[[#This Row],[Model]]</f>
        <v>Sturtevant Richmont 3SDR100NM</v>
      </c>
      <c r="D2656" s="1">
        <v>4</v>
      </c>
      <c r="E2656" s="1" t="s">
        <v>169</v>
      </c>
      <c r="F2656" s="38">
        <v>100</v>
      </c>
      <c r="G2656" t="s">
        <v>184</v>
      </c>
    </row>
    <row r="2657" spans="1:7" x14ac:dyDescent="0.25">
      <c r="A2657" s="10" t="s">
        <v>1145</v>
      </c>
      <c r="B2657" s="10" t="s">
        <v>1266</v>
      </c>
      <c r="C2657" t="str">
        <f>Table13[[#This Row],[Manufacturer]]&amp;" "&amp;Table13[[#This Row],[Model]]</f>
        <v>Sturtevant Richmont 3SDR1200I</v>
      </c>
      <c r="D2657" s="1">
        <v>4</v>
      </c>
      <c r="E2657" s="1" t="s">
        <v>169</v>
      </c>
      <c r="F2657" s="38">
        <v>1200</v>
      </c>
      <c r="G2657" t="s">
        <v>164</v>
      </c>
    </row>
    <row r="2658" spans="1:7" x14ac:dyDescent="0.25">
      <c r="A2658" s="10" t="s">
        <v>1145</v>
      </c>
      <c r="B2658" s="10" t="s">
        <v>1265</v>
      </c>
      <c r="C2658" t="str">
        <f>Table13[[#This Row],[Manufacturer]]&amp;" "&amp;Table13[[#This Row],[Model]]</f>
        <v>Sturtevant Richmont 3SDR150I</v>
      </c>
      <c r="D2658" s="1">
        <v>4</v>
      </c>
      <c r="E2658" s="1" t="s">
        <v>169</v>
      </c>
      <c r="F2658" s="38">
        <v>150</v>
      </c>
      <c r="G2658" t="s">
        <v>164</v>
      </c>
    </row>
    <row r="2659" spans="1:7" x14ac:dyDescent="0.25">
      <c r="A2659" s="10" t="s">
        <v>1145</v>
      </c>
      <c r="B2659" s="10" t="s">
        <v>1264</v>
      </c>
      <c r="C2659" t="str">
        <f>Table13[[#This Row],[Manufacturer]]&amp;" "&amp;Table13[[#This Row],[Model]]</f>
        <v>Sturtevant Richmont 3SDR200I</v>
      </c>
      <c r="D2659" s="1">
        <v>4</v>
      </c>
      <c r="E2659" s="1" t="s">
        <v>169</v>
      </c>
      <c r="F2659" s="38">
        <v>200</v>
      </c>
      <c r="G2659" t="s">
        <v>164</v>
      </c>
    </row>
    <row r="2660" spans="1:7" x14ac:dyDescent="0.25">
      <c r="A2660" s="10" t="s">
        <v>1145</v>
      </c>
      <c r="B2660" s="10" t="s">
        <v>1263</v>
      </c>
      <c r="C2660" t="str">
        <f>Table13[[#This Row],[Manufacturer]]&amp;" "&amp;Table13[[#This Row],[Model]]</f>
        <v>Sturtevant Richmont 3SDR200KGF.CM</v>
      </c>
      <c r="D2660" s="1">
        <v>4</v>
      </c>
      <c r="E2660" s="1" t="s">
        <v>169</v>
      </c>
      <c r="F2660" s="38">
        <v>200</v>
      </c>
      <c r="G2660" t="s">
        <v>418</v>
      </c>
    </row>
    <row r="2661" spans="1:7" x14ac:dyDescent="0.25">
      <c r="A2661" s="10" t="s">
        <v>1145</v>
      </c>
      <c r="B2661" s="10" t="s">
        <v>1262</v>
      </c>
      <c r="C2661" t="str">
        <f>Table13[[#This Row],[Manufacturer]]&amp;" "&amp;Table13[[#This Row],[Model]]</f>
        <v>Sturtevant Richmont 3SDR20NM</v>
      </c>
      <c r="D2661" s="1">
        <v>4</v>
      </c>
      <c r="E2661" s="1" t="s">
        <v>169</v>
      </c>
      <c r="F2661" s="38">
        <v>20</v>
      </c>
      <c r="G2661" t="s">
        <v>184</v>
      </c>
    </row>
    <row r="2662" spans="1:7" x14ac:dyDescent="0.25">
      <c r="A2662" s="10" t="s">
        <v>1145</v>
      </c>
      <c r="B2662" s="10" t="s">
        <v>1261</v>
      </c>
      <c r="C2662" t="str">
        <f>Table13[[#This Row],[Manufacturer]]&amp;" "&amp;Table13[[#This Row],[Model]]</f>
        <v>Sturtevant Richmont 3SDR600I</v>
      </c>
      <c r="D2662" s="1">
        <v>4</v>
      </c>
      <c r="E2662" s="1" t="s">
        <v>169</v>
      </c>
      <c r="F2662" s="38">
        <v>600</v>
      </c>
      <c r="G2662" t="s">
        <v>164</v>
      </c>
    </row>
    <row r="2663" spans="1:7" x14ac:dyDescent="0.25">
      <c r="A2663" s="10" t="s">
        <v>1145</v>
      </c>
      <c r="B2663" s="10" t="s">
        <v>1260</v>
      </c>
      <c r="C2663" t="str">
        <f>Table13[[#This Row],[Manufacturer]]&amp;" "&amp;Table13[[#This Row],[Model]]</f>
        <v>Sturtevant Richmont 3SDR75</v>
      </c>
      <c r="D2663" s="1">
        <v>4</v>
      </c>
      <c r="E2663" s="1" t="s">
        <v>169</v>
      </c>
      <c r="F2663" s="38">
        <v>75</v>
      </c>
      <c r="G2663" t="s">
        <v>166</v>
      </c>
    </row>
    <row r="2664" spans="1:7" x14ac:dyDescent="0.25">
      <c r="A2664" s="10" t="s">
        <v>1145</v>
      </c>
      <c r="B2664" s="10" t="s">
        <v>1259</v>
      </c>
      <c r="C2664" t="str">
        <f>Table13[[#This Row],[Manufacturer]]&amp;" "&amp;Table13[[#This Row],[Model]]</f>
        <v>Sturtevant Richmont 3SDR750I</v>
      </c>
      <c r="D2664" s="1">
        <v>4</v>
      </c>
      <c r="E2664" s="1" t="s">
        <v>169</v>
      </c>
      <c r="F2664" s="38">
        <v>750</v>
      </c>
      <c r="G2664" t="s">
        <v>164</v>
      </c>
    </row>
    <row r="2665" spans="1:7" x14ac:dyDescent="0.25">
      <c r="A2665" s="10" t="s">
        <v>1145</v>
      </c>
      <c r="B2665" s="10" t="s">
        <v>1258</v>
      </c>
      <c r="C2665" t="str">
        <f>Table13[[#This Row],[Manufacturer]]&amp;" "&amp;Table13[[#This Row],[Model]]</f>
        <v>Sturtevant Richmont 3SDR900KGF.CM</v>
      </c>
      <c r="D2665" s="1">
        <v>4</v>
      </c>
      <c r="E2665" s="1" t="s">
        <v>169</v>
      </c>
      <c r="F2665" s="38">
        <v>900</v>
      </c>
      <c r="G2665" t="s">
        <v>418</v>
      </c>
    </row>
    <row r="2666" spans="1:7" x14ac:dyDescent="0.25">
      <c r="A2666" s="10" t="s">
        <v>1145</v>
      </c>
      <c r="B2666" s="10" t="s">
        <v>1257</v>
      </c>
      <c r="C2666" t="str">
        <f>Table13[[#This Row],[Manufacturer]]&amp;" "&amp;Table13[[#This Row],[Model]]</f>
        <v>Sturtevant Richmont 4 SD 150 MG</v>
      </c>
      <c r="D2666" s="1">
        <v>4</v>
      </c>
      <c r="E2666" s="1" t="s">
        <v>169</v>
      </c>
      <c r="F2666" s="38">
        <v>150</v>
      </c>
      <c r="G2666" t="s">
        <v>166</v>
      </c>
    </row>
    <row r="2667" spans="1:7" x14ac:dyDescent="0.25">
      <c r="A2667" s="10" t="s">
        <v>1145</v>
      </c>
      <c r="B2667" s="10" t="s">
        <v>1256</v>
      </c>
      <c r="C2667" t="str">
        <f>Table13[[#This Row],[Manufacturer]]&amp;" "&amp;Table13[[#This Row],[Model]]</f>
        <v>Sturtevant Richmont 4 SDR 100 Nm MG</v>
      </c>
      <c r="D2667" s="1">
        <v>4</v>
      </c>
      <c r="E2667" s="1" t="s">
        <v>169</v>
      </c>
      <c r="F2667" s="38">
        <v>100</v>
      </c>
      <c r="G2667" t="s">
        <v>184</v>
      </c>
    </row>
    <row r="2668" spans="1:7" x14ac:dyDescent="0.25">
      <c r="A2668" s="10" t="s">
        <v>1145</v>
      </c>
      <c r="B2668" s="10" t="s">
        <v>1255</v>
      </c>
      <c r="C2668" t="str">
        <f>Table13[[#This Row],[Manufacturer]]&amp;" "&amp;Table13[[#This Row],[Model]]</f>
        <v>Sturtevant Richmont 4 SDR 140 Nm MG</v>
      </c>
      <c r="D2668" s="1">
        <v>4</v>
      </c>
      <c r="E2668" s="1" t="s">
        <v>169</v>
      </c>
      <c r="F2668" s="38">
        <v>140</v>
      </c>
      <c r="G2668" t="s">
        <v>184</v>
      </c>
    </row>
    <row r="2669" spans="1:7" x14ac:dyDescent="0.25">
      <c r="A2669" s="10" t="s">
        <v>1145</v>
      </c>
      <c r="B2669" s="10" t="s">
        <v>1254</v>
      </c>
      <c r="C2669" t="str">
        <f>Table13[[#This Row],[Manufacturer]]&amp;" "&amp;Table13[[#This Row],[Model]]</f>
        <v>Sturtevant Richmont 4 SDR 150 MG</v>
      </c>
      <c r="D2669" s="1">
        <v>4</v>
      </c>
      <c r="E2669" s="1" t="s">
        <v>169</v>
      </c>
      <c r="F2669" s="38">
        <v>150</v>
      </c>
      <c r="G2669" t="s">
        <v>166</v>
      </c>
    </row>
    <row r="2670" spans="1:7" x14ac:dyDescent="0.25">
      <c r="A2670" s="10" t="s">
        <v>1145</v>
      </c>
      <c r="B2670" s="10" t="s">
        <v>1253</v>
      </c>
      <c r="C2670" t="str">
        <f>Table13[[#This Row],[Manufacturer]]&amp;" "&amp;Table13[[#This Row],[Model]]</f>
        <v>Sturtevant Richmont 4 SDR 1800 I MG</v>
      </c>
      <c r="D2670" s="1">
        <v>4</v>
      </c>
      <c r="E2670" s="1" t="s">
        <v>169</v>
      </c>
      <c r="F2670" s="38">
        <v>1800</v>
      </c>
      <c r="G2670" t="s">
        <v>164</v>
      </c>
    </row>
    <row r="2671" spans="1:7" x14ac:dyDescent="0.25">
      <c r="A2671" s="10" t="s">
        <v>1145</v>
      </c>
      <c r="B2671" s="10" t="s">
        <v>1252</v>
      </c>
      <c r="C2671" t="str">
        <f>Table13[[#This Row],[Manufacturer]]&amp;" "&amp;Table13[[#This Row],[Model]]</f>
        <v>Sturtevant Richmont 4 SDR 200 Nm MG</v>
      </c>
      <c r="D2671" s="1">
        <v>4</v>
      </c>
      <c r="E2671" s="1" t="s">
        <v>169</v>
      </c>
      <c r="F2671" s="38">
        <v>200</v>
      </c>
      <c r="G2671" t="s">
        <v>184</v>
      </c>
    </row>
    <row r="2672" spans="1:7" x14ac:dyDescent="0.25">
      <c r="A2672" s="10" t="s">
        <v>1145</v>
      </c>
      <c r="B2672" s="10" t="s">
        <v>1251</v>
      </c>
      <c r="C2672" t="str">
        <f>Table13[[#This Row],[Manufacturer]]&amp;" "&amp;Table13[[#This Row],[Model]]</f>
        <v>Sturtevant Richmont 4 SDR 250 MG</v>
      </c>
      <c r="D2672" s="1">
        <v>4</v>
      </c>
      <c r="E2672" s="1" t="s">
        <v>169</v>
      </c>
      <c r="F2672" s="38">
        <v>250</v>
      </c>
      <c r="G2672" t="s">
        <v>166</v>
      </c>
    </row>
    <row r="2673" spans="1:7" x14ac:dyDescent="0.25">
      <c r="A2673" s="10" t="s">
        <v>1145</v>
      </c>
      <c r="B2673" s="10" t="s">
        <v>1250</v>
      </c>
      <c r="C2673" t="str">
        <f>Table13[[#This Row],[Manufacturer]]&amp;" "&amp;Table13[[#This Row],[Model]]</f>
        <v>Sturtevant Richmont 4 SDR 300 Nm</v>
      </c>
      <c r="D2673" s="1">
        <v>4</v>
      </c>
      <c r="E2673" s="1" t="s">
        <v>169</v>
      </c>
      <c r="F2673" s="38">
        <v>300</v>
      </c>
      <c r="G2673" t="s">
        <v>184</v>
      </c>
    </row>
    <row r="2674" spans="1:7" x14ac:dyDescent="0.25">
      <c r="A2674" s="10" t="s">
        <v>1145</v>
      </c>
      <c r="B2674" s="10" t="s">
        <v>1249</v>
      </c>
      <c r="C2674" t="str">
        <f>Table13[[#This Row],[Manufacturer]]&amp;" "&amp;Table13[[#This Row],[Model]]</f>
        <v>Sturtevant Richmont 400 Nm</v>
      </c>
      <c r="D2674" s="1">
        <v>4</v>
      </c>
      <c r="E2674" s="1" t="s">
        <v>169</v>
      </c>
      <c r="F2674" s="38">
        <v>400</v>
      </c>
      <c r="G2674" t="s">
        <v>184</v>
      </c>
    </row>
    <row r="2675" spans="1:7" x14ac:dyDescent="0.25">
      <c r="A2675" s="10" t="s">
        <v>1145</v>
      </c>
      <c r="B2675" s="10" t="s">
        <v>1248</v>
      </c>
      <c r="C2675" t="str">
        <f>Table13[[#This Row],[Manufacturer]]&amp;" "&amp;Table13[[#This Row],[Model]]</f>
        <v>Sturtevant Richmont 4SD150</v>
      </c>
      <c r="D2675" s="1">
        <v>4</v>
      </c>
      <c r="E2675" s="1" t="s">
        <v>169</v>
      </c>
      <c r="F2675" s="38">
        <v>150</v>
      </c>
      <c r="G2675" t="s">
        <v>166</v>
      </c>
    </row>
    <row r="2676" spans="1:7" x14ac:dyDescent="0.25">
      <c r="A2676" s="10" t="s">
        <v>1145</v>
      </c>
      <c r="B2676" s="10" t="s">
        <v>1247</v>
      </c>
      <c r="C2676" t="str">
        <f>Table13[[#This Row],[Manufacturer]]&amp;" "&amp;Table13[[#This Row],[Model]]</f>
        <v>Sturtevant Richmont 4SD1800I</v>
      </c>
      <c r="D2676" s="1">
        <v>4</v>
      </c>
      <c r="E2676" s="1" t="s">
        <v>169</v>
      </c>
      <c r="F2676" s="38">
        <v>1800</v>
      </c>
      <c r="G2676" t="s">
        <v>164</v>
      </c>
    </row>
    <row r="2677" spans="1:7" x14ac:dyDescent="0.25">
      <c r="A2677" s="10" t="s">
        <v>1145</v>
      </c>
      <c r="B2677" s="10" t="s">
        <v>1246</v>
      </c>
      <c r="C2677" t="str">
        <f>Table13[[#This Row],[Manufacturer]]&amp;" "&amp;Table13[[#This Row],[Model]]</f>
        <v>Sturtevant Richmont 4SD2000KGF.CM</v>
      </c>
      <c r="D2677" s="1">
        <v>4</v>
      </c>
      <c r="E2677" s="1" t="s">
        <v>169</v>
      </c>
      <c r="F2677" s="38">
        <v>2000</v>
      </c>
      <c r="G2677" t="s">
        <v>418</v>
      </c>
    </row>
    <row r="2678" spans="1:7" x14ac:dyDescent="0.25">
      <c r="A2678" s="10" t="s">
        <v>1145</v>
      </c>
      <c r="B2678" s="10" t="s">
        <v>1245</v>
      </c>
      <c r="C2678" t="str">
        <f>Table13[[#This Row],[Manufacturer]]&amp;" "&amp;Table13[[#This Row],[Model]]</f>
        <v>Sturtevant Richmont 4SD200NM</v>
      </c>
      <c r="D2678" s="1">
        <v>4</v>
      </c>
      <c r="E2678" s="1" t="s">
        <v>169</v>
      </c>
      <c r="F2678" s="38">
        <v>200</v>
      </c>
      <c r="G2678" t="s">
        <v>184</v>
      </c>
    </row>
    <row r="2679" spans="1:7" x14ac:dyDescent="0.25">
      <c r="A2679" s="10" t="s">
        <v>1145</v>
      </c>
      <c r="B2679" s="10" t="s">
        <v>1244</v>
      </c>
      <c r="C2679" t="str">
        <f>Table13[[#This Row],[Manufacturer]]&amp;" "&amp;Table13[[#This Row],[Model]]</f>
        <v>Sturtevant Richmont 4SDR100NM</v>
      </c>
      <c r="D2679" s="1">
        <v>4</v>
      </c>
      <c r="E2679" s="1" t="s">
        <v>169</v>
      </c>
      <c r="F2679" s="38">
        <v>100</v>
      </c>
      <c r="G2679" t="s">
        <v>184</v>
      </c>
    </row>
    <row r="2680" spans="1:7" x14ac:dyDescent="0.25">
      <c r="A2680" s="10" t="s">
        <v>1145</v>
      </c>
      <c r="B2680" s="10" t="s">
        <v>1243</v>
      </c>
      <c r="C2680" t="str">
        <f>Table13[[#This Row],[Manufacturer]]&amp;" "&amp;Table13[[#This Row],[Model]]</f>
        <v>Sturtevant Richmont 4SDR1200I</v>
      </c>
      <c r="D2680" s="1">
        <v>4</v>
      </c>
      <c r="E2680" s="1" t="s">
        <v>169</v>
      </c>
      <c r="F2680" s="38">
        <v>1200</v>
      </c>
      <c r="G2680" t="s">
        <v>166</v>
      </c>
    </row>
    <row r="2681" spans="1:7" x14ac:dyDescent="0.25">
      <c r="A2681" s="10" t="s">
        <v>1145</v>
      </c>
      <c r="B2681" s="10" t="s">
        <v>1242</v>
      </c>
      <c r="C2681" t="str">
        <f>Table13[[#This Row],[Manufacturer]]&amp;" "&amp;Table13[[#This Row],[Model]]</f>
        <v>Sturtevant Richmont 4SDR150</v>
      </c>
      <c r="D2681" s="1">
        <v>4</v>
      </c>
      <c r="E2681" s="1" t="s">
        <v>169</v>
      </c>
      <c r="F2681" s="38">
        <v>150</v>
      </c>
      <c r="G2681" t="s">
        <v>166</v>
      </c>
    </row>
    <row r="2682" spans="1:7" x14ac:dyDescent="0.25">
      <c r="A2682" s="10" t="s">
        <v>1145</v>
      </c>
      <c r="B2682" s="10" t="s">
        <v>1241</v>
      </c>
      <c r="C2682" t="str">
        <f>Table13[[#This Row],[Manufacturer]]&amp;" "&amp;Table13[[#This Row],[Model]]</f>
        <v>Sturtevant Richmont 4SDR1800I</v>
      </c>
      <c r="D2682" s="1">
        <v>4</v>
      </c>
      <c r="E2682" s="1" t="s">
        <v>169</v>
      </c>
      <c r="F2682" s="38">
        <v>1800</v>
      </c>
      <c r="G2682" t="s">
        <v>166</v>
      </c>
    </row>
    <row r="2683" spans="1:7" x14ac:dyDescent="0.25">
      <c r="A2683" s="10" t="s">
        <v>1145</v>
      </c>
      <c r="B2683" s="10" t="s">
        <v>1240</v>
      </c>
      <c r="C2683" t="str">
        <f>Table13[[#This Row],[Manufacturer]]&amp;" "&amp;Table13[[#This Row],[Model]]</f>
        <v>Sturtevant Richmont 4SDR2000KGF.CM</v>
      </c>
      <c r="D2683" s="1">
        <v>4</v>
      </c>
      <c r="E2683" s="1" t="s">
        <v>169</v>
      </c>
      <c r="F2683" s="38">
        <v>2000</v>
      </c>
      <c r="G2683" t="s">
        <v>418</v>
      </c>
    </row>
    <row r="2684" spans="1:7" x14ac:dyDescent="0.25">
      <c r="A2684" s="10" t="s">
        <v>1145</v>
      </c>
      <c r="B2684" s="10" t="s">
        <v>1239</v>
      </c>
      <c r="C2684" t="str">
        <f>Table13[[#This Row],[Manufacturer]]&amp;" "&amp;Table13[[#This Row],[Model]]</f>
        <v>Sturtevant Richmont 4SDR200NM</v>
      </c>
      <c r="D2684" s="1">
        <v>4</v>
      </c>
      <c r="E2684" s="1" t="s">
        <v>169</v>
      </c>
      <c r="F2684" s="38">
        <v>200</v>
      </c>
      <c r="G2684" t="s">
        <v>184</v>
      </c>
    </row>
    <row r="2685" spans="1:7" x14ac:dyDescent="0.25">
      <c r="A2685" s="10" t="s">
        <v>1145</v>
      </c>
      <c r="B2685" s="10" t="s">
        <v>1238</v>
      </c>
      <c r="C2685" t="str">
        <f>Table13[[#This Row],[Manufacturer]]&amp;" "&amp;Table13[[#This Row],[Model]]</f>
        <v>Sturtevant Richmont 4SDR250</v>
      </c>
      <c r="D2685" s="1">
        <v>4</v>
      </c>
      <c r="E2685" s="1" t="s">
        <v>169</v>
      </c>
      <c r="F2685" s="38">
        <v>250</v>
      </c>
      <c r="G2685" t="s">
        <v>166</v>
      </c>
    </row>
    <row r="2686" spans="1:7" x14ac:dyDescent="0.25">
      <c r="A2686" s="10" t="s">
        <v>1145</v>
      </c>
      <c r="B2686" s="10" t="s">
        <v>1237</v>
      </c>
      <c r="C2686" t="str">
        <f>Table13[[#This Row],[Manufacturer]]&amp;" "&amp;Table13[[#This Row],[Model]]</f>
        <v>Sturtevant Richmont 4SDR300NM</v>
      </c>
      <c r="D2686" s="1">
        <v>4</v>
      </c>
      <c r="E2686" s="1" t="s">
        <v>169</v>
      </c>
      <c r="F2686" s="38">
        <v>300</v>
      </c>
      <c r="G2686" t="s">
        <v>184</v>
      </c>
    </row>
    <row r="2687" spans="1:7" x14ac:dyDescent="0.25">
      <c r="A2687" s="10" t="s">
        <v>1145</v>
      </c>
      <c r="B2687" s="10" t="s">
        <v>1236</v>
      </c>
      <c r="C2687" t="str">
        <f>Table13[[#This Row],[Manufacturer]]&amp;" "&amp;Table13[[#This Row],[Model]]</f>
        <v>Sturtevant Richmont 4SDR30KGF.M</v>
      </c>
      <c r="D2687" s="1">
        <v>4</v>
      </c>
      <c r="E2687" s="1" t="s">
        <v>169</v>
      </c>
      <c r="F2687" s="38">
        <v>30</v>
      </c>
      <c r="G2687" t="s">
        <v>258</v>
      </c>
    </row>
    <row r="2688" spans="1:7" x14ac:dyDescent="0.25">
      <c r="A2688" s="10" t="s">
        <v>1145</v>
      </c>
      <c r="B2688" s="10" t="s">
        <v>1235</v>
      </c>
      <c r="C2688" t="str">
        <f>Table13[[#This Row],[Manufacturer]]&amp;" "&amp;Table13[[#This Row],[Model]]</f>
        <v>Sturtevant Richmont 4SDR900KGF.CM</v>
      </c>
      <c r="D2688" s="1">
        <v>4</v>
      </c>
      <c r="E2688" s="1" t="s">
        <v>169</v>
      </c>
      <c r="F2688" s="38">
        <v>900</v>
      </c>
      <c r="G2688" t="s">
        <v>418</v>
      </c>
    </row>
    <row r="2689" spans="1:7" x14ac:dyDescent="0.25">
      <c r="A2689" s="10" t="s">
        <v>1145</v>
      </c>
      <c r="B2689" s="10" t="s">
        <v>1234</v>
      </c>
      <c r="C2689" t="str">
        <f>Table13[[#This Row],[Manufacturer]]&amp;" "&amp;Table13[[#This Row],[Model]]</f>
        <v>Sturtevant Richmont 6 Nm</v>
      </c>
      <c r="D2689" s="1">
        <v>4</v>
      </c>
      <c r="E2689" s="1" t="s">
        <v>169</v>
      </c>
      <c r="F2689" s="38">
        <v>6</v>
      </c>
      <c r="G2689" t="s">
        <v>184</v>
      </c>
    </row>
    <row r="2690" spans="1:7" x14ac:dyDescent="0.25">
      <c r="A2690" s="10" t="s">
        <v>1145</v>
      </c>
      <c r="B2690" s="10" t="s">
        <v>1233</v>
      </c>
      <c r="C2690" t="str">
        <f>Table13[[#This Row],[Manufacturer]]&amp;" "&amp;Table13[[#This Row],[Model]]</f>
        <v>Sturtevant Richmont 6 SD 600</v>
      </c>
      <c r="D2690" s="1">
        <v>4</v>
      </c>
      <c r="E2690" s="1" t="s">
        <v>169</v>
      </c>
      <c r="F2690" s="38">
        <v>600</v>
      </c>
      <c r="G2690" t="s">
        <v>166</v>
      </c>
    </row>
    <row r="2691" spans="1:7" x14ac:dyDescent="0.25">
      <c r="A2691" s="10" t="s">
        <v>1145</v>
      </c>
      <c r="B2691" s="10" t="s">
        <v>1232</v>
      </c>
      <c r="C2691" t="str">
        <f>Table13[[#This Row],[Manufacturer]]&amp;" "&amp;Table13[[#This Row],[Model]]</f>
        <v>Sturtevant Richmont 6 SD 800 Nm</v>
      </c>
      <c r="D2691" s="1">
        <v>4</v>
      </c>
      <c r="E2691" s="1" t="s">
        <v>169</v>
      </c>
      <c r="F2691" s="38">
        <v>800</v>
      </c>
      <c r="G2691" t="s">
        <v>184</v>
      </c>
    </row>
    <row r="2692" spans="1:7" x14ac:dyDescent="0.25">
      <c r="A2692" s="10" t="s">
        <v>1145</v>
      </c>
      <c r="B2692" s="10" t="s">
        <v>1231</v>
      </c>
      <c r="C2692" t="str">
        <f>Table13[[#This Row],[Manufacturer]]&amp;" "&amp;Table13[[#This Row],[Model]]</f>
        <v>Sturtevant Richmont 6 SDR 300</v>
      </c>
      <c r="D2692" s="1">
        <v>4</v>
      </c>
      <c r="E2692" s="1" t="s">
        <v>169</v>
      </c>
      <c r="F2692" s="38">
        <v>300</v>
      </c>
      <c r="G2692" t="s">
        <v>166</v>
      </c>
    </row>
    <row r="2693" spans="1:7" x14ac:dyDescent="0.25">
      <c r="A2693" s="10" t="s">
        <v>1145</v>
      </c>
      <c r="B2693" s="10" t="s">
        <v>1230</v>
      </c>
      <c r="C2693" t="str">
        <f>Table13[[#This Row],[Manufacturer]]&amp;" "&amp;Table13[[#This Row],[Model]]</f>
        <v>Sturtevant Richmont 6 SDR 600</v>
      </c>
      <c r="D2693" s="1">
        <v>4</v>
      </c>
      <c r="E2693" s="1" t="s">
        <v>169</v>
      </c>
      <c r="F2693" s="38">
        <v>600</v>
      </c>
      <c r="G2693" t="s">
        <v>166</v>
      </c>
    </row>
    <row r="2694" spans="1:7" x14ac:dyDescent="0.25">
      <c r="A2694" s="10" t="s">
        <v>1145</v>
      </c>
      <c r="B2694" s="10" t="s">
        <v>1229</v>
      </c>
      <c r="C2694" t="str">
        <f>Table13[[#This Row],[Manufacturer]]&amp;" "&amp;Table13[[#This Row],[Model]]</f>
        <v>Sturtevant Richmont 6 SDR 700</v>
      </c>
      <c r="D2694" s="1">
        <v>4</v>
      </c>
      <c r="E2694" s="1" t="s">
        <v>169</v>
      </c>
      <c r="F2694" s="38">
        <v>700</v>
      </c>
      <c r="G2694" t="s">
        <v>166</v>
      </c>
    </row>
    <row r="2695" spans="1:7" x14ac:dyDescent="0.25">
      <c r="A2695" s="10" t="s">
        <v>1145</v>
      </c>
      <c r="B2695" s="10" t="s">
        <v>1228</v>
      </c>
      <c r="C2695" t="str">
        <f>Table13[[#This Row],[Manufacturer]]&amp;" "&amp;Table13[[#This Row],[Model]]</f>
        <v>Sturtevant Richmont 600 Nm</v>
      </c>
      <c r="D2695" s="1">
        <v>4</v>
      </c>
      <c r="E2695" s="1" t="s">
        <v>169</v>
      </c>
      <c r="F2695" s="38">
        <v>600</v>
      </c>
      <c r="G2695" t="s">
        <v>184</v>
      </c>
    </row>
    <row r="2696" spans="1:7" x14ac:dyDescent="0.25">
      <c r="A2696" s="10" t="s">
        <v>1145</v>
      </c>
      <c r="B2696" s="10" t="s">
        <v>1227</v>
      </c>
      <c r="C2696" t="str">
        <f>Table13[[#This Row],[Manufacturer]]&amp;" "&amp;Table13[[#This Row],[Model]]</f>
        <v>Sturtevant Richmont 6SD300</v>
      </c>
      <c r="D2696" s="1">
        <v>4</v>
      </c>
      <c r="E2696" s="1" t="s">
        <v>169</v>
      </c>
      <c r="F2696" s="38">
        <v>300</v>
      </c>
      <c r="G2696" t="s">
        <v>166</v>
      </c>
    </row>
    <row r="2697" spans="1:7" x14ac:dyDescent="0.25">
      <c r="A2697" s="10" t="s">
        <v>1145</v>
      </c>
      <c r="B2697" s="10" t="s">
        <v>1226</v>
      </c>
      <c r="C2697" t="str">
        <f>Table13[[#This Row],[Manufacturer]]&amp;" "&amp;Table13[[#This Row],[Model]]</f>
        <v>Sturtevant Richmont 6SD600</v>
      </c>
      <c r="D2697" s="1">
        <v>4</v>
      </c>
      <c r="E2697" s="1" t="s">
        <v>169</v>
      </c>
      <c r="F2697" s="38">
        <v>600</v>
      </c>
      <c r="G2697" t="s">
        <v>166</v>
      </c>
    </row>
    <row r="2698" spans="1:7" x14ac:dyDescent="0.25">
      <c r="A2698" s="10" t="s">
        <v>1145</v>
      </c>
      <c r="B2698" s="10" t="s">
        <v>1225</v>
      </c>
      <c r="C2698" t="str">
        <f>Table13[[#This Row],[Manufacturer]]&amp;" "&amp;Table13[[#This Row],[Model]]</f>
        <v>Sturtevant Richmont 6SD800NM</v>
      </c>
      <c r="D2698" s="1">
        <v>4</v>
      </c>
      <c r="E2698" s="1" t="s">
        <v>169</v>
      </c>
      <c r="F2698" s="38">
        <v>800</v>
      </c>
      <c r="G2698" t="s">
        <v>184</v>
      </c>
    </row>
    <row r="2699" spans="1:7" x14ac:dyDescent="0.25">
      <c r="A2699" s="10" t="s">
        <v>1145</v>
      </c>
      <c r="B2699" s="10" t="s">
        <v>1224</v>
      </c>
      <c r="C2699" t="str">
        <f>Table13[[#This Row],[Manufacturer]]&amp;" "&amp;Table13[[#This Row],[Model]]</f>
        <v>Sturtevant Richmont 6SD80KGF.CM</v>
      </c>
      <c r="D2699" s="1">
        <v>4</v>
      </c>
      <c r="E2699" s="1" t="s">
        <v>169</v>
      </c>
      <c r="F2699" s="38">
        <v>80</v>
      </c>
      <c r="G2699" t="s">
        <v>258</v>
      </c>
    </row>
    <row r="2700" spans="1:7" x14ac:dyDescent="0.25">
      <c r="A2700" s="10" t="s">
        <v>1145</v>
      </c>
      <c r="B2700" s="10" t="s">
        <v>1223</v>
      </c>
      <c r="C2700" t="str">
        <f>Table13[[#This Row],[Manufacturer]]&amp;" "&amp;Table13[[#This Row],[Model]]</f>
        <v>Sturtevant Richmont 6SDR250</v>
      </c>
      <c r="D2700" s="1">
        <v>4</v>
      </c>
      <c r="E2700" s="1" t="s">
        <v>169</v>
      </c>
      <c r="F2700" s="38">
        <v>250</v>
      </c>
      <c r="G2700" t="s">
        <v>166</v>
      </c>
    </row>
    <row r="2701" spans="1:7" x14ac:dyDescent="0.25">
      <c r="A2701" s="10" t="s">
        <v>1145</v>
      </c>
      <c r="B2701" s="10" t="s">
        <v>1222</v>
      </c>
      <c r="C2701" t="str">
        <f>Table13[[#This Row],[Manufacturer]]&amp;" "&amp;Table13[[#This Row],[Model]]</f>
        <v>Sturtevant Richmont 6SDR300</v>
      </c>
      <c r="D2701" s="1">
        <v>4</v>
      </c>
      <c r="E2701" s="1" t="s">
        <v>169</v>
      </c>
      <c r="F2701" s="38">
        <v>300</v>
      </c>
      <c r="G2701" t="s">
        <v>166</v>
      </c>
    </row>
    <row r="2702" spans="1:7" x14ac:dyDescent="0.25">
      <c r="A2702" s="10" t="s">
        <v>1145</v>
      </c>
      <c r="B2702" s="10" t="s">
        <v>1221</v>
      </c>
      <c r="C2702" t="str">
        <f>Table13[[#This Row],[Manufacturer]]&amp;" "&amp;Table13[[#This Row],[Model]]</f>
        <v>Sturtevant Richmont 6SDR300NM</v>
      </c>
      <c r="D2702" s="1">
        <v>4</v>
      </c>
      <c r="E2702" s="1" t="s">
        <v>169</v>
      </c>
      <c r="F2702" s="38">
        <v>300</v>
      </c>
      <c r="G2702" t="s">
        <v>184</v>
      </c>
    </row>
    <row r="2703" spans="1:7" x14ac:dyDescent="0.25">
      <c r="A2703" s="10" t="s">
        <v>1145</v>
      </c>
      <c r="B2703" s="10" t="s">
        <v>1220</v>
      </c>
      <c r="C2703" t="str">
        <f>Table13[[#This Row],[Manufacturer]]&amp;" "&amp;Table13[[#This Row],[Model]]</f>
        <v>Sturtevant Richmont 6SDR30KGF.M</v>
      </c>
      <c r="D2703" s="1">
        <v>4</v>
      </c>
      <c r="E2703" s="1" t="s">
        <v>169</v>
      </c>
      <c r="F2703" s="38">
        <v>30</v>
      </c>
      <c r="G2703" t="s">
        <v>258</v>
      </c>
    </row>
    <row r="2704" spans="1:7" x14ac:dyDescent="0.25">
      <c r="A2704" s="10" t="s">
        <v>1145</v>
      </c>
      <c r="B2704" s="10" t="s">
        <v>1219</v>
      </c>
      <c r="C2704" t="str">
        <f>Table13[[#This Row],[Manufacturer]]&amp;" "&amp;Table13[[#This Row],[Model]]</f>
        <v>Sturtevant Richmont 6SDR40KGF.M</v>
      </c>
      <c r="D2704" s="1">
        <v>4</v>
      </c>
      <c r="E2704" s="1" t="s">
        <v>169</v>
      </c>
      <c r="F2704" s="38">
        <v>40</v>
      </c>
      <c r="G2704" t="s">
        <v>258</v>
      </c>
    </row>
    <row r="2705" spans="1:7" x14ac:dyDescent="0.25">
      <c r="A2705" s="10" t="s">
        <v>1145</v>
      </c>
      <c r="B2705" s="10" t="s">
        <v>1218</v>
      </c>
      <c r="C2705" t="str">
        <f>Table13[[#This Row],[Manufacturer]]&amp;" "&amp;Table13[[#This Row],[Model]]</f>
        <v>Sturtevant Richmont 6SDR600</v>
      </c>
      <c r="D2705" s="1">
        <v>4</v>
      </c>
      <c r="E2705" s="1" t="s">
        <v>169</v>
      </c>
      <c r="F2705" s="38">
        <v>600</v>
      </c>
      <c r="G2705" t="s">
        <v>166</v>
      </c>
    </row>
    <row r="2706" spans="1:7" x14ac:dyDescent="0.25">
      <c r="A2706" s="10" t="s">
        <v>1145</v>
      </c>
      <c r="B2706" s="10" t="s">
        <v>1217</v>
      </c>
      <c r="C2706" t="str">
        <f>Table13[[#This Row],[Manufacturer]]&amp;" "&amp;Table13[[#This Row],[Model]]</f>
        <v>Sturtevant Richmont 6SDR60KGF.M</v>
      </c>
      <c r="D2706" s="1">
        <v>4</v>
      </c>
      <c r="E2706" s="1" t="s">
        <v>169</v>
      </c>
      <c r="F2706" s="38">
        <v>60</v>
      </c>
      <c r="G2706" t="s">
        <v>258</v>
      </c>
    </row>
    <row r="2707" spans="1:7" x14ac:dyDescent="0.25">
      <c r="A2707" s="10" t="s">
        <v>1145</v>
      </c>
      <c r="B2707" s="10" t="s">
        <v>1216</v>
      </c>
      <c r="C2707" t="str">
        <f>Table13[[#This Row],[Manufacturer]]&amp;" "&amp;Table13[[#This Row],[Model]]</f>
        <v>Sturtevant Richmont 6SDR800NM</v>
      </c>
      <c r="D2707" s="1">
        <v>4</v>
      </c>
      <c r="E2707" s="1" t="s">
        <v>169</v>
      </c>
      <c r="F2707" s="38">
        <v>800</v>
      </c>
      <c r="G2707" t="s">
        <v>184</v>
      </c>
    </row>
    <row r="2708" spans="1:7" x14ac:dyDescent="0.25">
      <c r="A2708" s="10" t="s">
        <v>1145</v>
      </c>
      <c r="B2708" s="10" t="s">
        <v>1215</v>
      </c>
      <c r="C2708" t="str">
        <f>Table13[[#This Row],[Manufacturer]]&amp;" "&amp;Table13[[#This Row],[Model]]</f>
        <v>Sturtevant Richmont 6SDR80KGF.M</v>
      </c>
      <c r="D2708" s="1">
        <v>4</v>
      </c>
      <c r="E2708" s="1" t="s">
        <v>169</v>
      </c>
      <c r="F2708" s="38">
        <v>80</v>
      </c>
      <c r="G2708" t="s">
        <v>258</v>
      </c>
    </row>
    <row r="2709" spans="1:7" x14ac:dyDescent="0.25">
      <c r="A2709" s="10" t="s">
        <v>1145</v>
      </c>
      <c r="B2709" s="10" t="s">
        <v>1214</v>
      </c>
      <c r="C2709" t="str">
        <f>Table13[[#This Row],[Manufacturer]]&amp;" "&amp;Table13[[#This Row],[Model]]</f>
        <v>Sturtevant Richmont CCM 1200 I MG</v>
      </c>
      <c r="D2709" s="1">
        <v>4</v>
      </c>
      <c r="E2709" s="1" t="s">
        <v>169</v>
      </c>
      <c r="F2709" s="38">
        <v>1200</v>
      </c>
      <c r="G2709" t="s">
        <v>164</v>
      </c>
    </row>
    <row r="2710" spans="1:7" x14ac:dyDescent="0.25">
      <c r="A2710" s="10" t="s">
        <v>1145</v>
      </c>
      <c r="B2710" s="10" t="s">
        <v>1213</v>
      </c>
      <c r="C2710" t="str">
        <f>Table13[[#This Row],[Manufacturer]]&amp;" "&amp;Table13[[#This Row],[Model]]</f>
        <v>Sturtevant Richmont CCM 150 I MG</v>
      </c>
      <c r="D2710" s="1">
        <v>4</v>
      </c>
      <c r="E2710" s="1" t="s">
        <v>169</v>
      </c>
      <c r="F2710" s="38">
        <v>150</v>
      </c>
      <c r="G2710" t="s">
        <v>164</v>
      </c>
    </row>
    <row r="2711" spans="1:7" x14ac:dyDescent="0.25">
      <c r="A2711" s="10" t="s">
        <v>1145</v>
      </c>
      <c r="B2711" s="10" t="s">
        <v>1212</v>
      </c>
      <c r="C2711" t="str">
        <f>Table13[[#This Row],[Manufacturer]]&amp;" "&amp;Table13[[#This Row],[Model]]</f>
        <v>Sturtevant Richmont CCM 150 MG</v>
      </c>
      <c r="D2711" s="1">
        <v>4</v>
      </c>
      <c r="E2711" s="1" t="s">
        <v>169</v>
      </c>
      <c r="F2711" s="38">
        <v>150</v>
      </c>
      <c r="G2711" t="s">
        <v>166</v>
      </c>
    </row>
    <row r="2712" spans="1:7" x14ac:dyDescent="0.25">
      <c r="A2712" s="10" t="s">
        <v>1145</v>
      </c>
      <c r="B2712" s="10" t="s">
        <v>1211</v>
      </c>
      <c r="C2712" t="str">
        <f>Table13[[#This Row],[Manufacturer]]&amp;" "&amp;Table13[[#This Row],[Model]]</f>
        <v>Sturtevant Richmont CCM 1800 I MG</v>
      </c>
      <c r="D2712" s="1">
        <v>4</v>
      </c>
      <c r="E2712" s="1" t="s">
        <v>169</v>
      </c>
      <c r="F2712" s="38">
        <v>1800</v>
      </c>
      <c r="G2712" t="s">
        <v>164</v>
      </c>
    </row>
    <row r="2713" spans="1:7" x14ac:dyDescent="0.25">
      <c r="A2713" s="10" t="s">
        <v>1145</v>
      </c>
      <c r="B2713" s="10" t="s">
        <v>1210</v>
      </c>
      <c r="C2713" t="str">
        <f>Table13[[#This Row],[Manufacturer]]&amp;" "&amp;Table13[[#This Row],[Model]]</f>
        <v>Sturtevant Richmont CCM 300 MG</v>
      </c>
      <c r="D2713" s="1">
        <v>4</v>
      </c>
      <c r="E2713" s="1" t="s">
        <v>169</v>
      </c>
      <c r="F2713" s="38">
        <v>300</v>
      </c>
      <c r="G2713" t="s">
        <v>166</v>
      </c>
    </row>
    <row r="2714" spans="1:7" x14ac:dyDescent="0.25">
      <c r="A2714" s="10" t="s">
        <v>1145</v>
      </c>
      <c r="B2714" s="10" t="s">
        <v>1209</v>
      </c>
      <c r="C2714" t="str">
        <f>Table13[[#This Row],[Manufacturer]]&amp;" "&amp;Table13[[#This Row],[Model]]</f>
        <v>Sturtevant Richmont CCM 400 MG</v>
      </c>
      <c r="D2714" s="1">
        <v>4</v>
      </c>
      <c r="E2714" s="1" t="s">
        <v>169</v>
      </c>
      <c r="F2714" s="38">
        <v>400</v>
      </c>
      <c r="G2714" t="s">
        <v>166</v>
      </c>
    </row>
    <row r="2715" spans="1:7" x14ac:dyDescent="0.25">
      <c r="A2715" s="10" t="s">
        <v>1145</v>
      </c>
      <c r="B2715" s="10" t="s">
        <v>1208</v>
      </c>
      <c r="C2715" t="str">
        <f>Table13[[#This Row],[Manufacturer]]&amp;" "&amp;Table13[[#This Row],[Model]]</f>
        <v>Sturtevant Richmont CCM 50 I MG</v>
      </c>
      <c r="D2715" s="1">
        <v>4</v>
      </c>
      <c r="E2715" s="1" t="s">
        <v>169</v>
      </c>
      <c r="F2715" s="38">
        <v>50</v>
      </c>
      <c r="G2715" t="s">
        <v>164</v>
      </c>
    </row>
    <row r="2716" spans="1:7" x14ac:dyDescent="0.25">
      <c r="A2716" s="10" t="s">
        <v>1145</v>
      </c>
      <c r="B2716" s="10" t="s">
        <v>1207</v>
      </c>
      <c r="C2716" t="str">
        <f>Table13[[#This Row],[Manufacturer]]&amp;" "&amp;Table13[[#This Row],[Model]]</f>
        <v>Sturtevant Richmont CCM 600 I MG</v>
      </c>
      <c r="D2716" s="1">
        <v>4</v>
      </c>
      <c r="E2716" s="1" t="s">
        <v>169</v>
      </c>
      <c r="F2716" s="38">
        <v>600</v>
      </c>
      <c r="G2716" t="s">
        <v>164</v>
      </c>
    </row>
    <row r="2717" spans="1:7" x14ac:dyDescent="0.25">
      <c r="A2717" s="10" t="s">
        <v>1145</v>
      </c>
      <c r="B2717" s="10" t="s">
        <v>1206</v>
      </c>
      <c r="C2717" t="str">
        <f>Table13[[#This Row],[Manufacturer]]&amp;" "&amp;Table13[[#This Row],[Model]]</f>
        <v>Sturtevant Richmont CCM 75 MG</v>
      </c>
      <c r="D2717" s="1">
        <v>4</v>
      </c>
      <c r="E2717" s="1" t="s">
        <v>169</v>
      </c>
      <c r="F2717" s="38">
        <v>75</v>
      </c>
      <c r="G2717" t="s">
        <v>166</v>
      </c>
    </row>
    <row r="2718" spans="1:7" x14ac:dyDescent="0.25">
      <c r="A2718" s="10" t="s">
        <v>1145</v>
      </c>
      <c r="B2718" s="10" t="s">
        <v>1205</v>
      </c>
      <c r="C2718" t="str">
        <f>Table13[[#This Row],[Manufacturer]]&amp;" "&amp;Table13[[#This Row],[Model]]</f>
        <v>Sturtevant Richmont CCM 750 I MG</v>
      </c>
      <c r="D2718" s="1">
        <v>4</v>
      </c>
      <c r="E2718" s="1" t="s">
        <v>169</v>
      </c>
      <c r="F2718" s="38">
        <v>750</v>
      </c>
      <c r="G2718" t="s">
        <v>164</v>
      </c>
    </row>
    <row r="2719" spans="1:7" x14ac:dyDescent="0.25">
      <c r="A2719" s="10" t="s">
        <v>1145</v>
      </c>
      <c r="B2719" s="10" t="s">
        <v>1204</v>
      </c>
      <c r="C2719" t="str">
        <f>Table13[[#This Row],[Manufacturer]]&amp;" "&amp;Table13[[#This Row],[Model]]</f>
        <v>Sturtevant Richmont CCM100</v>
      </c>
      <c r="D2719" s="1">
        <v>4</v>
      </c>
      <c r="E2719" s="1" t="s">
        <v>169</v>
      </c>
      <c r="F2719" s="38">
        <v>100</v>
      </c>
      <c r="G2719" t="s">
        <v>166</v>
      </c>
    </row>
    <row r="2720" spans="1:7" x14ac:dyDescent="0.25">
      <c r="A2720" s="10" t="s">
        <v>1145</v>
      </c>
      <c r="B2720" s="10" t="s">
        <v>1203</v>
      </c>
      <c r="C2720" t="str">
        <f>Table13[[#This Row],[Manufacturer]]&amp;" "&amp;Table13[[#This Row],[Model]]</f>
        <v>Sturtevant Richmont CCM100NM</v>
      </c>
      <c r="D2720" s="1">
        <v>4</v>
      </c>
      <c r="E2720" s="1" t="s">
        <v>169</v>
      </c>
      <c r="F2720" s="38">
        <v>100</v>
      </c>
      <c r="G2720" t="s">
        <v>184</v>
      </c>
    </row>
    <row r="2721" spans="1:7" x14ac:dyDescent="0.25">
      <c r="A2721" s="10" t="s">
        <v>1145</v>
      </c>
      <c r="B2721" s="10" t="s">
        <v>1202</v>
      </c>
      <c r="C2721" t="str">
        <f>Table13[[#This Row],[Manufacturer]]&amp;" "&amp;Table13[[#This Row],[Model]]</f>
        <v>Sturtevant Richmont CCM1200I</v>
      </c>
      <c r="D2721" s="1">
        <v>4</v>
      </c>
      <c r="E2721" s="1" t="s">
        <v>169</v>
      </c>
      <c r="F2721" s="38">
        <v>1200</v>
      </c>
      <c r="G2721" t="s">
        <v>164</v>
      </c>
    </row>
    <row r="2722" spans="1:7" x14ac:dyDescent="0.25">
      <c r="A2722" s="10" t="s">
        <v>1145</v>
      </c>
      <c r="B2722" s="10" t="s">
        <v>1201</v>
      </c>
      <c r="C2722" t="str">
        <f>Table13[[#This Row],[Manufacturer]]&amp;" "&amp;Table13[[#This Row],[Model]]</f>
        <v>Sturtevant Richmont CCM150</v>
      </c>
      <c r="D2722" s="1">
        <v>4</v>
      </c>
      <c r="E2722" s="1" t="s">
        <v>169</v>
      </c>
      <c r="F2722" s="38">
        <v>150</v>
      </c>
      <c r="G2722" t="s">
        <v>166</v>
      </c>
    </row>
    <row r="2723" spans="1:7" x14ac:dyDescent="0.25">
      <c r="A2723" s="10" t="s">
        <v>1145</v>
      </c>
      <c r="B2723" s="10" t="s">
        <v>1200</v>
      </c>
      <c r="C2723" t="str">
        <f>Table13[[#This Row],[Manufacturer]]&amp;" "&amp;Table13[[#This Row],[Model]]</f>
        <v>Sturtevant Richmont CCM150I</v>
      </c>
      <c r="D2723" s="1">
        <v>4</v>
      </c>
      <c r="E2723" s="1" t="s">
        <v>169</v>
      </c>
      <c r="F2723" s="38">
        <v>150</v>
      </c>
      <c r="G2723" t="s">
        <v>164</v>
      </c>
    </row>
    <row r="2724" spans="1:7" x14ac:dyDescent="0.25">
      <c r="A2724" s="10" t="s">
        <v>1145</v>
      </c>
      <c r="B2724" s="10" t="s">
        <v>1199</v>
      </c>
      <c r="C2724" t="str">
        <f>Table13[[#This Row],[Manufacturer]]&amp;" "&amp;Table13[[#This Row],[Model]]</f>
        <v>Sturtevant Richmont CCM1800I</v>
      </c>
      <c r="D2724" s="1">
        <v>4</v>
      </c>
      <c r="E2724" s="1" t="s">
        <v>169</v>
      </c>
      <c r="F2724" s="38">
        <v>1800</v>
      </c>
      <c r="G2724" t="s">
        <v>166</v>
      </c>
    </row>
    <row r="2725" spans="1:7" x14ac:dyDescent="0.25">
      <c r="A2725" s="10" t="s">
        <v>1145</v>
      </c>
      <c r="B2725" s="10" t="s">
        <v>1198</v>
      </c>
      <c r="C2725" t="str">
        <f>Table13[[#This Row],[Manufacturer]]&amp;" "&amp;Table13[[#This Row],[Model]]</f>
        <v>Sturtevant Richmont CCM2000KGF.CM</v>
      </c>
      <c r="D2725" s="1">
        <v>4</v>
      </c>
      <c r="E2725" s="1" t="s">
        <v>169</v>
      </c>
      <c r="F2725" s="38">
        <v>2000</v>
      </c>
      <c r="G2725" t="s">
        <v>418</v>
      </c>
    </row>
    <row r="2726" spans="1:7" x14ac:dyDescent="0.25">
      <c r="A2726" s="10" t="s">
        <v>1145</v>
      </c>
      <c r="B2726" s="10" t="s">
        <v>1197</v>
      </c>
      <c r="C2726" t="str">
        <f>Table13[[#This Row],[Manufacturer]]&amp;" "&amp;Table13[[#This Row],[Model]]</f>
        <v>Sturtevant Richmont CCM200KGF.CM</v>
      </c>
      <c r="D2726" s="1">
        <v>4</v>
      </c>
      <c r="E2726" s="1" t="s">
        <v>169</v>
      </c>
      <c r="F2726" s="38">
        <v>200</v>
      </c>
      <c r="G2726" t="s">
        <v>418</v>
      </c>
    </row>
    <row r="2727" spans="1:7" x14ac:dyDescent="0.25">
      <c r="A2727" s="10" t="s">
        <v>1145</v>
      </c>
      <c r="B2727" s="10" t="s">
        <v>1196</v>
      </c>
      <c r="C2727" t="str">
        <f>Table13[[#This Row],[Manufacturer]]&amp;" "&amp;Table13[[#This Row],[Model]]</f>
        <v>Sturtevant Richmont CCM200NM</v>
      </c>
      <c r="D2727" s="1">
        <v>4</v>
      </c>
      <c r="E2727" s="1" t="s">
        <v>169</v>
      </c>
      <c r="F2727" s="38">
        <v>200</v>
      </c>
      <c r="G2727" t="s">
        <v>184</v>
      </c>
    </row>
    <row r="2728" spans="1:7" x14ac:dyDescent="0.25">
      <c r="A2728" s="10" t="s">
        <v>1145</v>
      </c>
      <c r="B2728" s="10" t="s">
        <v>1195</v>
      </c>
      <c r="C2728" t="str">
        <f>Table13[[#This Row],[Manufacturer]]&amp;" "&amp;Table13[[#This Row],[Model]]</f>
        <v>Sturtevant Richmont CCM20NM</v>
      </c>
      <c r="D2728" s="1">
        <v>4</v>
      </c>
      <c r="E2728" s="1" t="s">
        <v>169</v>
      </c>
      <c r="F2728" s="38">
        <v>20</v>
      </c>
      <c r="G2728" t="s">
        <v>184</v>
      </c>
    </row>
    <row r="2729" spans="1:7" x14ac:dyDescent="0.25">
      <c r="A2729" s="10" t="s">
        <v>1145</v>
      </c>
      <c r="B2729" s="10" t="s">
        <v>1194</v>
      </c>
      <c r="C2729" t="str">
        <f>Table13[[#This Row],[Manufacturer]]&amp;" "&amp;Table13[[#This Row],[Model]]</f>
        <v>Sturtevant Richmont CCM300</v>
      </c>
      <c r="D2729" s="1">
        <v>4</v>
      </c>
      <c r="E2729" s="1" t="s">
        <v>169</v>
      </c>
      <c r="F2729" s="38">
        <v>300</v>
      </c>
      <c r="G2729" t="s">
        <v>166</v>
      </c>
    </row>
    <row r="2730" spans="1:7" x14ac:dyDescent="0.25">
      <c r="A2730" s="10" t="s">
        <v>1145</v>
      </c>
      <c r="B2730" s="10" t="s">
        <v>1193</v>
      </c>
      <c r="C2730" t="str">
        <f>Table13[[#This Row],[Manufacturer]]&amp;" "&amp;Table13[[#This Row],[Model]]</f>
        <v>Sturtevant Richmont CCM400</v>
      </c>
      <c r="D2730" s="1">
        <v>4</v>
      </c>
      <c r="E2730" s="1" t="s">
        <v>169</v>
      </c>
      <c r="F2730" s="38">
        <v>400</v>
      </c>
      <c r="G2730" t="s">
        <v>166</v>
      </c>
    </row>
    <row r="2731" spans="1:7" x14ac:dyDescent="0.25">
      <c r="A2731" s="10" t="s">
        <v>1145</v>
      </c>
      <c r="B2731" s="10" t="s">
        <v>1192</v>
      </c>
      <c r="C2731" t="str">
        <f>Table13[[#This Row],[Manufacturer]]&amp;" "&amp;Table13[[#This Row],[Model]]</f>
        <v>Sturtevant Richmont CCM400NM</v>
      </c>
      <c r="D2731" s="1">
        <v>4</v>
      </c>
      <c r="E2731" s="1" t="s">
        <v>169</v>
      </c>
      <c r="F2731" s="38">
        <v>400</v>
      </c>
      <c r="G2731" t="s">
        <v>184</v>
      </c>
    </row>
    <row r="2732" spans="1:7" x14ac:dyDescent="0.25">
      <c r="A2732" s="10" t="s">
        <v>1145</v>
      </c>
      <c r="B2732" s="10" t="s">
        <v>1191</v>
      </c>
      <c r="C2732" t="str">
        <f>Table13[[#This Row],[Manufacturer]]&amp;" "&amp;Table13[[#This Row],[Model]]</f>
        <v>Sturtevant Richmont CCM40KGF.M</v>
      </c>
      <c r="D2732" s="1">
        <v>4</v>
      </c>
      <c r="E2732" s="1" t="s">
        <v>169</v>
      </c>
      <c r="F2732" s="38">
        <v>40</v>
      </c>
      <c r="G2732" t="s">
        <v>258</v>
      </c>
    </row>
    <row r="2733" spans="1:7" x14ac:dyDescent="0.25">
      <c r="A2733" s="10" t="s">
        <v>1145</v>
      </c>
      <c r="B2733" s="10" t="s">
        <v>1190</v>
      </c>
      <c r="C2733" t="str">
        <f>Table13[[#This Row],[Manufacturer]]&amp;" "&amp;Table13[[#This Row],[Model]]</f>
        <v>Sturtevant Richmont CCM50I</v>
      </c>
      <c r="D2733" s="1">
        <v>4</v>
      </c>
      <c r="E2733" s="1" t="s">
        <v>169</v>
      </c>
      <c r="F2733" s="38">
        <v>50</v>
      </c>
      <c r="G2733" t="s">
        <v>164</v>
      </c>
    </row>
    <row r="2734" spans="1:7" x14ac:dyDescent="0.25">
      <c r="A2734" s="10" t="s">
        <v>1145</v>
      </c>
      <c r="B2734" s="10" t="s">
        <v>1189</v>
      </c>
      <c r="C2734" t="str">
        <f>Table13[[#This Row],[Manufacturer]]&amp;" "&amp;Table13[[#This Row],[Model]]</f>
        <v>Sturtevant Richmont CCM600I</v>
      </c>
      <c r="D2734" s="1">
        <v>4</v>
      </c>
      <c r="E2734" s="1" t="s">
        <v>169</v>
      </c>
      <c r="F2734" s="38">
        <v>600</v>
      </c>
      <c r="G2734" t="s">
        <v>164</v>
      </c>
    </row>
    <row r="2735" spans="1:7" x14ac:dyDescent="0.25">
      <c r="A2735" s="10" t="s">
        <v>1145</v>
      </c>
      <c r="B2735" s="10" t="s">
        <v>1188</v>
      </c>
      <c r="C2735" t="str">
        <f>Table13[[#This Row],[Manufacturer]]&amp;" "&amp;Table13[[#This Row],[Model]]</f>
        <v>Sturtevant Richmont CCM600NM</v>
      </c>
      <c r="D2735" s="1">
        <v>4</v>
      </c>
      <c r="E2735" s="1" t="s">
        <v>169</v>
      </c>
      <c r="F2735" s="38">
        <v>600</v>
      </c>
      <c r="G2735" t="s">
        <v>184</v>
      </c>
    </row>
    <row r="2736" spans="1:7" x14ac:dyDescent="0.25">
      <c r="A2736" s="10" t="s">
        <v>1145</v>
      </c>
      <c r="B2736" s="10" t="s">
        <v>1187</v>
      </c>
      <c r="C2736" t="str">
        <f>Table13[[#This Row],[Manufacturer]]&amp;" "&amp;Table13[[#This Row],[Model]]</f>
        <v>Sturtevant Richmont CCM60KGF.CM</v>
      </c>
      <c r="D2736" s="1">
        <v>4</v>
      </c>
      <c r="E2736" s="1" t="s">
        <v>169</v>
      </c>
      <c r="F2736" s="38">
        <v>60</v>
      </c>
      <c r="G2736" t="s">
        <v>418</v>
      </c>
    </row>
    <row r="2737" spans="1:7" x14ac:dyDescent="0.25">
      <c r="A2737" s="10" t="s">
        <v>1145</v>
      </c>
      <c r="B2737" s="10" t="s">
        <v>1186</v>
      </c>
      <c r="C2737" t="str">
        <f>Table13[[#This Row],[Manufacturer]]&amp;" "&amp;Table13[[#This Row],[Model]]</f>
        <v>Sturtevant Richmont CCM60KGF.M</v>
      </c>
      <c r="D2737" s="1">
        <v>4</v>
      </c>
      <c r="E2737" s="1" t="s">
        <v>169</v>
      </c>
      <c r="F2737" s="38">
        <v>60</v>
      </c>
      <c r="G2737" t="s">
        <v>258</v>
      </c>
    </row>
    <row r="2738" spans="1:7" x14ac:dyDescent="0.25">
      <c r="A2738" s="10" t="s">
        <v>1145</v>
      </c>
      <c r="B2738" s="10" t="s">
        <v>1185</v>
      </c>
      <c r="C2738" t="str">
        <f>Table13[[#This Row],[Manufacturer]]&amp;" "&amp;Table13[[#This Row],[Model]]</f>
        <v>Sturtevant Richmont CCM6NM</v>
      </c>
      <c r="D2738" s="1">
        <v>4</v>
      </c>
      <c r="E2738" s="1" t="s">
        <v>169</v>
      </c>
      <c r="F2738" s="38">
        <v>6</v>
      </c>
      <c r="G2738" t="s">
        <v>184</v>
      </c>
    </row>
    <row r="2739" spans="1:7" x14ac:dyDescent="0.25">
      <c r="A2739" s="10" t="s">
        <v>1145</v>
      </c>
      <c r="B2739" s="10" t="s">
        <v>1184</v>
      </c>
      <c r="C2739" t="str">
        <f>Table13[[#This Row],[Manufacturer]]&amp;" "&amp;Table13[[#This Row],[Model]]</f>
        <v>Sturtevant Richmont CCM900KGF.CM</v>
      </c>
      <c r="D2739" s="1">
        <v>4</v>
      </c>
      <c r="E2739" s="1" t="s">
        <v>169</v>
      </c>
      <c r="F2739" s="38">
        <v>900</v>
      </c>
      <c r="G2739" t="s">
        <v>418</v>
      </c>
    </row>
    <row r="2740" spans="1:7" x14ac:dyDescent="0.25">
      <c r="A2740" s="10" t="s">
        <v>1145</v>
      </c>
      <c r="B2740" s="10" t="s">
        <v>1183</v>
      </c>
      <c r="C2740" t="str">
        <f>Table13[[#This Row],[Manufacturer]]&amp;" "&amp;Table13[[#This Row],[Model]]</f>
        <v xml:space="preserve">Sturtevant Richmont LTC 150 I </v>
      </c>
      <c r="D2740" s="1">
        <v>4</v>
      </c>
      <c r="E2740" s="1" t="s">
        <v>169</v>
      </c>
      <c r="F2740" s="38">
        <v>150</v>
      </c>
      <c r="G2740" t="s">
        <v>164</v>
      </c>
    </row>
    <row r="2741" spans="1:7" x14ac:dyDescent="0.25">
      <c r="A2741" s="10" t="s">
        <v>1145</v>
      </c>
      <c r="B2741" s="10" t="s">
        <v>1182</v>
      </c>
      <c r="C2741" t="str">
        <f>Table13[[#This Row],[Manufacturer]]&amp;" "&amp;Table13[[#This Row],[Model]]</f>
        <v>Sturtevant Richmont LTC 1800 I</v>
      </c>
      <c r="D2741" s="1">
        <v>4</v>
      </c>
      <c r="E2741" s="1" t="s">
        <v>169</v>
      </c>
      <c r="F2741" s="38">
        <v>1800</v>
      </c>
      <c r="G2741" t="s">
        <v>164</v>
      </c>
    </row>
    <row r="2742" spans="1:7" x14ac:dyDescent="0.25">
      <c r="A2742" s="10" t="s">
        <v>1145</v>
      </c>
      <c r="B2742" s="10" t="s">
        <v>1181</v>
      </c>
      <c r="C2742" t="str">
        <f>Table13[[#This Row],[Manufacturer]]&amp;" "&amp;Table13[[#This Row],[Model]]</f>
        <v>Sturtevant Richmont LTC 300 I</v>
      </c>
      <c r="D2742" s="1">
        <v>4</v>
      </c>
      <c r="E2742" s="1" t="s">
        <v>169</v>
      </c>
      <c r="F2742" s="38">
        <v>300</v>
      </c>
      <c r="G2742" t="s">
        <v>164</v>
      </c>
    </row>
    <row r="2743" spans="1:7" x14ac:dyDescent="0.25">
      <c r="A2743" s="10" t="s">
        <v>1145</v>
      </c>
      <c r="B2743" s="10" t="s">
        <v>1180</v>
      </c>
      <c r="C2743" t="str">
        <f>Table13[[#This Row],[Manufacturer]]&amp;" "&amp;Table13[[#This Row],[Model]]</f>
        <v>Sturtevant Richmont LTC 3000</v>
      </c>
      <c r="D2743" s="1">
        <v>4</v>
      </c>
      <c r="E2743" s="1" t="s">
        <v>169</v>
      </c>
      <c r="F2743" s="38">
        <v>3000</v>
      </c>
      <c r="G2743" t="s">
        <v>164</v>
      </c>
    </row>
    <row r="2744" spans="1:7" x14ac:dyDescent="0.25">
      <c r="A2744" s="10" t="s">
        <v>1145</v>
      </c>
      <c r="B2744" s="10" t="s">
        <v>1179</v>
      </c>
      <c r="C2744" t="str">
        <f>Table13[[#This Row],[Manufacturer]]&amp;" "&amp;Table13[[#This Row],[Model]]</f>
        <v>Sturtevant Richmont LTC 3600 I</v>
      </c>
      <c r="D2744" s="1">
        <v>4</v>
      </c>
      <c r="E2744" s="1" t="s">
        <v>169</v>
      </c>
      <c r="F2744" s="38">
        <v>3600</v>
      </c>
      <c r="G2744" t="s">
        <v>164</v>
      </c>
    </row>
    <row r="2745" spans="1:7" x14ac:dyDescent="0.25">
      <c r="A2745" s="10" t="s">
        <v>1145</v>
      </c>
      <c r="B2745" s="10" t="s">
        <v>1178</v>
      </c>
      <c r="C2745" t="str">
        <f>Table13[[#This Row],[Manufacturer]]&amp;" "&amp;Table13[[#This Row],[Model]]</f>
        <v xml:space="preserve">Sturtevant Richmont LTC 4800 I </v>
      </c>
      <c r="D2745" s="1">
        <v>4</v>
      </c>
      <c r="E2745" s="1" t="s">
        <v>169</v>
      </c>
      <c r="F2745" s="38">
        <v>4800</v>
      </c>
      <c r="G2745" t="s">
        <v>164</v>
      </c>
    </row>
    <row r="2746" spans="1:7" x14ac:dyDescent="0.25">
      <c r="A2746" s="10" t="s">
        <v>1145</v>
      </c>
      <c r="B2746" s="10" t="s">
        <v>1177</v>
      </c>
      <c r="C2746" t="str">
        <f>Table13[[#This Row],[Manufacturer]]&amp;" "&amp;Table13[[#This Row],[Model]]</f>
        <v>Sturtevant Richmont LTC 50 I</v>
      </c>
      <c r="D2746" s="1">
        <v>4</v>
      </c>
      <c r="E2746" s="1" t="s">
        <v>169</v>
      </c>
      <c r="F2746" s="38">
        <v>50</v>
      </c>
      <c r="G2746" t="s">
        <v>164</v>
      </c>
    </row>
    <row r="2747" spans="1:7" x14ac:dyDescent="0.25">
      <c r="A2747" s="10" t="s">
        <v>1145</v>
      </c>
      <c r="B2747" s="10" t="s">
        <v>1176</v>
      </c>
      <c r="C2747" t="str">
        <f>Table13[[#This Row],[Manufacturer]]&amp;" "&amp;Table13[[#This Row],[Model]]</f>
        <v>Sturtevant Richmont LTC 750 I</v>
      </c>
      <c r="D2747" s="1">
        <v>4</v>
      </c>
      <c r="E2747" s="1" t="s">
        <v>169</v>
      </c>
      <c r="F2747" s="38">
        <v>750</v>
      </c>
      <c r="G2747" t="s">
        <v>164</v>
      </c>
    </row>
    <row r="2748" spans="1:7" x14ac:dyDescent="0.25">
      <c r="A2748" s="10" t="s">
        <v>1145</v>
      </c>
      <c r="B2748" s="10" t="s">
        <v>1175</v>
      </c>
      <c r="C2748" t="str">
        <f>Table13[[#This Row],[Manufacturer]]&amp;" "&amp;Table13[[#This Row],[Model]]</f>
        <v>Sturtevant Richmont LTC ERGO 1800 I</v>
      </c>
      <c r="D2748" s="1">
        <v>4</v>
      </c>
      <c r="E2748" s="1" t="s">
        <v>169</v>
      </c>
      <c r="F2748" s="38">
        <v>1800</v>
      </c>
      <c r="G2748" t="s">
        <v>164</v>
      </c>
    </row>
    <row r="2749" spans="1:7" x14ac:dyDescent="0.25">
      <c r="A2749" s="10" t="s">
        <v>1145</v>
      </c>
      <c r="B2749" s="10" t="s">
        <v>1174</v>
      </c>
      <c r="C2749" t="str">
        <f>Table13[[#This Row],[Manufacturer]]&amp;" "&amp;Table13[[#This Row],[Model]]</f>
        <v>Sturtevant Richmont LTCR 1200 I</v>
      </c>
      <c r="D2749" s="1">
        <v>4</v>
      </c>
      <c r="E2749" s="1" t="s">
        <v>169</v>
      </c>
      <c r="F2749" s="38">
        <v>1200</v>
      </c>
      <c r="G2749" t="s">
        <v>164</v>
      </c>
    </row>
    <row r="2750" spans="1:7" x14ac:dyDescent="0.25">
      <c r="A2750" s="10" t="s">
        <v>1145</v>
      </c>
      <c r="B2750" s="10" t="s">
        <v>1173</v>
      </c>
      <c r="C2750" t="str">
        <f>Table13[[#This Row],[Manufacturer]]&amp;" "&amp;Table13[[#This Row],[Model]]</f>
        <v>Sturtevant Richmont LTCR 150 I</v>
      </c>
      <c r="D2750" s="1">
        <v>4</v>
      </c>
      <c r="E2750" s="1" t="s">
        <v>169</v>
      </c>
      <c r="F2750" s="38">
        <v>150</v>
      </c>
      <c r="G2750" t="s">
        <v>164</v>
      </c>
    </row>
    <row r="2751" spans="1:7" x14ac:dyDescent="0.25">
      <c r="A2751" s="10" t="s">
        <v>1145</v>
      </c>
      <c r="B2751" s="10" t="s">
        <v>1172</v>
      </c>
      <c r="C2751" t="str">
        <f>Table13[[#This Row],[Manufacturer]]&amp;" "&amp;Table13[[#This Row],[Model]]</f>
        <v>Sturtevant Richmont LTCR 1800 I</v>
      </c>
      <c r="D2751" s="1">
        <v>4</v>
      </c>
      <c r="E2751" s="1" t="s">
        <v>169</v>
      </c>
      <c r="F2751" s="38">
        <v>1800</v>
      </c>
      <c r="G2751" t="s">
        <v>164</v>
      </c>
    </row>
    <row r="2752" spans="1:7" x14ac:dyDescent="0.25">
      <c r="A2752" s="10" t="s">
        <v>1145</v>
      </c>
      <c r="B2752" s="10" t="s">
        <v>1171</v>
      </c>
      <c r="C2752" t="str">
        <f>Table13[[#This Row],[Manufacturer]]&amp;" "&amp;Table13[[#This Row],[Model]]</f>
        <v xml:space="preserve">Sturtevant Richmont LTCR 300 I </v>
      </c>
      <c r="D2752" s="1">
        <v>4</v>
      </c>
      <c r="E2752" s="1" t="s">
        <v>169</v>
      </c>
      <c r="F2752" s="38">
        <v>300</v>
      </c>
      <c r="G2752" t="s">
        <v>164</v>
      </c>
    </row>
    <row r="2753" spans="1:7" x14ac:dyDescent="0.25">
      <c r="A2753" s="10" t="s">
        <v>1145</v>
      </c>
      <c r="B2753" s="10" t="s">
        <v>1170</v>
      </c>
      <c r="C2753" t="str">
        <f>Table13[[#This Row],[Manufacturer]]&amp;" "&amp;Table13[[#This Row],[Model]]</f>
        <v>Sturtevant Richmont LTCR 3000 I</v>
      </c>
      <c r="D2753" s="1">
        <v>4</v>
      </c>
      <c r="E2753" s="1" t="s">
        <v>169</v>
      </c>
      <c r="F2753" s="38">
        <v>3000</v>
      </c>
      <c r="G2753" t="s">
        <v>164</v>
      </c>
    </row>
    <row r="2754" spans="1:7" x14ac:dyDescent="0.25">
      <c r="A2754" s="10" t="s">
        <v>1145</v>
      </c>
      <c r="B2754" s="10" t="s">
        <v>1169</v>
      </c>
      <c r="C2754" t="str">
        <f>Table13[[#This Row],[Manufacturer]]&amp;" "&amp;Table13[[#This Row],[Model]]</f>
        <v>Sturtevant Richmont LTCR 3600 I</v>
      </c>
      <c r="D2754" s="1">
        <v>4</v>
      </c>
      <c r="E2754" s="1" t="s">
        <v>169</v>
      </c>
      <c r="F2754" s="38">
        <v>3600</v>
      </c>
      <c r="G2754" t="s">
        <v>164</v>
      </c>
    </row>
    <row r="2755" spans="1:7" x14ac:dyDescent="0.25">
      <c r="A2755" s="10" t="s">
        <v>1145</v>
      </c>
      <c r="B2755" s="10" t="s">
        <v>1168</v>
      </c>
      <c r="C2755" t="str">
        <f>Table13[[#This Row],[Manufacturer]]&amp;" "&amp;Table13[[#This Row],[Model]]</f>
        <v>Sturtevant Richmont LTCR 50 I</v>
      </c>
      <c r="D2755" s="1">
        <v>4</v>
      </c>
      <c r="E2755" s="1" t="s">
        <v>169</v>
      </c>
      <c r="F2755" s="38">
        <v>50</v>
      </c>
      <c r="G2755" t="s">
        <v>164</v>
      </c>
    </row>
    <row r="2756" spans="1:7" x14ac:dyDescent="0.25">
      <c r="A2756" s="10" t="s">
        <v>1145</v>
      </c>
      <c r="B2756" s="10" t="s">
        <v>1167</v>
      </c>
      <c r="C2756" t="str">
        <f>Table13[[#This Row],[Manufacturer]]&amp;" "&amp;Table13[[#This Row],[Model]]</f>
        <v>Sturtevant Richmont LTCR 7200 I</v>
      </c>
      <c r="D2756" s="1">
        <v>4</v>
      </c>
      <c r="E2756" s="1" t="s">
        <v>169</v>
      </c>
      <c r="F2756" s="38">
        <v>7200</v>
      </c>
      <c r="G2756" t="s">
        <v>164</v>
      </c>
    </row>
    <row r="2757" spans="1:7" x14ac:dyDescent="0.25">
      <c r="A2757" s="10" t="s">
        <v>1145</v>
      </c>
      <c r="B2757" s="10" t="s">
        <v>1166</v>
      </c>
      <c r="C2757" t="str">
        <f>Table13[[#This Row],[Manufacturer]]&amp;" "&amp;Table13[[#This Row],[Model]]</f>
        <v>Sturtevant Richmont LTCR 750 I</v>
      </c>
      <c r="D2757" s="1">
        <v>4</v>
      </c>
      <c r="E2757" s="1" t="s">
        <v>169</v>
      </c>
      <c r="F2757" s="38">
        <v>750</v>
      </c>
      <c r="G2757" t="s">
        <v>164</v>
      </c>
    </row>
    <row r="2758" spans="1:7" x14ac:dyDescent="0.25">
      <c r="A2758" s="10" t="s">
        <v>1145</v>
      </c>
      <c r="B2758" s="10" t="s">
        <v>1165</v>
      </c>
      <c r="C2758" t="str">
        <f>Table13[[#This Row],[Manufacturer]]&amp;" "&amp;Table13[[#This Row],[Model]]</f>
        <v>Sturtevant Richmont LTCS 150 I</v>
      </c>
      <c r="D2758" s="1">
        <v>4</v>
      </c>
      <c r="E2758" s="1" t="s">
        <v>169</v>
      </c>
      <c r="F2758" s="38">
        <v>50</v>
      </c>
      <c r="G2758" t="s">
        <v>164</v>
      </c>
    </row>
    <row r="2759" spans="1:7" x14ac:dyDescent="0.25">
      <c r="A2759" s="10" t="s">
        <v>1145</v>
      </c>
      <c r="B2759" s="10" t="s">
        <v>1164</v>
      </c>
      <c r="C2759" t="str">
        <f>Table13[[#This Row],[Manufacturer]]&amp;" "&amp;Table13[[#This Row],[Model]]</f>
        <v>Sturtevant Richmont LTCS 1800 I</v>
      </c>
      <c r="D2759" s="1">
        <v>4</v>
      </c>
      <c r="E2759" s="1" t="s">
        <v>169</v>
      </c>
      <c r="F2759" s="38">
        <v>360</v>
      </c>
      <c r="G2759" t="s">
        <v>164</v>
      </c>
    </row>
    <row r="2760" spans="1:7" x14ac:dyDescent="0.25">
      <c r="A2760" s="10" t="s">
        <v>1145</v>
      </c>
      <c r="B2760" s="10" t="s">
        <v>1163</v>
      </c>
      <c r="C2760" t="str">
        <f>Table13[[#This Row],[Manufacturer]]&amp;" "&amp;Table13[[#This Row],[Model]]</f>
        <v>Sturtevant Richmont LTCS 300 I</v>
      </c>
      <c r="D2760" s="1">
        <v>4</v>
      </c>
      <c r="E2760" s="1" t="s">
        <v>169</v>
      </c>
      <c r="F2760" s="38">
        <v>60</v>
      </c>
      <c r="G2760" t="s">
        <v>164</v>
      </c>
    </row>
    <row r="2761" spans="1:7" x14ac:dyDescent="0.25">
      <c r="A2761" s="10" t="s">
        <v>1145</v>
      </c>
      <c r="B2761" s="10" t="s">
        <v>1162</v>
      </c>
      <c r="C2761" t="str">
        <f>Table13[[#This Row],[Manufacturer]]&amp;" "&amp;Table13[[#This Row],[Model]]</f>
        <v>Sturtevant Richmont LTCS 3600 I</v>
      </c>
      <c r="D2761" s="1">
        <v>4</v>
      </c>
      <c r="E2761" s="1" t="s">
        <v>169</v>
      </c>
      <c r="F2761" s="38">
        <v>720</v>
      </c>
      <c r="G2761" t="s">
        <v>164</v>
      </c>
    </row>
    <row r="2762" spans="1:7" x14ac:dyDescent="0.25">
      <c r="A2762" s="10" t="s">
        <v>1145</v>
      </c>
      <c r="B2762" s="10" t="s">
        <v>1161</v>
      </c>
      <c r="C2762" t="str">
        <f>Table13[[#This Row],[Manufacturer]]&amp;" "&amp;Table13[[#This Row],[Model]]</f>
        <v>Sturtevant Richmont LTCS 50 I</v>
      </c>
      <c r="D2762" s="1">
        <v>4</v>
      </c>
      <c r="E2762" s="1" t="s">
        <v>169</v>
      </c>
      <c r="F2762" s="38">
        <v>50</v>
      </c>
      <c r="G2762" t="s">
        <v>164</v>
      </c>
    </row>
    <row r="2763" spans="1:7" x14ac:dyDescent="0.25">
      <c r="A2763" s="10" t="s">
        <v>1145</v>
      </c>
      <c r="B2763" s="10" t="s">
        <v>1160</v>
      </c>
      <c r="C2763" t="str">
        <f>Table13[[#This Row],[Manufacturer]]&amp;" "&amp;Table13[[#This Row],[Model]]</f>
        <v>Sturtevant Richmont LTCS 7200 I</v>
      </c>
      <c r="D2763" s="1">
        <v>4</v>
      </c>
      <c r="E2763" s="1" t="s">
        <v>169</v>
      </c>
      <c r="F2763" s="38">
        <v>1400</v>
      </c>
      <c r="G2763" t="s">
        <v>164</v>
      </c>
    </row>
    <row r="2764" spans="1:7" x14ac:dyDescent="0.25">
      <c r="A2764" s="10" t="s">
        <v>1145</v>
      </c>
      <c r="B2764" s="10" t="s">
        <v>1159</v>
      </c>
      <c r="C2764" t="str">
        <f>Table13[[#This Row],[Manufacturer]]&amp;" "&amp;Table13[[#This Row],[Model]]</f>
        <v>Sturtevant Richmont LTCS 750 I</v>
      </c>
      <c r="D2764" s="1">
        <v>4</v>
      </c>
      <c r="E2764" s="1" t="s">
        <v>169</v>
      </c>
      <c r="F2764" s="38">
        <v>150</v>
      </c>
      <c r="G2764" t="s">
        <v>164</v>
      </c>
    </row>
    <row r="2765" spans="1:7" x14ac:dyDescent="0.25">
      <c r="A2765" s="10" t="s">
        <v>1145</v>
      </c>
      <c r="B2765" s="10" t="s">
        <v>1158</v>
      </c>
      <c r="C2765" t="str">
        <f>Table13[[#This Row],[Manufacturer]]&amp;" "&amp;Table13[[#This Row],[Model]]</f>
        <v>Sturtevant Richmont SLTC 150 I</v>
      </c>
      <c r="D2765" s="1">
        <v>4</v>
      </c>
      <c r="E2765" s="1" t="s">
        <v>169</v>
      </c>
      <c r="F2765" s="38">
        <v>150</v>
      </c>
      <c r="G2765" t="s">
        <v>164</v>
      </c>
    </row>
    <row r="2766" spans="1:7" x14ac:dyDescent="0.25">
      <c r="A2766" s="10" t="s">
        <v>1145</v>
      </c>
      <c r="B2766" s="10" t="s">
        <v>1157</v>
      </c>
      <c r="C2766" t="str">
        <f>Table13[[#This Row],[Manufacturer]]&amp;" "&amp;Table13[[#This Row],[Model]]</f>
        <v>Sturtevant Richmont SLTC 1800 I</v>
      </c>
      <c r="D2766" s="1">
        <v>4</v>
      </c>
      <c r="E2766" s="1" t="s">
        <v>169</v>
      </c>
      <c r="F2766" s="38">
        <v>1800</v>
      </c>
      <c r="G2766" t="s">
        <v>164</v>
      </c>
    </row>
    <row r="2767" spans="1:7" x14ac:dyDescent="0.25">
      <c r="A2767" s="10" t="s">
        <v>1145</v>
      </c>
      <c r="B2767" s="10" t="s">
        <v>1156</v>
      </c>
      <c r="C2767" t="str">
        <f>Table13[[#This Row],[Manufacturer]]&amp;" "&amp;Table13[[#This Row],[Model]]</f>
        <v>Sturtevant Richmont SLTC 300 I</v>
      </c>
      <c r="D2767" s="1">
        <v>4</v>
      </c>
      <c r="E2767" s="1" t="s">
        <v>169</v>
      </c>
      <c r="F2767" s="38">
        <v>300</v>
      </c>
      <c r="G2767" t="s">
        <v>164</v>
      </c>
    </row>
    <row r="2768" spans="1:7" x14ac:dyDescent="0.25">
      <c r="A2768" s="10" t="s">
        <v>1145</v>
      </c>
      <c r="B2768" s="10" t="s">
        <v>1155</v>
      </c>
      <c r="C2768" t="str">
        <f>Table13[[#This Row],[Manufacturer]]&amp;" "&amp;Table13[[#This Row],[Model]]</f>
        <v>Sturtevant Richmont SLTC 3600 I</v>
      </c>
      <c r="D2768" s="1">
        <v>4</v>
      </c>
      <c r="E2768" s="1" t="s">
        <v>169</v>
      </c>
      <c r="F2768" s="38">
        <v>3600</v>
      </c>
      <c r="G2768" t="s">
        <v>164</v>
      </c>
    </row>
    <row r="2769" spans="1:7" x14ac:dyDescent="0.25">
      <c r="A2769" s="10" t="s">
        <v>1145</v>
      </c>
      <c r="B2769" s="10" t="s">
        <v>1154</v>
      </c>
      <c r="C2769" t="str">
        <f>Table13[[#This Row],[Manufacturer]]&amp;" "&amp;Table13[[#This Row],[Model]]</f>
        <v>Sturtevant Richmont SLTC 750 I</v>
      </c>
      <c r="D2769" s="1">
        <v>4</v>
      </c>
      <c r="E2769" s="1" t="s">
        <v>169</v>
      </c>
      <c r="F2769" s="38">
        <v>750</v>
      </c>
      <c r="G2769" t="s">
        <v>164</v>
      </c>
    </row>
    <row r="2770" spans="1:7" x14ac:dyDescent="0.25">
      <c r="A2770" s="10" t="s">
        <v>1145</v>
      </c>
      <c r="B2770" s="10" t="s">
        <v>1153</v>
      </c>
      <c r="C2770" t="str">
        <f>Table13[[#This Row],[Manufacturer]]&amp;" "&amp;Table13[[#This Row],[Model]]</f>
        <v>Sturtevant Richmont SLTCR 7200 I</v>
      </c>
      <c r="D2770" s="1">
        <v>4</v>
      </c>
      <c r="E2770" s="1" t="s">
        <v>169</v>
      </c>
      <c r="F2770" s="38">
        <v>7200</v>
      </c>
      <c r="G2770" t="s">
        <v>164</v>
      </c>
    </row>
    <row r="2771" spans="1:7" x14ac:dyDescent="0.25">
      <c r="A2771" s="10" t="s">
        <v>1145</v>
      </c>
      <c r="B2771" s="10" t="s">
        <v>1152</v>
      </c>
      <c r="C2771" t="str">
        <f>Table13[[#This Row],[Manufacturer]]&amp;" "&amp;Table13[[#This Row],[Model]]</f>
        <v>Sturtevant Richmont SLTCS 7200 I</v>
      </c>
      <c r="D2771" s="1">
        <v>4</v>
      </c>
      <c r="E2771" s="1" t="s">
        <v>169</v>
      </c>
      <c r="F2771" s="38">
        <v>7200</v>
      </c>
      <c r="G2771" t="s">
        <v>164</v>
      </c>
    </row>
    <row r="2772" spans="1:7" x14ac:dyDescent="0.25">
      <c r="A2772" s="10" t="s">
        <v>1145</v>
      </c>
      <c r="B2772" s="10" t="s">
        <v>1151</v>
      </c>
      <c r="C2772" t="str">
        <f>Table13[[#This Row],[Manufacturer]]&amp;" "&amp;Table13[[#This Row],[Model]]</f>
        <v>Sturtevant Richmont CAL 36/4</v>
      </c>
      <c r="D2772" s="1">
        <v>6</v>
      </c>
      <c r="E2772" s="1">
        <v>6</v>
      </c>
      <c r="F2772" s="38">
        <v>36</v>
      </c>
      <c r="G2772" t="s">
        <v>164</v>
      </c>
    </row>
    <row r="2773" spans="1:7" x14ac:dyDescent="0.25">
      <c r="A2773" s="10" t="s">
        <v>1145</v>
      </c>
      <c r="B2773" s="10" t="s">
        <v>1150</v>
      </c>
      <c r="C2773" t="str">
        <f>Table13[[#This Row],[Manufacturer]]&amp;" "&amp;Table13[[#This Row],[Model]]</f>
        <v>Sturtevant Richmont CAL 40</v>
      </c>
      <c r="D2773" s="1">
        <v>6</v>
      </c>
      <c r="E2773" s="1" t="s">
        <v>169</v>
      </c>
      <c r="F2773" s="38">
        <v>40</v>
      </c>
      <c r="G2773" t="s">
        <v>418</v>
      </c>
    </row>
    <row r="2774" spans="1:7" x14ac:dyDescent="0.25">
      <c r="A2774" s="10" t="s">
        <v>1145</v>
      </c>
      <c r="B2774" s="10" t="s">
        <v>1149</v>
      </c>
      <c r="C2774" t="str">
        <f>Table13[[#This Row],[Manufacturer]]&amp;" "&amp;Table13[[#This Row],[Model]]</f>
        <v>Sturtevant Richmont ExacTorq 100</v>
      </c>
      <c r="D2774" s="1">
        <v>6</v>
      </c>
      <c r="E2774" s="1">
        <v>6</v>
      </c>
      <c r="F2774" s="38">
        <v>100</v>
      </c>
      <c r="G2774" t="s">
        <v>172</v>
      </c>
    </row>
    <row r="2775" spans="1:7" x14ac:dyDescent="0.25">
      <c r="A2775" s="10" t="s">
        <v>1145</v>
      </c>
      <c r="B2775" s="10" t="s">
        <v>1148</v>
      </c>
      <c r="C2775" t="str">
        <f>Table13[[#This Row],[Manufacturer]]&amp;" "&amp;Table13[[#This Row],[Model]]</f>
        <v>Sturtevant Richmont ExacTorq 74</v>
      </c>
      <c r="D2775" s="1">
        <v>6</v>
      </c>
      <c r="E2775" s="1">
        <v>6</v>
      </c>
      <c r="F2775" s="38">
        <v>74</v>
      </c>
      <c r="G2775" t="s">
        <v>187</v>
      </c>
    </row>
    <row r="2776" spans="1:7" x14ac:dyDescent="0.25">
      <c r="A2776" s="10" t="s">
        <v>1145</v>
      </c>
      <c r="B2776" s="10" t="s">
        <v>1147</v>
      </c>
      <c r="C2776" t="str">
        <f>Table13[[#This Row],[Manufacturer]]&amp;" "&amp;Table13[[#This Row],[Model]]</f>
        <v>Sturtevant Richmont PM-15</v>
      </c>
      <c r="D2776" s="1">
        <v>6</v>
      </c>
      <c r="E2776" s="1">
        <v>6</v>
      </c>
      <c r="F2776" s="38">
        <v>15</v>
      </c>
      <c r="G2776" t="s">
        <v>164</v>
      </c>
    </row>
    <row r="2777" spans="1:7" x14ac:dyDescent="0.25">
      <c r="A2777" s="10" t="s">
        <v>1145</v>
      </c>
      <c r="B2777" s="10" t="s">
        <v>1146</v>
      </c>
      <c r="C2777" t="str">
        <f>Table13[[#This Row],[Manufacturer]]&amp;" "&amp;Table13[[#This Row],[Model]]</f>
        <v>Sturtevant Richmont PM-36</v>
      </c>
      <c r="D2777" s="1">
        <v>6</v>
      </c>
      <c r="E2777" s="1">
        <v>6</v>
      </c>
      <c r="F2777" s="38">
        <v>36</v>
      </c>
      <c r="G2777" t="s">
        <v>164</v>
      </c>
    </row>
    <row r="2778" spans="1:7" x14ac:dyDescent="0.25">
      <c r="A2778" s="10" t="s">
        <v>1145</v>
      </c>
      <c r="B2778" s="10" t="s">
        <v>1144</v>
      </c>
      <c r="C2778" t="str">
        <f>Table13[[#This Row],[Manufacturer]]&amp;" "&amp;Table13[[#This Row],[Model]]</f>
        <v>Sturtevant Richmont PM-5</v>
      </c>
      <c r="D2778" s="1">
        <v>6</v>
      </c>
      <c r="E2778" s="1">
        <v>6</v>
      </c>
      <c r="F2778" s="38">
        <v>100</v>
      </c>
      <c r="G2778" t="s">
        <v>172</v>
      </c>
    </row>
    <row r="2779" spans="1:7" x14ac:dyDescent="0.25">
      <c r="A2779" s="10" t="s">
        <v>1133</v>
      </c>
      <c r="B2779" s="10" t="s">
        <v>1143</v>
      </c>
      <c r="C2779" t="str">
        <f>Table13[[#This Row],[Manufacturer]]&amp;" "&amp;Table13[[#This Row],[Model]]</f>
        <v>Summit Tools BME2-006BN</v>
      </c>
      <c r="D2779" s="1">
        <v>3</v>
      </c>
      <c r="E2779" s="1">
        <v>3</v>
      </c>
      <c r="F2779" s="38">
        <v>4.4240000000000004</v>
      </c>
      <c r="G2779" t="s">
        <v>166</v>
      </c>
    </row>
    <row r="2780" spans="1:7" x14ac:dyDescent="0.25">
      <c r="A2780" s="10" t="s">
        <v>1133</v>
      </c>
      <c r="B2780" s="10" t="s">
        <v>1142</v>
      </c>
      <c r="C2780" t="str">
        <f>Table13[[#This Row],[Manufacturer]]&amp;" "&amp;Table13[[#This Row],[Model]]</f>
        <v>Summit Tools BME2-020BN</v>
      </c>
      <c r="D2780" s="1">
        <v>3</v>
      </c>
      <c r="E2780" s="1">
        <v>3</v>
      </c>
      <c r="F2780" s="38">
        <v>14.75</v>
      </c>
      <c r="G2780" t="s">
        <v>166</v>
      </c>
    </row>
    <row r="2781" spans="1:7" x14ac:dyDescent="0.25">
      <c r="A2781" s="10" t="s">
        <v>1133</v>
      </c>
      <c r="B2781" s="10" t="s">
        <v>1141</v>
      </c>
      <c r="C2781" t="str">
        <f>Table13[[#This Row],[Manufacturer]]&amp;" "&amp;Table13[[#This Row],[Model]]</f>
        <v>Summit Tools BMS2-006CN-2</v>
      </c>
      <c r="D2781" s="1">
        <v>3</v>
      </c>
      <c r="E2781" s="1">
        <v>3</v>
      </c>
      <c r="F2781" s="38">
        <v>4.4240000000000004</v>
      </c>
      <c r="G2781" t="s">
        <v>166</v>
      </c>
    </row>
    <row r="2782" spans="1:7" x14ac:dyDescent="0.25">
      <c r="A2782" s="10" t="s">
        <v>1133</v>
      </c>
      <c r="B2782" s="10" t="s">
        <v>1140</v>
      </c>
      <c r="C2782" t="str">
        <f>Table13[[#This Row],[Manufacturer]]&amp;" "&amp;Table13[[#This Row],[Model]]</f>
        <v>Summit Tools BMS2-020CN-S</v>
      </c>
      <c r="D2782" s="1">
        <v>3</v>
      </c>
      <c r="E2782" s="1">
        <v>3</v>
      </c>
      <c r="F2782" s="38">
        <v>14.75</v>
      </c>
      <c r="G2782" t="s">
        <v>166</v>
      </c>
    </row>
    <row r="2783" spans="1:7" x14ac:dyDescent="0.25">
      <c r="A2783" s="10" t="s">
        <v>1133</v>
      </c>
      <c r="B2783" s="10" t="s">
        <v>1139</v>
      </c>
      <c r="C2783" t="str">
        <f>Table13[[#This Row],[Manufacturer]]&amp;" "&amp;Table13[[#This Row],[Model]]</f>
        <v>Summit Tools DME2-020BN</v>
      </c>
      <c r="D2783" s="1">
        <v>2</v>
      </c>
      <c r="E2783" s="1">
        <v>2</v>
      </c>
      <c r="F2783" s="38">
        <v>14.75</v>
      </c>
      <c r="G2783" t="s">
        <v>166</v>
      </c>
    </row>
    <row r="2784" spans="1:7" x14ac:dyDescent="0.25">
      <c r="A2784" s="10" t="s">
        <v>1133</v>
      </c>
      <c r="B2784" s="10" t="s">
        <v>1138</v>
      </c>
      <c r="C2784" t="str">
        <f>Table13[[#This Row],[Manufacturer]]&amp;" "&amp;Table13[[#This Row],[Model]]</f>
        <v>Summit Tools DPS3-060CN-S</v>
      </c>
      <c r="D2784" s="1">
        <v>3</v>
      </c>
      <c r="E2784" s="1">
        <v>3</v>
      </c>
      <c r="F2784" s="38">
        <v>44.24</v>
      </c>
      <c r="G2784" t="s">
        <v>166</v>
      </c>
    </row>
    <row r="2785" spans="1:7" x14ac:dyDescent="0.25">
      <c r="A2785" s="10" t="s">
        <v>1133</v>
      </c>
      <c r="B2785" s="10" t="s">
        <v>1137</v>
      </c>
      <c r="C2785" t="str">
        <f>Table13[[#This Row],[Manufacturer]]&amp;" "&amp;Table13[[#This Row],[Model]]</f>
        <v>Summit Tools DPS3-085CN-S</v>
      </c>
      <c r="D2785" s="1">
        <v>3</v>
      </c>
      <c r="E2785" s="1">
        <v>3</v>
      </c>
      <c r="F2785" s="38">
        <v>62.7</v>
      </c>
      <c r="G2785" t="s">
        <v>166</v>
      </c>
    </row>
    <row r="2786" spans="1:7" x14ac:dyDescent="0.25">
      <c r="A2786" s="10" t="s">
        <v>1133</v>
      </c>
      <c r="B2786" s="10" t="s">
        <v>1136</v>
      </c>
      <c r="C2786" t="str">
        <f>Table13[[#This Row],[Manufacturer]]&amp;" "&amp;Table13[[#This Row],[Model]]</f>
        <v>Summit Tools ES2-030CN</v>
      </c>
      <c r="D2786" s="1">
        <v>3</v>
      </c>
      <c r="E2786" s="1">
        <v>3</v>
      </c>
      <c r="F2786" s="38">
        <v>22.12</v>
      </c>
      <c r="G2786" t="s">
        <v>166</v>
      </c>
    </row>
    <row r="2787" spans="1:7" x14ac:dyDescent="0.25">
      <c r="A2787" s="10" t="s">
        <v>1133</v>
      </c>
      <c r="B2787" s="10" t="s">
        <v>1135</v>
      </c>
      <c r="C2787" t="str">
        <f>Table13[[#This Row],[Manufacturer]]&amp;" "&amp;Table13[[#This Row],[Model]]</f>
        <v>Summit Tools WEA08-060CN</v>
      </c>
      <c r="D2787" s="1">
        <v>3</v>
      </c>
      <c r="E2787" s="1">
        <v>3</v>
      </c>
      <c r="F2787" s="38">
        <v>44.24</v>
      </c>
      <c r="G2787" t="s">
        <v>166</v>
      </c>
    </row>
    <row r="2788" spans="1:7" x14ac:dyDescent="0.25">
      <c r="A2788" s="10" t="s">
        <v>1133</v>
      </c>
      <c r="B2788" s="10" t="s">
        <v>1134</v>
      </c>
      <c r="C2788" t="str">
        <f>Table13[[#This Row],[Manufacturer]]&amp;" "&amp;Table13[[#This Row],[Model]]</f>
        <v>Summit Tools WEP4-200CN</v>
      </c>
      <c r="D2788" s="1">
        <v>1</v>
      </c>
      <c r="E2788" s="1">
        <v>1</v>
      </c>
      <c r="F2788" s="38">
        <v>147.5</v>
      </c>
      <c r="G2788" t="s">
        <v>166</v>
      </c>
    </row>
    <row r="2789" spans="1:7" x14ac:dyDescent="0.25">
      <c r="A2789" s="10" t="s">
        <v>1133</v>
      </c>
      <c r="B2789" s="10" t="s">
        <v>1132</v>
      </c>
      <c r="C2789" t="str">
        <f>Table13[[#This Row],[Manufacturer]]&amp;" "&amp;Table13[[#This Row],[Model]]</f>
        <v>Summit Tools WSP3-030CN</v>
      </c>
      <c r="D2789" s="1">
        <v>3</v>
      </c>
      <c r="E2789" s="1">
        <v>3</v>
      </c>
      <c r="F2789" s="38">
        <v>22.12</v>
      </c>
      <c r="G2789" t="s">
        <v>166</v>
      </c>
    </row>
    <row r="2790" spans="1:7" x14ac:dyDescent="0.25">
      <c r="A2790" s="10" t="s">
        <v>1131</v>
      </c>
      <c r="B2790" s="10">
        <v>9702</v>
      </c>
      <c r="C2790" t="str">
        <f>Table13[[#This Row],[Manufacturer]]&amp;" "&amp;Table13[[#This Row],[Model]]</f>
        <v>Sunex 9702</v>
      </c>
      <c r="D2790" s="1">
        <v>3</v>
      </c>
      <c r="E2790" s="1" t="s">
        <v>169</v>
      </c>
      <c r="F2790" s="38">
        <v>200</v>
      </c>
      <c r="G2790" t="s">
        <v>164</v>
      </c>
    </row>
    <row r="2791" spans="1:7" x14ac:dyDescent="0.25">
      <c r="A2791" s="10" t="s">
        <v>1130</v>
      </c>
      <c r="B2791" s="10">
        <v>107103</v>
      </c>
      <c r="C2791" t="str">
        <f>Table13[[#This Row],[Manufacturer]]&amp;" "&amp;Table13[[#This Row],[Model]]</f>
        <v>SurTek 107103</v>
      </c>
      <c r="D2791" s="1">
        <v>4</v>
      </c>
      <c r="E2791" s="1" t="s">
        <v>169</v>
      </c>
      <c r="F2791" s="38">
        <v>150</v>
      </c>
      <c r="G2791" t="s">
        <v>166</v>
      </c>
    </row>
    <row r="2792" spans="1:7" x14ac:dyDescent="0.25">
      <c r="A2792" s="10" t="s">
        <v>1129</v>
      </c>
      <c r="B2792" s="10">
        <v>52</v>
      </c>
      <c r="C2792" t="str">
        <f>Table13[[#This Row],[Manufacturer]]&amp;" "&amp;Table13[[#This Row],[Model]]</f>
        <v>Sweeney 52</v>
      </c>
      <c r="D2792" s="1">
        <v>3</v>
      </c>
      <c r="E2792" s="1" t="s">
        <v>169</v>
      </c>
      <c r="F2792" s="38">
        <v>175</v>
      </c>
      <c r="G2792" t="s">
        <v>166</v>
      </c>
    </row>
    <row r="2793" spans="1:7" x14ac:dyDescent="0.25">
      <c r="A2793" s="10" t="s">
        <v>1129</v>
      </c>
      <c r="B2793" s="10">
        <v>53</v>
      </c>
      <c r="C2793" t="str">
        <f>Table13[[#This Row],[Manufacturer]]&amp;" "&amp;Table13[[#This Row],[Model]]</f>
        <v>Sweeney 53</v>
      </c>
      <c r="D2793" s="1">
        <v>3</v>
      </c>
      <c r="E2793" s="1" t="s">
        <v>169</v>
      </c>
      <c r="F2793" s="38">
        <v>250</v>
      </c>
      <c r="G2793" t="s">
        <v>166</v>
      </c>
    </row>
    <row r="2794" spans="1:7" x14ac:dyDescent="0.25">
      <c r="A2794" s="10" t="s">
        <v>1129</v>
      </c>
      <c r="B2794" s="10">
        <v>54</v>
      </c>
      <c r="C2794" t="str">
        <f>Table13[[#This Row],[Manufacturer]]&amp;" "&amp;Table13[[#This Row],[Model]]</f>
        <v>Sweeney 54</v>
      </c>
      <c r="D2794" s="1">
        <v>3</v>
      </c>
      <c r="E2794" s="1" t="s">
        <v>169</v>
      </c>
      <c r="F2794" s="38">
        <v>500</v>
      </c>
      <c r="G2794" t="s">
        <v>166</v>
      </c>
    </row>
    <row r="2795" spans="1:7" x14ac:dyDescent="0.25">
      <c r="A2795" s="10" t="s">
        <v>1129</v>
      </c>
      <c r="B2795" s="10">
        <v>59</v>
      </c>
      <c r="C2795" t="str">
        <f>Table13[[#This Row],[Manufacturer]]&amp;" "&amp;Table13[[#This Row],[Model]]</f>
        <v>Sweeney 59</v>
      </c>
      <c r="D2795" s="1">
        <v>3</v>
      </c>
      <c r="E2795" s="1" t="s">
        <v>169</v>
      </c>
      <c r="F2795" s="38">
        <v>1000</v>
      </c>
      <c r="G2795" t="s">
        <v>166</v>
      </c>
    </row>
    <row r="2796" spans="1:7" x14ac:dyDescent="0.25">
      <c r="A2796" s="10" t="s">
        <v>1128</v>
      </c>
      <c r="B2796" s="10" t="s">
        <v>1127</v>
      </c>
      <c r="C2796" t="str">
        <f>Table13[[#This Row],[Manufacturer]]&amp;" "&amp;Table13[[#This Row],[Model]]</f>
        <v>SW-Stahl 03920L</v>
      </c>
      <c r="D2796" s="1">
        <v>3</v>
      </c>
      <c r="E2796" s="1">
        <v>3</v>
      </c>
      <c r="F2796" s="38">
        <v>25</v>
      </c>
      <c r="G2796" t="s">
        <v>184</v>
      </c>
    </row>
    <row r="2797" spans="1:7" x14ac:dyDescent="0.25">
      <c r="A2797" s="10" t="s">
        <v>1123</v>
      </c>
      <c r="B2797" s="10" t="s">
        <v>1126</v>
      </c>
      <c r="C2797" t="str">
        <f>Table13[[#This Row],[Manufacturer]]&amp;" "&amp;Table13[[#This Row],[Model]]</f>
        <v>Tacklife HTW1A</v>
      </c>
      <c r="D2797" s="1">
        <v>4</v>
      </c>
      <c r="E2797" s="1" t="s">
        <v>169</v>
      </c>
      <c r="F2797" s="38">
        <v>80</v>
      </c>
      <c r="G2797" t="s">
        <v>166</v>
      </c>
    </row>
    <row r="2798" spans="1:7" x14ac:dyDescent="0.25">
      <c r="A2798" s="10" t="s">
        <v>1123</v>
      </c>
      <c r="B2798" s="10" t="s">
        <v>1125</v>
      </c>
      <c r="C2798" t="str">
        <f>Table13[[#This Row],[Manufacturer]]&amp;" "&amp;Table13[[#This Row],[Model]]</f>
        <v>Tacklife HTW2C</v>
      </c>
      <c r="D2798" s="1">
        <v>4</v>
      </c>
      <c r="E2798" s="1" t="s">
        <v>169</v>
      </c>
      <c r="F2798" s="38">
        <v>150</v>
      </c>
      <c r="G2798" t="s">
        <v>166</v>
      </c>
    </row>
    <row r="2799" spans="1:7" x14ac:dyDescent="0.25">
      <c r="A2799" s="10" t="s">
        <v>1123</v>
      </c>
      <c r="B2799" s="10" t="s">
        <v>1124</v>
      </c>
      <c r="C2799" t="str">
        <f>Table13[[#This Row],[Manufacturer]]&amp;" "&amp;Table13[[#This Row],[Model]]</f>
        <v>Tacklife HTW3A</v>
      </c>
      <c r="D2799" s="1">
        <v>4</v>
      </c>
      <c r="E2799" s="1" t="s">
        <v>169</v>
      </c>
      <c r="F2799" s="38">
        <v>250</v>
      </c>
      <c r="G2799" t="s">
        <v>166</v>
      </c>
    </row>
    <row r="2800" spans="1:7" x14ac:dyDescent="0.25">
      <c r="A2800" s="10" t="s">
        <v>1123</v>
      </c>
      <c r="B2800" s="10" t="s">
        <v>1122</v>
      </c>
      <c r="C2800" t="str">
        <f>Table13[[#This Row],[Manufacturer]]&amp;" "&amp;Table13[[#This Row],[Model]]</f>
        <v>Tacklife HTW4A</v>
      </c>
      <c r="D2800" s="1">
        <v>4</v>
      </c>
      <c r="E2800" s="1" t="s">
        <v>169</v>
      </c>
      <c r="F2800" s="38">
        <v>200</v>
      </c>
      <c r="G2800" t="s">
        <v>164</v>
      </c>
    </row>
    <row r="2801" spans="1:7" x14ac:dyDescent="0.25">
      <c r="A2801" s="10" t="s">
        <v>1109</v>
      </c>
      <c r="B2801" s="10" t="s">
        <v>1121</v>
      </c>
      <c r="C2801" t="str">
        <f>Table13[[#This Row],[Manufacturer]]&amp;" "&amp;Table13[[#This Row],[Model]]</f>
        <v>TE Connectivity 1055258-1</v>
      </c>
      <c r="D2801" s="1" t="s">
        <v>226</v>
      </c>
      <c r="E2801" s="1" t="s">
        <v>1112</v>
      </c>
      <c r="F2801" s="38" t="s">
        <v>224</v>
      </c>
      <c r="G2801" t="s">
        <v>164</v>
      </c>
    </row>
    <row r="2802" spans="1:7" x14ac:dyDescent="0.25">
      <c r="A2802" s="10" t="s">
        <v>1109</v>
      </c>
      <c r="B2802" s="10" t="s">
        <v>1120</v>
      </c>
      <c r="C2802" t="str">
        <f>Table13[[#This Row],[Manufacturer]]&amp;" "&amp;Table13[[#This Row],[Model]]</f>
        <v>TE Connectivity 1055276-1</v>
      </c>
      <c r="D2802" s="1">
        <v>14.286</v>
      </c>
      <c r="E2802" s="1">
        <v>14.286</v>
      </c>
      <c r="F2802" s="38">
        <v>14</v>
      </c>
      <c r="G2802" t="s">
        <v>164</v>
      </c>
    </row>
    <row r="2803" spans="1:7" x14ac:dyDescent="0.25">
      <c r="A2803" s="10" t="s">
        <v>1109</v>
      </c>
      <c r="B2803" s="10" t="s">
        <v>1119</v>
      </c>
      <c r="C2803" t="str">
        <f>Table13[[#This Row],[Manufacturer]]&amp;" "&amp;Table13[[#This Row],[Model]]</f>
        <v>TE Connectivity 1055419-1</v>
      </c>
      <c r="D2803" s="1" t="s">
        <v>226</v>
      </c>
      <c r="E2803" s="1" t="s">
        <v>1112</v>
      </c>
      <c r="F2803" s="38" t="s">
        <v>224</v>
      </c>
      <c r="G2803" t="s">
        <v>164</v>
      </c>
    </row>
    <row r="2804" spans="1:7" x14ac:dyDescent="0.25">
      <c r="A2804" s="10" t="s">
        <v>1109</v>
      </c>
      <c r="B2804" s="10" t="s">
        <v>1118</v>
      </c>
      <c r="C2804" t="str">
        <f>Table13[[#This Row],[Manufacturer]]&amp;" "&amp;Table13[[#This Row],[Model]]</f>
        <v>TE Connectivity 1055480-1</v>
      </c>
      <c r="D2804" s="1">
        <v>10</v>
      </c>
      <c r="E2804" s="1">
        <v>10</v>
      </c>
      <c r="F2804" s="38">
        <v>5</v>
      </c>
      <c r="G2804" t="s">
        <v>164</v>
      </c>
    </row>
    <row r="2805" spans="1:7" x14ac:dyDescent="0.25">
      <c r="A2805" s="10" t="s">
        <v>1109</v>
      </c>
      <c r="B2805" s="10" t="s">
        <v>1117</v>
      </c>
      <c r="C2805" t="str">
        <f>Table13[[#This Row],[Manufacturer]]&amp;" "&amp;Table13[[#This Row],[Model]]</f>
        <v>TE Connectivity 1055512-1</v>
      </c>
      <c r="D2805" s="1">
        <v>6.6665999999999999</v>
      </c>
      <c r="E2805" s="1">
        <v>6.6665999999999999</v>
      </c>
      <c r="F2805" s="38">
        <v>30</v>
      </c>
      <c r="G2805" t="s">
        <v>164</v>
      </c>
    </row>
    <row r="2806" spans="1:7" x14ac:dyDescent="0.25">
      <c r="A2806" s="10" t="s">
        <v>1109</v>
      </c>
      <c r="B2806" s="10" t="s">
        <v>1116</v>
      </c>
      <c r="C2806" t="str">
        <f>Table13[[#This Row],[Manufacturer]]&amp;" "&amp;Table13[[#This Row],[Model]]</f>
        <v>TE Connectivity 1055546-1</v>
      </c>
      <c r="D2806" s="1" t="s">
        <v>226</v>
      </c>
      <c r="E2806" s="1" t="s">
        <v>1112</v>
      </c>
      <c r="F2806" s="38" t="s">
        <v>224</v>
      </c>
      <c r="G2806" t="s">
        <v>164</v>
      </c>
    </row>
    <row r="2807" spans="1:7" x14ac:dyDescent="0.25">
      <c r="A2807" s="10" t="s">
        <v>1109</v>
      </c>
      <c r="B2807" s="10" t="s">
        <v>1115</v>
      </c>
      <c r="C2807" t="str">
        <f>Table13[[#This Row],[Manufacturer]]&amp;" "&amp;Table13[[#This Row],[Model]]</f>
        <v>TE Connectivity 1055790-1</v>
      </c>
      <c r="D2807" s="1">
        <v>14.286</v>
      </c>
      <c r="E2807" s="1">
        <v>14.286</v>
      </c>
      <c r="F2807" s="38">
        <v>14</v>
      </c>
      <c r="G2807" t="s">
        <v>164</v>
      </c>
    </row>
    <row r="2808" spans="1:7" x14ac:dyDescent="0.25">
      <c r="A2808" s="10" t="s">
        <v>1109</v>
      </c>
      <c r="B2808" s="10" t="s">
        <v>1114</v>
      </c>
      <c r="C2808" t="str">
        <f>Table13[[#This Row],[Manufacturer]]&amp;" "&amp;Table13[[#This Row],[Model]]</f>
        <v>TE Connectivity 1055791-1</v>
      </c>
      <c r="D2808" s="1">
        <v>14.286</v>
      </c>
      <c r="E2808" s="1">
        <v>14.286</v>
      </c>
      <c r="F2808" s="38">
        <v>14</v>
      </c>
      <c r="G2808" t="s">
        <v>164</v>
      </c>
    </row>
    <row r="2809" spans="1:7" x14ac:dyDescent="0.25">
      <c r="A2809" s="10" t="s">
        <v>1109</v>
      </c>
      <c r="B2809" s="10" t="s">
        <v>1113</v>
      </c>
      <c r="C2809" t="str">
        <f>Table13[[#This Row],[Manufacturer]]&amp;" "&amp;Table13[[#This Row],[Model]]</f>
        <v>TE Connectivity 1055826-1</v>
      </c>
      <c r="D2809" s="1" t="s">
        <v>226</v>
      </c>
      <c r="E2809" s="1" t="s">
        <v>1112</v>
      </c>
      <c r="F2809" s="38" t="s">
        <v>224</v>
      </c>
      <c r="G2809" t="s">
        <v>164</v>
      </c>
    </row>
    <row r="2810" spans="1:7" x14ac:dyDescent="0.25">
      <c r="A2810" s="10" t="s">
        <v>1109</v>
      </c>
      <c r="B2810" s="10" t="s">
        <v>1111</v>
      </c>
      <c r="C2810" t="str">
        <f>Table13[[#This Row],[Manufacturer]]&amp;" "&amp;Table13[[#This Row],[Model]]</f>
        <v>TE Connectivity 1055868-1</v>
      </c>
      <c r="D2810" s="1">
        <v>14.286</v>
      </c>
      <c r="E2810" s="1">
        <v>14.286</v>
      </c>
      <c r="F2810" s="38">
        <v>14</v>
      </c>
      <c r="G2810" t="s">
        <v>164</v>
      </c>
    </row>
    <row r="2811" spans="1:7" x14ac:dyDescent="0.25">
      <c r="A2811" s="10" t="s">
        <v>1109</v>
      </c>
      <c r="B2811" s="10" t="s">
        <v>1110</v>
      </c>
      <c r="C2811" t="str">
        <f>Table13[[#This Row],[Manufacturer]]&amp;" "&amp;Table13[[#This Row],[Model]]</f>
        <v>TE Connectivity 1061789-1</v>
      </c>
      <c r="D2811" s="1">
        <v>14.286</v>
      </c>
      <c r="E2811" s="1">
        <v>14.286</v>
      </c>
      <c r="F2811" s="38">
        <v>14</v>
      </c>
      <c r="G2811" t="s">
        <v>164</v>
      </c>
    </row>
    <row r="2812" spans="1:7" x14ac:dyDescent="0.25">
      <c r="A2812" s="10" t="s">
        <v>1109</v>
      </c>
      <c r="B2812" s="10" t="s">
        <v>1108</v>
      </c>
      <c r="C2812" t="str">
        <f>Table13[[#This Row],[Manufacturer]]&amp;" "&amp;Table13[[#This Row],[Model]]</f>
        <v>TE Connectivity 1490262-1</v>
      </c>
      <c r="D2812" s="1">
        <v>13.333</v>
      </c>
      <c r="E2812" s="1">
        <v>13.333</v>
      </c>
      <c r="F2812" s="38">
        <v>15</v>
      </c>
      <c r="G2812" t="s">
        <v>164</v>
      </c>
    </row>
    <row r="2813" spans="1:7" x14ac:dyDescent="0.25">
      <c r="A2813" s="10" t="s">
        <v>1107</v>
      </c>
      <c r="B2813" s="10">
        <v>24330</v>
      </c>
      <c r="C2813" t="str">
        <f>Table13[[#This Row],[Manufacturer]]&amp;" "&amp;Table13[[#This Row],[Model]]</f>
        <v>Tekton 24330</v>
      </c>
      <c r="D2813" s="1">
        <v>4</v>
      </c>
      <c r="E2813" s="1" t="s">
        <v>169</v>
      </c>
      <c r="F2813" s="38">
        <v>80</v>
      </c>
      <c r="G2813" t="s">
        <v>166</v>
      </c>
    </row>
    <row r="2814" spans="1:7" x14ac:dyDescent="0.25">
      <c r="A2814" s="10" t="s">
        <v>1107</v>
      </c>
      <c r="B2814" s="10">
        <v>24335</v>
      </c>
      <c r="C2814" t="str">
        <f>Table13[[#This Row],[Manufacturer]]&amp;" "&amp;Table13[[#This Row],[Model]]</f>
        <v>Tekton 24335</v>
      </c>
      <c r="D2814" s="1">
        <v>4</v>
      </c>
      <c r="E2814" s="1" t="s">
        <v>169</v>
      </c>
      <c r="F2814" s="38">
        <v>150</v>
      </c>
      <c r="G2814" t="s">
        <v>166</v>
      </c>
    </row>
    <row r="2815" spans="1:7" x14ac:dyDescent="0.25">
      <c r="A2815" s="10" t="s">
        <v>1107</v>
      </c>
      <c r="B2815" s="10">
        <v>24340</v>
      </c>
      <c r="C2815" t="str">
        <f>Table13[[#This Row],[Manufacturer]]&amp;" "&amp;Table13[[#This Row],[Model]]</f>
        <v>Tekton 24340</v>
      </c>
      <c r="D2815" s="1">
        <v>4</v>
      </c>
      <c r="E2815" s="1" t="s">
        <v>169</v>
      </c>
      <c r="F2815" s="38">
        <v>250</v>
      </c>
      <c r="G2815" t="s">
        <v>166</v>
      </c>
    </row>
    <row r="2816" spans="1:7" x14ac:dyDescent="0.25">
      <c r="A2816" s="10" t="s">
        <v>1107</v>
      </c>
      <c r="B2816" s="10" t="s">
        <v>1106</v>
      </c>
      <c r="C2816" t="str">
        <f>Table13[[#This Row],[Manufacturer]]&amp;" "&amp;Table13[[#This Row],[Model]]</f>
        <v>Tekton TRQ-21101</v>
      </c>
      <c r="D2816" s="1">
        <v>4</v>
      </c>
      <c r="E2816" s="1">
        <v>6</v>
      </c>
      <c r="F2816" s="38">
        <v>150</v>
      </c>
      <c r="G2816" t="s">
        <v>164</v>
      </c>
    </row>
    <row r="2817" spans="1:7" x14ac:dyDescent="0.25">
      <c r="A2817" s="10" t="s">
        <v>1105</v>
      </c>
      <c r="B2817" s="10" t="s">
        <v>1104</v>
      </c>
      <c r="C2817" t="str">
        <f>Table13[[#This Row],[Manufacturer]]&amp;" "&amp;Table13[[#This Row],[Model]]</f>
        <v>Teng Tools 1292AG-E4</v>
      </c>
      <c r="D2817" s="1">
        <v>4</v>
      </c>
      <c r="E2817" s="1" t="s">
        <v>169</v>
      </c>
      <c r="F2817" s="38">
        <v>350</v>
      </c>
      <c r="G2817" t="s">
        <v>184</v>
      </c>
    </row>
    <row r="2818" spans="1:7" x14ac:dyDescent="0.25">
      <c r="A2818" s="10" t="s">
        <v>374</v>
      </c>
      <c r="B2818" s="10" t="s">
        <v>1103</v>
      </c>
      <c r="C2818" t="str">
        <f>Table13[[#This Row],[Manufacturer]]&amp;" "&amp;Table13[[#This Row],[Model]]</f>
        <v>Tohnichi 02FTD2 N S</v>
      </c>
      <c r="D2818" s="1">
        <v>3</v>
      </c>
      <c r="E2818" s="1">
        <v>3</v>
      </c>
      <c r="F2818" s="38">
        <v>2</v>
      </c>
      <c r="G2818" t="s">
        <v>187</v>
      </c>
    </row>
    <row r="2819" spans="1:7" x14ac:dyDescent="0.25">
      <c r="A2819" s="10" t="s">
        <v>374</v>
      </c>
      <c r="B2819" s="10" t="s">
        <v>1102</v>
      </c>
      <c r="C2819" t="str">
        <f>Table13[[#This Row],[Manufacturer]]&amp;" "&amp;Table13[[#This Row],[Model]]</f>
        <v>Tohnichi 02FTD2 S</v>
      </c>
      <c r="D2819" s="1">
        <v>3</v>
      </c>
      <c r="E2819" s="1">
        <v>3</v>
      </c>
      <c r="F2819" s="38">
        <v>200</v>
      </c>
      <c r="G2819" t="s">
        <v>1004</v>
      </c>
    </row>
    <row r="2820" spans="1:7" x14ac:dyDescent="0.25">
      <c r="A2820" s="10" t="s">
        <v>374</v>
      </c>
      <c r="B2820" s="10" t="s">
        <v>1101</v>
      </c>
      <c r="C2820" t="str">
        <f>Table13[[#This Row],[Manufacturer]]&amp;" "&amp;Table13[[#This Row],[Model]]</f>
        <v>Tohnichi 05FTD2 N S</v>
      </c>
      <c r="D2820" s="1">
        <v>3</v>
      </c>
      <c r="E2820" s="1">
        <v>3</v>
      </c>
      <c r="F2820" s="38">
        <v>5</v>
      </c>
      <c r="G2820" t="s">
        <v>187</v>
      </c>
    </row>
    <row r="2821" spans="1:7" x14ac:dyDescent="0.25">
      <c r="A2821" s="10" t="s">
        <v>374</v>
      </c>
      <c r="B2821" s="10" t="s">
        <v>1100</v>
      </c>
      <c r="C2821" t="str">
        <f>Table13[[#This Row],[Manufacturer]]&amp;" "&amp;Table13[[#This Row],[Model]]</f>
        <v>Tohnichi 05FTD2 S</v>
      </c>
      <c r="D2821" s="1">
        <v>3</v>
      </c>
      <c r="E2821" s="1">
        <v>3</v>
      </c>
      <c r="F2821" s="38">
        <v>500</v>
      </c>
      <c r="G2821" t="s">
        <v>1004</v>
      </c>
    </row>
    <row r="2822" spans="1:7" x14ac:dyDescent="0.25">
      <c r="A2822" s="10" t="s">
        <v>374</v>
      </c>
      <c r="B2822" s="10" t="s">
        <v>1099</v>
      </c>
      <c r="C2822" t="str">
        <f>Table13[[#This Row],[Manufacturer]]&amp;" "&amp;Table13[[#This Row],[Model]]</f>
        <v>Tohnichi 10000DBE2-S</v>
      </c>
      <c r="D2822" s="1">
        <v>3</v>
      </c>
      <c r="E2822" s="1">
        <v>3</v>
      </c>
      <c r="F2822" s="38">
        <v>100</v>
      </c>
      <c r="G2822" t="s">
        <v>258</v>
      </c>
    </row>
    <row r="2823" spans="1:7" x14ac:dyDescent="0.25">
      <c r="A2823" s="10" t="s">
        <v>374</v>
      </c>
      <c r="B2823" s="10" t="s">
        <v>1098</v>
      </c>
      <c r="C2823" t="str">
        <f>Table13[[#This Row],[Manufacturer]]&amp;" "&amp;Table13[[#This Row],[Model]]</f>
        <v>Tohnichi 10000F-A</v>
      </c>
      <c r="D2823" s="1">
        <v>3</v>
      </c>
      <c r="E2823" s="1">
        <v>3</v>
      </c>
      <c r="F2823" s="38">
        <v>700</v>
      </c>
      <c r="G2823" t="s">
        <v>166</v>
      </c>
    </row>
    <row r="2824" spans="1:7" x14ac:dyDescent="0.25">
      <c r="A2824" s="10" t="s">
        <v>374</v>
      </c>
      <c r="B2824" s="10" t="s">
        <v>1097</v>
      </c>
      <c r="C2824" t="str">
        <f>Table13[[#This Row],[Manufacturer]]&amp;" "&amp;Table13[[#This Row],[Model]]</f>
        <v>Tohnichi 10000T-A-S</v>
      </c>
      <c r="D2824" s="1">
        <v>3</v>
      </c>
      <c r="E2824" s="1">
        <v>3</v>
      </c>
      <c r="F2824" s="38">
        <v>700</v>
      </c>
      <c r="G2824" t="s">
        <v>166</v>
      </c>
    </row>
    <row r="2825" spans="1:7" x14ac:dyDescent="0.25">
      <c r="A2825" s="10" t="s">
        <v>374</v>
      </c>
      <c r="B2825" s="10" t="s">
        <v>1096</v>
      </c>
      <c r="C2825" t="str">
        <f>Table13[[#This Row],[Manufacturer]]&amp;" "&amp;Table13[[#This Row],[Model]]</f>
        <v>Tohnichi 1000CDB-A-S</v>
      </c>
      <c r="D2825" s="1">
        <v>3</v>
      </c>
      <c r="E2825" s="1">
        <v>3</v>
      </c>
      <c r="F2825" s="38">
        <v>70</v>
      </c>
      <c r="G2825" t="s">
        <v>166</v>
      </c>
    </row>
    <row r="2826" spans="1:7" x14ac:dyDescent="0.25">
      <c r="A2826" s="10" t="s">
        <v>374</v>
      </c>
      <c r="B2826" s="10" t="s">
        <v>1095</v>
      </c>
      <c r="C2826" t="str">
        <f>Table13[[#This Row],[Manufacturer]]&amp;" "&amp;Table13[[#This Row],[Model]]</f>
        <v>Tohnichi 1000CF-A</v>
      </c>
      <c r="D2826" s="1">
        <v>3</v>
      </c>
      <c r="E2826" s="1">
        <v>3</v>
      </c>
      <c r="F2826" s="38">
        <v>70</v>
      </c>
      <c r="G2826" t="s">
        <v>166</v>
      </c>
    </row>
    <row r="2827" spans="1:7" x14ac:dyDescent="0.25">
      <c r="A2827" s="10" t="s">
        <v>374</v>
      </c>
      <c r="B2827" s="10" t="s">
        <v>1094</v>
      </c>
      <c r="C2827" t="str">
        <f>Table13[[#This Row],[Manufacturer]]&amp;" "&amp;Table13[[#This Row],[Model]]</f>
        <v>Tohnichi 100MTD</v>
      </c>
      <c r="D2827" s="1">
        <v>3</v>
      </c>
      <c r="E2827" s="1">
        <v>3</v>
      </c>
      <c r="F2827" s="38">
        <v>100</v>
      </c>
      <c r="G2827" t="s">
        <v>1004</v>
      </c>
    </row>
    <row r="2828" spans="1:7" x14ac:dyDescent="0.25">
      <c r="A2828" s="10" t="s">
        <v>374</v>
      </c>
      <c r="B2828" s="10" t="s">
        <v>1093</v>
      </c>
      <c r="C2828" t="str">
        <f>Table13[[#This Row],[Manufacturer]]&amp;" "&amp;Table13[[#This Row],[Model]]</f>
        <v>Tohnichi 100MTD N</v>
      </c>
      <c r="D2828" s="1">
        <v>3</v>
      </c>
      <c r="E2828" s="1">
        <v>3</v>
      </c>
      <c r="F2828" s="38">
        <v>10</v>
      </c>
      <c r="G2828" t="s">
        <v>1004</v>
      </c>
    </row>
    <row r="2829" spans="1:7" x14ac:dyDescent="0.25">
      <c r="A2829" s="10" t="s">
        <v>374</v>
      </c>
      <c r="B2829" s="10" t="s">
        <v>1092</v>
      </c>
      <c r="C2829" t="str">
        <f>Table13[[#This Row],[Manufacturer]]&amp;" "&amp;Table13[[#This Row],[Model]]</f>
        <v>Tohnichi 10500FR-A</v>
      </c>
      <c r="D2829" s="1">
        <v>3</v>
      </c>
      <c r="E2829" s="1">
        <v>3</v>
      </c>
      <c r="F2829" s="38">
        <v>750</v>
      </c>
      <c r="G2829" t="s">
        <v>166</v>
      </c>
    </row>
    <row r="2830" spans="1:7" x14ac:dyDescent="0.25">
      <c r="A2830" s="10" t="s">
        <v>374</v>
      </c>
      <c r="B2830" s="10" t="s">
        <v>1091</v>
      </c>
      <c r="C2830" t="str">
        <f>Table13[[#This Row],[Manufacturer]]&amp;" "&amp;Table13[[#This Row],[Model]]</f>
        <v>Tohnichi 10500QFR-A</v>
      </c>
      <c r="D2830" s="1">
        <v>3</v>
      </c>
      <c r="E2830" s="1">
        <v>3</v>
      </c>
      <c r="F2830" s="38">
        <v>750</v>
      </c>
      <c r="G2830" t="s">
        <v>166</v>
      </c>
    </row>
    <row r="2831" spans="1:7" x14ac:dyDescent="0.25">
      <c r="A2831" s="10" t="s">
        <v>374</v>
      </c>
      <c r="B2831" s="10" t="s">
        <v>1090</v>
      </c>
      <c r="C2831" t="str">
        <f>Table13[[#This Row],[Manufacturer]]&amp;" "&amp;Table13[[#This Row],[Model]]</f>
        <v>Tohnichi 10FTD</v>
      </c>
      <c r="D2831" s="1">
        <v>3</v>
      </c>
      <c r="E2831" s="1">
        <v>3</v>
      </c>
      <c r="F2831" s="38">
        <v>10</v>
      </c>
      <c r="G2831" t="s">
        <v>418</v>
      </c>
    </row>
    <row r="2832" spans="1:7" x14ac:dyDescent="0.25">
      <c r="A2832" s="10" t="s">
        <v>374</v>
      </c>
      <c r="B2832" s="10" t="s">
        <v>1089</v>
      </c>
      <c r="C2832" t="str">
        <f>Table13[[#This Row],[Manufacturer]]&amp;" "&amp;Table13[[#This Row],[Model]]</f>
        <v>Tohnichi 10FTD N</v>
      </c>
      <c r="D2832" s="1">
        <v>3</v>
      </c>
      <c r="E2832" s="1">
        <v>3</v>
      </c>
      <c r="F2832" s="38">
        <v>100</v>
      </c>
      <c r="G2832" t="s">
        <v>187</v>
      </c>
    </row>
    <row r="2833" spans="1:7" x14ac:dyDescent="0.25">
      <c r="A2833" s="10" t="s">
        <v>374</v>
      </c>
      <c r="B2833" s="10" t="s">
        <v>1088</v>
      </c>
      <c r="C2833" t="str">
        <f>Table13[[#This Row],[Manufacturer]]&amp;" "&amp;Table13[[#This Row],[Model]]</f>
        <v>Tohnichi 10FTD2 N S</v>
      </c>
      <c r="D2833" s="1">
        <v>3</v>
      </c>
      <c r="E2833" s="1">
        <v>3</v>
      </c>
      <c r="F2833" s="38">
        <v>100</v>
      </c>
      <c r="G2833" t="s">
        <v>187</v>
      </c>
    </row>
    <row r="2834" spans="1:7" x14ac:dyDescent="0.25">
      <c r="A2834" s="10" t="s">
        <v>374</v>
      </c>
      <c r="B2834" s="10" t="s">
        <v>1087</v>
      </c>
      <c r="C2834" t="str">
        <f>Table13[[#This Row],[Manufacturer]]&amp;" "&amp;Table13[[#This Row],[Model]]</f>
        <v>Tohnichi 10FTD2 S</v>
      </c>
      <c r="D2834" s="1">
        <v>3</v>
      </c>
      <c r="E2834" s="1">
        <v>3</v>
      </c>
      <c r="F2834" s="38">
        <v>10</v>
      </c>
      <c r="G2834" t="s">
        <v>418</v>
      </c>
    </row>
    <row r="2835" spans="1:7" x14ac:dyDescent="0.25">
      <c r="A2835" s="10" t="s">
        <v>374</v>
      </c>
      <c r="B2835" s="10" t="s">
        <v>1086</v>
      </c>
      <c r="C2835" t="str">
        <f>Table13[[#This Row],[Manufacturer]]&amp;" "&amp;Table13[[#This Row],[Model]]</f>
        <v>Tohnichi 10FTD2-A-S</v>
      </c>
      <c r="D2835" s="1">
        <v>3</v>
      </c>
      <c r="E2835" s="1">
        <v>3</v>
      </c>
      <c r="F2835" s="38">
        <v>10</v>
      </c>
      <c r="G2835" t="s">
        <v>164</v>
      </c>
    </row>
    <row r="2836" spans="1:7" x14ac:dyDescent="0.25">
      <c r="A2836" s="10" t="s">
        <v>374</v>
      </c>
      <c r="B2836" s="10" t="s">
        <v>1085</v>
      </c>
      <c r="C2836" t="str">
        <f>Table13[[#This Row],[Manufacturer]]&amp;" "&amp;Table13[[#This Row],[Model]]</f>
        <v>Tohnichi 10FTD2-S</v>
      </c>
      <c r="D2836" s="1">
        <v>3</v>
      </c>
      <c r="E2836" s="1">
        <v>3</v>
      </c>
      <c r="F2836" s="38">
        <v>10</v>
      </c>
      <c r="G2836" t="s">
        <v>418</v>
      </c>
    </row>
    <row r="2837" spans="1:7" x14ac:dyDescent="0.25">
      <c r="A2837" s="10" t="s">
        <v>374</v>
      </c>
      <c r="B2837" s="10" t="s">
        <v>1084</v>
      </c>
      <c r="C2837" t="str">
        <f>Table13[[#This Row],[Manufacturer]]&amp;" "&amp;Table13[[#This Row],[Model]]</f>
        <v>Tohnichi 10FTD-A</v>
      </c>
      <c r="D2837" s="1">
        <v>3</v>
      </c>
      <c r="E2837" s="1">
        <v>3</v>
      </c>
      <c r="F2837" s="38">
        <v>10</v>
      </c>
      <c r="G2837" t="s">
        <v>164</v>
      </c>
    </row>
    <row r="2838" spans="1:7" x14ac:dyDescent="0.25">
      <c r="A2838" s="10" t="s">
        <v>374</v>
      </c>
      <c r="B2838" s="10" t="s">
        <v>1083</v>
      </c>
      <c r="C2838" t="str">
        <f>Table13[[#This Row],[Manufacturer]]&amp;" "&amp;Table13[[#This Row],[Model]]</f>
        <v>Tohnichi 10MTD</v>
      </c>
      <c r="D2838" s="1">
        <v>3</v>
      </c>
      <c r="E2838" s="1">
        <v>3</v>
      </c>
      <c r="F2838" s="38">
        <v>10</v>
      </c>
      <c r="G2838" t="s">
        <v>1004</v>
      </c>
    </row>
    <row r="2839" spans="1:7" x14ac:dyDescent="0.25">
      <c r="A2839" s="10" t="s">
        <v>374</v>
      </c>
      <c r="B2839" s="10" t="s">
        <v>1082</v>
      </c>
      <c r="C2839" t="str">
        <f>Table13[[#This Row],[Manufacturer]]&amp;" "&amp;Table13[[#This Row],[Model]]</f>
        <v>Tohnichi 10MTD N</v>
      </c>
      <c r="D2839" s="1">
        <v>3</v>
      </c>
      <c r="E2839" s="1">
        <v>3</v>
      </c>
      <c r="F2839" s="38">
        <v>1</v>
      </c>
      <c r="G2839" t="s">
        <v>1004</v>
      </c>
    </row>
    <row r="2840" spans="1:7" x14ac:dyDescent="0.25">
      <c r="A2840" s="10" t="s">
        <v>374</v>
      </c>
      <c r="B2840" s="10" t="s">
        <v>1081</v>
      </c>
      <c r="C2840" t="str">
        <f>Table13[[#This Row],[Manufacturer]]&amp;" "&amp;Table13[[#This Row],[Model]]</f>
        <v>Tohnichi 1200QF-A</v>
      </c>
      <c r="D2840" s="1">
        <v>3</v>
      </c>
      <c r="E2840" s="1">
        <v>3</v>
      </c>
      <c r="F2840" s="38">
        <v>86</v>
      </c>
      <c r="G2840" t="s">
        <v>166</v>
      </c>
    </row>
    <row r="2841" spans="1:7" x14ac:dyDescent="0.25">
      <c r="A2841" s="10" t="s">
        <v>374</v>
      </c>
      <c r="B2841" s="10" t="s">
        <v>1080</v>
      </c>
      <c r="C2841" t="str">
        <f>Table13[[#This Row],[Manufacturer]]&amp;" "&amp;Table13[[#This Row],[Model]]</f>
        <v>Tohnichi 120DB4-S</v>
      </c>
      <c r="D2841" s="1">
        <v>3</v>
      </c>
      <c r="E2841" s="1">
        <v>3</v>
      </c>
      <c r="F2841" s="38">
        <v>120</v>
      </c>
      <c r="G2841" t="s">
        <v>418</v>
      </c>
    </row>
    <row r="2842" spans="1:7" x14ac:dyDescent="0.25">
      <c r="A2842" s="10" t="s">
        <v>374</v>
      </c>
      <c r="B2842" s="10" t="s">
        <v>1079</v>
      </c>
      <c r="C2842" t="str">
        <f>Table13[[#This Row],[Manufacturer]]&amp;" "&amp;Table13[[#This Row],[Model]]</f>
        <v>Tohnichi 120SF-A</v>
      </c>
      <c r="D2842" s="1">
        <v>3</v>
      </c>
      <c r="E2842" s="1">
        <v>3</v>
      </c>
      <c r="F2842" s="38">
        <v>100</v>
      </c>
      <c r="G2842" t="s">
        <v>164</v>
      </c>
    </row>
    <row r="2843" spans="1:7" x14ac:dyDescent="0.25">
      <c r="A2843" s="10" t="s">
        <v>374</v>
      </c>
      <c r="B2843" s="10" t="s">
        <v>1078</v>
      </c>
      <c r="C2843" t="str">
        <f>Table13[[#This Row],[Manufacturer]]&amp;" "&amp;Table13[[#This Row],[Model]]</f>
        <v>Tohnichi 1300F-A</v>
      </c>
      <c r="D2843" s="1">
        <v>3</v>
      </c>
      <c r="E2843" s="1">
        <v>3</v>
      </c>
      <c r="F2843" s="38">
        <v>95</v>
      </c>
      <c r="G2843" t="s">
        <v>166</v>
      </c>
    </row>
    <row r="2844" spans="1:7" x14ac:dyDescent="0.25">
      <c r="A2844" s="10" t="s">
        <v>374</v>
      </c>
      <c r="B2844" s="10" t="s">
        <v>1077</v>
      </c>
      <c r="C2844" t="str">
        <f>Table13[[#This Row],[Manufacturer]]&amp;" "&amp;Table13[[#This Row],[Model]]</f>
        <v>Tohnichi 14000DBE2-S</v>
      </c>
      <c r="D2844" s="1">
        <v>3</v>
      </c>
      <c r="E2844" s="1">
        <v>3</v>
      </c>
      <c r="F2844" s="38">
        <v>140</v>
      </c>
      <c r="G2844" t="s">
        <v>258</v>
      </c>
    </row>
    <row r="2845" spans="1:7" x14ac:dyDescent="0.25">
      <c r="A2845" s="10" t="s">
        <v>374</v>
      </c>
      <c r="B2845" s="10" t="s">
        <v>1076</v>
      </c>
      <c r="C2845" t="str">
        <f>Table13[[#This Row],[Manufacturer]]&amp;" "&amp;Table13[[#This Row],[Model]]</f>
        <v>Tohnichi 14000FR-A</v>
      </c>
      <c r="D2845" s="1">
        <v>3</v>
      </c>
      <c r="E2845" s="1">
        <v>3</v>
      </c>
      <c r="F2845" s="38">
        <v>1000</v>
      </c>
      <c r="G2845" t="s">
        <v>166</v>
      </c>
    </row>
    <row r="2846" spans="1:7" x14ac:dyDescent="0.25">
      <c r="A2846" s="10" t="s">
        <v>374</v>
      </c>
      <c r="B2846" s="10" t="s">
        <v>1075</v>
      </c>
      <c r="C2846" t="str">
        <f>Table13[[#This Row],[Manufacturer]]&amp;" "&amp;Table13[[#This Row],[Model]]</f>
        <v>Tohnichi 14000QFR-A</v>
      </c>
      <c r="D2846" s="1">
        <v>3</v>
      </c>
      <c r="E2846" s="1">
        <v>3</v>
      </c>
      <c r="F2846" s="38">
        <v>1000</v>
      </c>
      <c r="G2846" t="s">
        <v>166</v>
      </c>
    </row>
    <row r="2847" spans="1:7" x14ac:dyDescent="0.25">
      <c r="A2847" s="10" t="s">
        <v>374</v>
      </c>
      <c r="B2847" s="10" t="s">
        <v>1074</v>
      </c>
      <c r="C2847" t="str">
        <f>Table13[[#This Row],[Manufacturer]]&amp;" "&amp;Table13[[#This Row],[Model]]</f>
        <v>Tohnichi 14000T-A-S</v>
      </c>
      <c r="D2847" s="1">
        <v>3</v>
      </c>
      <c r="E2847" s="1">
        <v>3</v>
      </c>
      <c r="F2847" s="38">
        <v>1000</v>
      </c>
      <c r="G2847" t="s">
        <v>166</v>
      </c>
    </row>
    <row r="2848" spans="1:7" x14ac:dyDescent="0.25">
      <c r="A2848" s="10" t="s">
        <v>374</v>
      </c>
      <c r="B2848" s="10" t="s">
        <v>1073</v>
      </c>
      <c r="C2848" t="str">
        <f>Table13[[#This Row],[Manufacturer]]&amp;" "&amp;Table13[[#This Row],[Model]]</f>
        <v>Tohnichi 140CDB-A-S</v>
      </c>
      <c r="D2848" s="1">
        <v>3</v>
      </c>
      <c r="E2848" s="1">
        <v>3</v>
      </c>
      <c r="F2848" s="38">
        <v>120</v>
      </c>
      <c r="G2848" t="s">
        <v>164</v>
      </c>
    </row>
    <row r="2849" spans="1:7" x14ac:dyDescent="0.25">
      <c r="A2849" s="10" t="s">
        <v>374</v>
      </c>
      <c r="B2849" s="10" t="s">
        <v>1072</v>
      </c>
      <c r="C2849" t="str">
        <f>Table13[[#This Row],[Manufacturer]]&amp;" "&amp;Table13[[#This Row],[Model]]</f>
        <v>Tohnichi 140CSF-A</v>
      </c>
      <c r="D2849" s="1">
        <v>3</v>
      </c>
      <c r="E2849" s="1">
        <v>3</v>
      </c>
      <c r="F2849" s="38">
        <v>120</v>
      </c>
      <c r="G2849" t="s">
        <v>164</v>
      </c>
    </row>
    <row r="2850" spans="1:7" x14ac:dyDescent="0.25">
      <c r="A2850" s="10" t="s">
        <v>374</v>
      </c>
      <c r="B2850" s="10" t="s">
        <v>1071</v>
      </c>
      <c r="C2850" t="str">
        <f>Table13[[#This Row],[Manufacturer]]&amp;" "&amp;Table13[[#This Row],[Model]]</f>
        <v>Tohnichi 1500CF-A</v>
      </c>
      <c r="D2850" s="1">
        <v>3</v>
      </c>
      <c r="E2850" s="1">
        <v>3</v>
      </c>
      <c r="F2850" s="38">
        <v>110</v>
      </c>
      <c r="G2850" t="s">
        <v>166</v>
      </c>
    </row>
    <row r="2851" spans="1:7" x14ac:dyDescent="0.25">
      <c r="A2851" s="10" t="s">
        <v>374</v>
      </c>
      <c r="B2851" s="10" t="s">
        <v>1070</v>
      </c>
      <c r="C2851" t="str">
        <f>Table13[[#This Row],[Manufacturer]]&amp;" "&amp;Table13[[#This Row],[Model]]</f>
        <v>Tohnichi 15DB4-S</v>
      </c>
      <c r="D2851" s="1">
        <v>3</v>
      </c>
      <c r="E2851" s="1">
        <v>3</v>
      </c>
      <c r="F2851" s="38">
        <v>15</v>
      </c>
      <c r="G2851" t="s">
        <v>418</v>
      </c>
    </row>
    <row r="2852" spans="1:7" x14ac:dyDescent="0.25">
      <c r="A2852" s="10" t="s">
        <v>374</v>
      </c>
      <c r="B2852" s="10" t="s">
        <v>1069</v>
      </c>
      <c r="C2852" t="str">
        <f>Table13[[#This Row],[Manufacturer]]&amp;" "&amp;Table13[[#This Row],[Model]]</f>
        <v>Tohnichi 15SF-A</v>
      </c>
      <c r="D2852" s="1">
        <v>3</v>
      </c>
      <c r="E2852" s="1">
        <v>3</v>
      </c>
      <c r="F2852" s="38">
        <v>13</v>
      </c>
      <c r="G2852" t="s">
        <v>164</v>
      </c>
    </row>
    <row r="2853" spans="1:7" x14ac:dyDescent="0.25">
      <c r="A2853" s="10" t="s">
        <v>374</v>
      </c>
      <c r="B2853" s="10" t="s">
        <v>1068</v>
      </c>
      <c r="C2853" t="str">
        <f>Table13[[#This Row],[Manufacturer]]&amp;" "&amp;Table13[[#This Row],[Model]]</f>
        <v>Tohnichi 160FTD</v>
      </c>
      <c r="D2853" s="1">
        <v>3</v>
      </c>
      <c r="E2853" s="1">
        <v>3</v>
      </c>
      <c r="F2853" s="38">
        <v>160</v>
      </c>
      <c r="G2853" t="s">
        <v>418</v>
      </c>
    </row>
    <row r="2854" spans="1:7" x14ac:dyDescent="0.25">
      <c r="A2854" s="10" t="s">
        <v>374</v>
      </c>
      <c r="B2854" s="10" t="s">
        <v>1067</v>
      </c>
      <c r="C2854" t="str">
        <f>Table13[[#This Row],[Manufacturer]]&amp;" "&amp;Table13[[#This Row],[Model]]</f>
        <v>Tohnichi 160FTD N</v>
      </c>
      <c r="D2854" s="1">
        <v>3</v>
      </c>
      <c r="E2854" s="1">
        <v>3</v>
      </c>
      <c r="F2854" s="38">
        <v>16</v>
      </c>
      <c r="G2854" t="s">
        <v>184</v>
      </c>
    </row>
    <row r="2855" spans="1:7" x14ac:dyDescent="0.25">
      <c r="A2855" s="10" t="s">
        <v>374</v>
      </c>
      <c r="B2855" s="10" t="s">
        <v>1066</v>
      </c>
      <c r="C2855" t="str">
        <f>Table13[[#This Row],[Manufacturer]]&amp;" "&amp;Table13[[#This Row],[Model]]</f>
        <v>Tohnichi 160FTD2 N S</v>
      </c>
      <c r="D2855" s="1">
        <v>3</v>
      </c>
      <c r="E2855" s="1">
        <v>3</v>
      </c>
      <c r="F2855" s="38">
        <v>16</v>
      </c>
      <c r="G2855" t="s">
        <v>184</v>
      </c>
    </row>
    <row r="2856" spans="1:7" x14ac:dyDescent="0.25">
      <c r="A2856" s="10" t="s">
        <v>374</v>
      </c>
      <c r="B2856" s="10" t="s">
        <v>1065</v>
      </c>
      <c r="C2856" t="str">
        <f>Table13[[#This Row],[Manufacturer]]&amp;" "&amp;Table13[[#This Row],[Model]]</f>
        <v>Tohnichi 160FTD2 S</v>
      </c>
      <c r="D2856" s="1">
        <v>3</v>
      </c>
      <c r="E2856" s="1">
        <v>3</v>
      </c>
      <c r="F2856" s="38">
        <v>160</v>
      </c>
      <c r="G2856" t="s">
        <v>418</v>
      </c>
    </row>
    <row r="2857" spans="1:7" x14ac:dyDescent="0.25">
      <c r="A2857" s="10" t="s">
        <v>374</v>
      </c>
      <c r="B2857" s="10" t="s">
        <v>1064</v>
      </c>
      <c r="C2857" t="str">
        <f>Table13[[#This Row],[Manufacturer]]&amp;" "&amp;Table13[[#This Row],[Model]]</f>
        <v>Tohnichi 160FTD2-A-S</v>
      </c>
      <c r="D2857" s="1">
        <v>3</v>
      </c>
      <c r="E2857" s="1">
        <v>3</v>
      </c>
      <c r="F2857" s="38">
        <v>140</v>
      </c>
      <c r="G2857" t="s">
        <v>164</v>
      </c>
    </row>
    <row r="2858" spans="1:7" x14ac:dyDescent="0.25">
      <c r="A2858" s="10" t="s">
        <v>374</v>
      </c>
      <c r="B2858" s="10" t="s">
        <v>1063</v>
      </c>
      <c r="C2858" t="str">
        <f>Table13[[#This Row],[Manufacturer]]&amp;" "&amp;Table13[[#This Row],[Model]]</f>
        <v>Tohnichi 160FTD2-S</v>
      </c>
      <c r="D2858" s="1">
        <v>3</v>
      </c>
      <c r="E2858" s="1">
        <v>3</v>
      </c>
      <c r="F2858" s="38">
        <v>160</v>
      </c>
      <c r="G2858" t="s">
        <v>418</v>
      </c>
    </row>
    <row r="2859" spans="1:7" x14ac:dyDescent="0.25">
      <c r="A2859" s="10" t="s">
        <v>374</v>
      </c>
      <c r="B2859" s="10" t="s">
        <v>1062</v>
      </c>
      <c r="C2859" t="str">
        <f>Table13[[#This Row],[Manufacturer]]&amp;" "&amp;Table13[[#This Row],[Model]]</f>
        <v>Tohnichi 160FTD-A</v>
      </c>
      <c r="D2859" s="1">
        <v>3</v>
      </c>
      <c r="E2859" s="1">
        <v>3</v>
      </c>
      <c r="F2859" s="38">
        <v>140</v>
      </c>
      <c r="G2859" t="s">
        <v>164</v>
      </c>
    </row>
    <row r="2860" spans="1:7" x14ac:dyDescent="0.25">
      <c r="A2860" s="10" t="s">
        <v>374</v>
      </c>
      <c r="B2860" s="10" t="s">
        <v>1061</v>
      </c>
      <c r="C2860" t="str">
        <f>Table13[[#This Row],[Manufacturer]]&amp;" "&amp;Table13[[#This Row],[Model]]</f>
        <v>Tohnichi 1800DB3-S</v>
      </c>
      <c r="D2860" s="1">
        <v>3</v>
      </c>
      <c r="E2860" s="1">
        <v>3</v>
      </c>
      <c r="F2860" s="38">
        <v>2000</v>
      </c>
      <c r="G2860" t="s">
        <v>418</v>
      </c>
    </row>
    <row r="2861" spans="1:7" x14ac:dyDescent="0.25">
      <c r="A2861" s="10" t="s">
        <v>374</v>
      </c>
      <c r="B2861" s="10" t="s">
        <v>1060</v>
      </c>
      <c r="C2861" t="str">
        <f>Table13[[#This Row],[Manufacturer]]&amp;" "&amp;Table13[[#This Row],[Model]]</f>
        <v>Tohnichi 1900F-A</v>
      </c>
      <c r="D2861" s="1">
        <v>3</v>
      </c>
      <c r="E2861" s="1">
        <v>3</v>
      </c>
      <c r="F2861" s="38">
        <v>135</v>
      </c>
      <c r="G2861" t="s">
        <v>166</v>
      </c>
    </row>
    <row r="2862" spans="1:7" x14ac:dyDescent="0.25">
      <c r="A2862" s="10" t="s">
        <v>374</v>
      </c>
      <c r="B2862" s="10" t="s">
        <v>1059</v>
      </c>
      <c r="C2862" t="str">
        <f>Table13[[#This Row],[Manufacturer]]&amp;" "&amp;Table13[[#This Row],[Model]]</f>
        <v>Tohnichi 1FTD2 N S</v>
      </c>
      <c r="D2862" s="1">
        <v>3</v>
      </c>
      <c r="E2862" s="1">
        <v>3</v>
      </c>
      <c r="F2862" s="38">
        <v>10</v>
      </c>
      <c r="G2862" t="s">
        <v>187</v>
      </c>
    </row>
    <row r="2863" spans="1:7" x14ac:dyDescent="0.25">
      <c r="A2863" s="10" t="s">
        <v>374</v>
      </c>
      <c r="B2863" s="10" t="s">
        <v>1058</v>
      </c>
      <c r="C2863" t="str">
        <f>Table13[[#This Row],[Manufacturer]]&amp;" "&amp;Table13[[#This Row],[Model]]</f>
        <v>Tohnichi 1FTD2 S</v>
      </c>
      <c r="D2863" s="1">
        <v>3</v>
      </c>
      <c r="E2863" s="1">
        <v>3</v>
      </c>
      <c r="F2863" s="38">
        <v>1</v>
      </c>
      <c r="G2863" t="s">
        <v>418</v>
      </c>
    </row>
    <row r="2864" spans="1:7" x14ac:dyDescent="0.25">
      <c r="A2864" s="10" t="s">
        <v>374</v>
      </c>
      <c r="B2864" s="10" t="s">
        <v>1057</v>
      </c>
      <c r="C2864" t="str">
        <f>Table13[[#This Row],[Manufacturer]]&amp;" "&amp;Table13[[#This Row],[Model]]</f>
        <v>Tohnichi 2000CDB-A-S</v>
      </c>
      <c r="D2864" s="1">
        <v>3</v>
      </c>
      <c r="E2864" s="1">
        <v>3</v>
      </c>
      <c r="F2864" s="38">
        <v>140</v>
      </c>
      <c r="G2864" t="s">
        <v>166</v>
      </c>
    </row>
    <row r="2865" spans="1:7" x14ac:dyDescent="0.25">
      <c r="A2865" s="10" t="s">
        <v>374</v>
      </c>
      <c r="B2865" s="10" t="s">
        <v>1056</v>
      </c>
      <c r="C2865" t="str">
        <f>Table13[[#This Row],[Manufacturer]]&amp;" "&amp;Table13[[#This Row],[Model]]</f>
        <v>Tohnichi 2000DB3-1/2-S</v>
      </c>
      <c r="D2865" s="1">
        <v>3</v>
      </c>
      <c r="E2865" s="1">
        <v>3</v>
      </c>
      <c r="F2865" s="38">
        <v>28</v>
      </c>
      <c r="G2865" t="s">
        <v>258</v>
      </c>
    </row>
    <row r="2866" spans="1:7" x14ac:dyDescent="0.25">
      <c r="A2866" s="10" t="s">
        <v>374</v>
      </c>
      <c r="B2866" s="10" t="s">
        <v>1055</v>
      </c>
      <c r="C2866" t="str">
        <f>Table13[[#This Row],[Manufacturer]]&amp;" "&amp;Table13[[#This Row],[Model]]</f>
        <v>Tohnichi 2000DB3-S</v>
      </c>
      <c r="D2866" s="1">
        <v>3</v>
      </c>
      <c r="E2866" s="1">
        <v>3</v>
      </c>
      <c r="F2866" s="38">
        <v>28</v>
      </c>
      <c r="G2866" t="s">
        <v>258</v>
      </c>
    </row>
    <row r="2867" spans="1:7" x14ac:dyDescent="0.25">
      <c r="A2867" s="10" t="s">
        <v>374</v>
      </c>
      <c r="B2867" s="10" t="s">
        <v>1054</v>
      </c>
      <c r="C2867" t="str">
        <f>Table13[[#This Row],[Manufacturer]]&amp;" "&amp;Table13[[#This Row],[Model]]</f>
        <v>Tohnichi 20FTD</v>
      </c>
      <c r="D2867" s="1">
        <v>3</v>
      </c>
      <c r="E2867" s="1">
        <v>3</v>
      </c>
      <c r="F2867" s="38">
        <v>20</v>
      </c>
      <c r="G2867" t="s">
        <v>418</v>
      </c>
    </row>
    <row r="2868" spans="1:7" x14ac:dyDescent="0.25">
      <c r="A2868" s="10" t="s">
        <v>374</v>
      </c>
      <c r="B2868" s="10" t="s">
        <v>1053</v>
      </c>
      <c r="C2868" t="str">
        <f>Table13[[#This Row],[Manufacturer]]&amp;" "&amp;Table13[[#This Row],[Model]]</f>
        <v>Tohnichi 20FTD N</v>
      </c>
      <c r="D2868" s="1">
        <v>3</v>
      </c>
      <c r="E2868" s="1">
        <v>3</v>
      </c>
      <c r="F2868" s="38">
        <v>200</v>
      </c>
      <c r="G2868" t="s">
        <v>187</v>
      </c>
    </row>
    <row r="2869" spans="1:7" x14ac:dyDescent="0.25">
      <c r="A2869" s="10" t="s">
        <v>374</v>
      </c>
      <c r="B2869" s="10" t="s">
        <v>1052</v>
      </c>
      <c r="C2869" t="str">
        <f>Table13[[#This Row],[Manufacturer]]&amp;" "&amp;Table13[[#This Row],[Model]]</f>
        <v>Tohnichi 20FTD2 N S</v>
      </c>
      <c r="D2869" s="1">
        <v>3</v>
      </c>
      <c r="E2869" s="1">
        <v>3</v>
      </c>
      <c r="F2869" s="38">
        <v>200</v>
      </c>
      <c r="G2869" t="s">
        <v>187</v>
      </c>
    </row>
    <row r="2870" spans="1:7" x14ac:dyDescent="0.25">
      <c r="A2870" s="10" t="s">
        <v>374</v>
      </c>
      <c r="B2870" s="10" t="s">
        <v>1051</v>
      </c>
      <c r="C2870" t="str">
        <f>Table13[[#This Row],[Manufacturer]]&amp;" "&amp;Table13[[#This Row],[Model]]</f>
        <v>Tohnichi 20FTD2 S</v>
      </c>
      <c r="D2870" s="1">
        <v>3</v>
      </c>
      <c r="E2870" s="1">
        <v>3</v>
      </c>
      <c r="F2870" s="38">
        <v>20</v>
      </c>
      <c r="G2870" t="s">
        <v>418</v>
      </c>
    </row>
    <row r="2871" spans="1:7" x14ac:dyDescent="0.25">
      <c r="A2871" s="10" t="s">
        <v>374</v>
      </c>
      <c r="B2871" s="10" t="s">
        <v>1050</v>
      </c>
      <c r="C2871" t="str">
        <f>Table13[[#This Row],[Manufacturer]]&amp;" "&amp;Table13[[#This Row],[Model]]</f>
        <v>Tohnichi 20FTD2-A-S</v>
      </c>
      <c r="D2871" s="1">
        <v>3</v>
      </c>
      <c r="E2871" s="1">
        <v>3</v>
      </c>
      <c r="F2871" s="38">
        <v>20</v>
      </c>
      <c r="G2871" t="s">
        <v>164</v>
      </c>
    </row>
    <row r="2872" spans="1:7" x14ac:dyDescent="0.25">
      <c r="A2872" s="10" t="s">
        <v>374</v>
      </c>
      <c r="B2872" s="10" t="s">
        <v>1049</v>
      </c>
      <c r="C2872" t="str">
        <f>Table13[[#This Row],[Manufacturer]]&amp;" "&amp;Table13[[#This Row],[Model]]</f>
        <v>Tohnichi 20FTD2-S</v>
      </c>
      <c r="D2872" s="1">
        <v>3</v>
      </c>
      <c r="E2872" s="1">
        <v>3</v>
      </c>
      <c r="F2872" s="38">
        <v>20</v>
      </c>
      <c r="G2872" t="s">
        <v>418</v>
      </c>
    </row>
    <row r="2873" spans="1:7" x14ac:dyDescent="0.25">
      <c r="A2873" s="10" t="s">
        <v>374</v>
      </c>
      <c r="B2873" s="10" t="s">
        <v>1048</v>
      </c>
      <c r="C2873" t="str">
        <f>Table13[[#This Row],[Manufacturer]]&amp;" "&amp;Table13[[#This Row],[Model]]</f>
        <v>Tohnichi 20FTD-A</v>
      </c>
      <c r="D2873" s="1">
        <v>3</v>
      </c>
      <c r="E2873" s="1">
        <v>3</v>
      </c>
      <c r="F2873" s="38">
        <v>20</v>
      </c>
      <c r="G2873" t="s">
        <v>164</v>
      </c>
    </row>
    <row r="2874" spans="1:7" x14ac:dyDescent="0.25">
      <c r="A2874" s="10" t="s">
        <v>374</v>
      </c>
      <c r="B2874" s="10" t="s">
        <v>1047</v>
      </c>
      <c r="C2874" t="str">
        <f>Table13[[#This Row],[Manufacturer]]&amp;" "&amp;Table13[[#This Row],[Model]]</f>
        <v>Tohnichi 20MTD</v>
      </c>
      <c r="D2874" s="1">
        <v>3</v>
      </c>
      <c r="E2874" s="1">
        <v>3</v>
      </c>
      <c r="F2874" s="38">
        <v>20</v>
      </c>
      <c r="G2874" t="s">
        <v>1004</v>
      </c>
    </row>
    <row r="2875" spans="1:7" x14ac:dyDescent="0.25">
      <c r="A2875" s="10" t="s">
        <v>374</v>
      </c>
      <c r="B2875" s="10" t="s">
        <v>1046</v>
      </c>
      <c r="C2875" t="str">
        <f>Table13[[#This Row],[Manufacturer]]&amp;" "&amp;Table13[[#This Row],[Model]]</f>
        <v>Tohnichi 20MTD N</v>
      </c>
      <c r="D2875" s="1">
        <v>3</v>
      </c>
      <c r="E2875" s="1">
        <v>3</v>
      </c>
      <c r="F2875" s="38">
        <v>2</v>
      </c>
      <c r="G2875" t="s">
        <v>1004</v>
      </c>
    </row>
    <row r="2876" spans="1:7" x14ac:dyDescent="0.25">
      <c r="A2876" s="10" t="s">
        <v>374</v>
      </c>
      <c r="B2876" s="10" t="s">
        <v>1045</v>
      </c>
      <c r="C2876" t="str">
        <f>Table13[[#This Row],[Manufacturer]]&amp;" "&amp;Table13[[#This Row],[Model]]</f>
        <v>Tohnichi 21000DBE2-S</v>
      </c>
      <c r="D2876" s="1">
        <v>3</v>
      </c>
      <c r="E2876" s="1">
        <v>3</v>
      </c>
      <c r="F2876" s="38">
        <v>210</v>
      </c>
      <c r="G2876" t="s">
        <v>258</v>
      </c>
    </row>
    <row r="2877" spans="1:7" x14ac:dyDescent="0.25">
      <c r="A2877" s="10" t="s">
        <v>374</v>
      </c>
      <c r="B2877" s="10" t="s">
        <v>1044</v>
      </c>
      <c r="C2877" t="str">
        <f>Table13[[#This Row],[Manufacturer]]&amp;" "&amp;Table13[[#This Row],[Model]]</f>
        <v>Tohnichi 21000FR-A</v>
      </c>
      <c r="D2877" s="1">
        <v>3</v>
      </c>
      <c r="E2877" s="1">
        <v>3</v>
      </c>
      <c r="F2877" s="38">
        <v>1500</v>
      </c>
      <c r="G2877" t="s">
        <v>166</v>
      </c>
    </row>
    <row r="2878" spans="1:7" x14ac:dyDescent="0.25">
      <c r="A2878" s="10" t="s">
        <v>374</v>
      </c>
      <c r="B2878" s="10" t="s">
        <v>1043</v>
      </c>
      <c r="C2878" t="str">
        <f>Table13[[#This Row],[Manufacturer]]&amp;" "&amp;Table13[[#This Row],[Model]]</f>
        <v>Tohnichi 21000QFR-A</v>
      </c>
      <c r="D2878" s="1">
        <v>3</v>
      </c>
      <c r="E2878" s="1">
        <v>3</v>
      </c>
      <c r="F2878" s="38">
        <v>1500</v>
      </c>
      <c r="G2878" t="s">
        <v>166</v>
      </c>
    </row>
    <row r="2879" spans="1:7" x14ac:dyDescent="0.25">
      <c r="A2879" s="10" t="s">
        <v>374</v>
      </c>
      <c r="B2879" s="10" t="s">
        <v>1042</v>
      </c>
      <c r="C2879" t="str">
        <f>Table13[[#This Row],[Manufacturer]]&amp;" "&amp;Table13[[#This Row],[Model]]</f>
        <v>Tohnichi 21000T-A-S</v>
      </c>
      <c r="D2879" s="1">
        <v>3</v>
      </c>
      <c r="E2879" s="1">
        <v>3</v>
      </c>
      <c r="F2879" s="38">
        <v>1500</v>
      </c>
      <c r="G2879" t="s">
        <v>166</v>
      </c>
    </row>
    <row r="2880" spans="1:7" x14ac:dyDescent="0.25">
      <c r="A2880" s="10" t="s">
        <v>374</v>
      </c>
      <c r="B2880" s="10" t="s">
        <v>1041</v>
      </c>
      <c r="C2880" t="str">
        <f>Table13[[#This Row],[Manufacturer]]&amp;" "&amp;Table13[[#This Row],[Model]]</f>
        <v>Tohnichi 2200QF-A</v>
      </c>
      <c r="D2880" s="1">
        <v>3</v>
      </c>
      <c r="E2880" s="1">
        <v>3</v>
      </c>
      <c r="F2880" s="38">
        <v>160</v>
      </c>
      <c r="G2880" t="s">
        <v>166</v>
      </c>
    </row>
    <row r="2881" spans="1:7" x14ac:dyDescent="0.25">
      <c r="A2881" s="10" t="s">
        <v>374</v>
      </c>
      <c r="B2881" s="10" t="s">
        <v>1040</v>
      </c>
      <c r="C2881" t="str">
        <f>Table13[[#This Row],[Manufacturer]]&amp;" "&amp;Table13[[#This Row],[Model]]</f>
        <v>Tohnichi 2300CF-A</v>
      </c>
      <c r="D2881" s="1">
        <v>3</v>
      </c>
      <c r="E2881" s="1">
        <v>3</v>
      </c>
      <c r="F2881" s="38">
        <v>160</v>
      </c>
      <c r="G2881" t="s">
        <v>166</v>
      </c>
    </row>
    <row r="2882" spans="1:7" x14ac:dyDescent="0.25">
      <c r="A2882" s="10" t="s">
        <v>374</v>
      </c>
      <c r="B2882" s="10" t="s">
        <v>1039</v>
      </c>
      <c r="C2882" t="str">
        <f>Table13[[#This Row],[Manufacturer]]&amp;" "&amp;Table13[[#This Row],[Model]]</f>
        <v>Tohnichi 230DB3-1/4-S</v>
      </c>
      <c r="D2882" s="1">
        <v>3</v>
      </c>
      <c r="E2882" s="1">
        <v>3</v>
      </c>
      <c r="F2882" s="38">
        <v>250</v>
      </c>
      <c r="G2882" t="s">
        <v>418</v>
      </c>
    </row>
    <row r="2883" spans="1:7" x14ac:dyDescent="0.25">
      <c r="A2883" s="10" t="s">
        <v>374</v>
      </c>
      <c r="B2883" s="10" t="s">
        <v>1038</v>
      </c>
      <c r="C2883" t="str">
        <f>Table13[[#This Row],[Manufacturer]]&amp;" "&amp;Table13[[#This Row],[Model]]</f>
        <v>Tohnichi 230DB3-S</v>
      </c>
      <c r="D2883" s="1">
        <v>3</v>
      </c>
      <c r="E2883" s="1">
        <v>3</v>
      </c>
      <c r="F2883" s="38">
        <v>250</v>
      </c>
      <c r="G2883" t="s">
        <v>418</v>
      </c>
    </row>
    <row r="2884" spans="1:7" x14ac:dyDescent="0.25">
      <c r="A2884" s="10" t="s">
        <v>374</v>
      </c>
      <c r="B2884" s="10" t="s">
        <v>1037</v>
      </c>
      <c r="C2884" t="str">
        <f>Table13[[#This Row],[Manufacturer]]&amp;" "&amp;Table13[[#This Row],[Model]]</f>
        <v>Tohnichi 230F-A</v>
      </c>
      <c r="D2884" s="1">
        <v>3</v>
      </c>
      <c r="E2884" s="1">
        <v>3</v>
      </c>
      <c r="F2884" s="38">
        <v>200</v>
      </c>
      <c r="G2884" t="s">
        <v>164</v>
      </c>
    </row>
    <row r="2885" spans="1:7" x14ac:dyDescent="0.25">
      <c r="A2885" s="10" t="s">
        <v>374</v>
      </c>
      <c r="B2885" s="10" t="s">
        <v>1036</v>
      </c>
      <c r="C2885" t="str">
        <f>Table13[[#This Row],[Manufacturer]]&amp;" "&amp;Table13[[#This Row],[Model]]</f>
        <v>Tohnichi 250CDB-A-S</v>
      </c>
      <c r="D2885" s="1">
        <v>3</v>
      </c>
      <c r="E2885" s="1">
        <v>3</v>
      </c>
      <c r="F2885" s="38">
        <v>220</v>
      </c>
      <c r="G2885" t="s">
        <v>164</v>
      </c>
    </row>
    <row r="2886" spans="1:7" x14ac:dyDescent="0.25">
      <c r="A2886" s="10" t="s">
        <v>374</v>
      </c>
      <c r="B2886" s="10" t="s">
        <v>1035</v>
      </c>
      <c r="C2886" t="str">
        <f>Table13[[#This Row],[Manufacturer]]&amp;" "&amp;Table13[[#This Row],[Model]]</f>
        <v>Tohnichi 250CF-A</v>
      </c>
      <c r="D2886" s="1">
        <v>3</v>
      </c>
      <c r="E2886" s="1">
        <v>3</v>
      </c>
      <c r="F2886" s="38">
        <v>220</v>
      </c>
      <c r="G2886" t="s">
        <v>164</v>
      </c>
    </row>
    <row r="2887" spans="1:7" x14ac:dyDescent="0.25">
      <c r="A2887" s="10" t="s">
        <v>374</v>
      </c>
      <c r="B2887" s="10" t="s">
        <v>1034</v>
      </c>
      <c r="C2887" t="str">
        <f>Table13[[#This Row],[Manufacturer]]&amp;" "&amp;Table13[[#This Row],[Model]]</f>
        <v>Tohnichi 28000FR-A</v>
      </c>
      <c r="D2887" s="1">
        <v>3</v>
      </c>
      <c r="E2887" s="1">
        <v>3</v>
      </c>
      <c r="F2887" s="38">
        <v>2000</v>
      </c>
      <c r="G2887" t="s">
        <v>166</v>
      </c>
    </row>
    <row r="2888" spans="1:7" x14ac:dyDescent="0.25">
      <c r="A2888" s="10" t="s">
        <v>374</v>
      </c>
      <c r="B2888" s="10" t="s">
        <v>1033</v>
      </c>
      <c r="C2888" t="str">
        <f>Table13[[#This Row],[Manufacturer]]&amp;" "&amp;Table13[[#This Row],[Model]]</f>
        <v>Tohnichi 28000QFR-A</v>
      </c>
      <c r="D2888" s="1">
        <v>3</v>
      </c>
      <c r="E2888" s="1">
        <v>3</v>
      </c>
      <c r="F2888" s="38">
        <v>2000</v>
      </c>
      <c r="G2888" t="s">
        <v>166</v>
      </c>
    </row>
    <row r="2889" spans="1:7" x14ac:dyDescent="0.25">
      <c r="A2889" s="10" t="s">
        <v>374</v>
      </c>
      <c r="B2889" s="10" t="s">
        <v>1032</v>
      </c>
      <c r="C2889" t="str">
        <f>Table13[[#This Row],[Manufacturer]]&amp;" "&amp;Table13[[#This Row],[Model]]</f>
        <v>Tohnichi 28000T-A-S</v>
      </c>
      <c r="D2889" s="1">
        <v>3</v>
      </c>
      <c r="E2889" s="1">
        <v>3</v>
      </c>
      <c r="F2889" s="38">
        <v>2000</v>
      </c>
      <c r="G2889" t="s">
        <v>166</v>
      </c>
    </row>
    <row r="2890" spans="1:7" x14ac:dyDescent="0.25">
      <c r="A2890" s="10" t="s">
        <v>374</v>
      </c>
      <c r="B2890" s="10" t="s">
        <v>1031</v>
      </c>
      <c r="C2890" t="str">
        <f>Table13[[#This Row],[Manufacturer]]&amp;" "&amp;Table13[[#This Row],[Model]]</f>
        <v>Tohnichi 2800F-A</v>
      </c>
      <c r="D2890" s="1">
        <v>3</v>
      </c>
      <c r="E2890" s="1">
        <v>3</v>
      </c>
      <c r="F2890" s="38">
        <v>200</v>
      </c>
      <c r="G2890" t="s">
        <v>166</v>
      </c>
    </row>
    <row r="2891" spans="1:7" x14ac:dyDescent="0.25">
      <c r="A2891" s="10" t="s">
        <v>374</v>
      </c>
      <c r="B2891" s="10" t="s">
        <v>1030</v>
      </c>
      <c r="C2891" t="str">
        <f>Table13[[#This Row],[Manufacturer]]&amp;" "&amp;Table13[[#This Row],[Model]]</f>
        <v>Tohnichi 2FTD2 N S</v>
      </c>
      <c r="D2891" s="1">
        <v>3</v>
      </c>
      <c r="E2891" s="1">
        <v>3</v>
      </c>
      <c r="F2891" s="38">
        <v>20</v>
      </c>
      <c r="G2891" t="s">
        <v>187</v>
      </c>
    </row>
    <row r="2892" spans="1:7" x14ac:dyDescent="0.25">
      <c r="A2892" s="10" t="s">
        <v>374</v>
      </c>
      <c r="B2892" s="10" t="s">
        <v>1029</v>
      </c>
      <c r="C2892" t="str">
        <f>Table13[[#This Row],[Manufacturer]]&amp;" "&amp;Table13[[#This Row],[Model]]</f>
        <v>Tohnichi 2FTD2 S</v>
      </c>
      <c r="D2892" s="1">
        <v>3</v>
      </c>
      <c r="E2892" s="1">
        <v>3</v>
      </c>
      <c r="F2892" s="38">
        <v>2</v>
      </c>
      <c r="G2892" t="s">
        <v>418</v>
      </c>
    </row>
    <row r="2893" spans="1:7" x14ac:dyDescent="0.25">
      <c r="A2893" s="10" t="s">
        <v>374</v>
      </c>
      <c r="B2893" s="10" t="s">
        <v>1028</v>
      </c>
      <c r="C2893" t="str">
        <f>Table13[[#This Row],[Manufacturer]]&amp;" "&amp;Table13[[#This Row],[Model]]</f>
        <v>Tohnichi 3000CDB-A-S</v>
      </c>
      <c r="D2893" s="1">
        <v>3</v>
      </c>
      <c r="E2893" s="1">
        <v>3</v>
      </c>
      <c r="F2893" s="38">
        <v>220</v>
      </c>
      <c r="G2893" t="s">
        <v>166</v>
      </c>
    </row>
    <row r="2894" spans="1:7" x14ac:dyDescent="0.25">
      <c r="A2894" s="10" t="s">
        <v>374</v>
      </c>
      <c r="B2894" s="10" t="s">
        <v>1027</v>
      </c>
      <c r="C2894" t="str">
        <f>Table13[[#This Row],[Manufacturer]]&amp;" "&amp;Table13[[#This Row],[Model]]</f>
        <v>Tohnichi 30DB4-S</v>
      </c>
      <c r="D2894" s="1">
        <v>3</v>
      </c>
      <c r="E2894" s="1">
        <v>3</v>
      </c>
      <c r="F2894" s="38">
        <v>30</v>
      </c>
      <c r="G2894" t="s">
        <v>418</v>
      </c>
    </row>
    <row r="2895" spans="1:7" x14ac:dyDescent="0.25">
      <c r="A2895" s="10" t="s">
        <v>374</v>
      </c>
      <c r="B2895" s="10" t="s">
        <v>1026</v>
      </c>
      <c r="C2895" t="str">
        <f>Table13[[#This Row],[Manufacturer]]&amp;" "&amp;Table13[[#This Row],[Model]]</f>
        <v>Tohnichi 30SF-A</v>
      </c>
      <c r="D2895" s="1">
        <v>3</v>
      </c>
      <c r="E2895" s="1">
        <v>3</v>
      </c>
      <c r="F2895" s="38">
        <v>26</v>
      </c>
      <c r="G2895" t="s">
        <v>164</v>
      </c>
    </row>
    <row r="2896" spans="1:7" x14ac:dyDescent="0.25">
      <c r="A2896" s="10" t="s">
        <v>374</v>
      </c>
      <c r="B2896" s="10" t="s">
        <v>1025</v>
      </c>
      <c r="C2896" t="str">
        <f>Table13[[#This Row],[Manufacturer]]&amp;" "&amp;Table13[[#This Row],[Model]]</f>
        <v>Tohnichi 3200QF-A</v>
      </c>
      <c r="D2896" s="1">
        <v>3</v>
      </c>
      <c r="E2896" s="1">
        <v>3</v>
      </c>
      <c r="F2896" s="38">
        <v>230</v>
      </c>
      <c r="G2896" t="s">
        <v>166</v>
      </c>
    </row>
    <row r="2897" spans="1:7" x14ac:dyDescent="0.25">
      <c r="A2897" s="10" t="s">
        <v>374</v>
      </c>
      <c r="B2897" s="10" t="s">
        <v>1024</v>
      </c>
      <c r="C2897" t="str">
        <f>Table13[[#This Row],[Manufacturer]]&amp;" "&amp;Table13[[#This Row],[Model]]</f>
        <v>Tohnichi 40FTD</v>
      </c>
      <c r="D2897" s="1">
        <v>3</v>
      </c>
      <c r="E2897" s="1">
        <v>3</v>
      </c>
      <c r="F2897" s="38">
        <v>40</v>
      </c>
      <c r="G2897" t="s">
        <v>418</v>
      </c>
    </row>
    <row r="2898" spans="1:7" x14ac:dyDescent="0.25">
      <c r="A2898" s="10" t="s">
        <v>374</v>
      </c>
      <c r="B2898" s="10" t="s">
        <v>1023</v>
      </c>
      <c r="C2898" t="str">
        <f>Table13[[#This Row],[Manufacturer]]&amp;" "&amp;Table13[[#This Row],[Model]]</f>
        <v>Tohnichi 40FTD N</v>
      </c>
      <c r="D2898" s="1">
        <v>3</v>
      </c>
      <c r="E2898" s="1">
        <v>3</v>
      </c>
      <c r="F2898" s="38">
        <v>400</v>
      </c>
      <c r="G2898" t="s">
        <v>187</v>
      </c>
    </row>
    <row r="2899" spans="1:7" x14ac:dyDescent="0.25">
      <c r="A2899" s="10" t="s">
        <v>374</v>
      </c>
      <c r="B2899" s="10" t="s">
        <v>1022</v>
      </c>
      <c r="C2899" t="str">
        <f>Table13[[#This Row],[Manufacturer]]&amp;" "&amp;Table13[[#This Row],[Model]]</f>
        <v>Tohnichi 40FTD2 N S</v>
      </c>
      <c r="D2899" s="1">
        <v>3</v>
      </c>
      <c r="E2899" s="1">
        <v>3</v>
      </c>
      <c r="F2899" s="38">
        <v>400</v>
      </c>
      <c r="G2899" t="s">
        <v>187</v>
      </c>
    </row>
    <row r="2900" spans="1:7" x14ac:dyDescent="0.25">
      <c r="A2900" s="10" t="s">
        <v>374</v>
      </c>
      <c r="B2900" s="10" t="s">
        <v>1021</v>
      </c>
      <c r="C2900" t="str">
        <f>Table13[[#This Row],[Manufacturer]]&amp;" "&amp;Table13[[#This Row],[Model]]</f>
        <v>Tohnichi 40FTD2 S</v>
      </c>
      <c r="D2900" s="1">
        <v>3</v>
      </c>
      <c r="E2900" s="1">
        <v>3</v>
      </c>
      <c r="F2900" s="38">
        <v>40</v>
      </c>
      <c r="G2900" t="s">
        <v>418</v>
      </c>
    </row>
    <row r="2901" spans="1:7" x14ac:dyDescent="0.25">
      <c r="A2901" s="10" t="s">
        <v>374</v>
      </c>
      <c r="B2901" s="10" t="s">
        <v>1020</v>
      </c>
      <c r="C2901" t="str">
        <f>Table13[[#This Row],[Manufacturer]]&amp;" "&amp;Table13[[#This Row],[Model]]</f>
        <v>Tohnichi 40FTD2-A-S</v>
      </c>
      <c r="D2901" s="1">
        <v>3</v>
      </c>
      <c r="E2901" s="1">
        <v>3</v>
      </c>
      <c r="F2901" s="38">
        <v>40</v>
      </c>
      <c r="G2901" t="s">
        <v>164</v>
      </c>
    </row>
    <row r="2902" spans="1:7" x14ac:dyDescent="0.25">
      <c r="A2902" s="10" t="s">
        <v>374</v>
      </c>
      <c r="B2902" s="10" t="s">
        <v>1019</v>
      </c>
      <c r="C2902" t="str">
        <f>Table13[[#This Row],[Manufacturer]]&amp;" "&amp;Table13[[#This Row],[Model]]</f>
        <v>Tohnichi 40FTD2-S</v>
      </c>
      <c r="D2902" s="1">
        <v>3</v>
      </c>
      <c r="E2902" s="1">
        <v>3</v>
      </c>
      <c r="F2902" s="38">
        <v>40</v>
      </c>
      <c r="G2902" t="s">
        <v>418</v>
      </c>
    </row>
    <row r="2903" spans="1:7" x14ac:dyDescent="0.25">
      <c r="A2903" s="10" t="s">
        <v>374</v>
      </c>
      <c r="B2903" s="10" t="s">
        <v>1018</v>
      </c>
      <c r="C2903" t="str">
        <f>Table13[[#This Row],[Manufacturer]]&amp;" "&amp;Table13[[#This Row],[Model]]</f>
        <v>Tohnichi 40FTD-A</v>
      </c>
      <c r="D2903" s="1">
        <v>3</v>
      </c>
      <c r="E2903" s="1">
        <v>3</v>
      </c>
      <c r="F2903" s="38">
        <v>40</v>
      </c>
      <c r="G2903" t="s">
        <v>164</v>
      </c>
    </row>
    <row r="2904" spans="1:7" x14ac:dyDescent="0.25">
      <c r="A2904" s="10" t="s">
        <v>374</v>
      </c>
      <c r="B2904" s="10" t="s">
        <v>1017</v>
      </c>
      <c r="C2904" t="str">
        <f>Table13[[#This Row],[Manufacturer]]&amp;" "&amp;Table13[[#This Row],[Model]]</f>
        <v>Tohnichi 4200CDB-A-S</v>
      </c>
      <c r="D2904" s="1">
        <v>3</v>
      </c>
      <c r="E2904" s="1">
        <v>3</v>
      </c>
      <c r="F2904" s="38">
        <v>300</v>
      </c>
      <c r="G2904" t="s">
        <v>166</v>
      </c>
    </row>
    <row r="2905" spans="1:7" x14ac:dyDescent="0.25">
      <c r="A2905" s="10" t="s">
        <v>374</v>
      </c>
      <c r="B2905" s="10" t="s">
        <v>1016</v>
      </c>
      <c r="C2905" t="str">
        <f>Table13[[#This Row],[Manufacturer]]&amp;" "&amp;Table13[[#This Row],[Model]]</f>
        <v>Tohnichi 4200CF-A</v>
      </c>
      <c r="D2905" s="1">
        <v>3</v>
      </c>
      <c r="E2905" s="1">
        <v>3</v>
      </c>
      <c r="F2905" s="38">
        <v>300</v>
      </c>
      <c r="G2905" t="s">
        <v>166</v>
      </c>
    </row>
    <row r="2906" spans="1:7" x14ac:dyDescent="0.25">
      <c r="A2906" s="10" t="s">
        <v>374</v>
      </c>
      <c r="B2906" s="10" t="s">
        <v>1015</v>
      </c>
      <c r="C2906" t="str">
        <f>Table13[[#This Row],[Manufacturer]]&amp;" "&amp;Table13[[#This Row],[Model]]</f>
        <v>Tohnichi 4200DB2-S</v>
      </c>
      <c r="D2906" s="1">
        <v>3</v>
      </c>
      <c r="E2906" s="1">
        <v>3</v>
      </c>
      <c r="F2906" s="38">
        <v>42</v>
      </c>
      <c r="G2906" t="s">
        <v>258</v>
      </c>
    </row>
    <row r="2907" spans="1:7" x14ac:dyDescent="0.25">
      <c r="A2907" s="10" t="s">
        <v>374</v>
      </c>
      <c r="B2907" s="10" t="s">
        <v>1014</v>
      </c>
      <c r="C2907" t="str">
        <f>Table13[[#This Row],[Manufacturer]]&amp;" "&amp;Table13[[#This Row],[Model]]</f>
        <v>Tohnichi 4200F-A</v>
      </c>
      <c r="D2907" s="1">
        <v>3</v>
      </c>
      <c r="E2907" s="1">
        <v>3</v>
      </c>
      <c r="F2907" s="38">
        <v>300</v>
      </c>
      <c r="G2907" t="s">
        <v>166</v>
      </c>
    </row>
    <row r="2908" spans="1:7" x14ac:dyDescent="0.25">
      <c r="A2908" s="10" t="s">
        <v>374</v>
      </c>
      <c r="B2908" s="10" t="s">
        <v>1013</v>
      </c>
      <c r="C2908" t="str">
        <f>Table13[[#This Row],[Manufacturer]]&amp;" "&amp;Table13[[#This Row],[Model]]</f>
        <v>Tohnichi 4200QF-A</v>
      </c>
      <c r="D2908" s="1">
        <v>3</v>
      </c>
      <c r="E2908" s="1">
        <v>3</v>
      </c>
      <c r="F2908" s="38">
        <v>300</v>
      </c>
      <c r="G2908" t="s">
        <v>166</v>
      </c>
    </row>
    <row r="2909" spans="1:7" x14ac:dyDescent="0.25">
      <c r="A2909" s="10" t="s">
        <v>374</v>
      </c>
      <c r="B2909" s="10" t="s">
        <v>1012</v>
      </c>
      <c r="C2909" t="str">
        <f>Table13[[#This Row],[Manufacturer]]&amp;" "&amp;Table13[[#This Row],[Model]]</f>
        <v>Tohnichi 450DB3-S</v>
      </c>
      <c r="D2909" s="1">
        <v>3</v>
      </c>
      <c r="E2909" s="1">
        <v>3</v>
      </c>
      <c r="F2909" s="38">
        <v>500</v>
      </c>
      <c r="G2909" t="s">
        <v>418</v>
      </c>
    </row>
    <row r="2910" spans="1:7" x14ac:dyDescent="0.25">
      <c r="A2910" s="10" t="s">
        <v>374</v>
      </c>
      <c r="B2910" s="10" t="s">
        <v>1011</v>
      </c>
      <c r="C2910" t="str">
        <f>Table13[[#This Row],[Manufacturer]]&amp;" "&amp;Table13[[#This Row],[Model]]</f>
        <v>Tohnichi 460F-A</v>
      </c>
      <c r="D2910" s="1">
        <v>3</v>
      </c>
      <c r="E2910" s="1">
        <v>3</v>
      </c>
      <c r="F2910" s="38">
        <v>400</v>
      </c>
      <c r="G2910" t="s">
        <v>164</v>
      </c>
    </row>
    <row r="2911" spans="1:7" x14ac:dyDescent="0.25">
      <c r="A2911" s="10" t="s">
        <v>374</v>
      </c>
      <c r="B2911" s="10" t="s">
        <v>1010</v>
      </c>
      <c r="C2911" t="str">
        <f>Table13[[#This Row],[Manufacturer]]&amp;" "&amp;Table13[[#This Row],[Model]]</f>
        <v>Tohnichi 4SF-A</v>
      </c>
      <c r="D2911" s="1">
        <v>3</v>
      </c>
      <c r="E2911" s="1">
        <v>3</v>
      </c>
      <c r="F2911" s="38">
        <v>3.4</v>
      </c>
      <c r="G2911" t="s">
        <v>164</v>
      </c>
    </row>
    <row r="2912" spans="1:7" x14ac:dyDescent="0.25">
      <c r="A2912" s="10" t="s">
        <v>374</v>
      </c>
      <c r="B2912" s="10" t="s">
        <v>1009</v>
      </c>
      <c r="C2912" t="str">
        <f>Table13[[#This Row],[Manufacturer]]&amp;" "&amp;Table13[[#This Row],[Model]]</f>
        <v>Tohnichi 500CDB-A-S</v>
      </c>
      <c r="D2912" s="1">
        <v>3</v>
      </c>
      <c r="E2912" s="1">
        <v>3</v>
      </c>
      <c r="F2912" s="38">
        <v>430</v>
      </c>
      <c r="G2912" t="s">
        <v>164</v>
      </c>
    </row>
    <row r="2913" spans="1:7" x14ac:dyDescent="0.25">
      <c r="A2913" s="10" t="s">
        <v>374</v>
      </c>
      <c r="B2913" s="10" t="s">
        <v>1008</v>
      </c>
      <c r="C2913" t="str">
        <f>Table13[[#This Row],[Manufacturer]]&amp;" "&amp;Table13[[#This Row],[Model]]</f>
        <v>Tohnichi 500CF-A</v>
      </c>
      <c r="D2913" s="1">
        <v>3</v>
      </c>
      <c r="E2913" s="1">
        <v>3</v>
      </c>
      <c r="F2913" s="38">
        <v>420</v>
      </c>
      <c r="G2913" t="s">
        <v>164</v>
      </c>
    </row>
    <row r="2914" spans="1:7" x14ac:dyDescent="0.25">
      <c r="A2914" s="10" t="s">
        <v>374</v>
      </c>
      <c r="B2914" s="10" t="s">
        <v>1007</v>
      </c>
      <c r="C2914" t="str">
        <f>Table13[[#This Row],[Manufacturer]]&amp;" "&amp;Table13[[#This Row],[Model]]</f>
        <v>Tohnichi 500F-6AS</v>
      </c>
      <c r="D2914" s="1">
        <v>3</v>
      </c>
      <c r="E2914" s="1">
        <v>3</v>
      </c>
      <c r="F2914" s="38">
        <v>500</v>
      </c>
      <c r="G2914" t="s">
        <v>166</v>
      </c>
    </row>
    <row r="2915" spans="1:7" x14ac:dyDescent="0.25">
      <c r="A2915" s="10" t="s">
        <v>374</v>
      </c>
      <c r="B2915" s="10" t="s">
        <v>1006</v>
      </c>
      <c r="C2915" t="str">
        <f>Table13[[#This Row],[Manufacturer]]&amp;" "&amp;Table13[[#This Row],[Model]]</f>
        <v>Tohnichi 50MTD</v>
      </c>
      <c r="D2915" s="1">
        <v>3</v>
      </c>
      <c r="E2915" s="1">
        <v>3</v>
      </c>
      <c r="F2915" s="38">
        <v>50</v>
      </c>
      <c r="G2915" t="s">
        <v>1004</v>
      </c>
    </row>
    <row r="2916" spans="1:7" x14ac:dyDescent="0.25">
      <c r="A2916" s="10" t="s">
        <v>374</v>
      </c>
      <c r="B2916" s="10" t="s">
        <v>1005</v>
      </c>
      <c r="C2916" t="str">
        <f>Table13[[#This Row],[Manufacturer]]&amp;" "&amp;Table13[[#This Row],[Model]]</f>
        <v>Tohnichi 50MTD N</v>
      </c>
      <c r="D2916" s="1">
        <v>3</v>
      </c>
      <c r="E2916" s="1">
        <v>3</v>
      </c>
      <c r="F2916" s="38">
        <v>5</v>
      </c>
      <c r="G2916" t="s">
        <v>1004</v>
      </c>
    </row>
    <row r="2917" spans="1:7" x14ac:dyDescent="0.25">
      <c r="A2917" s="10" t="s">
        <v>374</v>
      </c>
      <c r="B2917" s="10" t="s">
        <v>1003</v>
      </c>
      <c r="C2917" t="str">
        <f>Table13[[#This Row],[Manufacturer]]&amp;" "&amp;Table13[[#This Row],[Model]]</f>
        <v>Tohnichi 5600DBE2-S</v>
      </c>
      <c r="D2917" s="1">
        <v>3</v>
      </c>
      <c r="E2917" s="1">
        <v>3</v>
      </c>
      <c r="F2917" s="38">
        <v>56</v>
      </c>
      <c r="G2917" t="s">
        <v>258</v>
      </c>
    </row>
    <row r="2918" spans="1:7" x14ac:dyDescent="0.25">
      <c r="A2918" s="10" t="s">
        <v>374</v>
      </c>
      <c r="B2918" s="10" t="s">
        <v>1002</v>
      </c>
      <c r="C2918" t="str">
        <f>Table13[[#This Row],[Manufacturer]]&amp;" "&amp;Table13[[#This Row],[Model]]</f>
        <v>Tohnichi 5600F-A</v>
      </c>
      <c r="D2918" s="1">
        <v>3</v>
      </c>
      <c r="E2918" s="1">
        <v>3</v>
      </c>
      <c r="F2918" s="38">
        <v>400</v>
      </c>
      <c r="G2918" t="s">
        <v>166</v>
      </c>
    </row>
    <row r="2919" spans="1:7" x14ac:dyDescent="0.25">
      <c r="A2919" s="10" t="s">
        <v>374</v>
      </c>
      <c r="B2919" s="10" t="s">
        <v>1001</v>
      </c>
      <c r="C2919" t="str">
        <f>Table13[[#This Row],[Manufacturer]]&amp;" "&amp;Table13[[#This Row],[Model]]</f>
        <v>Tohnichi 5600QF-A</v>
      </c>
      <c r="D2919" s="1">
        <v>3</v>
      </c>
      <c r="E2919" s="1">
        <v>3</v>
      </c>
      <c r="F2919" s="38">
        <v>400</v>
      </c>
      <c r="G2919" t="s">
        <v>166</v>
      </c>
    </row>
    <row r="2920" spans="1:7" x14ac:dyDescent="0.25">
      <c r="A2920" s="10" t="s">
        <v>374</v>
      </c>
      <c r="B2920" s="10" t="s">
        <v>1000</v>
      </c>
      <c r="C2920" t="str">
        <f>Table13[[#This Row],[Manufacturer]]&amp;" "&amp;Table13[[#This Row],[Model]]</f>
        <v>Tohnichi 5FTD</v>
      </c>
      <c r="D2920" s="1">
        <v>3</v>
      </c>
      <c r="E2920" s="1">
        <v>3</v>
      </c>
      <c r="F2920" s="38">
        <v>5</v>
      </c>
      <c r="G2920" t="s">
        <v>418</v>
      </c>
    </row>
    <row r="2921" spans="1:7" x14ac:dyDescent="0.25">
      <c r="A2921" s="10" t="s">
        <v>374</v>
      </c>
      <c r="B2921" s="10" t="s">
        <v>999</v>
      </c>
      <c r="C2921" t="str">
        <f>Table13[[#This Row],[Manufacturer]]&amp;" "&amp;Table13[[#This Row],[Model]]</f>
        <v>Tohnichi 5FTD N</v>
      </c>
      <c r="D2921" s="1">
        <v>3</v>
      </c>
      <c r="E2921" s="1">
        <v>3</v>
      </c>
      <c r="F2921" s="38">
        <v>50</v>
      </c>
      <c r="G2921" t="s">
        <v>187</v>
      </c>
    </row>
    <row r="2922" spans="1:7" x14ac:dyDescent="0.25">
      <c r="A2922" s="10" t="s">
        <v>374</v>
      </c>
      <c r="B2922" s="10" t="s">
        <v>998</v>
      </c>
      <c r="C2922" t="str">
        <f>Table13[[#This Row],[Manufacturer]]&amp;" "&amp;Table13[[#This Row],[Model]]</f>
        <v>Tohnichi 5FTD2 N S</v>
      </c>
      <c r="D2922" s="1">
        <v>3</v>
      </c>
      <c r="E2922" s="1">
        <v>3</v>
      </c>
      <c r="F2922" s="38">
        <v>50</v>
      </c>
      <c r="G2922" t="s">
        <v>187</v>
      </c>
    </row>
    <row r="2923" spans="1:7" x14ac:dyDescent="0.25">
      <c r="A2923" s="10" t="s">
        <v>374</v>
      </c>
      <c r="B2923" s="10" t="s">
        <v>997</v>
      </c>
      <c r="C2923" t="str">
        <f>Table13[[#This Row],[Manufacturer]]&amp;" "&amp;Table13[[#This Row],[Model]]</f>
        <v>Tohnichi 5FTD2 S</v>
      </c>
      <c r="D2923" s="1">
        <v>3</v>
      </c>
      <c r="E2923" s="1">
        <v>3</v>
      </c>
      <c r="F2923" s="38">
        <v>5</v>
      </c>
      <c r="G2923" t="s">
        <v>418</v>
      </c>
    </row>
    <row r="2924" spans="1:7" x14ac:dyDescent="0.25">
      <c r="A2924" s="10" t="s">
        <v>374</v>
      </c>
      <c r="B2924" s="10" t="s">
        <v>996</v>
      </c>
      <c r="C2924" t="str">
        <f>Table13[[#This Row],[Manufacturer]]&amp;" "&amp;Table13[[#This Row],[Model]]</f>
        <v>Tohnichi 5FTD2-A-S</v>
      </c>
      <c r="D2924" s="1">
        <v>3</v>
      </c>
      <c r="E2924" s="1">
        <v>3</v>
      </c>
      <c r="F2924" s="38">
        <v>5</v>
      </c>
      <c r="G2924" t="s">
        <v>164</v>
      </c>
    </row>
    <row r="2925" spans="1:7" x14ac:dyDescent="0.25">
      <c r="A2925" s="10" t="s">
        <v>374</v>
      </c>
      <c r="B2925" s="10" t="s">
        <v>995</v>
      </c>
      <c r="C2925" t="str">
        <f>Table13[[#This Row],[Manufacturer]]&amp;" "&amp;Table13[[#This Row],[Model]]</f>
        <v>Tohnichi 5FTD2-S</v>
      </c>
      <c r="D2925" s="1">
        <v>3</v>
      </c>
      <c r="E2925" s="1">
        <v>3</v>
      </c>
      <c r="F2925" s="38">
        <v>5</v>
      </c>
      <c r="G2925" t="s">
        <v>418</v>
      </c>
    </row>
    <row r="2926" spans="1:7" x14ac:dyDescent="0.25">
      <c r="A2926" s="10" t="s">
        <v>374</v>
      </c>
      <c r="B2926" s="10" t="s">
        <v>994</v>
      </c>
      <c r="C2926" t="str">
        <f>Table13[[#This Row],[Manufacturer]]&amp;" "&amp;Table13[[#This Row],[Model]]</f>
        <v>Tohnichi 5FTD-A</v>
      </c>
      <c r="D2926" s="1">
        <v>3</v>
      </c>
      <c r="E2926" s="1">
        <v>3</v>
      </c>
      <c r="F2926" s="38">
        <v>5</v>
      </c>
      <c r="G2926" t="s">
        <v>164</v>
      </c>
    </row>
    <row r="2927" spans="1:7" x14ac:dyDescent="0.25">
      <c r="A2927" s="10" t="s">
        <v>374</v>
      </c>
      <c r="B2927" s="10" t="s">
        <v>993</v>
      </c>
      <c r="C2927" t="str">
        <f>Table13[[#This Row],[Manufacturer]]&amp;" "&amp;Table13[[#This Row],[Model]]</f>
        <v>Tohnichi 600QF-A</v>
      </c>
      <c r="D2927" s="1">
        <v>3</v>
      </c>
      <c r="E2927" s="1">
        <v>3</v>
      </c>
      <c r="F2927" s="38">
        <v>520</v>
      </c>
      <c r="G2927" t="s">
        <v>164</v>
      </c>
    </row>
    <row r="2928" spans="1:7" x14ac:dyDescent="0.25">
      <c r="A2928" s="10" t="s">
        <v>374</v>
      </c>
      <c r="B2928" s="10" t="s">
        <v>992</v>
      </c>
      <c r="C2928" t="str">
        <f>Table13[[#This Row],[Manufacturer]]&amp;" "&amp;Table13[[#This Row],[Model]]</f>
        <v>Tohnichi 60DB4-S</v>
      </c>
      <c r="D2928" s="1">
        <v>3</v>
      </c>
      <c r="E2928" s="1">
        <v>3</v>
      </c>
      <c r="F2928" s="38">
        <v>60</v>
      </c>
      <c r="G2928" t="s">
        <v>418</v>
      </c>
    </row>
    <row r="2929" spans="1:7" x14ac:dyDescent="0.25">
      <c r="A2929" s="10" t="s">
        <v>374</v>
      </c>
      <c r="B2929" s="10" t="s">
        <v>991</v>
      </c>
      <c r="C2929" t="str">
        <f>Table13[[#This Row],[Manufacturer]]&amp;" "&amp;Table13[[#This Row],[Model]]</f>
        <v>Tohnichi 60SF-A</v>
      </c>
      <c r="D2929" s="1">
        <v>3</v>
      </c>
      <c r="E2929" s="1">
        <v>3</v>
      </c>
      <c r="F2929" s="38">
        <v>50</v>
      </c>
      <c r="G2929" t="s">
        <v>164</v>
      </c>
    </row>
    <row r="2930" spans="1:7" x14ac:dyDescent="0.25">
      <c r="A2930" s="10" t="s">
        <v>374</v>
      </c>
      <c r="B2930" s="10" t="s">
        <v>990</v>
      </c>
      <c r="C2930" t="str">
        <f>Table13[[#This Row],[Manufacturer]]&amp;" "&amp;Table13[[#This Row],[Model]]</f>
        <v>Tohnichi 7000DBE2-S</v>
      </c>
      <c r="D2930" s="1">
        <v>3</v>
      </c>
      <c r="E2930" s="1">
        <v>3</v>
      </c>
      <c r="F2930" s="38">
        <v>70</v>
      </c>
      <c r="G2930" t="s">
        <v>258</v>
      </c>
    </row>
    <row r="2931" spans="1:7" x14ac:dyDescent="0.25">
      <c r="A2931" s="10" t="s">
        <v>374</v>
      </c>
      <c r="B2931" s="10" t="s">
        <v>989</v>
      </c>
      <c r="C2931" t="str">
        <f>Table13[[#This Row],[Manufacturer]]&amp;" "&amp;Table13[[#This Row],[Model]]</f>
        <v>Tohnichi 7000F-A</v>
      </c>
      <c r="D2931" s="1">
        <v>3</v>
      </c>
      <c r="E2931" s="1">
        <v>3</v>
      </c>
      <c r="F2931" s="38">
        <v>500</v>
      </c>
      <c r="G2931" t="s">
        <v>166</v>
      </c>
    </row>
    <row r="2932" spans="1:7" x14ac:dyDescent="0.25">
      <c r="A2932" s="10" t="s">
        <v>374</v>
      </c>
      <c r="B2932" s="10" t="s">
        <v>988</v>
      </c>
      <c r="C2932" t="str">
        <f>Table13[[#This Row],[Manufacturer]]&amp;" "&amp;Table13[[#This Row],[Model]]</f>
        <v>Tohnichi 7000QF-A</v>
      </c>
      <c r="D2932" s="1">
        <v>3</v>
      </c>
      <c r="E2932" s="1">
        <v>3</v>
      </c>
      <c r="F2932" s="38">
        <v>500</v>
      </c>
      <c r="G2932" t="s">
        <v>166</v>
      </c>
    </row>
    <row r="2933" spans="1:7" x14ac:dyDescent="0.25">
      <c r="A2933" s="10" t="s">
        <v>374</v>
      </c>
      <c r="B2933" s="10" t="s">
        <v>987</v>
      </c>
      <c r="C2933" t="str">
        <f>Table13[[#This Row],[Manufacturer]]&amp;" "&amp;Table13[[#This Row],[Model]]</f>
        <v>Tohnichi 7000T-A-S</v>
      </c>
      <c r="D2933" s="1">
        <v>3</v>
      </c>
      <c r="E2933" s="1">
        <v>3</v>
      </c>
      <c r="F2933" s="38">
        <v>500</v>
      </c>
      <c r="G2933" t="s">
        <v>166</v>
      </c>
    </row>
    <row r="2934" spans="1:7" x14ac:dyDescent="0.25">
      <c r="A2934" s="10" t="s">
        <v>374</v>
      </c>
      <c r="B2934" s="10" t="s">
        <v>986</v>
      </c>
      <c r="C2934" t="str">
        <f>Table13[[#This Row],[Manufacturer]]&amp;" "&amp;Table13[[#This Row],[Model]]</f>
        <v>Tohnichi 70CDB-A-S</v>
      </c>
      <c r="D2934" s="1">
        <v>3</v>
      </c>
      <c r="E2934" s="1">
        <v>3</v>
      </c>
      <c r="F2934" s="38">
        <v>60</v>
      </c>
      <c r="G2934" t="s">
        <v>164</v>
      </c>
    </row>
    <row r="2935" spans="1:7" x14ac:dyDescent="0.25">
      <c r="A2935" s="10" t="s">
        <v>374</v>
      </c>
      <c r="B2935" s="10" t="s">
        <v>985</v>
      </c>
      <c r="C2935" t="str">
        <f>Table13[[#This Row],[Manufacturer]]&amp;" "&amp;Table13[[#This Row],[Model]]</f>
        <v>Tohnichi 70CSF-A</v>
      </c>
      <c r="D2935" s="1">
        <v>3</v>
      </c>
      <c r="E2935" s="1">
        <v>3</v>
      </c>
      <c r="F2935" s="38">
        <v>60</v>
      </c>
      <c r="G2935" t="s">
        <v>164</v>
      </c>
    </row>
    <row r="2936" spans="1:7" x14ac:dyDescent="0.25">
      <c r="A2936" s="10" t="s">
        <v>374</v>
      </c>
      <c r="B2936" s="10" t="s">
        <v>984</v>
      </c>
      <c r="C2936" t="str">
        <f>Table13[[#This Row],[Manufacturer]]&amp;" "&amp;Table13[[#This Row],[Model]]</f>
        <v>Tohnichi 7SF-A</v>
      </c>
      <c r="D2936" s="1">
        <v>3</v>
      </c>
      <c r="E2936" s="1">
        <v>3</v>
      </c>
      <c r="F2936" s="38">
        <v>6</v>
      </c>
      <c r="G2936" t="s">
        <v>164</v>
      </c>
    </row>
    <row r="2937" spans="1:7" x14ac:dyDescent="0.25">
      <c r="A2937" s="10" t="s">
        <v>374</v>
      </c>
      <c r="B2937" s="10" t="s">
        <v>983</v>
      </c>
      <c r="C2937" t="str">
        <f>Table13[[#This Row],[Manufacturer]]&amp;" "&amp;Table13[[#This Row],[Model]]</f>
        <v>Tohnichi 80FTD</v>
      </c>
      <c r="D2937" s="1">
        <v>3</v>
      </c>
      <c r="E2937" s="1">
        <v>3</v>
      </c>
      <c r="F2937" s="38">
        <v>80</v>
      </c>
      <c r="G2937" t="s">
        <v>418</v>
      </c>
    </row>
    <row r="2938" spans="1:7" x14ac:dyDescent="0.25">
      <c r="A2938" s="10" t="s">
        <v>374</v>
      </c>
      <c r="B2938" s="10" t="s">
        <v>982</v>
      </c>
      <c r="C2938" t="str">
        <f>Table13[[#This Row],[Manufacturer]]&amp;" "&amp;Table13[[#This Row],[Model]]</f>
        <v>Tohnichi 80FTD N</v>
      </c>
      <c r="D2938" s="1">
        <v>3</v>
      </c>
      <c r="E2938" s="1">
        <v>3</v>
      </c>
      <c r="F2938" s="38">
        <v>8</v>
      </c>
      <c r="G2938" t="s">
        <v>184</v>
      </c>
    </row>
    <row r="2939" spans="1:7" x14ac:dyDescent="0.25">
      <c r="A2939" s="10" t="s">
        <v>374</v>
      </c>
      <c r="B2939" s="10" t="s">
        <v>981</v>
      </c>
      <c r="C2939" t="str">
        <f>Table13[[#This Row],[Manufacturer]]&amp;" "&amp;Table13[[#This Row],[Model]]</f>
        <v>Tohnichi 80FTD2 N S</v>
      </c>
      <c r="D2939" s="1">
        <v>3</v>
      </c>
      <c r="E2939" s="1">
        <v>3</v>
      </c>
      <c r="F2939" s="38">
        <v>8</v>
      </c>
      <c r="G2939" t="s">
        <v>184</v>
      </c>
    </row>
    <row r="2940" spans="1:7" x14ac:dyDescent="0.25">
      <c r="A2940" s="10" t="s">
        <v>374</v>
      </c>
      <c r="B2940" s="10" t="s">
        <v>980</v>
      </c>
      <c r="C2940" t="str">
        <f>Table13[[#This Row],[Manufacturer]]&amp;" "&amp;Table13[[#This Row],[Model]]</f>
        <v>Tohnichi 80FTD2 S</v>
      </c>
      <c r="D2940" s="1">
        <v>3</v>
      </c>
      <c r="E2940" s="1">
        <v>3</v>
      </c>
      <c r="F2940" s="38">
        <v>80</v>
      </c>
      <c r="G2940" t="s">
        <v>418</v>
      </c>
    </row>
    <row r="2941" spans="1:7" x14ac:dyDescent="0.25">
      <c r="A2941" s="10" t="s">
        <v>374</v>
      </c>
      <c r="B2941" s="10" t="s">
        <v>979</v>
      </c>
      <c r="C2941" t="str">
        <f>Table13[[#This Row],[Manufacturer]]&amp;" "&amp;Table13[[#This Row],[Model]]</f>
        <v>Tohnichi 80FTD2-A-S</v>
      </c>
      <c r="D2941" s="1">
        <v>3</v>
      </c>
      <c r="E2941" s="1">
        <v>3</v>
      </c>
      <c r="F2941" s="38">
        <v>70</v>
      </c>
      <c r="G2941" t="s">
        <v>164</v>
      </c>
    </row>
    <row r="2942" spans="1:7" x14ac:dyDescent="0.25">
      <c r="A2942" s="10" t="s">
        <v>374</v>
      </c>
      <c r="B2942" s="10" t="s">
        <v>978</v>
      </c>
      <c r="C2942" t="str">
        <f>Table13[[#This Row],[Manufacturer]]&amp;" "&amp;Table13[[#This Row],[Model]]</f>
        <v>Tohnichi 80FTD2-S</v>
      </c>
      <c r="D2942" s="1">
        <v>3</v>
      </c>
      <c r="E2942" s="1">
        <v>3</v>
      </c>
      <c r="F2942" s="38">
        <v>80</v>
      </c>
      <c r="G2942" t="s">
        <v>418</v>
      </c>
    </row>
    <row r="2943" spans="1:7" x14ac:dyDescent="0.25">
      <c r="A2943" s="10" t="s">
        <v>374</v>
      </c>
      <c r="B2943" s="10" t="s">
        <v>977</v>
      </c>
      <c r="C2943" t="str">
        <f>Table13[[#This Row],[Manufacturer]]&amp;" "&amp;Table13[[#This Row],[Model]]</f>
        <v>Tohnichi 80FTD-A</v>
      </c>
      <c r="D2943" s="1">
        <v>3</v>
      </c>
      <c r="E2943" s="1">
        <v>3</v>
      </c>
      <c r="F2943" s="38">
        <v>70</v>
      </c>
      <c r="G2943" t="s">
        <v>164</v>
      </c>
    </row>
    <row r="2944" spans="1:7" x14ac:dyDescent="0.25">
      <c r="A2944" s="10" t="s">
        <v>374</v>
      </c>
      <c r="B2944" s="10" t="s">
        <v>976</v>
      </c>
      <c r="C2944" t="str">
        <f>Table13[[#This Row],[Manufacturer]]&amp;" "&amp;Table13[[#This Row],[Model]]</f>
        <v>Tohnichi 8500CF-A</v>
      </c>
      <c r="D2944" s="1">
        <v>3</v>
      </c>
      <c r="E2944" s="1">
        <v>3</v>
      </c>
      <c r="F2944" s="38">
        <v>600</v>
      </c>
      <c r="G2944" t="s">
        <v>166</v>
      </c>
    </row>
    <row r="2945" spans="1:7" x14ac:dyDescent="0.25">
      <c r="A2945" s="10" t="s">
        <v>374</v>
      </c>
      <c r="B2945" s="10" t="s">
        <v>975</v>
      </c>
      <c r="C2945" t="str">
        <f>Table13[[#This Row],[Manufacturer]]&amp;" "&amp;Table13[[#This Row],[Model]]</f>
        <v>Tohnichi 8500DBE2-S</v>
      </c>
      <c r="D2945" s="1">
        <v>3</v>
      </c>
      <c r="E2945" s="1">
        <v>3</v>
      </c>
      <c r="F2945" s="38">
        <v>85</v>
      </c>
      <c r="G2945" t="s">
        <v>258</v>
      </c>
    </row>
    <row r="2946" spans="1:7" x14ac:dyDescent="0.25">
      <c r="A2946" s="10" t="s">
        <v>374</v>
      </c>
      <c r="B2946" s="10" t="s">
        <v>974</v>
      </c>
      <c r="C2946" t="str">
        <f>Table13[[#This Row],[Manufacturer]]&amp;" "&amp;Table13[[#This Row],[Model]]</f>
        <v>Tohnichi 8500F-A</v>
      </c>
      <c r="D2946" s="1">
        <v>3</v>
      </c>
      <c r="E2946" s="1">
        <v>3</v>
      </c>
      <c r="F2946" s="38">
        <v>600</v>
      </c>
      <c r="G2946" t="s">
        <v>166</v>
      </c>
    </row>
    <row r="2947" spans="1:7" x14ac:dyDescent="0.25">
      <c r="A2947" s="10" t="s">
        <v>374</v>
      </c>
      <c r="B2947" s="10" t="s">
        <v>973</v>
      </c>
      <c r="C2947" t="str">
        <f>Table13[[#This Row],[Manufacturer]]&amp;" "&amp;Table13[[#This Row],[Model]]</f>
        <v>Tohnichi 8500QF-A</v>
      </c>
      <c r="D2947" s="1">
        <v>3</v>
      </c>
      <c r="E2947" s="1">
        <v>3</v>
      </c>
      <c r="F2947" s="38">
        <v>600</v>
      </c>
      <c r="G2947" t="s">
        <v>166</v>
      </c>
    </row>
    <row r="2948" spans="1:7" x14ac:dyDescent="0.25">
      <c r="A2948" s="10" t="s">
        <v>374</v>
      </c>
      <c r="B2948" s="10" t="s">
        <v>972</v>
      </c>
      <c r="C2948" t="str">
        <f>Table13[[#This Row],[Manufacturer]]&amp;" "&amp;Table13[[#This Row],[Model]]</f>
        <v>Tohnichi 900DB3-1/4-S</v>
      </c>
      <c r="D2948" s="1">
        <v>3</v>
      </c>
      <c r="E2948" s="1">
        <v>3</v>
      </c>
      <c r="F2948" s="38">
        <v>1000</v>
      </c>
      <c r="G2948" t="s">
        <v>418</v>
      </c>
    </row>
    <row r="2949" spans="1:7" x14ac:dyDescent="0.25">
      <c r="A2949" s="10" t="s">
        <v>374</v>
      </c>
      <c r="B2949" s="10" t="s">
        <v>971</v>
      </c>
      <c r="C2949" t="str">
        <f>Table13[[#This Row],[Manufacturer]]&amp;" "&amp;Table13[[#This Row],[Model]]</f>
        <v>Tohnichi 900DB3-S</v>
      </c>
      <c r="D2949" s="1">
        <v>3</v>
      </c>
      <c r="E2949" s="1">
        <v>3</v>
      </c>
      <c r="F2949" s="38">
        <v>1000</v>
      </c>
      <c r="G2949" t="s">
        <v>418</v>
      </c>
    </row>
    <row r="2950" spans="1:7" x14ac:dyDescent="0.25">
      <c r="A2950" s="10" t="s">
        <v>374</v>
      </c>
      <c r="B2950" s="10" t="s">
        <v>970</v>
      </c>
      <c r="C2950" t="str">
        <f>Table13[[#This Row],[Manufacturer]]&amp;" "&amp;Table13[[#This Row],[Model]]</f>
        <v>Tohnichi 920F-A</v>
      </c>
      <c r="D2950" s="1">
        <v>3</v>
      </c>
      <c r="E2950" s="1">
        <v>3</v>
      </c>
      <c r="F2950" s="38">
        <v>66</v>
      </c>
      <c r="G2950" t="s">
        <v>166</v>
      </c>
    </row>
    <row r="2951" spans="1:7" x14ac:dyDescent="0.25">
      <c r="A2951" s="10" t="s">
        <v>374</v>
      </c>
      <c r="B2951" s="10" t="s">
        <v>969</v>
      </c>
      <c r="C2951" t="str">
        <f>Table13[[#This Row],[Manufacturer]]&amp;" "&amp;Table13[[#This Row],[Model]]</f>
        <v>Tohnichi CEM100N3X15D-G</v>
      </c>
      <c r="D2951" s="1">
        <v>1</v>
      </c>
      <c r="E2951" s="1">
        <v>1</v>
      </c>
      <c r="F2951" s="38">
        <v>100</v>
      </c>
      <c r="G2951" t="s">
        <v>184</v>
      </c>
    </row>
    <row r="2952" spans="1:7" x14ac:dyDescent="0.25">
      <c r="A2952" s="10" t="s">
        <v>374</v>
      </c>
      <c r="B2952" s="10" t="s">
        <v>968</v>
      </c>
      <c r="C2952" t="str">
        <f>Table13[[#This Row],[Manufacturer]]&amp;" "&amp;Table13[[#This Row],[Model]]</f>
        <v>Tohnichi CEM10N3X8D-G</v>
      </c>
      <c r="D2952" s="1">
        <v>1</v>
      </c>
      <c r="E2952" s="1">
        <v>1</v>
      </c>
      <c r="F2952" s="38">
        <v>10</v>
      </c>
      <c r="G2952" t="s">
        <v>184</v>
      </c>
    </row>
    <row r="2953" spans="1:7" x14ac:dyDescent="0.25">
      <c r="A2953" s="10" t="s">
        <v>374</v>
      </c>
      <c r="B2953" s="10" t="s">
        <v>967</v>
      </c>
      <c r="C2953" t="str">
        <f>Table13[[#This Row],[Manufacturer]]&amp;" "&amp;Table13[[#This Row],[Model]]</f>
        <v>Tohnichi CEM200N3X19D-G</v>
      </c>
      <c r="D2953" s="1">
        <v>1</v>
      </c>
      <c r="E2953" s="1">
        <v>1</v>
      </c>
      <c r="F2953" s="38">
        <v>200</v>
      </c>
      <c r="G2953" t="s">
        <v>184</v>
      </c>
    </row>
    <row r="2954" spans="1:7" x14ac:dyDescent="0.25">
      <c r="A2954" s="10" t="s">
        <v>374</v>
      </c>
      <c r="B2954" s="10" t="s">
        <v>966</v>
      </c>
      <c r="C2954" t="str">
        <f>Table13[[#This Row],[Manufacturer]]&amp;" "&amp;Table13[[#This Row],[Model]]</f>
        <v>Tohnichi CEM20N3X10D-G</v>
      </c>
      <c r="D2954" s="1">
        <v>1</v>
      </c>
      <c r="E2954" s="1">
        <v>1</v>
      </c>
      <c r="F2954" s="38">
        <v>20</v>
      </c>
      <c r="G2954" t="s">
        <v>184</v>
      </c>
    </row>
    <row r="2955" spans="1:7" x14ac:dyDescent="0.25">
      <c r="A2955" s="10" t="s">
        <v>374</v>
      </c>
      <c r="B2955" s="10" t="s">
        <v>965</v>
      </c>
      <c r="C2955" t="str">
        <f>Table13[[#This Row],[Manufacturer]]&amp;" "&amp;Table13[[#This Row],[Model]]</f>
        <v>Tohnichi CEM360N3X22D-G</v>
      </c>
      <c r="D2955" s="1">
        <v>1</v>
      </c>
      <c r="E2955" s="1">
        <v>1</v>
      </c>
      <c r="F2955" s="38">
        <v>360</v>
      </c>
      <c r="G2955" t="s">
        <v>184</v>
      </c>
    </row>
    <row r="2956" spans="1:7" x14ac:dyDescent="0.25">
      <c r="A2956" s="10" t="s">
        <v>374</v>
      </c>
      <c r="B2956" s="10" t="s">
        <v>964</v>
      </c>
      <c r="C2956" t="str">
        <f>Table13[[#This Row],[Manufacturer]]&amp;" "&amp;Table13[[#This Row],[Model]]</f>
        <v>Tohnichi CEM500N3X22D-G</v>
      </c>
      <c r="D2956" s="1">
        <v>1</v>
      </c>
      <c r="E2956" s="1">
        <v>1</v>
      </c>
      <c r="F2956" s="38">
        <v>500</v>
      </c>
      <c r="G2956" t="s">
        <v>184</v>
      </c>
    </row>
    <row r="2957" spans="1:7" x14ac:dyDescent="0.25">
      <c r="A2957" s="10" t="s">
        <v>374</v>
      </c>
      <c r="B2957" s="10" t="s">
        <v>963</v>
      </c>
      <c r="C2957" t="str">
        <f>Table13[[#This Row],[Manufacturer]]&amp;" "&amp;Table13[[#This Row],[Model]]</f>
        <v>Tohnichi CEM50N3X12D-G</v>
      </c>
      <c r="D2957" s="1">
        <v>1</v>
      </c>
      <c r="E2957" s="1">
        <v>1</v>
      </c>
      <c r="F2957" s="38">
        <v>50</v>
      </c>
      <c r="G2957" t="s">
        <v>184</v>
      </c>
    </row>
    <row r="2958" spans="1:7" x14ac:dyDescent="0.25">
      <c r="A2958" s="10" t="s">
        <v>374</v>
      </c>
      <c r="B2958" s="10" t="s">
        <v>962</v>
      </c>
      <c r="C2958" t="str">
        <f>Table13[[#This Row],[Manufacturer]]&amp;" "&amp;Table13[[#This Row],[Model]]</f>
        <v>Tohnichi CEM850N3X32D-G</v>
      </c>
      <c r="D2958" s="1">
        <v>1</v>
      </c>
      <c r="E2958" s="1">
        <v>1</v>
      </c>
      <c r="F2958" s="38">
        <v>850</v>
      </c>
      <c r="G2958" t="s">
        <v>184</v>
      </c>
    </row>
    <row r="2959" spans="1:7" x14ac:dyDescent="0.25">
      <c r="A2959" s="10" t="s">
        <v>374</v>
      </c>
      <c r="B2959" s="10" t="s">
        <v>961</v>
      </c>
      <c r="C2959" t="str">
        <f>Table13[[#This Row],[Manufacturer]]&amp;" "&amp;Table13[[#This Row],[Model]]</f>
        <v>Tohnichi CTB100N2X15D-G</v>
      </c>
      <c r="D2959" s="1">
        <v>1</v>
      </c>
      <c r="E2959" s="1">
        <v>1</v>
      </c>
      <c r="F2959" s="38">
        <v>880</v>
      </c>
      <c r="G2959" t="s">
        <v>164</v>
      </c>
    </row>
    <row r="2960" spans="1:7" x14ac:dyDescent="0.25">
      <c r="A2960" s="10" t="s">
        <v>374</v>
      </c>
      <c r="B2960" s="10" t="s">
        <v>960</v>
      </c>
      <c r="C2960" t="str">
        <f>Table13[[#This Row],[Manufacturer]]&amp;" "&amp;Table13[[#This Row],[Model]]</f>
        <v>Tohnichi CTB10N2X8D-G</v>
      </c>
      <c r="D2960" s="1">
        <v>1</v>
      </c>
      <c r="E2960" s="1">
        <v>1</v>
      </c>
      <c r="F2960" s="38">
        <v>90</v>
      </c>
      <c r="G2960" t="s">
        <v>164</v>
      </c>
    </row>
    <row r="2961" spans="1:7" x14ac:dyDescent="0.25">
      <c r="A2961" s="10" t="s">
        <v>374</v>
      </c>
      <c r="B2961" s="10" t="s">
        <v>959</v>
      </c>
      <c r="C2961" t="str">
        <f>Table13[[#This Row],[Manufacturer]]&amp;" "&amp;Table13[[#This Row],[Model]]</f>
        <v>Tohnichi CTB200N2X19D-G</v>
      </c>
      <c r="D2961" s="1">
        <v>1</v>
      </c>
      <c r="E2961" s="1">
        <v>1</v>
      </c>
      <c r="F2961" s="38">
        <v>150</v>
      </c>
      <c r="G2961" t="s">
        <v>166</v>
      </c>
    </row>
    <row r="2962" spans="1:7" x14ac:dyDescent="0.25">
      <c r="A2962" s="10" t="s">
        <v>374</v>
      </c>
      <c r="B2962" s="10" t="s">
        <v>958</v>
      </c>
      <c r="C2962" t="str">
        <f>Table13[[#This Row],[Manufacturer]]&amp;" "&amp;Table13[[#This Row],[Model]]</f>
        <v>Tohnichi CTB20N2X10D-G</v>
      </c>
      <c r="D2962" s="1">
        <v>1</v>
      </c>
      <c r="E2962" s="1">
        <v>1</v>
      </c>
      <c r="F2962" s="38">
        <v>180</v>
      </c>
      <c r="G2962" t="s">
        <v>164</v>
      </c>
    </row>
    <row r="2963" spans="1:7" x14ac:dyDescent="0.25">
      <c r="A2963" s="10" t="s">
        <v>374</v>
      </c>
      <c r="B2963" s="10" t="s">
        <v>957</v>
      </c>
      <c r="C2963" t="str">
        <f>Table13[[#This Row],[Manufacturer]]&amp;" "&amp;Table13[[#This Row],[Model]]</f>
        <v>Tohnichi CTB360N2X22D-G</v>
      </c>
      <c r="D2963" s="1">
        <v>1</v>
      </c>
      <c r="E2963" s="1">
        <v>1</v>
      </c>
      <c r="F2963" s="38">
        <v>260</v>
      </c>
      <c r="G2963" t="s">
        <v>166</v>
      </c>
    </row>
    <row r="2964" spans="1:7" x14ac:dyDescent="0.25">
      <c r="A2964" s="10" t="s">
        <v>374</v>
      </c>
      <c r="B2964" s="10" t="s">
        <v>956</v>
      </c>
      <c r="C2964" t="str">
        <f>Table13[[#This Row],[Manufacturer]]&amp;" "&amp;Table13[[#This Row],[Model]]</f>
        <v>Tohnichi CTB500N2X22D-G</v>
      </c>
      <c r="D2964" s="1">
        <v>1</v>
      </c>
      <c r="E2964" s="1">
        <v>1</v>
      </c>
      <c r="F2964" s="38">
        <v>360</v>
      </c>
      <c r="G2964" t="s">
        <v>166</v>
      </c>
    </row>
    <row r="2965" spans="1:7" x14ac:dyDescent="0.25">
      <c r="A2965" s="10" t="s">
        <v>374</v>
      </c>
      <c r="B2965" s="10" t="s">
        <v>955</v>
      </c>
      <c r="C2965" t="str">
        <f>Table13[[#This Row],[Manufacturer]]&amp;" "&amp;Table13[[#This Row],[Model]]</f>
        <v>Tohnichi CTB50N2X12D-G</v>
      </c>
      <c r="D2965" s="1">
        <v>1</v>
      </c>
      <c r="E2965" s="1">
        <v>1</v>
      </c>
      <c r="F2965" s="38">
        <v>440</v>
      </c>
      <c r="G2965" t="s">
        <v>164</v>
      </c>
    </row>
    <row r="2966" spans="1:7" x14ac:dyDescent="0.25">
      <c r="A2966" s="10" t="s">
        <v>374</v>
      </c>
      <c r="B2966" s="10" t="s">
        <v>954</v>
      </c>
      <c r="C2966" t="str">
        <f>Table13[[#This Row],[Manufacturer]]&amp;" "&amp;Table13[[#This Row],[Model]]</f>
        <v>Tohnichi CTB850N2X32D-G</v>
      </c>
      <c r="D2966" s="1">
        <v>1</v>
      </c>
      <c r="E2966" s="1">
        <v>1</v>
      </c>
      <c r="F2966" s="38">
        <v>620</v>
      </c>
      <c r="G2966" t="s">
        <v>166</v>
      </c>
    </row>
    <row r="2967" spans="1:7" x14ac:dyDescent="0.25">
      <c r="A2967" s="10" t="s">
        <v>374</v>
      </c>
      <c r="B2967" s="10" t="s">
        <v>953</v>
      </c>
      <c r="C2967" t="str">
        <f>Table13[[#This Row],[Manufacturer]]&amp;" "&amp;Table13[[#This Row],[Model]]</f>
        <v>Tohnichi DB1.5N4-S</v>
      </c>
      <c r="D2967" s="1">
        <v>3</v>
      </c>
      <c r="E2967" s="1">
        <v>3</v>
      </c>
      <c r="F2967" s="38">
        <v>1.5</v>
      </c>
      <c r="G2967" t="s">
        <v>184</v>
      </c>
    </row>
    <row r="2968" spans="1:7" x14ac:dyDescent="0.25">
      <c r="A2968" s="10" t="s">
        <v>374</v>
      </c>
      <c r="B2968" s="10" t="s">
        <v>952</v>
      </c>
      <c r="C2968" t="str">
        <f>Table13[[#This Row],[Manufacturer]]&amp;" "&amp;Table13[[#This Row],[Model]]</f>
        <v>Tohnichi DB1000F-8AS</v>
      </c>
      <c r="D2968" s="1">
        <v>3</v>
      </c>
      <c r="E2968" s="1">
        <v>3</v>
      </c>
      <c r="F2968" s="38">
        <v>1000</v>
      </c>
      <c r="G2968" t="s">
        <v>166</v>
      </c>
    </row>
    <row r="2969" spans="1:7" x14ac:dyDescent="0.25">
      <c r="A2969" s="10" t="s">
        <v>374</v>
      </c>
      <c r="B2969" s="10" t="s">
        <v>951</v>
      </c>
      <c r="C2969" t="str">
        <f>Table13[[#This Row],[Manufacturer]]&amp;" "&amp;Table13[[#This Row],[Model]]</f>
        <v>Tohnichi DB100F-4AS</v>
      </c>
      <c r="D2969" s="1">
        <v>3</v>
      </c>
      <c r="E2969" s="1">
        <v>3</v>
      </c>
      <c r="F2969" s="38">
        <v>100</v>
      </c>
      <c r="G2969" t="s">
        <v>166</v>
      </c>
    </row>
    <row r="2970" spans="1:7" x14ac:dyDescent="0.25">
      <c r="A2970" s="10" t="s">
        <v>374</v>
      </c>
      <c r="B2970" s="10" t="s">
        <v>950</v>
      </c>
      <c r="C2970" t="str">
        <f>Table13[[#This Row],[Manufacturer]]&amp;" "&amp;Table13[[#This Row],[Model]]</f>
        <v>Tohnichi DB100N-3/8-S</v>
      </c>
      <c r="D2970" s="1">
        <v>3</v>
      </c>
      <c r="E2970" s="1">
        <v>3</v>
      </c>
      <c r="F2970" s="38">
        <v>100</v>
      </c>
      <c r="G2970" t="s">
        <v>184</v>
      </c>
    </row>
    <row r="2971" spans="1:7" x14ac:dyDescent="0.25">
      <c r="A2971" s="10" t="s">
        <v>374</v>
      </c>
      <c r="B2971" s="10" t="s">
        <v>949</v>
      </c>
      <c r="C2971" t="str">
        <f>Table13[[#This Row],[Manufacturer]]&amp;" "&amp;Table13[[#This Row],[Model]]</f>
        <v>Tohnichi DB100N-S</v>
      </c>
      <c r="D2971" s="1">
        <v>3</v>
      </c>
      <c r="E2971" s="1">
        <v>3</v>
      </c>
      <c r="F2971" s="38">
        <v>100</v>
      </c>
      <c r="G2971" t="s">
        <v>184</v>
      </c>
    </row>
    <row r="2972" spans="1:7" x14ac:dyDescent="0.25">
      <c r="A2972" s="10" t="s">
        <v>374</v>
      </c>
      <c r="B2972" s="10" t="s">
        <v>948</v>
      </c>
      <c r="C2972" t="str">
        <f>Table13[[#This Row],[Manufacturer]]&amp;" "&amp;Table13[[#This Row],[Model]]</f>
        <v>Tohnichi DB12N4-S</v>
      </c>
      <c r="D2972" s="1">
        <v>3</v>
      </c>
      <c r="E2972" s="1">
        <v>3</v>
      </c>
      <c r="F2972" s="38">
        <v>12</v>
      </c>
      <c r="G2972" t="s">
        <v>184</v>
      </c>
    </row>
    <row r="2973" spans="1:7" x14ac:dyDescent="0.25">
      <c r="A2973" s="10" t="s">
        <v>374</v>
      </c>
      <c r="B2973" s="10" t="s">
        <v>947</v>
      </c>
      <c r="C2973" t="str">
        <f>Table13[[#This Row],[Manufacturer]]&amp;" "&amp;Table13[[#This Row],[Model]]</f>
        <v>Tohnichi DB13I-2AS</v>
      </c>
      <c r="D2973" s="1">
        <v>3</v>
      </c>
      <c r="E2973" s="1">
        <v>3</v>
      </c>
      <c r="F2973" s="38">
        <v>13</v>
      </c>
      <c r="G2973" t="s">
        <v>164</v>
      </c>
    </row>
    <row r="2974" spans="1:7" x14ac:dyDescent="0.25">
      <c r="A2974" s="10" t="s">
        <v>374</v>
      </c>
      <c r="B2974" s="10" t="s">
        <v>946</v>
      </c>
      <c r="C2974" t="str">
        <f>Table13[[#This Row],[Manufacturer]]&amp;" "&amp;Table13[[#This Row],[Model]]</f>
        <v>Tohnichi DB1500F-8AS</v>
      </c>
      <c r="D2974" s="1">
        <v>3</v>
      </c>
      <c r="E2974" s="1">
        <v>3</v>
      </c>
      <c r="F2974" s="38">
        <v>1500</v>
      </c>
      <c r="G2974" t="s">
        <v>166</v>
      </c>
    </row>
    <row r="2975" spans="1:7" x14ac:dyDescent="0.25">
      <c r="A2975" s="10" t="s">
        <v>374</v>
      </c>
      <c r="B2975" s="10" t="s">
        <v>945</v>
      </c>
      <c r="C2975" t="str">
        <f>Table13[[#This Row],[Manufacturer]]&amp;" "&amp;Table13[[#This Row],[Model]]</f>
        <v>Tohnichi DB150I-2AS</v>
      </c>
      <c r="D2975" s="1">
        <v>3</v>
      </c>
      <c r="E2975" s="1">
        <v>3</v>
      </c>
      <c r="F2975" s="38">
        <v>150</v>
      </c>
      <c r="G2975" t="s">
        <v>164</v>
      </c>
    </row>
    <row r="2976" spans="1:7" x14ac:dyDescent="0.25">
      <c r="A2976" s="10" t="s">
        <v>374</v>
      </c>
      <c r="B2976" s="10" t="s">
        <v>944</v>
      </c>
      <c r="C2976" t="str">
        <f>Table13[[#This Row],[Manufacturer]]&amp;" "&amp;Table13[[#This Row],[Model]]</f>
        <v>Tohnichi DB150I-3AS</v>
      </c>
      <c r="D2976" s="1">
        <v>3</v>
      </c>
      <c r="E2976" s="1">
        <v>3</v>
      </c>
      <c r="F2976" s="38">
        <v>150</v>
      </c>
      <c r="G2976" t="s">
        <v>164</v>
      </c>
    </row>
    <row r="2977" spans="1:7" x14ac:dyDescent="0.25">
      <c r="A2977" s="10" t="s">
        <v>374</v>
      </c>
      <c r="B2977" s="10" t="s">
        <v>943</v>
      </c>
      <c r="C2977" t="str">
        <f>Table13[[#This Row],[Manufacturer]]&amp;" "&amp;Table13[[#This Row],[Model]]</f>
        <v>Tohnichi DB175-4AS</v>
      </c>
      <c r="D2977" s="1">
        <v>3</v>
      </c>
      <c r="E2977" s="1">
        <v>3</v>
      </c>
      <c r="F2977" s="38">
        <v>175</v>
      </c>
      <c r="G2977" t="s">
        <v>166</v>
      </c>
    </row>
    <row r="2978" spans="1:7" x14ac:dyDescent="0.25">
      <c r="A2978" s="10" t="s">
        <v>374</v>
      </c>
      <c r="B2978" s="10" t="s">
        <v>942</v>
      </c>
      <c r="C2978" t="str">
        <f>Table13[[#This Row],[Manufacturer]]&amp;" "&amp;Table13[[#This Row],[Model]]</f>
        <v>Tohnichi DB2000F-12AS</v>
      </c>
      <c r="D2978" s="1">
        <v>3</v>
      </c>
      <c r="E2978" s="1">
        <v>3</v>
      </c>
      <c r="F2978" s="38">
        <v>2000</v>
      </c>
      <c r="G2978" t="s">
        <v>166</v>
      </c>
    </row>
    <row r="2979" spans="1:7" x14ac:dyDescent="0.25">
      <c r="A2979" s="10" t="s">
        <v>374</v>
      </c>
      <c r="B2979" s="10" t="s">
        <v>941</v>
      </c>
      <c r="C2979" t="str">
        <f>Table13[[#This Row],[Manufacturer]]&amp;" "&amp;Table13[[#This Row],[Model]]</f>
        <v>Tohnichi DB200N-S</v>
      </c>
      <c r="D2979" s="1">
        <v>3</v>
      </c>
      <c r="E2979" s="1">
        <v>3</v>
      </c>
      <c r="F2979" s="38">
        <v>200</v>
      </c>
      <c r="G2979" t="s">
        <v>184</v>
      </c>
    </row>
    <row r="2980" spans="1:7" x14ac:dyDescent="0.25">
      <c r="A2980" s="10" t="s">
        <v>374</v>
      </c>
      <c r="B2980" s="10" t="s">
        <v>940</v>
      </c>
      <c r="C2980" t="str">
        <f>Table13[[#This Row],[Manufacturer]]&amp;" "&amp;Table13[[#This Row],[Model]]</f>
        <v>Tohnichi DB250F-6AS</v>
      </c>
      <c r="D2980" s="1">
        <v>3</v>
      </c>
      <c r="E2980" s="1">
        <v>3</v>
      </c>
      <c r="F2980" s="38">
        <v>250</v>
      </c>
      <c r="G2980" t="s">
        <v>166</v>
      </c>
    </row>
    <row r="2981" spans="1:7" x14ac:dyDescent="0.25">
      <c r="A2981" s="10" t="s">
        <v>374</v>
      </c>
      <c r="B2981" s="10" t="s">
        <v>939</v>
      </c>
      <c r="C2981" t="str">
        <f>Table13[[#This Row],[Manufacturer]]&amp;" "&amp;Table13[[#This Row],[Model]]</f>
        <v>Tohnichi DB25F-3AS</v>
      </c>
      <c r="D2981" s="1">
        <v>3</v>
      </c>
      <c r="E2981" s="1">
        <v>3</v>
      </c>
      <c r="F2981" s="38">
        <v>25</v>
      </c>
      <c r="G2981" t="s">
        <v>166</v>
      </c>
    </row>
    <row r="2982" spans="1:7" x14ac:dyDescent="0.25">
      <c r="A2982" s="10" t="s">
        <v>374</v>
      </c>
      <c r="B2982" s="10" t="s">
        <v>938</v>
      </c>
      <c r="C2982" t="str">
        <f>Table13[[#This Row],[Manufacturer]]&amp;" "&amp;Table13[[#This Row],[Model]]</f>
        <v>Tohnichi DB25N-1/4-S</v>
      </c>
      <c r="D2982" s="1">
        <v>3</v>
      </c>
      <c r="E2982" s="1">
        <v>3</v>
      </c>
      <c r="F2982" s="38">
        <v>25</v>
      </c>
      <c r="G2982" t="s">
        <v>184</v>
      </c>
    </row>
    <row r="2983" spans="1:7" x14ac:dyDescent="0.25">
      <c r="A2983" s="10" t="s">
        <v>374</v>
      </c>
      <c r="B2983" s="10" t="s">
        <v>937</v>
      </c>
      <c r="C2983" t="str">
        <f>Table13[[#This Row],[Manufacturer]]&amp;" "&amp;Table13[[#This Row],[Model]]</f>
        <v>Tohnichi DB25N-S</v>
      </c>
      <c r="D2983" s="1">
        <v>3</v>
      </c>
      <c r="E2983" s="1">
        <v>3</v>
      </c>
      <c r="F2983" s="38">
        <v>25</v>
      </c>
      <c r="G2983" t="s">
        <v>184</v>
      </c>
    </row>
    <row r="2984" spans="1:7" x14ac:dyDescent="0.25">
      <c r="A2984" s="10" t="s">
        <v>374</v>
      </c>
      <c r="B2984" s="10" t="s">
        <v>936</v>
      </c>
      <c r="C2984" t="str">
        <f>Table13[[#This Row],[Manufacturer]]&amp;" "&amp;Table13[[#This Row],[Model]]</f>
        <v>Tohnichi DB26I-2AS</v>
      </c>
      <c r="D2984" s="1">
        <v>3</v>
      </c>
      <c r="E2984" s="1">
        <v>3</v>
      </c>
      <c r="F2984" s="38">
        <v>26</v>
      </c>
      <c r="G2984" t="s">
        <v>164</v>
      </c>
    </row>
    <row r="2985" spans="1:7" x14ac:dyDescent="0.25">
      <c r="A2985" s="10" t="s">
        <v>374</v>
      </c>
      <c r="B2985" s="10" t="s">
        <v>935</v>
      </c>
      <c r="C2985" t="str">
        <f>Table13[[#This Row],[Manufacturer]]&amp;" "&amp;Table13[[#This Row],[Model]]</f>
        <v>Tohnichi DB280N-1/2-S</v>
      </c>
      <c r="D2985" s="1">
        <v>3</v>
      </c>
      <c r="E2985" s="1">
        <v>3</v>
      </c>
      <c r="F2985" s="38">
        <v>280</v>
      </c>
      <c r="G2985" t="s">
        <v>184</v>
      </c>
    </row>
    <row r="2986" spans="1:7" x14ac:dyDescent="0.25">
      <c r="A2986" s="10" t="s">
        <v>374</v>
      </c>
      <c r="B2986" s="10" t="s">
        <v>934</v>
      </c>
      <c r="C2986" t="str">
        <f>Table13[[#This Row],[Manufacturer]]&amp;" "&amp;Table13[[#This Row],[Model]]</f>
        <v>Tohnichi DB280N-S</v>
      </c>
      <c r="D2986" s="1">
        <v>3</v>
      </c>
      <c r="E2986" s="1">
        <v>3</v>
      </c>
      <c r="F2986" s="38">
        <v>280</v>
      </c>
      <c r="G2986" t="s">
        <v>184</v>
      </c>
    </row>
    <row r="2987" spans="1:7" x14ac:dyDescent="0.25">
      <c r="A2987" s="10" t="s">
        <v>374</v>
      </c>
      <c r="B2987" s="10" t="s">
        <v>933</v>
      </c>
      <c r="C2987" t="str">
        <f>Table13[[#This Row],[Manufacturer]]&amp;" "&amp;Table13[[#This Row],[Model]]</f>
        <v>Tohnichi DB300I-3AS</v>
      </c>
      <c r="D2987" s="1">
        <v>3</v>
      </c>
      <c r="E2987" s="1">
        <v>3</v>
      </c>
      <c r="F2987" s="38">
        <v>300</v>
      </c>
      <c r="G2987" t="s">
        <v>164</v>
      </c>
    </row>
    <row r="2988" spans="1:7" x14ac:dyDescent="0.25">
      <c r="A2988" s="10" t="s">
        <v>374</v>
      </c>
      <c r="B2988" s="10" t="s">
        <v>932</v>
      </c>
      <c r="C2988" t="str">
        <f>Table13[[#This Row],[Manufacturer]]&amp;" "&amp;Table13[[#This Row],[Model]]</f>
        <v>Tohnichi DB350F-6AS</v>
      </c>
      <c r="D2988" s="1">
        <v>3</v>
      </c>
      <c r="E2988" s="1">
        <v>3</v>
      </c>
      <c r="F2988" s="38">
        <v>350</v>
      </c>
      <c r="G2988" t="s">
        <v>166</v>
      </c>
    </row>
    <row r="2989" spans="1:7" x14ac:dyDescent="0.25">
      <c r="A2989" s="10" t="s">
        <v>374</v>
      </c>
      <c r="B2989" s="10" t="s">
        <v>931</v>
      </c>
      <c r="C2989" t="str">
        <f>Table13[[#This Row],[Manufacturer]]&amp;" "&amp;Table13[[#This Row],[Model]]</f>
        <v>Tohnichi DB3N4-S</v>
      </c>
      <c r="D2989" s="1">
        <v>3</v>
      </c>
      <c r="E2989" s="1">
        <v>3</v>
      </c>
      <c r="F2989" s="38">
        <v>3</v>
      </c>
      <c r="G2989" t="s">
        <v>184</v>
      </c>
    </row>
    <row r="2990" spans="1:7" x14ac:dyDescent="0.25">
      <c r="A2990" s="10" t="s">
        <v>374</v>
      </c>
      <c r="B2990" s="10" t="s">
        <v>930</v>
      </c>
      <c r="C2990" t="str">
        <f>Table13[[#This Row],[Manufacturer]]&amp;" "&amp;Table13[[#This Row],[Model]]</f>
        <v>Tohnichi DB40I-2AS</v>
      </c>
      <c r="D2990" s="1">
        <v>3</v>
      </c>
      <c r="E2990" s="1">
        <v>3</v>
      </c>
      <c r="F2990" s="38">
        <v>40</v>
      </c>
      <c r="G2990" t="s">
        <v>164</v>
      </c>
    </row>
    <row r="2991" spans="1:7" x14ac:dyDescent="0.25">
      <c r="A2991" s="10" t="s">
        <v>374</v>
      </c>
      <c r="B2991" s="10" t="s">
        <v>929</v>
      </c>
      <c r="C2991" t="str">
        <f>Table13[[#This Row],[Manufacturer]]&amp;" "&amp;Table13[[#This Row],[Model]]</f>
        <v>Tohnichi DB420N-S</v>
      </c>
      <c r="D2991" s="1">
        <v>3</v>
      </c>
      <c r="E2991" s="1">
        <v>3</v>
      </c>
      <c r="F2991" s="38">
        <v>420</v>
      </c>
      <c r="G2991" t="s">
        <v>184</v>
      </c>
    </row>
    <row r="2992" spans="1:7" x14ac:dyDescent="0.25">
      <c r="A2992" s="10" t="s">
        <v>374</v>
      </c>
      <c r="B2992" s="10" t="s">
        <v>928</v>
      </c>
      <c r="C2992" t="str">
        <f>Table13[[#This Row],[Manufacturer]]&amp;" "&amp;Table13[[#This Row],[Model]]</f>
        <v>Tohnichi DB500F-6AS</v>
      </c>
      <c r="D2992" s="1">
        <v>3</v>
      </c>
      <c r="E2992" s="1">
        <v>3</v>
      </c>
      <c r="F2992" s="38">
        <v>500</v>
      </c>
      <c r="G2992" t="s">
        <v>166</v>
      </c>
    </row>
    <row r="2993" spans="1:7" x14ac:dyDescent="0.25">
      <c r="A2993" s="10" t="s">
        <v>374</v>
      </c>
      <c r="B2993" s="10" t="s">
        <v>927</v>
      </c>
      <c r="C2993" t="str">
        <f>Table13[[#This Row],[Manufacturer]]&amp;" "&amp;Table13[[#This Row],[Model]]</f>
        <v>Tohnichi DB50F-3AS</v>
      </c>
      <c r="D2993" s="1">
        <v>3</v>
      </c>
      <c r="E2993" s="1">
        <v>3</v>
      </c>
      <c r="F2993" s="38">
        <v>50</v>
      </c>
      <c r="G2993" t="s">
        <v>166</v>
      </c>
    </row>
    <row r="2994" spans="1:7" x14ac:dyDescent="0.25">
      <c r="A2994" s="10" t="s">
        <v>374</v>
      </c>
      <c r="B2994" s="10" t="s">
        <v>926</v>
      </c>
      <c r="C2994" t="str">
        <f>Table13[[#This Row],[Manufacturer]]&amp;" "&amp;Table13[[#This Row],[Model]]</f>
        <v>Tohnichi DB50F-4AS</v>
      </c>
      <c r="D2994" s="1">
        <v>3</v>
      </c>
      <c r="E2994" s="1">
        <v>3</v>
      </c>
      <c r="F2994" s="38">
        <v>50</v>
      </c>
      <c r="G2994" t="s">
        <v>166</v>
      </c>
    </row>
    <row r="2995" spans="1:7" x14ac:dyDescent="0.25">
      <c r="A2995" s="10" t="s">
        <v>374</v>
      </c>
      <c r="B2995" s="10" t="s">
        <v>925</v>
      </c>
      <c r="C2995" t="str">
        <f>Table13[[#This Row],[Manufacturer]]&amp;" "&amp;Table13[[#This Row],[Model]]</f>
        <v>Tohnichi DB50N-S</v>
      </c>
      <c r="D2995" s="1">
        <v>3</v>
      </c>
      <c r="E2995" s="1">
        <v>3</v>
      </c>
      <c r="F2995" s="38">
        <v>50</v>
      </c>
      <c r="G2995" t="s">
        <v>184</v>
      </c>
    </row>
    <row r="2996" spans="1:7" x14ac:dyDescent="0.25">
      <c r="A2996" s="10" t="s">
        <v>374</v>
      </c>
      <c r="B2996" s="10" t="s">
        <v>924</v>
      </c>
      <c r="C2996" t="str">
        <f>Table13[[#This Row],[Manufacturer]]&amp;" "&amp;Table13[[#This Row],[Model]]</f>
        <v>Tohnichi DB600I-3AS</v>
      </c>
      <c r="D2996" s="1">
        <v>3</v>
      </c>
      <c r="E2996" s="1">
        <v>3</v>
      </c>
      <c r="F2996" s="38">
        <v>600</v>
      </c>
      <c r="G2996" t="s">
        <v>164</v>
      </c>
    </row>
    <row r="2997" spans="1:7" x14ac:dyDescent="0.25">
      <c r="A2997" s="10" t="s">
        <v>374</v>
      </c>
      <c r="B2997" s="10" t="s">
        <v>923</v>
      </c>
      <c r="C2997" t="str">
        <f>Table13[[#This Row],[Manufacturer]]&amp;" "&amp;Table13[[#This Row],[Model]]</f>
        <v>Tohnichi DB600I-4AS</v>
      </c>
      <c r="D2997" s="1">
        <v>3</v>
      </c>
      <c r="E2997" s="1">
        <v>3</v>
      </c>
      <c r="F2997" s="38">
        <v>600</v>
      </c>
      <c r="G2997" t="s">
        <v>164</v>
      </c>
    </row>
    <row r="2998" spans="1:7" x14ac:dyDescent="0.25">
      <c r="A2998" s="10" t="s">
        <v>374</v>
      </c>
      <c r="B2998" s="10" t="s">
        <v>922</v>
      </c>
      <c r="C2998" t="str">
        <f>Table13[[#This Row],[Manufacturer]]&amp;" "&amp;Table13[[#This Row],[Model]]</f>
        <v>Tohnichi DB6N4-S</v>
      </c>
      <c r="D2998" s="1">
        <v>3</v>
      </c>
      <c r="E2998" s="1">
        <v>3</v>
      </c>
      <c r="F2998" s="38">
        <v>6</v>
      </c>
      <c r="G2998" t="s">
        <v>184</v>
      </c>
    </row>
    <row r="2999" spans="1:7" x14ac:dyDescent="0.25">
      <c r="A2999" s="10" t="s">
        <v>374</v>
      </c>
      <c r="B2999" s="10" t="s">
        <v>921</v>
      </c>
      <c r="C2999" t="str">
        <f>Table13[[#This Row],[Manufacturer]]&amp;" "&amp;Table13[[#This Row],[Model]]</f>
        <v>Tohnichi DB75I-2A</v>
      </c>
      <c r="D2999" s="1">
        <v>3</v>
      </c>
      <c r="E2999" s="1">
        <v>3</v>
      </c>
      <c r="F2999" s="38">
        <v>75</v>
      </c>
      <c r="G2999" t="s">
        <v>164</v>
      </c>
    </row>
    <row r="3000" spans="1:7" x14ac:dyDescent="0.25">
      <c r="A3000" s="10" t="s">
        <v>374</v>
      </c>
      <c r="B3000" s="10" t="s">
        <v>920</v>
      </c>
      <c r="C3000" t="str">
        <f>Table13[[#This Row],[Manufacturer]]&amp;" "&amp;Table13[[#This Row],[Model]]</f>
        <v>Tohnichi DB75I-2AS</v>
      </c>
      <c r="D3000" s="1">
        <v>3</v>
      </c>
      <c r="E3000" s="1">
        <v>3</v>
      </c>
      <c r="F3000" s="38">
        <v>75</v>
      </c>
      <c r="G3000" t="s">
        <v>164</v>
      </c>
    </row>
    <row r="3001" spans="1:7" x14ac:dyDescent="0.25">
      <c r="A3001" s="10" t="s">
        <v>374</v>
      </c>
      <c r="B3001" s="10" t="s">
        <v>919</v>
      </c>
      <c r="C3001" t="str">
        <f>Table13[[#This Row],[Manufacturer]]&amp;" "&amp;Table13[[#This Row],[Model]]</f>
        <v>Tohnichi DB800F-8AS</v>
      </c>
      <c r="D3001" s="1">
        <v>3</v>
      </c>
      <c r="E3001" s="1">
        <v>3</v>
      </c>
      <c r="F3001" s="38">
        <v>800</v>
      </c>
      <c r="G3001" t="s">
        <v>166</v>
      </c>
    </row>
    <row r="3002" spans="1:7" x14ac:dyDescent="0.25">
      <c r="A3002" s="10" t="s">
        <v>374</v>
      </c>
      <c r="B3002" s="10" t="s">
        <v>918</v>
      </c>
      <c r="C3002" t="str">
        <f>Table13[[#This Row],[Manufacturer]]&amp;" "&amp;Table13[[#This Row],[Model]]</f>
        <v>Tohnichi DBE1000N-S</v>
      </c>
      <c r="D3002" s="1">
        <v>3</v>
      </c>
      <c r="E3002" s="1">
        <v>3</v>
      </c>
      <c r="F3002" s="38">
        <v>1000</v>
      </c>
      <c r="G3002" t="s">
        <v>184</v>
      </c>
    </row>
    <row r="3003" spans="1:7" x14ac:dyDescent="0.25">
      <c r="A3003" s="10" t="s">
        <v>374</v>
      </c>
      <c r="B3003" s="10" t="s">
        <v>917</v>
      </c>
      <c r="C3003" t="str">
        <f>Table13[[#This Row],[Manufacturer]]&amp;" "&amp;Table13[[#This Row],[Model]]</f>
        <v>Tohnichi DBE1400N-S</v>
      </c>
      <c r="D3003" s="1">
        <v>3</v>
      </c>
      <c r="E3003" s="1">
        <v>3</v>
      </c>
      <c r="F3003" s="38">
        <v>1400</v>
      </c>
      <c r="G3003" t="s">
        <v>184</v>
      </c>
    </row>
    <row r="3004" spans="1:7" x14ac:dyDescent="0.25">
      <c r="A3004" s="10" t="s">
        <v>374</v>
      </c>
      <c r="B3004" s="10" t="s">
        <v>916</v>
      </c>
      <c r="C3004" t="str">
        <f>Table13[[#This Row],[Manufacturer]]&amp;" "&amp;Table13[[#This Row],[Model]]</f>
        <v>Tohnichi DBE2100N-S</v>
      </c>
      <c r="D3004" s="1">
        <v>3</v>
      </c>
      <c r="E3004" s="1">
        <v>3</v>
      </c>
      <c r="F3004" s="38">
        <v>2100</v>
      </c>
      <c r="G3004" t="s">
        <v>184</v>
      </c>
    </row>
    <row r="3005" spans="1:7" x14ac:dyDescent="0.25">
      <c r="A3005" s="10" t="s">
        <v>374</v>
      </c>
      <c r="B3005" s="10" t="s">
        <v>915</v>
      </c>
      <c r="C3005" t="str">
        <f>Table13[[#This Row],[Manufacturer]]&amp;" "&amp;Table13[[#This Row],[Model]]</f>
        <v>Tohnichi DBE560N-S</v>
      </c>
      <c r="D3005" s="1">
        <v>3</v>
      </c>
      <c r="E3005" s="1">
        <v>3</v>
      </c>
      <c r="F3005" s="38">
        <v>560</v>
      </c>
      <c r="G3005" t="s">
        <v>184</v>
      </c>
    </row>
    <row r="3006" spans="1:7" x14ac:dyDescent="0.25">
      <c r="A3006" s="10" t="s">
        <v>374</v>
      </c>
      <c r="B3006" s="10" t="s">
        <v>914</v>
      </c>
      <c r="C3006" t="str">
        <f>Table13[[#This Row],[Manufacturer]]&amp;" "&amp;Table13[[#This Row],[Model]]</f>
        <v>Tohnichi DBE700N-S</v>
      </c>
      <c r="D3006" s="1">
        <v>3</v>
      </c>
      <c r="E3006" s="1">
        <v>3</v>
      </c>
      <c r="F3006" s="38">
        <v>700</v>
      </c>
      <c r="G3006" t="s">
        <v>184</v>
      </c>
    </row>
    <row r="3007" spans="1:7" x14ac:dyDescent="0.25">
      <c r="A3007" s="10" t="s">
        <v>374</v>
      </c>
      <c r="B3007" s="10" t="s">
        <v>913</v>
      </c>
      <c r="C3007" t="str">
        <f>Table13[[#This Row],[Manufacturer]]&amp;" "&amp;Table13[[#This Row],[Model]]</f>
        <v>Tohnichi DBE850N-S</v>
      </c>
      <c r="D3007" s="1">
        <v>3</v>
      </c>
      <c r="E3007" s="1">
        <v>3</v>
      </c>
      <c r="F3007" s="38">
        <v>850</v>
      </c>
      <c r="G3007" t="s">
        <v>184</v>
      </c>
    </row>
    <row r="3008" spans="1:7" x14ac:dyDescent="0.25">
      <c r="A3008" s="10" t="s">
        <v>374</v>
      </c>
      <c r="B3008" s="10" t="s">
        <v>912</v>
      </c>
      <c r="C3008" t="str">
        <f>Table13[[#This Row],[Manufacturer]]&amp;" "&amp;Table13[[#This Row],[Model]]</f>
        <v>Tohnichi FTD100CN</v>
      </c>
      <c r="D3008" s="1">
        <v>3</v>
      </c>
      <c r="E3008" s="1">
        <v>3</v>
      </c>
      <c r="F3008" s="38">
        <v>100</v>
      </c>
      <c r="G3008" t="s">
        <v>187</v>
      </c>
    </row>
    <row r="3009" spans="1:7" x14ac:dyDescent="0.25">
      <c r="A3009" s="10" t="s">
        <v>374</v>
      </c>
      <c r="B3009" s="10" t="s">
        <v>911</v>
      </c>
      <c r="C3009" t="str">
        <f>Table13[[#This Row],[Manufacturer]]&amp;" "&amp;Table13[[#This Row],[Model]]</f>
        <v>Tohnichi FTD100CN2-S</v>
      </c>
      <c r="D3009" s="1">
        <v>3</v>
      </c>
      <c r="E3009" s="1">
        <v>3</v>
      </c>
      <c r="F3009" s="38">
        <v>100</v>
      </c>
      <c r="G3009" t="s">
        <v>187</v>
      </c>
    </row>
    <row r="3010" spans="1:7" x14ac:dyDescent="0.25">
      <c r="A3010" s="10" t="s">
        <v>374</v>
      </c>
      <c r="B3010" s="10" t="s">
        <v>910</v>
      </c>
      <c r="C3010" t="str">
        <f>Table13[[#This Row],[Manufacturer]]&amp;" "&amp;Table13[[#This Row],[Model]]</f>
        <v>Tohnichi FTD15Z</v>
      </c>
      <c r="D3010" s="1">
        <v>3</v>
      </c>
      <c r="E3010" s="1">
        <v>3</v>
      </c>
      <c r="F3010" s="38">
        <v>15</v>
      </c>
      <c r="G3010" t="s">
        <v>172</v>
      </c>
    </row>
    <row r="3011" spans="1:7" x14ac:dyDescent="0.25">
      <c r="A3011" s="10" t="s">
        <v>374</v>
      </c>
      <c r="B3011" s="10" t="s">
        <v>909</v>
      </c>
      <c r="C3011" t="str">
        <f>Table13[[#This Row],[Manufacturer]]&amp;" "&amp;Table13[[#This Row],[Model]]</f>
        <v>Tohnichi FTD16N2-S</v>
      </c>
      <c r="D3011" s="1">
        <v>3</v>
      </c>
      <c r="E3011" s="1">
        <v>3</v>
      </c>
      <c r="F3011" s="38">
        <v>16</v>
      </c>
      <c r="G3011" t="s">
        <v>184</v>
      </c>
    </row>
    <row r="3012" spans="1:7" x14ac:dyDescent="0.25">
      <c r="A3012" s="10" t="s">
        <v>374</v>
      </c>
      <c r="B3012" s="10" t="s">
        <v>908</v>
      </c>
      <c r="C3012" t="str">
        <f>Table13[[#This Row],[Manufacturer]]&amp;" "&amp;Table13[[#This Row],[Model]]</f>
        <v>Tohnichi FTD200CN</v>
      </c>
      <c r="D3012" s="1">
        <v>3</v>
      </c>
      <c r="E3012" s="1">
        <v>3</v>
      </c>
      <c r="F3012" s="38">
        <v>200</v>
      </c>
      <c r="G3012" t="s">
        <v>187</v>
      </c>
    </row>
    <row r="3013" spans="1:7" x14ac:dyDescent="0.25">
      <c r="A3013" s="10" t="s">
        <v>374</v>
      </c>
      <c r="B3013" s="10" t="s">
        <v>907</v>
      </c>
      <c r="C3013" t="str">
        <f>Table13[[#This Row],[Manufacturer]]&amp;" "&amp;Table13[[#This Row],[Model]]</f>
        <v>Tohnichi FTD200CN2-S</v>
      </c>
      <c r="D3013" s="1">
        <v>3</v>
      </c>
      <c r="E3013" s="1">
        <v>3</v>
      </c>
      <c r="F3013" s="38">
        <v>200</v>
      </c>
      <c r="G3013" t="s">
        <v>187</v>
      </c>
    </row>
    <row r="3014" spans="1:7" x14ac:dyDescent="0.25">
      <c r="A3014" s="10" t="s">
        <v>374</v>
      </c>
      <c r="B3014" s="10" t="s">
        <v>906</v>
      </c>
      <c r="C3014" t="str">
        <f>Table13[[#This Row],[Manufacturer]]&amp;" "&amp;Table13[[#This Row],[Model]]</f>
        <v>Tohnichi FTD30Z</v>
      </c>
      <c r="D3014" s="1">
        <v>3</v>
      </c>
      <c r="E3014" s="1">
        <v>3</v>
      </c>
      <c r="F3014" s="38">
        <v>30</v>
      </c>
      <c r="G3014" t="s">
        <v>172</v>
      </c>
    </row>
    <row r="3015" spans="1:7" x14ac:dyDescent="0.25">
      <c r="A3015" s="10" t="s">
        <v>374</v>
      </c>
      <c r="B3015" s="10" t="s">
        <v>905</v>
      </c>
      <c r="C3015" t="str">
        <f>Table13[[#This Row],[Manufacturer]]&amp;" "&amp;Table13[[#This Row],[Model]]</f>
        <v>Tohnichi FTD30Z2-S</v>
      </c>
      <c r="D3015" s="1">
        <v>3</v>
      </c>
      <c r="E3015" s="1">
        <v>3</v>
      </c>
      <c r="F3015" s="38">
        <v>30</v>
      </c>
      <c r="G3015" t="s">
        <v>172</v>
      </c>
    </row>
    <row r="3016" spans="1:7" x14ac:dyDescent="0.25">
      <c r="A3016" s="10" t="s">
        <v>374</v>
      </c>
      <c r="B3016" s="10" t="s">
        <v>904</v>
      </c>
      <c r="C3016" t="str">
        <f>Table13[[#This Row],[Manufacturer]]&amp;" "&amp;Table13[[#This Row],[Model]]</f>
        <v>Tohnichi FTD3Z</v>
      </c>
      <c r="D3016" s="1">
        <v>3</v>
      </c>
      <c r="E3016" s="1">
        <v>3</v>
      </c>
      <c r="F3016" s="38">
        <v>3</v>
      </c>
      <c r="G3016" t="s">
        <v>172</v>
      </c>
    </row>
    <row r="3017" spans="1:7" x14ac:dyDescent="0.25">
      <c r="A3017" s="10" t="s">
        <v>374</v>
      </c>
      <c r="B3017" s="10" t="s">
        <v>903</v>
      </c>
      <c r="C3017" t="str">
        <f>Table13[[#This Row],[Manufacturer]]&amp;" "&amp;Table13[[#This Row],[Model]]</f>
        <v>Tohnichi FTD400CN</v>
      </c>
      <c r="D3017" s="1">
        <v>3</v>
      </c>
      <c r="E3017" s="1">
        <v>3</v>
      </c>
      <c r="F3017" s="38">
        <v>400</v>
      </c>
      <c r="G3017" t="s">
        <v>187</v>
      </c>
    </row>
    <row r="3018" spans="1:7" x14ac:dyDescent="0.25">
      <c r="A3018" s="10" t="s">
        <v>374</v>
      </c>
      <c r="B3018" s="10" t="s">
        <v>902</v>
      </c>
      <c r="C3018" t="str">
        <f>Table13[[#This Row],[Manufacturer]]&amp;" "&amp;Table13[[#This Row],[Model]]</f>
        <v>Tohnichi FTD400CN2-S</v>
      </c>
      <c r="D3018" s="1">
        <v>3</v>
      </c>
      <c r="E3018" s="1">
        <v>3</v>
      </c>
      <c r="F3018" s="38">
        <v>400</v>
      </c>
      <c r="G3018" t="s">
        <v>187</v>
      </c>
    </row>
    <row r="3019" spans="1:7" x14ac:dyDescent="0.25">
      <c r="A3019" s="10" t="s">
        <v>374</v>
      </c>
      <c r="B3019" s="10" t="s">
        <v>901</v>
      </c>
      <c r="C3019" t="str">
        <f>Table13[[#This Row],[Manufacturer]]&amp;" "&amp;Table13[[#This Row],[Model]]</f>
        <v>Tohnichi FTD50CN</v>
      </c>
      <c r="D3019" s="1">
        <v>3</v>
      </c>
      <c r="E3019" s="1">
        <v>3</v>
      </c>
      <c r="F3019" s="38">
        <v>50</v>
      </c>
      <c r="G3019" t="s">
        <v>187</v>
      </c>
    </row>
    <row r="3020" spans="1:7" x14ac:dyDescent="0.25">
      <c r="A3020" s="10" t="s">
        <v>374</v>
      </c>
      <c r="B3020" s="10" t="s">
        <v>900</v>
      </c>
      <c r="C3020" t="str">
        <f>Table13[[#This Row],[Manufacturer]]&amp;" "&amp;Table13[[#This Row],[Model]]</f>
        <v>Tohnichi FTD50CN-2</v>
      </c>
      <c r="D3020" s="1">
        <v>3</v>
      </c>
      <c r="E3020" s="1">
        <v>3</v>
      </c>
      <c r="F3020" s="38">
        <v>50</v>
      </c>
      <c r="G3020" t="s">
        <v>187</v>
      </c>
    </row>
    <row r="3021" spans="1:7" x14ac:dyDescent="0.25">
      <c r="A3021" s="10" t="s">
        <v>374</v>
      </c>
      <c r="B3021" s="10" t="s">
        <v>899</v>
      </c>
      <c r="C3021" t="str">
        <f>Table13[[#This Row],[Manufacturer]]&amp;" "&amp;Table13[[#This Row],[Model]]</f>
        <v>Tohnichi FTD70Z</v>
      </c>
      <c r="D3021" s="1">
        <v>3</v>
      </c>
      <c r="E3021" s="1">
        <v>3</v>
      </c>
      <c r="F3021" s="38">
        <v>70</v>
      </c>
      <c r="G3021" t="s">
        <v>172</v>
      </c>
    </row>
    <row r="3022" spans="1:7" x14ac:dyDescent="0.25">
      <c r="A3022" s="10" t="s">
        <v>374</v>
      </c>
      <c r="B3022" s="10" t="s">
        <v>898</v>
      </c>
      <c r="C3022" t="str">
        <f>Table13[[#This Row],[Manufacturer]]&amp;" "&amp;Table13[[#This Row],[Model]]</f>
        <v>Tohnichi FTD70Z2-S</v>
      </c>
      <c r="D3022" s="1">
        <v>3</v>
      </c>
      <c r="E3022" s="1">
        <v>3</v>
      </c>
      <c r="F3022" s="38">
        <v>70</v>
      </c>
      <c r="G3022" t="s">
        <v>172</v>
      </c>
    </row>
    <row r="3023" spans="1:7" x14ac:dyDescent="0.25">
      <c r="A3023" s="10" t="s">
        <v>374</v>
      </c>
      <c r="B3023" s="10" t="s">
        <v>897</v>
      </c>
      <c r="C3023" t="str">
        <f>Table13[[#This Row],[Manufacturer]]&amp;" "&amp;Table13[[#This Row],[Model]]</f>
        <v>Tohnichi FTD7Z</v>
      </c>
      <c r="D3023" s="1">
        <v>3</v>
      </c>
      <c r="E3023" s="1">
        <v>3</v>
      </c>
      <c r="F3023" s="38">
        <v>7</v>
      </c>
      <c r="G3023" t="s">
        <v>172</v>
      </c>
    </row>
    <row r="3024" spans="1:7" x14ac:dyDescent="0.25">
      <c r="A3024" s="10" t="s">
        <v>374</v>
      </c>
      <c r="B3024" s="10" t="s">
        <v>896</v>
      </c>
      <c r="C3024" t="str">
        <f>Table13[[#This Row],[Manufacturer]]&amp;" "&amp;Table13[[#This Row],[Model]]</f>
        <v>Tohnichi FTD8N2-S</v>
      </c>
      <c r="D3024" s="1">
        <v>3</v>
      </c>
      <c r="E3024" s="1">
        <v>3</v>
      </c>
      <c r="F3024" s="38">
        <v>8</v>
      </c>
      <c r="G3024" t="s">
        <v>184</v>
      </c>
    </row>
    <row r="3025" spans="1:7" x14ac:dyDescent="0.25">
      <c r="A3025" s="10" t="s">
        <v>374</v>
      </c>
      <c r="B3025" s="10" t="s">
        <v>895</v>
      </c>
      <c r="C3025" t="str">
        <f>Table13[[#This Row],[Manufacturer]]&amp;" "&amp;Table13[[#This Row],[Model]]</f>
        <v>Tohnichi MTD07Z</v>
      </c>
      <c r="D3025" s="1">
        <v>3</v>
      </c>
      <c r="E3025" s="1">
        <v>3</v>
      </c>
      <c r="F3025" s="38">
        <v>0.7</v>
      </c>
      <c r="G3025" t="s">
        <v>172</v>
      </c>
    </row>
    <row r="3026" spans="1:7" x14ac:dyDescent="0.25">
      <c r="A3026" s="10" t="s">
        <v>374</v>
      </c>
      <c r="B3026" s="10" t="s">
        <v>894</v>
      </c>
      <c r="C3026" t="str">
        <f>Table13[[#This Row],[Manufacturer]]&amp;" "&amp;Table13[[#This Row],[Model]]</f>
        <v>Tohnichi MTD1.4Z</v>
      </c>
      <c r="D3026" s="1">
        <v>3</v>
      </c>
      <c r="E3026" s="1">
        <v>3</v>
      </c>
      <c r="F3026" s="38">
        <v>1.4</v>
      </c>
      <c r="G3026" t="s">
        <v>172</v>
      </c>
    </row>
    <row r="3027" spans="1:7" x14ac:dyDescent="0.25">
      <c r="A3027" s="10" t="s">
        <v>374</v>
      </c>
      <c r="B3027" s="10" t="s">
        <v>893</v>
      </c>
      <c r="C3027" t="str">
        <f>Table13[[#This Row],[Manufacturer]]&amp;" "&amp;Table13[[#This Row],[Model]]</f>
        <v>Tohnichi STC200CN2-G</v>
      </c>
      <c r="D3027" s="1" t="s">
        <v>890</v>
      </c>
      <c r="E3027" s="1" t="s">
        <v>374</v>
      </c>
      <c r="F3027" s="38" t="s">
        <v>889</v>
      </c>
    </row>
    <row r="3028" spans="1:7" x14ac:dyDescent="0.25">
      <c r="A3028" s="10" t="s">
        <v>374</v>
      </c>
      <c r="B3028" s="10" t="s">
        <v>892</v>
      </c>
      <c r="C3028" t="str">
        <f>Table13[[#This Row],[Manufacturer]]&amp;" "&amp;Table13[[#This Row],[Model]]</f>
        <v>Tohnichi STC400CN2-G</v>
      </c>
      <c r="D3028" s="1" t="s">
        <v>890</v>
      </c>
      <c r="E3028" s="1" t="s">
        <v>374</v>
      </c>
      <c r="F3028" s="38" t="s">
        <v>889</v>
      </c>
    </row>
    <row r="3029" spans="1:7" x14ac:dyDescent="0.25">
      <c r="A3029" s="10" t="s">
        <v>374</v>
      </c>
      <c r="B3029" s="10" t="s">
        <v>891</v>
      </c>
      <c r="C3029" t="str">
        <f>Table13[[#This Row],[Manufacturer]]&amp;" "&amp;Table13[[#This Row],[Model]]</f>
        <v>Tohnichi STC50CN2-G</v>
      </c>
      <c r="D3029" s="1" t="s">
        <v>890</v>
      </c>
      <c r="E3029" s="1" t="s">
        <v>374</v>
      </c>
      <c r="F3029" s="38" t="s">
        <v>889</v>
      </c>
    </row>
    <row r="3030" spans="1:7" x14ac:dyDescent="0.25">
      <c r="A3030" s="10" t="s">
        <v>374</v>
      </c>
      <c r="B3030" s="10" t="s">
        <v>888</v>
      </c>
      <c r="C3030" t="str">
        <f>Table13[[#This Row],[Manufacturer]]&amp;" "&amp;Table13[[#This Row],[Model]]</f>
        <v>Tohnichi T130F-4AS</v>
      </c>
      <c r="D3030" s="1">
        <v>3</v>
      </c>
      <c r="E3030" s="1">
        <v>3</v>
      </c>
      <c r="F3030" s="38">
        <v>130</v>
      </c>
      <c r="G3030" t="s">
        <v>166</v>
      </c>
    </row>
    <row r="3031" spans="1:7" x14ac:dyDescent="0.25">
      <c r="A3031" s="10" t="s">
        <v>374</v>
      </c>
      <c r="B3031" s="10" t="s">
        <v>887</v>
      </c>
      <c r="C3031" t="str">
        <f>Table13[[#This Row],[Manufacturer]]&amp;" "&amp;Table13[[#This Row],[Model]]</f>
        <v>Tohnichi T200I-3AS</v>
      </c>
      <c r="D3031" s="1">
        <v>3</v>
      </c>
      <c r="E3031" s="1">
        <v>3</v>
      </c>
      <c r="F3031" s="38">
        <v>200</v>
      </c>
      <c r="G3031" t="s">
        <v>164</v>
      </c>
    </row>
    <row r="3032" spans="1:7" x14ac:dyDescent="0.25">
      <c r="A3032" s="10" t="s">
        <v>374</v>
      </c>
      <c r="B3032" s="10" t="s">
        <v>886</v>
      </c>
      <c r="C3032" t="str">
        <f>Table13[[#This Row],[Manufacturer]]&amp;" "&amp;Table13[[#This Row],[Model]]</f>
        <v>Tohnichi T400I-3AS</v>
      </c>
      <c r="D3032" s="1">
        <v>3</v>
      </c>
      <c r="E3032" s="1">
        <v>3</v>
      </c>
      <c r="F3032" s="38">
        <v>400</v>
      </c>
      <c r="G3032" t="s">
        <v>164</v>
      </c>
    </row>
    <row r="3033" spans="1:7" x14ac:dyDescent="0.25">
      <c r="A3033" s="10" t="s">
        <v>374</v>
      </c>
      <c r="B3033" s="10" t="s">
        <v>885</v>
      </c>
      <c r="C3033" t="str">
        <f>Table13[[#This Row],[Manufacturer]]&amp;" "&amp;Table13[[#This Row],[Model]]</f>
        <v>Tohnichi T65F-4AS</v>
      </c>
      <c r="D3033" s="1">
        <v>3</v>
      </c>
      <c r="E3033" s="1">
        <v>3</v>
      </c>
      <c r="F3033" s="38">
        <v>65</v>
      </c>
      <c r="G3033" t="s">
        <v>166</v>
      </c>
    </row>
    <row r="3034" spans="1:7" x14ac:dyDescent="0.25">
      <c r="A3034" s="10" t="s">
        <v>374</v>
      </c>
      <c r="B3034" s="10" t="s">
        <v>884</v>
      </c>
      <c r="C3034" t="str">
        <f>Table13[[#This Row],[Manufacturer]]&amp;" "&amp;Table13[[#This Row],[Model]]</f>
        <v>Tohnichi 10000QLE</v>
      </c>
      <c r="D3034" s="1">
        <v>3</v>
      </c>
      <c r="E3034" s="1" t="s">
        <v>169</v>
      </c>
      <c r="F3034" s="38">
        <v>100</v>
      </c>
      <c r="G3034" t="s">
        <v>258</v>
      </c>
    </row>
    <row r="3035" spans="1:7" x14ac:dyDescent="0.25">
      <c r="A3035" s="10" t="s">
        <v>374</v>
      </c>
      <c r="B3035" s="10" t="s">
        <v>883</v>
      </c>
      <c r="C3035" t="str">
        <f>Table13[[#This Row],[Manufacturer]]&amp;" "&amp;Table13[[#This Row],[Model]]</f>
        <v>Tohnichi 10000QLE N</v>
      </c>
      <c r="D3035" s="1">
        <v>3</v>
      </c>
      <c r="E3035" s="1" t="s">
        <v>169</v>
      </c>
      <c r="F3035" s="38">
        <v>1000</v>
      </c>
      <c r="G3035" t="s">
        <v>184</v>
      </c>
    </row>
    <row r="3036" spans="1:7" x14ac:dyDescent="0.25">
      <c r="A3036" s="10" t="s">
        <v>374</v>
      </c>
      <c r="B3036" s="10" t="s">
        <v>882</v>
      </c>
      <c r="C3036" t="str">
        <f>Table13[[#This Row],[Manufacturer]]&amp;" "&amp;Table13[[#This Row],[Model]]</f>
        <v>Tohnichi 100CL</v>
      </c>
      <c r="D3036" s="1">
        <v>3</v>
      </c>
      <c r="E3036" s="1" t="s">
        <v>169</v>
      </c>
      <c r="F3036" s="38">
        <v>100</v>
      </c>
      <c r="G3036" t="s">
        <v>418</v>
      </c>
    </row>
    <row r="3037" spans="1:7" x14ac:dyDescent="0.25">
      <c r="A3037" s="10" t="s">
        <v>374</v>
      </c>
      <c r="B3037" s="10" t="s">
        <v>881</v>
      </c>
      <c r="C3037" t="str">
        <f>Table13[[#This Row],[Manufacturer]]&amp;" "&amp;Table13[[#This Row],[Model]]</f>
        <v>Tohnichi 100CL-MH</v>
      </c>
      <c r="D3037" s="1">
        <v>3</v>
      </c>
      <c r="E3037" s="1" t="s">
        <v>169</v>
      </c>
      <c r="F3037" s="38">
        <v>100</v>
      </c>
      <c r="G3037" t="s">
        <v>418</v>
      </c>
    </row>
    <row r="3038" spans="1:7" x14ac:dyDescent="0.25">
      <c r="A3038" s="10" t="s">
        <v>374</v>
      </c>
      <c r="B3038" s="10" t="s">
        <v>880</v>
      </c>
      <c r="C3038" t="str">
        <f>Table13[[#This Row],[Manufacturer]]&amp;" "&amp;Table13[[#This Row],[Model]]</f>
        <v>Tohnichi 100QL</v>
      </c>
      <c r="D3038" s="1">
        <v>3</v>
      </c>
      <c r="E3038" s="1" t="s">
        <v>169</v>
      </c>
      <c r="F3038" s="38">
        <v>1400</v>
      </c>
      <c r="G3038" t="s">
        <v>418</v>
      </c>
    </row>
    <row r="3039" spans="1:7" x14ac:dyDescent="0.25">
      <c r="A3039" s="10" t="s">
        <v>374</v>
      </c>
      <c r="B3039" s="10" t="s">
        <v>879</v>
      </c>
      <c r="C3039" t="str">
        <f>Table13[[#This Row],[Manufacturer]]&amp;" "&amp;Table13[[#This Row],[Model]]</f>
        <v>Tohnichi 100QL-MH</v>
      </c>
      <c r="D3039" s="1">
        <v>3</v>
      </c>
      <c r="E3039" s="1" t="s">
        <v>169</v>
      </c>
      <c r="F3039" s="38">
        <v>100</v>
      </c>
      <c r="G3039" t="s">
        <v>418</v>
      </c>
    </row>
    <row r="3040" spans="1:7" x14ac:dyDescent="0.25">
      <c r="A3040" s="10" t="s">
        <v>374</v>
      </c>
      <c r="B3040" s="10" t="s">
        <v>878</v>
      </c>
      <c r="C3040" t="str">
        <f>Table13[[#This Row],[Manufacturer]]&amp;" "&amp;Table13[[#This Row],[Model]]</f>
        <v>Tohnichi 12000CLE</v>
      </c>
      <c r="D3040" s="1">
        <v>3</v>
      </c>
      <c r="E3040" s="1" t="s">
        <v>169</v>
      </c>
      <c r="F3040" s="38">
        <v>120</v>
      </c>
      <c r="G3040" t="s">
        <v>258</v>
      </c>
    </row>
    <row r="3041" spans="1:7" x14ac:dyDescent="0.25">
      <c r="A3041" s="10" t="s">
        <v>374</v>
      </c>
      <c r="B3041" s="10" t="s">
        <v>877</v>
      </c>
      <c r="C3041" t="str">
        <f>Table13[[#This Row],[Manufacturer]]&amp;" "&amp;Table13[[#This Row],[Model]]</f>
        <v>Tohnichi 12000CLE N</v>
      </c>
      <c r="D3041" s="1">
        <v>3</v>
      </c>
      <c r="E3041" s="1" t="s">
        <v>169</v>
      </c>
      <c r="F3041" s="38">
        <v>1200</v>
      </c>
      <c r="G3041" t="s">
        <v>184</v>
      </c>
    </row>
    <row r="3042" spans="1:7" x14ac:dyDescent="0.25">
      <c r="A3042" s="10" t="s">
        <v>374</v>
      </c>
      <c r="B3042" s="10" t="s">
        <v>876</v>
      </c>
      <c r="C3042" t="str">
        <f>Table13[[#This Row],[Manufacturer]]&amp;" "&amp;Table13[[#This Row],[Model]]</f>
        <v>Tohnichi 12000CLE2</v>
      </c>
      <c r="D3042" s="1">
        <v>3</v>
      </c>
      <c r="E3042" s="1" t="s">
        <v>169</v>
      </c>
      <c r="F3042" s="38">
        <v>120</v>
      </c>
      <c r="G3042" t="s">
        <v>258</v>
      </c>
    </row>
    <row r="3043" spans="1:7" x14ac:dyDescent="0.25">
      <c r="A3043" s="10" t="s">
        <v>374</v>
      </c>
      <c r="B3043" s="10" t="s">
        <v>875</v>
      </c>
      <c r="C3043" t="str">
        <f>Table13[[#This Row],[Manufacturer]]&amp;" "&amp;Table13[[#This Row],[Model]]</f>
        <v>Tohnichi 12000CLE-A</v>
      </c>
      <c r="D3043" s="1">
        <v>3</v>
      </c>
      <c r="E3043" s="1" t="s">
        <v>169</v>
      </c>
      <c r="F3043" s="38">
        <v>900</v>
      </c>
      <c r="G3043" t="s">
        <v>166</v>
      </c>
    </row>
    <row r="3044" spans="1:7" x14ac:dyDescent="0.25">
      <c r="A3044" s="10" t="s">
        <v>374</v>
      </c>
      <c r="B3044" s="10" t="s">
        <v>874</v>
      </c>
      <c r="C3044" t="str">
        <f>Table13[[#This Row],[Manufacturer]]&amp;" "&amp;Table13[[#This Row],[Model]]</f>
        <v>Tohnichi 120CL</v>
      </c>
      <c r="D3044" s="1">
        <v>3</v>
      </c>
      <c r="E3044" s="1" t="s">
        <v>169</v>
      </c>
      <c r="F3044" s="38">
        <v>120</v>
      </c>
      <c r="G3044" t="s">
        <v>418</v>
      </c>
    </row>
    <row r="3045" spans="1:7" x14ac:dyDescent="0.25">
      <c r="A3045" s="10" t="s">
        <v>374</v>
      </c>
      <c r="B3045" s="10" t="s">
        <v>873</v>
      </c>
      <c r="C3045" t="str">
        <f>Table13[[#This Row],[Manufacturer]]&amp;" "&amp;Table13[[#This Row],[Model]]</f>
        <v>Tohnichi 120CL N</v>
      </c>
      <c r="D3045" s="1">
        <v>3</v>
      </c>
      <c r="E3045" s="1" t="s">
        <v>169</v>
      </c>
      <c r="F3045" s="38">
        <v>12</v>
      </c>
      <c r="G3045" t="s">
        <v>184</v>
      </c>
    </row>
    <row r="3046" spans="1:7" x14ac:dyDescent="0.25">
      <c r="A3046" s="10" t="s">
        <v>374</v>
      </c>
      <c r="B3046" s="10" t="s">
        <v>872</v>
      </c>
      <c r="C3046" t="str">
        <f>Table13[[#This Row],[Manufacturer]]&amp;" "&amp;Table13[[#This Row],[Model]]</f>
        <v>Tohnichi 120CL4</v>
      </c>
      <c r="D3046" s="1">
        <v>3</v>
      </c>
      <c r="E3046" s="1" t="s">
        <v>169</v>
      </c>
      <c r="F3046" s="38">
        <v>150</v>
      </c>
      <c r="G3046" t="s">
        <v>418</v>
      </c>
    </row>
    <row r="3047" spans="1:7" x14ac:dyDescent="0.25">
      <c r="A3047" s="10" t="s">
        <v>374</v>
      </c>
      <c r="B3047" s="10" t="s">
        <v>871</v>
      </c>
      <c r="C3047" t="str">
        <f>Table13[[#This Row],[Manufacturer]]&amp;" "&amp;Table13[[#This Row],[Model]]</f>
        <v>Tohnichi 120CL4-A</v>
      </c>
      <c r="D3047" s="1">
        <v>3</v>
      </c>
      <c r="E3047" s="1" t="s">
        <v>169</v>
      </c>
      <c r="F3047" s="38">
        <v>100</v>
      </c>
      <c r="G3047" t="s">
        <v>164</v>
      </c>
    </row>
    <row r="3048" spans="1:7" x14ac:dyDescent="0.25">
      <c r="A3048" s="10" t="s">
        <v>374</v>
      </c>
      <c r="B3048" s="10" t="s">
        <v>870</v>
      </c>
      <c r="C3048" t="str">
        <f>Table13[[#This Row],[Manufacturer]]&amp;" "&amp;Table13[[#This Row],[Model]]</f>
        <v>Tohnichi 120CL-A</v>
      </c>
      <c r="D3048" s="1">
        <v>3</v>
      </c>
      <c r="E3048" s="1" t="s">
        <v>169</v>
      </c>
      <c r="F3048" s="38">
        <v>100</v>
      </c>
      <c r="G3048" t="s">
        <v>164</v>
      </c>
    </row>
    <row r="3049" spans="1:7" x14ac:dyDescent="0.25">
      <c r="A3049" s="10" t="s">
        <v>374</v>
      </c>
      <c r="B3049" s="10" t="s">
        <v>869</v>
      </c>
      <c r="C3049" t="str">
        <f>Table13[[#This Row],[Manufacturer]]&amp;" "&amp;Table13[[#This Row],[Model]]</f>
        <v>Tohnichi 120CSP</v>
      </c>
      <c r="D3049" s="1">
        <v>3</v>
      </c>
      <c r="E3049" s="1" t="s">
        <v>169</v>
      </c>
      <c r="F3049" s="38">
        <v>100</v>
      </c>
      <c r="G3049" t="s">
        <v>164</v>
      </c>
    </row>
    <row r="3050" spans="1:7" x14ac:dyDescent="0.25">
      <c r="A3050" s="10" t="s">
        <v>374</v>
      </c>
      <c r="B3050" s="10" t="s">
        <v>868</v>
      </c>
      <c r="C3050" t="str">
        <f>Table13[[#This Row],[Manufacturer]]&amp;" "&amp;Table13[[#This Row],[Model]]</f>
        <v>Tohnichi 120CSP2</v>
      </c>
      <c r="D3050" s="1">
        <v>3</v>
      </c>
      <c r="E3050" s="1" t="s">
        <v>169</v>
      </c>
      <c r="F3050" s="38">
        <v>12</v>
      </c>
      <c r="G3050" t="s">
        <v>184</v>
      </c>
    </row>
    <row r="3051" spans="1:7" x14ac:dyDescent="0.25">
      <c r="A3051" s="10" t="s">
        <v>374</v>
      </c>
      <c r="B3051" s="10" t="s">
        <v>867</v>
      </c>
      <c r="C3051" t="str">
        <f>Table13[[#This Row],[Manufacturer]]&amp;" "&amp;Table13[[#This Row],[Model]]</f>
        <v>Tohnichi 120QL</v>
      </c>
      <c r="D3051" s="1">
        <v>3</v>
      </c>
      <c r="E3051" s="1" t="s">
        <v>169</v>
      </c>
      <c r="F3051" s="38">
        <v>120</v>
      </c>
      <c r="G3051" t="s">
        <v>418</v>
      </c>
    </row>
    <row r="3052" spans="1:7" x14ac:dyDescent="0.25">
      <c r="A3052" s="10" t="s">
        <v>374</v>
      </c>
      <c r="B3052" s="10" t="s">
        <v>866</v>
      </c>
      <c r="C3052" t="str">
        <f>Table13[[#This Row],[Manufacturer]]&amp;" "&amp;Table13[[#This Row],[Model]]</f>
        <v>Tohnichi 120QL N</v>
      </c>
      <c r="D3052" s="1">
        <v>3</v>
      </c>
      <c r="E3052" s="1" t="s">
        <v>169</v>
      </c>
      <c r="F3052" s="38">
        <v>12</v>
      </c>
      <c r="G3052" t="s">
        <v>184</v>
      </c>
    </row>
    <row r="3053" spans="1:7" x14ac:dyDescent="0.25">
      <c r="A3053" s="10" t="s">
        <v>374</v>
      </c>
      <c r="B3053" s="10" t="s">
        <v>865</v>
      </c>
      <c r="C3053" t="str">
        <f>Table13[[#This Row],[Manufacturer]]&amp;" "&amp;Table13[[#This Row],[Model]]</f>
        <v>Tohnichi 120QL4</v>
      </c>
      <c r="D3053" s="1">
        <v>3</v>
      </c>
      <c r="E3053" s="1" t="s">
        <v>169</v>
      </c>
      <c r="F3053" s="38">
        <v>120</v>
      </c>
      <c r="G3053" t="s">
        <v>418</v>
      </c>
    </row>
    <row r="3054" spans="1:7" x14ac:dyDescent="0.25">
      <c r="A3054" s="10" t="s">
        <v>374</v>
      </c>
      <c r="B3054" s="10" t="s">
        <v>864</v>
      </c>
      <c r="C3054" t="str">
        <f>Table13[[#This Row],[Manufacturer]]&amp;" "&amp;Table13[[#This Row],[Model]]</f>
        <v>Tohnichi 120QSP</v>
      </c>
      <c r="D3054" s="1">
        <v>3</v>
      </c>
      <c r="E3054" s="1" t="s">
        <v>169</v>
      </c>
      <c r="F3054" s="38">
        <v>100</v>
      </c>
      <c r="G3054" t="s">
        <v>164</v>
      </c>
    </row>
    <row r="3055" spans="1:7" x14ac:dyDescent="0.25">
      <c r="A3055" s="10" t="s">
        <v>374</v>
      </c>
      <c r="B3055" s="10" t="s">
        <v>863</v>
      </c>
      <c r="C3055" t="str">
        <f>Table13[[#This Row],[Manufacturer]]&amp;" "&amp;Table13[[#This Row],[Model]]</f>
        <v>Tohnichi 120QSP N</v>
      </c>
      <c r="D3055" s="1">
        <v>3</v>
      </c>
      <c r="E3055" s="1" t="s">
        <v>169</v>
      </c>
      <c r="F3055" s="38">
        <v>12</v>
      </c>
      <c r="G3055" t="s">
        <v>184</v>
      </c>
    </row>
    <row r="3056" spans="1:7" x14ac:dyDescent="0.25">
      <c r="A3056" s="10" t="s">
        <v>374</v>
      </c>
      <c r="B3056" s="10" t="s">
        <v>862</v>
      </c>
      <c r="C3056" t="str">
        <f>Table13[[#This Row],[Manufacturer]]&amp;" "&amp;Table13[[#This Row],[Model]]</f>
        <v>Tohnichi 14000QLE</v>
      </c>
      <c r="D3056" s="1">
        <v>3</v>
      </c>
      <c r="E3056" s="1" t="s">
        <v>169</v>
      </c>
      <c r="F3056" s="38">
        <v>140</v>
      </c>
      <c r="G3056" t="s">
        <v>258</v>
      </c>
    </row>
    <row r="3057" spans="1:7" x14ac:dyDescent="0.25">
      <c r="A3057" s="10" t="s">
        <v>374</v>
      </c>
      <c r="B3057" s="10" t="s">
        <v>861</v>
      </c>
      <c r="C3057" t="str">
        <f>Table13[[#This Row],[Manufacturer]]&amp;" "&amp;Table13[[#This Row],[Model]]</f>
        <v>Tohnichi 14000QLE N</v>
      </c>
      <c r="D3057" s="1">
        <v>3</v>
      </c>
      <c r="E3057" s="1" t="s">
        <v>169</v>
      </c>
      <c r="F3057" s="38">
        <v>1400</v>
      </c>
      <c r="G3057" t="s">
        <v>184</v>
      </c>
    </row>
    <row r="3058" spans="1:7" x14ac:dyDescent="0.25">
      <c r="A3058" s="10" t="s">
        <v>374</v>
      </c>
      <c r="B3058" s="10" t="s">
        <v>860</v>
      </c>
      <c r="C3058" t="str">
        <f>Table13[[#This Row],[Manufacturer]]&amp;" "&amp;Table13[[#This Row],[Model]]</f>
        <v>Tohnichi 1400CL</v>
      </c>
      <c r="D3058" s="1">
        <v>3</v>
      </c>
      <c r="E3058" s="1" t="s">
        <v>169</v>
      </c>
      <c r="F3058" s="38">
        <v>1400</v>
      </c>
      <c r="G3058" t="s">
        <v>418</v>
      </c>
    </row>
    <row r="3059" spans="1:7" x14ac:dyDescent="0.25">
      <c r="A3059" s="10" t="s">
        <v>374</v>
      </c>
      <c r="B3059" s="10" t="s">
        <v>859</v>
      </c>
      <c r="C3059" t="str">
        <f>Table13[[#This Row],[Manufacturer]]&amp;" "&amp;Table13[[#This Row],[Model]]</f>
        <v>Tohnichi 1400CL N</v>
      </c>
      <c r="D3059" s="1">
        <v>3</v>
      </c>
      <c r="E3059" s="1" t="s">
        <v>169</v>
      </c>
      <c r="F3059" s="38">
        <v>140</v>
      </c>
      <c r="G3059" t="s">
        <v>184</v>
      </c>
    </row>
    <row r="3060" spans="1:7" x14ac:dyDescent="0.25">
      <c r="A3060" s="10" t="s">
        <v>374</v>
      </c>
      <c r="B3060" s="10" t="s">
        <v>858</v>
      </c>
      <c r="C3060" t="str">
        <f>Table13[[#This Row],[Manufacturer]]&amp;" "&amp;Table13[[#This Row],[Model]]</f>
        <v>Tohnichi 1400CL3</v>
      </c>
      <c r="D3060" s="1">
        <v>3</v>
      </c>
      <c r="E3060" s="1" t="s">
        <v>169</v>
      </c>
      <c r="F3060" s="38">
        <v>1400</v>
      </c>
      <c r="G3060" t="s">
        <v>418</v>
      </c>
    </row>
    <row r="3061" spans="1:7" x14ac:dyDescent="0.25">
      <c r="A3061" s="10" t="s">
        <v>374</v>
      </c>
      <c r="B3061" s="10" t="s">
        <v>857</v>
      </c>
      <c r="C3061" t="str">
        <f>Table13[[#This Row],[Manufacturer]]&amp;" "&amp;Table13[[#This Row],[Model]]</f>
        <v>Tohnichi 1400CL3-A</v>
      </c>
      <c r="D3061" s="1">
        <v>3</v>
      </c>
      <c r="E3061" s="1" t="s">
        <v>169</v>
      </c>
      <c r="F3061" s="38">
        <v>100</v>
      </c>
      <c r="G3061" t="s">
        <v>166</v>
      </c>
    </row>
    <row r="3062" spans="1:7" x14ac:dyDescent="0.25">
      <c r="A3062" s="10" t="s">
        <v>374</v>
      </c>
      <c r="B3062" s="10" t="s">
        <v>856</v>
      </c>
      <c r="C3062" t="str">
        <f>Table13[[#This Row],[Manufacturer]]&amp;" "&amp;Table13[[#This Row],[Model]]</f>
        <v>Tohnichi 1400CL-A</v>
      </c>
      <c r="D3062" s="1">
        <v>3</v>
      </c>
      <c r="E3062" s="1" t="s">
        <v>169</v>
      </c>
      <c r="F3062" s="38">
        <v>100</v>
      </c>
      <c r="G3062" t="s">
        <v>166</v>
      </c>
    </row>
    <row r="3063" spans="1:7" x14ac:dyDescent="0.25">
      <c r="A3063" s="10" t="s">
        <v>374</v>
      </c>
      <c r="B3063" s="10" t="s">
        <v>855</v>
      </c>
      <c r="C3063" t="str">
        <f>Table13[[#This Row],[Manufacturer]]&amp;" "&amp;Table13[[#This Row],[Model]]</f>
        <v>Tohnichi 1400CL-MH</v>
      </c>
      <c r="D3063" s="1">
        <v>3</v>
      </c>
      <c r="E3063" s="1" t="s">
        <v>169</v>
      </c>
      <c r="F3063" s="38">
        <v>1400</v>
      </c>
      <c r="G3063" t="s">
        <v>418</v>
      </c>
    </row>
    <row r="3064" spans="1:7" x14ac:dyDescent="0.25">
      <c r="A3064" s="10" t="s">
        <v>374</v>
      </c>
      <c r="B3064" s="10" t="s">
        <v>854</v>
      </c>
      <c r="C3064" t="str">
        <f>Table13[[#This Row],[Manufacturer]]&amp;" "&amp;Table13[[#This Row],[Model]]</f>
        <v>Tohnichi 1400CSP</v>
      </c>
      <c r="D3064" s="1">
        <v>3</v>
      </c>
      <c r="E3064" s="1" t="s">
        <v>169</v>
      </c>
      <c r="F3064" s="38">
        <v>1200</v>
      </c>
      <c r="G3064" t="s">
        <v>164</v>
      </c>
    </row>
    <row r="3065" spans="1:7" x14ac:dyDescent="0.25">
      <c r="A3065" s="10" t="s">
        <v>374</v>
      </c>
      <c r="B3065" s="10" t="s">
        <v>853</v>
      </c>
      <c r="C3065" t="str">
        <f>Table13[[#This Row],[Manufacturer]]&amp;" "&amp;Table13[[#This Row],[Model]]</f>
        <v>Tohnichi 1400CSP2</v>
      </c>
      <c r="D3065" s="1">
        <v>3</v>
      </c>
      <c r="E3065" s="1" t="s">
        <v>169</v>
      </c>
      <c r="F3065" s="38">
        <v>140</v>
      </c>
      <c r="G3065" t="s">
        <v>184</v>
      </c>
    </row>
    <row r="3066" spans="1:7" x14ac:dyDescent="0.25">
      <c r="A3066" s="10" t="s">
        <v>374</v>
      </c>
      <c r="B3066" s="10" t="s">
        <v>852</v>
      </c>
      <c r="C3066" t="str">
        <f>Table13[[#This Row],[Manufacturer]]&amp;" "&amp;Table13[[#This Row],[Model]]</f>
        <v>Tohnichi 1400PCL</v>
      </c>
      <c r="D3066" s="1">
        <v>3</v>
      </c>
      <c r="E3066" s="1" t="s">
        <v>169</v>
      </c>
      <c r="F3066" s="38">
        <v>1400</v>
      </c>
      <c r="G3066" t="s">
        <v>418</v>
      </c>
    </row>
    <row r="3067" spans="1:7" x14ac:dyDescent="0.25">
      <c r="A3067" s="10" t="s">
        <v>374</v>
      </c>
      <c r="B3067" s="10" t="s">
        <v>851</v>
      </c>
      <c r="C3067" t="str">
        <f>Table13[[#This Row],[Manufacturer]]&amp;" "&amp;Table13[[#This Row],[Model]]</f>
        <v>Tohnichi 1400PCL N</v>
      </c>
      <c r="D3067" s="1">
        <v>3</v>
      </c>
      <c r="E3067" s="1" t="s">
        <v>169</v>
      </c>
      <c r="F3067" s="38">
        <v>140</v>
      </c>
      <c r="G3067" t="s">
        <v>184</v>
      </c>
    </row>
    <row r="3068" spans="1:7" x14ac:dyDescent="0.25">
      <c r="A3068" s="10" t="s">
        <v>374</v>
      </c>
      <c r="B3068" s="10" t="s">
        <v>850</v>
      </c>
      <c r="C3068" t="str">
        <f>Table13[[#This Row],[Manufacturer]]&amp;" "&amp;Table13[[#This Row],[Model]]</f>
        <v>Tohnichi 1400PCLLS</v>
      </c>
      <c r="D3068" s="1">
        <v>3</v>
      </c>
      <c r="E3068" s="1" t="s">
        <v>169</v>
      </c>
      <c r="F3068" s="38">
        <v>1400</v>
      </c>
      <c r="G3068" t="s">
        <v>418</v>
      </c>
    </row>
    <row r="3069" spans="1:7" x14ac:dyDescent="0.25">
      <c r="A3069" s="10" t="s">
        <v>374</v>
      </c>
      <c r="B3069" s="10" t="s">
        <v>849</v>
      </c>
      <c r="C3069" t="str">
        <f>Table13[[#This Row],[Manufacturer]]&amp;" "&amp;Table13[[#This Row],[Model]]</f>
        <v>Tohnichi 1400PCLLS N</v>
      </c>
      <c r="D3069" s="1">
        <v>3</v>
      </c>
      <c r="E3069" s="1" t="s">
        <v>169</v>
      </c>
      <c r="F3069" s="38">
        <v>140</v>
      </c>
      <c r="G3069" t="s">
        <v>184</v>
      </c>
    </row>
    <row r="3070" spans="1:7" x14ac:dyDescent="0.25">
      <c r="A3070" s="10" t="s">
        <v>374</v>
      </c>
      <c r="B3070" s="10" t="s">
        <v>848</v>
      </c>
      <c r="C3070" t="str">
        <f>Table13[[#This Row],[Manufacturer]]&amp;" "&amp;Table13[[#This Row],[Model]]</f>
        <v>Tohnichi 1400PQL</v>
      </c>
      <c r="D3070" s="1">
        <v>3</v>
      </c>
      <c r="E3070" s="1" t="s">
        <v>169</v>
      </c>
      <c r="F3070" s="38">
        <v>1400</v>
      </c>
      <c r="G3070" t="s">
        <v>418</v>
      </c>
    </row>
    <row r="3071" spans="1:7" x14ac:dyDescent="0.25">
      <c r="A3071" s="10" t="s">
        <v>374</v>
      </c>
      <c r="B3071" s="10" t="s">
        <v>847</v>
      </c>
      <c r="C3071" t="str">
        <f>Table13[[#This Row],[Manufacturer]]&amp;" "&amp;Table13[[#This Row],[Model]]</f>
        <v>Tohnichi 1400PQL N</v>
      </c>
      <c r="D3071" s="1">
        <v>3</v>
      </c>
      <c r="E3071" s="1" t="s">
        <v>169</v>
      </c>
      <c r="F3071" s="38">
        <v>140</v>
      </c>
      <c r="G3071" t="s">
        <v>184</v>
      </c>
    </row>
    <row r="3072" spans="1:7" x14ac:dyDescent="0.25">
      <c r="A3072" s="10" t="s">
        <v>374</v>
      </c>
      <c r="B3072" s="10" t="s">
        <v>846</v>
      </c>
      <c r="C3072" t="str">
        <f>Table13[[#This Row],[Manufacturer]]&amp;" "&amp;Table13[[#This Row],[Model]]</f>
        <v>Tohnichi 1400PQL-A</v>
      </c>
      <c r="D3072" s="1">
        <v>3</v>
      </c>
      <c r="E3072" s="1" t="s">
        <v>169</v>
      </c>
      <c r="F3072" s="38">
        <v>100</v>
      </c>
      <c r="G3072" t="s">
        <v>166</v>
      </c>
    </row>
    <row r="3073" spans="1:7" x14ac:dyDescent="0.25">
      <c r="A3073" s="10" t="s">
        <v>374</v>
      </c>
      <c r="B3073" s="10" t="s">
        <v>845</v>
      </c>
      <c r="C3073" t="str">
        <f>Table13[[#This Row],[Manufacturer]]&amp;" "&amp;Table13[[#This Row],[Model]]</f>
        <v>Tohnichi 1400QL N</v>
      </c>
      <c r="D3073" s="1">
        <v>3</v>
      </c>
      <c r="E3073" s="1" t="s">
        <v>169</v>
      </c>
      <c r="F3073" s="38">
        <v>140</v>
      </c>
      <c r="G3073" t="s">
        <v>184</v>
      </c>
    </row>
    <row r="3074" spans="1:7" x14ac:dyDescent="0.25">
      <c r="A3074" s="10" t="s">
        <v>374</v>
      </c>
      <c r="B3074" s="10" t="s">
        <v>844</v>
      </c>
      <c r="C3074" t="str">
        <f>Table13[[#This Row],[Manufacturer]]&amp;" "&amp;Table13[[#This Row],[Model]]</f>
        <v>Tohnichi 1400QL3</v>
      </c>
      <c r="D3074" s="1">
        <v>3</v>
      </c>
      <c r="E3074" s="1" t="s">
        <v>169</v>
      </c>
      <c r="F3074" s="38">
        <v>1400</v>
      </c>
      <c r="G3074" t="s">
        <v>418</v>
      </c>
    </row>
    <row r="3075" spans="1:7" x14ac:dyDescent="0.25">
      <c r="A3075" s="10" t="s">
        <v>374</v>
      </c>
      <c r="B3075" s="10" t="s">
        <v>843</v>
      </c>
      <c r="C3075" t="str">
        <f>Table13[[#This Row],[Manufacturer]]&amp;" "&amp;Table13[[#This Row],[Model]]</f>
        <v>Tohnichi 1400QL-MH</v>
      </c>
      <c r="D3075" s="1">
        <v>3</v>
      </c>
      <c r="E3075" s="1" t="s">
        <v>169</v>
      </c>
      <c r="F3075" s="38">
        <v>1400</v>
      </c>
      <c r="G3075" t="s">
        <v>418</v>
      </c>
    </row>
    <row r="3076" spans="1:7" x14ac:dyDescent="0.25">
      <c r="A3076" s="10" t="s">
        <v>374</v>
      </c>
      <c r="B3076" s="10" t="s">
        <v>842</v>
      </c>
      <c r="C3076" t="str">
        <f>Table13[[#This Row],[Manufacturer]]&amp;" "&amp;Table13[[#This Row],[Model]]</f>
        <v>Tohnichi 1400QSP</v>
      </c>
      <c r="D3076" s="1">
        <v>3</v>
      </c>
      <c r="E3076" s="1" t="s">
        <v>169</v>
      </c>
      <c r="F3076" s="38">
        <v>1200</v>
      </c>
      <c r="G3076" t="s">
        <v>164</v>
      </c>
    </row>
    <row r="3077" spans="1:7" x14ac:dyDescent="0.25">
      <c r="A3077" s="10" t="s">
        <v>374</v>
      </c>
      <c r="B3077" s="10" t="s">
        <v>841</v>
      </c>
      <c r="C3077" t="str">
        <f>Table13[[#This Row],[Manufacturer]]&amp;" "&amp;Table13[[#This Row],[Model]]</f>
        <v>Tohnichi 1400QSP2</v>
      </c>
      <c r="D3077" s="1">
        <v>3</v>
      </c>
      <c r="E3077" s="1" t="s">
        <v>169</v>
      </c>
      <c r="F3077" s="38">
        <v>140</v>
      </c>
      <c r="G3077" t="s">
        <v>184</v>
      </c>
    </row>
    <row r="3078" spans="1:7" x14ac:dyDescent="0.25">
      <c r="A3078" s="10" t="s">
        <v>374</v>
      </c>
      <c r="B3078" s="10" t="s">
        <v>840</v>
      </c>
      <c r="C3078" t="str">
        <f>Table13[[#This Row],[Manufacturer]]&amp;" "&amp;Table13[[#This Row],[Model]]</f>
        <v>Tohnichi 150CL</v>
      </c>
      <c r="D3078" s="1">
        <v>3</v>
      </c>
      <c r="E3078" s="1" t="s">
        <v>169</v>
      </c>
      <c r="F3078" s="38">
        <v>150</v>
      </c>
      <c r="G3078" t="s">
        <v>418</v>
      </c>
    </row>
    <row r="3079" spans="1:7" x14ac:dyDescent="0.25">
      <c r="A3079" s="10" t="s">
        <v>374</v>
      </c>
      <c r="B3079" s="10" t="s">
        <v>839</v>
      </c>
      <c r="C3079" t="str">
        <f>Table13[[#This Row],[Manufacturer]]&amp;" "&amp;Table13[[#This Row],[Model]]</f>
        <v>Tohnichi 150CL-MH</v>
      </c>
      <c r="D3079" s="1">
        <v>3</v>
      </c>
      <c r="E3079" s="1" t="s">
        <v>169</v>
      </c>
      <c r="F3079" s="38">
        <v>150</v>
      </c>
      <c r="G3079" t="s">
        <v>418</v>
      </c>
    </row>
    <row r="3080" spans="1:7" x14ac:dyDescent="0.25">
      <c r="A3080" s="10" t="s">
        <v>374</v>
      </c>
      <c r="B3080" s="10" t="s">
        <v>838</v>
      </c>
      <c r="C3080" t="str">
        <f>Table13[[#This Row],[Manufacturer]]&amp;" "&amp;Table13[[#This Row],[Model]]</f>
        <v>Tohnichi 150QL-MH</v>
      </c>
      <c r="D3080" s="1">
        <v>3</v>
      </c>
      <c r="E3080" s="1" t="s">
        <v>169</v>
      </c>
      <c r="F3080" s="38">
        <v>150</v>
      </c>
      <c r="G3080" t="s">
        <v>418</v>
      </c>
    </row>
    <row r="3081" spans="1:7" x14ac:dyDescent="0.25">
      <c r="A3081" s="10" t="s">
        <v>374</v>
      </c>
      <c r="B3081" s="10" t="s">
        <v>837</v>
      </c>
      <c r="C3081" t="str">
        <f>Table13[[#This Row],[Manufacturer]]&amp;" "&amp;Table13[[#This Row],[Model]]</f>
        <v>Tohnichi 15CL</v>
      </c>
      <c r="D3081" s="1">
        <v>3</v>
      </c>
      <c r="E3081" s="1" t="s">
        <v>169</v>
      </c>
      <c r="F3081" s="38">
        <v>15</v>
      </c>
      <c r="G3081" t="s">
        <v>418</v>
      </c>
    </row>
    <row r="3082" spans="1:7" x14ac:dyDescent="0.25">
      <c r="A3082" s="10" t="s">
        <v>374</v>
      </c>
      <c r="B3082" s="10" t="s">
        <v>836</v>
      </c>
      <c r="C3082" t="str">
        <f>Table13[[#This Row],[Manufacturer]]&amp;" "&amp;Table13[[#This Row],[Model]]</f>
        <v>Tohnichi 15CL N</v>
      </c>
      <c r="D3082" s="1">
        <v>3</v>
      </c>
      <c r="E3082" s="1" t="s">
        <v>169</v>
      </c>
      <c r="F3082" s="38">
        <v>1.5</v>
      </c>
      <c r="G3082" t="s">
        <v>184</v>
      </c>
    </row>
    <row r="3083" spans="1:7" x14ac:dyDescent="0.25">
      <c r="A3083" s="10" t="s">
        <v>374</v>
      </c>
      <c r="B3083" s="10" t="s">
        <v>835</v>
      </c>
      <c r="C3083" t="str">
        <f>Table13[[#This Row],[Manufacturer]]&amp;" "&amp;Table13[[#This Row],[Model]]</f>
        <v>Tohnichi 15CL4</v>
      </c>
      <c r="D3083" s="1">
        <v>3</v>
      </c>
      <c r="E3083" s="1" t="s">
        <v>169</v>
      </c>
      <c r="F3083" s="38">
        <v>20</v>
      </c>
      <c r="G3083" t="s">
        <v>418</v>
      </c>
    </row>
    <row r="3084" spans="1:7" x14ac:dyDescent="0.25">
      <c r="A3084" s="10" t="s">
        <v>374</v>
      </c>
      <c r="B3084" s="10" t="s">
        <v>834</v>
      </c>
      <c r="C3084" t="str">
        <f>Table13[[#This Row],[Manufacturer]]&amp;" "&amp;Table13[[#This Row],[Model]]</f>
        <v>Tohnichi 15CL4-A</v>
      </c>
      <c r="D3084" s="1">
        <v>3</v>
      </c>
      <c r="E3084" s="1" t="s">
        <v>169</v>
      </c>
      <c r="F3084" s="38">
        <v>15</v>
      </c>
      <c r="G3084" t="s">
        <v>164</v>
      </c>
    </row>
    <row r="3085" spans="1:7" x14ac:dyDescent="0.25">
      <c r="A3085" s="10" t="s">
        <v>374</v>
      </c>
      <c r="B3085" s="10" t="s">
        <v>833</v>
      </c>
      <c r="C3085" t="str">
        <f>Table13[[#This Row],[Manufacturer]]&amp;" "&amp;Table13[[#This Row],[Model]]</f>
        <v>Tohnichi 15CSP</v>
      </c>
      <c r="D3085" s="1">
        <v>3</v>
      </c>
      <c r="E3085" s="1" t="s">
        <v>169</v>
      </c>
      <c r="F3085" s="38">
        <v>1.5</v>
      </c>
      <c r="G3085" t="s">
        <v>184</v>
      </c>
    </row>
    <row r="3086" spans="1:7" x14ac:dyDescent="0.25">
      <c r="A3086" s="10" t="s">
        <v>374</v>
      </c>
      <c r="B3086" s="10" t="s">
        <v>832</v>
      </c>
      <c r="C3086" t="str">
        <f>Table13[[#This Row],[Manufacturer]]&amp;" "&amp;Table13[[#This Row],[Model]]</f>
        <v>Tohnichi 15QL</v>
      </c>
      <c r="D3086" s="1">
        <v>3</v>
      </c>
      <c r="E3086" s="1" t="s">
        <v>169</v>
      </c>
      <c r="F3086" s="38">
        <v>15</v>
      </c>
      <c r="G3086" t="s">
        <v>418</v>
      </c>
    </row>
    <row r="3087" spans="1:7" x14ac:dyDescent="0.25">
      <c r="A3087" s="10" t="s">
        <v>374</v>
      </c>
      <c r="B3087" s="10" t="s">
        <v>831</v>
      </c>
      <c r="C3087" t="str">
        <f>Table13[[#This Row],[Manufacturer]]&amp;" "&amp;Table13[[#This Row],[Model]]</f>
        <v>Tohnichi 15QL N</v>
      </c>
      <c r="D3087" s="1">
        <v>3</v>
      </c>
      <c r="E3087" s="1" t="s">
        <v>169</v>
      </c>
      <c r="F3087" s="38">
        <v>1.5</v>
      </c>
      <c r="G3087" t="s">
        <v>184</v>
      </c>
    </row>
    <row r="3088" spans="1:7" x14ac:dyDescent="0.25">
      <c r="A3088" s="10" t="s">
        <v>374</v>
      </c>
      <c r="B3088" s="10" t="s">
        <v>830</v>
      </c>
      <c r="C3088" t="str">
        <f>Table13[[#This Row],[Manufacturer]]&amp;" "&amp;Table13[[#This Row],[Model]]</f>
        <v>Tohnichi 15QL4</v>
      </c>
      <c r="D3088" s="1">
        <v>3</v>
      </c>
      <c r="E3088" s="1" t="s">
        <v>169</v>
      </c>
      <c r="F3088" s="38">
        <v>15</v>
      </c>
      <c r="G3088" t="s">
        <v>418</v>
      </c>
    </row>
    <row r="3089" spans="1:7" x14ac:dyDescent="0.25">
      <c r="A3089" s="10" t="s">
        <v>374</v>
      </c>
      <c r="B3089" s="10" t="s">
        <v>829</v>
      </c>
      <c r="C3089" t="str">
        <f>Table13[[#This Row],[Manufacturer]]&amp;" "&amp;Table13[[#This Row],[Model]]</f>
        <v>Tohnichi 15QL4-A</v>
      </c>
      <c r="D3089" s="1">
        <v>3</v>
      </c>
      <c r="E3089" s="1" t="s">
        <v>169</v>
      </c>
      <c r="F3089" s="38">
        <v>15</v>
      </c>
      <c r="G3089" t="s">
        <v>164</v>
      </c>
    </row>
    <row r="3090" spans="1:7" x14ac:dyDescent="0.25">
      <c r="A3090" s="10" t="s">
        <v>374</v>
      </c>
      <c r="B3090" s="10" t="s">
        <v>828</v>
      </c>
      <c r="C3090" t="str">
        <f>Table13[[#This Row],[Manufacturer]]&amp;" "&amp;Table13[[#This Row],[Model]]</f>
        <v>Tohnichi 15QSP</v>
      </c>
      <c r="D3090" s="1">
        <v>3</v>
      </c>
      <c r="E3090" s="1" t="s">
        <v>169</v>
      </c>
      <c r="F3090" s="38">
        <v>10</v>
      </c>
      <c r="G3090" t="s">
        <v>164</v>
      </c>
    </row>
    <row r="3091" spans="1:7" x14ac:dyDescent="0.25">
      <c r="A3091" s="10" t="s">
        <v>374</v>
      </c>
      <c r="B3091" s="10" t="s">
        <v>827</v>
      </c>
      <c r="C3091" t="str">
        <f>Table13[[#This Row],[Manufacturer]]&amp;" "&amp;Table13[[#This Row],[Model]]</f>
        <v>Tohnichi 15QSP N</v>
      </c>
      <c r="D3091" s="1">
        <v>3</v>
      </c>
      <c r="E3091" s="1" t="s">
        <v>169</v>
      </c>
      <c r="F3091" s="38">
        <v>1.5</v>
      </c>
      <c r="G3091" t="s">
        <v>184</v>
      </c>
    </row>
    <row r="3092" spans="1:7" x14ac:dyDescent="0.25">
      <c r="A3092" s="10" t="s">
        <v>374</v>
      </c>
      <c r="B3092" s="10" t="s">
        <v>826</v>
      </c>
      <c r="C3092" t="str">
        <f>Table13[[#This Row],[Manufacturer]]&amp;" "&amp;Table13[[#This Row],[Model]]</f>
        <v>Tohnichi 1800CL</v>
      </c>
      <c r="D3092" s="1">
        <v>3</v>
      </c>
      <c r="E3092" s="1" t="s">
        <v>169</v>
      </c>
      <c r="F3092" s="38">
        <v>1800</v>
      </c>
      <c r="G3092" t="s">
        <v>418</v>
      </c>
    </row>
    <row r="3093" spans="1:7" x14ac:dyDescent="0.25">
      <c r="A3093" s="10" t="s">
        <v>374</v>
      </c>
      <c r="B3093" s="10" t="s">
        <v>825</v>
      </c>
      <c r="C3093" t="str">
        <f>Table13[[#This Row],[Manufacturer]]&amp;" "&amp;Table13[[#This Row],[Model]]</f>
        <v>Tohnichi 1800CL N</v>
      </c>
      <c r="D3093" s="1">
        <v>3</v>
      </c>
      <c r="E3093" s="1" t="s">
        <v>169</v>
      </c>
      <c r="F3093" s="38">
        <v>180</v>
      </c>
      <c r="G3093" t="s">
        <v>184</v>
      </c>
    </row>
    <row r="3094" spans="1:7" x14ac:dyDescent="0.25">
      <c r="A3094" s="10" t="s">
        <v>374</v>
      </c>
      <c r="B3094" s="10" t="s">
        <v>824</v>
      </c>
      <c r="C3094" t="str">
        <f>Table13[[#This Row],[Manufacturer]]&amp;" "&amp;Table13[[#This Row],[Model]]</f>
        <v>Tohnichi 1800CL3</v>
      </c>
      <c r="D3094" s="1">
        <v>3</v>
      </c>
      <c r="E3094" s="1" t="s">
        <v>169</v>
      </c>
      <c r="F3094" s="38">
        <v>2000</v>
      </c>
      <c r="G3094" t="s">
        <v>418</v>
      </c>
    </row>
    <row r="3095" spans="1:7" x14ac:dyDescent="0.25">
      <c r="A3095" s="10" t="s">
        <v>374</v>
      </c>
      <c r="B3095" s="10" t="s">
        <v>823</v>
      </c>
      <c r="C3095" t="str">
        <f>Table13[[#This Row],[Manufacturer]]&amp;" "&amp;Table13[[#This Row],[Model]]</f>
        <v>Tohnichi 1800CL3-A</v>
      </c>
      <c r="D3095" s="1">
        <v>3</v>
      </c>
      <c r="E3095" s="1" t="s">
        <v>169</v>
      </c>
      <c r="F3095" s="38">
        <v>150</v>
      </c>
      <c r="G3095" t="s">
        <v>166</v>
      </c>
    </row>
    <row r="3096" spans="1:7" x14ac:dyDescent="0.25">
      <c r="A3096" s="10" t="s">
        <v>374</v>
      </c>
      <c r="B3096" s="10" t="s">
        <v>822</v>
      </c>
      <c r="C3096" t="str">
        <f>Table13[[#This Row],[Manufacturer]]&amp;" "&amp;Table13[[#This Row],[Model]]</f>
        <v>Tohnichi 1800CL-A</v>
      </c>
      <c r="D3096" s="1">
        <v>3</v>
      </c>
      <c r="E3096" s="1" t="s">
        <v>169</v>
      </c>
      <c r="F3096" s="38">
        <v>130</v>
      </c>
      <c r="G3096" t="s">
        <v>166</v>
      </c>
    </row>
    <row r="3097" spans="1:7" x14ac:dyDescent="0.25">
      <c r="A3097" s="10" t="s">
        <v>374</v>
      </c>
      <c r="B3097" s="10" t="s">
        <v>821</v>
      </c>
      <c r="C3097" t="str">
        <f>Table13[[#This Row],[Manufacturer]]&amp;" "&amp;Table13[[#This Row],[Model]]</f>
        <v>Tohnichi 1800CL-MH</v>
      </c>
      <c r="D3097" s="1">
        <v>3</v>
      </c>
      <c r="E3097" s="1" t="s">
        <v>169</v>
      </c>
      <c r="F3097" s="38">
        <v>2000</v>
      </c>
      <c r="G3097" t="s">
        <v>418</v>
      </c>
    </row>
    <row r="3098" spans="1:7" x14ac:dyDescent="0.25">
      <c r="A3098" s="10" t="s">
        <v>374</v>
      </c>
      <c r="B3098" s="10" t="s">
        <v>820</v>
      </c>
      <c r="C3098" t="str">
        <f>Table13[[#This Row],[Manufacturer]]&amp;" "&amp;Table13[[#This Row],[Model]]</f>
        <v>Tohnichi 1800CSP</v>
      </c>
      <c r="D3098" s="1">
        <v>3</v>
      </c>
      <c r="E3098" s="1" t="s">
        <v>169</v>
      </c>
      <c r="F3098" s="38">
        <v>1600</v>
      </c>
      <c r="G3098" t="s">
        <v>164</v>
      </c>
    </row>
    <row r="3099" spans="1:7" x14ac:dyDescent="0.25">
      <c r="A3099" s="10" t="s">
        <v>374</v>
      </c>
      <c r="B3099" s="10" t="s">
        <v>819</v>
      </c>
      <c r="C3099" t="str">
        <f>Table13[[#This Row],[Manufacturer]]&amp;" "&amp;Table13[[#This Row],[Model]]</f>
        <v>Tohnichi 1800CSP2</v>
      </c>
      <c r="D3099" s="1">
        <v>3</v>
      </c>
      <c r="E3099" s="1" t="s">
        <v>169</v>
      </c>
      <c r="F3099" s="38">
        <v>180</v>
      </c>
      <c r="G3099" t="s">
        <v>184</v>
      </c>
    </row>
    <row r="3100" spans="1:7" x14ac:dyDescent="0.25">
      <c r="A3100" s="10" t="s">
        <v>374</v>
      </c>
      <c r="B3100" s="10" t="s">
        <v>818</v>
      </c>
      <c r="C3100" t="str">
        <f>Table13[[#This Row],[Manufacturer]]&amp;" "&amp;Table13[[#This Row],[Model]]</f>
        <v>Tohnichi 1800DQL</v>
      </c>
      <c r="D3100" s="1">
        <v>3</v>
      </c>
      <c r="E3100" s="1">
        <v>3</v>
      </c>
      <c r="F3100" s="38">
        <v>1800</v>
      </c>
      <c r="G3100" t="s">
        <v>418</v>
      </c>
    </row>
    <row r="3101" spans="1:7" x14ac:dyDescent="0.25">
      <c r="A3101" s="10" t="s">
        <v>374</v>
      </c>
      <c r="B3101" s="10" t="s">
        <v>817</v>
      </c>
      <c r="C3101" t="str">
        <f>Table13[[#This Row],[Manufacturer]]&amp;" "&amp;Table13[[#This Row],[Model]]</f>
        <v>Tohnichi 1800DQL N</v>
      </c>
      <c r="D3101" s="1">
        <v>3</v>
      </c>
      <c r="E3101" s="1">
        <v>3</v>
      </c>
      <c r="F3101" s="38">
        <v>180</v>
      </c>
      <c r="G3101" t="s">
        <v>184</v>
      </c>
    </row>
    <row r="3102" spans="1:7" x14ac:dyDescent="0.25">
      <c r="A3102" s="10" t="s">
        <v>374</v>
      </c>
      <c r="B3102" s="10" t="s">
        <v>816</v>
      </c>
      <c r="C3102" t="str">
        <f>Table13[[#This Row],[Manufacturer]]&amp;" "&amp;Table13[[#This Row],[Model]]</f>
        <v>Tohnichi 1800PCL</v>
      </c>
      <c r="D3102" s="1">
        <v>3</v>
      </c>
      <c r="E3102" s="1" t="s">
        <v>169</v>
      </c>
      <c r="F3102" s="38">
        <v>1800</v>
      </c>
      <c r="G3102" t="s">
        <v>418</v>
      </c>
    </row>
    <row r="3103" spans="1:7" x14ac:dyDescent="0.25">
      <c r="A3103" s="10" t="s">
        <v>374</v>
      </c>
      <c r="B3103" s="10" t="s">
        <v>815</v>
      </c>
      <c r="C3103" t="str">
        <f>Table13[[#This Row],[Manufacturer]]&amp;" "&amp;Table13[[#This Row],[Model]]</f>
        <v>Tohnichi 1800PCL N</v>
      </c>
      <c r="D3103" s="1">
        <v>3</v>
      </c>
      <c r="E3103" s="1" t="s">
        <v>169</v>
      </c>
      <c r="F3103" s="38">
        <v>180</v>
      </c>
      <c r="G3103" t="s">
        <v>184</v>
      </c>
    </row>
    <row r="3104" spans="1:7" x14ac:dyDescent="0.25">
      <c r="A3104" s="10" t="s">
        <v>374</v>
      </c>
      <c r="B3104" s="10" t="s">
        <v>814</v>
      </c>
      <c r="C3104" t="str">
        <f>Table13[[#This Row],[Manufacturer]]&amp;" "&amp;Table13[[#This Row],[Model]]</f>
        <v>Tohnichi 1800PCLLS</v>
      </c>
      <c r="D3104" s="1">
        <v>3</v>
      </c>
      <c r="E3104" s="1" t="s">
        <v>169</v>
      </c>
      <c r="F3104" s="38">
        <v>1800</v>
      </c>
      <c r="G3104" t="s">
        <v>418</v>
      </c>
    </row>
    <row r="3105" spans="1:7" x14ac:dyDescent="0.25">
      <c r="A3105" s="10" t="s">
        <v>374</v>
      </c>
      <c r="B3105" s="10" t="s">
        <v>813</v>
      </c>
      <c r="C3105" t="str">
        <f>Table13[[#This Row],[Manufacturer]]&amp;" "&amp;Table13[[#This Row],[Model]]</f>
        <v>Tohnichi 1800PCLLS N</v>
      </c>
      <c r="D3105" s="1">
        <v>3</v>
      </c>
      <c r="E3105" s="1" t="s">
        <v>169</v>
      </c>
      <c r="F3105" s="38">
        <v>180</v>
      </c>
      <c r="G3105" t="s">
        <v>184</v>
      </c>
    </row>
    <row r="3106" spans="1:7" x14ac:dyDescent="0.25">
      <c r="A3106" s="10" t="s">
        <v>374</v>
      </c>
      <c r="B3106" s="10" t="s">
        <v>812</v>
      </c>
      <c r="C3106" t="str">
        <f>Table13[[#This Row],[Manufacturer]]&amp;" "&amp;Table13[[#This Row],[Model]]</f>
        <v>Tohnichi 1800PQL</v>
      </c>
      <c r="D3106" s="1">
        <v>3</v>
      </c>
      <c r="E3106" s="1" t="s">
        <v>169</v>
      </c>
      <c r="F3106" s="38">
        <v>1800</v>
      </c>
      <c r="G3106" t="s">
        <v>418</v>
      </c>
    </row>
    <row r="3107" spans="1:7" x14ac:dyDescent="0.25">
      <c r="A3107" s="10" t="s">
        <v>374</v>
      </c>
      <c r="B3107" s="10" t="s">
        <v>811</v>
      </c>
      <c r="C3107" t="str">
        <f>Table13[[#This Row],[Manufacturer]]&amp;" "&amp;Table13[[#This Row],[Model]]</f>
        <v>Tohnichi 1800PQL N</v>
      </c>
      <c r="D3107" s="1">
        <v>3</v>
      </c>
      <c r="E3107" s="1" t="s">
        <v>169</v>
      </c>
      <c r="F3107" s="38">
        <v>180</v>
      </c>
      <c r="G3107" t="s">
        <v>184</v>
      </c>
    </row>
    <row r="3108" spans="1:7" x14ac:dyDescent="0.25">
      <c r="A3108" s="10" t="s">
        <v>374</v>
      </c>
      <c r="B3108" s="10" t="s">
        <v>810</v>
      </c>
      <c r="C3108" t="str">
        <f>Table13[[#This Row],[Manufacturer]]&amp;" "&amp;Table13[[#This Row],[Model]]</f>
        <v>Tohnichi 1800PQL-A</v>
      </c>
      <c r="D3108" s="1">
        <v>3</v>
      </c>
      <c r="E3108" s="1" t="s">
        <v>169</v>
      </c>
      <c r="F3108" s="38">
        <v>150</v>
      </c>
      <c r="G3108" t="s">
        <v>166</v>
      </c>
    </row>
    <row r="3109" spans="1:7" x14ac:dyDescent="0.25">
      <c r="A3109" s="10" t="s">
        <v>374</v>
      </c>
      <c r="B3109" s="10" t="s">
        <v>809</v>
      </c>
      <c r="C3109" t="str">
        <f>Table13[[#This Row],[Manufacturer]]&amp;" "&amp;Table13[[#This Row],[Model]]</f>
        <v>Tohnichi 1800QL</v>
      </c>
      <c r="D3109" s="1">
        <v>3</v>
      </c>
      <c r="E3109" s="1" t="s">
        <v>169</v>
      </c>
      <c r="F3109" s="38">
        <v>1800</v>
      </c>
      <c r="G3109" t="s">
        <v>418</v>
      </c>
    </row>
    <row r="3110" spans="1:7" x14ac:dyDescent="0.25">
      <c r="A3110" s="10" t="s">
        <v>374</v>
      </c>
      <c r="B3110" s="10" t="s">
        <v>808</v>
      </c>
      <c r="C3110" t="str">
        <f>Table13[[#This Row],[Manufacturer]]&amp;" "&amp;Table13[[#This Row],[Model]]</f>
        <v>Tohnichi 1800QL N</v>
      </c>
      <c r="D3110" s="1">
        <v>3</v>
      </c>
      <c r="E3110" s="1" t="s">
        <v>169</v>
      </c>
      <c r="F3110" s="38">
        <v>180</v>
      </c>
      <c r="G3110" t="s">
        <v>184</v>
      </c>
    </row>
    <row r="3111" spans="1:7" x14ac:dyDescent="0.25">
      <c r="A3111" s="10" t="s">
        <v>374</v>
      </c>
      <c r="B3111" s="10" t="s">
        <v>807</v>
      </c>
      <c r="C3111" t="str">
        <f>Table13[[#This Row],[Manufacturer]]&amp;" "&amp;Table13[[#This Row],[Model]]</f>
        <v>Tohnichi 1800QL4</v>
      </c>
      <c r="D3111" s="1">
        <v>3</v>
      </c>
      <c r="E3111" s="1" t="s">
        <v>169</v>
      </c>
      <c r="F3111" s="38">
        <v>2000</v>
      </c>
      <c r="G3111" t="s">
        <v>418</v>
      </c>
    </row>
    <row r="3112" spans="1:7" x14ac:dyDescent="0.25">
      <c r="A3112" s="10" t="s">
        <v>374</v>
      </c>
      <c r="B3112" s="10" t="s">
        <v>806</v>
      </c>
      <c r="C3112" t="str">
        <f>Table13[[#This Row],[Manufacturer]]&amp;" "&amp;Table13[[#This Row],[Model]]</f>
        <v>Tohnichi 1800QL-MH</v>
      </c>
      <c r="D3112" s="1">
        <v>3</v>
      </c>
      <c r="E3112" s="1" t="s">
        <v>169</v>
      </c>
      <c r="F3112" s="38">
        <v>2000</v>
      </c>
      <c r="G3112" t="s">
        <v>418</v>
      </c>
    </row>
    <row r="3113" spans="1:7" x14ac:dyDescent="0.25">
      <c r="A3113" s="10" t="s">
        <v>374</v>
      </c>
      <c r="B3113" s="10" t="s">
        <v>805</v>
      </c>
      <c r="C3113" t="str">
        <f>Table13[[#This Row],[Manufacturer]]&amp;" "&amp;Table13[[#This Row],[Model]]</f>
        <v>Tohnichi 1800QSP</v>
      </c>
      <c r="D3113" s="1">
        <v>3</v>
      </c>
      <c r="E3113" s="1" t="s">
        <v>169</v>
      </c>
      <c r="F3113" s="38">
        <v>1600</v>
      </c>
      <c r="G3113" t="s">
        <v>164</v>
      </c>
    </row>
    <row r="3114" spans="1:7" x14ac:dyDescent="0.25">
      <c r="A3114" s="10" t="s">
        <v>374</v>
      </c>
      <c r="B3114" s="10" t="s">
        <v>804</v>
      </c>
      <c r="C3114" t="str">
        <f>Table13[[#This Row],[Manufacturer]]&amp;" "&amp;Table13[[#This Row],[Model]]</f>
        <v>Tohnichi 1800QSP N</v>
      </c>
      <c r="D3114" s="1">
        <v>3</v>
      </c>
      <c r="E3114" s="1" t="s">
        <v>169</v>
      </c>
      <c r="F3114" s="38">
        <v>180</v>
      </c>
      <c r="G3114" t="s">
        <v>184</v>
      </c>
    </row>
    <row r="3115" spans="1:7" x14ac:dyDescent="0.25">
      <c r="A3115" s="10" t="s">
        <v>374</v>
      </c>
      <c r="B3115" s="10" t="s">
        <v>803</v>
      </c>
      <c r="C3115" t="str">
        <f>Table13[[#This Row],[Manufacturer]]&amp;" "&amp;Table13[[#This Row],[Model]]</f>
        <v>Tohnichi 20CL</v>
      </c>
      <c r="D3115" s="1">
        <v>3</v>
      </c>
      <c r="E3115" s="1" t="s">
        <v>169</v>
      </c>
      <c r="F3115" s="38">
        <v>20</v>
      </c>
      <c r="G3115" t="s">
        <v>418</v>
      </c>
    </row>
    <row r="3116" spans="1:7" x14ac:dyDescent="0.25">
      <c r="A3116" s="10" t="s">
        <v>374</v>
      </c>
      <c r="B3116" s="10" t="s">
        <v>802</v>
      </c>
      <c r="C3116" t="str">
        <f>Table13[[#This Row],[Manufacturer]]&amp;" "&amp;Table13[[#This Row],[Model]]</f>
        <v>Tohnichi 20CL-MH</v>
      </c>
      <c r="D3116" s="1">
        <v>3</v>
      </c>
      <c r="E3116" s="1" t="s">
        <v>169</v>
      </c>
      <c r="F3116" s="38">
        <v>20</v>
      </c>
      <c r="G3116" t="s">
        <v>418</v>
      </c>
    </row>
    <row r="3117" spans="1:7" x14ac:dyDescent="0.25">
      <c r="A3117" s="10" t="s">
        <v>374</v>
      </c>
      <c r="B3117" s="10" t="s">
        <v>801</v>
      </c>
      <c r="C3117" t="str">
        <f>Table13[[#This Row],[Manufacturer]]&amp;" "&amp;Table13[[#This Row],[Model]]</f>
        <v>Tohnichi 20QL-MH</v>
      </c>
      <c r="D3117" s="1">
        <v>3</v>
      </c>
      <c r="E3117" s="1" t="s">
        <v>169</v>
      </c>
      <c r="F3117" s="38">
        <v>20</v>
      </c>
      <c r="G3117" t="s">
        <v>418</v>
      </c>
    </row>
    <row r="3118" spans="1:7" x14ac:dyDescent="0.25">
      <c r="A3118" s="10" t="s">
        <v>374</v>
      </c>
      <c r="B3118" s="10" t="s">
        <v>800</v>
      </c>
      <c r="C3118" t="str">
        <f>Table13[[#This Row],[Manufacturer]]&amp;" "&amp;Table13[[#This Row],[Model]]</f>
        <v>Tohnichi 21000QLE</v>
      </c>
      <c r="D3118" s="1">
        <v>3</v>
      </c>
      <c r="E3118" s="1" t="s">
        <v>169</v>
      </c>
      <c r="F3118" s="38">
        <v>210</v>
      </c>
      <c r="G3118" t="s">
        <v>258</v>
      </c>
    </row>
    <row r="3119" spans="1:7" x14ac:dyDescent="0.25">
      <c r="A3119" s="10" t="s">
        <v>374</v>
      </c>
      <c r="B3119" s="10" t="s">
        <v>799</v>
      </c>
      <c r="C3119" t="str">
        <f>Table13[[#This Row],[Manufacturer]]&amp;" "&amp;Table13[[#This Row],[Model]]</f>
        <v>Tohnichi 21000QLE N</v>
      </c>
      <c r="D3119" s="1">
        <v>3</v>
      </c>
      <c r="E3119" s="1" t="s">
        <v>169</v>
      </c>
      <c r="F3119" s="38">
        <v>2100</v>
      </c>
      <c r="G3119" t="s">
        <v>184</v>
      </c>
    </row>
    <row r="3120" spans="1:7" x14ac:dyDescent="0.25">
      <c r="A3120" s="10" t="s">
        <v>374</v>
      </c>
      <c r="B3120" s="10" t="s">
        <v>798</v>
      </c>
      <c r="C3120" t="str">
        <f>Table13[[#This Row],[Manufacturer]]&amp;" "&amp;Table13[[#This Row],[Model]]</f>
        <v>Tohnichi 225CL</v>
      </c>
      <c r="D3120" s="1">
        <v>3</v>
      </c>
      <c r="E3120" s="1" t="s">
        <v>169</v>
      </c>
      <c r="F3120" s="38">
        <v>225</v>
      </c>
      <c r="G3120" t="s">
        <v>418</v>
      </c>
    </row>
    <row r="3121" spans="1:7" x14ac:dyDescent="0.25">
      <c r="A3121" s="10" t="s">
        <v>374</v>
      </c>
      <c r="B3121" s="10" t="s">
        <v>797</v>
      </c>
      <c r="C3121" t="str">
        <f>Table13[[#This Row],[Manufacturer]]&amp;" "&amp;Table13[[#This Row],[Model]]</f>
        <v>Tohnichi 225CL N</v>
      </c>
      <c r="D3121" s="1">
        <v>3</v>
      </c>
      <c r="E3121" s="1" t="s">
        <v>169</v>
      </c>
      <c r="F3121" s="38">
        <v>22.5</v>
      </c>
      <c r="G3121" t="s">
        <v>184</v>
      </c>
    </row>
    <row r="3122" spans="1:7" x14ac:dyDescent="0.25">
      <c r="A3122" s="10" t="s">
        <v>374</v>
      </c>
      <c r="B3122" s="10" t="s">
        <v>796</v>
      </c>
      <c r="C3122" t="str">
        <f>Table13[[#This Row],[Manufacturer]]&amp;" "&amp;Table13[[#This Row],[Model]]</f>
        <v>Tohnichi 225CL3</v>
      </c>
      <c r="D3122" s="1">
        <v>3</v>
      </c>
      <c r="E3122" s="1" t="s">
        <v>169</v>
      </c>
      <c r="F3122" s="38">
        <v>250</v>
      </c>
      <c r="G3122" t="s">
        <v>418</v>
      </c>
    </row>
    <row r="3123" spans="1:7" x14ac:dyDescent="0.25">
      <c r="A3123" s="10" t="s">
        <v>374</v>
      </c>
      <c r="B3123" s="10" t="s">
        <v>795</v>
      </c>
      <c r="C3123" t="str">
        <f>Table13[[#This Row],[Manufacturer]]&amp;" "&amp;Table13[[#This Row],[Model]]</f>
        <v>Tohnichi 225CL3-A</v>
      </c>
      <c r="D3123" s="1">
        <v>3</v>
      </c>
      <c r="E3123" s="1" t="s">
        <v>169</v>
      </c>
      <c r="F3123" s="38">
        <v>200</v>
      </c>
      <c r="G3123" t="s">
        <v>164</v>
      </c>
    </row>
    <row r="3124" spans="1:7" x14ac:dyDescent="0.25">
      <c r="A3124" s="10" t="s">
        <v>374</v>
      </c>
      <c r="B3124" s="10" t="s">
        <v>794</v>
      </c>
      <c r="C3124" t="str">
        <f>Table13[[#This Row],[Manufacturer]]&amp;" "&amp;Table13[[#This Row],[Model]]</f>
        <v>Tohnichi 225CL5</v>
      </c>
      <c r="D3124" s="1">
        <v>3</v>
      </c>
      <c r="E3124" s="1" t="s">
        <v>169</v>
      </c>
      <c r="F3124" s="38">
        <v>250</v>
      </c>
      <c r="G3124" t="s">
        <v>418</v>
      </c>
    </row>
    <row r="3125" spans="1:7" x14ac:dyDescent="0.25">
      <c r="A3125" s="10" t="s">
        <v>374</v>
      </c>
      <c r="B3125" s="10" t="s">
        <v>793</v>
      </c>
      <c r="C3125" t="str">
        <f>Table13[[#This Row],[Manufacturer]]&amp;" "&amp;Table13[[#This Row],[Model]]</f>
        <v>Tohnichi 225CL-A</v>
      </c>
      <c r="D3125" s="1">
        <v>3</v>
      </c>
      <c r="E3125" s="1" t="s">
        <v>169</v>
      </c>
      <c r="F3125" s="38">
        <v>200</v>
      </c>
      <c r="G3125" t="s">
        <v>164</v>
      </c>
    </row>
    <row r="3126" spans="1:7" x14ac:dyDescent="0.25">
      <c r="A3126" s="10" t="s">
        <v>374</v>
      </c>
      <c r="B3126" s="10" t="s">
        <v>792</v>
      </c>
      <c r="C3126" t="str">
        <f>Table13[[#This Row],[Manufacturer]]&amp;" "&amp;Table13[[#This Row],[Model]]</f>
        <v>Tohnichi 225CL-MH</v>
      </c>
      <c r="D3126" s="1">
        <v>3</v>
      </c>
      <c r="E3126" s="1" t="s">
        <v>169</v>
      </c>
      <c r="F3126" s="38">
        <v>2550</v>
      </c>
      <c r="G3126" t="s">
        <v>418</v>
      </c>
    </row>
    <row r="3127" spans="1:7" x14ac:dyDescent="0.25">
      <c r="A3127" s="10" t="s">
        <v>374</v>
      </c>
      <c r="B3127" s="10" t="s">
        <v>791</v>
      </c>
      <c r="C3127" t="str">
        <f>Table13[[#This Row],[Manufacturer]]&amp;" "&amp;Table13[[#This Row],[Model]]</f>
        <v>Tohnichi 225CSP</v>
      </c>
      <c r="D3127" s="1">
        <v>3</v>
      </c>
      <c r="E3127" s="1" t="s">
        <v>169</v>
      </c>
      <c r="F3127" s="38">
        <v>200</v>
      </c>
      <c r="G3127" t="s">
        <v>164</v>
      </c>
    </row>
    <row r="3128" spans="1:7" x14ac:dyDescent="0.25">
      <c r="A3128" s="10" t="s">
        <v>374</v>
      </c>
      <c r="B3128" s="10" t="s">
        <v>790</v>
      </c>
      <c r="C3128" t="str">
        <f>Table13[[#This Row],[Manufacturer]]&amp;" "&amp;Table13[[#This Row],[Model]]</f>
        <v>Tohnichi 225CSP N</v>
      </c>
      <c r="D3128" s="1">
        <v>3</v>
      </c>
      <c r="E3128" s="1" t="s">
        <v>169</v>
      </c>
      <c r="F3128" s="38">
        <v>22.5</v>
      </c>
      <c r="G3128" t="s">
        <v>184</v>
      </c>
    </row>
    <row r="3129" spans="1:7" x14ac:dyDescent="0.25">
      <c r="A3129" s="10" t="s">
        <v>374</v>
      </c>
      <c r="B3129" s="10" t="s">
        <v>789</v>
      </c>
      <c r="C3129" t="str">
        <f>Table13[[#This Row],[Manufacturer]]&amp;" "&amp;Table13[[#This Row],[Model]]</f>
        <v>Tohnichi 225PCL</v>
      </c>
      <c r="D3129" s="1">
        <v>3</v>
      </c>
      <c r="E3129" s="1" t="s">
        <v>169</v>
      </c>
      <c r="F3129" s="38">
        <v>225</v>
      </c>
      <c r="G3129" t="s">
        <v>418</v>
      </c>
    </row>
    <row r="3130" spans="1:7" x14ac:dyDescent="0.25">
      <c r="A3130" s="10" t="s">
        <v>374</v>
      </c>
      <c r="B3130" s="10" t="s">
        <v>788</v>
      </c>
      <c r="C3130" t="str">
        <f>Table13[[#This Row],[Manufacturer]]&amp;" "&amp;Table13[[#This Row],[Model]]</f>
        <v>Tohnichi 225PCL N</v>
      </c>
      <c r="D3130" s="1">
        <v>3</v>
      </c>
      <c r="E3130" s="1" t="s">
        <v>169</v>
      </c>
      <c r="F3130" s="38">
        <v>22.5</v>
      </c>
      <c r="G3130" t="s">
        <v>184</v>
      </c>
    </row>
    <row r="3131" spans="1:7" x14ac:dyDescent="0.25">
      <c r="A3131" s="10" t="s">
        <v>374</v>
      </c>
      <c r="B3131" s="10" t="s">
        <v>787</v>
      </c>
      <c r="C3131" t="str">
        <f>Table13[[#This Row],[Manufacturer]]&amp;" "&amp;Table13[[#This Row],[Model]]</f>
        <v>Tohnichi 225PCLLS</v>
      </c>
      <c r="D3131" s="1">
        <v>3</v>
      </c>
      <c r="E3131" s="1" t="s">
        <v>169</v>
      </c>
      <c r="F3131" s="38">
        <v>225</v>
      </c>
      <c r="G3131" t="s">
        <v>418</v>
      </c>
    </row>
    <row r="3132" spans="1:7" x14ac:dyDescent="0.25">
      <c r="A3132" s="10" t="s">
        <v>374</v>
      </c>
      <c r="B3132" s="10" t="s">
        <v>786</v>
      </c>
      <c r="C3132" t="str">
        <f>Table13[[#This Row],[Manufacturer]]&amp;" "&amp;Table13[[#This Row],[Model]]</f>
        <v>Tohnichi 225PCLLS N</v>
      </c>
      <c r="D3132" s="1">
        <v>3</v>
      </c>
      <c r="E3132" s="1" t="s">
        <v>169</v>
      </c>
      <c r="F3132" s="38">
        <v>22.5</v>
      </c>
      <c r="G3132" t="s">
        <v>184</v>
      </c>
    </row>
    <row r="3133" spans="1:7" x14ac:dyDescent="0.25">
      <c r="A3133" s="10" t="s">
        <v>374</v>
      </c>
      <c r="B3133" s="10" t="s">
        <v>785</v>
      </c>
      <c r="C3133" t="str">
        <f>Table13[[#This Row],[Manufacturer]]&amp;" "&amp;Table13[[#This Row],[Model]]</f>
        <v>Tohnichi 225PQL</v>
      </c>
      <c r="D3133" s="1">
        <v>3</v>
      </c>
      <c r="E3133" s="1" t="s">
        <v>169</v>
      </c>
      <c r="F3133" s="38">
        <v>225</v>
      </c>
      <c r="G3133" t="s">
        <v>418</v>
      </c>
    </row>
    <row r="3134" spans="1:7" x14ac:dyDescent="0.25">
      <c r="A3134" s="10" t="s">
        <v>374</v>
      </c>
      <c r="B3134" s="10" t="s">
        <v>784</v>
      </c>
      <c r="C3134" t="str">
        <f>Table13[[#This Row],[Manufacturer]]&amp;" "&amp;Table13[[#This Row],[Model]]</f>
        <v>Tohnichi 225PQL N</v>
      </c>
      <c r="D3134" s="1">
        <v>3</v>
      </c>
      <c r="E3134" s="1" t="s">
        <v>169</v>
      </c>
      <c r="F3134" s="38">
        <v>22.5</v>
      </c>
      <c r="G3134" t="s">
        <v>184</v>
      </c>
    </row>
    <row r="3135" spans="1:7" x14ac:dyDescent="0.25">
      <c r="A3135" s="10" t="s">
        <v>374</v>
      </c>
      <c r="B3135" s="10" t="s">
        <v>783</v>
      </c>
      <c r="C3135" t="str">
        <f>Table13[[#This Row],[Manufacturer]]&amp;" "&amp;Table13[[#This Row],[Model]]</f>
        <v>Tohnichi 225PQL-A</v>
      </c>
      <c r="D3135" s="1">
        <v>3</v>
      </c>
      <c r="E3135" s="1" t="s">
        <v>169</v>
      </c>
      <c r="F3135" s="38">
        <v>200</v>
      </c>
      <c r="G3135" t="s">
        <v>164</v>
      </c>
    </row>
    <row r="3136" spans="1:7" x14ac:dyDescent="0.25">
      <c r="A3136" s="10" t="s">
        <v>374</v>
      </c>
      <c r="B3136" s="10" t="s">
        <v>782</v>
      </c>
      <c r="C3136" t="str">
        <f>Table13[[#This Row],[Manufacturer]]&amp;" "&amp;Table13[[#This Row],[Model]]</f>
        <v>Tohnichi 225QL</v>
      </c>
      <c r="D3136" s="1">
        <v>3</v>
      </c>
      <c r="E3136" s="1" t="s">
        <v>169</v>
      </c>
      <c r="F3136" s="38">
        <v>225</v>
      </c>
      <c r="G3136" t="s">
        <v>418</v>
      </c>
    </row>
    <row r="3137" spans="1:7" x14ac:dyDescent="0.25">
      <c r="A3137" s="10" t="s">
        <v>374</v>
      </c>
      <c r="B3137" s="10" t="s">
        <v>781</v>
      </c>
      <c r="C3137" t="str">
        <f>Table13[[#This Row],[Manufacturer]]&amp;" "&amp;Table13[[#This Row],[Model]]</f>
        <v>Tohnichi 225QL N</v>
      </c>
      <c r="D3137" s="1">
        <v>3</v>
      </c>
      <c r="E3137" s="1" t="s">
        <v>169</v>
      </c>
      <c r="F3137" s="38">
        <v>22.5</v>
      </c>
      <c r="G3137" t="s">
        <v>184</v>
      </c>
    </row>
    <row r="3138" spans="1:7" x14ac:dyDescent="0.25">
      <c r="A3138" s="10" t="s">
        <v>374</v>
      </c>
      <c r="B3138" s="10" t="s">
        <v>780</v>
      </c>
      <c r="C3138" t="str">
        <f>Table13[[#This Row],[Manufacturer]]&amp;" "&amp;Table13[[#This Row],[Model]]</f>
        <v>Tohnichi 225QL3</v>
      </c>
      <c r="D3138" s="1">
        <v>3</v>
      </c>
      <c r="E3138" s="1" t="s">
        <v>169</v>
      </c>
      <c r="F3138" s="38">
        <v>250</v>
      </c>
      <c r="G3138" t="s">
        <v>418</v>
      </c>
    </row>
    <row r="3139" spans="1:7" x14ac:dyDescent="0.25">
      <c r="A3139" s="10" t="s">
        <v>374</v>
      </c>
      <c r="B3139" s="10" t="s">
        <v>779</v>
      </c>
      <c r="C3139" t="str">
        <f>Table13[[#This Row],[Manufacturer]]&amp;" "&amp;Table13[[#This Row],[Model]]</f>
        <v>Tohnichi 225QL3-1/4</v>
      </c>
      <c r="D3139" s="1">
        <v>3</v>
      </c>
      <c r="E3139" s="1" t="s">
        <v>169</v>
      </c>
      <c r="F3139" s="38">
        <v>250</v>
      </c>
      <c r="G3139" t="s">
        <v>418</v>
      </c>
    </row>
    <row r="3140" spans="1:7" x14ac:dyDescent="0.25">
      <c r="A3140" s="10" t="s">
        <v>374</v>
      </c>
      <c r="B3140" s="10" t="s">
        <v>778</v>
      </c>
      <c r="C3140" t="str">
        <f>Table13[[#This Row],[Manufacturer]]&amp;" "&amp;Table13[[#This Row],[Model]]</f>
        <v>Tohnichi 225QSP</v>
      </c>
      <c r="D3140" s="1">
        <v>3</v>
      </c>
      <c r="E3140" s="1" t="s">
        <v>169</v>
      </c>
      <c r="F3140" s="38">
        <v>200</v>
      </c>
      <c r="G3140" t="s">
        <v>164</v>
      </c>
    </row>
    <row r="3141" spans="1:7" x14ac:dyDescent="0.25">
      <c r="A3141" s="10" t="s">
        <v>374</v>
      </c>
      <c r="B3141" s="10" t="s">
        <v>777</v>
      </c>
      <c r="C3141" t="str">
        <f>Table13[[#This Row],[Manufacturer]]&amp;" "&amp;Table13[[#This Row],[Model]]</f>
        <v>Tohnichi 225QSP N</v>
      </c>
      <c r="D3141" s="1">
        <v>3</v>
      </c>
      <c r="E3141" s="1" t="s">
        <v>169</v>
      </c>
      <c r="F3141" s="38">
        <v>22.5</v>
      </c>
      <c r="G3141" t="s">
        <v>184</v>
      </c>
    </row>
    <row r="3142" spans="1:7" x14ac:dyDescent="0.25">
      <c r="A3142" s="10" t="s">
        <v>374</v>
      </c>
      <c r="B3142" s="10" t="s">
        <v>776</v>
      </c>
      <c r="C3142" t="str">
        <f>Table13[[#This Row],[Manufacturer]]&amp;" "&amp;Table13[[#This Row],[Model]]</f>
        <v>Tohnichi 255QL-MH</v>
      </c>
      <c r="D3142" s="1">
        <v>3</v>
      </c>
      <c r="E3142" s="1" t="s">
        <v>169</v>
      </c>
      <c r="F3142" s="38">
        <v>250</v>
      </c>
      <c r="G3142" t="s">
        <v>418</v>
      </c>
    </row>
    <row r="3143" spans="1:7" x14ac:dyDescent="0.25">
      <c r="A3143" s="10" t="s">
        <v>374</v>
      </c>
      <c r="B3143" s="10" t="s">
        <v>775</v>
      </c>
      <c r="C3143" t="str">
        <f>Table13[[#This Row],[Manufacturer]]&amp;" "&amp;Table13[[#This Row],[Model]]</f>
        <v>Tohnichi 2800CL2</v>
      </c>
      <c r="D3143" s="1">
        <v>3</v>
      </c>
      <c r="E3143" s="1" t="s">
        <v>169</v>
      </c>
      <c r="F3143" s="38">
        <v>28</v>
      </c>
      <c r="G3143" t="s">
        <v>258</v>
      </c>
    </row>
    <row r="3144" spans="1:7" x14ac:dyDescent="0.25">
      <c r="A3144" s="10" t="s">
        <v>374</v>
      </c>
      <c r="B3144" s="10" t="s">
        <v>774</v>
      </c>
      <c r="C3144" t="str">
        <f>Table13[[#This Row],[Manufacturer]]&amp;" "&amp;Table13[[#This Row],[Model]]</f>
        <v>Tohnichi 2800CL2 N</v>
      </c>
      <c r="D3144" s="1">
        <v>3</v>
      </c>
      <c r="E3144" s="1" t="s">
        <v>169</v>
      </c>
      <c r="F3144" s="38">
        <v>280</v>
      </c>
      <c r="G3144" t="s">
        <v>184</v>
      </c>
    </row>
    <row r="3145" spans="1:7" x14ac:dyDescent="0.25">
      <c r="A3145" s="10" t="s">
        <v>374</v>
      </c>
      <c r="B3145" s="10" t="s">
        <v>773</v>
      </c>
      <c r="C3145" t="str">
        <f>Table13[[#This Row],[Manufacturer]]&amp;" "&amp;Table13[[#This Row],[Model]]</f>
        <v>Tohnichi 2800CL3</v>
      </c>
      <c r="D3145" s="1">
        <v>3</v>
      </c>
      <c r="E3145" s="1" t="s">
        <v>169</v>
      </c>
      <c r="F3145" s="38">
        <v>28</v>
      </c>
      <c r="G3145" t="s">
        <v>258</v>
      </c>
    </row>
    <row r="3146" spans="1:7" x14ac:dyDescent="0.25">
      <c r="A3146" s="10" t="s">
        <v>374</v>
      </c>
      <c r="B3146" s="10" t="s">
        <v>772</v>
      </c>
      <c r="C3146" t="str">
        <f>Table13[[#This Row],[Manufacturer]]&amp;" "&amp;Table13[[#This Row],[Model]]</f>
        <v>Tohnichi 2800CL3-A</v>
      </c>
      <c r="D3146" s="1">
        <v>3</v>
      </c>
      <c r="E3146" s="1" t="s">
        <v>169</v>
      </c>
      <c r="F3146" s="38">
        <v>200</v>
      </c>
      <c r="G3146" t="s">
        <v>166</v>
      </c>
    </row>
    <row r="3147" spans="1:7" x14ac:dyDescent="0.25">
      <c r="A3147" s="10" t="s">
        <v>374</v>
      </c>
      <c r="B3147" s="10" t="s">
        <v>771</v>
      </c>
      <c r="C3147" t="str">
        <f>Table13[[#This Row],[Manufacturer]]&amp;" "&amp;Table13[[#This Row],[Model]]</f>
        <v>Tohnichi 2800CL-A</v>
      </c>
      <c r="D3147" s="1">
        <v>3</v>
      </c>
      <c r="E3147" s="1" t="s">
        <v>169</v>
      </c>
      <c r="F3147" s="38">
        <v>200</v>
      </c>
      <c r="G3147" t="s">
        <v>166</v>
      </c>
    </row>
    <row r="3148" spans="1:7" x14ac:dyDescent="0.25">
      <c r="A3148" s="10" t="s">
        <v>374</v>
      </c>
      <c r="B3148" s="10" t="s">
        <v>770</v>
      </c>
      <c r="C3148" t="str">
        <f>Table13[[#This Row],[Manufacturer]]&amp;" "&amp;Table13[[#This Row],[Model]]</f>
        <v>Tohnichi 2800CL-MH</v>
      </c>
      <c r="D3148" s="1">
        <v>3</v>
      </c>
      <c r="E3148" s="1" t="s">
        <v>169</v>
      </c>
      <c r="F3148" s="38">
        <v>28</v>
      </c>
      <c r="G3148" t="s">
        <v>258</v>
      </c>
    </row>
    <row r="3149" spans="1:7" x14ac:dyDescent="0.25">
      <c r="A3149" s="10" t="s">
        <v>374</v>
      </c>
      <c r="B3149" s="10" t="s">
        <v>769</v>
      </c>
      <c r="C3149" t="str">
        <f>Table13[[#This Row],[Manufacturer]]&amp;" "&amp;Table13[[#This Row],[Model]]</f>
        <v>Tohnichi 2800CSP</v>
      </c>
      <c r="D3149" s="1">
        <v>3</v>
      </c>
      <c r="E3149" s="1" t="s">
        <v>169</v>
      </c>
      <c r="F3149" s="38">
        <v>2400</v>
      </c>
      <c r="G3149" t="s">
        <v>164</v>
      </c>
    </row>
    <row r="3150" spans="1:7" x14ac:dyDescent="0.25">
      <c r="A3150" s="10" t="s">
        <v>374</v>
      </c>
      <c r="B3150" s="10" t="s">
        <v>768</v>
      </c>
      <c r="C3150" t="str">
        <f>Table13[[#This Row],[Manufacturer]]&amp;" "&amp;Table13[[#This Row],[Model]]</f>
        <v>Tohnichi 2800CSP2</v>
      </c>
      <c r="D3150" s="1">
        <v>3</v>
      </c>
      <c r="E3150" s="1" t="s">
        <v>169</v>
      </c>
      <c r="F3150" s="38">
        <v>280</v>
      </c>
      <c r="G3150" t="s">
        <v>184</v>
      </c>
    </row>
    <row r="3151" spans="1:7" x14ac:dyDescent="0.25">
      <c r="A3151" s="10" t="s">
        <v>374</v>
      </c>
      <c r="B3151" s="10" t="s">
        <v>767</v>
      </c>
      <c r="C3151" t="str">
        <f>Table13[[#This Row],[Manufacturer]]&amp;" "&amp;Table13[[#This Row],[Model]]</f>
        <v>Tohnichi 2800DQL2</v>
      </c>
      <c r="D3151" s="1">
        <v>3</v>
      </c>
      <c r="E3151" s="1">
        <v>3</v>
      </c>
      <c r="F3151" s="38">
        <v>28</v>
      </c>
      <c r="G3151" t="s">
        <v>258</v>
      </c>
    </row>
    <row r="3152" spans="1:7" x14ac:dyDescent="0.25">
      <c r="A3152" s="10" t="s">
        <v>374</v>
      </c>
      <c r="B3152" s="10" t="s">
        <v>766</v>
      </c>
      <c r="C3152" t="str">
        <f>Table13[[#This Row],[Manufacturer]]&amp;" "&amp;Table13[[#This Row],[Model]]</f>
        <v>Tohnichi 2800DQL2 N</v>
      </c>
      <c r="D3152" s="1">
        <v>3</v>
      </c>
      <c r="E3152" s="1">
        <v>3</v>
      </c>
      <c r="F3152" s="38">
        <v>280</v>
      </c>
      <c r="G3152" t="s">
        <v>184</v>
      </c>
    </row>
    <row r="3153" spans="1:7" x14ac:dyDescent="0.25">
      <c r="A3153" s="10" t="s">
        <v>374</v>
      </c>
      <c r="B3153" s="10" t="s">
        <v>765</v>
      </c>
      <c r="C3153" t="str">
        <f>Table13[[#This Row],[Manufacturer]]&amp;" "&amp;Table13[[#This Row],[Model]]</f>
        <v>Tohnichi 2800QL N</v>
      </c>
      <c r="D3153" s="1">
        <v>3</v>
      </c>
      <c r="E3153" s="1" t="s">
        <v>169</v>
      </c>
      <c r="F3153" s="38">
        <v>280</v>
      </c>
      <c r="G3153" t="s">
        <v>184</v>
      </c>
    </row>
    <row r="3154" spans="1:7" x14ac:dyDescent="0.25">
      <c r="A3154" s="10" t="s">
        <v>374</v>
      </c>
      <c r="B3154" s="10" t="s">
        <v>764</v>
      </c>
      <c r="C3154" t="str">
        <f>Table13[[#This Row],[Manufacturer]]&amp;" "&amp;Table13[[#This Row],[Model]]</f>
        <v>Tohnichi 2800QL2</v>
      </c>
      <c r="D3154" s="1">
        <v>3</v>
      </c>
      <c r="E3154" s="1" t="s">
        <v>169</v>
      </c>
      <c r="F3154" s="38">
        <v>28</v>
      </c>
      <c r="G3154" t="s">
        <v>258</v>
      </c>
    </row>
    <row r="3155" spans="1:7" x14ac:dyDescent="0.25">
      <c r="A3155" s="10" t="s">
        <v>374</v>
      </c>
      <c r="B3155" s="10" t="s">
        <v>763</v>
      </c>
      <c r="C3155" t="str">
        <f>Table13[[#This Row],[Manufacturer]]&amp;" "&amp;Table13[[#This Row],[Model]]</f>
        <v>Tohnichi 2800QL3</v>
      </c>
      <c r="D3155" s="1">
        <v>3</v>
      </c>
      <c r="E3155" s="1" t="s">
        <v>169</v>
      </c>
      <c r="F3155" s="38">
        <v>28</v>
      </c>
      <c r="G3155" t="s">
        <v>258</v>
      </c>
    </row>
    <row r="3156" spans="1:7" x14ac:dyDescent="0.25">
      <c r="A3156" s="10" t="s">
        <v>374</v>
      </c>
      <c r="B3156" s="10" t="s">
        <v>762</v>
      </c>
      <c r="C3156" t="str">
        <f>Table13[[#This Row],[Manufacturer]]&amp;" "&amp;Table13[[#This Row],[Model]]</f>
        <v>Tohnichi 2800QL3-1/2</v>
      </c>
      <c r="D3156" s="1">
        <v>3</v>
      </c>
      <c r="E3156" s="1" t="s">
        <v>169</v>
      </c>
      <c r="F3156" s="38">
        <v>28</v>
      </c>
      <c r="G3156" t="s">
        <v>258</v>
      </c>
    </row>
    <row r="3157" spans="1:7" x14ac:dyDescent="0.25">
      <c r="A3157" s="10" t="s">
        <v>374</v>
      </c>
      <c r="B3157" s="10" t="s">
        <v>761</v>
      </c>
      <c r="C3157" t="str">
        <f>Table13[[#This Row],[Manufacturer]]&amp;" "&amp;Table13[[#This Row],[Model]]</f>
        <v>Tohnichi 2800QL-MH</v>
      </c>
      <c r="D3157" s="1">
        <v>3</v>
      </c>
      <c r="E3157" s="1" t="s">
        <v>169</v>
      </c>
      <c r="F3157" s="38">
        <v>28</v>
      </c>
      <c r="G3157" t="s">
        <v>258</v>
      </c>
    </row>
    <row r="3158" spans="1:7" x14ac:dyDescent="0.25">
      <c r="A3158" s="10" t="s">
        <v>374</v>
      </c>
      <c r="B3158" s="10" t="s">
        <v>760</v>
      </c>
      <c r="C3158" t="str">
        <f>Table13[[#This Row],[Manufacturer]]&amp;" "&amp;Table13[[#This Row],[Model]]</f>
        <v>Tohnichi 2800QSP</v>
      </c>
      <c r="D3158" s="1">
        <v>3</v>
      </c>
      <c r="E3158" s="1" t="s">
        <v>169</v>
      </c>
      <c r="F3158" s="38">
        <v>3000</v>
      </c>
      <c r="G3158" t="s">
        <v>164</v>
      </c>
    </row>
    <row r="3159" spans="1:7" x14ac:dyDescent="0.25">
      <c r="A3159" s="10" t="s">
        <v>374</v>
      </c>
      <c r="B3159" s="10" t="s">
        <v>759</v>
      </c>
      <c r="C3159" t="str">
        <f>Table13[[#This Row],[Manufacturer]]&amp;" "&amp;Table13[[#This Row],[Model]]</f>
        <v>Tohnichi 2800QSP2</v>
      </c>
      <c r="D3159" s="1">
        <v>3</v>
      </c>
      <c r="E3159" s="1" t="s">
        <v>169</v>
      </c>
      <c r="F3159" s="38">
        <v>280</v>
      </c>
      <c r="G3159" t="s">
        <v>184</v>
      </c>
    </row>
    <row r="3160" spans="1:7" x14ac:dyDescent="0.25">
      <c r="A3160" s="10" t="s">
        <v>374</v>
      </c>
      <c r="B3160" s="10" t="s">
        <v>758</v>
      </c>
      <c r="C3160" t="str">
        <f>Table13[[#This Row],[Manufacturer]]&amp;" "&amp;Table13[[#This Row],[Model]]</f>
        <v>Tohnichi 30CL</v>
      </c>
      <c r="D3160" s="1">
        <v>3</v>
      </c>
      <c r="E3160" s="1" t="s">
        <v>169</v>
      </c>
      <c r="F3160" s="38">
        <v>30</v>
      </c>
      <c r="G3160" t="s">
        <v>418</v>
      </c>
    </row>
    <row r="3161" spans="1:7" x14ac:dyDescent="0.25">
      <c r="A3161" s="10" t="s">
        <v>374</v>
      </c>
      <c r="B3161" s="10" t="s">
        <v>757</v>
      </c>
      <c r="C3161" t="str">
        <f>Table13[[#This Row],[Manufacturer]]&amp;" "&amp;Table13[[#This Row],[Model]]</f>
        <v>Tohnichi 30CL N</v>
      </c>
      <c r="D3161" s="1">
        <v>3</v>
      </c>
      <c r="E3161" s="1" t="s">
        <v>169</v>
      </c>
      <c r="F3161" s="38">
        <v>3</v>
      </c>
      <c r="G3161" t="s">
        <v>184</v>
      </c>
    </row>
    <row r="3162" spans="1:7" x14ac:dyDescent="0.25">
      <c r="A3162" s="10" t="s">
        <v>374</v>
      </c>
      <c r="B3162" s="10" t="s">
        <v>756</v>
      </c>
      <c r="C3162" t="str">
        <f>Table13[[#This Row],[Manufacturer]]&amp;" "&amp;Table13[[#This Row],[Model]]</f>
        <v>Tohnichi 30CL4</v>
      </c>
      <c r="D3162" s="1">
        <v>3</v>
      </c>
      <c r="E3162" s="1" t="s">
        <v>169</v>
      </c>
      <c r="F3162" s="38">
        <v>50</v>
      </c>
      <c r="G3162" t="s">
        <v>418</v>
      </c>
    </row>
    <row r="3163" spans="1:7" x14ac:dyDescent="0.25">
      <c r="A3163" s="10" t="s">
        <v>374</v>
      </c>
      <c r="B3163" s="10" t="s">
        <v>755</v>
      </c>
      <c r="C3163" t="str">
        <f>Table13[[#This Row],[Manufacturer]]&amp;" "&amp;Table13[[#This Row],[Model]]</f>
        <v>Tohnichi 30CL4-A</v>
      </c>
      <c r="D3163" s="1">
        <v>3</v>
      </c>
      <c r="E3163" s="1" t="s">
        <v>169</v>
      </c>
      <c r="F3163" s="38">
        <v>30</v>
      </c>
      <c r="G3163" t="s">
        <v>164</v>
      </c>
    </row>
    <row r="3164" spans="1:7" x14ac:dyDescent="0.25">
      <c r="A3164" s="10" t="s">
        <v>374</v>
      </c>
      <c r="B3164" s="10" t="s">
        <v>754</v>
      </c>
      <c r="C3164" t="str">
        <f>Table13[[#This Row],[Manufacturer]]&amp;" "&amp;Table13[[#This Row],[Model]]</f>
        <v>Tohnichi 30CSP</v>
      </c>
      <c r="D3164" s="1">
        <v>3</v>
      </c>
      <c r="E3164" s="1" t="s">
        <v>169</v>
      </c>
      <c r="F3164" s="38">
        <v>3</v>
      </c>
      <c r="G3164" t="s">
        <v>184</v>
      </c>
    </row>
    <row r="3165" spans="1:7" x14ac:dyDescent="0.25">
      <c r="A3165" s="10" t="s">
        <v>374</v>
      </c>
      <c r="B3165" s="10" t="s">
        <v>753</v>
      </c>
      <c r="C3165" t="str">
        <f>Table13[[#This Row],[Manufacturer]]&amp;" "&amp;Table13[[#This Row],[Model]]</f>
        <v>Tohnichi 30QL</v>
      </c>
      <c r="D3165" s="1">
        <v>3</v>
      </c>
      <c r="E3165" s="1" t="s">
        <v>169</v>
      </c>
      <c r="F3165" s="38">
        <v>30</v>
      </c>
      <c r="G3165" t="s">
        <v>418</v>
      </c>
    </row>
    <row r="3166" spans="1:7" x14ac:dyDescent="0.25">
      <c r="A3166" s="10" t="s">
        <v>374</v>
      </c>
      <c r="B3166" s="10" t="s">
        <v>752</v>
      </c>
      <c r="C3166" t="str">
        <f>Table13[[#This Row],[Manufacturer]]&amp;" "&amp;Table13[[#This Row],[Model]]</f>
        <v>Tohnichi 30QL N</v>
      </c>
      <c r="D3166" s="1">
        <v>3</v>
      </c>
      <c r="E3166" s="1" t="s">
        <v>169</v>
      </c>
      <c r="F3166" s="38">
        <v>3</v>
      </c>
      <c r="G3166" t="s">
        <v>184</v>
      </c>
    </row>
    <row r="3167" spans="1:7" x14ac:dyDescent="0.25">
      <c r="A3167" s="10" t="s">
        <v>374</v>
      </c>
      <c r="B3167" s="10" t="s">
        <v>751</v>
      </c>
      <c r="C3167" t="str">
        <f>Table13[[#This Row],[Manufacturer]]&amp;" "&amp;Table13[[#This Row],[Model]]</f>
        <v>Tohnichi 30QL4</v>
      </c>
      <c r="D3167" s="1">
        <v>3</v>
      </c>
      <c r="E3167" s="1" t="s">
        <v>169</v>
      </c>
      <c r="F3167" s="38">
        <v>30</v>
      </c>
      <c r="G3167" t="s">
        <v>418</v>
      </c>
    </row>
    <row r="3168" spans="1:7" x14ac:dyDescent="0.25">
      <c r="A3168" s="10" t="s">
        <v>374</v>
      </c>
      <c r="B3168" s="10" t="s">
        <v>750</v>
      </c>
      <c r="C3168" t="str">
        <f>Table13[[#This Row],[Manufacturer]]&amp;" "&amp;Table13[[#This Row],[Model]]</f>
        <v>Tohnichi 30QL4-A</v>
      </c>
      <c r="D3168" s="1">
        <v>3</v>
      </c>
      <c r="E3168" s="1" t="s">
        <v>169</v>
      </c>
      <c r="F3168" s="38">
        <v>30</v>
      </c>
      <c r="G3168" t="s">
        <v>164</v>
      </c>
    </row>
    <row r="3169" spans="1:7" x14ac:dyDescent="0.25">
      <c r="A3169" s="10" t="s">
        <v>374</v>
      </c>
      <c r="B3169" s="10" t="s">
        <v>749</v>
      </c>
      <c r="C3169" t="str">
        <f>Table13[[#This Row],[Manufacturer]]&amp;" "&amp;Table13[[#This Row],[Model]]</f>
        <v>Tohnichi 30QSP</v>
      </c>
      <c r="D3169" s="1">
        <v>3</v>
      </c>
      <c r="E3169" s="1" t="s">
        <v>169</v>
      </c>
      <c r="F3169" s="38">
        <v>30</v>
      </c>
      <c r="G3169" t="s">
        <v>164</v>
      </c>
    </row>
    <row r="3170" spans="1:7" x14ac:dyDescent="0.25">
      <c r="A3170" s="10" t="s">
        <v>374</v>
      </c>
      <c r="B3170" s="10" t="s">
        <v>748</v>
      </c>
      <c r="C3170" t="str">
        <f>Table13[[#This Row],[Manufacturer]]&amp;" "&amp;Table13[[#This Row],[Model]]</f>
        <v>Tohnichi 30QSP2</v>
      </c>
      <c r="D3170" s="1">
        <v>3</v>
      </c>
      <c r="E3170" s="1" t="s">
        <v>169</v>
      </c>
      <c r="F3170" s="38">
        <v>3</v>
      </c>
      <c r="G3170" t="s">
        <v>184</v>
      </c>
    </row>
    <row r="3171" spans="1:7" x14ac:dyDescent="0.25">
      <c r="A3171" s="10" t="s">
        <v>374</v>
      </c>
      <c r="B3171" s="10" t="s">
        <v>747</v>
      </c>
      <c r="C3171" t="str">
        <f>Table13[[#This Row],[Manufacturer]]&amp;" "&amp;Table13[[#This Row],[Model]]</f>
        <v>Tohnichi 4200CL2</v>
      </c>
      <c r="D3171" s="1">
        <v>3</v>
      </c>
      <c r="E3171" s="1" t="s">
        <v>169</v>
      </c>
      <c r="F3171" s="38">
        <v>42</v>
      </c>
      <c r="G3171" t="s">
        <v>258</v>
      </c>
    </row>
    <row r="3172" spans="1:7" x14ac:dyDescent="0.25">
      <c r="A3172" s="10" t="s">
        <v>374</v>
      </c>
      <c r="B3172" s="10" t="s">
        <v>746</v>
      </c>
      <c r="C3172" t="str">
        <f>Table13[[#This Row],[Manufacturer]]&amp;" "&amp;Table13[[#This Row],[Model]]</f>
        <v>Tohnichi 4200CL2 N</v>
      </c>
      <c r="D3172" s="1">
        <v>3</v>
      </c>
      <c r="E3172" s="1" t="s">
        <v>169</v>
      </c>
      <c r="F3172" s="38">
        <v>420</v>
      </c>
      <c r="G3172" t="s">
        <v>184</v>
      </c>
    </row>
    <row r="3173" spans="1:7" x14ac:dyDescent="0.25">
      <c r="A3173" s="10" t="s">
        <v>374</v>
      </c>
      <c r="B3173" s="10" t="s">
        <v>745</v>
      </c>
      <c r="C3173" t="str">
        <f>Table13[[#This Row],[Manufacturer]]&amp;" "&amp;Table13[[#This Row],[Model]]</f>
        <v>Tohnichi 4200CL2-A</v>
      </c>
      <c r="D3173" s="1">
        <v>3</v>
      </c>
      <c r="E3173" s="1" t="s">
        <v>169</v>
      </c>
      <c r="F3173" s="38">
        <v>300</v>
      </c>
      <c r="G3173" t="s">
        <v>166</v>
      </c>
    </row>
    <row r="3174" spans="1:7" x14ac:dyDescent="0.25">
      <c r="A3174" s="10" t="s">
        <v>374</v>
      </c>
      <c r="B3174" s="10" t="s">
        <v>744</v>
      </c>
      <c r="C3174" t="str">
        <f>Table13[[#This Row],[Manufacturer]]&amp;" "&amp;Table13[[#This Row],[Model]]</f>
        <v>Tohnichi 4200CL-A</v>
      </c>
      <c r="D3174" s="1">
        <v>3</v>
      </c>
      <c r="E3174" s="1" t="s">
        <v>169</v>
      </c>
      <c r="F3174" s="38">
        <v>300</v>
      </c>
      <c r="G3174" t="s">
        <v>166</v>
      </c>
    </row>
    <row r="3175" spans="1:7" x14ac:dyDescent="0.25">
      <c r="A3175" s="10" t="s">
        <v>374</v>
      </c>
      <c r="B3175" s="10" t="s">
        <v>743</v>
      </c>
      <c r="C3175" t="str">
        <f>Table13[[#This Row],[Manufacturer]]&amp;" "&amp;Table13[[#This Row],[Model]]</f>
        <v>Tohnichi 4200CSP</v>
      </c>
      <c r="D3175" s="1">
        <v>3</v>
      </c>
      <c r="E3175" s="1" t="s">
        <v>169</v>
      </c>
      <c r="F3175" s="38">
        <v>3600</v>
      </c>
      <c r="G3175" t="s">
        <v>164</v>
      </c>
    </row>
    <row r="3176" spans="1:7" x14ac:dyDescent="0.25">
      <c r="A3176" s="10" t="s">
        <v>374</v>
      </c>
      <c r="B3176" s="10" t="s">
        <v>742</v>
      </c>
      <c r="C3176" t="str">
        <f>Table13[[#This Row],[Manufacturer]]&amp;" "&amp;Table13[[#This Row],[Model]]</f>
        <v>Tohnichi 4200CSP2</v>
      </c>
      <c r="D3176" s="1">
        <v>3</v>
      </c>
      <c r="E3176" s="1" t="s">
        <v>169</v>
      </c>
      <c r="F3176" s="38">
        <v>420</v>
      </c>
      <c r="G3176" t="s">
        <v>184</v>
      </c>
    </row>
    <row r="3177" spans="1:7" x14ac:dyDescent="0.25">
      <c r="A3177" s="10" t="s">
        <v>374</v>
      </c>
      <c r="B3177" s="10" t="s">
        <v>741</v>
      </c>
      <c r="C3177" t="str">
        <f>Table13[[#This Row],[Manufacturer]]&amp;" "&amp;Table13[[#This Row],[Model]]</f>
        <v>Tohnichi 4200QL2</v>
      </c>
      <c r="D3177" s="1">
        <v>3</v>
      </c>
      <c r="E3177" s="1" t="s">
        <v>169</v>
      </c>
      <c r="F3177" s="38">
        <v>42</v>
      </c>
      <c r="G3177" t="s">
        <v>258</v>
      </c>
    </row>
    <row r="3178" spans="1:7" x14ac:dyDescent="0.25">
      <c r="A3178" s="10" t="s">
        <v>374</v>
      </c>
      <c r="B3178" s="10" t="s">
        <v>740</v>
      </c>
      <c r="C3178" t="str">
        <f>Table13[[#This Row],[Manufacturer]]&amp;" "&amp;Table13[[#This Row],[Model]]</f>
        <v>Tohnichi 4200QL2 N</v>
      </c>
      <c r="D3178" s="1">
        <v>3</v>
      </c>
      <c r="E3178" s="1" t="s">
        <v>169</v>
      </c>
      <c r="F3178" s="38">
        <v>420</v>
      </c>
      <c r="G3178" t="s">
        <v>184</v>
      </c>
    </row>
    <row r="3179" spans="1:7" x14ac:dyDescent="0.25">
      <c r="A3179" s="10" t="s">
        <v>374</v>
      </c>
      <c r="B3179" s="10" t="s">
        <v>739</v>
      </c>
      <c r="C3179" t="str">
        <f>Table13[[#This Row],[Manufacturer]]&amp;" "&amp;Table13[[#This Row],[Model]]</f>
        <v>Tohnichi 4200QSP</v>
      </c>
      <c r="D3179" s="1">
        <v>3</v>
      </c>
      <c r="E3179" s="1" t="s">
        <v>169</v>
      </c>
      <c r="F3179" s="38">
        <v>3600</v>
      </c>
      <c r="G3179" t="s">
        <v>164</v>
      </c>
    </row>
    <row r="3180" spans="1:7" x14ac:dyDescent="0.25">
      <c r="A3180" s="10" t="s">
        <v>374</v>
      </c>
      <c r="B3180" s="10" t="s">
        <v>738</v>
      </c>
      <c r="C3180" t="str">
        <f>Table13[[#This Row],[Manufacturer]]&amp;" "&amp;Table13[[#This Row],[Model]]</f>
        <v>Tohnichi 4200QSP2</v>
      </c>
      <c r="D3180" s="1">
        <v>3</v>
      </c>
      <c r="E3180" s="1" t="s">
        <v>169</v>
      </c>
      <c r="F3180" s="38">
        <v>420</v>
      </c>
      <c r="G3180" t="s">
        <v>184</v>
      </c>
    </row>
    <row r="3181" spans="1:7" x14ac:dyDescent="0.25">
      <c r="A3181" s="10" t="s">
        <v>374</v>
      </c>
      <c r="B3181" s="10" t="s">
        <v>737</v>
      </c>
      <c r="C3181" t="str">
        <f>Table13[[#This Row],[Manufacturer]]&amp;" "&amp;Table13[[#This Row],[Model]]</f>
        <v>Tohnichi 450CL</v>
      </c>
      <c r="D3181" s="1">
        <v>3</v>
      </c>
      <c r="E3181" s="1" t="s">
        <v>169</v>
      </c>
      <c r="F3181" s="38">
        <v>450</v>
      </c>
      <c r="G3181" t="s">
        <v>418</v>
      </c>
    </row>
    <row r="3182" spans="1:7" x14ac:dyDescent="0.25">
      <c r="A3182" s="10" t="s">
        <v>374</v>
      </c>
      <c r="B3182" s="10" t="s">
        <v>736</v>
      </c>
      <c r="C3182" t="str">
        <f>Table13[[#This Row],[Manufacturer]]&amp;" "&amp;Table13[[#This Row],[Model]]</f>
        <v>Tohnichi 450CL N</v>
      </c>
      <c r="D3182" s="1">
        <v>3</v>
      </c>
      <c r="E3182" s="1" t="s">
        <v>169</v>
      </c>
      <c r="F3182" s="38">
        <v>45</v>
      </c>
      <c r="G3182" t="s">
        <v>184</v>
      </c>
    </row>
    <row r="3183" spans="1:7" x14ac:dyDescent="0.25">
      <c r="A3183" s="10" t="s">
        <v>374</v>
      </c>
      <c r="B3183" s="10" t="s">
        <v>735</v>
      </c>
      <c r="C3183" t="str">
        <f>Table13[[#This Row],[Manufacturer]]&amp;" "&amp;Table13[[#This Row],[Model]]</f>
        <v>Tohnichi 450CL3</v>
      </c>
      <c r="D3183" s="1">
        <v>3</v>
      </c>
      <c r="E3183" s="1" t="s">
        <v>169</v>
      </c>
      <c r="F3183" s="38">
        <v>500</v>
      </c>
      <c r="G3183" t="s">
        <v>418</v>
      </c>
    </row>
    <row r="3184" spans="1:7" x14ac:dyDescent="0.25">
      <c r="A3184" s="10" t="s">
        <v>374</v>
      </c>
      <c r="B3184" s="10" t="s">
        <v>734</v>
      </c>
      <c r="C3184" t="str">
        <f>Table13[[#This Row],[Manufacturer]]&amp;" "&amp;Table13[[#This Row],[Model]]</f>
        <v>Tohnichi 450CL3-A</v>
      </c>
      <c r="D3184" s="1">
        <v>3</v>
      </c>
      <c r="E3184" s="1" t="s">
        <v>169</v>
      </c>
      <c r="F3184" s="38">
        <v>400</v>
      </c>
      <c r="G3184" t="s">
        <v>164</v>
      </c>
    </row>
    <row r="3185" spans="1:7" x14ac:dyDescent="0.25">
      <c r="A3185" s="10" t="s">
        <v>374</v>
      </c>
      <c r="B3185" s="10" t="s">
        <v>733</v>
      </c>
      <c r="C3185" t="str">
        <f>Table13[[#This Row],[Manufacturer]]&amp;" "&amp;Table13[[#This Row],[Model]]</f>
        <v>Tohnichi 450CL-A</v>
      </c>
      <c r="D3185" s="1">
        <v>3</v>
      </c>
      <c r="E3185" s="1" t="s">
        <v>169</v>
      </c>
      <c r="F3185" s="38">
        <v>400</v>
      </c>
      <c r="G3185" t="s">
        <v>164</v>
      </c>
    </row>
    <row r="3186" spans="1:7" x14ac:dyDescent="0.25">
      <c r="A3186" s="10" t="s">
        <v>374</v>
      </c>
      <c r="B3186" s="10" t="s">
        <v>732</v>
      </c>
      <c r="C3186" t="str">
        <f>Table13[[#This Row],[Manufacturer]]&amp;" "&amp;Table13[[#This Row],[Model]]</f>
        <v>Tohnichi 450CL-MH</v>
      </c>
      <c r="D3186" s="1">
        <v>3</v>
      </c>
      <c r="E3186" s="1" t="s">
        <v>169</v>
      </c>
      <c r="F3186" s="38">
        <v>500</v>
      </c>
      <c r="G3186" t="s">
        <v>418</v>
      </c>
    </row>
    <row r="3187" spans="1:7" x14ac:dyDescent="0.25">
      <c r="A3187" s="10" t="s">
        <v>374</v>
      </c>
      <c r="B3187" s="10" t="s">
        <v>731</v>
      </c>
      <c r="C3187" t="str">
        <f>Table13[[#This Row],[Manufacturer]]&amp;" "&amp;Table13[[#This Row],[Model]]</f>
        <v>Tohnichi 450CSP</v>
      </c>
      <c r="D3187" s="1">
        <v>3</v>
      </c>
      <c r="E3187" s="1" t="s">
        <v>169</v>
      </c>
      <c r="F3187" s="38">
        <v>400</v>
      </c>
      <c r="G3187" t="s">
        <v>164</v>
      </c>
    </row>
    <row r="3188" spans="1:7" x14ac:dyDescent="0.25">
      <c r="A3188" s="10" t="s">
        <v>374</v>
      </c>
      <c r="B3188" s="10" t="s">
        <v>730</v>
      </c>
      <c r="C3188" t="str">
        <f>Table13[[#This Row],[Manufacturer]]&amp;" "&amp;Table13[[#This Row],[Model]]</f>
        <v>Tohnichi 450CSP2</v>
      </c>
      <c r="D3188" s="1">
        <v>3</v>
      </c>
      <c r="E3188" s="1" t="s">
        <v>169</v>
      </c>
      <c r="F3188" s="38">
        <v>45</v>
      </c>
      <c r="G3188" t="s">
        <v>184</v>
      </c>
    </row>
    <row r="3189" spans="1:7" x14ac:dyDescent="0.25">
      <c r="A3189" s="10" t="s">
        <v>374</v>
      </c>
      <c r="B3189" s="10" t="s">
        <v>729</v>
      </c>
      <c r="C3189" t="str">
        <f>Table13[[#This Row],[Manufacturer]]&amp;" "&amp;Table13[[#This Row],[Model]]</f>
        <v>Tohnichi 450PCL</v>
      </c>
      <c r="D3189" s="1">
        <v>3</v>
      </c>
      <c r="E3189" s="1" t="s">
        <v>169</v>
      </c>
      <c r="F3189" s="38">
        <v>450</v>
      </c>
      <c r="G3189" t="s">
        <v>418</v>
      </c>
    </row>
    <row r="3190" spans="1:7" x14ac:dyDescent="0.25">
      <c r="A3190" s="10" t="s">
        <v>374</v>
      </c>
      <c r="B3190" s="10" t="s">
        <v>728</v>
      </c>
      <c r="C3190" t="str">
        <f>Table13[[#This Row],[Manufacturer]]&amp;" "&amp;Table13[[#This Row],[Model]]</f>
        <v>Tohnichi 450PCL N</v>
      </c>
      <c r="D3190" s="1">
        <v>3</v>
      </c>
      <c r="E3190" s="1" t="s">
        <v>169</v>
      </c>
      <c r="F3190" s="38">
        <v>45</v>
      </c>
      <c r="G3190" t="s">
        <v>184</v>
      </c>
    </row>
    <row r="3191" spans="1:7" x14ac:dyDescent="0.25">
      <c r="A3191" s="10" t="s">
        <v>374</v>
      </c>
      <c r="B3191" s="10" t="s">
        <v>727</v>
      </c>
      <c r="C3191" t="str">
        <f>Table13[[#This Row],[Manufacturer]]&amp;" "&amp;Table13[[#This Row],[Model]]</f>
        <v>Tohnichi 450PCLLS</v>
      </c>
      <c r="D3191" s="1">
        <v>3</v>
      </c>
      <c r="E3191" s="1" t="s">
        <v>169</v>
      </c>
      <c r="F3191" s="38">
        <v>450</v>
      </c>
      <c r="G3191" t="s">
        <v>418</v>
      </c>
    </row>
    <row r="3192" spans="1:7" x14ac:dyDescent="0.25">
      <c r="A3192" s="10" t="s">
        <v>374</v>
      </c>
      <c r="B3192" s="10" t="s">
        <v>726</v>
      </c>
      <c r="C3192" t="str">
        <f>Table13[[#This Row],[Manufacturer]]&amp;" "&amp;Table13[[#This Row],[Model]]</f>
        <v>Tohnichi 450PCLLS N</v>
      </c>
      <c r="D3192" s="1">
        <v>3</v>
      </c>
      <c r="E3192" s="1" t="s">
        <v>169</v>
      </c>
      <c r="F3192" s="38">
        <v>45</v>
      </c>
      <c r="G3192" t="s">
        <v>184</v>
      </c>
    </row>
    <row r="3193" spans="1:7" x14ac:dyDescent="0.25">
      <c r="A3193" s="10" t="s">
        <v>374</v>
      </c>
      <c r="B3193" s="10" t="s">
        <v>725</v>
      </c>
      <c r="C3193" t="str">
        <f>Table13[[#This Row],[Manufacturer]]&amp;" "&amp;Table13[[#This Row],[Model]]</f>
        <v>Tohnichi 450PQL</v>
      </c>
      <c r="D3193" s="1">
        <v>3</v>
      </c>
      <c r="E3193" s="1" t="s">
        <v>169</v>
      </c>
      <c r="F3193" s="38">
        <v>450</v>
      </c>
      <c r="G3193" t="s">
        <v>418</v>
      </c>
    </row>
    <row r="3194" spans="1:7" x14ac:dyDescent="0.25">
      <c r="A3194" s="10" t="s">
        <v>374</v>
      </c>
      <c r="B3194" s="10" t="s">
        <v>724</v>
      </c>
      <c r="C3194" t="str">
        <f>Table13[[#This Row],[Manufacturer]]&amp;" "&amp;Table13[[#This Row],[Model]]</f>
        <v>Tohnichi 450PQL N</v>
      </c>
      <c r="D3194" s="1">
        <v>3</v>
      </c>
      <c r="E3194" s="1" t="s">
        <v>169</v>
      </c>
      <c r="F3194" s="38">
        <v>45</v>
      </c>
      <c r="G3194" t="s">
        <v>184</v>
      </c>
    </row>
    <row r="3195" spans="1:7" x14ac:dyDescent="0.25">
      <c r="A3195" s="10" t="s">
        <v>374</v>
      </c>
      <c r="B3195" s="10" t="s">
        <v>723</v>
      </c>
      <c r="C3195" t="str">
        <f>Table13[[#This Row],[Manufacturer]]&amp;" "&amp;Table13[[#This Row],[Model]]</f>
        <v>Tohnichi 450PQL-A</v>
      </c>
      <c r="D3195" s="1">
        <v>3</v>
      </c>
      <c r="E3195" s="1" t="s">
        <v>169</v>
      </c>
      <c r="F3195" s="38">
        <v>400</v>
      </c>
      <c r="G3195" t="s">
        <v>164</v>
      </c>
    </row>
    <row r="3196" spans="1:7" x14ac:dyDescent="0.25">
      <c r="A3196" s="10" t="s">
        <v>374</v>
      </c>
      <c r="B3196" s="10" t="s">
        <v>722</v>
      </c>
      <c r="C3196" t="str">
        <f>Table13[[#This Row],[Manufacturer]]&amp;" "&amp;Table13[[#This Row],[Model]]</f>
        <v>Tohnichi 450QL</v>
      </c>
      <c r="D3196" s="1">
        <v>3</v>
      </c>
      <c r="E3196" s="1" t="s">
        <v>169</v>
      </c>
      <c r="F3196" s="38">
        <v>450</v>
      </c>
      <c r="G3196" t="s">
        <v>418</v>
      </c>
    </row>
    <row r="3197" spans="1:7" x14ac:dyDescent="0.25">
      <c r="A3197" s="10" t="s">
        <v>374</v>
      </c>
      <c r="B3197" s="10" t="s">
        <v>721</v>
      </c>
      <c r="C3197" t="str">
        <f>Table13[[#This Row],[Manufacturer]]&amp;" "&amp;Table13[[#This Row],[Model]]</f>
        <v>Tohnichi 450QL N</v>
      </c>
      <c r="D3197" s="1">
        <v>3</v>
      </c>
      <c r="E3197" s="1" t="s">
        <v>169</v>
      </c>
      <c r="F3197" s="38">
        <v>45</v>
      </c>
      <c r="G3197" t="s">
        <v>184</v>
      </c>
    </row>
    <row r="3198" spans="1:7" x14ac:dyDescent="0.25">
      <c r="A3198" s="10" t="s">
        <v>374</v>
      </c>
      <c r="B3198" s="10" t="s">
        <v>720</v>
      </c>
      <c r="C3198" t="str">
        <f>Table13[[#This Row],[Manufacturer]]&amp;" "&amp;Table13[[#This Row],[Model]]</f>
        <v>Tohnichi 450QL3</v>
      </c>
      <c r="D3198" s="1">
        <v>3</v>
      </c>
      <c r="E3198" s="1" t="s">
        <v>169</v>
      </c>
      <c r="F3198" s="38">
        <v>500</v>
      </c>
      <c r="G3198" t="s">
        <v>418</v>
      </c>
    </row>
    <row r="3199" spans="1:7" x14ac:dyDescent="0.25">
      <c r="A3199" s="10" t="s">
        <v>374</v>
      </c>
      <c r="B3199" s="10" t="s">
        <v>719</v>
      </c>
      <c r="C3199" t="str">
        <f>Table13[[#This Row],[Manufacturer]]&amp;" "&amp;Table13[[#This Row],[Model]]</f>
        <v>Tohnichi 450QL-MH</v>
      </c>
      <c r="D3199" s="1">
        <v>3</v>
      </c>
      <c r="E3199" s="1" t="s">
        <v>169</v>
      </c>
      <c r="F3199" s="38">
        <v>500</v>
      </c>
      <c r="G3199" t="s">
        <v>418</v>
      </c>
    </row>
    <row r="3200" spans="1:7" x14ac:dyDescent="0.25">
      <c r="A3200" s="10" t="s">
        <v>374</v>
      </c>
      <c r="B3200" s="10" t="s">
        <v>718</v>
      </c>
      <c r="C3200" t="str">
        <f>Table13[[#This Row],[Manufacturer]]&amp;" "&amp;Table13[[#This Row],[Model]]</f>
        <v>Tohnichi 450QSP</v>
      </c>
      <c r="D3200" s="1">
        <v>3</v>
      </c>
      <c r="E3200" s="1" t="s">
        <v>169</v>
      </c>
      <c r="F3200" s="38">
        <v>400</v>
      </c>
      <c r="G3200" t="s">
        <v>164</v>
      </c>
    </row>
    <row r="3201" spans="1:7" x14ac:dyDescent="0.25">
      <c r="A3201" s="10" t="s">
        <v>374</v>
      </c>
      <c r="B3201" s="10" t="s">
        <v>717</v>
      </c>
      <c r="C3201" t="str">
        <f>Table13[[#This Row],[Manufacturer]]&amp;" "&amp;Table13[[#This Row],[Model]]</f>
        <v>Tohnichi 450QSP2</v>
      </c>
      <c r="D3201" s="1">
        <v>3</v>
      </c>
      <c r="E3201" s="1" t="s">
        <v>169</v>
      </c>
      <c r="F3201" s="38">
        <v>45</v>
      </c>
      <c r="G3201" t="s">
        <v>184</v>
      </c>
    </row>
    <row r="3202" spans="1:7" x14ac:dyDescent="0.25">
      <c r="A3202" s="10" t="s">
        <v>374</v>
      </c>
      <c r="B3202" s="10" t="s">
        <v>716</v>
      </c>
      <c r="C3202" t="str">
        <f>Table13[[#This Row],[Manufacturer]]&amp;" "&amp;Table13[[#This Row],[Model]]</f>
        <v>Tohnichi 500CL</v>
      </c>
      <c r="D3202" s="1">
        <v>3</v>
      </c>
      <c r="E3202" s="1" t="s">
        <v>169</v>
      </c>
      <c r="F3202" s="38">
        <v>500</v>
      </c>
      <c r="G3202" t="s">
        <v>418</v>
      </c>
    </row>
    <row r="3203" spans="1:7" x14ac:dyDescent="0.25">
      <c r="A3203" s="10" t="s">
        <v>374</v>
      </c>
      <c r="B3203" s="10" t="s">
        <v>715</v>
      </c>
      <c r="C3203" t="str">
        <f>Table13[[#This Row],[Manufacturer]]&amp;" "&amp;Table13[[#This Row],[Model]]</f>
        <v>Tohnichi 500CL N</v>
      </c>
      <c r="D3203" s="1">
        <v>3</v>
      </c>
      <c r="E3203" s="1" t="s">
        <v>169</v>
      </c>
      <c r="F3203" s="38">
        <v>50</v>
      </c>
      <c r="G3203" t="s">
        <v>184</v>
      </c>
    </row>
    <row r="3204" spans="1:7" x14ac:dyDescent="0.25">
      <c r="A3204" s="10" t="s">
        <v>374</v>
      </c>
      <c r="B3204" s="10" t="s">
        <v>714</v>
      </c>
      <c r="C3204" t="str">
        <f>Table13[[#This Row],[Manufacturer]]&amp;" "&amp;Table13[[#This Row],[Model]]</f>
        <v>Tohnichi 500CL3</v>
      </c>
      <c r="D3204" s="1">
        <v>3</v>
      </c>
      <c r="E3204" s="1" t="s">
        <v>169</v>
      </c>
      <c r="F3204" s="38">
        <v>500</v>
      </c>
      <c r="G3204" t="s">
        <v>418</v>
      </c>
    </row>
    <row r="3205" spans="1:7" x14ac:dyDescent="0.25">
      <c r="A3205" s="10" t="s">
        <v>374</v>
      </c>
      <c r="B3205" s="10" t="s">
        <v>713</v>
      </c>
      <c r="C3205" t="str">
        <f>Table13[[#This Row],[Manufacturer]]&amp;" "&amp;Table13[[#This Row],[Model]]</f>
        <v>Tohnichi 500CL3-A</v>
      </c>
      <c r="D3205" s="1">
        <v>3</v>
      </c>
      <c r="E3205" s="1" t="s">
        <v>169</v>
      </c>
      <c r="F3205" s="38">
        <v>450</v>
      </c>
      <c r="G3205" t="s">
        <v>164</v>
      </c>
    </row>
    <row r="3206" spans="1:7" x14ac:dyDescent="0.25">
      <c r="A3206" s="10" t="s">
        <v>374</v>
      </c>
      <c r="B3206" s="10" t="s">
        <v>712</v>
      </c>
      <c r="C3206" t="str">
        <f>Table13[[#This Row],[Manufacturer]]&amp;" "&amp;Table13[[#This Row],[Model]]</f>
        <v>Tohnichi 500CL-A</v>
      </c>
      <c r="D3206" s="1">
        <v>3</v>
      </c>
      <c r="E3206" s="1" t="s">
        <v>169</v>
      </c>
      <c r="F3206" s="38">
        <v>450</v>
      </c>
      <c r="G3206" t="s">
        <v>164</v>
      </c>
    </row>
    <row r="3207" spans="1:7" x14ac:dyDescent="0.25">
      <c r="A3207" s="10" t="s">
        <v>374</v>
      </c>
      <c r="B3207" s="10" t="s">
        <v>711</v>
      </c>
      <c r="C3207" t="str">
        <f>Table13[[#This Row],[Manufacturer]]&amp;" "&amp;Table13[[#This Row],[Model]]</f>
        <v>Tohnichi 500CL-MH</v>
      </c>
      <c r="D3207" s="1">
        <v>3</v>
      </c>
      <c r="E3207" s="1" t="s">
        <v>169</v>
      </c>
      <c r="F3207" s="38">
        <v>500</v>
      </c>
      <c r="G3207" t="s">
        <v>418</v>
      </c>
    </row>
    <row r="3208" spans="1:7" x14ac:dyDescent="0.25">
      <c r="A3208" s="10" t="s">
        <v>374</v>
      </c>
      <c r="B3208" s="10" t="s">
        <v>710</v>
      </c>
      <c r="C3208" t="str">
        <f>Table13[[#This Row],[Manufacturer]]&amp;" "&amp;Table13[[#This Row],[Model]]</f>
        <v>Tohnichi 500CSP</v>
      </c>
      <c r="D3208" s="1">
        <v>3</v>
      </c>
      <c r="E3208" s="1" t="s">
        <v>169</v>
      </c>
      <c r="F3208" s="38">
        <v>450</v>
      </c>
      <c r="G3208" t="s">
        <v>164</v>
      </c>
    </row>
    <row r="3209" spans="1:7" x14ac:dyDescent="0.25">
      <c r="A3209" s="10" t="s">
        <v>374</v>
      </c>
      <c r="B3209" s="10" t="s">
        <v>709</v>
      </c>
      <c r="C3209" t="str">
        <f>Table13[[#This Row],[Manufacturer]]&amp;" "&amp;Table13[[#This Row],[Model]]</f>
        <v>Tohnichi 500CSP2</v>
      </c>
      <c r="D3209" s="1">
        <v>3</v>
      </c>
      <c r="E3209" s="1" t="s">
        <v>169</v>
      </c>
      <c r="F3209" s="38">
        <v>50</v>
      </c>
      <c r="G3209" t="s">
        <v>184</v>
      </c>
    </row>
    <row r="3210" spans="1:7" x14ac:dyDescent="0.25">
      <c r="A3210" s="10" t="s">
        <v>374</v>
      </c>
      <c r="B3210" s="10" t="s">
        <v>708</v>
      </c>
      <c r="C3210" t="str">
        <f>Table13[[#This Row],[Manufacturer]]&amp;" "&amp;Table13[[#This Row],[Model]]</f>
        <v>Tohnichi 500PCL</v>
      </c>
      <c r="D3210" s="1">
        <v>3</v>
      </c>
      <c r="E3210" s="1" t="s">
        <v>169</v>
      </c>
      <c r="F3210" s="38">
        <v>500</v>
      </c>
      <c r="G3210" t="s">
        <v>418</v>
      </c>
    </row>
    <row r="3211" spans="1:7" x14ac:dyDescent="0.25">
      <c r="A3211" s="10" t="s">
        <v>374</v>
      </c>
      <c r="B3211" s="10" t="s">
        <v>707</v>
      </c>
      <c r="C3211" t="str">
        <f>Table13[[#This Row],[Manufacturer]]&amp;" "&amp;Table13[[#This Row],[Model]]</f>
        <v>Tohnichi 500PCL N</v>
      </c>
      <c r="D3211" s="1">
        <v>3</v>
      </c>
      <c r="E3211" s="1" t="s">
        <v>169</v>
      </c>
      <c r="F3211" s="38">
        <v>50</v>
      </c>
      <c r="G3211" t="s">
        <v>184</v>
      </c>
    </row>
    <row r="3212" spans="1:7" x14ac:dyDescent="0.25">
      <c r="A3212" s="10" t="s">
        <v>374</v>
      </c>
      <c r="B3212" s="10" t="s">
        <v>706</v>
      </c>
      <c r="C3212" t="str">
        <f>Table13[[#This Row],[Manufacturer]]&amp;" "&amp;Table13[[#This Row],[Model]]</f>
        <v>Tohnichi 500PCLLS</v>
      </c>
      <c r="D3212" s="1">
        <v>3</v>
      </c>
      <c r="E3212" s="1" t="s">
        <v>169</v>
      </c>
      <c r="F3212" s="38">
        <v>500</v>
      </c>
      <c r="G3212" t="s">
        <v>418</v>
      </c>
    </row>
    <row r="3213" spans="1:7" x14ac:dyDescent="0.25">
      <c r="A3213" s="10" t="s">
        <v>374</v>
      </c>
      <c r="B3213" s="10" t="s">
        <v>705</v>
      </c>
      <c r="C3213" t="str">
        <f>Table13[[#This Row],[Manufacturer]]&amp;" "&amp;Table13[[#This Row],[Model]]</f>
        <v>Tohnichi 500PCLLS N</v>
      </c>
      <c r="D3213" s="1">
        <v>3</v>
      </c>
      <c r="E3213" s="1" t="s">
        <v>169</v>
      </c>
      <c r="F3213" s="38">
        <v>50</v>
      </c>
      <c r="G3213" t="s">
        <v>184</v>
      </c>
    </row>
    <row r="3214" spans="1:7" x14ac:dyDescent="0.25">
      <c r="A3214" s="10" t="s">
        <v>374</v>
      </c>
      <c r="B3214" s="10" t="s">
        <v>704</v>
      </c>
      <c r="C3214" t="str">
        <f>Table13[[#This Row],[Manufacturer]]&amp;" "&amp;Table13[[#This Row],[Model]]</f>
        <v>Tohnichi 50CL</v>
      </c>
      <c r="D3214" s="1">
        <v>3</v>
      </c>
      <c r="E3214" s="1" t="s">
        <v>169</v>
      </c>
      <c r="F3214" s="38">
        <v>50</v>
      </c>
      <c r="G3214" t="s">
        <v>418</v>
      </c>
    </row>
    <row r="3215" spans="1:7" x14ac:dyDescent="0.25">
      <c r="A3215" s="10" t="s">
        <v>374</v>
      </c>
      <c r="B3215" s="10" t="s">
        <v>703</v>
      </c>
      <c r="C3215" t="str">
        <f>Table13[[#This Row],[Manufacturer]]&amp;" "&amp;Table13[[#This Row],[Model]]</f>
        <v>Tohnichi 50CL-MH</v>
      </c>
      <c r="D3215" s="1">
        <v>3</v>
      </c>
      <c r="E3215" s="1" t="s">
        <v>169</v>
      </c>
      <c r="F3215" s="38">
        <v>50</v>
      </c>
      <c r="G3215" t="s">
        <v>418</v>
      </c>
    </row>
    <row r="3216" spans="1:7" x14ac:dyDescent="0.25">
      <c r="A3216" s="10" t="s">
        <v>374</v>
      </c>
      <c r="B3216" s="10" t="s">
        <v>702</v>
      </c>
      <c r="C3216" t="str">
        <f>Table13[[#This Row],[Manufacturer]]&amp;" "&amp;Table13[[#This Row],[Model]]</f>
        <v>Tohnichi 50QL-MH</v>
      </c>
      <c r="D3216" s="1">
        <v>3</v>
      </c>
      <c r="E3216" s="1" t="s">
        <v>169</v>
      </c>
      <c r="F3216" s="38">
        <v>50</v>
      </c>
      <c r="G3216" t="s">
        <v>418</v>
      </c>
    </row>
    <row r="3217" spans="1:7" x14ac:dyDescent="0.25">
      <c r="A3217" s="10" t="s">
        <v>374</v>
      </c>
      <c r="B3217" s="10" t="s">
        <v>701</v>
      </c>
      <c r="C3217" t="str">
        <f>Table13[[#This Row],[Manufacturer]]&amp;" "&amp;Table13[[#This Row],[Model]]</f>
        <v>Tohnichi 5500CLE</v>
      </c>
      <c r="D3217" s="1">
        <v>3</v>
      </c>
      <c r="E3217" s="1" t="s">
        <v>169</v>
      </c>
      <c r="F3217" s="38">
        <v>55</v>
      </c>
      <c r="G3217" t="s">
        <v>258</v>
      </c>
    </row>
    <row r="3218" spans="1:7" x14ac:dyDescent="0.25">
      <c r="A3218" s="10" t="s">
        <v>374</v>
      </c>
      <c r="B3218" s="10" t="s">
        <v>700</v>
      </c>
      <c r="C3218" t="str">
        <f>Table13[[#This Row],[Manufacturer]]&amp;" "&amp;Table13[[#This Row],[Model]]</f>
        <v>Tohnichi 5500CLE2</v>
      </c>
      <c r="D3218" s="1">
        <v>3</v>
      </c>
      <c r="E3218" s="1" t="s">
        <v>169</v>
      </c>
      <c r="F3218" s="38">
        <v>55</v>
      </c>
      <c r="G3218" t="s">
        <v>258</v>
      </c>
    </row>
    <row r="3219" spans="1:7" x14ac:dyDescent="0.25">
      <c r="A3219" s="10" t="s">
        <v>374</v>
      </c>
      <c r="B3219" s="10" t="s">
        <v>699</v>
      </c>
      <c r="C3219" t="str">
        <f>Table13[[#This Row],[Manufacturer]]&amp;" "&amp;Table13[[#This Row],[Model]]</f>
        <v>Tohnichi 5500CLE-A</v>
      </c>
      <c r="D3219" s="1">
        <v>3</v>
      </c>
      <c r="E3219" s="1" t="s">
        <v>169</v>
      </c>
      <c r="F3219" s="38">
        <v>400</v>
      </c>
      <c r="G3219" t="s">
        <v>166</v>
      </c>
    </row>
    <row r="3220" spans="1:7" x14ac:dyDescent="0.25">
      <c r="A3220" s="10" t="s">
        <v>374</v>
      </c>
      <c r="B3220" s="10" t="s">
        <v>698</v>
      </c>
      <c r="C3220" t="str">
        <f>Table13[[#This Row],[Manufacturer]]&amp;" "&amp;Table13[[#This Row],[Model]]</f>
        <v>Tohnichi 5500QLE</v>
      </c>
      <c r="D3220" s="1">
        <v>3</v>
      </c>
      <c r="E3220" s="1" t="s">
        <v>169</v>
      </c>
      <c r="F3220" s="38">
        <v>55</v>
      </c>
      <c r="G3220" t="s">
        <v>258</v>
      </c>
    </row>
    <row r="3221" spans="1:7" x14ac:dyDescent="0.25">
      <c r="A3221" s="10" t="s">
        <v>374</v>
      </c>
      <c r="B3221" s="10" t="s">
        <v>697</v>
      </c>
      <c r="C3221" t="str">
        <f>Table13[[#This Row],[Manufacturer]]&amp;" "&amp;Table13[[#This Row],[Model]]</f>
        <v>Tohnichi 5500QLE N</v>
      </c>
      <c r="D3221" s="1">
        <v>3</v>
      </c>
      <c r="E3221" s="1" t="s">
        <v>169</v>
      </c>
      <c r="F3221" s="38">
        <v>550</v>
      </c>
      <c r="G3221" t="s">
        <v>184</v>
      </c>
    </row>
    <row r="3222" spans="1:7" x14ac:dyDescent="0.25">
      <c r="A3222" s="10" t="s">
        <v>374</v>
      </c>
      <c r="B3222" s="10" t="s">
        <v>696</v>
      </c>
      <c r="C3222" t="str">
        <f>Table13[[#This Row],[Manufacturer]]&amp;" "&amp;Table13[[#This Row],[Model]]</f>
        <v>Tohnichi 60CL</v>
      </c>
      <c r="D3222" s="1">
        <v>3</v>
      </c>
      <c r="E3222" s="1" t="s">
        <v>169</v>
      </c>
      <c r="F3222" s="38">
        <v>60</v>
      </c>
      <c r="G3222" t="s">
        <v>418</v>
      </c>
    </row>
    <row r="3223" spans="1:7" x14ac:dyDescent="0.25">
      <c r="A3223" s="10" t="s">
        <v>374</v>
      </c>
      <c r="B3223" s="10" t="s">
        <v>695</v>
      </c>
      <c r="C3223" t="str">
        <f>Table13[[#This Row],[Manufacturer]]&amp;" "&amp;Table13[[#This Row],[Model]]</f>
        <v>Tohnichi 60CL N</v>
      </c>
      <c r="D3223" s="1">
        <v>3</v>
      </c>
      <c r="E3223" s="1" t="s">
        <v>169</v>
      </c>
      <c r="F3223" s="38">
        <v>6</v>
      </c>
      <c r="G3223" t="s">
        <v>184</v>
      </c>
    </row>
    <row r="3224" spans="1:7" x14ac:dyDescent="0.25">
      <c r="A3224" s="10" t="s">
        <v>374</v>
      </c>
      <c r="B3224" s="10" t="s">
        <v>694</v>
      </c>
      <c r="C3224" t="str">
        <f>Table13[[#This Row],[Manufacturer]]&amp;" "&amp;Table13[[#This Row],[Model]]</f>
        <v>Tohnichi 60CL4</v>
      </c>
      <c r="D3224" s="1">
        <v>3</v>
      </c>
      <c r="E3224" s="1" t="s">
        <v>169</v>
      </c>
      <c r="F3224" s="38">
        <v>100</v>
      </c>
      <c r="G3224" t="s">
        <v>418</v>
      </c>
    </row>
    <row r="3225" spans="1:7" x14ac:dyDescent="0.25">
      <c r="A3225" s="10" t="s">
        <v>374</v>
      </c>
      <c r="B3225" s="10" t="s">
        <v>693</v>
      </c>
      <c r="C3225" t="str">
        <f>Table13[[#This Row],[Manufacturer]]&amp;" "&amp;Table13[[#This Row],[Model]]</f>
        <v>Tohnichi 60CL4-A</v>
      </c>
      <c r="D3225" s="1">
        <v>3</v>
      </c>
      <c r="E3225" s="1" t="s">
        <v>169</v>
      </c>
      <c r="F3225" s="38">
        <v>50</v>
      </c>
      <c r="G3225" t="s">
        <v>164</v>
      </c>
    </row>
    <row r="3226" spans="1:7" x14ac:dyDescent="0.25">
      <c r="A3226" s="10" t="s">
        <v>374</v>
      </c>
      <c r="B3226" s="10" t="s">
        <v>692</v>
      </c>
      <c r="C3226" t="str">
        <f>Table13[[#This Row],[Manufacturer]]&amp;" "&amp;Table13[[#This Row],[Model]]</f>
        <v>Tohnichi 60CL-A</v>
      </c>
      <c r="D3226" s="1">
        <v>3</v>
      </c>
      <c r="E3226" s="1" t="s">
        <v>169</v>
      </c>
      <c r="F3226" s="38">
        <v>50</v>
      </c>
      <c r="G3226" t="s">
        <v>164</v>
      </c>
    </row>
    <row r="3227" spans="1:7" x14ac:dyDescent="0.25">
      <c r="A3227" s="10" t="s">
        <v>374</v>
      </c>
      <c r="B3227" s="10" t="s">
        <v>691</v>
      </c>
      <c r="C3227" t="str">
        <f>Table13[[#This Row],[Manufacturer]]&amp;" "&amp;Table13[[#This Row],[Model]]</f>
        <v>Tohnichi 60CSP</v>
      </c>
      <c r="D3227" s="1">
        <v>3</v>
      </c>
      <c r="E3227" s="1" t="s">
        <v>169</v>
      </c>
      <c r="F3227" s="38">
        <v>50</v>
      </c>
      <c r="G3227" t="s">
        <v>164</v>
      </c>
    </row>
    <row r="3228" spans="1:7" x14ac:dyDescent="0.25">
      <c r="A3228" s="10" t="s">
        <v>374</v>
      </c>
      <c r="B3228" s="10" t="s">
        <v>690</v>
      </c>
      <c r="C3228" t="str">
        <f>Table13[[#This Row],[Manufacturer]]&amp;" "&amp;Table13[[#This Row],[Model]]</f>
        <v>Tohnichi 60CSP2</v>
      </c>
      <c r="D3228" s="1">
        <v>3</v>
      </c>
      <c r="E3228" s="1" t="s">
        <v>169</v>
      </c>
      <c r="F3228" s="38">
        <v>6</v>
      </c>
      <c r="G3228" t="s">
        <v>184</v>
      </c>
    </row>
    <row r="3229" spans="1:7" x14ac:dyDescent="0.25">
      <c r="A3229" s="10" t="s">
        <v>374</v>
      </c>
      <c r="B3229" s="10" t="s">
        <v>689</v>
      </c>
      <c r="C3229" t="str">
        <f>Table13[[#This Row],[Manufacturer]]&amp;" "&amp;Table13[[#This Row],[Model]]</f>
        <v>Tohnichi 60QL</v>
      </c>
      <c r="D3229" s="1">
        <v>3</v>
      </c>
      <c r="E3229" s="1" t="s">
        <v>169</v>
      </c>
      <c r="F3229" s="38">
        <v>60</v>
      </c>
      <c r="G3229" t="s">
        <v>418</v>
      </c>
    </row>
    <row r="3230" spans="1:7" x14ac:dyDescent="0.25">
      <c r="A3230" s="10" t="s">
        <v>374</v>
      </c>
      <c r="B3230" s="10" t="s">
        <v>688</v>
      </c>
      <c r="C3230" t="str">
        <f>Table13[[#This Row],[Manufacturer]]&amp;" "&amp;Table13[[#This Row],[Model]]</f>
        <v>Tohnichi 60QL N</v>
      </c>
      <c r="D3230" s="1">
        <v>3</v>
      </c>
      <c r="E3230" s="1" t="s">
        <v>169</v>
      </c>
      <c r="F3230" s="38">
        <v>6</v>
      </c>
      <c r="G3230" t="s">
        <v>184</v>
      </c>
    </row>
    <row r="3231" spans="1:7" x14ac:dyDescent="0.25">
      <c r="A3231" s="10" t="s">
        <v>374</v>
      </c>
      <c r="B3231" s="10" t="s">
        <v>687</v>
      </c>
      <c r="C3231" t="str">
        <f>Table13[[#This Row],[Manufacturer]]&amp;" "&amp;Table13[[#This Row],[Model]]</f>
        <v>Tohnichi 60QL4</v>
      </c>
      <c r="D3231" s="1">
        <v>3</v>
      </c>
      <c r="E3231" s="1" t="s">
        <v>169</v>
      </c>
      <c r="F3231" s="38">
        <v>60</v>
      </c>
      <c r="G3231" t="s">
        <v>418</v>
      </c>
    </row>
    <row r="3232" spans="1:7" x14ac:dyDescent="0.25">
      <c r="A3232" s="10" t="s">
        <v>374</v>
      </c>
      <c r="B3232" s="10" t="s">
        <v>686</v>
      </c>
      <c r="C3232" t="str">
        <f>Table13[[#This Row],[Manufacturer]]&amp;" "&amp;Table13[[#This Row],[Model]]</f>
        <v>Tohnichi 60QSP</v>
      </c>
      <c r="D3232" s="1">
        <v>3</v>
      </c>
      <c r="E3232" s="1" t="s">
        <v>169</v>
      </c>
      <c r="F3232" s="38">
        <v>50</v>
      </c>
      <c r="G3232" t="s">
        <v>164</v>
      </c>
    </row>
    <row r="3233" spans="1:7" x14ac:dyDescent="0.25">
      <c r="A3233" s="10" t="s">
        <v>374</v>
      </c>
      <c r="B3233" s="10" t="s">
        <v>685</v>
      </c>
      <c r="C3233" t="str">
        <f>Table13[[#This Row],[Manufacturer]]&amp;" "&amp;Table13[[#This Row],[Model]]</f>
        <v>Tohnichi 60QSP2</v>
      </c>
      <c r="D3233" s="1">
        <v>3</v>
      </c>
      <c r="E3233" s="1" t="s">
        <v>169</v>
      </c>
      <c r="F3233" s="38">
        <v>6</v>
      </c>
      <c r="G3233" t="s">
        <v>184</v>
      </c>
    </row>
    <row r="3234" spans="1:7" x14ac:dyDescent="0.25">
      <c r="A3234" s="10" t="s">
        <v>374</v>
      </c>
      <c r="B3234" s="10" t="s">
        <v>684</v>
      </c>
      <c r="C3234" t="str">
        <f>Table13[[#This Row],[Manufacturer]]&amp;" "&amp;Table13[[#This Row],[Model]]</f>
        <v>Tohnichi 7500CLE</v>
      </c>
      <c r="D3234" s="1">
        <v>3</v>
      </c>
      <c r="E3234" s="1" t="s">
        <v>169</v>
      </c>
      <c r="F3234" s="38">
        <v>75</v>
      </c>
      <c r="G3234" t="s">
        <v>258</v>
      </c>
    </row>
    <row r="3235" spans="1:7" x14ac:dyDescent="0.25">
      <c r="A3235" s="10" t="s">
        <v>374</v>
      </c>
      <c r="B3235" s="10" t="s">
        <v>683</v>
      </c>
      <c r="C3235" t="str">
        <f>Table13[[#This Row],[Manufacturer]]&amp;" "&amp;Table13[[#This Row],[Model]]</f>
        <v>Tohnichi 7500CLE2</v>
      </c>
      <c r="D3235" s="1">
        <v>3</v>
      </c>
      <c r="E3235" s="1" t="s">
        <v>169</v>
      </c>
      <c r="F3235" s="38">
        <v>75</v>
      </c>
      <c r="G3235" t="s">
        <v>258</v>
      </c>
    </row>
    <row r="3236" spans="1:7" x14ac:dyDescent="0.25">
      <c r="A3236" s="10" t="s">
        <v>374</v>
      </c>
      <c r="B3236" s="10" t="s">
        <v>682</v>
      </c>
      <c r="C3236" t="str">
        <f>Table13[[#This Row],[Manufacturer]]&amp;" "&amp;Table13[[#This Row],[Model]]</f>
        <v>Tohnichi 7500CLE-A</v>
      </c>
      <c r="D3236" s="1">
        <v>3</v>
      </c>
      <c r="E3236" s="1" t="s">
        <v>169</v>
      </c>
      <c r="F3236" s="38">
        <v>550</v>
      </c>
      <c r="G3236" t="s">
        <v>166</v>
      </c>
    </row>
    <row r="3237" spans="1:7" x14ac:dyDescent="0.25">
      <c r="A3237" s="10" t="s">
        <v>374</v>
      </c>
      <c r="B3237" s="10" t="s">
        <v>681</v>
      </c>
      <c r="C3237" t="str">
        <f>Table13[[#This Row],[Manufacturer]]&amp;" "&amp;Table13[[#This Row],[Model]]</f>
        <v>Tohnichi 7500DQLE</v>
      </c>
      <c r="D3237" s="1">
        <v>3</v>
      </c>
      <c r="E3237" s="1">
        <v>3</v>
      </c>
      <c r="F3237" s="38">
        <v>75</v>
      </c>
      <c r="G3237" t="s">
        <v>258</v>
      </c>
    </row>
    <row r="3238" spans="1:7" x14ac:dyDescent="0.25">
      <c r="A3238" s="10" t="s">
        <v>374</v>
      </c>
      <c r="B3238" s="10" t="s">
        <v>680</v>
      </c>
      <c r="C3238" t="str">
        <f>Table13[[#This Row],[Manufacturer]]&amp;" "&amp;Table13[[#This Row],[Model]]</f>
        <v>Tohnichi 7500DQLE N</v>
      </c>
      <c r="D3238" s="1">
        <v>3</v>
      </c>
      <c r="E3238" s="1">
        <v>3</v>
      </c>
      <c r="F3238" s="38">
        <v>750</v>
      </c>
      <c r="G3238" t="s">
        <v>184</v>
      </c>
    </row>
    <row r="3239" spans="1:7" x14ac:dyDescent="0.25">
      <c r="A3239" s="10" t="s">
        <v>374</v>
      </c>
      <c r="B3239" s="10" t="s">
        <v>679</v>
      </c>
      <c r="C3239" t="str">
        <f>Table13[[#This Row],[Manufacturer]]&amp;" "&amp;Table13[[#This Row],[Model]]</f>
        <v>Tohnichi 7500QLE</v>
      </c>
      <c r="D3239" s="1">
        <v>3</v>
      </c>
      <c r="E3239" s="1" t="s">
        <v>169</v>
      </c>
      <c r="F3239" s="38">
        <v>75</v>
      </c>
      <c r="G3239" t="s">
        <v>258</v>
      </c>
    </row>
    <row r="3240" spans="1:7" x14ac:dyDescent="0.25">
      <c r="A3240" s="10" t="s">
        <v>374</v>
      </c>
      <c r="B3240" s="10" t="s">
        <v>678</v>
      </c>
      <c r="C3240" t="str">
        <f>Table13[[#This Row],[Manufacturer]]&amp;" "&amp;Table13[[#This Row],[Model]]</f>
        <v>Tohnichi 7500QLE N</v>
      </c>
      <c r="D3240" s="1">
        <v>3</v>
      </c>
      <c r="E3240" s="1" t="s">
        <v>169</v>
      </c>
      <c r="F3240" s="38">
        <v>750</v>
      </c>
      <c r="G3240" t="s">
        <v>184</v>
      </c>
    </row>
    <row r="3241" spans="1:7" x14ac:dyDescent="0.25">
      <c r="A3241" s="10" t="s">
        <v>374</v>
      </c>
      <c r="B3241" s="10" t="s">
        <v>677</v>
      </c>
      <c r="C3241" t="str">
        <f>Table13[[#This Row],[Manufacturer]]&amp;" "&amp;Table13[[#This Row],[Model]]</f>
        <v>Tohnichi 8500CLE</v>
      </c>
      <c r="D3241" s="1">
        <v>3</v>
      </c>
      <c r="E3241" s="1" t="s">
        <v>169</v>
      </c>
      <c r="F3241" s="38">
        <v>85</v>
      </c>
      <c r="G3241" t="s">
        <v>258</v>
      </c>
    </row>
    <row r="3242" spans="1:7" x14ac:dyDescent="0.25">
      <c r="A3242" s="10" t="s">
        <v>374</v>
      </c>
      <c r="B3242" s="10" t="s">
        <v>677</v>
      </c>
      <c r="C3242" t="str">
        <f>Table13[[#This Row],[Manufacturer]]&amp;" "&amp;Table13[[#This Row],[Model]]</f>
        <v>Tohnichi 8500CLE</v>
      </c>
      <c r="D3242" s="1">
        <v>3</v>
      </c>
      <c r="E3242" s="1" t="s">
        <v>169</v>
      </c>
      <c r="F3242" s="38">
        <v>85</v>
      </c>
      <c r="G3242" t="s">
        <v>258</v>
      </c>
    </row>
    <row r="3243" spans="1:7" x14ac:dyDescent="0.25">
      <c r="A3243" s="10" t="s">
        <v>374</v>
      </c>
      <c r="B3243" s="10" t="s">
        <v>676</v>
      </c>
      <c r="C3243" t="str">
        <f>Table13[[#This Row],[Manufacturer]]&amp;" "&amp;Table13[[#This Row],[Model]]</f>
        <v>Tohnichi 8500CLE N</v>
      </c>
      <c r="D3243" s="1">
        <v>3</v>
      </c>
      <c r="E3243" s="1" t="s">
        <v>169</v>
      </c>
      <c r="F3243" s="38">
        <v>850</v>
      </c>
      <c r="G3243" t="s">
        <v>184</v>
      </c>
    </row>
    <row r="3244" spans="1:7" x14ac:dyDescent="0.25">
      <c r="A3244" s="10" t="s">
        <v>374</v>
      </c>
      <c r="B3244" s="10" t="s">
        <v>675</v>
      </c>
      <c r="C3244" t="str">
        <f>Table13[[#This Row],[Manufacturer]]&amp;" "&amp;Table13[[#This Row],[Model]]</f>
        <v>Tohnichi 8500CLE2</v>
      </c>
      <c r="D3244" s="1">
        <v>3</v>
      </c>
      <c r="E3244" s="1" t="s">
        <v>169</v>
      </c>
      <c r="F3244" s="38">
        <v>85</v>
      </c>
      <c r="G3244" t="s">
        <v>258</v>
      </c>
    </row>
    <row r="3245" spans="1:7" x14ac:dyDescent="0.25">
      <c r="A3245" s="10" t="s">
        <v>374</v>
      </c>
      <c r="B3245" s="10" t="s">
        <v>674</v>
      </c>
      <c r="C3245" t="str">
        <f>Table13[[#This Row],[Manufacturer]]&amp;" "&amp;Table13[[#This Row],[Model]]</f>
        <v>Tohnichi 8500CLE-A</v>
      </c>
      <c r="D3245" s="1">
        <v>3</v>
      </c>
      <c r="E3245" s="1" t="s">
        <v>169</v>
      </c>
      <c r="F3245" s="38">
        <v>600</v>
      </c>
      <c r="G3245" t="s">
        <v>166</v>
      </c>
    </row>
    <row r="3246" spans="1:7" x14ac:dyDescent="0.25">
      <c r="A3246" s="10" t="s">
        <v>374</v>
      </c>
      <c r="B3246" s="10" t="s">
        <v>673</v>
      </c>
      <c r="C3246" t="str">
        <f>Table13[[#This Row],[Manufacturer]]&amp;" "&amp;Table13[[#This Row],[Model]]</f>
        <v>Tohnichi 900CL</v>
      </c>
      <c r="D3246" s="1">
        <v>3</v>
      </c>
      <c r="E3246" s="1" t="s">
        <v>169</v>
      </c>
      <c r="F3246" s="38">
        <v>900</v>
      </c>
      <c r="G3246" t="s">
        <v>418</v>
      </c>
    </row>
    <row r="3247" spans="1:7" x14ac:dyDescent="0.25">
      <c r="A3247" s="10" t="s">
        <v>374</v>
      </c>
      <c r="B3247" s="10" t="s">
        <v>672</v>
      </c>
      <c r="C3247" t="str">
        <f>Table13[[#This Row],[Manufacturer]]&amp;" "&amp;Table13[[#This Row],[Model]]</f>
        <v>Tohnichi 900CL N</v>
      </c>
      <c r="D3247" s="1">
        <v>3</v>
      </c>
      <c r="E3247" s="1" t="s">
        <v>169</v>
      </c>
      <c r="F3247" s="38">
        <v>90</v>
      </c>
      <c r="G3247" t="s">
        <v>184</v>
      </c>
    </row>
    <row r="3248" spans="1:7" x14ac:dyDescent="0.25">
      <c r="A3248" s="10" t="s">
        <v>374</v>
      </c>
      <c r="B3248" s="10" t="s">
        <v>671</v>
      </c>
      <c r="C3248" t="str">
        <f>Table13[[#This Row],[Manufacturer]]&amp;" "&amp;Table13[[#This Row],[Model]]</f>
        <v>Tohnichi 900CL3</v>
      </c>
      <c r="D3248" s="1">
        <v>3</v>
      </c>
      <c r="E3248" s="1" t="s">
        <v>169</v>
      </c>
      <c r="F3248" s="38">
        <v>1000</v>
      </c>
      <c r="G3248" t="s">
        <v>418</v>
      </c>
    </row>
    <row r="3249" spans="1:7" x14ac:dyDescent="0.25">
      <c r="A3249" s="10" t="s">
        <v>374</v>
      </c>
      <c r="B3249" s="10" t="s">
        <v>670</v>
      </c>
      <c r="C3249" t="str">
        <f>Table13[[#This Row],[Manufacturer]]&amp;" "&amp;Table13[[#This Row],[Model]]</f>
        <v>Tohnichi 900CL3-A</v>
      </c>
      <c r="D3249" s="1">
        <v>3</v>
      </c>
      <c r="E3249" s="1" t="s">
        <v>169</v>
      </c>
      <c r="F3249" s="38">
        <v>75</v>
      </c>
      <c r="G3249" t="s">
        <v>166</v>
      </c>
    </row>
    <row r="3250" spans="1:7" x14ac:dyDescent="0.25">
      <c r="A3250" s="10" t="s">
        <v>374</v>
      </c>
      <c r="B3250" s="10" t="s">
        <v>669</v>
      </c>
      <c r="C3250" t="str">
        <f>Table13[[#This Row],[Manufacturer]]&amp;" "&amp;Table13[[#This Row],[Model]]</f>
        <v>Tohnichi 900CL-A</v>
      </c>
      <c r="D3250" s="1">
        <v>3</v>
      </c>
      <c r="E3250" s="1" t="s">
        <v>169</v>
      </c>
      <c r="F3250" s="38">
        <v>65</v>
      </c>
      <c r="G3250" t="s">
        <v>166</v>
      </c>
    </row>
    <row r="3251" spans="1:7" x14ac:dyDescent="0.25">
      <c r="A3251" s="10" t="s">
        <v>374</v>
      </c>
      <c r="B3251" s="10" t="s">
        <v>668</v>
      </c>
      <c r="C3251" t="str">
        <f>Table13[[#This Row],[Manufacturer]]&amp;" "&amp;Table13[[#This Row],[Model]]</f>
        <v>Tohnichi 900CL-MH</v>
      </c>
      <c r="D3251" s="1">
        <v>3</v>
      </c>
      <c r="E3251" s="1" t="s">
        <v>169</v>
      </c>
      <c r="F3251" s="38">
        <v>1000</v>
      </c>
      <c r="G3251" t="s">
        <v>418</v>
      </c>
    </row>
    <row r="3252" spans="1:7" x14ac:dyDescent="0.25">
      <c r="A3252" s="10" t="s">
        <v>374</v>
      </c>
      <c r="B3252" s="10" t="s">
        <v>667</v>
      </c>
      <c r="C3252" t="str">
        <f>Table13[[#This Row],[Manufacturer]]&amp;" "&amp;Table13[[#This Row],[Model]]</f>
        <v>Tohnichi 900CSP</v>
      </c>
      <c r="D3252" s="1">
        <v>3</v>
      </c>
      <c r="E3252" s="1" t="s">
        <v>169</v>
      </c>
      <c r="F3252" s="38">
        <v>750</v>
      </c>
      <c r="G3252" t="s">
        <v>164</v>
      </c>
    </row>
    <row r="3253" spans="1:7" x14ac:dyDescent="0.25">
      <c r="A3253" s="10" t="s">
        <v>374</v>
      </c>
      <c r="B3253" s="10" t="s">
        <v>666</v>
      </c>
      <c r="C3253" t="str">
        <f>Table13[[#This Row],[Manufacturer]]&amp;" "&amp;Table13[[#This Row],[Model]]</f>
        <v>Tohnichi 900CSP2</v>
      </c>
      <c r="D3253" s="1">
        <v>3</v>
      </c>
      <c r="E3253" s="1" t="s">
        <v>169</v>
      </c>
      <c r="F3253" s="38">
        <v>90</v>
      </c>
      <c r="G3253" t="s">
        <v>184</v>
      </c>
    </row>
    <row r="3254" spans="1:7" x14ac:dyDescent="0.25">
      <c r="A3254" s="10" t="s">
        <v>374</v>
      </c>
      <c r="B3254" s="10" t="s">
        <v>665</v>
      </c>
      <c r="C3254" t="str">
        <f>Table13[[#This Row],[Manufacturer]]&amp;" "&amp;Table13[[#This Row],[Model]]</f>
        <v>Tohnichi 900PCL</v>
      </c>
      <c r="D3254" s="1">
        <v>3</v>
      </c>
      <c r="E3254" s="1" t="s">
        <v>169</v>
      </c>
      <c r="F3254" s="38">
        <v>900</v>
      </c>
      <c r="G3254" t="s">
        <v>418</v>
      </c>
    </row>
    <row r="3255" spans="1:7" x14ac:dyDescent="0.25">
      <c r="A3255" s="10" t="s">
        <v>374</v>
      </c>
      <c r="B3255" s="10" t="s">
        <v>664</v>
      </c>
      <c r="C3255" t="str">
        <f>Table13[[#This Row],[Manufacturer]]&amp;" "&amp;Table13[[#This Row],[Model]]</f>
        <v>Tohnichi 900PCL N</v>
      </c>
      <c r="D3255" s="1">
        <v>3</v>
      </c>
      <c r="E3255" s="1" t="s">
        <v>169</v>
      </c>
      <c r="F3255" s="38">
        <v>90</v>
      </c>
      <c r="G3255" t="s">
        <v>184</v>
      </c>
    </row>
    <row r="3256" spans="1:7" x14ac:dyDescent="0.25">
      <c r="A3256" s="10" t="s">
        <v>374</v>
      </c>
      <c r="B3256" s="10" t="s">
        <v>663</v>
      </c>
      <c r="C3256" t="str">
        <f>Table13[[#This Row],[Manufacturer]]&amp;" "&amp;Table13[[#This Row],[Model]]</f>
        <v>Tohnichi 900PCLLS</v>
      </c>
      <c r="D3256" s="1">
        <v>3</v>
      </c>
      <c r="E3256" s="1" t="s">
        <v>169</v>
      </c>
      <c r="F3256" s="38">
        <v>900</v>
      </c>
      <c r="G3256" t="s">
        <v>418</v>
      </c>
    </row>
    <row r="3257" spans="1:7" x14ac:dyDescent="0.25">
      <c r="A3257" s="10" t="s">
        <v>374</v>
      </c>
      <c r="B3257" s="10" t="s">
        <v>662</v>
      </c>
      <c r="C3257" t="str">
        <f>Table13[[#This Row],[Manufacturer]]&amp;" "&amp;Table13[[#This Row],[Model]]</f>
        <v>Tohnichi 900PCLLS N</v>
      </c>
      <c r="D3257" s="1">
        <v>3</v>
      </c>
      <c r="E3257" s="1" t="s">
        <v>169</v>
      </c>
      <c r="F3257" s="38">
        <v>90</v>
      </c>
      <c r="G3257" t="s">
        <v>184</v>
      </c>
    </row>
    <row r="3258" spans="1:7" x14ac:dyDescent="0.25">
      <c r="A3258" s="10" t="s">
        <v>374</v>
      </c>
      <c r="B3258" s="10" t="s">
        <v>661</v>
      </c>
      <c r="C3258" t="str">
        <f>Table13[[#This Row],[Manufacturer]]&amp;" "&amp;Table13[[#This Row],[Model]]</f>
        <v>Tohnichi 900PQL</v>
      </c>
      <c r="D3258" s="1">
        <v>3</v>
      </c>
      <c r="E3258" s="1" t="s">
        <v>169</v>
      </c>
      <c r="F3258" s="38">
        <v>900</v>
      </c>
      <c r="G3258" t="s">
        <v>418</v>
      </c>
    </row>
    <row r="3259" spans="1:7" x14ac:dyDescent="0.25">
      <c r="A3259" s="10" t="s">
        <v>374</v>
      </c>
      <c r="B3259" s="10" t="s">
        <v>660</v>
      </c>
      <c r="C3259" t="str">
        <f>Table13[[#This Row],[Manufacturer]]&amp;" "&amp;Table13[[#This Row],[Model]]</f>
        <v>Tohnichi 900PQL N</v>
      </c>
      <c r="D3259" s="1">
        <v>3</v>
      </c>
      <c r="E3259" s="1" t="s">
        <v>169</v>
      </c>
      <c r="F3259" s="38">
        <v>90</v>
      </c>
      <c r="G3259" t="s">
        <v>184</v>
      </c>
    </row>
    <row r="3260" spans="1:7" x14ac:dyDescent="0.25">
      <c r="A3260" s="10" t="s">
        <v>374</v>
      </c>
      <c r="B3260" s="10" t="s">
        <v>659</v>
      </c>
      <c r="C3260" t="str">
        <f>Table13[[#This Row],[Manufacturer]]&amp;" "&amp;Table13[[#This Row],[Model]]</f>
        <v>Tohnichi 900PQL-A</v>
      </c>
      <c r="D3260" s="1">
        <v>3</v>
      </c>
      <c r="E3260" s="1" t="s">
        <v>169</v>
      </c>
      <c r="F3260" s="38">
        <v>75</v>
      </c>
      <c r="G3260" t="s">
        <v>166</v>
      </c>
    </row>
    <row r="3261" spans="1:7" x14ac:dyDescent="0.25">
      <c r="A3261" s="10" t="s">
        <v>374</v>
      </c>
      <c r="B3261" s="10" t="s">
        <v>658</v>
      </c>
      <c r="C3261" t="str">
        <f>Table13[[#This Row],[Manufacturer]]&amp;" "&amp;Table13[[#This Row],[Model]]</f>
        <v>Tohnichi 900QL</v>
      </c>
      <c r="D3261" s="1">
        <v>3</v>
      </c>
      <c r="E3261" s="1" t="s">
        <v>169</v>
      </c>
      <c r="F3261" s="38">
        <v>900</v>
      </c>
      <c r="G3261" t="s">
        <v>418</v>
      </c>
    </row>
    <row r="3262" spans="1:7" x14ac:dyDescent="0.25">
      <c r="A3262" s="10" t="s">
        <v>374</v>
      </c>
      <c r="B3262" s="10" t="s">
        <v>657</v>
      </c>
      <c r="C3262" t="str">
        <f>Table13[[#This Row],[Manufacturer]]&amp;" "&amp;Table13[[#This Row],[Model]]</f>
        <v>Tohnichi 900QL N</v>
      </c>
      <c r="D3262" s="1">
        <v>3</v>
      </c>
      <c r="E3262" s="1" t="s">
        <v>169</v>
      </c>
      <c r="F3262" s="38">
        <v>90</v>
      </c>
      <c r="G3262" t="s">
        <v>184</v>
      </c>
    </row>
    <row r="3263" spans="1:7" x14ac:dyDescent="0.25">
      <c r="A3263" s="10" t="s">
        <v>374</v>
      </c>
      <c r="B3263" s="10" t="s">
        <v>656</v>
      </c>
      <c r="C3263" t="str">
        <f>Table13[[#This Row],[Manufacturer]]&amp;" "&amp;Table13[[#This Row],[Model]]</f>
        <v>Tohnichi 900QL4</v>
      </c>
      <c r="D3263" s="1">
        <v>3</v>
      </c>
      <c r="E3263" s="1" t="s">
        <v>169</v>
      </c>
      <c r="F3263" s="38">
        <v>1000</v>
      </c>
      <c r="G3263" t="s">
        <v>418</v>
      </c>
    </row>
    <row r="3264" spans="1:7" x14ac:dyDescent="0.25">
      <c r="A3264" s="10" t="s">
        <v>374</v>
      </c>
      <c r="B3264" s="10" t="s">
        <v>655</v>
      </c>
      <c r="C3264" t="str">
        <f>Table13[[#This Row],[Manufacturer]]&amp;" "&amp;Table13[[#This Row],[Model]]</f>
        <v>Tohnichi 900QL4-3/8</v>
      </c>
      <c r="D3264" s="1">
        <v>3</v>
      </c>
      <c r="E3264" s="1" t="s">
        <v>169</v>
      </c>
      <c r="F3264" s="38">
        <v>1000</v>
      </c>
      <c r="G3264" t="s">
        <v>418</v>
      </c>
    </row>
    <row r="3265" spans="1:7" x14ac:dyDescent="0.25">
      <c r="A3265" s="10" t="s">
        <v>374</v>
      </c>
      <c r="B3265" s="10" t="s">
        <v>654</v>
      </c>
      <c r="C3265" t="str">
        <f>Table13[[#This Row],[Manufacturer]]&amp;" "&amp;Table13[[#This Row],[Model]]</f>
        <v>Tohnichi 900QL-MH</v>
      </c>
      <c r="D3265" s="1">
        <v>3</v>
      </c>
      <c r="E3265" s="1" t="s">
        <v>169</v>
      </c>
      <c r="F3265" s="38">
        <v>1000</v>
      </c>
      <c r="G3265" t="s">
        <v>418</v>
      </c>
    </row>
    <row r="3266" spans="1:7" x14ac:dyDescent="0.25">
      <c r="A3266" s="10" t="s">
        <v>374</v>
      </c>
      <c r="B3266" s="10" t="s">
        <v>653</v>
      </c>
      <c r="C3266" t="str">
        <f>Table13[[#This Row],[Manufacturer]]&amp;" "&amp;Table13[[#This Row],[Model]]</f>
        <v>Tohnichi 900QSP</v>
      </c>
      <c r="D3266" s="1">
        <v>3</v>
      </c>
      <c r="E3266" s="1" t="s">
        <v>169</v>
      </c>
      <c r="F3266" s="38">
        <v>750</v>
      </c>
      <c r="G3266" t="s">
        <v>164</v>
      </c>
    </row>
    <row r="3267" spans="1:7" x14ac:dyDescent="0.25">
      <c r="A3267" s="10" t="s">
        <v>374</v>
      </c>
      <c r="B3267" s="10" t="s">
        <v>652</v>
      </c>
      <c r="C3267" t="str">
        <f>Table13[[#This Row],[Manufacturer]]&amp;" "&amp;Table13[[#This Row],[Model]]</f>
        <v>Tohnichi 900QSP2</v>
      </c>
      <c r="D3267" s="1">
        <v>3</v>
      </c>
      <c r="E3267" s="1" t="s">
        <v>169</v>
      </c>
      <c r="F3267" s="38">
        <v>90</v>
      </c>
      <c r="G3267" t="s">
        <v>184</v>
      </c>
    </row>
    <row r="3268" spans="1:7" x14ac:dyDescent="0.25">
      <c r="A3268" s="10" t="s">
        <v>374</v>
      </c>
      <c r="B3268" s="10" t="s">
        <v>651</v>
      </c>
      <c r="C3268" t="str">
        <f>Table13[[#This Row],[Manufacturer]]&amp;" "&amp;Table13[[#This Row],[Model]]</f>
        <v>Tohnichi BCSP100N5x15D</v>
      </c>
      <c r="D3268" s="1">
        <v>3</v>
      </c>
      <c r="E3268" s="1">
        <v>3</v>
      </c>
      <c r="F3268" s="38">
        <v>100</v>
      </c>
      <c r="G3268" t="s">
        <v>184</v>
      </c>
    </row>
    <row r="3269" spans="1:7" x14ac:dyDescent="0.25">
      <c r="A3269" s="10" t="s">
        <v>374</v>
      </c>
      <c r="B3269" s="10" t="s">
        <v>650</v>
      </c>
      <c r="C3269" t="str">
        <f>Table13[[#This Row],[Manufacturer]]&amp;" "&amp;Table13[[#This Row],[Model]]</f>
        <v>Tohnichi BCSP140N5x15D</v>
      </c>
      <c r="D3269" s="1">
        <v>3</v>
      </c>
      <c r="E3269" s="1">
        <v>3</v>
      </c>
      <c r="F3269" s="38">
        <v>140</v>
      </c>
      <c r="G3269" t="s">
        <v>184</v>
      </c>
    </row>
    <row r="3270" spans="1:7" x14ac:dyDescent="0.25">
      <c r="A3270" s="10" t="s">
        <v>374</v>
      </c>
      <c r="B3270" s="10" t="s">
        <v>649</v>
      </c>
      <c r="C3270" t="str">
        <f>Table13[[#This Row],[Manufacturer]]&amp;" "&amp;Table13[[#This Row],[Model]]</f>
        <v>Tohnichi BCSP200N5x19D</v>
      </c>
      <c r="D3270" s="1">
        <v>3</v>
      </c>
      <c r="E3270" s="1">
        <v>3</v>
      </c>
      <c r="F3270" s="38">
        <v>200</v>
      </c>
      <c r="G3270" t="s">
        <v>184</v>
      </c>
    </row>
    <row r="3271" spans="1:7" x14ac:dyDescent="0.25">
      <c r="A3271" s="10" t="s">
        <v>374</v>
      </c>
      <c r="B3271" s="10" t="s">
        <v>648</v>
      </c>
      <c r="C3271" t="str">
        <f>Table13[[#This Row],[Manufacturer]]&amp;" "&amp;Table13[[#This Row],[Model]]</f>
        <v>Tohnichi BCSP25Nx10D</v>
      </c>
      <c r="D3271" s="1">
        <v>3</v>
      </c>
      <c r="E3271" s="1">
        <v>3</v>
      </c>
      <c r="F3271" s="38">
        <v>25</v>
      </c>
      <c r="G3271" t="s">
        <v>184</v>
      </c>
    </row>
    <row r="3272" spans="1:7" x14ac:dyDescent="0.25">
      <c r="A3272" s="10" t="s">
        <v>374</v>
      </c>
      <c r="B3272" s="10" t="s">
        <v>647</v>
      </c>
      <c r="C3272" t="str">
        <f>Table13[[#This Row],[Manufacturer]]&amp;" "&amp;Table13[[#This Row],[Model]]</f>
        <v>Tohnichi BCSP280N5x22D</v>
      </c>
      <c r="D3272" s="1">
        <v>3</v>
      </c>
      <c r="E3272" s="1">
        <v>3</v>
      </c>
      <c r="F3272" s="38">
        <v>280</v>
      </c>
      <c r="G3272" t="s">
        <v>184</v>
      </c>
    </row>
    <row r="3273" spans="1:7" x14ac:dyDescent="0.25">
      <c r="A3273" s="10" t="s">
        <v>374</v>
      </c>
      <c r="B3273" s="10" t="s">
        <v>646</v>
      </c>
      <c r="C3273" t="str">
        <f>Table13[[#This Row],[Manufacturer]]&amp;" "&amp;Table13[[#This Row],[Model]]</f>
        <v>Tohnichi BCSP420N5x22D</v>
      </c>
      <c r="D3273" s="1">
        <v>3</v>
      </c>
      <c r="E3273" s="1">
        <v>3</v>
      </c>
      <c r="F3273" s="38">
        <v>420</v>
      </c>
      <c r="G3273" t="s">
        <v>184</v>
      </c>
    </row>
    <row r="3274" spans="1:7" x14ac:dyDescent="0.25">
      <c r="A3274" s="10" t="s">
        <v>374</v>
      </c>
      <c r="B3274" s="10" t="s">
        <v>645</v>
      </c>
      <c r="C3274" t="str">
        <f>Table13[[#This Row],[Manufacturer]]&amp;" "&amp;Table13[[#This Row],[Model]]</f>
        <v>Tohnichi BCSP50N5x12D</v>
      </c>
      <c r="D3274" s="1">
        <v>3</v>
      </c>
      <c r="E3274" s="1">
        <v>3</v>
      </c>
      <c r="F3274" s="38">
        <v>50</v>
      </c>
      <c r="G3274" t="s">
        <v>184</v>
      </c>
    </row>
    <row r="3275" spans="1:7" x14ac:dyDescent="0.25">
      <c r="A3275" s="10" t="s">
        <v>374</v>
      </c>
      <c r="B3275" s="10" t="s">
        <v>644</v>
      </c>
      <c r="C3275" t="str">
        <f>Table13[[#This Row],[Manufacturer]]&amp;" "&amp;Table13[[#This Row],[Model]]</f>
        <v>Tohnichi BCSP50N5x15D</v>
      </c>
      <c r="D3275" s="1">
        <v>3</v>
      </c>
      <c r="E3275" s="1">
        <v>3</v>
      </c>
      <c r="F3275" s="38">
        <v>50</v>
      </c>
      <c r="G3275" t="s">
        <v>184</v>
      </c>
    </row>
    <row r="3276" spans="1:7" x14ac:dyDescent="0.25">
      <c r="A3276" s="10" t="s">
        <v>374</v>
      </c>
      <c r="B3276" s="10" t="s">
        <v>643</v>
      </c>
      <c r="C3276" t="str">
        <f>Table13[[#This Row],[Manufacturer]]&amp;" "&amp;Table13[[#This Row],[Model]]</f>
        <v>Tohnichi CL1.5N4x8D</v>
      </c>
      <c r="D3276" s="1">
        <v>3</v>
      </c>
      <c r="E3276" s="1" t="s">
        <v>169</v>
      </c>
      <c r="F3276" s="38">
        <v>1.5</v>
      </c>
      <c r="G3276" t="s">
        <v>184</v>
      </c>
    </row>
    <row r="3277" spans="1:7" x14ac:dyDescent="0.25">
      <c r="A3277" s="10" t="s">
        <v>374</v>
      </c>
      <c r="B3277" s="10" t="s">
        <v>642</v>
      </c>
      <c r="C3277" t="str">
        <f>Table13[[#This Row],[Manufacturer]]&amp;" "&amp;Table13[[#This Row],[Model]]</f>
        <v>Tohnichi CL100IX8D</v>
      </c>
      <c r="D3277" s="1">
        <v>3</v>
      </c>
      <c r="E3277" s="1" t="s">
        <v>169</v>
      </c>
      <c r="F3277" s="38">
        <v>100</v>
      </c>
      <c r="G3277" t="s">
        <v>164</v>
      </c>
    </row>
    <row r="3278" spans="1:7" x14ac:dyDescent="0.25">
      <c r="A3278" s="10" t="s">
        <v>374</v>
      </c>
      <c r="B3278" s="10" t="s">
        <v>641</v>
      </c>
      <c r="C3278" t="str">
        <f>Table13[[#This Row],[Manufacturer]]&amp;" "&amp;Table13[[#This Row],[Model]]</f>
        <v>Tohnichi CL100IX8D-MH</v>
      </c>
      <c r="D3278" s="1">
        <v>3</v>
      </c>
      <c r="E3278" s="1" t="s">
        <v>169</v>
      </c>
      <c r="F3278" s="38">
        <v>100</v>
      </c>
      <c r="G3278" t="s">
        <v>164</v>
      </c>
    </row>
    <row r="3279" spans="1:7" x14ac:dyDescent="0.25">
      <c r="A3279" s="10" t="s">
        <v>374</v>
      </c>
      <c r="B3279" s="10" t="s">
        <v>640</v>
      </c>
      <c r="C3279" t="str">
        <f>Table13[[#This Row],[Manufacturer]]&amp;" "&amp;Table13[[#This Row],[Model]]</f>
        <v>Tohnichi CL100NX15D</v>
      </c>
      <c r="D3279" s="1">
        <v>3</v>
      </c>
      <c r="E3279" s="1" t="s">
        <v>169</v>
      </c>
      <c r="F3279" s="38">
        <v>100</v>
      </c>
      <c r="G3279" t="s">
        <v>184</v>
      </c>
    </row>
    <row r="3280" spans="1:7" x14ac:dyDescent="0.25">
      <c r="A3280" s="10" t="s">
        <v>374</v>
      </c>
      <c r="B3280" s="10" t="s">
        <v>639</v>
      </c>
      <c r="C3280" t="str">
        <f>Table13[[#This Row],[Manufacturer]]&amp;" "&amp;Table13[[#This Row],[Model]]</f>
        <v>Tohnichi CL100NX15D-MH</v>
      </c>
      <c r="D3280" s="1">
        <v>3</v>
      </c>
      <c r="E3280" s="1" t="s">
        <v>169</v>
      </c>
      <c r="F3280" s="38">
        <v>100</v>
      </c>
      <c r="G3280" t="s">
        <v>184</v>
      </c>
    </row>
    <row r="3281" spans="1:7" x14ac:dyDescent="0.25">
      <c r="A3281" s="10" t="s">
        <v>374</v>
      </c>
      <c r="B3281" s="10" t="s">
        <v>638</v>
      </c>
      <c r="C3281" t="str">
        <f>Table13[[#This Row],[Manufacturer]]&amp;" "&amp;Table13[[#This Row],[Model]]</f>
        <v>Tohnichi CL10NX8D</v>
      </c>
      <c r="D3281" s="1">
        <v>3</v>
      </c>
      <c r="E3281" s="1" t="s">
        <v>169</v>
      </c>
      <c r="F3281" s="38">
        <v>10</v>
      </c>
      <c r="G3281" t="s">
        <v>184</v>
      </c>
    </row>
    <row r="3282" spans="1:7" x14ac:dyDescent="0.25">
      <c r="A3282" s="10" t="s">
        <v>374</v>
      </c>
      <c r="B3282" s="10" t="s">
        <v>637</v>
      </c>
      <c r="C3282" t="str">
        <f>Table13[[#This Row],[Manufacturer]]&amp;" "&amp;Table13[[#This Row],[Model]]</f>
        <v>Tohnichi CL10NX8D-MH</v>
      </c>
      <c r="D3282" s="1">
        <v>3</v>
      </c>
      <c r="E3282" s="1" t="s">
        <v>169</v>
      </c>
      <c r="F3282" s="38">
        <v>10</v>
      </c>
      <c r="G3282" t="s">
        <v>184</v>
      </c>
    </row>
    <row r="3283" spans="1:7" x14ac:dyDescent="0.25">
      <c r="A3283" s="10" t="s">
        <v>374</v>
      </c>
      <c r="B3283" s="10" t="s">
        <v>636</v>
      </c>
      <c r="C3283" t="str">
        <f>Table13[[#This Row],[Manufacturer]]&amp;" "&amp;Table13[[#This Row],[Model]]</f>
        <v>Tohnichi CL12N4x8D</v>
      </c>
      <c r="D3283" s="1">
        <v>3</v>
      </c>
      <c r="E3283" s="1" t="s">
        <v>169</v>
      </c>
      <c r="F3283" s="38">
        <v>15</v>
      </c>
      <c r="G3283" t="s">
        <v>184</v>
      </c>
    </row>
    <row r="3284" spans="1:7" x14ac:dyDescent="0.25">
      <c r="A3284" s="10" t="s">
        <v>374</v>
      </c>
      <c r="B3284" s="10" t="s">
        <v>635</v>
      </c>
      <c r="C3284" t="str">
        <f>Table13[[#This Row],[Manufacturer]]&amp;" "&amp;Table13[[#This Row],[Model]]</f>
        <v>Tohnichi CL140NX15D</v>
      </c>
      <c r="D3284" s="1">
        <v>3</v>
      </c>
      <c r="E3284" s="1" t="s">
        <v>169</v>
      </c>
      <c r="F3284" s="38">
        <v>140</v>
      </c>
      <c r="G3284" t="s">
        <v>184</v>
      </c>
    </row>
    <row r="3285" spans="1:7" x14ac:dyDescent="0.25">
      <c r="A3285" s="10" t="s">
        <v>374</v>
      </c>
      <c r="B3285" s="10" t="s">
        <v>634</v>
      </c>
      <c r="C3285" t="str">
        <f>Table13[[#This Row],[Manufacturer]]&amp;" "&amp;Table13[[#This Row],[Model]]</f>
        <v>Tohnichi CL140NX15D-MH</v>
      </c>
      <c r="D3285" s="1">
        <v>3</v>
      </c>
      <c r="E3285" s="1" t="s">
        <v>169</v>
      </c>
      <c r="F3285" s="38">
        <v>140</v>
      </c>
      <c r="G3285" t="s">
        <v>184</v>
      </c>
    </row>
    <row r="3286" spans="1:7" x14ac:dyDescent="0.25">
      <c r="A3286" s="10" t="s">
        <v>374</v>
      </c>
      <c r="B3286" s="10" t="s">
        <v>633</v>
      </c>
      <c r="C3286" t="str">
        <f>Table13[[#This Row],[Manufacturer]]&amp;" "&amp;Table13[[#This Row],[Model]]</f>
        <v>Tohnichi CL15DX8D</v>
      </c>
      <c r="D3286" s="1">
        <v>3</v>
      </c>
      <c r="E3286" s="1" t="s">
        <v>169</v>
      </c>
      <c r="F3286" s="38">
        <v>15</v>
      </c>
      <c r="G3286" t="s">
        <v>184</v>
      </c>
    </row>
    <row r="3287" spans="1:7" x14ac:dyDescent="0.25">
      <c r="A3287" s="10" t="s">
        <v>374</v>
      </c>
      <c r="B3287" s="10" t="s">
        <v>632</v>
      </c>
      <c r="C3287" t="str">
        <f>Table13[[#This Row],[Manufacturer]]&amp;" "&amp;Table13[[#This Row],[Model]]</f>
        <v>Tohnichi CL15IX8D</v>
      </c>
      <c r="D3287" s="1">
        <v>3</v>
      </c>
      <c r="E3287" s="1" t="s">
        <v>169</v>
      </c>
      <c r="F3287" s="38">
        <v>15</v>
      </c>
      <c r="G3287" t="s">
        <v>164</v>
      </c>
    </row>
    <row r="3288" spans="1:7" x14ac:dyDescent="0.25">
      <c r="A3288" s="10" t="s">
        <v>374</v>
      </c>
      <c r="B3288" s="10" t="s">
        <v>631</v>
      </c>
      <c r="C3288" t="str">
        <f>Table13[[#This Row],[Manufacturer]]&amp;" "&amp;Table13[[#This Row],[Model]]</f>
        <v>Tohnichi CL15IX8D-MH</v>
      </c>
      <c r="D3288" s="1">
        <v>3</v>
      </c>
      <c r="E3288" s="1" t="s">
        <v>169</v>
      </c>
      <c r="F3288" s="38">
        <v>15</v>
      </c>
      <c r="G3288" t="s">
        <v>164</v>
      </c>
    </row>
    <row r="3289" spans="1:7" x14ac:dyDescent="0.25">
      <c r="A3289" s="10" t="s">
        <v>374</v>
      </c>
      <c r="B3289" s="10" t="s">
        <v>630</v>
      </c>
      <c r="C3289" t="str">
        <f>Table13[[#This Row],[Manufacturer]]&amp;" "&amp;Table13[[#This Row],[Model]]</f>
        <v>Tohnichi CL15NX8D-MH</v>
      </c>
      <c r="D3289" s="1">
        <v>3</v>
      </c>
      <c r="E3289" s="1" t="s">
        <v>169</v>
      </c>
      <c r="F3289" s="38">
        <v>15</v>
      </c>
      <c r="G3289" t="s">
        <v>184</v>
      </c>
    </row>
    <row r="3290" spans="1:7" x14ac:dyDescent="0.25">
      <c r="A3290" s="10" t="s">
        <v>374</v>
      </c>
      <c r="B3290" s="10" t="s">
        <v>629</v>
      </c>
      <c r="C3290" t="str">
        <f>Table13[[#This Row],[Manufacturer]]&amp;" "&amp;Table13[[#This Row],[Model]]</f>
        <v>Tohnichi CL200IX10D</v>
      </c>
      <c r="D3290" s="1">
        <v>3</v>
      </c>
      <c r="E3290" s="1" t="s">
        <v>169</v>
      </c>
      <c r="F3290" s="38">
        <v>200</v>
      </c>
      <c r="G3290" t="s">
        <v>164</v>
      </c>
    </row>
    <row r="3291" spans="1:7" x14ac:dyDescent="0.25">
      <c r="A3291" s="10" t="s">
        <v>374</v>
      </c>
      <c r="B3291" s="10" t="s">
        <v>628</v>
      </c>
      <c r="C3291" t="str">
        <f>Table13[[#This Row],[Manufacturer]]&amp;" "&amp;Table13[[#This Row],[Model]]</f>
        <v>Tohnichi CL200NX19D</v>
      </c>
      <c r="D3291" s="1">
        <v>3</v>
      </c>
      <c r="E3291" s="1" t="s">
        <v>169</v>
      </c>
      <c r="F3291" s="38">
        <v>200</v>
      </c>
      <c r="G3291" t="s">
        <v>184</v>
      </c>
    </row>
    <row r="3292" spans="1:7" x14ac:dyDescent="0.25">
      <c r="A3292" s="10" t="s">
        <v>374</v>
      </c>
      <c r="B3292" s="10" t="s">
        <v>627</v>
      </c>
      <c r="C3292" t="str">
        <f>Table13[[#This Row],[Manufacturer]]&amp;" "&amp;Table13[[#This Row],[Model]]</f>
        <v>Tohnichi CL200NX19D-MH</v>
      </c>
      <c r="D3292" s="1">
        <v>3</v>
      </c>
      <c r="E3292" s="1" t="s">
        <v>169</v>
      </c>
      <c r="F3292" s="38">
        <v>200</v>
      </c>
      <c r="G3292" t="s">
        <v>184</v>
      </c>
    </row>
    <row r="3293" spans="1:7" x14ac:dyDescent="0.25">
      <c r="A3293" s="10" t="s">
        <v>374</v>
      </c>
      <c r="B3293" s="10" t="s">
        <v>626</v>
      </c>
      <c r="C3293" t="str">
        <f>Table13[[#This Row],[Manufacturer]]&amp;" "&amp;Table13[[#This Row],[Model]]</f>
        <v>Tohnichi CL25N5X10D</v>
      </c>
      <c r="D3293" s="1">
        <v>3</v>
      </c>
      <c r="E3293" s="1" t="s">
        <v>169</v>
      </c>
      <c r="F3293" s="38">
        <v>25</v>
      </c>
      <c r="G3293" t="s">
        <v>184</v>
      </c>
    </row>
    <row r="3294" spans="1:7" x14ac:dyDescent="0.25">
      <c r="A3294" s="10" t="s">
        <v>374</v>
      </c>
      <c r="B3294" s="10" t="s">
        <v>625</v>
      </c>
      <c r="C3294" t="str">
        <f>Table13[[#This Row],[Manufacturer]]&amp;" "&amp;Table13[[#This Row],[Model]]</f>
        <v>Tohnichi CL25Nx10D</v>
      </c>
      <c r="D3294" s="1">
        <v>3</v>
      </c>
      <c r="E3294" s="1" t="s">
        <v>169</v>
      </c>
      <c r="F3294" s="38">
        <v>25</v>
      </c>
      <c r="G3294" t="s">
        <v>184</v>
      </c>
    </row>
    <row r="3295" spans="1:7" x14ac:dyDescent="0.25">
      <c r="A3295" s="10" t="s">
        <v>374</v>
      </c>
      <c r="B3295" s="10" t="s">
        <v>624</v>
      </c>
      <c r="C3295" t="str">
        <f>Table13[[#This Row],[Manufacturer]]&amp;" "&amp;Table13[[#This Row],[Model]]</f>
        <v>Tohnichi CL25NX10D-MH</v>
      </c>
      <c r="D3295" s="1">
        <v>3</v>
      </c>
      <c r="E3295" s="1" t="s">
        <v>169</v>
      </c>
      <c r="F3295" s="38">
        <v>25</v>
      </c>
      <c r="G3295" t="s">
        <v>184</v>
      </c>
    </row>
    <row r="3296" spans="1:7" x14ac:dyDescent="0.25">
      <c r="A3296" s="10" t="s">
        <v>374</v>
      </c>
      <c r="B3296" s="10" t="s">
        <v>623</v>
      </c>
      <c r="C3296" t="str">
        <f>Table13[[#This Row],[Manufacturer]]&amp;" "&amp;Table13[[#This Row],[Model]]</f>
        <v>Tohnichi CL280NX22D</v>
      </c>
      <c r="D3296" s="1">
        <v>3</v>
      </c>
      <c r="E3296" s="1" t="s">
        <v>169</v>
      </c>
      <c r="F3296" s="38">
        <v>280</v>
      </c>
      <c r="G3296" t="s">
        <v>184</v>
      </c>
    </row>
    <row r="3297" spans="1:7" x14ac:dyDescent="0.25">
      <c r="A3297" s="10" t="s">
        <v>374</v>
      </c>
      <c r="B3297" s="10" t="s">
        <v>622</v>
      </c>
      <c r="C3297" t="str">
        <f>Table13[[#This Row],[Manufacturer]]&amp;" "&amp;Table13[[#This Row],[Model]]</f>
        <v>Tohnichi CL280NX22D-MH</v>
      </c>
      <c r="D3297" s="1">
        <v>3</v>
      </c>
      <c r="E3297" s="1" t="s">
        <v>169</v>
      </c>
      <c r="F3297" s="38">
        <v>280</v>
      </c>
      <c r="G3297" t="s">
        <v>184</v>
      </c>
    </row>
    <row r="3298" spans="1:7" x14ac:dyDescent="0.25">
      <c r="A3298" s="10" t="s">
        <v>374</v>
      </c>
      <c r="B3298" s="10" t="s">
        <v>621</v>
      </c>
      <c r="C3298" t="str">
        <f>Table13[[#This Row],[Manufacturer]]&amp;" "&amp;Table13[[#This Row],[Model]]</f>
        <v>Tohnichi CL2NX8D</v>
      </c>
      <c r="D3298" s="1">
        <v>3</v>
      </c>
      <c r="E3298" s="1" t="s">
        <v>169</v>
      </c>
      <c r="F3298" s="38">
        <v>1.5</v>
      </c>
      <c r="G3298" t="s">
        <v>184</v>
      </c>
    </row>
    <row r="3299" spans="1:7" x14ac:dyDescent="0.25">
      <c r="A3299" s="10" t="s">
        <v>374</v>
      </c>
      <c r="B3299" s="10" t="s">
        <v>620</v>
      </c>
      <c r="C3299" t="str">
        <f>Table13[[#This Row],[Manufacturer]]&amp;" "&amp;Table13[[#This Row],[Model]]</f>
        <v>Tohnichi CL2NX8D-MH</v>
      </c>
      <c r="D3299" s="1">
        <v>3</v>
      </c>
      <c r="E3299" s="1" t="s">
        <v>169</v>
      </c>
      <c r="F3299" s="38">
        <v>2</v>
      </c>
      <c r="G3299" t="s">
        <v>184</v>
      </c>
    </row>
    <row r="3300" spans="1:7" x14ac:dyDescent="0.25">
      <c r="A3300" s="10" t="s">
        <v>374</v>
      </c>
      <c r="B3300" s="10" t="s">
        <v>619</v>
      </c>
      <c r="C3300" t="str">
        <f>Table13[[#This Row],[Manufacturer]]&amp;" "&amp;Table13[[#This Row],[Model]]</f>
        <v>Tohnichi CL30IX8D</v>
      </c>
      <c r="D3300" s="1">
        <v>3</v>
      </c>
      <c r="E3300" s="1" t="s">
        <v>169</v>
      </c>
      <c r="F3300" s="38">
        <v>30</v>
      </c>
      <c r="G3300" t="s">
        <v>164</v>
      </c>
    </row>
    <row r="3301" spans="1:7" x14ac:dyDescent="0.25">
      <c r="A3301" s="10" t="s">
        <v>374</v>
      </c>
      <c r="B3301" s="10" t="s">
        <v>618</v>
      </c>
      <c r="C3301" t="str">
        <f>Table13[[#This Row],[Manufacturer]]&amp;" "&amp;Table13[[#This Row],[Model]]</f>
        <v>Tohnichi CL30IX8D-MH</v>
      </c>
      <c r="D3301" s="1">
        <v>3</v>
      </c>
      <c r="E3301" s="1" t="s">
        <v>169</v>
      </c>
      <c r="F3301" s="38">
        <v>30</v>
      </c>
      <c r="G3301" t="s">
        <v>164</v>
      </c>
    </row>
    <row r="3302" spans="1:7" x14ac:dyDescent="0.25">
      <c r="A3302" s="10" t="s">
        <v>374</v>
      </c>
      <c r="B3302" s="10" t="s">
        <v>617</v>
      </c>
      <c r="C3302" t="str">
        <f>Table13[[#This Row],[Manufacturer]]&amp;" "&amp;Table13[[#This Row],[Model]]</f>
        <v>Tohnichi CL3N4x8D</v>
      </c>
      <c r="D3302" s="1">
        <v>3</v>
      </c>
      <c r="E3302" s="1" t="s">
        <v>169</v>
      </c>
      <c r="F3302" s="38">
        <v>5</v>
      </c>
      <c r="G3302" t="s">
        <v>184</v>
      </c>
    </row>
    <row r="3303" spans="1:7" x14ac:dyDescent="0.25">
      <c r="A3303" s="10" t="s">
        <v>374</v>
      </c>
      <c r="B3303" s="10" t="s">
        <v>616</v>
      </c>
      <c r="C3303" t="str">
        <f>Table13[[#This Row],[Manufacturer]]&amp;" "&amp;Table13[[#This Row],[Model]]</f>
        <v>Tohnichi CL420Nx22D</v>
      </c>
      <c r="D3303" s="1">
        <v>3</v>
      </c>
      <c r="E3303" s="1" t="s">
        <v>169</v>
      </c>
      <c r="F3303" s="38">
        <v>420</v>
      </c>
      <c r="G3303" t="s">
        <v>184</v>
      </c>
    </row>
    <row r="3304" spans="1:7" x14ac:dyDescent="0.25">
      <c r="A3304" s="10" t="s">
        <v>374</v>
      </c>
      <c r="B3304" s="10" t="s">
        <v>615</v>
      </c>
      <c r="C3304" t="str">
        <f>Table13[[#This Row],[Manufacturer]]&amp;" "&amp;Table13[[#This Row],[Model]]</f>
        <v>Tohnichi CL50IX8D</v>
      </c>
      <c r="D3304" s="1">
        <v>3</v>
      </c>
      <c r="E3304" s="1" t="s">
        <v>169</v>
      </c>
      <c r="F3304" s="38">
        <v>50</v>
      </c>
      <c r="G3304" t="s">
        <v>164</v>
      </c>
    </row>
    <row r="3305" spans="1:7" x14ac:dyDescent="0.25">
      <c r="A3305" s="10" t="s">
        <v>374</v>
      </c>
      <c r="B3305" s="10" t="s">
        <v>614</v>
      </c>
      <c r="C3305" t="str">
        <f>Table13[[#This Row],[Manufacturer]]&amp;" "&amp;Table13[[#This Row],[Model]]</f>
        <v>Tohnichi CL50IX8D-MH</v>
      </c>
      <c r="D3305" s="1">
        <v>3</v>
      </c>
      <c r="E3305" s="1" t="s">
        <v>169</v>
      </c>
      <c r="F3305" s="38">
        <v>50</v>
      </c>
      <c r="G3305" t="s">
        <v>164</v>
      </c>
    </row>
    <row r="3306" spans="1:7" x14ac:dyDescent="0.25">
      <c r="A3306" s="10" t="s">
        <v>374</v>
      </c>
      <c r="B3306" s="10" t="s">
        <v>613</v>
      </c>
      <c r="C3306" t="str">
        <f>Table13[[#This Row],[Manufacturer]]&amp;" "&amp;Table13[[#This Row],[Model]]</f>
        <v>Tohnichi CL50Nx12D</v>
      </c>
      <c r="D3306" s="1">
        <v>3</v>
      </c>
      <c r="E3306" s="1" t="s">
        <v>169</v>
      </c>
      <c r="F3306" s="38">
        <v>50</v>
      </c>
      <c r="G3306" t="s">
        <v>184</v>
      </c>
    </row>
    <row r="3307" spans="1:7" x14ac:dyDescent="0.25">
      <c r="A3307" s="10" t="s">
        <v>374</v>
      </c>
      <c r="B3307" s="10" t="s">
        <v>612</v>
      </c>
      <c r="C3307" t="str">
        <f>Table13[[#This Row],[Manufacturer]]&amp;" "&amp;Table13[[#This Row],[Model]]</f>
        <v>Tohnichi CL50NX12D-MH</v>
      </c>
      <c r="D3307" s="1">
        <v>3</v>
      </c>
      <c r="E3307" s="1" t="s">
        <v>169</v>
      </c>
      <c r="F3307" s="38">
        <v>50</v>
      </c>
      <c r="G3307" t="s">
        <v>184</v>
      </c>
    </row>
    <row r="3308" spans="1:7" x14ac:dyDescent="0.25">
      <c r="A3308" s="10" t="s">
        <v>374</v>
      </c>
      <c r="B3308" s="10" t="s">
        <v>611</v>
      </c>
      <c r="C3308" t="str">
        <f>Table13[[#This Row],[Manufacturer]]&amp;" "&amp;Table13[[#This Row],[Model]]</f>
        <v>Tohnichi CL50Nx15D</v>
      </c>
      <c r="D3308" s="1">
        <v>3</v>
      </c>
      <c r="E3308" s="1" t="s">
        <v>169</v>
      </c>
      <c r="F3308" s="38">
        <v>50</v>
      </c>
      <c r="G3308" t="s">
        <v>184</v>
      </c>
    </row>
    <row r="3309" spans="1:7" x14ac:dyDescent="0.25">
      <c r="A3309" s="10" t="s">
        <v>374</v>
      </c>
      <c r="B3309" s="10" t="s">
        <v>610</v>
      </c>
      <c r="C3309" t="str">
        <f>Table13[[#This Row],[Manufacturer]]&amp;" "&amp;Table13[[#This Row],[Model]]</f>
        <v>Tohnichi CL50NX15D-MH</v>
      </c>
      <c r="D3309" s="1">
        <v>3</v>
      </c>
      <c r="E3309" s="1" t="s">
        <v>169</v>
      </c>
      <c r="F3309" s="38">
        <v>50</v>
      </c>
      <c r="G3309" t="s">
        <v>184</v>
      </c>
    </row>
    <row r="3310" spans="1:7" x14ac:dyDescent="0.25">
      <c r="A3310" s="10" t="s">
        <v>374</v>
      </c>
      <c r="B3310" s="10" t="s">
        <v>609</v>
      </c>
      <c r="C3310" t="str">
        <f>Table13[[#This Row],[Manufacturer]]&amp;" "&amp;Table13[[#This Row],[Model]]</f>
        <v>Tohnichi CL5NX8D</v>
      </c>
      <c r="D3310" s="1">
        <v>3</v>
      </c>
      <c r="E3310" s="1" t="s">
        <v>169</v>
      </c>
      <c r="F3310" s="38">
        <v>5</v>
      </c>
      <c r="G3310" t="s">
        <v>184</v>
      </c>
    </row>
    <row r="3311" spans="1:7" x14ac:dyDescent="0.25">
      <c r="A3311" s="10" t="s">
        <v>374</v>
      </c>
      <c r="B3311" s="10" t="s">
        <v>608</v>
      </c>
      <c r="C3311" t="str">
        <f>Table13[[#This Row],[Manufacturer]]&amp;" "&amp;Table13[[#This Row],[Model]]</f>
        <v>Tohnichi CL5NX8D-MH</v>
      </c>
      <c r="D3311" s="1">
        <v>3</v>
      </c>
      <c r="E3311" s="1" t="s">
        <v>169</v>
      </c>
      <c r="F3311" s="38">
        <v>5</v>
      </c>
      <c r="G3311" t="s">
        <v>184</v>
      </c>
    </row>
    <row r="3312" spans="1:7" x14ac:dyDescent="0.25">
      <c r="A3312" s="10" t="s">
        <v>374</v>
      </c>
      <c r="B3312" s="10" t="s">
        <v>607</v>
      </c>
      <c r="C3312" t="str">
        <f>Table13[[#This Row],[Manufacturer]]&amp;" "&amp;Table13[[#This Row],[Model]]</f>
        <v>Tohnichi CL6N4x8D</v>
      </c>
      <c r="D3312" s="1">
        <v>3</v>
      </c>
      <c r="E3312" s="1" t="s">
        <v>169</v>
      </c>
      <c r="F3312" s="38">
        <v>10</v>
      </c>
      <c r="G3312" t="s">
        <v>184</v>
      </c>
    </row>
    <row r="3313" spans="1:7" x14ac:dyDescent="0.25">
      <c r="A3313" s="10" t="s">
        <v>374</v>
      </c>
      <c r="B3313" s="10" t="s">
        <v>606</v>
      </c>
      <c r="C3313" t="str">
        <f>Table13[[#This Row],[Manufacturer]]&amp;" "&amp;Table13[[#This Row],[Model]]</f>
        <v>Tohnichi CLE1200N2X32D</v>
      </c>
      <c r="D3313" s="1">
        <v>3</v>
      </c>
      <c r="E3313" s="1" t="s">
        <v>169</v>
      </c>
      <c r="F3313" s="38">
        <v>1200</v>
      </c>
      <c r="G3313" t="s">
        <v>184</v>
      </c>
    </row>
    <row r="3314" spans="1:7" x14ac:dyDescent="0.25">
      <c r="A3314" s="10" t="s">
        <v>374</v>
      </c>
      <c r="B3314" s="10" t="s">
        <v>605</v>
      </c>
      <c r="C3314" t="str">
        <f>Table13[[#This Row],[Manufacturer]]&amp;" "&amp;Table13[[#This Row],[Model]]</f>
        <v>Tohnichi CLE1200Nx32D</v>
      </c>
      <c r="D3314" s="1">
        <v>3</v>
      </c>
      <c r="E3314" s="1" t="s">
        <v>169</v>
      </c>
      <c r="F3314" s="38">
        <v>1200</v>
      </c>
      <c r="G3314" t="s">
        <v>184</v>
      </c>
    </row>
    <row r="3315" spans="1:7" x14ac:dyDescent="0.25">
      <c r="A3315" s="10" t="s">
        <v>374</v>
      </c>
      <c r="B3315" s="10" t="s">
        <v>604</v>
      </c>
      <c r="C3315" t="str">
        <f>Table13[[#This Row],[Manufacturer]]&amp;" "&amp;Table13[[#This Row],[Model]]</f>
        <v>Tohnichi CLE400FX27D</v>
      </c>
      <c r="D3315" s="1">
        <v>3</v>
      </c>
      <c r="E3315" s="1" t="s">
        <v>169</v>
      </c>
      <c r="F3315" s="38">
        <v>400</v>
      </c>
      <c r="G3315" t="s">
        <v>166</v>
      </c>
    </row>
    <row r="3316" spans="1:7" x14ac:dyDescent="0.25">
      <c r="A3316" s="10" t="s">
        <v>374</v>
      </c>
      <c r="B3316" s="10" t="s">
        <v>603</v>
      </c>
      <c r="C3316" t="str">
        <f>Table13[[#This Row],[Manufacturer]]&amp;" "&amp;Table13[[#This Row],[Model]]</f>
        <v>Tohnichi CLE500FX27D</v>
      </c>
      <c r="D3316" s="1">
        <v>3</v>
      </c>
      <c r="E3316" s="1" t="s">
        <v>169</v>
      </c>
      <c r="F3316" s="38">
        <v>550</v>
      </c>
      <c r="G3316" t="s">
        <v>166</v>
      </c>
    </row>
    <row r="3317" spans="1:7" x14ac:dyDescent="0.25">
      <c r="A3317" s="10" t="s">
        <v>374</v>
      </c>
      <c r="B3317" s="10" t="s">
        <v>602</v>
      </c>
      <c r="C3317" t="str">
        <f>Table13[[#This Row],[Manufacturer]]&amp;" "&amp;Table13[[#This Row],[Model]]</f>
        <v>Tohnichi CLE50N2X27D</v>
      </c>
      <c r="D3317" s="1">
        <v>3</v>
      </c>
      <c r="E3317" s="1" t="s">
        <v>169</v>
      </c>
      <c r="F3317" s="38">
        <v>550</v>
      </c>
      <c r="G3317" t="s">
        <v>184</v>
      </c>
    </row>
    <row r="3318" spans="1:7" x14ac:dyDescent="0.25">
      <c r="A3318" s="10" t="s">
        <v>374</v>
      </c>
      <c r="B3318" s="10" t="s">
        <v>601</v>
      </c>
      <c r="C3318" t="str">
        <f>Table13[[#This Row],[Manufacturer]]&amp;" "&amp;Table13[[#This Row],[Model]]</f>
        <v>Tohnichi CLE550Nx27D</v>
      </c>
      <c r="D3318" s="1">
        <v>3</v>
      </c>
      <c r="E3318" s="1" t="s">
        <v>169</v>
      </c>
      <c r="F3318" s="38">
        <v>550</v>
      </c>
      <c r="G3318" t="s">
        <v>184</v>
      </c>
    </row>
    <row r="3319" spans="1:7" x14ac:dyDescent="0.25">
      <c r="A3319" s="10" t="s">
        <v>374</v>
      </c>
      <c r="B3319" s="10" t="s">
        <v>600</v>
      </c>
      <c r="C3319" t="str">
        <f>Table13[[#This Row],[Manufacturer]]&amp;" "&amp;Table13[[#This Row],[Model]]</f>
        <v>Tohnichi CLE600FX32D</v>
      </c>
      <c r="D3319" s="1">
        <v>3</v>
      </c>
      <c r="E3319" s="1" t="s">
        <v>169</v>
      </c>
      <c r="F3319" s="38">
        <v>600</v>
      </c>
      <c r="G3319" t="s">
        <v>166</v>
      </c>
    </row>
    <row r="3320" spans="1:7" x14ac:dyDescent="0.25">
      <c r="A3320" s="10" t="s">
        <v>374</v>
      </c>
      <c r="B3320" s="10" t="s">
        <v>599</v>
      </c>
      <c r="C3320" t="str">
        <f>Table13[[#This Row],[Manufacturer]]&amp;" "&amp;Table13[[#This Row],[Model]]</f>
        <v>Tohnichi CLE750N2X27D</v>
      </c>
      <c r="D3320" s="1">
        <v>3</v>
      </c>
      <c r="E3320" s="1" t="s">
        <v>169</v>
      </c>
      <c r="F3320" s="38">
        <v>750</v>
      </c>
      <c r="G3320" t="s">
        <v>184</v>
      </c>
    </row>
    <row r="3321" spans="1:7" x14ac:dyDescent="0.25">
      <c r="A3321" s="10" t="s">
        <v>374</v>
      </c>
      <c r="B3321" s="10" t="s">
        <v>598</v>
      </c>
      <c r="C3321" t="str">
        <f>Table13[[#This Row],[Manufacturer]]&amp;" "&amp;Table13[[#This Row],[Model]]</f>
        <v>Tohnichi CLE750Nx27D</v>
      </c>
      <c r="D3321" s="1">
        <v>3</v>
      </c>
      <c r="E3321" s="1" t="s">
        <v>169</v>
      </c>
      <c r="F3321" s="38">
        <v>750</v>
      </c>
      <c r="G3321" t="s">
        <v>184</v>
      </c>
    </row>
    <row r="3322" spans="1:7" x14ac:dyDescent="0.25">
      <c r="A3322" s="10" t="s">
        <v>374</v>
      </c>
      <c r="B3322" s="10" t="s">
        <v>597</v>
      </c>
      <c r="C3322" t="str">
        <f>Table13[[#This Row],[Manufacturer]]&amp;" "&amp;Table13[[#This Row],[Model]]</f>
        <v>Tohnichi CLE850N2X32D</v>
      </c>
      <c r="D3322" s="1">
        <v>3</v>
      </c>
      <c r="E3322" s="1" t="s">
        <v>169</v>
      </c>
      <c r="F3322" s="38">
        <v>850</v>
      </c>
      <c r="G3322" t="s">
        <v>184</v>
      </c>
    </row>
    <row r="3323" spans="1:7" x14ac:dyDescent="0.25">
      <c r="A3323" s="10" t="s">
        <v>374</v>
      </c>
      <c r="B3323" s="10" t="s">
        <v>596</v>
      </c>
      <c r="C3323" t="str">
        <f>Table13[[#This Row],[Manufacturer]]&amp;" "&amp;Table13[[#This Row],[Model]]</f>
        <v>Tohnichi CLE850Nx32D</v>
      </c>
      <c r="D3323" s="1">
        <v>3</v>
      </c>
      <c r="E3323" s="1" t="s">
        <v>169</v>
      </c>
      <c r="F3323" s="38">
        <v>850</v>
      </c>
      <c r="G3323" t="s">
        <v>184</v>
      </c>
    </row>
    <row r="3324" spans="1:7" x14ac:dyDescent="0.25">
      <c r="A3324" s="10" t="s">
        <v>374</v>
      </c>
      <c r="B3324" s="10" t="s">
        <v>595</v>
      </c>
      <c r="C3324" t="str">
        <f>Table13[[#This Row],[Manufacturer]]&amp;" "&amp;Table13[[#This Row],[Model]]</f>
        <v>Tohnichi CLE900FX32D</v>
      </c>
      <c r="D3324" s="1">
        <v>3</v>
      </c>
      <c r="E3324" s="1" t="s">
        <v>169</v>
      </c>
      <c r="F3324" s="38">
        <v>900</v>
      </c>
      <c r="G3324" t="s">
        <v>166</v>
      </c>
    </row>
    <row r="3325" spans="1:7" x14ac:dyDescent="0.25">
      <c r="A3325" s="10" t="s">
        <v>374</v>
      </c>
      <c r="B3325" s="10" t="s">
        <v>594</v>
      </c>
      <c r="C3325" t="str">
        <f>Table13[[#This Row],[Manufacturer]]&amp;" "&amp;Table13[[#This Row],[Model]]</f>
        <v>Tohnichi CSP1.5N4X8D</v>
      </c>
      <c r="D3325" s="1">
        <v>3</v>
      </c>
      <c r="E3325" s="1" t="s">
        <v>169</v>
      </c>
      <c r="F3325" s="38">
        <v>13</v>
      </c>
      <c r="G3325" t="s">
        <v>164</v>
      </c>
    </row>
    <row r="3326" spans="1:7" x14ac:dyDescent="0.25">
      <c r="A3326" s="10" t="s">
        <v>374</v>
      </c>
      <c r="B3326" s="10" t="s">
        <v>593</v>
      </c>
      <c r="C3326" t="str">
        <f>Table13[[#This Row],[Manufacturer]]&amp;" "&amp;Table13[[#This Row],[Model]]</f>
        <v>Tohnichi CSP12N4</v>
      </c>
      <c r="D3326" s="1">
        <v>3</v>
      </c>
      <c r="E3326" s="1" t="s">
        <v>169</v>
      </c>
      <c r="F3326" s="38">
        <v>12</v>
      </c>
      <c r="G3326" t="s">
        <v>184</v>
      </c>
    </row>
    <row r="3327" spans="1:7" x14ac:dyDescent="0.25">
      <c r="A3327" s="10" t="s">
        <v>374</v>
      </c>
      <c r="B3327" s="10" t="s">
        <v>592</v>
      </c>
      <c r="C3327" t="str">
        <f>Table13[[#This Row],[Manufacturer]]&amp;" "&amp;Table13[[#This Row],[Model]]</f>
        <v>Tohnichi CSP140N3</v>
      </c>
      <c r="D3327" s="1">
        <v>3</v>
      </c>
      <c r="E3327" s="1" t="s">
        <v>169</v>
      </c>
      <c r="F3327" s="38">
        <v>140</v>
      </c>
      <c r="G3327" t="s">
        <v>184</v>
      </c>
    </row>
    <row r="3328" spans="1:7" x14ac:dyDescent="0.25">
      <c r="A3328" s="10" t="s">
        <v>374</v>
      </c>
      <c r="B3328" s="10" t="s">
        <v>591</v>
      </c>
      <c r="C3328" t="str">
        <f>Table13[[#This Row],[Manufacturer]]&amp;" "&amp;Table13[[#This Row],[Model]]</f>
        <v>Tohnichi CSP180N3</v>
      </c>
      <c r="D3328" s="1">
        <v>3</v>
      </c>
      <c r="E3328" s="1" t="s">
        <v>169</v>
      </c>
      <c r="F3328" s="38">
        <v>180</v>
      </c>
      <c r="G3328" t="s">
        <v>184</v>
      </c>
    </row>
    <row r="3329" spans="1:7" x14ac:dyDescent="0.25">
      <c r="A3329" s="10" t="s">
        <v>374</v>
      </c>
      <c r="B3329" s="10" t="s">
        <v>590</v>
      </c>
      <c r="C3329" t="str">
        <f>Table13[[#This Row],[Manufacturer]]&amp;" "&amp;Table13[[#This Row],[Model]]</f>
        <v>Tohnichi CSP3N4</v>
      </c>
      <c r="D3329" s="1">
        <v>3</v>
      </c>
      <c r="E3329" s="1" t="s">
        <v>169</v>
      </c>
      <c r="F3329" s="38">
        <v>3</v>
      </c>
      <c r="G3329" t="s">
        <v>184</v>
      </c>
    </row>
    <row r="3330" spans="1:7" x14ac:dyDescent="0.25">
      <c r="A3330" s="10" t="s">
        <v>374</v>
      </c>
      <c r="B3330" s="10" t="s">
        <v>589</v>
      </c>
      <c r="C3330" t="str">
        <f>Table13[[#This Row],[Manufacturer]]&amp;" "&amp;Table13[[#This Row],[Model]]</f>
        <v>Tohnichi CSP45N4</v>
      </c>
      <c r="D3330" s="1">
        <v>3</v>
      </c>
      <c r="E3330" s="1" t="s">
        <v>169</v>
      </c>
      <c r="F3330" s="38">
        <v>45</v>
      </c>
      <c r="G3330" t="s">
        <v>184</v>
      </c>
    </row>
    <row r="3331" spans="1:7" x14ac:dyDescent="0.25">
      <c r="A3331" s="10" t="s">
        <v>374</v>
      </c>
      <c r="B3331" s="10" t="s">
        <v>588</v>
      </c>
      <c r="C3331" t="str">
        <f>Table13[[#This Row],[Manufacturer]]&amp;" "&amp;Table13[[#This Row],[Model]]</f>
        <v>Tohnichi CSP6N4</v>
      </c>
      <c r="D3331" s="1">
        <v>3</v>
      </c>
      <c r="E3331" s="1" t="s">
        <v>169</v>
      </c>
      <c r="F3331" s="38">
        <v>6</v>
      </c>
      <c r="G3331" t="s">
        <v>184</v>
      </c>
    </row>
    <row r="3332" spans="1:7" x14ac:dyDescent="0.25">
      <c r="A3332" s="10" t="s">
        <v>374</v>
      </c>
      <c r="B3332" s="10" t="s">
        <v>587</v>
      </c>
      <c r="C3332" t="str">
        <f>Table13[[#This Row],[Manufacturer]]&amp;" "&amp;Table13[[#This Row],[Model]]</f>
        <v>Tohnichi QL1.5N4</v>
      </c>
      <c r="D3332" s="1">
        <v>3</v>
      </c>
      <c r="E3332" s="1" t="s">
        <v>169</v>
      </c>
      <c r="F3332" s="38">
        <v>1.5</v>
      </c>
      <c r="G3332" t="s">
        <v>184</v>
      </c>
    </row>
    <row r="3333" spans="1:7" x14ac:dyDescent="0.25">
      <c r="A3333" s="10" t="s">
        <v>374</v>
      </c>
      <c r="B3333" s="10" t="s">
        <v>586</v>
      </c>
      <c r="C3333" t="str">
        <f>Table13[[#This Row],[Manufacturer]]&amp;" "&amp;Table13[[#This Row],[Model]]</f>
        <v>Tohnichi QL1000F-8A</v>
      </c>
      <c r="D3333" s="1">
        <v>3</v>
      </c>
      <c r="E3333" s="1" t="s">
        <v>169</v>
      </c>
      <c r="F3333" s="38">
        <v>1000</v>
      </c>
      <c r="G3333" t="s">
        <v>166</v>
      </c>
    </row>
    <row r="3334" spans="1:7" x14ac:dyDescent="0.25">
      <c r="A3334" s="10" t="s">
        <v>374</v>
      </c>
      <c r="B3334" s="10" t="s">
        <v>585</v>
      </c>
      <c r="C3334" t="str">
        <f>Table13[[#This Row],[Manufacturer]]&amp;" "&amp;Table13[[#This Row],[Model]]</f>
        <v>Tohnichi QL100F-4A</v>
      </c>
      <c r="D3334" s="1">
        <v>3</v>
      </c>
      <c r="E3334" s="1" t="s">
        <v>169</v>
      </c>
      <c r="F3334" s="38">
        <v>100</v>
      </c>
      <c r="G3334" t="s">
        <v>166</v>
      </c>
    </row>
    <row r="3335" spans="1:7" x14ac:dyDescent="0.25">
      <c r="A3335" s="10" t="s">
        <v>374</v>
      </c>
      <c r="B3335" s="10" t="s">
        <v>584</v>
      </c>
      <c r="C3335" t="str">
        <f>Table13[[#This Row],[Manufacturer]]&amp;" "&amp;Table13[[#This Row],[Model]]</f>
        <v>Tohnichi QL100I-2A</v>
      </c>
      <c r="D3335" s="1">
        <v>3</v>
      </c>
      <c r="E3335" s="1" t="s">
        <v>169</v>
      </c>
      <c r="F3335" s="38">
        <v>100</v>
      </c>
      <c r="G3335" t="s">
        <v>164</v>
      </c>
    </row>
    <row r="3336" spans="1:7" x14ac:dyDescent="0.25">
      <c r="A3336" s="10" t="s">
        <v>374</v>
      </c>
      <c r="B3336" s="10" t="s">
        <v>583</v>
      </c>
      <c r="C3336" t="str">
        <f>Table13[[#This Row],[Manufacturer]]&amp;" "&amp;Table13[[#This Row],[Model]]</f>
        <v>Tohnichi QL100I-2A-MH</v>
      </c>
      <c r="D3336" s="1">
        <v>3</v>
      </c>
      <c r="E3336" s="1" t="s">
        <v>169</v>
      </c>
      <c r="F3336" s="38">
        <v>100</v>
      </c>
      <c r="G3336" t="s">
        <v>164</v>
      </c>
    </row>
    <row r="3337" spans="1:7" x14ac:dyDescent="0.25">
      <c r="A3337" s="10" t="s">
        <v>374</v>
      </c>
      <c r="B3337" s="10" t="s">
        <v>582</v>
      </c>
      <c r="C3337" t="str">
        <f>Table13[[#This Row],[Manufacturer]]&amp;" "&amp;Table13[[#This Row],[Model]]</f>
        <v>Tohnichi QL100N4</v>
      </c>
      <c r="D3337" s="1">
        <v>3</v>
      </c>
      <c r="E3337" s="1" t="s">
        <v>169</v>
      </c>
      <c r="F3337" s="38">
        <v>100</v>
      </c>
      <c r="G3337" t="s">
        <v>184</v>
      </c>
    </row>
    <row r="3338" spans="1:7" x14ac:dyDescent="0.25">
      <c r="A3338" s="10" t="s">
        <v>374</v>
      </c>
      <c r="B3338" s="10" t="s">
        <v>581</v>
      </c>
      <c r="C3338" t="str">
        <f>Table13[[#This Row],[Manufacturer]]&amp;" "&amp;Table13[[#This Row],[Model]]</f>
        <v>Tohnichi QL100N4-3/8</v>
      </c>
      <c r="D3338" s="1">
        <v>3</v>
      </c>
      <c r="E3338" s="1" t="s">
        <v>169</v>
      </c>
      <c r="F3338" s="38">
        <v>100</v>
      </c>
      <c r="G3338" t="s">
        <v>184</v>
      </c>
    </row>
    <row r="3339" spans="1:7" x14ac:dyDescent="0.25">
      <c r="A3339" s="10" t="s">
        <v>374</v>
      </c>
      <c r="B3339" s="10" t="s">
        <v>580</v>
      </c>
      <c r="C3339" t="str">
        <f>Table13[[#This Row],[Manufacturer]]&amp;" "&amp;Table13[[#This Row],[Model]]</f>
        <v>Tohnichi QL10N-MH</v>
      </c>
      <c r="D3339" s="1">
        <v>3</v>
      </c>
      <c r="E3339" s="1" t="s">
        <v>169</v>
      </c>
      <c r="F3339" s="38">
        <v>10</v>
      </c>
      <c r="G3339" t="s">
        <v>184</v>
      </c>
    </row>
    <row r="3340" spans="1:7" x14ac:dyDescent="0.25">
      <c r="A3340" s="10" t="s">
        <v>374</v>
      </c>
      <c r="B3340" s="10" t="s">
        <v>579</v>
      </c>
      <c r="C3340" t="str">
        <f>Table13[[#This Row],[Manufacturer]]&amp;" "&amp;Table13[[#This Row],[Model]]</f>
        <v>Tohnichi QL12N4</v>
      </c>
      <c r="D3340" s="1">
        <v>3</v>
      </c>
      <c r="E3340" s="1" t="s">
        <v>169</v>
      </c>
      <c r="F3340" s="38">
        <v>12</v>
      </c>
      <c r="G3340" t="s">
        <v>184</v>
      </c>
    </row>
    <row r="3341" spans="1:7" x14ac:dyDescent="0.25">
      <c r="A3341" s="10" t="s">
        <v>374</v>
      </c>
      <c r="B3341" s="10" t="s">
        <v>578</v>
      </c>
      <c r="C3341" t="str">
        <f>Table13[[#This Row],[Manufacturer]]&amp;" "&amp;Table13[[#This Row],[Model]]</f>
        <v>Tohnichi QL140N</v>
      </c>
      <c r="D3341" s="1">
        <v>3</v>
      </c>
      <c r="E3341" s="1" t="s">
        <v>169</v>
      </c>
      <c r="F3341" s="38">
        <v>140</v>
      </c>
      <c r="G3341" t="s">
        <v>184</v>
      </c>
    </row>
    <row r="3342" spans="1:7" x14ac:dyDescent="0.25">
      <c r="A3342" s="10" t="s">
        <v>374</v>
      </c>
      <c r="B3342" s="10" t="s">
        <v>577</v>
      </c>
      <c r="C3342" t="str">
        <f>Table13[[#This Row],[Manufacturer]]&amp;" "&amp;Table13[[#This Row],[Model]]</f>
        <v>Tohnichi QL140N-MH</v>
      </c>
      <c r="D3342" s="1">
        <v>3</v>
      </c>
      <c r="E3342" s="1" t="s">
        <v>169</v>
      </c>
      <c r="F3342" s="38">
        <v>140</v>
      </c>
      <c r="G3342" t="s">
        <v>184</v>
      </c>
    </row>
    <row r="3343" spans="1:7" x14ac:dyDescent="0.25">
      <c r="A3343" s="10" t="s">
        <v>374</v>
      </c>
      <c r="B3343" s="10" t="s">
        <v>576</v>
      </c>
      <c r="C3343" t="str">
        <f>Table13[[#This Row],[Manufacturer]]&amp;" "&amp;Table13[[#This Row],[Model]]</f>
        <v>Tohnichi QL1500F-8A</v>
      </c>
      <c r="D3343" s="1">
        <v>3</v>
      </c>
      <c r="E3343" s="1" t="s">
        <v>169</v>
      </c>
      <c r="F3343" s="38">
        <v>1500</v>
      </c>
      <c r="G3343" t="s">
        <v>166</v>
      </c>
    </row>
    <row r="3344" spans="1:7" x14ac:dyDescent="0.25">
      <c r="A3344" s="10" t="s">
        <v>374</v>
      </c>
      <c r="B3344" s="10" t="s">
        <v>575</v>
      </c>
      <c r="C3344" t="str">
        <f>Table13[[#This Row],[Manufacturer]]&amp;" "&amp;Table13[[#This Row],[Model]]</f>
        <v>Tohnichi QL150F-4A</v>
      </c>
      <c r="D3344" s="1">
        <v>3</v>
      </c>
      <c r="E3344" s="1" t="s">
        <v>169</v>
      </c>
      <c r="F3344" s="38">
        <v>150</v>
      </c>
      <c r="G3344" t="s">
        <v>166</v>
      </c>
    </row>
    <row r="3345" spans="1:7" x14ac:dyDescent="0.25">
      <c r="A3345" s="10" t="s">
        <v>374</v>
      </c>
      <c r="B3345" s="10" t="s">
        <v>574</v>
      </c>
      <c r="C3345" t="str">
        <f>Table13[[#This Row],[Manufacturer]]&amp;" "&amp;Table13[[#This Row],[Model]]</f>
        <v>Tohnichi QL15-2A-MH</v>
      </c>
      <c r="D3345" s="1">
        <v>3</v>
      </c>
      <c r="E3345" s="1" t="s">
        <v>169</v>
      </c>
      <c r="F3345" s="38">
        <v>15</v>
      </c>
      <c r="G3345" t="s">
        <v>164</v>
      </c>
    </row>
    <row r="3346" spans="1:7" x14ac:dyDescent="0.25">
      <c r="A3346" s="10" t="s">
        <v>374</v>
      </c>
      <c r="B3346" s="10" t="s">
        <v>573</v>
      </c>
      <c r="C3346" t="str">
        <f>Table13[[#This Row],[Manufacturer]]&amp;" "&amp;Table13[[#This Row],[Model]]</f>
        <v>Tohnichi QL15I-2A-MH</v>
      </c>
      <c r="D3346" s="1">
        <v>3</v>
      </c>
      <c r="E3346" s="1" t="s">
        <v>169</v>
      </c>
      <c r="F3346" s="38">
        <v>15</v>
      </c>
      <c r="G3346" t="s">
        <v>164</v>
      </c>
    </row>
    <row r="3347" spans="1:7" x14ac:dyDescent="0.25">
      <c r="A3347" s="10" t="s">
        <v>374</v>
      </c>
      <c r="B3347" s="10" t="s">
        <v>572</v>
      </c>
      <c r="C3347" t="str">
        <f>Table13[[#This Row],[Manufacturer]]&amp;" "&amp;Table13[[#This Row],[Model]]</f>
        <v>Tohnichi QL15N-MH</v>
      </c>
      <c r="D3347" s="1">
        <v>3</v>
      </c>
      <c r="E3347" s="1" t="s">
        <v>169</v>
      </c>
      <c r="F3347" s="38">
        <v>15</v>
      </c>
      <c r="G3347" t="s">
        <v>184</v>
      </c>
    </row>
    <row r="3348" spans="1:7" x14ac:dyDescent="0.25">
      <c r="A3348" s="10" t="s">
        <v>374</v>
      </c>
      <c r="B3348" s="10" t="s">
        <v>571</v>
      </c>
      <c r="C3348" t="str">
        <f>Table13[[#This Row],[Manufacturer]]&amp;" "&amp;Table13[[#This Row],[Model]]</f>
        <v>Tohnichi QL200F-4A</v>
      </c>
      <c r="D3348" s="1">
        <v>3</v>
      </c>
      <c r="E3348" s="1" t="s">
        <v>169</v>
      </c>
      <c r="F3348" s="38">
        <v>200</v>
      </c>
      <c r="G3348" t="s">
        <v>166</v>
      </c>
    </row>
    <row r="3349" spans="1:7" x14ac:dyDescent="0.25">
      <c r="A3349" s="10" t="s">
        <v>374</v>
      </c>
      <c r="B3349" s="10" t="s">
        <v>570</v>
      </c>
      <c r="C3349" t="str">
        <f>Table13[[#This Row],[Manufacturer]]&amp;" "&amp;Table13[[#This Row],[Model]]</f>
        <v>Tohnichi QL200I-2A</v>
      </c>
      <c r="D3349" s="1">
        <v>3</v>
      </c>
      <c r="E3349" s="1" t="s">
        <v>169</v>
      </c>
      <c r="F3349" s="38">
        <v>200</v>
      </c>
      <c r="G3349" t="s">
        <v>164</v>
      </c>
    </row>
    <row r="3350" spans="1:7" x14ac:dyDescent="0.25">
      <c r="A3350" s="10" t="s">
        <v>374</v>
      </c>
      <c r="B3350" s="10" t="s">
        <v>569</v>
      </c>
      <c r="C3350" t="str">
        <f>Table13[[#This Row],[Manufacturer]]&amp;" "&amp;Table13[[#This Row],[Model]]</f>
        <v>Tohnichi QL200I-3A</v>
      </c>
      <c r="D3350" s="1">
        <v>3</v>
      </c>
      <c r="E3350" s="1" t="s">
        <v>169</v>
      </c>
      <c r="F3350" s="38">
        <v>200</v>
      </c>
      <c r="G3350" t="s">
        <v>164</v>
      </c>
    </row>
    <row r="3351" spans="1:7" x14ac:dyDescent="0.25">
      <c r="A3351" s="10" t="s">
        <v>374</v>
      </c>
      <c r="B3351" s="10" t="s">
        <v>568</v>
      </c>
      <c r="C3351" t="str">
        <f>Table13[[#This Row],[Manufacturer]]&amp;" "&amp;Table13[[#This Row],[Model]]</f>
        <v>Tohnichi QL200N4</v>
      </c>
      <c r="D3351" s="1">
        <v>3</v>
      </c>
      <c r="E3351" s="1" t="s">
        <v>169</v>
      </c>
      <c r="F3351" s="38">
        <v>200</v>
      </c>
      <c r="G3351" t="s">
        <v>184</v>
      </c>
    </row>
    <row r="3352" spans="1:7" x14ac:dyDescent="0.25">
      <c r="A3352" s="10" t="s">
        <v>374</v>
      </c>
      <c r="B3352" s="10" t="s">
        <v>567</v>
      </c>
      <c r="C3352" t="str">
        <f>Table13[[#This Row],[Manufacturer]]&amp;" "&amp;Table13[[#This Row],[Model]]</f>
        <v>Tohnichi QL200N-MH</v>
      </c>
      <c r="D3352" s="1">
        <v>3</v>
      </c>
      <c r="E3352" s="1" t="s">
        <v>169</v>
      </c>
      <c r="F3352" s="38">
        <v>200</v>
      </c>
      <c r="G3352" t="s">
        <v>184</v>
      </c>
    </row>
    <row r="3353" spans="1:7" x14ac:dyDescent="0.25">
      <c r="A3353" s="10" t="s">
        <v>374</v>
      </c>
      <c r="B3353" s="10" t="s">
        <v>566</v>
      </c>
      <c r="C3353" t="str">
        <f>Table13[[#This Row],[Manufacturer]]&amp;" "&amp;Table13[[#This Row],[Model]]</f>
        <v>Tohnichi QL250F-6A</v>
      </c>
      <c r="D3353" s="1">
        <v>3</v>
      </c>
      <c r="E3353" s="1" t="s">
        <v>169</v>
      </c>
      <c r="F3353" s="38">
        <v>250</v>
      </c>
      <c r="G3353" t="s">
        <v>166</v>
      </c>
    </row>
    <row r="3354" spans="1:7" x14ac:dyDescent="0.25">
      <c r="A3354" s="10" t="s">
        <v>374</v>
      </c>
      <c r="B3354" s="10" t="s">
        <v>565</v>
      </c>
      <c r="C3354" t="str">
        <f>Table13[[#This Row],[Manufacturer]]&amp;" "&amp;Table13[[#This Row],[Model]]</f>
        <v>Tohnichi QL25N</v>
      </c>
      <c r="D3354" s="1">
        <v>3</v>
      </c>
      <c r="E3354" s="1" t="s">
        <v>169</v>
      </c>
      <c r="F3354" s="38">
        <v>25</v>
      </c>
      <c r="G3354" t="s">
        <v>184</v>
      </c>
    </row>
    <row r="3355" spans="1:7" x14ac:dyDescent="0.25">
      <c r="A3355" s="10" t="s">
        <v>374</v>
      </c>
      <c r="B3355" s="10" t="s">
        <v>564</v>
      </c>
      <c r="C3355" t="str">
        <f>Table13[[#This Row],[Manufacturer]]&amp;" "&amp;Table13[[#This Row],[Model]]</f>
        <v>Tohnichi QL25N-1/4</v>
      </c>
      <c r="D3355" s="1">
        <v>3</v>
      </c>
      <c r="E3355" s="1" t="s">
        <v>169</v>
      </c>
      <c r="F3355" s="38">
        <v>25</v>
      </c>
      <c r="G3355" t="s">
        <v>184</v>
      </c>
    </row>
    <row r="3356" spans="1:7" x14ac:dyDescent="0.25">
      <c r="A3356" s="10" t="s">
        <v>374</v>
      </c>
      <c r="B3356" s="10" t="s">
        <v>563</v>
      </c>
      <c r="C3356" t="str">
        <f>Table13[[#This Row],[Manufacturer]]&amp;" "&amp;Table13[[#This Row],[Model]]</f>
        <v>Tohnichi QL25N-MH</v>
      </c>
      <c r="D3356" s="1">
        <v>3</v>
      </c>
      <c r="E3356" s="1" t="s">
        <v>169</v>
      </c>
      <c r="F3356" s="38">
        <v>25</v>
      </c>
      <c r="G3356" t="s">
        <v>184</v>
      </c>
    </row>
    <row r="3357" spans="1:7" x14ac:dyDescent="0.25">
      <c r="A3357" s="10" t="s">
        <v>374</v>
      </c>
      <c r="B3357" s="10" t="s">
        <v>562</v>
      </c>
      <c r="C3357" t="str">
        <f>Table13[[#This Row],[Manufacturer]]&amp;" "&amp;Table13[[#This Row],[Model]]</f>
        <v>Tohnichi QL280N</v>
      </c>
      <c r="D3357" s="1">
        <v>3</v>
      </c>
      <c r="E3357" s="1" t="s">
        <v>169</v>
      </c>
      <c r="F3357" s="38">
        <v>280</v>
      </c>
      <c r="G3357" t="s">
        <v>184</v>
      </c>
    </row>
    <row r="3358" spans="1:7" x14ac:dyDescent="0.25">
      <c r="A3358" s="10" t="s">
        <v>374</v>
      </c>
      <c r="B3358" s="10" t="s">
        <v>561</v>
      </c>
      <c r="C3358" t="str">
        <f>Table13[[#This Row],[Manufacturer]]&amp;" "&amp;Table13[[#This Row],[Model]]</f>
        <v>Tohnichi QL280N-1/2</v>
      </c>
      <c r="D3358" s="1">
        <v>3</v>
      </c>
      <c r="E3358" s="1" t="s">
        <v>169</v>
      </c>
      <c r="F3358" s="38">
        <v>280</v>
      </c>
      <c r="G3358" t="s">
        <v>184</v>
      </c>
    </row>
    <row r="3359" spans="1:7" x14ac:dyDescent="0.25">
      <c r="A3359" s="10" t="s">
        <v>374</v>
      </c>
      <c r="B3359" s="10" t="s">
        <v>560</v>
      </c>
      <c r="C3359" t="str">
        <f>Table13[[#This Row],[Manufacturer]]&amp;" "&amp;Table13[[#This Row],[Model]]</f>
        <v>Tohnichi QL280N-MH</v>
      </c>
      <c r="D3359" s="1">
        <v>3</v>
      </c>
      <c r="E3359" s="1" t="s">
        <v>169</v>
      </c>
      <c r="F3359" s="38">
        <v>280</v>
      </c>
      <c r="G3359" t="s">
        <v>184</v>
      </c>
    </row>
    <row r="3360" spans="1:7" x14ac:dyDescent="0.25">
      <c r="A3360" s="10" t="s">
        <v>374</v>
      </c>
      <c r="B3360" s="10" t="s">
        <v>559</v>
      </c>
      <c r="C3360" t="str">
        <f>Table13[[#This Row],[Manufacturer]]&amp;" "&amp;Table13[[#This Row],[Model]]</f>
        <v>Tohnichi QL2N-MH</v>
      </c>
      <c r="D3360" s="1">
        <v>3</v>
      </c>
      <c r="E3360" s="1" t="s">
        <v>169</v>
      </c>
      <c r="F3360" s="38">
        <v>2</v>
      </c>
      <c r="G3360" t="s">
        <v>184</v>
      </c>
    </row>
    <row r="3361" spans="1:7" x14ac:dyDescent="0.25">
      <c r="A3361" s="10" t="s">
        <v>374</v>
      </c>
      <c r="B3361" s="10" t="s">
        <v>558</v>
      </c>
      <c r="C3361" t="str">
        <f>Table13[[#This Row],[Manufacturer]]&amp;" "&amp;Table13[[#This Row],[Model]]</f>
        <v>Tohnichi QL300F-6A</v>
      </c>
      <c r="D3361" s="1">
        <v>3</v>
      </c>
      <c r="E3361" s="1" t="s">
        <v>169</v>
      </c>
      <c r="F3361" s="38">
        <v>300</v>
      </c>
      <c r="G3361" t="s">
        <v>166</v>
      </c>
    </row>
    <row r="3362" spans="1:7" x14ac:dyDescent="0.25">
      <c r="A3362" s="10" t="s">
        <v>374</v>
      </c>
      <c r="B3362" s="10" t="s">
        <v>557</v>
      </c>
      <c r="C3362" t="str">
        <f>Table13[[#This Row],[Manufacturer]]&amp;" "&amp;Table13[[#This Row],[Model]]</f>
        <v>Tohnichi QL30I-2A-MH</v>
      </c>
      <c r="D3362" s="1">
        <v>3</v>
      </c>
      <c r="E3362" s="1" t="s">
        <v>169</v>
      </c>
      <c r="F3362" s="38">
        <v>30</v>
      </c>
      <c r="G3362" t="s">
        <v>164</v>
      </c>
    </row>
    <row r="3363" spans="1:7" x14ac:dyDescent="0.25">
      <c r="A3363" s="10" t="s">
        <v>374</v>
      </c>
      <c r="B3363" s="10" t="s">
        <v>556</v>
      </c>
      <c r="C3363" t="str">
        <f>Table13[[#This Row],[Manufacturer]]&amp;" "&amp;Table13[[#This Row],[Model]]</f>
        <v>Tohnichi QL3N4</v>
      </c>
      <c r="D3363" s="1">
        <v>3</v>
      </c>
      <c r="E3363" s="1" t="s">
        <v>169</v>
      </c>
      <c r="F3363" s="38">
        <v>3</v>
      </c>
      <c r="G3363" t="s">
        <v>184</v>
      </c>
    </row>
    <row r="3364" spans="1:7" x14ac:dyDescent="0.25">
      <c r="A3364" s="10" t="s">
        <v>374</v>
      </c>
      <c r="B3364" s="10" t="s">
        <v>555</v>
      </c>
      <c r="C3364" t="str">
        <f>Table13[[#This Row],[Manufacturer]]&amp;" "&amp;Table13[[#This Row],[Model]]</f>
        <v>Tohnichi QL400F-6A</v>
      </c>
      <c r="D3364" s="1">
        <v>3</v>
      </c>
      <c r="E3364" s="1" t="s">
        <v>169</v>
      </c>
      <c r="F3364" s="38">
        <v>400</v>
      </c>
      <c r="G3364" t="s">
        <v>166</v>
      </c>
    </row>
    <row r="3365" spans="1:7" x14ac:dyDescent="0.25">
      <c r="A3365" s="10" t="s">
        <v>374</v>
      </c>
      <c r="B3365" s="10" t="s">
        <v>554</v>
      </c>
      <c r="C3365" t="str">
        <f>Table13[[#This Row],[Manufacturer]]&amp;" "&amp;Table13[[#This Row],[Model]]</f>
        <v>Tohnichi QL400I-3A</v>
      </c>
      <c r="D3365" s="1">
        <v>3</v>
      </c>
      <c r="E3365" s="1" t="s">
        <v>169</v>
      </c>
      <c r="F3365" s="38">
        <v>400</v>
      </c>
      <c r="G3365" t="s">
        <v>164</v>
      </c>
    </row>
    <row r="3366" spans="1:7" x14ac:dyDescent="0.25">
      <c r="A3366" s="10" t="s">
        <v>374</v>
      </c>
      <c r="B3366" s="10" t="s">
        <v>553</v>
      </c>
      <c r="C3366" t="str">
        <f>Table13[[#This Row],[Manufacturer]]&amp;" "&amp;Table13[[#This Row],[Model]]</f>
        <v>Tohnichi QL420N</v>
      </c>
      <c r="D3366" s="1">
        <v>3</v>
      </c>
      <c r="E3366" s="1" t="s">
        <v>169</v>
      </c>
      <c r="F3366" s="38">
        <v>420</v>
      </c>
      <c r="G3366" t="s">
        <v>184</v>
      </c>
    </row>
    <row r="3367" spans="1:7" x14ac:dyDescent="0.25">
      <c r="A3367" s="10" t="s">
        <v>374</v>
      </c>
      <c r="B3367" s="10" t="s">
        <v>552</v>
      </c>
      <c r="C3367" t="str">
        <f>Table13[[#This Row],[Manufacturer]]&amp;" "&amp;Table13[[#This Row],[Model]]</f>
        <v>Tohnichi QL50I-2A</v>
      </c>
      <c r="D3367" s="1">
        <v>3</v>
      </c>
      <c r="E3367" s="1" t="s">
        <v>169</v>
      </c>
      <c r="F3367" s="38">
        <v>50</v>
      </c>
      <c r="G3367" t="s">
        <v>164</v>
      </c>
    </row>
    <row r="3368" spans="1:7" x14ac:dyDescent="0.25">
      <c r="A3368" s="10" t="s">
        <v>374</v>
      </c>
      <c r="B3368" s="10" t="s">
        <v>551</v>
      </c>
      <c r="C3368" t="str">
        <f>Table13[[#This Row],[Manufacturer]]&amp;" "&amp;Table13[[#This Row],[Model]]</f>
        <v>Tohnichi QL50I-2A-MH</v>
      </c>
      <c r="D3368" s="1">
        <v>3</v>
      </c>
      <c r="E3368" s="1" t="s">
        <v>169</v>
      </c>
      <c r="F3368" s="38">
        <v>50</v>
      </c>
      <c r="G3368" t="s">
        <v>164</v>
      </c>
    </row>
    <row r="3369" spans="1:7" x14ac:dyDescent="0.25">
      <c r="A3369" s="10" t="s">
        <v>374</v>
      </c>
      <c r="B3369" s="10" t="s">
        <v>550</v>
      </c>
      <c r="C3369" t="str">
        <f>Table13[[#This Row],[Manufacturer]]&amp;" "&amp;Table13[[#This Row],[Model]]</f>
        <v>Tohnichi QL50N</v>
      </c>
      <c r="D3369" s="1">
        <v>3</v>
      </c>
      <c r="E3369" s="1" t="s">
        <v>169</v>
      </c>
      <c r="F3369" s="38">
        <v>50</v>
      </c>
      <c r="G3369" t="s">
        <v>184</v>
      </c>
    </row>
    <row r="3370" spans="1:7" x14ac:dyDescent="0.25">
      <c r="A3370" s="10" t="s">
        <v>374</v>
      </c>
      <c r="B3370" s="10" t="s">
        <v>549</v>
      </c>
      <c r="C3370" t="str">
        <f>Table13[[#This Row],[Manufacturer]]&amp;" "&amp;Table13[[#This Row],[Model]]</f>
        <v>Tohnichi QL50N-MH</v>
      </c>
      <c r="D3370" s="1">
        <v>3</v>
      </c>
      <c r="E3370" s="1" t="s">
        <v>169</v>
      </c>
      <c r="F3370" s="38">
        <v>50</v>
      </c>
      <c r="G3370" t="s">
        <v>184</v>
      </c>
    </row>
    <row r="3371" spans="1:7" x14ac:dyDescent="0.25">
      <c r="A3371" s="10" t="s">
        <v>374</v>
      </c>
      <c r="B3371" s="10" t="s">
        <v>548</v>
      </c>
      <c r="C3371" t="str">
        <f>Table13[[#This Row],[Manufacturer]]&amp;" "&amp;Table13[[#This Row],[Model]]</f>
        <v>Tohnichi QL5N-MH</v>
      </c>
      <c r="D3371" s="1">
        <v>3</v>
      </c>
      <c r="E3371" s="1" t="s">
        <v>169</v>
      </c>
      <c r="F3371" s="38">
        <v>5</v>
      </c>
      <c r="G3371" t="s">
        <v>184</v>
      </c>
    </row>
    <row r="3372" spans="1:7" x14ac:dyDescent="0.25">
      <c r="A3372" s="10" t="s">
        <v>374</v>
      </c>
      <c r="B3372" s="10" t="s">
        <v>547</v>
      </c>
      <c r="C3372" t="str">
        <f>Table13[[#This Row],[Manufacturer]]&amp;" "&amp;Table13[[#This Row],[Model]]</f>
        <v>Tohnichi QL600F-6A</v>
      </c>
      <c r="D3372" s="1">
        <v>3</v>
      </c>
      <c r="E3372" s="1" t="s">
        <v>169</v>
      </c>
      <c r="F3372" s="38">
        <v>600</v>
      </c>
      <c r="G3372" t="s">
        <v>166</v>
      </c>
    </row>
    <row r="3373" spans="1:7" x14ac:dyDescent="0.25">
      <c r="A3373" s="10" t="s">
        <v>374</v>
      </c>
      <c r="B3373" s="10" t="s">
        <v>546</v>
      </c>
      <c r="C3373" t="str">
        <f>Table13[[#This Row],[Manufacturer]]&amp;" "&amp;Table13[[#This Row],[Model]]</f>
        <v>Tohnichi QL6N4</v>
      </c>
      <c r="D3373" s="1">
        <v>3</v>
      </c>
      <c r="E3373" s="1" t="s">
        <v>169</v>
      </c>
      <c r="F3373" s="38">
        <v>6</v>
      </c>
      <c r="G3373" t="s">
        <v>184</v>
      </c>
    </row>
    <row r="3374" spans="1:7" x14ac:dyDescent="0.25">
      <c r="A3374" s="10" t="s">
        <v>374</v>
      </c>
      <c r="B3374" s="10" t="s">
        <v>545</v>
      </c>
      <c r="C3374" t="str">
        <f>Table13[[#This Row],[Manufacturer]]&amp;" "&amp;Table13[[#This Row],[Model]]</f>
        <v>Tohnichi QL700F-8A</v>
      </c>
      <c r="D3374" s="1">
        <v>3</v>
      </c>
      <c r="E3374" s="1" t="s">
        <v>169</v>
      </c>
      <c r="F3374" s="38">
        <v>700</v>
      </c>
      <c r="G3374" t="s">
        <v>166</v>
      </c>
    </row>
    <row r="3375" spans="1:7" x14ac:dyDescent="0.25">
      <c r="A3375" s="10" t="s">
        <v>374</v>
      </c>
      <c r="B3375" s="10" t="s">
        <v>544</v>
      </c>
      <c r="C3375" t="str">
        <f>Table13[[#This Row],[Manufacturer]]&amp;" "&amp;Table13[[#This Row],[Model]]</f>
        <v>Tohnichi QL7501-3A</v>
      </c>
      <c r="D3375" s="1">
        <v>3</v>
      </c>
      <c r="E3375" s="1" t="s">
        <v>169</v>
      </c>
      <c r="F3375" s="38">
        <v>750</v>
      </c>
      <c r="G3375" t="s">
        <v>164</v>
      </c>
    </row>
    <row r="3376" spans="1:7" x14ac:dyDescent="0.25">
      <c r="A3376" s="10" t="s">
        <v>374</v>
      </c>
      <c r="B3376" s="10" t="s">
        <v>543</v>
      </c>
      <c r="C3376" t="str">
        <f>Table13[[#This Row],[Manufacturer]]&amp;" "&amp;Table13[[#This Row],[Model]]</f>
        <v>Tohnichi QL750I-3A</v>
      </c>
      <c r="D3376" s="1">
        <v>3</v>
      </c>
      <c r="E3376" s="1" t="s">
        <v>169</v>
      </c>
      <c r="F3376" s="38">
        <v>750</v>
      </c>
      <c r="G3376" t="s">
        <v>164</v>
      </c>
    </row>
    <row r="3377" spans="1:7" x14ac:dyDescent="0.25">
      <c r="A3377" s="10" t="s">
        <v>374</v>
      </c>
      <c r="B3377" s="10" t="s">
        <v>542</v>
      </c>
      <c r="C3377" t="str">
        <f>Table13[[#This Row],[Manufacturer]]&amp;" "&amp;Table13[[#This Row],[Model]]</f>
        <v>Tohnichi QL75F-3A</v>
      </c>
      <c r="D3377" s="1">
        <v>3</v>
      </c>
      <c r="E3377" s="1" t="s">
        <v>169</v>
      </c>
      <c r="F3377" s="38">
        <v>75</v>
      </c>
      <c r="G3377" t="s">
        <v>166</v>
      </c>
    </row>
    <row r="3378" spans="1:7" x14ac:dyDescent="0.25">
      <c r="A3378" s="10" t="s">
        <v>374</v>
      </c>
      <c r="B3378" s="10" t="s">
        <v>541</v>
      </c>
      <c r="C3378" t="str">
        <f>Table13[[#This Row],[Manufacturer]]&amp;" "&amp;Table13[[#This Row],[Model]]</f>
        <v>Tohnichi QLE1000N</v>
      </c>
      <c r="D3378" s="1">
        <v>3</v>
      </c>
      <c r="E3378" s="1" t="s">
        <v>169</v>
      </c>
      <c r="F3378" s="38">
        <v>1000</v>
      </c>
      <c r="G3378" t="s">
        <v>184</v>
      </c>
    </row>
    <row r="3379" spans="1:7" x14ac:dyDescent="0.25">
      <c r="A3379" s="10" t="s">
        <v>374</v>
      </c>
      <c r="B3379" s="10" t="s">
        <v>540</v>
      </c>
      <c r="C3379" t="str">
        <f>Table13[[#This Row],[Manufacturer]]&amp;" "&amp;Table13[[#This Row],[Model]]</f>
        <v>Tohnichi QLE1400N</v>
      </c>
      <c r="D3379" s="1">
        <v>3</v>
      </c>
      <c r="E3379" s="1" t="s">
        <v>169</v>
      </c>
      <c r="F3379" s="38">
        <v>1400</v>
      </c>
      <c r="G3379" t="s">
        <v>184</v>
      </c>
    </row>
    <row r="3380" spans="1:7" x14ac:dyDescent="0.25">
      <c r="A3380" s="10" t="s">
        <v>374</v>
      </c>
      <c r="B3380" s="10" t="s">
        <v>539</v>
      </c>
      <c r="C3380" t="str">
        <f>Table13[[#This Row],[Manufacturer]]&amp;" "&amp;Table13[[#This Row],[Model]]</f>
        <v>Tohnichi QLE2100N</v>
      </c>
      <c r="D3380" s="1">
        <v>3</v>
      </c>
      <c r="E3380" s="1" t="s">
        <v>169</v>
      </c>
      <c r="F3380" s="38">
        <v>2100</v>
      </c>
      <c r="G3380" t="s">
        <v>184</v>
      </c>
    </row>
    <row r="3381" spans="1:7" x14ac:dyDescent="0.25">
      <c r="A3381" s="10" t="s">
        <v>374</v>
      </c>
      <c r="B3381" s="10" t="s">
        <v>538</v>
      </c>
      <c r="C3381" t="str">
        <f>Table13[[#This Row],[Manufacturer]]&amp;" "&amp;Table13[[#This Row],[Model]]</f>
        <v>Tohnichi QLE550N</v>
      </c>
      <c r="D3381" s="1">
        <v>3</v>
      </c>
      <c r="E3381" s="1" t="s">
        <v>169</v>
      </c>
      <c r="F3381" s="38">
        <v>550</v>
      </c>
      <c r="G3381" t="s">
        <v>184</v>
      </c>
    </row>
    <row r="3382" spans="1:7" x14ac:dyDescent="0.25">
      <c r="A3382" s="10" t="s">
        <v>374</v>
      </c>
      <c r="B3382" s="10" t="s">
        <v>537</v>
      </c>
      <c r="C3382" t="str">
        <f>Table13[[#This Row],[Manufacturer]]&amp;" "&amp;Table13[[#This Row],[Model]]</f>
        <v>Tohnichi QLE750N</v>
      </c>
      <c r="D3382" s="1">
        <v>3</v>
      </c>
      <c r="E3382" s="1" t="s">
        <v>169</v>
      </c>
      <c r="F3382" s="38">
        <v>750</v>
      </c>
      <c r="G3382" t="s">
        <v>184</v>
      </c>
    </row>
    <row r="3383" spans="1:7" x14ac:dyDescent="0.25">
      <c r="A3383" s="10" t="s">
        <v>374</v>
      </c>
      <c r="B3383" s="10" t="s">
        <v>536</v>
      </c>
      <c r="C3383" t="str">
        <f>Table13[[#This Row],[Manufacturer]]&amp;" "&amp;Table13[[#This Row],[Model]]</f>
        <v>Tohnichi QSP1.5N4</v>
      </c>
      <c r="D3383" s="1">
        <v>3</v>
      </c>
      <c r="E3383" s="1" t="s">
        <v>169</v>
      </c>
      <c r="F3383" s="38">
        <v>1.5</v>
      </c>
      <c r="G3383" t="s">
        <v>184</v>
      </c>
    </row>
    <row r="3384" spans="1:7" x14ac:dyDescent="0.25">
      <c r="A3384" s="10" t="s">
        <v>374</v>
      </c>
      <c r="B3384" s="10" t="s">
        <v>535</v>
      </c>
      <c r="C3384" t="str">
        <f>Table13[[#This Row],[Manufacturer]]&amp;" "&amp;Table13[[#This Row],[Model]]</f>
        <v>Tohnichi QSP100N4-3/8</v>
      </c>
      <c r="D3384" s="1">
        <v>3</v>
      </c>
      <c r="E3384" s="1" t="s">
        <v>169</v>
      </c>
      <c r="F3384" s="38">
        <v>100</v>
      </c>
      <c r="G3384" t="s">
        <v>184</v>
      </c>
    </row>
    <row r="3385" spans="1:7" x14ac:dyDescent="0.25">
      <c r="A3385" s="10" t="s">
        <v>374</v>
      </c>
      <c r="B3385" s="10" t="s">
        <v>534</v>
      </c>
      <c r="C3385" t="str">
        <f>Table13[[#This Row],[Manufacturer]]&amp;" "&amp;Table13[[#This Row],[Model]]</f>
        <v>Tohnichi QSP12N4</v>
      </c>
      <c r="D3385" s="1">
        <v>3</v>
      </c>
      <c r="E3385" s="1" t="s">
        <v>169</v>
      </c>
      <c r="F3385" s="38">
        <v>12</v>
      </c>
      <c r="G3385" t="s">
        <v>184</v>
      </c>
    </row>
    <row r="3386" spans="1:7" x14ac:dyDescent="0.25">
      <c r="A3386" s="10" t="s">
        <v>374</v>
      </c>
      <c r="B3386" s="10" t="s">
        <v>533</v>
      </c>
      <c r="C3386" t="str">
        <f>Table13[[#This Row],[Manufacturer]]&amp;" "&amp;Table13[[#This Row],[Model]]</f>
        <v>Tohnichi QSP140N3</v>
      </c>
      <c r="D3386" s="1">
        <v>3</v>
      </c>
      <c r="E3386" s="1" t="s">
        <v>169</v>
      </c>
      <c r="F3386" s="38">
        <v>140</v>
      </c>
      <c r="G3386" t="s">
        <v>184</v>
      </c>
    </row>
    <row r="3387" spans="1:7" x14ac:dyDescent="0.25">
      <c r="A3387" s="10" t="s">
        <v>374</v>
      </c>
      <c r="B3387" s="10" t="s">
        <v>532</v>
      </c>
      <c r="C3387" t="str">
        <f>Table13[[#This Row],[Manufacturer]]&amp;" "&amp;Table13[[#This Row],[Model]]</f>
        <v>Tohnichi QSP2001-2A</v>
      </c>
      <c r="D3387" s="1">
        <v>3</v>
      </c>
      <c r="E3387" s="1" t="s">
        <v>169</v>
      </c>
      <c r="F3387" s="38">
        <v>200</v>
      </c>
      <c r="G3387" t="s">
        <v>164</v>
      </c>
    </row>
    <row r="3388" spans="1:7" x14ac:dyDescent="0.25">
      <c r="A3388" s="10" t="s">
        <v>374</v>
      </c>
      <c r="B3388" s="10" t="s">
        <v>531</v>
      </c>
      <c r="C3388" t="str">
        <f>Table13[[#This Row],[Manufacturer]]&amp;" "&amp;Table13[[#This Row],[Model]]</f>
        <v>Tohnichi QSP200F-4A</v>
      </c>
      <c r="D3388" s="1">
        <v>3</v>
      </c>
      <c r="E3388" s="1" t="s">
        <v>169</v>
      </c>
      <c r="F3388" s="38">
        <v>2400</v>
      </c>
      <c r="G3388" t="s">
        <v>164</v>
      </c>
    </row>
    <row r="3389" spans="1:7" x14ac:dyDescent="0.25">
      <c r="A3389" s="10" t="s">
        <v>374</v>
      </c>
      <c r="B3389" s="10" t="s">
        <v>530</v>
      </c>
      <c r="C3389" t="str">
        <f>Table13[[#This Row],[Manufacturer]]&amp;" "&amp;Table13[[#This Row],[Model]]</f>
        <v>Tohnichi QSP200N4</v>
      </c>
      <c r="D3389" s="1">
        <v>3</v>
      </c>
      <c r="E3389" s="1" t="s">
        <v>169</v>
      </c>
      <c r="F3389" s="38">
        <v>200</v>
      </c>
      <c r="G3389" t="s">
        <v>184</v>
      </c>
    </row>
    <row r="3390" spans="1:7" x14ac:dyDescent="0.25">
      <c r="A3390" s="10" t="s">
        <v>374</v>
      </c>
      <c r="B3390" s="10" t="s">
        <v>529</v>
      </c>
      <c r="C3390" t="str">
        <f>Table13[[#This Row],[Manufacturer]]&amp;" "&amp;Table13[[#This Row],[Model]]</f>
        <v>Tohnichi QSP25N3</v>
      </c>
      <c r="D3390" s="1">
        <v>3</v>
      </c>
      <c r="E3390" s="1" t="s">
        <v>169</v>
      </c>
      <c r="F3390" s="38">
        <v>25</v>
      </c>
      <c r="G3390" t="s">
        <v>184</v>
      </c>
    </row>
    <row r="3391" spans="1:7" x14ac:dyDescent="0.25">
      <c r="A3391" s="10" t="s">
        <v>374</v>
      </c>
      <c r="B3391" s="10" t="s">
        <v>528</v>
      </c>
      <c r="C3391" t="str">
        <f>Table13[[#This Row],[Manufacturer]]&amp;" "&amp;Table13[[#This Row],[Model]]</f>
        <v>Tohnichi QSP25N3-1/4</v>
      </c>
      <c r="D3391" s="1">
        <v>3</v>
      </c>
      <c r="E3391" s="1" t="s">
        <v>169</v>
      </c>
      <c r="F3391" s="38">
        <v>25</v>
      </c>
      <c r="G3391" t="s">
        <v>184</v>
      </c>
    </row>
    <row r="3392" spans="1:7" x14ac:dyDescent="0.25">
      <c r="A3392" s="10" t="s">
        <v>374</v>
      </c>
      <c r="B3392" s="10" t="s">
        <v>527</v>
      </c>
      <c r="C3392" t="str">
        <f>Table13[[#This Row],[Manufacturer]]&amp;" "&amp;Table13[[#This Row],[Model]]</f>
        <v>Tohnichi QSP280N3</v>
      </c>
      <c r="D3392" s="1">
        <v>3</v>
      </c>
      <c r="E3392" s="1" t="s">
        <v>169</v>
      </c>
      <c r="F3392" s="38">
        <v>280</v>
      </c>
      <c r="G3392" t="s">
        <v>184</v>
      </c>
    </row>
    <row r="3393" spans="1:7" x14ac:dyDescent="0.25">
      <c r="A3393" s="10" t="s">
        <v>374</v>
      </c>
      <c r="B3393" s="10" t="s">
        <v>526</v>
      </c>
      <c r="C3393" t="str">
        <f>Table13[[#This Row],[Manufacturer]]&amp;" "&amp;Table13[[#This Row],[Model]]</f>
        <v>Tohnichi QSP280N3-1/2</v>
      </c>
      <c r="D3393" s="1">
        <v>3</v>
      </c>
      <c r="E3393" s="1" t="s">
        <v>169</v>
      </c>
      <c r="F3393" s="38">
        <v>280</v>
      </c>
      <c r="G3393" t="s">
        <v>184</v>
      </c>
    </row>
    <row r="3394" spans="1:7" x14ac:dyDescent="0.25">
      <c r="A3394" s="10" t="s">
        <v>374</v>
      </c>
      <c r="B3394" s="10" t="s">
        <v>525</v>
      </c>
      <c r="C3394" t="str">
        <f>Table13[[#This Row],[Manufacturer]]&amp;" "&amp;Table13[[#This Row],[Model]]</f>
        <v>Tohnichi QSP3N4</v>
      </c>
      <c r="D3394" s="1">
        <v>3</v>
      </c>
      <c r="E3394" s="1" t="s">
        <v>169</v>
      </c>
      <c r="F3394" s="38">
        <v>3</v>
      </c>
      <c r="G3394" t="s">
        <v>184</v>
      </c>
    </row>
    <row r="3395" spans="1:7" x14ac:dyDescent="0.25">
      <c r="A3395" s="10" t="s">
        <v>374</v>
      </c>
      <c r="B3395" s="10" t="s">
        <v>524</v>
      </c>
      <c r="C3395" t="str">
        <f>Table13[[#This Row],[Manufacturer]]&amp;" "&amp;Table13[[#This Row],[Model]]</f>
        <v>Tohnichi QSP4420N</v>
      </c>
      <c r="D3395" s="1">
        <v>3</v>
      </c>
      <c r="E3395" s="1" t="s">
        <v>169</v>
      </c>
      <c r="F3395" s="38">
        <v>420</v>
      </c>
      <c r="G3395" t="s">
        <v>184</v>
      </c>
    </row>
    <row r="3396" spans="1:7" x14ac:dyDescent="0.25">
      <c r="A3396" s="10" t="s">
        <v>374</v>
      </c>
      <c r="B3396" s="10" t="s">
        <v>523</v>
      </c>
      <c r="C3396" t="str">
        <f>Table13[[#This Row],[Manufacturer]]&amp;" "&amp;Table13[[#This Row],[Model]]</f>
        <v>Tohnichi QSP50N3</v>
      </c>
      <c r="D3396" s="1">
        <v>3</v>
      </c>
      <c r="E3396" s="1" t="s">
        <v>169</v>
      </c>
      <c r="F3396" s="38">
        <v>50</v>
      </c>
      <c r="G3396" t="s">
        <v>184</v>
      </c>
    </row>
    <row r="3397" spans="1:7" x14ac:dyDescent="0.25">
      <c r="A3397" s="10" t="s">
        <v>374</v>
      </c>
      <c r="B3397" s="10" t="s">
        <v>522</v>
      </c>
      <c r="C3397" t="str">
        <f>Table13[[#This Row],[Manufacturer]]&amp;" "&amp;Table13[[#This Row],[Model]]</f>
        <v>Tohnichi QSP6N4</v>
      </c>
      <c r="D3397" s="1">
        <v>3</v>
      </c>
      <c r="E3397" s="1" t="s">
        <v>169</v>
      </c>
      <c r="F3397" s="38">
        <v>6</v>
      </c>
      <c r="G3397" t="s">
        <v>184</v>
      </c>
    </row>
    <row r="3398" spans="1:7" x14ac:dyDescent="0.25">
      <c r="A3398" s="10" t="s">
        <v>374</v>
      </c>
      <c r="B3398" s="10" t="s">
        <v>521</v>
      </c>
      <c r="C3398" t="str">
        <f>Table13[[#This Row],[Manufacturer]]&amp;" "&amp;Table13[[#This Row],[Model]]</f>
        <v>Tohnichi QSP750I-3A</v>
      </c>
      <c r="D3398" s="1">
        <v>3</v>
      </c>
      <c r="E3398" s="1" t="s">
        <v>169</v>
      </c>
      <c r="F3398" s="38">
        <v>750</v>
      </c>
      <c r="G3398" t="s">
        <v>164</v>
      </c>
    </row>
    <row r="3399" spans="1:7" x14ac:dyDescent="0.25">
      <c r="A3399" s="10" t="s">
        <v>374</v>
      </c>
      <c r="B3399" s="10" t="s">
        <v>520</v>
      </c>
      <c r="C3399" t="str">
        <f>Table13[[#This Row],[Manufacturer]]&amp;" "&amp;Table13[[#This Row],[Model]]</f>
        <v>Tohnichi RSP120N2</v>
      </c>
      <c r="D3399" s="1">
        <v>3</v>
      </c>
      <c r="E3399" s="1" t="s">
        <v>169</v>
      </c>
      <c r="F3399" s="38">
        <v>73.75</v>
      </c>
      <c r="G3399" t="s">
        <v>166</v>
      </c>
    </row>
    <row r="3400" spans="1:7" x14ac:dyDescent="0.25">
      <c r="A3400" s="10" t="s">
        <v>374</v>
      </c>
      <c r="B3400" s="10" t="s">
        <v>519</v>
      </c>
      <c r="C3400" t="str">
        <f>Table13[[#This Row],[Manufacturer]]&amp;" "&amp;Table13[[#This Row],[Model]]</f>
        <v>Tohnichi RSP120N2-MH</v>
      </c>
      <c r="D3400" s="1">
        <v>3</v>
      </c>
      <c r="E3400" s="1" t="s">
        <v>169</v>
      </c>
      <c r="F3400" s="38">
        <v>88.5</v>
      </c>
      <c r="G3400" t="s">
        <v>166</v>
      </c>
    </row>
    <row r="3401" spans="1:7" x14ac:dyDescent="0.25">
      <c r="A3401" s="10" t="s">
        <v>374</v>
      </c>
      <c r="B3401" s="10" t="s">
        <v>518</v>
      </c>
      <c r="C3401" t="str">
        <f>Table13[[#This Row],[Manufacturer]]&amp;" "&amp;Table13[[#This Row],[Model]]</f>
        <v>Tohnichi RSP160N2</v>
      </c>
      <c r="D3401" s="1">
        <v>3</v>
      </c>
      <c r="E3401" s="1" t="s">
        <v>169</v>
      </c>
      <c r="F3401" s="38">
        <v>118</v>
      </c>
      <c r="G3401" t="s">
        <v>166</v>
      </c>
    </row>
    <row r="3402" spans="1:7" x14ac:dyDescent="0.25">
      <c r="A3402" s="10" t="s">
        <v>374</v>
      </c>
      <c r="B3402" s="10" t="s">
        <v>517</v>
      </c>
      <c r="C3402" t="str">
        <f>Table13[[#This Row],[Manufacturer]]&amp;" "&amp;Table13[[#This Row],[Model]]</f>
        <v>Tohnichi RSP160N2-MH</v>
      </c>
      <c r="D3402" s="1">
        <v>3</v>
      </c>
      <c r="E3402" s="1" t="s">
        <v>169</v>
      </c>
      <c r="F3402" s="38">
        <v>118</v>
      </c>
      <c r="G3402" t="s">
        <v>166</v>
      </c>
    </row>
    <row r="3403" spans="1:7" x14ac:dyDescent="0.25">
      <c r="A3403" s="10" t="s">
        <v>374</v>
      </c>
      <c r="B3403" s="10" t="s">
        <v>516</v>
      </c>
      <c r="C3403" t="str">
        <f>Table13[[#This Row],[Manufacturer]]&amp;" "&amp;Table13[[#This Row],[Model]]</f>
        <v>Tohnichi RSP19N2</v>
      </c>
      <c r="D3403" s="1">
        <v>3</v>
      </c>
      <c r="E3403" s="1" t="s">
        <v>169</v>
      </c>
      <c r="F3403" s="38">
        <v>125</v>
      </c>
      <c r="G3403" t="s">
        <v>164</v>
      </c>
    </row>
    <row r="3404" spans="1:7" x14ac:dyDescent="0.25">
      <c r="A3404" s="10" t="s">
        <v>374</v>
      </c>
      <c r="B3404" s="10" t="s">
        <v>515</v>
      </c>
      <c r="C3404" t="str">
        <f>Table13[[#This Row],[Manufacturer]]&amp;" "&amp;Table13[[#This Row],[Model]]</f>
        <v>Tohnichi RSP19N2-MH</v>
      </c>
      <c r="D3404" s="1">
        <v>3</v>
      </c>
      <c r="E3404" s="1" t="s">
        <v>169</v>
      </c>
      <c r="F3404" s="38">
        <v>15.5</v>
      </c>
      <c r="G3404" t="s">
        <v>166</v>
      </c>
    </row>
    <row r="3405" spans="1:7" x14ac:dyDescent="0.25">
      <c r="A3405" s="10" t="s">
        <v>374</v>
      </c>
      <c r="B3405" s="10" t="s">
        <v>514</v>
      </c>
      <c r="C3405" t="str">
        <f>Table13[[#This Row],[Manufacturer]]&amp;" "&amp;Table13[[#This Row],[Model]]</f>
        <v>Tohnichi RSP220N2</v>
      </c>
      <c r="D3405" s="1">
        <v>3</v>
      </c>
      <c r="E3405" s="1" t="s">
        <v>169</v>
      </c>
      <c r="F3405" s="38">
        <v>162.30000000000001</v>
      </c>
      <c r="G3405" t="s">
        <v>166</v>
      </c>
    </row>
    <row r="3406" spans="1:7" x14ac:dyDescent="0.25">
      <c r="A3406" s="10" t="s">
        <v>374</v>
      </c>
      <c r="B3406" s="10" t="s">
        <v>513</v>
      </c>
      <c r="C3406" t="str">
        <f>Table13[[#This Row],[Manufacturer]]&amp;" "&amp;Table13[[#This Row],[Model]]</f>
        <v>Tohnichi RSP220N2-MH</v>
      </c>
      <c r="D3406" s="1">
        <v>3</v>
      </c>
      <c r="E3406" s="1" t="s">
        <v>169</v>
      </c>
      <c r="F3406" s="38">
        <v>162.30000000000001</v>
      </c>
      <c r="G3406" t="s">
        <v>166</v>
      </c>
    </row>
    <row r="3407" spans="1:7" x14ac:dyDescent="0.25">
      <c r="A3407" s="10" t="s">
        <v>374</v>
      </c>
      <c r="B3407" s="10" t="s">
        <v>512</v>
      </c>
      <c r="C3407" t="str">
        <f>Table13[[#This Row],[Manufacturer]]&amp;" "&amp;Table13[[#This Row],[Model]]</f>
        <v>Tohnichi RSP310N2</v>
      </c>
      <c r="D3407" s="1">
        <v>3</v>
      </c>
      <c r="E3407" s="1" t="s">
        <v>169</v>
      </c>
      <c r="F3407" s="38">
        <v>188</v>
      </c>
      <c r="G3407" t="s">
        <v>166</v>
      </c>
    </row>
    <row r="3408" spans="1:7" x14ac:dyDescent="0.25">
      <c r="A3408" s="10" t="s">
        <v>374</v>
      </c>
      <c r="B3408" s="10" t="s">
        <v>511</v>
      </c>
      <c r="C3408" t="str">
        <f>Table13[[#This Row],[Manufacturer]]&amp;" "&amp;Table13[[#This Row],[Model]]</f>
        <v>Tohnichi RSP310N2-MH</v>
      </c>
      <c r="D3408" s="1">
        <v>3</v>
      </c>
      <c r="E3408" s="1" t="s">
        <v>169</v>
      </c>
      <c r="F3408" s="38">
        <v>228.6</v>
      </c>
      <c r="G3408" t="s">
        <v>166</v>
      </c>
    </row>
    <row r="3409" spans="1:7" x14ac:dyDescent="0.25">
      <c r="A3409" s="10" t="s">
        <v>374</v>
      </c>
      <c r="B3409" s="10" t="s">
        <v>510</v>
      </c>
      <c r="C3409" t="str">
        <f>Table13[[#This Row],[Manufacturer]]&amp;" "&amp;Table13[[#This Row],[Model]]</f>
        <v>Tohnichi RSP38N2</v>
      </c>
      <c r="D3409" s="1">
        <v>3</v>
      </c>
      <c r="E3409" s="1" t="s">
        <v>169</v>
      </c>
      <c r="F3409" s="38">
        <v>22</v>
      </c>
      <c r="G3409" t="s">
        <v>166</v>
      </c>
    </row>
    <row r="3410" spans="1:7" x14ac:dyDescent="0.25">
      <c r="A3410" s="10" t="s">
        <v>374</v>
      </c>
      <c r="B3410" s="10" t="s">
        <v>509</v>
      </c>
      <c r="C3410" t="str">
        <f>Table13[[#This Row],[Manufacturer]]&amp;" "&amp;Table13[[#This Row],[Model]]</f>
        <v>Tohnichi RSP38N2-MH</v>
      </c>
      <c r="D3410" s="1">
        <v>3</v>
      </c>
      <c r="E3410" s="1" t="s">
        <v>169</v>
      </c>
      <c r="F3410" s="38">
        <v>31</v>
      </c>
      <c r="G3410" t="s">
        <v>166</v>
      </c>
    </row>
    <row r="3411" spans="1:7" x14ac:dyDescent="0.25">
      <c r="A3411" s="10" t="s">
        <v>374</v>
      </c>
      <c r="B3411" s="10" t="s">
        <v>508</v>
      </c>
      <c r="C3411" t="str">
        <f>Table13[[#This Row],[Manufacturer]]&amp;" "&amp;Table13[[#This Row],[Model]]</f>
        <v>Tohnichi RSP67N2</v>
      </c>
      <c r="D3411" s="1">
        <v>3</v>
      </c>
      <c r="E3411" s="1" t="s">
        <v>169</v>
      </c>
      <c r="F3411" s="38">
        <v>43.5</v>
      </c>
      <c r="G3411" t="s">
        <v>166</v>
      </c>
    </row>
    <row r="3412" spans="1:7" x14ac:dyDescent="0.25">
      <c r="A3412" s="10" t="s">
        <v>374</v>
      </c>
      <c r="B3412" s="10" t="s">
        <v>507</v>
      </c>
      <c r="C3412" t="str">
        <f>Table13[[#This Row],[Manufacturer]]&amp;" "&amp;Table13[[#This Row],[Model]]</f>
        <v>Tohnichi RSP67N2-MH</v>
      </c>
      <c r="D3412" s="1">
        <v>3</v>
      </c>
      <c r="E3412" s="1" t="s">
        <v>169</v>
      </c>
      <c r="F3412" s="38">
        <v>53.8</v>
      </c>
      <c r="G3412" t="s">
        <v>166</v>
      </c>
    </row>
    <row r="3413" spans="1:7" x14ac:dyDescent="0.25">
      <c r="A3413" s="10" t="s">
        <v>374</v>
      </c>
      <c r="B3413" s="10" t="s">
        <v>506</v>
      </c>
      <c r="C3413" t="str">
        <f>Table13[[#This Row],[Manufacturer]]&amp;" "&amp;Table13[[#This Row],[Model]]</f>
        <v>Tohnichi RSP8N2</v>
      </c>
      <c r="D3413" s="1">
        <v>3</v>
      </c>
      <c r="E3413" s="1" t="s">
        <v>169</v>
      </c>
      <c r="F3413" s="38">
        <v>80</v>
      </c>
      <c r="G3413" t="s">
        <v>164</v>
      </c>
    </row>
    <row r="3414" spans="1:7" x14ac:dyDescent="0.25">
      <c r="A3414" s="10" t="s">
        <v>374</v>
      </c>
      <c r="B3414" s="10" t="s">
        <v>505</v>
      </c>
      <c r="C3414" t="str">
        <f>Table13[[#This Row],[Manufacturer]]&amp;" "&amp;Table13[[#This Row],[Model]]</f>
        <v>Tohnichi SP120N2</v>
      </c>
      <c r="D3414" s="1">
        <v>3</v>
      </c>
      <c r="E3414" s="1" t="s">
        <v>169</v>
      </c>
      <c r="F3414" s="38">
        <v>120</v>
      </c>
      <c r="G3414" t="s">
        <v>184</v>
      </c>
    </row>
    <row r="3415" spans="1:7" x14ac:dyDescent="0.25">
      <c r="A3415" s="10" t="s">
        <v>374</v>
      </c>
      <c r="B3415" s="10" t="s">
        <v>504</v>
      </c>
      <c r="C3415" t="str">
        <f>Table13[[#This Row],[Manufacturer]]&amp;" "&amp;Table13[[#This Row],[Model]]</f>
        <v>Tohnichi SP120N2-MH</v>
      </c>
      <c r="D3415" s="1">
        <v>3</v>
      </c>
      <c r="E3415" s="1" t="s">
        <v>169</v>
      </c>
      <c r="F3415" s="38">
        <v>120</v>
      </c>
      <c r="G3415" t="s">
        <v>184</v>
      </c>
    </row>
    <row r="3416" spans="1:7" x14ac:dyDescent="0.25">
      <c r="A3416" s="10" t="s">
        <v>374</v>
      </c>
      <c r="B3416" s="10" t="s">
        <v>503</v>
      </c>
      <c r="C3416" t="str">
        <f>Table13[[#This Row],[Manufacturer]]&amp;" "&amp;Table13[[#This Row],[Model]]</f>
        <v>Tohnichi SP160N2</v>
      </c>
      <c r="D3416" s="1">
        <v>3</v>
      </c>
      <c r="E3416" s="1" t="s">
        <v>169</v>
      </c>
      <c r="F3416" s="38">
        <v>160</v>
      </c>
      <c r="G3416" t="s">
        <v>184</v>
      </c>
    </row>
    <row r="3417" spans="1:7" x14ac:dyDescent="0.25">
      <c r="A3417" s="10" t="s">
        <v>374</v>
      </c>
      <c r="B3417" s="10" t="s">
        <v>502</v>
      </c>
      <c r="C3417" t="str">
        <f>Table13[[#This Row],[Manufacturer]]&amp;" "&amp;Table13[[#This Row],[Model]]</f>
        <v>Tohnichi SP160N2-MH</v>
      </c>
      <c r="D3417" s="1">
        <v>3</v>
      </c>
      <c r="E3417" s="1" t="s">
        <v>169</v>
      </c>
      <c r="F3417" s="38">
        <v>160</v>
      </c>
      <c r="G3417" t="s">
        <v>184</v>
      </c>
    </row>
    <row r="3418" spans="1:7" x14ac:dyDescent="0.25">
      <c r="A3418" s="10" t="s">
        <v>374</v>
      </c>
      <c r="B3418" s="10" t="s">
        <v>501</v>
      </c>
      <c r="C3418" t="str">
        <f>Table13[[#This Row],[Manufacturer]]&amp;" "&amp;Table13[[#This Row],[Model]]</f>
        <v>Tohnichi SP19N2</v>
      </c>
      <c r="D3418" s="1">
        <v>3</v>
      </c>
      <c r="E3418" s="1" t="s">
        <v>169</v>
      </c>
      <c r="F3418" s="38">
        <v>19</v>
      </c>
      <c r="G3418" t="s">
        <v>184</v>
      </c>
    </row>
    <row r="3419" spans="1:7" x14ac:dyDescent="0.25">
      <c r="A3419" s="10" t="s">
        <v>374</v>
      </c>
      <c r="B3419" s="10" t="s">
        <v>500</v>
      </c>
      <c r="C3419" t="str">
        <f>Table13[[#This Row],[Manufacturer]]&amp;" "&amp;Table13[[#This Row],[Model]]</f>
        <v>Tohnichi SP19N2-1</v>
      </c>
      <c r="D3419" s="1">
        <v>3</v>
      </c>
      <c r="E3419" s="1" t="s">
        <v>169</v>
      </c>
      <c r="F3419" s="38">
        <v>19</v>
      </c>
      <c r="G3419" t="s">
        <v>184</v>
      </c>
    </row>
    <row r="3420" spans="1:7" x14ac:dyDescent="0.25">
      <c r="A3420" s="10" t="s">
        <v>374</v>
      </c>
      <c r="B3420" s="10" t="s">
        <v>499</v>
      </c>
      <c r="C3420" t="str">
        <f>Table13[[#This Row],[Manufacturer]]&amp;" "&amp;Table13[[#This Row],[Model]]</f>
        <v>Tohnichi SP19N2-1-MH</v>
      </c>
      <c r="D3420" s="1">
        <v>3</v>
      </c>
      <c r="E3420" s="1" t="s">
        <v>169</v>
      </c>
      <c r="F3420" s="38">
        <v>19</v>
      </c>
      <c r="G3420" t="s">
        <v>184</v>
      </c>
    </row>
    <row r="3421" spans="1:7" x14ac:dyDescent="0.25">
      <c r="A3421" s="10" t="s">
        <v>374</v>
      </c>
      <c r="B3421" s="10" t="s">
        <v>498</v>
      </c>
      <c r="C3421" t="str">
        <f>Table13[[#This Row],[Manufacturer]]&amp;" "&amp;Table13[[#This Row],[Model]]</f>
        <v>Tohnichi SP19N2-2</v>
      </c>
      <c r="D3421" s="1">
        <v>3</v>
      </c>
      <c r="E3421" s="1" t="s">
        <v>169</v>
      </c>
      <c r="F3421" s="38">
        <v>19</v>
      </c>
      <c r="G3421" t="s">
        <v>184</v>
      </c>
    </row>
    <row r="3422" spans="1:7" x14ac:dyDescent="0.25">
      <c r="A3422" s="10" t="s">
        <v>374</v>
      </c>
      <c r="B3422" s="10" t="s">
        <v>497</v>
      </c>
      <c r="C3422" t="str">
        <f>Table13[[#This Row],[Manufacturer]]&amp;" "&amp;Table13[[#This Row],[Model]]</f>
        <v>Tohnichi SP19N2-2-MH</v>
      </c>
      <c r="D3422" s="1">
        <v>3</v>
      </c>
      <c r="E3422" s="1" t="s">
        <v>169</v>
      </c>
      <c r="F3422" s="38">
        <v>19</v>
      </c>
      <c r="G3422" t="s">
        <v>184</v>
      </c>
    </row>
    <row r="3423" spans="1:7" x14ac:dyDescent="0.25">
      <c r="A3423" s="10" t="s">
        <v>374</v>
      </c>
      <c r="B3423" s="10" t="s">
        <v>496</v>
      </c>
      <c r="C3423" t="str">
        <f>Table13[[#This Row],[Manufacturer]]&amp;" "&amp;Table13[[#This Row],[Model]]</f>
        <v>Tohnichi SP19N2-3</v>
      </c>
      <c r="D3423" s="1">
        <v>3</v>
      </c>
      <c r="E3423" s="1" t="s">
        <v>169</v>
      </c>
      <c r="F3423" s="38">
        <v>19</v>
      </c>
      <c r="G3423" t="s">
        <v>184</v>
      </c>
    </row>
    <row r="3424" spans="1:7" x14ac:dyDescent="0.25">
      <c r="A3424" s="10" t="s">
        <v>374</v>
      </c>
      <c r="B3424" s="10" t="s">
        <v>495</v>
      </c>
      <c r="C3424" t="str">
        <f>Table13[[#This Row],[Manufacturer]]&amp;" "&amp;Table13[[#This Row],[Model]]</f>
        <v>Tohnichi SP19N2-3-MH</v>
      </c>
      <c r="D3424" s="1">
        <v>3</v>
      </c>
      <c r="E3424" s="1" t="s">
        <v>169</v>
      </c>
      <c r="F3424" s="38">
        <v>19</v>
      </c>
      <c r="G3424" t="s">
        <v>184</v>
      </c>
    </row>
    <row r="3425" spans="1:7" x14ac:dyDescent="0.25">
      <c r="A3425" s="10" t="s">
        <v>374</v>
      </c>
      <c r="B3425" s="10" t="s">
        <v>494</v>
      </c>
      <c r="C3425" t="str">
        <f>Table13[[#This Row],[Manufacturer]]&amp;" "&amp;Table13[[#This Row],[Model]]</f>
        <v>Tohnichi SP19N2-MH</v>
      </c>
      <c r="D3425" s="1">
        <v>3</v>
      </c>
      <c r="E3425" s="1" t="s">
        <v>169</v>
      </c>
      <c r="F3425" s="38">
        <v>19</v>
      </c>
      <c r="G3425" t="s">
        <v>184</v>
      </c>
    </row>
    <row r="3426" spans="1:7" x14ac:dyDescent="0.25">
      <c r="A3426" s="10" t="s">
        <v>374</v>
      </c>
      <c r="B3426" s="10" t="s">
        <v>493</v>
      </c>
      <c r="C3426" t="str">
        <f>Table13[[#This Row],[Manufacturer]]&amp;" "&amp;Table13[[#This Row],[Model]]</f>
        <v>Tohnichi SP220N2</v>
      </c>
      <c r="D3426" s="1">
        <v>3</v>
      </c>
      <c r="E3426" s="1" t="s">
        <v>169</v>
      </c>
      <c r="F3426" s="38">
        <v>220</v>
      </c>
      <c r="G3426" t="s">
        <v>184</v>
      </c>
    </row>
    <row r="3427" spans="1:7" x14ac:dyDescent="0.25">
      <c r="A3427" s="10" t="s">
        <v>374</v>
      </c>
      <c r="B3427" s="10" t="s">
        <v>492</v>
      </c>
      <c r="C3427" t="str">
        <f>Table13[[#This Row],[Manufacturer]]&amp;" "&amp;Table13[[#This Row],[Model]]</f>
        <v>Tohnichi SP220N2-MH</v>
      </c>
      <c r="D3427" s="1">
        <v>3</v>
      </c>
      <c r="E3427" s="1" t="s">
        <v>169</v>
      </c>
      <c r="F3427" s="38">
        <v>220</v>
      </c>
      <c r="G3427" t="s">
        <v>184</v>
      </c>
    </row>
    <row r="3428" spans="1:7" x14ac:dyDescent="0.25">
      <c r="A3428" s="10" t="s">
        <v>374</v>
      </c>
      <c r="B3428" s="10" t="s">
        <v>491</v>
      </c>
      <c r="C3428" t="str">
        <f>Table13[[#This Row],[Manufacturer]]&amp;" "&amp;Table13[[#This Row],[Model]]</f>
        <v>Tohnichi SP2N2</v>
      </c>
      <c r="D3428" s="1">
        <v>3</v>
      </c>
      <c r="E3428" s="1" t="s">
        <v>169</v>
      </c>
      <c r="F3428" s="38">
        <v>2</v>
      </c>
      <c r="G3428" t="s">
        <v>184</v>
      </c>
    </row>
    <row r="3429" spans="1:7" x14ac:dyDescent="0.25">
      <c r="A3429" s="10" t="s">
        <v>374</v>
      </c>
      <c r="B3429" s="10" t="s">
        <v>490</v>
      </c>
      <c r="C3429" t="str">
        <f>Table13[[#This Row],[Manufacturer]]&amp;" "&amp;Table13[[#This Row],[Model]]</f>
        <v>Tohnichi SP310N2</v>
      </c>
      <c r="D3429" s="1">
        <v>3</v>
      </c>
      <c r="E3429" s="1" t="s">
        <v>169</v>
      </c>
      <c r="F3429" s="38">
        <v>310</v>
      </c>
      <c r="G3429" t="s">
        <v>184</v>
      </c>
    </row>
    <row r="3430" spans="1:7" x14ac:dyDescent="0.25">
      <c r="A3430" s="10" t="s">
        <v>374</v>
      </c>
      <c r="B3430" s="10" t="s">
        <v>489</v>
      </c>
      <c r="C3430" t="str">
        <f>Table13[[#This Row],[Manufacturer]]&amp;" "&amp;Table13[[#This Row],[Model]]</f>
        <v>Tohnichi SP310N2-MH</v>
      </c>
      <c r="D3430" s="1">
        <v>3</v>
      </c>
      <c r="E3430" s="1" t="s">
        <v>169</v>
      </c>
      <c r="F3430" s="38">
        <v>310</v>
      </c>
      <c r="G3430" t="s">
        <v>184</v>
      </c>
    </row>
    <row r="3431" spans="1:7" x14ac:dyDescent="0.25">
      <c r="A3431" s="10" t="s">
        <v>374</v>
      </c>
      <c r="B3431" s="10" t="s">
        <v>488</v>
      </c>
      <c r="C3431" t="str">
        <f>Table13[[#This Row],[Manufacturer]]&amp;" "&amp;Table13[[#This Row],[Model]]</f>
        <v>Tohnichi SP38N2</v>
      </c>
      <c r="D3431" s="1">
        <v>3</v>
      </c>
      <c r="E3431" s="1" t="s">
        <v>169</v>
      </c>
      <c r="F3431" s="38">
        <v>38</v>
      </c>
      <c r="G3431" t="s">
        <v>184</v>
      </c>
    </row>
    <row r="3432" spans="1:7" x14ac:dyDescent="0.25">
      <c r="A3432" s="10" t="s">
        <v>374</v>
      </c>
      <c r="B3432" s="10" t="s">
        <v>487</v>
      </c>
      <c r="C3432" t="str">
        <f>Table13[[#This Row],[Manufacturer]]&amp;" "&amp;Table13[[#This Row],[Model]]</f>
        <v>Tohnichi SP38N2-1</v>
      </c>
      <c r="D3432" s="1">
        <v>3</v>
      </c>
      <c r="E3432" s="1" t="s">
        <v>169</v>
      </c>
      <c r="F3432" s="38">
        <v>38</v>
      </c>
      <c r="G3432" t="s">
        <v>184</v>
      </c>
    </row>
    <row r="3433" spans="1:7" x14ac:dyDescent="0.25">
      <c r="A3433" s="10" t="s">
        <v>374</v>
      </c>
      <c r="B3433" s="10" t="s">
        <v>486</v>
      </c>
      <c r="C3433" t="str">
        <f>Table13[[#This Row],[Manufacturer]]&amp;" "&amp;Table13[[#This Row],[Model]]</f>
        <v>Tohnichi SP38N2-1-MH</v>
      </c>
      <c r="D3433" s="1">
        <v>3</v>
      </c>
      <c r="E3433" s="1" t="s">
        <v>169</v>
      </c>
      <c r="F3433" s="38">
        <v>38</v>
      </c>
      <c r="G3433" t="s">
        <v>184</v>
      </c>
    </row>
    <row r="3434" spans="1:7" x14ac:dyDescent="0.25">
      <c r="A3434" s="10" t="s">
        <v>374</v>
      </c>
      <c r="B3434" s="10" t="s">
        <v>485</v>
      </c>
      <c r="C3434" t="str">
        <f>Table13[[#This Row],[Manufacturer]]&amp;" "&amp;Table13[[#This Row],[Model]]</f>
        <v>Tohnichi SP38N2-2</v>
      </c>
      <c r="D3434" s="1">
        <v>3</v>
      </c>
      <c r="E3434" s="1" t="s">
        <v>169</v>
      </c>
      <c r="F3434" s="38">
        <v>38</v>
      </c>
      <c r="G3434" t="s">
        <v>184</v>
      </c>
    </row>
    <row r="3435" spans="1:7" x14ac:dyDescent="0.25">
      <c r="A3435" s="10" t="s">
        <v>374</v>
      </c>
      <c r="B3435" s="10" t="s">
        <v>484</v>
      </c>
      <c r="C3435" t="str">
        <f>Table13[[#This Row],[Manufacturer]]&amp;" "&amp;Table13[[#This Row],[Model]]</f>
        <v>Tohnichi SP38N2-2-MH</v>
      </c>
      <c r="D3435" s="1">
        <v>3</v>
      </c>
      <c r="E3435" s="1" t="s">
        <v>169</v>
      </c>
      <c r="F3435" s="38">
        <v>38</v>
      </c>
      <c r="G3435" t="s">
        <v>184</v>
      </c>
    </row>
    <row r="3436" spans="1:7" x14ac:dyDescent="0.25">
      <c r="A3436" s="10" t="s">
        <v>374</v>
      </c>
      <c r="B3436" s="10" t="s">
        <v>483</v>
      </c>
      <c r="C3436" t="str">
        <f>Table13[[#This Row],[Manufacturer]]&amp;" "&amp;Table13[[#This Row],[Model]]</f>
        <v>Tohnichi SP38N2-3</v>
      </c>
      <c r="D3436" s="1">
        <v>3</v>
      </c>
      <c r="E3436" s="1" t="s">
        <v>169</v>
      </c>
      <c r="F3436" s="38">
        <v>38</v>
      </c>
      <c r="G3436" t="s">
        <v>184</v>
      </c>
    </row>
    <row r="3437" spans="1:7" x14ac:dyDescent="0.25">
      <c r="A3437" s="10" t="s">
        <v>374</v>
      </c>
      <c r="B3437" s="10" t="s">
        <v>482</v>
      </c>
      <c r="C3437" t="str">
        <f>Table13[[#This Row],[Manufacturer]]&amp;" "&amp;Table13[[#This Row],[Model]]</f>
        <v>Tohnichi SP38N2-3-MH</v>
      </c>
      <c r="D3437" s="1">
        <v>3</v>
      </c>
      <c r="E3437" s="1" t="s">
        <v>169</v>
      </c>
      <c r="F3437" s="38">
        <v>38</v>
      </c>
      <c r="G3437" t="s">
        <v>184</v>
      </c>
    </row>
    <row r="3438" spans="1:7" x14ac:dyDescent="0.25">
      <c r="A3438" s="10" t="s">
        <v>374</v>
      </c>
      <c r="B3438" s="10" t="s">
        <v>481</v>
      </c>
      <c r="C3438" t="str">
        <f>Table13[[#This Row],[Manufacturer]]&amp;" "&amp;Table13[[#This Row],[Model]]</f>
        <v>Tohnichi SP38N2-MH</v>
      </c>
      <c r="D3438" s="1">
        <v>3</v>
      </c>
      <c r="E3438" s="1" t="s">
        <v>169</v>
      </c>
      <c r="F3438" s="38">
        <v>38</v>
      </c>
      <c r="G3438" t="s">
        <v>184</v>
      </c>
    </row>
    <row r="3439" spans="1:7" x14ac:dyDescent="0.25">
      <c r="A3439" s="10" t="s">
        <v>374</v>
      </c>
      <c r="B3439" s="10" t="s">
        <v>480</v>
      </c>
      <c r="C3439" t="str">
        <f>Table13[[#This Row],[Manufacturer]]&amp;" "&amp;Table13[[#This Row],[Model]]</f>
        <v>Tohnichi SP420N</v>
      </c>
      <c r="D3439" s="1">
        <v>3</v>
      </c>
      <c r="E3439" s="1" t="s">
        <v>169</v>
      </c>
      <c r="F3439" s="38">
        <v>420</v>
      </c>
      <c r="G3439" t="s">
        <v>184</v>
      </c>
    </row>
    <row r="3440" spans="1:7" x14ac:dyDescent="0.25">
      <c r="A3440" s="10" t="s">
        <v>374</v>
      </c>
      <c r="B3440" s="10" t="s">
        <v>479</v>
      </c>
      <c r="C3440" t="str">
        <f>Table13[[#This Row],[Manufacturer]]&amp;" "&amp;Table13[[#This Row],[Model]]</f>
        <v>Tohnichi SP560N</v>
      </c>
      <c r="D3440" s="1">
        <v>3</v>
      </c>
      <c r="E3440" s="1" t="s">
        <v>169</v>
      </c>
      <c r="F3440" s="38">
        <v>560</v>
      </c>
      <c r="G3440" t="s">
        <v>184</v>
      </c>
    </row>
    <row r="3441" spans="1:7" x14ac:dyDescent="0.25">
      <c r="A3441" s="10" t="s">
        <v>374</v>
      </c>
      <c r="B3441" s="10" t="s">
        <v>478</v>
      </c>
      <c r="C3441" t="str">
        <f>Table13[[#This Row],[Manufacturer]]&amp;" "&amp;Table13[[#This Row],[Model]]</f>
        <v>Tohnichi SP67N2</v>
      </c>
      <c r="D3441" s="1">
        <v>3</v>
      </c>
      <c r="E3441" s="1" t="s">
        <v>169</v>
      </c>
      <c r="F3441" s="38">
        <v>67</v>
      </c>
      <c r="G3441" t="s">
        <v>184</v>
      </c>
    </row>
    <row r="3442" spans="1:7" x14ac:dyDescent="0.25">
      <c r="A3442" s="10" t="s">
        <v>374</v>
      </c>
      <c r="B3442" s="10" t="s">
        <v>477</v>
      </c>
      <c r="C3442" t="str">
        <f>Table13[[#This Row],[Manufacturer]]&amp;" "&amp;Table13[[#This Row],[Model]]</f>
        <v>Tohnichi SP67N2-MH</v>
      </c>
      <c r="D3442" s="1">
        <v>3</v>
      </c>
      <c r="E3442" s="1" t="s">
        <v>169</v>
      </c>
      <c r="F3442" s="38">
        <v>67</v>
      </c>
      <c r="G3442" t="s">
        <v>184</v>
      </c>
    </row>
    <row r="3443" spans="1:7" x14ac:dyDescent="0.25">
      <c r="A3443" s="10" t="s">
        <v>374</v>
      </c>
      <c r="B3443" s="10" t="s">
        <v>476</v>
      </c>
      <c r="C3443" t="str">
        <f>Table13[[#This Row],[Manufacturer]]&amp;" "&amp;Table13[[#This Row],[Model]]</f>
        <v>Tohnichi SP8N2</v>
      </c>
      <c r="D3443" s="1">
        <v>3</v>
      </c>
      <c r="E3443" s="1" t="s">
        <v>169</v>
      </c>
      <c r="F3443" s="38">
        <v>8</v>
      </c>
      <c r="G3443" t="s">
        <v>184</v>
      </c>
    </row>
    <row r="3444" spans="1:7" x14ac:dyDescent="0.25">
      <c r="A3444" s="10" t="s">
        <v>374</v>
      </c>
      <c r="B3444" s="10" t="s">
        <v>475</v>
      </c>
      <c r="C3444" t="str">
        <f>Table13[[#This Row],[Manufacturer]]&amp;" "&amp;Table13[[#This Row],[Model]]</f>
        <v>Tohnichi YCL1000I</v>
      </c>
      <c r="D3444" s="1">
        <v>3</v>
      </c>
      <c r="E3444" s="1" t="s">
        <v>169</v>
      </c>
      <c r="F3444" s="38">
        <v>1000</v>
      </c>
      <c r="G3444" t="s">
        <v>164</v>
      </c>
    </row>
    <row r="3445" spans="1:7" x14ac:dyDescent="0.25">
      <c r="A3445" s="10" t="s">
        <v>374</v>
      </c>
      <c r="B3445" s="10" t="s">
        <v>474</v>
      </c>
      <c r="C3445" t="str">
        <f>Table13[[#This Row],[Manufacturer]]&amp;" "&amp;Table13[[#This Row],[Model]]</f>
        <v>Tohnichi YCL100F</v>
      </c>
      <c r="D3445" s="1">
        <v>3</v>
      </c>
      <c r="E3445" s="1" t="s">
        <v>169</v>
      </c>
      <c r="F3445" s="38">
        <v>100</v>
      </c>
      <c r="G3445" t="s">
        <v>166</v>
      </c>
    </row>
    <row r="3446" spans="1:7" x14ac:dyDescent="0.25">
      <c r="A3446" s="10" t="s">
        <v>374</v>
      </c>
      <c r="B3446" s="10" t="s">
        <v>473</v>
      </c>
      <c r="C3446" t="str">
        <f>Table13[[#This Row],[Manufacturer]]&amp;" "&amp;Table13[[#This Row],[Model]]</f>
        <v>Tohnichi YCL100I</v>
      </c>
      <c r="D3446" s="1">
        <v>3</v>
      </c>
      <c r="E3446" s="1" t="s">
        <v>169</v>
      </c>
      <c r="F3446" s="38">
        <v>100</v>
      </c>
      <c r="G3446" t="s">
        <v>164</v>
      </c>
    </row>
    <row r="3447" spans="1:7" x14ac:dyDescent="0.25">
      <c r="A3447" s="10" t="s">
        <v>374</v>
      </c>
      <c r="B3447" s="10" t="s">
        <v>472</v>
      </c>
      <c r="C3447" t="str">
        <f>Table13[[#This Row],[Manufacturer]]&amp;" "&amp;Table13[[#This Row],[Model]]</f>
        <v>Tohnichi YCL150F</v>
      </c>
      <c r="D3447" s="1">
        <v>3</v>
      </c>
      <c r="E3447" s="1" t="s">
        <v>169</v>
      </c>
      <c r="F3447" s="38">
        <v>150</v>
      </c>
      <c r="G3447" t="s">
        <v>166</v>
      </c>
    </row>
    <row r="3448" spans="1:7" x14ac:dyDescent="0.25">
      <c r="A3448" s="10" t="s">
        <v>374</v>
      </c>
      <c r="B3448" s="10" t="s">
        <v>471</v>
      </c>
      <c r="C3448" t="str">
        <f>Table13[[#This Row],[Manufacturer]]&amp;" "&amp;Table13[[#This Row],[Model]]</f>
        <v>Tohnichi YCL200I</v>
      </c>
      <c r="D3448" s="1">
        <v>3</v>
      </c>
      <c r="E3448" s="1" t="s">
        <v>169</v>
      </c>
      <c r="F3448" s="38">
        <v>230</v>
      </c>
      <c r="G3448" t="s">
        <v>164</v>
      </c>
    </row>
    <row r="3449" spans="1:7" x14ac:dyDescent="0.25">
      <c r="A3449" s="10" t="s">
        <v>374</v>
      </c>
      <c r="B3449" s="10" t="s">
        <v>470</v>
      </c>
      <c r="C3449" t="str">
        <f>Table13[[#This Row],[Manufacturer]]&amp;" "&amp;Table13[[#This Row],[Model]]</f>
        <v>Tohnichi YCL400I</v>
      </c>
      <c r="D3449" s="1">
        <v>3</v>
      </c>
      <c r="E3449" s="1" t="s">
        <v>169</v>
      </c>
      <c r="F3449" s="38">
        <v>400</v>
      </c>
      <c r="G3449" t="s">
        <v>164</v>
      </c>
    </row>
    <row r="3450" spans="1:7" x14ac:dyDescent="0.25">
      <c r="A3450" s="10" t="s">
        <v>374</v>
      </c>
      <c r="B3450" s="10" t="s">
        <v>469</v>
      </c>
      <c r="C3450" t="str">
        <f>Table13[[#This Row],[Manufacturer]]&amp;" "&amp;Table13[[#This Row],[Model]]</f>
        <v>Tohnichi YCL600I</v>
      </c>
      <c r="D3450" s="1">
        <v>3</v>
      </c>
      <c r="E3450" s="1" t="s">
        <v>169</v>
      </c>
      <c r="F3450" s="38">
        <v>600</v>
      </c>
      <c r="G3450" t="s">
        <v>164</v>
      </c>
    </row>
    <row r="3451" spans="1:7" x14ac:dyDescent="0.25">
      <c r="A3451" s="10" t="s">
        <v>374</v>
      </c>
      <c r="B3451" s="10" t="s">
        <v>468</v>
      </c>
      <c r="C3451" t="str">
        <f>Table13[[#This Row],[Manufacturer]]&amp;" "&amp;Table13[[#This Row],[Model]]</f>
        <v>Tohnichi YCL750I</v>
      </c>
      <c r="D3451" s="1">
        <v>3</v>
      </c>
      <c r="E3451" s="1" t="s">
        <v>169</v>
      </c>
      <c r="F3451" s="38">
        <v>750</v>
      </c>
      <c r="G3451" t="s">
        <v>164</v>
      </c>
    </row>
    <row r="3452" spans="1:7" x14ac:dyDescent="0.25">
      <c r="A3452" s="10" t="s">
        <v>374</v>
      </c>
      <c r="B3452" s="10" t="s">
        <v>467</v>
      </c>
      <c r="C3452" t="str">
        <f>Table13[[#This Row],[Manufacturer]]&amp;" "&amp;Table13[[#This Row],[Model]]</f>
        <v>Tohnichi 1.5BMLD</v>
      </c>
      <c r="D3452" s="1">
        <v>3</v>
      </c>
      <c r="E3452" s="1" t="s">
        <v>169</v>
      </c>
      <c r="F3452" s="38">
        <v>2.5</v>
      </c>
      <c r="G3452" t="s">
        <v>164</v>
      </c>
    </row>
    <row r="3453" spans="1:7" x14ac:dyDescent="0.25">
      <c r="A3453" s="10" t="s">
        <v>374</v>
      </c>
      <c r="B3453" s="10" t="s">
        <v>466</v>
      </c>
      <c r="C3453" t="str">
        <f>Table13[[#This Row],[Manufacturer]]&amp;" "&amp;Table13[[#This Row],[Model]]</f>
        <v>Tohnichi 100LTD</v>
      </c>
      <c r="D3453" s="1">
        <v>3</v>
      </c>
      <c r="E3453" s="1" t="s">
        <v>169</v>
      </c>
      <c r="F3453" s="38">
        <v>100</v>
      </c>
      <c r="G3453" t="s">
        <v>418</v>
      </c>
    </row>
    <row r="3454" spans="1:7" x14ac:dyDescent="0.25">
      <c r="A3454" s="10" t="s">
        <v>374</v>
      </c>
      <c r="B3454" s="10" t="s">
        <v>465</v>
      </c>
      <c r="C3454" t="str">
        <f>Table13[[#This Row],[Manufacturer]]&amp;" "&amp;Table13[[#This Row],[Model]]</f>
        <v>Tohnichi 100LTD N</v>
      </c>
      <c r="D3454" s="1">
        <v>3</v>
      </c>
      <c r="E3454" s="1" t="s">
        <v>169</v>
      </c>
      <c r="F3454" s="38">
        <v>1000</v>
      </c>
      <c r="G3454" t="s">
        <v>187</v>
      </c>
    </row>
    <row r="3455" spans="1:7" x14ac:dyDescent="0.25">
      <c r="A3455" s="10" t="s">
        <v>374</v>
      </c>
      <c r="B3455" s="10" t="s">
        <v>464</v>
      </c>
      <c r="C3455" t="str">
        <f>Table13[[#This Row],[Manufacturer]]&amp;" "&amp;Table13[[#This Row],[Model]]</f>
        <v>Tohnichi 100LTD-A</v>
      </c>
      <c r="D3455" s="1">
        <v>3</v>
      </c>
      <c r="E3455" s="1" t="s">
        <v>169</v>
      </c>
      <c r="F3455" s="38">
        <v>90</v>
      </c>
      <c r="G3455" t="s">
        <v>164</v>
      </c>
    </row>
    <row r="3456" spans="1:7" x14ac:dyDescent="0.25">
      <c r="A3456" s="10" t="s">
        <v>374</v>
      </c>
      <c r="B3456" s="10" t="s">
        <v>463</v>
      </c>
      <c r="C3456" t="str">
        <f>Table13[[#This Row],[Manufacturer]]&amp;" "&amp;Table13[[#This Row],[Model]]</f>
        <v>Tohnichi 100NTD</v>
      </c>
      <c r="D3456" s="1">
        <v>3</v>
      </c>
      <c r="E3456" s="1" t="s">
        <v>169</v>
      </c>
      <c r="F3456" s="38">
        <v>100</v>
      </c>
      <c r="G3456" t="s">
        <v>418</v>
      </c>
    </row>
    <row r="3457" spans="1:7" x14ac:dyDescent="0.25">
      <c r="A3457" s="10" t="s">
        <v>374</v>
      </c>
      <c r="B3457" s="10" t="s">
        <v>462</v>
      </c>
      <c r="C3457" t="str">
        <f>Table13[[#This Row],[Manufacturer]]&amp;" "&amp;Table13[[#This Row],[Model]]</f>
        <v>Tohnichi 12LTD</v>
      </c>
      <c r="D3457" s="1">
        <v>3</v>
      </c>
      <c r="E3457" s="1" t="s">
        <v>169</v>
      </c>
      <c r="F3457" s="38">
        <v>12</v>
      </c>
      <c r="G3457" t="s">
        <v>418</v>
      </c>
    </row>
    <row r="3458" spans="1:7" x14ac:dyDescent="0.25">
      <c r="A3458" s="10" t="s">
        <v>374</v>
      </c>
      <c r="B3458" s="10" t="s">
        <v>461</v>
      </c>
      <c r="C3458" t="str">
        <f>Table13[[#This Row],[Manufacturer]]&amp;" "&amp;Table13[[#This Row],[Model]]</f>
        <v>Tohnichi 12LTD N</v>
      </c>
      <c r="D3458" s="1">
        <v>3</v>
      </c>
      <c r="E3458" s="1" t="s">
        <v>169</v>
      </c>
      <c r="F3458" s="38">
        <v>120</v>
      </c>
      <c r="G3458" t="s">
        <v>187</v>
      </c>
    </row>
    <row r="3459" spans="1:7" x14ac:dyDescent="0.25">
      <c r="A3459" s="10" t="s">
        <v>374</v>
      </c>
      <c r="B3459" s="10" t="s">
        <v>460</v>
      </c>
      <c r="C3459" t="str">
        <f>Table13[[#This Row],[Manufacturer]]&amp;" "&amp;Table13[[#This Row],[Model]]</f>
        <v>Tohnichi 12LTD-A</v>
      </c>
      <c r="D3459" s="1">
        <v>3</v>
      </c>
      <c r="E3459" s="1" t="s">
        <v>169</v>
      </c>
      <c r="F3459" s="38">
        <v>12</v>
      </c>
      <c r="G3459" t="s">
        <v>164</v>
      </c>
    </row>
    <row r="3460" spans="1:7" x14ac:dyDescent="0.25">
      <c r="A3460" s="10" t="s">
        <v>374</v>
      </c>
      <c r="B3460" s="10" t="s">
        <v>459</v>
      </c>
      <c r="C3460" t="str">
        <f>Table13[[#This Row],[Manufacturer]]&amp;" "&amp;Table13[[#This Row],[Model]]</f>
        <v>Tohnichi 12NTD</v>
      </c>
      <c r="D3460" s="1">
        <v>3</v>
      </c>
      <c r="E3460" s="1" t="s">
        <v>169</v>
      </c>
      <c r="F3460" s="38">
        <v>12</v>
      </c>
      <c r="G3460" t="s">
        <v>418</v>
      </c>
    </row>
    <row r="3461" spans="1:7" x14ac:dyDescent="0.25">
      <c r="A3461" s="10" t="s">
        <v>374</v>
      </c>
      <c r="B3461" s="10" t="s">
        <v>458</v>
      </c>
      <c r="C3461" t="str">
        <f>Table13[[#This Row],[Manufacturer]]&amp;" "&amp;Table13[[#This Row],[Model]]</f>
        <v>Tohnichi 12RNTD</v>
      </c>
      <c r="D3461" s="1">
        <v>3</v>
      </c>
      <c r="E3461" s="1" t="s">
        <v>169</v>
      </c>
      <c r="F3461" s="38">
        <v>12</v>
      </c>
      <c r="G3461" t="s">
        <v>418</v>
      </c>
    </row>
    <row r="3462" spans="1:7" x14ac:dyDescent="0.25">
      <c r="A3462" s="10" t="s">
        <v>374</v>
      </c>
      <c r="B3462" s="10" t="s">
        <v>457</v>
      </c>
      <c r="C3462" t="str">
        <f>Table13[[#This Row],[Manufacturer]]&amp;" "&amp;Table13[[#This Row],[Model]]</f>
        <v>Tohnichi 12RTD</v>
      </c>
      <c r="D3462" s="1">
        <v>3</v>
      </c>
      <c r="E3462" s="1" t="s">
        <v>169</v>
      </c>
      <c r="F3462" s="38">
        <v>12</v>
      </c>
      <c r="G3462" t="s">
        <v>418</v>
      </c>
    </row>
    <row r="3463" spans="1:7" x14ac:dyDescent="0.25">
      <c r="A3463" s="10" t="s">
        <v>374</v>
      </c>
      <c r="B3463" s="10" t="s">
        <v>456</v>
      </c>
      <c r="C3463" t="str">
        <f>Table13[[#This Row],[Manufacturer]]&amp;" "&amp;Table13[[#This Row],[Model]]</f>
        <v>Tohnichi 12RTD N</v>
      </c>
      <c r="D3463" s="1">
        <v>3</v>
      </c>
      <c r="E3463" s="1" t="s">
        <v>169</v>
      </c>
      <c r="F3463" s="38">
        <v>120</v>
      </c>
      <c r="G3463" t="s">
        <v>187</v>
      </c>
    </row>
    <row r="3464" spans="1:7" x14ac:dyDescent="0.25">
      <c r="A3464" s="10" t="s">
        <v>374</v>
      </c>
      <c r="B3464" s="10" t="s">
        <v>455</v>
      </c>
      <c r="C3464" t="str">
        <f>Table13[[#This Row],[Manufacturer]]&amp;" "&amp;Table13[[#This Row],[Model]]</f>
        <v>Tohnichi 12RTD-A</v>
      </c>
      <c r="D3464" s="1">
        <v>3</v>
      </c>
      <c r="E3464" s="1" t="s">
        <v>169</v>
      </c>
      <c r="F3464" s="38">
        <v>12</v>
      </c>
      <c r="G3464" t="s">
        <v>164</v>
      </c>
    </row>
    <row r="3465" spans="1:7" x14ac:dyDescent="0.25">
      <c r="A3465" s="10" t="s">
        <v>374</v>
      </c>
      <c r="B3465" s="10" t="s">
        <v>454</v>
      </c>
      <c r="C3465" t="str">
        <f>Table13[[#This Row],[Manufacturer]]&amp;" "&amp;Table13[[#This Row],[Model]]</f>
        <v>Tohnichi 200LTD</v>
      </c>
      <c r="D3465" s="1">
        <v>3</v>
      </c>
      <c r="E3465" s="1" t="s">
        <v>169</v>
      </c>
      <c r="F3465" s="38">
        <v>200</v>
      </c>
      <c r="G3465" t="s">
        <v>418</v>
      </c>
    </row>
    <row r="3466" spans="1:7" x14ac:dyDescent="0.25">
      <c r="A3466" s="10" t="s">
        <v>374</v>
      </c>
      <c r="B3466" s="10" t="s">
        <v>453</v>
      </c>
      <c r="C3466" t="str">
        <f>Table13[[#This Row],[Manufacturer]]&amp;" "&amp;Table13[[#This Row],[Model]]</f>
        <v>Tohnichi 200LTD N</v>
      </c>
      <c r="D3466" s="1">
        <v>3</v>
      </c>
      <c r="E3466" s="1" t="s">
        <v>169</v>
      </c>
      <c r="F3466" s="38">
        <v>20</v>
      </c>
      <c r="G3466" t="s">
        <v>187</v>
      </c>
    </row>
    <row r="3467" spans="1:7" x14ac:dyDescent="0.25">
      <c r="A3467" s="10" t="s">
        <v>374</v>
      </c>
      <c r="B3467" s="10" t="s">
        <v>452</v>
      </c>
      <c r="C3467" t="str">
        <f>Table13[[#This Row],[Manufacturer]]&amp;" "&amp;Table13[[#This Row],[Model]]</f>
        <v>Tohnichi 200LTD-A</v>
      </c>
      <c r="D3467" s="1">
        <v>3</v>
      </c>
      <c r="E3467" s="1" t="s">
        <v>169</v>
      </c>
      <c r="F3467" s="38">
        <v>180</v>
      </c>
      <c r="G3467" t="s">
        <v>164</v>
      </c>
    </row>
    <row r="3468" spans="1:7" x14ac:dyDescent="0.25">
      <c r="A3468" s="10" t="s">
        <v>374</v>
      </c>
      <c r="B3468" s="10" t="s">
        <v>451</v>
      </c>
      <c r="C3468" t="str">
        <f>Table13[[#This Row],[Manufacturer]]&amp;" "&amp;Table13[[#This Row],[Model]]</f>
        <v>Tohnichi 26LTD</v>
      </c>
      <c r="D3468" s="1">
        <v>3</v>
      </c>
      <c r="E3468" s="1" t="s">
        <v>169</v>
      </c>
      <c r="F3468" s="38">
        <v>26</v>
      </c>
      <c r="G3468" t="s">
        <v>418</v>
      </c>
    </row>
    <row r="3469" spans="1:7" x14ac:dyDescent="0.25">
      <c r="A3469" s="10" t="s">
        <v>374</v>
      </c>
      <c r="B3469" s="10" t="s">
        <v>450</v>
      </c>
      <c r="C3469" t="str">
        <f>Table13[[#This Row],[Manufacturer]]&amp;" "&amp;Table13[[#This Row],[Model]]</f>
        <v>Tohnichi 26LTD N</v>
      </c>
      <c r="D3469" s="1">
        <v>3</v>
      </c>
      <c r="E3469" s="1" t="s">
        <v>169</v>
      </c>
      <c r="F3469" s="38">
        <v>260</v>
      </c>
      <c r="G3469" t="s">
        <v>187</v>
      </c>
    </row>
    <row r="3470" spans="1:7" x14ac:dyDescent="0.25">
      <c r="A3470" s="10" t="s">
        <v>374</v>
      </c>
      <c r="B3470" s="10" t="s">
        <v>449</v>
      </c>
      <c r="C3470" t="str">
        <f>Table13[[#This Row],[Manufacturer]]&amp;" "&amp;Table13[[#This Row],[Model]]</f>
        <v>Tohnichi 26LTD-A</v>
      </c>
      <c r="D3470" s="1">
        <v>3</v>
      </c>
      <c r="E3470" s="1" t="s">
        <v>169</v>
      </c>
      <c r="F3470" s="38">
        <v>26</v>
      </c>
      <c r="G3470" t="s">
        <v>164</v>
      </c>
    </row>
    <row r="3471" spans="1:7" x14ac:dyDescent="0.25">
      <c r="A3471" s="10" t="s">
        <v>374</v>
      </c>
      <c r="B3471" s="10" t="s">
        <v>448</v>
      </c>
      <c r="C3471" t="str">
        <f>Table13[[#This Row],[Manufacturer]]&amp;" "&amp;Table13[[#This Row],[Model]]</f>
        <v>Tohnichi 26NTD</v>
      </c>
      <c r="D3471" s="1">
        <v>3</v>
      </c>
      <c r="E3471" s="1" t="s">
        <v>169</v>
      </c>
      <c r="F3471" s="38">
        <v>26</v>
      </c>
      <c r="G3471" t="s">
        <v>418</v>
      </c>
    </row>
    <row r="3472" spans="1:7" x14ac:dyDescent="0.25">
      <c r="A3472" s="10" t="s">
        <v>374</v>
      </c>
      <c r="B3472" s="10" t="s">
        <v>447</v>
      </c>
      <c r="C3472" t="str">
        <f>Table13[[#This Row],[Manufacturer]]&amp;" "&amp;Table13[[#This Row],[Model]]</f>
        <v>Tohnichi 26RNTD</v>
      </c>
      <c r="D3472" s="1">
        <v>3</v>
      </c>
      <c r="E3472" s="1" t="s">
        <v>169</v>
      </c>
      <c r="F3472" s="38">
        <v>26</v>
      </c>
      <c r="G3472" t="s">
        <v>418</v>
      </c>
    </row>
    <row r="3473" spans="1:7" x14ac:dyDescent="0.25">
      <c r="A3473" s="10" t="s">
        <v>374</v>
      </c>
      <c r="B3473" s="10" t="s">
        <v>446</v>
      </c>
      <c r="C3473" t="str">
        <f>Table13[[#This Row],[Manufacturer]]&amp;" "&amp;Table13[[#This Row],[Model]]</f>
        <v>Tohnichi 26RTD</v>
      </c>
      <c r="D3473" s="1">
        <v>3</v>
      </c>
      <c r="E3473" s="1" t="s">
        <v>169</v>
      </c>
      <c r="F3473" s="38">
        <v>26</v>
      </c>
      <c r="G3473" t="s">
        <v>418</v>
      </c>
    </row>
    <row r="3474" spans="1:7" x14ac:dyDescent="0.25">
      <c r="A3474" s="10" t="s">
        <v>374</v>
      </c>
      <c r="B3474" s="10" t="s">
        <v>445</v>
      </c>
      <c r="C3474" t="str">
        <f>Table13[[#This Row],[Manufacturer]]&amp;" "&amp;Table13[[#This Row],[Model]]</f>
        <v>Tohnichi 26RTD N</v>
      </c>
      <c r="D3474" s="1">
        <v>3</v>
      </c>
      <c r="E3474" s="1" t="s">
        <v>169</v>
      </c>
      <c r="F3474" s="38">
        <v>260</v>
      </c>
      <c r="G3474" t="s">
        <v>187</v>
      </c>
    </row>
    <row r="3475" spans="1:7" x14ac:dyDescent="0.25">
      <c r="A3475" s="10" t="s">
        <v>374</v>
      </c>
      <c r="B3475" s="10" t="s">
        <v>444</v>
      </c>
      <c r="C3475" t="str">
        <f>Table13[[#This Row],[Manufacturer]]&amp;" "&amp;Table13[[#This Row],[Model]]</f>
        <v>Tohnichi 26RTD-A</v>
      </c>
      <c r="D3475" s="1">
        <v>3</v>
      </c>
      <c r="E3475" s="1" t="s">
        <v>169</v>
      </c>
      <c r="F3475" s="38">
        <v>26</v>
      </c>
      <c r="G3475" t="s">
        <v>164</v>
      </c>
    </row>
    <row r="3476" spans="1:7" x14ac:dyDescent="0.25">
      <c r="A3476" s="10" t="s">
        <v>374</v>
      </c>
      <c r="B3476" s="10" t="s">
        <v>443</v>
      </c>
      <c r="C3476" t="str">
        <f>Table13[[#This Row],[Manufacturer]]&amp;" "&amp;Table13[[#This Row],[Model]]</f>
        <v>Tohnichi 3BMLD-A</v>
      </c>
      <c r="D3476" s="1">
        <v>3</v>
      </c>
      <c r="E3476" s="1" t="s">
        <v>169</v>
      </c>
      <c r="F3476" s="38">
        <v>3</v>
      </c>
      <c r="G3476" t="s">
        <v>164</v>
      </c>
    </row>
    <row r="3477" spans="1:7" x14ac:dyDescent="0.25">
      <c r="A3477" s="10" t="s">
        <v>374</v>
      </c>
      <c r="B3477" s="10" t="s">
        <v>442</v>
      </c>
      <c r="C3477" t="str">
        <f>Table13[[#This Row],[Manufacturer]]&amp;" "&amp;Table13[[#This Row],[Model]]</f>
        <v>Tohnichi 3BMRD2</v>
      </c>
      <c r="D3477" s="1">
        <v>3</v>
      </c>
      <c r="E3477" s="1" t="s">
        <v>169</v>
      </c>
      <c r="F3477" s="38">
        <v>3</v>
      </c>
      <c r="G3477" t="s">
        <v>418</v>
      </c>
    </row>
    <row r="3478" spans="1:7" x14ac:dyDescent="0.25">
      <c r="A3478" s="10" t="s">
        <v>374</v>
      </c>
      <c r="B3478" s="10" t="s">
        <v>441</v>
      </c>
      <c r="C3478" t="str">
        <f>Table13[[#This Row],[Manufacturer]]&amp;" "&amp;Table13[[#This Row],[Model]]</f>
        <v>Tohnichi 3BMRD2-A</v>
      </c>
      <c r="D3478" s="1">
        <v>3</v>
      </c>
      <c r="E3478" s="1" t="s">
        <v>169</v>
      </c>
      <c r="F3478" s="38">
        <v>3</v>
      </c>
      <c r="G3478" t="s">
        <v>164</v>
      </c>
    </row>
    <row r="3479" spans="1:7" x14ac:dyDescent="0.25">
      <c r="A3479" s="10" t="s">
        <v>374</v>
      </c>
      <c r="B3479" s="10" t="s">
        <v>440</v>
      </c>
      <c r="C3479" t="str">
        <f>Table13[[#This Row],[Manufacturer]]&amp;" "&amp;Table13[[#This Row],[Model]]</f>
        <v>Tohnichi 3LTD</v>
      </c>
      <c r="D3479" s="1">
        <v>3</v>
      </c>
      <c r="E3479" s="1" t="s">
        <v>169</v>
      </c>
      <c r="F3479" s="38">
        <v>3</v>
      </c>
      <c r="G3479" t="s">
        <v>418</v>
      </c>
    </row>
    <row r="3480" spans="1:7" x14ac:dyDescent="0.25">
      <c r="A3480" s="10" t="s">
        <v>374</v>
      </c>
      <c r="B3480" s="10" t="s">
        <v>439</v>
      </c>
      <c r="C3480" t="str">
        <f>Table13[[#This Row],[Manufacturer]]&amp;" "&amp;Table13[[#This Row],[Model]]</f>
        <v>Tohnichi 3LTD N</v>
      </c>
      <c r="D3480" s="1">
        <v>3</v>
      </c>
      <c r="E3480" s="1" t="s">
        <v>169</v>
      </c>
      <c r="F3480" s="38">
        <v>30</v>
      </c>
      <c r="G3480" t="s">
        <v>187</v>
      </c>
    </row>
    <row r="3481" spans="1:7" x14ac:dyDescent="0.25">
      <c r="A3481" s="10" t="s">
        <v>374</v>
      </c>
      <c r="B3481" s="10" t="s">
        <v>438</v>
      </c>
      <c r="C3481" t="str">
        <f>Table13[[#This Row],[Manufacturer]]&amp;" "&amp;Table13[[#This Row],[Model]]</f>
        <v>Tohnichi 3LTD-A</v>
      </c>
      <c r="D3481" s="1">
        <v>3</v>
      </c>
      <c r="E3481" s="1" t="s">
        <v>169</v>
      </c>
      <c r="F3481" s="38">
        <v>3</v>
      </c>
      <c r="G3481" t="s">
        <v>164</v>
      </c>
    </row>
    <row r="3482" spans="1:7" x14ac:dyDescent="0.25">
      <c r="A3482" s="10" t="s">
        <v>374</v>
      </c>
      <c r="B3482" s="10" t="s">
        <v>437</v>
      </c>
      <c r="C3482" t="str">
        <f>Table13[[#This Row],[Manufacturer]]&amp;" "&amp;Table13[[#This Row],[Model]]</f>
        <v>Tohnichi 3NTD</v>
      </c>
      <c r="D3482" s="1">
        <v>3</v>
      </c>
      <c r="E3482" s="1" t="s">
        <v>169</v>
      </c>
      <c r="F3482" s="38">
        <v>3</v>
      </c>
      <c r="G3482" t="s">
        <v>418</v>
      </c>
    </row>
    <row r="3483" spans="1:7" x14ac:dyDescent="0.25">
      <c r="A3483" s="10" t="s">
        <v>374</v>
      </c>
      <c r="B3483" s="10" t="s">
        <v>436</v>
      </c>
      <c r="C3483" t="str">
        <f>Table13[[#This Row],[Manufacturer]]&amp;" "&amp;Table13[[#This Row],[Model]]</f>
        <v>Tohnichi 3RNTD</v>
      </c>
      <c r="D3483" s="1">
        <v>3</v>
      </c>
      <c r="E3483" s="1" t="s">
        <v>169</v>
      </c>
      <c r="F3483" s="38">
        <v>3</v>
      </c>
      <c r="G3483" t="s">
        <v>418</v>
      </c>
    </row>
    <row r="3484" spans="1:7" x14ac:dyDescent="0.25">
      <c r="A3484" s="10" t="s">
        <v>374</v>
      </c>
      <c r="B3484" s="10" t="s">
        <v>435</v>
      </c>
      <c r="C3484" t="str">
        <f>Table13[[#This Row],[Manufacturer]]&amp;" "&amp;Table13[[#This Row],[Model]]</f>
        <v>Tohnichi 3RTD</v>
      </c>
      <c r="D3484" s="1">
        <v>3</v>
      </c>
      <c r="E3484" s="1" t="s">
        <v>169</v>
      </c>
      <c r="F3484" s="38">
        <v>3</v>
      </c>
      <c r="G3484" t="s">
        <v>418</v>
      </c>
    </row>
    <row r="3485" spans="1:7" x14ac:dyDescent="0.25">
      <c r="A3485" s="10" t="s">
        <v>374</v>
      </c>
      <c r="B3485" s="10" t="s">
        <v>434</v>
      </c>
      <c r="C3485" t="str">
        <f>Table13[[#This Row],[Manufacturer]]&amp;" "&amp;Table13[[#This Row],[Model]]</f>
        <v>Tohnichi 3RTD N</v>
      </c>
      <c r="D3485" s="1">
        <v>3</v>
      </c>
      <c r="E3485" s="1" t="s">
        <v>169</v>
      </c>
      <c r="F3485" s="38">
        <v>30</v>
      </c>
      <c r="G3485" t="s">
        <v>187</v>
      </c>
    </row>
    <row r="3486" spans="1:7" x14ac:dyDescent="0.25">
      <c r="A3486" s="10" t="s">
        <v>374</v>
      </c>
      <c r="B3486" s="10" t="s">
        <v>433</v>
      </c>
      <c r="C3486" t="str">
        <f>Table13[[#This Row],[Manufacturer]]&amp;" "&amp;Table13[[#This Row],[Model]]</f>
        <v>Tohnichi 3RTD-A</v>
      </c>
      <c r="D3486" s="1">
        <v>3</v>
      </c>
      <c r="E3486" s="1" t="s">
        <v>169</v>
      </c>
      <c r="F3486" s="38">
        <v>3</v>
      </c>
      <c r="G3486" t="s">
        <v>164</v>
      </c>
    </row>
    <row r="3487" spans="1:7" x14ac:dyDescent="0.25">
      <c r="A3487" s="10" t="s">
        <v>374</v>
      </c>
      <c r="B3487" s="10" t="s">
        <v>432</v>
      </c>
      <c r="C3487" t="str">
        <f>Table13[[#This Row],[Manufacturer]]&amp;" "&amp;Table13[[#This Row],[Model]]</f>
        <v>Tohnichi 50LTD</v>
      </c>
      <c r="D3487" s="1">
        <v>3</v>
      </c>
      <c r="E3487" s="1" t="s">
        <v>169</v>
      </c>
      <c r="F3487" s="38">
        <v>50</v>
      </c>
      <c r="G3487" t="s">
        <v>418</v>
      </c>
    </row>
    <row r="3488" spans="1:7" x14ac:dyDescent="0.25">
      <c r="A3488" s="10" t="s">
        <v>374</v>
      </c>
      <c r="B3488" s="10" t="s">
        <v>431</v>
      </c>
      <c r="C3488" t="str">
        <f>Table13[[#This Row],[Manufacturer]]&amp;" "&amp;Table13[[#This Row],[Model]]</f>
        <v>Tohnichi 50LTD N</v>
      </c>
      <c r="D3488" s="1">
        <v>3</v>
      </c>
      <c r="E3488" s="1" t="s">
        <v>169</v>
      </c>
      <c r="F3488" s="38">
        <v>500</v>
      </c>
      <c r="G3488" t="s">
        <v>187</v>
      </c>
    </row>
    <row r="3489" spans="1:7" x14ac:dyDescent="0.25">
      <c r="A3489" s="10" t="s">
        <v>374</v>
      </c>
      <c r="B3489" s="10" t="s">
        <v>430</v>
      </c>
      <c r="C3489" t="str">
        <f>Table13[[#This Row],[Manufacturer]]&amp;" "&amp;Table13[[#This Row],[Model]]</f>
        <v>Tohnichi 50LTD-A</v>
      </c>
      <c r="D3489" s="1">
        <v>3</v>
      </c>
      <c r="E3489" s="1" t="s">
        <v>169</v>
      </c>
      <c r="F3489" s="38">
        <v>40</v>
      </c>
      <c r="G3489" t="s">
        <v>164</v>
      </c>
    </row>
    <row r="3490" spans="1:7" x14ac:dyDescent="0.25">
      <c r="A3490" s="10" t="s">
        <v>374</v>
      </c>
      <c r="B3490" s="10" t="s">
        <v>429</v>
      </c>
      <c r="C3490" t="str">
        <f>Table13[[#This Row],[Manufacturer]]&amp;" "&amp;Table13[[#This Row],[Model]]</f>
        <v>Tohnichi 50NTD</v>
      </c>
      <c r="D3490" s="1">
        <v>3</v>
      </c>
      <c r="E3490" s="1" t="s">
        <v>169</v>
      </c>
      <c r="F3490" s="38">
        <v>50</v>
      </c>
      <c r="G3490" t="s">
        <v>418</v>
      </c>
    </row>
    <row r="3491" spans="1:7" x14ac:dyDescent="0.25">
      <c r="A3491" s="10" t="s">
        <v>374</v>
      </c>
      <c r="B3491" s="10" t="s">
        <v>428</v>
      </c>
      <c r="C3491" t="str">
        <f>Table13[[#This Row],[Manufacturer]]&amp;" "&amp;Table13[[#This Row],[Model]]</f>
        <v>Tohnichi 50RNTD</v>
      </c>
      <c r="D3491" s="1">
        <v>3</v>
      </c>
      <c r="E3491" s="1" t="s">
        <v>169</v>
      </c>
      <c r="F3491" s="38">
        <v>50</v>
      </c>
      <c r="G3491" t="s">
        <v>418</v>
      </c>
    </row>
    <row r="3492" spans="1:7" x14ac:dyDescent="0.25">
      <c r="A3492" s="10" t="s">
        <v>374</v>
      </c>
      <c r="B3492" s="10" t="s">
        <v>427</v>
      </c>
      <c r="C3492" t="str">
        <f>Table13[[#This Row],[Manufacturer]]&amp;" "&amp;Table13[[#This Row],[Model]]</f>
        <v>Tohnichi 50RTD</v>
      </c>
      <c r="D3492" s="1">
        <v>3</v>
      </c>
      <c r="E3492" s="1" t="s">
        <v>169</v>
      </c>
      <c r="F3492" s="38">
        <v>50</v>
      </c>
      <c r="G3492" t="s">
        <v>418</v>
      </c>
    </row>
    <row r="3493" spans="1:7" x14ac:dyDescent="0.25">
      <c r="A3493" s="10" t="s">
        <v>374</v>
      </c>
      <c r="B3493" s="10" t="s">
        <v>426</v>
      </c>
      <c r="C3493" t="str">
        <f>Table13[[#This Row],[Manufacturer]]&amp;" "&amp;Table13[[#This Row],[Model]]</f>
        <v>Tohnichi 50RTD N</v>
      </c>
      <c r="D3493" s="1">
        <v>3</v>
      </c>
      <c r="E3493" s="1" t="s">
        <v>169</v>
      </c>
      <c r="F3493" s="38">
        <v>500</v>
      </c>
      <c r="G3493" t="s">
        <v>187</v>
      </c>
    </row>
    <row r="3494" spans="1:7" x14ac:dyDescent="0.25">
      <c r="A3494" s="10" t="s">
        <v>374</v>
      </c>
      <c r="B3494" s="10" t="s">
        <v>425</v>
      </c>
      <c r="C3494" t="str">
        <f>Table13[[#This Row],[Manufacturer]]&amp;" "&amp;Table13[[#This Row],[Model]]</f>
        <v>Tohnichi 50RTD-A</v>
      </c>
      <c r="D3494" s="1">
        <v>3</v>
      </c>
      <c r="E3494" s="1" t="s">
        <v>169</v>
      </c>
      <c r="F3494" s="38">
        <v>40</v>
      </c>
      <c r="G3494" t="s">
        <v>164</v>
      </c>
    </row>
    <row r="3495" spans="1:7" x14ac:dyDescent="0.25">
      <c r="A3495" s="10" t="s">
        <v>374</v>
      </c>
      <c r="B3495" s="10" t="s">
        <v>424</v>
      </c>
      <c r="C3495" t="str">
        <f>Table13[[#This Row],[Manufacturer]]&amp;" "&amp;Table13[[#This Row],[Model]]</f>
        <v>Tohnichi 6LTD</v>
      </c>
      <c r="D3495" s="1">
        <v>3</v>
      </c>
      <c r="E3495" s="1" t="s">
        <v>169</v>
      </c>
      <c r="F3495" s="38">
        <v>6</v>
      </c>
      <c r="G3495" t="s">
        <v>418</v>
      </c>
    </row>
    <row r="3496" spans="1:7" x14ac:dyDescent="0.25">
      <c r="A3496" s="10" t="s">
        <v>374</v>
      </c>
      <c r="B3496" s="10" t="s">
        <v>423</v>
      </c>
      <c r="C3496" t="str">
        <f>Table13[[#This Row],[Manufacturer]]&amp;" "&amp;Table13[[#This Row],[Model]]</f>
        <v>Tohnichi 6LTD N</v>
      </c>
      <c r="D3496" s="1">
        <v>3</v>
      </c>
      <c r="E3496" s="1" t="s">
        <v>169</v>
      </c>
      <c r="F3496" s="38">
        <v>60</v>
      </c>
      <c r="G3496" t="s">
        <v>187</v>
      </c>
    </row>
    <row r="3497" spans="1:7" x14ac:dyDescent="0.25">
      <c r="A3497" s="10" t="s">
        <v>374</v>
      </c>
      <c r="B3497" s="10" t="s">
        <v>422</v>
      </c>
      <c r="C3497" t="str">
        <f>Table13[[#This Row],[Manufacturer]]&amp;" "&amp;Table13[[#This Row],[Model]]</f>
        <v>Tohnichi 6LTD-A</v>
      </c>
      <c r="D3497" s="1">
        <v>3</v>
      </c>
      <c r="E3497" s="1" t="s">
        <v>169</v>
      </c>
      <c r="F3497" s="38">
        <v>6</v>
      </c>
      <c r="G3497" t="s">
        <v>164</v>
      </c>
    </row>
    <row r="3498" spans="1:7" x14ac:dyDescent="0.25">
      <c r="A3498" s="10" t="s">
        <v>374</v>
      </c>
      <c r="B3498" s="10" t="s">
        <v>421</v>
      </c>
      <c r="C3498" t="str">
        <f>Table13[[#This Row],[Manufacturer]]&amp;" "&amp;Table13[[#This Row],[Model]]</f>
        <v>Tohnichi 6NTD</v>
      </c>
      <c r="D3498" s="1">
        <v>3</v>
      </c>
      <c r="E3498" s="1" t="s">
        <v>169</v>
      </c>
      <c r="F3498" s="38">
        <v>6</v>
      </c>
      <c r="G3498" t="s">
        <v>418</v>
      </c>
    </row>
    <row r="3499" spans="1:7" x14ac:dyDescent="0.25">
      <c r="A3499" s="10" t="s">
        <v>374</v>
      </c>
      <c r="B3499" s="10" t="s">
        <v>420</v>
      </c>
      <c r="C3499" t="str">
        <f>Table13[[#This Row],[Manufacturer]]&amp;" "&amp;Table13[[#This Row],[Model]]</f>
        <v>Tohnichi 6RNTD</v>
      </c>
      <c r="D3499" s="1">
        <v>3</v>
      </c>
      <c r="E3499" s="1" t="s">
        <v>169</v>
      </c>
      <c r="F3499" s="38">
        <v>6</v>
      </c>
      <c r="G3499" t="s">
        <v>418</v>
      </c>
    </row>
    <row r="3500" spans="1:7" x14ac:dyDescent="0.25">
      <c r="A3500" s="10" t="s">
        <v>374</v>
      </c>
      <c r="B3500" s="10" t="s">
        <v>419</v>
      </c>
      <c r="C3500" t="str">
        <f>Table13[[#This Row],[Manufacturer]]&amp;" "&amp;Table13[[#This Row],[Model]]</f>
        <v>Tohnichi 6RTD</v>
      </c>
      <c r="D3500" s="1">
        <v>3</v>
      </c>
      <c r="E3500" s="1" t="s">
        <v>169</v>
      </c>
      <c r="F3500" s="38">
        <v>6</v>
      </c>
      <c r="G3500" t="s">
        <v>418</v>
      </c>
    </row>
    <row r="3501" spans="1:7" x14ac:dyDescent="0.25">
      <c r="A3501" s="10" t="s">
        <v>374</v>
      </c>
      <c r="B3501" s="10" t="s">
        <v>417</v>
      </c>
      <c r="C3501" t="str">
        <f>Table13[[#This Row],[Manufacturer]]&amp;" "&amp;Table13[[#This Row],[Model]]</f>
        <v>Tohnichi 6RTD N</v>
      </c>
      <c r="D3501" s="1">
        <v>3</v>
      </c>
      <c r="E3501" s="1" t="s">
        <v>169</v>
      </c>
      <c r="F3501" s="38">
        <v>60</v>
      </c>
      <c r="G3501" t="s">
        <v>187</v>
      </c>
    </row>
    <row r="3502" spans="1:7" x14ac:dyDescent="0.25">
      <c r="A3502" s="10" t="s">
        <v>374</v>
      </c>
      <c r="B3502" s="10" t="s">
        <v>416</v>
      </c>
      <c r="C3502" t="str">
        <f>Table13[[#This Row],[Manufacturer]]&amp;" "&amp;Table13[[#This Row],[Model]]</f>
        <v>Tohnichi 6RTD-A</v>
      </c>
      <c r="D3502" s="1">
        <v>3</v>
      </c>
      <c r="E3502" s="1" t="s">
        <v>169</v>
      </c>
      <c r="F3502" s="38">
        <v>6</v>
      </c>
      <c r="G3502" t="s">
        <v>164</v>
      </c>
    </row>
    <row r="3503" spans="1:7" x14ac:dyDescent="0.25">
      <c r="A3503" s="10" t="s">
        <v>374</v>
      </c>
      <c r="B3503" s="10" t="s">
        <v>415</v>
      </c>
      <c r="C3503" t="str">
        <f>Table13[[#This Row],[Manufacturer]]&amp;" "&amp;Table13[[#This Row],[Model]]</f>
        <v>Tohnichi BMRD30CN2</v>
      </c>
      <c r="D3503" s="1">
        <v>3</v>
      </c>
      <c r="E3503" s="1" t="s">
        <v>169</v>
      </c>
      <c r="F3503" s="38">
        <v>30</v>
      </c>
      <c r="G3503" t="s">
        <v>187</v>
      </c>
    </row>
    <row r="3504" spans="1:7" x14ac:dyDescent="0.25">
      <c r="A3504" s="10" t="s">
        <v>374</v>
      </c>
      <c r="B3504" s="10" t="s">
        <v>414</v>
      </c>
      <c r="C3504" t="str">
        <f>Table13[[#This Row],[Manufacturer]]&amp;" "&amp;Table13[[#This Row],[Model]]</f>
        <v>Tohnichi LTD1000CN</v>
      </c>
      <c r="D3504" s="1">
        <v>3</v>
      </c>
      <c r="E3504" s="1" t="s">
        <v>169</v>
      </c>
      <c r="F3504" s="38">
        <v>1000</v>
      </c>
      <c r="G3504" t="s">
        <v>187</v>
      </c>
    </row>
    <row r="3505" spans="1:7" x14ac:dyDescent="0.25">
      <c r="A3505" s="10" t="s">
        <v>374</v>
      </c>
      <c r="B3505" s="10" t="s">
        <v>413</v>
      </c>
      <c r="C3505" t="str">
        <f>Table13[[#This Row],[Manufacturer]]&amp;" "&amp;Table13[[#This Row],[Model]]</f>
        <v>Tohnichi LTD100Z</v>
      </c>
      <c r="D3505" s="1">
        <v>3</v>
      </c>
      <c r="E3505" s="1" t="s">
        <v>169</v>
      </c>
      <c r="F3505" s="38">
        <v>100</v>
      </c>
      <c r="G3505" t="s">
        <v>172</v>
      </c>
    </row>
    <row r="3506" spans="1:7" x14ac:dyDescent="0.25">
      <c r="A3506" s="10" t="s">
        <v>374</v>
      </c>
      <c r="B3506" s="10" t="s">
        <v>412</v>
      </c>
      <c r="C3506" t="str">
        <f>Table13[[#This Row],[Manufacturer]]&amp;" "&amp;Table13[[#This Row],[Model]]</f>
        <v>Tohnichi LTD10I</v>
      </c>
      <c r="D3506" s="1">
        <v>3</v>
      </c>
      <c r="E3506" s="1" t="s">
        <v>169</v>
      </c>
      <c r="F3506" s="38">
        <v>10</v>
      </c>
      <c r="G3506" t="s">
        <v>164</v>
      </c>
    </row>
    <row r="3507" spans="1:7" x14ac:dyDescent="0.25">
      <c r="A3507" s="10" t="s">
        <v>374</v>
      </c>
      <c r="B3507" s="10" t="s">
        <v>411</v>
      </c>
      <c r="C3507" t="str">
        <f>Table13[[#This Row],[Manufacturer]]&amp;" "&amp;Table13[[#This Row],[Model]]</f>
        <v>Tohnichi LTD120CN</v>
      </c>
      <c r="D3507" s="1">
        <v>3</v>
      </c>
      <c r="E3507" s="1" t="s">
        <v>169</v>
      </c>
      <c r="F3507" s="38">
        <v>120</v>
      </c>
      <c r="G3507" t="s">
        <v>187</v>
      </c>
    </row>
    <row r="3508" spans="1:7" x14ac:dyDescent="0.25">
      <c r="A3508" s="10" t="s">
        <v>374</v>
      </c>
      <c r="B3508" s="10" t="s">
        <v>410</v>
      </c>
      <c r="C3508" t="str">
        <f>Table13[[#This Row],[Manufacturer]]&amp;" "&amp;Table13[[#This Row],[Model]]</f>
        <v>Tohnichi LTD150Z</v>
      </c>
      <c r="D3508" s="1">
        <v>3</v>
      </c>
      <c r="E3508" s="1" t="s">
        <v>169</v>
      </c>
      <c r="F3508" s="38">
        <v>150</v>
      </c>
      <c r="G3508" t="s">
        <v>172</v>
      </c>
    </row>
    <row r="3509" spans="1:7" x14ac:dyDescent="0.25">
      <c r="A3509" s="10" t="s">
        <v>374</v>
      </c>
      <c r="B3509" s="10" t="s">
        <v>409</v>
      </c>
      <c r="C3509" t="str">
        <f>Table13[[#This Row],[Manufacturer]]&amp;" "&amp;Table13[[#This Row],[Model]]</f>
        <v>Tohnichi LTD180I</v>
      </c>
      <c r="D3509" s="1">
        <v>3</v>
      </c>
      <c r="E3509" s="1" t="s">
        <v>169</v>
      </c>
      <c r="F3509" s="38">
        <v>180</v>
      </c>
      <c r="G3509" t="s">
        <v>164</v>
      </c>
    </row>
    <row r="3510" spans="1:7" x14ac:dyDescent="0.25">
      <c r="A3510" s="10" t="s">
        <v>374</v>
      </c>
      <c r="B3510" s="10" t="s">
        <v>408</v>
      </c>
      <c r="C3510" t="str">
        <f>Table13[[#This Row],[Manufacturer]]&amp;" "&amp;Table13[[#This Row],[Model]]</f>
        <v>Tohnichi LTD2.6I</v>
      </c>
      <c r="D3510" s="1">
        <v>3</v>
      </c>
      <c r="E3510" s="1" t="s">
        <v>169</v>
      </c>
      <c r="F3510" s="38">
        <v>2.6</v>
      </c>
      <c r="G3510" t="s">
        <v>164</v>
      </c>
    </row>
    <row r="3511" spans="1:7" x14ac:dyDescent="0.25">
      <c r="A3511" s="10" t="s">
        <v>374</v>
      </c>
      <c r="B3511" s="10" t="s">
        <v>407</v>
      </c>
      <c r="C3511" t="str">
        <f>Table13[[#This Row],[Manufacturer]]&amp;" "&amp;Table13[[#This Row],[Model]]</f>
        <v>Tohnichi LTD2000CN</v>
      </c>
      <c r="D3511" s="1">
        <v>3</v>
      </c>
      <c r="E3511" s="1" t="s">
        <v>169</v>
      </c>
      <c r="F3511" s="38">
        <v>2000</v>
      </c>
      <c r="G3511" t="s">
        <v>187</v>
      </c>
    </row>
    <row r="3512" spans="1:7" x14ac:dyDescent="0.25">
      <c r="A3512" s="10" t="s">
        <v>374</v>
      </c>
      <c r="B3512" s="10" t="s">
        <v>406</v>
      </c>
      <c r="C3512" t="str">
        <f>Table13[[#This Row],[Manufacturer]]&amp;" "&amp;Table13[[#This Row],[Model]]</f>
        <v>Tohnichi LTD22I</v>
      </c>
      <c r="D3512" s="1">
        <v>3</v>
      </c>
      <c r="E3512" s="1" t="s">
        <v>169</v>
      </c>
      <c r="F3512" s="38">
        <v>22</v>
      </c>
      <c r="G3512" t="s">
        <v>164</v>
      </c>
    </row>
    <row r="3513" spans="1:7" x14ac:dyDescent="0.25">
      <c r="A3513" s="10" t="s">
        <v>374</v>
      </c>
      <c r="B3513" s="10" t="s">
        <v>405</v>
      </c>
      <c r="C3513" t="str">
        <f>Table13[[#This Row],[Manufacturer]]&amp;" "&amp;Table13[[#This Row],[Model]]</f>
        <v>Tohnichi LTD260CN</v>
      </c>
      <c r="D3513" s="1">
        <v>3</v>
      </c>
      <c r="E3513" s="1" t="s">
        <v>169</v>
      </c>
      <c r="F3513" s="38">
        <v>260</v>
      </c>
      <c r="G3513" t="s">
        <v>187</v>
      </c>
    </row>
    <row r="3514" spans="1:7" x14ac:dyDescent="0.25">
      <c r="A3514" s="10" t="s">
        <v>374</v>
      </c>
      <c r="B3514" s="10" t="s">
        <v>404</v>
      </c>
      <c r="C3514" t="str">
        <f>Table13[[#This Row],[Manufacturer]]&amp;" "&amp;Table13[[#This Row],[Model]]</f>
        <v>Tohnichi LTD30CN</v>
      </c>
      <c r="D3514" s="1">
        <v>3</v>
      </c>
      <c r="E3514" s="1" t="s">
        <v>169</v>
      </c>
      <c r="F3514" s="38">
        <v>30</v>
      </c>
      <c r="G3514" t="s">
        <v>187</v>
      </c>
    </row>
    <row r="3515" spans="1:7" x14ac:dyDescent="0.25">
      <c r="A3515" s="10" t="s">
        <v>374</v>
      </c>
      <c r="B3515" s="10" t="s">
        <v>403</v>
      </c>
      <c r="C3515" t="str">
        <f>Table13[[#This Row],[Manufacturer]]&amp;" "&amp;Table13[[#This Row],[Model]]</f>
        <v>Tohnichi LTD40I</v>
      </c>
      <c r="D3515" s="1">
        <v>3</v>
      </c>
      <c r="E3515" s="1" t="s">
        <v>169</v>
      </c>
      <c r="F3515" s="38">
        <v>40</v>
      </c>
      <c r="G3515" t="s">
        <v>164</v>
      </c>
    </row>
    <row r="3516" spans="1:7" x14ac:dyDescent="0.25">
      <c r="A3516" s="10" t="s">
        <v>374</v>
      </c>
      <c r="B3516" s="10" t="s">
        <v>402</v>
      </c>
      <c r="C3516" t="str">
        <f>Table13[[#This Row],[Manufacturer]]&amp;" "&amp;Table13[[#This Row],[Model]]</f>
        <v>Tohnichi LTD40Z</v>
      </c>
      <c r="D3516" s="1">
        <v>3</v>
      </c>
      <c r="E3516" s="1" t="s">
        <v>169</v>
      </c>
      <c r="F3516" s="38">
        <v>40</v>
      </c>
      <c r="G3516" t="s">
        <v>172</v>
      </c>
    </row>
    <row r="3517" spans="1:7" x14ac:dyDescent="0.25">
      <c r="A3517" s="10" t="s">
        <v>374</v>
      </c>
      <c r="B3517" s="10" t="s">
        <v>401</v>
      </c>
      <c r="C3517" t="str">
        <f>Table13[[#This Row],[Manufacturer]]&amp;" "&amp;Table13[[#This Row],[Model]]</f>
        <v>Tohnichi LTD500CN</v>
      </c>
      <c r="D3517" s="1">
        <v>3</v>
      </c>
      <c r="E3517" s="1" t="s">
        <v>169</v>
      </c>
      <c r="F3517" s="38">
        <v>500</v>
      </c>
      <c r="G3517" t="s">
        <v>187</v>
      </c>
    </row>
    <row r="3518" spans="1:7" x14ac:dyDescent="0.25">
      <c r="A3518" s="10" t="s">
        <v>374</v>
      </c>
      <c r="B3518" s="10" t="s">
        <v>400</v>
      </c>
      <c r="C3518" t="str">
        <f>Table13[[#This Row],[Manufacturer]]&amp;" "&amp;Table13[[#This Row],[Model]]</f>
        <v>Tohnichi LTD50Z</v>
      </c>
      <c r="D3518" s="1">
        <v>3</v>
      </c>
      <c r="E3518" s="1" t="s">
        <v>169</v>
      </c>
      <c r="F3518" s="38">
        <v>50</v>
      </c>
      <c r="G3518" t="s">
        <v>172</v>
      </c>
    </row>
    <row r="3519" spans="1:7" x14ac:dyDescent="0.25">
      <c r="A3519" s="10" t="s">
        <v>374</v>
      </c>
      <c r="B3519" s="10" t="s">
        <v>399</v>
      </c>
      <c r="C3519" t="str">
        <f>Table13[[#This Row],[Manufacturer]]&amp;" "&amp;Table13[[#This Row],[Model]]</f>
        <v>Tohnichi LTD5I</v>
      </c>
      <c r="D3519" s="1">
        <v>3</v>
      </c>
      <c r="E3519" s="1" t="s">
        <v>169</v>
      </c>
      <c r="F3519" s="38">
        <v>5</v>
      </c>
      <c r="G3519" t="s">
        <v>164</v>
      </c>
    </row>
    <row r="3520" spans="1:7" x14ac:dyDescent="0.25">
      <c r="A3520" s="10" t="s">
        <v>374</v>
      </c>
      <c r="B3520" s="10" t="s">
        <v>398</v>
      </c>
      <c r="C3520" t="str">
        <f>Table13[[#This Row],[Manufacturer]]&amp;" "&amp;Table13[[#This Row],[Model]]</f>
        <v>Tohnichi LTD60CN</v>
      </c>
      <c r="D3520" s="1">
        <v>3</v>
      </c>
      <c r="E3520" s="1" t="s">
        <v>169</v>
      </c>
      <c r="F3520" s="38">
        <v>60</v>
      </c>
      <c r="G3520" t="s">
        <v>187</v>
      </c>
    </row>
    <row r="3521" spans="1:7" x14ac:dyDescent="0.25">
      <c r="A3521" s="10" t="s">
        <v>374</v>
      </c>
      <c r="B3521" s="10" t="s">
        <v>397</v>
      </c>
      <c r="C3521" t="str">
        <f>Table13[[#This Row],[Manufacturer]]&amp;" "&amp;Table13[[#This Row],[Model]]</f>
        <v>Tohnichi LTD80Z</v>
      </c>
      <c r="D3521" s="1">
        <v>3</v>
      </c>
      <c r="E3521" s="1" t="s">
        <v>169</v>
      </c>
      <c r="F3521" s="38">
        <v>80</v>
      </c>
      <c r="G3521" t="s">
        <v>172</v>
      </c>
    </row>
    <row r="3522" spans="1:7" x14ac:dyDescent="0.25">
      <c r="A3522" s="10" t="s">
        <v>374</v>
      </c>
      <c r="B3522" s="10" t="s">
        <v>396</v>
      </c>
      <c r="C3522" t="str">
        <f>Table13[[#This Row],[Manufacturer]]&amp;" "&amp;Table13[[#This Row],[Model]]</f>
        <v>Tohnichi LTD90I</v>
      </c>
      <c r="D3522" s="1">
        <v>3</v>
      </c>
      <c r="E3522" s="1" t="s">
        <v>169</v>
      </c>
      <c r="F3522" s="38">
        <v>90</v>
      </c>
      <c r="G3522" t="s">
        <v>164</v>
      </c>
    </row>
    <row r="3523" spans="1:7" x14ac:dyDescent="0.25">
      <c r="A3523" s="10" t="s">
        <v>374</v>
      </c>
      <c r="B3523" s="10" t="s">
        <v>395</v>
      </c>
      <c r="C3523" t="str">
        <f>Table13[[#This Row],[Manufacturer]]&amp;" "&amp;Table13[[#This Row],[Model]]</f>
        <v>Tohnichi RNTD120CN</v>
      </c>
      <c r="D3523" s="1">
        <v>3</v>
      </c>
      <c r="E3523" s="1" t="s">
        <v>169</v>
      </c>
      <c r="F3523" s="38">
        <v>160</v>
      </c>
      <c r="G3523" t="s">
        <v>172</v>
      </c>
    </row>
    <row r="3524" spans="1:7" x14ac:dyDescent="0.25">
      <c r="A3524" s="10" t="s">
        <v>374</v>
      </c>
      <c r="B3524" s="10" t="s">
        <v>394</v>
      </c>
      <c r="C3524" t="str">
        <f>Table13[[#This Row],[Manufacturer]]&amp;" "&amp;Table13[[#This Row],[Model]]</f>
        <v>Tohnichi RNTD260CN</v>
      </c>
      <c r="D3524" s="1">
        <v>3</v>
      </c>
      <c r="E3524" s="1" t="s">
        <v>169</v>
      </c>
      <c r="F3524" s="38">
        <v>22</v>
      </c>
      <c r="G3524" t="s">
        <v>164</v>
      </c>
    </row>
    <row r="3525" spans="1:7" x14ac:dyDescent="0.25">
      <c r="A3525" s="10" t="s">
        <v>374</v>
      </c>
      <c r="B3525" s="10" t="s">
        <v>393</v>
      </c>
      <c r="C3525" t="str">
        <f>Table13[[#This Row],[Manufacturer]]&amp;" "&amp;Table13[[#This Row],[Model]]</f>
        <v>Tohnichi RNTD30CN</v>
      </c>
      <c r="D3525" s="1">
        <v>3</v>
      </c>
      <c r="E3525" s="1" t="s">
        <v>169</v>
      </c>
      <c r="F3525" s="38">
        <v>40</v>
      </c>
      <c r="G3525" t="s">
        <v>172</v>
      </c>
    </row>
    <row r="3526" spans="1:7" x14ac:dyDescent="0.25">
      <c r="A3526" s="10" t="s">
        <v>374</v>
      </c>
      <c r="B3526" s="10" t="s">
        <v>392</v>
      </c>
      <c r="C3526" t="str">
        <f>Table13[[#This Row],[Manufacturer]]&amp;" "&amp;Table13[[#This Row],[Model]]</f>
        <v>Tohnichi RNTD500CN</v>
      </c>
      <c r="D3526" s="1">
        <v>3</v>
      </c>
      <c r="E3526" s="1" t="s">
        <v>169</v>
      </c>
      <c r="F3526" s="38">
        <v>40</v>
      </c>
      <c r="G3526" t="s">
        <v>164</v>
      </c>
    </row>
    <row r="3527" spans="1:7" x14ac:dyDescent="0.25">
      <c r="A3527" s="10" t="s">
        <v>374</v>
      </c>
      <c r="B3527" s="10" t="s">
        <v>391</v>
      </c>
      <c r="C3527" t="str">
        <f>Table13[[#This Row],[Manufacturer]]&amp;" "&amp;Table13[[#This Row],[Model]]</f>
        <v>Tohnichi RNTD60CN</v>
      </c>
      <c r="D3527" s="1">
        <v>3</v>
      </c>
      <c r="E3527" s="1" t="s">
        <v>169</v>
      </c>
      <c r="F3527" s="38">
        <v>80</v>
      </c>
      <c r="G3527" t="s">
        <v>172</v>
      </c>
    </row>
    <row r="3528" spans="1:7" x14ac:dyDescent="0.25">
      <c r="A3528" s="10" t="s">
        <v>374</v>
      </c>
      <c r="B3528" s="10" t="s">
        <v>390</v>
      </c>
      <c r="C3528" t="str">
        <f>Table13[[#This Row],[Manufacturer]]&amp;" "&amp;Table13[[#This Row],[Model]]</f>
        <v>Tohnichi RTD100Z</v>
      </c>
      <c r="D3528" s="1">
        <v>3</v>
      </c>
      <c r="E3528" s="1" t="s">
        <v>169</v>
      </c>
      <c r="F3528" s="38">
        <v>100</v>
      </c>
      <c r="G3528" t="s">
        <v>172</v>
      </c>
    </row>
    <row r="3529" spans="1:7" x14ac:dyDescent="0.25">
      <c r="A3529" s="10" t="s">
        <v>374</v>
      </c>
      <c r="B3529" s="10" t="s">
        <v>389</v>
      </c>
      <c r="C3529" t="str">
        <f>Table13[[#This Row],[Manufacturer]]&amp;" "&amp;Table13[[#This Row],[Model]]</f>
        <v>Tohnichi RTD10I</v>
      </c>
      <c r="D3529" s="1">
        <v>3</v>
      </c>
      <c r="E3529" s="1" t="s">
        <v>169</v>
      </c>
      <c r="F3529" s="38">
        <v>10</v>
      </c>
      <c r="G3529" t="s">
        <v>164</v>
      </c>
    </row>
    <row r="3530" spans="1:7" x14ac:dyDescent="0.25">
      <c r="A3530" s="10" t="s">
        <v>374</v>
      </c>
      <c r="B3530" s="10" t="s">
        <v>388</v>
      </c>
      <c r="C3530" t="str">
        <f>Table13[[#This Row],[Manufacturer]]&amp;" "&amp;Table13[[#This Row],[Model]]</f>
        <v>Tohnichi RTD120CN</v>
      </c>
      <c r="D3530" s="1">
        <v>3</v>
      </c>
      <c r="E3530" s="1" t="s">
        <v>169</v>
      </c>
      <c r="F3530" s="38">
        <v>120</v>
      </c>
      <c r="G3530" t="s">
        <v>187</v>
      </c>
    </row>
    <row r="3531" spans="1:7" x14ac:dyDescent="0.25">
      <c r="A3531" s="10" t="s">
        <v>374</v>
      </c>
      <c r="B3531" s="10" t="s">
        <v>387</v>
      </c>
      <c r="C3531" t="str">
        <f>Table13[[#This Row],[Manufacturer]]&amp;" "&amp;Table13[[#This Row],[Model]]</f>
        <v>Tohnichi RTD150Z</v>
      </c>
      <c r="D3531" s="1">
        <v>3</v>
      </c>
      <c r="E3531" s="1" t="s">
        <v>169</v>
      </c>
      <c r="F3531" s="38">
        <v>150</v>
      </c>
      <c r="G3531" t="s">
        <v>172</v>
      </c>
    </row>
    <row r="3532" spans="1:7" x14ac:dyDescent="0.25">
      <c r="A3532" s="10" t="s">
        <v>374</v>
      </c>
      <c r="B3532" s="10" t="s">
        <v>386</v>
      </c>
      <c r="C3532" t="str">
        <f>Table13[[#This Row],[Manufacturer]]&amp;" "&amp;Table13[[#This Row],[Model]]</f>
        <v>Tohnichi RTD2.6I</v>
      </c>
      <c r="D3532" s="1">
        <v>3</v>
      </c>
      <c r="E3532" s="1" t="s">
        <v>169</v>
      </c>
      <c r="F3532" s="38">
        <v>2.6</v>
      </c>
      <c r="G3532" t="s">
        <v>164</v>
      </c>
    </row>
    <row r="3533" spans="1:7" x14ac:dyDescent="0.25">
      <c r="A3533" s="10" t="s">
        <v>374</v>
      </c>
      <c r="B3533" s="10" t="s">
        <v>385</v>
      </c>
      <c r="C3533" t="str">
        <f>Table13[[#This Row],[Manufacturer]]&amp;" "&amp;Table13[[#This Row],[Model]]</f>
        <v>Tohnichi RTD20Z</v>
      </c>
      <c r="D3533" s="1">
        <v>3</v>
      </c>
      <c r="E3533" s="1" t="s">
        <v>169</v>
      </c>
      <c r="F3533" s="38">
        <v>20</v>
      </c>
      <c r="G3533" t="s">
        <v>172</v>
      </c>
    </row>
    <row r="3534" spans="1:7" x14ac:dyDescent="0.25">
      <c r="A3534" s="10" t="s">
        <v>374</v>
      </c>
      <c r="B3534" s="10" t="s">
        <v>384</v>
      </c>
      <c r="C3534" t="str">
        <f>Table13[[#This Row],[Manufacturer]]&amp;" "&amp;Table13[[#This Row],[Model]]</f>
        <v>Tohnichi RTD22I</v>
      </c>
      <c r="D3534" s="1">
        <v>3</v>
      </c>
      <c r="E3534" s="1" t="s">
        <v>169</v>
      </c>
      <c r="F3534" s="38">
        <v>22</v>
      </c>
      <c r="G3534" t="s">
        <v>164</v>
      </c>
    </row>
    <row r="3535" spans="1:7" x14ac:dyDescent="0.25">
      <c r="A3535" s="10" t="s">
        <v>374</v>
      </c>
      <c r="B3535" s="10" t="s">
        <v>383</v>
      </c>
      <c r="C3535" t="str">
        <f>Table13[[#This Row],[Manufacturer]]&amp;" "&amp;Table13[[#This Row],[Model]]</f>
        <v>Tohnichi RTD260CN</v>
      </c>
      <c r="D3535" s="1">
        <v>3</v>
      </c>
      <c r="E3535" s="1" t="s">
        <v>169</v>
      </c>
      <c r="F3535" s="38">
        <v>260</v>
      </c>
      <c r="G3535" t="s">
        <v>187</v>
      </c>
    </row>
    <row r="3536" spans="1:7" x14ac:dyDescent="0.25">
      <c r="A3536" s="10" t="s">
        <v>374</v>
      </c>
      <c r="B3536" s="10" t="s">
        <v>382</v>
      </c>
      <c r="C3536" t="str">
        <f>Table13[[#This Row],[Manufacturer]]&amp;" "&amp;Table13[[#This Row],[Model]]</f>
        <v>Tohnichi RTD30CN</v>
      </c>
      <c r="D3536" s="1">
        <v>3</v>
      </c>
      <c r="E3536" s="1" t="s">
        <v>169</v>
      </c>
      <c r="F3536" s="38">
        <v>30</v>
      </c>
      <c r="G3536" t="s">
        <v>187</v>
      </c>
    </row>
    <row r="3537" spans="1:7" x14ac:dyDescent="0.25">
      <c r="A3537" s="10" t="s">
        <v>374</v>
      </c>
      <c r="B3537" s="10" t="s">
        <v>381</v>
      </c>
      <c r="C3537" t="str">
        <f>Table13[[#This Row],[Manufacturer]]&amp;" "&amp;Table13[[#This Row],[Model]]</f>
        <v>Tohnichi RTD40I</v>
      </c>
      <c r="D3537" s="1">
        <v>3</v>
      </c>
      <c r="E3537" s="1" t="s">
        <v>169</v>
      </c>
      <c r="F3537" s="38">
        <v>40</v>
      </c>
      <c r="G3537" t="s">
        <v>164</v>
      </c>
    </row>
    <row r="3538" spans="1:7" x14ac:dyDescent="0.25">
      <c r="A3538" s="10" t="s">
        <v>374</v>
      </c>
      <c r="B3538" s="10" t="s">
        <v>380</v>
      </c>
      <c r="C3538" t="str">
        <f>Table13[[#This Row],[Manufacturer]]&amp;" "&amp;Table13[[#This Row],[Model]]</f>
        <v>Tohnichi RTD40Z</v>
      </c>
      <c r="D3538" s="1">
        <v>3</v>
      </c>
      <c r="E3538" s="1" t="s">
        <v>169</v>
      </c>
      <c r="F3538" s="38">
        <v>40</v>
      </c>
      <c r="G3538" t="s">
        <v>172</v>
      </c>
    </row>
    <row r="3539" spans="1:7" x14ac:dyDescent="0.25">
      <c r="A3539" s="10" t="s">
        <v>374</v>
      </c>
      <c r="B3539" s="10" t="s">
        <v>379</v>
      </c>
      <c r="C3539" t="str">
        <f>Table13[[#This Row],[Manufacturer]]&amp;" "&amp;Table13[[#This Row],[Model]]</f>
        <v>Tohnichi RTD500CN</v>
      </c>
      <c r="D3539" s="1">
        <v>3</v>
      </c>
      <c r="E3539" s="1" t="s">
        <v>169</v>
      </c>
      <c r="F3539" s="38">
        <v>500</v>
      </c>
      <c r="G3539" t="s">
        <v>187</v>
      </c>
    </row>
    <row r="3540" spans="1:7" x14ac:dyDescent="0.25">
      <c r="A3540" s="10" t="s">
        <v>374</v>
      </c>
      <c r="B3540" s="10" t="s">
        <v>378</v>
      </c>
      <c r="C3540" t="str">
        <f>Table13[[#This Row],[Manufacturer]]&amp;" "&amp;Table13[[#This Row],[Model]]</f>
        <v>Tohnichi RTD50Z</v>
      </c>
      <c r="D3540" s="1">
        <v>3</v>
      </c>
      <c r="E3540" s="1" t="s">
        <v>169</v>
      </c>
      <c r="F3540" s="38">
        <v>50</v>
      </c>
      <c r="G3540" t="s">
        <v>172</v>
      </c>
    </row>
    <row r="3541" spans="1:7" x14ac:dyDescent="0.25">
      <c r="A3541" s="10" t="s">
        <v>374</v>
      </c>
      <c r="B3541" s="10" t="s">
        <v>377</v>
      </c>
      <c r="C3541" t="str">
        <f>Table13[[#This Row],[Manufacturer]]&amp;" "&amp;Table13[[#This Row],[Model]]</f>
        <v>Tohnichi RTD5I</v>
      </c>
      <c r="D3541" s="1">
        <v>3</v>
      </c>
      <c r="E3541" s="1" t="s">
        <v>169</v>
      </c>
      <c r="F3541" s="38">
        <v>5</v>
      </c>
      <c r="G3541" t="s">
        <v>164</v>
      </c>
    </row>
    <row r="3542" spans="1:7" x14ac:dyDescent="0.25">
      <c r="A3542" s="10" t="s">
        <v>374</v>
      </c>
      <c r="B3542" s="10" t="s">
        <v>376</v>
      </c>
      <c r="C3542" t="str">
        <f>Table13[[#This Row],[Manufacturer]]&amp;" "&amp;Table13[[#This Row],[Model]]</f>
        <v>Tohnichi RTD60CN</v>
      </c>
      <c r="D3542" s="1">
        <v>3</v>
      </c>
      <c r="E3542" s="1" t="s">
        <v>169</v>
      </c>
      <c r="F3542" s="38">
        <v>60</v>
      </c>
      <c r="G3542" t="s">
        <v>187</v>
      </c>
    </row>
    <row r="3543" spans="1:7" x14ac:dyDescent="0.25">
      <c r="A3543" s="10" t="s">
        <v>374</v>
      </c>
      <c r="B3543" s="10" t="s">
        <v>375</v>
      </c>
      <c r="C3543" t="str">
        <f>Table13[[#This Row],[Manufacturer]]&amp;" "&amp;Table13[[#This Row],[Model]]</f>
        <v>Tohnichi RTD80Z</v>
      </c>
      <c r="D3543" s="1">
        <v>3</v>
      </c>
      <c r="E3543" s="1" t="s">
        <v>169</v>
      </c>
      <c r="F3543" s="38">
        <v>80</v>
      </c>
      <c r="G3543" t="s">
        <v>172</v>
      </c>
    </row>
    <row r="3544" spans="1:7" x14ac:dyDescent="0.25">
      <c r="A3544" s="10" t="s">
        <v>374</v>
      </c>
      <c r="B3544" s="10" t="s">
        <v>373</v>
      </c>
      <c r="C3544" t="str">
        <f>Table13[[#This Row],[Manufacturer]]&amp;" "&amp;Table13[[#This Row],[Model]]</f>
        <v>Tohnichi NSP100CNX8</v>
      </c>
      <c r="D3544" s="1">
        <v>5</v>
      </c>
      <c r="E3544" s="1" t="s">
        <v>169</v>
      </c>
      <c r="F3544" s="38">
        <v>10</v>
      </c>
      <c r="G3544" t="s">
        <v>372</v>
      </c>
    </row>
    <row r="3545" spans="1:7" x14ac:dyDescent="0.25">
      <c r="A3545" s="10" t="s">
        <v>371</v>
      </c>
      <c r="B3545" s="10" t="s">
        <v>370</v>
      </c>
      <c r="C3545" t="str">
        <f>Table13[[#This Row],[Manufacturer]]&amp;" "&amp;Table13[[#This Row],[Model]]</f>
        <v>Topeak D-Torq (DX)</v>
      </c>
      <c r="D3545" s="1">
        <v>3</v>
      </c>
      <c r="E3545" s="1">
        <v>4</v>
      </c>
      <c r="F3545" s="38">
        <v>80</v>
      </c>
      <c r="G3545" t="s">
        <v>184</v>
      </c>
    </row>
    <row r="3546" spans="1:7" x14ac:dyDescent="0.25">
      <c r="A3546" s="10" t="s">
        <v>369</v>
      </c>
      <c r="B3546" s="10" t="s">
        <v>368</v>
      </c>
      <c r="C3546" t="str">
        <f>Table13[[#This Row],[Manufacturer]]&amp;" "&amp;Table13[[#This Row],[Model]]</f>
        <v>Torqtite TQT-ADJ-100FL</v>
      </c>
      <c r="D3546" s="1">
        <v>5</v>
      </c>
      <c r="E3546" s="1" t="s">
        <v>169</v>
      </c>
      <c r="F3546" s="38">
        <v>100</v>
      </c>
      <c r="G3546" t="s">
        <v>184</v>
      </c>
    </row>
    <row r="3547" spans="1:7" x14ac:dyDescent="0.25">
      <c r="A3547" s="10" t="s">
        <v>365</v>
      </c>
      <c r="B3547" s="10" t="s">
        <v>367</v>
      </c>
      <c r="C3547" t="str">
        <f>Table13[[#This Row],[Manufacturer]]&amp;" "&amp;Table13[[#This Row],[Model]]</f>
        <v>Torque Leader TT 100 FH</v>
      </c>
      <c r="D3547" s="1">
        <v>6</v>
      </c>
      <c r="E3547" s="1">
        <v>6</v>
      </c>
      <c r="F3547" s="38">
        <v>140</v>
      </c>
      <c r="G3547" t="s">
        <v>172</v>
      </c>
    </row>
    <row r="3548" spans="1:7" x14ac:dyDescent="0.25">
      <c r="A3548" s="10" t="s">
        <v>365</v>
      </c>
      <c r="B3548" s="10" t="s">
        <v>366</v>
      </c>
      <c r="C3548" t="str">
        <f>Table13[[#This Row],[Manufacturer]]&amp;" "&amp;Table13[[#This Row],[Model]]</f>
        <v>Torque Leader TT 250 FH</v>
      </c>
      <c r="D3548" s="1">
        <v>6</v>
      </c>
      <c r="E3548" s="1">
        <v>6</v>
      </c>
      <c r="F3548" s="38">
        <v>20</v>
      </c>
      <c r="G3548" t="s">
        <v>164</v>
      </c>
    </row>
    <row r="3549" spans="1:7" x14ac:dyDescent="0.25">
      <c r="A3549" s="10" t="s">
        <v>365</v>
      </c>
      <c r="B3549" s="10" t="s">
        <v>364</v>
      </c>
      <c r="C3549" t="str">
        <f>Table13[[#This Row],[Manufacturer]]&amp;" "&amp;Table13[[#This Row],[Model]]</f>
        <v>Torque Leader TT 500 FH</v>
      </c>
      <c r="D3549" s="1">
        <v>6</v>
      </c>
      <c r="E3549" s="1">
        <v>6</v>
      </c>
      <c r="F3549" s="38">
        <v>40</v>
      </c>
      <c r="G3549" t="s">
        <v>164</v>
      </c>
    </row>
    <row r="3550" spans="1:7" x14ac:dyDescent="0.25">
      <c r="A3550" s="10" t="s">
        <v>348</v>
      </c>
      <c r="B3550" s="10" t="s">
        <v>363</v>
      </c>
      <c r="C3550" t="str">
        <f>Table13[[#This Row],[Manufacturer]]&amp;" "&amp;Table13[[#This Row],[Model]]</f>
        <v>TorqueLeader TB100C</v>
      </c>
      <c r="D3550" s="1">
        <v>6</v>
      </c>
      <c r="E3550" s="1" t="s">
        <v>169</v>
      </c>
      <c r="F3550" s="38">
        <v>100</v>
      </c>
      <c r="G3550" t="s">
        <v>164</v>
      </c>
    </row>
    <row r="3551" spans="1:7" x14ac:dyDescent="0.25">
      <c r="A3551" s="10" t="s">
        <v>348</v>
      </c>
      <c r="B3551" s="10" t="s">
        <v>362</v>
      </c>
      <c r="C3551" t="str">
        <f>Table13[[#This Row],[Manufacturer]]&amp;" "&amp;Table13[[#This Row],[Model]]</f>
        <v>TorqueLeader TB12C</v>
      </c>
      <c r="D3551" s="1">
        <v>6</v>
      </c>
      <c r="E3551" s="1">
        <v>6</v>
      </c>
      <c r="F3551" s="38">
        <v>12</v>
      </c>
      <c r="G3551" t="s">
        <v>164</v>
      </c>
    </row>
    <row r="3552" spans="1:7" x14ac:dyDescent="0.25">
      <c r="A3552" s="10" t="s">
        <v>348</v>
      </c>
      <c r="B3552" s="10" t="s">
        <v>361</v>
      </c>
      <c r="C3552" t="str">
        <f>Table13[[#This Row],[Manufacturer]]&amp;" "&amp;Table13[[#This Row],[Model]]</f>
        <v>TorqueLeader Minor 1/4 Square Drive</v>
      </c>
      <c r="D3552" s="1">
        <v>6</v>
      </c>
      <c r="E3552" s="1" t="s">
        <v>169</v>
      </c>
      <c r="F3552" s="38">
        <v>12</v>
      </c>
      <c r="G3552" t="s">
        <v>164</v>
      </c>
    </row>
    <row r="3553" spans="1:7" x14ac:dyDescent="0.25">
      <c r="A3553" s="10" t="s">
        <v>348</v>
      </c>
      <c r="B3553" s="10" t="s">
        <v>360</v>
      </c>
      <c r="C3553" t="str">
        <f>Table13[[#This Row],[Manufacturer]]&amp;" "&amp;Table13[[#This Row],[Model]]</f>
        <v>TorqueLeader Standard 1/4 Square Drive</v>
      </c>
      <c r="D3553" s="1">
        <v>6</v>
      </c>
      <c r="E3553" s="1" t="s">
        <v>169</v>
      </c>
      <c r="F3553" s="38">
        <v>60</v>
      </c>
      <c r="G3553" t="s">
        <v>164</v>
      </c>
    </row>
    <row r="3554" spans="1:7" x14ac:dyDescent="0.25">
      <c r="A3554" s="10" t="s">
        <v>348</v>
      </c>
      <c r="B3554" s="10" t="s">
        <v>359</v>
      </c>
      <c r="C3554" t="str">
        <f>Table13[[#This Row],[Manufacturer]]&amp;" "&amp;Table13[[#This Row],[Model]]</f>
        <v>TorqueLeader TBN 10</v>
      </c>
      <c r="D3554" s="1">
        <v>6</v>
      </c>
      <c r="E3554" s="1" t="s">
        <v>169</v>
      </c>
      <c r="F3554" s="38">
        <v>10</v>
      </c>
      <c r="G3554" t="s">
        <v>184</v>
      </c>
    </row>
    <row r="3555" spans="1:7" x14ac:dyDescent="0.25">
      <c r="A3555" s="10" t="s">
        <v>348</v>
      </c>
      <c r="B3555" s="10" t="s">
        <v>358</v>
      </c>
      <c r="C3555" t="str">
        <f>Table13[[#This Row],[Manufacturer]]&amp;" "&amp;Table13[[#This Row],[Model]]</f>
        <v>TorqueLeader TBN 10G</v>
      </c>
      <c r="D3555" s="1">
        <v>6</v>
      </c>
      <c r="E3555" s="1" t="s">
        <v>169</v>
      </c>
      <c r="F3555" s="38">
        <v>10</v>
      </c>
      <c r="G3555" t="s">
        <v>184</v>
      </c>
    </row>
    <row r="3556" spans="1:7" x14ac:dyDescent="0.25">
      <c r="A3556" s="10" t="s">
        <v>348</v>
      </c>
      <c r="B3556" s="10" t="s">
        <v>357</v>
      </c>
      <c r="C3556" t="str">
        <f>Table13[[#This Row],[Manufacturer]]&amp;" "&amp;Table13[[#This Row],[Model]]</f>
        <v>TorqueLeader TBN 135</v>
      </c>
      <c r="D3556" s="1">
        <v>4</v>
      </c>
      <c r="E3556" s="1" t="s">
        <v>169</v>
      </c>
      <c r="F3556" s="38">
        <v>135</v>
      </c>
      <c r="G3556" t="s">
        <v>184</v>
      </c>
    </row>
    <row r="3557" spans="1:7" x14ac:dyDescent="0.25">
      <c r="A3557" s="10" t="s">
        <v>348</v>
      </c>
      <c r="B3557" s="10" t="s">
        <v>356</v>
      </c>
      <c r="C3557" t="str">
        <f>Table13[[#This Row],[Manufacturer]]&amp;" "&amp;Table13[[#This Row],[Model]]</f>
        <v>TorqueLeader TBN 135G</v>
      </c>
      <c r="D3557" s="1">
        <v>4</v>
      </c>
      <c r="E3557" s="1" t="s">
        <v>169</v>
      </c>
      <c r="F3557" s="38">
        <v>135</v>
      </c>
      <c r="G3557" t="s">
        <v>184</v>
      </c>
    </row>
    <row r="3558" spans="1:7" x14ac:dyDescent="0.25">
      <c r="A3558" s="10" t="s">
        <v>348</v>
      </c>
      <c r="B3558" s="10" t="s">
        <v>355</v>
      </c>
      <c r="C3558" t="str">
        <f>Table13[[#This Row],[Manufacturer]]&amp;" "&amp;Table13[[#This Row],[Model]]</f>
        <v>TorqueLeader TBN 2</v>
      </c>
      <c r="D3558" s="1">
        <v>6</v>
      </c>
      <c r="E3558" s="1" t="s">
        <v>169</v>
      </c>
      <c r="F3558" s="38">
        <v>2</v>
      </c>
      <c r="G3558" t="s">
        <v>184</v>
      </c>
    </row>
    <row r="3559" spans="1:7" x14ac:dyDescent="0.25">
      <c r="A3559" s="10" t="s">
        <v>348</v>
      </c>
      <c r="B3559" s="10" t="s">
        <v>354</v>
      </c>
      <c r="C3559" t="str">
        <f>Table13[[#This Row],[Manufacturer]]&amp;" "&amp;Table13[[#This Row],[Model]]</f>
        <v>TorqueLeader TBN 200</v>
      </c>
      <c r="D3559" s="1">
        <v>4</v>
      </c>
      <c r="E3559" s="1" t="s">
        <v>169</v>
      </c>
      <c r="F3559" s="38">
        <v>200</v>
      </c>
      <c r="G3559" t="s">
        <v>184</v>
      </c>
    </row>
    <row r="3560" spans="1:7" x14ac:dyDescent="0.25">
      <c r="A3560" s="10" t="s">
        <v>348</v>
      </c>
      <c r="B3560" s="10" t="s">
        <v>353</v>
      </c>
      <c r="C3560" t="str">
        <f>Table13[[#This Row],[Manufacturer]]&amp;" "&amp;Table13[[#This Row],[Model]]</f>
        <v>TorqueLeader TBN 200G</v>
      </c>
      <c r="D3560" s="1">
        <v>4</v>
      </c>
      <c r="E3560" s="1" t="s">
        <v>169</v>
      </c>
      <c r="F3560" s="38">
        <v>200</v>
      </c>
      <c r="G3560" t="s">
        <v>184</v>
      </c>
    </row>
    <row r="3561" spans="1:7" x14ac:dyDescent="0.25">
      <c r="A3561" s="10" t="s">
        <v>348</v>
      </c>
      <c r="B3561" s="10" t="s">
        <v>352</v>
      </c>
      <c r="C3561" t="str">
        <f>Table13[[#This Row],[Manufacturer]]&amp;" "&amp;Table13[[#This Row],[Model]]</f>
        <v>TorqueLeader TBN 25</v>
      </c>
      <c r="D3561" s="1">
        <v>4</v>
      </c>
      <c r="E3561" s="1" t="s">
        <v>169</v>
      </c>
      <c r="F3561" s="38">
        <v>25</v>
      </c>
      <c r="G3561" t="s">
        <v>184</v>
      </c>
    </row>
    <row r="3562" spans="1:7" x14ac:dyDescent="0.25">
      <c r="A3562" s="10" t="s">
        <v>348</v>
      </c>
      <c r="B3562" s="10" t="s">
        <v>351</v>
      </c>
      <c r="C3562" t="str">
        <f>Table13[[#This Row],[Manufacturer]]&amp;" "&amp;Table13[[#This Row],[Model]]</f>
        <v>TorqueLeader TBN 25G</v>
      </c>
      <c r="D3562" s="1">
        <v>4</v>
      </c>
      <c r="E3562" s="1" t="s">
        <v>169</v>
      </c>
      <c r="F3562" s="38">
        <v>25</v>
      </c>
      <c r="G3562" t="s">
        <v>184</v>
      </c>
    </row>
    <row r="3563" spans="1:7" x14ac:dyDescent="0.25">
      <c r="A3563" s="10" t="s">
        <v>348</v>
      </c>
      <c r="B3563" s="10" t="s">
        <v>350</v>
      </c>
      <c r="C3563" t="str">
        <f>Table13[[#This Row],[Manufacturer]]&amp;" "&amp;Table13[[#This Row],[Model]]</f>
        <v>TorqueLeader TBN 2G</v>
      </c>
      <c r="D3563" s="1">
        <v>6</v>
      </c>
      <c r="E3563" s="1" t="s">
        <v>169</v>
      </c>
      <c r="F3563" s="38">
        <v>2</v>
      </c>
      <c r="G3563" t="s">
        <v>184</v>
      </c>
    </row>
    <row r="3564" spans="1:7" x14ac:dyDescent="0.25">
      <c r="A3564" s="10" t="s">
        <v>348</v>
      </c>
      <c r="B3564" s="10" t="s">
        <v>349</v>
      </c>
      <c r="C3564" t="str">
        <f>Table13[[#This Row],[Manufacturer]]&amp;" "&amp;Table13[[#This Row],[Model]]</f>
        <v>TorqueLeader TBN 65</v>
      </c>
      <c r="D3564" s="1">
        <v>4</v>
      </c>
      <c r="E3564" s="1" t="s">
        <v>169</v>
      </c>
      <c r="F3564" s="38">
        <v>65</v>
      </c>
      <c r="G3564" t="s">
        <v>184</v>
      </c>
    </row>
    <row r="3565" spans="1:7" x14ac:dyDescent="0.25">
      <c r="A3565" s="10" t="s">
        <v>348</v>
      </c>
      <c r="B3565" s="10" t="s">
        <v>347</v>
      </c>
      <c r="C3565" t="str">
        <f>Table13[[#This Row],[Manufacturer]]&amp;" "&amp;Table13[[#This Row],[Model]]</f>
        <v>TorqueLeader TBN 65G</v>
      </c>
      <c r="D3565" s="1">
        <v>4</v>
      </c>
      <c r="E3565" s="1" t="s">
        <v>169</v>
      </c>
      <c r="F3565" s="38">
        <v>65</v>
      </c>
      <c r="G3565" t="s">
        <v>184</v>
      </c>
    </row>
    <row r="3566" spans="1:7" x14ac:dyDescent="0.25">
      <c r="A3566" s="10" t="s">
        <v>340</v>
      </c>
      <c r="B3566" s="10" t="s">
        <v>346</v>
      </c>
      <c r="C3566" t="str">
        <f>Table13[[#This Row],[Manufacturer]]&amp;" "&amp;Table13[[#This Row],[Model]]</f>
        <v>Tri Torq FXL100</v>
      </c>
      <c r="D3566" s="1">
        <v>4</v>
      </c>
      <c r="E3566" s="1" t="s">
        <v>169</v>
      </c>
      <c r="F3566" s="38">
        <v>75</v>
      </c>
      <c r="G3566" t="s">
        <v>166</v>
      </c>
    </row>
    <row r="3567" spans="1:7" x14ac:dyDescent="0.25">
      <c r="A3567" s="10" t="s">
        <v>340</v>
      </c>
      <c r="B3567" s="10" t="s">
        <v>345</v>
      </c>
      <c r="C3567" t="str">
        <f>Table13[[#This Row],[Manufacturer]]&amp;" "&amp;Table13[[#This Row],[Model]]</f>
        <v>Tri Torq FXL200</v>
      </c>
      <c r="D3567" s="1">
        <v>4</v>
      </c>
      <c r="E3567" s="1" t="s">
        <v>169</v>
      </c>
      <c r="F3567" s="38">
        <v>150</v>
      </c>
      <c r="G3567" t="s">
        <v>166</v>
      </c>
    </row>
    <row r="3568" spans="1:7" x14ac:dyDescent="0.25">
      <c r="A3568" s="10" t="s">
        <v>340</v>
      </c>
      <c r="B3568" s="10" t="s">
        <v>344</v>
      </c>
      <c r="C3568" t="str">
        <f>Table13[[#This Row],[Manufacturer]]&amp;" "&amp;Table13[[#This Row],[Model]]</f>
        <v>Tri Torq FXL32</v>
      </c>
      <c r="D3568" s="1">
        <v>4</v>
      </c>
      <c r="E3568" s="1" t="s">
        <v>169</v>
      </c>
      <c r="F3568" s="38">
        <v>25</v>
      </c>
      <c r="G3568" t="s">
        <v>166</v>
      </c>
    </row>
    <row r="3569" spans="1:7" x14ac:dyDescent="0.25">
      <c r="A3569" s="10" t="s">
        <v>340</v>
      </c>
      <c r="B3569" s="10" t="s">
        <v>343</v>
      </c>
      <c r="C3569" t="str">
        <f>Table13[[#This Row],[Manufacturer]]&amp;" "&amp;Table13[[#This Row],[Model]]</f>
        <v>Tri Torq FXL320</v>
      </c>
      <c r="D3569" s="1">
        <v>4</v>
      </c>
      <c r="E3569" s="1" t="s">
        <v>169</v>
      </c>
      <c r="F3569" s="38">
        <v>250</v>
      </c>
      <c r="G3569" t="s">
        <v>166</v>
      </c>
    </row>
    <row r="3570" spans="1:7" x14ac:dyDescent="0.25">
      <c r="A3570" s="10" t="s">
        <v>340</v>
      </c>
      <c r="B3570" s="10" t="s">
        <v>342</v>
      </c>
      <c r="C3570" t="str">
        <f>Table13[[#This Row],[Manufacturer]]&amp;" "&amp;Table13[[#This Row],[Model]]</f>
        <v>Tri Torq FXL33</v>
      </c>
      <c r="D3570" s="1">
        <v>4</v>
      </c>
      <c r="E3570" s="1" t="s">
        <v>169</v>
      </c>
      <c r="F3570" s="38">
        <v>25</v>
      </c>
      <c r="G3570" t="s">
        <v>166</v>
      </c>
    </row>
    <row r="3571" spans="1:7" x14ac:dyDescent="0.25">
      <c r="A3571" s="10" t="s">
        <v>340</v>
      </c>
      <c r="B3571" s="10" t="s">
        <v>341</v>
      </c>
      <c r="C3571" t="str">
        <f>Table13[[#This Row],[Manufacturer]]&amp;" "&amp;Table13[[#This Row],[Model]]</f>
        <v>Tri Torq FXL5</v>
      </c>
      <c r="D3571" s="1">
        <v>4</v>
      </c>
      <c r="E3571" s="1" t="s">
        <v>169</v>
      </c>
      <c r="F3571" s="38">
        <v>50</v>
      </c>
      <c r="G3571" t="s">
        <v>164</v>
      </c>
    </row>
    <row r="3572" spans="1:7" x14ac:dyDescent="0.25">
      <c r="A3572" s="10" t="s">
        <v>340</v>
      </c>
      <c r="B3572" s="10" t="s">
        <v>339</v>
      </c>
      <c r="C3572" t="str">
        <f>Table13[[#This Row],[Manufacturer]]&amp;" "&amp;Table13[[#This Row],[Model]]</f>
        <v>Tri Torq FXL63</v>
      </c>
      <c r="D3572" s="1">
        <v>4</v>
      </c>
      <c r="E3572" s="1" t="s">
        <v>169</v>
      </c>
      <c r="F3572" s="38">
        <v>50</v>
      </c>
      <c r="G3572" t="s">
        <v>166</v>
      </c>
    </row>
    <row r="3573" spans="1:7" x14ac:dyDescent="0.25">
      <c r="A3573" s="10" t="s">
        <v>333</v>
      </c>
      <c r="B3573" s="10" t="s">
        <v>338</v>
      </c>
      <c r="C3573" t="str">
        <f>Table13[[#This Row],[Manufacturer]]&amp;" "&amp;Table13[[#This Row],[Model]]</f>
        <v>Tri-Sure 26WSSC</v>
      </c>
      <c r="D3573" s="1" t="s">
        <v>331</v>
      </c>
      <c r="E3573" s="1" t="s">
        <v>330</v>
      </c>
      <c r="F3573" s="38" t="s">
        <v>329</v>
      </c>
      <c r="G3573" t="s">
        <v>166</v>
      </c>
    </row>
    <row r="3574" spans="1:7" x14ac:dyDescent="0.25">
      <c r="A3574" s="10" t="s">
        <v>333</v>
      </c>
      <c r="B3574" s="10" t="s">
        <v>337</v>
      </c>
      <c r="C3574" t="str">
        <f>Table13[[#This Row],[Manufacturer]]&amp;" "&amp;Table13[[#This Row],[Model]]</f>
        <v>Tri-Sure 26WSSW</v>
      </c>
      <c r="D3574" s="1" t="s">
        <v>331</v>
      </c>
      <c r="E3574" s="1" t="s">
        <v>330</v>
      </c>
      <c r="F3574" s="38" t="s">
        <v>329</v>
      </c>
      <c r="G3574" t="s">
        <v>166</v>
      </c>
    </row>
    <row r="3575" spans="1:7" x14ac:dyDescent="0.25">
      <c r="A3575" s="10" t="s">
        <v>333</v>
      </c>
      <c r="B3575" s="10" t="s">
        <v>336</v>
      </c>
      <c r="C3575" t="str">
        <f>Table13[[#This Row],[Manufacturer]]&amp;" "&amp;Table13[[#This Row],[Model]]</f>
        <v>Tri-Sure 26WSTS</v>
      </c>
      <c r="D3575" s="1" t="s">
        <v>331</v>
      </c>
      <c r="E3575" s="1" t="s">
        <v>330</v>
      </c>
      <c r="F3575" s="38" t="s">
        <v>329</v>
      </c>
      <c r="G3575" t="s">
        <v>166</v>
      </c>
    </row>
    <row r="3576" spans="1:7" x14ac:dyDescent="0.25">
      <c r="A3576" s="10" t="s">
        <v>333</v>
      </c>
      <c r="B3576" s="10" t="s">
        <v>335</v>
      </c>
      <c r="C3576" t="str">
        <f>Table13[[#This Row],[Manufacturer]]&amp;" "&amp;Table13[[#This Row],[Model]]</f>
        <v>Tri-Sure 26WTSP</v>
      </c>
      <c r="D3576" s="1" t="s">
        <v>331</v>
      </c>
      <c r="E3576" s="1" t="s">
        <v>330</v>
      </c>
      <c r="F3576" s="38" t="s">
        <v>329</v>
      </c>
      <c r="G3576" t="s">
        <v>166</v>
      </c>
    </row>
    <row r="3577" spans="1:7" x14ac:dyDescent="0.25">
      <c r="A3577" s="10" t="s">
        <v>333</v>
      </c>
      <c r="B3577" s="10" t="s">
        <v>334</v>
      </c>
      <c r="C3577" t="str">
        <f>Table13[[#This Row],[Manufacturer]]&amp;" "&amp;Table13[[#This Row],[Model]]</f>
        <v>Tri-Sure 26WTSW</v>
      </c>
      <c r="D3577" s="1" t="s">
        <v>331</v>
      </c>
      <c r="E3577" s="1" t="s">
        <v>330</v>
      </c>
      <c r="F3577" s="38" t="s">
        <v>329</v>
      </c>
      <c r="G3577" t="s">
        <v>166</v>
      </c>
    </row>
    <row r="3578" spans="1:7" x14ac:dyDescent="0.25">
      <c r="A3578" s="10" t="s">
        <v>333</v>
      </c>
      <c r="B3578" s="10" t="s">
        <v>332</v>
      </c>
      <c r="C3578" t="str">
        <f>Table13[[#This Row],[Manufacturer]]&amp;" "&amp;Table13[[#This Row],[Model]]</f>
        <v>Tri-Sure 26WTTS</v>
      </c>
      <c r="D3578" s="1" t="s">
        <v>331</v>
      </c>
      <c r="E3578" s="1" t="s">
        <v>330</v>
      </c>
      <c r="F3578" s="38" t="s">
        <v>329</v>
      </c>
      <c r="G3578" t="s">
        <v>166</v>
      </c>
    </row>
    <row r="3579" spans="1:7" x14ac:dyDescent="0.25">
      <c r="A3579" s="10" t="s">
        <v>328</v>
      </c>
      <c r="B3579" s="10">
        <v>12325</v>
      </c>
      <c r="C3579" t="str">
        <f>Table13[[#This Row],[Manufacturer]]&amp;" "&amp;Table13[[#This Row],[Model]]</f>
        <v>Truecraft 12325</v>
      </c>
      <c r="D3579" s="1">
        <v>4</v>
      </c>
      <c r="E3579" s="1">
        <v>6</v>
      </c>
      <c r="F3579" s="38">
        <v>250</v>
      </c>
      <c r="G3579" t="s">
        <v>164</v>
      </c>
    </row>
    <row r="3580" spans="1:7" x14ac:dyDescent="0.25">
      <c r="A3580" s="10" t="s">
        <v>327</v>
      </c>
      <c r="B3580" s="10">
        <v>17015</v>
      </c>
      <c r="C3580" t="str">
        <f>Table13[[#This Row],[Manufacturer]]&amp;" "&amp;Table13[[#This Row],[Model]]</f>
        <v>Ultra Pro 17015</v>
      </c>
      <c r="D3580" s="1">
        <v>4</v>
      </c>
      <c r="E3580" s="1" t="s">
        <v>169</v>
      </c>
      <c r="F3580" s="38">
        <v>150</v>
      </c>
      <c r="G3580" t="s">
        <v>166</v>
      </c>
    </row>
    <row r="3581" spans="1:7" x14ac:dyDescent="0.25">
      <c r="A3581" s="10" t="s">
        <v>325</v>
      </c>
      <c r="B3581" s="10" t="s">
        <v>326</v>
      </c>
      <c r="C3581" t="str">
        <f>Table13[[#This Row],[Manufacturer]]&amp;" "&amp;Table13[[#This Row],[Model]]</f>
        <v>Unknown 80 lbf·ft</v>
      </c>
      <c r="D3581" s="1">
        <v>4</v>
      </c>
      <c r="E3581" s="1">
        <v>6</v>
      </c>
      <c r="F3581" s="38">
        <v>80</v>
      </c>
      <c r="G3581" t="s">
        <v>166</v>
      </c>
    </row>
    <row r="3582" spans="1:7" x14ac:dyDescent="0.25">
      <c r="A3582" s="10" t="s">
        <v>325</v>
      </c>
      <c r="B3582" s="10" t="s">
        <v>324</v>
      </c>
      <c r="C3582" t="str">
        <f>Table13[[#This Row],[Manufacturer]]&amp;" "&amp;Table13[[#This Row],[Model]]</f>
        <v>Unknown QCOK4</v>
      </c>
      <c r="D3582" s="1">
        <v>4</v>
      </c>
      <c r="E3582" s="1" t="s">
        <v>169</v>
      </c>
      <c r="F3582" s="38">
        <v>80</v>
      </c>
      <c r="G3582" t="s">
        <v>166</v>
      </c>
    </row>
    <row r="3583" spans="1:7" x14ac:dyDescent="0.25">
      <c r="A3583" s="10" t="s">
        <v>310</v>
      </c>
      <c r="B3583" s="10" t="s">
        <v>323</v>
      </c>
      <c r="C3583" t="str">
        <f>Table13[[#This Row],[Manufacturer]]&amp;" "&amp;Table13[[#This Row],[Model]]</f>
        <v>Urrea 6007A</v>
      </c>
      <c r="D3583" s="1">
        <v>4</v>
      </c>
      <c r="E3583" s="1">
        <v>4</v>
      </c>
      <c r="F3583" s="38">
        <v>150</v>
      </c>
      <c r="G3583" t="s">
        <v>164</v>
      </c>
    </row>
    <row r="3584" spans="1:7" x14ac:dyDescent="0.25">
      <c r="A3584" s="10" t="s">
        <v>310</v>
      </c>
      <c r="B3584" s="10">
        <v>6112</v>
      </c>
      <c r="C3584" t="str">
        <f>Table13[[#This Row],[Manufacturer]]&amp;" "&amp;Table13[[#This Row],[Model]]</f>
        <v>Urrea 6112</v>
      </c>
      <c r="D3584" s="1">
        <v>4</v>
      </c>
      <c r="E3584" s="1">
        <v>4</v>
      </c>
      <c r="F3584" s="38">
        <v>30</v>
      </c>
      <c r="G3584" t="s">
        <v>164</v>
      </c>
    </row>
    <row r="3585" spans="1:7" x14ac:dyDescent="0.25">
      <c r="A3585" s="10" t="s">
        <v>310</v>
      </c>
      <c r="B3585" s="10">
        <v>6113</v>
      </c>
      <c r="C3585" t="str">
        <f>Table13[[#This Row],[Manufacturer]]&amp;" "&amp;Table13[[#This Row],[Model]]</f>
        <v>Urrea 6113</v>
      </c>
      <c r="D3585" s="1">
        <v>4</v>
      </c>
      <c r="E3585" s="1">
        <v>4</v>
      </c>
      <c r="F3585" s="38">
        <v>50</v>
      </c>
      <c r="G3585" t="s">
        <v>166</v>
      </c>
    </row>
    <row r="3586" spans="1:7" x14ac:dyDescent="0.25">
      <c r="A3586" s="10" t="s">
        <v>310</v>
      </c>
      <c r="B3586" s="10" t="s">
        <v>322</v>
      </c>
      <c r="C3586" t="str">
        <f>Table13[[#This Row],[Manufacturer]]&amp;" "&amp;Table13[[#This Row],[Model]]</f>
        <v>Urrea 6121A</v>
      </c>
      <c r="D3586" s="1">
        <v>4</v>
      </c>
      <c r="E3586" s="1">
        <v>4</v>
      </c>
      <c r="F3586" s="38">
        <v>175</v>
      </c>
      <c r="G3586" t="s">
        <v>166</v>
      </c>
    </row>
    <row r="3587" spans="1:7" x14ac:dyDescent="0.25">
      <c r="A3587" s="10" t="s">
        <v>310</v>
      </c>
      <c r="B3587" s="10">
        <v>6125</v>
      </c>
      <c r="C3587" t="str">
        <f>Table13[[#This Row],[Manufacturer]]&amp;" "&amp;Table13[[#This Row],[Model]]</f>
        <v>Urrea 6125</v>
      </c>
      <c r="D3587" s="1">
        <v>4</v>
      </c>
      <c r="E3587" s="1">
        <v>4</v>
      </c>
      <c r="F3587" s="38">
        <v>250</v>
      </c>
      <c r="G3587" t="s">
        <v>166</v>
      </c>
    </row>
    <row r="3588" spans="1:7" x14ac:dyDescent="0.25">
      <c r="A3588" s="10" t="s">
        <v>310</v>
      </c>
      <c r="B3588" s="10">
        <v>6133</v>
      </c>
      <c r="C3588" t="str">
        <f>Table13[[#This Row],[Manufacturer]]&amp;" "&amp;Table13[[#This Row],[Model]]</f>
        <v>Urrea 6133</v>
      </c>
      <c r="D3588" s="1">
        <v>4</v>
      </c>
      <c r="E3588" s="1">
        <v>4</v>
      </c>
      <c r="F3588" s="38">
        <v>600</v>
      </c>
      <c r="G3588" t="s">
        <v>166</v>
      </c>
    </row>
    <row r="3589" spans="1:7" x14ac:dyDescent="0.25">
      <c r="A3589" s="10" t="s">
        <v>310</v>
      </c>
      <c r="B3589" s="10" t="s">
        <v>321</v>
      </c>
      <c r="C3589" t="str">
        <f>Table13[[#This Row],[Manufacturer]]&amp;" "&amp;Table13[[#This Row],[Model]]</f>
        <v>Urrea 6134A</v>
      </c>
      <c r="D3589" s="1">
        <v>4</v>
      </c>
      <c r="E3589" s="1">
        <v>4</v>
      </c>
      <c r="F3589" s="38">
        <v>350</v>
      </c>
      <c r="G3589" t="s">
        <v>166</v>
      </c>
    </row>
    <row r="3590" spans="1:7" x14ac:dyDescent="0.25">
      <c r="A3590" s="10" t="s">
        <v>310</v>
      </c>
      <c r="B3590" s="10" t="s">
        <v>320</v>
      </c>
      <c r="C3590" t="str">
        <f>Table13[[#This Row],[Manufacturer]]&amp;" "&amp;Table13[[#This Row],[Model]]</f>
        <v>Urrea 6177A</v>
      </c>
      <c r="D3590" s="1">
        <v>4</v>
      </c>
      <c r="E3590" s="1">
        <v>4</v>
      </c>
      <c r="F3590" s="38">
        <v>250</v>
      </c>
      <c r="G3590" t="s">
        <v>164</v>
      </c>
    </row>
    <row r="3591" spans="1:7" x14ac:dyDescent="0.25">
      <c r="A3591" s="10" t="s">
        <v>310</v>
      </c>
      <c r="B3591" s="10" t="s">
        <v>319</v>
      </c>
      <c r="C3591" t="str">
        <f>Table13[[#This Row],[Manufacturer]]&amp;" "&amp;Table13[[#This Row],[Model]]</f>
        <v>Urrea 6178A</v>
      </c>
      <c r="D3591" s="1">
        <v>4</v>
      </c>
      <c r="E3591" s="1">
        <v>4</v>
      </c>
      <c r="F3591" s="38">
        <v>300</v>
      </c>
      <c r="G3591" t="s">
        <v>164</v>
      </c>
    </row>
    <row r="3592" spans="1:7" x14ac:dyDescent="0.25">
      <c r="A3592" s="10" t="s">
        <v>310</v>
      </c>
      <c r="B3592" s="10" t="s">
        <v>318</v>
      </c>
      <c r="C3592" t="str">
        <f>Table13[[#This Row],[Manufacturer]]&amp;" "&amp;Table13[[#This Row],[Model]]</f>
        <v>Urrea 6179E</v>
      </c>
      <c r="D3592" s="1">
        <v>4</v>
      </c>
      <c r="E3592" s="1">
        <v>4</v>
      </c>
      <c r="F3592" s="38">
        <v>1000</v>
      </c>
      <c r="G3592" t="s">
        <v>166</v>
      </c>
    </row>
    <row r="3593" spans="1:7" x14ac:dyDescent="0.25">
      <c r="A3593" s="10" t="s">
        <v>310</v>
      </c>
      <c r="B3593" s="10">
        <v>6200</v>
      </c>
      <c r="C3593" t="str">
        <f>Table13[[#This Row],[Manufacturer]]&amp;" "&amp;Table13[[#This Row],[Model]]</f>
        <v>Urrea 6200</v>
      </c>
      <c r="D3593" s="1">
        <v>1</v>
      </c>
      <c r="E3593" s="1">
        <v>1</v>
      </c>
      <c r="F3593" s="38">
        <v>50</v>
      </c>
      <c r="G3593" t="s">
        <v>164</v>
      </c>
    </row>
    <row r="3594" spans="1:7" x14ac:dyDescent="0.25">
      <c r="A3594" s="10" t="s">
        <v>310</v>
      </c>
      <c r="B3594" s="10">
        <v>6201</v>
      </c>
      <c r="C3594" t="str">
        <f>Table13[[#This Row],[Manufacturer]]&amp;" "&amp;Table13[[#This Row],[Model]]</f>
        <v>Urrea 6201</v>
      </c>
      <c r="D3594" s="1">
        <v>1</v>
      </c>
      <c r="E3594" s="1">
        <v>1</v>
      </c>
      <c r="F3594" s="38">
        <v>250</v>
      </c>
      <c r="G3594" t="s">
        <v>164</v>
      </c>
    </row>
    <row r="3595" spans="1:7" x14ac:dyDescent="0.25">
      <c r="A3595" s="10" t="s">
        <v>310</v>
      </c>
      <c r="B3595" s="10">
        <v>6203</v>
      </c>
      <c r="C3595" t="str">
        <f>Table13[[#This Row],[Manufacturer]]&amp;" "&amp;Table13[[#This Row],[Model]]</f>
        <v>Urrea 6203</v>
      </c>
      <c r="D3595" s="1">
        <v>1</v>
      </c>
      <c r="E3595" s="1">
        <v>1</v>
      </c>
      <c r="F3595" s="38">
        <v>50</v>
      </c>
      <c r="G3595" t="s">
        <v>166</v>
      </c>
    </row>
    <row r="3596" spans="1:7" x14ac:dyDescent="0.25">
      <c r="A3596" s="10" t="s">
        <v>310</v>
      </c>
      <c r="B3596" s="10">
        <v>6204</v>
      </c>
      <c r="C3596" t="str">
        <f>Table13[[#This Row],[Manufacturer]]&amp;" "&amp;Table13[[#This Row],[Model]]</f>
        <v>Urrea 6204</v>
      </c>
      <c r="D3596" s="1">
        <v>1</v>
      </c>
      <c r="E3596" s="1">
        <v>1</v>
      </c>
      <c r="F3596" s="38">
        <v>250</v>
      </c>
      <c r="G3596" t="s">
        <v>166</v>
      </c>
    </row>
    <row r="3597" spans="1:7" x14ac:dyDescent="0.25">
      <c r="A3597" s="10" t="s">
        <v>310</v>
      </c>
      <c r="B3597" s="10">
        <v>6310</v>
      </c>
      <c r="C3597" t="str">
        <f>Table13[[#This Row],[Manufacturer]]&amp;" "&amp;Table13[[#This Row],[Model]]</f>
        <v>Urrea 6310</v>
      </c>
      <c r="D3597" s="1">
        <v>2</v>
      </c>
      <c r="E3597" s="1">
        <v>3</v>
      </c>
      <c r="F3597" s="38">
        <v>20</v>
      </c>
      <c r="G3597" t="s">
        <v>166</v>
      </c>
    </row>
    <row r="3598" spans="1:7" x14ac:dyDescent="0.25">
      <c r="A3598" s="10" t="s">
        <v>310</v>
      </c>
      <c r="B3598" s="10">
        <v>6320</v>
      </c>
      <c r="C3598" t="str">
        <f>Table13[[#This Row],[Manufacturer]]&amp;" "&amp;Table13[[#This Row],[Model]]</f>
        <v>Urrea 6320</v>
      </c>
      <c r="D3598" s="1">
        <v>2</v>
      </c>
      <c r="E3598" s="1">
        <v>3</v>
      </c>
      <c r="F3598" s="38">
        <v>100</v>
      </c>
      <c r="G3598" t="s">
        <v>166</v>
      </c>
    </row>
    <row r="3599" spans="1:7" x14ac:dyDescent="0.25">
      <c r="A3599" s="10" t="s">
        <v>310</v>
      </c>
      <c r="B3599" s="10">
        <v>6330</v>
      </c>
      <c r="C3599" t="str">
        <f>Table13[[#This Row],[Manufacturer]]&amp;" "&amp;Table13[[#This Row],[Model]]</f>
        <v>Urrea 6330</v>
      </c>
      <c r="D3599" s="1">
        <v>2</v>
      </c>
      <c r="E3599" s="1">
        <v>3</v>
      </c>
      <c r="F3599" s="38">
        <v>250</v>
      </c>
      <c r="G3599" t="s">
        <v>166</v>
      </c>
    </row>
    <row r="3600" spans="1:7" x14ac:dyDescent="0.25">
      <c r="A3600" s="10" t="s">
        <v>310</v>
      </c>
      <c r="B3600" s="10">
        <v>6000</v>
      </c>
      <c r="C3600" t="str">
        <f>Table13[[#This Row],[Manufacturer]]&amp;" "&amp;Table13[[#This Row],[Model]]</f>
        <v>Urrea 6000</v>
      </c>
      <c r="D3600" s="1">
        <v>4</v>
      </c>
      <c r="E3600" s="1" t="s">
        <v>169</v>
      </c>
      <c r="F3600" s="38">
        <v>5</v>
      </c>
      <c r="G3600" t="s">
        <v>166</v>
      </c>
    </row>
    <row r="3601" spans="1:7" x14ac:dyDescent="0.25">
      <c r="A3601" s="10" t="s">
        <v>310</v>
      </c>
      <c r="B3601" s="10">
        <v>6001</v>
      </c>
      <c r="C3601" t="str">
        <f>Table13[[#This Row],[Manufacturer]]&amp;" "&amp;Table13[[#This Row],[Model]]</f>
        <v>Urrea 6001</v>
      </c>
      <c r="D3601" s="1">
        <v>4</v>
      </c>
      <c r="E3601" s="1" t="s">
        <v>169</v>
      </c>
      <c r="F3601" s="38">
        <v>9</v>
      </c>
      <c r="G3601" t="s">
        <v>166</v>
      </c>
    </row>
    <row r="3602" spans="1:7" x14ac:dyDescent="0.25">
      <c r="A3602" s="10" t="s">
        <v>310</v>
      </c>
      <c r="B3602" s="10">
        <v>6002</v>
      </c>
      <c r="C3602" t="str">
        <f>Table13[[#This Row],[Manufacturer]]&amp;" "&amp;Table13[[#This Row],[Model]]</f>
        <v>Urrea 6002</v>
      </c>
      <c r="D3602" s="1">
        <v>4</v>
      </c>
      <c r="E3602" s="1" t="s">
        <v>169</v>
      </c>
      <c r="F3602" s="38">
        <v>50</v>
      </c>
      <c r="G3602" t="s">
        <v>166</v>
      </c>
    </row>
    <row r="3603" spans="1:7" x14ac:dyDescent="0.25">
      <c r="A3603" s="10" t="s">
        <v>310</v>
      </c>
      <c r="B3603" s="10">
        <v>6003</v>
      </c>
      <c r="C3603" t="str">
        <f>Table13[[#This Row],[Manufacturer]]&amp;" "&amp;Table13[[#This Row],[Model]]</f>
        <v>Urrea 6003</v>
      </c>
      <c r="D3603" s="1">
        <v>4</v>
      </c>
      <c r="E3603" s="1" t="s">
        <v>169</v>
      </c>
      <c r="F3603" s="38">
        <v>150</v>
      </c>
      <c r="G3603" t="s">
        <v>166</v>
      </c>
    </row>
    <row r="3604" spans="1:7" x14ac:dyDescent="0.25">
      <c r="A3604" s="10" t="s">
        <v>310</v>
      </c>
      <c r="B3604" s="10">
        <v>6006</v>
      </c>
      <c r="C3604" t="str">
        <f>Table13[[#This Row],[Manufacturer]]&amp;" "&amp;Table13[[#This Row],[Model]]</f>
        <v>Urrea 6006</v>
      </c>
      <c r="D3604" s="1">
        <v>4</v>
      </c>
      <c r="E3604" s="1" t="s">
        <v>169</v>
      </c>
      <c r="F3604" s="38">
        <v>75</v>
      </c>
      <c r="G3604" t="s">
        <v>166</v>
      </c>
    </row>
    <row r="3605" spans="1:7" x14ac:dyDescent="0.25">
      <c r="A3605" s="10" t="s">
        <v>310</v>
      </c>
      <c r="B3605" s="10">
        <v>6007</v>
      </c>
      <c r="C3605" t="str">
        <f>Table13[[#This Row],[Manufacturer]]&amp;" "&amp;Table13[[#This Row],[Model]]</f>
        <v>Urrea 6007</v>
      </c>
      <c r="D3605" s="1">
        <v>4</v>
      </c>
      <c r="E3605" s="1" t="s">
        <v>169</v>
      </c>
      <c r="F3605" s="38">
        <v>80</v>
      </c>
      <c r="G3605" t="s">
        <v>166</v>
      </c>
    </row>
    <row r="3606" spans="1:7" x14ac:dyDescent="0.25">
      <c r="A3606" s="10" t="s">
        <v>310</v>
      </c>
      <c r="B3606" s="10" t="s">
        <v>317</v>
      </c>
      <c r="C3606" t="str">
        <f>Table13[[#This Row],[Manufacturer]]&amp;" "&amp;Table13[[#This Row],[Model]]</f>
        <v>Urrea 6012A</v>
      </c>
      <c r="D3606" s="1">
        <v>4</v>
      </c>
      <c r="E3606" s="1" t="s">
        <v>169</v>
      </c>
      <c r="F3606" s="38">
        <v>100</v>
      </c>
      <c r="G3606" t="s">
        <v>166</v>
      </c>
    </row>
    <row r="3607" spans="1:7" x14ac:dyDescent="0.25">
      <c r="A3607" s="10" t="s">
        <v>310</v>
      </c>
      <c r="B3607" s="10">
        <v>60143</v>
      </c>
      <c r="C3607" t="str">
        <f>Table13[[#This Row],[Manufacturer]]&amp;" "&amp;Table13[[#This Row],[Model]]</f>
        <v>Urrea 60143</v>
      </c>
      <c r="D3607" s="1">
        <v>4</v>
      </c>
      <c r="E3607" s="1" t="s">
        <v>169</v>
      </c>
      <c r="F3607" s="38">
        <v>250</v>
      </c>
      <c r="G3607" t="s">
        <v>166</v>
      </c>
    </row>
    <row r="3608" spans="1:7" x14ac:dyDescent="0.25">
      <c r="A3608" s="10" t="s">
        <v>310</v>
      </c>
      <c r="B3608" s="10">
        <v>6016</v>
      </c>
      <c r="C3608" t="str">
        <f>Table13[[#This Row],[Manufacturer]]&amp;" "&amp;Table13[[#This Row],[Model]]</f>
        <v>Urrea 6016</v>
      </c>
      <c r="D3608" s="1">
        <v>4</v>
      </c>
      <c r="E3608" s="1" t="s">
        <v>169</v>
      </c>
      <c r="F3608" s="38">
        <v>150</v>
      </c>
      <c r="G3608" t="s">
        <v>166</v>
      </c>
    </row>
    <row r="3609" spans="1:7" x14ac:dyDescent="0.25">
      <c r="A3609" s="10" t="s">
        <v>310</v>
      </c>
      <c r="B3609" s="10">
        <v>6020</v>
      </c>
      <c r="C3609" t="str">
        <f>Table13[[#This Row],[Manufacturer]]&amp;" "&amp;Table13[[#This Row],[Model]]</f>
        <v>Urrea 6020</v>
      </c>
      <c r="D3609" s="1">
        <v>4</v>
      </c>
      <c r="E3609" s="1" t="s">
        <v>169</v>
      </c>
      <c r="F3609" s="38">
        <v>600</v>
      </c>
      <c r="G3609" t="s">
        <v>166</v>
      </c>
    </row>
    <row r="3610" spans="1:7" x14ac:dyDescent="0.25">
      <c r="A3610" s="10" t="s">
        <v>310</v>
      </c>
      <c r="B3610" s="10">
        <v>6021</v>
      </c>
      <c r="C3610" t="str">
        <f>Table13[[#This Row],[Manufacturer]]&amp;" "&amp;Table13[[#This Row],[Model]]</f>
        <v>Urrea 6021</v>
      </c>
      <c r="D3610" s="1">
        <v>4</v>
      </c>
      <c r="E3610" s="1" t="s">
        <v>169</v>
      </c>
      <c r="F3610" s="38">
        <v>1000</v>
      </c>
      <c r="G3610" t="s">
        <v>166</v>
      </c>
    </row>
    <row r="3611" spans="1:7" x14ac:dyDescent="0.25">
      <c r="A3611" s="10" t="s">
        <v>310</v>
      </c>
      <c r="B3611" s="10">
        <v>6022</v>
      </c>
      <c r="C3611" t="str">
        <f>Table13[[#This Row],[Manufacturer]]&amp;" "&amp;Table13[[#This Row],[Model]]</f>
        <v>Urrea 6022</v>
      </c>
      <c r="D3611" s="1">
        <v>4</v>
      </c>
      <c r="E3611" s="1" t="s">
        <v>169</v>
      </c>
      <c r="F3611" s="38">
        <v>2000</v>
      </c>
      <c r="G3611" t="s">
        <v>166</v>
      </c>
    </row>
    <row r="3612" spans="1:7" x14ac:dyDescent="0.25">
      <c r="A3612" s="10" t="s">
        <v>310</v>
      </c>
      <c r="B3612" s="10" t="s">
        <v>316</v>
      </c>
      <c r="C3612" t="str">
        <f>Table13[[#This Row],[Manufacturer]]&amp;" "&amp;Table13[[#This Row],[Model]]</f>
        <v>Urrea 6061A</v>
      </c>
      <c r="D3612" s="1">
        <v>4</v>
      </c>
      <c r="E3612" s="1" t="s">
        <v>169</v>
      </c>
      <c r="F3612" s="38">
        <v>50</v>
      </c>
      <c r="G3612" t="s">
        <v>164</v>
      </c>
    </row>
    <row r="3613" spans="1:7" x14ac:dyDescent="0.25">
      <c r="A3613" s="10" t="s">
        <v>310</v>
      </c>
      <c r="B3613" s="10" t="s">
        <v>315</v>
      </c>
      <c r="C3613" t="str">
        <f>Table13[[#This Row],[Manufacturer]]&amp;" "&amp;Table13[[#This Row],[Model]]</f>
        <v>Urrea 6062A</v>
      </c>
      <c r="D3613" s="1">
        <v>4</v>
      </c>
      <c r="E3613" s="1" t="s">
        <v>169</v>
      </c>
      <c r="F3613" s="38">
        <v>150</v>
      </c>
      <c r="G3613" t="s">
        <v>164</v>
      </c>
    </row>
    <row r="3614" spans="1:7" x14ac:dyDescent="0.25">
      <c r="A3614" s="10" t="s">
        <v>310</v>
      </c>
      <c r="B3614" s="10" t="s">
        <v>314</v>
      </c>
      <c r="C3614" t="str">
        <f>Table13[[#This Row],[Manufacturer]]&amp;" "&amp;Table13[[#This Row],[Model]]</f>
        <v>Urrea 6064A</v>
      </c>
      <c r="D3614" s="1">
        <v>4</v>
      </c>
      <c r="E3614" s="1" t="s">
        <v>169</v>
      </c>
      <c r="F3614" s="38">
        <v>250</v>
      </c>
      <c r="G3614" t="s">
        <v>164</v>
      </c>
    </row>
    <row r="3615" spans="1:7" x14ac:dyDescent="0.25">
      <c r="A3615" s="10" t="s">
        <v>310</v>
      </c>
      <c r="B3615" s="10" t="s">
        <v>313</v>
      </c>
      <c r="C3615" t="str">
        <f>Table13[[#This Row],[Manufacturer]]&amp;" "&amp;Table13[[#This Row],[Model]]</f>
        <v>Urrea 6066A</v>
      </c>
      <c r="D3615" s="1">
        <v>4</v>
      </c>
      <c r="E3615" s="1" t="s">
        <v>169</v>
      </c>
      <c r="F3615" s="38">
        <v>750</v>
      </c>
      <c r="G3615" t="s">
        <v>164</v>
      </c>
    </row>
    <row r="3616" spans="1:7" x14ac:dyDescent="0.25">
      <c r="A3616" s="10" t="s">
        <v>310</v>
      </c>
      <c r="B3616" s="10">
        <v>6012</v>
      </c>
      <c r="C3616" t="str">
        <f>Table13[[#This Row],[Manufacturer]]&amp;" "&amp;Table13[[#This Row],[Model]]</f>
        <v>Urrea 6012</v>
      </c>
      <c r="D3616" s="1">
        <v>6</v>
      </c>
      <c r="E3616" s="1" t="s">
        <v>169</v>
      </c>
      <c r="F3616" s="38">
        <v>15</v>
      </c>
      <c r="G3616" t="s">
        <v>164</v>
      </c>
    </row>
    <row r="3617" spans="1:7" x14ac:dyDescent="0.25">
      <c r="A3617" s="10" t="s">
        <v>310</v>
      </c>
      <c r="B3617" s="10">
        <v>6013</v>
      </c>
      <c r="C3617" t="str">
        <f>Table13[[#This Row],[Manufacturer]]&amp;" "&amp;Table13[[#This Row],[Model]]</f>
        <v>Urrea 6013</v>
      </c>
      <c r="D3617" s="1">
        <v>6</v>
      </c>
      <c r="E3617" s="1" t="s">
        <v>169</v>
      </c>
      <c r="F3617" s="38">
        <v>40</v>
      </c>
      <c r="G3617" t="s">
        <v>164</v>
      </c>
    </row>
    <row r="3618" spans="1:7" x14ac:dyDescent="0.25">
      <c r="A3618" s="10" t="s">
        <v>310</v>
      </c>
      <c r="B3618" s="10" t="s">
        <v>312</v>
      </c>
      <c r="C3618" t="str">
        <f>Table13[[#This Row],[Manufacturer]]&amp;" "&amp;Table13[[#This Row],[Model]]</f>
        <v>Urrea 6105A</v>
      </c>
      <c r="D3618" s="1">
        <v>6</v>
      </c>
      <c r="E3618" s="1" t="s">
        <v>169</v>
      </c>
      <c r="F3618" s="38">
        <v>100</v>
      </c>
      <c r="G3618" t="s">
        <v>172</v>
      </c>
    </row>
    <row r="3619" spans="1:7" x14ac:dyDescent="0.25">
      <c r="A3619" s="10" t="s">
        <v>310</v>
      </c>
      <c r="B3619" s="10" t="s">
        <v>311</v>
      </c>
      <c r="C3619" t="str">
        <f>Table13[[#This Row],[Manufacturer]]&amp;" "&amp;Table13[[#This Row],[Model]]</f>
        <v>Urrea 6106A</v>
      </c>
      <c r="D3619" s="1">
        <v>6</v>
      </c>
      <c r="E3619" s="1" t="s">
        <v>169</v>
      </c>
      <c r="F3619" s="38">
        <v>15</v>
      </c>
      <c r="G3619" t="s">
        <v>164</v>
      </c>
    </row>
    <row r="3620" spans="1:7" x14ac:dyDescent="0.25">
      <c r="A3620" s="10" t="s">
        <v>310</v>
      </c>
      <c r="B3620" s="10" t="s">
        <v>309</v>
      </c>
      <c r="C3620" t="str">
        <f>Table13[[#This Row],[Manufacturer]]&amp;" "&amp;Table13[[#This Row],[Model]]</f>
        <v>Urrea 6107A</v>
      </c>
      <c r="D3620" s="1">
        <v>6</v>
      </c>
      <c r="E3620" s="1" t="s">
        <v>169</v>
      </c>
      <c r="F3620" s="38">
        <v>40</v>
      </c>
      <c r="G3620" t="s">
        <v>164</v>
      </c>
    </row>
    <row r="3621" spans="1:7" x14ac:dyDescent="0.25">
      <c r="A3621" s="10" t="s">
        <v>251</v>
      </c>
      <c r="B3621" s="10" t="s">
        <v>308</v>
      </c>
      <c r="C3621" t="str">
        <f>Table13[[#This Row],[Manufacturer]]&amp;" "&amp;Table13[[#This Row],[Model]]</f>
        <v>Utica Tools B2600</v>
      </c>
      <c r="D3621" s="1">
        <v>4</v>
      </c>
      <c r="E3621" s="1">
        <v>4</v>
      </c>
      <c r="F3621" s="38">
        <v>600</v>
      </c>
      <c r="G3621" t="s">
        <v>166</v>
      </c>
    </row>
    <row r="3622" spans="1:7" x14ac:dyDescent="0.25">
      <c r="A3622" s="10" t="s">
        <v>251</v>
      </c>
      <c r="B3622" s="10" t="s">
        <v>307</v>
      </c>
      <c r="C3622" t="str">
        <f>Table13[[#This Row],[Manufacturer]]&amp;" "&amp;Table13[[#This Row],[Model]]</f>
        <v>Utica Tools DA130M</v>
      </c>
      <c r="D3622" s="1">
        <v>4</v>
      </c>
      <c r="E3622" s="1">
        <v>4</v>
      </c>
      <c r="F3622" s="38">
        <v>30</v>
      </c>
      <c r="G3622" t="s">
        <v>164</v>
      </c>
    </row>
    <row r="3623" spans="1:7" x14ac:dyDescent="0.25">
      <c r="A3623" s="10" t="s">
        <v>251</v>
      </c>
      <c r="B3623" s="10" t="s">
        <v>306</v>
      </c>
      <c r="C3623" t="str">
        <f>Table13[[#This Row],[Manufacturer]]&amp;" "&amp;Table13[[#This Row],[Model]]</f>
        <v>Utica Tools DA175M</v>
      </c>
      <c r="D3623" s="1">
        <v>4</v>
      </c>
      <c r="E3623" s="1">
        <v>4</v>
      </c>
      <c r="F3623" s="38">
        <v>75</v>
      </c>
      <c r="G3623" t="s">
        <v>164</v>
      </c>
    </row>
    <row r="3624" spans="1:7" x14ac:dyDescent="0.25">
      <c r="A3624" s="10" t="s">
        <v>251</v>
      </c>
      <c r="B3624" s="10" t="s">
        <v>305</v>
      </c>
      <c r="C3624" t="str">
        <f>Table13[[#This Row],[Manufacturer]]&amp;" "&amp;Table13[[#This Row],[Model]]</f>
        <v>Utica Tools DA2150M</v>
      </c>
      <c r="D3624" s="1">
        <v>4</v>
      </c>
      <c r="E3624" s="1">
        <v>4</v>
      </c>
      <c r="F3624" s="38">
        <v>150</v>
      </c>
      <c r="G3624" t="s">
        <v>164</v>
      </c>
    </row>
    <row r="3625" spans="1:7" x14ac:dyDescent="0.25">
      <c r="A3625" s="10" t="s">
        <v>251</v>
      </c>
      <c r="B3625" s="10" t="s">
        <v>304</v>
      </c>
      <c r="C3625" t="str">
        <f>Table13[[#This Row],[Manufacturer]]&amp;" "&amp;Table13[[#This Row],[Model]]</f>
        <v>Utica Tools DA2300M</v>
      </c>
      <c r="D3625" s="1">
        <v>4</v>
      </c>
      <c r="E3625" s="1">
        <v>4</v>
      </c>
      <c r="F3625" s="38">
        <v>300</v>
      </c>
      <c r="G3625" t="s">
        <v>164</v>
      </c>
    </row>
    <row r="3626" spans="1:7" x14ac:dyDescent="0.25">
      <c r="A3626" s="10" t="s">
        <v>251</v>
      </c>
      <c r="B3626" s="10" t="s">
        <v>303</v>
      </c>
      <c r="C3626" t="str">
        <f>Table13[[#This Row],[Manufacturer]]&amp;" "&amp;Table13[[#This Row],[Model]]</f>
        <v>Utica Tools DA250FM</v>
      </c>
      <c r="D3626" s="1">
        <v>4</v>
      </c>
      <c r="E3626" s="1">
        <v>4</v>
      </c>
      <c r="F3626" s="38">
        <v>50</v>
      </c>
      <c r="G3626" t="s">
        <v>164</v>
      </c>
    </row>
    <row r="3627" spans="1:7" x14ac:dyDescent="0.25">
      <c r="A3627" s="10" t="s">
        <v>251</v>
      </c>
      <c r="B3627" s="10" t="s">
        <v>302</v>
      </c>
      <c r="C3627" t="str">
        <f>Table13[[#This Row],[Manufacturer]]&amp;" "&amp;Table13[[#This Row],[Model]]</f>
        <v>Utica Tools DA2600</v>
      </c>
      <c r="D3627" s="1">
        <v>4</v>
      </c>
      <c r="E3627" s="1">
        <v>4</v>
      </c>
      <c r="F3627" s="38">
        <v>600</v>
      </c>
      <c r="G3627" t="s">
        <v>164</v>
      </c>
    </row>
    <row r="3628" spans="1:7" x14ac:dyDescent="0.25">
      <c r="A3628" s="10" t="s">
        <v>251</v>
      </c>
      <c r="B3628" s="10" t="s">
        <v>301</v>
      </c>
      <c r="C3628" t="str">
        <f>Table13[[#This Row],[Manufacturer]]&amp;" "&amp;Table13[[#This Row],[Model]]</f>
        <v>Utica Tools DA2600M</v>
      </c>
      <c r="D3628" s="1">
        <v>4</v>
      </c>
      <c r="E3628" s="1">
        <v>4</v>
      </c>
      <c r="F3628" s="38">
        <v>600</v>
      </c>
      <c r="G3628" t="s">
        <v>164</v>
      </c>
    </row>
    <row r="3629" spans="1:7" x14ac:dyDescent="0.25">
      <c r="A3629" s="10" t="s">
        <v>251</v>
      </c>
      <c r="B3629" s="10" t="s">
        <v>300</v>
      </c>
      <c r="C3629" t="str">
        <f>Table13[[#This Row],[Manufacturer]]&amp;" "&amp;Table13[[#This Row],[Model]]</f>
        <v>Utica Tools DA3100FM</v>
      </c>
      <c r="D3629" s="1">
        <v>4</v>
      </c>
      <c r="E3629" s="1">
        <v>4</v>
      </c>
      <c r="F3629" s="38">
        <v>100</v>
      </c>
      <c r="G3629" t="s">
        <v>166</v>
      </c>
    </row>
    <row r="3630" spans="1:7" x14ac:dyDescent="0.25">
      <c r="A3630" s="10" t="s">
        <v>251</v>
      </c>
      <c r="B3630" s="10" t="s">
        <v>299</v>
      </c>
      <c r="C3630" t="str">
        <f>Table13[[#This Row],[Manufacturer]]&amp;" "&amp;Table13[[#This Row],[Model]]</f>
        <v>Utica Tools DA3175FM</v>
      </c>
      <c r="D3630" s="1">
        <v>4</v>
      </c>
      <c r="E3630" s="1">
        <v>4</v>
      </c>
      <c r="F3630" s="38">
        <v>175</v>
      </c>
      <c r="G3630" t="s">
        <v>166</v>
      </c>
    </row>
    <row r="3631" spans="1:7" x14ac:dyDescent="0.25">
      <c r="A3631" s="10" t="s">
        <v>251</v>
      </c>
      <c r="B3631" s="10" t="s">
        <v>298</v>
      </c>
      <c r="C3631" t="str">
        <f>Table13[[#This Row],[Manufacturer]]&amp;" "&amp;Table13[[#This Row],[Model]]</f>
        <v>Utica Tools DA3250FM</v>
      </c>
      <c r="D3631" s="1">
        <v>4</v>
      </c>
      <c r="E3631" s="1">
        <v>4</v>
      </c>
      <c r="F3631" s="38">
        <v>250</v>
      </c>
      <c r="G3631" t="s">
        <v>166</v>
      </c>
    </row>
    <row r="3632" spans="1:7" x14ac:dyDescent="0.25">
      <c r="A3632" s="10" t="s">
        <v>251</v>
      </c>
      <c r="B3632" s="10" t="s">
        <v>297</v>
      </c>
      <c r="C3632" t="str">
        <f>Table13[[#This Row],[Manufacturer]]&amp;" "&amp;Table13[[#This Row],[Model]]</f>
        <v>Utica Tools DA4350FM</v>
      </c>
      <c r="D3632" s="1">
        <v>4</v>
      </c>
      <c r="E3632" s="1">
        <v>4</v>
      </c>
      <c r="F3632" s="38">
        <v>350</v>
      </c>
      <c r="G3632" t="s">
        <v>166</v>
      </c>
    </row>
    <row r="3633" spans="1:7" x14ac:dyDescent="0.25">
      <c r="A3633" s="10" t="s">
        <v>251</v>
      </c>
      <c r="B3633" s="10" t="s">
        <v>296</v>
      </c>
      <c r="C3633" t="str">
        <f>Table13[[#This Row],[Manufacturer]]&amp;" "&amp;Table13[[#This Row],[Model]]</f>
        <v>Utica Tools DA4350FMPC</v>
      </c>
      <c r="D3633" s="1">
        <v>4</v>
      </c>
      <c r="E3633" s="1">
        <v>4</v>
      </c>
      <c r="F3633" s="38">
        <v>350</v>
      </c>
      <c r="G3633" t="s">
        <v>166</v>
      </c>
    </row>
    <row r="3634" spans="1:7" x14ac:dyDescent="0.25">
      <c r="A3634" s="10" t="s">
        <v>251</v>
      </c>
      <c r="B3634" s="10" t="s">
        <v>295</v>
      </c>
      <c r="C3634" t="str">
        <f>Table13[[#This Row],[Manufacturer]]&amp;" "&amp;Table13[[#This Row],[Model]]</f>
        <v>Utica Tools DA4600F</v>
      </c>
      <c r="D3634" s="1">
        <v>4</v>
      </c>
      <c r="E3634" s="1">
        <v>4</v>
      </c>
      <c r="F3634" s="38">
        <v>600</v>
      </c>
      <c r="G3634" t="s">
        <v>166</v>
      </c>
    </row>
    <row r="3635" spans="1:7" x14ac:dyDescent="0.25">
      <c r="A3635" s="10" t="s">
        <v>251</v>
      </c>
      <c r="B3635" s="10" t="s">
        <v>294</v>
      </c>
      <c r="C3635" t="str">
        <f>Table13[[#This Row],[Manufacturer]]&amp;" "&amp;Table13[[#This Row],[Model]]</f>
        <v>Utica Tools DA4600FM</v>
      </c>
      <c r="D3635" s="1">
        <v>4</v>
      </c>
      <c r="E3635" s="1">
        <v>4</v>
      </c>
      <c r="F3635" s="38">
        <v>600</v>
      </c>
      <c r="G3635" t="s">
        <v>166</v>
      </c>
    </row>
    <row r="3636" spans="1:7" x14ac:dyDescent="0.25">
      <c r="A3636" s="10" t="s">
        <v>251</v>
      </c>
      <c r="B3636" s="10" t="s">
        <v>228</v>
      </c>
      <c r="C3636" t="str">
        <f>Table13[[#This Row],[Manufacturer]]&amp;" "&amp;Table13[[#This Row],[Model]]</f>
        <v>Utica Tools A5</v>
      </c>
      <c r="D3636" s="1">
        <v>4</v>
      </c>
      <c r="E3636" s="1">
        <v>6</v>
      </c>
      <c r="F3636" s="38">
        <v>100</v>
      </c>
      <c r="G3636" t="s">
        <v>164</v>
      </c>
    </row>
    <row r="3637" spans="1:7" x14ac:dyDescent="0.25">
      <c r="A3637" s="10" t="s">
        <v>251</v>
      </c>
      <c r="B3637" s="10" t="s">
        <v>293</v>
      </c>
      <c r="C3637" t="str">
        <f>Table13[[#This Row],[Manufacturer]]&amp;" "&amp;Table13[[#This Row],[Model]]</f>
        <v>Utica Tools CH 150</v>
      </c>
      <c r="D3637" s="1">
        <v>4</v>
      </c>
      <c r="E3637" s="1">
        <v>6</v>
      </c>
      <c r="F3637" s="38">
        <v>150</v>
      </c>
      <c r="G3637" t="s">
        <v>164</v>
      </c>
    </row>
    <row r="3638" spans="1:7" x14ac:dyDescent="0.25">
      <c r="A3638" s="10" t="s">
        <v>251</v>
      </c>
      <c r="B3638" s="10" t="s">
        <v>292</v>
      </c>
      <c r="C3638" t="str">
        <f>Table13[[#This Row],[Manufacturer]]&amp;" "&amp;Table13[[#This Row],[Model]]</f>
        <v>Utica Tools CH 150F</v>
      </c>
      <c r="D3638" s="1">
        <v>4</v>
      </c>
      <c r="E3638" s="1">
        <v>6</v>
      </c>
      <c r="F3638" s="38">
        <v>150</v>
      </c>
      <c r="G3638" t="s">
        <v>164</v>
      </c>
    </row>
    <row r="3639" spans="1:7" x14ac:dyDescent="0.25">
      <c r="A3639" s="10" t="s">
        <v>251</v>
      </c>
      <c r="B3639" s="10" t="s">
        <v>291</v>
      </c>
      <c r="C3639" t="str">
        <f>Table13[[#This Row],[Manufacturer]]&amp;" "&amp;Table13[[#This Row],[Model]]</f>
        <v>Utica Tools CH 75F</v>
      </c>
      <c r="D3639" s="1">
        <v>4</v>
      </c>
      <c r="E3639" s="1">
        <v>6</v>
      </c>
      <c r="F3639" s="38">
        <v>75</v>
      </c>
      <c r="G3639" t="s">
        <v>166</v>
      </c>
    </row>
    <row r="3640" spans="1:7" x14ac:dyDescent="0.25">
      <c r="A3640" s="10" t="s">
        <v>251</v>
      </c>
      <c r="B3640" s="10" t="s">
        <v>290</v>
      </c>
      <c r="C3640" t="str">
        <f>Table13[[#This Row],[Manufacturer]]&amp;" "&amp;Table13[[#This Row],[Model]]</f>
        <v>Utica Tools CHA 11</v>
      </c>
      <c r="D3640" s="1">
        <v>4</v>
      </c>
      <c r="E3640" s="1">
        <v>6</v>
      </c>
      <c r="F3640" s="38">
        <v>100</v>
      </c>
      <c r="G3640" t="s">
        <v>164</v>
      </c>
    </row>
    <row r="3641" spans="1:7" x14ac:dyDescent="0.25">
      <c r="A3641" s="10" t="s">
        <v>251</v>
      </c>
      <c r="B3641" s="10" t="s">
        <v>289</v>
      </c>
      <c r="C3641" t="str">
        <f>Table13[[#This Row],[Manufacturer]]&amp;" "&amp;Table13[[#This Row],[Model]]</f>
        <v>Utica Tools CHA 23</v>
      </c>
      <c r="D3641" s="1">
        <v>4</v>
      </c>
      <c r="E3641" s="1">
        <v>6</v>
      </c>
      <c r="F3641" s="38">
        <v>200</v>
      </c>
      <c r="G3641" t="s">
        <v>164</v>
      </c>
    </row>
    <row r="3642" spans="1:7" x14ac:dyDescent="0.25">
      <c r="A3642" s="10" t="s">
        <v>251</v>
      </c>
      <c r="B3642" s="10" t="s">
        <v>288</v>
      </c>
      <c r="C3642" t="str">
        <f>Table13[[#This Row],[Manufacturer]]&amp;" "&amp;Table13[[#This Row],[Model]]</f>
        <v>Utica Tools CHA 5</v>
      </c>
      <c r="D3642" s="1">
        <v>4</v>
      </c>
      <c r="E3642" s="1">
        <v>6</v>
      </c>
      <c r="F3642" s="38">
        <v>100</v>
      </c>
      <c r="G3642" t="s">
        <v>164</v>
      </c>
    </row>
    <row r="3643" spans="1:7" x14ac:dyDescent="0.25">
      <c r="A3643" s="10" t="s">
        <v>251</v>
      </c>
      <c r="B3643" s="10" t="s">
        <v>287</v>
      </c>
      <c r="C3643" t="str">
        <f>Table13[[#This Row],[Manufacturer]]&amp;" "&amp;Table13[[#This Row],[Model]]</f>
        <v>Utica Tools CHA 6</v>
      </c>
      <c r="D3643" s="1">
        <v>4</v>
      </c>
      <c r="E3643" s="1">
        <v>6</v>
      </c>
      <c r="F3643" s="38">
        <v>50</v>
      </c>
      <c r="G3643" t="s">
        <v>164</v>
      </c>
    </row>
    <row r="3644" spans="1:7" x14ac:dyDescent="0.25">
      <c r="A3644" s="10" t="s">
        <v>251</v>
      </c>
      <c r="B3644" s="10" t="s">
        <v>286</v>
      </c>
      <c r="C3644" t="str">
        <f>Table13[[#This Row],[Manufacturer]]&amp;" "&amp;Table13[[#This Row],[Model]]</f>
        <v>Utica Tools CHA 7</v>
      </c>
      <c r="D3644" s="1">
        <v>4</v>
      </c>
      <c r="E3644" s="1">
        <v>6</v>
      </c>
      <c r="F3644" s="38">
        <v>200</v>
      </c>
      <c r="G3644" t="s">
        <v>164</v>
      </c>
    </row>
    <row r="3645" spans="1:7" x14ac:dyDescent="0.25">
      <c r="A3645" s="10" t="s">
        <v>251</v>
      </c>
      <c r="B3645" s="10" t="s">
        <v>285</v>
      </c>
      <c r="C3645" t="str">
        <f>Table13[[#This Row],[Manufacturer]]&amp;" "&amp;Table13[[#This Row],[Model]]</f>
        <v>Utica Tools CHB 11</v>
      </c>
      <c r="D3645" s="1">
        <v>4</v>
      </c>
      <c r="E3645" s="1">
        <v>6</v>
      </c>
      <c r="F3645" s="38">
        <v>1000</v>
      </c>
      <c r="G3645" t="s">
        <v>164</v>
      </c>
    </row>
    <row r="3646" spans="1:7" x14ac:dyDescent="0.25">
      <c r="A3646" s="10" t="s">
        <v>251</v>
      </c>
      <c r="B3646" s="10" t="s">
        <v>284</v>
      </c>
      <c r="C3646" t="str">
        <f>Table13[[#This Row],[Manufacturer]]&amp;" "&amp;Table13[[#This Row],[Model]]</f>
        <v>Utica Tools CHB 13</v>
      </c>
      <c r="D3646" s="1">
        <v>4</v>
      </c>
      <c r="E3646" s="1">
        <v>6</v>
      </c>
      <c r="F3646" s="38">
        <v>1500</v>
      </c>
      <c r="G3646" t="s">
        <v>164</v>
      </c>
    </row>
    <row r="3647" spans="1:7" x14ac:dyDescent="0.25">
      <c r="A3647" s="10" t="s">
        <v>251</v>
      </c>
      <c r="B3647" s="10" t="s">
        <v>283</v>
      </c>
      <c r="C3647" t="str">
        <f>Table13[[#This Row],[Manufacturer]]&amp;" "&amp;Table13[[#This Row],[Model]]</f>
        <v>Utica Tools CHB 15</v>
      </c>
      <c r="D3647" s="1">
        <v>4</v>
      </c>
      <c r="E3647" s="1">
        <v>6</v>
      </c>
      <c r="F3647" s="38">
        <v>2000</v>
      </c>
      <c r="G3647" t="s">
        <v>164</v>
      </c>
    </row>
    <row r="3648" spans="1:7" x14ac:dyDescent="0.25">
      <c r="A3648" s="10" t="s">
        <v>251</v>
      </c>
      <c r="B3648" s="10" t="s">
        <v>282</v>
      </c>
      <c r="C3648" t="str">
        <f>Table13[[#This Row],[Manufacturer]]&amp;" "&amp;Table13[[#This Row],[Model]]</f>
        <v>Utica Tools CHB 7</v>
      </c>
      <c r="D3648" s="1">
        <v>4</v>
      </c>
      <c r="E3648" s="1">
        <v>6</v>
      </c>
      <c r="F3648" s="38">
        <v>500</v>
      </c>
      <c r="G3648" t="s">
        <v>164</v>
      </c>
    </row>
    <row r="3649" spans="1:7" x14ac:dyDescent="0.25">
      <c r="A3649" s="10" t="s">
        <v>251</v>
      </c>
      <c r="B3649" s="10" t="s">
        <v>281</v>
      </c>
      <c r="C3649" t="str">
        <f>Table13[[#This Row],[Manufacturer]]&amp;" "&amp;Table13[[#This Row],[Model]]</f>
        <v>Utica Tools CHB 9</v>
      </c>
      <c r="D3649" s="1">
        <v>4</v>
      </c>
      <c r="E3649" s="1">
        <v>6</v>
      </c>
      <c r="F3649" s="38">
        <v>750</v>
      </c>
      <c r="G3649" t="s">
        <v>164</v>
      </c>
    </row>
    <row r="3650" spans="1:7" x14ac:dyDescent="0.25">
      <c r="A3650" s="10" t="s">
        <v>251</v>
      </c>
      <c r="B3650" s="10" t="s">
        <v>280</v>
      </c>
      <c r="C3650" t="str">
        <f>Table13[[#This Row],[Manufacturer]]&amp;" "&amp;Table13[[#This Row],[Model]]</f>
        <v>Utica Tools FH 150FRN</v>
      </c>
      <c r="D3650" s="1">
        <v>4</v>
      </c>
      <c r="E3650" s="1">
        <v>6</v>
      </c>
      <c r="F3650" s="38">
        <v>150</v>
      </c>
      <c r="G3650" t="s">
        <v>166</v>
      </c>
    </row>
    <row r="3651" spans="1:7" x14ac:dyDescent="0.25">
      <c r="A3651" s="10" t="s">
        <v>251</v>
      </c>
      <c r="B3651" s="10" t="s">
        <v>279</v>
      </c>
      <c r="C3651" t="str">
        <f>Table13[[#This Row],[Manufacturer]]&amp;" "&amp;Table13[[#This Row],[Model]]</f>
        <v>Utica Tools TCI 150</v>
      </c>
      <c r="D3651" s="1">
        <v>4</v>
      </c>
      <c r="E3651" s="1">
        <v>6</v>
      </c>
      <c r="F3651" s="38">
        <v>150</v>
      </c>
      <c r="G3651" t="s">
        <v>164</v>
      </c>
    </row>
    <row r="3652" spans="1:7" x14ac:dyDescent="0.25">
      <c r="A3652" s="10" t="s">
        <v>251</v>
      </c>
      <c r="B3652" s="10" t="s">
        <v>278</v>
      </c>
      <c r="C3652" t="str">
        <f>Table13[[#This Row],[Manufacturer]]&amp;" "&amp;Table13[[#This Row],[Model]]</f>
        <v>Utica Tools TCI 150 3/8</v>
      </c>
      <c r="D3652" s="1">
        <v>4</v>
      </c>
      <c r="E3652" s="1">
        <v>6</v>
      </c>
      <c r="F3652" s="38">
        <v>150</v>
      </c>
      <c r="G3652" t="s">
        <v>164</v>
      </c>
    </row>
    <row r="3653" spans="1:7" x14ac:dyDescent="0.25">
      <c r="A3653" s="10" t="s">
        <v>251</v>
      </c>
      <c r="B3653" s="10" t="s">
        <v>277</v>
      </c>
      <c r="C3653" t="str">
        <f>Table13[[#This Row],[Manufacturer]]&amp;" "&amp;Table13[[#This Row],[Model]]</f>
        <v>Utica Tools TCI 150FN</v>
      </c>
      <c r="D3653" s="1">
        <v>4</v>
      </c>
      <c r="E3653" s="1">
        <v>6</v>
      </c>
      <c r="F3653" s="38">
        <v>150</v>
      </c>
      <c r="G3653" t="s">
        <v>166</v>
      </c>
    </row>
    <row r="3654" spans="1:7" x14ac:dyDescent="0.25">
      <c r="A3654" s="10" t="s">
        <v>251</v>
      </c>
      <c r="B3654" s="10" t="s">
        <v>276</v>
      </c>
      <c r="C3654" t="str">
        <f>Table13[[#This Row],[Manufacturer]]&amp;" "&amp;Table13[[#This Row],[Model]]</f>
        <v>Utica Tools TCI 150FRD</v>
      </c>
      <c r="D3654" s="1">
        <v>4</v>
      </c>
      <c r="E3654" s="1">
        <v>6</v>
      </c>
      <c r="F3654" s="38">
        <v>150</v>
      </c>
      <c r="G3654" t="s">
        <v>166</v>
      </c>
    </row>
    <row r="3655" spans="1:7" x14ac:dyDescent="0.25">
      <c r="A3655" s="10" t="s">
        <v>251</v>
      </c>
      <c r="B3655" s="10" t="s">
        <v>275</v>
      </c>
      <c r="C3655" t="str">
        <f>Table13[[#This Row],[Manufacturer]]&amp;" "&amp;Table13[[#This Row],[Model]]</f>
        <v>Utica Tools TCI 150FRN</v>
      </c>
      <c r="D3655" s="1">
        <v>4</v>
      </c>
      <c r="E3655" s="1">
        <v>6</v>
      </c>
      <c r="F3655" s="38">
        <v>150</v>
      </c>
      <c r="G3655" t="s">
        <v>166</v>
      </c>
    </row>
    <row r="3656" spans="1:7" x14ac:dyDescent="0.25">
      <c r="A3656" s="10" t="s">
        <v>251</v>
      </c>
      <c r="B3656" s="10" t="s">
        <v>274</v>
      </c>
      <c r="C3656" t="str">
        <f>Table13[[#This Row],[Manufacturer]]&amp;" "&amp;Table13[[#This Row],[Model]]</f>
        <v>Utica Tools TCI 150RA</v>
      </c>
      <c r="D3656" s="1">
        <v>4</v>
      </c>
      <c r="E3656" s="1">
        <v>6</v>
      </c>
      <c r="F3656" s="38">
        <v>150</v>
      </c>
      <c r="G3656" t="s">
        <v>164</v>
      </c>
    </row>
    <row r="3657" spans="1:7" x14ac:dyDescent="0.25">
      <c r="A3657" s="10" t="s">
        <v>251</v>
      </c>
      <c r="B3657" s="10" t="s">
        <v>273</v>
      </c>
      <c r="C3657" t="str">
        <f>Table13[[#This Row],[Manufacturer]]&amp;" "&amp;Table13[[#This Row],[Model]]</f>
        <v>Utica Tools TCI 150RA 3/8</v>
      </c>
      <c r="D3657" s="1">
        <v>4</v>
      </c>
      <c r="E3657" s="1">
        <v>6</v>
      </c>
      <c r="F3657" s="38">
        <v>150</v>
      </c>
      <c r="G3657" t="s">
        <v>164</v>
      </c>
    </row>
    <row r="3658" spans="1:7" x14ac:dyDescent="0.25">
      <c r="A3658" s="10" t="s">
        <v>251</v>
      </c>
      <c r="B3658" s="10" t="s">
        <v>272</v>
      </c>
      <c r="C3658" t="str">
        <f>Table13[[#This Row],[Manufacturer]]&amp;" "&amp;Table13[[#This Row],[Model]]</f>
        <v>Utica Tools TCI 1600</v>
      </c>
      <c r="D3658" s="1">
        <v>4</v>
      </c>
      <c r="E3658" s="1">
        <v>6</v>
      </c>
      <c r="F3658" s="38">
        <v>1600</v>
      </c>
      <c r="G3658" t="s">
        <v>164</v>
      </c>
    </row>
    <row r="3659" spans="1:7" x14ac:dyDescent="0.25">
      <c r="A3659" s="10" t="s">
        <v>251</v>
      </c>
      <c r="B3659" s="10" t="s">
        <v>271</v>
      </c>
      <c r="C3659" t="str">
        <f>Table13[[#This Row],[Manufacturer]]&amp;" "&amp;Table13[[#This Row],[Model]]</f>
        <v>Utica Tools TCI 1600R</v>
      </c>
      <c r="D3659" s="1">
        <v>4</v>
      </c>
      <c r="E3659" s="1">
        <v>6</v>
      </c>
      <c r="F3659" s="38">
        <v>1600</v>
      </c>
      <c r="G3659" t="s">
        <v>164</v>
      </c>
    </row>
    <row r="3660" spans="1:7" x14ac:dyDescent="0.25">
      <c r="A3660" s="10" t="s">
        <v>251</v>
      </c>
      <c r="B3660" s="10" t="s">
        <v>270</v>
      </c>
      <c r="C3660" t="str">
        <f>Table13[[#This Row],[Manufacturer]]&amp;" "&amp;Table13[[#This Row],[Model]]</f>
        <v>Utica Tools TCI 20M</v>
      </c>
      <c r="D3660" s="1">
        <v>4</v>
      </c>
      <c r="E3660" s="1">
        <v>6</v>
      </c>
      <c r="F3660" s="38">
        <v>20</v>
      </c>
      <c r="G3660" t="s">
        <v>258</v>
      </c>
    </row>
    <row r="3661" spans="1:7" x14ac:dyDescent="0.25">
      <c r="A3661" s="10" t="s">
        <v>251</v>
      </c>
      <c r="B3661" s="10" t="s">
        <v>269</v>
      </c>
      <c r="C3661" t="str">
        <f>Table13[[#This Row],[Manufacturer]]&amp;" "&amp;Table13[[#This Row],[Model]]</f>
        <v>Utica Tools TCI 250FRN</v>
      </c>
      <c r="D3661" s="1">
        <v>4</v>
      </c>
      <c r="E3661" s="1">
        <v>6</v>
      </c>
      <c r="F3661" s="38">
        <v>250</v>
      </c>
      <c r="G3661" t="s">
        <v>166</v>
      </c>
    </row>
    <row r="3662" spans="1:7" x14ac:dyDescent="0.25">
      <c r="A3662" s="10" t="s">
        <v>251</v>
      </c>
      <c r="B3662" s="10" t="s">
        <v>268</v>
      </c>
      <c r="C3662" t="str">
        <f>Table13[[#This Row],[Manufacturer]]&amp;" "&amp;Table13[[#This Row],[Model]]</f>
        <v>Utica Tools TCI 250R</v>
      </c>
      <c r="D3662" s="1">
        <v>4</v>
      </c>
      <c r="E3662" s="1">
        <v>6</v>
      </c>
      <c r="F3662" s="38">
        <v>250</v>
      </c>
      <c r="G3662" t="s">
        <v>164</v>
      </c>
    </row>
    <row r="3663" spans="1:7" x14ac:dyDescent="0.25">
      <c r="A3663" s="10" t="s">
        <v>251</v>
      </c>
      <c r="B3663" s="10" t="s">
        <v>267</v>
      </c>
      <c r="C3663" t="str">
        <f>Table13[[#This Row],[Manufacturer]]&amp;" "&amp;Table13[[#This Row],[Model]]</f>
        <v>Utica Tools TCI 600FRN</v>
      </c>
      <c r="D3663" s="1">
        <v>4</v>
      </c>
      <c r="E3663" s="1">
        <v>6</v>
      </c>
      <c r="F3663" s="38">
        <v>600</v>
      </c>
      <c r="G3663" t="s">
        <v>166</v>
      </c>
    </row>
    <row r="3664" spans="1:7" x14ac:dyDescent="0.25">
      <c r="A3664" s="10" t="s">
        <v>251</v>
      </c>
      <c r="B3664" s="10" t="s">
        <v>266</v>
      </c>
      <c r="C3664" t="str">
        <f>Table13[[#This Row],[Manufacturer]]&amp;" "&amp;Table13[[#This Row],[Model]]</f>
        <v>Utica Tools TCI 7250R</v>
      </c>
      <c r="D3664" s="1">
        <v>4</v>
      </c>
      <c r="E3664" s="1">
        <v>6</v>
      </c>
      <c r="F3664" s="38">
        <v>7250</v>
      </c>
      <c r="G3664" t="s">
        <v>164</v>
      </c>
    </row>
    <row r="3665" spans="1:7" x14ac:dyDescent="0.25">
      <c r="A3665" s="10" t="s">
        <v>251</v>
      </c>
      <c r="B3665" s="10" t="s">
        <v>265</v>
      </c>
      <c r="C3665" t="str">
        <f>Table13[[#This Row],[Manufacturer]]&amp;" "&amp;Table13[[#This Row],[Model]]</f>
        <v>Utica Tools TCI 750</v>
      </c>
      <c r="D3665" s="1">
        <v>4</v>
      </c>
      <c r="E3665" s="1">
        <v>6</v>
      </c>
      <c r="F3665" s="38">
        <v>750</v>
      </c>
      <c r="G3665" t="s">
        <v>164</v>
      </c>
    </row>
    <row r="3666" spans="1:7" x14ac:dyDescent="0.25">
      <c r="A3666" s="10" t="s">
        <v>251</v>
      </c>
      <c r="B3666" s="10" t="s">
        <v>264</v>
      </c>
      <c r="C3666" t="str">
        <f>Table13[[#This Row],[Manufacturer]]&amp;" "&amp;Table13[[#This Row],[Model]]</f>
        <v>Utica Tools TCI 750 1/2</v>
      </c>
      <c r="D3666" s="1">
        <v>4</v>
      </c>
      <c r="E3666" s="1">
        <v>6</v>
      </c>
      <c r="F3666" s="38">
        <v>750</v>
      </c>
      <c r="G3666" t="s">
        <v>164</v>
      </c>
    </row>
    <row r="3667" spans="1:7" x14ac:dyDescent="0.25">
      <c r="A3667" s="10" t="s">
        <v>251</v>
      </c>
      <c r="B3667" s="10" t="s">
        <v>263</v>
      </c>
      <c r="C3667" t="str">
        <f>Table13[[#This Row],[Manufacturer]]&amp;" "&amp;Table13[[#This Row],[Model]]</f>
        <v>Utica Tools TCI 750R</v>
      </c>
      <c r="D3667" s="1">
        <v>4</v>
      </c>
      <c r="E3667" s="1">
        <v>6</v>
      </c>
      <c r="F3667" s="38">
        <v>750</v>
      </c>
      <c r="G3667" t="s">
        <v>164</v>
      </c>
    </row>
    <row r="3668" spans="1:7" x14ac:dyDescent="0.25">
      <c r="A3668" s="10" t="s">
        <v>251</v>
      </c>
      <c r="B3668" s="10" t="s">
        <v>262</v>
      </c>
      <c r="C3668" t="str">
        <f>Table13[[#This Row],[Manufacturer]]&amp;" "&amp;Table13[[#This Row],[Model]]</f>
        <v>Utica Tools TCI 75FN</v>
      </c>
      <c r="D3668" s="1">
        <v>4</v>
      </c>
      <c r="E3668" s="1">
        <v>6</v>
      </c>
      <c r="F3668" s="38">
        <v>75</v>
      </c>
      <c r="G3668" t="s">
        <v>166</v>
      </c>
    </row>
    <row r="3669" spans="1:7" x14ac:dyDescent="0.25">
      <c r="A3669" s="10" t="s">
        <v>251</v>
      </c>
      <c r="B3669" s="10" t="s">
        <v>261</v>
      </c>
      <c r="C3669" t="str">
        <f>Table13[[#This Row],[Manufacturer]]&amp;" "&amp;Table13[[#This Row],[Model]]</f>
        <v>Utica Tools TCI 75FRN</v>
      </c>
      <c r="D3669" s="1">
        <v>4</v>
      </c>
      <c r="E3669" s="1">
        <v>6</v>
      </c>
      <c r="F3669" s="38">
        <v>75</v>
      </c>
      <c r="G3669" t="s">
        <v>166</v>
      </c>
    </row>
    <row r="3670" spans="1:7" x14ac:dyDescent="0.25">
      <c r="A3670" s="10" t="s">
        <v>251</v>
      </c>
      <c r="B3670" s="10" t="s">
        <v>260</v>
      </c>
      <c r="C3670" t="str">
        <f>Table13[[#This Row],[Manufacturer]]&amp;" "&amp;Table13[[#This Row],[Model]]</f>
        <v>Utica Tools TCI 81/2M</v>
      </c>
      <c r="D3670" s="1">
        <v>4</v>
      </c>
      <c r="E3670" s="1" t="s">
        <v>169</v>
      </c>
      <c r="F3670" s="38">
        <v>8</v>
      </c>
      <c r="G3670" t="s">
        <v>258</v>
      </c>
    </row>
    <row r="3671" spans="1:7" x14ac:dyDescent="0.25">
      <c r="A3671" s="10" t="s">
        <v>251</v>
      </c>
      <c r="B3671" s="10" t="s">
        <v>259</v>
      </c>
      <c r="C3671" t="str">
        <f>Table13[[#This Row],[Manufacturer]]&amp;" "&amp;Table13[[#This Row],[Model]]</f>
        <v>Utica Tools TCI 8M</v>
      </c>
      <c r="D3671" s="1">
        <v>4</v>
      </c>
      <c r="E3671" s="1" t="s">
        <v>169</v>
      </c>
      <c r="F3671" s="38">
        <v>8</v>
      </c>
      <c r="G3671" t="s">
        <v>258</v>
      </c>
    </row>
    <row r="3672" spans="1:7" x14ac:dyDescent="0.25">
      <c r="A3672" s="10" t="s">
        <v>251</v>
      </c>
      <c r="B3672" s="10" t="s">
        <v>257</v>
      </c>
      <c r="C3672" t="str">
        <f>Table13[[#This Row],[Manufacturer]]&amp;" "&amp;Table13[[#This Row],[Model]]</f>
        <v>Utica Tools TS 35</v>
      </c>
      <c r="D3672" s="1" t="s">
        <v>226</v>
      </c>
      <c r="E3672" s="1" t="s">
        <v>249</v>
      </c>
      <c r="F3672" s="38" t="s">
        <v>224</v>
      </c>
      <c r="G3672" t="s">
        <v>164</v>
      </c>
    </row>
    <row r="3673" spans="1:7" x14ac:dyDescent="0.25">
      <c r="A3673" s="10" t="s">
        <v>251</v>
      </c>
      <c r="B3673" s="10" t="s">
        <v>256</v>
      </c>
      <c r="C3673" t="str">
        <f>Table13[[#This Row],[Manufacturer]]&amp;" "&amp;Table13[[#This Row],[Model]]</f>
        <v>Utica Tools TS SN 1</v>
      </c>
      <c r="D3673" s="1">
        <v>6</v>
      </c>
      <c r="E3673" s="1" t="s">
        <v>169</v>
      </c>
      <c r="F3673" s="38">
        <v>10</v>
      </c>
      <c r="G3673" t="s">
        <v>164</v>
      </c>
    </row>
    <row r="3674" spans="1:7" x14ac:dyDescent="0.25">
      <c r="A3674" s="10" t="s">
        <v>251</v>
      </c>
      <c r="B3674" s="10" t="s">
        <v>255</v>
      </c>
      <c r="C3674" t="str">
        <f>Table13[[#This Row],[Manufacturer]]&amp;" "&amp;Table13[[#This Row],[Model]]</f>
        <v>Utica Tools TS SN 2</v>
      </c>
      <c r="D3674" s="1">
        <v>6</v>
      </c>
      <c r="E3674" s="1" t="s">
        <v>169</v>
      </c>
      <c r="F3674" s="38">
        <v>40</v>
      </c>
      <c r="G3674" t="s">
        <v>164</v>
      </c>
    </row>
    <row r="3675" spans="1:7" x14ac:dyDescent="0.25">
      <c r="A3675" s="10" t="s">
        <v>251</v>
      </c>
      <c r="B3675" s="10" t="s">
        <v>254</v>
      </c>
      <c r="C3675" t="str">
        <f>Table13[[#This Row],[Manufacturer]]&amp;" "&amp;Table13[[#This Row],[Model]]</f>
        <v>Utica Tools TS-100</v>
      </c>
      <c r="D3675" s="1">
        <v>6</v>
      </c>
      <c r="E3675" s="1" t="s">
        <v>169</v>
      </c>
      <c r="F3675" s="38">
        <v>100</v>
      </c>
      <c r="G3675" t="s">
        <v>172</v>
      </c>
    </row>
    <row r="3676" spans="1:7" x14ac:dyDescent="0.25">
      <c r="A3676" s="10" t="s">
        <v>251</v>
      </c>
      <c r="B3676" s="10" t="s">
        <v>253</v>
      </c>
      <c r="C3676" t="str">
        <f>Table13[[#This Row],[Manufacturer]]&amp;" "&amp;Table13[[#This Row],[Model]]</f>
        <v>Utica Tools TS-30</v>
      </c>
      <c r="D3676" s="1">
        <v>6</v>
      </c>
      <c r="E3676" s="1" t="s">
        <v>169</v>
      </c>
      <c r="F3676" s="38">
        <v>30</v>
      </c>
      <c r="G3676" t="s">
        <v>164</v>
      </c>
    </row>
    <row r="3677" spans="1:7" x14ac:dyDescent="0.25">
      <c r="A3677" s="10" t="s">
        <v>251</v>
      </c>
      <c r="B3677" s="10" t="s">
        <v>252</v>
      </c>
      <c r="C3677" t="str">
        <f>Table13[[#This Row],[Manufacturer]]&amp;" "&amp;Table13[[#This Row],[Model]]</f>
        <v>Utica Tools TT SN 1</v>
      </c>
      <c r="D3677" s="1">
        <v>4</v>
      </c>
      <c r="E3677" s="1" t="s">
        <v>169</v>
      </c>
      <c r="F3677" s="38">
        <v>30</v>
      </c>
      <c r="G3677" t="s">
        <v>172</v>
      </c>
    </row>
    <row r="3678" spans="1:7" x14ac:dyDescent="0.25">
      <c r="A3678" s="10" t="s">
        <v>251</v>
      </c>
      <c r="B3678" s="10" t="s">
        <v>250</v>
      </c>
      <c r="C3678" t="str">
        <f>Table13[[#This Row],[Manufacturer]]&amp;" "&amp;Table13[[#This Row],[Model]]</f>
        <v>Utica Tools TT-1</v>
      </c>
      <c r="D3678" s="1" t="s">
        <v>226</v>
      </c>
      <c r="E3678" s="1" t="s">
        <v>249</v>
      </c>
      <c r="F3678" s="38" t="s">
        <v>224</v>
      </c>
      <c r="G3678" t="s">
        <v>164</v>
      </c>
    </row>
    <row r="3679" spans="1:7" x14ac:dyDescent="0.25">
      <c r="A3679" s="10" t="s">
        <v>248</v>
      </c>
      <c r="B3679" s="10">
        <v>44800010</v>
      </c>
      <c r="C3679" t="str">
        <f>Table13[[#This Row],[Manufacturer]]&amp;" "&amp;Table13[[#This Row],[Model]]</f>
        <v>Valin 44800010</v>
      </c>
      <c r="D3679" s="1">
        <v>4</v>
      </c>
      <c r="E3679" s="1">
        <v>4</v>
      </c>
      <c r="F3679" s="38">
        <v>35</v>
      </c>
      <c r="G3679" t="s">
        <v>166</v>
      </c>
    </row>
    <row r="3680" spans="1:7" x14ac:dyDescent="0.25">
      <c r="A3680" s="10" t="s">
        <v>248</v>
      </c>
      <c r="B3680" s="10">
        <v>44800035</v>
      </c>
      <c r="C3680" t="str">
        <f>Table13[[#This Row],[Manufacturer]]&amp;" "&amp;Table13[[#This Row],[Model]]</f>
        <v>Valin 44800035</v>
      </c>
      <c r="D3680" s="1">
        <v>4</v>
      </c>
      <c r="E3680" s="1">
        <v>4</v>
      </c>
      <c r="F3680" s="38">
        <v>12</v>
      </c>
      <c r="G3680" t="s">
        <v>166</v>
      </c>
    </row>
    <row r="3681" spans="1:7" x14ac:dyDescent="0.25">
      <c r="A3681" s="10" t="s">
        <v>248</v>
      </c>
      <c r="B3681" s="10">
        <v>44803230</v>
      </c>
      <c r="C3681" t="str">
        <f>Table13[[#This Row],[Manufacturer]]&amp;" "&amp;Table13[[#This Row],[Model]]</f>
        <v>Valin 44803230</v>
      </c>
      <c r="D3681" s="1">
        <v>4</v>
      </c>
      <c r="E3681" s="1">
        <v>4</v>
      </c>
      <c r="F3681" s="38">
        <v>40</v>
      </c>
      <c r="G3681" t="s">
        <v>166</v>
      </c>
    </row>
    <row r="3682" spans="1:7" x14ac:dyDescent="0.25">
      <c r="A3682" s="10" t="s">
        <v>242</v>
      </c>
      <c r="B3682" s="10" t="s">
        <v>247</v>
      </c>
      <c r="C3682" t="str">
        <f>Table13[[#This Row],[Manufacturer]]&amp;" "&amp;Table13[[#This Row],[Model]]</f>
        <v>Velocity Microwave N19-12</v>
      </c>
      <c r="D3682" s="1">
        <v>6</v>
      </c>
      <c r="E3682" s="1" t="s">
        <v>169</v>
      </c>
      <c r="F3682" s="38">
        <v>12</v>
      </c>
      <c r="G3682" t="s">
        <v>164</v>
      </c>
    </row>
    <row r="3683" spans="1:7" x14ac:dyDescent="0.25">
      <c r="A3683" s="10" t="s">
        <v>242</v>
      </c>
      <c r="B3683" s="10" t="s">
        <v>246</v>
      </c>
      <c r="C3683" t="str">
        <f>Table13[[#This Row],[Manufacturer]]&amp;" "&amp;Table13[[#This Row],[Model]]</f>
        <v>Velocity Microwave N19-8</v>
      </c>
      <c r="D3683" s="1">
        <v>6</v>
      </c>
      <c r="E3683" s="1" t="s">
        <v>169</v>
      </c>
      <c r="F3683" s="38">
        <v>8</v>
      </c>
      <c r="G3683" t="s">
        <v>164</v>
      </c>
    </row>
    <row r="3684" spans="1:7" x14ac:dyDescent="0.25">
      <c r="A3684" s="10" t="s">
        <v>242</v>
      </c>
      <c r="B3684" s="10" t="s">
        <v>245</v>
      </c>
      <c r="C3684" t="str">
        <f>Table13[[#This Row],[Manufacturer]]&amp;" "&amp;Table13[[#This Row],[Model]]</f>
        <v>Velocity Microwave N20-12</v>
      </c>
      <c r="D3684" s="1">
        <v>6</v>
      </c>
      <c r="E3684" s="1" t="s">
        <v>169</v>
      </c>
      <c r="F3684" s="38">
        <v>12</v>
      </c>
      <c r="G3684" t="s">
        <v>164</v>
      </c>
    </row>
    <row r="3685" spans="1:7" x14ac:dyDescent="0.25">
      <c r="A3685" s="10" t="s">
        <v>242</v>
      </c>
      <c r="B3685" s="10" t="s">
        <v>244</v>
      </c>
      <c r="C3685" t="str">
        <f>Table13[[#This Row],[Manufacturer]]&amp;" "&amp;Table13[[#This Row],[Model]]</f>
        <v>Velocity Microwave N20-8</v>
      </c>
      <c r="D3685" s="1">
        <v>6</v>
      </c>
      <c r="E3685" s="1" t="s">
        <v>169</v>
      </c>
      <c r="F3685" s="38">
        <v>8</v>
      </c>
      <c r="G3685" t="s">
        <v>164</v>
      </c>
    </row>
    <row r="3686" spans="1:7" x14ac:dyDescent="0.25">
      <c r="A3686" s="10" t="s">
        <v>242</v>
      </c>
      <c r="B3686" s="10" t="s">
        <v>243</v>
      </c>
      <c r="C3686" t="str">
        <f>Table13[[#This Row],[Manufacturer]]&amp;" "&amp;Table13[[#This Row],[Model]]</f>
        <v>Velocity Microwave S-5</v>
      </c>
      <c r="D3686" s="1">
        <v>6</v>
      </c>
      <c r="E3686" s="1" t="s">
        <v>169</v>
      </c>
      <c r="F3686" s="38">
        <v>5</v>
      </c>
      <c r="G3686" t="s">
        <v>164</v>
      </c>
    </row>
    <row r="3687" spans="1:7" x14ac:dyDescent="0.25">
      <c r="A3687" s="10" t="s">
        <v>242</v>
      </c>
      <c r="B3687" s="10" t="s">
        <v>241</v>
      </c>
      <c r="C3687" t="str">
        <f>Table13[[#This Row],[Manufacturer]]&amp;" "&amp;Table13[[#This Row],[Model]]</f>
        <v>Velocity Microwave S-8</v>
      </c>
      <c r="D3687" s="1">
        <v>6</v>
      </c>
      <c r="E3687" s="1" t="s">
        <v>169</v>
      </c>
      <c r="F3687" s="38">
        <v>8</v>
      </c>
      <c r="G3687" t="s">
        <v>164</v>
      </c>
    </row>
    <row r="3688" spans="1:7" x14ac:dyDescent="0.25">
      <c r="A3688" s="10" t="s">
        <v>238</v>
      </c>
      <c r="B3688" s="10" t="s">
        <v>240</v>
      </c>
      <c r="C3688" t="str">
        <f>Table13[[#This Row],[Manufacturer]]&amp;" "&amp;Table13[[#This Row],[Model]]</f>
        <v>Weidmuller 9918370000-1.7Nm</v>
      </c>
      <c r="D3688" s="1">
        <v>6</v>
      </c>
      <c r="E3688" s="1" t="s">
        <v>169</v>
      </c>
      <c r="F3688" s="38">
        <v>1.7</v>
      </c>
      <c r="G3688" t="s">
        <v>184</v>
      </c>
    </row>
    <row r="3689" spans="1:7" x14ac:dyDescent="0.25">
      <c r="A3689" s="10" t="s">
        <v>238</v>
      </c>
      <c r="B3689" s="10" t="s">
        <v>239</v>
      </c>
      <c r="C3689" t="str">
        <f>Table13[[#This Row],[Manufacturer]]&amp;" "&amp;Table13[[#This Row],[Model]]</f>
        <v>Weidmuller 9918370000-8Nm</v>
      </c>
      <c r="D3689" s="1">
        <v>6</v>
      </c>
      <c r="E3689" s="1" t="s">
        <v>169</v>
      </c>
      <c r="F3689" s="38">
        <v>8</v>
      </c>
      <c r="G3689" t="s">
        <v>184</v>
      </c>
    </row>
    <row r="3690" spans="1:7" x14ac:dyDescent="0.25">
      <c r="A3690" s="10" t="s">
        <v>238</v>
      </c>
      <c r="B3690" s="10" t="s">
        <v>237</v>
      </c>
      <c r="C3690" t="str">
        <f>Table13[[#This Row],[Manufacturer]]&amp;" "&amp;Table13[[#This Row],[Model]]</f>
        <v>Weidmuller 9918380000-7Nm</v>
      </c>
      <c r="D3690" s="1">
        <v>6</v>
      </c>
      <c r="E3690" s="1" t="s">
        <v>169</v>
      </c>
      <c r="F3690" s="38">
        <v>7</v>
      </c>
      <c r="G3690" t="s">
        <v>184</v>
      </c>
    </row>
    <row r="3691" spans="1:7" x14ac:dyDescent="0.25">
      <c r="A3691" s="10" t="s">
        <v>227</v>
      </c>
      <c r="B3691" s="10" t="s">
        <v>236</v>
      </c>
      <c r="C3691" t="str">
        <f>Table13[[#This Row],[Manufacturer]]&amp;" "&amp;Table13[[#This Row],[Model]]</f>
        <v>Wera 7000A</v>
      </c>
      <c r="D3691" s="1">
        <v>4</v>
      </c>
      <c r="E3691" s="1" t="s">
        <v>169</v>
      </c>
      <c r="F3691" s="38">
        <v>18</v>
      </c>
      <c r="G3691" t="s">
        <v>166</v>
      </c>
    </row>
    <row r="3692" spans="1:7" x14ac:dyDescent="0.25">
      <c r="A3692" s="10" t="s">
        <v>227</v>
      </c>
      <c r="B3692" s="10" t="s">
        <v>235</v>
      </c>
      <c r="C3692" t="str">
        <f>Table13[[#This Row],[Manufacturer]]&amp;" "&amp;Table13[[#This Row],[Model]]</f>
        <v>Wera 7000B</v>
      </c>
      <c r="D3692" s="1">
        <v>4</v>
      </c>
      <c r="E3692" s="1" t="s">
        <v>169</v>
      </c>
      <c r="F3692" s="38">
        <v>45</v>
      </c>
      <c r="G3692" t="s">
        <v>166</v>
      </c>
    </row>
    <row r="3693" spans="1:7" x14ac:dyDescent="0.25">
      <c r="A3693" s="10" t="s">
        <v>227</v>
      </c>
      <c r="B3693" s="10" t="s">
        <v>234</v>
      </c>
      <c r="C3693" t="str">
        <f>Table13[[#This Row],[Manufacturer]]&amp;" "&amp;Table13[[#This Row],[Model]]</f>
        <v>Wera 7000C</v>
      </c>
      <c r="D3693" s="1">
        <v>4</v>
      </c>
      <c r="E3693" s="1" t="s">
        <v>169</v>
      </c>
      <c r="F3693" s="38">
        <v>45</v>
      </c>
      <c r="G3693" t="s">
        <v>166</v>
      </c>
    </row>
    <row r="3694" spans="1:7" x14ac:dyDescent="0.25">
      <c r="A3694" s="10" t="s">
        <v>227</v>
      </c>
      <c r="B3694" s="10" t="s">
        <v>233</v>
      </c>
      <c r="C3694" t="str">
        <f>Table13[[#This Row],[Manufacturer]]&amp;" "&amp;Table13[[#This Row],[Model]]</f>
        <v>Wera 7001B</v>
      </c>
      <c r="D3694" s="1">
        <v>4</v>
      </c>
      <c r="E3694" s="1" t="s">
        <v>169</v>
      </c>
      <c r="F3694" s="38">
        <v>80</v>
      </c>
      <c r="G3694" t="s">
        <v>166</v>
      </c>
    </row>
    <row r="3695" spans="1:7" x14ac:dyDescent="0.25">
      <c r="A3695" s="10" t="s">
        <v>227</v>
      </c>
      <c r="B3695" s="10" t="s">
        <v>232</v>
      </c>
      <c r="C3695" t="str">
        <f>Table13[[#This Row],[Manufacturer]]&amp;" "&amp;Table13[[#This Row],[Model]]</f>
        <v>Wera 7001C</v>
      </c>
      <c r="D3695" s="1">
        <v>4</v>
      </c>
      <c r="E3695" s="1" t="s">
        <v>169</v>
      </c>
      <c r="F3695" s="38">
        <v>80</v>
      </c>
      <c r="G3695" t="s">
        <v>166</v>
      </c>
    </row>
    <row r="3696" spans="1:7" x14ac:dyDescent="0.25">
      <c r="A3696" s="10" t="s">
        <v>227</v>
      </c>
      <c r="B3696" s="10" t="s">
        <v>231</v>
      </c>
      <c r="C3696" t="str">
        <f>Table13[[#This Row],[Manufacturer]]&amp;" "&amp;Table13[[#This Row],[Model]]</f>
        <v>Wera 7003C</v>
      </c>
      <c r="D3696" s="1">
        <v>4</v>
      </c>
      <c r="E3696" s="1" t="s">
        <v>169</v>
      </c>
      <c r="F3696" s="38">
        <v>150</v>
      </c>
      <c r="G3696" t="s">
        <v>166</v>
      </c>
    </row>
    <row r="3697" spans="1:7" x14ac:dyDescent="0.25">
      <c r="A3697" s="10" t="s">
        <v>227</v>
      </c>
      <c r="B3697" s="10" t="s">
        <v>230</v>
      </c>
      <c r="C3697" t="str">
        <f>Table13[[#This Row],[Manufacturer]]&amp;" "&amp;Table13[[#This Row],[Model]]</f>
        <v>Wera 7005C</v>
      </c>
      <c r="D3697" s="1">
        <v>4</v>
      </c>
      <c r="E3697" s="1" t="s">
        <v>169</v>
      </c>
      <c r="F3697" s="38">
        <v>220</v>
      </c>
      <c r="G3697" t="s">
        <v>166</v>
      </c>
    </row>
    <row r="3698" spans="1:7" x14ac:dyDescent="0.25">
      <c r="A3698" s="10" t="s">
        <v>227</v>
      </c>
      <c r="B3698" s="10" t="s">
        <v>229</v>
      </c>
      <c r="C3698" t="str">
        <f>Table13[[#This Row],[Manufacturer]]&amp;" "&amp;Table13[[#This Row],[Model]]</f>
        <v>Wera 7006E</v>
      </c>
      <c r="D3698" s="1">
        <v>4</v>
      </c>
      <c r="E3698" s="1" t="s">
        <v>169</v>
      </c>
      <c r="F3698" s="38">
        <v>400</v>
      </c>
      <c r="G3698" t="s">
        <v>184</v>
      </c>
    </row>
    <row r="3699" spans="1:7" x14ac:dyDescent="0.25">
      <c r="A3699" s="10" t="s">
        <v>227</v>
      </c>
      <c r="B3699" s="10">
        <v>75604</v>
      </c>
      <c r="C3699" t="str">
        <f>Table13[[#This Row],[Manufacturer]]&amp;" "&amp;Table13[[#This Row],[Model]]</f>
        <v>Wera 75604</v>
      </c>
      <c r="D3699" s="1">
        <v>4</v>
      </c>
      <c r="E3699" s="1" t="s">
        <v>169</v>
      </c>
      <c r="F3699" s="38">
        <v>25</v>
      </c>
      <c r="G3699" t="s">
        <v>184</v>
      </c>
    </row>
    <row r="3700" spans="1:7" x14ac:dyDescent="0.25">
      <c r="A3700" s="10" t="s">
        <v>227</v>
      </c>
      <c r="B3700" s="10">
        <v>75605</v>
      </c>
      <c r="C3700" t="str">
        <f>Table13[[#This Row],[Manufacturer]]&amp;" "&amp;Table13[[#This Row],[Model]]</f>
        <v>Wera 75605</v>
      </c>
      <c r="D3700" s="1">
        <v>4</v>
      </c>
      <c r="E3700" s="1" t="s">
        <v>169</v>
      </c>
      <c r="F3700" s="38">
        <v>25</v>
      </c>
      <c r="G3700" t="s">
        <v>184</v>
      </c>
    </row>
    <row r="3701" spans="1:7" x14ac:dyDescent="0.25">
      <c r="A3701" s="10" t="s">
        <v>227</v>
      </c>
      <c r="B3701" s="10">
        <v>75610</v>
      </c>
      <c r="C3701" t="str">
        <f>Table13[[#This Row],[Manufacturer]]&amp;" "&amp;Table13[[#This Row],[Model]]</f>
        <v>Wera 75610</v>
      </c>
      <c r="D3701" s="1">
        <v>3</v>
      </c>
      <c r="E3701" s="1" t="s">
        <v>169</v>
      </c>
      <c r="F3701" s="38">
        <v>50</v>
      </c>
      <c r="G3701" t="s">
        <v>184</v>
      </c>
    </row>
    <row r="3702" spans="1:7" x14ac:dyDescent="0.25">
      <c r="A3702" s="10" t="s">
        <v>227</v>
      </c>
      <c r="B3702" s="10">
        <v>75611</v>
      </c>
      <c r="C3702" t="str">
        <f>Table13[[#This Row],[Manufacturer]]&amp;" "&amp;Table13[[#This Row],[Model]]</f>
        <v>Wera 75611</v>
      </c>
      <c r="D3702" s="1">
        <v>3</v>
      </c>
      <c r="E3702" s="1" t="s">
        <v>169</v>
      </c>
      <c r="F3702" s="38">
        <v>100</v>
      </c>
      <c r="G3702" t="s">
        <v>184</v>
      </c>
    </row>
    <row r="3703" spans="1:7" x14ac:dyDescent="0.25">
      <c r="A3703" s="10" t="s">
        <v>227</v>
      </c>
      <c r="B3703" s="10">
        <v>75622</v>
      </c>
      <c r="C3703" t="str">
        <f>Table13[[#This Row],[Manufacturer]]&amp;" "&amp;Table13[[#This Row],[Model]]</f>
        <v>Wera 75622</v>
      </c>
      <c r="D3703" s="1">
        <v>3</v>
      </c>
      <c r="E3703" s="1" t="s">
        <v>169</v>
      </c>
      <c r="F3703" s="38">
        <v>200</v>
      </c>
      <c r="G3703" t="s">
        <v>184</v>
      </c>
    </row>
    <row r="3704" spans="1:7" x14ac:dyDescent="0.25">
      <c r="A3704" s="10" t="s">
        <v>227</v>
      </c>
      <c r="B3704" s="10">
        <v>75623</v>
      </c>
      <c r="C3704" t="str">
        <f>Table13[[#This Row],[Manufacturer]]&amp;" "&amp;Table13[[#This Row],[Model]]</f>
        <v>Wera 75623</v>
      </c>
      <c r="D3704" s="1">
        <v>3</v>
      </c>
      <c r="E3704" s="1" t="s">
        <v>169</v>
      </c>
      <c r="F3704" s="38">
        <v>300</v>
      </c>
      <c r="G3704" t="s">
        <v>184</v>
      </c>
    </row>
    <row r="3705" spans="1:7" x14ac:dyDescent="0.25">
      <c r="A3705" s="10" t="s">
        <v>227</v>
      </c>
      <c r="B3705" s="10">
        <v>75624</v>
      </c>
      <c r="C3705" t="str">
        <f>Table13[[#This Row],[Manufacturer]]&amp;" "&amp;Table13[[#This Row],[Model]]</f>
        <v>Wera 75624</v>
      </c>
      <c r="D3705" s="1">
        <v>3</v>
      </c>
      <c r="E3705" s="1" t="s">
        <v>169</v>
      </c>
      <c r="F3705" s="38">
        <v>400</v>
      </c>
      <c r="G3705" t="s">
        <v>184</v>
      </c>
    </row>
    <row r="3706" spans="1:7" x14ac:dyDescent="0.25">
      <c r="A3706" s="10" t="s">
        <v>227</v>
      </c>
      <c r="B3706" s="10">
        <v>75630</v>
      </c>
      <c r="C3706" t="str">
        <f>Table13[[#This Row],[Manufacturer]]&amp;" "&amp;Table13[[#This Row],[Model]]</f>
        <v>Wera 75630</v>
      </c>
      <c r="D3706" s="1">
        <v>3</v>
      </c>
      <c r="E3706" s="1" t="s">
        <v>169</v>
      </c>
      <c r="F3706" s="38">
        <v>1000</v>
      </c>
      <c r="G3706" t="s">
        <v>184</v>
      </c>
    </row>
    <row r="3707" spans="1:7" x14ac:dyDescent="0.25">
      <c r="A3707" s="10" t="s">
        <v>227</v>
      </c>
      <c r="B3707" s="10" t="s">
        <v>228</v>
      </c>
      <c r="C3707" t="str">
        <f>Table13[[#This Row],[Manufacturer]]&amp;" "&amp;Table13[[#This Row],[Model]]</f>
        <v>Wera A5</v>
      </c>
      <c r="D3707" s="1">
        <v>4</v>
      </c>
      <c r="E3707" s="1" t="s">
        <v>169</v>
      </c>
      <c r="F3707" s="38">
        <v>25</v>
      </c>
      <c r="G3707" t="s">
        <v>184</v>
      </c>
    </row>
    <row r="3708" spans="1:7" x14ac:dyDescent="0.25">
      <c r="A3708" s="10" t="s">
        <v>227</v>
      </c>
      <c r="B3708" s="10">
        <v>1431</v>
      </c>
      <c r="C3708" t="str">
        <f>Table13[[#This Row],[Manufacturer]]&amp;" "&amp;Table13[[#This Row],[Model]]</f>
        <v>Wera 1431</v>
      </c>
      <c r="D3708" s="1" t="s">
        <v>226</v>
      </c>
      <c r="E3708" s="1" t="s">
        <v>225</v>
      </c>
      <c r="F3708" s="38" t="s">
        <v>224</v>
      </c>
      <c r="G3708" t="s">
        <v>187</v>
      </c>
    </row>
    <row r="3709" spans="1:7" x14ac:dyDescent="0.25">
      <c r="A3709" s="10" t="s">
        <v>227</v>
      </c>
      <c r="B3709" s="10">
        <v>7440</v>
      </c>
      <c r="C3709" t="str">
        <f>Table13[[#This Row],[Manufacturer]]&amp;" "&amp;Table13[[#This Row],[Model]]</f>
        <v>Wera 7440</v>
      </c>
      <c r="D3709" s="1" t="s">
        <v>226</v>
      </c>
      <c r="E3709" s="1" t="s">
        <v>225</v>
      </c>
      <c r="F3709" s="38" t="s">
        <v>224</v>
      </c>
      <c r="G3709" t="s">
        <v>184</v>
      </c>
    </row>
    <row r="3710" spans="1:7" x14ac:dyDescent="0.25">
      <c r="A3710" s="10" t="s">
        <v>227</v>
      </c>
      <c r="B3710" s="10">
        <v>7441</v>
      </c>
      <c r="C3710" t="str">
        <f>Table13[[#This Row],[Manufacturer]]&amp;" "&amp;Table13[[#This Row],[Model]]</f>
        <v>Wera 7441</v>
      </c>
      <c r="D3710" s="1" t="s">
        <v>226</v>
      </c>
      <c r="E3710" s="1" t="s">
        <v>225</v>
      </c>
      <c r="F3710" s="38" t="s">
        <v>224</v>
      </c>
      <c r="G3710" t="s">
        <v>184</v>
      </c>
    </row>
    <row r="3711" spans="1:7" x14ac:dyDescent="0.25">
      <c r="A3711" s="10" t="s">
        <v>227</v>
      </c>
      <c r="B3711" s="10">
        <v>7442</v>
      </c>
      <c r="C3711" t="str">
        <f>Table13[[#This Row],[Manufacturer]]&amp;" "&amp;Table13[[#This Row],[Model]]</f>
        <v>Wera 7442</v>
      </c>
      <c r="D3711" s="1" t="s">
        <v>226</v>
      </c>
      <c r="E3711" s="1" t="s">
        <v>225</v>
      </c>
      <c r="F3711" s="38" t="s">
        <v>224</v>
      </c>
      <c r="G3711" t="s">
        <v>184</v>
      </c>
    </row>
    <row r="3712" spans="1:7" x14ac:dyDescent="0.25">
      <c r="A3712" s="10" t="s">
        <v>227</v>
      </c>
      <c r="B3712" s="10">
        <v>7445</v>
      </c>
      <c r="C3712" t="str">
        <f>Table13[[#This Row],[Manufacturer]]&amp;" "&amp;Table13[[#This Row],[Model]]</f>
        <v>Wera 7445</v>
      </c>
      <c r="D3712" s="1" t="s">
        <v>226</v>
      </c>
      <c r="E3712" s="1" t="s">
        <v>225</v>
      </c>
      <c r="F3712" s="38" t="s">
        <v>224</v>
      </c>
      <c r="G3712" t="s">
        <v>164</v>
      </c>
    </row>
    <row r="3713" spans="1:7" x14ac:dyDescent="0.25">
      <c r="A3713" s="10" t="s">
        <v>227</v>
      </c>
      <c r="B3713" s="10">
        <v>7446</v>
      </c>
      <c r="C3713" t="str">
        <f>Table13[[#This Row],[Manufacturer]]&amp;" "&amp;Table13[[#This Row],[Model]]</f>
        <v>Wera 7446</v>
      </c>
      <c r="D3713" s="1" t="s">
        <v>226</v>
      </c>
      <c r="E3713" s="1" t="s">
        <v>225</v>
      </c>
      <c r="F3713" s="38" t="s">
        <v>224</v>
      </c>
      <c r="G3713" t="s">
        <v>164</v>
      </c>
    </row>
    <row r="3714" spans="1:7" x14ac:dyDescent="0.25">
      <c r="A3714" s="10" t="s">
        <v>227</v>
      </c>
      <c r="B3714" s="10">
        <v>7447</v>
      </c>
      <c r="C3714" t="str">
        <f>Table13[[#This Row],[Manufacturer]]&amp;" "&amp;Table13[[#This Row],[Model]]</f>
        <v>Wera 7447</v>
      </c>
      <c r="D3714" s="1" t="s">
        <v>226</v>
      </c>
      <c r="E3714" s="1" t="s">
        <v>225</v>
      </c>
      <c r="F3714" s="38" t="s">
        <v>224</v>
      </c>
      <c r="G3714" t="s">
        <v>164</v>
      </c>
    </row>
    <row r="3715" spans="1:7" x14ac:dyDescent="0.25">
      <c r="A3715" s="10" t="s">
        <v>189</v>
      </c>
      <c r="B3715" s="10" t="s">
        <v>223</v>
      </c>
      <c r="C3715" t="str">
        <f>Table13[[#This Row],[Manufacturer]]&amp;" "&amp;Table13[[#This Row],[Model]]</f>
        <v>Westward 23NN39</v>
      </c>
      <c r="D3715" s="1">
        <v>4</v>
      </c>
      <c r="E3715" s="1">
        <v>6</v>
      </c>
      <c r="F3715" s="38">
        <v>70</v>
      </c>
      <c r="G3715" t="s">
        <v>164</v>
      </c>
    </row>
    <row r="3716" spans="1:7" x14ac:dyDescent="0.25">
      <c r="A3716" s="10" t="s">
        <v>189</v>
      </c>
      <c r="B3716" s="10" t="s">
        <v>222</v>
      </c>
      <c r="C3716" t="str">
        <f>Table13[[#This Row],[Manufacturer]]&amp;" "&amp;Table13[[#This Row],[Model]]</f>
        <v>Westward 23NN43</v>
      </c>
      <c r="D3716" s="1">
        <v>4</v>
      </c>
      <c r="E3716" s="1">
        <v>6</v>
      </c>
      <c r="F3716" s="38">
        <v>250</v>
      </c>
      <c r="G3716" t="s">
        <v>164</v>
      </c>
    </row>
    <row r="3717" spans="1:7" x14ac:dyDescent="0.25">
      <c r="A3717" s="10" t="s">
        <v>189</v>
      </c>
      <c r="B3717" s="10" t="s">
        <v>221</v>
      </c>
      <c r="C3717" t="str">
        <f>Table13[[#This Row],[Manufacturer]]&amp;" "&amp;Table13[[#This Row],[Model]]</f>
        <v>Westward 39WE11</v>
      </c>
      <c r="D3717" s="1">
        <v>2</v>
      </c>
      <c r="E3717" s="1">
        <v>2</v>
      </c>
      <c r="F3717" s="38">
        <v>1106</v>
      </c>
      <c r="G3717" t="s">
        <v>166</v>
      </c>
    </row>
    <row r="3718" spans="1:7" x14ac:dyDescent="0.25">
      <c r="A3718" s="10" t="s">
        <v>189</v>
      </c>
      <c r="B3718" s="10" t="s">
        <v>220</v>
      </c>
      <c r="C3718" t="str">
        <f>Table13[[#This Row],[Manufacturer]]&amp;" "&amp;Table13[[#This Row],[Model]]</f>
        <v>Westward 39WE12</v>
      </c>
      <c r="D3718" s="1">
        <v>2</v>
      </c>
      <c r="E3718" s="1">
        <v>2</v>
      </c>
      <c r="F3718" s="38">
        <v>626.79999999999995</v>
      </c>
      <c r="G3718" t="s">
        <v>166</v>
      </c>
    </row>
    <row r="3719" spans="1:7" x14ac:dyDescent="0.25">
      <c r="A3719" s="10" t="s">
        <v>189</v>
      </c>
      <c r="B3719" s="10" t="s">
        <v>219</v>
      </c>
      <c r="C3719" t="str">
        <f>Table13[[#This Row],[Manufacturer]]&amp;" "&amp;Table13[[#This Row],[Model]]</f>
        <v>Westward 39WE16</v>
      </c>
      <c r="D3719" s="1">
        <v>2.5</v>
      </c>
      <c r="E3719" s="1">
        <v>3.5</v>
      </c>
      <c r="F3719" s="38">
        <v>2000</v>
      </c>
      <c r="G3719" t="s">
        <v>184</v>
      </c>
    </row>
    <row r="3720" spans="1:7" x14ac:dyDescent="0.25">
      <c r="A3720" s="10" t="s">
        <v>189</v>
      </c>
      <c r="B3720" s="10" t="s">
        <v>218</v>
      </c>
      <c r="C3720" t="str">
        <f>Table13[[#This Row],[Manufacturer]]&amp;" "&amp;Table13[[#This Row],[Model]]</f>
        <v>Westward 39WE18</v>
      </c>
      <c r="D3720" s="1">
        <v>2</v>
      </c>
      <c r="E3720" s="1">
        <v>3</v>
      </c>
      <c r="F3720" s="38">
        <v>22</v>
      </c>
      <c r="G3720" t="s">
        <v>166</v>
      </c>
    </row>
    <row r="3721" spans="1:7" x14ac:dyDescent="0.25">
      <c r="A3721" s="10" t="s">
        <v>189</v>
      </c>
      <c r="B3721" s="10" t="s">
        <v>217</v>
      </c>
      <c r="C3721" t="str">
        <f>Table13[[#This Row],[Manufacturer]]&amp;" "&amp;Table13[[#This Row],[Model]]</f>
        <v>Westward 4RYL2</v>
      </c>
      <c r="D3721" s="1">
        <v>2</v>
      </c>
      <c r="E3721" s="1">
        <v>3</v>
      </c>
      <c r="F3721" s="38">
        <v>30</v>
      </c>
      <c r="G3721" t="s">
        <v>184</v>
      </c>
    </row>
    <row r="3722" spans="1:7" x14ac:dyDescent="0.25">
      <c r="A3722" s="10" t="s">
        <v>189</v>
      </c>
      <c r="B3722" s="10" t="s">
        <v>216</v>
      </c>
      <c r="C3722" t="str">
        <f>Table13[[#This Row],[Manufacturer]]&amp;" "&amp;Table13[[#This Row],[Model]]</f>
        <v>Westward 4RYL3</v>
      </c>
      <c r="D3722" s="1">
        <v>2</v>
      </c>
      <c r="E3722" s="1">
        <v>3</v>
      </c>
      <c r="F3722" s="38">
        <v>135</v>
      </c>
      <c r="G3722" t="s">
        <v>184</v>
      </c>
    </row>
    <row r="3723" spans="1:7" x14ac:dyDescent="0.25">
      <c r="A3723" s="10" t="s">
        <v>189</v>
      </c>
      <c r="B3723" s="10" t="s">
        <v>215</v>
      </c>
      <c r="C3723" t="str">
        <f>Table13[[#This Row],[Manufacturer]]&amp;" "&amp;Table13[[#This Row],[Model]]</f>
        <v>Westward 4RYL5</v>
      </c>
      <c r="D3723" s="1">
        <v>2</v>
      </c>
      <c r="E3723" s="1">
        <v>3</v>
      </c>
      <c r="F3723" s="38">
        <v>135</v>
      </c>
      <c r="G3723" t="s">
        <v>184</v>
      </c>
    </row>
    <row r="3724" spans="1:7" x14ac:dyDescent="0.25">
      <c r="A3724" s="10" t="s">
        <v>189</v>
      </c>
      <c r="B3724" s="10" t="s">
        <v>214</v>
      </c>
      <c r="C3724" t="str">
        <f>Table13[[#This Row],[Manufacturer]]&amp;" "&amp;Table13[[#This Row],[Model]]</f>
        <v>Westward 4RYL6</v>
      </c>
      <c r="D3724" s="1">
        <v>2</v>
      </c>
      <c r="E3724" s="1">
        <v>3</v>
      </c>
      <c r="F3724" s="38">
        <v>200</v>
      </c>
      <c r="G3724" t="s">
        <v>184</v>
      </c>
    </row>
    <row r="3725" spans="1:7" x14ac:dyDescent="0.25">
      <c r="A3725" s="10" t="s">
        <v>189</v>
      </c>
      <c r="B3725" s="10" t="s">
        <v>213</v>
      </c>
      <c r="C3725" t="str">
        <f>Table13[[#This Row],[Manufacturer]]&amp;" "&amp;Table13[[#This Row],[Model]]</f>
        <v>Westward 4RYL8</v>
      </c>
      <c r="D3725" s="1">
        <v>2</v>
      </c>
      <c r="E3725" s="1">
        <v>3</v>
      </c>
      <c r="F3725" s="38">
        <v>340</v>
      </c>
      <c r="G3725" t="s">
        <v>184</v>
      </c>
    </row>
    <row r="3726" spans="1:7" x14ac:dyDescent="0.25">
      <c r="A3726" s="10" t="s">
        <v>189</v>
      </c>
      <c r="B3726" s="10" t="s">
        <v>212</v>
      </c>
      <c r="C3726" t="str">
        <f>Table13[[#This Row],[Manufacturer]]&amp;" "&amp;Table13[[#This Row],[Model]]</f>
        <v>Westward 4RYL9</v>
      </c>
      <c r="D3726" s="1">
        <v>2</v>
      </c>
      <c r="E3726" s="1">
        <v>3</v>
      </c>
      <c r="F3726" s="38">
        <v>410</v>
      </c>
      <c r="G3726" t="s">
        <v>184</v>
      </c>
    </row>
    <row r="3727" spans="1:7" x14ac:dyDescent="0.25">
      <c r="A3727" s="10" t="s">
        <v>189</v>
      </c>
      <c r="B3727" s="10" t="s">
        <v>211</v>
      </c>
      <c r="C3727" t="str">
        <f>Table13[[#This Row],[Manufacturer]]&amp;" "&amp;Table13[[#This Row],[Model]]</f>
        <v>Westward 6PAE8</v>
      </c>
      <c r="D3727" s="1">
        <v>3</v>
      </c>
      <c r="E3727" s="1">
        <v>4</v>
      </c>
      <c r="F3727" s="38">
        <v>100</v>
      </c>
      <c r="G3727" t="s">
        <v>164</v>
      </c>
    </row>
    <row r="3728" spans="1:7" x14ac:dyDescent="0.25">
      <c r="A3728" s="10" t="s">
        <v>189</v>
      </c>
      <c r="B3728" s="10" t="s">
        <v>210</v>
      </c>
      <c r="C3728" t="str">
        <f>Table13[[#This Row],[Manufacturer]]&amp;" "&amp;Table13[[#This Row],[Model]]</f>
        <v>Westward 6PAF4</v>
      </c>
      <c r="D3728" s="1">
        <v>2.5</v>
      </c>
      <c r="E3728" s="1">
        <v>3.5</v>
      </c>
      <c r="F3728" s="38">
        <v>17.7</v>
      </c>
      <c r="G3728" t="s">
        <v>164</v>
      </c>
    </row>
    <row r="3729" spans="1:7" x14ac:dyDescent="0.25">
      <c r="A3729" s="10" t="s">
        <v>189</v>
      </c>
      <c r="B3729" s="10" t="s">
        <v>209</v>
      </c>
      <c r="C3729" t="str">
        <f>Table13[[#This Row],[Manufacturer]]&amp;" "&amp;Table13[[#This Row],[Model]]</f>
        <v>Westward 6PAF5</v>
      </c>
      <c r="D3729" s="1">
        <v>2.5</v>
      </c>
      <c r="E3729" s="1">
        <v>3.5</v>
      </c>
      <c r="F3729" s="38">
        <v>35.39</v>
      </c>
      <c r="G3729" t="s">
        <v>164</v>
      </c>
    </row>
    <row r="3730" spans="1:7" x14ac:dyDescent="0.25">
      <c r="A3730" s="10" t="s">
        <v>189</v>
      </c>
      <c r="B3730" s="10" t="s">
        <v>208</v>
      </c>
      <c r="C3730" t="str">
        <f>Table13[[#This Row],[Manufacturer]]&amp;" "&amp;Table13[[#This Row],[Model]]</f>
        <v>Westward 6PAF6</v>
      </c>
      <c r="D3730" s="1">
        <v>2</v>
      </c>
      <c r="E3730" s="1">
        <v>3</v>
      </c>
      <c r="F3730" s="38">
        <v>30</v>
      </c>
      <c r="G3730" t="s">
        <v>184</v>
      </c>
    </row>
    <row r="3731" spans="1:7" x14ac:dyDescent="0.25">
      <c r="A3731" s="10" t="s">
        <v>189</v>
      </c>
      <c r="B3731" s="10" t="s">
        <v>207</v>
      </c>
      <c r="C3731" t="str">
        <f>Table13[[#This Row],[Manufacturer]]&amp;" "&amp;Table13[[#This Row],[Model]]</f>
        <v>Westward 6PAF7</v>
      </c>
      <c r="D3731" s="1">
        <v>2</v>
      </c>
      <c r="E3731" s="1">
        <v>3</v>
      </c>
      <c r="F3731" s="38">
        <v>99.5</v>
      </c>
      <c r="G3731" t="s">
        <v>166</v>
      </c>
    </row>
    <row r="3732" spans="1:7" x14ac:dyDescent="0.25">
      <c r="A3732" s="10" t="s">
        <v>189</v>
      </c>
      <c r="B3732" s="10" t="s">
        <v>206</v>
      </c>
      <c r="C3732" t="str">
        <f>Table13[[#This Row],[Manufacturer]]&amp;" "&amp;Table13[[#This Row],[Model]]</f>
        <v>Westward 6PAF8</v>
      </c>
      <c r="D3732" s="1">
        <v>2</v>
      </c>
      <c r="E3732" s="1">
        <v>3</v>
      </c>
      <c r="F3732" s="38">
        <v>135</v>
      </c>
      <c r="G3732" t="s">
        <v>184</v>
      </c>
    </row>
    <row r="3733" spans="1:7" x14ac:dyDescent="0.25">
      <c r="A3733" s="10" t="s">
        <v>189</v>
      </c>
      <c r="B3733" s="10" t="s">
        <v>205</v>
      </c>
      <c r="C3733" t="str">
        <f>Table13[[#This Row],[Manufacturer]]&amp;" "&amp;Table13[[#This Row],[Model]]</f>
        <v>Westward 6PAG0</v>
      </c>
      <c r="D3733" s="1">
        <v>2</v>
      </c>
      <c r="E3733" s="1">
        <v>3</v>
      </c>
      <c r="F3733" s="38">
        <v>250</v>
      </c>
      <c r="G3733" t="s">
        <v>166</v>
      </c>
    </row>
    <row r="3734" spans="1:7" x14ac:dyDescent="0.25">
      <c r="A3734" s="10" t="s">
        <v>189</v>
      </c>
      <c r="B3734" s="10" t="s">
        <v>204</v>
      </c>
      <c r="C3734" t="str">
        <f>Table13[[#This Row],[Manufacturer]]&amp;" "&amp;Table13[[#This Row],[Model]]</f>
        <v>Westward 6PAG1</v>
      </c>
      <c r="D3734" s="1">
        <v>2</v>
      </c>
      <c r="E3734" s="1">
        <v>2</v>
      </c>
      <c r="F3734" s="38">
        <v>135</v>
      </c>
      <c r="G3734" t="s">
        <v>184</v>
      </c>
    </row>
    <row r="3735" spans="1:7" x14ac:dyDescent="0.25">
      <c r="A3735" s="10" t="s">
        <v>189</v>
      </c>
      <c r="B3735" s="10" t="s">
        <v>203</v>
      </c>
      <c r="C3735" t="str">
        <f>Table13[[#This Row],[Manufacturer]]&amp;" "&amp;Table13[[#This Row],[Model]]</f>
        <v>Westward 6PAG2</v>
      </c>
      <c r="D3735" s="1">
        <v>2</v>
      </c>
      <c r="E3735" s="1">
        <v>2</v>
      </c>
      <c r="F3735" s="38">
        <v>340</v>
      </c>
      <c r="G3735" t="s">
        <v>184</v>
      </c>
    </row>
    <row r="3736" spans="1:7" x14ac:dyDescent="0.25">
      <c r="A3736" s="10" t="s">
        <v>189</v>
      </c>
      <c r="B3736" s="10" t="s">
        <v>202</v>
      </c>
      <c r="C3736" t="str">
        <f>Table13[[#This Row],[Manufacturer]]&amp;" "&amp;Table13[[#This Row],[Model]]</f>
        <v>Westward 10L419</v>
      </c>
      <c r="D3736" s="1">
        <v>4</v>
      </c>
      <c r="E3736" s="1">
        <v>6</v>
      </c>
      <c r="F3736" s="38">
        <v>200</v>
      </c>
      <c r="G3736" t="s">
        <v>164</v>
      </c>
    </row>
    <row r="3737" spans="1:7" x14ac:dyDescent="0.25">
      <c r="A3737" s="10" t="s">
        <v>189</v>
      </c>
      <c r="B3737" s="10" t="s">
        <v>201</v>
      </c>
      <c r="C3737" t="str">
        <f>Table13[[#This Row],[Manufacturer]]&amp;" "&amp;Table13[[#This Row],[Model]]</f>
        <v>Westward 10L420</v>
      </c>
      <c r="D3737" s="1">
        <v>4</v>
      </c>
      <c r="E3737" s="1">
        <v>6</v>
      </c>
      <c r="F3737" s="38">
        <v>200</v>
      </c>
      <c r="G3737" t="s">
        <v>164</v>
      </c>
    </row>
    <row r="3738" spans="1:7" x14ac:dyDescent="0.25">
      <c r="A3738" s="10" t="s">
        <v>189</v>
      </c>
      <c r="B3738" s="10" t="s">
        <v>200</v>
      </c>
      <c r="C3738" t="str">
        <f>Table13[[#This Row],[Manufacturer]]&amp;" "&amp;Table13[[#This Row],[Model]]</f>
        <v>Westward 10L422</v>
      </c>
      <c r="D3738" s="1">
        <v>4</v>
      </c>
      <c r="E3738" s="1">
        <v>6</v>
      </c>
      <c r="F3738" s="38">
        <v>25</v>
      </c>
      <c r="G3738" t="s">
        <v>166</v>
      </c>
    </row>
    <row r="3739" spans="1:7" x14ac:dyDescent="0.25">
      <c r="A3739" s="10" t="s">
        <v>189</v>
      </c>
      <c r="B3739" s="10" t="s">
        <v>199</v>
      </c>
      <c r="C3739" t="str">
        <f>Table13[[#This Row],[Manufacturer]]&amp;" "&amp;Table13[[#This Row],[Model]]</f>
        <v>Westward 4DA94</v>
      </c>
      <c r="D3739" s="1">
        <v>4</v>
      </c>
      <c r="E3739" s="1" t="s">
        <v>169</v>
      </c>
      <c r="F3739" s="38">
        <v>200</v>
      </c>
      <c r="G3739" t="s">
        <v>164</v>
      </c>
    </row>
    <row r="3740" spans="1:7" x14ac:dyDescent="0.25">
      <c r="A3740" s="10" t="s">
        <v>189</v>
      </c>
      <c r="B3740" s="10" t="s">
        <v>198</v>
      </c>
      <c r="C3740" t="str">
        <f>Table13[[#This Row],[Manufacturer]]&amp;" "&amp;Table13[[#This Row],[Model]]</f>
        <v>Westward 4DA95</v>
      </c>
      <c r="D3740" s="1">
        <v>4</v>
      </c>
      <c r="E3740" s="1" t="s">
        <v>169</v>
      </c>
      <c r="F3740" s="38">
        <v>80</v>
      </c>
      <c r="G3740" t="s">
        <v>166</v>
      </c>
    </row>
    <row r="3741" spans="1:7" x14ac:dyDescent="0.25">
      <c r="A3741" s="10" t="s">
        <v>189</v>
      </c>
      <c r="B3741" s="10" t="s">
        <v>197</v>
      </c>
      <c r="C3741" t="str">
        <f>Table13[[#This Row],[Manufacturer]]&amp;" "&amp;Table13[[#This Row],[Model]]</f>
        <v>Westward 4DA96</v>
      </c>
      <c r="D3741" s="1">
        <v>4</v>
      </c>
      <c r="E3741" s="1" t="s">
        <v>169</v>
      </c>
      <c r="F3741" s="38">
        <v>150</v>
      </c>
      <c r="G3741" t="s">
        <v>166</v>
      </c>
    </row>
    <row r="3742" spans="1:7" x14ac:dyDescent="0.25">
      <c r="A3742" s="10" t="s">
        <v>189</v>
      </c>
      <c r="B3742" s="10" t="s">
        <v>196</v>
      </c>
      <c r="C3742" t="str">
        <f>Table13[[#This Row],[Manufacturer]]&amp;" "&amp;Table13[[#This Row],[Model]]</f>
        <v>Westward 4DA97</v>
      </c>
      <c r="D3742" s="1">
        <v>4</v>
      </c>
      <c r="E3742" s="1" t="s">
        <v>169</v>
      </c>
      <c r="F3742" s="38">
        <v>250</v>
      </c>
      <c r="G3742" t="s">
        <v>166</v>
      </c>
    </row>
    <row r="3743" spans="1:7" x14ac:dyDescent="0.25">
      <c r="A3743" s="10" t="s">
        <v>189</v>
      </c>
      <c r="B3743" s="10" t="s">
        <v>195</v>
      </c>
      <c r="C3743" t="str">
        <f>Table13[[#This Row],[Manufacturer]]&amp;" "&amp;Table13[[#This Row],[Model]]</f>
        <v>Westward 4RYK7</v>
      </c>
      <c r="D3743" s="1">
        <v>4</v>
      </c>
      <c r="E3743" s="1">
        <v>6</v>
      </c>
      <c r="F3743" s="38">
        <v>250</v>
      </c>
      <c r="G3743" t="s">
        <v>164</v>
      </c>
    </row>
    <row r="3744" spans="1:7" x14ac:dyDescent="0.25">
      <c r="A3744" s="10" t="s">
        <v>189</v>
      </c>
      <c r="B3744" s="10" t="s">
        <v>194</v>
      </c>
      <c r="C3744" t="str">
        <f>Table13[[#This Row],[Manufacturer]]&amp;" "&amp;Table13[[#This Row],[Model]]</f>
        <v>Westward 6PAG3</v>
      </c>
      <c r="D3744" s="1">
        <v>4</v>
      </c>
      <c r="E3744" s="1">
        <v>6</v>
      </c>
      <c r="F3744" s="38">
        <v>50</v>
      </c>
      <c r="G3744" t="s">
        <v>164</v>
      </c>
    </row>
    <row r="3745" spans="1:7" x14ac:dyDescent="0.25">
      <c r="A3745" s="10" t="s">
        <v>189</v>
      </c>
      <c r="B3745" s="10" t="s">
        <v>193</v>
      </c>
      <c r="C3745" t="str">
        <f>Table13[[#This Row],[Manufacturer]]&amp;" "&amp;Table13[[#This Row],[Model]]</f>
        <v>Westward 6PAG4</v>
      </c>
      <c r="D3745" s="1">
        <v>4</v>
      </c>
      <c r="E3745" s="1">
        <v>6</v>
      </c>
      <c r="F3745" s="38">
        <v>200</v>
      </c>
      <c r="G3745" t="s">
        <v>164</v>
      </c>
    </row>
    <row r="3746" spans="1:7" x14ac:dyDescent="0.25">
      <c r="A3746" s="10" t="s">
        <v>189</v>
      </c>
      <c r="B3746" s="10" t="s">
        <v>192</v>
      </c>
      <c r="C3746" t="str">
        <f>Table13[[#This Row],[Manufacturer]]&amp;" "&amp;Table13[[#This Row],[Model]]</f>
        <v>Westward 6PAG5</v>
      </c>
      <c r="D3746" s="1">
        <v>4</v>
      </c>
      <c r="E3746" s="1">
        <v>6</v>
      </c>
      <c r="F3746" s="38">
        <v>1000</v>
      </c>
      <c r="G3746" t="s">
        <v>164</v>
      </c>
    </row>
    <row r="3747" spans="1:7" x14ac:dyDescent="0.25">
      <c r="A3747" s="10" t="s">
        <v>189</v>
      </c>
      <c r="B3747" s="10" t="s">
        <v>191</v>
      </c>
      <c r="C3747" t="str">
        <f>Table13[[#This Row],[Manufacturer]]&amp;" "&amp;Table13[[#This Row],[Model]]</f>
        <v>Westward 6PAG8</v>
      </c>
      <c r="D3747" s="1">
        <v>4</v>
      </c>
      <c r="E3747" s="1">
        <v>6</v>
      </c>
      <c r="F3747" s="38">
        <v>200</v>
      </c>
      <c r="G3747" t="s">
        <v>164</v>
      </c>
    </row>
    <row r="3748" spans="1:7" x14ac:dyDescent="0.25">
      <c r="A3748" s="10" t="s">
        <v>189</v>
      </c>
      <c r="B3748" s="10" t="s">
        <v>190</v>
      </c>
      <c r="C3748" t="str">
        <f>Table13[[#This Row],[Manufacturer]]&amp;" "&amp;Table13[[#This Row],[Model]]</f>
        <v>Westward 6PAH7</v>
      </c>
      <c r="D3748" s="1">
        <v>4</v>
      </c>
      <c r="E3748" s="1">
        <v>6</v>
      </c>
      <c r="F3748" s="38">
        <v>600</v>
      </c>
      <c r="G3748" t="s">
        <v>166</v>
      </c>
    </row>
    <row r="3749" spans="1:7" x14ac:dyDescent="0.25">
      <c r="A3749" s="10" t="s">
        <v>189</v>
      </c>
      <c r="B3749" s="10" t="s">
        <v>188</v>
      </c>
      <c r="C3749" t="str">
        <f>Table13[[#This Row],[Manufacturer]]&amp;" "&amp;Table13[[#This Row],[Model]]</f>
        <v>Westward 6PAH9</v>
      </c>
      <c r="D3749" s="1">
        <v>4</v>
      </c>
      <c r="E3749" s="1">
        <v>6</v>
      </c>
      <c r="F3749" s="38">
        <v>80</v>
      </c>
      <c r="G3749" t="s">
        <v>166</v>
      </c>
    </row>
    <row r="3750" spans="1:7" x14ac:dyDescent="0.25">
      <c r="A3750" s="10" t="s">
        <v>185</v>
      </c>
      <c r="B3750" s="10">
        <v>28886</v>
      </c>
      <c r="C3750" t="str">
        <f>Table13[[#This Row],[Manufacturer]]&amp;" "&amp;Table13[[#This Row],[Model]]</f>
        <v>Wiha 28886</v>
      </c>
      <c r="D3750" s="1">
        <v>10</v>
      </c>
      <c r="E3750" s="1" t="s">
        <v>169</v>
      </c>
      <c r="F3750" s="38">
        <v>150</v>
      </c>
      <c r="G3750" t="s">
        <v>187</v>
      </c>
    </row>
    <row r="3751" spans="1:7" x14ac:dyDescent="0.25">
      <c r="A3751" s="10" t="s">
        <v>185</v>
      </c>
      <c r="B3751" s="10">
        <v>30114</v>
      </c>
      <c r="C3751" t="str">
        <f>Table13[[#This Row],[Manufacturer]]&amp;" "&amp;Table13[[#This Row],[Model]]</f>
        <v>Wiha 30114</v>
      </c>
      <c r="D3751" s="1">
        <v>10</v>
      </c>
      <c r="E3751" s="1" t="s">
        <v>169</v>
      </c>
      <c r="F3751" s="38">
        <v>25</v>
      </c>
      <c r="G3751" t="s">
        <v>184</v>
      </c>
    </row>
    <row r="3752" spans="1:7" x14ac:dyDescent="0.25">
      <c r="A3752" s="10" t="s">
        <v>185</v>
      </c>
      <c r="B3752" s="10">
        <v>30138</v>
      </c>
      <c r="C3752" t="str">
        <f>Table13[[#This Row],[Manufacturer]]&amp;" "&amp;Table13[[#This Row],[Model]]</f>
        <v>Wiha 30138</v>
      </c>
      <c r="D3752" s="1">
        <v>6</v>
      </c>
      <c r="E3752" s="1">
        <v>6</v>
      </c>
      <c r="F3752" s="38">
        <v>50</v>
      </c>
      <c r="G3752" t="s">
        <v>184</v>
      </c>
    </row>
    <row r="3753" spans="1:7" x14ac:dyDescent="0.25">
      <c r="A3753" s="10" t="s">
        <v>185</v>
      </c>
      <c r="B3753" s="10">
        <v>30152</v>
      </c>
      <c r="C3753" t="str">
        <f>Table13[[#This Row],[Manufacturer]]&amp;" "&amp;Table13[[#This Row],[Model]]</f>
        <v>Wiha 30152</v>
      </c>
      <c r="D3753" s="1">
        <v>6</v>
      </c>
      <c r="E3753" s="1">
        <v>6</v>
      </c>
      <c r="F3753" s="38">
        <v>220</v>
      </c>
      <c r="G3753" t="s">
        <v>184</v>
      </c>
    </row>
    <row r="3754" spans="1:7" x14ac:dyDescent="0.25">
      <c r="A3754" s="10" t="s">
        <v>185</v>
      </c>
      <c r="B3754" s="10">
        <v>26047</v>
      </c>
      <c r="C3754" t="str">
        <f>Table13[[#This Row],[Manufacturer]]&amp;" "&amp;Table13[[#This Row],[Model]]</f>
        <v>Wiha 26047</v>
      </c>
      <c r="D3754" s="1">
        <v>6</v>
      </c>
      <c r="E3754" s="1" t="s">
        <v>169</v>
      </c>
      <c r="F3754" s="38">
        <v>0.6</v>
      </c>
      <c r="G3754" t="s">
        <v>184</v>
      </c>
    </row>
    <row r="3755" spans="1:7" x14ac:dyDescent="0.25">
      <c r="A3755" s="10" t="s">
        <v>185</v>
      </c>
      <c r="B3755" s="10">
        <v>26048</v>
      </c>
      <c r="C3755" t="str">
        <f>Table13[[#This Row],[Manufacturer]]&amp;" "&amp;Table13[[#This Row],[Model]]</f>
        <v>Wiha 26048</v>
      </c>
      <c r="D3755" s="1">
        <v>6</v>
      </c>
      <c r="E3755" s="1" t="s">
        <v>169</v>
      </c>
      <c r="F3755" s="38">
        <v>0.9</v>
      </c>
      <c r="G3755" t="s">
        <v>184</v>
      </c>
    </row>
    <row r="3756" spans="1:7" x14ac:dyDescent="0.25">
      <c r="A3756" s="10" t="s">
        <v>185</v>
      </c>
      <c r="B3756" s="10">
        <v>26049</v>
      </c>
      <c r="C3756" t="str">
        <f>Table13[[#This Row],[Manufacturer]]&amp;" "&amp;Table13[[#This Row],[Model]]</f>
        <v>Wiha 26049</v>
      </c>
      <c r="D3756" s="1">
        <v>6</v>
      </c>
      <c r="E3756" s="1" t="s">
        <v>169</v>
      </c>
      <c r="F3756" s="38">
        <v>1.2</v>
      </c>
      <c r="G3756" t="s">
        <v>184</v>
      </c>
    </row>
    <row r="3757" spans="1:7" x14ac:dyDescent="0.25">
      <c r="A3757" s="10" t="s">
        <v>185</v>
      </c>
      <c r="B3757" s="10">
        <v>26051</v>
      </c>
      <c r="C3757" t="str">
        <f>Table13[[#This Row],[Manufacturer]]&amp;" "&amp;Table13[[#This Row],[Model]]</f>
        <v>Wiha 26051</v>
      </c>
      <c r="D3757" s="1">
        <v>6</v>
      </c>
      <c r="E3757" s="1" t="s">
        <v>169</v>
      </c>
      <c r="F3757" s="38">
        <v>2</v>
      </c>
      <c r="G3757" t="s">
        <v>184</v>
      </c>
    </row>
    <row r="3758" spans="1:7" x14ac:dyDescent="0.25">
      <c r="A3758" s="10" t="s">
        <v>185</v>
      </c>
      <c r="B3758" s="10">
        <v>26052</v>
      </c>
      <c r="C3758" t="str">
        <f>Table13[[#This Row],[Manufacturer]]&amp;" "&amp;Table13[[#This Row],[Model]]</f>
        <v>Wiha 26052</v>
      </c>
      <c r="D3758" s="1">
        <v>6</v>
      </c>
      <c r="E3758" s="1" t="s">
        <v>169</v>
      </c>
      <c r="F3758" s="38">
        <v>3</v>
      </c>
      <c r="G3758" t="s">
        <v>184</v>
      </c>
    </row>
    <row r="3759" spans="1:7" x14ac:dyDescent="0.25">
      <c r="A3759" s="10" t="s">
        <v>185</v>
      </c>
      <c r="B3759" s="10">
        <v>26053</v>
      </c>
      <c r="C3759" t="str">
        <f>Table13[[#This Row],[Manufacturer]]&amp;" "&amp;Table13[[#This Row],[Model]]</f>
        <v>Wiha 26053</v>
      </c>
      <c r="D3759" s="1">
        <v>6</v>
      </c>
      <c r="E3759" s="1" t="s">
        <v>169</v>
      </c>
      <c r="F3759" s="38">
        <v>5</v>
      </c>
      <c r="G3759" t="s">
        <v>184</v>
      </c>
    </row>
    <row r="3760" spans="1:7" x14ac:dyDescent="0.25">
      <c r="A3760" s="10" t="s">
        <v>185</v>
      </c>
      <c r="B3760" s="10">
        <v>26127</v>
      </c>
      <c r="C3760" t="str">
        <f>Table13[[#This Row],[Manufacturer]]&amp;" "&amp;Table13[[#This Row],[Model]]</f>
        <v>Wiha 26127</v>
      </c>
      <c r="D3760" s="1">
        <v>6</v>
      </c>
      <c r="E3760" s="1" t="s">
        <v>169</v>
      </c>
      <c r="F3760" s="38">
        <v>0.5</v>
      </c>
      <c r="G3760" t="s">
        <v>184</v>
      </c>
    </row>
    <row r="3761" spans="1:7" x14ac:dyDescent="0.25">
      <c r="A3761" s="10" t="s">
        <v>185</v>
      </c>
      <c r="B3761" s="10">
        <v>26128</v>
      </c>
      <c r="C3761" t="str">
        <f>Table13[[#This Row],[Manufacturer]]&amp;" "&amp;Table13[[#This Row],[Model]]</f>
        <v>Wiha 26128</v>
      </c>
      <c r="D3761" s="1">
        <v>6</v>
      </c>
      <c r="E3761" s="1" t="s">
        <v>169</v>
      </c>
      <c r="F3761" s="38">
        <v>2.5</v>
      </c>
      <c r="G3761" t="s">
        <v>184</v>
      </c>
    </row>
    <row r="3762" spans="1:7" x14ac:dyDescent="0.25">
      <c r="A3762" s="10" t="s">
        <v>185</v>
      </c>
      <c r="B3762" s="10">
        <v>26129</v>
      </c>
      <c r="C3762" t="str">
        <f>Table13[[#This Row],[Manufacturer]]&amp;" "&amp;Table13[[#This Row],[Model]]</f>
        <v>Wiha 26129</v>
      </c>
      <c r="D3762" s="1">
        <v>6</v>
      </c>
      <c r="E3762" s="1" t="s">
        <v>169</v>
      </c>
      <c r="F3762" s="38">
        <v>3.8</v>
      </c>
      <c r="G3762" t="s">
        <v>184</v>
      </c>
    </row>
    <row r="3763" spans="1:7" x14ac:dyDescent="0.25">
      <c r="A3763" s="10" t="s">
        <v>185</v>
      </c>
      <c r="B3763" s="10">
        <v>26130</v>
      </c>
      <c r="C3763" t="str">
        <f>Table13[[#This Row],[Manufacturer]]&amp;" "&amp;Table13[[#This Row],[Model]]</f>
        <v>Wiha 26130</v>
      </c>
      <c r="D3763" s="1">
        <v>6</v>
      </c>
      <c r="E3763" s="1" t="s">
        <v>169</v>
      </c>
      <c r="F3763" s="38">
        <v>5.5</v>
      </c>
      <c r="G3763" t="s">
        <v>184</v>
      </c>
    </row>
    <row r="3764" spans="1:7" x14ac:dyDescent="0.25">
      <c r="A3764" s="10" t="s">
        <v>185</v>
      </c>
      <c r="B3764" s="10">
        <v>26131</v>
      </c>
      <c r="C3764" t="str">
        <f>Table13[[#This Row],[Manufacturer]]&amp;" "&amp;Table13[[#This Row],[Model]]</f>
        <v>Wiha 26131</v>
      </c>
      <c r="D3764" s="1">
        <v>6</v>
      </c>
      <c r="E3764" s="1" t="s">
        <v>169</v>
      </c>
      <c r="F3764" s="38">
        <v>7.2</v>
      </c>
      <c r="G3764" t="s">
        <v>184</v>
      </c>
    </row>
    <row r="3765" spans="1:7" x14ac:dyDescent="0.25">
      <c r="A3765" s="10" t="s">
        <v>185</v>
      </c>
      <c r="B3765" s="10">
        <v>26133</v>
      </c>
      <c r="C3765" t="str">
        <f>Table13[[#This Row],[Manufacturer]]&amp;" "&amp;Table13[[#This Row],[Model]]</f>
        <v>Wiha 26133</v>
      </c>
      <c r="D3765" s="1">
        <v>6</v>
      </c>
      <c r="E3765" s="1" t="s">
        <v>169</v>
      </c>
      <c r="F3765" s="38">
        <v>1.1000000000000001</v>
      </c>
      <c r="G3765" t="s">
        <v>184</v>
      </c>
    </row>
    <row r="3766" spans="1:7" x14ac:dyDescent="0.25">
      <c r="A3766" s="10" t="s">
        <v>185</v>
      </c>
      <c r="B3766" s="10">
        <v>26327</v>
      </c>
      <c r="C3766" t="str">
        <f>Table13[[#This Row],[Manufacturer]]&amp;" "&amp;Table13[[#This Row],[Model]]</f>
        <v>Wiha 26327</v>
      </c>
      <c r="D3766" s="1">
        <v>6</v>
      </c>
      <c r="E3766" s="1" t="s">
        <v>169</v>
      </c>
      <c r="F3766" s="38">
        <v>0.8</v>
      </c>
      <c r="G3766" t="s">
        <v>184</v>
      </c>
    </row>
    <row r="3767" spans="1:7" x14ac:dyDescent="0.25">
      <c r="A3767" s="10" t="s">
        <v>185</v>
      </c>
      <c r="B3767" s="10">
        <v>26461</v>
      </c>
      <c r="C3767" t="str">
        <f>Table13[[#This Row],[Manufacturer]]&amp;" "&amp;Table13[[#This Row],[Model]]</f>
        <v>Wiha 26461</v>
      </c>
      <c r="D3767" s="1">
        <v>6</v>
      </c>
      <c r="E3767" s="1" t="s">
        <v>169</v>
      </c>
      <c r="F3767" s="38">
        <v>1</v>
      </c>
      <c r="G3767" t="s">
        <v>184</v>
      </c>
    </row>
    <row r="3768" spans="1:7" x14ac:dyDescent="0.25">
      <c r="A3768" s="10" t="s">
        <v>185</v>
      </c>
      <c r="B3768" s="10">
        <v>26462</v>
      </c>
      <c r="C3768" t="str">
        <f>Table13[[#This Row],[Manufacturer]]&amp;" "&amp;Table13[[#This Row],[Model]]</f>
        <v>Wiha 26462</v>
      </c>
      <c r="D3768" s="1">
        <v>6</v>
      </c>
      <c r="E3768" s="1" t="s">
        <v>169</v>
      </c>
      <c r="F3768" s="38">
        <v>2</v>
      </c>
      <c r="G3768" t="s">
        <v>184</v>
      </c>
    </row>
    <row r="3769" spans="1:7" x14ac:dyDescent="0.25">
      <c r="A3769" s="10" t="s">
        <v>185</v>
      </c>
      <c r="B3769" s="10">
        <v>26463</v>
      </c>
      <c r="C3769" t="str">
        <f>Table13[[#This Row],[Manufacturer]]&amp;" "&amp;Table13[[#This Row],[Model]]</f>
        <v>Wiha 26463</v>
      </c>
      <c r="D3769" s="1">
        <v>6</v>
      </c>
      <c r="E3769" s="1" t="s">
        <v>169</v>
      </c>
      <c r="F3769" s="38">
        <v>5</v>
      </c>
      <c r="G3769" t="s">
        <v>184</v>
      </c>
    </row>
    <row r="3770" spans="1:7" x14ac:dyDescent="0.25">
      <c r="A3770" s="10" t="s">
        <v>185</v>
      </c>
      <c r="B3770" s="10">
        <v>26464</v>
      </c>
      <c r="C3770" t="str">
        <f>Table13[[#This Row],[Manufacturer]]&amp;" "&amp;Table13[[#This Row],[Model]]</f>
        <v>Wiha 26464</v>
      </c>
      <c r="D3770" s="1">
        <v>6</v>
      </c>
      <c r="E3770" s="1" t="s">
        <v>169</v>
      </c>
      <c r="F3770" s="38">
        <v>8</v>
      </c>
      <c r="G3770" t="s">
        <v>184</v>
      </c>
    </row>
    <row r="3771" spans="1:7" x14ac:dyDescent="0.25">
      <c r="A3771" s="10" t="s">
        <v>185</v>
      </c>
      <c r="B3771" s="10">
        <v>26625</v>
      </c>
      <c r="C3771" t="str">
        <f>Table13[[#This Row],[Manufacturer]]&amp;" "&amp;Table13[[#This Row],[Model]]</f>
        <v>Wiha 26625</v>
      </c>
      <c r="D3771" s="1">
        <v>6</v>
      </c>
      <c r="E3771" s="1" t="s">
        <v>169</v>
      </c>
      <c r="F3771" s="38">
        <v>2</v>
      </c>
      <c r="G3771" t="s">
        <v>184</v>
      </c>
    </row>
    <row r="3772" spans="1:7" x14ac:dyDescent="0.25">
      <c r="A3772" s="10" t="s">
        <v>185</v>
      </c>
      <c r="B3772" s="10">
        <v>26626</v>
      </c>
      <c r="C3772" t="str">
        <f>Table13[[#This Row],[Manufacturer]]&amp;" "&amp;Table13[[#This Row],[Model]]</f>
        <v>Wiha 26626</v>
      </c>
      <c r="D3772" s="1">
        <v>6</v>
      </c>
      <c r="E3772" s="1" t="s">
        <v>169</v>
      </c>
      <c r="F3772" s="38">
        <v>5</v>
      </c>
      <c r="G3772" t="s">
        <v>184</v>
      </c>
    </row>
    <row r="3773" spans="1:7" x14ac:dyDescent="0.25">
      <c r="A3773" s="10" t="s">
        <v>185</v>
      </c>
      <c r="B3773" s="10">
        <v>26627</v>
      </c>
      <c r="C3773" t="str">
        <f>Table13[[#This Row],[Manufacturer]]&amp;" "&amp;Table13[[#This Row],[Model]]</f>
        <v>Wiha 26627</v>
      </c>
      <c r="D3773" s="1">
        <v>6</v>
      </c>
      <c r="E3773" s="1" t="s">
        <v>169</v>
      </c>
      <c r="F3773" s="38">
        <v>8</v>
      </c>
      <c r="G3773" t="s">
        <v>184</v>
      </c>
    </row>
    <row r="3774" spans="1:7" x14ac:dyDescent="0.25">
      <c r="A3774" s="10" t="s">
        <v>185</v>
      </c>
      <c r="B3774" s="10">
        <v>26629</v>
      </c>
      <c r="C3774" t="str">
        <f>Table13[[#This Row],[Manufacturer]]&amp;" "&amp;Table13[[#This Row],[Model]]</f>
        <v>Wiha 26629</v>
      </c>
      <c r="D3774" s="1">
        <v>6</v>
      </c>
      <c r="E3774" s="1" t="s">
        <v>169</v>
      </c>
      <c r="F3774" s="38">
        <v>1</v>
      </c>
      <c r="G3774" t="s">
        <v>184</v>
      </c>
    </row>
    <row r="3775" spans="1:7" x14ac:dyDescent="0.25">
      <c r="A3775" s="10" t="s">
        <v>185</v>
      </c>
      <c r="B3775" s="10">
        <v>26865</v>
      </c>
      <c r="C3775" t="str">
        <f>Table13[[#This Row],[Manufacturer]]&amp;" "&amp;Table13[[#This Row],[Model]]</f>
        <v>Wiha 26865</v>
      </c>
      <c r="D3775" s="1">
        <v>10</v>
      </c>
      <c r="E3775" s="1" t="s">
        <v>169</v>
      </c>
      <c r="F3775" s="38">
        <v>0.6</v>
      </c>
      <c r="G3775" t="s">
        <v>184</v>
      </c>
    </row>
    <row r="3776" spans="1:7" x14ac:dyDescent="0.25">
      <c r="A3776" s="10" t="s">
        <v>185</v>
      </c>
      <c r="B3776" s="10">
        <v>26866</v>
      </c>
      <c r="C3776" t="str">
        <f>Table13[[#This Row],[Manufacturer]]&amp;" "&amp;Table13[[#This Row],[Model]]</f>
        <v>Wiha 26866</v>
      </c>
      <c r="D3776" s="1">
        <v>6</v>
      </c>
      <c r="E3776" s="1" t="s">
        <v>169</v>
      </c>
      <c r="F3776" s="38">
        <v>2</v>
      </c>
      <c r="G3776" t="s">
        <v>184</v>
      </c>
    </row>
    <row r="3777" spans="1:7" x14ac:dyDescent="0.25">
      <c r="A3777" s="10" t="s">
        <v>185</v>
      </c>
      <c r="B3777" s="10">
        <v>26888</v>
      </c>
      <c r="C3777" t="str">
        <f>Table13[[#This Row],[Manufacturer]]&amp;" "&amp;Table13[[#This Row],[Model]]</f>
        <v>Wiha 26888</v>
      </c>
      <c r="D3777" s="1">
        <v>10</v>
      </c>
      <c r="E3777" s="1" t="s">
        <v>169</v>
      </c>
      <c r="F3777" s="38">
        <v>0.6</v>
      </c>
      <c r="G3777" t="s">
        <v>184</v>
      </c>
    </row>
    <row r="3778" spans="1:7" x14ac:dyDescent="0.25">
      <c r="A3778" s="10" t="s">
        <v>185</v>
      </c>
      <c r="B3778" s="10">
        <v>26901</v>
      </c>
      <c r="C3778" t="str">
        <f>Table13[[#This Row],[Manufacturer]]&amp;" "&amp;Table13[[#This Row],[Model]]</f>
        <v>Wiha 26901</v>
      </c>
      <c r="D3778" s="1">
        <v>6</v>
      </c>
      <c r="E3778" s="1" t="s">
        <v>169</v>
      </c>
      <c r="F3778" s="38">
        <v>1.5</v>
      </c>
      <c r="G3778" t="s">
        <v>184</v>
      </c>
    </row>
    <row r="3779" spans="1:7" x14ac:dyDescent="0.25">
      <c r="A3779" s="10" t="s">
        <v>185</v>
      </c>
      <c r="B3779" s="10">
        <v>26925</v>
      </c>
      <c r="C3779" t="str">
        <f>Table13[[#This Row],[Manufacturer]]&amp;" "&amp;Table13[[#This Row],[Model]]</f>
        <v>Wiha 26925</v>
      </c>
      <c r="D3779" s="1">
        <v>6</v>
      </c>
      <c r="E3779" s="1" t="s">
        <v>169</v>
      </c>
      <c r="F3779" s="38">
        <v>0.4</v>
      </c>
      <c r="G3779" t="s">
        <v>184</v>
      </c>
    </row>
    <row r="3780" spans="1:7" x14ac:dyDescent="0.25">
      <c r="A3780" s="10" t="s">
        <v>185</v>
      </c>
      <c r="B3780" s="10">
        <v>28501</v>
      </c>
      <c r="C3780" t="str">
        <f>Table13[[#This Row],[Manufacturer]]&amp;" "&amp;Table13[[#This Row],[Model]]</f>
        <v>Wiha 28501</v>
      </c>
      <c r="D3780" s="1">
        <v>10</v>
      </c>
      <c r="E3780" s="1" t="s">
        <v>169</v>
      </c>
      <c r="F3780" s="38">
        <v>80</v>
      </c>
      <c r="G3780" t="s">
        <v>172</v>
      </c>
    </row>
    <row r="3781" spans="1:7" x14ac:dyDescent="0.25">
      <c r="A3781" s="10" t="s">
        <v>185</v>
      </c>
      <c r="B3781" s="10">
        <v>28502</v>
      </c>
      <c r="C3781" t="str">
        <f>Table13[[#This Row],[Manufacturer]]&amp;" "&amp;Table13[[#This Row],[Model]]</f>
        <v>Wiha 28502</v>
      </c>
      <c r="D3781" s="1">
        <v>6</v>
      </c>
      <c r="E3781" s="1" t="s">
        <v>169</v>
      </c>
      <c r="F3781" s="38">
        <v>10</v>
      </c>
      <c r="G3781" t="s">
        <v>164</v>
      </c>
    </row>
    <row r="3782" spans="1:7" x14ac:dyDescent="0.25">
      <c r="A3782" s="10" t="s">
        <v>185</v>
      </c>
      <c r="B3782" s="10">
        <v>28503</v>
      </c>
      <c r="C3782" t="str">
        <f>Table13[[#This Row],[Manufacturer]]&amp;" "&amp;Table13[[#This Row],[Model]]</f>
        <v>Wiha 28503</v>
      </c>
      <c r="D3782" s="1">
        <v>6</v>
      </c>
      <c r="E3782" s="1" t="s">
        <v>169</v>
      </c>
      <c r="F3782" s="38">
        <v>5</v>
      </c>
      <c r="G3782" t="s">
        <v>164</v>
      </c>
    </row>
    <row r="3783" spans="1:7" x14ac:dyDescent="0.25">
      <c r="A3783" s="10" t="s">
        <v>185</v>
      </c>
      <c r="B3783" s="10">
        <v>28504</v>
      </c>
      <c r="C3783" t="str">
        <f>Table13[[#This Row],[Manufacturer]]&amp;" "&amp;Table13[[#This Row],[Model]]</f>
        <v>Wiha 28504</v>
      </c>
      <c r="D3783" s="1">
        <v>6</v>
      </c>
      <c r="E3783" s="1" t="s">
        <v>169</v>
      </c>
      <c r="F3783" s="38">
        <v>20</v>
      </c>
      <c r="G3783" t="s">
        <v>164</v>
      </c>
    </row>
    <row r="3784" spans="1:7" x14ac:dyDescent="0.25">
      <c r="A3784" s="10" t="s">
        <v>185</v>
      </c>
      <c r="B3784" s="10">
        <v>28505</v>
      </c>
      <c r="C3784" t="str">
        <f>Table13[[#This Row],[Manufacturer]]&amp;" "&amp;Table13[[#This Row],[Model]]</f>
        <v>Wiha 28505</v>
      </c>
      <c r="D3784" s="1">
        <v>6</v>
      </c>
      <c r="E3784" s="1" t="s">
        <v>169</v>
      </c>
      <c r="F3784" s="38">
        <v>7.5</v>
      </c>
      <c r="G3784" t="s">
        <v>164</v>
      </c>
    </row>
    <row r="3785" spans="1:7" x14ac:dyDescent="0.25">
      <c r="A3785" s="10" t="s">
        <v>185</v>
      </c>
      <c r="B3785" s="10">
        <v>28506</v>
      </c>
      <c r="C3785" t="str">
        <f>Table13[[#This Row],[Manufacturer]]&amp;" "&amp;Table13[[#This Row],[Model]]</f>
        <v>Wiha 28506</v>
      </c>
      <c r="D3785" s="1">
        <v>6</v>
      </c>
      <c r="E3785" s="1" t="s">
        <v>169</v>
      </c>
      <c r="F3785" s="38">
        <v>50</v>
      </c>
      <c r="G3785" t="s">
        <v>164</v>
      </c>
    </row>
    <row r="3786" spans="1:7" x14ac:dyDescent="0.25">
      <c r="A3786" s="10" t="s">
        <v>185</v>
      </c>
      <c r="B3786" s="10">
        <v>28507</v>
      </c>
      <c r="C3786" t="str">
        <f>Table13[[#This Row],[Manufacturer]]&amp;" "&amp;Table13[[#This Row],[Model]]</f>
        <v>Wiha 28507</v>
      </c>
      <c r="D3786" s="1">
        <v>6</v>
      </c>
      <c r="E3786" s="1" t="s">
        <v>169</v>
      </c>
      <c r="F3786" s="38">
        <v>10</v>
      </c>
      <c r="G3786" t="s">
        <v>164</v>
      </c>
    </row>
    <row r="3787" spans="1:7" x14ac:dyDescent="0.25">
      <c r="A3787" s="10" t="s">
        <v>185</v>
      </c>
      <c r="B3787" s="10">
        <v>28508</v>
      </c>
      <c r="C3787" t="str">
        <f>Table13[[#This Row],[Manufacturer]]&amp;" "&amp;Table13[[#This Row],[Model]]</f>
        <v>Wiha 28508</v>
      </c>
      <c r="D3787" s="1">
        <v>6</v>
      </c>
      <c r="E3787" s="1" t="s">
        <v>169</v>
      </c>
      <c r="F3787" s="38">
        <v>70</v>
      </c>
      <c r="G3787" t="s">
        <v>164</v>
      </c>
    </row>
    <row r="3788" spans="1:7" x14ac:dyDescent="0.25">
      <c r="A3788" s="10" t="s">
        <v>185</v>
      </c>
      <c r="B3788" s="10">
        <v>28509</v>
      </c>
      <c r="C3788" t="str">
        <f>Table13[[#This Row],[Manufacturer]]&amp;" "&amp;Table13[[#This Row],[Model]]</f>
        <v>Wiha 28509</v>
      </c>
      <c r="D3788" s="1">
        <v>6</v>
      </c>
      <c r="E3788" s="1" t="s">
        <v>169</v>
      </c>
      <c r="F3788" s="38">
        <v>12.5</v>
      </c>
      <c r="G3788" t="s">
        <v>164</v>
      </c>
    </row>
    <row r="3789" spans="1:7" x14ac:dyDescent="0.25">
      <c r="A3789" s="10" t="s">
        <v>185</v>
      </c>
      <c r="B3789" s="10">
        <v>28511</v>
      </c>
      <c r="C3789" t="str">
        <f>Table13[[#This Row],[Manufacturer]]&amp;" "&amp;Table13[[#This Row],[Model]]</f>
        <v>Wiha 28511</v>
      </c>
      <c r="D3789" s="1">
        <v>6</v>
      </c>
      <c r="E3789" s="1" t="s">
        <v>169</v>
      </c>
      <c r="F3789" s="38">
        <v>15</v>
      </c>
      <c r="G3789" t="s">
        <v>164</v>
      </c>
    </row>
    <row r="3790" spans="1:7" x14ac:dyDescent="0.25">
      <c r="A3790" s="10" t="s">
        <v>185</v>
      </c>
      <c r="B3790" s="10">
        <v>28513</v>
      </c>
      <c r="C3790" t="str">
        <f>Table13[[#This Row],[Manufacturer]]&amp;" "&amp;Table13[[#This Row],[Model]]</f>
        <v>Wiha 28513</v>
      </c>
      <c r="D3790" s="1">
        <v>6</v>
      </c>
      <c r="E3790" s="1" t="s">
        <v>169</v>
      </c>
      <c r="F3790" s="38">
        <v>20</v>
      </c>
      <c r="G3790" t="s">
        <v>164</v>
      </c>
    </row>
    <row r="3791" spans="1:7" x14ac:dyDescent="0.25">
      <c r="A3791" s="10" t="s">
        <v>185</v>
      </c>
      <c r="B3791" s="10">
        <v>28515</v>
      </c>
      <c r="C3791" t="str">
        <f>Table13[[#This Row],[Manufacturer]]&amp;" "&amp;Table13[[#This Row],[Model]]</f>
        <v>Wiha 28515</v>
      </c>
      <c r="D3791" s="1">
        <v>6</v>
      </c>
      <c r="E3791" s="1" t="s">
        <v>169</v>
      </c>
      <c r="F3791" s="38">
        <v>25</v>
      </c>
      <c r="G3791" t="s">
        <v>164</v>
      </c>
    </row>
    <row r="3792" spans="1:7" x14ac:dyDescent="0.25">
      <c r="A3792" s="10" t="s">
        <v>185</v>
      </c>
      <c r="B3792" s="10">
        <v>28517</v>
      </c>
      <c r="C3792" t="str">
        <f>Table13[[#This Row],[Manufacturer]]&amp;" "&amp;Table13[[#This Row],[Model]]</f>
        <v>Wiha 28517</v>
      </c>
      <c r="D3792" s="1">
        <v>6</v>
      </c>
      <c r="E3792" s="1" t="s">
        <v>169</v>
      </c>
      <c r="F3792" s="38">
        <v>30</v>
      </c>
      <c r="G3792" t="s">
        <v>164</v>
      </c>
    </row>
    <row r="3793" spans="1:7" x14ac:dyDescent="0.25">
      <c r="A3793" s="10" t="s">
        <v>185</v>
      </c>
      <c r="B3793" s="10">
        <v>28518</v>
      </c>
      <c r="C3793" t="str">
        <f>Table13[[#This Row],[Manufacturer]]&amp;" "&amp;Table13[[#This Row],[Model]]</f>
        <v>Wiha 28518</v>
      </c>
      <c r="D3793" s="1">
        <v>6</v>
      </c>
      <c r="E3793" s="1" t="s">
        <v>169</v>
      </c>
      <c r="F3793" s="38">
        <v>35</v>
      </c>
      <c r="G3793" t="s">
        <v>164</v>
      </c>
    </row>
    <row r="3794" spans="1:7" x14ac:dyDescent="0.25">
      <c r="A3794" s="10" t="s">
        <v>185</v>
      </c>
      <c r="B3794" s="10">
        <v>28519</v>
      </c>
      <c r="C3794" t="str">
        <f>Table13[[#This Row],[Manufacturer]]&amp;" "&amp;Table13[[#This Row],[Model]]</f>
        <v>Wiha 28519</v>
      </c>
      <c r="D3794" s="1">
        <v>6</v>
      </c>
      <c r="E3794" s="1" t="s">
        <v>169</v>
      </c>
      <c r="F3794" s="38">
        <v>40</v>
      </c>
      <c r="G3794" t="s">
        <v>164</v>
      </c>
    </row>
    <row r="3795" spans="1:7" x14ac:dyDescent="0.25">
      <c r="A3795" s="10" t="s">
        <v>185</v>
      </c>
      <c r="B3795" s="10">
        <v>28521</v>
      </c>
      <c r="C3795" t="str">
        <f>Table13[[#This Row],[Manufacturer]]&amp;" "&amp;Table13[[#This Row],[Model]]</f>
        <v>Wiha 28521</v>
      </c>
      <c r="D3795" s="1">
        <v>6</v>
      </c>
      <c r="E3795" s="1" t="s">
        <v>169</v>
      </c>
      <c r="F3795" s="38">
        <v>50</v>
      </c>
      <c r="G3795" t="s">
        <v>164</v>
      </c>
    </row>
    <row r="3796" spans="1:7" x14ac:dyDescent="0.25">
      <c r="A3796" s="10" t="s">
        <v>185</v>
      </c>
      <c r="B3796" s="10">
        <v>28522</v>
      </c>
      <c r="C3796" t="str">
        <f>Table13[[#This Row],[Manufacturer]]&amp;" "&amp;Table13[[#This Row],[Model]]</f>
        <v>Wiha 28522</v>
      </c>
      <c r="D3796" s="1">
        <v>10</v>
      </c>
      <c r="E3796" s="1" t="s">
        <v>169</v>
      </c>
      <c r="F3796" s="38">
        <v>80</v>
      </c>
      <c r="G3796" t="s">
        <v>172</v>
      </c>
    </row>
    <row r="3797" spans="1:7" x14ac:dyDescent="0.25">
      <c r="A3797" s="10" t="s">
        <v>185</v>
      </c>
      <c r="B3797" s="10">
        <v>28523</v>
      </c>
      <c r="C3797" t="str">
        <f>Table13[[#This Row],[Manufacturer]]&amp;" "&amp;Table13[[#This Row],[Model]]</f>
        <v>Wiha 28523</v>
      </c>
      <c r="D3797" s="1">
        <v>6</v>
      </c>
      <c r="E3797" s="1" t="s">
        <v>169</v>
      </c>
      <c r="F3797" s="38">
        <v>60</v>
      </c>
      <c r="G3797" t="s">
        <v>164</v>
      </c>
    </row>
    <row r="3798" spans="1:7" x14ac:dyDescent="0.25">
      <c r="A3798" s="10" t="s">
        <v>185</v>
      </c>
      <c r="B3798" s="10">
        <v>28524</v>
      </c>
      <c r="C3798" t="str">
        <f>Table13[[#This Row],[Manufacturer]]&amp;" "&amp;Table13[[#This Row],[Model]]</f>
        <v>Wiha 28524</v>
      </c>
      <c r="D3798" s="1">
        <v>6</v>
      </c>
      <c r="E3798" s="1" t="s">
        <v>169</v>
      </c>
      <c r="F3798" s="38">
        <v>10</v>
      </c>
      <c r="G3798" t="s">
        <v>164</v>
      </c>
    </row>
    <row r="3799" spans="1:7" x14ac:dyDescent="0.25">
      <c r="A3799" s="10" t="s">
        <v>185</v>
      </c>
      <c r="B3799" s="10">
        <v>28525</v>
      </c>
      <c r="C3799" t="str">
        <f>Table13[[#This Row],[Manufacturer]]&amp;" "&amp;Table13[[#This Row],[Model]]</f>
        <v>Wiha 28525</v>
      </c>
      <c r="D3799" s="1">
        <v>6</v>
      </c>
      <c r="E3799" s="1" t="s">
        <v>169</v>
      </c>
      <c r="F3799" s="38">
        <v>70</v>
      </c>
      <c r="G3799" t="s">
        <v>164</v>
      </c>
    </row>
    <row r="3800" spans="1:7" x14ac:dyDescent="0.25">
      <c r="A3800" s="10" t="s">
        <v>185</v>
      </c>
      <c r="B3800" s="10">
        <v>28526</v>
      </c>
      <c r="C3800" t="str">
        <f>Table13[[#This Row],[Manufacturer]]&amp;" "&amp;Table13[[#This Row],[Model]]</f>
        <v>Wiha 28526</v>
      </c>
      <c r="D3800" s="1">
        <v>6</v>
      </c>
      <c r="E3800" s="1" t="s">
        <v>169</v>
      </c>
      <c r="F3800" s="38">
        <v>20</v>
      </c>
      <c r="G3800" t="s">
        <v>164</v>
      </c>
    </row>
    <row r="3801" spans="1:7" x14ac:dyDescent="0.25">
      <c r="A3801" s="10" t="s">
        <v>185</v>
      </c>
      <c r="B3801" s="10">
        <v>28550</v>
      </c>
      <c r="C3801" t="str">
        <f>Table13[[#This Row],[Manufacturer]]&amp;" "&amp;Table13[[#This Row],[Model]]</f>
        <v>Wiha 28550</v>
      </c>
      <c r="D3801" s="1">
        <v>10</v>
      </c>
      <c r="E3801" s="1" t="s">
        <v>169</v>
      </c>
      <c r="F3801" s="38">
        <v>0.6</v>
      </c>
      <c r="G3801" t="s">
        <v>184</v>
      </c>
    </row>
    <row r="3802" spans="1:7" x14ac:dyDescent="0.25">
      <c r="A3802" s="10" t="s">
        <v>185</v>
      </c>
      <c r="B3802" s="10">
        <v>28551</v>
      </c>
      <c r="C3802" t="str">
        <f>Table13[[#This Row],[Manufacturer]]&amp;" "&amp;Table13[[#This Row],[Model]]</f>
        <v>Wiha 28551</v>
      </c>
      <c r="D3802" s="1">
        <v>6</v>
      </c>
      <c r="E3802" s="1" t="s">
        <v>169</v>
      </c>
      <c r="F3802" s="38">
        <v>1</v>
      </c>
      <c r="G3802" t="s">
        <v>184</v>
      </c>
    </row>
    <row r="3803" spans="1:7" x14ac:dyDescent="0.25">
      <c r="A3803" s="10" t="s">
        <v>185</v>
      </c>
      <c r="B3803" s="10">
        <v>28552</v>
      </c>
      <c r="C3803" t="str">
        <f>Table13[[#This Row],[Manufacturer]]&amp;" "&amp;Table13[[#This Row],[Model]]</f>
        <v>Wiha 28552</v>
      </c>
      <c r="D3803" s="1">
        <v>6</v>
      </c>
      <c r="E3803" s="1" t="s">
        <v>169</v>
      </c>
      <c r="F3803" s="38">
        <v>2</v>
      </c>
      <c r="G3803" t="s">
        <v>184</v>
      </c>
    </row>
    <row r="3804" spans="1:7" x14ac:dyDescent="0.25">
      <c r="A3804" s="10" t="s">
        <v>185</v>
      </c>
      <c r="B3804" s="10">
        <v>28553</v>
      </c>
      <c r="C3804" t="str">
        <f>Table13[[#This Row],[Manufacturer]]&amp;" "&amp;Table13[[#This Row],[Model]]</f>
        <v>Wiha 28553</v>
      </c>
      <c r="D3804" s="1">
        <v>6</v>
      </c>
      <c r="E3804" s="1" t="s">
        <v>169</v>
      </c>
      <c r="F3804" s="38">
        <v>5</v>
      </c>
      <c r="G3804" t="s">
        <v>184</v>
      </c>
    </row>
    <row r="3805" spans="1:7" x14ac:dyDescent="0.25">
      <c r="A3805" s="10" t="s">
        <v>185</v>
      </c>
      <c r="B3805" s="10">
        <v>28655</v>
      </c>
      <c r="C3805" t="str">
        <f>Table13[[#This Row],[Manufacturer]]&amp;" "&amp;Table13[[#This Row],[Model]]</f>
        <v>Wiha 28655</v>
      </c>
      <c r="D3805" s="1">
        <v>6</v>
      </c>
      <c r="E3805" s="1" t="s">
        <v>169</v>
      </c>
      <c r="F3805" s="38">
        <v>7</v>
      </c>
      <c r="G3805" t="s">
        <v>184</v>
      </c>
    </row>
    <row r="3806" spans="1:7" x14ac:dyDescent="0.25">
      <c r="A3806" s="10" t="s">
        <v>185</v>
      </c>
      <c r="B3806" s="10">
        <v>28724</v>
      </c>
      <c r="C3806" t="str">
        <f>Table13[[#This Row],[Manufacturer]]&amp;" "&amp;Table13[[#This Row],[Model]]</f>
        <v>Wiha 28724</v>
      </c>
      <c r="D3806" s="1">
        <v>6</v>
      </c>
      <c r="E3806" s="1" t="s">
        <v>169</v>
      </c>
      <c r="F3806" s="38">
        <v>20</v>
      </c>
      <c r="G3806" t="s">
        <v>164</v>
      </c>
    </row>
    <row r="3807" spans="1:7" x14ac:dyDescent="0.25">
      <c r="A3807" s="10" t="s">
        <v>185</v>
      </c>
      <c r="B3807" s="10">
        <v>28726</v>
      </c>
      <c r="C3807" t="str">
        <f>Table13[[#This Row],[Manufacturer]]&amp;" "&amp;Table13[[#This Row],[Model]]</f>
        <v>Wiha 28726</v>
      </c>
      <c r="D3807" s="1">
        <v>6</v>
      </c>
      <c r="E3807" s="1" t="s">
        <v>169</v>
      </c>
      <c r="F3807" s="38">
        <v>50</v>
      </c>
      <c r="G3807" t="s">
        <v>164</v>
      </c>
    </row>
    <row r="3808" spans="1:7" x14ac:dyDescent="0.25">
      <c r="A3808" s="10" t="s">
        <v>185</v>
      </c>
      <c r="B3808" s="10">
        <v>28727</v>
      </c>
      <c r="C3808" t="str">
        <f>Table13[[#This Row],[Manufacturer]]&amp;" "&amp;Table13[[#This Row],[Model]]</f>
        <v>Wiha 28727</v>
      </c>
      <c r="D3808" s="1">
        <v>6</v>
      </c>
      <c r="E3808" s="1" t="s">
        <v>169</v>
      </c>
      <c r="F3808" s="38">
        <v>70</v>
      </c>
      <c r="G3808" t="s">
        <v>164</v>
      </c>
    </row>
    <row r="3809" spans="1:7" x14ac:dyDescent="0.25">
      <c r="A3809" s="10" t="s">
        <v>185</v>
      </c>
      <c r="B3809" s="10" t="s">
        <v>186</v>
      </c>
      <c r="C3809" t="str">
        <f>Table13[[#This Row],[Manufacturer]]&amp;" "&amp;Table13[[#This Row],[Model]]</f>
        <v>Wiha 2882-20</v>
      </c>
      <c r="D3809" s="1">
        <v>6</v>
      </c>
      <c r="E3809" s="1" t="s">
        <v>169</v>
      </c>
      <c r="F3809" s="38">
        <v>20</v>
      </c>
      <c r="G3809" t="s">
        <v>164</v>
      </c>
    </row>
    <row r="3810" spans="1:7" x14ac:dyDescent="0.25">
      <c r="A3810" s="10" t="s">
        <v>185</v>
      </c>
      <c r="B3810" s="10">
        <v>29228</v>
      </c>
      <c r="C3810" t="str">
        <f>Table13[[#This Row],[Manufacturer]]&amp;" "&amp;Table13[[#This Row],[Model]]</f>
        <v>Wiha 29228</v>
      </c>
      <c r="D3810" s="1">
        <v>6</v>
      </c>
      <c r="E3810" s="1" t="s">
        <v>169</v>
      </c>
      <c r="F3810" s="38">
        <v>6</v>
      </c>
      <c r="G3810" t="s">
        <v>184</v>
      </c>
    </row>
    <row r="3811" spans="1:7" x14ac:dyDescent="0.25">
      <c r="A3811" s="10" t="s">
        <v>185</v>
      </c>
      <c r="B3811" s="10">
        <v>29229</v>
      </c>
      <c r="C3811" t="str">
        <f>Table13[[#This Row],[Manufacturer]]&amp;" "&amp;Table13[[#This Row],[Model]]</f>
        <v>Wiha 29229</v>
      </c>
      <c r="D3811" s="1">
        <v>6</v>
      </c>
      <c r="E3811" s="1" t="s">
        <v>169</v>
      </c>
      <c r="F3811" s="38">
        <v>8</v>
      </c>
      <c r="G3811" t="s">
        <v>184</v>
      </c>
    </row>
    <row r="3812" spans="1:7" x14ac:dyDescent="0.25">
      <c r="A3812" s="10" t="s">
        <v>185</v>
      </c>
      <c r="B3812" s="10">
        <v>29230</v>
      </c>
      <c r="C3812" t="str">
        <f>Table13[[#This Row],[Manufacturer]]&amp;" "&amp;Table13[[#This Row],[Model]]</f>
        <v>Wiha 29230</v>
      </c>
      <c r="D3812" s="1">
        <v>6</v>
      </c>
      <c r="E3812" s="1" t="s">
        <v>169</v>
      </c>
      <c r="F3812" s="38">
        <v>10</v>
      </c>
      <c r="G3812" t="s">
        <v>184</v>
      </c>
    </row>
    <row r="3813" spans="1:7" x14ac:dyDescent="0.25">
      <c r="A3813" s="10" t="s">
        <v>185</v>
      </c>
      <c r="B3813" s="10">
        <v>29231</v>
      </c>
      <c r="C3813" t="str">
        <f>Table13[[#This Row],[Manufacturer]]&amp;" "&amp;Table13[[#This Row],[Model]]</f>
        <v>Wiha 29231</v>
      </c>
      <c r="D3813" s="1">
        <v>6</v>
      </c>
      <c r="E3813" s="1" t="s">
        <v>169</v>
      </c>
      <c r="F3813" s="38">
        <v>12</v>
      </c>
      <c r="G3813" t="s">
        <v>184</v>
      </c>
    </row>
    <row r="3814" spans="1:7" x14ac:dyDescent="0.25">
      <c r="A3814" s="10" t="s">
        <v>185</v>
      </c>
      <c r="B3814" s="10">
        <v>29232</v>
      </c>
      <c r="C3814" t="str">
        <f>Table13[[#This Row],[Manufacturer]]&amp;" "&amp;Table13[[#This Row],[Model]]</f>
        <v>Wiha 29232</v>
      </c>
      <c r="D3814" s="1">
        <v>6</v>
      </c>
      <c r="E3814" s="1" t="s">
        <v>169</v>
      </c>
      <c r="F3814" s="38">
        <v>14</v>
      </c>
      <c r="G3814" t="s">
        <v>184</v>
      </c>
    </row>
    <row r="3815" spans="1:7" x14ac:dyDescent="0.25">
      <c r="A3815" s="10" t="s">
        <v>185</v>
      </c>
      <c r="B3815" s="10">
        <v>29233</v>
      </c>
      <c r="C3815" t="str">
        <f>Table13[[#This Row],[Manufacturer]]&amp;" "&amp;Table13[[#This Row],[Model]]</f>
        <v>Wiha 29233</v>
      </c>
      <c r="D3815" s="1">
        <v>6</v>
      </c>
      <c r="E3815" s="1" t="s">
        <v>169</v>
      </c>
      <c r="F3815" s="38">
        <v>14</v>
      </c>
      <c r="G3815" t="s">
        <v>184</v>
      </c>
    </row>
    <row r="3816" spans="1:7" x14ac:dyDescent="0.25">
      <c r="A3816" s="10" t="s">
        <v>185</v>
      </c>
      <c r="B3816" s="10">
        <v>29236</v>
      </c>
      <c r="C3816" t="str">
        <f>Table13[[#This Row],[Manufacturer]]&amp;" "&amp;Table13[[#This Row],[Model]]</f>
        <v>Wiha 29236</v>
      </c>
      <c r="D3816" s="1">
        <v>6</v>
      </c>
      <c r="E3816" s="1" t="s">
        <v>169</v>
      </c>
      <c r="F3816" s="38">
        <v>12.5</v>
      </c>
      <c r="G3816" t="s">
        <v>184</v>
      </c>
    </row>
    <row r="3817" spans="1:7" x14ac:dyDescent="0.25">
      <c r="A3817" s="10" t="s">
        <v>185</v>
      </c>
      <c r="B3817" s="10">
        <v>30495</v>
      </c>
      <c r="C3817" t="str">
        <f>Table13[[#This Row],[Manufacturer]]&amp;" "&amp;Table13[[#This Row],[Model]]</f>
        <v>Wiha 30495</v>
      </c>
      <c r="D3817" s="1">
        <v>6</v>
      </c>
      <c r="E3817" s="1" t="s">
        <v>169</v>
      </c>
      <c r="F3817" s="38">
        <v>5</v>
      </c>
      <c r="G3817" t="s">
        <v>184</v>
      </c>
    </row>
    <row r="3818" spans="1:7" x14ac:dyDescent="0.25">
      <c r="A3818" s="10" t="s">
        <v>185</v>
      </c>
      <c r="B3818" s="10">
        <v>34533</v>
      </c>
      <c r="C3818" t="str">
        <f>Table13[[#This Row],[Manufacturer]]&amp;" "&amp;Table13[[#This Row],[Model]]</f>
        <v>Wiha 34533</v>
      </c>
      <c r="D3818" s="1">
        <v>6</v>
      </c>
      <c r="E3818" s="1" t="s">
        <v>169</v>
      </c>
      <c r="F3818" s="38">
        <v>6</v>
      </c>
      <c r="G3818" t="s">
        <v>184</v>
      </c>
    </row>
    <row r="3819" spans="1:7" x14ac:dyDescent="0.25">
      <c r="A3819" s="10" t="s">
        <v>185</v>
      </c>
      <c r="B3819" s="10">
        <v>36229</v>
      </c>
      <c r="C3819" t="str">
        <f>Table13[[#This Row],[Manufacturer]]&amp;" "&amp;Table13[[#This Row],[Model]]</f>
        <v>Wiha 36229</v>
      </c>
      <c r="D3819" s="1">
        <v>10</v>
      </c>
      <c r="E3819" s="1" t="s">
        <v>169</v>
      </c>
      <c r="F3819" s="38">
        <v>0.5</v>
      </c>
      <c r="G3819" t="s">
        <v>184</v>
      </c>
    </row>
    <row r="3820" spans="1:7" x14ac:dyDescent="0.25">
      <c r="A3820" s="10" t="s">
        <v>185</v>
      </c>
      <c r="B3820" s="10">
        <v>36230</v>
      </c>
      <c r="C3820" t="str">
        <f>Table13[[#This Row],[Manufacturer]]&amp;" "&amp;Table13[[#This Row],[Model]]</f>
        <v>Wiha 36230</v>
      </c>
      <c r="D3820" s="1">
        <v>10</v>
      </c>
      <c r="E3820" s="1" t="s">
        <v>169</v>
      </c>
      <c r="F3820" s="38">
        <v>0.6</v>
      </c>
      <c r="G3820" t="s">
        <v>184</v>
      </c>
    </row>
    <row r="3821" spans="1:7" x14ac:dyDescent="0.25">
      <c r="A3821" s="10" t="s">
        <v>185</v>
      </c>
      <c r="B3821" s="10">
        <v>36231</v>
      </c>
      <c r="C3821" t="str">
        <f>Table13[[#This Row],[Manufacturer]]&amp;" "&amp;Table13[[#This Row],[Model]]</f>
        <v>Wiha 36231</v>
      </c>
      <c r="D3821" s="1">
        <v>10</v>
      </c>
      <c r="E3821" s="1" t="s">
        <v>169</v>
      </c>
      <c r="F3821" s="38">
        <v>1.1000000000000001</v>
      </c>
      <c r="G3821" t="s">
        <v>184</v>
      </c>
    </row>
    <row r="3822" spans="1:7" x14ac:dyDescent="0.25">
      <c r="A3822" s="10" t="s">
        <v>185</v>
      </c>
      <c r="B3822" s="10">
        <v>36233</v>
      </c>
      <c r="C3822" t="str">
        <f>Table13[[#This Row],[Manufacturer]]&amp;" "&amp;Table13[[#This Row],[Model]]</f>
        <v>Wiha 36233</v>
      </c>
      <c r="D3822" s="1">
        <v>10</v>
      </c>
      <c r="E3822" s="1" t="s">
        <v>169</v>
      </c>
      <c r="F3822" s="38">
        <v>1.2</v>
      </c>
      <c r="G3822" t="s">
        <v>184</v>
      </c>
    </row>
    <row r="3823" spans="1:7" x14ac:dyDescent="0.25">
      <c r="A3823" s="10" t="s">
        <v>185</v>
      </c>
      <c r="B3823" s="10">
        <v>36234</v>
      </c>
      <c r="C3823" t="str">
        <f>Table13[[#This Row],[Manufacturer]]&amp;" "&amp;Table13[[#This Row],[Model]]</f>
        <v>Wiha 36234</v>
      </c>
      <c r="D3823" s="1">
        <v>10</v>
      </c>
      <c r="E3823" s="1" t="s">
        <v>169</v>
      </c>
      <c r="F3823" s="38">
        <v>1.4</v>
      </c>
      <c r="G3823" t="s">
        <v>184</v>
      </c>
    </row>
    <row r="3824" spans="1:7" x14ac:dyDescent="0.25">
      <c r="A3824" s="10" t="s">
        <v>185</v>
      </c>
      <c r="B3824" s="10">
        <v>36235</v>
      </c>
      <c r="C3824" t="str">
        <f>Table13[[#This Row],[Manufacturer]]&amp;" "&amp;Table13[[#This Row],[Model]]</f>
        <v>Wiha 36235</v>
      </c>
      <c r="D3824" s="1">
        <v>10</v>
      </c>
      <c r="E3824" s="1" t="s">
        <v>169</v>
      </c>
      <c r="F3824" s="38">
        <v>2</v>
      </c>
      <c r="G3824" t="s">
        <v>184</v>
      </c>
    </row>
    <row r="3825" spans="1:7" x14ac:dyDescent="0.25">
      <c r="A3825" s="10" t="s">
        <v>185</v>
      </c>
      <c r="B3825" s="10">
        <v>36236</v>
      </c>
      <c r="C3825" t="str">
        <f>Table13[[#This Row],[Manufacturer]]&amp;" "&amp;Table13[[#This Row],[Model]]</f>
        <v>Wiha 36236</v>
      </c>
      <c r="D3825" s="1">
        <v>10</v>
      </c>
      <c r="E3825" s="1" t="s">
        <v>169</v>
      </c>
      <c r="F3825" s="38">
        <v>2.5</v>
      </c>
      <c r="G3825" t="s">
        <v>184</v>
      </c>
    </row>
    <row r="3826" spans="1:7" x14ac:dyDescent="0.25">
      <c r="A3826" s="10" t="s">
        <v>185</v>
      </c>
      <c r="B3826" s="10">
        <v>36237</v>
      </c>
      <c r="C3826" t="str">
        <f>Table13[[#This Row],[Manufacturer]]&amp;" "&amp;Table13[[#This Row],[Model]]</f>
        <v>Wiha 36237</v>
      </c>
      <c r="D3826" s="1">
        <v>10</v>
      </c>
      <c r="E3826" s="1" t="s">
        <v>169</v>
      </c>
      <c r="F3826" s="38">
        <v>3</v>
      </c>
      <c r="G3826" t="s">
        <v>184</v>
      </c>
    </row>
    <row r="3827" spans="1:7" x14ac:dyDescent="0.25">
      <c r="A3827" s="10" t="s">
        <v>185</v>
      </c>
      <c r="B3827" s="10">
        <v>36238</v>
      </c>
      <c r="C3827" t="str">
        <f>Table13[[#This Row],[Manufacturer]]&amp;" "&amp;Table13[[#This Row],[Model]]</f>
        <v>Wiha 36238</v>
      </c>
      <c r="D3827" s="1">
        <v>10</v>
      </c>
      <c r="E3827" s="1" t="s">
        <v>169</v>
      </c>
      <c r="F3827" s="38">
        <v>3.8</v>
      </c>
      <c r="G3827" t="s">
        <v>184</v>
      </c>
    </row>
    <row r="3828" spans="1:7" x14ac:dyDescent="0.25">
      <c r="A3828" s="10" t="s">
        <v>185</v>
      </c>
      <c r="B3828" s="10">
        <v>36239</v>
      </c>
      <c r="C3828" t="str">
        <f>Table13[[#This Row],[Manufacturer]]&amp;" "&amp;Table13[[#This Row],[Model]]</f>
        <v>Wiha 36239</v>
      </c>
      <c r="D3828" s="1">
        <v>10</v>
      </c>
      <c r="E3828" s="1" t="s">
        <v>169</v>
      </c>
      <c r="F3828" s="38">
        <v>5</v>
      </c>
      <c r="G3828" t="s">
        <v>184</v>
      </c>
    </row>
    <row r="3829" spans="1:7" x14ac:dyDescent="0.25">
      <c r="A3829" s="10" t="s">
        <v>185</v>
      </c>
      <c r="B3829" s="10">
        <v>36240</v>
      </c>
      <c r="C3829" t="str">
        <f>Table13[[#This Row],[Manufacturer]]&amp;" "&amp;Table13[[#This Row],[Model]]</f>
        <v>Wiha 36240</v>
      </c>
      <c r="D3829" s="1">
        <v>10</v>
      </c>
      <c r="E3829" s="1" t="s">
        <v>169</v>
      </c>
      <c r="F3829" s="38">
        <v>0.9</v>
      </c>
      <c r="G3829" t="s">
        <v>184</v>
      </c>
    </row>
    <row r="3830" spans="1:7" x14ac:dyDescent="0.25">
      <c r="A3830" s="10" t="s">
        <v>185</v>
      </c>
      <c r="B3830" s="10">
        <v>36320</v>
      </c>
      <c r="C3830" t="str">
        <f>Table13[[#This Row],[Manufacturer]]&amp;" "&amp;Table13[[#This Row],[Model]]</f>
        <v>Wiha 36320</v>
      </c>
      <c r="D3830" s="1">
        <v>10</v>
      </c>
      <c r="E3830" s="1" t="s">
        <v>169</v>
      </c>
      <c r="F3830" s="38">
        <v>4</v>
      </c>
      <c r="G3830" t="s">
        <v>184</v>
      </c>
    </row>
    <row r="3831" spans="1:7" x14ac:dyDescent="0.25">
      <c r="A3831" s="10" t="s">
        <v>185</v>
      </c>
      <c r="B3831" s="10">
        <v>36321</v>
      </c>
      <c r="C3831" t="str">
        <f>Table13[[#This Row],[Manufacturer]]&amp;" "&amp;Table13[[#This Row],[Model]]</f>
        <v>Wiha 36321</v>
      </c>
      <c r="D3831" s="1">
        <v>10</v>
      </c>
      <c r="E3831" s="1" t="s">
        <v>169</v>
      </c>
      <c r="F3831" s="38">
        <v>4.5</v>
      </c>
      <c r="G3831" t="s">
        <v>184</v>
      </c>
    </row>
    <row r="3832" spans="1:7" x14ac:dyDescent="0.25">
      <c r="A3832" s="10" t="s">
        <v>185</v>
      </c>
      <c r="B3832" s="10">
        <v>36819</v>
      </c>
      <c r="C3832" t="str">
        <f>Table13[[#This Row],[Manufacturer]]&amp;" "&amp;Table13[[#This Row],[Model]]</f>
        <v>Wiha 36819</v>
      </c>
      <c r="D3832" s="1">
        <v>6</v>
      </c>
      <c r="E3832" s="1" t="s">
        <v>169</v>
      </c>
      <c r="F3832" s="38">
        <v>8</v>
      </c>
      <c r="G3832" t="s">
        <v>184</v>
      </c>
    </row>
    <row r="3833" spans="1:7" x14ac:dyDescent="0.25">
      <c r="A3833" s="10" t="s">
        <v>185</v>
      </c>
      <c r="B3833" s="10">
        <v>36849</v>
      </c>
      <c r="C3833" t="str">
        <f>Table13[[#This Row],[Manufacturer]]&amp;" "&amp;Table13[[#This Row],[Model]]</f>
        <v>Wiha 36849</v>
      </c>
      <c r="D3833" s="1">
        <v>10</v>
      </c>
      <c r="E3833" s="1" t="s">
        <v>169</v>
      </c>
      <c r="F3833" s="38">
        <v>0.46</v>
      </c>
      <c r="G3833" t="s">
        <v>184</v>
      </c>
    </row>
    <row r="3834" spans="1:7" x14ac:dyDescent="0.25">
      <c r="A3834" s="10" t="s">
        <v>185</v>
      </c>
      <c r="B3834" s="10">
        <v>36850</v>
      </c>
      <c r="C3834" t="str">
        <f>Table13[[#This Row],[Manufacturer]]&amp;" "&amp;Table13[[#This Row],[Model]]</f>
        <v>Wiha 36850</v>
      </c>
      <c r="D3834" s="1">
        <v>6</v>
      </c>
      <c r="E3834" s="1" t="s">
        <v>169</v>
      </c>
      <c r="F3834" s="38">
        <v>0.6</v>
      </c>
      <c r="G3834" t="s">
        <v>184</v>
      </c>
    </row>
    <row r="3835" spans="1:7" x14ac:dyDescent="0.25">
      <c r="A3835" s="10" t="s">
        <v>185</v>
      </c>
      <c r="B3835" s="10">
        <v>36851</v>
      </c>
      <c r="C3835" t="str">
        <f>Table13[[#This Row],[Manufacturer]]&amp;" "&amp;Table13[[#This Row],[Model]]</f>
        <v>Wiha 36851</v>
      </c>
      <c r="D3835" s="1">
        <v>10</v>
      </c>
      <c r="E3835" s="1" t="s">
        <v>169</v>
      </c>
      <c r="F3835" s="38">
        <v>0.46</v>
      </c>
      <c r="G3835" t="s">
        <v>184</v>
      </c>
    </row>
    <row r="3836" spans="1:7" x14ac:dyDescent="0.25">
      <c r="A3836" s="10" t="s">
        <v>185</v>
      </c>
      <c r="B3836" s="10">
        <v>36852</v>
      </c>
      <c r="C3836" t="str">
        <f>Table13[[#This Row],[Manufacturer]]&amp;" "&amp;Table13[[#This Row],[Model]]</f>
        <v>Wiha 36852</v>
      </c>
      <c r="D3836" s="1">
        <v>6</v>
      </c>
      <c r="E3836" s="1" t="s">
        <v>169</v>
      </c>
      <c r="F3836" s="38">
        <v>0.6</v>
      </c>
      <c r="G3836" t="s">
        <v>184</v>
      </c>
    </row>
    <row r="3837" spans="1:7" x14ac:dyDescent="0.25">
      <c r="A3837" s="10" t="s">
        <v>185</v>
      </c>
      <c r="B3837" s="10">
        <v>36886</v>
      </c>
      <c r="C3837" t="str">
        <f>Table13[[#This Row],[Manufacturer]]&amp;" "&amp;Table13[[#This Row],[Model]]</f>
        <v>Wiha 36886</v>
      </c>
      <c r="D3837" s="1">
        <v>6</v>
      </c>
      <c r="E3837" s="1" t="s">
        <v>169</v>
      </c>
      <c r="F3837" s="38">
        <v>1.5</v>
      </c>
      <c r="G3837" t="s">
        <v>184</v>
      </c>
    </row>
    <row r="3838" spans="1:7" x14ac:dyDescent="0.25">
      <c r="A3838" s="10" t="s">
        <v>185</v>
      </c>
      <c r="B3838" s="10">
        <v>36887</v>
      </c>
      <c r="C3838" t="str">
        <f>Table13[[#This Row],[Manufacturer]]&amp;" "&amp;Table13[[#This Row],[Model]]</f>
        <v>Wiha 36887</v>
      </c>
      <c r="D3838" s="1">
        <v>6</v>
      </c>
      <c r="E3838" s="1" t="s">
        <v>169</v>
      </c>
      <c r="F3838" s="38">
        <v>3</v>
      </c>
      <c r="G3838" t="s">
        <v>184</v>
      </c>
    </row>
    <row r="3839" spans="1:7" x14ac:dyDescent="0.25">
      <c r="A3839" s="10" t="s">
        <v>185</v>
      </c>
      <c r="B3839" s="10">
        <v>36888</v>
      </c>
      <c r="C3839" t="str">
        <f>Table13[[#This Row],[Manufacturer]]&amp;" "&amp;Table13[[#This Row],[Model]]</f>
        <v>Wiha 36888</v>
      </c>
      <c r="D3839" s="1">
        <v>6</v>
      </c>
      <c r="E3839" s="1" t="s">
        <v>169</v>
      </c>
      <c r="F3839" s="38">
        <v>6</v>
      </c>
      <c r="G3839" t="s">
        <v>184</v>
      </c>
    </row>
    <row r="3840" spans="1:7" x14ac:dyDescent="0.25">
      <c r="A3840" s="10" t="s">
        <v>185</v>
      </c>
      <c r="B3840" s="10">
        <v>38556</v>
      </c>
      <c r="C3840" t="str">
        <f>Table13[[#This Row],[Manufacturer]]&amp;" "&amp;Table13[[#This Row],[Model]]</f>
        <v>Wiha 38556</v>
      </c>
      <c r="D3840" s="1">
        <v>6</v>
      </c>
      <c r="E3840" s="1" t="s">
        <v>169</v>
      </c>
      <c r="F3840" s="38">
        <v>1.1000000000000001</v>
      </c>
      <c r="G3840" t="s">
        <v>184</v>
      </c>
    </row>
    <row r="3841" spans="1:7" x14ac:dyDescent="0.25">
      <c r="A3841" s="10" t="s">
        <v>185</v>
      </c>
      <c r="B3841" s="10">
        <v>38557</v>
      </c>
      <c r="C3841" t="str">
        <f>Table13[[#This Row],[Manufacturer]]&amp;" "&amp;Table13[[#This Row],[Model]]</f>
        <v>Wiha 38557</v>
      </c>
      <c r="D3841" s="1">
        <v>6</v>
      </c>
      <c r="E3841" s="1" t="s">
        <v>169</v>
      </c>
      <c r="F3841" s="38">
        <v>2</v>
      </c>
      <c r="G3841" t="s">
        <v>184</v>
      </c>
    </row>
    <row r="3842" spans="1:7" x14ac:dyDescent="0.25">
      <c r="A3842" s="10" t="s">
        <v>185</v>
      </c>
      <c r="B3842" s="10">
        <v>38558</v>
      </c>
      <c r="C3842" t="str">
        <f>Table13[[#This Row],[Manufacturer]]&amp;" "&amp;Table13[[#This Row],[Model]]</f>
        <v>Wiha 38558</v>
      </c>
      <c r="D3842" s="1">
        <v>6</v>
      </c>
      <c r="E3842" s="1" t="s">
        <v>169</v>
      </c>
      <c r="F3842" s="38">
        <v>3.8</v>
      </c>
      <c r="G3842" t="s">
        <v>184</v>
      </c>
    </row>
    <row r="3843" spans="1:7" x14ac:dyDescent="0.25">
      <c r="A3843" s="10" t="s">
        <v>185</v>
      </c>
      <c r="B3843" s="10">
        <v>38616</v>
      </c>
      <c r="C3843" t="str">
        <f>Table13[[#This Row],[Manufacturer]]&amp;" "&amp;Table13[[#This Row],[Model]]</f>
        <v>Wiha 38616</v>
      </c>
      <c r="D3843" s="1">
        <v>6</v>
      </c>
      <c r="E3843" s="1" t="s">
        <v>169</v>
      </c>
      <c r="F3843" s="38">
        <v>0.5</v>
      </c>
      <c r="G3843" t="s">
        <v>184</v>
      </c>
    </row>
    <row r="3844" spans="1:7" x14ac:dyDescent="0.25">
      <c r="A3844" s="10" t="s">
        <v>185</v>
      </c>
      <c r="B3844" s="10">
        <v>38617</v>
      </c>
      <c r="C3844" t="str">
        <f>Table13[[#This Row],[Manufacturer]]&amp;" "&amp;Table13[[#This Row],[Model]]</f>
        <v>Wiha 38617</v>
      </c>
      <c r="D3844" s="1">
        <v>6</v>
      </c>
      <c r="E3844" s="1" t="s">
        <v>169</v>
      </c>
      <c r="F3844" s="38">
        <v>0.6</v>
      </c>
      <c r="G3844" t="s">
        <v>184</v>
      </c>
    </row>
    <row r="3845" spans="1:7" x14ac:dyDescent="0.25">
      <c r="A3845" s="10" t="s">
        <v>185</v>
      </c>
      <c r="B3845" s="10">
        <v>38618</v>
      </c>
      <c r="C3845" t="str">
        <f>Table13[[#This Row],[Manufacturer]]&amp;" "&amp;Table13[[#This Row],[Model]]</f>
        <v>Wiha 38618</v>
      </c>
      <c r="D3845" s="1">
        <v>6</v>
      </c>
      <c r="E3845" s="1" t="s">
        <v>169</v>
      </c>
      <c r="F3845" s="38">
        <v>0.9</v>
      </c>
      <c r="G3845" t="s">
        <v>184</v>
      </c>
    </row>
    <row r="3846" spans="1:7" x14ac:dyDescent="0.25">
      <c r="A3846" s="10" t="s">
        <v>185</v>
      </c>
      <c r="B3846" s="10">
        <v>38619</v>
      </c>
      <c r="C3846" t="str">
        <f>Table13[[#This Row],[Manufacturer]]&amp;" "&amp;Table13[[#This Row],[Model]]</f>
        <v>Wiha 38619</v>
      </c>
      <c r="D3846" s="1">
        <v>6</v>
      </c>
      <c r="E3846" s="1" t="s">
        <v>169</v>
      </c>
      <c r="F3846" s="38">
        <v>1.4</v>
      </c>
      <c r="G3846" t="s">
        <v>184</v>
      </c>
    </row>
    <row r="3847" spans="1:7" x14ac:dyDescent="0.25">
      <c r="A3847" s="10" t="s">
        <v>185</v>
      </c>
      <c r="B3847" s="10">
        <v>38620</v>
      </c>
      <c r="C3847" t="str">
        <f>Table13[[#This Row],[Manufacturer]]&amp;" "&amp;Table13[[#This Row],[Model]]</f>
        <v>Wiha 38620</v>
      </c>
      <c r="D3847" s="1">
        <v>6</v>
      </c>
      <c r="E3847" s="1" t="s">
        <v>169</v>
      </c>
      <c r="F3847" s="38">
        <v>2.5</v>
      </c>
      <c r="G3847" t="s">
        <v>184</v>
      </c>
    </row>
    <row r="3848" spans="1:7" x14ac:dyDescent="0.25">
      <c r="A3848" s="10" t="s">
        <v>185</v>
      </c>
      <c r="B3848" s="10">
        <v>38621</v>
      </c>
      <c r="C3848" t="str">
        <f>Table13[[#This Row],[Manufacturer]]&amp;" "&amp;Table13[[#This Row],[Model]]</f>
        <v>Wiha 38621</v>
      </c>
      <c r="D3848" s="1">
        <v>6</v>
      </c>
      <c r="E3848" s="1" t="s">
        <v>169</v>
      </c>
      <c r="F3848" s="38">
        <v>3</v>
      </c>
      <c r="G3848" t="s">
        <v>184</v>
      </c>
    </row>
    <row r="3849" spans="1:7" x14ac:dyDescent="0.25">
      <c r="A3849" s="10" t="s">
        <v>185</v>
      </c>
      <c r="B3849" s="10">
        <v>38622</v>
      </c>
      <c r="C3849" t="str">
        <f>Table13[[#This Row],[Manufacturer]]&amp;" "&amp;Table13[[#This Row],[Model]]</f>
        <v>Wiha 38622</v>
      </c>
      <c r="D3849" s="1">
        <v>6</v>
      </c>
      <c r="E3849" s="1" t="s">
        <v>169</v>
      </c>
      <c r="F3849" s="38">
        <v>4</v>
      </c>
      <c r="G3849" t="s">
        <v>184</v>
      </c>
    </row>
    <row r="3850" spans="1:7" x14ac:dyDescent="0.25">
      <c r="A3850" s="10" t="s">
        <v>185</v>
      </c>
      <c r="B3850" s="10">
        <v>38800</v>
      </c>
      <c r="C3850" t="str">
        <f>Table13[[#This Row],[Manufacturer]]&amp;" "&amp;Table13[[#This Row],[Model]]</f>
        <v>Wiha 38800</v>
      </c>
      <c r="D3850" s="1">
        <v>6</v>
      </c>
      <c r="E3850" s="1" t="s">
        <v>169</v>
      </c>
      <c r="F3850" s="38">
        <v>1.2</v>
      </c>
      <c r="G3850" t="s">
        <v>184</v>
      </c>
    </row>
    <row r="3851" spans="1:7" x14ac:dyDescent="0.25">
      <c r="A3851" s="10" t="s">
        <v>185</v>
      </c>
      <c r="B3851" s="10">
        <v>38890</v>
      </c>
      <c r="C3851" t="str">
        <f>Table13[[#This Row],[Manufacturer]]&amp;" "&amp;Table13[[#This Row],[Model]]</f>
        <v>Wiha 38890</v>
      </c>
      <c r="D3851" s="1">
        <v>10</v>
      </c>
      <c r="E3851" s="1" t="s">
        <v>169</v>
      </c>
      <c r="F3851" s="38">
        <v>6</v>
      </c>
      <c r="G3851" t="s">
        <v>184</v>
      </c>
    </row>
    <row r="3852" spans="1:7" x14ac:dyDescent="0.25">
      <c r="A3852" s="10" t="s">
        <v>185</v>
      </c>
      <c r="B3852" s="10">
        <v>38891</v>
      </c>
      <c r="C3852" t="str">
        <f>Table13[[#This Row],[Manufacturer]]&amp;" "&amp;Table13[[#This Row],[Model]]</f>
        <v>Wiha 38891</v>
      </c>
      <c r="D3852" s="1">
        <v>10</v>
      </c>
      <c r="E3852" s="1" t="s">
        <v>169</v>
      </c>
      <c r="F3852" s="38">
        <v>8</v>
      </c>
      <c r="G3852" t="s">
        <v>184</v>
      </c>
    </row>
    <row r="3853" spans="1:7" x14ac:dyDescent="0.25">
      <c r="A3853" s="10" t="s">
        <v>185</v>
      </c>
      <c r="B3853" s="10">
        <v>38896</v>
      </c>
      <c r="C3853" t="str">
        <f>Table13[[#This Row],[Manufacturer]]&amp;" "&amp;Table13[[#This Row],[Model]]</f>
        <v>Wiha 38896</v>
      </c>
      <c r="D3853" s="1">
        <v>6</v>
      </c>
      <c r="E3853" s="1" t="s">
        <v>169</v>
      </c>
      <c r="F3853" s="38">
        <v>6</v>
      </c>
      <c r="G3853" t="s">
        <v>184</v>
      </c>
    </row>
    <row r="3854" spans="1:7" x14ac:dyDescent="0.25">
      <c r="A3854" s="10" t="s">
        <v>185</v>
      </c>
      <c r="B3854" s="10">
        <v>38897</v>
      </c>
      <c r="C3854" t="str">
        <f>Table13[[#This Row],[Manufacturer]]&amp;" "&amp;Table13[[#This Row],[Model]]</f>
        <v>Wiha 38897</v>
      </c>
      <c r="D3854" s="1">
        <v>6</v>
      </c>
      <c r="E3854" s="1" t="s">
        <v>169</v>
      </c>
      <c r="F3854" s="38">
        <v>8</v>
      </c>
      <c r="G3854" t="s">
        <v>184</v>
      </c>
    </row>
    <row r="3855" spans="1:7" x14ac:dyDescent="0.25">
      <c r="A3855" s="10" t="s">
        <v>185</v>
      </c>
      <c r="B3855" s="10">
        <v>39777</v>
      </c>
      <c r="C3855" t="str">
        <f>Table13[[#This Row],[Manufacturer]]&amp;" "&amp;Table13[[#This Row],[Model]]</f>
        <v>Wiha 39777</v>
      </c>
      <c r="D3855" s="1">
        <v>6</v>
      </c>
      <c r="E3855" s="1" t="s">
        <v>169</v>
      </c>
      <c r="F3855" s="38">
        <v>8</v>
      </c>
      <c r="G3855" t="s">
        <v>184</v>
      </c>
    </row>
    <row r="3856" spans="1:7" x14ac:dyDescent="0.25">
      <c r="A3856" s="10" t="s">
        <v>185</v>
      </c>
      <c r="B3856" s="10">
        <v>9918370000</v>
      </c>
      <c r="C3856" t="str">
        <f>Table13[[#This Row],[Manufacturer]]&amp;" "&amp;Table13[[#This Row],[Model]]</f>
        <v>Wiha 9918370000</v>
      </c>
      <c r="D3856" s="1">
        <v>6</v>
      </c>
      <c r="E3856" s="1" t="s">
        <v>169</v>
      </c>
      <c r="F3856" s="38">
        <v>1.7</v>
      </c>
      <c r="G3856" t="s">
        <v>184</v>
      </c>
    </row>
    <row r="3857" spans="1:7" x14ac:dyDescent="0.25">
      <c r="A3857" s="10" t="s">
        <v>181</v>
      </c>
      <c r="B3857" s="10" t="s">
        <v>183</v>
      </c>
      <c r="C3857" t="str">
        <f>Table13[[#This Row],[Manufacturer]]&amp;" "&amp;Table13[[#This Row],[Model]]</f>
        <v>Willams C2502MRW</v>
      </c>
      <c r="D3857" s="1">
        <v>4</v>
      </c>
      <c r="E3857" s="1">
        <v>6</v>
      </c>
      <c r="F3857" s="38">
        <v>250</v>
      </c>
      <c r="G3857" t="s">
        <v>164</v>
      </c>
    </row>
    <row r="3858" spans="1:7" x14ac:dyDescent="0.25">
      <c r="A3858" s="10" t="s">
        <v>181</v>
      </c>
      <c r="B3858" s="10" t="s">
        <v>182</v>
      </c>
      <c r="C3858" t="str">
        <f>Table13[[#This Row],[Manufacturer]]&amp;" "&amp;Table13[[#This Row],[Model]]</f>
        <v>Willams C752MFRW</v>
      </c>
      <c r="D3858" s="1">
        <v>4</v>
      </c>
      <c r="E3858" s="1">
        <v>6</v>
      </c>
      <c r="F3858" s="38">
        <v>75</v>
      </c>
      <c r="G3858" t="s">
        <v>166</v>
      </c>
    </row>
    <row r="3859" spans="1:7" x14ac:dyDescent="0.25">
      <c r="A3859" s="10" t="s">
        <v>181</v>
      </c>
      <c r="B3859" s="10" t="s">
        <v>180</v>
      </c>
      <c r="C3859" t="str">
        <f>Table13[[#This Row],[Manufacturer]]&amp;" "&amp;Table13[[#This Row],[Model]]</f>
        <v>Willams HTW-4RCF</v>
      </c>
      <c r="D3859" s="1">
        <v>4</v>
      </c>
      <c r="E3859" s="1">
        <v>6</v>
      </c>
      <c r="F3859" s="38">
        <v>600</v>
      </c>
      <c r="G3859" t="s">
        <v>166</v>
      </c>
    </row>
    <row r="3860" spans="1:7" x14ac:dyDescent="0.25">
      <c r="A3860" s="10" t="s">
        <v>171</v>
      </c>
      <c r="B3860" s="10" t="s">
        <v>179</v>
      </c>
      <c r="C3860" t="str">
        <f>Table13[[#This Row],[Manufacturer]]&amp;" "&amp;Table13[[#This Row],[Model]]</f>
        <v>Williams MTD-2-75</v>
      </c>
      <c r="D3860" s="1">
        <v>3</v>
      </c>
      <c r="E3860" s="1">
        <v>3</v>
      </c>
      <c r="F3860" s="38">
        <v>75</v>
      </c>
      <c r="G3860" t="s">
        <v>164</v>
      </c>
    </row>
    <row r="3861" spans="1:7" x14ac:dyDescent="0.25">
      <c r="A3861" s="10" t="s">
        <v>171</v>
      </c>
      <c r="B3861" s="10" t="s">
        <v>178</v>
      </c>
      <c r="C3861" t="str">
        <f>Table13[[#This Row],[Manufacturer]]&amp;" "&amp;Table13[[#This Row],[Model]]</f>
        <v>Williams WDMI-600</v>
      </c>
      <c r="D3861" s="1">
        <v>3</v>
      </c>
      <c r="E3861" s="1">
        <v>3</v>
      </c>
      <c r="F3861" s="38">
        <v>600</v>
      </c>
      <c r="G3861" t="s">
        <v>164</v>
      </c>
    </row>
    <row r="3862" spans="1:7" x14ac:dyDescent="0.25">
      <c r="A3862" s="10" t="s">
        <v>171</v>
      </c>
      <c r="B3862" s="10" t="s">
        <v>177</v>
      </c>
      <c r="C3862" t="str">
        <f>Table13[[#This Row],[Manufacturer]]&amp;" "&amp;Table13[[#This Row],[Model]]</f>
        <v>Williams 151SPW</v>
      </c>
      <c r="D3862" s="1">
        <v>7</v>
      </c>
      <c r="E3862" s="1" t="s">
        <v>169</v>
      </c>
      <c r="F3862" s="38">
        <v>15</v>
      </c>
      <c r="G3862" t="s">
        <v>164</v>
      </c>
    </row>
    <row r="3863" spans="1:7" x14ac:dyDescent="0.25">
      <c r="A3863" s="10" t="s">
        <v>171</v>
      </c>
      <c r="B3863" s="10" t="s">
        <v>176</v>
      </c>
      <c r="C3863" t="str">
        <f>Table13[[#This Row],[Manufacturer]]&amp;" "&amp;Table13[[#This Row],[Model]]</f>
        <v>Williams 21SPW</v>
      </c>
      <c r="D3863" s="1">
        <v>8</v>
      </c>
      <c r="E3863" s="1" t="s">
        <v>169</v>
      </c>
      <c r="F3863" s="38">
        <v>32</v>
      </c>
      <c r="G3863" t="s">
        <v>172</v>
      </c>
    </row>
    <row r="3864" spans="1:7" x14ac:dyDescent="0.25">
      <c r="A3864" s="10" t="s">
        <v>171</v>
      </c>
      <c r="B3864" s="10" t="s">
        <v>175</v>
      </c>
      <c r="C3864" t="str">
        <f>Table13[[#This Row],[Manufacturer]]&amp;" "&amp;Table13[[#This Row],[Model]]</f>
        <v>Williams 401SP</v>
      </c>
      <c r="D3864" s="1">
        <v>9</v>
      </c>
      <c r="E3864" s="1" t="s">
        <v>169</v>
      </c>
      <c r="F3864" s="38">
        <v>40</v>
      </c>
      <c r="G3864" t="s">
        <v>164</v>
      </c>
    </row>
    <row r="3865" spans="1:7" x14ac:dyDescent="0.25">
      <c r="A3865" s="10" t="s">
        <v>171</v>
      </c>
      <c r="B3865" s="10" t="s">
        <v>174</v>
      </c>
      <c r="C3865" t="str">
        <f>Table13[[#This Row],[Manufacturer]]&amp;" "&amp;Table13[[#This Row],[Model]]</f>
        <v>Williams 61SMW</v>
      </c>
      <c r="D3865" s="1">
        <v>6</v>
      </c>
      <c r="E3865" s="1" t="s">
        <v>169</v>
      </c>
      <c r="F3865" s="38">
        <v>100</v>
      </c>
      <c r="G3865" t="s">
        <v>172</v>
      </c>
    </row>
    <row r="3866" spans="1:7" x14ac:dyDescent="0.25">
      <c r="A3866" s="10" t="s">
        <v>171</v>
      </c>
      <c r="B3866" s="10" t="s">
        <v>173</v>
      </c>
      <c r="C3866" t="str">
        <f>Table13[[#This Row],[Manufacturer]]&amp;" "&amp;Table13[[#This Row],[Model]]</f>
        <v>Williams 61SP</v>
      </c>
      <c r="D3866" s="1">
        <v>10</v>
      </c>
      <c r="E3866" s="1" t="s">
        <v>169</v>
      </c>
      <c r="F3866" s="38">
        <v>100</v>
      </c>
      <c r="G3866" t="s">
        <v>172</v>
      </c>
    </row>
    <row r="3867" spans="1:7" x14ac:dyDescent="0.25">
      <c r="A3867" s="10" t="s">
        <v>171</v>
      </c>
      <c r="B3867" s="10" t="s">
        <v>170</v>
      </c>
      <c r="C3867" t="str">
        <f>Table13[[#This Row],[Manufacturer]]&amp;" "&amp;Table13[[#This Row],[Model]]</f>
        <v>Williams MTW-50SA</v>
      </c>
      <c r="D3867" s="1">
        <v>6</v>
      </c>
      <c r="E3867" s="1" t="s">
        <v>169</v>
      </c>
      <c r="F3867" s="38">
        <v>30</v>
      </c>
      <c r="G3867" t="s">
        <v>164</v>
      </c>
    </row>
    <row r="3868" spans="1:7" x14ac:dyDescent="0.25">
      <c r="A3868" s="10" t="s">
        <v>168</v>
      </c>
      <c r="B3868" s="10">
        <v>2470</v>
      </c>
      <c r="C3868" t="str">
        <f>Table13[[#This Row],[Manufacturer]]&amp;" "&amp;Table13[[#This Row],[Model]]</f>
        <v>Wright Tool 2470</v>
      </c>
      <c r="D3868" s="1">
        <v>4</v>
      </c>
      <c r="E3868" s="1">
        <v>4</v>
      </c>
      <c r="F3868" s="38">
        <v>30</v>
      </c>
      <c r="G3868" t="s">
        <v>164</v>
      </c>
    </row>
    <row r="3869" spans="1:7" x14ac:dyDescent="0.25">
      <c r="A3869" s="10" t="s">
        <v>168</v>
      </c>
      <c r="B3869" s="10">
        <v>2471</v>
      </c>
      <c r="C3869" t="str">
        <f>Table13[[#This Row],[Manufacturer]]&amp;" "&amp;Table13[[#This Row],[Model]]</f>
        <v>Wright Tool 2471</v>
      </c>
      <c r="D3869" s="1">
        <v>4</v>
      </c>
      <c r="E3869" s="1">
        <v>4</v>
      </c>
      <c r="F3869" s="38">
        <v>75</v>
      </c>
      <c r="G3869" t="s">
        <v>164</v>
      </c>
    </row>
    <row r="3870" spans="1:7" x14ac:dyDescent="0.25">
      <c r="A3870" s="10" t="s">
        <v>168</v>
      </c>
      <c r="B3870" s="10">
        <v>2473</v>
      </c>
      <c r="C3870" t="str">
        <f>Table13[[#This Row],[Manufacturer]]&amp;" "&amp;Table13[[#This Row],[Model]]</f>
        <v>Wright Tool 2473</v>
      </c>
      <c r="D3870" s="1">
        <v>2</v>
      </c>
      <c r="E3870" s="1">
        <v>3</v>
      </c>
      <c r="F3870" s="38">
        <v>240</v>
      </c>
      <c r="G3870" t="s">
        <v>164</v>
      </c>
    </row>
    <row r="3871" spans="1:7" x14ac:dyDescent="0.25">
      <c r="A3871" s="10" t="s">
        <v>168</v>
      </c>
      <c r="B3871" s="10">
        <v>3470</v>
      </c>
      <c r="C3871" t="str">
        <f>Table13[[#This Row],[Manufacturer]]&amp;" "&amp;Table13[[#This Row],[Model]]</f>
        <v>Wright Tool 3470</v>
      </c>
      <c r="D3871" s="1">
        <v>4</v>
      </c>
      <c r="E3871" s="1">
        <v>4</v>
      </c>
      <c r="F3871" s="38">
        <v>150</v>
      </c>
      <c r="G3871" t="s">
        <v>164</v>
      </c>
    </row>
    <row r="3872" spans="1:7" x14ac:dyDescent="0.25">
      <c r="A3872" s="10" t="s">
        <v>168</v>
      </c>
      <c r="B3872" s="10">
        <v>3471</v>
      </c>
      <c r="C3872" t="str">
        <f>Table13[[#This Row],[Manufacturer]]&amp;" "&amp;Table13[[#This Row],[Model]]</f>
        <v>Wright Tool 3471</v>
      </c>
      <c r="D3872" s="1">
        <v>4</v>
      </c>
      <c r="E3872" s="1">
        <v>4</v>
      </c>
      <c r="F3872" s="38">
        <v>250</v>
      </c>
      <c r="G3872" t="s">
        <v>164</v>
      </c>
    </row>
    <row r="3873" spans="1:7" x14ac:dyDescent="0.25">
      <c r="A3873" s="10" t="s">
        <v>168</v>
      </c>
      <c r="B3873" s="10">
        <v>3472</v>
      </c>
      <c r="C3873" t="str">
        <f>Table13[[#This Row],[Manufacturer]]&amp;" "&amp;Table13[[#This Row],[Model]]</f>
        <v>Wright Tool 3472</v>
      </c>
      <c r="D3873" s="1">
        <v>4</v>
      </c>
      <c r="E3873" s="1">
        <v>4</v>
      </c>
      <c r="F3873" s="38">
        <v>600</v>
      </c>
      <c r="G3873" t="s">
        <v>164</v>
      </c>
    </row>
    <row r="3874" spans="1:7" x14ac:dyDescent="0.25">
      <c r="A3874" s="10" t="s">
        <v>168</v>
      </c>
      <c r="B3874" s="10">
        <v>3473</v>
      </c>
      <c r="C3874" t="str">
        <f>Table13[[#This Row],[Manufacturer]]&amp;" "&amp;Table13[[#This Row],[Model]]</f>
        <v>Wright Tool 3473</v>
      </c>
      <c r="D3874" s="1">
        <v>4</v>
      </c>
      <c r="E3874" s="1">
        <v>4</v>
      </c>
      <c r="F3874" s="38">
        <v>50</v>
      </c>
      <c r="G3874" t="s">
        <v>166</v>
      </c>
    </row>
    <row r="3875" spans="1:7" x14ac:dyDescent="0.25">
      <c r="A3875" s="10" t="s">
        <v>168</v>
      </c>
      <c r="B3875" s="10">
        <v>4470</v>
      </c>
      <c r="C3875" t="str">
        <f>Table13[[#This Row],[Manufacturer]]&amp;" "&amp;Table13[[#This Row],[Model]]</f>
        <v>Wright Tool 4470</v>
      </c>
      <c r="D3875" s="1">
        <v>4</v>
      </c>
      <c r="E3875" s="1">
        <v>4</v>
      </c>
      <c r="F3875" s="38">
        <v>175</v>
      </c>
      <c r="G3875" t="s">
        <v>166</v>
      </c>
    </row>
    <row r="3876" spans="1:7" x14ac:dyDescent="0.25">
      <c r="A3876" s="10" t="s">
        <v>168</v>
      </c>
      <c r="B3876" s="10">
        <v>4471</v>
      </c>
      <c r="C3876" t="str">
        <f>Table13[[#This Row],[Manufacturer]]&amp;" "&amp;Table13[[#This Row],[Model]]</f>
        <v>Wright Tool 4471</v>
      </c>
      <c r="D3876" s="1">
        <v>4</v>
      </c>
      <c r="E3876" s="1">
        <v>4</v>
      </c>
      <c r="F3876" s="38">
        <v>250</v>
      </c>
      <c r="G3876" t="s">
        <v>166</v>
      </c>
    </row>
    <row r="3877" spans="1:7" x14ac:dyDescent="0.25">
      <c r="A3877" s="10" t="s">
        <v>168</v>
      </c>
      <c r="B3877" s="10">
        <v>6470</v>
      </c>
      <c r="C3877" t="str">
        <f>Table13[[#This Row],[Manufacturer]]&amp;" "&amp;Table13[[#This Row],[Model]]</f>
        <v>Wright Tool 6470</v>
      </c>
      <c r="D3877" s="1">
        <v>4</v>
      </c>
      <c r="E3877" s="1">
        <v>4</v>
      </c>
      <c r="F3877" s="38">
        <v>600</v>
      </c>
      <c r="G3877" t="s">
        <v>166</v>
      </c>
    </row>
    <row r="3878" spans="1:7" x14ac:dyDescent="0.25">
      <c r="A3878" s="10" t="s">
        <v>168</v>
      </c>
      <c r="B3878" s="10">
        <v>6471</v>
      </c>
      <c r="C3878" t="str">
        <f>Table13[[#This Row],[Manufacturer]]&amp;" "&amp;Table13[[#This Row],[Model]]</f>
        <v>Wright Tool 6471</v>
      </c>
      <c r="D3878" s="1">
        <v>4</v>
      </c>
      <c r="E3878" s="1">
        <v>4</v>
      </c>
      <c r="F3878" s="38">
        <v>350</v>
      </c>
      <c r="G3878" t="s">
        <v>166</v>
      </c>
    </row>
    <row r="3879" spans="1:7" x14ac:dyDescent="0.25">
      <c r="A3879" s="10" t="s">
        <v>168</v>
      </c>
      <c r="B3879" s="10">
        <v>8470</v>
      </c>
      <c r="C3879" t="str">
        <f>Table13[[#This Row],[Manufacturer]]&amp;" "&amp;Table13[[#This Row],[Model]]</f>
        <v>Wright Tool 8470</v>
      </c>
      <c r="D3879" s="1">
        <v>4</v>
      </c>
      <c r="E3879" s="1">
        <v>4</v>
      </c>
      <c r="F3879" s="38">
        <v>1000</v>
      </c>
      <c r="G3879" t="s">
        <v>166</v>
      </c>
    </row>
    <row r="3880" spans="1:7" x14ac:dyDescent="0.25">
      <c r="A3880" s="10" t="s">
        <v>167</v>
      </c>
      <c r="B3880" s="10">
        <v>2477</v>
      </c>
      <c r="C3880" t="str">
        <f>Table13[[#This Row],[Manufacturer]]&amp;" "&amp;Table13[[#This Row],[Model]]</f>
        <v>Wright Tools 2477</v>
      </c>
      <c r="D3880" s="1">
        <v>4</v>
      </c>
      <c r="E3880" s="1">
        <v>6</v>
      </c>
      <c r="F3880" s="38">
        <v>150</v>
      </c>
      <c r="G3880" t="s">
        <v>164</v>
      </c>
    </row>
    <row r="3881" spans="1:7" x14ac:dyDescent="0.25">
      <c r="A3881" s="10" t="s">
        <v>167</v>
      </c>
      <c r="B3881" s="10">
        <v>3447</v>
      </c>
      <c r="C3881" t="str">
        <f>Table13[[#This Row],[Manufacturer]]&amp;" "&amp;Table13[[#This Row],[Model]]</f>
        <v>Wright Tools 3447</v>
      </c>
      <c r="D3881" s="1">
        <v>4</v>
      </c>
      <c r="E3881" s="1">
        <v>6</v>
      </c>
      <c r="F3881" s="38">
        <v>75</v>
      </c>
      <c r="G3881" t="s">
        <v>166</v>
      </c>
    </row>
    <row r="3882" spans="1:7" x14ac:dyDescent="0.25">
      <c r="A3882" s="10" t="s">
        <v>167</v>
      </c>
      <c r="B3882" s="10">
        <v>3477</v>
      </c>
      <c r="C3882" t="str">
        <f>Table13[[#This Row],[Manufacturer]]&amp;" "&amp;Table13[[#This Row],[Model]]</f>
        <v>Wright Tools 3477</v>
      </c>
      <c r="D3882" s="1">
        <v>4</v>
      </c>
      <c r="E3882" s="1">
        <v>6</v>
      </c>
      <c r="F3882" s="38">
        <v>100</v>
      </c>
      <c r="G3882" t="s">
        <v>166</v>
      </c>
    </row>
    <row r="3883" spans="1:7" x14ac:dyDescent="0.25">
      <c r="A3883" s="10" t="s">
        <v>167</v>
      </c>
      <c r="B3883" s="10">
        <v>3478</v>
      </c>
      <c r="C3883" t="str">
        <f>Table13[[#This Row],[Manufacturer]]&amp;" "&amp;Table13[[#This Row],[Model]]</f>
        <v>Wright Tools 3478</v>
      </c>
      <c r="D3883" s="1">
        <v>4</v>
      </c>
      <c r="E3883" s="1">
        <v>6</v>
      </c>
      <c r="F3883" s="38">
        <v>200</v>
      </c>
      <c r="G3883" t="s">
        <v>164</v>
      </c>
    </row>
    <row r="3884" spans="1:7" x14ac:dyDescent="0.25">
      <c r="A3884" s="10" t="s">
        <v>167</v>
      </c>
      <c r="B3884" s="10">
        <v>3479</v>
      </c>
      <c r="C3884" t="str">
        <f>Table13[[#This Row],[Manufacturer]]&amp;" "&amp;Table13[[#This Row],[Model]]</f>
        <v>Wright Tools 3479</v>
      </c>
      <c r="D3884" s="1">
        <v>4</v>
      </c>
      <c r="E3884" s="1">
        <v>6</v>
      </c>
      <c r="F3884" s="38">
        <v>1000</v>
      </c>
      <c r="G3884" t="s">
        <v>164</v>
      </c>
    </row>
    <row r="3885" spans="1:7" x14ac:dyDescent="0.25">
      <c r="A3885" s="10" t="s">
        <v>167</v>
      </c>
      <c r="B3885" s="10">
        <v>4476</v>
      </c>
      <c r="C3885" t="str">
        <f>Table13[[#This Row],[Manufacturer]]&amp;" "&amp;Table13[[#This Row],[Model]]</f>
        <v>Wright Tools 4476</v>
      </c>
      <c r="D3885" s="1">
        <v>4</v>
      </c>
      <c r="E3885" s="1">
        <v>6</v>
      </c>
      <c r="F3885" s="38">
        <v>1600</v>
      </c>
      <c r="G3885" t="s">
        <v>164</v>
      </c>
    </row>
    <row r="3886" spans="1:7" x14ac:dyDescent="0.25">
      <c r="A3886" s="10" t="s">
        <v>167</v>
      </c>
      <c r="B3886" s="10">
        <v>4477</v>
      </c>
      <c r="C3886" t="str">
        <f>Table13[[#This Row],[Manufacturer]]&amp;" "&amp;Table13[[#This Row],[Model]]</f>
        <v>Wright Tools 4477</v>
      </c>
      <c r="D3886" s="1">
        <v>4</v>
      </c>
      <c r="E3886" s="1">
        <v>6</v>
      </c>
      <c r="F3886" s="38">
        <v>150</v>
      </c>
      <c r="G3886" t="s">
        <v>166</v>
      </c>
    </row>
    <row r="3887" spans="1:7" x14ac:dyDescent="0.25">
      <c r="A3887" s="10" t="s">
        <v>167</v>
      </c>
      <c r="B3887" s="10">
        <v>4478</v>
      </c>
      <c r="C3887" t="str">
        <f>Table13[[#This Row],[Manufacturer]]&amp;" "&amp;Table13[[#This Row],[Model]]</f>
        <v>Wright Tools 4478</v>
      </c>
      <c r="D3887" s="1">
        <v>4</v>
      </c>
      <c r="E3887" s="1">
        <v>6</v>
      </c>
      <c r="F3887" s="38">
        <v>250</v>
      </c>
      <c r="G3887" t="s">
        <v>166</v>
      </c>
    </row>
    <row r="3888" spans="1:7" x14ac:dyDescent="0.25">
      <c r="A3888" s="10" t="s">
        <v>167</v>
      </c>
      <c r="B3888" s="10">
        <v>4479</v>
      </c>
      <c r="C3888" t="str">
        <f>Table13[[#This Row],[Manufacturer]]&amp;" "&amp;Table13[[#This Row],[Model]]</f>
        <v>Wright Tools 4479</v>
      </c>
      <c r="D3888" s="1">
        <v>4</v>
      </c>
      <c r="E3888" s="1">
        <v>6</v>
      </c>
      <c r="F3888" s="38">
        <v>2500</v>
      </c>
      <c r="G3888" t="s">
        <v>164</v>
      </c>
    </row>
    <row r="3889" spans="1:7" x14ac:dyDescent="0.25">
      <c r="A3889" s="10" t="s">
        <v>167</v>
      </c>
      <c r="B3889" s="10">
        <v>6448</v>
      </c>
      <c r="C3889" t="str">
        <f>Table13[[#This Row],[Manufacturer]]&amp;" "&amp;Table13[[#This Row],[Model]]</f>
        <v>Wright Tools 6448</v>
      </c>
      <c r="D3889" s="1">
        <v>4</v>
      </c>
      <c r="E3889" s="1">
        <v>6</v>
      </c>
      <c r="F3889" s="38">
        <v>600</v>
      </c>
      <c r="G3889" t="s">
        <v>166</v>
      </c>
    </row>
    <row r="3890" spans="1:7" x14ac:dyDescent="0.25">
      <c r="A3890" s="10" t="s">
        <v>167</v>
      </c>
      <c r="B3890" s="10">
        <v>8447</v>
      </c>
      <c r="C3890" t="str">
        <f>Table13[[#This Row],[Manufacturer]]&amp;" "&amp;Table13[[#This Row],[Model]]</f>
        <v>Wright Tools 8447</v>
      </c>
      <c r="D3890" s="1">
        <v>4</v>
      </c>
      <c r="E3890" s="1">
        <v>6</v>
      </c>
      <c r="F3890" s="38">
        <v>1000</v>
      </c>
      <c r="G3890" t="s">
        <v>166</v>
      </c>
    </row>
    <row r="3891" spans="1:7" x14ac:dyDescent="0.25">
      <c r="A3891" s="10" t="s">
        <v>167</v>
      </c>
      <c r="B3891" s="10">
        <v>8448</v>
      </c>
      <c r="C3891" t="str">
        <f>Table13[[#This Row],[Manufacturer]]&amp;" "&amp;Table13[[#This Row],[Model]]</f>
        <v>Wright Tools 8448</v>
      </c>
      <c r="D3891" s="1">
        <v>4</v>
      </c>
      <c r="E3891" s="1">
        <v>6</v>
      </c>
      <c r="F3891" s="38">
        <v>1000</v>
      </c>
      <c r="G3891" t="s">
        <v>166</v>
      </c>
    </row>
    <row r="3892" spans="1:7" x14ac:dyDescent="0.25">
      <c r="A3892" s="10" t="s">
        <v>167</v>
      </c>
      <c r="B3892" s="10">
        <v>8449</v>
      </c>
      <c r="C3892" t="str">
        <f>Table13[[#This Row],[Manufacturer]]&amp;" "&amp;Table13[[#This Row],[Model]]</f>
        <v>Wright Tools 8449</v>
      </c>
      <c r="D3892" s="1">
        <v>4</v>
      </c>
      <c r="E3892" s="1">
        <v>6</v>
      </c>
      <c r="F3892" s="38">
        <v>2000</v>
      </c>
      <c r="G3892" t="s">
        <v>166</v>
      </c>
    </row>
    <row r="3893" spans="1:7" x14ac:dyDescent="0.25">
      <c r="A3893" s="10" t="s">
        <v>165</v>
      </c>
      <c r="B3893" s="10">
        <v>60648</v>
      </c>
      <c r="C3893" t="str">
        <f>Table13[[#This Row],[Manufacturer]]&amp;" "&amp;Table13[[#This Row],[Model]]</f>
        <v>Yellow Jacket 60648</v>
      </c>
      <c r="D3893" s="1">
        <v>2</v>
      </c>
      <c r="E3893" s="1">
        <v>3</v>
      </c>
      <c r="F3893" s="38">
        <v>750</v>
      </c>
      <c r="G3893" t="s">
        <v>164</v>
      </c>
    </row>
  </sheetData>
  <pageMargins left="0.7" right="0.7" top="0.75" bottom="0.75" header="0.3" footer="0.3"/>
  <pageSetup paperSize="262" orientation="landscape" horizontalDpi="360" verticalDpi="36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34998626667073579"/>
  </sheetPr>
  <dimension ref="A1:D60"/>
  <sheetViews>
    <sheetView workbookViewId="0">
      <selection activeCell="D30" sqref="D30"/>
    </sheetView>
  </sheetViews>
  <sheetFormatPr defaultRowHeight="15" x14ac:dyDescent="0.25"/>
  <cols>
    <col min="1" max="1" width="11.5703125" style="1" customWidth="1"/>
    <col min="2" max="2" width="47.28515625" customWidth="1"/>
    <col min="3" max="3" width="11.85546875" style="1" customWidth="1"/>
    <col min="4" max="4" width="188.5703125" customWidth="1"/>
  </cols>
  <sheetData>
    <row r="1" spans="1:4" ht="21" x14ac:dyDescent="0.25">
      <c r="A1" s="70" t="s">
        <v>59</v>
      </c>
      <c r="B1" s="70"/>
      <c r="C1" s="70"/>
      <c r="D1" s="31" t="s">
        <v>151</v>
      </c>
    </row>
    <row r="2" spans="1:4" x14ac:dyDescent="0.25">
      <c r="A2" s="69" t="s">
        <v>63</v>
      </c>
      <c r="B2" s="69"/>
      <c r="C2" s="14" t="s">
        <v>60</v>
      </c>
      <c r="D2" s="29" t="s">
        <v>66</v>
      </c>
    </row>
    <row r="3" spans="1:4" x14ac:dyDescent="0.25">
      <c r="A3" s="69" t="s">
        <v>61</v>
      </c>
      <c r="B3" s="69"/>
      <c r="C3" s="14" t="s">
        <v>60</v>
      </c>
      <c r="D3" s="29" t="s">
        <v>67</v>
      </c>
    </row>
    <row r="4" spans="1:4" x14ac:dyDescent="0.25">
      <c r="A4" s="69" t="s">
        <v>62</v>
      </c>
      <c r="B4" s="69"/>
      <c r="C4" s="14" t="s">
        <v>60</v>
      </c>
      <c r="D4" s="29" t="s">
        <v>67</v>
      </c>
    </row>
    <row r="5" spans="1:4" x14ac:dyDescent="0.25">
      <c r="A5" s="69" t="s">
        <v>65</v>
      </c>
      <c r="B5" s="69"/>
      <c r="C5" s="14" t="s">
        <v>60</v>
      </c>
      <c r="D5" s="29" t="s">
        <v>68</v>
      </c>
    </row>
    <row r="6" spans="1:4" x14ac:dyDescent="0.25">
      <c r="A6" s="69" t="s">
        <v>64</v>
      </c>
      <c r="B6" s="69"/>
      <c r="C6" s="14" t="s">
        <v>60</v>
      </c>
      <c r="D6" s="29" t="s">
        <v>68</v>
      </c>
    </row>
    <row r="7" spans="1:4" x14ac:dyDescent="0.25">
      <c r="A7" s="69" t="s">
        <v>145</v>
      </c>
      <c r="B7" s="69"/>
      <c r="C7" s="28">
        <v>23</v>
      </c>
      <c r="D7" s="30" t="s">
        <v>150</v>
      </c>
    </row>
    <row r="8" spans="1:4" ht="21" x14ac:dyDescent="0.35">
      <c r="A8" s="32" t="s">
        <v>149</v>
      </c>
      <c r="B8" s="32" t="s">
        <v>148</v>
      </c>
      <c r="C8" s="32" t="s">
        <v>147</v>
      </c>
      <c r="D8" s="33" t="s">
        <v>146</v>
      </c>
    </row>
    <row r="9" spans="1:4" x14ac:dyDescent="0.25">
      <c r="A9" s="1">
        <v>1</v>
      </c>
      <c r="B9" s="1" t="s">
        <v>50</v>
      </c>
      <c r="C9" s="34">
        <v>43241</v>
      </c>
      <c r="D9" t="s">
        <v>51</v>
      </c>
    </row>
    <row r="10" spans="1:4" x14ac:dyDescent="0.25">
      <c r="A10" s="1">
        <v>2</v>
      </c>
      <c r="B10" s="1" t="s">
        <v>50</v>
      </c>
      <c r="C10" s="34">
        <v>43241</v>
      </c>
      <c r="D10" t="s">
        <v>52</v>
      </c>
    </row>
    <row r="11" spans="1:4" x14ac:dyDescent="0.25">
      <c r="A11" s="1">
        <v>3</v>
      </c>
      <c r="B11" s="1" t="s">
        <v>50</v>
      </c>
      <c r="C11" s="34">
        <v>43256</v>
      </c>
      <c r="D11" t="s">
        <v>53</v>
      </c>
    </row>
    <row r="12" spans="1:4" x14ac:dyDescent="0.25">
      <c r="A12" s="1">
        <v>4</v>
      </c>
      <c r="B12" s="1" t="s">
        <v>50</v>
      </c>
      <c r="C12" s="34">
        <v>43257</v>
      </c>
      <c r="D12" t="s">
        <v>55</v>
      </c>
    </row>
    <row r="13" spans="1:4" x14ac:dyDescent="0.25">
      <c r="A13" s="1">
        <v>5</v>
      </c>
      <c r="B13" s="1" t="s">
        <v>50</v>
      </c>
      <c r="C13" s="34">
        <v>43258</v>
      </c>
      <c r="D13" t="s">
        <v>54</v>
      </c>
    </row>
    <row r="14" spans="1:4" x14ac:dyDescent="0.25">
      <c r="A14" s="1">
        <v>6</v>
      </c>
      <c r="B14" s="1" t="s">
        <v>50</v>
      </c>
      <c r="C14" s="34">
        <v>43263</v>
      </c>
      <c r="D14" t="s">
        <v>58</v>
      </c>
    </row>
    <row r="15" spans="1:4" x14ac:dyDescent="0.25">
      <c r="A15" s="1">
        <v>7</v>
      </c>
      <c r="B15" s="1" t="s">
        <v>50</v>
      </c>
      <c r="C15" s="34">
        <v>43271</v>
      </c>
      <c r="D15" t="s">
        <v>69</v>
      </c>
    </row>
    <row r="16" spans="1:4" x14ac:dyDescent="0.25">
      <c r="A16" s="1">
        <v>8</v>
      </c>
      <c r="B16" s="1" t="s">
        <v>50</v>
      </c>
      <c r="C16" s="34">
        <v>43430</v>
      </c>
      <c r="D16" t="s">
        <v>75</v>
      </c>
    </row>
    <row r="17" spans="1:4" x14ac:dyDescent="0.25">
      <c r="A17" s="1">
        <v>9</v>
      </c>
      <c r="B17" s="1" t="s">
        <v>50</v>
      </c>
      <c r="C17" s="34">
        <v>43441</v>
      </c>
      <c r="D17" t="s">
        <v>73</v>
      </c>
    </row>
    <row r="18" spans="1:4" x14ac:dyDescent="0.25">
      <c r="A18" s="1">
        <v>10</v>
      </c>
      <c r="B18" s="1" t="s">
        <v>50</v>
      </c>
      <c r="C18" s="34">
        <v>43472</v>
      </c>
      <c r="D18" t="s">
        <v>74</v>
      </c>
    </row>
    <row r="19" spans="1:4" x14ac:dyDescent="0.25">
      <c r="A19" s="1">
        <v>11</v>
      </c>
      <c r="B19" s="1" t="s">
        <v>50</v>
      </c>
      <c r="C19" s="34">
        <v>43479</v>
      </c>
      <c r="D19" t="s">
        <v>80</v>
      </c>
    </row>
    <row r="20" spans="1:4" x14ac:dyDescent="0.25">
      <c r="A20" s="1">
        <v>12</v>
      </c>
      <c r="B20" s="1" t="s">
        <v>50</v>
      </c>
      <c r="C20" s="34">
        <v>43500</v>
      </c>
      <c r="D20" t="s">
        <v>83</v>
      </c>
    </row>
    <row r="21" spans="1:4" x14ac:dyDescent="0.25">
      <c r="A21" s="1">
        <v>13</v>
      </c>
      <c r="B21" s="1" t="s">
        <v>50</v>
      </c>
      <c r="C21" s="34">
        <v>43567</v>
      </c>
      <c r="D21" t="s">
        <v>84</v>
      </c>
    </row>
    <row r="22" spans="1:4" x14ac:dyDescent="0.25">
      <c r="A22" s="1">
        <v>14</v>
      </c>
      <c r="B22" s="1" t="s">
        <v>50</v>
      </c>
      <c r="C22" s="34">
        <v>43579</v>
      </c>
      <c r="D22" t="s">
        <v>108</v>
      </c>
    </row>
    <row r="23" spans="1:4" x14ac:dyDescent="0.25">
      <c r="A23" s="1">
        <v>15</v>
      </c>
      <c r="B23" s="1" t="s">
        <v>50</v>
      </c>
      <c r="C23" s="34">
        <v>43629</v>
      </c>
      <c r="D23" t="s">
        <v>111</v>
      </c>
    </row>
    <row r="24" spans="1:4" x14ac:dyDescent="0.25">
      <c r="A24" s="1">
        <v>16</v>
      </c>
      <c r="B24" s="1" t="s">
        <v>112</v>
      </c>
      <c r="C24" s="34">
        <v>43707</v>
      </c>
      <c r="D24" t="s">
        <v>113</v>
      </c>
    </row>
    <row r="25" spans="1:4" x14ac:dyDescent="0.25">
      <c r="A25" s="1">
        <v>17</v>
      </c>
      <c r="B25" s="1" t="s">
        <v>112</v>
      </c>
      <c r="C25" s="34">
        <v>43724</v>
      </c>
      <c r="D25" t="s">
        <v>116</v>
      </c>
    </row>
    <row r="26" spans="1:4" x14ac:dyDescent="0.25">
      <c r="A26" s="1">
        <v>18</v>
      </c>
      <c r="B26" s="1" t="s">
        <v>50</v>
      </c>
      <c r="C26" s="34">
        <v>43854</v>
      </c>
      <c r="D26" t="s">
        <v>117</v>
      </c>
    </row>
    <row r="27" spans="1:4" x14ac:dyDescent="0.25">
      <c r="A27" s="1">
        <v>19</v>
      </c>
      <c r="B27" s="1" t="s">
        <v>112</v>
      </c>
      <c r="C27" s="34">
        <v>43896</v>
      </c>
      <c r="D27" t="s">
        <v>119</v>
      </c>
    </row>
    <row r="28" spans="1:4" x14ac:dyDescent="0.25">
      <c r="A28" s="1">
        <v>20</v>
      </c>
      <c r="B28" s="1" t="s">
        <v>50</v>
      </c>
      <c r="C28" s="34">
        <v>44238</v>
      </c>
      <c r="D28" t="s">
        <v>141</v>
      </c>
    </row>
    <row r="29" spans="1:4" x14ac:dyDescent="0.25">
      <c r="A29" s="1">
        <v>21</v>
      </c>
      <c r="B29" s="1" t="s">
        <v>50</v>
      </c>
      <c r="C29" s="34">
        <v>44239</v>
      </c>
      <c r="D29" t="s">
        <v>144</v>
      </c>
    </row>
    <row r="30" spans="1:4" x14ac:dyDescent="0.25">
      <c r="A30" s="1">
        <v>21</v>
      </c>
      <c r="B30" s="1" t="s">
        <v>50</v>
      </c>
      <c r="C30" s="34">
        <v>44239</v>
      </c>
      <c r="D30" t="s">
        <v>152</v>
      </c>
    </row>
    <row r="31" spans="1:4" x14ac:dyDescent="0.25">
      <c r="A31" s="1">
        <v>22</v>
      </c>
      <c r="B31" s="1" t="s">
        <v>50</v>
      </c>
      <c r="C31" s="34">
        <v>44831</v>
      </c>
      <c r="D31" t="s">
        <v>3603</v>
      </c>
    </row>
    <row r="32" spans="1:4" x14ac:dyDescent="0.25">
      <c r="A32" s="1">
        <v>23</v>
      </c>
      <c r="B32" s="1" t="s">
        <v>50</v>
      </c>
      <c r="C32" s="42">
        <v>44832</v>
      </c>
      <c r="D32" t="s">
        <v>3604</v>
      </c>
    </row>
    <row r="33" spans="1:4" x14ac:dyDescent="0.25">
      <c r="A33" s="1">
        <v>24</v>
      </c>
      <c r="B33" s="1" t="s">
        <v>50</v>
      </c>
      <c r="C33" s="42">
        <v>45224</v>
      </c>
      <c r="D33" t="s">
        <v>3605</v>
      </c>
    </row>
    <row r="34" spans="1:4" x14ac:dyDescent="0.25">
      <c r="B34" s="1"/>
    </row>
    <row r="35" spans="1:4" x14ac:dyDescent="0.25">
      <c r="B35" s="1"/>
    </row>
    <row r="36" spans="1:4" x14ac:dyDescent="0.25">
      <c r="B36" s="1"/>
    </row>
    <row r="37" spans="1:4" x14ac:dyDescent="0.25">
      <c r="B37" s="1"/>
    </row>
    <row r="38" spans="1:4" x14ac:dyDescent="0.25">
      <c r="B38" s="1"/>
    </row>
    <row r="39" spans="1:4" x14ac:dyDescent="0.25">
      <c r="B39" s="1"/>
    </row>
    <row r="40" spans="1:4" x14ac:dyDescent="0.25">
      <c r="B40" s="1"/>
    </row>
    <row r="41" spans="1:4" x14ac:dyDescent="0.25">
      <c r="B41" s="1"/>
    </row>
    <row r="42" spans="1:4" x14ac:dyDescent="0.25">
      <c r="B42" s="1"/>
    </row>
    <row r="43" spans="1:4" x14ac:dyDescent="0.25">
      <c r="B43" s="1"/>
    </row>
    <row r="44" spans="1:4" x14ac:dyDescent="0.25">
      <c r="B44" s="1"/>
    </row>
    <row r="45" spans="1:4" x14ac:dyDescent="0.25">
      <c r="B45" s="1"/>
    </row>
    <row r="46" spans="1:4" x14ac:dyDescent="0.25">
      <c r="B46" s="1"/>
    </row>
    <row r="47" spans="1:4" x14ac:dyDescent="0.25">
      <c r="B47" s="1"/>
    </row>
    <row r="48" spans="1:4" x14ac:dyDescent="0.25">
      <c r="B48" s="1"/>
    </row>
    <row r="49" spans="2:2" x14ac:dyDescent="0.25">
      <c r="B49" s="1"/>
    </row>
    <row r="50" spans="2:2" x14ac:dyDescent="0.25">
      <c r="B50" s="1"/>
    </row>
    <row r="51" spans="2:2" x14ac:dyDescent="0.25">
      <c r="B51" s="1"/>
    </row>
    <row r="52" spans="2:2" x14ac:dyDescent="0.25">
      <c r="B52" s="1"/>
    </row>
    <row r="53" spans="2:2" x14ac:dyDescent="0.25">
      <c r="B53" s="1"/>
    </row>
    <row r="54" spans="2:2" x14ac:dyDescent="0.25">
      <c r="B54" s="1"/>
    </row>
    <row r="55" spans="2:2" x14ac:dyDescent="0.25">
      <c r="B55" s="1"/>
    </row>
    <row r="56" spans="2:2" x14ac:dyDescent="0.25">
      <c r="B56" s="1"/>
    </row>
    <row r="57" spans="2:2" x14ac:dyDescent="0.25">
      <c r="B57" s="1"/>
    </row>
    <row r="58" spans="2:2" x14ac:dyDescent="0.25">
      <c r="B58" s="1"/>
    </row>
    <row r="59" spans="2:2" x14ac:dyDescent="0.25">
      <c r="B59" s="1"/>
    </row>
    <row r="60" spans="2:2" x14ac:dyDescent="0.25">
      <c r="B60" s="1"/>
    </row>
  </sheetData>
  <mergeCells count="7">
    <mergeCell ref="A6:B6"/>
    <mergeCell ref="A7:B7"/>
    <mergeCell ref="A1:C1"/>
    <mergeCell ref="A2:B2"/>
    <mergeCell ref="A3:B3"/>
    <mergeCell ref="A4:B4"/>
    <mergeCell ref="A5:B5"/>
  </mergeCells>
  <pageMargins left="0.7" right="0.7" top="0.75" bottom="0.75" header="0.3" footer="0.3"/>
  <pageSetup paperSize="262" orientation="landscape" horizontalDpi="360" verticalDpi="36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DE7A9B5742F984FBA386CFB5F86A6D3" ma:contentTypeVersion="4" ma:contentTypeDescription="Create a new document." ma:contentTypeScope="" ma:versionID="14b054cc6cf89529003c817fbe52f269">
  <xsd:schema xmlns:xsd="http://www.w3.org/2001/XMLSchema" xmlns:xs="http://www.w3.org/2001/XMLSchema" xmlns:p="http://schemas.microsoft.com/office/2006/metadata/properties" xmlns:ns2="fb4d3a50-4d66-4dad-95d5-f0ccf1274fdc" targetNamespace="http://schemas.microsoft.com/office/2006/metadata/properties" ma:root="true" ma:fieldsID="43be7f7005cae0d808837578e330c1b6" ns2:_="">
    <xsd:import namespace="fb4d3a50-4d66-4dad-95d5-f0ccf1274fd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b4d3a50-4d66-4dad-95d5-f0ccf1274fd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AC426D1-FE3B-4F5B-BB87-EBBAAAFA5B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b4d3a50-4d66-4dad-95d5-f0ccf1274fd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017FDE-DEC7-4ACF-9298-9E47D6A09CAD}">
  <ds:schemaRefs>
    <ds:schemaRef ds:uri="http://schemas.microsoft.com/office/2006/documentManagement/types"/>
    <ds:schemaRef ds:uri="fb4d3a50-4d66-4dad-95d5-f0ccf1274fdc"/>
    <ds:schemaRef ds:uri="http://purl.org/dc/elements/1.1/"/>
    <ds:schemaRef ds:uri="http://schemas.microsoft.com/office/2006/metadata/properties"/>
    <ds:schemaRef ds:uri="http://schemas.openxmlformats.org/package/2006/metadata/core-properties"/>
    <ds:schemaRef ds:uri="http://www.w3.org/XML/1998/namespace"/>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8E10BA59-3847-4E10-BDD9-9383ACD19C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Worksheet</vt:lpstr>
      <vt:lpstr>Calculations</vt:lpstr>
      <vt:lpstr>Input</vt:lpstr>
      <vt:lpstr>Instructions</vt:lpstr>
      <vt:lpstr>Torque Tables</vt:lpstr>
      <vt:lpstr>Rev History &amp; 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Haskins, Alexander</dc:creator>
  <cp:lastModifiedBy>Haskins, Alexander</cp:lastModifiedBy>
  <dcterms:created xsi:type="dcterms:W3CDTF">2018-06-07T14:24:01Z</dcterms:created>
  <dcterms:modified xsi:type="dcterms:W3CDTF">2023-10-25T15:56:53Z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0x010100EDE7A9B5742F984FBA386CFB5F86A6D3</vt:lpwstr>
  </property>
</Properties>
</file>